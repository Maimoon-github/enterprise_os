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6c7c0456545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" sheetId="1" r:id="R74d5a5c75b6548ca"/>
    <x:sheet xmlns:r="http://schemas.openxmlformats.org/officeDocument/2006/relationships" name="Source Notes" sheetId="2" r:id="R35dea8a478f04a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"/>
    <x:numFmt numFmtId="201" formatCode="dd-mmm-yyyy"/>
    <x:numFmt numFmtId="202" formatCode="0%"/>
  </x:numFmts>
  <x:fonts count="16">
    <x:font>
      <x:sz val="11"/>
      <x:name val="Carlito"/>
    </x:font>
    <x:font>
      <x:b/>
      <x:sz val="16"/>
      <x:color rgb="FFFFFFFF"/>
      <x:name val="Carlito"/>
    </x:font>
    <x:font>
      <x:sz val="10"/>
      <x:color rgb="FF34495E"/>
      <x:name val="Carlito"/>
    </x:font>
    <x:font>
      <x:b/>
      <x:sz val="9"/>
      <x:color rgb="FF31465A"/>
      <x:name val="Carlito"/>
    </x:font>
    <x:font>
      <x:b/>
      <x:sz val="11"/>
      <x:color rgb="FF17324D"/>
      <x:name val="Carlito"/>
    </x:font>
    <x:font>
      <x:b/>
      <x:sz val="10"/>
      <x:color rgb="FF8A5B0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9"/>
      <x:color rgb="FF17324D"/>
      <x:name val="Carlito"/>
    </x:font>
    <x:font>
      <x:b/>
      <x:sz val="8"/>
      <x:color rgb="FF17324D"/>
      <x:name val="Carlito"/>
    </x:font>
    <x:font>
      <x:sz val="8"/>
      <x:color rgb="FF52697D"/>
      <x:name val="Carlito"/>
    </x:font>
    <x:font>
      <x:sz val="9"/>
      <x:color rgb="FF22313F"/>
      <x:name val="Carlito"/>
    </x:font>
    <x:font>
      <x:b/>
      <x:sz val="9"/>
      <x:color rgb="FF684B00"/>
      <x:name val="Carlito"/>
    </x:font>
    <x:font>
      <x:b/>
      <x:sz val="8"/>
      <x:color rgb="FF64717D"/>
      <x:name val="Carlito"/>
    </x:font>
    <x:font>
      <x:sz val="10"/>
      <x:color rgb="FF22313F"/>
      <x:name val="Carlito"/>
    </x:font>
    <x:font>
      <x:i/>
      <x:sz val="9"/>
      <x:color rgb="FF52697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5"/>
      </x:patternFill>
    </x:fill>
    <x:fill>
      <x:patternFill patternType="solid">
        <x:fgColor rgb="FFF6F8FA"/>
      </x:patternFill>
    </x:fill>
    <x:fill>
      <x:patternFill patternType="solid">
        <x:fgColor rgb="FF274C6B"/>
      </x:patternFill>
    </x:fill>
    <x:fill>
      <x:patternFill patternType="solid">
        <x:fgColor rgb="FFDCE6EE"/>
      </x:patternFill>
    </x:fill>
    <x:fill>
      <x:patternFill patternType="solid">
        <x:fgColor rgb="FFEDF2F6"/>
      </x:patternFill>
    </x:fill>
    <x:fill>
      <x:patternFill patternType="solid">
        <x:fgColor rgb="FFE9EFF4"/>
      </x:patternFill>
    </x:fill>
    <x:fill>
      <x:patternFill patternType="solid">
        <x:fgColor rgb="FFFFF5DA"/>
      </x:patternFill>
    </x:fill>
    <x:fill>
      <x:patternFill patternType="solid">
        <x:fgColor rgb="FFE2E7EB"/>
      </x:patternFill>
    </x:fill>
  </x:fills>
  <x:borders count="8">
    <x:border/>
    <x:border/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1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horizontal="left"/>
    </x:xf>
    <x:xf numFmtId="0" fontId="6" fillId="5" borderId="1" xfId="0" applyNumberFormat="1" applyFont="1" applyFill="1" applyBorder="1" applyAlignment="1">
      <x:alignment horizontal="left" vertical="center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vertical="center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wrapText="1"/>
    </x:xf>
    <x:xf numFmtId="0" fontId="8" fillId="6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wrapText="1"/>
    </x:xf>
    <x:xf numFmtId="0" fontId="8" fillId="6" borderId="1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6" borderId="0" xfId="0" applyNumberFormat="1" applyFont="1" applyFill="1" applyBorder="1"/>
    <x:xf numFmtId="200" fontId="9" fillId="6" borderId="0" xfId="0" applyNumberFormat="1" applyFont="1" applyFill="1" applyBorder="1"/>
    <x:xf numFmtId="200" fontId="9" fillId="6" borderId="0" xfId="0" applyNumberFormat="1" applyFont="1" applyFill="1" applyBorder="1" applyAlignment="1">
      <x:alignment horizontal="center"/>
    </x:xf>
    <x:xf numFmtId="200" fontId="9" fillId="6" borderId="0" xfId="0" applyNumberFormat="1" applyFont="1" applyFill="1" applyBorder="1" applyAlignment="1">
      <x:alignment horizontal="center" vertical="center"/>
    </x:xf>
    <x:xf numFmtId="200" fontId="0" fillId="6" borderId="1" xfId="0" applyNumberFormat="1" applyFont="1" applyFill="1" applyBorder="1"/>
    <x:xf numFmtId="200" fontId="9" fillId="6" borderId="1" xfId="0" applyNumberFormat="1" applyFont="1" applyFill="1" applyBorder="1"/>
    <x:xf numFmtId="200" fontId="9" fillId="6" borderId="1" xfId="0" applyNumberFormat="1" applyFont="1" applyFill="1" applyBorder="1" applyAlignment="1">
      <x:alignment horizontal="center"/>
    </x:xf>
    <x:xf numFmtId="200" fontId="9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horizontal="center"/>
    </x:xf>
    <x:xf numFmtId="0" fontId="10" fillId="7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3" fillId="4" borderId="0" xfId="0" applyNumberFormat="1" applyFont="1" applyFill="1" applyBorder="1" applyAlignment="1">
      <x:alignment horizontal="center" vertical="center"/>
    </x:xf>
    <x:xf numFmtId="202" fontId="3" fillId="4" borderId="1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/>
    <x:xf numFmtId="201" fontId="11" fillId="0" borderId="0" xfId="0" applyNumberFormat="1" applyFont="1" applyFill="1" applyBorder="1"/>
    <x:xf numFmtId="202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center"/>
    </x:xf>
    <x:xf numFmtId="201" fontId="11" fillId="0" borderId="0" xfId="0" applyNumberFormat="1" applyFont="1" applyFill="1" applyBorder="1" applyAlignment="1">
      <x:alignment vertical="center"/>
    </x:xf>
    <x:xf numFmtId="202" fontId="11" fillId="0" borderId="0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/>
    <x:xf numFmtId="201" fontId="11" fillId="0" borderId="1" xfId="0" applyNumberFormat="1" applyFont="1" applyFill="1" applyBorder="1"/>
    <x:xf numFmtId="202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vertical="center"/>
    </x:xf>
    <x:xf numFmtId="201" fontId="11" fillId="0" borderId="1" xfId="0" applyNumberFormat="1" applyFont="1" applyFill="1" applyBorder="1" applyAlignment="1">
      <x:alignment vertical="center"/>
    </x:xf>
    <x:xf numFmtId="202" fontId="11" fillId="0" borderId="1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horizontal="center" vertical="center"/>
    </x:xf>
    <x:xf numFmtId="0" fontId="11" fillId="0" borderId="1" xfId="0" applyNumberFormat="1" applyFont="1" applyFill="1" applyBorder="1" applyAlignment="1">
      <x:alignment horizontal="center" vertical="center"/>
    </x:xf>
    <x:xf numFmtId="201" fontId="11" fillId="0" borderId="0" xfId="0" applyNumberFormat="1" applyFont="1" applyFill="1" applyBorder="1" applyAlignment="1">
      <x:alignment horizontal="center" vertical="center"/>
    </x:xf>
    <x:xf numFmtId="201" fontId="11" fillId="0" borderId="1" xfId="0" applyNumberFormat="1" applyFont="1" applyFill="1" applyBorder="1" applyAlignment="1">
      <x:alignment horizontal="center" vertical="center"/>
    </x:xf>
    <x:xf numFmtId="202" fontId="11" fillId="0" borderId="0" xfId="0" applyNumberFormat="1" applyFont="1" applyFill="1" applyBorder="1" applyAlignment="1">
      <x:alignment horizontal="center" vertical="center"/>
    </x:xf>
    <x:xf numFmtId="202" fontId="11" fillId="0" borderId="1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horizontal="center" vertical="center"/>
    </x:xf>
    <x:xf numFmtId="0" fontId="11" fillId="8" borderId="0" xfId="0" applyNumberFormat="1" applyFont="1" applyFill="1" applyBorder="1" applyAlignment="1">
      <x:alignment vertical="center" wrapText="1"/>
    </x:xf>
    <x:xf numFmtId="201" fontId="11" fillId="8" borderId="0" xfId="0" applyNumberFormat="1" applyFont="1" applyFill="1" applyBorder="1" applyAlignment="1">
      <x:alignment horizontal="center" vertical="center"/>
    </x:xf>
    <x:xf numFmtId="202" fontId="11" fillId="8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vertical="center" wrapText="1"/>
    </x:xf>
    <x:xf numFmtId="201" fontId="8" fillId="8" borderId="0" xfId="0" applyNumberFormat="1" applyFont="1" applyFill="1" applyBorder="1" applyAlignment="1">
      <x:alignment horizontal="center" vertical="center"/>
    </x:xf>
    <x:xf numFmtId="202" fontId="8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vertical="center"/>
    </x:xf>
    <x:xf numFmtId="0" fontId="11" fillId="8" borderId="1" xfId="0" applyNumberFormat="1" applyFont="1" applyFill="1" applyBorder="1" applyAlignment="1">
      <x:alignment horizontal="center" vertical="center"/>
    </x:xf>
    <x:xf numFmtId="0" fontId="11" fillId="8" borderId="1" xfId="0" applyNumberFormat="1" applyFont="1" applyFill="1" applyBorder="1" applyAlignment="1">
      <x:alignment vertical="center" wrapText="1"/>
    </x:xf>
    <x:xf numFmtId="201" fontId="11" fillId="8" borderId="1" xfId="0" applyNumberFormat="1" applyFont="1" applyFill="1" applyBorder="1" applyAlignment="1">
      <x:alignment horizontal="center" vertical="center"/>
    </x:xf>
    <x:xf numFmtId="202" fontId="11" fillId="8" borderId="1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8" fillId="8" borderId="1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 applyAlignment="1">
      <x:alignment vertical="center" wrapText="1"/>
    </x:xf>
    <x:xf numFmtId="201" fontId="8" fillId="8" borderId="1" xfId="0" applyNumberFormat="1" applyFont="1" applyFill="1" applyBorder="1" applyAlignment="1">
      <x:alignment horizontal="center" vertical="center"/>
    </x:xf>
    <x:xf numFmtId="202" fontId="8" fillId="8" borderId="1" xfId="0" applyNumberFormat="1" applyFont="1" applyFill="1" applyBorder="1" applyAlignment="1">
      <x:alignment horizontal="center" vertical="center"/>
    </x:xf>
    <x:xf numFmtId="0" fontId="8" fillId="8" borderId="1" xfId="0" applyNumberFormat="1" applyFont="1" applyFill="1" applyBorder="1"/>
    <x:xf numFmtId="0" fontId="8" fillId="8" borderId="1" xfId="0" applyNumberFormat="1" applyFont="1" applyFill="1" applyBorder="1" applyAlignment="1">
      <x:alignment vertical="center"/>
    </x:xf>
    <x:xf numFmtId="0" fontId="11" fillId="9" borderId="0" xfId="0" applyNumberFormat="1" applyFont="1" applyFill="1" applyBorder="1" applyAlignment="1">
      <x:alignment horizontal="center" vertical="center"/>
    </x:xf>
    <x:xf numFmtId="0" fontId="11" fillId="9" borderId="0" xfId="0" applyNumberFormat="1" applyFont="1" applyFill="1" applyBorder="1" applyAlignment="1">
      <x:alignment vertical="center" wrapText="1"/>
    </x:xf>
    <x:xf numFmtId="201" fontId="11" fillId="9" borderId="0" xfId="0" applyNumberFormat="1" applyFont="1" applyFill="1" applyBorder="1" applyAlignment="1">
      <x:alignment horizontal="center" vertical="center"/>
    </x:xf>
    <x:xf numFmtId="202" fontId="11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horizontal="center" vertical="center"/>
    </x:xf>
    <x:xf numFmtId="0" fontId="12" fillId="9" borderId="0" xfId="0" applyNumberFormat="1" applyFont="1" applyFill="1" applyBorder="1" applyAlignment="1">
      <x:alignment vertical="center" wrapText="1"/>
    </x:xf>
    <x:xf numFmtId="201" fontId="12" fillId="9" borderId="0" xfId="0" applyNumberFormat="1" applyFont="1" applyFill="1" applyBorder="1" applyAlignment="1">
      <x:alignment horizontal="center" vertical="center"/>
    </x:xf>
    <x:xf numFmtId="202" fontId="12" fillId="9" borderId="0" xfId="0" applyNumberFormat="1" applyFont="1" applyFill="1" applyBorder="1" applyAlignment="1">
      <x:alignment horizontal="center" vertical="center"/>
    </x:xf>
    <x:xf numFmtId="0" fontId="11" fillId="9" borderId="1" xfId="0" applyNumberFormat="1" applyFont="1" applyFill="1" applyBorder="1" applyAlignment="1">
      <x:alignment horizontal="center" vertical="center"/>
    </x:xf>
    <x:xf numFmtId="0" fontId="11" fillId="9" borderId="1" xfId="0" applyNumberFormat="1" applyFont="1" applyFill="1" applyBorder="1" applyAlignment="1">
      <x:alignment vertical="center" wrapText="1"/>
    </x:xf>
    <x:xf numFmtId="201" fontId="11" fillId="9" borderId="1" xfId="0" applyNumberFormat="1" applyFont="1" applyFill="1" applyBorder="1" applyAlignment="1">
      <x:alignment horizontal="center" vertical="center"/>
    </x:xf>
    <x:xf numFmtId="202" fontId="11" fillId="9" borderId="1" xfId="0" applyNumberFormat="1" applyFont="1" applyFill="1" applyBorder="1" applyAlignment="1">
      <x:alignment horizontal="center" vertical="center"/>
    </x:xf>
    <x:xf numFmtId="0" fontId="12" fillId="9" borderId="1" xfId="0" applyNumberFormat="1" applyFont="1" applyFill="1" applyBorder="1" applyAlignment="1">
      <x:alignment horizontal="center" vertical="center"/>
    </x:xf>
    <x:xf numFmtId="0" fontId="12" fillId="9" borderId="1" xfId="0" applyNumberFormat="1" applyFont="1" applyFill="1" applyBorder="1" applyAlignment="1">
      <x:alignment vertical="center" wrapText="1"/>
    </x:xf>
    <x:xf numFmtId="201" fontId="12" fillId="9" borderId="1" xfId="0" applyNumberFormat="1" applyFont="1" applyFill="1" applyBorder="1" applyAlignment="1">
      <x:alignment horizontal="center" vertical="center"/>
    </x:xf>
    <x:xf numFmtId="202" fontId="12" fillId="9" borderId="1" xfId="0" applyNumberFormat="1" applyFont="1" applyFill="1" applyBorder="1" applyAlignment="1">
      <x:alignment horizontal="center" vertical="center"/>
    </x:xf>
    <x:xf numFmtId="0" fontId="7" fillId="8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7" fillId="8" borderId="1" xfId="0" applyNumberFormat="1" applyFont="1" applyFill="1" applyBorder="1" applyAlignment="1">
      <x:alignment vertical="center"/>
    </x:xf>
    <x:xf numFmtId="0" fontId="7" fillId="0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 vertical="center"/>
    </x:xf>
    <x:xf numFmtId="0" fontId="7" fillId="0" borderId="1" xfId="0" applyNumberFormat="1" applyFont="1" applyFill="1" applyBorder="1" applyAlignment="1">
      <x:alignment horizontal="center"/>
    </x:xf>
    <x:xf numFmtId="0" fontId="7" fillId="0" borderId="1" xfId="0" applyNumberFormat="1" applyFont="1" applyFill="1" applyBorder="1" applyAlignment="1">
      <x:alignment horizontal="center" vertical="center"/>
    </x:xf>
    <x:xf numFmtId="200" fontId="9" fillId="10" borderId="0" xfId="0" applyNumberFormat="1" applyFont="1" applyFill="1" applyBorder="1" applyAlignment="1">
      <x:alignment horizontal="center" vertical="center"/>
    </x:xf>
    <x:xf numFmtId="0" fontId="10" fillId="10" borderId="0" xfId="0" applyNumberFormat="1" applyFont="1" applyFill="1" applyBorder="1" applyAlignment="1">
      <x:alignment horizontal="center" vertical="center"/>
    </x:xf>
    <x:xf numFmtId="200" fontId="9" fillId="10" borderId="1" xfId="0" applyNumberFormat="1" applyFont="1" applyFill="1" applyBorder="1" applyAlignment="1">
      <x:alignment horizontal="center" vertical="center"/>
    </x:xf>
    <x:xf numFmtId="0" fontId="10" fillId="10" borderId="1" xfId="0" applyNumberFormat="1" applyFont="1" applyFill="1" applyBorder="1" applyAlignment="1">
      <x:alignment horizontal="center" vertical="center"/>
    </x:xf>
    <x:xf numFmtId="200" fontId="13" fillId="10" borderId="0" xfId="0" applyNumberFormat="1" applyFont="1" applyFill="1" applyBorder="1" applyAlignment="1">
      <x:alignment horizontal="center" vertical="center"/>
    </x:xf>
    <x:xf numFmtId="0" fontId="13" fillId="10" borderId="0" xfId="0" applyNumberFormat="1" applyFont="1" applyFill="1" applyBorder="1" applyAlignment="1">
      <x:alignment horizontal="center" vertical="center"/>
    </x:xf>
    <x:xf numFmtId="200" fontId="13" fillId="10" borderId="1" xfId="0" applyNumberFormat="1" applyFont="1" applyFill="1" applyBorder="1" applyAlignment="1">
      <x:alignment horizontal="center" vertical="center"/>
    </x:xf>
    <x:xf numFmtId="0" fontId="13" fillId="10" borderId="1" xfId="0" applyNumberFormat="1" applyFont="1" applyFill="1" applyBorder="1" applyAlignment="1">
      <x:alignment horizontal="center" vertical="center"/>
    </x:xf>
    <x:xf numFmtId="200" fontId="9" fillId="6" borderId="2" xfId="0" applyNumberFormat="1" applyFont="1" applyFill="1" applyBorder="1" applyAlignment="1">
      <x:alignment horizontal="center" vertical="center"/>
    </x:xf>
    <x:xf numFmtId="0" fontId="10" fillId="7" borderId="2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0" borderId="2" xfId="0" applyNumberFormat="1" applyFont="1" applyFill="1" applyBorder="1" applyAlignment="1">
      <x:alignment horizontal="center" vertical="center"/>
    </x:xf>
    <x:xf numFmtId="0" fontId="12" fillId="9" borderId="3" xfId="0" applyNumberFormat="1" applyFont="1" applyFill="1" applyBorder="1" applyAlignment="1">
      <x:alignment horizontal="center" vertical="center"/>
    </x:xf>
    <x:xf numFmtId="0" fontId="12" fillId="9" borderId="3" xfId="0" applyNumberFormat="1" applyFont="1" applyFill="1" applyBorder="1" applyAlignment="1">
      <x:alignment vertical="center" wrapText="1"/>
    </x:xf>
    <x:xf numFmtId="201" fontId="12" fillId="9" borderId="3" xfId="0" applyNumberFormat="1" applyFont="1" applyFill="1" applyBorder="1" applyAlignment="1">
      <x:alignment horizontal="center" vertical="center"/>
    </x:xf>
    <x:xf numFmtId="202" fontId="12" fillId="9" borderId="3" xfId="0" applyNumberFormat="1" applyFont="1" applyFill="1" applyBorder="1" applyAlignment="1">
      <x:alignment horizontal="center" vertical="center"/>
    </x:xf>
    <x:xf numFmtId="0" fontId="7" fillId="0" borderId="3" xfId="0" applyNumberFormat="1" applyFont="1" applyFill="1" applyBorder="1" applyAlignment="1">
      <x:alignment horizontal="center" vertical="center"/>
    </x:xf>
    <x:xf numFmtId="0" fontId="7" fillId="0" borderId="4" xfId="0" applyNumberFormat="1" applyFont="1" applyFill="1" applyBorder="1" applyAlignment="1">
      <x:alignment horizontal="center" vertical="center"/>
    </x:xf>
    <x:xf numFmtId="200" fontId="9" fillId="6" borderId="5" xfId="0" applyNumberFormat="1" applyFont="1" applyFill="1" applyBorder="1" applyAlignment="1">
      <x:alignment horizontal="center" vertical="center"/>
    </x:xf>
    <x:xf numFmtId="0" fontId="10" fillId="7" borderId="5" xfId="0" applyNumberFormat="1" applyFont="1" applyFill="1" applyBorder="1" applyAlignment="1">
      <x:alignment horizontal="center" vertical="center"/>
    </x:xf>
    <x:xf numFmtId="0" fontId="7" fillId="8" borderId="5" xfId="0" applyNumberFormat="1" applyFont="1" applyFill="1" applyBorder="1" applyAlignment="1">
      <x:alignment horizontal="center" vertical="center"/>
    </x:xf>
    <x:xf numFmtId="0" fontId="7" fillId="0" borderId="5" xfId="0" applyNumberFormat="1" applyFont="1" applyFill="1" applyBorder="1" applyAlignment="1">
      <x:alignment horizontal="center" vertical="center"/>
    </x:xf>
    <x:xf numFmtId="0" fontId="12" fillId="9" borderId="6" xfId="0" applyNumberFormat="1" applyFont="1" applyFill="1" applyBorder="1" applyAlignment="1">
      <x:alignment horizontal="center" vertical="center"/>
    </x:xf>
    <x:xf numFmtId="0" fontId="12" fillId="9" borderId="6" xfId="0" applyNumberFormat="1" applyFont="1" applyFill="1" applyBorder="1" applyAlignment="1">
      <x:alignment vertical="center" wrapText="1"/>
    </x:xf>
    <x:xf numFmtId="201" fontId="12" fillId="9" borderId="6" xfId="0" applyNumberFormat="1" applyFont="1" applyFill="1" applyBorder="1" applyAlignment="1">
      <x:alignment horizontal="center" vertical="center"/>
    </x:xf>
    <x:xf numFmtId="202" fontId="12" fillId="9" borderId="6" xfId="0" applyNumberFormat="1" applyFont="1" applyFill="1" applyBorder="1" applyAlignment="1">
      <x:alignment horizontal="center" vertical="center"/>
    </x:xf>
    <x:xf numFmtId="0" fontId="7" fillId="0" borderId="6" xfId="0" applyNumberFormat="1" applyFont="1" applyFill="1" applyBorder="1" applyAlignment="1">
      <x:alignment horizontal="center" vertical="center"/>
    </x:xf>
    <x:xf numFmtId="0" fontId="7" fillId="0" borderId="7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 applyAlignment="1">
      <x:alignment horizontal="center" vertical="center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 applyAlignment="1">
      <x:alignment vertical="top" wrapText="1"/>
    </x:xf>
    <x:xf numFmtId="0" fontId="14" fillId="0" borderId="1" xfId="0" applyNumberFormat="1" applyFont="1" applyFill="1" applyBorder="1"/>
    <x:xf numFmtId="0" fontId="14" fillId="0" borderId="1" xfId="0" applyNumberFormat="1" applyFont="1" applyFill="1" applyBorder="1" applyAlignment="1">
      <x:alignment wrapText="1"/>
    </x:xf>
    <x:xf numFmtId="0" fontId="14" fillId="0" borderId="1" xfId="0" applyNumberFormat="1" applyFont="1" applyFill="1" applyBorder="1" applyAlignment="1">
      <x:alignment vertical="top" wrapText="1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 applyAlignment="1">
      <x:alignment horizontal="center" vertical="center"/>
    </x:xf>
    <x:xf numFmtId="0" fontId="15" fillId="4" borderId="1" xfId="0" applyNumberFormat="1" applyFont="1" applyFill="1" applyBorder="1"/>
    <x:xf numFmtId="0" fontId="15" fillId="4" borderId="1" xfId="0" applyNumberFormat="1" applyFont="1" applyFill="1" applyBorder="1" applyAlignment="1">
      <x:alignment horizontal="center"/>
    </x:xf>
    <x:xf numFmtId="0" fontId="15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10">
    <x:dxf>
      <x:fill>
        <x:patternFill patternType="solid">
          <x:bgColor rgb="FFF3F5F7"/>
        </x:patternFill>
      </x:fill>
    </x:dxf>
    <x:dxf>
      <x:fill>
        <x:patternFill patternType="solid">
          <x:bgColor rgb="FF6F879A"/>
        </x:patternFill>
      </x:fill>
    </x:dxf>
    <x:dxf>
      <x:fill>
        <x:patternFill patternType="solid">
          <x:bgColor rgb="FFBFD0DD"/>
        </x:patternFill>
      </x:fill>
    </x:dxf>
    <x:dxf>
      <x:fill>
        <x:patternFill patternType="solid">
          <x:bgColor rgb="FF2F6D62"/>
        </x:patternFill>
      </x:fill>
    </x:dxf>
    <x:dxf>
      <x:font>
        <x:b/>
        <x:color rgb="FFFFFFFF"/>
      </x:font>
      <x:fill>
        <x:patternFill patternType="solid">
          <x:bgColor rgb="FFC58A18"/>
        </x:patternFill>
      </x:fill>
    </x:dxf>
    <x:dxf>
      <x:font>
        <x:b/>
        <x:color rgb="FF22584E"/>
      </x:font>
      <x:fill>
        <x:patternFill patternType="solid">
          <x:bgColor rgb="FFDCEFE8"/>
        </x:patternFill>
      </x:fill>
    </x:dxf>
    <x:dxf>
      <x:font>
        <x:b/>
        <x:color rgb="FF22584E"/>
      </x:font>
      <x:fill>
        <x:patternFill patternType="solid">
          <x:bgColor rgb="FFDCEFE8"/>
        </x:patternFill>
      </x:fill>
    </x:dxf>
    <x:dxf>
      <x:font>
        <x:b/>
        <x:color rgb="FF7A5700"/>
      </x:font>
      <x:fill>
        <x:patternFill patternType="solid">
          <x:bgColor rgb="FFFFF0C2"/>
        </x:patternFill>
      </x:fill>
    </x:dxf>
    <x:dxf>
      <x:font>
        <x:b/>
        <x:color rgb="FF5E6B75"/>
      </x:font>
      <x:fill>
        <x:patternFill patternType="solid">
          <x:bgColor rgb="FFEDF1F4"/>
        </x:patternFill>
      </x:fill>
    </x:dxf>
    <x:dxf>
      <x:font>
        <x:b/>
        <x:color rgb="FF5E6B75"/>
      </x:font>
      <x:fill>
        <x:patternFill patternType="solid">
          <x:bgColor rgb="FFEDF1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7790da4884f39" /><Relationship Type="http://schemas.openxmlformats.org/officeDocument/2006/relationships/theme" Target="/xl/theme/theme1.xml" Id="R093c76c612564e11" /><Relationship Type="http://schemas.openxmlformats.org/officeDocument/2006/relationships/sharedStrings" Target="/xl/sharedStrings.xml" Id="R1de70bf5eefd4307" /><Relationship Type="http://schemas.openxmlformats.org/officeDocument/2006/relationships/worksheet" Target="/xl/worksheets/sheet1.xml" Id="R74d5a5c75b6548ca" /><Relationship Type="http://schemas.openxmlformats.org/officeDocument/2006/relationships/worksheet" Target="/xl/worksheets/sheet2.xml" Id="R35dea8a478f04a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1" hidden="0" customWidth="1"/>
    <x:col min="3" max="3" width="48" hidden="0" customWidth="1"/>
    <x:col min="4" max="4" width="13" hidden="0" customWidth="1"/>
    <x:col min="5" max="5" width="13" hidden="0" customWidth="1"/>
    <x:col min="6" max="6" width="10" hidden="0" customWidth="1"/>
    <x:col min="7" max="7" width="20" hidden="0" customWidth="1"/>
    <x:col min="8" max="8" width="34" hidden="0" customWidth="1"/>
    <x:col min="9" max="9" width="12" hidden="0" customWidth="1"/>
    <x:col min="10" max="10" width="14" hidden="0" customWidth="1"/>
    <x:col min="11" max="11" width="4.400000095367432" hidden="0" customWidth="1"/>
    <x:col min="12" max="12" width="4.400000095367432" hidden="0" customWidth="1"/>
    <x:col min="13" max="13" width="4.400000095367432" hidden="0" customWidth="1"/>
    <x:col min="14" max="14" width="4.400000095367432" hidden="0" customWidth="1"/>
    <x:col min="15" max="15" width="4.400000095367432" hidden="0" customWidth="1"/>
    <x:col min="16" max="16" width="4.400000095367432" hidden="0" customWidth="1"/>
    <x:col min="17" max="17" width="4.400000095367432" hidden="0" customWidth="1"/>
    <x:col min="18" max="18" width="4.400000095367432" hidden="0" customWidth="1"/>
    <x:col min="19" max="19" width="4.400000095367432" hidden="0" customWidth="1"/>
    <x:col min="20" max="20" width="4.400000095367432" hidden="0" customWidth="1"/>
    <x:col min="21" max="21" width="4.400000095367432" hidden="0" customWidth="1"/>
    <x:col min="22" max="22" width="4.400000095367432" hidden="0" customWidth="1"/>
    <x:col min="23" max="23" width="4.400000095367432" hidden="0" customWidth="1"/>
    <x:col min="24" max="24" width="4.400000095367432" hidden="0" customWidth="1"/>
    <x:col min="25" max="25" width="4.400000095367432" hidden="0" customWidth="1"/>
    <x:col min="26" max="26" width="4.400000095367432" hidden="0" customWidth="1"/>
    <x:col min="27" max="27" width="4.400000095367432" hidden="0" customWidth="1"/>
    <x:col min="28" max="28" width="4.400000095367432" hidden="0" customWidth="1"/>
    <x:col min="29" max="29" width="4.400000095367432" hidden="0" customWidth="1"/>
    <x:col min="30" max="30" width="4.400000095367432" hidden="0" customWidth="1"/>
    <x:col min="31" max="31" width="4.400000095367432" hidden="0" customWidth="1"/>
    <x:col min="32" max="32" width="4.400000095367432" hidden="0" customWidth="1"/>
    <x:col min="33" max="33" width="4.400000095367432" hidden="0" customWidth="1"/>
    <x:col min="34" max="34" width="4.400000095367432" hidden="0" customWidth="1"/>
    <x:col min="35" max="35" width="4.400000095367432" hidden="0" customWidth="1"/>
    <x:col min="36" max="36" width="4.400000095367432" hidden="0" customWidth="1"/>
    <x:col min="37" max="37" width="4.400000095367432" hidden="0" customWidth="1"/>
    <x:col min="38" max="38" width="4.400000095367432" hidden="0" customWidth="1"/>
    <x:col min="39" max="39" width="4.400000095367432" hidden="0" customWidth="1"/>
    <x:col min="40" max="40" width="4.400000095367432" hidden="0" customWidth="1"/>
    <x:col min="41" max="41" width="4.400000095367432" hidden="0" customWidth="1"/>
    <x:col min="42" max="42" width="4.400000095367432" hidden="0" customWidth="1"/>
    <x:col min="43" max="43" width="4.400000095367432" hidden="0" customWidth="1"/>
    <x:col min="44" max="44" width="4.400000095367432" hidden="0" customWidth="1"/>
  </x:cols>
  <x:sheetData>
    <x:row r="1" ht="30" customHeight="1">
      <x:c r="A1" s="5" t="str">
        <x:v>Governed Multi-Brand Agentic System — Project Gantt Chart</x:v>
      </x:c>
    </x:row>
    <x:row r="2" ht="22" customHeight="1">
      <x:c r="A2" s="12" t="str">
        <x:v>Project period: Friday, 11 September 2026 — Wednesday, 14 October 2026 | Model A | Execution boundary: agent_sandbox (AIO Sandbox)</x:v>
      </x:c>
    </x:row>
    <x:row r="3" ht="24" customHeight="1">
      <x:c r="A3" s="19" t="str">
        <x:v>Tasks</x:v>
      </x:c>
      <x:c r="B3" s="24" t="n">
        <x:v>34</x:v>
      </x:c>
      <x:c r="C3" s="19" t="str">
        <x:v>Milestones</x:v>
      </x:c>
      <x:c r="D3" s="24" t="n">
        <x:v>7</x:v>
      </x:c>
      <x:c r="E3" s="19" t="str">
        <x:v>Project Days</x:v>
      </x:c>
      <x:c r="F3" s="24" t="n">
        <x:v>34</x:v>
      </x:c>
      <x:c r="G3" s="19" t="str">
        <x:v>Overall Progress</x:v>
      </x:c>
      <x:c r="H3" s="74" t="n">
        <x:f>IFERROR(SUMPRODUCT((B7:B54="Task")*F7:F54*I7:I54)/SUMPRODUCT((B7:B54="Task")*F7:F54),0)</x:f>
        <x:v>0.6989247311827957</x:v>
      </x:c>
      <x:c r="I3" s="19" t="str">
        <x:v>Source Snapshot</x:v>
      </x:c>
      <x:c r="J3" s="26" t="str">
        <x:v>M5 — In Progress</x:v>
      </x:c>
      <x:c r="K3" s="186" t="str">
        <x:v>Gantt legend: dark bar = completed portion | light bar = remaining portion | ◆ = milestone | slate bar = phase summary | light columns = weekends</x:v>
      </x:c>
    </x:row>
    <x:row r="4" ht="20" customHeight="1">
      <x:c r="A4" s="31" t="str">
        <x:v>Project Schedule</x:v>
      </x:c>
      <x:c r="K4" s="38" t="str">
        <x:v>September 2026</x:v>
      </x:c>
      <x:c r="L4" s="38"/>
      <x:c r="M4" s="38"/>
      <x:c r="N4" s="38"/>
      <x:c r="O4" s="38"/>
      <x:c r="P4" s="38"/>
      <x:c r="Q4" s="38"/>
      <x:c r="R4" s="38"/>
      <x:c r="S4" s="38"/>
      <x:c r="T4" s="38"/>
      <x:c r="U4" s="38"/>
      <x:c r="V4" s="38"/>
      <x:c r="W4" s="38"/>
      <x:c r="X4" s="38"/>
      <x:c r="Y4" s="38"/>
      <x:c r="Z4" s="38"/>
      <x:c r="AA4" s="38"/>
      <x:c r="AB4" s="38"/>
      <x:c r="AC4" s="38"/>
      <x:c r="AD4" s="38"/>
      <x:c r="AE4" s="38" t="str">
        <x:v>October 2026</x:v>
      </x:c>
      <x:c r="AF4" s="38"/>
      <x:c r="AG4" s="38"/>
      <x:c r="AH4" s="38"/>
      <x:c r="AI4" s="38"/>
      <x:c r="AJ4" s="38"/>
      <x:c r="AK4" s="38"/>
      <x:c r="AL4" s="38"/>
      <x:c r="AM4" s="38"/>
      <x:c r="AN4" s="38"/>
      <x:c r="AO4" s="38"/>
      <x:c r="AP4" s="38"/>
      <x:c r="AQ4" s="38"/>
      <x:c r="AR4" s="38"/>
    </x:row>
    <x:row r="5" ht="22" customHeight="1">
      <x:c r="A5" s="46" t="str">
        <x:v>ID</x:v>
      </x:c>
      <x:c r="B5" s="46" t="str">
        <x:v>Type</x:v>
      </x:c>
      <x:c r="C5" s="46" t="str">
        <x:v>Task / Activity</x:v>
      </x:c>
      <x:c r="D5" s="46" t="str">
        <x:v>Start Date</x:v>
      </x:c>
      <x:c r="E5" s="46" t="str">
        <x:v>End Date</x:v>
      </x:c>
      <x:c r="F5" s="46" t="str">
        <x:v>Duration</x:v>
      </x:c>
      <x:c r="G5" s="46" t="str">
        <x:v>Predecessor</x:v>
      </x:c>
      <x:c r="H5" s="46" t="str">
        <x:v>Resource</x:v>
      </x:c>
      <x:c r="I5" s="46" t="str">
        <x:v>% Complete</x:v>
      </x:c>
      <x:c r="J5" s="46" t="str">
        <x:v>Status</x:v>
      </x:c>
      <x:c r="K5" s="57" t="n">
        <x:v>46276</x:v>
      </x:c>
      <x:c r="L5" s="148" t="n">
        <x:v>46277</x:v>
      </x:c>
      <x:c r="M5" s="148" t="n">
        <x:v>46278</x:v>
      </x:c>
      <x:c r="N5" s="57" t="n">
        <x:v>46279</x:v>
      </x:c>
      <x:c r="O5" s="57" t="n">
        <x:v>46280</x:v>
      </x:c>
      <x:c r="P5" s="57" t="n">
        <x:v>46281</x:v>
      </x:c>
      <x:c r="Q5" s="57" t="n">
        <x:v>46282</x:v>
      </x:c>
      <x:c r="R5" s="57" t="n">
        <x:v>46283</x:v>
      </x:c>
      <x:c r="S5" s="148" t="n">
        <x:v>46284</x:v>
      </x:c>
      <x:c r="T5" s="148" t="n">
        <x:v>46285</x:v>
      </x:c>
      <x:c r="U5" s="57" t="n">
        <x:v>46286</x:v>
      </x:c>
      <x:c r="V5" s="57" t="n">
        <x:v>46287</x:v>
      </x:c>
      <x:c r="W5" s="57" t="n">
        <x:v>46288</x:v>
      </x:c>
      <x:c r="X5" s="57" t="n">
        <x:v>46289</x:v>
      </x:c>
      <x:c r="Y5" s="57" t="n">
        <x:v>46290</x:v>
      </x:c>
      <x:c r="Z5" s="148" t="n">
        <x:v>46291</x:v>
      </x:c>
      <x:c r="AA5" s="148" t="n">
        <x:v>46292</x:v>
      </x:c>
      <x:c r="AB5" s="57" t="n">
        <x:v>46293</x:v>
      </x:c>
      <x:c r="AC5" s="57" t="n">
        <x:v>46294</x:v>
      </x:c>
      <x:c r="AD5" s="57" t="n">
        <x:v>46295</x:v>
      </x:c>
      <x:c r="AE5" s="57" t="n">
        <x:v>46296</x:v>
      </x:c>
      <x:c r="AF5" s="57" t="n">
        <x:v>46297</x:v>
      </x:c>
      <x:c r="AG5" s="148" t="n">
        <x:v>46298</x:v>
      </x:c>
      <x:c r="AH5" s="148" t="n">
        <x:v>46299</x:v>
      </x:c>
      <x:c r="AI5" s="57" t="n">
        <x:v>46300</x:v>
      </x:c>
      <x:c r="AJ5" s="57" t="n">
        <x:v>46301</x:v>
      </x:c>
      <x:c r="AK5" s="57" t="n">
        <x:v>46302</x:v>
      </x:c>
      <x:c r="AL5" s="57" t="n">
        <x:v>46303</x:v>
      </x:c>
      <x:c r="AM5" s="57" t="n">
        <x:v>46304</x:v>
      </x:c>
      <x:c r="AN5" s="148" t="n">
        <x:v>46305</x:v>
      </x:c>
      <x:c r="AO5" s="148" t="n">
        <x:v>46306</x:v>
      </x:c>
      <x:c r="AP5" s="57" t="n">
        <x:v>46307</x:v>
      </x:c>
      <x:c r="AQ5" s="57" t="n">
        <x:v>46308</x:v>
      </x:c>
      <x:c r="AR5" s="152" t="n">
        <x:v>46309</x:v>
      </x:c>
    </x:row>
    <x:row r="6" ht="22" customHeight="1">
      <x:c r="A6" s="46"/>
      <x:c r="B6" s="46"/>
      <x:c r="C6" s="46"/>
      <x:c r="D6" s="46"/>
      <x:c r="E6" s="46"/>
      <x:c r="F6" s="46"/>
      <x:c r="G6" s="46"/>
      <x:c r="H6" s="46"/>
      <x:c r="I6" s="46"/>
      <x:c r="J6" s="46"/>
      <x:c r="K6" s="65" t="str">
        <x:f>TEXT(K5,"ddd")</x:f>
        <x:v>Fri</x:v>
      </x:c>
      <x:c r="L6" s="149" t="str">
        <x:f>TEXT(L5,"ddd")</x:f>
        <x:v>Sat</x:v>
      </x:c>
      <x:c r="M6" s="149" t="str">
        <x:f>TEXT(M5,"ddd")</x:f>
        <x:v>Sun</x:v>
      </x:c>
      <x:c r="N6" s="65" t="str">
        <x:f>TEXT(N5,"ddd")</x:f>
        <x:v>Mon</x:v>
      </x:c>
      <x:c r="O6" s="65" t="str">
        <x:f>TEXT(O5,"ddd")</x:f>
        <x:v>Tue</x:v>
      </x:c>
      <x:c r="P6" s="65" t="str">
        <x:f>TEXT(P5,"ddd")</x:f>
        <x:v>Wed</x:v>
      </x:c>
      <x:c r="Q6" s="65" t="str">
        <x:f>TEXT(Q5,"ddd")</x:f>
        <x:v>Thu</x:v>
      </x:c>
      <x:c r="R6" s="65" t="str">
        <x:f>TEXT(R5,"ddd")</x:f>
        <x:v>Fri</x:v>
      </x:c>
      <x:c r="S6" s="149" t="str">
        <x:f>TEXT(S5,"ddd")</x:f>
        <x:v>Sat</x:v>
      </x:c>
      <x:c r="T6" s="149" t="str">
        <x:f>TEXT(T5,"ddd")</x:f>
        <x:v>Sun</x:v>
      </x:c>
      <x:c r="U6" s="65" t="str">
        <x:f>TEXT(U5,"ddd")</x:f>
        <x:v>Mon</x:v>
      </x:c>
      <x:c r="V6" s="65" t="str">
        <x:f>TEXT(V5,"ddd")</x:f>
        <x:v>Tue</x:v>
      </x:c>
      <x:c r="W6" s="65" t="str">
        <x:f>TEXT(W5,"ddd")</x:f>
        <x:v>Wed</x:v>
      </x:c>
      <x:c r="X6" s="65" t="str">
        <x:f>TEXT(X5,"ddd")</x:f>
        <x:v>Thu</x:v>
      </x:c>
      <x:c r="Y6" s="65" t="str">
        <x:f>TEXT(Y5,"ddd")</x:f>
        <x:v>Fri</x:v>
      </x:c>
      <x:c r="Z6" s="149" t="str">
        <x:f>TEXT(Z5,"ddd")</x:f>
        <x:v>Sat</x:v>
      </x:c>
      <x:c r="AA6" s="149" t="str">
        <x:f>TEXT(AA5,"ddd")</x:f>
        <x:v>Sun</x:v>
      </x:c>
      <x:c r="AB6" s="65" t="str">
        <x:f>TEXT(AB5,"ddd")</x:f>
        <x:v>Mon</x:v>
      </x:c>
      <x:c r="AC6" s="65" t="str">
        <x:f>TEXT(AC5,"ddd")</x:f>
        <x:v>Tue</x:v>
      </x:c>
      <x:c r="AD6" s="65" t="str">
        <x:f>TEXT(AD5,"ddd")</x:f>
        <x:v>Wed</x:v>
      </x:c>
      <x:c r="AE6" s="65" t="str">
        <x:f>TEXT(AE5,"ddd")</x:f>
        <x:v>Thu</x:v>
      </x:c>
      <x:c r="AF6" s="65" t="str">
        <x:f>TEXT(AF5,"ddd")</x:f>
        <x:v>Fri</x:v>
      </x:c>
      <x:c r="AG6" s="149" t="str">
        <x:f>TEXT(AG5,"ddd")</x:f>
        <x:v>Sat</x:v>
      </x:c>
      <x:c r="AH6" s="149" t="str">
        <x:f>TEXT(AH5,"ddd")</x:f>
        <x:v>Sun</x:v>
      </x:c>
      <x:c r="AI6" s="65" t="str">
        <x:f>TEXT(AI5,"ddd")</x:f>
        <x:v>Mon</x:v>
      </x:c>
      <x:c r="AJ6" s="65" t="str">
        <x:f>TEXT(AJ5,"ddd")</x:f>
        <x:v>Tue</x:v>
      </x:c>
      <x:c r="AK6" s="65" t="str">
        <x:f>TEXT(AK5,"ddd")</x:f>
        <x:v>Wed</x:v>
      </x:c>
      <x:c r="AL6" s="65" t="str">
        <x:f>TEXT(AL5,"ddd")</x:f>
        <x:v>Thu</x:v>
      </x:c>
      <x:c r="AM6" s="65" t="str">
        <x:f>TEXT(AM5,"ddd")</x:f>
        <x:v>Fri</x:v>
      </x:c>
      <x:c r="AN6" s="149" t="str">
        <x:f>TEXT(AN5,"ddd")</x:f>
        <x:v>Sat</x:v>
      </x:c>
      <x:c r="AO6" s="149" t="str">
        <x:f>TEXT(AO5,"ddd")</x:f>
        <x:v>Sun</x:v>
      </x:c>
      <x:c r="AP6" s="65" t="str">
        <x:f>TEXT(AP5,"ddd")</x:f>
        <x:v>Mon</x:v>
      </x:c>
      <x:c r="AQ6" s="65" t="str">
        <x:f>TEXT(AQ5,"ddd")</x:f>
        <x:v>Tue</x:v>
      </x:c>
      <x:c r="AR6" s="153" t="str">
        <x:f>TEXT(AR5,"ddd")</x:f>
        <x:v>Wed</x:v>
      </x:c>
    </x:row>
    <x:row r="7" ht="22" customHeight="1">
      <x:c r="A7" s="101" t="str"/>
      <x:c r="B7" s="101" t="str">
        <x:v>Summary</x:v>
      </x:c>
      <x:c r="C7" s="102" t="str">
        <x:v>Governance, Policy &amp; Canonical State Initialization</x:v>
      </x:c>
      <x:c r="D7" s="103" t="n">
        <x:f>MIN(D8:D11)</x:f>
        <x:v>46276</x:v>
      </x:c>
      <x:c r="E7" s="103" t="n">
        <x:f>MAX(E8:E11)</x:f>
        <x:v>46279</x:v>
      </x:c>
      <x:c r="F7" s="101" t="n">
        <x:f>E7-D7+1</x:f>
        <x:v>4</x:v>
      </x:c>
      <x:c r="G7" s="102" t="str"/>
      <x:c r="H7" s="102" t="str"/>
      <x:c r="I7" s="104" t="n">
        <x:f>IFERROR(SUMPRODUCT(F8:F11,I8:I11)/SUM(F8:F11),0)</x:f>
        <x:v>1</x:v>
      </x:c>
      <x:c r="J7" s="101" t="str">
        <x:v>Complete</x:v>
      </x:c>
      <x:c r="K7" s="136" t="str">
        <x:f>IF(AND($B7="Milestone",K$5=$D7),"◆","")</x:f>
      </x:c>
      <x:c r="L7" s="136" t="str">
        <x:f>IF(AND($B7="Milestone",L$5=$D7),"◆","")</x:f>
      </x:c>
      <x:c r="M7" s="136" t="str">
        <x:f>IF(AND($B7="Milestone",M$5=$D7),"◆","")</x:f>
      </x:c>
      <x:c r="N7" s="136" t="str">
        <x:f>IF(AND($B7="Milestone",N$5=$D7),"◆","")</x:f>
      </x:c>
      <x:c r="O7" s="136" t="str">
        <x:f>IF(AND($B7="Milestone",O$5=$D7),"◆","")</x:f>
      </x:c>
      <x:c r="P7" s="136" t="str">
        <x:f>IF(AND($B7="Milestone",P$5=$D7),"◆","")</x:f>
      </x:c>
      <x:c r="Q7" s="136" t="str">
        <x:f>IF(AND($B7="Milestone",Q$5=$D7),"◆","")</x:f>
      </x:c>
      <x:c r="R7" s="136" t="str">
        <x:f>IF(AND($B7="Milestone",R$5=$D7),"◆","")</x:f>
      </x:c>
      <x:c r="S7" s="136" t="str">
        <x:f>IF(AND($B7="Milestone",S$5=$D7),"◆","")</x:f>
      </x:c>
      <x:c r="T7" s="136" t="str">
        <x:f>IF(AND($B7="Milestone",T$5=$D7),"◆","")</x:f>
      </x:c>
      <x:c r="U7" s="136" t="str">
        <x:f>IF(AND($B7="Milestone",U$5=$D7),"◆","")</x:f>
      </x:c>
      <x:c r="V7" s="136" t="str">
        <x:f>IF(AND($B7="Milestone",V$5=$D7),"◆","")</x:f>
      </x:c>
      <x:c r="W7" s="136" t="str">
        <x:f>IF(AND($B7="Milestone",W$5=$D7),"◆","")</x:f>
      </x:c>
      <x:c r="X7" s="136" t="str">
        <x:f>IF(AND($B7="Milestone",X$5=$D7),"◆","")</x:f>
      </x:c>
      <x:c r="Y7" s="136" t="str">
        <x:f>IF(AND($B7="Milestone",Y$5=$D7),"◆","")</x:f>
      </x:c>
      <x:c r="Z7" s="136" t="str">
        <x:f>IF(AND($B7="Milestone",Z$5=$D7),"◆","")</x:f>
      </x:c>
      <x:c r="AA7" s="136" t="str">
        <x:f>IF(AND($B7="Milestone",AA$5=$D7),"◆","")</x:f>
      </x:c>
      <x:c r="AB7" s="136" t="str">
        <x:f>IF(AND($B7="Milestone",AB$5=$D7),"◆","")</x:f>
      </x:c>
      <x:c r="AC7" s="136" t="str">
        <x:f>IF(AND($B7="Milestone",AC$5=$D7),"◆","")</x:f>
      </x:c>
      <x:c r="AD7" s="136" t="str">
        <x:f>IF(AND($B7="Milestone",AD$5=$D7),"◆","")</x:f>
      </x:c>
      <x:c r="AE7" s="136" t="str">
        <x:f>IF(AND($B7="Milestone",AE$5=$D7),"◆","")</x:f>
      </x:c>
      <x:c r="AF7" s="136" t="str">
        <x:f>IF(AND($B7="Milestone",AF$5=$D7),"◆","")</x:f>
      </x:c>
      <x:c r="AG7" s="136" t="str">
        <x:f>IF(AND($B7="Milestone",AG$5=$D7),"◆","")</x:f>
      </x:c>
      <x:c r="AH7" s="136" t="str">
        <x:f>IF(AND($B7="Milestone",AH$5=$D7),"◆","")</x:f>
      </x:c>
      <x:c r="AI7" s="136" t="str">
        <x:f>IF(AND($B7="Milestone",AI$5=$D7),"◆","")</x:f>
      </x:c>
      <x:c r="AJ7" s="136" t="str">
        <x:f>IF(AND($B7="Milestone",AJ$5=$D7),"◆","")</x:f>
      </x:c>
      <x:c r="AK7" s="136" t="str">
        <x:f>IF(AND($B7="Milestone",AK$5=$D7),"◆","")</x:f>
      </x:c>
      <x:c r="AL7" s="136" t="str">
        <x:f>IF(AND($B7="Milestone",AL$5=$D7),"◆","")</x:f>
      </x:c>
      <x:c r="AM7" s="136" t="str">
        <x:f>IF(AND($B7="Milestone",AM$5=$D7),"◆","")</x:f>
      </x:c>
      <x:c r="AN7" s="136" t="str">
        <x:f>IF(AND($B7="Milestone",AN$5=$D7),"◆","")</x:f>
      </x:c>
      <x:c r="AO7" s="136" t="str">
        <x:f>IF(AND($B7="Milestone",AO$5=$D7),"◆","")</x:f>
      </x:c>
      <x:c r="AP7" s="136" t="str">
        <x:f>IF(AND($B7="Milestone",AP$5=$D7),"◆","")</x:f>
      </x:c>
      <x:c r="AQ7" s="136" t="str">
        <x:f>IF(AND($B7="Milestone",AQ$5=$D7),"◆","")</x:f>
      </x:c>
      <x:c r="AR7" s="154" t="str">
        <x:f>IF(AND($B7="Milestone",AR$5=$D7),"◆","")</x:f>
      </x:c>
    </x:row>
    <x:row r="8" ht="26" customHeight="1">
      <x:c r="A8" s="90" t="str">
        <x:v>T01</x:v>
      </x:c>
      <x:c r="B8" s="90" t="str">
        <x:v>Task</x:v>
      </x:c>
      <x:c r="C8" s="88" t="str">
        <x:v>Define enterprise objectives, tenant scopes, and budget boundaries</x:v>
      </x:c>
      <x:c r="D8" s="92" t="n">
        <x:v>46276</x:v>
      </x:c>
      <x:c r="E8" s="92" t="n">
        <x:v>46277</x:v>
      </x:c>
      <x:c r="F8" s="90" t="n">
        <x:f>IF(OR(D8="",E8=""),"",E8-D8+1)</x:f>
        <x:v>2</x:v>
      </x:c>
      <x:c r="G8" s="88" t="str"/>
      <x:c r="H8" s="88" t="str">
        <x:v>Brand Stakeholder / Portfolio Owner</x:v>
      </x:c>
      <x:c r="I8" s="94" t="n">
        <x:v>1</x:v>
      </x:c>
      <x:c r="J8" s="90" t="str">
        <x:f>IF(COUNT(I8)=0,"",IF(I8&gt;=1,"Completed",IF(I8&gt;0,"In Progress","Not Started")))</x:f>
        <x:v>Completed</x:v>
      </x:c>
      <x:c r="K8" s="138" t="str">
        <x:f>IF(AND($B8="Milestone",K$5=$D8),"◆","")</x:f>
      </x:c>
      <x:c r="L8" s="138" t="str">
        <x:f>IF(AND($B8="Milestone",L$5=$D8),"◆","")</x:f>
      </x:c>
      <x:c r="M8" s="138" t="str">
        <x:f>IF(AND($B8="Milestone",M$5=$D8),"◆","")</x:f>
      </x:c>
      <x:c r="N8" s="138" t="str">
        <x:f>IF(AND($B8="Milestone",N$5=$D8),"◆","")</x:f>
      </x:c>
      <x:c r="O8" s="138" t="str">
        <x:f>IF(AND($B8="Milestone",O$5=$D8),"◆","")</x:f>
      </x:c>
      <x:c r="P8" s="138" t="str">
        <x:f>IF(AND($B8="Milestone",P$5=$D8),"◆","")</x:f>
      </x:c>
      <x:c r="Q8" s="138" t="str">
        <x:f>IF(AND($B8="Milestone",Q$5=$D8),"◆","")</x:f>
      </x:c>
      <x:c r="R8" s="138" t="str">
        <x:f>IF(AND($B8="Milestone",R$5=$D8),"◆","")</x:f>
      </x:c>
      <x:c r="S8" s="138" t="str">
        <x:f>IF(AND($B8="Milestone",S$5=$D8),"◆","")</x:f>
      </x:c>
      <x:c r="T8" s="138" t="str">
        <x:f>IF(AND($B8="Milestone",T$5=$D8),"◆","")</x:f>
      </x:c>
      <x:c r="U8" s="138" t="str">
        <x:f>IF(AND($B8="Milestone",U$5=$D8),"◆","")</x:f>
      </x:c>
      <x:c r="V8" s="138" t="str">
        <x:f>IF(AND($B8="Milestone",V$5=$D8),"◆","")</x:f>
      </x:c>
      <x:c r="W8" s="138" t="str">
        <x:f>IF(AND($B8="Milestone",W$5=$D8),"◆","")</x:f>
      </x:c>
      <x:c r="X8" s="138" t="str">
        <x:f>IF(AND($B8="Milestone",X$5=$D8),"◆","")</x:f>
      </x:c>
      <x:c r="Y8" s="138" t="str">
        <x:f>IF(AND($B8="Milestone",Y$5=$D8),"◆","")</x:f>
      </x:c>
      <x:c r="Z8" s="138" t="str">
        <x:f>IF(AND($B8="Milestone",Z$5=$D8),"◆","")</x:f>
      </x:c>
      <x:c r="AA8" s="138" t="str">
        <x:f>IF(AND($B8="Milestone",AA$5=$D8),"◆","")</x:f>
      </x:c>
      <x:c r="AB8" s="138" t="str">
        <x:f>IF(AND($B8="Milestone",AB$5=$D8),"◆","")</x:f>
      </x:c>
      <x:c r="AC8" s="138" t="str">
        <x:f>IF(AND($B8="Milestone",AC$5=$D8),"◆","")</x:f>
      </x:c>
      <x:c r="AD8" s="138" t="str">
        <x:f>IF(AND($B8="Milestone",AD$5=$D8),"◆","")</x:f>
      </x:c>
      <x:c r="AE8" s="138" t="str">
        <x:f>IF(AND($B8="Milestone",AE$5=$D8),"◆","")</x:f>
      </x:c>
      <x:c r="AF8" s="138" t="str">
        <x:f>IF(AND($B8="Milestone",AF$5=$D8),"◆","")</x:f>
      </x:c>
      <x:c r="AG8" s="138" t="str">
        <x:f>IF(AND($B8="Milestone",AG$5=$D8),"◆","")</x:f>
      </x:c>
      <x:c r="AH8" s="138" t="str">
        <x:f>IF(AND($B8="Milestone",AH$5=$D8),"◆","")</x:f>
      </x:c>
      <x:c r="AI8" s="138" t="str">
        <x:f>IF(AND($B8="Milestone",AI$5=$D8),"◆","")</x:f>
      </x:c>
      <x:c r="AJ8" s="138" t="str">
        <x:f>IF(AND($B8="Milestone",AJ$5=$D8),"◆","")</x:f>
      </x:c>
      <x:c r="AK8" s="138" t="str">
        <x:f>IF(AND($B8="Milestone",AK$5=$D8),"◆","")</x:f>
      </x:c>
      <x:c r="AL8" s="138" t="str">
        <x:f>IF(AND($B8="Milestone",AL$5=$D8),"◆","")</x:f>
      </x:c>
      <x:c r="AM8" s="138" t="str">
        <x:f>IF(AND($B8="Milestone",AM$5=$D8),"◆","")</x:f>
      </x:c>
      <x:c r="AN8" s="138" t="str">
        <x:f>IF(AND($B8="Milestone",AN$5=$D8),"◆","")</x:f>
      </x:c>
      <x:c r="AO8" s="138" t="str">
        <x:f>IF(AND($B8="Milestone",AO$5=$D8),"◆","")</x:f>
      </x:c>
      <x:c r="AP8" s="138" t="str">
        <x:f>IF(AND($B8="Milestone",AP$5=$D8),"◆","")</x:f>
      </x:c>
      <x:c r="AQ8" s="138" t="str">
        <x:f>IF(AND($B8="Milestone",AQ$5=$D8),"◆","")</x:f>
      </x:c>
      <x:c r="AR8" s="155" t="str">
        <x:f>IF(AND($B8="Milestone",AR$5=$D8),"◆","")</x:f>
      </x:c>
    </x:row>
    <x:row r="9" ht="26" customHeight="1">
      <x:c r="A9" s="90" t="str">
        <x:v>T02</x:v>
      </x:c>
      <x:c r="B9" s="90" t="str">
        <x:v>Task</x:v>
      </x:c>
      <x:c r="C9" s="88" t="str">
        <x:v>Configure machine-readable policy rules, autonomy tiers, and claim limits</x:v>
      </x:c>
      <x:c r="D9" s="92" t="n">
        <x:v>46276</x:v>
      </x:c>
      <x:c r="E9" s="92" t="n">
        <x:v>46277</x:v>
      </x:c>
      <x:c r="F9" s="90" t="n">
        <x:f>IF(OR(D9="",E9=""),"",E9-D9+1)</x:f>
        <x:v>2</x:v>
      </x:c>
      <x:c r="G9" s="88" t="str"/>
      <x:c r="H9" s="88" t="str">
        <x:v>Enterprise Policy Engine</x:v>
      </x:c>
      <x:c r="I9" s="94" t="n">
        <x:v>1</x:v>
      </x:c>
      <x:c r="J9" s="90" t="str">
        <x:f>IF(COUNT(I9)=0,"",IF(I9&gt;=1,"Completed",IF(I9&gt;0,"In Progress","Not Started")))</x:f>
        <x:v>Completed</x:v>
      </x:c>
      <x:c r="K9" s="138" t="str">
        <x:f>IF(AND($B9="Milestone",K$5=$D9),"◆","")</x:f>
      </x:c>
      <x:c r="L9" s="138" t="str">
        <x:f>IF(AND($B9="Milestone",L$5=$D9),"◆","")</x:f>
      </x:c>
      <x:c r="M9" s="138" t="str">
        <x:f>IF(AND($B9="Milestone",M$5=$D9),"◆","")</x:f>
      </x:c>
      <x:c r="N9" s="138" t="str">
        <x:f>IF(AND($B9="Milestone",N$5=$D9),"◆","")</x:f>
      </x:c>
      <x:c r="O9" s="138" t="str">
        <x:f>IF(AND($B9="Milestone",O$5=$D9),"◆","")</x:f>
      </x:c>
      <x:c r="P9" s="138" t="str">
        <x:f>IF(AND($B9="Milestone",P$5=$D9),"◆","")</x:f>
      </x:c>
      <x:c r="Q9" s="138" t="str">
        <x:f>IF(AND($B9="Milestone",Q$5=$D9),"◆","")</x:f>
      </x:c>
      <x:c r="R9" s="138" t="str">
        <x:f>IF(AND($B9="Milestone",R$5=$D9),"◆","")</x:f>
      </x:c>
      <x:c r="S9" s="138" t="str">
        <x:f>IF(AND($B9="Milestone",S$5=$D9),"◆","")</x:f>
      </x:c>
      <x:c r="T9" s="138" t="str">
        <x:f>IF(AND($B9="Milestone",T$5=$D9),"◆","")</x:f>
      </x:c>
      <x:c r="U9" s="138" t="str">
        <x:f>IF(AND($B9="Milestone",U$5=$D9),"◆","")</x:f>
      </x:c>
      <x:c r="V9" s="138" t="str">
        <x:f>IF(AND($B9="Milestone",V$5=$D9),"◆","")</x:f>
      </x:c>
      <x:c r="W9" s="138" t="str">
        <x:f>IF(AND($B9="Milestone",W$5=$D9),"◆","")</x:f>
      </x:c>
      <x:c r="X9" s="138" t="str">
        <x:f>IF(AND($B9="Milestone",X$5=$D9),"◆","")</x:f>
      </x:c>
      <x:c r="Y9" s="138" t="str">
        <x:f>IF(AND($B9="Milestone",Y$5=$D9),"◆","")</x:f>
      </x:c>
      <x:c r="Z9" s="138" t="str">
        <x:f>IF(AND($B9="Milestone",Z$5=$D9),"◆","")</x:f>
      </x:c>
      <x:c r="AA9" s="138" t="str">
        <x:f>IF(AND($B9="Milestone",AA$5=$D9),"◆","")</x:f>
      </x:c>
      <x:c r="AB9" s="138" t="str">
        <x:f>IF(AND($B9="Milestone",AB$5=$D9),"◆","")</x:f>
      </x:c>
      <x:c r="AC9" s="138" t="str">
        <x:f>IF(AND($B9="Milestone",AC$5=$D9),"◆","")</x:f>
      </x:c>
      <x:c r="AD9" s="138" t="str">
        <x:f>IF(AND($B9="Milestone",AD$5=$D9),"◆","")</x:f>
      </x:c>
      <x:c r="AE9" s="138" t="str">
        <x:f>IF(AND($B9="Milestone",AE$5=$D9),"◆","")</x:f>
      </x:c>
      <x:c r="AF9" s="138" t="str">
        <x:f>IF(AND($B9="Milestone",AF$5=$D9),"◆","")</x:f>
      </x:c>
      <x:c r="AG9" s="138" t="str">
        <x:f>IF(AND($B9="Milestone",AG$5=$D9),"◆","")</x:f>
      </x:c>
      <x:c r="AH9" s="138" t="str">
        <x:f>IF(AND($B9="Milestone",AH$5=$D9),"◆","")</x:f>
      </x:c>
      <x:c r="AI9" s="138" t="str">
        <x:f>IF(AND($B9="Milestone",AI$5=$D9),"◆","")</x:f>
      </x:c>
      <x:c r="AJ9" s="138" t="str">
        <x:f>IF(AND($B9="Milestone",AJ$5=$D9),"◆","")</x:f>
      </x:c>
      <x:c r="AK9" s="138" t="str">
        <x:f>IF(AND($B9="Milestone",AK$5=$D9),"◆","")</x:f>
      </x:c>
      <x:c r="AL9" s="138" t="str">
        <x:f>IF(AND($B9="Milestone",AL$5=$D9),"◆","")</x:f>
      </x:c>
      <x:c r="AM9" s="138" t="str">
        <x:f>IF(AND($B9="Milestone",AM$5=$D9),"◆","")</x:f>
      </x:c>
      <x:c r="AN9" s="138" t="str">
        <x:f>IF(AND($B9="Milestone",AN$5=$D9),"◆","")</x:f>
      </x:c>
      <x:c r="AO9" s="138" t="str">
        <x:f>IF(AND($B9="Milestone",AO$5=$D9),"◆","")</x:f>
      </x:c>
      <x:c r="AP9" s="138" t="str">
        <x:f>IF(AND($B9="Milestone",AP$5=$D9),"◆","")</x:f>
      </x:c>
      <x:c r="AQ9" s="138" t="str">
        <x:f>IF(AND($B9="Milestone",AQ$5=$D9),"◆","")</x:f>
      </x:c>
      <x:c r="AR9" s="155" t="str">
        <x:f>IF(AND($B9="Milestone",AR$5=$D9),"◆","")</x:f>
      </x:c>
    </x:row>
    <x:row r="10" ht="26" customHeight="1">
      <x:c r="A10" s="90" t="str">
        <x:v>T03</x:v>
      </x:c>
      <x:c r="B10" s="90" t="str">
        <x:v>Task</x:v>
      </x:c>
      <x:c r="C10" s="88" t="str">
        <x:v>Establish Policy &amp; Authorization Boundary (PAB) evaluation rules</x:v>
      </x:c>
      <x:c r="D10" s="92" t="n">
        <x:v>46277</x:v>
      </x:c>
      <x:c r="E10" s="92" t="n">
        <x:v>46279</x:v>
      </x:c>
      <x:c r="F10" s="90" t="n">
        <x:f>IF(OR(D10="",E10=""),"",E10-D10+1)</x:f>
        <x:v>3</x:v>
      </x:c>
      <x:c r="G10" s="88" t="str">
        <x:v>T01, T02 (FS)</x:v>
      </x:c>
      <x:c r="H10" s="88" t="str">
        <x:v>Policy &amp; Authorization Boundary (PAB)</x:v>
      </x:c>
      <x:c r="I10" s="94" t="n">
        <x:v>1</x:v>
      </x:c>
      <x:c r="J10" s="90" t="str">
        <x:f>IF(COUNT(I10)=0,"",IF(I10&gt;=1,"Completed",IF(I10&gt;0,"In Progress","Not Started")))</x:f>
        <x:v>Completed</x:v>
      </x:c>
      <x:c r="K10" s="138" t="str">
        <x:f>IF(AND($B10="Milestone",K$5=$D10),"◆","")</x:f>
      </x:c>
      <x:c r="L10" s="138" t="str">
        <x:f>IF(AND($B10="Milestone",L$5=$D10),"◆","")</x:f>
      </x:c>
      <x:c r="M10" s="138" t="str">
        <x:f>IF(AND($B10="Milestone",M$5=$D10),"◆","")</x:f>
      </x:c>
      <x:c r="N10" s="138" t="str">
        <x:f>IF(AND($B10="Milestone",N$5=$D10),"◆","")</x:f>
      </x:c>
      <x:c r="O10" s="138" t="str">
        <x:f>IF(AND($B10="Milestone",O$5=$D10),"◆","")</x:f>
      </x:c>
      <x:c r="P10" s="138" t="str">
        <x:f>IF(AND($B10="Milestone",P$5=$D10),"◆","")</x:f>
      </x:c>
      <x:c r="Q10" s="138" t="str">
        <x:f>IF(AND($B10="Milestone",Q$5=$D10),"◆","")</x:f>
      </x:c>
      <x:c r="R10" s="138" t="str">
        <x:f>IF(AND($B10="Milestone",R$5=$D10),"◆","")</x:f>
      </x:c>
      <x:c r="S10" s="138" t="str">
        <x:f>IF(AND($B10="Milestone",S$5=$D10),"◆","")</x:f>
      </x:c>
      <x:c r="T10" s="138" t="str">
        <x:f>IF(AND($B10="Milestone",T$5=$D10),"◆","")</x:f>
      </x:c>
      <x:c r="U10" s="138" t="str">
        <x:f>IF(AND($B10="Milestone",U$5=$D10),"◆","")</x:f>
      </x:c>
      <x:c r="V10" s="138" t="str">
        <x:f>IF(AND($B10="Milestone",V$5=$D10),"◆","")</x:f>
      </x:c>
      <x:c r="W10" s="138" t="str">
        <x:f>IF(AND($B10="Milestone",W$5=$D10),"◆","")</x:f>
      </x:c>
      <x:c r="X10" s="138" t="str">
        <x:f>IF(AND($B10="Milestone",X$5=$D10),"◆","")</x:f>
      </x:c>
      <x:c r="Y10" s="138" t="str">
        <x:f>IF(AND($B10="Milestone",Y$5=$D10),"◆","")</x:f>
      </x:c>
      <x:c r="Z10" s="138" t="str">
        <x:f>IF(AND($B10="Milestone",Z$5=$D10),"◆","")</x:f>
      </x:c>
      <x:c r="AA10" s="138" t="str">
        <x:f>IF(AND($B10="Milestone",AA$5=$D10),"◆","")</x:f>
      </x:c>
      <x:c r="AB10" s="138" t="str">
        <x:f>IF(AND($B10="Milestone",AB$5=$D10),"◆","")</x:f>
      </x:c>
      <x:c r="AC10" s="138" t="str">
        <x:f>IF(AND($B10="Milestone",AC$5=$D10),"◆","")</x:f>
      </x:c>
      <x:c r="AD10" s="138" t="str">
        <x:f>IF(AND($B10="Milestone",AD$5=$D10),"◆","")</x:f>
      </x:c>
      <x:c r="AE10" s="138" t="str">
        <x:f>IF(AND($B10="Milestone",AE$5=$D10),"◆","")</x:f>
      </x:c>
      <x:c r="AF10" s="138" t="str">
        <x:f>IF(AND($B10="Milestone",AF$5=$D10),"◆","")</x:f>
      </x:c>
      <x:c r="AG10" s="138" t="str">
        <x:f>IF(AND($B10="Milestone",AG$5=$D10),"◆","")</x:f>
      </x:c>
      <x:c r="AH10" s="138" t="str">
        <x:f>IF(AND($B10="Milestone",AH$5=$D10),"◆","")</x:f>
      </x:c>
      <x:c r="AI10" s="138" t="str">
        <x:f>IF(AND($B10="Milestone",AI$5=$D10),"◆","")</x:f>
      </x:c>
      <x:c r="AJ10" s="138" t="str">
        <x:f>IF(AND($B10="Milestone",AJ$5=$D10),"◆","")</x:f>
      </x:c>
      <x:c r="AK10" s="138" t="str">
        <x:f>IF(AND($B10="Milestone",AK$5=$D10),"◆","")</x:f>
      </x:c>
      <x:c r="AL10" s="138" t="str">
        <x:f>IF(AND($B10="Milestone",AL$5=$D10),"◆","")</x:f>
      </x:c>
      <x:c r="AM10" s="138" t="str">
        <x:f>IF(AND($B10="Milestone",AM$5=$D10),"◆","")</x:f>
      </x:c>
      <x:c r="AN10" s="138" t="str">
        <x:f>IF(AND($B10="Milestone",AN$5=$D10),"◆","")</x:f>
      </x:c>
      <x:c r="AO10" s="138" t="str">
        <x:f>IF(AND($B10="Milestone",AO$5=$D10),"◆","")</x:f>
      </x:c>
      <x:c r="AP10" s="138" t="str">
        <x:f>IF(AND($B10="Milestone",AP$5=$D10),"◆","")</x:f>
      </x:c>
      <x:c r="AQ10" s="138" t="str">
        <x:f>IF(AND($B10="Milestone",AQ$5=$D10),"◆","")</x:f>
      </x:c>
      <x:c r="AR10" s="155" t="str">
        <x:f>IF(AND($B10="Milestone",AR$5=$D10),"◆","")</x:f>
      </x:c>
    </x:row>
    <x:row r="11" ht="26" customHeight="1">
      <x:c r="A11" s="90" t="str">
        <x:v>T04</x:v>
      </x:c>
      <x:c r="B11" s="90" t="str">
        <x:v>Task</x:v>
      </x:c>
      <x:c r="C11" s="88" t="str">
        <x:v>Initialize Canonical Task State Machine (CTS) and DAG execution schema</x:v>
      </x:c>
      <x:c r="D11" s="92" t="n">
        <x:v>46277</x:v>
      </x:c>
      <x:c r="E11" s="92" t="n">
        <x:v>46279</x:v>
      </x:c>
      <x:c r="F11" s="90" t="n">
        <x:f>IF(OR(D11="",E11=""),"",E11-D11+1)</x:f>
        <x:v>3</x:v>
      </x:c>
      <x:c r="G11" s="88" t="str">
        <x:v>T01 (FS)</x:v>
      </x:c>
      <x:c r="H11" s="88" t="str">
        <x:v>Canonical Task State Machine (CTS)</x:v>
      </x:c>
      <x:c r="I11" s="94" t="n">
        <x:v>1</x:v>
      </x:c>
      <x:c r="J11" s="90" t="str">
        <x:f>IF(COUNT(I11)=0,"",IF(I11&gt;=1,"Completed",IF(I11&gt;0,"In Progress","Not Started")))</x:f>
        <x:v>Completed</x:v>
      </x:c>
      <x:c r="K11" s="138" t="str">
        <x:f>IF(AND($B11="Milestone",K$5=$D11),"◆","")</x:f>
      </x:c>
      <x:c r="L11" s="138" t="str">
        <x:f>IF(AND($B11="Milestone",L$5=$D11),"◆","")</x:f>
      </x:c>
      <x:c r="M11" s="138" t="str">
        <x:f>IF(AND($B11="Milestone",M$5=$D11),"◆","")</x:f>
      </x:c>
      <x:c r="N11" s="138" t="str">
        <x:f>IF(AND($B11="Milestone",N$5=$D11),"◆","")</x:f>
      </x:c>
      <x:c r="O11" s="138" t="str">
        <x:f>IF(AND($B11="Milestone",O$5=$D11),"◆","")</x:f>
      </x:c>
      <x:c r="P11" s="138" t="str">
        <x:f>IF(AND($B11="Milestone",P$5=$D11),"◆","")</x:f>
      </x:c>
      <x:c r="Q11" s="138" t="str">
        <x:f>IF(AND($B11="Milestone",Q$5=$D11),"◆","")</x:f>
      </x:c>
      <x:c r="R11" s="138" t="str">
        <x:f>IF(AND($B11="Milestone",R$5=$D11),"◆","")</x:f>
      </x:c>
      <x:c r="S11" s="138" t="str">
        <x:f>IF(AND($B11="Milestone",S$5=$D11),"◆","")</x:f>
      </x:c>
      <x:c r="T11" s="138" t="str">
        <x:f>IF(AND($B11="Milestone",T$5=$D11),"◆","")</x:f>
      </x:c>
      <x:c r="U11" s="138" t="str">
        <x:f>IF(AND($B11="Milestone",U$5=$D11),"◆","")</x:f>
      </x:c>
      <x:c r="V11" s="138" t="str">
        <x:f>IF(AND($B11="Milestone",V$5=$D11),"◆","")</x:f>
      </x:c>
      <x:c r="W11" s="138" t="str">
        <x:f>IF(AND($B11="Milestone",W$5=$D11),"◆","")</x:f>
      </x:c>
      <x:c r="X11" s="138" t="str">
        <x:f>IF(AND($B11="Milestone",X$5=$D11),"◆","")</x:f>
      </x:c>
      <x:c r="Y11" s="138" t="str">
        <x:f>IF(AND($B11="Milestone",Y$5=$D11),"◆","")</x:f>
      </x:c>
      <x:c r="Z11" s="138" t="str">
        <x:f>IF(AND($B11="Milestone",Z$5=$D11),"◆","")</x:f>
      </x:c>
      <x:c r="AA11" s="138" t="str">
        <x:f>IF(AND($B11="Milestone",AA$5=$D11),"◆","")</x:f>
      </x:c>
      <x:c r="AB11" s="138" t="str">
        <x:f>IF(AND($B11="Milestone",AB$5=$D11),"◆","")</x:f>
      </x:c>
      <x:c r="AC11" s="138" t="str">
        <x:f>IF(AND($B11="Milestone",AC$5=$D11),"◆","")</x:f>
      </x:c>
      <x:c r="AD11" s="138" t="str">
        <x:f>IF(AND($B11="Milestone",AD$5=$D11),"◆","")</x:f>
      </x:c>
      <x:c r="AE11" s="138" t="str">
        <x:f>IF(AND($B11="Milestone",AE$5=$D11),"◆","")</x:f>
      </x:c>
      <x:c r="AF11" s="138" t="str">
        <x:f>IF(AND($B11="Milestone",AF$5=$D11),"◆","")</x:f>
      </x:c>
      <x:c r="AG11" s="138" t="str">
        <x:f>IF(AND($B11="Milestone",AG$5=$D11),"◆","")</x:f>
      </x:c>
      <x:c r="AH11" s="138" t="str">
        <x:f>IF(AND($B11="Milestone",AH$5=$D11),"◆","")</x:f>
      </x:c>
      <x:c r="AI11" s="138" t="str">
        <x:f>IF(AND($B11="Milestone",AI$5=$D11),"◆","")</x:f>
      </x:c>
      <x:c r="AJ11" s="138" t="str">
        <x:f>IF(AND($B11="Milestone",AJ$5=$D11),"◆","")</x:f>
      </x:c>
      <x:c r="AK11" s="138" t="str">
        <x:f>IF(AND($B11="Milestone",AK$5=$D11),"◆","")</x:f>
      </x:c>
      <x:c r="AL11" s="138" t="str">
        <x:f>IF(AND($B11="Milestone",AL$5=$D11),"◆","")</x:f>
      </x:c>
      <x:c r="AM11" s="138" t="str">
        <x:f>IF(AND($B11="Milestone",AM$5=$D11),"◆","")</x:f>
      </x:c>
      <x:c r="AN11" s="138" t="str">
        <x:f>IF(AND($B11="Milestone",AN$5=$D11),"◆","")</x:f>
      </x:c>
      <x:c r="AO11" s="138" t="str">
        <x:f>IF(AND($B11="Milestone",AO$5=$D11),"◆","")</x:f>
      </x:c>
      <x:c r="AP11" s="138" t="str">
        <x:f>IF(AND($B11="Milestone",AP$5=$D11),"◆","")</x:f>
      </x:c>
      <x:c r="AQ11" s="138" t="str">
        <x:f>IF(AND($B11="Milestone",AQ$5=$D11),"◆","")</x:f>
      </x:c>
      <x:c r="AR11" s="155" t="str">
        <x:f>IF(AND($B11="Milestone",AR$5=$D11),"◆","")</x:f>
      </x:c>
    </x:row>
    <x:row r="12" ht="22" customHeight="1">
      <x:c r="A12" s="122" t="str">
        <x:v>M1</x:v>
      </x:c>
      <x:c r="B12" s="122" t="str">
        <x:v>Milestone</x:v>
      </x:c>
      <x:c r="C12" s="123" t="str">
        <x:v>Governance, Policy &amp; Canonical State Initialization</x:v>
      </x:c>
      <x:c r="D12" s="124" t="n">
        <x:v>46279</x:v>
      </x:c>
      <x:c r="E12" s="124" t="n">
        <x:v>46279</x:v>
      </x:c>
      <x:c r="F12" s="122" t="n">
        <x:f>IF(OR(D12="",E12=""),"",0)</x:f>
        <x:v>0</x:v>
      </x:c>
      <x:c r="G12" s="123" t="str">
        <x:v>Linked: T01, T02, T03, T04</x:v>
      </x:c>
      <x:c r="H12" s="123" t="str"/>
      <x:c r="I12" s="125"/>
      <x:c r="J12" s="122" t="str">
        <x:v>Complete</x:v>
      </x:c>
      <x:c r="K12" s="138" t="str">
        <x:f>IF(AND($B12="Milestone",K$5=$D12),"◆","")</x:f>
      </x:c>
      <x:c r="L12" s="138" t="str">
        <x:f>IF(AND($B12="Milestone",L$5=$D12),"◆","")</x:f>
      </x:c>
      <x:c r="M12" s="138" t="str">
        <x:f>IF(AND($B12="Milestone",M$5=$D12),"◆","")</x:f>
      </x:c>
      <x:c r="N12" s="138" t="str">
        <x:f>IF(AND($B12="Milestone",N$5=$D12),"◆","")</x:f>
        <x:v>◆</x:v>
      </x:c>
      <x:c r="O12" s="138" t="str">
        <x:f>IF(AND($B12="Milestone",O$5=$D12),"◆","")</x:f>
      </x:c>
      <x:c r="P12" s="138" t="str">
        <x:f>IF(AND($B12="Milestone",P$5=$D12),"◆","")</x:f>
      </x:c>
      <x:c r="Q12" s="138" t="str">
        <x:f>IF(AND($B12="Milestone",Q$5=$D12),"◆","")</x:f>
      </x:c>
      <x:c r="R12" s="138" t="str">
        <x:f>IF(AND($B12="Milestone",R$5=$D12),"◆","")</x:f>
      </x:c>
      <x:c r="S12" s="138" t="str">
        <x:f>IF(AND($B12="Milestone",S$5=$D12),"◆","")</x:f>
      </x:c>
      <x:c r="T12" s="138" t="str">
        <x:f>IF(AND($B12="Milestone",T$5=$D12),"◆","")</x:f>
      </x:c>
      <x:c r="U12" s="138" t="str">
        <x:f>IF(AND($B12="Milestone",U$5=$D12),"◆","")</x:f>
      </x:c>
      <x:c r="V12" s="138" t="str">
        <x:f>IF(AND($B12="Milestone",V$5=$D12),"◆","")</x:f>
      </x:c>
      <x:c r="W12" s="138" t="str">
        <x:f>IF(AND($B12="Milestone",W$5=$D12),"◆","")</x:f>
      </x:c>
      <x:c r="X12" s="138" t="str">
        <x:f>IF(AND($B12="Milestone",X$5=$D12),"◆","")</x:f>
      </x:c>
      <x:c r="Y12" s="138" t="str">
        <x:f>IF(AND($B12="Milestone",Y$5=$D12),"◆","")</x:f>
      </x:c>
      <x:c r="Z12" s="138" t="str">
        <x:f>IF(AND($B12="Milestone",Z$5=$D12),"◆","")</x:f>
      </x:c>
      <x:c r="AA12" s="138" t="str">
        <x:f>IF(AND($B12="Milestone",AA$5=$D12),"◆","")</x:f>
      </x:c>
      <x:c r="AB12" s="138" t="str">
        <x:f>IF(AND($B12="Milestone",AB$5=$D12),"◆","")</x:f>
      </x:c>
      <x:c r="AC12" s="138" t="str">
        <x:f>IF(AND($B12="Milestone",AC$5=$D12),"◆","")</x:f>
      </x:c>
      <x:c r="AD12" s="138" t="str">
        <x:f>IF(AND($B12="Milestone",AD$5=$D12),"◆","")</x:f>
      </x:c>
      <x:c r="AE12" s="138" t="str">
        <x:f>IF(AND($B12="Milestone",AE$5=$D12),"◆","")</x:f>
      </x:c>
      <x:c r="AF12" s="138" t="str">
        <x:f>IF(AND($B12="Milestone",AF$5=$D12),"◆","")</x:f>
      </x:c>
      <x:c r="AG12" s="138" t="str">
        <x:f>IF(AND($B12="Milestone",AG$5=$D12),"◆","")</x:f>
      </x:c>
      <x:c r="AH12" s="138" t="str">
        <x:f>IF(AND($B12="Milestone",AH$5=$D12),"◆","")</x:f>
      </x:c>
      <x:c r="AI12" s="138" t="str">
        <x:f>IF(AND($B12="Milestone",AI$5=$D12),"◆","")</x:f>
      </x:c>
      <x:c r="AJ12" s="138" t="str">
        <x:f>IF(AND($B12="Milestone",AJ$5=$D12),"◆","")</x:f>
      </x:c>
      <x:c r="AK12" s="138" t="str">
        <x:f>IF(AND($B12="Milestone",AK$5=$D12),"◆","")</x:f>
      </x:c>
      <x:c r="AL12" s="138" t="str">
        <x:f>IF(AND($B12="Milestone",AL$5=$D12),"◆","")</x:f>
      </x:c>
      <x:c r="AM12" s="138" t="str">
        <x:f>IF(AND($B12="Milestone",AM$5=$D12),"◆","")</x:f>
      </x:c>
      <x:c r="AN12" s="138" t="str">
        <x:f>IF(AND($B12="Milestone",AN$5=$D12),"◆","")</x:f>
      </x:c>
      <x:c r="AO12" s="138" t="str">
        <x:f>IF(AND($B12="Milestone",AO$5=$D12),"◆","")</x:f>
      </x:c>
      <x:c r="AP12" s="138" t="str">
        <x:f>IF(AND($B12="Milestone",AP$5=$D12),"◆","")</x:f>
      </x:c>
      <x:c r="AQ12" s="138" t="str">
        <x:f>IF(AND($B12="Milestone",AQ$5=$D12),"◆","")</x:f>
      </x:c>
      <x:c r="AR12" s="155" t="str">
        <x:f>IF(AND($B12="Milestone",AR$5=$D12),"◆","")</x:f>
      </x:c>
    </x:row>
    <x:row r="13" ht="22" customHeight="1">
      <x:c r="A13" s="101" t="str"/>
      <x:c r="B13" s="101" t="str">
        <x:v>Summary</x:v>
      </x:c>
      <x:c r="C13" s="102" t="str">
        <x:v>Governed Data Plane &amp; Central Storage Integration (Model A)</x:v>
      </x:c>
      <x:c r="D13" s="103" t="n">
        <x:f>MIN(D14:D19)</x:f>
        <x:v>46279</x:v>
      </x:c>
      <x:c r="E13" s="103" t="n">
        <x:f>MAX(E14:E19)</x:f>
        <x:v>46284</x:v>
      </x:c>
      <x:c r="F13" s="101" t="n">
        <x:f>E13-D13+1</x:f>
        <x:v>6</x:v>
      </x:c>
      <x:c r="G13" s="102" t="str"/>
      <x:c r="H13" s="102" t="str"/>
      <x:c r="I13" s="104" t="n">
        <x:f>IFERROR(SUMPRODUCT(F14:F19,I14:I19)/SUM(F14:F19),0)</x:f>
        <x:v>1</x:v>
      </x:c>
      <x:c r="J13" s="101" t="str">
        <x:v>Complete</x:v>
      </x:c>
      <x:c r="K13" s="136" t="str">
        <x:f>IF(AND($B13="Milestone",K$5=$D13),"◆","")</x:f>
      </x:c>
      <x:c r="L13" s="136" t="str">
        <x:f>IF(AND($B13="Milestone",L$5=$D13),"◆","")</x:f>
      </x:c>
      <x:c r="M13" s="136" t="str">
        <x:f>IF(AND($B13="Milestone",M$5=$D13),"◆","")</x:f>
      </x:c>
      <x:c r="N13" s="136" t="str">
        <x:f>IF(AND($B13="Milestone",N$5=$D13),"◆","")</x:f>
      </x:c>
      <x:c r="O13" s="136" t="str">
        <x:f>IF(AND($B13="Milestone",O$5=$D13),"◆","")</x:f>
      </x:c>
      <x:c r="P13" s="136" t="str">
        <x:f>IF(AND($B13="Milestone",P$5=$D13),"◆","")</x:f>
      </x:c>
      <x:c r="Q13" s="136" t="str">
        <x:f>IF(AND($B13="Milestone",Q$5=$D13),"◆","")</x:f>
      </x:c>
      <x:c r="R13" s="136" t="str">
        <x:f>IF(AND($B13="Milestone",R$5=$D13),"◆","")</x:f>
      </x:c>
      <x:c r="S13" s="136" t="str">
        <x:f>IF(AND($B13="Milestone",S$5=$D13),"◆","")</x:f>
      </x:c>
      <x:c r="T13" s="136" t="str">
        <x:f>IF(AND($B13="Milestone",T$5=$D13),"◆","")</x:f>
      </x:c>
      <x:c r="U13" s="136" t="str">
        <x:f>IF(AND($B13="Milestone",U$5=$D13),"◆","")</x:f>
      </x:c>
      <x:c r="V13" s="136" t="str">
        <x:f>IF(AND($B13="Milestone",V$5=$D13),"◆","")</x:f>
      </x:c>
      <x:c r="W13" s="136" t="str">
        <x:f>IF(AND($B13="Milestone",W$5=$D13),"◆","")</x:f>
      </x:c>
      <x:c r="X13" s="136" t="str">
        <x:f>IF(AND($B13="Milestone",X$5=$D13),"◆","")</x:f>
      </x:c>
      <x:c r="Y13" s="136" t="str">
        <x:f>IF(AND($B13="Milestone",Y$5=$D13),"◆","")</x:f>
      </x:c>
      <x:c r="Z13" s="136" t="str">
        <x:f>IF(AND($B13="Milestone",Z$5=$D13),"◆","")</x:f>
      </x:c>
      <x:c r="AA13" s="136" t="str">
        <x:f>IF(AND($B13="Milestone",AA$5=$D13),"◆","")</x:f>
      </x:c>
      <x:c r="AB13" s="136" t="str">
        <x:f>IF(AND($B13="Milestone",AB$5=$D13),"◆","")</x:f>
      </x:c>
      <x:c r="AC13" s="136" t="str">
        <x:f>IF(AND($B13="Milestone",AC$5=$D13),"◆","")</x:f>
      </x:c>
      <x:c r="AD13" s="136" t="str">
        <x:f>IF(AND($B13="Milestone",AD$5=$D13),"◆","")</x:f>
      </x:c>
      <x:c r="AE13" s="136" t="str">
        <x:f>IF(AND($B13="Milestone",AE$5=$D13),"◆","")</x:f>
      </x:c>
      <x:c r="AF13" s="136" t="str">
        <x:f>IF(AND($B13="Milestone",AF$5=$D13),"◆","")</x:f>
      </x:c>
      <x:c r="AG13" s="136" t="str">
        <x:f>IF(AND($B13="Milestone",AG$5=$D13),"◆","")</x:f>
      </x:c>
      <x:c r="AH13" s="136" t="str">
        <x:f>IF(AND($B13="Milestone",AH$5=$D13),"◆","")</x:f>
      </x:c>
      <x:c r="AI13" s="136" t="str">
        <x:f>IF(AND($B13="Milestone",AI$5=$D13),"◆","")</x:f>
      </x:c>
      <x:c r="AJ13" s="136" t="str">
        <x:f>IF(AND($B13="Milestone",AJ$5=$D13),"◆","")</x:f>
      </x:c>
      <x:c r="AK13" s="136" t="str">
        <x:f>IF(AND($B13="Milestone",AK$5=$D13),"◆","")</x:f>
      </x:c>
      <x:c r="AL13" s="136" t="str">
        <x:f>IF(AND($B13="Milestone",AL$5=$D13),"◆","")</x:f>
      </x:c>
      <x:c r="AM13" s="136" t="str">
        <x:f>IF(AND($B13="Milestone",AM$5=$D13),"◆","")</x:f>
      </x:c>
      <x:c r="AN13" s="136" t="str">
        <x:f>IF(AND($B13="Milestone",AN$5=$D13),"◆","")</x:f>
      </x:c>
      <x:c r="AO13" s="136" t="str">
        <x:f>IF(AND($B13="Milestone",AO$5=$D13),"◆","")</x:f>
      </x:c>
      <x:c r="AP13" s="136" t="str">
        <x:f>IF(AND($B13="Milestone",AP$5=$D13),"◆","")</x:f>
      </x:c>
      <x:c r="AQ13" s="136" t="str">
        <x:f>IF(AND($B13="Milestone",AQ$5=$D13),"◆","")</x:f>
      </x:c>
      <x:c r="AR13" s="154" t="str">
        <x:f>IF(AND($B13="Milestone",AR$5=$D13),"◆","")</x:f>
      </x:c>
    </x:row>
    <x:row r="14" ht="26" customHeight="1">
      <x:c r="A14" s="90" t="str">
        <x:v>T05</x:v>
      </x:c>
      <x:c r="B14" s="90" t="str">
        <x:v>Task</x:v>
      </x:c>
      <x:c r="C14" s="88" t="str">
        <x:v>Provision Central Enterprise Database (CDB) relational tables &amp; vector stores</x:v>
      </x:c>
      <x:c r="D14" s="92" t="n">
        <x:v>46279</x:v>
      </x:c>
      <x:c r="E14" s="92" t="n">
        <x:v>46281</x:v>
      </x:c>
      <x:c r="F14" s="90" t="n">
        <x:f>IF(OR(D14="",E14=""),"",E14-D14+1)</x:f>
        <x:v>3</x:v>
      </x:c>
      <x:c r="G14" s="88" t="str">
        <x:v>T04 (FS)</x:v>
      </x:c>
      <x:c r="H14" s="88" t="str">
        <x:v>Central Enterprise Database (CDB)</x:v>
      </x:c>
      <x:c r="I14" s="94" t="n">
        <x:v>1</x:v>
      </x:c>
      <x:c r="J14" s="90" t="str">
        <x:f>IF(COUNT(I14)=0,"",IF(I14&gt;=1,"Completed",IF(I14&gt;0,"In Progress","Not Started")))</x:f>
        <x:v>Completed</x:v>
      </x:c>
      <x:c r="K14" s="138" t="str">
        <x:f>IF(AND($B14="Milestone",K$5=$D14),"◆","")</x:f>
      </x:c>
      <x:c r="L14" s="138" t="str">
        <x:f>IF(AND($B14="Milestone",L$5=$D14),"◆","")</x:f>
      </x:c>
      <x:c r="M14" s="138" t="str">
        <x:f>IF(AND($B14="Milestone",M$5=$D14),"◆","")</x:f>
      </x:c>
      <x:c r="N14" s="138" t="str">
        <x:f>IF(AND($B14="Milestone",N$5=$D14),"◆","")</x:f>
      </x:c>
      <x:c r="O14" s="138" t="str">
        <x:f>IF(AND($B14="Milestone",O$5=$D14),"◆","")</x:f>
      </x:c>
      <x:c r="P14" s="138" t="str">
        <x:f>IF(AND($B14="Milestone",P$5=$D14),"◆","")</x:f>
      </x:c>
      <x:c r="Q14" s="138" t="str">
        <x:f>IF(AND($B14="Milestone",Q$5=$D14),"◆","")</x:f>
      </x:c>
      <x:c r="R14" s="138" t="str">
        <x:f>IF(AND($B14="Milestone",R$5=$D14),"◆","")</x:f>
      </x:c>
      <x:c r="S14" s="138" t="str">
        <x:f>IF(AND($B14="Milestone",S$5=$D14),"◆","")</x:f>
      </x:c>
      <x:c r="T14" s="138" t="str">
        <x:f>IF(AND($B14="Milestone",T$5=$D14),"◆","")</x:f>
      </x:c>
      <x:c r="U14" s="138" t="str">
        <x:f>IF(AND($B14="Milestone",U$5=$D14),"◆","")</x:f>
      </x:c>
      <x:c r="V14" s="138" t="str">
        <x:f>IF(AND($B14="Milestone",V$5=$D14),"◆","")</x:f>
      </x:c>
      <x:c r="W14" s="138" t="str">
        <x:f>IF(AND($B14="Milestone",W$5=$D14),"◆","")</x:f>
      </x:c>
      <x:c r="X14" s="138" t="str">
        <x:f>IF(AND($B14="Milestone",X$5=$D14),"◆","")</x:f>
      </x:c>
      <x:c r="Y14" s="138" t="str">
        <x:f>IF(AND($B14="Milestone",Y$5=$D14),"◆","")</x:f>
      </x:c>
      <x:c r="Z14" s="138" t="str">
        <x:f>IF(AND($B14="Milestone",Z$5=$D14),"◆","")</x:f>
      </x:c>
      <x:c r="AA14" s="138" t="str">
        <x:f>IF(AND($B14="Milestone",AA$5=$D14),"◆","")</x:f>
      </x:c>
      <x:c r="AB14" s="138" t="str">
        <x:f>IF(AND($B14="Milestone",AB$5=$D14),"◆","")</x:f>
      </x:c>
      <x:c r="AC14" s="138" t="str">
        <x:f>IF(AND($B14="Milestone",AC$5=$D14),"◆","")</x:f>
      </x:c>
      <x:c r="AD14" s="138" t="str">
        <x:f>IF(AND($B14="Milestone",AD$5=$D14),"◆","")</x:f>
      </x:c>
      <x:c r="AE14" s="138" t="str">
        <x:f>IF(AND($B14="Milestone",AE$5=$D14),"◆","")</x:f>
      </x:c>
      <x:c r="AF14" s="138" t="str">
        <x:f>IF(AND($B14="Milestone",AF$5=$D14),"◆","")</x:f>
      </x:c>
      <x:c r="AG14" s="138" t="str">
        <x:f>IF(AND($B14="Milestone",AG$5=$D14),"◆","")</x:f>
      </x:c>
      <x:c r="AH14" s="138" t="str">
        <x:f>IF(AND($B14="Milestone",AH$5=$D14),"◆","")</x:f>
      </x:c>
      <x:c r="AI14" s="138" t="str">
        <x:f>IF(AND($B14="Milestone",AI$5=$D14),"◆","")</x:f>
      </x:c>
      <x:c r="AJ14" s="138" t="str">
        <x:f>IF(AND($B14="Milestone",AJ$5=$D14),"◆","")</x:f>
      </x:c>
      <x:c r="AK14" s="138" t="str">
        <x:f>IF(AND($B14="Milestone",AK$5=$D14),"◆","")</x:f>
      </x:c>
      <x:c r="AL14" s="138" t="str">
        <x:f>IF(AND($B14="Milestone",AL$5=$D14),"◆","")</x:f>
      </x:c>
      <x:c r="AM14" s="138" t="str">
        <x:f>IF(AND($B14="Milestone",AM$5=$D14),"◆","")</x:f>
      </x:c>
      <x:c r="AN14" s="138" t="str">
        <x:f>IF(AND($B14="Milestone",AN$5=$D14),"◆","")</x:f>
      </x:c>
      <x:c r="AO14" s="138" t="str">
        <x:f>IF(AND($B14="Milestone",AO$5=$D14),"◆","")</x:f>
      </x:c>
      <x:c r="AP14" s="138" t="str">
        <x:f>IF(AND($B14="Milestone",AP$5=$D14),"◆","")</x:f>
      </x:c>
      <x:c r="AQ14" s="138" t="str">
        <x:f>IF(AND($B14="Milestone",AQ$5=$D14),"◆","")</x:f>
      </x:c>
      <x:c r="AR14" s="155" t="str">
        <x:f>IF(AND($B14="Milestone",AR$5=$D14),"◆","")</x:f>
      </x:c>
    </x:row>
    <x:row r="15" ht="26" customHeight="1">
      <x:c r="A15" s="90" t="str">
        <x:v>T06</x:v>
      </x:c>
      <x:c r="B15" s="90" t="str">
        <x:v>Task</x:v>
      </x:c>
      <x:c r="C15" s="88" t="str">
        <x:v>Connect Headless CMS content models and staging layout schemas</x:v>
      </x:c>
      <x:c r="D15" s="92" t="n">
        <x:v>46279</x:v>
      </x:c>
      <x:c r="E15" s="92" t="n">
        <x:v>46281</x:v>
      </x:c>
      <x:c r="F15" s="90" t="n">
        <x:f>IF(OR(D15="",E15=""),"",E15-D15+1)</x:f>
        <x:v>3</x:v>
      </x:c>
      <x:c r="G15" s="88" t="str">
        <x:v>T04 (FS)</x:v>
      </x:c>
      <x:c r="H15" s="88" t="str">
        <x:v>Headless CMS &amp; Web Store (CMS)</x:v>
      </x:c>
      <x:c r="I15" s="94" t="n">
        <x:v>1</x:v>
      </x:c>
      <x:c r="J15" s="90" t="str">
        <x:f>IF(COUNT(I15)=0,"",IF(I15&gt;=1,"Completed",IF(I15&gt;0,"In Progress","Not Started")))</x:f>
        <x:v>Completed</x:v>
      </x:c>
      <x:c r="K15" s="138" t="str">
        <x:f>IF(AND($B15="Milestone",K$5=$D15),"◆","")</x:f>
      </x:c>
      <x:c r="L15" s="138" t="str">
        <x:f>IF(AND($B15="Milestone",L$5=$D15),"◆","")</x:f>
      </x:c>
      <x:c r="M15" s="138" t="str">
        <x:f>IF(AND($B15="Milestone",M$5=$D15),"◆","")</x:f>
      </x:c>
      <x:c r="N15" s="138" t="str">
        <x:f>IF(AND($B15="Milestone",N$5=$D15),"◆","")</x:f>
      </x:c>
      <x:c r="O15" s="138" t="str">
        <x:f>IF(AND($B15="Milestone",O$5=$D15),"◆","")</x:f>
      </x:c>
      <x:c r="P15" s="138" t="str">
        <x:f>IF(AND($B15="Milestone",P$5=$D15),"◆","")</x:f>
      </x:c>
      <x:c r="Q15" s="138" t="str">
        <x:f>IF(AND($B15="Milestone",Q$5=$D15),"◆","")</x:f>
      </x:c>
      <x:c r="R15" s="138" t="str">
        <x:f>IF(AND($B15="Milestone",R$5=$D15),"◆","")</x:f>
      </x:c>
      <x:c r="S15" s="138" t="str">
        <x:f>IF(AND($B15="Milestone",S$5=$D15),"◆","")</x:f>
      </x:c>
      <x:c r="T15" s="138" t="str">
        <x:f>IF(AND($B15="Milestone",T$5=$D15),"◆","")</x:f>
      </x:c>
      <x:c r="U15" s="138" t="str">
        <x:f>IF(AND($B15="Milestone",U$5=$D15),"◆","")</x:f>
      </x:c>
      <x:c r="V15" s="138" t="str">
        <x:f>IF(AND($B15="Milestone",V$5=$D15),"◆","")</x:f>
      </x:c>
      <x:c r="W15" s="138" t="str">
        <x:f>IF(AND($B15="Milestone",W$5=$D15),"◆","")</x:f>
      </x:c>
      <x:c r="X15" s="138" t="str">
        <x:f>IF(AND($B15="Milestone",X$5=$D15),"◆","")</x:f>
      </x:c>
      <x:c r="Y15" s="138" t="str">
        <x:f>IF(AND($B15="Milestone",Y$5=$D15),"◆","")</x:f>
      </x:c>
      <x:c r="Z15" s="138" t="str">
        <x:f>IF(AND($B15="Milestone",Z$5=$D15),"◆","")</x:f>
      </x:c>
      <x:c r="AA15" s="138" t="str">
        <x:f>IF(AND($B15="Milestone",AA$5=$D15),"◆","")</x:f>
      </x:c>
      <x:c r="AB15" s="138" t="str">
        <x:f>IF(AND($B15="Milestone",AB$5=$D15),"◆","")</x:f>
      </x:c>
      <x:c r="AC15" s="138" t="str">
        <x:f>IF(AND($B15="Milestone",AC$5=$D15),"◆","")</x:f>
      </x:c>
      <x:c r="AD15" s="138" t="str">
        <x:f>IF(AND($B15="Milestone",AD$5=$D15),"◆","")</x:f>
      </x:c>
      <x:c r="AE15" s="138" t="str">
        <x:f>IF(AND($B15="Milestone",AE$5=$D15),"◆","")</x:f>
      </x:c>
      <x:c r="AF15" s="138" t="str">
        <x:f>IF(AND($B15="Milestone",AF$5=$D15),"◆","")</x:f>
      </x:c>
      <x:c r="AG15" s="138" t="str">
        <x:f>IF(AND($B15="Milestone",AG$5=$D15),"◆","")</x:f>
      </x:c>
      <x:c r="AH15" s="138" t="str">
        <x:f>IF(AND($B15="Milestone",AH$5=$D15),"◆","")</x:f>
      </x:c>
      <x:c r="AI15" s="138" t="str">
        <x:f>IF(AND($B15="Milestone",AI$5=$D15),"◆","")</x:f>
      </x:c>
      <x:c r="AJ15" s="138" t="str">
        <x:f>IF(AND($B15="Milestone",AJ$5=$D15),"◆","")</x:f>
      </x:c>
      <x:c r="AK15" s="138" t="str">
        <x:f>IF(AND($B15="Milestone",AK$5=$D15),"◆","")</x:f>
      </x:c>
      <x:c r="AL15" s="138" t="str">
        <x:f>IF(AND($B15="Milestone",AL$5=$D15),"◆","")</x:f>
      </x:c>
      <x:c r="AM15" s="138" t="str">
        <x:f>IF(AND($B15="Milestone",AM$5=$D15),"◆","")</x:f>
      </x:c>
      <x:c r="AN15" s="138" t="str">
        <x:f>IF(AND($B15="Milestone",AN$5=$D15),"◆","")</x:f>
      </x:c>
      <x:c r="AO15" s="138" t="str">
        <x:f>IF(AND($B15="Milestone",AO$5=$D15),"◆","")</x:f>
      </x:c>
      <x:c r="AP15" s="138" t="str">
        <x:f>IF(AND($B15="Milestone",AP$5=$D15),"◆","")</x:f>
      </x:c>
      <x:c r="AQ15" s="138" t="str">
        <x:f>IF(AND($B15="Milestone",AQ$5=$D15),"◆","")</x:f>
      </x:c>
      <x:c r="AR15" s="155" t="str">
        <x:f>IF(AND($B15="Milestone",AR$5=$D15),"◆","")</x:f>
      </x:c>
    </x:row>
    <x:row r="16" ht="26" customHeight="1">
      <x:c r="A16" s="90" t="str">
        <x:v>T07</x:v>
      </x:c>
      <x:c r="B16" s="90" t="str">
        <x:v>Task</x:v>
      </x:c>
      <x:c r="C16" s="88" t="str">
        <x:v>Instantiate Institutional Memory Store (MEM) for brand heuristics &amp; rules</x:v>
      </x:c>
      <x:c r="D16" s="92" t="n">
        <x:v>46279</x:v>
      </x:c>
      <x:c r="E16" s="92" t="n">
        <x:v>46281</x:v>
      </x:c>
      <x:c r="F16" s="90" t="n">
        <x:f>IF(OR(D16="",E16=""),"",E16-D16+1)</x:f>
        <x:v>3</x:v>
      </x:c>
      <x:c r="G16" s="88" t="str">
        <x:v>T04 (FS)</x:v>
      </x:c>
      <x:c r="H16" s="88" t="str">
        <x:v>Institutional Memory Store (MEM)</x:v>
      </x:c>
      <x:c r="I16" s="94" t="n">
        <x:v>1</x:v>
      </x:c>
      <x:c r="J16" s="90" t="str">
        <x:f>IF(COUNT(I16)=0,"",IF(I16&gt;=1,"Completed",IF(I16&gt;0,"In Progress","Not Started")))</x:f>
        <x:v>Completed</x:v>
      </x:c>
      <x:c r="K16" s="138" t="str">
        <x:f>IF(AND($B16="Milestone",K$5=$D16),"◆","")</x:f>
      </x:c>
      <x:c r="L16" s="138" t="str">
        <x:f>IF(AND($B16="Milestone",L$5=$D16),"◆","")</x:f>
      </x:c>
      <x:c r="M16" s="138" t="str">
        <x:f>IF(AND($B16="Milestone",M$5=$D16),"◆","")</x:f>
      </x:c>
      <x:c r="N16" s="138" t="str">
        <x:f>IF(AND($B16="Milestone",N$5=$D16),"◆","")</x:f>
      </x:c>
      <x:c r="O16" s="138" t="str">
        <x:f>IF(AND($B16="Milestone",O$5=$D16),"◆","")</x:f>
      </x:c>
      <x:c r="P16" s="138" t="str">
        <x:f>IF(AND($B16="Milestone",P$5=$D16),"◆","")</x:f>
      </x:c>
      <x:c r="Q16" s="138" t="str">
        <x:f>IF(AND($B16="Milestone",Q$5=$D16),"◆","")</x:f>
      </x:c>
      <x:c r="R16" s="138" t="str">
        <x:f>IF(AND($B16="Milestone",R$5=$D16),"◆","")</x:f>
      </x:c>
      <x:c r="S16" s="138" t="str">
        <x:f>IF(AND($B16="Milestone",S$5=$D16),"◆","")</x:f>
      </x:c>
      <x:c r="T16" s="138" t="str">
        <x:f>IF(AND($B16="Milestone",T$5=$D16),"◆","")</x:f>
      </x:c>
      <x:c r="U16" s="138" t="str">
        <x:f>IF(AND($B16="Milestone",U$5=$D16),"◆","")</x:f>
      </x:c>
      <x:c r="V16" s="138" t="str">
        <x:f>IF(AND($B16="Milestone",V$5=$D16),"◆","")</x:f>
      </x:c>
      <x:c r="W16" s="138" t="str">
        <x:f>IF(AND($B16="Milestone",W$5=$D16),"◆","")</x:f>
      </x:c>
      <x:c r="X16" s="138" t="str">
        <x:f>IF(AND($B16="Milestone",X$5=$D16),"◆","")</x:f>
      </x:c>
      <x:c r="Y16" s="138" t="str">
        <x:f>IF(AND($B16="Milestone",Y$5=$D16),"◆","")</x:f>
      </x:c>
      <x:c r="Z16" s="138" t="str">
        <x:f>IF(AND($B16="Milestone",Z$5=$D16),"◆","")</x:f>
      </x:c>
      <x:c r="AA16" s="138" t="str">
        <x:f>IF(AND($B16="Milestone",AA$5=$D16),"◆","")</x:f>
      </x:c>
      <x:c r="AB16" s="138" t="str">
        <x:f>IF(AND($B16="Milestone",AB$5=$D16),"◆","")</x:f>
      </x:c>
      <x:c r="AC16" s="138" t="str">
        <x:f>IF(AND($B16="Milestone",AC$5=$D16),"◆","")</x:f>
      </x:c>
      <x:c r="AD16" s="138" t="str">
        <x:f>IF(AND($B16="Milestone",AD$5=$D16),"◆","")</x:f>
      </x:c>
      <x:c r="AE16" s="138" t="str">
        <x:f>IF(AND($B16="Milestone",AE$5=$D16),"◆","")</x:f>
      </x:c>
      <x:c r="AF16" s="138" t="str">
        <x:f>IF(AND($B16="Milestone",AF$5=$D16),"◆","")</x:f>
      </x:c>
      <x:c r="AG16" s="138" t="str">
        <x:f>IF(AND($B16="Milestone",AG$5=$D16),"◆","")</x:f>
      </x:c>
      <x:c r="AH16" s="138" t="str">
        <x:f>IF(AND($B16="Milestone",AH$5=$D16),"◆","")</x:f>
      </x:c>
      <x:c r="AI16" s="138" t="str">
        <x:f>IF(AND($B16="Milestone",AI$5=$D16),"◆","")</x:f>
      </x:c>
      <x:c r="AJ16" s="138" t="str">
        <x:f>IF(AND($B16="Milestone",AJ$5=$D16),"◆","")</x:f>
      </x:c>
      <x:c r="AK16" s="138" t="str">
        <x:f>IF(AND($B16="Milestone",AK$5=$D16),"◆","")</x:f>
      </x:c>
      <x:c r="AL16" s="138" t="str">
        <x:f>IF(AND($B16="Milestone",AL$5=$D16),"◆","")</x:f>
      </x:c>
      <x:c r="AM16" s="138" t="str">
        <x:f>IF(AND($B16="Milestone",AM$5=$D16),"◆","")</x:f>
      </x:c>
      <x:c r="AN16" s="138" t="str">
        <x:f>IF(AND($B16="Milestone",AN$5=$D16),"◆","")</x:f>
      </x:c>
      <x:c r="AO16" s="138" t="str">
        <x:f>IF(AND($B16="Milestone",AO$5=$D16),"◆","")</x:f>
      </x:c>
      <x:c r="AP16" s="138" t="str">
        <x:f>IF(AND($B16="Milestone",AP$5=$D16),"◆","")</x:f>
      </x:c>
      <x:c r="AQ16" s="138" t="str">
        <x:f>IF(AND($B16="Milestone",AQ$5=$D16),"◆","")</x:f>
      </x:c>
      <x:c r="AR16" s="155" t="str">
        <x:f>IF(AND($B16="Milestone",AR$5=$D16),"◆","")</x:f>
      </x:c>
    </x:row>
    <x:row r="17" ht="26" customHeight="1">
      <x:c r="A17" s="90" t="str">
        <x:v>T08</x:v>
      </x:c>
      <x:c r="B17" s="90" t="str">
        <x:v>Task</x:v>
      </x:c>
      <x:c r="C17" s="88" t="str">
        <x:v>Configure Artifact &amp; Evidence Registry (ART) for UUID/hash deliverables</x:v>
      </x:c>
      <x:c r="D17" s="92" t="n">
        <x:v>46281</x:v>
      </x:c>
      <x:c r="E17" s="92" t="n">
        <x:v>46283</x:v>
      </x:c>
      <x:c r="F17" s="90" t="n">
        <x:f>IF(OR(D17="",E17=""),"",E17-D17+1)</x:f>
        <x:v>3</x:v>
      </x:c>
      <x:c r="G17" s="88" t="str">
        <x:v>T05 (FS)</x:v>
      </x:c>
      <x:c r="H17" s="88" t="str">
        <x:v>Artifact &amp; Evidence Registry (ART)</x:v>
      </x:c>
      <x:c r="I17" s="94" t="n">
        <x:v>1</x:v>
      </x:c>
      <x:c r="J17" s="90" t="str">
        <x:f>IF(COUNT(I17)=0,"",IF(I17&gt;=1,"Completed",IF(I17&gt;0,"In Progress","Not Started")))</x:f>
        <x:v>Completed</x:v>
      </x:c>
      <x:c r="K17" s="138" t="str">
        <x:f>IF(AND($B17="Milestone",K$5=$D17),"◆","")</x:f>
      </x:c>
      <x:c r="L17" s="138" t="str">
        <x:f>IF(AND($B17="Milestone",L$5=$D17),"◆","")</x:f>
      </x:c>
      <x:c r="M17" s="138" t="str">
        <x:f>IF(AND($B17="Milestone",M$5=$D17),"◆","")</x:f>
      </x:c>
      <x:c r="N17" s="138" t="str">
        <x:f>IF(AND($B17="Milestone",N$5=$D17),"◆","")</x:f>
      </x:c>
      <x:c r="O17" s="138" t="str">
        <x:f>IF(AND($B17="Milestone",O$5=$D17),"◆","")</x:f>
      </x:c>
      <x:c r="P17" s="138" t="str">
        <x:f>IF(AND($B17="Milestone",P$5=$D17),"◆","")</x:f>
      </x:c>
      <x:c r="Q17" s="138" t="str">
        <x:f>IF(AND($B17="Milestone",Q$5=$D17),"◆","")</x:f>
      </x:c>
      <x:c r="R17" s="138" t="str">
        <x:f>IF(AND($B17="Milestone",R$5=$D17),"◆","")</x:f>
      </x:c>
      <x:c r="S17" s="138" t="str">
        <x:f>IF(AND($B17="Milestone",S$5=$D17),"◆","")</x:f>
      </x:c>
      <x:c r="T17" s="138" t="str">
        <x:f>IF(AND($B17="Milestone",T$5=$D17),"◆","")</x:f>
      </x:c>
      <x:c r="U17" s="138" t="str">
        <x:f>IF(AND($B17="Milestone",U$5=$D17),"◆","")</x:f>
      </x:c>
      <x:c r="V17" s="138" t="str">
        <x:f>IF(AND($B17="Milestone",V$5=$D17),"◆","")</x:f>
      </x:c>
      <x:c r="W17" s="138" t="str">
        <x:f>IF(AND($B17="Milestone",W$5=$D17),"◆","")</x:f>
      </x:c>
      <x:c r="X17" s="138" t="str">
        <x:f>IF(AND($B17="Milestone",X$5=$D17),"◆","")</x:f>
      </x:c>
      <x:c r="Y17" s="138" t="str">
        <x:f>IF(AND($B17="Milestone",Y$5=$D17),"◆","")</x:f>
      </x:c>
      <x:c r="Z17" s="138" t="str">
        <x:f>IF(AND($B17="Milestone",Z$5=$D17),"◆","")</x:f>
      </x:c>
      <x:c r="AA17" s="138" t="str">
        <x:f>IF(AND($B17="Milestone",AA$5=$D17),"◆","")</x:f>
      </x:c>
      <x:c r="AB17" s="138" t="str">
        <x:f>IF(AND($B17="Milestone",AB$5=$D17),"◆","")</x:f>
      </x:c>
      <x:c r="AC17" s="138" t="str">
        <x:f>IF(AND($B17="Milestone",AC$5=$D17),"◆","")</x:f>
      </x:c>
      <x:c r="AD17" s="138" t="str">
        <x:f>IF(AND($B17="Milestone",AD$5=$D17),"◆","")</x:f>
      </x:c>
      <x:c r="AE17" s="138" t="str">
        <x:f>IF(AND($B17="Milestone",AE$5=$D17),"◆","")</x:f>
      </x:c>
      <x:c r="AF17" s="138" t="str">
        <x:f>IF(AND($B17="Milestone",AF$5=$D17),"◆","")</x:f>
      </x:c>
      <x:c r="AG17" s="138" t="str">
        <x:f>IF(AND($B17="Milestone",AG$5=$D17),"◆","")</x:f>
      </x:c>
      <x:c r="AH17" s="138" t="str">
        <x:f>IF(AND($B17="Milestone",AH$5=$D17),"◆","")</x:f>
      </x:c>
      <x:c r="AI17" s="138" t="str">
        <x:f>IF(AND($B17="Milestone",AI$5=$D17),"◆","")</x:f>
      </x:c>
      <x:c r="AJ17" s="138" t="str">
        <x:f>IF(AND($B17="Milestone",AJ$5=$D17),"◆","")</x:f>
      </x:c>
      <x:c r="AK17" s="138" t="str">
        <x:f>IF(AND($B17="Milestone",AK$5=$D17),"◆","")</x:f>
      </x:c>
      <x:c r="AL17" s="138" t="str">
        <x:f>IF(AND($B17="Milestone",AL$5=$D17),"◆","")</x:f>
      </x:c>
      <x:c r="AM17" s="138" t="str">
        <x:f>IF(AND($B17="Milestone",AM$5=$D17),"◆","")</x:f>
      </x:c>
      <x:c r="AN17" s="138" t="str">
        <x:f>IF(AND($B17="Milestone",AN$5=$D17),"◆","")</x:f>
      </x:c>
      <x:c r="AO17" s="138" t="str">
        <x:f>IF(AND($B17="Milestone",AO$5=$D17),"◆","")</x:f>
      </x:c>
      <x:c r="AP17" s="138" t="str">
        <x:f>IF(AND($B17="Milestone",AP$5=$D17),"◆","")</x:f>
      </x:c>
      <x:c r="AQ17" s="138" t="str">
        <x:f>IF(AND($B17="Milestone",AQ$5=$D17),"◆","")</x:f>
      </x:c>
      <x:c r="AR17" s="155" t="str">
        <x:f>IF(AND($B17="Milestone",AR$5=$D17),"◆","")</x:f>
      </x:c>
    </x:row>
    <x:row r="18" ht="26" customHeight="1">
      <x:c r="A18" s="90" t="str">
        <x:v>T09</x:v>
      </x:c>
      <x:c r="B18" s="90" t="str">
        <x:v>Task</x:v>
      </x:c>
      <x:c r="C18" s="88" t="str">
        <x:v>Deploy Governed MCP Data Boundary CRUD gateways &amp; connection pools</x:v>
      </x:c>
      <x:c r="D18" s="92" t="n">
        <x:v>46281</x:v>
      </x:c>
      <x:c r="E18" s="92" t="n">
        <x:v>46283</x:v>
      </x:c>
      <x:c r="F18" s="90" t="n">
        <x:f>IF(OR(D18="",E18=""),"",E18-D18+1)</x:f>
        <x:v>3</x:v>
      </x:c>
      <x:c r="G18" s="88" t="str">
        <x:v>T05, T06, T07 (FS)</x:v>
      </x:c>
      <x:c r="H18" s="88" t="str">
        <x:v>Governed MCP Data Boundary</x:v>
      </x:c>
      <x:c r="I18" s="94" t="n">
        <x:v>1</x:v>
      </x:c>
      <x:c r="J18" s="90" t="str">
        <x:f>IF(COUNT(I18)=0,"",IF(I18&gt;=1,"Completed",IF(I18&gt;0,"In Progress","Not Started")))</x:f>
        <x:v>Completed</x:v>
      </x:c>
      <x:c r="K18" s="138" t="str">
        <x:f>IF(AND($B18="Milestone",K$5=$D18),"◆","")</x:f>
      </x:c>
      <x:c r="L18" s="138" t="str">
        <x:f>IF(AND($B18="Milestone",L$5=$D18),"◆","")</x:f>
      </x:c>
      <x:c r="M18" s="138" t="str">
        <x:f>IF(AND($B18="Milestone",M$5=$D18),"◆","")</x:f>
      </x:c>
      <x:c r="N18" s="138" t="str">
        <x:f>IF(AND($B18="Milestone",N$5=$D18),"◆","")</x:f>
      </x:c>
      <x:c r="O18" s="138" t="str">
        <x:f>IF(AND($B18="Milestone",O$5=$D18),"◆","")</x:f>
      </x:c>
      <x:c r="P18" s="138" t="str">
        <x:f>IF(AND($B18="Milestone",P$5=$D18),"◆","")</x:f>
      </x:c>
      <x:c r="Q18" s="138" t="str">
        <x:f>IF(AND($B18="Milestone",Q$5=$D18),"◆","")</x:f>
      </x:c>
      <x:c r="R18" s="138" t="str">
        <x:f>IF(AND($B18="Milestone",R$5=$D18),"◆","")</x:f>
      </x:c>
      <x:c r="S18" s="138" t="str">
        <x:f>IF(AND($B18="Milestone",S$5=$D18),"◆","")</x:f>
      </x:c>
      <x:c r="T18" s="138" t="str">
        <x:f>IF(AND($B18="Milestone",T$5=$D18),"◆","")</x:f>
      </x:c>
      <x:c r="U18" s="138" t="str">
        <x:f>IF(AND($B18="Milestone",U$5=$D18),"◆","")</x:f>
      </x:c>
      <x:c r="V18" s="138" t="str">
        <x:f>IF(AND($B18="Milestone",V$5=$D18),"◆","")</x:f>
      </x:c>
      <x:c r="W18" s="138" t="str">
        <x:f>IF(AND($B18="Milestone",W$5=$D18),"◆","")</x:f>
      </x:c>
      <x:c r="X18" s="138" t="str">
        <x:f>IF(AND($B18="Milestone",X$5=$D18),"◆","")</x:f>
      </x:c>
      <x:c r="Y18" s="138" t="str">
        <x:f>IF(AND($B18="Milestone",Y$5=$D18),"◆","")</x:f>
      </x:c>
      <x:c r="Z18" s="138" t="str">
        <x:f>IF(AND($B18="Milestone",Z$5=$D18),"◆","")</x:f>
      </x:c>
      <x:c r="AA18" s="138" t="str">
        <x:f>IF(AND($B18="Milestone",AA$5=$D18),"◆","")</x:f>
      </x:c>
      <x:c r="AB18" s="138" t="str">
        <x:f>IF(AND($B18="Milestone",AB$5=$D18),"◆","")</x:f>
      </x:c>
      <x:c r="AC18" s="138" t="str">
        <x:f>IF(AND($B18="Milestone",AC$5=$D18),"◆","")</x:f>
      </x:c>
      <x:c r="AD18" s="138" t="str">
        <x:f>IF(AND($B18="Milestone",AD$5=$D18),"◆","")</x:f>
      </x:c>
      <x:c r="AE18" s="138" t="str">
        <x:f>IF(AND($B18="Milestone",AE$5=$D18),"◆","")</x:f>
      </x:c>
      <x:c r="AF18" s="138" t="str">
        <x:f>IF(AND($B18="Milestone",AF$5=$D18),"◆","")</x:f>
      </x:c>
      <x:c r="AG18" s="138" t="str">
        <x:f>IF(AND($B18="Milestone",AG$5=$D18),"◆","")</x:f>
      </x:c>
      <x:c r="AH18" s="138" t="str">
        <x:f>IF(AND($B18="Milestone",AH$5=$D18),"◆","")</x:f>
      </x:c>
      <x:c r="AI18" s="138" t="str">
        <x:f>IF(AND($B18="Milestone",AI$5=$D18),"◆","")</x:f>
      </x:c>
      <x:c r="AJ18" s="138" t="str">
        <x:f>IF(AND($B18="Milestone",AJ$5=$D18),"◆","")</x:f>
      </x:c>
      <x:c r="AK18" s="138" t="str">
        <x:f>IF(AND($B18="Milestone",AK$5=$D18),"◆","")</x:f>
      </x:c>
      <x:c r="AL18" s="138" t="str">
        <x:f>IF(AND($B18="Milestone",AL$5=$D18),"◆","")</x:f>
      </x:c>
      <x:c r="AM18" s="138" t="str">
        <x:f>IF(AND($B18="Milestone",AM$5=$D18),"◆","")</x:f>
      </x:c>
      <x:c r="AN18" s="138" t="str">
        <x:f>IF(AND($B18="Milestone",AN$5=$D18),"◆","")</x:f>
      </x:c>
      <x:c r="AO18" s="138" t="str">
        <x:f>IF(AND($B18="Milestone",AO$5=$D18),"◆","")</x:f>
      </x:c>
      <x:c r="AP18" s="138" t="str">
        <x:f>IF(AND($B18="Milestone",AP$5=$D18),"◆","")</x:f>
      </x:c>
      <x:c r="AQ18" s="138" t="str">
        <x:f>IF(AND($B18="Milestone",AQ$5=$D18),"◆","")</x:f>
      </x:c>
      <x:c r="AR18" s="155" t="str">
        <x:f>IF(AND($B18="Milestone",AR$5=$D18),"◆","")</x:f>
      </x:c>
    </x:row>
    <x:row r="19" ht="26" customHeight="1">
      <x:c r="A19" s="90" t="str">
        <x:v>T10</x:v>
      </x:c>
      <x:c r="B19" s="90" t="str">
        <x:v>Task</x:v>
      </x:c>
      <x:c r="C19" s="88" t="str">
        <x:v>Configure Agentic RAG Controller with tenant isolation &amp; freshness gates</x:v>
      </x:c>
      <x:c r="D19" s="92" t="n">
        <x:v>46283</x:v>
      </x:c>
      <x:c r="E19" s="92" t="n">
        <x:v>46284</x:v>
      </x:c>
      <x:c r="F19" s="90" t="n">
        <x:f>IF(OR(D19="",E19=""),"",E19-D19+1)</x:f>
        <x:v>2</x:v>
      </x:c>
      <x:c r="G19" s="88" t="str">
        <x:v>T03, T09 (FS)</x:v>
      </x:c>
      <x:c r="H19" s="88" t="str">
        <x:v>Agentic RAG Controller</x:v>
      </x:c>
      <x:c r="I19" s="94" t="n">
        <x:v>1</x:v>
      </x:c>
      <x:c r="J19" s="90" t="str">
        <x:f>IF(COUNT(I19)=0,"",IF(I19&gt;=1,"Completed",IF(I19&gt;0,"In Progress","Not Started")))</x:f>
        <x:v>Completed</x:v>
      </x:c>
      <x:c r="K19" s="138" t="str">
        <x:f>IF(AND($B19="Milestone",K$5=$D19),"◆","")</x:f>
      </x:c>
      <x:c r="L19" s="138" t="str">
        <x:f>IF(AND($B19="Milestone",L$5=$D19),"◆","")</x:f>
      </x:c>
      <x:c r="M19" s="138" t="str">
        <x:f>IF(AND($B19="Milestone",M$5=$D19),"◆","")</x:f>
      </x:c>
      <x:c r="N19" s="138" t="str">
        <x:f>IF(AND($B19="Milestone",N$5=$D19),"◆","")</x:f>
      </x:c>
      <x:c r="O19" s="138" t="str">
        <x:f>IF(AND($B19="Milestone",O$5=$D19),"◆","")</x:f>
      </x:c>
      <x:c r="P19" s="138" t="str">
        <x:f>IF(AND($B19="Milestone",P$5=$D19),"◆","")</x:f>
      </x:c>
      <x:c r="Q19" s="138" t="str">
        <x:f>IF(AND($B19="Milestone",Q$5=$D19),"◆","")</x:f>
      </x:c>
      <x:c r="R19" s="138" t="str">
        <x:f>IF(AND($B19="Milestone",R$5=$D19),"◆","")</x:f>
      </x:c>
      <x:c r="S19" s="138" t="str">
        <x:f>IF(AND($B19="Milestone",S$5=$D19),"◆","")</x:f>
      </x:c>
      <x:c r="T19" s="138" t="str">
        <x:f>IF(AND($B19="Milestone",T$5=$D19),"◆","")</x:f>
      </x:c>
      <x:c r="U19" s="138" t="str">
        <x:f>IF(AND($B19="Milestone",U$5=$D19),"◆","")</x:f>
      </x:c>
      <x:c r="V19" s="138" t="str">
        <x:f>IF(AND($B19="Milestone",V$5=$D19),"◆","")</x:f>
      </x:c>
      <x:c r="W19" s="138" t="str">
        <x:f>IF(AND($B19="Milestone",W$5=$D19),"◆","")</x:f>
      </x:c>
      <x:c r="X19" s="138" t="str">
        <x:f>IF(AND($B19="Milestone",X$5=$D19),"◆","")</x:f>
      </x:c>
      <x:c r="Y19" s="138" t="str">
        <x:f>IF(AND($B19="Milestone",Y$5=$D19),"◆","")</x:f>
      </x:c>
      <x:c r="Z19" s="138" t="str">
        <x:f>IF(AND($B19="Milestone",Z$5=$D19),"◆","")</x:f>
      </x:c>
      <x:c r="AA19" s="138" t="str">
        <x:f>IF(AND($B19="Milestone",AA$5=$D19),"◆","")</x:f>
      </x:c>
      <x:c r="AB19" s="138" t="str">
        <x:f>IF(AND($B19="Milestone",AB$5=$D19),"◆","")</x:f>
      </x:c>
      <x:c r="AC19" s="138" t="str">
        <x:f>IF(AND($B19="Milestone",AC$5=$D19),"◆","")</x:f>
      </x:c>
      <x:c r="AD19" s="138" t="str">
        <x:f>IF(AND($B19="Milestone",AD$5=$D19),"◆","")</x:f>
      </x:c>
      <x:c r="AE19" s="138" t="str">
        <x:f>IF(AND($B19="Milestone",AE$5=$D19),"◆","")</x:f>
      </x:c>
      <x:c r="AF19" s="138" t="str">
        <x:f>IF(AND($B19="Milestone",AF$5=$D19),"◆","")</x:f>
      </x:c>
      <x:c r="AG19" s="138" t="str">
        <x:f>IF(AND($B19="Milestone",AG$5=$D19),"◆","")</x:f>
      </x:c>
      <x:c r="AH19" s="138" t="str">
        <x:f>IF(AND($B19="Milestone",AH$5=$D19),"◆","")</x:f>
      </x:c>
      <x:c r="AI19" s="138" t="str">
        <x:f>IF(AND($B19="Milestone",AI$5=$D19),"◆","")</x:f>
      </x:c>
      <x:c r="AJ19" s="138" t="str">
        <x:f>IF(AND($B19="Milestone",AJ$5=$D19),"◆","")</x:f>
      </x:c>
      <x:c r="AK19" s="138" t="str">
        <x:f>IF(AND($B19="Milestone",AK$5=$D19),"◆","")</x:f>
      </x:c>
      <x:c r="AL19" s="138" t="str">
        <x:f>IF(AND($B19="Milestone",AL$5=$D19),"◆","")</x:f>
      </x:c>
      <x:c r="AM19" s="138" t="str">
        <x:f>IF(AND($B19="Milestone",AM$5=$D19),"◆","")</x:f>
      </x:c>
      <x:c r="AN19" s="138" t="str">
        <x:f>IF(AND($B19="Milestone",AN$5=$D19),"◆","")</x:f>
      </x:c>
      <x:c r="AO19" s="138" t="str">
        <x:f>IF(AND($B19="Milestone",AO$5=$D19),"◆","")</x:f>
      </x:c>
      <x:c r="AP19" s="138" t="str">
        <x:f>IF(AND($B19="Milestone",AP$5=$D19),"◆","")</x:f>
      </x:c>
      <x:c r="AQ19" s="138" t="str">
        <x:f>IF(AND($B19="Milestone",AQ$5=$D19),"◆","")</x:f>
      </x:c>
      <x:c r="AR19" s="155" t="str">
        <x:f>IF(AND($B19="Milestone",AR$5=$D19),"◆","")</x:f>
      </x:c>
    </x:row>
    <x:row r="20" ht="22" customHeight="1">
      <x:c r="A20" s="122" t="str">
        <x:v>M2</x:v>
      </x:c>
      <x:c r="B20" s="122" t="str">
        <x:v>Milestone</x:v>
      </x:c>
      <x:c r="C20" s="123" t="str">
        <x:v>Governed Data Plane &amp; Central Storage Integration (Model A)</x:v>
      </x:c>
      <x:c r="D20" s="124" t="n">
        <x:v>46284</x:v>
      </x:c>
      <x:c r="E20" s="124" t="n">
        <x:v>46284</x:v>
      </x:c>
      <x:c r="F20" s="122" t="n">
        <x:f>IF(OR(D20="",E20=""),"",0)</x:f>
        <x:v>0</x:v>
      </x:c>
      <x:c r="G20" s="123" t="str">
        <x:v>Linked: T05, T06, T07, T08, T09, T10</x:v>
      </x:c>
      <x:c r="H20" s="123" t="str"/>
      <x:c r="I20" s="125"/>
      <x:c r="J20" s="122" t="str">
        <x:v>Complete</x:v>
      </x:c>
      <x:c r="K20" s="138" t="str">
        <x:f>IF(AND($B20="Milestone",K$5=$D20),"◆","")</x:f>
      </x:c>
      <x:c r="L20" s="138" t="str">
        <x:f>IF(AND($B20="Milestone",L$5=$D20),"◆","")</x:f>
      </x:c>
      <x:c r="M20" s="138" t="str">
        <x:f>IF(AND($B20="Milestone",M$5=$D20),"◆","")</x:f>
      </x:c>
      <x:c r="N20" s="138" t="str">
        <x:f>IF(AND($B20="Milestone",N$5=$D20),"◆","")</x:f>
      </x:c>
      <x:c r="O20" s="138" t="str">
        <x:f>IF(AND($B20="Milestone",O$5=$D20),"◆","")</x:f>
      </x:c>
      <x:c r="P20" s="138" t="str">
        <x:f>IF(AND($B20="Milestone",P$5=$D20),"◆","")</x:f>
      </x:c>
      <x:c r="Q20" s="138" t="str">
        <x:f>IF(AND($B20="Milestone",Q$5=$D20),"◆","")</x:f>
      </x:c>
      <x:c r="R20" s="138" t="str">
        <x:f>IF(AND($B20="Milestone",R$5=$D20),"◆","")</x:f>
      </x:c>
      <x:c r="S20" s="138" t="str">
        <x:f>IF(AND($B20="Milestone",S$5=$D20),"◆","")</x:f>
        <x:v>◆</x:v>
      </x:c>
      <x:c r="T20" s="138" t="str">
        <x:f>IF(AND($B20="Milestone",T$5=$D20),"◆","")</x:f>
      </x:c>
      <x:c r="U20" s="138" t="str">
        <x:f>IF(AND($B20="Milestone",U$5=$D20),"◆","")</x:f>
      </x:c>
      <x:c r="V20" s="138" t="str">
        <x:f>IF(AND($B20="Milestone",V$5=$D20),"◆","")</x:f>
      </x:c>
      <x:c r="W20" s="138" t="str">
        <x:f>IF(AND($B20="Milestone",W$5=$D20),"◆","")</x:f>
      </x:c>
      <x:c r="X20" s="138" t="str">
        <x:f>IF(AND($B20="Milestone",X$5=$D20),"◆","")</x:f>
      </x:c>
      <x:c r="Y20" s="138" t="str">
        <x:f>IF(AND($B20="Milestone",Y$5=$D20),"◆","")</x:f>
      </x:c>
      <x:c r="Z20" s="138" t="str">
        <x:f>IF(AND($B20="Milestone",Z$5=$D20),"◆","")</x:f>
      </x:c>
      <x:c r="AA20" s="138" t="str">
        <x:f>IF(AND($B20="Milestone",AA$5=$D20),"◆","")</x:f>
      </x:c>
      <x:c r="AB20" s="138" t="str">
        <x:f>IF(AND($B20="Milestone",AB$5=$D20),"◆","")</x:f>
      </x:c>
      <x:c r="AC20" s="138" t="str">
        <x:f>IF(AND($B20="Milestone",AC$5=$D20),"◆","")</x:f>
      </x:c>
      <x:c r="AD20" s="138" t="str">
        <x:f>IF(AND($B20="Milestone",AD$5=$D20),"◆","")</x:f>
      </x:c>
      <x:c r="AE20" s="138" t="str">
        <x:f>IF(AND($B20="Milestone",AE$5=$D20),"◆","")</x:f>
      </x:c>
      <x:c r="AF20" s="138" t="str">
        <x:f>IF(AND($B20="Milestone",AF$5=$D20),"◆","")</x:f>
      </x:c>
      <x:c r="AG20" s="138" t="str">
        <x:f>IF(AND($B20="Milestone",AG$5=$D20),"◆","")</x:f>
      </x:c>
      <x:c r="AH20" s="138" t="str">
        <x:f>IF(AND($B20="Milestone",AH$5=$D20),"◆","")</x:f>
      </x:c>
      <x:c r="AI20" s="138" t="str">
        <x:f>IF(AND($B20="Milestone",AI$5=$D20),"◆","")</x:f>
      </x:c>
      <x:c r="AJ20" s="138" t="str">
        <x:f>IF(AND($B20="Milestone",AJ$5=$D20),"◆","")</x:f>
      </x:c>
      <x:c r="AK20" s="138" t="str">
        <x:f>IF(AND($B20="Milestone",AK$5=$D20),"◆","")</x:f>
      </x:c>
      <x:c r="AL20" s="138" t="str">
        <x:f>IF(AND($B20="Milestone",AL$5=$D20),"◆","")</x:f>
      </x:c>
      <x:c r="AM20" s="138" t="str">
        <x:f>IF(AND($B20="Milestone",AM$5=$D20),"◆","")</x:f>
      </x:c>
      <x:c r="AN20" s="138" t="str">
        <x:f>IF(AND($B20="Milestone",AN$5=$D20),"◆","")</x:f>
      </x:c>
      <x:c r="AO20" s="138" t="str">
        <x:f>IF(AND($B20="Milestone",AO$5=$D20),"◆","")</x:f>
      </x:c>
      <x:c r="AP20" s="138" t="str">
        <x:f>IF(AND($B20="Milestone",AP$5=$D20),"◆","")</x:f>
      </x:c>
      <x:c r="AQ20" s="138" t="str">
        <x:f>IF(AND($B20="Milestone",AQ$5=$D20),"◆","")</x:f>
      </x:c>
      <x:c r="AR20" s="155" t="str">
        <x:f>IF(AND($B20="Milestone",AR$5=$D20),"◆","")</x:f>
      </x:c>
    </x:row>
    <x:row r="21" ht="22" customHeight="1">
      <x:c r="A21" s="101" t="str"/>
      <x:c r="B21" s="101" t="str">
        <x:v>Summary</x:v>
      </x:c>
      <x:c r="C21" s="102" t="str">
        <x:v>Sandbox Isolation &amp; Specialist Sub-Agent Readiness</x:v>
      </x:c>
      <x:c r="D21" s="103" t="n">
        <x:f>MIN(D22:D25)</x:f>
        <x:v>46283</x:v>
      </x:c>
      <x:c r="E21" s="103" t="n">
        <x:f>MAX(E22:E25)</x:f>
        <x:v>46288</x:v>
      </x:c>
      <x:c r="F21" s="101" t="n">
        <x:f>E21-D21+1</x:f>
        <x:v>6</x:v>
      </x:c>
      <x:c r="G21" s="102" t="str"/>
      <x:c r="H21" s="102" t="str"/>
      <x:c r="I21" s="104" t="n">
        <x:f>IFERROR(SUMPRODUCT(F22:F25,I22:I25)/SUM(F22:F25),0)</x:f>
        <x:v>1</x:v>
      </x:c>
      <x:c r="J21" s="101" t="str">
        <x:v>Complete</x:v>
      </x:c>
      <x:c r="K21" s="136" t="str">
        <x:f>IF(AND($B21="Milestone",K$5=$D21),"◆","")</x:f>
      </x:c>
      <x:c r="L21" s="136" t="str">
        <x:f>IF(AND($B21="Milestone",L$5=$D21),"◆","")</x:f>
      </x:c>
      <x:c r="M21" s="136" t="str">
        <x:f>IF(AND($B21="Milestone",M$5=$D21),"◆","")</x:f>
      </x:c>
      <x:c r="N21" s="136" t="str">
        <x:f>IF(AND($B21="Milestone",N$5=$D21),"◆","")</x:f>
      </x:c>
      <x:c r="O21" s="136" t="str">
        <x:f>IF(AND($B21="Milestone",O$5=$D21),"◆","")</x:f>
      </x:c>
      <x:c r="P21" s="136" t="str">
        <x:f>IF(AND($B21="Milestone",P$5=$D21),"◆","")</x:f>
      </x:c>
      <x:c r="Q21" s="136" t="str">
        <x:f>IF(AND($B21="Milestone",Q$5=$D21),"◆","")</x:f>
      </x:c>
      <x:c r="R21" s="136" t="str">
        <x:f>IF(AND($B21="Milestone",R$5=$D21),"◆","")</x:f>
      </x:c>
      <x:c r="S21" s="136" t="str">
        <x:f>IF(AND($B21="Milestone",S$5=$D21),"◆","")</x:f>
      </x:c>
      <x:c r="T21" s="136" t="str">
        <x:f>IF(AND($B21="Milestone",T$5=$D21),"◆","")</x:f>
      </x:c>
      <x:c r="U21" s="136" t="str">
        <x:f>IF(AND($B21="Milestone",U$5=$D21),"◆","")</x:f>
      </x:c>
      <x:c r="V21" s="136" t="str">
        <x:f>IF(AND($B21="Milestone",V$5=$D21),"◆","")</x:f>
      </x:c>
      <x:c r="W21" s="136" t="str">
        <x:f>IF(AND($B21="Milestone",W$5=$D21),"◆","")</x:f>
      </x:c>
      <x:c r="X21" s="136" t="str">
        <x:f>IF(AND($B21="Milestone",X$5=$D21),"◆","")</x:f>
      </x:c>
      <x:c r="Y21" s="136" t="str">
        <x:f>IF(AND($B21="Milestone",Y$5=$D21),"◆","")</x:f>
      </x:c>
      <x:c r="Z21" s="136" t="str">
        <x:f>IF(AND($B21="Milestone",Z$5=$D21),"◆","")</x:f>
      </x:c>
      <x:c r="AA21" s="136" t="str">
        <x:f>IF(AND($B21="Milestone",AA$5=$D21),"◆","")</x:f>
      </x:c>
      <x:c r="AB21" s="136" t="str">
        <x:f>IF(AND($B21="Milestone",AB$5=$D21),"◆","")</x:f>
      </x:c>
      <x:c r="AC21" s="136" t="str">
        <x:f>IF(AND($B21="Milestone",AC$5=$D21),"◆","")</x:f>
      </x:c>
      <x:c r="AD21" s="136" t="str">
        <x:f>IF(AND($B21="Milestone",AD$5=$D21),"◆","")</x:f>
      </x:c>
      <x:c r="AE21" s="136" t="str">
        <x:f>IF(AND($B21="Milestone",AE$5=$D21),"◆","")</x:f>
      </x:c>
      <x:c r="AF21" s="136" t="str">
        <x:f>IF(AND($B21="Milestone",AF$5=$D21),"◆","")</x:f>
      </x:c>
      <x:c r="AG21" s="136" t="str">
        <x:f>IF(AND($B21="Milestone",AG$5=$D21),"◆","")</x:f>
      </x:c>
      <x:c r="AH21" s="136" t="str">
        <x:f>IF(AND($B21="Milestone",AH$5=$D21),"◆","")</x:f>
      </x:c>
      <x:c r="AI21" s="136" t="str">
        <x:f>IF(AND($B21="Milestone",AI$5=$D21),"◆","")</x:f>
      </x:c>
      <x:c r="AJ21" s="136" t="str">
        <x:f>IF(AND($B21="Milestone",AJ$5=$D21),"◆","")</x:f>
      </x:c>
      <x:c r="AK21" s="136" t="str">
        <x:f>IF(AND($B21="Milestone",AK$5=$D21),"◆","")</x:f>
      </x:c>
      <x:c r="AL21" s="136" t="str">
        <x:f>IF(AND($B21="Milestone",AL$5=$D21),"◆","")</x:f>
      </x:c>
      <x:c r="AM21" s="136" t="str">
        <x:f>IF(AND($B21="Milestone",AM$5=$D21),"◆","")</x:f>
      </x:c>
      <x:c r="AN21" s="136" t="str">
        <x:f>IF(AND($B21="Milestone",AN$5=$D21),"◆","")</x:f>
      </x:c>
      <x:c r="AO21" s="136" t="str">
        <x:f>IF(AND($B21="Milestone",AO$5=$D21),"◆","")</x:f>
      </x:c>
      <x:c r="AP21" s="136" t="str">
        <x:f>IF(AND($B21="Milestone",AP$5=$D21),"◆","")</x:f>
      </x:c>
      <x:c r="AQ21" s="136" t="str">
        <x:f>IF(AND($B21="Milestone",AQ$5=$D21),"◆","")</x:f>
      </x:c>
      <x:c r="AR21" s="154" t="str">
        <x:f>IF(AND($B21="Milestone",AR$5=$D21),"◆","")</x:f>
      </x:c>
    </x:row>
    <x:row r="22" ht="26" customHeight="1">
      <x:c r="A22" s="90" t="str">
        <x:v>T11</x:v>
      </x:c>
      <x:c r="B22" s="90" t="str">
        <x:v>Task</x:v>
      </x:c>
      <x:c r="C22" s="88" t="str">
        <x:v>Deploy agent_sandbox with cgroups, seccomp, and tmpfs isolation</x:v>
      </x:c>
      <x:c r="D22" s="92" t="n">
        <x:v>46283</x:v>
      </x:c>
      <x:c r="E22" s="92" t="n">
        <x:v>46285</x:v>
      </x:c>
      <x:c r="F22" s="90" t="n">
        <x:f>IF(OR(D22="",E22=""),"",E22-D22+1)</x:f>
        <x:v>3</x:v>
      </x:c>
      <x:c r="G22" s="88" t="str">
        <x:v>T03 (FS)</x:v>
      </x:c>
      <x:c r="H22" s="88" t="str">
        <x:v>Sandbox Controller (agent_sandbox)</x:v>
      </x:c>
      <x:c r="I22" s="94" t="n">
        <x:v>1</x:v>
      </x:c>
      <x:c r="J22" s="90" t="str">
        <x:f>IF(COUNT(I22)=0,"",IF(I22&gt;=1,"Completed",IF(I22&gt;0,"In Progress","Not Started")))</x:f>
        <x:v>Completed</x:v>
      </x:c>
      <x:c r="K22" s="138" t="str">
        <x:f>IF(AND($B22="Milestone",K$5=$D22),"◆","")</x:f>
      </x:c>
      <x:c r="L22" s="138" t="str">
        <x:f>IF(AND($B22="Milestone",L$5=$D22),"◆","")</x:f>
      </x:c>
      <x:c r="M22" s="138" t="str">
        <x:f>IF(AND($B22="Milestone",M$5=$D22),"◆","")</x:f>
      </x:c>
      <x:c r="N22" s="138" t="str">
        <x:f>IF(AND($B22="Milestone",N$5=$D22),"◆","")</x:f>
      </x:c>
      <x:c r="O22" s="138" t="str">
        <x:f>IF(AND($B22="Milestone",O$5=$D22),"◆","")</x:f>
      </x:c>
      <x:c r="P22" s="138" t="str">
        <x:f>IF(AND($B22="Milestone",P$5=$D22),"◆","")</x:f>
      </x:c>
      <x:c r="Q22" s="138" t="str">
        <x:f>IF(AND($B22="Milestone",Q$5=$D22),"◆","")</x:f>
      </x:c>
      <x:c r="R22" s="138" t="str">
        <x:f>IF(AND($B22="Milestone",R$5=$D22),"◆","")</x:f>
      </x:c>
      <x:c r="S22" s="138" t="str">
        <x:f>IF(AND($B22="Milestone",S$5=$D22),"◆","")</x:f>
      </x:c>
      <x:c r="T22" s="138" t="str">
        <x:f>IF(AND($B22="Milestone",T$5=$D22),"◆","")</x:f>
      </x:c>
      <x:c r="U22" s="138" t="str">
        <x:f>IF(AND($B22="Milestone",U$5=$D22),"◆","")</x:f>
      </x:c>
      <x:c r="V22" s="138" t="str">
        <x:f>IF(AND($B22="Milestone",V$5=$D22),"◆","")</x:f>
      </x:c>
      <x:c r="W22" s="138" t="str">
        <x:f>IF(AND($B22="Milestone",W$5=$D22),"◆","")</x:f>
      </x:c>
      <x:c r="X22" s="138" t="str">
        <x:f>IF(AND($B22="Milestone",X$5=$D22),"◆","")</x:f>
      </x:c>
      <x:c r="Y22" s="138" t="str">
        <x:f>IF(AND($B22="Milestone",Y$5=$D22),"◆","")</x:f>
      </x:c>
      <x:c r="Z22" s="138" t="str">
        <x:f>IF(AND($B22="Milestone",Z$5=$D22),"◆","")</x:f>
      </x:c>
      <x:c r="AA22" s="138" t="str">
        <x:f>IF(AND($B22="Milestone",AA$5=$D22),"◆","")</x:f>
      </x:c>
      <x:c r="AB22" s="138" t="str">
        <x:f>IF(AND($B22="Milestone",AB$5=$D22),"◆","")</x:f>
      </x:c>
      <x:c r="AC22" s="138" t="str">
        <x:f>IF(AND($B22="Milestone",AC$5=$D22),"◆","")</x:f>
      </x:c>
      <x:c r="AD22" s="138" t="str">
        <x:f>IF(AND($B22="Milestone",AD$5=$D22),"◆","")</x:f>
      </x:c>
      <x:c r="AE22" s="138" t="str">
        <x:f>IF(AND($B22="Milestone",AE$5=$D22),"◆","")</x:f>
      </x:c>
      <x:c r="AF22" s="138" t="str">
        <x:f>IF(AND($B22="Milestone",AF$5=$D22),"◆","")</x:f>
      </x:c>
      <x:c r="AG22" s="138" t="str">
        <x:f>IF(AND($B22="Milestone",AG$5=$D22),"◆","")</x:f>
      </x:c>
      <x:c r="AH22" s="138" t="str">
        <x:f>IF(AND($B22="Milestone",AH$5=$D22),"◆","")</x:f>
      </x:c>
      <x:c r="AI22" s="138" t="str">
        <x:f>IF(AND($B22="Milestone",AI$5=$D22),"◆","")</x:f>
      </x:c>
      <x:c r="AJ22" s="138" t="str">
        <x:f>IF(AND($B22="Milestone",AJ$5=$D22),"◆","")</x:f>
      </x:c>
      <x:c r="AK22" s="138" t="str">
        <x:f>IF(AND($B22="Milestone",AK$5=$D22),"◆","")</x:f>
      </x:c>
      <x:c r="AL22" s="138" t="str">
        <x:f>IF(AND($B22="Milestone",AL$5=$D22),"◆","")</x:f>
      </x:c>
      <x:c r="AM22" s="138" t="str">
        <x:f>IF(AND($B22="Milestone",AM$5=$D22),"◆","")</x:f>
      </x:c>
      <x:c r="AN22" s="138" t="str">
        <x:f>IF(AND($B22="Milestone",AN$5=$D22),"◆","")</x:f>
      </x:c>
      <x:c r="AO22" s="138" t="str">
        <x:f>IF(AND($B22="Milestone",AO$5=$D22),"◆","")</x:f>
      </x:c>
      <x:c r="AP22" s="138" t="str">
        <x:f>IF(AND($B22="Milestone",AP$5=$D22),"◆","")</x:f>
      </x:c>
      <x:c r="AQ22" s="138" t="str">
        <x:f>IF(AND($B22="Milestone",AQ$5=$D22),"◆","")</x:f>
      </x:c>
      <x:c r="AR22" s="155" t="str">
        <x:f>IF(AND($B22="Milestone",AR$5=$D22),"◆","")</x:f>
      </x:c>
    </x:row>
    <x:row r="23" ht="26" customHeight="1">
      <x:c r="A23" s="90" t="str">
        <x:v>T12</x:v>
      </x:c>
      <x:c r="B23" s="90" t="str">
        <x:v>Task</x:v>
      </x:c>
      <x:c r="C23" s="88" t="str">
        <x:v>Configure sandbox network proxy with strict egress allowlisting (DENY_ALL)</x:v>
      </x:c>
      <x:c r="D23" s="92" t="n">
        <x:v>46285</x:v>
      </x:c>
      <x:c r="E23" s="92" t="n">
        <x:v>46286</x:v>
      </x:c>
      <x:c r="F23" s="90" t="n">
        <x:f>IF(OR(D23="",E23=""),"",E23-D23+1)</x:f>
        <x:v>2</x:v>
      </x:c>
      <x:c r="G23" s="88" t="str">
        <x:v>T11 (FS)</x:v>
      </x:c>
      <x:c r="H23" s="88" t="str">
        <x:v>Sandbox Controller (agent_sandbox)</x:v>
      </x:c>
      <x:c r="I23" s="94" t="n">
        <x:v>1</x:v>
      </x:c>
      <x:c r="J23" s="90" t="str">
        <x:f>IF(COUNT(I23)=0,"",IF(I23&gt;=1,"Completed",IF(I23&gt;0,"In Progress","Not Started")))</x:f>
        <x:v>Completed</x:v>
      </x:c>
      <x:c r="K23" s="138" t="str">
        <x:f>IF(AND($B23="Milestone",K$5=$D23),"◆","")</x:f>
      </x:c>
      <x:c r="L23" s="138" t="str">
        <x:f>IF(AND($B23="Milestone",L$5=$D23),"◆","")</x:f>
      </x:c>
      <x:c r="M23" s="138" t="str">
        <x:f>IF(AND($B23="Milestone",M$5=$D23),"◆","")</x:f>
      </x:c>
      <x:c r="N23" s="138" t="str">
        <x:f>IF(AND($B23="Milestone",N$5=$D23),"◆","")</x:f>
      </x:c>
      <x:c r="O23" s="138" t="str">
        <x:f>IF(AND($B23="Milestone",O$5=$D23),"◆","")</x:f>
      </x:c>
      <x:c r="P23" s="138" t="str">
        <x:f>IF(AND($B23="Milestone",P$5=$D23),"◆","")</x:f>
      </x:c>
      <x:c r="Q23" s="138" t="str">
        <x:f>IF(AND($B23="Milestone",Q$5=$D23),"◆","")</x:f>
      </x:c>
      <x:c r="R23" s="138" t="str">
        <x:f>IF(AND($B23="Milestone",R$5=$D23),"◆","")</x:f>
      </x:c>
      <x:c r="S23" s="138" t="str">
        <x:f>IF(AND($B23="Milestone",S$5=$D23),"◆","")</x:f>
      </x:c>
      <x:c r="T23" s="138" t="str">
        <x:f>IF(AND($B23="Milestone",T$5=$D23),"◆","")</x:f>
      </x:c>
      <x:c r="U23" s="138" t="str">
        <x:f>IF(AND($B23="Milestone",U$5=$D23),"◆","")</x:f>
      </x:c>
      <x:c r="V23" s="138" t="str">
        <x:f>IF(AND($B23="Milestone",V$5=$D23),"◆","")</x:f>
      </x:c>
      <x:c r="W23" s="138" t="str">
        <x:f>IF(AND($B23="Milestone",W$5=$D23),"◆","")</x:f>
      </x:c>
      <x:c r="X23" s="138" t="str">
        <x:f>IF(AND($B23="Milestone",X$5=$D23),"◆","")</x:f>
      </x:c>
      <x:c r="Y23" s="138" t="str">
        <x:f>IF(AND($B23="Milestone",Y$5=$D23),"◆","")</x:f>
      </x:c>
      <x:c r="Z23" s="138" t="str">
        <x:f>IF(AND($B23="Milestone",Z$5=$D23),"◆","")</x:f>
      </x:c>
      <x:c r="AA23" s="138" t="str">
        <x:f>IF(AND($B23="Milestone",AA$5=$D23),"◆","")</x:f>
      </x:c>
      <x:c r="AB23" s="138" t="str">
        <x:f>IF(AND($B23="Milestone",AB$5=$D23),"◆","")</x:f>
      </x:c>
      <x:c r="AC23" s="138" t="str">
        <x:f>IF(AND($B23="Milestone",AC$5=$D23),"◆","")</x:f>
      </x:c>
      <x:c r="AD23" s="138" t="str">
        <x:f>IF(AND($B23="Milestone",AD$5=$D23),"◆","")</x:f>
      </x:c>
      <x:c r="AE23" s="138" t="str">
        <x:f>IF(AND($B23="Milestone",AE$5=$D23),"◆","")</x:f>
      </x:c>
      <x:c r="AF23" s="138" t="str">
        <x:f>IF(AND($B23="Milestone",AF$5=$D23),"◆","")</x:f>
      </x:c>
      <x:c r="AG23" s="138" t="str">
        <x:f>IF(AND($B23="Milestone",AG$5=$D23),"◆","")</x:f>
      </x:c>
      <x:c r="AH23" s="138" t="str">
        <x:f>IF(AND($B23="Milestone",AH$5=$D23),"◆","")</x:f>
      </x:c>
      <x:c r="AI23" s="138" t="str">
        <x:f>IF(AND($B23="Milestone",AI$5=$D23),"◆","")</x:f>
      </x:c>
      <x:c r="AJ23" s="138" t="str">
        <x:f>IF(AND($B23="Milestone",AJ$5=$D23),"◆","")</x:f>
      </x:c>
      <x:c r="AK23" s="138" t="str">
        <x:f>IF(AND($B23="Milestone",AK$5=$D23),"◆","")</x:f>
      </x:c>
      <x:c r="AL23" s="138" t="str">
        <x:f>IF(AND($B23="Milestone",AL$5=$D23),"◆","")</x:f>
      </x:c>
      <x:c r="AM23" s="138" t="str">
        <x:f>IF(AND($B23="Milestone",AM$5=$D23),"◆","")</x:f>
      </x:c>
      <x:c r="AN23" s="138" t="str">
        <x:f>IF(AND($B23="Milestone",AN$5=$D23),"◆","")</x:f>
      </x:c>
      <x:c r="AO23" s="138" t="str">
        <x:f>IF(AND($B23="Milestone",AO$5=$D23),"◆","")</x:f>
      </x:c>
      <x:c r="AP23" s="138" t="str">
        <x:f>IF(AND($B23="Milestone",AP$5=$D23),"◆","")</x:f>
      </x:c>
      <x:c r="AQ23" s="138" t="str">
        <x:f>IF(AND($B23="Milestone",AQ$5=$D23),"◆","")</x:f>
      </x:c>
      <x:c r="AR23" s="155" t="str">
        <x:f>IF(AND($B23="Milestone",AR$5=$D23),"◆","")</x:f>
      </x:c>
    </x:row>
    <x:row r="24" ht="26" customHeight="1">
      <x:c r="A24" s="90" t="str">
        <x:v>T13</x:v>
      </x:c>
      <x:c r="B24" s="90" t="str">
        <x:v>Task</x:v>
      </x:c>
      <x:c r="C24" s="88" t="str">
        <x:v>Implement sandbox execution audit interception to W3C PROV ledger</x:v>
      </x:c>
      <x:c r="D24" s="92" t="n">
        <x:v>46286</x:v>
      </x:c>
      <x:c r="E24" s="92" t="n">
        <x:v>46287</x:v>
      </x:c>
      <x:c r="F24" s="90" t="n">
        <x:f>IF(OR(D24="",E24=""),"",E24-D24+1)</x:f>
        <x:v>2</x:v>
      </x:c>
      <x:c r="G24" s="88" t="str">
        <x:v>T11, T12 (FS)</x:v>
      </x:c>
      <x:c r="H24" s="88" t="str">
        <x:v>Sandbox Controller &amp; W3C PROV Audit</x:v>
      </x:c>
      <x:c r="I24" s="94" t="n">
        <x:v>1</x:v>
      </x:c>
      <x:c r="J24" s="90" t="str">
        <x:f>IF(COUNT(I24)=0,"",IF(I24&gt;=1,"Completed",IF(I24&gt;0,"In Progress","Not Started")))</x:f>
        <x:v>Completed</x:v>
      </x:c>
      <x:c r="K24" s="138" t="str">
        <x:f>IF(AND($B24="Milestone",K$5=$D24),"◆","")</x:f>
      </x:c>
      <x:c r="L24" s="138" t="str">
        <x:f>IF(AND($B24="Milestone",L$5=$D24),"◆","")</x:f>
      </x:c>
      <x:c r="M24" s="138" t="str">
        <x:f>IF(AND($B24="Milestone",M$5=$D24),"◆","")</x:f>
      </x:c>
      <x:c r="N24" s="138" t="str">
        <x:f>IF(AND($B24="Milestone",N$5=$D24),"◆","")</x:f>
      </x:c>
      <x:c r="O24" s="138" t="str">
        <x:f>IF(AND($B24="Milestone",O$5=$D24),"◆","")</x:f>
      </x:c>
      <x:c r="P24" s="138" t="str">
        <x:f>IF(AND($B24="Milestone",P$5=$D24),"◆","")</x:f>
      </x:c>
      <x:c r="Q24" s="138" t="str">
        <x:f>IF(AND($B24="Milestone",Q$5=$D24),"◆","")</x:f>
      </x:c>
      <x:c r="R24" s="138" t="str">
        <x:f>IF(AND($B24="Milestone",R$5=$D24),"◆","")</x:f>
      </x:c>
      <x:c r="S24" s="138" t="str">
        <x:f>IF(AND($B24="Milestone",S$5=$D24),"◆","")</x:f>
      </x:c>
      <x:c r="T24" s="138" t="str">
        <x:f>IF(AND($B24="Milestone",T$5=$D24),"◆","")</x:f>
      </x:c>
      <x:c r="U24" s="138" t="str">
        <x:f>IF(AND($B24="Milestone",U$5=$D24),"◆","")</x:f>
      </x:c>
      <x:c r="V24" s="138" t="str">
        <x:f>IF(AND($B24="Milestone",V$5=$D24),"◆","")</x:f>
      </x:c>
      <x:c r="W24" s="138" t="str">
        <x:f>IF(AND($B24="Milestone",W$5=$D24),"◆","")</x:f>
      </x:c>
      <x:c r="X24" s="138" t="str">
        <x:f>IF(AND($B24="Milestone",X$5=$D24),"◆","")</x:f>
      </x:c>
      <x:c r="Y24" s="138" t="str">
        <x:f>IF(AND($B24="Milestone",Y$5=$D24),"◆","")</x:f>
      </x:c>
      <x:c r="Z24" s="138" t="str">
        <x:f>IF(AND($B24="Milestone",Z$5=$D24),"◆","")</x:f>
      </x:c>
      <x:c r="AA24" s="138" t="str">
        <x:f>IF(AND($B24="Milestone",AA$5=$D24),"◆","")</x:f>
      </x:c>
      <x:c r="AB24" s="138" t="str">
        <x:f>IF(AND($B24="Milestone",AB$5=$D24),"◆","")</x:f>
      </x:c>
      <x:c r="AC24" s="138" t="str">
        <x:f>IF(AND($B24="Milestone",AC$5=$D24),"◆","")</x:f>
      </x:c>
      <x:c r="AD24" s="138" t="str">
        <x:f>IF(AND($B24="Milestone",AD$5=$D24),"◆","")</x:f>
      </x:c>
      <x:c r="AE24" s="138" t="str">
        <x:f>IF(AND($B24="Milestone",AE$5=$D24),"◆","")</x:f>
      </x:c>
      <x:c r="AF24" s="138" t="str">
        <x:f>IF(AND($B24="Milestone",AF$5=$D24),"◆","")</x:f>
      </x:c>
      <x:c r="AG24" s="138" t="str">
        <x:f>IF(AND($B24="Milestone",AG$5=$D24),"◆","")</x:f>
      </x:c>
      <x:c r="AH24" s="138" t="str">
        <x:f>IF(AND($B24="Milestone",AH$5=$D24),"◆","")</x:f>
      </x:c>
      <x:c r="AI24" s="138" t="str">
        <x:f>IF(AND($B24="Milestone",AI$5=$D24),"◆","")</x:f>
      </x:c>
      <x:c r="AJ24" s="138" t="str">
        <x:f>IF(AND($B24="Milestone",AJ$5=$D24),"◆","")</x:f>
      </x:c>
      <x:c r="AK24" s="138" t="str">
        <x:f>IF(AND($B24="Milestone",AK$5=$D24),"◆","")</x:f>
      </x:c>
      <x:c r="AL24" s="138" t="str">
        <x:f>IF(AND($B24="Milestone",AL$5=$D24),"◆","")</x:f>
      </x:c>
      <x:c r="AM24" s="138" t="str">
        <x:f>IF(AND($B24="Milestone",AM$5=$D24),"◆","")</x:f>
      </x:c>
      <x:c r="AN24" s="138" t="str">
        <x:f>IF(AND($B24="Milestone",AN$5=$D24),"◆","")</x:f>
      </x:c>
      <x:c r="AO24" s="138" t="str">
        <x:f>IF(AND($B24="Milestone",AO$5=$D24),"◆","")</x:f>
      </x:c>
      <x:c r="AP24" s="138" t="str">
        <x:f>IF(AND($B24="Milestone",AP$5=$D24),"◆","")</x:f>
      </x:c>
      <x:c r="AQ24" s="138" t="str">
        <x:f>IF(AND($B24="Milestone",AQ$5=$D24),"◆","")</x:f>
      </x:c>
      <x:c r="AR24" s="155" t="str">
        <x:f>IF(AND($B24="Milestone",AR$5=$D24),"◆","")</x:f>
      </x:c>
    </x:row>
    <x:row r="25" ht="26" customHeight="1">
      <x:c r="A25" s="90" t="str">
        <x:v>T14</x:v>
      </x:c>
      <x:c r="B25" s="90" t="str">
        <x:v>Task</x:v>
      </x:c>
      <x:c r="C25" s="88" t="str">
        <x:v>Instantiate specialist sub-agent micro-tools (S_CODE to S_ATTR) in sandbox</x:v>
      </x:c>
      <x:c r="D25" s="92" t="n">
        <x:v>46286</x:v>
      </x:c>
      <x:c r="E25" s="92" t="n">
        <x:v>46288</x:v>
      </x:c>
      <x:c r="F25" s="90" t="n">
        <x:f>IF(OR(D25="",E25=""),"",E25-D25+1)</x:f>
        <x:v>3</x:v>
      </x:c>
      <x:c r="G25" s="88" t="str">
        <x:v>T11, T12 (FS)</x:v>
      </x:c>
      <x:c r="H25" s="88" t="str">
        <x:v>Specialist Sub-Agents (L4_SUBS)</x:v>
      </x:c>
      <x:c r="I25" s="94" t="n">
        <x:v>1</x:v>
      </x:c>
      <x:c r="J25" s="90" t="str">
        <x:f>IF(COUNT(I25)=0,"",IF(I25&gt;=1,"Completed",IF(I25&gt;0,"In Progress","Not Started")))</x:f>
        <x:v>Completed</x:v>
      </x:c>
      <x:c r="K25" s="138" t="str">
        <x:f>IF(AND($B25="Milestone",K$5=$D25),"◆","")</x:f>
      </x:c>
      <x:c r="L25" s="138" t="str">
        <x:f>IF(AND($B25="Milestone",L$5=$D25),"◆","")</x:f>
      </x:c>
      <x:c r="M25" s="138" t="str">
        <x:f>IF(AND($B25="Milestone",M$5=$D25),"◆","")</x:f>
      </x:c>
      <x:c r="N25" s="138" t="str">
        <x:f>IF(AND($B25="Milestone",N$5=$D25),"◆","")</x:f>
      </x:c>
      <x:c r="O25" s="138" t="str">
        <x:f>IF(AND($B25="Milestone",O$5=$D25),"◆","")</x:f>
      </x:c>
      <x:c r="P25" s="138" t="str">
        <x:f>IF(AND($B25="Milestone",P$5=$D25),"◆","")</x:f>
      </x:c>
      <x:c r="Q25" s="138" t="str">
        <x:f>IF(AND($B25="Milestone",Q$5=$D25),"◆","")</x:f>
      </x:c>
      <x:c r="R25" s="138" t="str">
        <x:f>IF(AND($B25="Milestone",R$5=$D25),"◆","")</x:f>
      </x:c>
      <x:c r="S25" s="138" t="str">
        <x:f>IF(AND($B25="Milestone",S$5=$D25),"◆","")</x:f>
      </x:c>
      <x:c r="T25" s="138" t="str">
        <x:f>IF(AND($B25="Milestone",T$5=$D25),"◆","")</x:f>
      </x:c>
      <x:c r="U25" s="138" t="str">
        <x:f>IF(AND($B25="Milestone",U$5=$D25),"◆","")</x:f>
      </x:c>
      <x:c r="V25" s="138" t="str">
        <x:f>IF(AND($B25="Milestone",V$5=$D25),"◆","")</x:f>
      </x:c>
      <x:c r="W25" s="138" t="str">
        <x:f>IF(AND($B25="Milestone",W$5=$D25),"◆","")</x:f>
      </x:c>
      <x:c r="X25" s="138" t="str">
        <x:f>IF(AND($B25="Milestone",X$5=$D25),"◆","")</x:f>
      </x:c>
      <x:c r="Y25" s="138" t="str">
        <x:f>IF(AND($B25="Milestone",Y$5=$D25),"◆","")</x:f>
      </x:c>
      <x:c r="Z25" s="138" t="str">
        <x:f>IF(AND($B25="Milestone",Z$5=$D25),"◆","")</x:f>
      </x:c>
      <x:c r="AA25" s="138" t="str">
        <x:f>IF(AND($B25="Milestone",AA$5=$D25),"◆","")</x:f>
      </x:c>
      <x:c r="AB25" s="138" t="str">
        <x:f>IF(AND($B25="Milestone",AB$5=$D25),"◆","")</x:f>
      </x:c>
      <x:c r="AC25" s="138" t="str">
        <x:f>IF(AND($B25="Milestone",AC$5=$D25),"◆","")</x:f>
      </x:c>
      <x:c r="AD25" s="138" t="str">
        <x:f>IF(AND($B25="Milestone",AD$5=$D25),"◆","")</x:f>
      </x:c>
      <x:c r="AE25" s="138" t="str">
        <x:f>IF(AND($B25="Milestone",AE$5=$D25),"◆","")</x:f>
      </x:c>
      <x:c r="AF25" s="138" t="str">
        <x:f>IF(AND($B25="Milestone",AF$5=$D25),"◆","")</x:f>
      </x:c>
      <x:c r="AG25" s="138" t="str">
        <x:f>IF(AND($B25="Milestone",AG$5=$D25),"◆","")</x:f>
      </x:c>
      <x:c r="AH25" s="138" t="str">
        <x:f>IF(AND($B25="Milestone",AH$5=$D25),"◆","")</x:f>
      </x:c>
      <x:c r="AI25" s="138" t="str">
        <x:f>IF(AND($B25="Milestone",AI$5=$D25),"◆","")</x:f>
      </x:c>
      <x:c r="AJ25" s="138" t="str">
        <x:f>IF(AND($B25="Milestone",AJ$5=$D25),"◆","")</x:f>
      </x:c>
      <x:c r="AK25" s="138" t="str">
        <x:f>IF(AND($B25="Milestone",AK$5=$D25),"◆","")</x:f>
      </x:c>
      <x:c r="AL25" s="138" t="str">
        <x:f>IF(AND($B25="Milestone",AL$5=$D25),"◆","")</x:f>
      </x:c>
      <x:c r="AM25" s="138" t="str">
        <x:f>IF(AND($B25="Milestone",AM$5=$D25),"◆","")</x:f>
      </x:c>
      <x:c r="AN25" s="138" t="str">
        <x:f>IF(AND($B25="Milestone",AN$5=$D25),"◆","")</x:f>
      </x:c>
      <x:c r="AO25" s="138" t="str">
        <x:f>IF(AND($B25="Milestone",AO$5=$D25),"◆","")</x:f>
      </x:c>
      <x:c r="AP25" s="138" t="str">
        <x:f>IF(AND($B25="Milestone",AP$5=$D25),"◆","")</x:f>
      </x:c>
      <x:c r="AQ25" s="138" t="str">
        <x:f>IF(AND($B25="Milestone",AQ$5=$D25),"◆","")</x:f>
      </x:c>
      <x:c r="AR25" s="155" t="str">
        <x:f>IF(AND($B25="Milestone",AR$5=$D25),"◆","")</x:f>
      </x:c>
    </x:row>
    <x:row r="26" ht="22" customHeight="1">
      <x:c r="A26" s="122" t="str">
        <x:v>M3</x:v>
      </x:c>
      <x:c r="B26" s="122" t="str">
        <x:v>Milestone</x:v>
      </x:c>
      <x:c r="C26" s="123" t="str">
        <x:v>Sandbox Isolation &amp; Specialist Sub-Agent Readiness</x:v>
      </x:c>
      <x:c r="D26" s="124" t="n">
        <x:v>46288</x:v>
      </x:c>
      <x:c r="E26" s="124" t="n">
        <x:v>46288</x:v>
      </x:c>
      <x:c r="F26" s="122" t="n">
        <x:f>IF(OR(D26="",E26=""),"",0)</x:f>
        <x:v>0</x:v>
      </x:c>
      <x:c r="G26" s="123" t="str">
        <x:v>Linked: T11, T12, T13, T14</x:v>
      </x:c>
      <x:c r="H26" s="123" t="str"/>
      <x:c r="I26" s="125"/>
      <x:c r="J26" s="122" t="str">
        <x:v>Complete</x:v>
      </x:c>
      <x:c r="K26" s="138" t="str">
        <x:f>IF(AND($B26="Milestone",K$5=$D26),"◆","")</x:f>
      </x:c>
      <x:c r="L26" s="138" t="str">
        <x:f>IF(AND($B26="Milestone",L$5=$D26),"◆","")</x:f>
      </x:c>
      <x:c r="M26" s="138" t="str">
        <x:f>IF(AND($B26="Milestone",M$5=$D26),"◆","")</x:f>
      </x:c>
      <x:c r="N26" s="138" t="str">
        <x:f>IF(AND($B26="Milestone",N$5=$D26),"◆","")</x:f>
      </x:c>
      <x:c r="O26" s="138" t="str">
        <x:f>IF(AND($B26="Milestone",O$5=$D26),"◆","")</x:f>
      </x:c>
      <x:c r="P26" s="138" t="str">
        <x:f>IF(AND($B26="Milestone",P$5=$D26),"◆","")</x:f>
      </x:c>
      <x:c r="Q26" s="138" t="str">
        <x:f>IF(AND($B26="Milestone",Q$5=$D26),"◆","")</x:f>
      </x:c>
      <x:c r="R26" s="138" t="str">
        <x:f>IF(AND($B26="Milestone",R$5=$D26),"◆","")</x:f>
      </x:c>
      <x:c r="S26" s="138" t="str">
        <x:f>IF(AND($B26="Milestone",S$5=$D26),"◆","")</x:f>
      </x:c>
      <x:c r="T26" s="138" t="str">
        <x:f>IF(AND($B26="Milestone",T$5=$D26),"◆","")</x:f>
      </x:c>
      <x:c r="U26" s="138" t="str">
        <x:f>IF(AND($B26="Milestone",U$5=$D26),"◆","")</x:f>
      </x:c>
      <x:c r="V26" s="138" t="str">
        <x:f>IF(AND($B26="Milestone",V$5=$D26),"◆","")</x:f>
      </x:c>
      <x:c r="W26" s="138" t="str">
        <x:f>IF(AND($B26="Milestone",W$5=$D26),"◆","")</x:f>
        <x:v>◆</x:v>
      </x:c>
      <x:c r="X26" s="138" t="str">
        <x:f>IF(AND($B26="Milestone",X$5=$D26),"◆","")</x:f>
      </x:c>
      <x:c r="Y26" s="138" t="str">
        <x:f>IF(AND($B26="Milestone",Y$5=$D26),"◆","")</x:f>
      </x:c>
      <x:c r="Z26" s="138" t="str">
        <x:f>IF(AND($B26="Milestone",Z$5=$D26),"◆","")</x:f>
      </x:c>
      <x:c r="AA26" s="138" t="str">
        <x:f>IF(AND($B26="Milestone",AA$5=$D26),"◆","")</x:f>
      </x:c>
      <x:c r="AB26" s="138" t="str">
        <x:f>IF(AND($B26="Milestone",AB$5=$D26),"◆","")</x:f>
      </x:c>
      <x:c r="AC26" s="138" t="str">
        <x:f>IF(AND($B26="Milestone",AC$5=$D26),"◆","")</x:f>
      </x:c>
      <x:c r="AD26" s="138" t="str">
        <x:f>IF(AND($B26="Milestone",AD$5=$D26),"◆","")</x:f>
      </x:c>
      <x:c r="AE26" s="138" t="str">
        <x:f>IF(AND($B26="Milestone",AE$5=$D26),"◆","")</x:f>
      </x:c>
      <x:c r="AF26" s="138" t="str">
        <x:f>IF(AND($B26="Milestone",AF$5=$D26),"◆","")</x:f>
      </x:c>
      <x:c r="AG26" s="138" t="str">
        <x:f>IF(AND($B26="Milestone",AG$5=$D26),"◆","")</x:f>
      </x:c>
      <x:c r="AH26" s="138" t="str">
        <x:f>IF(AND($B26="Milestone",AH$5=$D26),"◆","")</x:f>
      </x:c>
      <x:c r="AI26" s="138" t="str">
        <x:f>IF(AND($B26="Milestone",AI$5=$D26),"◆","")</x:f>
      </x:c>
      <x:c r="AJ26" s="138" t="str">
        <x:f>IF(AND($B26="Milestone",AJ$5=$D26),"◆","")</x:f>
      </x:c>
      <x:c r="AK26" s="138" t="str">
        <x:f>IF(AND($B26="Milestone",AK$5=$D26),"◆","")</x:f>
      </x:c>
      <x:c r="AL26" s="138" t="str">
        <x:f>IF(AND($B26="Milestone",AL$5=$D26),"◆","")</x:f>
      </x:c>
      <x:c r="AM26" s="138" t="str">
        <x:f>IF(AND($B26="Milestone",AM$5=$D26),"◆","")</x:f>
      </x:c>
      <x:c r="AN26" s="138" t="str">
        <x:f>IF(AND($B26="Milestone",AN$5=$D26),"◆","")</x:f>
      </x:c>
      <x:c r="AO26" s="138" t="str">
        <x:f>IF(AND($B26="Milestone",AO$5=$D26),"◆","")</x:f>
      </x:c>
      <x:c r="AP26" s="138" t="str">
        <x:f>IF(AND($B26="Milestone",AP$5=$D26),"◆","")</x:f>
      </x:c>
      <x:c r="AQ26" s="138" t="str">
        <x:f>IF(AND($B26="Milestone",AQ$5=$D26),"◆","")</x:f>
      </x:c>
      <x:c r="AR26" s="155" t="str">
        <x:f>IF(AND($B26="Milestone",AR$5=$D26),"◆","")</x:f>
      </x:c>
    </x:row>
    <x:row r="27" ht="22" customHeight="1">
      <x:c r="A27" s="101" t="str"/>
      <x:c r="B27" s="101" t="str">
        <x:v>Summary</x:v>
      </x:c>
      <x:c r="C27" s="102" t="str">
        <x:v>Domain Intelligence Ingestion &amp; Asset Synthesis Complete</x:v>
      </x:c>
      <x:c r="D27" s="103" t="n">
        <x:f>MIN(D28:D34)</x:f>
        <x:v>46288</x:v>
      </x:c>
      <x:c r="E27" s="103" t="n">
        <x:f>MAX(E28:E34)</x:f>
        <x:v>46297</x:v>
      </x:c>
      <x:c r="F27" s="101" t="n">
        <x:f>E27-D27+1</x:f>
        <x:v>10</x:v>
      </x:c>
      <x:c r="G27" s="102" t="str"/>
      <x:c r="H27" s="102" t="str"/>
      <x:c r="I27" s="104" t="n">
        <x:f>IFERROR(SUMPRODUCT(F28:F34,I28:I34)/SUM(F28:F34),0)</x:f>
        <x:v>1</x:v>
      </x:c>
      <x:c r="J27" s="101" t="str">
        <x:v>Complete</x:v>
      </x:c>
      <x:c r="K27" s="136" t="str">
        <x:f>IF(AND($B27="Milestone",K$5=$D27),"◆","")</x:f>
      </x:c>
      <x:c r="L27" s="136" t="str">
        <x:f>IF(AND($B27="Milestone",L$5=$D27),"◆","")</x:f>
      </x:c>
      <x:c r="M27" s="136" t="str">
        <x:f>IF(AND($B27="Milestone",M$5=$D27),"◆","")</x:f>
      </x:c>
      <x:c r="N27" s="136" t="str">
        <x:f>IF(AND($B27="Milestone",N$5=$D27),"◆","")</x:f>
      </x:c>
      <x:c r="O27" s="136" t="str">
        <x:f>IF(AND($B27="Milestone",O$5=$D27),"◆","")</x:f>
      </x:c>
      <x:c r="P27" s="136" t="str">
        <x:f>IF(AND($B27="Milestone",P$5=$D27),"◆","")</x:f>
      </x:c>
      <x:c r="Q27" s="136" t="str">
        <x:f>IF(AND($B27="Milestone",Q$5=$D27),"◆","")</x:f>
      </x:c>
      <x:c r="R27" s="136" t="str">
        <x:f>IF(AND($B27="Milestone",R$5=$D27),"◆","")</x:f>
      </x:c>
      <x:c r="S27" s="136" t="str">
        <x:f>IF(AND($B27="Milestone",S$5=$D27),"◆","")</x:f>
      </x:c>
      <x:c r="T27" s="136" t="str">
        <x:f>IF(AND($B27="Milestone",T$5=$D27),"◆","")</x:f>
      </x:c>
      <x:c r="U27" s="136" t="str">
        <x:f>IF(AND($B27="Milestone",U$5=$D27),"◆","")</x:f>
      </x:c>
      <x:c r="V27" s="136" t="str">
        <x:f>IF(AND($B27="Milestone",V$5=$D27),"◆","")</x:f>
      </x:c>
      <x:c r="W27" s="136" t="str">
        <x:f>IF(AND($B27="Milestone",W$5=$D27),"◆","")</x:f>
      </x:c>
      <x:c r="X27" s="136" t="str">
        <x:f>IF(AND($B27="Milestone",X$5=$D27),"◆","")</x:f>
      </x:c>
      <x:c r="Y27" s="136" t="str">
        <x:f>IF(AND($B27="Milestone",Y$5=$D27),"◆","")</x:f>
      </x:c>
      <x:c r="Z27" s="136" t="str">
        <x:f>IF(AND($B27="Milestone",Z$5=$D27),"◆","")</x:f>
      </x:c>
      <x:c r="AA27" s="136" t="str">
        <x:f>IF(AND($B27="Milestone",AA$5=$D27),"◆","")</x:f>
      </x:c>
      <x:c r="AB27" s="136" t="str">
        <x:f>IF(AND($B27="Milestone",AB$5=$D27),"◆","")</x:f>
      </x:c>
      <x:c r="AC27" s="136" t="str">
        <x:f>IF(AND($B27="Milestone",AC$5=$D27),"◆","")</x:f>
      </x:c>
      <x:c r="AD27" s="136" t="str">
        <x:f>IF(AND($B27="Milestone",AD$5=$D27),"◆","")</x:f>
      </x:c>
      <x:c r="AE27" s="136" t="str">
        <x:f>IF(AND($B27="Milestone",AE$5=$D27),"◆","")</x:f>
      </x:c>
      <x:c r="AF27" s="136" t="str">
        <x:f>IF(AND($B27="Milestone",AF$5=$D27),"◆","")</x:f>
      </x:c>
      <x:c r="AG27" s="136" t="str">
        <x:f>IF(AND($B27="Milestone",AG$5=$D27),"◆","")</x:f>
      </x:c>
      <x:c r="AH27" s="136" t="str">
        <x:f>IF(AND($B27="Milestone",AH$5=$D27),"◆","")</x:f>
      </x:c>
      <x:c r="AI27" s="136" t="str">
        <x:f>IF(AND($B27="Milestone",AI$5=$D27),"◆","")</x:f>
      </x:c>
      <x:c r="AJ27" s="136" t="str">
        <x:f>IF(AND($B27="Milestone",AJ$5=$D27),"◆","")</x:f>
      </x:c>
      <x:c r="AK27" s="136" t="str">
        <x:f>IF(AND($B27="Milestone",AK$5=$D27),"◆","")</x:f>
      </x:c>
      <x:c r="AL27" s="136" t="str">
        <x:f>IF(AND($B27="Milestone",AL$5=$D27),"◆","")</x:f>
      </x:c>
      <x:c r="AM27" s="136" t="str">
        <x:f>IF(AND($B27="Milestone",AM$5=$D27),"◆","")</x:f>
      </x:c>
      <x:c r="AN27" s="136" t="str">
        <x:f>IF(AND($B27="Milestone",AN$5=$D27),"◆","")</x:f>
      </x:c>
      <x:c r="AO27" s="136" t="str">
        <x:f>IF(AND($B27="Milestone",AO$5=$D27),"◆","")</x:f>
      </x:c>
      <x:c r="AP27" s="136" t="str">
        <x:f>IF(AND($B27="Milestone",AP$5=$D27),"◆","")</x:f>
      </x:c>
      <x:c r="AQ27" s="136" t="str">
        <x:f>IF(AND($B27="Milestone",AQ$5=$D27),"◆","")</x:f>
      </x:c>
      <x:c r="AR27" s="154" t="str">
        <x:f>IF(AND($B27="Milestone",AR$5=$D27),"◆","")</x:f>
      </x:c>
    </x:row>
    <x:row r="28" ht="26" customHeight="1">
      <x:c r="A28" s="90" t="str">
        <x:v>T15</x:v>
      </x:c>
      <x:c r="B28" s="90" t="str">
        <x:v>Task</x:v>
      </x:c>
      <x:c r="C28" s="88" t="str">
        <x:v>Configure Intelligence Engine context assembly &amp; brand persona layer</x:v>
      </x:c>
      <x:c r="D28" s="92" t="n">
        <x:v>46288</x:v>
      </x:c>
      <x:c r="E28" s="92" t="n">
        <x:v>46289</x:v>
      </x:c>
      <x:c r="F28" s="90" t="n">
        <x:f>IF(OR(D28="",E28=""),"",E28-D28+1)</x:f>
        <x:v>2</x:v>
      </x:c>
      <x:c r="G28" s="88" t="str">
        <x:v>T04, T10 (FS)</x:v>
      </x:c>
      <x:c r="H28" s="88" t="str">
        <x:v>Intelligence Engine (IE)</x:v>
      </x:c>
      <x:c r="I28" s="94" t="n">
        <x:v>1</x:v>
      </x:c>
      <x:c r="J28" s="90" t="str">
        <x:f>IF(COUNT(I28)=0,"",IF(I28&gt;=1,"Completed",IF(I28&gt;0,"In Progress","Not Started")))</x:f>
        <x:v>Completed</x:v>
      </x:c>
      <x:c r="K28" s="138" t="str">
        <x:f>IF(AND($B28="Milestone",K$5=$D28),"◆","")</x:f>
      </x:c>
      <x:c r="L28" s="138" t="str">
        <x:f>IF(AND($B28="Milestone",L$5=$D28),"◆","")</x:f>
      </x:c>
      <x:c r="M28" s="138" t="str">
        <x:f>IF(AND($B28="Milestone",M$5=$D28),"◆","")</x:f>
      </x:c>
      <x:c r="N28" s="138" t="str">
        <x:f>IF(AND($B28="Milestone",N$5=$D28),"◆","")</x:f>
      </x:c>
      <x:c r="O28" s="138" t="str">
        <x:f>IF(AND($B28="Milestone",O$5=$D28),"◆","")</x:f>
      </x:c>
      <x:c r="P28" s="138" t="str">
        <x:f>IF(AND($B28="Milestone",P$5=$D28),"◆","")</x:f>
      </x:c>
      <x:c r="Q28" s="138" t="str">
        <x:f>IF(AND($B28="Milestone",Q$5=$D28),"◆","")</x:f>
      </x:c>
      <x:c r="R28" s="138" t="str">
        <x:f>IF(AND($B28="Milestone",R$5=$D28),"◆","")</x:f>
      </x:c>
      <x:c r="S28" s="138" t="str">
        <x:f>IF(AND($B28="Milestone",S$5=$D28),"◆","")</x:f>
      </x:c>
      <x:c r="T28" s="138" t="str">
        <x:f>IF(AND($B28="Milestone",T$5=$D28),"◆","")</x:f>
      </x:c>
      <x:c r="U28" s="138" t="str">
        <x:f>IF(AND($B28="Milestone",U$5=$D28),"◆","")</x:f>
      </x:c>
      <x:c r="V28" s="138" t="str">
        <x:f>IF(AND($B28="Milestone",V$5=$D28),"◆","")</x:f>
      </x:c>
      <x:c r="W28" s="138" t="str">
        <x:f>IF(AND($B28="Milestone",W$5=$D28),"◆","")</x:f>
      </x:c>
      <x:c r="X28" s="138" t="str">
        <x:f>IF(AND($B28="Milestone",X$5=$D28),"◆","")</x:f>
      </x:c>
      <x:c r="Y28" s="138" t="str">
        <x:f>IF(AND($B28="Milestone",Y$5=$D28),"◆","")</x:f>
      </x:c>
      <x:c r="Z28" s="138" t="str">
        <x:f>IF(AND($B28="Milestone",Z$5=$D28),"◆","")</x:f>
      </x:c>
      <x:c r="AA28" s="138" t="str">
        <x:f>IF(AND($B28="Milestone",AA$5=$D28),"◆","")</x:f>
      </x:c>
      <x:c r="AB28" s="138" t="str">
        <x:f>IF(AND($B28="Milestone",AB$5=$D28),"◆","")</x:f>
      </x:c>
      <x:c r="AC28" s="138" t="str">
        <x:f>IF(AND($B28="Milestone",AC$5=$D28),"◆","")</x:f>
      </x:c>
      <x:c r="AD28" s="138" t="str">
        <x:f>IF(AND($B28="Milestone",AD$5=$D28),"◆","")</x:f>
      </x:c>
      <x:c r="AE28" s="138" t="str">
        <x:f>IF(AND($B28="Milestone",AE$5=$D28),"◆","")</x:f>
      </x:c>
      <x:c r="AF28" s="138" t="str">
        <x:f>IF(AND($B28="Milestone",AF$5=$D28),"◆","")</x:f>
      </x:c>
      <x:c r="AG28" s="138" t="str">
        <x:f>IF(AND($B28="Milestone",AG$5=$D28),"◆","")</x:f>
      </x:c>
      <x:c r="AH28" s="138" t="str">
        <x:f>IF(AND($B28="Milestone",AH$5=$D28),"◆","")</x:f>
      </x:c>
      <x:c r="AI28" s="138" t="str">
        <x:f>IF(AND($B28="Milestone",AI$5=$D28),"◆","")</x:f>
      </x:c>
      <x:c r="AJ28" s="138" t="str">
        <x:f>IF(AND($B28="Milestone",AJ$5=$D28),"◆","")</x:f>
      </x:c>
      <x:c r="AK28" s="138" t="str">
        <x:f>IF(AND($B28="Milestone",AK$5=$D28),"◆","")</x:f>
      </x:c>
      <x:c r="AL28" s="138" t="str">
        <x:f>IF(AND($B28="Milestone",AL$5=$D28),"◆","")</x:f>
      </x:c>
      <x:c r="AM28" s="138" t="str">
        <x:f>IF(AND($B28="Milestone",AM$5=$D28),"◆","")</x:f>
      </x:c>
      <x:c r="AN28" s="138" t="str">
        <x:f>IF(AND($B28="Milestone",AN$5=$D28),"◆","")</x:f>
      </x:c>
      <x:c r="AO28" s="138" t="str">
        <x:f>IF(AND($B28="Milestone",AO$5=$D28),"◆","")</x:f>
      </x:c>
      <x:c r="AP28" s="138" t="str">
        <x:f>IF(AND($B28="Milestone",AP$5=$D28),"◆","")</x:f>
      </x:c>
      <x:c r="AQ28" s="138" t="str">
        <x:f>IF(AND($B28="Milestone",AQ$5=$D28),"◆","")</x:f>
      </x:c>
      <x:c r="AR28" s="155" t="str">
        <x:f>IF(AND($B28="Milestone",AR$5=$D28),"◆","")</x:f>
      </x:c>
    </x:row>
    <x:row r="29" ht="26" customHeight="1">
      <x:c r="A29" s="90" t="str">
        <x:v>T16</x:v>
      </x:c>
      <x:c r="B29" s="90" t="str">
        <x:v>Task</x:v>
      </x:c>
      <x:c r="C29" s="88" t="str">
        <x:v>Ingest &amp; verify product formulations and compliance dossiers (W_PROD)</x:v>
      </x:c>
      <x:c r="D29" s="92" t="n">
        <x:v>46289</x:v>
      </x:c>
      <x:c r="E29" s="92" t="n">
        <x:v>46291</x:v>
      </x:c>
      <x:c r="F29" s="90" t="n">
        <x:f>IF(OR(D29="",E29=""),"",E29-D29+1)</x:f>
        <x:v>3</x:v>
      </x:c>
      <x:c r="G29" s="88" t="str">
        <x:v>T10, T14, T15 (FS)</x:v>
      </x:c>
      <x:c r="H29" s="88" t="str">
        <x:v>Product / Evidence Engine &amp; S_VAL</x:v>
      </x:c>
      <x:c r="I29" s="94" t="n">
        <x:v>1</x:v>
      </x:c>
      <x:c r="J29" s="90" t="str">
        <x:f>IF(COUNT(I29)=0,"",IF(I29&gt;=1,"Completed",IF(I29&gt;0,"In Progress","Not Started")))</x:f>
        <x:v>Completed</x:v>
      </x:c>
      <x:c r="K29" s="138" t="str">
        <x:f>IF(AND($B29="Milestone",K$5=$D29),"◆","")</x:f>
      </x:c>
      <x:c r="L29" s="138" t="str">
        <x:f>IF(AND($B29="Milestone",L$5=$D29),"◆","")</x:f>
      </x:c>
      <x:c r="M29" s="138" t="str">
        <x:f>IF(AND($B29="Milestone",M$5=$D29),"◆","")</x:f>
      </x:c>
      <x:c r="N29" s="138" t="str">
        <x:f>IF(AND($B29="Milestone",N$5=$D29),"◆","")</x:f>
      </x:c>
      <x:c r="O29" s="138" t="str">
        <x:f>IF(AND($B29="Milestone",O$5=$D29),"◆","")</x:f>
      </x:c>
      <x:c r="P29" s="138" t="str">
        <x:f>IF(AND($B29="Milestone",P$5=$D29),"◆","")</x:f>
      </x:c>
      <x:c r="Q29" s="138" t="str">
        <x:f>IF(AND($B29="Milestone",Q$5=$D29),"◆","")</x:f>
      </x:c>
      <x:c r="R29" s="138" t="str">
        <x:f>IF(AND($B29="Milestone",R$5=$D29),"◆","")</x:f>
      </x:c>
      <x:c r="S29" s="138" t="str">
        <x:f>IF(AND($B29="Milestone",S$5=$D29),"◆","")</x:f>
      </x:c>
      <x:c r="T29" s="138" t="str">
        <x:f>IF(AND($B29="Milestone",T$5=$D29),"◆","")</x:f>
      </x:c>
      <x:c r="U29" s="138" t="str">
        <x:f>IF(AND($B29="Milestone",U$5=$D29),"◆","")</x:f>
      </x:c>
      <x:c r="V29" s="138" t="str">
        <x:f>IF(AND($B29="Milestone",V$5=$D29),"◆","")</x:f>
      </x:c>
      <x:c r="W29" s="138" t="str">
        <x:f>IF(AND($B29="Milestone",W$5=$D29),"◆","")</x:f>
      </x:c>
      <x:c r="X29" s="138" t="str">
        <x:f>IF(AND($B29="Milestone",X$5=$D29),"◆","")</x:f>
      </x:c>
      <x:c r="Y29" s="138" t="str">
        <x:f>IF(AND($B29="Milestone",Y$5=$D29),"◆","")</x:f>
      </x:c>
      <x:c r="Z29" s="138" t="str">
        <x:f>IF(AND($B29="Milestone",Z$5=$D29),"◆","")</x:f>
      </x:c>
      <x:c r="AA29" s="138" t="str">
        <x:f>IF(AND($B29="Milestone",AA$5=$D29),"◆","")</x:f>
      </x:c>
      <x:c r="AB29" s="138" t="str">
        <x:f>IF(AND($B29="Milestone",AB$5=$D29),"◆","")</x:f>
      </x:c>
      <x:c r="AC29" s="138" t="str">
        <x:f>IF(AND($B29="Milestone",AC$5=$D29),"◆","")</x:f>
      </x:c>
      <x:c r="AD29" s="138" t="str">
        <x:f>IF(AND($B29="Milestone",AD$5=$D29),"◆","")</x:f>
      </x:c>
      <x:c r="AE29" s="138" t="str">
        <x:f>IF(AND($B29="Milestone",AE$5=$D29),"◆","")</x:f>
      </x:c>
      <x:c r="AF29" s="138" t="str">
        <x:f>IF(AND($B29="Milestone",AF$5=$D29),"◆","")</x:f>
      </x:c>
      <x:c r="AG29" s="138" t="str">
        <x:f>IF(AND($B29="Milestone",AG$5=$D29),"◆","")</x:f>
      </x:c>
      <x:c r="AH29" s="138" t="str">
        <x:f>IF(AND($B29="Milestone",AH$5=$D29),"◆","")</x:f>
      </x:c>
      <x:c r="AI29" s="138" t="str">
        <x:f>IF(AND($B29="Milestone",AI$5=$D29),"◆","")</x:f>
      </x:c>
      <x:c r="AJ29" s="138" t="str">
        <x:f>IF(AND($B29="Milestone",AJ$5=$D29),"◆","")</x:f>
      </x:c>
      <x:c r="AK29" s="138" t="str">
        <x:f>IF(AND($B29="Milestone",AK$5=$D29),"◆","")</x:f>
      </x:c>
      <x:c r="AL29" s="138" t="str">
        <x:f>IF(AND($B29="Milestone",AL$5=$D29),"◆","")</x:f>
      </x:c>
      <x:c r="AM29" s="138" t="str">
        <x:f>IF(AND($B29="Milestone",AM$5=$D29),"◆","")</x:f>
      </x:c>
      <x:c r="AN29" s="138" t="str">
        <x:f>IF(AND($B29="Milestone",AN$5=$D29),"◆","")</x:f>
      </x:c>
      <x:c r="AO29" s="138" t="str">
        <x:f>IF(AND($B29="Milestone",AO$5=$D29),"◆","")</x:f>
      </x:c>
      <x:c r="AP29" s="138" t="str">
        <x:f>IF(AND($B29="Milestone",AP$5=$D29),"◆","")</x:f>
      </x:c>
      <x:c r="AQ29" s="138" t="str">
        <x:f>IF(AND($B29="Milestone",AQ$5=$D29),"◆","")</x:f>
      </x:c>
      <x:c r="AR29" s="155" t="str">
        <x:f>IF(AND($B29="Milestone",AR$5=$D29),"◆","")</x:f>
      </x:c>
    </x:row>
    <x:row r="30" ht="26" customHeight="1">
      <x:c r="A30" s="90" t="str">
        <x:v>T17</x:v>
      </x:c>
      <x:c r="B30" s="90" t="str">
        <x:v>Task</x:v>
      </x:c>
      <x:c r="C30" s="88" t="str">
        <x:v>Ingest &amp; parse customer support tickets and review sentiment (W_VOICE)</x:v>
      </x:c>
      <x:c r="D30" s="92" t="n">
        <x:v>46289</x:v>
      </x:c>
      <x:c r="E30" s="92" t="n">
        <x:v>46291</x:v>
      </x:c>
      <x:c r="F30" s="90" t="n">
        <x:f>IF(OR(D30="",E30=""),"",E30-D30+1)</x:f>
        <x:v>3</x:v>
      </x:c>
      <x:c r="G30" s="88" t="str">
        <x:v>T10, T14, T15 (FS)</x:v>
      </x:c>
      <x:c r="H30" s="88" t="str">
        <x:v>Customer Voice Engine &amp; S_PARSE</x:v>
      </x:c>
      <x:c r="I30" s="94" t="n">
        <x:v>1</x:v>
      </x:c>
      <x:c r="J30" s="90" t="str">
        <x:f>IF(COUNT(I30)=0,"",IF(I30&gt;=1,"Completed",IF(I30&gt;0,"In Progress","Not Started")))</x:f>
        <x:v>Completed</x:v>
      </x:c>
      <x:c r="K30" s="138" t="str">
        <x:f>IF(AND($B30="Milestone",K$5=$D30),"◆","")</x:f>
      </x:c>
      <x:c r="L30" s="138" t="str">
        <x:f>IF(AND($B30="Milestone",L$5=$D30),"◆","")</x:f>
      </x:c>
      <x:c r="M30" s="138" t="str">
        <x:f>IF(AND($B30="Milestone",M$5=$D30),"◆","")</x:f>
      </x:c>
      <x:c r="N30" s="138" t="str">
        <x:f>IF(AND($B30="Milestone",N$5=$D30),"◆","")</x:f>
      </x:c>
      <x:c r="O30" s="138" t="str">
        <x:f>IF(AND($B30="Milestone",O$5=$D30),"◆","")</x:f>
      </x:c>
      <x:c r="P30" s="138" t="str">
        <x:f>IF(AND($B30="Milestone",P$5=$D30),"◆","")</x:f>
      </x:c>
      <x:c r="Q30" s="138" t="str">
        <x:f>IF(AND($B30="Milestone",Q$5=$D30),"◆","")</x:f>
      </x:c>
      <x:c r="R30" s="138" t="str">
        <x:f>IF(AND($B30="Milestone",R$5=$D30),"◆","")</x:f>
      </x:c>
      <x:c r="S30" s="138" t="str">
        <x:f>IF(AND($B30="Milestone",S$5=$D30),"◆","")</x:f>
      </x:c>
      <x:c r="T30" s="138" t="str">
        <x:f>IF(AND($B30="Milestone",T$5=$D30),"◆","")</x:f>
      </x:c>
      <x:c r="U30" s="138" t="str">
        <x:f>IF(AND($B30="Milestone",U$5=$D30),"◆","")</x:f>
      </x:c>
      <x:c r="V30" s="138" t="str">
        <x:f>IF(AND($B30="Milestone",V$5=$D30),"◆","")</x:f>
      </x:c>
      <x:c r="W30" s="138" t="str">
        <x:f>IF(AND($B30="Milestone",W$5=$D30),"◆","")</x:f>
      </x:c>
      <x:c r="X30" s="138" t="str">
        <x:f>IF(AND($B30="Milestone",X$5=$D30),"◆","")</x:f>
      </x:c>
      <x:c r="Y30" s="138" t="str">
        <x:f>IF(AND($B30="Milestone",Y$5=$D30),"◆","")</x:f>
      </x:c>
      <x:c r="Z30" s="138" t="str">
        <x:f>IF(AND($B30="Milestone",Z$5=$D30),"◆","")</x:f>
      </x:c>
      <x:c r="AA30" s="138" t="str">
        <x:f>IF(AND($B30="Milestone",AA$5=$D30),"◆","")</x:f>
      </x:c>
      <x:c r="AB30" s="138" t="str">
        <x:f>IF(AND($B30="Milestone",AB$5=$D30),"◆","")</x:f>
      </x:c>
      <x:c r="AC30" s="138" t="str">
        <x:f>IF(AND($B30="Milestone",AC$5=$D30),"◆","")</x:f>
      </x:c>
      <x:c r="AD30" s="138" t="str">
        <x:f>IF(AND($B30="Milestone",AD$5=$D30),"◆","")</x:f>
      </x:c>
      <x:c r="AE30" s="138" t="str">
        <x:f>IF(AND($B30="Milestone",AE$5=$D30),"◆","")</x:f>
      </x:c>
      <x:c r="AF30" s="138" t="str">
        <x:f>IF(AND($B30="Milestone",AF$5=$D30),"◆","")</x:f>
      </x:c>
      <x:c r="AG30" s="138" t="str">
        <x:f>IF(AND($B30="Milestone",AG$5=$D30),"◆","")</x:f>
      </x:c>
      <x:c r="AH30" s="138" t="str">
        <x:f>IF(AND($B30="Milestone",AH$5=$D30),"◆","")</x:f>
      </x:c>
      <x:c r="AI30" s="138" t="str">
        <x:f>IF(AND($B30="Milestone",AI$5=$D30),"◆","")</x:f>
      </x:c>
      <x:c r="AJ30" s="138" t="str">
        <x:f>IF(AND($B30="Milestone",AJ$5=$D30),"◆","")</x:f>
      </x:c>
      <x:c r="AK30" s="138" t="str">
        <x:f>IF(AND($B30="Milestone",AK$5=$D30),"◆","")</x:f>
      </x:c>
      <x:c r="AL30" s="138" t="str">
        <x:f>IF(AND($B30="Milestone",AL$5=$D30),"◆","")</x:f>
      </x:c>
      <x:c r="AM30" s="138" t="str">
        <x:f>IF(AND($B30="Milestone",AM$5=$D30),"◆","")</x:f>
      </x:c>
      <x:c r="AN30" s="138" t="str">
        <x:f>IF(AND($B30="Milestone",AN$5=$D30),"◆","")</x:f>
      </x:c>
      <x:c r="AO30" s="138" t="str">
        <x:f>IF(AND($B30="Milestone",AO$5=$D30),"◆","")</x:f>
      </x:c>
      <x:c r="AP30" s="138" t="str">
        <x:f>IF(AND($B30="Milestone",AP$5=$D30),"◆","")</x:f>
      </x:c>
      <x:c r="AQ30" s="138" t="str">
        <x:f>IF(AND($B30="Milestone",AQ$5=$D30),"◆","")</x:f>
      </x:c>
      <x:c r="AR30" s="155" t="str">
        <x:f>IF(AND($B30="Milestone",AR$5=$D30),"◆","")</x:f>
      </x:c>
    </x:row>
    <x:row r="31" ht="26" customHeight="1">
      <x:c r="A31" s="90" t="str">
        <x:v>T18</x:v>
      </x:c>
      <x:c r="B31" s="90" t="str">
        <x:v>Task</x:v>
      </x:c>
      <x:c r="C31" s="88" t="str">
        <x:v>Scrape competitor ad libraries, pricing, and market positioning (W_COMP)</x:v>
      </x:c>
      <x:c r="D31" s="92" t="n">
        <x:v>46289</x:v>
      </x:c>
      <x:c r="E31" s="92" t="n">
        <x:v>46291</x:v>
      </x:c>
      <x:c r="F31" s="90" t="n">
        <x:f>IF(OR(D31="",E31=""),"",E31-D31+1)</x:f>
        <x:v>3</x:v>
      </x:c>
      <x:c r="G31" s="88" t="str">
        <x:v>T12, T14, T15 (FS)</x:v>
      </x:c>
      <x:c r="H31" s="88" t="str">
        <x:v>Competitor Intel Engine &amp; S_SCRAPE</x:v>
      </x:c>
      <x:c r="I31" s="94" t="n">
        <x:v>1</x:v>
      </x:c>
      <x:c r="J31" s="90" t="str">
        <x:f>IF(COUNT(I31)=0,"",IF(I31&gt;=1,"Completed",IF(I31&gt;0,"In Progress","Not Started")))</x:f>
        <x:v>Completed</x:v>
      </x:c>
      <x:c r="K31" s="138" t="str">
        <x:f>IF(AND($B31="Milestone",K$5=$D31),"◆","")</x:f>
      </x:c>
      <x:c r="L31" s="138" t="str">
        <x:f>IF(AND($B31="Milestone",L$5=$D31),"◆","")</x:f>
      </x:c>
      <x:c r="M31" s="138" t="str">
        <x:f>IF(AND($B31="Milestone",M$5=$D31),"◆","")</x:f>
      </x:c>
      <x:c r="N31" s="138" t="str">
        <x:f>IF(AND($B31="Milestone",N$5=$D31),"◆","")</x:f>
      </x:c>
      <x:c r="O31" s="138" t="str">
        <x:f>IF(AND($B31="Milestone",O$5=$D31),"◆","")</x:f>
      </x:c>
      <x:c r="P31" s="138" t="str">
        <x:f>IF(AND($B31="Milestone",P$5=$D31),"◆","")</x:f>
      </x:c>
      <x:c r="Q31" s="138" t="str">
        <x:f>IF(AND($B31="Milestone",Q$5=$D31),"◆","")</x:f>
      </x:c>
      <x:c r="R31" s="138" t="str">
        <x:f>IF(AND($B31="Milestone",R$5=$D31),"◆","")</x:f>
      </x:c>
      <x:c r="S31" s="138" t="str">
        <x:f>IF(AND($B31="Milestone",S$5=$D31),"◆","")</x:f>
      </x:c>
      <x:c r="T31" s="138" t="str">
        <x:f>IF(AND($B31="Milestone",T$5=$D31),"◆","")</x:f>
      </x:c>
      <x:c r="U31" s="138" t="str">
        <x:f>IF(AND($B31="Milestone",U$5=$D31),"◆","")</x:f>
      </x:c>
      <x:c r="V31" s="138" t="str">
        <x:f>IF(AND($B31="Milestone",V$5=$D31),"◆","")</x:f>
      </x:c>
      <x:c r="W31" s="138" t="str">
        <x:f>IF(AND($B31="Milestone",W$5=$D31),"◆","")</x:f>
      </x:c>
      <x:c r="X31" s="138" t="str">
        <x:f>IF(AND($B31="Milestone",X$5=$D31),"◆","")</x:f>
      </x:c>
      <x:c r="Y31" s="138" t="str">
        <x:f>IF(AND($B31="Milestone",Y$5=$D31),"◆","")</x:f>
      </x:c>
      <x:c r="Z31" s="138" t="str">
        <x:f>IF(AND($B31="Milestone",Z$5=$D31),"◆","")</x:f>
      </x:c>
      <x:c r="AA31" s="138" t="str">
        <x:f>IF(AND($B31="Milestone",AA$5=$D31),"◆","")</x:f>
      </x:c>
      <x:c r="AB31" s="138" t="str">
        <x:f>IF(AND($B31="Milestone",AB$5=$D31),"◆","")</x:f>
      </x:c>
      <x:c r="AC31" s="138" t="str">
        <x:f>IF(AND($B31="Milestone",AC$5=$D31),"◆","")</x:f>
      </x:c>
      <x:c r="AD31" s="138" t="str">
        <x:f>IF(AND($B31="Milestone",AD$5=$D31),"◆","")</x:f>
      </x:c>
      <x:c r="AE31" s="138" t="str">
        <x:f>IF(AND($B31="Milestone",AE$5=$D31),"◆","")</x:f>
      </x:c>
      <x:c r="AF31" s="138" t="str">
        <x:f>IF(AND($B31="Milestone",AF$5=$D31),"◆","")</x:f>
      </x:c>
      <x:c r="AG31" s="138" t="str">
        <x:f>IF(AND($B31="Milestone",AG$5=$D31),"◆","")</x:f>
      </x:c>
      <x:c r="AH31" s="138" t="str">
        <x:f>IF(AND($B31="Milestone",AH$5=$D31),"◆","")</x:f>
      </x:c>
      <x:c r="AI31" s="138" t="str">
        <x:f>IF(AND($B31="Milestone",AI$5=$D31),"◆","")</x:f>
      </x:c>
      <x:c r="AJ31" s="138" t="str">
        <x:f>IF(AND($B31="Milestone",AJ$5=$D31),"◆","")</x:f>
      </x:c>
      <x:c r="AK31" s="138" t="str">
        <x:f>IF(AND($B31="Milestone",AK$5=$D31),"◆","")</x:f>
      </x:c>
      <x:c r="AL31" s="138" t="str">
        <x:f>IF(AND($B31="Milestone",AL$5=$D31),"◆","")</x:f>
      </x:c>
      <x:c r="AM31" s="138" t="str">
        <x:f>IF(AND($B31="Milestone",AM$5=$D31),"◆","")</x:f>
      </x:c>
      <x:c r="AN31" s="138" t="str">
        <x:f>IF(AND($B31="Milestone",AN$5=$D31),"◆","")</x:f>
      </x:c>
      <x:c r="AO31" s="138" t="str">
        <x:f>IF(AND($B31="Milestone",AO$5=$D31),"◆","")</x:f>
      </x:c>
      <x:c r="AP31" s="138" t="str">
        <x:f>IF(AND($B31="Milestone",AP$5=$D31),"◆","")</x:f>
      </x:c>
      <x:c r="AQ31" s="138" t="str">
        <x:f>IF(AND($B31="Milestone",AQ$5=$D31),"◆","")</x:f>
      </x:c>
      <x:c r="AR31" s="155" t="str">
        <x:f>IF(AND($B31="Milestone",AR$5=$D31),"◆","")</x:f>
      </x:c>
    </x:row>
    <x:row r="32" ht="26" customHeight="1">
      <x:c r="A32" s="90" t="str">
        <x:v>T19</x:v>
      </x:c>
      <x:c r="B32" s="90" t="str">
        <x:v>Task</x:v>
      </x:c>
      <x:c r="C32" s="88" t="str">
        <x:v>Develop omnichannel marketing roadmaps &amp; budget allocations (W_STRAT)</x:v>
      </x:c>
      <x:c r="D32" s="92" t="n">
        <x:v>46291</x:v>
      </x:c>
      <x:c r="E32" s="92" t="n">
        <x:v>46294</x:v>
      </x:c>
      <x:c r="F32" s="90" t="n">
        <x:f>IF(OR(D32="",E32=""),"",E32-D32+1)</x:f>
        <x:v>4</x:v>
      </x:c>
      <x:c r="G32" s="88" t="str">
        <x:v>T16, T17, T18 (FS)</x:v>
      </x:c>
      <x:c r="H32" s="88" t="str">
        <x:v>Strategy Engine &amp; S_ALLOC</x:v>
      </x:c>
      <x:c r="I32" s="94" t="n">
        <x:v>1</x:v>
      </x:c>
      <x:c r="J32" s="90" t="str">
        <x:f>IF(COUNT(I32)=0,"",IF(I32&gt;=1,"Completed",IF(I32&gt;0,"In Progress","Not Started")))</x:f>
        <x:v>Completed</x:v>
      </x:c>
      <x:c r="K32" s="138" t="str">
        <x:f>IF(AND($B32="Milestone",K$5=$D32),"◆","")</x:f>
      </x:c>
      <x:c r="L32" s="138" t="str">
        <x:f>IF(AND($B32="Milestone",L$5=$D32),"◆","")</x:f>
      </x:c>
      <x:c r="M32" s="138" t="str">
        <x:f>IF(AND($B32="Milestone",M$5=$D32),"◆","")</x:f>
      </x:c>
      <x:c r="N32" s="138" t="str">
        <x:f>IF(AND($B32="Milestone",N$5=$D32),"◆","")</x:f>
      </x:c>
      <x:c r="O32" s="138" t="str">
        <x:f>IF(AND($B32="Milestone",O$5=$D32),"◆","")</x:f>
      </x:c>
      <x:c r="P32" s="138" t="str">
        <x:f>IF(AND($B32="Milestone",P$5=$D32),"◆","")</x:f>
      </x:c>
      <x:c r="Q32" s="138" t="str">
        <x:f>IF(AND($B32="Milestone",Q$5=$D32),"◆","")</x:f>
      </x:c>
      <x:c r="R32" s="138" t="str">
        <x:f>IF(AND($B32="Milestone",R$5=$D32),"◆","")</x:f>
      </x:c>
      <x:c r="S32" s="138" t="str">
        <x:f>IF(AND($B32="Milestone",S$5=$D32),"◆","")</x:f>
      </x:c>
      <x:c r="T32" s="138" t="str">
        <x:f>IF(AND($B32="Milestone",T$5=$D32),"◆","")</x:f>
      </x:c>
      <x:c r="U32" s="138" t="str">
        <x:f>IF(AND($B32="Milestone",U$5=$D32),"◆","")</x:f>
      </x:c>
      <x:c r="V32" s="138" t="str">
        <x:f>IF(AND($B32="Milestone",V$5=$D32),"◆","")</x:f>
      </x:c>
      <x:c r="W32" s="138" t="str">
        <x:f>IF(AND($B32="Milestone",W$5=$D32),"◆","")</x:f>
      </x:c>
      <x:c r="X32" s="138" t="str">
        <x:f>IF(AND($B32="Milestone",X$5=$D32),"◆","")</x:f>
      </x:c>
      <x:c r="Y32" s="138" t="str">
        <x:f>IF(AND($B32="Milestone",Y$5=$D32),"◆","")</x:f>
      </x:c>
      <x:c r="Z32" s="138" t="str">
        <x:f>IF(AND($B32="Milestone",Z$5=$D32),"◆","")</x:f>
      </x:c>
      <x:c r="AA32" s="138" t="str">
        <x:f>IF(AND($B32="Milestone",AA$5=$D32),"◆","")</x:f>
      </x:c>
      <x:c r="AB32" s="138" t="str">
        <x:f>IF(AND($B32="Milestone",AB$5=$D32),"◆","")</x:f>
      </x:c>
      <x:c r="AC32" s="138" t="str">
        <x:f>IF(AND($B32="Milestone",AC$5=$D32),"◆","")</x:f>
      </x:c>
      <x:c r="AD32" s="138" t="str">
        <x:f>IF(AND($B32="Milestone",AD$5=$D32),"◆","")</x:f>
      </x:c>
      <x:c r="AE32" s="138" t="str">
        <x:f>IF(AND($B32="Milestone",AE$5=$D32),"◆","")</x:f>
      </x:c>
      <x:c r="AF32" s="138" t="str">
        <x:f>IF(AND($B32="Milestone",AF$5=$D32),"◆","")</x:f>
      </x:c>
      <x:c r="AG32" s="138" t="str">
        <x:f>IF(AND($B32="Milestone",AG$5=$D32),"◆","")</x:f>
      </x:c>
      <x:c r="AH32" s="138" t="str">
        <x:f>IF(AND($B32="Milestone",AH$5=$D32),"◆","")</x:f>
      </x:c>
      <x:c r="AI32" s="138" t="str">
        <x:f>IF(AND($B32="Milestone",AI$5=$D32),"◆","")</x:f>
      </x:c>
      <x:c r="AJ32" s="138" t="str">
        <x:f>IF(AND($B32="Milestone",AJ$5=$D32),"◆","")</x:f>
      </x:c>
      <x:c r="AK32" s="138" t="str">
        <x:f>IF(AND($B32="Milestone",AK$5=$D32),"◆","")</x:f>
      </x:c>
      <x:c r="AL32" s="138" t="str">
        <x:f>IF(AND($B32="Milestone",AL$5=$D32),"◆","")</x:f>
      </x:c>
      <x:c r="AM32" s="138" t="str">
        <x:f>IF(AND($B32="Milestone",AM$5=$D32),"◆","")</x:f>
      </x:c>
      <x:c r="AN32" s="138" t="str">
        <x:f>IF(AND($B32="Milestone",AN$5=$D32),"◆","")</x:f>
      </x:c>
      <x:c r="AO32" s="138" t="str">
        <x:f>IF(AND($B32="Milestone",AO$5=$D32),"◆","")</x:f>
      </x:c>
      <x:c r="AP32" s="138" t="str">
        <x:f>IF(AND($B32="Milestone",AP$5=$D32),"◆","")</x:f>
      </x:c>
      <x:c r="AQ32" s="138" t="str">
        <x:f>IF(AND($B32="Milestone",AQ$5=$D32),"◆","")</x:f>
      </x:c>
      <x:c r="AR32" s="155" t="str">
        <x:f>IF(AND($B32="Milestone",AR$5=$D32),"◆","")</x:f>
      </x:c>
    </x:row>
    <x:row r="33" ht="26" customHeight="1">
      <x:c r="A33" s="90" t="str">
        <x:v>T20</x:v>
      </x:c>
      <x:c r="B33" s="90" t="str">
        <x:v>Task</x:v>
      </x:c>
      <x:c r="C33" s="88" t="str">
        <x:v>Generate creative ad copy variants, hooks, visual briefs &amp; posts (W_CREAT)</x:v>
      </x:c>
      <x:c r="D33" s="92" t="n">
        <x:v>46294</x:v>
      </x:c>
      <x:c r="E33" s="92" t="n">
        <x:v>46297</x:v>
      </x:c>
      <x:c r="F33" s="90" t="n">
        <x:f>IF(OR(D33="",E33=""),"",E33-D33+1)</x:f>
        <x:v>4</x:v>
      </x:c>
      <x:c r="G33" s="88" t="str">
        <x:v>T16, T19 (FS)</x:v>
      </x:c>
      <x:c r="H33" s="88" t="str">
        <x:v>Creative &amp; Content Engine &amp; S_COPY</x:v>
      </x:c>
      <x:c r="I33" s="94" t="n">
        <x:v>1</x:v>
      </x:c>
      <x:c r="J33" s="90" t="str">
        <x:f>IF(COUNT(I33)=0,"",IF(I33&gt;=1,"Completed",IF(I33&gt;0,"In Progress","Not Started")))</x:f>
        <x:v>Completed</x:v>
      </x:c>
      <x:c r="K33" s="138" t="str">
        <x:f>IF(AND($B33="Milestone",K$5=$D33),"◆","")</x:f>
      </x:c>
      <x:c r="L33" s="138" t="str">
        <x:f>IF(AND($B33="Milestone",L$5=$D33),"◆","")</x:f>
      </x:c>
      <x:c r="M33" s="138" t="str">
        <x:f>IF(AND($B33="Milestone",M$5=$D33),"◆","")</x:f>
      </x:c>
      <x:c r="N33" s="138" t="str">
        <x:f>IF(AND($B33="Milestone",N$5=$D33),"◆","")</x:f>
      </x:c>
      <x:c r="O33" s="138" t="str">
        <x:f>IF(AND($B33="Milestone",O$5=$D33),"◆","")</x:f>
      </x:c>
      <x:c r="P33" s="138" t="str">
        <x:f>IF(AND($B33="Milestone",P$5=$D33),"◆","")</x:f>
      </x:c>
      <x:c r="Q33" s="138" t="str">
        <x:f>IF(AND($B33="Milestone",Q$5=$D33),"◆","")</x:f>
      </x:c>
      <x:c r="R33" s="138" t="str">
        <x:f>IF(AND($B33="Milestone",R$5=$D33),"◆","")</x:f>
      </x:c>
      <x:c r="S33" s="138" t="str">
        <x:f>IF(AND($B33="Milestone",S$5=$D33),"◆","")</x:f>
      </x:c>
      <x:c r="T33" s="138" t="str">
        <x:f>IF(AND($B33="Milestone",T$5=$D33),"◆","")</x:f>
      </x:c>
      <x:c r="U33" s="138" t="str">
        <x:f>IF(AND($B33="Milestone",U$5=$D33),"◆","")</x:f>
      </x:c>
      <x:c r="V33" s="138" t="str">
        <x:f>IF(AND($B33="Milestone",V$5=$D33),"◆","")</x:f>
      </x:c>
      <x:c r="W33" s="138" t="str">
        <x:f>IF(AND($B33="Milestone",W$5=$D33),"◆","")</x:f>
      </x:c>
      <x:c r="X33" s="138" t="str">
        <x:f>IF(AND($B33="Milestone",X$5=$D33),"◆","")</x:f>
      </x:c>
      <x:c r="Y33" s="138" t="str">
        <x:f>IF(AND($B33="Milestone",Y$5=$D33),"◆","")</x:f>
      </x:c>
      <x:c r="Z33" s="138" t="str">
        <x:f>IF(AND($B33="Milestone",Z$5=$D33),"◆","")</x:f>
      </x:c>
      <x:c r="AA33" s="138" t="str">
        <x:f>IF(AND($B33="Milestone",AA$5=$D33),"◆","")</x:f>
      </x:c>
      <x:c r="AB33" s="138" t="str">
        <x:f>IF(AND($B33="Milestone",AB$5=$D33),"◆","")</x:f>
      </x:c>
      <x:c r="AC33" s="138" t="str">
        <x:f>IF(AND($B33="Milestone",AC$5=$D33),"◆","")</x:f>
      </x:c>
      <x:c r="AD33" s="138" t="str">
        <x:f>IF(AND($B33="Milestone",AD$5=$D33),"◆","")</x:f>
      </x:c>
      <x:c r="AE33" s="138" t="str">
        <x:f>IF(AND($B33="Milestone",AE$5=$D33),"◆","")</x:f>
      </x:c>
      <x:c r="AF33" s="138" t="str">
        <x:f>IF(AND($B33="Milestone",AF$5=$D33),"◆","")</x:f>
      </x:c>
      <x:c r="AG33" s="138" t="str">
        <x:f>IF(AND($B33="Milestone",AG$5=$D33),"◆","")</x:f>
      </x:c>
      <x:c r="AH33" s="138" t="str">
        <x:f>IF(AND($B33="Milestone",AH$5=$D33),"◆","")</x:f>
      </x:c>
      <x:c r="AI33" s="138" t="str">
        <x:f>IF(AND($B33="Milestone",AI$5=$D33),"◆","")</x:f>
      </x:c>
      <x:c r="AJ33" s="138" t="str">
        <x:f>IF(AND($B33="Milestone",AJ$5=$D33),"◆","")</x:f>
      </x:c>
      <x:c r="AK33" s="138" t="str">
        <x:f>IF(AND($B33="Milestone",AK$5=$D33),"◆","")</x:f>
      </x:c>
      <x:c r="AL33" s="138" t="str">
        <x:f>IF(AND($B33="Milestone",AL$5=$D33),"◆","")</x:f>
      </x:c>
      <x:c r="AM33" s="138" t="str">
        <x:f>IF(AND($B33="Milestone",AM$5=$D33),"◆","")</x:f>
      </x:c>
      <x:c r="AN33" s="138" t="str">
        <x:f>IF(AND($B33="Milestone",AN$5=$D33),"◆","")</x:f>
      </x:c>
      <x:c r="AO33" s="138" t="str">
        <x:f>IF(AND($B33="Milestone",AO$5=$D33),"◆","")</x:f>
      </x:c>
      <x:c r="AP33" s="138" t="str">
        <x:f>IF(AND($B33="Milestone",AP$5=$D33),"◆","")</x:f>
      </x:c>
      <x:c r="AQ33" s="138" t="str">
        <x:f>IF(AND($B33="Milestone",AQ$5=$D33),"◆","")</x:f>
      </x:c>
      <x:c r="AR33" s="155" t="str">
        <x:f>IF(AND($B33="Milestone",AR$5=$D33),"◆","")</x:f>
      </x:c>
    </x:row>
    <x:row r="34" ht="26" customHeight="1">
      <x:c r="A34" s="90" t="str">
        <x:v>T21</x:v>
      </x:c>
      <x:c r="B34" s="90" t="str">
        <x:v>Task</x:v>
      </x:c>
      <x:c r="C34" s="88" t="str">
        <x:v>Engineer responsive UI templates, CMS schemas &amp; code diffs (W_DEV)</x:v>
      </x:c>
      <x:c r="D34" s="92" t="n">
        <x:v>46291</x:v>
      </x:c>
      <x:c r="E34" s="92" t="n">
        <x:v>46297</x:v>
      </x:c>
      <x:c r="F34" s="90" t="n">
        <x:f>IF(OR(D34="",E34=""),"",E34-D34+1)</x:f>
        <x:v>7</x:v>
      </x:c>
      <x:c r="G34" s="88" t="str">
        <x:v>T06, T14, T15 (FS)</x:v>
      </x:c>
      <x:c r="H34" s="88" t="str">
        <x:v>Development Engine &amp; S_CODE</x:v>
      </x:c>
      <x:c r="I34" s="94" t="n">
        <x:v>1</x:v>
      </x:c>
      <x:c r="J34" s="90" t="str">
        <x:f>IF(COUNT(I34)=0,"",IF(I34&gt;=1,"Completed",IF(I34&gt;0,"In Progress","Not Started")))</x:f>
        <x:v>Completed</x:v>
      </x:c>
      <x:c r="K34" s="138" t="str">
        <x:f>IF(AND($B34="Milestone",K$5=$D34),"◆","")</x:f>
      </x:c>
      <x:c r="L34" s="138" t="str">
        <x:f>IF(AND($B34="Milestone",L$5=$D34),"◆","")</x:f>
      </x:c>
      <x:c r="M34" s="138" t="str">
        <x:f>IF(AND($B34="Milestone",M$5=$D34),"◆","")</x:f>
      </x:c>
      <x:c r="N34" s="138" t="str">
        <x:f>IF(AND($B34="Milestone",N$5=$D34),"◆","")</x:f>
      </x:c>
      <x:c r="O34" s="138" t="str">
        <x:f>IF(AND($B34="Milestone",O$5=$D34),"◆","")</x:f>
      </x:c>
      <x:c r="P34" s="138" t="str">
        <x:f>IF(AND($B34="Milestone",P$5=$D34),"◆","")</x:f>
      </x:c>
      <x:c r="Q34" s="138" t="str">
        <x:f>IF(AND($B34="Milestone",Q$5=$D34),"◆","")</x:f>
      </x:c>
      <x:c r="R34" s="138" t="str">
        <x:f>IF(AND($B34="Milestone",R$5=$D34),"◆","")</x:f>
      </x:c>
      <x:c r="S34" s="138" t="str">
        <x:f>IF(AND($B34="Milestone",S$5=$D34),"◆","")</x:f>
      </x:c>
      <x:c r="T34" s="138" t="str">
        <x:f>IF(AND($B34="Milestone",T$5=$D34),"◆","")</x:f>
      </x:c>
      <x:c r="U34" s="138" t="str">
        <x:f>IF(AND($B34="Milestone",U$5=$D34),"◆","")</x:f>
      </x:c>
      <x:c r="V34" s="138" t="str">
        <x:f>IF(AND($B34="Milestone",V$5=$D34),"◆","")</x:f>
      </x:c>
      <x:c r="W34" s="138" t="str">
        <x:f>IF(AND($B34="Milestone",W$5=$D34),"◆","")</x:f>
      </x:c>
      <x:c r="X34" s="138" t="str">
        <x:f>IF(AND($B34="Milestone",X$5=$D34),"◆","")</x:f>
      </x:c>
      <x:c r="Y34" s="138" t="str">
        <x:f>IF(AND($B34="Milestone",Y$5=$D34),"◆","")</x:f>
      </x:c>
      <x:c r="Z34" s="138" t="str">
        <x:f>IF(AND($B34="Milestone",Z$5=$D34),"◆","")</x:f>
      </x:c>
      <x:c r="AA34" s="138" t="str">
        <x:f>IF(AND($B34="Milestone",AA$5=$D34),"◆","")</x:f>
      </x:c>
      <x:c r="AB34" s="138" t="str">
        <x:f>IF(AND($B34="Milestone",AB$5=$D34),"◆","")</x:f>
      </x:c>
      <x:c r="AC34" s="138" t="str">
        <x:f>IF(AND($B34="Milestone",AC$5=$D34),"◆","")</x:f>
      </x:c>
      <x:c r="AD34" s="138" t="str">
        <x:f>IF(AND($B34="Milestone",AD$5=$D34),"◆","")</x:f>
      </x:c>
      <x:c r="AE34" s="138" t="str">
        <x:f>IF(AND($B34="Milestone",AE$5=$D34),"◆","")</x:f>
      </x:c>
      <x:c r="AF34" s="138" t="str">
        <x:f>IF(AND($B34="Milestone",AF$5=$D34),"◆","")</x:f>
      </x:c>
      <x:c r="AG34" s="138" t="str">
        <x:f>IF(AND($B34="Milestone",AG$5=$D34),"◆","")</x:f>
      </x:c>
      <x:c r="AH34" s="138" t="str">
        <x:f>IF(AND($B34="Milestone",AH$5=$D34),"◆","")</x:f>
      </x:c>
      <x:c r="AI34" s="138" t="str">
        <x:f>IF(AND($B34="Milestone",AI$5=$D34),"◆","")</x:f>
      </x:c>
      <x:c r="AJ34" s="138" t="str">
        <x:f>IF(AND($B34="Milestone",AJ$5=$D34),"◆","")</x:f>
      </x:c>
      <x:c r="AK34" s="138" t="str">
        <x:f>IF(AND($B34="Milestone",AK$5=$D34),"◆","")</x:f>
      </x:c>
      <x:c r="AL34" s="138" t="str">
        <x:f>IF(AND($B34="Milestone",AL$5=$D34),"◆","")</x:f>
      </x:c>
      <x:c r="AM34" s="138" t="str">
        <x:f>IF(AND($B34="Milestone",AM$5=$D34),"◆","")</x:f>
      </x:c>
      <x:c r="AN34" s="138" t="str">
        <x:f>IF(AND($B34="Milestone",AN$5=$D34),"◆","")</x:f>
      </x:c>
      <x:c r="AO34" s="138" t="str">
        <x:f>IF(AND($B34="Milestone",AO$5=$D34),"◆","")</x:f>
      </x:c>
      <x:c r="AP34" s="138" t="str">
        <x:f>IF(AND($B34="Milestone",AP$5=$D34),"◆","")</x:f>
      </x:c>
      <x:c r="AQ34" s="138" t="str">
        <x:f>IF(AND($B34="Milestone",AQ$5=$D34),"◆","")</x:f>
      </x:c>
      <x:c r="AR34" s="155" t="str">
        <x:f>IF(AND($B34="Milestone",AR$5=$D34),"◆","")</x:f>
      </x:c>
    </x:row>
    <x:row r="35" ht="22" customHeight="1">
      <x:c r="A35" s="122" t="str">
        <x:v>M4</x:v>
      </x:c>
      <x:c r="B35" s="122" t="str">
        <x:v>Milestone</x:v>
      </x:c>
      <x:c r="C35" s="123" t="str">
        <x:v>Domain Intelligence Ingestion &amp; Asset Synthesis Complete</x:v>
      </x:c>
      <x:c r="D35" s="124" t="n">
        <x:v>46297</x:v>
      </x:c>
      <x:c r="E35" s="124" t="n">
        <x:v>46297</x:v>
      </x:c>
      <x:c r="F35" s="122" t="n">
        <x:f>IF(OR(D35="",E35=""),"",0)</x:f>
        <x:v>0</x:v>
      </x:c>
      <x:c r="G35" s="123" t="str">
        <x:v>Linked: T15, T16, T17, T18, T19, T20, T21</x:v>
      </x:c>
      <x:c r="H35" s="123" t="str"/>
      <x:c r="I35" s="125"/>
      <x:c r="J35" s="122" t="str">
        <x:v>Complete</x:v>
      </x:c>
      <x:c r="K35" s="138" t="str">
        <x:f>IF(AND($B35="Milestone",K$5=$D35),"◆","")</x:f>
      </x:c>
      <x:c r="L35" s="138" t="str">
        <x:f>IF(AND($B35="Milestone",L$5=$D35),"◆","")</x:f>
      </x:c>
      <x:c r="M35" s="138" t="str">
        <x:f>IF(AND($B35="Milestone",M$5=$D35),"◆","")</x:f>
      </x:c>
      <x:c r="N35" s="138" t="str">
        <x:f>IF(AND($B35="Milestone",N$5=$D35),"◆","")</x:f>
      </x:c>
      <x:c r="O35" s="138" t="str">
        <x:f>IF(AND($B35="Milestone",O$5=$D35),"◆","")</x:f>
      </x:c>
      <x:c r="P35" s="138" t="str">
        <x:f>IF(AND($B35="Milestone",P$5=$D35),"◆","")</x:f>
      </x:c>
      <x:c r="Q35" s="138" t="str">
        <x:f>IF(AND($B35="Milestone",Q$5=$D35),"◆","")</x:f>
      </x:c>
      <x:c r="R35" s="138" t="str">
        <x:f>IF(AND($B35="Milestone",R$5=$D35),"◆","")</x:f>
      </x:c>
      <x:c r="S35" s="138" t="str">
        <x:f>IF(AND($B35="Milestone",S$5=$D35),"◆","")</x:f>
      </x:c>
      <x:c r="T35" s="138" t="str">
        <x:f>IF(AND($B35="Milestone",T$5=$D35),"◆","")</x:f>
      </x:c>
      <x:c r="U35" s="138" t="str">
        <x:f>IF(AND($B35="Milestone",U$5=$D35),"◆","")</x:f>
      </x:c>
      <x:c r="V35" s="138" t="str">
        <x:f>IF(AND($B35="Milestone",V$5=$D35),"◆","")</x:f>
      </x:c>
      <x:c r="W35" s="138" t="str">
        <x:f>IF(AND($B35="Milestone",W$5=$D35),"◆","")</x:f>
      </x:c>
      <x:c r="X35" s="138" t="str">
        <x:f>IF(AND($B35="Milestone",X$5=$D35),"◆","")</x:f>
      </x:c>
      <x:c r="Y35" s="138" t="str">
        <x:f>IF(AND($B35="Milestone",Y$5=$D35),"◆","")</x:f>
      </x:c>
      <x:c r="Z35" s="138" t="str">
        <x:f>IF(AND($B35="Milestone",Z$5=$D35),"◆","")</x:f>
      </x:c>
      <x:c r="AA35" s="138" t="str">
        <x:f>IF(AND($B35="Milestone",AA$5=$D35),"◆","")</x:f>
      </x:c>
      <x:c r="AB35" s="138" t="str">
        <x:f>IF(AND($B35="Milestone",AB$5=$D35),"◆","")</x:f>
      </x:c>
      <x:c r="AC35" s="138" t="str">
        <x:f>IF(AND($B35="Milestone",AC$5=$D35),"◆","")</x:f>
      </x:c>
      <x:c r="AD35" s="138" t="str">
        <x:f>IF(AND($B35="Milestone",AD$5=$D35),"◆","")</x:f>
      </x:c>
      <x:c r="AE35" s="138" t="str">
        <x:f>IF(AND($B35="Milestone",AE$5=$D35),"◆","")</x:f>
      </x:c>
      <x:c r="AF35" s="138" t="str">
        <x:f>IF(AND($B35="Milestone",AF$5=$D35),"◆","")</x:f>
        <x:v>◆</x:v>
      </x:c>
      <x:c r="AG35" s="138" t="str">
        <x:f>IF(AND($B35="Milestone",AG$5=$D35),"◆","")</x:f>
      </x:c>
      <x:c r="AH35" s="138" t="str">
        <x:f>IF(AND($B35="Milestone",AH$5=$D35),"◆","")</x:f>
      </x:c>
      <x:c r="AI35" s="138" t="str">
        <x:f>IF(AND($B35="Milestone",AI$5=$D35),"◆","")</x:f>
      </x:c>
      <x:c r="AJ35" s="138" t="str">
        <x:f>IF(AND($B35="Milestone",AJ$5=$D35),"◆","")</x:f>
      </x:c>
      <x:c r="AK35" s="138" t="str">
        <x:f>IF(AND($B35="Milestone",AK$5=$D35),"◆","")</x:f>
      </x:c>
      <x:c r="AL35" s="138" t="str">
        <x:f>IF(AND($B35="Milestone",AL$5=$D35),"◆","")</x:f>
      </x:c>
      <x:c r="AM35" s="138" t="str">
        <x:f>IF(AND($B35="Milestone",AM$5=$D35),"◆","")</x:f>
      </x:c>
      <x:c r="AN35" s="138" t="str">
        <x:f>IF(AND($B35="Milestone",AN$5=$D35),"◆","")</x:f>
      </x:c>
      <x:c r="AO35" s="138" t="str">
        <x:f>IF(AND($B35="Milestone",AO$5=$D35),"◆","")</x:f>
      </x:c>
      <x:c r="AP35" s="138" t="str">
        <x:f>IF(AND($B35="Milestone",AP$5=$D35),"◆","")</x:f>
      </x:c>
      <x:c r="AQ35" s="138" t="str">
        <x:f>IF(AND($B35="Milestone",AQ$5=$D35),"◆","")</x:f>
      </x:c>
      <x:c r="AR35" s="155" t="str">
        <x:f>IF(AND($B35="Milestone",AR$5=$D35),"◆","")</x:f>
      </x:c>
    </x:row>
    <x:row r="36" ht="22" customHeight="1">
      <x:c r="A36" s="101" t="str"/>
      <x:c r="B36" s="101" t="str">
        <x:v>Summary</x:v>
      </x:c>
      <x:c r="C36" s="102" t="str">
        <x:v>HITL Gateway Clearance &amp; Cryptographic Authorization</x:v>
      </x:c>
      <x:c r="D36" s="103" t="n">
        <x:f>MIN(D37:D39)</x:f>
        <x:v>46297</x:v>
      </x:c>
      <x:c r="E36" s="103" t="n">
        <x:f>MAX(E37:E39)</x:f>
        <x:v>46301</x:v>
      </x:c>
      <x:c r="F36" s="101" t="n">
        <x:f>E36-D36+1</x:f>
        <x:v>5</x:v>
      </x:c>
      <x:c r="G36" s="102" t="str"/>
      <x:c r="H36" s="102" t="str"/>
      <x:c r="I36" s="104" t="n">
        <x:f>IFERROR(SUMPRODUCT(F37:F39,I37:I39)/SUM(F37:F39),0)</x:f>
        <x:v>0.2857142857142857</x:v>
      </x:c>
      <x:c r="J36" s="101" t="str">
        <x:v>In Progress</x:v>
      </x:c>
      <x:c r="K36" s="136" t="str">
        <x:f>IF(AND($B36="Milestone",K$5=$D36),"◆","")</x:f>
      </x:c>
      <x:c r="L36" s="136" t="str">
        <x:f>IF(AND($B36="Milestone",L$5=$D36),"◆","")</x:f>
      </x:c>
      <x:c r="M36" s="136" t="str">
        <x:f>IF(AND($B36="Milestone",M$5=$D36),"◆","")</x:f>
      </x:c>
      <x:c r="N36" s="136" t="str">
        <x:f>IF(AND($B36="Milestone",N$5=$D36),"◆","")</x:f>
      </x:c>
      <x:c r="O36" s="136" t="str">
        <x:f>IF(AND($B36="Milestone",O$5=$D36),"◆","")</x:f>
      </x:c>
      <x:c r="P36" s="136" t="str">
        <x:f>IF(AND($B36="Milestone",P$5=$D36),"◆","")</x:f>
      </x:c>
      <x:c r="Q36" s="136" t="str">
        <x:f>IF(AND($B36="Milestone",Q$5=$D36),"◆","")</x:f>
      </x:c>
      <x:c r="R36" s="136" t="str">
        <x:f>IF(AND($B36="Milestone",R$5=$D36),"◆","")</x:f>
      </x:c>
      <x:c r="S36" s="136" t="str">
        <x:f>IF(AND($B36="Milestone",S$5=$D36),"◆","")</x:f>
      </x:c>
      <x:c r="T36" s="136" t="str">
        <x:f>IF(AND($B36="Milestone",T$5=$D36),"◆","")</x:f>
      </x:c>
      <x:c r="U36" s="136" t="str">
        <x:f>IF(AND($B36="Milestone",U$5=$D36),"◆","")</x:f>
      </x:c>
      <x:c r="V36" s="136" t="str">
        <x:f>IF(AND($B36="Milestone",V$5=$D36),"◆","")</x:f>
      </x:c>
      <x:c r="W36" s="136" t="str">
        <x:f>IF(AND($B36="Milestone",W$5=$D36),"◆","")</x:f>
      </x:c>
      <x:c r="X36" s="136" t="str">
        <x:f>IF(AND($B36="Milestone",X$5=$D36),"◆","")</x:f>
      </x:c>
      <x:c r="Y36" s="136" t="str">
        <x:f>IF(AND($B36="Milestone",Y$5=$D36),"◆","")</x:f>
      </x:c>
      <x:c r="Z36" s="136" t="str">
        <x:f>IF(AND($B36="Milestone",Z$5=$D36),"◆","")</x:f>
      </x:c>
      <x:c r="AA36" s="136" t="str">
        <x:f>IF(AND($B36="Milestone",AA$5=$D36),"◆","")</x:f>
      </x:c>
      <x:c r="AB36" s="136" t="str">
        <x:f>IF(AND($B36="Milestone",AB$5=$D36),"◆","")</x:f>
      </x:c>
      <x:c r="AC36" s="136" t="str">
        <x:f>IF(AND($B36="Milestone",AC$5=$D36),"◆","")</x:f>
      </x:c>
      <x:c r="AD36" s="136" t="str">
        <x:f>IF(AND($B36="Milestone",AD$5=$D36),"◆","")</x:f>
      </x:c>
      <x:c r="AE36" s="136" t="str">
        <x:f>IF(AND($B36="Milestone",AE$5=$D36),"◆","")</x:f>
      </x:c>
      <x:c r="AF36" s="136" t="str">
        <x:f>IF(AND($B36="Milestone",AF$5=$D36),"◆","")</x:f>
      </x:c>
      <x:c r="AG36" s="136" t="str">
        <x:f>IF(AND($B36="Milestone",AG$5=$D36),"◆","")</x:f>
      </x:c>
      <x:c r="AH36" s="136" t="str">
        <x:f>IF(AND($B36="Milestone",AH$5=$D36),"◆","")</x:f>
      </x:c>
      <x:c r="AI36" s="136" t="str">
        <x:f>IF(AND($B36="Milestone",AI$5=$D36),"◆","")</x:f>
      </x:c>
      <x:c r="AJ36" s="136" t="str">
        <x:f>IF(AND($B36="Milestone",AJ$5=$D36),"◆","")</x:f>
      </x:c>
      <x:c r="AK36" s="136" t="str">
        <x:f>IF(AND($B36="Milestone",AK$5=$D36),"◆","")</x:f>
      </x:c>
      <x:c r="AL36" s="136" t="str">
        <x:f>IF(AND($B36="Milestone",AL$5=$D36),"◆","")</x:f>
      </x:c>
      <x:c r="AM36" s="136" t="str">
        <x:f>IF(AND($B36="Milestone",AM$5=$D36),"◆","")</x:f>
      </x:c>
      <x:c r="AN36" s="136" t="str">
        <x:f>IF(AND($B36="Milestone",AN$5=$D36),"◆","")</x:f>
      </x:c>
      <x:c r="AO36" s="136" t="str">
        <x:f>IF(AND($B36="Milestone",AO$5=$D36),"◆","")</x:f>
      </x:c>
      <x:c r="AP36" s="136" t="str">
        <x:f>IF(AND($B36="Milestone",AP$5=$D36),"◆","")</x:f>
      </x:c>
      <x:c r="AQ36" s="136" t="str">
        <x:f>IF(AND($B36="Milestone",AQ$5=$D36),"◆","")</x:f>
      </x:c>
      <x:c r="AR36" s="154" t="str">
        <x:f>IF(AND($B36="Milestone",AR$5=$D36),"◆","")</x:f>
      </x:c>
    </x:row>
    <x:row r="37" ht="26" customHeight="1">
      <x:c r="A37" s="90" t="str">
        <x:v>T22</x:v>
      </x:c>
      <x:c r="B37" s="90" t="str">
        <x:v>Task</x:v>
      </x:c>
      <x:c r="C37" s="88" t="str">
        <x:v>Consolidate worker evidence envelopes &amp; verify confidence intervals</x:v>
      </x:c>
      <x:c r="D37" s="92" t="n">
        <x:v>46297</x:v>
      </x:c>
      <x:c r="E37" s="92" t="n">
        <x:v>46299</x:v>
      </x:c>
      <x:c r="F37" s="90" t="n">
        <x:f>IF(OR(D37="",E37=""),"",E37-D37+1)</x:f>
        <x:v>3</x:v>
      </x:c>
      <x:c r="G37" s="88" t="str">
        <x:v>T19, T20, T21 (FS)</x:v>
      </x:c>
      <x:c r="H37" s="88" t="str">
        <x:v>Intelligence Engine (IE)</x:v>
      </x:c>
      <x:c r="I37" s="94" t="n">
        <x:v>0.5</x:v>
      </x:c>
      <x:c r="J37" s="90" t="str">
        <x:f>IF(COUNT(I37)=0,"",IF(I37&gt;=1,"Completed",IF(I37&gt;0,"In Progress","Not Started")))</x:f>
        <x:v>In Progress</x:v>
      </x:c>
      <x:c r="K37" s="138" t="str">
        <x:f>IF(AND($B37="Milestone",K$5=$D37),"◆","")</x:f>
      </x:c>
      <x:c r="L37" s="138" t="str">
        <x:f>IF(AND($B37="Milestone",L$5=$D37),"◆","")</x:f>
      </x:c>
      <x:c r="M37" s="138" t="str">
        <x:f>IF(AND($B37="Milestone",M$5=$D37),"◆","")</x:f>
      </x:c>
      <x:c r="N37" s="138" t="str">
        <x:f>IF(AND($B37="Milestone",N$5=$D37),"◆","")</x:f>
      </x:c>
      <x:c r="O37" s="138" t="str">
        <x:f>IF(AND($B37="Milestone",O$5=$D37),"◆","")</x:f>
      </x:c>
      <x:c r="P37" s="138" t="str">
        <x:f>IF(AND($B37="Milestone",P$5=$D37),"◆","")</x:f>
      </x:c>
      <x:c r="Q37" s="138" t="str">
        <x:f>IF(AND($B37="Milestone",Q$5=$D37),"◆","")</x:f>
      </x:c>
      <x:c r="R37" s="138" t="str">
        <x:f>IF(AND($B37="Milestone",R$5=$D37),"◆","")</x:f>
      </x:c>
      <x:c r="S37" s="138" t="str">
        <x:f>IF(AND($B37="Milestone",S$5=$D37),"◆","")</x:f>
      </x:c>
      <x:c r="T37" s="138" t="str">
        <x:f>IF(AND($B37="Milestone",T$5=$D37),"◆","")</x:f>
      </x:c>
      <x:c r="U37" s="138" t="str">
        <x:f>IF(AND($B37="Milestone",U$5=$D37),"◆","")</x:f>
      </x:c>
      <x:c r="V37" s="138" t="str">
        <x:f>IF(AND($B37="Milestone",V$5=$D37),"◆","")</x:f>
      </x:c>
      <x:c r="W37" s="138" t="str">
        <x:f>IF(AND($B37="Milestone",W$5=$D37),"◆","")</x:f>
      </x:c>
      <x:c r="X37" s="138" t="str">
        <x:f>IF(AND($B37="Milestone",X$5=$D37),"◆","")</x:f>
      </x:c>
      <x:c r="Y37" s="138" t="str">
        <x:f>IF(AND($B37="Milestone",Y$5=$D37),"◆","")</x:f>
      </x:c>
      <x:c r="Z37" s="138" t="str">
        <x:f>IF(AND($B37="Milestone",Z$5=$D37),"◆","")</x:f>
      </x:c>
      <x:c r="AA37" s="138" t="str">
        <x:f>IF(AND($B37="Milestone",AA$5=$D37),"◆","")</x:f>
      </x:c>
      <x:c r="AB37" s="138" t="str">
        <x:f>IF(AND($B37="Milestone",AB$5=$D37),"◆","")</x:f>
      </x:c>
      <x:c r="AC37" s="138" t="str">
        <x:f>IF(AND($B37="Milestone",AC$5=$D37),"◆","")</x:f>
      </x:c>
      <x:c r="AD37" s="138" t="str">
        <x:f>IF(AND($B37="Milestone",AD$5=$D37),"◆","")</x:f>
      </x:c>
      <x:c r="AE37" s="138" t="str">
        <x:f>IF(AND($B37="Milestone",AE$5=$D37),"◆","")</x:f>
      </x:c>
      <x:c r="AF37" s="138" t="str">
        <x:f>IF(AND($B37="Milestone",AF$5=$D37),"◆","")</x:f>
      </x:c>
      <x:c r="AG37" s="138" t="str">
        <x:f>IF(AND($B37="Milestone",AG$5=$D37),"◆","")</x:f>
      </x:c>
      <x:c r="AH37" s="138" t="str">
        <x:f>IF(AND($B37="Milestone",AH$5=$D37),"◆","")</x:f>
      </x:c>
      <x:c r="AI37" s="138" t="str">
        <x:f>IF(AND($B37="Milestone",AI$5=$D37),"◆","")</x:f>
      </x:c>
      <x:c r="AJ37" s="138" t="str">
        <x:f>IF(AND($B37="Milestone",AJ$5=$D37),"◆","")</x:f>
      </x:c>
      <x:c r="AK37" s="138" t="str">
        <x:f>IF(AND($B37="Milestone",AK$5=$D37),"◆","")</x:f>
      </x:c>
      <x:c r="AL37" s="138" t="str">
        <x:f>IF(AND($B37="Milestone",AL$5=$D37),"◆","")</x:f>
      </x:c>
      <x:c r="AM37" s="138" t="str">
        <x:f>IF(AND($B37="Milestone",AM$5=$D37),"◆","")</x:f>
      </x:c>
      <x:c r="AN37" s="138" t="str">
        <x:f>IF(AND($B37="Milestone",AN$5=$D37),"◆","")</x:f>
      </x:c>
      <x:c r="AO37" s="138" t="str">
        <x:f>IF(AND($B37="Milestone",AO$5=$D37),"◆","")</x:f>
      </x:c>
      <x:c r="AP37" s="138" t="str">
        <x:f>IF(AND($B37="Milestone",AP$5=$D37),"◆","")</x:f>
      </x:c>
      <x:c r="AQ37" s="138" t="str">
        <x:f>IF(AND($B37="Milestone",AQ$5=$D37),"◆","")</x:f>
      </x:c>
      <x:c r="AR37" s="155" t="str">
        <x:f>IF(AND($B37="Milestone",AR$5=$D37),"◆","")</x:f>
      </x:c>
    </x:row>
    <x:row r="38" ht="26" customHeight="1">
      <x:c r="A38" s="90" t="str">
        <x:v>T23</x:v>
      </x:c>
      <x:c r="B38" s="90" t="str">
        <x:v>Task</x:v>
      </x:c>
      <x:c r="C38" s="88" t="str">
        <x:v>Generate structured action previews (spend, code diffs, claims, copy)</x:v>
      </x:c>
      <x:c r="D38" s="92" t="n">
        <x:v>46299</x:v>
      </x:c>
      <x:c r="E38" s="92" t="n">
        <x:v>46300</x:v>
      </x:c>
      <x:c r="F38" s="90" t="n">
        <x:f>IF(OR(D38="",E38=""),"",E38-D38+1)</x:f>
        <x:v>2</x:v>
      </x:c>
      <x:c r="G38" s="88" t="str">
        <x:v>T22 (FS)</x:v>
      </x:c>
      <x:c r="H38" s="88" t="str">
        <x:v>Intelligence Engine (IE)</x:v>
      </x:c>
      <x:c r="I38" s="94" t="n">
        <x:v>0.25</x:v>
      </x:c>
      <x:c r="J38" s="90" t="str">
        <x:f>IF(COUNT(I38)=0,"",IF(I38&gt;=1,"Completed",IF(I38&gt;0,"In Progress","Not Started")))</x:f>
        <x:v>In Progress</x:v>
      </x:c>
      <x:c r="K38" s="138" t="str">
        <x:f>IF(AND($B38="Milestone",K$5=$D38),"◆","")</x:f>
      </x:c>
      <x:c r="L38" s="138" t="str">
        <x:f>IF(AND($B38="Milestone",L$5=$D38),"◆","")</x:f>
      </x:c>
      <x:c r="M38" s="138" t="str">
        <x:f>IF(AND($B38="Milestone",M$5=$D38),"◆","")</x:f>
      </x:c>
      <x:c r="N38" s="138" t="str">
        <x:f>IF(AND($B38="Milestone",N$5=$D38),"◆","")</x:f>
      </x:c>
      <x:c r="O38" s="138" t="str">
        <x:f>IF(AND($B38="Milestone",O$5=$D38),"◆","")</x:f>
      </x:c>
      <x:c r="P38" s="138" t="str">
        <x:f>IF(AND($B38="Milestone",P$5=$D38),"◆","")</x:f>
      </x:c>
      <x:c r="Q38" s="138" t="str">
        <x:f>IF(AND($B38="Milestone",Q$5=$D38),"◆","")</x:f>
      </x:c>
      <x:c r="R38" s="138" t="str">
        <x:f>IF(AND($B38="Milestone",R$5=$D38),"◆","")</x:f>
      </x:c>
      <x:c r="S38" s="138" t="str">
        <x:f>IF(AND($B38="Milestone",S$5=$D38),"◆","")</x:f>
      </x:c>
      <x:c r="T38" s="138" t="str">
        <x:f>IF(AND($B38="Milestone",T$5=$D38),"◆","")</x:f>
      </x:c>
      <x:c r="U38" s="138" t="str">
        <x:f>IF(AND($B38="Milestone",U$5=$D38),"◆","")</x:f>
      </x:c>
      <x:c r="V38" s="138" t="str">
        <x:f>IF(AND($B38="Milestone",V$5=$D38),"◆","")</x:f>
      </x:c>
      <x:c r="W38" s="138" t="str">
        <x:f>IF(AND($B38="Milestone",W$5=$D38),"◆","")</x:f>
      </x:c>
      <x:c r="X38" s="138" t="str">
        <x:f>IF(AND($B38="Milestone",X$5=$D38),"◆","")</x:f>
      </x:c>
      <x:c r="Y38" s="138" t="str">
        <x:f>IF(AND($B38="Milestone",Y$5=$D38),"◆","")</x:f>
      </x:c>
      <x:c r="Z38" s="138" t="str">
        <x:f>IF(AND($B38="Milestone",Z$5=$D38),"◆","")</x:f>
      </x:c>
      <x:c r="AA38" s="138" t="str">
        <x:f>IF(AND($B38="Milestone",AA$5=$D38),"◆","")</x:f>
      </x:c>
      <x:c r="AB38" s="138" t="str">
        <x:f>IF(AND($B38="Milestone",AB$5=$D38),"◆","")</x:f>
      </x:c>
      <x:c r="AC38" s="138" t="str">
        <x:f>IF(AND($B38="Milestone",AC$5=$D38),"◆","")</x:f>
      </x:c>
      <x:c r="AD38" s="138" t="str">
        <x:f>IF(AND($B38="Milestone",AD$5=$D38),"◆","")</x:f>
      </x:c>
      <x:c r="AE38" s="138" t="str">
        <x:f>IF(AND($B38="Milestone",AE$5=$D38),"◆","")</x:f>
      </x:c>
      <x:c r="AF38" s="138" t="str">
        <x:f>IF(AND($B38="Milestone",AF$5=$D38),"◆","")</x:f>
      </x:c>
      <x:c r="AG38" s="138" t="str">
        <x:f>IF(AND($B38="Milestone",AG$5=$D38),"◆","")</x:f>
      </x:c>
      <x:c r="AH38" s="138" t="str">
        <x:f>IF(AND($B38="Milestone",AH$5=$D38),"◆","")</x:f>
      </x:c>
      <x:c r="AI38" s="138" t="str">
        <x:f>IF(AND($B38="Milestone",AI$5=$D38),"◆","")</x:f>
      </x:c>
      <x:c r="AJ38" s="138" t="str">
        <x:f>IF(AND($B38="Milestone",AJ$5=$D38),"◆","")</x:f>
      </x:c>
      <x:c r="AK38" s="138" t="str">
        <x:f>IF(AND($B38="Milestone",AK$5=$D38),"◆","")</x:f>
      </x:c>
      <x:c r="AL38" s="138" t="str">
        <x:f>IF(AND($B38="Milestone",AL$5=$D38),"◆","")</x:f>
      </x:c>
      <x:c r="AM38" s="138" t="str">
        <x:f>IF(AND($B38="Milestone",AM$5=$D38),"◆","")</x:f>
      </x:c>
      <x:c r="AN38" s="138" t="str">
        <x:f>IF(AND($B38="Milestone",AN$5=$D38),"◆","")</x:f>
      </x:c>
      <x:c r="AO38" s="138" t="str">
        <x:f>IF(AND($B38="Milestone",AO$5=$D38),"◆","")</x:f>
      </x:c>
      <x:c r="AP38" s="138" t="str">
        <x:f>IF(AND($B38="Milestone",AP$5=$D38),"◆","")</x:f>
      </x:c>
      <x:c r="AQ38" s="138" t="str">
        <x:f>IF(AND($B38="Milestone",AQ$5=$D38),"◆","")</x:f>
      </x:c>
      <x:c r="AR38" s="155" t="str">
        <x:f>IF(AND($B38="Milestone",AR$5=$D38),"◆","")</x:f>
      </x:c>
    </x:row>
    <x:row r="39" ht="26" customHeight="1">
      <x:c r="A39" s="90" t="str">
        <x:v>T24</x:v>
      </x:c>
      <x:c r="B39" s="90" t="str">
        <x:v>Task</x:v>
      </x:c>
      <x:c r="C39" s="88" t="str">
        <x:v>Execute Human-in-the-Loop (HITL) quality, legal, and deploy sign-off</x:v>
      </x:c>
      <x:c r="D39" s="92" t="n">
        <x:v>46300</x:v>
      </x:c>
      <x:c r="E39" s="92" t="n">
        <x:v>46301</x:v>
      </x:c>
      <x:c r="F39" s="90" t="n">
        <x:f>IF(OR(D39="",E39=""),"",E39-D39+1)</x:f>
        <x:v>2</x:v>
      </x:c>
      <x:c r="G39" s="88" t="str">
        <x:v>T23 (FS)</x:v>
      </x:c>
      <x:c r="H39" s="88" t="str">
        <x:v>Human-in-the-Loop (HITL) Gate</x:v>
      </x:c>
      <x:c r="I39" s="94" t="n">
        <x:v>0</x:v>
      </x:c>
      <x:c r="J39" s="90" t="str">
        <x:f>IF(COUNT(I39)=0,"",IF(I39&gt;=1,"Completed",IF(I39&gt;0,"In Progress","Not Started")))</x:f>
        <x:v>Not Started</x:v>
      </x:c>
      <x:c r="K39" s="138" t="str">
        <x:f>IF(AND($B39="Milestone",K$5=$D39),"◆","")</x:f>
      </x:c>
      <x:c r="L39" s="138" t="str">
        <x:f>IF(AND($B39="Milestone",L$5=$D39),"◆","")</x:f>
      </x:c>
      <x:c r="M39" s="138" t="str">
        <x:f>IF(AND($B39="Milestone",M$5=$D39),"◆","")</x:f>
      </x:c>
      <x:c r="N39" s="138" t="str">
        <x:f>IF(AND($B39="Milestone",N$5=$D39),"◆","")</x:f>
      </x:c>
      <x:c r="O39" s="138" t="str">
        <x:f>IF(AND($B39="Milestone",O$5=$D39),"◆","")</x:f>
      </x:c>
      <x:c r="P39" s="138" t="str">
        <x:f>IF(AND($B39="Milestone",P$5=$D39),"◆","")</x:f>
      </x:c>
      <x:c r="Q39" s="138" t="str">
        <x:f>IF(AND($B39="Milestone",Q$5=$D39),"◆","")</x:f>
      </x:c>
      <x:c r="R39" s="138" t="str">
        <x:f>IF(AND($B39="Milestone",R$5=$D39),"◆","")</x:f>
      </x:c>
      <x:c r="S39" s="138" t="str">
        <x:f>IF(AND($B39="Milestone",S$5=$D39),"◆","")</x:f>
      </x:c>
      <x:c r="T39" s="138" t="str">
        <x:f>IF(AND($B39="Milestone",T$5=$D39),"◆","")</x:f>
      </x:c>
      <x:c r="U39" s="138" t="str">
        <x:f>IF(AND($B39="Milestone",U$5=$D39),"◆","")</x:f>
      </x:c>
      <x:c r="V39" s="138" t="str">
        <x:f>IF(AND($B39="Milestone",V$5=$D39),"◆","")</x:f>
      </x:c>
      <x:c r="W39" s="138" t="str">
        <x:f>IF(AND($B39="Milestone",W$5=$D39),"◆","")</x:f>
      </x:c>
      <x:c r="X39" s="138" t="str">
        <x:f>IF(AND($B39="Milestone",X$5=$D39),"◆","")</x:f>
      </x:c>
      <x:c r="Y39" s="138" t="str">
        <x:f>IF(AND($B39="Milestone",Y$5=$D39),"◆","")</x:f>
      </x:c>
      <x:c r="Z39" s="138" t="str">
        <x:f>IF(AND($B39="Milestone",Z$5=$D39),"◆","")</x:f>
      </x:c>
      <x:c r="AA39" s="138" t="str">
        <x:f>IF(AND($B39="Milestone",AA$5=$D39),"◆","")</x:f>
      </x:c>
      <x:c r="AB39" s="138" t="str">
        <x:f>IF(AND($B39="Milestone",AB$5=$D39),"◆","")</x:f>
      </x:c>
      <x:c r="AC39" s="138" t="str">
        <x:f>IF(AND($B39="Milestone",AC$5=$D39),"◆","")</x:f>
      </x:c>
      <x:c r="AD39" s="138" t="str">
        <x:f>IF(AND($B39="Milestone",AD$5=$D39),"◆","")</x:f>
      </x:c>
      <x:c r="AE39" s="138" t="str">
        <x:f>IF(AND($B39="Milestone",AE$5=$D39),"◆","")</x:f>
      </x:c>
      <x:c r="AF39" s="138" t="str">
        <x:f>IF(AND($B39="Milestone",AF$5=$D39),"◆","")</x:f>
      </x:c>
      <x:c r="AG39" s="138" t="str">
        <x:f>IF(AND($B39="Milestone",AG$5=$D39),"◆","")</x:f>
      </x:c>
      <x:c r="AH39" s="138" t="str">
        <x:f>IF(AND($B39="Milestone",AH$5=$D39),"◆","")</x:f>
      </x:c>
      <x:c r="AI39" s="138" t="str">
        <x:f>IF(AND($B39="Milestone",AI$5=$D39),"◆","")</x:f>
      </x:c>
      <x:c r="AJ39" s="138" t="str">
        <x:f>IF(AND($B39="Milestone",AJ$5=$D39),"◆","")</x:f>
      </x:c>
      <x:c r="AK39" s="138" t="str">
        <x:f>IF(AND($B39="Milestone",AK$5=$D39),"◆","")</x:f>
      </x:c>
      <x:c r="AL39" s="138" t="str">
        <x:f>IF(AND($B39="Milestone",AL$5=$D39),"◆","")</x:f>
      </x:c>
      <x:c r="AM39" s="138" t="str">
        <x:f>IF(AND($B39="Milestone",AM$5=$D39),"◆","")</x:f>
      </x:c>
      <x:c r="AN39" s="138" t="str">
        <x:f>IF(AND($B39="Milestone",AN$5=$D39),"◆","")</x:f>
      </x:c>
      <x:c r="AO39" s="138" t="str">
        <x:f>IF(AND($B39="Milestone",AO$5=$D39),"◆","")</x:f>
      </x:c>
      <x:c r="AP39" s="138" t="str">
        <x:f>IF(AND($B39="Milestone",AP$5=$D39),"◆","")</x:f>
      </x:c>
      <x:c r="AQ39" s="138" t="str">
        <x:f>IF(AND($B39="Milestone",AQ$5=$D39),"◆","")</x:f>
      </x:c>
      <x:c r="AR39" s="155" t="str">
        <x:f>IF(AND($B39="Milestone",AR$5=$D39),"◆","")</x:f>
      </x:c>
    </x:row>
    <x:row r="40" ht="22" customHeight="1">
      <x:c r="A40" s="122" t="str">
        <x:v>M5</x:v>
      </x:c>
      <x:c r="B40" s="122" t="str">
        <x:v>Milestone</x:v>
      </x:c>
      <x:c r="C40" s="123" t="str">
        <x:v>HITL Gateway Clearance &amp; Cryptographic Authorization</x:v>
      </x:c>
      <x:c r="D40" s="124" t="n">
        <x:v>46301</x:v>
      </x:c>
      <x:c r="E40" s="124" t="n">
        <x:v>46301</x:v>
      </x:c>
      <x:c r="F40" s="122" t="n">
        <x:f>IF(OR(D40="",E40=""),"",0)</x:f>
        <x:v>0</x:v>
      </x:c>
      <x:c r="G40" s="123" t="str">
        <x:v>Linked: T22, T23, T24</x:v>
      </x:c>
      <x:c r="H40" s="123" t="str"/>
      <x:c r="I40" s="125"/>
      <x:c r="J40" s="122" t="str">
        <x:v>In Progress</x:v>
      </x:c>
      <x:c r="K40" s="138" t="str">
        <x:f>IF(AND($B40="Milestone",K$5=$D40),"◆","")</x:f>
      </x:c>
      <x:c r="L40" s="138" t="str">
        <x:f>IF(AND($B40="Milestone",L$5=$D40),"◆","")</x:f>
      </x:c>
      <x:c r="M40" s="138" t="str">
        <x:f>IF(AND($B40="Milestone",M$5=$D40),"◆","")</x:f>
      </x:c>
      <x:c r="N40" s="138" t="str">
        <x:f>IF(AND($B40="Milestone",N$5=$D40),"◆","")</x:f>
      </x:c>
      <x:c r="O40" s="138" t="str">
        <x:f>IF(AND($B40="Milestone",O$5=$D40),"◆","")</x:f>
      </x:c>
      <x:c r="P40" s="138" t="str">
        <x:f>IF(AND($B40="Milestone",P$5=$D40),"◆","")</x:f>
      </x:c>
      <x:c r="Q40" s="138" t="str">
        <x:f>IF(AND($B40="Milestone",Q$5=$D40),"◆","")</x:f>
      </x:c>
      <x:c r="R40" s="138" t="str">
        <x:f>IF(AND($B40="Milestone",R$5=$D40),"◆","")</x:f>
      </x:c>
      <x:c r="S40" s="138" t="str">
        <x:f>IF(AND($B40="Milestone",S$5=$D40),"◆","")</x:f>
      </x:c>
      <x:c r="T40" s="138" t="str">
        <x:f>IF(AND($B40="Milestone",T$5=$D40),"◆","")</x:f>
      </x:c>
      <x:c r="U40" s="138" t="str">
        <x:f>IF(AND($B40="Milestone",U$5=$D40),"◆","")</x:f>
      </x:c>
      <x:c r="V40" s="138" t="str">
        <x:f>IF(AND($B40="Milestone",V$5=$D40),"◆","")</x:f>
      </x:c>
      <x:c r="W40" s="138" t="str">
        <x:f>IF(AND($B40="Milestone",W$5=$D40),"◆","")</x:f>
      </x:c>
      <x:c r="X40" s="138" t="str">
        <x:f>IF(AND($B40="Milestone",X$5=$D40),"◆","")</x:f>
      </x:c>
      <x:c r="Y40" s="138" t="str">
        <x:f>IF(AND($B40="Milestone",Y$5=$D40),"◆","")</x:f>
      </x:c>
      <x:c r="Z40" s="138" t="str">
        <x:f>IF(AND($B40="Milestone",Z$5=$D40),"◆","")</x:f>
      </x:c>
      <x:c r="AA40" s="138" t="str">
        <x:f>IF(AND($B40="Milestone",AA$5=$D40),"◆","")</x:f>
      </x:c>
      <x:c r="AB40" s="138" t="str">
        <x:f>IF(AND($B40="Milestone",AB$5=$D40),"◆","")</x:f>
      </x:c>
      <x:c r="AC40" s="138" t="str">
        <x:f>IF(AND($B40="Milestone",AC$5=$D40),"◆","")</x:f>
      </x:c>
      <x:c r="AD40" s="138" t="str">
        <x:f>IF(AND($B40="Milestone",AD$5=$D40),"◆","")</x:f>
      </x:c>
      <x:c r="AE40" s="138" t="str">
        <x:f>IF(AND($B40="Milestone",AE$5=$D40),"◆","")</x:f>
      </x:c>
      <x:c r="AF40" s="138" t="str">
        <x:f>IF(AND($B40="Milestone",AF$5=$D40),"◆","")</x:f>
      </x:c>
      <x:c r="AG40" s="138" t="str">
        <x:f>IF(AND($B40="Milestone",AG$5=$D40),"◆","")</x:f>
      </x:c>
      <x:c r="AH40" s="138" t="str">
        <x:f>IF(AND($B40="Milestone",AH$5=$D40),"◆","")</x:f>
      </x:c>
      <x:c r="AI40" s="138" t="str">
        <x:f>IF(AND($B40="Milestone",AI$5=$D40),"◆","")</x:f>
      </x:c>
      <x:c r="AJ40" s="138" t="str">
        <x:f>IF(AND($B40="Milestone",AJ$5=$D40),"◆","")</x:f>
        <x:v>◆</x:v>
      </x:c>
      <x:c r="AK40" s="138" t="str">
        <x:f>IF(AND($B40="Milestone",AK$5=$D40),"◆","")</x:f>
      </x:c>
      <x:c r="AL40" s="138" t="str">
        <x:f>IF(AND($B40="Milestone",AL$5=$D40),"◆","")</x:f>
      </x:c>
      <x:c r="AM40" s="138" t="str">
        <x:f>IF(AND($B40="Milestone",AM$5=$D40),"◆","")</x:f>
      </x:c>
      <x:c r="AN40" s="138" t="str">
        <x:f>IF(AND($B40="Milestone",AN$5=$D40),"◆","")</x:f>
      </x:c>
      <x:c r="AO40" s="138" t="str">
        <x:f>IF(AND($B40="Milestone",AO$5=$D40),"◆","")</x:f>
      </x:c>
      <x:c r="AP40" s="138" t="str">
        <x:f>IF(AND($B40="Milestone",AP$5=$D40),"◆","")</x:f>
      </x:c>
      <x:c r="AQ40" s="138" t="str">
        <x:f>IF(AND($B40="Milestone",AQ$5=$D40),"◆","")</x:f>
      </x:c>
      <x:c r="AR40" s="155" t="str">
        <x:f>IF(AND($B40="Milestone",AR$5=$D40),"◆","")</x:f>
      </x:c>
    </x:row>
    <x:row r="41" ht="22" customHeight="1">
      <x:c r="A41" s="101" t="str"/>
      <x:c r="B41" s="101" t="str">
        <x:v>Summary</x:v>
      </x:c>
      <x:c r="C41" s="102" t="str">
        <x:v>Outbound Actuation, Telemetry &amp; Omnichannel Go-Live</x:v>
      </x:c>
      <x:c r="D41" s="103" t="n">
        <x:f>MIN(D42:D46)</x:f>
        <x:v>46301</x:v>
      </x:c>
      <x:c r="E41" s="103" t="n">
        <x:f>MAX(E42:E46)</x:f>
        <x:v>46305</x:v>
      </x:c>
      <x:c r="F41" s="101" t="n">
        <x:f>E41-D41+1</x:f>
        <x:v>5</x:v>
      </x:c>
      <x:c r="G41" s="102" t="str"/>
      <x:c r="H41" s="102" t="str"/>
      <x:c r="I41" s="104" t="n">
        <x:f>IFERROR(SUMPRODUCT(F42:F46,I42:I46)/SUM(F42:F46),0)</x:f>
        <x:v>0</x:v>
      </x:c>
      <x:c r="J41" s="101" t="str">
        <x:v>Planned</x:v>
      </x:c>
      <x:c r="K41" s="136" t="str">
        <x:f>IF(AND($B41="Milestone",K$5=$D41),"◆","")</x:f>
      </x:c>
      <x:c r="L41" s="136" t="str">
        <x:f>IF(AND($B41="Milestone",L$5=$D41),"◆","")</x:f>
      </x:c>
      <x:c r="M41" s="136" t="str">
        <x:f>IF(AND($B41="Milestone",M$5=$D41),"◆","")</x:f>
      </x:c>
      <x:c r="N41" s="136" t="str">
        <x:f>IF(AND($B41="Milestone",N$5=$D41),"◆","")</x:f>
      </x:c>
      <x:c r="O41" s="136" t="str">
        <x:f>IF(AND($B41="Milestone",O$5=$D41),"◆","")</x:f>
      </x:c>
      <x:c r="P41" s="136" t="str">
        <x:f>IF(AND($B41="Milestone",P$5=$D41),"◆","")</x:f>
      </x:c>
      <x:c r="Q41" s="136" t="str">
        <x:f>IF(AND($B41="Milestone",Q$5=$D41),"◆","")</x:f>
      </x:c>
      <x:c r="R41" s="136" t="str">
        <x:f>IF(AND($B41="Milestone",R$5=$D41),"◆","")</x:f>
      </x:c>
      <x:c r="S41" s="136" t="str">
        <x:f>IF(AND($B41="Milestone",S$5=$D41),"◆","")</x:f>
      </x:c>
      <x:c r="T41" s="136" t="str">
        <x:f>IF(AND($B41="Milestone",T$5=$D41),"◆","")</x:f>
      </x:c>
      <x:c r="U41" s="136" t="str">
        <x:f>IF(AND($B41="Milestone",U$5=$D41),"◆","")</x:f>
      </x:c>
      <x:c r="V41" s="136" t="str">
        <x:f>IF(AND($B41="Milestone",V$5=$D41),"◆","")</x:f>
      </x:c>
      <x:c r="W41" s="136" t="str">
        <x:f>IF(AND($B41="Milestone",W$5=$D41),"◆","")</x:f>
      </x:c>
      <x:c r="X41" s="136" t="str">
        <x:f>IF(AND($B41="Milestone",X$5=$D41),"◆","")</x:f>
      </x:c>
      <x:c r="Y41" s="136" t="str">
        <x:f>IF(AND($B41="Milestone",Y$5=$D41),"◆","")</x:f>
      </x:c>
      <x:c r="Z41" s="136" t="str">
        <x:f>IF(AND($B41="Milestone",Z$5=$D41),"◆","")</x:f>
      </x:c>
      <x:c r="AA41" s="136" t="str">
        <x:f>IF(AND($B41="Milestone",AA$5=$D41),"◆","")</x:f>
      </x:c>
      <x:c r="AB41" s="136" t="str">
        <x:f>IF(AND($B41="Milestone",AB$5=$D41),"◆","")</x:f>
      </x:c>
      <x:c r="AC41" s="136" t="str">
        <x:f>IF(AND($B41="Milestone",AC$5=$D41),"◆","")</x:f>
      </x:c>
      <x:c r="AD41" s="136" t="str">
        <x:f>IF(AND($B41="Milestone",AD$5=$D41),"◆","")</x:f>
      </x:c>
      <x:c r="AE41" s="136" t="str">
        <x:f>IF(AND($B41="Milestone",AE$5=$D41),"◆","")</x:f>
      </x:c>
      <x:c r="AF41" s="136" t="str">
        <x:f>IF(AND($B41="Milestone",AF$5=$D41),"◆","")</x:f>
      </x:c>
      <x:c r="AG41" s="136" t="str">
        <x:f>IF(AND($B41="Milestone",AG$5=$D41),"◆","")</x:f>
      </x:c>
      <x:c r="AH41" s="136" t="str">
        <x:f>IF(AND($B41="Milestone",AH$5=$D41),"◆","")</x:f>
      </x:c>
      <x:c r="AI41" s="136" t="str">
        <x:f>IF(AND($B41="Milestone",AI$5=$D41),"◆","")</x:f>
      </x:c>
      <x:c r="AJ41" s="136" t="str">
        <x:f>IF(AND($B41="Milestone",AJ$5=$D41),"◆","")</x:f>
      </x:c>
      <x:c r="AK41" s="136" t="str">
        <x:f>IF(AND($B41="Milestone",AK$5=$D41),"◆","")</x:f>
      </x:c>
      <x:c r="AL41" s="136" t="str">
        <x:f>IF(AND($B41="Milestone",AL$5=$D41),"◆","")</x:f>
      </x:c>
      <x:c r="AM41" s="136" t="str">
        <x:f>IF(AND($B41="Milestone",AM$5=$D41),"◆","")</x:f>
      </x:c>
      <x:c r="AN41" s="136" t="str">
        <x:f>IF(AND($B41="Milestone",AN$5=$D41),"◆","")</x:f>
      </x:c>
      <x:c r="AO41" s="136" t="str">
        <x:f>IF(AND($B41="Milestone",AO$5=$D41),"◆","")</x:f>
      </x:c>
      <x:c r="AP41" s="136" t="str">
        <x:f>IF(AND($B41="Milestone",AP$5=$D41),"◆","")</x:f>
      </x:c>
      <x:c r="AQ41" s="136" t="str">
        <x:f>IF(AND($B41="Milestone",AQ$5=$D41),"◆","")</x:f>
      </x:c>
      <x:c r="AR41" s="154" t="str">
        <x:f>IF(AND($B41="Milestone",AR$5=$D41),"◆","")</x:f>
      </x:c>
    </x:row>
    <x:row r="42" ht="26" customHeight="1">
      <x:c r="A42" s="90" t="str">
        <x:v>T25</x:v>
      </x:c>
      <x:c r="B42" s="90" t="str">
        <x:v>Task</x:v>
      </x:c>
      <x:c r="C42" s="88" t="str">
        <x:v>Initialize Outbound Actuation MCP Boundary with audience tokens</x:v>
      </x:c>
      <x:c r="D42" s="92" t="n">
        <x:v>46301</x:v>
      </x:c>
      <x:c r="E42" s="92" t="n">
        <x:v>46302</x:v>
      </x:c>
      <x:c r="F42" s="90" t="n">
        <x:f>IF(OR(D42="",E42=""),"",E42-D42+1)</x:f>
        <x:v>2</x:v>
      </x:c>
      <x:c r="G42" s="88" t="str">
        <x:v>T24 (FS)</x:v>
      </x:c>
      <x:c r="H42" s="88" t="str">
        <x:v>Outbound Actuation MCP Boundary</x:v>
      </x:c>
      <x:c r="I42" s="94" t="n">
        <x:v>0</x:v>
      </x:c>
      <x:c r="J42" s="90" t="str">
        <x:f>IF(COUNT(I42)=0,"",IF(I42&gt;=1,"Completed",IF(I42&gt;0,"In Progress","Not Started")))</x:f>
        <x:v>Not Started</x:v>
      </x:c>
      <x:c r="K42" s="138" t="str">
        <x:f>IF(AND($B42="Milestone",K$5=$D42),"◆","")</x:f>
      </x:c>
      <x:c r="L42" s="138" t="str">
        <x:f>IF(AND($B42="Milestone",L$5=$D42),"◆","")</x:f>
      </x:c>
      <x:c r="M42" s="138" t="str">
        <x:f>IF(AND($B42="Milestone",M$5=$D42),"◆","")</x:f>
      </x:c>
      <x:c r="N42" s="138" t="str">
        <x:f>IF(AND($B42="Milestone",N$5=$D42),"◆","")</x:f>
      </x:c>
      <x:c r="O42" s="138" t="str">
        <x:f>IF(AND($B42="Milestone",O$5=$D42),"◆","")</x:f>
      </x:c>
      <x:c r="P42" s="138" t="str">
        <x:f>IF(AND($B42="Milestone",P$5=$D42),"◆","")</x:f>
      </x:c>
      <x:c r="Q42" s="138" t="str">
        <x:f>IF(AND($B42="Milestone",Q$5=$D42),"◆","")</x:f>
      </x:c>
      <x:c r="R42" s="138" t="str">
        <x:f>IF(AND($B42="Milestone",R$5=$D42),"◆","")</x:f>
      </x:c>
      <x:c r="S42" s="138" t="str">
        <x:f>IF(AND($B42="Milestone",S$5=$D42),"◆","")</x:f>
      </x:c>
      <x:c r="T42" s="138" t="str">
        <x:f>IF(AND($B42="Milestone",T$5=$D42),"◆","")</x:f>
      </x:c>
      <x:c r="U42" s="138" t="str">
        <x:f>IF(AND($B42="Milestone",U$5=$D42),"◆","")</x:f>
      </x:c>
      <x:c r="V42" s="138" t="str">
        <x:f>IF(AND($B42="Milestone",V$5=$D42),"◆","")</x:f>
      </x:c>
      <x:c r="W42" s="138" t="str">
        <x:f>IF(AND($B42="Milestone",W$5=$D42),"◆","")</x:f>
      </x:c>
      <x:c r="X42" s="138" t="str">
        <x:f>IF(AND($B42="Milestone",X$5=$D42),"◆","")</x:f>
      </x:c>
      <x:c r="Y42" s="138" t="str">
        <x:f>IF(AND($B42="Milestone",Y$5=$D42),"◆","")</x:f>
      </x:c>
      <x:c r="Z42" s="138" t="str">
        <x:f>IF(AND($B42="Milestone",Z$5=$D42),"◆","")</x:f>
      </x:c>
      <x:c r="AA42" s="138" t="str">
        <x:f>IF(AND($B42="Milestone",AA$5=$D42),"◆","")</x:f>
      </x:c>
      <x:c r="AB42" s="138" t="str">
        <x:f>IF(AND($B42="Milestone",AB$5=$D42),"◆","")</x:f>
      </x:c>
      <x:c r="AC42" s="138" t="str">
        <x:f>IF(AND($B42="Milestone",AC$5=$D42),"◆","")</x:f>
      </x:c>
      <x:c r="AD42" s="138" t="str">
        <x:f>IF(AND($B42="Milestone",AD$5=$D42),"◆","")</x:f>
      </x:c>
      <x:c r="AE42" s="138" t="str">
        <x:f>IF(AND($B42="Milestone",AE$5=$D42),"◆","")</x:f>
      </x:c>
      <x:c r="AF42" s="138" t="str">
        <x:f>IF(AND($B42="Milestone",AF$5=$D42),"◆","")</x:f>
      </x:c>
      <x:c r="AG42" s="138" t="str">
        <x:f>IF(AND($B42="Milestone",AG$5=$D42),"◆","")</x:f>
      </x:c>
      <x:c r="AH42" s="138" t="str">
        <x:f>IF(AND($B42="Milestone",AH$5=$D42),"◆","")</x:f>
      </x:c>
      <x:c r="AI42" s="138" t="str">
        <x:f>IF(AND($B42="Milestone",AI$5=$D42),"◆","")</x:f>
      </x:c>
      <x:c r="AJ42" s="138" t="str">
        <x:f>IF(AND($B42="Milestone",AJ$5=$D42),"◆","")</x:f>
      </x:c>
      <x:c r="AK42" s="138" t="str">
        <x:f>IF(AND($B42="Milestone",AK$5=$D42),"◆","")</x:f>
      </x:c>
      <x:c r="AL42" s="138" t="str">
        <x:f>IF(AND($B42="Milestone",AL$5=$D42),"◆","")</x:f>
      </x:c>
      <x:c r="AM42" s="138" t="str">
        <x:f>IF(AND($B42="Milestone",AM$5=$D42),"◆","")</x:f>
      </x:c>
      <x:c r="AN42" s="138" t="str">
        <x:f>IF(AND($B42="Milestone",AN$5=$D42),"◆","")</x:f>
      </x:c>
      <x:c r="AO42" s="138" t="str">
        <x:f>IF(AND($B42="Milestone",AO$5=$D42),"◆","")</x:f>
      </x:c>
      <x:c r="AP42" s="138" t="str">
        <x:f>IF(AND($B42="Milestone",AP$5=$D42),"◆","")</x:f>
      </x:c>
      <x:c r="AQ42" s="138" t="str">
        <x:f>IF(AND($B42="Milestone",AQ$5=$D42),"◆","")</x:f>
      </x:c>
      <x:c r="AR42" s="155" t="str">
        <x:f>IF(AND($B42="Milestone",AR$5=$D42),"◆","")</x:f>
      </x:c>
    </x:row>
    <x:row r="43" ht="26" customHeight="1">
      <x:c r="A43" s="90" t="str">
        <x:v>T26</x:v>
      </x:c>
      <x:c r="B43" s="90" t="str">
        <x:v>Task</x:v>
      </x:c>
      <x:c r="C43" s="88" t="str">
        <x:v>Deploy live schemas, catalog updates &amp; layout code to Website &amp; CMS</x:v>
      </x:c>
      <x:c r="D43" s="92" t="n">
        <x:v>46302</x:v>
      </x:c>
      <x:c r="E43" s="92" t="n">
        <x:v>46304</x:v>
      </x:c>
      <x:c r="F43" s="90" t="n">
        <x:f>IF(OR(D43="",E43=""),"",E43-D43+1)</x:f>
        <x:v>3</x:v>
      </x:c>
      <x:c r="G43" s="88" t="str">
        <x:v>T25 (FS)</x:v>
      </x:c>
      <x:c r="H43" s="88" t="str">
        <x:v>Outbound MCP &amp; Website / CMS</x:v>
      </x:c>
      <x:c r="I43" s="94" t="n">
        <x:v>0</x:v>
      </x:c>
      <x:c r="J43" s="90" t="str">
        <x:f>IF(COUNT(I43)=0,"",IF(I43&gt;=1,"Completed",IF(I43&gt;0,"In Progress","Not Started")))</x:f>
        <x:v>Not Started</x:v>
      </x:c>
      <x:c r="K43" s="138" t="str">
        <x:f>IF(AND($B43="Milestone",K$5=$D43),"◆","")</x:f>
      </x:c>
      <x:c r="L43" s="138" t="str">
        <x:f>IF(AND($B43="Milestone",L$5=$D43),"◆","")</x:f>
      </x:c>
      <x:c r="M43" s="138" t="str">
        <x:f>IF(AND($B43="Milestone",M$5=$D43),"◆","")</x:f>
      </x:c>
      <x:c r="N43" s="138" t="str">
        <x:f>IF(AND($B43="Milestone",N$5=$D43),"◆","")</x:f>
      </x:c>
      <x:c r="O43" s="138" t="str">
        <x:f>IF(AND($B43="Milestone",O$5=$D43),"◆","")</x:f>
      </x:c>
      <x:c r="P43" s="138" t="str">
        <x:f>IF(AND($B43="Milestone",P$5=$D43),"◆","")</x:f>
      </x:c>
      <x:c r="Q43" s="138" t="str">
        <x:f>IF(AND($B43="Milestone",Q$5=$D43),"◆","")</x:f>
      </x:c>
      <x:c r="R43" s="138" t="str">
        <x:f>IF(AND($B43="Milestone",R$5=$D43),"◆","")</x:f>
      </x:c>
      <x:c r="S43" s="138" t="str">
        <x:f>IF(AND($B43="Milestone",S$5=$D43),"◆","")</x:f>
      </x:c>
      <x:c r="T43" s="138" t="str">
        <x:f>IF(AND($B43="Milestone",T$5=$D43),"◆","")</x:f>
      </x:c>
      <x:c r="U43" s="138" t="str">
        <x:f>IF(AND($B43="Milestone",U$5=$D43),"◆","")</x:f>
      </x:c>
      <x:c r="V43" s="138" t="str">
        <x:f>IF(AND($B43="Milestone",V$5=$D43),"◆","")</x:f>
      </x:c>
      <x:c r="W43" s="138" t="str">
        <x:f>IF(AND($B43="Milestone",W$5=$D43),"◆","")</x:f>
      </x:c>
      <x:c r="X43" s="138" t="str">
        <x:f>IF(AND($B43="Milestone",X$5=$D43),"◆","")</x:f>
      </x:c>
      <x:c r="Y43" s="138" t="str">
        <x:f>IF(AND($B43="Milestone",Y$5=$D43),"◆","")</x:f>
      </x:c>
      <x:c r="Z43" s="138" t="str">
        <x:f>IF(AND($B43="Milestone",Z$5=$D43),"◆","")</x:f>
      </x:c>
      <x:c r="AA43" s="138" t="str">
        <x:f>IF(AND($B43="Milestone",AA$5=$D43),"◆","")</x:f>
      </x:c>
      <x:c r="AB43" s="138" t="str">
        <x:f>IF(AND($B43="Milestone",AB$5=$D43),"◆","")</x:f>
      </x:c>
      <x:c r="AC43" s="138" t="str">
        <x:f>IF(AND($B43="Milestone",AC$5=$D43),"◆","")</x:f>
      </x:c>
      <x:c r="AD43" s="138" t="str">
        <x:f>IF(AND($B43="Milestone",AD$5=$D43),"◆","")</x:f>
      </x:c>
      <x:c r="AE43" s="138" t="str">
        <x:f>IF(AND($B43="Milestone",AE$5=$D43),"◆","")</x:f>
      </x:c>
      <x:c r="AF43" s="138" t="str">
        <x:f>IF(AND($B43="Milestone",AF$5=$D43),"◆","")</x:f>
      </x:c>
      <x:c r="AG43" s="138" t="str">
        <x:f>IF(AND($B43="Milestone",AG$5=$D43),"◆","")</x:f>
      </x:c>
      <x:c r="AH43" s="138" t="str">
        <x:f>IF(AND($B43="Milestone",AH$5=$D43),"◆","")</x:f>
      </x:c>
      <x:c r="AI43" s="138" t="str">
        <x:f>IF(AND($B43="Milestone",AI$5=$D43),"◆","")</x:f>
      </x:c>
      <x:c r="AJ43" s="138" t="str">
        <x:f>IF(AND($B43="Milestone",AJ$5=$D43),"◆","")</x:f>
      </x:c>
      <x:c r="AK43" s="138" t="str">
        <x:f>IF(AND($B43="Milestone",AK$5=$D43),"◆","")</x:f>
      </x:c>
      <x:c r="AL43" s="138" t="str">
        <x:f>IF(AND($B43="Milestone",AL$5=$D43),"◆","")</x:f>
      </x:c>
      <x:c r="AM43" s="138" t="str">
        <x:f>IF(AND($B43="Milestone",AM$5=$D43),"◆","")</x:f>
      </x:c>
      <x:c r="AN43" s="138" t="str">
        <x:f>IF(AND($B43="Milestone",AN$5=$D43),"◆","")</x:f>
      </x:c>
      <x:c r="AO43" s="138" t="str">
        <x:f>IF(AND($B43="Milestone",AO$5=$D43),"◆","")</x:f>
      </x:c>
      <x:c r="AP43" s="138" t="str">
        <x:f>IF(AND($B43="Milestone",AP$5=$D43),"◆","")</x:f>
      </x:c>
      <x:c r="AQ43" s="138" t="str">
        <x:f>IF(AND($B43="Milestone",AQ$5=$D43),"◆","")</x:f>
      </x:c>
      <x:c r="AR43" s="155" t="str">
        <x:f>IF(AND($B43="Milestone",AR$5=$D43),"◆","")</x:f>
      </x:c>
    </x:row>
    <x:row r="44" ht="26" customHeight="1">
      <x:c r="A44" s="90" t="str">
        <x:v>T27</x:v>
      </x:c>
      <x:c r="B44" s="90" t="str">
        <x:v>Task</x:v>
      </x:c>
      <x:c r="C44" s="88" t="str">
        <x:v>Publish ad campaigns and bid targets to Paid Ad Platforms</x:v>
      </x:c>
      <x:c r="D44" s="92" t="n">
        <x:v>46302</x:v>
      </x:c>
      <x:c r="E44" s="92" t="n">
        <x:v>46304</x:v>
      </x:c>
      <x:c r="F44" s="90" t="n">
        <x:f>IF(OR(D44="",E44=""),"",E44-D44+1)</x:f>
        <x:v>3</x:v>
      </x:c>
      <x:c r="G44" s="88" t="str">
        <x:v>T25 (FS)</x:v>
      </x:c>
      <x:c r="H44" s="88" t="str">
        <x:v>Outbound MCP &amp; Paid Ad Platforms</x:v>
      </x:c>
      <x:c r="I44" s="94" t="n">
        <x:v>0</x:v>
      </x:c>
      <x:c r="J44" s="90" t="str">
        <x:f>IF(COUNT(I44)=0,"",IF(I44&gt;=1,"Completed",IF(I44&gt;0,"In Progress","Not Started")))</x:f>
        <x:v>Not Started</x:v>
      </x:c>
      <x:c r="K44" s="138" t="str">
        <x:f>IF(AND($B44="Milestone",K$5=$D44),"◆","")</x:f>
      </x:c>
      <x:c r="L44" s="138" t="str">
        <x:f>IF(AND($B44="Milestone",L$5=$D44),"◆","")</x:f>
      </x:c>
      <x:c r="M44" s="138" t="str">
        <x:f>IF(AND($B44="Milestone",M$5=$D44),"◆","")</x:f>
      </x:c>
      <x:c r="N44" s="138" t="str">
        <x:f>IF(AND($B44="Milestone",N$5=$D44),"◆","")</x:f>
      </x:c>
      <x:c r="O44" s="138" t="str">
        <x:f>IF(AND($B44="Milestone",O$5=$D44),"◆","")</x:f>
      </x:c>
      <x:c r="P44" s="138" t="str">
        <x:f>IF(AND($B44="Milestone",P$5=$D44),"◆","")</x:f>
      </x:c>
      <x:c r="Q44" s="138" t="str">
        <x:f>IF(AND($B44="Milestone",Q$5=$D44),"◆","")</x:f>
      </x:c>
      <x:c r="R44" s="138" t="str">
        <x:f>IF(AND($B44="Milestone",R$5=$D44),"◆","")</x:f>
      </x:c>
      <x:c r="S44" s="138" t="str">
        <x:f>IF(AND($B44="Milestone",S$5=$D44),"◆","")</x:f>
      </x:c>
      <x:c r="T44" s="138" t="str">
        <x:f>IF(AND($B44="Milestone",T$5=$D44),"◆","")</x:f>
      </x:c>
      <x:c r="U44" s="138" t="str">
        <x:f>IF(AND($B44="Milestone",U$5=$D44),"◆","")</x:f>
      </x:c>
      <x:c r="V44" s="138" t="str">
        <x:f>IF(AND($B44="Milestone",V$5=$D44),"◆","")</x:f>
      </x:c>
      <x:c r="W44" s="138" t="str">
        <x:f>IF(AND($B44="Milestone",W$5=$D44),"◆","")</x:f>
      </x:c>
      <x:c r="X44" s="138" t="str">
        <x:f>IF(AND($B44="Milestone",X$5=$D44),"◆","")</x:f>
      </x:c>
      <x:c r="Y44" s="138" t="str">
        <x:f>IF(AND($B44="Milestone",Y$5=$D44),"◆","")</x:f>
      </x:c>
      <x:c r="Z44" s="138" t="str">
        <x:f>IF(AND($B44="Milestone",Z$5=$D44),"◆","")</x:f>
      </x:c>
      <x:c r="AA44" s="138" t="str">
        <x:f>IF(AND($B44="Milestone",AA$5=$D44),"◆","")</x:f>
      </x:c>
      <x:c r="AB44" s="138" t="str">
        <x:f>IF(AND($B44="Milestone",AB$5=$D44),"◆","")</x:f>
      </x:c>
      <x:c r="AC44" s="138" t="str">
        <x:f>IF(AND($B44="Milestone",AC$5=$D44),"◆","")</x:f>
      </x:c>
      <x:c r="AD44" s="138" t="str">
        <x:f>IF(AND($B44="Milestone",AD$5=$D44),"◆","")</x:f>
      </x:c>
      <x:c r="AE44" s="138" t="str">
        <x:f>IF(AND($B44="Milestone",AE$5=$D44),"◆","")</x:f>
      </x:c>
      <x:c r="AF44" s="138" t="str">
        <x:f>IF(AND($B44="Milestone",AF$5=$D44),"◆","")</x:f>
      </x:c>
      <x:c r="AG44" s="138" t="str">
        <x:f>IF(AND($B44="Milestone",AG$5=$D44),"◆","")</x:f>
      </x:c>
      <x:c r="AH44" s="138" t="str">
        <x:f>IF(AND($B44="Milestone",AH$5=$D44),"◆","")</x:f>
      </x:c>
      <x:c r="AI44" s="138" t="str">
        <x:f>IF(AND($B44="Milestone",AI$5=$D44),"◆","")</x:f>
      </x:c>
      <x:c r="AJ44" s="138" t="str">
        <x:f>IF(AND($B44="Milestone",AJ$5=$D44),"◆","")</x:f>
      </x:c>
      <x:c r="AK44" s="138" t="str">
        <x:f>IF(AND($B44="Milestone",AK$5=$D44),"◆","")</x:f>
      </x:c>
      <x:c r="AL44" s="138" t="str">
        <x:f>IF(AND($B44="Milestone",AL$5=$D44),"◆","")</x:f>
      </x:c>
      <x:c r="AM44" s="138" t="str">
        <x:f>IF(AND($B44="Milestone",AM$5=$D44),"◆","")</x:f>
      </x:c>
      <x:c r="AN44" s="138" t="str">
        <x:f>IF(AND($B44="Milestone",AN$5=$D44),"◆","")</x:f>
      </x:c>
      <x:c r="AO44" s="138" t="str">
        <x:f>IF(AND($B44="Milestone",AO$5=$D44),"◆","")</x:f>
      </x:c>
      <x:c r="AP44" s="138" t="str">
        <x:f>IF(AND($B44="Milestone",AP$5=$D44),"◆","")</x:f>
      </x:c>
      <x:c r="AQ44" s="138" t="str">
        <x:f>IF(AND($B44="Milestone",AQ$5=$D44),"◆","")</x:f>
      </x:c>
      <x:c r="AR44" s="155" t="str">
        <x:f>IF(AND($B44="Milestone",AR$5=$D44),"◆","")</x:f>
      </x:c>
    </x:row>
    <x:row r="45" ht="26" customHeight="1">
      <x:c r="A45" s="90" t="str">
        <x:v>T28</x:v>
      </x:c>
      <x:c r="B45" s="90" t="str">
        <x:v>Task</x:v>
      </x:c>
      <x:c r="C45" s="88" t="str">
        <x:v>Publish scheduled social media posts and assets to Social Channels</x:v>
      </x:c>
      <x:c r="D45" s="92" t="n">
        <x:v>46302</x:v>
      </x:c>
      <x:c r="E45" s="92" t="n">
        <x:v>46304</x:v>
      </x:c>
      <x:c r="F45" s="90" t="n">
        <x:f>IF(OR(D45="",E45=""),"",E45-D45+1)</x:f>
        <x:v>3</x:v>
      </x:c>
      <x:c r="G45" s="88" t="str">
        <x:v>T25 (FS)</x:v>
      </x:c>
      <x:c r="H45" s="88" t="str">
        <x:v>Outbound MCP &amp; Social Channels</x:v>
      </x:c>
      <x:c r="I45" s="94" t="n">
        <x:v>0</x:v>
      </x:c>
      <x:c r="J45" s="90" t="str">
        <x:f>IF(COUNT(I45)=0,"",IF(I45&gt;=1,"Completed",IF(I45&gt;0,"In Progress","Not Started")))</x:f>
        <x:v>Not Started</x:v>
      </x:c>
      <x:c r="K45" s="138" t="str">
        <x:f>IF(AND($B45="Milestone",K$5=$D45),"◆","")</x:f>
      </x:c>
      <x:c r="L45" s="138" t="str">
        <x:f>IF(AND($B45="Milestone",L$5=$D45),"◆","")</x:f>
      </x:c>
      <x:c r="M45" s="138" t="str">
        <x:f>IF(AND($B45="Milestone",M$5=$D45),"◆","")</x:f>
      </x:c>
      <x:c r="N45" s="138" t="str">
        <x:f>IF(AND($B45="Milestone",N$5=$D45),"◆","")</x:f>
      </x:c>
      <x:c r="O45" s="138" t="str">
        <x:f>IF(AND($B45="Milestone",O$5=$D45),"◆","")</x:f>
      </x:c>
      <x:c r="P45" s="138" t="str">
        <x:f>IF(AND($B45="Milestone",P$5=$D45),"◆","")</x:f>
      </x:c>
      <x:c r="Q45" s="138" t="str">
        <x:f>IF(AND($B45="Milestone",Q$5=$D45),"◆","")</x:f>
      </x:c>
      <x:c r="R45" s="138" t="str">
        <x:f>IF(AND($B45="Milestone",R$5=$D45),"◆","")</x:f>
      </x:c>
      <x:c r="S45" s="138" t="str">
        <x:f>IF(AND($B45="Milestone",S$5=$D45),"◆","")</x:f>
      </x:c>
      <x:c r="T45" s="138" t="str">
        <x:f>IF(AND($B45="Milestone",T$5=$D45),"◆","")</x:f>
      </x:c>
      <x:c r="U45" s="138" t="str">
        <x:f>IF(AND($B45="Milestone",U$5=$D45),"◆","")</x:f>
      </x:c>
      <x:c r="V45" s="138" t="str">
        <x:f>IF(AND($B45="Milestone",V$5=$D45),"◆","")</x:f>
      </x:c>
      <x:c r="W45" s="138" t="str">
        <x:f>IF(AND($B45="Milestone",W$5=$D45),"◆","")</x:f>
      </x:c>
      <x:c r="X45" s="138" t="str">
        <x:f>IF(AND($B45="Milestone",X$5=$D45),"◆","")</x:f>
      </x:c>
      <x:c r="Y45" s="138" t="str">
        <x:f>IF(AND($B45="Milestone",Y$5=$D45),"◆","")</x:f>
      </x:c>
      <x:c r="Z45" s="138" t="str">
        <x:f>IF(AND($B45="Milestone",Z$5=$D45),"◆","")</x:f>
      </x:c>
      <x:c r="AA45" s="138" t="str">
        <x:f>IF(AND($B45="Milestone",AA$5=$D45),"◆","")</x:f>
      </x:c>
      <x:c r="AB45" s="138" t="str">
        <x:f>IF(AND($B45="Milestone",AB$5=$D45),"◆","")</x:f>
      </x:c>
      <x:c r="AC45" s="138" t="str">
        <x:f>IF(AND($B45="Milestone",AC$5=$D45),"◆","")</x:f>
      </x:c>
      <x:c r="AD45" s="138" t="str">
        <x:f>IF(AND($B45="Milestone",AD$5=$D45),"◆","")</x:f>
      </x:c>
      <x:c r="AE45" s="138" t="str">
        <x:f>IF(AND($B45="Milestone",AE$5=$D45),"◆","")</x:f>
      </x:c>
      <x:c r="AF45" s="138" t="str">
        <x:f>IF(AND($B45="Milestone",AF$5=$D45),"◆","")</x:f>
      </x:c>
      <x:c r="AG45" s="138" t="str">
        <x:f>IF(AND($B45="Milestone",AG$5=$D45),"◆","")</x:f>
      </x:c>
      <x:c r="AH45" s="138" t="str">
        <x:f>IF(AND($B45="Milestone",AH$5=$D45),"◆","")</x:f>
      </x:c>
      <x:c r="AI45" s="138" t="str">
        <x:f>IF(AND($B45="Milestone",AI$5=$D45),"◆","")</x:f>
      </x:c>
      <x:c r="AJ45" s="138" t="str">
        <x:f>IF(AND($B45="Milestone",AJ$5=$D45),"◆","")</x:f>
      </x:c>
      <x:c r="AK45" s="138" t="str">
        <x:f>IF(AND($B45="Milestone",AK$5=$D45),"◆","")</x:f>
      </x:c>
      <x:c r="AL45" s="138" t="str">
        <x:f>IF(AND($B45="Milestone",AL$5=$D45),"◆","")</x:f>
      </x:c>
      <x:c r="AM45" s="138" t="str">
        <x:f>IF(AND($B45="Milestone",AM$5=$D45),"◆","")</x:f>
      </x:c>
      <x:c r="AN45" s="138" t="str">
        <x:f>IF(AND($B45="Milestone",AN$5=$D45),"◆","")</x:f>
      </x:c>
      <x:c r="AO45" s="138" t="str">
        <x:f>IF(AND($B45="Milestone",AO$5=$D45),"◆","")</x:f>
      </x:c>
      <x:c r="AP45" s="138" t="str">
        <x:f>IF(AND($B45="Milestone",AP$5=$D45),"◆","")</x:f>
      </x:c>
      <x:c r="AQ45" s="138" t="str">
        <x:f>IF(AND($B45="Milestone",AQ$5=$D45),"◆","")</x:f>
      </x:c>
      <x:c r="AR45" s="155" t="str">
        <x:f>IF(AND($B45="Milestone",AR$5=$D45),"◆","")</x:f>
      </x:c>
    </x:row>
    <x:row r="46" ht="26" customHeight="1">
      <x:c r="A46" s="90" t="str">
        <x:v>T29</x:v>
      </x:c>
      <x:c r="B46" s="90" t="str">
        <x:v>Task</x:v>
      </x:c>
      <x:c r="C46" s="88" t="str">
        <x:v>Connect Omnichannel Telemetry Engine webhooks, pixel events &amp; logs</x:v>
      </x:c>
      <x:c r="D46" s="92" t="n">
        <x:v>46304</x:v>
      </x:c>
      <x:c r="E46" s="92" t="n">
        <x:v>46305</x:v>
      </x:c>
      <x:c r="F46" s="90" t="n">
        <x:f>IF(OR(D46="",E46=""),"",E46-D46+1)</x:f>
        <x:v>2</x:v>
      </x:c>
      <x:c r="G46" s="88" t="str">
        <x:v>T26, T27, T28 (FS)</x:v>
      </x:c>
      <x:c r="H46" s="88" t="str">
        <x:v>Omnichannel Telemetry Engine</x:v>
      </x:c>
      <x:c r="I46" s="94" t="n">
        <x:v>0</x:v>
      </x:c>
      <x:c r="J46" s="90" t="str">
        <x:f>IF(COUNT(I46)=0,"",IF(I46&gt;=1,"Completed",IF(I46&gt;0,"In Progress","Not Started")))</x:f>
        <x:v>Not Started</x:v>
      </x:c>
      <x:c r="K46" s="138" t="str">
        <x:f>IF(AND($B46="Milestone",K$5=$D46),"◆","")</x:f>
      </x:c>
      <x:c r="L46" s="138" t="str">
        <x:f>IF(AND($B46="Milestone",L$5=$D46),"◆","")</x:f>
      </x:c>
      <x:c r="M46" s="138" t="str">
        <x:f>IF(AND($B46="Milestone",M$5=$D46),"◆","")</x:f>
      </x:c>
      <x:c r="N46" s="138" t="str">
        <x:f>IF(AND($B46="Milestone",N$5=$D46),"◆","")</x:f>
      </x:c>
      <x:c r="O46" s="138" t="str">
        <x:f>IF(AND($B46="Milestone",O$5=$D46),"◆","")</x:f>
      </x:c>
      <x:c r="P46" s="138" t="str">
        <x:f>IF(AND($B46="Milestone",P$5=$D46),"◆","")</x:f>
      </x:c>
      <x:c r="Q46" s="138" t="str">
        <x:f>IF(AND($B46="Milestone",Q$5=$D46),"◆","")</x:f>
      </x:c>
      <x:c r="R46" s="138" t="str">
        <x:f>IF(AND($B46="Milestone",R$5=$D46),"◆","")</x:f>
      </x:c>
      <x:c r="S46" s="138" t="str">
        <x:f>IF(AND($B46="Milestone",S$5=$D46),"◆","")</x:f>
      </x:c>
      <x:c r="T46" s="138" t="str">
        <x:f>IF(AND($B46="Milestone",T$5=$D46),"◆","")</x:f>
      </x:c>
      <x:c r="U46" s="138" t="str">
        <x:f>IF(AND($B46="Milestone",U$5=$D46),"◆","")</x:f>
      </x:c>
      <x:c r="V46" s="138" t="str">
        <x:f>IF(AND($B46="Milestone",V$5=$D46),"◆","")</x:f>
      </x:c>
      <x:c r="W46" s="138" t="str">
        <x:f>IF(AND($B46="Milestone",W$5=$D46),"◆","")</x:f>
      </x:c>
      <x:c r="X46" s="138" t="str">
        <x:f>IF(AND($B46="Milestone",X$5=$D46),"◆","")</x:f>
      </x:c>
      <x:c r="Y46" s="138" t="str">
        <x:f>IF(AND($B46="Milestone",Y$5=$D46),"◆","")</x:f>
      </x:c>
      <x:c r="Z46" s="138" t="str">
        <x:f>IF(AND($B46="Milestone",Z$5=$D46),"◆","")</x:f>
      </x:c>
      <x:c r="AA46" s="138" t="str">
        <x:f>IF(AND($B46="Milestone",AA$5=$D46),"◆","")</x:f>
      </x:c>
      <x:c r="AB46" s="138" t="str">
        <x:f>IF(AND($B46="Milestone",AB$5=$D46),"◆","")</x:f>
      </x:c>
      <x:c r="AC46" s="138" t="str">
        <x:f>IF(AND($B46="Milestone",AC$5=$D46),"◆","")</x:f>
      </x:c>
      <x:c r="AD46" s="138" t="str">
        <x:f>IF(AND($B46="Milestone",AD$5=$D46),"◆","")</x:f>
      </x:c>
      <x:c r="AE46" s="138" t="str">
        <x:f>IF(AND($B46="Milestone",AE$5=$D46),"◆","")</x:f>
      </x:c>
      <x:c r="AF46" s="138" t="str">
        <x:f>IF(AND($B46="Milestone",AF$5=$D46),"◆","")</x:f>
      </x:c>
      <x:c r="AG46" s="138" t="str">
        <x:f>IF(AND($B46="Milestone",AG$5=$D46),"◆","")</x:f>
      </x:c>
      <x:c r="AH46" s="138" t="str">
        <x:f>IF(AND($B46="Milestone",AH$5=$D46),"◆","")</x:f>
      </x:c>
      <x:c r="AI46" s="138" t="str">
        <x:f>IF(AND($B46="Milestone",AI$5=$D46),"◆","")</x:f>
      </x:c>
      <x:c r="AJ46" s="138" t="str">
        <x:f>IF(AND($B46="Milestone",AJ$5=$D46),"◆","")</x:f>
      </x:c>
      <x:c r="AK46" s="138" t="str">
        <x:f>IF(AND($B46="Milestone",AK$5=$D46),"◆","")</x:f>
      </x:c>
      <x:c r="AL46" s="138" t="str">
        <x:f>IF(AND($B46="Milestone",AL$5=$D46),"◆","")</x:f>
      </x:c>
      <x:c r="AM46" s="138" t="str">
        <x:f>IF(AND($B46="Milestone",AM$5=$D46),"◆","")</x:f>
      </x:c>
      <x:c r="AN46" s="138" t="str">
        <x:f>IF(AND($B46="Milestone",AN$5=$D46),"◆","")</x:f>
      </x:c>
      <x:c r="AO46" s="138" t="str">
        <x:f>IF(AND($B46="Milestone",AO$5=$D46),"◆","")</x:f>
      </x:c>
      <x:c r="AP46" s="138" t="str">
        <x:f>IF(AND($B46="Milestone",AP$5=$D46),"◆","")</x:f>
      </x:c>
      <x:c r="AQ46" s="138" t="str">
        <x:f>IF(AND($B46="Milestone",AQ$5=$D46),"◆","")</x:f>
      </x:c>
      <x:c r="AR46" s="155" t="str">
        <x:f>IF(AND($B46="Milestone",AR$5=$D46),"◆","")</x:f>
      </x:c>
    </x:row>
    <x:row r="47" ht="22" customHeight="1">
      <x:c r="A47" s="122" t="str">
        <x:v>M6</x:v>
      </x:c>
      <x:c r="B47" s="122" t="str">
        <x:v>Milestone</x:v>
      </x:c>
      <x:c r="C47" s="123" t="str">
        <x:v>Outbound Actuation, Telemetry &amp; Omnichannel Go-Live</x:v>
      </x:c>
      <x:c r="D47" s="124" t="n">
        <x:v>46305</x:v>
      </x:c>
      <x:c r="E47" s="124" t="n">
        <x:v>46305</x:v>
      </x:c>
      <x:c r="F47" s="122" t="n">
        <x:f>IF(OR(D47="",E47=""),"",0)</x:f>
        <x:v>0</x:v>
      </x:c>
      <x:c r="G47" s="123" t="str">
        <x:v>Linked: T25, T26, T27, T28, T29</x:v>
      </x:c>
      <x:c r="H47" s="123" t="str"/>
      <x:c r="I47" s="125"/>
      <x:c r="J47" s="122" t="str">
        <x:v>Planned</x:v>
      </x:c>
      <x:c r="K47" s="138" t="str">
        <x:f>IF(AND($B47="Milestone",K$5=$D47),"◆","")</x:f>
      </x:c>
      <x:c r="L47" s="138" t="str">
        <x:f>IF(AND($B47="Milestone",L$5=$D47),"◆","")</x:f>
      </x:c>
      <x:c r="M47" s="138" t="str">
        <x:f>IF(AND($B47="Milestone",M$5=$D47),"◆","")</x:f>
      </x:c>
      <x:c r="N47" s="138" t="str">
        <x:f>IF(AND($B47="Milestone",N$5=$D47),"◆","")</x:f>
      </x:c>
      <x:c r="O47" s="138" t="str">
        <x:f>IF(AND($B47="Milestone",O$5=$D47),"◆","")</x:f>
      </x:c>
      <x:c r="P47" s="138" t="str">
        <x:f>IF(AND($B47="Milestone",P$5=$D47),"◆","")</x:f>
      </x:c>
      <x:c r="Q47" s="138" t="str">
        <x:f>IF(AND($B47="Milestone",Q$5=$D47),"◆","")</x:f>
      </x:c>
      <x:c r="R47" s="138" t="str">
        <x:f>IF(AND($B47="Milestone",R$5=$D47),"◆","")</x:f>
      </x:c>
      <x:c r="S47" s="138" t="str">
        <x:f>IF(AND($B47="Milestone",S$5=$D47),"◆","")</x:f>
      </x:c>
      <x:c r="T47" s="138" t="str">
        <x:f>IF(AND($B47="Milestone",T$5=$D47),"◆","")</x:f>
      </x:c>
      <x:c r="U47" s="138" t="str">
        <x:f>IF(AND($B47="Milestone",U$5=$D47),"◆","")</x:f>
      </x:c>
      <x:c r="V47" s="138" t="str">
        <x:f>IF(AND($B47="Milestone",V$5=$D47),"◆","")</x:f>
      </x:c>
      <x:c r="W47" s="138" t="str">
        <x:f>IF(AND($B47="Milestone",W$5=$D47),"◆","")</x:f>
      </x:c>
      <x:c r="X47" s="138" t="str">
        <x:f>IF(AND($B47="Milestone",X$5=$D47),"◆","")</x:f>
      </x:c>
      <x:c r="Y47" s="138" t="str">
        <x:f>IF(AND($B47="Milestone",Y$5=$D47),"◆","")</x:f>
      </x:c>
      <x:c r="Z47" s="138" t="str">
        <x:f>IF(AND($B47="Milestone",Z$5=$D47),"◆","")</x:f>
      </x:c>
      <x:c r="AA47" s="138" t="str">
        <x:f>IF(AND($B47="Milestone",AA$5=$D47),"◆","")</x:f>
      </x:c>
      <x:c r="AB47" s="138" t="str">
        <x:f>IF(AND($B47="Milestone",AB$5=$D47),"◆","")</x:f>
      </x:c>
      <x:c r="AC47" s="138" t="str">
        <x:f>IF(AND($B47="Milestone",AC$5=$D47),"◆","")</x:f>
      </x:c>
      <x:c r="AD47" s="138" t="str">
        <x:f>IF(AND($B47="Milestone",AD$5=$D47),"◆","")</x:f>
      </x:c>
      <x:c r="AE47" s="138" t="str">
        <x:f>IF(AND($B47="Milestone",AE$5=$D47),"◆","")</x:f>
      </x:c>
      <x:c r="AF47" s="138" t="str">
        <x:f>IF(AND($B47="Milestone",AF$5=$D47),"◆","")</x:f>
      </x:c>
      <x:c r="AG47" s="138" t="str">
        <x:f>IF(AND($B47="Milestone",AG$5=$D47),"◆","")</x:f>
      </x:c>
      <x:c r="AH47" s="138" t="str">
        <x:f>IF(AND($B47="Milestone",AH$5=$D47),"◆","")</x:f>
      </x:c>
      <x:c r="AI47" s="138" t="str">
        <x:f>IF(AND($B47="Milestone",AI$5=$D47),"◆","")</x:f>
      </x:c>
      <x:c r="AJ47" s="138" t="str">
        <x:f>IF(AND($B47="Milestone",AJ$5=$D47),"◆","")</x:f>
      </x:c>
      <x:c r="AK47" s="138" t="str">
        <x:f>IF(AND($B47="Milestone",AK$5=$D47),"◆","")</x:f>
      </x:c>
      <x:c r="AL47" s="138" t="str">
        <x:f>IF(AND($B47="Milestone",AL$5=$D47),"◆","")</x:f>
      </x:c>
      <x:c r="AM47" s="138" t="str">
        <x:f>IF(AND($B47="Milestone",AM$5=$D47),"◆","")</x:f>
      </x:c>
      <x:c r="AN47" s="138" t="str">
        <x:f>IF(AND($B47="Milestone",AN$5=$D47),"◆","")</x:f>
        <x:v>◆</x:v>
      </x:c>
      <x:c r="AO47" s="138" t="str">
        <x:f>IF(AND($B47="Milestone",AO$5=$D47),"◆","")</x:f>
      </x:c>
      <x:c r="AP47" s="138" t="str">
        <x:f>IF(AND($B47="Milestone",AP$5=$D47),"◆","")</x:f>
      </x:c>
      <x:c r="AQ47" s="138" t="str">
        <x:f>IF(AND($B47="Milestone",AQ$5=$D47),"◆","")</x:f>
      </x:c>
      <x:c r="AR47" s="155" t="str">
        <x:f>IF(AND($B47="Milestone",AR$5=$D47),"◆","")</x:f>
      </x:c>
    </x:row>
    <x:row r="48" ht="22" customHeight="1">
      <x:c r="A48" s="101" t="str"/>
      <x:c r="B48" s="101" t="str">
        <x:v>Summary</x:v>
      </x:c>
      <x:c r="C48" s="102" t="str">
        <x:v>Closed-Loop Telemetry Optimization &amp; Final Project Closeout</x:v>
      </x:c>
      <x:c r="D48" s="103" t="n">
        <x:f>MIN(D49:D53)</x:f>
        <x:v>46305</x:v>
      </x:c>
      <x:c r="E48" s="103" t="n">
        <x:f>MAX(E49:E53)</x:f>
        <x:v>46309</x:v>
      </x:c>
      <x:c r="F48" s="101" t="n">
        <x:f>E48-D48+1</x:f>
        <x:v>5</x:v>
      </x:c>
      <x:c r="G48" s="102" t="str"/>
      <x:c r="H48" s="102" t="str"/>
      <x:c r="I48" s="104" t="n">
        <x:f>IFERROR(SUMPRODUCT(F49:F53,I49:I53)/SUM(F49:F53),0)</x:f>
        <x:v>0</x:v>
      </x:c>
      <x:c r="J48" s="101" t="str">
        <x:v>Planned</x:v>
      </x:c>
      <x:c r="K48" s="136" t="str">
        <x:f>IF(AND($B48="Milestone",K$5=$D48),"◆","")</x:f>
      </x:c>
      <x:c r="L48" s="136" t="str">
        <x:f>IF(AND($B48="Milestone",L$5=$D48),"◆","")</x:f>
      </x:c>
      <x:c r="M48" s="136" t="str">
        <x:f>IF(AND($B48="Milestone",M$5=$D48),"◆","")</x:f>
      </x:c>
      <x:c r="N48" s="136" t="str">
        <x:f>IF(AND($B48="Milestone",N$5=$D48),"◆","")</x:f>
      </x:c>
      <x:c r="O48" s="136" t="str">
        <x:f>IF(AND($B48="Milestone",O$5=$D48),"◆","")</x:f>
      </x:c>
      <x:c r="P48" s="136" t="str">
        <x:f>IF(AND($B48="Milestone",P$5=$D48),"◆","")</x:f>
      </x:c>
      <x:c r="Q48" s="136" t="str">
        <x:f>IF(AND($B48="Milestone",Q$5=$D48),"◆","")</x:f>
      </x:c>
      <x:c r="R48" s="136" t="str">
        <x:f>IF(AND($B48="Milestone",R$5=$D48),"◆","")</x:f>
      </x:c>
      <x:c r="S48" s="136" t="str">
        <x:f>IF(AND($B48="Milestone",S$5=$D48),"◆","")</x:f>
      </x:c>
      <x:c r="T48" s="136" t="str">
        <x:f>IF(AND($B48="Milestone",T$5=$D48),"◆","")</x:f>
      </x:c>
      <x:c r="U48" s="136" t="str">
        <x:f>IF(AND($B48="Milestone",U$5=$D48),"◆","")</x:f>
      </x:c>
      <x:c r="V48" s="136" t="str">
        <x:f>IF(AND($B48="Milestone",V$5=$D48),"◆","")</x:f>
      </x:c>
      <x:c r="W48" s="136" t="str">
        <x:f>IF(AND($B48="Milestone",W$5=$D48),"◆","")</x:f>
      </x:c>
      <x:c r="X48" s="136" t="str">
        <x:f>IF(AND($B48="Milestone",X$5=$D48),"◆","")</x:f>
      </x:c>
      <x:c r="Y48" s="136" t="str">
        <x:f>IF(AND($B48="Milestone",Y$5=$D48),"◆","")</x:f>
      </x:c>
      <x:c r="Z48" s="136" t="str">
        <x:f>IF(AND($B48="Milestone",Z$5=$D48),"◆","")</x:f>
      </x:c>
      <x:c r="AA48" s="136" t="str">
        <x:f>IF(AND($B48="Milestone",AA$5=$D48),"◆","")</x:f>
      </x:c>
      <x:c r="AB48" s="136" t="str">
        <x:f>IF(AND($B48="Milestone",AB$5=$D48),"◆","")</x:f>
      </x:c>
      <x:c r="AC48" s="136" t="str">
        <x:f>IF(AND($B48="Milestone",AC$5=$D48),"◆","")</x:f>
      </x:c>
      <x:c r="AD48" s="136" t="str">
        <x:f>IF(AND($B48="Milestone",AD$5=$D48),"◆","")</x:f>
      </x:c>
      <x:c r="AE48" s="136" t="str">
        <x:f>IF(AND($B48="Milestone",AE$5=$D48),"◆","")</x:f>
      </x:c>
      <x:c r="AF48" s="136" t="str">
        <x:f>IF(AND($B48="Milestone",AF$5=$D48),"◆","")</x:f>
      </x:c>
      <x:c r="AG48" s="136" t="str">
        <x:f>IF(AND($B48="Milestone",AG$5=$D48),"◆","")</x:f>
      </x:c>
      <x:c r="AH48" s="136" t="str">
        <x:f>IF(AND($B48="Milestone",AH$5=$D48),"◆","")</x:f>
      </x:c>
      <x:c r="AI48" s="136" t="str">
        <x:f>IF(AND($B48="Milestone",AI$5=$D48),"◆","")</x:f>
      </x:c>
      <x:c r="AJ48" s="136" t="str">
        <x:f>IF(AND($B48="Milestone",AJ$5=$D48),"◆","")</x:f>
      </x:c>
      <x:c r="AK48" s="136" t="str">
        <x:f>IF(AND($B48="Milestone",AK$5=$D48),"◆","")</x:f>
      </x:c>
      <x:c r="AL48" s="136" t="str">
        <x:f>IF(AND($B48="Milestone",AL$5=$D48),"◆","")</x:f>
      </x:c>
      <x:c r="AM48" s="136" t="str">
        <x:f>IF(AND($B48="Milestone",AM$5=$D48),"◆","")</x:f>
      </x:c>
      <x:c r="AN48" s="136" t="str">
        <x:f>IF(AND($B48="Milestone",AN$5=$D48),"◆","")</x:f>
      </x:c>
      <x:c r="AO48" s="136" t="str">
        <x:f>IF(AND($B48="Milestone",AO$5=$D48),"◆","")</x:f>
      </x:c>
      <x:c r="AP48" s="136" t="str">
        <x:f>IF(AND($B48="Milestone",AP$5=$D48),"◆","")</x:f>
      </x:c>
      <x:c r="AQ48" s="136" t="str">
        <x:f>IF(AND($B48="Milestone",AQ$5=$D48),"◆","")</x:f>
      </x:c>
      <x:c r="AR48" s="154" t="str">
        <x:f>IF(AND($B48="Milestone",AR$5=$D48),"◆","")</x:f>
      </x:c>
    </x:row>
    <x:row r="49" ht="26" customHeight="1">
      <x:c r="A49" s="90" t="str">
        <x:v>T30</x:v>
      </x:c>
      <x:c r="B49" s="90" t="str">
        <x:v>Task</x:v>
      </x:c>
      <x:c r="C49" s="88" t="str">
        <x:v>Ingest live store traffic, checkout transactions &amp; conversion logs into CDB</x:v>
      </x:c>
      <x:c r="D49" s="92" t="n">
        <x:v>46305</x:v>
      </x:c>
      <x:c r="E49" s="92" t="n">
        <x:v>46306</x:v>
      </x:c>
      <x:c r="F49" s="90" t="n">
        <x:f>IF(OR(D49="",E49=""),"",E49-D49+1)</x:f>
        <x:v>2</x:v>
      </x:c>
      <x:c r="G49" s="88" t="str">
        <x:v>T29 (FS)</x:v>
      </x:c>
      <x:c r="H49" s="88" t="str">
        <x:v>Telemetry Engine &amp; Central Database</x:v>
      </x:c>
      <x:c r="I49" s="94" t="n">
        <x:v>0</x:v>
      </x:c>
      <x:c r="J49" s="90" t="str">
        <x:f>IF(COUNT(I49)=0,"",IF(I49&gt;=1,"Completed",IF(I49&gt;0,"In Progress","Not Started")))</x:f>
        <x:v>Not Started</x:v>
      </x:c>
      <x:c r="K49" s="138" t="str">
        <x:f>IF(AND($B49="Milestone",K$5=$D49),"◆","")</x:f>
      </x:c>
      <x:c r="L49" s="138" t="str">
        <x:f>IF(AND($B49="Milestone",L$5=$D49),"◆","")</x:f>
      </x:c>
      <x:c r="M49" s="138" t="str">
        <x:f>IF(AND($B49="Milestone",M$5=$D49),"◆","")</x:f>
      </x:c>
      <x:c r="N49" s="138" t="str">
        <x:f>IF(AND($B49="Milestone",N$5=$D49),"◆","")</x:f>
      </x:c>
      <x:c r="O49" s="138" t="str">
        <x:f>IF(AND($B49="Milestone",O$5=$D49),"◆","")</x:f>
      </x:c>
      <x:c r="P49" s="138" t="str">
        <x:f>IF(AND($B49="Milestone",P$5=$D49),"◆","")</x:f>
      </x:c>
      <x:c r="Q49" s="138" t="str">
        <x:f>IF(AND($B49="Milestone",Q$5=$D49),"◆","")</x:f>
      </x:c>
      <x:c r="R49" s="138" t="str">
        <x:f>IF(AND($B49="Milestone",R$5=$D49),"◆","")</x:f>
      </x:c>
      <x:c r="S49" s="138" t="str">
        <x:f>IF(AND($B49="Milestone",S$5=$D49),"◆","")</x:f>
      </x:c>
      <x:c r="T49" s="138" t="str">
        <x:f>IF(AND($B49="Milestone",T$5=$D49),"◆","")</x:f>
      </x:c>
      <x:c r="U49" s="138" t="str">
        <x:f>IF(AND($B49="Milestone",U$5=$D49),"◆","")</x:f>
      </x:c>
      <x:c r="V49" s="138" t="str">
        <x:f>IF(AND($B49="Milestone",V$5=$D49),"◆","")</x:f>
      </x:c>
      <x:c r="W49" s="138" t="str">
        <x:f>IF(AND($B49="Milestone",W$5=$D49),"◆","")</x:f>
      </x:c>
      <x:c r="X49" s="138" t="str">
        <x:f>IF(AND($B49="Milestone",X$5=$D49),"◆","")</x:f>
      </x:c>
      <x:c r="Y49" s="138" t="str">
        <x:f>IF(AND($B49="Milestone",Y$5=$D49),"◆","")</x:f>
      </x:c>
      <x:c r="Z49" s="138" t="str">
        <x:f>IF(AND($B49="Milestone",Z$5=$D49),"◆","")</x:f>
      </x:c>
      <x:c r="AA49" s="138" t="str">
        <x:f>IF(AND($B49="Milestone",AA$5=$D49),"◆","")</x:f>
      </x:c>
      <x:c r="AB49" s="138" t="str">
        <x:f>IF(AND($B49="Milestone",AB$5=$D49),"◆","")</x:f>
      </x:c>
      <x:c r="AC49" s="138" t="str">
        <x:f>IF(AND($B49="Milestone",AC$5=$D49),"◆","")</x:f>
      </x:c>
      <x:c r="AD49" s="138" t="str">
        <x:f>IF(AND($B49="Milestone",AD$5=$D49),"◆","")</x:f>
      </x:c>
      <x:c r="AE49" s="138" t="str">
        <x:f>IF(AND($B49="Milestone",AE$5=$D49),"◆","")</x:f>
      </x:c>
      <x:c r="AF49" s="138" t="str">
        <x:f>IF(AND($B49="Milestone",AF$5=$D49),"◆","")</x:f>
      </x:c>
      <x:c r="AG49" s="138" t="str">
        <x:f>IF(AND($B49="Milestone",AG$5=$D49),"◆","")</x:f>
      </x:c>
      <x:c r="AH49" s="138" t="str">
        <x:f>IF(AND($B49="Milestone",AH$5=$D49),"◆","")</x:f>
      </x:c>
      <x:c r="AI49" s="138" t="str">
        <x:f>IF(AND($B49="Milestone",AI$5=$D49),"◆","")</x:f>
      </x:c>
      <x:c r="AJ49" s="138" t="str">
        <x:f>IF(AND($B49="Milestone",AJ$5=$D49),"◆","")</x:f>
      </x:c>
      <x:c r="AK49" s="138" t="str">
        <x:f>IF(AND($B49="Milestone",AK$5=$D49),"◆","")</x:f>
      </x:c>
      <x:c r="AL49" s="138" t="str">
        <x:f>IF(AND($B49="Milestone",AL$5=$D49),"◆","")</x:f>
      </x:c>
      <x:c r="AM49" s="138" t="str">
        <x:f>IF(AND($B49="Milestone",AM$5=$D49),"◆","")</x:f>
      </x:c>
      <x:c r="AN49" s="138" t="str">
        <x:f>IF(AND($B49="Milestone",AN$5=$D49),"◆","")</x:f>
      </x:c>
      <x:c r="AO49" s="138" t="str">
        <x:f>IF(AND($B49="Milestone",AO$5=$D49),"◆","")</x:f>
      </x:c>
      <x:c r="AP49" s="138" t="str">
        <x:f>IF(AND($B49="Milestone",AP$5=$D49),"◆","")</x:f>
      </x:c>
      <x:c r="AQ49" s="138" t="str">
        <x:f>IF(AND($B49="Milestone",AQ$5=$D49),"◆","")</x:f>
      </x:c>
      <x:c r="AR49" s="155" t="str">
        <x:f>IF(AND($B49="Milestone",AR$5=$D49),"◆","")</x:f>
      </x:c>
    </x:row>
    <x:row r="50" ht="26" customHeight="1">
      <x:c r="A50" s="90" t="str">
        <x:v>T31</x:v>
      </x:c>
      <x:c r="B50" s="90" t="str">
        <x:v>Task</x:v>
      </x:c>
      <x:c r="C50" s="88" t="str">
        <x:v>Calculate multi-touch attribution, creative decay &amp; ROAS (W_LEARN)</x:v>
      </x:c>
      <x:c r="D50" s="92" t="n">
        <x:v>46306</x:v>
      </x:c>
      <x:c r="E50" s="92" t="n">
        <x:v>46308</x:v>
      </x:c>
      <x:c r="F50" s="90" t="n">
        <x:f>IF(OR(D50="",E50=""),"",E50-D50+1)</x:f>
        <x:v>3</x:v>
      </x:c>
      <x:c r="G50" s="88" t="str">
        <x:v>T30 (FS)</x:v>
      </x:c>
      <x:c r="H50" s="88" t="str">
        <x:v>Learning Engine &amp; S_ATTR</x:v>
      </x:c>
      <x:c r="I50" s="94" t="n">
        <x:v>0</x:v>
      </x:c>
      <x:c r="J50" s="90" t="str">
        <x:f>IF(COUNT(I50)=0,"",IF(I50&gt;=1,"Completed",IF(I50&gt;0,"In Progress","Not Started")))</x:f>
        <x:v>Not Started</x:v>
      </x:c>
      <x:c r="K50" s="138" t="str">
        <x:f>IF(AND($B50="Milestone",K$5=$D50),"◆","")</x:f>
      </x:c>
      <x:c r="L50" s="138" t="str">
        <x:f>IF(AND($B50="Milestone",L$5=$D50),"◆","")</x:f>
      </x:c>
      <x:c r="M50" s="138" t="str">
        <x:f>IF(AND($B50="Milestone",M$5=$D50),"◆","")</x:f>
      </x:c>
      <x:c r="N50" s="138" t="str">
        <x:f>IF(AND($B50="Milestone",N$5=$D50),"◆","")</x:f>
      </x:c>
      <x:c r="O50" s="138" t="str">
        <x:f>IF(AND($B50="Milestone",O$5=$D50),"◆","")</x:f>
      </x:c>
      <x:c r="P50" s="138" t="str">
        <x:f>IF(AND($B50="Milestone",P$5=$D50),"◆","")</x:f>
      </x:c>
      <x:c r="Q50" s="138" t="str">
        <x:f>IF(AND($B50="Milestone",Q$5=$D50),"◆","")</x:f>
      </x:c>
      <x:c r="R50" s="138" t="str">
        <x:f>IF(AND($B50="Milestone",R$5=$D50),"◆","")</x:f>
      </x:c>
      <x:c r="S50" s="138" t="str">
        <x:f>IF(AND($B50="Milestone",S$5=$D50),"◆","")</x:f>
      </x:c>
      <x:c r="T50" s="138" t="str">
        <x:f>IF(AND($B50="Milestone",T$5=$D50),"◆","")</x:f>
      </x:c>
      <x:c r="U50" s="138" t="str">
        <x:f>IF(AND($B50="Milestone",U$5=$D50),"◆","")</x:f>
      </x:c>
      <x:c r="V50" s="138" t="str">
        <x:f>IF(AND($B50="Milestone",V$5=$D50),"◆","")</x:f>
      </x:c>
      <x:c r="W50" s="138" t="str">
        <x:f>IF(AND($B50="Milestone",W$5=$D50),"◆","")</x:f>
      </x:c>
      <x:c r="X50" s="138" t="str">
        <x:f>IF(AND($B50="Milestone",X$5=$D50),"◆","")</x:f>
      </x:c>
      <x:c r="Y50" s="138" t="str">
        <x:f>IF(AND($B50="Milestone",Y$5=$D50),"◆","")</x:f>
      </x:c>
      <x:c r="Z50" s="138" t="str">
        <x:f>IF(AND($B50="Milestone",Z$5=$D50),"◆","")</x:f>
      </x:c>
      <x:c r="AA50" s="138" t="str">
        <x:f>IF(AND($B50="Milestone",AA$5=$D50),"◆","")</x:f>
      </x:c>
      <x:c r="AB50" s="138" t="str">
        <x:f>IF(AND($B50="Milestone",AB$5=$D50),"◆","")</x:f>
      </x:c>
      <x:c r="AC50" s="138" t="str">
        <x:f>IF(AND($B50="Milestone",AC$5=$D50),"◆","")</x:f>
      </x:c>
      <x:c r="AD50" s="138" t="str">
        <x:f>IF(AND($B50="Milestone",AD$5=$D50),"◆","")</x:f>
      </x:c>
      <x:c r="AE50" s="138" t="str">
        <x:f>IF(AND($B50="Milestone",AE$5=$D50),"◆","")</x:f>
      </x:c>
      <x:c r="AF50" s="138" t="str">
        <x:f>IF(AND($B50="Milestone",AF$5=$D50),"◆","")</x:f>
      </x:c>
      <x:c r="AG50" s="138" t="str">
        <x:f>IF(AND($B50="Milestone",AG$5=$D50),"◆","")</x:f>
      </x:c>
      <x:c r="AH50" s="138" t="str">
        <x:f>IF(AND($B50="Milestone",AH$5=$D50),"◆","")</x:f>
      </x:c>
      <x:c r="AI50" s="138" t="str">
        <x:f>IF(AND($B50="Milestone",AI$5=$D50),"◆","")</x:f>
      </x:c>
      <x:c r="AJ50" s="138" t="str">
        <x:f>IF(AND($B50="Milestone",AJ$5=$D50),"◆","")</x:f>
      </x:c>
      <x:c r="AK50" s="138" t="str">
        <x:f>IF(AND($B50="Milestone",AK$5=$D50),"◆","")</x:f>
      </x:c>
      <x:c r="AL50" s="138" t="str">
        <x:f>IF(AND($B50="Milestone",AL$5=$D50),"◆","")</x:f>
      </x:c>
      <x:c r="AM50" s="138" t="str">
        <x:f>IF(AND($B50="Milestone",AM$5=$D50),"◆","")</x:f>
      </x:c>
      <x:c r="AN50" s="138" t="str">
        <x:f>IF(AND($B50="Milestone",AN$5=$D50),"◆","")</x:f>
      </x:c>
      <x:c r="AO50" s="138" t="str">
        <x:f>IF(AND($B50="Milestone",AO$5=$D50),"◆","")</x:f>
      </x:c>
      <x:c r="AP50" s="138" t="str">
        <x:f>IF(AND($B50="Milestone",AP$5=$D50),"◆","")</x:f>
      </x:c>
      <x:c r="AQ50" s="138" t="str">
        <x:f>IF(AND($B50="Milestone",AQ$5=$D50),"◆","")</x:f>
      </x:c>
      <x:c r="AR50" s="155" t="str">
        <x:f>IF(AND($B50="Milestone",AR$5=$D50),"◆","")</x:f>
      </x:c>
    </x:row>
    <x:row r="51" ht="26" customHeight="1">
      <x:c r="A51" s="90" t="str">
        <x:v>T32</x:v>
      </x:c>
      <x:c r="B51" s="90" t="str">
        <x:v>Task</x:v>
      </x:c>
      <x:c r="C51" s="88" t="str">
        <x:v>Promote validated memory deltas into Institutional Memory and IE</x:v>
      </x:c>
      <x:c r="D51" s="92" t="n">
        <x:v>46308</x:v>
      </x:c>
      <x:c r="E51" s="92" t="n">
        <x:v>46309</x:v>
      </x:c>
      <x:c r="F51" s="90" t="n">
        <x:f>IF(OR(D51="",E51=""),"",E51-D51+1)</x:f>
        <x:v>2</x:v>
      </x:c>
      <x:c r="G51" s="88" t="str">
        <x:v>T31 (FS)</x:v>
      </x:c>
      <x:c r="H51" s="88" t="str">
        <x:v>Learning Engine, Memory Store &amp; IE</x:v>
      </x:c>
      <x:c r="I51" s="94" t="n">
        <x:v>0</x:v>
      </x:c>
      <x:c r="J51" s="90" t="str">
        <x:f>IF(COUNT(I51)=0,"",IF(I51&gt;=1,"Completed",IF(I51&gt;0,"In Progress","Not Started")))</x:f>
        <x:v>Not Started</x:v>
      </x:c>
      <x:c r="K51" s="138" t="str">
        <x:f>IF(AND($B51="Milestone",K$5=$D51),"◆","")</x:f>
      </x:c>
      <x:c r="L51" s="138" t="str">
        <x:f>IF(AND($B51="Milestone",L$5=$D51),"◆","")</x:f>
      </x:c>
      <x:c r="M51" s="138" t="str">
        <x:f>IF(AND($B51="Milestone",M$5=$D51),"◆","")</x:f>
      </x:c>
      <x:c r="N51" s="138" t="str">
        <x:f>IF(AND($B51="Milestone",N$5=$D51),"◆","")</x:f>
      </x:c>
      <x:c r="O51" s="138" t="str">
        <x:f>IF(AND($B51="Milestone",O$5=$D51),"◆","")</x:f>
      </x:c>
      <x:c r="P51" s="138" t="str">
        <x:f>IF(AND($B51="Milestone",P$5=$D51),"◆","")</x:f>
      </x:c>
      <x:c r="Q51" s="138" t="str">
        <x:f>IF(AND($B51="Milestone",Q$5=$D51),"◆","")</x:f>
      </x:c>
      <x:c r="R51" s="138" t="str">
        <x:f>IF(AND($B51="Milestone",R$5=$D51),"◆","")</x:f>
      </x:c>
      <x:c r="S51" s="138" t="str">
        <x:f>IF(AND($B51="Milestone",S$5=$D51),"◆","")</x:f>
      </x:c>
      <x:c r="T51" s="138" t="str">
        <x:f>IF(AND($B51="Milestone",T$5=$D51),"◆","")</x:f>
      </x:c>
      <x:c r="U51" s="138" t="str">
        <x:f>IF(AND($B51="Milestone",U$5=$D51),"◆","")</x:f>
      </x:c>
      <x:c r="V51" s="138" t="str">
        <x:f>IF(AND($B51="Milestone",V$5=$D51),"◆","")</x:f>
      </x:c>
      <x:c r="W51" s="138" t="str">
        <x:f>IF(AND($B51="Milestone",W$5=$D51),"◆","")</x:f>
      </x:c>
      <x:c r="X51" s="138" t="str">
        <x:f>IF(AND($B51="Milestone",X$5=$D51),"◆","")</x:f>
      </x:c>
      <x:c r="Y51" s="138" t="str">
        <x:f>IF(AND($B51="Milestone",Y$5=$D51),"◆","")</x:f>
      </x:c>
      <x:c r="Z51" s="138" t="str">
        <x:f>IF(AND($B51="Milestone",Z$5=$D51),"◆","")</x:f>
      </x:c>
      <x:c r="AA51" s="138" t="str">
        <x:f>IF(AND($B51="Milestone",AA$5=$D51),"◆","")</x:f>
      </x:c>
      <x:c r="AB51" s="138" t="str">
        <x:f>IF(AND($B51="Milestone",AB$5=$D51),"◆","")</x:f>
      </x:c>
      <x:c r="AC51" s="138" t="str">
        <x:f>IF(AND($B51="Milestone",AC$5=$D51),"◆","")</x:f>
      </x:c>
      <x:c r="AD51" s="138" t="str">
        <x:f>IF(AND($B51="Milestone",AD$5=$D51),"◆","")</x:f>
      </x:c>
      <x:c r="AE51" s="138" t="str">
        <x:f>IF(AND($B51="Milestone",AE$5=$D51),"◆","")</x:f>
      </x:c>
      <x:c r="AF51" s="138" t="str">
        <x:f>IF(AND($B51="Milestone",AF$5=$D51),"◆","")</x:f>
      </x:c>
      <x:c r="AG51" s="138" t="str">
        <x:f>IF(AND($B51="Milestone",AG$5=$D51),"◆","")</x:f>
      </x:c>
      <x:c r="AH51" s="138" t="str">
        <x:f>IF(AND($B51="Milestone",AH$5=$D51),"◆","")</x:f>
      </x:c>
      <x:c r="AI51" s="138" t="str">
        <x:f>IF(AND($B51="Milestone",AI$5=$D51),"◆","")</x:f>
      </x:c>
      <x:c r="AJ51" s="138" t="str">
        <x:f>IF(AND($B51="Milestone",AJ$5=$D51),"◆","")</x:f>
      </x:c>
      <x:c r="AK51" s="138" t="str">
        <x:f>IF(AND($B51="Milestone",AK$5=$D51),"◆","")</x:f>
      </x:c>
      <x:c r="AL51" s="138" t="str">
        <x:f>IF(AND($B51="Milestone",AL$5=$D51),"◆","")</x:f>
      </x:c>
      <x:c r="AM51" s="138" t="str">
        <x:f>IF(AND($B51="Milestone",AM$5=$D51),"◆","")</x:f>
      </x:c>
      <x:c r="AN51" s="138" t="str">
        <x:f>IF(AND($B51="Milestone",AN$5=$D51),"◆","")</x:f>
      </x:c>
      <x:c r="AO51" s="138" t="str">
        <x:f>IF(AND($B51="Milestone",AO$5=$D51),"◆","")</x:f>
      </x:c>
      <x:c r="AP51" s="138" t="str">
        <x:f>IF(AND($B51="Milestone",AP$5=$D51),"◆","")</x:f>
      </x:c>
      <x:c r="AQ51" s="138" t="str">
        <x:f>IF(AND($B51="Milestone",AQ$5=$D51),"◆","")</x:f>
      </x:c>
      <x:c r="AR51" s="155" t="str">
        <x:f>IF(AND($B51="Milestone",AR$5=$D51),"◆","")</x:f>
      </x:c>
    </x:row>
    <x:row r="52" ht="26" customHeight="1">
      <x:c r="A52" s="90" t="str">
        <x:v>T33</x:v>
      </x:c>
      <x:c r="B52" s="90" t="str">
        <x:v>Task</x:v>
      </x:c>
      <x:c r="C52" s="88" t="str">
        <x:v>Validate end-to-end W3C PROV audit lineage, state integrity &amp; logs</x:v>
      </x:c>
      <x:c r="D52" s="92" t="n">
        <x:v>46308</x:v>
      </x:c>
      <x:c r="E52" s="92" t="n">
        <x:v>46309</x:v>
      </x:c>
      <x:c r="F52" s="90" t="n">
        <x:f>IF(OR(D52="",E52=""),"",E52-D52+1)</x:f>
        <x:v>2</x:v>
      </x:c>
      <x:c r="G52" s="88" t="str">
        <x:v>T30, T31 (FS)</x:v>
      </x:c>
      <x:c r="H52" s="88" t="str">
        <x:v>W3C PROV Immutable Ledger</x:v>
      </x:c>
      <x:c r="I52" s="94" t="n">
        <x:v>0</x:v>
      </x:c>
      <x:c r="J52" s="90" t="str">
        <x:f>IF(COUNT(I52)=0,"",IF(I52&gt;=1,"Completed",IF(I52&gt;0,"In Progress","Not Started")))</x:f>
        <x:v>Not Started</x:v>
      </x:c>
      <x:c r="K52" s="138" t="str">
        <x:f>IF(AND($B52="Milestone",K$5=$D52),"◆","")</x:f>
      </x:c>
      <x:c r="L52" s="138" t="str">
        <x:f>IF(AND($B52="Milestone",L$5=$D52),"◆","")</x:f>
      </x:c>
      <x:c r="M52" s="138" t="str">
        <x:f>IF(AND($B52="Milestone",M$5=$D52),"◆","")</x:f>
      </x:c>
      <x:c r="N52" s="138" t="str">
        <x:f>IF(AND($B52="Milestone",N$5=$D52),"◆","")</x:f>
      </x:c>
      <x:c r="O52" s="138" t="str">
        <x:f>IF(AND($B52="Milestone",O$5=$D52),"◆","")</x:f>
      </x:c>
      <x:c r="P52" s="138" t="str">
        <x:f>IF(AND($B52="Milestone",P$5=$D52),"◆","")</x:f>
      </x:c>
      <x:c r="Q52" s="138" t="str">
        <x:f>IF(AND($B52="Milestone",Q$5=$D52),"◆","")</x:f>
      </x:c>
      <x:c r="R52" s="138" t="str">
        <x:f>IF(AND($B52="Milestone",R$5=$D52),"◆","")</x:f>
      </x:c>
      <x:c r="S52" s="138" t="str">
        <x:f>IF(AND($B52="Milestone",S$5=$D52),"◆","")</x:f>
      </x:c>
      <x:c r="T52" s="138" t="str">
        <x:f>IF(AND($B52="Milestone",T$5=$D52),"◆","")</x:f>
      </x:c>
      <x:c r="U52" s="138" t="str">
        <x:f>IF(AND($B52="Milestone",U$5=$D52),"◆","")</x:f>
      </x:c>
      <x:c r="V52" s="138" t="str">
        <x:f>IF(AND($B52="Milestone",V$5=$D52),"◆","")</x:f>
      </x:c>
      <x:c r="W52" s="138" t="str">
        <x:f>IF(AND($B52="Milestone",W$5=$D52),"◆","")</x:f>
      </x:c>
      <x:c r="X52" s="138" t="str">
        <x:f>IF(AND($B52="Milestone",X$5=$D52),"◆","")</x:f>
      </x:c>
      <x:c r="Y52" s="138" t="str">
        <x:f>IF(AND($B52="Milestone",Y$5=$D52),"◆","")</x:f>
      </x:c>
      <x:c r="Z52" s="138" t="str">
        <x:f>IF(AND($B52="Milestone",Z$5=$D52),"◆","")</x:f>
      </x:c>
      <x:c r="AA52" s="138" t="str">
        <x:f>IF(AND($B52="Milestone",AA$5=$D52),"◆","")</x:f>
      </x:c>
      <x:c r="AB52" s="138" t="str">
        <x:f>IF(AND($B52="Milestone",AB$5=$D52),"◆","")</x:f>
      </x:c>
      <x:c r="AC52" s="138" t="str">
        <x:f>IF(AND($B52="Milestone",AC$5=$D52),"◆","")</x:f>
      </x:c>
      <x:c r="AD52" s="138" t="str">
        <x:f>IF(AND($B52="Milestone",AD$5=$D52),"◆","")</x:f>
      </x:c>
      <x:c r="AE52" s="138" t="str">
        <x:f>IF(AND($B52="Milestone",AE$5=$D52),"◆","")</x:f>
      </x:c>
      <x:c r="AF52" s="138" t="str">
        <x:f>IF(AND($B52="Milestone",AF$5=$D52),"◆","")</x:f>
      </x:c>
      <x:c r="AG52" s="138" t="str">
        <x:f>IF(AND($B52="Milestone",AG$5=$D52),"◆","")</x:f>
      </x:c>
      <x:c r="AH52" s="138" t="str">
        <x:f>IF(AND($B52="Milestone",AH$5=$D52),"◆","")</x:f>
      </x:c>
      <x:c r="AI52" s="138" t="str">
        <x:f>IF(AND($B52="Milestone",AI$5=$D52),"◆","")</x:f>
      </x:c>
      <x:c r="AJ52" s="138" t="str">
        <x:f>IF(AND($B52="Milestone",AJ$5=$D52),"◆","")</x:f>
      </x:c>
      <x:c r="AK52" s="138" t="str">
        <x:f>IF(AND($B52="Milestone",AK$5=$D52),"◆","")</x:f>
      </x:c>
      <x:c r="AL52" s="138" t="str">
        <x:f>IF(AND($B52="Milestone",AL$5=$D52),"◆","")</x:f>
      </x:c>
      <x:c r="AM52" s="138" t="str">
        <x:f>IF(AND($B52="Milestone",AM$5=$D52),"◆","")</x:f>
      </x:c>
      <x:c r="AN52" s="138" t="str">
        <x:f>IF(AND($B52="Milestone",AN$5=$D52),"◆","")</x:f>
      </x:c>
      <x:c r="AO52" s="138" t="str">
        <x:f>IF(AND($B52="Milestone",AO$5=$D52),"◆","")</x:f>
      </x:c>
      <x:c r="AP52" s="138" t="str">
        <x:f>IF(AND($B52="Milestone",AP$5=$D52),"◆","")</x:f>
      </x:c>
      <x:c r="AQ52" s="138" t="str">
        <x:f>IF(AND($B52="Milestone",AQ$5=$D52),"◆","")</x:f>
      </x:c>
      <x:c r="AR52" s="155" t="str">
        <x:f>IF(AND($B52="Milestone",AR$5=$D52),"◆","")</x:f>
      </x:c>
    </x:row>
    <x:row r="53" ht="26" customHeight="1">
      <x:c r="A53" s="90" t="str">
        <x:v>T34</x:v>
      </x:c>
      <x:c r="B53" s="90" t="str">
        <x:v>Task</x:v>
      </x:c>
      <x:c r="C53" s="88" t="str">
        <x:v>Perform final project verification against acceptance criteria &amp; close</x:v>
      </x:c>
      <x:c r="D53" s="92" t="n">
        <x:v>46309</x:v>
      </x:c>
      <x:c r="E53" s="92" t="n">
        <x:v>46309</x:v>
      </x:c>
      <x:c r="F53" s="90" t="n">
        <x:f>IF(OR(D53="",E53=""),"",E53-D53+1)</x:f>
        <x:v>1</x:v>
      </x:c>
      <x:c r="G53" s="88" t="str">
        <x:v>T32, T33 (FS)</x:v>
      </x:c>
      <x:c r="H53" s="88" t="str">
        <x:v>Intelligence Engine &amp; Brand Owner</x:v>
      </x:c>
      <x:c r="I53" s="94" t="n">
        <x:v>0</x:v>
      </x:c>
      <x:c r="J53" s="90" t="str">
        <x:f>IF(COUNT(I53)=0,"",IF(I53&gt;=1,"Completed",IF(I53&gt;0,"In Progress","Not Started")))</x:f>
        <x:v>Not Started</x:v>
      </x:c>
      <x:c r="K53" s="138" t="str">
        <x:f>IF(AND($B53="Milestone",K$5=$D53),"◆","")</x:f>
      </x:c>
      <x:c r="L53" s="138" t="str">
        <x:f>IF(AND($B53="Milestone",L$5=$D53),"◆","")</x:f>
      </x:c>
      <x:c r="M53" s="138" t="str">
        <x:f>IF(AND($B53="Milestone",M$5=$D53),"◆","")</x:f>
      </x:c>
      <x:c r="N53" s="138" t="str">
        <x:f>IF(AND($B53="Milestone",N$5=$D53),"◆","")</x:f>
      </x:c>
      <x:c r="O53" s="138" t="str">
        <x:f>IF(AND($B53="Milestone",O$5=$D53),"◆","")</x:f>
      </x:c>
      <x:c r="P53" s="138" t="str">
        <x:f>IF(AND($B53="Milestone",P$5=$D53),"◆","")</x:f>
      </x:c>
      <x:c r="Q53" s="138" t="str">
        <x:f>IF(AND($B53="Milestone",Q$5=$D53),"◆","")</x:f>
      </x:c>
      <x:c r="R53" s="138" t="str">
        <x:f>IF(AND($B53="Milestone",R$5=$D53),"◆","")</x:f>
      </x:c>
      <x:c r="S53" s="138" t="str">
        <x:f>IF(AND($B53="Milestone",S$5=$D53),"◆","")</x:f>
      </x:c>
      <x:c r="T53" s="138" t="str">
        <x:f>IF(AND($B53="Milestone",T$5=$D53),"◆","")</x:f>
      </x:c>
      <x:c r="U53" s="138" t="str">
        <x:f>IF(AND($B53="Milestone",U$5=$D53),"◆","")</x:f>
      </x:c>
      <x:c r="V53" s="138" t="str">
        <x:f>IF(AND($B53="Milestone",V$5=$D53),"◆","")</x:f>
      </x:c>
      <x:c r="W53" s="138" t="str">
        <x:f>IF(AND($B53="Milestone",W$5=$D53),"◆","")</x:f>
      </x:c>
      <x:c r="X53" s="138" t="str">
        <x:f>IF(AND($B53="Milestone",X$5=$D53),"◆","")</x:f>
      </x:c>
      <x:c r="Y53" s="138" t="str">
        <x:f>IF(AND($B53="Milestone",Y$5=$D53),"◆","")</x:f>
      </x:c>
      <x:c r="Z53" s="138" t="str">
        <x:f>IF(AND($B53="Milestone",Z$5=$D53),"◆","")</x:f>
      </x:c>
      <x:c r="AA53" s="138" t="str">
        <x:f>IF(AND($B53="Milestone",AA$5=$D53),"◆","")</x:f>
      </x:c>
      <x:c r="AB53" s="138" t="str">
        <x:f>IF(AND($B53="Milestone",AB$5=$D53),"◆","")</x:f>
      </x:c>
      <x:c r="AC53" s="138" t="str">
        <x:f>IF(AND($B53="Milestone",AC$5=$D53),"◆","")</x:f>
      </x:c>
      <x:c r="AD53" s="138" t="str">
        <x:f>IF(AND($B53="Milestone",AD$5=$D53),"◆","")</x:f>
      </x:c>
      <x:c r="AE53" s="138" t="str">
        <x:f>IF(AND($B53="Milestone",AE$5=$D53),"◆","")</x:f>
      </x:c>
      <x:c r="AF53" s="138" t="str">
        <x:f>IF(AND($B53="Milestone",AF$5=$D53),"◆","")</x:f>
      </x:c>
      <x:c r="AG53" s="138" t="str">
        <x:f>IF(AND($B53="Milestone",AG$5=$D53),"◆","")</x:f>
      </x:c>
      <x:c r="AH53" s="138" t="str">
        <x:f>IF(AND($B53="Milestone",AH$5=$D53),"◆","")</x:f>
      </x:c>
      <x:c r="AI53" s="138" t="str">
        <x:f>IF(AND($B53="Milestone",AI$5=$D53),"◆","")</x:f>
      </x:c>
      <x:c r="AJ53" s="138" t="str">
        <x:f>IF(AND($B53="Milestone",AJ$5=$D53),"◆","")</x:f>
      </x:c>
      <x:c r="AK53" s="138" t="str">
        <x:f>IF(AND($B53="Milestone",AK$5=$D53),"◆","")</x:f>
      </x:c>
      <x:c r="AL53" s="138" t="str">
        <x:f>IF(AND($B53="Milestone",AL$5=$D53),"◆","")</x:f>
      </x:c>
      <x:c r="AM53" s="138" t="str">
        <x:f>IF(AND($B53="Milestone",AM$5=$D53),"◆","")</x:f>
      </x:c>
      <x:c r="AN53" s="138" t="str">
        <x:f>IF(AND($B53="Milestone",AN$5=$D53),"◆","")</x:f>
      </x:c>
      <x:c r="AO53" s="138" t="str">
        <x:f>IF(AND($B53="Milestone",AO$5=$D53),"◆","")</x:f>
      </x:c>
      <x:c r="AP53" s="138" t="str">
        <x:f>IF(AND($B53="Milestone",AP$5=$D53),"◆","")</x:f>
      </x:c>
      <x:c r="AQ53" s="138" t="str">
        <x:f>IF(AND($B53="Milestone",AQ$5=$D53),"◆","")</x:f>
      </x:c>
      <x:c r="AR53" s="155" t="str">
        <x:f>IF(AND($B53="Milestone",AR$5=$D53),"◆","")</x:f>
      </x:c>
    </x:row>
    <x:row r="54" ht="22" customHeight="1">
      <x:c r="A54" s="156" t="str">
        <x:v>M7</x:v>
      </x:c>
      <x:c r="B54" s="156" t="str">
        <x:v>Milestone</x:v>
      </x:c>
      <x:c r="C54" s="157" t="str">
        <x:v>Closed-Loop Telemetry Optimization &amp; Final Project Closeout</x:v>
      </x:c>
      <x:c r="D54" s="158" t="n">
        <x:v>46309</x:v>
      </x:c>
      <x:c r="E54" s="158" t="n">
        <x:v>46309</x:v>
      </x:c>
      <x:c r="F54" s="156" t="n">
        <x:f>IF(OR(D54="",E54=""),"",0)</x:f>
        <x:v>0</x:v>
      </x:c>
      <x:c r="G54" s="157" t="str">
        <x:v>Linked: T30, T31, T32, T33, T34</x:v>
      </x:c>
      <x:c r="H54" s="157" t="str"/>
      <x:c r="I54" s="159"/>
      <x:c r="J54" s="156" t="str">
        <x:v>Planned</x:v>
      </x:c>
      <x:c r="K54" s="160" t="str">
        <x:f>IF(AND($B54="Milestone",K$5=$D54),"◆","")</x:f>
      </x:c>
      <x:c r="L54" s="160" t="str">
        <x:f>IF(AND($B54="Milestone",L$5=$D54),"◆","")</x:f>
      </x:c>
      <x:c r="M54" s="160" t="str">
        <x:f>IF(AND($B54="Milestone",M$5=$D54),"◆","")</x:f>
      </x:c>
      <x:c r="N54" s="160" t="str">
        <x:f>IF(AND($B54="Milestone",N$5=$D54),"◆","")</x:f>
      </x:c>
      <x:c r="O54" s="160" t="str">
        <x:f>IF(AND($B54="Milestone",O$5=$D54),"◆","")</x:f>
      </x:c>
      <x:c r="P54" s="160" t="str">
        <x:f>IF(AND($B54="Milestone",P$5=$D54),"◆","")</x:f>
      </x:c>
      <x:c r="Q54" s="160" t="str">
        <x:f>IF(AND($B54="Milestone",Q$5=$D54),"◆","")</x:f>
      </x:c>
      <x:c r="R54" s="160" t="str">
        <x:f>IF(AND($B54="Milestone",R$5=$D54),"◆","")</x:f>
      </x:c>
      <x:c r="S54" s="160" t="str">
        <x:f>IF(AND($B54="Milestone",S$5=$D54),"◆","")</x:f>
      </x:c>
      <x:c r="T54" s="160" t="str">
        <x:f>IF(AND($B54="Milestone",T$5=$D54),"◆","")</x:f>
      </x:c>
      <x:c r="U54" s="160" t="str">
        <x:f>IF(AND($B54="Milestone",U$5=$D54),"◆","")</x:f>
      </x:c>
      <x:c r="V54" s="160" t="str">
        <x:f>IF(AND($B54="Milestone",V$5=$D54),"◆","")</x:f>
      </x:c>
      <x:c r="W54" s="160" t="str">
        <x:f>IF(AND($B54="Milestone",W$5=$D54),"◆","")</x:f>
      </x:c>
      <x:c r="X54" s="160" t="str">
        <x:f>IF(AND($B54="Milestone",X$5=$D54),"◆","")</x:f>
      </x:c>
      <x:c r="Y54" s="160" t="str">
        <x:f>IF(AND($B54="Milestone",Y$5=$D54),"◆","")</x:f>
      </x:c>
      <x:c r="Z54" s="160" t="str">
        <x:f>IF(AND($B54="Milestone",Z$5=$D54),"◆","")</x:f>
      </x:c>
      <x:c r="AA54" s="160" t="str">
        <x:f>IF(AND($B54="Milestone",AA$5=$D54),"◆","")</x:f>
      </x:c>
      <x:c r="AB54" s="160" t="str">
        <x:f>IF(AND($B54="Milestone",AB$5=$D54),"◆","")</x:f>
      </x:c>
      <x:c r="AC54" s="160" t="str">
        <x:f>IF(AND($B54="Milestone",AC$5=$D54),"◆","")</x:f>
      </x:c>
      <x:c r="AD54" s="160" t="str">
        <x:f>IF(AND($B54="Milestone",AD$5=$D54),"◆","")</x:f>
      </x:c>
      <x:c r="AE54" s="160" t="str">
        <x:f>IF(AND($B54="Milestone",AE$5=$D54),"◆","")</x:f>
      </x:c>
      <x:c r="AF54" s="160" t="str">
        <x:f>IF(AND($B54="Milestone",AF$5=$D54),"◆","")</x:f>
      </x:c>
      <x:c r="AG54" s="160" t="str">
        <x:f>IF(AND($B54="Milestone",AG$5=$D54),"◆","")</x:f>
      </x:c>
      <x:c r="AH54" s="160" t="str">
        <x:f>IF(AND($B54="Milestone",AH$5=$D54),"◆","")</x:f>
      </x:c>
      <x:c r="AI54" s="160" t="str">
        <x:f>IF(AND($B54="Milestone",AI$5=$D54),"◆","")</x:f>
      </x:c>
      <x:c r="AJ54" s="160" t="str">
        <x:f>IF(AND($B54="Milestone",AJ$5=$D54),"◆","")</x:f>
      </x:c>
      <x:c r="AK54" s="160" t="str">
        <x:f>IF(AND($B54="Milestone",AK$5=$D54),"◆","")</x:f>
      </x:c>
      <x:c r="AL54" s="160" t="str">
        <x:f>IF(AND($B54="Milestone",AL$5=$D54),"◆","")</x:f>
      </x:c>
      <x:c r="AM54" s="160" t="str">
        <x:f>IF(AND($B54="Milestone",AM$5=$D54),"◆","")</x:f>
      </x:c>
      <x:c r="AN54" s="160" t="str">
        <x:f>IF(AND($B54="Milestone",AN$5=$D54),"◆","")</x:f>
      </x:c>
      <x:c r="AO54" s="160" t="str">
        <x:f>IF(AND($B54="Milestone",AO$5=$D54),"◆","")</x:f>
      </x:c>
      <x:c r="AP54" s="160" t="str">
        <x:f>IF(AND($B54="Milestone",AP$5=$D54),"◆","")</x:f>
      </x:c>
      <x:c r="AQ54" s="160" t="str">
        <x:f>IF(AND($B54="Milestone",AQ$5=$D54),"◆","")</x:f>
      </x:c>
      <x:c r="AR54" s="161" t="str">
        <x:f>IF(AND($B54="Milestone",AR$5=$D54),"◆","")</x:f>
        <x:v>◆</x:v>
      </x:c>
    </x:row>
  </x:sheetData>
  <x:mergeCells>
    <x:mergeCell ref="A1:AR1"/>
    <x:mergeCell ref="A2:AR2"/>
    <x:mergeCell ref="A4:J4"/>
    <x:mergeCell ref="K4:AD4"/>
    <x:mergeCell ref="AE4:AR4"/>
    <x:mergeCell ref="A5:A6"/>
    <x:mergeCell ref="B5:B6"/>
    <x:mergeCell ref="C5:C6"/>
    <x:mergeCell ref="D5:D6"/>
    <x:mergeCell ref="E5:E6"/>
    <x:mergeCell ref="F5:F6"/>
    <x:mergeCell ref="G5:G6"/>
    <x:mergeCell ref="H5:H6"/>
    <x:mergeCell ref="I5:I6"/>
    <x:mergeCell ref="J5:J6"/>
    <x:mergeCell ref="K3:AR3"/>
  </x:mergeCells>
  <x:conditionalFormatting sqref="K7:AR54">
    <x:cfRule type="expression" dxfId="0" priority="1">
      <x:formula>WEEKDAY(K$5,2)&gt;5</x:formula>
    </x:cfRule>
    <x:cfRule type="expression" dxfId="1" priority="2">
      <x:formula>AND($B7="Summary",K$5&gt;=$D7,K$5&lt;=$E7)</x:formula>
    </x:cfRule>
    <x:cfRule type="expression" dxfId="2" priority="3">
      <x:formula>AND($B7="Task",K$5&gt;=$D7,K$5&lt;=$E7,OR($I7=0,K$5&gt;$D7+ROUNDUP($F7*$I7,0)-1))</x:formula>
    </x:cfRule>
    <x:cfRule type="expression" dxfId="3" priority="4">
      <x:formula>AND($B7="Task",$I7&gt;0,K$5&gt;=$D7,K$5&lt;=$E7,K$5&lt;=$D7+ROUNDUP($F7*$I7,0)-1)</x:formula>
    </x:cfRule>
    <x:cfRule type="expression" dxfId="4" priority="5">
      <x:formula>AND($B7="Milestone",K$5=$D7)</x:formula>
    </x:cfRule>
  </x:conditionalFormatting>
  <x:conditionalFormatting sqref="I7:I54">
    <x:cfRule type="dataBar" priority="6">
      <x:dataBar>
        <x:cfvo type="min"/>
        <x:cfvo type="max"/>
        <x:color rgb="FF547A72"/>
      </x:dataBar>
      <x:extLst>
        <x:ext xmlns:x14="http://schemas.microsoft.com/office/spreadsheetml/2009/9/main" uri="{B025F937-C7B1-47D3-B67F-A62EFF666E3E}">
          <x14:id>{597E784F-51B7-50EF-EBF7-4553D2AD2B8A}</x14:id>
        </x:ext>
      </x:extLst>
    </x:cfRule>
  </x:conditionalFormatting>
  <x:conditionalFormatting sqref="J7:J54">
    <x:cfRule type="expression" dxfId="5" priority="7">
      <x:formula>$J7="Completed"</x:formula>
    </x:cfRule>
    <x:cfRule type="expression" dxfId="6" priority="8">
      <x:formula>$J7="Complete"</x:formula>
    </x:cfRule>
    <x:cfRule type="expression" dxfId="7" priority="9">
      <x:formula>$J7="In Progress"</x:formula>
    </x:cfRule>
    <x:cfRule type="expression" dxfId="8" priority="10">
      <x:formula>$J7="Not Started"</x:formula>
    </x:cfRule>
    <x:cfRule type="expression" dxfId="9" priority="11">
      <x:formula>$J7="Planned"</x:formula>
    </x:cfRule>
  </x:conditionalFormatting>
  <x:dataValidations count="1">
    <x:dataValidation type="decimal" operator="between" sqref="I7:I54">
      <x:formula1>0</x:formula1>
      <x:formula2>1</x:formula2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597E784F-51B7-50EF-EBF7-4553D2AD2B8A}">
            <x14:dataBar gradient="1">
              <x14:cfvo type="min"/>
              <x14:cfvo type="max"/>
              <x14:fillColor rgb="FF547A72"/>
            </x14:dataBar>
          </x14:cfRule>
          <xm:sqref>I7:I54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</x:cols>
  <x:sheetData>
    <x:row r="1">
      <x:c r="A1" s="174" t="str">
        <x:v>Source Item</x:v>
      </x:c>
      <x:c r="B1" s="174" t="str">
        <x:v>Source-Derived Detail</x:v>
      </x:c>
    </x:row>
    <x:row r="2">
      <x:c r="A2" s="180" t="str">
        <x:v>Project Window</x:v>
      </x:c>
      <x:c r="B2" s="180" t="str">
        <x:v>2026-09-11 to 2026-10-14 (34 calendar days)</x:v>
      </x:c>
    </x:row>
    <x:row r="3">
      <x:c r="A3" s="180" t="str">
        <x:v>Access-Control Model</x:v>
      </x:c>
      <x:c r="B3" s="180" t="str">
        <x:v>Model A — Intelligence Engine is the exclusive broker for Agentic RAG/data plane</x:v>
      </x:c>
    </x:row>
    <x:row r="4">
      <x:c r="A4" s="180" t="str">
        <x:v>Execution Boundary</x:v>
      </x:c>
      <x:c r="B4" s="180" t="str">
        <x:v>agent_sandbox (AIO Sandbox) hosts ephemeral sub-agents and micro-tools</x:v>
      </x:c>
    </x:row>
    <x:row r="5">
      <x:c r="A5" s="180" t="str">
        <x:v>Task Count</x:v>
      </x:c>
      <x:c r="B5" s="180" t="str">
        <x:v>34 tasks (T01–T34)</x:v>
      </x:c>
    </x:row>
    <x:row r="6">
      <x:c r="A6" s="180" t="str">
        <x:v>Milestone Count</x:v>
      </x:c>
      <x:c r="B6" s="180" t="str">
        <x:v>7 milestones (M1–M7)</x:v>
      </x:c>
    </x:row>
    <x:row r="7">
      <x:c r="A7" s="180" t="str">
        <x:v>Dependency Type</x:v>
      </x:c>
      <x:c r="B7" s="180" t="str">
        <x:v>Finish-to-Start (FS) relationships as specified in the project plan</x:v>
      </x:c>
    </x:row>
    <x:row r="8">
      <x:c r="A8" s="180" t="str">
        <x:v>Calendar Standard</x:v>
      </x:c>
      <x:c r="B8" s="180" t="str">
        <x:v>Durations use inclusive calendar days, including weekends</x:v>
      </x:c>
    </x:row>
    <x:row r="9">
      <x:c r="A9" s="180" t="str">
        <x:v>Date Basis</x:v>
      </x:c>
      <x:c r="B9" s="180" t="str">
        <x:v>The source project plan explicitly labels task dates as [INFERRED] from the architecture/DAG</x:v>
      </x:c>
    </x:row>
    <x:row r="10">
      <x:c r="A10" s="180" t="str">
        <x:v>Progress Basis</x:v>
      </x:c>
      <x:c r="B10" s="180" t="str">
        <x:v>The source project plan explicitly labels progress percentages as [INFERRED]</x:v>
      </x:c>
    </x:row>
    <x:row r="11">
      <x:c r="A11" s="180" t="str">
        <x:v>Status Logic in Gantt</x:v>
      </x:c>
      <x:c r="B11" s="180" t="str">
        <x:v>Task Status is formula-derived from the source % Complete: 100%=Completed, 1–99%=In Progress, 0%=Not Started</x:v>
      </x:c>
    </x:row>
    <x:row r="12">
      <x:c r="A12" s="180" t="str">
        <x:v>Summary Rows</x:v>
      </x:c>
      <x:c r="B12" s="180" t="str">
        <x:v>Derived from each source milestone group; dates and weighted progress update automatically from linked task rows</x:v>
      </x:c>
    </x:row>
    <x:row r="13">
      <x:c r="A13" s="180" t="str">
        <x:v>Milestone Rows</x:v>
      </x:c>
      <x:c r="B13" s="180" t="str">
        <x:v>Dates, linked tasks and source statuses are preserved from the source milestone table</x:v>
      </x:c>
    </x:row>
    <x:row r="14">
      <x:c r="A14" s="180" t="str">
        <x:v>Architecture Cross-Check</x:v>
      </x:c>
      <x:c r="B14" s="180" t="str">
        <x:v>Component/resource names were checked against Final-Level Full Architecture.md</x:v>
      </x:c>
    </x:row>
    <x:row r="15">
      <x:c r="A15" s="180" t="str">
        <x:v>Flowchart Cross-Check</x:v>
      </x:c>
      <x:c r="B15" s="180" t="str">
        <x:v>The project plan reports no conflict between the Markdown architecture and the Draw.io HTML export</x:v>
      </x:c>
    </x:row>
    <x:row r="16">
      <x:c r="A16" s="180" t="str">
        <x:v>FS Display</x:v>
      </x:c>
      <x:c r="B16" s="180" t="str">
        <x:v>Task predecessor IDs are labeled (FS), matching the source dependency-detail table. Source dates use same-day boundary handoffs where successor start equals predecessor end.</x:v>
      </x:c>
    </x:row>
    <x:row r="17">
      <x:c r="A17" s="180" t="str">
        <x:v>Milestone % Complete</x:v>
      </x:c>
      <x:c r="B17" s="180" t="str">
        <x:v>Left blank because the source milestone table provides status but no numeric milestone completion percentage.</x:v>
      </x:c>
    </x:row>
  </x:sheetData>
  <x:pageMargins left="0.7" right="0.7" top="0.75" bottom="0.75" header="0.3" footer="0.3"/>
</x:worksheet>
</file>