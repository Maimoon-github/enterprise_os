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racker" sheetId="2" state="visible" r:id="rId2"/>
    <sheet xmlns:r="http://schemas.openxmlformats.org/officeDocument/2006/relationships" name="Gantt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Milestones" sheetId="5" state="visible" r:id="rId5"/>
    <sheet xmlns:r="http://schemas.openxmlformats.org/officeDocument/2006/relationships" name="Resources" sheetId="6" state="visible" r:id="rId6"/>
    <sheet xmlns:r="http://schemas.openxmlformats.org/officeDocument/2006/relationships" name="Lists" sheetId="7" state="visible" r:id="rId7"/>
  </sheets>
  <definedNames>
    <definedName name="_xlnm._FilterDatabase" localSheetId="1" hidden="1">'Tracker'!$A$1:$S$35</definedName>
    <definedName name="_xlnm._FilterDatabase" localSheetId="2" hidden="1">'Gantt'!$A$2:$I$38</definedName>
    <definedName name="_xlnm._FilterDatabase" localSheetId="4" hidden="1">'Milestones'!$A$1:$H$8</definedName>
    <definedName name="_xlnm._FilterDatabase" localSheetId="5" hidden="1">'Resources'!$A$1:$H$32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MM-DD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6"/>
    </font>
    <font>
      <b val="1"/>
    </font>
    <font>
      <b val="1"/>
      <color rgb="001F4E79"/>
      <sz val="14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DE7"/>
        <bgColor rgb="00FFFDE7"/>
      </patternFill>
    </fill>
    <fill>
      <patternFill patternType="solid">
        <fgColor rgb="00E3F2FD"/>
        <b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4" borderId="0" pivotButton="0" quotePrefix="0" xfId="0"/>
    <xf numFmtId="0" fontId="0" fillId="3" borderId="0" pivotButton="0" quotePrefix="0" xfId="0"/>
    <xf numFmtId="9" fontId="0" fillId="3" borderId="0" pivotButton="0" quotePrefix="0" xfId="0"/>
    <xf numFmtId="0" fontId="0" fillId="3" borderId="0" applyAlignment="1" pivotButton="0" quotePrefix="0" xfId="0">
      <alignment vertical="top" wrapText="1"/>
    </xf>
    <xf numFmtId="165" fontId="0" fillId="4" borderId="0" pivotButton="0" quotePrefix="0" xfId="0"/>
    <xf numFmtId="0" fontId="4" fillId="0" borderId="0" pivotButton="0" quotePrefix="0" xfId="0"/>
    <xf numFmtId="166" fontId="5" fillId="2" borderId="0" applyAlignment="1" pivotButton="0" quotePrefix="0" xfId="0">
      <alignment horizontal="center"/>
    </xf>
    <xf numFmtId="9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20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  <dxf>
      <fill>
        <patternFill patternType="solid">
          <fgColor rgb="00BBDEFB"/>
          <bgColor rgb="00BBDEFB"/>
        </patternFill>
      </fill>
    </dxf>
    <dxf>
      <fill>
        <patternFill patternType="solid">
          <fgColor rgb="00FFE0B2"/>
          <bgColor rgb="00FFE0B2"/>
        </patternFill>
      </fill>
    </dxf>
    <dxf>
      <fill>
        <patternFill patternType="solid">
          <fgColor rgb="00DBEAFE"/>
          <bgColor rgb="00DBEAFE"/>
        </patternFill>
      </fill>
    </dxf>
    <dxf>
      <fill>
        <patternFill patternType="solid">
          <fgColor rgb="00E0E7FF"/>
          <bgColor rgb="00E0E7FF"/>
        </patternFill>
      </fill>
    </dxf>
    <dxf>
      <fill>
        <patternFill patternType="solid">
          <fgColor rgb="00FEF3C7"/>
          <bgColor rgb="00FEF3C7"/>
        </patternFill>
      </fill>
    </dxf>
    <dxf>
      <fill>
        <patternFill patternType="solid">
          <fgColor rgb="00D1FAE5"/>
          <bgColor rgb="00D1FAE5"/>
        </patternFill>
      </fill>
    </dxf>
    <dxf>
      <fill>
        <patternFill patternType="solid">
          <fgColor rgb="00FCE7F3"/>
          <bgColor rgb="00FCE7F3"/>
        </patternFill>
      </fill>
    </dxf>
    <dxf>
      <fill>
        <patternFill patternType="solid">
          <fgColor rgb="00FFEDD5"/>
          <bgColor rgb="00FFEDD5"/>
        </patternFill>
      </fill>
    </dxf>
    <dxf>
      <fill>
        <patternFill patternType="solid">
          <fgColor rgb="00EDE9FE"/>
          <bgColor rgb="00EDE9FE"/>
        </patternFill>
      </fill>
    </dxf>
    <dxf>
      <fill>
        <patternFill patternType="solid">
          <fgColor rgb="0022C55E"/>
          <bgColor rgb="0022C55E"/>
        </patternFill>
      </fill>
    </dxf>
    <dxf>
      <fill>
        <patternFill patternType="solid">
          <fgColor rgb="00BFDBFE"/>
          <bgColor rgb="00BFDBFE"/>
        </patternFill>
      </fill>
    </dxf>
    <dxf>
      <fill>
        <patternFill patternType="solid">
          <fgColor rgb="00FACC15"/>
          <bgColor rgb="00FACC15"/>
        </patternFill>
      </fill>
    </dxf>
    <dxf>
      <fill>
        <patternFill patternType="solid">
          <fgColor rgb="0015803D"/>
          <bgColor rgb="0015803D"/>
        </patternFill>
      </fill>
    </dxf>
    <dxf>
      <fill>
        <patternFill patternType="solid">
          <fgColor rgb="00E5E7EB"/>
          <bgColor rgb="00E5E7EB"/>
        </patternFill>
      </fill>
    </dxf>
    <dxf>
      <fill>
        <patternFill patternType="solid">
          <fgColor rgb="00EF4444"/>
          <bgColor rgb="00EF4444"/>
        </patternFill>
      </fill>
    </dxf>
    <dxf>
      <fill>
        <patternFill patternType="solid">
          <fgColor rgb="009CA3AF"/>
          <bgColor rgb="009CA3AF"/>
        </patternFill>
      </fill>
    </dxf>
    <dxf>
      <fill>
        <patternFill patternType="solid">
          <fgColor rgb="00D1D5DB"/>
          <bgColor rgb="00D1D5DB"/>
        </patternFill>
      </fill>
    </dxf>
    <dxf>
      <fill>
        <patternFill patternType="solid">
          <fgColor rgb="00FEF08A"/>
          <bgColor rgb="00FEF08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Tasks by Status</a:t>
            </a:r>
          </a:p>
        </rich>
      </tx>
    </title>
    <plotArea>
      <pieChart>
        <varyColors val="1"/>
        <ser>
          <idx val="0"/>
          <order val="0"/>
          <tx>
            <strRef>
              <f>'Dashboard'!B20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'Dashboard'!$A$21:$A$25</f>
            </numRef>
          </cat>
          <val>
            <numRef>
              <f>'Dashboard'!$B$21:$B$25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Tasks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'Dashboard'!E20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'Dashboard'!$D$21:$D$27</f>
            </numRef>
          </cat>
          <val>
            <numRef>
              <f>'Dashboard'!$E$21:$E$27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Progress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'Dashboard'!F20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'Dashboard'!$D$21:$D$27</f>
            </numRef>
          </cat>
          <val>
            <numRef>
              <f>'Dashboard'!$F$21:$F$27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36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34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rojectTable" displayName="ProjectTable" ref="A1:S35" headerRowCount="1">
  <autoFilter ref="A1:S35"/>
  <tableColumns count="19">
    <tableColumn id="1" name="Task ID"/>
    <tableColumn id="2" name="Phase / Workstream"/>
    <tableColumn id="3" name="Task Name"/>
    <tableColumn id="4" name="Task Description"/>
    <tableColumn id="5" name="Start Date"/>
    <tableColumn id="6" name="End Date"/>
    <tableColumn id="7" name="Duration"/>
    <tableColumn id="8" name="Predecessor / Dependency"/>
    <tableColumn id="9" name="Dependency Type"/>
    <tableColumn id="10" name="Assigned Resource / Owner"/>
    <tableColumn id="11" name="Status"/>
    <tableColumn id="12" name="Progress %"/>
    <tableColumn id="13" name="Milestone (YES/NO)"/>
    <tableColumn id="14" name="Milestone ID"/>
    <tableColumn id="15" name="Priority"/>
    <tableColumn id="16" name="Notes"/>
    <tableColumn id="17" name="Conflict / Validation"/>
    <tableColumn id="18" name="Current State"/>
    <tableColumn id="19" name="Latest Pred En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README - Governed Multi-Brand Agentic System Project Workbook</t>
        </is>
      </c>
    </row>
    <row r="2">
      <c r="A2" s="2" t="n"/>
    </row>
    <row r="3">
      <c r="A3" s="2" t="inlineStr">
        <is>
          <t>Project Window: Friday, September 11, 2026 through Wednesday, October 14, 2026 (34 calendar days)</t>
        </is>
      </c>
    </row>
    <row r="4">
      <c r="A4" s="2" t="inlineStr">
        <is>
          <t>Source of Truth: Project_Plan_Essentials-Governed_Multi-Brand_Agentic_System.md + Final-Level_Full_Architecture.md</t>
        </is>
      </c>
    </row>
    <row r="5">
      <c r="A5" s="2" t="n"/>
    </row>
    <row r="6">
      <c r="A6" s="2" t="inlineStr">
        <is>
          <t>1. Where to update tasks:</t>
        </is>
      </c>
    </row>
    <row r="7">
      <c r="A7" s="2" t="inlineStr">
        <is>
          <t>- Go to Tracker sheet. Editable columns are highlighted in light yellow: Start Date, End Date, Predecessor, Dependency Type, Resource/Owner, Status, Progress %, Milestone YES/NO, Milestone ID, Priority, Notes.</t>
        </is>
      </c>
    </row>
    <row r="8">
      <c r="A8" s="2" t="inlineStr">
        <is>
          <t>- Duration, Conflict/Validation, Current State, Latest Pred End are calculated (light blue) and update automatically.</t>
        </is>
      </c>
    </row>
    <row r="9">
      <c r="A9" s="2" t="inlineStr">
        <is>
          <t>- All dates use YYYY-MM-DD format. Duration = End-Start+1 inclusive calendar days.</t>
        </is>
      </c>
    </row>
    <row r="10">
      <c r="A10" s="2" t="inlineStr"/>
    </row>
    <row r="11">
      <c r="A11" s="2" t="inlineStr">
        <is>
          <t>2. How to change dates and dependencies:</t>
        </is>
      </c>
    </row>
    <row r="12">
      <c r="A12" s="2" t="inlineStr">
        <is>
          <t>- Edit Start Date / End Date directly in Tracker (cols E,F). Gantt bars recalculate via formulas =IF(AND(date&gt;=Start,date&lt;=End),...)</t>
        </is>
      </c>
    </row>
    <row r="13">
      <c r="A13" s="2" t="inlineStr">
        <is>
          <t>- Predecessor format: comma-separated Task IDs e.g. 'T01, T02' or 'None'. Use exact IDs from column A.</t>
        </is>
      </c>
    </row>
    <row r="14">
      <c r="A14" s="2" t="inlineStr">
        <is>
          <t>- Latest Predecessor End (col S) = MAX(XLOOKUP(TEXTSPLIT(Predecessor),TaskID,EndDate)). Conflict column Q flags '⚠ Pred conflict' if Start &lt;= Latest Pred End.</t>
        </is>
      </c>
    </row>
    <row r="15">
      <c r="A15" s="2" t="inlineStr">
        <is>
          <t>- Dependency Type defaults to FS (Finish-to-Start) per architecture spec. Editable via dropdown FS/SS/FF/SF.</t>
        </is>
      </c>
    </row>
    <row r="16">
      <c r="A16" s="2" t="inlineStr">
        <is>
          <t>- Tasks outside project window 2026-09-11 to 2026-10-14 are flagged in Conflict column.</t>
        </is>
      </c>
    </row>
    <row r="17">
      <c r="A17" s="2" t="inlineStr"/>
    </row>
    <row r="18">
      <c r="A18" s="2" t="inlineStr">
        <is>
          <t>3. How to update Progress % and Status:</t>
        </is>
      </c>
    </row>
    <row r="19">
      <c r="A19" s="2" t="inlineStr">
        <is>
          <t>- Progress % (col L) accepts 0% to 100% (0 to 1 decimal). Data validation enforces 0-1 range.</t>
        </is>
      </c>
    </row>
    <row r="20">
      <c r="A20" s="2" t="inlineStr">
        <is>
          <t>- Status dropdown: Not Started, In Progress, Completed, On Hold, Delayed (Lists!A2:A6). Status should align with Progress: 0%=Not Started, 100%=Completed, but editable.</t>
        </is>
      </c>
    </row>
    <row r="21">
      <c r="A21" s="2" t="inlineStr">
        <is>
          <t>- Gantt visualization: Progress done portion = green (value 1), remaining = light blue (value 2). If Progress=100%, entire bar dark green (value 4).</t>
        </is>
      </c>
    </row>
    <row r="22">
      <c r="A22" s="2" t="inlineStr">
        <is>
          <t>- Milestone marker: Gold cell (value 3) at End Date when Milestone=YES. Milestone tasks: T03,T04,T10,T14,T20,T21,T24,T29,T34.</t>
        </is>
      </c>
    </row>
    <row r="23">
      <c r="A23" s="2" t="inlineStr">
        <is>
          <t>- Current State (col R) auto-calculates based on Report Date (Dashboard!B2) and Progress: Completed / Active / Overdue / Upcoming / At Risk.</t>
        </is>
      </c>
    </row>
    <row r="24">
      <c r="A24" s="2" t="inlineStr"/>
    </row>
    <row r="25">
      <c r="A25" s="2" t="inlineStr">
        <is>
          <t>4. How the Gantt visualization updates:</t>
        </is>
      </c>
    </row>
    <row r="26">
      <c r="A26" s="2" t="inlineStr">
        <is>
          <t>- Gantt sheet pulls Task ID, Phase, Task Name, Resource, Status, Progress, Start, End, Milestone flag from Tracker via =Tracker! formulas (cols A-I).</t>
        </is>
      </c>
    </row>
    <row r="27">
      <c r="A27" s="2" t="inlineStr">
        <is>
          <t>- Date headers J2:AR2 = each calendar day Sep 11-Oct 14. Row 3 = weekday, Row 4 = MM/DD. Weekend columns highlighted via conditional formatting WEEKDAY&gt;=6.</t>
        </is>
      </c>
    </row>
    <row r="28">
      <c r="A28" s="2" t="inlineStr">
        <is>
          <t>- Each Gantt cell formula: =IF(AND(date&gt;=Start,date&lt;=End),IF(AND(Milestone=YES,date=End),3,IF(Progress=1,4,IF(date&lt;=Start+Duration*Progress-1,1,2))),"").</t>
        </is>
      </c>
    </row>
    <row r="29">
      <c r="A29" s="2" t="inlineStr">
        <is>
          <t>- Conditional formatting: 1=green progress done #22C55E, 2=light blue remaining #BFDBFE, 3=gold milestone #FACC15, 4=dark green completed #15803D.</t>
        </is>
      </c>
    </row>
    <row r="30">
      <c r="A30" s="2" t="inlineStr">
        <is>
          <t>- Additional rules: Delayed remaining=red, On Hold=gray, Not Started remaining=light gray. Today/Report Date column highlighted yellow.</t>
        </is>
      </c>
    </row>
    <row r="31">
      <c r="A31" s="2" t="inlineStr">
        <is>
          <t>- Freeze panes at J5 keeps task info visible while scrolling dates. Print-friendly column widths (4.5) for dates.</t>
        </is>
      </c>
    </row>
    <row r="32">
      <c r="A32" s="2" t="inlineStr"/>
    </row>
    <row r="33">
      <c r="A33" s="2" t="inlineStr">
        <is>
          <t>5. How to add a new task without breaking formulas or formatting:</t>
        </is>
      </c>
    </row>
    <row r="34">
      <c r="A34" s="2" t="inlineStr">
        <is>
          <t>- Insert a new row inside Tracker table (right-click &gt; Insert Table Row). The Excel Table 'ProjectTable' will auto-expand and copy formulas for Duration, Conflict, Current State, Latest Pred End.</t>
        </is>
      </c>
    </row>
    <row r="35">
      <c r="A35" s="2" t="inlineStr">
        <is>
          <t>- Fill Task ID (e.g., T35), Phase (dropdown), Task Name, Description, Start, End, Predecessor, Dep Type, Resource, Status, Progress, Milestone flag, Milestone ID, Priority, Notes.</t>
        </is>
      </c>
    </row>
    <row r="36">
      <c r="A36" s="2" t="inlineStr">
        <is>
          <t>- Gantt: Insert row at same position (row 5+). Copy formulas from row above for cols A-I (Tracker links) and for date columns J:AR (bar formulas). Update tracker_row reference to match new Tracker row.</t>
        </is>
      </c>
    </row>
    <row r="37">
      <c r="A37" s="2" t="inlineStr">
        <is>
          <t>- Dashboard KPIs use COUNTA and COUNTIF over A2:A35 - extend ranges to include new rows (or convert to Table references). Charts will auto-update if you extend status/phase tables.</t>
        </is>
      </c>
    </row>
    <row r="38">
      <c r="A38" s="2" t="inlineStr">
        <is>
          <t>- Resources sheet: add new resource if needed; formulas COUNTIFS will include new tasks automatically.</t>
        </is>
      </c>
    </row>
    <row r="39">
      <c r="A39" s="2" t="inlineStr"/>
    </row>
    <row r="40">
      <c r="A40" s="2" t="inlineStr">
        <is>
          <t>6. How to interpret dashboard indicators and milestone markers:</t>
        </is>
      </c>
    </row>
    <row r="41">
      <c r="A41" s="2" t="inlineStr">
        <is>
          <t>- Dashboard!B2 = Report Date (editable, default TODAY). Controls Overdue/Active/Upcoming logic in Tracker!R and Gantt Today highlight.</t>
        </is>
      </c>
    </row>
    <row r="42">
      <c r="A42" s="2" t="inlineStr">
        <is>
          <t>- KPIs: Total, Completed, In Progress, Not Started, On Hold, Delayed, Overdue, Overall Progress (simple avg and weighted by duration), Milestones Completed/Remaining, Tasks with Conflict, Days Remaining.</t>
        </is>
      </c>
    </row>
    <row r="43">
      <c r="A43" s="2" t="inlineStr">
        <is>
          <t>- Charts: Pie 'Tasks by Status', Bar 'Tasks by Phase' and 'Avg Progress by Phase' dynamically linked to Tracker counts via COUNTIF/AVERAGEIF.</t>
        </is>
      </c>
    </row>
    <row r="44">
      <c r="A44" s="2" t="inlineStr">
        <is>
          <t>- Milestone sheet: Milestone Date, Linked Tasks, Avg Progress = AVERAGE(XLOOKUP(TEXTSPLIT(LinkedTasks),Tracker TaskID,Progress)). Completed? = Yes when avg=100%.</t>
        </is>
      </c>
    </row>
    <row r="45">
      <c r="A45" s="2" t="inlineStr">
        <is>
          <t>- Resources sheet: Assigned Tasks, Active, Completed, Outstanding, Avg Progress, Workload Flag (High load if &gt;3 tasks, Potential overlap if multiple active).</t>
        </is>
      </c>
    </row>
    <row r="46">
      <c r="A46" s="2" t="inlineStr">
        <is>
          <t>- Conflict/Validation column: ✓ OK = no issue, ⚠ flags End&lt;Start, Outside window, Pred conflict. Fix by adjusting dates or predecessors.</t>
        </is>
      </c>
    </row>
    <row r="47">
      <c r="A47" s="2" t="inlineStr">
        <is>
          <t>- Health: Completed = Progress 100%, Overdue = End &lt; Report Date and Progress&lt;100%, Active = Report Date between Start/End, Upcoming = Start &gt; Report Date, At Risk = other.</t>
        </is>
      </c>
    </row>
    <row r="48">
      <c r="A48" s="2" t="inlineStr"/>
    </row>
    <row r="49">
      <c r="A49" s="2" t="inlineStr">
        <is>
          <t>7. Assumptions &amp; Inferred Values:</t>
        </is>
      </c>
    </row>
    <row r="50">
      <c r="A50" s="2" t="inlineStr">
        <is>
          <t>- All dates, dependencies, milestones, resources, progress % extracted from Project_Plan_Essentials markdown. Progress marked [INFERRED] in source - preserved in Notes column.</t>
        </is>
      </c>
    </row>
    <row r="51">
      <c r="A51" s="2" t="inlineStr">
        <is>
          <t>- Priority column is INFERRED (not in source) - assigned based on critical path: Governance, PAB, RAG, Sandbox, IE, HITL, Outbound, Final verification = Critical.</t>
        </is>
      </c>
    </row>
    <row r="52">
      <c r="A52" s="2" t="inlineStr">
        <is>
          <t>- Milestone indicator YES flagged for tasks ending on milestone dates: T03,T04 (M1 09-14), T10 (M2 09-19), T14 (M3 09-23), T20,T21 (M4 10-02), T24 (M5 10-06), T29 (M6 10-10), T34 (M7 10-14).</t>
        </is>
      </c>
    </row>
    <row r="53">
      <c r="A53" s="2" t="inlineStr">
        <is>
          <t>- Description column synthesized from architecture doc and evidence notes - flagged as derived, not invented beyond source.</t>
        </is>
      </c>
    </row>
    <row r="54">
      <c r="A54" s="2" t="inlineStr">
        <is>
          <t>- Dependency Type = FS for all per spec Section 2.2 (Finish-to-Start).</t>
        </is>
      </c>
    </row>
    <row r="55">
      <c r="A55" s="2" t="inlineStr">
        <is>
          <t>- Calendar days inclusive (duration = End-Start+1).</t>
        </is>
      </c>
    </row>
    <row r="56">
      <c r="A56" s="2" t="inlineStr">
        <is>
          <t>- Missing: Platform API credentials, exact budget figures - noted in Milestones/Notes and assumed injected via vault during T25.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  <col width="48" customWidth="1" min="3" max="3"/>
    <col width="60" customWidth="1" min="4" max="4"/>
    <col width="13" customWidth="1" min="5" max="5"/>
    <col width="13" customWidth="1" min="6" max="6"/>
    <col width="10" customWidth="1" min="7" max="7"/>
    <col width="20" customWidth="1" min="8" max="8"/>
    <col width="10" customWidth="1" min="9" max="9"/>
    <col width="38" customWidth="1" min="10" max="10"/>
    <col width="14" customWidth="1" min="11" max="11"/>
    <col width="12" customWidth="1" min="12" max="12"/>
    <col width="14" customWidth="1" min="13" max="13"/>
    <col width="12" customWidth="1" min="14" max="14"/>
    <col width="12" customWidth="1" min="15" max="15"/>
    <col width="50" customWidth="1" min="16" max="16"/>
    <col width="28" customWidth="1" min="17" max="17"/>
    <col width="16" customWidth="1" min="18" max="18"/>
    <col width="16" customWidth="1" min="19" max="19"/>
  </cols>
  <sheetData>
    <row r="1">
      <c r="A1" s="3" t="inlineStr">
        <is>
          <t>Task ID</t>
        </is>
      </c>
      <c r="B1" s="3" t="inlineStr">
        <is>
          <t>Phase / Workstream</t>
        </is>
      </c>
      <c r="C1" s="3" t="inlineStr">
        <is>
          <t>Task Name</t>
        </is>
      </c>
      <c r="D1" s="3" t="inlineStr">
        <is>
          <t>Task Description</t>
        </is>
      </c>
      <c r="E1" s="3" t="inlineStr">
        <is>
          <t>Start Date</t>
        </is>
      </c>
      <c r="F1" s="3" t="inlineStr">
        <is>
          <t>End Date</t>
        </is>
      </c>
      <c r="G1" s="3" t="inlineStr">
        <is>
          <t>Duration</t>
        </is>
      </c>
      <c r="H1" s="3" t="inlineStr">
        <is>
          <t>Predecessor / Dependency</t>
        </is>
      </c>
      <c r="I1" s="3" t="inlineStr">
        <is>
          <t>Dependency Type</t>
        </is>
      </c>
      <c r="J1" s="3" t="inlineStr">
        <is>
          <t>Assigned Resource / Owner</t>
        </is>
      </c>
      <c r="K1" s="3" t="inlineStr">
        <is>
          <t>Status</t>
        </is>
      </c>
      <c r="L1" s="3" t="inlineStr">
        <is>
          <t>Progress %</t>
        </is>
      </c>
      <c r="M1" s="3" t="inlineStr">
        <is>
          <t>Milestone (YES/NO)</t>
        </is>
      </c>
      <c r="N1" s="3" t="inlineStr">
        <is>
          <t>Milestone ID</t>
        </is>
      </c>
      <c r="O1" s="3" t="inlineStr">
        <is>
          <t>Priority</t>
        </is>
      </c>
      <c r="P1" s="3" t="inlineStr">
        <is>
          <t>Notes</t>
        </is>
      </c>
      <c r="Q1" s="3" t="inlineStr">
        <is>
          <t>Conflict / Validation</t>
        </is>
      </c>
      <c r="R1" s="3" t="inlineStr">
        <is>
          <t>Current State</t>
        </is>
      </c>
      <c r="S1" s="3" t="inlineStr">
        <is>
          <t>Latest Pred End</t>
        </is>
      </c>
    </row>
    <row r="2">
      <c r="A2" t="inlineStr">
        <is>
          <t>T01</t>
        </is>
      </c>
      <c r="B2" t="inlineStr">
        <is>
          <t>Phase 1: Governance, Policy &amp; Canonical State</t>
        </is>
      </c>
      <c r="C2" s="2" t="inlineStr">
        <is>
          <t>Define enterprise objectives, tenant scopes, and budget boundaries</t>
        </is>
      </c>
      <c r="D2" s="2" t="inlineStr">
        <is>
          <t>Define strategic objectives, tenant scopes, budgets, risk appetite. Input from Brand Stakeholder/Portfolio Owner. Output: approved scope envelope and budget boundaries per brand. Governed by Model A.</t>
        </is>
      </c>
      <c r="E2" s="4" t="n">
        <v>46276</v>
      </c>
      <c r="F2" s="4" t="n">
        <v>46277</v>
      </c>
      <c r="G2" s="5">
        <f>IF(AND(E2&lt;&gt;"",F2&lt;&gt;""),F2-E2+1,"")</f>
        <v/>
      </c>
      <c r="H2" s="6" t="inlineStr">
        <is>
          <t>None</t>
        </is>
      </c>
      <c r="I2" s="6" t="inlineStr">
        <is>
          <t>FS</t>
        </is>
      </c>
      <c r="J2" s="6" t="inlineStr">
        <is>
          <t>Brand Stakeholder / Portfolio Owner</t>
        </is>
      </c>
      <c r="K2" s="6" t="inlineStr">
        <is>
          <t>Completed</t>
        </is>
      </c>
      <c r="L2" s="7" t="n">
        <v>1</v>
      </c>
      <c r="M2" s="6" t="inlineStr">
        <is>
          <t>NO</t>
        </is>
      </c>
      <c r="N2" s="6" t="inlineStr">
        <is>
          <t>M1</t>
        </is>
      </c>
      <c r="O2" s="6" t="inlineStr">
        <is>
          <t>Critical</t>
        </is>
      </c>
      <c r="P2" s="8" t="inlineStr">
        <is>
          <t>Architectural scope, objectives, and budget envelopes established in source blueprint. [INFERRED: 100%]</t>
        </is>
      </c>
      <c r="Q2" s="5">
        <f>IF(F2&lt;E2,"⚠ End &lt; Start",IF(OR(E2&lt;DATE(2026,9,11),F2&gt;DATE(2026,10,14)),"⚠ Outside 09/11-10/14",IF(AND(H2&lt;&gt;"None",H2&lt;&gt;"",S2&lt;&gt;"",S2&lt;&gt;0,E2&lt;=S2),"⚠ Pred conflict","✓ OK")))</f>
        <v/>
      </c>
      <c r="R2" s="5">
        <f>IF(L2=1,"Completed",IF(F2&lt;Dashboard!$B$2,"Overdue",IF(AND(E2&lt;=Dashboard!$B$2,F2&gt;=Dashboard!$B$2),IF(L2&gt;0,"Active","At Risk"),IF(E2&gt;Dashboard!$B$2,"Upcoming","At Risk"))))</f>
        <v/>
      </c>
      <c r="S2" s="9">
        <f>IF(OR(H2="",H2="None"),"",LET(ids,TEXTSPLIT(H2,", ",,TRUE),MAX(XLOOKUP(ids,$A$2:$A$35,$F$2:$F$35,0))))</f>
        <v/>
      </c>
    </row>
    <row r="3">
      <c r="A3" t="inlineStr">
        <is>
          <t>T02</t>
        </is>
      </c>
      <c r="B3" t="inlineStr">
        <is>
          <t>Phase 1: Governance, Policy &amp; Canonical State</t>
        </is>
      </c>
      <c r="C3" s="2" t="inlineStr">
        <is>
          <t>Configure machine-readable policy rules, autonomy tiers, and claim limits</t>
        </is>
      </c>
      <c r="D3" s="2" t="inlineStr">
        <is>
          <t>Configure machine-readable policy rules, autonomy tiers, claim limits, legal constraints in Enterprise Policy Engine. Versioned policy envelopes with tenant isolation.</t>
        </is>
      </c>
      <c r="E3" s="4" t="n">
        <v>46276</v>
      </c>
      <c r="F3" s="4" t="n">
        <v>46277</v>
      </c>
      <c r="G3" s="5">
        <f>IF(AND(E3&lt;&gt;"",F3&lt;&gt;""),F3-E3+1,"")</f>
        <v/>
      </c>
      <c r="H3" s="6" t="inlineStr">
        <is>
          <t>None</t>
        </is>
      </c>
      <c r="I3" s="6" t="inlineStr">
        <is>
          <t>FS</t>
        </is>
      </c>
      <c r="J3" s="6" t="inlineStr">
        <is>
          <t>Enterprise Policy Engine</t>
        </is>
      </c>
      <c r="K3" s="6" t="inlineStr">
        <is>
          <t>Completed</t>
        </is>
      </c>
      <c r="L3" s="7" t="n">
        <v>1</v>
      </c>
      <c r="M3" s="6" t="inlineStr">
        <is>
          <t>NO</t>
        </is>
      </c>
      <c r="N3" s="6" t="inlineStr">
        <is>
          <t>M1</t>
        </is>
      </c>
      <c r="O3" s="6" t="inlineStr">
        <is>
          <t>Critical</t>
        </is>
      </c>
      <c r="P3" s="8" t="inlineStr">
        <is>
          <t>Compliance rules, autonomy tiers, and brand constraints defined in policy engine specification. [INFERRED: 100%]</t>
        </is>
      </c>
      <c r="Q3" s="5">
        <f>IF(F3&lt;E3,"⚠ End &lt; Start",IF(OR(E3&lt;DATE(2026,9,11),F3&gt;DATE(2026,10,14)),"⚠ Outside 09/11-10/14",IF(AND(H3&lt;&gt;"None",H3&lt;&gt;"",S3&lt;&gt;"",S3&lt;&gt;0,E3&lt;=S3),"⚠ Pred conflict","✓ OK")))</f>
        <v/>
      </c>
      <c r="R3" s="5">
        <f>IF(L3=1,"Completed",IF(F3&lt;Dashboard!$B$2,"Overdue",IF(AND(E3&lt;=Dashboard!$B$2,F3&gt;=Dashboard!$B$2),IF(L3&gt;0,"Active","At Risk"),IF(E3&gt;Dashboard!$B$2,"Upcoming","At Risk"))))</f>
        <v/>
      </c>
      <c r="S3" s="9">
        <f>IF(OR(H3="",H3="None"),"",LET(ids,TEXTSPLIT(H3,", ",,TRUE),MAX(XLOOKUP(ids,$A$2:$A$35,$F$2:$F$35,0))))</f>
        <v/>
      </c>
    </row>
    <row r="4">
      <c r="A4" t="inlineStr">
        <is>
          <t>T03</t>
        </is>
      </c>
      <c r="B4" t="inlineStr">
        <is>
          <t>Phase 1: Governance, Policy &amp; Canonical State</t>
        </is>
      </c>
      <c r="C4" s="2" t="inlineStr">
        <is>
          <t>Establish Policy &amp; Authorization Boundary (PAB) evaluation rules</t>
        </is>
      </c>
      <c r="D4" s="2" t="inlineStr">
        <is>
          <t>Establish Policy &amp; Authorization Boundary evaluation: caller ID, delegation chain, tenant scope, risk tier, monotonic attenuation, tool allowlisting. Security gate for all downstream.</t>
        </is>
      </c>
      <c r="E4" s="4" t="n">
        <v>46277</v>
      </c>
      <c r="F4" s="4" t="n">
        <v>46279</v>
      </c>
      <c r="G4" s="5">
        <f>IF(AND(E4&lt;&gt;"",F4&lt;&gt;""),F4-E4+1,"")</f>
        <v/>
      </c>
      <c r="H4" s="6" t="inlineStr">
        <is>
          <t>T01, T02</t>
        </is>
      </c>
      <c r="I4" s="6" t="inlineStr">
        <is>
          <t>FS</t>
        </is>
      </c>
      <c r="J4" s="6" t="inlineStr">
        <is>
          <t>Policy &amp; Authorization Boundary (PAB)</t>
        </is>
      </c>
      <c r="K4" s="6" t="inlineStr">
        <is>
          <t>Completed</t>
        </is>
      </c>
      <c r="L4" s="7" t="n">
        <v>1</v>
      </c>
      <c r="M4" s="6" t="inlineStr">
        <is>
          <t>YES</t>
        </is>
      </c>
      <c r="N4" s="6" t="inlineStr">
        <is>
          <t>M1</t>
        </is>
      </c>
      <c r="O4" s="6" t="inlineStr">
        <is>
          <t>Critical</t>
        </is>
      </c>
      <c r="P4" s="8" t="inlineStr">
        <is>
          <t>PAB monotonic attenuation logic and verification formulas validated in control plane. [INFERRED: 100%]</t>
        </is>
      </c>
      <c r="Q4" s="5">
        <f>IF(F4&lt;E4,"⚠ End &lt; Start",IF(OR(E4&lt;DATE(2026,9,11),F4&gt;DATE(2026,10,14)),"⚠ Outside 09/11-10/14",IF(AND(H4&lt;&gt;"None",H4&lt;&gt;"",S4&lt;&gt;"",S4&lt;&gt;0,E4&lt;=S4),"⚠ Pred conflict","✓ OK")))</f>
        <v/>
      </c>
      <c r="R4" s="5">
        <f>IF(L4=1,"Completed",IF(F4&lt;Dashboard!$B$2,"Overdue",IF(AND(E4&lt;=Dashboard!$B$2,F4&gt;=Dashboard!$B$2),IF(L4&gt;0,"Active","At Risk"),IF(E4&gt;Dashboard!$B$2,"Upcoming","At Risk"))))</f>
        <v/>
      </c>
      <c r="S4" s="9">
        <f>IF(OR(H4="",H4="None"),"",LET(ids,TEXTSPLIT(H4,", ",,TRUE),MAX(XLOOKUP(ids,$A$2:$A$35,$F$2:$F$35,0))))</f>
        <v/>
      </c>
    </row>
    <row r="5">
      <c r="A5" t="inlineStr">
        <is>
          <t>T04</t>
        </is>
      </c>
      <c r="B5" t="inlineStr">
        <is>
          <t>Phase 1: Governance, Policy &amp; Canonical State</t>
        </is>
      </c>
      <c r="C5" s="2" t="inlineStr">
        <is>
          <t>Initialize Canonical Task State Machine (CTS) and DAG execution schema</t>
        </is>
      </c>
      <c r="D5" s="2" t="inlineStr">
        <is>
          <t>Initialize Canonical Task State Machine and DAG execution schema: lifecycle states CREATED→COMPLETED, checkpoints, holds, dependency locks, state ledger.</t>
        </is>
      </c>
      <c r="E5" s="4" t="n">
        <v>46277</v>
      </c>
      <c r="F5" s="4" t="n">
        <v>46279</v>
      </c>
      <c r="G5" s="5">
        <f>IF(AND(E5&lt;&gt;"",F5&lt;&gt;""),F5-E5+1,"")</f>
        <v/>
      </c>
      <c r="H5" s="6" t="inlineStr">
        <is>
          <t>T01</t>
        </is>
      </c>
      <c r="I5" s="6" t="inlineStr">
        <is>
          <t>FS</t>
        </is>
      </c>
      <c r="J5" s="6" t="inlineStr">
        <is>
          <t>Canonical Task State Machine (CTS)</t>
        </is>
      </c>
      <c r="K5" s="6" t="inlineStr">
        <is>
          <t>Completed</t>
        </is>
      </c>
      <c r="L5" s="7" t="n">
        <v>1</v>
      </c>
      <c r="M5" s="6" t="inlineStr">
        <is>
          <t>YES</t>
        </is>
      </c>
      <c r="N5" s="6" t="inlineStr">
        <is>
          <t>M1</t>
        </is>
      </c>
      <c r="O5" s="6" t="inlineStr">
        <is>
          <t>Critical</t>
        </is>
      </c>
      <c r="P5" s="8" t="inlineStr">
        <is>
          <t>Canonical Task State Machine lifecycle states (CREATED to COMPLETED) configured. [INFERRED: 100%]</t>
        </is>
      </c>
      <c r="Q5" s="5">
        <f>IF(F5&lt;E5,"⚠ End &lt; Start",IF(OR(E5&lt;DATE(2026,9,11),F5&gt;DATE(2026,10,14)),"⚠ Outside 09/11-10/14",IF(AND(H5&lt;&gt;"None",H5&lt;&gt;"",S5&lt;&gt;"",S5&lt;&gt;0,E5&lt;=S5),"⚠ Pred conflict","✓ OK")))</f>
        <v/>
      </c>
      <c r="R5" s="5">
        <f>IF(L5=1,"Completed",IF(F5&lt;Dashboard!$B$2,"Overdue",IF(AND(E5&lt;=Dashboard!$B$2,F5&gt;=Dashboard!$B$2),IF(L5&gt;0,"Active","At Risk"),IF(E5&gt;Dashboard!$B$2,"Upcoming","At Risk"))))</f>
        <v/>
      </c>
      <c r="S5" s="9">
        <f>IF(OR(H5="",H5="None"),"",LET(ids,TEXTSPLIT(H5,", ",,TRUE),MAX(XLOOKUP(ids,$A$2:$A$35,$F$2:$F$35,0))))</f>
        <v/>
      </c>
    </row>
    <row r="6">
      <c r="A6" t="inlineStr">
        <is>
          <t>T05</t>
        </is>
      </c>
      <c r="B6" t="inlineStr">
        <is>
          <t>Phase 2: Governed Data Plane &amp; Central Storage</t>
        </is>
      </c>
      <c r="C6" s="2" t="inlineStr">
        <is>
          <t>Provision Central Enterprise Database (CDB) relational tables &amp; vector stores</t>
        </is>
      </c>
      <c r="D6" s="2" t="inlineStr">
        <is>
          <t>Provision Central Enterprise Database: relational tables, JSONB docs, vector namespaces, embeddings, state ledgers, telemetry time-series. System of record.</t>
        </is>
      </c>
      <c r="E6" s="4" t="n">
        <v>46279</v>
      </c>
      <c r="F6" s="4" t="n">
        <v>46281</v>
      </c>
      <c r="G6" s="5">
        <f>IF(AND(E6&lt;&gt;"",F6&lt;&gt;""),F6-E6+1,"")</f>
        <v/>
      </c>
      <c r="H6" s="6" t="inlineStr">
        <is>
          <t>T04</t>
        </is>
      </c>
      <c r="I6" s="6" t="inlineStr">
        <is>
          <t>FS</t>
        </is>
      </c>
      <c r="J6" s="6" t="inlineStr">
        <is>
          <t>Central Enterprise Database (CDB)</t>
        </is>
      </c>
      <c r="K6" s="6" t="inlineStr">
        <is>
          <t>Completed</t>
        </is>
      </c>
      <c r="L6" s="7" t="n">
        <v>1</v>
      </c>
      <c r="M6" s="6" t="inlineStr">
        <is>
          <t>NO</t>
        </is>
      </c>
      <c r="N6" s="6" t="inlineStr">
        <is>
          <t>M2</t>
        </is>
      </c>
      <c r="O6" s="6" t="inlineStr">
        <is>
          <t>High</t>
        </is>
      </c>
      <c r="P6" s="8" t="inlineStr">
        <is>
          <t>Relational tables, JSONB schemas, and pgvector stores defined in Central DB model. [INFERRED: 100%]</t>
        </is>
      </c>
      <c r="Q6" s="5">
        <f>IF(F6&lt;E6,"⚠ End &lt; Start",IF(OR(E6&lt;DATE(2026,9,11),F6&gt;DATE(2026,10,14)),"⚠ Outside 09/11-10/14",IF(AND(H6&lt;&gt;"None",H6&lt;&gt;"",S6&lt;&gt;"",S6&lt;&gt;0,E6&lt;=S6),"⚠ Pred conflict","✓ OK")))</f>
        <v/>
      </c>
      <c r="R6" s="5">
        <f>IF(L6=1,"Completed",IF(F6&lt;Dashboard!$B$2,"Overdue",IF(AND(E6&lt;=Dashboard!$B$2,F6&gt;=Dashboard!$B$2),IF(L6&gt;0,"Active","At Risk"),IF(E6&gt;Dashboard!$B$2,"Upcoming","At Risk"))))</f>
        <v/>
      </c>
      <c r="S6" s="9">
        <f>IF(OR(H6="",H6="None"),"",LET(ids,TEXTSPLIT(H6,", ",,TRUE),MAX(XLOOKUP(ids,$A$2:$A$35,$F$2:$F$35,0))))</f>
        <v/>
      </c>
    </row>
    <row r="7">
      <c r="A7" t="inlineStr">
        <is>
          <t>T06</t>
        </is>
      </c>
      <c r="B7" t="inlineStr">
        <is>
          <t>Phase 2: Governed Data Plane &amp; Central Storage</t>
        </is>
      </c>
      <c r="C7" s="2" t="inlineStr">
        <is>
          <t>Connect Headless CMS content models and staging layout schemas</t>
        </is>
      </c>
      <c r="D7" s="2" t="inlineStr">
        <is>
          <t>Connect Headless CMS content models and staging layout schemas: page models, catalog diffs, digital assets, staged schemas for W_DEV consumption.</t>
        </is>
      </c>
      <c r="E7" s="4" t="n">
        <v>46279</v>
      </c>
      <c r="F7" s="4" t="n">
        <v>46281</v>
      </c>
      <c r="G7" s="5">
        <f>IF(AND(E7&lt;&gt;"",F7&lt;&gt;""),F7-E7+1,"")</f>
        <v/>
      </c>
      <c r="H7" s="6" t="inlineStr">
        <is>
          <t>T04</t>
        </is>
      </c>
      <c r="I7" s="6" t="inlineStr">
        <is>
          <t>FS</t>
        </is>
      </c>
      <c r="J7" s="6" t="inlineStr">
        <is>
          <t>Headless CMS &amp; Web Store (CMS)</t>
        </is>
      </c>
      <c r="K7" s="6" t="inlineStr">
        <is>
          <t>Completed</t>
        </is>
      </c>
      <c r="L7" s="7" t="n">
        <v>1</v>
      </c>
      <c r="M7" s="6" t="inlineStr">
        <is>
          <t>NO</t>
        </is>
      </c>
      <c r="N7" s="6" t="inlineStr">
        <is>
          <t>M2</t>
        </is>
      </c>
      <c r="O7" s="6" t="inlineStr">
        <is>
          <t>High</t>
        </is>
      </c>
      <c r="P7" s="8" t="inlineStr">
        <is>
          <t>Headless CMS content schemas and staging layout diffs integrated. [INFERRED: 100%]</t>
        </is>
      </c>
      <c r="Q7" s="5">
        <f>IF(F7&lt;E7,"⚠ End &lt; Start",IF(OR(E7&lt;DATE(2026,9,11),F7&gt;DATE(2026,10,14)),"⚠ Outside 09/11-10/14",IF(AND(H7&lt;&gt;"None",H7&lt;&gt;"",S7&lt;&gt;"",S7&lt;&gt;0,E7&lt;=S7),"⚠ Pred conflict","✓ OK")))</f>
        <v/>
      </c>
      <c r="R7" s="5">
        <f>IF(L7=1,"Completed",IF(F7&lt;Dashboard!$B$2,"Overdue",IF(AND(E7&lt;=Dashboard!$B$2,F7&gt;=Dashboard!$B$2),IF(L7&gt;0,"Active","At Risk"),IF(E7&gt;Dashboard!$B$2,"Upcoming","At Risk"))))</f>
        <v/>
      </c>
      <c r="S7" s="9">
        <f>IF(OR(H7="",H7="None"),"",LET(ids,TEXTSPLIT(H7,", ",,TRUE),MAX(XLOOKUP(ids,$A$2:$A$35,$F$2:$F$35,0))))</f>
        <v/>
      </c>
    </row>
    <row r="8">
      <c r="A8" t="inlineStr">
        <is>
          <t>T07</t>
        </is>
      </c>
      <c r="B8" t="inlineStr">
        <is>
          <t>Phase 2: Governed Data Plane &amp; Central Storage</t>
        </is>
      </c>
      <c r="C8" s="2" t="inlineStr">
        <is>
          <t>Instantiate Institutional Memory Store (MEM) for brand heuristics &amp; rules</t>
        </is>
      </c>
      <c r="D8" s="2" t="inlineStr">
        <is>
          <t>Instantiate Institutional Memory Store for brand heuristics, voice rules, learned heuristics, long-term knowledge promotion from W_LEARN.</t>
        </is>
      </c>
      <c r="E8" s="4" t="n">
        <v>46279</v>
      </c>
      <c r="F8" s="4" t="n">
        <v>46281</v>
      </c>
      <c r="G8" s="5">
        <f>IF(AND(E8&lt;&gt;"",F8&lt;&gt;""),F8-E8+1,"")</f>
        <v/>
      </c>
      <c r="H8" s="6" t="inlineStr">
        <is>
          <t>T04</t>
        </is>
      </c>
      <c r="I8" s="6" t="inlineStr">
        <is>
          <t>FS</t>
        </is>
      </c>
      <c r="J8" s="6" t="inlineStr">
        <is>
          <t>Institutional Memory Store (MEM)</t>
        </is>
      </c>
      <c r="K8" s="6" t="inlineStr">
        <is>
          <t>Completed</t>
        </is>
      </c>
      <c r="L8" s="7" t="n">
        <v>1</v>
      </c>
      <c r="M8" s="6" t="inlineStr">
        <is>
          <t>NO</t>
        </is>
      </c>
      <c r="N8" s="6" t="inlineStr">
        <is>
          <t>M2</t>
        </is>
      </c>
      <c r="O8" s="6" t="inlineStr">
        <is>
          <t>High</t>
        </is>
      </c>
      <c r="P8" s="8" t="inlineStr">
        <is>
          <t>Long-term institutional memory schemas and brand book namespaces established. [INFERRED: 100%]</t>
        </is>
      </c>
      <c r="Q8" s="5">
        <f>IF(F8&lt;E8,"⚠ End &lt; Start",IF(OR(E8&lt;DATE(2026,9,11),F8&gt;DATE(2026,10,14)),"⚠ Outside 09/11-10/14",IF(AND(H8&lt;&gt;"None",H8&lt;&gt;"",S8&lt;&gt;"",S8&lt;&gt;0,E8&lt;=S8),"⚠ Pred conflict","✓ OK")))</f>
        <v/>
      </c>
      <c r="R8" s="5">
        <f>IF(L8=1,"Completed",IF(F8&lt;Dashboard!$B$2,"Overdue",IF(AND(E8&lt;=Dashboard!$B$2,F8&gt;=Dashboard!$B$2),IF(L8&gt;0,"Active","At Risk"),IF(E8&gt;Dashboard!$B$2,"Upcoming","At Risk"))))</f>
        <v/>
      </c>
      <c r="S8" s="9">
        <f>IF(OR(H8="",H8="None"),"",LET(ids,TEXTSPLIT(H8,", ",,TRUE),MAX(XLOOKUP(ids,$A$2:$A$35,$F$2:$F$35,0))))</f>
        <v/>
      </c>
    </row>
    <row r="9">
      <c r="A9" t="inlineStr">
        <is>
          <t>T08</t>
        </is>
      </c>
      <c r="B9" t="inlineStr">
        <is>
          <t>Phase 2: Governed Data Plane &amp; Central Storage</t>
        </is>
      </c>
      <c r="C9" s="2" t="inlineStr">
        <is>
          <t>Configure Artifact &amp; Evidence Registry (ART) for UUID/hash deliverables</t>
        </is>
      </c>
      <c r="D9" s="2" t="inlineStr">
        <is>
          <t>Configure Artifact &amp; Evidence Registry for UUID/hash deliverables: content-addressable storage, SHA-256 validation, copy packs, code diffs, dossiers.</t>
        </is>
      </c>
      <c r="E9" s="4" t="n">
        <v>46281</v>
      </c>
      <c r="F9" s="4" t="n">
        <v>46283</v>
      </c>
      <c r="G9" s="5">
        <f>IF(AND(E9&lt;&gt;"",F9&lt;&gt;""),F9-E9+1,"")</f>
        <v/>
      </c>
      <c r="H9" s="6" t="inlineStr">
        <is>
          <t>T05</t>
        </is>
      </c>
      <c r="I9" s="6" t="inlineStr">
        <is>
          <t>FS</t>
        </is>
      </c>
      <c r="J9" s="6" t="inlineStr">
        <is>
          <t>Artifact &amp; Evidence Registry (ART)</t>
        </is>
      </c>
      <c r="K9" s="6" t="inlineStr">
        <is>
          <t>Completed</t>
        </is>
      </c>
      <c r="L9" s="7" t="n">
        <v>1</v>
      </c>
      <c r="M9" s="6" t="inlineStr">
        <is>
          <t>NO</t>
        </is>
      </c>
      <c r="N9" s="6" t="inlineStr">
        <is>
          <t>M2</t>
        </is>
      </c>
      <c r="O9" s="6" t="inlineStr">
        <is>
          <t>Medium</t>
        </is>
      </c>
      <c r="P9" s="8" t="inlineStr">
        <is>
          <t>Content-addressable artifact storage with UUID and SHA-256 hash validation defined. [INFERRED: 100%]</t>
        </is>
      </c>
      <c r="Q9" s="5">
        <f>IF(F9&lt;E9,"⚠ End &lt; Start",IF(OR(E9&lt;DATE(2026,9,11),F9&gt;DATE(2026,10,14)),"⚠ Outside 09/11-10/14",IF(AND(H9&lt;&gt;"None",H9&lt;&gt;"",S9&lt;&gt;"",S9&lt;&gt;0,E9&lt;=S9),"⚠ Pred conflict","✓ OK")))</f>
        <v/>
      </c>
      <c r="R9" s="5">
        <f>IF(L9=1,"Completed",IF(F9&lt;Dashboard!$B$2,"Overdue",IF(AND(E9&lt;=Dashboard!$B$2,F9&gt;=Dashboard!$B$2),IF(L9&gt;0,"Active","At Risk"),IF(E9&gt;Dashboard!$B$2,"Upcoming","At Risk"))))</f>
        <v/>
      </c>
      <c r="S9" s="9">
        <f>IF(OR(H9="",H9="None"),"",LET(ids,TEXTSPLIT(H9,", ",,TRUE),MAX(XLOOKUP(ids,$A$2:$A$35,$F$2:$F$35,0))))</f>
        <v/>
      </c>
    </row>
    <row r="10">
      <c r="A10" t="inlineStr">
        <is>
          <t>T09</t>
        </is>
      </c>
      <c r="B10" t="inlineStr">
        <is>
          <t>Phase 2: Governed Data Plane &amp; Central Storage</t>
        </is>
      </c>
      <c r="C10" s="2" t="inlineStr">
        <is>
          <t>Deploy Governed MCP Data Boundary CRUD gateways &amp; connection pools</t>
        </is>
      </c>
      <c r="D10" s="2" t="inlineStr">
        <is>
          <t>Deploy Governed MCP Data Boundary CRUD gateways &amp; connection pools: schema-validated read/write facades over CDB, CMS, MEM, ART.</t>
        </is>
      </c>
      <c r="E10" s="4" t="n">
        <v>46281</v>
      </c>
      <c r="F10" s="4" t="n">
        <v>46283</v>
      </c>
      <c r="G10" s="5">
        <f>IF(AND(E10&lt;&gt;"",F10&lt;&gt;""),F10-E10+1,"")</f>
        <v/>
      </c>
      <c r="H10" s="6" t="inlineStr">
        <is>
          <t>T05, T06, T07</t>
        </is>
      </c>
      <c r="I10" s="6" t="inlineStr">
        <is>
          <t>FS</t>
        </is>
      </c>
      <c r="J10" s="6" t="inlineStr">
        <is>
          <t>Governed MCP Data Boundary</t>
        </is>
      </c>
      <c r="K10" s="6" t="inlineStr">
        <is>
          <t>Completed</t>
        </is>
      </c>
      <c r="L10" s="7" t="n">
        <v>1</v>
      </c>
      <c r="M10" s="6" t="inlineStr">
        <is>
          <t>NO</t>
        </is>
      </c>
      <c r="N10" s="6" t="inlineStr">
        <is>
          <t>M2</t>
        </is>
      </c>
      <c r="O10" s="6" t="inlineStr">
        <is>
          <t>Critical</t>
        </is>
      </c>
      <c r="P10" s="8" t="inlineStr">
        <is>
          <t>MCP Data Boundary read/write CRUD capability facades verified against storage layer. [INFERRED: 100%]</t>
        </is>
      </c>
      <c r="Q10" s="5">
        <f>IF(F10&lt;E10,"⚠ End &lt; Start",IF(OR(E10&lt;DATE(2026,9,11),F10&gt;DATE(2026,10,14)),"⚠ Outside 09/11-10/14",IF(AND(H10&lt;&gt;"None",H10&lt;&gt;"",S10&lt;&gt;"",S10&lt;&gt;0,E10&lt;=S10),"⚠ Pred conflict","✓ OK")))</f>
        <v/>
      </c>
      <c r="R10" s="5">
        <f>IF(L10=1,"Completed",IF(F10&lt;Dashboard!$B$2,"Overdue",IF(AND(E10&lt;=Dashboard!$B$2,F10&gt;=Dashboard!$B$2),IF(L10&gt;0,"Active","At Risk"),IF(E10&gt;Dashboard!$B$2,"Upcoming","At Risk"))))</f>
        <v/>
      </c>
      <c r="S10" s="9">
        <f>IF(OR(H10="",H10="None"),"",LET(ids,TEXTSPLIT(H10,", ",,TRUE),MAX(XLOOKUP(ids,$A$2:$A$35,$F$2:$F$35,0))))</f>
        <v/>
      </c>
    </row>
    <row r="11">
      <c r="A11" t="inlineStr">
        <is>
          <t>T10</t>
        </is>
      </c>
      <c r="B11" t="inlineStr">
        <is>
          <t>Phase 2: Governed Data Plane &amp; Central Storage</t>
        </is>
      </c>
      <c r="C11" s="2" t="inlineStr">
        <is>
          <t>Configure Agentic RAG Controller with tenant isolation &amp; freshness gates</t>
        </is>
      </c>
      <c r="D11" s="2" t="inlineStr">
        <is>
          <t>Configure Agentic RAG Controller with tenant isolation, freshness gates, provenance attestation, vector indexing. Exclusive broker under Model A.</t>
        </is>
      </c>
      <c r="E11" s="4" t="n">
        <v>46283</v>
      </c>
      <c r="F11" s="4" t="n">
        <v>46284</v>
      </c>
      <c r="G11" s="5">
        <f>IF(AND(E11&lt;&gt;"",F11&lt;&gt;""),F11-E11+1,"")</f>
        <v/>
      </c>
      <c r="H11" s="6" t="inlineStr">
        <is>
          <t>T03, T09</t>
        </is>
      </c>
      <c r="I11" s="6" t="inlineStr">
        <is>
          <t>FS</t>
        </is>
      </c>
      <c r="J11" s="6" t="inlineStr">
        <is>
          <t>Agentic RAG Controller</t>
        </is>
      </c>
      <c r="K11" s="6" t="inlineStr">
        <is>
          <t>Completed</t>
        </is>
      </c>
      <c r="L11" s="7" t="n">
        <v>1</v>
      </c>
      <c r="M11" s="6" t="inlineStr">
        <is>
          <t>YES</t>
        </is>
      </c>
      <c r="N11" s="6" t="inlineStr">
        <is>
          <t>M2</t>
        </is>
      </c>
      <c r="O11" s="6" t="inlineStr">
        <is>
          <t>Critical</t>
        </is>
      </c>
      <c r="P11" s="8" t="inlineStr">
        <is>
          <t>Model A Agentic RAG Controller deployed with tenant-scoped filtering and provenance tagging. [INFERRED: 100%]</t>
        </is>
      </c>
      <c r="Q11" s="5">
        <f>IF(F11&lt;E11,"⚠ End &lt; Start",IF(OR(E11&lt;DATE(2026,9,11),F11&gt;DATE(2026,10,14)),"⚠ Outside 09/11-10/14",IF(AND(H11&lt;&gt;"None",H11&lt;&gt;"",S11&lt;&gt;"",S11&lt;&gt;0,E11&lt;=S11),"⚠ Pred conflict","✓ OK")))</f>
        <v/>
      </c>
      <c r="R11" s="5">
        <f>IF(L11=1,"Completed",IF(F11&lt;Dashboard!$B$2,"Overdue",IF(AND(E11&lt;=Dashboard!$B$2,F11&gt;=Dashboard!$B$2),IF(L11&gt;0,"Active","At Risk"),IF(E11&gt;Dashboard!$B$2,"Upcoming","At Risk"))))</f>
        <v/>
      </c>
      <c r="S11" s="9">
        <f>IF(OR(H11="",H11="None"),"",LET(ids,TEXTSPLIT(H11,", ",,TRUE),MAX(XLOOKUP(ids,$A$2:$A$35,$F$2:$F$35,0))))</f>
        <v/>
      </c>
    </row>
    <row r="12">
      <c r="A12" t="inlineStr">
        <is>
          <t>T11</t>
        </is>
      </c>
      <c r="B12" t="inlineStr">
        <is>
          <t>Phase 3: Sandbox Isolation &amp; Sub-Agent Readiness</t>
        </is>
      </c>
      <c r="C12" s="2" t="inlineStr">
        <is>
          <t>Deploy agent_sandbox with cgroups, seccomp, and tmpfs isolation</t>
        </is>
      </c>
      <c r="D12" s="2" t="inlineStr">
        <is>
          <t>Deploy agent_sandbox with cgroups, seccomp, tmpfs isolation: micro-VM/container layer for all ephemeral sub-agents and micro-tools.</t>
        </is>
      </c>
      <c r="E12" s="4" t="n">
        <v>46283</v>
      </c>
      <c r="F12" s="4" t="n">
        <v>46285</v>
      </c>
      <c r="G12" s="5">
        <f>IF(AND(E12&lt;&gt;"",F12&lt;&gt;""),F12-E12+1,"")</f>
        <v/>
      </c>
      <c r="H12" s="6" t="inlineStr">
        <is>
          <t>T03</t>
        </is>
      </c>
      <c r="I12" s="6" t="inlineStr">
        <is>
          <t>FS</t>
        </is>
      </c>
      <c r="J12" s="6" t="inlineStr">
        <is>
          <t>Sandbox Controller (agent_sandbox)</t>
        </is>
      </c>
      <c r="K12" s="6" t="inlineStr">
        <is>
          <t>Completed</t>
        </is>
      </c>
      <c r="L12" s="7" t="n">
        <v>1</v>
      </c>
      <c r="M12" s="6" t="inlineStr">
        <is>
          <t>NO</t>
        </is>
      </c>
      <c r="N12" s="6" t="inlineStr">
        <is>
          <t>M3</t>
        </is>
      </c>
      <c r="O12" s="6" t="inlineStr">
        <is>
          <t>Critical</t>
        </is>
      </c>
      <c r="P12" s="8" t="inlineStr">
        <is>
          <t>agent_sandbox (AIO Sandbox) virtualized container environment instantiated. [INFERRED: 100%]</t>
        </is>
      </c>
      <c r="Q12" s="5">
        <f>IF(F12&lt;E12,"⚠ End &lt; Start",IF(OR(E12&lt;DATE(2026,9,11),F12&gt;DATE(2026,10,14)),"⚠ Outside 09/11-10/14",IF(AND(H12&lt;&gt;"None",H12&lt;&gt;"",S12&lt;&gt;"",S12&lt;&gt;0,E12&lt;=S12),"⚠ Pred conflict","✓ OK")))</f>
        <v/>
      </c>
      <c r="R12" s="5">
        <f>IF(L12=1,"Completed",IF(F12&lt;Dashboard!$B$2,"Overdue",IF(AND(E12&lt;=Dashboard!$B$2,F12&gt;=Dashboard!$B$2),IF(L12&gt;0,"Active","At Risk"),IF(E12&gt;Dashboard!$B$2,"Upcoming","At Risk"))))</f>
        <v/>
      </c>
      <c r="S12" s="9">
        <f>IF(OR(H12="",H12="None"),"",LET(ids,TEXTSPLIT(H12,", ",,TRUE),MAX(XLOOKUP(ids,$A$2:$A$35,$F$2:$F$35,0))))</f>
        <v/>
      </c>
    </row>
    <row r="13">
      <c r="A13" t="inlineStr">
        <is>
          <t>T12</t>
        </is>
      </c>
      <c r="B13" t="inlineStr">
        <is>
          <t>Phase 3: Sandbox Isolation &amp; Sub-Agent Readiness</t>
        </is>
      </c>
      <c r="C13" s="2" t="inlineStr">
        <is>
          <t>Configure sandbox network proxy with strict egress allowlisting (DENY_ALL)</t>
        </is>
      </c>
      <c r="D13" s="2" t="inlineStr">
        <is>
          <t>Configure sandbox network proxy with strict egress allowlisting (DENY_ALL): default deny, domain-whitelisted proxy for S_SCRAPE, block metadata endpoints.</t>
        </is>
      </c>
      <c r="E13" s="4" t="n">
        <v>46285</v>
      </c>
      <c r="F13" s="4" t="n">
        <v>46286</v>
      </c>
      <c r="G13" s="5">
        <f>IF(AND(E13&lt;&gt;"",F13&lt;&gt;""),F13-E13+1,"")</f>
        <v/>
      </c>
      <c r="H13" s="6" t="inlineStr">
        <is>
          <t>T11</t>
        </is>
      </c>
      <c r="I13" s="6" t="inlineStr">
        <is>
          <t>FS</t>
        </is>
      </c>
      <c r="J13" s="6" t="inlineStr">
        <is>
          <t>Sandbox Controller (agent_sandbox)</t>
        </is>
      </c>
      <c r="K13" s="6" t="inlineStr">
        <is>
          <t>Completed</t>
        </is>
      </c>
      <c r="L13" s="7" t="n">
        <v>1</v>
      </c>
      <c r="M13" s="6" t="inlineStr">
        <is>
          <t>NO</t>
        </is>
      </c>
      <c r="N13" s="6" t="inlineStr">
        <is>
          <t>M3</t>
        </is>
      </c>
      <c r="O13" s="6" t="inlineStr">
        <is>
          <t>High</t>
        </is>
      </c>
      <c r="P13" s="8" t="inlineStr">
        <is>
          <t>Network egress firewall configured with default DENY_ALL policy and domain whitelist proxy. [INFERRED: 100%]</t>
        </is>
      </c>
      <c r="Q13" s="5">
        <f>IF(F13&lt;E13,"⚠ End &lt; Start",IF(OR(E13&lt;DATE(2026,9,11),F13&gt;DATE(2026,10,14)),"⚠ Outside 09/11-10/14",IF(AND(H13&lt;&gt;"None",H13&lt;&gt;"",S13&lt;&gt;"",S13&lt;&gt;0,E13&lt;=S13),"⚠ Pred conflict","✓ OK")))</f>
        <v/>
      </c>
      <c r="R13" s="5">
        <f>IF(L13=1,"Completed",IF(F13&lt;Dashboard!$B$2,"Overdue",IF(AND(E13&lt;=Dashboard!$B$2,F13&gt;=Dashboard!$B$2),IF(L13&gt;0,"Active","At Risk"),IF(E13&gt;Dashboard!$B$2,"Upcoming","At Risk"))))</f>
        <v/>
      </c>
      <c r="S13" s="9">
        <f>IF(OR(H13="",H13="None"),"",LET(ids,TEXTSPLIT(H13,", ",,TRUE),MAX(XLOOKUP(ids,$A$2:$A$35,$F$2:$F$35,0))))</f>
        <v/>
      </c>
    </row>
    <row r="14">
      <c r="A14" t="inlineStr">
        <is>
          <t>T13</t>
        </is>
      </c>
      <c r="B14" t="inlineStr">
        <is>
          <t>Phase 3: Sandbox Isolation &amp; Sub-Agent Readiness</t>
        </is>
      </c>
      <c r="C14" s="2" t="inlineStr">
        <is>
          <t>Implement sandbox execution audit interception to W3C PROV ledger</t>
        </is>
      </c>
      <c r="D14" s="2" t="inlineStr">
        <is>
          <t>Implement sandbox execution audit interception to W3C PROV ledger: syscall, memory, exit code, stderr streaming to immutable audit log.</t>
        </is>
      </c>
      <c r="E14" s="4" t="n">
        <v>46286</v>
      </c>
      <c r="F14" s="4" t="n">
        <v>46287</v>
      </c>
      <c r="G14" s="5">
        <f>IF(AND(E14&lt;&gt;"",F14&lt;&gt;""),F14-E14+1,"")</f>
        <v/>
      </c>
      <c r="H14" s="6" t="inlineStr">
        <is>
          <t>T11, T12</t>
        </is>
      </c>
      <c r="I14" s="6" t="inlineStr">
        <is>
          <t>FS</t>
        </is>
      </c>
      <c r="J14" s="6" t="inlineStr">
        <is>
          <t>Sandbox Controller &amp; W3C PROV Audit</t>
        </is>
      </c>
      <c r="K14" s="6" t="inlineStr">
        <is>
          <t>Completed</t>
        </is>
      </c>
      <c r="L14" s="7" t="n">
        <v>1</v>
      </c>
      <c r="M14" s="6" t="inlineStr">
        <is>
          <t>NO</t>
        </is>
      </c>
      <c r="N14" s="6" t="inlineStr">
        <is>
          <t>M3</t>
        </is>
      </c>
      <c r="O14" s="6" t="inlineStr">
        <is>
          <t>High</t>
        </is>
      </c>
      <c r="P14" s="8" t="inlineStr">
        <is>
          <t>Sandbox execution interceptor piped directly to W3C PROV audit logging service. [INFERRED: 100%]</t>
        </is>
      </c>
      <c r="Q14" s="5">
        <f>IF(F14&lt;E14,"⚠ End &lt; Start",IF(OR(E14&lt;DATE(2026,9,11),F14&gt;DATE(2026,10,14)),"⚠ Outside 09/11-10/14",IF(AND(H14&lt;&gt;"None",H14&lt;&gt;"",S14&lt;&gt;"",S14&lt;&gt;0,E14&lt;=S14),"⚠ Pred conflict","✓ OK")))</f>
        <v/>
      </c>
      <c r="R14" s="5">
        <f>IF(L14=1,"Completed",IF(F14&lt;Dashboard!$B$2,"Overdue",IF(AND(E14&lt;=Dashboard!$B$2,F14&gt;=Dashboard!$B$2),IF(L14&gt;0,"Active","At Risk"),IF(E14&gt;Dashboard!$B$2,"Upcoming","At Risk"))))</f>
        <v/>
      </c>
      <c r="S14" s="9">
        <f>IF(OR(H14="",H14="None"),"",LET(ids,TEXTSPLIT(H14,", ",,TRUE),MAX(XLOOKUP(ids,$A$2:$A$35,$F$2:$F$35,0))))</f>
        <v/>
      </c>
    </row>
    <row r="15">
      <c r="A15" t="inlineStr">
        <is>
          <t>T14</t>
        </is>
      </c>
      <c r="B15" t="inlineStr">
        <is>
          <t>Phase 3: Sandbox Isolation &amp; Sub-Agent Readiness</t>
        </is>
      </c>
      <c r="C15" s="2" t="inlineStr">
        <is>
          <t>Instantiate specialist sub-agent micro-tools (S_CODE to S_ATTR) in sandbox</t>
        </is>
      </c>
      <c r="D15" s="2" t="inlineStr">
        <is>
          <t>Instantiate specialist sub-agent micro-tools S_CODE to S_ATTR in sandbox: S_CODE, S_ALLOC, S_COPY, S_VAL, S_SCRAPE, S_PARSE, S_ATTR.</t>
        </is>
      </c>
      <c r="E15" s="4" t="n">
        <v>46286</v>
      </c>
      <c r="F15" s="4" t="n">
        <v>46288</v>
      </c>
      <c r="G15" s="5">
        <f>IF(AND(E15&lt;&gt;"",F15&lt;&gt;""),F15-E15+1,"")</f>
        <v/>
      </c>
      <c r="H15" s="6" t="inlineStr">
        <is>
          <t>T11, T12</t>
        </is>
      </c>
      <c r="I15" s="6" t="inlineStr">
        <is>
          <t>FS</t>
        </is>
      </c>
      <c r="J15" s="6" t="inlineStr">
        <is>
          <t>Specialist Sub-Agents (L4_SUBS)</t>
        </is>
      </c>
      <c r="K15" s="6" t="inlineStr">
        <is>
          <t>Completed</t>
        </is>
      </c>
      <c r="L15" s="7" t="n">
        <v>1</v>
      </c>
      <c r="M15" s="6" t="inlineStr">
        <is>
          <t>YES</t>
        </is>
      </c>
      <c r="N15" s="6" t="inlineStr">
        <is>
          <t>M3</t>
        </is>
      </c>
      <c r="O15" s="6" t="inlineStr">
        <is>
          <t>Critical</t>
        </is>
      </c>
      <c r="P15" s="8" t="inlineStr">
        <is>
          <t>Specialist micro-tools (S_CODE through S_ATTR) containerized inside sandbox. [INFERRED: 100%]</t>
        </is>
      </c>
      <c r="Q15" s="5">
        <f>IF(F15&lt;E15,"⚠ End &lt; Start",IF(OR(E15&lt;DATE(2026,9,11),F15&gt;DATE(2026,10,14)),"⚠ Outside 09/11-10/14",IF(AND(H15&lt;&gt;"None",H15&lt;&gt;"",S15&lt;&gt;"",S15&lt;&gt;0,E15&lt;=S15),"⚠ Pred conflict","✓ OK")))</f>
        <v/>
      </c>
      <c r="R15" s="5">
        <f>IF(L15=1,"Completed",IF(F15&lt;Dashboard!$B$2,"Overdue",IF(AND(E15&lt;=Dashboard!$B$2,F15&gt;=Dashboard!$B$2),IF(L15&gt;0,"Active","At Risk"),IF(E15&gt;Dashboard!$B$2,"Upcoming","At Risk"))))</f>
        <v/>
      </c>
      <c r="S15" s="9">
        <f>IF(OR(H15="",H15="None"),"",LET(ids,TEXTSPLIT(H15,", ",,TRUE),MAX(XLOOKUP(ids,$A$2:$A$35,$F$2:$F$35,0))))</f>
        <v/>
      </c>
    </row>
    <row r="16">
      <c r="A16" t="inlineStr">
        <is>
          <t>T15</t>
        </is>
      </c>
      <c r="B16" t="inlineStr">
        <is>
          <t>Phase 4: Domain Intelligence &amp; Asset Synthesis</t>
        </is>
      </c>
      <c r="C16" s="2" t="inlineStr">
        <is>
          <t>Configure Intelligence Engine context assembly &amp; brand persona layer</t>
        </is>
      </c>
      <c r="D16" s="2" t="inlineStr">
        <is>
          <t>Configure Intelligence Engine context assembly &amp; brand persona layer: dynamic context, task grants, brand persona, upward evidence synthesis gates.</t>
        </is>
      </c>
      <c r="E16" s="4" t="n">
        <v>46288</v>
      </c>
      <c r="F16" s="4" t="n">
        <v>46289</v>
      </c>
      <c r="G16" s="5">
        <f>IF(AND(E16&lt;&gt;"",F16&lt;&gt;""),F16-E16+1,"")</f>
        <v/>
      </c>
      <c r="H16" s="6" t="inlineStr">
        <is>
          <t>T04, T10</t>
        </is>
      </c>
      <c r="I16" s="6" t="inlineStr">
        <is>
          <t>FS</t>
        </is>
      </c>
      <c r="J16" s="6" t="inlineStr">
        <is>
          <t>Intelligence Engine (IE)</t>
        </is>
      </c>
      <c r="K16" s="6" t="inlineStr">
        <is>
          <t>Completed</t>
        </is>
      </c>
      <c r="L16" s="7" t="n">
        <v>1</v>
      </c>
      <c r="M16" s="6" t="inlineStr">
        <is>
          <t>NO</t>
        </is>
      </c>
      <c r="N16" s="6" t="inlineStr">
        <is>
          <t>M4</t>
        </is>
      </c>
      <c r="O16" s="6" t="inlineStr">
        <is>
          <t>Critical</t>
        </is>
      </c>
      <c r="P16" s="8" t="inlineStr">
        <is>
          <t>Intelligence Engine context assembler and brand persona layer initialized. [INFERRED: 100%]</t>
        </is>
      </c>
      <c r="Q16" s="5">
        <f>IF(F16&lt;E16,"⚠ End &lt; Start",IF(OR(E16&lt;DATE(2026,9,11),F16&gt;DATE(2026,10,14)),"⚠ Outside 09/11-10/14",IF(AND(H16&lt;&gt;"None",H16&lt;&gt;"",S16&lt;&gt;"",S16&lt;&gt;0,E16&lt;=S16),"⚠ Pred conflict","✓ OK")))</f>
        <v/>
      </c>
      <c r="R16" s="5">
        <f>IF(L16=1,"Completed",IF(F16&lt;Dashboard!$B$2,"Overdue",IF(AND(E16&lt;=Dashboard!$B$2,F16&gt;=Dashboard!$B$2),IF(L16&gt;0,"Active","At Risk"),IF(E16&gt;Dashboard!$B$2,"Upcoming","At Risk"))))</f>
        <v/>
      </c>
      <c r="S16" s="9">
        <f>IF(OR(H16="",H16="None"),"",LET(ids,TEXTSPLIT(H16,", ",,TRUE),MAX(XLOOKUP(ids,$A$2:$A$35,$F$2:$F$35,0))))</f>
        <v/>
      </c>
    </row>
    <row r="17">
      <c r="A17" t="inlineStr">
        <is>
          <t>T16</t>
        </is>
      </c>
      <c r="B17" t="inlineStr">
        <is>
          <t>Phase 4: Domain Intelligence &amp; Asset Synthesis</t>
        </is>
      </c>
      <c r="C17" s="2" t="inlineStr">
        <is>
          <t>Ingest &amp; verify product formulations and compliance dossiers (W_PROD)</t>
        </is>
      </c>
      <c r="D17" s="2" t="inlineStr">
        <is>
          <t>Ingest &amp; verify product formulations and compliance dossiers (W_PROD): clinical evidence mapping, regulatory claim linters via S_VAL.</t>
        </is>
      </c>
      <c r="E17" s="4" t="n">
        <v>46289</v>
      </c>
      <c r="F17" s="4" t="n">
        <v>46291</v>
      </c>
      <c r="G17" s="5">
        <f>IF(AND(E17&lt;&gt;"",F17&lt;&gt;""),F17-E17+1,"")</f>
        <v/>
      </c>
      <c r="H17" s="6" t="inlineStr">
        <is>
          <t>T10, T14, T15</t>
        </is>
      </c>
      <c r="I17" s="6" t="inlineStr">
        <is>
          <t>FS</t>
        </is>
      </c>
      <c r="J17" s="6" t="inlineStr">
        <is>
          <t>Product / Evidence Engine &amp; S_VAL</t>
        </is>
      </c>
      <c r="K17" s="6" t="inlineStr">
        <is>
          <t>Completed</t>
        </is>
      </c>
      <c r="L17" s="7" t="n">
        <v>1</v>
      </c>
      <c r="M17" s="6" t="inlineStr">
        <is>
          <t>NO</t>
        </is>
      </c>
      <c r="N17" s="6" t="inlineStr">
        <is>
          <t>M4</t>
        </is>
      </c>
      <c r="O17" s="6" t="inlineStr">
        <is>
          <t>High</t>
        </is>
      </c>
      <c r="P17" s="8" t="inlineStr">
        <is>
          <t>W_PROD specifications mapped and verified against regulatory claim linters (S_VAL). [INFERRED: 100%]</t>
        </is>
      </c>
      <c r="Q17" s="5">
        <f>IF(F17&lt;E17,"⚠ End &lt; Start",IF(OR(E17&lt;DATE(2026,9,11),F17&gt;DATE(2026,10,14)),"⚠ Outside 09/11-10/14",IF(AND(H17&lt;&gt;"None",H17&lt;&gt;"",S17&lt;&gt;"",S17&lt;&gt;0,E17&lt;=S17),"⚠ Pred conflict","✓ OK")))</f>
        <v/>
      </c>
      <c r="R17" s="5">
        <f>IF(L17=1,"Completed",IF(F17&lt;Dashboard!$B$2,"Overdue",IF(AND(E17&lt;=Dashboard!$B$2,F17&gt;=Dashboard!$B$2),IF(L17&gt;0,"Active","At Risk"),IF(E17&gt;Dashboard!$B$2,"Upcoming","At Risk"))))</f>
        <v/>
      </c>
      <c r="S17" s="9">
        <f>IF(OR(H17="",H17="None"),"",LET(ids,TEXTSPLIT(H17,", ",,TRUE),MAX(XLOOKUP(ids,$A$2:$A$35,$F$2:$F$35,0))))</f>
        <v/>
      </c>
    </row>
    <row r="18">
      <c r="A18" t="inlineStr">
        <is>
          <t>T17</t>
        </is>
      </c>
      <c r="B18" t="inlineStr">
        <is>
          <t>Phase 4: Domain Intelligence &amp; Asset Synthesis</t>
        </is>
      </c>
      <c r="C18" s="2" t="inlineStr">
        <is>
          <t>Ingest &amp; parse customer support tickets and review sentiment (W_VOICE)</t>
        </is>
      </c>
      <c r="D18" s="2" t="inlineStr">
        <is>
          <t>Ingest &amp; parse customer support tickets and review sentiment (W_VOICE): sentiment vectors, objection clustering via S_PARSE.</t>
        </is>
      </c>
      <c r="E18" s="4" t="n">
        <v>46289</v>
      </c>
      <c r="F18" s="4" t="n">
        <v>46291</v>
      </c>
      <c r="G18" s="5">
        <f>IF(AND(E18&lt;&gt;"",F18&lt;&gt;""),F18-E18+1,"")</f>
        <v/>
      </c>
      <c r="H18" s="6" t="inlineStr">
        <is>
          <t>T10, T14, T15</t>
        </is>
      </c>
      <c r="I18" s="6" t="inlineStr">
        <is>
          <t>FS</t>
        </is>
      </c>
      <c r="J18" s="6" t="inlineStr">
        <is>
          <t>Customer Voice Engine &amp; S_PARSE</t>
        </is>
      </c>
      <c r="K18" s="6" t="inlineStr">
        <is>
          <t>Completed</t>
        </is>
      </c>
      <c r="L18" s="7" t="n">
        <v>1</v>
      </c>
      <c r="M18" s="6" t="inlineStr">
        <is>
          <t>NO</t>
        </is>
      </c>
      <c r="N18" s="6" t="inlineStr">
        <is>
          <t>M4</t>
        </is>
      </c>
      <c r="O18" s="6" t="inlineStr">
        <is>
          <t>High</t>
        </is>
      </c>
      <c r="P18" s="8" t="inlineStr">
        <is>
          <t>W_VOICE sentiment analysis and customer objection clustering completed (S_PARSE). [INFERRED: 100%]</t>
        </is>
      </c>
      <c r="Q18" s="5">
        <f>IF(F18&lt;E18,"⚠ End &lt; Start",IF(OR(E18&lt;DATE(2026,9,11),F18&gt;DATE(2026,10,14)),"⚠ Outside 09/11-10/14",IF(AND(H18&lt;&gt;"None",H18&lt;&gt;"",S18&lt;&gt;"",S18&lt;&gt;0,E18&lt;=S18),"⚠ Pred conflict","✓ OK")))</f>
        <v/>
      </c>
      <c r="R18" s="5">
        <f>IF(L18=1,"Completed",IF(F18&lt;Dashboard!$B$2,"Overdue",IF(AND(E18&lt;=Dashboard!$B$2,F18&gt;=Dashboard!$B$2),IF(L18&gt;0,"Active","At Risk"),IF(E18&gt;Dashboard!$B$2,"Upcoming","At Risk"))))</f>
        <v/>
      </c>
      <c r="S18" s="9">
        <f>IF(OR(H18="",H18="None"),"",LET(ids,TEXTSPLIT(H18,", ",,TRUE),MAX(XLOOKUP(ids,$A$2:$A$35,$F$2:$F$35,0))))</f>
        <v/>
      </c>
    </row>
    <row r="19">
      <c r="A19" t="inlineStr">
        <is>
          <t>T18</t>
        </is>
      </c>
      <c r="B19" t="inlineStr">
        <is>
          <t>Phase 4: Domain Intelligence &amp; Asset Synthesis</t>
        </is>
      </c>
      <c r="C19" s="2" t="inlineStr">
        <is>
          <t>Scrape competitor ad libraries, pricing, and market positioning (W_COMP)</t>
        </is>
      </c>
      <c r="D19" s="2" t="inlineStr">
        <is>
          <t>Scrape competitor ad libraries, pricing, market positioning (W_COMP): price benchmarks, ad copy trends via S_SCRAPE with proxy allowlist.</t>
        </is>
      </c>
      <c r="E19" s="4" t="n">
        <v>46289</v>
      </c>
      <c r="F19" s="4" t="n">
        <v>46291</v>
      </c>
      <c r="G19" s="5">
        <f>IF(AND(E19&lt;&gt;"",F19&lt;&gt;""),F19-E19+1,"")</f>
        <v/>
      </c>
      <c r="H19" s="6" t="inlineStr">
        <is>
          <t>T12, T14, T15</t>
        </is>
      </c>
      <c r="I19" s="6" t="inlineStr">
        <is>
          <t>FS</t>
        </is>
      </c>
      <c r="J19" s="6" t="inlineStr">
        <is>
          <t>Competitor Intel Engine &amp; S_SCRAPE</t>
        </is>
      </c>
      <c r="K19" s="6" t="inlineStr">
        <is>
          <t>Completed</t>
        </is>
      </c>
      <c r="L19" s="7" t="n">
        <v>1</v>
      </c>
      <c r="M19" s="6" t="inlineStr">
        <is>
          <t>NO</t>
        </is>
      </c>
      <c r="N19" s="6" t="inlineStr">
        <is>
          <t>M4</t>
        </is>
      </c>
      <c r="O19" s="6" t="inlineStr">
        <is>
          <t>High</t>
        </is>
      </c>
      <c r="P19" s="8" t="inlineStr">
        <is>
          <t>W_COMP ad library scraping and competitor pricing benchmark extraction verified (S_SCRAPE). [INFERRED: 100%]</t>
        </is>
      </c>
      <c r="Q19" s="5">
        <f>IF(F19&lt;E19,"⚠ End &lt; Start",IF(OR(E19&lt;DATE(2026,9,11),F19&gt;DATE(2026,10,14)),"⚠ Outside 09/11-10/14",IF(AND(H19&lt;&gt;"None",H19&lt;&gt;"",S19&lt;&gt;"",S19&lt;&gt;0,E19&lt;=S19),"⚠ Pred conflict","✓ OK")))</f>
        <v/>
      </c>
      <c r="R19" s="5">
        <f>IF(L19=1,"Completed",IF(F19&lt;Dashboard!$B$2,"Overdue",IF(AND(E19&lt;=Dashboard!$B$2,F19&gt;=Dashboard!$B$2),IF(L19&gt;0,"Active","At Risk"),IF(E19&gt;Dashboard!$B$2,"Upcoming","At Risk"))))</f>
        <v/>
      </c>
      <c r="S19" s="9">
        <f>IF(OR(H19="",H19="None"),"",LET(ids,TEXTSPLIT(H19,", ",,TRUE),MAX(XLOOKUP(ids,$A$2:$A$35,$F$2:$F$35,0))))</f>
        <v/>
      </c>
    </row>
    <row r="20">
      <c r="A20" t="inlineStr">
        <is>
          <t>T19</t>
        </is>
      </c>
      <c r="B20" t="inlineStr">
        <is>
          <t>Phase 4: Domain Intelligence &amp; Asset Synthesis</t>
        </is>
      </c>
      <c r="C20" s="2" t="inlineStr">
        <is>
          <t>Develop omnichannel marketing roadmaps &amp; budget allocations (W_STRAT)</t>
        </is>
      </c>
      <c r="D20" s="2" t="inlineStr">
        <is>
          <t>Develop omnichannel marketing roadmaps &amp; budget allocations (W_STRAT): media mix, funnel models, budget proposals via S_ALLOC.</t>
        </is>
      </c>
      <c r="E20" s="4" t="n">
        <v>46291</v>
      </c>
      <c r="F20" s="4" t="n">
        <v>46294</v>
      </c>
      <c r="G20" s="5">
        <f>IF(AND(E20&lt;&gt;"",F20&lt;&gt;""),F20-E20+1,"")</f>
        <v/>
      </c>
      <c r="H20" s="6" t="inlineStr">
        <is>
          <t>T16, T17, T18</t>
        </is>
      </c>
      <c r="I20" s="6" t="inlineStr">
        <is>
          <t>FS</t>
        </is>
      </c>
      <c r="J20" s="6" t="inlineStr">
        <is>
          <t>Strategy Engine &amp; S_ALLOC</t>
        </is>
      </c>
      <c r="K20" s="6" t="inlineStr">
        <is>
          <t>Completed</t>
        </is>
      </c>
      <c r="L20" s="7" t="n">
        <v>1</v>
      </c>
      <c r="M20" s="6" t="inlineStr">
        <is>
          <t>NO</t>
        </is>
      </c>
      <c r="N20" s="6" t="inlineStr">
        <is>
          <t>M4</t>
        </is>
      </c>
      <c r="O20" s="6" t="inlineStr">
        <is>
          <t>Critical</t>
        </is>
      </c>
      <c r="P20" s="8" t="inlineStr">
        <is>
          <t>W_STRAT omnichannel media mix, budget allocation, and funnel models formulated (S_ALLOC). [INFERRED: 100%]</t>
        </is>
      </c>
      <c r="Q20" s="5">
        <f>IF(F20&lt;E20,"⚠ End &lt; Start",IF(OR(E20&lt;DATE(2026,9,11),F20&gt;DATE(2026,10,14)),"⚠ Outside 09/11-10/14",IF(AND(H20&lt;&gt;"None",H20&lt;&gt;"",S20&lt;&gt;"",S20&lt;&gt;0,E20&lt;=S20),"⚠ Pred conflict","✓ OK")))</f>
        <v/>
      </c>
      <c r="R20" s="5">
        <f>IF(L20=1,"Completed",IF(F20&lt;Dashboard!$B$2,"Overdue",IF(AND(E20&lt;=Dashboard!$B$2,F20&gt;=Dashboard!$B$2),IF(L20&gt;0,"Active","At Risk"),IF(E20&gt;Dashboard!$B$2,"Upcoming","At Risk"))))</f>
        <v/>
      </c>
      <c r="S20" s="9">
        <f>IF(OR(H20="",H20="None"),"",LET(ids,TEXTSPLIT(H20,", ",,TRUE),MAX(XLOOKUP(ids,$A$2:$A$35,$F$2:$F$35,0))))</f>
        <v/>
      </c>
    </row>
    <row r="21">
      <c r="A21" t="inlineStr">
        <is>
          <t>T20</t>
        </is>
      </c>
      <c r="B21" t="inlineStr">
        <is>
          <t>Phase 4: Domain Intelligence &amp; Asset Synthesis</t>
        </is>
      </c>
      <c r="C21" s="2" t="inlineStr">
        <is>
          <t>Generate creative ad copy variants, hooks, visual briefs &amp; posts (W_CREAT)</t>
        </is>
      </c>
      <c r="D21" s="2" t="inlineStr">
        <is>
          <t>Generate creative ad copy variants, hooks, visual briefs &amp; posts (W_CREAT): multi-channel copy, hooks, calendars via S_COPY, requires approved claims.</t>
        </is>
      </c>
      <c r="E21" s="4" t="n">
        <v>46294</v>
      </c>
      <c r="F21" s="4" t="n">
        <v>46297</v>
      </c>
      <c r="G21" s="5">
        <f>IF(AND(E21&lt;&gt;"",F21&lt;&gt;""),F21-E21+1,"")</f>
        <v/>
      </c>
      <c r="H21" s="6" t="inlineStr">
        <is>
          <t>T16, T19</t>
        </is>
      </c>
      <c r="I21" s="6" t="inlineStr">
        <is>
          <t>FS</t>
        </is>
      </c>
      <c r="J21" s="6" t="inlineStr">
        <is>
          <t>Creative &amp; Content Engine &amp; S_COPY</t>
        </is>
      </c>
      <c r="K21" s="6" t="inlineStr">
        <is>
          <t>Completed</t>
        </is>
      </c>
      <c r="L21" s="7" t="n">
        <v>1</v>
      </c>
      <c r="M21" s="6" t="inlineStr">
        <is>
          <t>YES</t>
        </is>
      </c>
      <c r="N21" s="6" t="inlineStr">
        <is>
          <t>M4</t>
        </is>
      </c>
      <c r="O21" s="6" t="inlineStr">
        <is>
          <t>High</t>
        </is>
      </c>
      <c r="P21" s="8" t="inlineStr">
        <is>
          <t>W_CREAT ad copy variants, hooks, social calendars, and visual briefs generated (S_COPY). [INFERRED: 100%]</t>
        </is>
      </c>
      <c r="Q21" s="5">
        <f>IF(F21&lt;E21,"⚠ End &lt; Start",IF(OR(E21&lt;DATE(2026,9,11),F21&gt;DATE(2026,10,14)),"⚠ Outside 09/11-10/14",IF(AND(H21&lt;&gt;"None",H21&lt;&gt;"",S21&lt;&gt;"",S21&lt;&gt;0,E21&lt;=S21),"⚠ Pred conflict","✓ OK")))</f>
        <v/>
      </c>
      <c r="R21" s="5">
        <f>IF(L21=1,"Completed",IF(F21&lt;Dashboard!$B$2,"Overdue",IF(AND(E21&lt;=Dashboard!$B$2,F21&gt;=Dashboard!$B$2),IF(L21&gt;0,"Active","At Risk"),IF(E21&gt;Dashboard!$B$2,"Upcoming","At Risk"))))</f>
        <v/>
      </c>
      <c r="S21" s="9">
        <f>IF(OR(H21="",H21="None"),"",LET(ids,TEXTSPLIT(H21,", ",,TRUE),MAX(XLOOKUP(ids,$A$2:$A$35,$F$2:$F$35,0))))</f>
        <v/>
      </c>
    </row>
    <row r="22">
      <c r="A22" t="inlineStr">
        <is>
          <t>T21</t>
        </is>
      </c>
      <c r="B22" t="inlineStr">
        <is>
          <t>Phase 4: Domain Intelligence &amp; Asset Synthesis</t>
        </is>
      </c>
      <c r="C22" s="2" t="inlineStr">
        <is>
          <t>Engineer responsive UI templates, CMS schemas &amp; code diffs (W_DEV)</t>
        </is>
      </c>
      <c r="D22" s="2" t="inlineStr">
        <is>
          <t>Engineer responsive UI templates, CMS schemas &amp; code diffs (W_DEV): UI components, layout templates, CMS schema changes via S_CODE.</t>
        </is>
      </c>
      <c r="E22" s="4" t="n">
        <v>46291</v>
      </c>
      <c r="F22" s="4" t="n">
        <v>46297</v>
      </c>
      <c r="G22" s="5">
        <f>IF(AND(E22&lt;&gt;"",F22&lt;&gt;""),F22-E22+1,"")</f>
        <v/>
      </c>
      <c r="H22" s="6" t="inlineStr">
        <is>
          <t>T06, T14, T15</t>
        </is>
      </c>
      <c r="I22" s="6" t="inlineStr">
        <is>
          <t>FS</t>
        </is>
      </c>
      <c r="J22" s="6" t="inlineStr">
        <is>
          <t>Development Engine &amp; S_CODE</t>
        </is>
      </c>
      <c r="K22" s="6" t="inlineStr">
        <is>
          <t>Completed</t>
        </is>
      </c>
      <c r="L22" s="7" t="n">
        <v>1</v>
      </c>
      <c r="M22" s="6" t="inlineStr">
        <is>
          <t>YES</t>
        </is>
      </c>
      <c r="N22" s="6" t="inlineStr">
        <is>
          <t>M4</t>
        </is>
      </c>
      <c r="O22" s="6" t="inlineStr">
        <is>
          <t>Critical</t>
        </is>
      </c>
      <c r="P22" s="8" t="inlineStr">
        <is>
          <t>W_DEV responsive UI templates, CMS schemas, and code diffs compiled (S_CODE). [INFERRED: 100%]</t>
        </is>
      </c>
      <c r="Q22" s="5">
        <f>IF(F22&lt;E22,"⚠ End &lt; Start",IF(OR(E22&lt;DATE(2026,9,11),F22&gt;DATE(2026,10,14)),"⚠ Outside 09/11-10/14",IF(AND(H22&lt;&gt;"None",H22&lt;&gt;"",S22&lt;&gt;"",S22&lt;&gt;0,E22&lt;=S22),"⚠ Pred conflict","✓ OK")))</f>
        <v/>
      </c>
      <c r="R22" s="5">
        <f>IF(L22=1,"Completed",IF(F22&lt;Dashboard!$B$2,"Overdue",IF(AND(E22&lt;=Dashboard!$B$2,F22&gt;=Dashboard!$B$2),IF(L22&gt;0,"Active","At Risk"),IF(E22&gt;Dashboard!$B$2,"Upcoming","At Risk"))))</f>
        <v/>
      </c>
      <c r="S22" s="9">
        <f>IF(OR(H22="",H22="None"),"",LET(ids,TEXTSPLIT(H22,", ",,TRUE),MAX(XLOOKUP(ids,$A$2:$A$35,$F$2:$F$35,0))))</f>
        <v/>
      </c>
    </row>
    <row r="23">
      <c r="A23" t="inlineStr">
        <is>
          <t>T22</t>
        </is>
      </c>
      <c r="B23" t="inlineStr">
        <is>
          <t>Phase 5: Evidence Consolidation &amp; HITL</t>
        </is>
      </c>
      <c r="C23" s="2" t="inlineStr">
        <is>
          <t>Consolidate worker evidence envelopes &amp; verify confidence intervals</t>
        </is>
      </c>
      <c r="D23" s="2" t="inlineStr">
        <is>
          <t>Consolidate worker evidence envelopes &amp; verify confidence intervals: compile W_STRAT, W_CREAT, W_DEV outputs into validated evidence for IE.</t>
        </is>
      </c>
      <c r="E23" s="4" t="n">
        <v>46297</v>
      </c>
      <c r="F23" s="4" t="n">
        <v>46299</v>
      </c>
      <c r="G23" s="5">
        <f>IF(AND(E23&lt;&gt;"",F23&lt;&gt;""),F23-E23+1,"")</f>
        <v/>
      </c>
      <c r="H23" s="6" t="inlineStr">
        <is>
          <t>T19, T20, T21</t>
        </is>
      </c>
      <c r="I23" s="6" t="inlineStr">
        <is>
          <t>FS</t>
        </is>
      </c>
      <c r="J23" s="6" t="inlineStr">
        <is>
          <t>Intelligence Engine (IE)</t>
        </is>
      </c>
      <c r="K23" s="6" t="inlineStr">
        <is>
          <t>In Progress</t>
        </is>
      </c>
      <c r="L23" s="7" t="n">
        <v>0.5</v>
      </c>
      <c r="M23" s="6" t="inlineStr">
        <is>
          <t>NO</t>
        </is>
      </c>
      <c r="N23" s="6" t="inlineStr">
        <is>
          <t>M5</t>
        </is>
      </c>
      <c r="O23" s="6" t="inlineStr">
        <is>
          <t>Critical</t>
        </is>
      </c>
      <c r="P23" s="8" t="inlineStr">
        <is>
          <t>Evidence envelopes consolidated; final confidence interval verification underway. [INFERRED: 50% - In Progress]</t>
        </is>
      </c>
      <c r="Q23" s="5">
        <f>IF(F23&lt;E23,"⚠ End &lt; Start",IF(OR(E23&lt;DATE(2026,9,11),F23&gt;DATE(2026,10,14)),"⚠ Outside 09/11-10/14",IF(AND(H23&lt;&gt;"None",H23&lt;&gt;"",S23&lt;&gt;"",S23&lt;&gt;0,E23&lt;=S23),"⚠ Pred conflict","✓ OK")))</f>
        <v/>
      </c>
      <c r="R23" s="5">
        <f>IF(L23=1,"Completed",IF(F23&lt;Dashboard!$B$2,"Overdue",IF(AND(E23&lt;=Dashboard!$B$2,F23&gt;=Dashboard!$B$2),IF(L23&gt;0,"Active","At Risk"),IF(E23&gt;Dashboard!$B$2,"Upcoming","At Risk"))))</f>
        <v/>
      </c>
      <c r="S23" s="9">
        <f>IF(OR(H23="",H23="None"),"",LET(ids,TEXTSPLIT(H23,", ",,TRUE),MAX(XLOOKUP(ids,$A$2:$A$35,$F$2:$F$35,0))))</f>
        <v/>
      </c>
    </row>
    <row r="24">
      <c r="A24" t="inlineStr">
        <is>
          <t>T23</t>
        </is>
      </c>
      <c r="B24" t="inlineStr">
        <is>
          <t>Phase 5: Evidence Consolidation &amp; HITL</t>
        </is>
      </c>
      <c r="C24" s="2" t="inlineStr">
        <is>
          <t>Generate structured action previews (spend, code diffs, claims, copy)</t>
        </is>
      </c>
      <c r="D24" s="2" t="inlineStr">
        <is>
          <t>Generate structured action previews (spend, code diffs, claims, copy): formatted dossiers with artifact UUIDs for HITL review.</t>
        </is>
      </c>
      <c r="E24" s="4" t="n">
        <v>46299</v>
      </c>
      <c r="F24" s="4" t="n">
        <v>46300</v>
      </c>
      <c r="G24" s="5">
        <f>IF(AND(E24&lt;&gt;"",F24&lt;&gt;""),F24-E24+1,"")</f>
        <v/>
      </c>
      <c r="H24" s="6" t="inlineStr">
        <is>
          <t>T22</t>
        </is>
      </c>
      <c r="I24" s="6" t="inlineStr">
        <is>
          <t>FS</t>
        </is>
      </c>
      <c r="J24" s="6" t="inlineStr">
        <is>
          <t>Intelligence Engine (IE)</t>
        </is>
      </c>
      <c r="K24" s="6" t="inlineStr">
        <is>
          <t>In Progress</t>
        </is>
      </c>
      <c r="L24" s="7" t="n">
        <v>0.25</v>
      </c>
      <c r="M24" s="6" t="inlineStr">
        <is>
          <t>NO</t>
        </is>
      </c>
      <c r="N24" s="6" t="inlineStr">
        <is>
          <t>M5</t>
        </is>
      </c>
      <c r="O24" s="6" t="inlineStr">
        <is>
          <t>Critical</t>
        </is>
      </c>
      <c r="P24" s="8" t="inlineStr">
        <is>
          <t>Action preview generator compiling spend proposals and code diff dossiers for HITL review. [INFERRED: 25% - In Progress]</t>
        </is>
      </c>
      <c r="Q24" s="5">
        <f>IF(F24&lt;E24,"⚠ End &lt; Start",IF(OR(E24&lt;DATE(2026,9,11),F24&gt;DATE(2026,10,14)),"⚠ Outside 09/11-10/14",IF(AND(H24&lt;&gt;"None",H24&lt;&gt;"",S24&lt;&gt;"",S24&lt;&gt;0,E24&lt;=S24),"⚠ Pred conflict","✓ OK")))</f>
        <v/>
      </c>
      <c r="R24" s="5">
        <f>IF(L24=1,"Completed",IF(F24&lt;Dashboard!$B$2,"Overdue",IF(AND(E24&lt;=Dashboard!$B$2,F24&gt;=Dashboard!$B$2),IF(L24&gt;0,"Active","At Risk"),IF(E24&gt;Dashboard!$B$2,"Upcoming","At Risk"))))</f>
        <v/>
      </c>
      <c r="S24" s="9">
        <f>IF(OR(H24="",H24="None"),"",LET(ids,TEXTSPLIT(H24,", ",,TRUE),MAX(XLOOKUP(ids,$A$2:$A$35,$F$2:$F$35,0))))</f>
        <v/>
      </c>
    </row>
    <row r="25">
      <c r="A25" t="inlineStr">
        <is>
          <t>T24</t>
        </is>
      </c>
      <c r="B25" t="inlineStr">
        <is>
          <t>Phase 5: Evidence Consolidation &amp; HITL</t>
        </is>
      </c>
      <c r="C25" s="2" t="inlineStr">
        <is>
          <t>Execute Human-in-the-Loop (HITL) quality, legal, and deploy sign-off</t>
        </is>
      </c>
      <c r="D25" s="2" t="inlineStr">
        <is>
          <t>Execute Human-in-the-Loop quality, legal, and deploy sign-off: mandatory gate for spend, legal claims, code &amp; deploys. Cryptographic signatures.</t>
        </is>
      </c>
      <c r="E25" s="4" t="n">
        <v>46300</v>
      </c>
      <c r="F25" s="4" t="n">
        <v>46301</v>
      </c>
      <c r="G25" s="5">
        <f>IF(AND(E25&lt;&gt;"",F25&lt;&gt;""),F25-E25+1,"")</f>
        <v/>
      </c>
      <c r="H25" s="6" t="inlineStr">
        <is>
          <t>T23</t>
        </is>
      </c>
      <c r="I25" s="6" t="inlineStr">
        <is>
          <t>FS</t>
        </is>
      </c>
      <c r="J25" s="6" t="inlineStr">
        <is>
          <t>Human-in-the-Loop (HITL) Gate</t>
        </is>
      </c>
      <c r="K25" s="6" t="inlineStr">
        <is>
          <t>Not Started</t>
        </is>
      </c>
      <c r="L25" s="7" t="n">
        <v>0</v>
      </c>
      <c r="M25" s="6" t="inlineStr">
        <is>
          <t>YES</t>
        </is>
      </c>
      <c r="N25" s="6" t="inlineStr">
        <is>
          <t>M5</t>
        </is>
      </c>
      <c r="O25" s="6" t="inlineStr">
        <is>
          <t>Critical</t>
        </is>
      </c>
      <c r="P25" s="8" t="inlineStr">
        <is>
          <t>Awaiting formal Human-in-the-Loop review and cryptographic approval sign-off. [INFERRED: 0% - Planned]</t>
        </is>
      </c>
      <c r="Q25" s="5">
        <f>IF(F25&lt;E25,"⚠ End &lt; Start",IF(OR(E25&lt;DATE(2026,9,11),F25&gt;DATE(2026,10,14)),"⚠ Outside 09/11-10/14",IF(AND(H25&lt;&gt;"None",H25&lt;&gt;"",S25&lt;&gt;"",S25&lt;&gt;0,E25&lt;=S25),"⚠ Pred conflict","✓ OK")))</f>
        <v/>
      </c>
      <c r="R25" s="5">
        <f>IF(L25=1,"Completed",IF(F25&lt;Dashboard!$B$2,"Overdue",IF(AND(E25&lt;=Dashboard!$B$2,F25&gt;=Dashboard!$B$2),IF(L25&gt;0,"Active","At Risk"),IF(E25&gt;Dashboard!$B$2,"Upcoming","At Risk"))))</f>
        <v/>
      </c>
      <c r="S25" s="9">
        <f>IF(OR(H25="",H25="None"),"",LET(ids,TEXTSPLIT(H25,", ",,TRUE),MAX(XLOOKUP(ids,$A$2:$A$35,$F$2:$F$35,0))))</f>
        <v/>
      </c>
    </row>
    <row r="26">
      <c r="A26" t="inlineStr">
        <is>
          <t>T25</t>
        </is>
      </c>
      <c r="B26" t="inlineStr">
        <is>
          <t>Phase 6: Outbound Actuation &amp; Go-Live</t>
        </is>
      </c>
      <c r="C26" s="2" t="inlineStr">
        <is>
          <t>Initialize Outbound Actuation MCP Boundary with audience tokens</t>
        </is>
      </c>
      <c r="D26" s="2" t="inlineStr">
        <is>
          <t>Initialize Outbound Actuation MCP Boundary with audience tokens: validate signed directives, audience tokens, dispatch to external surfaces.</t>
        </is>
      </c>
      <c r="E26" s="4" t="n">
        <v>46301</v>
      </c>
      <c r="F26" s="4" t="n">
        <v>46302</v>
      </c>
      <c r="G26" s="5">
        <f>IF(AND(E26&lt;&gt;"",F26&lt;&gt;""),F26-E26+1,"")</f>
        <v/>
      </c>
      <c r="H26" s="6" t="inlineStr">
        <is>
          <t>T24</t>
        </is>
      </c>
      <c r="I26" s="6" t="inlineStr">
        <is>
          <t>FS</t>
        </is>
      </c>
      <c r="J26" s="6" t="inlineStr">
        <is>
          <t>Outbound Actuation MCP Boundary</t>
        </is>
      </c>
      <c r="K26" s="6" t="inlineStr">
        <is>
          <t>Not Started</t>
        </is>
      </c>
      <c r="L26" s="7" t="n">
        <v>0</v>
      </c>
      <c r="M26" s="6" t="inlineStr">
        <is>
          <t>NO</t>
        </is>
      </c>
      <c r="N26" s="6" t="inlineStr">
        <is>
          <t>M6</t>
        </is>
      </c>
      <c r="O26" s="6" t="inlineStr">
        <is>
          <t>Critical</t>
        </is>
      </c>
      <c r="P26" s="8" t="inlineStr">
        <is>
          <t>Outbound Actuation MCP Boundary standing by for signed execution directives. [INFERRED: 0%]</t>
        </is>
      </c>
      <c r="Q26" s="5">
        <f>IF(F26&lt;E26,"⚠ End &lt; Start",IF(OR(E26&lt;DATE(2026,9,11),F26&gt;DATE(2026,10,14)),"⚠ Outside 09/11-10/14",IF(AND(H26&lt;&gt;"None",H26&lt;&gt;"",S26&lt;&gt;"",S26&lt;&gt;0,E26&lt;=S26),"⚠ Pred conflict","✓ OK")))</f>
        <v/>
      </c>
      <c r="R26" s="5">
        <f>IF(L26=1,"Completed",IF(F26&lt;Dashboard!$B$2,"Overdue",IF(AND(E26&lt;=Dashboard!$B$2,F26&gt;=Dashboard!$B$2),IF(L26&gt;0,"Active","At Risk"),IF(E26&gt;Dashboard!$B$2,"Upcoming","At Risk"))))</f>
        <v/>
      </c>
      <c r="S26" s="9">
        <f>IF(OR(H26="",H26="None"),"",LET(ids,TEXTSPLIT(H26,", ",,TRUE),MAX(XLOOKUP(ids,$A$2:$A$35,$F$2:$F$35,0))))</f>
        <v/>
      </c>
    </row>
    <row r="27">
      <c r="A27" t="inlineStr">
        <is>
          <t>T26</t>
        </is>
      </c>
      <c r="B27" t="inlineStr">
        <is>
          <t>Phase 6: Outbound Actuation &amp; Go-Live</t>
        </is>
      </c>
      <c r="C27" s="2" t="inlineStr">
        <is>
          <t>Deploy live schemas, catalog updates &amp; layout code to Website &amp; CMS</t>
        </is>
      </c>
      <c r="D27" s="2" t="inlineStr">
        <is>
          <t>Deploy live schemas, catalog updates &amp; layout code to Website &amp; CMS: push approved code diffs, catalog updates to headless CMS production.</t>
        </is>
      </c>
      <c r="E27" s="4" t="n">
        <v>46302</v>
      </c>
      <c r="F27" s="4" t="n">
        <v>46304</v>
      </c>
      <c r="G27" s="5">
        <f>IF(AND(E27&lt;&gt;"",F27&lt;&gt;""),F27-E27+1,"")</f>
        <v/>
      </c>
      <c r="H27" s="6" t="inlineStr">
        <is>
          <t>T25</t>
        </is>
      </c>
      <c r="I27" s="6" t="inlineStr">
        <is>
          <t>FS</t>
        </is>
      </c>
      <c r="J27" s="6" t="inlineStr">
        <is>
          <t>Outbound MCP &amp; Website / CMS</t>
        </is>
      </c>
      <c r="K27" s="6" t="inlineStr">
        <is>
          <t>Not Started</t>
        </is>
      </c>
      <c r="L27" s="7" t="n">
        <v>0</v>
      </c>
      <c r="M27" s="6" t="inlineStr">
        <is>
          <t>NO</t>
        </is>
      </c>
      <c r="N27" s="6" t="inlineStr">
        <is>
          <t>M6</t>
        </is>
      </c>
      <c r="O27" s="6" t="inlineStr">
        <is>
          <t>High</t>
        </is>
      </c>
      <c r="P27" s="8" t="inlineStr">
        <is>
          <t>Live website schema deployment and catalog push scheduled post-approval. [INFERRED: 0%]</t>
        </is>
      </c>
      <c r="Q27" s="5">
        <f>IF(F27&lt;E27,"⚠ End &lt; Start",IF(OR(E27&lt;DATE(2026,9,11),F27&gt;DATE(2026,10,14)),"⚠ Outside 09/11-10/14",IF(AND(H27&lt;&gt;"None",H27&lt;&gt;"",S27&lt;&gt;"",S27&lt;&gt;0,E27&lt;=S27),"⚠ Pred conflict","✓ OK")))</f>
        <v/>
      </c>
      <c r="R27" s="5">
        <f>IF(L27=1,"Completed",IF(F27&lt;Dashboard!$B$2,"Overdue",IF(AND(E27&lt;=Dashboard!$B$2,F27&gt;=Dashboard!$B$2),IF(L27&gt;0,"Active","At Risk"),IF(E27&gt;Dashboard!$B$2,"Upcoming","At Risk"))))</f>
        <v/>
      </c>
      <c r="S27" s="9">
        <f>IF(OR(H27="",H27="None"),"",LET(ids,TEXTSPLIT(H27,", ",,TRUE),MAX(XLOOKUP(ids,$A$2:$A$35,$F$2:$F$35,0))))</f>
        <v/>
      </c>
    </row>
    <row r="28">
      <c r="A28" t="inlineStr">
        <is>
          <t>T27</t>
        </is>
      </c>
      <c r="B28" t="inlineStr">
        <is>
          <t>Phase 6: Outbound Actuation &amp; Go-Live</t>
        </is>
      </c>
      <c r="C28" s="2" t="inlineStr">
        <is>
          <t>Publish ad campaigns and bid targets to Paid Ad Platforms</t>
        </is>
      </c>
      <c r="D28" s="2" t="inlineStr">
        <is>
          <t>Publish ad campaigns and bid targets to Paid Ad Platforms: Meta, Google, TikTok campaigns via Outbound MCP with budget caps.</t>
        </is>
      </c>
      <c r="E28" s="4" t="n">
        <v>46302</v>
      </c>
      <c r="F28" s="4" t="n">
        <v>46304</v>
      </c>
      <c r="G28" s="5">
        <f>IF(AND(E28&lt;&gt;"",F28&lt;&gt;""),F28-E28+1,"")</f>
        <v/>
      </c>
      <c r="H28" s="6" t="inlineStr">
        <is>
          <t>T25</t>
        </is>
      </c>
      <c r="I28" s="6" t="inlineStr">
        <is>
          <t>FS</t>
        </is>
      </c>
      <c r="J28" s="6" t="inlineStr">
        <is>
          <t>Outbound MCP &amp; Paid Ad Platforms</t>
        </is>
      </c>
      <c r="K28" s="6" t="inlineStr">
        <is>
          <t>Not Started</t>
        </is>
      </c>
      <c r="L28" s="7" t="n">
        <v>0</v>
      </c>
      <c r="M28" s="6" t="inlineStr">
        <is>
          <t>NO</t>
        </is>
      </c>
      <c r="N28" s="6" t="inlineStr">
        <is>
          <t>M6</t>
        </is>
      </c>
      <c r="O28" s="6" t="inlineStr">
        <is>
          <t>High</t>
        </is>
      </c>
      <c r="P28" s="8" t="inlineStr">
        <is>
          <t>Paid ad campaign launch across Meta, Google, TikTok scheduled post-approval. [INFERRED: 0%]</t>
        </is>
      </c>
      <c r="Q28" s="5">
        <f>IF(F28&lt;E28,"⚠ End &lt; Start",IF(OR(E28&lt;DATE(2026,9,11),F28&gt;DATE(2026,10,14)),"⚠ Outside 09/11-10/14",IF(AND(H28&lt;&gt;"None",H28&lt;&gt;"",S28&lt;&gt;"",S28&lt;&gt;0,E28&lt;=S28),"⚠ Pred conflict","✓ OK")))</f>
        <v/>
      </c>
      <c r="R28" s="5">
        <f>IF(L28=1,"Completed",IF(F28&lt;Dashboard!$B$2,"Overdue",IF(AND(E28&lt;=Dashboard!$B$2,F28&gt;=Dashboard!$B$2),IF(L28&gt;0,"Active","At Risk"),IF(E28&gt;Dashboard!$B$2,"Upcoming","At Risk"))))</f>
        <v/>
      </c>
      <c r="S28" s="9">
        <f>IF(OR(H28="",H28="None"),"",LET(ids,TEXTSPLIT(H28,", ",,TRUE),MAX(XLOOKUP(ids,$A$2:$A$35,$F$2:$F$35,0))))</f>
        <v/>
      </c>
    </row>
    <row r="29">
      <c r="A29" t="inlineStr">
        <is>
          <t>T28</t>
        </is>
      </c>
      <c r="B29" t="inlineStr">
        <is>
          <t>Phase 6: Outbound Actuation &amp; Go-Live</t>
        </is>
      </c>
      <c r="C29" s="2" t="inlineStr">
        <is>
          <t>Publish scheduled social media posts and assets to Social Channels</t>
        </is>
      </c>
      <c r="D29" s="2" t="inlineStr">
        <is>
          <t>Publish scheduled social media posts and assets to Social Channels: Instagram, X, YouTube scheduled posts via Outbound MCP.</t>
        </is>
      </c>
      <c r="E29" s="4" t="n">
        <v>46302</v>
      </c>
      <c r="F29" s="4" t="n">
        <v>46304</v>
      </c>
      <c r="G29" s="5">
        <f>IF(AND(E29&lt;&gt;"",F29&lt;&gt;""),F29-E29+1,"")</f>
        <v/>
      </c>
      <c r="H29" s="6" t="inlineStr">
        <is>
          <t>T25</t>
        </is>
      </c>
      <c r="I29" s="6" t="inlineStr">
        <is>
          <t>FS</t>
        </is>
      </c>
      <c r="J29" s="6" t="inlineStr">
        <is>
          <t>Outbound MCP &amp; Social Channels</t>
        </is>
      </c>
      <c r="K29" s="6" t="inlineStr">
        <is>
          <t>Not Started</t>
        </is>
      </c>
      <c r="L29" s="7" t="n">
        <v>0</v>
      </c>
      <c r="M29" s="6" t="inlineStr">
        <is>
          <t>NO</t>
        </is>
      </c>
      <c r="N29" s="6" t="inlineStr">
        <is>
          <t>M6</t>
        </is>
      </c>
      <c r="O29" s="6" t="inlineStr">
        <is>
          <t>High</t>
        </is>
      </c>
      <c r="P29" s="8" t="inlineStr">
        <is>
          <t>Social media publishing and scheduled content broadcast queued. [INFERRED: 0%]</t>
        </is>
      </c>
      <c r="Q29" s="5">
        <f>IF(F29&lt;E29,"⚠ End &lt; Start",IF(OR(E29&lt;DATE(2026,9,11),F29&gt;DATE(2026,10,14)),"⚠ Outside 09/11-10/14",IF(AND(H29&lt;&gt;"None",H29&lt;&gt;"",S29&lt;&gt;"",S29&lt;&gt;0,E29&lt;=S29),"⚠ Pred conflict","✓ OK")))</f>
        <v/>
      </c>
      <c r="R29" s="5">
        <f>IF(L29=1,"Completed",IF(F29&lt;Dashboard!$B$2,"Overdue",IF(AND(E29&lt;=Dashboard!$B$2,F29&gt;=Dashboard!$B$2),IF(L29&gt;0,"Active","At Risk"),IF(E29&gt;Dashboard!$B$2,"Upcoming","At Risk"))))</f>
        <v/>
      </c>
      <c r="S29" s="9">
        <f>IF(OR(H29="",H29="None"),"",LET(ids,TEXTSPLIT(H29,", ",,TRUE),MAX(XLOOKUP(ids,$A$2:$A$35,$F$2:$F$35,0))))</f>
        <v/>
      </c>
    </row>
    <row r="30">
      <c r="A30" t="inlineStr">
        <is>
          <t>T29</t>
        </is>
      </c>
      <c r="B30" t="inlineStr">
        <is>
          <t>Phase 6: Outbound Actuation &amp; Go-Live</t>
        </is>
      </c>
      <c r="C30" s="2" t="inlineStr">
        <is>
          <t>Connect Omnichannel Telemetry Engine webhooks, pixel events &amp; logs</t>
        </is>
      </c>
      <c r="D30" s="2" t="inlineStr">
        <is>
          <t>Connect Omnichannel Telemetry Engine webhooks, pixel events &amp; logs: attach listeners to live surfaces post go-live.</t>
        </is>
      </c>
      <c r="E30" s="4" t="n">
        <v>46304</v>
      </c>
      <c r="F30" s="4" t="n">
        <v>46305</v>
      </c>
      <c r="G30" s="5">
        <f>IF(AND(E30&lt;&gt;"",F30&lt;&gt;""),F30-E30+1,"")</f>
        <v/>
      </c>
      <c r="H30" s="6" t="inlineStr">
        <is>
          <t>T26, T27, T28</t>
        </is>
      </c>
      <c r="I30" s="6" t="inlineStr">
        <is>
          <t>FS</t>
        </is>
      </c>
      <c r="J30" s="6" t="inlineStr">
        <is>
          <t>Omnichannel Telemetry Engine</t>
        </is>
      </c>
      <c r="K30" s="6" t="inlineStr">
        <is>
          <t>Not Started</t>
        </is>
      </c>
      <c r="L30" s="7" t="n">
        <v>0</v>
      </c>
      <c r="M30" s="6" t="inlineStr">
        <is>
          <t>YES</t>
        </is>
      </c>
      <c r="N30" s="6" t="inlineStr">
        <is>
          <t>M6</t>
        </is>
      </c>
      <c r="O30" s="6" t="inlineStr">
        <is>
          <t>Critical</t>
        </is>
      </c>
      <c r="P30" s="8" t="inlineStr">
        <is>
          <t>Omnichannel telemetry stream listeners and webhook endpoints queued for go-live. [INFERRED: 0%]</t>
        </is>
      </c>
      <c r="Q30" s="5">
        <f>IF(F30&lt;E30,"⚠ End &lt; Start",IF(OR(E30&lt;DATE(2026,9,11),F30&gt;DATE(2026,10,14)),"⚠ Outside 09/11-10/14",IF(AND(H30&lt;&gt;"None",H30&lt;&gt;"",S30&lt;&gt;"",S30&lt;&gt;0,E30&lt;=S30),"⚠ Pred conflict","✓ OK")))</f>
        <v/>
      </c>
      <c r="R30" s="5">
        <f>IF(L30=1,"Completed",IF(F30&lt;Dashboard!$B$2,"Overdue",IF(AND(E30&lt;=Dashboard!$B$2,F30&gt;=Dashboard!$B$2),IF(L30&gt;0,"Active","At Risk"),IF(E30&gt;Dashboard!$B$2,"Upcoming","At Risk"))))</f>
        <v/>
      </c>
      <c r="S30" s="9">
        <f>IF(OR(H30="",H30="None"),"",LET(ids,TEXTSPLIT(H30,", ",,TRUE),MAX(XLOOKUP(ids,$A$2:$A$35,$F$2:$F$35,0))))</f>
        <v/>
      </c>
    </row>
    <row r="31">
      <c r="A31" t="inlineStr">
        <is>
          <t>T30</t>
        </is>
      </c>
      <c r="B31" t="inlineStr">
        <is>
          <t>Phase 7: Telemetry Optimization &amp; Closeout</t>
        </is>
      </c>
      <c r="C31" s="2" t="inlineStr">
        <is>
          <t>Ingest live store traffic, checkout transactions &amp; conversion logs into CDB</t>
        </is>
      </c>
      <c r="D31" s="2" t="inlineStr">
        <is>
          <t>Ingest live store traffic, checkout transactions &amp; conversion logs into CDB: real-time telemetry ingestion into Central DB.</t>
        </is>
      </c>
      <c r="E31" s="4" t="n">
        <v>46305</v>
      </c>
      <c r="F31" s="4" t="n">
        <v>46306</v>
      </c>
      <c r="G31" s="5">
        <f>IF(AND(E31&lt;&gt;"",F31&lt;&gt;""),F31-E31+1,"")</f>
        <v/>
      </c>
      <c r="H31" s="6" t="inlineStr">
        <is>
          <t>T29</t>
        </is>
      </c>
      <c r="I31" s="6" t="inlineStr">
        <is>
          <t>FS</t>
        </is>
      </c>
      <c r="J31" s="6" t="inlineStr">
        <is>
          <t>Telemetry Engine &amp; Central Database</t>
        </is>
      </c>
      <c r="K31" s="6" t="inlineStr">
        <is>
          <t>Not Started</t>
        </is>
      </c>
      <c r="L31" s="7" t="n">
        <v>0</v>
      </c>
      <c r="M31" s="6" t="inlineStr">
        <is>
          <t>NO</t>
        </is>
      </c>
      <c r="N31" s="6" t="inlineStr">
        <is>
          <t>M7</t>
        </is>
      </c>
      <c r="O31" s="6" t="inlineStr">
        <is>
          <t>High</t>
        </is>
      </c>
      <c r="P31" s="8" t="inlineStr">
        <is>
          <t>Live transaction, order event, and server log ingestion awaiting production traffic. [INFERRED: 0%]</t>
        </is>
      </c>
      <c r="Q31" s="5">
        <f>IF(F31&lt;E31,"⚠ End &lt; Start",IF(OR(E31&lt;DATE(2026,9,11),F31&gt;DATE(2026,10,14)),"⚠ Outside 09/11-10/14",IF(AND(H31&lt;&gt;"None",H31&lt;&gt;"",S31&lt;&gt;"",S31&lt;&gt;0,E31&lt;=S31),"⚠ Pred conflict","✓ OK")))</f>
        <v/>
      </c>
      <c r="R31" s="5">
        <f>IF(L31=1,"Completed",IF(F31&lt;Dashboard!$B$2,"Overdue",IF(AND(E31&lt;=Dashboard!$B$2,F31&gt;=Dashboard!$B$2),IF(L31&gt;0,"Active","At Risk"),IF(E31&gt;Dashboard!$B$2,"Upcoming","At Risk"))))</f>
        <v/>
      </c>
      <c r="S31" s="9">
        <f>IF(OR(H31="",H31="None"),"",LET(ids,TEXTSPLIT(H31,", ",,TRUE),MAX(XLOOKUP(ids,$A$2:$A$35,$F$2:$F$35,0))))</f>
        <v/>
      </c>
    </row>
    <row r="32">
      <c r="A32" t="inlineStr">
        <is>
          <t>T31</t>
        </is>
      </c>
      <c r="B32" t="inlineStr">
        <is>
          <t>Phase 7: Telemetry Optimization &amp; Closeout</t>
        </is>
      </c>
      <c r="C32" s="2" t="inlineStr">
        <is>
          <t>Calculate multi-touch attribution, creative decay &amp; ROAS (W_LEARN)</t>
        </is>
      </c>
      <c r="D32" s="2" t="inlineStr">
        <is>
          <t>Calculate multi-touch attribution, creative decay &amp; ROAS (W_LEARN): attribution curves, fatigue scoring, ROAS optimization via S_ATTR.</t>
        </is>
      </c>
      <c r="E32" s="4" t="n">
        <v>46306</v>
      </c>
      <c r="F32" s="4" t="n">
        <v>46308</v>
      </c>
      <c r="G32" s="5">
        <f>IF(AND(E32&lt;&gt;"",F32&lt;&gt;""),F32-E32+1,"")</f>
        <v/>
      </c>
      <c r="H32" s="6" t="inlineStr">
        <is>
          <t>T30</t>
        </is>
      </c>
      <c r="I32" s="6" t="inlineStr">
        <is>
          <t>FS</t>
        </is>
      </c>
      <c r="J32" s="6" t="inlineStr">
        <is>
          <t>Learning Engine &amp; S_ATTR</t>
        </is>
      </c>
      <c r="K32" s="6" t="inlineStr">
        <is>
          <t>Not Started</t>
        </is>
      </c>
      <c r="L32" s="7" t="n">
        <v>0</v>
      </c>
      <c r="M32" s="6" t="inlineStr">
        <is>
          <t>NO</t>
        </is>
      </c>
      <c r="N32" s="6" t="inlineStr">
        <is>
          <t>M7</t>
        </is>
      </c>
      <c r="O32" s="6" t="inlineStr">
        <is>
          <t>High</t>
        </is>
      </c>
      <c r="P32" s="8" t="inlineStr">
        <is>
          <t>Multi-touch attribution modeling and creative decay scoring queued on telemetry feed. [INFERRED: 0%]</t>
        </is>
      </c>
      <c r="Q32" s="5">
        <f>IF(F32&lt;E32,"⚠ End &lt; Start",IF(OR(E32&lt;DATE(2026,9,11),F32&gt;DATE(2026,10,14)),"⚠ Outside 09/11-10/14",IF(AND(H32&lt;&gt;"None",H32&lt;&gt;"",S32&lt;&gt;"",S32&lt;&gt;0,E32&lt;=S32),"⚠ Pred conflict","✓ OK")))</f>
        <v/>
      </c>
      <c r="R32" s="5">
        <f>IF(L32=1,"Completed",IF(F32&lt;Dashboard!$B$2,"Overdue",IF(AND(E32&lt;=Dashboard!$B$2,F32&gt;=Dashboard!$B$2),IF(L32&gt;0,"Active","At Risk"),IF(E32&gt;Dashboard!$B$2,"Upcoming","At Risk"))))</f>
        <v/>
      </c>
      <c r="S32" s="9">
        <f>IF(OR(H32="",H32="None"),"",LET(ids,TEXTSPLIT(H32,", ",,TRUE),MAX(XLOOKUP(ids,$A$2:$A$35,$F$2:$F$35,0))))</f>
        <v/>
      </c>
    </row>
    <row r="33">
      <c r="A33" t="inlineStr">
        <is>
          <t>T32</t>
        </is>
      </c>
      <c r="B33" t="inlineStr">
        <is>
          <t>Phase 7: Telemetry Optimization &amp; Closeout</t>
        </is>
      </c>
      <c r="C33" s="2" t="inlineStr">
        <is>
          <t>Promote validated memory deltas into Institutional Memory and IE</t>
        </is>
      </c>
      <c r="D33" s="2" t="inlineStr">
        <is>
          <t>Promote validated memory deltas into Institutional Memory and IE: promote learned heuristics and brand rule deltas from W_LEARN.</t>
        </is>
      </c>
      <c r="E33" s="4" t="n">
        <v>46308</v>
      </c>
      <c r="F33" s="4" t="n">
        <v>46309</v>
      </c>
      <c r="G33" s="5">
        <f>IF(AND(E33&lt;&gt;"",F33&lt;&gt;""),F33-E33+1,"")</f>
        <v/>
      </c>
      <c r="H33" s="6" t="inlineStr">
        <is>
          <t>T31</t>
        </is>
      </c>
      <c r="I33" s="6" t="inlineStr">
        <is>
          <t>FS</t>
        </is>
      </c>
      <c r="J33" s="6" t="inlineStr">
        <is>
          <t>Learning Engine, Memory Store &amp; IE</t>
        </is>
      </c>
      <c r="K33" s="6" t="inlineStr">
        <is>
          <t>Not Started</t>
        </is>
      </c>
      <c r="L33" s="7" t="n">
        <v>0</v>
      </c>
      <c r="M33" s="6" t="inlineStr">
        <is>
          <t>NO</t>
        </is>
      </c>
      <c r="N33" s="6" t="inlineStr">
        <is>
          <t>M7</t>
        </is>
      </c>
      <c r="O33" s="6" t="inlineStr">
        <is>
          <t>Medium</t>
        </is>
      </c>
      <c r="P33" s="8" t="inlineStr">
        <is>
          <t>Memory promotion of validated optimization deltas scheduled post-campaign run. [INFERRED: 0%]</t>
        </is>
      </c>
      <c r="Q33" s="5">
        <f>IF(F33&lt;E33,"⚠ End &lt; Start",IF(OR(E33&lt;DATE(2026,9,11),F33&gt;DATE(2026,10,14)),"⚠ Outside 09/11-10/14",IF(AND(H33&lt;&gt;"None",H33&lt;&gt;"",S33&lt;&gt;"",S33&lt;&gt;0,E33&lt;=S33),"⚠ Pred conflict","✓ OK")))</f>
        <v/>
      </c>
      <c r="R33" s="5">
        <f>IF(L33=1,"Completed",IF(F33&lt;Dashboard!$B$2,"Overdue",IF(AND(E33&lt;=Dashboard!$B$2,F33&gt;=Dashboard!$B$2),IF(L33&gt;0,"Active","At Risk"),IF(E33&gt;Dashboard!$B$2,"Upcoming","At Risk"))))</f>
        <v/>
      </c>
      <c r="S33" s="9">
        <f>IF(OR(H33="",H33="None"),"",LET(ids,TEXTSPLIT(H33,", ",,TRUE),MAX(XLOOKUP(ids,$A$2:$A$35,$F$2:$F$35,0))))</f>
        <v/>
      </c>
    </row>
    <row r="34">
      <c r="A34" t="inlineStr">
        <is>
          <t>T33</t>
        </is>
      </c>
      <c r="B34" t="inlineStr">
        <is>
          <t>Phase 7: Telemetry Optimization &amp; Closeout</t>
        </is>
      </c>
      <c r="C34" s="2" t="inlineStr">
        <is>
          <t>Validate end-to-end W3C PROV audit lineage, state integrity &amp; logs</t>
        </is>
      </c>
      <c r="D34" s="2" t="inlineStr">
        <is>
          <t>Validate end-to-end W3C PROV audit lineage, state integrity &amp; logs: cryptographic sealing, tamper-evident verification of full execution trail.</t>
        </is>
      </c>
      <c r="E34" s="4" t="n">
        <v>46308</v>
      </c>
      <c r="F34" s="4" t="n">
        <v>46309</v>
      </c>
      <c r="G34" s="5">
        <f>IF(AND(E34&lt;&gt;"",F34&lt;&gt;""),F34-E34+1,"")</f>
        <v/>
      </c>
      <c r="H34" s="6" t="inlineStr">
        <is>
          <t>T30, T31</t>
        </is>
      </c>
      <c r="I34" s="6" t="inlineStr">
        <is>
          <t>FS</t>
        </is>
      </c>
      <c r="J34" s="6" t="inlineStr">
        <is>
          <t>W3C PROV Immutable Ledger</t>
        </is>
      </c>
      <c r="K34" s="6" t="inlineStr">
        <is>
          <t>Not Started</t>
        </is>
      </c>
      <c r="L34" s="7" t="n">
        <v>0</v>
      </c>
      <c r="M34" s="6" t="inlineStr">
        <is>
          <t>NO</t>
        </is>
      </c>
      <c r="N34" s="6" t="inlineStr">
        <is>
          <t>M7</t>
        </is>
      </c>
      <c r="O34" s="6" t="inlineStr">
        <is>
          <t>High</t>
        </is>
      </c>
      <c r="P34" s="8" t="inlineStr">
        <is>
          <t>End-to-end W3C PROV audit trail verification and cryptographic sealing scheduled. [INFERRED: 0%]</t>
        </is>
      </c>
      <c r="Q34" s="5">
        <f>IF(F34&lt;E34,"⚠ End &lt; Start",IF(OR(E34&lt;DATE(2026,9,11),F34&gt;DATE(2026,10,14)),"⚠ Outside 09/11-10/14",IF(AND(H34&lt;&gt;"None",H34&lt;&gt;"",S34&lt;&gt;"",S34&lt;&gt;0,E34&lt;=S34),"⚠ Pred conflict","✓ OK")))</f>
        <v/>
      </c>
      <c r="R34" s="5">
        <f>IF(L34=1,"Completed",IF(F34&lt;Dashboard!$B$2,"Overdue",IF(AND(E34&lt;=Dashboard!$B$2,F34&gt;=Dashboard!$B$2),IF(L34&gt;0,"Active","At Risk"),IF(E34&gt;Dashboard!$B$2,"Upcoming","At Risk"))))</f>
        <v/>
      </c>
      <c r="S34" s="9">
        <f>IF(OR(H34="",H34="None"),"",LET(ids,TEXTSPLIT(H34,", ",,TRUE),MAX(XLOOKUP(ids,$A$2:$A$35,$F$2:$F$35,0))))</f>
        <v/>
      </c>
    </row>
    <row r="35">
      <c r="A35" t="inlineStr">
        <is>
          <t>T34</t>
        </is>
      </c>
      <c r="B35" t="inlineStr">
        <is>
          <t>Phase 7: Telemetry Optimization &amp; Closeout</t>
        </is>
      </c>
      <c r="C35" s="2" t="inlineStr">
        <is>
          <t>Perform final project verification against acceptance criteria &amp; close</t>
        </is>
      </c>
      <c r="D35" s="2" t="inlineStr">
        <is>
          <t>Perform final project verification against acceptance criteria &amp; close: final verification, acceptance, contract closure on 2026-10-14.</t>
        </is>
      </c>
      <c r="E35" s="4" t="n">
        <v>46309</v>
      </c>
      <c r="F35" s="4" t="n">
        <v>46309</v>
      </c>
      <c r="G35" s="5">
        <f>IF(AND(E35&lt;&gt;"",F35&lt;&gt;""),F35-E35+1,"")</f>
        <v/>
      </c>
      <c r="H35" s="6" t="inlineStr">
        <is>
          <t>T32, T33</t>
        </is>
      </c>
      <c r="I35" s="6" t="inlineStr">
        <is>
          <t>FS</t>
        </is>
      </c>
      <c r="J35" s="6" t="inlineStr">
        <is>
          <t>Intelligence Engine &amp; Brand Owner</t>
        </is>
      </c>
      <c r="K35" s="6" t="inlineStr">
        <is>
          <t>Not Started</t>
        </is>
      </c>
      <c r="L35" s="7" t="n">
        <v>0</v>
      </c>
      <c r="M35" s="6" t="inlineStr">
        <is>
          <t>YES</t>
        </is>
      </c>
      <c r="N35" s="6" t="inlineStr">
        <is>
          <t>M7</t>
        </is>
      </c>
      <c r="O35" s="6" t="inlineStr">
        <is>
          <t>Critical</t>
        </is>
      </c>
      <c r="P35" s="8" t="inlineStr">
        <is>
          <t>Final project sign-off and contract closure scheduled for 2026-10-14. [INFERRED: 0% - Milestone M7]</t>
        </is>
      </c>
      <c r="Q35" s="5">
        <f>IF(F35&lt;E35,"⚠ End &lt; Start",IF(OR(E35&lt;DATE(2026,9,11),F35&gt;DATE(2026,10,14)),"⚠ Outside 09/11-10/14",IF(AND(H35&lt;&gt;"None",H35&lt;&gt;"",S35&lt;&gt;"",S35&lt;&gt;0,E35&lt;=S35),"⚠ Pred conflict","✓ OK")))</f>
        <v/>
      </c>
      <c r="R35" s="5">
        <f>IF(L35=1,"Completed",IF(F35&lt;Dashboard!$B$2,"Overdue",IF(AND(E35&lt;=Dashboard!$B$2,F35&gt;=Dashboard!$B$2),IF(L35&gt;0,"Active","At Risk"),IF(E35&gt;Dashboard!$B$2,"Upcoming","At Risk"))))</f>
        <v/>
      </c>
      <c r="S35" s="9">
        <f>IF(OR(H35="",H35="None"),"",LET(ids,TEXTSPLIT(H35,", ",,TRUE),MAX(XLOOKUP(ids,$A$2:$A$35,$F$2:$F$35,0))))</f>
        <v/>
      </c>
    </row>
  </sheetData>
  <autoFilter ref="A1:S35"/>
  <conditionalFormatting sqref="Q2:Q35">
    <cfRule type="expression" priority="1" dxfId="0">
      <formula>ISNUMBER(SEARCH("⚠",Q2))</formula>
    </cfRule>
    <cfRule type="expression" priority="2" dxfId="1">
      <formula>Q2="✓ OK"</formula>
    </cfRule>
  </conditionalFormatting>
  <conditionalFormatting sqref="R2:R35">
    <cfRule type="expression" priority="3" dxfId="1">
      <formula>R2="Completed"</formula>
    </cfRule>
    <cfRule type="expression" priority="4" dxfId="0">
      <formula>R2="Overdue"</formula>
    </cfRule>
    <cfRule type="expression" priority="5" dxfId="2">
      <formula>R2="Active"</formula>
    </cfRule>
    <cfRule type="expression" priority="6" dxfId="3">
      <formula>R2="At Risk"</formula>
    </cfRule>
  </conditionalFormatting>
  <conditionalFormatting sqref="B2:B35">
    <cfRule type="expression" priority="7" dxfId="4">
      <formula>$B2="Phase 1: Governance, Policy &amp; Canonical State"</formula>
    </cfRule>
    <cfRule type="expression" priority="8" dxfId="5">
      <formula>$B2="Phase 2: Governed Data Plane &amp; Central Storage"</formula>
    </cfRule>
    <cfRule type="expression" priority="9" dxfId="6">
      <formula>$B2="Phase 3: Sandbox Isolation &amp; Sub-Agent Readiness"</formula>
    </cfRule>
    <cfRule type="expression" priority="10" dxfId="7">
      <formula>$B2="Phase 4: Domain Intelligence &amp; Asset Synthesis"</formula>
    </cfRule>
    <cfRule type="expression" priority="11" dxfId="8">
      <formula>$B2="Phase 5: Evidence Consolidation &amp; HITL"</formula>
    </cfRule>
    <cfRule type="expression" priority="12" dxfId="9">
      <formula>$B2="Phase 6: Outbound Actuation &amp; Go-Live"</formula>
    </cfRule>
    <cfRule type="expression" priority="13" dxfId="10">
      <formula>$B2="Phase 7: Telemetry Optimization &amp; Closeout"</formula>
    </cfRule>
  </conditionalFormatting>
  <dataValidations count="7">
    <dataValidation sqref="K2:K35" showDropDown="0" showInputMessage="0" showErrorMessage="0" allowBlank="1" type="list">
      <formula1>=Lists!$A$2:$A$6</formula1>
    </dataValidation>
    <dataValidation sqref="O2:O35" showDropDown="0" showInputMessage="0" showErrorMessage="0" allowBlank="1" type="list">
      <formula1>=Lists!$B$2:$B$5</formula1>
    </dataValidation>
    <dataValidation sqref="I2:I35" showDropDown="0" showInputMessage="0" showErrorMessage="0" allowBlank="1" type="list">
      <formula1>=Lists!$C$2:$C$5</formula1>
    </dataValidation>
    <dataValidation sqref="B2:B35" showDropDown="0" showInputMessage="0" showErrorMessage="0" allowBlank="1" type="list">
      <formula1>=Lists!$D$2:$D$8</formula1>
    </dataValidation>
    <dataValidation sqref="M2:M35" showDropDown="0" showInputMessage="0" showErrorMessage="0" allowBlank="1" type="list">
      <formula1>=Lists!$E$2:$E$3</formula1>
    </dataValidation>
    <dataValidation sqref="N2:N35" showDropDown="0" showInputMessage="0" showErrorMessage="0" allowBlank="1" type="list">
      <formula1>=Lists!$F$2:$F$8</formula1>
    </dataValidation>
    <dataValidation sqref="L2:L35" showDropDown="0" showInputMessage="0" showErrorMessage="0" allowBlank="1" type="decimal" operator="between">
      <formula1>0</formula1>
      <formula2>1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38"/>
  <sheetViews>
    <sheetView workbookViewId="0">
      <pane xSplit="9" ySplit="4" topLeftCell="J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40" customWidth="1" min="3" max="3"/>
    <col width="28" customWidth="1" min="4" max="4"/>
    <col width="12" customWidth="1" min="5" max="5"/>
    <col width="10" customWidth="1" min="6" max="6"/>
    <col width="12" customWidth="1" min="7" max="7"/>
    <col width="12" customWidth="1" min="8" max="8"/>
    <col width="10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</cols>
  <sheetData>
    <row r="1">
      <c r="A1" s="10" t="inlineStr">
        <is>
          <t>Governed Multi-Brand Agentic System - Gantt Timeline (Sep 11 - Oct 14, 2026)</t>
        </is>
      </c>
    </row>
    <row r="2">
      <c r="A2" s="3" t="inlineStr">
        <is>
          <t>Task ID</t>
        </is>
      </c>
      <c r="B2" s="3" t="inlineStr">
        <is>
          <t>Phase / Workstream</t>
        </is>
      </c>
      <c r="C2" s="3" t="inlineStr">
        <is>
          <t>Task Name</t>
        </is>
      </c>
      <c r="D2" s="3" t="inlineStr">
        <is>
          <t>Resource</t>
        </is>
      </c>
      <c r="E2" s="3" t="inlineStr">
        <is>
          <t>Status</t>
        </is>
      </c>
      <c r="F2" s="3" t="inlineStr">
        <is>
          <t>Progress %</t>
        </is>
      </c>
      <c r="G2" s="3" t="inlineStr">
        <is>
          <t>Start Date</t>
        </is>
      </c>
      <c r="H2" s="3" t="inlineStr">
        <is>
          <t>End Date</t>
        </is>
      </c>
      <c r="I2" s="3" t="inlineStr">
        <is>
          <t>Milestone?</t>
        </is>
      </c>
      <c r="J2" s="11" t="n">
        <v>46276</v>
      </c>
      <c r="K2" s="11" t="n">
        <v>46277</v>
      </c>
      <c r="L2" s="11" t="n">
        <v>46278</v>
      </c>
      <c r="M2" s="11" t="n">
        <v>46279</v>
      </c>
      <c r="N2" s="11" t="n">
        <v>46280</v>
      </c>
      <c r="O2" s="11" t="n">
        <v>46281</v>
      </c>
      <c r="P2" s="11" t="n">
        <v>46282</v>
      </c>
      <c r="Q2" s="11" t="n">
        <v>46283</v>
      </c>
      <c r="R2" s="11" t="n">
        <v>46284</v>
      </c>
      <c r="S2" s="11" t="n">
        <v>46285</v>
      </c>
      <c r="T2" s="11" t="n">
        <v>46286</v>
      </c>
      <c r="U2" s="11" t="n">
        <v>46287</v>
      </c>
      <c r="V2" s="11" t="n">
        <v>46288</v>
      </c>
      <c r="W2" s="11" t="n">
        <v>46289</v>
      </c>
      <c r="X2" s="11" t="n">
        <v>46290</v>
      </c>
      <c r="Y2" s="11" t="n">
        <v>46291</v>
      </c>
      <c r="Z2" s="11" t="n">
        <v>46292</v>
      </c>
      <c r="AA2" s="11" t="n">
        <v>46293</v>
      </c>
      <c r="AB2" s="11" t="n">
        <v>46294</v>
      </c>
      <c r="AC2" s="11" t="n">
        <v>46295</v>
      </c>
      <c r="AD2" s="11" t="n">
        <v>46296</v>
      </c>
      <c r="AE2" s="11" t="n">
        <v>46297</v>
      </c>
      <c r="AF2" s="11" t="n">
        <v>46298</v>
      </c>
      <c r="AG2" s="11" t="n">
        <v>46299</v>
      </c>
      <c r="AH2" s="11" t="n">
        <v>46300</v>
      </c>
      <c r="AI2" s="11" t="n">
        <v>46301</v>
      </c>
      <c r="AJ2" s="11" t="n">
        <v>46302</v>
      </c>
      <c r="AK2" s="11" t="n">
        <v>46303</v>
      </c>
      <c r="AL2" s="11" t="n">
        <v>46304</v>
      </c>
      <c r="AM2" s="11" t="n">
        <v>46305</v>
      </c>
      <c r="AN2" s="11" t="n">
        <v>46306</v>
      </c>
      <c r="AO2" s="11" t="n">
        <v>46307</v>
      </c>
      <c r="AP2" s="11" t="n">
        <v>46308</v>
      </c>
      <c r="AQ2" s="11" t="n">
        <v>46309</v>
      </c>
    </row>
    <row r="3">
      <c r="J3" t="inlineStr">
        <is>
          <t>Fri</t>
        </is>
      </c>
      <c r="K3" t="inlineStr">
        <is>
          <t>Sat</t>
        </is>
      </c>
      <c r="L3" t="inlineStr">
        <is>
          <t>Sun</t>
        </is>
      </c>
      <c r="M3" t="inlineStr">
        <is>
          <t>Mon</t>
        </is>
      </c>
      <c r="N3" t="inlineStr">
        <is>
          <t>Tue</t>
        </is>
      </c>
      <c r="O3" t="inlineStr">
        <is>
          <t>Wed</t>
        </is>
      </c>
      <c r="P3" t="inlineStr">
        <is>
          <t>Thu</t>
        </is>
      </c>
      <c r="Q3" t="inlineStr">
        <is>
          <t>Fri</t>
        </is>
      </c>
      <c r="R3" t="inlineStr">
        <is>
          <t>Sat</t>
        </is>
      </c>
      <c r="S3" t="inlineStr">
        <is>
          <t>Sun</t>
        </is>
      </c>
      <c r="T3" t="inlineStr">
        <is>
          <t>Mon</t>
        </is>
      </c>
      <c r="U3" t="inlineStr">
        <is>
          <t>Tue</t>
        </is>
      </c>
      <c r="V3" t="inlineStr">
        <is>
          <t>Wed</t>
        </is>
      </c>
      <c r="W3" t="inlineStr">
        <is>
          <t>Thu</t>
        </is>
      </c>
      <c r="X3" t="inlineStr">
        <is>
          <t>Fri</t>
        </is>
      </c>
      <c r="Y3" t="inlineStr">
        <is>
          <t>Sat</t>
        </is>
      </c>
      <c r="Z3" t="inlineStr">
        <is>
          <t>Sun</t>
        </is>
      </c>
      <c r="AA3" t="inlineStr">
        <is>
          <t>Mon</t>
        </is>
      </c>
      <c r="AB3" t="inlineStr">
        <is>
          <t>Tue</t>
        </is>
      </c>
      <c r="AC3" t="inlineStr">
        <is>
          <t>Wed</t>
        </is>
      </c>
      <c r="AD3" t="inlineStr">
        <is>
          <t>Thu</t>
        </is>
      </c>
      <c r="AE3" t="inlineStr">
        <is>
          <t>Fri</t>
        </is>
      </c>
      <c r="AF3" t="inlineStr">
        <is>
          <t>Sat</t>
        </is>
      </c>
      <c r="AG3" t="inlineStr">
        <is>
          <t>Sun</t>
        </is>
      </c>
      <c r="AH3" t="inlineStr">
        <is>
          <t>Mon</t>
        </is>
      </c>
      <c r="AI3" t="inlineStr">
        <is>
          <t>Tue</t>
        </is>
      </c>
      <c r="AJ3" t="inlineStr">
        <is>
          <t>Wed</t>
        </is>
      </c>
      <c r="AK3" t="inlineStr">
        <is>
          <t>Thu</t>
        </is>
      </c>
      <c r="AL3" t="inlineStr">
        <is>
          <t>Fri</t>
        </is>
      </c>
      <c r="AM3" t="inlineStr">
        <is>
          <t>Sat</t>
        </is>
      </c>
      <c r="AN3" t="inlineStr">
        <is>
          <t>Sun</t>
        </is>
      </c>
      <c r="AO3" t="inlineStr">
        <is>
          <t>Mon</t>
        </is>
      </c>
      <c r="AP3" t="inlineStr">
        <is>
          <t>Tue</t>
        </is>
      </c>
      <c r="AQ3" t="inlineStr">
        <is>
          <t>Wed</t>
        </is>
      </c>
    </row>
    <row r="4">
      <c r="J4" t="inlineStr">
        <is>
          <t>09/11</t>
        </is>
      </c>
      <c r="K4" t="inlineStr">
        <is>
          <t>09/12</t>
        </is>
      </c>
      <c r="L4" t="inlineStr">
        <is>
          <t>09/13</t>
        </is>
      </c>
      <c r="M4" t="inlineStr">
        <is>
          <t>09/14</t>
        </is>
      </c>
      <c r="N4" t="inlineStr">
        <is>
          <t>09/15</t>
        </is>
      </c>
      <c r="O4" t="inlineStr">
        <is>
          <t>09/16</t>
        </is>
      </c>
      <c r="P4" t="inlineStr">
        <is>
          <t>09/17</t>
        </is>
      </c>
      <c r="Q4" t="inlineStr">
        <is>
          <t>09/18</t>
        </is>
      </c>
      <c r="R4" t="inlineStr">
        <is>
          <t>09/19</t>
        </is>
      </c>
      <c r="S4" t="inlineStr">
        <is>
          <t>09/20</t>
        </is>
      </c>
      <c r="T4" t="inlineStr">
        <is>
          <t>09/21</t>
        </is>
      </c>
      <c r="U4" t="inlineStr">
        <is>
          <t>09/22</t>
        </is>
      </c>
      <c r="V4" t="inlineStr">
        <is>
          <t>09/23</t>
        </is>
      </c>
      <c r="W4" t="inlineStr">
        <is>
          <t>09/24</t>
        </is>
      </c>
      <c r="X4" t="inlineStr">
        <is>
          <t>09/25</t>
        </is>
      </c>
      <c r="Y4" t="inlineStr">
        <is>
          <t>09/26</t>
        </is>
      </c>
      <c r="Z4" t="inlineStr">
        <is>
          <t>09/27</t>
        </is>
      </c>
      <c r="AA4" t="inlineStr">
        <is>
          <t>09/28</t>
        </is>
      </c>
      <c r="AB4" t="inlineStr">
        <is>
          <t>09/29</t>
        </is>
      </c>
      <c r="AC4" t="inlineStr">
        <is>
          <t>09/30</t>
        </is>
      </c>
      <c r="AD4" t="inlineStr">
        <is>
          <t>10/01</t>
        </is>
      </c>
      <c r="AE4" t="inlineStr">
        <is>
          <t>10/02</t>
        </is>
      </c>
      <c r="AF4" t="inlineStr">
        <is>
          <t>10/03</t>
        </is>
      </c>
      <c r="AG4" t="inlineStr">
        <is>
          <t>10/04</t>
        </is>
      </c>
      <c r="AH4" t="inlineStr">
        <is>
          <t>10/05</t>
        </is>
      </c>
      <c r="AI4" t="inlineStr">
        <is>
          <t>10/06</t>
        </is>
      </c>
      <c r="AJ4" t="inlineStr">
        <is>
          <t>10/07</t>
        </is>
      </c>
      <c r="AK4" t="inlineStr">
        <is>
          <t>10/08</t>
        </is>
      </c>
      <c r="AL4" t="inlineStr">
        <is>
          <t>10/09</t>
        </is>
      </c>
      <c r="AM4" t="inlineStr">
        <is>
          <t>10/10</t>
        </is>
      </c>
      <c r="AN4" t="inlineStr">
        <is>
          <t>10/11</t>
        </is>
      </c>
      <c r="AO4" t="inlineStr">
        <is>
          <t>10/12</t>
        </is>
      </c>
      <c r="AP4" t="inlineStr">
        <is>
          <t>10/13</t>
        </is>
      </c>
      <c r="AQ4" t="inlineStr">
        <is>
          <t>10/14</t>
        </is>
      </c>
    </row>
    <row r="5">
      <c r="A5">
        <f>Tracker!A2</f>
        <v/>
      </c>
      <c r="B5">
        <f>Tracker!B2</f>
        <v/>
      </c>
      <c r="C5">
        <f>Tracker!C2</f>
        <v/>
      </c>
      <c r="D5">
        <f>Tracker!J2</f>
        <v/>
      </c>
      <c r="E5">
        <f>Tracker!K2</f>
        <v/>
      </c>
      <c r="F5" s="12">
        <f>Tracker!L2</f>
        <v/>
      </c>
      <c r="G5" s="13">
        <f>Tracker!E2</f>
        <v/>
      </c>
      <c r="H5" s="13">
        <f>Tracker!F2</f>
        <v/>
      </c>
      <c r="I5">
        <f>Tracker!M2</f>
        <v/>
      </c>
      <c r="J5">
        <f>IF(AND(J$2&gt;=$G5,J$2&lt;=$H5),IF(AND($I5="YES",J$2=$H5),3,IF($F5=1,4,IF(J$2&lt;=$G5+($H5-$G5+1)*$F5-1,1,2))),"")</f>
        <v/>
      </c>
      <c r="K5">
        <f>IF(AND(K$2&gt;=$G5,K$2&lt;=$H5),IF(AND($I5="YES",K$2=$H5),3,IF($F5=1,4,IF(K$2&lt;=$G5+($H5-$G5+1)*$F5-1,1,2))),"")</f>
        <v/>
      </c>
      <c r="L5">
        <f>IF(AND(L$2&gt;=$G5,L$2&lt;=$H5),IF(AND($I5="YES",L$2=$H5),3,IF($F5=1,4,IF(L$2&lt;=$G5+($H5-$G5+1)*$F5-1,1,2))),"")</f>
        <v/>
      </c>
      <c r="M5">
        <f>IF(AND(M$2&gt;=$G5,M$2&lt;=$H5),IF(AND($I5="YES",M$2=$H5),3,IF($F5=1,4,IF(M$2&lt;=$G5+($H5-$G5+1)*$F5-1,1,2))),"")</f>
        <v/>
      </c>
      <c r="N5">
        <f>IF(AND(N$2&gt;=$G5,N$2&lt;=$H5),IF(AND($I5="YES",N$2=$H5),3,IF($F5=1,4,IF(N$2&lt;=$G5+($H5-$G5+1)*$F5-1,1,2))),"")</f>
        <v/>
      </c>
      <c r="O5">
        <f>IF(AND(O$2&gt;=$G5,O$2&lt;=$H5),IF(AND($I5="YES",O$2=$H5),3,IF($F5=1,4,IF(O$2&lt;=$G5+($H5-$G5+1)*$F5-1,1,2))),"")</f>
        <v/>
      </c>
      <c r="P5">
        <f>IF(AND(P$2&gt;=$G5,P$2&lt;=$H5),IF(AND($I5="YES",P$2=$H5),3,IF($F5=1,4,IF(P$2&lt;=$G5+($H5-$G5+1)*$F5-1,1,2))),"")</f>
        <v/>
      </c>
      <c r="Q5">
        <f>IF(AND(Q$2&gt;=$G5,Q$2&lt;=$H5),IF(AND($I5="YES",Q$2=$H5),3,IF($F5=1,4,IF(Q$2&lt;=$G5+($H5-$G5+1)*$F5-1,1,2))),"")</f>
        <v/>
      </c>
      <c r="R5">
        <f>IF(AND(R$2&gt;=$G5,R$2&lt;=$H5),IF(AND($I5="YES",R$2=$H5),3,IF($F5=1,4,IF(R$2&lt;=$G5+($H5-$G5+1)*$F5-1,1,2))),"")</f>
        <v/>
      </c>
      <c r="S5">
        <f>IF(AND(S$2&gt;=$G5,S$2&lt;=$H5),IF(AND($I5="YES",S$2=$H5),3,IF($F5=1,4,IF(S$2&lt;=$G5+($H5-$G5+1)*$F5-1,1,2))),"")</f>
        <v/>
      </c>
      <c r="T5">
        <f>IF(AND(T$2&gt;=$G5,T$2&lt;=$H5),IF(AND($I5="YES",T$2=$H5),3,IF($F5=1,4,IF(T$2&lt;=$G5+($H5-$G5+1)*$F5-1,1,2))),"")</f>
        <v/>
      </c>
      <c r="U5">
        <f>IF(AND(U$2&gt;=$G5,U$2&lt;=$H5),IF(AND($I5="YES",U$2=$H5),3,IF($F5=1,4,IF(U$2&lt;=$G5+($H5-$G5+1)*$F5-1,1,2))),"")</f>
        <v/>
      </c>
      <c r="V5">
        <f>IF(AND(V$2&gt;=$G5,V$2&lt;=$H5),IF(AND($I5="YES",V$2=$H5),3,IF($F5=1,4,IF(V$2&lt;=$G5+($H5-$G5+1)*$F5-1,1,2))),"")</f>
        <v/>
      </c>
      <c r="W5">
        <f>IF(AND(W$2&gt;=$G5,W$2&lt;=$H5),IF(AND($I5="YES",W$2=$H5),3,IF($F5=1,4,IF(W$2&lt;=$G5+($H5-$G5+1)*$F5-1,1,2))),"")</f>
        <v/>
      </c>
      <c r="X5">
        <f>IF(AND(X$2&gt;=$G5,X$2&lt;=$H5),IF(AND($I5="YES",X$2=$H5),3,IF($F5=1,4,IF(X$2&lt;=$G5+($H5-$G5+1)*$F5-1,1,2))),"")</f>
        <v/>
      </c>
      <c r="Y5">
        <f>IF(AND(Y$2&gt;=$G5,Y$2&lt;=$H5),IF(AND($I5="YES",Y$2=$H5),3,IF($F5=1,4,IF(Y$2&lt;=$G5+($H5-$G5+1)*$F5-1,1,2))),"")</f>
        <v/>
      </c>
      <c r="Z5">
        <f>IF(AND(Z$2&gt;=$G5,Z$2&lt;=$H5),IF(AND($I5="YES",Z$2=$H5),3,IF($F5=1,4,IF(Z$2&lt;=$G5+($H5-$G5+1)*$F5-1,1,2))),"")</f>
        <v/>
      </c>
      <c r="AA5">
        <f>IF(AND(AA$2&gt;=$G5,AA$2&lt;=$H5),IF(AND($I5="YES",AA$2=$H5),3,IF($F5=1,4,IF(AA$2&lt;=$G5+($H5-$G5+1)*$F5-1,1,2))),"")</f>
        <v/>
      </c>
      <c r="AB5">
        <f>IF(AND(AB$2&gt;=$G5,AB$2&lt;=$H5),IF(AND($I5="YES",AB$2=$H5),3,IF($F5=1,4,IF(AB$2&lt;=$G5+($H5-$G5+1)*$F5-1,1,2))),"")</f>
        <v/>
      </c>
      <c r="AC5">
        <f>IF(AND(AC$2&gt;=$G5,AC$2&lt;=$H5),IF(AND($I5="YES",AC$2=$H5),3,IF($F5=1,4,IF(AC$2&lt;=$G5+($H5-$G5+1)*$F5-1,1,2))),"")</f>
        <v/>
      </c>
      <c r="AD5">
        <f>IF(AND(AD$2&gt;=$G5,AD$2&lt;=$H5),IF(AND($I5="YES",AD$2=$H5),3,IF($F5=1,4,IF(AD$2&lt;=$G5+($H5-$G5+1)*$F5-1,1,2))),"")</f>
        <v/>
      </c>
      <c r="AE5">
        <f>IF(AND(AE$2&gt;=$G5,AE$2&lt;=$H5),IF(AND($I5="YES",AE$2=$H5),3,IF($F5=1,4,IF(AE$2&lt;=$G5+($H5-$G5+1)*$F5-1,1,2))),"")</f>
        <v/>
      </c>
      <c r="AF5">
        <f>IF(AND(AF$2&gt;=$G5,AF$2&lt;=$H5),IF(AND($I5="YES",AF$2=$H5),3,IF($F5=1,4,IF(AF$2&lt;=$G5+($H5-$G5+1)*$F5-1,1,2))),"")</f>
        <v/>
      </c>
      <c r="AG5">
        <f>IF(AND(AG$2&gt;=$G5,AG$2&lt;=$H5),IF(AND($I5="YES",AG$2=$H5),3,IF($F5=1,4,IF(AG$2&lt;=$G5+($H5-$G5+1)*$F5-1,1,2))),"")</f>
        <v/>
      </c>
      <c r="AH5">
        <f>IF(AND(AH$2&gt;=$G5,AH$2&lt;=$H5),IF(AND($I5="YES",AH$2=$H5),3,IF($F5=1,4,IF(AH$2&lt;=$G5+($H5-$G5+1)*$F5-1,1,2))),"")</f>
        <v/>
      </c>
      <c r="AI5">
        <f>IF(AND(AI$2&gt;=$G5,AI$2&lt;=$H5),IF(AND($I5="YES",AI$2=$H5),3,IF($F5=1,4,IF(AI$2&lt;=$G5+($H5-$G5+1)*$F5-1,1,2))),"")</f>
        <v/>
      </c>
      <c r="AJ5">
        <f>IF(AND(AJ$2&gt;=$G5,AJ$2&lt;=$H5),IF(AND($I5="YES",AJ$2=$H5),3,IF($F5=1,4,IF(AJ$2&lt;=$G5+($H5-$G5+1)*$F5-1,1,2))),"")</f>
        <v/>
      </c>
      <c r="AK5">
        <f>IF(AND(AK$2&gt;=$G5,AK$2&lt;=$H5),IF(AND($I5="YES",AK$2=$H5),3,IF($F5=1,4,IF(AK$2&lt;=$G5+($H5-$G5+1)*$F5-1,1,2))),"")</f>
        <v/>
      </c>
      <c r="AL5">
        <f>IF(AND(AL$2&gt;=$G5,AL$2&lt;=$H5),IF(AND($I5="YES",AL$2=$H5),3,IF($F5=1,4,IF(AL$2&lt;=$G5+($H5-$G5+1)*$F5-1,1,2))),"")</f>
        <v/>
      </c>
      <c r="AM5">
        <f>IF(AND(AM$2&gt;=$G5,AM$2&lt;=$H5),IF(AND($I5="YES",AM$2=$H5),3,IF($F5=1,4,IF(AM$2&lt;=$G5+($H5-$G5+1)*$F5-1,1,2))),"")</f>
        <v/>
      </c>
      <c r="AN5">
        <f>IF(AND(AN$2&gt;=$G5,AN$2&lt;=$H5),IF(AND($I5="YES",AN$2=$H5),3,IF($F5=1,4,IF(AN$2&lt;=$G5+($H5-$G5+1)*$F5-1,1,2))),"")</f>
        <v/>
      </c>
      <c r="AO5">
        <f>IF(AND(AO$2&gt;=$G5,AO$2&lt;=$H5),IF(AND($I5="YES",AO$2=$H5),3,IF($F5=1,4,IF(AO$2&lt;=$G5+($H5-$G5+1)*$F5-1,1,2))),"")</f>
        <v/>
      </c>
      <c r="AP5">
        <f>IF(AND(AP$2&gt;=$G5,AP$2&lt;=$H5),IF(AND($I5="YES",AP$2=$H5),3,IF($F5=1,4,IF(AP$2&lt;=$G5+($H5-$G5+1)*$F5-1,1,2))),"")</f>
        <v/>
      </c>
      <c r="AQ5">
        <f>IF(AND(AQ$2&gt;=$G5,AQ$2&lt;=$H5),IF(AND($I5="YES",AQ$2=$H5),3,IF($F5=1,4,IF(AQ$2&lt;=$G5+($H5-$G5+1)*$F5-1,1,2))),"")</f>
        <v/>
      </c>
    </row>
    <row r="6">
      <c r="A6">
        <f>Tracker!A3</f>
        <v/>
      </c>
      <c r="B6">
        <f>Tracker!B3</f>
        <v/>
      </c>
      <c r="C6">
        <f>Tracker!C3</f>
        <v/>
      </c>
      <c r="D6">
        <f>Tracker!J3</f>
        <v/>
      </c>
      <c r="E6">
        <f>Tracker!K3</f>
        <v/>
      </c>
      <c r="F6" s="12">
        <f>Tracker!L3</f>
        <v/>
      </c>
      <c r="G6" s="13">
        <f>Tracker!E3</f>
        <v/>
      </c>
      <c r="H6" s="13">
        <f>Tracker!F3</f>
        <v/>
      </c>
      <c r="I6">
        <f>Tracker!M3</f>
        <v/>
      </c>
      <c r="J6">
        <f>IF(AND(J$2&gt;=$G6,J$2&lt;=$H6),IF(AND($I6="YES",J$2=$H6),3,IF($F6=1,4,IF(J$2&lt;=$G6+($H6-$G6+1)*$F6-1,1,2))),"")</f>
        <v/>
      </c>
      <c r="K6">
        <f>IF(AND(K$2&gt;=$G6,K$2&lt;=$H6),IF(AND($I6="YES",K$2=$H6),3,IF($F6=1,4,IF(K$2&lt;=$G6+($H6-$G6+1)*$F6-1,1,2))),"")</f>
        <v/>
      </c>
      <c r="L6">
        <f>IF(AND(L$2&gt;=$G6,L$2&lt;=$H6),IF(AND($I6="YES",L$2=$H6),3,IF($F6=1,4,IF(L$2&lt;=$G6+($H6-$G6+1)*$F6-1,1,2))),"")</f>
        <v/>
      </c>
      <c r="M6">
        <f>IF(AND(M$2&gt;=$G6,M$2&lt;=$H6),IF(AND($I6="YES",M$2=$H6),3,IF($F6=1,4,IF(M$2&lt;=$G6+($H6-$G6+1)*$F6-1,1,2))),"")</f>
        <v/>
      </c>
      <c r="N6">
        <f>IF(AND(N$2&gt;=$G6,N$2&lt;=$H6),IF(AND($I6="YES",N$2=$H6),3,IF($F6=1,4,IF(N$2&lt;=$G6+($H6-$G6+1)*$F6-1,1,2))),"")</f>
        <v/>
      </c>
      <c r="O6">
        <f>IF(AND(O$2&gt;=$G6,O$2&lt;=$H6),IF(AND($I6="YES",O$2=$H6),3,IF($F6=1,4,IF(O$2&lt;=$G6+($H6-$G6+1)*$F6-1,1,2))),"")</f>
        <v/>
      </c>
      <c r="P6">
        <f>IF(AND(P$2&gt;=$G6,P$2&lt;=$H6),IF(AND($I6="YES",P$2=$H6),3,IF($F6=1,4,IF(P$2&lt;=$G6+($H6-$G6+1)*$F6-1,1,2))),"")</f>
        <v/>
      </c>
      <c r="Q6">
        <f>IF(AND(Q$2&gt;=$G6,Q$2&lt;=$H6),IF(AND($I6="YES",Q$2=$H6),3,IF($F6=1,4,IF(Q$2&lt;=$G6+($H6-$G6+1)*$F6-1,1,2))),"")</f>
        <v/>
      </c>
      <c r="R6">
        <f>IF(AND(R$2&gt;=$G6,R$2&lt;=$H6),IF(AND($I6="YES",R$2=$H6),3,IF($F6=1,4,IF(R$2&lt;=$G6+($H6-$G6+1)*$F6-1,1,2))),"")</f>
        <v/>
      </c>
      <c r="S6">
        <f>IF(AND(S$2&gt;=$G6,S$2&lt;=$H6),IF(AND($I6="YES",S$2=$H6),3,IF($F6=1,4,IF(S$2&lt;=$G6+($H6-$G6+1)*$F6-1,1,2))),"")</f>
        <v/>
      </c>
      <c r="T6">
        <f>IF(AND(T$2&gt;=$G6,T$2&lt;=$H6),IF(AND($I6="YES",T$2=$H6),3,IF($F6=1,4,IF(T$2&lt;=$G6+($H6-$G6+1)*$F6-1,1,2))),"")</f>
        <v/>
      </c>
      <c r="U6">
        <f>IF(AND(U$2&gt;=$G6,U$2&lt;=$H6),IF(AND($I6="YES",U$2=$H6),3,IF($F6=1,4,IF(U$2&lt;=$G6+($H6-$G6+1)*$F6-1,1,2))),"")</f>
        <v/>
      </c>
      <c r="V6">
        <f>IF(AND(V$2&gt;=$G6,V$2&lt;=$H6),IF(AND($I6="YES",V$2=$H6),3,IF($F6=1,4,IF(V$2&lt;=$G6+($H6-$G6+1)*$F6-1,1,2))),"")</f>
        <v/>
      </c>
      <c r="W6">
        <f>IF(AND(W$2&gt;=$G6,W$2&lt;=$H6),IF(AND($I6="YES",W$2=$H6),3,IF($F6=1,4,IF(W$2&lt;=$G6+($H6-$G6+1)*$F6-1,1,2))),"")</f>
        <v/>
      </c>
      <c r="X6">
        <f>IF(AND(X$2&gt;=$G6,X$2&lt;=$H6),IF(AND($I6="YES",X$2=$H6),3,IF($F6=1,4,IF(X$2&lt;=$G6+($H6-$G6+1)*$F6-1,1,2))),"")</f>
        <v/>
      </c>
      <c r="Y6">
        <f>IF(AND(Y$2&gt;=$G6,Y$2&lt;=$H6),IF(AND($I6="YES",Y$2=$H6),3,IF($F6=1,4,IF(Y$2&lt;=$G6+($H6-$G6+1)*$F6-1,1,2))),"")</f>
        <v/>
      </c>
      <c r="Z6">
        <f>IF(AND(Z$2&gt;=$G6,Z$2&lt;=$H6),IF(AND($I6="YES",Z$2=$H6),3,IF($F6=1,4,IF(Z$2&lt;=$G6+($H6-$G6+1)*$F6-1,1,2))),"")</f>
        <v/>
      </c>
      <c r="AA6">
        <f>IF(AND(AA$2&gt;=$G6,AA$2&lt;=$H6),IF(AND($I6="YES",AA$2=$H6),3,IF($F6=1,4,IF(AA$2&lt;=$G6+($H6-$G6+1)*$F6-1,1,2))),"")</f>
        <v/>
      </c>
      <c r="AB6">
        <f>IF(AND(AB$2&gt;=$G6,AB$2&lt;=$H6),IF(AND($I6="YES",AB$2=$H6),3,IF($F6=1,4,IF(AB$2&lt;=$G6+($H6-$G6+1)*$F6-1,1,2))),"")</f>
        <v/>
      </c>
      <c r="AC6">
        <f>IF(AND(AC$2&gt;=$G6,AC$2&lt;=$H6),IF(AND($I6="YES",AC$2=$H6),3,IF($F6=1,4,IF(AC$2&lt;=$G6+($H6-$G6+1)*$F6-1,1,2))),"")</f>
        <v/>
      </c>
      <c r="AD6">
        <f>IF(AND(AD$2&gt;=$G6,AD$2&lt;=$H6),IF(AND($I6="YES",AD$2=$H6),3,IF($F6=1,4,IF(AD$2&lt;=$G6+($H6-$G6+1)*$F6-1,1,2))),"")</f>
        <v/>
      </c>
      <c r="AE6">
        <f>IF(AND(AE$2&gt;=$G6,AE$2&lt;=$H6),IF(AND($I6="YES",AE$2=$H6),3,IF($F6=1,4,IF(AE$2&lt;=$G6+($H6-$G6+1)*$F6-1,1,2))),"")</f>
        <v/>
      </c>
      <c r="AF6">
        <f>IF(AND(AF$2&gt;=$G6,AF$2&lt;=$H6),IF(AND($I6="YES",AF$2=$H6),3,IF($F6=1,4,IF(AF$2&lt;=$G6+($H6-$G6+1)*$F6-1,1,2))),"")</f>
        <v/>
      </c>
      <c r="AG6">
        <f>IF(AND(AG$2&gt;=$G6,AG$2&lt;=$H6),IF(AND($I6="YES",AG$2=$H6),3,IF($F6=1,4,IF(AG$2&lt;=$G6+($H6-$G6+1)*$F6-1,1,2))),"")</f>
        <v/>
      </c>
      <c r="AH6">
        <f>IF(AND(AH$2&gt;=$G6,AH$2&lt;=$H6),IF(AND($I6="YES",AH$2=$H6),3,IF($F6=1,4,IF(AH$2&lt;=$G6+($H6-$G6+1)*$F6-1,1,2))),"")</f>
        <v/>
      </c>
      <c r="AI6">
        <f>IF(AND(AI$2&gt;=$G6,AI$2&lt;=$H6),IF(AND($I6="YES",AI$2=$H6),3,IF($F6=1,4,IF(AI$2&lt;=$G6+($H6-$G6+1)*$F6-1,1,2))),"")</f>
        <v/>
      </c>
      <c r="AJ6">
        <f>IF(AND(AJ$2&gt;=$G6,AJ$2&lt;=$H6),IF(AND($I6="YES",AJ$2=$H6),3,IF($F6=1,4,IF(AJ$2&lt;=$G6+($H6-$G6+1)*$F6-1,1,2))),"")</f>
        <v/>
      </c>
      <c r="AK6">
        <f>IF(AND(AK$2&gt;=$G6,AK$2&lt;=$H6),IF(AND($I6="YES",AK$2=$H6),3,IF($F6=1,4,IF(AK$2&lt;=$G6+($H6-$G6+1)*$F6-1,1,2))),"")</f>
        <v/>
      </c>
      <c r="AL6">
        <f>IF(AND(AL$2&gt;=$G6,AL$2&lt;=$H6),IF(AND($I6="YES",AL$2=$H6),3,IF($F6=1,4,IF(AL$2&lt;=$G6+($H6-$G6+1)*$F6-1,1,2))),"")</f>
        <v/>
      </c>
      <c r="AM6">
        <f>IF(AND(AM$2&gt;=$G6,AM$2&lt;=$H6),IF(AND($I6="YES",AM$2=$H6),3,IF($F6=1,4,IF(AM$2&lt;=$G6+($H6-$G6+1)*$F6-1,1,2))),"")</f>
        <v/>
      </c>
      <c r="AN6">
        <f>IF(AND(AN$2&gt;=$G6,AN$2&lt;=$H6),IF(AND($I6="YES",AN$2=$H6),3,IF($F6=1,4,IF(AN$2&lt;=$G6+($H6-$G6+1)*$F6-1,1,2))),"")</f>
        <v/>
      </c>
      <c r="AO6">
        <f>IF(AND(AO$2&gt;=$G6,AO$2&lt;=$H6),IF(AND($I6="YES",AO$2=$H6),3,IF($F6=1,4,IF(AO$2&lt;=$G6+($H6-$G6+1)*$F6-1,1,2))),"")</f>
        <v/>
      </c>
      <c r="AP6">
        <f>IF(AND(AP$2&gt;=$G6,AP$2&lt;=$H6),IF(AND($I6="YES",AP$2=$H6),3,IF($F6=1,4,IF(AP$2&lt;=$G6+($H6-$G6+1)*$F6-1,1,2))),"")</f>
        <v/>
      </c>
      <c r="AQ6">
        <f>IF(AND(AQ$2&gt;=$G6,AQ$2&lt;=$H6),IF(AND($I6="YES",AQ$2=$H6),3,IF($F6=1,4,IF(AQ$2&lt;=$G6+($H6-$G6+1)*$F6-1,1,2))),"")</f>
        <v/>
      </c>
    </row>
    <row r="7">
      <c r="A7">
        <f>Tracker!A4</f>
        <v/>
      </c>
      <c r="B7">
        <f>Tracker!B4</f>
        <v/>
      </c>
      <c r="C7">
        <f>Tracker!C4</f>
        <v/>
      </c>
      <c r="D7">
        <f>Tracker!J4</f>
        <v/>
      </c>
      <c r="E7">
        <f>Tracker!K4</f>
        <v/>
      </c>
      <c r="F7" s="12">
        <f>Tracker!L4</f>
        <v/>
      </c>
      <c r="G7" s="13">
        <f>Tracker!E4</f>
        <v/>
      </c>
      <c r="H7" s="13">
        <f>Tracker!F4</f>
        <v/>
      </c>
      <c r="I7">
        <f>Tracker!M4</f>
        <v/>
      </c>
      <c r="J7">
        <f>IF(AND(J$2&gt;=$G7,J$2&lt;=$H7),IF(AND($I7="YES",J$2=$H7),3,IF($F7=1,4,IF(J$2&lt;=$G7+($H7-$G7+1)*$F7-1,1,2))),"")</f>
        <v/>
      </c>
      <c r="K7">
        <f>IF(AND(K$2&gt;=$G7,K$2&lt;=$H7),IF(AND($I7="YES",K$2=$H7),3,IF($F7=1,4,IF(K$2&lt;=$G7+($H7-$G7+1)*$F7-1,1,2))),"")</f>
        <v/>
      </c>
      <c r="L7">
        <f>IF(AND(L$2&gt;=$G7,L$2&lt;=$H7),IF(AND($I7="YES",L$2=$H7),3,IF($F7=1,4,IF(L$2&lt;=$G7+($H7-$G7+1)*$F7-1,1,2))),"")</f>
        <v/>
      </c>
      <c r="M7">
        <f>IF(AND(M$2&gt;=$G7,M$2&lt;=$H7),IF(AND($I7="YES",M$2=$H7),3,IF($F7=1,4,IF(M$2&lt;=$G7+($H7-$G7+1)*$F7-1,1,2))),"")</f>
        <v/>
      </c>
      <c r="N7">
        <f>IF(AND(N$2&gt;=$G7,N$2&lt;=$H7),IF(AND($I7="YES",N$2=$H7),3,IF($F7=1,4,IF(N$2&lt;=$G7+($H7-$G7+1)*$F7-1,1,2))),"")</f>
        <v/>
      </c>
      <c r="O7">
        <f>IF(AND(O$2&gt;=$G7,O$2&lt;=$H7),IF(AND($I7="YES",O$2=$H7),3,IF($F7=1,4,IF(O$2&lt;=$G7+($H7-$G7+1)*$F7-1,1,2))),"")</f>
        <v/>
      </c>
      <c r="P7">
        <f>IF(AND(P$2&gt;=$G7,P$2&lt;=$H7),IF(AND($I7="YES",P$2=$H7),3,IF($F7=1,4,IF(P$2&lt;=$G7+($H7-$G7+1)*$F7-1,1,2))),"")</f>
        <v/>
      </c>
      <c r="Q7">
        <f>IF(AND(Q$2&gt;=$G7,Q$2&lt;=$H7),IF(AND($I7="YES",Q$2=$H7),3,IF($F7=1,4,IF(Q$2&lt;=$G7+($H7-$G7+1)*$F7-1,1,2))),"")</f>
        <v/>
      </c>
      <c r="R7">
        <f>IF(AND(R$2&gt;=$G7,R$2&lt;=$H7),IF(AND($I7="YES",R$2=$H7),3,IF($F7=1,4,IF(R$2&lt;=$G7+($H7-$G7+1)*$F7-1,1,2))),"")</f>
        <v/>
      </c>
      <c r="S7">
        <f>IF(AND(S$2&gt;=$G7,S$2&lt;=$H7),IF(AND($I7="YES",S$2=$H7),3,IF($F7=1,4,IF(S$2&lt;=$G7+($H7-$G7+1)*$F7-1,1,2))),"")</f>
        <v/>
      </c>
      <c r="T7">
        <f>IF(AND(T$2&gt;=$G7,T$2&lt;=$H7),IF(AND($I7="YES",T$2=$H7),3,IF($F7=1,4,IF(T$2&lt;=$G7+($H7-$G7+1)*$F7-1,1,2))),"")</f>
        <v/>
      </c>
      <c r="U7">
        <f>IF(AND(U$2&gt;=$G7,U$2&lt;=$H7),IF(AND($I7="YES",U$2=$H7),3,IF($F7=1,4,IF(U$2&lt;=$G7+($H7-$G7+1)*$F7-1,1,2))),"")</f>
        <v/>
      </c>
      <c r="V7">
        <f>IF(AND(V$2&gt;=$G7,V$2&lt;=$H7),IF(AND($I7="YES",V$2=$H7),3,IF($F7=1,4,IF(V$2&lt;=$G7+($H7-$G7+1)*$F7-1,1,2))),"")</f>
        <v/>
      </c>
      <c r="W7">
        <f>IF(AND(W$2&gt;=$G7,W$2&lt;=$H7),IF(AND($I7="YES",W$2=$H7),3,IF($F7=1,4,IF(W$2&lt;=$G7+($H7-$G7+1)*$F7-1,1,2))),"")</f>
        <v/>
      </c>
      <c r="X7">
        <f>IF(AND(X$2&gt;=$G7,X$2&lt;=$H7),IF(AND($I7="YES",X$2=$H7),3,IF($F7=1,4,IF(X$2&lt;=$G7+($H7-$G7+1)*$F7-1,1,2))),"")</f>
        <v/>
      </c>
      <c r="Y7">
        <f>IF(AND(Y$2&gt;=$G7,Y$2&lt;=$H7),IF(AND($I7="YES",Y$2=$H7),3,IF($F7=1,4,IF(Y$2&lt;=$G7+($H7-$G7+1)*$F7-1,1,2))),"")</f>
        <v/>
      </c>
      <c r="Z7">
        <f>IF(AND(Z$2&gt;=$G7,Z$2&lt;=$H7),IF(AND($I7="YES",Z$2=$H7),3,IF($F7=1,4,IF(Z$2&lt;=$G7+($H7-$G7+1)*$F7-1,1,2))),"")</f>
        <v/>
      </c>
      <c r="AA7">
        <f>IF(AND(AA$2&gt;=$G7,AA$2&lt;=$H7),IF(AND($I7="YES",AA$2=$H7),3,IF($F7=1,4,IF(AA$2&lt;=$G7+($H7-$G7+1)*$F7-1,1,2))),"")</f>
        <v/>
      </c>
      <c r="AB7">
        <f>IF(AND(AB$2&gt;=$G7,AB$2&lt;=$H7),IF(AND($I7="YES",AB$2=$H7),3,IF($F7=1,4,IF(AB$2&lt;=$G7+($H7-$G7+1)*$F7-1,1,2))),"")</f>
        <v/>
      </c>
      <c r="AC7">
        <f>IF(AND(AC$2&gt;=$G7,AC$2&lt;=$H7),IF(AND($I7="YES",AC$2=$H7),3,IF($F7=1,4,IF(AC$2&lt;=$G7+($H7-$G7+1)*$F7-1,1,2))),"")</f>
        <v/>
      </c>
      <c r="AD7">
        <f>IF(AND(AD$2&gt;=$G7,AD$2&lt;=$H7),IF(AND($I7="YES",AD$2=$H7),3,IF($F7=1,4,IF(AD$2&lt;=$G7+($H7-$G7+1)*$F7-1,1,2))),"")</f>
        <v/>
      </c>
      <c r="AE7">
        <f>IF(AND(AE$2&gt;=$G7,AE$2&lt;=$H7),IF(AND($I7="YES",AE$2=$H7),3,IF($F7=1,4,IF(AE$2&lt;=$G7+($H7-$G7+1)*$F7-1,1,2))),"")</f>
        <v/>
      </c>
      <c r="AF7">
        <f>IF(AND(AF$2&gt;=$G7,AF$2&lt;=$H7),IF(AND($I7="YES",AF$2=$H7),3,IF($F7=1,4,IF(AF$2&lt;=$G7+($H7-$G7+1)*$F7-1,1,2))),"")</f>
        <v/>
      </c>
      <c r="AG7">
        <f>IF(AND(AG$2&gt;=$G7,AG$2&lt;=$H7),IF(AND($I7="YES",AG$2=$H7),3,IF($F7=1,4,IF(AG$2&lt;=$G7+($H7-$G7+1)*$F7-1,1,2))),"")</f>
        <v/>
      </c>
      <c r="AH7">
        <f>IF(AND(AH$2&gt;=$G7,AH$2&lt;=$H7),IF(AND($I7="YES",AH$2=$H7),3,IF($F7=1,4,IF(AH$2&lt;=$G7+($H7-$G7+1)*$F7-1,1,2))),"")</f>
        <v/>
      </c>
      <c r="AI7">
        <f>IF(AND(AI$2&gt;=$G7,AI$2&lt;=$H7),IF(AND($I7="YES",AI$2=$H7),3,IF($F7=1,4,IF(AI$2&lt;=$G7+($H7-$G7+1)*$F7-1,1,2))),"")</f>
        <v/>
      </c>
      <c r="AJ7">
        <f>IF(AND(AJ$2&gt;=$G7,AJ$2&lt;=$H7),IF(AND($I7="YES",AJ$2=$H7),3,IF($F7=1,4,IF(AJ$2&lt;=$G7+($H7-$G7+1)*$F7-1,1,2))),"")</f>
        <v/>
      </c>
      <c r="AK7">
        <f>IF(AND(AK$2&gt;=$G7,AK$2&lt;=$H7),IF(AND($I7="YES",AK$2=$H7),3,IF($F7=1,4,IF(AK$2&lt;=$G7+($H7-$G7+1)*$F7-1,1,2))),"")</f>
        <v/>
      </c>
      <c r="AL7">
        <f>IF(AND(AL$2&gt;=$G7,AL$2&lt;=$H7),IF(AND($I7="YES",AL$2=$H7),3,IF($F7=1,4,IF(AL$2&lt;=$G7+($H7-$G7+1)*$F7-1,1,2))),"")</f>
        <v/>
      </c>
      <c r="AM7">
        <f>IF(AND(AM$2&gt;=$G7,AM$2&lt;=$H7),IF(AND($I7="YES",AM$2=$H7),3,IF($F7=1,4,IF(AM$2&lt;=$G7+($H7-$G7+1)*$F7-1,1,2))),"")</f>
        <v/>
      </c>
      <c r="AN7">
        <f>IF(AND(AN$2&gt;=$G7,AN$2&lt;=$H7),IF(AND($I7="YES",AN$2=$H7),3,IF($F7=1,4,IF(AN$2&lt;=$G7+($H7-$G7+1)*$F7-1,1,2))),"")</f>
        <v/>
      </c>
      <c r="AO7">
        <f>IF(AND(AO$2&gt;=$G7,AO$2&lt;=$H7),IF(AND($I7="YES",AO$2=$H7),3,IF($F7=1,4,IF(AO$2&lt;=$G7+($H7-$G7+1)*$F7-1,1,2))),"")</f>
        <v/>
      </c>
      <c r="AP7">
        <f>IF(AND(AP$2&gt;=$G7,AP$2&lt;=$H7),IF(AND($I7="YES",AP$2=$H7),3,IF($F7=1,4,IF(AP$2&lt;=$G7+($H7-$G7+1)*$F7-1,1,2))),"")</f>
        <v/>
      </c>
      <c r="AQ7">
        <f>IF(AND(AQ$2&gt;=$G7,AQ$2&lt;=$H7),IF(AND($I7="YES",AQ$2=$H7),3,IF($F7=1,4,IF(AQ$2&lt;=$G7+($H7-$G7+1)*$F7-1,1,2))),"")</f>
        <v/>
      </c>
    </row>
    <row r="8">
      <c r="A8">
        <f>Tracker!A5</f>
        <v/>
      </c>
      <c r="B8">
        <f>Tracker!B5</f>
        <v/>
      </c>
      <c r="C8">
        <f>Tracker!C5</f>
        <v/>
      </c>
      <c r="D8">
        <f>Tracker!J5</f>
        <v/>
      </c>
      <c r="E8">
        <f>Tracker!K5</f>
        <v/>
      </c>
      <c r="F8" s="12">
        <f>Tracker!L5</f>
        <v/>
      </c>
      <c r="G8" s="13">
        <f>Tracker!E5</f>
        <v/>
      </c>
      <c r="H8" s="13">
        <f>Tracker!F5</f>
        <v/>
      </c>
      <c r="I8">
        <f>Tracker!M5</f>
        <v/>
      </c>
      <c r="J8">
        <f>IF(AND(J$2&gt;=$G8,J$2&lt;=$H8),IF(AND($I8="YES",J$2=$H8),3,IF($F8=1,4,IF(J$2&lt;=$G8+($H8-$G8+1)*$F8-1,1,2))),"")</f>
        <v/>
      </c>
      <c r="K8">
        <f>IF(AND(K$2&gt;=$G8,K$2&lt;=$H8),IF(AND($I8="YES",K$2=$H8),3,IF($F8=1,4,IF(K$2&lt;=$G8+($H8-$G8+1)*$F8-1,1,2))),"")</f>
        <v/>
      </c>
      <c r="L8">
        <f>IF(AND(L$2&gt;=$G8,L$2&lt;=$H8),IF(AND($I8="YES",L$2=$H8),3,IF($F8=1,4,IF(L$2&lt;=$G8+($H8-$G8+1)*$F8-1,1,2))),"")</f>
        <v/>
      </c>
      <c r="M8">
        <f>IF(AND(M$2&gt;=$G8,M$2&lt;=$H8),IF(AND($I8="YES",M$2=$H8),3,IF($F8=1,4,IF(M$2&lt;=$G8+($H8-$G8+1)*$F8-1,1,2))),"")</f>
        <v/>
      </c>
      <c r="N8">
        <f>IF(AND(N$2&gt;=$G8,N$2&lt;=$H8),IF(AND($I8="YES",N$2=$H8),3,IF($F8=1,4,IF(N$2&lt;=$G8+($H8-$G8+1)*$F8-1,1,2))),"")</f>
        <v/>
      </c>
      <c r="O8">
        <f>IF(AND(O$2&gt;=$G8,O$2&lt;=$H8),IF(AND($I8="YES",O$2=$H8),3,IF($F8=1,4,IF(O$2&lt;=$G8+($H8-$G8+1)*$F8-1,1,2))),"")</f>
        <v/>
      </c>
      <c r="P8">
        <f>IF(AND(P$2&gt;=$G8,P$2&lt;=$H8),IF(AND($I8="YES",P$2=$H8),3,IF($F8=1,4,IF(P$2&lt;=$G8+($H8-$G8+1)*$F8-1,1,2))),"")</f>
        <v/>
      </c>
      <c r="Q8">
        <f>IF(AND(Q$2&gt;=$G8,Q$2&lt;=$H8),IF(AND($I8="YES",Q$2=$H8),3,IF($F8=1,4,IF(Q$2&lt;=$G8+($H8-$G8+1)*$F8-1,1,2))),"")</f>
        <v/>
      </c>
      <c r="R8">
        <f>IF(AND(R$2&gt;=$G8,R$2&lt;=$H8),IF(AND($I8="YES",R$2=$H8),3,IF($F8=1,4,IF(R$2&lt;=$G8+($H8-$G8+1)*$F8-1,1,2))),"")</f>
        <v/>
      </c>
      <c r="S8">
        <f>IF(AND(S$2&gt;=$G8,S$2&lt;=$H8),IF(AND($I8="YES",S$2=$H8),3,IF($F8=1,4,IF(S$2&lt;=$G8+($H8-$G8+1)*$F8-1,1,2))),"")</f>
        <v/>
      </c>
      <c r="T8">
        <f>IF(AND(T$2&gt;=$G8,T$2&lt;=$H8),IF(AND($I8="YES",T$2=$H8),3,IF($F8=1,4,IF(T$2&lt;=$G8+($H8-$G8+1)*$F8-1,1,2))),"")</f>
        <v/>
      </c>
      <c r="U8">
        <f>IF(AND(U$2&gt;=$G8,U$2&lt;=$H8),IF(AND($I8="YES",U$2=$H8),3,IF($F8=1,4,IF(U$2&lt;=$G8+($H8-$G8+1)*$F8-1,1,2))),"")</f>
        <v/>
      </c>
      <c r="V8">
        <f>IF(AND(V$2&gt;=$G8,V$2&lt;=$H8),IF(AND($I8="YES",V$2=$H8),3,IF($F8=1,4,IF(V$2&lt;=$G8+($H8-$G8+1)*$F8-1,1,2))),"")</f>
        <v/>
      </c>
      <c r="W8">
        <f>IF(AND(W$2&gt;=$G8,W$2&lt;=$H8),IF(AND($I8="YES",W$2=$H8),3,IF($F8=1,4,IF(W$2&lt;=$G8+($H8-$G8+1)*$F8-1,1,2))),"")</f>
        <v/>
      </c>
      <c r="X8">
        <f>IF(AND(X$2&gt;=$G8,X$2&lt;=$H8),IF(AND($I8="YES",X$2=$H8),3,IF($F8=1,4,IF(X$2&lt;=$G8+($H8-$G8+1)*$F8-1,1,2))),"")</f>
        <v/>
      </c>
      <c r="Y8">
        <f>IF(AND(Y$2&gt;=$G8,Y$2&lt;=$H8),IF(AND($I8="YES",Y$2=$H8),3,IF($F8=1,4,IF(Y$2&lt;=$G8+($H8-$G8+1)*$F8-1,1,2))),"")</f>
        <v/>
      </c>
      <c r="Z8">
        <f>IF(AND(Z$2&gt;=$G8,Z$2&lt;=$H8),IF(AND($I8="YES",Z$2=$H8),3,IF($F8=1,4,IF(Z$2&lt;=$G8+($H8-$G8+1)*$F8-1,1,2))),"")</f>
        <v/>
      </c>
      <c r="AA8">
        <f>IF(AND(AA$2&gt;=$G8,AA$2&lt;=$H8),IF(AND($I8="YES",AA$2=$H8),3,IF($F8=1,4,IF(AA$2&lt;=$G8+($H8-$G8+1)*$F8-1,1,2))),"")</f>
        <v/>
      </c>
      <c r="AB8">
        <f>IF(AND(AB$2&gt;=$G8,AB$2&lt;=$H8),IF(AND($I8="YES",AB$2=$H8),3,IF($F8=1,4,IF(AB$2&lt;=$G8+($H8-$G8+1)*$F8-1,1,2))),"")</f>
        <v/>
      </c>
      <c r="AC8">
        <f>IF(AND(AC$2&gt;=$G8,AC$2&lt;=$H8),IF(AND($I8="YES",AC$2=$H8),3,IF($F8=1,4,IF(AC$2&lt;=$G8+($H8-$G8+1)*$F8-1,1,2))),"")</f>
        <v/>
      </c>
      <c r="AD8">
        <f>IF(AND(AD$2&gt;=$G8,AD$2&lt;=$H8),IF(AND($I8="YES",AD$2=$H8),3,IF($F8=1,4,IF(AD$2&lt;=$G8+($H8-$G8+1)*$F8-1,1,2))),"")</f>
        <v/>
      </c>
      <c r="AE8">
        <f>IF(AND(AE$2&gt;=$G8,AE$2&lt;=$H8),IF(AND($I8="YES",AE$2=$H8),3,IF($F8=1,4,IF(AE$2&lt;=$G8+($H8-$G8+1)*$F8-1,1,2))),"")</f>
        <v/>
      </c>
      <c r="AF8">
        <f>IF(AND(AF$2&gt;=$G8,AF$2&lt;=$H8),IF(AND($I8="YES",AF$2=$H8),3,IF($F8=1,4,IF(AF$2&lt;=$G8+($H8-$G8+1)*$F8-1,1,2))),"")</f>
        <v/>
      </c>
      <c r="AG8">
        <f>IF(AND(AG$2&gt;=$G8,AG$2&lt;=$H8),IF(AND($I8="YES",AG$2=$H8),3,IF($F8=1,4,IF(AG$2&lt;=$G8+($H8-$G8+1)*$F8-1,1,2))),"")</f>
        <v/>
      </c>
      <c r="AH8">
        <f>IF(AND(AH$2&gt;=$G8,AH$2&lt;=$H8),IF(AND($I8="YES",AH$2=$H8),3,IF($F8=1,4,IF(AH$2&lt;=$G8+($H8-$G8+1)*$F8-1,1,2))),"")</f>
        <v/>
      </c>
      <c r="AI8">
        <f>IF(AND(AI$2&gt;=$G8,AI$2&lt;=$H8),IF(AND($I8="YES",AI$2=$H8),3,IF($F8=1,4,IF(AI$2&lt;=$G8+($H8-$G8+1)*$F8-1,1,2))),"")</f>
        <v/>
      </c>
      <c r="AJ8">
        <f>IF(AND(AJ$2&gt;=$G8,AJ$2&lt;=$H8),IF(AND($I8="YES",AJ$2=$H8),3,IF($F8=1,4,IF(AJ$2&lt;=$G8+($H8-$G8+1)*$F8-1,1,2))),"")</f>
        <v/>
      </c>
      <c r="AK8">
        <f>IF(AND(AK$2&gt;=$G8,AK$2&lt;=$H8),IF(AND($I8="YES",AK$2=$H8),3,IF($F8=1,4,IF(AK$2&lt;=$G8+($H8-$G8+1)*$F8-1,1,2))),"")</f>
        <v/>
      </c>
      <c r="AL8">
        <f>IF(AND(AL$2&gt;=$G8,AL$2&lt;=$H8),IF(AND($I8="YES",AL$2=$H8),3,IF($F8=1,4,IF(AL$2&lt;=$G8+($H8-$G8+1)*$F8-1,1,2))),"")</f>
        <v/>
      </c>
      <c r="AM8">
        <f>IF(AND(AM$2&gt;=$G8,AM$2&lt;=$H8),IF(AND($I8="YES",AM$2=$H8),3,IF($F8=1,4,IF(AM$2&lt;=$G8+($H8-$G8+1)*$F8-1,1,2))),"")</f>
        <v/>
      </c>
      <c r="AN8">
        <f>IF(AND(AN$2&gt;=$G8,AN$2&lt;=$H8),IF(AND($I8="YES",AN$2=$H8),3,IF($F8=1,4,IF(AN$2&lt;=$G8+($H8-$G8+1)*$F8-1,1,2))),"")</f>
        <v/>
      </c>
      <c r="AO8">
        <f>IF(AND(AO$2&gt;=$G8,AO$2&lt;=$H8),IF(AND($I8="YES",AO$2=$H8),3,IF($F8=1,4,IF(AO$2&lt;=$G8+($H8-$G8+1)*$F8-1,1,2))),"")</f>
        <v/>
      </c>
      <c r="AP8">
        <f>IF(AND(AP$2&gt;=$G8,AP$2&lt;=$H8),IF(AND($I8="YES",AP$2=$H8),3,IF($F8=1,4,IF(AP$2&lt;=$G8+($H8-$G8+1)*$F8-1,1,2))),"")</f>
        <v/>
      </c>
      <c r="AQ8">
        <f>IF(AND(AQ$2&gt;=$G8,AQ$2&lt;=$H8),IF(AND($I8="YES",AQ$2=$H8),3,IF($F8=1,4,IF(AQ$2&lt;=$G8+($H8-$G8+1)*$F8-1,1,2))),"")</f>
        <v/>
      </c>
    </row>
    <row r="9">
      <c r="A9">
        <f>Tracker!A6</f>
        <v/>
      </c>
      <c r="B9">
        <f>Tracker!B6</f>
        <v/>
      </c>
      <c r="C9">
        <f>Tracker!C6</f>
        <v/>
      </c>
      <c r="D9">
        <f>Tracker!J6</f>
        <v/>
      </c>
      <c r="E9">
        <f>Tracker!K6</f>
        <v/>
      </c>
      <c r="F9" s="12">
        <f>Tracker!L6</f>
        <v/>
      </c>
      <c r="G9" s="13">
        <f>Tracker!E6</f>
        <v/>
      </c>
      <c r="H9" s="13">
        <f>Tracker!F6</f>
        <v/>
      </c>
      <c r="I9">
        <f>Tracker!M6</f>
        <v/>
      </c>
      <c r="J9">
        <f>IF(AND(J$2&gt;=$G9,J$2&lt;=$H9),IF(AND($I9="YES",J$2=$H9),3,IF($F9=1,4,IF(J$2&lt;=$G9+($H9-$G9+1)*$F9-1,1,2))),"")</f>
        <v/>
      </c>
      <c r="K9">
        <f>IF(AND(K$2&gt;=$G9,K$2&lt;=$H9),IF(AND($I9="YES",K$2=$H9),3,IF($F9=1,4,IF(K$2&lt;=$G9+($H9-$G9+1)*$F9-1,1,2))),"")</f>
        <v/>
      </c>
      <c r="L9">
        <f>IF(AND(L$2&gt;=$G9,L$2&lt;=$H9),IF(AND($I9="YES",L$2=$H9),3,IF($F9=1,4,IF(L$2&lt;=$G9+($H9-$G9+1)*$F9-1,1,2))),"")</f>
        <v/>
      </c>
      <c r="M9">
        <f>IF(AND(M$2&gt;=$G9,M$2&lt;=$H9),IF(AND($I9="YES",M$2=$H9),3,IF($F9=1,4,IF(M$2&lt;=$G9+($H9-$G9+1)*$F9-1,1,2))),"")</f>
        <v/>
      </c>
      <c r="N9">
        <f>IF(AND(N$2&gt;=$G9,N$2&lt;=$H9),IF(AND($I9="YES",N$2=$H9),3,IF($F9=1,4,IF(N$2&lt;=$G9+($H9-$G9+1)*$F9-1,1,2))),"")</f>
        <v/>
      </c>
      <c r="O9">
        <f>IF(AND(O$2&gt;=$G9,O$2&lt;=$H9),IF(AND($I9="YES",O$2=$H9),3,IF($F9=1,4,IF(O$2&lt;=$G9+($H9-$G9+1)*$F9-1,1,2))),"")</f>
        <v/>
      </c>
      <c r="P9">
        <f>IF(AND(P$2&gt;=$G9,P$2&lt;=$H9),IF(AND($I9="YES",P$2=$H9),3,IF($F9=1,4,IF(P$2&lt;=$G9+($H9-$G9+1)*$F9-1,1,2))),"")</f>
        <v/>
      </c>
      <c r="Q9">
        <f>IF(AND(Q$2&gt;=$G9,Q$2&lt;=$H9),IF(AND($I9="YES",Q$2=$H9),3,IF($F9=1,4,IF(Q$2&lt;=$G9+($H9-$G9+1)*$F9-1,1,2))),"")</f>
        <v/>
      </c>
      <c r="R9">
        <f>IF(AND(R$2&gt;=$G9,R$2&lt;=$H9),IF(AND($I9="YES",R$2=$H9),3,IF($F9=1,4,IF(R$2&lt;=$G9+($H9-$G9+1)*$F9-1,1,2))),"")</f>
        <v/>
      </c>
      <c r="S9">
        <f>IF(AND(S$2&gt;=$G9,S$2&lt;=$H9),IF(AND($I9="YES",S$2=$H9),3,IF($F9=1,4,IF(S$2&lt;=$G9+($H9-$G9+1)*$F9-1,1,2))),"")</f>
        <v/>
      </c>
      <c r="T9">
        <f>IF(AND(T$2&gt;=$G9,T$2&lt;=$H9),IF(AND($I9="YES",T$2=$H9),3,IF($F9=1,4,IF(T$2&lt;=$G9+($H9-$G9+1)*$F9-1,1,2))),"")</f>
        <v/>
      </c>
      <c r="U9">
        <f>IF(AND(U$2&gt;=$G9,U$2&lt;=$H9),IF(AND($I9="YES",U$2=$H9),3,IF($F9=1,4,IF(U$2&lt;=$G9+($H9-$G9+1)*$F9-1,1,2))),"")</f>
        <v/>
      </c>
      <c r="V9">
        <f>IF(AND(V$2&gt;=$G9,V$2&lt;=$H9),IF(AND($I9="YES",V$2=$H9),3,IF($F9=1,4,IF(V$2&lt;=$G9+($H9-$G9+1)*$F9-1,1,2))),"")</f>
        <v/>
      </c>
      <c r="W9">
        <f>IF(AND(W$2&gt;=$G9,W$2&lt;=$H9),IF(AND($I9="YES",W$2=$H9),3,IF($F9=1,4,IF(W$2&lt;=$G9+($H9-$G9+1)*$F9-1,1,2))),"")</f>
        <v/>
      </c>
      <c r="X9">
        <f>IF(AND(X$2&gt;=$G9,X$2&lt;=$H9),IF(AND($I9="YES",X$2=$H9),3,IF($F9=1,4,IF(X$2&lt;=$G9+($H9-$G9+1)*$F9-1,1,2))),"")</f>
        <v/>
      </c>
      <c r="Y9">
        <f>IF(AND(Y$2&gt;=$G9,Y$2&lt;=$H9),IF(AND($I9="YES",Y$2=$H9),3,IF($F9=1,4,IF(Y$2&lt;=$G9+($H9-$G9+1)*$F9-1,1,2))),"")</f>
        <v/>
      </c>
      <c r="Z9">
        <f>IF(AND(Z$2&gt;=$G9,Z$2&lt;=$H9),IF(AND($I9="YES",Z$2=$H9),3,IF($F9=1,4,IF(Z$2&lt;=$G9+($H9-$G9+1)*$F9-1,1,2))),"")</f>
        <v/>
      </c>
      <c r="AA9">
        <f>IF(AND(AA$2&gt;=$G9,AA$2&lt;=$H9),IF(AND($I9="YES",AA$2=$H9),3,IF($F9=1,4,IF(AA$2&lt;=$G9+($H9-$G9+1)*$F9-1,1,2))),"")</f>
        <v/>
      </c>
      <c r="AB9">
        <f>IF(AND(AB$2&gt;=$G9,AB$2&lt;=$H9),IF(AND($I9="YES",AB$2=$H9),3,IF($F9=1,4,IF(AB$2&lt;=$G9+($H9-$G9+1)*$F9-1,1,2))),"")</f>
        <v/>
      </c>
      <c r="AC9">
        <f>IF(AND(AC$2&gt;=$G9,AC$2&lt;=$H9),IF(AND($I9="YES",AC$2=$H9),3,IF($F9=1,4,IF(AC$2&lt;=$G9+($H9-$G9+1)*$F9-1,1,2))),"")</f>
        <v/>
      </c>
      <c r="AD9">
        <f>IF(AND(AD$2&gt;=$G9,AD$2&lt;=$H9),IF(AND($I9="YES",AD$2=$H9),3,IF($F9=1,4,IF(AD$2&lt;=$G9+($H9-$G9+1)*$F9-1,1,2))),"")</f>
        <v/>
      </c>
      <c r="AE9">
        <f>IF(AND(AE$2&gt;=$G9,AE$2&lt;=$H9),IF(AND($I9="YES",AE$2=$H9),3,IF($F9=1,4,IF(AE$2&lt;=$G9+($H9-$G9+1)*$F9-1,1,2))),"")</f>
        <v/>
      </c>
      <c r="AF9">
        <f>IF(AND(AF$2&gt;=$G9,AF$2&lt;=$H9),IF(AND($I9="YES",AF$2=$H9),3,IF($F9=1,4,IF(AF$2&lt;=$G9+($H9-$G9+1)*$F9-1,1,2))),"")</f>
        <v/>
      </c>
      <c r="AG9">
        <f>IF(AND(AG$2&gt;=$G9,AG$2&lt;=$H9),IF(AND($I9="YES",AG$2=$H9),3,IF($F9=1,4,IF(AG$2&lt;=$G9+($H9-$G9+1)*$F9-1,1,2))),"")</f>
        <v/>
      </c>
      <c r="AH9">
        <f>IF(AND(AH$2&gt;=$G9,AH$2&lt;=$H9),IF(AND($I9="YES",AH$2=$H9),3,IF($F9=1,4,IF(AH$2&lt;=$G9+($H9-$G9+1)*$F9-1,1,2))),"")</f>
        <v/>
      </c>
      <c r="AI9">
        <f>IF(AND(AI$2&gt;=$G9,AI$2&lt;=$H9),IF(AND($I9="YES",AI$2=$H9),3,IF($F9=1,4,IF(AI$2&lt;=$G9+($H9-$G9+1)*$F9-1,1,2))),"")</f>
        <v/>
      </c>
      <c r="AJ9">
        <f>IF(AND(AJ$2&gt;=$G9,AJ$2&lt;=$H9),IF(AND($I9="YES",AJ$2=$H9),3,IF($F9=1,4,IF(AJ$2&lt;=$G9+($H9-$G9+1)*$F9-1,1,2))),"")</f>
        <v/>
      </c>
      <c r="AK9">
        <f>IF(AND(AK$2&gt;=$G9,AK$2&lt;=$H9),IF(AND($I9="YES",AK$2=$H9),3,IF($F9=1,4,IF(AK$2&lt;=$G9+($H9-$G9+1)*$F9-1,1,2))),"")</f>
        <v/>
      </c>
      <c r="AL9">
        <f>IF(AND(AL$2&gt;=$G9,AL$2&lt;=$H9),IF(AND($I9="YES",AL$2=$H9),3,IF($F9=1,4,IF(AL$2&lt;=$G9+($H9-$G9+1)*$F9-1,1,2))),"")</f>
        <v/>
      </c>
      <c r="AM9">
        <f>IF(AND(AM$2&gt;=$G9,AM$2&lt;=$H9),IF(AND($I9="YES",AM$2=$H9),3,IF($F9=1,4,IF(AM$2&lt;=$G9+($H9-$G9+1)*$F9-1,1,2))),"")</f>
        <v/>
      </c>
      <c r="AN9">
        <f>IF(AND(AN$2&gt;=$G9,AN$2&lt;=$H9),IF(AND($I9="YES",AN$2=$H9),3,IF($F9=1,4,IF(AN$2&lt;=$G9+($H9-$G9+1)*$F9-1,1,2))),"")</f>
        <v/>
      </c>
      <c r="AO9">
        <f>IF(AND(AO$2&gt;=$G9,AO$2&lt;=$H9),IF(AND($I9="YES",AO$2=$H9),3,IF($F9=1,4,IF(AO$2&lt;=$G9+($H9-$G9+1)*$F9-1,1,2))),"")</f>
        <v/>
      </c>
      <c r="AP9">
        <f>IF(AND(AP$2&gt;=$G9,AP$2&lt;=$H9),IF(AND($I9="YES",AP$2=$H9),3,IF($F9=1,4,IF(AP$2&lt;=$G9+($H9-$G9+1)*$F9-1,1,2))),"")</f>
        <v/>
      </c>
      <c r="AQ9">
        <f>IF(AND(AQ$2&gt;=$G9,AQ$2&lt;=$H9),IF(AND($I9="YES",AQ$2=$H9),3,IF($F9=1,4,IF(AQ$2&lt;=$G9+($H9-$G9+1)*$F9-1,1,2))),"")</f>
        <v/>
      </c>
    </row>
    <row r="10">
      <c r="A10">
        <f>Tracker!A7</f>
        <v/>
      </c>
      <c r="B10">
        <f>Tracker!B7</f>
        <v/>
      </c>
      <c r="C10">
        <f>Tracker!C7</f>
        <v/>
      </c>
      <c r="D10">
        <f>Tracker!J7</f>
        <v/>
      </c>
      <c r="E10">
        <f>Tracker!K7</f>
        <v/>
      </c>
      <c r="F10" s="12">
        <f>Tracker!L7</f>
        <v/>
      </c>
      <c r="G10" s="13">
        <f>Tracker!E7</f>
        <v/>
      </c>
      <c r="H10" s="13">
        <f>Tracker!F7</f>
        <v/>
      </c>
      <c r="I10">
        <f>Tracker!M7</f>
        <v/>
      </c>
      <c r="J10">
        <f>IF(AND(J$2&gt;=$G10,J$2&lt;=$H10),IF(AND($I10="YES",J$2=$H10),3,IF($F10=1,4,IF(J$2&lt;=$G10+($H10-$G10+1)*$F10-1,1,2))),"")</f>
        <v/>
      </c>
      <c r="K10">
        <f>IF(AND(K$2&gt;=$G10,K$2&lt;=$H10),IF(AND($I10="YES",K$2=$H10),3,IF($F10=1,4,IF(K$2&lt;=$G10+($H10-$G10+1)*$F10-1,1,2))),"")</f>
        <v/>
      </c>
      <c r="L10">
        <f>IF(AND(L$2&gt;=$G10,L$2&lt;=$H10),IF(AND($I10="YES",L$2=$H10),3,IF($F10=1,4,IF(L$2&lt;=$G10+($H10-$G10+1)*$F10-1,1,2))),"")</f>
        <v/>
      </c>
      <c r="M10">
        <f>IF(AND(M$2&gt;=$G10,M$2&lt;=$H10),IF(AND($I10="YES",M$2=$H10),3,IF($F10=1,4,IF(M$2&lt;=$G10+($H10-$G10+1)*$F10-1,1,2))),"")</f>
        <v/>
      </c>
      <c r="N10">
        <f>IF(AND(N$2&gt;=$G10,N$2&lt;=$H10),IF(AND($I10="YES",N$2=$H10),3,IF($F10=1,4,IF(N$2&lt;=$G10+($H10-$G10+1)*$F10-1,1,2))),"")</f>
        <v/>
      </c>
      <c r="O10">
        <f>IF(AND(O$2&gt;=$G10,O$2&lt;=$H10),IF(AND($I10="YES",O$2=$H10),3,IF($F10=1,4,IF(O$2&lt;=$G10+($H10-$G10+1)*$F10-1,1,2))),"")</f>
        <v/>
      </c>
      <c r="P10">
        <f>IF(AND(P$2&gt;=$G10,P$2&lt;=$H10),IF(AND($I10="YES",P$2=$H10),3,IF($F10=1,4,IF(P$2&lt;=$G10+($H10-$G10+1)*$F10-1,1,2))),"")</f>
        <v/>
      </c>
      <c r="Q10">
        <f>IF(AND(Q$2&gt;=$G10,Q$2&lt;=$H10),IF(AND($I10="YES",Q$2=$H10),3,IF($F10=1,4,IF(Q$2&lt;=$G10+($H10-$G10+1)*$F10-1,1,2))),"")</f>
        <v/>
      </c>
      <c r="R10">
        <f>IF(AND(R$2&gt;=$G10,R$2&lt;=$H10),IF(AND($I10="YES",R$2=$H10),3,IF($F10=1,4,IF(R$2&lt;=$G10+($H10-$G10+1)*$F10-1,1,2))),"")</f>
        <v/>
      </c>
      <c r="S10">
        <f>IF(AND(S$2&gt;=$G10,S$2&lt;=$H10),IF(AND($I10="YES",S$2=$H10),3,IF($F10=1,4,IF(S$2&lt;=$G10+($H10-$G10+1)*$F10-1,1,2))),"")</f>
        <v/>
      </c>
      <c r="T10">
        <f>IF(AND(T$2&gt;=$G10,T$2&lt;=$H10),IF(AND($I10="YES",T$2=$H10),3,IF($F10=1,4,IF(T$2&lt;=$G10+($H10-$G10+1)*$F10-1,1,2))),"")</f>
        <v/>
      </c>
      <c r="U10">
        <f>IF(AND(U$2&gt;=$G10,U$2&lt;=$H10),IF(AND($I10="YES",U$2=$H10),3,IF($F10=1,4,IF(U$2&lt;=$G10+($H10-$G10+1)*$F10-1,1,2))),"")</f>
        <v/>
      </c>
      <c r="V10">
        <f>IF(AND(V$2&gt;=$G10,V$2&lt;=$H10),IF(AND($I10="YES",V$2=$H10),3,IF($F10=1,4,IF(V$2&lt;=$G10+($H10-$G10+1)*$F10-1,1,2))),"")</f>
        <v/>
      </c>
      <c r="W10">
        <f>IF(AND(W$2&gt;=$G10,W$2&lt;=$H10),IF(AND($I10="YES",W$2=$H10),3,IF($F10=1,4,IF(W$2&lt;=$G10+($H10-$G10+1)*$F10-1,1,2))),"")</f>
        <v/>
      </c>
      <c r="X10">
        <f>IF(AND(X$2&gt;=$G10,X$2&lt;=$H10),IF(AND($I10="YES",X$2=$H10),3,IF($F10=1,4,IF(X$2&lt;=$G10+($H10-$G10+1)*$F10-1,1,2))),"")</f>
        <v/>
      </c>
      <c r="Y10">
        <f>IF(AND(Y$2&gt;=$G10,Y$2&lt;=$H10),IF(AND($I10="YES",Y$2=$H10),3,IF($F10=1,4,IF(Y$2&lt;=$G10+($H10-$G10+1)*$F10-1,1,2))),"")</f>
        <v/>
      </c>
      <c r="Z10">
        <f>IF(AND(Z$2&gt;=$G10,Z$2&lt;=$H10),IF(AND($I10="YES",Z$2=$H10),3,IF($F10=1,4,IF(Z$2&lt;=$G10+($H10-$G10+1)*$F10-1,1,2))),"")</f>
        <v/>
      </c>
      <c r="AA10">
        <f>IF(AND(AA$2&gt;=$G10,AA$2&lt;=$H10),IF(AND($I10="YES",AA$2=$H10),3,IF($F10=1,4,IF(AA$2&lt;=$G10+($H10-$G10+1)*$F10-1,1,2))),"")</f>
        <v/>
      </c>
      <c r="AB10">
        <f>IF(AND(AB$2&gt;=$G10,AB$2&lt;=$H10),IF(AND($I10="YES",AB$2=$H10),3,IF($F10=1,4,IF(AB$2&lt;=$G10+($H10-$G10+1)*$F10-1,1,2))),"")</f>
        <v/>
      </c>
      <c r="AC10">
        <f>IF(AND(AC$2&gt;=$G10,AC$2&lt;=$H10),IF(AND($I10="YES",AC$2=$H10),3,IF($F10=1,4,IF(AC$2&lt;=$G10+($H10-$G10+1)*$F10-1,1,2))),"")</f>
        <v/>
      </c>
      <c r="AD10">
        <f>IF(AND(AD$2&gt;=$G10,AD$2&lt;=$H10),IF(AND($I10="YES",AD$2=$H10),3,IF($F10=1,4,IF(AD$2&lt;=$G10+($H10-$G10+1)*$F10-1,1,2))),"")</f>
        <v/>
      </c>
      <c r="AE10">
        <f>IF(AND(AE$2&gt;=$G10,AE$2&lt;=$H10),IF(AND($I10="YES",AE$2=$H10),3,IF($F10=1,4,IF(AE$2&lt;=$G10+($H10-$G10+1)*$F10-1,1,2))),"")</f>
        <v/>
      </c>
      <c r="AF10">
        <f>IF(AND(AF$2&gt;=$G10,AF$2&lt;=$H10),IF(AND($I10="YES",AF$2=$H10),3,IF($F10=1,4,IF(AF$2&lt;=$G10+($H10-$G10+1)*$F10-1,1,2))),"")</f>
        <v/>
      </c>
      <c r="AG10">
        <f>IF(AND(AG$2&gt;=$G10,AG$2&lt;=$H10),IF(AND($I10="YES",AG$2=$H10),3,IF($F10=1,4,IF(AG$2&lt;=$G10+($H10-$G10+1)*$F10-1,1,2))),"")</f>
        <v/>
      </c>
      <c r="AH10">
        <f>IF(AND(AH$2&gt;=$G10,AH$2&lt;=$H10),IF(AND($I10="YES",AH$2=$H10),3,IF($F10=1,4,IF(AH$2&lt;=$G10+($H10-$G10+1)*$F10-1,1,2))),"")</f>
        <v/>
      </c>
      <c r="AI10">
        <f>IF(AND(AI$2&gt;=$G10,AI$2&lt;=$H10),IF(AND($I10="YES",AI$2=$H10),3,IF($F10=1,4,IF(AI$2&lt;=$G10+($H10-$G10+1)*$F10-1,1,2))),"")</f>
        <v/>
      </c>
      <c r="AJ10">
        <f>IF(AND(AJ$2&gt;=$G10,AJ$2&lt;=$H10),IF(AND($I10="YES",AJ$2=$H10),3,IF($F10=1,4,IF(AJ$2&lt;=$G10+($H10-$G10+1)*$F10-1,1,2))),"")</f>
        <v/>
      </c>
      <c r="AK10">
        <f>IF(AND(AK$2&gt;=$G10,AK$2&lt;=$H10),IF(AND($I10="YES",AK$2=$H10),3,IF($F10=1,4,IF(AK$2&lt;=$G10+($H10-$G10+1)*$F10-1,1,2))),"")</f>
        <v/>
      </c>
      <c r="AL10">
        <f>IF(AND(AL$2&gt;=$G10,AL$2&lt;=$H10),IF(AND($I10="YES",AL$2=$H10),3,IF($F10=1,4,IF(AL$2&lt;=$G10+($H10-$G10+1)*$F10-1,1,2))),"")</f>
        <v/>
      </c>
      <c r="AM10">
        <f>IF(AND(AM$2&gt;=$G10,AM$2&lt;=$H10),IF(AND($I10="YES",AM$2=$H10),3,IF($F10=1,4,IF(AM$2&lt;=$G10+($H10-$G10+1)*$F10-1,1,2))),"")</f>
        <v/>
      </c>
      <c r="AN10">
        <f>IF(AND(AN$2&gt;=$G10,AN$2&lt;=$H10),IF(AND($I10="YES",AN$2=$H10),3,IF($F10=1,4,IF(AN$2&lt;=$G10+($H10-$G10+1)*$F10-1,1,2))),"")</f>
        <v/>
      </c>
      <c r="AO10">
        <f>IF(AND(AO$2&gt;=$G10,AO$2&lt;=$H10),IF(AND($I10="YES",AO$2=$H10),3,IF($F10=1,4,IF(AO$2&lt;=$G10+($H10-$G10+1)*$F10-1,1,2))),"")</f>
        <v/>
      </c>
      <c r="AP10">
        <f>IF(AND(AP$2&gt;=$G10,AP$2&lt;=$H10),IF(AND($I10="YES",AP$2=$H10),3,IF($F10=1,4,IF(AP$2&lt;=$G10+($H10-$G10+1)*$F10-1,1,2))),"")</f>
        <v/>
      </c>
      <c r="AQ10">
        <f>IF(AND(AQ$2&gt;=$G10,AQ$2&lt;=$H10),IF(AND($I10="YES",AQ$2=$H10),3,IF($F10=1,4,IF(AQ$2&lt;=$G10+($H10-$G10+1)*$F10-1,1,2))),"")</f>
        <v/>
      </c>
    </row>
    <row r="11">
      <c r="A11">
        <f>Tracker!A8</f>
        <v/>
      </c>
      <c r="B11">
        <f>Tracker!B8</f>
        <v/>
      </c>
      <c r="C11">
        <f>Tracker!C8</f>
        <v/>
      </c>
      <c r="D11">
        <f>Tracker!J8</f>
        <v/>
      </c>
      <c r="E11">
        <f>Tracker!K8</f>
        <v/>
      </c>
      <c r="F11" s="12">
        <f>Tracker!L8</f>
        <v/>
      </c>
      <c r="G11" s="13">
        <f>Tracker!E8</f>
        <v/>
      </c>
      <c r="H11" s="13">
        <f>Tracker!F8</f>
        <v/>
      </c>
      <c r="I11">
        <f>Tracker!M8</f>
        <v/>
      </c>
      <c r="J11">
        <f>IF(AND(J$2&gt;=$G11,J$2&lt;=$H11),IF(AND($I11="YES",J$2=$H11),3,IF($F11=1,4,IF(J$2&lt;=$G11+($H11-$G11+1)*$F11-1,1,2))),"")</f>
        <v/>
      </c>
      <c r="K11">
        <f>IF(AND(K$2&gt;=$G11,K$2&lt;=$H11),IF(AND($I11="YES",K$2=$H11),3,IF($F11=1,4,IF(K$2&lt;=$G11+($H11-$G11+1)*$F11-1,1,2))),"")</f>
        <v/>
      </c>
      <c r="L11">
        <f>IF(AND(L$2&gt;=$G11,L$2&lt;=$H11),IF(AND($I11="YES",L$2=$H11),3,IF($F11=1,4,IF(L$2&lt;=$G11+($H11-$G11+1)*$F11-1,1,2))),"")</f>
        <v/>
      </c>
      <c r="M11">
        <f>IF(AND(M$2&gt;=$G11,M$2&lt;=$H11),IF(AND($I11="YES",M$2=$H11),3,IF($F11=1,4,IF(M$2&lt;=$G11+($H11-$G11+1)*$F11-1,1,2))),"")</f>
        <v/>
      </c>
      <c r="N11">
        <f>IF(AND(N$2&gt;=$G11,N$2&lt;=$H11),IF(AND($I11="YES",N$2=$H11),3,IF($F11=1,4,IF(N$2&lt;=$G11+($H11-$G11+1)*$F11-1,1,2))),"")</f>
        <v/>
      </c>
      <c r="O11">
        <f>IF(AND(O$2&gt;=$G11,O$2&lt;=$H11),IF(AND($I11="YES",O$2=$H11),3,IF($F11=1,4,IF(O$2&lt;=$G11+($H11-$G11+1)*$F11-1,1,2))),"")</f>
        <v/>
      </c>
      <c r="P11">
        <f>IF(AND(P$2&gt;=$G11,P$2&lt;=$H11),IF(AND($I11="YES",P$2=$H11),3,IF($F11=1,4,IF(P$2&lt;=$G11+($H11-$G11+1)*$F11-1,1,2))),"")</f>
        <v/>
      </c>
      <c r="Q11">
        <f>IF(AND(Q$2&gt;=$G11,Q$2&lt;=$H11),IF(AND($I11="YES",Q$2=$H11),3,IF($F11=1,4,IF(Q$2&lt;=$G11+($H11-$G11+1)*$F11-1,1,2))),"")</f>
        <v/>
      </c>
      <c r="R11">
        <f>IF(AND(R$2&gt;=$G11,R$2&lt;=$H11),IF(AND($I11="YES",R$2=$H11),3,IF($F11=1,4,IF(R$2&lt;=$G11+($H11-$G11+1)*$F11-1,1,2))),"")</f>
        <v/>
      </c>
      <c r="S11">
        <f>IF(AND(S$2&gt;=$G11,S$2&lt;=$H11),IF(AND($I11="YES",S$2=$H11),3,IF($F11=1,4,IF(S$2&lt;=$G11+($H11-$G11+1)*$F11-1,1,2))),"")</f>
        <v/>
      </c>
      <c r="T11">
        <f>IF(AND(T$2&gt;=$G11,T$2&lt;=$H11),IF(AND($I11="YES",T$2=$H11),3,IF($F11=1,4,IF(T$2&lt;=$G11+($H11-$G11+1)*$F11-1,1,2))),"")</f>
        <v/>
      </c>
      <c r="U11">
        <f>IF(AND(U$2&gt;=$G11,U$2&lt;=$H11),IF(AND($I11="YES",U$2=$H11),3,IF($F11=1,4,IF(U$2&lt;=$G11+($H11-$G11+1)*$F11-1,1,2))),"")</f>
        <v/>
      </c>
      <c r="V11">
        <f>IF(AND(V$2&gt;=$G11,V$2&lt;=$H11),IF(AND($I11="YES",V$2=$H11),3,IF($F11=1,4,IF(V$2&lt;=$G11+($H11-$G11+1)*$F11-1,1,2))),"")</f>
        <v/>
      </c>
      <c r="W11">
        <f>IF(AND(W$2&gt;=$G11,W$2&lt;=$H11),IF(AND($I11="YES",W$2=$H11),3,IF($F11=1,4,IF(W$2&lt;=$G11+($H11-$G11+1)*$F11-1,1,2))),"")</f>
        <v/>
      </c>
      <c r="X11">
        <f>IF(AND(X$2&gt;=$G11,X$2&lt;=$H11),IF(AND($I11="YES",X$2=$H11),3,IF($F11=1,4,IF(X$2&lt;=$G11+($H11-$G11+1)*$F11-1,1,2))),"")</f>
        <v/>
      </c>
      <c r="Y11">
        <f>IF(AND(Y$2&gt;=$G11,Y$2&lt;=$H11),IF(AND($I11="YES",Y$2=$H11),3,IF($F11=1,4,IF(Y$2&lt;=$G11+($H11-$G11+1)*$F11-1,1,2))),"")</f>
        <v/>
      </c>
      <c r="Z11">
        <f>IF(AND(Z$2&gt;=$G11,Z$2&lt;=$H11),IF(AND($I11="YES",Z$2=$H11),3,IF($F11=1,4,IF(Z$2&lt;=$G11+($H11-$G11+1)*$F11-1,1,2))),"")</f>
        <v/>
      </c>
      <c r="AA11">
        <f>IF(AND(AA$2&gt;=$G11,AA$2&lt;=$H11),IF(AND($I11="YES",AA$2=$H11),3,IF($F11=1,4,IF(AA$2&lt;=$G11+($H11-$G11+1)*$F11-1,1,2))),"")</f>
        <v/>
      </c>
      <c r="AB11">
        <f>IF(AND(AB$2&gt;=$G11,AB$2&lt;=$H11),IF(AND($I11="YES",AB$2=$H11),3,IF($F11=1,4,IF(AB$2&lt;=$G11+($H11-$G11+1)*$F11-1,1,2))),"")</f>
        <v/>
      </c>
      <c r="AC11">
        <f>IF(AND(AC$2&gt;=$G11,AC$2&lt;=$H11),IF(AND($I11="YES",AC$2=$H11),3,IF($F11=1,4,IF(AC$2&lt;=$G11+($H11-$G11+1)*$F11-1,1,2))),"")</f>
        <v/>
      </c>
      <c r="AD11">
        <f>IF(AND(AD$2&gt;=$G11,AD$2&lt;=$H11),IF(AND($I11="YES",AD$2=$H11),3,IF($F11=1,4,IF(AD$2&lt;=$G11+($H11-$G11+1)*$F11-1,1,2))),"")</f>
        <v/>
      </c>
      <c r="AE11">
        <f>IF(AND(AE$2&gt;=$G11,AE$2&lt;=$H11),IF(AND($I11="YES",AE$2=$H11),3,IF($F11=1,4,IF(AE$2&lt;=$G11+($H11-$G11+1)*$F11-1,1,2))),"")</f>
        <v/>
      </c>
      <c r="AF11">
        <f>IF(AND(AF$2&gt;=$G11,AF$2&lt;=$H11),IF(AND($I11="YES",AF$2=$H11),3,IF($F11=1,4,IF(AF$2&lt;=$G11+($H11-$G11+1)*$F11-1,1,2))),"")</f>
        <v/>
      </c>
      <c r="AG11">
        <f>IF(AND(AG$2&gt;=$G11,AG$2&lt;=$H11),IF(AND($I11="YES",AG$2=$H11),3,IF($F11=1,4,IF(AG$2&lt;=$G11+($H11-$G11+1)*$F11-1,1,2))),"")</f>
        <v/>
      </c>
      <c r="AH11">
        <f>IF(AND(AH$2&gt;=$G11,AH$2&lt;=$H11),IF(AND($I11="YES",AH$2=$H11),3,IF($F11=1,4,IF(AH$2&lt;=$G11+($H11-$G11+1)*$F11-1,1,2))),"")</f>
        <v/>
      </c>
      <c r="AI11">
        <f>IF(AND(AI$2&gt;=$G11,AI$2&lt;=$H11),IF(AND($I11="YES",AI$2=$H11),3,IF($F11=1,4,IF(AI$2&lt;=$G11+($H11-$G11+1)*$F11-1,1,2))),"")</f>
        <v/>
      </c>
      <c r="AJ11">
        <f>IF(AND(AJ$2&gt;=$G11,AJ$2&lt;=$H11),IF(AND($I11="YES",AJ$2=$H11),3,IF($F11=1,4,IF(AJ$2&lt;=$G11+($H11-$G11+1)*$F11-1,1,2))),"")</f>
        <v/>
      </c>
      <c r="AK11">
        <f>IF(AND(AK$2&gt;=$G11,AK$2&lt;=$H11),IF(AND($I11="YES",AK$2=$H11),3,IF($F11=1,4,IF(AK$2&lt;=$G11+($H11-$G11+1)*$F11-1,1,2))),"")</f>
        <v/>
      </c>
      <c r="AL11">
        <f>IF(AND(AL$2&gt;=$G11,AL$2&lt;=$H11),IF(AND($I11="YES",AL$2=$H11),3,IF($F11=1,4,IF(AL$2&lt;=$G11+($H11-$G11+1)*$F11-1,1,2))),"")</f>
        <v/>
      </c>
      <c r="AM11">
        <f>IF(AND(AM$2&gt;=$G11,AM$2&lt;=$H11),IF(AND($I11="YES",AM$2=$H11),3,IF($F11=1,4,IF(AM$2&lt;=$G11+($H11-$G11+1)*$F11-1,1,2))),"")</f>
        <v/>
      </c>
      <c r="AN11">
        <f>IF(AND(AN$2&gt;=$G11,AN$2&lt;=$H11),IF(AND($I11="YES",AN$2=$H11),3,IF($F11=1,4,IF(AN$2&lt;=$G11+($H11-$G11+1)*$F11-1,1,2))),"")</f>
        <v/>
      </c>
      <c r="AO11">
        <f>IF(AND(AO$2&gt;=$G11,AO$2&lt;=$H11),IF(AND($I11="YES",AO$2=$H11),3,IF($F11=1,4,IF(AO$2&lt;=$G11+($H11-$G11+1)*$F11-1,1,2))),"")</f>
        <v/>
      </c>
      <c r="AP11">
        <f>IF(AND(AP$2&gt;=$G11,AP$2&lt;=$H11),IF(AND($I11="YES",AP$2=$H11),3,IF($F11=1,4,IF(AP$2&lt;=$G11+($H11-$G11+1)*$F11-1,1,2))),"")</f>
        <v/>
      </c>
      <c r="AQ11">
        <f>IF(AND(AQ$2&gt;=$G11,AQ$2&lt;=$H11),IF(AND($I11="YES",AQ$2=$H11),3,IF($F11=1,4,IF(AQ$2&lt;=$G11+($H11-$G11+1)*$F11-1,1,2))),"")</f>
        <v/>
      </c>
    </row>
    <row r="12">
      <c r="A12">
        <f>Tracker!A9</f>
        <v/>
      </c>
      <c r="B12">
        <f>Tracker!B9</f>
        <v/>
      </c>
      <c r="C12">
        <f>Tracker!C9</f>
        <v/>
      </c>
      <c r="D12">
        <f>Tracker!J9</f>
        <v/>
      </c>
      <c r="E12">
        <f>Tracker!K9</f>
        <v/>
      </c>
      <c r="F12" s="12">
        <f>Tracker!L9</f>
        <v/>
      </c>
      <c r="G12" s="13">
        <f>Tracker!E9</f>
        <v/>
      </c>
      <c r="H12" s="13">
        <f>Tracker!F9</f>
        <v/>
      </c>
      <c r="I12">
        <f>Tracker!M9</f>
        <v/>
      </c>
      <c r="J12">
        <f>IF(AND(J$2&gt;=$G12,J$2&lt;=$H12),IF(AND($I12="YES",J$2=$H12),3,IF($F12=1,4,IF(J$2&lt;=$G12+($H12-$G12+1)*$F12-1,1,2))),"")</f>
        <v/>
      </c>
      <c r="K12">
        <f>IF(AND(K$2&gt;=$G12,K$2&lt;=$H12),IF(AND($I12="YES",K$2=$H12),3,IF($F12=1,4,IF(K$2&lt;=$G12+($H12-$G12+1)*$F12-1,1,2))),"")</f>
        <v/>
      </c>
      <c r="L12">
        <f>IF(AND(L$2&gt;=$G12,L$2&lt;=$H12),IF(AND($I12="YES",L$2=$H12),3,IF($F12=1,4,IF(L$2&lt;=$G12+($H12-$G12+1)*$F12-1,1,2))),"")</f>
        <v/>
      </c>
      <c r="M12">
        <f>IF(AND(M$2&gt;=$G12,M$2&lt;=$H12),IF(AND($I12="YES",M$2=$H12),3,IF($F12=1,4,IF(M$2&lt;=$G12+($H12-$G12+1)*$F12-1,1,2))),"")</f>
        <v/>
      </c>
      <c r="N12">
        <f>IF(AND(N$2&gt;=$G12,N$2&lt;=$H12),IF(AND($I12="YES",N$2=$H12),3,IF($F12=1,4,IF(N$2&lt;=$G12+($H12-$G12+1)*$F12-1,1,2))),"")</f>
        <v/>
      </c>
      <c r="O12">
        <f>IF(AND(O$2&gt;=$G12,O$2&lt;=$H12),IF(AND($I12="YES",O$2=$H12),3,IF($F12=1,4,IF(O$2&lt;=$G12+($H12-$G12+1)*$F12-1,1,2))),"")</f>
        <v/>
      </c>
      <c r="P12">
        <f>IF(AND(P$2&gt;=$G12,P$2&lt;=$H12),IF(AND($I12="YES",P$2=$H12),3,IF($F12=1,4,IF(P$2&lt;=$G12+($H12-$G12+1)*$F12-1,1,2))),"")</f>
        <v/>
      </c>
      <c r="Q12">
        <f>IF(AND(Q$2&gt;=$G12,Q$2&lt;=$H12),IF(AND($I12="YES",Q$2=$H12),3,IF($F12=1,4,IF(Q$2&lt;=$G12+($H12-$G12+1)*$F12-1,1,2))),"")</f>
        <v/>
      </c>
      <c r="R12">
        <f>IF(AND(R$2&gt;=$G12,R$2&lt;=$H12),IF(AND($I12="YES",R$2=$H12),3,IF($F12=1,4,IF(R$2&lt;=$G12+($H12-$G12+1)*$F12-1,1,2))),"")</f>
        <v/>
      </c>
      <c r="S12">
        <f>IF(AND(S$2&gt;=$G12,S$2&lt;=$H12),IF(AND($I12="YES",S$2=$H12),3,IF($F12=1,4,IF(S$2&lt;=$G12+($H12-$G12+1)*$F12-1,1,2))),"")</f>
        <v/>
      </c>
      <c r="T12">
        <f>IF(AND(T$2&gt;=$G12,T$2&lt;=$H12),IF(AND($I12="YES",T$2=$H12),3,IF($F12=1,4,IF(T$2&lt;=$G12+($H12-$G12+1)*$F12-1,1,2))),"")</f>
        <v/>
      </c>
      <c r="U12">
        <f>IF(AND(U$2&gt;=$G12,U$2&lt;=$H12),IF(AND($I12="YES",U$2=$H12),3,IF($F12=1,4,IF(U$2&lt;=$G12+($H12-$G12+1)*$F12-1,1,2))),"")</f>
        <v/>
      </c>
      <c r="V12">
        <f>IF(AND(V$2&gt;=$G12,V$2&lt;=$H12),IF(AND($I12="YES",V$2=$H12),3,IF($F12=1,4,IF(V$2&lt;=$G12+($H12-$G12+1)*$F12-1,1,2))),"")</f>
        <v/>
      </c>
      <c r="W12">
        <f>IF(AND(W$2&gt;=$G12,W$2&lt;=$H12),IF(AND($I12="YES",W$2=$H12),3,IF($F12=1,4,IF(W$2&lt;=$G12+($H12-$G12+1)*$F12-1,1,2))),"")</f>
        <v/>
      </c>
      <c r="X12">
        <f>IF(AND(X$2&gt;=$G12,X$2&lt;=$H12),IF(AND($I12="YES",X$2=$H12),3,IF($F12=1,4,IF(X$2&lt;=$G12+($H12-$G12+1)*$F12-1,1,2))),"")</f>
        <v/>
      </c>
      <c r="Y12">
        <f>IF(AND(Y$2&gt;=$G12,Y$2&lt;=$H12),IF(AND($I12="YES",Y$2=$H12),3,IF($F12=1,4,IF(Y$2&lt;=$G12+($H12-$G12+1)*$F12-1,1,2))),"")</f>
        <v/>
      </c>
      <c r="Z12">
        <f>IF(AND(Z$2&gt;=$G12,Z$2&lt;=$H12),IF(AND($I12="YES",Z$2=$H12),3,IF($F12=1,4,IF(Z$2&lt;=$G12+($H12-$G12+1)*$F12-1,1,2))),"")</f>
        <v/>
      </c>
      <c r="AA12">
        <f>IF(AND(AA$2&gt;=$G12,AA$2&lt;=$H12),IF(AND($I12="YES",AA$2=$H12),3,IF($F12=1,4,IF(AA$2&lt;=$G12+($H12-$G12+1)*$F12-1,1,2))),"")</f>
        <v/>
      </c>
      <c r="AB12">
        <f>IF(AND(AB$2&gt;=$G12,AB$2&lt;=$H12),IF(AND($I12="YES",AB$2=$H12),3,IF($F12=1,4,IF(AB$2&lt;=$G12+($H12-$G12+1)*$F12-1,1,2))),"")</f>
        <v/>
      </c>
      <c r="AC12">
        <f>IF(AND(AC$2&gt;=$G12,AC$2&lt;=$H12),IF(AND($I12="YES",AC$2=$H12),3,IF($F12=1,4,IF(AC$2&lt;=$G12+($H12-$G12+1)*$F12-1,1,2))),"")</f>
        <v/>
      </c>
      <c r="AD12">
        <f>IF(AND(AD$2&gt;=$G12,AD$2&lt;=$H12),IF(AND($I12="YES",AD$2=$H12),3,IF($F12=1,4,IF(AD$2&lt;=$G12+($H12-$G12+1)*$F12-1,1,2))),"")</f>
        <v/>
      </c>
      <c r="AE12">
        <f>IF(AND(AE$2&gt;=$G12,AE$2&lt;=$H12),IF(AND($I12="YES",AE$2=$H12),3,IF($F12=1,4,IF(AE$2&lt;=$G12+($H12-$G12+1)*$F12-1,1,2))),"")</f>
        <v/>
      </c>
      <c r="AF12">
        <f>IF(AND(AF$2&gt;=$G12,AF$2&lt;=$H12),IF(AND($I12="YES",AF$2=$H12),3,IF($F12=1,4,IF(AF$2&lt;=$G12+($H12-$G12+1)*$F12-1,1,2))),"")</f>
        <v/>
      </c>
      <c r="AG12">
        <f>IF(AND(AG$2&gt;=$G12,AG$2&lt;=$H12),IF(AND($I12="YES",AG$2=$H12),3,IF($F12=1,4,IF(AG$2&lt;=$G12+($H12-$G12+1)*$F12-1,1,2))),"")</f>
        <v/>
      </c>
      <c r="AH12">
        <f>IF(AND(AH$2&gt;=$G12,AH$2&lt;=$H12),IF(AND($I12="YES",AH$2=$H12),3,IF($F12=1,4,IF(AH$2&lt;=$G12+($H12-$G12+1)*$F12-1,1,2))),"")</f>
        <v/>
      </c>
      <c r="AI12">
        <f>IF(AND(AI$2&gt;=$G12,AI$2&lt;=$H12),IF(AND($I12="YES",AI$2=$H12),3,IF($F12=1,4,IF(AI$2&lt;=$G12+($H12-$G12+1)*$F12-1,1,2))),"")</f>
        <v/>
      </c>
      <c r="AJ12">
        <f>IF(AND(AJ$2&gt;=$G12,AJ$2&lt;=$H12),IF(AND($I12="YES",AJ$2=$H12),3,IF($F12=1,4,IF(AJ$2&lt;=$G12+($H12-$G12+1)*$F12-1,1,2))),"")</f>
        <v/>
      </c>
      <c r="AK12">
        <f>IF(AND(AK$2&gt;=$G12,AK$2&lt;=$H12),IF(AND($I12="YES",AK$2=$H12),3,IF($F12=1,4,IF(AK$2&lt;=$G12+($H12-$G12+1)*$F12-1,1,2))),"")</f>
        <v/>
      </c>
      <c r="AL12">
        <f>IF(AND(AL$2&gt;=$G12,AL$2&lt;=$H12),IF(AND($I12="YES",AL$2=$H12),3,IF($F12=1,4,IF(AL$2&lt;=$G12+($H12-$G12+1)*$F12-1,1,2))),"")</f>
        <v/>
      </c>
      <c r="AM12">
        <f>IF(AND(AM$2&gt;=$G12,AM$2&lt;=$H12),IF(AND($I12="YES",AM$2=$H12),3,IF($F12=1,4,IF(AM$2&lt;=$G12+($H12-$G12+1)*$F12-1,1,2))),"")</f>
        <v/>
      </c>
      <c r="AN12">
        <f>IF(AND(AN$2&gt;=$G12,AN$2&lt;=$H12),IF(AND($I12="YES",AN$2=$H12),3,IF($F12=1,4,IF(AN$2&lt;=$G12+($H12-$G12+1)*$F12-1,1,2))),"")</f>
        <v/>
      </c>
      <c r="AO12">
        <f>IF(AND(AO$2&gt;=$G12,AO$2&lt;=$H12),IF(AND($I12="YES",AO$2=$H12),3,IF($F12=1,4,IF(AO$2&lt;=$G12+($H12-$G12+1)*$F12-1,1,2))),"")</f>
        <v/>
      </c>
      <c r="AP12">
        <f>IF(AND(AP$2&gt;=$G12,AP$2&lt;=$H12),IF(AND($I12="YES",AP$2=$H12),3,IF($F12=1,4,IF(AP$2&lt;=$G12+($H12-$G12+1)*$F12-1,1,2))),"")</f>
        <v/>
      </c>
      <c r="AQ12">
        <f>IF(AND(AQ$2&gt;=$G12,AQ$2&lt;=$H12),IF(AND($I12="YES",AQ$2=$H12),3,IF($F12=1,4,IF(AQ$2&lt;=$G12+($H12-$G12+1)*$F12-1,1,2))),"")</f>
        <v/>
      </c>
    </row>
    <row r="13">
      <c r="A13">
        <f>Tracker!A10</f>
        <v/>
      </c>
      <c r="B13">
        <f>Tracker!B10</f>
        <v/>
      </c>
      <c r="C13">
        <f>Tracker!C10</f>
        <v/>
      </c>
      <c r="D13">
        <f>Tracker!J10</f>
        <v/>
      </c>
      <c r="E13">
        <f>Tracker!K10</f>
        <v/>
      </c>
      <c r="F13" s="12">
        <f>Tracker!L10</f>
        <v/>
      </c>
      <c r="G13" s="13">
        <f>Tracker!E10</f>
        <v/>
      </c>
      <c r="H13" s="13">
        <f>Tracker!F10</f>
        <v/>
      </c>
      <c r="I13">
        <f>Tracker!M10</f>
        <v/>
      </c>
      <c r="J13">
        <f>IF(AND(J$2&gt;=$G13,J$2&lt;=$H13),IF(AND($I13="YES",J$2=$H13),3,IF($F13=1,4,IF(J$2&lt;=$G13+($H13-$G13+1)*$F13-1,1,2))),"")</f>
        <v/>
      </c>
      <c r="K13">
        <f>IF(AND(K$2&gt;=$G13,K$2&lt;=$H13),IF(AND($I13="YES",K$2=$H13),3,IF($F13=1,4,IF(K$2&lt;=$G13+($H13-$G13+1)*$F13-1,1,2))),"")</f>
        <v/>
      </c>
      <c r="L13">
        <f>IF(AND(L$2&gt;=$G13,L$2&lt;=$H13),IF(AND($I13="YES",L$2=$H13),3,IF($F13=1,4,IF(L$2&lt;=$G13+($H13-$G13+1)*$F13-1,1,2))),"")</f>
        <v/>
      </c>
      <c r="M13">
        <f>IF(AND(M$2&gt;=$G13,M$2&lt;=$H13),IF(AND($I13="YES",M$2=$H13),3,IF($F13=1,4,IF(M$2&lt;=$G13+($H13-$G13+1)*$F13-1,1,2))),"")</f>
        <v/>
      </c>
      <c r="N13">
        <f>IF(AND(N$2&gt;=$G13,N$2&lt;=$H13),IF(AND($I13="YES",N$2=$H13),3,IF($F13=1,4,IF(N$2&lt;=$G13+($H13-$G13+1)*$F13-1,1,2))),"")</f>
        <v/>
      </c>
      <c r="O13">
        <f>IF(AND(O$2&gt;=$G13,O$2&lt;=$H13),IF(AND($I13="YES",O$2=$H13),3,IF($F13=1,4,IF(O$2&lt;=$G13+($H13-$G13+1)*$F13-1,1,2))),"")</f>
        <v/>
      </c>
      <c r="P13">
        <f>IF(AND(P$2&gt;=$G13,P$2&lt;=$H13),IF(AND($I13="YES",P$2=$H13),3,IF($F13=1,4,IF(P$2&lt;=$G13+($H13-$G13+1)*$F13-1,1,2))),"")</f>
        <v/>
      </c>
      <c r="Q13">
        <f>IF(AND(Q$2&gt;=$G13,Q$2&lt;=$H13),IF(AND($I13="YES",Q$2=$H13),3,IF($F13=1,4,IF(Q$2&lt;=$G13+($H13-$G13+1)*$F13-1,1,2))),"")</f>
        <v/>
      </c>
      <c r="R13">
        <f>IF(AND(R$2&gt;=$G13,R$2&lt;=$H13),IF(AND($I13="YES",R$2=$H13),3,IF($F13=1,4,IF(R$2&lt;=$G13+($H13-$G13+1)*$F13-1,1,2))),"")</f>
        <v/>
      </c>
      <c r="S13">
        <f>IF(AND(S$2&gt;=$G13,S$2&lt;=$H13),IF(AND($I13="YES",S$2=$H13),3,IF($F13=1,4,IF(S$2&lt;=$G13+($H13-$G13+1)*$F13-1,1,2))),"")</f>
        <v/>
      </c>
      <c r="T13">
        <f>IF(AND(T$2&gt;=$G13,T$2&lt;=$H13),IF(AND($I13="YES",T$2=$H13),3,IF($F13=1,4,IF(T$2&lt;=$G13+($H13-$G13+1)*$F13-1,1,2))),"")</f>
        <v/>
      </c>
      <c r="U13">
        <f>IF(AND(U$2&gt;=$G13,U$2&lt;=$H13),IF(AND($I13="YES",U$2=$H13),3,IF($F13=1,4,IF(U$2&lt;=$G13+($H13-$G13+1)*$F13-1,1,2))),"")</f>
        <v/>
      </c>
      <c r="V13">
        <f>IF(AND(V$2&gt;=$G13,V$2&lt;=$H13),IF(AND($I13="YES",V$2=$H13),3,IF($F13=1,4,IF(V$2&lt;=$G13+($H13-$G13+1)*$F13-1,1,2))),"")</f>
        <v/>
      </c>
      <c r="W13">
        <f>IF(AND(W$2&gt;=$G13,W$2&lt;=$H13),IF(AND($I13="YES",W$2=$H13),3,IF($F13=1,4,IF(W$2&lt;=$G13+($H13-$G13+1)*$F13-1,1,2))),"")</f>
        <v/>
      </c>
      <c r="X13">
        <f>IF(AND(X$2&gt;=$G13,X$2&lt;=$H13),IF(AND($I13="YES",X$2=$H13),3,IF($F13=1,4,IF(X$2&lt;=$G13+($H13-$G13+1)*$F13-1,1,2))),"")</f>
        <v/>
      </c>
      <c r="Y13">
        <f>IF(AND(Y$2&gt;=$G13,Y$2&lt;=$H13),IF(AND($I13="YES",Y$2=$H13),3,IF($F13=1,4,IF(Y$2&lt;=$G13+($H13-$G13+1)*$F13-1,1,2))),"")</f>
        <v/>
      </c>
      <c r="Z13">
        <f>IF(AND(Z$2&gt;=$G13,Z$2&lt;=$H13),IF(AND($I13="YES",Z$2=$H13),3,IF($F13=1,4,IF(Z$2&lt;=$G13+($H13-$G13+1)*$F13-1,1,2))),"")</f>
        <v/>
      </c>
      <c r="AA13">
        <f>IF(AND(AA$2&gt;=$G13,AA$2&lt;=$H13),IF(AND($I13="YES",AA$2=$H13),3,IF($F13=1,4,IF(AA$2&lt;=$G13+($H13-$G13+1)*$F13-1,1,2))),"")</f>
        <v/>
      </c>
      <c r="AB13">
        <f>IF(AND(AB$2&gt;=$G13,AB$2&lt;=$H13),IF(AND($I13="YES",AB$2=$H13),3,IF($F13=1,4,IF(AB$2&lt;=$G13+($H13-$G13+1)*$F13-1,1,2))),"")</f>
        <v/>
      </c>
      <c r="AC13">
        <f>IF(AND(AC$2&gt;=$G13,AC$2&lt;=$H13),IF(AND($I13="YES",AC$2=$H13),3,IF($F13=1,4,IF(AC$2&lt;=$G13+($H13-$G13+1)*$F13-1,1,2))),"")</f>
        <v/>
      </c>
      <c r="AD13">
        <f>IF(AND(AD$2&gt;=$G13,AD$2&lt;=$H13),IF(AND($I13="YES",AD$2=$H13),3,IF($F13=1,4,IF(AD$2&lt;=$G13+($H13-$G13+1)*$F13-1,1,2))),"")</f>
        <v/>
      </c>
      <c r="AE13">
        <f>IF(AND(AE$2&gt;=$G13,AE$2&lt;=$H13),IF(AND($I13="YES",AE$2=$H13),3,IF($F13=1,4,IF(AE$2&lt;=$G13+($H13-$G13+1)*$F13-1,1,2))),"")</f>
        <v/>
      </c>
      <c r="AF13">
        <f>IF(AND(AF$2&gt;=$G13,AF$2&lt;=$H13),IF(AND($I13="YES",AF$2=$H13),3,IF($F13=1,4,IF(AF$2&lt;=$G13+($H13-$G13+1)*$F13-1,1,2))),"")</f>
        <v/>
      </c>
      <c r="AG13">
        <f>IF(AND(AG$2&gt;=$G13,AG$2&lt;=$H13),IF(AND($I13="YES",AG$2=$H13),3,IF($F13=1,4,IF(AG$2&lt;=$G13+($H13-$G13+1)*$F13-1,1,2))),"")</f>
        <v/>
      </c>
      <c r="AH13">
        <f>IF(AND(AH$2&gt;=$G13,AH$2&lt;=$H13),IF(AND($I13="YES",AH$2=$H13),3,IF($F13=1,4,IF(AH$2&lt;=$G13+($H13-$G13+1)*$F13-1,1,2))),"")</f>
        <v/>
      </c>
      <c r="AI13">
        <f>IF(AND(AI$2&gt;=$G13,AI$2&lt;=$H13),IF(AND($I13="YES",AI$2=$H13),3,IF($F13=1,4,IF(AI$2&lt;=$G13+($H13-$G13+1)*$F13-1,1,2))),"")</f>
        <v/>
      </c>
      <c r="AJ13">
        <f>IF(AND(AJ$2&gt;=$G13,AJ$2&lt;=$H13),IF(AND($I13="YES",AJ$2=$H13),3,IF($F13=1,4,IF(AJ$2&lt;=$G13+($H13-$G13+1)*$F13-1,1,2))),"")</f>
        <v/>
      </c>
      <c r="AK13">
        <f>IF(AND(AK$2&gt;=$G13,AK$2&lt;=$H13),IF(AND($I13="YES",AK$2=$H13),3,IF($F13=1,4,IF(AK$2&lt;=$G13+($H13-$G13+1)*$F13-1,1,2))),"")</f>
        <v/>
      </c>
      <c r="AL13">
        <f>IF(AND(AL$2&gt;=$G13,AL$2&lt;=$H13),IF(AND($I13="YES",AL$2=$H13),3,IF($F13=1,4,IF(AL$2&lt;=$G13+($H13-$G13+1)*$F13-1,1,2))),"")</f>
        <v/>
      </c>
      <c r="AM13">
        <f>IF(AND(AM$2&gt;=$G13,AM$2&lt;=$H13),IF(AND($I13="YES",AM$2=$H13),3,IF($F13=1,4,IF(AM$2&lt;=$G13+($H13-$G13+1)*$F13-1,1,2))),"")</f>
        <v/>
      </c>
      <c r="AN13">
        <f>IF(AND(AN$2&gt;=$G13,AN$2&lt;=$H13),IF(AND($I13="YES",AN$2=$H13),3,IF($F13=1,4,IF(AN$2&lt;=$G13+($H13-$G13+1)*$F13-1,1,2))),"")</f>
        <v/>
      </c>
      <c r="AO13">
        <f>IF(AND(AO$2&gt;=$G13,AO$2&lt;=$H13),IF(AND($I13="YES",AO$2=$H13),3,IF($F13=1,4,IF(AO$2&lt;=$G13+($H13-$G13+1)*$F13-1,1,2))),"")</f>
        <v/>
      </c>
      <c r="AP13">
        <f>IF(AND(AP$2&gt;=$G13,AP$2&lt;=$H13),IF(AND($I13="YES",AP$2=$H13),3,IF($F13=1,4,IF(AP$2&lt;=$G13+($H13-$G13+1)*$F13-1,1,2))),"")</f>
        <v/>
      </c>
      <c r="AQ13">
        <f>IF(AND(AQ$2&gt;=$G13,AQ$2&lt;=$H13),IF(AND($I13="YES",AQ$2=$H13),3,IF($F13=1,4,IF(AQ$2&lt;=$G13+($H13-$G13+1)*$F13-1,1,2))),"")</f>
        <v/>
      </c>
    </row>
    <row r="14">
      <c r="A14">
        <f>Tracker!A11</f>
        <v/>
      </c>
      <c r="B14">
        <f>Tracker!B11</f>
        <v/>
      </c>
      <c r="C14">
        <f>Tracker!C11</f>
        <v/>
      </c>
      <c r="D14">
        <f>Tracker!J11</f>
        <v/>
      </c>
      <c r="E14">
        <f>Tracker!K11</f>
        <v/>
      </c>
      <c r="F14" s="12">
        <f>Tracker!L11</f>
        <v/>
      </c>
      <c r="G14" s="13">
        <f>Tracker!E11</f>
        <v/>
      </c>
      <c r="H14" s="13">
        <f>Tracker!F11</f>
        <v/>
      </c>
      <c r="I14">
        <f>Tracker!M11</f>
        <v/>
      </c>
      <c r="J14">
        <f>IF(AND(J$2&gt;=$G14,J$2&lt;=$H14),IF(AND($I14="YES",J$2=$H14),3,IF($F14=1,4,IF(J$2&lt;=$G14+($H14-$G14+1)*$F14-1,1,2))),"")</f>
        <v/>
      </c>
      <c r="K14">
        <f>IF(AND(K$2&gt;=$G14,K$2&lt;=$H14),IF(AND($I14="YES",K$2=$H14),3,IF($F14=1,4,IF(K$2&lt;=$G14+($H14-$G14+1)*$F14-1,1,2))),"")</f>
        <v/>
      </c>
      <c r="L14">
        <f>IF(AND(L$2&gt;=$G14,L$2&lt;=$H14),IF(AND($I14="YES",L$2=$H14),3,IF($F14=1,4,IF(L$2&lt;=$G14+($H14-$G14+1)*$F14-1,1,2))),"")</f>
        <v/>
      </c>
      <c r="M14">
        <f>IF(AND(M$2&gt;=$G14,M$2&lt;=$H14),IF(AND($I14="YES",M$2=$H14),3,IF($F14=1,4,IF(M$2&lt;=$G14+($H14-$G14+1)*$F14-1,1,2))),"")</f>
        <v/>
      </c>
      <c r="N14">
        <f>IF(AND(N$2&gt;=$G14,N$2&lt;=$H14),IF(AND($I14="YES",N$2=$H14),3,IF($F14=1,4,IF(N$2&lt;=$G14+($H14-$G14+1)*$F14-1,1,2))),"")</f>
        <v/>
      </c>
      <c r="O14">
        <f>IF(AND(O$2&gt;=$G14,O$2&lt;=$H14),IF(AND($I14="YES",O$2=$H14),3,IF($F14=1,4,IF(O$2&lt;=$G14+($H14-$G14+1)*$F14-1,1,2))),"")</f>
        <v/>
      </c>
      <c r="P14">
        <f>IF(AND(P$2&gt;=$G14,P$2&lt;=$H14),IF(AND($I14="YES",P$2=$H14),3,IF($F14=1,4,IF(P$2&lt;=$G14+($H14-$G14+1)*$F14-1,1,2))),"")</f>
        <v/>
      </c>
      <c r="Q14">
        <f>IF(AND(Q$2&gt;=$G14,Q$2&lt;=$H14),IF(AND($I14="YES",Q$2=$H14),3,IF($F14=1,4,IF(Q$2&lt;=$G14+($H14-$G14+1)*$F14-1,1,2))),"")</f>
        <v/>
      </c>
      <c r="R14">
        <f>IF(AND(R$2&gt;=$G14,R$2&lt;=$H14),IF(AND($I14="YES",R$2=$H14),3,IF($F14=1,4,IF(R$2&lt;=$G14+($H14-$G14+1)*$F14-1,1,2))),"")</f>
        <v/>
      </c>
      <c r="S14">
        <f>IF(AND(S$2&gt;=$G14,S$2&lt;=$H14),IF(AND($I14="YES",S$2=$H14),3,IF($F14=1,4,IF(S$2&lt;=$G14+($H14-$G14+1)*$F14-1,1,2))),"")</f>
        <v/>
      </c>
      <c r="T14">
        <f>IF(AND(T$2&gt;=$G14,T$2&lt;=$H14),IF(AND($I14="YES",T$2=$H14),3,IF($F14=1,4,IF(T$2&lt;=$G14+($H14-$G14+1)*$F14-1,1,2))),"")</f>
        <v/>
      </c>
      <c r="U14">
        <f>IF(AND(U$2&gt;=$G14,U$2&lt;=$H14),IF(AND($I14="YES",U$2=$H14),3,IF($F14=1,4,IF(U$2&lt;=$G14+($H14-$G14+1)*$F14-1,1,2))),"")</f>
        <v/>
      </c>
      <c r="V14">
        <f>IF(AND(V$2&gt;=$G14,V$2&lt;=$H14),IF(AND($I14="YES",V$2=$H14),3,IF($F14=1,4,IF(V$2&lt;=$G14+($H14-$G14+1)*$F14-1,1,2))),"")</f>
        <v/>
      </c>
      <c r="W14">
        <f>IF(AND(W$2&gt;=$G14,W$2&lt;=$H14),IF(AND($I14="YES",W$2=$H14),3,IF($F14=1,4,IF(W$2&lt;=$G14+($H14-$G14+1)*$F14-1,1,2))),"")</f>
        <v/>
      </c>
      <c r="X14">
        <f>IF(AND(X$2&gt;=$G14,X$2&lt;=$H14),IF(AND($I14="YES",X$2=$H14),3,IF($F14=1,4,IF(X$2&lt;=$G14+($H14-$G14+1)*$F14-1,1,2))),"")</f>
        <v/>
      </c>
      <c r="Y14">
        <f>IF(AND(Y$2&gt;=$G14,Y$2&lt;=$H14),IF(AND($I14="YES",Y$2=$H14),3,IF($F14=1,4,IF(Y$2&lt;=$G14+($H14-$G14+1)*$F14-1,1,2))),"")</f>
        <v/>
      </c>
      <c r="Z14">
        <f>IF(AND(Z$2&gt;=$G14,Z$2&lt;=$H14),IF(AND($I14="YES",Z$2=$H14),3,IF($F14=1,4,IF(Z$2&lt;=$G14+($H14-$G14+1)*$F14-1,1,2))),"")</f>
        <v/>
      </c>
      <c r="AA14">
        <f>IF(AND(AA$2&gt;=$G14,AA$2&lt;=$H14),IF(AND($I14="YES",AA$2=$H14),3,IF($F14=1,4,IF(AA$2&lt;=$G14+($H14-$G14+1)*$F14-1,1,2))),"")</f>
        <v/>
      </c>
      <c r="AB14">
        <f>IF(AND(AB$2&gt;=$G14,AB$2&lt;=$H14),IF(AND($I14="YES",AB$2=$H14),3,IF($F14=1,4,IF(AB$2&lt;=$G14+($H14-$G14+1)*$F14-1,1,2))),"")</f>
        <v/>
      </c>
      <c r="AC14">
        <f>IF(AND(AC$2&gt;=$G14,AC$2&lt;=$H14),IF(AND($I14="YES",AC$2=$H14),3,IF($F14=1,4,IF(AC$2&lt;=$G14+($H14-$G14+1)*$F14-1,1,2))),"")</f>
        <v/>
      </c>
      <c r="AD14">
        <f>IF(AND(AD$2&gt;=$G14,AD$2&lt;=$H14),IF(AND($I14="YES",AD$2=$H14),3,IF($F14=1,4,IF(AD$2&lt;=$G14+($H14-$G14+1)*$F14-1,1,2))),"")</f>
        <v/>
      </c>
      <c r="AE14">
        <f>IF(AND(AE$2&gt;=$G14,AE$2&lt;=$H14),IF(AND($I14="YES",AE$2=$H14),3,IF($F14=1,4,IF(AE$2&lt;=$G14+($H14-$G14+1)*$F14-1,1,2))),"")</f>
        <v/>
      </c>
      <c r="AF14">
        <f>IF(AND(AF$2&gt;=$G14,AF$2&lt;=$H14),IF(AND($I14="YES",AF$2=$H14),3,IF($F14=1,4,IF(AF$2&lt;=$G14+($H14-$G14+1)*$F14-1,1,2))),"")</f>
        <v/>
      </c>
      <c r="AG14">
        <f>IF(AND(AG$2&gt;=$G14,AG$2&lt;=$H14),IF(AND($I14="YES",AG$2=$H14),3,IF($F14=1,4,IF(AG$2&lt;=$G14+($H14-$G14+1)*$F14-1,1,2))),"")</f>
        <v/>
      </c>
      <c r="AH14">
        <f>IF(AND(AH$2&gt;=$G14,AH$2&lt;=$H14),IF(AND($I14="YES",AH$2=$H14),3,IF($F14=1,4,IF(AH$2&lt;=$G14+($H14-$G14+1)*$F14-1,1,2))),"")</f>
        <v/>
      </c>
      <c r="AI14">
        <f>IF(AND(AI$2&gt;=$G14,AI$2&lt;=$H14),IF(AND($I14="YES",AI$2=$H14),3,IF($F14=1,4,IF(AI$2&lt;=$G14+($H14-$G14+1)*$F14-1,1,2))),"")</f>
        <v/>
      </c>
      <c r="AJ14">
        <f>IF(AND(AJ$2&gt;=$G14,AJ$2&lt;=$H14),IF(AND($I14="YES",AJ$2=$H14),3,IF($F14=1,4,IF(AJ$2&lt;=$G14+($H14-$G14+1)*$F14-1,1,2))),"")</f>
        <v/>
      </c>
      <c r="AK14">
        <f>IF(AND(AK$2&gt;=$G14,AK$2&lt;=$H14),IF(AND($I14="YES",AK$2=$H14),3,IF($F14=1,4,IF(AK$2&lt;=$G14+($H14-$G14+1)*$F14-1,1,2))),"")</f>
        <v/>
      </c>
      <c r="AL14">
        <f>IF(AND(AL$2&gt;=$G14,AL$2&lt;=$H14),IF(AND($I14="YES",AL$2=$H14),3,IF($F14=1,4,IF(AL$2&lt;=$G14+($H14-$G14+1)*$F14-1,1,2))),"")</f>
        <v/>
      </c>
      <c r="AM14">
        <f>IF(AND(AM$2&gt;=$G14,AM$2&lt;=$H14),IF(AND($I14="YES",AM$2=$H14),3,IF($F14=1,4,IF(AM$2&lt;=$G14+($H14-$G14+1)*$F14-1,1,2))),"")</f>
        <v/>
      </c>
      <c r="AN14">
        <f>IF(AND(AN$2&gt;=$G14,AN$2&lt;=$H14),IF(AND($I14="YES",AN$2=$H14),3,IF($F14=1,4,IF(AN$2&lt;=$G14+($H14-$G14+1)*$F14-1,1,2))),"")</f>
        <v/>
      </c>
      <c r="AO14">
        <f>IF(AND(AO$2&gt;=$G14,AO$2&lt;=$H14),IF(AND($I14="YES",AO$2=$H14),3,IF($F14=1,4,IF(AO$2&lt;=$G14+($H14-$G14+1)*$F14-1,1,2))),"")</f>
        <v/>
      </c>
      <c r="AP14">
        <f>IF(AND(AP$2&gt;=$G14,AP$2&lt;=$H14),IF(AND($I14="YES",AP$2=$H14),3,IF($F14=1,4,IF(AP$2&lt;=$G14+($H14-$G14+1)*$F14-1,1,2))),"")</f>
        <v/>
      </c>
      <c r="AQ14">
        <f>IF(AND(AQ$2&gt;=$G14,AQ$2&lt;=$H14),IF(AND($I14="YES",AQ$2=$H14),3,IF($F14=1,4,IF(AQ$2&lt;=$G14+($H14-$G14+1)*$F14-1,1,2))),"")</f>
        <v/>
      </c>
    </row>
    <row r="15">
      <c r="A15">
        <f>Tracker!A12</f>
        <v/>
      </c>
      <c r="B15">
        <f>Tracker!B12</f>
        <v/>
      </c>
      <c r="C15">
        <f>Tracker!C12</f>
        <v/>
      </c>
      <c r="D15">
        <f>Tracker!J12</f>
        <v/>
      </c>
      <c r="E15">
        <f>Tracker!K12</f>
        <v/>
      </c>
      <c r="F15" s="12">
        <f>Tracker!L12</f>
        <v/>
      </c>
      <c r="G15" s="13">
        <f>Tracker!E12</f>
        <v/>
      </c>
      <c r="H15" s="13">
        <f>Tracker!F12</f>
        <v/>
      </c>
      <c r="I15">
        <f>Tracker!M12</f>
        <v/>
      </c>
      <c r="J15">
        <f>IF(AND(J$2&gt;=$G15,J$2&lt;=$H15),IF(AND($I15="YES",J$2=$H15),3,IF($F15=1,4,IF(J$2&lt;=$G15+($H15-$G15+1)*$F15-1,1,2))),"")</f>
        <v/>
      </c>
      <c r="K15">
        <f>IF(AND(K$2&gt;=$G15,K$2&lt;=$H15),IF(AND($I15="YES",K$2=$H15),3,IF($F15=1,4,IF(K$2&lt;=$G15+($H15-$G15+1)*$F15-1,1,2))),"")</f>
        <v/>
      </c>
      <c r="L15">
        <f>IF(AND(L$2&gt;=$G15,L$2&lt;=$H15),IF(AND($I15="YES",L$2=$H15),3,IF($F15=1,4,IF(L$2&lt;=$G15+($H15-$G15+1)*$F15-1,1,2))),"")</f>
        <v/>
      </c>
      <c r="M15">
        <f>IF(AND(M$2&gt;=$G15,M$2&lt;=$H15),IF(AND($I15="YES",M$2=$H15),3,IF($F15=1,4,IF(M$2&lt;=$G15+($H15-$G15+1)*$F15-1,1,2))),"")</f>
        <v/>
      </c>
      <c r="N15">
        <f>IF(AND(N$2&gt;=$G15,N$2&lt;=$H15),IF(AND($I15="YES",N$2=$H15),3,IF($F15=1,4,IF(N$2&lt;=$G15+($H15-$G15+1)*$F15-1,1,2))),"")</f>
        <v/>
      </c>
      <c r="O15">
        <f>IF(AND(O$2&gt;=$G15,O$2&lt;=$H15),IF(AND($I15="YES",O$2=$H15),3,IF($F15=1,4,IF(O$2&lt;=$G15+($H15-$G15+1)*$F15-1,1,2))),"")</f>
        <v/>
      </c>
      <c r="P15">
        <f>IF(AND(P$2&gt;=$G15,P$2&lt;=$H15),IF(AND($I15="YES",P$2=$H15),3,IF($F15=1,4,IF(P$2&lt;=$G15+($H15-$G15+1)*$F15-1,1,2))),"")</f>
        <v/>
      </c>
      <c r="Q15">
        <f>IF(AND(Q$2&gt;=$G15,Q$2&lt;=$H15),IF(AND($I15="YES",Q$2=$H15),3,IF($F15=1,4,IF(Q$2&lt;=$G15+($H15-$G15+1)*$F15-1,1,2))),"")</f>
        <v/>
      </c>
      <c r="R15">
        <f>IF(AND(R$2&gt;=$G15,R$2&lt;=$H15),IF(AND($I15="YES",R$2=$H15),3,IF($F15=1,4,IF(R$2&lt;=$G15+($H15-$G15+1)*$F15-1,1,2))),"")</f>
        <v/>
      </c>
      <c r="S15">
        <f>IF(AND(S$2&gt;=$G15,S$2&lt;=$H15),IF(AND($I15="YES",S$2=$H15),3,IF($F15=1,4,IF(S$2&lt;=$G15+($H15-$G15+1)*$F15-1,1,2))),"")</f>
        <v/>
      </c>
      <c r="T15">
        <f>IF(AND(T$2&gt;=$G15,T$2&lt;=$H15),IF(AND($I15="YES",T$2=$H15),3,IF($F15=1,4,IF(T$2&lt;=$G15+($H15-$G15+1)*$F15-1,1,2))),"")</f>
        <v/>
      </c>
      <c r="U15">
        <f>IF(AND(U$2&gt;=$G15,U$2&lt;=$H15),IF(AND($I15="YES",U$2=$H15),3,IF($F15=1,4,IF(U$2&lt;=$G15+($H15-$G15+1)*$F15-1,1,2))),"")</f>
        <v/>
      </c>
      <c r="V15">
        <f>IF(AND(V$2&gt;=$G15,V$2&lt;=$H15),IF(AND($I15="YES",V$2=$H15),3,IF($F15=1,4,IF(V$2&lt;=$G15+($H15-$G15+1)*$F15-1,1,2))),"")</f>
        <v/>
      </c>
      <c r="W15">
        <f>IF(AND(W$2&gt;=$G15,W$2&lt;=$H15),IF(AND($I15="YES",W$2=$H15),3,IF($F15=1,4,IF(W$2&lt;=$G15+($H15-$G15+1)*$F15-1,1,2))),"")</f>
        <v/>
      </c>
      <c r="X15">
        <f>IF(AND(X$2&gt;=$G15,X$2&lt;=$H15),IF(AND($I15="YES",X$2=$H15),3,IF($F15=1,4,IF(X$2&lt;=$G15+($H15-$G15+1)*$F15-1,1,2))),"")</f>
        <v/>
      </c>
      <c r="Y15">
        <f>IF(AND(Y$2&gt;=$G15,Y$2&lt;=$H15),IF(AND($I15="YES",Y$2=$H15),3,IF($F15=1,4,IF(Y$2&lt;=$G15+($H15-$G15+1)*$F15-1,1,2))),"")</f>
        <v/>
      </c>
      <c r="Z15">
        <f>IF(AND(Z$2&gt;=$G15,Z$2&lt;=$H15),IF(AND($I15="YES",Z$2=$H15),3,IF($F15=1,4,IF(Z$2&lt;=$G15+($H15-$G15+1)*$F15-1,1,2))),"")</f>
        <v/>
      </c>
      <c r="AA15">
        <f>IF(AND(AA$2&gt;=$G15,AA$2&lt;=$H15),IF(AND($I15="YES",AA$2=$H15),3,IF($F15=1,4,IF(AA$2&lt;=$G15+($H15-$G15+1)*$F15-1,1,2))),"")</f>
        <v/>
      </c>
      <c r="AB15">
        <f>IF(AND(AB$2&gt;=$G15,AB$2&lt;=$H15),IF(AND($I15="YES",AB$2=$H15),3,IF($F15=1,4,IF(AB$2&lt;=$G15+($H15-$G15+1)*$F15-1,1,2))),"")</f>
        <v/>
      </c>
      <c r="AC15">
        <f>IF(AND(AC$2&gt;=$G15,AC$2&lt;=$H15),IF(AND($I15="YES",AC$2=$H15),3,IF($F15=1,4,IF(AC$2&lt;=$G15+($H15-$G15+1)*$F15-1,1,2))),"")</f>
        <v/>
      </c>
      <c r="AD15">
        <f>IF(AND(AD$2&gt;=$G15,AD$2&lt;=$H15),IF(AND($I15="YES",AD$2=$H15),3,IF($F15=1,4,IF(AD$2&lt;=$G15+($H15-$G15+1)*$F15-1,1,2))),"")</f>
        <v/>
      </c>
      <c r="AE15">
        <f>IF(AND(AE$2&gt;=$G15,AE$2&lt;=$H15),IF(AND($I15="YES",AE$2=$H15),3,IF($F15=1,4,IF(AE$2&lt;=$G15+($H15-$G15+1)*$F15-1,1,2))),"")</f>
        <v/>
      </c>
      <c r="AF15">
        <f>IF(AND(AF$2&gt;=$G15,AF$2&lt;=$H15),IF(AND($I15="YES",AF$2=$H15),3,IF($F15=1,4,IF(AF$2&lt;=$G15+($H15-$G15+1)*$F15-1,1,2))),"")</f>
        <v/>
      </c>
      <c r="AG15">
        <f>IF(AND(AG$2&gt;=$G15,AG$2&lt;=$H15),IF(AND($I15="YES",AG$2=$H15),3,IF($F15=1,4,IF(AG$2&lt;=$G15+($H15-$G15+1)*$F15-1,1,2))),"")</f>
        <v/>
      </c>
      <c r="AH15">
        <f>IF(AND(AH$2&gt;=$G15,AH$2&lt;=$H15),IF(AND($I15="YES",AH$2=$H15),3,IF($F15=1,4,IF(AH$2&lt;=$G15+($H15-$G15+1)*$F15-1,1,2))),"")</f>
        <v/>
      </c>
      <c r="AI15">
        <f>IF(AND(AI$2&gt;=$G15,AI$2&lt;=$H15),IF(AND($I15="YES",AI$2=$H15),3,IF($F15=1,4,IF(AI$2&lt;=$G15+($H15-$G15+1)*$F15-1,1,2))),"")</f>
        <v/>
      </c>
      <c r="AJ15">
        <f>IF(AND(AJ$2&gt;=$G15,AJ$2&lt;=$H15),IF(AND($I15="YES",AJ$2=$H15),3,IF($F15=1,4,IF(AJ$2&lt;=$G15+($H15-$G15+1)*$F15-1,1,2))),"")</f>
        <v/>
      </c>
      <c r="AK15">
        <f>IF(AND(AK$2&gt;=$G15,AK$2&lt;=$H15),IF(AND($I15="YES",AK$2=$H15),3,IF($F15=1,4,IF(AK$2&lt;=$G15+($H15-$G15+1)*$F15-1,1,2))),"")</f>
        <v/>
      </c>
      <c r="AL15">
        <f>IF(AND(AL$2&gt;=$G15,AL$2&lt;=$H15),IF(AND($I15="YES",AL$2=$H15),3,IF($F15=1,4,IF(AL$2&lt;=$G15+($H15-$G15+1)*$F15-1,1,2))),"")</f>
        <v/>
      </c>
      <c r="AM15">
        <f>IF(AND(AM$2&gt;=$G15,AM$2&lt;=$H15),IF(AND($I15="YES",AM$2=$H15),3,IF($F15=1,4,IF(AM$2&lt;=$G15+($H15-$G15+1)*$F15-1,1,2))),"")</f>
        <v/>
      </c>
      <c r="AN15">
        <f>IF(AND(AN$2&gt;=$G15,AN$2&lt;=$H15),IF(AND($I15="YES",AN$2=$H15),3,IF($F15=1,4,IF(AN$2&lt;=$G15+($H15-$G15+1)*$F15-1,1,2))),"")</f>
        <v/>
      </c>
      <c r="AO15">
        <f>IF(AND(AO$2&gt;=$G15,AO$2&lt;=$H15),IF(AND($I15="YES",AO$2=$H15),3,IF($F15=1,4,IF(AO$2&lt;=$G15+($H15-$G15+1)*$F15-1,1,2))),"")</f>
        <v/>
      </c>
      <c r="AP15">
        <f>IF(AND(AP$2&gt;=$G15,AP$2&lt;=$H15),IF(AND($I15="YES",AP$2=$H15),3,IF($F15=1,4,IF(AP$2&lt;=$G15+($H15-$G15+1)*$F15-1,1,2))),"")</f>
        <v/>
      </c>
      <c r="AQ15">
        <f>IF(AND(AQ$2&gt;=$G15,AQ$2&lt;=$H15),IF(AND($I15="YES",AQ$2=$H15),3,IF($F15=1,4,IF(AQ$2&lt;=$G15+($H15-$G15+1)*$F15-1,1,2))),"")</f>
        <v/>
      </c>
    </row>
    <row r="16">
      <c r="A16">
        <f>Tracker!A13</f>
        <v/>
      </c>
      <c r="B16">
        <f>Tracker!B13</f>
        <v/>
      </c>
      <c r="C16">
        <f>Tracker!C13</f>
        <v/>
      </c>
      <c r="D16">
        <f>Tracker!J13</f>
        <v/>
      </c>
      <c r="E16">
        <f>Tracker!K13</f>
        <v/>
      </c>
      <c r="F16" s="12">
        <f>Tracker!L13</f>
        <v/>
      </c>
      <c r="G16" s="13">
        <f>Tracker!E13</f>
        <v/>
      </c>
      <c r="H16" s="13">
        <f>Tracker!F13</f>
        <v/>
      </c>
      <c r="I16">
        <f>Tracker!M13</f>
        <v/>
      </c>
      <c r="J16">
        <f>IF(AND(J$2&gt;=$G16,J$2&lt;=$H16),IF(AND($I16="YES",J$2=$H16),3,IF($F16=1,4,IF(J$2&lt;=$G16+($H16-$G16+1)*$F16-1,1,2))),"")</f>
        <v/>
      </c>
      <c r="K16">
        <f>IF(AND(K$2&gt;=$G16,K$2&lt;=$H16),IF(AND($I16="YES",K$2=$H16),3,IF($F16=1,4,IF(K$2&lt;=$G16+($H16-$G16+1)*$F16-1,1,2))),"")</f>
        <v/>
      </c>
      <c r="L16">
        <f>IF(AND(L$2&gt;=$G16,L$2&lt;=$H16),IF(AND($I16="YES",L$2=$H16),3,IF($F16=1,4,IF(L$2&lt;=$G16+($H16-$G16+1)*$F16-1,1,2))),"")</f>
        <v/>
      </c>
      <c r="M16">
        <f>IF(AND(M$2&gt;=$G16,M$2&lt;=$H16),IF(AND($I16="YES",M$2=$H16),3,IF($F16=1,4,IF(M$2&lt;=$G16+($H16-$G16+1)*$F16-1,1,2))),"")</f>
        <v/>
      </c>
      <c r="N16">
        <f>IF(AND(N$2&gt;=$G16,N$2&lt;=$H16),IF(AND($I16="YES",N$2=$H16),3,IF($F16=1,4,IF(N$2&lt;=$G16+($H16-$G16+1)*$F16-1,1,2))),"")</f>
        <v/>
      </c>
      <c r="O16">
        <f>IF(AND(O$2&gt;=$G16,O$2&lt;=$H16),IF(AND($I16="YES",O$2=$H16),3,IF($F16=1,4,IF(O$2&lt;=$G16+($H16-$G16+1)*$F16-1,1,2))),"")</f>
        <v/>
      </c>
      <c r="P16">
        <f>IF(AND(P$2&gt;=$G16,P$2&lt;=$H16),IF(AND($I16="YES",P$2=$H16),3,IF($F16=1,4,IF(P$2&lt;=$G16+($H16-$G16+1)*$F16-1,1,2))),"")</f>
        <v/>
      </c>
      <c r="Q16">
        <f>IF(AND(Q$2&gt;=$G16,Q$2&lt;=$H16),IF(AND($I16="YES",Q$2=$H16),3,IF($F16=1,4,IF(Q$2&lt;=$G16+($H16-$G16+1)*$F16-1,1,2))),"")</f>
        <v/>
      </c>
      <c r="R16">
        <f>IF(AND(R$2&gt;=$G16,R$2&lt;=$H16),IF(AND($I16="YES",R$2=$H16),3,IF($F16=1,4,IF(R$2&lt;=$G16+($H16-$G16+1)*$F16-1,1,2))),"")</f>
        <v/>
      </c>
      <c r="S16">
        <f>IF(AND(S$2&gt;=$G16,S$2&lt;=$H16),IF(AND($I16="YES",S$2=$H16),3,IF($F16=1,4,IF(S$2&lt;=$G16+($H16-$G16+1)*$F16-1,1,2))),"")</f>
        <v/>
      </c>
      <c r="T16">
        <f>IF(AND(T$2&gt;=$G16,T$2&lt;=$H16),IF(AND($I16="YES",T$2=$H16),3,IF($F16=1,4,IF(T$2&lt;=$G16+($H16-$G16+1)*$F16-1,1,2))),"")</f>
        <v/>
      </c>
      <c r="U16">
        <f>IF(AND(U$2&gt;=$G16,U$2&lt;=$H16),IF(AND($I16="YES",U$2=$H16),3,IF($F16=1,4,IF(U$2&lt;=$G16+($H16-$G16+1)*$F16-1,1,2))),"")</f>
        <v/>
      </c>
      <c r="V16">
        <f>IF(AND(V$2&gt;=$G16,V$2&lt;=$H16),IF(AND($I16="YES",V$2=$H16),3,IF($F16=1,4,IF(V$2&lt;=$G16+($H16-$G16+1)*$F16-1,1,2))),"")</f>
        <v/>
      </c>
      <c r="W16">
        <f>IF(AND(W$2&gt;=$G16,W$2&lt;=$H16),IF(AND($I16="YES",W$2=$H16),3,IF($F16=1,4,IF(W$2&lt;=$G16+($H16-$G16+1)*$F16-1,1,2))),"")</f>
        <v/>
      </c>
      <c r="X16">
        <f>IF(AND(X$2&gt;=$G16,X$2&lt;=$H16),IF(AND($I16="YES",X$2=$H16),3,IF($F16=1,4,IF(X$2&lt;=$G16+($H16-$G16+1)*$F16-1,1,2))),"")</f>
        <v/>
      </c>
      <c r="Y16">
        <f>IF(AND(Y$2&gt;=$G16,Y$2&lt;=$H16),IF(AND($I16="YES",Y$2=$H16),3,IF($F16=1,4,IF(Y$2&lt;=$G16+($H16-$G16+1)*$F16-1,1,2))),"")</f>
        <v/>
      </c>
      <c r="Z16">
        <f>IF(AND(Z$2&gt;=$G16,Z$2&lt;=$H16),IF(AND($I16="YES",Z$2=$H16),3,IF($F16=1,4,IF(Z$2&lt;=$G16+($H16-$G16+1)*$F16-1,1,2))),"")</f>
        <v/>
      </c>
      <c r="AA16">
        <f>IF(AND(AA$2&gt;=$G16,AA$2&lt;=$H16),IF(AND($I16="YES",AA$2=$H16),3,IF($F16=1,4,IF(AA$2&lt;=$G16+($H16-$G16+1)*$F16-1,1,2))),"")</f>
        <v/>
      </c>
      <c r="AB16">
        <f>IF(AND(AB$2&gt;=$G16,AB$2&lt;=$H16),IF(AND($I16="YES",AB$2=$H16),3,IF($F16=1,4,IF(AB$2&lt;=$G16+($H16-$G16+1)*$F16-1,1,2))),"")</f>
        <v/>
      </c>
      <c r="AC16">
        <f>IF(AND(AC$2&gt;=$G16,AC$2&lt;=$H16),IF(AND($I16="YES",AC$2=$H16),3,IF($F16=1,4,IF(AC$2&lt;=$G16+($H16-$G16+1)*$F16-1,1,2))),"")</f>
        <v/>
      </c>
      <c r="AD16">
        <f>IF(AND(AD$2&gt;=$G16,AD$2&lt;=$H16),IF(AND($I16="YES",AD$2=$H16),3,IF($F16=1,4,IF(AD$2&lt;=$G16+($H16-$G16+1)*$F16-1,1,2))),"")</f>
        <v/>
      </c>
      <c r="AE16">
        <f>IF(AND(AE$2&gt;=$G16,AE$2&lt;=$H16),IF(AND($I16="YES",AE$2=$H16),3,IF($F16=1,4,IF(AE$2&lt;=$G16+($H16-$G16+1)*$F16-1,1,2))),"")</f>
        <v/>
      </c>
      <c r="AF16">
        <f>IF(AND(AF$2&gt;=$G16,AF$2&lt;=$H16),IF(AND($I16="YES",AF$2=$H16),3,IF($F16=1,4,IF(AF$2&lt;=$G16+($H16-$G16+1)*$F16-1,1,2))),"")</f>
        <v/>
      </c>
      <c r="AG16">
        <f>IF(AND(AG$2&gt;=$G16,AG$2&lt;=$H16),IF(AND($I16="YES",AG$2=$H16),3,IF($F16=1,4,IF(AG$2&lt;=$G16+($H16-$G16+1)*$F16-1,1,2))),"")</f>
        <v/>
      </c>
      <c r="AH16">
        <f>IF(AND(AH$2&gt;=$G16,AH$2&lt;=$H16),IF(AND($I16="YES",AH$2=$H16),3,IF($F16=1,4,IF(AH$2&lt;=$G16+($H16-$G16+1)*$F16-1,1,2))),"")</f>
        <v/>
      </c>
      <c r="AI16">
        <f>IF(AND(AI$2&gt;=$G16,AI$2&lt;=$H16),IF(AND($I16="YES",AI$2=$H16),3,IF($F16=1,4,IF(AI$2&lt;=$G16+($H16-$G16+1)*$F16-1,1,2))),"")</f>
        <v/>
      </c>
      <c r="AJ16">
        <f>IF(AND(AJ$2&gt;=$G16,AJ$2&lt;=$H16),IF(AND($I16="YES",AJ$2=$H16),3,IF($F16=1,4,IF(AJ$2&lt;=$G16+($H16-$G16+1)*$F16-1,1,2))),"")</f>
        <v/>
      </c>
      <c r="AK16">
        <f>IF(AND(AK$2&gt;=$G16,AK$2&lt;=$H16),IF(AND($I16="YES",AK$2=$H16),3,IF($F16=1,4,IF(AK$2&lt;=$G16+($H16-$G16+1)*$F16-1,1,2))),"")</f>
        <v/>
      </c>
      <c r="AL16">
        <f>IF(AND(AL$2&gt;=$G16,AL$2&lt;=$H16),IF(AND($I16="YES",AL$2=$H16),3,IF($F16=1,4,IF(AL$2&lt;=$G16+($H16-$G16+1)*$F16-1,1,2))),"")</f>
        <v/>
      </c>
      <c r="AM16">
        <f>IF(AND(AM$2&gt;=$G16,AM$2&lt;=$H16),IF(AND($I16="YES",AM$2=$H16),3,IF($F16=1,4,IF(AM$2&lt;=$G16+($H16-$G16+1)*$F16-1,1,2))),"")</f>
        <v/>
      </c>
      <c r="AN16">
        <f>IF(AND(AN$2&gt;=$G16,AN$2&lt;=$H16),IF(AND($I16="YES",AN$2=$H16),3,IF($F16=1,4,IF(AN$2&lt;=$G16+($H16-$G16+1)*$F16-1,1,2))),"")</f>
        <v/>
      </c>
      <c r="AO16">
        <f>IF(AND(AO$2&gt;=$G16,AO$2&lt;=$H16),IF(AND($I16="YES",AO$2=$H16),3,IF($F16=1,4,IF(AO$2&lt;=$G16+($H16-$G16+1)*$F16-1,1,2))),"")</f>
        <v/>
      </c>
      <c r="AP16">
        <f>IF(AND(AP$2&gt;=$G16,AP$2&lt;=$H16),IF(AND($I16="YES",AP$2=$H16),3,IF($F16=1,4,IF(AP$2&lt;=$G16+($H16-$G16+1)*$F16-1,1,2))),"")</f>
        <v/>
      </c>
      <c r="AQ16">
        <f>IF(AND(AQ$2&gt;=$G16,AQ$2&lt;=$H16),IF(AND($I16="YES",AQ$2=$H16),3,IF($F16=1,4,IF(AQ$2&lt;=$G16+($H16-$G16+1)*$F16-1,1,2))),"")</f>
        <v/>
      </c>
    </row>
    <row r="17">
      <c r="A17">
        <f>Tracker!A14</f>
        <v/>
      </c>
      <c r="B17">
        <f>Tracker!B14</f>
        <v/>
      </c>
      <c r="C17">
        <f>Tracker!C14</f>
        <v/>
      </c>
      <c r="D17">
        <f>Tracker!J14</f>
        <v/>
      </c>
      <c r="E17">
        <f>Tracker!K14</f>
        <v/>
      </c>
      <c r="F17" s="12">
        <f>Tracker!L14</f>
        <v/>
      </c>
      <c r="G17" s="13">
        <f>Tracker!E14</f>
        <v/>
      </c>
      <c r="H17" s="13">
        <f>Tracker!F14</f>
        <v/>
      </c>
      <c r="I17">
        <f>Tracker!M14</f>
        <v/>
      </c>
      <c r="J17">
        <f>IF(AND(J$2&gt;=$G17,J$2&lt;=$H17),IF(AND($I17="YES",J$2=$H17),3,IF($F17=1,4,IF(J$2&lt;=$G17+($H17-$G17+1)*$F17-1,1,2))),"")</f>
        <v/>
      </c>
      <c r="K17">
        <f>IF(AND(K$2&gt;=$G17,K$2&lt;=$H17),IF(AND($I17="YES",K$2=$H17),3,IF($F17=1,4,IF(K$2&lt;=$G17+($H17-$G17+1)*$F17-1,1,2))),"")</f>
        <v/>
      </c>
      <c r="L17">
        <f>IF(AND(L$2&gt;=$G17,L$2&lt;=$H17),IF(AND($I17="YES",L$2=$H17),3,IF($F17=1,4,IF(L$2&lt;=$G17+($H17-$G17+1)*$F17-1,1,2))),"")</f>
        <v/>
      </c>
      <c r="M17">
        <f>IF(AND(M$2&gt;=$G17,M$2&lt;=$H17),IF(AND($I17="YES",M$2=$H17),3,IF($F17=1,4,IF(M$2&lt;=$G17+($H17-$G17+1)*$F17-1,1,2))),"")</f>
        <v/>
      </c>
      <c r="N17">
        <f>IF(AND(N$2&gt;=$G17,N$2&lt;=$H17),IF(AND($I17="YES",N$2=$H17),3,IF($F17=1,4,IF(N$2&lt;=$G17+($H17-$G17+1)*$F17-1,1,2))),"")</f>
        <v/>
      </c>
      <c r="O17">
        <f>IF(AND(O$2&gt;=$G17,O$2&lt;=$H17),IF(AND($I17="YES",O$2=$H17),3,IF($F17=1,4,IF(O$2&lt;=$G17+($H17-$G17+1)*$F17-1,1,2))),"")</f>
        <v/>
      </c>
      <c r="P17">
        <f>IF(AND(P$2&gt;=$G17,P$2&lt;=$H17),IF(AND($I17="YES",P$2=$H17),3,IF($F17=1,4,IF(P$2&lt;=$G17+($H17-$G17+1)*$F17-1,1,2))),"")</f>
        <v/>
      </c>
      <c r="Q17">
        <f>IF(AND(Q$2&gt;=$G17,Q$2&lt;=$H17),IF(AND($I17="YES",Q$2=$H17),3,IF($F17=1,4,IF(Q$2&lt;=$G17+($H17-$G17+1)*$F17-1,1,2))),"")</f>
        <v/>
      </c>
      <c r="R17">
        <f>IF(AND(R$2&gt;=$G17,R$2&lt;=$H17),IF(AND($I17="YES",R$2=$H17),3,IF($F17=1,4,IF(R$2&lt;=$G17+($H17-$G17+1)*$F17-1,1,2))),"")</f>
        <v/>
      </c>
      <c r="S17">
        <f>IF(AND(S$2&gt;=$G17,S$2&lt;=$H17),IF(AND($I17="YES",S$2=$H17),3,IF($F17=1,4,IF(S$2&lt;=$G17+($H17-$G17+1)*$F17-1,1,2))),"")</f>
        <v/>
      </c>
      <c r="T17">
        <f>IF(AND(T$2&gt;=$G17,T$2&lt;=$H17),IF(AND($I17="YES",T$2=$H17),3,IF($F17=1,4,IF(T$2&lt;=$G17+($H17-$G17+1)*$F17-1,1,2))),"")</f>
        <v/>
      </c>
      <c r="U17">
        <f>IF(AND(U$2&gt;=$G17,U$2&lt;=$H17),IF(AND($I17="YES",U$2=$H17),3,IF($F17=1,4,IF(U$2&lt;=$G17+($H17-$G17+1)*$F17-1,1,2))),"")</f>
        <v/>
      </c>
      <c r="V17">
        <f>IF(AND(V$2&gt;=$G17,V$2&lt;=$H17),IF(AND($I17="YES",V$2=$H17),3,IF($F17=1,4,IF(V$2&lt;=$G17+($H17-$G17+1)*$F17-1,1,2))),"")</f>
        <v/>
      </c>
      <c r="W17">
        <f>IF(AND(W$2&gt;=$G17,W$2&lt;=$H17),IF(AND($I17="YES",W$2=$H17),3,IF($F17=1,4,IF(W$2&lt;=$G17+($H17-$G17+1)*$F17-1,1,2))),"")</f>
        <v/>
      </c>
      <c r="X17">
        <f>IF(AND(X$2&gt;=$G17,X$2&lt;=$H17),IF(AND($I17="YES",X$2=$H17),3,IF($F17=1,4,IF(X$2&lt;=$G17+($H17-$G17+1)*$F17-1,1,2))),"")</f>
        <v/>
      </c>
      <c r="Y17">
        <f>IF(AND(Y$2&gt;=$G17,Y$2&lt;=$H17),IF(AND($I17="YES",Y$2=$H17),3,IF($F17=1,4,IF(Y$2&lt;=$G17+($H17-$G17+1)*$F17-1,1,2))),"")</f>
        <v/>
      </c>
      <c r="Z17">
        <f>IF(AND(Z$2&gt;=$G17,Z$2&lt;=$H17),IF(AND($I17="YES",Z$2=$H17),3,IF($F17=1,4,IF(Z$2&lt;=$G17+($H17-$G17+1)*$F17-1,1,2))),"")</f>
        <v/>
      </c>
      <c r="AA17">
        <f>IF(AND(AA$2&gt;=$G17,AA$2&lt;=$H17),IF(AND($I17="YES",AA$2=$H17),3,IF($F17=1,4,IF(AA$2&lt;=$G17+($H17-$G17+1)*$F17-1,1,2))),"")</f>
        <v/>
      </c>
      <c r="AB17">
        <f>IF(AND(AB$2&gt;=$G17,AB$2&lt;=$H17),IF(AND($I17="YES",AB$2=$H17),3,IF($F17=1,4,IF(AB$2&lt;=$G17+($H17-$G17+1)*$F17-1,1,2))),"")</f>
        <v/>
      </c>
      <c r="AC17">
        <f>IF(AND(AC$2&gt;=$G17,AC$2&lt;=$H17),IF(AND($I17="YES",AC$2=$H17),3,IF($F17=1,4,IF(AC$2&lt;=$G17+($H17-$G17+1)*$F17-1,1,2))),"")</f>
        <v/>
      </c>
      <c r="AD17">
        <f>IF(AND(AD$2&gt;=$G17,AD$2&lt;=$H17),IF(AND($I17="YES",AD$2=$H17),3,IF($F17=1,4,IF(AD$2&lt;=$G17+($H17-$G17+1)*$F17-1,1,2))),"")</f>
        <v/>
      </c>
      <c r="AE17">
        <f>IF(AND(AE$2&gt;=$G17,AE$2&lt;=$H17),IF(AND($I17="YES",AE$2=$H17),3,IF($F17=1,4,IF(AE$2&lt;=$G17+($H17-$G17+1)*$F17-1,1,2))),"")</f>
        <v/>
      </c>
      <c r="AF17">
        <f>IF(AND(AF$2&gt;=$G17,AF$2&lt;=$H17),IF(AND($I17="YES",AF$2=$H17),3,IF($F17=1,4,IF(AF$2&lt;=$G17+($H17-$G17+1)*$F17-1,1,2))),"")</f>
        <v/>
      </c>
      <c r="AG17">
        <f>IF(AND(AG$2&gt;=$G17,AG$2&lt;=$H17),IF(AND($I17="YES",AG$2=$H17),3,IF($F17=1,4,IF(AG$2&lt;=$G17+($H17-$G17+1)*$F17-1,1,2))),"")</f>
        <v/>
      </c>
      <c r="AH17">
        <f>IF(AND(AH$2&gt;=$G17,AH$2&lt;=$H17),IF(AND($I17="YES",AH$2=$H17),3,IF($F17=1,4,IF(AH$2&lt;=$G17+($H17-$G17+1)*$F17-1,1,2))),"")</f>
        <v/>
      </c>
      <c r="AI17">
        <f>IF(AND(AI$2&gt;=$G17,AI$2&lt;=$H17),IF(AND($I17="YES",AI$2=$H17),3,IF($F17=1,4,IF(AI$2&lt;=$G17+($H17-$G17+1)*$F17-1,1,2))),"")</f>
        <v/>
      </c>
      <c r="AJ17">
        <f>IF(AND(AJ$2&gt;=$G17,AJ$2&lt;=$H17),IF(AND($I17="YES",AJ$2=$H17),3,IF($F17=1,4,IF(AJ$2&lt;=$G17+($H17-$G17+1)*$F17-1,1,2))),"")</f>
        <v/>
      </c>
      <c r="AK17">
        <f>IF(AND(AK$2&gt;=$G17,AK$2&lt;=$H17),IF(AND($I17="YES",AK$2=$H17),3,IF($F17=1,4,IF(AK$2&lt;=$G17+($H17-$G17+1)*$F17-1,1,2))),"")</f>
        <v/>
      </c>
      <c r="AL17">
        <f>IF(AND(AL$2&gt;=$G17,AL$2&lt;=$H17),IF(AND($I17="YES",AL$2=$H17),3,IF($F17=1,4,IF(AL$2&lt;=$G17+($H17-$G17+1)*$F17-1,1,2))),"")</f>
        <v/>
      </c>
      <c r="AM17">
        <f>IF(AND(AM$2&gt;=$G17,AM$2&lt;=$H17),IF(AND($I17="YES",AM$2=$H17),3,IF($F17=1,4,IF(AM$2&lt;=$G17+($H17-$G17+1)*$F17-1,1,2))),"")</f>
        <v/>
      </c>
      <c r="AN17">
        <f>IF(AND(AN$2&gt;=$G17,AN$2&lt;=$H17),IF(AND($I17="YES",AN$2=$H17),3,IF($F17=1,4,IF(AN$2&lt;=$G17+($H17-$G17+1)*$F17-1,1,2))),"")</f>
        <v/>
      </c>
      <c r="AO17">
        <f>IF(AND(AO$2&gt;=$G17,AO$2&lt;=$H17),IF(AND($I17="YES",AO$2=$H17),3,IF($F17=1,4,IF(AO$2&lt;=$G17+($H17-$G17+1)*$F17-1,1,2))),"")</f>
        <v/>
      </c>
      <c r="AP17">
        <f>IF(AND(AP$2&gt;=$G17,AP$2&lt;=$H17),IF(AND($I17="YES",AP$2=$H17),3,IF($F17=1,4,IF(AP$2&lt;=$G17+($H17-$G17+1)*$F17-1,1,2))),"")</f>
        <v/>
      </c>
      <c r="AQ17">
        <f>IF(AND(AQ$2&gt;=$G17,AQ$2&lt;=$H17),IF(AND($I17="YES",AQ$2=$H17),3,IF($F17=1,4,IF(AQ$2&lt;=$G17+($H17-$G17+1)*$F17-1,1,2))),"")</f>
        <v/>
      </c>
    </row>
    <row r="18">
      <c r="A18">
        <f>Tracker!A15</f>
        <v/>
      </c>
      <c r="B18">
        <f>Tracker!B15</f>
        <v/>
      </c>
      <c r="C18">
        <f>Tracker!C15</f>
        <v/>
      </c>
      <c r="D18">
        <f>Tracker!J15</f>
        <v/>
      </c>
      <c r="E18">
        <f>Tracker!K15</f>
        <v/>
      </c>
      <c r="F18" s="12">
        <f>Tracker!L15</f>
        <v/>
      </c>
      <c r="G18" s="13">
        <f>Tracker!E15</f>
        <v/>
      </c>
      <c r="H18" s="13">
        <f>Tracker!F15</f>
        <v/>
      </c>
      <c r="I18">
        <f>Tracker!M15</f>
        <v/>
      </c>
      <c r="J18">
        <f>IF(AND(J$2&gt;=$G18,J$2&lt;=$H18),IF(AND($I18="YES",J$2=$H18),3,IF($F18=1,4,IF(J$2&lt;=$G18+($H18-$G18+1)*$F18-1,1,2))),"")</f>
        <v/>
      </c>
      <c r="K18">
        <f>IF(AND(K$2&gt;=$G18,K$2&lt;=$H18),IF(AND($I18="YES",K$2=$H18),3,IF($F18=1,4,IF(K$2&lt;=$G18+($H18-$G18+1)*$F18-1,1,2))),"")</f>
        <v/>
      </c>
      <c r="L18">
        <f>IF(AND(L$2&gt;=$G18,L$2&lt;=$H18),IF(AND($I18="YES",L$2=$H18),3,IF($F18=1,4,IF(L$2&lt;=$G18+($H18-$G18+1)*$F18-1,1,2))),"")</f>
        <v/>
      </c>
      <c r="M18">
        <f>IF(AND(M$2&gt;=$G18,M$2&lt;=$H18),IF(AND($I18="YES",M$2=$H18),3,IF($F18=1,4,IF(M$2&lt;=$G18+($H18-$G18+1)*$F18-1,1,2))),"")</f>
        <v/>
      </c>
      <c r="N18">
        <f>IF(AND(N$2&gt;=$G18,N$2&lt;=$H18),IF(AND($I18="YES",N$2=$H18),3,IF($F18=1,4,IF(N$2&lt;=$G18+($H18-$G18+1)*$F18-1,1,2))),"")</f>
        <v/>
      </c>
      <c r="O18">
        <f>IF(AND(O$2&gt;=$G18,O$2&lt;=$H18),IF(AND($I18="YES",O$2=$H18),3,IF($F18=1,4,IF(O$2&lt;=$G18+($H18-$G18+1)*$F18-1,1,2))),"")</f>
        <v/>
      </c>
      <c r="P18">
        <f>IF(AND(P$2&gt;=$G18,P$2&lt;=$H18),IF(AND($I18="YES",P$2=$H18),3,IF($F18=1,4,IF(P$2&lt;=$G18+($H18-$G18+1)*$F18-1,1,2))),"")</f>
        <v/>
      </c>
      <c r="Q18">
        <f>IF(AND(Q$2&gt;=$G18,Q$2&lt;=$H18),IF(AND($I18="YES",Q$2=$H18),3,IF($F18=1,4,IF(Q$2&lt;=$G18+($H18-$G18+1)*$F18-1,1,2))),"")</f>
        <v/>
      </c>
      <c r="R18">
        <f>IF(AND(R$2&gt;=$G18,R$2&lt;=$H18),IF(AND($I18="YES",R$2=$H18),3,IF($F18=1,4,IF(R$2&lt;=$G18+($H18-$G18+1)*$F18-1,1,2))),"")</f>
        <v/>
      </c>
      <c r="S18">
        <f>IF(AND(S$2&gt;=$G18,S$2&lt;=$H18),IF(AND($I18="YES",S$2=$H18),3,IF($F18=1,4,IF(S$2&lt;=$G18+($H18-$G18+1)*$F18-1,1,2))),"")</f>
        <v/>
      </c>
      <c r="T18">
        <f>IF(AND(T$2&gt;=$G18,T$2&lt;=$H18),IF(AND($I18="YES",T$2=$H18),3,IF($F18=1,4,IF(T$2&lt;=$G18+($H18-$G18+1)*$F18-1,1,2))),"")</f>
        <v/>
      </c>
      <c r="U18">
        <f>IF(AND(U$2&gt;=$G18,U$2&lt;=$H18),IF(AND($I18="YES",U$2=$H18),3,IF($F18=1,4,IF(U$2&lt;=$G18+($H18-$G18+1)*$F18-1,1,2))),"")</f>
        <v/>
      </c>
      <c r="V18">
        <f>IF(AND(V$2&gt;=$G18,V$2&lt;=$H18),IF(AND($I18="YES",V$2=$H18),3,IF($F18=1,4,IF(V$2&lt;=$G18+($H18-$G18+1)*$F18-1,1,2))),"")</f>
        <v/>
      </c>
      <c r="W18">
        <f>IF(AND(W$2&gt;=$G18,W$2&lt;=$H18),IF(AND($I18="YES",W$2=$H18),3,IF($F18=1,4,IF(W$2&lt;=$G18+($H18-$G18+1)*$F18-1,1,2))),"")</f>
        <v/>
      </c>
      <c r="X18">
        <f>IF(AND(X$2&gt;=$G18,X$2&lt;=$H18),IF(AND($I18="YES",X$2=$H18),3,IF($F18=1,4,IF(X$2&lt;=$G18+($H18-$G18+1)*$F18-1,1,2))),"")</f>
        <v/>
      </c>
      <c r="Y18">
        <f>IF(AND(Y$2&gt;=$G18,Y$2&lt;=$H18),IF(AND($I18="YES",Y$2=$H18),3,IF($F18=1,4,IF(Y$2&lt;=$G18+($H18-$G18+1)*$F18-1,1,2))),"")</f>
        <v/>
      </c>
      <c r="Z18">
        <f>IF(AND(Z$2&gt;=$G18,Z$2&lt;=$H18),IF(AND($I18="YES",Z$2=$H18),3,IF($F18=1,4,IF(Z$2&lt;=$G18+($H18-$G18+1)*$F18-1,1,2))),"")</f>
        <v/>
      </c>
      <c r="AA18">
        <f>IF(AND(AA$2&gt;=$G18,AA$2&lt;=$H18),IF(AND($I18="YES",AA$2=$H18),3,IF($F18=1,4,IF(AA$2&lt;=$G18+($H18-$G18+1)*$F18-1,1,2))),"")</f>
        <v/>
      </c>
      <c r="AB18">
        <f>IF(AND(AB$2&gt;=$G18,AB$2&lt;=$H18),IF(AND($I18="YES",AB$2=$H18),3,IF($F18=1,4,IF(AB$2&lt;=$G18+($H18-$G18+1)*$F18-1,1,2))),"")</f>
        <v/>
      </c>
      <c r="AC18">
        <f>IF(AND(AC$2&gt;=$G18,AC$2&lt;=$H18),IF(AND($I18="YES",AC$2=$H18),3,IF($F18=1,4,IF(AC$2&lt;=$G18+($H18-$G18+1)*$F18-1,1,2))),"")</f>
        <v/>
      </c>
      <c r="AD18">
        <f>IF(AND(AD$2&gt;=$G18,AD$2&lt;=$H18),IF(AND($I18="YES",AD$2=$H18),3,IF($F18=1,4,IF(AD$2&lt;=$G18+($H18-$G18+1)*$F18-1,1,2))),"")</f>
        <v/>
      </c>
      <c r="AE18">
        <f>IF(AND(AE$2&gt;=$G18,AE$2&lt;=$H18),IF(AND($I18="YES",AE$2=$H18),3,IF($F18=1,4,IF(AE$2&lt;=$G18+($H18-$G18+1)*$F18-1,1,2))),"")</f>
        <v/>
      </c>
      <c r="AF18">
        <f>IF(AND(AF$2&gt;=$G18,AF$2&lt;=$H18),IF(AND($I18="YES",AF$2=$H18),3,IF($F18=1,4,IF(AF$2&lt;=$G18+($H18-$G18+1)*$F18-1,1,2))),"")</f>
        <v/>
      </c>
      <c r="AG18">
        <f>IF(AND(AG$2&gt;=$G18,AG$2&lt;=$H18),IF(AND($I18="YES",AG$2=$H18),3,IF($F18=1,4,IF(AG$2&lt;=$G18+($H18-$G18+1)*$F18-1,1,2))),"")</f>
        <v/>
      </c>
      <c r="AH18">
        <f>IF(AND(AH$2&gt;=$G18,AH$2&lt;=$H18),IF(AND($I18="YES",AH$2=$H18),3,IF($F18=1,4,IF(AH$2&lt;=$G18+($H18-$G18+1)*$F18-1,1,2))),"")</f>
        <v/>
      </c>
      <c r="AI18">
        <f>IF(AND(AI$2&gt;=$G18,AI$2&lt;=$H18),IF(AND($I18="YES",AI$2=$H18),3,IF($F18=1,4,IF(AI$2&lt;=$G18+($H18-$G18+1)*$F18-1,1,2))),"")</f>
        <v/>
      </c>
      <c r="AJ18">
        <f>IF(AND(AJ$2&gt;=$G18,AJ$2&lt;=$H18),IF(AND($I18="YES",AJ$2=$H18),3,IF($F18=1,4,IF(AJ$2&lt;=$G18+($H18-$G18+1)*$F18-1,1,2))),"")</f>
        <v/>
      </c>
      <c r="AK18">
        <f>IF(AND(AK$2&gt;=$G18,AK$2&lt;=$H18),IF(AND($I18="YES",AK$2=$H18),3,IF($F18=1,4,IF(AK$2&lt;=$G18+($H18-$G18+1)*$F18-1,1,2))),"")</f>
        <v/>
      </c>
      <c r="AL18">
        <f>IF(AND(AL$2&gt;=$G18,AL$2&lt;=$H18),IF(AND($I18="YES",AL$2=$H18),3,IF($F18=1,4,IF(AL$2&lt;=$G18+($H18-$G18+1)*$F18-1,1,2))),"")</f>
        <v/>
      </c>
      <c r="AM18">
        <f>IF(AND(AM$2&gt;=$G18,AM$2&lt;=$H18),IF(AND($I18="YES",AM$2=$H18),3,IF($F18=1,4,IF(AM$2&lt;=$G18+($H18-$G18+1)*$F18-1,1,2))),"")</f>
        <v/>
      </c>
      <c r="AN18">
        <f>IF(AND(AN$2&gt;=$G18,AN$2&lt;=$H18),IF(AND($I18="YES",AN$2=$H18),3,IF($F18=1,4,IF(AN$2&lt;=$G18+($H18-$G18+1)*$F18-1,1,2))),"")</f>
        <v/>
      </c>
      <c r="AO18">
        <f>IF(AND(AO$2&gt;=$G18,AO$2&lt;=$H18),IF(AND($I18="YES",AO$2=$H18),3,IF($F18=1,4,IF(AO$2&lt;=$G18+($H18-$G18+1)*$F18-1,1,2))),"")</f>
        <v/>
      </c>
      <c r="AP18">
        <f>IF(AND(AP$2&gt;=$G18,AP$2&lt;=$H18),IF(AND($I18="YES",AP$2=$H18),3,IF($F18=1,4,IF(AP$2&lt;=$G18+($H18-$G18+1)*$F18-1,1,2))),"")</f>
        <v/>
      </c>
      <c r="AQ18">
        <f>IF(AND(AQ$2&gt;=$G18,AQ$2&lt;=$H18),IF(AND($I18="YES",AQ$2=$H18),3,IF($F18=1,4,IF(AQ$2&lt;=$G18+($H18-$G18+1)*$F18-1,1,2))),"")</f>
        <v/>
      </c>
    </row>
    <row r="19">
      <c r="A19">
        <f>Tracker!A16</f>
        <v/>
      </c>
      <c r="B19">
        <f>Tracker!B16</f>
        <v/>
      </c>
      <c r="C19">
        <f>Tracker!C16</f>
        <v/>
      </c>
      <c r="D19">
        <f>Tracker!J16</f>
        <v/>
      </c>
      <c r="E19">
        <f>Tracker!K16</f>
        <v/>
      </c>
      <c r="F19" s="12">
        <f>Tracker!L16</f>
        <v/>
      </c>
      <c r="G19" s="13">
        <f>Tracker!E16</f>
        <v/>
      </c>
      <c r="H19" s="13">
        <f>Tracker!F16</f>
        <v/>
      </c>
      <c r="I19">
        <f>Tracker!M16</f>
        <v/>
      </c>
      <c r="J19">
        <f>IF(AND(J$2&gt;=$G19,J$2&lt;=$H19),IF(AND($I19="YES",J$2=$H19),3,IF($F19=1,4,IF(J$2&lt;=$G19+($H19-$G19+1)*$F19-1,1,2))),"")</f>
        <v/>
      </c>
      <c r="K19">
        <f>IF(AND(K$2&gt;=$G19,K$2&lt;=$H19),IF(AND($I19="YES",K$2=$H19),3,IF($F19=1,4,IF(K$2&lt;=$G19+($H19-$G19+1)*$F19-1,1,2))),"")</f>
        <v/>
      </c>
      <c r="L19">
        <f>IF(AND(L$2&gt;=$G19,L$2&lt;=$H19),IF(AND($I19="YES",L$2=$H19),3,IF($F19=1,4,IF(L$2&lt;=$G19+($H19-$G19+1)*$F19-1,1,2))),"")</f>
        <v/>
      </c>
      <c r="M19">
        <f>IF(AND(M$2&gt;=$G19,M$2&lt;=$H19),IF(AND($I19="YES",M$2=$H19),3,IF($F19=1,4,IF(M$2&lt;=$G19+($H19-$G19+1)*$F19-1,1,2))),"")</f>
        <v/>
      </c>
      <c r="N19">
        <f>IF(AND(N$2&gt;=$G19,N$2&lt;=$H19),IF(AND($I19="YES",N$2=$H19),3,IF($F19=1,4,IF(N$2&lt;=$G19+($H19-$G19+1)*$F19-1,1,2))),"")</f>
        <v/>
      </c>
      <c r="O19">
        <f>IF(AND(O$2&gt;=$G19,O$2&lt;=$H19),IF(AND($I19="YES",O$2=$H19),3,IF($F19=1,4,IF(O$2&lt;=$G19+($H19-$G19+1)*$F19-1,1,2))),"")</f>
        <v/>
      </c>
      <c r="P19">
        <f>IF(AND(P$2&gt;=$G19,P$2&lt;=$H19),IF(AND($I19="YES",P$2=$H19),3,IF($F19=1,4,IF(P$2&lt;=$G19+($H19-$G19+1)*$F19-1,1,2))),"")</f>
        <v/>
      </c>
      <c r="Q19">
        <f>IF(AND(Q$2&gt;=$G19,Q$2&lt;=$H19),IF(AND($I19="YES",Q$2=$H19),3,IF($F19=1,4,IF(Q$2&lt;=$G19+($H19-$G19+1)*$F19-1,1,2))),"")</f>
        <v/>
      </c>
      <c r="R19">
        <f>IF(AND(R$2&gt;=$G19,R$2&lt;=$H19),IF(AND($I19="YES",R$2=$H19),3,IF($F19=1,4,IF(R$2&lt;=$G19+($H19-$G19+1)*$F19-1,1,2))),"")</f>
        <v/>
      </c>
      <c r="S19">
        <f>IF(AND(S$2&gt;=$G19,S$2&lt;=$H19),IF(AND($I19="YES",S$2=$H19),3,IF($F19=1,4,IF(S$2&lt;=$G19+($H19-$G19+1)*$F19-1,1,2))),"")</f>
        <v/>
      </c>
      <c r="T19">
        <f>IF(AND(T$2&gt;=$G19,T$2&lt;=$H19),IF(AND($I19="YES",T$2=$H19),3,IF($F19=1,4,IF(T$2&lt;=$G19+($H19-$G19+1)*$F19-1,1,2))),"")</f>
        <v/>
      </c>
      <c r="U19">
        <f>IF(AND(U$2&gt;=$G19,U$2&lt;=$H19),IF(AND($I19="YES",U$2=$H19),3,IF($F19=1,4,IF(U$2&lt;=$G19+($H19-$G19+1)*$F19-1,1,2))),"")</f>
        <v/>
      </c>
      <c r="V19">
        <f>IF(AND(V$2&gt;=$G19,V$2&lt;=$H19),IF(AND($I19="YES",V$2=$H19),3,IF($F19=1,4,IF(V$2&lt;=$G19+($H19-$G19+1)*$F19-1,1,2))),"")</f>
        <v/>
      </c>
      <c r="W19">
        <f>IF(AND(W$2&gt;=$G19,W$2&lt;=$H19),IF(AND($I19="YES",W$2=$H19),3,IF($F19=1,4,IF(W$2&lt;=$G19+($H19-$G19+1)*$F19-1,1,2))),"")</f>
        <v/>
      </c>
      <c r="X19">
        <f>IF(AND(X$2&gt;=$G19,X$2&lt;=$H19),IF(AND($I19="YES",X$2=$H19),3,IF($F19=1,4,IF(X$2&lt;=$G19+($H19-$G19+1)*$F19-1,1,2))),"")</f>
        <v/>
      </c>
      <c r="Y19">
        <f>IF(AND(Y$2&gt;=$G19,Y$2&lt;=$H19),IF(AND($I19="YES",Y$2=$H19),3,IF($F19=1,4,IF(Y$2&lt;=$G19+($H19-$G19+1)*$F19-1,1,2))),"")</f>
        <v/>
      </c>
      <c r="Z19">
        <f>IF(AND(Z$2&gt;=$G19,Z$2&lt;=$H19),IF(AND($I19="YES",Z$2=$H19),3,IF($F19=1,4,IF(Z$2&lt;=$G19+($H19-$G19+1)*$F19-1,1,2))),"")</f>
        <v/>
      </c>
      <c r="AA19">
        <f>IF(AND(AA$2&gt;=$G19,AA$2&lt;=$H19),IF(AND($I19="YES",AA$2=$H19),3,IF($F19=1,4,IF(AA$2&lt;=$G19+($H19-$G19+1)*$F19-1,1,2))),"")</f>
        <v/>
      </c>
      <c r="AB19">
        <f>IF(AND(AB$2&gt;=$G19,AB$2&lt;=$H19),IF(AND($I19="YES",AB$2=$H19),3,IF($F19=1,4,IF(AB$2&lt;=$G19+($H19-$G19+1)*$F19-1,1,2))),"")</f>
        <v/>
      </c>
      <c r="AC19">
        <f>IF(AND(AC$2&gt;=$G19,AC$2&lt;=$H19),IF(AND($I19="YES",AC$2=$H19),3,IF($F19=1,4,IF(AC$2&lt;=$G19+($H19-$G19+1)*$F19-1,1,2))),"")</f>
        <v/>
      </c>
      <c r="AD19">
        <f>IF(AND(AD$2&gt;=$G19,AD$2&lt;=$H19),IF(AND($I19="YES",AD$2=$H19),3,IF($F19=1,4,IF(AD$2&lt;=$G19+($H19-$G19+1)*$F19-1,1,2))),"")</f>
        <v/>
      </c>
      <c r="AE19">
        <f>IF(AND(AE$2&gt;=$G19,AE$2&lt;=$H19),IF(AND($I19="YES",AE$2=$H19),3,IF($F19=1,4,IF(AE$2&lt;=$G19+($H19-$G19+1)*$F19-1,1,2))),"")</f>
        <v/>
      </c>
      <c r="AF19">
        <f>IF(AND(AF$2&gt;=$G19,AF$2&lt;=$H19),IF(AND($I19="YES",AF$2=$H19),3,IF($F19=1,4,IF(AF$2&lt;=$G19+($H19-$G19+1)*$F19-1,1,2))),"")</f>
        <v/>
      </c>
      <c r="AG19">
        <f>IF(AND(AG$2&gt;=$G19,AG$2&lt;=$H19),IF(AND($I19="YES",AG$2=$H19),3,IF($F19=1,4,IF(AG$2&lt;=$G19+($H19-$G19+1)*$F19-1,1,2))),"")</f>
        <v/>
      </c>
      <c r="AH19">
        <f>IF(AND(AH$2&gt;=$G19,AH$2&lt;=$H19),IF(AND($I19="YES",AH$2=$H19),3,IF($F19=1,4,IF(AH$2&lt;=$G19+($H19-$G19+1)*$F19-1,1,2))),"")</f>
        <v/>
      </c>
      <c r="AI19">
        <f>IF(AND(AI$2&gt;=$G19,AI$2&lt;=$H19),IF(AND($I19="YES",AI$2=$H19),3,IF($F19=1,4,IF(AI$2&lt;=$G19+($H19-$G19+1)*$F19-1,1,2))),"")</f>
        <v/>
      </c>
      <c r="AJ19">
        <f>IF(AND(AJ$2&gt;=$G19,AJ$2&lt;=$H19),IF(AND($I19="YES",AJ$2=$H19),3,IF($F19=1,4,IF(AJ$2&lt;=$G19+($H19-$G19+1)*$F19-1,1,2))),"")</f>
        <v/>
      </c>
      <c r="AK19">
        <f>IF(AND(AK$2&gt;=$G19,AK$2&lt;=$H19),IF(AND($I19="YES",AK$2=$H19),3,IF($F19=1,4,IF(AK$2&lt;=$G19+($H19-$G19+1)*$F19-1,1,2))),"")</f>
        <v/>
      </c>
      <c r="AL19">
        <f>IF(AND(AL$2&gt;=$G19,AL$2&lt;=$H19),IF(AND($I19="YES",AL$2=$H19),3,IF($F19=1,4,IF(AL$2&lt;=$G19+($H19-$G19+1)*$F19-1,1,2))),"")</f>
        <v/>
      </c>
      <c r="AM19">
        <f>IF(AND(AM$2&gt;=$G19,AM$2&lt;=$H19),IF(AND($I19="YES",AM$2=$H19),3,IF($F19=1,4,IF(AM$2&lt;=$G19+($H19-$G19+1)*$F19-1,1,2))),"")</f>
        <v/>
      </c>
      <c r="AN19">
        <f>IF(AND(AN$2&gt;=$G19,AN$2&lt;=$H19),IF(AND($I19="YES",AN$2=$H19),3,IF($F19=1,4,IF(AN$2&lt;=$G19+($H19-$G19+1)*$F19-1,1,2))),"")</f>
        <v/>
      </c>
      <c r="AO19">
        <f>IF(AND(AO$2&gt;=$G19,AO$2&lt;=$H19),IF(AND($I19="YES",AO$2=$H19),3,IF($F19=1,4,IF(AO$2&lt;=$G19+($H19-$G19+1)*$F19-1,1,2))),"")</f>
        <v/>
      </c>
      <c r="AP19">
        <f>IF(AND(AP$2&gt;=$G19,AP$2&lt;=$H19),IF(AND($I19="YES",AP$2=$H19),3,IF($F19=1,4,IF(AP$2&lt;=$G19+($H19-$G19+1)*$F19-1,1,2))),"")</f>
        <v/>
      </c>
      <c r="AQ19">
        <f>IF(AND(AQ$2&gt;=$G19,AQ$2&lt;=$H19),IF(AND($I19="YES",AQ$2=$H19),3,IF($F19=1,4,IF(AQ$2&lt;=$G19+($H19-$G19+1)*$F19-1,1,2))),"")</f>
        <v/>
      </c>
    </row>
    <row r="20">
      <c r="A20">
        <f>Tracker!A17</f>
        <v/>
      </c>
      <c r="B20">
        <f>Tracker!B17</f>
        <v/>
      </c>
      <c r="C20">
        <f>Tracker!C17</f>
        <v/>
      </c>
      <c r="D20">
        <f>Tracker!J17</f>
        <v/>
      </c>
      <c r="E20">
        <f>Tracker!K17</f>
        <v/>
      </c>
      <c r="F20" s="12">
        <f>Tracker!L17</f>
        <v/>
      </c>
      <c r="G20" s="13">
        <f>Tracker!E17</f>
        <v/>
      </c>
      <c r="H20" s="13">
        <f>Tracker!F17</f>
        <v/>
      </c>
      <c r="I20">
        <f>Tracker!M17</f>
        <v/>
      </c>
      <c r="J20">
        <f>IF(AND(J$2&gt;=$G20,J$2&lt;=$H20),IF(AND($I20="YES",J$2=$H20),3,IF($F20=1,4,IF(J$2&lt;=$G20+($H20-$G20+1)*$F20-1,1,2))),"")</f>
        <v/>
      </c>
      <c r="K20">
        <f>IF(AND(K$2&gt;=$G20,K$2&lt;=$H20),IF(AND($I20="YES",K$2=$H20),3,IF($F20=1,4,IF(K$2&lt;=$G20+($H20-$G20+1)*$F20-1,1,2))),"")</f>
        <v/>
      </c>
      <c r="L20">
        <f>IF(AND(L$2&gt;=$G20,L$2&lt;=$H20),IF(AND($I20="YES",L$2=$H20),3,IF($F20=1,4,IF(L$2&lt;=$G20+($H20-$G20+1)*$F20-1,1,2))),"")</f>
        <v/>
      </c>
      <c r="M20">
        <f>IF(AND(M$2&gt;=$G20,M$2&lt;=$H20),IF(AND($I20="YES",M$2=$H20),3,IF($F20=1,4,IF(M$2&lt;=$G20+($H20-$G20+1)*$F20-1,1,2))),"")</f>
        <v/>
      </c>
      <c r="N20">
        <f>IF(AND(N$2&gt;=$G20,N$2&lt;=$H20),IF(AND($I20="YES",N$2=$H20),3,IF($F20=1,4,IF(N$2&lt;=$G20+($H20-$G20+1)*$F20-1,1,2))),"")</f>
        <v/>
      </c>
      <c r="O20">
        <f>IF(AND(O$2&gt;=$G20,O$2&lt;=$H20),IF(AND($I20="YES",O$2=$H20),3,IF($F20=1,4,IF(O$2&lt;=$G20+($H20-$G20+1)*$F20-1,1,2))),"")</f>
        <v/>
      </c>
      <c r="P20">
        <f>IF(AND(P$2&gt;=$G20,P$2&lt;=$H20),IF(AND($I20="YES",P$2=$H20),3,IF($F20=1,4,IF(P$2&lt;=$G20+($H20-$G20+1)*$F20-1,1,2))),"")</f>
        <v/>
      </c>
      <c r="Q20">
        <f>IF(AND(Q$2&gt;=$G20,Q$2&lt;=$H20),IF(AND($I20="YES",Q$2=$H20),3,IF($F20=1,4,IF(Q$2&lt;=$G20+($H20-$G20+1)*$F20-1,1,2))),"")</f>
        <v/>
      </c>
      <c r="R20">
        <f>IF(AND(R$2&gt;=$G20,R$2&lt;=$H20),IF(AND($I20="YES",R$2=$H20),3,IF($F20=1,4,IF(R$2&lt;=$G20+($H20-$G20+1)*$F20-1,1,2))),"")</f>
        <v/>
      </c>
      <c r="S20">
        <f>IF(AND(S$2&gt;=$G20,S$2&lt;=$H20),IF(AND($I20="YES",S$2=$H20),3,IF($F20=1,4,IF(S$2&lt;=$G20+($H20-$G20+1)*$F20-1,1,2))),"")</f>
        <v/>
      </c>
      <c r="T20">
        <f>IF(AND(T$2&gt;=$G20,T$2&lt;=$H20),IF(AND($I20="YES",T$2=$H20),3,IF($F20=1,4,IF(T$2&lt;=$G20+($H20-$G20+1)*$F20-1,1,2))),"")</f>
        <v/>
      </c>
      <c r="U20">
        <f>IF(AND(U$2&gt;=$G20,U$2&lt;=$H20),IF(AND($I20="YES",U$2=$H20),3,IF($F20=1,4,IF(U$2&lt;=$G20+($H20-$G20+1)*$F20-1,1,2))),"")</f>
        <v/>
      </c>
      <c r="V20">
        <f>IF(AND(V$2&gt;=$G20,V$2&lt;=$H20),IF(AND($I20="YES",V$2=$H20),3,IF($F20=1,4,IF(V$2&lt;=$G20+($H20-$G20+1)*$F20-1,1,2))),"")</f>
        <v/>
      </c>
      <c r="W20">
        <f>IF(AND(W$2&gt;=$G20,W$2&lt;=$H20),IF(AND($I20="YES",W$2=$H20),3,IF($F20=1,4,IF(W$2&lt;=$G20+($H20-$G20+1)*$F20-1,1,2))),"")</f>
        <v/>
      </c>
      <c r="X20">
        <f>IF(AND(X$2&gt;=$G20,X$2&lt;=$H20),IF(AND($I20="YES",X$2=$H20),3,IF($F20=1,4,IF(X$2&lt;=$G20+($H20-$G20+1)*$F20-1,1,2))),"")</f>
        <v/>
      </c>
      <c r="Y20">
        <f>IF(AND(Y$2&gt;=$G20,Y$2&lt;=$H20),IF(AND($I20="YES",Y$2=$H20),3,IF($F20=1,4,IF(Y$2&lt;=$G20+($H20-$G20+1)*$F20-1,1,2))),"")</f>
        <v/>
      </c>
      <c r="Z20">
        <f>IF(AND(Z$2&gt;=$G20,Z$2&lt;=$H20),IF(AND($I20="YES",Z$2=$H20),3,IF($F20=1,4,IF(Z$2&lt;=$G20+($H20-$G20+1)*$F20-1,1,2))),"")</f>
        <v/>
      </c>
      <c r="AA20">
        <f>IF(AND(AA$2&gt;=$G20,AA$2&lt;=$H20),IF(AND($I20="YES",AA$2=$H20),3,IF($F20=1,4,IF(AA$2&lt;=$G20+($H20-$G20+1)*$F20-1,1,2))),"")</f>
        <v/>
      </c>
      <c r="AB20">
        <f>IF(AND(AB$2&gt;=$G20,AB$2&lt;=$H20),IF(AND($I20="YES",AB$2=$H20),3,IF($F20=1,4,IF(AB$2&lt;=$G20+($H20-$G20+1)*$F20-1,1,2))),"")</f>
        <v/>
      </c>
      <c r="AC20">
        <f>IF(AND(AC$2&gt;=$G20,AC$2&lt;=$H20),IF(AND($I20="YES",AC$2=$H20),3,IF($F20=1,4,IF(AC$2&lt;=$G20+($H20-$G20+1)*$F20-1,1,2))),"")</f>
        <v/>
      </c>
      <c r="AD20">
        <f>IF(AND(AD$2&gt;=$G20,AD$2&lt;=$H20),IF(AND($I20="YES",AD$2=$H20),3,IF($F20=1,4,IF(AD$2&lt;=$G20+($H20-$G20+1)*$F20-1,1,2))),"")</f>
        <v/>
      </c>
      <c r="AE20">
        <f>IF(AND(AE$2&gt;=$G20,AE$2&lt;=$H20),IF(AND($I20="YES",AE$2=$H20),3,IF($F20=1,4,IF(AE$2&lt;=$G20+($H20-$G20+1)*$F20-1,1,2))),"")</f>
        <v/>
      </c>
      <c r="AF20">
        <f>IF(AND(AF$2&gt;=$G20,AF$2&lt;=$H20),IF(AND($I20="YES",AF$2=$H20),3,IF($F20=1,4,IF(AF$2&lt;=$G20+($H20-$G20+1)*$F20-1,1,2))),"")</f>
        <v/>
      </c>
      <c r="AG20">
        <f>IF(AND(AG$2&gt;=$G20,AG$2&lt;=$H20),IF(AND($I20="YES",AG$2=$H20),3,IF($F20=1,4,IF(AG$2&lt;=$G20+($H20-$G20+1)*$F20-1,1,2))),"")</f>
        <v/>
      </c>
      <c r="AH20">
        <f>IF(AND(AH$2&gt;=$G20,AH$2&lt;=$H20),IF(AND($I20="YES",AH$2=$H20),3,IF($F20=1,4,IF(AH$2&lt;=$G20+($H20-$G20+1)*$F20-1,1,2))),"")</f>
        <v/>
      </c>
      <c r="AI20">
        <f>IF(AND(AI$2&gt;=$G20,AI$2&lt;=$H20),IF(AND($I20="YES",AI$2=$H20),3,IF($F20=1,4,IF(AI$2&lt;=$G20+($H20-$G20+1)*$F20-1,1,2))),"")</f>
        <v/>
      </c>
      <c r="AJ20">
        <f>IF(AND(AJ$2&gt;=$G20,AJ$2&lt;=$H20),IF(AND($I20="YES",AJ$2=$H20),3,IF($F20=1,4,IF(AJ$2&lt;=$G20+($H20-$G20+1)*$F20-1,1,2))),"")</f>
        <v/>
      </c>
      <c r="AK20">
        <f>IF(AND(AK$2&gt;=$G20,AK$2&lt;=$H20),IF(AND($I20="YES",AK$2=$H20),3,IF($F20=1,4,IF(AK$2&lt;=$G20+($H20-$G20+1)*$F20-1,1,2))),"")</f>
        <v/>
      </c>
      <c r="AL20">
        <f>IF(AND(AL$2&gt;=$G20,AL$2&lt;=$H20),IF(AND($I20="YES",AL$2=$H20),3,IF($F20=1,4,IF(AL$2&lt;=$G20+($H20-$G20+1)*$F20-1,1,2))),"")</f>
        <v/>
      </c>
      <c r="AM20">
        <f>IF(AND(AM$2&gt;=$G20,AM$2&lt;=$H20),IF(AND($I20="YES",AM$2=$H20),3,IF($F20=1,4,IF(AM$2&lt;=$G20+($H20-$G20+1)*$F20-1,1,2))),"")</f>
        <v/>
      </c>
      <c r="AN20">
        <f>IF(AND(AN$2&gt;=$G20,AN$2&lt;=$H20),IF(AND($I20="YES",AN$2=$H20),3,IF($F20=1,4,IF(AN$2&lt;=$G20+($H20-$G20+1)*$F20-1,1,2))),"")</f>
        <v/>
      </c>
      <c r="AO20">
        <f>IF(AND(AO$2&gt;=$G20,AO$2&lt;=$H20),IF(AND($I20="YES",AO$2=$H20),3,IF($F20=1,4,IF(AO$2&lt;=$G20+($H20-$G20+1)*$F20-1,1,2))),"")</f>
        <v/>
      </c>
      <c r="AP20">
        <f>IF(AND(AP$2&gt;=$G20,AP$2&lt;=$H20),IF(AND($I20="YES",AP$2=$H20),3,IF($F20=1,4,IF(AP$2&lt;=$G20+($H20-$G20+1)*$F20-1,1,2))),"")</f>
        <v/>
      </c>
      <c r="AQ20">
        <f>IF(AND(AQ$2&gt;=$G20,AQ$2&lt;=$H20),IF(AND($I20="YES",AQ$2=$H20),3,IF($F20=1,4,IF(AQ$2&lt;=$G20+($H20-$G20+1)*$F20-1,1,2))),"")</f>
        <v/>
      </c>
    </row>
    <row r="21">
      <c r="A21">
        <f>Tracker!A18</f>
        <v/>
      </c>
      <c r="B21">
        <f>Tracker!B18</f>
        <v/>
      </c>
      <c r="C21">
        <f>Tracker!C18</f>
        <v/>
      </c>
      <c r="D21">
        <f>Tracker!J18</f>
        <v/>
      </c>
      <c r="E21">
        <f>Tracker!K18</f>
        <v/>
      </c>
      <c r="F21" s="12">
        <f>Tracker!L18</f>
        <v/>
      </c>
      <c r="G21" s="13">
        <f>Tracker!E18</f>
        <v/>
      </c>
      <c r="H21" s="13">
        <f>Tracker!F18</f>
        <v/>
      </c>
      <c r="I21">
        <f>Tracker!M18</f>
        <v/>
      </c>
      <c r="J21">
        <f>IF(AND(J$2&gt;=$G21,J$2&lt;=$H21),IF(AND($I21="YES",J$2=$H21),3,IF($F21=1,4,IF(J$2&lt;=$G21+($H21-$G21+1)*$F21-1,1,2))),"")</f>
        <v/>
      </c>
      <c r="K21">
        <f>IF(AND(K$2&gt;=$G21,K$2&lt;=$H21),IF(AND($I21="YES",K$2=$H21),3,IF($F21=1,4,IF(K$2&lt;=$G21+($H21-$G21+1)*$F21-1,1,2))),"")</f>
        <v/>
      </c>
      <c r="L21">
        <f>IF(AND(L$2&gt;=$G21,L$2&lt;=$H21),IF(AND($I21="YES",L$2=$H21),3,IF($F21=1,4,IF(L$2&lt;=$G21+($H21-$G21+1)*$F21-1,1,2))),"")</f>
        <v/>
      </c>
      <c r="M21">
        <f>IF(AND(M$2&gt;=$G21,M$2&lt;=$H21),IF(AND($I21="YES",M$2=$H21),3,IF($F21=1,4,IF(M$2&lt;=$G21+($H21-$G21+1)*$F21-1,1,2))),"")</f>
        <v/>
      </c>
      <c r="N21">
        <f>IF(AND(N$2&gt;=$G21,N$2&lt;=$H21),IF(AND($I21="YES",N$2=$H21),3,IF($F21=1,4,IF(N$2&lt;=$G21+($H21-$G21+1)*$F21-1,1,2))),"")</f>
        <v/>
      </c>
      <c r="O21">
        <f>IF(AND(O$2&gt;=$G21,O$2&lt;=$H21),IF(AND($I21="YES",O$2=$H21),3,IF($F21=1,4,IF(O$2&lt;=$G21+($H21-$G21+1)*$F21-1,1,2))),"")</f>
        <v/>
      </c>
      <c r="P21">
        <f>IF(AND(P$2&gt;=$G21,P$2&lt;=$H21),IF(AND($I21="YES",P$2=$H21),3,IF($F21=1,4,IF(P$2&lt;=$G21+($H21-$G21+1)*$F21-1,1,2))),"")</f>
        <v/>
      </c>
      <c r="Q21">
        <f>IF(AND(Q$2&gt;=$G21,Q$2&lt;=$H21),IF(AND($I21="YES",Q$2=$H21),3,IF($F21=1,4,IF(Q$2&lt;=$G21+($H21-$G21+1)*$F21-1,1,2))),"")</f>
        <v/>
      </c>
      <c r="R21">
        <f>IF(AND(R$2&gt;=$G21,R$2&lt;=$H21),IF(AND($I21="YES",R$2=$H21),3,IF($F21=1,4,IF(R$2&lt;=$G21+($H21-$G21+1)*$F21-1,1,2))),"")</f>
        <v/>
      </c>
      <c r="S21">
        <f>IF(AND(S$2&gt;=$G21,S$2&lt;=$H21),IF(AND($I21="YES",S$2=$H21),3,IF($F21=1,4,IF(S$2&lt;=$G21+($H21-$G21+1)*$F21-1,1,2))),"")</f>
        <v/>
      </c>
      <c r="T21">
        <f>IF(AND(T$2&gt;=$G21,T$2&lt;=$H21),IF(AND($I21="YES",T$2=$H21),3,IF($F21=1,4,IF(T$2&lt;=$G21+($H21-$G21+1)*$F21-1,1,2))),"")</f>
        <v/>
      </c>
      <c r="U21">
        <f>IF(AND(U$2&gt;=$G21,U$2&lt;=$H21),IF(AND($I21="YES",U$2=$H21),3,IF($F21=1,4,IF(U$2&lt;=$G21+($H21-$G21+1)*$F21-1,1,2))),"")</f>
        <v/>
      </c>
      <c r="V21">
        <f>IF(AND(V$2&gt;=$G21,V$2&lt;=$H21),IF(AND($I21="YES",V$2=$H21),3,IF($F21=1,4,IF(V$2&lt;=$G21+($H21-$G21+1)*$F21-1,1,2))),"")</f>
        <v/>
      </c>
      <c r="W21">
        <f>IF(AND(W$2&gt;=$G21,W$2&lt;=$H21),IF(AND($I21="YES",W$2=$H21),3,IF($F21=1,4,IF(W$2&lt;=$G21+($H21-$G21+1)*$F21-1,1,2))),"")</f>
        <v/>
      </c>
      <c r="X21">
        <f>IF(AND(X$2&gt;=$G21,X$2&lt;=$H21),IF(AND($I21="YES",X$2=$H21),3,IF($F21=1,4,IF(X$2&lt;=$G21+($H21-$G21+1)*$F21-1,1,2))),"")</f>
        <v/>
      </c>
      <c r="Y21">
        <f>IF(AND(Y$2&gt;=$G21,Y$2&lt;=$H21),IF(AND($I21="YES",Y$2=$H21),3,IF($F21=1,4,IF(Y$2&lt;=$G21+($H21-$G21+1)*$F21-1,1,2))),"")</f>
        <v/>
      </c>
      <c r="Z21">
        <f>IF(AND(Z$2&gt;=$G21,Z$2&lt;=$H21),IF(AND($I21="YES",Z$2=$H21),3,IF($F21=1,4,IF(Z$2&lt;=$G21+($H21-$G21+1)*$F21-1,1,2))),"")</f>
        <v/>
      </c>
      <c r="AA21">
        <f>IF(AND(AA$2&gt;=$G21,AA$2&lt;=$H21),IF(AND($I21="YES",AA$2=$H21),3,IF($F21=1,4,IF(AA$2&lt;=$G21+($H21-$G21+1)*$F21-1,1,2))),"")</f>
        <v/>
      </c>
      <c r="AB21">
        <f>IF(AND(AB$2&gt;=$G21,AB$2&lt;=$H21),IF(AND($I21="YES",AB$2=$H21),3,IF($F21=1,4,IF(AB$2&lt;=$G21+($H21-$G21+1)*$F21-1,1,2))),"")</f>
        <v/>
      </c>
      <c r="AC21">
        <f>IF(AND(AC$2&gt;=$G21,AC$2&lt;=$H21),IF(AND($I21="YES",AC$2=$H21),3,IF($F21=1,4,IF(AC$2&lt;=$G21+($H21-$G21+1)*$F21-1,1,2))),"")</f>
        <v/>
      </c>
      <c r="AD21">
        <f>IF(AND(AD$2&gt;=$G21,AD$2&lt;=$H21),IF(AND($I21="YES",AD$2=$H21),3,IF($F21=1,4,IF(AD$2&lt;=$G21+($H21-$G21+1)*$F21-1,1,2))),"")</f>
        <v/>
      </c>
      <c r="AE21">
        <f>IF(AND(AE$2&gt;=$G21,AE$2&lt;=$H21),IF(AND($I21="YES",AE$2=$H21),3,IF($F21=1,4,IF(AE$2&lt;=$G21+($H21-$G21+1)*$F21-1,1,2))),"")</f>
        <v/>
      </c>
      <c r="AF21">
        <f>IF(AND(AF$2&gt;=$G21,AF$2&lt;=$H21),IF(AND($I21="YES",AF$2=$H21),3,IF($F21=1,4,IF(AF$2&lt;=$G21+($H21-$G21+1)*$F21-1,1,2))),"")</f>
        <v/>
      </c>
      <c r="AG21">
        <f>IF(AND(AG$2&gt;=$G21,AG$2&lt;=$H21),IF(AND($I21="YES",AG$2=$H21),3,IF($F21=1,4,IF(AG$2&lt;=$G21+($H21-$G21+1)*$F21-1,1,2))),"")</f>
        <v/>
      </c>
      <c r="AH21">
        <f>IF(AND(AH$2&gt;=$G21,AH$2&lt;=$H21),IF(AND($I21="YES",AH$2=$H21),3,IF($F21=1,4,IF(AH$2&lt;=$G21+($H21-$G21+1)*$F21-1,1,2))),"")</f>
        <v/>
      </c>
      <c r="AI21">
        <f>IF(AND(AI$2&gt;=$G21,AI$2&lt;=$H21),IF(AND($I21="YES",AI$2=$H21),3,IF($F21=1,4,IF(AI$2&lt;=$G21+($H21-$G21+1)*$F21-1,1,2))),"")</f>
        <v/>
      </c>
      <c r="AJ21">
        <f>IF(AND(AJ$2&gt;=$G21,AJ$2&lt;=$H21),IF(AND($I21="YES",AJ$2=$H21),3,IF($F21=1,4,IF(AJ$2&lt;=$G21+($H21-$G21+1)*$F21-1,1,2))),"")</f>
        <v/>
      </c>
      <c r="AK21">
        <f>IF(AND(AK$2&gt;=$G21,AK$2&lt;=$H21),IF(AND($I21="YES",AK$2=$H21),3,IF($F21=1,4,IF(AK$2&lt;=$G21+($H21-$G21+1)*$F21-1,1,2))),"")</f>
        <v/>
      </c>
      <c r="AL21">
        <f>IF(AND(AL$2&gt;=$G21,AL$2&lt;=$H21),IF(AND($I21="YES",AL$2=$H21),3,IF($F21=1,4,IF(AL$2&lt;=$G21+($H21-$G21+1)*$F21-1,1,2))),"")</f>
        <v/>
      </c>
      <c r="AM21">
        <f>IF(AND(AM$2&gt;=$G21,AM$2&lt;=$H21),IF(AND($I21="YES",AM$2=$H21),3,IF($F21=1,4,IF(AM$2&lt;=$G21+($H21-$G21+1)*$F21-1,1,2))),"")</f>
        <v/>
      </c>
      <c r="AN21">
        <f>IF(AND(AN$2&gt;=$G21,AN$2&lt;=$H21),IF(AND($I21="YES",AN$2=$H21),3,IF($F21=1,4,IF(AN$2&lt;=$G21+($H21-$G21+1)*$F21-1,1,2))),"")</f>
        <v/>
      </c>
      <c r="AO21">
        <f>IF(AND(AO$2&gt;=$G21,AO$2&lt;=$H21),IF(AND($I21="YES",AO$2=$H21),3,IF($F21=1,4,IF(AO$2&lt;=$G21+($H21-$G21+1)*$F21-1,1,2))),"")</f>
        <v/>
      </c>
      <c r="AP21">
        <f>IF(AND(AP$2&gt;=$G21,AP$2&lt;=$H21),IF(AND($I21="YES",AP$2=$H21),3,IF($F21=1,4,IF(AP$2&lt;=$G21+($H21-$G21+1)*$F21-1,1,2))),"")</f>
        <v/>
      </c>
      <c r="AQ21">
        <f>IF(AND(AQ$2&gt;=$G21,AQ$2&lt;=$H21),IF(AND($I21="YES",AQ$2=$H21),3,IF($F21=1,4,IF(AQ$2&lt;=$G21+($H21-$G21+1)*$F21-1,1,2))),"")</f>
        <v/>
      </c>
    </row>
    <row r="22">
      <c r="A22">
        <f>Tracker!A19</f>
        <v/>
      </c>
      <c r="B22">
        <f>Tracker!B19</f>
        <v/>
      </c>
      <c r="C22">
        <f>Tracker!C19</f>
        <v/>
      </c>
      <c r="D22">
        <f>Tracker!J19</f>
        <v/>
      </c>
      <c r="E22">
        <f>Tracker!K19</f>
        <v/>
      </c>
      <c r="F22" s="12">
        <f>Tracker!L19</f>
        <v/>
      </c>
      <c r="G22" s="13">
        <f>Tracker!E19</f>
        <v/>
      </c>
      <c r="H22" s="13">
        <f>Tracker!F19</f>
        <v/>
      </c>
      <c r="I22">
        <f>Tracker!M19</f>
        <v/>
      </c>
      <c r="J22">
        <f>IF(AND(J$2&gt;=$G22,J$2&lt;=$H22),IF(AND($I22="YES",J$2=$H22),3,IF($F22=1,4,IF(J$2&lt;=$G22+($H22-$G22+1)*$F22-1,1,2))),"")</f>
        <v/>
      </c>
      <c r="K22">
        <f>IF(AND(K$2&gt;=$G22,K$2&lt;=$H22),IF(AND($I22="YES",K$2=$H22),3,IF($F22=1,4,IF(K$2&lt;=$G22+($H22-$G22+1)*$F22-1,1,2))),"")</f>
        <v/>
      </c>
      <c r="L22">
        <f>IF(AND(L$2&gt;=$G22,L$2&lt;=$H22),IF(AND($I22="YES",L$2=$H22),3,IF($F22=1,4,IF(L$2&lt;=$G22+($H22-$G22+1)*$F22-1,1,2))),"")</f>
        <v/>
      </c>
      <c r="M22">
        <f>IF(AND(M$2&gt;=$G22,M$2&lt;=$H22),IF(AND($I22="YES",M$2=$H22),3,IF($F22=1,4,IF(M$2&lt;=$G22+($H22-$G22+1)*$F22-1,1,2))),"")</f>
        <v/>
      </c>
      <c r="N22">
        <f>IF(AND(N$2&gt;=$G22,N$2&lt;=$H22),IF(AND($I22="YES",N$2=$H22),3,IF($F22=1,4,IF(N$2&lt;=$G22+($H22-$G22+1)*$F22-1,1,2))),"")</f>
        <v/>
      </c>
      <c r="O22">
        <f>IF(AND(O$2&gt;=$G22,O$2&lt;=$H22),IF(AND($I22="YES",O$2=$H22),3,IF($F22=1,4,IF(O$2&lt;=$G22+($H22-$G22+1)*$F22-1,1,2))),"")</f>
        <v/>
      </c>
      <c r="P22">
        <f>IF(AND(P$2&gt;=$G22,P$2&lt;=$H22),IF(AND($I22="YES",P$2=$H22),3,IF($F22=1,4,IF(P$2&lt;=$G22+($H22-$G22+1)*$F22-1,1,2))),"")</f>
        <v/>
      </c>
      <c r="Q22">
        <f>IF(AND(Q$2&gt;=$G22,Q$2&lt;=$H22),IF(AND($I22="YES",Q$2=$H22),3,IF($F22=1,4,IF(Q$2&lt;=$G22+($H22-$G22+1)*$F22-1,1,2))),"")</f>
        <v/>
      </c>
      <c r="R22">
        <f>IF(AND(R$2&gt;=$G22,R$2&lt;=$H22),IF(AND($I22="YES",R$2=$H22),3,IF($F22=1,4,IF(R$2&lt;=$G22+($H22-$G22+1)*$F22-1,1,2))),"")</f>
        <v/>
      </c>
      <c r="S22">
        <f>IF(AND(S$2&gt;=$G22,S$2&lt;=$H22),IF(AND($I22="YES",S$2=$H22),3,IF($F22=1,4,IF(S$2&lt;=$G22+($H22-$G22+1)*$F22-1,1,2))),"")</f>
        <v/>
      </c>
      <c r="T22">
        <f>IF(AND(T$2&gt;=$G22,T$2&lt;=$H22),IF(AND($I22="YES",T$2=$H22),3,IF($F22=1,4,IF(T$2&lt;=$G22+($H22-$G22+1)*$F22-1,1,2))),"")</f>
        <v/>
      </c>
      <c r="U22">
        <f>IF(AND(U$2&gt;=$G22,U$2&lt;=$H22),IF(AND($I22="YES",U$2=$H22),3,IF($F22=1,4,IF(U$2&lt;=$G22+($H22-$G22+1)*$F22-1,1,2))),"")</f>
        <v/>
      </c>
      <c r="V22">
        <f>IF(AND(V$2&gt;=$G22,V$2&lt;=$H22),IF(AND($I22="YES",V$2=$H22),3,IF($F22=1,4,IF(V$2&lt;=$G22+($H22-$G22+1)*$F22-1,1,2))),"")</f>
        <v/>
      </c>
      <c r="W22">
        <f>IF(AND(W$2&gt;=$G22,W$2&lt;=$H22),IF(AND($I22="YES",W$2=$H22),3,IF($F22=1,4,IF(W$2&lt;=$G22+($H22-$G22+1)*$F22-1,1,2))),"")</f>
        <v/>
      </c>
      <c r="X22">
        <f>IF(AND(X$2&gt;=$G22,X$2&lt;=$H22),IF(AND($I22="YES",X$2=$H22),3,IF($F22=1,4,IF(X$2&lt;=$G22+($H22-$G22+1)*$F22-1,1,2))),"")</f>
        <v/>
      </c>
      <c r="Y22">
        <f>IF(AND(Y$2&gt;=$G22,Y$2&lt;=$H22),IF(AND($I22="YES",Y$2=$H22),3,IF($F22=1,4,IF(Y$2&lt;=$G22+($H22-$G22+1)*$F22-1,1,2))),"")</f>
        <v/>
      </c>
      <c r="Z22">
        <f>IF(AND(Z$2&gt;=$G22,Z$2&lt;=$H22),IF(AND($I22="YES",Z$2=$H22),3,IF($F22=1,4,IF(Z$2&lt;=$G22+($H22-$G22+1)*$F22-1,1,2))),"")</f>
        <v/>
      </c>
      <c r="AA22">
        <f>IF(AND(AA$2&gt;=$G22,AA$2&lt;=$H22),IF(AND($I22="YES",AA$2=$H22),3,IF($F22=1,4,IF(AA$2&lt;=$G22+($H22-$G22+1)*$F22-1,1,2))),"")</f>
        <v/>
      </c>
      <c r="AB22">
        <f>IF(AND(AB$2&gt;=$G22,AB$2&lt;=$H22),IF(AND($I22="YES",AB$2=$H22),3,IF($F22=1,4,IF(AB$2&lt;=$G22+($H22-$G22+1)*$F22-1,1,2))),"")</f>
        <v/>
      </c>
      <c r="AC22">
        <f>IF(AND(AC$2&gt;=$G22,AC$2&lt;=$H22),IF(AND($I22="YES",AC$2=$H22),3,IF($F22=1,4,IF(AC$2&lt;=$G22+($H22-$G22+1)*$F22-1,1,2))),"")</f>
        <v/>
      </c>
      <c r="AD22">
        <f>IF(AND(AD$2&gt;=$G22,AD$2&lt;=$H22),IF(AND($I22="YES",AD$2=$H22),3,IF($F22=1,4,IF(AD$2&lt;=$G22+($H22-$G22+1)*$F22-1,1,2))),"")</f>
        <v/>
      </c>
      <c r="AE22">
        <f>IF(AND(AE$2&gt;=$G22,AE$2&lt;=$H22),IF(AND($I22="YES",AE$2=$H22),3,IF($F22=1,4,IF(AE$2&lt;=$G22+($H22-$G22+1)*$F22-1,1,2))),"")</f>
        <v/>
      </c>
      <c r="AF22">
        <f>IF(AND(AF$2&gt;=$G22,AF$2&lt;=$H22),IF(AND($I22="YES",AF$2=$H22),3,IF($F22=1,4,IF(AF$2&lt;=$G22+($H22-$G22+1)*$F22-1,1,2))),"")</f>
        <v/>
      </c>
      <c r="AG22">
        <f>IF(AND(AG$2&gt;=$G22,AG$2&lt;=$H22),IF(AND($I22="YES",AG$2=$H22),3,IF($F22=1,4,IF(AG$2&lt;=$G22+($H22-$G22+1)*$F22-1,1,2))),"")</f>
        <v/>
      </c>
      <c r="AH22">
        <f>IF(AND(AH$2&gt;=$G22,AH$2&lt;=$H22),IF(AND($I22="YES",AH$2=$H22),3,IF($F22=1,4,IF(AH$2&lt;=$G22+($H22-$G22+1)*$F22-1,1,2))),"")</f>
        <v/>
      </c>
      <c r="AI22">
        <f>IF(AND(AI$2&gt;=$G22,AI$2&lt;=$H22),IF(AND($I22="YES",AI$2=$H22),3,IF($F22=1,4,IF(AI$2&lt;=$G22+($H22-$G22+1)*$F22-1,1,2))),"")</f>
        <v/>
      </c>
      <c r="AJ22">
        <f>IF(AND(AJ$2&gt;=$G22,AJ$2&lt;=$H22),IF(AND($I22="YES",AJ$2=$H22),3,IF($F22=1,4,IF(AJ$2&lt;=$G22+($H22-$G22+1)*$F22-1,1,2))),"")</f>
        <v/>
      </c>
      <c r="AK22">
        <f>IF(AND(AK$2&gt;=$G22,AK$2&lt;=$H22),IF(AND($I22="YES",AK$2=$H22),3,IF($F22=1,4,IF(AK$2&lt;=$G22+($H22-$G22+1)*$F22-1,1,2))),"")</f>
        <v/>
      </c>
      <c r="AL22">
        <f>IF(AND(AL$2&gt;=$G22,AL$2&lt;=$H22),IF(AND($I22="YES",AL$2=$H22),3,IF($F22=1,4,IF(AL$2&lt;=$G22+($H22-$G22+1)*$F22-1,1,2))),"")</f>
        <v/>
      </c>
      <c r="AM22">
        <f>IF(AND(AM$2&gt;=$G22,AM$2&lt;=$H22),IF(AND($I22="YES",AM$2=$H22),3,IF($F22=1,4,IF(AM$2&lt;=$G22+($H22-$G22+1)*$F22-1,1,2))),"")</f>
        <v/>
      </c>
      <c r="AN22">
        <f>IF(AND(AN$2&gt;=$G22,AN$2&lt;=$H22),IF(AND($I22="YES",AN$2=$H22),3,IF($F22=1,4,IF(AN$2&lt;=$G22+($H22-$G22+1)*$F22-1,1,2))),"")</f>
        <v/>
      </c>
      <c r="AO22">
        <f>IF(AND(AO$2&gt;=$G22,AO$2&lt;=$H22),IF(AND($I22="YES",AO$2=$H22),3,IF($F22=1,4,IF(AO$2&lt;=$G22+($H22-$G22+1)*$F22-1,1,2))),"")</f>
        <v/>
      </c>
      <c r="AP22">
        <f>IF(AND(AP$2&gt;=$G22,AP$2&lt;=$H22),IF(AND($I22="YES",AP$2=$H22),3,IF($F22=1,4,IF(AP$2&lt;=$G22+($H22-$G22+1)*$F22-1,1,2))),"")</f>
        <v/>
      </c>
      <c r="AQ22">
        <f>IF(AND(AQ$2&gt;=$G22,AQ$2&lt;=$H22),IF(AND($I22="YES",AQ$2=$H22),3,IF($F22=1,4,IF(AQ$2&lt;=$G22+($H22-$G22+1)*$F22-1,1,2))),"")</f>
        <v/>
      </c>
    </row>
    <row r="23">
      <c r="A23">
        <f>Tracker!A20</f>
        <v/>
      </c>
      <c r="B23">
        <f>Tracker!B20</f>
        <v/>
      </c>
      <c r="C23">
        <f>Tracker!C20</f>
        <v/>
      </c>
      <c r="D23">
        <f>Tracker!J20</f>
        <v/>
      </c>
      <c r="E23">
        <f>Tracker!K20</f>
        <v/>
      </c>
      <c r="F23" s="12">
        <f>Tracker!L20</f>
        <v/>
      </c>
      <c r="G23" s="13">
        <f>Tracker!E20</f>
        <v/>
      </c>
      <c r="H23" s="13">
        <f>Tracker!F20</f>
        <v/>
      </c>
      <c r="I23">
        <f>Tracker!M20</f>
        <v/>
      </c>
      <c r="J23">
        <f>IF(AND(J$2&gt;=$G23,J$2&lt;=$H23),IF(AND($I23="YES",J$2=$H23),3,IF($F23=1,4,IF(J$2&lt;=$G23+($H23-$G23+1)*$F23-1,1,2))),"")</f>
        <v/>
      </c>
      <c r="K23">
        <f>IF(AND(K$2&gt;=$G23,K$2&lt;=$H23),IF(AND($I23="YES",K$2=$H23),3,IF($F23=1,4,IF(K$2&lt;=$G23+($H23-$G23+1)*$F23-1,1,2))),"")</f>
        <v/>
      </c>
      <c r="L23">
        <f>IF(AND(L$2&gt;=$G23,L$2&lt;=$H23),IF(AND($I23="YES",L$2=$H23),3,IF($F23=1,4,IF(L$2&lt;=$G23+($H23-$G23+1)*$F23-1,1,2))),"")</f>
        <v/>
      </c>
      <c r="M23">
        <f>IF(AND(M$2&gt;=$G23,M$2&lt;=$H23),IF(AND($I23="YES",M$2=$H23),3,IF($F23=1,4,IF(M$2&lt;=$G23+($H23-$G23+1)*$F23-1,1,2))),"")</f>
        <v/>
      </c>
      <c r="N23">
        <f>IF(AND(N$2&gt;=$G23,N$2&lt;=$H23),IF(AND($I23="YES",N$2=$H23),3,IF($F23=1,4,IF(N$2&lt;=$G23+($H23-$G23+1)*$F23-1,1,2))),"")</f>
        <v/>
      </c>
      <c r="O23">
        <f>IF(AND(O$2&gt;=$G23,O$2&lt;=$H23),IF(AND($I23="YES",O$2=$H23),3,IF($F23=1,4,IF(O$2&lt;=$G23+($H23-$G23+1)*$F23-1,1,2))),"")</f>
        <v/>
      </c>
      <c r="P23">
        <f>IF(AND(P$2&gt;=$G23,P$2&lt;=$H23),IF(AND($I23="YES",P$2=$H23),3,IF($F23=1,4,IF(P$2&lt;=$G23+($H23-$G23+1)*$F23-1,1,2))),"")</f>
        <v/>
      </c>
      <c r="Q23">
        <f>IF(AND(Q$2&gt;=$G23,Q$2&lt;=$H23),IF(AND($I23="YES",Q$2=$H23),3,IF($F23=1,4,IF(Q$2&lt;=$G23+($H23-$G23+1)*$F23-1,1,2))),"")</f>
        <v/>
      </c>
      <c r="R23">
        <f>IF(AND(R$2&gt;=$G23,R$2&lt;=$H23),IF(AND($I23="YES",R$2=$H23),3,IF($F23=1,4,IF(R$2&lt;=$G23+($H23-$G23+1)*$F23-1,1,2))),"")</f>
        <v/>
      </c>
      <c r="S23">
        <f>IF(AND(S$2&gt;=$G23,S$2&lt;=$H23),IF(AND($I23="YES",S$2=$H23),3,IF($F23=1,4,IF(S$2&lt;=$G23+($H23-$G23+1)*$F23-1,1,2))),"")</f>
        <v/>
      </c>
      <c r="T23">
        <f>IF(AND(T$2&gt;=$G23,T$2&lt;=$H23),IF(AND($I23="YES",T$2=$H23),3,IF($F23=1,4,IF(T$2&lt;=$G23+($H23-$G23+1)*$F23-1,1,2))),"")</f>
        <v/>
      </c>
      <c r="U23">
        <f>IF(AND(U$2&gt;=$G23,U$2&lt;=$H23),IF(AND($I23="YES",U$2=$H23),3,IF($F23=1,4,IF(U$2&lt;=$G23+($H23-$G23+1)*$F23-1,1,2))),"")</f>
        <v/>
      </c>
      <c r="V23">
        <f>IF(AND(V$2&gt;=$G23,V$2&lt;=$H23),IF(AND($I23="YES",V$2=$H23),3,IF($F23=1,4,IF(V$2&lt;=$G23+($H23-$G23+1)*$F23-1,1,2))),"")</f>
        <v/>
      </c>
      <c r="W23">
        <f>IF(AND(W$2&gt;=$G23,W$2&lt;=$H23),IF(AND($I23="YES",W$2=$H23),3,IF($F23=1,4,IF(W$2&lt;=$G23+($H23-$G23+1)*$F23-1,1,2))),"")</f>
        <v/>
      </c>
      <c r="X23">
        <f>IF(AND(X$2&gt;=$G23,X$2&lt;=$H23),IF(AND($I23="YES",X$2=$H23),3,IF($F23=1,4,IF(X$2&lt;=$G23+($H23-$G23+1)*$F23-1,1,2))),"")</f>
        <v/>
      </c>
      <c r="Y23">
        <f>IF(AND(Y$2&gt;=$G23,Y$2&lt;=$H23),IF(AND($I23="YES",Y$2=$H23),3,IF($F23=1,4,IF(Y$2&lt;=$G23+($H23-$G23+1)*$F23-1,1,2))),"")</f>
        <v/>
      </c>
      <c r="Z23">
        <f>IF(AND(Z$2&gt;=$G23,Z$2&lt;=$H23),IF(AND($I23="YES",Z$2=$H23),3,IF($F23=1,4,IF(Z$2&lt;=$G23+($H23-$G23+1)*$F23-1,1,2))),"")</f>
        <v/>
      </c>
      <c r="AA23">
        <f>IF(AND(AA$2&gt;=$G23,AA$2&lt;=$H23),IF(AND($I23="YES",AA$2=$H23),3,IF($F23=1,4,IF(AA$2&lt;=$G23+($H23-$G23+1)*$F23-1,1,2))),"")</f>
        <v/>
      </c>
      <c r="AB23">
        <f>IF(AND(AB$2&gt;=$G23,AB$2&lt;=$H23),IF(AND($I23="YES",AB$2=$H23),3,IF($F23=1,4,IF(AB$2&lt;=$G23+($H23-$G23+1)*$F23-1,1,2))),"")</f>
        <v/>
      </c>
      <c r="AC23">
        <f>IF(AND(AC$2&gt;=$G23,AC$2&lt;=$H23),IF(AND($I23="YES",AC$2=$H23),3,IF($F23=1,4,IF(AC$2&lt;=$G23+($H23-$G23+1)*$F23-1,1,2))),"")</f>
        <v/>
      </c>
      <c r="AD23">
        <f>IF(AND(AD$2&gt;=$G23,AD$2&lt;=$H23),IF(AND($I23="YES",AD$2=$H23),3,IF($F23=1,4,IF(AD$2&lt;=$G23+($H23-$G23+1)*$F23-1,1,2))),"")</f>
        <v/>
      </c>
      <c r="AE23">
        <f>IF(AND(AE$2&gt;=$G23,AE$2&lt;=$H23),IF(AND($I23="YES",AE$2=$H23),3,IF($F23=1,4,IF(AE$2&lt;=$G23+($H23-$G23+1)*$F23-1,1,2))),"")</f>
        <v/>
      </c>
      <c r="AF23">
        <f>IF(AND(AF$2&gt;=$G23,AF$2&lt;=$H23),IF(AND($I23="YES",AF$2=$H23),3,IF($F23=1,4,IF(AF$2&lt;=$G23+($H23-$G23+1)*$F23-1,1,2))),"")</f>
        <v/>
      </c>
      <c r="AG23">
        <f>IF(AND(AG$2&gt;=$G23,AG$2&lt;=$H23),IF(AND($I23="YES",AG$2=$H23),3,IF($F23=1,4,IF(AG$2&lt;=$G23+($H23-$G23+1)*$F23-1,1,2))),"")</f>
        <v/>
      </c>
      <c r="AH23">
        <f>IF(AND(AH$2&gt;=$G23,AH$2&lt;=$H23),IF(AND($I23="YES",AH$2=$H23),3,IF($F23=1,4,IF(AH$2&lt;=$G23+($H23-$G23+1)*$F23-1,1,2))),"")</f>
        <v/>
      </c>
      <c r="AI23">
        <f>IF(AND(AI$2&gt;=$G23,AI$2&lt;=$H23),IF(AND($I23="YES",AI$2=$H23),3,IF($F23=1,4,IF(AI$2&lt;=$G23+($H23-$G23+1)*$F23-1,1,2))),"")</f>
        <v/>
      </c>
      <c r="AJ23">
        <f>IF(AND(AJ$2&gt;=$G23,AJ$2&lt;=$H23),IF(AND($I23="YES",AJ$2=$H23),3,IF($F23=1,4,IF(AJ$2&lt;=$G23+($H23-$G23+1)*$F23-1,1,2))),"")</f>
        <v/>
      </c>
      <c r="AK23">
        <f>IF(AND(AK$2&gt;=$G23,AK$2&lt;=$H23),IF(AND($I23="YES",AK$2=$H23),3,IF($F23=1,4,IF(AK$2&lt;=$G23+($H23-$G23+1)*$F23-1,1,2))),"")</f>
        <v/>
      </c>
      <c r="AL23">
        <f>IF(AND(AL$2&gt;=$G23,AL$2&lt;=$H23),IF(AND($I23="YES",AL$2=$H23),3,IF($F23=1,4,IF(AL$2&lt;=$G23+($H23-$G23+1)*$F23-1,1,2))),"")</f>
        <v/>
      </c>
      <c r="AM23">
        <f>IF(AND(AM$2&gt;=$G23,AM$2&lt;=$H23),IF(AND($I23="YES",AM$2=$H23),3,IF($F23=1,4,IF(AM$2&lt;=$G23+($H23-$G23+1)*$F23-1,1,2))),"")</f>
        <v/>
      </c>
      <c r="AN23">
        <f>IF(AND(AN$2&gt;=$G23,AN$2&lt;=$H23),IF(AND($I23="YES",AN$2=$H23),3,IF($F23=1,4,IF(AN$2&lt;=$G23+($H23-$G23+1)*$F23-1,1,2))),"")</f>
        <v/>
      </c>
      <c r="AO23">
        <f>IF(AND(AO$2&gt;=$G23,AO$2&lt;=$H23),IF(AND($I23="YES",AO$2=$H23),3,IF($F23=1,4,IF(AO$2&lt;=$G23+($H23-$G23+1)*$F23-1,1,2))),"")</f>
        <v/>
      </c>
      <c r="AP23">
        <f>IF(AND(AP$2&gt;=$G23,AP$2&lt;=$H23),IF(AND($I23="YES",AP$2=$H23),3,IF($F23=1,4,IF(AP$2&lt;=$G23+($H23-$G23+1)*$F23-1,1,2))),"")</f>
        <v/>
      </c>
      <c r="AQ23">
        <f>IF(AND(AQ$2&gt;=$G23,AQ$2&lt;=$H23),IF(AND($I23="YES",AQ$2=$H23),3,IF($F23=1,4,IF(AQ$2&lt;=$G23+($H23-$G23+1)*$F23-1,1,2))),"")</f>
        <v/>
      </c>
    </row>
    <row r="24">
      <c r="A24">
        <f>Tracker!A21</f>
        <v/>
      </c>
      <c r="B24">
        <f>Tracker!B21</f>
        <v/>
      </c>
      <c r="C24">
        <f>Tracker!C21</f>
        <v/>
      </c>
      <c r="D24">
        <f>Tracker!J21</f>
        <v/>
      </c>
      <c r="E24">
        <f>Tracker!K21</f>
        <v/>
      </c>
      <c r="F24" s="12">
        <f>Tracker!L21</f>
        <v/>
      </c>
      <c r="G24" s="13">
        <f>Tracker!E21</f>
        <v/>
      </c>
      <c r="H24" s="13">
        <f>Tracker!F21</f>
        <v/>
      </c>
      <c r="I24">
        <f>Tracker!M21</f>
        <v/>
      </c>
      <c r="J24">
        <f>IF(AND(J$2&gt;=$G24,J$2&lt;=$H24),IF(AND($I24="YES",J$2=$H24),3,IF($F24=1,4,IF(J$2&lt;=$G24+($H24-$G24+1)*$F24-1,1,2))),"")</f>
        <v/>
      </c>
      <c r="K24">
        <f>IF(AND(K$2&gt;=$G24,K$2&lt;=$H24),IF(AND($I24="YES",K$2=$H24),3,IF($F24=1,4,IF(K$2&lt;=$G24+($H24-$G24+1)*$F24-1,1,2))),"")</f>
        <v/>
      </c>
      <c r="L24">
        <f>IF(AND(L$2&gt;=$G24,L$2&lt;=$H24),IF(AND($I24="YES",L$2=$H24),3,IF($F24=1,4,IF(L$2&lt;=$G24+($H24-$G24+1)*$F24-1,1,2))),"")</f>
        <v/>
      </c>
      <c r="M24">
        <f>IF(AND(M$2&gt;=$G24,M$2&lt;=$H24),IF(AND($I24="YES",M$2=$H24),3,IF($F24=1,4,IF(M$2&lt;=$G24+($H24-$G24+1)*$F24-1,1,2))),"")</f>
        <v/>
      </c>
      <c r="N24">
        <f>IF(AND(N$2&gt;=$G24,N$2&lt;=$H24),IF(AND($I24="YES",N$2=$H24),3,IF($F24=1,4,IF(N$2&lt;=$G24+($H24-$G24+1)*$F24-1,1,2))),"")</f>
        <v/>
      </c>
      <c r="O24">
        <f>IF(AND(O$2&gt;=$G24,O$2&lt;=$H24),IF(AND($I24="YES",O$2=$H24),3,IF($F24=1,4,IF(O$2&lt;=$G24+($H24-$G24+1)*$F24-1,1,2))),"")</f>
        <v/>
      </c>
      <c r="P24">
        <f>IF(AND(P$2&gt;=$G24,P$2&lt;=$H24),IF(AND($I24="YES",P$2=$H24),3,IF($F24=1,4,IF(P$2&lt;=$G24+($H24-$G24+1)*$F24-1,1,2))),"")</f>
        <v/>
      </c>
      <c r="Q24">
        <f>IF(AND(Q$2&gt;=$G24,Q$2&lt;=$H24),IF(AND($I24="YES",Q$2=$H24),3,IF($F24=1,4,IF(Q$2&lt;=$G24+($H24-$G24+1)*$F24-1,1,2))),"")</f>
        <v/>
      </c>
      <c r="R24">
        <f>IF(AND(R$2&gt;=$G24,R$2&lt;=$H24),IF(AND($I24="YES",R$2=$H24),3,IF($F24=1,4,IF(R$2&lt;=$G24+($H24-$G24+1)*$F24-1,1,2))),"")</f>
        <v/>
      </c>
      <c r="S24">
        <f>IF(AND(S$2&gt;=$G24,S$2&lt;=$H24),IF(AND($I24="YES",S$2=$H24),3,IF($F24=1,4,IF(S$2&lt;=$G24+($H24-$G24+1)*$F24-1,1,2))),"")</f>
        <v/>
      </c>
      <c r="T24">
        <f>IF(AND(T$2&gt;=$G24,T$2&lt;=$H24),IF(AND($I24="YES",T$2=$H24),3,IF($F24=1,4,IF(T$2&lt;=$G24+($H24-$G24+1)*$F24-1,1,2))),"")</f>
        <v/>
      </c>
      <c r="U24">
        <f>IF(AND(U$2&gt;=$G24,U$2&lt;=$H24),IF(AND($I24="YES",U$2=$H24),3,IF($F24=1,4,IF(U$2&lt;=$G24+($H24-$G24+1)*$F24-1,1,2))),"")</f>
        <v/>
      </c>
      <c r="V24">
        <f>IF(AND(V$2&gt;=$G24,V$2&lt;=$H24),IF(AND($I24="YES",V$2=$H24),3,IF($F24=1,4,IF(V$2&lt;=$G24+($H24-$G24+1)*$F24-1,1,2))),"")</f>
        <v/>
      </c>
      <c r="W24">
        <f>IF(AND(W$2&gt;=$G24,W$2&lt;=$H24),IF(AND($I24="YES",W$2=$H24),3,IF($F24=1,4,IF(W$2&lt;=$G24+($H24-$G24+1)*$F24-1,1,2))),"")</f>
        <v/>
      </c>
      <c r="X24">
        <f>IF(AND(X$2&gt;=$G24,X$2&lt;=$H24),IF(AND($I24="YES",X$2=$H24),3,IF($F24=1,4,IF(X$2&lt;=$G24+($H24-$G24+1)*$F24-1,1,2))),"")</f>
        <v/>
      </c>
      <c r="Y24">
        <f>IF(AND(Y$2&gt;=$G24,Y$2&lt;=$H24),IF(AND($I24="YES",Y$2=$H24),3,IF($F24=1,4,IF(Y$2&lt;=$G24+($H24-$G24+1)*$F24-1,1,2))),"")</f>
        <v/>
      </c>
      <c r="Z24">
        <f>IF(AND(Z$2&gt;=$G24,Z$2&lt;=$H24),IF(AND($I24="YES",Z$2=$H24),3,IF($F24=1,4,IF(Z$2&lt;=$G24+($H24-$G24+1)*$F24-1,1,2))),"")</f>
        <v/>
      </c>
      <c r="AA24">
        <f>IF(AND(AA$2&gt;=$G24,AA$2&lt;=$H24),IF(AND($I24="YES",AA$2=$H24),3,IF($F24=1,4,IF(AA$2&lt;=$G24+($H24-$G24+1)*$F24-1,1,2))),"")</f>
        <v/>
      </c>
      <c r="AB24">
        <f>IF(AND(AB$2&gt;=$G24,AB$2&lt;=$H24),IF(AND($I24="YES",AB$2=$H24),3,IF($F24=1,4,IF(AB$2&lt;=$G24+($H24-$G24+1)*$F24-1,1,2))),"")</f>
        <v/>
      </c>
      <c r="AC24">
        <f>IF(AND(AC$2&gt;=$G24,AC$2&lt;=$H24),IF(AND($I24="YES",AC$2=$H24),3,IF($F24=1,4,IF(AC$2&lt;=$G24+($H24-$G24+1)*$F24-1,1,2))),"")</f>
        <v/>
      </c>
      <c r="AD24">
        <f>IF(AND(AD$2&gt;=$G24,AD$2&lt;=$H24),IF(AND($I24="YES",AD$2=$H24),3,IF($F24=1,4,IF(AD$2&lt;=$G24+($H24-$G24+1)*$F24-1,1,2))),"")</f>
        <v/>
      </c>
      <c r="AE24">
        <f>IF(AND(AE$2&gt;=$G24,AE$2&lt;=$H24),IF(AND($I24="YES",AE$2=$H24),3,IF($F24=1,4,IF(AE$2&lt;=$G24+($H24-$G24+1)*$F24-1,1,2))),"")</f>
        <v/>
      </c>
      <c r="AF24">
        <f>IF(AND(AF$2&gt;=$G24,AF$2&lt;=$H24),IF(AND($I24="YES",AF$2=$H24),3,IF($F24=1,4,IF(AF$2&lt;=$G24+($H24-$G24+1)*$F24-1,1,2))),"")</f>
        <v/>
      </c>
      <c r="AG24">
        <f>IF(AND(AG$2&gt;=$G24,AG$2&lt;=$H24),IF(AND($I24="YES",AG$2=$H24),3,IF($F24=1,4,IF(AG$2&lt;=$G24+($H24-$G24+1)*$F24-1,1,2))),"")</f>
        <v/>
      </c>
      <c r="AH24">
        <f>IF(AND(AH$2&gt;=$G24,AH$2&lt;=$H24),IF(AND($I24="YES",AH$2=$H24),3,IF($F24=1,4,IF(AH$2&lt;=$G24+($H24-$G24+1)*$F24-1,1,2))),"")</f>
        <v/>
      </c>
      <c r="AI24">
        <f>IF(AND(AI$2&gt;=$G24,AI$2&lt;=$H24),IF(AND($I24="YES",AI$2=$H24),3,IF($F24=1,4,IF(AI$2&lt;=$G24+($H24-$G24+1)*$F24-1,1,2))),"")</f>
        <v/>
      </c>
      <c r="AJ24">
        <f>IF(AND(AJ$2&gt;=$G24,AJ$2&lt;=$H24),IF(AND($I24="YES",AJ$2=$H24),3,IF($F24=1,4,IF(AJ$2&lt;=$G24+($H24-$G24+1)*$F24-1,1,2))),"")</f>
        <v/>
      </c>
      <c r="AK24">
        <f>IF(AND(AK$2&gt;=$G24,AK$2&lt;=$H24),IF(AND($I24="YES",AK$2=$H24),3,IF($F24=1,4,IF(AK$2&lt;=$G24+($H24-$G24+1)*$F24-1,1,2))),"")</f>
        <v/>
      </c>
      <c r="AL24">
        <f>IF(AND(AL$2&gt;=$G24,AL$2&lt;=$H24),IF(AND($I24="YES",AL$2=$H24),3,IF($F24=1,4,IF(AL$2&lt;=$G24+($H24-$G24+1)*$F24-1,1,2))),"")</f>
        <v/>
      </c>
      <c r="AM24">
        <f>IF(AND(AM$2&gt;=$G24,AM$2&lt;=$H24),IF(AND($I24="YES",AM$2=$H24),3,IF($F24=1,4,IF(AM$2&lt;=$G24+($H24-$G24+1)*$F24-1,1,2))),"")</f>
        <v/>
      </c>
      <c r="AN24">
        <f>IF(AND(AN$2&gt;=$G24,AN$2&lt;=$H24),IF(AND($I24="YES",AN$2=$H24),3,IF($F24=1,4,IF(AN$2&lt;=$G24+($H24-$G24+1)*$F24-1,1,2))),"")</f>
        <v/>
      </c>
      <c r="AO24">
        <f>IF(AND(AO$2&gt;=$G24,AO$2&lt;=$H24),IF(AND($I24="YES",AO$2=$H24),3,IF($F24=1,4,IF(AO$2&lt;=$G24+($H24-$G24+1)*$F24-1,1,2))),"")</f>
        <v/>
      </c>
      <c r="AP24">
        <f>IF(AND(AP$2&gt;=$G24,AP$2&lt;=$H24),IF(AND($I24="YES",AP$2=$H24),3,IF($F24=1,4,IF(AP$2&lt;=$G24+($H24-$G24+1)*$F24-1,1,2))),"")</f>
        <v/>
      </c>
      <c r="AQ24">
        <f>IF(AND(AQ$2&gt;=$G24,AQ$2&lt;=$H24),IF(AND($I24="YES",AQ$2=$H24),3,IF($F24=1,4,IF(AQ$2&lt;=$G24+($H24-$G24+1)*$F24-1,1,2))),"")</f>
        <v/>
      </c>
    </row>
    <row r="25">
      <c r="A25">
        <f>Tracker!A22</f>
        <v/>
      </c>
      <c r="B25">
        <f>Tracker!B22</f>
        <v/>
      </c>
      <c r="C25">
        <f>Tracker!C22</f>
        <v/>
      </c>
      <c r="D25">
        <f>Tracker!J22</f>
        <v/>
      </c>
      <c r="E25">
        <f>Tracker!K22</f>
        <v/>
      </c>
      <c r="F25" s="12">
        <f>Tracker!L22</f>
        <v/>
      </c>
      <c r="G25" s="13">
        <f>Tracker!E22</f>
        <v/>
      </c>
      <c r="H25" s="13">
        <f>Tracker!F22</f>
        <v/>
      </c>
      <c r="I25">
        <f>Tracker!M22</f>
        <v/>
      </c>
      <c r="J25">
        <f>IF(AND(J$2&gt;=$G25,J$2&lt;=$H25),IF(AND($I25="YES",J$2=$H25),3,IF($F25=1,4,IF(J$2&lt;=$G25+($H25-$G25+1)*$F25-1,1,2))),"")</f>
        <v/>
      </c>
      <c r="K25">
        <f>IF(AND(K$2&gt;=$G25,K$2&lt;=$H25),IF(AND($I25="YES",K$2=$H25),3,IF($F25=1,4,IF(K$2&lt;=$G25+($H25-$G25+1)*$F25-1,1,2))),"")</f>
        <v/>
      </c>
      <c r="L25">
        <f>IF(AND(L$2&gt;=$G25,L$2&lt;=$H25),IF(AND($I25="YES",L$2=$H25),3,IF($F25=1,4,IF(L$2&lt;=$G25+($H25-$G25+1)*$F25-1,1,2))),"")</f>
        <v/>
      </c>
      <c r="M25">
        <f>IF(AND(M$2&gt;=$G25,M$2&lt;=$H25),IF(AND($I25="YES",M$2=$H25),3,IF($F25=1,4,IF(M$2&lt;=$G25+($H25-$G25+1)*$F25-1,1,2))),"")</f>
        <v/>
      </c>
      <c r="N25">
        <f>IF(AND(N$2&gt;=$G25,N$2&lt;=$H25),IF(AND($I25="YES",N$2=$H25),3,IF($F25=1,4,IF(N$2&lt;=$G25+($H25-$G25+1)*$F25-1,1,2))),"")</f>
        <v/>
      </c>
      <c r="O25">
        <f>IF(AND(O$2&gt;=$G25,O$2&lt;=$H25),IF(AND($I25="YES",O$2=$H25),3,IF($F25=1,4,IF(O$2&lt;=$G25+($H25-$G25+1)*$F25-1,1,2))),"")</f>
        <v/>
      </c>
      <c r="P25">
        <f>IF(AND(P$2&gt;=$G25,P$2&lt;=$H25),IF(AND($I25="YES",P$2=$H25),3,IF($F25=1,4,IF(P$2&lt;=$G25+($H25-$G25+1)*$F25-1,1,2))),"")</f>
        <v/>
      </c>
      <c r="Q25">
        <f>IF(AND(Q$2&gt;=$G25,Q$2&lt;=$H25),IF(AND($I25="YES",Q$2=$H25),3,IF($F25=1,4,IF(Q$2&lt;=$G25+($H25-$G25+1)*$F25-1,1,2))),"")</f>
        <v/>
      </c>
      <c r="R25">
        <f>IF(AND(R$2&gt;=$G25,R$2&lt;=$H25),IF(AND($I25="YES",R$2=$H25),3,IF($F25=1,4,IF(R$2&lt;=$G25+($H25-$G25+1)*$F25-1,1,2))),"")</f>
        <v/>
      </c>
      <c r="S25">
        <f>IF(AND(S$2&gt;=$G25,S$2&lt;=$H25),IF(AND($I25="YES",S$2=$H25),3,IF($F25=1,4,IF(S$2&lt;=$G25+($H25-$G25+1)*$F25-1,1,2))),"")</f>
        <v/>
      </c>
      <c r="T25">
        <f>IF(AND(T$2&gt;=$G25,T$2&lt;=$H25),IF(AND($I25="YES",T$2=$H25),3,IF($F25=1,4,IF(T$2&lt;=$G25+($H25-$G25+1)*$F25-1,1,2))),"")</f>
        <v/>
      </c>
      <c r="U25">
        <f>IF(AND(U$2&gt;=$G25,U$2&lt;=$H25),IF(AND($I25="YES",U$2=$H25),3,IF($F25=1,4,IF(U$2&lt;=$G25+($H25-$G25+1)*$F25-1,1,2))),"")</f>
        <v/>
      </c>
      <c r="V25">
        <f>IF(AND(V$2&gt;=$G25,V$2&lt;=$H25),IF(AND($I25="YES",V$2=$H25),3,IF($F25=1,4,IF(V$2&lt;=$G25+($H25-$G25+1)*$F25-1,1,2))),"")</f>
        <v/>
      </c>
      <c r="W25">
        <f>IF(AND(W$2&gt;=$G25,W$2&lt;=$H25),IF(AND($I25="YES",W$2=$H25),3,IF($F25=1,4,IF(W$2&lt;=$G25+($H25-$G25+1)*$F25-1,1,2))),"")</f>
        <v/>
      </c>
      <c r="X25">
        <f>IF(AND(X$2&gt;=$G25,X$2&lt;=$H25),IF(AND($I25="YES",X$2=$H25),3,IF($F25=1,4,IF(X$2&lt;=$G25+($H25-$G25+1)*$F25-1,1,2))),"")</f>
        <v/>
      </c>
      <c r="Y25">
        <f>IF(AND(Y$2&gt;=$G25,Y$2&lt;=$H25),IF(AND($I25="YES",Y$2=$H25),3,IF($F25=1,4,IF(Y$2&lt;=$G25+($H25-$G25+1)*$F25-1,1,2))),"")</f>
        <v/>
      </c>
      <c r="Z25">
        <f>IF(AND(Z$2&gt;=$G25,Z$2&lt;=$H25),IF(AND($I25="YES",Z$2=$H25),3,IF($F25=1,4,IF(Z$2&lt;=$G25+($H25-$G25+1)*$F25-1,1,2))),"")</f>
        <v/>
      </c>
      <c r="AA25">
        <f>IF(AND(AA$2&gt;=$G25,AA$2&lt;=$H25),IF(AND($I25="YES",AA$2=$H25),3,IF($F25=1,4,IF(AA$2&lt;=$G25+($H25-$G25+1)*$F25-1,1,2))),"")</f>
        <v/>
      </c>
      <c r="AB25">
        <f>IF(AND(AB$2&gt;=$G25,AB$2&lt;=$H25),IF(AND($I25="YES",AB$2=$H25),3,IF($F25=1,4,IF(AB$2&lt;=$G25+($H25-$G25+1)*$F25-1,1,2))),"")</f>
        <v/>
      </c>
      <c r="AC25">
        <f>IF(AND(AC$2&gt;=$G25,AC$2&lt;=$H25),IF(AND($I25="YES",AC$2=$H25),3,IF($F25=1,4,IF(AC$2&lt;=$G25+($H25-$G25+1)*$F25-1,1,2))),"")</f>
        <v/>
      </c>
      <c r="AD25">
        <f>IF(AND(AD$2&gt;=$G25,AD$2&lt;=$H25),IF(AND($I25="YES",AD$2=$H25),3,IF($F25=1,4,IF(AD$2&lt;=$G25+($H25-$G25+1)*$F25-1,1,2))),"")</f>
        <v/>
      </c>
      <c r="AE25">
        <f>IF(AND(AE$2&gt;=$G25,AE$2&lt;=$H25),IF(AND($I25="YES",AE$2=$H25),3,IF($F25=1,4,IF(AE$2&lt;=$G25+($H25-$G25+1)*$F25-1,1,2))),"")</f>
        <v/>
      </c>
      <c r="AF25">
        <f>IF(AND(AF$2&gt;=$G25,AF$2&lt;=$H25),IF(AND($I25="YES",AF$2=$H25),3,IF($F25=1,4,IF(AF$2&lt;=$G25+($H25-$G25+1)*$F25-1,1,2))),"")</f>
        <v/>
      </c>
      <c r="AG25">
        <f>IF(AND(AG$2&gt;=$G25,AG$2&lt;=$H25),IF(AND($I25="YES",AG$2=$H25),3,IF($F25=1,4,IF(AG$2&lt;=$G25+($H25-$G25+1)*$F25-1,1,2))),"")</f>
        <v/>
      </c>
      <c r="AH25">
        <f>IF(AND(AH$2&gt;=$G25,AH$2&lt;=$H25),IF(AND($I25="YES",AH$2=$H25),3,IF($F25=1,4,IF(AH$2&lt;=$G25+($H25-$G25+1)*$F25-1,1,2))),"")</f>
        <v/>
      </c>
      <c r="AI25">
        <f>IF(AND(AI$2&gt;=$G25,AI$2&lt;=$H25),IF(AND($I25="YES",AI$2=$H25),3,IF($F25=1,4,IF(AI$2&lt;=$G25+($H25-$G25+1)*$F25-1,1,2))),"")</f>
        <v/>
      </c>
      <c r="AJ25">
        <f>IF(AND(AJ$2&gt;=$G25,AJ$2&lt;=$H25),IF(AND($I25="YES",AJ$2=$H25),3,IF($F25=1,4,IF(AJ$2&lt;=$G25+($H25-$G25+1)*$F25-1,1,2))),"")</f>
        <v/>
      </c>
      <c r="AK25">
        <f>IF(AND(AK$2&gt;=$G25,AK$2&lt;=$H25),IF(AND($I25="YES",AK$2=$H25),3,IF($F25=1,4,IF(AK$2&lt;=$G25+($H25-$G25+1)*$F25-1,1,2))),"")</f>
        <v/>
      </c>
      <c r="AL25">
        <f>IF(AND(AL$2&gt;=$G25,AL$2&lt;=$H25),IF(AND($I25="YES",AL$2=$H25),3,IF($F25=1,4,IF(AL$2&lt;=$G25+($H25-$G25+1)*$F25-1,1,2))),"")</f>
        <v/>
      </c>
      <c r="AM25">
        <f>IF(AND(AM$2&gt;=$G25,AM$2&lt;=$H25),IF(AND($I25="YES",AM$2=$H25),3,IF($F25=1,4,IF(AM$2&lt;=$G25+($H25-$G25+1)*$F25-1,1,2))),"")</f>
        <v/>
      </c>
      <c r="AN25">
        <f>IF(AND(AN$2&gt;=$G25,AN$2&lt;=$H25),IF(AND($I25="YES",AN$2=$H25),3,IF($F25=1,4,IF(AN$2&lt;=$G25+($H25-$G25+1)*$F25-1,1,2))),"")</f>
        <v/>
      </c>
      <c r="AO25">
        <f>IF(AND(AO$2&gt;=$G25,AO$2&lt;=$H25),IF(AND($I25="YES",AO$2=$H25),3,IF($F25=1,4,IF(AO$2&lt;=$G25+($H25-$G25+1)*$F25-1,1,2))),"")</f>
        <v/>
      </c>
      <c r="AP25">
        <f>IF(AND(AP$2&gt;=$G25,AP$2&lt;=$H25),IF(AND($I25="YES",AP$2=$H25),3,IF($F25=1,4,IF(AP$2&lt;=$G25+($H25-$G25+1)*$F25-1,1,2))),"")</f>
        <v/>
      </c>
      <c r="AQ25">
        <f>IF(AND(AQ$2&gt;=$G25,AQ$2&lt;=$H25),IF(AND($I25="YES",AQ$2=$H25),3,IF($F25=1,4,IF(AQ$2&lt;=$G25+($H25-$G25+1)*$F25-1,1,2))),"")</f>
        <v/>
      </c>
    </row>
    <row r="26">
      <c r="A26">
        <f>Tracker!A23</f>
        <v/>
      </c>
      <c r="B26">
        <f>Tracker!B23</f>
        <v/>
      </c>
      <c r="C26">
        <f>Tracker!C23</f>
        <v/>
      </c>
      <c r="D26">
        <f>Tracker!J23</f>
        <v/>
      </c>
      <c r="E26">
        <f>Tracker!K23</f>
        <v/>
      </c>
      <c r="F26" s="12">
        <f>Tracker!L23</f>
        <v/>
      </c>
      <c r="G26" s="13">
        <f>Tracker!E23</f>
        <v/>
      </c>
      <c r="H26" s="13">
        <f>Tracker!F23</f>
        <v/>
      </c>
      <c r="I26">
        <f>Tracker!M23</f>
        <v/>
      </c>
      <c r="J26">
        <f>IF(AND(J$2&gt;=$G26,J$2&lt;=$H26),IF(AND($I26="YES",J$2=$H26),3,IF($F26=1,4,IF(J$2&lt;=$G26+($H26-$G26+1)*$F26-1,1,2))),"")</f>
        <v/>
      </c>
      <c r="K26">
        <f>IF(AND(K$2&gt;=$G26,K$2&lt;=$H26),IF(AND($I26="YES",K$2=$H26),3,IF($F26=1,4,IF(K$2&lt;=$G26+($H26-$G26+1)*$F26-1,1,2))),"")</f>
        <v/>
      </c>
      <c r="L26">
        <f>IF(AND(L$2&gt;=$G26,L$2&lt;=$H26),IF(AND($I26="YES",L$2=$H26),3,IF($F26=1,4,IF(L$2&lt;=$G26+($H26-$G26+1)*$F26-1,1,2))),"")</f>
        <v/>
      </c>
      <c r="M26">
        <f>IF(AND(M$2&gt;=$G26,M$2&lt;=$H26),IF(AND($I26="YES",M$2=$H26),3,IF($F26=1,4,IF(M$2&lt;=$G26+($H26-$G26+1)*$F26-1,1,2))),"")</f>
        <v/>
      </c>
      <c r="N26">
        <f>IF(AND(N$2&gt;=$G26,N$2&lt;=$H26),IF(AND($I26="YES",N$2=$H26),3,IF($F26=1,4,IF(N$2&lt;=$G26+($H26-$G26+1)*$F26-1,1,2))),"")</f>
        <v/>
      </c>
      <c r="O26">
        <f>IF(AND(O$2&gt;=$G26,O$2&lt;=$H26),IF(AND($I26="YES",O$2=$H26),3,IF($F26=1,4,IF(O$2&lt;=$G26+($H26-$G26+1)*$F26-1,1,2))),"")</f>
        <v/>
      </c>
      <c r="P26">
        <f>IF(AND(P$2&gt;=$G26,P$2&lt;=$H26),IF(AND($I26="YES",P$2=$H26),3,IF($F26=1,4,IF(P$2&lt;=$G26+($H26-$G26+1)*$F26-1,1,2))),"")</f>
        <v/>
      </c>
      <c r="Q26">
        <f>IF(AND(Q$2&gt;=$G26,Q$2&lt;=$H26),IF(AND($I26="YES",Q$2=$H26),3,IF($F26=1,4,IF(Q$2&lt;=$G26+($H26-$G26+1)*$F26-1,1,2))),"")</f>
        <v/>
      </c>
      <c r="R26">
        <f>IF(AND(R$2&gt;=$G26,R$2&lt;=$H26),IF(AND($I26="YES",R$2=$H26),3,IF($F26=1,4,IF(R$2&lt;=$G26+($H26-$G26+1)*$F26-1,1,2))),"")</f>
        <v/>
      </c>
      <c r="S26">
        <f>IF(AND(S$2&gt;=$G26,S$2&lt;=$H26),IF(AND($I26="YES",S$2=$H26),3,IF($F26=1,4,IF(S$2&lt;=$G26+($H26-$G26+1)*$F26-1,1,2))),"")</f>
        <v/>
      </c>
      <c r="T26">
        <f>IF(AND(T$2&gt;=$G26,T$2&lt;=$H26),IF(AND($I26="YES",T$2=$H26),3,IF($F26=1,4,IF(T$2&lt;=$G26+($H26-$G26+1)*$F26-1,1,2))),"")</f>
        <v/>
      </c>
      <c r="U26">
        <f>IF(AND(U$2&gt;=$G26,U$2&lt;=$H26),IF(AND($I26="YES",U$2=$H26),3,IF($F26=1,4,IF(U$2&lt;=$G26+($H26-$G26+1)*$F26-1,1,2))),"")</f>
        <v/>
      </c>
      <c r="V26">
        <f>IF(AND(V$2&gt;=$G26,V$2&lt;=$H26),IF(AND($I26="YES",V$2=$H26),3,IF($F26=1,4,IF(V$2&lt;=$G26+($H26-$G26+1)*$F26-1,1,2))),"")</f>
        <v/>
      </c>
      <c r="W26">
        <f>IF(AND(W$2&gt;=$G26,W$2&lt;=$H26),IF(AND($I26="YES",W$2=$H26),3,IF($F26=1,4,IF(W$2&lt;=$G26+($H26-$G26+1)*$F26-1,1,2))),"")</f>
        <v/>
      </c>
      <c r="X26">
        <f>IF(AND(X$2&gt;=$G26,X$2&lt;=$H26),IF(AND($I26="YES",X$2=$H26),3,IF($F26=1,4,IF(X$2&lt;=$G26+($H26-$G26+1)*$F26-1,1,2))),"")</f>
        <v/>
      </c>
      <c r="Y26">
        <f>IF(AND(Y$2&gt;=$G26,Y$2&lt;=$H26),IF(AND($I26="YES",Y$2=$H26),3,IF($F26=1,4,IF(Y$2&lt;=$G26+($H26-$G26+1)*$F26-1,1,2))),"")</f>
        <v/>
      </c>
      <c r="Z26">
        <f>IF(AND(Z$2&gt;=$G26,Z$2&lt;=$H26),IF(AND($I26="YES",Z$2=$H26),3,IF($F26=1,4,IF(Z$2&lt;=$G26+($H26-$G26+1)*$F26-1,1,2))),"")</f>
        <v/>
      </c>
      <c r="AA26">
        <f>IF(AND(AA$2&gt;=$G26,AA$2&lt;=$H26),IF(AND($I26="YES",AA$2=$H26),3,IF($F26=1,4,IF(AA$2&lt;=$G26+($H26-$G26+1)*$F26-1,1,2))),"")</f>
        <v/>
      </c>
      <c r="AB26">
        <f>IF(AND(AB$2&gt;=$G26,AB$2&lt;=$H26),IF(AND($I26="YES",AB$2=$H26),3,IF($F26=1,4,IF(AB$2&lt;=$G26+($H26-$G26+1)*$F26-1,1,2))),"")</f>
        <v/>
      </c>
      <c r="AC26">
        <f>IF(AND(AC$2&gt;=$G26,AC$2&lt;=$H26),IF(AND($I26="YES",AC$2=$H26),3,IF($F26=1,4,IF(AC$2&lt;=$G26+($H26-$G26+1)*$F26-1,1,2))),"")</f>
        <v/>
      </c>
      <c r="AD26">
        <f>IF(AND(AD$2&gt;=$G26,AD$2&lt;=$H26),IF(AND($I26="YES",AD$2=$H26),3,IF($F26=1,4,IF(AD$2&lt;=$G26+($H26-$G26+1)*$F26-1,1,2))),"")</f>
        <v/>
      </c>
      <c r="AE26">
        <f>IF(AND(AE$2&gt;=$G26,AE$2&lt;=$H26),IF(AND($I26="YES",AE$2=$H26),3,IF($F26=1,4,IF(AE$2&lt;=$G26+($H26-$G26+1)*$F26-1,1,2))),"")</f>
        <v/>
      </c>
      <c r="AF26">
        <f>IF(AND(AF$2&gt;=$G26,AF$2&lt;=$H26),IF(AND($I26="YES",AF$2=$H26),3,IF($F26=1,4,IF(AF$2&lt;=$G26+($H26-$G26+1)*$F26-1,1,2))),"")</f>
        <v/>
      </c>
      <c r="AG26">
        <f>IF(AND(AG$2&gt;=$G26,AG$2&lt;=$H26),IF(AND($I26="YES",AG$2=$H26),3,IF($F26=1,4,IF(AG$2&lt;=$G26+($H26-$G26+1)*$F26-1,1,2))),"")</f>
        <v/>
      </c>
      <c r="AH26">
        <f>IF(AND(AH$2&gt;=$G26,AH$2&lt;=$H26),IF(AND($I26="YES",AH$2=$H26),3,IF($F26=1,4,IF(AH$2&lt;=$G26+($H26-$G26+1)*$F26-1,1,2))),"")</f>
        <v/>
      </c>
      <c r="AI26">
        <f>IF(AND(AI$2&gt;=$G26,AI$2&lt;=$H26),IF(AND($I26="YES",AI$2=$H26),3,IF($F26=1,4,IF(AI$2&lt;=$G26+($H26-$G26+1)*$F26-1,1,2))),"")</f>
        <v/>
      </c>
      <c r="AJ26">
        <f>IF(AND(AJ$2&gt;=$G26,AJ$2&lt;=$H26),IF(AND($I26="YES",AJ$2=$H26),3,IF($F26=1,4,IF(AJ$2&lt;=$G26+($H26-$G26+1)*$F26-1,1,2))),"")</f>
        <v/>
      </c>
      <c r="AK26">
        <f>IF(AND(AK$2&gt;=$G26,AK$2&lt;=$H26),IF(AND($I26="YES",AK$2=$H26),3,IF($F26=1,4,IF(AK$2&lt;=$G26+($H26-$G26+1)*$F26-1,1,2))),"")</f>
        <v/>
      </c>
      <c r="AL26">
        <f>IF(AND(AL$2&gt;=$G26,AL$2&lt;=$H26),IF(AND($I26="YES",AL$2=$H26),3,IF($F26=1,4,IF(AL$2&lt;=$G26+($H26-$G26+1)*$F26-1,1,2))),"")</f>
        <v/>
      </c>
      <c r="AM26">
        <f>IF(AND(AM$2&gt;=$G26,AM$2&lt;=$H26),IF(AND($I26="YES",AM$2=$H26),3,IF($F26=1,4,IF(AM$2&lt;=$G26+($H26-$G26+1)*$F26-1,1,2))),"")</f>
        <v/>
      </c>
      <c r="AN26">
        <f>IF(AND(AN$2&gt;=$G26,AN$2&lt;=$H26),IF(AND($I26="YES",AN$2=$H26),3,IF($F26=1,4,IF(AN$2&lt;=$G26+($H26-$G26+1)*$F26-1,1,2))),"")</f>
        <v/>
      </c>
      <c r="AO26">
        <f>IF(AND(AO$2&gt;=$G26,AO$2&lt;=$H26),IF(AND($I26="YES",AO$2=$H26),3,IF($F26=1,4,IF(AO$2&lt;=$G26+($H26-$G26+1)*$F26-1,1,2))),"")</f>
        <v/>
      </c>
      <c r="AP26">
        <f>IF(AND(AP$2&gt;=$G26,AP$2&lt;=$H26),IF(AND($I26="YES",AP$2=$H26),3,IF($F26=1,4,IF(AP$2&lt;=$G26+($H26-$G26+1)*$F26-1,1,2))),"")</f>
        <v/>
      </c>
      <c r="AQ26">
        <f>IF(AND(AQ$2&gt;=$G26,AQ$2&lt;=$H26),IF(AND($I26="YES",AQ$2=$H26),3,IF($F26=1,4,IF(AQ$2&lt;=$G26+($H26-$G26+1)*$F26-1,1,2))),"")</f>
        <v/>
      </c>
    </row>
    <row r="27">
      <c r="A27">
        <f>Tracker!A24</f>
        <v/>
      </c>
      <c r="B27">
        <f>Tracker!B24</f>
        <v/>
      </c>
      <c r="C27">
        <f>Tracker!C24</f>
        <v/>
      </c>
      <c r="D27">
        <f>Tracker!J24</f>
        <v/>
      </c>
      <c r="E27">
        <f>Tracker!K24</f>
        <v/>
      </c>
      <c r="F27" s="12">
        <f>Tracker!L24</f>
        <v/>
      </c>
      <c r="G27" s="13">
        <f>Tracker!E24</f>
        <v/>
      </c>
      <c r="H27" s="13">
        <f>Tracker!F24</f>
        <v/>
      </c>
      <c r="I27">
        <f>Tracker!M24</f>
        <v/>
      </c>
      <c r="J27">
        <f>IF(AND(J$2&gt;=$G27,J$2&lt;=$H27),IF(AND($I27="YES",J$2=$H27),3,IF($F27=1,4,IF(J$2&lt;=$G27+($H27-$G27+1)*$F27-1,1,2))),"")</f>
        <v/>
      </c>
      <c r="K27">
        <f>IF(AND(K$2&gt;=$G27,K$2&lt;=$H27),IF(AND($I27="YES",K$2=$H27),3,IF($F27=1,4,IF(K$2&lt;=$G27+($H27-$G27+1)*$F27-1,1,2))),"")</f>
        <v/>
      </c>
      <c r="L27">
        <f>IF(AND(L$2&gt;=$G27,L$2&lt;=$H27),IF(AND($I27="YES",L$2=$H27),3,IF($F27=1,4,IF(L$2&lt;=$G27+($H27-$G27+1)*$F27-1,1,2))),"")</f>
        <v/>
      </c>
      <c r="M27">
        <f>IF(AND(M$2&gt;=$G27,M$2&lt;=$H27),IF(AND($I27="YES",M$2=$H27),3,IF($F27=1,4,IF(M$2&lt;=$G27+($H27-$G27+1)*$F27-1,1,2))),"")</f>
        <v/>
      </c>
      <c r="N27">
        <f>IF(AND(N$2&gt;=$G27,N$2&lt;=$H27),IF(AND($I27="YES",N$2=$H27),3,IF($F27=1,4,IF(N$2&lt;=$G27+($H27-$G27+1)*$F27-1,1,2))),"")</f>
        <v/>
      </c>
      <c r="O27">
        <f>IF(AND(O$2&gt;=$G27,O$2&lt;=$H27),IF(AND($I27="YES",O$2=$H27),3,IF($F27=1,4,IF(O$2&lt;=$G27+($H27-$G27+1)*$F27-1,1,2))),"")</f>
        <v/>
      </c>
      <c r="P27">
        <f>IF(AND(P$2&gt;=$G27,P$2&lt;=$H27),IF(AND($I27="YES",P$2=$H27),3,IF($F27=1,4,IF(P$2&lt;=$G27+($H27-$G27+1)*$F27-1,1,2))),"")</f>
        <v/>
      </c>
      <c r="Q27">
        <f>IF(AND(Q$2&gt;=$G27,Q$2&lt;=$H27),IF(AND($I27="YES",Q$2=$H27),3,IF($F27=1,4,IF(Q$2&lt;=$G27+($H27-$G27+1)*$F27-1,1,2))),"")</f>
        <v/>
      </c>
      <c r="R27">
        <f>IF(AND(R$2&gt;=$G27,R$2&lt;=$H27),IF(AND($I27="YES",R$2=$H27),3,IF($F27=1,4,IF(R$2&lt;=$G27+($H27-$G27+1)*$F27-1,1,2))),"")</f>
        <v/>
      </c>
      <c r="S27">
        <f>IF(AND(S$2&gt;=$G27,S$2&lt;=$H27),IF(AND($I27="YES",S$2=$H27),3,IF($F27=1,4,IF(S$2&lt;=$G27+($H27-$G27+1)*$F27-1,1,2))),"")</f>
        <v/>
      </c>
      <c r="T27">
        <f>IF(AND(T$2&gt;=$G27,T$2&lt;=$H27),IF(AND($I27="YES",T$2=$H27),3,IF($F27=1,4,IF(T$2&lt;=$G27+($H27-$G27+1)*$F27-1,1,2))),"")</f>
        <v/>
      </c>
      <c r="U27">
        <f>IF(AND(U$2&gt;=$G27,U$2&lt;=$H27),IF(AND($I27="YES",U$2=$H27),3,IF($F27=1,4,IF(U$2&lt;=$G27+($H27-$G27+1)*$F27-1,1,2))),"")</f>
        <v/>
      </c>
      <c r="V27">
        <f>IF(AND(V$2&gt;=$G27,V$2&lt;=$H27),IF(AND($I27="YES",V$2=$H27),3,IF($F27=1,4,IF(V$2&lt;=$G27+($H27-$G27+1)*$F27-1,1,2))),"")</f>
        <v/>
      </c>
      <c r="W27">
        <f>IF(AND(W$2&gt;=$G27,W$2&lt;=$H27),IF(AND($I27="YES",W$2=$H27),3,IF($F27=1,4,IF(W$2&lt;=$G27+($H27-$G27+1)*$F27-1,1,2))),"")</f>
        <v/>
      </c>
      <c r="X27">
        <f>IF(AND(X$2&gt;=$G27,X$2&lt;=$H27),IF(AND($I27="YES",X$2=$H27),3,IF($F27=1,4,IF(X$2&lt;=$G27+($H27-$G27+1)*$F27-1,1,2))),"")</f>
        <v/>
      </c>
      <c r="Y27">
        <f>IF(AND(Y$2&gt;=$G27,Y$2&lt;=$H27),IF(AND($I27="YES",Y$2=$H27),3,IF($F27=1,4,IF(Y$2&lt;=$G27+($H27-$G27+1)*$F27-1,1,2))),"")</f>
        <v/>
      </c>
      <c r="Z27">
        <f>IF(AND(Z$2&gt;=$G27,Z$2&lt;=$H27),IF(AND($I27="YES",Z$2=$H27),3,IF($F27=1,4,IF(Z$2&lt;=$G27+($H27-$G27+1)*$F27-1,1,2))),"")</f>
        <v/>
      </c>
      <c r="AA27">
        <f>IF(AND(AA$2&gt;=$G27,AA$2&lt;=$H27),IF(AND($I27="YES",AA$2=$H27),3,IF($F27=1,4,IF(AA$2&lt;=$G27+($H27-$G27+1)*$F27-1,1,2))),"")</f>
        <v/>
      </c>
      <c r="AB27">
        <f>IF(AND(AB$2&gt;=$G27,AB$2&lt;=$H27),IF(AND($I27="YES",AB$2=$H27),3,IF($F27=1,4,IF(AB$2&lt;=$G27+($H27-$G27+1)*$F27-1,1,2))),"")</f>
        <v/>
      </c>
      <c r="AC27">
        <f>IF(AND(AC$2&gt;=$G27,AC$2&lt;=$H27),IF(AND($I27="YES",AC$2=$H27),3,IF($F27=1,4,IF(AC$2&lt;=$G27+($H27-$G27+1)*$F27-1,1,2))),"")</f>
        <v/>
      </c>
      <c r="AD27">
        <f>IF(AND(AD$2&gt;=$G27,AD$2&lt;=$H27),IF(AND($I27="YES",AD$2=$H27),3,IF($F27=1,4,IF(AD$2&lt;=$G27+($H27-$G27+1)*$F27-1,1,2))),"")</f>
        <v/>
      </c>
      <c r="AE27">
        <f>IF(AND(AE$2&gt;=$G27,AE$2&lt;=$H27),IF(AND($I27="YES",AE$2=$H27),3,IF($F27=1,4,IF(AE$2&lt;=$G27+($H27-$G27+1)*$F27-1,1,2))),"")</f>
        <v/>
      </c>
      <c r="AF27">
        <f>IF(AND(AF$2&gt;=$G27,AF$2&lt;=$H27),IF(AND($I27="YES",AF$2=$H27),3,IF($F27=1,4,IF(AF$2&lt;=$G27+($H27-$G27+1)*$F27-1,1,2))),"")</f>
        <v/>
      </c>
      <c r="AG27">
        <f>IF(AND(AG$2&gt;=$G27,AG$2&lt;=$H27),IF(AND($I27="YES",AG$2=$H27),3,IF($F27=1,4,IF(AG$2&lt;=$G27+($H27-$G27+1)*$F27-1,1,2))),"")</f>
        <v/>
      </c>
      <c r="AH27">
        <f>IF(AND(AH$2&gt;=$G27,AH$2&lt;=$H27),IF(AND($I27="YES",AH$2=$H27),3,IF($F27=1,4,IF(AH$2&lt;=$G27+($H27-$G27+1)*$F27-1,1,2))),"")</f>
        <v/>
      </c>
      <c r="AI27">
        <f>IF(AND(AI$2&gt;=$G27,AI$2&lt;=$H27),IF(AND($I27="YES",AI$2=$H27),3,IF($F27=1,4,IF(AI$2&lt;=$G27+($H27-$G27+1)*$F27-1,1,2))),"")</f>
        <v/>
      </c>
      <c r="AJ27">
        <f>IF(AND(AJ$2&gt;=$G27,AJ$2&lt;=$H27),IF(AND($I27="YES",AJ$2=$H27),3,IF($F27=1,4,IF(AJ$2&lt;=$G27+($H27-$G27+1)*$F27-1,1,2))),"")</f>
        <v/>
      </c>
      <c r="AK27">
        <f>IF(AND(AK$2&gt;=$G27,AK$2&lt;=$H27),IF(AND($I27="YES",AK$2=$H27),3,IF($F27=1,4,IF(AK$2&lt;=$G27+($H27-$G27+1)*$F27-1,1,2))),"")</f>
        <v/>
      </c>
      <c r="AL27">
        <f>IF(AND(AL$2&gt;=$G27,AL$2&lt;=$H27),IF(AND($I27="YES",AL$2=$H27),3,IF($F27=1,4,IF(AL$2&lt;=$G27+($H27-$G27+1)*$F27-1,1,2))),"")</f>
        <v/>
      </c>
      <c r="AM27">
        <f>IF(AND(AM$2&gt;=$G27,AM$2&lt;=$H27),IF(AND($I27="YES",AM$2=$H27),3,IF($F27=1,4,IF(AM$2&lt;=$G27+($H27-$G27+1)*$F27-1,1,2))),"")</f>
        <v/>
      </c>
      <c r="AN27">
        <f>IF(AND(AN$2&gt;=$G27,AN$2&lt;=$H27),IF(AND($I27="YES",AN$2=$H27),3,IF($F27=1,4,IF(AN$2&lt;=$G27+($H27-$G27+1)*$F27-1,1,2))),"")</f>
        <v/>
      </c>
      <c r="AO27">
        <f>IF(AND(AO$2&gt;=$G27,AO$2&lt;=$H27),IF(AND($I27="YES",AO$2=$H27),3,IF($F27=1,4,IF(AO$2&lt;=$G27+($H27-$G27+1)*$F27-1,1,2))),"")</f>
        <v/>
      </c>
      <c r="AP27">
        <f>IF(AND(AP$2&gt;=$G27,AP$2&lt;=$H27),IF(AND($I27="YES",AP$2=$H27),3,IF($F27=1,4,IF(AP$2&lt;=$G27+($H27-$G27+1)*$F27-1,1,2))),"")</f>
        <v/>
      </c>
      <c r="AQ27">
        <f>IF(AND(AQ$2&gt;=$G27,AQ$2&lt;=$H27),IF(AND($I27="YES",AQ$2=$H27),3,IF($F27=1,4,IF(AQ$2&lt;=$G27+($H27-$G27+1)*$F27-1,1,2))),"")</f>
        <v/>
      </c>
    </row>
    <row r="28">
      <c r="A28">
        <f>Tracker!A25</f>
        <v/>
      </c>
      <c r="B28">
        <f>Tracker!B25</f>
        <v/>
      </c>
      <c r="C28">
        <f>Tracker!C25</f>
        <v/>
      </c>
      <c r="D28">
        <f>Tracker!J25</f>
        <v/>
      </c>
      <c r="E28">
        <f>Tracker!K25</f>
        <v/>
      </c>
      <c r="F28" s="12">
        <f>Tracker!L25</f>
        <v/>
      </c>
      <c r="G28" s="13">
        <f>Tracker!E25</f>
        <v/>
      </c>
      <c r="H28" s="13">
        <f>Tracker!F25</f>
        <v/>
      </c>
      <c r="I28">
        <f>Tracker!M25</f>
        <v/>
      </c>
      <c r="J28">
        <f>IF(AND(J$2&gt;=$G28,J$2&lt;=$H28),IF(AND($I28="YES",J$2=$H28),3,IF($F28=1,4,IF(J$2&lt;=$G28+($H28-$G28+1)*$F28-1,1,2))),"")</f>
        <v/>
      </c>
      <c r="K28">
        <f>IF(AND(K$2&gt;=$G28,K$2&lt;=$H28),IF(AND($I28="YES",K$2=$H28),3,IF($F28=1,4,IF(K$2&lt;=$G28+($H28-$G28+1)*$F28-1,1,2))),"")</f>
        <v/>
      </c>
      <c r="L28">
        <f>IF(AND(L$2&gt;=$G28,L$2&lt;=$H28),IF(AND($I28="YES",L$2=$H28),3,IF($F28=1,4,IF(L$2&lt;=$G28+($H28-$G28+1)*$F28-1,1,2))),"")</f>
        <v/>
      </c>
      <c r="M28">
        <f>IF(AND(M$2&gt;=$G28,M$2&lt;=$H28),IF(AND($I28="YES",M$2=$H28),3,IF($F28=1,4,IF(M$2&lt;=$G28+($H28-$G28+1)*$F28-1,1,2))),"")</f>
        <v/>
      </c>
      <c r="N28">
        <f>IF(AND(N$2&gt;=$G28,N$2&lt;=$H28),IF(AND($I28="YES",N$2=$H28),3,IF($F28=1,4,IF(N$2&lt;=$G28+($H28-$G28+1)*$F28-1,1,2))),"")</f>
        <v/>
      </c>
      <c r="O28">
        <f>IF(AND(O$2&gt;=$G28,O$2&lt;=$H28),IF(AND($I28="YES",O$2=$H28),3,IF($F28=1,4,IF(O$2&lt;=$G28+($H28-$G28+1)*$F28-1,1,2))),"")</f>
        <v/>
      </c>
      <c r="P28">
        <f>IF(AND(P$2&gt;=$G28,P$2&lt;=$H28),IF(AND($I28="YES",P$2=$H28),3,IF($F28=1,4,IF(P$2&lt;=$G28+($H28-$G28+1)*$F28-1,1,2))),"")</f>
        <v/>
      </c>
      <c r="Q28">
        <f>IF(AND(Q$2&gt;=$G28,Q$2&lt;=$H28),IF(AND($I28="YES",Q$2=$H28),3,IF($F28=1,4,IF(Q$2&lt;=$G28+($H28-$G28+1)*$F28-1,1,2))),"")</f>
        <v/>
      </c>
      <c r="R28">
        <f>IF(AND(R$2&gt;=$G28,R$2&lt;=$H28),IF(AND($I28="YES",R$2=$H28),3,IF($F28=1,4,IF(R$2&lt;=$G28+($H28-$G28+1)*$F28-1,1,2))),"")</f>
        <v/>
      </c>
      <c r="S28">
        <f>IF(AND(S$2&gt;=$G28,S$2&lt;=$H28),IF(AND($I28="YES",S$2=$H28),3,IF($F28=1,4,IF(S$2&lt;=$G28+($H28-$G28+1)*$F28-1,1,2))),"")</f>
        <v/>
      </c>
      <c r="T28">
        <f>IF(AND(T$2&gt;=$G28,T$2&lt;=$H28),IF(AND($I28="YES",T$2=$H28),3,IF($F28=1,4,IF(T$2&lt;=$G28+($H28-$G28+1)*$F28-1,1,2))),"")</f>
        <v/>
      </c>
      <c r="U28">
        <f>IF(AND(U$2&gt;=$G28,U$2&lt;=$H28),IF(AND($I28="YES",U$2=$H28),3,IF($F28=1,4,IF(U$2&lt;=$G28+($H28-$G28+1)*$F28-1,1,2))),"")</f>
        <v/>
      </c>
      <c r="V28">
        <f>IF(AND(V$2&gt;=$G28,V$2&lt;=$H28),IF(AND($I28="YES",V$2=$H28),3,IF($F28=1,4,IF(V$2&lt;=$G28+($H28-$G28+1)*$F28-1,1,2))),"")</f>
        <v/>
      </c>
      <c r="W28">
        <f>IF(AND(W$2&gt;=$G28,W$2&lt;=$H28),IF(AND($I28="YES",W$2=$H28),3,IF($F28=1,4,IF(W$2&lt;=$G28+($H28-$G28+1)*$F28-1,1,2))),"")</f>
        <v/>
      </c>
      <c r="X28">
        <f>IF(AND(X$2&gt;=$G28,X$2&lt;=$H28),IF(AND($I28="YES",X$2=$H28),3,IF($F28=1,4,IF(X$2&lt;=$G28+($H28-$G28+1)*$F28-1,1,2))),"")</f>
        <v/>
      </c>
      <c r="Y28">
        <f>IF(AND(Y$2&gt;=$G28,Y$2&lt;=$H28),IF(AND($I28="YES",Y$2=$H28),3,IF($F28=1,4,IF(Y$2&lt;=$G28+($H28-$G28+1)*$F28-1,1,2))),"")</f>
        <v/>
      </c>
      <c r="Z28">
        <f>IF(AND(Z$2&gt;=$G28,Z$2&lt;=$H28),IF(AND($I28="YES",Z$2=$H28),3,IF($F28=1,4,IF(Z$2&lt;=$G28+($H28-$G28+1)*$F28-1,1,2))),"")</f>
        <v/>
      </c>
      <c r="AA28">
        <f>IF(AND(AA$2&gt;=$G28,AA$2&lt;=$H28),IF(AND($I28="YES",AA$2=$H28),3,IF($F28=1,4,IF(AA$2&lt;=$G28+($H28-$G28+1)*$F28-1,1,2))),"")</f>
        <v/>
      </c>
      <c r="AB28">
        <f>IF(AND(AB$2&gt;=$G28,AB$2&lt;=$H28),IF(AND($I28="YES",AB$2=$H28),3,IF($F28=1,4,IF(AB$2&lt;=$G28+($H28-$G28+1)*$F28-1,1,2))),"")</f>
        <v/>
      </c>
      <c r="AC28">
        <f>IF(AND(AC$2&gt;=$G28,AC$2&lt;=$H28),IF(AND($I28="YES",AC$2=$H28),3,IF($F28=1,4,IF(AC$2&lt;=$G28+($H28-$G28+1)*$F28-1,1,2))),"")</f>
        <v/>
      </c>
      <c r="AD28">
        <f>IF(AND(AD$2&gt;=$G28,AD$2&lt;=$H28),IF(AND($I28="YES",AD$2=$H28),3,IF($F28=1,4,IF(AD$2&lt;=$G28+($H28-$G28+1)*$F28-1,1,2))),"")</f>
        <v/>
      </c>
      <c r="AE28">
        <f>IF(AND(AE$2&gt;=$G28,AE$2&lt;=$H28),IF(AND($I28="YES",AE$2=$H28),3,IF($F28=1,4,IF(AE$2&lt;=$G28+($H28-$G28+1)*$F28-1,1,2))),"")</f>
        <v/>
      </c>
      <c r="AF28">
        <f>IF(AND(AF$2&gt;=$G28,AF$2&lt;=$H28),IF(AND($I28="YES",AF$2=$H28),3,IF($F28=1,4,IF(AF$2&lt;=$G28+($H28-$G28+1)*$F28-1,1,2))),"")</f>
        <v/>
      </c>
      <c r="AG28">
        <f>IF(AND(AG$2&gt;=$G28,AG$2&lt;=$H28),IF(AND($I28="YES",AG$2=$H28),3,IF($F28=1,4,IF(AG$2&lt;=$G28+($H28-$G28+1)*$F28-1,1,2))),"")</f>
        <v/>
      </c>
      <c r="AH28">
        <f>IF(AND(AH$2&gt;=$G28,AH$2&lt;=$H28),IF(AND($I28="YES",AH$2=$H28),3,IF($F28=1,4,IF(AH$2&lt;=$G28+($H28-$G28+1)*$F28-1,1,2))),"")</f>
        <v/>
      </c>
      <c r="AI28">
        <f>IF(AND(AI$2&gt;=$G28,AI$2&lt;=$H28),IF(AND($I28="YES",AI$2=$H28),3,IF($F28=1,4,IF(AI$2&lt;=$G28+($H28-$G28+1)*$F28-1,1,2))),"")</f>
        <v/>
      </c>
      <c r="AJ28">
        <f>IF(AND(AJ$2&gt;=$G28,AJ$2&lt;=$H28),IF(AND($I28="YES",AJ$2=$H28),3,IF($F28=1,4,IF(AJ$2&lt;=$G28+($H28-$G28+1)*$F28-1,1,2))),"")</f>
        <v/>
      </c>
      <c r="AK28">
        <f>IF(AND(AK$2&gt;=$G28,AK$2&lt;=$H28),IF(AND($I28="YES",AK$2=$H28),3,IF($F28=1,4,IF(AK$2&lt;=$G28+($H28-$G28+1)*$F28-1,1,2))),"")</f>
        <v/>
      </c>
      <c r="AL28">
        <f>IF(AND(AL$2&gt;=$G28,AL$2&lt;=$H28),IF(AND($I28="YES",AL$2=$H28),3,IF($F28=1,4,IF(AL$2&lt;=$G28+($H28-$G28+1)*$F28-1,1,2))),"")</f>
        <v/>
      </c>
      <c r="AM28">
        <f>IF(AND(AM$2&gt;=$G28,AM$2&lt;=$H28),IF(AND($I28="YES",AM$2=$H28),3,IF($F28=1,4,IF(AM$2&lt;=$G28+($H28-$G28+1)*$F28-1,1,2))),"")</f>
        <v/>
      </c>
      <c r="AN28">
        <f>IF(AND(AN$2&gt;=$G28,AN$2&lt;=$H28),IF(AND($I28="YES",AN$2=$H28),3,IF($F28=1,4,IF(AN$2&lt;=$G28+($H28-$G28+1)*$F28-1,1,2))),"")</f>
        <v/>
      </c>
      <c r="AO28">
        <f>IF(AND(AO$2&gt;=$G28,AO$2&lt;=$H28),IF(AND($I28="YES",AO$2=$H28),3,IF($F28=1,4,IF(AO$2&lt;=$G28+($H28-$G28+1)*$F28-1,1,2))),"")</f>
        <v/>
      </c>
      <c r="AP28">
        <f>IF(AND(AP$2&gt;=$G28,AP$2&lt;=$H28),IF(AND($I28="YES",AP$2=$H28),3,IF($F28=1,4,IF(AP$2&lt;=$G28+($H28-$G28+1)*$F28-1,1,2))),"")</f>
        <v/>
      </c>
      <c r="AQ28">
        <f>IF(AND(AQ$2&gt;=$G28,AQ$2&lt;=$H28),IF(AND($I28="YES",AQ$2=$H28),3,IF($F28=1,4,IF(AQ$2&lt;=$G28+($H28-$G28+1)*$F28-1,1,2))),"")</f>
        <v/>
      </c>
    </row>
    <row r="29">
      <c r="A29">
        <f>Tracker!A26</f>
        <v/>
      </c>
      <c r="B29">
        <f>Tracker!B26</f>
        <v/>
      </c>
      <c r="C29">
        <f>Tracker!C26</f>
        <v/>
      </c>
      <c r="D29">
        <f>Tracker!J26</f>
        <v/>
      </c>
      <c r="E29">
        <f>Tracker!K26</f>
        <v/>
      </c>
      <c r="F29" s="12">
        <f>Tracker!L26</f>
        <v/>
      </c>
      <c r="G29" s="13">
        <f>Tracker!E26</f>
        <v/>
      </c>
      <c r="H29" s="13">
        <f>Tracker!F26</f>
        <v/>
      </c>
      <c r="I29">
        <f>Tracker!M26</f>
        <v/>
      </c>
      <c r="J29">
        <f>IF(AND(J$2&gt;=$G29,J$2&lt;=$H29),IF(AND($I29="YES",J$2=$H29),3,IF($F29=1,4,IF(J$2&lt;=$G29+($H29-$G29+1)*$F29-1,1,2))),"")</f>
        <v/>
      </c>
      <c r="K29">
        <f>IF(AND(K$2&gt;=$G29,K$2&lt;=$H29),IF(AND($I29="YES",K$2=$H29),3,IF($F29=1,4,IF(K$2&lt;=$G29+($H29-$G29+1)*$F29-1,1,2))),"")</f>
        <v/>
      </c>
      <c r="L29">
        <f>IF(AND(L$2&gt;=$G29,L$2&lt;=$H29),IF(AND($I29="YES",L$2=$H29),3,IF($F29=1,4,IF(L$2&lt;=$G29+($H29-$G29+1)*$F29-1,1,2))),"")</f>
        <v/>
      </c>
      <c r="M29">
        <f>IF(AND(M$2&gt;=$G29,M$2&lt;=$H29),IF(AND($I29="YES",M$2=$H29),3,IF($F29=1,4,IF(M$2&lt;=$G29+($H29-$G29+1)*$F29-1,1,2))),"")</f>
        <v/>
      </c>
      <c r="N29">
        <f>IF(AND(N$2&gt;=$G29,N$2&lt;=$H29),IF(AND($I29="YES",N$2=$H29),3,IF($F29=1,4,IF(N$2&lt;=$G29+($H29-$G29+1)*$F29-1,1,2))),"")</f>
        <v/>
      </c>
      <c r="O29">
        <f>IF(AND(O$2&gt;=$G29,O$2&lt;=$H29),IF(AND($I29="YES",O$2=$H29),3,IF($F29=1,4,IF(O$2&lt;=$G29+($H29-$G29+1)*$F29-1,1,2))),"")</f>
        <v/>
      </c>
      <c r="P29">
        <f>IF(AND(P$2&gt;=$G29,P$2&lt;=$H29),IF(AND($I29="YES",P$2=$H29),3,IF($F29=1,4,IF(P$2&lt;=$G29+($H29-$G29+1)*$F29-1,1,2))),"")</f>
        <v/>
      </c>
      <c r="Q29">
        <f>IF(AND(Q$2&gt;=$G29,Q$2&lt;=$H29),IF(AND($I29="YES",Q$2=$H29),3,IF($F29=1,4,IF(Q$2&lt;=$G29+($H29-$G29+1)*$F29-1,1,2))),"")</f>
        <v/>
      </c>
      <c r="R29">
        <f>IF(AND(R$2&gt;=$G29,R$2&lt;=$H29),IF(AND($I29="YES",R$2=$H29),3,IF($F29=1,4,IF(R$2&lt;=$G29+($H29-$G29+1)*$F29-1,1,2))),"")</f>
        <v/>
      </c>
      <c r="S29">
        <f>IF(AND(S$2&gt;=$G29,S$2&lt;=$H29),IF(AND($I29="YES",S$2=$H29),3,IF($F29=1,4,IF(S$2&lt;=$G29+($H29-$G29+1)*$F29-1,1,2))),"")</f>
        <v/>
      </c>
      <c r="T29">
        <f>IF(AND(T$2&gt;=$G29,T$2&lt;=$H29),IF(AND($I29="YES",T$2=$H29),3,IF($F29=1,4,IF(T$2&lt;=$G29+($H29-$G29+1)*$F29-1,1,2))),"")</f>
        <v/>
      </c>
      <c r="U29">
        <f>IF(AND(U$2&gt;=$G29,U$2&lt;=$H29),IF(AND($I29="YES",U$2=$H29),3,IF($F29=1,4,IF(U$2&lt;=$G29+($H29-$G29+1)*$F29-1,1,2))),"")</f>
        <v/>
      </c>
      <c r="V29">
        <f>IF(AND(V$2&gt;=$G29,V$2&lt;=$H29),IF(AND($I29="YES",V$2=$H29),3,IF($F29=1,4,IF(V$2&lt;=$G29+($H29-$G29+1)*$F29-1,1,2))),"")</f>
        <v/>
      </c>
      <c r="W29">
        <f>IF(AND(W$2&gt;=$G29,W$2&lt;=$H29),IF(AND($I29="YES",W$2=$H29),3,IF($F29=1,4,IF(W$2&lt;=$G29+($H29-$G29+1)*$F29-1,1,2))),"")</f>
        <v/>
      </c>
      <c r="X29">
        <f>IF(AND(X$2&gt;=$G29,X$2&lt;=$H29),IF(AND($I29="YES",X$2=$H29),3,IF($F29=1,4,IF(X$2&lt;=$G29+($H29-$G29+1)*$F29-1,1,2))),"")</f>
        <v/>
      </c>
      <c r="Y29">
        <f>IF(AND(Y$2&gt;=$G29,Y$2&lt;=$H29),IF(AND($I29="YES",Y$2=$H29),3,IF($F29=1,4,IF(Y$2&lt;=$G29+($H29-$G29+1)*$F29-1,1,2))),"")</f>
        <v/>
      </c>
      <c r="Z29">
        <f>IF(AND(Z$2&gt;=$G29,Z$2&lt;=$H29),IF(AND($I29="YES",Z$2=$H29),3,IF($F29=1,4,IF(Z$2&lt;=$G29+($H29-$G29+1)*$F29-1,1,2))),"")</f>
        <v/>
      </c>
      <c r="AA29">
        <f>IF(AND(AA$2&gt;=$G29,AA$2&lt;=$H29),IF(AND($I29="YES",AA$2=$H29),3,IF($F29=1,4,IF(AA$2&lt;=$G29+($H29-$G29+1)*$F29-1,1,2))),"")</f>
        <v/>
      </c>
      <c r="AB29">
        <f>IF(AND(AB$2&gt;=$G29,AB$2&lt;=$H29),IF(AND($I29="YES",AB$2=$H29),3,IF($F29=1,4,IF(AB$2&lt;=$G29+($H29-$G29+1)*$F29-1,1,2))),"")</f>
        <v/>
      </c>
      <c r="AC29">
        <f>IF(AND(AC$2&gt;=$G29,AC$2&lt;=$H29),IF(AND($I29="YES",AC$2=$H29),3,IF($F29=1,4,IF(AC$2&lt;=$G29+($H29-$G29+1)*$F29-1,1,2))),"")</f>
        <v/>
      </c>
      <c r="AD29">
        <f>IF(AND(AD$2&gt;=$G29,AD$2&lt;=$H29),IF(AND($I29="YES",AD$2=$H29),3,IF($F29=1,4,IF(AD$2&lt;=$G29+($H29-$G29+1)*$F29-1,1,2))),"")</f>
        <v/>
      </c>
      <c r="AE29">
        <f>IF(AND(AE$2&gt;=$G29,AE$2&lt;=$H29),IF(AND($I29="YES",AE$2=$H29),3,IF($F29=1,4,IF(AE$2&lt;=$G29+($H29-$G29+1)*$F29-1,1,2))),"")</f>
        <v/>
      </c>
      <c r="AF29">
        <f>IF(AND(AF$2&gt;=$G29,AF$2&lt;=$H29),IF(AND($I29="YES",AF$2=$H29),3,IF($F29=1,4,IF(AF$2&lt;=$G29+($H29-$G29+1)*$F29-1,1,2))),"")</f>
        <v/>
      </c>
      <c r="AG29">
        <f>IF(AND(AG$2&gt;=$G29,AG$2&lt;=$H29),IF(AND($I29="YES",AG$2=$H29),3,IF($F29=1,4,IF(AG$2&lt;=$G29+($H29-$G29+1)*$F29-1,1,2))),"")</f>
        <v/>
      </c>
      <c r="AH29">
        <f>IF(AND(AH$2&gt;=$G29,AH$2&lt;=$H29),IF(AND($I29="YES",AH$2=$H29),3,IF($F29=1,4,IF(AH$2&lt;=$G29+($H29-$G29+1)*$F29-1,1,2))),"")</f>
        <v/>
      </c>
      <c r="AI29">
        <f>IF(AND(AI$2&gt;=$G29,AI$2&lt;=$H29),IF(AND($I29="YES",AI$2=$H29),3,IF($F29=1,4,IF(AI$2&lt;=$G29+($H29-$G29+1)*$F29-1,1,2))),"")</f>
        <v/>
      </c>
      <c r="AJ29">
        <f>IF(AND(AJ$2&gt;=$G29,AJ$2&lt;=$H29),IF(AND($I29="YES",AJ$2=$H29),3,IF($F29=1,4,IF(AJ$2&lt;=$G29+($H29-$G29+1)*$F29-1,1,2))),"")</f>
        <v/>
      </c>
      <c r="AK29">
        <f>IF(AND(AK$2&gt;=$G29,AK$2&lt;=$H29),IF(AND($I29="YES",AK$2=$H29),3,IF($F29=1,4,IF(AK$2&lt;=$G29+($H29-$G29+1)*$F29-1,1,2))),"")</f>
        <v/>
      </c>
      <c r="AL29">
        <f>IF(AND(AL$2&gt;=$G29,AL$2&lt;=$H29),IF(AND($I29="YES",AL$2=$H29),3,IF($F29=1,4,IF(AL$2&lt;=$G29+($H29-$G29+1)*$F29-1,1,2))),"")</f>
        <v/>
      </c>
      <c r="AM29">
        <f>IF(AND(AM$2&gt;=$G29,AM$2&lt;=$H29),IF(AND($I29="YES",AM$2=$H29),3,IF($F29=1,4,IF(AM$2&lt;=$G29+($H29-$G29+1)*$F29-1,1,2))),"")</f>
        <v/>
      </c>
      <c r="AN29">
        <f>IF(AND(AN$2&gt;=$G29,AN$2&lt;=$H29),IF(AND($I29="YES",AN$2=$H29),3,IF($F29=1,4,IF(AN$2&lt;=$G29+($H29-$G29+1)*$F29-1,1,2))),"")</f>
        <v/>
      </c>
      <c r="AO29">
        <f>IF(AND(AO$2&gt;=$G29,AO$2&lt;=$H29),IF(AND($I29="YES",AO$2=$H29),3,IF($F29=1,4,IF(AO$2&lt;=$G29+($H29-$G29+1)*$F29-1,1,2))),"")</f>
        <v/>
      </c>
      <c r="AP29">
        <f>IF(AND(AP$2&gt;=$G29,AP$2&lt;=$H29),IF(AND($I29="YES",AP$2=$H29),3,IF($F29=1,4,IF(AP$2&lt;=$G29+($H29-$G29+1)*$F29-1,1,2))),"")</f>
        <v/>
      </c>
      <c r="AQ29">
        <f>IF(AND(AQ$2&gt;=$G29,AQ$2&lt;=$H29),IF(AND($I29="YES",AQ$2=$H29),3,IF($F29=1,4,IF(AQ$2&lt;=$G29+($H29-$G29+1)*$F29-1,1,2))),"")</f>
        <v/>
      </c>
    </row>
    <row r="30">
      <c r="A30">
        <f>Tracker!A27</f>
        <v/>
      </c>
      <c r="B30">
        <f>Tracker!B27</f>
        <v/>
      </c>
      <c r="C30">
        <f>Tracker!C27</f>
        <v/>
      </c>
      <c r="D30">
        <f>Tracker!J27</f>
        <v/>
      </c>
      <c r="E30">
        <f>Tracker!K27</f>
        <v/>
      </c>
      <c r="F30" s="12">
        <f>Tracker!L27</f>
        <v/>
      </c>
      <c r="G30" s="13">
        <f>Tracker!E27</f>
        <v/>
      </c>
      <c r="H30" s="13">
        <f>Tracker!F27</f>
        <v/>
      </c>
      <c r="I30">
        <f>Tracker!M27</f>
        <v/>
      </c>
      <c r="J30">
        <f>IF(AND(J$2&gt;=$G30,J$2&lt;=$H30),IF(AND($I30="YES",J$2=$H30),3,IF($F30=1,4,IF(J$2&lt;=$G30+($H30-$G30+1)*$F30-1,1,2))),"")</f>
        <v/>
      </c>
      <c r="K30">
        <f>IF(AND(K$2&gt;=$G30,K$2&lt;=$H30),IF(AND($I30="YES",K$2=$H30),3,IF($F30=1,4,IF(K$2&lt;=$G30+($H30-$G30+1)*$F30-1,1,2))),"")</f>
        <v/>
      </c>
      <c r="L30">
        <f>IF(AND(L$2&gt;=$G30,L$2&lt;=$H30),IF(AND($I30="YES",L$2=$H30),3,IF($F30=1,4,IF(L$2&lt;=$G30+($H30-$G30+1)*$F30-1,1,2))),"")</f>
        <v/>
      </c>
      <c r="M30">
        <f>IF(AND(M$2&gt;=$G30,M$2&lt;=$H30),IF(AND($I30="YES",M$2=$H30),3,IF($F30=1,4,IF(M$2&lt;=$G30+($H30-$G30+1)*$F30-1,1,2))),"")</f>
        <v/>
      </c>
      <c r="N30">
        <f>IF(AND(N$2&gt;=$G30,N$2&lt;=$H30),IF(AND($I30="YES",N$2=$H30),3,IF($F30=1,4,IF(N$2&lt;=$G30+($H30-$G30+1)*$F30-1,1,2))),"")</f>
        <v/>
      </c>
      <c r="O30">
        <f>IF(AND(O$2&gt;=$G30,O$2&lt;=$H30),IF(AND($I30="YES",O$2=$H30),3,IF($F30=1,4,IF(O$2&lt;=$G30+($H30-$G30+1)*$F30-1,1,2))),"")</f>
        <v/>
      </c>
      <c r="P30">
        <f>IF(AND(P$2&gt;=$G30,P$2&lt;=$H30),IF(AND($I30="YES",P$2=$H30),3,IF($F30=1,4,IF(P$2&lt;=$G30+($H30-$G30+1)*$F30-1,1,2))),"")</f>
        <v/>
      </c>
      <c r="Q30">
        <f>IF(AND(Q$2&gt;=$G30,Q$2&lt;=$H30),IF(AND($I30="YES",Q$2=$H30),3,IF($F30=1,4,IF(Q$2&lt;=$G30+($H30-$G30+1)*$F30-1,1,2))),"")</f>
        <v/>
      </c>
      <c r="R30">
        <f>IF(AND(R$2&gt;=$G30,R$2&lt;=$H30),IF(AND($I30="YES",R$2=$H30),3,IF($F30=1,4,IF(R$2&lt;=$G30+($H30-$G30+1)*$F30-1,1,2))),"")</f>
        <v/>
      </c>
      <c r="S30">
        <f>IF(AND(S$2&gt;=$G30,S$2&lt;=$H30),IF(AND($I30="YES",S$2=$H30),3,IF($F30=1,4,IF(S$2&lt;=$G30+($H30-$G30+1)*$F30-1,1,2))),"")</f>
        <v/>
      </c>
      <c r="T30">
        <f>IF(AND(T$2&gt;=$G30,T$2&lt;=$H30),IF(AND($I30="YES",T$2=$H30),3,IF($F30=1,4,IF(T$2&lt;=$G30+($H30-$G30+1)*$F30-1,1,2))),"")</f>
        <v/>
      </c>
      <c r="U30">
        <f>IF(AND(U$2&gt;=$G30,U$2&lt;=$H30),IF(AND($I30="YES",U$2=$H30),3,IF($F30=1,4,IF(U$2&lt;=$G30+($H30-$G30+1)*$F30-1,1,2))),"")</f>
        <v/>
      </c>
      <c r="V30">
        <f>IF(AND(V$2&gt;=$G30,V$2&lt;=$H30),IF(AND($I30="YES",V$2=$H30),3,IF($F30=1,4,IF(V$2&lt;=$G30+($H30-$G30+1)*$F30-1,1,2))),"")</f>
        <v/>
      </c>
      <c r="W30">
        <f>IF(AND(W$2&gt;=$G30,W$2&lt;=$H30),IF(AND($I30="YES",W$2=$H30),3,IF($F30=1,4,IF(W$2&lt;=$G30+($H30-$G30+1)*$F30-1,1,2))),"")</f>
        <v/>
      </c>
      <c r="X30">
        <f>IF(AND(X$2&gt;=$G30,X$2&lt;=$H30),IF(AND($I30="YES",X$2=$H30),3,IF($F30=1,4,IF(X$2&lt;=$G30+($H30-$G30+1)*$F30-1,1,2))),"")</f>
        <v/>
      </c>
      <c r="Y30">
        <f>IF(AND(Y$2&gt;=$G30,Y$2&lt;=$H30),IF(AND($I30="YES",Y$2=$H30),3,IF($F30=1,4,IF(Y$2&lt;=$G30+($H30-$G30+1)*$F30-1,1,2))),"")</f>
        <v/>
      </c>
      <c r="Z30">
        <f>IF(AND(Z$2&gt;=$G30,Z$2&lt;=$H30),IF(AND($I30="YES",Z$2=$H30),3,IF($F30=1,4,IF(Z$2&lt;=$G30+($H30-$G30+1)*$F30-1,1,2))),"")</f>
        <v/>
      </c>
      <c r="AA30">
        <f>IF(AND(AA$2&gt;=$G30,AA$2&lt;=$H30),IF(AND($I30="YES",AA$2=$H30),3,IF($F30=1,4,IF(AA$2&lt;=$G30+($H30-$G30+1)*$F30-1,1,2))),"")</f>
        <v/>
      </c>
      <c r="AB30">
        <f>IF(AND(AB$2&gt;=$G30,AB$2&lt;=$H30),IF(AND($I30="YES",AB$2=$H30),3,IF($F30=1,4,IF(AB$2&lt;=$G30+($H30-$G30+1)*$F30-1,1,2))),"")</f>
        <v/>
      </c>
      <c r="AC30">
        <f>IF(AND(AC$2&gt;=$G30,AC$2&lt;=$H30),IF(AND($I30="YES",AC$2=$H30),3,IF($F30=1,4,IF(AC$2&lt;=$G30+($H30-$G30+1)*$F30-1,1,2))),"")</f>
        <v/>
      </c>
      <c r="AD30">
        <f>IF(AND(AD$2&gt;=$G30,AD$2&lt;=$H30),IF(AND($I30="YES",AD$2=$H30),3,IF($F30=1,4,IF(AD$2&lt;=$G30+($H30-$G30+1)*$F30-1,1,2))),"")</f>
        <v/>
      </c>
      <c r="AE30">
        <f>IF(AND(AE$2&gt;=$G30,AE$2&lt;=$H30),IF(AND($I30="YES",AE$2=$H30),3,IF($F30=1,4,IF(AE$2&lt;=$G30+($H30-$G30+1)*$F30-1,1,2))),"")</f>
        <v/>
      </c>
      <c r="AF30">
        <f>IF(AND(AF$2&gt;=$G30,AF$2&lt;=$H30),IF(AND($I30="YES",AF$2=$H30),3,IF($F30=1,4,IF(AF$2&lt;=$G30+($H30-$G30+1)*$F30-1,1,2))),"")</f>
        <v/>
      </c>
      <c r="AG30">
        <f>IF(AND(AG$2&gt;=$G30,AG$2&lt;=$H30),IF(AND($I30="YES",AG$2=$H30),3,IF($F30=1,4,IF(AG$2&lt;=$G30+($H30-$G30+1)*$F30-1,1,2))),"")</f>
        <v/>
      </c>
      <c r="AH30">
        <f>IF(AND(AH$2&gt;=$G30,AH$2&lt;=$H30),IF(AND($I30="YES",AH$2=$H30),3,IF($F30=1,4,IF(AH$2&lt;=$G30+($H30-$G30+1)*$F30-1,1,2))),"")</f>
        <v/>
      </c>
      <c r="AI30">
        <f>IF(AND(AI$2&gt;=$G30,AI$2&lt;=$H30),IF(AND($I30="YES",AI$2=$H30),3,IF($F30=1,4,IF(AI$2&lt;=$G30+($H30-$G30+1)*$F30-1,1,2))),"")</f>
        <v/>
      </c>
      <c r="AJ30">
        <f>IF(AND(AJ$2&gt;=$G30,AJ$2&lt;=$H30),IF(AND($I30="YES",AJ$2=$H30),3,IF($F30=1,4,IF(AJ$2&lt;=$G30+($H30-$G30+1)*$F30-1,1,2))),"")</f>
        <v/>
      </c>
      <c r="AK30">
        <f>IF(AND(AK$2&gt;=$G30,AK$2&lt;=$H30),IF(AND($I30="YES",AK$2=$H30),3,IF($F30=1,4,IF(AK$2&lt;=$G30+($H30-$G30+1)*$F30-1,1,2))),"")</f>
        <v/>
      </c>
      <c r="AL30">
        <f>IF(AND(AL$2&gt;=$G30,AL$2&lt;=$H30),IF(AND($I30="YES",AL$2=$H30),3,IF($F30=1,4,IF(AL$2&lt;=$G30+($H30-$G30+1)*$F30-1,1,2))),"")</f>
        <v/>
      </c>
      <c r="AM30">
        <f>IF(AND(AM$2&gt;=$G30,AM$2&lt;=$H30),IF(AND($I30="YES",AM$2=$H30),3,IF($F30=1,4,IF(AM$2&lt;=$G30+($H30-$G30+1)*$F30-1,1,2))),"")</f>
        <v/>
      </c>
      <c r="AN30">
        <f>IF(AND(AN$2&gt;=$G30,AN$2&lt;=$H30),IF(AND($I30="YES",AN$2=$H30),3,IF($F30=1,4,IF(AN$2&lt;=$G30+($H30-$G30+1)*$F30-1,1,2))),"")</f>
        <v/>
      </c>
      <c r="AO30">
        <f>IF(AND(AO$2&gt;=$G30,AO$2&lt;=$H30),IF(AND($I30="YES",AO$2=$H30),3,IF($F30=1,4,IF(AO$2&lt;=$G30+($H30-$G30+1)*$F30-1,1,2))),"")</f>
        <v/>
      </c>
      <c r="AP30">
        <f>IF(AND(AP$2&gt;=$G30,AP$2&lt;=$H30),IF(AND($I30="YES",AP$2=$H30),3,IF($F30=1,4,IF(AP$2&lt;=$G30+($H30-$G30+1)*$F30-1,1,2))),"")</f>
        <v/>
      </c>
      <c r="AQ30">
        <f>IF(AND(AQ$2&gt;=$G30,AQ$2&lt;=$H30),IF(AND($I30="YES",AQ$2=$H30),3,IF($F30=1,4,IF(AQ$2&lt;=$G30+($H30-$G30+1)*$F30-1,1,2))),"")</f>
        <v/>
      </c>
    </row>
    <row r="31">
      <c r="A31">
        <f>Tracker!A28</f>
        <v/>
      </c>
      <c r="B31">
        <f>Tracker!B28</f>
        <v/>
      </c>
      <c r="C31">
        <f>Tracker!C28</f>
        <v/>
      </c>
      <c r="D31">
        <f>Tracker!J28</f>
        <v/>
      </c>
      <c r="E31">
        <f>Tracker!K28</f>
        <v/>
      </c>
      <c r="F31" s="12">
        <f>Tracker!L28</f>
        <v/>
      </c>
      <c r="G31" s="13">
        <f>Tracker!E28</f>
        <v/>
      </c>
      <c r="H31" s="13">
        <f>Tracker!F28</f>
        <v/>
      </c>
      <c r="I31">
        <f>Tracker!M28</f>
        <v/>
      </c>
      <c r="J31">
        <f>IF(AND(J$2&gt;=$G31,J$2&lt;=$H31),IF(AND($I31="YES",J$2=$H31),3,IF($F31=1,4,IF(J$2&lt;=$G31+($H31-$G31+1)*$F31-1,1,2))),"")</f>
        <v/>
      </c>
      <c r="K31">
        <f>IF(AND(K$2&gt;=$G31,K$2&lt;=$H31),IF(AND($I31="YES",K$2=$H31),3,IF($F31=1,4,IF(K$2&lt;=$G31+($H31-$G31+1)*$F31-1,1,2))),"")</f>
        <v/>
      </c>
      <c r="L31">
        <f>IF(AND(L$2&gt;=$G31,L$2&lt;=$H31),IF(AND($I31="YES",L$2=$H31),3,IF($F31=1,4,IF(L$2&lt;=$G31+($H31-$G31+1)*$F31-1,1,2))),"")</f>
        <v/>
      </c>
      <c r="M31">
        <f>IF(AND(M$2&gt;=$G31,M$2&lt;=$H31),IF(AND($I31="YES",M$2=$H31),3,IF($F31=1,4,IF(M$2&lt;=$G31+($H31-$G31+1)*$F31-1,1,2))),"")</f>
        <v/>
      </c>
      <c r="N31">
        <f>IF(AND(N$2&gt;=$G31,N$2&lt;=$H31),IF(AND($I31="YES",N$2=$H31),3,IF($F31=1,4,IF(N$2&lt;=$G31+($H31-$G31+1)*$F31-1,1,2))),"")</f>
        <v/>
      </c>
      <c r="O31">
        <f>IF(AND(O$2&gt;=$G31,O$2&lt;=$H31),IF(AND($I31="YES",O$2=$H31),3,IF($F31=1,4,IF(O$2&lt;=$G31+($H31-$G31+1)*$F31-1,1,2))),"")</f>
        <v/>
      </c>
      <c r="P31">
        <f>IF(AND(P$2&gt;=$G31,P$2&lt;=$H31),IF(AND($I31="YES",P$2=$H31),3,IF($F31=1,4,IF(P$2&lt;=$G31+($H31-$G31+1)*$F31-1,1,2))),"")</f>
        <v/>
      </c>
      <c r="Q31">
        <f>IF(AND(Q$2&gt;=$G31,Q$2&lt;=$H31),IF(AND($I31="YES",Q$2=$H31),3,IF($F31=1,4,IF(Q$2&lt;=$G31+($H31-$G31+1)*$F31-1,1,2))),"")</f>
        <v/>
      </c>
      <c r="R31">
        <f>IF(AND(R$2&gt;=$G31,R$2&lt;=$H31),IF(AND($I31="YES",R$2=$H31),3,IF($F31=1,4,IF(R$2&lt;=$G31+($H31-$G31+1)*$F31-1,1,2))),"")</f>
        <v/>
      </c>
      <c r="S31">
        <f>IF(AND(S$2&gt;=$G31,S$2&lt;=$H31),IF(AND($I31="YES",S$2=$H31),3,IF($F31=1,4,IF(S$2&lt;=$G31+($H31-$G31+1)*$F31-1,1,2))),"")</f>
        <v/>
      </c>
      <c r="T31">
        <f>IF(AND(T$2&gt;=$G31,T$2&lt;=$H31),IF(AND($I31="YES",T$2=$H31),3,IF($F31=1,4,IF(T$2&lt;=$G31+($H31-$G31+1)*$F31-1,1,2))),"")</f>
        <v/>
      </c>
      <c r="U31">
        <f>IF(AND(U$2&gt;=$G31,U$2&lt;=$H31),IF(AND($I31="YES",U$2=$H31),3,IF($F31=1,4,IF(U$2&lt;=$G31+($H31-$G31+1)*$F31-1,1,2))),"")</f>
        <v/>
      </c>
      <c r="V31">
        <f>IF(AND(V$2&gt;=$G31,V$2&lt;=$H31),IF(AND($I31="YES",V$2=$H31),3,IF($F31=1,4,IF(V$2&lt;=$G31+($H31-$G31+1)*$F31-1,1,2))),"")</f>
        <v/>
      </c>
      <c r="W31">
        <f>IF(AND(W$2&gt;=$G31,W$2&lt;=$H31),IF(AND($I31="YES",W$2=$H31),3,IF($F31=1,4,IF(W$2&lt;=$G31+($H31-$G31+1)*$F31-1,1,2))),"")</f>
        <v/>
      </c>
      <c r="X31">
        <f>IF(AND(X$2&gt;=$G31,X$2&lt;=$H31),IF(AND($I31="YES",X$2=$H31),3,IF($F31=1,4,IF(X$2&lt;=$G31+($H31-$G31+1)*$F31-1,1,2))),"")</f>
        <v/>
      </c>
      <c r="Y31">
        <f>IF(AND(Y$2&gt;=$G31,Y$2&lt;=$H31),IF(AND($I31="YES",Y$2=$H31),3,IF($F31=1,4,IF(Y$2&lt;=$G31+($H31-$G31+1)*$F31-1,1,2))),"")</f>
        <v/>
      </c>
      <c r="Z31">
        <f>IF(AND(Z$2&gt;=$G31,Z$2&lt;=$H31),IF(AND($I31="YES",Z$2=$H31),3,IF($F31=1,4,IF(Z$2&lt;=$G31+($H31-$G31+1)*$F31-1,1,2))),"")</f>
        <v/>
      </c>
      <c r="AA31">
        <f>IF(AND(AA$2&gt;=$G31,AA$2&lt;=$H31),IF(AND($I31="YES",AA$2=$H31),3,IF($F31=1,4,IF(AA$2&lt;=$G31+($H31-$G31+1)*$F31-1,1,2))),"")</f>
        <v/>
      </c>
      <c r="AB31">
        <f>IF(AND(AB$2&gt;=$G31,AB$2&lt;=$H31),IF(AND($I31="YES",AB$2=$H31),3,IF($F31=1,4,IF(AB$2&lt;=$G31+($H31-$G31+1)*$F31-1,1,2))),"")</f>
        <v/>
      </c>
      <c r="AC31">
        <f>IF(AND(AC$2&gt;=$G31,AC$2&lt;=$H31),IF(AND($I31="YES",AC$2=$H31),3,IF($F31=1,4,IF(AC$2&lt;=$G31+($H31-$G31+1)*$F31-1,1,2))),"")</f>
        <v/>
      </c>
      <c r="AD31">
        <f>IF(AND(AD$2&gt;=$G31,AD$2&lt;=$H31),IF(AND($I31="YES",AD$2=$H31),3,IF($F31=1,4,IF(AD$2&lt;=$G31+($H31-$G31+1)*$F31-1,1,2))),"")</f>
        <v/>
      </c>
      <c r="AE31">
        <f>IF(AND(AE$2&gt;=$G31,AE$2&lt;=$H31),IF(AND($I31="YES",AE$2=$H31),3,IF($F31=1,4,IF(AE$2&lt;=$G31+($H31-$G31+1)*$F31-1,1,2))),"")</f>
        <v/>
      </c>
      <c r="AF31">
        <f>IF(AND(AF$2&gt;=$G31,AF$2&lt;=$H31),IF(AND($I31="YES",AF$2=$H31),3,IF($F31=1,4,IF(AF$2&lt;=$G31+($H31-$G31+1)*$F31-1,1,2))),"")</f>
        <v/>
      </c>
      <c r="AG31">
        <f>IF(AND(AG$2&gt;=$G31,AG$2&lt;=$H31),IF(AND($I31="YES",AG$2=$H31),3,IF($F31=1,4,IF(AG$2&lt;=$G31+($H31-$G31+1)*$F31-1,1,2))),"")</f>
        <v/>
      </c>
      <c r="AH31">
        <f>IF(AND(AH$2&gt;=$G31,AH$2&lt;=$H31),IF(AND($I31="YES",AH$2=$H31),3,IF($F31=1,4,IF(AH$2&lt;=$G31+($H31-$G31+1)*$F31-1,1,2))),"")</f>
        <v/>
      </c>
      <c r="AI31">
        <f>IF(AND(AI$2&gt;=$G31,AI$2&lt;=$H31),IF(AND($I31="YES",AI$2=$H31),3,IF($F31=1,4,IF(AI$2&lt;=$G31+($H31-$G31+1)*$F31-1,1,2))),"")</f>
        <v/>
      </c>
      <c r="AJ31">
        <f>IF(AND(AJ$2&gt;=$G31,AJ$2&lt;=$H31),IF(AND($I31="YES",AJ$2=$H31),3,IF($F31=1,4,IF(AJ$2&lt;=$G31+($H31-$G31+1)*$F31-1,1,2))),"")</f>
        <v/>
      </c>
      <c r="AK31">
        <f>IF(AND(AK$2&gt;=$G31,AK$2&lt;=$H31),IF(AND($I31="YES",AK$2=$H31),3,IF($F31=1,4,IF(AK$2&lt;=$G31+($H31-$G31+1)*$F31-1,1,2))),"")</f>
        <v/>
      </c>
      <c r="AL31">
        <f>IF(AND(AL$2&gt;=$G31,AL$2&lt;=$H31),IF(AND($I31="YES",AL$2=$H31),3,IF($F31=1,4,IF(AL$2&lt;=$G31+($H31-$G31+1)*$F31-1,1,2))),"")</f>
        <v/>
      </c>
      <c r="AM31">
        <f>IF(AND(AM$2&gt;=$G31,AM$2&lt;=$H31),IF(AND($I31="YES",AM$2=$H31),3,IF($F31=1,4,IF(AM$2&lt;=$G31+($H31-$G31+1)*$F31-1,1,2))),"")</f>
        <v/>
      </c>
      <c r="AN31">
        <f>IF(AND(AN$2&gt;=$G31,AN$2&lt;=$H31),IF(AND($I31="YES",AN$2=$H31),3,IF($F31=1,4,IF(AN$2&lt;=$G31+($H31-$G31+1)*$F31-1,1,2))),"")</f>
        <v/>
      </c>
      <c r="AO31">
        <f>IF(AND(AO$2&gt;=$G31,AO$2&lt;=$H31),IF(AND($I31="YES",AO$2=$H31),3,IF($F31=1,4,IF(AO$2&lt;=$G31+($H31-$G31+1)*$F31-1,1,2))),"")</f>
        <v/>
      </c>
      <c r="AP31">
        <f>IF(AND(AP$2&gt;=$G31,AP$2&lt;=$H31),IF(AND($I31="YES",AP$2=$H31),3,IF($F31=1,4,IF(AP$2&lt;=$G31+($H31-$G31+1)*$F31-1,1,2))),"")</f>
        <v/>
      </c>
      <c r="AQ31">
        <f>IF(AND(AQ$2&gt;=$G31,AQ$2&lt;=$H31),IF(AND($I31="YES",AQ$2=$H31),3,IF($F31=1,4,IF(AQ$2&lt;=$G31+($H31-$G31+1)*$F31-1,1,2))),"")</f>
        <v/>
      </c>
    </row>
    <row r="32">
      <c r="A32">
        <f>Tracker!A29</f>
        <v/>
      </c>
      <c r="B32">
        <f>Tracker!B29</f>
        <v/>
      </c>
      <c r="C32">
        <f>Tracker!C29</f>
        <v/>
      </c>
      <c r="D32">
        <f>Tracker!J29</f>
        <v/>
      </c>
      <c r="E32">
        <f>Tracker!K29</f>
        <v/>
      </c>
      <c r="F32" s="12">
        <f>Tracker!L29</f>
        <v/>
      </c>
      <c r="G32" s="13">
        <f>Tracker!E29</f>
        <v/>
      </c>
      <c r="H32" s="13">
        <f>Tracker!F29</f>
        <v/>
      </c>
      <c r="I32">
        <f>Tracker!M29</f>
        <v/>
      </c>
      <c r="J32">
        <f>IF(AND(J$2&gt;=$G32,J$2&lt;=$H32),IF(AND($I32="YES",J$2=$H32),3,IF($F32=1,4,IF(J$2&lt;=$G32+($H32-$G32+1)*$F32-1,1,2))),"")</f>
        <v/>
      </c>
      <c r="K32">
        <f>IF(AND(K$2&gt;=$G32,K$2&lt;=$H32),IF(AND($I32="YES",K$2=$H32),3,IF($F32=1,4,IF(K$2&lt;=$G32+($H32-$G32+1)*$F32-1,1,2))),"")</f>
        <v/>
      </c>
      <c r="L32">
        <f>IF(AND(L$2&gt;=$G32,L$2&lt;=$H32),IF(AND($I32="YES",L$2=$H32),3,IF($F32=1,4,IF(L$2&lt;=$G32+($H32-$G32+1)*$F32-1,1,2))),"")</f>
        <v/>
      </c>
      <c r="M32">
        <f>IF(AND(M$2&gt;=$G32,M$2&lt;=$H32),IF(AND($I32="YES",M$2=$H32),3,IF($F32=1,4,IF(M$2&lt;=$G32+($H32-$G32+1)*$F32-1,1,2))),"")</f>
        <v/>
      </c>
      <c r="N32">
        <f>IF(AND(N$2&gt;=$G32,N$2&lt;=$H32),IF(AND($I32="YES",N$2=$H32),3,IF($F32=1,4,IF(N$2&lt;=$G32+($H32-$G32+1)*$F32-1,1,2))),"")</f>
        <v/>
      </c>
      <c r="O32">
        <f>IF(AND(O$2&gt;=$G32,O$2&lt;=$H32),IF(AND($I32="YES",O$2=$H32),3,IF($F32=1,4,IF(O$2&lt;=$G32+($H32-$G32+1)*$F32-1,1,2))),"")</f>
        <v/>
      </c>
      <c r="P32">
        <f>IF(AND(P$2&gt;=$G32,P$2&lt;=$H32),IF(AND($I32="YES",P$2=$H32),3,IF($F32=1,4,IF(P$2&lt;=$G32+($H32-$G32+1)*$F32-1,1,2))),"")</f>
        <v/>
      </c>
      <c r="Q32">
        <f>IF(AND(Q$2&gt;=$G32,Q$2&lt;=$H32),IF(AND($I32="YES",Q$2=$H32),3,IF($F32=1,4,IF(Q$2&lt;=$G32+($H32-$G32+1)*$F32-1,1,2))),"")</f>
        <v/>
      </c>
      <c r="R32">
        <f>IF(AND(R$2&gt;=$G32,R$2&lt;=$H32),IF(AND($I32="YES",R$2=$H32),3,IF($F32=1,4,IF(R$2&lt;=$G32+($H32-$G32+1)*$F32-1,1,2))),"")</f>
        <v/>
      </c>
      <c r="S32">
        <f>IF(AND(S$2&gt;=$G32,S$2&lt;=$H32),IF(AND($I32="YES",S$2=$H32),3,IF($F32=1,4,IF(S$2&lt;=$G32+($H32-$G32+1)*$F32-1,1,2))),"")</f>
        <v/>
      </c>
      <c r="T32">
        <f>IF(AND(T$2&gt;=$G32,T$2&lt;=$H32),IF(AND($I32="YES",T$2=$H32),3,IF($F32=1,4,IF(T$2&lt;=$G32+($H32-$G32+1)*$F32-1,1,2))),"")</f>
        <v/>
      </c>
      <c r="U32">
        <f>IF(AND(U$2&gt;=$G32,U$2&lt;=$H32),IF(AND($I32="YES",U$2=$H32),3,IF($F32=1,4,IF(U$2&lt;=$G32+($H32-$G32+1)*$F32-1,1,2))),"")</f>
        <v/>
      </c>
      <c r="V32">
        <f>IF(AND(V$2&gt;=$G32,V$2&lt;=$H32),IF(AND($I32="YES",V$2=$H32),3,IF($F32=1,4,IF(V$2&lt;=$G32+($H32-$G32+1)*$F32-1,1,2))),"")</f>
        <v/>
      </c>
      <c r="W32">
        <f>IF(AND(W$2&gt;=$G32,W$2&lt;=$H32),IF(AND($I32="YES",W$2=$H32),3,IF($F32=1,4,IF(W$2&lt;=$G32+($H32-$G32+1)*$F32-1,1,2))),"")</f>
        <v/>
      </c>
      <c r="X32">
        <f>IF(AND(X$2&gt;=$G32,X$2&lt;=$H32),IF(AND($I32="YES",X$2=$H32),3,IF($F32=1,4,IF(X$2&lt;=$G32+($H32-$G32+1)*$F32-1,1,2))),"")</f>
        <v/>
      </c>
      <c r="Y32">
        <f>IF(AND(Y$2&gt;=$G32,Y$2&lt;=$H32),IF(AND($I32="YES",Y$2=$H32),3,IF($F32=1,4,IF(Y$2&lt;=$G32+($H32-$G32+1)*$F32-1,1,2))),"")</f>
        <v/>
      </c>
      <c r="Z32">
        <f>IF(AND(Z$2&gt;=$G32,Z$2&lt;=$H32),IF(AND($I32="YES",Z$2=$H32),3,IF($F32=1,4,IF(Z$2&lt;=$G32+($H32-$G32+1)*$F32-1,1,2))),"")</f>
        <v/>
      </c>
      <c r="AA32">
        <f>IF(AND(AA$2&gt;=$G32,AA$2&lt;=$H32),IF(AND($I32="YES",AA$2=$H32),3,IF($F32=1,4,IF(AA$2&lt;=$G32+($H32-$G32+1)*$F32-1,1,2))),"")</f>
        <v/>
      </c>
      <c r="AB32">
        <f>IF(AND(AB$2&gt;=$G32,AB$2&lt;=$H32),IF(AND($I32="YES",AB$2=$H32),3,IF($F32=1,4,IF(AB$2&lt;=$G32+($H32-$G32+1)*$F32-1,1,2))),"")</f>
        <v/>
      </c>
      <c r="AC32">
        <f>IF(AND(AC$2&gt;=$G32,AC$2&lt;=$H32),IF(AND($I32="YES",AC$2=$H32),3,IF($F32=1,4,IF(AC$2&lt;=$G32+($H32-$G32+1)*$F32-1,1,2))),"")</f>
        <v/>
      </c>
      <c r="AD32">
        <f>IF(AND(AD$2&gt;=$G32,AD$2&lt;=$H32),IF(AND($I32="YES",AD$2=$H32),3,IF($F32=1,4,IF(AD$2&lt;=$G32+($H32-$G32+1)*$F32-1,1,2))),"")</f>
        <v/>
      </c>
      <c r="AE32">
        <f>IF(AND(AE$2&gt;=$G32,AE$2&lt;=$H32),IF(AND($I32="YES",AE$2=$H32),3,IF($F32=1,4,IF(AE$2&lt;=$G32+($H32-$G32+1)*$F32-1,1,2))),"")</f>
        <v/>
      </c>
      <c r="AF32">
        <f>IF(AND(AF$2&gt;=$G32,AF$2&lt;=$H32),IF(AND($I32="YES",AF$2=$H32),3,IF($F32=1,4,IF(AF$2&lt;=$G32+($H32-$G32+1)*$F32-1,1,2))),"")</f>
        <v/>
      </c>
      <c r="AG32">
        <f>IF(AND(AG$2&gt;=$G32,AG$2&lt;=$H32),IF(AND($I32="YES",AG$2=$H32),3,IF($F32=1,4,IF(AG$2&lt;=$G32+($H32-$G32+1)*$F32-1,1,2))),"")</f>
        <v/>
      </c>
      <c r="AH32">
        <f>IF(AND(AH$2&gt;=$G32,AH$2&lt;=$H32),IF(AND($I32="YES",AH$2=$H32),3,IF($F32=1,4,IF(AH$2&lt;=$G32+($H32-$G32+1)*$F32-1,1,2))),"")</f>
        <v/>
      </c>
      <c r="AI32">
        <f>IF(AND(AI$2&gt;=$G32,AI$2&lt;=$H32),IF(AND($I32="YES",AI$2=$H32),3,IF($F32=1,4,IF(AI$2&lt;=$G32+($H32-$G32+1)*$F32-1,1,2))),"")</f>
        <v/>
      </c>
      <c r="AJ32">
        <f>IF(AND(AJ$2&gt;=$G32,AJ$2&lt;=$H32),IF(AND($I32="YES",AJ$2=$H32),3,IF($F32=1,4,IF(AJ$2&lt;=$G32+($H32-$G32+1)*$F32-1,1,2))),"")</f>
        <v/>
      </c>
      <c r="AK32">
        <f>IF(AND(AK$2&gt;=$G32,AK$2&lt;=$H32),IF(AND($I32="YES",AK$2=$H32),3,IF($F32=1,4,IF(AK$2&lt;=$G32+($H32-$G32+1)*$F32-1,1,2))),"")</f>
        <v/>
      </c>
      <c r="AL32">
        <f>IF(AND(AL$2&gt;=$G32,AL$2&lt;=$H32),IF(AND($I32="YES",AL$2=$H32),3,IF($F32=1,4,IF(AL$2&lt;=$G32+($H32-$G32+1)*$F32-1,1,2))),"")</f>
        <v/>
      </c>
      <c r="AM32">
        <f>IF(AND(AM$2&gt;=$G32,AM$2&lt;=$H32),IF(AND($I32="YES",AM$2=$H32),3,IF($F32=1,4,IF(AM$2&lt;=$G32+($H32-$G32+1)*$F32-1,1,2))),"")</f>
        <v/>
      </c>
      <c r="AN32">
        <f>IF(AND(AN$2&gt;=$G32,AN$2&lt;=$H32),IF(AND($I32="YES",AN$2=$H32),3,IF($F32=1,4,IF(AN$2&lt;=$G32+($H32-$G32+1)*$F32-1,1,2))),"")</f>
        <v/>
      </c>
      <c r="AO32">
        <f>IF(AND(AO$2&gt;=$G32,AO$2&lt;=$H32),IF(AND($I32="YES",AO$2=$H32),3,IF($F32=1,4,IF(AO$2&lt;=$G32+($H32-$G32+1)*$F32-1,1,2))),"")</f>
        <v/>
      </c>
      <c r="AP32">
        <f>IF(AND(AP$2&gt;=$G32,AP$2&lt;=$H32),IF(AND($I32="YES",AP$2=$H32),3,IF($F32=1,4,IF(AP$2&lt;=$G32+($H32-$G32+1)*$F32-1,1,2))),"")</f>
        <v/>
      </c>
      <c r="AQ32">
        <f>IF(AND(AQ$2&gt;=$G32,AQ$2&lt;=$H32),IF(AND($I32="YES",AQ$2=$H32),3,IF($F32=1,4,IF(AQ$2&lt;=$G32+($H32-$G32+1)*$F32-1,1,2))),"")</f>
        <v/>
      </c>
    </row>
    <row r="33">
      <c r="A33">
        <f>Tracker!A30</f>
        <v/>
      </c>
      <c r="B33">
        <f>Tracker!B30</f>
        <v/>
      </c>
      <c r="C33">
        <f>Tracker!C30</f>
        <v/>
      </c>
      <c r="D33">
        <f>Tracker!J30</f>
        <v/>
      </c>
      <c r="E33">
        <f>Tracker!K30</f>
        <v/>
      </c>
      <c r="F33" s="12">
        <f>Tracker!L30</f>
        <v/>
      </c>
      <c r="G33" s="13">
        <f>Tracker!E30</f>
        <v/>
      </c>
      <c r="H33" s="13">
        <f>Tracker!F30</f>
        <v/>
      </c>
      <c r="I33">
        <f>Tracker!M30</f>
        <v/>
      </c>
      <c r="J33">
        <f>IF(AND(J$2&gt;=$G33,J$2&lt;=$H33),IF(AND($I33="YES",J$2=$H33),3,IF($F33=1,4,IF(J$2&lt;=$G33+($H33-$G33+1)*$F33-1,1,2))),"")</f>
        <v/>
      </c>
      <c r="K33">
        <f>IF(AND(K$2&gt;=$G33,K$2&lt;=$H33),IF(AND($I33="YES",K$2=$H33),3,IF($F33=1,4,IF(K$2&lt;=$G33+($H33-$G33+1)*$F33-1,1,2))),"")</f>
        <v/>
      </c>
      <c r="L33">
        <f>IF(AND(L$2&gt;=$G33,L$2&lt;=$H33),IF(AND($I33="YES",L$2=$H33),3,IF($F33=1,4,IF(L$2&lt;=$G33+($H33-$G33+1)*$F33-1,1,2))),"")</f>
        <v/>
      </c>
      <c r="M33">
        <f>IF(AND(M$2&gt;=$G33,M$2&lt;=$H33),IF(AND($I33="YES",M$2=$H33),3,IF($F33=1,4,IF(M$2&lt;=$G33+($H33-$G33+1)*$F33-1,1,2))),"")</f>
        <v/>
      </c>
      <c r="N33">
        <f>IF(AND(N$2&gt;=$G33,N$2&lt;=$H33),IF(AND($I33="YES",N$2=$H33),3,IF($F33=1,4,IF(N$2&lt;=$G33+($H33-$G33+1)*$F33-1,1,2))),"")</f>
        <v/>
      </c>
      <c r="O33">
        <f>IF(AND(O$2&gt;=$G33,O$2&lt;=$H33),IF(AND($I33="YES",O$2=$H33),3,IF($F33=1,4,IF(O$2&lt;=$G33+($H33-$G33+1)*$F33-1,1,2))),"")</f>
        <v/>
      </c>
      <c r="P33">
        <f>IF(AND(P$2&gt;=$G33,P$2&lt;=$H33),IF(AND($I33="YES",P$2=$H33),3,IF($F33=1,4,IF(P$2&lt;=$G33+($H33-$G33+1)*$F33-1,1,2))),"")</f>
        <v/>
      </c>
      <c r="Q33">
        <f>IF(AND(Q$2&gt;=$G33,Q$2&lt;=$H33),IF(AND($I33="YES",Q$2=$H33),3,IF($F33=1,4,IF(Q$2&lt;=$G33+($H33-$G33+1)*$F33-1,1,2))),"")</f>
        <v/>
      </c>
      <c r="R33">
        <f>IF(AND(R$2&gt;=$G33,R$2&lt;=$H33),IF(AND($I33="YES",R$2=$H33),3,IF($F33=1,4,IF(R$2&lt;=$G33+($H33-$G33+1)*$F33-1,1,2))),"")</f>
        <v/>
      </c>
      <c r="S33">
        <f>IF(AND(S$2&gt;=$G33,S$2&lt;=$H33),IF(AND($I33="YES",S$2=$H33),3,IF($F33=1,4,IF(S$2&lt;=$G33+($H33-$G33+1)*$F33-1,1,2))),"")</f>
        <v/>
      </c>
      <c r="T33">
        <f>IF(AND(T$2&gt;=$G33,T$2&lt;=$H33),IF(AND($I33="YES",T$2=$H33),3,IF($F33=1,4,IF(T$2&lt;=$G33+($H33-$G33+1)*$F33-1,1,2))),"")</f>
        <v/>
      </c>
      <c r="U33">
        <f>IF(AND(U$2&gt;=$G33,U$2&lt;=$H33),IF(AND($I33="YES",U$2=$H33),3,IF($F33=1,4,IF(U$2&lt;=$G33+($H33-$G33+1)*$F33-1,1,2))),"")</f>
        <v/>
      </c>
      <c r="V33">
        <f>IF(AND(V$2&gt;=$G33,V$2&lt;=$H33),IF(AND($I33="YES",V$2=$H33),3,IF($F33=1,4,IF(V$2&lt;=$G33+($H33-$G33+1)*$F33-1,1,2))),"")</f>
        <v/>
      </c>
      <c r="W33">
        <f>IF(AND(W$2&gt;=$G33,W$2&lt;=$H33),IF(AND($I33="YES",W$2=$H33),3,IF($F33=1,4,IF(W$2&lt;=$G33+($H33-$G33+1)*$F33-1,1,2))),"")</f>
        <v/>
      </c>
      <c r="X33">
        <f>IF(AND(X$2&gt;=$G33,X$2&lt;=$H33),IF(AND($I33="YES",X$2=$H33),3,IF($F33=1,4,IF(X$2&lt;=$G33+($H33-$G33+1)*$F33-1,1,2))),"")</f>
        <v/>
      </c>
      <c r="Y33">
        <f>IF(AND(Y$2&gt;=$G33,Y$2&lt;=$H33),IF(AND($I33="YES",Y$2=$H33),3,IF($F33=1,4,IF(Y$2&lt;=$G33+($H33-$G33+1)*$F33-1,1,2))),"")</f>
        <v/>
      </c>
      <c r="Z33">
        <f>IF(AND(Z$2&gt;=$G33,Z$2&lt;=$H33),IF(AND($I33="YES",Z$2=$H33),3,IF($F33=1,4,IF(Z$2&lt;=$G33+($H33-$G33+1)*$F33-1,1,2))),"")</f>
        <v/>
      </c>
      <c r="AA33">
        <f>IF(AND(AA$2&gt;=$G33,AA$2&lt;=$H33),IF(AND($I33="YES",AA$2=$H33),3,IF($F33=1,4,IF(AA$2&lt;=$G33+($H33-$G33+1)*$F33-1,1,2))),"")</f>
        <v/>
      </c>
      <c r="AB33">
        <f>IF(AND(AB$2&gt;=$G33,AB$2&lt;=$H33),IF(AND($I33="YES",AB$2=$H33),3,IF($F33=1,4,IF(AB$2&lt;=$G33+($H33-$G33+1)*$F33-1,1,2))),"")</f>
        <v/>
      </c>
      <c r="AC33">
        <f>IF(AND(AC$2&gt;=$G33,AC$2&lt;=$H33),IF(AND($I33="YES",AC$2=$H33),3,IF($F33=1,4,IF(AC$2&lt;=$G33+($H33-$G33+1)*$F33-1,1,2))),"")</f>
        <v/>
      </c>
      <c r="AD33">
        <f>IF(AND(AD$2&gt;=$G33,AD$2&lt;=$H33),IF(AND($I33="YES",AD$2=$H33),3,IF($F33=1,4,IF(AD$2&lt;=$G33+($H33-$G33+1)*$F33-1,1,2))),"")</f>
        <v/>
      </c>
      <c r="AE33">
        <f>IF(AND(AE$2&gt;=$G33,AE$2&lt;=$H33),IF(AND($I33="YES",AE$2=$H33),3,IF($F33=1,4,IF(AE$2&lt;=$G33+($H33-$G33+1)*$F33-1,1,2))),"")</f>
        <v/>
      </c>
      <c r="AF33">
        <f>IF(AND(AF$2&gt;=$G33,AF$2&lt;=$H33),IF(AND($I33="YES",AF$2=$H33),3,IF($F33=1,4,IF(AF$2&lt;=$G33+($H33-$G33+1)*$F33-1,1,2))),"")</f>
        <v/>
      </c>
      <c r="AG33">
        <f>IF(AND(AG$2&gt;=$G33,AG$2&lt;=$H33),IF(AND($I33="YES",AG$2=$H33),3,IF($F33=1,4,IF(AG$2&lt;=$G33+($H33-$G33+1)*$F33-1,1,2))),"")</f>
        <v/>
      </c>
      <c r="AH33">
        <f>IF(AND(AH$2&gt;=$G33,AH$2&lt;=$H33),IF(AND($I33="YES",AH$2=$H33),3,IF($F33=1,4,IF(AH$2&lt;=$G33+($H33-$G33+1)*$F33-1,1,2))),"")</f>
        <v/>
      </c>
      <c r="AI33">
        <f>IF(AND(AI$2&gt;=$G33,AI$2&lt;=$H33),IF(AND($I33="YES",AI$2=$H33),3,IF($F33=1,4,IF(AI$2&lt;=$G33+($H33-$G33+1)*$F33-1,1,2))),"")</f>
        <v/>
      </c>
      <c r="AJ33">
        <f>IF(AND(AJ$2&gt;=$G33,AJ$2&lt;=$H33),IF(AND($I33="YES",AJ$2=$H33),3,IF($F33=1,4,IF(AJ$2&lt;=$G33+($H33-$G33+1)*$F33-1,1,2))),"")</f>
        <v/>
      </c>
      <c r="AK33">
        <f>IF(AND(AK$2&gt;=$G33,AK$2&lt;=$H33),IF(AND($I33="YES",AK$2=$H33),3,IF($F33=1,4,IF(AK$2&lt;=$G33+($H33-$G33+1)*$F33-1,1,2))),"")</f>
        <v/>
      </c>
      <c r="AL33">
        <f>IF(AND(AL$2&gt;=$G33,AL$2&lt;=$H33),IF(AND($I33="YES",AL$2=$H33),3,IF($F33=1,4,IF(AL$2&lt;=$G33+($H33-$G33+1)*$F33-1,1,2))),"")</f>
        <v/>
      </c>
      <c r="AM33">
        <f>IF(AND(AM$2&gt;=$G33,AM$2&lt;=$H33),IF(AND($I33="YES",AM$2=$H33),3,IF($F33=1,4,IF(AM$2&lt;=$G33+($H33-$G33+1)*$F33-1,1,2))),"")</f>
        <v/>
      </c>
      <c r="AN33">
        <f>IF(AND(AN$2&gt;=$G33,AN$2&lt;=$H33),IF(AND($I33="YES",AN$2=$H33),3,IF($F33=1,4,IF(AN$2&lt;=$G33+($H33-$G33+1)*$F33-1,1,2))),"")</f>
        <v/>
      </c>
      <c r="AO33">
        <f>IF(AND(AO$2&gt;=$G33,AO$2&lt;=$H33),IF(AND($I33="YES",AO$2=$H33),3,IF($F33=1,4,IF(AO$2&lt;=$G33+($H33-$G33+1)*$F33-1,1,2))),"")</f>
        <v/>
      </c>
      <c r="AP33">
        <f>IF(AND(AP$2&gt;=$G33,AP$2&lt;=$H33),IF(AND($I33="YES",AP$2=$H33),3,IF($F33=1,4,IF(AP$2&lt;=$G33+($H33-$G33+1)*$F33-1,1,2))),"")</f>
        <v/>
      </c>
      <c r="AQ33">
        <f>IF(AND(AQ$2&gt;=$G33,AQ$2&lt;=$H33),IF(AND($I33="YES",AQ$2=$H33),3,IF($F33=1,4,IF(AQ$2&lt;=$G33+($H33-$G33+1)*$F33-1,1,2))),"")</f>
        <v/>
      </c>
    </row>
    <row r="34">
      <c r="A34">
        <f>Tracker!A31</f>
        <v/>
      </c>
      <c r="B34">
        <f>Tracker!B31</f>
        <v/>
      </c>
      <c r="C34">
        <f>Tracker!C31</f>
        <v/>
      </c>
      <c r="D34">
        <f>Tracker!J31</f>
        <v/>
      </c>
      <c r="E34">
        <f>Tracker!K31</f>
        <v/>
      </c>
      <c r="F34" s="12">
        <f>Tracker!L31</f>
        <v/>
      </c>
      <c r="G34" s="13">
        <f>Tracker!E31</f>
        <v/>
      </c>
      <c r="H34" s="13">
        <f>Tracker!F31</f>
        <v/>
      </c>
      <c r="I34">
        <f>Tracker!M31</f>
        <v/>
      </c>
      <c r="J34">
        <f>IF(AND(J$2&gt;=$G34,J$2&lt;=$H34),IF(AND($I34="YES",J$2=$H34),3,IF($F34=1,4,IF(J$2&lt;=$G34+($H34-$G34+1)*$F34-1,1,2))),"")</f>
        <v/>
      </c>
      <c r="K34">
        <f>IF(AND(K$2&gt;=$G34,K$2&lt;=$H34),IF(AND($I34="YES",K$2=$H34),3,IF($F34=1,4,IF(K$2&lt;=$G34+($H34-$G34+1)*$F34-1,1,2))),"")</f>
        <v/>
      </c>
      <c r="L34">
        <f>IF(AND(L$2&gt;=$G34,L$2&lt;=$H34),IF(AND($I34="YES",L$2=$H34),3,IF($F34=1,4,IF(L$2&lt;=$G34+($H34-$G34+1)*$F34-1,1,2))),"")</f>
        <v/>
      </c>
      <c r="M34">
        <f>IF(AND(M$2&gt;=$G34,M$2&lt;=$H34),IF(AND($I34="YES",M$2=$H34),3,IF($F34=1,4,IF(M$2&lt;=$G34+($H34-$G34+1)*$F34-1,1,2))),"")</f>
        <v/>
      </c>
      <c r="N34">
        <f>IF(AND(N$2&gt;=$G34,N$2&lt;=$H34),IF(AND($I34="YES",N$2=$H34),3,IF($F34=1,4,IF(N$2&lt;=$G34+($H34-$G34+1)*$F34-1,1,2))),"")</f>
        <v/>
      </c>
      <c r="O34">
        <f>IF(AND(O$2&gt;=$G34,O$2&lt;=$H34),IF(AND($I34="YES",O$2=$H34),3,IF($F34=1,4,IF(O$2&lt;=$G34+($H34-$G34+1)*$F34-1,1,2))),"")</f>
        <v/>
      </c>
      <c r="P34">
        <f>IF(AND(P$2&gt;=$G34,P$2&lt;=$H34),IF(AND($I34="YES",P$2=$H34),3,IF($F34=1,4,IF(P$2&lt;=$G34+($H34-$G34+1)*$F34-1,1,2))),"")</f>
        <v/>
      </c>
      <c r="Q34">
        <f>IF(AND(Q$2&gt;=$G34,Q$2&lt;=$H34),IF(AND($I34="YES",Q$2=$H34),3,IF($F34=1,4,IF(Q$2&lt;=$G34+($H34-$G34+1)*$F34-1,1,2))),"")</f>
        <v/>
      </c>
      <c r="R34">
        <f>IF(AND(R$2&gt;=$G34,R$2&lt;=$H34),IF(AND($I34="YES",R$2=$H34),3,IF($F34=1,4,IF(R$2&lt;=$G34+($H34-$G34+1)*$F34-1,1,2))),"")</f>
        <v/>
      </c>
      <c r="S34">
        <f>IF(AND(S$2&gt;=$G34,S$2&lt;=$H34),IF(AND($I34="YES",S$2=$H34),3,IF($F34=1,4,IF(S$2&lt;=$G34+($H34-$G34+1)*$F34-1,1,2))),"")</f>
        <v/>
      </c>
      <c r="T34">
        <f>IF(AND(T$2&gt;=$G34,T$2&lt;=$H34),IF(AND($I34="YES",T$2=$H34),3,IF($F34=1,4,IF(T$2&lt;=$G34+($H34-$G34+1)*$F34-1,1,2))),"")</f>
        <v/>
      </c>
      <c r="U34">
        <f>IF(AND(U$2&gt;=$G34,U$2&lt;=$H34),IF(AND($I34="YES",U$2=$H34),3,IF($F34=1,4,IF(U$2&lt;=$G34+($H34-$G34+1)*$F34-1,1,2))),"")</f>
        <v/>
      </c>
      <c r="V34">
        <f>IF(AND(V$2&gt;=$G34,V$2&lt;=$H34),IF(AND($I34="YES",V$2=$H34),3,IF($F34=1,4,IF(V$2&lt;=$G34+($H34-$G34+1)*$F34-1,1,2))),"")</f>
        <v/>
      </c>
      <c r="W34">
        <f>IF(AND(W$2&gt;=$G34,W$2&lt;=$H34),IF(AND($I34="YES",W$2=$H34),3,IF($F34=1,4,IF(W$2&lt;=$G34+($H34-$G34+1)*$F34-1,1,2))),"")</f>
        <v/>
      </c>
      <c r="X34">
        <f>IF(AND(X$2&gt;=$G34,X$2&lt;=$H34),IF(AND($I34="YES",X$2=$H34),3,IF($F34=1,4,IF(X$2&lt;=$G34+($H34-$G34+1)*$F34-1,1,2))),"")</f>
        <v/>
      </c>
      <c r="Y34">
        <f>IF(AND(Y$2&gt;=$G34,Y$2&lt;=$H34),IF(AND($I34="YES",Y$2=$H34),3,IF($F34=1,4,IF(Y$2&lt;=$G34+($H34-$G34+1)*$F34-1,1,2))),"")</f>
        <v/>
      </c>
      <c r="Z34">
        <f>IF(AND(Z$2&gt;=$G34,Z$2&lt;=$H34),IF(AND($I34="YES",Z$2=$H34),3,IF($F34=1,4,IF(Z$2&lt;=$G34+($H34-$G34+1)*$F34-1,1,2))),"")</f>
        <v/>
      </c>
      <c r="AA34">
        <f>IF(AND(AA$2&gt;=$G34,AA$2&lt;=$H34),IF(AND($I34="YES",AA$2=$H34),3,IF($F34=1,4,IF(AA$2&lt;=$G34+($H34-$G34+1)*$F34-1,1,2))),"")</f>
        <v/>
      </c>
      <c r="AB34">
        <f>IF(AND(AB$2&gt;=$G34,AB$2&lt;=$H34),IF(AND($I34="YES",AB$2=$H34),3,IF($F34=1,4,IF(AB$2&lt;=$G34+($H34-$G34+1)*$F34-1,1,2))),"")</f>
        <v/>
      </c>
      <c r="AC34">
        <f>IF(AND(AC$2&gt;=$G34,AC$2&lt;=$H34),IF(AND($I34="YES",AC$2=$H34),3,IF($F34=1,4,IF(AC$2&lt;=$G34+($H34-$G34+1)*$F34-1,1,2))),"")</f>
        <v/>
      </c>
      <c r="AD34">
        <f>IF(AND(AD$2&gt;=$G34,AD$2&lt;=$H34),IF(AND($I34="YES",AD$2=$H34),3,IF($F34=1,4,IF(AD$2&lt;=$G34+($H34-$G34+1)*$F34-1,1,2))),"")</f>
        <v/>
      </c>
      <c r="AE34">
        <f>IF(AND(AE$2&gt;=$G34,AE$2&lt;=$H34),IF(AND($I34="YES",AE$2=$H34),3,IF($F34=1,4,IF(AE$2&lt;=$G34+($H34-$G34+1)*$F34-1,1,2))),"")</f>
        <v/>
      </c>
      <c r="AF34">
        <f>IF(AND(AF$2&gt;=$G34,AF$2&lt;=$H34),IF(AND($I34="YES",AF$2=$H34),3,IF($F34=1,4,IF(AF$2&lt;=$G34+($H34-$G34+1)*$F34-1,1,2))),"")</f>
        <v/>
      </c>
      <c r="AG34">
        <f>IF(AND(AG$2&gt;=$G34,AG$2&lt;=$H34),IF(AND($I34="YES",AG$2=$H34),3,IF($F34=1,4,IF(AG$2&lt;=$G34+($H34-$G34+1)*$F34-1,1,2))),"")</f>
        <v/>
      </c>
      <c r="AH34">
        <f>IF(AND(AH$2&gt;=$G34,AH$2&lt;=$H34),IF(AND($I34="YES",AH$2=$H34),3,IF($F34=1,4,IF(AH$2&lt;=$G34+($H34-$G34+1)*$F34-1,1,2))),"")</f>
        <v/>
      </c>
      <c r="AI34">
        <f>IF(AND(AI$2&gt;=$G34,AI$2&lt;=$H34),IF(AND($I34="YES",AI$2=$H34),3,IF($F34=1,4,IF(AI$2&lt;=$G34+($H34-$G34+1)*$F34-1,1,2))),"")</f>
        <v/>
      </c>
      <c r="AJ34">
        <f>IF(AND(AJ$2&gt;=$G34,AJ$2&lt;=$H34),IF(AND($I34="YES",AJ$2=$H34),3,IF($F34=1,4,IF(AJ$2&lt;=$G34+($H34-$G34+1)*$F34-1,1,2))),"")</f>
        <v/>
      </c>
      <c r="AK34">
        <f>IF(AND(AK$2&gt;=$G34,AK$2&lt;=$H34),IF(AND($I34="YES",AK$2=$H34),3,IF($F34=1,4,IF(AK$2&lt;=$G34+($H34-$G34+1)*$F34-1,1,2))),"")</f>
        <v/>
      </c>
      <c r="AL34">
        <f>IF(AND(AL$2&gt;=$G34,AL$2&lt;=$H34),IF(AND($I34="YES",AL$2=$H34),3,IF($F34=1,4,IF(AL$2&lt;=$G34+($H34-$G34+1)*$F34-1,1,2))),"")</f>
        <v/>
      </c>
      <c r="AM34">
        <f>IF(AND(AM$2&gt;=$G34,AM$2&lt;=$H34),IF(AND($I34="YES",AM$2=$H34),3,IF($F34=1,4,IF(AM$2&lt;=$G34+($H34-$G34+1)*$F34-1,1,2))),"")</f>
        <v/>
      </c>
      <c r="AN34">
        <f>IF(AND(AN$2&gt;=$G34,AN$2&lt;=$H34),IF(AND($I34="YES",AN$2=$H34),3,IF($F34=1,4,IF(AN$2&lt;=$G34+($H34-$G34+1)*$F34-1,1,2))),"")</f>
        <v/>
      </c>
      <c r="AO34">
        <f>IF(AND(AO$2&gt;=$G34,AO$2&lt;=$H34),IF(AND($I34="YES",AO$2=$H34),3,IF($F34=1,4,IF(AO$2&lt;=$G34+($H34-$G34+1)*$F34-1,1,2))),"")</f>
        <v/>
      </c>
      <c r="AP34">
        <f>IF(AND(AP$2&gt;=$G34,AP$2&lt;=$H34),IF(AND($I34="YES",AP$2=$H34),3,IF($F34=1,4,IF(AP$2&lt;=$G34+($H34-$G34+1)*$F34-1,1,2))),"")</f>
        <v/>
      </c>
      <c r="AQ34">
        <f>IF(AND(AQ$2&gt;=$G34,AQ$2&lt;=$H34),IF(AND($I34="YES",AQ$2=$H34),3,IF($F34=1,4,IF(AQ$2&lt;=$G34+($H34-$G34+1)*$F34-1,1,2))),"")</f>
        <v/>
      </c>
    </row>
    <row r="35">
      <c r="A35">
        <f>Tracker!A32</f>
        <v/>
      </c>
      <c r="B35">
        <f>Tracker!B32</f>
        <v/>
      </c>
      <c r="C35">
        <f>Tracker!C32</f>
        <v/>
      </c>
      <c r="D35">
        <f>Tracker!J32</f>
        <v/>
      </c>
      <c r="E35">
        <f>Tracker!K32</f>
        <v/>
      </c>
      <c r="F35" s="12">
        <f>Tracker!L32</f>
        <v/>
      </c>
      <c r="G35" s="13">
        <f>Tracker!E32</f>
        <v/>
      </c>
      <c r="H35" s="13">
        <f>Tracker!F32</f>
        <v/>
      </c>
      <c r="I35">
        <f>Tracker!M32</f>
        <v/>
      </c>
      <c r="J35">
        <f>IF(AND(J$2&gt;=$G35,J$2&lt;=$H35),IF(AND($I35="YES",J$2=$H35),3,IF($F35=1,4,IF(J$2&lt;=$G35+($H35-$G35+1)*$F35-1,1,2))),"")</f>
        <v/>
      </c>
      <c r="K35">
        <f>IF(AND(K$2&gt;=$G35,K$2&lt;=$H35),IF(AND($I35="YES",K$2=$H35),3,IF($F35=1,4,IF(K$2&lt;=$G35+($H35-$G35+1)*$F35-1,1,2))),"")</f>
        <v/>
      </c>
      <c r="L35">
        <f>IF(AND(L$2&gt;=$G35,L$2&lt;=$H35),IF(AND($I35="YES",L$2=$H35),3,IF($F35=1,4,IF(L$2&lt;=$G35+($H35-$G35+1)*$F35-1,1,2))),"")</f>
        <v/>
      </c>
      <c r="M35">
        <f>IF(AND(M$2&gt;=$G35,M$2&lt;=$H35),IF(AND($I35="YES",M$2=$H35),3,IF($F35=1,4,IF(M$2&lt;=$G35+($H35-$G35+1)*$F35-1,1,2))),"")</f>
        <v/>
      </c>
      <c r="N35">
        <f>IF(AND(N$2&gt;=$G35,N$2&lt;=$H35),IF(AND($I35="YES",N$2=$H35),3,IF($F35=1,4,IF(N$2&lt;=$G35+($H35-$G35+1)*$F35-1,1,2))),"")</f>
        <v/>
      </c>
      <c r="O35">
        <f>IF(AND(O$2&gt;=$G35,O$2&lt;=$H35),IF(AND($I35="YES",O$2=$H35),3,IF($F35=1,4,IF(O$2&lt;=$G35+($H35-$G35+1)*$F35-1,1,2))),"")</f>
        <v/>
      </c>
      <c r="P35">
        <f>IF(AND(P$2&gt;=$G35,P$2&lt;=$H35),IF(AND($I35="YES",P$2=$H35),3,IF($F35=1,4,IF(P$2&lt;=$G35+($H35-$G35+1)*$F35-1,1,2))),"")</f>
        <v/>
      </c>
      <c r="Q35">
        <f>IF(AND(Q$2&gt;=$G35,Q$2&lt;=$H35),IF(AND($I35="YES",Q$2=$H35),3,IF($F35=1,4,IF(Q$2&lt;=$G35+($H35-$G35+1)*$F35-1,1,2))),"")</f>
        <v/>
      </c>
      <c r="R35">
        <f>IF(AND(R$2&gt;=$G35,R$2&lt;=$H35),IF(AND($I35="YES",R$2=$H35),3,IF($F35=1,4,IF(R$2&lt;=$G35+($H35-$G35+1)*$F35-1,1,2))),"")</f>
        <v/>
      </c>
      <c r="S35">
        <f>IF(AND(S$2&gt;=$G35,S$2&lt;=$H35),IF(AND($I35="YES",S$2=$H35),3,IF($F35=1,4,IF(S$2&lt;=$G35+($H35-$G35+1)*$F35-1,1,2))),"")</f>
        <v/>
      </c>
      <c r="T35">
        <f>IF(AND(T$2&gt;=$G35,T$2&lt;=$H35),IF(AND($I35="YES",T$2=$H35),3,IF($F35=1,4,IF(T$2&lt;=$G35+($H35-$G35+1)*$F35-1,1,2))),"")</f>
        <v/>
      </c>
      <c r="U35">
        <f>IF(AND(U$2&gt;=$G35,U$2&lt;=$H35),IF(AND($I35="YES",U$2=$H35),3,IF($F35=1,4,IF(U$2&lt;=$G35+($H35-$G35+1)*$F35-1,1,2))),"")</f>
        <v/>
      </c>
      <c r="V35">
        <f>IF(AND(V$2&gt;=$G35,V$2&lt;=$H35),IF(AND($I35="YES",V$2=$H35),3,IF($F35=1,4,IF(V$2&lt;=$G35+($H35-$G35+1)*$F35-1,1,2))),"")</f>
        <v/>
      </c>
      <c r="W35">
        <f>IF(AND(W$2&gt;=$G35,W$2&lt;=$H35),IF(AND($I35="YES",W$2=$H35),3,IF($F35=1,4,IF(W$2&lt;=$G35+($H35-$G35+1)*$F35-1,1,2))),"")</f>
        <v/>
      </c>
      <c r="X35">
        <f>IF(AND(X$2&gt;=$G35,X$2&lt;=$H35),IF(AND($I35="YES",X$2=$H35),3,IF($F35=1,4,IF(X$2&lt;=$G35+($H35-$G35+1)*$F35-1,1,2))),"")</f>
        <v/>
      </c>
      <c r="Y35">
        <f>IF(AND(Y$2&gt;=$G35,Y$2&lt;=$H35),IF(AND($I35="YES",Y$2=$H35),3,IF($F35=1,4,IF(Y$2&lt;=$G35+($H35-$G35+1)*$F35-1,1,2))),"")</f>
        <v/>
      </c>
      <c r="Z35">
        <f>IF(AND(Z$2&gt;=$G35,Z$2&lt;=$H35),IF(AND($I35="YES",Z$2=$H35),3,IF($F35=1,4,IF(Z$2&lt;=$G35+($H35-$G35+1)*$F35-1,1,2))),"")</f>
        <v/>
      </c>
      <c r="AA35">
        <f>IF(AND(AA$2&gt;=$G35,AA$2&lt;=$H35),IF(AND($I35="YES",AA$2=$H35),3,IF($F35=1,4,IF(AA$2&lt;=$G35+($H35-$G35+1)*$F35-1,1,2))),"")</f>
        <v/>
      </c>
      <c r="AB35">
        <f>IF(AND(AB$2&gt;=$G35,AB$2&lt;=$H35),IF(AND($I35="YES",AB$2=$H35),3,IF($F35=1,4,IF(AB$2&lt;=$G35+($H35-$G35+1)*$F35-1,1,2))),"")</f>
        <v/>
      </c>
      <c r="AC35">
        <f>IF(AND(AC$2&gt;=$G35,AC$2&lt;=$H35),IF(AND($I35="YES",AC$2=$H35),3,IF($F35=1,4,IF(AC$2&lt;=$G35+($H35-$G35+1)*$F35-1,1,2))),"")</f>
        <v/>
      </c>
      <c r="AD35">
        <f>IF(AND(AD$2&gt;=$G35,AD$2&lt;=$H35),IF(AND($I35="YES",AD$2=$H35),3,IF($F35=1,4,IF(AD$2&lt;=$G35+($H35-$G35+1)*$F35-1,1,2))),"")</f>
        <v/>
      </c>
      <c r="AE35">
        <f>IF(AND(AE$2&gt;=$G35,AE$2&lt;=$H35),IF(AND($I35="YES",AE$2=$H35),3,IF($F35=1,4,IF(AE$2&lt;=$G35+($H35-$G35+1)*$F35-1,1,2))),"")</f>
        <v/>
      </c>
      <c r="AF35">
        <f>IF(AND(AF$2&gt;=$G35,AF$2&lt;=$H35),IF(AND($I35="YES",AF$2=$H35),3,IF($F35=1,4,IF(AF$2&lt;=$G35+($H35-$G35+1)*$F35-1,1,2))),"")</f>
        <v/>
      </c>
      <c r="AG35">
        <f>IF(AND(AG$2&gt;=$G35,AG$2&lt;=$H35),IF(AND($I35="YES",AG$2=$H35),3,IF($F35=1,4,IF(AG$2&lt;=$G35+($H35-$G35+1)*$F35-1,1,2))),"")</f>
        <v/>
      </c>
      <c r="AH35">
        <f>IF(AND(AH$2&gt;=$G35,AH$2&lt;=$H35),IF(AND($I35="YES",AH$2=$H35),3,IF($F35=1,4,IF(AH$2&lt;=$G35+($H35-$G35+1)*$F35-1,1,2))),"")</f>
        <v/>
      </c>
      <c r="AI35">
        <f>IF(AND(AI$2&gt;=$G35,AI$2&lt;=$H35),IF(AND($I35="YES",AI$2=$H35),3,IF($F35=1,4,IF(AI$2&lt;=$G35+($H35-$G35+1)*$F35-1,1,2))),"")</f>
        <v/>
      </c>
      <c r="AJ35">
        <f>IF(AND(AJ$2&gt;=$G35,AJ$2&lt;=$H35),IF(AND($I35="YES",AJ$2=$H35),3,IF($F35=1,4,IF(AJ$2&lt;=$G35+($H35-$G35+1)*$F35-1,1,2))),"")</f>
        <v/>
      </c>
      <c r="AK35">
        <f>IF(AND(AK$2&gt;=$G35,AK$2&lt;=$H35),IF(AND($I35="YES",AK$2=$H35),3,IF($F35=1,4,IF(AK$2&lt;=$G35+($H35-$G35+1)*$F35-1,1,2))),"")</f>
        <v/>
      </c>
      <c r="AL35">
        <f>IF(AND(AL$2&gt;=$G35,AL$2&lt;=$H35),IF(AND($I35="YES",AL$2=$H35),3,IF($F35=1,4,IF(AL$2&lt;=$G35+($H35-$G35+1)*$F35-1,1,2))),"")</f>
        <v/>
      </c>
      <c r="AM35">
        <f>IF(AND(AM$2&gt;=$G35,AM$2&lt;=$H35),IF(AND($I35="YES",AM$2=$H35),3,IF($F35=1,4,IF(AM$2&lt;=$G35+($H35-$G35+1)*$F35-1,1,2))),"")</f>
        <v/>
      </c>
      <c r="AN35">
        <f>IF(AND(AN$2&gt;=$G35,AN$2&lt;=$H35),IF(AND($I35="YES",AN$2=$H35),3,IF($F35=1,4,IF(AN$2&lt;=$G35+($H35-$G35+1)*$F35-1,1,2))),"")</f>
        <v/>
      </c>
      <c r="AO35">
        <f>IF(AND(AO$2&gt;=$G35,AO$2&lt;=$H35),IF(AND($I35="YES",AO$2=$H35),3,IF($F35=1,4,IF(AO$2&lt;=$G35+($H35-$G35+1)*$F35-1,1,2))),"")</f>
        <v/>
      </c>
      <c r="AP35">
        <f>IF(AND(AP$2&gt;=$G35,AP$2&lt;=$H35),IF(AND($I35="YES",AP$2=$H35),3,IF($F35=1,4,IF(AP$2&lt;=$G35+($H35-$G35+1)*$F35-1,1,2))),"")</f>
        <v/>
      </c>
      <c r="AQ35">
        <f>IF(AND(AQ$2&gt;=$G35,AQ$2&lt;=$H35),IF(AND($I35="YES",AQ$2=$H35),3,IF($F35=1,4,IF(AQ$2&lt;=$G35+($H35-$G35+1)*$F35-1,1,2))),"")</f>
        <v/>
      </c>
    </row>
    <row r="36">
      <c r="A36">
        <f>Tracker!A33</f>
        <v/>
      </c>
      <c r="B36">
        <f>Tracker!B33</f>
        <v/>
      </c>
      <c r="C36">
        <f>Tracker!C33</f>
        <v/>
      </c>
      <c r="D36">
        <f>Tracker!J33</f>
        <v/>
      </c>
      <c r="E36">
        <f>Tracker!K33</f>
        <v/>
      </c>
      <c r="F36" s="12">
        <f>Tracker!L33</f>
        <v/>
      </c>
      <c r="G36" s="13">
        <f>Tracker!E33</f>
        <v/>
      </c>
      <c r="H36" s="13">
        <f>Tracker!F33</f>
        <v/>
      </c>
      <c r="I36">
        <f>Tracker!M33</f>
        <v/>
      </c>
      <c r="J36">
        <f>IF(AND(J$2&gt;=$G36,J$2&lt;=$H36),IF(AND($I36="YES",J$2=$H36),3,IF($F36=1,4,IF(J$2&lt;=$G36+($H36-$G36+1)*$F36-1,1,2))),"")</f>
        <v/>
      </c>
      <c r="K36">
        <f>IF(AND(K$2&gt;=$G36,K$2&lt;=$H36),IF(AND($I36="YES",K$2=$H36),3,IF($F36=1,4,IF(K$2&lt;=$G36+($H36-$G36+1)*$F36-1,1,2))),"")</f>
        <v/>
      </c>
      <c r="L36">
        <f>IF(AND(L$2&gt;=$G36,L$2&lt;=$H36),IF(AND($I36="YES",L$2=$H36),3,IF($F36=1,4,IF(L$2&lt;=$G36+($H36-$G36+1)*$F36-1,1,2))),"")</f>
        <v/>
      </c>
      <c r="M36">
        <f>IF(AND(M$2&gt;=$G36,M$2&lt;=$H36),IF(AND($I36="YES",M$2=$H36),3,IF($F36=1,4,IF(M$2&lt;=$G36+($H36-$G36+1)*$F36-1,1,2))),"")</f>
        <v/>
      </c>
      <c r="N36">
        <f>IF(AND(N$2&gt;=$G36,N$2&lt;=$H36),IF(AND($I36="YES",N$2=$H36),3,IF($F36=1,4,IF(N$2&lt;=$G36+($H36-$G36+1)*$F36-1,1,2))),"")</f>
        <v/>
      </c>
      <c r="O36">
        <f>IF(AND(O$2&gt;=$G36,O$2&lt;=$H36),IF(AND($I36="YES",O$2=$H36),3,IF($F36=1,4,IF(O$2&lt;=$G36+($H36-$G36+1)*$F36-1,1,2))),"")</f>
        <v/>
      </c>
      <c r="P36">
        <f>IF(AND(P$2&gt;=$G36,P$2&lt;=$H36),IF(AND($I36="YES",P$2=$H36),3,IF($F36=1,4,IF(P$2&lt;=$G36+($H36-$G36+1)*$F36-1,1,2))),"")</f>
        <v/>
      </c>
      <c r="Q36">
        <f>IF(AND(Q$2&gt;=$G36,Q$2&lt;=$H36),IF(AND($I36="YES",Q$2=$H36),3,IF($F36=1,4,IF(Q$2&lt;=$G36+($H36-$G36+1)*$F36-1,1,2))),"")</f>
        <v/>
      </c>
      <c r="R36">
        <f>IF(AND(R$2&gt;=$G36,R$2&lt;=$H36),IF(AND($I36="YES",R$2=$H36),3,IF($F36=1,4,IF(R$2&lt;=$G36+($H36-$G36+1)*$F36-1,1,2))),"")</f>
        <v/>
      </c>
      <c r="S36">
        <f>IF(AND(S$2&gt;=$G36,S$2&lt;=$H36),IF(AND($I36="YES",S$2=$H36),3,IF($F36=1,4,IF(S$2&lt;=$G36+($H36-$G36+1)*$F36-1,1,2))),"")</f>
        <v/>
      </c>
      <c r="T36">
        <f>IF(AND(T$2&gt;=$G36,T$2&lt;=$H36),IF(AND($I36="YES",T$2=$H36),3,IF($F36=1,4,IF(T$2&lt;=$G36+($H36-$G36+1)*$F36-1,1,2))),"")</f>
        <v/>
      </c>
      <c r="U36">
        <f>IF(AND(U$2&gt;=$G36,U$2&lt;=$H36),IF(AND($I36="YES",U$2=$H36),3,IF($F36=1,4,IF(U$2&lt;=$G36+($H36-$G36+1)*$F36-1,1,2))),"")</f>
        <v/>
      </c>
      <c r="V36">
        <f>IF(AND(V$2&gt;=$G36,V$2&lt;=$H36),IF(AND($I36="YES",V$2=$H36),3,IF($F36=1,4,IF(V$2&lt;=$G36+($H36-$G36+1)*$F36-1,1,2))),"")</f>
        <v/>
      </c>
      <c r="W36">
        <f>IF(AND(W$2&gt;=$G36,W$2&lt;=$H36),IF(AND($I36="YES",W$2=$H36),3,IF($F36=1,4,IF(W$2&lt;=$G36+($H36-$G36+1)*$F36-1,1,2))),"")</f>
        <v/>
      </c>
      <c r="X36">
        <f>IF(AND(X$2&gt;=$G36,X$2&lt;=$H36),IF(AND($I36="YES",X$2=$H36),3,IF($F36=1,4,IF(X$2&lt;=$G36+($H36-$G36+1)*$F36-1,1,2))),"")</f>
        <v/>
      </c>
      <c r="Y36">
        <f>IF(AND(Y$2&gt;=$G36,Y$2&lt;=$H36),IF(AND($I36="YES",Y$2=$H36),3,IF($F36=1,4,IF(Y$2&lt;=$G36+($H36-$G36+1)*$F36-1,1,2))),"")</f>
        <v/>
      </c>
      <c r="Z36">
        <f>IF(AND(Z$2&gt;=$G36,Z$2&lt;=$H36),IF(AND($I36="YES",Z$2=$H36),3,IF($F36=1,4,IF(Z$2&lt;=$G36+($H36-$G36+1)*$F36-1,1,2))),"")</f>
        <v/>
      </c>
      <c r="AA36">
        <f>IF(AND(AA$2&gt;=$G36,AA$2&lt;=$H36),IF(AND($I36="YES",AA$2=$H36),3,IF($F36=1,4,IF(AA$2&lt;=$G36+($H36-$G36+1)*$F36-1,1,2))),"")</f>
        <v/>
      </c>
      <c r="AB36">
        <f>IF(AND(AB$2&gt;=$G36,AB$2&lt;=$H36),IF(AND($I36="YES",AB$2=$H36),3,IF($F36=1,4,IF(AB$2&lt;=$G36+($H36-$G36+1)*$F36-1,1,2))),"")</f>
        <v/>
      </c>
      <c r="AC36">
        <f>IF(AND(AC$2&gt;=$G36,AC$2&lt;=$H36),IF(AND($I36="YES",AC$2=$H36),3,IF($F36=1,4,IF(AC$2&lt;=$G36+($H36-$G36+1)*$F36-1,1,2))),"")</f>
        <v/>
      </c>
      <c r="AD36">
        <f>IF(AND(AD$2&gt;=$G36,AD$2&lt;=$H36),IF(AND($I36="YES",AD$2=$H36),3,IF($F36=1,4,IF(AD$2&lt;=$G36+($H36-$G36+1)*$F36-1,1,2))),"")</f>
        <v/>
      </c>
      <c r="AE36">
        <f>IF(AND(AE$2&gt;=$G36,AE$2&lt;=$H36),IF(AND($I36="YES",AE$2=$H36),3,IF($F36=1,4,IF(AE$2&lt;=$G36+($H36-$G36+1)*$F36-1,1,2))),"")</f>
        <v/>
      </c>
      <c r="AF36">
        <f>IF(AND(AF$2&gt;=$G36,AF$2&lt;=$H36),IF(AND($I36="YES",AF$2=$H36),3,IF($F36=1,4,IF(AF$2&lt;=$G36+($H36-$G36+1)*$F36-1,1,2))),"")</f>
        <v/>
      </c>
      <c r="AG36">
        <f>IF(AND(AG$2&gt;=$G36,AG$2&lt;=$H36),IF(AND($I36="YES",AG$2=$H36),3,IF($F36=1,4,IF(AG$2&lt;=$G36+($H36-$G36+1)*$F36-1,1,2))),"")</f>
        <v/>
      </c>
      <c r="AH36">
        <f>IF(AND(AH$2&gt;=$G36,AH$2&lt;=$H36),IF(AND($I36="YES",AH$2=$H36),3,IF($F36=1,4,IF(AH$2&lt;=$G36+($H36-$G36+1)*$F36-1,1,2))),"")</f>
        <v/>
      </c>
      <c r="AI36">
        <f>IF(AND(AI$2&gt;=$G36,AI$2&lt;=$H36),IF(AND($I36="YES",AI$2=$H36),3,IF($F36=1,4,IF(AI$2&lt;=$G36+($H36-$G36+1)*$F36-1,1,2))),"")</f>
        <v/>
      </c>
      <c r="AJ36">
        <f>IF(AND(AJ$2&gt;=$G36,AJ$2&lt;=$H36),IF(AND($I36="YES",AJ$2=$H36),3,IF($F36=1,4,IF(AJ$2&lt;=$G36+($H36-$G36+1)*$F36-1,1,2))),"")</f>
        <v/>
      </c>
      <c r="AK36">
        <f>IF(AND(AK$2&gt;=$G36,AK$2&lt;=$H36),IF(AND($I36="YES",AK$2=$H36),3,IF($F36=1,4,IF(AK$2&lt;=$G36+($H36-$G36+1)*$F36-1,1,2))),"")</f>
        <v/>
      </c>
      <c r="AL36">
        <f>IF(AND(AL$2&gt;=$G36,AL$2&lt;=$H36),IF(AND($I36="YES",AL$2=$H36),3,IF($F36=1,4,IF(AL$2&lt;=$G36+($H36-$G36+1)*$F36-1,1,2))),"")</f>
        <v/>
      </c>
      <c r="AM36">
        <f>IF(AND(AM$2&gt;=$G36,AM$2&lt;=$H36),IF(AND($I36="YES",AM$2=$H36),3,IF($F36=1,4,IF(AM$2&lt;=$G36+($H36-$G36+1)*$F36-1,1,2))),"")</f>
        <v/>
      </c>
      <c r="AN36">
        <f>IF(AND(AN$2&gt;=$G36,AN$2&lt;=$H36),IF(AND($I36="YES",AN$2=$H36),3,IF($F36=1,4,IF(AN$2&lt;=$G36+($H36-$G36+1)*$F36-1,1,2))),"")</f>
        <v/>
      </c>
      <c r="AO36">
        <f>IF(AND(AO$2&gt;=$G36,AO$2&lt;=$H36),IF(AND($I36="YES",AO$2=$H36),3,IF($F36=1,4,IF(AO$2&lt;=$G36+($H36-$G36+1)*$F36-1,1,2))),"")</f>
        <v/>
      </c>
      <c r="AP36">
        <f>IF(AND(AP$2&gt;=$G36,AP$2&lt;=$H36),IF(AND($I36="YES",AP$2=$H36),3,IF($F36=1,4,IF(AP$2&lt;=$G36+($H36-$G36+1)*$F36-1,1,2))),"")</f>
        <v/>
      </c>
      <c r="AQ36">
        <f>IF(AND(AQ$2&gt;=$G36,AQ$2&lt;=$H36),IF(AND($I36="YES",AQ$2=$H36),3,IF($F36=1,4,IF(AQ$2&lt;=$G36+($H36-$G36+1)*$F36-1,1,2))),"")</f>
        <v/>
      </c>
    </row>
    <row r="37">
      <c r="A37">
        <f>Tracker!A34</f>
        <v/>
      </c>
      <c r="B37">
        <f>Tracker!B34</f>
        <v/>
      </c>
      <c r="C37">
        <f>Tracker!C34</f>
        <v/>
      </c>
      <c r="D37">
        <f>Tracker!J34</f>
        <v/>
      </c>
      <c r="E37">
        <f>Tracker!K34</f>
        <v/>
      </c>
      <c r="F37" s="12">
        <f>Tracker!L34</f>
        <v/>
      </c>
      <c r="G37" s="13">
        <f>Tracker!E34</f>
        <v/>
      </c>
      <c r="H37" s="13">
        <f>Tracker!F34</f>
        <v/>
      </c>
      <c r="I37">
        <f>Tracker!M34</f>
        <v/>
      </c>
      <c r="J37">
        <f>IF(AND(J$2&gt;=$G37,J$2&lt;=$H37),IF(AND($I37="YES",J$2=$H37),3,IF($F37=1,4,IF(J$2&lt;=$G37+($H37-$G37+1)*$F37-1,1,2))),"")</f>
        <v/>
      </c>
      <c r="K37">
        <f>IF(AND(K$2&gt;=$G37,K$2&lt;=$H37),IF(AND($I37="YES",K$2=$H37),3,IF($F37=1,4,IF(K$2&lt;=$G37+($H37-$G37+1)*$F37-1,1,2))),"")</f>
        <v/>
      </c>
      <c r="L37">
        <f>IF(AND(L$2&gt;=$G37,L$2&lt;=$H37),IF(AND($I37="YES",L$2=$H37),3,IF($F37=1,4,IF(L$2&lt;=$G37+($H37-$G37+1)*$F37-1,1,2))),"")</f>
        <v/>
      </c>
      <c r="M37">
        <f>IF(AND(M$2&gt;=$G37,M$2&lt;=$H37),IF(AND($I37="YES",M$2=$H37),3,IF($F37=1,4,IF(M$2&lt;=$G37+($H37-$G37+1)*$F37-1,1,2))),"")</f>
        <v/>
      </c>
      <c r="N37">
        <f>IF(AND(N$2&gt;=$G37,N$2&lt;=$H37),IF(AND($I37="YES",N$2=$H37),3,IF($F37=1,4,IF(N$2&lt;=$G37+($H37-$G37+1)*$F37-1,1,2))),"")</f>
        <v/>
      </c>
      <c r="O37">
        <f>IF(AND(O$2&gt;=$G37,O$2&lt;=$H37),IF(AND($I37="YES",O$2=$H37),3,IF($F37=1,4,IF(O$2&lt;=$G37+($H37-$G37+1)*$F37-1,1,2))),"")</f>
        <v/>
      </c>
      <c r="P37">
        <f>IF(AND(P$2&gt;=$G37,P$2&lt;=$H37),IF(AND($I37="YES",P$2=$H37),3,IF($F37=1,4,IF(P$2&lt;=$G37+($H37-$G37+1)*$F37-1,1,2))),"")</f>
        <v/>
      </c>
      <c r="Q37">
        <f>IF(AND(Q$2&gt;=$G37,Q$2&lt;=$H37),IF(AND($I37="YES",Q$2=$H37),3,IF($F37=1,4,IF(Q$2&lt;=$G37+($H37-$G37+1)*$F37-1,1,2))),"")</f>
        <v/>
      </c>
      <c r="R37">
        <f>IF(AND(R$2&gt;=$G37,R$2&lt;=$H37),IF(AND($I37="YES",R$2=$H37),3,IF($F37=1,4,IF(R$2&lt;=$G37+($H37-$G37+1)*$F37-1,1,2))),"")</f>
        <v/>
      </c>
      <c r="S37">
        <f>IF(AND(S$2&gt;=$G37,S$2&lt;=$H37),IF(AND($I37="YES",S$2=$H37),3,IF($F37=1,4,IF(S$2&lt;=$G37+($H37-$G37+1)*$F37-1,1,2))),"")</f>
        <v/>
      </c>
      <c r="T37">
        <f>IF(AND(T$2&gt;=$G37,T$2&lt;=$H37),IF(AND($I37="YES",T$2=$H37),3,IF($F37=1,4,IF(T$2&lt;=$G37+($H37-$G37+1)*$F37-1,1,2))),"")</f>
        <v/>
      </c>
      <c r="U37">
        <f>IF(AND(U$2&gt;=$G37,U$2&lt;=$H37),IF(AND($I37="YES",U$2=$H37),3,IF($F37=1,4,IF(U$2&lt;=$G37+($H37-$G37+1)*$F37-1,1,2))),"")</f>
        <v/>
      </c>
      <c r="V37">
        <f>IF(AND(V$2&gt;=$G37,V$2&lt;=$H37),IF(AND($I37="YES",V$2=$H37),3,IF($F37=1,4,IF(V$2&lt;=$G37+($H37-$G37+1)*$F37-1,1,2))),"")</f>
        <v/>
      </c>
      <c r="W37">
        <f>IF(AND(W$2&gt;=$G37,W$2&lt;=$H37),IF(AND($I37="YES",W$2=$H37),3,IF($F37=1,4,IF(W$2&lt;=$G37+($H37-$G37+1)*$F37-1,1,2))),"")</f>
        <v/>
      </c>
      <c r="X37">
        <f>IF(AND(X$2&gt;=$G37,X$2&lt;=$H37),IF(AND($I37="YES",X$2=$H37),3,IF($F37=1,4,IF(X$2&lt;=$G37+($H37-$G37+1)*$F37-1,1,2))),"")</f>
        <v/>
      </c>
      <c r="Y37">
        <f>IF(AND(Y$2&gt;=$G37,Y$2&lt;=$H37),IF(AND($I37="YES",Y$2=$H37),3,IF($F37=1,4,IF(Y$2&lt;=$G37+($H37-$G37+1)*$F37-1,1,2))),"")</f>
        <v/>
      </c>
      <c r="Z37">
        <f>IF(AND(Z$2&gt;=$G37,Z$2&lt;=$H37),IF(AND($I37="YES",Z$2=$H37),3,IF($F37=1,4,IF(Z$2&lt;=$G37+($H37-$G37+1)*$F37-1,1,2))),"")</f>
        <v/>
      </c>
      <c r="AA37">
        <f>IF(AND(AA$2&gt;=$G37,AA$2&lt;=$H37),IF(AND($I37="YES",AA$2=$H37),3,IF($F37=1,4,IF(AA$2&lt;=$G37+($H37-$G37+1)*$F37-1,1,2))),"")</f>
        <v/>
      </c>
      <c r="AB37">
        <f>IF(AND(AB$2&gt;=$G37,AB$2&lt;=$H37),IF(AND($I37="YES",AB$2=$H37),3,IF($F37=1,4,IF(AB$2&lt;=$G37+($H37-$G37+1)*$F37-1,1,2))),"")</f>
        <v/>
      </c>
      <c r="AC37">
        <f>IF(AND(AC$2&gt;=$G37,AC$2&lt;=$H37),IF(AND($I37="YES",AC$2=$H37),3,IF($F37=1,4,IF(AC$2&lt;=$G37+($H37-$G37+1)*$F37-1,1,2))),"")</f>
        <v/>
      </c>
      <c r="AD37">
        <f>IF(AND(AD$2&gt;=$G37,AD$2&lt;=$H37),IF(AND($I37="YES",AD$2=$H37),3,IF($F37=1,4,IF(AD$2&lt;=$G37+($H37-$G37+1)*$F37-1,1,2))),"")</f>
        <v/>
      </c>
      <c r="AE37">
        <f>IF(AND(AE$2&gt;=$G37,AE$2&lt;=$H37),IF(AND($I37="YES",AE$2=$H37),3,IF($F37=1,4,IF(AE$2&lt;=$G37+($H37-$G37+1)*$F37-1,1,2))),"")</f>
        <v/>
      </c>
      <c r="AF37">
        <f>IF(AND(AF$2&gt;=$G37,AF$2&lt;=$H37),IF(AND($I37="YES",AF$2=$H37),3,IF($F37=1,4,IF(AF$2&lt;=$G37+($H37-$G37+1)*$F37-1,1,2))),"")</f>
        <v/>
      </c>
      <c r="AG37">
        <f>IF(AND(AG$2&gt;=$G37,AG$2&lt;=$H37),IF(AND($I37="YES",AG$2=$H37),3,IF($F37=1,4,IF(AG$2&lt;=$G37+($H37-$G37+1)*$F37-1,1,2))),"")</f>
        <v/>
      </c>
      <c r="AH37">
        <f>IF(AND(AH$2&gt;=$G37,AH$2&lt;=$H37),IF(AND($I37="YES",AH$2=$H37),3,IF($F37=1,4,IF(AH$2&lt;=$G37+($H37-$G37+1)*$F37-1,1,2))),"")</f>
        <v/>
      </c>
      <c r="AI37">
        <f>IF(AND(AI$2&gt;=$G37,AI$2&lt;=$H37),IF(AND($I37="YES",AI$2=$H37),3,IF($F37=1,4,IF(AI$2&lt;=$G37+($H37-$G37+1)*$F37-1,1,2))),"")</f>
        <v/>
      </c>
      <c r="AJ37">
        <f>IF(AND(AJ$2&gt;=$G37,AJ$2&lt;=$H37),IF(AND($I37="YES",AJ$2=$H37),3,IF($F37=1,4,IF(AJ$2&lt;=$G37+($H37-$G37+1)*$F37-1,1,2))),"")</f>
        <v/>
      </c>
      <c r="AK37">
        <f>IF(AND(AK$2&gt;=$G37,AK$2&lt;=$H37),IF(AND($I37="YES",AK$2=$H37),3,IF($F37=1,4,IF(AK$2&lt;=$G37+($H37-$G37+1)*$F37-1,1,2))),"")</f>
        <v/>
      </c>
      <c r="AL37">
        <f>IF(AND(AL$2&gt;=$G37,AL$2&lt;=$H37),IF(AND($I37="YES",AL$2=$H37),3,IF($F37=1,4,IF(AL$2&lt;=$G37+($H37-$G37+1)*$F37-1,1,2))),"")</f>
        <v/>
      </c>
      <c r="AM37">
        <f>IF(AND(AM$2&gt;=$G37,AM$2&lt;=$H37),IF(AND($I37="YES",AM$2=$H37),3,IF($F37=1,4,IF(AM$2&lt;=$G37+($H37-$G37+1)*$F37-1,1,2))),"")</f>
        <v/>
      </c>
      <c r="AN37">
        <f>IF(AND(AN$2&gt;=$G37,AN$2&lt;=$H37),IF(AND($I37="YES",AN$2=$H37),3,IF($F37=1,4,IF(AN$2&lt;=$G37+($H37-$G37+1)*$F37-1,1,2))),"")</f>
        <v/>
      </c>
      <c r="AO37">
        <f>IF(AND(AO$2&gt;=$G37,AO$2&lt;=$H37),IF(AND($I37="YES",AO$2=$H37),3,IF($F37=1,4,IF(AO$2&lt;=$G37+($H37-$G37+1)*$F37-1,1,2))),"")</f>
        <v/>
      </c>
      <c r="AP37">
        <f>IF(AND(AP$2&gt;=$G37,AP$2&lt;=$H37),IF(AND($I37="YES",AP$2=$H37),3,IF($F37=1,4,IF(AP$2&lt;=$G37+($H37-$G37+1)*$F37-1,1,2))),"")</f>
        <v/>
      </c>
      <c r="AQ37">
        <f>IF(AND(AQ$2&gt;=$G37,AQ$2&lt;=$H37),IF(AND($I37="YES",AQ$2=$H37),3,IF($F37=1,4,IF(AQ$2&lt;=$G37+($H37-$G37+1)*$F37-1,1,2))),"")</f>
        <v/>
      </c>
    </row>
    <row r="38">
      <c r="A38">
        <f>Tracker!A35</f>
        <v/>
      </c>
      <c r="B38">
        <f>Tracker!B35</f>
        <v/>
      </c>
      <c r="C38">
        <f>Tracker!C35</f>
        <v/>
      </c>
      <c r="D38">
        <f>Tracker!J35</f>
        <v/>
      </c>
      <c r="E38">
        <f>Tracker!K35</f>
        <v/>
      </c>
      <c r="F38" s="12">
        <f>Tracker!L35</f>
        <v/>
      </c>
      <c r="G38" s="13">
        <f>Tracker!E35</f>
        <v/>
      </c>
      <c r="H38" s="13">
        <f>Tracker!F35</f>
        <v/>
      </c>
      <c r="I38">
        <f>Tracker!M35</f>
        <v/>
      </c>
      <c r="J38">
        <f>IF(AND(J$2&gt;=$G38,J$2&lt;=$H38),IF(AND($I38="YES",J$2=$H38),3,IF($F38=1,4,IF(J$2&lt;=$G38+($H38-$G38+1)*$F38-1,1,2))),"")</f>
        <v/>
      </c>
      <c r="K38">
        <f>IF(AND(K$2&gt;=$G38,K$2&lt;=$H38),IF(AND($I38="YES",K$2=$H38),3,IF($F38=1,4,IF(K$2&lt;=$G38+($H38-$G38+1)*$F38-1,1,2))),"")</f>
        <v/>
      </c>
      <c r="L38">
        <f>IF(AND(L$2&gt;=$G38,L$2&lt;=$H38),IF(AND($I38="YES",L$2=$H38),3,IF($F38=1,4,IF(L$2&lt;=$G38+($H38-$G38+1)*$F38-1,1,2))),"")</f>
        <v/>
      </c>
      <c r="M38">
        <f>IF(AND(M$2&gt;=$G38,M$2&lt;=$H38),IF(AND($I38="YES",M$2=$H38),3,IF($F38=1,4,IF(M$2&lt;=$G38+($H38-$G38+1)*$F38-1,1,2))),"")</f>
        <v/>
      </c>
      <c r="N38">
        <f>IF(AND(N$2&gt;=$G38,N$2&lt;=$H38),IF(AND($I38="YES",N$2=$H38),3,IF($F38=1,4,IF(N$2&lt;=$G38+($H38-$G38+1)*$F38-1,1,2))),"")</f>
        <v/>
      </c>
      <c r="O38">
        <f>IF(AND(O$2&gt;=$G38,O$2&lt;=$H38),IF(AND($I38="YES",O$2=$H38),3,IF($F38=1,4,IF(O$2&lt;=$G38+($H38-$G38+1)*$F38-1,1,2))),"")</f>
        <v/>
      </c>
      <c r="P38">
        <f>IF(AND(P$2&gt;=$G38,P$2&lt;=$H38),IF(AND($I38="YES",P$2=$H38),3,IF($F38=1,4,IF(P$2&lt;=$G38+($H38-$G38+1)*$F38-1,1,2))),"")</f>
        <v/>
      </c>
      <c r="Q38">
        <f>IF(AND(Q$2&gt;=$G38,Q$2&lt;=$H38),IF(AND($I38="YES",Q$2=$H38),3,IF($F38=1,4,IF(Q$2&lt;=$G38+($H38-$G38+1)*$F38-1,1,2))),"")</f>
        <v/>
      </c>
      <c r="R38">
        <f>IF(AND(R$2&gt;=$G38,R$2&lt;=$H38),IF(AND($I38="YES",R$2=$H38),3,IF($F38=1,4,IF(R$2&lt;=$G38+($H38-$G38+1)*$F38-1,1,2))),"")</f>
        <v/>
      </c>
      <c r="S38">
        <f>IF(AND(S$2&gt;=$G38,S$2&lt;=$H38),IF(AND($I38="YES",S$2=$H38),3,IF($F38=1,4,IF(S$2&lt;=$G38+($H38-$G38+1)*$F38-1,1,2))),"")</f>
        <v/>
      </c>
      <c r="T38">
        <f>IF(AND(T$2&gt;=$G38,T$2&lt;=$H38),IF(AND($I38="YES",T$2=$H38),3,IF($F38=1,4,IF(T$2&lt;=$G38+($H38-$G38+1)*$F38-1,1,2))),"")</f>
        <v/>
      </c>
      <c r="U38">
        <f>IF(AND(U$2&gt;=$G38,U$2&lt;=$H38),IF(AND($I38="YES",U$2=$H38),3,IF($F38=1,4,IF(U$2&lt;=$G38+($H38-$G38+1)*$F38-1,1,2))),"")</f>
        <v/>
      </c>
      <c r="V38">
        <f>IF(AND(V$2&gt;=$G38,V$2&lt;=$H38),IF(AND($I38="YES",V$2=$H38),3,IF($F38=1,4,IF(V$2&lt;=$G38+($H38-$G38+1)*$F38-1,1,2))),"")</f>
        <v/>
      </c>
      <c r="W38">
        <f>IF(AND(W$2&gt;=$G38,W$2&lt;=$H38),IF(AND($I38="YES",W$2=$H38),3,IF($F38=1,4,IF(W$2&lt;=$G38+($H38-$G38+1)*$F38-1,1,2))),"")</f>
        <v/>
      </c>
      <c r="X38">
        <f>IF(AND(X$2&gt;=$G38,X$2&lt;=$H38),IF(AND($I38="YES",X$2=$H38),3,IF($F38=1,4,IF(X$2&lt;=$G38+($H38-$G38+1)*$F38-1,1,2))),"")</f>
        <v/>
      </c>
      <c r="Y38">
        <f>IF(AND(Y$2&gt;=$G38,Y$2&lt;=$H38),IF(AND($I38="YES",Y$2=$H38),3,IF($F38=1,4,IF(Y$2&lt;=$G38+($H38-$G38+1)*$F38-1,1,2))),"")</f>
        <v/>
      </c>
      <c r="Z38">
        <f>IF(AND(Z$2&gt;=$G38,Z$2&lt;=$H38),IF(AND($I38="YES",Z$2=$H38),3,IF($F38=1,4,IF(Z$2&lt;=$G38+($H38-$G38+1)*$F38-1,1,2))),"")</f>
        <v/>
      </c>
      <c r="AA38">
        <f>IF(AND(AA$2&gt;=$G38,AA$2&lt;=$H38),IF(AND($I38="YES",AA$2=$H38),3,IF($F38=1,4,IF(AA$2&lt;=$G38+($H38-$G38+1)*$F38-1,1,2))),"")</f>
        <v/>
      </c>
      <c r="AB38">
        <f>IF(AND(AB$2&gt;=$G38,AB$2&lt;=$H38),IF(AND($I38="YES",AB$2=$H38),3,IF($F38=1,4,IF(AB$2&lt;=$G38+($H38-$G38+1)*$F38-1,1,2))),"")</f>
        <v/>
      </c>
      <c r="AC38">
        <f>IF(AND(AC$2&gt;=$G38,AC$2&lt;=$H38),IF(AND($I38="YES",AC$2=$H38),3,IF($F38=1,4,IF(AC$2&lt;=$G38+($H38-$G38+1)*$F38-1,1,2))),"")</f>
        <v/>
      </c>
      <c r="AD38">
        <f>IF(AND(AD$2&gt;=$G38,AD$2&lt;=$H38),IF(AND($I38="YES",AD$2=$H38),3,IF($F38=1,4,IF(AD$2&lt;=$G38+($H38-$G38+1)*$F38-1,1,2))),"")</f>
        <v/>
      </c>
      <c r="AE38">
        <f>IF(AND(AE$2&gt;=$G38,AE$2&lt;=$H38),IF(AND($I38="YES",AE$2=$H38),3,IF($F38=1,4,IF(AE$2&lt;=$G38+($H38-$G38+1)*$F38-1,1,2))),"")</f>
        <v/>
      </c>
      <c r="AF38">
        <f>IF(AND(AF$2&gt;=$G38,AF$2&lt;=$H38),IF(AND($I38="YES",AF$2=$H38),3,IF($F38=1,4,IF(AF$2&lt;=$G38+($H38-$G38+1)*$F38-1,1,2))),"")</f>
        <v/>
      </c>
      <c r="AG38">
        <f>IF(AND(AG$2&gt;=$G38,AG$2&lt;=$H38),IF(AND($I38="YES",AG$2=$H38),3,IF($F38=1,4,IF(AG$2&lt;=$G38+($H38-$G38+1)*$F38-1,1,2))),"")</f>
        <v/>
      </c>
      <c r="AH38">
        <f>IF(AND(AH$2&gt;=$G38,AH$2&lt;=$H38),IF(AND($I38="YES",AH$2=$H38),3,IF($F38=1,4,IF(AH$2&lt;=$G38+($H38-$G38+1)*$F38-1,1,2))),"")</f>
        <v/>
      </c>
      <c r="AI38">
        <f>IF(AND(AI$2&gt;=$G38,AI$2&lt;=$H38),IF(AND($I38="YES",AI$2=$H38),3,IF($F38=1,4,IF(AI$2&lt;=$G38+($H38-$G38+1)*$F38-1,1,2))),"")</f>
        <v/>
      </c>
      <c r="AJ38">
        <f>IF(AND(AJ$2&gt;=$G38,AJ$2&lt;=$H38),IF(AND($I38="YES",AJ$2=$H38),3,IF($F38=1,4,IF(AJ$2&lt;=$G38+($H38-$G38+1)*$F38-1,1,2))),"")</f>
        <v/>
      </c>
      <c r="AK38">
        <f>IF(AND(AK$2&gt;=$G38,AK$2&lt;=$H38),IF(AND($I38="YES",AK$2=$H38),3,IF($F38=1,4,IF(AK$2&lt;=$G38+($H38-$G38+1)*$F38-1,1,2))),"")</f>
        <v/>
      </c>
      <c r="AL38">
        <f>IF(AND(AL$2&gt;=$G38,AL$2&lt;=$H38),IF(AND($I38="YES",AL$2=$H38),3,IF($F38=1,4,IF(AL$2&lt;=$G38+($H38-$G38+1)*$F38-1,1,2))),"")</f>
        <v/>
      </c>
      <c r="AM38">
        <f>IF(AND(AM$2&gt;=$G38,AM$2&lt;=$H38),IF(AND($I38="YES",AM$2=$H38),3,IF($F38=1,4,IF(AM$2&lt;=$G38+($H38-$G38+1)*$F38-1,1,2))),"")</f>
        <v/>
      </c>
      <c r="AN38">
        <f>IF(AND(AN$2&gt;=$G38,AN$2&lt;=$H38),IF(AND($I38="YES",AN$2=$H38),3,IF($F38=1,4,IF(AN$2&lt;=$G38+($H38-$G38+1)*$F38-1,1,2))),"")</f>
        <v/>
      </c>
      <c r="AO38">
        <f>IF(AND(AO$2&gt;=$G38,AO$2&lt;=$H38),IF(AND($I38="YES",AO$2=$H38),3,IF($F38=1,4,IF(AO$2&lt;=$G38+($H38-$G38+1)*$F38-1,1,2))),"")</f>
        <v/>
      </c>
      <c r="AP38">
        <f>IF(AND(AP$2&gt;=$G38,AP$2&lt;=$H38),IF(AND($I38="YES",AP$2=$H38),3,IF($F38=1,4,IF(AP$2&lt;=$G38+($H38-$G38+1)*$F38-1,1,2))),"")</f>
        <v/>
      </c>
      <c r="AQ38">
        <f>IF(AND(AQ$2&gt;=$G38,AQ$2&lt;=$H38),IF(AND($I38="YES",AQ$2=$H38),3,IF($F38=1,4,IF(AQ$2&lt;=$G38+($H38-$G38+1)*$F38-1,1,2))),"")</f>
        <v/>
      </c>
    </row>
  </sheetData>
  <autoFilter ref="A2:I38"/>
  <conditionalFormatting sqref="J5:AQ38">
    <cfRule type="cellIs" priority="1" operator="equal" dxfId="11">
      <formula>1</formula>
    </cfRule>
    <cfRule type="cellIs" priority="2" operator="equal" dxfId="12">
      <formula>2</formula>
    </cfRule>
    <cfRule type="cellIs" priority="3" operator="equal" dxfId="13">
      <formula>3</formula>
    </cfRule>
    <cfRule type="cellIs" priority="4" operator="equal" dxfId="14">
      <formula>4</formula>
    </cfRule>
    <cfRule type="expression" priority="5" dxfId="15">
      <formula>WEEKDAY(J$2,2)&gt;=6</formula>
    </cfRule>
    <cfRule type="expression" priority="6" dxfId="16">
      <formula>AND($E5="Delayed",J5=2)</formula>
    </cfRule>
    <cfRule type="expression" priority="7" dxfId="17">
      <formula>AND($E5="On Hold",J5=2)</formula>
    </cfRule>
    <cfRule type="expression" priority="8" dxfId="18">
      <formula>AND($E5="Not Started",J5=2)</formula>
    </cfRule>
    <cfRule type="expression" priority="10" dxfId="6">
      <formula>J$2=Dashboard!$B$2</formula>
    </cfRule>
  </conditionalFormatting>
  <conditionalFormatting sqref="J2:AQ4">
    <cfRule type="expression" priority="9" dxfId="19">
      <formula>J$2=Dashboard!$B$2</formula>
    </cfRule>
  </conditionalFormatting>
  <conditionalFormatting sqref="B5:B38">
    <cfRule type="expression" priority="11" dxfId="4">
      <formula>$B5="Phase 1: Governance, Policy &amp; Canonical State"</formula>
    </cfRule>
    <cfRule type="expression" priority="12" dxfId="5">
      <formula>$B5="Phase 2: Governed Data Plane &amp; Central Storage"</formula>
    </cfRule>
    <cfRule type="expression" priority="13" dxfId="6">
      <formula>$B5="Phase 3: Sandbox Isolation &amp; Sub-Agent Readiness"</formula>
    </cfRule>
    <cfRule type="expression" priority="14" dxfId="7">
      <formula>$B5="Phase 4: Domain Intelligence &amp; Asset Synthesis"</formula>
    </cfRule>
    <cfRule type="expression" priority="15" dxfId="8">
      <formula>$B5="Phase 5: Evidence Consolidation &amp; HITL"</formula>
    </cfRule>
    <cfRule type="expression" priority="16" dxfId="9">
      <formula>$B5="Phase 6: Outbound Actuation &amp; Go-Live"</formula>
    </cfRule>
    <cfRule type="expression" priority="17" dxfId="10">
      <formula>$B5="Phase 7: Telemetry Optimization &amp; Closeout"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40" customWidth="1" min="3" max="3"/>
  </cols>
  <sheetData>
    <row r="1">
      <c r="A1" s="14" t="inlineStr">
        <is>
          <t>Project Dashboard - Governed Multi-Brand Agentic System</t>
        </is>
      </c>
    </row>
    <row r="2">
      <c r="A2" t="inlineStr">
        <is>
          <t>Reporting Date (controls Active/Overdue calculations):</t>
        </is>
      </c>
      <c r="B2" s="4" t="n">
        <v>46275</v>
      </c>
      <c r="C2" t="inlineStr">
        <is>
          <t>Project Window: 2026-09-11 to 2026-10-14 (34 days)</t>
        </is>
      </c>
    </row>
    <row r="4">
      <c r="A4" s="15" t="inlineStr">
        <is>
          <t>KPI</t>
        </is>
      </c>
      <c r="B4" s="15" t="inlineStr">
        <is>
          <t>Value</t>
        </is>
      </c>
      <c r="C4" s="15" t="inlineStr">
        <is>
          <t>Formula / Notes</t>
        </is>
      </c>
    </row>
    <row r="5">
      <c r="A5" s="16" t="inlineStr">
        <is>
          <t>Total Tasks</t>
        </is>
      </c>
      <c r="B5">
        <f>COUNTA(Tracker!A2:A35)</f>
        <v/>
      </c>
      <c r="C5" t="inlineStr">
        <is>
          <t>Count of tasks</t>
        </is>
      </c>
    </row>
    <row r="6">
      <c r="A6" s="16" t="inlineStr">
        <is>
          <t>Completed Tasks</t>
        </is>
      </c>
      <c r="B6">
        <f>COUNTIF(Tracker!K2:K35,"Completed")</f>
        <v/>
      </c>
      <c r="C6" t="inlineStr"/>
    </row>
    <row r="7">
      <c r="A7" s="16" t="inlineStr">
        <is>
          <t>In Progress Tasks</t>
        </is>
      </c>
      <c r="B7" s="12">
        <f>COUNTIF(Tracker!K2:K35,"In Progress")</f>
        <v/>
      </c>
      <c r="C7" t="inlineStr"/>
    </row>
    <row r="8">
      <c r="A8" s="16" t="inlineStr">
        <is>
          <t>Not Started Tasks</t>
        </is>
      </c>
      <c r="B8">
        <f>COUNTIF(Tracker!K2:K35,"Not Started")</f>
        <v/>
      </c>
      <c r="C8" t="inlineStr"/>
    </row>
    <row r="9">
      <c r="A9" s="16" t="inlineStr">
        <is>
          <t>On Hold Tasks</t>
        </is>
      </c>
      <c r="B9">
        <f>COUNTIF(Tracker!K2:K35,"On Hold")</f>
        <v/>
      </c>
      <c r="C9" t="inlineStr"/>
    </row>
    <row r="10">
      <c r="A10" s="16" t="inlineStr">
        <is>
          <t>Delayed Tasks</t>
        </is>
      </c>
      <c r="B10">
        <f>COUNTIF(Tracker!K2:K35,"Delayed")</f>
        <v/>
      </c>
      <c r="C10" t="inlineStr"/>
    </row>
    <row r="11">
      <c r="A11" s="16" t="inlineStr">
        <is>
          <t>Overdue (by date)</t>
        </is>
      </c>
      <c r="B11">
        <f>COUNTIF(Tracker!R2:R35,"Overdue")</f>
        <v/>
      </c>
      <c r="C11" t="inlineStr">
        <is>
          <t>Based on Report Date</t>
        </is>
      </c>
    </row>
    <row r="12">
      <c r="A12" s="16" t="inlineStr">
        <is>
          <t>Overall Progress (simple avg)</t>
        </is>
      </c>
      <c r="B12" s="12">
        <f>AVERAGE(Tracker!L2:L35)</f>
        <v/>
      </c>
      <c r="C12" t="inlineStr">
        <is>
          <t>Avg of Progress %</t>
        </is>
      </c>
    </row>
    <row r="13">
      <c r="A13" s="16" t="inlineStr">
        <is>
          <t>Overall Progress (weighted by duration)</t>
        </is>
      </c>
      <c r="B13" s="12">
        <f>IF(SUM(Tracker!G2:G35)=0,"",SUMPRODUCT(Tracker!G2:G35,Tracker!L2:L35)/SUM(Tracker!G2:G35))</f>
        <v/>
      </c>
      <c r="C13" t="inlineStr">
        <is>
          <t>Weighted</t>
        </is>
      </c>
    </row>
    <row r="14">
      <c r="A14" s="16" t="inlineStr">
        <is>
          <t>Milestones Completed</t>
        </is>
      </c>
      <c r="B14">
        <f>COUNTIF(Milestones!G2:G8,"Yes - Completed")</f>
        <v/>
      </c>
      <c r="C14" t="inlineStr"/>
    </row>
    <row r="15">
      <c r="A15" s="16" t="inlineStr">
        <is>
          <t>Milestones Remaining</t>
        </is>
      </c>
      <c r="B15">
        <f>7-COUNTIF(Milestones!G2:G8,"Yes - Completed")</f>
        <v/>
      </c>
      <c r="C15" t="inlineStr"/>
    </row>
    <row r="16">
      <c r="A16" s="16" t="inlineStr">
        <is>
          <t>Tasks with Conflict</t>
        </is>
      </c>
      <c r="B16">
        <f>COUNTIF(Tracker!Q2:Q35,"*⚠*")</f>
        <v/>
      </c>
      <c r="C16" t="inlineStr"/>
    </row>
    <row r="17">
      <c r="A17" s="16" t="inlineStr">
        <is>
          <t>Days Remaining</t>
        </is>
      </c>
      <c r="B17">
        <f>DATE(2026,10,14)-B2</f>
        <v/>
      </c>
      <c r="C17" t="inlineStr"/>
    </row>
    <row r="19">
      <c r="A19" t="inlineStr">
        <is>
          <t>Tasks by Status</t>
        </is>
      </c>
      <c r="D19" t="inlineStr">
        <is>
          <t>Tasks by Phase / Workstream</t>
        </is>
      </c>
    </row>
    <row r="20">
      <c r="A20" t="inlineStr">
        <is>
          <t>Status</t>
        </is>
      </c>
      <c r="B20" t="inlineStr">
        <is>
          <t>Count</t>
        </is>
      </c>
      <c r="D20" t="inlineStr">
        <is>
          <t>Phase</t>
        </is>
      </c>
      <c r="E20" t="inlineStr">
        <is>
          <t>Count</t>
        </is>
      </c>
      <c r="F20" t="inlineStr">
        <is>
          <t>Avg Progress</t>
        </is>
      </c>
    </row>
    <row r="21">
      <c r="A21" t="inlineStr">
        <is>
          <t>Not Started</t>
        </is>
      </c>
      <c r="B21">
        <f>COUNTIF(Tracker!K2:K35,A21)</f>
        <v/>
      </c>
      <c r="D21" t="inlineStr">
        <is>
          <t>Phase 1: Governance, Policy &amp; Canonical State</t>
        </is>
      </c>
      <c r="E21">
        <f>COUNTIF(Tracker!B2:B35,D21)</f>
        <v/>
      </c>
      <c r="F21" s="12">
        <f>IF(E21=0,"",AVERAGEIF(Tracker!B2:B35,D21,Tracker!L2:L35))</f>
        <v/>
      </c>
    </row>
    <row r="22">
      <c r="A22" t="inlineStr">
        <is>
          <t>In Progress</t>
        </is>
      </c>
      <c r="B22">
        <f>COUNTIF(Tracker!K2:K35,A22)</f>
        <v/>
      </c>
      <c r="D22" t="inlineStr">
        <is>
          <t>Phase 2: Governed Data Plane &amp; Central Storage</t>
        </is>
      </c>
      <c r="E22">
        <f>COUNTIF(Tracker!B2:B35,D22)</f>
        <v/>
      </c>
      <c r="F22" s="12">
        <f>IF(E22=0,"",AVERAGEIF(Tracker!B2:B35,D22,Tracker!L2:L35))</f>
        <v/>
      </c>
    </row>
    <row r="23">
      <c r="A23" t="inlineStr">
        <is>
          <t>Completed</t>
        </is>
      </c>
      <c r="B23">
        <f>COUNTIF(Tracker!K2:K35,A23)</f>
        <v/>
      </c>
      <c r="D23" t="inlineStr">
        <is>
          <t>Phase 3: Sandbox Isolation &amp; Sub-Agent Readiness</t>
        </is>
      </c>
      <c r="E23">
        <f>COUNTIF(Tracker!B2:B35,D23)</f>
        <v/>
      </c>
      <c r="F23" s="12">
        <f>IF(E23=0,"",AVERAGEIF(Tracker!B2:B35,D23,Tracker!L2:L35))</f>
        <v/>
      </c>
    </row>
    <row r="24">
      <c r="A24" t="inlineStr">
        <is>
          <t>On Hold</t>
        </is>
      </c>
      <c r="B24">
        <f>COUNTIF(Tracker!K2:K35,A24)</f>
        <v/>
      </c>
      <c r="D24" t="inlineStr">
        <is>
          <t>Phase 4: Domain Intelligence &amp; Asset Synthesis</t>
        </is>
      </c>
      <c r="E24">
        <f>COUNTIF(Tracker!B2:B35,D24)</f>
        <v/>
      </c>
      <c r="F24" s="12">
        <f>IF(E24=0,"",AVERAGEIF(Tracker!B2:B35,D24,Tracker!L2:L35))</f>
        <v/>
      </c>
    </row>
    <row r="25">
      <c r="A25" t="inlineStr">
        <is>
          <t>Delayed</t>
        </is>
      </c>
      <c r="B25">
        <f>COUNTIF(Tracker!K2:K35,A25)</f>
        <v/>
      </c>
      <c r="D25" t="inlineStr">
        <is>
          <t>Phase 5: Evidence Consolidation &amp; HITL</t>
        </is>
      </c>
      <c r="E25">
        <f>COUNTIF(Tracker!B2:B35,D25)</f>
        <v/>
      </c>
      <c r="F25" s="12">
        <f>IF(E25=0,"",AVERAGEIF(Tracker!B2:B35,D25,Tracker!L2:L35))</f>
        <v/>
      </c>
    </row>
    <row r="26">
      <c r="D26" t="inlineStr">
        <is>
          <t>Phase 6: Outbound Actuation &amp; Go-Live</t>
        </is>
      </c>
      <c r="E26">
        <f>COUNTIF(Tracker!B2:B35,D26)</f>
        <v/>
      </c>
      <c r="F26" s="12">
        <f>IF(E26=0,"",AVERAGEIF(Tracker!B2:B35,D26,Tracker!L2:L35))</f>
        <v/>
      </c>
    </row>
    <row r="27">
      <c r="A27" t="inlineStr">
        <is>
          <t>Upcoming Deadlines (Next 7 days from Report Date)</t>
        </is>
      </c>
      <c r="D27" t="inlineStr">
        <is>
          <t>Phase 7: Telemetry Optimization &amp; Closeout</t>
        </is>
      </c>
      <c r="E27">
        <f>COUNTIF(Tracker!B2:B35,D27)</f>
        <v/>
      </c>
      <c r="F27" s="12">
        <f>IF(E27=0,"",AVERAGEIF(Tracker!B2:B35,D27,Tracker!L2:L35))</f>
        <v/>
      </c>
    </row>
    <row r="28">
      <c r="A28" t="inlineStr">
        <is>
          <t>Task ID</t>
        </is>
      </c>
      <c r="B28" t="inlineStr">
        <is>
          <t>Task Name</t>
        </is>
      </c>
      <c r="C28" t="inlineStr">
        <is>
          <t>End Date</t>
        </is>
      </c>
      <c r="D28" t="inlineStr">
        <is>
          <t>Status</t>
        </is>
      </c>
      <c r="E28" t="inlineStr">
        <is>
          <t>Progress</t>
        </is>
      </c>
    </row>
    <row r="29">
      <c r="A29">
        <f>IFERROR(FILTER(Tracker!A2:F35,(Tracker!F2:F35&gt;=B2)*(Tracker!F2:F35&lt;=B2+7)),"No deadlines in next 7 days")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4" customWidth="1" min="3" max="3"/>
    <col width="28" customWidth="1" min="4" max="4"/>
    <col width="14" customWidth="1" min="5" max="5"/>
    <col width="16" customWidth="1" min="6" max="6"/>
    <col width="18" customWidth="1" min="7" max="7"/>
    <col width="50" customWidth="1" min="8" max="8"/>
  </cols>
  <sheetData>
    <row r="1">
      <c r="A1" s="15" t="inlineStr">
        <is>
          <t>Milestone ID</t>
        </is>
      </c>
      <c r="B1" s="15" t="inlineStr">
        <is>
          <t>Milestone Name</t>
        </is>
      </c>
      <c r="C1" s="15" t="inlineStr">
        <is>
          <t>Milestone Date</t>
        </is>
      </c>
      <c r="D1" s="15" t="inlineStr">
        <is>
          <t>Linked Tasks</t>
        </is>
      </c>
      <c r="E1" s="15" t="inlineStr">
        <is>
          <t>Status</t>
        </is>
      </c>
      <c r="F1" s="15" t="inlineStr">
        <is>
          <t>Avg Progress of Linked Tasks</t>
        </is>
      </c>
      <c r="G1" s="15" t="inlineStr">
        <is>
          <t>Completed?</t>
        </is>
      </c>
      <c r="H1" s="15" t="inlineStr">
        <is>
          <t>Description</t>
        </is>
      </c>
    </row>
    <row r="2">
      <c r="A2" t="inlineStr">
        <is>
          <t>M1</t>
        </is>
      </c>
      <c r="B2" t="inlineStr">
        <is>
          <t>Governance, Policy &amp; Canonical State Initialization</t>
        </is>
      </c>
      <c r="C2" s="13" t="n">
        <v>46279</v>
      </c>
      <c r="D2" t="inlineStr">
        <is>
          <t>T01, T02, T03, T04</t>
        </is>
      </c>
      <c r="E2" t="inlineStr">
        <is>
          <t>Complete</t>
        </is>
      </c>
      <c r="F2" s="12">
        <f>IF(D2="","",AVERAGE(XLOOKUP(TEXTSPLIT(D2,", ",,TRUE),Tracker!$A$2:$A$35,Tracker!$L$2:$L$35)))</f>
        <v/>
      </c>
      <c r="G2">
        <f>IF(F2=1,"Yes - Completed",IF(F2&gt;0,"Partial","Not Started"))</f>
        <v/>
      </c>
      <c r="H2" t="inlineStr">
        <is>
          <t>Governance policies, PAB rules, CTS DAG ready</t>
        </is>
      </c>
    </row>
    <row r="3">
      <c r="A3" t="inlineStr">
        <is>
          <t>M2</t>
        </is>
      </c>
      <c r="B3" t="inlineStr">
        <is>
          <t>Governed Data Plane &amp; Central Storage Integration (Model A)</t>
        </is>
      </c>
      <c r="C3" s="13" t="n">
        <v>46284</v>
      </c>
      <c r="D3" t="inlineStr">
        <is>
          <t>T05, T06, T07, T08, T09, T10</t>
        </is>
      </c>
      <c r="E3" t="inlineStr">
        <is>
          <t>Complete</t>
        </is>
      </c>
      <c r="F3" s="12">
        <f>IF(D3="","",AVERAGE(XLOOKUP(TEXTSPLIT(D3,", ",,TRUE),Tracker!$A$2:$A$35,Tracker!$L$2:$L$35)))</f>
        <v/>
      </c>
      <c r="G3">
        <f>IF(F3=1,"Yes - Completed",IF(F3&gt;0,"Partial","Not Started"))</f>
        <v/>
      </c>
      <c r="H3" t="inlineStr">
        <is>
          <t>CDB, CMS, MEM, ART, MCP Gateway, Agentic RAG</t>
        </is>
      </c>
    </row>
    <row r="4">
      <c r="A4" t="inlineStr">
        <is>
          <t>M3</t>
        </is>
      </c>
      <c r="B4" t="inlineStr">
        <is>
          <t>Sandbox Isolation &amp; Specialist Sub-Agent Readiness</t>
        </is>
      </c>
      <c r="C4" s="13" t="n">
        <v>46288</v>
      </c>
      <c r="D4" t="inlineStr">
        <is>
          <t>T11, T12, T13, T14</t>
        </is>
      </c>
      <c r="E4" t="inlineStr">
        <is>
          <t>Complete</t>
        </is>
      </c>
      <c r="F4" s="12">
        <f>IF(D4="","",AVERAGE(XLOOKUP(TEXTSPLIT(D4,", ",,TRUE),Tracker!$A$2:$A$35,Tracker!$L$2:$L$35)))</f>
        <v/>
      </c>
      <c r="G4">
        <f>IF(F4=1,"Yes - Completed",IF(F4&gt;0,"Partial","Not Started"))</f>
        <v/>
      </c>
      <c r="H4" t="inlineStr">
        <is>
          <t>agent_sandbox, proxy, audit, sub-agent tools</t>
        </is>
      </c>
    </row>
    <row r="5">
      <c r="A5" t="inlineStr">
        <is>
          <t>M4</t>
        </is>
      </c>
      <c r="B5" t="inlineStr">
        <is>
          <t>Domain Intelligence Ingestion &amp; Asset Synthesis Complete</t>
        </is>
      </c>
      <c r="C5" s="13" t="n">
        <v>46297</v>
      </c>
      <c r="D5" t="inlineStr">
        <is>
          <t>T15, T16, T17, T18, T19, T20, T21</t>
        </is>
      </c>
      <c r="E5" t="inlineStr">
        <is>
          <t>Complete</t>
        </is>
      </c>
      <c r="F5" s="12">
        <f>IF(D5="","",AVERAGE(XLOOKUP(TEXTSPLIT(D5,", ",,TRUE),Tracker!$A$2:$A$35,Tracker!$L$2:$L$35)))</f>
        <v/>
      </c>
      <c r="G5">
        <f>IF(F5=1,"Yes - Completed",IF(F5&gt;0,"Partial","Not Started"))</f>
        <v/>
      </c>
      <c r="H5" t="inlineStr">
        <is>
          <t>IE context, W_PROD/VOICE/COMP/STRAT/CREAT/DEV outputs</t>
        </is>
      </c>
    </row>
    <row r="6">
      <c r="A6" t="inlineStr">
        <is>
          <t>M5</t>
        </is>
      </c>
      <c r="B6" t="inlineStr">
        <is>
          <t>HITL Gateway Clearance &amp; Cryptographic Authorization</t>
        </is>
      </c>
      <c r="C6" s="13" t="n">
        <v>46301</v>
      </c>
      <c r="D6" t="inlineStr">
        <is>
          <t>T22, T23, T24</t>
        </is>
      </c>
      <c r="E6" t="inlineStr">
        <is>
          <t>In Progress</t>
        </is>
      </c>
      <c r="F6" s="12">
        <f>IF(D6="","",AVERAGE(XLOOKUP(TEXTSPLIT(D6,", ",,TRUE),Tracker!$A$2:$A$35,Tracker!$L$2:$L$35)))</f>
        <v/>
      </c>
      <c r="G6">
        <f>IF(F6=1,"Yes - Completed",IF(F6&gt;0,"Partial","Not Started"))</f>
        <v/>
      </c>
      <c r="H6" t="inlineStr">
        <is>
          <t>Evidence consolidation, action previews, HITL sign-off</t>
        </is>
      </c>
    </row>
    <row r="7">
      <c r="A7" t="inlineStr">
        <is>
          <t>M6</t>
        </is>
      </c>
      <c r="B7" t="inlineStr">
        <is>
          <t>Outbound Actuation, Telemetry &amp; Omnichannel Go-Live</t>
        </is>
      </c>
      <c r="C7" s="13" t="n">
        <v>46305</v>
      </c>
      <c r="D7" t="inlineStr">
        <is>
          <t>T25, T26, T27, T28, T29</t>
        </is>
      </c>
      <c r="E7" t="inlineStr">
        <is>
          <t>Planned</t>
        </is>
      </c>
      <c r="F7" s="12">
        <f>IF(D7="","",AVERAGE(XLOOKUP(TEXTSPLIT(D7,", ",,TRUE),Tracker!$A$2:$A$35,Tracker!$L$2:$L$35)))</f>
        <v/>
      </c>
      <c r="G7">
        <f>IF(F7=1,"Yes - Completed",IF(F7&gt;0,"Partial","Not Started"))</f>
        <v/>
      </c>
      <c r="H7" t="inlineStr">
        <is>
          <t>Outbound MCP, Website, Ads, Social, Telemetry hooks</t>
        </is>
      </c>
    </row>
    <row r="8">
      <c r="A8" t="inlineStr">
        <is>
          <t>M7</t>
        </is>
      </c>
      <c r="B8" t="inlineStr">
        <is>
          <t>Closed-Loop Telemetry Optimization &amp; Final Project Closeout</t>
        </is>
      </c>
      <c r="C8" s="13" t="n">
        <v>46309</v>
      </c>
      <c r="D8" t="inlineStr">
        <is>
          <t>T30, T31, T32, T33, T34</t>
        </is>
      </c>
      <c r="E8" t="inlineStr">
        <is>
          <t>Planned</t>
        </is>
      </c>
      <c r="F8" s="12">
        <f>IF(D8="","",AVERAGE(XLOOKUP(TEXTSPLIT(D8,", ",,TRUE),Tracker!$A$2:$A$35,Tracker!$L$2:$L$35)))</f>
        <v/>
      </c>
      <c r="G8">
        <f>IF(F8=1,"Yes - Completed",IF(F8&gt;0,"Partial","Not Started"))</f>
        <v/>
      </c>
      <c r="H8" t="inlineStr">
        <is>
          <t>Live ingestion, attribution, memory promotion, audit close</t>
        </is>
      </c>
    </row>
  </sheetData>
  <autoFilter ref="A1:H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6" customWidth="1" min="4" max="4"/>
    <col width="18" customWidth="1" min="5" max="5"/>
    <col width="14" customWidth="1" min="6" max="6"/>
    <col width="22" customWidth="1" min="7" max="7"/>
    <col width="40" customWidth="1" min="8" max="8"/>
  </cols>
  <sheetData>
    <row r="1">
      <c r="A1" s="15" t="inlineStr">
        <is>
          <t>Resource Name</t>
        </is>
      </c>
      <c r="B1" s="15" t="inlineStr">
        <is>
          <t>Assigned Tasks</t>
        </is>
      </c>
      <c r="C1" s="15" t="inlineStr">
        <is>
          <t>Active Tasks</t>
        </is>
      </c>
      <c r="D1" s="15" t="inlineStr">
        <is>
          <t>Completed Tasks</t>
        </is>
      </c>
      <c r="E1" s="15" t="inlineStr">
        <is>
          <t>Outstanding Tasks</t>
        </is>
      </c>
      <c r="F1" s="15" t="inlineStr">
        <is>
          <t>Avg Progress</t>
        </is>
      </c>
      <c r="G1" s="15" t="inlineStr">
        <is>
          <t>Workload Flag</t>
        </is>
      </c>
      <c r="H1" s="15" t="inlineStr">
        <is>
          <t>Tasks List</t>
        </is>
      </c>
    </row>
    <row r="2">
      <c r="A2" t="inlineStr">
        <is>
          <t>Brand Stakeholder / Portfolio Owner</t>
        </is>
      </c>
      <c r="B2" t="n">
        <v>1</v>
      </c>
      <c r="C2">
        <f>COUNTIFS(Tracker!$J$2:$J$35,A2,Tracker!$K$2:$K$35,"In Progress")</f>
        <v/>
      </c>
      <c r="D2">
        <f>COUNTIFS(Tracker!$J$2:$J$35,A2,Tracker!$K$2:$K$35,"Completed")</f>
        <v/>
      </c>
      <c r="E2">
        <f>B2-D2</f>
        <v/>
      </c>
      <c r="F2" s="12">
        <f>IFERROR(AVERAGE(XLOOKUP(TEXTSPLIT(H2,", ",,TRUE),Tracker!$A$2:$A$35,Tracker!$L$2:$L$35)),"")</f>
        <v/>
      </c>
      <c r="G2">
        <f>IF(B2&gt;3,"⚠ High load",IF(AND(C2&gt;1,E2&gt;2),"⚠ Potential overlap","OK"))</f>
        <v/>
      </c>
      <c r="H2" t="inlineStr">
        <is>
          <t>T01</t>
        </is>
      </c>
    </row>
    <row r="3">
      <c r="A3" t="inlineStr">
        <is>
          <t>Enterprise Policy Engine</t>
        </is>
      </c>
      <c r="B3" t="n">
        <v>1</v>
      </c>
      <c r="C3">
        <f>COUNTIFS(Tracker!$J$2:$J$35,A3,Tracker!$K$2:$K$35,"In Progress")</f>
        <v/>
      </c>
      <c r="D3">
        <f>COUNTIFS(Tracker!$J$2:$J$35,A3,Tracker!$K$2:$K$35,"Completed")</f>
        <v/>
      </c>
      <c r="E3">
        <f>B3-D3</f>
        <v/>
      </c>
      <c r="F3" s="12">
        <f>IFERROR(AVERAGE(XLOOKUP(TEXTSPLIT(H3,", ",,TRUE),Tracker!$A$2:$A$35,Tracker!$L$2:$L$35)),"")</f>
        <v/>
      </c>
      <c r="G3">
        <f>IF(B3&gt;3,"⚠ High load",IF(AND(C3&gt;1,E3&gt;2),"⚠ Potential overlap","OK"))</f>
        <v/>
      </c>
      <c r="H3" t="inlineStr">
        <is>
          <t>T02</t>
        </is>
      </c>
    </row>
    <row r="4">
      <c r="A4" t="inlineStr">
        <is>
          <t>Policy &amp; Authorization Boundary (PAB)</t>
        </is>
      </c>
      <c r="B4" t="n">
        <v>1</v>
      </c>
      <c r="C4">
        <f>COUNTIFS(Tracker!$J$2:$J$35,A4,Tracker!$K$2:$K$35,"In Progress")</f>
        <v/>
      </c>
      <c r="D4">
        <f>COUNTIFS(Tracker!$J$2:$J$35,A4,Tracker!$K$2:$K$35,"Completed")</f>
        <v/>
      </c>
      <c r="E4">
        <f>B4-D4</f>
        <v/>
      </c>
      <c r="F4" s="12">
        <f>IFERROR(AVERAGE(XLOOKUP(TEXTSPLIT(H4,", ",,TRUE),Tracker!$A$2:$A$35,Tracker!$L$2:$L$35)),"")</f>
        <v/>
      </c>
      <c r="G4">
        <f>IF(B4&gt;3,"⚠ High load",IF(AND(C4&gt;1,E4&gt;2),"⚠ Potential overlap","OK"))</f>
        <v/>
      </c>
      <c r="H4" t="inlineStr">
        <is>
          <t>T03</t>
        </is>
      </c>
    </row>
    <row r="5">
      <c r="A5" t="inlineStr">
        <is>
          <t>Canonical Task State Machine (CTS)</t>
        </is>
      </c>
      <c r="B5" t="n">
        <v>1</v>
      </c>
      <c r="C5">
        <f>COUNTIFS(Tracker!$J$2:$J$35,A5,Tracker!$K$2:$K$35,"In Progress")</f>
        <v/>
      </c>
      <c r="D5">
        <f>COUNTIFS(Tracker!$J$2:$J$35,A5,Tracker!$K$2:$K$35,"Completed")</f>
        <v/>
      </c>
      <c r="E5">
        <f>B5-D5</f>
        <v/>
      </c>
      <c r="F5" s="12">
        <f>IFERROR(AVERAGE(XLOOKUP(TEXTSPLIT(H5,", ",,TRUE),Tracker!$A$2:$A$35,Tracker!$L$2:$L$35)),"")</f>
        <v/>
      </c>
      <c r="G5">
        <f>IF(B5&gt;3,"⚠ High load",IF(AND(C5&gt;1,E5&gt;2),"⚠ Potential overlap","OK"))</f>
        <v/>
      </c>
      <c r="H5" t="inlineStr">
        <is>
          <t>T04</t>
        </is>
      </c>
    </row>
    <row r="6">
      <c r="A6" t="inlineStr">
        <is>
          <t>Central Enterprise Database (CDB)</t>
        </is>
      </c>
      <c r="B6" t="n">
        <v>1</v>
      </c>
      <c r="C6">
        <f>COUNTIFS(Tracker!$J$2:$J$35,A6,Tracker!$K$2:$K$35,"In Progress")</f>
        <v/>
      </c>
      <c r="D6">
        <f>COUNTIFS(Tracker!$J$2:$J$35,A6,Tracker!$K$2:$K$35,"Completed")</f>
        <v/>
      </c>
      <c r="E6">
        <f>B6-D6</f>
        <v/>
      </c>
      <c r="F6" s="12">
        <f>IFERROR(AVERAGE(XLOOKUP(TEXTSPLIT(H6,", ",,TRUE),Tracker!$A$2:$A$35,Tracker!$L$2:$L$35)),"")</f>
        <v/>
      </c>
      <c r="G6">
        <f>IF(B6&gt;3,"⚠ High load",IF(AND(C6&gt;1,E6&gt;2),"⚠ Potential overlap","OK"))</f>
        <v/>
      </c>
      <c r="H6" t="inlineStr">
        <is>
          <t>T05</t>
        </is>
      </c>
    </row>
    <row r="7">
      <c r="A7" t="inlineStr">
        <is>
          <t>Headless CMS &amp; Web Store (CMS)</t>
        </is>
      </c>
      <c r="B7" t="n">
        <v>1</v>
      </c>
      <c r="C7">
        <f>COUNTIFS(Tracker!$J$2:$J$35,A7,Tracker!$K$2:$K$35,"In Progress")</f>
        <v/>
      </c>
      <c r="D7">
        <f>COUNTIFS(Tracker!$J$2:$J$35,A7,Tracker!$K$2:$K$35,"Completed")</f>
        <v/>
      </c>
      <c r="E7">
        <f>B7-D7</f>
        <v/>
      </c>
      <c r="F7" s="12">
        <f>IFERROR(AVERAGE(XLOOKUP(TEXTSPLIT(H7,", ",,TRUE),Tracker!$A$2:$A$35,Tracker!$L$2:$L$35)),"")</f>
        <v/>
      </c>
      <c r="G7">
        <f>IF(B7&gt;3,"⚠ High load",IF(AND(C7&gt;1,E7&gt;2),"⚠ Potential overlap","OK"))</f>
        <v/>
      </c>
      <c r="H7" t="inlineStr">
        <is>
          <t>T06</t>
        </is>
      </c>
    </row>
    <row r="8">
      <c r="A8" t="inlineStr">
        <is>
          <t>Institutional Memory Store (MEM)</t>
        </is>
      </c>
      <c r="B8" t="n">
        <v>1</v>
      </c>
      <c r="C8">
        <f>COUNTIFS(Tracker!$J$2:$J$35,A8,Tracker!$K$2:$K$35,"In Progress")</f>
        <v/>
      </c>
      <c r="D8">
        <f>COUNTIFS(Tracker!$J$2:$J$35,A8,Tracker!$K$2:$K$35,"Completed")</f>
        <v/>
      </c>
      <c r="E8">
        <f>B8-D8</f>
        <v/>
      </c>
      <c r="F8" s="12">
        <f>IFERROR(AVERAGE(XLOOKUP(TEXTSPLIT(H8,", ",,TRUE),Tracker!$A$2:$A$35,Tracker!$L$2:$L$35)),"")</f>
        <v/>
      </c>
      <c r="G8">
        <f>IF(B8&gt;3,"⚠ High load",IF(AND(C8&gt;1,E8&gt;2),"⚠ Potential overlap","OK"))</f>
        <v/>
      </c>
      <c r="H8" t="inlineStr">
        <is>
          <t>T07</t>
        </is>
      </c>
    </row>
    <row r="9">
      <c r="A9" t="inlineStr">
        <is>
          <t>Artifact &amp; Evidence Registry (ART)</t>
        </is>
      </c>
      <c r="B9" t="n">
        <v>1</v>
      </c>
      <c r="C9">
        <f>COUNTIFS(Tracker!$J$2:$J$35,A9,Tracker!$K$2:$K$35,"In Progress")</f>
        <v/>
      </c>
      <c r="D9">
        <f>COUNTIFS(Tracker!$J$2:$J$35,A9,Tracker!$K$2:$K$35,"Completed")</f>
        <v/>
      </c>
      <c r="E9">
        <f>B9-D9</f>
        <v/>
      </c>
      <c r="F9" s="12">
        <f>IFERROR(AVERAGE(XLOOKUP(TEXTSPLIT(H9,", ",,TRUE),Tracker!$A$2:$A$35,Tracker!$L$2:$L$35)),"")</f>
        <v/>
      </c>
      <c r="G9">
        <f>IF(B9&gt;3,"⚠ High load",IF(AND(C9&gt;1,E9&gt;2),"⚠ Potential overlap","OK"))</f>
        <v/>
      </c>
      <c r="H9" t="inlineStr">
        <is>
          <t>T08</t>
        </is>
      </c>
    </row>
    <row r="10">
      <c r="A10" t="inlineStr">
        <is>
          <t>Governed MCP Data Boundary</t>
        </is>
      </c>
      <c r="B10" t="n">
        <v>1</v>
      </c>
      <c r="C10">
        <f>COUNTIFS(Tracker!$J$2:$J$35,A10,Tracker!$K$2:$K$35,"In Progress")</f>
        <v/>
      </c>
      <c r="D10">
        <f>COUNTIFS(Tracker!$J$2:$J$35,A10,Tracker!$K$2:$K$35,"Completed")</f>
        <v/>
      </c>
      <c r="E10">
        <f>B10-D10</f>
        <v/>
      </c>
      <c r="F10" s="12">
        <f>IFERROR(AVERAGE(XLOOKUP(TEXTSPLIT(H10,", ",,TRUE),Tracker!$A$2:$A$35,Tracker!$L$2:$L$35)),"")</f>
        <v/>
      </c>
      <c r="G10">
        <f>IF(B10&gt;3,"⚠ High load",IF(AND(C10&gt;1,E10&gt;2),"⚠ Potential overlap","OK"))</f>
        <v/>
      </c>
      <c r="H10" t="inlineStr">
        <is>
          <t>T09</t>
        </is>
      </c>
    </row>
    <row r="11">
      <c r="A11" t="inlineStr">
        <is>
          <t>Agentic RAG Controller</t>
        </is>
      </c>
      <c r="B11" t="n">
        <v>1</v>
      </c>
      <c r="C11">
        <f>COUNTIFS(Tracker!$J$2:$J$35,A11,Tracker!$K$2:$K$35,"In Progress")</f>
        <v/>
      </c>
      <c r="D11">
        <f>COUNTIFS(Tracker!$J$2:$J$35,A11,Tracker!$K$2:$K$35,"Completed")</f>
        <v/>
      </c>
      <c r="E11">
        <f>B11-D11</f>
        <v/>
      </c>
      <c r="F11" s="12">
        <f>IFERROR(AVERAGE(XLOOKUP(TEXTSPLIT(H11,", ",,TRUE),Tracker!$A$2:$A$35,Tracker!$L$2:$L$35)),"")</f>
        <v/>
      </c>
      <c r="G11">
        <f>IF(B11&gt;3,"⚠ High load",IF(AND(C11&gt;1,E11&gt;2),"⚠ Potential overlap","OK"))</f>
        <v/>
      </c>
      <c r="H11" t="inlineStr">
        <is>
          <t>T10</t>
        </is>
      </c>
    </row>
    <row r="12">
      <c r="A12" t="inlineStr">
        <is>
          <t>Sandbox Controller (agent_sandbox)</t>
        </is>
      </c>
      <c r="B12" t="n">
        <v>2</v>
      </c>
      <c r="C12">
        <f>COUNTIFS(Tracker!$J$2:$J$35,A12,Tracker!$K$2:$K$35,"In Progress")</f>
        <v/>
      </c>
      <c r="D12">
        <f>COUNTIFS(Tracker!$J$2:$J$35,A12,Tracker!$K$2:$K$35,"Completed")</f>
        <v/>
      </c>
      <c r="E12">
        <f>B12-D12</f>
        <v/>
      </c>
      <c r="F12" s="12">
        <f>IFERROR(AVERAGE(XLOOKUP(TEXTSPLIT(H12,", ",,TRUE),Tracker!$A$2:$A$35,Tracker!$L$2:$L$35)),"")</f>
        <v/>
      </c>
      <c r="G12">
        <f>IF(B12&gt;3,"⚠ High load",IF(AND(C12&gt;1,E12&gt;2),"⚠ Potential overlap","OK"))</f>
        <v/>
      </c>
      <c r="H12" t="inlineStr">
        <is>
          <t>T11, T12</t>
        </is>
      </c>
    </row>
    <row r="13">
      <c r="A13" t="inlineStr">
        <is>
          <t>Sandbox Controller &amp; W3C PROV Audit</t>
        </is>
      </c>
      <c r="B13" t="n">
        <v>1</v>
      </c>
      <c r="C13">
        <f>COUNTIFS(Tracker!$J$2:$J$35,A13,Tracker!$K$2:$K$35,"In Progress")</f>
        <v/>
      </c>
      <c r="D13">
        <f>COUNTIFS(Tracker!$J$2:$J$35,A13,Tracker!$K$2:$K$35,"Completed")</f>
        <v/>
      </c>
      <c r="E13">
        <f>B13-D13</f>
        <v/>
      </c>
      <c r="F13" s="12">
        <f>IFERROR(AVERAGE(XLOOKUP(TEXTSPLIT(H13,", ",,TRUE),Tracker!$A$2:$A$35,Tracker!$L$2:$L$35)),"")</f>
        <v/>
      </c>
      <c r="G13">
        <f>IF(B13&gt;3,"⚠ High load",IF(AND(C13&gt;1,E13&gt;2),"⚠ Potential overlap","OK"))</f>
        <v/>
      </c>
      <c r="H13" t="inlineStr">
        <is>
          <t>T13</t>
        </is>
      </c>
    </row>
    <row r="14">
      <c r="A14" t="inlineStr">
        <is>
          <t>Specialist Sub-Agents (L4_SUBS)</t>
        </is>
      </c>
      <c r="B14" t="n">
        <v>1</v>
      </c>
      <c r="C14">
        <f>COUNTIFS(Tracker!$J$2:$J$35,A14,Tracker!$K$2:$K$35,"In Progress")</f>
        <v/>
      </c>
      <c r="D14">
        <f>COUNTIFS(Tracker!$J$2:$J$35,A14,Tracker!$K$2:$K$35,"Completed")</f>
        <v/>
      </c>
      <c r="E14">
        <f>B14-D14</f>
        <v/>
      </c>
      <c r="F14" s="12">
        <f>IFERROR(AVERAGE(XLOOKUP(TEXTSPLIT(H14,", ",,TRUE),Tracker!$A$2:$A$35,Tracker!$L$2:$L$35)),"")</f>
        <v/>
      </c>
      <c r="G14">
        <f>IF(B14&gt;3,"⚠ High load",IF(AND(C14&gt;1,E14&gt;2),"⚠ Potential overlap","OK"))</f>
        <v/>
      </c>
      <c r="H14" t="inlineStr">
        <is>
          <t>T14</t>
        </is>
      </c>
    </row>
    <row r="15">
      <c r="A15" t="inlineStr">
        <is>
          <t>Intelligence Engine (IE)</t>
        </is>
      </c>
      <c r="B15" t="n">
        <v>3</v>
      </c>
      <c r="C15">
        <f>COUNTIFS(Tracker!$J$2:$J$35,A15,Tracker!$K$2:$K$35,"In Progress")</f>
        <v/>
      </c>
      <c r="D15">
        <f>COUNTIFS(Tracker!$J$2:$J$35,A15,Tracker!$K$2:$K$35,"Completed")</f>
        <v/>
      </c>
      <c r="E15">
        <f>B15-D15</f>
        <v/>
      </c>
      <c r="F15" s="12">
        <f>IFERROR(AVERAGE(XLOOKUP(TEXTSPLIT(H15,", ",,TRUE),Tracker!$A$2:$A$35,Tracker!$L$2:$L$35)),"")</f>
        <v/>
      </c>
      <c r="G15">
        <f>IF(B15&gt;3,"⚠ High load",IF(AND(C15&gt;1,E15&gt;2),"⚠ Potential overlap","OK"))</f>
        <v/>
      </c>
      <c r="H15" t="inlineStr">
        <is>
          <t>T15, T22, T23</t>
        </is>
      </c>
    </row>
    <row r="16">
      <c r="A16" t="inlineStr">
        <is>
          <t>Product / Evidence Engine &amp; S_VAL</t>
        </is>
      </c>
      <c r="B16" t="n">
        <v>1</v>
      </c>
      <c r="C16">
        <f>COUNTIFS(Tracker!$J$2:$J$35,A16,Tracker!$K$2:$K$35,"In Progress")</f>
        <v/>
      </c>
      <c r="D16">
        <f>COUNTIFS(Tracker!$J$2:$J$35,A16,Tracker!$K$2:$K$35,"Completed")</f>
        <v/>
      </c>
      <c r="E16">
        <f>B16-D16</f>
        <v/>
      </c>
      <c r="F16" s="12">
        <f>IFERROR(AVERAGE(XLOOKUP(TEXTSPLIT(H16,", ",,TRUE),Tracker!$A$2:$A$35,Tracker!$L$2:$L$35)),"")</f>
        <v/>
      </c>
      <c r="G16">
        <f>IF(B16&gt;3,"⚠ High load",IF(AND(C16&gt;1,E16&gt;2),"⚠ Potential overlap","OK"))</f>
        <v/>
      </c>
      <c r="H16" t="inlineStr">
        <is>
          <t>T16</t>
        </is>
      </c>
    </row>
    <row r="17">
      <c r="A17" t="inlineStr">
        <is>
          <t>Customer Voice Engine &amp; S_PARSE</t>
        </is>
      </c>
      <c r="B17" t="n">
        <v>1</v>
      </c>
      <c r="C17">
        <f>COUNTIFS(Tracker!$J$2:$J$35,A17,Tracker!$K$2:$K$35,"In Progress")</f>
        <v/>
      </c>
      <c r="D17">
        <f>COUNTIFS(Tracker!$J$2:$J$35,A17,Tracker!$K$2:$K$35,"Completed")</f>
        <v/>
      </c>
      <c r="E17">
        <f>B17-D17</f>
        <v/>
      </c>
      <c r="F17" s="12">
        <f>IFERROR(AVERAGE(XLOOKUP(TEXTSPLIT(H17,", ",,TRUE),Tracker!$A$2:$A$35,Tracker!$L$2:$L$35)),"")</f>
        <v/>
      </c>
      <c r="G17">
        <f>IF(B17&gt;3,"⚠ High load",IF(AND(C17&gt;1,E17&gt;2),"⚠ Potential overlap","OK"))</f>
        <v/>
      </c>
      <c r="H17" t="inlineStr">
        <is>
          <t>T17</t>
        </is>
      </c>
    </row>
    <row r="18">
      <c r="A18" t="inlineStr">
        <is>
          <t>Competitor Intel Engine &amp; S_SCRAPE</t>
        </is>
      </c>
      <c r="B18" t="n">
        <v>1</v>
      </c>
      <c r="C18">
        <f>COUNTIFS(Tracker!$J$2:$J$35,A18,Tracker!$K$2:$K$35,"In Progress")</f>
        <v/>
      </c>
      <c r="D18">
        <f>COUNTIFS(Tracker!$J$2:$J$35,A18,Tracker!$K$2:$K$35,"Completed")</f>
        <v/>
      </c>
      <c r="E18">
        <f>B18-D18</f>
        <v/>
      </c>
      <c r="F18" s="12">
        <f>IFERROR(AVERAGE(XLOOKUP(TEXTSPLIT(H18,", ",,TRUE),Tracker!$A$2:$A$35,Tracker!$L$2:$L$35)),"")</f>
        <v/>
      </c>
      <c r="G18">
        <f>IF(B18&gt;3,"⚠ High load",IF(AND(C18&gt;1,E18&gt;2),"⚠ Potential overlap","OK"))</f>
        <v/>
      </c>
      <c r="H18" t="inlineStr">
        <is>
          <t>T18</t>
        </is>
      </c>
    </row>
    <row r="19">
      <c r="A19" t="inlineStr">
        <is>
          <t>Strategy Engine &amp; S_ALLOC</t>
        </is>
      </c>
      <c r="B19" t="n">
        <v>1</v>
      </c>
      <c r="C19">
        <f>COUNTIFS(Tracker!$J$2:$J$35,A19,Tracker!$K$2:$K$35,"In Progress")</f>
        <v/>
      </c>
      <c r="D19">
        <f>COUNTIFS(Tracker!$J$2:$J$35,A19,Tracker!$K$2:$K$35,"Completed")</f>
        <v/>
      </c>
      <c r="E19">
        <f>B19-D19</f>
        <v/>
      </c>
      <c r="F19" s="12">
        <f>IFERROR(AVERAGE(XLOOKUP(TEXTSPLIT(H19,", ",,TRUE),Tracker!$A$2:$A$35,Tracker!$L$2:$L$35)),"")</f>
        <v/>
      </c>
      <c r="G19">
        <f>IF(B19&gt;3,"⚠ High load",IF(AND(C19&gt;1,E19&gt;2),"⚠ Potential overlap","OK"))</f>
        <v/>
      </c>
      <c r="H19" t="inlineStr">
        <is>
          <t>T19</t>
        </is>
      </c>
    </row>
    <row r="20">
      <c r="A20" t="inlineStr">
        <is>
          <t>Creative &amp; Content Engine &amp; S_COPY</t>
        </is>
      </c>
      <c r="B20" t="n">
        <v>1</v>
      </c>
      <c r="C20">
        <f>COUNTIFS(Tracker!$J$2:$J$35,A20,Tracker!$K$2:$K$35,"In Progress")</f>
        <v/>
      </c>
      <c r="D20">
        <f>COUNTIFS(Tracker!$J$2:$J$35,A20,Tracker!$K$2:$K$35,"Completed")</f>
        <v/>
      </c>
      <c r="E20">
        <f>B20-D20</f>
        <v/>
      </c>
      <c r="F20" s="12">
        <f>IFERROR(AVERAGE(XLOOKUP(TEXTSPLIT(H20,", ",,TRUE),Tracker!$A$2:$A$35,Tracker!$L$2:$L$35)),"")</f>
        <v/>
      </c>
      <c r="G20">
        <f>IF(B20&gt;3,"⚠ High load",IF(AND(C20&gt;1,E20&gt;2),"⚠ Potential overlap","OK"))</f>
        <v/>
      </c>
      <c r="H20" t="inlineStr">
        <is>
          <t>T20</t>
        </is>
      </c>
    </row>
    <row r="21">
      <c r="A21" t="inlineStr">
        <is>
          <t>Development Engine &amp; S_CODE</t>
        </is>
      </c>
      <c r="B21" t="n">
        <v>1</v>
      </c>
      <c r="C21">
        <f>COUNTIFS(Tracker!$J$2:$J$35,A21,Tracker!$K$2:$K$35,"In Progress")</f>
        <v/>
      </c>
      <c r="D21">
        <f>COUNTIFS(Tracker!$J$2:$J$35,A21,Tracker!$K$2:$K$35,"Completed")</f>
        <v/>
      </c>
      <c r="E21">
        <f>B21-D21</f>
        <v/>
      </c>
      <c r="F21" s="12">
        <f>IFERROR(AVERAGE(XLOOKUP(TEXTSPLIT(H21,", ",,TRUE),Tracker!$A$2:$A$35,Tracker!$L$2:$L$35)),"")</f>
        <v/>
      </c>
      <c r="G21">
        <f>IF(B21&gt;3,"⚠ High load",IF(AND(C21&gt;1,E21&gt;2),"⚠ Potential overlap","OK"))</f>
        <v/>
      </c>
      <c r="H21" t="inlineStr">
        <is>
          <t>T21</t>
        </is>
      </c>
    </row>
    <row r="22">
      <c r="A22" t="inlineStr">
        <is>
          <t>Human-in-the-Loop (HITL) Gate</t>
        </is>
      </c>
      <c r="B22" t="n">
        <v>1</v>
      </c>
      <c r="C22">
        <f>COUNTIFS(Tracker!$J$2:$J$35,A22,Tracker!$K$2:$K$35,"In Progress")</f>
        <v/>
      </c>
      <c r="D22">
        <f>COUNTIFS(Tracker!$J$2:$J$35,A22,Tracker!$K$2:$K$35,"Completed")</f>
        <v/>
      </c>
      <c r="E22">
        <f>B22-D22</f>
        <v/>
      </c>
      <c r="F22" s="12">
        <f>IFERROR(AVERAGE(XLOOKUP(TEXTSPLIT(H22,", ",,TRUE),Tracker!$A$2:$A$35,Tracker!$L$2:$L$35)),"")</f>
        <v/>
      </c>
      <c r="G22">
        <f>IF(B22&gt;3,"⚠ High load",IF(AND(C22&gt;1,E22&gt;2),"⚠ Potential overlap","OK"))</f>
        <v/>
      </c>
      <c r="H22" t="inlineStr">
        <is>
          <t>T24</t>
        </is>
      </c>
    </row>
    <row r="23">
      <c r="A23" t="inlineStr">
        <is>
          <t>Outbound Actuation MCP Boundary</t>
        </is>
      </c>
      <c r="B23" t="n">
        <v>1</v>
      </c>
      <c r="C23">
        <f>COUNTIFS(Tracker!$J$2:$J$35,A23,Tracker!$K$2:$K$35,"In Progress")</f>
        <v/>
      </c>
      <c r="D23">
        <f>COUNTIFS(Tracker!$J$2:$J$35,A23,Tracker!$K$2:$K$35,"Completed")</f>
        <v/>
      </c>
      <c r="E23">
        <f>B23-D23</f>
        <v/>
      </c>
      <c r="F23" s="12">
        <f>IFERROR(AVERAGE(XLOOKUP(TEXTSPLIT(H23,", ",,TRUE),Tracker!$A$2:$A$35,Tracker!$L$2:$L$35)),"")</f>
        <v/>
      </c>
      <c r="G23">
        <f>IF(B23&gt;3,"⚠ High load",IF(AND(C23&gt;1,E23&gt;2),"⚠ Potential overlap","OK"))</f>
        <v/>
      </c>
      <c r="H23" t="inlineStr">
        <is>
          <t>T25</t>
        </is>
      </c>
    </row>
    <row r="24">
      <c r="A24" t="inlineStr">
        <is>
          <t>Outbound MCP &amp; Website / CMS</t>
        </is>
      </c>
      <c r="B24" t="n">
        <v>1</v>
      </c>
      <c r="C24">
        <f>COUNTIFS(Tracker!$J$2:$J$35,A24,Tracker!$K$2:$K$35,"In Progress")</f>
        <v/>
      </c>
      <c r="D24">
        <f>COUNTIFS(Tracker!$J$2:$J$35,A24,Tracker!$K$2:$K$35,"Completed")</f>
        <v/>
      </c>
      <c r="E24">
        <f>B24-D24</f>
        <v/>
      </c>
      <c r="F24" s="12">
        <f>IFERROR(AVERAGE(XLOOKUP(TEXTSPLIT(H24,", ",,TRUE),Tracker!$A$2:$A$35,Tracker!$L$2:$L$35)),"")</f>
        <v/>
      </c>
      <c r="G24">
        <f>IF(B24&gt;3,"⚠ High load",IF(AND(C24&gt;1,E24&gt;2),"⚠ Potential overlap","OK"))</f>
        <v/>
      </c>
      <c r="H24" t="inlineStr">
        <is>
          <t>T26</t>
        </is>
      </c>
    </row>
    <row r="25">
      <c r="A25" t="inlineStr">
        <is>
          <t>Outbound MCP &amp; Paid Ad Platforms</t>
        </is>
      </c>
      <c r="B25" t="n">
        <v>1</v>
      </c>
      <c r="C25">
        <f>COUNTIFS(Tracker!$J$2:$J$35,A25,Tracker!$K$2:$K$35,"In Progress")</f>
        <v/>
      </c>
      <c r="D25">
        <f>COUNTIFS(Tracker!$J$2:$J$35,A25,Tracker!$K$2:$K$35,"Completed")</f>
        <v/>
      </c>
      <c r="E25">
        <f>B25-D25</f>
        <v/>
      </c>
      <c r="F25" s="12">
        <f>IFERROR(AVERAGE(XLOOKUP(TEXTSPLIT(H25,", ",,TRUE),Tracker!$A$2:$A$35,Tracker!$L$2:$L$35)),"")</f>
        <v/>
      </c>
      <c r="G25">
        <f>IF(B25&gt;3,"⚠ High load",IF(AND(C25&gt;1,E25&gt;2),"⚠ Potential overlap","OK"))</f>
        <v/>
      </c>
      <c r="H25" t="inlineStr">
        <is>
          <t>T27</t>
        </is>
      </c>
    </row>
    <row r="26">
      <c r="A26" t="inlineStr">
        <is>
          <t>Outbound MCP &amp; Social Channels</t>
        </is>
      </c>
      <c r="B26" t="n">
        <v>1</v>
      </c>
      <c r="C26">
        <f>COUNTIFS(Tracker!$J$2:$J$35,A26,Tracker!$K$2:$K$35,"In Progress")</f>
        <v/>
      </c>
      <c r="D26">
        <f>COUNTIFS(Tracker!$J$2:$J$35,A26,Tracker!$K$2:$K$35,"Completed")</f>
        <v/>
      </c>
      <c r="E26">
        <f>B26-D26</f>
        <v/>
      </c>
      <c r="F26" s="12">
        <f>IFERROR(AVERAGE(XLOOKUP(TEXTSPLIT(H26,", ",,TRUE),Tracker!$A$2:$A$35,Tracker!$L$2:$L$35)),"")</f>
        <v/>
      </c>
      <c r="G26">
        <f>IF(B26&gt;3,"⚠ High load",IF(AND(C26&gt;1,E26&gt;2),"⚠ Potential overlap","OK"))</f>
        <v/>
      </c>
      <c r="H26" t="inlineStr">
        <is>
          <t>T28</t>
        </is>
      </c>
    </row>
    <row r="27">
      <c r="A27" t="inlineStr">
        <is>
          <t>Omnichannel Telemetry Engine</t>
        </is>
      </c>
      <c r="B27" t="n">
        <v>1</v>
      </c>
      <c r="C27">
        <f>COUNTIFS(Tracker!$J$2:$J$35,A27,Tracker!$K$2:$K$35,"In Progress")</f>
        <v/>
      </c>
      <c r="D27">
        <f>COUNTIFS(Tracker!$J$2:$J$35,A27,Tracker!$K$2:$K$35,"Completed")</f>
        <v/>
      </c>
      <c r="E27">
        <f>B27-D27</f>
        <v/>
      </c>
      <c r="F27" s="12">
        <f>IFERROR(AVERAGE(XLOOKUP(TEXTSPLIT(H27,", ",,TRUE),Tracker!$A$2:$A$35,Tracker!$L$2:$L$35)),"")</f>
        <v/>
      </c>
      <c r="G27">
        <f>IF(B27&gt;3,"⚠ High load",IF(AND(C27&gt;1,E27&gt;2),"⚠ Potential overlap","OK"))</f>
        <v/>
      </c>
      <c r="H27" t="inlineStr">
        <is>
          <t>T29</t>
        </is>
      </c>
    </row>
    <row r="28">
      <c r="A28" t="inlineStr">
        <is>
          <t>Telemetry Engine &amp; Central Database</t>
        </is>
      </c>
      <c r="B28" t="n">
        <v>1</v>
      </c>
      <c r="C28">
        <f>COUNTIFS(Tracker!$J$2:$J$35,A28,Tracker!$K$2:$K$35,"In Progress")</f>
        <v/>
      </c>
      <c r="D28">
        <f>COUNTIFS(Tracker!$J$2:$J$35,A28,Tracker!$K$2:$K$35,"Completed")</f>
        <v/>
      </c>
      <c r="E28">
        <f>B28-D28</f>
        <v/>
      </c>
      <c r="F28" s="12">
        <f>IFERROR(AVERAGE(XLOOKUP(TEXTSPLIT(H28,", ",,TRUE),Tracker!$A$2:$A$35,Tracker!$L$2:$L$35)),"")</f>
        <v/>
      </c>
      <c r="G28">
        <f>IF(B28&gt;3,"⚠ High load",IF(AND(C28&gt;1,E28&gt;2),"⚠ Potential overlap","OK"))</f>
        <v/>
      </c>
      <c r="H28" t="inlineStr">
        <is>
          <t>T30</t>
        </is>
      </c>
    </row>
    <row r="29">
      <c r="A29" t="inlineStr">
        <is>
          <t>Learning Engine &amp; S_ATTR</t>
        </is>
      </c>
      <c r="B29" t="n">
        <v>1</v>
      </c>
      <c r="C29">
        <f>COUNTIFS(Tracker!$J$2:$J$35,A29,Tracker!$K$2:$K$35,"In Progress")</f>
        <v/>
      </c>
      <c r="D29">
        <f>COUNTIFS(Tracker!$J$2:$J$35,A29,Tracker!$K$2:$K$35,"Completed")</f>
        <v/>
      </c>
      <c r="E29">
        <f>B29-D29</f>
        <v/>
      </c>
      <c r="F29" s="12">
        <f>IFERROR(AVERAGE(XLOOKUP(TEXTSPLIT(H29,", ",,TRUE),Tracker!$A$2:$A$35,Tracker!$L$2:$L$35)),"")</f>
        <v/>
      </c>
      <c r="G29">
        <f>IF(B29&gt;3,"⚠ High load",IF(AND(C29&gt;1,E29&gt;2),"⚠ Potential overlap","OK"))</f>
        <v/>
      </c>
      <c r="H29" t="inlineStr">
        <is>
          <t>T31</t>
        </is>
      </c>
    </row>
    <row r="30">
      <c r="A30" t="inlineStr">
        <is>
          <t>Learning Engine, Memory Store &amp; IE</t>
        </is>
      </c>
      <c r="B30" t="n">
        <v>1</v>
      </c>
      <c r="C30">
        <f>COUNTIFS(Tracker!$J$2:$J$35,A30,Tracker!$K$2:$K$35,"In Progress")</f>
        <v/>
      </c>
      <c r="D30">
        <f>COUNTIFS(Tracker!$J$2:$J$35,A30,Tracker!$K$2:$K$35,"Completed")</f>
        <v/>
      </c>
      <c r="E30">
        <f>B30-D30</f>
        <v/>
      </c>
      <c r="F30" s="12">
        <f>IFERROR(AVERAGE(XLOOKUP(TEXTSPLIT(H30,", ",,TRUE),Tracker!$A$2:$A$35,Tracker!$L$2:$L$35)),"")</f>
        <v/>
      </c>
      <c r="G30">
        <f>IF(B30&gt;3,"⚠ High load",IF(AND(C30&gt;1,E30&gt;2),"⚠ Potential overlap","OK"))</f>
        <v/>
      </c>
      <c r="H30" t="inlineStr">
        <is>
          <t>T32</t>
        </is>
      </c>
    </row>
    <row r="31">
      <c r="A31" t="inlineStr">
        <is>
          <t>W3C PROV Immutable Ledger</t>
        </is>
      </c>
      <c r="B31" t="n">
        <v>1</v>
      </c>
      <c r="C31">
        <f>COUNTIFS(Tracker!$J$2:$J$35,A31,Tracker!$K$2:$K$35,"In Progress")</f>
        <v/>
      </c>
      <c r="D31">
        <f>COUNTIFS(Tracker!$J$2:$J$35,A31,Tracker!$K$2:$K$35,"Completed")</f>
        <v/>
      </c>
      <c r="E31">
        <f>B31-D31</f>
        <v/>
      </c>
      <c r="F31" s="12">
        <f>IFERROR(AVERAGE(XLOOKUP(TEXTSPLIT(H31,", ",,TRUE),Tracker!$A$2:$A$35,Tracker!$L$2:$L$35)),"")</f>
        <v/>
      </c>
      <c r="G31">
        <f>IF(B31&gt;3,"⚠ High load",IF(AND(C31&gt;1,E31&gt;2),"⚠ Potential overlap","OK"))</f>
        <v/>
      </c>
      <c r="H31" t="inlineStr">
        <is>
          <t>T33</t>
        </is>
      </c>
    </row>
    <row r="32">
      <c r="A32" t="inlineStr">
        <is>
          <t>Intelligence Engine &amp; Brand Owner</t>
        </is>
      </c>
      <c r="B32" t="n">
        <v>1</v>
      </c>
      <c r="C32">
        <f>COUNTIFS(Tracker!$J$2:$J$35,A32,Tracker!$K$2:$K$35,"In Progress")</f>
        <v/>
      </c>
      <c r="D32">
        <f>COUNTIFS(Tracker!$J$2:$J$35,A32,Tracker!$K$2:$K$35,"Completed")</f>
        <v/>
      </c>
      <c r="E32">
        <f>B32-D32</f>
        <v/>
      </c>
      <c r="F32" s="12">
        <f>IFERROR(AVERAGE(XLOOKUP(TEXTSPLIT(H32,", ",,TRUE),Tracker!$A$2:$A$35,Tracker!$L$2:$L$35)),"")</f>
        <v/>
      </c>
      <c r="G32">
        <f>IF(B32&gt;3,"⚠ High load",IF(AND(C32&gt;1,E32&gt;2),"⚠ Potential overlap","OK"))</f>
        <v/>
      </c>
      <c r="H32" t="inlineStr">
        <is>
          <t>T34</t>
        </is>
      </c>
    </row>
  </sheetData>
  <autoFilter ref="A1:H3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Priority</t>
        </is>
      </c>
      <c r="C1" t="inlineStr">
        <is>
          <t>DepType</t>
        </is>
      </c>
      <c r="D1" t="inlineStr">
        <is>
          <t>Phase</t>
        </is>
      </c>
      <c r="E1" t="inlineStr">
        <is>
          <t>MilestoneYN</t>
        </is>
      </c>
      <c r="F1" t="inlineStr">
        <is>
          <t>MilestoneID</t>
        </is>
      </c>
    </row>
    <row r="2">
      <c r="A2" t="inlineStr">
        <is>
          <t>Not Started</t>
        </is>
      </c>
      <c r="B2" t="inlineStr">
        <is>
          <t>Critical</t>
        </is>
      </c>
      <c r="C2" t="inlineStr">
        <is>
          <t>FS</t>
        </is>
      </c>
      <c r="D2" t="inlineStr">
        <is>
          <t>Phase 1: Governance, Policy &amp; Canonical State</t>
        </is>
      </c>
      <c r="E2" t="inlineStr">
        <is>
          <t>YES</t>
        </is>
      </c>
      <c r="F2" t="inlineStr">
        <is>
          <t>M1</t>
        </is>
      </c>
    </row>
    <row r="3">
      <c r="A3" t="inlineStr">
        <is>
          <t>In Progress</t>
        </is>
      </c>
      <c r="B3" t="inlineStr">
        <is>
          <t>High</t>
        </is>
      </c>
      <c r="C3" t="inlineStr">
        <is>
          <t>SS</t>
        </is>
      </c>
      <c r="D3" t="inlineStr">
        <is>
          <t>Phase 2: Governed Data Plane &amp; Central Storage</t>
        </is>
      </c>
      <c r="E3" t="inlineStr">
        <is>
          <t>NO</t>
        </is>
      </c>
      <c r="F3" t="inlineStr">
        <is>
          <t>M2</t>
        </is>
      </c>
    </row>
    <row r="4">
      <c r="A4" t="inlineStr">
        <is>
          <t>Completed</t>
        </is>
      </c>
      <c r="B4" t="inlineStr">
        <is>
          <t>Medium</t>
        </is>
      </c>
      <c r="C4" t="inlineStr">
        <is>
          <t>FF</t>
        </is>
      </c>
      <c r="D4" t="inlineStr">
        <is>
          <t>Phase 3: Sandbox Isolation &amp; Sub-Agent Readiness</t>
        </is>
      </c>
      <c r="F4" t="inlineStr">
        <is>
          <t>M3</t>
        </is>
      </c>
    </row>
    <row r="5">
      <c r="A5" t="inlineStr">
        <is>
          <t>On Hold</t>
        </is>
      </c>
      <c r="B5" t="inlineStr">
        <is>
          <t>Low</t>
        </is>
      </c>
      <c r="C5" t="inlineStr">
        <is>
          <t>SF</t>
        </is>
      </c>
      <c r="D5" t="inlineStr">
        <is>
          <t>Phase 4: Domain Intelligence &amp; Asset Synthesis</t>
        </is>
      </c>
      <c r="F5" t="inlineStr">
        <is>
          <t>M4</t>
        </is>
      </c>
    </row>
    <row r="6">
      <c r="A6" t="inlineStr">
        <is>
          <t>Delayed</t>
        </is>
      </c>
      <c r="D6" t="inlineStr">
        <is>
          <t>Phase 5: Evidence Consolidation &amp; HITL</t>
        </is>
      </c>
      <c r="F6" t="inlineStr">
        <is>
          <t>M5</t>
        </is>
      </c>
    </row>
    <row r="7">
      <c r="D7" t="inlineStr">
        <is>
          <t>Phase 6: Outbound Actuation &amp; Go-Live</t>
        </is>
      </c>
      <c r="F7" t="inlineStr">
        <is>
          <t>M6</t>
        </is>
      </c>
    </row>
    <row r="8">
      <c r="D8" t="inlineStr">
        <is>
          <t>Phase 7: Telemetry Optimization &amp; Closeout</t>
        </is>
      </c>
      <c r="F8" t="inlineStr">
        <is>
          <t>M7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2026-09-10T14:50:50Z</dcterms:created>
  <dcterms:modified xmlns:dcterms="http://purl.org/dc/terms/" xmlns:xsi="http://www.w3.org/2001/XMLSchema-instance" xsi:type="dcterms:W3CDTF">2026-09-10T14:50:50Z</dcterms:modified>
</cp:coreProperties>
</file>