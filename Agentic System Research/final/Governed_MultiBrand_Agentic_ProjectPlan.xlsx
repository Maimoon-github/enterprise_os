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Tracker" sheetId="1" state="visible" r:id="rId1"/>
    <sheet xmlns:r="http://schemas.openxmlformats.org/officeDocument/2006/relationships" name="Gantt" sheetId="2" state="visible" r:id="rId2"/>
    <sheet xmlns:r="http://schemas.openxmlformats.org/officeDocument/2006/relationships" name="Calc" sheetId="3" state="hidden" r:id="rId3"/>
    <sheet xmlns:r="http://schemas.openxmlformats.org/officeDocument/2006/relationships" name="Dashboard" sheetId="4" state="visible" r:id="rId4"/>
    <sheet xmlns:r="http://schemas.openxmlformats.org/officeDocument/2006/relationships" name="Resources" sheetId="5" state="visible" r:id="rId5"/>
    <sheet xmlns:r="http://schemas.openxmlformats.org/officeDocument/2006/relationships" name="Assumptions &amp; Gaps" sheetId="6" state="visible" r:id="rId6"/>
    <sheet xmlns:r="http://schemas.openxmlformats.org/officeDocument/2006/relationships" name="Instructions" sheetId="7" state="visible" r:id="rId7"/>
  </sheets>
  <definedNames>
    <definedName name="_xlnm._FilterDatabase" localSheetId="0" hidden="1">'Project Tracker'!$A$1:$Q$42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"/>
  </numFmts>
  <fonts count="13">
    <font>
      <name val="Calibri"/>
      <family val="2"/>
      <color theme="1"/>
      <sz val="11"/>
      <scheme val="minor"/>
    </font>
    <font>
      <b val="1"/>
      <color rgb="00FFFFFF"/>
    </font>
    <font>
      <i val="1"/>
      <color rgb="00595959"/>
    </font>
    <font>
      <b val="1"/>
      <sz val="9"/>
    </font>
    <font>
      <color rgb="00595959"/>
      <sz val="8"/>
    </font>
    <font>
      <color rgb="00FFFFFF"/>
      <sz val="8"/>
    </font>
    <font>
      <b val="1"/>
    </font>
    <font>
      <sz val="9"/>
    </font>
    <font>
      <b val="1"/>
      <color rgb="001F4E78"/>
      <sz val="16"/>
    </font>
    <font>
      <color rgb="00595959"/>
      <sz val="9"/>
    </font>
    <font>
      <b val="1"/>
      <color rgb="001F4E78"/>
      <sz val="15"/>
    </font>
    <font>
      <b val="1"/>
      <color rgb="001F4E78"/>
      <sz val="12"/>
    </font>
    <font>
      <color rgb="00000000"/>
      <sz val="11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70AD47"/>
      </patternFill>
    </fill>
    <fill>
      <patternFill patternType="solid">
        <fgColor rgb="009DC3E6"/>
      </patternFill>
    </fill>
    <fill>
      <patternFill patternType="solid">
        <fgColor rgb="00C00000"/>
      </patternFill>
    </fill>
    <fill>
      <patternFill patternType="solid">
        <fgColor rgb="00ED7D31"/>
      </patternFill>
    </fill>
    <fill>
      <patternFill patternType="solid">
        <fgColor rgb="007030A0"/>
      </patternFill>
    </fill>
    <fill>
      <patternFill patternType="solid">
        <fgColor rgb="00FFF2CC"/>
      </patternFill>
    </fill>
    <fill>
      <patternFill patternType="solid">
        <fgColor rgb="00F7F9F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3" borderId="0" pivotButton="0" quotePrefix="0" xfId="0"/>
    <xf numFmtId="9" fontId="0" fillId="0" borderId="0" pivotButton="0" quotePrefix="0" xfId="0"/>
    <xf numFmtId="0" fontId="1" fillId="2" borderId="0" applyAlignment="1" pivotButton="0" quotePrefix="0" xfId="0">
      <alignment horizontal="center"/>
    </xf>
    <xf numFmtId="165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1" fillId="2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4" borderId="1" pivotButton="0" quotePrefix="0" xfId="0"/>
    <xf numFmtId="0" fontId="7" fillId="0" borderId="0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3" borderId="1" pivotButton="0" quotePrefix="0" xfId="0"/>
    <xf numFmtId="0" fontId="0" fillId="9" borderId="1" pivotButton="0" quotePrefix="0" xfId="0"/>
    <xf numFmtId="0" fontId="8" fillId="0" borderId="0" pivotButton="0" quotePrefix="0" xfId="0"/>
    <xf numFmtId="0" fontId="9" fillId="10" borderId="1" applyAlignment="1" pivotButton="0" quotePrefix="0" xfId="0">
      <alignment horizontal="center"/>
    </xf>
    <xf numFmtId="0" fontId="10" fillId="10" borderId="1" applyAlignment="1" pivotButton="0" quotePrefix="0" xfId="0">
      <alignment horizontal="center"/>
    </xf>
    <xf numFmtId="9" fontId="10" fillId="10" borderId="1" applyAlignment="1" pivotButton="0" quotePrefix="0" xfId="0">
      <alignment horizontal="center"/>
    </xf>
    <xf numFmtId="0" fontId="0" fillId="11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19"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1F4E78"/>
      </font>
      <fill>
        <patternFill patternType="solid">
          <fgColor rgb="009DC3E6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  <dxf>
      <font>
        <b val="1"/>
        <color rgb="00595959"/>
      </font>
      <fill>
        <patternFill patternType="solid">
          <fgColor rgb="00F2F2F2"/>
        </patternFill>
      </fill>
    </dxf>
    <dxf>
      <font>
        <b val="1"/>
        <color rgb="007F3F00"/>
      </font>
      <fill>
        <patternFill patternType="solid">
          <fgColor rgb="00FFE6CC"/>
        </patternFill>
      </fill>
    </dxf>
    <dxf>
      <font>
        <b val="1"/>
        <color rgb="00FFFFFF"/>
      </font>
      <fill>
        <patternFill patternType="solid">
          <fgColor rgb="007030A0"/>
        </patternFill>
      </fill>
    </dxf>
    <dxf>
      <fill>
        <patternFill patternType="solid">
          <fgColor rgb="00C00000"/>
        </patternFill>
      </fill>
    </dxf>
    <dxf>
      <fill>
        <patternFill patternType="solid">
          <fgColor rgb="00ED7D31"/>
        </patternFill>
      </fill>
    </dxf>
    <dxf>
      <fill>
        <patternFill patternType="solid">
          <fgColor rgb="0070AD47"/>
        </patternFill>
      </fill>
    </dxf>
    <dxf>
      <fill>
        <patternFill patternType="solid">
          <fgColor rgb="009DC3E6"/>
        </patternFill>
      </fill>
    </dxf>
    <dxf>
      <fill>
        <patternFill patternType="solid">
          <fgColor rgb="00F2F2F2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EC"/>
        </patternFill>
      </fill>
    </dxf>
    <dxf>
      <fill>
        <patternFill patternType="solid">
          <fgColor rgb="00E3F2FD"/>
        </patternFill>
      </fill>
    </dxf>
    <dxf>
      <fill>
        <patternFill patternType="solid">
          <fgColor rgb="00FFF3E0"/>
        </patternFill>
      </fill>
    </dxf>
    <dxf>
      <fill>
        <patternFill patternType="solid">
          <fgColor rgb="00E8F5E9"/>
        </patternFill>
      </fill>
    </dxf>
    <dxf>
      <fill>
        <patternFill patternType="solid">
          <fgColor rgb="00F3E5F5"/>
        </patternFill>
      </fill>
    </dxf>
    <dxf>
      <fill>
        <patternFill patternType="solid">
          <fgColor rgb="00FFF9C4"/>
        </patternFill>
      </fill>
    </dxf>
    <dxf>
      <fill>
        <patternFill patternType="solid">
          <fgColor rgb="00E0F7F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Tasks by Status</a:t>
            </a:r>
          </a:p>
        </rich>
      </tx>
    </title>
    <plotArea>
      <pieChart>
        <varyColors val="1"/>
        <ser>
          <idx val="0"/>
          <order val="0"/>
          <tx>
            <strRef>
              <f>'Calc'!B1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'Calc'!$A$2:$A$6</f>
            </numRef>
          </cat>
          <val>
            <numRef>
              <f>'Calc'!$B$2:$B$6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Progress by Phase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'Calc'!$D$2:$D$8</f>
            </numRef>
          </cat>
          <val>
            <numRef>
              <f>'Calc'!$E$2:$E$8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Milestones: Done vs Remaining</a:t>
            </a:r>
          </a:p>
        </rich>
      </tx>
    </title>
    <plotArea>
      <pieChart>
        <varyColors val="1"/>
        <ser>
          <idx val="0"/>
          <order val="0"/>
          <tx>
            <strRef>
              <f>'Calc'!H1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'Calc'!$G$2:$G$3</f>
            </numRef>
          </cat>
          <val>
            <numRef>
              <f>'Calc'!$H$2:$H$3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Tasks by Resource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'Resources'!B1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'Resources'!$A$2:$A$3</f>
            </numRef>
          </cat>
          <val>
            <numRef>
              <f>'Resources'!$B$2:$B$3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6</row>
      <rowOff>0</rowOff>
    </from>
    <ext cx="39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22</row>
      <rowOff>0</rowOff>
    </from>
    <ext cx="396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22</row>
      <rowOff>0</rowOff>
    </from>
    <ext cx="396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Tasks" displayName="tblTasks" ref="A1:Q42" headerRowCount="1">
  <autoFilter ref="A1:Q42"/>
  <tableColumns count="17">
    <tableColumn id="1" name="Task ID"/>
    <tableColumn id="2" name="Phase"/>
    <tableColumn id="3" name="Task Name"/>
    <tableColumn id="4" name="Description"/>
    <tableColumn id="5" name="Start Date"/>
    <tableColumn id="6" name="End Date"/>
    <tableColumn id="7" name="Duration"/>
    <tableColumn id="8" name="Predecessor"/>
    <tableColumn id="9" name="Dependency Type"/>
    <tableColumn id="10" name="Milestone"/>
    <tableColumn id="11" name="Resource / Owner"/>
    <tableColumn id="12" name="Priority"/>
    <tableColumn id="13" name="Status"/>
    <tableColumn id="14" name="Progress %"/>
    <tableColumn id="15" name="Schedule Health"/>
    <tableColumn id="16" name="Notes"/>
    <tableColumn id="17" name="Dep Constrai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46" customWidth="1" min="3" max="3"/>
    <col width="40" customWidth="1" min="4" max="4"/>
    <col width="12" customWidth="1" min="5" max="5"/>
    <col width="12" customWidth="1" min="6" max="6"/>
    <col width="9" customWidth="1" min="7" max="7"/>
    <col width="16" customWidth="1" min="8" max="8"/>
    <col width="10" customWidth="1" min="9" max="9"/>
    <col width="10" customWidth="1" min="10" max="10"/>
    <col width="34" customWidth="1" min="11" max="11"/>
    <col width="9" customWidth="1" min="12" max="12"/>
    <col width="13" customWidth="1" min="13" max="13"/>
    <col width="10" customWidth="1" min="14" max="14"/>
    <col width="14" customWidth="1" min="15" max="15"/>
    <col width="22" customWidth="1" min="16" max="16"/>
    <col hidden="1" width="3" customWidth="1" min="17" max="17"/>
  </cols>
  <sheetData>
    <row r="1">
      <c r="A1" s="1" t="inlineStr">
        <is>
          <t>Task ID</t>
        </is>
      </c>
      <c r="B1" s="1" t="inlineStr">
        <is>
          <t>Phase</t>
        </is>
      </c>
      <c r="C1" s="1" t="inlineStr">
        <is>
          <t>Task Name</t>
        </is>
      </c>
      <c r="D1" s="1" t="inlineStr">
        <is>
          <t>Description</t>
        </is>
      </c>
      <c r="E1" s="1" t="inlineStr">
        <is>
          <t>Start Date</t>
        </is>
      </c>
      <c r="F1" s="1" t="inlineStr">
        <is>
          <t>End Date</t>
        </is>
      </c>
      <c r="G1" s="1" t="inlineStr">
        <is>
          <t>Duration</t>
        </is>
      </c>
      <c r="H1" s="1" t="inlineStr">
        <is>
          <t>Predecessor</t>
        </is>
      </c>
      <c r="I1" s="1" t="inlineStr">
        <is>
          <t>Dependency Type</t>
        </is>
      </c>
      <c r="J1" s="1" t="inlineStr">
        <is>
          <t>Milestone</t>
        </is>
      </c>
      <c r="K1" s="1" t="inlineStr">
        <is>
          <t>Resource / Owner</t>
        </is>
      </c>
      <c r="L1" s="1" t="inlineStr">
        <is>
          <t>Priority</t>
        </is>
      </c>
      <c r="M1" s="1" t="inlineStr">
        <is>
          <t>Status</t>
        </is>
      </c>
      <c r="N1" s="1" t="inlineStr">
        <is>
          <t>Progress %</t>
        </is>
      </c>
      <c r="O1" s="1" t="inlineStr">
        <is>
          <t>Schedule Health</t>
        </is>
      </c>
      <c r="P1" s="1" t="inlineStr">
        <is>
          <t>Notes</t>
        </is>
      </c>
      <c r="Q1" s="1" t="inlineStr">
        <is>
          <t>Dep Constraint</t>
        </is>
      </c>
    </row>
    <row r="2">
      <c r="A2" t="inlineStr">
        <is>
          <t>T01</t>
        </is>
      </c>
      <c r="B2" t="inlineStr">
        <is>
          <t>P1 · Governance &amp; Policy</t>
        </is>
      </c>
      <c r="C2" t="inlineStr">
        <is>
          <t>Define enterprise objectives, tenant scopes &amp; budget boundaries</t>
        </is>
      </c>
      <c r="D2" t="inlineStr">
        <is>
          <t>Capture objectives, tenant scopes, budget caps and risk appetite.</t>
        </is>
      </c>
      <c r="E2" s="2" t="n">
        <v>46276</v>
      </c>
      <c r="F2" s="2" t="n">
        <v>46277</v>
      </c>
      <c r="G2" s="3">
        <f>[@[End Date]]-[@[Start Date]]+1</f>
        <v/>
      </c>
      <c r="H2" t="inlineStr"/>
      <c r="I2" t="inlineStr">
        <is>
          <t>FS</t>
        </is>
      </c>
      <c r="J2" t="inlineStr">
        <is>
          <t>No</t>
        </is>
      </c>
      <c r="K2" t="inlineStr">
        <is>
          <t>Brand Stakeholder / Portfolio Owner</t>
        </is>
      </c>
      <c r="L2" t="inlineStr">
        <is>
          <t>High</t>
        </is>
      </c>
      <c r="M2" t="inlineStr">
        <is>
          <t>Not Started</t>
        </is>
      </c>
      <c r="N2" s="4" t="n">
        <v>0</v>
      </c>
      <c r="O2" s="3">
        <f>IF([@[End Date]]&lt;[@[Start Date]],"Invalid Dates",IF([@[Progress %]]&gt;=1,"Complete",IF(AND([@Predecessor]&lt;&gt;"",[@[Start Date]]&lt;[@[Dep Constraint]]),"Dep. Conflict",IF(AND(TODAY()&gt;[@[End Date]],[@[Progress %]]&lt;1),"Overdue",IF(AND(TODAY()&gt;=[@[Start Date]],TODAY()&lt;=[@[End Date]]),"In Window","On Track")))))</f>
        <v/>
      </c>
      <c r="P2" t="inlineStr">
        <is>
          <t>[INFERRED] dates</t>
        </is>
      </c>
      <c r="Q2" s="3">
        <f>IF([@Predecessor]="",0,MAX(IFERROR(INDEX(tblTasks[End Date],MATCH(TRIM(MID(SUBSTITUTE([@Predecessor],",",REPT(" ",100)),1,100)),tblTasks[Task ID],0)),0),IFERROR(INDEX(tblTasks[End Date],MATCH(TRIM(MID(SUBSTITUTE([@Predecessor],",",REPT(" ",100)),101,100)),tblTasks[Task ID],0)),0),IFERROR(INDEX(tblTasks[End Date],MATCH(TRIM(MID(SUBSTITUTE([@Predecessor],",",REPT(" ",100)),201,100)),tblTasks[Task ID],0)),0)))</f>
        <v/>
      </c>
    </row>
    <row r="3">
      <c r="A3" t="inlineStr">
        <is>
          <t>T02</t>
        </is>
      </c>
      <c r="B3" t="inlineStr">
        <is>
          <t>P1 · Governance &amp; Policy</t>
        </is>
      </c>
      <c r="C3" t="inlineStr">
        <is>
          <t>Configure machine-readable policy rules, autonomy tiers &amp; claim limits</t>
        </is>
      </c>
      <c r="D3" t="inlineStr">
        <is>
          <t>Encode policy, legal rules and claim boundaries.</t>
        </is>
      </c>
      <c r="E3" s="2" t="n">
        <v>46276</v>
      </c>
      <c r="F3" s="2" t="n">
        <v>46277</v>
      </c>
      <c r="G3" s="3">
        <f>[@[End Date]]-[@[Start Date]]+1</f>
        <v/>
      </c>
      <c r="H3" t="inlineStr"/>
      <c r="I3" t="inlineStr">
        <is>
          <t>FS</t>
        </is>
      </c>
      <c r="J3" t="inlineStr">
        <is>
          <t>No</t>
        </is>
      </c>
      <c r="K3" t="inlineStr">
        <is>
          <t>Enterprise Policy Engine</t>
        </is>
      </c>
      <c r="L3" t="inlineStr">
        <is>
          <t>High</t>
        </is>
      </c>
      <c r="M3" t="inlineStr">
        <is>
          <t>Not Started</t>
        </is>
      </c>
      <c r="N3" s="4" t="n">
        <v>0</v>
      </c>
      <c r="O3" s="3">
        <f>IF([@[End Date]]&lt;[@[Start Date]],"Invalid Dates",IF([@[Progress %]]&gt;=1,"Complete",IF(AND([@Predecessor]&lt;&gt;"",[@[Start Date]]&lt;[@[Dep Constraint]]),"Dep. Conflict",IF(AND(TODAY()&gt;[@[End Date]],[@[Progress %]]&lt;1),"Overdue",IF(AND(TODAY()&gt;=[@[Start Date]],TODAY()&lt;=[@[End Date]]),"In Window","On Track")))))</f>
        <v/>
      </c>
      <c r="P3" t="inlineStr">
        <is>
          <t>[INFERRED] dates</t>
        </is>
      </c>
      <c r="Q3" s="3">
        <f>IF([@Predecessor]="",0,MAX(IFERROR(INDEX(tblTasks[End Date],MATCH(TRIM(MID(SUBSTITUTE([@Predecessor],",",REPT(" ",100)),1,100)),tblTasks[Task ID],0)),0),IFERROR(INDEX(tblTasks[End Date],MATCH(TRIM(MID(SUBSTITUTE([@Predecessor],",",REPT(" ",100)),101,100)),tblTasks[Task ID],0)),0),IFERROR(INDEX(tblTasks[End Date],MATCH(TRIM(MID(SUBSTITUTE([@Predecessor],",",REPT(" ",100)),201,100)),tblTasks[Task ID],0)),0)))</f>
        <v/>
      </c>
    </row>
    <row r="4">
      <c r="A4" t="inlineStr">
        <is>
          <t>T03</t>
        </is>
      </c>
      <c r="B4" t="inlineStr">
        <is>
          <t>P1 · Governance &amp; Policy</t>
        </is>
      </c>
      <c r="C4" t="inlineStr">
        <is>
          <t>Establish Policy &amp; Authorization Boundary (PAB) evaluation rules</t>
        </is>
      </c>
      <c r="D4" t="inlineStr">
        <is>
          <t>Caller-ID, delegation chain, tenant scope, risk tier checks.</t>
        </is>
      </c>
      <c r="E4" s="2" t="n">
        <v>46277</v>
      </c>
      <c r="F4" s="2" t="n">
        <v>46279</v>
      </c>
      <c r="G4" s="3">
        <f>[@[End Date]]-[@[Start Date]]+1</f>
        <v/>
      </c>
      <c r="H4" t="inlineStr">
        <is>
          <t>T01, T02</t>
        </is>
      </c>
      <c r="I4" t="inlineStr">
        <is>
          <t>FS</t>
        </is>
      </c>
      <c r="J4" t="inlineStr">
        <is>
          <t>No</t>
        </is>
      </c>
      <c r="K4" t="inlineStr">
        <is>
          <t>Policy &amp; Authorization Boundary (PAB)</t>
        </is>
      </c>
      <c r="L4" t="inlineStr">
        <is>
          <t>High</t>
        </is>
      </c>
      <c r="M4" t="inlineStr">
        <is>
          <t>Not Started</t>
        </is>
      </c>
      <c r="N4" s="4" t="n">
        <v>0</v>
      </c>
      <c r="O4" s="3">
        <f>IF([@[End Date]]&lt;[@[Start Date]],"Invalid Dates",IF([@[Progress %]]&gt;=1,"Complete",IF(AND([@Predecessor]&lt;&gt;"",[@[Start Date]]&lt;[@[Dep Constraint]]),"Dep. Conflict",IF(AND(TODAY()&gt;[@[End Date]],[@[Progress %]]&lt;1),"Overdue",IF(AND(TODAY()&gt;=[@[Start Date]],TODAY()&lt;=[@[End Date]]),"In Window","On Track")))))</f>
        <v/>
      </c>
      <c r="P4" t="inlineStr"/>
      <c r="Q4" s="3">
        <f>IF([@Predecessor]="",0,MAX(IFERROR(INDEX(tblTasks[End Date],MATCH(TRIM(MID(SUBSTITUTE([@Predecessor],",",REPT(" ",100)),1,100)),tblTasks[Task ID],0)),0),IFERROR(INDEX(tblTasks[End Date],MATCH(TRIM(MID(SUBSTITUTE([@Predecessor],",",REPT(" ",100)),101,100)),tblTasks[Task ID],0)),0),IFERROR(INDEX(tblTasks[End Date],MATCH(TRIM(MID(SUBSTITUTE([@Predecessor],",",REPT(" ",100)),201,100)),tblTasks[Task ID],0)),0)))</f>
        <v/>
      </c>
    </row>
    <row r="5">
      <c r="A5" t="inlineStr">
        <is>
          <t>T04</t>
        </is>
      </c>
      <c r="B5" t="inlineStr">
        <is>
          <t>P1 · Governance &amp; Policy</t>
        </is>
      </c>
      <c r="C5" t="inlineStr">
        <is>
          <t>Initialize Canonical Task State Machine (CTS) &amp; DAG execution schema</t>
        </is>
      </c>
      <c r="D5" t="inlineStr">
        <is>
          <t>Task lifecycle, checkpoints, dependency graph, holds.</t>
        </is>
      </c>
      <c r="E5" s="2" t="n">
        <v>46277</v>
      </c>
      <c r="F5" s="2" t="n">
        <v>46279</v>
      </c>
      <c r="G5" s="3">
        <f>[@[End Date]]-[@[Start Date]]+1</f>
        <v/>
      </c>
      <c r="H5" t="inlineStr">
        <is>
          <t>T01</t>
        </is>
      </c>
      <c r="I5" t="inlineStr">
        <is>
          <t>FS</t>
        </is>
      </c>
      <c r="J5" t="inlineStr">
        <is>
          <t>No</t>
        </is>
      </c>
      <c r="K5" t="inlineStr">
        <is>
          <t>Canonical Task State Machine (CTS)</t>
        </is>
      </c>
      <c r="L5" t="inlineStr">
        <is>
          <t>High</t>
        </is>
      </c>
      <c r="M5" t="inlineStr">
        <is>
          <t>Not Started</t>
        </is>
      </c>
      <c r="N5" s="4" t="n">
        <v>0</v>
      </c>
      <c r="O5" s="3">
        <f>IF([@[End Date]]&lt;[@[Start Date]],"Invalid Dates",IF([@[Progress %]]&gt;=1,"Complete",IF(AND([@Predecessor]&lt;&gt;"",[@[Start Date]]&lt;[@[Dep Constraint]]),"Dep. Conflict",IF(AND(TODAY()&gt;[@[End Date]],[@[Progress %]]&lt;1),"Overdue",IF(AND(TODAY()&gt;=[@[Start Date]],TODAY()&lt;=[@[End Date]]),"In Window","On Track")))))</f>
        <v/>
      </c>
      <c r="P5" t="inlineStr"/>
      <c r="Q5" s="3">
        <f>IF([@Predecessor]="",0,MAX(IFERROR(INDEX(tblTasks[End Date],MATCH(TRIM(MID(SUBSTITUTE([@Predecessor],",",REPT(" ",100)),1,100)),tblTasks[Task ID],0)),0),IFERROR(INDEX(tblTasks[End Date],MATCH(TRIM(MID(SUBSTITUTE([@Predecessor],",",REPT(" ",100)),101,100)),tblTasks[Task ID],0)),0),IFERROR(INDEX(tblTasks[End Date],MATCH(TRIM(MID(SUBSTITUTE([@Predecessor],",",REPT(" ",100)),201,100)),tblTasks[Task ID],0)),0)))</f>
        <v/>
      </c>
    </row>
    <row r="6">
      <c r="A6" t="inlineStr">
        <is>
          <t>T05</t>
        </is>
      </c>
      <c r="B6" t="inlineStr">
        <is>
          <t>P2 · Data Plane &amp; Storage</t>
        </is>
      </c>
      <c r="C6" t="inlineStr">
        <is>
          <t>Provision Central Enterprise DB (CDB) relational tables &amp; vector stores</t>
        </is>
      </c>
      <c r="D6" t="inlineStr">
        <is>
          <t>Relational + JSONB + vector namespaces + telemetry.</t>
        </is>
      </c>
      <c r="E6" s="2" t="n">
        <v>46279</v>
      </c>
      <c r="F6" s="2" t="n">
        <v>46281</v>
      </c>
      <c r="G6" s="3">
        <f>[@[End Date]]-[@[Start Date]]+1</f>
        <v/>
      </c>
      <c r="H6" t="inlineStr">
        <is>
          <t>T04</t>
        </is>
      </c>
      <c r="I6" t="inlineStr">
        <is>
          <t>FS</t>
        </is>
      </c>
      <c r="J6" t="inlineStr">
        <is>
          <t>No</t>
        </is>
      </c>
      <c r="K6" t="inlineStr">
        <is>
          <t>Central Enterprise Database (CDB)</t>
        </is>
      </c>
      <c r="L6" t="inlineStr">
        <is>
          <t>Medium</t>
        </is>
      </c>
      <c r="M6" t="inlineStr">
        <is>
          <t>Not Started</t>
        </is>
      </c>
      <c r="N6" s="4" t="n">
        <v>0</v>
      </c>
      <c r="O6" s="3">
        <f>IF([@[End Date]]&lt;[@[Start Date]],"Invalid Dates",IF([@[Progress %]]&gt;=1,"Complete",IF(AND([@Predecessor]&lt;&gt;"",[@[Start Date]]&lt;[@[Dep Constraint]]),"Dep. Conflict",IF(AND(TODAY()&gt;[@[End Date]],[@[Progress %]]&lt;1),"Overdue",IF(AND(TODAY()&gt;=[@[Start Date]],TODAY()&lt;=[@[End Date]]),"In Window","On Track")))))</f>
        <v/>
      </c>
      <c r="P6" t="inlineStr"/>
      <c r="Q6" s="3">
        <f>IF([@Predecessor]="",0,MAX(IFERROR(INDEX(tblTasks[End Date],MATCH(TRIM(MID(SUBSTITUTE([@Predecessor],",",REPT(" ",100)),1,100)),tblTasks[Task ID],0)),0),IFERROR(INDEX(tblTasks[End Date],MATCH(TRIM(MID(SUBSTITUTE([@Predecessor],",",REPT(" ",100)),101,100)),tblTasks[Task ID],0)),0),IFERROR(INDEX(tblTasks[End Date],MATCH(TRIM(MID(SUBSTITUTE([@Predecessor],",",REPT(" ",100)),201,100)),tblTasks[Task ID],0)),0)))</f>
        <v/>
      </c>
    </row>
    <row r="7">
      <c r="A7" t="inlineStr">
        <is>
          <t>T06</t>
        </is>
      </c>
      <c r="B7" t="inlineStr">
        <is>
          <t>P2 · Data Plane &amp; Storage</t>
        </is>
      </c>
      <c r="C7" t="inlineStr">
        <is>
          <t>Connect Headless CMS content models &amp; staging layout schemas</t>
        </is>
      </c>
      <c r="D7" t="inlineStr">
        <is>
          <t>Staged page models, schemas, catalog diffs.</t>
        </is>
      </c>
      <c r="E7" s="2" t="n">
        <v>46279</v>
      </c>
      <c r="F7" s="2" t="n">
        <v>46281</v>
      </c>
      <c r="G7" s="3">
        <f>[@[End Date]]-[@[Start Date]]+1</f>
        <v/>
      </c>
      <c r="H7" t="inlineStr">
        <is>
          <t>T04</t>
        </is>
      </c>
      <c r="I7" t="inlineStr">
        <is>
          <t>FS</t>
        </is>
      </c>
      <c r="J7" t="inlineStr">
        <is>
          <t>No</t>
        </is>
      </c>
      <c r="K7" t="inlineStr">
        <is>
          <t>Headless CMS &amp; Web Store (CMS)</t>
        </is>
      </c>
      <c r="L7" t="inlineStr">
        <is>
          <t>Medium</t>
        </is>
      </c>
      <c r="M7" t="inlineStr">
        <is>
          <t>Not Started</t>
        </is>
      </c>
      <c r="N7" s="4" t="n">
        <v>0</v>
      </c>
      <c r="O7" s="3">
        <f>IF([@[End Date]]&lt;[@[Start Date]],"Invalid Dates",IF([@[Progress %]]&gt;=1,"Complete",IF(AND([@Predecessor]&lt;&gt;"",[@[Start Date]]&lt;[@[Dep Constraint]]),"Dep. Conflict",IF(AND(TODAY()&gt;[@[End Date]],[@[Progress %]]&lt;1),"Overdue",IF(AND(TODAY()&gt;=[@[Start Date]],TODAY()&lt;=[@[End Date]]),"In Window","On Track")))))</f>
        <v/>
      </c>
      <c r="P7" t="inlineStr"/>
      <c r="Q7" s="3">
        <f>IF([@Predecessor]="",0,MAX(IFERROR(INDEX(tblTasks[End Date],MATCH(TRIM(MID(SUBSTITUTE([@Predecessor],",",REPT(" ",100)),1,100)),tblTasks[Task ID],0)),0),IFERROR(INDEX(tblTasks[End Date],MATCH(TRIM(MID(SUBSTITUTE([@Predecessor],",",REPT(" ",100)),101,100)),tblTasks[Task ID],0)),0),IFERROR(INDEX(tblTasks[End Date],MATCH(TRIM(MID(SUBSTITUTE([@Predecessor],",",REPT(" ",100)),201,100)),tblTasks[Task ID],0)),0)))</f>
        <v/>
      </c>
    </row>
    <row r="8">
      <c r="A8" t="inlineStr">
        <is>
          <t>T07</t>
        </is>
      </c>
      <c r="B8" t="inlineStr">
        <is>
          <t>P2 · Data Plane &amp; Storage</t>
        </is>
      </c>
      <c r="C8" t="inlineStr">
        <is>
          <t>Instantiate Institutional Memory Store (MEM) for brand heuristics</t>
        </is>
      </c>
      <c r="D8" t="inlineStr">
        <is>
          <t>Promoted knowledge, brand books, learned heuristics.</t>
        </is>
      </c>
      <c r="E8" s="2" t="n">
        <v>46279</v>
      </c>
      <c r="F8" s="2" t="n">
        <v>46281</v>
      </c>
      <c r="G8" s="3">
        <f>[@[End Date]]-[@[Start Date]]+1</f>
        <v/>
      </c>
      <c r="H8" t="inlineStr">
        <is>
          <t>T04</t>
        </is>
      </c>
      <c r="I8" t="inlineStr">
        <is>
          <t>FS</t>
        </is>
      </c>
      <c r="J8" t="inlineStr">
        <is>
          <t>No</t>
        </is>
      </c>
      <c r="K8" t="inlineStr">
        <is>
          <t>Institutional Memory Store (MEM)</t>
        </is>
      </c>
      <c r="L8" t="inlineStr">
        <is>
          <t>Medium</t>
        </is>
      </c>
      <c r="M8" t="inlineStr">
        <is>
          <t>Not Started</t>
        </is>
      </c>
      <c r="N8" s="4" t="n">
        <v>0</v>
      </c>
      <c r="O8" s="3">
        <f>IF([@[End Date]]&lt;[@[Start Date]],"Invalid Dates",IF([@[Progress %]]&gt;=1,"Complete",IF(AND([@Predecessor]&lt;&gt;"",[@[Start Date]]&lt;[@[Dep Constraint]]),"Dep. Conflict",IF(AND(TODAY()&gt;[@[End Date]],[@[Progress %]]&lt;1),"Overdue",IF(AND(TODAY()&gt;=[@[Start Date]],TODAY()&lt;=[@[End Date]]),"In Window","On Track")))))</f>
        <v/>
      </c>
      <c r="P8" t="inlineStr"/>
      <c r="Q8" s="3">
        <f>IF([@Predecessor]="",0,MAX(IFERROR(INDEX(tblTasks[End Date],MATCH(TRIM(MID(SUBSTITUTE([@Predecessor],",",REPT(" ",100)),1,100)),tblTasks[Task ID],0)),0),IFERROR(INDEX(tblTasks[End Date],MATCH(TRIM(MID(SUBSTITUTE([@Predecessor],",",REPT(" ",100)),101,100)),tblTasks[Task ID],0)),0),IFERROR(INDEX(tblTasks[End Date],MATCH(TRIM(MID(SUBSTITUTE([@Predecessor],",",REPT(" ",100)),201,100)),tblTasks[Task ID],0)),0)))</f>
        <v/>
      </c>
    </row>
    <row r="9">
      <c r="A9" t="inlineStr">
        <is>
          <t>T08</t>
        </is>
      </c>
      <c r="B9" t="inlineStr">
        <is>
          <t>P2 · Data Plane &amp; Storage</t>
        </is>
      </c>
      <c r="C9" t="inlineStr">
        <is>
          <t>Configure Artifact &amp; Evidence Registry (ART) for UUID/hash deliverables</t>
        </is>
      </c>
      <c r="D9" t="inlineStr">
        <is>
          <t>Content-addressable deliverables by UUID/SHA-256.</t>
        </is>
      </c>
      <c r="E9" s="2" t="n">
        <v>46281</v>
      </c>
      <c r="F9" s="2" t="n">
        <v>46283</v>
      </c>
      <c r="G9" s="3">
        <f>[@[End Date]]-[@[Start Date]]+1</f>
        <v/>
      </c>
      <c r="H9" t="inlineStr">
        <is>
          <t>T05</t>
        </is>
      </c>
      <c r="I9" t="inlineStr">
        <is>
          <t>FS</t>
        </is>
      </c>
      <c r="J9" t="inlineStr">
        <is>
          <t>No</t>
        </is>
      </c>
      <c r="K9" t="inlineStr">
        <is>
          <t>Artifact &amp; Evidence Registry (ART)</t>
        </is>
      </c>
      <c r="L9" t="inlineStr">
        <is>
          <t>Medium</t>
        </is>
      </c>
      <c r="M9" t="inlineStr">
        <is>
          <t>Not Started</t>
        </is>
      </c>
      <c r="N9" s="4" t="n">
        <v>0</v>
      </c>
      <c r="O9" s="3">
        <f>IF([@[End Date]]&lt;[@[Start Date]],"Invalid Dates",IF([@[Progress %]]&gt;=1,"Complete",IF(AND([@Predecessor]&lt;&gt;"",[@[Start Date]]&lt;[@[Dep Constraint]]),"Dep. Conflict",IF(AND(TODAY()&gt;[@[End Date]],[@[Progress %]]&lt;1),"Overdue",IF(AND(TODAY()&gt;=[@[Start Date]],TODAY()&lt;=[@[End Date]]),"In Window","On Track")))))</f>
        <v/>
      </c>
      <c r="P9" t="inlineStr"/>
      <c r="Q9" s="3">
        <f>IF([@Predecessor]="",0,MAX(IFERROR(INDEX(tblTasks[End Date],MATCH(TRIM(MID(SUBSTITUTE([@Predecessor],",",REPT(" ",100)),1,100)),tblTasks[Task ID],0)),0),IFERROR(INDEX(tblTasks[End Date],MATCH(TRIM(MID(SUBSTITUTE([@Predecessor],",",REPT(" ",100)),101,100)),tblTasks[Task ID],0)),0),IFERROR(INDEX(tblTasks[End Date],MATCH(TRIM(MID(SUBSTITUTE([@Predecessor],",",REPT(" ",100)),201,100)),tblTasks[Task ID],0)),0)))</f>
        <v/>
      </c>
    </row>
    <row r="10">
      <c r="A10" t="inlineStr">
        <is>
          <t>T09</t>
        </is>
      </c>
      <c r="B10" t="inlineStr">
        <is>
          <t>P2 · Data Plane &amp; Storage</t>
        </is>
      </c>
      <c r="C10" t="inlineStr">
        <is>
          <t>Deploy Governed MCP Data Boundary CRUD gateways &amp; connection pools</t>
        </is>
      </c>
      <c r="D10" t="inlineStr">
        <is>
          <t>Read/write capability facades to all stores.</t>
        </is>
      </c>
      <c r="E10" s="2" t="n">
        <v>46281</v>
      </c>
      <c r="F10" s="2" t="n">
        <v>46283</v>
      </c>
      <c r="G10" s="3">
        <f>[@[End Date]]-[@[Start Date]]+1</f>
        <v/>
      </c>
      <c r="H10" t="inlineStr">
        <is>
          <t>T05, T06, T07</t>
        </is>
      </c>
      <c r="I10" t="inlineStr">
        <is>
          <t>FS</t>
        </is>
      </c>
      <c r="J10" t="inlineStr">
        <is>
          <t>No</t>
        </is>
      </c>
      <c r="K10" t="inlineStr">
        <is>
          <t>Governed MCP Data Boundary</t>
        </is>
      </c>
      <c r="L10" t="inlineStr">
        <is>
          <t>High</t>
        </is>
      </c>
      <c r="M10" t="inlineStr">
        <is>
          <t>Not Started</t>
        </is>
      </c>
      <c r="N10" s="4" t="n">
        <v>0</v>
      </c>
      <c r="O10" s="3">
        <f>IF([@[End Date]]&lt;[@[Start Date]],"Invalid Dates",IF([@[Progress %]]&gt;=1,"Complete",IF(AND([@Predecessor]&lt;&gt;"",[@[Start Date]]&lt;[@[Dep Constraint]]),"Dep. Conflict",IF(AND(TODAY()&gt;[@[End Date]],[@[Progress %]]&lt;1),"Overdue",IF(AND(TODAY()&gt;=[@[Start Date]],TODAY()&lt;=[@[End Date]]),"In Window","On Track")))))</f>
        <v/>
      </c>
      <c r="P10" t="inlineStr"/>
      <c r="Q10" s="3">
        <f>IF([@Predecessor]="",0,MAX(IFERROR(INDEX(tblTasks[End Date],MATCH(TRIM(MID(SUBSTITUTE([@Predecessor],",",REPT(" ",100)),1,100)),tblTasks[Task ID],0)),0),IFERROR(INDEX(tblTasks[End Date],MATCH(TRIM(MID(SUBSTITUTE([@Predecessor],",",REPT(" ",100)),101,100)),tblTasks[Task ID],0)),0),IFERROR(INDEX(tblTasks[End Date],MATCH(TRIM(MID(SUBSTITUTE([@Predecessor],",",REPT(" ",100)),201,100)),tblTasks[Task ID],0)),0)))</f>
        <v/>
      </c>
    </row>
    <row r="11">
      <c r="A11" t="inlineStr">
        <is>
          <t>T10</t>
        </is>
      </c>
      <c r="B11" t="inlineStr">
        <is>
          <t>P2 · Data Plane &amp; Storage</t>
        </is>
      </c>
      <c r="C11" t="inlineStr">
        <is>
          <t>Configure Agentic RAG Controller with tenant isolation &amp; freshness gates</t>
        </is>
      </c>
      <c r="D11" t="inlineStr">
        <is>
          <t>Model-A exclusive broker; hybrid search + provenance.</t>
        </is>
      </c>
      <c r="E11" s="2" t="n">
        <v>46283</v>
      </c>
      <c r="F11" s="2" t="n">
        <v>46284</v>
      </c>
      <c r="G11" s="3">
        <f>[@[End Date]]-[@[Start Date]]+1</f>
        <v/>
      </c>
      <c r="H11" t="inlineStr">
        <is>
          <t>T03, T09</t>
        </is>
      </c>
      <c r="I11" t="inlineStr">
        <is>
          <t>FS</t>
        </is>
      </c>
      <c r="J11" t="inlineStr">
        <is>
          <t>No</t>
        </is>
      </c>
      <c r="K11" t="inlineStr">
        <is>
          <t>Agentic RAG Controller</t>
        </is>
      </c>
      <c r="L11" t="inlineStr">
        <is>
          <t>High</t>
        </is>
      </c>
      <c r="M11" t="inlineStr">
        <is>
          <t>Not Started</t>
        </is>
      </c>
      <c r="N11" s="4" t="n">
        <v>0</v>
      </c>
      <c r="O11" s="3">
        <f>IF([@[End Date]]&lt;[@[Start Date]],"Invalid Dates",IF([@[Progress %]]&gt;=1,"Complete",IF(AND([@Predecessor]&lt;&gt;"",[@[Start Date]]&lt;[@[Dep Constraint]]),"Dep. Conflict",IF(AND(TODAY()&gt;[@[End Date]],[@[Progress %]]&lt;1),"Overdue",IF(AND(TODAY()&gt;=[@[Start Date]],TODAY()&lt;=[@[End Date]]),"In Window","On Track")))))</f>
        <v/>
      </c>
      <c r="P11" t="inlineStr">
        <is>
          <t>Model A enforced</t>
        </is>
      </c>
      <c r="Q11" s="3">
        <f>IF([@Predecessor]="",0,MAX(IFERROR(INDEX(tblTasks[End Date],MATCH(TRIM(MID(SUBSTITUTE([@Predecessor],",",REPT(" ",100)),1,100)),tblTasks[Task ID],0)),0),IFERROR(INDEX(tblTasks[End Date],MATCH(TRIM(MID(SUBSTITUTE([@Predecessor],",",REPT(" ",100)),101,100)),tblTasks[Task ID],0)),0),IFERROR(INDEX(tblTasks[End Date],MATCH(TRIM(MID(SUBSTITUTE([@Predecessor],",",REPT(" ",100)),201,100)),tblTasks[Task ID],0)),0)))</f>
        <v/>
      </c>
    </row>
    <row r="12">
      <c r="A12" t="inlineStr">
        <is>
          <t>T11</t>
        </is>
      </c>
      <c r="B12" t="inlineStr">
        <is>
          <t>P3 · Sandbox &amp; Sub-Agents</t>
        </is>
      </c>
      <c r="C12" t="inlineStr">
        <is>
          <t>Deploy agent_sandbox with cgroups, seccomp &amp; tmpfs isolation</t>
        </is>
      </c>
      <c r="D12" t="inlineStr">
        <is>
          <t>Micro-virtualization and process isolation.</t>
        </is>
      </c>
      <c r="E12" s="2" t="n">
        <v>46283</v>
      </c>
      <c r="F12" s="2" t="n">
        <v>46285</v>
      </c>
      <c r="G12" s="3">
        <f>[@[End Date]]-[@[Start Date]]+1</f>
        <v/>
      </c>
      <c r="H12" t="inlineStr">
        <is>
          <t>T03</t>
        </is>
      </c>
      <c r="I12" t="inlineStr">
        <is>
          <t>FS</t>
        </is>
      </c>
      <c r="J12" t="inlineStr">
        <is>
          <t>No</t>
        </is>
      </c>
      <c r="K12" t="inlineStr">
        <is>
          <t>Sandbox Controller (agent_sandbox)</t>
        </is>
      </c>
      <c r="L12" t="inlineStr">
        <is>
          <t>High</t>
        </is>
      </c>
      <c r="M12" t="inlineStr">
        <is>
          <t>Not Started</t>
        </is>
      </c>
      <c r="N12" s="4" t="n">
        <v>0</v>
      </c>
      <c r="O12" s="3">
        <f>IF([@[End Date]]&lt;[@[Start Date]],"Invalid Dates",IF([@[Progress %]]&gt;=1,"Complete",IF(AND([@Predecessor]&lt;&gt;"",[@[Start Date]]&lt;[@[Dep Constraint]]),"Dep. Conflict",IF(AND(TODAY()&gt;[@[End Date]],[@[Progress %]]&lt;1),"Overdue",IF(AND(TODAY()&gt;=[@[Start Date]],TODAY()&lt;=[@[End Date]]),"In Window","On Track")))))</f>
        <v/>
      </c>
      <c r="P12" t="inlineStr"/>
      <c r="Q12" s="3">
        <f>IF([@Predecessor]="",0,MAX(IFERROR(INDEX(tblTasks[End Date],MATCH(TRIM(MID(SUBSTITUTE([@Predecessor],",",REPT(" ",100)),1,100)),tblTasks[Task ID],0)),0),IFERROR(INDEX(tblTasks[End Date],MATCH(TRIM(MID(SUBSTITUTE([@Predecessor],",",REPT(" ",100)),101,100)),tblTasks[Task ID],0)),0),IFERROR(INDEX(tblTasks[End Date],MATCH(TRIM(MID(SUBSTITUTE([@Predecessor],",",REPT(" ",100)),201,100)),tblTasks[Task ID],0)),0)))</f>
        <v/>
      </c>
    </row>
    <row r="13">
      <c r="A13" t="inlineStr">
        <is>
          <t>T12</t>
        </is>
      </c>
      <c r="B13" t="inlineStr">
        <is>
          <t>P3 · Sandbox &amp; Sub-Agents</t>
        </is>
      </c>
      <c r="C13" t="inlineStr">
        <is>
          <t>Configure sandbox network proxy with egress allowlisting (DENY_ALL)</t>
        </is>
      </c>
      <c r="D13" t="inlineStr">
        <is>
          <t>Default-deny egress with domain whitelist proxy.</t>
        </is>
      </c>
      <c r="E13" s="2" t="n">
        <v>46285</v>
      </c>
      <c r="F13" s="2" t="n">
        <v>46286</v>
      </c>
      <c r="G13" s="3">
        <f>[@[End Date]]-[@[Start Date]]+1</f>
        <v/>
      </c>
      <c r="H13" t="inlineStr">
        <is>
          <t>T11</t>
        </is>
      </c>
      <c r="I13" t="inlineStr">
        <is>
          <t>FS</t>
        </is>
      </c>
      <c r="J13" t="inlineStr">
        <is>
          <t>No</t>
        </is>
      </c>
      <c r="K13" t="inlineStr">
        <is>
          <t>Sandbox Controller (agent_sandbox)</t>
        </is>
      </c>
      <c r="L13" t="inlineStr">
        <is>
          <t>High</t>
        </is>
      </c>
      <c r="M13" t="inlineStr">
        <is>
          <t>Not Started</t>
        </is>
      </c>
      <c r="N13" s="4" t="n">
        <v>0</v>
      </c>
      <c r="O13" s="3">
        <f>IF([@[End Date]]&lt;[@[Start Date]],"Invalid Dates",IF([@[Progress %]]&gt;=1,"Complete",IF(AND([@Predecessor]&lt;&gt;"",[@[Start Date]]&lt;[@[Dep Constraint]]),"Dep. Conflict",IF(AND(TODAY()&gt;[@[End Date]],[@[Progress %]]&lt;1),"Overdue",IF(AND(TODAY()&gt;=[@[Start Date]],TODAY()&lt;=[@[End Date]]),"In Window","On Track")))))</f>
        <v/>
      </c>
      <c r="P13" t="inlineStr"/>
      <c r="Q13" s="3">
        <f>IF([@Predecessor]="",0,MAX(IFERROR(INDEX(tblTasks[End Date],MATCH(TRIM(MID(SUBSTITUTE([@Predecessor],",",REPT(" ",100)),1,100)),tblTasks[Task ID],0)),0),IFERROR(INDEX(tblTasks[End Date],MATCH(TRIM(MID(SUBSTITUTE([@Predecessor],",",REPT(" ",100)),101,100)),tblTasks[Task ID],0)),0),IFERROR(INDEX(tblTasks[End Date],MATCH(TRIM(MID(SUBSTITUTE([@Predecessor],",",REPT(" ",100)),201,100)),tblTasks[Task ID],0)),0)))</f>
        <v/>
      </c>
    </row>
    <row r="14">
      <c r="A14" t="inlineStr">
        <is>
          <t>T13</t>
        </is>
      </c>
      <c r="B14" t="inlineStr">
        <is>
          <t>P3 · Sandbox &amp; Sub-Agents</t>
        </is>
      </c>
      <c r="C14" t="inlineStr">
        <is>
          <t>Implement sandbox execution audit interception to W3C PROV ledger</t>
        </is>
      </c>
      <c r="D14" t="inlineStr">
        <is>
          <t>Syscall/execution logging to immutable audit.</t>
        </is>
      </c>
      <c r="E14" s="2" t="n">
        <v>46286</v>
      </c>
      <c r="F14" s="2" t="n">
        <v>46287</v>
      </c>
      <c r="G14" s="3">
        <f>[@[End Date]]-[@[Start Date]]+1</f>
        <v/>
      </c>
      <c r="H14" t="inlineStr">
        <is>
          <t>T11, T12</t>
        </is>
      </c>
      <c r="I14" t="inlineStr">
        <is>
          <t>FS</t>
        </is>
      </c>
      <c r="J14" t="inlineStr">
        <is>
          <t>No</t>
        </is>
      </c>
      <c r="K14" t="inlineStr">
        <is>
          <t>Sandbox Controller &amp; W3C PROV Audit</t>
        </is>
      </c>
      <c r="L14" t="inlineStr">
        <is>
          <t>Medium</t>
        </is>
      </c>
      <c r="M14" t="inlineStr">
        <is>
          <t>Not Started</t>
        </is>
      </c>
      <c r="N14" s="4" t="n">
        <v>0</v>
      </c>
      <c r="O14" s="3">
        <f>IF([@[End Date]]&lt;[@[Start Date]],"Invalid Dates",IF([@[Progress %]]&gt;=1,"Complete",IF(AND([@Predecessor]&lt;&gt;"",[@[Start Date]]&lt;[@[Dep Constraint]]),"Dep. Conflict",IF(AND(TODAY()&gt;[@[End Date]],[@[Progress %]]&lt;1),"Overdue",IF(AND(TODAY()&gt;=[@[Start Date]],TODAY()&lt;=[@[End Date]]),"In Window","On Track")))))</f>
        <v/>
      </c>
      <c r="P14" t="inlineStr"/>
      <c r="Q14" s="3">
        <f>IF([@Predecessor]="",0,MAX(IFERROR(INDEX(tblTasks[End Date],MATCH(TRIM(MID(SUBSTITUTE([@Predecessor],",",REPT(" ",100)),1,100)),tblTasks[Task ID],0)),0),IFERROR(INDEX(tblTasks[End Date],MATCH(TRIM(MID(SUBSTITUTE([@Predecessor],",",REPT(" ",100)),101,100)),tblTasks[Task ID],0)),0),IFERROR(INDEX(tblTasks[End Date],MATCH(TRIM(MID(SUBSTITUTE([@Predecessor],",",REPT(" ",100)),201,100)),tblTasks[Task ID],0)),0)))</f>
        <v/>
      </c>
    </row>
    <row r="15">
      <c r="A15" t="inlineStr">
        <is>
          <t>T14</t>
        </is>
      </c>
      <c r="B15" t="inlineStr">
        <is>
          <t>P3 · Sandbox &amp; Sub-Agents</t>
        </is>
      </c>
      <c r="C15" t="inlineStr">
        <is>
          <t>Instantiate specialist sub-agent micro-tools (S_CODE→S_ATTR) in sandbox</t>
        </is>
      </c>
      <c r="D15" t="inlineStr">
        <is>
          <t>Containerize all ephemeral micro-tools.</t>
        </is>
      </c>
      <c r="E15" s="2" t="n">
        <v>46286</v>
      </c>
      <c r="F15" s="2" t="n">
        <v>46288</v>
      </c>
      <c r="G15" s="3">
        <f>[@[End Date]]-[@[Start Date]]+1</f>
        <v/>
      </c>
      <c r="H15" t="inlineStr">
        <is>
          <t>T11, T12</t>
        </is>
      </c>
      <c r="I15" t="inlineStr">
        <is>
          <t>FS</t>
        </is>
      </c>
      <c r="J15" t="inlineStr">
        <is>
          <t>No</t>
        </is>
      </c>
      <c r="K15" t="inlineStr">
        <is>
          <t>Specialist Sub-Agents (L4_SUBS)</t>
        </is>
      </c>
      <c r="L15" t="inlineStr">
        <is>
          <t>Medium</t>
        </is>
      </c>
      <c r="M15" t="inlineStr">
        <is>
          <t>Not Started</t>
        </is>
      </c>
      <c r="N15" s="4" t="n">
        <v>0</v>
      </c>
      <c r="O15" s="3">
        <f>IF([@[End Date]]&lt;[@[Start Date]],"Invalid Dates",IF([@[Progress %]]&gt;=1,"Complete",IF(AND([@Predecessor]&lt;&gt;"",[@[Start Date]]&lt;[@[Dep Constraint]]),"Dep. Conflict",IF(AND(TODAY()&gt;[@[End Date]],[@[Progress %]]&lt;1),"Overdue",IF(AND(TODAY()&gt;=[@[Start Date]],TODAY()&lt;=[@[End Date]]),"In Window","On Track")))))</f>
        <v/>
      </c>
      <c r="P15" t="inlineStr"/>
      <c r="Q15" s="3">
        <f>IF([@Predecessor]="",0,MAX(IFERROR(INDEX(tblTasks[End Date],MATCH(TRIM(MID(SUBSTITUTE([@Predecessor],",",REPT(" ",100)),1,100)),tblTasks[Task ID],0)),0),IFERROR(INDEX(tblTasks[End Date],MATCH(TRIM(MID(SUBSTITUTE([@Predecessor],",",REPT(" ",100)),101,100)),tblTasks[Task ID],0)),0),IFERROR(INDEX(tblTasks[End Date],MATCH(TRIM(MID(SUBSTITUTE([@Predecessor],",",REPT(" ",100)),201,100)),tblTasks[Task ID],0)),0)))</f>
        <v/>
      </c>
    </row>
    <row r="16">
      <c r="A16" t="inlineStr">
        <is>
          <t>T15</t>
        </is>
      </c>
      <c r="B16" t="inlineStr">
        <is>
          <t>P4 · Domain Intelligence &amp; Assets</t>
        </is>
      </c>
      <c r="C16" t="inlineStr">
        <is>
          <t>Configure Intelligence Engine context assembly &amp; brand persona layer</t>
        </is>
      </c>
      <c r="D16" t="inlineStr">
        <is>
          <t>Dynamic context assembly + persona.</t>
        </is>
      </c>
      <c r="E16" s="2" t="n">
        <v>46288</v>
      </c>
      <c r="F16" s="2" t="n">
        <v>46289</v>
      </c>
      <c r="G16" s="3">
        <f>[@[End Date]]-[@[Start Date]]+1</f>
        <v/>
      </c>
      <c r="H16" t="inlineStr">
        <is>
          <t>T04, T10</t>
        </is>
      </c>
      <c r="I16" t="inlineStr">
        <is>
          <t>FS</t>
        </is>
      </c>
      <c r="J16" t="inlineStr">
        <is>
          <t>No</t>
        </is>
      </c>
      <c r="K16" t="inlineStr">
        <is>
          <t>Intelligence Engine (IE)</t>
        </is>
      </c>
      <c r="L16" t="inlineStr">
        <is>
          <t>High</t>
        </is>
      </c>
      <c r="M16" t="inlineStr">
        <is>
          <t>Not Started</t>
        </is>
      </c>
      <c r="N16" s="4" t="n">
        <v>0</v>
      </c>
      <c r="O16" s="3">
        <f>IF([@[End Date]]&lt;[@[Start Date]],"Invalid Dates",IF([@[Progress %]]&gt;=1,"Complete",IF(AND([@Predecessor]&lt;&gt;"",[@[Start Date]]&lt;[@[Dep Constraint]]),"Dep. Conflict",IF(AND(TODAY()&gt;[@[End Date]],[@[Progress %]]&lt;1),"Overdue",IF(AND(TODAY()&gt;=[@[Start Date]],TODAY()&lt;=[@[End Date]]),"In Window","On Track")))))</f>
        <v/>
      </c>
      <c r="P16" t="inlineStr"/>
      <c r="Q16" s="3">
        <f>IF([@Predecessor]="",0,MAX(IFERROR(INDEX(tblTasks[End Date],MATCH(TRIM(MID(SUBSTITUTE([@Predecessor],",",REPT(" ",100)),1,100)),tblTasks[Task ID],0)),0),IFERROR(INDEX(tblTasks[End Date],MATCH(TRIM(MID(SUBSTITUTE([@Predecessor],",",REPT(" ",100)),101,100)),tblTasks[Task ID],0)),0),IFERROR(INDEX(tblTasks[End Date],MATCH(TRIM(MID(SUBSTITUTE([@Predecessor],",",REPT(" ",100)),201,100)),tblTasks[Task ID],0)),0)))</f>
        <v/>
      </c>
    </row>
    <row r="17">
      <c r="A17" t="inlineStr">
        <is>
          <t>T16</t>
        </is>
      </c>
      <c r="B17" t="inlineStr">
        <is>
          <t>P4 · Domain Intelligence &amp; Assets</t>
        </is>
      </c>
      <c r="C17" t="inlineStr">
        <is>
          <t>Ingest &amp; verify product formulations &amp; compliance dossiers (W_PROD)</t>
        </is>
      </c>
      <c r="D17" t="inlineStr">
        <is>
          <t>Evidence dossiers, claim mapping, regulatory lint.</t>
        </is>
      </c>
      <c r="E17" s="2" t="n">
        <v>46289</v>
      </c>
      <c r="F17" s="2" t="n">
        <v>46291</v>
      </c>
      <c r="G17" s="3">
        <f>[@[End Date]]-[@[Start Date]]+1</f>
        <v/>
      </c>
      <c r="H17" t="inlineStr">
        <is>
          <t>T10, T14, T15</t>
        </is>
      </c>
      <c r="I17" t="inlineStr">
        <is>
          <t>FS</t>
        </is>
      </c>
      <c r="J17" t="inlineStr">
        <is>
          <t>No</t>
        </is>
      </c>
      <c r="K17" t="inlineStr">
        <is>
          <t>Product / Evidence Engine &amp; S_VAL</t>
        </is>
      </c>
      <c r="L17" t="inlineStr">
        <is>
          <t>Medium</t>
        </is>
      </c>
      <c r="M17" t="inlineStr">
        <is>
          <t>Not Started</t>
        </is>
      </c>
      <c r="N17" s="4" t="n">
        <v>0</v>
      </c>
      <c r="O17" s="3">
        <f>IF([@[End Date]]&lt;[@[Start Date]],"Invalid Dates",IF([@[Progress %]]&gt;=1,"Complete",IF(AND([@Predecessor]&lt;&gt;"",[@[Start Date]]&lt;[@[Dep Constraint]]),"Dep. Conflict",IF(AND(TODAY()&gt;[@[End Date]],[@[Progress %]]&lt;1),"Overdue",IF(AND(TODAY()&gt;=[@[Start Date]],TODAY()&lt;=[@[End Date]]),"In Window","On Track")))))</f>
        <v/>
      </c>
      <c r="P17" t="inlineStr"/>
      <c r="Q17" s="3">
        <f>IF([@Predecessor]="",0,MAX(IFERROR(INDEX(tblTasks[End Date],MATCH(TRIM(MID(SUBSTITUTE([@Predecessor],",",REPT(" ",100)),1,100)),tblTasks[Task ID],0)),0),IFERROR(INDEX(tblTasks[End Date],MATCH(TRIM(MID(SUBSTITUTE([@Predecessor],",",REPT(" ",100)),101,100)),tblTasks[Task ID],0)),0),IFERROR(INDEX(tblTasks[End Date],MATCH(TRIM(MID(SUBSTITUTE([@Predecessor],",",REPT(" ",100)),201,100)),tblTasks[Task ID],0)),0)))</f>
        <v/>
      </c>
    </row>
    <row r="18">
      <c r="A18" t="inlineStr">
        <is>
          <t>T17</t>
        </is>
      </c>
      <c r="B18" t="inlineStr">
        <is>
          <t>P4 · Domain Intelligence &amp; Assets</t>
        </is>
      </c>
      <c r="C18" t="inlineStr">
        <is>
          <t>Ingest &amp; parse customer support tickets &amp; review sentiment (W_VOICE)</t>
        </is>
      </c>
      <c r="D18" t="inlineStr">
        <is>
          <t>Sentiment, objections, CX clustering.</t>
        </is>
      </c>
      <c r="E18" s="2" t="n">
        <v>46289</v>
      </c>
      <c r="F18" s="2" t="n">
        <v>46291</v>
      </c>
      <c r="G18" s="3">
        <f>[@[End Date]]-[@[Start Date]]+1</f>
        <v/>
      </c>
      <c r="H18" t="inlineStr">
        <is>
          <t>T10, T14, T15</t>
        </is>
      </c>
      <c r="I18" t="inlineStr">
        <is>
          <t>FS</t>
        </is>
      </c>
      <c r="J18" t="inlineStr">
        <is>
          <t>No</t>
        </is>
      </c>
      <c r="K18" t="inlineStr">
        <is>
          <t>Customer Voice Engine &amp; S_PARSE</t>
        </is>
      </c>
      <c r="L18" t="inlineStr">
        <is>
          <t>Medium</t>
        </is>
      </c>
      <c r="M18" t="inlineStr">
        <is>
          <t>Not Started</t>
        </is>
      </c>
      <c r="N18" s="4" t="n">
        <v>0</v>
      </c>
      <c r="O18" s="3">
        <f>IF([@[End Date]]&lt;[@[Start Date]],"Invalid Dates",IF([@[Progress %]]&gt;=1,"Complete",IF(AND([@Predecessor]&lt;&gt;"",[@[Start Date]]&lt;[@[Dep Constraint]]),"Dep. Conflict",IF(AND(TODAY()&gt;[@[End Date]],[@[Progress %]]&lt;1),"Overdue",IF(AND(TODAY()&gt;=[@[Start Date]],TODAY()&lt;=[@[End Date]]),"In Window","On Track")))))</f>
        <v/>
      </c>
      <c r="P18" t="inlineStr"/>
      <c r="Q18" s="3">
        <f>IF([@Predecessor]="",0,MAX(IFERROR(INDEX(tblTasks[End Date],MATCH(TRIM(MID(SUBSTITUTE([@Predecessor],",",REPT(" ",100)),1,100)),tblTasks[Task ID],0)),0),IFERROR(INDEX(tblTasks[End Date],MATCH(TRIM(MID(SUBSTITUTE([@Predecessor],",",REPT(" ",100)),101,100)),tblTasks[Task ID],0)),0),IFERROR(INDEX(tblTasks[End Date],MATCH(TRIM(MID(SUBSTITUTE([@Predecessor],",",REPT(" ",100)),201,100)),tblTasks[Task ID],0)),0)))</f>
        <v/>
      </c>
    </row>
    <row r="19">
      <c r="A19" t="inlineStr">
        <is>
          <t>T18</t>
        </is>
      </c>
      <c r="B19" t="inlineStr">
        <is>
          <t>P4 · Domain Intelligence &amp; Assets</t>
        </is>
      </c>
      <c r="C19" t="inlineStr">
        <is>
          <t>Scrape competitor ad libraries, pricing &amp; market positioning (W_COMP)</t>
        </is>
      </c>
      <c r="D19" t="inlineStr">
        <is>
          <t>Ad libraries, price trajectories, trends.</t>
        </is>
      </c>
      <c r="E19" s="2" t="n">
        <v>46289</v>
      </c>
      <c r="F19" s="2" t="n">
        <v>46291</v>
      </c>
      <c r="G19" s="3">
        <f>[@[End Date]]-[@[Start Date]]+1</f>
        <v/>
      </c>
      <c r="H19" t="inlineStr">
        <is>
          <t>T12, T14, T15</t>
        </is>
      </c>
      <c r="I19" t="inlineStr">
        <is>
          <t>FS</t>
        </is>
      </c>
      <c r="J19" t="inlineStr">
        <is>
          <t>No</t>
        </is>
      </c>
      <c r="K19" t="inlineStr">
        <is>
          <t>Competitor Intel Engine &amp; S_SCRAPE</t>
        </is>
      </c>
      <c r="L19" t="inlineStr">
        <is>
          <t>Medium</t>
        </is>
      </c>
      <c r="M19" t="inlineStr">
        <is>
          <t>Not Started</t>
        </is>
      </c>
      <c r="N19" s="4" t="n">
        <v>0</v>
      </c>
      <c r="O19" s="3">
        <f>IF([@[End Date]]&lt;[@[Start Date]],"Invalid Dates",IF([@[Progress %]]&gt;=1,"Complete",IF(AND([@Predecessor]&lt;&gt;"",[@[Start Date]]&lt;[@[Dep Constraint]]),"Dep. Conflict",IF(AND(TODAY()&gt;[@[End Date]],[@[Progress %]]&lt;1),"Overdue",IF(AND(TODAY()&gt;=[@[Start Date]],TODAY()&lt;=[@[End Date]]),"In Window","On Track")))))</f>
        <v/>
      </c>
      <c r="P19" t="inlineStr"/>
      <c r="Q19" s="3">
        <f>IF([@Predecessor]="",0,MAX(IFERROR(INDEX(tblTasks[End Date],MATCH(TRIM(MID(SUBSTITUTE([@Predecessor],",",REPT(" ",100)),1,100)),tblTasks[Task ID],0)),0),IFERROR(INDEX(tblTasks[End Date],MATCH(TRIM(MID(SUBSTITUTE([@Predecessor],",",REPT(" ",100)),101,100)),tblTasks[Task ID],0)),0),IFERROR(INDEX(tblTasks[End Date],MATCH(TRIM(MID(SUBSTITUTE([@Predecessor],",",REPT(" ",100)),201,100)),tblTasks[Task ID],0)),0)))</f>
        <v/>
      </c>
    </row>
    <row r="20">
      <c r="A20" t="inlineStr">
        <is>
          <t>T19</t>
        </is>
      </c>
      <c r="B20" t="inlineStr">
        <is>
          <t>P4 · Domain Intelligence &amp; Assets</t>
        </is>
      </c>
      <c r="C20" t="inlineStr">
        <is>
          <t>Develop omnichannel marketing roadmaps &amp; budget allocations (W_STRAT)</t>
        </is>
      </c>
      <c r="D20" t="inlineStr">
        <is>
          <t>Media mix, funnels, budget plans.</t>
        </is>
      </c>
      <c r="E20" s="2" t="n">
        <v>46291</v>
      </c>
      <c r="F20" s="2" t="n">
        <v>46294</v>
      </c>
      <c r="G20" s="3">
        <f>[@[End Date]]-[@[Start Date]]+1</f>
        <v/>
      </c>
      <c r="H20" t="inlineStr">
        <is>
          <t>T16, T17, T18</t>
        </is>
      </c>
      <c r="I20" t="inlineStr">
        <is>
          <t>FS</t>
        </is>
      </c>
      <c r="J20" t="inlineStr">
        <is>
          <t>No</t>
        </is>
      </c>
      <c r="K20" t="inlineStr">
        <is>
          <t>Strategy Engine &amp; S_ALLOC</t>
        </is>
      </c>
      <c r="L20" t="inlineStr">
        <is>
          <t>High</t>
        </is>
      </c>
      <c r="M20" t="inlineStr">
        <is>
          <t>Not Started</t>
        </is>
      </c>
      <c r="N20" s="4" t="n">
        <v>0</v>
      </c>
      <c r="O20" s="3">
        <f>IF([@[End Date]]&lt;[@[Start Date]],"Invalid Dates",IF([@[Progress %]]&gt;=1,"Complete",IF(AND([@Predecessor]&lt;&gt;"",[@[Start Date]]&lt;[@[Dep Constraint]]),"Dep. Conflict",IF(AND(TODAY()&gt;[@[End Date]],[@[Progress %]]&lt;1),"Overdue",IF(AND(TODAY()&gt;=[@[Start Date]],TODAY()&lt;=[@[End Date]]),"In Window","On Track")))))</f>
        <v/>
      </c>
      <c r="P20" t="inlineStr"/>
      <c r="Q20" s="3">
        <f>IF([@Predecessor]="",0,MAX(IFERROR(INDEX(tblTasks[End Date],MATCH(TRIM(MID(SUBSTITUTE([@Predecessor],",",REPT(" ",100)),1,100)),tblTasks[Task ID],0)),0),IFERROR(INDEX(tblTasks[End Date],MATCH(TRIM(MID(SUBSTITUTE([@Predecessor],",",REPT(" ",100)),101,100)),tblTasks[Task ID],0)),0),IFERROR(INDEX(tblTasks[End Date],MATCH(TRIM(MID(SUBSTITUTE([@Predecessor],",",REPT(" ",100)),201,100)),tblTasks[Task ID],0)),0)))</f>
        <v/>
      </c>
    </row>
    <row r="21">
      <c r="A21" t="inlineStr">
        <is>
          <t>T20</t>
        </is>
      </c>
      <c r="B21" t="inlineStr">
        <is>
          <t>P4 · Domain Intelligence &amp; Assets</t>
        </is>
      </c>
      <c r="C21" t="inlineStr">
        <is>
          <t>Generate creative ad copy variants, hooks, visual briefs &amp; posts (W_CREAT)</t>
        </is>
      </c>
      <c r="D21" t="inlineStr">
        <is>
          <t>Copy variants, hooks, social calendars.</t>
        </is>
      </c>
      <c r="E21" s="2" t="n">
        <v>46294</v>
      </c>
      <c r="F21" s="2" t="n">
        <v>46297</v>
      </c>
      <c r="G21" s="3">
        <f>[@[End Date]]-[@[Start Date]]+1</f>
        <v/>
      </c>
      <c r="H21" t="inlineStr">
        <is>
          <t>T16, T19</t>
        </is>
      </c>
      <c r="I21" t="inlineStr">
        <is>
          <t>FS</t>
        </is>
      </c>
      <c r="J21" t="inlineStr">
        <is>
          <t>No</t>
        </is>
      </c>
      <c r="K21" t="inlineStr">
        <is>
          <t>Creative &amp; Content Engine &amp; S_COPY</t>
        </is>
      </c>
      <c r="L21" t="inlineStr">
        <is>
          <t>Medium</t>
        </is>
      </c>
      <c r="M21" t="inlineStr">
        <is>
          <t>Not Started</t>
        </is>
      </c>
      <c r="N21" s="4" t="n">
        <v>0</v>
      </c>
      <c r="O21" s="3">
        <f>IF([@[End Date]]&lt;[@[Start Date]],"Invalid Dates",IF([@[Progress %]]&gt;=1,"Complete",IF(AND([@Predecessor]&lt;&gt;"",[@[Start Date]]&lt;[@[Dep Constraint]]),"Dep. Conflict",IF(AND(TODAY()&gt;[@[End Date]],[@[Progress %]]&lt;1),"Overdue",IF(AND(TODAY()&gt;=[@[Start Date]],TODAY()&lt;=[@[End Date]]),"In Window","On Track")))))</f>
        <v/>
      </c>
      <c r="P21" t="inlineStr"/>
      <c r="Q21" s="3">
        <f>IF([@Predecessor]="",0,MAX(IFERROR(INDEX(tblTasks[End Date],MATCH(TRIM(MID(SUBSTITUTE([@Predecessor],",",REPT(" ",100)),1,100)),tblTasks[Task ID],0)),0),IFERROR(INDEX(tblTasks[End Date],MATCH(TRIM(MID(SUBSTITUTE([@Predecessor],",",REPT(" ",100)),101,100)),tblTasks[Task ID],0)),0),IFERROR(INDEX(tblTasks[End Date],MATCH(TRIM(MID(SUBSTITUTE([@Predecessor],",",REPT(" ",100)),201,100)),tblTasks[Task ID],0)),0)))</f>
        <v/>
      </c>
    </row>
    <row r="22">
      <c r="A22" t="inlineStr">
        <is>
          <t>T21</t>
        </is>
      </c>
      <c r="B22" t="inlineStr">
        <is>
          <t>P4 · Domain Intelligence &amp; Assets</t>
        </is>
      </c>
      <c r="C22" t="inlineStr">
        <is>
          <t>Engineer responsive UI templates, CMS schemas &amp; code diffs (W_DEV)</t>
        </is>
      </c>
      <c r="D22" t="inlineStr">
        <is>
          <t>UI components, schemas, validated diffs.</t>
        </is>
      </c>
      <c r="E22" s="2" t="n">
        <v>46291</v>
      </c>
      <c r="F22" s="2" t="n">
        <v>46297</v>
      </c>
      <c r="G22" s="3">
        <f>[@[End Date]]-[@[Start Date]]+1</f>
        <v/>
      </c>
      <c r="H22" t="inlineStr">
        <is>
          <t>T06, T14, T15</t>
        </is>
      </c>
      <c r="I22" t="inlineStr">
        <is>
          <t>FS</t>
        </is>
      </c>
      <c r="J22" t="inlineStr">
        <is>
          <t>No</t>
        </is>
      </c>
      <c r="K22" t="inlineStr">
        <is>
          <t>Development Engine &amp; S_CODE</t>
        </is>
      </c>
      <c r="L22" t="inlineStr">
        <is>
          <t>High</t>
        </is>
      </c>
      <c r="M22" t="inlineStr">
        <is>
          <t>Not Started</t>
        </is>
      </c>
      <c r="N22" s="4" t="n">
        <v>0</v>
      </c>
      <c r="O22" s="3">
        <f>IF([@[End Date]]&lt;[@[Start Date]],"Invalid Dates",IF([@[Progress %]]&gt;=1,"Complete",IF(AND([@Predecessor]&lt;&gt;"",[@[Start Date]]&lt;[@[Dep Constraint]]),"Dep. Conflict",IF(AND(TODAY()&gt;[@[End Date]],[@[Progress %]]&lt;1),"Overdue",IF(AND(TODAY()&gt;=[@[Start Date]],TODAY()&lt;=[@[End Date]]),"In Window","On Track")))))</f>
        <v/>
      </c>
      <c r="P22" t="inlineStr"/>
      <c r="Q22" s="3">
        <f>IF([@Predecessor]="",0,MAX(IFERROR(INDEX(tblTasks[End Date],MATCH(TRIM(MID(SUBSTITUTE([@Predecessor],",",REPT(" ",100)),1,100)),tblTasks[Task ID],0)),0),IFERROR(INDEX(tblTasks[End Date],MATCH(TRIM(MID(SUBSTITUTE([@Predecessor],",",REPT(" ",100)),101,100)),tblTasks[Task ID],0)),0),IFERROR(INDEX(tblTasks[End Date],MATCH(TRIM(MID(SUBSTITUTE([@Predecessor],",",REPT(" ",100)),201,100)),tblTasks[Task ID],0)),0)))</f>
        <v/>
      </c>
    </row>
    <row r="23">
      <c r="A23" t="inlineStr">
        <is>
          <t>T22</t>
        </is>
      </c>
      <c r="B23" t="inlineStr">
        <is>
          <t>P5 · HITL Clearance</t>
        </is>
      </c>
      <c r="C23" t="inlineStr">
        <is>
          <t>Consolidate worker evidence envelopes &amp; verify confidence intervals</t>
        </is>
      </c>
      <c r="D23" t="inlineStr">
        <is>
          <t>Merge findings, confidence, artifact UUIDs.</t>
        </is>
      </c>
      <c r="E23" s="2" t="n">
        <v>46297</v>
      </c>
      <c r="F23" s="2" t="n">
        <v>46299</v>
      </c>
      <c r="G23" s="3">
        <f>[@[End Date]]-[@[Start Date]]+1</f>
        <v/>
      </c>
      <c r="H23" t="inlineStr">
        <is>
          <t>T19, T20, T21</t>
        </is>
      </c>
      <c r="I23" t="inlineStr">
        <is>
          <t>FS</t>
        </is>
      </c>
      <c r="J23" t="inlineStr">
        <is>
          <t>No</t>
        </is>
      </c>
      <c r="K23" t="inlineStr">
        <is>
          <t>Intelligence Engine (IE)</t>
        </is>
      </c>
      <c r="L23" t="inlineStr">
        <is>
          <t>High</t>
        </is>
      </c>
      <c r="M23" t="inlineStr">
        <is>
          <t>Not Started</t>
        </is>
      </c>
      <c r="N23" s="4" t="n">
        <v>0</v>
      </c>
      <c r="O23" s="3">
        <f>IF([@[End Date]]&lt;[@[Start Date]],"Invalid Dates",IF([@[Progress %]]&gt;=1,"Complete",IF(AND([@Predecessor]&lt;&gt;"",[@[Start Date]]&lt;[@[Dep Constraint]]),"Dep. Conflict",IF(AND(TODAY()&gt;[@[End Date]],[@[Progress %]]&lt;1),"Overdue",IF(AND(TODAY()&gt;=[@[Start Date]],TODAY()&lt;=[@[End Date]]),"In Window","On Track")))))</f>
        <v/>
      </c>
      <c r="P23" t="inlineStr"/>
      <c r="Q23" s="3">
        <f>IF([@Predecessor]="",0,MAX(IFERROR(INDEX(tblTasks[End Date],MATCH(TRIM(MID(SUBSTITUTE([@Predecessor],",",REPT(" ",100)),1,100)),tblTasks[Task ID],0)),0),IFERROR(INDEX(tblTasks[End Date],MATCH(TRIM(MID(SUBSTITUTE([@Predecessor],",",REPT(" ",100)),101,100)),tblTasks[Task ID],0)),0),IFERROR(INDEX(tblTasks[End Date],MATCH(TRIM(MID(SUBSTITUTE([@Predecessor],",",REPT(" ",100)),201,100)),tblTasks[Task ID],0)),0)))</f>
        <v/>
      </c>
    </row>
    <row r="24">
      <c r="A24" t="inlineStr">
        <is>
          <t>T23</t>
        </is>
      </c>
      <c r="B24" t="inlineStr">
        <is>
          <t>P5 · HITL Clearance</t>
        </is>
      </c>
      <c r="C24" t="inlineStr">
        <is>
          <t>Generate structured action previews (spend, code diffs, claims, copy)</t>
        </is>
      </c>
      <c r="D24" t="inlineStr">
        <is>
          <t>HITL-ready previews.</t>
        </is>
      </c>
      <c r="E24" s="2" t="n">
        <v>46299</v>
      </c>
      <c r="F24" s="2" t="n">
        <v>46300</v>
      </c>
      <c r="G24" s="3">
        <f>[@[End Date]]-[@[Start Date]]+1</f>
        <v/>
      </c>
      <c r="H24" t="inlineStr">
        <is>
          <t>T22</t>
        </is>
      </c>
      <c r="I24" t="inlineStr">
        <is>
          <t>FS</t>
        </is>
      </c>
      <c r="J24" t="inlineStr">
        <is>
          <t>No</t>
        </is>
      </c>
      <c r="K24" t="inlineStr">
        <is>
          <t>Intelligence Engine (IE)</t>
        </is>
      </c>
      <c r="L24" t="inlineStr">
        <is>
          <t>High</t>
        </is>
      </c>
      <c r="M24" t="inlineStr">
        <is>
          <t>Not Started</t>
        </is>
      </c>
      <c r="N24" s="4" t="n">
        <v>0</v>
      </c>
      <c r="O24" s="3">
        <f>IF([@[End Date]]&lt;[@[Start Date]],"Invalid Dates",IF([@[Progress %]]&gt;=1,"Complete",IF(AND([@Predecessor]&lt;&gt;"",[@[Start Date]]&lt;[@[Dep Constraint]]),"Dep. Conflict",IF(AND(TODAY()&gt;[@[End Date]],[@[Progress %]]&lt;1),"Overdue",IF(AND(TODAY()&gt;=[@[Start Date]],TODAY()&lt;=[@[End Date]]),"In Window","On Track")))))</f>
        <v/>
      </c>
      <c r="P24" t="inlineStr"/>
      <c r="Q24" s="3">
        <f>IF([@Predecessor]="",0,MAX(IFERROR(INDEX(tblTasks[End Date],MATCH(TRIM(MID(SUBSTITUTE([@Predecessor],",",REPT(" ",100)),1,100)),tblTasks[Task ID],0)),0),IFERROR(INDEX(tblTasks[End Date],MATCH(TRIM(MID(SUBSTITUTE([@Predecessor],",",REPT(" ",100)),101,100)),tblTasks[Task ID],0)),0),IFERROR(INDEX(tblTasks[End Date],MATCH(TRIM(MID(SUBSTITUTE([@Predecessor],",",REPT(" ",100)),201,100)),tblTasks[Task ID],0)),0)))</f>
        <v/>
      </c>
    </row>
    <row r="25">
      <c r="A25" t="inlineStr">
        <is>
          <t>T24</t>
        </is>
      </c>
      <c r="B25" t="inlineStr">
        <is>
          <t>P5 · HITL Clearance</t>
        </is>
      </c>
      <c r="C25" t="inlineStr">
        <is>
          <t>Execute Human-in-the-Loop (HITL) quality, legal &amp; deploy sign-off</t>
        </is>
      </c>
      <c r="D25" t="inlineStr">
        <is>
          <t>Mandatory human approval gate.</t>
        </is>
      </c>
      <c r="E25" s="2" t="n">
        <v>46300</v>
      </c>
      <c r="F25" s="2" t="n">
        <v>46301</v>
      </c>
      <c r="G25" s="3">
        <f>[@[End Date]]-[@[Start Date]]+1</f>
        <v/>
      </c>
      <c r="H25" t="inlineStr">
        <is>
          <t>T23</t>
        </is>
      </c>
      <c r="I25" t="inlineStr">
        <is>
          <t>FS</t>
        </is>
      </c>
      <c r="J25" t="inlineStr">
        <is>
          <t>No</t>
        </is>
      </c>
      <c r="K25" t="inlineStr">
        <is>
          <t>Human-in-the-Loop (HITL) Gate</t>
        </is>
      </c>
      <c r="L25" t="inlineStr">
        <is>
          <t>High</t>
        </is>
      </c>
      <c r="M25" t="inlineStr">
        <is>
          <t>Not Started</t>
        </is>
      </c>
      <c r="N25" s="4" t="n">
        <v>0</v>
      </c>
      <c r="O25" s="3">
        <f>IF([@[End Date]]&lt;[@[Start Date]],"Invalid Dates",IF([@[Progress %]]&gt;=1,"Complete",IF(AND([@Predecessor]&lt;&gt;"",[@[Start Date]]&lt;[@[Dep Constraint]]),"Dep. Conflict",IF(AND(TODAY()&gt;[@[End Date]],[@[Progress %]]&lt;1),"Overdue",IF(AND(TODAY()&gt;=[@[Start Date]],TODAY()&lt;=[@[End Date]]),"In Window","On Track")))))</f>
        <v/>
      </c>
      <c r="P25" t="inlineStr"/>
      <c r="Q25" s="3">
        <f>IF([@Predecessor]="",0,MAX(IFERROR(INDEX(tblTasks[End Date],MATCH(TRIM(MID(SUBSTITUTE([@Predecessor],",",REPT(" ",100)),1,100)),tblTasks[Task ID],0)),0),IFERROR(INDEX(tblTasks[End Date],MATCH(TRIM(MID(SUBSTITUTE([@Predecessor],",",REPT(" ",100)),101,100)),tblTasks[Task ID],0)),0),IFERROR(INDEX(tblTasks[End Date],MATCH(TRIM(MID(SUBSTITUTE([@Predecessor],",",REPT(" ",100)),201,100)),tblTasks[Task ID],0)),0)))</f>
        <v/>
      </c>
    </row>
    <row r="26">
      <c r="A26" t="inlineStr">
        <is>
          <t>T25</t>
        </is>
      </c>
      <c r="B26" t="inlineStr">
        <is>
          <t>P6 · Outbound Actuation &amp; Go-Live</t>
        </is>
      </c>
      <c r="C26" t="inlineStr">
        <is>
          <t>Initialize Outbound Actuation MCP Boundary with audience tokens</t>
        </is>
      </c>
      <c r="D26" t="inlineStr">
        <is>
          <t>Signed dispatch, rate limiting.</t>
        </is>
      </c>
      <c r="E26" s="2" t="n">
        <v>46301</v>
      </c>
      <c r="F26" s="2" t="n">
        <v>46302</v>
      </c>
      <c r="G26" s="3">
        <f>[@[End Date]]-[@[Start Date]]+1</f>
        <v/>
      </c>
      <c r="H26" t="inlineStr">
        <is>
          <t>T24</t>
        </is>
      </c>
      <c r="I26" t="inlineStr">
        <is>
          <t>FS</t>
        </is>
      </c>
      <c r="J26" t="inlineStr">
        <is>
          <t>No</t>
        </is>
      </c>
      <c r="K26" t="inlineStr">
        <is>
          <t>Outbound Actuation MCP Boundary</t>
        </is>
      </c>
      <c r="L26" t="inlineStr">
        <is>
          <t>High</t>
        </is>
      </c>
      <c r="M26" t="inlineStr">
        <is>
          <t>Not Started</t>
        </is>
      </c>
      <c r="N26" s="4" t="n">
        <v>0</v>
      </c>
      <c r="O26" s="3">
        <f>IF([@[End Date]]&lt;[@[Start Date]],"Invalid Dates",IF([@[Progress %]]&gt;=1,"Complete",IF(AND([@Predecessor]&lt;&gt;"",[@[Start Date]]&lt;[@[Dep Constraint]]),"Dep. Conflict",IF(AND(TODAY()&gt;[@[End Date]],[@[Progress %]]&lt;1),"Overdue",IF(AND(TODAY()&gt;=[@[Start Date]],TODAY()&lt;=[@[End Date]]),"In Window","On Track")))))</f>
        <v/>
      </c>
      <c r="P26" t="inlineStr">
        <is>
          <t>[MISSING] API credentials</t>
        </is>
      </c>
      <c r="Q26" s="3">
        <f>IF([@Predecessor]="",0,MAX(IFERROR(INDEX(tblTasks[End Date],MATCH(TRIM(MID(SUBSTITUTE([@Predecessor],",",REPT(" ",100)),1,100)),tblTasks[Task ID],0)),0),IFERROR(INDEX(tblTasks[End Date],MATCH(TRIM(MID(SUBSTITUTE([@Predecessor],",",REPT(" ",100)),101,100)),tblTasks[Task ID],0)),0),IFERROR(INDEX(tblTasks[End Date],MATCH(TRIM(MID(SUBSTITUTE([@Predecessor],",",REPT(" ",100)),201,100)),tblTasks[Task ID],0)),0)))</f>
        <v/>
      </c>
    </row>
    <row r="27">
      <c r="A27" t="inlineStr">
        <is>
          <t>T26</t>
        </is>
      </c>
      <c r="B27" t="inlineStr">
        <is>
          <t>P6 · Outbound Actuation &amp; Go-Live</t>
        </is>
      </c>
      <c r="C27" t="inlineStr">
        <is>
          <t>Deploy live schemas, catalog updates &amp; layout code to Website &amp; CMS</t>
        </is>
      </c>
      <c r="D27" t="inlineStr">
        <is>
          <t>Staged-to-live production push.</t>
        </is>
      </c>
      <c r="E27" s="2" t="n">
        <v>46302</v>
      </c>
      <c r="F27" s="2" t="n">
        <v>46304</v>
      </c>
      <c r="G27" s="3">
        <f>[@[End Date]]-[@[Start Date]]+1</f>
        <v/>
      </c>
      <c r="H27" t="inlineStr">
        <is>
          <t>T25</t>
        </is>
      </c>
      <c r="I27" t="inlineStr">
        <is>
          <t>FS</t>
        </is>
      </c>
      <c r="J27" t="inlineStr">
        <is>
          <t>No</t>
        </is>
      </c>
      <c r="K27" t="inlineStr">
        <is>
          <t>Outbound MCP &amp; Website / CMS</t>
        </is>
      </c>
      <c r="L27" t="inlineStr">
        <is>
          <t>High</t>
        </is>
      </c>
      <c r="M27" t="inlineStr">
        <is>
          <t>Not Started</t>
        </is>
      </c>
      <c r="N27" s="4" t="n">
        <v>0</v>
      </c>
      <c r="O27" s="3">
        <f>IF([@[End Date]]&lt;[@[Start Date]],"Invalid Dates",IF([@[Progress %]]&gt;=1,"Complete",IF(AND([@Predecessor]&lt;&gt;"",[@[Start Date]]&lt;[@[Dep Constraint]]),"Dep. Conflict",IF(AND(TODAY()&gt;[@[End Date]],[@[Progress %]]&lt;1),"Overdue",IF(AND(TODAY()&gt;=[@[Start Date]],TODAY()&lt;=[@[End Date]]),"In Window","On Track")))))</f>
        <v/>
      </c>
      <c r="P27" t="inlineStr"/>
      <c r="Q27" s="3">
        <f>IF([@Predecessor]="",0,MAX(IFERROR(INDEX(tblTasks[End Date],MATCH(TRIM(MID(SUBSTITUTE([@Predecessor],",",REPT(" ",100)),1,100)),tblTasks[Task ID],0)),0),IFERROR(INDEX(tblTasks[End Date],MATCH(TRIM(MID(SUBSTITUTE([@Predecessor],",",REPT(" ",100)),101,100)),tblTasks[Task ID],0)),0),IFERROR(INDEX(tblTasks[End Date],MATCH(TRIM(MID(SUBSTITUTE([@Predecessor],",",REPT(" ",100)),201,100)),tblTasks[Task ID],0)),0)))</f>
        <v/>
      </c>
    </row>
    <row r="28">
      <c r="A28" t="inlineStr">
        <is>
          <t>T27</t>
        </is>
      </c>
      <c r="B28" t="inlineStr">
        <is>
          <t>P6 · Outbound Actuation &amp; Go-Live</t>
        </is>
      </c>
      <c r="C28" t="inlineStr">
        <is>
          <t>Publish ad campaigns &amp; bid targets to Paid Ad Platforms</t>
        </is>
      </c>
      <c r="D28" t="inlineStr">
        <is>
          <t>Meta/Google/TikTok campaigns.</t>
        </is>
      </c>
      <c r="E28" s="2" t="n">
        <v>46302</v>
      </c>
      <c r="F28" s="2" t="n">
        <v>46304</v>
      </c>
      <c r="G28" s="3">
        <f>[@[End Date]]-[@[Start Date]]+1</f>
        <v/>
      </c>
      <c r="H28" t="inlineStr">
        <is>
          <t>T25</t>
        </is>
      </c>
      <c r="I28" t="inlineStr">
        <is>
          <t>FS</t>
        </is>
      </c>
      <c r="J28" t="inlineStr">
        <is>
          <t>No</t>
        </is>
      </c>
      <c r="K28" t="inlineStr">
        <is>
          <t>Outbound MCP &amp; Paid Ad Platforms</t>
        </is>
      </c>
      <c r="L28" t="inlineStr">
        <is>
          <t>High</t>
        </is>
      </c>
      <c r="M28" t="inlineStr">
        <is>
          <t>Not Started</t>
        </is>
      </c>
      <c r="N28" s="4" t="n">
        <v>0</v>
      </c>
      <c r="O28" s="3">
        <f>IF([@[End Date]]&lt;[@[Start Date]],"Invalid Dates",IF([@[Progress %]]&gt;=1,"Complete",IF(AND([@Predecessor]&lt;&gt;"",[@[Start Date]]&lt;[@[Dep Constraint]]),"Dep. Conflict",IF(AND(TODAY()&gt;[@[End Date]],[@[Progress %]]&lt;1),"Overdue",IF(AND(TODAY()&gt;=[@[Start Date]],TODAY()&lt;=[@[End Date]]),"In Window","On Track")))))</f>
        <v/>
      </c>
      <c r="P28" t="inlineStr"/>
      <c r="Q28" s="3">
        <f>IF([@Predecessor]="",0,MAX(IFERROR(INDEX(tblTasks[End Date],MATCH(TRIM(MID(SUBSTITUTE([@Predecessor],",",REPT(" ",100)),1,100)),tblTasks[Task ID],0)),0),IFERROR(INDEX(tblTasks[End Date],MATCH(TRIM(MID(SUBSTITUTE([@Predecessor],",",REPT(" ",100)),101,100)),tblTasks[Task ID],0)),0),IFERROR(INDEX(tblTasks[End Date],MATCH(TRIM(MID(SUBSTITUTE([@Predecessor],",",REPT(" ",100)),201,100)),tblTasks[Task ID],0)),0)))</f>
        <v/>
      </c>
    </row>
    <row r="29">
      <c r="A29" t="inlineStr">
        <is>
          <t>T28</t>
        </is>
      </c>
      <c r="B29" t="inlineStr">
        <is>
          <t>P6 · Outbound Actuation &amp; Go-Live</t>
        </is>
      </c>
      <c r="C29" t="inlineStr">
        <is>
          <t>Publish scheduled social media posts &amp; assets to Social Channels</t>
        </is>
      </c>
      <c r="D29" t="inlineStr">
        <is>
          <t>Scheduled content broadcast.</t>
        </is>
      </c>
      <c r="E29" s="2" t="n">
        <v>46302</v>
      </c>
      <c r="F29" s="2" t="n">
        <v>46304</v>
      </c>
      <c r="G29" s="3">
        <f>[@[End Date]]-[@[Start Date]]+1</f>
        <v/>
      </c>
      <c r="H29" t="inlineStr">
        <is>
          <t>T25</t>
        </is>
      </c>
      <c r="I29" t="inlineStr">
        <is>
          <t>FS</t>
        </is>
      </c>
      <c r="J29" t="inlineStr">
        <is>
          <t>No</t>
        </is>
      </c>
      <c r="K29" t="inlineStr">
        <is>
          <t>Outbound MCP &amp; Social Channels</t>
        </is>
      </c>
      <c r="L29" t="inlineStr">
        <is>
          <t>High</t>
        </is>
      </c>
      <c r="M29" t="inlineStr">
        <is>
          <t>Not Started</t>
        </is>
      </c>
      <c r="N29" s="4" t="n">
        <v>0</v>
      </c>
      <c r="O29" s="3">
        <f>IF([@[End Date]]&lt;[@[Start Date]],"Invalid Dates",IF([@[Progress %]]&gt;=1,"Complete",IF(AND([@Predecessor]&lt;&gt;"",[@[Start Date]]&lt;[@[Dep Constraint]]),"Dep. Conflict",IF(AND(TODAY()&gt;[@[End Date]],[@[Progress %]]&lt;1),"Overdue",IF(AND(TODAY()&gt;=[@[Start Date]],TODAY()&lt;=[@[End Date]]),"In Window","On Track")))))</f>
        <v/>
      </c>
      <c r="P29" t="inlineStr"/>
      <c r="Q29" s="3">
        <f>IF([@Predecessor]="",0,MAX(IFERROR(INDEX(tblTasks[End Date],MATCH(TRIM(MID(SUBSTITUTE([@Predecessor],",",REPT(" ",100)),1,100)),tblTasks[Task ID],0)),0),IFERROR(INDEX(tblTasks[End Date],MATCH(TRIM(MID(SUBSTITUTE([@Predecessor],",",REPT(" ",100)),101,100)),tblTasks[Task ID],0)),0),IFERROR(INDEX(tblTasks[End Date],MATCH(TRIM(MID(SUBSTITUTE([@Predecessor],",",REPT(" ",100)),201,100)),tblTasks[Task ID],0)),0)))</f>
        <v/>
      </c>
    </row>
    <row r="30">
      <c r="A30" t="inlineStr">
        <is>
          <t>T29</t>
        </is>
      </c>
      <c r="B30" t="inlineStr">
        <is>
          <t>P6 · Outbound Actuation &amp; Go-Live</t>
        </is>
      </c>
      <c r="C30" t="inlineStr">
        <is>
          <t>Connect Omnichannel Telemetry Engine webhooks, pixel events &amp; logs</t>
        </is>
      </c>
      <c r="D30" t="inlineStr">
        <is>
          <t>Webhook listeners + event consumers.</t>
        </is>
      </c>
      <c r="E30" s="2" t="n">
        <v>46304</v>
      </c>
      <c r="F30" s="2" t="n">
        <v>46305</v>
      </c>
      <c r="G30" s="3">
        <f>[@[End Date]]-[@[Start Date]]+1</f>
        <v/>
      </c>
      <c r="H30" t="inlineStr">
        <is>
          <t>T26, T27, T28</t>
        </is>
      </c>
      <c r="I30" t="inlineStr">
        <is>
          <t>FS</t>
        </is>
      </c>
      <c r="J30" t="inlineStr">
        <is>
          <t>No</t>
        </is>
      </c>
      <c r="K30" t="inlineStr">
        <is>
          <t>Omnichannel Telemetry Engine</t>
        </is>
      </c>
      <c r="L30" t="inlineStr">
        <is>
          <t>Medium</t>
        </is>
      </c>
      <c r="M30" t="inlineStr">
        <is>
          <t>Not Started</t>
        </is>
      </c>
      <c r="N30" s="4" t="n">
        <v>0</v>
      </c>
      <c r="O30" s="3">
        <f>IF([@[End Date]]&lt;[@[Start Date]],"Invalid Dates",IF([@[Progress %]]&gt;=1,"Complete",IF(AND([@Predecessor]&lt;&gt;"",[@[Start Date]]&lt;[@[Dep Constraint]]),"Dep. Conflict",IF(AND(TODAY()&gt;[@[End Date]],[@[Progress %]]&lt;1),"Overdue",IF(AND(TODAY()&gt;=[@[Start Date]],TODAY()&lt;=[@[End Date]]),"In Window","On Track")))))</f>
        <v/>
      </c>
      <c r="P30" t="inlineStr"/>
      <c r="Q30" s="3">
        <f>IF([@Predecessor]="",0,MAX(IFERROR(INDEX(tblTasks[End Date],MATCH(TRIM(MID(SUBSTITUTE([@Predecessor],",",REPT(" ",100)),1,100)),tblTasks[Task ID],0)),0),IFERROR(INDEX(tblTasks[End Date],MATCH(TRIM(MID(SUBSTITUTE([@Predecessor],",",REPT(" ",100)),101,100)),tblTasks[Task ID],0)),0),IFERROR(INDEX(tblTasks[End Date],MATCH(TRIM(MID(SUBSTITUTE([@Predecessor],",",REPT(" ",100)),201,100)),tblTasks[Task ID],0)),0)))</f>
        <v/>
      </c>
    </row>
    <row r="31">
      <c r="A31" t="inlineStr">
        <is>
          <t>T30</t>
        </is>
      </c>
      <c r="B31" t="inlineStr">
        <is>
          <t>P7 · Telemetry &amp; Closeout</t>
        </is>
      </c>
      <c r="C31" t="inlineStr">
        <is>
          <t>Ingest live store traffic, checkout transactions &amp; conversion logs into CDB</t>
        </is>
      </c>
      <c r="D31" t="inlineStr">
        <is>
          <t>Timeseries telemetry ingestion.</t>
        </is>
      </c>
      <c r="E31" s="2" t="n">
        <v>46305</v>
      </c>
      <c r="F31" s="2" t="n">
        <v>46306</v>
      </c>
      <c r="G31" s="3">
        <f>[@[End Date]]-[@[Start Date]]+1</f>
        <v/>
      </c>
      <c r="H31" t="inlineStr">
        <is>
          <t>T29</t>
        </is>
      </c>
      <c r="I31" t="inlineStr">
        <is>
          <t>FS</t>
        </is>
      </c>
      <c r="J31" t="inlineStr">
        <is>
          <t>No</t>
        </is>
      </c>
      <c r="K31" t="inlineStr">
        <is>
          <t>Telemetry Engine &amp; Central Database</t>
        </is>
      </c>
      <c r="L31" t="inlineStr">
        <is>
          <t>Medium</t>
        </is>
      </c>
      <c r="M31" t="inlineStr">
        <is>
          <t>Not Started</t>
        </is>
      </c>
      <c r="N31" s="4" t="n">
        <v>0</v>
      </c>
      <c r="O31" s="3">
        <f>IF([@[End Date]]&lt;[@[Start Date]],"Invalid Dates",IF([@[Progress %]]&gt;=1,"Complete",IF(AND([@Predecessor]&lt;&gt;"",[@[Start Date]]&lt;[@[Dep Constraint]]),"Dep. Conflict",IF(AND(TODAY()&gt;[@[End Date]],[@[Progress %]]&lt;1),"Overdue",IF(AND(TODAY()&gt;=[@[Start Date]],TODAY()&lt;=[@[End Date]]),"In Window","On Track")))))</f>
        <v/>
      </c>
      <c r="P31" t="inlineStr"/>
      <c r="Q31" s="3">
        <f>IF([@Predecessor]="",0,MAX(IFERROR(INDEX(tblTasks[End Date],MATCH(TRIM(MID(SUBSTITUTE([@Predecessor],",",REPT(" ",100)),1,100)),tblTasks[Task ID],0)),0),IFERROR(INDEX(tblTasks[End Date],MATCH(TRIM(MID(SUBSTITUTE([@Predecessor],",",REPT(" ",100)),101,100)),tblTasks[Task ID],0)),0),IFERROR(INDEX(tblTasks[End Date],MATCH(TRIM(MID(SUBSTITUTE([@Predecessor],",",REPT(" ",100)),201,100)),tblTasks[Task ID],0)),0)))</f>
        <v/>
      </c>
    </row>
    <row r="32">
      <c r="A32" t="inlineStr">
        <is>
          <t>T31</t>
        </is>
      </c>
      <c r="B32" t="inlineStr">
        <is>
          <t>P7 · Telemetry &amp; Closeout</t>
        </is>
      </c>
      <c r="C32" t="inlineStr">
        <is>
          <t>Calculate multi-touch attribution, creative decay &amp; ROAS (W_LEARN)</t>
        </is>
      </c>
      <c r="D32" t="inlineStr">
        <is>
          <t>Attribution + decay scoring.</t>
        </is>
      </c>
      <c r="E32" s="2" t="n">
        <v>46306</v>
      </c>
      <c r="F32" s="2" t="n">
        <v>46308</v>
      </c>
      <c r="G32" s="3">
        <f>[@[End Date]]-[@[Start Date]]+1</f>
        <v/>
      </c>
      <c r="H32" t="inlineStr">
        <is>
          <t>T30</t>
        </is>
      </c>
      <c r="I32" t="inlineStr">
        <is>
          <t>FS</t>
        </is>
      </c>
      <c r="J32" t="inlineStr">
        <is>
          <t>No</t>
        </is>
      </c>
      <c r="K32" t="inlineStr">
        <is>
          <t>Learning Engine &amp; S_ATTR</t>
        </is>
      </c>
      <c r="L32" t="inlineStr">
        <is>
          <t>Medium</t>
        </is>
      </c>
      <c r="M32" t="inlineStr">
        <is>
          <t>Not Started</t>
        </is>
      </c>
      <c r="N32" s="4" t="n">
        <v>0</v>
      </c>
      <c r="O32" s="3">
        <f>IF([@[End Date]]&lt;[@[Start Date]],"Invalid Dates",IF([@[Progress %]]&gt;=1,"Complete",IF(AND([@Predecessor]&lt;&gt;"",[@[Start Date]]&lt;[@[Dep Constraint]]),"Dep. Conflict",IF(AND(TODAY()&gt;[@[End Date]],[@[Progress %]]&lt;1),"Overdue",IF(AND(TODAY()&gt;=[@[Start Date]],TODAY()&lt;=[@[End Date]]),"In Window","On Track")))))</f>
        <v/>
      </c>
      <c r="P32" t="inlineStr"/>
      <c r="Q32" s="3">
        <f>IF([@Predecessor]="",0,MAX(IFERROR(INDEX(tblTasks[End Date],MATCH(TRIM(MID(SUBSTITUTE([@Predecessor],",",REPT(" ",100)),1,100)),tblTasks[Task ID],0)),0),IFERROR(INDEX(tblTasks[End Date],MATCH(TRIM(MID(SUBSTITUTE([@Predecessor],",",REPT(" ",100)),101,100)),tblTasks[Task ID],0)),0),IFERROR(INDEX(tblTasks[End Date],MATCH(TRIM(MID(SUBSTITUTE([@Predecessor],",",REPT(" ",100)),201,100)),tblTasks[Task ID],0)),0)))</f>
        <v/>
      </c>
    </row>
    <row r="33">
      <c r="A33" t="inlineStr">
        <is>
          <t>T32</t>
        </is>
      </c>
      <c r="B33" t="inlineStr">
        <is>
          <t>P7 · Telemetry &amp; Closeout</t>
        </is>
      </c>
      <c r="C33" t="inlineStr">
        <is>
          <t>Promote validated memory deltas into Institutional Memory &amp; IE</t>
        </is>
      </c>
      <c r="D33" t="inlineStr">
        <is>
          <t>Closed-loop learning promotion.</t>
        </is>
      </c>
      <c r="E33" s="2" t="n">
        <v>46308</v>
      </c>
      <c r="F33" s="2" t="n">
        <v>46309</v>
      </c>
      <c r="G33" s="3">
        <f>[@[End Date]]-[@[Start Date]]+1</f>
        <v/>
      </c>
      <c r="H33" t="inlineStr">
        <is>
          <t>T31</t>
        </is>
      </c>
      <c r="I33" t="inlineStr">
        <is>
          <t>FS</t>
        </is>
      </c>
      <c r="J33" t="inlineStr">
        <is>
          <t>No</t>
        </is>
      </c>
      <c r="K33" t="inlineStr">
        <is>
          <t>Learning Engine, Memory Store &amp; IE</t>
        </is>
      </c>
      <c r="L33" t="inlineStr">
        <is>
          <t>Medium</t>
        </is>
      </c>
      <c r="M33" t="inlineStr">
        <is>
          <t>Not Started</t>
        </is>
      </c>
      <c r="N33" s="4" t="n">
        <v>0</v>
      </c>
      <c r="O33" s="3">
        <f>IF([@[End Date]]&lt;[@[Start Date]],"Invalid Dates",IF([@[Progress %]]&gt;=1,"Complete",IF(AND([@Predecessor]&lt;&gt;"",[@[Start Date]]&lt;[@[Dep Constraint]]),"Dep. Conflict",IF(AND(TODAY()&gt;[@[End Date]],[@[Progress %]]&lt;1),"Overdue",IF(AND(TODAY()&gt;=[@[Start Date]],TODAY()&lt;=[@[End Date]]),"In Window","On Track")))))</f>
        <v/>
      </c>
      <c r="P33" t="inlineStr"/>
      <c r="Q33" s="3">
        <f>IF([@Predecessor]="",0,MAX(IFERROR(INDEX(tblTasks[End Date],MATCH(TRIM(MID(SUBSTITUTE([@Predecessor],",",REPT(" ",100)),1,100)),tblTasks[Task ID],0)),0),IFERROR(INDEX(tblTasks[End Date],MATCH(TRIM(MID(SUBSTITUTE([@Predecessor],",",REPT(" ",100)),101,100)),tblTasks[Task ID],0)),0),IFERROR(INDEX(tblTasks[End Date],MATCH(TRIM(MID(SUBSTITUTE([@Predecessor],",",REPT(" ",100)),201,100)),tblTasks[Task ID],0)),0)))</f>
        <v/>
      </c>
    </row>
    <row r="34">
      <c r="A34" t="inlineStr">
        <is>
          <t>T33</t>
        </is>
      </c>
      <c r="B34" t="inlineStr">
        <is>
          <t>P7 · Telemetry &amp; Closeout</t>
        </is>
      </c>
      <c r="C34" t="inlineStr">
        <is>
          <t>Validate end-to-end W3C PROV audit lineage, state integrity &amp; logs</t>
        </is>
      </c>
      <c r="D34" t="inlineStr">
        <is>
          <t>Seal tamper-evident audit trail.</t>
        </is>
      </c>
      <c r="E34" s="2" t="n">
        <v>46308</v>
      </c>
      <c r="F34" s="2" t="n">
        <v>46309</v>
      </c>
      <c r="G34" s="3">
        <f>[@[End Date]]-[@[Start Date]]+1</f>
        <v/>
      </c>
      <c r="H34" t="inlineStr">
        <is>
          <t>T30, T31</t>
        </is>
      </c>
      <c r="I34" t="inlineStr">
        <is>
          <t>FS</t>
        </is>
      </c>
      <c r="J34" t="inlineStr">
        <is>
          <t>No</t>
        </is>
      </c>
      <c r="K34" t="inlineStr">
        <is>
          <t>W3C PROV Immutable Ledger</t>
        </is>
      </c>
      <c r="L34" t="inlineStr">
        <is>
          <t>High</t>
        </is>
      </c>
      <c r="M34" t="inlineStr">
        <is>
          <t>Not Started</t>
        </is>
      </c>
      <c r="N34" s="4" t="n">
        <v>0</v>
      </c>
      <c r="O34" s="3">
        <f>IF([@[End Date]]&lt;[@[Start Date]],"Invalid Dates",IF([@[Progress %]]&gt;=1,"Complete",IF(AND([@Predecessor]&lt;&gt;"",[@[Start Date]]&lt;[@[Dep Constraint]]),"Dep. Conflict",IF(AND(TODAY()&gt;[@[End Date]],[@[Progress %]]&lt;1),"Overdue",IF(AND(TODAY()&gt;=[@[Start Date]],TODAY()&lt;=[@[End Date]]),"In Window","On Track")))))</f>
        <v/>
      </c>
      <c r="P34" t="inlineStr"/>
      <c r="Q34" s="3">
        <f>IF([@Predecessor]="",0,MAX(IFERROR(INDEX(tblTasks[End Date],MATCH(TRIM(MID(SUBSTITUTE([@Predecessor],",",REPT(" ",100)),1,100)),tblTasks[Task ID],0)),0),IFERROR(INDEX(tblTasks[End Date],MATCH(TRIM(MID(SUBSTITUTE([@Predecessor],",",REPT(" ",100)),101,100)),tblTasks[Task ID],0)),0),IFERROR(INDEX(tblTasks[End Date],MATCH(TRIM(MID(SUBSTITUTE([@Predecessor],",",REPT(" ",100)),201,100)),tblTasks[Task ID],0)),0)))</f>
        <v/>
      </c>
    </row>
    <row r="35">
      <c r="A35" t="inlineStr">
        <is>
          <t>T34</t>
        </is>
      </c>
      <c r="B35" t="inlineStr">
        <is>
          <t>P7 · Telemetry &amp; Closeout</t>
        </is>
      </c>
      <c r="C35" t="inlineStr">
        <is>
          <t>Perform final project verification against acceptance criteria &amp; close</t>
        </is>
      </c>
      <c r="D35" t="inlineStr">
        <is>
          <t>Final acceptance + closeout.</t>
        </is>
      </c>
      <c r="E35" s="2" t="n">
        <v>46309</v>
      </c>
      <c r="F35" s="2" t="n">
        <v>46309</v>
      </c>
      <c r="G35" s="3">
        <f>[@[End Date]]-[@[Start Date]]+1</f>
        <v/>
      </c>
      <c r="H35" t="inlineStr">
        <is>
          <t>T32, T33</t>
        </is>
      </c>
      <c r="I35" t="inlineStr">
        <is>
          <t>FS</t>
        </is>
      </c>
      <c r="J35" t="inlineStr">
        <is>
          <t>No</t>
        </is>
      </c>
      <c r="K35" t="inlineStr">
        <is>
          <t>Intelligence Engine &amp; Brand Owner</t>
        </is>
      </c>
      <c r="L35" t="inlineStr">
        <is>
          <t>High</t>
        </is>
      </c>
      <c r="M35" t="inlineStr">
        <is>
          <t>Not Started</t>
        </is>
      </c>
      <c r="N35" s="4" t="n">
        <v>0</v>
      </c>
      <c r="O35" s="3">
        <f>IF([@[End Date]]&lt;[@[Start Date]],"Invalid Dates",IF([@[Progress %]]&gt;=1,"Complete",IF(AND([@Predecessor]&lt;&gt;"",[@[Start Date]]&lt;[@[Dep Constraint]]),"Dep. Conflict",IF(AND(TODAY()&gt;[@[End Date]],[@[Progress %]]&lt;1),"Overdue",IF(AND(TODAY()&gt;=[@[Start Date]],TODAY()&lt;=[@[End Date]]),"In Window","On Track")))))</f>
        <v/>
      </c>
      <c r="P35" t="inlineStr"/>
      <c r="Q35" s="3">
        <f>IF([@Predecessor]="",0,MAX(IFERROR(INDEX(tblTasks[End Date],MATCH(TRIM(MID(SUBSTITUTE([@Predecessor],",",REPT(" ",100)),1,100)),tblTasks[Task ID],0)),0),IFERROR(INDEX(tblTasks[End Date],MATCH(TRIM(MID(SUBSTITUTE([@Predecessor],",",REPT(" ",100)),101,100)),tblTasks[Task ID],0)),0),IFERROR(INDEX(tblTasks[End Date],MATCH(TRIM(MID(SUBSTITUTE([@Predecessor],",",REPT(" ",100)),201,100)),tblTasks[Task ID],0)),0)))</f>
        <v/>
      </c>
    </row>
    <row r="36">
      <c r="A36" t="inlineStr">
        <is>
          <t>M1</t>
        </is>
      </c>
      <c r="B36" t="inlineStr">
        <is>
          <t>P1 · Governance &amp; Policy</t>
        </is>
      </c>
      <c r="C36" t="inlineStr">
        <is>
          <t>M1 · Governance, Policy &amp; Canonical State Initialization</t>
        </is>
      </c>
      <c r="D36" t="inlineStr">
        <is>
          <t>Milestone checkpoint</t>
        </is>
      </c>
      <c r="E36" s="2" t="n">
        <v>46279</v>
      </c>
      <c r="F36" s="2" t="n">
        <v>46279</v>
      </c>
      <c r="G36" s="3">
        <f>[@[End Date]]-[@[Start Date]]+1</f>
        <v/>
      </c>
      <c r="H36" t="inlineStr">
        <is>
          <t>T03, T04</t>
        </is>
      </c>
      <c r="I36" t="inlineStr">
        <is>
          <t>FS</t>
        </is>
      </c>
      <c r="J36" t="inlineStr">
        <is>
          <t>Yes</t>
        </is>
      </c>
      <c r="K36" t="inlineStr">
        <is>
          <t>Brand Stakeholder / Portfolio Owner</t>
        </is>
      </c>
      <c r="L36" t="inlineStr">
        <is>
          <t>High</t>
        </is>
      </c>
      <c r="M36" t="inlineStr">
        <is>
          <t>Not Started</t>
        </is>
      </c>
      <c r="N36" s="4" t="n">
        <v>0</v>
      </c>
      <c r="O36" s="3">
        <f>IF([@[End Date]]&lt;[@[Start Date]],"Invalid Dates",IF([@[Progress %]]&gt;=1,"Complete",IF(AND([@Predecessor]&lt;&gt;"",[@[Start Date]]&lt;[@[Dep Constraint]]),"Dep. Conflict",IF(AND(TODAY()&gt;[@[End Date]],[@[Progress %]]&lt;1),"Overdue",IF(AND(TODAY()&gt;=[@[Start Date]],TODAY()&lt;=[@[End Date]]),"In Window","On Track")))))</f>
        <v/>
      </c>
      <c r="P36" t="inlineStr">
        <is>
          <t>Milestone</t>
        </is>
      </c>
      <c r="Q36" s="3">
        <f>IF([@Predecessor]="",0,MAX(IFERROR(INDEX(tblTasks[End Date],MATCH(TRIM(MID(SUBSTITUTE([@Predecessor],",",REPT(" ",100)),1,100)),tblTasks[Task ID],0)),0),IFERROR(INDEX(tblTasks[End Date],MATCH(TRIM(MID(SUBSTITUTE([@Predecessor],",",REPT(" ",100)),101,100)),tblTasks[Task ID],0)),0),IFERROR(INDEX(tblTasks[End Date],MATCH(TRIM(MID(SUBSTITUTE([@Predecessor],",",REPT(" ",100)),201,100)),tblTasks[Task ID],0)),0)))</f>
        <v/>
      </c>
    </row>
    <row r="37">
      <c r="A37" t="inlineStr">
        <is>
          <t>M2</t>
        </is>
      </c>
      <c r="B37" t="inlineStr">
        <is>
          <t>P2 · Data Plane &amp; Storage</t>
        </is>
      </c>
      <c r="C37" t="inlineStr">
        <is>
          <t>M2 · Governed Data Plane &amp; Central Storage Integration (Model A)</t>
        </is>
      </c>
      <c r="D37" t="inlineStr">
        <is>
          <t>Milestone checkpoint</t>
        </is>
      </c>
      <c r="E37" s="2" t="n">
        <v>46284</v>
      </c>
      <c r="F37" s="2" t="n">
        <v>46284</v>
      </c>
      <c r="G37" s="3">
        <f>[@[End Date]]-[@[Start Date]]+1</f>
        <v/>
      </c>
      <c r="H37" t="inlineStr">
        <is>
          <t>T10</t>
        </is>
      </c>
      <c r="I37" t="inlineStr">
        <is>
          <t>FS</t>
        </is>
      </c>
      <c r="J37" t="inlineStr">
        <is>
          <t>Yes</t>
        </is>
      </c>
      <c r="K37" t="inlineStr">
        <is>
          <t>Agentic RAG Controller</t>
        </is>
      </c>
      <c r="L37" t="inlineStr">
        <is>
          <t>High</t>
        </is>
      </c>
      <c r="M37" t="inlineStr">
        <is>
          <t>Not Started</t>
        </is>
      </c>
      <c r="N37" s="4" t="n">
        <v>0</v>
      </c>
      <c r="O37" s="3">
        <f>IF([@[End Date]]&lt;[@[Start Date]],"Invalid Dates",IF([@[Progress %]]&gt;=1,"Complete",IF(AND([@Predecessor]&lt;&gt;"",[@[Start Date]]&lt;[@[Dep Constraint]]),"Dep. Conflict",IF(AND(TODAY()&gt;[@[End Date]],[@[Progress %]]&lt;1),"Overdue",IF(AND(TODAY()&gt;=[@[Start Date]],TODAY()&lt;=[@[End Date]]),"In Window","On Track")))))</f>
        <v/>
      </c>
      <c r="P37" t="inlineStr">
        <is>
          <t>Milestone</t>
        </is>
      </c>
      <c r="Q37" s="3">
        <f>IF([@Predecessor]="",0,MAX(IFERROR(INDEX(tblTasks[End Date],MATCH(TRIM(MID(SUBSTITUTE([@Predecessor],",",REPT(" ",100)),1,100)),tblTasks[Task ID],0)),0),IFERROR(INDEX(tblTasks[End Date],MATCH(TRIM(MID(SUBSTITUTE([@Predecessor],",",REPT(" ",100)),101,100)),tblTasks[Task ID],0)),0),IFERROR(INDEX(tblTasks[End Date],MATCH(TRIM(MID(SUBSTITUTE([@Predecessor],",",REPT(" ",100)),201,100)),tblTasks[Task ID],0)),0)))</f>
        <v/>
      </c>
    </row>
    <row r="38">
      <c r="A38" t="inlineStr">
        <is>
          <t>M3</t>
        </is>
      </c>
      <c r="B38" t="inlineStr">
        <is>
          <t>P3 · Sandbox &amp; Sub-Agents</t>
        </is>
      </c>
      <c r="C38" t="inlineStr">
        <is>
          <t>M3 · Sandbox Isolation &amp; Specialist Sub-Agent Readiness</t>
        </is>
      </c>
      <c r="D38" t="inlineStr">
        <is>
          <t>Milestone checkpoint</t>
        </is>
      </c>
      <c r="E38" s="2" t="n">
        <v>46288</v>
      </c>
      <c r="F38" s="2" t="n">
        <v>46288</v>
      </c>
      <c r="G38" s="3">
        <f>[@[End Date]]-[@[Start Date]]+1</f>
        <v/>
      </c>
      <c r="H38" t="inlineStr">
        <is>
          <t>T14</t>
        </is>
      </c>
      <c r="I38" t="inlineStr">
        <is>
          <t>FS</t>
        </is>
      </c>
      <c r="J38" t="inlineStr">
        <is>
          <t>Yes</t>
        </is>
      </c>
      <c r="K38" t="inlineStr">
        <is>
          <t>Sandbox Controller (agent_sandbox)</t>
        </is>
      </c>
      <c r="L38" t="inlineStr">
        <is>
          <t>High</t>
        </is>
      </c>
      <c r="M38" t="inlineStr">
        <is>
          <t>Not Started</t>
        </is>
      </c>
      <c r="N38" s="4" t="n">
        <v>0</v>
      </c>
      <c r="O38" s="3">
        <f>IF([@[End Date]]&lt;[@[Start Date]],"Invalid Dates",IF([@[Progress %]]&gt;=1,"Complete",IF(AND([@Predecessor]&lt;&gt;"",[@[Start Date]]&lt;[@[Dep Constraint]]),"Dep. Conflict",IF(AND(TODAY()&gt;[@[End Date]],[@[Progress %]]&lt;1),"Overdue",IF(AND(TODAY()&gt;=[@[Start Date]],TODAY()&lt;=[@[End Date]]),"In Window","On Track")))))</f>
        <v/>
      </c>
      <c r="P38" t="inlineStr">
        <is>
          <t>Milestone</t>
        </is>
      </c>
      <c r="Q38" s="3">
        <f>IF([@Predecessor]="",0,MAX(IFERROR(INDEX(tblTasks[End Date],MATCH(TRIM(MID(SUBSTITUTE([@Predecessor],",",REPT(" ",100)),1,100)),tblTasks[Task ID],0)),0),IFERROR(INDEX(tblTasks[End Date],MATCH(TRIM(MID(SUBSTITUTE([@Predecessor],",",REPT(" ",100)),101,100)),tblTasks[Task ID],0)),0),IFERROR(INDEX(tblTasks[End Date],MATCH(TRIM(MID(SUBSTITUTE([@Predecessor],",",REPT(" ",100)),201,100)),tblTasks[Task ID],0)),0)))</f>
        <v/>
      </c>
    </row>
    <row r="39">
      <c r="A39" t="inlineStr">
        <is>
          <t>M4</t>
        </is>
      </c>
      <c r="B39" t="inlineStr">
        <is>
          <t>P4 · Domain Intelligence &amp; Assets</t>
        </is>
      </c>
      <c r="C39" t="inlineStr">
        <is>
          <t>M4 · Domain Intelligence Ingestion &amp; Asset Synthesis Complete</t>
        </is>
      </c>
      <c r="D39" t="inlineStr">
        <is>
          <t>Milestone checkpoint</t>
        </is>
      </c>
      <c r="E39" s="2" t="n">
        <v>46297</v>
      </c>
      <c r="F39" s="2" t="n">
        <v>46297</v>
      </c>
      <c r="G39" s="3">
        <f>[@[End Date]]-[@[Start Date]]+1</f>
        <v/>
      </c>
      <c r="H39" t="inlineStr">
        <is>
          <t>T20, T21</t>
        </is>
      </c>
      <c r="I39" t="inlineStr">
        <is>
          <t>FS</t>
        </is>
      </c>
      <c r="J39" t="inlineStr">
        <is>
          <t>Yes</t>
        </is>
      </c>
      <c r="K39" t="inlineStr">
        <is>
          <t>Intelligence Engine (IE)</t>
        </is>
      </c>
      <c r="L39" t="inlineStr">
        <is>
          <t>High</t>
        </is>
      </c>
      <c r="M39" t="inlineStr">
        <is>
          <t>Not Started</t>
        </is>
      </c>
      <c r="N39" s="4" t="n">
        <v>0</v>
      </c>
      <c r="O39" s="3">
        <f>IF([@[End Date]]&lt;[@[Start Date]],"Invalid Dates",IF([@[Progress %]]&gt;=1,"Complete",IF(AND([@Predecessor]&lt;&gt;"",[@[Start Date]]&lt;[@[Dep Constraint]]),"Dep. Conflict",IF(AND(TODAY()&gt;[@[End Date]],[@[Progress %]]&lt;1),"Overdue",IF(AND(TODAY()&gt;=[@[Start Date]],TODAY()&lt;=[@[End Date]]),"In Window","On Track")))))</f>
        <v/>
      </c>
      <c r="P39" t="inlineStr">
        <is>
          <t>Milestone</t>
        </is>
      </c>
      <c r="Q39" s="3">
        <f>IF([@Predecessor]="",0,MAX(IFERROR(INDEX(tblTasks[End Date],MATCH(TRIM(MID(SUBSTITUTE([@Predecessor],",",REPT(" ",100)),1,100)),tblTasks[Task ID],0)),0),IFERROR(INDEX(tblTasks[End Date],MATCH(TRIM(MID(SUBSTITUTE([@Predecessor],",",REPT(" ",100)),101,100)),tblTasks[Task ID],0)),0),IFERROR(INDEX(tblTasks[End Date],MATCH(TRIM(MID(SUBSTITUTE([@Predecessor],",",REPT(" ",100)),201,100)),tblTasks[Task ID],0)),0)))</f>
        <v/>
      </c>
    </row>
    <row r="40">
      <c r="A40" t="inlineStr">
        <is>
          <t>M5</t>
        </is>
      </c>
      <c r="B40" t="inlineStr">
        <is>
          <t>P5 · HITL Clearance</t>
        </is>
      </c>
      <c r="C40" t="inlineStr">
        <is>
          <t>M5 · HITL Gateway Clearance &amp; Cryptographic Authorization</t>
        </is>
      </c>
      <c r="D40" t="inlineStr">
        <is>
          <t>Milestone checkpoint</t>
        </is>
      </c>
      <c r="E40" s="2" t="n">
        <v>46301</v>
      </c>
      <c r="F40" s="2" t="n">
        <v>46301</v>
      </c>
      <c r="G40" s="3">
        <f>[@[End Date]]-[@[Start Date]]+1</f>
        <v/>
      </c>
      <c r="H40" t="inlineStr">
        <is>
          <t>T24</t>
        </is>
      </c>
      <c r="I40" t="inlineStr">
        <is>
          <t>FS</t>
        </is>
      </c>
      <c r="J40" t="inlineStr">
        <is>
          <t>Yes</t>
        </is>
      </c>
      <c r="K40" t="inlineStr">
        <is>
          <t>Human-in-the-Loop (HITL) Gate</t>
        </is>
      </c>
      <c r="L40" t="inlineStr">
        <is>
          <t>High</t>
        </is>
      </c>
      <c r="M40" t="inlineStr">
        <is>
          <t>Not Started</t>
        </is>
      </c>
      <c r="N40" s="4" t="n">
        <v>0</v>
      </c>
      <c r="O40" s="3">
        <f>IF([@[End Date]]&lt;[@[Start Date]],"Invalid Dates",IF([@[Progress %]]&gt;=1,"Complete",IF(AND([@Predecessor]&lt;&gt;"",[@[Start Date]]&lt;[@[Dep Constraint]]),"Dep. Conflict",IF(AND(TODAY()&gt;[@[End Date]],[@[Progress %]]&lt;1),"Overdue",IF(AND(TODAY()&gt;=[@[Start Date]],TODAY()&lt;=[@[End Date]]),"In Window","On Track")))))</f>
        <v/>
      </c>
      <c r="P40" t="inlineStr">
        <is>
          <t>Milestone</t>
        </is>
      </c>
      <c r="Q40" s="3">
        <f>IF([@Predecessor]="",0,MAX(IFERROR(INDEX(tblTasks[End Date],MATCH(TRIM(MID(SUBSTITUTE([@Predecessor],",",REPT(" ",100)),1,100)),tblTasks[Task ID],0)),0),IFERROR(INDEX(tblTasks[End Date],MATCH(TRIM(MID(SUBSTITUTE([@Predecessor],",",REPT(" ",100)),101,100)),tblTasks[Task ID],0)),0),IFERROR(INDEX(tblTasks[End Date],MATCH(TRIM(MID(SUBSTITUTE([@Predecessor],",",REPT(" ",100)),201,100)),tblTasks[Task ID],0)),0)))</f>
        <v/>
      </c>
    </row>
    <row r="41">
      <c r="A41" t="inlineStr">
        <is>
          <t>M6</t>
        </is>
      </c>
      <c r="B41" t="inlineStr">
        <is>
          <t>P6 · Outbound Actuation &amp; Go-Live</t>
        </is>
      </c>
      <c r="C41" t="inlineStr">
        <is>
          <t>M6 · Outbound Actuation, Telemetry &amp; Omnichannel Go-Live</t>
        </is>
      </c>
      <c r="D41" t="inlineStr">
        <is>
          <t>Milestone checkpoint</t>
        </is>
      </c>
      <c r="E41" s="2" t="n">
        <v>46305</v>
      </c>
      <c r="F41" s="2" t="n">
        <v>46305</v>
      </c>
      <c r="G41" s="3">
        <f>[@[End Date]]-[@[Start Date]]+1</f>
        <v/>
      </c>
      <c r="H41" t="inlineStr">
        <is>
          <t>T29</t>
        </is>
      </c>
      <c r="I41" t="inlineStr">
        <is>
          <t>FS</t>
        </is>
      </c>
      <c r="J41" t="inlineStr">
        <is>
          <t>Yes</t>
        </is>
      </c>
      <c r="K41" t="inlineStr">
        <is>
          <t>Outbound Actuation MCP Boundary</t>
        </is>
      </c>
      <c r="L41" t="inlineStr">
        <is>
          <t>High</t>
        </is>
      </c>
      <c r="M41" t="inlineStr">
        <is>
          <t>Not Started</t>
        </is>
      </c>
      <c r="N41" s="4" t="n">
        <v>0</v>
      </c>
      <c r="O41" s="3">
        <f>IF([@[End Date]]&lt;[@[Start Date]],"Invalid Dates",IF([@[Progress %]]&gt;=1,"Complete",IF(AND([@Predecessor]&lt;&gt;"",[@[Start Date]]&lt;[@[Dep Constraint]]),"Dep. Conflict",IF(AND(TODAY()&gt;[@[End Date]],[@[Progress %]]&lt;1),"Overdue",IF(AND(TODAY()&gt;=[@[Start Date]],TODAY()&lt;=[@[End Date]]),"In Window","On Track")))))</f>
        <v/>
      </c>
      <c r="P41" t="inlineStr">
        <is>
          <t>Milestone</t>
        </is>
      </c>
      <c r="Q41" s="3">
        <f>IF([@Predecessor]="",0,MAX(IFERROR(INDEX(tblTasks[End Date],MATCH(TRIM(MID(SUBSTITUTE([@Predecessor],",",REPT(" ",100)),1,100)),tblTasks[Task ID],0)),0),IFERROR(INDEX(tblTasks[End Date],MATCH(TRIM(MID(SUBSTITUTE([@Predecessor],",",REPT(" ",100)),101,100)),tblTasks[Task ID],0)),0),IFERROR(INDEX(tblTasks[End Date],MATCH(TRIM(MID(SUBSTITUTE([@Predecessor],",",REPT(" ",100)),201,100)),tblTasks[Task ID],0)),0)))</f>
        <v/>
      </c>
    </row>
    <row r="42">
      <c r="A42" t="inlineStr">
        <is>
          <t>M7</t>
        </is>
      </c>
      <c r="B42" t="inlineStr">
        <is>
          <t>P7 · Telemetry &amp; Closeout</t>
        </is>
      </c>
      <c r="C42" t="inlineStr">
        <is>
          <t>M7 · Closed-Loop Telemetry Optimization &amp; Final Project Closeout</t>
        </is>
      </c>
      <c r="D42" t="inlineStr">
        <is>
          <t>Milestone checkpoint</t>
        </is>
      </c>
      <c r="E42" s="2" t="n">
        <v>46309</v>
      </c>
      <c r="F42" s="2" t="n">
        <v>46309</v>
      </c>
      <c r="G42" s="3">
        <f>[@[End Date]]-[@[Start Date]]+1</f>
        <v/>
      </c>
      <c r="H42" t="inlineStr">
        <is>
          <t>T34</t>
        </is>
      </c>
      <c r="I42" t="inlineStr">
        <is>
          <t>FS</t>
        </is>
      </c>
      <c r="J42" t="inlineStr">
        <is>
          <t>Yes</t>
        </is>
      </c>
      <c r="K42" t="inlineStr">
        <is>
          <t>Intelligence Engine &amp; Brand Owner</t>
        </is>
      </c>
      <c r="L42" t="inlineStr">
        <is>
          <t>High</t>
        </is>
      </c>
      <c r="M42" t="inlineStr">
        <is>
          <t>Not Started</t>
        </is>
      </c>
      <c r="N42" s="4" t="n">
        <v>0</v>
      </c>
      <c r="O42" s="3">
        <f>IF([@[End Date]]&lt;[@[Start Date]],"Invalid Dates",IF([@[Progress %]]&gt;=1,"Complete",IF(AND([@Predecessor]&lt;&gt;"",[@[Start Date]]&lt;[@[Dep Constraint]]),"Dep. Conflict",IF(AND(TODAY()&gt;[@[End Date]],[@[Progress %]]&lt;1),"Overdue",IF(AND(TODAY()&gt;=[@[Start Date]],TODAY()&lt;=[@[End Date]]),"In Window","On Track")))))</f>
        <v/>
      </c>
      <c r="P42" t="inlineStr">
        <is>
          <t>Milestone</t>
        </is>
      </c>
      <c r="Q42" s="3">
        <f>IF([@Predecessor]="",0,MAX(IFERROR(INDEX(tblTasks[End Date],MATCH(TRIM(MID(SUBSTITUTE([@Predecessor],",",REPT(" ",100)),1,100)),tblTasks[Task ID],0)),0),IFERROR(INDEX(tblTasks[End Date],MATCH(TRIM(MID(SUBSTITUTE([@Predecessor],",",REPT(" ",100)),101,100)),tblTasks[Task ID],0)),0),IFERROR(INDEX(tblTasks[End Date],MATCH(TRIM(MID(SUBSTITUTE([@Predecessor],",",REPT(" ",100)),201,100)),tblTasks[Task ID],0)),0)))</f>
        <v/>
      </c>
    </row>
  </sheetData>
  <autoFilter ref="A1:Q42"/>
  <conditionalFormatting sqref="O2:O42">
    <cfRule type="cellIs" priority="1" operator="equal" dxfId="0">
      <formula>"Complete"</formula>
    </cfRule>
    <cfRule type="cellIs" priority="2" operator="equal" dxfId="0">
      <formula>"On Track"</formula>
    </cfRule>
    <cfRule type="cellIs" priority="3" operator="equal" dxfId="1">
      <formula>"In Window"</formula>
    </cfRule>
    <cfRule type="cellIs" priority="4" operator="equal" dxfId="2">
      <formula>"Overdue"</formula>
    </cfRule>
    <cfRule type="cellIs" priority="5" operator="equal" dxfId="2">
      <formula>"Dep. Conflict"</formula>
    </cfRule>
    <cfRule type="cellIs" priority="6" operator="equal" dxfId="2">
      <formula>"Invalid Dates"</formula>
    </cfRule>
  </conditionalFormatting>
  <conditionalFormatting sqref="M2:M42">
    <cfRule type="cellIs" priority="7" operator="equal" dxfId="0">
      <formula>"Completed"</formula>
    </cfRule>
    <cfRule type="cellIs" priority="8" operator="equal" dxfId="1">
      <formula>"In Progress"</formula>
    </cfRule>
    <cfRule type="cellIs" priority="9" operator="equal" dxfId="3">
      <formula>"Not Started"</formula>
    </cfRule>
    <cfRule type="cellIs" priority="10" operator="equal" dxfId="4">
      <formula>"On Hold"</formula>
    </cfRule>
    <cfRule type="cellIs" priority="11" operator="equal" dxfId="2">
      <formula>"Delayed"</formula>
    </cfRule>
  </conditionalFormatting>
  <conditionalFormatting sqref="N2:N42">
    <cfRule type="dataBar" priority="12">
      <dataBar showValue="1">
        <cfvo type="num" val="0"/>
        <cfvo type="num" val="1"/>
        <color rgb="00638EC6"/>
      </dataBar>
    </cfRule>
  </conditionalFormatting>
  <conditionalFormatting sqref="E2:F42">
    <cfRule type="expression" priority="13" dxfId="2">
      <formula>OR($E2&lt;DATE(2026,9,11),$F2&gt;DATE(2026,10,14))</formula>
    </cfRule>
  </conditionalFormatting>
  <dataValidations count="5">
    <dataValidation sqref="M2:M42" showDropDown="0" showInputMessage="0" showErrorMessage="0" allowBlank="1" type="list">
      <formula1>"Not Started,In Progress,Completed,On Hold,Delayed"</formula1>
    </dataValidation>
    <dataValidation sqref="L2:L42" showDropDown="0" showInputMessage="0" showErrorMessage="0" allowBlank="1" type="list">
      <formula1>"High,Medium,Low"</formula1>
    </dataValidation>
    <dataValidation sqref="J2:J42" showDropDown="0" showInputMessage="0" showErrorMessage="0" allowBlank="1" type="list">
      <formula1>"Yes,No"</formula1>
    </dataValidation>
    <dataValidation sqref="I2:I42" showDropDown="0" showInputMessage="0" showErrorMessage="0" allowBlank="1" type="list">
      <formula1>"FS,SS,FF,SF"</formula1>
    </dataValidation>
    <dataValidation sqref="N2:N42" showDropDown="0" showInputMessage="0" showErrorMessage="0" allowBlank="1" error="Enter 0%–100%" type="decimal" operator="between">
      <formula1>0</formula1>
      <formula2>1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5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52" customWidth="1" min="2" max="2"/>
    <col width="3.4" customWidth="1" min="3" max="3"/>
    <col width="3.4" customWidth="1" min="4" max="4"/>
    <col width="3.4" customWidth="1" min="5" max="5"/>
    <col width="3.4" customWidth="1" min="6" max="6"/>
    <col width="3.4" customWidth="1" min="7" max="7"/>
    <col width="3.4" customWidth="1" min="8" max="8"/>
    <col width="3.4" customWidth="1" min="9" max="9"/>
    <col width="3.4" customWidth="1" min="10" max="10"/>
    <col width="3.4" customWidth="1" min="11" max="11"/>
    <col width="3.4" customWidth="1" min="12" max="12"/>
    <col width="3.4" customWidth="1" min="13" max="13"/>
    <col width="3.4" customWidth="1" min="14" max="14"/>
    <col width="3.4" customWidth="1" min="15" max="15"/>
    <col width="3.4" customWidth="1" min="16" max="16"/>
    <col width="3.4" customWidth="1" min="17" max="17"/>
    <col width="3.4" customWidth="1" min="18" max="18"/>
    <col width="3.4" customWidth="1" min="19" max="19"/>
    <col width="3.4" customWidth="1" min="20" max="20"/>
    <col width="3.4" customWidth="1" min="21" max="21"/>
    <col width="3.4" customWidth="1" min="22" max="22"/>
    <col width="3.4" customWidth="1" min="23" max="23"/>
    <col width="3.4" customWidth="1" min="24" max="24"/>
    <col width="3.4" customWidth="1" min="25" max="25"/>
    <col width="3.4" customWidth="1" min="26" max="26"/>
    <col width="3.4" customWidth="1" min="27" max="27"/>
    <col width="3.4" customWidth="1" min="28" max="28"/>
    <col width="3.4" customWidth="1" min="29" max="29"/>
    <col width="3.4" customWidth="1" min="30" max="30"/>
    <col width="3.4" customWidth="1" min="31" max="31"/>
    <col width="3.4" customWidth="1" min="32" max="32"/>
    <col width="3.4" customWidth="1" min="33" max="33"/>
    <col width="3.4" customWidth="1" min="34" max="34"/>
    <col width="3.4" customWidth="1" min="35" max="35"/>
    <col width="3.4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</cols>
  <sheetData>
    <row r="1">
      <c r="C1" s="5" t="inlineStr">
        <is>
          <t>September 2026</t>
        </is>
      </c>
      <c r="W1" s="5" t="inlineStr">
        <is>
          <t>October 2026</t>
        </is>
      </c>
    </row>
    <row r="2">
      <c r="C2" s="6" t="n">
        <v>46276</v>
      </c>
      <c r="D2" s="6" t="n">
        <v>46277</v>
      </c>
      <c r="E2" s="6" t="n">
        <v>46278</v>
      </c>
      <c r="F2" s="6" t="n">
        <v>46279</v>
      </c>
      <c r="G2" s="6" t="n">
        <v>46280</v>
      </c>
      <c r="H2" s="6" t="n">
        <v>46281</v>
      </c>
      <c r="I2" s="6" t="n">
        <v>46282</v>
      </c>
      <c r="J2" s="6" t="n">
        <v>46283</v>
      </c>
      <c r="K2" s="6" t="n">
        <v>46284</v>
      </c>
      <c r="L2" s="6" t="n">
        <v>46285</v>
      </c>
      <c r="M2" s="6" t="n">
        <v>46286</v>
      </c>
      <c r="N2" s="6" t="n">
        <v>46287</v>
      </c>
      <c r="O2" s="6" t="n">
        <v>46288</v>
      </c>
      <c r="P2" s="6" t="n">
        <v>46289</v>
      </c>
      <c r="Q2" s="6" t="n">
        <v>46290</v>
      </c>
      <c r="R2" s="6" t="n">
        <v>46291</v>
      </c>
      <c r="S2" s="6" t="n">
        <v>46292</v>
      </c>
      <c r="T2" s="6" t="n">
        <v>46293</v>
      </c>
      <c r="U2" s="6" t="n">
        <v>46294</v>
      </c>
      <c r="V2" s="6" t="n">
        <v>46295</v>
      </c>
      <c r="W2" s="6" t="n">
        <v>46296</v>
      </c>
      <c r="X2" s="6" t="n">
        <v>46297</v>
      </c>
      <c r="Y2" s="6" t="n">
        <v>46298</v>
      </c>
      <c r="Z2" s="6" t="n">
        <v>46299</v>
      </c>
      <c r="AA2" s="6" t="n">
        <v>46300</v>
      </c>
      <c r="AB2" s="6" t="n">
        <v>46301</v>
      </c>
      <c r="AC2" s="6" t="n">
        <v>46302</v>
      </c>
      <c r="AD2" s="6" t="n">
        <v>46303</v>
      </c>
      <c r="AE2" s="6" t="n">
        <v>46304</v>
      </c>
      <c r="AF2" s="6" t="n">
        <v>46305</v>
      </c>
      <c r="AG2" s="6" t="n">
        <v>46306</v>
      </c>
      <c r="AH2" s="6" t="n">
        <v>46307</v>
      </c>
      <c r="AI2" s="6" t="n">
        <v>46308</v>
      </c>
      <c r="AJ2" s="6" t="n">
        <v>46309</v>
      </c>
    </row>
    <row r="3">
      <c r="C3" s="7">
        <f>TEXT(C2,"ddd")</f>
        <v/>
      </c>
      <c r="D3" s="7">
        <f>TEXT(D2,"ddd")</f>
        <v/>
      </c>
      <c r="E3" s="7">
        <f>TEXT(E2,"ddd")</f>
        <v/>
      </c>
      <c r="F3" s="7">
        <f>TEXT(F2,"ddd")</f>
        <v/>
      </c>
      <c r="G3" s="7">
        <f>TEXT(G2,"ddd")</f>
        <v/>
      </c>
      <c r="H3" s="7">
        <f>TEXT(H2,"ddd")</f>
        <v/>
      </c>
      <c r="I3" s="7">
        <f>TEXT(I2,"ddd")</f>
        <v/>
      </c>
      <c r="J3" s="7">
        <f>TEXT(J2,"ddd")</f>
        <v/>
      </c>
      <c r="K3" s="7">
        <f>TEXT(K2,"ddd")</f>
        <v/>
      </c>
      <c r="L3" s="7">
        <f>TEXT(L2,"ddd")</f>
        <v/>
      </c>
      <c r="M3" s="7">
        <f>TEXT(M2,"ddd")</f>
        <v/>
      </c>
      <c r="N3" s="7">
        <f>TEXT(N2,"ddd")</f>
        <v/>
      </c>
      <c r="O3" s="7">
        <f>TEXT(O2,"ddd")</f>
        <v/>
      </c>
      <c r="P3" s="7">
        <f>TEXT(P2,"ddd")</f>
        <v/>
      </c>
      <c r="Q3" s="7">
        <f>TEXT(Q2,"ddd")</f>
        <v/>
      </c>
      <c r="R3" s="7">
        <f>TEXT(R2,"ddd")</f>
        <v/>
      </c>
      <c r="S3" s="7">
        <f>TEXT(S2,"ddd")</f>
        <v/>
      </c>
      <c r="T3" s="7">
        <f>TEXT(T2,"ddd")</f>
        <v/>
      </c>
      <c r="U3" s="7">
        <f>TEXT(U2,"ddd")</f>
        <v/>
      </c>
      <c r="V3" s="7">
        <f>TEXT(V2,"ddd")</f>
        <v/>
      </c>
      <c r="W3" s="7">
        <f>TEXT(W2,"ddd")</f>
        <v/>
      </c>
      <c r="X3" s="7">
        <f>TEXT(X2,"ddd")</f>
        <v/>
      </c>
      <c r="Y3" s="7">
        <f>TEXT(Y2,"ddd")</f>
        <v/>
      </c>
      <c r="Z3" s="7">
        <f>TEXT(Z2,"ddd")</f>
        <v/>
      </c>
      <c r="AA3" s="7">
        <f>TEXT(AA2,"ddd")</f>
        <v/>
      </c>
      <c r="AB3" s="7">
        <f>TEXT(AB2,"ddd")</f>
        <v/>
      </c>
      <c r="AC3" s="7">
        <f>TEXT(AC2,"ddd")</f>
        <v/>
      </c>
      <c r="AD3" s="7">
        <f>TEXT(AD2,"ddd")</f>
        <v/>
      </c>
      <c r="AE3" s="7">
        <f>TEXT(AE2,"ddd")</f>
        <v/>
      </c>
      <c r="AF3" s="7">
        <f>TEXT(AF2,"ddd")</f>
        <v/>
      </c>
      <c r="AG3" s="7">
        <f>TEXT(AG2,"ddd")</f>
        <v/>
      </c>
      <c r="AH3" s="7">
        <f>TEXT(AH2,"ddd")</f>
        <v/>
      </c>
      <c r="AI3" s="7">
        <f>TEXT(AI2,"ddd")</f>
        <v/>
      </c>
      <c r="AJ3" s="7">
        <f>TEXT(AJ2,"ddd")</f>
        <v/>
      </c>
    </row>
    <row r="5">
      <c r="A5" s="8" t="inlineStr">
        <is>
          <t>ID</t>
        </is>
      </c>
      <c r="B5" s="8" t="inlineStr">
        <is>
          <t>Task / Phase</t>
        </is>
      </c>
    </row>
    <row r="6">
      <c r="A6" s="9">
        <f>IF($AP6="","",$AP6)</f>
        <v/>
      </c>
      <c r="B6" s="10">
        <f>IF($AP6="","",IF($AO6="Yes","◆ ","")&amp;INDEX(tblTasks[Task Name],ROW()-5))</f>
        <v/>
      </c>
      <c r="C6" s="11">
        <f>IF($AP6="",0,IF($AO6="Yes",IF(C$2=$AK6,"◆",0),IF(AND(C$2&gt;=$AK6,C$2&lt;=$AL6),IF($AM6&gt;=1,2,IF(C$2&lt;$AK6+($AL6-$AK6+1)*$AM6,2,3)),0)))</f>
        <v/>
      </c>
      <c r="D6" s="11">
        <f>IF($AP6="",0,IF($AO6="Yes",IF(D$2=$AK6,"◆",0),IF(AND(D$2&gt;=$AK6,D$2&lt;=$AL6),IF($AM6&gt;=1,2,IF(D$2&lt;$AK6+($AL6-$AK6+1)*$AM6,2,3)),0)))</f>
        <v/>
      </c>
      <c r="E6" s="11">
        <f>IF($AP6="",0,IF($AO6="Yes",IF(E$2=$AK6,"◆",0),IF(AND(E$2&gt;=$AK6,E$2&lt;=$AL6),IF($AM6&gt;=1,2,IF(E$2&lt;$AK6+($AL6-$AK6+1)*$AM6,2,3)),0)))</f>
        <v/>
      </c>
      <c r="F6" s="11">
        <f>IF($AP6="",0,IF($AO6="Yes",IF(F$2=$AK6,"◆",0),IF(AND(F$2&gt;=$AK6,F$2&lt;=$AL6),IF($AM6&gt;=1,2,IF(F$2&lt;$AK6+($AL6-$AK6+1)*$AM6,2,3)),0)))</f>
        <v/>
      </c>
      <c r="G6" s="11">
        <f>IF($AP6="",0,IF($AO6="Yes",IF(G$2=$AK6,"◆",0),IF(AND(G$2&gt;=$AK6,G$2&lt;=$AL6),IF($AM6&gt;=1,2,IF(G$2&lt;$AK6+($AL6-$AK6+1)*$AM6,2,3)),0)))</f>
        <v/>
      </c>
      <c r="H6" s="11">
        <f>IF($AP6="",0,IF($AO6="Yes",IF(H$2=$AK6,"◆",0),IF(AND(H$2&gt;=$AK6,H$2&lt;=$AL6),IF($AM6&gt;=1,2,IF(H$2&lt;$AK6+($AL6-$AK6+1)*$AM6,2,3)),0)))</f>
        <v/>
      </c>
      <c r="I6" s="11">
        <f>IF($AP6="",0,IF($AO6="Yes",IF(I$2=$AK6,"◆",0),IF(AND(I$2&gt;=$AK6,I$2&lt;=$AL6),IF($AM6&gt;=1,2,IF(I$2&lt;$AK6+($AL6-$AK6+1)*$AM6,2,3)),0)))</f>
        <v/>
      </c>
      <c r="J6" s="11">
        <f>IF($AP6="",0,IF($AO6="Yes",IF(J$2=$AK6,"◆",0),IF(AND(J$2&gt;=$AK6,J$2&lt;=$AL6),IF($AM6&gt;=1,2,IF(J$2&lt;$AK6+($AL6-$AK6+1)*$AM6,2,3)),0)))</f>
        <v/>
      </c>
      <c r="K6" s="11">
        <f>IF($AP6="",0,IF($AO6="Yes",IF(K$2=$AK6,"◆",0),IF(AND(K$2&gt;=$AK6,K$2&lt;=$AL6),IF($AM6&gt;=1,2,IF(K$2&lt;$AK6+($AL6-$AK6+1)*$AM6,2,3)),0)))</f>
        <v/>
      </c>
      <c r="L6" s="11">
        <f>IF($AP6="",0,IF($AO6="Yes",IF(L$2=$AK6,"◆",0),IF(AND(L$2&gt;=$AK6,L$2&lt;=$AL6),IF($AM6&gt;=1,2,IF(L$2&lt;$AK6+($AL6-$AK6+1)*$AM6,2,3)),0)))</f>
        <v/>
      </c>
      <c r="M6" s="11">
        <f>IF($AP6="",0,IF($AO6="Yes",IF(M$2=$AK6,"◆",0),IF(AND(M$2&gt;=$AK6,M$2&lt;=$AL6),IF($AM6&gt;=1,2,IF(M$2&lt;$AK6+($AL6-$AK6+1)*$AM6,2,3)),0)))</f>
        <v/>
      </c>
      <c r="N6" s="11">
        <f>IF($AP6="",0,IF($AO6="Yes",IF(N$2=$AK6,"◆",0),IF(AND(N$2&gt;=$AK6,N$2&lt;=$AL6),IF($AM6&gt;=1,2,IF(N$2&lt;$AK6+($AL6-$AK6+1)*$AM6,2,3)),0)))</f>
        <v/>
      </c>
      <c r="O6" s="11">
        <f>IF($AP6="",0,IF($AO6="Yes",IF(O$2=$AK6,"◆",0),IF(AND(O$2&gt;=$AK6,O$2&lt;=$AL6),IF($AM6&gt;=1,2,IF(O$2&lt;$AK6+($AL6-$AK6+1)*$AM6,2,3)),0)))</f>
        <v/>
      </c>
      <c r="P6" s="11">
        <f>IF($AP6="",0,IF($AO6="Yes",IF(P$2=$AK6,"◆",0),IF(AND(P$2&gt;=$AK6,P$2&lt;=$AL6),IF($AM6&gt;=1,2,IF(P$2&lt;$AK6+($AL6-$AK6+1)*$AM6,2,3)),0)))</f>
        <v/>
      </c>
      <c r="Q6" s="11">
        <f>IF($AP6="",0,IF($AO6="Yes",IF(Q$2=$AK6,"◆",0),IF(AND(Q$2&gt;=$AK6,Q$2&lt;=$AL6),IF($AM6&gt;=1,2,IF(Q$2&lt;$AK6+($AL6-$AK6+1)*$AM6,2,3)),0)))</f>
        <v/>
      </c>
      <c r="R6" s="11">
        <f>IF($AP6="",0,IF($AO6="Yes",IF(R$2=$AK6,"◆",0),IF(AND(R$2&gt;=$AK6,R$2&lt;=$AL6),IF($AM6&gt;=1,2,IF(R$2&lt;$AK6+($AL6-$AK6+1)*$AM6,2,3)),0)))</f>
        <v/>
      </c>
      <c r="S6" s="11">
        <f>IF($AP6="",0,IF($AO6="Yes",IF(S$2=$AK6,"◆",0),IF(AND(S$2&gt;=$AK6,S$2&lt;=$AL6),IF($AM6&gt;=1,2,IF(S$2&lt;$AK6+($AL6-$AK6+1)*$AM6,2,3)),0)))</f>
        <v/>
      </c>
      <c r="T6" s="11">
        <f>IF($AP6="",0,IF($AO6="Yes",IF(T$2=$AK6,"◆",0),IF(AND(T$2&gt;=$AK6,T$2&lt;=$AL6),IF($AM6&gt;=1,2,IF(T$2&lt;$AK6+($AL6-$AK6+1)*$AM6,2,3)),0)))</f>
        <v/>
      </c>
      <c r="U6" s="11">
        <f>IF($AP6="",0,IF($AO6="Yes",IF(U$2=$AK6,"◆",0),IF(AND(U$2&gt;=$AK6,U$2&lt;=$AL6),IF($AM6&gt;=1,2,IF(U$2&lt;$AK6+($AL6-$AK6+1)*$AM6,2,3)),0)))</f>
        <v/>
      </c>
      <c r="V6" s="11">
        <f>IF($AP6="",0,IF($AO6="Yes",IF(V$2=$AK6,"◆",0),IF(AND(V$2&gt;=$AK6,V$2&lt;=$AL6),IF($AM6&gt;=1,2,IF(V$2&lt;$AK6+($AL6-$AK6+1)*$AM6,2,3)),0)))</f>
        <v/>
      </c>
      <c r="W6" s="11">
        <f>IF($AP6="",0,IF($AO6="Yes",IF(W$2=$AK6,"◆",0),IF(AND(W$2&gt;=$AK6,W$2&lt;=$AL6),IF($AM6&gt;=1,2,IF(W$2&lt;$AK6+($AL6-$AK6+1)*$AM6,2,3)),0)))</f>
        <v/>
      </c>
      <c r="X6" s="11">
        <f>IF($AP6="",0,IF($AO6="Yes",IF(X$2=$AK6,"◆",0),IF(AND(X$2&gt;=$AK6,X$2&lt;=$AL6),IF($AM6&gt;=1,2,IF(X$2&lt;$AK6+($AL6-$AK6+1)*$AM6,2,3)),0)))</f>
        <v/>
      </c>
      <c r="Y6" s="11">
        <f>IF($AP6="",0,IF($AO6="Yes",IF(Y$2=$AK6,"◆",0),IF(AND(Y$2&gt;=$AK6,Y$2&lt;=$AL6),IF($AM6&gt;=1,2,IF(Y$2&lt;$AK6+($AL6-$AK6+1)*$AM6,2,3)),0)))</f>
        <v/>
      </c>
      <c r="Z6" s="11">
        <f>IF($AP6="",0,IF($AO6="Yes",IF(Z$2=$AK6,"◆",0),IF(AND(Z$2&gt;=$AK6,Z$2&lt;=$AL6),IF($AM6&gt;=1,2,IF(Z$2&lt;$AK6+($AL6-$AK6+1)*$AM6,2,3)),0)))</f>
        <v/>
      </c>
      <c r="AA6" s="11">
        <f>IF($AP6="",0,IF($AO6="Yes",IF(AA$2=$AK6,"◆",0),IF(AND(AA$2&gt;=$AK6,AA$2&lt;=$AL6),IF($AM6&gt;=1,2,IF(AA$2&lt;$AK6+($AL6-$AK6+1)*$AM6,2,3)),0)))</f>
        <v/>
      </c>
      <c r="AB6" s="11">
        <f>IF($AP6="",0,IF($AO6="Yes",IF(AB$2=$AK6,"◆",0),IF(AND(AB$2&gt;=$AK6,AB$2&lt;=$AL6),IF($AM6&gt;=1,2,IF(AB$2&lt;$AK6+($AL6-$AK6+1)*$AM6,2,3)),0)))</f>
        <v/>
      </c>
      <c r="AC6" s="11">
        <f>IF($AP6="",0,IF($AO6="Yes",IF(AC$2=$AK6,"◆",0),IF(AND(AC$2&gt;=$AK6,AC$2&lt;=$AL6),IF($AM6&gt;=1,2,IF(AC$2&lt;$AK6+($AL6-$AK6+1)*$AM6,2,3)),0)))</f>
        <v/>
      </c>
      <c r="AD6" s="11">
        <f>IF($AP6="",0,IF($AO6="Yes",IF(AD$2=$AK6,"◆",0),IF(AND(AD$2&gt;=$AK6,AD$2&lt;=$AL6),IF($AM6&gt;=1,2,IF(AD$2&lt;$AK6+($AL6-$AK6+1)*$AM6,2,3)),0)))</f>
        <v/>
      </c>
      <c r="AE6" s="11">
        <f>IF($AP6="",0,IF($AO6="Yes",IF(AE$2=$AK6,"◆",0),IF(AND(AE$2&gt;=$AK6,AE$2&lt;=$AL6),IF($AM6&gt;=1,2,IF(AE$2&lt;$AK6+($AL6-$AK6+1)*$AM6,2,3)),0)))</f>
        <v/>
      </c>
      <c r="AF6" s="11">
        <f>IF($AP6="",0,IF($AO6="Yes",IF(AF$2=$AK6,"◆",0),IF(AND(AF$2&gt;=$AK6,AF$2&lt;=$AL6),IF($AM6&gt;=1,2,IF(AF$2&lt;$AK6+($AL6-$AK6+1)*$AM6,2,3)),0)))</f>
        <v/>
      </c>
      <c r="AG6" s="11">
        <f>IF($AP6="",0,IF($AO6="Yes",IF(AG$2=$AK6,"◆",0),IF(AND(AG$2&gt;=$AK6,AG$2&lt;=$AL6),IF($AM6&gt;=1,2,IF(AG$2&lt;$AK6+($AL6-$AK6+1)*$AM6,2,3)),0)))</f>
        <v/>
      </c>
      <c r="AH6" s="11">
        <f>IF($AP6="",0,IF($AO6="Yes",IF(AH$2=$AK6,"◆",0),IF(AND(AH$2&gt;=$AK6,AH$2&lt;=$AL6),IF($AM6&gt;=1,2,IF(AH$2&lt;$AK6+($AL6-$AK6+1)*$AM6,2,3)),0)))</f>
        <v/>
      </c>
      <c r="AI6" s="11">
        <f>IF($AP6="",0,IF($AO6="Yes",IF(AI$2=$AK6,"◆",0),IF(AND(AI$2&gt;=$AK6,AI$2&lt;=$AL6),IF($AM6&gt;=1,2,IF(AI$2&lt;$AK6+($AL6-$AK6+1)*$AM6,2,3)),0)))</f>
        <v/>
      </c>
      <c r="AJ6" s="11">
        <f>IF($AP6="",0,IF($AO6="Yes",IF(AJ$2=$AK6,"◆",0),IF(AND(AJ$2&gt;=$AK6,AJ$2&lt;=$AL6),IF($AM6&gt;=1,2,IF(AJ$2&lt;$AK6+($AL6-$AK6+1)*$AM6,2,3)),0)))</f>
        <v/>
      </c>
      <c r="AK6">
        <f>IFERROR(INDEX(tblTasks[Start Date],ROW()-5),"")</f>
        <v/>
      </c>
      <c r="AL6">
        <f>IFERROR(INDEX(tblTasks[End Date],ROW()-5),"")</f>
        <v/>
      </c>
      <c r="AM6">
        <f>IFERROR(INDEX(tblTasks[Progress %],ROW()-5),0)</f>
        <v/>
      </c>
      <c r="AN6">
        <f>IFERROR(INDEX(tblTasks[Status],ROW()-5),"")</f>
        <v/>
      </c>
      <c r="AO6">
        <f>IFERROR(INDEX(tblTasks[Milestone],ROW()-5),"No")</f>
        <v/>
      </c>
      <c r="AP6">
        <f>IFERROR(INDEX(tblTasks[Task ID],ROW()-5),"")</f>
        <v/>
      </c>
      <c r="AQ6">
        <f>IFERROR(INDEX(tblTasks[Phase],ROW()-5),"")</f>
        <v/>
      </c>
    </row>
    <row r="7">
      <c r="A7" s="9">
        <f>IF($AP7="","",$AP7)</f>
        <v/>
      </c>
      <c r="B7" s="10">
        <f>IF($AP7="","",IF($AO7="Yes","◆ ","")&amp;INDEX(tblTasks[Task Name],ROW()-5))</f>
        <v/>
      </c>
      <c r="C7" s="11">
        <f>IF($AP7="",0,IF($AO7="Yes",IF(C$2=$AK7,"◆",0),IF(AND(C$2&gt;=$AK7,C$2&lt;=$AL7),IF($AM7&gt;=1,2,IF(C$2&lt;$AK7+($AL7-$AK7+1)*$AM7,2,3)),0)))</f>
        <v/>
      </c>
      <c r="D7" s="11">
        <f>IF($AP7="",0,IF($AO7="Yes",IF(D$2=$AK7,"◆",0),IF(AND(D$2&gt;=$AK7,D$2&lt;=$AL7),IF($AM7&gt;=1,2,IF(D$2&lt;$AK7+($AL7-$AK7+1)*$AM7,2,3)),0)))</f>
        <v/>
      </c>
      <c r="E7" s="11">
        <f>IF($AP7="",0,IF($AO7="Yes",IF(E$2=$AK7,"◆",0),IF(AND(E$2&gt;=$AK7,E$2&lt;=$AL7),IF($AM7&gt;=1,2,IF(E$2&lt;$AK7+($AL7-$AK7+1)*$AM7,2,3)),0)))</f>
        <v/>
      </c>
      <c r="F7" s="11">
        <f>IF($AP7="",0,IF($AO7="Yes",IF(F$2=$AK7,"◆",0),IF(AND(F$2&gt;=$AK7,F$2&lt;=$AL7),IF($AM7&gt;=1,2,IF(F$2&lt;$AK7+($AL7-$AK7+1)*$AM7,2,3)),0)))</f>
        <v/>
      </c>
      <c r="G7" s="11">
        <f>IF($AP7="",0,IF($AO7="Yes",IF(G$2=$AK7,"◆",0),IF(AND(G$2&gt;=$AK7,G$2&lt;=$AL7),IF($AM7&gt;=1,2,IF(G$2&lt;$AK7+($AL7-$AK7+1)*$AM7,2,3)),0)))</f>
        <v/>
      </c>
      <c r="H7" s="11">
        <f>IF($AP7="",0,IF($AO7="Yes",IF(H$2=$AK7,"◆",0),IF(AND(H$2&gt;=$AK7,H$2&lt;=$AL7),IF($AM7&gt;=1,2,IF(H$2&lt;$AK7+($AL7-$AK7+1)*$AM7,2,3)),0)))</f>
        <v/>
      </c>
      <c r="I7" s="11">
        <f>IF($AP7="",0,IF($AO7="Yes",IF(I$2=$AK7,"◆",0),IF(AND(I$2&gt;=$AK7,I$2&lt;=$AL7),IF($AM7&gt;=1,2,IF(I$2&lt;$AK7+($AL7-$AK7+1)*$AM7,2,3)),0)))</f>
        <v/>
      </c>
      <c r="J7" s="11">
        <f>IF($AP7="",0,IF($AO7="Yes",IF(J$2=$AK7,"◆",0),IF(AND(J$2&gt;=$AK7,J$2&lt;=$AL7),IF($AM7&gt;=1,2,IF(J$2&lt;$AK7+($AL7-$AK7+1)*$AM7,2,3)),0)))</f>
        <v/>
      </c>
      <c r="K7" s="11">
        <f>IF($AP7="",0,IF($AO7="Yes",IF(K$2=$AK7,"◆",0),IF(AND(K$2&gt;=$AK7,K$2&lt;=$AL7),IF($AM7&gt;=1,2,IF(K$2&lt;$AK7+($AL7-$AK7+1)*$AM7,2,3)),0)))</f>
        <v/>
      </c>
      <c r="L7" s="11">
        <f>IF($AP7="",0,IF($AO7="Yes",IF(L$2=$AK7,"◆",0),IF(AND(L$2&gt;=$AK7,L$2&lt;=$AL7),IF($AM7&gt;=1,2,IF(L$2&lt;$AK7+($AL7-$AK7+1)*$AM7,2,3)),0)))</f>
        <v/>
      </c>
      <c r="M7" s="11">
        <f>IF($AP7="",0,IF($AO7="Yes",IF(M$2=$AK7,"◆",0),IF(AND(M$2&gt;=$AK7,M$2&lt;=$AL7),IF($AM7&gt;=1,2,IF(M$2&lt;$AK7+($AL7-$AK7+1)*$AM7,2,3)),0)))</f>
        <v/>
      </c>
      <c r="N7" s="11">
        <f>IF($AP7="",0,IF($AO7="Yes",IF(N$2=$AK7,"◆",0),IF(AND(N$2&gt;=$AK7,N$2&lt;=$AL7),IF($AM7&gt;=1,2,IF(N$2&lt;$AK7+($AL7-$AK7+1)*$AM7,2,3)),0)))</f>
        <v/>
      </c>
      <c r="O7" s="11">
        <f>IF($AP7="",0,IF($AO7="Yes",IF(O$2=$AK7,"◆",0),IF(AND(O$2&gt;=$AK7,O$2&lt;=$AL7),IF($AM7&gt;=1,2,IF(O$2&lt;$AK7+($AL7-$AK7+1)*$AM7,2,3)),0)))</f>
        <v/>
      </c>
      <c r="P7" s="11">
        <f>IF($AP7="",0,IF($AO7="Yes",IF(P$2=$AK7,"◆",0),IF(AND(P$2&gt;=$AK7,P$2&lt;=$AL7),IF($AM7&gt;=1,2,IF(P$2&lt;$AK7+($AL7-$AK7+1)*$AM7,2,3)),0)))</f>
        <v/>
      </c>
      <c r="Q7" s="11">
        <f>IF($AP7="",0,IF($AO7="Yes",IF(Q$2=$AK7,"◆",0),IF(AND(Q$2&gt;=$AK7,Q$2&lt;=$AL7),IF($AM7&gt;=1,2,IF(Q$2&lt;$AK7+($AL7-$AK7+1)*$AM7,2,3)),0)))</f>
        <v/>
      </c>
      <c r="R7" s="11">
        <f>IF($AP7="",0,IF($AO7="Yes",IF(R$2=$AK7,"◆",0),IF(AND(R$2&gt;=$AK7,R$2&lt;=$AL7),IF($AM7&gt;=1,2,IF(R$2&lt;$AK7+($AL7-$AK7+1)*$AM7,2,3)),0)))</f>
        <v/>
      </c>
      <c r="S7" s="11">
        <f>IF($AP7="",0,IF($AO7="Yes",IF(S$2=$AK7,"◆",0),IF(AND(S$2&gt;=$AK7,S$2&lt;=$AL7),IF($AM7&gt;=1,2,IF(S$2&lt;$AK7+($AL7-$AK7+1)*$AM7,2,3)),0)))</f>
        <v/>
      </c>
      <c r="T7" s="11">
        <f>IF($AP7="",0,IF($AO7="Yes",IF(T$2=$AK7,"◆",0),IF(AND(T$2&gt;=$AK7,T$2&lt;=$AL7),IF($AM7&gt;=1,2,IF(T$2&lt;$AK7+($AL7-$AK7+1)*$AM7,2,3)),0)))</f>
        <v/>
      </c>
      <c r="U7" s="11">
        <f>IF($AP7="",0,IF($AO7="Yes",IF(U$2=$AK7,"◆",0),IF(AND(U$2&gt;=$AK7,U$2&lt;=$AL7),IF($AM7&gt;=1,2,IF(U$2&lt;$AK7+($AL7-$AK7+1)*$AM7,2,3)),0)))</f>
        <v/>
      </c>
      <c r="V7" s="11">
        <f>IF($AP7="",0,IF($AO7="Yes",IF(V$2=$AK7,"◆",0),IF(AND(V$2&gt;=$AK7,V$2&lt;=$AL7),IF($AM7&gt;=1,2,IF(V$2&lt;$AK7+($AL7-$AK7+1)*$AM7,2,3)),0)))</f>
        <v/>
      </c>
      <c r="W7" s="11">
        <f>IF($AP7="",0,IF($AO7="Yes",IF(W$2=$AK7,"◆",0),IF(AND(W$2&gt;=$AK7,W$2&lt;=$AL7),IF($AM7&gt;=1,2,IF(W$2&lt;$AK7+($AL7-$AK7+1)*$AM7,2,3)),0)))</f>
        <v/>
      </c>
      <c r="X7" s="11">
        <f>IF($AP7="",0,IF($AO7="Yes",IF(X$2=$AK7,"◆",0),IF(AND(X$2&gt;=$AK7,X$2&lt;=$AL7),IF($AM7&gt;=1,2,IF(X$2&lt;$AK7+($AL7-$AK7+1)*$AM7,2,3)),0)))</f>
        <v/>
      </c>
      <c r="Y7" s="11">
        <f>IF($AP7="",0,IF($AO7="Yes",IF(Y$2=$AK7,"◆",0),IF(AND(Y$2&gt;=$AK7,Y$2&lt;=$AL7),IF($AM7&gt;=1,2,IF(Y$2&lt;$AK7+($AL7-$AK7+1)*$AM7,2,3)),0)))</f>
        <v/>
      </c>
      <c r="Z7" s="11">
        <f>IF($AP7="",0,IF($AO7="Yes",IF(Z$2=$AK7,"◆",0),IF(AND(Z$2&gt;=$AK7,Z$2&lt;=$AL7),IF($AM7&gt;=1,2,IF(Z$2&lt;$AK7+($AL7-$AK7+1)*$AM7,2,3)),0)))</f>
        <v/>
      </c>
      <c r="AA7" s="11">
        <f>IF($AP7="",0,IF($AO7="Yes",IF(AA$2=$AK7,"◆",0),IF(AND(AA$2&gt;=$AK7,AA$2&lt;=$AL7),IF($AM7&gt;=1,2,IF(AA$2&lt;$AK7+($AL7-$AK7+1)*$AM7,2,3)),0)))</f>
        <v/>
      </c>
      <c r="AB7" s="11">
        <f>IF($AP7="",0,IF($AO7="Yes",IF(AB$2=$AK7,"◆",0),IF(AND(AB$2&gt;=$AK7,AB$2&lt;=$AL7),IF($AM7&gt;=1,2,IF(AB$2&lt;$AK7+($AL7-$AK7+1)*$AM7,2,3)),0)))</f>
        <v/>
      </c>
      <c r="AC7" s="11">
        <f>IF($AP7="",0,IF($AO7="Yes",IF(AC$2=$AK7,"◆",0),IF(AND(AC$2&gt;=$AK7,AC$2&lt;=$AL7),IF($AM7&gt;=1,2,IF(AC$2&lt;$AK7+($AL7-$AK7+1)*$AM7,2,3)),0)))</f>
        <v/>
      </c>
      <c r="AD7" s="11">
        <f>IF($AP7="",0,IF($AO7="Yes",IF(AD$2=$AK7,"◆",0),IF(AND(AD$2&gt;=$AK7,AD$2&lt;=$AL7),IF($AM7&gt;=1,2,IF(AD$2&lt;$AK7+($AL7-$AK7+1)*$AM7,2,3)),0)))</f>
        <v/>
      </c>
      <c r="AE7" s="11">
        <f>IF($AP7="",0,IF($AO7="Yes",IF(AE$2=$AK7,"◆",0),IF(AND(AE$2&gt;=$AK7,AE$2&lt;=$AL7),IF($AM7&gt;=1,2,IF(AE$2&lt;$AK7+($AL7-$AK7+1)*$AM7,2,3)),0)))</f>
        <v/>
      </c>
      <c r="AF7" s="11">
        <f>IF($AP7="",0,IF($AO7="Yes",IF(AF$2=$AK7,"◆",0),IF(AND(AF$2&gt;=$AK7,AF$2&lt;=$AL7),IF($AM7&gt;=1,2,IF(AF$2&lt;$AK7+($AL7-$AK7+1)*$AM7,2,3)),0)))</f>
        <v/>
      </c>
      <c r="AG7" s="11">
        <f>IF($AP7="",0,IF($AO7="Yes",IF(AG$2=$AK7,"◆",0),IF(AND(AG$2&gt;=$AK7,AG$2&lt;=$AL7),IF($AM7&gt;=1,2,IF(AG$2&lt;$AK7+($AL7-$AK7+1)*$AM7,2,3)),0)))</f>
        <v/>
      </c>
      <c r="AH7" s="11">
        <f>IF($AP7="",0,IF($AO7="Yes",IF(AH$2=$AK7,"◆",0),IF(AND(AH$2&gt;=$AK7,AH$2&lt;=$AL7),IF($AM7&gt;=1,2,IF(AH$2&lt;$AK7+($AL7-$AK7+1)*$AM7,2,3)),0)))</f>
        <v/>
      </c>
      <c r="AI7" s="11">
        <f>IF($AP7="",0,IF($AO7="Yes",IF(AI$2=$AK7,"◆",0),IF(AND(AI$2&gt;=$AK7,AI$2&lt;=$AL7),IF($AM7&gt;=1,2,IF(AI$2&lt;$AK7+($AL7-$AK7+1)*$AM7,2,3)),0)))</f>
        <v/>
      </c>
      <c r="AJ7" s="11">
        <f>IF($AP7="",0,IF($AO7="Yes",IF(AJ$2=$AK7,"◆",0),IF(AND(AJ$2&gt;=$AK7,AJ$2&lt;=$AL7),IF($AM7&gt;=1,2,IF(AJ$2&lt;$AK7+($AL7-$AK7+1)*$AM7,2,3)),0)))</f>
        <v/>
      </c>
      <c r="AK7">
        <f>IFERROR(INDEX(tblTasks[Start Date],ROW()-5),"")</f>
        <v/>
      </c>
      <c r="AL7">
        <f>IFERROR(INDEX(tblTasks[End Date],ROW()-5),"")</f>
        <v/>
      </c>
      <c r="AM7">
        <f>IFERROR(INDEX(tblTasks[Progress %],ROW()-5),0)</f>
        <v/>
      </c>
      <c r="AN7">
        <f>IFERROR(INDEX(tblTasks[Status],ROW()-5),"")</f>
        <v/>
      </c>
      <c r="AO7">
        <f>IFERROR(INDEX(tblTasks[Milestone],ROW()-5),"No")</f>
        <v/>
      </c>
      <c r="AP7">
        <f>IFERROR(INDEX(tblTasks[Task ID],ROW()-5),"")</f>
        <v/>
      </c>
      <c r="AQ7">
        <f>IFERROR(INDEX(tblTasks[Phase],ROW()-5),"")</f>
        <v/>
      </c>
    </row>
    <row r="8">
      <c r="A8" s="9">
        <f>IF($AP8="","",$AP8)</f>
        <v/>
      </c>
      <c r="B8" s="10">
        <f>IF($AP8="","",IF($AO8="Yes","◆ ","")&amp;INDEX(tblTasks[Task Name],ROW()-5))</f>
        <v/>
      </c>
      <c r="C8" s="11">
        <f>IF($AP8="",0,IF($AO8="Yes",IF(C$2=$AK8,"◆",0),IF(AND(C$2&gt;=$AK8,C$2&lt;=$AL8),IF($AM8&gt;=1,2,IF(C$2&lt;$AK8+($AL8-$AK8+1)*$AM8,2,3)),0)))</f>
        <v/>
      </c>
      <c r="D8" s="11">
        <f>IF($AP8="",0,IF($AO8="Yes",IF(D$2=$AK8,"◆",0),IF(AND(D$2&gt;=$AK8,D$2&lt;=$AL8),IF($AM8&gt;=1,2,IF(D$2&lt;$AK8+($AL8-$AK8+1)*$AM8,2,3)),0)))</f>
        <v/>
      </c>
      <c r="E8" s="11">
        <f>IF($AP8="",0,IF($AO8="Yes",IF(E$2=$AK8,"◆",0),IF(AND(E$2&gt;=$AK8,E$2&lt;=$AL8),IF($AM8&gt;=1,2,IF(E$2&lt;$AK8+($AL8-$AK8+1)*$AM8,2,3)),0)))</f>
        <v/>
      </c>
      <c r="F8" s="11">
        <f>IF($AP8="",0,IF($AO8="Yes",IF(F$2=$AK8,"◆",0),IF(AND(F$2&gt;=$AK8,F$2&lt;=$AL8),IF($AM8&gt;=1,2,IF(F$2&lt;$AK8+($AL8-$AK8+1)*$AM8,2,3)),0)))</f>
        <v/>
      </c>
      <c r="G8" s="11">
        <f>IF($AP8="",0,IF($AO8="Yes",IF(G$2=$AK8,"◆",0),IF(AND(G$2&gt;=$AK8,G$2&lt;=$AL8),IF($AM8&gt;=1,2,IF(G$2&lt;$AK8+($AL8-$AK8+1)*$AM8,2,3)),0)))</f>
        <v/>
      </c>
      <c r="H8" s="11">
        <f>IF($AP8="",0,IF($AO8="Yes",IF(H$2=$AK8,"◆",0),IF(AND(H$2&gt;=$AK8,H$2&lt;=$AL8),IF($AM8&gt;=1,2,IF(H$2&lt;$AK8+($AL8-$AK8+1)*$AM8,2,3)),0)))</f>
        <v/>
      </c>
      <c r="I8" s="11">
        <f>IF($AP8="",0,IF($AO8="Yes",IF(I$2=$AK8,"◆",0),IF(AND(I$2&gt;=$AK8,I$2&lt;=$AL8),IF($AM8&gt;=1,2,IF(I$2&lt;$AK8+($AL8-$AK8+1)*$AM8,2,3)),0)))</f>
        <v/>
      </c>
      <c r="J8" s="11">
        <f>IF($AP8="",0,IF($AO8="Yes",IF(J$2=$AK8,"◆",0),IF(AND(J$2&gt;=$AK8,J$2&lt;=$AL8),IF($AM8&gt;=1,2,IF(J$2&lt;$AK8+($AL8-$AK8+1)*$AM8,2,3)),0)))</f>
        <v/>
      </c>
      <c r="K8" s="11">
        <f>IF($AP8="",0,IF($AO8="Yes",IF(K$2=$AK8,"◆",0),IF(AND(K$2&gt;=$AK8,K$2&lt;=$AL8),IF($AM8&gt;=1,2,IF(K$2&lt;$AK8+($AL8-$AK8+1)*$AM8,2,3)),0)))</f>
        <v/>
      </c>
      <c r="L8" s="11">
        <f>IF($AP8="",0,IF($AO8="Yes",IF(L$2=$AK8,"◆",0),IF(AND(L$2&gt;=$AK8,L$2&lt;=$AL8),IF($AM8&gt;=1,2,IF(L$2&lt;$AK8+($AL8-$AK8+1)*$AM8,2,3)),0)))</f>
        <v/>
      </c>
      <c r="M8" s="11">
        <f>IF($AP8="",0,IF($AO8="Yes",IF(M$2=$AK8,"◆",0),IF(AND(M$2&gt;=$AK8,M$2&lt;=$AL8),IF($AM8&gt;=1,2,IF(M$2&lt;$AK8+($AL8-$AK8+1)*$AM8,2,3)),0)))</f>
        <v/>
      </c>
      <c r="N8" s="11">
        <f>IF($AP8="",0,IF($AO8="Yes",IF(N$2=$AK8,"◆",0),IF(AND(N$2&gt;=$AK8,N$2&lt;=$AL8),IF($AM8&gt;=1,2,IF(N$2&lt;$AK8+($AL8-$AK8+1)*$AM8,2,3)),0)))</f>
        <v/>
      </c>
      <c r="O8" s="11">
        <f>IF($AP8="",0,IF($AO8="Yes",IF(O$2=$AK8,"◆",0),IF(AND(O$2&gt;=$AK8,O$2&lt;=$AL8),IF($AM8&gt;=1,2,IF(O$2&lt;$AK8+($AL8-$AK8+1)*$AM8,2,3)),0)))</f>
        <v/>
      </c>
      <c r="P8" s="11">
        <f>IF($AP8="",0,IF($AO8="Yes",IF(P$2=$AK8,"◆",0),IF(AND(P$2&gt;=$AK8,P$2&lt;=$AL8),IF($AM8&gt;=1,2,IF(P$2&lt;$AK8+($AL8-$AK8+1)*$AM8,2,3)),0)))</f>
        <v/>
      </c>
      <c r="Q8" s="11">
        <f>IF($AP8="",0,IF($AO8="Yes",IF(Q$2=$AK8,"◆",0),IF(AND(Q$2&gt;=$AK8,Q$2&lt;=$AL8),IF($AM8&gt;=1,2,IF(Q$2&lt;$AK8+($AL8-$AK8+1)*$AM8,2,3)),0)))</f>
        <v/>
      </c>
      <c r="R8" s="11">
        <f>IF($AP8="",0,IF($AO8="Yes",IF(R$2=$AK8,"◆",0),IF(AND(R$2&gt;=$AK8,R$2&lt;=$AL8),IF($AM8&gt;=1,2,IF(R$2&lt;$AK8+($AL8-$AK8+1)*$AM8,2,3)),0)))</f>
        <v/>
      </c>
      <c r="S8" s="11">
        <f>IF($AP8="",0,IF($AO8="Yes",IF(S$2=$AK8,"◆",0),IF(AND(S$2&gt;=$AK8,S$2&lt;=$AL8),IF($AM8&gt;=1,2,IF(S$2&lt;$AK8+($AL8-$AK8+1)*$AM8,2,3)),0)))</f>
        <v/>
      </c>
      <c r="T8" s="11">
        <f>IF($AP8="",0,IF($AO8="Yes",IF(T$2=$AK8,"◆",0),IF(AND(T$2&gt;=$AK8,T$2&lt;=$AL8),IF($AM8&gt;=1,2,IF(T$2&lt;$AK8+($AL8-$AK8+1)*$AM8,2,3)),0)))</f>
        <v/>
      </c>
      <c r="U8" s="11">
        <f>IF($AP8="",0,IF($AO8="Yes",IF(U$2=$AK8,"◆",0),IF(AND(U$2&gt;=$AK8,U$2&lt;=$AL8),IF($AM8&gt;=1,2,IF(U$2&lt;$AK8+($AL8-$AK8+1)*$AM8,2,3)),0)))</f>
        <v/>
      </c>
      <c r="V8" s="11">
        <f>IF($AP8="",0,IF($AO8="Yes",IF(V$2=$AK8,"◆",0),IF(AND(V$2&gt;=$AK8,V$2&lt;=$AL8),IF($AM8&gt;=1,2,IF(V$2&lt;$AK8+($AL8-$AK8+1)*$AM8,2,3)),0)))</f>
        <v/>
      </c>
      <c r="W8" s="11">
        <f>IF($AP8="",0,IF($AO8="Yes",IF(W$2=$AK8,"◆",0),IF(AND(W$2&gt;=$AK8,W$2&lt;=$AL8),IF($AM8&gt;=1,2,IF(W$2&lt;$AK8+($AL8-$AK8+1)*$AM8,2,3)),0)))</f>
        <v/>
      </c>
      <c r="X8" s="11">
        <f>IF($AP8="",0,IF($AO8="Yes",IF(X$2=$AK8,"◆",0),IF(AND(X$2&gt;=$AK8,X$2&lt;=$AL8),IF($AM8&gt;=1,2,IF(X$2&lt;$AK8+($AL8-$AK8+1)*$AM8,2,3)),0)))</f>
        <v/>
      </c>
      <c r="Y8" s="11">
        <f>IF($AP8="",0,IF($AO8="Yes",IF(Y$2=$AK8,"◆",0),IF(AND(Y$2&gt;=$AK8,Y$2&lt;=$AL8),IF($AM8&gt;=1,2,IF(Y$2&lt;$AK8+($AL8-$AK8+1)*$AM8,2,3)),0)))</f>
        <v/>
      </c>
      <c r="Z8" s="11">
        <f>IF($AP8="",0,IF($AO8="Yes",IF(Z$2=$AK8,"◆",0),IF(AND(Z$2&gt;=$AK8,Z$2&lt;=$AL8),IF($AM8&gt;=1,2,IF(Z$2&lt;$AK8+($AL8-$AK8+1)*$AM8,2,3)),0)))</f>
        <v/>
      </c>
      <c r="AA8" s="11">
        <f>IF($AP8="",0,IF($AO8="Yes",IF(AA$2=$AK8,"◆",0),IF(AND(AA$2&gt;=$AK8,AA$2&lt;=$AL8),IF($AM8&gt;=1,2,IF(AA$2&lt;$AK8+($AL8-$AK8+1)*$AM8,2,3)),0)))</f>
        <v/>
      </c>
      <c r="AB8" s="11">
        <f>IF($AP8="",0,IF($AO8="Yes",IF(AB$2=$AK8,"◆",0),IF(AND(AB$2&gt;=$AK8,AB$2&lt;=$AL8),IF($AM8&gt;=1,2,IF(AB$2&lt;$AK8+($AL8-$AK8+1)*$AM8,2,3)),0)))</f>
        <v/>
      </c>
      <c r="AC8" s="11">
        <f>IF($AP8="",0,IF($AO8="Yes",IF(AC$2=$AK8,"◆",0),IF(AND(AC$2&gt;=$AK8,AC$2&lt;=$AL8),IF($AM8&gt;=1,2,IF(AC$2&lt;$AK8+($AL8-$AK8+1)*$AM8,2,3)),0)))</f>
        <v/>
      </c>
      <c r="AD8" s="11">
        <f>IF($AP8="",0,IF($AO8="Yes",IF(AD$2=$AK8,"◆",0),IF(AND(AD$2&gt;=$AK8,AD$2&lt;=$AL8),IF($AM8&gt;=1,2,IF(AD$2&lt;$AK8+($AL8-$AK8+1)*$AM8,2,3)),0)))</f>
        <v/>
      </c>
      <c r="AE8" s="11">
        <f>IF($AP8="",0,IF($AO8="Yes",IF(AE$2=$AK8,"◆",0),IF(AND(AE$2&gt;=$AK8,AE$2&lt;=$AL8),IF($AM8&gt;=1,2,IF(AE$2&lt;$AK8+($AL8-$AK8+1)*$AM8,2,3)),0)))</f>
        <v/>
      </c>
      <c r="AF8" s="11">
        <f>IF($AP8="",0,IF($AO8="Yes",IF(AF$2=$AK8,"◆",0),IF(AND(AF$2&gt;=$AK8,AF$2&lt;=$AL8),IF($AM8&gt;=1,2,IF(AF$2&lt;$AK8+($AL8-$AK8+1)*$AM8,2,3)),0)))</f>
        <v/>
      </c>
      <c r="AG8" s="11">
        <f>IF($AP8="",0,IF($AO8="Yes",IF(AG$2=$AK8,"◆",0),IF(AND(AG$2&gt;=$AK8,AG$2&lt;=$AL8),IF($AM8&gt;=1,2,IF(AG$2&lt;$AK8+($AL8-$AK8+1)*$AM8,2,3)),0)))</f>
        <v/>
      </c>
      <c r="AH8" s="11">
        <f>IF($AP8="",0,IF($AO8="Yes",IF(AH$2=$AK8,"◆",0),IF(AND(AH$2&gt;=$AK8,AH$2&lt;=$AL8),IF($AM8&gt;=1,2,IF(AH$2&lt;$AK8+($AL8-$AK8+1)*$AM8,2,3)),0)))</f>
        <v/>
      </c>
      <c r="AI8" s="11">
        <f>IF($AP8="",0,IF($AO8="Yes",IF(AI$2=$AK8,"◆",0),IF(AND(AI$2&gt;=$AK8,AI$2&lt;=$AL8),IF($AM8&gt;=1,2,IF(AI$2&lt;$AK8+($AL8-$AK8+1)*$AM8,2,3)),0)))</f>
        <v/>
      </c>
      <c r="AJ8" s="11">
        <f>IF($AP8="",0,IF($AO8="Yes",IF(AJ$2=$AK8,"◆",0),IF(AND(AJ$2&gt;=$AK8,AJ$2&lt;=$AL8),IF($AM8&gt;=1,2,IF(AJ$2&lt;$AK8+($AL8-$AK8+1)*$AM8,2,3)),0)))</f>
        <v/>
      </c>
      <c r="AK8">
        <f>IFERROR(INDEX(tblTasks[Start Date],ROW()-5),"")</f>
        <v/>
      </c>
      <c r="AL8">
        <f>IFERROR(INDEX(tblTasks[End Date],ROW()-5),"")</f>
        <v/>
      </c>
      <c r="AM8">
        <f>IFERROR(INDEX(tblTasks[Progress %],ROW()-5),0)</f>
        <v/>
      </c>
      <c r="AN8">
        <f>IFERROR(INDEX(tblTasks[Status],ROW()-5),"")</f>
        <v/>
      </c>
      <c r="AO8">
        <f>IFERROR(INDEX(tblTasks[Milestone],ROW()-5),"No")</f>
        <v/>
      </c>
      <c r="AP8">
        <f>IFERROR(INDEX(tblTasks[Task ID],ROW()-5),"")</f>
        <v/>
      </c>
      <c r="AQ8">
        <f>IFERROR(INDEX(tblTasks[Phase],ROW()-5),"")</f>
        <v/>
      </c>
    </row>
    <row r="9">
      <c r="A9" s="9">
        <f>IF($AP9="","",$AP9)</f>
        <v/>
      </c>
      <c r="B9" s="10">
        <f>IF($AP9="","",IF($AO9="Yes","◆ ","")&amp;INDEX(tblTasks[Task Name],ROW()-5))</f>
        <v/>
      </c>
      <c r="C9" s="11">
        <f>IF($AP9="",0,IF($AO9="Yes",IF(C$2=$AK9,"◆",0),IF(AND(C$2&gt;=$AK9,C$2&lt;=$AL9),IF($AM9&gt;=1,2,IF(C$2&lt;$AK9+($AL9-$AK9+1)*$AM9,2,3)),0)))</f>
        <v/>
      </c>
      <c r="D9" s="11">
        <f>IF($AP9="",0,IF($AO9="Yes",IF(D$2=$AK9,"◆",0),IF(AND(D$2&gt;=$AK9,D$2&lt;=$AL9),IF($AM9&gt;=1,2,IF(D$2&lt;$AK9+($AL9-$AK9+1)*$AM9,2,3)),0)))</f>
        <v/>
      </c>
      <c r="E9" s="11">
        <f>IF($AP9="",0,IF($AO9="Yes",IF(E$2=$AK9,"◆",0),IF(AND(E$2&gt;=$AK9,E$2&lt;=$AL9),IF($AM9&gt;=1,2,IF(E$2&lt;$AK9+($AL9-$AK9+1)*$AM9,2,3)),0)))</f>
        <v/>
      </c>
      <c r="F9" s="11">
        <f>IF($AP9="",0,IF($AO9="Yes",IF(F$2=$AK9,"◆",0),IF(AND(F$2&gt;=$AK9,F$2&lt;=$AL9),IF($AM9&gt;=1,2,IF(F$2&lt;$AK9+($AL9-$AK9+1)*$AM9,2,3)),0)))</f>
        <v/>
      </c>
      <c r="G9" s="11">
        <f>IF($AP9="",0,IF($AO9="Yes",IF(G$2=$AK9,"◆",0),IF(AND(G$2&gt;=$AK9,G$2&lt;=$AL9),IF($AM9&gt;=1,2,IF(G$2&lt;$AK9+($AL9-$AK9+1)*$AM9,2,3)),0)))</f>
        <v/>
      </c>
      <c r="H9" s="11">
        <f>IF($AP9="",0,IF($AO9="Yes",IF(H$2=$AK9,"◆",0),IF(AND(H$2&gt;=$AK9,H$2&lt;=$AL9),IF($AM9&gt;=1,2,IF(H$2&lt;$AK9+($AL9-$AK9+1)*$AM9,2,3)),0)))</f>
        <v/>
      </c>
      <c r="I9" s="11">
        <f>IF($AP9="",0,IF($AO9="Yes",IF(I$2=$AK9,"◆",0),IF(AND(I$2&gt;=$AK9,I$2&lt;=$AL9),IF($AM9&gt;=1,2,IF(I$2&lt;$AK9+($AL9-$AK9+1)*$AM9,2,3)),0)))</f>
        <v/>
      </c>
      <c r="J9" s="11">
        <f>IF($AP9="",0,IF($AO9="Yes",IF(J$2=$AK9,"◆",0),IF(AND(J$2&gt;=$AK9,J$2&lt;=$AL9),IF($AM9&gt;=1,2,IF(J$2&lt;$AK9+($AL9-$AK9+1)*$AM9,2,3)),0)))</f>
        <v/>
      </c>
      <c r="K9" s="11">
        <f>IF($AP9="",0,IF($AO9="Yes",IF(K$2=$AK9,"◆",0),IF(AND(K$2&gt;=$AK9,K$2&lt;=$AL9),IF($AM9&gt;=1,2,IF(K$2&lt;$AK9+($AL9-$AK9+1)*$AM9,2,3)),0)))</f>
        <v/>
      </c>
      <c r="L9" s="11">
        <f>IF($AP9="",0,IF($AO9="Yes",IF(L$2=$AK9,"◆",0),IF(AND(L$2&gt;=$AK9,L$2&lt;=$AL9),IF($AM9&gt;=1,2,IF(L$2&lt;$AK9+($AL9-$AK9+1)*$AM9,2,3)),0)))</f>
        <v/>
      </c>
      <c r="M9" s="11">
        <f>IF($AP9="",0,IF($AO9="Yes",IF(M$2=$AK9,"◆",0),IF(AND(M$2&gt;=$AK9,M$2&lt;=$AL9),IF($AM9&gt;=1,2,IF(M$2&lt;$AK9+($AL9-$AK9+1)*$AM9,2,3)),0)))</f>
        <v/>
      </c>
      <c r="N9" s="11">
        <f>IF($AP9="",0,IF($AO9="Yes",IF(N$2=$AK9,"◆",0),IF(AND(N$2&gt;=$AK9,N$2&lt;=$AL9),IF($AM9&gt;=1,2,IF(N$2&lt;$AK9+($AL9-$AK9+1)*$AM9,2,3)),0)))</f>
        <v/>
      </c>
      <c r="O9" s="11">
        <f>IF($AP9="",0,IF($AO9="Yes",IF(O$2=$AK9,"◆",0),IF(AND(O$2&gt;=$AK9,O$2&lt;=$AL9),IF($AM9&gt;=1,2,IF(O$2&lt;$AK9+($AL9-$AK9+1)*$AM9,2,3)),0)))</f>
        <v/>
      </c>
      <c r="P9" s="11">
        <f>IF($AP9="",0,IF($AO9="Yes",IF(P$2=$AK9,"◆",0),IF(AND(P$2&gt;=$AK9,P$2&lt;=$AL9),IF($AM9&gt;=1,2,IF(P$2&lt;$AK9+($AL9-$AK9+1)*$AM9,2,3)),0)))</f>
        <v/>
      </c>
      <c r="Q9" s="11">
        <f>IF($AP9="",0,IF($AO9="Yes",IF(Q$2=$AK9,"◆",0),IF(AND(Q$2&gt;=$AK9,Q$2&lt;=$AL9),IF($AM9&gt;=1,2,IF(Q$2&lt;$AK9+($AL9-$AK9+1)*$AM9,2,3)),0)))</f>
        <v/>
      </c>
      <c r="R9" s="11">
        <f>IF($AP9="",0,IF($AO9="Yes",IF(R$2=$AK9,"◆",0),IF(AND(R$2&gt;=$AK9,R$2&lt;=$AL9),IF($AM9&gt;=1,2,IF(R$2&lt;$AK9+($AL9-$AK9+1)*$AM9,2,3)),0)))</f>
        <v/>
      </c>
      <c r="S9" s="11">
        <f>IF($AP9="",0,IF($AO9="Yes",IF(S$2=$AK9,"◆",0),IF(AND(S$2&gt;=$AK9,S$2&lt;=$AL9),IF($AM9&gt;=1,2,IF(S$2&lt;$AK9+($AL9-$AK9+1)*$AM9,2,3)),0)))</f>
        <v/>
      </c>
      <c r="T9" s="11">
        <f>IF($AP9="",0,IF($AO9="Yes",IF(T$2=$AK9,"◆",0),IF(AND(T$2&gt;=$AK9,T$2&lt;=$AL9),IF($AM9&gt;=1,2,IF(T$2&lt;$AK9+($AL9-$AK9+1)*$AM9,2,3)),0)))</f>
        <v/>
      </c>
      <c r="U9" s="11">
        <f>IF($AP9="",0,IF($AO9="Yes",IF(U$2=$AK9,"◆",0),IF(AND(U$2&gt;=$AK9,U$2&lt;=$AL9),IF($AM9&gt;=1,2,IF(U$2&lt;$AK9+($AL9-$AK9+1)*$AM9,2,3)),0)))</f>
        <v/>
      </c>
      <c r="V9" s="11">
        <f>IF($AP9="",0,IF($AO9="Yes",IF(V$2=$AK9,"◆",0),IF(AND(V$2&gt;=$AK9,V$2&lt;=$AL9),IF($AM9&gt;=1,2,IF(V$2&lt;$AK9+($AL9-$AK9+1)*$AM9,2,3)),0)))</f>
        <v/>
      </c>
      <c r="W9" s="11">
        <f>IF($AP9="",0,IF($AO9="Yes",IF(W$2=$AK9,"◆",0),IF(AND(W$2&gt;=$AK9,W$2&lt;=$AL9),IF($AM9&gt;=1,2,IF(W$2&lt;$AK9+($AL9-$AK9+1)*$AM9,2,3)),0)))</f>
        <v/>
      </c>
      <c r="X9" s="11">
        <f>IF($AP9="",0,IF($AO9="Yes",IF(X$2=$AK9,"◆",0),IF(AND(X$2&gt;=$AK9,X$2&lt;=$AL9),IF($AM9&gt;=1,2,IF(X$2&lt;$AK9+($AL9-$AK9+1)*$AM9,2,3)),0)))</f>
        <v/>
      </c>
      <c r="Y9" s="11">
        <f>IF($AP9="",0,IF($AO9="Yes",IF(Y$2=$AK9,"◆",0),IF(AND(Y$2&gt;=$AK9,Y$2&lt;=$AL9),IF($AM9&gt;=1,2,IF(Y$2&lt;$AK9+($AL9-$AK9+1)*$AM9,2,3)),0)))</f>
        <v/>
      </c>
      <c r="Z9" s="11">
        <f>IF($AP9="",0,IF($AO9="Yes",IF(Z$2=$AK9,"◆",0),IF(AND(Z$2&gt;=$AK9,Z$2&lt;=$AL9),IF($AM9&gt;=1,2,IF(Z$2&lt;$AK9+($AL9-$AK9+1)*$AM9,2,3)),0)))</f>
        <v/>
      </c>
      <c r="AA9" s="11">
        <f>IF($AP9="",0,IF($AO9="Yes",IF(AA$2=$AK9,"◆",0),IF(AND(AA$2&gt;=$AK9,AA$2&lt;=$AL9),IF($AM9&gt;=1,2,IF(AA$2&lt;$AK9+($AL9-$AK9+1)*$AM9,2,3)),0)))</f>
        <v/>
      </c>
      <c r="AB9" s="11">
        <f>IF($AP9="",0,IF($AO9="Yes",IF(AB$2=$AK9,"◆",0),IF(AND(AB$2&gt;=$AK9,AB$2&lt;=$AL9),IF($AM9&gt;=1,2,IF(AB$2&lt;$AK9+($AL9-$AK9+1)*$AM9,2,3)),0)))</f>
        <v/>
      </c>
      <c r="AC9" s="11">
        <f>IF($AP9="",0,IF($AO9="Yes",IF(AC$2=$AK9,"◆",0),IF(AND(AC$2&gt;=$AK9,AC$2&lt;=$AL9),IF($AM9&gt;=1,2,IF(AC$2&lt;$AK9+($AL9-$AK9+1)*$AM9,2,3)),0)))</f>
        <v/>
      </c>
      <c r="AD9" s="11">
        <f>IF($AP9="",0,IF($AO9="Yes",IF(AD$2=$AK9,"◆",0),IF(AND(AD$2&gt;=$AK9,AD$2&lt;=$AL9),IF($AM9&gt;=1,2,IF(AD$2&lt;$AK9+($AL9-$AK9+1)*$AM9,2,3)),0)))</f>
        <v/>
      </c>
      <c r="AE9" s="11">
        <f>IF($AP9="",0,IF($AO9="Yes",IF(AE$2=$AK9,"◆",0),IF(AND(AE$2&gt;=$AK9,AE$2&lt;=$AL9),IF($AM9&gt;=1,2,IF(AE$2&lt;$AK9+($AL9-$AK9+1)*$AM9,2,3)),0)))</f>
        <v/>
      </c>
      <c r="AF9" s="11">
        <f>IF($AP9="",0,IF($AO9="Yes",IF(AF$2=$AK9,"◆",0),IF(AND(AF$2&gt;=$AK9,AF$2&lt;=$AL9),IF($AM9&gt;=1,2,IF(AF$2&lt;$AK9+($AL9-$AK9+1)*$AM9,2,3)),0)))</f>
        <v/>
      </c>
      <c r="AG9" s="11">
        <f>IF($AP9="",0,IF($AO9="Yes",IF(AG$2=$AK9,"◆",0),IF(AND(AG$2&gt;=$AK9,AG$2&lt;=$AL9),IF($AM9&gt;=1,2,IF(AG$2&lt;$AK9+($AL9-$AK9+1)*$AM9,2,3)),0)))</f>
        <v/>
      </c>
      <c r="AH9" s="11">
        <f>IF($AP9="",0,IF($AO9="Yes",IF(AH$2=$AK9,"◆",0),IF(AND(AH$2&gt;=$AK9,AH$2&lt;=$AL9),IF($AM9&gt;=1,2,IF(AH$2&lt;$AK9+($AL9-$AK9+1)*$AM9,2,3)),0)))</f>
        <v/>
      </c>
      <c r="AI9" s="11">
        <f>IF($AP9="",0,IF($AO9="Yes",IF(AI$2=$AK9,"◆",0),IF(AND(AI$2&gt;=$AK9,AI$2&lt;=$AL9),IF($AM9&gt;=1,2,IF(AI$2&lt;$AK9+($AL9-$AK9+1)*$AM9,2,3)),0)))</f>
        <v/>
      </c>
      <c r="AJ9" s="11">
        <f>IF($AP9="",0,IF($AO9="Yes",IF(AJ$2=$AK9,"◆",0),IF(AND(AJ$2&gt;=$AK9,AJ$2&lt;=$AL9),IF($AM9&gt;=1,2,IF(AJ$2&lt;$AK9+($AL9-$AK9+1)*$AM9,2,3)),0)))</f>
        <v/>
      </c>
      <c r="AK9">
        <f>IFERROR(INDEX(tblTasks[Start Date],ROW()-5),"")</f>
        <v/>
      </c>
      <c r="AL9">
        <f>IFERROR(INDEX(tblTasks[End Date],ROW()-5),"")</f>
        <v/>
      </c>
      <c r="AM9">
        <f>IFERROR(INDEX(tblTasks[Progress %],ROW()-5),0)</f>
        <v/>
      </c>
      <c r="AN9">
        <f>IFERROR(INDEX(tblTasks[Status],ROW()-5),"")</f>
        <v/>
      </c>
      <c r="AO9">
        <f>IFERROR(INDEX(tblTasks[Milestone],ROW()-5),"No")</f>
        <v/>
      </c>
      <c r="AP9">
        <f>IFERROR(INDEX(tblTasks[Task ID],ROW()-5),"")</f>
        <v/>
      </c>
      <c r="AQ9">
        <f>IFERROR(INDEX(tblTasks[Phase],ROW()-5),"")</f>
        <v/>
      </c>
    </row>
    <row r="10">
      <c r="A10" s="9">
        <f>IF($AP10="","",$AP10)</f>
        <v/>
      </c>
      <c r="B10" s="10">
        <f>IF($AP10="","",IF($AO10="Yes","◆ ","")&amp;INDEX(tblTasks[Task Name],ROW()-5))</f>
        <v/>
      </c>
      <c r="C10" s="11">
        <f>IF($AP10="",0,IF($AO10="Yes",IF(C$2=$AK10,"◆",0),IF(AND(C$2&gt;=$AK10,C$2&lt;=$AL10),IF($AM10&gt;=1,2,IF(C$2&lt;$AK10+($AL10-$AK10+1)*$AM10,2,3)),0)))</f>
        <v/>
      </c>
      <c r="D10" s="11">
        <f>IF($AP10="",0,IF($AO10="Yes",IF(D$2=$AK10,"◆",0),IF(AND(D$2&gt;=$AK10,D$2&lt;=$AL10),IF($AM10&gt;=1,2,IF(D$2&lt;$AK10+($AL10-$AK10+1)*$AM10,2,3)),0)))</f>
        <v/>
      </c>
      <c r="E10" s="11">
        <f>IF($AP10="",0,IF($AO10="Yes",IF(E$2=$AK10,"◆",0),IF(AND(E$2&gt;=$AK10,E$2&lt;=$AL10),IF($AM10&gt;=1,2,IF(E$2&lt;$AK10+($AL10-$AK10+1)*$AM10,2,3)),0)))</f>
        <v/>
      </c>
      <c r="F10" s="11">
        <f>IF($AP10="",0,IF($AO10="Yes",IF(F$2=$AK10,"◆",0),IF(AND(F$2&gt;=$AK10,F$2&lt;=$AL10),IF($AM10&gt;=1,2,IF(F$2&lt;$AK10+($AL10-$AK10+1)*$AM10,2,3)),0)))</f>
        <v/>
      </c>
      <c r="G10" s="11">
        <f>IF($AP10="",0,IF($AO10="Yes",IF(G$2=$AK10,"◆",0),IF(AND(G$2&gt;=$AK10,G$2&lt;=$AL10),IF($AM10&gt;=1,2,IF(G$2&lt;$AK10+($AL10-$AK10+1)*$AM10,2,3)),0)))</f>
        <v/>
      </c>
      <c r="H10" s="11">
        <f>IF($AP10="",0,IF($AO10="Yes",IF(H$2=$AK10,"◆",0),IF(AND(H$2&gt;=$AK10,H$2&lt;=$AL10),IF($AM10&gt;=1,2,IF(H$2&lt;$AK10+($AL10-$AK10+1)*$AM10,2,3)),0)))</f>
        <v/>
      </c>
      <c r="I10" s="11">
        <f>IF($AP10="",0,IF($AO10="Yes",IF(I$2=$AK10,"◆",0),IF(AND(I$2&gt;=$AK10,I$2&lt;=$AL10),IF($AM10&gt;=1,2,IF(I$2&lt;$AK10+($AL10-$AK10+1)*$AM10,2,3)),0)))</f>
        <v/>
      </c>
      <c r="J10" s="11">
        <f>IF($AP10="",0,IF($AO10="Yes",IF(J$2=$AK10,"◆",0),IF(AND(J$2&gt;=$AK10,J$2&lt;=$AL10),IF($AM10&gt;=1,2,IF(J$2&lt;$AK10+($AL10-$AK10+1)*$AM10,2,3)),0)))</f>
        <v/>
      </c>
      <c r="K10" s="11">
        <f>IF($AP10="",0,IF($AO10="Yes",IF(K$2=$AK10,"◆",0),IF(AND(K$2&gt;=$AK10,K$2&lt;=$AL10),IF($AM10&gt;=1,2,IF(K$2&lt;$AK10+($AL10-$AK10+1)*$AM10,2,3)),0)))</f>
        <v/>
      </c>
      <c r="L10" s="11">
        <f>IF($AP10="",0,IF($AO10="Yes",IF(L$2=$AK10,"◆",0),IF(AND(L$2&gt;=$AK10,L$2&lt;=$AL10),IF($AM10&gt;=1,2,IF(L$2&lt;$AK10+($AL10-$AK10+1)*$AM10,2,3)),0)))</f>
        <v/>
      </c>
      <c r="M10" s="11">
        <f>IF($AP10="",0,IF($AO10="Yes",IF(M$2=$AK10,"◆",0),IF(AND(M$2&gt;=$AK10,M$2&lt;=$AL10),IF($AM10&gt;=1,2,IF(M$2&lt;$AK10+($AL10-$AK10+1)*$AM10,2,3)),0)))</f>
        <v/>
      </c>
      <c r="N10" s="11">
        <f>IF($AP10="",0,IF($AO10="Yes",IF(N$2=$AK10,"◆",0),IF(AND(N$2&gt;=$AK10,N$2&lt;=$AL10),IF($AM10&gt;=1,2,IF(N$2&lt;$AK10+($AL10-$AK10+1)*$AM10,2,3)),0)))</f>
        <v/>
      </c>
      <c r="O10" s="11">
        <f>IF($AP10="",0,IF($AO10="Yes",IF(O$2=$AK10,"◆",0),IF(AND(O$2&gt;=$AK10,O$2&lt;=$AL10),IF($AM10&gt;=1,2,IF(O$2&lt;$AK10+($AL10-$AK10+1)*$AM10,2,3)),0)))</f>
        <v/>
      </c>
      <c r="P10" s="11">
        <f>IF($AP10="",0,IF($AO10="Yes",IF(P$2=$AK10,"◆",0),IF(AND(P$2&gt;=$AK10,P$2&lt;=$AL10),IF($AM10&gt;=1,2,IF(P$2&lt;$AK10+($AL10-$AK10+1)*$AM10,2,3)),0)))</f>
        <v/>
      </c>
      <c r="Q10" s="11">
        <f>IF($AP10="",0,IF($AO10="Yes",IF(Q$2=$AK10,"◆",0),IF(AND(Q$2&gt;=$AK10,Q$2&lt;=$AL10),IF($AM10&gt;=1,2,IF(Q$2&lt;$AK10+($AL10-$AK10+1)*$AM10,2,3)),0)))</f>
        <v/>
      </c>
      <c r="R10" s="11">
        <f>IF($AP10="",0,IF($AO10="Yes",IF(R$2=$AK10,"◆",0),IF(AND(R$2&gt;=$AK10,R$2&lt;=$AL10),IF($AM10&gt;=1,2,IF(R$2&lt;$AK10+($AL10-$AK10+1)*$AM10,2,3)),0)))</f>
        <v/>
      </c>
      <c r="S10" s="11">
        <f>IF($AP10="",0,IF($AO10="Yes",IF(S$2=$AK10,"◆",0),IF(AND(S$2&gt;=$AK10,S$2&lt;=$AL10),IF($AM10&gt;=1,2,IF(S$2&lt;$AK10+($AL10-$AK10+1)*$AM10,2,3)),0)))</f>
        <v/>
      </c>
      <c r="T10" s="11">
        <f>IF($AP10="",0,IF($AO10="Yes",IF(T$2=$AK10,"◆",0),IF(AND(T$2&gt;=$AK10,T$2&lt;=$AL10),IF($AM10&gt;=1,2,IF(T$2&lt;$AK10+($AL10-$AK10+1)*$AM10,2,3)),0)))</f>
        <v/>
      </c>
      <c r="U10" s="11">
        <f>IF($AP10="",0,IF($AO10="Yes",IF(U$2=$AK10,"◆",0),IF(AND(U$2&gt;=$AK10,U$2&lt;=$AL10),IF($AM10&gt;=1,2,IF(U$2&lt;$AK10+($AL10-$AK10+1)*$AM10,2,3)),0)))</f>
        <v/>
      </c>
      <c r="V10" s="11">
        <f>IF($AP10="",0,IF($AO10="Yes",IF(V$2=$AK10,"◆",0),IF(AND(V$2&gt;=$AK10,V$2&lt;=$AL10),IF($AM10&gt;=1,2,IF(V$2&lt;$AK10+($AL10-$AK10+1)*$AM10,2,3)),0)))</f>
        <v/>
      </c>
      <c r="W10" s="11">
        <f>IF($AP10="",0,IF($AO10="Yes",IF(W$2=$AK10,"◆",0),IF(AND(W$2&gt;=$AK10,W$2&lt;=$AL10),IF($AM10&gt;=1,2,IF(W$2&lt;$AK10+($AL10-$AK10+1)*$AM10,2,3)),0)))</f>
        <v/>
      </c>
      <c r="X10" s="11">
        <f>IF($AP10="",0,IF($AO10="Yes",IF(X$2=$AK10,"◆",0),IF(AND(X$2&gt;=$AK10,X$2&lt;=$AL10),IF($AM10&gt;=1,2,IF(X$2&lt;$AK10+($AL10-$AK10+1)*$AM10,2,3)),0)))</f>
        <v/>
      </c>
      <c r="Y10" s="11">
        <f>IF($AP10="",0,IF($AO10="Yes",IF(Y$2=$AK10,"◆",0),IF(AND(Y$2&gt;=$AK10,Y$2&lt;=$AL10),IF($AM10&gt;=1,2,IF(Y$2&lt;$AK10+($AL10-$AK10+1)*$AM10,2,3)),0)))</f>
        <v/>
      </c>
      <c r="Z10" s="11">
        <f>IF($AP10="",0,IF($AO10="Yes",IF(Z$2=$AK10,"◆",0),IF(AND(Z$2&gt;=$AK10,Z$2&lt;=$AL10),IF($AM10&gt;=1,2,IF(Z$2&lt;$AK10+($AL10-$AK10+1)*$AM10,2,3)),0)))</f>
        <v/>
      </c>
      <c r="AA10" s="11">
        <f>IF($AP10="",0,IF($AO10="Yes",IF(AA$2=$AK10,"◆",0),IF(AND(AA$2&gt;=$AK10,AA$2&lt;=$AL10),IF($AM10&gt;=1,2,IF(AA$2&lt;$AK10+($AL10-$AK10+1)*$AM10,2,3)),0)))</f>
        <v/>
      </c>
      <c r="AB10" s="11">
        <f>IF($AP10="",0,IF($AO10="Yes",IF(AB$2=$AK10,"◆",0),IF(AND(AB$2&gt;=$AK10,AB$2&lt;=$AL10),IF($AM10&gt;=1,2,IF(AB$2&lt;$AK10+($AL10-$AK10+1)*$AM10,2,3)),0)))</f>
        <v/>
      </c>
      <c r="AC10" s="11">
        <f>IF($AP10="",0,IF($AO10="Yes",IF(AC$2=$AK10,"◆",0),IF(AND(AC$2&gt;=$AK10,AC$2&lt;=$AL10),IF($AM10&gt;=1,2,IF(AC$2&lt;$AK10+($AL10-$AK10+1)*$AM10,2,3)),0)))</f>
        <v/>
      </c>
      <c r="AD10" s="11">
        <f>IF($AP10="",0,IF($AO10="Yes",IF(AD$2=$AK10,"◆",0),IF(AND(AD$2&gt;=$AK10,AD$2&lt;=$AL10),IF($AM10&gt;=1,2,IF(AD$2&lt;$AK10+($AL10-$AK10+1)*$AM10,2,3)),0)))</f>
        <v/>
      </c>
      <c r="AE10" s="11">
        <f>IF($AP10="",0,IF($AO10="Yes",IF(AE$2=$AK10,"◆",0),IF(AND(AE$2&gt;=$AK10,AE$2&lt;=$AL10),IF($AM10&gt;=1,2,IF(AE$2&lt;$AK10+($AL10-$AK10+1)*$AM10,2,3)),0)))</f>
        <v/>
      </c>
      <c r="AF10" s="11">
        <f>IF($AP10="",0,IF($AO10="Yes",IF(AF$2=$AK10,"◆",0),IF(AND(AF$2&gt;=$AK10,AF$2&lt;=$AL10),IF($AM10&gt;=1,2,IF(AF$2&lt;$AK10+($AL10-$AK10+1)*$AM10,2,3)),0)))</f>
        <v/>
      </c>
      <c r="AG10" s="11">
        <f>IF($AP10="",0,IF($AO10="Yes",IF(AG$2=$AK10,"◆",0),IF(AND(AG$2&gt;=$AK10,AG$2&lt;=$AL10),IF($AM10&gt;=1,2,IF(AG$2&lt;$AK10+($AL10-$AK10+1)*$AM10,2,3)),0)))</f>
        <v/>
      </c>
      <c r="AH10" s="11">
        <f>IF($AP10="",0,IF($AO10="Yes",IF(AH$2=$AK10,"◆",0),IF(AND(AH$2&gt;=$AK10,AH$2&lt;=$AL10),IF($AM10&gt;=1,2,IF(AH$2&lt;$AK10+($AL10-$AK10+1)*$AM10,2,3)),0)))</f>
        <v/>
      </c>
      <c r="AI10" s="11">
        <f>IF($AP10="",0,IF($AO10="Yes",IF(AI$2=$AK10,"◆",0),IF(AND(AI$2&gt;=$AK10,AI$2&lt;=$AL10),IF($AM10&gt;=1,2,IF(AI$2&lt;$AK10+($AL10-$AK10+1)*$AM10,2,3)),0)))</f>
        <v/>
      </c>
      <c r="AJ10" s="11">
        <f>IF($AP10="",0,IF($AO10="Yes",IF(AJ$2=$AK10,"◆",0),IF(AND(AJ$2&gt;=$AK10,AJ$2&lt;=$AL10),IF($AM10&gt;=1,2,IF(AJ$2&lt;$AK10+($AL10-$AK10+1)*$AM10,2,3)),0)))</f>
        <v/>
      </c>
      <c r="AK10">
        <f>IFERROR(INDEX(tblTasks[Start Date],ROW()-5),"")</f>
        <v/>
      </c>
      <c r="AL10">
        <f>IFERROR(INDEX(tblTasks[End Date],ROW()-5),"")</f>
        <v/>
      </c>
      <c r="AM10">
        <f>IFERROR(INDEX(tblTasks[Progress %],ROW()-5),0)</f>
        <v/>
      </c>
      <c r="AN10">
        <f>IFERROR(INDEX(tblTasks[Status],ROW()-5),"")</f>
        <v/>
      </c>
      <c r="AO10">
        <f>IFERROR(INDEX(tblTasks[Milestone],ROW()-5),"No")</f>
        <v/>
      </c>
      <c r="AP10">
        <f>IFERROR(INDEX(tblTasks[Task ID],ROW()-5),"")</f>
        <v/>
      </c>
      <c r="AQ10">
        <f>IFERROR(INDEX(tblTasks[Phase],ROW()-5),"")</f>
        <v/>
      </c>
    </row>
    <row r="11">
      <c r="A11" s="9">
        <f>IF($AP11="","",$AP11)</f>
        <v/>
      </c>
      <c r="B11" s="10">
        <f>IF($AP11="","",IF($AO11="Yes","◆ ","")&amp;INDEX(tblTasks[Task Name],ROW()-5))</f>
        <v/>
      </c>
      <c r="C11" s="11">
        <f>IF($AP11="",0,IF($AO11="Yes",IF(C$2=$AK11,"◆",0),IF(AND(C$2&gt;=$AK11,C$2&lt;=$AL11),IF($AM11&gt;=1,2,IF(C$2&lt;$AK11+($AL11-$AK11+1)*$AM11,2,3)),0)))</f>
        <v/>
      </c>
      <c r="D11" s="11">
        <f>IF($AP11="",0,IF($AO11="Yes",IF(D$2=$AK11,"◆",0),IF(AND(D$2&gt;=$AK11,D$2&lt;=$AL11),IF($AM11&gt;=1,2,IF(D$2&lt;$AK11+($AL11-$AK11+1)*$AM11,2,3)),0)))</f>
        <v/>
      </c>
      <c r="E11" s="11">
        <f>IF($AP11="",0,IF($AO11="Yes",IF(E$2=$AK11,"◆",0),IF(AND(E$2&gt;=$AK11,E$2&lt;=$AL11),IF($AM11&gt;=1,2,IF(E$2&lt;$AK11+($AL11-$AK11+1)*$AM11,2,3)),0)))</f>
        <v/>
      </c>
      <c r="F11" s="11">
        <f>IF($AP11="",0,IF($AO11="Yes",IF(F$2=$AK11,"◆",0),IF(AND(F$2&gt;=$AK11,F$2&lt;=$AL11),IF($AM11&gt;=1,2,IF(F$2&lt;$AK11+($AL11-$AK11+1)*$AM11,2,3)),0)))</f>
        <v/>
      </c>
      <c r="G11" s="11">
        <f>IF($AP11="",0,IF($AO11="Yes",IF(G$2=$AK11,"◆",0),IF(AND(G$2&gt;=$AK11,G$2&lt;=$AL11),IF($AM11&gt;=1,2,IF(G$2&lt;$AK11+($AL11-$AK11+1)*$AM11,2,3)),0)))</f>
        <v/>
      </c>
      <c r="H11" s="11">
        <f>IF($AP11="",0,IF($AO11="Yes",IF(H$2=$AK11,"◆",0),IF(AND(H$2&gt;=$AK11,H$2&lt;=$AL11),IF($AM11&gt;=1,2,IF(H$2&lt;$AK11+($AL11-$AK11+1)*$AM11,2,3)),0)))</f>
        <v/>
      </c>
      <c r="I11" s="11">
        <f>IF($AP11="",0,IF($AO11="Yes",IF(I$2=$AK11,"◆",0),IF(AND(I$2&gt;=$AK11,I$2&lt;=$AL11),IF($AM11&gt;=1,2,IF(I$2&lt;$AK11+($AL11-$AK11+1)*$AM11,2,3)),0)))</f>
        <v/>
      </c>
      <c r="J11" s="11">
        <f>IF($AP11="",0,IF($AO11="Yes",IF(J$2=$AK11,"◆",0),IF(AND(J$2&gt;=$AK11,J$2&lt;=$AL11),IF($AM11&gt;=1,2,IF(J$2&lt;$AK11+($AL11-$AK11+1)*$AM11,2,3)),0)))</f>
        <v/>
      </c>
      <c r="K11" s="11">
        <f>IF($AP11="",0,IF($AO11="Yes",IF(K$2=$AK11,"◆",0),IF(AND(K$2&gt;=$AK11,K$2&lt;=$AL11),IF($AM11&gt;=1,2,IF(K$2&lt;$AK11+($AL11-$AK11+1)*$AM11,2,3)),0)))</f>
        <v/>
      </c>
      <c r="L11" s="11">
        <f>IF($AP11="",0,IF($AO11="Yes",IF(L$2=$AK11,"◆",0),IF(AND(L$2&gt;=$AK11,L$2&lt;=$AL11),IF($AM11&gt;=1,2,IF(L$2&lt;$AK11+($AL11-$AK11+1)*$AM11,2,3)),0)))</f>
        <v/>
      </c>
      <c r="M11" s="11">
        <f>IF($AP11="",0,IF($AO11="Yes",IF(M$2=$AK11,"◆",0),IF(AND(M$2&gt;=$AK11,M$2&lt;=$AL11),IF($AM11&gt;=1,2,IF(M$2&lt;$AK11+($AL11-$AK11+1)*$AM11,2,3)),0)))</f>
        <v/>
      </c>
      <c r="N11" s="11">
        <f>IF($AP11="",0,IF($AO11="Yes",IF(N$2=$AK11,"◆",0),IF(AND(N$2&gt;=$AK11,N$2&lt;=$AL11),IF($AM11&gt;=1,2,IF(N$2&lt;$AK11+($AL11-$AK11+1)*$AM11,2,3)),0)))</f>
        <v/>
      </c>
      <c r="O11" s="11">
        <f>IF($AP11="",0,IF($AO11="Yes",IF(O$2=$AK11,"◆",0),IF(AND(O$2&gt;=$AK11,O$2&lt;=$AL11),IF($AM11&gt;=1,2,IF(O$2&lt;$AK11+($AL11-$AK11+1)*$AM11,2,3)),0)))</f>
        <v/>
      </c>
      <c r="P11" s="11">
        <f>IF($AP11="",0,IF($AO11="Yes",IF(P$2=$AK11,"◆",0),IF(AND(P$2&gt;=$AK11,P$2&lt;=$AL11),IF($AM11&gt;=1,2,IF(P$2&lt;$AK11+($AL11-$AK11+1)*$AM11,2,3)),0)))</f>
        <v/>
      </c>
      <c r="Q11" s="11">
        <f>IF($AP11="",0,IF($AO11="Yes",IF(Q$2=$AK11,"◆",0),IF(AND(Q$2&gt;=$AK11,Q$2&lt;=$AL11),IF($AM11&gt;=1,2,IF(Q$2&lt;$AK11+($AL11-$AK11+1)*$AM11,2,3)),0)))</f>
        <v/>
      </c>
      <c r="R11" s="11">
        <f>IF($AP11="",0,IF($AO11="Yes",IF(R$2=$AK11,"◆",0),IF(AND(R$2&gt;=$AK11,R$2&lt;=$AL11),IF($AM11&gt;=1,2,IF(R$2&lt;$AK11+($AL11-$AK11+1)*$AM11,2,3)),0)))</f>
        <v/>
      </c>
      <c r="S11" s="11">
        <f>IF($AP11="",0,IF($AO11="Yes",IF(S$2=$AK11,"◆",0),IF(AND(S$2&gt;=$AK11,S$2&lt;=$AL11),IF($AM11&gt;=1,2,IF(S$2&lt;$AK11+($AL11-$AK11+1)*$AM11,2,3)),0)))</f>
        <v/>
      </c>
      <c r="T11" s="11">
        <f>IF($AP11="",0,IF($AO11="Yes",IF(T$2=$AK11,"◆",0),IF(AND(T$2&gt;=$AK11,T$2&lt;=$AL11),IF($AM11&gt;=1,2,IF(T$2&lt;$AK11+($AL11-$AK11+1)*$AM11,2,3)),0)))</f>
        <v/>
      </c>
      <c r="U11" s="11">
        <f>IF($AP11="",0,IF($AO11="Yes",IF(U$2=$AK11,"◆",0),IF(AND(U$2&gt;=$AK11,U$2&lt;=$AL11),IF($AM11&gt;=1,2,IF(U$2&lt;$AK11+($AL11-$AK11+1)*$AM11,2,3)),0)))</f>
        <v/>
      </c>
      <c r="V11" s="11">
        <f>IF($AP11="",0,IF($AO11="Yes",IF(V$2=$AK11,"◆",0),IF(AND(V$2&gt;=$AK11,V$2&lt;=$AL11),IF($AM11&gt;=1,2,IF(V$2&lt;$AK11+($AL11-$AK11+1)*$AM11,2,3)),0)))</f>
        <v/>
      </c>
      <c r="W11" s="11">
        <f>IF($AP11="",0,IF($AO11="Yes",IF(W$2=$AK11,"◆",0),IF(AND(W$2&gt;=$AK11,W$2&lt;=$AL11),IF($AM11&gt;=1,2,IF(W$2&lt;$AK11+($AL11-$AK11+1)*$AM11,2,3)),0)))</f>
        <v/>
      </c>
      <c r="X11" s="11">
        <f>IF($AP11="",0,IF($AO11="Yes",IF(X$2=$AK11,"◆",0),IF(AND(X$2&gt;=$AK11,X$2&lt;=$AL11),IF($AM11&gt;=1,2,IF(X$2&lt;$AK11+($AL11-$AK11+1)*$AM11,2,3)),0)))</f>
        <v/>
      </c>
      <c r="Y11" s="11">
        <f>IF($AP11="",0,IF($AO11="Yes",IF(Y$2=$AK11,"◆",0),IF(AND(Y$2&gt;=$AK11,Y$2&lt;=$AL11),IF($AM11&gt;=1,2,IF(Y$2&lt;$AK11+($AL11-$AK11+1)*$AM11,2,3)),0)))</f>
        <v/>
      </c>
      <c r="Z11" s="11">
        <f>IF($AP11="",0,IF($AO11="Yes",IF(Z$2=$AK11,"◆",0),IF(AND(Z$2&gt;=$AK11,Z$2&lt;=$AL11),IF($AM11&gt;=1,2,IF(Z$2&lt;$AK11+($AL11-$AK11+1)*$AM11,2,3)),0)))</f>
        <v/>
      </c>
      <c r="AA11" s="11">
        <f>IF($AP11="",0,IF($AO11="Yes",IF(AA$2=$AK11,"◆",0),IF(AND(AA$2&gt;=$AK11,AA$2&lt;=$AL11),IF($AM11&gt;=1,2,IF(AA$2&lt;$AK11+($AL11-$AK11+1)*$AM11,2,3)),0)))</f>
        <v/>
      </c>
      <c r="AB11" s="11">
        <f>IF($AP11="",0,IF($AO11="Yes",IF(AB$2=$AK11,"◆",0),IF(AND(AB$2&gt;=$AK11,AB$2&lt;=$AL11),IF($AM11&gt;=1,2,IF(AB$2&lt;$AK11+($AL11-$AK11+1)*$AM11,2,3)),0)))</f>
        <v/>
      </c>
      <c r="AC11" s="11">
        <f>IF($AP11="",0,IF($AO11="Yes",IF(AC$2=$AK11,"◆",0),IF(AND(AC$2&gt;=$AK11,AC$2&lt;=$AL11),IF($AM11&gt;=1,2,IF(AC$2&lt;$AK11+($AL11-$AK11+1)*$AM11,2,3)),0)))</f>
        <v/>
      </c>
      <c r="AD11" s="11">
        <f>IF($AP11="",0,IF($AO11="Yes",IF(AD$2=$AK11,"◆",0),IF(AND(AD$2&gt;=$AK11,AD$2&lt;=$AL11),IF($AM11&gt;=1,2,IF(AD$2&lt;$AK11+($AL11-$AK11+1)*$AM11,2,3)),0)))</f>
        <v/>
      </c>
      <c r="AE11" s="11">
        <f>IF($AP11="",0,IF($AO11="Yes",IF(AE$2=$AK11,"◆",0),IF(AND(AE$2&gt;=$AK11,AE$2&lt;=$AL11),IF($AM11&gt;=1,2,IF(AE$2&lt;$AK11+($AL11-$AK11+1)*$AM11,2,3)),0)))</f>
        <v/>
      </c>
      <c r="AF11" s="11">
        <f>IF($AP11="",0,IF($AO11="Yes",IF(AF$2=$AK11,"◆",0),IF(AND(AF$2&gt;=$AK11,AF$2&lt;=$AL11),IF($AM11&gt;=1,2,IF(AF$2&lt;$AK11+($AL11-$AK11+1)*$AM11,2,3)),0)))</f>
        <v/>
      </c>
      <c r="AG11" s="11">
        <f>IF($AP11="",0,IF($AO11="Yes",IF(AG$2=$AK11,"◆",0),IF(AND(AG$2&gt;=$AK11,AG$2&lt;=$AL11),IF($AM11&gt;=1,2,IF(AG$2&lt;$AK11+($AL11-$AK11+1)*$AM11,2,3)),0)))</f>
        <v/>
      </c>
      <c r="AH11" s="11">
        <f>IF($AP11="",0,IF($AO11="Yes",IF(AH$2=$AK11,"◆",0),IF(AND(AH$2&gt;=$AK11,AH$2&lt;=$AL11),IF($AM11&gt;=1,2,IF(AH$2&lt;$AK11+($AL11-$AK11+1)*$AM11,2,3)),0)))</f>
        <v/>
      </c>
      <c r="AI11" s="11">
        <f>IF($AP11="",0,IF($AO11="Yes",IF(AI$2=$AK11,"◆",0),IF(AND(AI$2&gt;=$AK11,AI$2&lt;=$AL11),IF($AM11&gt;=1,2,IF(AI$2&lt;$AK11+($AL11-$AK11+1)*$AM11,2,3)),0)))</f>
        <v/>
      </c>
      <c r="AJ11" s="11">
        <f>IF($AP11="",0,IF($AO11="Yes",IF(AJ$2=$AK11,"◆",0),IF(AND(AJ$2&gt;=$AK11,AJ$2&lt;=$AL11),IF($AM11&gt;=1,2,IF(AJ$2&lt;$AK11+($AL11-$AK11+1)*$AM11,2,3)),0)))</f>
        <v/>
      </c>
      <c r="AK11">
        <f>IFERROR(INDEX(tblTasks[Start Date],ROW()-5),"")</f>
        <v/>
      </c>
      <c r="AL11">
        <f>IFERROR(INDEX(tblTasks[End Date],ROW()-5),"")</f>
        <v/>
      </c>
      <c r="AM11">
        <f>IFERROR(INDEX(tblTasks[Progress %],ROW()-5),0)</f>
        <v/>
      </c>
      <c r="AN11">
        <f>IFERROR(INDEX(tblTasks[Status],ROW()-5),"")</f>
        <v/>
      </c>
      <c r="AO11">
        <f>IFERROR(INDEX(tblTasks[Milestone],ROW()-5),"No")</f>
        <v/>
      </c>
      <c r="AP11">
        <f>IFERROR(INDEX(tblTasks[Task ID],ROW()-5),"")</f>
        <v/>
      </c>
      <c r="AQ11">
        <f>IFERROR(INDEX(tblTasks[Phase],ROW()-5),"")</f>
        <v/>
      </c>
    </row>
    <row r="12">
      <c r="A12" s="9">
        <f>IF($AP12="","",$AP12)</f>
        <v/>
      </c>
      <c r="B12" s="10">
        <f>IF($AP12="","",IF($AO12="Yes","◆ ","")&amp;INDEX(tblTasks[Task Name],ROW()-5))</f>
        <v/>
      </c>
      <c r="C12" s="11">
        <f>IF($AP12="",0,IF($AO12="Yes",IF(C$2=$AK12,"◆",0),IF(AND(C$2&gt;=$AK12,C$2&lt;=$AL12),IF($AM12&gt;=1,2,IF(C$2&lt;$AK12+($AL12-$AK12+1)*$AM12,2,3)),0)))</f>
        <v/>
      </c>
      <c r="D12" s="11">
        <f>IF($AP12="",0,IF($AO12="Yes",IF(D$2=$AK12,"◆",0),IF(AND(D$2&gt;=$AK12,D$2&lt;=$AL12),IF($AM12&gt;=1,2,IF(D$2&lt;$AK12+($AL12-$AK12+1)*$AM12,2,3)),0)))</f>
        <v/>
      </c>
      <c r="E12" s="11">
        <f>IF($AP12="",0,IF($AO12="Yes",IF(E$2=$AK12,"◆",0),IF(AND(E$2&gt;=$AK12,E$2&lt;=$AL12),IF($AM12&gt;=1,2,IF(E$2&lt;$AK12+($AL12-$AK12+1)*$AM12,2,3)),0)))</f>
        <v/>
      </c>
      <c r="F12" s="11">
        <f>IF($AP12="",0,IF($AO12="Yes",IF(F$2=$AK12,"◆",0),IF(AND(F$2&gt;=$AK12,F$2&lt;=$AL12),IF($AM12&gt;=1,2,IF(F$2&lt;$AK12+($AL12-$AK12+1)*$AM12,2,3)),0)))</f>
        <v/>
      </c>
      <c r="G12" s="11">
        <f>IF($AP12="",0,IF($AO12="Yes",IF(G$2=$AK12,"◆",0),IF(AND(G$2&gt;=$AK12,G$2&lt;=$AL12),IF($AM12&gt;=1,2,IF(G$2&lt;$AK12+($AL12-$AK12+1)*$AM12,2,3)),0)))</f>
        <v/>
      </c>
      <c r="H12" s="11">
        <f>IF($AP12="",0,IF($AO12="Yes",IF(H$2=$AK12,"◆",0),IF(AND(H$2&gt;=$AK12,H$2&lt;=$AL12),IF($AM12&gt;=1,2,IF(H$2&lt;$AK12+($AL12-$AK12+1)*$AM12,2,3)),0)))</f>
        <v/>
      </c>
      <c r="I12" s="11">
        <f>IF($AP12="",0,IF($AO12="Yes",IF(I$2=$AK12,"◆",0),IF(AND(I$2&gt;=$AK12,I$2&lt;=$AL12),IF($AM12&gt;=1,2,IF(I$2&lt;$AK12+($AL12-$AK12+1)*$AM12,2,3)),0)))</f>
        <v/>
      </c>
      <c r="J12" s="11">
        <f>IF($AP12="",0,IF($AO12="Yes",IF(J$2=$AK12,"◆",0),IF(AND(J$2&gt;=$AK12,J$2&lt;=$AL12),IF($AM12&gt;=1,2,IF(J$2&lt;$AK12+($AL12-$AK12+1)*$AM12,2,3)),0)))</f>
        <v/>
      </c>
      <c r="K12" s="11">
        <f>IF($AP12="",0,IF($AO12="Yes",IF(K$2=$AK12,"◆",0),IF(AND(K$2&gt;=$AK12,K$2&lt;=$AL12),IF($AM12&gt;=1,2,IF(K$2&lt;$AK12+($AL12-$AK12+1)*$AM12,2,3)),0)))</f>
        <v/>
      </c>
      <c r="L12" s="11">
        <f>IF($AP12="",0,IF($AO12="Yes",IF(L$2=$AK12,"◆",0),IF(AND(L$2&gt;=$AK12,L$2&lt;=$AL12),IF($AM12&gt;=1,2,IF(L$2&lt;$AK12+($AL12-$AK12+1)*$AM12,2,3)),0)))</f>
        <v/>
      </c>
      <c r="M12" s="11">
        <f>IF($AP12="",0,IF($AO12="Yes",IF(M$2=$AK12,"◆",0),IF(AND(M$2&gt;=$AK12,M$2&lt;=$AL12),IF($AM12&gt;=1,2,IF(M$2&lt;$AK12+($AL12-$AK12+1)*$AM12,2,3)),0)))</f>
        <v/>
      </c>
      <c r="N12" s="11">
        <f>IF($AP12="",0,IF($AO12="Yes",IF(N$2=$AK12,"◆",0),IF(AND(N$2&gt;=$AK12,N$2&lt;=$AL12),IF($AM12&gt;=1,2,IF(N$2&lt;$AK12+($AL12-$AK12+1)*$AM12,2,3)),0)))</f>
        <v/>
      </c>
      <c r="O12" s="11">
        <f>IF($AP12="",0,IF($AO12="Yes",IF(O$2=$AK12,"◆",0),IF(AND(O$2&gt;=$AK12,O$2&lt;=$AL12),IF($AM12&gt;=1,2,IF(O$2&lt;$AK12+($AL12-$AK12+1)*$AM12,2,3)),0)))</f>
        <v/>
      </c>
      <c r="P12" s="11">
        <f>IF($AP12="",0,IF($AO12="Yes",IF(P$2=$AK12,"◆",0),IF(AND(P$2&gt;=$AK12,P$2&lt;=$AL12),IF($AM12&gt;=1,2,IF(P$2&lt;$AK12+($AL12-$AK12+1)*$AM12,2,3)),0)))</f>
        <v/>
      </c>
      <c r="Q12" s="11">
        <f>IF($AP12="",0,IF($AO12="Yes",IF(Q$2=$AK12,"◆",0),IF(AND(Q$2&gt;=$AK12,Q$2&lt;=$AL12),IF($AM12&gt;=1,2,IF(Q$2&lt;$AK12+($AL12-$AK12+1)*$AM12,2,3)),0)))</f>
        <v/>
      </c>
      <c r="R12" s="11">
        <f>IF($AP12="",0,IF($AO12="Yes",IF(R$2=$AK12,"◆",0),IF(AND(R$2&gt;=$AK12,R$2&lt;=$AL12),IF($AM12&gt;=1,2,IF(R$2&lt;$AK12+($AL12-$AK12+1)*$AM12,2,3)),0)))</f>
        <v/>
      </c>
      <c r="S12" s="11">
        <f>IF($AP12="",0,IF($AO12="Yes",IF(S$2=$AK12,"◆",0),IF(AND(S$2&gt;=$AK12,S$2&lt;=$AL12),IF($AM12&gt;=1,2,IF(S$2&lt;$AK12+($AL12-$AK12+1)*$AM12,2,3)),0)))</f>
        <v/>
      </c>
      <c r="T12" s="11">
        <f>IF($AP12="",0,IF($AO12="Yes",IF(T$2=$AK12,"◆",0),IF(AND(T$2&gt;=$AK12,T$2&lt;=$AL12),IF($AM12&gt;=1,2,IF(T$2&lt;$AK12+($AL12-$AK12+1)*$AM12,2,3)),0)))</f>
        <v/>
      </c>
      <c r="U12" s="11">
        <f>IF($AP12="",0,IF($AO12="Yes",IF(U$2=$AK12,"◆",0),IF(AND(U$2&gt;=$AK12,U$2&lt;=$AL12),IF($AM12&gt;=1,2,IF(U$2&lt;$AK12+($AL12-$AK12+1)*$AM12,2,3)),0)))</f>
        <v/>
      </c>
      <c r="V12" s="11">
        <f>IF($AP12="",0,IF($AO12="Yes",IF(V$2=$AK12,"◆",0),IF(AND(V$2&gt;=$AK12,V$2&lt;=$AL12),IF($AM12&gt;=1,2,IF(V$2&lt;$AK12+($AL12-$AK12+1)*$AM12,2,3)),0)))</f>
        <v/>
      </c>
      <c r="W12" s="11">
        <f>IF($AP12="",0,IF($AO12="Yes",IF(W$2=$AK12,"◆",0),IF(AND(W$2&gt;=$AK12,W$2&lt;=$AL12),IF($AM12&gt;=1,2,IF(W$2&lt;$AK12+($AL12-$AK12+1)*$AM12,2,3)),0)))</f>
        <v/>
      </c>
      <c r="X12" s="11">
        <f>IF($AP12="",0,IF($AO12="Yes",IF(X$2=$AK12,"◆",0),IF(AND(X$2&gt;=$AK12,X$2&lt;=$AL12),IF($AM12&gt;=1,2,IF(X$2&lt;$AK12+($AL12-$AK12+1)*$AM12,2,3)),0)))</f>
        <v/>
      </c>
      <c r="Y12" s="11">
        <f>IF($AP12="",0,IF($AO12="Yes",IF(Y$2=$AK12,"◆",0),IF(AND(Y$2&gt;=$AK12,Y$2&lt;=$AL12),IF($AM12&gt;=1,2,IF(Y$2&lt;$AK12+($AL12-$AK12+1)*$AM12,2,3)),0)))</f>
        <v/>
      </c>
      <c r="Z12" s="11">
        <f>IF($AP12="",0,IF($AO12="Yes",IF(Z$2=$AK12,"◆",0),IF(AND(Z$2&gt;=$AK12,Z$2&lt;=$AL12),IF($AM12&gt;=1,2,IF(Z$2&lt;$AK12+($AL12-$AK12+1)*$AM12,2,3)),0)))</f>
        <v/>
      </c>
      <c r="AA12" s="11">
        <f>IF($AP12="",0,IF($AO12="Yes",IF(AA$2=$AK12,"◆",0),IF(AND(AA$2&gt;=$AK12,AA$2&lt;=$AL12),IF($AM12&gt;=1,2,IF(AA$2&lt;$AK12+($AL12-$AK12+1)*$AM12,2,3)),0)))</f>
        <v/>
      </c>
      <c r="AB12" s="11">
        <f>IF($AP12="",0,IF($AO12="Yes",IF(AB$2=$AK12,"◆",0),IF(AND(AB$2&gt;=$AK12,AB$2&lt;=$AL12),IF($AM12&gt;=1,2,IF(AB$2&lt;$AK12+($AL12-$AK12+1)*$AM12,2,3)),0)))</f>
        <v/>
      </c>
      <c r="AC12" s="11">
        <f>IF($AP12="",0,IF($AO12="Yes",IF(AC$2=$AK12,"◆",0),IF(AND(AC$2&gt;=$AK12,AC$2&lt;=$AL12),IF($AM12&gt;=1,2,IF(AC$2&lt;$AK12+($AL12-$AK12+1)*$AM12,2,3)),0)))</f>
        <v/>
      </c>
      <c r="AD12" s="11">
        <f>IF($AP12="",0,IF($AO12="Yes",IF(AD$2=$AK12,"◆",0),IF(AND(AD$2&gt;=$AK12,AD$2&lt;=$AL12),IF($AM12&gt;=1,2,IF(AD$2&lt;$AK12+($AL12-$AK12+1)*$AM12,2,3)),0)))</f>
        <v/>
      </c>
      <c r="AE12" s="11">
        <f>IF($AP12="",0,IF($AO12="Yes",IF(AE$2=$AK12,"◆",0),IF(AND(AE$2&gt;=$AK12,AE$2&lt;=$AL12),IF($AM12&gt;=1,2,IF(AE$2&lt;$AK12+($AL12-$AK12+1)*$AM12,2,3)),0)))</f>
        <v/>
      </c>
      <c r="AF12" s="11">
        <f>IF($AP12="",0,IF($AO12="Yes",IF(AF$2=$AK12,"◆",0),IF(AND(AF$2&gt;=$AK12,AF$2&lt;=$AL12),IF($AM12&gt;=1,2,IF(AF$2&lt;$AK12+($AL12-$AK12+1)*$AM12,2,3)),0)))</f>
        <v/>
      </c>
      <c r="AG12" s="11">
        <f>IF($AP12="",0,IF($AO12="Yes",IF(AG$2=$AK12,"◆",0),IF(AND(AG$2&gt;=$AK12,AG$2&lt;=$AL12),IF($AM12&gt;=1,2,IF(AG$2&lt;$AK12+($AL12-$AK12+1)*$AM12,2,3)),0)))</f>
        <v/>
      </c>
      <c r="AH12" s="11">
        <f>IF($AP12="",0,IF($AO12="Yes",IF(AH$2=$AK12,"◆",0),IF(AND(AH$2&gt;=$AK12,AH$2&lt;=$AL12),IF($AM12&gt;=1,2,IF(AH$2&lt;$AK12+($AL12-$AK12+1)*$AM12,2,3)),0)))</f>
        <v/>
      </c>
      <c r="AI12" s="11">
        <f>IF($AP12="",0,IF($AO12="Yes",IF(AI$2=$AK12,"◆",0),IF(AND(AI$2&gt;=$AK12,AI$2&lt;=$AL12),IF($AM12&gt;=1,2,IF(AI$2&lt;$AK12+($AL12-$AK12+1)*$AM12,2,3)),0)))</f>
        <v/>
      </c>
      <c r="AJ12" s="11">
        <f>IF($AP12="",0,IF($AO12="Yes",IF(AJ$2=$AK12,"◆",0),IF(AND(AJ$2&gt;=$AK12,AJ$2&lt;=$AL12),IF($AM12&gt;=1,2,IF(AJ$2&lt;$AK12+($AL12-$AK12+1)*$AM12,2,3)),0)))</f>
        <v/>
      </c>
      <c r="AK12">
        <f>IFERROR(INDEX(tblTasks[Start Date],ROW()-5),"")</f>
        <v/>
      </c>
      <c r="AL12">
        <f>IFERROR(INDEX(tblTasks[End Date],ROW()-5),"")</f>
        <v/>
      </c>
      <c r="AM12">
        <f>IFERROR(INDEX(tblTasks[Progress %],ROW()-5),0)</f>
        <v/>
      </c>
      <c r="AN12">
        <f>IFERROR(INDEX(tblTasks[Status],ROW()-5),"")</f>
        <v/>
      </c>
      <c r="AO12">
        <f>IFERROR(INDEX(tblTasks[Milestone],ROW()-5),"No")</f>
        <v/>
      </c>
      <c r="AP12">
        <f>IFERROR(INDEX(tblTasks[Task ID],ROW()-5),"")</f>
        <v/>
      </c>
      <c r="AQ12">
        <f>IFERROR(INDEX(tblTasks[Phase],ROW()-5),"")</f>
        <v/>
      </c>
    </row>
    <row r="13">
      <c r="A13" s="9">
        <f>IF($AP13="","",$AP13)</f>
        <v/>
      </c>
      <c r="B13" s="10">
        <f>IF($AP13="","",IF($AO13="Yes","◆ ","")&amp;INDEX(tblTasks[Task Name],ROW()-5))</f>
        <v/>
      </c>
      <c r="C13" s="11">
        <f>IF($AP13="",0,IF($AO13="Yes",IF(C$2=$AK13,"◆",0),IF(AND(C$2&gt;=$AK13,C$2&lt;=$AL13),IF($AM13&gt;=1,2,IF(C$2&lt;$AK13+($AL13-$AK13+1)*$AM13,2,3)),0)))</f>
        <v/>
      </c>
      <c r="D13" s="11">
        <f>IF($AP13="",0,IF($AO13="Yes",IF(D$2=$AK13,"◆",0),IF(AND(D$2&gt;=$AK13,D$2&lt;=$AL13),IF($AM13&gt;=1,2,IF(D$2&lt;$AK13+($AL13-$AK13+1)*$AM13,2,3)),0)))</f>
        <v/>
      </c>
      <c r="E13" s="11">
        <f>IF($AP13="",0,IF($AO13="Yes",IF(E$2=$AK13,"◆",0),IF(AND(E$2&gt;=$AK13,E$2&lt;=$AL13),IF($AM13&gt;=1,2,IF(E$2&lt;$AK13+($AL13-$AK13+1)*$AM13,2,3)),0)))</f>
        <v/>
      </c>
      <c r="F13" s="11">
        <f>IF($AP13="",0,IF($AO13="Yes",IF(F$2=$AK13,"◆",0),IF(AND(F$2&gt;=$AK13,F$2&lt;=$AL13),IF($AM13&gt;=1,2,IF(F$2&lt;$AK13+($AL13-$AK13+1)*$AM13,2,3)),0)))</f>
        <v/>
      </c>
      <c r="G13" s="11">
        <f>IF($AP13="",0,IF($AO13="Yes",IF(G$2=$AK13,"◆",0),IF(AND(G$2&gt;=$AK13,G$2&lt;=$AL13),IF($AM13&gt;=1,2,IF(G$2&lt;$AK13+($AL13-$AK13+1)*$AM13,2,3)),0)))</f>
        <v/>
      </c>
      <c r="H13" s="11">
        <f>IF($AP13="",0,IF($AO13="Yes",IF(H$2=$AK13,"◆",0),IF(AND(H$2&gt;=$AK13,H$2&lt;=$AL13),IF($AM13&gt;=1,2,IF(H$2&lt;$AK13+($AL13-$AK13+1)*$AM13,2,3)),0)))</f>
        <v/>
      </c>
      <c r="I13" s="11">
        <f>IF($AP13="",0,IF($AO13="Yes",IF(I$2=$AK13,"◆",0),IF(AND(I$2&gt;=$AK13,I$2&lt;=$AL13),IF($AM13&gt;=1,2,IF(I$2&lt;$AK13+($AL13-$AK13+1)*$AM13,2,3)),0)))</f>
        <v/>
      </c>
      <c r="J13" s="11">
        <f>IF($AP13="",0,IF($AO13="Yes",IF(J$2=$AK13,"◆",0),IF(AND(J$2&gt;=$AK13,J$2&lt;=$AL13),IF($AM13&gt;=1,2,IF(J$2&lt;$AK13+($AL13-$AK13+1)*$AM13,2,3)),0)))</f>
        <v/>
      </c>
      <c r="K13" s="11">
        <f>IF($AP13="",0,IF($AO13="Yes",IF(K$2=$AK13,"◆",0),IF(AND(K$2&gt;=$AK13,K$2&lt;=$AL13),IF($AM13&gt;=1,2,IF(K$2&lt;$AK13+($AL13-$AK13+1)*$AM13,2,3)),0)))</f>
        <v/>
      </c>
      <c r="L13" s="11">
        <f>IF($AP13="",0,IF($AO13="Yes",IF(L$2=$AK13,"◆",0),IF(AND(L$2&gt;=$AK13,L$2&lt;=$AL13),IF($AM13&gt;=1,2,IF(L$2&lt;$AK13+($AL13-$AK13+1)*$AM13,2,3)),0)))</f>
        <v/>
      </c>
      <c r="M13" s="11">
        <f>IF($AP13="",0,IF($AO13="Yes",IF(M$2=$AK13,"◆",0),IF(AND(M$2&gt;=$AK13,M$2&lt;=$AL13),IF($AM13&gt;=1,2,IF(M$2&lt;$AK13+($AL13-$AK13+1)*$AM13,2,3)),0)))</f>
        <v/>
      </c>
      <c r="N13" s="11">
        <f>IF($AP13="",0,IF($AO13="Yes",IF(N$2=$AK13,"◆",0),IF(AND(N$2&gt;=$AK13,N$2&lt;=$AL13),IF($AM13&gt;=1,2,IF(N$2&lt;$AK13+($AL13-$AK13+1)*$AM13,2,3)),0)))</f>
        <v/>
      </c>
      <c r="O13" s="11">
        <f>IF($AP13="",0,IF($AO13="Yes",IF(O$2=$AK13,"◆",0),IF(AND(O$2&gt;=$AK13,O$2&lt;=$AL13),IF($AM13&gt;=1,2,IF(O$2&lt;$AK13+($AL13-$AK13+1)*$AM13,2,3)),0)))</f>
        <v/>
      </c>
      <c r="P13" s="11">
        <f>IF($AP13="",0,IF($AO13="Yes",IF(P$2=$AK13,"◆",0),IF(AND(P$2&gt;=$AK13,P$2&lt;=$AL13),IF($AM13&gt;=1,2,IF(P$2&lt;$AK13+($AL13-$AK13+1)*$AM13,2,3)),0)))</f>
        <v/>
      </c>
      <c r="Q13" s="11">
        <f>IF($AP13="",0,IF($AO13="Yes",IF(Q$2=$AK13,"◆",0),IF(AND(Q$2&gt;=$AK13,Q$2&lt;=$AL13),IF($AM13&gt;=1,2,IF(Q$2&lt;$AK13+($AL13-$AK13+1)*$AM13,2,3)),0)))</f>
        <v/>
      </c>
      <c r="R13" s="11">
        <f>IF($AP13="",0,IF($AO13="Yes",IF(R$2=$AK13,"◆",0),IF(AND(R$2&gt;=$AK13,R$2&lt;=$AL13),IF($AM13&gt;=1,2,IF(R$2&lt;$AK13+($AL13-$AK13+1)*$AM13,2,3)),0)))</f>
        <v/>
      </c>
      <c r="S13" s="11">
        <f>IF($AP13="",0,IF($AO13="Yes",IF(S$2=$AK13,"◆",0),IF(AND(S$2&gt;=$AK13,S$2&lt;=$AL13),IF($AM13&gt;=1,2,IF(S$2&lt;$AK13+($AL13-$AK13+1)*$AM13,2,3)),0)))</f>
        <v/>
      </c>
      <c r="T13" s="11">
        <f>IF($AP13="",0,IF($AO13="Yes",IF(T$2=$AK13,"◆",0),IF(AND(T$2&gt;=$AK13,T$2&lt;=$AL13),IF($AM13&gt;=1,2,IF(T$2&lt;$AK13+($AL13-$AK13+1)*$AM13,2,3)),0)))</f>
        <v/>
      </c>
      <c r="U13" s="11">
        <f>IF($AP13="",0,IF($AO13="Yes",IF(U$2=$AK13,"◆",0),IF(AND(U$2&gt;=$AK13,U$2&lt;=$AL13),IF($AM13&gt;=1,2,IF(U$2&lt;$AK13+($AL13-$AK13+1)*$AM13,2,3)),0)))</f>
        <v/>
      </c>
      <c r="V13" s="11">
        <f>IF($AP13="",0,IF($AO13="Yes",IF(V$2=$AK13,"◆",0),IF(AND(V$2&gt;=$AK13,V$2&lt;=$AL13),IF($AM13&gt;=1,2,IF(V$2&lt;$AK13+($AL13-$AK13+1)*$AM13,2,3)),0)))</f>
        <v/>
      </c>
      <c r="W13" s="11">
        <f>IF($AP13="",0,IF($AO13="Yes",IF(W$2=$AK13,"◆",0),IF(AND(W$2&gt;=$AK13,W$2&lt;=$AL13),IF($AM13&gt;=1,2,IF(W$2&lt;$AK13+($AL13-$AK13+1)*$AM13,2,3)),0)))</f>
        <v/>
      </c>
      <c r="X13" s="11">
        <f>IF($AP13="",0,IF($AO13="Yes",IF(X$2=$AK13,"◆",0),IF(AND(X$2&gt;=$AK13,X$2&lt;=$AL13),IF($AM13&gt;=1,2,IF(X$2&lt;$AK13+($AL13-$AK13+1)*$AM13,2,3)),0)))</f>
        <v/>
      </c>
      <c r="Y13" s="11">
        <f>IF($AP13="",0,IF($AO13="Yes",IF(Y$2=$AK13,"◆",0),IF(AND(Y$2&gt;=$AK13,Y$2&lt;=$AL13),IF($AM13&gt;=1,2,IF(Y$2&lt;$AK13+($AL13-$AK13+1)*$AM13,2,3)),0)))</f>
        <v/>
      </c>
      <c r="Z13" s="11">
        <f>IF($AP13="",0,IF($AO13="Yes",IF(Z$2=$AK13,"◆",0),IF(AND(Z$2&gt;=$AK13,Z$2&lt;=$AL13),IF($AM13&gt;=1,2,IF(Z$2&lt;$AK13+($AL13-$AK13+1)*$AM13,2,3)),0)))</f>
        <v/>
      </c>
      <c r="AA13" s="11">
        <f>IF($AP13="",0,IF($AO13="Yes",IF(AA$2=$AK13,"◆",0),IF(AND(AA$2&gt;=$AK13,AA$2&lt;=$AL13),IF($AM13&gt;=1,2,IF(AA$2&lt;$AK13+($AL13-$AK13+1)*$AM13,2,3)),0)))</f>
        <v/>
      </c>
      <c r="AB13" s="11">
        <f>IF($AP13="",0,IF($AO13="Yes",IF(AB$2=$AK13,"◆",0),IF(AND(AB$2&gt;=$AK13,AB$2&lt;=$AL13),IF($AM13&gt;=1,2,IF(AB$2&lt;$AK13+($AL13-$AK13+1)*$AM13,2,3)),0)))</f>
        <v/>
      </c>
      <c r="AC13" s="11">
        <f>IF($AP13="",0,IF($AO13="Yes",IF(AC$2=$AK13,"◆",0),IF(AND(AC$2&gt;=$AK13,AC$2&lt;=$AL13),IF($AM13&gt;=1,2,IF(AC$2&lt;$AK13+($AL13-$AK13+1)*$AM13,2,3)),0)))</f>
        <v/>
      </c>
      <c r="AD13" s="11">
        <f>IF($AP13="",0,IF($AO13="Yes",IF(AD$2=$AK13,"◆",0),IF(AND(AD$2&gt;=$AK13,AD$2&lt;=$AL13),IF($AM13&gt;=1,2,IF(AD$2&lt;$AK13+($AL13-$AK13+1)*$AM13,2,3)),0)))</f>
        <v/>
      </c>
      <c r="AE13" s="11">
        <f>IF($AP13="",0,IF($AO13="Yes",IF(AE$2=$AK13,"◆",0),IF(AND(AE$2&gt;=$AK13,AE$2&lt;=$AL13),IF($AM13&gt;=1,2,IF(AE$2&lt;$AK13+($AL13-$AK13+1)*$AM13,2,3)),0)))</f>
        <v/>
      </c>
      <c r="AF13" s="11">
        <f>IF($AP13="",0,IF($AO13="Yes",IF(AF$2=$AK13,"◆",0),IF(AND(AF$2&gt;=$AK13,AF$2&lt;=$AL13),IF($AM13&gt;=1,2,IF(AF$2&lt;$AK13+($AL13-$AK13+1)*$AM13,2,3)),0)))</f>
        <v/>
      </c>
      <c r="AG13" s="11">
        <f>IF($AP13="",0,IF($AO13="Yes",IF(AG$2=$AK13,"◆",0),IF(AND(AG$2&gt;=$AK13,AG$2&lt;=$AL13),IF($AM13&gt;=1,2,IF(AG$2&lt;$AK13+($AL13-$AK13+1)*$AM13,2,3)),0)))</f>
        <v/>
      </c>
      <c r="AH13" s="11">
        <f>IF($AP13="",0,IF($AO13="Yes",IF(AH$2=$AK13,"◆",0),IF(AND(AH$2&gt;=$AK13,AH$2&lt;=$AL13),IF($AM13&gt;=1,2,IF(AH$2&lt;$AK13+($AL13-$AK13+1)*$AM13,2,3)),0)))</f>
        <v/>
      </c>
      <c r="AI13" s="11">
        <f>IF($AP13="",0,IF($AO13="Yes",IF(AI$2=$AK13,"◆",0),IF(AND(AI$2&gt;=$AK13,AI$2&lt;=$AL13),IF($AM13&gt;=1,2,IF(AI$2&lt;$AK13+($AL13-$AK13+1)*$AM13,2,3)),0)))</f>
        <v/>
      </c>
      <c r="AJ13" s="11">
        <f>IF($AP13="",0,IF($AO13="Yes",IF(AJ$2=$AK13,"◆",0),IF(AND(AJ$2&gt;=$AK13,AJ$2&lt;=$AL13),IF($AM13&gt;=1,2,IF(AJ$2&lt;$AK13+($AL13-$AK13+1)*$AM13,2,3)),0)))</f>
        <v/>
      </c>
      <c r="AK13">
        <f>IFERROR(INDEX(tblTasks[Start Date],ROW()-5),"")</f>
        <v/>
      </c>
      <c r="AL13">
        <f>IFERROR(INDEX(tblTasks[End Date],ROW()-5),"")</f>
        <v/>
      </c>
      <c r="AM13">
        <f>IFERROR(INDEX(tblTasks[Progress %],ROW()-5),0)</f>
        <v/>
      </c>
      <c r="AN13">
        <f>IFERROR(INDEX(tblTasks[Status],ROW()-5),"")</f>
        <v/>
      </c>
      <c r="AO13">
        <f>IFERROR(INDEX(tblTasks[Milestone],ROW()-5),"No")</f>
        <v/>
      </c>
      <c r="AP13">
        <f>IFERROR(INDEX(tblTasks[Task ID],ROW()-5),"")</f>
        <v/>
      </c>
      <c r="AQ13">
        <f>IFERROR(INDEX(tblTasks[Phase],ROW()-5),"")</f>
        <v/>
      </c>
    </row>
    <row r="14">
      <c r="A14" s="9">
        <f>IF($AP14="","",$AP14)</f>
        <v/>
      </c>
      <c r="B14" s="10">
        <f>IF($AP14="","",IF($AO14="Yes","◆ ","")&amp;INDEX(tblTasks[Task Name],ROW()-5))</f>
        <v/>
      </c>
      <c r="C14" s="11">
        <f>IF($AP14="",0,IF($AO14="Yes",IF(C$2=$AK14,"◆",0),IF(AND(C$2&gt;=$AK14,C$2&lt;=$AL14),IF($AM14&gt;=1,2,IF(C$2&lt;$AK14+($AL14-$AK14+1)*$AM14,2,3)),0)))</f>
        <v/>
      </c>
      <c r="D14" s="11">
        <f>IF($AP14="",0,IF($AO14="Yes",IF(D$2=$AK14,"◆",0),IF(AND(D$2&gt;=$AK14,D$2&lt;=$AL14),IF($AM14&gt;=1,2,IF(D$2&lt;$AK14+($AL14-$AK14+1)*$AM14,2,3)),0)))</f>
        <v/>
      </c>
      <c r="E14" s="11">
        <f>IF($AP14="",0,IF($AO14="Yes",IF(E$2=$AK14,"◆",0),IF(AND(E$2&gt;=$AK14,E$2&lt;=$AL14),IF($AM14&gt;=1,2,IF(E$2&lt;$AK14+($AL14-$AK14+1)*$AM14,2,3)),0)))</f>
        <v/>
      </c>
      <c r="F14" s="11">
        <f>IF($AP14="",0,IF($AO14="Yes",IF(F$2=$AK14,"◆",0),IF(AND(F$2&gt;=$AK14,F$2&lt;=$AL14),IF($AM14&gt;=1,2,IF(F$2&lt;$AK14+($AL14-$AK14+1)*$AM14,2,3)),0)))</f>
        <v/>
      </c>
      <c r="G14" s="11">
        <f>IF($AP14="",0,IF($AO14="Yes",IF(G$2=$AK14,"◆",0),IF(AND(G$2&gt;=$AK14,G$2&lt;=$AL14),IF($AM14&gt;=1,2,IF(G$2&lt;$AK14+($AL14-$AK14+1)*$AM14,2,3)),0)))</f>
        <v/>
      </c>
      <c r="H14" s="11">
        <f>IF($AP14="",0,IF($AO14="Yes",IF(H$2=$AK14,"◆",0),IF(AND(H$2&gt;=$AK14,H$2&lt;=$AL14),IF($AM14&gt;=1,2,IF(H$2&lt;$AK14+($AL14-$AK14+1)*$AM14,2,3)),0)))</f>
        <v/>
      </c>
      <c r="I14" s="11">
        <f>IF($AP14="",0,IF($AO14="Yes",IF(I$2=$AK14,"◆",0),IF(AND(I$2&gt;=$AK14,I$2&lt;=$AL14),IF($AM14&gt;=1,2,IF(I$2&lt;$AK14+($AL14-$AK14+1)*$AM14,2,3)),0)))</f>
        <v/>
      </c>
      <c r="J14" s="11">
        <f>IF($AP14="",0,IF($AO14="Yes",IF(J$2=$AK14,"◆",0),IF(AND(J$2&gt;=$AK14,J$2&lt;=$AL14),IF($AM14&gt;=1,2,IF(J$2&lt;$AK14+($AL14-$AK14+1)*$AM14,2,3)),0)))</f>
        <v/>
      </c>
      <c r="K14" s="11">
        <f>IF($AP14="",0,IF($AO14="Yes",IF(K$2=$AK14,"◆",0),IF(AND(K$2&gt;=$AK14,K$2&lt;=$AL14),IF($AM14&gt;=1,2,IF(K$2&lt;$AK14+($AL14-$AK14+1)*$AM14,2,3)),0)))</f>
        <v/>
      </c>
      <c r="L14" s="11">
        <f>IF($AP14="",0,IF($AO14="Yes",IF(L$2=$AK14,"◆",0),IF(AND(L$2&gt;=$AK14,L$2&lt;=$AL14),IF($AM14&gt;=1,2,IF(L$2&lt;$AK14+($AL14-$AK14+1)*$AM14,2,3)),0)))</f>
        <v/>
      </c>
      <c r="M14" s="11">
        <f>IF($AP14="",0,IF($AO14="Yes",IF(M$2=$AK14,"◆",0),IF(AND(M$2&gt;=$AK14,M$2&lt;=$AL14),IF($AM14&gt;=1,2,IF(M$2&lt;$AK14+($AL14-$AK14+1)*$AM14,2,3)),0)))</f>
        <v/>
      </c>
      <c r="N14" s="11">
        <f>IF($AP14="",0,IF($AO14="Yes",IF(N$2=$AK14,"◆",0),IF(AND(N$2&gt;=$AK14,N$2&lt;=$AL14),IF($AM14&gt;=1,2,IF(N$2&lt;$AK14+($AL14-$AK14+1)*$AM14,2,3)),0)))</f>
        <v/>
      </c>
      <c r="O14" s="11">
        <f>IF($AP14="",0,IF($AO14="Yes",IF(O$2=$AK14,"◆",0),IF(AND(O$2&gt;=$AK14,O$2&lt;=$AL14),IF($AM14&gt;=1,2,IF(O$2&lt;$AK14+($AL14-$AK14+1)*$AM14,2,3)),0)))</f>
        <v/>
      </c>
      <c r="P14" s="11">
        <f>IF($AP14="",0,IF($AO14="Yes",IF(P$2=$AK14,"◆",0),IF(AND(P$2&gt;=$AK14,P$2&lt;=$AL14),IF($AM14&gt;=1,2,IF(P$2&lt;$AK14+($AL14-$AK14+1)*$AM14,2,3)),0)))</f>
        <v/>
      </c>
      <c r="Q14" s="11">
        <f>IF($AP14="",0,IF($AO14="Yes",IF(Q$2=$AK14,"◆",0),IF(AND(Q$2&gt;=$AK14,Q$2&lt;=$AL14),IF($AM14&gt;=1,2,IF(Q$2&lt;$AK14+($AL14-$AK14+1)*$AM14,2,3)),0)))</f>
        <v/>
      </c>
      <c r="R14" s="11">
        <f>IF($AP14="",0,IF($AO14="Yes",IF(R$2=$AK14,"◆",0),IF(AND(R$2&gt;=$AK14,R$2&lt;=$AL14),IF($AM14&gt;=1,2,IF(R$2&lt;$AK14+($AL14-$AK14+1)*$AM14,2,3)),0)))</f>
        <v/>
      </c>
      <c r="S14" s="11">
        <f>IF($AP14="",0,IF($AO14="Yes",IF(S$2=$AK14,"◆",0),IF(AND(S$2&gt;=$AK14,S$2&lt;=$AL14),IF($AM14&gt;=1,2,IF(S$2&lt;$AK14+($AL14-$AK14+1)*$AM14,2,3)),0)))</f>
        <v/>
      </c>
      <c r="T14" s="11">
        <f>IF($AP14="",0,IF($AO14="Yes",IF(T$2=$AK14,"◆",0),IF(AND(T$2&gt;=$AK14,T$2&lt;=$AL14),IF($AM14&gt;=1,2,IF(T$2&lt;$AK14+($AL14-$AK14+1)*$AM14,2,3)),0)))</f>
        <v/>
      </c>
      <c r="U14" s="11">
        <f>IF($AP14="",0,IF($AO14="Yes",IF(U$2=$AK14,"◆",0),IF(AND(U$2&gt;=$AK14,U$2&lt;=$AL14),IF($AM14&gt;=1,2,IF(U$2&lt;$AK14+($AL14-$AK14+1)*$AM14,2,3)),0)))</f>
        <v/>
      </c>
      <c r="V14" s="11">
        <f>IF($AP14="",0,IF($AO14="Yes",IF(V$2=$AK14,"◆",0),IF(AND(V$2&gt;=$AK14,V$2&lt;=$AL14),IF($AM14&gt;=1,2,IF(V$2&lt;$AK14+($AL14-$AK14+1)*$AM14,2,3)),0)))</f>
        <v/>
      </c>
      <c r="W14" s="11">
        <f>IF($AP14="",0,IF($AO14="Yes",IF(W$2=$AK14,"◆",0),IF(AND(W$2&gt;=$AK14,W$2&lt;=$AL14),IF($AM14&gt;=1,2,IF(W$2&lt;$AK14+($AL14-$AK14+1)*$AM14,2,3)),0)))</f>
        <v/>
      </c>
      <c r="X14" s="11">
        <f>IF($AP14="",0,IF($AO14="Yes",IF(X$2=$AK14,"◆",0),IF(AND(X$2&gt;=$AK14,X$2&lt;=$AL14),IF($AM14&gt;=1,2,IF(X$2&lt;$AK14+($AL14-$AK14+1)*$AM14,2,3)),0)))</f>
        <v/>
      </c>
      <c r="Y14" s="11">
        <f>IF($AP14="",0,IF($AO14="Yes",IF(Y$2=$AK14,"◆",0),IF(AND(Y$2&gt;=$AK14,Y$2&lt;=$AL14),IF($AM14&gt;=1,2,IF(Y$2&lt;$AK14+($AL14-$AK14+1)*$AM14,2,3)),0)))</f>
        <v/>
      </c>
      <c r="Z14" s="11">
        <f>IF($AP14="",0,IF($AO14="Yes",IF(Z$2=$AK14,"◆",0),IF(AND(Z$2&gt;=$AK14,Z$2&lt;=$AL14),IF($AM14&gt;=1,2,IF(Z$2&lt;$AK14+($AL14-$AK14+1)*$AM14,2,3)),0)))</f>
        <v/>
      </c>
      <c r="AA14" s="11">
        <f>IF($AP14="",0,IF($AO14="Yes",IF(AA$2=$AK14,"◆",0),IF(AND(AA$2&gt;=$AK14,AA$2&lt;=$AL14),IF($AM14&gt;=1,2,IF(AA$2&lt;$AK14+($AL14-$AK14+1)*$AM14,2,3)),0)))</f>
        <v/>
      </c>
      <c r="AB14" s="11">
        <f>IF($AP14="",0,IF($AO14="Yes",IF(AB$2=$AK14,"◆",0),IF(AND(AB$2&gt;=$AK14,AB$2&lt;=$AL14),IF($AM14&gt;=1,2,IF(AB$2&lt;$AK14+($AL14-$AK14+1)*$AM14,2,3)),0)))</f>
        <v/>
      </c>
      <c r="AC14" s="11">
        <f>IF($AP14="",0,IF($AO14="Yes",IF(AC$2=$AK14,"◆",0),IF(AND(AC$2&gt;=$AK14,AC$2&lt;=$AL14),IF($AM14&gt;=1,2,IF(AC$2&lt;$AK14+($AL14-$AK14+1)*$AM14,2,3)),0)))</f>
        <v/>
      </c>
      <c r="AD14" s="11">
        <f>IF($AP14="",0,IF($AO14="Yes",IF(AD$2=$AK14,"◆",0),IF(AND(AD$2&gt;=$AK14,AD$2&lt;=$AL14),IF($AM14&gt;=1,2,IF(AD$2&lt;$AK14+($AL14-$AK14+1)*$AM14,2,3)),0)))</f>
        <v/>
      </c>
      <c r="AE14" s="11">
        <f>IF($AP14="",0,IF($AO14="Yes",IF(AE$2=$AK14,"◆",0),IF(AND(AE$2&gt;=$AK14,AE$2&lt;=$AL14),IF($AM14&gt;=1,2,IF(AE$2&lt;$AK14+($AL14-$AK14+1)*$AM14,2,3)),0)))</f>
        <v/>
      </c>
      <c r="AF14" s="11">
        <f>IF($AP14="",0,IF($AO14="Yes",IF(AF$2=$AK14,"◆",0),IF(AND(AF$2&gt;=$AK14,AF$2&lt;=$AL14),IF($AM14&gt;=1,2,IF(AF$2&lt;$AK14+($AL14-$AK14+1)*$AM14,2,3)),0)))</f>
        <v/>
      </c>
      <c r="AG14" s="11">
        <f>IF($AP14="",0,IF($AO14="Yes",IF(AG$2=$AK14,"◆",0),IF(AND(AG$2&gt;=$AK14,AG$2&lt;=$AL14),IF($AM14&gt;=1,2,IF(AG$2&lt;$AK14+($AL14-$AK14+1)*$AM14,2,3)),0)))</f>
        <v/>
      </c>
      <c r="AH14" s="11">
        <f>IF($AP14="",0,IF($AO14="Yes",IF(AH$2=$AK14,"◆",0),IF(AND(AH$2&gt;=$AK14,AH$2&lt;=$AL14),IF($AM14&gt;=1,2,IF(AH$2&lt;$AK14+($AL14-$AK14+1)*$AM14,2,3)),0)))</f>
        <v/>
      </c>
      <c r="AI14" s="11">
        <f>IF($AP14="",0,IF($AO14="Yes",IF(AI$2=$AK14,"◆",0),IF(AND(AI$2&gt;=$AK14,AI$2&lt;=$AL14),IF($AM14&gt;=1,2,IF(AI$2&lt;$AK14+($AL14-$AK14+1)*$AM14,2,3)),0)))</f>
        <v/>
      </c>
      <c r="AJ14" s="11">
        <f>IF($AP14="",0,IF($AO14="Yes",IF(AJ$2=$AK14,"◆",0),IF(AND(AJ$2&gt;=$AK14,AJ$2&lt;=$AL14),IF($AM14&gt;=1,2,IF(AJ$2&lt;$AK14+($AL14-$AK14+1)*$AM14,2,3)),0)))</f>
        <v/>
      </c>
      <c r="AK14">
        <f>IFERROR(INDEX(tblTasks[Start Date],ROW()-5),"")</f>
        <v/>
      </c>
      <c r="AL14">
        <f>IFERROR(INDEX(tblTasks[End Date],ROW()-5),"")</f>
        <v/>
      </c>
      <c r="AM14">
        <f>IFERROR(INDEX(tblTasks[Progress %],ROW()-5),0)</f>
        <v/>
      </c>
      <c r="AN14">
        <f>IFERROR(INDEX(tblTasks[Status],ROW()-5),"")</f>
        <v/>
      </c>
      <c r="AO14">
        <f>IFERROR(INDEX(tblTasks[Milestone],ROW()-5),"No")</f>
        <v/>
      </c>
      <c r="AP14">
        <f>IFERROR(INDEX(tblTasks[Task ID],ROW()-5),"")</f>
        <v/>
      </c>
      <c r="AQ14">
        <f>IFERROR(INDEX(tblTasks[Phase],ROW()-5),"")</f>
        <v/>
      </c>
    </row>
    <row r="15">
      <c r="A15" s="9">
        <f>IF($AP15="","",$AP15)</f>
        <v/>
      </c>
      <c r="B15" s="10">
        <f>IF($AP15="","",IF($AO15="Yes","◆ ","")&amp;INDEX(tblTasks[Task Name],ROW()-5))</f>
        <v/>
      </c>
      <c r="C15" s="11">
        <f>IF($AP15="",0,IF($AO15="Yes",IF(C$2=$AK15,"◆",0),IF(AND(C$2&gt;=$AK15,C$2&lt;=$AL15),IF($AM15&gt;=1,2,IF(C$2&lt;$AK15+($AL15-$AK15+1)*$AM15,2,3)),0)))</f>
        <v/>
      </c>
      <c r="D15" s="11">
        <f>IF($AP15="",0,IF($AO15="Yes",IF(D$2=$AK15,"◆",0),IF(AND(D$2&gt;=$AK15,D$2&lt;=$AL15),IF($AM15&gt;=1,2,IF(D$2&lt;$AK15+($AL15-$AK15+1)*$AM15,2,3)),0)))</f>
        <v/>
      </c>
      <c r="E15" s="11">
        <f>IF($AP15="",0,IF($AO15="Yes",IF(E$2=$AK15,"◆",0),IF(AND(E$2&gt;=$AK15,E$2&lt;=$AL15),IF($AM15&gt;=1,2,IF(E$2&lt;$AK15+($AL15-$AK15+1)*$AM15,2,3)),0)))</f>
        <v/>
      </c>
      <c r="F15" s="11">
        <f>IF($AP15="",0,IF($AO15="Yes",IF(F$2=$AK15,"◆",0),IF(AND(F$2&gt;=$AK15,F$2&lt;=$AL15),IF($AM15&gt;=1,2,IF(F$2&lt;$AK15+($AL15-$AK15+1)*$AM15,2,3)),0)))</f>
        <v/>
      </c>
      <c r="G15" s="11">
        <f>IF($AP15="",0,IF($AO15="Yes",IF(G$2=$AK15,"◆",0),IF(AND(G$2&gt;=$AK15,G$2&lt;=$AL15),IF($AM15&gt;=1,2,IF(G$2&lt;$AK15+($AL15-$AK15+1)*$AM15,2,3)),0)))</f>
        <v/>
      </c>
      <c r="H15" s="11">
        <f>IF($AP15="",0,IF($AO15="Yes",IF(H$2=$AK15,"◆",0),IF(AND(H$2&gt;=$AK15,H$2&lt;=$AL15),IF($AM15&gt;=1,2,IF(H$2&lt;$AK15+($AL15-$AK15+1)*$AM15,2,3)),0)))</f>
        <v/>
      </c>
      <c r="I15" s="11">
        <f>IF($AP15="",0,IF($AO15="Yes",IF(I$2=$AK15,"◆",0),IF(AND(I$2&gt;=$AK15,I$2&lt;=$AL15),IF($AM15&gt;=1,2,IF(I$2&lt;$AK15+($AL15-$AK15+1)*$AM15,2,3)),0)))</f>
        <v/>
      </c>
      <c r="J15" s="11">
        <f>IF($AP15="",0,IF($AO15="Yes",IF(J$2=$AK15,"◆",0),IF(AND(J$2&gt;=$AK15,J$2&lt;=$AL15),IF($AM15&gt;=1,2,IF(J$2&lt;$AK15+($AL15-$AK15+1)*$AM15,2,3)),0)))</f>
        <v/>
      </c>
      <c r="K15" s="11">
        <f>IF($AP15="",0,IF($AO15="Yes",IF(K$2=$AK15,"◆",0),IF(AND(K$2&gt;=$AK15,K$2&lt;=$AL15),IF($AM15&gt;=1,2,IF(K$2&lt;$AK15+($AL15-$AK15+1)*$AM15,2,3)),0)))</f>
        <v/>
      </c>
      <c r="L15" s="11">
        <f>IF($AP15="",0,IF($AO15="Yes",IF(L$2=$AK15,"◆",0),IF(AND(L$2&gt;=$AK15,L$2&lt;=$AL15),IF($AM15&gt;=1,2,IF(L$2&lt;$AK15+($AL15-$AK15+1)*$AM15,2,3)),0)))</f>
        <v/>
      </c>
      <c r="M15" s="11">
        <f>IF($AP15="",0,IF($AO15="Yes",IF(M$2=$AK15,"◆",0),IF(AND(M$2&gt;=$AK15,M$2&lt;=$AL15),IF($AM15&gt;=1,2,IF(M$2&lt;$AK15+($AL15-$AK15+1)*$AM15,2,3)),0)))</f>
        <v/>
      </c>
      <c r="N15" s="11">
        <f>IF($AP15="",0,IF($AO15="Yes",IF(N$2=$AK15,"◆",0),IF(AND(N$2&gt;=$AK15,N$2&lt;=$AL15),IF($AM15&gt;=1,2,IF(N$2&lt;$AK15+($AL15-$AK15+1)*$AM15,2,3)),0)))</f>
        <v/>
      </c>
      <c r="O15" s="11">
        <f>IF($AP15="",0,IF($AO15="Yes",IF(O$2=$AK15,"◆",0),IF(AND(O$2&gt;=$AK15,O$2&lt;=$AL15),IF($AM15&gt;=1,2,IF(O$2&lt;$AK15+($AL15-$AK15+1)*$AM15,2,3)),0)))</f>
        <v/>
      </c>
      <c r="P15" s="11">
        <f>IF($AP15="",0,IF($AO15="Yes",IF(P$2=$AK15,"◆",0),IF(AND(P$2&gt;=$AK15,P$2&lt;=$AL15),IF($AM15&gt;=1,2,IF(P$2&lt;$AK15+($AL15-$AK15+1)*$AM15,2,3)),0)))</f>
        <v/>
      </c>
      <c r="Q15" s="11">
        <f>IF($AP15="",0,IF($AO15="Yes",IF(Q$2=$AK15,"◆",0),IF(AND(Q$2&gt;=$AK15,Q$2&lt;=$AL15),IF($AM15&gt;=1,2,IF(Q$2&lt;$AK15+($AL15-$AK15+1)*$AM15,2,3)),0)))</f>
        <v/>
      </c>
      <c r="R15" s="11">
        <f>IF($AP15="",0,IF($AO15="Yes",IF(R$2=$AK15,"◆",0),IF(AND(R$2&gt;=$AK15,R$2&lt;=$AL15),IF($AM15&gt;=1,2,IF(R$2&lt;$AK15+($AL15-$AK15+1)*$AM15,2,3)),0)))</f>
        <v/>
      </c>
      <c r="S15" s="11">
        <f>IF($AP15="",0,IF($AO15="Yes",IF(S$2=$AK15,"◆",0),IF(AND(S$2&gt;=$AK15,S$2&lt;=$AL15),IF($AM15&gt;=1,2,IF(S$2&lt;$AK15+($AL15-$AK15+1)*$AM15,2,3)),0)))</f>
        <v/>
      </c>
      <c r="T15" s="11">
        <f>IF($AP15="",0,IF($AO15="Yes",IF(T$2=$AK15,"◆",0),IF(AND(T$2&gt;=$AK15,T$2&lt;=$AL15),IF($AM15&gt;=1,2,IF(T$2&lt;$AK15+($AL15-$AK15+1)*$AM15,2,3)),0)))</f>
        <v/>
      </c>
      <c r="U15" s="11">
        <f>IF($AP15="",0,IF($AO15="Yes",IF(U$2=$AK15,"◆",0),IF(AND(U$2&gt;=$AK15,U$2&lt;=$AL15),IF($AM15&gt;=1,2,IF(U$2&lt;$AK15+($AL15-$AK15+1)*$AM15,2,3)),0)))</f>
        <v/>
      </c>
      <c r="V15" s="11">
        <f>IF($AP15="",0,IF($AO15="Yes",IF(V$2=$AK15,"◆",0),IF(AND(V$2&gt;=$AK15,V$2&lt;=$AL15),IF($AM15&gt;=1,2,IF(V$2&lt;$AK15+($AL15-$AK15+1)*$AM15,2,3)),0)))</f>
        <v/>
      </c>
      <c r="W15" s="11">
        <f>IF($AP15="",0,IF($AO15="Yes",IF(W$2=$AK15,"◆",0),IF(AND(W$2&gt;=$AK15,W$2&lt;=$AL15),IF($AM15&gt;=1,2,IF(W$2&lt;$AK15+($AL15-$AK15+1)*$AM15,2,3)),0)))</f>
        <v/>
      </c>
      <c r="X15" s="11">
        <f>IF($AP15="",0,IF($AO15="Yes",IF(X$2=$AK15,"◆",0),IF(AND(X$2&gt;=$AK15,X$2&lt;=$AL15),IF($AM15&gt;=1,2,IF(X$2&lt;$AK15+($AL15-$AK15+1)*$AM15,2,3)),0)))</f>
        <v/>
      </c>
      <c r="Y15" s="11">
        <f>IF($AP15="",0,IF($AO15="Yes",IF(Y$2=$AK15,"◆",0),IF(AND(Y$2&gt;=$AK15,Y$2&lt;=$AL15),IF($AM15&gt;=1,2,IF(Y$2&lt;$AK15+($AL15-$AK15+1)*$AM15,2,3)),0)))</f>
        <v/>
      </c>
      <c r="Z15" s="11">
        <f>IF($AP15="",0,IF($AO15="Yes",IF(Z$2=$AK15,"◆",0),IF(AND(Z$2&gt;=$AK15,Z$2&lt;=$AL15),IF($AM15&gt;=1,2,IF(Z$2&lt;$AK15+($AL15-$AK15+1)*$AM15,2,3)),0)))</f>
        <v/>
      </c>
      <c r="AA15" s="11">
        <f>IF($AP15="",0,IF($AO15="Yes",IF(AA$2=$AK15,"◆",0),IF(AND(AA$2&gt;=$AK15,AA$2&lt;=$AL15),IF($AM15&gt;=1,2,IF(AA$2&lt;$AK15+($AL15-$AK15+1)*$AM15,2,3)),0)))</f>
        <v/>
      </c>
      <c r="AB15" s="11">
        <f>IF($AP15="",0,IF($AO15="Yes",IF(AB$2=$AK15,"◆",0),IF(AND(AB$2&gt;=$AK15,AB$2&lt;=$AL15),IF($AM15&gt;=1,2,IF(AB$2&lt;$AK15+($AL15-$AK15+1)*$AM15,2,3)),0)))</f>
        <v/>
      </c>
      <c r="AC15" s="11">
        <f>IF($AP15="",0,IF($AO15="Yes",IF(AC$2=$AK15,"◆",0),IF(AND(AC$2&gt;=$AK15,AC$2&lt;=$AL15),IF($AM15&gt;=1,2,IF(AC$2&lt;$AK15+($AL15-$AK15+1)*$AM15,2,3)),0)))</f>
        <v/>
      </c>
      <c r="AD15" s="11">
        <f>IF($AP15="",0,IF($AO15="Yes",IF(AD$2=$AK15,"◆",0),IF(AND(AD$2&gt;=$AK15,AD$2&lt;=$AL15),IF($AM15&gt;=1,2,IF(AD$2&lt;$AK15+($AL15-$AK15+1)*$AM15,2,3)),0)))</f>
        <v/>
      </c>
      <c r="AE15" s="11">
        <f>IF($AP15="",0,IF($AO15="Yes",IF(AE$2=$AK15,"◆",0),IF(AND(AE$2&gt;=$AK15,AE$2&lt;=$AL15),IF($AM15&gt;=1,2,IF(AE$2&lt;$AK15+($AL15-$AK15+1)*$AM15,2,3)),0)))</f>
        <v/>
      </c>
      <c r="AF15" s="11">
        <f>IF($AP15="",0,IF($AO15="Yes",IF(AF$2=$AK15,"◆",0),IF(AND(AF$2&gt;=$AK15,AF$2&lt;=$AL15),IF($AM15&gt;=1,2,IF(AF$2&lt;$AK15+($AL15-$AK15+1)*$AM15,2,3)),0)))</f>
        <v/>
      </c>
      <c r="AG15" s="11">
        <f>IF($AP15="",0,IF($AO15="Yes",IF(AG$2=$AK15,"◆",0),IF(AND(AG$2&gt;=$AK15,AG$2&lt;=$AL15),IF($AM15&gt;=1,2,IF(AG$2&lt;$AK15+($AL15-$AK15+1)*$AM15,2,3)),0)))</f>
        <v/>
      </c>
      <c r="AH15" s="11">
        <f>IF($AP15="",0,IF($AO15="Yes",IF(AH$2=$AK15,"◆",0),IF(AND(AH$2&gt;=$AK15,AH$2&lt;=$AL15),IF($AM15&gt;=1,2,IF(AH$2&lt;$AK15+($AL15-$AK15+1)*$AM15,2,3)),0)))</f>
        <v/>
      </c>
      <c r="AI15" s="11">
        <f>IF($AP15="",0,IF($AO15="Yes",IF(AI$2=$AK15,"◆",0),IF(AND(AI$2&gt;=$AK15,AI$2&lt;=$AL15),IF($AM15&gt;=1,2,IF(AI$2&lt;$AK15+($AL15-$AK15+1)*$AM15,2,3)),0)))</f>
        <v/>
      </c>
      <c r="AJ15" s="11">
        <f>IF($AP15="",0,IF($AO15="Yes",IF(AJ$2=$AK15,"◆",0),IF(AND(AJ$2&gt;=$AK15,AJ$2&lt;=$AL15),IF($AM15&gt;=1,2,IF(AJ$2&lt;$AK15+($AL15-$AK15+1)*$AM15,2,3)),0)))</f>
        <v/>
      </c>
      <c r="AK15">
        <f>IFERROR(INDEX(tblTasks[Start Date],ROW()-5),"")</f>
        <v/>
      </c>
      <c r="AL15">
        <f>IFERROR(INDEX(tblTasks[End Date],ROW()-5),"")</f>
        <v/>
      </c>
      <c r="AM15">
        <f>IFERROR(INDEX(tblTasks[Progress %],ROW()-5),0)</f>
        <v/>
      </c>
      <c r="AN15">
        <f>IFERROR(INDEX(tblTasks[Status],ROW()-5),"")</f>
        <v/>
      </c>
      <c r="AO15">
        <f>IFERROR(INDEX(tblTasks[Milestone],ROW()-5),"No")</f>
        <v/>
      </c>
      <c r="AP15">
        <f>IFERROR(INDEX(tblTasks[Task ID],ROW()-5),"")</f>
        <v/>
      </c>
      <c r="AQ15">
        <f>IFERROR(INDEX(tblTasks[Phase],ROW()-5),"")</f>
        <v/>
      </c>
    </row>
    <row r="16">
      <c r="A16" s="9">
        <f>IF($AP16="","",$AP16)</f>
        <v/>
      </c>
      <c r="B16" s="10">
        <f>IF($AP16="","",IF($AO16="Yes","◆ ","")&amp;INDEX(tblTasks[Task Name],ROW()-5))</f>
        <v/>
      </c>
      <c r="C16" s="11">
        <f>IF($AP16="",0,IF($AO16="Yes",IF(C$2=$AK16,"◆",0),IF(AND(C$2&gt;=$AK16,C$2&lt;=$AL16),IF($AM16&gt;=1,2,IF(C$2&lt;$AK16+($AL16-$AK16+1)*$AM16,2,3)),0)))</f>
        <v/>
      </c>
      <c r="D16" s="11">
        <f>IF($AP16="",0,IF($AO16="Yes",IF(D$2=$AK16,"◆",0),IF(AND(D$2&gt;=$AK16,D$2&lt;=$AL16),IF($AM16&gt;=1,2,IF(D$2&lt;$AK16+($AL16-$AK16+1)*$AM16,2,3)),0)))</f>
        <v/>
      </c>
      <c r="E16" s="11">
        <f>IF($AP16="",0,IF($AO16="Yes",IF(E$2=$AK16,"◆",0),IF(AND(E$2&gt;=$AK16,E$2&lt;=$AL16),IF($AM16&gt;=1,2,IF(E$2&lt;$AK16+($AL16-$AK16+1)*$AM16,2,3)),0)))</f>
        <v/>
      </c>
      <c r="F16" s="11">
        <f>IF($AP16="",0,IF($AO16="Yes",IF(F$2=$AK16,"◆",0),IF(AND(F$2&gt;=$AK16,F$2&lt;=$AL16),IF($AM16&gt;=1,2,IF(F$2&lt;$AK16+($AL16-$AK16+1)*$AM16,2,3)),0)))</f>
        <v/>
      </c>
      <c r="G16" s="11">
        <f>IF($AP16="",0,IF($AO16="Yes",IF(G$2=$AK16,"◆",0),IF(AND(G$2&gt;=$AK16,G$2&lt;=$AL16),IF($AM16&gt;=1,2,IF(G$2&lt;$AK16+($AL16-$AK16+1)*$AM16,2,3)),0)))</f>
        <v/>
      </c>
      <c r="H16" s="11">
        <f>IF($AP16="",0,IF($AO16="Yes",IF(H$2=$AK16,"◆",0),IF(AND(H$2&gt;=$AK16,H$2&lt;=$AL16),IF($AM16&gt;=1,2,IF(H$2&lt;$AK16+($AL16-$AK16+1)*$AM16,2,3)),0)))</f>
        <v/>
      </c>
      <c r="I16" s="11">
        <f>IF($AP16="",0,IF($AO16="Yes",IF(I$2=$AK16,"◆",0),IF(AND(I$2&gt;=$AK16,I$2&lt;=$AL16),IF($AM16&gt;=1,2,IF(I$2&lt;$AK16+($AL16-$AK16+1)*$AM16,2,3)),0)))</f>
        <v/>
      </c>
      <c r="J16" s="11">
        <f>IF($AP16="",0,IF($AO16="Yes",IF(J$2=$AK16,"◆",0),IF(AND(J$2&gt;=$AK16,J$2&lt;=$AL16),IF($AM16&gt;=1,2,IF(J$2&lt;$AK16+($AL16-$AK16+1)*$AM16,2,3)),0)))</f>
        <v/>
      </c>
      <c r="K16" s="11">
        <f>IF($AP16="",0,IF($AO16="Yes",IF(K$2=$AK16,"◆",0),IF(AND(K$2&gt;=$AK16,K$2&lt;=$AL16),IF($AM16&gt;=1,2,IF(K$2&lt;$AK16+($AL16-$AK16+1)*$AM16,2,3)),0)))</f>
        <v/>
      </c>
      <c r="L16" s="11">
        <f>IF($AP16="",0,IF($AO16="Yes",IF(L$2=$AK16,"◆",0),IF(AND(L$2&gt;=$AK16,L$2&lt;=$AL16),IF($AM16&gt;=1,2,IF(L$2&lt;$AK16+($AL16-$AK16+1)*$AM16,2,3)),0)))</f>
        <v/>
      </c>
      <c r="M16" s="11">
        <f>IF($AP16="",0,IF($AO16="Yes",IF(M$2=$AK16,"◆",0),IF(AND(M$2&gt;=$AK16,M$2&lt;=$AL16),IF($AM16&gt;=1,2,IF(M$2&lt;$AK16+($AL16-$AK16+1)*$AM16,2,3)),0)))</f>
        <v/>
      </c>
      <c r="N16" s="11">
        <f>IF($AP16="",0,IF($AO16="Yes",IF(N$2=$AK16,"◆",0),IF(AND(N$2&gt;=$AK16,N$2&lt;=$AL16),IF($AM16&gt;=1,2,IF(N$2&lt;$AK16+($AL16-$AK16+1)*$AM16,2,3)),0)))</f>
        <v/>
      </c>
      <c r="O16" s="11">
        <f>IF($AP16="",0,IF($AO16="Yes",IF(O$2=$AK16,"◆",0),IF(AND(O$2&gt;=$AK16,O$2&lt;=$AL16),IF($AM16&gt;=1,2,IF(O$2&lt;$AK16+($AL16-$AK16+1)*$AM16,2,3)),0)))</f>
        <v/>
      </c>
      <c r="P16" s="11">
        <f>IF($AP16="",0,IF($AO16="Yes",IF(P$2=$AK16,"◆",0),IF(AND(P$2&gt;=$AK16,P$2&lt;=$AL16),IF($AM16&gt;=1,2,IF(P$2&lt;$AK16+($AL16-$AK16+1)*$AM16,2,3)),0)))</f>
        <v/>
      </c>
      <c r="Q16" s="11">
        <f>IF($AP16="",0,IF($AO16="Yes",IF(Q$2=$AK16,"◆",0),IF(AND(Q$2&gt;=$AK16,Q$2&lt;=$AL16),IF($AM16&gt;=1,2,IF(Q$2&lt;$AK16+($AL16-$AK16+1)*$AM16,2,3)),0)))</f>
        <v/>
      </c>
      <c r="R16" s="11">
        <f>IF($AP16="",0,IF($AO16="Yes",IF(R$2=$AK16,"◆",0),IF(AND(R$2&gt;=$AK16,R$2&lt;=$AL16),IF($AM16&gt;=1,2,IF(R$2&lt;$AK16+($AL16-$AK16+1)*$AM16,2,3)),0)))</f>
        <v/>
      </c>
      <c r="S16" s="11">
        <f>IF($AP16="",0,IF($AO16="Yes",IF(S$2=$AK16,"◆",0),IF(AND(S$2&gt;=$AK16,S$2&lt;=$AL16),IF($AM16&gt;=1,2,IF(S$2&lt;$AK16+($AL16-$AK16+1)*$AM16,2,3)),0)))</f>
        <v/>
      </c>
      <c r="T16" s="11">
        <f>IF($AP16="",0,IF($AO16="Yes",IF(T$2=$AK16,"◆",0),IF(AND(T$2&gt;=$AK16,T$2&lt;=$AL16),IF($AM16&gt;=1,2,IF(T$2&lt;$AK16+($AL16-$AK16+1)*$AM16,2,3)),0)))</f>
        <v/>
      </c>
      <c r="U16" s="11">
        <f>IF($AP16="",0,IF($AO16="Yes",IF(U$2=$AK16,"◆",0),IF(AND(U$2&gt;=$AK16,U$2&lt;=$AL16),IF($AM16&gt;=1,2,IF(U$2&lt;$AK16+($AL16-$AK16+1)*$AM16,2,3)),0)))</f>
        <v/>
      </c>
      <c r="V16" s="11">
        <f>IF($AP16="",0,IF($AO16="Yes",IF(V$2=$AK16,"◆",0),IF(AND(V$2&gt;=$AK16,V$2&lt;=$AL16),IF($AM16&gt;=1,2,IF(V$2&lt;$AK16+($AL16-$AK16+1)*$AM16,2,3)),0)))</f>
        <v/>
      </c>
      <c r="W16" s="11">
        <f>IF($AP16="",0,IF($AO16="Yes",IF(W$2=$AK16,"◆",0),IF(AND(W$2&gt;=$AK16,W$2&lt;=$AL16),IF($AM16&gt;=1,2,IF(W$2&lt;$AK16+($AL16-$AK16+1)*$AM16,2,3)),0)))</f>
        <v/>
      </c>
      <c r="X16" s="11">
        <f>IF($AP16="",0,IF($AO16="Yes",IF(X$2=$AK16,"◆",0),IF(AND(X$2&gt;=$AK16,X$2&lt;=$AL16),IF($AM16&gt;=1,2,IF(X$2&lt;$AK16+($AL16-$AK16+1)*$AM16,2,3)),0)))</f>
        <v/>
      </c>
      <c r="Y16" s="11">
        <f>IF($AP16="",0,IF($AO16="Yes",IF(Y$2=$AK16,"◆",0),IF(AND(Y$2&gt;=$AK16,Y$2&lt;=$AL16),IF($AM16&gt;=1,2,IF(Y$2&lt;$AK16+($AL16-$AK16+1)*$AM16,2,3)),0)))</f>
        <v/>
      </c>
      <c r="Z16" s="11">
        <f>IF($AP16="",0,IF($AO16="Yes",IF(Z$2=$AK16,"◆",0),IF(AND(Z$2&gt;=$AK16,Z$2&lt;=$AL16),IF($AM16&gt;=1,2,IF(Z$2&lt;$AK16+($AL16-$AK16+1)*$AM16,2,3)),0)))</f>
        <v/>
      </c>
      <c r="AA16" s="11">
        <f>IF($AP16="",0,IF($AO16="Yes",IF(AA$2=$AK16,"◆",0),IF(AND(AA$2&gt;=$AK16,AA$2&lt;=$AL16),IF($AM16&gt;=1,2,IF(AA$2&lt;$AK16+($AL16-$AK16+1)*$AM16,2,3)),0)))</f>
        <v/>
      </c>
      <c r="AB16" s="11">
        <f>IF($AP16="",0,IF($AO16="Yes",IF(AB$2=$AK16,"◆",0),IF(AND(AB$2&gt;=$AK16,AB$2&lt;=$AL16),IF($AM16&gt;=1,2,IF(AB$2&lt;$AK16+($AL16-$AK16+1)*$AM16,2,3)),0)))</f>
        <v/>
      </c>
      <c r="AC16" s="11">
        <f>IF($AP16="",0,IF($AO16="Yes",IF(AC$2=$AK16,"◆",0),IF(AND(AC$2&gt;=$AK16,AC$2&lt;=$AL16),IF($AM16&gt;=1,2,IF(AC$2&lt;$AK16+($AL16-$AK16+1)*$AM16,2,3)),0)))</f>
        <v/>
      </c>
      <c r="AD16" s="11">
        <f>IF($AP16="",0,IF($AO16="Yes",IF(AD$2=$AK16,"◆",0),IF(AND(AD$2&gt;=$AK16,AD$2&lt;=$AL16),IF($AM16&gt;=1,2,IF(AD$2&lt;$AK16+($AL16-$AK16+1)*$AM16,2,3)),0)))</f>
        <v/>
      </c>
      <c r="AE16" s="11">
        <f>IF($AP16="",0,IF($AO16="Yes",IF(AE$2=$AK16,"◆",0),IF(AND(AE$2&gt;=$AK16,AE$2&lt;=$AL16),IF($AM16&gt;=1,2,IF(AE$2&lt;$AK16+($AL16-$AK16+1)*$AM16,2,3)),0)))</f>
        <v/>
      </c>
      <c r="AF16" s="11">
        <f>IF($AP16="",0,IF($AO16="Yes",IF(AF$2=$AK16,"◆",0),IF(AND(AF$2&gt;=$AK16,AF$2&lt;=$AL16),IF($AM16&gt;=1,2,IF(AF$2&lt;$AK16+($AL16-$AK16+1)*$AM16,2,3)),0)))</f>
        <v/>
      </c>
      <c r="AG16" s="11">
        <f>IF($AP16="",0,IF($AO16="Yes",IF(AG$2=$AK16,"◆",0),IF(AND(AG$2&gt;=$AK16,AG$2&lt;=$AL16),IF($AM16&gt;=1,2,IF(AG$2&lt;$AK16+($AL16-$AK16+1)*$AM16,2,3)),0)))</f>
        <v/>
      </c>
      <c r="AH16" s="11">
        <f>IF($AP16="",0,IF($AO16="Yes",IF(AH$2=$AK16,"◆",0),IF(AND(AH$2&gt;=$AK16,AH$2&lt;=$AL16),IF($AM16&gt;=1,2,IF(AH$2&lt;$AK16+($AL16-$AK16+1)*$AM16,2,3)),0)))</f>
        <v/>
      </c>
      <c r="AI16" s="11">
        <f>IF($AP16="",0,IF($AO16="Yes",IF(AI$2=$AK16,"◆",0),IF(AND(AI$2&gt;=$AK16,AI$2&lt;=$AL16),IF($AM16&gt;=1,2,IF(AI$2&lt;$AK16+($AL16-$AK16+1)*$AM16,2,3)),0)))</f>
        <v/>
      </c>
      <c r="AJ16" s="11">
        <f>IF($AP16="",0,IF($AO16="Yes",IF(AJ$2=$AK16,"◆",0),IF(AND(AJ$2&gt;=$AK16,AJ$2&lt;=$AL16),IF($AM16&gt;=1,2,IF(AJ$2&lt;$AK16+($AL16-$AK16+1)*$AM16,2,3)),0)))</f>
        <v/>
      </c>
      <c r="AK16">
        <f>IFERROR(INDEX(tblTasks[Start Date],ROW()-5),"")</f>
        <v/>
      </c>
      <c r="AL16">
        <f>IFERROR(INDEX(tblTasks[End Date],ROW()-5),"")</f>
        <v/>
      </c>
      <c r="AM16">
        <f>IFERROR(INDEX(tblTasks[Progress %],ROW()-5),0)</f>
        <v/>
      </c>
      <c r="AN16">
        <f>IFERROR(INDEX(tblTasks[Status],ROW()-5),"")</f>
        <v/>
      </c>
      <c r="AO16">
        <f>IFERROR(INDEX(tblTasks[Milestone],ROW()-5),"No")</f>
        <v/>
      </c>
      <c r="AP16">
        <f>IFERROR(INDEX(tblTasks[Task ID],ROW()-5),"")</f>
        <v/>
      </c>
      <c r="AQ16">
        <f>IFERROR(INDEX(tblTasks[Phase],ROW()-5),"")</f>
        <v/>
      </c>
    </row>
    <row r="17">
      <c r="A17" s="9">
        <f>IF($AP17="","",$AP17)</f>
        <v/>
      </c>
      <c r="B17" s="10">
        <f>IF($AP17="","",IF($AO17="Yes","◆ ","")&amp;INDEX(tblTasks[Task Name],ROW()-5))</f>
        <v/>
      </c>
      <c r="C17" s="11">
        <f>IF($AP17="",0,IF($AO17="Yes",IF(C$2=$AK17,"◆",0),IF(AND(C$2&gt;=$AK17,C$2&lt;=$AL17),IF($AM17&gt;=1,2,IF(C$2&lt;$AK17+($AL17-$AK17+1)*$AM17,2,3)),0)))</f>
        <v/>
      </c>
      <c r="D17" s="11">
        <f>IF($AP17="",0,IF($AO17="Yes",IF(D$2=$AK17,"◆",0),IF(AND(D$2&gt;=$AK17,D$2&lt;=$AL17),IF($AM17&gt;=1,2,IF(D$2&lt;$AK17+($AL17-$AK17+1)*$AM17,2,3)),0)))</f>
        <v/>
      </c>
      <c r="E17" s="11">
        <f>IF($AP17="",0,IF($AO17="Yes",IF(E$2=$AK17,"◆",0),IF(AND(E$2&gt;=$AK17,E$2&lt;=$AL17),IF($AM17&gt;=1,2,IF(E$2&lt;$AK17+($AL17-$AK17+1)*$AM17,2,3)),0)))</f>
        <v/>
      </c>
      <c r="F17" s="11">
        <f>IF($AP17="",0,IF($AO17="Yes",IF(F$2=$AK17,"◆",0),IF(AND(F$2&gt;=$AK17,F$2&lt;=$AL17),IF($AM17&gt;=1,2,IF(F$2&lt;$AK17+($AL17-$AK17+1)*$AM17,2,3)),0)))</f>
        <v/>
      </c>
      <c r="G17" s="11">
        <f>IF($AP17="",0,IF($AO17="Yes",IF(G$2=$AK17,"◆",0),IF(AND(G$2&gt;=$AK17,G$2&lt;=$AL17),IF($AM17&gt;=1,2,IF(G$2&lt;$AK17+($AL17-$AK17+1)*$AM17,2,3)),0)))</f>
        <v/>
      </c>
      <c r="H17" s="11">
        <f>IF($AP17="",0,IF($AO17="Yes",IF(H$2=$AK17,"◆",0),IF(AND(H$2&gt;=$AK17,H$2&lt;=$AL17),IF($AM17&gt;=1,2,IF(H$2&lt;$AK17+($AL17-$AK17+1)*$AM17,2,3)),0)))</f>
        <v/>
      </c>
      <c r="I17" s="11">
        <f>IF($AP17="",0,IF($AO17="Yes",IF(I$2=$AK17,"◆",0),IF(AND(I$2&gt;=$AK17,I$2&lt;=$AL17),IF($AM17&gt;=1,2,IF(I$2&lt;$AK17+($AL17-$AK17+1)*$AM17,2,3)),0)))</f>
        <v/>
      </c>
      <c r="J17" s="11">
        <f>IF($AP17="",0,IF($AO17="Yes",IF(J$2=$AK17,"◆",0),IF(AND(J$2&gt;=$AK17,J$2&lt;=$AL17),IF($AM17&gt;=1,2,IF(J$2&lt;$AK17+($AL17-$AK17+1)*$AM17,2,3)),0)))</f>
        <v/>
      </c>
      <c r="K17" s="11">
        <f>IF($AP17="",0,IF($AO17="Yes",IF(K$2=$AK17,"◆",0),IF(AND(K$2&gt;=$AK17,K$2&lt;=$AL17),IF($AM17&gt;=1,2,IF(K$2&lt;$AK17+($AL17-$AK17+1)*$AM17,2,3)),0)))</f>
        <v/>
      </c>
      <c r="L17" s="11">
        <f>IF($AP17="",0,IF($AO17="Yes",IF(L$2=$AK17,"◆",0),IF(AND(L$2&gt;=$AK17,L$2&lt;=$AL17),IF($AM17&gt;=1,2,IF(L$2&lt;$AK17+($AL17-$AK17+1)*$AM17,2,3)),0)))</f>
        <v/>
      </c>
      <c r="M17" s="11">
        <f>IF($AP17="",0,IF($AO17="Yes",IF(M$2=$AK17,"◆",0),IF(AND(M$2&gt;=$AK17,M$2&lt;=$AL17),IF($AM17&gt;=1,2,IF(M$2&lt;$AK17+($AL17-$AK17+1)*$AM17,2,3)),0)))</f>
        <v/>
      </c>
      <c r="N17" s="11">
        <f>IF($AP17="",0,IF($AO17="Yes",IF(N$2=$AK17,"◆",0),IF(AND(N$2&gt;=$AK17,N$2&lt;=$AL17),IF($AM17&gt;=1,2,IF(N$2&lt;$AK17+($AL17-$AK17+1)*$AM17,2,3)),0)))</f>
        <v/>
      </c>
      <c r="O17" s="11">
        <f>IF($AP17="",0,IF($AO17="Yes",IF(O$2=$AK17,"◆",0),IF(AND(O$2&gt;=$AK17,O$2&lt;=$AL17),IF($AM17&gt;=1,2,IF(O$2&lt;$AK17+($AL17-$AK17+1)*$AM17,2,3)),0)))</f>
        <v/>
      </c>
      <c r="P17" s="11">
        <f>IF($AP17="",0,IF($AO17="Yes",IF(P$2=$AK17,"◆",0),IF(AND(P$2&gt;=$AK17,P$2&lt;=$AL17),IF($AM17&gt;=1,2,IF(P$2&lt;$AK17+($AL17-$AK17+1)*$AM17,2,3)),0)))</f>
        <v/>
      </c>
      <c r="Q17" s="11">
        <f>IF($AP17="",0,IF($AO17="Yes",IF(Q$2=$AK17,"◆",0),IF(AND(Q$2&gt;=$AK17,Q$2&lt;=$AL17),IF($AM17&gt;=1,2,IF(Q$2&lt;$AK17+($AL17-$AK17+1)*$AM17,2,3)),0)))</f>
        <v/>
      </c>
      <c r="R17" s="11">
        <f>IF($AP17="",0,IF($AO17="Yes",IF(R$2=$AK17,"◆",0),IF(AND(R$2&gt;=$AK17,R$2&lt;=$AL17),IF($AM17&gt;=1,2,IF(R$2&lt;$AK17+($AL17-$AK17+1)*$AM17,2,3)),0)))</f>
        <v/>
      </c>
      <c r="S17" s="11">
        <f>IF($AP17="",0,IF($AO17="Yes",IF(S$2=$AK17,"◆",0),IF(AND(S$2&gt;=$AK17,S$2&lt;=$AL17),IF($AM17&gt;=1,2,IF(S$2&lt;$AK17+($AL17-$AK17+1)*$AM17,2,3)),0)))</f>
        <v/>
      </c>
      <c r="T17" s="11">
        <f>IF($AP17="",0,IF($AO17="Yes",IF(T$2=$AK17,"◆",0),IF(AND(T$2&gt;=$AK17,T$2&lt;=$AL17),IF($AM17&gt;=1,2,IF(T$2&lt;$AK17+($AL17-$AK17+1)*$AM17,2,3)),0)))</f>
        <v/>
      </c>
      <c r="U17" s="11">
        <f>IF($AP17="",0,IF($AO17="Yes",IF(U$2=$AK17,"◆",0),IF(AND(U$2&gt;=$AK17,U$2&lt;=$AL17),IF($AM17&gt;=1,2,IF(U$2&lt;$AK17+($AL17-$AK17+1)*$AM17,2,3)),0)))</f>
        <v/>
      </c>
      <c r="V17" s="11">
        <f>IF($AP17="",0,IF($AO17="Yes",IF(V$2=$AK17,"◆",0),IF(AND(V$2&gt;=$AK17,V$2&lt;=$AL17),IF($AM17&gt;=1,2,IF(V$2&lt;$AK17+($AL17-$AK17+1)*$AM17,2,3)),0)))</f>
        <v/>
      </c>
      <c r="W17" s="11">
        <f>IF($AP17="",0,IF($AO17="Yes",IF(W$2=$AK17,"◆",0),IF(AND(W$2&gt;=$AK17,W$2&lt;=$AL17),IF($AM17&gt;=1,2,IF(W$2&lt;$AK17+($AL17-$AK17+1)*$AM17,2,3)),0)))</f>
        <v/>
      </c>
      <c r="X17" s="11">
        <f>IF($AP17="",0,IF($AO17="Yes",IF(X$2=$AK17,"◆",0),IF(AND(X$2&gt;=$AK17,X$2&lt;=$AL17),IF($AM17&gt;=1,2,IF(X$2&lt;$AK17+($AL17-$AK17+1)*$AM17,2,3)),0)))</f>
        <v/>
      </c>
      <c r="Y17" s="11">
        <f>IF($AP17="",0,IF($AO17="Yes",IF(Y$2=$AK17,"◆",0),IF(AND(Y$2&gt;=$AK17,Y$2&lt;=$AL17),IF($AM17&gt;=1,2,IF(Y$2&lt;$AK17+($AL17-$AK17+1)*$AM17,2,3)),0)))</f>
        <v/>
      </c>
      <c r="Z17" s="11">
        <f>IF($AP17="",0,IF($AO17="Yes",IF(Z$2=$AK17,"◆",0),IF(AND(Z$2&gt;=$AK17,Z$2&lt;=$AL17),IF($AM17&gt;=1,2,IF(Z$2&lt;$AK17+($AL17-$AK17+1)*$AM17,2,3)),0)))</f>
        <v/>
      </c>
      <c r="AA17" s="11">
        <f>IF($AP17="",0,IF($AO17="Yes",IF(AA$2=$AK17,"◆",0),IF(AND(AA$2&gt;=$AK17,AA$2&lt;=$AL17),IF($AM17&gt;=1,2,IF(AA$2&lt;$AK17+($AL17-$AK17+1)*$AM17,2,3)),0)))</f>
        <v/>
      </c>
      <c r="AB17" s="11">
        <f>IF($AP17="",0,IF($AO17="Yes",IF(AB$2=$AK17,"◆",0),IF(AND(AB$2&gt;=$AK17,AB$2&lt;=$AL17),IF($AM17&gt;=1,2,IF(AB$2&lt;$AK17+($AL17-$AK17+1)*$AM17,2,3)),0)))</f>
        <v/>
      </c>
      <c r="AC17" s="11">
        <f>IF($AP17="",0,IF($AO17="Yes",IF(AC$2=$AK17,"◆",0),IF(AND(AC$2&gt;=$AK17,AC$2&lt;=$AL17),IF($AM17&gt;=1,2,IF(AC$2&lt;$AK17+($AL17-$AK17+1)*$AM17,2,3)),0)))</f>
        <v/>
      </c>
      <c r="AD17" s="11">
        <f>IF($AP17="",0,IF($AO17="Yes",IF(AD$2=$AK17,"◆",0),IF(AND(AD$2&gt;=$AK17,AD$2&lt;=$AL17),IF($AM17&gt;=1,2,IF(AD$2&lt;$AK17+($AL17-$AK17+1)*$AM17,2,3)),0)))</f>
        <v/>
      </c>
      <c r="AE17" s="11">
        <f>IF($AP17="",0,IF($AO17="Yes",IF(AE$2=$AK17,"◆",0),IF(AND(AE$2&gt;=$AK17,AE$2&lt;=$AL17),IF($AM17&gt;=1,2,IF(AE$2&lt;$AK17+($AL17-$AK17+1)*$AM17,2,3)),0)))</f>
        <v/>
      </c>
      <c r="AF17" s="11">
        <f>IF($AP17="",0,IF($AO17="Yes",IF(AF$2=$AK17,"◆",0),IF(AND(AF$2&gt;=$AK17,AF$2&lt;=$AL17),IF($AM17&gt;=1,2,IF(AF$2&lt;$AK17+($AL17-$AK17+1)*$AM17,2,3)),0)))</f>
        <v/>
      </c>
      <c r="AG17" s="11">
        <f>IF($AP17="",0,IF($AO17="Yes",IF(AG$2=$AK17,"◆",0),IF(AND(AG$2&gt;=$AK17,AG$2&lt;=$AL17),IF($AM17&gt;=1,2,IF(AG$2&lt;$AK17+($AL17-$AK17+1)*$AM17,2,3)),0)))</f>
        <v/>
      </c>
      <c r="AH17" s="11">
        <f>IF($AP17="",0,IF($AO17="Yes",IF(AH$2=$AK17,"◆",0),IF(AND(AH$2&gt;=$AK17,AH$2&lt;=$AL17),IF($AM17&gt;=1,2,IF(AH$2&lt;$AK17+($AL17-$AK17+1)*$AM17,2,3)),0)))</f>
        <v/>
      </c>
      <c r="AI17" s="11">
        <f>IF($AP17="",0,IF($AO17="Yes",IF(AI$2=$AK17,"◆",0),IF(AND(AI$2&gt;=$AK17,AI$2&lt;=$AL17),IF($AM17&gt;=1,2,IF(AI$2&lt;$AK17+($AL17-$AK17+1)*$AM17,2,3)),0)))</f>
        <v/>
      </c>
      <c r="AJ17" s="11">
        <f>IF($AP17="",0,IF($AO17="Yes",IF(AJ$2=$AK17,"◆",0),IF(AND(AJ$2&gt;=$AK17,AJ$2&lt;=$AL17),IF($AM17&gt;=1,2,IF(AJ$2&lt;$AK17+($AL17-$AK17+1)*$AM17,2,3)),0)))</f>
        <v/>
      </c>
      <c r="AK17">
        <f>IFERROR(INDEX(tblTasks[Start Date],ROW()-5),"")</f>
        <v/>
      </c>
      <c r="AL17">
        <f>IFERROR(INDEX(tblTasks[End Date],ROW()-5),"")</f>
        <v/>
      </c>
      <c r="AM17">
        <f>IFERROR(INDEX(tblTasks[Progress %],ROW()-5),0)</f>
        <v/>
      </c>
      <c r="AN17">
        <f>IFERROR(INDEX(tblTasks[Status],ROW()-5),"")</f>
        <v/>
      </c>
      <c r="AO17">
        <f>IFERROR(INDEX(tblTasks[Milestone],ROW()-5),"No")</f>
        <v/>
      </c>
      <c r="AP17">
        <f>IFERROR(INDEX(tblTasks[Task ID],ROW()-5),"")</f>
        <v/>
      </c>
      <c r="AQ17">
        <f>IFERROR(INDEX(tblTasks[Phase],ROW()-5),"")</f>
        <v/>
      </c>
    </row>
    <row r="18">
      <c r="A18" s="9">
        <f>IF($AP18="","",$AP18)</f>
        <v/>
      </c>
      <c r="B18" s="10">
        <f>IF($AP18="","",IF($AO18="Yes","◆ ","")&amp;INDEX(tblTasks[Task Name],ROW()-5))</f>
        <v/>
      </c>
      <c r="C18" s="11">
        <f>IF($AP18="",0,IF($AO18="Yes",IF(C$2=$AK18,"◆",0),IF(AND(C$2&gt;=$AK18,C$2&lt;=$AL18),IF($AM18&gt;=1,2,IF(C$2&lt;$AK18+($AL18-$AK18+1)*$AM18,2,3)),0)))</f>
        <v/>
      </c>
      <c r="D18" s="11">
        <f>IF($AP18="",0,IF($AO18="Yes",IF(D$2=$AK18,"◆",0),IF(AND(D$2&gt;=$AK18,D$2&lt;=$AL18),IF($AM18&gt;=1,2,IF(D$2&lt;$AK18+($AL18-$AK18+1)*$AM18,2,3)),0)))</f>
        <v/>
      </c>
      <c r="E18" s="11">
        <f>IF($AP18="",0,IF($AO18="Yes",IF(E$2=$AK18,"◆",0),IF(AND(E$2&gt;=$AK18,E$2&lt;=$AL18),IF($AM18&gt;=1,2,IF(E$2&lt;$AK18+($AL18-$AK18+1)*$AM18,2,3)),0)))</f>
        <v/>
      </c>
      <c r="F18" s="11">
        <f>IF($AP18="",0,IF($AO18="Yes",IF(F$2=$AK18,"◆",0),IF(AND(F$2&gt;=$AK18,F$2&lt;=$AL18),IF($AM18&gt;=1,2,IF(F$2&lt;$AK18+($AL18-$AK18+1)*$AM18,2,3)),0)))</f>
        <v/>
      </c>
      <c r="G18" s="11">
        <f>IF($AP18="",0,IF($AO18="Yes",IF(G$2=$AK18,"◆",0),IF(AND(G$2&gt;=$AK18,G$2&lt;=$AL18),IF($AM18&gt;=1,2,IF(G$2&lt;$AK18+($AL18-$AK18+1)*$AM18,2,3)),0)))</f>
        <v/>
      </c>
      <c r="H18" s="11">
        <f>IF($AP18="",0,IF($AO18="Yes",IF(H$2=$AK18,"◆",0),IF(AND(H$2&gt;=$AK18,H$2&lt;=$AL18),IF($AM18&gt;=1,2,IF(H$2&lt;$AK18+($AL18-$AK18+1)*$AM18,2,3)),0)))</f>
        <v/>
      </c>
      <c r="I18" s="11">
        <f>IF($AP18="",0,IF($AO18="Yes",IF(I$2=$AK18,"◆",0),IF(AND(I$2&gt;=$AK18,I$2&lt;=$AL18),IF($AM18&gt;=1,2,IF(I$2&lt;$AK18+($AL18-$AK18+1)*$AM18,2,3)),0)))</f>
        <v/>
      </c>
      <c r="J18" s="11">
        <f>IF($AP18="",0,IF($AO18="Yes",IF(J$2=$AK18,"◆",0),IF(AND(J$2&gt;=$AK18,J$2&lt;=$AL18),IF($AM18&gt;=1,2,IF(J$2&lt;$AK18+($AL18-$AK18+1)*$AM18,2,3)),0)))</f>
        <v/>
      </c>
      <c r="K18" s="11">
        <f>IF($AP18="",0,IF($AO18="Yes",IF(K$2=$AK18,"◆",0),IF(AND(K$2&gt;=$AK18,K$2&lt;=$AL18),IF($AM18&gt;=1,2,IF(K$2&lt;$AK18+($AL18-$AK18+1)*$AM18,2,3)),0)))</f>
        <v/>
      </c>
      <c r="L18" s="11">
        <f>IF($AP18="",0,IF($AO18="Yes",IF(L$2=$AK18,"◆",0),IF(AND(L$2&gt;=$AK18,L$2&lt;=$AL18),IF($AM18&gt;=1,2,IF(L$2&lt;$AK18+($AL18-$AK18+1)*$AM18,2,3)),0)))</f>
        <v/>
      </c>
      <c r="M18" s="11">
        <f>IF($AP18="",0,IF($AO18="Yes",IF(M$2=$AK18,"◆",0),IF(AND(M$2&gt;=$AK18,M$2&lt;=$AL18),IF($AM18&gt;=1,2,IF(M$2&lt;$AK18+($AL18-$AK18+1)*$AM18,2,3)),0)))</f>
        <v/>
      </c>
      <c r="N18" s="11">
        <f>IF($AP18="",0,IF($AO18="Yes",IF(N$2=$AK18,"◆",0),IF(AND(N$2&gt;=$AK18,N$2&lt;=$AL18),IF($AM18&gt;=1,2,IF(N$2&lt;$AK18+($AL18-$AK18+1)*$AM18,2,3)),0)))</f>
        <v/>
      </c>
      <c r="O18" s="11">
        <f>IF($AP18="",0,IF($AO18="Yes",IF(O$2=$AK18,"◆",0),IF(AND(O$2&gt;=$AK18,O$2&lt;=$AL18),IF($AM18&gt;=1,2,IF(O$2&lt;$AK18+($AL18-$AK18+1)*$AM18,2,3)),0)))</f>
        <v/>
      </c>
      <c r="P18" s="11">
        <f>IF($AP18="",0,IF($AO18="Yes",IF(P$2=$AK18,"◆",0),IF(AND(P$2&gt;=$AK18,P$2&lt;=$AL18),IF($AM18&gt;=1,2,IF(P$2&lt;$AK18+($AL18-$AK18+1)*$AM18,2,3)),0)))</f>
        <v/>
      </c>
      <c r="Q18" s="11">
        <f>IF($AP18="",0,IF($AO18="Yes",IF(Q$2=$AK18,"◆",0),IF(AND(Q$2&gt;=$AK18,Q$2&lt;=$AL18),IF($AM18&gt;=1,2,IF(Q$2&lt;$AK18+($AL18-$AK18+1)*$AM18,2,3)),0)))</f>
        <v/>
      </c>
      <c r="R18" s="11">
        <f>IF($AP18="",0,IF($AO18="Yes",IF(R$2=$AK18,"◆",0),IF(AND(R$2&gt;=$AK18,R$2&lt;=$AL18),IF($AM18&gt;=1,2,IF(R$2&lt;$AK18+($AL18-$AK18+1)*$AM18,2,3)),0)))</f>
        <v/>
      </c>
      <c r="S18" s="11">
        <f>IF($AP18="",0,IF($AO18="Yes",IF(S$2=$AK18,"◆",0),IF(AND(S$2&gt;=$AK18,S$2&lt;=$AL18),IF($AM18&gt;=1,2,IF(S$2&lt;$AK18+($AL18-$AK18+1)*$AM18,2,3)),0)))</f>
        <v/>
      </c>
      <c r="T18" s="11">
        <f>IF($AP18="",0,IF($AO18="Yes",IF(T$2=$AK18,"◆",0),IF(AND(T$2&gt;=$AK18,T$2&lt;=$AL18),IF($AM18&gt;=1,2,IF(T$2&lt;$AK18+($AL18-$AK18+1)*$AM18,2,3)),0)))</f>
        <v/>
      </c>
      <c r="U18" s="11">
        <f>IF($AP18="",0,IF($AO18="Yes",IF(U$2=$AK18,"◆",0),IF(AND(U$2&gt;=$AK18,U$2&lt;=$AL18),IF($AM18&gt;=1,2,IF(U$2&lt;$AK18+($AL18-$AK18+1)*$AM18,2,3)),0)))</f>
        <v/>
      </c>
      <c r="V18" s="11">
        <f>IF($AP18="",0,IF($AO18="Yes",IF(V$2=$AK18,"◆",0),IF(AND(V$2&gt;=$AK18,V$2&lt;=$AL18),IF($AM18&gt;=1,2,IF(V$2&lt;$AK18+($AL18-$AK18+1)*$AM18,2,3)),0)))</f>
        <v/>
      </c>
      <c r="W18" s="11">
        <f>IF($AP18="",0,IF($AO18="Yes",IF(W$2=$AK18,"◆",0),IF(AND(W$2&gt;=$AK18,W$2&lt;=$AL18),IF($AM18&gt;=1,2,IF(W$2&lt;$AK18+($AL18-$AK18+1)*$AM18,2,3)),0)))</f>
        <v/>
      </c>
      <c r="X18" s="11">
        <f>IF($AP18="",0,IF($AO18="Yes",IF(X$2=$AK18,"◆",0),IF(AND(X$2&gt;=$AK18,X$2&lt;=$AL18),IF($AM18&gt;=1,2,IF(X$2&lt;$AK18+($AL18-$AK18+1)*$AM18,2,3)),0)))</f>
        <v/>
      </c>
      <c r="Y18" s="11">
        <f>IF($AP18="",0,IF($AO18="Yes",IF(Y$2=$AK18,"◆",0),IF(AND(Y$2&gt;=$AK18,Y$2&lt;=$AL18),IF($AM18&gt;=1,2,IF(Y$2&lt;$AK18+($AL18-$AK18+1)*$AM18,2,3)),0)))</f>
        <v/>
      </c>
      <c r="Z18" s="11">
        <f>IF($AP18="",0,IF($AO18="Yes",IF(Z$2=$AK18,"◆",0),IF(AND(Z$2&gt;=$AK18,Z$2&lt;=$AL18),IF($AM18&gt;=1,2,IF(Z$2&lt;$AK18+($AL18-$AK18+1)*$AM18,2,3)),0)))</f>
        <v/>
      </c>
      <c r="AA18" s="11">
        <f>IF($AP18="",0,IF($AO18="Yes",IF(AA$2=$AK18,"◆",0),IF(AND(AA$2&gt;=$AK18,AA$2&lt;=$AL18),IF($AM18&gt;=1,2,IF(AA$2&lt;$AK18+($AL18-$AK18+1)*$AM18,2,3)),0)))</f>
        <v/>
      </c>
      <c r="AB18" s="11">
        <f>IF($AP18="",0,IF($AO18="Yes",IF(AB$2=$AK18,"◆",0),IF(AND(AB$2&gt;=$AK18,AB$2&lt;=$AL18),IF($AM18&gt;=1,2,IF(AB$2&lt;$AK18+($AL18-$AK18+1)*$AM18,2,3)),0)))</f>
        <v/>
      </c>
      <c r="AC18" s="11">
        <f>IF($AP18="",0,IF($AO18="Yes",IF(AC$2=$AK18,"◆",0),IF(AND(AC$2&gt;=$AK18,AC$2&lt;=$AL18),IF($AM18&gt;=1,2,IF(AC$2&lt;$AK18+($AL18-$AK18+1)*$AM18,2,3)),0)))</f>
        <v/>
      </c>
      <c r="AD18" s="11">
        <f>IF($AP18="",0,IF($AO18="Yes",IF(AD$2=$AK18,"◆",0),IF(AND(AD$2&gt;=$AK18,AD$2&lt;=$AL18),IF($AM18&gt;=1,2,IF(AD$2&lt;$AK18+($AL18-$AK18+1)*$AM18,2,3)),0)))</f>
        <v/>
      </c>
      <c r="AE18" s="11">
        <f>IF($AP18="",0,IF($AO18="Yes",IF(AE$2=$AK18,"◆",0),IF(AND(AE$2&gt;=$AK18,AE$2&lt;=$AL18),IF($AM18&gt;=1,2,IF(AE$2&lt;$AK18+($AL18-$AK18+1)*$AM18,2,3)),0)))</f>
        <v/>
      </c>
      <c r="AF18" s="11">
        <f>IF($AP18="",0,IF($AO18="Yes",IF(AF$2=$AK18,"◆",0),IF(AND(AF$2&gt;=$AK18,AF$2&lt;=$AL18),IF($AM18&gt;=1,2,IF(AF$2&lt;$AK18+($AL18-$AK18+1)*$AM18,2,3)),0)))</f>
        <v/>
      </c>
      <c r="AG18" s="11">
        <f>IF($AP18="",0,IF($AO18="Yes",IF(AG$2=$AK18,"◆",0),IF(AND(AG$2&gt;=$AK18,AG$2&lt;=$AL18),IF($AM18&gt;=1,2,IF(AG$2&lt;$AK18+($AL18-$AK18+1)*$AM18,2,3)),0)))</f>
        <v/>
      </c>
      <c r="AH18" s="11">
        <f>IF($AP18="",0,IF($AO18="Yes",IF(AH$2=$AK18,"◆",0),IF(AND(AH$2&gt;=$AK18,AH$2&lt;=$AL18),IF($AM18&gt;=1,2,IF(AH$2&lt;$AK18+($AL18-$AK18+1)*$AM18,2,3)),0)))</f>
        <v/>
      </c>
      <c r="AI18" s="11">
        <f>IF($AP18="",0,IF($AO18="Yes",IF(AI$2=$AK18,"◆",0),IF(AND(AI$2&gt;=$AK18,AI$2&lt;=$AL18),IF($AM18&gt;=1,2,IF(AI$2&lt;$AK18+($AL18-$AK18+1)*$AM18,2,3)),0)))</f>
        <v/>
      </c>
      <c r="AJ18" s="11">
        <f>IF($AP18="",0,IF($AO18="Yes",IF(AJ$2=$AK18,"◆",0),IF(AND(AJ$2&gt;=$AK18,AJ$2&lt;=$AL18),IF($AM18&gt;=1,2,IF(AJ$2&lt;$AK18+($AL18-$AK18+1)*$AM18,2,3)),0)))</f>
        <v/>
      </c>
      <c r="AK18">
        <f>IFERROR(INDEX(tblTasks[Start Date],ROW()-5),"")</f>
        <v/>
      </c>
      <c r="AL18">
        <f>IFERROR(INDEX(tblTasks[End Date],ROW()-5),"")</f>
        <v/>
      </c>
      <c r="AM18">
        <f>IFERROR(INDEX(tblTasks[Progress %],ROW()-5),0)</f>
        <v/>
      </c>
      <c r="AN18">
        <f>IFERROR(INDEX(tblTasks[Status],ROW()-5),"")</f>
        <v/>
      </c>
      <c r="AO18">
        <f>IFERROR(INDEX(tblTasks[Milestone],ROW()-5),"No")</f>
        <v/>
      </c>
      <c r="AP18">
        <f>IFERROR(INDEX(tblTasks[Task ID],ROW()-5),"")</f>
        <v/>
      </c>
      <c r="AQ18">
        <f>IFERROR(INDEX(tblTasks[Phase],ROW()-5),"")</f>
        <v/>
      </c>
    </row>
    <row r="19">
      <c r="A19" s="9">
        <f>IF($AP19="","",$AP19)</f>
        <v/>
      </c>
      <c r="B19" s="10">
        <f>IF($AP19="","",IF($AO19="Yes","◆ ","")&amp;INDEX(tblTasks[Task Name],ROW()-5))</f>
        <v/>
      </c>
      <c r="C19" s="11">
        <f>IF($AP19="",0,IF($AO19="Yes",IF(C$2=$AK19,"◆",0),IF(AND(C$2&gt;=$AK19,C$2&lt;=$AL19),IF($AM19&gt;=1,2,IF(C$2&lt;$AK19+($AL19-$AK19+1)*$AM19,2,3)),0)))</f>
        <v/>
      </c>
      <c r="D19" s="11">
        <f>IF($AP19="",0,IF($AO19="Yes",IF(D$2=$AK19,"◆",0),IF(AND(D$2&gt;=$AK19,D$2&lt;=$AL19),IF($AM19&gt;=1,2,IF(D$2&lt;$AK19+($AL19-$AK19+1)*$AM19,2,3)),0)))</f>
        <v/>
      </c>
      <c r="E19" s="11">
        <f>IF($AP19="",0,IF($AO19="Yes",IF(E$2=$AK19,"◆",0),IF(AND(E$2&gt;=$AK19,E$2&lt;=$AL19),IF($AM19&gt;=1,2,IF(E$2&lt;$AK19+($AL19-$AK19+1)*$AM19,2,3)),0)))</f>
        <v/>
      </c>
      <c r="F19" s="11">
        <f>IF($AP19="",0,IF($AO19="Yes",IF(F$2=$AK19,"◆",0),IF(AND(F$2&gt;=$AK19,F$2&lt;=$AL19),IF($AM19&gt;=1,2,IF(F$2&lt;$AK19+($AL19-$AK19+1)*$AM19,2,3)),0)))</f>
        <v/>
      </c>
      <c r="G19" s="11">
        <f>IF($AP19="",0,IF($AO19="Yes",IF(G$2=$AK19,"◆",0),IF(AND(G$2&gt;=$AK19,G$2&lt;=$AL19),IF($AM19&gt;=1,2,IF(G$2&lt;$AK19+($AL19-$AK19+1)*$AM19,2,3)),0)))</f>
        <v/>
      </c>
      <c r="H19" s="11">
        <f>IF($AP19="",0,IF($AO19="Yes",IF(H$2=$AK19,"◆",0),IF(AND(H$2&gt;=$AK19,H$2&lt;=$AL19),IF($AM19&gt;=1,2,IF(H$2&lt;$AK19+($AL19-$AK19+1)*$AM19,2,3)),0)))</f>
        <v/>
      </c>
      <c r="I19" s="11">
        <f>IF($AP19="",0,IF($AO19="Yes",IF(I$2=$AK19,"◆",0),IF(AND(I$2&gt;=$AK19,I$2&lt;=$AL19),IF($AM19&gt;=1,2,IF(I$2&lt;$AK19+($AL19-$AK19+1)*$AM19,2,3)),0)))</f>
        <v/>
      </c>
      <c r="J19" s="11">
        <f>IF($AP19="",0,IF($AO19="Yes",IF(J$2=$AK19,"◆",0),IF(AND(J$2&gt;=$AK19,J$2&lt;=$AL19),IF($AM19&gt;=1,2,IF(J$2&lt;$AK19+($AL19-$AK19+1)*$AM19,2,3)),0)))</f>
        <v/>
      </c>
      <c r="K19" s="11">
        <f>IF($AP19="",0,IF($AO19="Yes",IF(K$2=$AK19,"◆",0),IF(AND(K$2&gt;=$AK19,K$2&lt;=$AL19),IF($AM19&gt;=1,2,IF(K$2&lt;$AK19+($AL19-$AK19+1)*$AM19,2,3)),0)))</f>
        <v/>
      </c>
      <c r="L19" s="11">
        <f>IF($AP19="",0,IF($AO19="Yes",IF(L$2=$AK19,"◆",0),IF(AND(L$2&gt;=$AK19,L$2&lt;=$AL19),IF($AM19&gt;=1,2,IF(L$2&lt;$AK19+($AL19-$AK19+1)*$AM19,2,3)),0)))</f>
        <v/>
      </c>
      <c r="M19" s="11">
        <f>IF($AP19="",0,IF($AO19="Yes",IF(M$2=$AK19,"◆",0),IF(AND(M$2&gt;=$AK19,M$2&lt;=$AL19),IF($AM19&gt;=1,2,IF(M$2&lt;$AK19+($AL19-$AK19+1)*$AM19,2,3)),0)))</f>
        <v/>
      </c>
      <c r="N19" s="11">
        <f>IF($AP19="",0,IF($AO19="Yes",IF(N$2=$AK19,"◆",0),IF(AND(N$2&gt;=$AK19,N$2&lt;=$AL19),IF($AM19&gt;=1,2,IF(N$2&lt;$AK19+($AL19-$AK19+1)*$AM19,2,3)),0)))</f>
        <v/>
      </c>
      <c r="O19" s="11">
        <f>IF($AP19="",0,IF($AO19="Yes",IF(O$2=$AK19,"◆",0),IF(AND(O$2&gt;=$AK19,O$2&lt;=$AL19),IF($AM19&gt;=1,2,IF(O$2&lt;$AK19+($AL19-$AK19+1)*$AM19,2,3)),0)))</f>
        <v/>
      </c>
      <c r="P19" s="11">
        <f>IF($AP19="",0,IF($AO19="Yes",IF(P$2=$AK19,"◆",0),IF(AND(P$2&gt;=$AK19,P$2&lt;=$AL19),IF($AM19&gt;=1,2,IF(P$2&lt;$AK19+($AL19-$AK19+1)*$AM19,2,3)),0)))</f>
        <v/>
      </c>
      <c r="Q19" s="11">
        <f>IF($AP19="",0,IF($AO19="Yes",IF(Q$2=$AK19,"◆",0),IF(AND(Q$2&gt;=$AK19,Q$2&lt;=$AL19),IF($AM19&gt;=1,2,IF(Q$2&lt;$AK19+($AL19-$AK19+1)*$AM19,2,3)),0)))</f>
        <v/>
      </c>
      <c r="R19" s="11">
        <f>IF($AP19="",0,IF($AO19="Yes",IF(R$2=$AK19,"◆",0),IF(AND(R$2&gt;=$AK19,R$2&lt;=$AL19),IF($AM19&gt;=1,2,IF(R$2&lt;$AK19+($AL19-$AK19+1)*$AM19,2,3)),0)))</f>
        <v/>
      </c>
      <c r="S19" s="11">
        <f>IF($AP19="",0,IF($AO19="Yes",IF(S$2=$AK19,"◆",0),IF(AND(S$2&gt;=$AK19,S$2&lt;=$AL19),IF($AM19&gt;=1,2,IF(S$2&lt;$AK19+($AL19-$AK19+1)*$AM19,2,3)),0)))</f>
        <v/>
      </c>
      <c r="T19" s="11">
        <f>IF($AP19="",0,IF($AO19="Yes",IF(T$2=$AK19,"◆",0),IF(AND(T$2&gt;=$AK19,T$2&lt;=$AL19),IF($AM19&gt;=1,2,IF(T$2&lt;$AK19+($AL19-$AK19+1)*$AM19,2,3)),0)))</f>
        <v/>
      </c>
      <c r="U19" s="11">
        <f>IF($AP19="",0,IF($AO19="Yes",IF(U$2=$AK19,"◆",0),IF(AND(U$2&gt;=$AK19,U$2&lt;=$AL19),IF($AM19&gt;=1,2,IF(U$2&lt;$AK19+($AL19-$AK19+1)*$AM19,2,3)),0)))</f>
        <v/>
      </c>
      <c r="V19" s="11">
        <f>IF($AP19="",0,IF($AO19="Yes",IF(V$2=$AK19,"◆",0),IF(AND(V$2&gt;=$AK19,V$2&lt;=$AL19),IF($AM19&gt;=1,2,IF(V$2&lt;$AK19+($AL19-$AK19+1)*$AM19,2,3)),0)))</f>
        <v/>
      </c>
      <c r="W19" s="11">
        <f>IF($AP19="",0,IF($AO19="Yes",IF(W$2=$AK19,"◆",0),IF(AND(W$2&gt;=$AK19,W$2&lt;=$AL19),IF($AM19&gt;=1,2,IF(W$2&lt;$AK19+($AL19-$AK19+1)*$AM19,2,3)),0)))</f>
        <v/>
      </c>
      <c r="X19" s="11">
        <f>IF($AP19="",0,IF($AO19="Yes",IF(X$2=$AK19,"◆",0),IF(AND(X$2&gt;=$AK19,X$2&lt;=$AL19),IF($AM19&gt;=1,2,IF(X$2&lt;$AK19+($AL19-$AK19+1)*$AM19,2,3)),0)))</f>
        <v/>
      </c>
      <c r="Y19" s="11">
        <f>IF($AP19="",0,IF($AO19="Yes",IF(Y$2=$AK19,"◆",0),IF(AND(Y$2&gt;=$AK19,Y$2&lt;=$AL19),IF($AM19&gt;=1,2,IF(Y$2&lt;$AK19+($AL19-$AK19+1)*$AM19,2,3)),0)))</f>
        <v/>
      </c>
      <c r="Z19" s="11">
        <f>IF($AP19="",0,IF($AO19="Yes",IF(Z$2=$AK19,"◆",0),IF(AND(Z$2&gt;=$AK19,Z$2&lt;=$AL19),IF($AM19&gt;=1,2,IF(Z$2&lt;$AK19+($AL19-$AK19+1)*$AM19,2,3)),0)))</f>
        <v/>
      </c>
      <c r="AA19" s="11">
        <f>IF($AP19="",0,IF($AO19="Yes",IF(AA$2=$AK19,"◆",0),IF(AND(AA$2&gt;=$AK19,AA$2&lt;=$AL19),IF($AM19&gt;=1,2,IF(AA$2&lt;$AK19+($AL19-$AK19+1)*$AM19,2,3)),0)))</f>
        <v/>
      </c>
      <c r="AB19" s="11">
        <f>IF($AP19="",0,IF($AO19="Yes",IF(AB$2=$AK19,"◆",0),IF(AND(AB$2&gt;=$AK19,AB$2&lt;=$AL19),IF($AM19&gt;=1,2,IF(AB$2&lt;$AK19+($AL19-$AK19+1)*$AM19,2,3)),0)))</f>
        <v/>
      </c>
      <c r="AC19" s="11">
        <f>IF($AP19="",0,IF($AO19="Yes",IF(AC$2=$AK19,"◆",0),IF(AND(AC$2&gt;=$AK19,AC$2&lt;=$AL19),IF($AM19&gt;=1,2,IF(AC$2&lt;$AK19+($AL19-$AK19+1)*$AM19,2,3)),0)))</f>
        <v/>
      </c>
      <c r="AD19" s="11">
        <f>IF($AP19="",0,IF($AO19="Yes",IF(AD$2=$AK19,"◆",0),IF(AND(AD$2&gt;=$AK19,AD$2&lt;=$AL19),IF($AM19&gt;=1,2,IF(AD$2&lt;$AK19+($AL19-$AK19+1)*$AM19,2,3)),0)))</f>
        <v/>
      </c>
      <c r="AE19" s="11">
        <f>IF($AP19="",0,IF($AO19="Yes",IF(AE$2=$AK19,"◆",0),IF(AND(AE$2&gt;=$AK19,AE$2&lt;=$AL19),IF($AM19&gt;=1,2,IF(AE$2&lt;$AK19+($AL19-$AK19+1)*$AM19,2,3)),0)))</f>
        <v/>
      </c>
      <c r="AF19" s="11">
        <f>IF($AP19="",0,IF($AO19="Yes",IF(AF$2=$AK19,"◆",0),IF(AND(AF$2&gt;=$AK19,AF$2&lt;=$AL19),IF($AM19&gt;=1,2,IF(AF$2&lt;$AK19+($AL19-$AK19+1)*$AM19,2,3)),0)))</f>
        <v/>
      </c>
      <c r="AG19" s="11">
        <f>IF($AP19="",0,IF($AO19="Yes",IF(AG$2=$AK19,"◆",0),IF(AND(AG$2&gt;=$AK19,AG$2&lt;=$AL19),IF($AM19&gt;=1,2,IF(AG$2&lt;$AK19+($AL19-$AK19+1)*$AM19,2,3)),0)))</f>
        <v/>
      </c>
      <c r="AH19" s="11">
        <f>IF($AP19="",0,IF($AO19="Yes",IF(AH$2=$AK19,"◆",0),IF(AND(AH$2&gt;=$AK19,AH$2&lt;=$AL19),IF($AM19&gt;=1,2,IF(AH$2&lt;$AK19+($AL19-$AK19+1)*$AM19,2,3)),0)))</f>
        <v/>
      </c>
      <c r="AI19" s="11">
        <f>IF($AP19="",0,IF($AO19="Yes",IF(AI$2=$AK19,"◆",0),IF(AND(AI$2&gt;=$AK19,AI$2&lt;=$AL19),IF($AM19&gt;=1,2,IF(AI$2&lt;$AK19+($AL19-$AK19+1)*$AM19,2,3)),0)))</f>
        <v/>
      </c>
      <c r="AJ19" s="11">
        <f>IF($AP19="",0,IF($AO19="Yes",IF(AJ$2=$AK19,"◆",0),IF(AND(AJ$2&gt;=$AK19,AJ$2&lt;=$AL19),IF($AM19&gt;=1,2,IF(AJ$2&lt;$AK19+($AL19-$AK19+1)*$AM19,2,3)),0)))</f>
        <v/>
      </c>
      <c r="AK19">
        <f>IFERROR(INDEX(tblTasks[Start Date],ROW()-5),"")</f>
        <v/>
      </c>
      <c r="AL19">
        <f>IFERROR(INDEX(tblTasks[End Date],ROW()-5),"")</f>
        <v/>
      </c>
      <c r="AM19">
        <f>IFERROR(INDEX(tblTasks[Progress %],ROW()-5),0)</f>
        <v/>
      </c>
      <c r="AN19">
        <f>IFERROR(INDEX(tblTasks[Status],ROW()-5),"")</f>
        <v/>
      </c>
      <c r="AO19">
        <f>IFERROR(INDEX(tblTasks[Milestone],ROW()-5),"No")</f>
        <v/>
      </c>
      <c r="AP19">
        <f>IFERROR(INDEX(tblTasks[Task ID],ROW()-5),"")</f>
        <v/>
      </c>
      <c r="AQ19">
        <f>IFERROR(INDEX(tblTasks[Phase],ROW()-5),"")</f>
        <v/>
      </c>
    </row>
    <row r="20">
      <c r="A20" s="9">
        <f>IF($AP20="","",$AP20)</f>
        <v/>
      </c>
      <c r="B20" s="10">
        <f>IF($AP20="","",IF($AO20="Yes","◆ ","")&amp;INDEX(tblTasks[Task Name],ROW()-5))</f>
        <v/>
      </c>
      <c r="C20" s="11">
        <f>IF($AP20="",0,IF($AO20="Yes",IF(C$2=$AK20,"◆",0),IF(AND(C$2&gt;=$AK20,C$2&lt;=$AL20),IF($AM20&gt;=1,2,IF(C$2&lt;$AK20+($AL20-$AK20+1)*$AM20,2,3)),0)))</f>
        <v/>
      </c>
      <c r="D20" s="11">
        <f>IF($AP20="",0,IF($AO20="Yes",IF(D$2=$AK20,"◆",0),IF(AND(D$2&gt;=$AK20,D$2&lt;=$AL20),IF($AM20&gt;=1,2,IF(D$2&lt;$AK20+($AL20-$AK20+1)*$AM20,2,3)),0)))</f>
        <v/>
      </c>
      <c r="E20" s="11">
        <f>IF($AP20="",0,IF($AO20="Yes",IF(E$2=$AK20,"◆",0),IF(AND(E$2&gt;=$AK20,E$2&lt;=$AL20),IF($AM20&gt;=1,2,IF(E$2&lt;$AK20+($AL20-$AK20+1)*$AM20,2,3)),0)))</f>
        <v/>
      </c>
      <c r="F20" s="11">
        <f>IF($AP20="",0,IF($AO20="Yes",IF(F$2=$AK20,"◆",0),IF(AND(F$2&gt;=$AK20,F$2&lt;=$AL20),IF($AM20&gt;=1,2,IF(F$2&lt;$AK20+($AL20-$AK20+1)*$AM20,2,3)),0)))</f>
        <v/>
      </c>
      <c r="G20" s="11">
        <f>IF($AP20="",0,IF($AO20="Yes",IF(G$2=$AK20,"◆",0),IF(AND(G$2&gt;=$AK20,G$2&lt;=$AL20),IF($AM20&gt;=1,2,IF(G$2&lt;$AK20+($AL20-$AK20+1)*$AM20,2,3)),0)))</f>
        <v/>
      </c>
      <c r="H20" s="11">
        <f>IF($AP20="",0,IF($AO20="Yes",IF(H$2=$AK20,"◆",0),IF(AND(H$2&gt;=$AK20,H$2&lt;=$AL20),IF($AM20&gt;=1,2,IF(H$2&lt;$AK20+($AL20-$AK20+1)*$AM20,2,3)),0)))</f>
        <v/>
      </c>
      <c r="I20" s="11">
        <f>IF($AP20="",0,IF($AO20="Yes",IF(I$2=$AK20,"◆",0),IF(AND(I$2&gt;=$AK20,I$2&lt;=$AL20),IF($AM20&gt;=1,2,IF(I$2&lt;$AK20+($AL20-$AK20+1)*$AM20,2,3)),0)))</f>
        <v/>
      </c>
      <c r="J20" s="11">
        <f>IF($AP20="",0,IF($AO20="Yes",IF(J$2=$AK20,"◆",0),IF(AND(J$2&gt;=$AK20,J$2&lt;=$AL20),IF($AM20&gt;=1,2,IF(J$2&lt;$AK20+($AL20-$AK20+1)*$AM20,2,3)),0)))</f>
        <v/>
      </c>
      <c r="K20" s="11">
        <f>IF($AP20="",0,IF($AO20="Yes",IF(K$2=$AK20,"◆",0),IF(AND(K$2&gt;=$AK20,K$2&lt;=$AL20),IF($AM20&gt;=1,2,IF(K$2&lt;$AK20+($AL20-$AK20+1)*$AM20,2,3)),0)))</f>
        <v/>
      </c>
      <c r="L20" s="11">
        <f>IF($AP20="",0,IF($AO20="Yes",IF(L$2=$AK20,"◆",0),IF(AND(L$2&gt;=$AK20,L$2&lt;=$AL20),IF($AM20&gt;=1,2,IF(L$2&lt;$AK20+($AL20-$AK20+1)*$AM20,2,3)),0)))</f>
        <v/>
      </c>
      <c r="M20" s="11">
        <f>IF($AP20="",0,IF($AO20="Yes",IF(M$2=$AK20,"◆",0),IF(AND(M$2&gt;=$AK20,M$2&lt;=$AL20),IF($AM20&gt;=1,2,IF(M$2&lt;$AK20+($AL20-$AK20+1)*$AM20,2,3)),0)))</f>
        <v/>
      </c>
      <c r="N20" s="11">
        <f>IF($AP20="",0,IF($AO20="Yes",IF(N$2=$AK20,"◆",0),IF(AND(N$2&gt;=$AK20,N$2&lt;=$AL20),IF($AM20&gt;=1,2,IF(N$2&lt;$AK20+($AL20-$AK20+1)*$AM20,2,3)),0)))</f>
        <v/>
      </c>
      <c r="O20" s="11">
        <f>IF($AP20="",0,IF($AO20="Yes",IF(O$2=$AK20,"◆",0),IF(AND(O$2&gt;=$AK20,O$2&lt;=$AL20),IF($AM20&gt;=1,2,IF(O$2&lt;$AK20+($AL20-$AK20+1)*$AM20,2,3)),0)))</f>
        <v/>
      </c>
      <c r="P20" s="11">
        <f>IF($AP20="",0,IF($AO20="Yes",IF(P$2=$AK20,"◆",0),IF(AND(P$2&gt;=$AK20,P$2&lt;=$AL20),IF($AM20&gt;=1,2,IF(P$2&lt;$AK20+($AL20-$AK20+1)*$AM20,2,3)),0)))</f>
        <v/>
      </c>
      <c r="Q20" s="11">
        <f>IF($AP20="",0,IF($AO20="Yes",IF(Q$2=$AK20,"◆",0),IF(AND(Q$2&gt;=$AK20,Q$2&lt;=$AL20),IF($AM20&gt;=1,2,IF(Q$2&lt;$AK20+($AL20-$AK20+1)*$AM20,2,3)),0)))</f>
        <v/>
      </c>
      <c r="R20" s="11">
        <f>IF($AP20="",0,IF($AO20="Yes",IF(R$2=$AK20,"◆",0),IF(AND(R$2&gt;=$AK20,R$2&lt;=$AL20),IF($AM20&gt;=1,2,IF(R$2&lt;$AK20+($AL20-$AK20+1)*$AM20,2,3)),0)))</f>
        <v/>
      </c>
      <c r="S20" s="11">
        <f>IF($AP20="",0,IF($AO20="Yes",IF(S$2=$AK20,"◆",0),IF(AND(S$2&gt;=$AK20,S$2&lt;=$AL20),IF($AM20&gt;=1,2,IF(S$2&lt;$AK20+($AL20-$AK20+1)*$AM20,2,3)),0)))</f>
        <v/>
      </c>
      <c r="T20" s="11">
        <f>IF($AP20="",0,IF($AO20="Yes",IF(T$2=$AK20,"◆",0),IF(AND(T$2&gt;=$AK20,T$2&lt;=$AL20),IF($AM20&gt;=1,2,IF(T$2&lt;$AK20+($AL20-$AK20+1)*$AM20,2,3)),0)))</f>
        <v/>
      </c>
      <c r="U20" s="11">
        <f>IF($AP20="",0,IF($AO20="Yes",IF(U$2=$AK20,"◆",0),IF(AND(U$2&gt;=$AK20,U$2&lt;=$AL20),IF($AM20&gt;=1,2,IF(U$2&lt;$AK20+($AL20-$AK20+1)*$AM20,2,3)),0)))</f>
        <v/>
      </c>
      <c r="V20" s="11">
        <f>IF($AP20="",0,IF($AO20="Yes",IF(V$2=$AK20,"◆",0),IF(AND(V$2&gt;=$AK20,V$2&lt;=$AL20),IF($AM20&gt;=1,2,IF(V$2&lt;$AK20+($AL20-$AK20+1)*$AM20,2,3)),0)))</f>
        <v/>
      </c>
      <c r="W20" s="11">
        <f>IF($AP20="",0,IF($AO20="Yes",IF(W$2=$AK20,"◆",0),IF(AND(W$2&gt;=$AK20,W$2&lt;=$AL20),IF($AM20&gt;=1,2,IF(W$2&lt;$AK20+($AL20-$AK20+1)*$AM20,2,3)),0)))</f>
        <v/>
      </c>
      <c r="X20" s="11">
        <f>IF($AP20="",0,IF($AO20="Yes",IF(X$2=$AK20,"◆",0),IF(AND(X$2&gt;=$AK20,X$2&lt;=$AL20),IF($AM20&gt;=1,2,IF(X$2&lt;$AK20+($AL20-$AK20+1)*$AM20,2,3)),0)))</f>
        <v/>
      </c>
      <c r="Y20" s="11">
        <f>IF($AP20="",0,IF($AO20="Yes",IF(Y$2=$AK20,"◆",0),IF(AND(Y$2&gt;=$AK20,Y$2&lt;=$AL20),IF($AM20&gt;=1,2,IF(Y$2&lt;$AK20+($AL20-$AK20+1)*$AM20,2,3)),0)))</f>
        <v/>
      </c>
      <c r="Z20" s="11">
        <f>IF($AP20="",0,IF($AO20="Yes",IF(Z$2=$AK20,"◆",0),IF(AND(Z$2&gt;=$AK20,Z$2&lt;=$AL20),IF($AM20&gt;=1,2,IF(Z$2&lt;$AK20+($AL20-$AK20+1)*$AM20,2,3)),0)))</f>
        <v/>
      </c>
      <c r="AA20" s="11">
        <f>IF($AP20="",0,IF($AO20="Yes",IF(AA$2=$AK20,"◆",0),IF(AND(AA$2&gt;=$AK20,AA$2&lt;=$AL20),IF($AM20&gt;=1,2,IF(AA$2&lt;$AK20+($AL20-$AK20+1)*$AM20,2,3)),0)))</f>
        <v/>
      </c>
      <c r="AB20" s="11">
        <f>IF($AP20="",0,IF($AO20="Yes",IF(AB$2=$AK20,"◆",0),IF(AND(AB$2&gt;=$AK20,AB$2&lt;=$AL20),IF($AM20&gt;=1,2,IF(AB$2&lt;$AK20+($AL20-$AK20+1)*$AM20,2,3)),0)))</f>
        <v/>
      </c>
      <c r="AC20" s="11">
        <f>IF($AP20="",0,IF($AO20="Yes",IF(AC$2=$AK20,"◆",0),IF(AND(AC$2&gt;=$AK20,AC$2&lt;=$AL20),IF($AM20&gt;=1,2,IF(AC$2&lt;$AK20+($AL20-$AK20+1)*$AM20,2,3)),0)))</f>
        <v/>
      </c>
      <c r="AD20" s="11">
        <f>IF($AP20="",0,IF($AO20="Yes",IF(AD$2=$AK20,"◆",0),IF(AND(AD$2&gt;=$AK20,AD$2&lt;=$AL20),IF($AM20&gt;=1,2,IF(AD$2&lt;$AK20+($AL20-$AK20+1)*$AM20,2,3)),0)))</f>
        <v/>
      </c>
      <c r="AE20" s="11">
        <f>IF($AP20="",0,IF($AO20="Yes",IF(AE$2=$AK20,"◆",0),IF(AND(AE$2&gt;=$AK20,AE$2&lt;=$AL20),IF($AM20&gt;=1,2,IF(AE$2&lt;$AK20+($AL20-$AK20+1)*$AM20,2,3)),0)))</f>
        <v/>
      </c>
      <c r="AF20" s="11">
        <f>IF($AP20="",0,IF($AO20="Yes",IF(AF$2=$AK20,"◆",0),IF(AND(AF$2&gt;=$AK20,AF$2&lt;=$AL20),IF($AM20&gt;=1,2,IF(AF$2&lt;$AK20+($AL20-$AK20+1)*$AM20,2,3)),0)))</f>
        <v/>
      </c>
      <c r="AG20" s="11">
        <f>IF($AP20="",0,IF($AO20="Yes",IF(AG$2=$AK20,"◆",0),IF(AND(AG$2&gt;=$AK20,AG$2&lt;=$AL20),IF($AM20&gt;=1,2,IF(AG$2&lt;$AK20+($AL20-$AK20+1)*$AM20,2,3)),0)))</f>
        <v/>
      </c>
      <c r="AH20" s="11">
        <f>IF($AP20="",0,IF($AO20="Yes",IF(AH$2=$AK20,"◆",0),IF(AND(AH$2&gt;=$AK20,AH$2&lt;=$AL20),IF($AM20&gt;=1,2,IF(AH$2&lt;$AK20+($AL20-$AK20+1)*$AM20,2,3)),0)))</f>
        <v/>
      </c>
      <c r="AI20" s="11">
        <f>IF($AP20="",0,IF($AO20="Yes",IF(AI$2=$AK20,"◆",0),IF(AND(AI$2&gt;=$AK20,AI$2&lt;=$AL20),IF($AM20&gt;=1,2,IF(AI$2&lt;$AK20+($AL20-$AK20+1)*$AM20,2,3)),0)))</f>
        <v/>
      </c>
      <c r="AJ20" s="11">
        <f>IF($AP20="",0,IF($AO20="Yes",IF(AJ$2=$AK20,"◆",0),IF(AND(AJ$2&gt;=$AK20,AJ$2&lt;=$AL20),IF($AM20&gt;=1,2,IF(AJ$2&lt;$AK20+($AL20-$AK20+1)*$AM20,2,3)),0)))</f>
        <v/>
      </c>
      <c r="AK20">
        <f>IFERROR(INDEX(tblTasks[Start Date],ROW()-5),"")</f>
        <v/>
      </c>
      <c r="AL20">
        <f>IFERROR(INDEX(tblTasks[End Date],ROW()-5),"")</f>
        <v/>
      </c>
      <c r="AM20">
        <f>IFERROR(INDEX(tblTasks[Progress %],ROW()-5),0)</f>
        <v/>
      </c>
      <c r="AN20">
        <f>IFERROR(INDEX(tblTasks[Status],ROW()-5),"")</f>
        <v/>
      </c>
      <c r="AO20">
        <f>IFERROR(INDEX(tblTasks[Milestone],ROW()-5),"No")</f>
        <v/>
      </c>
      <c r="AP20">
        <f>IFERROR(INDEX(tblTasks[Task ID],ROW()-5),"")</f>
        <v/>
      </c>
      <c r="AQ20">
        <f>IFERROR(INDEX(tblTasks[Phase],ROW()-5),"")</f>
        <v/>
      </c>
    </row>
    <row r="21">
      <c r="A21" s="9">
        <f>IF($AP21="","",$AP21)</f>
        <v/>
      </c>
      <c r="B21" s="10">
        <f>IF($AP21="","",IF($AO21="Yes","◆ ","")&amp;INDEX(tblTasks[Task Name],ROW()-5))</f>
        <v/>
      </c>
      <c r="C21" s="11">
        <f>IF($AP21="",0,IF($AO21="Yes",IF(C$2=$AK21,"◆",0),IF(AND(C$2&gt;=$AK21,C$2&lt;=$AL21),IF($AM21&gt;=1,2,IF(C$2&lt;$AK21+($AL21-$AK21+1)*$AM21,2,3)),0)))</f>
        <v/>
      </c>
      <c r="D21" s="11">
        <f>IF($AP21="",0,IF($AO21="Yes",IF(D$2=$AK21,"◆",0),IF(AND(D$2&gt;=$AK21,D$2&lt;=$AL21),IF($AM21&gt;=1,2,IF(D$2&lt;$AK21+($AL21-$AK21+1)*$AM21,2,3)),0)))</f>
        <v/>
      </c>
      <c r="E21" s="11">
        <f>IF($AP21="",0,IF($AO21="Yes",IF(E$2=$AK21,"◆",0),IF(AND(E$2&gt;=$AK21,E$2&lt;=$AL21),IF($AM21&gt;=1,2,IF(E$2&lt;$AK21+($AL21-$AK21+1)*$AM21,2,3)),0)))</f>
        <v/>
      </c>
      <c r="F21" s="11">
        <f>IF($AP21="",0,IF($AO21="Yes",IF(F$2=$AK21,"◆",0),IF(AND(F$2&gt;=$AK21,F$2&lt;=$AL21),IF($AM21&gt;=1,2,IF(F$2&lt;$AK21+($AL21-$AK21+1)*$AM21,2,3)),0)))</f>
        <v/>
      </c>
      <c r="G21" s="11">
        <f>IF($AP21="",0,IF($AO21="Yes",IF(G$2=$AK21,"◆",0),IF(AND(G$2&gt;=$AK21,G$2&lt;=$AL21),IF($AM21&gt;=1,2,IF(G$2&lt;$AK21+($AL21-$AK21+1)*$AM21,2,3)),0)))</f>
        <v/>
      </c>
      <c r="H21" s="11">
        <f>IF($AP21="",0,IF($AO21="Yes",IF(H$2=$AK21,"◆",0),IF(AND(H$2&gt;=$AK21,H$2&lt;=$AL21),IF($AM21&gt;=1,2,IF(H$2&lt;$AK21+($AL21-$AK21+1)*$AM21,2,3)),0)))</f>
        <v/>
      </c>
      <c r="I21" s="11">
        <f>IF($AP21="",0,IF($AO21="Yes",IF(I$2=$AK21,"◆",0),IF(AND(I$2&gt;=$AK21,I$2&lt;=$AL21),IF($AM21&gt;=1,2,IF(I$2&lt;$AK21+($AL21-$AK21+1)*$AM21,2,3)),0)))</f>
        <v/>
      </c>
      <c r="J21" s="11">
        <f>IF($AP21="",0,IF($AO21="Yes",IF(J$2=$AK21,"◆",0),IF(AND(J$2&gt;=$AK21,J$2&lt;=$AL21),IF($AM21&gt;=1,2,IF(J$2&lt;$AK21+($AL21-$AK21+1)*$AM21,2,3)),0)))</f>
        <v/>
      </c>
      <c r="K21" s="11">
        <f>IF($AP21="",0,IF($AO21="Yes",IF(K$2=$AK21,"◆",0),IF(AND(K$2&gt;=$AK21,K$2&lt;=$AL21),IF($AM21&gt;=1,2,IF(K$2&lt;$AK21+($AL21-$AK21+1)*$AM21,2,3)),0)))</f>
        <v/>
      </c>
      <c r="L21" s="11">
        <f>IF($AP21="",0,IF($AO21="Yes",IF(L$2=$AK21,"◆",0),IF(AND(L$2&gt;=$AK21,L$2&lt;=$AL21),IF($AM21&gt;=1,2,IF(L$2&lt;$AK21+($AL21-$AK21+1)*$AM21,2,3)),0)))</f>
        <v/>
      </c>
      <c r="M21" s="11">
        <f>IF($AP21="",0,IF($AO21="Yes",IF(M$2=$AK21,"◆",0),IF(AND(M$2&gt;=$AK21,M$2&lt;=$AL21),IF($AM21&gt;=1,2,IF(M$2&lt;$AK21+($AL21-$AK21+1)*$AM21,2,3)),0)))</f>
        <v/>
      </c>
      <c r="N21" s="11">
        <f>IF($AP21="",0,IF($AO21="Yes",IF(N$2=$AK21,"◆",0),IF(AND(N$2&gt;=$AK21,N$2&lt;=$AL21),IF($AM21&gt;=1,2,IF(N$2&lt;$AK21+($AL21-$AK21+1)*$AM21,2,3)),0)))</f>
        <v/>
      </c>
      <c r="O21" s="11">
        <f>IF($AP21="",0,IF($AO21="Yes",IF(O$2=$AK21,"◆",0),IF(AND(O$2&gt;=$AK21,O$2&lt;=$AL21),IF($AM21&gt;=1,2,IF(O$2&lt;$AK21+($AL21-$AK21+1)*$AM21,2,3)),0)))</f>
        <v/>
      </c>
      <c r="P21" s="11">
        <f>IF($AP21="",0,IF($AO21="Yes",IF(P$2=$AK21,"◆",0),IF(AND(P$2&gt;=$AK21,P$2&lt;=$AL21),IF($AM21&gt;=1,2,IF(P$2&lt;$AK21+($AL21-$AK21+1)*$AM21,2,3)),0)))</f>
        <v/>
      </c>
      <c r="Q21" s="11">
        <f>IF($AP21="",0,IF($AO21="Yes",IF(Q$2=$AK21,"◆",0),IF(AND(Q$2&gt;=$AK21,Q$2&lt;=$AL21),IF($AM21&gt;=1,2,IF(Q$2&lt;$AK21+($AL21-$AK21+1)*$AM21,2,3)),0)))</f>
        <v/>
      </c>
      <c r="R21" s="11">
        <f>IF($AP21="",0,IF($AO21="Yes",IF(R$2=$AK21,"◆",0),IF(AND(R$2&gt;=$AK21,R$2&lt;=$AL21),IF($AM21&gt;=1,2,IF(R$2&lt;$AK21+($AL21-$AK21+1)*$AM21,2,3)),0)))</f>
        <v/>
      </c>
      <c r="S21" s="11">
        <f>IF($AP21="",0,IF($AO21="Yes",IF(S$2=$AK21,"◆",0),IF(AND(S$2&gt;=$AK21,S$2&lt;=$AL21),IF($AM21&gt;=1,2,IF(S$2&lt;$AK21+($AL21-$AK21+1)*$AM21,2,3)),0)))</f>
        <v/>
      </c>
      <c r="T21" s="11">
        <f>IF($AP21="",0,IF($AO21="Yes",IF(T$2=$AK21,"◆",0),IF(AND(T$2&gt;=$AK21,T$2&lt;=$AL21),IF($AM21&gt;=1,2,IF(T$2&lt;$AK21+($AL21-$AK21+1)*$AM21,2,3)),0)))</f>
        <v/>
      </c>
      <c r="U21" s="11">
        <f>IF($AP21="",0,IF($AO21="Yes",IF(U$2=$AK21,"◆",0),IF(AND(U$2&gt;=$AK21,U$2&lt;=$AL21),IF($AM21&gt;=1,2,IF(U$2&lt;$AK21+($AL21-$AK21+1)*$AM21,2,3)),0)))</f>
        <v/>
      </c>
      <c r="V21" s="11">
        <f>IF($AP21="",0,IF($AO21="Yes",IF(V$2=$AK21,"◆",0),IF(AND(V$2&gt;=$AK21,V$2&lt;=$AL21),IF($AM21&gt;=1,2,IF(V$2&lt;$AK21+($AL21-$AK21+1)*$AM21,2,3)),0)))</f>
        <v/>
      </c>
      <c r="W21" s="11">
        <f>IF($AP21="",0,IF($AO21="Yes",IF(W$2=$AK21,"◆",0),IF(AND(W$2&gt;=$AK21,W$2&lt;=$AL21),IF($AM21&gt;=1,2,IF(W$2&lt;$AK21+($AL21-$AK21+1)*$AM21,2,3)),0)))</f>
        <v/>
      </c>
      <c r="X21" s="11">
        <f>IF($AP21="",0,IF($AO21="Yes",IF(X$2=$AK21,"◆",0),IF(AND(X$2&gt;=$AK21,X$2&lt;=$AL21),IF($AM21&gt;=1,2,IF(X$2&lt;$AK21+($AL21-$AK21+1)*$AM21,2,3)),0)))</f>
        <v/>
      </c>
      <c r="Y21" s="11">
        <f>IF($AP21="",0,IF($AO21="Yes",IF(Y$2=$AK21,"◆",0),IF(AND(Y$2&gt;=$AK21,Y$2&lt;=$AL21),IF($AM21&gt;=1,2,IF(Y$2&lt;$AK21+($AL21-$AK21+1)*$AM21,2,3)),0)))</f>
        <v/>
      </c>
      <c r="Z21" s="11">
        <f>IF($AP21="",0,IF($AO21="Yes",IF(Z$2=$AK21,"◆",0),IF(AND(Z$2&gt;=$AK21,Z$2&lt;=$AL21),IF($AM21&gt;=1,2,IF(Z$2&lt;$AK21+($AL21-$AK21+1)*$AM21,2,3)),0)))</f>
        <v/>
      </c>
      <c r="AA21" s="11">
        <f>IF($AP21="",0,IF($AO21="Yes",IF(AA$2=$AK21,"◆",0),IF(AND(AA$2&gt;=$AK21,AA$2&lt;=$AL21),IF($AM21&gt;=1,2,IF(AA$2&lt;$AK21+($AL21-$AK21+1)*$AM21,2,3)),0)))</f>
        <v/>
      </c>
      <c r="AB21" s="11">
        <f>IF($AP21="",0,IF($AO21="Yes",IF(AB$2=$AK21,"◆",0),IF(AND(AB$2&gt;=$AK21,AB$2&lt;=$AL21),IF($AM21&gt;=1,2,IF(AB$2&lt;$AK21+($AL21-$AK21+1)*$AM21,2,3)),0)))</f>
        <v/>
      </c>
      <c r="AC21" s="11">
        <f>IF($AP21="",0,IF($AO21="Yes",IF(AC$2=$AK21,"◆",0),IF(AND(AC$2&gt;=$AK21,AC$2&lt;=$AL21),IF($AM21&gt;=1,2,IF(AC$2&lt;$AK21+($AL21-$AK21+1)*$AM21,2,3)),0)))</f>
        <v/>
      </c>
      <c r="AD21" s="11">
        <f>IF($AP21="",0,IF($AO21="Yes",IF(AD$2=$AK21,"◆",0),IF(AND(AD$2&gt;=$AK21,AD$2&lt;=$AL21),IF($AM21&gt;=1,2,IF(AD$2&lt;$AK21+($AL21-$AK21+1)*$AM21,2,3)),0)))</f>
        <v/>
      </c>
      <c r="AE21" s="11">
        <f>IF($AP21="",0,IF($AO21="Yes",IF(AE$2=$AK21,"◆",0),IF(AND(AE$2&gt;=$AK21,AE$2&lt;=$AL21),IF($AM21&gt;=1,2,IF(AE$2&lt;$AK21+($AL21-$AK21+1)*$AM21,2,3)),0)))</f>
        <v/>
      </c>
      <c r="AF21" s="11">
        <f>IF($AP21="",0,IF($AO21="Yes",IF(AF$2=$AK21,"◆",0),IF(AND(AF$2&gt;=$AK21,AF$2&lt;=$AL21),IF($AM21&gt;=1,2,IF(AF$2&lt;$AK21+($AL21-$AK21+1)*$AM21,2,3)),0)))</f>
        <v/>
      </c>
      <c r="AG21" s="11">
        <f>IF($AP21="",0,IF($AO21="Yes",IF(AG$2=$AK21,"◆",0),IF(AND(AG$2&gt;=$AK21,AG$2&lt;=$AL21),IF($AM21&gt;=1,2,IF(AG$2&lt;$AK21+($AL21-$AK21+1)*$AM21,2,3)),0)))</f>
        <v/>
      </c>
      <c r="AH21" s="11">
        <f>IF($AP21="",0,IF($AO21="Yes",IF(AH$2=$AK21,"◆",0),IF(AND(AH$2&gt;=$AK21,AH$2&lt;=$AL21),IF($AM21&gt;=1,2,IF(AH$2&lt;$AK21+($AL21-$AK21+1)*$AM21,2,3)),0)))</f>
        <v/>
      </c>
      <c r="AI21" s="11">
        <f>IF($AP21="",0,IF($AO21="Yes",IF(AI$2=$AK21,"◆",0),IF(AND(AI$2&gt;=$AK21,AI$2&lt;=$AL21),IF($AM21&gt;=1,2,IF(AI$2&lt;$AK21+($AL21-$AK21+1)*$AM21,2,3)),0)))</f>
        <v/>
      </c>
      <c r="AJ21" s="11">
        <f>IF($AP21="",0,IF($AO21="Yes",IF(AJ$2=$AK21,"◆",0),IF(AND(AJ$2&gt;=$AK21,AJ$2&lt;=$AL21),IF($AM21&gt;=1,2,IF(AJ$2&lt;$AK21+($AL21-$AK21+1)*$AM21,2,3)),0)))</f>
        <v/>
      </c>
      <c r="AK21">
        <f>IFERROR(INDEX(tblTasks[Start Date],ROW()-5),"")</f>
        <v/>
      </c>
      <c r="AL21">
        <f>IFERROR(INDEX(tblTasks[End Date],ROW()-5),"")</f>
        <v/>
      </c>
      <c r="AM21">
        <f>IFERROR(INDEX(tblTasks[Progress %],ROW()-5),0)</f>
        <v/>
      </c>
      <c r="AN21">
        <f>IFERROR(INDEX(tblTasks[Status],ROW()-5),"")</f>
        <v/>
      </c>
      <c r="AO21">
        <f>IFERROR(INDEX(tblTasks[Milestone],ROW()-5),"No")</f>
        <v/>
      </c>
      <c r="AP21">
        <f>IFERROR(INDEX(tblTasks[Task ID],ROW()-5),"")</f>
        <v/>
      </c>
      <c r="AQ21">
        <f>IFERROR(INDEX(tblTasks[Phase],ROW()-5),"")</f>
        <v/>
      </c>
    </row>
    <row r="22">
      <c r="A22" s="9">
        <f>IF($AP22="","",$AP22)</f>
        <v/>
      </c>
      <c r="B22" s="10">
        <f>IF($AP22="","",IF($AO22="Yes","◆ ","")&amp;INDEX(tblTasks[Task Name],ROW()-5))</f>
        <v/>
      </c>
      <c r="C22" s="11">
        <f>IF($AP22="",0,IF($AO22="Yes",IF(C$2=$AK22,"◆",0),IF(AND(C$2&gt;=$AK22,C$2&lt;=$AL22),IF($AM22&gt;=1,2,IF(C$2&lt;$AK22+($AL22-$AK22+1)*$AM22,2,3)),0)))</f>
        <v/>
      </c>
      <c r="D22" s="11">
        <f>IF($AP22="",0,IF($AO22="Yes",IF(D$2=$AK22,"◆",0),IF(AND(D$2&gt;=$AK22,D$2&lt;=$AL22),IF($AM22&gt;=1,2,IF(D$2&lt;$AK22+($AL22-$AK22+1)*$AM22,2,3)),0)))</f>
        <v/>
      </c>
      <c r="E22" s="11">
        <f>IF($AP22="",0,IF($AO22="Yes",IF(E$2=$AK22,"◆",0),IF(AND(E$2&gt;=$AK22,E$2&lt;=$AL22),IF($AM22&gt;=1,2,IF(E$2&lt;$AK22+($AL22-$AK22+1)*$AM22,2,3)),0)))</f>
        <v/>
      </c>
      <c r="F22" s="11">
        <f>IF($AP22="",0,IF($AO22="Yes",IF(F$2=$AK22,"◆",0),IF(AND(F$2&gt;=$AK22,F$2&lt;=$AL22),IF($AM22&gt;=1,2,IF(F$2&lt;$AK22+($AL22-$AK22+1)*$AM22,2,3)),0)))</f>
        <v/>
      </c>
      <c r="G22" s="11">
        <f>IF($AP22="",0,IF($AO22="Yes",IF(G$2=$AK22,"◆",0),IF(AND(G$2&gt;=$AK22,G$2&lt;=$AL22),IF($AM22&gt;=1,2,IF(G$2&lt;$AK22+($AL22-$AK22+1)*$AM22,2,3)),0)))</f>
        <v/>
      </c>
      <c r="H22" s="11">
        <f>IF($AP22="",0,IF($AO22="Yes",IF(H$2=$AK22,"◆",0),IF(AND(H$2&gt;=$AK22,H$2&lt;=$AL22),IF($AM22&gt;=1,2,IF(H$2&lt;$AK22+($AL22-$AK22+1)*$AM22,2,3)),0)))</f>
        <v/>
      </c>
      <c r="I22" s="11">
        <f>IF($AP22="",0,IF($AO22="Yes",IF(I$2=$AK22,"◆",0),IF(AND(I$2&gt;=$AK22,I$2&lt;=$AL22),IF($AM22&gt;=1,2,IF(I$2&lt;$AK22+($AL22-$AK22+1)*$AM22,2,3)),0)))</f>
        <v/>
      </c>
      <c r="J22" s="11">
        <f>IF($AP22="",0,IF($AO22="Yes",IF(J$2=$AK22,"◆",0),IF(AND(J$2&gt;=$AK22,J$2&lt;=$AL22),IF($AM22&gt;=1,2,IF(J$2&lt;$AK22+($AL22-$AK22+1)*$AM22,2,3)),0)))</f>
        <v/>
      </c>
      <c r="K22" s="11">
        <f>IF($AP22="",0,IF($AO22="Yes",IF(K$2=$AK22,"◆",0),IF(AND(K$2&gt;=$AK22,K$2&lt;=$AL22),IF($AM22&gt;=1,2,IF(K$2&lt;$AK22+($AL22-$AK22+1)*$AM22,2,3)),0)))</f>
        <v/>
      </c>
      <c r="L22" s="11">
        <f>IF($AP22="",0,IF($AO22="Yes",IF(L$2=$AK22,"◆",0),IF(AND(L$2&gt;=$AK22,L$2&lt;=$AL22),IF($AM22&gt;=1,2,IF(L$2&lt;$AK22+($AL22-$AK22+1)*$AM22,2,3)),0)))</f>
        <v/>
      </c>
      <c r="M22" s="11">
        <f>IF($AP22="",0,IF($AO22="Yes",IF(M$2=$AK22,"◆",0),IF(AND(M$2&gt;=$AK22,M$2&lt;=$AL22),IF($AM22&gt;=1,2,IF(M$2&lt;$AK22+($AL22-$AK22+1)*$AM22,2,3)),0)))</f>
        <v/>
      </c>
      <c r="N22" s="11">
        <f>IF($AP22="",0,IF($AO22="Yes",IF(N$2=$AK22,"◆",0),IF(AND(N$2&gt;=$AK22,N$2&lt;=$AL22),IF($AM22&gt;=1,2,IF(N$2&lt;$AK22+($AL22-$AK22+1)*$AM22,2,3)),0)))</f>
        <v/>
      </c>
      <c r="O22" s="11">
        <f>IF($AP22="",0,IF($AO22="Yes",IF(O$2=$AK22,"◆",0),IF(AND(O$2&gt;=$AK22,O$2&lt;=$AL22),IF($AM22&gt;=1,2,IF(O$2&lt;$AK22+($AL22-$AK22+1)*$AM22,2,3)),0)))</f>
        <v/>
      </c>
      <c r="P22" s="11">
        <f>IF($AP22="",0,IF($AO22="Yes",IF(P$2=$AK22,"◆",0),IF(AND(P$2&gt;=$AK22,P$2&lt;=$AL22),IF($AM22&gt;=1,2,IF(P$2&lt;$AK22+($AL22-$AK22+1)*$AM22,2,3)),0)))</f>
        <v/>
      </c>
      <c r="Q22" s="11">
        <f>IF($AP22="",0,IF($AO22="Yes",IF(Q$2=$AK22,"◆",0),IF(AND(Q$2&gt;=$AK22,Q$2&lt;=$AL22),IF($AM22&gt;=1,2,IF(Q$2&lt;$AK22+($AL22-$AK22+1)*$AM22,2,3)),0)))</f>
        <v/>
      </c>
      <c r="R22" s="11">
        <f>IF($AP22="",0,IF($AO22="Yes",IF(R$2=$AK22,"◆",0),IF(AND(R$2&gt;=$AK22,R$2&lt;=$AL22),IF($AM22&gt;=1,2,IF(R$2&lt;$AK22+($AL22-$AK22+1)*$AM22,2,3)),0)))</f>
        <v/>
      </c>
      <c r="S22" s="11">
        <f>IF($AP22="",0,IF($AO22="Yes",IF(S$2=$AK22,"◆",0),IF(AND(S$2&gt;=$AK22,S$2&lt;=$AL22),IF($AM22&gt;=1,2,IF(S$2&lt;$AK22+($AL22-$AK22+1)*$AM22,2,3)),0)))</f>
        <v/>
      </c>
      <c r="T22" s="11">
        <f>IF($AP22="",0,IF($AO22="Yes",IF(T$2=$AK22,"◆",0),IF(AND(T$2&gt;=$AK22,T$2&lt;=$AL22),IF($AM22&gt;=1,2,IF(T$2&lt;$AK22+($AL22-$AK22+1)*$AM22,2,3)),0)))</f>
        <v/>
      </c>
      <c r="U22" s="11">
        <f>IF($AP22="",0,IF($AO22="Yes",IF(U$2=$AK22,"◆",0),IF(AND(U$2&gt;=$AK22,U$2&lt;=$AL22),IF($AM22&gt;=1,2,IF(U$2&lt;$AK22+($AL22-$AK22+1)*$AM22,2,3)),0)))</f>
        <v/>
      </c>
      <c r="V22" s="11">
        <f>IF($AP22="",0,IF($AO22="Yes",IF(V$2=$AK22,"◆",0),IF(AND(V$2&gt;=$AK22,V$2&lt;=$AL22),IF($AM22&gt;=1,2,IF(V$2&lt;$AK22+($AL22-$AK22+1)*$AM22,2,3)),0)))</f>
        <v/>
      </c>
      <c r="W22" s="11">
        <f>IF($AP22="",0,IF($AO22="Yes",IF(W$2=$AK22,"◆",0),IF(AND(W$2&gt;=$AK22,W$2&lt;=$AL22),IF($AM22&gt;=1,2,IF(W$2&lt;$AK22+($AL22-$AK22+1)*$AM22,2,3)),0)))</f>
        <v/>
      </c>
      <c r="X22" s="11">
        <f>IF($AP22="",0,IF($AO22="Yes",IF(X$2=$AK22,"◆",0),IF(AND(X$2&gt;=$AK22,X$2&lt;=$AL22),IF($AM22&gt;=1,2,IF(X$2&lt;$AK22+($AL22-$AK22+1)*$AM22,2,3)),0)))</f>
        <v/>
      </c>
      <c r="Y22" s="11">
        <f>IF($AP22="",0,IF($AO22="Yes",IF(Y$2=$AK22,"◆",0),IF(AND(Y$2&gt;=$AK22,Y$2&lt;=$AL22),IF($AM22&gt;=1,2,IF(Y$2&lt;$AK22+($AL22-$AK22+1)*$AM22,2,3)),0)))</f>
        <v/>
      </c>
      <c r="Z22" s="11">
        <f>IF($AP22="",0,IF($AO22="Yes",IF(Z$2=$AK22,"◆",0),IF(AND(Z$2&gt;=$AK22,Z$2&lt;=$AL22),IF($AM22&gt;=1,2,IF(Z$2&lt;$AK22+($AL22-$AK22+1)*$AM22,2,3)),0)))</f>
        <v/>
      </c>
      <c r="AA22" s="11">
        <f>IF($AP22="",0,IF($AO22="Yes",IF(AA$2=$AK22,"◆",0),IF(AND(AA$2&gt;=$AK22,AA$2&lt;=$AL22),IF($AM22&gt;=1,2,IF(AA$2&lt;$AK22+($AL22-$AK22+1)*$AM22,2,3)),0)))</f>
        <v/>
      </c>
      <c r="AB22" s="11">
        <f>IF($AP22="",0,IF($AO22="Yes",IF(AB$2=$AK22,"◆",0),IF(AND(AB$2&gt;=$AK22,AB$2&lt;=$AL22),IF($AM22&gt;=1,2,IF(AB$2&lt;$AK22+($AL22-$AK22+1)*$AM22,2,3)),0)))</f>
        <v/>
      </c>
      <c r="AC22" s="11">
        <f>IF($AP22="",0,IF($AO22="Yes",IF(AC$2=$AK22,"◆",0),IF(AND(AC$2&gt;=$AK22,AC$2&lt;=$AL22),IF($AM22&gt;=1,2,IF(AC$2&lt;$AK22+($AL22-$AK22+1)*$AM22,2,3)),0)))</f>
        <v/>
      </c>
      <c r="AD22" s="11">
        <f>IF($AP22="",0,IF($AO22="Yes",IF(AD$2=$AK22,"◆",0),IF(AND(AD$2&gt;=$AK22,AD$2&lt;=$AL22),IF($AM22&gt;=1,2,IF(AD$2&lt;$AK22+($AL22-$AK22+1)*$AM22,2,3)),0)))</f>
        <v/>
      </c>
      <c r="AE22" s="11">
        <f>IF($AP22="",0,IF($AO22="Yes",IF(AE$2=$AK22,"◆",0),IF(AND(AE$2&gt;=$AK22,AE$2&lt;=$AL22),IF($AM22&gt;=1,2,IF(AE$2&lt;$AK22+($AL22-$AK22+1)*$AM22,2,3)),0)))</f>
        <v/>
      </c>
      <c r="AF22" s="11">
        <f>IF($AP22="",0,IF($AO22="Yes",IF(AF$2=$AK22,"◆",0),IF(AND(AF$2&gt;=$AK22,AF$2&lt;=$AL22),IF($AM22&gt;=1,2,IF(AF$2&lt;$AK22+($AL22-$AK22+1)*$AM22,2,3)),0)))</f>
        <v/>
      </c>
      <c r="AG22" s="11">
        <f>IF($AP22="",0,IF($AO22="Yes",IF(AG$2=$AK22,"◆",0),IF(AND(AG$2&gt;=$AK22,AG$2&lt;=$AL22),IF($AM22&gt;=1,2,IF(AG$2&lt;$AK22+($AL22-$AK22+1)*$AM22,2,3)),0)))</f>
        <v/>
      </c>
      <c r="AH22" s="11">
        <f>IF($AP22="",0,IF($AO22="Yes",IF(AH$2=$AK22,"◆",0),IF(AND(AH$2&gt;=$AK22,AH$2&lt;=$AL22),IF($AM22&gt;=1,2,IF(AH$2&lt;$AK22+($AL22-$AK22+1)*$AM22,2,3)),0)))</f>
        <v/>
      </c>
      <c r="AI22" s="11">
        <f>IF($AP22="",0,IF($AO22="Yes",IF(AI$2=$AK22,"◆",0),IF(AND(AI$2&gt;=$AK22,AI$2&lt;=$AL22),IF($AM22&gt;=1,2,IF(AI$2&lt;$AK22+($AL22-$AK22+1)*$AM22,2,3)),0)))</f>
        <v/>
      </c>
      <c r="AJ22" s="11">
        <f>IF($AP22="",0,IF($AO22="Yes",IF(AJ$2=$AK22,"◆",0),IF(AND(AJ$2&gt;=$AK22,AJ$2&lt;=$AL22),IF($AM22&gt;=1,2,IF(AJ$2&lt;$AK22+($AL22-$AK22+1)*$AM22,2,3)),0)))</f>
        <v/>
      </c>
      <c r="AK22">
        <f>IFERROR(INDEX(tblTasks[Start Date],ROW()-5),"")</f>
        <v/>
      </c>
      <c r="AL22">
        <f>IFERROR(INDEX(tblTasks[End Date],ROW()-5),"")</f>
        <v/>
      </c>
      <c r="AM22">
        <f>IFERROR(INDEX(tblTasks[Progress %],ROW()-5),0)</f>
        <v/>
      </c>
      <c r="AN22">
        <f>IFERROR(INDEX(tblTasks[Status],ROW()-5),"")</f>
        <v/>
      </c>
      <c r="AO22">
        <f>IFERROR(INDEX(tblTasks[Milestone],ROW()-5),"No")</f>
        <v/>
      </c>
      <c r="AP22">
        <f>IFERROR(INDEX(tblTasks[Task ID],ROW()-5),"")</f>
        <v/>
      </c>
      <c r="AQ22">
        <f>IFERROR(INDEX(tblTasks[Phase],ROW()-5),"")</f>
        <v/>
      </c>
    </row>
    <row r="23">
      <c r="A23" s="9">
        <f>IF($AP23="","",$AP23)</f>
        <v/>
      </c>
      <c r="B23" s="10">
        <f>IF($AP23="","",IF($AO23="Yes","◆ ","")&amp;INDEX(tblTasks[Task Name],ROW()-5))</f>
        <v/>
      </c>
      <c r="C23" s="11">
        <f>IF($AP23="",0,IF($AO23="Yes",IF(C$2=$AK23,"◆",0),IF(AND(C$2&gt;=$AK23,C$2&lt;=$AL23),IF($AM23&gt;=1,2,IF(C$2&lt;$AK23+($AL23-$AK23+1)*$AM23,2,3)),0)))</f>
        <v/>
      </c>
      <c r="D23" s="11">
        <f>IF($AP23="",0,IF($AO23="Yes",IF(D$2=$AK23,"◆",0),IF(AND(D$2&gt;=$AK23,D$2&lt;=$AL23),IF($AM23&gt;=1,2,IF(D$2&lt;$AK23+($AL23-$AK23+1)*$AM23,2,3)),0)))</f>
        <v/>
      </c>
      <c r="E23" s="11">
        <f>IF($AP23="",0,IF($AO23="Yes",IF(E$2=$AK23,"◆",0),IF(AND(E$2&gt;=$AK23,E$2&lt;=$AL23),IF($AM23&gt;=1,2,IF(E$2&lt;$AK23+($AL23-$AK23+1)*$AM23,2,3)),0)))</f>
        <v/>
      </c>
      <c r="F23" s="11">
        <f>IF($AP23="",0,IF($AO23="Yes",IF(F$2=$AK23,"◆",0),IF(AND(F$2&gt;=$AK23,F$2&lt;=$AL23),IF($AM23&gt;=1,2,IF(F$2&lt;$AK23+($AL23-$AK23+1)*$AM23,2,3)),0)))</f>
        <v/>
      </c>
      <c r="G23" s="11">
        <f>IF($AP23="",0,IF($AO23="Yes",IF(G$2=$AK23,"◆",0),IF(AND(G$2&gt;=$AK23,G$2&lt;=$AL23),IF($AM23&gt;=1,2,IF(G$2&lt;$AK23+($AL23-$AK23+1)*$AM23,2,3)),0)))</f>
        <v/>
      </c>
      <c r="H23" s="11">
        <f>IF($AP23="",0,IF($AO23="Yes",IF(H$2=$AK23,"◆",0),IF(AND(H$2&gt;=$AK23,H$2&lt;=$AL23),IF($AM23&gt;=1,2,IF(H$2&lt;$AK23+($AL23-$AK23+1)*$AM23,2,3)),0)))</f>
        <v/>
      </c>
      <c r="I23" s="11">
        <f>IF($AP23="",0,IF($AO23="Yes",IF(I$2=$AK23,"◆",0),IF(AND(I$2&gt;=$AK23,I$2&lt;=$AL23),IF($AM23&gt;=1,2,IF(I$2&lt;$AK23+($AL23-$AK23+1)*$AM23,2,3)),0)))</f>
        <v/>
      </c>
      <c r="J23" s="11">
        <f>IF($AP23="",0,IF($AO23="Yes",IF(J$2=$AK23,"◆",0),IF(AND(J$2&gt;=$AK23,J$2&lt;=$AL23),IF($AM23&gt;=1,2,IF(J$2&lt;$AK23+($AL23-$AK23+1)*$AM23,2,3)),0)))</f>
        <v/>
      </c>
      <c r="K23" s="11">
        <f>IF($AP23="",0,IF($AO23="Yes",IF(K$2=$AK23,"◆",0),IF(AND(K$2&gt;=$AK23,K$2&lt;=$AL23),IF($AM23&gt;=1,2,IF(K$2&lt;$AK23+($AL23-$AK23+1)*$AM23,2,3)),0)))</f>
        <v/>
      </c>
      <c r="L23" s="11">
        <f>IF($AP23="",0,IF($AO23="Yes",IF(L$2=$AK23,"◆",0),IF(AND(L$2&gt;=$AK23,L$2&lt;=$AL23),IF($AM23&gt;=1,2,IF(L$2&lt;$AK23+($AL23-$AK23+1)*$AM23,2,3)),0)))</f>
        <v/>
      </c>
      <c r="M23" s="11">
        <f>IF($AP23="",0,IF($AO23="Yes",IF(M$2=$AK23,"◆",0),IF(AND(M$2&gt;=$AK23,M$2&lt;=$AL23),IF($AM23&gt;=1,2,IF(M$2&lt;$AK23+($AL23-$AK23+1)*$AM23,2,3)),0)))</f>
        <v/>
      </c>
      <c r="N23" s="11">
        <f>IF($AP23="",0,IF($AO23="Yes",IF(N$2=$AK23,"◆",0),IF(AND(N$2&gt;=$AK23,N$2&lt;=$AL23),IF($AM23&gt;=1,2,IF(N$2&lt;$AK23+($AL23-$AK23+1)*$AM23,2,3)),0)))</f>
        <v/>
      </c>
      <c r="O23" s="11">
        <f>IF($AP23="",0,IF($AO23="Yes",IF(O$2=$AK23,"◆",0),IF(AND(O$2&gt;=$AK23,O$2&lt;=$AL23),IF($AM23&gt;=1,2,IF(O$2&lt;$AK23+($AL23-$AK23+1)*$AM23,2,3)),0)))</f>
        <v/>
      </c>
      <c r="P23" s="11">
        <f>IF($AP23="",0,IF($AO23="Yes",IF(P$2=$AK23,"◆",0),IF(AND(P$2&gt;=$AK23,P$2&lt;=$AL23),IF($AM23&gt;=1,2,IF(P$2&lt;$AK23+($AL23-$AK23+1)*$AM23,2,3)),0)))</f>
        <v/>
      </c>
      <c r="Q23" s="11">
        <f>IF($AP23="",0,IF($AO23="Yes",IF(Q$2=$AK23,"◆",0),IF(AND(Q$2&gt;=$AK23,Q$2&lt;=$AL23),IF($AM23&gt;=1,2,IF(Q$2&lt;$AK23+($AL23-$AK23+1)*$AM23,2,3)),0)))</f>
        <v/>
      </c>
      <c r="R23" s="11">
        <f>IF($AP23="",0,IF($AO23="Yes",IF(R$2=$AK23,"◆",0),IF(AND(R$2&gt;=$AK23,R$2&lt;=$AL23),IF($AM23&gt;=1,2,IF(R$2&lt;$AK23+($AL23-$AK23+1)*$AM23,2,3)),0)))</f>
        <v/>
      </c>
      <c r="S23" s="11">
        <f>IF($AP23="",0,IF($AO23="Yes",IF(S$2=$AK23,"◆",0),IF(AND(S$2&gt;=$AK23,S$2&lt;=$AL23),IF($AM23&gt;=1,2,IF(S$2&lt;$AK23+($AL23-$AK23+1)*$AM23,2,3)),0)))</f>
        <v/>
      </c>
      <c r="T23" s="11">
        <f>IF($AP23="",0,IF($AO23="Yes",IF(T$2=$AK23,"◆",0),IF(AND(T$2&gt;=$AK23,T$2&lt;=$AL23),IF($AM23&gt;=1,2,IF(T$2&lt;$AK23+($AL23-$AK23+1)*$AM23,2,3)),0)))</f>
        <v/>
      </c>
      <c r="U23" s="11">
        <f>IF($AP23="",0,IF($AO23="Yes",IF(U$2=$AK23,"◆",0),IF(AND(U$2&gt;=$AK23,U$2&lt;=$AL23),IF($AM23&gt;=1,2,IF(U$2&lt;$AK23+($AL23-$AK23+1)*$AM23,2,3)),0)))</f>
        <v/>
      </c>
      <c r="V23" s="11">
        <f>IF($AP23="",0,IF($AO23="Yes",IF(V$2=$AK23,"◆",0),IF(AND(V$2&gt;=$AK23,V$2&lt;=$AL23),IF($AM23&gt;=1,2,IF(V$2&lt;$AK23+($AL23-$AK23+1)*$AM23,2,3)),0)))</f>
        <v/>
      </c>
      <c r="W23" s="11">
        <f>IF($AP23="",0,IF($AO23="Yes",IF(W$2=$AK23,"◆",0),IF(AND(W$2&gt;=$AK23,W$2&lt;=$AL23),IF($AM23&gt;=1,2,IF(W$2&lt;$AK23+($AL23-$AK23+1)*$AM23,2,3)),0)))</f>
        <v/>
      </c>
      <c r="X23" s="11">
        <f>IF($AP23="",0,IF($AO23="Yes",IF(X$2=$AK23,"◆",0),IF(AND(X$2&gt;=$AK23,X$2&lt;=$AL23),IF($AM23&gt;=1,2,IF(X$2&lt;$AK23+($AL23-$AK23+1)*$AM23,2,3)),0)))</f>
        <v/>
      </c>
      <c r="Y23" s="11">
        <f>IF($AP23="",0,IF($AO23="Yes",IF(Y$2=$AK23,"◆",0),IF(AND(Y$2&gt;=$AK23,Y$2&lt;=$AL23),IF($AM23&gt;=1,2,IF(Y$2&lt;$AK23+($AL23-$AK23+1)*$AM23,2,3)),0)))</f>
        <v/>
      </c>
      <c r="Z23" s="11">
        <f>IF($AP23="",0,IF($AO23="Yes",IF(Z$2=$AK23,"◆",0),IF(AND(Z$2&gt;=$AK23,Z$2&lt;=$AL23),IF($AM23&gt;=1,2,IF(Z$2&lt;$AK23+($AL23-$AK23+1)*$AM23,2,3)),0)))</f>
        <v/>
      </c>
      <c r="AA23" s="11">
        <f>IF($AP23="",0,IF($AO23="Yes",IF(AA$2=$AK23,"◆",0),IF(AND(AA$2&gt;=$AK23,AA$2&lt;=$AL23),IF($AM23&gt;=1,2,IF(AA$2&lt;$AK23+($AL23-$AK23+1)*$AM23,2,3)),0)))</f>
        <v/>
      </c>
      <c r="AB23" s="11">
        <f>IF($AP23="",0,IF($AO23="Yes",IF(AB$2=$AK23,"◆",0),IF(AND(AB$2&gt;=$AK23,AB$2&lt;=$AL23),IF($AM23&gt;=1,2,IF(AB$2&lt;$AK23+($AL23-$AK23+1)*$AM23,2,3)),0)))</f>
        <v/>
      </c>
      <c r="AC23" s="11">
        <f>IF($AP23="",0,IF($AO23="Yes",IF(AC$2=$AK23,"◆",0),IF(AND(AC$2&gt;=$AK23,AC$2&lt;=$AL23),IF($AM23&gt;=1,2,IF(AC$2&lt;$AK23+($AL23-$AK23+1)*$AM23,2,3)),0)))</f>
        <v/>
      </c>
      <c r="AD23" s="11">
        <f>IF($AP23="",0,IF($AO23="Yes",IF(AD$2=$AK23,"◆",0),IF(AND(AD$2&gt;=$AK23,AD$2&lt;=$AL23),IF($AM23&gt;=1,2,IF(AD$2&lt;$AK23+($AL23-$AK23+1)*$AM23,2,3)),0)))</f>
        <v/>
      </c>
      <c r="AE23" s="11">
        <f>IF($AP23="",0,IF($AO23="Yes",IF(AE$2=$AK23,"◆",0),IF(AND(AE$2&gt;=$AK23,AE$2&lt;=$AL23),IF($AM23&gt;=1,2,IF(AE$2&lt;$AK23+($AL23-$AK23+1)*$AM23,2,3)),0)))</f>
        <v/>
      </c>
      <c r="AF23" s="11">
        <f>IF($AP23="",0,IF($AO23="Yes",IF(AF$2=$AK23,"◆",0),IF(AND(AF$2&gt;=$AK23,AF$2&lt;=$AL23),IF($AM23&gt;=1,2,IF(AF$2&lt;$AK23+($AL23-$AK23+1)*$AM23,2,3)),0)))</f>
        <v/>
      </c>
      <c r="AG23" s="11">
        <f>IF($AP23="",0,IF($AO23="Yes",IF(AG$2=$AK23,"◆",0),IF(AND(AG$2&gt;=$AK23,AG$2&lt;=$AL23),IF($AM23&gt;=1,2,IF(AG$2&lt;$AK23+($AL23-$AK23+1)*$AM23,2,3)),0)))</f>
        <v/>
      </c>
      <c r="AH23" s="11">
        <f>IF($AP23="",0,IF($AO23="Yes",IF(AH$2=$AK23,"◆",0),IF(AND(AH$2&gt;=$AK23,AH$2&lt;=$AL23),IF($AM23&gt;=1,2,IF(AH$2&lt;$AK23+($AL23-$AK23+1)*$AM23,2,3)),0)))</f>
        <v/>
      </c>
      <c r="AI23" s="11">
        <f>IF($AP23="",0,IF($AO23="Yes",IF(AI$2=$AK23,"◆",0),IF(AND(AI$2&gt;=$AK23,AI$2&lt;=$AL23),IF($AM23&gt;=1,2,IF(AI$2&lt;$AK23+($AL23-$AK23+1)*$AM23,2,3)),0)))</f>
        <v/>
      </c>
      <c r="AJ23" s="11">
        <f>IF($AP23="",0,IF($AO23="Yes",IF(AJ$2=$AK23,"◆",0),IF(AND(AJ$2&gt;=$AK23,AJ$2&lt;=$AL23),IF($AM23&gt;=1,2,IF(AJ$2&lt;$AK23+($AL23-$AK23+1)*$AM23,2,3)),0)))</f>
        <v/>
      </c>
      <c r="AK23">
        <f>IFERROR(INDEX(tblTasks[Start Date],ROW()-5),"")</f>
        <v/>
      </c>
      <c r="AL23">
        <f>IFERROR(INDEX(tblTasks[End Date],ROW()-5),"")</f>
        <v/>
      </c>
      <c r="AM23">
        <f>IFERROR(INDEX(tblTasks[Progress %],ROW()-5),0)</f>
        <v/>
      </c>
      <c r="AN23">
        <f>IFERROR(INDEX(tblTasks[Status],ROW()-5),"")</f>
        <v/>
      </c>
      <c r="AO23">
        <f>IFERROR(INDEX(tblTasks[Milestone],ROW()-5),"No")</f>
        <v/>
      </c>
      <c r="AP23">
        <f>IFERROR(INDEX(tblTasks[Task ID],ROW()-5),"")</f>
        <v/>
      </c>
      <c r="AQ23">
        <f>IFERROR(INDEX(tblTasks[Phase],ROW()-5),"")</f>
        <v/>
      </c>
    </row>
    <row r="24">
      <c r="A24" s="9">
        <f>IF($AP24="","",$AP24)</f>
        <v/>
      </c>
      <c r="B24" s="10">
        <f>IF($AP24="","",IF($AO24="Yes","◆ ","")&amp;INDEX(tblTasks[Task Name],ROW()-5))</f>
        <v/>
      </c>
      <c r="C24" s="11">
        <f>IF($AP24="",0,IF($AO24="Yes",IF(C$2=$AK24,"◆",0),IF(AND(C$2&gt;=$AK24,C$2&lt;=$AL24),IF($AM24&gt;=1,2,IF(C$2&lt;$AK24+($AL24-$AK24+1)*$AM24,2,3)),0)))</f>
        <v/>
      </c>
      <c r="D24" s="11">
        <f>IF($AP24="",0,IF($AO24="Yes",IF(D$2=$AK24,"◆",0),IF(AND(D$2&gt;=$AK24,D$2&lt;=$AL24),IF($AM24&gt;=1,2,IF(D$2&lt;$AK24+($AL24-$AK24+1)*$AM24,2,3)),0)))</f>
        <v/>
      </c>
      <c r="E24" s="11">
        <f>IF($AP24="",0,IF($AO24="Yes",IF(E$2=$AK24,"◆",0),IF(AND(E$2&gt;=$AK24,E$2&lt;=$AL24),IF($AM24&gt;=1,2,IF(E$2&lt;$AK24+($AL24-$AK24+1)*$AM24,2,3)),0)))</f>
        <v/>
      </c>
      <c r="F24" s="11">
        <f>IF($AP24="",0,IF($AO24="Yes",IF(F$2=$AK24,"◆",0),IF(AND(F$2&gt;=$AK24,F$2&lt;=$AL24),IF($AM24&gt;=1,2,IF(F$2&lt;$AK24+($AL24-$AK24+1)*$AM24,2,3)),0)))</f>
        <v/>
      </c>
      <c r="G24" s="11">
        <f>IF($AP24="",0,IF($AO24="Yes",IF(G$2=$AK24,"◆",0),IF(AND(G$2&gt;=$AK24,G$2&lt;=$AL24),IF($AM24&gt;=1,2,IF(G$2&lt;$AK24+($AL24-$AK24+1)*$AM24,2,3)),0)))</f>
        <v/>
      </c>
      <c r="H24" s="11">
        <f>IF($AP24="",0,IF($AO24="Yes",IF(H$2=$AK24,"◆",0),IF(AND(H$2&gt;=$AK24,H$2&lt;=$AL24),IF($AM24&gt;=1,2,IF(H$2&lt;$AK24+($AL24-$AK24+1)*$AM24,2,3)),0)))</f>
        <v/>
      </c>
      <c r="I24" s="11">
        <f>IF($AP24="",0,IF($AO24="Yes",IF(I$2=$AK24,"◆",0),IF(AND(I$2&gt;=$AK24,I$2&lt;=$AL24),IF($AM24&gt;=1,2,IF(I$2&lt;$AK24+($AL24-$AK24+1)*$AM24,2,3)),0)))</f>
        <v/>
      </c>
      <c r="J24" s="11">
        <f>IF($AP24="",0,IF($AO24="Yes",IF(J$2=$AK24,"◆",0),IF(AND(J$2&gt;=$AK24,J$2&lt;=$AL24),IF($AM24&gt;=1,2,IF(J$2&lt;$AK24+($AL24-$AK24+1)*$AM24,2,3)),0)))</f>
        <v/>
      </c>
      <c r="K24" s="11">
        <f>IF($AP24="",0,IF($AO24="Yes",IF(K$2=$AK24,"◆",0),IF(AND(K$2&gt;=$AK24,K$2&lt;=$AL24),IF($AM24&gt;=1,2,IF(K$2&lt;$AK24+($AL24-$AK24+1)*$AM24,2,3)),0)))</f>
        <v/>
      </c>
      <c r="L24" s="11">
        <f>IF($AP24="",0,IF($AO24="Yes",IF(L$2=$AK24,"◆",0),IF(AND(L$2&gt;=$AK24,L$2&lt;=$AL24),IF($AM24&gt;=1,2,IF(L$2&lt;$AK24+($AL24-$AK24+1)*$AM24,2,3)),0)))</f>
        <v/>
      </c>
      <c r="M24" s="11">
        <f>IF($AP24="",0,IF($AO24="Yes",IF(M$2=$AK24,"◆",0),IF(AND(M$2&gt;=$AK24,M$2&lt;=$AL24),IF($AM24&gt;=1,2,IF(M$2&lt;$AK24+($AL24-$AK24+1)*$AM24,2,3)),0)))</f>
        <v/>
      </c>
      <c r="N24" s="11">
        <f>IF($AP24="",0,IF($AO24="Yes",IF(N$2=$AK24,"◆",0),IF(AND(N$2&gt;=$AK24,N$2&lt;=$AL24),IF($AM24&gt;=1,2,IF(N$2&lt;$AK24+($AL24-$AK24+1)*$AM24,2,3)),0)))</f>
        <v/>
      </c>
      <c r="O24" s="11">
        <f>IF($AP24="",0,IF($AO24="Yes",IF(O$2=$AK24,"◆",0),IF(AND(O$2&gt;=$AK24,O$2&lt;=$AL24),IF($AM24&gt;=1,2,IF(O$2&lt;$AK24+($AL24-$AK24+1)*$AM24,2,3)),0)))</f>
        <v/>
      </c>
      <c r="P24" s="11">
        <f>IF($AP24="",0,IF($AO24="Yes",IF(P$2=$AK24,"◆",0),IF(AND(P$2&gt;=$AK24,P$2&lt;=$AL24),IF($AM24&gt;=1,2,IF(P$2&lt;$AK24+($AL24-$AK24+1)*$AM24,2,3)),0)))</f>
        <v/>
      </c>
      <c r="Q24" s="11">
        <f>IF($AP24="",0,IF($AO24="Yes",IF(Q$2=$AK24,"◆",0),IF(AND(Q$2&gt;=$AK24,Q$2&lt;=$AL24),IF($AM24&gt;=1,2,IF(Q$2&lt;$AK24+($AL24-$AK24+1)*$AM24,2,3)),0)))</f>
        <v/>
      </c>
      <c r="R24" s="11">
        <f>IF($AP24="",0,IF($AO24="Yes",IF(R$2=$AK24,"◆",0),IF(AND(R$2&gt;=$AK24,R$2&lt;=$AL24),IF($AM24&gt;=1,2,IF(R$2&lt;$AK24+($AL24-$AK24+1)*$AM24,2,3)),0)))</f>
        <v/>
      </c>
      <c r="S24" s="11">
        <f>IF($AP24="",0,IF($AO24="Yes",IF(S$2=$AK24,"◆",0),IF(AND(S$2&gt;=$AK24,S$2&lt;=$AL24),IF($AM24&gt;=1,2,IF(S$2&lt;$AK24+($AL24-$AK24+1)*$AM24,2,3)),0)))</f>
        <v/>
      </c>
      <c r="T24" s="11">
        <f>IF($AP24="",0,IF($AO24="Yes",IF(T$2=$AK24,"◆",0),IF(AND(T$2&gt;=$AK24,T$2&lt;=$AL24),IF($AM24&gt;=1,2,IF(T$2&lt;$AK24+($AL24-$AK24+1)*$AM24,2,3)),0)))</f>
        <v/>
      </c>
      <c r="U24" s="11">
        <f>IF($AP24="",0,IF($AO24="Yes",IF(U$2=$AK24,"◆",0),IF(AND(U$2&gt;=$AK24,U$2&lt;=$AL24),IF($AM24&gt;=1,2,IF(U$2&lt;$AK24+($AL24-$AK24+1)*$AM24,2,3)),0)))</f>
        <v/>
      </c>
      <c r="V24" s="11">
        <f>IF($AP24="",0,IF($AO24="Yes",IF(V$2=$AK24,"◆",0),IF(AND(V$2&gt;=$AK24,V$2&lt;=$AL24),IF($AM24&gt;=1,2,IF(V$2&lt;$AK24+($AL24-$AK24+1)*$AM24,2,3)),0)))</f>
        <v/>
      </c>
      <c r="W24" s="11">
        <f>IF($AP24="",0,IF($AO24="Yes",IF(W$2=$AK24,"◆",0),IF(AND(W$2&gt;=$AK24,W$2&lt;=$AL24),IF($AM24&gt;=1,2,IF(W$2&lt;$AK24+($AL24-$AK24+1)*$AM24,2,3)),0)))</f>
        <v/>
      </c>
      <c r="X24" s="11">
        <f>IF($AP24="",0,IF($AO24="Yes",IF(X$2=$AK24,"◆",0),IF(AND(X$2&gt;=$AK24,X$2&lt;=$AL24),IF($AM24&gt;=1,2,IF(X$2&lt;$AK24+($AL24-$AK24+1)*$AM24,2,3)),0)))</f>
        <v/>
      </c>
      <c r="Y24" s="11">
        <f>IF($AP24="",0,IF($AO24="Yes",IF(Y$2=$AK24,"◆",0),IF(AND(Y$2&gt;=$AK24,Y$2&lt;=$AL24),IF($AM24&gt;=1,2,IF(Y$2&lt;$AK24+($AL24-$AK24+1)*$AM24,2,3)),0)))</f>
        <v/>
      </c>
      <c r="Z24" s="11">
        <f>IF($AP24="",0,IF($AO24="Yes",IF(Z$2=$AK24,"◆",0),IF(AND(Z$2&gt;=$AK24,Z$2&lt;=$AL24),IF($AM24&gt;=1,2,IF(Z$2&lt;$AK24+($AL24-$AK24+1)*$AM24,2,3)),0)))</f>
        <v/>
      </c>
      <c r="AA24" s="11">
        <f>IF($AP24="",0,IF($AO24="Yes",IF(AA$2=$AK24,"◆",0),IF(AND(AA$2&gt;=$AK24,AA$2&lt;=$AL24),IF($AM24&gt;=1,2,IF(AA$2&lt;$AK24+($AL24-$AK24+1)*$AM24,2,3)),0)))</f>
        <v/>
      </c>
      <c r="AB24" s="11">
        <f>IF($AP24="",0,IF($AO24="Yes",IF(AB$2=$AK24,"◆",0),IF(AND(AB$2&gt;=$AK24,AB$2&lt;=$AL24),IF($AM24&gt;=1,2,IF(AB$2&lt;$AK24+($AL24-$AK24+1)*$AM24,2,3)),0)))</f>
        <v/>
      </c>
      <c r="AC24" s="11">
        <f>IF($AP24="",0,IF($AO24="Yes",IF(AC$2=$AK24,"◆",0),IF(AND(AC$2&gt;=$AK24,AC$2&lt;=$AL24),IF($AM24&gt;=1,2,IF(AC$2&lt;$AK24+($AL24-$AK24+1)*$AM24,2,3)),0)))</f>
        <v/>
      </c>
      <c r="AD24" s="11">
        <f>IF($AP24="",0,IF($AO24="Yes",IF(AD$2=$AK24,"◆",0),IF(AND(AD$2&gt;=$AK24,AD$2&lt;=$AL24),IF($AM24&gt;=1,2,IF(AD$2&lt;$AK24+($AL24-$AK24+1)*$AM24,2,3)),0)))</f>
        <v/>
      </c>
      <c r="AE24" s="11">
        <f>IF($AP24="",0,IF($AO24="Yes",IF(AE$2=$AK24,"◆",0),IF(AND(AE$2&gt;=$AK24,AE$2&lt;=$AL24),IF($AM24&gt;=1,2,IF(AE$2&lt;$AK24+($AL24-$AK24+1)*$AM24,2,3)),0)))</f>
        <v/>
      </c>
      <c r="AF24" s="11">
        <f>IF($AP24="",0,IF($AO24="Yes",IF(AF$2=$AK24,"◆",0),IF(AND(AF$2&gt;=$AK24,AF$2&lt;=$AL24),IF($AM24&gt;=1,2,IF(AF$2&lt;$AK24+($AL24-$AK24+1)*$AM24,2,3)),0)))</f>
        <v/>
      </c>
      <c r="AG24" s="11">
        <f>IF($AP24="",0,IF($AO24="Yes",IF(AG$2=$AK24,"◆",0),IF(AND(AG$2&gt;=$AK24,AG$2&lt;=$AL24),IF($AM24&gt;=1,2,IF(AG$2&lt;$AK24+($AL24-$AK24+1)*$AM24,2,3)),0)))</f>
        <v/>
      </c>
      <c r="AH24" s="11">
        <f>IF($AP24="",0,IF($AO24="Yes",IF(AH$2=$AK24,"◆",0),IF(AND(AH$2&gt;=$AK24,AH$2&lt;=$AL24),IF($AM24&gt;=1,2,IF(AH$2&lt;$AK24+($AL24-$AK24+1)*$AM24,2,3)),0)))</f>
        <v/>
      </c>
      <c r="AI24" s="11">
        <f>IF($AP24="",0,IF($AO24="Yes",IF(AI$2=$AK24,"◆",0),IF(AND(AI$2&gt;=$AK24,AI$2&lt;=$AL24),IF($AM24&gt;=1,2,IF(AI$2&lt;$AK24+($AL24-$AK24+1)*$AM24,2,3)),0)))</f>
        <v/>
      </c>
      <c r="AJ24" s="11">
        <f>IF($AP24="",0,IF($AO24="Yes",IF(AJ$2=$AK24,"◆",0),IF(AND(AJ$2&gt;=$AK24,AJ$2&lt;=$AL24),IF($AM24&gt;=1,2,IF(AJ$2&lt;$AK24+($AL24-$AK24+1)*$AM24,2,3)),0)))</f>
        <v/>
      </c>
      <c r="AK24">
        <f>IFERROR(INDEX(tblTasks[Start Date],ROW()-5),"")</f>
        <v/>
      </c>
      <c r="AL24">
        <f>IFERROR(INDEX(tblTasks[End Date],ROW()-5),"")</f>
        <v/>
      </c>
      <c r="AM24">
        <f>IFERROR(INDEX(tblTasks[Progress %],ROW()-5),0)</f>
        <v/>
      </c>
      <c r="AN24">
        <f>IFERROR(INDEX(tblTasks[Status],ROW()-5),"")</f>
        <v/>
      </c>
      <c r="AO24">
        <f>IFERROR(INDEX(tblTasks[Milestone],ROW()-5),"No")</f>
        <v/>
      </c>
      <c r="AP24">
        <f>IFERROR(INDEX(tblTasks[Task ID],ROW()-5),"")</f>
        <v/>
      </c>
      <c r="AQ24">
        <f>IFERROR(INDEX(tblTasks[Phase],ROW()-5),"")</f>
        <v/>
      </c>
    </row>
    <row r="25">
      <c r="A25" s="9">
        <f>IF($AP25="","",$AP25)</f>
        <v/>
      </c>
      <c r="B25" s="10">
        <f>IF($AP25="","",IF($AO25="Yes","◆ ","")&amp;INDEX(tblTasks[Task Name],ROW()-5))</f>
        <v/>
      </c>
      <c r="C25" s="11">
        <f>IF($AP25="",0,IF($AO25="Yes",IF(C$2=$AK25,"◆",0),IF(AND(C$2&gt;=$AK25,C$2&lt;=$AL25),IF($AM25&gt;=1,2,IF(C$2&lt;$AK25+($AL25-$AK25+1)*$AM25,2,3)),0)))</f>
        <v/>
      </c>
      <c r="D25" s="11">
        <f>IF($AP25="",0,IF($AO25="Yes",IF(D$2=$AK25,"◆",0),IF(AND(D$2&gt;=$AK25,D$2&lt;=$AL25),IF($AM25&gt;=1,2,IF(D$2&lt;$AK25+($AL25-$AK25+1)*$AM25,2,3)),0)))</f>
        <v/>
      </c>
      <c r="E25" s="11">
        <f>IF($AP25="",0,IF($AO25="Yes",IF(E$2=$AK25,"◆",0),IF(AND(E$2&gt;=$AK25,E$2&lt;=$AL25),IF($AM25&gt;=1,2,IF(E$2&lt;$AK25+($AL25-$AK25+1)*$AM25,2,3)),0)))</f>
        <v/>
      </c>
      <c r="F25" s="11">
        <f>IF($AP25="",0,IF($AO25="Yes",IF(F$2=$AK25,"◆",0),IF(AND(F$2&gt;=$AK25,F$2&lt;=$AL25),IF($AM25&gt;=1,2,IF(F$2&lt;$AK25+($AL25-$AK25+1)*$AM25,2,3)),0)))</f>
        <v/>
      </c>
      <c r="G25" s="11">
        <f>IF($AP25="",0,IF($AO25="Yes",IF(G$2=$AK25,"◆",0),IF(AND(G$2&gt;=$AK25,G$2&lt;=$AL25),IF($AM25&gt;=1,2,IF(G$2&lt;$AK25+($AL25-$AK25+1)*$AM25,2,3)),0)))</f>
        <v/>
      </c>
      <c r="H25" s="11">
        <f>IF($AP25="",0,IF($AO25="Yes",IF(H$2=$AK25,"◆",0),IF(AND(H$2&gt;=$AK25,H$2&lt;=$AL25),IF($AM25&gt;=1,2,IF(H$2&lt;$AK25+($AL25-$AK25+1)*$AM25,2,3)),0)))</f>
        <v/>
      </c>
      <c r="I25" s="11">
        <f>IF($AP25="",0,IF($AO25="Yes",IF(I$2=$AK25,"◆",0),IF(AND(I$2&gt;=$AK25,I$2&lt;=$AL25),IF($AM25&gt;=1,2,IF(I$2&lt;$AK25+($AL25-$AK25+1)*$AM25,2,3)),0)))</f>
        <v/>
      </c>
      <c r="J25" s="11">
        <f>IF($AP25="",0,IF($AO25="Yes",IF(J$2=$AK25,"◆",0),IF(AND(J$2&gt;=$AK25,J$2&lt;=$AL25),IF($AM25&gt;=1,2,IF(J$2&lt;$AK25+($AL25-$AK25+1)*$AM25,2,3)),0)))</f>
        <v/>
      </c>
      <c r="K25" s="11">
        <f>IF($AP25="",0,IF($AO25="Yes",IF(K$2=$AK25,"◆",0),IF(AND(K$2&gt;=$AK25,K$2&lt;=$AL25),IF($AM25&gt;=1,2,IF(K$2&lt;$AK25+($AL25-$AK25+1)*$AM25,2,3)),0)))</f>
        <v/>
      </c>
      <c r="L25" s="11">
        <f>IF($AP25="",0,IF($AO25="Yes",IF(L$2=$AK25,"◆",0),IF(AND(L$2&gt;=$AK25,L$2&lt;=$AL25),IF($AM25&gt;=1,2,IF(L$2&lt;$AK25+($AL25-$AK25+1)*$AM25,2,3)),0)))</f>
        <v/>
      </c>
      <c r="M25" s="11">
        <f>IF($AP25="",0,IF($AO25="Yes",IF(M$2=$AK25,"◆",0),IF(AND(M$2&gt;=$AK25,M$2&lt;=$AL25),IF($AM25&gt;=1,2,IF(M$2&lt;$AK25+($AL25-$AK25+1)*$AM25,2,3)),0)))</f>
        <v/>
      </c>
      <c r="N25" s="11">
        <f>IF($AP25="",0,IF($AO25="Yes",IF(N$2=$AK25,"◆",0),IF(AND(N$2&gt;=$AK25,N$2&lt;=$AL25),IF($AM25&gt;=1,2,IF(N$2&lt;$AK25+($AL25-$AK25+1)*$AM25,2,3)),0)))</f>
        <v/>
      </c>
      <c r="O25" s="11">
        <f>IF($AP25="",0,IF($AO25="Yes",IF(O$2=$AK25,"◆",0),IF(AND(O$2&gt;=$AK25,O$2&lt;=$AL25),IF($AM25&gt;=1,2,IF(O$2&lt;$AK25+($AL25-$AK25+1)*$AM25,2,3)),0)))</f>
        <v/>
      </c>
      <c r="P25" s="11">
        <f>IF($AP25="",0,IF($AO25="Yes",IF(P$2=$AK25,"◆",0),IF(AND(P$2&gt;=$AK25,P$2&lt;=$AL25),IF($AM25&gt;=1,2,IF(P$2&lt;$AK25+($AL25-$AK25+1)*$AM25,2,3)),0)))</f>
        <v/>
      </c>
      <c r="Q25" s="11">
        <f>IF($AP25="",0,IF($AO25="Yes",IF(Q$2=$AK25,"◆",0),IF(AND(Q$2&gt;=$AK25,Q$2&lt;=$AL25),IF($AM25&gt;=1,2,IF(Q$2&lt;$AK25+($AL25-$AK25+1)*$AM25,2,3)),0)))</f>
        <v/>
      </c>
      <c r="R25" s="11">
        <f>IF($AP25="",0,IF($AO25="Yes",IF(R$2=$AK25,"◆",0),IF(AND(R$2&gt;=$AK25,R$2&lt;=$AL25),IF($AM25&gt;=1,2,IF(R$2&lt;$AK25+($AL25-$AK25+1)*$AM25,2,3)),0)))</f>
        <v/>
      </c>
      <c r="S25" s="11">
        <f>IF($AP25="",0,IF($AO25="Yes",IF(S$2=$AK25,"◆",0),IF(AND(S$2&gt;=$AK25,S$2&lt;=$AL25),IF($AM25&gt;=1,2,IF(S$2&lt;$AK25+($AL25-$AK25+1)*$AM25,2,3)),0)))</f>
        <v/>
      </c>
      <c r="T25" s="11">
        <f>IF($AP25="",0,IF($AO25="Yes",IF(T$2=$AK25,"◆",0),IF(AND(T$2&gt;=$AK25,T$2&lt;=$AL25),IF($AM25&gt;=1,2,IF(T$2&lt;$AK25+($AL25-$AK25+1)*$AM25,2,3)),0)))</f>
        <v/>
      </c>
      <c r="U25" s="11">
        <f>IF($AP25="",0,IF($AO25="Yes",IF(U$2=$AK25,"◆",0),IF(AND(U$2&gt;=$AK25,U$2&lt;=$AL25),IF($AM25&gt;=1,2,IF(U$2&lt;$AK25+($AL25-$AK25+1)*$AM25,2,3)),0)))</f>
        <v/>
      </c>
      <c r="V25" s="11">
        <f>IF($AP25="",0,IF($AO25="Yes",IF(V$2=$AK25,"◆",0),IF(AND(V$2&gt;=$AK25,V$2&lt;=$AL25),IF($AM25&gt;=1,2,IF(V$2&lt;$AK25+($AL25-$AK25+1)*$AM25,2,3)),0)))</f>
        <v/>
      </c>
      <c r="W25" s="11">
        <f>IF($AP25="",0,IF($AO25="Yes",IF(W$2=$AK25,"◆",0),IF(AND(W$2&gt;=$AK25,W$2&lt;=$AL25),IF($AM25&gt;=1,2,IF(W$2&lt;$AK25+($AL25-$AK25+1)*$AM25,2,3)),0)))</f>
        <v/>
      </c>
      <c r="X25" s="11">
        <f>IF($AP25="",0,IF($AO25="Yes",IF(X$2=$AK25,"◆",0),IF(AND(X$2&gt;=$AK25,X$2&lt;=$AL25),IF($AM25&gt;=1,2,IF(X$2&lt;$AK25+($AL25-$AK25+1)*$AM25,2,3)),0)))</f>
        <v/>
      </c>
      <c r="Y25" s="11">
        <f>IF($AP25="",0,IF($AO25="Yes",IF(Y$2=$AK25,"◆",0),IF(AND(Y$2&gt;=$AK25,Y$2&lt;=$AL25),IF($AM25&gt;=1,2,IF(Y$2&lt;$AK25+($AL25-$AK25+1)*$AM25,2,3)),0)))</f>
        <v/>
      </c>
      <c r="Z25" s="11">
        <f>IF($AP25="",0,IF($AO25="Yes",IF(Z$2=$AK25,"◆",0),IF(AND(Z$2&gt;=$AK25,Z$2&lt;=$AL25),IF($AM25&gt;=1,2,IF(Z$2&lt;$AK25+($AL25-$AK25+1)*$AM25,2,3)),0)))</f>
        <v/>
      </c>
      <c r="AA25" s="11">
        <f>IF($AP25="",0,IF($AO25="Yes",IF(AA$2=$AK25,"◆",0),IF(AND(AA$2&gt;=$AK25,AA$2&lt;=$AL25),IF($AM25&gt;=1,2,IF(AA$2&lt;$AK25+($AL25-$AK25+1)*$AM25,2,3)),0)))</f>
        <v/>
      </c>
      <c r="AB25" s="11">
        <f>IF($AP25="",0,IF($AO25="Yes",IF(AB$2=$AK25,"◆",0),IF(AND(AB$2&gt;=$AK25,AB$2&lt;=$AL25),IF($AM25&gt;=1,2,IF(AB$2&lt;$AK25+($AL25-$AK25+1)*$AM25,2,3)),0)))</f>
        <v/>
      </c>
      <c r="AC25" s="11">
        <f>IF($AP25="",0,IF($AO25="Yes",IF(AC$2=$AK25,"◆",0),IF(AND(AC$2&gt;=$AK25,AC$2&lt;=$AL25),IF($AM25&gt;=1,2,IF(AC$2&lt;$AK25+($AL25-$AK25+1)*$AM25,2,3)),0)))</f>
        <v/>
      </c>
      <c r="AD25" s="11">
        <f>IF($AP25="",0,IF($AO25="Yes",IF(AD$2=$AK25,"◆",0),IF(AND(AD$2&gt;=$AK25,AD$2&lt;=$AL25),IF($AM25&gt;=1,2,IF(AD$2&lt;$AK25+($AL25-$AK25+1)*$AM25,2,3)),0)))</f>
        <v/>
      </c>
      <c r="AE25" s="11">
        <f>IF($AP25="",0,IF($AO25="Yes",IF(AE$2=$AK25,"◆",0),IF(AND(AE$2&gt;=$AK25,AE$2&lt;=$AL25),IF($AM25&gt;=1,2,IF(AE$2&lt;$AK25+($AL25-$AK25+1)*$AM25,2,3)),0)))</f>
        <v/>
      </c>
      <c r="AF25" s="11">
        <f>IF($AP25="",0,IF($AO25="Yes",IF(AF$2=$AK25,"◆",0),IF(AND(AF$2&gt;=$AK25,AF$2&lt;=$AL25),IF($AM25&gt;=1,2,IF(AF$2&lt;$AK25+($AL25-$AK25+1)*$AM25,2,3)),0)))</f>
        <v/>
      </c>
      <c r="AG25" s="11">
        <f>IF($AP25="",0,IF($AO25="Yes",IF(AG$2=$AK25,"◆",0),IF(AND(AG$2&gt;=$AK25,AG$2&lt;=$AL25),IF($AM25&gt;=1,2,IF(AG$2&lt;$AK25+($AL25-$AK25+1)*$AM25,2,3)),0)))</f>
        <v/>
      </c>
      <c r="AH25" s="11">
        <f>IF($AP25="",0,IF($AO25="Yes",IF(AH$2=$AK25,"◆",0),IF(AND(AH$2&gt;=$AK25,AH$2&lt;=$AL25),IF($AM25&gt;=1,2,IF(AH$2&lt;$AK25+($AL25-$AK25+1)*$AM25,2,3)),0)))</f>
        <v/>
      </c>
      <c r="AI25" s="11">
        <f>IF($AP25="",0,IF($AO25="Yes",IF(AI$2=$AK25,"◆",0),IF(AND(AI$2&gt;=$AK25,AI$2&lt;=$AL25),IF($AM25&gt;=1,2,IF(AI$2&lt;$AK25+($AL25-$AK25+1)*$AM25,2,3)),0)))</f>
        <v/>
      </c>
      <c r="AJ25" s="11">
        <f>IF($AP25="",0,IF($AO25="Yes",IF(AJ$2=$AK25,"◆",0),IF(AND(AJ$2&gt;=$AK25,AJ$2&lt;=$AL25),IF($AM25&gt;=1,2,IF(AJ$2&lt;$AK25+($AL25-$AK25+1)*$AM25,2,3)),0)))</f>
        <v/>
      </c>
      <c r="AK25">
        <f>IFERROR(INDEX(tblTasks[Start Date],ROW()-5),"")</f>
        <v/>
      </c>
      <c r="AL25">
        <f>IFERROR(INDEX(tblTasks[End Date],ROW()-5),"")</f>
        <v/>
      </c>
      <c r="AM25">
        <f>IFERROR(INDEX(tblTasks[Progress %],ROW()-5),0)</f>
        <v/>
      </c>
      <c r="AN25">
        <f>IFERROR(INDEX(tblTasks[Status],ROW()-5),"")</f>
        <v/>
      </c>
      <c r="AO25">
        <f>IFERROR(INDEX(tblTasks[Milestone],ROW()-5),"No")</f>
        <v/>
      </c>
      <c r="AP25">
        <f>IFERROR(INDEX(tblTasks[Task ID],ROW()-5),"")</f>
        <v/>
      </c>
      <c r="AQ25">
        <f>IFERROR(INDEX(tblTasks[Phase],ROW()-5),"")</f>
        <v/>
      </c>
    </row>
    <row r="26">
      <c r="A26" s="9">
        <f>IF($AP26="","",$AP26)</f>
        <v/>
      </c>
      <c r="B26" s="10">
        <f>IF($AP26="","",IF($AO26="Yes","◆ ","")&amp;INDEX(tblTasks[Task Name],ROW()-5))</f>
        <v/>
      </c>
      <c r="C26" s="11">
        <f>IF($AP26="",0,IF($AO26="Yes",IF(C$2=$AK26,"◆",0),IF(AND(C$2&gt;=$AK26,C$2&lt;=$AL26),IF($AM26&gt;=1,2,IF(C$2&lt;$AK26+($AL26-$AK26+1)*$AM26,2,3)),0)))</f>
        <v/>
      </c>
      <c r="D26" s="11">
        <f>IF($AP26="",0,IF($AO26="Yes",IF(D$2=$AK26,"◆",0),IF(AND(D$2&gt;=$AK26,D$2&lt;=$AL26),IF($AM26&gt;=1,2,IF(D$2&lt;$AK26+($AL26-$AK26+1)*$AM26,2,3)),0)))</f>
        <v/>
      </c>
      <c r="E26" s="11">
        <f>IF($AP26="",0,IF($AO26="Yes",IF(E$2=$AK26,"◆",0),IF(AND(E$2&gt;=$AK26,E$2&lt;=$AL26),IF($AM26&gt;=1,2,IF(E$2&lt;$AK26+($AL26-$AK26+1)*$AM26,2,3)),0)))</f>
        <v/>
      </c>
      <c r="F26" s="11">
        <f>IF($AP26="",0,IF($AO26="Yes",IF(F$2=$AK26,"◆",0),IF(AND(F$2&gt;=$AK26,F$2&lt;=$AL26),IF($AM26&gt;=1,2,IF(F$2&lt;$AK26+($AL26-$AK26+1)*$AM26,2,3)),0)))</f>
        <v/>
      </c>
      <c r="G26" s="11">
        <f>IF($AP26="",0,IF($AO26="Yes",IF(G$2=$AK26,"◆",0),IF(AND(G$2&gt;=$AK26,G$2&lt;=$AL26),IF($AM26&gt;=1,2,IF(G$2&lt;$AK26+($AL26-$AK26+1)*$AM26,2,3)),0)))</f>
        <v/>
      </c>
      <c r="H26" s="11">
        <f>IF($AP26="",0,IF($AO26="Yes",IF(H$2=$AK26,"◆",0),IF(AND(H$2&gt;=$AK26,H$2&lt;=$AL26),IF($AM26&gt;=1,2,IF(H$2&lt;$AK26+($AL26-$AK26+1)*$AM26,2,3)),0)))</f>
        <v/>
      </c>
      <c r="I26" s="11">
        <f>IF($AP26="",0,IF($AO26="Yes",IF(I$2=$AK26,"◆",0),IF(AND(I$2&gt;=$AK26,I$2&lt;=$AL26),IF($AM26&gt;=1,2,IF(I$2&lt;$AK26+($AL26-$AK26+1)*$AM26,2,3)),0)))</f>
        <v/>
      </c>
      <c r="J26" s="11">
        <f>IF($AP26="",0,IF($AO26="Yes",IF(J$2=$AK26,"◆",0),IF(AND(J$2&gt;=$AK26,J$2&lt;=$AL26),IF($AM26&gt;=1,2,IF(J$2&lt;$AK26+($AL26-$AK26+1)*$AM26,2,3)),0)))</f>
        <v/>
      </c>
      <c r="K26" s="11">
        <f>IF($AP26="",0,IF($AO26="Yes",IF(K$2=$AK26,"◆",0),IF(AND(K$2&gt;=$AK26,K$2&lt;=$AL26),IF($AM26&gt;=1,2,IF(K$2&lt;$AK26+($AL26-$AK26+1)*$AM26,2,3)),0)))</f>
        <v/>
      </c>
      <c r="L26" s="11">
        <f>IF($AP26="",0,IF($AO26="Yes",IF(L$2=$AK26,"◆",0),IF(AND(L$2&gt;=$AK26,L$2&lt;=$AL26),IF($AM26&gt;=1,2,IF(L$2&lt;$AK26+($AL26-$AK26+1)*$AM26,2,3)),0)))</f>
        <v/>
      </c>
      <c r="M26" s="11">
        <f>IF($AP26="",0,IF($AO26="Yes",IF(M$2=$AK26,"◆",0),IF(AND(M$2&gt;=$AK26,M$2&lt;=$AL26),IF($AM26&gt;=1,2,IF(M$2&lt;$AK26+($AL26-$AK26+1)*$AM26,2,3)),0)))</f>
        <v/>
      </c>
      <c r="N26" s="11">
        <f>IF($AP26="",0,IF($AO26="Yes",IF(N$2=$AK26,"◆",0),IF(AND(N$2&gt;=$AK26,N$2&lt;=$AL26),IF($AM26&gt;=1,2,IF(N$2&lt;$AK26+($AL26-$AK26+1)*$AM26,2,3)),0)))</f>
        <v/>
      </c>
      <c r="O26" s="11">
        <f>IF($AP26="",0,IF($AO26="Yes",IF(O$2=$AK26,"◆",0),IF(AND(O$2&gt;=$AK26,O$2&lt;=$AL26),IF($AM26&gt;=1,2,IF(O$2&lt;$AK26+($AL26-$AK26+1)*$AM26,2,3)),0)))</f>
        <v/>
      </c>
      <c r="P26" s="11">
        <f>IF($AP26="",0,IF($AO26="Yes",IF(P$2=$AK26,"◆",0),IF(AND(P$2&gt;=$AK26,P$2&lt;=$AL26),IF($AM26&gt;=1,2,IF(P$2&lt;$AK26+($AL26-$AK26+1)*$AM26,2,3)),0)))</f>
        <v/>
      </c>
      <c r="Q26" s="11">
        <f>IF($AP26="",0,IF($AO26="Yes",IF(Q$2=$AK26,"◆",0),IF(AND(Q$2&gt;=$AK26,Q$2&lt;=$AL26),IF($AM26&gt;=1,2,IF(Q$2&lt;$AK26+($AL26-$AK26+1)*$AM26,2,3)),0)))</f>
        <v/>
      </c>
      <c r="R26" s="11">
        <f>IF($AP26="",0,IF($AO26="Yes",IF(R$2=$AK26,"◆",0),IF(AND(R$2&gt;=$AK26,R$2&lt;=$AL26),IF($AM26&gt;=1,2,IF(R$2&lt;$AK26+($AL26-$AK26+1)*$AM26,2,3)),0)))</f>
        <v/>
      </c>
      <c r="S26" s="11">
        <f>IF($AP26="",0,IF($AO26="Yes",IF(S$2=$AK26,"◆",0),IF(AND(S$2&gt;=$AK26,S$2&lt;=$AL26),IF($AM26&gt;=1,2,IF(S$2&lt;$AK26+($AL26-$AK26+1)*$AM26,2,3)),0)))</f>
        <v/>
      </c>
      <c r="T26" s="11">
        <f>IF($AP26="",0,IF($AO26="Yes",IF(T$2=$AK26,"◆",0),IF(AND(T$2&gt;=$AK26,T$2&lt;=$AL26),IF($AM26&gt;=1,2,IF(T$2&lt;$AK26+($AL26-$AK26+1)*$AM26,2,3)),0)))</f>
        <v/>
      </c>
      <c r="U26" s="11">
        <f>IF($AP26="",0,IF($AO26="Yes",IF(U$2=$AK26,"◆",0),IF(AND(U$2&gt;=$AK26,U$2&lt;=$AL26),IF($AM26&gt;=1,2,IF(U$2&lt;$AK26+($AL26-$AK26+1)*$AM26,2,3)),0)))</f>
        <v/>
      </c>
      <c r="V26" s="11">
        <f>IF($AP26="",0,IF($AO26="Yes",IF(V$2=$AK26,"◆",0),IF(AND(V$2&gt;=$AK26,V$2&lt;=$AL26),IF($AM26&gt;=1,2,IF(V$2&lt;$AK26+($AL26-$AK26+1)*$AM26,2,3)),0)))</f>
        <v/>
      </c>
      <c r="W26" s="11">
        <f>IF($AP26="",0,IF($AO26="Yes",IF(W$2=$AK26,"◆",0),IF(AND(W$2&gt;=$AK26,W$2&lt;=$AL26),IF($AM26&gt;=1,2,IF(W$2&lt;$AK26+($AL26-$AK26+1)*$AM26,2,3)),0)))</f>
        <v/>
      </c>
      <c r="X26" s="11">
        <f>IF($AP26="",0,IF($AO26="Yes",IF(X$2=$AK26,"◆",0),IF(AND(X$2&gt;=$AK26,X$2&lt;=$AL26),IF($AM26&gt;=1,2,IF(X$2&lt;$AK26+($AL26-$AK26+1)*$AM26,2,3)),0)))</f>
        <v/>
      </c>
      <c r="Y26" s="11">
        <f>IF($AP26="",0,IF($AO26="Yes",IF(Y$2=$AK26,"◆",0),IF(AND(Y$2&gt;=$AK26,Y$2&lt;=$AL26),IF($AM26&gt;=1,2,IF(Y$2&lt;$AK26+($AL26-$AK26+1)*$AM26,2,3)),0)))</f>
        <v/>
      </c>
      <c r="Z26" s="11">
        <f>IF($AP26="",0,IF($AO26="Yes",IF(Z$2=$AK26,"◆",0),IF(AND(Z$2&gt;=$AK26,Z$2&lt;=$AL26),IF($AM26&gt;=1,2,IF(Z$2&lt;$AK26+($AL26-$AK26+1)*$AM26,2,3)),0)))</f>
        <v/>
      </c>
      <c r="AA26" s="11">
        <f>IF($AP26="",0,IF($AO26="Yes",IF(AA$2=$AK26,"◆",0),IF(AND(AA$2&gt;=$AK26,AA$2&lt;=$AL26),IF($AM26&gt;=1,2,IF(AA$2&lt;$AK26+($AL26-$AK26+1)*$AM26,2,3)),0)))</f>
        <v/>
      </c>
      <c r="AB26" s="11">
        <f>IF($AP26="",0,IF($AO26="Yes",IF(AB$2=$AK26,"◆",0),IF(AND(AB$2&gt;=$AK26,AB$2&lt;=$AL26),IF($AM26&gt;=1,2,IF(AB$2&lt;$AK26+($AL26-$AK26+1)*$AM26,2,3)),0)))</f>
        <v/>
      </c>
      <c r="AC26" s="11">
        <f>IF($AP26="",0,IF($AO26="Yes",IF(AC$2=$AK26,"◆",0),IF(AND(AC$2&gt;=$AK26,AC$2&lt;=$AL26),IF($AM26&gt;=1,2,IF(AC$2&lt;$AK26+($AL26-$AK26+1)*$AM26,2,3)),0)))</f>
        <v/>
      </c>
      <c r="AD26" s="11">
        <f>IF($AP26="",0,IF($AO26="Yes",IF(AD$2=$AK26,"◆",0),IF(AND(AD$2&gt;=$AK26,AD$2&lt;=$AL26),IF($AM26&gt;=1,2,IF(AD$2&lt;$AK26+($AL26-$AK26+1)*$AM26,2,3)),0)))</f>
        <v/>
      </c>
      <c r="AE26" s="11">
        <f>IF($AP26="",0,IF($AO26="Yes",IF(AE$2=$AK26,"◆",0),IF(AND(AE$2&gt;=$AK26,AE$2&lt;=$AL26),IF($AM26&gt;=1,2,IF(AE$2&lt;$AK26+($AL26-$AK26+1)*$AM26,2,3)),0)))</f>
        <v/>
      </c>
      <c r="AF26" s="11">
        <f>IF($AP26="",0,IF($AO26="Yes",IF(AF$2=$AK26,"◆",0),IF(AND(AF$2&gt;=$AK26,AF$2&lt;=$AL26),IF($AM26&gt;=1,2,IF(AF$2&lt;$AK26+($AL26-$AK26+1)*$AM26,2,3)),0)))</f>
        <v/>
      </c>
      <c r="AG26" s="11">
        <f>IF($AP26="",0,IF($AO26="Yes",IF(AG$2=$AK26,"◆",0),IF(AND(AG$2&gt;=$AK26,AG$2&lt;=$AL26),IF($AM26&gt;=1,2,IF(AG$2&lt;$AK26+($AL26-$AK26+1)*$AM26,2,3)),0)))</f>
        <v/>
      </c>
      <c r="AH26" s="11">
        <f>IF($AP26="",0,IF($AO26="Yes",IF(AH$2=$AK26,"◆",0),IF(AND(AH$2&gt;=$AK26,AH$2&lt;=$AL26),IF($AM26&gt;=1,2,IF(AH$2&lt;$AK26+($AL26-$AK26+1)*$AM26,2,3)),0)))</f>
        <v/>
      </c>
      <c r="AI26" s="11">
        <f>IF($AP26="",0,IF($AO26="Yes",IF(AI$2=$AK26,"◆",0),IF(AND(AI$2&gt;=$AK26,AI$2&lt;=$AL26),IF($AM26&gt;=1,2,IF(AI$2&lt;$AK26+($AL26-$AK26+1)*$AM26,2,3)),0)))</f>
        <v/>
      </c>
      <c r="AJ26" s="11">
        <f>IF($AP26="",0,IF($AO26="Yes",IF(AJ$2=$AK26,"◆",0),IF(AND(AJ$2&gt;=$AK26,AJ$2&lt;=$AL26),IF($AM26&gt;=1,2,IF(AJ$2&lt;$AK26+($AL26-$AK26+1)*$AM26,2,3)),0)))</f>
        <v/>
      </c>
      <c r="AK26">
        <f>IFERROR(INDEX(tblTasks[Start Date],ROW()-5),"")</f>
        <v/>
      </c>
      <c r="AL26">
        <f>IFERROR(INDEX(tblTasks[End Date],ROW()-5),"")</f>
        <v/>
      </c>
      <c r="AM26">
        <f>IFERROR(INDEX(tblTasks[Progress %],ROW()-5),0)</f>
        <v/>
      </c>
      <c r="AN26">
        <f>IFERROR(INDEX(tblTasks[Status],ROW()-5),"")</f>
        <v/>
      </c>
      <c r="AO26">
        <f>IFERROR(INDEX(tblTasks[Milestone],ROW()-5),"No")</f>
        <v/>
      </c>
      <c r="AP26">
        <f>IFERROR(INDEX(tblTasks[Task ID],ROW()-5),"")</f>
        <v/>
      </c>
      <c r="AQ26">
        <f>IFERROR(INDEX(tblTasks[Phase],ROW()-5),"")</f>
        <v/>
      </c>
    </row>
    <row r="27">
      <c r="A27" s="9">
        <f>IF($AP27="","",$AP27)</f>
        <v/>
      </c>
      <c r="B27" s="10">
        <f>IF($AP27="","",IF($AO27="Yes","◆ ","")&amp;INDEX(tblTasks[Task Name],ROW()-5))</f>
        <v/>
      </c>
      <c r="C27" s="11">
        <f>IF($AP27="",0,IF($AO27="Yes",IF(C$2=$AK27,"◆",0),IF(AND(C$2&gt;=$AK27,C$2&lt;=$AL27),IF($AM27&gt;=1,2,IF(C$2&lt;$AK27+($AL27-$AK27+1)*$AM27,2,3)),0)))</f>
        <v/>
      </c>
      <c r="D27" s="11">
        <f>IF($AP27="",0,IF($AO27="Yes",IF(D$2=$AK27,"◆",0),IF(AND(D$2&gt;=$AK27,D$2&lt;=$AL27),IF($AM27&gt;=1,2,IF(D$2&lt;$AK27+($AL27-$AK27+1)*$AM27,2,3)),0)))</f>
        <v/>
      </c>
      <c r="E27" s="11">
        <f>IF($AP27="",0,IF($AO27="Yes",IF(E$2=$AK27,"◆",0),IF(AND(E$2&gt;=$AK27,E$2&lt;=$AL27),IF($AM27&gt;=1,2,IF(E$2&lt;$AK27+($AL27-$AK27+1)*$AM27,2,3)),0)))</f>
        <v/>
      </c>
      <c r="F27" s="11">
        <f>IF($AP27="",0,IF($AO27="Yes",IF(F$2=$AK27,"◆",0),IF(AND(F$2&gt;=$AK27,F$2&lt;=$AL27),IF($AM27&gt;=1,2,IF(F$2&lt;$AK27+($AL27-$AK27+1)*$AM27,2,3)),0)))</f>
        <v/>
      </c>
      <c r="G27" s="11">
        <f>IF($AP27="",0,IF($AO27="Yes",IF(G$2=$AK27,"◆",0),IF(AND(G$2&gt;=$AK27,G$2&lt;=$AL27),IF($AM27&gt;=1,2,IF(G$2&lt;$AK27+($AL27-$AK27+1)*$AM27,2,3)),0)))</f>
        <v/>
      </c>
      <c r="H27" s="11">
        <f>IF($AP27="",0,IF($AO27="Yes",IF(H$2=$AK27,"◆",0),IF(AND(H$2&gt;=$AK27,H$2&lt;=$AL27),IF($AM27&gt;=1,2,IF(H$2&lt;$AK27+($AL27-$AK27+1)*$AM27,2,3)),0)))</f>
        <v/>
      </c>
      <c r="I27" s="11">
        <f>IF($AP27="",0,IF($AO27="Yes",IF(I$2=$AK27,"◆",0),IF(AND(I$2&gt;=$AK27,I$2&lt;=$AL27),IF($AM27&gt;=1,2,IF(I$2&lt;$AK27+($AL27-$AK27+1)*$AM27,2,3)),0)))</f>
        <v/>
      </c>
      <c r="J27" s="11">
        <f>IF($AP27="",0,IF($AO27="Yes",IF(J$2=$AK27,"◆",0),IF(AND(J$2&gt;=$AK27,J$2&lt;=$AL27),IF($AM27&gt;=1,2,IF(J$2&lt;$AK27+($AL27-$AK27+1)*$AM27,2,3)),0)))</f>
        <v/>
      </c>
      <c r="K27" s="11">
        <f>IF($AP27="",0,IF($AO27="Yes",IF(K$2=$AK27,"◆",0),IF(AND(K$2&gt;=$AK27,K$2&lt;=$AL27),IF($AM27&gt;=1,2,IF(K$2&lt;$AK27+($AL27-$AK27+1)*$AM27,2,3)),0)))</f>
        <v/>
      </c>
      <c r="L27" s="11">
        <f>IF($AP27="",0,IF($AO27="Yes",IF(L$2=$AK27,"◆",0),IF(AND(L$2&gt;=$AK27,L$2&lt;=$AL27),IF($AM27&gt;=1,2,IF(L$2&lt;$AK27+($AL27-$AK27+1)*$AM27,2,3)),0)))</f>
        <v/>
      </c>
      <c r="M27" s="11">
        <f>IF($AP27="",0,IF($AO27="Yes",IF(M$2=$AK27,"◆",0),IF(AND(M$2&gt;=$AK27,M$2&lt;=$AL27),IF($AM27&gt;=1,2,IF(M$2&lt;$AK27+($AL27-$AK27+1)*$AM27,2,3)),0)))</f>
        <v/>
      </c>
      <c r="N27" s="11">
        <f>IF($AP27="",0,IF($AO27="Yes",IF(N$2=$AK27,"◆",0),IF(AND(N$2&gt;=$AK27,N$2&lt;=$AL27),IF($AM27&gt;=1,2,IF(N$2&lt;$AK27+($AL27-$AK27+1)*$AM27,2,3)),0)))</f>
        <v/>
      </c>
      <c r="O27" s="11">
        <f>IF($AP27="",0,IF($AO27="Yes",IF(O$2=$AK27,"◆",0),IF(AND(O$2&gt;=$AK27,O$2&lt;=$AL27),IF($AM27&gt;=1,2,IF(O$2&lt;$AK27+($AL27-$AK27+1)*$AM27,2,3)),0)))</f>
        <v/>
      </c>
      <c r="P27" s="11">
        <f>IF($AP27="",0,IF($AO27="Yes",IF(P$2=$AK27,"◆",0),IF(AND(P$2&gt;=$AK27,P$2&lt;=$AL27),IF($AM27&gt;=1,2,IF(P$2&lt;$AK27+($AL27-$AK27+1)*$AM27,2,3)),0)))</f>
        <v/>
      </c>
      <c r="Q27" s="11">
        <f>IF($AP27="",0,IF($AO27="Yes",IF(Q$2=$AK27,"◆",0),IF(AND(Q$2&gt;=$AK27,Q$2&lt;=$AL27),IF($AM27&gt;=1,2,IF(Q$2&lt;$AK27+($AL27-$AK27+1)*$AM27,2,3)),0)))</f>
        <v/>
      </c>
      <c r="R27" s="11">
        <f>IF($AP27="",0,IF($AO27="Yes",IF(R$2=$AK27,"◆",0),IF(AND(R$2&gt;=$AK27,R$2&lt;=$AL27),IF($AM27&gt;=1,2,IF(R$2&lt;$AK27+($AL27-$AK27+1)*$AM27,2,3)),0)))</f>
        <v/>
      </c>
      <c r="S27" s="11">
        <f>IF($AP27="",0,IF($AO27="Yes",IF(S$2=$AK27,"◆",0),IF(AND(S$2&gt;=$AK27,S$2&lt;=$AL27),IF($AM27&gt;=1,2,IF(S$2&lt;$AK27+($AL27-$AK27+1)*$AM27,2,3)),0)))</f>
        <v/>
      </c>
      <c r="T27" s="11">
        <f>IF($AP27="",0,IF($AO27="Yes",IF(T$2=$AK27,"◆",0),IF(AND(T$2&gt;=$AK27,T$2&lt;=$AL27),IF($AM27&gt;=1,2,IF(T$2&lt;$AK27+($AL27-$AK27+1)*$AM27,2,3)),0)))</f>
        <v/>
      </c>
      <c r="U27" s="11">
        <f>IF($AP27="",0,IF($AO27="Yes",IF(U$2=$AK27,"◆",0),IF(AND(U$2&gt;=$AK27,U$2&lt;=$AL27),IF($AM27&gt;=1,2,IF(U$2&lt;$AK27+($AL27-$AK27+1)*$AM27,2,3)),0)))</f>
        <v/>
      </c>
      <c r="V27" s="11">
        <f>IF($AP27="",0,IF($AO27="Yes",IF(V$2=$AK27,"◆",0),IF(AND(V$2&gt;=$AK27,V$2&lt;=$AL27),IF($AM27&gt;=1,2,IF(V$2&lt;$AK27+($AL27-$AK27+1)*$AM27,2,3)),0)))</f>
        <v/>
      </c>
      <c r="W27" s="11">
        <f>IF($AP27="",0,IF($AO27="Yes",IF(W$2=$AK27,"◆",0),IF(AND(W$2&gt;=$AK27,W$2&lt;=$AL27),IF($AM27&gt;=1,2,IF(W$2&lt;$AK27+($AL27-$AK27+1)*$AM27,2,3)),0)))</f>
        <v/>
      </c>
      <c r="X27" s="11">
        <f>IF($AP27="",0,IF($AO27="Yes",IF(X$2=$AK27,"◆",0),IF(AND(X$2&gt;=$AK27,X$2&lt;=$AL27),IF($AM27&gt;=1,2,IF(X$2&lt;$AK27+($AL27-$AK27+1)*$AM27,2,3)),0)))</f>
        <v/>
      </c>
      <c r="Y27" s="11">
        <f>IF($AP27="",0,IF($AO27="Yes",IF(Y$2=$AK27,"◆",0),IF(AND(Y$2&gt;=$AK27,Y$2&lt;=$AL27),IF($AM27&gt;=1,2,IF(Y$2&lt;$AK27+($AL27-$AK27+1)*$AM27,2,3)),0)))</f>
        <v/>
      </c>
      <c r="Z27" s="11">
        <f>IF($AP27="",0,IF($AO27="Yes",IF(Z$2=$AK27,"◆",0),IF(AND(Z$2&gt;=$AK27,Z$2&lt;=$AL27),IF($AM27&gt;=1,2,IF(Z$2&lt;$AK27+($AL27-$AK27+1)*$AM27,2,3)),0)))</f>
        <v/>
      </c>
      <c r="AA27" s="11">
        <f>IF($AP27="",0,IF($AO27="Yes",IF(AA$2=$AK27,"◆",0),IF(AND(AA$2&gt;=$AK27,AA$2&lt;=$AL27),IF($AM27&gt;=1,2,IF(AA$2&lt;$AK27+($AL27-$AK27+1)*$AM27,2,3)),0)))</f>
        <v/>
      </c>
      <c r="AB27" s="11">
        <f>IF($AP27="",0,IF($AO27="Yes",IF(AB$2=$AK27,"◆",0),IF(AND(AB$2&gt;=$AK27,AB$2&lt;=$AL27),IF($AM27&gt;=1,2,IF(AB$2&lt;$AK27+($AL27-$AK27+1)*$AM27,2,3)),0)))</f>
        <v/>
      </c>
      <c r="AC27" s="11">
        <f>IF($AP27="",0,IF($AO27="Yes",IF(AC$2=$AK27,"◆",0),IF(AND(AC$2&gt;=$AK27,AC$2&lt;=$AL27),IF($AM27&gt;=1,2,IF(AC$2&lt;$AK27+($AL27-$AK27+1)*$AM27,2,3)),0)))</f>
        <v/>
      </c>
      <c r="AD27" s="11">
        <f>IF($AP27="",0,IF($AO27="Yes",IF(AD$2=$AK27,"◆",0),IF(AND(AD$2&gt;=$AK27,AD$2&lt;=$AL27),IF($AM27&gt;=1,2,IF(AD$2&lt;$AK27+($AL27-$AK27+1)*$AM27,2,3)),0)))</f>
        <v/>
      </c>
      <c r="AE27" s="11">
        <f>IF($AP27="",0,IF($AO27="Yes",IF(AE$2=$AK27,"◆",0),IF(AND(AE$2&gt;=$AK27,AE$2&lt;=$AL27),IF($AM27&gt;=1,2,IF(AE$2&lt;$AK27+($AL27-$AK27+1)*$AM27,2,3)),0)))</f>
        <v/>
      </c>
      <c r="AF27" s="11">
        <f>IF($AP27="",0,IF($AO27="Yes",IF(AF$2=$AK27,"◆",0),IF(AND(AF$2&gt;=$AK27,AF$2&lt;=$AL27),IF($AM27&gt;=1,2,IF(AF$2&lt;$AK27+($AL27-$AK27+1)*$AM27,2,3)),0)))</f>
        <v/>
      </c>
      <c r="AG27" s="11">
        <f>IF($AP27="",0,IF($AO27="Yes",IF(AG$2=$AK27,"◆",0),IF(AND(AG$2&gt;=$AK27,AG$2&lt;=$AL27),IF($AM27&gt;=1,2,IF(AG$2&lt;$AK27+($AL27-$AK27+1)*$AM27,2,3)),0)))</f>
        <v/>
      </c>
      <c r="AH27" s="11">
        <f>IF($AP27="",0,IF($AO27="Yes",IF(AH$2=$AK27,"◆",0),IF(AND(AH$2&gt;=$AK27,AH$2&lt;=$AL27),IF($AM27&gt;=1,2,IF(AH$2&lt;$AK27+($AL27-$AK27+1)*$AM27,2,3)),0)))</f>
        <v/>
      </c>
      <c r="AI27" s="11">
        <f>IF($AP27="",0,IF($AO27="Yes",IF(AI$2=$AK27,"◆",0),IF(AND(AI$2&gt;=$AK27,AI$2&lt;=$AL27),IF($AM27&gt;=1,2,IF(AI$2&lt;$AK27+($AL27-$AK27+1)*$AM27,2,3)),0)))</f>
        <v/>
      </c>
      <c r="AJ27" s="11">
        <f>IF($AP27="",0,IF($AO27="Yes",IF(AJ$2=$AK27,"◆",0),IF(AND(AJ$2&gt;=$AK27,AJ$2&lt;=$AL27),IF($AM27&gt;=1,2,IF(AJ$2&lt;$AK27+($AL27-$AK27+1)*$AM27,2,3)),0)))</f>
        <v/>
      </c>
      <c r="AK27">
        <f>IFERROR(INDEX(tblTasks[Start Date],ROW()-5),"")</f>
        <v/>
      </c>
      <c r="AL27">
        <f>IFERROR(INDEX(tblTasks[End Date],ROW()-5),"")</f>
        <v/>
      </c>
      <c r="AM27">
        <f>IFERROR(INDEX(tblTasks[Progress %],ROW()-5),0)</f>
        <v/>
      </c>
      <c r="AN27">
        <f>IFERROR(INDEX(tblTasks[Status],ROW()-5),"")</f>
        <v/>
      </c>
      <c r="AO27">
        <f>IFERROR(INDEX(tblTasks[Milestone],ROW()-5),"No")</f>
        <v/>
      </c>
      <c r="AP27">
        <f>IFERROR(INDEX(tblTasks[Task ID],ROW()-5),"")</f>
        <v/>
      </c>
      <c r="AQ27">
        <f>IFERROR(INDEX(tblTasks[Phase],ROW()-5),"")</f>
        <v/>
      </c>
    </row>
    <row r="28">
      <c r="A28" s="9">
        <f>IF($AP28="","",$AP28)</f>
        <v/>
      </c>
      <c r="B28" s="10">
        <f>IF($AP28="","",IF($AO28="Yes","◆ ","")&amp;INDEX(tblTasks[Task Name],ROW()-5))</f>
        <v/>
      </c>
      <c r="C28" s="11">
        <f>IF($AP28="",0,IF($AO28="Yes",IF(C$2=$AK28,"◆",0),IF(AND(C$2&gt;=$AK28,C$2&lt;=$AL28),IF($AM28&gt;=1,2,IF(C$2&lt;$AK28+($AL28-$AK28+1)*$AM28,2,3)),0)))</f>
        <v/>
      </c>
      <c r="D28" s="11">
        <f>IF($AP28="",0,IF($AO28="Yes",IF(D$2=$AK28,"◆",0),IF(AND(D$2&gt;=$AK28,D$2&lt;=$AL28),IF($AM28&gt;=1,2,IF(D$2&lt;$AK28+($AL28-$AK28+1)*$AM28,2,3)),0)))</f>
        <v/>
      </c>
      <c r="E28" s="11">
        <f>IF($AP28="",0,IF($AO28="Yes",IF(E$2=$AK28,"◆",0),IF(AND(E$2&gt;=$AK28,E$2&lt;=$AL28),IF($AM28&gt;=1,2,IF(E$2&lt;$AK28+($AL28-$AK28+1)*$AM28,2,3)),0)))</f>
        <v/>
      </c>
      <c r="F28" s="11">
        <f>IF($AP28="",0,IF($AO28="Yes",IF(F$2=$AK28,"◆",0),IF(AND(F$2&gt;=$AK28,F$2&lt;=$AL28),IF($AM28&gt;=1,2,IF(F$2&lt;$AK28+($AL28-$AK28+1)*$AM28,2,3)),0)))</f>
        <v/>
      </c>
      <c r="G28" s="11">
        <f>IF($AP28="",0,IF($AO28="Yes",IF(G$2=$AK28,"◆",0),IF(AND(G$2&gt;=$AK28,G$2&lt;=$AL28),IF($AM28&gt;=1,2,IF(G$2&lt;$AK28+($AL28-$AK28+1)*$AM28,2,3)),0)))</f>
        <v/>
      </c>
      <c r="H28" s="11">
        <f>IF($AP28="",0,IF($AO28="Yes",IF(H$2=$AK28,"◆",0),IF(AND(H$2&gt;=$AK28,H$2&lt;=$AL28),IF($AM28&gt;=1,2,IF(H$2&lt;$AK28+($AL28-$AK28+1)*$AM28,2,3)),0)))</f>
        <v/>
      </c>
      <c r="I28" s="11">
        <f>IF($AP28="",0,IF($AO28="Yes",IF(I$2=$AK28,"◆",0),IF(AND(I$2&gt;=$AK28,I$2&lt;=$AL28),IF($AM28&gt;=1,2,IF(I$2&lt;$AK28+($AL28-$AK28+1)*$AM28,2,3)),0)))</f>
        <v/>
      </c>
      <c r="J28" s="11">
        <f>IF($AP28="",0,IF($AO28="Yes",IF(J$2=$AK28,"◆",0),IF(AND(J$2&gt;=$AK28,J$2&lt;=$AL28),IF($AM28&gt;=1,2,IF(J$2&lt;$AK28+($AL28-$AK28+1)*$AM28,2,3)),0)))</f>
        <v/>
      </c>
      <c r="K28" s="11">
        <f>IF($AP28="",0,IF($AO28="Yes",IF(K$2=$AK28,"◆",0),IF(AND(K$2&gt;=$AK28,K$2&lt;=$AL28),IF($AM28&gt;=1,2,IF(K$2&lt;$AK28+($AL28-$AK28+1)*$AM28,2,3)),0)))</f>
        <v/>
      </c>
      <c r="L28" s="11">
        <f>IF($AP28="",0,IF($AO28="Yes",IF(L$2=$AK28,"◆",0),IF(AND(L$2&gt;=$AK28,L$2&lt;=$AL28),IF($AM28&gt;=1,2,IF(L$2&lt;$AK28+($AL28-$AK28+1)*$AM28,2,3)),0)))</f>
        <v/>
      </c>
      <c r="M28" s="11">
        <f>IF($AP28="",0,IF($AO28="Yes",IF(M$2=$AK28,"◆",0),IF(AND(M$2&gt;=$AK28,M$2&lt;=$AL28),IF($AM28&gt;=1,2,IF(M$2&lt;$AK28+($AL28-$AK28+1)*$AM28,2,3)),0)))</f>
        <v/>
      </c>
      <c r="N28" s="11">
        <f>IF($AP28="",0,IF($AO28="Yes",IF(N$2=$AK28,"◆",0),IF(AND(N$2&gt;=$AK28,N$2&lt;=$AL28),IF($AM28&gt;=1,2,IF(N$2&lt;$AK28+($AL28-$AK28+1)*$AM28,2,3)),0)))</f>
        <v/>
      </c>
      <c r="O28" s="11">
        <f>IF($AP28="",0,IF($AO28="Yes",IF(O$2=$AK28,"◆",0),IF(AND(O$2&gt;=$AK28,O$2&lt;=$AL28),IF($AM28&gt;=1,2,IF(O$2&lt;$AK28+($AL28-$AK28+1)*$AM28,2,3)),0)))</f>
        <v/>
      </c>
      <c r="P28" s="11">
        <f>IF($AP28="",0,IF($AO28="Yes",IF(P$2=$AK28,"◆",0),IF(AND(P$2&gt;=$AK28,P$2&lt;=$AL28),IF($AM28&gt;=1,2,IF(P$2&lt;$AK28+($AL28-$AK28+1)*$AM28,2,3)),0)))</f>
        <v/>
      </c>
      <c r="Q28" s="11">
        <f>IF($AP28="",0,IF($AO28="Yes",IF(Q$2=$AK28,"◆",0),IF(AND(Q$2&gt;=$AK28,Q$2&lt;=$AL28),IF($AM28&gt;=1,2,IF(Q$2&lt;$AK28+($AL28-$AK28+1)*$AM28,2,3)),0)))</f>
        <v/>
      </c>
      <c r="R28" s="11">
        <f>IF($AP28="",0,IF($AO28="Yes",IF(R$2=$AK28,"◆",0),IF(AND(R$2&gt;=$AK28,R$2&lt;=$AL28),IF($AM28&gt;=1,2,IF(R$2&lt;$AK28+($AL28-$AK28+1)*$AM28,2,3)),0)))</f>
        <v/>
      </c>
      <c r="S28" s="11">
        <f>IF($AP28="",0,IF($AO28="Yes",IF(S$2=$AK28,"◆",0),IF(AND(S$2&gt;=$AK28,S$2&lt;=$AL28),IF($AM28&gt;=1,2,IF(S$2&lt;$AK28+($AL28-$AK28+1)*$AM28,2,3)),0)))</f>
        <v/>
      </c>
      <c r="T28" s="11">
        <f>IF($AP28="",0,IF($AO28="Yes",IF(T$2=$AK28,"◆",0),IF(AND(T$2&gt;=$AK28,T$2&lt;=$AL28),IF($AM28&gt;=1,2,IF(T$2&lt;$AK28+($AL28-$AK28+1)*$AM28,2,3)),0)))</f>
        <v/>
      </c>
      <c r="U28" s="11">
        <f>IF($AP28="",0,IF($AO28="Yes",IF(U$2=$AK28,"◆",0),IF(AND(U$2&gt;=$AK28,U$2&lt;=$AL28),IF($AM28&gt;=1,2,IF(U$2&lt;$AK28+($AL28-$AK28+1)*$AM28,2,3)),0)))</f>
        <v/>
      </c>
      <c r="V28" s="11">
        <f>IF($AP28="",0,IF($AO28="Yes",IF(V$2=$AK28,"◆",0),IF(AND(V$2&gt;=$AK28,V$2&lt;=$AL28),IF($AM28&gt;=1,2,IF(V$2&lt;$AK28+($AL28-$AK28+1)*$AM28,2,3)),0)))</f>
        <v/>
      </c>
      <c r="W28" s="11">
        <f>IF($AP28="",0,IF($AO28="Yes",IF(W$2=$AK28,"◆",0),IF(AND(W$2&gt;=$AK28,W$2&lt;=$AL28),IF($AM28&gt;=1,2,IF(W$2&lt;$AK28+($AL28-$AK28+1)*$AM28,2,3)),0)))</f>
        <v/>
      </c>
      <c r="X28" s="11">
        <f>IF($AP28="",0,IF($AO28="Yes",IF(X$2=$AK28,"◆",0),IF(AND(X$2&gt;=$AK28,X$2&lt;=$AL28),IF($AM28&gt;=1,2,IF(X$2&lt;$AK28+($AL28-$AK28+1)*$AM28,2,3)),0)))</f>
        <v/>
      </c>
      <c r="Y28" s="11">
        <f>IF($AP28="",0,IF($AO28="Yes",IF(Y$2=$AK28,"◆",0),IF(AND(Y$2&gt;=$AK28,Y$2&lt;=$AL28),IF($AM28&gt;=1,2,IF(Y$2&lt;$AK28+($AL28-$AK28+1)*$AM28,2,3)),0)))</f>
        <v/>
      </c>
      <c r="Z28" s="11">
        <f>IF($AP28="",0,IF($AO28="Yes",IF(Z$2=$AK28,"◆",0),IF(AND(Z$2&gt;=$AK28,Z$2&lt;=$AL28),IF($AM28&gt;=1,2,IF(Z$2&lt;$AK28+($AL28-$AK28+1)*$AM28,2,3)),0)))</f>
        <v/>
      </c>
      <c r="AA28" s="11">
        <f>IF($AP28="",0,IF($AO28="Yes",IF(AA$2=$AK28,"◆",0),IF(AND(AA$2&gt;=$AK28,AA$2&lt;=$AL28),IF($AM28&gt;=1,2,IF(AA$2&lt;$AK28+($AL28-$AK28+1)*$AM28,2,3)),0)))</f>
        <v/>
      </c>
      <c r="AB28" s="11">
        <f>IF($AP28="",0,IF($AO28="Yes",IF(AB$2=$AK28,"◆",0),IF(AND(AB$2&gt;=$AK28,AB$2&lt;=$AL28),IF($AM28&gt;=1,2,IF(AB$2&lt;$AK28+($AL28-$AK28+1)*$AM28,2,3)),0)))</f>
        <v/>
      </c>
      <c r="AC28" s="11">
        <f>IF($AP28="",0,IF($AO28="Yes",IF(AC$2=$AK28,"◆",0),IF(AND(AC$2&gt;=$AK28,AC$2&lt;=$AL28),IF($AM28&gt;=1,2,IF(AC$2&lt;$AK28+($AL28-$AK28+1)*$AM28,2,3)),0)))</f>
        <v/>
      </c>
      <c r="AD28" s="11">
        <f>IF($AP28="",0,IF($AO28="Yes",IF(AD$2=$AK28,"◆",0),IF(AND(AD$2&gt;=$AK28,AD$2&lt;=$AL28),IF($AM28&gt;=1,2,IF(AD$2&lt;$AK28+($AL28-$AK28+1)*$AM28,2,3)),0)))</f>
        <v/>
      </c>
      <c r="AE28" s="11">
        <f>IF($AP28="",0,IF($AO28="Yes",IF(AE$2=$AK28,"◆",0),IF(AND(AE$2&gt;=$AK28,AE$2&lt;=$AL28),IF($AM28&gt;=1,2,IF(AE$2&lt;$AK28+($AL28-$AK28+1)*$AM28,2,3)),0)))</f>
        <v/>
      </c>
      <c r="AF28" s="11">
        <f>IF($AP28="",0,IF($AO28="Yes",IF(AF$2=$AK28,"◆",0),IF(AND(AF$2&gt;=$AK28,AF$2&lt;=$AL28),IF($AM28&gt;=1,2,IF(AF$2&lt;$AK28+($AL28-$AK28+1)*$AM28,2,3)),0)))</f>
        <v/>
      </c>
      <c r="AG28" s="11">
        <f>IF($AP28="",0,IF($AO28="Yes",IF(AG$2=$AK28,"◆",0),IF(AND(AG$2&gt;=$AK28,AG$2&lt;=$AL28),IF($AM28&gt;=1,2,IF(AG$2&lt;$AK28+($AL28-$AK28+1)*$AM28,2,3)),0)))</f>
        <v/>
      </c>
      <c r="AH28" s="11">
        <f>IF($AP28="",0,IF($AO28="Yes",IF(AH$2=$AK28,"◆",0),IF(AND(AH$2&gt;=$AK28,AH$2&lt;=$AL28),IF($AM28&gt;=1,2,IF(AH$2&lt;$AK28+($AL28-$AK28+1)*$AM28,2,3)),0)))</f>
        <v/>
      </c>
      <c r="AI28" s="11">
        <f>IF($AP28="",0,IF($AO28="Yes",IF(AI$2=$AK28,"◆",0),IF(AND(AI$2&gt;=$AK28,AI$2&lt;=$AL28),IF($AM28&gt;=1,2,IF(AI$2&lt;$AK28+($AL28-$AK28+1)*$AM28,2,3)),0)))</f>
        <v/>
      </c>
      <c r="AJ28" s="11">
        <f>IF($AP28="",0,IF($AO28="Yes",IF(AJ$2=$AK28,"◆",0),IF(AND(AJ$2&gt;=$AK28,AJ$2&lt;=$AL28),IF($AM28&gt;=1,2,IF(AJ$2&lt;$AK28+($AL28-$AK28+1)*$AM28,2,3)),0)))</f>
        <v/>
      </c>
      <c r="AK28">
        <f>IFERROR(INDEX(tblTasks[Start Date],ROW()-5),"")</f>
        <v/>
      </c>
      <c r="AL28">
        <f>IFERROR(INDEX(tblTasks[End Date],ROW()-5),"")</f>
        <v/>
      </c>
      <c r="AM28">
        <f>IFERROR(INDEX(tblTasks[Progress %],ROW()-5),0)</f>
        <v/>
      </c>
      <c r="AN28">
        <f>IFERROR(INDEX(tblTasks[Status],ROW()-5),"")</f>
        <v/>
      </c>
      <c r="AO28">
        <f>IFERROR(INDEX(tblTasks[Milestone],ROW()-5),"No")</f>
        <v/>
      </c>
      <c r="AP28">
        <f>IFERROR(INDEX(tblTasks[Task ID],ROW()-5),"")</f>
        <v/>
      </c>
      <c r="AQ28">
        <f>IFERROR(INDEX(tblTasks[Phase],ROW()-5),"")</f>
        <v/>
      </c>
    </row>
    <row r="29">
      <c r="A29" s="9">
        <f>IF($AP29="","",$AP29)</f>
        <v/>
      </c>
      <c r="B29" s="10">
        <f>IF($AP29="","",IF($AO29="Yes","◆ ","")&amp;INDEX(tblTasks[Task Name],ROW()-5))</f>
        <v/>
      </c>
      <c r="C29" s="11">
        <f>IF($AP29="",0,IF($AO29="Yes",IF(C$2=$AK29,"◆",0),IF(AND(C$2&gt;=$AK29,C$2&lt;=$AL29),IF($AM29&gt;=1,2,IF(C$2&lt;$AK29+($AL29-$AK29+1)*$AM29,2,3)),0)))</f>
        <v/>
      </c>
      <c r="D29" s="11">
        <f>IF($AP29="",0,IF($AO29="Yes",IF(D$2=$AK29,"◆",0),IF(AND(D$2&gt;=$AK29,D$2&lt;=$AL29),IF($AM29&gt;=1,2,IF(D$2&lt;$AK29+($AL29-$AK29+1)*$AM29,2,3)),0)))</f>
        <v/>
      </c>
      <c r="E29" s="11">
        <f>IF($AP29="",0,IF($AO29="Yes",IF(E$2=$AK29,"◆",0),IF(AND(E$2&gt;=$AK29,E$2&lt;=$AL29),IF($AM29&gt;=1,2,IF(E$2&lt;$AK29+($AL29-$AK29+1)*$AM29,2,3)),0)))</f>
        <v/>
      </c>
      <c r="F29" s="11">
        <f>IF($AP29="",0,IF($AO29="Yes",IF(F$2=$AK29,"◆",0),IF(AND(F$2&gt;=$AK29,F$2&lt;=$AL29),IF($AM29&gt;=1,2,IF(F$2&lt;$AK29+($AL29-$AK29+1)*$AM29,2,3)),0)))</f>
        <v/>
      </c>
      <c r="G29" s="11">
        <f>IF($AP29="",0,IF($AO29="Yes",IF(G$2=$AK29,"◆",0),IF(AND(G$2&gt;=$AK29,G$2&lt;=$AL29),IF($AM29&gt;=1,2,IF(G$2&lt;$AK29+($AL29-$AK29+1)*$AM29,2,3)),0)))</f>
        <v/>
      </c>
      <c r="H29" s="11">
        <f>IF($AP29="",0,IF($AO29="Yes",IF(H$2=$AK29,"◆",0),IF(AND(H$2&gt;=$AK29,H$2&lt;=$AL29),IF($AM29&gt;=1,2,IF(H$2&lt;$AK29+($AL29-$AK29+1)*$AM29,2,3)),0)))</f>
        <v/>
      </c>
      <c r="I29" s="11">
        <f>IF($AP29="",0,IF($AO29="Yes",IF(I$2=$AK29,"◆",0),IF(AND(I$2&gt;=$AK29,I$2&lt;=$AL29),IF($AM29&gt;=1,2,IF(I$2&lt;$AK29+($AL29-$AK29+1)*$AM29,2,3)),0)))</f>
        <v/>
      </c>
      <c r="J29" s="11">
        <f>IF($AP29="",0,IF($AO29="Yes",IF(J$2=$AK29,"◆",0),IF(AND(J$2&gt;=$AK29,J$2&lt;=$AL29),IF($AM29&gt;=1,2,IF(J$2&lt;$AK29+($AL29-$AK29+1)*$AM29,2,3)),0)))</f>
        <v/>
      </c>
      <c r="K29" s="11">
        <f>IF($AP29="",0,IF($AO29="Yes",IF(K$2=$AK29,"◆",0),IF(AND(K$2&gt;=$AK29,K$2&lt;=$AL29),IF($AM29&gt;=1,2,IF(K$2&lt;$AK29+($AL29-$AK29+1)*$AM29,2,3)),0)))</f>
        <v/>
      </c>
      <c r="L29" s="11">
        <f>IF($AP29="",0,IF($AO29="Yes",IF(L$2=$AK29,"◆",0),IF(AND(L$2&gt;=$AK29,L$2&lt;=$AL29),IF($AM29&gt;=1,2,IF(L$2&lt;$AK29+($AL29-$AK29+1)*$AM29,2,3)),0)))</f>
        <v/>
      </c>
      <c r="M29" s="11">
        <f>IF($AP29="",0,IF($AO29="Yes",IF(M$2=$AK29,"◆",0),IF(AND(M$2&gt;=$AK29,M$2&lt;=$AL29),IF($AM29&gt;=1,2,IF(M$2&lt;$AK29+($AL29-$AK29+1)*$AM29,2,3)),0)))</f>
        <v/>
      </c>
      <c r="N29" s="11">
        <f>IF($AP29="",0,IF($AO29="Yes",IF(N$2=$AK29,"◆",0),IF(AND(N$2&gt;=$AK29,N$2&lt;=$AL29),IF($AM29&gt;=1,2,IF(N$2&lt;$AK29+($AL29-$AK29+1)*$AM29,2,3)),0)))</f>
        <v/>
      </c>
      <c r="O29" s="11">
        <f>IF($AP29="",0,IF($AO29="Yes",IF(O$2=$AK29,"◆",0),IF(AND(O$2&gt;=$AK29,O$2&lt;=$AL29),IF($AM29&gt;=1,2,IF(O$2&lt;$AK29+($AL29-$AK29+1)*$AM29,2,3)),0)))</f>
        <v/>
      </c>
      <c r="P29" s="11">
        <f>IF($AP29="",0,IF($AO29="Yes",IF(P$2=$AK29,"◆",0),IF(AND(P$2&gt;=$AK29,P$2&lt;=$AL29),IF($AM29&gt;=1,2,IF(P$2&lt;$AK29+($AL29-$AK29+1)*$AM29,2,3)),0)))</f>
        <v/>
      </c>
      <c r="Q29" s="11">
        <f>IF($AP29="",0,IF($AO29="Yes",IF(Q$2=$AK29,"◆",0),IF(AND(Q$2&gt;=$AK29,Q$2&lt;=$AL29),IF($AM29&gt;=1,2,IF(Q$2&lt;$AK29+($AL29-$AK29+1)*$AM29,2,3)),0)))</f>
        <v/>
      </c>
      <c r="R29" s="11">
        <f>IF($AP29="",0,IF($AO29="Yes",IF(R$2=$AK29,"◆",0),IF(AND(R$2&gt;=$AK29,R$2&lt;=$AL29),IF($AM29&gt;=1,2,IF(R$2&lt;$AK29+($AL29-$AK29+1)*$AM29,2,3)),0)))</f>
        <v/>
      </c>
      <c r="S29" s="11">
        <f>IF($AP29="",0,IF($AO29="Yes",IF(S$2=$AK29,"◆",0),IF(AND(S$2&gt;=$AK29,S$2&lt;=$AL29),IF($AM29&gt;=1,2,IF(S$2&lt;$AK29+($AL29-$AK29+1)*$AM29,2,3)),0)))</f>
        <v/>
      </c>
      <c r="T29" s="11">
        <f>IF($AP29="",0,IF($AO29="Yes",IF(T$2=$AK29,"◆",0),IF(AND(T$2&gt;=$AK29,T$2&lt;=$AL29),IF($AM29&gt;=1,2,IF(T$2&lt;$AK29+($AL29-$AK29+1)*$AM29,2,3)),0)))</f>
        <v/>
      </c>
      <c r="U29" s="11">
        <f>IF($AP29="",0,IF($AO29="Yes",IF(U$2=$AK29,"◆",0),IF(AND(U$2&gt;=$AK29,U$2&lt;=$AL29),IF($AM29&gt;=1,2,IF(U$2&lt;$AK29+($AL29-$AK29+1)*$AM29,2,3)),0)))</f>
        <v/>
      </c>
      <c r="V29" s="11">
        <f>IF($AP29="",0,IF($AO29="Yes",IF(V$2=$AK29,"◆",0),IF(AND(V$2&gt;=$AK29,V$2&lt;=$AL29),IF($AM29&gt;=1,2,IF(V$2&lt;$AK29+($AL29-$AK29+1)*$AM29,2,3)),0)))</f>
        <v/>
      </c>
      <c r="W29" s="11">
        <f>IF($AP29="",0,IF($AO29="Yes",IF(W$2=$AK29,"◆",0),IF(AND(W$2&gt;=$AK29,W$2&lt;=$AL29),IF($AM29&gt;=1,2,IF(W$2&lt;$AK29+($AL29-$AK29+1)*$AM29,2,3)),0)))</f>
        <v/>
      </c>
      <c r="X29" s="11">
        <f>IF($AP29="",0,IF($AO29="Yes",IF(X$2=$AK29,"◆",0),IF(AND(X$2&gt;=$AK29,X$2&lt;=$AL29),IF($AM29&gt;=1,2,IF(X$2&lt;$AK29+($AL29-$AK29+1)*$AM29,2,3)),0)))</f>
        <v/>
      </c>
      <c r="Y29" s="11">
        <f>IF($AP29="",0,IF($AO29="Yes",IF(Y$2=$AK29,"◆",0),IF(AND(Y$2&gt;=$AK29,Y$2&lt;=$AL29),IF($AM29&gt;=1,2,IF(Y$2&lt;$AK29+($AL29-$AK29+1)*$AM29,2,3)),0)))</f>
        <v/>
      </c>
      <c r="Z29" s="11">
        <f>IF($AP29="",0,IF($AO29="Yes",IF(Z$2=$AK29,"◆",0),IF(AND(Z$2&gt;=$AK29,Z$2&lt;=$AL29),IF($AM29&gt;=1,2,IF(Z$2&lt;$AK29+($AL29-$AK29+1)*$AM29,2,3)),0)))</f>
        <v/>
      </c>
      <c r="AA29" s="11">
        <f>IF($AP29="",0,IF($AO29="Yes",IF(AA$2=$AK29,"◆",0),IF(AND(AA$2&gt;=$AK29,AA$2&lt;=$AL29),IF($AM29&gt;=1,2,IF(AA$2&lt;$AK29+($AL29-$AK29+1)*$AM29,2,3)),0)))</f>
        <v/>
      </c>
      <c r="AB29" s="11">
        <f>IF($AP29="",0,IF($AO29="Yes",IF(AB$2=$AK29,"◆",0),IF(AND(AB$2&gt;=$AK29,AB$2&lt;=$AL29),IF($AM29&gt;=1,2,IF(AB$2&lt;$AK29+($AL29-$AK29+1)*$AM29,2,3)),0)))</f>
        <v/>
      </c>
      <c r="AC29" s="11">
        <f>IF($AP29="",0,IF($AO29="Yes",IF(AC$2=$AK29,"◆",0),IF(AND(AC$2&gt;=$AK29,AC$2&lt;=$AL29),IF($AM29&gt;=1,2,IF(AC$2&lt;$AK29+($AL29-$AK29+1)*$AM29,2,3)),0)))</f>
        <v/>
      </c>
      <c r="AD29" s="11">
        <f>IF($AP29="",0,IF($AO29="Yes",IF(AD$2=$AK29,"◆",0),IF(AND(AD$2&gt;=$AK29,AD$2&lt;=$AL29),IF($AM29&gt;=1,2,IF(AD$2&lt;$AK29+($AL29-$AK29+1)*$AM29,2,3)),0)))</f>
        <v/>
      </c>
      <c r="AE29" s="11">
        <f>IF($AP29="",0,IF($AO29="Yes",IF(AE$2=$AK29,"◆",0),IF(AND(AE$2&gt;=$AK29,AE$2&lt;=$AL29),IF($AM29&gt;=1,2,IF(AE$2&lt;$AK29+($AL29-$AK29+1)*$AM29,2,3)),0)))</f>
        <v/>
      </c>
      <c r="AF29" s="11">
        <f>IF($AP29="",0,IF($AO29="Yes",IF(AF$2=$AK29,"◆",0),IF(AND(AF$2&gt;=$AK29,AF$2&lt;=$AL29),IF($AM29&gt;=1,2,IF(AF$2&lt;$AK29+($AL29-$AK29+1)*$AM29,2,3)),0)))</f>
        <v/>
      </c>
      <c r="AG29" s="11">
        <f>IF($AP29="",0,IF($AO29="Yes",IF(AG$2=$AK29,"◆",0),IF(AND(AG$2&gt;=$AK29,AG$2&lt;=$AL29),IF($AM29&gt;=1,2,IF(AG$2&lt;$AK29+($AL29-$AK29+1)*$AM29,2,3)),0)))</f>
        <v/>
      </c>
      <c r="AH29" s="11">
        <f>IF($AP29="",0,IF($AO29="Yes",IF(AH$2=$AK29,"◆",0),IF(AND(AH$2&gt;=$AK29,AH$2&lt;=$AL29),IF($AM29&gt;=1,2,IF(AH$2&lt;$AK29+($AL29-$AK29+1)*$AM29,2,3)),0)))</f>
        <v/>
      </c>
      <c r="AI29" s="11">
        <f>IF($AP29="",0,IF($AO29="Yes",IF(AI$2=$AK29,"◆",0),IF(AND(AI$2&gt;=$AK29,AI$2&lt;=$AL29),IF($AM29&gt;=1,2,IF(AI$2&lt;$AK29+($AL29-$AK29+1)*$AM29,2,3)),0)))</f>
        <v/>
      </c>
      <c r="AJ29" s="11">
        <f>IF($AP29="",0,IF($AO29="Yes",IF(AJ$2=$AK29,"◆",0),IF(AND(AJ$2&gt;=$AK29,AJ$2&lt;=$AL29),IF($AM29&gt;=1,2,IF(AJ$2&lt;$AK29+($AL29-$AK29+1)*$AM29,2,3)),0)))</f>
        <v/>
      </c>
      <c r="AK29">
        <f>IFERROR(INDEX(tblTasks[Start Date],ROW()-5),"")</f>
        <v/>
      </c>
      <c r="AL29">
        <f>IFERROR(INDEX(tblTasks[End Date],ROW()-5),"")</f>
        <v/>
      </c>
      <c r="AM29">
        <f>IFERROR(INDEX(tblTasks[Progress %],ROW()-5),0)</f>
        <v/>
      </c>
      <c r="AN29">
        <f>IFERROR(INDEX(tblTasks[Status],ROW()-5),"")</f>
        <v/>
      </c>
      <c r="AO29">
        <f>IFERROR(INDEX(tblTasks[Milestone],ROW()-5),"No")</f>
        <v/>
      </c>
      <c r="AP29">
        <f>IFERROR(INDEX(tblTasks[Task ID],ROW()-5),"")</f>
        <v/>
      </c>
      <c r="AQ29">
        <f>IFERROR(INDEX(tblTasks[Phase],ROW()-5),"")</f>
        <v/>
      </c>
    </row>
    <row r="30">
      <c r="A30" s="9">
        <f>IF($AP30="","",$AP30)</f>
        <v/>
      </c>
      <c r="B30" s="10">
        <f>IF($AP30="","",IF($AO30="Yes","◆ ","")&amp;INDEX(tblTasks[Task Name],ROW()-5))</f>
        <v/>
      </c>
      <c r="C30" s="11">
        <f>IF($AP30="",0,IF($AO30="Yes",IF(C$2=$AK30,"◆",0),IF(AND(C$2&gt;=$AK30,C$2&lt;=$AL30),IF($AM30&gt;=1,2,IF(C$2&lt;$AK30+($AL30-$AK30+1)*$AM30,2,3)),0)))</f>
        <v/>
      </c>
      <c r="D30" s="11">
        <f>IF($AP30="",0,IF($AO30="Yes",IF(D$2=$AK30,"◆",0),IF(AND(D$2&gt;=$AK30,D$2&lt;=$AL30),IF($AM30&gt;=1,2,IF(D$2&lt;$AK30+($AL30-$AK30+1)*$AM30,2,3)),0)))</f>
        <v/>
      </c>
      <c r="E30" s="11">
        <f>IF($AP30="",0,IF($AO30="Yes",IF(E$2=$AK30,"◆",0),IF(AND(E$2&gt;=$AK30,E$2&lt;=$AL30),IF($AM30&gt;=1,2,IF(E$2&lt;$AK30+($AL30-$AK30+1)*$AM30,2,3)),0)))</f>
        <v/>
      </c>
      <c r="F30" s="11">
        <f>IF($AP30="",0,IF($AO30="Yes",IF(F$2=$AK30,"◆",0),IF(AND(F$2&gt;=$AK30,F$2&lt;=$AL30),IF($AM30&gt;=1,2,IF(F$2&lt;$AK30+($AL30-$AK30+1)*$AM30,2,3)),0)))</f>
        <v/>
      </c>
      <c r="G30" s="11">
        <f>IF($AP30="",0,IF($AO30="Yes",IF(G$2=$AK30,"◆",0),IF(AND(G$2&gt;=$AK30,G$2&lt;=$AL30),IF($AM30&gt;=1,2,IF(G$2&lt;$AK30+($AL30-$AK30+1)*$AM30,2,3)),0)))</f>
        <v/>
      </c>
      <c r="H30" s="11">
        <f>IF($AP30="",0,IF($AO30="Yes",IF(H$2=$AK30,"◆",0),IF(AND(H$2&gt;=$AK30,H$2&lt;=$AL30),IF($AM30&gt;=1,2,IF(H$2&lt;$AK30+($AL30-$AK30+1)*$AM30,2,3)),0)))</f>
        <v/>
      </c>
      <c r="I30" s="11">
        <f>IF($AP30="",0,IF($AO30="Yes",IF(I$2=$AK30,"◆",0),IF(AND(I$2&gt;=$AK30,I$2&lt;=$AL30),IF($AM30&gt;=1,2,IF(I$2&lt;$AK30+($AL30-$AK30+1)*$AM30,2,3)),0)))</f>
        <v/>
      </c>
      <c r="J30" s="11">
        <f>IF($AP30="",0,IF($AO30="Yes",IF(J$2=$AK30,"◆",0),IF(AND(J$2&gt;=$AK30,J$2&lt;=$AL30),IF($AM30&gt;=1,2,IF(J$2&lt;$AK30+($AL30-$AK30+1)*$AM30,2,3)),0)))</f>
        <v/>
      </c>
      <c r="K30" s="11">
        <f>IF($AP30="",0,IF($AO30="Yes",IF(K$2=$AK30,"◆",0),IF(AND(K$2&gt;=$AK30,K$2&lt;=$AL30),IF($AM30&gt;=1,2,IF(K$2&lt;$AK30+($AL30-$AK30+1)*$AM30,2,3)),0)))</f>
        <v/>
      </c>
      <c r="L30" s="11">
        <f>IF($AP30="",0,IF($AO30="Yes",IF(L$2=$AK30,"◆",0),IF(AND(L$2&gt;=$AK30,L$2&lt;=$AL30),IF($AM30&gt;=1,2,IF(L$2&lt;$AK30+($AL30-$AK30+1)*$AM30,2,3)),0)))</f>
        <v/>
      </c>
      <c r="M30" s="11">
        <f>IF($AP30="",0,IF($AO30="Yes",IF(M$2=$AK30,"◆",0),IF(AND(M$2&gt;=$AK30,M$2&lt;=$AL30),IF($AM30&gt;=1,2,IF(M$2&lt;$AK30+($AL30-$AK30+1)*$AM30,2,3)),0)))</f>
        <v/>
      </c>
      <c r="N30" s="11">
        <f>IF($AP30="",0,IF($AO30="Yes",IF(N$2=$AK30,"◆",0),IF(AND(N$2&gt;=$AK30,N$2&lt;=$AL30),IF($AM30&gt;=1,2,IF(N$2&lt;$AK30+($AL30-$AK30+1)*$AM30,2,3)),0)))</f>
        <v/>
      </c>
      <c r="O30" s="11">
        <f>IF($AP30="",0,IF($AO30="Yes",IF(O$2=$AK30,"◆",0),IF(AND(O$2&gt;=$AK30,O$2&lt;=$AL30),IF($AM30&gt;=1,2,IF(O$2&lt;$AK30+($AL30-$AK30+1)*$AM30,2,3)),0)))</f>
        <v/>
      </c>
      <c r="P30" s="11">
        <f>IF($AP30="",0,IF($AO30="Yes",IF(P$2=$AK30,"◆",0),IF(AND(P$2&gt;=$AK30,P$2&lt;=$AL30),IF($AM30&gt;=1,2,IF(P$2&lt;$AK30+($AL30-$AK30+1)*$AM30,2,3)),0)))</f>
        <v/>
      </c>
      <c r="Q30" s="11">
        <f>IF($AP30="",0,IF($AO30="Yes",IF(Q$2=$AK30,"◆",0),IF(AND(Q$2&gt;=$AK30,Q$2&lt;=$AL30),IF($AM30&gt;=1,2,IF(Q$2&lt;$AK30+($AL30-$AK30+1)*$AM30,2,3)),0)))</f>
        <v/>
      </c>
      <c r="R30" s="11">
        <f>IF($AP30="",0,IF($AO30="Yes",IF(R$2=$AK30,"◆",0),IF(AND(R$2&gt;=$AK30,R$2&lt;=$AL30),IF($AM30&gt;=1,2,IF(R$2&lt;$AK30+($AL30-$AK30+1)*$AM30,2,3)),0)))</f>
        <v/>
      </c>
      <c r="S30" s="11">
        <f>IF($AP30="",0,IF($AO30="Yes",IF(S$2=$AK30,"◆",0),IF(AND(S$2&gt;=$AK30,S$2&lt;=$AL30),IF($AM30&gt;=1,2,IF(S$2&lt;$AK30+($AL30-$AK30+1)*$AM30,2,3)),0)))</f>
        <v/>
      </c>
      <c r="T30" s="11">
        <f>IF($AP30="",0,IF($AO30="Yes",IF(T$2=$AK30,"◆",0),IF(AND(T$2&gt;=$AK30,T$2&lt;=$AL30),IF($AM30&gt;=1,2,IF(T$2&lt;$AK30+($AL30-$AK30+1)*$AM30,2,3)),0)))</f>
        <v/>
      </c>
      <c r="U30" s="11">
        <f>IF($AP30="",0,IF($AO30="Yes",IF(U$2=$AK30,"◆",0),IF(AND(U$2&gt;=$AK30,U$2&lt;=$AL30),IF($AM30&gt;=1,2,IF(U$2&lt;$AK30+($AL30-$AK30+1)*$AM30,2,3)),0)))</f>
        <v/>
      </c>
      <c r="V30" s="11">
        <f>IF($AP30="",0,IF($AO30="Yes",IF(V$2=$AK30,"◆",0),IF(AND(V$2&gt;=$AK30,V$2&lt;=$AL30),IF($AM30&gt;=1,2,IF(V$2&lt;$AK30+($AL30-$AK30+1)*$AM30,2,3)),0)))</f>
        <v/>
      </c>
      <c r="W30" s="11">
        <f>IF($AP30="",0,IF($AO30="Yes",IF(W$2=$AK30,"◆",0),IF(AND(W$2&gt;=$AK30,W$2&lt;=$AL30),IF($AM30&gt;=1,2,IF(W$2&lt;$AK30+($AL30-$AK30+1)*$AM30,2,3)),0)))</f>
        <v/>
      </c>
      <c r="X30" s="11">
        <f>IF($AP30="",0,IF($AO30="Yes",IF(X$2=$AK30,"◆",0),IF(AND(X$2&gt;=$AK30,X$2&lt;=$AL30),IF($AM30&gt;=1,2,IF(X$2&lt;$AK30+($AL30-$AK30+1)*$AM30,2,3)),0)))</f>
        <v/>
      </c>
      <c r="Y30" s="11">
        <f>IF($AP30="",0,IF($AO30="Yes",IF(Y$2=$AK30,"◆",0),IF(AND(Y$2&gt;=$AK30,Y$2&lt;=$AL30),IF($AM30&gt;=1,2,IF(Y$2&lt;$AK30+($AL30-$AK30+1)*$AM30,2,3)),0)))</f>
        <v/>
      </c>
      <c r="Z30" s="11">
        <f>IF($AP30="",0,IF($AO30="Yes",IF(Z$2=$AK30,"◆",0),IF(AND(Z$2&gt;=$AK30,Z$2&lt;=$AL30),IF($AM30&gt;=1,2,IF(Z$2&lt;$AK30+($AL30-$AK30+1)*$AM30,2,3)),0)))</f>
        <v/>
      </c>
      <c r="AA30" s="11">
        <f>IF($AP30="",0,IF($AO30="Yes",IF(AA$2=$AK30,"◆",0),IF(AND(AA$2&gt;=$AK30,AA$2&lt;=$AL30),IF($AM30&gt;=1,2,IF(AA$2&lt;$AK30+($AL30-$AK30+1)*$AM30,2,3)),0)))</f>
        <v/>
      </c>
      <c r="AB30" s="11">
        <f>IF($AP30="",0,IF($AO30="Yes",IF(AB$2=$AK30,"◆",0),IF(AND(AB$2&gt;=$AK30,AB$2&lt;=$AL30),IF($AM30&gt;=1,2,IF(AB$2&lt;$AK30+($AL30-$AK30+1)*$AM30,2,3)),0)))</f>
        <v/>
      </c>
      <c r="AC30" s="11">
        <f>IF($AP30="",0,IF($AO30="Yes",IF(AC$2=$AK30,"◆",0),IF(AND(AC$2&gt;=$AK30,AC$2&lt;=$AL30),IF($AM30&gt;=1,2,IF(AC$2&lt;$AK30+($AL30-$AK30+1)*$AM30,2,3)),0)))</f>
        <v/>
      </c>
      <c r="AD30" s="11">
        <f>IF($AP30="",0,IF($AO30="Yes",IF(AD$2=$AK30,"◆",0),IF(AND(AD$2&gt;=$AK30,AD$2&lt;=$AL30),IF($AM30&gt;=1,2,IF(AD$2&lt;$AK30+($AL30-$AK30+1)*$AM30,2,3)),0)))</f>
        <v/>
      </c>
      <c r="AE30" s="11">
        <f>IF($AP30="",0,IF($AO30="Yes",IF(AE$2=$AK30,"◆",0),IF(AND(AE$2&gt;=$AK30,AE$2&lt;=$AL30),IF($AM30&gt;=1,2,IF(AE$2&lt;$AK30+($AL30-$AK30+1)*$AM30,2,3)),0)))</f>
        <v/>
      </c>
      <c r="AF30" s="11">
        <f>IF($AP30="",0,IF($AO30="Yes",IF(AF$2=$AK30,"◆",0),IF(AND(AF$2&gt;=$AK30,AF$2&lt;=$AL30),IF($AM30&gt;=1,2,IF(AF$2&lt;$AK30+($AL30-$AK30+1)*$AM30,2,3)),0)))</f>
        <v/>
      </c>
      <c r="AG30" s="11">
        <f>IF($AP30="",0,IF($AO30="Yes",IF(AG$2=$AK30,"◆",0),IF(AND(AG$2&gt;=$AK30,AG$2&lt;=$AL30),IF($AM30&gt;=1,2,IF(AG$2&lt;$AK30+($AL30-$AK30+1)*$AM30,2,3)),0)))</f>
        <v/>
      </c>
      <c r="AH30" s="11">
        <f>IF($AP30="",0,IF($AO30="Yes",IF(AH$2=$AK30,"◆",0),IF(AND(AH$2&gt;=$AK30,AH$2&lt;=$AL30),IF($AM30&gt;=1,2,IF(AH$2&lt;$AK30+($AL30-$AK30+1)*$AM30,2,3)),0)))</f>
        <v/>
      </c>
      <c r="AI30" s="11">
        <f>IF($AP30="",0,IF($AO30="Yes",IF(AI$2=$AK30,"◆",0),IF(AND(AI$2&gt;=$AK30,AI$2&lt;=$AL30),IF($AM30&gt;=1,2,IF(AI$2&lt;$AK30+($AL30-$AK30+1)*$AM30,2,3)),0)))</f>
        <v/>
      </c>
      <c r="AJ30" s="11">
        <f>IF($AP30="",0,IF($AO30="Yes",IF(AJ$2=$AK30,"◆",0),IF(AND(AJ$2&gt;=$AK30,AJ$2&lt;=$AL30),IF($AM30&gt;=1,2,IF(AJ$2&lt;$AK30+($AL30-$AK30+1)*$AM30,2,3)),0)))</f>
        <v/>
      </c>
      <c r="AK30">
        <f>IFERROR(INDEX(tblTasks[Start Date],ROW()-5),"")</f>
        <v/>
      </c>
      <c r="AL30">
        <f>IFERROR(INDEX(tblTasks[End Date],ROW()-5),"")</f>
        <v/>
      </c>
      <c r="AM30">
        <f>IFERROR(INDEX(tblTasks[Progress %],ROW()-5),0)</f>
        <v/>
      </c>
      <c r="AN30">
        <f>IFERROR(INDEX(tblTasks[Status],ROW()-5),"")</f>
        <v/>
      </c>
      <c r="AO30">
        <f>IFERROR(INDEX(tblTasks[Milestone],ROW()-5),"No")</f>
        <v/>
      </c>
      <c r="AP30">
        <f>IFERROR(INDEX(tblTasks[Task ID],ROW()-5),"")</f>
        <v/>
      </c>
      <c r="AQ30">
        <f>IFERROR(INDEX(tblTasks[Phase],ROW()-5),"")</f>
        <v/>
      </c>
    </row>
    <row r="31">
      <c r="A31" s="9">
        <f>IF($AP31="","",$AP31)</f>
        <v/>
      </c>
      <c r="B31" s="10">
        <f>IF($AP31="","",IF($AO31="Yes","◆ ","")&amp;INDEX(tblTasks[Task Name],ROW()-5))</f>
        <v/>
      </c>
      <c r="C31" s="11">
        <f>IF($AP31="",0,IF($AO31="Yes",IF(C$2=$AK31,"◆",0),IF(AND(C$2&gt;=$AK31,C$2&lt;=$AL31),IF($AM31&gt;=1,2,IF(C$2&lt;$AK31+($AL31-$AK31+1)*$AM31,2,3)),0)))</f>
        <v/>
      </c>
      <c r="D31" s="11">
        <f>IF($AP31="",0,IF($AO31="Yes",IF(D$2=$AK31,"◆",0),IF(AND(D$2&gt;=$AK31,D$2&lt;=$AL31),IF($AM31&gt;=1,2,IF(D$2&lt;$AK31+($AL31-$AK31+1)*$AM31,2,3)),0)))</f>
        <v/>
      </c>
      <c r="E31" s="11">
        <f>IF($AP31="",0,IF($AO31="Yes",IF(E$2=$AK31,"◆",0),IF(AND(E$2&gt;=$AK31,E$2&lt;=$AL31),IF($AM31&gt;=1,2,IF(E$2&lt;$AK31+($AL31-$AK31+1)*$AM31,2,3)),0)))</f>
        <v/>
      </c>
      <c r="F31" s="11">
        <f>IF($AP31="",0,IF($AO31="Yes",IF(F$2=$AK31,"◆",0),IF(AND(F$2&gt;=$AK31,F$2&lt;=$AL31),IF($AM31&gt;=1,2,IF(F$2&lt;$AK31+($AL31-$AK31+1)*$AM31,2,3)),0)))</f>
        <v/>
      </c>
      <c r="G31" s="11">
        <f>IF($AP31="",0,IF($AO31="Yes",IF(G$2=$AK31,"◆",0),IF(AND(G$2&gt;=$AK31,G$2&lt;=$AL31),IF($AM31&gt;=1,2,IF(G$2&lt;$AK31+($AL31-$AK31+1)*$AM31,2,3)),0)))</f>
        <v/>
      </c>
      <c r="H31" s="11">
        <f>IF($AP31="",0,IF($AO31="Yes",IF(H$2=$AK31,"◆",0),IF(AND(H$2&gt;=$AK31,H$2&lt;=$AL31),IF($AM31&gt;=1,2,IF(H$2&lt;$AK31+($AL31-$AK31+1)*$AM31,2,3)),0)))</f>
        <v/>
      </c>
      <c r="I31" s="11">
        <f>IF($AP31="",0,IF($AO31="Yes",IF(I$2=$AK31,"◆",0),IF(AND(I$2&gt;=$AK31,I$2&lt;=$AL31),IF($AM31&gt;=1,2,IF(I$2&lt;$AK31+($AL31-$AK31+1)*$AM31,2,3)),0)))</f>
        <v/>
      </c>
      <c r="J31" s="11">
        <f>IF($AP31="",0,IF($AO31="Yes",IF(J$2=$AK31,"◆",0),IF(AND(J$2&gt;=$AK31,J$2&lt;=$AL31),IF($AM31&gt;=1,2,IF(J$2&lt;$AK31+($AL31-$AK31+1)*$AM31,2,3)),0)))</f>
        <v/>
      </c>
      <c r="K31" s="11">
        <f>IF($AP31="",0,IF($AO31="Yes",IF(K$2=$AK31,"◆",0),IF(AND(K$2&gt;=$AK31,K$2&lt;=$AL31),IF($AM31&gt;=1,2,IF(K$2&lt;$AK31+($AL31-$AK31+1)*$AM31,2,3)),0)))</f>
        <v/>
      </c>
      <c r="L31" s="11">
        <f>IF($AP31="",0,IF($AO31="Yes",IF(L$2=$AK31,"◆",0),IF(AND(L$2&gt;=$AK31,L$2&lt;=$AL31),IF($AM31&gt;=1,2,IF(L$2&lt;$AK31+($AL31-$AK31+1)*$AM31,2,3)),0)))</f>
        <v/>
      </c>
      <c r="M31" s="11">
        <f>IF($AP31="",0,IF($AO31="Yes",IF(M$2=$AK31,"◆",0),IF(AND(M$2&gt;=$AK31,M$2&lt;=$AL31),IF($AM31&gt;=1,2,IF(M$2&lt;$AK31+($AL31-$AK31+1)*$AM31,2,3)),0)))</f>
        <v/>
      </c>
      <c r="N31" s="11">
        <f>IF($AP31="",0,IF($AO31="Yes",IF(N$2=$AK31,"◆",0),IF(AND(N$2&gt;=$AK31,N$2&lt;=$AL31),IF($AM31&gt;=1,2,IF(N$2&lt;$AK31+($AL31-$AK31+1)*$AM31,2,3)),0)))</f>
        <v/>
      </c>
      <c r="O31" s="11">
        <f>IF($AP31="",0,IF($AO31="Yes",IF(O$2=$AK31,"◆",0),IF(AND(O$2&gt;=$AK31,O$2&lt;=$AL31),IF($AM31&gt;=1,2,IF(O$2&lt;$AK31+($AL31-$AK31+1)*$AM31,2,3)),0)))</f>
        <v/>
      </c>
      <c r="P31" s="11">
        <f>IF($AP31="",0,IF($AO31="Yes",IF(P$2=$AK31,"◆",0),IF(AND(P$2&gt;=$AK31,P$2&lt;=$AL31),IF($AM31&gt;=1,2,IF(P$2&lt;$AK31+($AL31-$AK31+1)*$AM31,2,3)),0)))</f>
        <v/>
      </c>
      <c r="Q31" s="11">
        <f>IF($AP31="",0,IF($AO31="Yes",IF(Q$2=$AK31,"◆",0),IF(AND(Q$2&gt;=$AK31,Q$2&lt;=$AL31),IF($AM31&gt;=1,2,IF(Q$2&lt;$AK31+($AL31-$AK31+1)*$AM31,2,3)),0)))</f>
        <v/>
      </c>
      <c r="R31" s="11">
        <f>IF($AP31="",0,IF($AO31="Yes",IF(R$2=$AK31,"◆",0),IF(AND(R$2&gt;=$AK31,R$2&lt;=$AL31),IF($AM31&gt;=1,2,IF(R$2&lt;$AK31+($AL31-$AK31+1)*$AM31,2,3)),0)))</f>
        <v/>
      </c>
      <c r="S31" s="11">
        <f>IF($AP31="",0,IF($AO31="Yes",IF(S$2=$AK31,"◆",0),IF(AND(S$2&gt;=$AK31,S$2&lt;=$AL31),IF($AM31&gt;=1,2,IF(S$2&lt;$AK31+($AL31-$AK31+1)*$AM31,2,3)),0)))</f>
        <v/>
      </c>
      <c r="T31" s="11">
        <f>IF($AP31="",0,IF($AO31="Yes",IF(T$2=$AK31,"◆",0),IF(AND(T$2&gt;=$AK31,T$2&lt;=$AL31),IF($AM31&gt;=1,2,IF(T$2&lt;$AK31+($AL31-$AK31+1)*$AM31,2,3)),0)))</f>
        <v/>
      </c>
      <c r="U31" s="11">
        <f>IF($AP31="",0,IF($AO31="Yes",IF(U$2=$AK31,"◆",0),IF(AND(U$2&gt;=$AK31,U$2&lt;=$AL31),IF($AM31&gt;=1,2,IF(U$2&lt;$AK31+($AL31-$AK31+1)*$AM31,2,3)),0)))</f>
        <v/>
      </c>
      <c r="V31" s="11">
        <f>IF($AP31="",0,IF($AO31="Yes",IF(V$2=$AK31,"◆",0),IF(AND(V$2&gt;=$AK31,V$2&lt;=$AL31),IF($AM31&gt;=1,2,IF(V$2&lt;$AK31+($AL31-$AK31+1)*$AM31,2,3)),0)))</f>
        <v/>
      </c>
      <c r="W31" s="11">
        <f>IF($AP31="",0,IF($AO31="Yes",IF(W$2=$AK31,"◆",0),IF(AND(W$2&gt;=$AK31,W$2&lt;=$AL31),IF($AM31&gt;=1,2,IF(W$2&lt;$AK31+($AL31-$AK31+1)*$AM31,2,3)),0)))</f>
        <v/>
      </c>
      <c r="X31" s="11">
        <f>IF($AP31="",0,IF($AO31="Yes",IF(X$2=$AK31,"◆",0),IF(AND(X$2&gt;=$AK31,X$2&lt;=$AL31),IF($AM31&gt;=1,2,IF(X$2&lt;$AK31+($AL31-$AK31+1)*$AM31,2,3)),0)))</f>
        <v/>
      </c>
      <c r="Y31" s="11">
        <f>IF($AP31="",0,IF($AO31="Yes",IF(Y$2=$AK31,"◆",0),IF(AND(Y$2&gt;=$AK31,Y$2&lt;=$AL31),IF($AM31&gt;=1,2,IF(Y$2&lt;$AK31+($AL31-$AK31+1)*$AM31,2,3)),0)))</f>
        <v/>
      </c>
      <c r="Z31" s="11">
        <f>IF($AP31="",0,IF($AO31="Yes",IF(Z$2=$AK31,"◆",0),IF(AND(Z$2&gt;=$AK31,Z$2&lt;=$AL31),IF($AM31&gt;=1,2,IF(Z$2&lt;$AK31+($AL31-$AK31+1)*$AM31,2,3)),0)))</f>
        <v/>
      </c>
      <c r="AA31" s="11">
        <f>IF($AP31="",0,IF($AO31="Yes",IF(AA$2=$AK31,"◆",0),IF(AND(AA$2&gt;=$AK31,AA$2&lt;=$AL31),IF($AM31&gt;=1,2,IF(AA$2&lt;$AK31+($AL31-$AK31+1)*$AM31,2,3)),0)))</f>
        <v/>
      </c>
      <c r="AB31" s="11">
        <f>IF($AP31="",0,IF($AO31="Yes",IF(AB$2=$AK31,"◆",0),IF(AND(AB$2&gt;=$AK31,AB$2&lt;=$AL31),IF($AM31&gt;=1,2,IF(AB$2&lt;$AK31+($AL31-$AK31+1)*$AM31,2,3)),0)))</f>
        <v/>
      </c>
      <c r="AC31" s="11">
        <f>IF($AP31="",0,IF($AO31="Yes",IF(AC$2=$AK31,"◆",0),IF(AND(AC$2&gt;=$AK31,AC$2&lt;=$AL31),IF($AM31&gt;=1,2,IF(AC$2&lt;$AK31+($AL31-$AK31+1)*$AM31,2,3)),0)))</f>
        <v/>
      </c>
      <c r="AD31" s="11">
        <f>IF($AP31="",0,IF($AO31="Yes",IF(AD$2=$AK31,"◆",0),IF(AND(AD$2&gt;=$AK31,AD$2&lt;=$AL31),IF($AM31&gt;=1,2,IF(AD$2&lt;$AK31+($AL31-$AK31+1)*$AM31,2,3)),0)))</f>
        <v/>
      </c>
      <c r="AE31" s="11">
        <f>IF($AP31="",0,IF($AO31="Yes",IF(AE$2=$AK31,"◆",0),IF(AND(AE$2&gt;=$AK31,AE$2&lt;=$AL31),IF($AM31&gt;=1,2,IF(AE$2&lt;$AK31+($AL31-$AK31+1)*$AM31,2,3)),0)))</f>
        <v/>
      </c>
      <c r="AF31" s="11">
        <f>IF($AP31="",0,IF($AO31="Yes",IF(AF$2=$AK31,"◆",0),IF(AND(AF$2&gt;=$AK31,AF$2&lt;=$AL31),IF($AM31&gt;=1,2,IF(AF$2&lt;$AK31+($AL31-$AK31+1)*$AM31,2,3)),0)))</f>
        <v/>
      </c>
      <c r="AG31" s="11">
        <f>IF($AP31="",0,IF($AO31="Yes",IF(AG$2=$AK31,"◆",0),IF(AND(AG$2&gt;=$AK31,AG$2&lt;=$AL31),IF($AM31&gt;=1,2,IF(AG$2&lt;$AK31+($AL31-$AK31+1)*$AM31,2,3)),0)))</f>
        <v/>
      </c>
      <c r="AH31" s="11">
        <f>IF($AP31="",0,IF($AO31="Yes",IF(AH$2=$AK31,"◆",0),IF(AND(AH$2&gt;=$AK31,AH$2&lt;=$AL31),IF($AM31&gt;=1,2,IF(AH$2&lt;$AK31+($AL31-$AK31+1)*$AM31,2,3)),0)))</f>
        <v/>
      </c>
      <c r="AI31" s="11">
        <f>IF($AP31="",0,IF($AO31="Yes",IF(AI$2=$AK31,"◆",0),IF(AND(AI$2&gt;=$AK31,AI$2&lt;=$AL31),IF($AM31&gt;=1,2,IF(AI$2&lt;$AK31+($AL31-$AK31+1)*$AM31,2,3)),0)))</f>
        <v/>
      </c>
      <c r="AJ31" s="11">
        <f>IF($AP31="",0,IF($AO31="Yes",IF(AJ$2=$AK31,"◆",0),IF(AND(AJ$2&gt;=$AK31,AJ$2&lt;=$AL31),IF($AM31&gt;=1,2,IF(AJ$2&lt;$AK31+($AL31-$AK31+1)*$AM31,2,3)),0)))</f>
        <v/>
      </c>
      <c r="AK31">
        <f>IFERROR(INDEX(tblTasks[Start Date],ROW()-5),"")</f>
        <v/>
      </c>
      <c r="AL31">
        <f>IFERROR(INDEX(tblTasks[End Date],ROW()-5),"")</f>
        <v/>
      </c>
      <c r="AM31">
        <f>IFERROR(INDEX(tblTasks[Progress %],ROW()-5),0)</f>
        <v/>
      </c>
      <c r="AN31">
        <f>IFERROR(INDEX(tblTasks[Status],ROW()-5),"")</f>
        <v/>
      </c>
      <c r="AO31">
        <f>IFERROR(INDEX(tblTasks[Milestone],ROW()-5),"No")</f>
        <v/>
      </c>
      <c r="AP31">
        <f>IFERROR(INDEX(tblTasks[Task ID],ROW()-5),"")</f>
        <v/>
      </c>
      <c r="AQ31">
        <f>IFERROR(INDEX(tblTasks[Phase],ROW()-5),"")</f>
        <v/>
      </c>
    </row>
    <row r="32">
      <c r="A32" s="9">
        <f>IF($AP32="","",$AP32)</f>
        <v/>
      </c>
      <c r="B32" s="10">
        <f>IF($AP32="","",IF($AO32="Yes","◆ ","")&amp;INDEX(tblTasks[Task Name],ROW()-5))</f>
        <v/>
      </c>
      <c r="C32" s="11">
        <f>IF($AP32="",0,IF($AO32="Yes",IF(C$2=$AK32,"◆",0),IF(AND(C$2&gt;=$AK32,C$2&lt;=$AL32),IF($AM32&gt;=1,2,IF(C$2&lt;$AK32+($AL32-$AK32+1)*$AM32,2,3)),0)))</f>
        <v/>
      </c>
      <c r="D32" s="11">
        <f>IF($AP32="",0,IF($AO32="Yes",IF(D$2=$AK32,"◆",0),IF(AND(D$2&gt;=$AK32,D$2&lt;=$AL32),IF($AM32&gt;=1,2,IF(D$2&lt;$AK32+($AL32-$AK32+1)*$AM32,2,3)),0)))</f>
        <v/>
      </c>
      <c r="E32" s="11">
        <f>IF($AP32="",0,IF($AO32="Yes",IF(E$2=$AK32,"◆",0),IF(AND(E$2&gt;=$AK32,E$2&lt;=$AL32),IF($AM32&gt;=1,2,IF(E$2&lt;$AK32+($AL32-$AK32+1)*$AM32,2,3)),0)))</f>
        <v/>
      </c>
      <c r="F32" s="11">
        <f>IF($AP32="",0,IF($AO32="Yes",IF(F$2=$AK32,"◆",0),IF(AND(F$2&gt;=$AK32,F$2&lt;=$AL32),IF($AM32&gt;=1,2,IF(F$2&lt;$AK32+($AL32-$AK32+1)*$AM32,2,3)),0)))</f>
        <v/>
      </c>
      <c r="G32" s="11">
        <f>IF($AP32="",0,IF($AO32="Yes",IF(G$2=$AK32,"◆",0),IF(AND(G$2&gt;=$AK32,G$2&lt;=$AL32),IF($AM32&gt;=1,2,IF(G$2&lt;$AK32+($AL32-$AK32+1)*$AM32,2,3)),0)))</f>
        <v/>
      </c>
      <c r="H32" s="11">
        <f>IF($AP32="",0,IF($AO32="Yes",IF(H$2=$AK32,"◆",0),IF(AND(H$2&gt;=$AK32,H$2&lt;=$AL32),IF($AM32&gt;=1,2,IF(H$2&lt;$AK32+($AL32-$AK32+1)*$AM32,2,3)),0)))</f>
        <v/>
      </c>
      <c r="I32" s="11">
        <f>IF($AP32="",0,IF($AO32="Yes",IF(I$2=$AK32,"◆",0),IF(AND(I$2&gt;=$AK32,I$2&lt;=$AL32),IF($AM32&gt;=1,2,IF(I$2&lt;$AK32+($AL32-$AK32+1)*$AM32,2,3)),0)))</f>
        <v/>
      </c>
      <c r="J32" s="11">
        <f>IF($AP32="",0,IF($AO32="Yes",IF(J$2=$AK32,"◆",0),IF(AND(J$2&gt;=$AK32,J$2&lt;=$AL32),IF($AM32&gt;=1,2,IF(J$2&lt;$AK32+($AL32-$AK32+1)*$AM32,2,3)),0)))</f>
        <v/>
      </c>
      <c r="K32" s="11">
        <f>IF($AP32="",0,IF($AO32="Yes",IF(K$2=$AK32,"◆",0),IF(AND(K$2&gt;=$AK32,K$2&lt;=$AL32),IF($AM32&gt;=1,2,IF(K$2&lt;$AK32+($AL32-$AK32+1)*$AM32,2,3)),0)))</f>
        <v/>
      </c>
      <c r="L32" s="11">
        <f>IF($AP32="",0,IF($AO32="Yes",IF(L$2=$AK32,"◆",0),IF(AND(L$2&gt;=$AK32,L$2&lt;=$AL32),IF($AM32&gt;=1,2,IF(L$2&lt;$AK32+($AL32-$AK32+1)*$AM32,2,3)),0)))</f>
        <v/>
      </c>
      <c r="M32" s="11">
        <f>IF($AP32="",0,IF($AO32="Yes",IF(M$2=$AK32,"◆",0),IF(AND(M$2&gt;=$AK32,M$2&lt;=$AL32),IF($AM32&gt;=1,2,IF(M$2&lt;$AK32+($AL32-$AK32+1)*$AM32,2,3)),0)))</f>
        <v/>
      </c>
      <c r="N32" s="11">
        <f>IF($AP32="",0,IF($AO32="Yes",IF(N$2=$AK32,"◆",0),IF(AND(N$2&gt;=$AK32,N$2&lt;=$AL32),IF($AM32&gt;=1,2,IF(N$2&lt;$AK32+($AL32-$AK32+1)*$AM32,2,3)),0)))</f>
        <v/>
      </c>
      <c r="O32" s="11">
        <f>IF($AP32="",0,IF($AO32="Yes",IF(O$2=$AK32,"◆",0),IF(AND(O$2&gt;=$AK32,O$2&lt;=$AL32),IF($AM32&gt;=1,2,IF(O$2&lt;$AK32+($AL32-$AK32+1)*$AM32,2,3)),0)))</f>
        <v/>
      </c>
      <c r="P32" s="11">
        <f>IF($AP32="",0,IF($AO32="Yes",IF(P$2=$AK32,"◆",0),IF(AND(P$2&gt;=$AK32,P$2&lt;=$AL32),IF($AM32&gt;=1,2,IF(P$2&lt;$AK32+($AL32-$AK32+1)*$AM32,2,3)),0)))</f>
        <v/>
      </c>
      <c r="Q32" s="11">
        <f>IF($AP32="",0,IF($AO32="Yes",IF(Q$2=$AK32,"◆",0),IF(AND(Q$2&gt;=$AK32,Q$2&lt;=$AL32),IF($AM32&gt;=1,2,IF(Q$2&lt;$AK32+($AL32-$AK32+1)*$AM32,2,3)),0)))</f>
        <v/>
      </c>
      <c r="R32" s="11">
        <f>IF($AP32="",0,IF($AO32="Yes",IF(R$2=$AK32,"◆",0),IF(AND(R$2&gt;=$AK32,R$2&lt;=$AL32),IF($AM32&gt;=1,2,IF(R$2&lt;$AK32+($AL32-$AK32+1)*$AM32,2,3)),0)))</f>
        <v/>
      </c>
      <c r="S32" s="11">
        <f>IF($AP32="",0,IF($AO32="Yes",IF(S$2=$AK32,"◆",0),IF(AND(S$2&gt;=$AK32,S$2&lt;=$AL32),IF($AM32&gt;=1,2,IF(S$2&lt;$AK32+($AL32-$AK32+1)*$AM32,2,3)),0)))</f>
        <v/>
      </c>
      <c r="T32" s="11">
        <f>IF($AP32="",0,IF($AO32="Yes",IF(T$2=$AK32,"◆",0),IF(AND(T$2&gt;=$AK32,T$2&lt;=$AL32),IF($AM32&gt;=1,2,IF(T$2&lt;$AK32+($AL32-$AK32+1)*$AM32,2,3)),0)))</f>
        <v/>
      </c>
      <c r="U32" s="11">
        <f>IF($AP32="",0,IF($AO32="Yes",IF(U$2=$AK32,"◆",0),IF(AND(U$2&gt;=$AK32,U$2&lt;=$AL32),IF($AM32&gt;=1,2,IF(U$2&lt;$AK32+($AL32-$AK32+1)*$AM32,2,3)),0)))</f>
        <v/>
      </c>
      <c r="V32" s="11">
        <f>IF($AP32="",0,IF($AO32="Yes",IF(V$2=$AK32,"◆",0),IF(AND(V$2&gt;=$AK32,V$2&lt;=$AL32),IF($AM32&gt;=1,2,IF(V$2&lt;$AK32+($AL32-$AK32+1)*$AM32,2,3)),0)))</f>
        <v/>
      </c>
      <c r="W32" s="11">
        <f>IF($AP32="",0,IF($AO32="Yes",IF(W$2=$AK32,"◆",0),IF(AND(W$2&gt;=$AK32,W$2&lt;=$AL32),IF($AM32&gt;=1,2,IF(W$2&lt;$AK32+($AL32-$AK32+1)*$AM32,2,3)),0)))</f>
        <v/>
      </c>
      <c r="X32" s="11">
        <f>IF($AP32="",0,IF($AO32="Yes",IF(X$2=$AK32,"◆",0),IF(AND(X$2&gt;=$AK32,X$2&lt;=$AL32),IF($AM32&gt;=1,2,IF(X$2&lt;$AK32+($AL32-$AK32+1)*$AM32,2,3)),0)))</f>
        <v/>
      </c>
      <c r="Y32" s="11">
        <f>IF($AP32="",0,IF($AO32="Yes",IF(Y$2=$AK32,"◆",0),IF(AND(Y$2&gt;=$AK32,Y$2&lt;=$AL32),IF($AM32&gt;=1,2,IF(Y$2&lt;$AK32+($AL32-$AK32+1)*$AM32,2,3)),0)))</f>
        <v/>
      </c>
      <c r="Z32" s="11">
        <f>IF($AP32="",0,IF($AO32="Yes",IF(Z$2=$AK32,"◆",0),IF(AND(Z$2&gt;=$AK32,Z$2&lt;=$AL32),IF($AM32&gt;=1,2,IF(Z$2&lt;$AK32+($AL32-$AK32+1)*$AM32,2,3)),0)))</f>
        <v/>
      </c>
      <c r="AA32" s="11">
        <f>IF($AP32="",0,IF($AO32="Yes",IF(AA$2=$AK32,"◆",0),IF(AND(AA$2&gt;=$AK32,AA$2&lt;=$AL32),IF($AM32&gt;=1,2,IF(AA$2&lt;$AK32+($AL32-$AK32+1)*$AM32,2,3)),0)))</f>
        <v/>
      </c>
      <c r="AB32" s="11">
        <f>IF($AP32="",0,IF($AO32="Yes",IF(AB$2=$AK32,"◆",0),IF(AND(AB$2&gt;=$AK32,AB$2&lt;=$AL32),IF($AM32&gt;=1,2,IF(AB$2&lt;$AK32+($AL32-$AK32+1)*$AM32,2,3)),0)))</f>
        <v/>
      </c>
      <c r="AC32" s="11">
        <f>IF($AP32="",0,IF($AO32="Yes",IF(AC$2=$AK32,"◆",0),IF(AND(AC$2&gt;=$AK32,AC$2&lt;=$AL32),IF($AM32&gt;=1,2,IF(AC$2&lt;$AK32+($AL32-$AK32+1)*$AM32,2,3)),0)))</f>
        <v/>
      </c>
      <c r="AD32" s="11">
        <f>IF($AP32="",0,IF($AO32="Yes",IF(AD$2=$AK32,"◆",0),IF(AND(AD$2&gt;=$AK32,AD$2&lt;=$AL32),IF($AM32&gt;=1,2,IF(AD$2&lt;$AK32+($AL32-$AK32+1)*$AM32,2,3)),0)))</f>
        <v/>
      </c>
      <c r="AE32" s="11">
        <f>IF($AP32="",0,IF($AO32="Yes",IF(AE$2=$AK32,"◆",0),IF(AND(AE$2&gt;=$AK32,AE$2&lt;=$AL32),IF($AM32&gt;=1,2,IF(AE$2&lt;$AK32+($AL32-$AK32+1)*$AM32,2,3)),0)))</f>
        <v/>
      </c>
      <c r="AF32" s="11">
        <f>IF($AP32="",0,IF($AO32="Yes",IF(AF$2=$AK32,"◆",0),IF(AND(AF$2&gt;=$AK32,AF$2&lt;=$AL32),IF($AM32&gt;=1,2,IF(AF$2&lt;$AK32+($AL32-$AK32+1)*$AM32,2,3)),0)))</f>
        <v/>
      </c>
      <c r="AG32" s="11">
        <f>IF($AP32="",0,IF($AO32="Yes",IF(AG$2=$AK32,"◆",0),IF(AND(AG$2&gt;=$AK32,AG$2&lt;=$AL32),IF($AM32&gt;=1,2,IF(AG$2&lt;$AK32+($AL32-$AK32+1)*$AM32,2,3)),0)))</f>
        <v/>
      </c>
      <c r="AH32" s="11">
        <f>IF($AP32="",0,IF($AO32="Yes",IF(AH$2=$AK32,"◆",0),IF(AND(AH$2&gt;=$AK32,AH$2&lt;=$AL32),IF($AM32&gt;=1,2,IF(AH$2&lt;$AK32+($AL32-$AK32+1)*$AM32,2,3)),0)))</f>
        <v/>
      </c>
      <c r="AI32" s="11">
        <f>IF($AP32="",0,IF($AO32="Yes",IF(AI$2=$AK32,"◆",0),IF(AND(AI$2&gt;=$AK32,AI$2&lt;=$AL32),IF($AM32&gt;=1,2,IF(AI$2&lt;$AK32+($AL32-$AK32+1)*$AM32,2,3)),0)))</f>
        <v/>
      </c>
      <c r="AJ32" s="11">
        <f>IF($AP32="",0,IF($AO32="Yes",IF(AJ$2=$AK32,"◆",0),IF(AND(AJ$2&gt;=$AK32,AJ$2&lt;=$AL32),IF($AM32&gt;=1,2,IF(AJ$2&lt;$AK32+($AL32-$AK32+1)*$AM32,2,3)),0)))</f>
        <v/>
      </c>
      <c r="AK32">
        <f>IFERROR(INDEX(tblTasks[Start Date],ROW()-5),"")</f>
        <v/>
      </c>
      <c r="AL32">
        <f>IFERROR(INDEX(tblTasks[End Date],ROW()-5),"")</f>
        <v/>
      </c>
      <c r="AM32">
        <f>IFERROR(INDEX(tblTasks[Progress %],ROW()-5),0)</f>
        <v/>
      </c>
      <c r="AN32">
        <f>IFERROR(INDEX(tblTasks[Status],ROW()-5),"")</f>
        <v/>
      </c>
      <c r="AO32">
        <f>IFERROR(INDEX(tblTasks[Milestone],ROW()-5),"No")</f>
        <v/>
      </c>
      <c r="AP32">
        <f>IFERROR(INDEX(tblTasks[Task ID],ROW()-5),"")</f>
        <v/>
      </c>
      <c r="AQ32">
        <f>IFERROR(INDEX(tblTasks[Phase],ROW()-5),"")</f>
        <v/>
      </c>
    </row>
    <row r="33">
      <c r="A33" s="9">
        <f>IF($AP33="","",$AP33)</f>
        <v/>
      </c>
      <c r="B33" s="10">
        <f>IF($AP33="","",IF($AO33="Yes","◆ ","")&amp;INDEX(tblTasks[Task Name],ROW()-5))</f>
        <v/>
      </c>
      <c r="C33" s="11">
        <f>IF($AP33="",0,IF($AO33="Yes",IF(C$2=$AK33,"◆",0),IF(AND(C$2&gt;=$AK33,C$2&lt;=$AL33),IF($AM33&gt;=1,2,IF(C$2&lt;$AK33+($AL33-$AK33+1)*$AM33,2,3)),0)))</f>
        <v/>
      </c>
      <c r="D33" s="11">
        <f>IF($AP33="",0,IF($AO33="Yes",IF(D$2=$AK33,"◆",0),IF(AND(D$2&gt;=$AK33,D$2&lt;=$AL33),IF($AM33&gt;=1,2,IF(D$2&lt;$AK33+($AL33-$AK33+1)*$AM33,2,3)),0)))</f>
        <v/>
      </c>
      <c r="E33" s="11">
        <f>IF($AP33="",0,IF($AO33="Yes",IF(E$2=$AK33,"◆",0),IF(AND(E$2&gt;=$AK33,E$2&lt;=$AL33),IF($AM33&gt;=1,2,IF(E$2&lt;$AK33+($AL33-$AK33+1)*$AM33,2,3)),0)))</f>
        <v/>
      </c>
      <c r="F33" s="11">
        <f>IF($AP33="",0,IF($AO33="Yes",IF(F$2=$AK33,"◆",0),IF(AND(F$2&gt;=$AK33,F$2&lt;=$AL33),IF($AM33&gt;=1,2,IF(F$2&lt;$AK33+($AL33-$AK33+1)*$AM33,2,3)),0)))</f>
        <v/>
      </c>
      <c r="G33" s="11">
        <f>IF($AP33="",0,IF($AO33="Yes",IF(G$2=$AK33,"◆",0),IF(AND(G$2&gt;=$AK33,G$2&lt;=$AL33),IF($AM33&gt;=1,2,IF(G$2&lt;$AK33+($AL33-$AK33+1)*$AM33,2,3)),0)))</f>
        <v/>
      </c>
      <c r="H33" s="11">
        <f>IF($AP33="",0,IF($AO33="Yes",IF(H$2=$AK33,"◆",0),IF(AND(H$2&gt;=$AK33,H$2&lt;=$AL33),IF($AM33&gt;=1,2,IF(H$2&lt;$AK33+($AL33-$AK33+1)*$AM33,2,3)),0)))</f>
        <v/>
      </c>
      <c r="I33" s="11">
        <f>IF($AP33="",0,IF($AO33="Yes",IF(I$2=$AK33,"◆",0),IF(AND(I$2&gt;=$AK33,I$2&lt;=$AL33),IF($AM33&gt;=1,2,IF(I$2&lt;$AK33+($AL33-$AK33+1)*$AM33,2,3)),0)))</f>
        <v/>
      </c>
      <c r="J33" s="11">
        <f>IF($AP33="",0,IF($AO33="Yes",IF(J$2=$AK33,"◆",0),IF(AND(J$2&gt;=$AK33,J$2&lt;=$AL33),IF($AM33&gt;=1,2,IF(J$2&lt;$AK33+($AL33-$AK33+1)*$AM33,2,3)),0)))</f>
        <v/>
      </c>
      <c r="K33" s="11">
        <f>IF($AP33="",0,IF($AO33="Yes",IF(K$2=$AK33,"◆",0),IF(AND(K$2&gt;=$AK33,K$2&lt;=$AL33),IF($AM33&gt;=1,2,IF(K$2&lt;$AK33+($AL33-$AK33+1)*$AM33,2,3)),0)))</f>
        <v/>
      </c>
      <c r="L33" s="11">
        <f>IF($AP33="",0,IF($AO33="Yes",IF(L$2=$AK33,"◆",0),IF(AND(L$2&gt;=$AK33,L$2&lt;=$AL33),IF($AM33&gt;=1,2,IF(L$2&lt;$AK33+($AL33-$AK33+1)*$AM33,2,3)),0)))</f>
        <v/>
      </c>
      <c r="M33" s="11">
        <f>IF($AP33="",0,IF($AO33="Yes",IF(M$2=$AK33,"◆",0),IF(AND(M$2&gt;=$AK33,M$2&lt;=$AL33),IF($AM33&gt;=1,2,IF(M$2&lt;$AK33+($AL33-$AK33+1)*$AM33,2,3)),0)))</f>
        <v/>
      </c>
      <c r="N33" s="11">
        <f>IF($AP33="",0,IF($AO33="Yes",IF(N$2=$AK33,"◆",0),IF(AND(N$2&gt;=$AK33,N$2&lt;=$AL33),IF($AM33&gt;=1,2,IF(N$2&lt;$AK33+($AL33-$AK33+1)*$AM33,2,3)),0)))</f>
        <v/>
      </c>
      <c r="O33" s="11">
        <f>IF($AP33="",0,IF($AO33="Yes",IF(O$2=$AK33,"◆",0),IF(AND(O$2&gt;=$AK33,O$2&lt;=$AL33),IF($AM33&gt;=1,2,IF(O$2&lt;$AK33+($AL33-$AK33+1)*$AM33,2,3)),0)))</f>
        <v/>
      </c>
      <c r="P33" s="11">
        <f>IF($AP33="",0,IF($AO33="Yes",IF(P$2=$AK33,"◆",0),IF(AND(P$2&gt;=$AK33,P$2&lt;=$AL33),IF($AM33&gt;=1,2,IF(P$2&lt;$AK33+($AL33-$AK33+1)*$AM33,2,3)),0)))</f>
        <v/>
      </c>
      <c r="Q33" s="11">
        <f>IF($AP33="",0,IF($AO33="Yes",IF(Q$2=$AK33,"◆",0),IF(AND(Q$2&gt;=$AK33,Q$2&lt;=$AL33),IF($AM33&gt;=1,2,IF(Q$2&lt;$AK33+($AL33-$AK33+1)*$AM33,2,3)),0)))</f>
        <v/>
      </c>
      <c r="R33" s="11">
        <f>IF($AP33="",0,IF($AO33="Yes",IF(R$2=$AK33,"◆",0),IF(AND(R$2&gt;=$AK33,R$2&lt;=$AL33),IF($AM33&gt;=1,2,IF(R$2&lt;$AK33+($AL33-$AK33+1)*$AM33,2,3)),0)))</f>
        <v/>
      </c>
      <c r="S33" s="11">
        <f>IF($AP33="",0,IF($AO33="Yes",IF(S$2=$AK33,"◆",0),IF(AND(S$2&gt;=$AK33,S$2&lt;=$AL33),IF($AM33&gt;=1,2,IF(S$2&lt;$AK33+($AL33-$AK33+1)*$AM33,2,3)),0)))</f>
        <v/>
      </c>
      <c r="T33" s="11">
        <f>IF($AP33="",0,IF($AO33="Yes",IF(T$2=$AK33,"◆",0),IF(AND(T$2&gt;=$AK33,T$2&lt;=$AL33),IF($AM33&gt;=1,2,IF(T$2&lt;$AK33+($AL33-$AK33+1)*$AM33,2,3)),0)))</f>
        <v/>
      </c>
      <c r="U33" s="11">
        <f>IF($AP33="",0,IF($AO33="Yes",IF(U$2=$AK33,"◆",0),IF(AND(U$2&gt;=$AK33,U$2&lt;=$AL33),IF($AM33&gt;=1,2,IF(U$2&lt;$AK33+($AL33-$AK33+1)*$AM33,2,3)),0)))</f>
        <v/>
      </c>
      <c r="V33" s="11">
        <f>IF($AP33="",0,IF($AO33="Yes",IF(V$2=$AK33,"◆",0),IF(AND(V$2&gt;=$AK33,V$2&lt;=$AL33),IF($AM33&gt;=1,2,IF(V$2&lt;$AK33+($AL33-$AK33+1)*$AM33,2,3)),0)))</f>
        <v/>
      </c>
      <c r="W33" s="11">
        <f>IF($AP33="",0,IF($AO33="Yes",IF(W$2=$AK33,"◆",0),IF(AND(W$2&gt;=$AK33,W$2&lt;=$AL33),IF($AM33&gt;=1,2,IF(W$2&lt;$AK33+($AL33-$AK33+1)*$AM33,2,3)),0)))</f>
        <v/>
      </c>
      <c r="X33" s="11">
        <f>IF($AP33="",0,IF($AO33="Yes",IF(X$2=$AK33,"◆",0),IF(AND(X$2&gt;=$AK33,X$2&lt;=$AL33),IF($AM33&gt;=1,2,IF(X$2&lt;$AK33+($AL33-$AK33+1)*$AM33,2,3)),0)))</f>
        <v/>
      </c>
      <c r="Y33" s="11">
        <f>IF($AP33="",0,IF($AO33="Yes",IF(Y$2=$AK33,"◆",0),IF(AND(Y$2&gt;=$AK33,Y$2&lt;=$AL33),IF($AM33&gt;=1,2,IF(Y$2&lt;$AK33+($AL33-$AK33+1)*$AM33,2,3)),0)))</f>
        <v/>
      </c>
      <c r="Z33" s="11">
        <f>IF($AP33="",0,IF($AO33="Yes",IF(Z$2=$AK33,"◆",0),IF(AND(Z$2&gt;=$AK33,Z$2&lt;=$AL33),IF($AM33&gt;=1,2,IF(Z$2&lt;$AK33+($AL33-$AK33+1)*$AM33,2,3)),0)))</f>
        <v/>
      </c>
      <c r="AA33" s="11">
        <f>IF($AP33="",0,IF($AO33="Yes",IF(AA$2=$AK33,"◆",0),IF(AND(AA$2&gt;=$AK33,AA$2&lt;=$AL33),IF($AM33&gt;=1,2,IF(AA$2&lt;$AK33+($AL33-$AK33+1)*$AM33,2,3)),0)))</f>
        <v/>
      </c>
      <c r="AB33" s="11">
        <f>IF($AP33="",0,IF($AO33="Yes",IF(AB$2=$AK33,"◆",0),IF(AND(AB$2&gt;=$AK33,AB$2&lt;=$AL33),IF($AM33&gt;=1,2,IF(AB$2&lt;$AK33+($AL33-$AK33+1)*$AM33,2,3)),0)))</f>
        <v/>
      </c>
      <c r="AC33" s="11">
        <f>IF($AP33="",0,IF($AO33="Yes",IF(AC$2=$AK33,"◆",0),IF(AND(AC$2&gt;=$AK33,AC$2&lt;=$AL33),IF($AM33&gt;=1,2,IF(AC$2&lt;$AK33+($AL33-$AK33+1)*$AM33,2,3)),0)))</f>
        <v/>
      </c>
      <c r="AD33" s="11">
        <f>IF($AP33="",0,IF($AO33="Yes",IF(AD$2=$AK33,"◆",0),IF(AND(AD$2&gt;=$AK33,AD$2&lt;=$AL33),IF($AM33&gt;=1,2,IF(AD$2&lt;$AK33+($AL33-$AK33+1)*$AM33,2,3)),0)))</f>
        <v/>
      </c>
      <c r="AE33" s="11">
        <f>IF($AP33="",0,IF($AO33="Yes",IF(AE$2=$AK33,"◆",0),IF(AND(AE$2&gt;=$AK33,AE$2&lt;=$AL33),IF($AM33&gt;=1,2,IF(AE$2&lt;$AK33+($AL33-$AK33+1)*$AM33,2,3)),0)))</f>
        <v/>
      </c>
      <c r="AF33" s="11">
        <f>IF($AP33="",0,IF($AO33="Yes",IF(AF$2=$AK33,"◆",0),IF(AND(AF$2&gt;=$AK33,AF$2&lt;=$AL33),IF($AM33&gt;=1,2,IF(AF$2&lt;$AK33+($AL33-$AK33+1)*$AM33,2,3)),0)))</f>
        <v/>
      </c>
      <c r="AG33" s="11">
        <f>IF($AP33="",0,IF($AO33="Yes",IF(AG$2=$AK33,"◆",0),IF(AND(AG$2&gt;=$AK33,AG$2&lt;=$AL33),IF($AM33&gt;=1,2,IF(AG$2&lt;$AK33+($AL33-$AK33+1)*$AM33,2,3)),0)))</f>
        <v/>
      </c>
      <c r="AH33" s="11">
        <f>IF($AP33="",0,IF($AO33="Yes",IF(AH$2=$AK33,"◆",0),IF(AND(AH$2&gt;=$AK33,AH$2&lt;=$AL33),IF($AM33&gt;=1,2,IF(AH$2&lt;$AK33+($AL33-$AK33+1)*$AM33,2,3)),0)))</f>
        <v/>
      </c>
      <c r="AI33" s="11">
        <f>IF($AP33="",0,IF($AO33="Yes",IF(AI$2=$AK33,"◆",0),IF(AND(AI$2&gt;=$AK33,AI$2&lt;=$AL33),IF($AM33&gt;=1,2,IF(AI$2&lt;$AK33+($AL33-$AK33+1)*$AM33,2,3)),0)))</f>
        <v/>
      </c>
      <c r="AJ33" s="11">
        <f>IF($AP33="",0,IF($AO33="Yes",IF(AJ$2=$AK33,"◆",0),IF(AND(AJ$2&gt;=$AK33,AJ$2&lt;=$AL33),IF($AM33&gt;=1,2,IF(AJ$2&lt;$AK33+($AL33-$AK33+1)*$AM33,2,3)),0)))</f>
        <v/>
      </c>
      <c r="AK33">
        <f>IFERROR(INDEX(tblTasks[Start Date],ROW()-5),"")</f>
        <v/>
      </c>
      <c r="AL33">
        <f>IFERROR(INDEX(tblTasks[End Date],ROW()-5),"")</f>
        <v/>
      </c>
      <c r="AM33">
        <f>IFERROR(INDEX(tblTasks[Progress %],ROW()-5),0)</f>
        <v/>
      </c>
      <c r="AN33">
        <f>IFERROR(INDEX(tblTasks[Status],ROW()-5),"")</f>
        <v/>
      </c>
      <c r="AO33">
        <f>IFERROR(INDEX(tblTasks[Milestone],ROW()-5),"No")</f>
        <v/>
      </c>
      <c r="AP33">
        <f>IFERROR(INDEX(tblTasks[Task ID],ROW()-5),"")</f>
        <v/>
      </c>
      <c r="AQ33">
        <f>IFERROR(INDEX(tblTasks[Phase],ROW()-5),"")</f>
        <v/>
      </c>
    </row>
    <row r="34">
      <c r="A34" s="9">
        <f>IF($AP34="","",$AP34)</f>
        <v/>
      </c>
      <c r="B34" s="10">
        <f>IF($AP34="","",IF($AO34="Yes","◆ ","")&amp;INDEX(tblTasks[Task Name],ROW()-5))</f>
        <v/>
      </c>
      <c r="C34" s="11">
        <f>IF($AP34="",0,IF($AO34="Yes",IF(C$2=$AK34,"◆",0),IF(AND(C$2&gt;=$AK34,C$2&lt;=$AL34),IF($AM34&gt;=1,2,IF(C$2&lt;$AK34+($AL34-$AK34+1)*$AM34,2,3)),0)))</f>
        <v/>
      </c>
      <c r="D34" s="11">
        <f>IF($AP34="",0,IF($AO34="Yes",IF(D$2=$AK34,"◆",0),IF(AND(D$2&gt;=$AK34,D$2&lt;=$AL34),IF($AM34&gt;=1,2,IF(D$2&lt;$AK34+($AL34-$AK34+1)*$AM34,2,3)),0)))</f>
        <v/>
      </c>
      <c r="E34" s="11">
        <f>IF($AP34="",0,IF($AO34="Yes",IF(E$2=$AK34,"◆",0),IF(AND(E$2&gt;=$AK34,E$2&lt;=$AL34),IF($AM34&gt;=1,2,IF(E$2&lt;$AK34+($AL34-$AK34+1)*$AM34,2,3)),0)))</f>
        <v/>
      </c>
      <c r="F34" s="11">
        <f>IF($AP34="",0,IF($AO34="Yes",IF(F$2=$AK34,"◆",0),IF(AND(F$2&gt;=$AK34,F$2&lt;=$AL34),IF($AM34&gt;=1,2,IF(F$2&lt;$AK34+($AL34-$AK34+1)*$AM34,2,3)),0)))</f>
        <v/>
      </c>
      <c r="G34" s="11">
        <f>IF($AP34="",0,IF($AO34="Yes",IF(G$2=$AK34,"◆",0),IF(AND(G$2&gt;=$AK34,G$2&lt;=$AL34),IF($AM34&gt;=1,2,IF(G$2&lt;$AK34+($AL34-$AK34+1)*$AM34,2,3)),0)))</f>
        <v/>
      </c>
      <c r="H34" s="11">
        <f>IF($AP34="",0,IF($AO34="Yes",IF(H$2=$AK34,"◆",0),IF(AND(H$2&gt;=$AK34,H$2&lt;=$AL34),IF($AM34&gt;=1,2,IF(H$2&lt;$AK34+($AL34-$AK34+1)*$AM34,2,3)),0)))</f>
        <v/>
      </c>
      <c r="I34" s="11">
        <f>IF($AP34="",0,IF($AO34="Yes",IF(I$2=$AK34,"◆",0),IF(AND(I$2&gt;=$AK34,I$2&lt;=$AL34),IF($AM34&gt;=1,2,IF(I$2&lt;$AK34+($AL34-$AK34+1)*$AM34,2,3)),0)))</f>
        <v/>
      </c>
      <c r="J34" s="11">
        <f>IF($AP34="",0,IF($AO34="Yes",IF(J$2=$AK34,"◆",0),IF(AND(J$2&gt;=$AK34,J$2&lt;=$AL34),IF($AM34&gt;=1,2,IF(J$2&lt;$AK34+($AL34-$AK34+1)*$AM34,2,3)),0)))</f>
        <v/>
      </c>
      <c r="K34" s="11">
        <f>IF($AP34="",0,IF($AO34="Yes",IF(K$2=$AK34,"◆",0),IF(AND(K$2&gt;=$AK34,K$2&lt;=$AL34),IF($AM34&gt;=1,2,IF(K$2&lt;$AK34+($AL34-$AK34+1)*$AM34,2,3)),0)))</f>
        <v/>
      </c>
      <c r="L34" s="11">
        <f>IF($AP34="",0,IF($AO34="Yes",IF(L$2=$AK34,"◆",0),IF(AND(L$2&gt;=$AK34,L$2&lt;=$AL34),IF($AM34&gt;=1,2,IF(L$2&lt;$AK34+($AL34-$AK34+1)*$AM34,2,3)),0)))</f>
        <v/>
      </c>
      <c r="M34" s="11">
        <f>IF($AP34="",0,IF($AO34="Yes",IF(M$2=$AK34,"◆",0),IF(AND(M$2&gt;=$AK34,M$2&lt;=$AL34),IF($AM34&gt;=1,2,IF(M$2&lt;$AK34+($AL34-$AK34+1)*$AM34,2,3)),0)))</f>
        <v/>
      </c>
      <c r="N34" s="11">
        <f>IF($AP34="",0,IF($AO34="Yes",IF(N$2=$AK34,"◆",0),IF(AND(N$2&gt;=$AK34,N$2&lt;=$AL34),IF($AM34&gt;=1,2,IF(N$2&lt;$AK34+($AL34-$AK34+1)*$AM34,2,3)),0)))</f>
        <v/>
      </c>
      <c r="O34" s="11">
        <f>IF($AP34="",0,IF($AO34="Yes",IF(O$2=$AK34,"◆",0),IF(AND(O$2&gt;=$AK34,O$2&lt;=$AL34),IF($AM34&gt;=1,2,IF(O$2&lt;$AK34+($AL34-$AK34+1)*$AM34,2,3)),0)))</f>
        <v/>
      </c>
      <c r="P34" s="11">
        <f>IF($AP34="",0,IF($AO34="Yes",IF(P$2=$AK34,"◆",0),IF(AND(P$2&gt;=$AK34,P$2&lt;=$AL34),IF($AM34&gt;=1,2,IF(P$2&lt;$AK34+($AL34-$AK34+1)*$AM34,2,3)),0)))</f>
        <v/>
      </c>
      <c r="Q34" s="11">
        <f>IF($AP34="",0,IF($AO34="Yes",IF(Q$2=$AK34,"◆",0),IF(AND(Q$2&gt;=$AK34,Q$2&lt;=$AL34),IF($AM34&gt;=1,2,IF(Q$2&lt;$AK34+($AL34-$AK34+1)*$AM34,2,3)),0)))</f>
        <v/>
      </c>
      <c r="R34" s="11">
        <f>IF($AP34="",0,IF($AO34="Yes",IF(R$2=$AK34,"◆",0),IF(AND(R$2&gt;=$AK34,R$2&lt;=$AL34),IF($AM34&gt;=1,2,IF(R$2&lt;$AK34+($AL34-$AK34+1)*$AM34,2,3)),0)))</f>
        <v/>
      </c>
      <c r="S34" s="11">
        <f>IF($AP34="",0,IF($AO34="Yes",IF(S$2=$AK34,"◆",0),IF(AND(S$2&gt;=$AK34,S$2&lt;=$AL34),IF($AM34&gt;=1,2,IF(S$2&lt;$AK34+($AL34-$AK34+1)*$AM34,2,3)),0)))</f>
        <v/>
      </c>
      <c r="T34" s="11">
        <f>IF($AP34="",0,IF($AO34="Yes",IF(T$2=$AK34,"◆",0),IF(AND(T$2&gt;=$AK34,T$2&lt;=$AL34),IF($AM34&gt;=1,2,IF(T$2&lt;$AK34+($AL34-$AK34+1)*$AM34,2,3)),0)))</f>
        <v/>
      </c>
      <c r="U34" s="11">
        <f>IF($AP34="",0,IF($AO34="Yes",IF(U$2=$AK34,"◆",0),IF(AND(U$2&gt;=$AK34,U$2&lt;=$AL34),IF($AM34&gt;=1,2,IF(U$2&lt;$AK34+($AL34-$AK34+1)*$AM34,2,3)),0)))</f>
        <v/>
      </c>
      <c r="V34" s="11">
        <f>IF($AP34="",0,IF($AO34="Yes",IF(V$2=$AK34,"◆",0),IF(AND(V$2&gt;=$AK34,V$2&lt;=$AL34),IF($AM34&gt;=1,2,IF(V$2&lt;$AK34+($AL34-$AK34+1)*$AM34,2,3)),0)))</f>
        <v/>
      </c>
      <c r="W34" s="11">
        <f>IF($AP34="",0,IF($AO34="Yes",IF(W$2=$AK34,"◆",0),IF(AND(W$2&gt;=$AK34,W$2&lt;=$AL34),IF($AM34&gt;=1,2,IF(W$2&lt;$AK34+($AL34-$AK34+1)*$AM34,2,3)),0)))</f>
        <v/>
      </c>
      <c r="X34" s="11">
        <f>IF($AP34="",0,IF($AO34="Yes",IF(X$2=$AK34,"◆",0),IF(AND(X$2&gt;=$AK34,X$2&lt;=$AL34),IF($AM34&gt;=1,2,IF(X$2&lt;$AK34+($AL34-$AK34+1)*$AM34,2,3)),0)))</f>
        <v/>
      </c>
      <c r="Y34" s="11">
        <f>IF($AP34="",0,IF($AO34="Yes",IF(Y$2=$AK34,"◆",0),IF(AND(Y$2&gt;=$AK34,Y$2&lt;=$AL34),IF($AM34&gt;=1,2,IF(Y$2&lt;$AK34+($AL34-$AK34+1)*$AM34,2,3)),0)))</f>
        <v/>
      </c>
      <c r="Z34" s="11">
        <f>IF($AP34="",0,IF($AO34="Yes",IF(Z$2=$AK34,"◆",0),IF(AND(Z$2&gt;=$AK34,Z$2&lt;=$AL34),IF($AM34&gt;=1,2,IF(Z$2&lt;$AK34+($AL34-$AK34+1)*$AM34,2,3)),0)))</f>
        <v/>
      </c>
      <c r="AA34" s="11">
        <f>IF($AP34="",0,IF($AO34="Yes",IF(AA$2=$AK34,"◆",0),IF(AND(AA$2&gt;=$AK34,AA$2&lt;=$AL34),IF($AM34&gt;=1,2,IF(AA$2&lt;$AK34+($AL34-$AK34+1)*$AM34,2,3)),0)))</f>
        <v/>
      </c>
      <c r="AB34" s="11">
        <f>IF($AP34="",0,IF($AO34="Yes",IF(AB$2=$AK34,"◆",0),IF(AND(AB$2&gt;=$AK34,AB$2&lt;=$AL34),IF($AM34&gt;=1,2,IF(AB$2&lt;$AK34+($AL34-$AK34+1)*$AM34,2,3)),0)))</f>
        <v/>
      </c>
      <c r="AC34" s="11">
        <f>IF($AP34="",0,IF($AO34="Yes",IF(AC$2=$AK34,"◆",0),IF(AND(AC$2&gt;=$AK34,AC$2&lt;=$AL34),IF($AM34&gt;=1,2,IF(AC$2&lt;$AK34+($AL34-$AK34+1)*$AM34,2,3)),0)))</f>
        <v/>
      </c>
      <c r="AD34" s="11">
        <f>IF($AP34="",0,IF($AO34="Yes",IF(AD$2=$AK34,"◆",0),IF(AND(AD$2&gt;=$AK34,AD$2&lt;=$AL34),IF($AM34&gt;=1,2,IF(AD$2&lt;$AK34+($AL34-$AK34+1)*$AM34,2,3)),0)))</f>
        <v/>
      </c>
      <c r="AE34" s="11">
        <f>IF($AP34="",0,IF($AO34="Yes",IF(AE$2=$AK34,"◆",0),IF(AND(AE$2&gt;=$AK34,AE$2&lt;=$AL34),IF($AM34&gt;=1,2,IF(AE$2&lt;$AK34+($AL34-$AK34+1)*$AM34,2,3)),0)))</f>
        <v/>
      </c>
      <c r="AF34" s="11">
        <f>IF($AP34="",0,IF($AO34="Yes",IF(AF$2=$AK34,"◆",0),IF(AND(AF$2&gt;=$AK34,AF$2&lt;=$AL34),IF($AM34&gt;=1,2,IF(AF$2&lt;$AK34+($AL34-$AK34+1)*$AM34,2,3)),0)))</f>
        <v/>
      </c>
      <c r="AG34" s="11">
        <f>IF($AP34="",0,IF($AO34="Yes",IF(AG$2=$AK34,"◆",0),IF(AND(AG$2&gt;=$AK34,AG$2&lt;=$AL34),IF($AM34&gt;=1,2,IF(AG$2&lt;$AK34+($AL34-$AK34+1)*$AM34,2,3)),0)))</f>
        <v/>
      </c>
      <c r="AH34" s="11">
        <f>IF($AP34="",0,IF($AO34="Yes",IF(AH$2=$AK34,"◆",0),IF(AND(AH$2&gt;=$AK34,AH$2&lt;=$AL34),IF($AM34&gt;=1,2,IF(AH$2&lt;$AK34+($AL34-$AK34+1)*$AM34,2,3)),0)))</f>
        <v/>
      </c>
      <c r="AI34" s="11">
        <f>IF($AP34="",0,IF($AO34="Yes",IF(AI$2=$AK34,"◆",0),IF(AND(AI$2&gt;=$AK34,AI$2&lt;=$AL34),IF($AM34&gt;=1,2,IF(AI$2&lt;$AK34+($AL34-$AK34+1)*$AM34,2,3)),0)))</f>
        <v/>
      </c>
      <c r="AJ34" s="11">
        <f>IF($AP34="",0,IF($AO34="Yes",IF(AJ$2=$AK34,"◆",0),IF(AND(AJ$2&gt;=$AK34,AJ$2&lt;=$AL34),IF($AM34&gt;=1,2,IF(AJ$2&lt;$AK34+($AL34-$AK34+1)*$AM34,2,3)),0)))</f>
        <v/>
      </c>
      <c r="AK34">
        <f>IFERROR(INDEX(tblTasks[Start Date],ROW()-5),"")</f>
        <v/>
      </c>
      <c r="AL34">
        <f>IFERROR(INDEX(tblTasks[End Date],ROW()-5),"")</f>
        <v/>
      </c>
      <c r="AM34">
        <f>IFERROR(INDEX(tblTasks[Progress %],ROW()-5),0)</f>
        <v/>
      </c>
      <c r="AN34">
        <f>IFERROR(INDEX(tblTasks[Status],ROW()-5),"")</f>
        <v/>
      </c>
      <c r="AO34">
        <f>IFERROR(INDEX(tblTasks[Milestone],ROW()-5),"No")</f>
        <v/>
      </c>
      <c r="AP34">
        <f>IFERROR(INDEX(tblTasks[Task ID],ROW()-5),"")</f>
        <v/>
      </c>
      <c r="AQ34">
        <f>IFERROR(INDEX(tblTasks[Phase],ROW()-5),"")</f>
        <v/>
      </c>
    </row>
    <row r="35">
      <c r="A35" s="9">
        <f>IF($AP35="","",$AP35)</f>
        <v/>
      </c>
      <c r="B35" s="10">
        <f>IF($AP35="","",IF($AO35="Yes","◆ ","")&amp;INDEX(tblTasks[Task Name],ROW()-5))</f>
        <v/>
      </c>
      <c r="C35" s="11">
        <f>IF($AP35="",0,IF($AO35="Yes",IF(C$2=$AK35,"◆",0),IF(AND(C$2&gt;=$AK35,C$2&lt;=$AL35),IF($AM35&gt;=1,2,IF(C$2&lt;$AK35+($AL35-$AK35+1)*$AM35,2,3)),0)))</f>
        <v/>
      </c>
      <c r="D35" s="11">
        <f>IF($AP35="",0,IF($AO35="Yes",IF(D$2=$AK35,"◆",0),IF(AND(D$2&gt;=$AK35,D$2&lt;=$AL35),IF($AM35&gt;=1,2,IF(D$2&lt;$AK35+($AL35-$AK35+1)*$AM35,2,3)),0)))</f>
        <v/>
      </c>
      <c r="E35" s="11">
        <f>IF($AP35="",0,IF($AO35="Yes",IF(E$2=$AK35,"◆",0),IF(AND(E$2&gt;=$AK35,E$2&lt;=$AL35),IF($AM35&gt;=1,2,IF(E$2&lt;$AK35+($AL35-$AK35+1)*$AM35,2,3)),0)))</f>
        <v/>
      </c>
      <c r="F35" s="11">
        <f>IF($AP35="",0,IF($AO35="Yes",IF(F$2=$AK35,"◆",0),IF(AND(F$2&gt;=$AK35,F$2&lt;=$AL35),IF($AM35&gt;=1,2,IF(F$2&lt;$AK35+($AL35-$AK35+1)*$AM35,2,3)),0)))</f>
        <v/>
      </c>
      <c r="G35" s="11">
        <f>IF($AP35="",0,IF($AO35="Yes",IF(G$2=$AK35,"◆",0),IF(AND(G$2&gt;=$AK35,G$2&lt;=$AL35),IF($AM35&gt;=1,2,IF(G$2&lt;$AK35+($AL35-$AK35+1)*$AM35,2,3)),0)))</f>
        <v/>
      </c>
      <c r="H35" s="11">
        <f>IF($AP35="",0,IF($AO35="Yes",IF(H$2=$AK35,"◆",0),IF(AND(H$2&gt;=$AK35,H$2&lt;=$AL35),IF($AM35&gt;=1,2,IF(H$2&lt;$AK35+($AL35-$AK35+1)*$AM35,2,3)),0)))</f>
        <v/>
      </c>
      <c r="I35" s="11">
        <f>IF($AP35="",0,IF($AO35="Yes",IF(I$2=$AK35,"◆",0),IF(AND(I$2&gt;=$AK35,I$2&lt;=$AL35),IF($AM35&gt;=1,2,IF(I$2&lt;$AK35+($AL35-$AK35+1)*$AM35,2,3)),0)))</f>
        <v/>
      </c>
      <c r="J35" s="11">
        <f>IF($AP35="",0,IF($AO35="Yes",IF(J$2=$AK35,"◆",0),IF(AND(J$2&gt;=$AK35,J$2&lt;=$AL35),IF($AM35&gt;=1,2,IF(J$2&lt;$AK35+($AL35-$AK35+1)*$AM35,2,3)),0)))</f>
        <v/>
      </c>
      <c r="K35" s="11">
        <f>IF($AP35="",0,IF($AO35="Yes",IF(K$2=$AK35,"◆",0),IF(AND(K$2&gt;=$AK35,K$2&lt;=$AL35),IF($AM35&gt;=1,2,IF(K$2&lt;$AK35+($AL35-$AK35+1)*$AM35,2,3)),0)))</f>
        <v/>
      </c>
      <c r="L35" s="11">
        <f>IF($AP35="",0,IF($AO35="Yes",IF(L$2=$AK35,"◆",0),IF(AND(L$2&gt;=$AK35,L$2&lt;=$AL35),IF($AM35&gt;=1,2,IF(L$2&lt;$AK35+($AL35-$AK35+1)*$AM35,2,3)),0)))</f>
        <v/>
      </c>
      <c r="M35" s="11">
        <f>IF($AP35="",0,IF($AO35="Yes",IF(M$2=$AK35,"◆",0),IF(AND(M$2&gt;=$AK35,M$2&lt;=$AL35),IF($AM35&gt;=1,2,IF(M$2&lt;$AK35+($AL35-$AK35+1)*$AM35,2,3)),0)))</f>
        <v/>
      </c>
      <c r="N35" s="11">
        <f>IF($AP35="",0,IF($AO35="Yes",IF(N$2=$AK35,"◆",0),IF(AND(N$2&gt;=$AK35,N$2&lt;=$AL35),IF($AM35&gt;=1,2,IF(N$2&lt;$AK35+($AL35-$AK35+1)*$AM35,2,3)),0)))</f>
        <v/>
      </c>
      <c r="O35" s="11">
        <f>IF($AP35="",0,IF($AO35="Yes",IF(O$2=$AK35,"◆",0),IF(AND(O$2&gt;=$AK35,O$2&lt;=$AL35),IF($AM35&gt;=1,2,IF(O$2&lt;$AK35+($AL35-$AK35+1)*$AM35,2,3)),0)))</f>
        <v/>
      </c>
      <c r="P35" s="11">
        <f>IF($AP35="",0,IF($AO35="Yes",IF(P$2=$AK35,"◆",0),IF(AND(P$2&gt;=$AK35,P$2&lt;=$AL35),IF($AM35&gt;=1,2,IF(P$2&lt;$AK35+($AL35-$AK35+1)*$AM35,2,3)),0)))</f>
        <v/>
      </c>
      <c r="Q35" s="11">
        <f>IF($AP35="",0,IF($AO35="Yes",IF(Q$2=$AK35,"◆",0),IF(AND(Q$2&gt;=$AK35,Q$2&lt;=$AL35),IF($AM35&gt;=1,2,IF(Q$2&lt;$AK35+($AL35-$AK35+1)*$AM35,2,3)),0)))</f>
        <v/>
      </c>
      <c r="R35" s="11">
        <f>IF($AP35="",0,IF($AO35="Yes",IF(R$2=$AK35,"◆",0),IF(AND(R$2&gt;=$AK35,R$2&lt;=$AL35),IF($AM35&gt;=1,2,IF(R$2&lt;$AK35+($AL35-$AK35+1)*$AM35,2,3)),0)))</f>
        <v/>
      </c>
      <c r="S35" s="11">
        <f>IF($AP35="",0,IF($AO35="Yes",IF(S$2=$AK35,"◆",0),IF(AND(S$2&gt;=$AK35,S$2&lt;=$AL35),IF($AM35&gt;=1,2,IF(S$2&lt;$AK35+($AL35-$AK35+1)*$AM35,2,3)),0)))</f>
        <v/>
      </c>
      <c r="T35" s="11">
        <f>IF($AP35="",0,IF($AO35="Yes",IF(T$2=$AK35,"◆",0),IF(AND(T$2&gt;=$AK35,T$2&lt;=$AL35),IF($AM35&gt;=1,2,IF(T$2&lt;$AK35+($AL35-$AK35+1)*$AM35,2,3)),0)))</f>
        <v/>
      </c>
      <c r="U35" s="11">
        <f>IF($AP35="",0,IF($AO35="Yes",IF(U$2=$AK35,"◆",0),IF(AND(U$2&gt;=$AK35,U$2&lt;=$AL35),IF($AM35&gt;=1,2,IF(U$2&lt;$AK35+($AL35-$AK35+1)*$AM35,2,3)),0)))</f>
        <v/>
      </c>
      <c r="V35" s="11">
        <f>IF($AP35="",0,IF($AO35="Yes",IF(V$2=$AK35,"◆",0),IF(AND(V$2&gt;=$AK35,V$2&lt;=$AL35),IF($AM35&gt;=1,2,IF(V$2&lt;$AK35+($AL35-$AK35+1)*$AM35,2,3)),0)))</f>
        <v/>
      </c>
      <c r="W35" s="11">
        <f>IF($AP35="",0,IF($AO35="Yes",IF(W$2=$AK35,"◆",0),IF(AND(W$2&gt;=$AK35,W$2&lt;=$AL35),IF($AM35&gt;=1,2,IF(W$2&lt;$AK35+($AL35-$AK35+1)*$AM35,2,3)),0)))</f>
        <v/>
      </c>
      <c r="X35" s="11">
        <f>IF($AP35="",0,IF($AO35="Yes",IF(X$2=$AK35,"◆",0),IF(AND(X$2&gt;=$AK35,X$2&lt;=$AL35),IF($AM35&gt;=1,2,IF(X$2&lt;$AK35+($AL35-$AK35+1)*$AM35,2,3)),0)))</f>
        <v/>
      </c>
      <c r="Y35" s="11">
        <f>IF($AP35="",0,IF($AO35="Yes",IF(Y$2=$AK35,"◆",0),IF(AND(Y$2&gt;=$AK35,Y$2&lt;=$AL35),IF($AM35&gt;=1,2,IF(Y$2&lt;$AK35+($AL35-$AK35+1)*$AM35,2,3)),0)))</f>
        <v/>
      </c>
      <c r="Z35" s="11">
        <f>IF($AP35="",0,IF($AO35="Yes",IF(Z$2=$AK35,"◆",0),IF(AND(Z$2&gt;=$AK35,Z$2&lt;=$AL35),IF($AM35&gt;=1,2,IF(Z$2&lt;$AK35+($AL35-$AK35+1)*$AM35,2,3)),0)))</f>
        <v/>
      </c>
      <c r="AA35" s="11">
        <f>IF($AP35="",0,IF($AO35="Yes",IF(AA$2=$AK35,"◆",0),IF(AND(AA$2&gt;=$AK35,AA$2&lt;=$AL35),IF($AM35&gt;=1,2,IF(AA$2&lt;$AK35+($AL35-$AK35+1)*$AM35,2,3)),0)))</f>
        <v/>
      </c>
      <c r="AB35" s="11">
        <f>IF($AP35="",0,IF($AO35="Yes",IF(AB$2=$AK35,"◆",0),IF(AND(AB$2&gt;=$AK35,AB$2&lt;=$AL35),IF($AM35&gt;=1,2,IF(AB$2&lt;$AK35+($AL35-$AK35+1)*$AM35,2,3)),0)))</f>
        <v/>
      </c>
      <c r="AC35" s="11">
        <f>IF($AP35="",0,IF($AO35="Yes",IF(AC$2=$AK35,"◆",0),IF(AND(AC$2&gt;=$AK35,AC$2&lt;=$AL35),IF($AM35&gt;=1,2,IF(AC$2&lt;$AK35+($AL35-$AK35+1)*$AM35,2,3)),0)))</f>
        <v/>
      </c>
      <c r="AD35" s="11">
        <f>IF($AP35="",0,IF($AO35="Yes",IF(AD$2=$AK35,"◆",0),IF(AND(AD$2&gt;=$AK35,AD$2&lt;=$AL35),IF($AM35&gt;=1,2,IF(AD$2&lt;$AK35+($AL35-$AK35+1)*$AM35,2,3)),0)))</f>
        <v/>
      </c>
      <c r="AE35" s="11">
        <f>IF($AP35="",0,IF($AO35="Yes",IF(AE$2=$AK35,"◆",0),IF(AND(AE$2&gt;=$AK35,AE$2&lt;=$AL35),IF($AM35&gt;=1,2,IF(AE$2&lt;$AK35+($AL35-$AK35+1)*$AM35,2,3)),0)))</f>
        <v/>
      </c>
      <c r="AF35" s="11">
        <f>IF($AP35="",0,IF($AO35="Yes",IF(AF$2=$AK35,"◆",0),IF(AND(AF$2&gt;=$AK35,AF$2&lt;=$AL35),IF($AM35&gt;=1,2,IF(AF$2&lt;$AK35+($AL35-$AK35+1)*$AM35,2,3)),0)))</f>
        <v/>
      </c>
      <c r="AG35" s="11">
        <f>IF($AP35="",0,IF($AO35="Yes",IF(AG$2=$AK35,"◆",0),IF(AND(AG$2&gt;=$AK35,AG$2&lt;=$AL35),IF($AM35&gt;=1,2,IF(AG$2&lt;$AK35+($AL35-$AK35+1)*$AM35,2,3)),0)))</f>
        <v/>
      </c>
      <c r="AH35" s="11">
        <f>IF($AP35="",0,IF($AO35="Yes",IF(AH$2=$AK35,"◆",0),IF(AND(AH$2&gt;=$AK35,AH$2&lt;=$AL35),IF($AM35&gt;=1,2,IF(AH$2&lt;$AK35+($AL35-$AK35+1)*$AM35,2,3)),0)))</f>
        <v/>
      </c>
      <c r="AI35" s="11">
        <f>IF($AP35="",0,IF($AO35="Yes",IF(AI$2=$AK35,"◆",0),IF(AND(AI$2&gt;=$AK35,AI$2&lt;=$AL35),IF($AM35&gt;=1,2,IF(AI$2&lt;$AK35+($AL35-$AK35+1)*$AM35,2,3)),0)))</f>
        <v/>
      </c>
      <c r="AJ35" s="11">
        <f>IF($AP35="",0,IF($AO35="Yes",IF(AJ$2=$AK35,"◆",0),IF(AND(AJ$2&gt;=$AK35,AJ$2&lt;=$AL35),IF($AM35&gt;=1,2,IF(AJ$2&lt;$AK35+($AL35-$AK35+1)*$AM35,2,3)),0)))</f>
        <v/>
      </c>
      <c r="AK35">
        <f>IFERROR(INDEX(tblTasks[Start Date],ROW()-5),"")</f>
        <v/>
      </c>
      <c r="AL35">
        <f>IFERROR(INDEX(tblTasks[End Date],ROW()-5),"")</f>
        <v/>
      </c>
      <c r="AM35">
        <f>IFERROR(INDEX(tblTasks[Progress %],ROW()-5),0)</f>
        <v/>
      </c>
      <c r="AN35">
        <f>IFERROR(INDEX(tblTasks[Status],ROW()-5),"")</f>
        <v/>
      </c>
      <c r="AO35">
        <f>IFERROR(INDEX(tblTasks[Milestone],ROW()-5),"No")</f>
        <v/>
      </c>
      <c r="AP35">
        <f>IFERROR(INDEX(tblTasks[Task ID],ROW()-5),"")</f>
        <v/>
      </c>
      <c r="AQ35">
        <f>IFERROR(INDEX(tblTasks[Phase],ROW()-5),"")</f>
        <v/>
      </c>
    </row>
    <row r="36">
      <c r="A36" s="9">
        <f>IF($AP36="","",$AP36)</f>
        <v/>
      </c>
      <c r="B36" s="10">
        <f>IF($AP36="","",IF($AO36="Yes","◆ ","")&amp;INDEX(tblTasks[Task Name],ROW()-5))</f>
        <v/>
      </c>
      <c r="C36" s="11">
        <f>IF($AP36="",0,IF($AO36="Yes",IF(C$2=$AK36,"◆",0),IF(AND(C$2&gt;=$AK36,C$2&lt;=$AL36),IF($AM36&gt;=1,2,IF(C$2&lt;$AK36+($AL36-$AK36+1)*$AM36,2,3)),0)))</f>
        <v/>
      </c>
      <c r="D36" s="11">
        <f>IF($AP36="",0,IF($AO36="Yes",IF(D$2=$AK36,"◆",0),IF(AND(D$2&gt;=$AK36,D$2&lt;=$AL36),IF($AM36&gt;=1,2,IF(D$2&lt;$AK36+($AL36-$AK36+1)*$AM36,2,3)),0)))</f>
        <v/>
      </c>
      <c r="E36" s="11">
        <f>IF($AP36="",0,IF($AO36="Yes",IF(E$2=$AK36,"◆",0),IF(AND(E$2&gt;=$AK36,E$2&lt;=$AL36),IF($AM36&gt;=1,2,IF(E$2&lt;$AK36+($AL36-$AK36+1)*$AM36,2,3)),0)))</f>
        <v/>
      </c>
      <c r="F36" s="11">
        <f>IF($AP36="",0,IF($AO36="Yes",IF(F$2=$AK36,"◆",0),IF(AND(F$2&gt;=$AK36,F$2&lt;=$AL36),IF($AM36&gt;=1,2,IF(F$2&lt;$AK36+($AL36-$AK36+1)*$AM36,2,3)),0)))</f>
        <v/>
      </c>
      <c r="G36" s="11">
        <f>IF($AP36="",0,IF($AO36="Yes",IF(G$2=$AK36,"◆",0),IF(AND(G$2&gt;=$AK36,G$2&lt;=$AL36),IF($AM36&gt;=1,2,IF(G$2&lt;$AK36+($AL36-$AK36+1)*$AM36,2,3)),0)))</f>
        <v/>
      </c>
      <c r="H36" s="11">
        <f>IF($AP36="",0,IF($AO36="Yes",IF(H$2=$AK36,"◆",0),IF(AND(H$2&gt;=$AK36,H$2&lt;=$AL36),IF($AM36&gt;=1,2,IF(H$2&lt;$AK36+($AL36-$AK36+1)*$AM36,2,3)),0)))</f>
        <v/>
      </c>
      <c r="I36" s="11">
        <f>IF($AP36="",0,IF($AO36="Yes",IF(I$2=$AK36,"◆",0),IF(AND(I$2&gt;=$AK36,I$2&lt;=$AL36),IF($AM36&gt;=1,2,IF(I$2&lt;$AK36+($AL36-$AK36+1)*$AM36,2,3)),0)))</f>
        <v/>
      </c>
      <c r="J36" s="11">
        <f>IF($AP36="",0,IF($AO36="Yes",IF(J$2=$AK36,"◆",0),IF(AND(J$2&gt;=$AK36,J$2&lt;=$AL36),IF($AM36&gt;=1,2,IF(J$2&lt;$AK36+($AL36-$AK36+1)*$AM36,2,3)),0)))</f>
        <v/>
      </c>
      <c r="K36" s="11">
        <f>IF($AP36="",0,IF($AO36="Yes",IF(K$2=$AK36,"◆",0),IF(AND(K$2&gt;=$AK36,K$2&lt;=$AL36),IF($AM36&gt;=1,2,IF(K$2&lt;$AK36+($AL36-$AK36+1)*$AM36,2,3)),0)))</f>
        <v/>
      </c>
      <c r="L36" s="11">
        <f>IF($AP36="",0,IF($AO36="Yes",IF(L$2=$AK36,"◆",0),IF(AND(L$2&gt;=$AK36,L$2&lt;=$AL36),IF($AM36&gt;=1,2,IF(L$2&lt;$AK36+($AL36-$AK36+1)*$AM36,2,3)),0)))</f>
        <v/>
      </c>
      <c r="M36" s="11">
        <f>IF($AP36="",0,IF($AO36="Yes",IF(M$2=$AK36,"◆",0),IF(AND(M$2&gt;=$AK36,M$2&lt;=$AL36),IF($AM36&gt;=1,2,IF(M$2&lt;$AK36+($AL36-$AK36+1)*$AM36,2,3)),0)))</f>
        <v/>
      </c>
      <c r="N36" s="11">
        <f>IF($AP36="",0,IF($AO36="Yes",IF(N$2=$AK36,"◆",0),IF(AND(N$2&gt;=$AK36,N$2&lt;=$AL36),IF($AM36&gt;=1,2,IF(N$2&lt;$AK36+($AL36-$AK36+1)*$AM36,2,3)),0)))</f>
        <v/>
      </c>
      <c r="O36" s="11">
        <f>IF($AP36="",0,IF($AO36="Yes",IF(O$2=$AK36,"◆",0),IF(AND(O$2&gt;=$AK36,O$2&lt;=$AL36),IF($AM36&gt;=1,2,IF(O$2&lt;$AK36+($AL36-$AK36+1)*$AM36,2,3)),0)))</f>
        <v/>
      </c>
      <c r="P36" s="11">
        <f>IF($AP36="",0,IF($AO36="Yes",IF(P$2=$AK36,"◆",0),IF(AND(P$2&gt;=$AK36,P$2&lt;=$AL36),IF($AM36&gt;=1,2,IF(P$2&lt;$AK36+($AL36-$AK36+1)*$AM36,2,3)),0)))</f>
        <v/>
      </c>
      <c r="Q36" s="11">
        <f>IF($AP36="",0,IF($AO36="Yes",IF(Q$2=$AK36,"◆",0),IF(AND(Q$2&gt;=$AK36,Q$2&lt;=$AL36),IF($AM36&gt;=1,2,IF(Q$2&lt;$AK36+($AL36-$AK36+1)*$AM36,2,3)),0)))</f>
        <v/>
      </c>
      <c r="R36" s="11">
        <f>IF($AP36="",0,IF($AO36="Yes",IF(R$2=$AK36,"◆",0),IF(AND(R$2&gt;=$AK36,R$2&lt;=$AL36),IF($AM36&gt;=1,2,IF(R$2&lt;$AK36+($AL36-$AK36+1)*$AM36,2,3)),0)))</f>
        <v/>
      </c>
      <c r="S36" s="11">
        <f>IF($AP36="",0,IF($AO36="Yes",IF(S$2=$AK36,"◆",0),IF(AND(S$2&gt;=$AK36,S$2&lt;=$AL36),IF($AM36&gt;=1,2,IF(S$2&lt;$AK36+($AL36-$AK36+1)*$AM36,2,3)),0)))</f>
        <v/>
      </c>
      <c r="T36" s="11">
        <f>IF($AP36="",0,IF($AO36="Yes",IF(T$2=$AK36,"◆",0),IF(AND(T$2&gt;=$AK36,T$2&lt;=$AL36),IF($AM36&gt;=1,2,IF(T$2&lt;$AK36+($AL36-$AK36+1)*$AM36,2,3)),0)))</f>
        <v/>
      </c>
      <c r="U36" s="11">
        <f>IF($AP36="",0,IF($AO36="Yes",IF(U$2=$AK36,"◆",0),IF(AND(U$2&gt;=$AK36,U$2&lt;=$AL36),IF($AM36&gt;=1,2,IF(U$2&lt;$AK36+($AL36-$AK36+1)*$AM36,2,3)),0)))</f>
        <v/>
      </c>
      <c r="V36" s="11">
        <f>IF($AP36="",0,IF($AO36="Yes",IF(V$2=$AK36,"◆",0),IF(AND(V$2&gt;=$AK36,V$2&lt;=$AL36),IF($AM36&gt;=1,2,IF(V$2&lt;$AK36+($AL36-$AK36+1)*$AM36,2,3)),0)))</f>
        <v/>
      </c>
      <c r="W36" s="11">
        <f>IF($AP36="",0,IF($AO36="Yes",IF(W$2=$AK36,"◆",0),IF(AND(W$2&gt;=$AK36,W$2&lt;=$AL36),IF($AM36&gt;=1,2,IF(W$2&lt;$AK36+($AL36-$AK36+1)*$AM36,2,3)),0)))</f>
        <v/>
      </c>
      <c r="X36" s="11">
        <f>IF($AP36="",0,IF($AO36="Yes",IF(X$2=$AK36,"◆",0),IF(AND(X$2&gt;=$AK36,X$2&lt;=$AL36),IF($AM36&gt;=1,2,IF(X$2&lt;$AK36+($AL36-$AK36+1)*$AM36,2,3)),0)))</f>
        <v/>
      </c>
      <c r="Y36" s="11">
        <f>IF($AP36="",0,IF($AO36="Yes",IF(Y$2=$AK36,"◆",0),IF(AND(Y$2&gt;=$AK36,Y$2&lt;=$AL36),IF($AM36&gt;=1,2,IF(Y$2&lt;$AK36+($AL36-$AK36+1)*$AM36,2,3)),0)))</f>
        <v/>
      </c>
      <c r="Z36" s="11">
        <f>IF($AP36="",0,IF($AO36="Yes",IF(Z$2=$AK36,"◆",0),IF(AND(Z$2&gt;=$AK36,Z$2&lt;=$AL36),IF($AM36&gt;=1,2,IF(Z$2&lt;$AK36+($AL36-$AK36+1)*$AM36,2,3)),0)))</f>
        <v/>
      </c>
      <c r="AA36" s="11">
        <f>IF($AP36="",0,IF($AO36="Yes",IF(AA$2=$AK36,"◆",0),IF(AND(AA$2&gt;=$AK36,AA$2&lt;=$AL36),IF($AM36&gt;=1,2,IF(AA$2&lt;$AK36+($AL36-$AK36+1)*$AM36,2,3)),0)))</f>
        <v/>
      </c>
      <c r="AB36" s="11">
        <f>IF($AP36="",0,IF($AO36="Yes",IF(AB$2=$AK36,"◆",0),IF(AND(AB$2&gt;=$AK36,AB$2&lt;=$AL36),IF($AM36&gt;=1,2,IF(AB$2&lt;$AK36+($AL36-$AK36+1)*$AM36,2,3)),0)))</f>
        <v/>
      </c>
      <c r="AC36" s="11">
        <f>IF($AP36="",0,IF($AO36="Yes",IF(AC$2=$AK36,"◆",0),IF(AND(AC$2&gt;=$AK36,AC$2&lt;=$AL36),IF($AM36&gt;=1,2,IF(AC$2&lt;$AK36+($AL36-$AK36+1)*$AM36,2,3)),0)))</f>
        <v/>
      </c>
      <c r="AD36" s="11">
        <f>IF($AP36="",0,IF($AO36="Yes",IF(AD$2=$AK36,"◆",0),IF(AND(AD$2&gt;=$AK36,AD$2&lt;=$AL36),IF($AM36&gt;=1,2,IF(AD$2&lt;$AK36+($AL36-$AK36+1)*$AM36,2,3)),0)))</f>
        <v/>
      </c>
      <c r="AE36" s="11">
        <f>IF($AP36="",0,IF($AO36="Yes",IF(AE$2=$AK36,"◆",0),IF(AND(AE$2&gt;=$AK36,AE$2&lt;=$AL36),IF($AM36&gt;=1,2,IF(AE$2&lt;$AK36+($AL36-$AK36+1)*$AM36,2,3)),0)))</f>
        <v/>
      </c>
      <c r="AF36" s="11">
        <f>IF($AP36="",0,IF($AO36="Yes",IF(AF$2=$AK36,"◆",0),IF(AND(AF$2&gt;=$AK36,AF$2&lt;=$AL36),IF($AM36&gt;=1,2,IF(AF$2&lt;$AK36+($AL36-$AK36+1)*$AM36,2,3)),0)))</f>
        <v/>
      </c>
      <c r="AG36" s="11">
        <f>IF($AP36="",0,IF($AO36="Yes",IF(AG$2=$AK36,"◆",0),IF(AND(AG$2&gt;=$AK36,AG$2&lt;=$AL36),IF($AM36&gt;=1,2,IF(AG$2&lt;$AK36+($AL36-$AK36+1)*$AM36,2,3)),0)))</f>
        <v/>
      </c>
      <c r="AH36" s="11">
        <f>IF($AP36="",0,IF($AO36="Yes",IF(AH$2=$AK36,"◆",0),IF(AND(AH$2&gt;=$AK36,AH$2&lt;=$AL36),IF($AM36&gt;=1,2,IF(AH$2&lt;$AK36+($AL36-$AK36+1)*$AM36,2,3)),0)))</f>
        <v/>
      </c>
      <c r="AI36" s="11">
        <f>IF($AP36="",0,IF($AO36="Yes",IF(AI$2=$AK36,"◆",0),IF(AND(AI$2&gt;=$AK36,AI$2&lt;=$AL36),IF($AM36&gt;=1,2,IF(AI$2&lt;$AK36+($AL36-$AK36+1)*$AM36,2,3)),0)))</f>
        <v/>
      </c>
      <c r="AJ36" s="11">
        <f>IF($AP36="",0,IF($AO36="Yes",IF(AJ$2=$AK36,"◆",0),IF(AND(AJ$2&gt;=$AK36,AJ$2&lt;=$AL36),IF($AM36&gt;=1,2,IF(AJ$2&lt;$AK36+($AL36-$AK36+1)*$AM36,2,3)),0)))</f>
        <v/>
      </c>
      <c r="AK36">
        <f>IFERROR(INDEX(tblTasks[Start Date],ROW()-5),"")</f>
        <v/>
      </c>
      <c r="AL36">
        <f>IFERROR(INDEX(tblTasks[End Date],ROW()-5),"")</f>
        <v/>
      </c>
      <c r="AM36">
        <f>IFERROR(INDEX(tblTasks[Progress %],ROW()-5),0)</f>
        <v/>
      </c>
      <c r="AN36">
        <f>IFERROR(INDEX(tblTasks[Status],ROW()-5),"")</f>
        <v/>
      </c>
      <c r="AO36">
        <f>IFERROR(INDEX(tblTasks[Milestone],ROW()-5),"No")</f>
        <v/>
      </c>
      <c r="AP36">
        <f>IFERROR(INDEX(tblTasks[Task ID],ROW()-5),"")</f>
        <v/>
      </c>
      <c r="AQ36">
        <f>IFERROR(INDEX(tblTasks[Phase],ROW()-5),"")</f>
        <v/>
      </c>
    </row>
    <row r="37">
      <c r="A37" s="9">
        <f>IF($AP37="","",$AP37)</f>
        <v/>
      </c>
      <c r="B37" s="10">
        <f>IF($AP37="","",IF($AO37="Yes","◆ ","")&amp;INDEX(tblTasks[Task Name],ROW()-5))</f>
        <v/>
      </c>
      <c r="C37" s="11">
        <f>IF($AP37="",0,IF($AO37="Yes",IF(C$2=$AK37,"◆",0),IF(AND(C$2&gt;=$AK37,C$2&lt;=$AL37),IF($AM37&gt;=1,2,IF(C$2&lt;$AK37+($AL37-$AK37+1)*$AM37,2,3)),0)))</f>
        <v/>
      </c>
      <c r="D37" s="11">
        <f>IF($AP37="",0,IF($AO37="Yes",IF(D$2=$AK37,"◆",0),IF(AND(D$2&gt;=$AK37,D$2&lt;=$AL37),IF($AM37&gt;=1,2,IF(D$2&lt;$AK37+($AL37-$AK37+1)*$AM37,2,3)),0)))</f>
        <v/>
      </c>
      <c r="E37" s="11">
        <f>IF($AP37="",0,IF($AO37="Yes",IF(E$2=$AK37,"◆",0),IF(AND(E$2&gt;=$AK37,E$2&lt;=$AL37),IF($AM37&gt;=1,2,IF(E$2&lt;$AK37+($AL37-$AK37+1)*$AM37,2,3)),0)))</f>
        <v/>
      </c>
      <c r="F37" s="11">
        <f>IF($AP37="",0,IF($AO37="Yes",IF(F$2=$AK37,"◆",0),IF(AND(F$2&gt;=$AK37,F$2&lt;=$AL37),IF($AM37&gt;=1,2,IF(F$2&lt;$AK37+($AL37-$AK37+1)*$AM37,2,3)),0)))</f>
        <v/>
      </c>
      <c r="G37" s="11">
        <f>IF($AP37="",0,IF($AO37="Yes",IF(G$2=$AK37,"◆",0),IF(AND(G$2&gt;=$AK37,G$2&lt;=$AL37),IF($AM37&gt;=1,2,IF(G$2&lt;$AK37+($AL37-$AK37+1)*$AM37,2,3)),0)))</f>
        <v/>
      </c>
      <c r="H37" s="11">
        <f>IF($AP37="",0,IF($AO37="Yes",IF(H$2=$AK37,"◆",0),IF(AND(H$2&gt;=$AK37,H$2&lt;=$AL37),IF($AM37&gt;=1,2,IF(H$2&lt;$AK37+($AL37-$AK37+1)*$AM37,2,3)),0)))</f>
        <v/>
      </c>
      <c r="I37" s="11">
        <f>IF($AP37="",0,IF($AO37="Yes",IF(I$2=$AK37,"◆",0),IF(AND(I$2&gt;=$AK37,I$2&lt;=$AL37),IF($AM37&gt;=1,2,IF(I$2&lt;$AK37+($AL37-$AK37+1)*$AM37,2,3)),0)))</f>
        <v/>
      </c>
      <c r="J37" s="11">
        <f>IF($AP37="",0,IF($AO37="Yes",IF(J$2=$AK37,"◆",0),IF(AND(J$2&gt;=$AK37,J$2&lt;=$AL37),IF($AM37&gt;=1,2,IF(J$2&lt;$AK37+($AL37-$AK37+1)*$AM37,2,3)),0)))</f>
        <v/>
      </c>
      <c r="K37" s="11">
        <f>IF($AP37="",0,IF($AO37="Yes",IF(K$2=$AK37,"◆",0),IF(AND(K$2&gt;=$AK37,K$2&lt;=$AL37),IF($AM37&gt;=1,2,IF(K$2&lt;$AK37+($AL37-$AK37+1)*$AM37,2,3)),0)))</f>
        <v/>
      </c>
      <c r="L37" s="11">
        <f>IF($AP37="",0,IF($AO37="Yes",IF(L$2=$AK37,"◆",0),IF(AND(L$2&gt;=$AK37,L$2&lt;=$AL37),IF($AM37&gt;=1,2,IF(L$2&lt;$AK37+($AL37-$AK37+1)*$AM37,2,3)),0)))</f>
        <v/>
      </c>
      <c r="M37" s="11">
        <f>IF($AP37="",0,IF($AO37="Yes",IF(M$2=$AK37,"◆",0),IF(AND(M$2&gt;=$AK37,M$2&lt;=$AL37),IF($AM37&gt;=1,2,IF(M$2&lt;$AK37+($AL37-$AK37+1)*$AM37,2,3)),0)))</f>
        <v/>
      </c>
      <c r="N37" s="11">
        <f>IF($AP37="",0,IF($AO37="Yes",IF(N$2=$AK37,"◆",0),IF(AND(N$2&gt;=$AK37,N$2&lt;=$AL37),IF($AM37&gt;=1,2,IF(N$2&lt;$AK37+($AL37-$AK37+1)*$AM37,2,3)),0)))</f>
        <v/>
      </c>
      <c r="O37" s="11">
        <f>IF($AP37="",0,IF($AO37="Yes",IF(O$2=$AK37,"◆",0),IF(AND(O$2&gt;=$AK37,O$2&lt;=$AL37),IF($AM37&gt;=1,2,IF(O$2&lt;$AK37+($AL37-$AK37+1)*$AM37,2,3)),0)))</f>
        <v/>
      </c>
      <c r="P37" s="11">
        <f>IF($AP37="",0,IF($AO37="Yes",IF(P$2=$AK37,"◆",0),IF(AND(P$2&gt;=$AK37,P$2&lt;=$AL37),IF($AM37&gt;=1,2,IF(P$2&lt;$AK37+($AL37-$AK37+1)*$AM37,2,3)),0)))</f>
        <v/>
      </c>
      <c r="Q37" s="11">
        <f>IF($AP37="",0,IF($AO37="Yes",IF(Q$2=$AK37,"◆",0),IF(AND(Q$2&gt;=$AK37,Q$2&lt;=$AL37),IF($AM37&gt;=1,2,IF(Q$2&lt;$AK37+($AL37-$AK37+1)*$AM37,2,3)),0)))</f>
        <v/>
      </c>
      <c r="R37" s="11">
        <f>IF($AP37="",0,IF($AO37="Yes",IF(R$2=$AK37,"◆",0),IF(AND(R$2&gt;=$AK37,R$2&lt;=$AL37),IF($AM37&gt;=1,2,IF(R$2&lt;$AK37+($AL37-$AK37+1)*$AM37,2,3)),0)))</f>
        <v/>
      </c>
      <c r="S37" s="11">
        <f>IF($AP37="",0,IF($AO37="Yes",IF(S$2=$AK37,"◆",0),IF(AND(S$2&gt;=$AK37,S$2&lt;=$AL37),IF($AM37&gt;=1,2,IF(S$2&lt;$AK37+($AL37-$AK37+1)*$AM37,2,3)),0)))</f>
        <v/>
      </c>
      <c r="T37" s="11">
        <f>IF($AP37="",0,IF($AO37="Yes",IF(T$2=$AK37,"◆",0),IF(AND(T$2&gt;=$AK37,T$2&lt;=$AL37),IF($AM37&gt;=1,2,IF(T$2&lt;$AK37+($AL37-$AK37+1)*$AM37,2,3)),0)))</f>
        <v/>
      </c>
      <c r="U37" s="11">
        <f>IF($AP37="",0,IF($AO37="Yes",IF(U$2=$AK37,"◆",0),IF(AND(U$2&gt;=$AK37,U$2&lt;=$AL37),IF($AM37&gt;=1,2,IF(U$2&lt;$AK37+($AL37-$AK37+1)*$AM37,2,3)),0)))</f>
        <v/>
      </c>
      <c r="V37" s="11">
        <f>IF($AP37="",0,IF($AO37="Yes",IF(V$2=$AK37,"◆",0),IF(AND(V$2&gt;=$AK37,V$2&lt;=$AL37),IF($AM37&gt;=1,2,IF(V$2&lt;$AK37+($AL37-$AK37+1)*$AM37,2,3)),0)))</f>
        <v/>
      </c>
      <c r="W37" s="11">
        <f>IF($AP37="",0,IF($AO37="Yes",IF(W$2=$AK37,"◆",0),IF(AND(W$2&gt;=$AK37,W$2&lt;=$AL37),IF($AM37&gt;=1,2,IF(W$2&lt;$AK37+($AL37-$AK37+1)*$AM37,2,3)),0)))</f>
        <v/>
      </c>
      <c r="X37" s="11">
        <f>IF($AP37="",0,IF($AO37="Yes",IF(X$2=$AK37,"◆",0),IF(AND(X$2&gt;=$AK37,X$2&lt;=$AL37),IF($AM37&gt;=1,2,IF(X$2&lt;$AK37+($AL37-$AK37+1)*$AM37,2,3)),0)))</f>
        <v/>
      </c>
      <c r="Y37" s="11">
        <f>IF($AP37="",0,IF($AO37="Yes",IF(Y$2=$AK37,"◆",0),IF(AND(Y$2&gt;=$AK37,Y$2&lt;=$AL37),IF($AM37&gt;=1,2,IF(Y$2&lt;$AK37+($AL37-$AK37+1)*$AM37,2,3)),0)))</f>
        <v/>
      </c>
      <c r="Z37" s="11">
        <f>IF($AP37="",0,IF($AO37="Yes",IF(Z$2=$AK37,"◆",0),IF(AND(Z$2&gt;=$AK37,Z$2&lt;=$AL37),IF($AM37&gt;=1,2,IF(Z$2&lt;$AK37+($AL37-$AK37+1)*$AM37,2,3)),0)))</f>
        <v/>
      </c>
      <c r="AA37" s="11">
        <f>IF($AP37="",0,IF($AO37="Yes",IF(AA$2=$AK37,"◆",0),IF(AND(AA$2&gt;=$AK37,AA$2&lt;=$AL37),IF($AM37&gt;=1,2,IF(AA$2&lt;$AK37+($AL37-$AK37+1)*$AM37,2,3)),0)))</f>
        <v/>
      </c>
      <c r="AB37" s="11">
        <f>IF($AP37="",0,IF($AO37="Yes",IF(AB$2=$AK37,"◆",0),IF(AND(AB$2&gt;=$AK37,AB$2&lt;=$AL37),IF($AM37&gt;=1,2,IF(AB$2&lt;$AK37+($AL37-$AK37+1)*$AM37,2,3)),0)))</f>
        <v/>
      </c>
      <c r="AC37" s="11">
        <f>IF($AP37="",0,IF($AO37="Yes",IF(AC$2=$AK37,"◆",0),IF(AND(AC$2&gt;=$AK37,AC$2&lt;=$AL37),IF($AM37&gt;=1,2,IF(AC$2&lt;$AK37+($AL37-$AK37+1)*$AM37,2,3)),0)))</f>
        <v/>
      </c>
      <c r="AD37" s="11">
        <f>IF($AP37="",0,IF($AO37="Yes",IF(AD$2=$AK37,"◆",0),IF(AND(AD$2&gt;=$AK37,AD$2&lt;=$AL37),IF($AM37&gt;=1,2,IF(AD$2&lt;$AK37+($AL37-$AK37+1)*$AM37,2,3)),0)))</f>
        <v/>
      </c>
      <c r="AE37" s="11">
        <f>IF($AP37="",0,IF($AO37="Yes",IF(AE$2=$AK37,"◆",0),IF(AND(AE$2&gt;=$AK37,AE$2&lt;=$AL37),IF($AM37&gt;=1,2,IF(AE$2&lt;$AK37+($AL37-$AK37+1)*$AM37,2,3)),0)))</f>
        <v/>
      </c>
      <c r="AF37" s="11">
        <f>IF($AP37="",0,IF($AO37="Yes",IF(AF$2=$AK37,"◆",0),IF(AND(AF$2&gt;=$AK37,AF$2&lt;=$AL37),IF($AM37&gt;=1,2,IF(AF$2&lt;$AK37+($AL37-$AK37+1)*$AM37,2,3)),0)))</f>
        <v/>
      </c>
      <c r="AG37" s="11">
        <f>IF($AP37="",0,IF($AO37="Yes",IF(AG$2=$AK37,"◆",0),IF(AND(AG$2&gt;=$AK37,AG$2&lt;=$AL37),IF($AM37&gt;=1,2,IF(AG$2&lt;$AK37+($AL37-$AK37+1)*$AM37,2,3)),0)))</f>
        <v/>
      </c>
      <c r="AH37" s="11">
        <f>IF($AP37="",0,IF($AO37="Yes",IF(AH$2=$AK37,"◆",0),IF(AND(AH$2&gt;=$AK37,AH$2&lt;=$AL37),IF($AM37&gt;=1,2,IF(AH$2&lt;$AK37+($AL37-$AK37+1)*$AM37,2,3)),0)))</f>
        <v/>
      </c>
      <c r="AI37" s="11">
        <f>IF($AP37="",0,IF($AO37="Yes",IF(AI$2=$AK37,"◆",0),IF(AND(AI$2&gt;=$AK37,AI$2&lt;=$AL37),IF($AM37&gt;=1,2,IF(AI$2&lt;$AK37+($AL37-$AK37+1)*$AM37,2,3)),0)))</f>
        <v/>
      </c>
      <c r="AJ37" s="11">
        <f>IF($AP37="",0,IF($AO37="Yes",IF(AJ$2=$AK37,"◆",0),IF(AND(AJ$2&gt;=$AK37,AJ$2&lt;=$AL37),IF($AM37&gt;=1,2,IF(AJ$2&lt;$AK37+($AL37-$AK37+1)*$AM37,2,3)),0)))</f>
        <v/>
      </c>
      <c r="AK37">
        <f>IFERROR(INDEX(tblTasks[Start Date],ROW()-5),"")</f>
        <v/>
      </c>
      <c r="AL37">
        <f>IFERROR(INDEX(tblTasks[End Date],ROW()-5),"")</f>
        <v/>
      </c>
      <c r="AM37">
        <f>IFERROR(INDEX(tblTasks[Progress %],ROW()-5),0)</f>
        <v/>
      </c>
      <c r="AN37">
        <f>IFERROR(INDEX(tblTasks[Status],ROW()-5),"")</f>
        <v/>
      </c>
      <c r="AO37">
        <f>IFERROR(INDEX(tblTasks[Milestone],ROW()-5),"No")</f>
        <v/>
      </c>
      <c r="AP37">
        <f>IFERROR(INDEX(tblTasks[Task ID],ROW()-5),"")</f>
        <v/>
      </c>
      <c r="AQ37">
        <f>IFERROR(INDEX(tblTasks[Phase],ROW()-5),"")</f>
        <v/>
      </c>
    </row>
    <row r="38">
      <c r="A38" s="9">
        <f>IF($AP38="","",$AP38)</f>
        <v/>
      </c>
      <c r="B38" s="10">
        <f>IF($AP38="","",IF($AO38="Yes","◆ ","")&amp;INDEX(tblTasks[Task Name],ROW()-5))</f>
        <v/>
      </c>
      <c r="C38" s="11">
        <f>IF($AP38="",0,IF($AO38="Yes",IF(C$2=$AK38,"◆",0),IF(AND(C$2&gt;=$AK38,C$2&lt;=$AL38),IF($AM38&gt;=1,2,IF(C$2&lt;$AK38+($AL38-$AK38+1)*$AM38,2,3)),0)))</f>
        <v/>
      </c>
      <c r="D38" s="11">
        <f>IF($AP38="",0,IF($AO38="Yes",IF(D$2=$AK38,"◆",0),IF(AND(D$2&gt;=$AK38,D$2&lt;=$AL38),IF($AM38&gt;=1,2,IF(D$2&lt;$AK38+($AL38-$AK38+1)*$AM38,2,3)),0)))</f>
        <v/>
      </c>
      <c r="E38" s="11">
        <f>IF($AP38="",0,IF($AO38="Yes",IF(E$2=$AK38,"◆",0),IF(AND(E$2&gt;=$AK38,E$2&lt;=$AL38),IF($AM38&gt;=1,2,IF(E$2&lt;$AK38+($AL38-$AK38+1)*$AM38,2,3)),0)))</f>
        <v/>
      </c>
      <c r="F38" s="11">
        <f>IF($AP38="",0,IF($AO38="Yes",IF(F$2=$AK38,"◆",0),IF(AND(F$2&gt;=$AK38,F$2&lt;=$AL38),IF($AM38&gt;=1,2,IF(F$2&lt;$AK38+($AL38-$AK38+1)*$AM38,2,3)),0)))</f>
        <v/>
      </c>
      <c r="G38" s="11">
        <f>IF($AP38="",0,IF($AO38="Yes",IF(G$2=$AK38,"◆",0),IF(AND(G$2&gt;=$AK38,G$2&lt;=$AL38),IF($AM38&gt;=1,2,IF(G$2&lt;$AK38+($AL38-$AK38+1)*$AM38,2,3)),0)))</f>
        <v/>
      </c>
      <c r="H38" s="11">
        <f>IF($AP38="",0,IF($AO38="Yes",IF(H$2=$AK38,"◆",0),IF(AND(H$2&gt;=$AK38,H$2&lt;=$AL38),IF($AM38&gt;=1,2,IF(H$2&lt;$AK38+($AL38-$AK38+1)*$AM38,2,3)),0)))</f>
        <v/>
      </c>
      <c r="I38" s="11">
        <f>IF($AP38="",0,IF($AO38="Yes",IF(I$2=$AK38,"◆",0),IF(AND(I$2&gt;=$AK38,I$2&lt;=$AL38),IF($AM38&gt;=1,2,IF(I$2&lt;$AK38+($AL38-$AK38+1)*$AM38,2,3)),0)))</f>
        <v/>
      </c>
      <c r="J38" s="11">
        <f>IF($AP38="",0,IF($AO38="Yes",IF(J$2=$AK38,"◆",0),IF(AND(J$2&gt;=$AK38,J$2&lt;=$AL38),IF($AM38&gt;=1,2,IF(J$2&lt;$AK38+($AL38-$AK38+1)*$AM38,2,3)),0)))</f>
        <v/>
      </c>
      <c r="K38" s="11">
        <f>IF($AP38="",0,IF($AO38="Yes",IF(K$2=$AK38,"◆",0),IF(AND(K$2&gt;=$AK38,K$2&lt;=$AL38),IF($AM38&gt;=1,2,IF(K$2&lt;$AK38+($AL38-$AK38+1)*$AM38,2,3)),0)))</f>
        <v/>
      </c>
      <c r="L38" s="11">
        <f>IF($AP38="",0,IF($AO38="Yes",IF(L$2=$AK38,"◆",0),IF(AND(L$2&gt;=$AK38,L$2&lt;=$AL38),IF($AM38&gt;=1,2,IF(L$2&lt;$AK38+($AL38-$AK38+1)*$AM38,2,3)),0)))</f>
        <v/>
      </c>
      <c r="M38" s="11">
        <f>IF($AP38="",0,IF($AO38="Yes",IF(M$2=$AK38,"◆",0),IF(AND(M$2&gt;=$AK38,M$2&lt;=$AL38),IF($AM38&gt;=1,2,IF(M$2&lt;$AK38+($AL38-$AK38+1)*$AM38,2,3)),0)))</f>
        <v/>
      </c>
      <c r="N38" s="11">
        <f>IF($AP38="",0,IF($AO38="Yes",IF(N$2=$AK38,"◆",0),IF(AND(N$2&gt;=$AK38,N$2&lt;=$AL38),IF($AM38&gt;=1,2,IF(N$2&lt;$AK38+($AL38-$AK38+1)*$AM38,2,3)),0)))</f>
        <v/>
      </c>
      <c r="O38" s="11">
        <f>IF($AP38="",0,IF($AO38="Yes",IF(O$2=$AK38,"◆",0),IF(AND(O$2&gt;=$AK38,O$2&lt;=$AL38),IF($AM38&gt;=1,2,IF(O$2&lt;$AK38+($AL38-$AK38+1)*$AM38,2,3)),0)))</f>
        <v/>
      </c>
      <c r="P38" s="11">
        <f>IF($AP38="",0,IF($AO38="Yes",IF(P$2=$AK38,"◆",0),IF(AND(P$2&gt;=$AK38,P$2&lt;=$AL38),IF($AM38&gt;=1,2,IF(P$2&lt;$AK38+($AL38-$AK38+1)*$AM38,2,3)),0)))</f>
        <v/>
      </c>
      <c r="Q38" s="11">
        <f>IF($AP38="",0,IF($AO38="Yes",IF(Q$2=$AK38,"◆",0),IF(AND(Q$2&gt;=$AK38,Q$2&lt;=$AL38),IF($AM38&gt;=1,2,IF(Q$2&lt;$AK38+($AL38-$AK38+1)*$AM38,2,3)),0)))</f>
        <v/>
      </c>
      <c r="R38" s="11">
        <f>IF($AP38="",0,IF($AO38="Yes",IF(R$2=$AK38,"◆",0),IF(AND(R$2&gt;=$AK38,R$2&lt;=$AL38),IF($AM38&gt;=1,2,IF(R$2&lt;$AK38+($AL38-$AK38+1)*$AM38,2,3)),0)))</f>
        <v/>
      </c>
      <c r="S38" s="11">
        <f>IF($AP38="",0,IF($AO38="Yes",IF(S$2=$AK38,"◆",0),IF(AND(S$2&gt;=$AK38,S$2&lt;=$AL38),IF($AM38&gt;=1,2,IF(S$2&lt;$AK38+($AL38-$AK38+1)*$AM38,2,3)),0)))</f>
        <v/>
      </c>
      <c r="T38" s="11">
        <f>IF($AP38="",0,IF($AO38="Yes",IF(T$2=$AK38,"◆",0),IF(AND(T$2&gt;=$AK38,T$2&lt;=$AL38),IF($AM38&gt;=1,2,IF(T$2&lt;$AK38+($AL38-$AK38+1)*$AM38,2,3)),0)))</f>
        <v/>
      </c>
      <c r="U38" s="11">
        <f>IF($AP38="",0,IF($AO38="Yes",IF(U$2=$AK38,"◆",0),IF(AND(U$2&gt;=$AK38,U$2&lt;=$AL38),IF($AM38&gt;=1,2,IF(U$2&lt;$AK38+($AL38-$AK38+1)*$AM38,2,3)),0)))</f>
        <v/>
      </c>
      <c r="V38" s="11">
        <f>IF($AP38="",0,IF($AO38="Yes",IF(V$2=$AK38,"◆",0),IF(AND(V$2&gt;=$AK38,V$2&lt;=$AL38),IF($AM38&gt;=1,2,IF(V$2&lt;$AK38+($AL38-$AK38+1)*$AM38,2,3)),0)))</f>
        <v/>
      </c>
      <c r="W38" s="11">
        <f>IF($AP38="",0,IF($AO38="Yes",IF(W$2=$AK38,"◆",0),IF(AND(W$2&gt;=$AK38,W$2&lt;=$AL38),IF($AM38&gt;=1,2,IF(W$2&lt;$AK38+($AL38-$AK38+1)*$AM38,2,3)),0)))</f>
        <v/>
      </c>
      <c r="X38" s="11">
        <f>IF($AP38="",0,IF($AO38="Yes",IF(X$2=$AK38,"◆",0),IF(AND(X$2&gt;=$AK38,X$2&lt;=$AL38),IF($AM38&gt;=1,2,IF(X$2&lt;$AK38+($AL38-$AK38+1)*$AM38,2,3)),0)))</f>
        <v/>
      </c>
      <c r="Y38" s="11">
        <f>IF($AP38="",0,IF($AO38="Yes",IF(Y$2=$AK38,"◆",0),IF(AND(Y$2&gt;=$AK38,Y$2&lt;=$AL38),IF($AM38&gt;=1,2,IF(Y$2&lt;$AK38+($AL38-$AK38+1)*$AM38,2,3)),0)))</f>
        <v/>
      </c>
      <c r="Z38" s="11">
        <f>IF($AP38="",0,IF($AO38="Yes",IF(Z$2=$AK38,"◆",0),IF(AND(Z$2&gt;=$AK38,Z$2&lt;=$AL38),IF($AM38&gt;=1,2,IF(Z$2&lt;$AK38+($AL38-$AK38+1)*$AM38,2,3)),0)))</f>
        <v/>
      </c>
      <c r="AA38" s="11">
        <f>IF($AP38="",0,IF($AO38="Yes",IF(AA$2=$AK38,"◆",0),IF(AND(AA$2&gt;=$AK38,AA$2&lt;=$AL38),IF($AM38&gt;=1,2,IF(AA$2&lt;$AK38+($AL38-$AK38+1)*$AM38,2,3)),0)))</f>
        <v/>
      </c>
      <c r="AB38" s="11">
        <f>IF($AP38="",0,IF($AO38="Yes",IF(AB$2=$AK38,"◆",0),IF(AND(AB$2&gt;=$AK38,AB$2&lt;=$AL38),IF($AM38&gt;=1,2,IF(AB$2&lt;$AK38+($AL38-$AK38+1)*$AM38,2,3)),0)))</f>
        <v/>
      </c>
      <c r="AC38" s="11">
        <f>IF($AP38="",0,IF($AO38="Yes",IF(AC$2=$AK38,"◆",0),IF(AND(AC$2&gt;=$AK38,AC$2&lt;=$AL38),IF($AM38&gt;=1,2,IF(AC$2&lt;$AK38+($AL38-$AK38+1)*$AM38,2,3)),0)))</f>
        <v/>
      </c>
      <c r="AD38" s="11">
        <f>IF($AP38="",0,IF($AO38="Yes",IF(AD$2=$AK38,"◆",0),IF(AND(AD$2&gt;=$AK38,AD$2&lt;=$AL38),IF($AM38&gt;=1,2,IF(AD$2&lt;$AK38+($AL38-$AK38+1)*$AM38,2,3)),0)))</f>
        <v/>
      </c>
      <c r="AE38" s="11">
        <f>IF($AP38="",0,IF($AO38="Yes",IF(AE$2=$AK38,"◆",0),IF(AND(AE$2&gt;=$AK38,AE$2&lt;=$AL38),IF($AM38&gt;=1,2,IF(AE$2&lt;$AK38+($AL38-$AK38+1)*$AM38,2,3)),0)))</f>
        <v/>
      </c>
      <c r="AF38" s="11">
        <f>IF($AP38="",0,IF($AO38="Yes",IF(AF$2=$AK38,"◆",0),IF(AND(AF$2&gt;=$AK38,AF$2&lt;=$AL38),IF($AM38&gt;=1,2,IF(AF$2&lt;$AK38+($AL38-$AK38+1)*$AM38,2,3)),0)))</f>
        <v/>
      </c>
      <c r="AG38" s="11">
        <f>IF($AP38="",0,IF($AO38="Yes",IF(AG$2=$AK38,"◆",0),IF(AND(AG$2&gt;=$AK38,AG$2&lt;=$AL38),IF($AM38&gt;=1,2,IF(AG$2&lt;$AK38+($AL38-$AK38+1)*$AM38,2,3)),0)))</f>
        <v/>
      </c>
      <c r="AH38" s="11">
        <f>IF($AP38="",0,IF($AO38="Yes",IF(AH$2=$AK38,"◆",0),IF(AND(AH$2&gt;=$AK38,AH$2&lt;=$AL38),IF($AM38&gt;=1,2,IF(AH$2&lt;$AK38+($AL38-$AK38+1)*$AM38,2,3)),0)))</f>
        <v/>
      </c>
      <c r="AI38" s="11">
        <f>IF($AP38="",0,IF($AO38="Yes",IF(AI$2=$AK38,"◆",0),IF(AND(AI$2&gt;=$AK38,AI$2&lt;=$AL38),IF($AM38&gt;=1,2,IF(AI$2&lt;$AK38+($AL38-$AK38+1)*$AM38,2,3)),0)))</f>
        <v/>
      </c>
      <c r="AJ38" s="11">
        <f>IF($AP38="",0,IF($AO38="Yes",IF(AJ$2=$AK38,"◆",0),IF(AND(AJ$2&gt;=$AK38,AJ$2&lt;=$AL38),IF($AM38&gt;=1,2,IF(AJ$2&lt;$AK38+($AL38-$AK38+1)*$AM38,2,3)),0)))</f>
        <v/>
      </c>
      <c r="AK38">
        <f>IFERROR(INDEX(tblTasks[Start Date],ROW()-5),"")</f>
        <v/>
      </c>
      <c r="AL38">
        <f>IFERROR(INDEX(tblTasks[End Date],ROW()-5),"")</f>
        <v/>
      </c>
      <c r="AM38">
        <f>IFERROR(INDEX(tblTasks[Progress %],ROW()-5),0)</f>
        <v/>
      </c>
      <c r="AN38">
        <f>IFERROR(INDEX(tblTasks[Status],ROW()-5),"")</f>
        <v/>
      </c>
      <c r="AO38">
        <f>IFERROR(INDEX(tblTasks[Milestone],ROW()-5),"No")</f>
        <v/>
      </c>
      <c r="AP38">
        <f>IFERROR(INDEX(tblTasks[Task ID],ROW()-5),"")</f>
        <v/>
      </c>
      <c r="AQ38">
        <f>IFERROR(INDEX(tblTasks[Phase],ROW()-5),"")</f>
        <v/>
      </c>
    </row>
    <row r="39">
      <c r="A39" s="9">
        <f>IF($AP39="","",$AP39)</f>
        <v/>
      </c>
      <c r="B39" s="10">
        <f>IF($AP39="","",IF($AO39="Yes","◆ ","")&amp;INDEX(tblTasks[Task Name],ROW()-5))</f>
        <v/>
      </c>
      <c r="C39" s="11">
        <f>IF($AP39="",0,IF($AO39="Yes",IF(C$2=$AK39,"◆",0),IF(AND(C$2&gt;=$AK39,C$2&lt;=$AL39),IF($AM39&gt;=1,2,IF(C$2&lt;$AK39+($AL39-$AK39+1)*$AM39,2,3)),0)))</f>
        <v/>
      </c>
      <c r="D39" s="11">
        <f>IF($AP39="",0,IF($AO39="Yes",IF(D$2=$AK39,"◆",0),IF(AND(D$2&gt;=$AK39,D$2&lt;=$AL39),IF($AM39&gt;=1,2,IF(D$2&lt;$AK39+($AL39-$AK39+1)*$AM39,2,3)),0)))</f>
        <v/>
      </c>
      <c r="E39" s="11">
        <f>IF($AP39="",0,IF($AO39="Yes",IF(E$2=$AK39,"◆",0),IF(AND(E$2&gt;=$AK39,E$2&lt;=$AL39),IF($AM39&gt;=1,2,IF(E$2&lt;$AK39+($AL39-$AK39+1)*$AM39,2,3)),0)))</f>
        <v/>
      </c>
      <c r="F39" s="11">
        <f>IF($AP39="",0,IF($AO39="Yes",IF(F$2=$AK39,"◆",0),IF(AND(F$2&gt;=$AK39,F$2&lt;=$AL39),IF($AM39&gt;=1,2,IF(F$2&lt;$AK39+($AL39-$AK39+1)*$AM39,2,3)),0)))</f>
        <v/>
      </c>
      <c r="G39" s="11">
        <f>IF($AP39="",0,IF($AO39="Yes",IF(G$2=$AK39,"◆",0),IF(AND(G$2&gt;=$AK39,G$2&lt;=$AL39),IF($AM39&gt;=1,2,IF(G$2&lt;$AK39+($AL39-$AK39+1)*$AM39,2,3)),0)))</f>
        <v/>
      </c>
      <c r="H39" s="11">
        <f>IF($AP39="",0,IF($AO39="Yes",IF(H$2=$AK39,"◆",0),IF(AND(H$2&gt;=$AK39,H$2&lt;=$AL39),IF($AM39&gt;=1,2,IF(H$2&lt;$AK39+($AL39-$AK39+1)*$AM39,2,3)),0)))</f>
        <v/>
      </c>
      <c r="I39" s="11">
        <f>IF($AP39="",0,IF($AO39="Yes",IF(I$2=$AK39,"◆",0),IF(AND(I$2&gt;=$AK39,I$2&lt;=$AL39),IF($AM39&gt;=1,2,IF(I$2&lt;$AK39+($AL39-$AK39+1)*$AM39,2,3)),0)))</f>
        <v/>
      </c>
      <c r="J39" s="11">
        <f>IF($AP39="",0,IF($AO39="Yes",IF(J$2=$AK39,"◆",0),IF(AND(J$2&gt;=$AK39,J$2&lt;=$AL39),IF($AM39&gt;=1,2,IF(J$2&lt;$AK39+($AL39-$AK39+1)*$AM39,2,3)),0)))</f>
        <v/>
      </c>
      <c r="K39" s="11">
        <f>IF($AP39="",0,IF($AO39="Yes",IF(K$2=$AK39,"◆",0),IF(AND(K$2&gt;=$AK39,K$2&lt;=$AL39),IF($AM39&gt;=1,2,IF(K$2&lt;$AK39+($AL39-$AK39+1)*$AM39,2,3)),0)))</f>
        <v/>
      </c>
      <c r="L39" s="11">
        <f>IF($AP39="",0,IF($AO39="Yes",IF(L$2=$AK39,"◆",0),IF(AND(L$2&gt;=$AK39,L$2&lt;=$AL39),IF($AM39&gt;=1,2,IF(L$2&lt;$AK39+($AL39-$AK39+1)*$AM39,2,3)),0)))</f>
        <v/>
      </c>
      <c r="M39" s="11">
        <f>IF($AP39="",0,IF($AO39="Yes",IF(M$2=$AK39,"◆",0),IF(AND(M$2&gt;=$AK39,M$2&lt;=$AL39),IF($AM39&gt;=1,2,IF(M$2&lt;$AK39+($AL39-$AK39+1)*$AM39,2,3)),0)))</f>
        <v/>
      </c>
      <c r="N39" s="11">
        <f>IF($AP39="",0,IF($AO39="Yes",IF(N$2=$AK39,"◆",0),IF(AND(N$2&gt;=$AK39,N$2&lt;=$AL39),IF($AM39&gt;=1,2,IF(N$2&lt;$AK39+($AL39-$AK39+1)*$AM39,2,3)),0)))</f>
        <v/>
      </c>
      <c r="O39" s="11">
        <f>IF($AP39="",0,IF($AO39="Yes",IF(O$2=$AK39,"◆",0),IF(AND(O$2&gt;=$AK39,O$2&lt;=$AL39),IF($AM39&gt;=1,2,IF(O$2&lt;$AK39+($AL39-$AK39+1)*$AM39,2,3)),0)))</f>
        <v/>
      </c>
      <c r="P39" s="11">
        <f>IF($AP39="",0,IF($AO39="Yes",IF(P$2=$AK39,"◆",0),IF(AND(P$2&gt;=$AK39,P$2&lt;=$AL39),IF($AM39&gt;=1,2,IF(P$2&lt;$AK39+($AL39-$AK39+1)*$AM39,2,3)),0)))</f>
        <v/>
      </c>
      <c r="Q39" s="11">
        <f>IF($AP39="",0,IF($AO39="Yes",IF(Q$2=$AK39,"◆",0),IF(AND(Q$2&gt;=$AK39,Q$2&lt;=$AL39),IF($AM39&gt;=1,2,IF(Q$2&lt;$AK39+($AL39-$AK39+1)*$AM39,2,3)),0)))</f>
        <v/>
      </c>
      <c r="R39" s="11">
        <f>IF($AP39="",0,IF($AO39="Yes",IF(R$2=$AK39,"◆",0),IF(AND(R$2&gt;=$AK39,R$2&lt;=$AL39),IF($AM39&gt;=1,2,IF(R$2&lt;$AK39+($AL39-$AK39+1)*$AM39,2,3)),0)))</f>
        <v/>
      </c>
      <c r="S39" s="11">
        <f>IF($AP39="",0,IF($AO39="Yes",IF(S$2=$AK39,"◆",0),IF(AND(S$2&gt;=$AK39,S$2&lt;=$AL39),IF($AM39&gt;=1,2,IF(S$2&lt;$AK39+($AL39-$AK39+1)*$AM39,2,3)),0)))</f>
        <v/>
      </c>
      <c r="T39" s="11">
        <f>IF($AP39="",0,IF($AO39="Yes",IF(T$2=$AK39,"◆",0),IF(AND(T$2&gt;=$AK39,T$2&lt;=$AL39),IF($AM39&gt;=1,2,IF(T$2&lt;$AK39+($AL39-$AK39+1)*$AM39,2,3)),0)))</f>
        <v/>
      </c>
      <c r="U39" s="11">
        <f>IF($AP39="",0,IF($AO39="Yes",IF(U$2=$AK39,"◆",0),IF(AND(U$2&gt;=$AK39,U$2&lt;=$AL39),IF($AM39&gt;=1,2,IF(U$2&lt;$AK39+($AL39-$AK39+1)*$AM39,2,3)),0)))</f>
        <v/>
      </c>
      <c r="V39" s="11">
        <f>IF($AP39="",0,IF($AO39="Yes",IF(V$2=$AK39,"◆",0),IF(AND(V$2&gt;=$AK39,V$2&lt;=$AL39),IF($AM39&gt;=1,2,IF(V$2&lt;$AK39+($AL39-$AK39+1)*$AM39,2,3)),0)))</f>
        <v/>
      </c>
      <c r="W39" s="11">
        <f>IF($AP39="",0,IF($AO39="Yes",IF(W$2=$AK39,"◆",0),IF(AND(W$2&gt;=$AK39,W$2&lt;=$AL39),IF($AM39&gt;=1,2,IF(W$2&lt;$AK39+($AL39-$AK39+1)*$AM39,2,3)),0)))</f>
        <v/>
      </c>
      <c r="X39" s="11">
        <f>IF($AP39="",0,IF($AO39="Yes",IF(X$2=$AK39,"◆",0),IF(AND(X$2&gt;=$AK39,X$2&lt;=$AL39),IF($AM39&gt;=1,2,IF(X$2&lt;$AK39+($AL39-$AK39+1)*$AM39,2,3)),0)))</f>
        <v/>
      </c>
      <c r="Y39" s="11">
        <f>IF($AP39="",0,IF($AO39="Yes",IF(Y$2=$AK39,"◆",0),IF(AND(Y$2&gt;=$AK39,Y$2&lt;=$AL39),IF($AM39&gt;=1,2,IF(Y$2&lt;$AK39+($AL39-$AK39+1)*$AM39,2,3)),0)))</f>
        <v/>
      </c>
      <c r="Z39" s="11">
        <f>IF($AP39="",0,IF($AO39="Yes",IF(Z$2=$AK39,"◆",0),IF(AND(Z$2&gt;=$AK39,Z$2&lt;=$AL39),IF($AM39&gt;=1,2,IF(Z$2&lt;$AK39+($AL39-$AK39+1)*$AM39,2,3)),0)))</f>
        <v/>
      </c>
      <c r="AA39" s="11">
        <f>IF($AP39="",0,IF($AO39="Yes",IF(AA$2=$AK39,"◆",0),IF(AND(AA$2&gt;=$AK39,AA$2&lt;=$AL39),IF($AM39&gt;=1,2,IF(AA$2&lt;$AK39+($AL39-$AK39+1)*$AM39,2,3)),0)))</f>
        <v/>
      </c>
      <c r="AB39" s="11">
        <f>IF($AP39="",0,IF($AO39="Yes",IF(AB$2=$AK39,"◆",0),IF(AND(AB$2&gt;=$AK39,AB$2&lt;=$AL39),IF($AM39&gt;=1,2,IF(AB$2&lt;$AK39+($AL39-$AK39+1)*$AM39,2,3)),0)))</f>
        <v/>
      </c>
      <c r="AC39" s="11">
        <f>IF($AP39="",0,IF($AO39="Yes",IF(AC$2=$AK39,"◆",0),IF(AND(AC$2&gt;=$AK39,AC$2&lt;=$AL39),IF($AM39&gt;=1,2,IF(AC$2&lt;$AK39+($AL39-$AK39+1)*$AM39,2,3)),0)))</f>
        <v/>
      </c>
      <c r="AD39" s="11">
        <f>IF($AP39="",0,IF($AO39="Yes",IF(AD$2=$AK39,"◆",0),IF(AND(AD$2&gt;=$AK39,AD$2&lt;=$AL39),IF($AM39&gt;=1,2,IF(AD$2&lt;$AK39+($AL39-$AK39+1)*$AM39,2,3)),0)))</f>
        <v/>
      </c>
      <c r="AE39" s="11">
        <f>IF($AP39="",0,IF($AO39="Yes",IF(AE$2=$AK39,"◆",0),IF(AND(AE$2&gt;=$AK39,AE$2&lt;=$AL39),IF($AM39&gt;=1,2,IF(AE$2&lt;$AK39+($AL39-$AK39+1)*$AM39,2,3)),0)))</f>
        <v/>
      </c>
      <c r="AF39" s="11">
        <f>IF($AP39="",0,IF($AO39="Yes",IF(AF$2=$AK39,"◆",0),IF(AND(AF$2&gt;=$AK39,AF$2&lt;=$AL39),IF($AM39&gt;=1,2,IF(AF$2&lt;$AK39+($AL39-$AK39+1)*$AM39,2,3)),0)))</f>
        <v/>
      </c>
      <c r="AG39" s="11">
        <f>IF($AP39="",0,IF($AO39="Yes",IF(AG$2=$AK39,"◆",0),IF(AND(AG$2&gt;=$AK39,AG$2&lt;=$AL39),IF($AM39&gt;=1,2,IF(AG$2&lt;$AK39+($AL39-$AK39+1)*$AM39,2,3)),0)))</f>
        <v/>
      </c>
      <c r="AH39" s="11">
        <f>IF($AP39="",0,IF($AO39="Yes",IF(AH$2=$AK39,"◆",0),IF(AND(AH$2&gt;=$AK39,AH$2&lt;=$AL39),IF($AM39&gt;=1,2,IF(AH$2&lt;$AK39+($AL39-$AK39+1)*$AM39,2,3)),0)))</f>
        <v/>
      </c>
      <c r="AI39" s="11">
        <f>IF($AP39="",0,IF($AO39="Yes",IF(AI$2=$AK39,"◆",0),IF(AND(AI$2&gt;=$AK39,AI$2&lt;=$AL39),IF($AM39&gt;=1,2,IF(AI$2&lt;$AK39+($AL39-$AK39+1)*$AM39,2,3)),0)))</f>
        <v/>
      </c>
      <c r="AJ39" s="11">
        <f>IF($AP39="",0,IF($AO39="Yes",IF(AJ$2=$AK39,"◆",0),IF(AND(AJ$2&gt;=$AK39,AJ$2&lt;=$AL39),IF($AM39&gt;=1,2,IF(AJ$2&lt;$AK39+($AL39-$AK39+1)*$AM39,2,3)),0)))</f>
        <v/>
      </c>
      <c r="AK39">
        <f>IFERROR(INDEX(tblTasks[Start Date],ROW()-5),"")</f>
        <v/>
      </c>
      <c r="AL39">
        <f>IFERROR(INDEX(tblTasks[End Date],ROW()-5),"")</f>
        <v/>
      </c>
      <c r="AM39">
        <f>IFERROR(INDEX(tblTasks[Progress %],ROW()-5),0)</f>
        <v/>
      </c>
      <c r="AN39">
        <f>IFERROR(INDEX(tblTasks[Status],ROW()-5),"")</f>
        <v/>
      </c>
      <c r="AO39">
        <f>IFERROR(INDEX(tblTasks[Milestone],ROW()-5),"No")</f>
        <v/>
      </c>
      <c r="AP39">
        <f>IFERROR(INDEX(tblTasks[Task ID],ROW()-5),"")</f>
        <v/>
      </c>
      <c r="AQ39">
        <f>IFERROR(INDEX(tblTasks[Phase],ROW()-5),"")</f>
        <v/>
      </c>
    </row>
    <row r="40">
      <c r="A40" s="9">
        <f>IF($AP40="","",$AP40)</f>
        <v/>
      </c>
      <c r="B40" s="10">
        <f>IF($AP40="","",IF($AO40="Yes","◆ ","")&amp;INDEX(tblTasks[Task Name],ROW()-5))</f>
        <v/>
      </c>
      <c r="C40" s="11">
        <f>IF($AP40="",0,IF($AO40="Yes",IF(C$2=$AK40,"◆",0),IF(AND(C$2&gt;=$AK40,C$2&lt;=$AL40),IF($AM40&gt;=1,2,IF(C$2&lt;$AK40+($AL40-$AK40+1)*$AM40,2,3)),0)))</f>
        <v/>
      </c>
      <c r="D40" s="11">
        <f>IF($AP40="",0,IF($AO40="Yes",IF(D$2=$AK40,"◆",0),IF(AND(D$2&gt;=$AK40,D$2&lt;=$AL40),IF($AM40&gt;=1,2,IF(D$2&lt;$AK40+($AL40-$AK40+1)*$AM40,2,3)),0)))</f>
        <v/>
      </c>
      <c r="E40" s="11">
        <f>IF($AP40="",0,IF($AO40="Yes",IF(E$2=$AK40,"◆",0),IF(AND(E$2&gt;=$AK40,E$2&lt;=$AL40),IF($AM40&gt;=1,2,IF(E$2&lt;$AK40+($AL40-$AK40+1)*$AM40,2,3)),0)))</f>
        <v/>
      </c>
      <c r="F40" s="11">
        <f>IF($AP40="",0,IF($AO40="Yes",IF(F$2=$AK40,"◆",0),IF(AND(F$2&gt;=$AK40,F$2&lt;=$AL40),IF($AM40&gt;=1,2,IF(F$2&lt;$AK40+($AL40-$AK40+1)*$AM40,2,3)),0)))</f>
        <v/>
      </c>
      <c r="G40" s="11">
        <f>IF($AP40="",0,IF($AO40="Yes",IF(G$2=$AK40,"◆",0),IF(AND(G$2&gt;=$AK40,G$2&lt;=$AL40),IF($AM40&gt;=1,2,IF(G$2&lt;$AK40+($AL40-$AK40+1)*$AM40,2,3)),0)))</f>
        <v/>
      </c>
      <c r="H40" s="11">
        <f>IF($AP40="",0,IF($AO40="Yes",IF(H$2=$AK40,"◆",0),IF(AND(H$2&gt;=$AK40,H$2&lt;=$AL40),IF($AM40&gt;=1,2,IF(H$2&lt;$AK40+($AL40-$AK40+1)*$AM40,2,3)),0)))</f>
        <v/>
      </c>
      <c r="I40" s="11">
        <f>IF($AP40="",0,IF($AO40="Yes",IF(I$2=$AK40,"◆",0),IF(AND(I$2&gt;=$AK40,I$2&lt;=$AL40),IF($AM40&gt;=1,2,IF(I$2&lt;$AK40+($AL40-$AK40+1)*$AM40,2,3)),0)))</f>
        <v/>
      </c>
      <c r="J40" s="11">
        <f>IF($AP40="",0,IF($AO40="Yes",IF(J$2=$AK40,"◆",0),IF(AND(J$2&gt;=$AK40,J$2&lt;=$AL40),IF($AM40&gt;=1,2,IF(J$2&lt;$AK40+($AL40-$AK40+1)*$AM40,2,3)),0)))</f>
        <v/>
      </c>
      <c r="K40" s="11">
        <f>IF($AP40="",0,IF($AO40="Yes",IF(K$2=$AK40,"◆",0),IF(AND(K$2&gt;=$AK40,K$2&lt;=$AL40),IF($AM40&gt;=1,2,IF(K$2&lt;$AK40+($AL40-$AK40+1)*$AM40,2,3)),0)))</f>
        <v/>
      </c>
      <c r="L40" s="11">
        <f>IF($AP40="",0,IF($AO40="Yes",IF(L$2=$AK40,"◆",0),IF(AND(L$2&gt;=$AK40,L$2&lt;=$AL40),IF($AM40&gt;=1,2,IF(L$2&lt;$AK40+($AL40-$AK40+1)*$AM40,2,3)),0)))</f>
        <v/>
      </c>
      <c r="M40" s="11">
        <f>IF($AP40="",0,IF($AO40="Yes",IF(M$2=$AK40,"◆",0),IF(AND(M$2&gt;=$AK40,M$2&lt;=$AL40),IF($AM40&gt;=1,2,IF(M$2&lt;$AK40+($AL40-$AK40+1)*$AM40,2,3)),0)))</f>
        <v/>
      </c>
      <c r="N40" s="11">
        <f>IF($AP40="",0,IF($AO40="Yes",IF(N$2=$AK40,"◆",0),IF(AND(N$2&gt;=$AK40,N$2&lt;=$AL40),IF($AM40&gt;=1,2,IF(N$2&lt;$AK40+($AL40-$AK40+1)*$AM40,2,3)),0)))</f>
        <v/>
      </c>
      <c r="O40" s="11">
        <f>IF($AP40="",0,IF($AO40="Yes",IF(O$2=$AK40,"◆",0),IF(AND(O$2&gt;=$AK40,O$2&lt;=$AL40),IF($AM40&gt;=1,2,IF(O$2&lt;$AK40+($AL40-$AK40+1)*$AM40,2,3)),0)))</f>
        <v/>
      </c>
      <c r="P40" s="11">
        <f>IF($AP40="",0,IF($AO40="Yes",IF(P$2=$AK40,"◆",0),IF(AND(P$2&gt;=$AK40,P$2&lt;=$AL40),IF($AM40&gt;=1,2,IF(P$2&lt;$AK40+($AL40-$AK40+1)*$AM40,2,3)),0)))</f>
        <v/>
      </c>
      <c r="Q40" s="11">
        <f>IF($AP40="",0,IF($AO40="Yes",IF(Q$2=$AK40,"◆",0),IF(AND(Q$2&gt;=$AK40,Q$2&lt;=$AL40),IF($AM40&gt;=1,2,IF(Q$2&lt;$AK40+($AL40-$AK40+1)*$AM40,2,3)),0)))</f>
        <v/>
      </c>
      <c r="R40" s="11">
        <f>IF($AP40="",0,IF($AO40="Yes",IF(R$2=$AK40,"◆",0),IF(AND(R$2&gt;=$AK40,R$2&lt;=$AL40),IF($AM40&gt;=1,2,IF(R$2&lt;$AK40+($AL40-$AK40+1)*$AM40,2,3)),0)))</f>
        <v/>
      </c>
      <c r="S40" s="11">
        <f>IF($AP40="",0,IF($AO40="Yes",IF(S$2=$AK40,"◆",0),IF(AND(S$2&gt;=$AK40,S$2&lt;=$AL40),IF($AM40&gt;=1,2,IF(S$2&lt;$AK40+($AL40-$AK40+1)*$AM40,2,3)),0)))</f>
        <v/>
      </c>
      <c r="T40" s="11">
        <f>IF($AP40="",0,IF($AO40="Yes",IF(T$2=$AK40,"◆",0),IF(AND(T$2&gt;=$AK40,T$2&lt;=$AL40),IF($AM40&gt;=1,2,IF(T$2&lt;$AK40+($AL40-$AK40+1)*$AM40,2,3)),0)))</f>
        <v/>
      </c>
      <c r="U40" s="11">
        <f>IF($AP40="",0,IF($AO40="Yes",IF(U$2=$AK40,"◆",0),IF(AND(U$2&gt;=$AK40,U$2&lt;=$AL40),IF($AM40&gt;=1,2,IF(U$2&lt;$AK40+($AL40-$AK40+1)*$AM40,2,3)),0)))</f>
        <v/>
      </c>
      <c r="V40" s="11">
        <f>IF($AP40="",0,IF($AO40="Yes",IF(V$2=$AK40,"◆",0),IF(AND(V$2&gt;=$AK40,V$2&lt;=$AL40),IF($AM40&gt;=1,2,IF(V$2&lt;$AK40+($AL40-$AK40+1)*$AM40,2,3)),0)))</f>
        <v/>
      </c>
      <c r="W40" s="11">
        <f>IF($AP40="",0,IF($AO40="Yes",IF(W$2=$AK40,"◆",0),IF(AND(W$2&gt;=$AK40,W$2&lt;=$AL40),IF($AM40&gt;=1,2,IF(W$2&lt;$AK40+($AL40-$AK40+1)*$AM40,2,3)),0)))</f>
        <v/>
      </c>
      <c r="X40" s="11">
        <f>IF($AP40="",0,IF($AO40="Yes",IF(X$2=$AK40,"◆",0),IF(AND(X$2&gt;=$AK40,X$2&lt;=$AL40),IF($AM40&gt;=1,2,IF(X$2&lt;$AK40+($AL40-$AK40+1)*$AM40,2,3)),0)))</f>
        <v/>
      </c>
      <c r="Y40" s="11">
        <f>IF($AP40="",0,IF($AO40="Yes",IF(Y$2=$AK40,"◆",0),IF(AND(Y$2&gt;=$AK40,Y$2&lt;=$AL40),IF($AM40&gt;=1,2,IF(Y$2&lt;$AK40+($AL40-$AK40+1)*$AM40,2,3)),0)))</f>
        <v/>
      </c>
      <c r="Z40" s="11">
        <f>IF($AP40="",0,IF($AO40="Yes",IF(Z$2=$AK40,"◆",0),IF(AND(Z$2&gt;=$AK40,Z$2&lt;=$AL40),IF($AM40&gt;=1,2,IF(Z$2&lt;$AK40+($AL40-$AK40+1)*$AM40,2,3)),0)))</f>
        <v/>
      </c>
      <c r="AA40" s="11">
        <f>IF($AP40="",0,IF($AO40="Yes",IF(AA$2=$AK40,"◆",0),IF(AND(AA$2&gt;=$AK40,AA$2&lt;=$AL40),IF($AM40&gt;=1,2,IF(AA$2&lt;$AK40+($AL40-$AK40+1)*$AM40,2,3)),0)))</f>
        <v/>
      </c>
      <c r="AB40" s="11">
        <f>IF($AP40="",0,IF($AO40="Yes",IF(AB$2=$AK40,"◆",0),IF(AND(AB$2&gt;=$AK40,AB$2&lt;=$AL40),IF($AM40&gt;=1,2,IF(AB$2&lt;$AK40+($AL40-$AK40+1)*$AM40,2,3)),0)))</f>
        <v/>
      </c>
      <c r="AC40" s="11">
        <f>IF($AP40="",0,IF($AO40="Yes",IF(AC$2=$AK40,"◆",0),IF(AND(AC$2&gt;=$AK40,AC$2&lt;=$AL40),IF($AM40&gt;=1,2,IF(AC$2&lt;$AK40+($AL40-$AK40+1)*$AM40,2,3)),0)))</f>
        <v/>
      </c>
      <c r="AD40" s="11">
        <f>IF($AP40="",0,IF($AO40="Yes",IF(AD$2=$AK40,"◆",0),IF(AND(AD$2&gt;=$AK40,AD$2&lt;=$AL40),IF($AM40&gt;=1,2,IF(AD$2&lt;$AK40+($AL40-$AK40+1)*$AM40,2,3)),0)))</f>
        <v/>
      </c>
      <c r="AE40" s="11">
        <f>IF($AP40="",0,IF($AO40="Yes",IF(AE$2=$AK40,"◆",0),IF(AND(AE$2&gt;=$AK40,AE$2&lt;=$AL40),IF($AM40&gt;=1,2,IF(AE$2&lt;$AK40+($AL40-$AK40+1)*$AM40,2,3)),0)))</f>
        <v/>
      </c>
      <c r="AF40" s="11">
        <f>IF($AP40="",0,IF($AO40="Yes",IF(AF$2=$AK40,"◆",0),IF(AND(AF$2&gt;=$AK40,AF$2&lt;=$AL40),IF($AM40&gt;=1,2,IF(AF$2&lt;$AK40+($AL40-$AK40+1)*$AM40,2,3)),0)))</f>
        <v/>
      </c>
      <c r="AG40" s="11">
        <f>IF($AP40="",0,IF($AO40="Yes",IF(AG$2=$AK40,"◆",0),IF(AND(AG$2&gt;=$AK40,AG$2&lt;=$AL40),IF($AM40&gt;=1,2,IF(AG$2&lt;$AK40+($AL40-$AK40+1)*$AM40,2,3)),0)))</f>
        <v/>
      </c>
      <c r="AH40" s="11">
        <f>IF($AP40="",0,IF($AO40="Yes",IF(AH$2=$AK40,"◆",0),IF(AND(AH$2&gt;=$AK40,AH$2&lt;=$AL40),IF($AM40&gt;=1,2,IF(AH$2&lt;$AK40+($AL40-$AK40+1)*$AM40,2,3)),0)))</f>
        <v/>
      </c>
      <c r="AI40" s="11">
        <f>IF($AP40="",0,IF($AO40="Yes",IF(AI$2=$AK40,"◆",0),IF(AND(AI$2&gt;=$AK40,AI$2&lt;=$AL40),IF($AM40&gt;=1,2,IF(AI$2&lt;$AK40+($AL40-$AK40+1)*$AM40,2,3)),0)))</f>
        <v/>
      </c>
      <c r="AJ40" s="11">
        <f>IF($AP40="",0,IF($AO40="Yes",IF(AJ$2=$AK40,"◆",0),IF(AND(AJ$2&gt;=$AK40,AJ$2&lt;=$AL40),IF($AM40&gt;=1,2,IF(AJ$2&lt;$AK40+($AL40-$AK40+1)*$AM40,2,3)),0)))</f>
        <v/>
      </c>
      <c r="AK40">
        <f>IFERROR(INDEX(tblTasks[Start Date],ROW()-5),"")</f>
        <v/>
      </c>
      <c r="AL40">
        <f>IFERROR(INDEX(tblTasks[End Date],ROW()-5),"")</f>
        <v/>
      </c>
      <c r="AM40">
        <f>IFERROR(INDEX(tblTasks[Progress %],ROW()-5),0)</f>
        <v/>
      </c>
      <c r="AN40">
        <f>IFERROR(INDEX(tblTasks[Status],ROW()-5),"")</f>
        <v/>
      </c>
      <c r="AO40">
        <f>IFERROR(INDEX(tblTasks[Milestone],ROW()-5),"No")</f>
        <v/>
      </c>
      <c r="AP40">
        <f>IFERROR(INDEX(tblTasks[Task ID],ROW()-5),"")</f>
        <v/>
      </c>
      <c r="AQ40">
        <f>IFERROR(INDEX(tblTasks[Phase],ROW()-5),"")</f>
        <v/>
      </c>
    </row>
    <row r="41">
      <c r="A41" s="9">
        <f>IF($AP41="","",$AP41)</f>
        <v/>
      </c>
      <c r="B41" s="10">
        <f>IF($AP41="","",IF($AO41="Yes","◆ ","")&amp;INDEX(tblTasks[Task Name],ROW()-5))</f>
        <v/>
      </c>
      <c r="C41" s="11">
        <f>IF($AP41="",0,IF($AO41="Yes",IF(C$2=$AK41,"◆",0),IF(AND(C$2&gt;=$AK41,C$2&lt;=$AL41),IF($AM41&gt;=1,2,IF(C$2&lt;$AK41+($AL41-$AK41+1)*$AM41,2,3)),0)))</f>
        <v/>
      </c>
      <c r="D41" s="11">
        <f>IF($AP41="",0,IF($AO41="Yes",IF(D$2=$AK41,"◆",0),IF(AND(D$2&gt;=$AK41,D$2&lt;=$AL41),IF($AM41&gt;=1,2,IF(D$2&lt;$AK41+($AL41-$AK41+1)*$AM41,2,3)),0)))</f>
        <v/>
      </c>
      <c r="E41" s="11">
        <f>IF($AP41="",0,IF($AO41="Yes",IF(E$2=$AK41,"◆",0),IF(AND(E$2&gt;=$AK41,E$2&lt;=$AL41),IF($AM41&gt;=1,2,IF(E$2&lt;$AK41+($AL41-$AK41+1)*$AM41,2,3)),0)))</f>
        <v/>
      </c>
      <c r="F41" s="11">
        <f>IF($AP41="",0,IF($AO41="Yes",IF(F$2=$AK41,"◆",0),IF(AND(F$2&gt;=$AK41,F$2&lt;=$AL41),IF($AM41&gt;=1,2,IF(F$2&lt;$AK41+($AL41-$AK41+1)*$AM41,2,3)),0)))</f>
        <v/>
      </c>
      <c r="G41" s="11">
        <f>IF($AP41="",0,IF($AO41="Yes",IF(G$2=$AK41,"◆",0),IF(AND(G$2&gt;=$AK41,G$2&lt;=$AL41),IF($AM41&gt;=1,2,IF(G$2&lt;$AK41+($AL41-$AK41+1)*$AM41,2,3)),0)))</f>
        <v/>
      </c>
      <c r="H41" s="11">
        <f>IF($AP41="",0,IF($AO41="Yes",IF(H$2=$AK41,"◆",0),IF(AND(H$2&gt;=$AK41,H$2&lt;=$AL41),IF($AM41&gt;=1,2,IF(H$2&lt;$AK41+($AL41-$AK41+1)*$AM41,2,3)),0)))</f>
        <v/>
      </c>
      <c r="I41" s="11">
        <f>IF($AP41="",0,IF($AO41="Yes",IF(I$2=$AK41,"◆",0),IF(AND(I$2&gt;=$AK41,I$2&lt;=$AL41),IF($AM41&gt;=1,2,IF(I$2&lt;$AK41+($AL41-$AK41+1)*$AM41,2,3)),0)))</f>
        <v/>
      </c>
      <c r="J41" s="11">
        <f>IF($AP41="",0,IF($AO41="Yes",IF(J$2=$AK41,"◆",0),IF(AND(J$2&gt;=$AK41,J$2&lt;=$AL41),IF($AM41&gt;=1,2,IF(J$2&lt;$AK41+($AL41-$AK41+1)*$AM41,2,3)),0)))</f>
        <v/>
      </c>
      <c r="K41" s="11">
        <f>IF($AP41="",0,IF($AO41="Yes",IF(K$2=$AK41,"◆",0),IF(AND(K$2&gt;=$AK41,K$2&lt;=$AL41),IF($AM41&gt;=1,2,IF(K$2&lt;$AK41+($AL41-$AK41+1)*$AM41,2,3)),0)))</f>
        <v/>
      </c>
      <c r="L41" s="11">
        <f>IF($AP41="",0,IF($AO41="Yes",IF(L$2=$AK41,"◆",0),IF(AND(L$2&gt;=$AK41,L$2&lt;=$AL41),IF($AM41&gt;=1,2,IF(L$2&lt;$AK41+($AL41-$AK41+1)*$AM41,2,3)),0)))</f>
        <v/>
      </c>
      <c r="M41" s="11">
        <f>IF($AP41="",0,IF($AO41="Yes",IF(M$2=$AK41,"◆",0),IF(AND(M$2&gt;=$AK41,M$2&lt;=$AL41),IF($AM41&gt;=1,2,IF(M$2&lt;$AK41+($AL41-$AK41+1)*$AM41,2,3)),0)))</f>
        <v/>
      </c>
      <c r="N41" s="11">
        <f>IF($AP41="",0,IF($AO41="Yes",IF(N$2=$AK41,"◆",0),IF(AND(N$2&gt;=$AK41,N$2&lt;=$AL41),IF($AM41&gt;=1,2,IF(N$2&lt;$AK41+($AL41-$AK41+1)*$AM41,2,3)),0)))</f>
        <v/>
      </c>
      <c r="O41" s="11">
        <f>IF($AP41="",0,IF($AO41="Yes",IF(O$2=$AK41,"◆",0),IF(AND(O$2&gt;=$AK41,O$2&lt;=$AL41),IF($AM41&gt;=1,2,IF(O$2&lt;$AK41+($AL41-$AK41+1)*$AM41,2,3)),0)))</f>
        <v/>
      </c>
      <c r="P41" s="11">
        <f>IF($AP41="",0,IF($AO41="Yes",IF(P$2=$AK41,"◆",0),IF(AND(P$2&gt;=$AK41,P$2&lt;=$AL41),IF($AM41&gt;=1,2,IF(P$2&lt;$AK41+($AL41-$AK41+1)*$AM41,2,3)),0)))</f>
        <v/>
      </c>
      <c r="Q41" s="11">
        <f>IF($AP41="",0,IF($AO41="Yes",IF(Q$2=$AK41,"◆",0),IF(AND(Q$2&gt;=$AK41,Q$2&lt;=$AL41),IF($AM41&gt;=1,2,IF(Q$2&lt;$AK41+($AL41-$AK41+1)*$AM41,2,3)),0)))</f>
        <v/>
      </c>
      <c r="R41" s="11">
        <f>IF($AP41="",0,IF($AO41="Yes",IF(R$2=$AK41,"◆",0),IF(AND(R$2&gt;=$AK41,R$2&lt;=$AL41),IF($AM41&gt;=1,2,IF(R$2&lt;$AK41+($AL41-$AK41+1)*$AM41,2,3)),0)))</f>
        <v/>
      </c>
      <c r="S41" s="11">
        <f>IF($AP41="",0,IF($AO41="Yes",IF(S$2=$AK41,"◆",0),IF(AND(S$2&gt;=$AK41,S$2&lt;=$AL41),IF($AM41&gt;=1,2,IF(S$2&lt;$AK41+($AL41-$AK41+1)*$AM41,2,3)),0)))</f>
        <v/>
      </c>
      <c r="T41" s="11">
        <f>IF($AP41="",0,IF($AO41="Yes",IF(T$2=$AK41,"◆",0),IF(AND(T$2&gt;=$AK41,T$2&lt;=$AL41),IF($AM41&gt;=1,2,IF(T$2&lt;$AK41+($AL41-$AK41+1)*$AM41,2,3)),0)))</f>
        <v/>
      </c>
      <c r="U41" s="11">
        <f>IF($AP41="",0,IF($AO41="Yes",IF(U$2=$AK41,"◆",0),IF(AND(U$2&gt;=$AK41,U$2&lt;=$AL41),IF($AM41&gt;=1,2,IF(U$2&lt;$AK41+($AL41-$AK41+1)*$AM41,2,3)),0)))</f>
        <v/>
      </c>
      <c r="V41" s="11">
        <f>IF($AP41="",0,IF($AO41="Yes",IF(V$2=$AK41,"◆",0),IF(AND(V$2&gt;=$AK41,V$2&lt;=$AL41),IF($AM41&gt;=1,2,IF(V$2&lt;$AK41+($AL41-$AK41+1)*$AM41,2,3)),0)))</f>
        <v/>
      </c>
      <c r="W41" s="11">
        <f>IF($AP41="",0,IF($AO41="Yes",IF(W$2=$AK41,"◆",0),IF(AND(W$2&gt;=$AK41,W$2&lt;=$AL41),IF($AM41&gt;=1,2,IF(W$2&lt;$AK41+($AL41-$AK41+1)*$AM41,2,3)),0)))</f>
        <v/>
      </c>
      <c r="X41" s="11">
        <f>IF($AP41="",0,IF($AO41="Yes",IF(X$2=$AK41,"◆",0),IF(AND(X$2&gt;=$AK41,X$2&lt;=$AL41),IF($AM41&gt;=1,2,IF(X$2&lt;$AK41+($AL41-$AK41+1)*$AM41,2,3)),0)))</f>
        <v/>
      </c>
      <c r="Y41" s="11">
        <f>IF($AP41="",0,IF($AO41="Yes",IF(Y$2=$AK41,"◆",0),IF(AND(Y$2&gt;=$AK41,Y$2&lt;=$AL41),IF($AM41&gt;=1,2,IF(Y$2&lt;$AK41+($AL41-$AK41+1)*$AM41,2,3)),0)))</f>
        <v/>
      </c>
      <c r="Z41" s="11">
        <f>IF($AP41="",0,IF($AO41="Yes",IF(Z$2=$AK41,"◆",0),IF(AND(Z$2&gt;=$AK41,Z$2&lt;=$AL41),IF($AM41&gt;=1,2,IF(Z$2&lt;$AK41+($AL41-$AK41+1)*$AM41,2,3)),0)))</f>
        <v/>
      </c>
      <c r="AA41" s="11">
        <f>IF($AP41="",0,IF($AO41="Yes",IF(AA$2=$AK41,"◆",0),IF(AND(AA$2&gt;=$AK41,AA$2&lt;=$AL41),IF($AM41&gt;=1,2,IF(AA$2&lt;$AK41+($AL41-$AK41+1)*$AM41,2,3)),0)))</f>
        <v/>
      </c>
      <c r="AB41" s="11">
        <f>IF($AP41="",0,IF($AO41="Yes",IF(AB$2=$AK41,"◆",0),IF(AND(AB$2&gt;=$AK41,AB$2&lt;=$AL41),IF($AM41&gt;=1,2,IF(AB$2&lt;$AK41+($AL41-$AK41+1)*$AM41,2,3)),0)))</f>
        <v/>
      </c>
      <c r="AC41" s="11">
        <f>IF($AP41="",0,IF($AO41="Yes",IF(AC$2=$AK41,"◆",0),IF(AND(AC$2&gt;=$AK41,AC$2&lt;=$AL41),IF($AM41&gt;=1,2,IF(AC$2&lt;$AK41+($AL41-$AK41+1)*$AM41,2,3)),0)))</f>
        <v/>
      </c>
      <c r="AD41" s="11">
        <f>IF($AP41="",0,IF($AO41="Yes",IF(AD$2=$AK41,"◆",0),IF(AND(AD$2&gt;=$AK41,AD$2&lt;=$AL41),IF($AM41&gt;=1,2,IF(AD$2&lt;$AK41+($AL41-$AK41+1)*$AM41,2,3)),0)))</f>
        <v/>
      </c>
      <c r="AE41" s="11">
        <f>IF($AP41="",0,IF($AO41="Yes",IF(AE$2=$AK41,"◆",0),IF(AND(AE$2&gt;=$AK41,AE$2&lt;=$AL41),IF($AM41&gt;=1,2,IF(AE$2&lt;$AK41+($AL41-$AK41+1)*$AM41,2,3)),0)))</f>
        <v/>
      </c>
      <c r="AF41" s="11">
        <f>IF($AP41="",0,IF($AO41="Yes",IF(AF$2=$AK41,"◆",0),IF(AND(AF$2&gt;=$AK41,AF$2&lt;=$AL41),IF($AM41&gt;=1,2,IF(AF$2&lt;$AK41+($AL41-$AK41+1)*$AM41,2,3)),0)))</f>
        <v/>
      </c>
      <c r="AG41" s="11">
        <f>IF($AP41="",0,IF($AO41="Yes",IF(AG$2=$AK41,"◆",0),IF(AND(AG$2&gt;=$AK41,AG$2&lt;=$AL41),IF($AM41&gt;=1,2,IF(AG$2&lt;$AK41+($AL41-$AK41+1)*$AM41,2,3)),0)))</f>
        <v/>
      </c>
      <c r="AH41" s="11">
        <f>IF($AP41="",0,IF($AO41="Yes",IF(AH$2=$AK41,"◆",0),IF(AND(AH$2&gt;=$AK41,AH$2&lt;=$AL41),IF($AM41&gt;=1,2,IF(AH$2&lt;$AK41+($AL41-$AK41+1)*$AM41,2,3)),0)))</f>
        <v/>
      </c>
      <c r="AI41" s="11">
        <f>IF($AP41="",0,IF($AO41="Yes",IF(AI$2=$AK41,"◆",0),IF(AND(AI$2&gt;=$AK41,AI$2&lt;=$AL41),IF($AM41&gt;=1,2,IF(AI$2&lt;$AK41+($AL41-$AK41+1)*$AM41,2,3)),0)))</f>
        <v/>
      </c>
      <c r="AJ41" s="11">
        <f>IF($AP41="",0,IF($AO41="Yes",IF(AJ$2=$AK41,"◆",0),IF(AND(AJ$2&gt;=$AK41,AJ$2&lt;=$AL41),IF($AM41&gt;=1,2,IF(AJ$2&lt;$AK41+($AL41-$AK41+1)*$AM41,2,3)),0)))</f>
        <v/>
      </c>
      <c r="AK41">
        <f>IFERROR(INDEX(tblTasks[Start Date],ROW()-5),"")</f>
        <v/>
      </c>
      <c r="AL41">
        <f>IFERROR(INDEX(tblTasks[End Date],ROW()-5),"")</f>
        <v/>
      </c>
      <c r="AM41">
        <f>IFERROR(INDEX(tblTasks[Progress %],ROW()-5),0)</f>
        <v/>
      </c>
      <c r="AN41">
        <f>IFERROR(INDEX(tblTasks[Status],ROW()-5),"")</f>
        <v/>
      </c>
      <c r="AO41">
        <f>IFERROR(INDEX(tblTasks[Milestone],ROW()-5),"No")</f>
        <v/>
      </c>
      <c r="AP41">
        <f>IFERROR(INDEX(tblTasks[Task ID],ROW()-5),"")</f>
        <v/>
      </c>
      <c r="AQ41">
        <f>IFERROR(INDEX(tblTasks[Phase],ROW()-5),"")</f>
        <v/>
      </c>
    </row>
    <row r="42">
      <c r="A42" s="9">
        <f>IF($AP42="","",$AP42)</f>
        <v/>
      </c>
      <c r="B42" s="10">
        <f>IF($AP42="","",IF($AO42="Yes","◆ ","")&amp;INDEX(tblTasks[Task Name],ROW()-5))</f>
        <v/>
      </c>
      <c r="C42" s="11">
        <f>IF($AP42="",0,IF($AO42="Yes",IF(C$2=$AK42,"◆",0),IF(AND(C$2&gt;=$AK42,C$2&lt;=$AL42),IF($AM42&gt;=1,2,IF(C$2&lt;$AK42+($AL42-$AK42+1)*$AM42,2,3)),0)))</f>
        <v/>
      </c>
      <c r="D42" s="11">
        <f>IF($AP42="",0,IF($AO42="Yes",IF(D$2=$AK42,"◆",0),IF(AND(D$2&gt;=$AK42,D$2&lt;=$AL42),IF($AM42&gt;=1,2,IF(D$2&lt;$AK42+($AL42-$AK42+1)*$AM42,2,3)),0)))</f>
        <v/>
      </c>
      <c r="E42" s="11">
        <f>IF($AP42="",0,IF($AO42="Yes",IF(E$2=$AK42,"◆",0),IF(AND(E$2&gt;=$AK42,E$2&lt;=$AL42),IF($AM42&gt;=1,2,IF(E$2&lt;$AK42+($AL42-$AK42+1)*$AM42,2,3)),0)))</f>
        <v/>
      </c>
      <c r="F42" s="11">
        <f>IF($AP42="",0,IF($AO42="Yes",IF(F$2=$AK42,"◆",0),IF(AND(F$2&gt;=$AK42,F$2&lt;=$AL42),IF($AM42&gt;=1,2,IF(F$2&lt;$AK42+($AL42-$AK42+1)*$AM42,2,3)),0)))</f>
        <v/>
      </c>
      <c r="G42" s="11">
        <f>IF($AP42="",0,IF($AO42="Yes",IF(G$2=$AK42,"◆",0),IF(AND(G$2&gt;=$AK42,G$2&lt;=$AL42),IF($AM42&gt;=1,2,IF(G$2&lt;$AK42+($AL42-$AK42+1)*$AM42,2,3)),0)))</f>
        <v/>
      </c>
      <c r="H42" s="11">
        <f>IF($AP42="",0,IF($AO42="Yes",IF(H$2=$AK42,"◆",0),IF(AND(H$2&gt;=$AK42,H$2&lt;=$AL42),IF($AM42&gt;=1,2,IF(H$2&lt;$AK42+($AL42-$AK42+1)*$AM42,2,3)),0)))</f>
        <v/>
      </c>
      <c r="I42" s="11">
        <f>IF($AP42="",0,IF($AO42="Yes",IF(I$2=$AK42,"◆",0),IF(AND(I$2&gt;=$AK42,I$2&lt;=$AL42),IF($AM42&gt;=1,2,IF(I$2&lt;$AK42+($AL42-$AK42+1)*$AM42,2,3)),0)))</f>
        <v/>
      </c>
      <c r="J42" s="11">
        <f>IF($AP42="",0,IF($AO42="Yes",IF(J$2=$AK42,"◆",0),IF(AND(J$2&gt;=$AK42,J$2&lt;=$AL42),IF($AM42&gt;=1,2,IF(J$2&lt;$AK42+($AL42-$AK42+1)*$AM42,2,3)),0)))</f>
        <v/>
      </c>
      <c r="K42" s="11">
        <f>IF($AP42="",0,IF($AO42="Yes",IF(K$2=$AK42,"◆",0),IF(AND(K$2&gt;=$AK42,K$2&lt;=$AL42),IF($AM42&gt;=1,2,IF(K$2&lt;$AK42+($AL42-$AK42+1)*$AM42,2,3)),0)))</f>
        <v/>
      </c>
      <c r="L42" s="11">
        <f>IF($AP42="",0,IF($AO42="Yes",IF(L$2=$AK42,"◆",0),IF(AND(L$2&gt;=$AK42,L$2&lt;=$AL42),IF($AM42&gt;=1,2,IF(L$2&lt;$AK42+($AL42-$AK42+1)*$AM42,2,3)),0)))</f>
        <v/>
      </c>
      <c r="M42" s="11">
        <f>IF($AP42="",0,IF($AO42="Yes",IF(M$2=$AK42,"◆",0),IF(AND(M$2&gt;=$AK42,M$2&lt;=$AL42),IF($AM42&gt;=1,2,IF(M$2&lt;$AK42+($AL42-$AK42+1)*$AM42,2,3)),0)))</f>
        <v/>
      </c>
      <c r="N42" s="11">
        <f>IF($AP42="",0,IF($AO42="Yes",IF(N$2=$AK42,"◆",0),IF(AND(N$2&gt;=$AK42,N$2&lt;=$AL42),IF($AM42&gt;=1,2,IF(N$2&lt;$AK42+($AL42-$AK42+1)*$AM42,2,3)),0)))</f>
        <v/>
      </c>
      <c r="O42" s="11">
        <f>IF($AP42="",0,IF($AO42="Yes",IF(O$2=$AK42,"◆",0),IF(AND(O$2&gt;=$AK42,O$2&lt;=$AL42),IF($AM42&gt;=1,2,IF(O$2&lt;$AK42+($AL42-$AK42+1)*$AM42,2,3)),0)))</f>
        <v/>
      </c>
      <c r="P42" s="11">
        <f>IF($AP42="",0,IF($AO42="Yes",IF(P$2=$AK42,"◆",0),IF(AND(P$2&gt;=$AK42,P$2&lt;=$AL42),IF($AM42&gt;=1,2,IF(P$2&lt;$AK42+($AL42-$AK42+1)*$AM42,2,3)),0)))</f>
        <v/>
      </c>
      <c r="Q42" s="11">
        <f>IF($AP42="",0,IF($AO42="Yes",IF(Q$2=$AK42,"◆",0),IF(AND(Q$2&gt;=$AK42,Q$2&lt;=$AL42),IF($AM42&gt;=1,2,IF(Q$2&lt;$AK42+($AL42-$AK42+1)*$AM42,2,3)),0)))</f>
        <v/>
      </c>
      <c r="R42" s="11">
        <f>IF($AP42="",0,IF($AO42="Yes",IF(R$2=$AK42,"◆",0),IF(AND(R$2&gt;=$AK42,R$2&lt;=$AL42),IF($AM42&gt;=1,2,IF(R$2&lt;$AK42+($AL42-$AK42+1)*$AM42,2,3)),0)))</f>
        <v/>
      </c>
      <c r="S42" s="11">
        <f>IF($AP42="",0,IF($AO42="Yes",IF(S$2=$AK42,"◆",0),IF(AND(S$2&gt;=$AK42,S$2&lt;=$AL42),IF($AM42&gt;=1,2,IF(S$2&lt;$AK42+($AL42-$AK42+1)*$AM42,2,3)),0)))</f>
        <v/>
      </c>
      <c r="T42" s="11">
        <f>IF($AP42="",0,IF($AO42="Yes",IF(T$2=$AK42,"◆",0),IF(AND(T$2&gt;=$AK42,T$2&lt;=$AL42),IF($AM42&gt;=1,2,IF(T$2&lt;$AK42+($AL42-$AK42+1)*$AM42,2,3)),0)))</f>
        <v/>
      </c>
      <c r="U42" s="11">
        <f>IF($AP42="",0,IF($AO42="Yes",IF(U$2=$AK42,"◆",0),IF(AND(U$2&gt;=$AK42,U$2&lt;=$AL42),IF($AM42&gt;=1,2,IF(U$2&lt;$AK42+($AL42-$AK42+1)*$AM42,2,3)),0)))</f>
        <v/>
      </c>
      <c r="V42" s="11">
        <f>IF($AP42="",0,IF($AO42="Yes",IF(V$2=$AK42,"◆",0),IF(AND(V$2&gt;=$AK42,V$2&lt;=$AL42),IF($AM42&gt;=1,2,IF(V$2&lt;$AK42+($AL42-$AK42+1)*$AM42,2,3)),0)))</f>
        <v/>
      </c>
      <c r="W42" s="11">
        <f>IF($AP42="",0,IF($AO42="Yes",IF(W$2=$AK42,"◆",0),IF(AND(W$2&gt;=$AK42,W$2&lt;=$AL42),IF($AM42&gt;=1,2,IF(W$2&lt;$AK42+($AL42-$AK42+1)*$AM42,2,3)),0)))</f>
        <v/>
      </c>
      <c r="X42" s="11">
        <f>IF($AP42="",0,IF($AO42="Yes",IF(X$2=$AK42,"◆",0),IF(AND(X$2&gt;=$AK42,X$2&lt;=$AL42),IF($AM42&gt;=1,2,IF(X$2&lt;$AK42+($AL42-$AK42+1)*$AM42,2,3)),0)))</f>
        <v/>
      </c>
      <c r="Y42" s="11">
        <f>IF($AP42="",0,IF($AO42="Yes",IF(Y$2=$AK42,"◆",0),IF(AND(Y$2&gt;=$AK42,Y$2&lt;=$AL42),IF($AM42&gt;=1,2,IF(Y$2&lt;$AK42+($AL42-$AK42+1)*$AM42,2,3)),0)))</f>
        <v/>
      </c>
      <c r="Z42" s="11">
        <f>IF($AP42="",0,IF($AO42="Yes",IF(Z$2=$AK42,"◆",0),IF(AND(Z$2&gt;=$AK42,Z$2&lt;=$AL42),IF($AM42&gt;=1,2,IF(Z$2&lt;$AK42+($AL42-$AK42+1)*$AM42,2,3)),0)))</f>
        <v/>
      </c>
      <c r="AA42" s="11">
        <f>IF($AP42="",0,IF($AO42="Yes",IF(AA$2=$AK42,"◆",0),IF(AND(AA$2&gt;=$AK42,AA$2&lt;=$AL42),IF($AM42&gt;=1,2,IF(AA$2&lt;$AK42+($AL42-$AK42+1)*$AM42,2,3)),0)))</f>
        <v/>
      </c>
      <c r="AB42" s="11">
        <f>IF($AP42="",0,IF($AO42="Yes",IF(AB$2=$AK42,"◆",0),IF(AND(AB$2&gt;=$AK42,AB$2&lt;=$AL42),IF($AM42&gt;=1,2,IF(AB$2&lt;$AK42+($AL42-$AK42+1)*$AM42,2,3)),0)))</f>
        <v/>
      </c>
      <c r="AC42" s="11">
        <f>IF($AP42="",0,IF($AO42="Yes",IF(AC$2=$AK42,"◆",0),IF(AND(AC$2&gt;=$AK42,AC$2&lt;=$AL42),IF($AM42&gt;=1,2,IF(AC$2&lt;$AK42+($AL42-$AK42+1)*$AM42,2,3)),0)))</f>
        <v/>
      </c>
      <c r="AD42" s="11">
        <f>IF($AP42="",0,IF($AO42="Yes",IF(AD$2=$AK42,"◆",0),IF(AND(AD$2&gt;=$AK42,AD$2&lt;=$AL42),IF($AM42&gt;=1,2,IF(AD$2&lt;$AK42+($AL42-$AK42+1)*$AM42,2,3)),0)))</f>
        <v/>
      </c>
      <c r="AE42" s="11">
        <f>IF($AP42="",0,IF($AO42="Yes",IF(AE$2=$AK42,"◆",0),IF(AND(AE$2&gt;=$AK42,AE$2&lt;=$AL42),IF($AM42&gt;=1,2,IF(AE$2&lt;$AK42+($AL42-$AK42+1)*$AM42,2,3)),0)))</f>
        <v/>
      </c>
      <c r="AF42" s="11">
        <f>IF($AP42="",0,IF($AO42="Yes",IF(AF$2=$AK42,"◆",0),IF(AND(AF$2&gt;=$AK42,AF$2&lt;=$AL42),IF($AM42&gt;=1,2,IF(AF$2&lt;$AK42+($AL42-$AK42+1)*$AM42,2,3)),0)))</f>
        <v/>
      </c>
      <c r="AG42" s="11">
        <f>IF($AP42="",0,IF($AO42="Yes",IF(AG$2=$AK42,"◆",0),IF(AND(AG$2&gt;=$AK42,AG$2&lt;=$AL42),IF($AM42&gt;=1,2,IF(AG$2&lt;$AK42+($AL42-$AK42+1)*$AM42,2,3)),0)))</f>
        <v/>
      </c>
      <c r="AH42" s="11">
        <f>IF($AP42="",0,IF($AO42="Yes",IF(AH$2=$AK42,"◆",0),IF(AND(AH$2&gt;=$AK42,AH$2&lt;=$AL42),IF($AM42&gt;=1,2,IF(AH$2&lt;$AK42+($AL42-$AK42+1)*$AM42,2,3)),0)))</f>
        <v/>
      </c>
      <c r="AI42" s="11">
        <f>IF($AP42="",0,IF($AO42="Yes",IF(AI$2=$AK42,"◆",0),IF(AND(AI$2&gt;=$AK42,AI$2&lt;=$AL42),IF($AM42&gt;=1,2,IF(AI$2&lt;$AK42+($AL42-$AK42+1)*$AM42,2,3)),0)))</f>
        <v/>
      </c>
      <c r="AJ42" s="11">
        <f>IF($AP42="",0,IF($AO42="Yes",IF(AJ$2=$AK42,"◆",0),IF(AND(AJ$2&gt;=$AK42,AJ$2&lt;=$AL42),IF($AM42&gt;=1,2,IF(AJ$2&lt;$AK42+($AL42-$AK42+1)*$AM42,2,3)),0)))</f>
        <v/>
      </c>
      <c r="AK42">
        <f>IFERROR(INDEX(tblTasks[Start Date],ROW()-5),"")</f>
        <v/>
      </c>
      <c r="AL42">
        <f>IFERROR(INDEX(tblTasks[End Date],ROW()-5),"")</f>
        <v/>
      </c>
      <c r="AM42">
        <f>IFERROR(INDEX(tblTasks[Progress %],ROW()-5),0)</f>
        <v/>
      </c>
      <c r="AN42">
        <f>IFERROR(INDEX(tblTasks[Status],ROW()-5),"")</f>
        <v/>
      </c>
      <c r="AO42">
        <f>IFERROR(INDEX(tblTasks[Milestone],ROW()-5),"No")</f>
        <v/>
      </c>
      <c r="AP42">
        <f>IFERROR(INDEX(tblTasks[Task ID],ROW()-5),"")</f>
        <v/>
      </c>
      <c r="AQ42">
        <f>IFERROR(INDEX(tblTasks[Phase],ROW()-5),"")</f>
        <v/>
      </c>
    </row>
    <row r="43">
      <c r="A43" s="9">
        <f>IF($AP43="","",$AP43)</f>
        <v/>
      </c>
      <c r="B43" s="10">
        <f>IF($AP43="","",IF($AO43="Yes","◆ ","")&amp;INDEX(tblTasks[Task Name],ROW()-5))</f>
        <v/>
      </c>
      <c r="C43" s="11">
        <f>IF($AP43="",0,IF($AO43="Yes",IF(C$2=$AK43,"◆",0),IF(AND(C$2&gt;=$AK43,C$2&lt;=$AL43),IF($AM43&gt;=1,2,IF(C$2&lt;$AK43+($AL43-$AK43+1)*$AM43,2,3)),0)))</f>
        <v/>
      </c>
      <c r="D43" s="11">
        <f>IF($AP43="",0,IF($AO43="Yes",IF(D$2=$AK43,"◆",0),IF(AND(D$2&gt;=$AK43,D$2&lt;=$AL43),IF($AM43&gt;=1,2,IF(D$2&lt;$AK43+($AL43-$AK43+1)*$AM43,2,3)),0)))</f>
        <v/>
      </c>
      <c r="E43" s="11">
        <f>IF($AP43="",0,IF($AO43="Yes",IF(E$2=$AK43,"◆",0),IF(AND(E$2&gt;=$AK43,E$2&lt;=$AL43),IF($AM43&gt;=1,2,IF(E$2&lt;$AK43+($AL43-$AK43+1)*$AM43,2,3)),0)))</f>
        <v/>
      </c>
      <c r="F43" s="11">
        <f>IF($AP43="",0,IF($AO43="Yes",IF(F$2=$AK43,"◆",0),IF(AND(F$2&gt;=$AK43,F$2&lt;=$AL43),IF($AM43&gt;=1,2,IF(F$2&lt;$AK43+($AL43-$AK43+1)*$AM43,2,3)),0)))</f>
        <v/>
      </c>
      <c r="G43" s="11">
        <f>IF($AP43="",0,IF($AO43="Yes",IF(G$2=$AK43,"◆",0),IF(AND(G$2&gt;=$AK43,G$2&lt;=$AL43),IF($AM43&gt;=1,2,IF(G$2&lt;$AK43+($AL43-$AK43+1)*$AM43,2,3)),0)))</f>
        <v/>
      </c>
      <c r="H43" s="11">
        <f>IF($AP43="",0,IF($AO43="Yes",IF(H$2=$AK43,"◆",0),IF(AND(H$2&gt;=$AK43,H$2&lt;=$AL43),IF($AM43&gt;=1,2,IF(H$2&lt;$AK43+($AL43-$AK43+1)*$AM43,2,3)),0)))</f>
        <v/>
      </c>
      <c r="I43" s="11">
        <f>IF($AP43="",0,IF($AO43="Yes",IF(I$2=$AK43,"◆",0),IF(AND(I$2&gt;=$AK43,I$2&lt;=$AL43),IF($AM43&gt;=1,2,IF(I$2&lt;$AK43+($AL43-$AK43+1)*$AM43,2,3)),0)))</f>
        <v/>
      </c>
      <c r="J43" s="11">
        <f>IF($AP43="",0,IF($AO43="Yes",IF(J$2=$AK43,"◆",0),IF(AND(J$2&gt;=$AK43,J$2&lt;=$AL43),IF($AM43&gt;=1,2,IF(J$2&lt;$AK43+($AL43-$AK43+1)*$AM43,2,3)),0)))</f>
        <v/>
      </c>
      <c r="K43" s="11">
        <f>IF($AP43="",0,IF($AO43="Yes",IF(K$2=$AK43,"◆",0),IF(AND(K$2&gt;=$AK43,K$2&lt;=$AL43),IF($AM43&gt;=1,2,IF(K$2&lt;$AK43+($AL43-$AK43+1)*$AM43,2,3)),0)))</f>
        <v/>
      </c>
      <c r="L43" s="11">
        <f>IF($AP43="",0,IF($AO43="Yes",IF(L$2=$AK43,"◆",0),IF(AND(L$2&gt;=$AK43,L$2&lt;=$AL43),IF($AM43&gt;=1,2,IF(L$2&lt;$AK43+($AL43-$AK43+1)*$AM43,2,3)),0)))</f>
        <v/>
      </c>
      <c r="M43" s="11">
        <f>IF($AP43="",0,IF($AO43="Yes",IF(M$2=$AK43,"◆",0),IF(AND(M$2&gt;=$AK43,M$2&lt;=$AL43),IF($AM43&gt;=1,2,IF(M$2&lt;$AK43+($AL43-$AK43+1)*$AM43,2,3)),0)))</f>
        <v/>
      </c>
      <c r="N43" s="11">
        <f>IF($AP43="",0,IF($AO43="Yes",IF(N$2=$AK43,"◆",0),IF(AND(N$2&gt;=$AK43,N$2&lt;=$AL43),IF($AM43&gt;=1,2,IF(N$2&lt;$AK43+($AL43-$AK43+1)*$AM43,2,3)),0)))</f>
        <v/>
      </c>
      <c r="O43" s="11">
        <f>IF($AP43="",0,IF($AO43="Yes",IF(O$2=$AK43,"◆",0),IF(AND(O$2&gt;=$AK43,O$2&lt;=$AL43),IF($AM43&gt;=1,2,IF(O$2&lt;$AK43+($AL43-$AK43+1)*$AM43,2,3)),0)))</f>
        <v/>
      </c>
      <c r="P43" s="11">
        <f>IF($AP43="",0,IF($AO43="Yes",IF(P$2=$AK43,"◆",0),IF(AND(P$2&gt;=$AK43,P$2&lt;=$AL43),IF($AM43&gt;=1,2,IF(P$2&lt;$AK43+($AL43-$AK43+1)*$AM43,2,3)),0)))</f>
        <v/>
      </c>
      <c r="Q43" s="11">
        <f>IF($AP43="",0,IF($AO43="Yes",IF(Q$2=$AK43,"◆",0),IF(AND(Q$2&gt;=$AK43,Q$2&lt;=$AL43),IF($AM43&gt;=1,2,IF(Q$2&lt;$AK43+($AL43-$AK43+1)*$AM43,2,3)),0)))</f>
        <v/>
      </c>
      <c r="R43" s="11">
        <f>IF($AP43="",0,IF($AO43="Yes",IF(R$2=$AK43,"◆",0),IF(AND(R$2&gt;=$AK43,R$2&lt;=$AL43),IF($AM43&gt;=1,2,IF(R$2&lt;$AK43+($AL43-$AK43+1)*$AM43,2,3)),0)))</f>
        <v/>
      </c>
      <c r="S43" s="11">
        <f>IF($AP43="",0,IF($AO43="Yes",IF(S$2=$AK43,"◆",0),IF(AND(S$2&gt;=$AK43,S$2&lt;=$AL43),IF($AM43&gt;=1,2,IF(S$2&lt;$AK43+($AL43-$AK43+1)*$AM43,2,3)),0)))</f>
        <v/>
      </c>
      <c r="T43" s="11">
        <f>IF($AP43="",0,IF($AO43="Yes",IF(T$2=$AK43,"◆",0),IF(AND(T$2&gt;=$AK43,T$2&lt;=$AL43),IF($AM43&gt;=1,2,IF(T$2&lt;$AK43+($AL43-$AK43+1)*$AM43,2,3)),0)))</f>
        <v/>
      </c>
      <c r="U43" s="11">
        <f>IF($AP43="",0,IF($AO43="Yes",IF(U$2=$AK43,"◆",0),IF(AND(U$2&gt;=$AK43,U$2&lt;=$AL43),IF($AM43&gt;=1,2,IF(U$2&lt;$AK43+($AL43-$AK43+1)*$AM43,2,3)),0)))</f>
        <v/>
      </c>
      <c r="V43" s="11">
        <f>IF($AP43="",0,IF($AO43="Yes",IF(V$2=$AK43,"◆",0),IF(AND(V$2&gt;=$AK43,V$2&lt;=$AL43),IF($AM43&gt;=1,2,IF(V$2&lt;$AK43+($AL43-$AK43+1)*$AM43,2,3)),0)))</f>
        <v/>
      </c>
      <c r="W43" s="11">
        <f>IF($AP43="",0,IF($AO43="Yes",IF(W$2=$AK43,"◆",0),IF(AND(W$2&gt;=$AK43,W$2&lt;=$AL43),IF($AM43&gt;=1,2,IF(W$2&lt;$AK43+($AL43-$AK43+1)*$AM43,2,3)),0)))</f>
        <v/>
      </c>
      <c r="X43" s="11">
        <f>IF($AP43="",0,IF($AO43="Yes",IF(X$2=$AK43,"◆",0),IF(AND(X$2&gt;=$AK43,X$2&lt;=$AL43),IF($AM43&gt;=1,2,IF(X$2&lt;$AK43+($AL43-$AK43+1)*$AM43,2,3)),0)))</f>
        <v/>
      </c>
      <c r="Y43" s="11">
        <f>IF($AP43="",0,IF($AO43="Yes",IF(Y$2=$AK43,"◆",0),IF(AND(Y$2&gt;=$AK43,Y$2&lt;=$AL43),IF($AM43&gt;=1,2,IF(Y$2&lt;$AK43+($AL43-$AK43+1)*$AM43,2,3)),0)))</f>
        <v/>
      </c>
      <c r="Z43" s="11">
        <f>IF($AP43="",0,IF($AO43="Yes",IF(Z$2=$AK43,"◆",0),IF(AND(Z$2&gt;=$AK43,Z$2&lt;=$AL43),IF($AM43&gt;=1,2,IF(Z$2&lt;$AK43+($AL43-$AK43+1)*$AM43,2,3)),0)))</f>
        <v/>
      </c>
      <c r="AA43" s="11">
        <f>IF($AP43="",0,IF($AO43="Yes",IF(AA$2=$AK43,"◆",0),IF(AND(AA$2&gt;=$AK43,AA$2&lt;=$AL43),IF($AM43&gt;=1,2,IF(AA$2&lt;$AK43+($AL43-$AK43+1)*$AM43,2,3)),0)))</f>
        <v/>
      </c>
      <c r="AB43" s="11">
        <f>IF($AP43="",0,IF($AO43="Yes",IF(AB$2=$AK43,"◆",0),IF(AND(AB$2&gt;=$AK43,AB$2&lt;=$AL43),IF($AM43&gt;=1,2,IF(AB$2&lt;$AK43+($AL43-$AK43+1)*$AM43,2,3)),0)))</f>
        <v/>
      </c>
      <c r="AC43" s="11">
        <f>IF($AP43="",0,IF($AO43="Yes",IF(AC$2=$AK43,"◆",0),IF(AND(AC$2&gt;=$AK43,AC$2&lt;=$AL43),IF($AM43&gt;=1,2,IF(AC$2&lt;$AK43+($AL43-$AK43+1)*$AM43,2,3)),0)))</f>
        <v/>
      </c>
      <c r="AD43" s="11">
        <f>IF($AP43="",0,IF($AO43="Yes",IF(AD$2=$AK43,"◆",0),IF(AND(AD$2&gt;=$AK43,AD$2&lt;=$AL43),IF($AM43&gt;=1,2,IF(AD$2&lt;$AK43+($AL43-$AK43+1)*$AM43,2,3)),0)))</f>
        <v/>
      </c>
      <c r="AE43" s="11">
        <f>IF($AP43="",0,IF($AO43="Yes",IF(AE$2=$AK43,"◆",0),IF(AND(AE$2&gt;=$AK43,AE$2&lt;=$AL43),IF($AM43&gt;=1,2,IF(AE$2&lt;$AK43+($AL43-$AK43+1)*$AM43,2,3)),0)))</f>
        <v/>
      </c>
      <c r="AF43" s="11">
        <f>IF($AP43="",0,IF($AO43="Yes",IF(AF$2=$AK43,"◆",0),IF(AND(AF$2&gt;=$AK43,AF$2&lt;=$AL43),IF($AM43&gt;=1,2,IF(AF$2&lt;$AK43+($AL43-$AK43+1)*$AM43,2,3)),0)))</f>
        <v/>
      </c>
      <c r="AG43" s="11">
        <f>IF($AP43="",0,IF($AO43="Yes",IF(AG$2=$AK43,"◆",0),IF(AND(AG$2&gt;=$AK43,AG$2&lt;=$AL43),IF($AM43&gt;=1,2,IF(AG$2&lt;$AK43+($AL43-$AK43+1)*$AM43,2,3)),0)))</f>
        <v/>
      </c>
      <c r="AH43" s="11">
        <f>IF($AP43="",0,IF($AO43="Yes",IF(AH$2=$AK43,"◆",0),IF(AND(AH$2&gt;=$AK43,AH$2&lt;=$AL43),IF($AM43&gt;=1,2,IF(AH$2&lt;$AK43+($AL43-$AK43+1)*$AM43,2,3)),0)))</f>
        <v/>
      </c>
      <c r="AI43" s="11">
        <f>IF($AP43="",0,IF($AO43="Yes",IF(AI$2=$AK43,"◆",0),IF(AND(AI$2&gt;=$AK43,AI$2&lt;=$AL43),IF($AM43&gt;=1,2,IF(AI$2&lt;$AK43+($AL43-$AK43+1)*$AM43,2,3)),0)))</f>
        <v/>
      </c>
      <c r="AJ43" s="11">
        <f>IF($AP43="",0,IF($AO43="Yes",IF(AJ$2=$AK43,"◆",0),IF(AND(AJ$2&gt;=$AK43,AJ$2&lt;=$AL43),IF($AM43&gt;=1,2,IF(AJ$2&lt;$AK43+($AL43-$AK43+1)*$AM43,2,3)),0)))</f>
        <v/>
      </c>
      <c r="AK43">
        <f>IFERROR(INDEX(tblTasks[Start Date],ROW()-5),"")</f>
        <v/>
      </c>
      <c r="AL43">
        <f>IFERROR(INDEX(tblTasks[End Date],ROW()-5),"")</f>
        <v/>
      </c>
      <c r="AM43">
        <f>IFERROR(INDEX(tblTasks[Progress %],ROW()-5),0)</f>
        <v/>
      </c>
      <c r="AN43">
        <f>IFERROR(INDEX(tblTasks[Status],ROW()-5),"")</f>
        <v/>
      </c>
      <c r="AO43">
        <f>IFERROR(INDEX(tblTasks[Milestone],ROW()-5),"No")</f>
        <v/>
      </c>
      <c r="AP43">
        <f>IFERROR(INDEX(tblTasks[Task ID],ROW()-5),"")</f>
        <v/>
      </c>
      <c r="AQ43">
        <f>IFERROR(INDEX(tblTasks[Phase],ROW()-5),"")</f>
        <v/>
      </c>
    </row>
    <row r="44">
      <c r="A44" s="9">
        <f>IF($AP44="","",$AP44)</f>
        <v/>
      </c>
      <c r="B44" s="10">
        <f>IF($AP44="","",IF($AO44="Yes","◆ ","")&amp;INDEX(tblTasks[Task Name],ROW()-5))</f>
        <v/>
      </c>
      <c r="C44" s="11">
        <f>IF($AP44="",0,IF($AO44="Yes",IF(C$2=$AK44,"◆",0),IF(AND(C$2&gt;=$AK44,C$2&lt;=$AL44),IF($AM44&gt;=1,2,IF(C$2&lt;$AK44+($AL44-$AK44+1)*$AM44,2,3)),0)))</f>
        <v/>
      </c>
      <c r="D44" s="11">
        <f>IF($AP44="",0,IF($AO44="Yes",IF(D$2=$AK44,"◆",0),IF(AND(D$2&gt;=$AK44,D$2&lt;=$AL44),IF($AM44&gt;=1,2,IF(D$2&lt;$AK44+($AL44-$AK44+1)*$AM44,2,3)),0)))</f>
        <v/>
      </c>
      <c r="E44" s="11">
        <f>IF($AP44="",0,IF($AO44="Yes",IF(E$2=$AK44,"◆",0),IF(AND(E$2&gt;=$AK44,E$2&lt;=$AL44),IF($AM44&gt;=1,2,IF(E$2&lt;$AK44+($AL44-$AK44+1)*$AM44,2,3)),0)))</f>
        <v/>
      </c>
      <c r="F44" s="11">
        <f>IF($AP44="",0,IF($AO44="Yes",IF(F$2=$AK44,"◆",0),IF(AND(F$2&gt;=$AK44,F$2&lt;=$AL44),IF($AM44&gt;=1,2,IF(F$2&lt;$AK44+($AL44-$AK44+1)*$AM44,2,3)),0)))</f>
        <v/>
      </c>
      <c r="G44" s="11">
        <f>IF($AP44="",0,IF($AO44="Yes",IF(G$2=$AK44,"◆",0),IF(AND(G$2&gt;=$AK44,G$2&lt;=$AL44),IF($AM44&gt;=1,2,IF(G$2&lt;$AK44+($AL44-$AK44+1)*$AM44,2,3)),0)))</f>
        <v/>
      </c>
      <c r="H44" s="11">
        <f>IF($AP44="",0,IF($AO44="Yes",IF(H$2=$AK44,"◆",0),IF(AND(H$2&gt;=$AK44,H$2&lt;=$AL44),IF($AM44&gt;=1,2,IF(H$2&lt;$AK44+($AL44-$AK44+1)*$AM44,2,3)),0)))</f>
        <v/>
      </c>
      <c r="I44" s="11">
        <f>IF($AP44="",0,IF($AO44="Yes",IF(I$2=$AK44,"◆",0),IF(AND(I$2&gt;=$AK44,I$2&lt;=$AL44),IF($AM44&gt;=1,2,IF(I$2&lt;$AK44+($AL44-$AK44+1)*$AM44,2,3)),0)))</f>
        <v/>
      </c>
      <c r="J44" s="11">
        <f>IF($AP44="",0,IF($AO44="Yes",IF(J$2=$AK44,"◆",0),IF(AND(J$2&gt;=$AK44,J$2&lt;=$AL44),IF($AM44&gt;=1,2,IF(J$2&lt;$AK44+($AL44-$AK44+1)*$AM44,2,3)),0)))</f>
        <v/>
      </c>
      <c r="K44" s="11">
        <f>IF($AP44="",0,IF($AO44="Yes",IF(K$2=$AK44,"◆",0),IF(AND(K$2&gt;=$AK44,K$2&lt;=$AL44),IF($AM44&gt;=1,2,IF(K$2&lt;$AK44+($AL44-$AK44+1)*$AM44,2,3)),0)))</f>
        <v/>
      </c>
      <c r="L44" s="11">
        <f>IF($AP44="",0,IF($AO44="Yes",IF(L$2=$AK44,"◆",0),IF(AND(L$2&gt;=$AK44,L$2&lt;=$AL44),IF($AM44&gt;=1,2,IF(L$2&lt;$AK44+($AL44-$AK44+1)*$AM44,2,3)),0)))</f>
        <v/>
      </c>
      <c r="M44" s="11">
        <f>IF($AP44="",0,IF($AO44="Yes",IF(M$2=$AK44,"◆",0),IF(AND(M$2&gt;=$AK44,M$2&lt;=$AL44),IF($AM44&gt;=1,2,IF(M$2&lt;$AK44+($AL44-$AK44+1)*$AM44,2,3)),0)))</f>
        <v/>
      </c>
      <c r="N44" s="11">
        <f>IF($AP44="",0,IF($AO44="Yes",IF(N$2=$AK44,"◆",0),IF(AND(N$2&gt;=$AK44,N$2&lt;=$AL44),IF($AM44&gt;=1,2,IF(N$2&lt;$AK44+($AL44-$AK44+1)*$AM44,2,3)),0)))</f>
        <v/>
      </c>
      <c r="O44" s="11">
        <f>IF($AP44="",0,IF($AO44="Yes",IF(O$2=$AK44,"◆",0),IF(AND(O$2&gt;=$AK44,O$2&lt;=$AL44),IF($AM44&gt;=1,2,IF(O$2&lt;$AK44+($AL44-$AK44+1)*$AM44,2,3)),0)))</f>
        <v/>
      </c>
      <c r="P44" s="11">
        <f>IF($AP44="",0,IF($AO44="Yes",IF(P$2=$AK44,"◆",0),IF(AND(P$2&gt;=$AK44,P$2&lt;=$AL44),IF($AM44&gt;=1,2,IF(P$2&lt;$AK44+($AL44-$AK44+1)*$AM44,2,3)),0)))</f>
        <v/>
      </c>
      <c r="Q44" s="11">
        <f>IF($AP44="",0,IF($AO44="Yes",IF(Q$2=$AK44,"◆",0),IF(AND(Q$2&gt;=$AK44,Q$2&lt;=$AL44),IF($AM44&gt;=1,2,IF(Q$2&lt;$AK44+($AL44-$AK44+1)*$AM44,2,3)),0)))</f>
        <v/>
      </c>
      <c r="R44" s="11">
        <f>IF($AP44="",0,IF($AO44="Yes",IF(R$2=$AK44,"◆",0),IF(AND(R$2&gt;=$AK44,R$2&lt;=$AL44),IF($AM44&gt;=1,2,IF(R$2&lt;$AK44+($AL44-$AK44+1)*$AM44,2,3)),0)))</f>
        <v/>
      </c>
      <c r="S44" s="11">
        <f>IF($AP44="",0,IF($AO44="Yes",IF(S$2=$AK44,"◆",0),IF(AND(S$2&gt;=$AK44,S$2&lt;=$AL44),IF($AM44&gt;=1,2,IF(S$2&lt;$AK44+($AL44-$AK44+1)*$AM44,2,3)),0)))</f>
        <v/>
      </c>
      <c r="T44" s="11">
        <f>IF($AP44="",0,IF($AO44="Yes",IF(T$2=$AK44,"◆",0),IF(AND(T$2&gt;=$AK44,T$2&lt;=$AL44),IF($AM44&gt;=1,2,IF(T$2&lt;$AK44+($AL44-$AK44+1)*$AM44,2,3)),0)))</f>
        <v/>
      </c>
      <c r="U44" s="11">
        <f>IF($AP44="",0,IF($AO44="Yes",IF(U$2=$AK44,"◆",0),IF(AND(U$2&gt;=$AK44,U$2&lt;=$AL44),IF($AM44&gt;=1,2,IF(U$2&lt;$AK44+($AL44-$AK44+1)*$AM44,2,3)),0)))</f>
        <v/>
      </c>
      <c r="V44" s="11">
        <f>IF($AP44="",0,IF($AO44="Yes",IF(V$2=$AK44,"◆",0),IF(AND(V$2&gt;=$AK44,V$2&lt;=$AL44),IF($AM44&gt;=1,2,IF(V$2&lt;$AK44+($AL44-$AK44+1)*$AM44,2,3)),0)))</f>
        <v/>
      </c>
      <c r="W44" s="11">
        <f>IF($AP44="",0,IF($AO44="Yes",IF(W$2=$AK44,"◆",0),IF(AND(W$2&gt;=$AK44,W$2&lt;=$AL44),IF($AM44&gt;=1,2,IF(W$2&lt;$AK44+($AL44-$AK44+1)*$AM44,2,3)),0)))</f>
        <v/>
      </c>
      <c r="X44" s="11">
        <f>IF($AP44="",0,IF($AO44="Yes",IF(X$2=$AK44,"◆",0),IF(AND(X$2&gt;=$AK44,X$2&lt;=$AL44),IF($AM44&gt;=1,2,IF(X$2&lt;$AK44+($AL44-$AK44+1)*$AM44,2,3)),0)))</f>
        <v/>
      </c>
      <c r="Y44" s="11">
        <f>IF($AP44="",0,IF($AO44="Yes",IF(Y$2=$AK44,"◆",0),IF(AND(Y$2&gt;=$AK44,Y$2&lt;=$AL44),IF($AM44&gt;=1,2,IF(Y$2&lt;$AK44+($AL44-$AK44+1)*$AM44,2,3)),0)))</f>
        <v/>
      </c>
      <c r="Z44" s="11">
        <f>IF($AP44="",0,IF($AO44="Yes",IF(Z$2=$AK44,"◆",0),IF(AND(Z$2&gt;=$AK44,Z$2&lt;=$AL44),IF($AM44&gt;=1,2,IF(Z$2&lt;$AK44+($AL44-$AK44+1)*$AM44,2,3)),0)))</f>
        <v/>
      </c>
      <c r="AA44" s="11">
        <f>IF($AP44="",0,IF($AO44="Yes",IF(AA$2=$AK44,"◆",0),IF(AND(AA$2&gt;=$AK44,AA$2&lt;=$AL44),IF($AM44&gt;=1,2,IF(AA$2&lt;$AK44+($AL44-$AK44+1)*$AM44,2,3)),0)))</f>
        <v/>
      </c>
      <c r="AB44" s="11">
        <f>IF($AP44="",0,IF($AO44="Yes",IF(AB$2=$AK44,"◆",0),IF(AND(AB$2&gt;=$AK44,AB$2&lt;=$AL44),IF($AM44&gt;=1,2,IF(AB$2&lt;$AK44+($AL44-$AK44+1)*$AM44,2,3)),0)))</f>
        <v/>
      </c>
      <c r="AC44" s="11">
        <f>IF($AP44="",0,IF($AO44="Yes",IF(AC$2=$AK44,"◆",0),IF(AND(AC$2&gt;=$AK44,AC$2&lt;=$AL44),IF($AM44&gt;=1,2,IF(AC$2&lt;$AK44+($AL44-$AK44+1)*$AM44,2,3)),0)))</f>
        <v/>
      </c>
      <c r="AD44" s="11">
        <f>IF($AP44="",0,IF($AO44="Yes",IF(AD$2=$AK44,"◆",0),IF(AND(AD$2&gt;=$AK44,AD$2&lt;=$AL44),IF($AM44&gt;=1,2,IF(AD$2&lt;$AK44+($AL44-$AK44+1)*$AM44,2,3)),0)))</f>
        <v/>
      </c>
      <c r="AE44" s="11">
        <f>IF($AP44="",0,IF($AO44="Yes",IF(AE$2=$AK44,"◆",0),IF(AND(AE$2&gt;=$AK44,AE$2&lt;=$AL44),IF($AM44&gt;=1,2,IF(AE$2&lt;$AK44+($AL44-$AK44+1)*$AM44,2,3)),0)))</f>
        <v/>
      </c>
      <c r="AF44" s="11">
        <f>IF($AP44="",0,IF($AO44="Yes",IF(AF$2=$AK44,"◆",0),IF(AND(AF$2&gt;=$AK44,AF$2&lt;=$AL44),IF($AM44&gt;=1,2,IF(AF$2&lt;$AK44+($AL44-$AK44+1)*$AM44,2,3)),0)))</f>
        <v/>
      </c>
      <c r="AG44" s="11">
        <f>IF($AP44="",0,IF($AO44="Yes",IF(AG$2=$AK44,"◆",0),IF(AND(AG$2&gt;=$AK44,AG$2&lt;=$AL44),IF($AM44&gt;=1,2,IF(AG$2&lt;$AK44+($AL44-$AK44+1)*$AM44,2,3)),0)))</f>
        <v/>
      </c>
      <c r="AH44" s="11">
        <f>IF($AP44="",0,IF($AO44="Yes",IF(AH$2=$AK44,"◆",0),IF(AND(AH$2&gt;=$AK44,AH$2&lt;=$AL44),IF($AM44&gt;=1,2,IF(AH$2&lt;$AK44+($AL44-$AK44+1)*$AM44,2,3)),0)))</f>
        <v/>
      </c>
      <c r="AI44" s="11">
        <f>IF($AP44="",0,IF($AO44="Yes",IF(AI$2=$AK44,"◆",0),IF(AND(AI$2&gt;=$AK44,AI$2&lt;=$AL44),IF($AM44&gt;=1,2,IF(AI$2&lt;$AK44+($AL44-$AK44+1)*$AM44,2,3)),0)))</f>
        <v/>
      </c>
      <c r="AJ44" s="11">
        <f>IF($AP44="",0,IF($AO44="Yes",IF(AJ$2=$AK44,"◆",0),IF(AND(AJ$2&gt;=$AK44,AJ$2&lt;=$AL44),IF($AM44&gt;=1,2,IF(AJ$2&lt;$AK44+($AL44-$AK44+1)*$AM44,2,3)),0)))</f>
        <v/>
      </c>
      <c r="AK44">
        <f>IFERROR(INDEX(tblTasks[Start Date],ROW()-5),"")</f>
        <v/>
      </c>
      <c r="AL44">
        <f>IFERROR(INDEX(tblTasks[End Date],ROW()-5),"")</f>
        <v/>
      </c>
      <c r="AM44">
        <f>IFERROR(INDEX(tblTasks[Progress %],ROW()-5),0)</f>
        <v/>
      </c>
      <c r="AN44">
        <f>IFERROR(INDEX(tblTasks[Status],ROW()-5),"")</f>
        <v/>
      </c>
      <c r="AO44">
        <f>IFERROR(INDEX(tblTasks[Milestone],ROW()-5),"No")</f>
        <v/>
      </c>
      <c r="AP44">
        <f>IFERROR(INDEX(tblTasks[Task ID],ROW()-5),"")</f>
        <v/>
      </c>
      <c r="AQ44">
        <f>IFERROR(INDEX(tblTasks[Phase],ROW()-5),"")</f>
        <v/>
      </c>
    </row>
    <row r="45">
      <c r="A45" s="9">
        <f>IF($AP45="","",$AP45)</f>
        <v/>
      </c>
      <c r="B45" s="10">
        <f>IF($AP45="","",IF($AO45="Yes","◆ ","")&amp;INDEX(tblTasks[Task Name],ROW()-5))</f>
        <v/>
      </c>
      <c r="C45" s="11">
        <f>IF($AP45="",0,IF($AO45="Yes",IF(C$2=$AK45,"◆",0),IF(AND(C$2&gt;=$AK45,C$2&lt;=$AL45),IF($AM45&gt;=1,2,IF(C$2&lt;$AK45+($AL45-$AK45+1)*$AM45,2,3)),0)))</f>
        <v/>
      </c>
      <c r="D45" s="11">
        <f>IF($AP45="",0,IF($AO45="Yes",IF(D$2=$AK45,"◆",0),IF(AND(D$2&gt;=$AK45,D$2&lt;=$AL45),IF($AM45&gt;=1,2,IF(D$2&lt;$AK45+($AL45-$AK45+1)*$AM45,2,3)),0)))</f>
        <v/>
      </c>
      <c r="E45" s="11">
        <f>IF($AP45="",0,IF($AO45="Yes",IF(E$2=$AK45,"◆",0),IF(AND(E$2&gt;=$AK45,E$2&lt;=$AL45),IF($AM45&gt;=1,2,IF(E$2&lt;$AK45+($AL45-$AK45+1)*$AM45,2,3)),0)))</f>
        <v/>
      </c>
      <c r="F45" s="11">
        <f>IF($AP45="",0,IF($AO45="Yes",IF(F$2=$AK45,"◆",0),IF(AND(F$2&gt;=$AK45,F$2&lt;=$AL45),IF($AM45&gt;=1,2,IF(F$2&lt;$AK45+($AL45-$AK45+1)*$AM45,2,3)),0)))</f>
        <v/>
      </c>
      <c r="G45" s="11">
        <f>IF($AP45="",0,IF($AO45="Yes",IF(G$2=$AK45,"◆",0),IF(AND(G$2&gt;=$AK45,G$2&lt;=$AL45),IF($AM45&gt;=1,2,IF(G$2&lt;$AK45+($AL45-$AK45+1)*$AM45,2,3)),0)))</f>
        <v/>
      </c>
      <c r="H45" s="11">
        <f>IF($AP45="",0,IF($AO45="Yes",IF(H$2=$AK45,"◆",0),IF(AND(H$2&gt;=$AK45,H$2&lt;=$AL45),IF($AM45&gt;=1,2,IF(H$2&lt;$AK45+($AL45-$AK45+1)*$AM45,2,3)),0)))</f>
        <v/>
      </c>
      <c r="I45" s="11">
        <f>IF($AP45="",0,IF($AO45="Yes",IF(I$2=$AK45,"◆",0),IF(AND(I$2&gt;=$AK45,I$2&lt;=$AL45),IF($AM45&gt;=1,2,IF(I$2&lt;$AK45+($AL45-$AK45+1)*$AM45,2,3)),0)))</f>
        <v/>
      </c>
      <c r="J45" s="11">
        <f>IF($AP45="",0,IF($AO45="Yes",IF(J$2=$AK45,"◆",0),IF(AND(J$2&gt;=$AK45,J$2&lt;=$AL45),IF($AM45&gt;=1,2,IF(J$2&lt;$AK45+($AL45-$AK45+1)*$AM45,2,3)),0)))</f>
        <v/>
      </c>
      <c r="K45" s="11">
        <f>IF($AP45="",0,IF($AO45="Yes",IF(K$2=$AK45,"◆",0),IF(AND(K$2&gt;=$AK45,K$2&lt;=$AL45),IF($AM45&gt;=1,2,IF(K$2&lt;$AK45+($AL45-$AK45+1)*$AM45,2,3)),0)))</f>
        <v/>
      </c>
      <c r="L45" s="11">
        <f>IF($AP45="",0,IF($AO45="Yes",IF(L$2=$AK45,"◆",0),IF(AND(L$2&gt;=$AK45,L$2&lt;=$AL45),IF($AM45&gt;=1,2,IF(L$2&lt;$AK45+($AL45-$AK45+1)*$AM45,2,3)),0)))</f>
        <v/>
      </c>
      <c r="M45" s="11">
        <f>IF($AP45="",0,IF($AO45="Yes",IF(M$2=$AK45,"◆",0),IF(AND(M$2&gt;=$AK45,M$2&lt;=$AL45),IF($AM45&gt;=1,2,IF(M$2&lt;$AK45+($AL45-$AK45+1)*$AM45,2,3)),0)))</f>
        <v/>
      </c>
      <c r="N45" s="11">
        <f>IF($AP45="",0,IF($AO45="Yes",IF(N$2=$AK45,"◆",0),IF(AND(N$2&gt;=$AK45,N$2&lt;=$AL45),IF($AM45&gt;=1,2,IF(N$2&lt;$AK45+($AL45-$AK45+1)*$AM45,2,3)),0)))</f>
        <v/>
      </c>
      <c r="O45" s="11">
        <f>IF($AP45="",0,IF($AO45="Yes",IF(O$2=$AK45,"◆",0),IF(AND(O$2&gt;=$AK45,O$2&lt;=$AL45),IF($AM45&gt;=1,2,IF(O$2&lt;$AK45+($AL45-$AK45+1)*$AM45,2,3)),0)))</f>
        <v/>
      </c>
      <c r="P45" s="11">
        <f>IF($AP45="",0,IF($AO45="Yes",IF(P$2=$AK45,"◆",0),IF(AND(P$2&gt;=$AK45,P$2&lt;=$AL45),IF($AM45&gt;=1,2,IF(P$2&lt;$AK45+($AL45-$AK45+1)*$AM45,2,3)),0)))</f>
        <v/>
      </c>
      <c r="Q45" s="11">
        <f>IF($AP45="",0,IF($AO45="Yes",IF(Q$2=$AK45,"◆",0),IF(AND(Q$2&gt;=$AK45,Q$2&lt;=$AL45),IF($AM45&gt;=1,2,IF(Q$2&lt;$AK45+($AL45-$AK45+1)*$AM45,2,3)),0)))</f>
        <v/>
      </c>
      <c r="R45" s="11">
        <f>IF($AP45="",0,IF($AO45="Yes",IF(R$2=$AK45,"◆",0),IF(AND(R$2&gt;=$AK45,R$2&lt;=$AL45),IF($AM45&gt;=1,2,IF(R$2&lt;$AK45+($AL45-$AK45+1)*$AM45,2,3)),0)))</f>
        <v/>
      </c>
      <c r="S45" s="11">
        <f>IF($AP45="",0,IF($AO45="Yes",IF(S$2=$AK45,"◆",0),IF(AND(S$2&gt;=$AK45,S$2&lt;=$AL45),IF($AM45&gt;=1,2,IF(S$2&lt;$AK45+($AL45-$AK45+1)*$AM45,2,3)),0)))</f>
        <v/>
      </c>
      <c r="T45" s="11">
        <f>IF($AP45="",0,IF($AO45="Yes",IF(T$2=$AK45,"◆",0),IF(AND(T$2&gt;=$AK45,T$2&lt;=$AL45),IF($AM45&gt;=1,2,IF(T$2&lt;$AK45+($AL45-$AK45+1)*$AM45,2,3)),0)))</f>
        <v/>
      </c>
      <c r="U45" s="11">
        <f>IF($AP45="",0,IF($AO45="Yes",IF(U$2=$AK45,"◆",0),IF(AND(U$2&gt;=$AK45,U$2&lt;=$AL45),IF($AM45&gt;=1,2,IF(U$2&lt;$AK45+($AL45-$AK45+1)*$AM45,2,3)),0)))</f>
        <v/>
      </c>
      <c r="V45" s="11">
        <f>IF($AP45="",0,IF($AO45="Yes",IF(V$2=$AK45,"◆",0),IF(AND(V$2&gt;=$AK45,V$2&lt;=$AL45),IF($AM45&gt;=1,2,IF(V$2&lt;$AK45+($AL45-$AK45+1)*$AM45,2,3)),0)))</f>
        <v/>
      </c>
      <c r="W45" s="11">
        <f>IF($AP45="",0,IF($AO45="Yes",IF(W$2=$AK45,"◆",0),IF(AND(W$2&gt;=$AK45,W$2&lt;=$AL45),IF($AM45&gt;=1,2,IF(W$2&lt;$AK45+($AL45-$AK45+1)*$AM45,2,3)),0)))</f>
        <v/>
      </c>
      <c r="X45" s="11">
        <f>IF($AP45="",0,IF($AO45="Yes",IF(X$2=$AK45,"◆",0),IF(AND(X$2&gt;=$AK45,X$2&lt;=$AL45),IF($AM45&gt;=1,2,IF(X$2&lt;$AK45+($AL45-$AK45+1)*$AM45,2,3)),0)))</f>
        <v/>
      </c>
      <c r="Y45" s="11">
        <f>IF($AP45="",0,IF($AO45="Yes",IF(Y$2=$AK45,"◆",0),IF(AND(Y$2&gt;=$AK45,Y$2&lt;=$AL45),IF($AM45&gt;=1,2,IF(Y$2&lt;$AK45+($AL45-$AK45+1)*$AM45,2,3)),0)))</f>
        <v/>
      </c>
      <c r="Z45" s="11">
        <f>IF($AP45="",0,IF($AO45="Yes",IF(Z$2=$AK45,"◆",0),IF(AND(Z$2&gt;=$AK45,Z$2&lt;=$AL45),IF($AM45&gt;=1,2,IF(Z$2&lt;$AK45+($AL45-$AK45+1)*$AM45,2,3)),0)))</f>
        <v/>
      </c>
      <c r="AA45" s="11">
        <f>IF($AP45="",0,IF($AO45="Yes",IF(AA$2=$AK45,"◆",0),IF(AND(AA$2&gt;=$AK45,AA$2&lt;=$AL45),IF($AM45&gt;=1,2,IF(AA$2&lt;$AK45+($AL45-$AK45+1)*$AM45,2,3)),0)))</f>
        <v/>
      </c>
      <c r="AB45" s="11">
        <f>IF($AP45="",0,IF($AO45="Yes",IF(AB$2=$AK45,"◆",0),IF(AND(AB$2&gt;=$AK45,AB$2&lt;=$AL45),IF($AM45&gt;=1,2,IF(AB$2&lt;$AK45+($AL45-$AK45+1)*$AM45,2,3)),0)))</f>
        <v/>
      </c>
      <c r="AC45" s="11">
        <f>IF($AP45="",0,IF($AO45="Yes",IF(AC$2=$AK45,"◆",0),IF(AND(AC$2&gt;=$AK45,AC$2&lt;=$AL45),IF($AM45&gt;=1,2,IF(AC$2&lt;$AK45+($AL45-$AK45+1)*$AM45,2,3)),0)))</f>
        <v/>
      </c>
      <c r="AD45" s="11">
        <f>IF($AP45="",0,IF($AO45="Yes",IF(AD$2=$AK45,"◆",0),IF(AND(AD$2&gt;=$AK45,AD$2&lt;=$AL45),IF($AM45&gt;=1,2,IF(AD$2&lt;$AK45+($AL45-$AK45+1)*$AM45,2,3)),0)))</f>
        <v/>
      </c>
      <c r="AE45" s="11">
        <f>IF($AP45="",0,IF($AO45="Yes",IF(AE$2=$AK45,"◆",0),IF(AND(AE$2&gt;=$AK45,AE$2&lt;=$AL45),IF($AM45&gt;=1,2,IF(AE$2&lt;$AK45+($AL45-$AK45+1)*$AM45,2,3)),0)))</f>
        <v/>
      </c>
      <c r="AF45" s="11">
        <f>IF($AP45="",0,IF($AO45="Yes",IF(AF$2=$AK45,"◆",0),IF(AND(AF$2&gt;=$AK45,AF$2&lt;=$AL45),IF($AM45&gt;=1,2,IF(AF$2&lt;$AK45+($AL45-$AK45+1)*$AM45,2,3)),0)))</f>
        <v/>
      </c>
      <c r="AG45" s="11">
        <f>IF($AP45="",0,IF($AO45="Yes",IF(AG$2=$AK45,"◆",0),IF(AND(AG$2&gt;=$AK45,AG$2&lt;=$AL45),IF($AM45&gt;=1,2,IF(AG$2&lt;$AK45+($AL45-$AK45+1)*$AM45,2,3)),0)))</f>
        <v/>
      </c>
      <c r="AH45" s="11">
        <f>IF($AP45="",0,IF($AO45="Yes",IF(AH$2=$AK45,"◆",0),IF(AND(AH$2&gt;=$AK45,AH$2&lt;=$AL45),IF($AM45&gt;=1,2,IF(AH$2&lt;$AK45+($AL45-$AK45+1)*$AM45,2,3)),0)))</f>
        <v/>
      </c>
      <c r="AI45" s="11">
        <f>IF($AP45="",0,IF($AO45="Yes",IF(AI$2=$AK45,"◆",0),IF(AND(AI$2&gt;=$AK45,AI$2&lt;=$AL45),IF($AM45&gt;=1,2,IF(AI$2&lt;$AK45+($AL45-$AK45+1)*$AM45,2,3)),0)))</f>
        <v/>
      </c>
      <c r="AJ45" s="11">
        <f>IF($AP45="",0,IF($AO45="Yes",IF(AJ$2=$AK45,"◆",0),IF(AND(AJ$2&gt;=$AK45,AJ$2&lt;=$AL45),IF($AM45&gt;=1,2,IF(AJ$2&lt;$AK45+($AL45-$AK45+1)*$AM45,2,3)),0)))</f>
        <v/>
      </c>
      <c r="AK45">
        <f>IFERROR(INDEX(tblTasks[Start Date],ROW()-5),"")</f>
        <v/>
      </c>
      <c r="AL45">
        <f>IFERROR(INDEX(tblTasks[End Date],ROW()-5),"")</f>
        <v/>
      </c>
      <c r="AM45">
        <f>IFERROR(INDEX(tblTasks[Progress %],ROW()-5),0)</f>
        <v/>
      </c>
      <c r="AN45">
        <f>IFERROR(INDEX(tblTasks[Status],ROW()-5),"")</f>
        <v/>
      </c>
      <c r="AO45">
        <f>IFERROR(INDEX(tblTasks[Milestone],ROW()-5),"No")</f>
        <v/>
      </c>
      <c r="AP45">
        <f>IFERROR(INDEX(tblTasks[Task ID],ROW()-5),"")</f>
        <v/>
      </c>
      <c r="AQ45">
        <f>IFERROR(INDEX(tblTasks[Phase],ROW()-5),"")</f>
        <v/>
      </c>
    </row>
    <row r="46">
      <c r="A46" s="9">
        <f>IF($AP46="","",$AP46)</f>
        <v/>
      </c>
      <c r="B46" s="10">
        <f>IF($AP46="","",IF($AO46="Yes","◆ ","")&amp;INDEX(tblTasks[Task Name],ROW()-5))</f>
        <v/>
      </c>
      <c r="C46" s="11">
        <f>IF($AP46="",0,IF($AO46="Yes",IF(C$2=$AK46,"◆",0),IF(AND(C$2&gt;=$AK46,C$2&lt;=$AL46),IF($AM46&gt;=1,2,IF(C$2&lt;$AK46+($AL46-$AK46+1)*$AM46,2,3)),0)))</f>
        <v/>
      </c>
      <c r="D46" s="11">
        <f>IF($AP46="",0,IF($AO46="Yes",IF(D$2=$AK46,"◆",0),IF(AND(D$2&gt;=$AK46,D$2&lt;=$AL46),IF($AM46&gt;=1,2,IF(D$2&lt;$AK46+($AL46-$AK46+1)*$AM46,2,3)),0)))</f>
        <v/>
      </c>
      <c r="E46" s="11">
        <f>IF($AP46="",0,IF($AO46="Yes",IF(E$2=$AK46,"◆",0),IF(AND(E$2&gt;=$AK46,E$2&lt;=$AL46),IF($AM46&gt;=1,2,IF(E$2&lt;$AK46+($AL46-$AK46+1)*$AM46,2,3)),0)))</f>
        <v/>
      </c>
      <c r="F46" s="11">
        <f>IF($AP46="",0,IF($AO46="Yes",IF(F$2=$AK46,"◆",0),IF(AND(F$2&gt;=$AK46,F$2&lt;=$AL46),IF($AM46&gt;=1,2,IF(F$2&lt;$AK46+($AL46-$AK46+1)*$AM46,2,3)),0)))</f>
        <v/>
      </c>
      <c r="G46" s="11">
        <f>IF($AP46="",0,IF($AO46="Yes",IF(G$2=$AK46,"◆",0),IF(AND(G$2&gt;=$AK46,G$2&lt;=$AL46),IF($AM46&gt;=1,2,IF(G$2&lt;$AK46+($AL46-$AK46+1)*$AM46,2,3)),0)))</f>
        <v/>
      </c>
      <c r="H46" s="11">
        <f>IF($AP46="",0,IF($AO46="Yes",IF(H$2=$AK46,"◆",0),IF(AND(H$2&gt;=$AK46,H$2&lt;=$AL46),IF($AM46&gt;=1,2,IF(H$2&lt;$AK46+($AL46-$AK46+1)*$AM46,2,3)),0)))</f>
        <v/>
      </c>
      <c r="I46" s="11">
        <f>IF($AP46="",0,IF($AO46="Yes",IF(I$2=$AK46,"◆",0),IF(AND(I$2&gt;=$AK46,I$2&lt;=$AL46),IF($AM46&gt;=1,2,IF(I$2&lt;$AK46+($AL46-$AK46+1)*$AM46,2,3)),0)))</f>
        <v/>
      </c>
      <c r="J46" s="11">
        <f>IF($AP46="",0,IF($AO46="Yes",IF(J$2=$AK46,"◆",0),IF(AND(J$2&gt;=$AK46,J$2&lt;=$AL46),IF($AM46&gt;=1,2,IF(J$2&lt;$AK46+($AL46-$AK46+1)*$AM46,2,3)),0)))</f>
        <v/>
      </c>
      <c r="K46" s="11">
        <f>IF($AP46="",0,IF($AO46="Yes",IF(K$2=$AK46,"◆",0),IF(AND(K$2&gt;=$AK46,K$2&lt;=$AL46),IF($AM46&gt;=1,2,IF(K$2&lt;$AK46+($AL46-$AK46+1)*$AM46,2,3)),0)))</f>
        <v/>
      </c>
      <c r="L46" s="11">
        <f>IF($AP46="",0,IF($AO46="Yes",IF(L$2=$AK46,"◆",0),IF(AND(L$2&gt;=$AK46,L$2&lt;=$AL46),IF($AM46&gt;=1,2,IF(L$2&lt;$AK46+($AL46-$AK46+1)*$AM46,2,3)),0)))</f>
        <v/>
      </c>
      <c r="M46" s="11">
        <f>IF($AP46="",0,IF($AO46="Yes",IF(M$2=$AK46,"◆",0),IF(AND(M$2&gt;=$AK46,M$2&lt;=$AL46),IF($AM46&gt;=1,2,IF(M$2&lt;$AK46+($AL46-$AK46+1)*$AM46,2,3)),0)))</f>
        <v/>
      </c>
      <c r="N46" s="11">
        <f>IF($AP46="",0,IF($AO46="Yes",IF(N$2=$AK46,"◆",0),IF(AND(N$2&gt;=$AK46,N$2&lt;=$AL46),IF($AM46&gt;=1,2,IF(N$2&lt;$AK46+($AL46-$AK46+1)*$AM46,2,3)),0)))</f>
        <v/>
      </c>
      <c r="O46" s="11">
        <f>IF($AP46="",0,IF($AO46="Yes",IF(O$2=$AK46,"◆",0),IF(AND(O$2&gt;=$AK46,O$2&lt;=$AL46),IF($AM46&gt;=1,2,IF(O$2&lt;$AK46+($AL46-$AK46+1)*$AM46,2,3)),0)))</f>
        <v/>
      </c>
      <c r="P46" s="11">
        <f>IF($AP46="",0,IF($AO46="Yes",IF(P$2=$AK46,"◆",0),IF(AND(P$2&gt;=$AK46,P$2&lt;=$AL46),IF($AM46&gt;=1,2,IF(P$2&lt;$AK46+($AL46-$AK46+1)*$AM46,2,3)),0)))</f>
        <v/>
      </c>
      <c r="Q46" s="11">
        <f>IF($AP46="",0,IF($AO46="Yes",IF(Q$2=$AK46,"◆",0),IF(AND(Q$2&gt;=$AK46,Q$2&lt;=$AL46),IF($AM46&gt;=1,2,IF(Q$2&lt;$AK46+($AL46-$AK46+1)*$AM46,2,3)),0)))</f>
        <v/>
      </c>
      <c r="R46" s="11">
        <f>IF($AP46="",0,IF($AO46="Yes",IF(R$2=$AK46,"◆",0),IF(AND(R$2&gt;=$AK46,R$2&lt;=$AL46),IF($AM46&gt;=1,2,IF(R$2&lt;$AK46+($AL46-$AK46+1)*$AM46,2,3)),0)))</f>
        <v/>
      </c>
      <c r="S46" s="11">
        <f>IF($AP46="",0,IF($AO46="Yes",IF(S$2=$AK46,"◆",0),IF(AND(S$2&gt;=$AK46,S$2&lt;=$AL46),IF($AM46&gt;=1,2,IF(S$2&lt;$AK46+($AL46-$AK46+1)*$AM46,2,3)),0)))</f>
        <v/>
      </c>
      <c r="T46" s="11">
        <f>IF($AP46="",0,IF($AO46="Yes",IF(T$2=$AK46,"◆",0),IF(AND(T$2&gt;=$AK46,T$2&lt;=$AL46),IF($AM46&gt;=1,2,IF(T$2&lt;$AK46+($AL46-$AK46+1)*$AM46,2,3)),0)))</f>
        <v/>
      </c>
      <c r="U46" s="11">
        <f>IF($AP46="",0,IF($AO46="Yes",IF(U$2=$AK46,"◆",0),IF(AND(U$2&gt;=$AK46,U$2&lt;=$AL46),IF($AM46&gt;=1,2,IF(U$2&lt;$AK46+($AL46-$AK46+1)*$AM46,2,3)),0)))</f>
        <v/>
      </c>
      <c r="V46" s="11">
        <f>IF($AP46="",0,IF($AO46="Yes",IF(V$2=$AK46,"◆",0),IF(AND(V$2&gt;=$AK46,V$2&lt;=$AL46),IF($AM46&gt;=1,2,IF(V$2&lt;$AK46+($AL46-$AK46+1)*$AM46,2,3)),0)))</f>
        <v/>
      </c>
      <c r="W46" s="11">
        <f>IF($AP46="",0,IF($AO46="Yes",IF(W$2=$AK46,"◆",0),IF(AND(W$2&gt;=$AK46,W$2&lt;=$AL46),IF($AM46&gt;=1,2,IF(W$2&lt;$AK46+($AL46-$AK46+1)*$AM46,2,3)),0)))</f>
        <v/>
      </c>
      <c r="X46" s="11">
        <f>IF($AP46="",0,IF($AO46="Yes",IF(X$2=$AK46,"◆",0),IF(AND(X$2&gt;=$AK46,X$2&lt;=$AL46),IF($AM46&gt;=1,2,IF(X$2&lt;$AK46+($AL46-$AK46+1)*$AM46,2,3)),0)))</f>
        <v/>
      </c>
      <c r="Y46" s="11">
        <f>IF($AP46="",0,IF($AO46="Yes",IF(Y$2=$AK46,"◆",0),IF(AND(Y$2&gt;=$AK46,Y$2&lt;=$AL46),IF($AM46&gt;=1,2,IF(Y$2&lt;$AK46+($AL46-$AK46+1)*$AM46,2,3)),0)))</f>
        <v/>
      </c>
      <c r="Z46" s="11">
        <f>IF($AP46="",0,IF($AO46="Yes",IF(Z$2=$AK46,"◆",0),IF(AND(Z$2&gt;=$AK46,Z$2&lt;=$AL46),IF($AM46&gt;=1,2,IF(Z$2&lt;$AK46+($AL46-$AK46+1)*$AM46,2,3)),0)))</f>
        <v/>
      </c>
      <c r="AA46" s="11">
        <f>IF($AP46="",0,IF($AO46="Yes",IF(AA$2=$AK46,"◆",0),IF(AND(AA$2&gt;=$AK46,AA$2&lt;=$AL46),IF($AM46&gt;=1,2,IF(AA$2&lt;$AK46+($AL46-$AK46+1)*$AM46,2,3)),0)))</f>
        <v/>
      </c>
      <c r="AB46" s="11">
        <f>IF($AP46="",0,IF($AO46="Yes",IF(AB$2=$AK46,"◆",0),IF(AND(AB$2&gt;=$AK46,AB$2&lt;=$AL46),IF($AM46&gt;=1,2,IF(AB$2&lt;$AK46+($AL46-$AK46+1)*$AM46,2,3)),0)))</f>
        <v/>
      </c>
      <c r="AC46" s="11">
        <f>IF($AP46="",0,IF($AO46="Yes",IF(AC$2=$AK46,"◆",0),IF(AND(AC$2&gt;=$AK46,AC$2&lt;=$AL46),IF($AM46&gt;=1,2,IF(AC$2&lt;$AK46+($AL46-$AK46+1)*$AM46,2,3)),0)))</f>
        <v/>
      </c>
      <c r="AD46" s="11">
        <f>IF($AP46="",0,IF($AO46="Yes",IF(AD$2=$AK46,"◆",0),IF(AND(AD$2&gt;=$AK46,AD$2&lt;=$AL46),IF($AM46&gt;=1,2,IF(AD$2&lt;$AK46+($AL46-$AK46+1)*$AM46,2,3)),0)))</f>
        <v/>
      </c>
      <c r="AE46" s="11">
        <f>IF($AP46="",0,IF($AO46="Yes",IF(AE$2=$AK46,"◆",0),IF(AND(AE$2&gt;=$AK46,AE$2&lt;=$AL46),IF($AM46&gt;=1,2,IF(AE$2&lt;$AK46+($AL46-$AK46+1)*$AM46,2,3)),0)))</f>
        <v/>
      </c>
      <c r="AF46" s="11">
        <f>IF($AP46="",0,IF($AO46="Yes",IF(AF$2=$AK46,"◆",0),IF(AND(AF$2&gt;=$AK46,AF$2&lt;=$AL46),IF($AM46&gt;=1,2,IF(AF$2&lt;$AK46+($AL46-$AK46+1)*$AM46,2,3)),0)))</f>
        <v/>
      </c>
      <c r="AG46" s="11">
        <f>IF($AP46="",0,IF($AO46="Yes",IF(AG$2=$AK46,"◆",0),IF(AND(AG$2&gt;=$AK46,AG$2&lt;=$AL46),IF($AM46&gt;=1,2,IF(AG$2&lt;$AK46+($AL46-$AK46+1)*$AM46,2,3)),0)))</f>
        <v/>
      </c>
      <c r="AH46" s="11">
        <f>IF($AP46="",0,IF($AO46="Yes",IF(AH$2=$AK46,"◆",0),IF(AND(AH$2&gt;=$AK46,AH$2&lt;=$AL46),IF($AM46&gt;=1,2,IF(AH$2&lt;$AK46+($AL46-$AK46+1)*$AM46,2,3)),0)))</f>
        <v/>
      </c>
      <c r="AI46" s="11">
        <f>IF($AP46="",0,IF($AO46="Yes",IF(AI$2=$AK46,"◆",0),IF(AND(AI$2&gt;=$AK46,AI$2&lt;=$AL46),IF($AM46&gt;=1,2,IF(AI$2&lt;$AK46+($AL46-$AK46+1)*$AM46,2,3)),0)))</f>
        <v/>
      </c>
      <c r="AJ46" s="11">
        <f>IF($AP46="",0,IF($AO46="Yes",IF(AJ$2=$AK46,"◆",0),IF(AND(AJ$2&gt;=$AK46,AJ$2&lt;=$AL46),IF($AM46&gt;=1,2,IF(AJ$2&lt;$AK46+($AL46-$AK46+1)*$AM46,2,3)),0)))</f>
        <v/>
      </c>
      <c r="AK46">
        <f>IFERROR(INDEX(tblTasks[Start Date],ROW()-5),"")</f>
        <v/>
      </c>
      <c r="AL46">
        <f>IFERROR(INDEX(tblTasks[End Date],ROW()-5),"")</f>
        <v/>
      </c>
      <c r="AM46">
        <f>IFERROR(INDEX(tblTasks[Progress %],ROW()-5),0)</f>
        <v/>
      </c>
      <c r="AN46">
        <f>IFERROR(INDEX(tblTasks[Status],ROW()-5),"")</f>
        <v/>
      </c>
      <c r="AO46">
        <f>IFERROR(INDEX(tblTasks[Milestone],ROW()-5),"No")</f>
        <v/>
      </c>
      <c r="AP46">
        <f>IFERROR(INDEX(tblTasks[Task ID],ROW()-5),"")</f>
        <v/>
      </c>
      <c r="AQ46">
        <f>IFERROR(INDEX(tblTasks[Phase],ROW()-5),"")</f>
        <v/>
      </c>
    </row>
    <row r="47">
      <c r="A47" s="9">
        <f>IF($AP47="","",$AP47)</f>
        <v/>
      </c>
      <c r="B47" s="10">
        <f>IF($AP47="","",IF($AO47="Yes","◆ ","")&amp;INDEX(tblTasks[Task Name],ROW()-5))</f>
        <v/>
      </c>
      <c r="C47" s="11">
        <f>IF($AP47="",0,IF($AO47="Yes",IF(C$2=$AK47,"◆",0),IF(AND(C$2&gt;=$AK47,C$2&lt;=$AL47),IF($AM47&gt;=1,2,IF(C$2&lt;$AK47+($AL47-$AK47+1)*$AM47,2,3)),0)))</f>
        <v/>
      </c>
      <c r="D47" s="11">
        <f>IF($AP47="",0,IF($AO47="Yes",IF(D$2=$AK47,"◆",0),IF(AND(D$2&gt;=$AK47,D$2&lt;=$AL47),IF($AM47&gt;=1,2,IF(D$2&lt;$AK47+($AL47-$AK47+1)*$AM47,2,3)),0)))</f>
        <v/>
      </c>
      <c r="E47" s="11">
        <f>IF($AP47="",0,IF($AO47="Yes",IF(E$2=$AK47,"◆",0),IF(AND(E$2&gt;=$AK47,E$2&lt;=$AL47),IF($AM47&gt;=1,2,IF(E$2&lt;$AK47+($AL47-$AK47+1)*$AM47,2,3)),0)))</f>
        <v/>
      </c>
      <c r="F47" s="11">
        <f>IF($AP47="",0,IF($AO47="Yes",IF(F$2=$AK47,"◆",0),IF(AND(F$2&gt;=$AK47,F$2&lt;=$AL47),IF($AM47&gt;=1,2,IF(F$2&lt;$AK47+($AL47-$AK47+1)*$AM47,2,3)),0)))</f>
        <v/>
      </c>
      <c r="G47" s="11">
        <f>IF($AP47="",0,IF($AO47="Yes",IF(G$2=$AK47,"◆",0),IF(AND(G$2&gt;=$AK47,G$2&lt;=$AL47),IF($AM47&gt;=1,2,IF(G$2&lt;$AK47+($AL47-$AK47+1)*$AM47,2,3)),0)))</f>
        <v/>
      </c>
      <c r="H47" s="11">
        <f>IF($AP47="",0,IF($AO47="Yes",IF(H$2=$AK47,"◆",0),IF(AND(H$2&gt;=$AK47,H$2&lt;=$AL47),IF($AM47&gt;=1,2,IF(H$2&lt;$AK47+($AL47-$AK47+1)*$AM47,2,3)),0)))</f>
        <v/>
      </c>
      <c r="I47" s="11">
        <f>IF($AP47="",0,IF($AO47="Yes",IF(I$2=$AK47,"◆",0),IF(AND(I$2&gt;=$AK47,I$2&lt;=$AL47),IF($AM47&gt;=1,2,IF(I$2&lt;$AK47+($AL47-$AK47+1)*$AM47,2,3)),0)))</f>
        <v/>
      </c>
      <c r="J47" s="11">
        <f>IF($AP47="",0,IF($AO47="Yes",IF(J$2=$AK47,"◆",0),IF(AND(J$2&gt;=$AK47,J$2&lt;=$AL47),IF($AM47&gt;=1,2,IF(J$2&lt;$AK47+($AL47-$AK47+1)*$AM47,2,3)),0)))</f>
        <v/>
      </c>
      <c r="K47" s="11">
        <f>IF($AP47="",0,IF($AO47="Yes",IF(K$2=$AK47,"◆",0),IF(AND(K$2&gt;=$AK47,K$2&lt;=$AL47),IF($AM47&gt;=1,2,IF(K$2&lt;$AK47+($AL47-$AK47+1)*$AM47,2,3)),0)))</f>
        <v/>
      </c>
      <c r="L47" s="11">
        <f>IF($AP47="",0,IF($AO47="Yes",IF(L$2=$AK47,"◆",0),IF(AND(L$2&gt;=$AK47,L$2&lt;=$AL47),IF($AM47&gt;=1,2,IF(L$2&lt;$AK47+($AL47-$AK47+1)*$AM47,2,3)),0)))</f>
        <v/>
      </c>
      <c r="M47" s="11">
        <f>IF($AP47="",0,IF($AO47="Yes",IF(M$2=$AK47,"◆",0),IF(AND(M$2&gt;=$AK47,M$2&lt;=$AL47),IF($AM47&gt;=1,2,IF(M$2&lt;$AK47+($AL47-$AK47+1)*$AM47,2,3)),0)))</f>
        <v/>
      </c>
      <c r="N47" s="11">
        <f>IF($AP47="",0,IF($AO47="Yes",IF(N$2=$AK47,"◆",0),IF(AND(N$2&gt;=$AK47,N$2&lt;=$AL47),IF($AM47&gt;=1,2,IF(N$2&lt;$AK47+($AL47-$AK47+1)*$AM47,2,3)),0)))</f>
        <v/>
      </c>
      <c r="O47" s="11">
        <f>IF($AP47="",0,IF($AO47="Yes",IF(O$2=$AK47,"◆",0),IF(AND(O$2&gt;=$AK47,O$2&lt;=$AL47),IF($AM47&gt;=1,2,IF(O$2&lt;$AK47+($AL47-$AK47+1)*$AM47,2,3)),0)))</f>
        <v/>
      </c>
      <c r="P47" s="11">
        <f>IF($AP47="",0,IF($AO47="Yes",IF(P$2=$AK47,"◆",0),IF(AND(P$2&gt;=$AK47,P$2&lt;=$AL47),IF($AM47&gt;=1,2,IF(P$2&lt;$AK47+($AL47-$AK47+1)*$AM47,2,3)),0)))</f>
        <v/>
      </c>
      <c r="Q47" s="11">
        <f>IF($AP47="",0,IF($AO47="Yes",IF(Q$2=$AK47,"◆",0),IF(AND(Q$2&gt;=$AK47,Q$2&lt;=$AL47),IF($AM47&gt;=1,2,IF(Q$2&lt;$AK47+($AL47-$AK47+1)*$AM47,2,3)),0)))</f>
        <v/>
      </c>
      <c r="R47" s="11">
        <f>IF($AP47="",0,IF($AO47="Yes",IF(R$2=$AK47,"◆",0),IF(AND(R$2&gt;=$AK47,R$2&lt;=$AL47),IF($AM47&gt;=1,2,IF(R$2&lt;$AK47+($AL47-$AK47+1)*$AM47,2,3)),0)))</f>
        <v/>
      </c>
      <c r="S47" s="11">
        <f>IF($AP47="",0,IF($AO47="Yes",IF(S$2=$AK47,"◆",0),IF(AND(S$2&gt;=$AK47,S$2&lt;=$AL47),IF($AM47&gt;=1,2,IF(S$2&lt;$AK47+($AL47-$AK47+1)*$AM47,2,3)),0)))</f>
        <v/>
      </c>
      <c r="T47" s="11">
        <f>IF($AP47="",0,IF($AO47="Yes",IF(T$2=$AK47,"◆",0),IF(AND(T$2&gt;=$AK47,T$2&lt;=$AL47),IF($AM47&gt;=1,2,IF(T$2&lt;$AK47+($AL47-$AK47+1)*$AM47,2,3)),0)))</f>
        <v/>
      </c>
      <c r="U47" s="11">
        <f>IF($AP47="",0,IF($AO47="Yes",IF(U$2=$AK47,"◆",0),IF(AND(U$2&gt;=$AK47,U$2&lt;=$AL47),IF($AM47&gt;=1,2,IF(U$2&lt;$AK47+($AL47-$AK47+1)*$AM47,2,3)),0)))</f>
        <v/>
      </c>
      <c r="V47" s="11">
        <f>IF($AP47="",0,IF($AO47="Yes",IF(V$2=$AK47,"◆",0),IF(AND(V$2&gt;=$AK47,V$2&lt;=$AL47),IF($AM47&gt;=1,2,IF(V$2&lt;$AK47+($AL47-$AK47+1)*$AM47,2,3)),0)))</f>
        <v/>
      </c>
      <c r="W47" s="11">
        <f>IF($AP47="",0,IF($AO47="Yes",IF(W$2=$AK47,"◆",0),IF(AND(W$2&gt;=$AK47,W$2&lt;=$AL47),IF($AM47&gt;=1,2,IF(W$2&lt;$AK47+($AL47-$AK47+1)*$AM47,2,3)),0)))</f>
        <v/>
      </c>
      <c r="X47" s="11">
        <f>IF($AP47="",0,IF($AO47="Yes",IF(X$2=$AK47,"◆",0),IF(AND(X$2&gt;=$AK47,X$2&lt;=$AL47),IF($AM47&gt;=1,2,IF(X$2&lt;$AK47+($AL47-$AK47+1)*$AM47,2,3)),0)))</f>
        <v/>
      </c>
      <c r="Y47" s="11">
        <f>IF($AP47="",0,IF($AO47="Yes",IF(Y$2=$AK47,"◆",0),IF(AND(Y$2&gt;=$AK47,Y$2&lt;=$AL47),IF($AM47&gt;=1,2,IF(Y$2&lt;$AK47+($AL47-$AK47+1)*$AM47,2,3)),0)))</f>
        <v/>
      </c>
      <c r="Z47" s="11">
        <f>IF($AP47="",0,IF($AO47="Yes",IF(Z$2=$AK47,"◆",0),IF(AND(Z$2&gt;=$AK47,Z$2&lt;=$AL47),IF($AM47&gt;=1,2,IF(Z$2&lt;$AK47+($AL47-$AK47+1)*$AM47,2,3)),0)))</f>
        <v/>
      </c>
      <c r="AA47" s="11">
        <f>IF($AP47="",0,IF($AO47="Yes",IF(AA$2=$AK47,"◆",0),IF(AND(AA$2&gt;=$AK47,AA$2&lt;=$AL47),IF($AM47&gt;=1,2,IF(AA$2&lt;$AK47+($AL47-$AK47+1)*$AM47,2,3)),0)))</f>
        <v/>
      </c>
      <c r="AB47" s="11">
        <f>IF($AP47="",0,IF($AO47="Yes",IF(AB$2=$AK47,"◆",0),IF(AND(AB$2&gt;=$AK47,AB$2&lt;=$AL47),IF($AM47&gt;=1,2,IF(AB$2&lt;$AK47+($AL47-$AK47+1)*$AM47,2,3)),0)))</f>
        <v/>
      </c>
      <c r="AC47" s="11">
        <f>IF($AP47="",0,IF($AO47="Yes",IF(AC$2=$AK47,"◆",0),IF(AND(AC$2&gt;=$AK47,AC$2&lt;=$AL47),IF($AM47&gt;=1,2,IF(AC$2&lt;$AK47+($AL47-$AK47+1)*$AM47,2,3)),0)))</f>
        <v/>
      </c>
      <c r="AD47" s="11">
        <f>IF($AP47="",0,IF($AO47="Yes",IF(AD$2=$AK47,"◆",0),IF(AND(AD$2&gt;=$AK47,AD$2&lt;=$AL47),IF($AM47&gt;=1,2,IF(AD$2&lt;$AK47+($AL47-$AK47+1)*$AM47,2,3)),0)))</f>
        <v/>
      </c>
      <c r="AE47" s="11">
        <f>IF($AP47="",0,IF($AO47="Yes",IF(AE$2=$AK47,"◆",0),IF(AND(AE$2&gt;=$AK47,AE$2&lt;=$AL47),IF($AM47&gt;=1,2,IF(AE$2&lt;$AK47+($AL47-$AK47+1)*$AM47,2,3)),0)))</f>
        <v/>
      </c>
      <c r="AF47" s="11">
        <f>IF($AP47="",0,IF($AO47="Yes",IF(AF$2=$AK47,"◆",0),IF(AND(AF$2&gt;=$AK47,AF$2&lt;=$AL47),IF($AM47&gt;=1,2,IF(AF$2&lt;$AK47+($AL47-$AK47+1)*$AM47,2,3)),0)))</f>
        <v/>
      </c>
      <c r="AG47" s="11">
        <f>IF($AP47="",0,IF($AO47="Yes",IF(AG$2=$AK47,"◆",0),IF(AND(AG$2&gt;=$AK47,AG$2&lt;=$AL47),IF($AM47&gt;=1,2,IF(AG$2&lt;$AK47+($AL47-$AK47+1)*$AM47,2,3)),0)))</f>
        <v/>
      </c>
      <c r="AH47" s="11">
        <f>IF($AP47="",0,IF($AO47="Yes",IF(AH$2=$AK47,"◆",0),IF(AND(AH$2&gt;=$AK47,AH$2&lt;=$AL47),IF($AM47&gt;=1,2,IF(AH$2&lt;$AK47+($AL47-$AK47+1)*$AM47,2,3)),0)))</f>
        <v/>
      </c>
      <c r="AI47" s="11">
        <f>IF($AP47="",0,IF($AO47="Yes",IF(AI$2=$AK47,"◆",0),IF(AND(AI$2&gt;=$AK47,AI$2&lt;=$AL47),IF($AM47&gt;=1,2,IF(AI$2&lt;$AK47+($AL47-$AK47+1)*$AM47,2,3)),0)))</f>
        <v/>
      </c>
      <c r="AJ47" s="11">
        <f>IF($AP47="",0,IF($AO47="Yes",IF(AJ$2=$AK47,"◆",0),IF(AND(AJ$2&gt;=$AK47,AJ$2&lt;=$AL47),IF($AM47&gt;=1,2,IF(AJ$2&lt;$AK47+($AL47-$AK47+1)*$AM47,2,3)),0)))</f>
        <v/>
      </c>
      <c r="AK47">
        <f>IFERROR(INDEX(tblTasks[Start Date],ROW()-5),"")</f>
        <v/>
      </c>
      <c r="AL47">
        <f>IFERROR(INDEX(tblTasks[End Date],ROW()-5),"")</f>
        <v/>
      </c>
      <c r="AM47">
        <f>IFERROR(INDEX(tblTasks[Progress %],ROW()-5),0)</f>
        <v/>
      </c>
      <c r="AN47">
        <f>IFERROR(INDEX(tblTasks[Status],ROW()-5),"")</f>
        <v/>
      </c>
      <c r="AO47">
        <f>IFERROR(INDEX(tblTasks[Milestone],ROW()-5),"No")</f>
        <v/>
      </c>
      <c r="AP47">
        <f>IFERROR(INDEX(tblTasks[Task ID],ROW()-5),"")</f>
        <v/>
      </c>
      <c r="AQ47">
        <f>IFERROR(INDEX(tblTasks[Phase],ROW()-5),"")</f>
        <v/>
      </c>
    </row>
    <row r="48">
      <c r="A48" s="9">
        <f>IF($AP48="","",$AP48)</f>
        <v/>
      </c>
      <c r="B48" s="10">
        <f>IF($AP48="","",IF($AO48="Yes","◆ ","")&amp;INDEX(tblTasks[Task Name],ROW()-5))</f>
        <v/>
      </c>
      <c r="C48" s="11">
        <f>IF($AP48="",0,IF($AO48="Yes",IF(C$2=$AK48,"◆",0),IF(AND(C$2&gt;=$AK48,C$2&lt;=$AL48),IF($AM48&gt;=1,2,IF(C$2&lt;$AK48+($AL48-$AK48+1)*$AM48,2,3)),0)))</f>
        <v/>
      </c>
      <c r="D48" s="11">
        <f>IF($AP48="",0,IF($AO48="Yes",IF(D$2=$AK48,"◆",0),IF(AND(D$2&gt;=$AK48,D$2&lt;=$AL48),IF($AM48&gt;=1,2,IF(D$2&lt;$AK48+($AL48-$AK48+1)*$AM48,2,3)),0)))</f>
        <v/>
      </c>
      <c r="E48" s="11">
        <f>IF($AP48="",0,IF($AO48="Yes",IF(E$2=$AK48,"◆",0),IF(AND(E$2&gt;=$AK48,E$2&lt;=$AL48),IF($AM48&gt;=1,2,IF(E$2&lt;$AK48+($AL48-$AK48+1)*$AM48,2,3)),0)))</f>
        <v/>
      </c>
      <c r="F48" s="11">
        <f>IF($AP48="",0,IF($AO48="Yes",IF(F$2=$AK48,"◆",0),IF(AND(F$2&gt;=$AK48,F$2&lt;=$AL48),IF($AM48&gt;=1,2,IF(F$2&lt;$AK48+($AL48-$AK48+1)*$AM48,2,3)),0)))</f>
        <v/>
      </c>
      <c r="G48" s="11">
        <f>IF($AP48="",0,IF($AO48="Yes",IF(G$2=$AK48,"◆",0),IF(AND(G$2&gt;=$AK48,G$2&lt;=$AL48),IF($AM48&gt;=1,2,IF(G$2&lt;$AK48+($AL48-$AK48+1)*$AM48,2,3)),0)))</f>
        <v/>
      </c>
      <c r="H48" s="11">
        <f>IF($AP48="",0,IF($AO48="Yes",IF(H$2=$AK48,"◆",0),IF(AND(H$2&gt;=$AK48,H$2&lt;=$AL48),IF($AM48&gt;=1,2,IF(H$2&lt;$AK48+($AL48-$AK48+1)*$AM48,2,3)),0)))</f>
        <v/>
      </c>
      <c r="I48" s="11">
        <f>IF($AP48="",0,IF($AO48="Yes",IF(I$2=$AK48,"◆",0),IF(AND(I$2&gt;=$AK48,I$2&lt;=$AL48),IF($AM48&gt;=1,2,IF(I$2&lt;$AK48+($AL48-$AK48+1)*$AM48,2,3)),0)))</f>
        <v/>
      </c>
      <c r="J48" s="11">
        <f>IF($AP48="",0,IF($AO48="Yes",IF(J$2=$AK48,"◆",0),IF(AND(J$2&gt;=$AK48,J$2&lt;=$AL48),IF($AM48&gt;=1,2,IF(J$2&lt;$AK48+($AL48-$AK48+1)*$AM48,2,3)),0)))</f>
        <v/>
      </c>
      <c r="K48" s="11">
        <f>IF($AP48="",0,IF($AO48="Yes",IF(K$2=$AK48,"◆",0),IF(AND(K$2&gt;=$AK48,K$2&lt;=$AL48),IF($AM48&gt;=1,2,IF(K$2&lt;$AK48+($AL48-$AK48+1)*$AM48,2,3)),0)))</f>
        <v/>
      </c>
      <c r="L48" s="11">
        <f>IF($AP48="",0,IF($AO48="Yes",IF(L$2=$AK48,"◆",0),IF(AND(L$2&gt;=$AK48,L$2&lt;=$AL48),IF($AM48&gt;=1,2,IF(L$2&lt;$AK48+($AL48-$AK48+1)*$AM48,2,3)),0)))</f>
        <v/>
      </c>
      <c r="M48" s="11">
        <f>IF($AP48="",0,IF($AO48="Yes",IF(M$2=$AK48,"◆",0),IF(AND(M$2&gt;=$AK48,M$2&lt;=$AL48),IF($AM48&gt;=1,2,IF(M$2&lt;$AK48+($AL48-$AK48+1)*$AM48,2,3)),0)))</f>
        <v/>
      </c>
      <c r="N48" s="11">
        <f>IF($AP48="",0,IF($AO48="Yes",IF(N$2=$AK48,"◆",0),IF(AND(N$2&gt;=$AK48,N$2&lt;=$AL48),IF($AM48&gt;=1,2,IF(N$2&lt;$AK48+($AL48-$AK48+1)*$AM48,2,3)),0)))</f>
        <v/>
      </c>
      <c r="O48" s="11">
        <f>IF($AP48="",0,IF($AO48="Yes",IF(O$2=$AK48,"◆",0),IF(AND(O$2&gt;=$AK48,O$2&lt;=$AL48),IF($AM48&gt;=1,2,IF(O$2&lt;$AK48+($AL48-$AK48+1)*$AM48,2,3)),0)))</f>
        <v/>
      </c>
      <c r="P48" s="11">
        <f>IF($AP48="",0,IF($AO48="Yes",IF(P$2=$AK48,"◆",0),IF(AND(P$2&gt;=$AK48,P$2&lt;=$AL48),IF($AM48&gt;=1,2,IF(P$2&lt;$AK48+($AL48-$AK48+1)*$AM48,2,3)),0)))</f>
        <v/>
      </c>
      <c r="Q48" s="11">
        <f>IF($AP48="",0,IF($AO48="Yes",IF(Q$2=$AK48,"◆",0),IF(AND(Q$2&gt;=$AK48,Q$2&lt;=$AL48),IF($AM48&gt;=1,2,IF(Q$2&lt;$AK48+($AL48-$AK48+1)*$AM48,2,3)),0)))</f>
        <v/>
      </c>
      <c r="R48" s="11">
        <f>IF($AP48="",0,IF($AO48="Yes",IF(R$2=$AK48,"◆",0),IF(AND(R$2&gt;=$AK48,R$2&lt;=$AL48),IF($AM48&gt;=1,2,IF(R$2&lt;$AK48+($AL48-$AK48+1)*$AM48,2,3)),0)))</f>
        <v/>
      </c>
      <c r="S48" s="11">
        <f>IF($AP48="",0,IF($AO48="Yes",IF(S$2=$AK48,"◆",0),IF(AND(S$2&gt;=$AK48,S$2&lt;=$AL48),IF($AM48&gt;=1,2,IF(S$2&lt;$AK48+($AL48-$AK48+1)*$AM48,2,3)),0)))</f>
        <v/>
      </c>
      <c r="T48" s="11">
        <f>IF($AP48="",0,IF($AO48="Yes",IF(T$2=$AK48,"◆",0),IF(AND(T$2&gt;=$AK48,T$2&lt;=$AL48),IF($AM48&gt;=1,2,IF(T$2&lt;$AK48+($AL48-$AK48+1)*$AM48,2,3)),0)))</f>
        <v/>
      </c>
      <c r="U48" s="11">
        <f>IF($AP48="",0,IF($AO48="Yes",IF(U$2=$AK48,"◆",0),IF(AND(U$2&gt;=$AK48,U$2&lt;=$AL48),IF($AM48&gt;=1,2,IF(U$2&lt;$AK48+($AL48-$AK48+1)*$AM48,2,3)),0)))</f>
        <v/>
      </c>
      <c r="V48" s="11">
        <f>IF($AP48="",0,IF($AO48="Yes",IF(V$2=$AK48,"◆",0),IF(AND(V$2&gt;=$AK48,V$2&lt;=$AL48),IF($AM48&gt;=1,2,IF(V$2&lt;$AK48+($AL48-$AK48+1)*$AM48,2,3)),0)))</f>
        <v/>
      </c>
      <c r="W48" s="11">
        <f>IF($AP48="",0,IF($AO48="Yes",IF(W$2=$AK48,"◆",0),IF(AND(W$2&gt;=$AK48,W$2&lt;=$AL48),IF($AM48&gt;=1,2,IF(W$2&lt;$AK48+($AL48-$AK48+1)*$AM48,2,3)),0)))</f>
        <v/>
      </c>
      <c r="X48" s="11">
        <f>IF($AP48="",0,IF($AO48="Yes",IF(X$2=$AK48,"◆",0),IF(AND(X$2&gt;=$AK48,X$2&lt;=$AL48),IF($AM48&gt;=1,2,IF(X$2&lt;$AK48+($AL48-$AK48+1)*$AM48,2,3)),0)))</f>
        <v/>
      </c>
      <c r="Y48" s="11">
        <f>IF($AP48="",0,IF($AO48="Yes",IF(Y$2=$AK48,"◆",0),IF(AND(Y$2&gt;=$AK48,Y$2&lt;=$AL48),IF($AM48&gt;=1,2,IF(Y$2&lt;$AK48+($AL48-$AK48+1)*$AM48,2,3)),0)))</f>
        <v/>
      </c>
      <c r="Z48" s="11">
        <f>IF($AP48="",0,IF($AO48="Yes",IF(Z$2=$AK48,"◆",0),IF(AND(Z$2&gt;=$AK48,Z$2&lt;=$AL48),IF($AM48&gt;=1,2,IF(Z$2&lt;$AK48+($AL48-$AK48+1)*$AM48,2,3)),0)))</f>
        <v/>
      </c>
      <c r="AA48" s="11">
        <f>IF($AP48="",0,IF($AO48="Yes",IF(AA$2=$AK48,"◆",0),IF(AND(AA$2&gt;=$AK48,AA$2&lt;=$AL48),IF($AM48&gt;=1,2,IF(AA$2&lt;$AK48+($AL48-$AK48+1)*$AM48,2,3)),0)))</f>
        <v/>
      </c>
      <c r="AB48" s="11">
        <f>IF($AP48="",0,IF($AO48="Yes",IF(AB$2=$AK48,"◆",0),IF(AND(AB$2&gt;=$AK48,AB$2&lt;=$AL48),IF($AM48&gt;=1,2,IF(AB$2&lt;$AK48+($AL48-$AK48+1)*$AM48,2,3)),0)))</f>
        <v/>
      </c>
      <c r="AC48" s="11">
        <f>IF($AP48="",0,IF($AO48="Yes",IF(AC$2=$AK48,"◆",0),IF(AND(AC$2&gt;=$AK48,AC$2&lt;=$AL48),IF($AM48&gt;=1,2,IF(AC$2&lt;$AK48+($AL48-$AK48+1)*$AM48,2,3)),0)))</f>
        <v/>
      </c>
      <c r="AD48" s="11">
        <f>IF($AP48="",0,IF($AO48="Yes",IF(AD$2=$AK48,"◆",0),IF(AND(AD$2&gt;=$AK48,AD$2&lt;=$AL48),IF($AM48&gt;=1,2,IF(AD$2&lt;$AK48+($AL48-$AK48+1)*$AM48,2,3)),0)))</f>
        <v/>
      </c>
      <c r="AE48" s="11">
        <f>IF($AP48="",0,IF($AO48="Yes",IF(AE$2=$AK48,"◆",0),IF(AND(AE$2&gt;=$AK48,AE$2&lt;=$AL48),IF($AM48&gt;=1,2,IF(AE$2&lt;$AK48+($AL48-$AK48+1)*$AM48,2,3)),0)))</f>
        <v/>
      </c>
      <c r="AF48" s="11">
        <f>IF($AP48="",0,IF($AO48="Yes",IF(AF$2=$AK48,"◆",0),IF(AND(AF$2&gt;=$AK48,AF$2&lt;=$AL48),IF($AM48&gt;=1,2,IF(AF$2&lt;$AK48+($AL48-$AK48+1)*$AM48,2,3)),0)))</f>
        <v/>
      </c>
      <c r="AG48" s="11">
        <f>IF($AP48="",0,IF($AO48="Yes",IF(AG$2=$AK48,"◆",0),IF(AND(AG$2&gt;=$AK48,AG$2&lt;=$AL48),IF($AM48&gt;=1,2,IF(AG$2&lt;$AK48+($AL48-$AK48+1)*$AM48,2,3)),0)))</f>
        <v/>
      </c>
      <c r="AH48" s="11">
        <f>IF($AP48="",0,IF($AO48="Yes",IF(AH$2=$AK48,"◆",0),IF(AND(AH$2&gt;=$AK48,AH$2&lt;=$AL48),IF($AM48&gt;=1,2,IF(AH$2&lt;$AK48+($AL48-$AK48+1)*$AM48,2,3)),0)))</f>
        <v/>
      </c>
      <c r="AI48" s="11">
        <f>IF($AP48="",0,IF($AO48="Yes",IF(AI$2=$AK48,"◆",0),IF(AND(AI$2&gt;=$AK48,AI$2&lt;=$AL48),IF($AM48&gt;=1,2,IF(AI$2&lt;$AK48+($AL48-$AK48+1)*$AM48,2,3)),0)))</f>
        <v/>
      </c>
      <c r="AJ48" s="11">
        <f>IF($AP48="",0,IF($AO48="Yes",IF(AJ$2=$AK48,"◆",0),IF(AND(AJ$2&gt;=$AK48,AJ$2&lt;=$AL48),IF($AM48&gt;=1,2,IF(AJ$2&lt;$AK48+($AL48-$AK48+1)*$AM48,2,3)),0)))</f>
        <v/>
      </c>
      <c r="AK48">
        <f>IFERROR(INDEX(tblTasks[Start Date],ROW()-5),"")</f>
        <v/>
      </c>
      <c r="AL48">
        <f>IFERROR(INDEX(tblTasks[End Date],ROW()-5),"")</f>
        <v/>
      </c>
      <c r="AM48">
        <f>IFERROR(INDEX(tblTasks[Progress %],ROW()-5),0)</f>
        <v/>
      </c>
      <c r="AN48">
        <f>IFERROR(INDEX(tblTasks[Status],ROW()-5),"")</f>
        <v/>
      </c>
      <c r="AO48">
        <f>IFERROR(INDEX(tblTasks[Milestone],ROW()-5),"No")</f>
        <v/>
      </c>
      <c r="AP48">
        <f>IFERROR(INDEX(tblTasks[Task ID],ROW()-5),"")</f>
        <v/>
      </c>
      <c r="AQ48">
        <f>IFERROR(INDEX(tblTasks[Phase],ROW()-5),"")</f>
        <v/>
      </c>
    </row>
    <row r="49">
      <c r="A49" s="9">
        <f>IF($AP49="","",$AP49)</f>
        <v/>
      </c>
      <c r="B49" s="10">
        <f>IF($AP49="","",IF($AO49="Yes","◆ ","")&amp;INDEX(tblTasks[Task Name],ROW()-5))</f>
        <v/>
      </c>
      <c r="C49" s="11">
        <f>IF($AP49="",0,IF($AO49="Yes",IF(C$2=$AK49,"◆",0),IF(AND(C$2&gt;=$AK49,C$2&lt;=$AL49),IF($AM49&gt;=1,2,IF(C$2&lt;$AK49+($AL49-$AK49+1)*$AM49,2,3)),0)))</f>
        <v/>
      </c>
      <c r="D49" s="11">
        <f>IF($AP49="",0,IF($AO49="Yes",IF(D$2=$AK49,"◆",0),IF(AND(D$2&gt;=$AK49,D$2&lt;=$AL49),IF($AM49&gt;=1,2,IF(D$2&lt;$AK49+($AL49-$AK49+1)*$AM49,2,3)),0)))</f>
        <v/>
      </c>
      <c r="E49" s="11">
        <f>IF($AP49="",0,IF($AO49="Yes",IF(E$2=$AK49,"◆",0),IF(AND(E$2&gt;=$AK49,E$2&lt;=$AL49),IF($AM49&gt;=1,2,IF(E$2&lt;$AK49+($AL49-$AK49+1)*$AM49,2,3)),0)))</f>
        <v/>
      </c>
      <c r="F49" s="11">
        <f>IF($AP49="",0,IF($AO49="Yes",IF(F$2=$AK49,"◆",0),IF(AND(F$2&gt;=$AK49,F$2&lt;=$AL49),IF($AM49&gt;=1,2,IF(F$2&lt;$AK49+($AL49-$AK49+1)*$AM49,2,3)),0)))</f>
        <v/>
      </c>
      <c r="G49" s="11">
        <f>IF($AP49="",0,IF($AO49="Yes",IF(G$2=$AK49,"◆",0),IF(AND(G$2&gt;=$AK49,G$2&lt;=$AL49),IF($AM49&gt;=1,2,IF(G$2&lt;$AK49+($AL49-$AK49+1)*$AM49,2,3)),0)))</f>
        <v/>
      </c>
      <c r="H49" s="11">
        <f>IF($AP49="",0,IF($AO49="Yes",IF(H$2=$AK49,"◆",0),IF(AND(H$2&gt;=$AK49,H$2&lt;=$AL49),IF($AM49&gt;=1,2,IF(H$2&lt;$AK49+($AL49-$AK49+1)*$AM49,2,3)),0)))</f>
        <v/>
      </c>
      <c r="I49" s="11">
        <f>IF($AP49="",0,IF($AO49="Yes",IF(I$2=$AK49,"◆",0),IF(AND(I$2&gt;=$AK49,I$2&lt;=$AL49),IF($AM49&gt;=1,2,IF(I$2&lt;$AK49+($AL49-$AK49+1)*$AM49,2,3)),0)))</f>
        <v/>
      </c>
      <c r="J49" s="11">
        <f>IF($AP49="",0,IF($AO49="Yes",IF(J$2=$AK49,"◆",0),IF(AND(J$2&gt;=$AK49,J$2&lt;=$AL49),IF($AM49&gt;=1,2,IF(J$2&lt;$AK49+($AL49-$AK49+1)*$AM49,2,3)),0)))</f>
        <v/>
      </c>
      <c r="K49" s="11">
        <f>IF($AP49="",0,IF($AO49="Yes",IF(K$2=$AK49,"◆",0),IF(AND(K$2&gt;=$AK49,K$2&lt;=$AL49),IF($AM49&gt;=1,2,IF(K$2&lt;$AK49+($AL49-$AK49+1)*$AM49,2,3)),0)))</f>
        <v/>
      </c>
      <c r="L49" s="11">
        <f>IF($AP49="",0,IF($AO49="Yes",IF(L$2=$AK49,"◆",0),IF(AND(L$2&gt;=$AK49,L$2&lt;=$AL49),IF($AM49&gt;=1,2,IF(L$2&lt;$AK49+($AL49-$AK49+1)*$AM49,2,3)),0)))</f>
        <v/>
      </c>
      <c r="M49" s="11">
        <f>IF($AP49="",0,IF($AO49="Yes",IF(M$2=$AK49,"◆",0),IF(AND(M$2&gt;=$AK49,M$2&lt;=$AL49),IF($AM49&gt;=1,2,IF(M$2&lt;$AK49+($AL49-$AK49+1)*$AM49,2,3)),0)))</f>
        <v/>
      </c>
      <c r="N49" s="11">
        <f>IF($AP49="",0,IF($AO49="Yes",IF(N$2=$AK49,"◆",0),IF(AND(N$2&gt;=$AK49,N$2&lt;=$AL49),IF($AM49&gt;=1,2,IF(N$2&lt;$AK49+($AL49-$AK49+1)*$AM49,2,3)),0)))</f>
        <v/>
      </c>
      <c r="O49" s="11">
        <f>IF($AP49="",0,IF($AO49="Yes",IF(O$2=$AK49,"◆",0),IF(AND(O$2&gt;=$AK49,O$2&lt;=$AL49),IF($AM49&gt;=1,2,IF(O$2&lt;$AK49+($AL49-$AK49+1)*$AM49,2,3)),0)))</f>
        <v/>
      </c>
      <c r="P49" s="11">
        <f>IF($AP49="",0,IF($AO49="Yes",IF(P$2=$AK49,"◆",0),IF(AND(P$2&gt;=$AK49,P$2&lt;=$AL49),IF($AM49&gt;=1,2,IF(P$2&lt;$AK49+($AL49-$AK49+1)*$AM49,2,3)),0)))</f>
        <v/>
      </c>
      <c r="Q49" s="11">
        <f>IF($AP49="",0,IF($AO49="Yes",IF(Q$2=$AK49,"◆",0),IF(AND(Q$2&gt;=$AK49,Q$2&lt;=$AL49),IF($AM49&gt;=1,2,IF(Q$2&lt;$AK49+($AL49-$AK49+1)*$AM49,2,3)),0)))</f>
        <v/>
      </c>
      <c r="R49" s="11">
        <f>IF($AP49="",0,IF($AO49="Yes",IF(R$2=$AK49,"◆",0),IF(AND(R$2&gt;=$AK49,R$2&lt;=$AL49),IF($AM49&gt;=1,2,IF(R$2&lt;$AK49+($AL49-$AK49+1)*$AM49,2,3)),0)))</f>
        <v/>
      </c>
      <c r="S49" s="11">
        <f>IF($AP49="",0,IF($AO49="Yes",IF(S$2=$AK49,"◆",0),IF(AND(S$2&gt;=$AK49,S$2&lt;=$AL49),IF($AM49&gt;=1,2,IF(S$2&lt;$AK49+($AL49-$AK49+1)*$AM49,2,3)),0)))</f>
        <v/>
      </c>
      <c r="T49" s="11">
        <f>IF($AP49="",0,IF($AO49="Yes",IF(T$2=$AK49,"◆",0),IF(AND(T$2&gt;=$AK49,T$2&lt;=$AL49),IF($AM49&gt;=1,2,IF(T$2&lt;$AK49+($AL49-$AK49+1)*$AM49,2,3)),0)))</f>
        <v/>
      </c>
      <c r="U49" s="11">
        <f>IF($AP49="",0,IF($AO49="Yes",IF(U$2=$AK49,"◆",0),IF(AND(U$2&gt;=$AK49,U$2&lt;=$AL49),IF($AM49&gt;=1,2,IF(U$2&lt;$AK49+($AL49-$AK49+1)*$AM49,2,3)),0)))</f>
        <v/>
      </c>
      <c r="V49" s="11">
        <f>IF($AP49="",0,IF($AO49="Yes",IF(V$2=$AK49,"◆",0),IF(AND(V$2&gt;=$AK49,V$2&lt;=$AL49),IF($AM49&gt;=1,2,IF(V$2&lt;$AK49+($AL49-$AK49+1)*$AM49,2,3)),0)))</f>
        <v/>
      </c>
      <c r="W49" s="11">
        <f>IF($AP49="",0,IF($AO49="Yes",IF(W$2=$AK49,"◆",0),IF(AND(W$2&gt;=$AK49,W$2&lt;=$AL49),IF($AM49&gt;=1,2,IF(W$2&lt;$AK49+($AL49-$AK49+1)*$AM49,2,3)),0)))</f>
        <v/>
      </c>
      <c r="X49" s="11">
        <f>IF($AP49="",0,IF($AO49="Yes",IF(X$2=$AK49,"◆",0),IF(AND(X$2&gt;=$AK49,X$2&lt;=$AL49),IF($AM49&gt;=1,2,IF(X$2&lt;$AK49+($AL49-$AK49+1)*$AM49,2,3)),0)))</f>
        <v/>
      </c>
      <c r="Y49" s="11">
        <f>IF($AP49="",0,IF($AO49="Yes",IF(Y$2=$AK49,"◆",0),IF(AND(Y$2&gt;=$AK49,Y$2&lt;=$AL49),IF($AM49&gt;=1,2,IF(Y$2&lt;$AK49+($AL49-$AK49+1)*$AM49,2,3)),0)))</f>
        <v/>
      </c>
      <c r="Z49" s="11">
        <f>IF($AP49="",0,IF($AO49="Yes",IF(Z$2=$AK49,"◆",0),IF(AND(Z$2&gt;=$AK49,Z$2&lt;=$AL49),IF($AM49&gt;=1,2,IF(Z$2&lt;$AK49+($AL49-$AK49+1)*$AM49,2,3)),0)))</f>
        <v/>
      </c>
      <c r="AA49" s="11">
        <f>IF($AP49="",0,IF($AO49="Yes",IF(AA$2=$AK49,"◆",0),IF(AND(AA$2&gt;=$AK49,AA$2&lt;=$AL49),IF($AM49&gt;=1,2,IF(AA$2&lt;$AK49+($AL49-$AK49+1)*$AM49,2,3)),0)))</f>
        <v/>
      </c>
      <c r="AB49" s="11">
        <f>IF($AP49="",0,IF($AO49="Yes",IF(AB$2=$AK49,"◆",0),IF(AND(AB$2&gt;=$AK49,AB$2&lt;=$AL49),IF($AM49&gt;=1,2,IF(AB$2&lt;$AK49+($AL49-$AK49+1)*$AM49,2,3)),0)))</f>
        <v/>
      </c>
      <c r="AC49" s="11">
        <f>IF($AP49="",0,IF($AO49="Yes",IF(AC$2=$AK49,"◆",0),IF(AND(AC$2&gt;=$AK49,AC$2&lt;=$AL49),IF($AM49&gt;=1,2,IF(AC$2&lt;$AK49+($AL49-$AK49+1)*$AM49,2,3)),0)))</f>
        <v/>
      </c>
      <c r="AD49" s="11">
        <f>IF($AP49="",0,IF($AO49="Yes",IF(AD$2=$AK49,"◆",0),IF(AND(AD$2&gt;=$AK49,AD$2&lt;=$AL49),IF($AM49&gt;=1,2,IF(AD$2&lt;$AK49+($AL49-$AK49+1)*$AM49,2,3)),0)))</f>
        <v/>
      </c>
      <c r="AE49" s="11">
        <f>IF($AP49="",0,IF($AO49="Yes",IF(AE$2=$AK49,"◆",0),IF(AND(AE$2&gt;=$AK49,AE$2&lt;=$AL49),IF($AM49&gt;=1,2,IF(AE$2&lt;$AK49+($AL49-$AK49+1)*$AM49,2,3)),0)))</f>
        <v/>
      </c>
      <c r="AF49" s="11">
        <f>IF($AP49="",0,IF($AO49="Yes",IF(AF$2=$AK49,"◆",0),IF(AND(AF$2&gt;=$AK49,AF$2&lt;=$AL49),IF($AM49&gt;=1,2,IF(AF$2&lt;$AK49+($AL49-$AK49+1)*$AM49,2,3)),0)))</f>
        <v/>
      </c>
      <c r="AG49" s="11">
        <f>IF($AP49="",0,IF($AO49="Yes",IF(AG$2=$AK49,"◆",0),IF(AND(AG$2&gt;=$AK49,AG$2&lt;=$AL49),IF($AM49&gt;=1,2,IF(AG$2&lt;$AK49+($AL49-$AK49+1)*$AM49,2,3)),0)))</f>
        <v/>
      </c>
      <c r="AH49" s="11">
        <f>IF($AP49="",0,IF($AO49="Yes",IF(AH$2=$AK49,"◆",0),IF(AND(AH$2&gt;=$AK49,AH$2&lt;=$AL49),IF($AM49&gt;=1,2,IF(AH$2&lt;$AK49+($AL49-$AK49+1)*$AM49,2,3)),0)))</f>
        <v/>
      </c>
      <c r="AI49" s="11">
        <f>IF($AP49="",0,IF($AO49="Yes",IF(AI$2=$AK49,"◆",0),IF(AND(AI$2&gt;=$AK49,AI$2&lt;=$AL49),IF($AM49&gt;=1,2,IF(AI$2&lt;$AK49+($AL49-$AK49+1)*$AM49,2,3)),0)))</f>
        <v/>
      </c>
      <c r="AJ49" s="11">
        <f>IF($AP49="",0,IF($AO49="Yes",IF(AJ$2=$AK49,"◆",0),IF(AND(AJ$2&gt;=$AK49,AJ$2&lt;=$AL49),IF($AM49&gt;=1,2,IF(AJ$2&lt;$AK49+($AL49-$AK49+1)*$AM49,2,3)),0)))</f>
        <v/>
      </c>
      <c r="AK49">
        <f>IFERROR(INDEX(tblTasks[Start Date],ROW()-5),"")</f>
        <v/>
      </c>
      <c r="AL49">
        <f>IFERROR(INDEX(tblTasks[End Date],ROW()-5),"")</f>
        <v/>
      </c>
      <c r="AM49">
        <f>IFERROR(INDEX(tblTasks[Progress %],ROW()-5),0)</f>
        <v/>
      </c>
      <c r="AN49">
        <f>IFERROR(INDEX(tblTasks[Status],ROW()-5),"")</f>
        <v/>
      </c>
      <c r="AO49">
        <f>IFERROR(INDEX(tblTasks[Milestone],ROW()-5),"No")</f>
        <v/>
      </c>
      <c r="AP49">
        <f>IFERROR(INDEX(tblTasks[Task ID],ROW()-5),"")</f>
        <v/>
      </c>
      <c r="AQ49">
        <f>IFERROR(INDEX(tblTasks[Phase],ROW()-5),"")</f>
        <v/>
      </c>
    </row>
    <row r="50">
      <c r="A50" s="9">
        <f>IF($AP50="","",$AP50)</f>
        <v/>
      </c>
      <c r="B50" s="10">
        <f>IF($AP50="","",IF($AO50="Yes","◆ ","")&amp;INDEX(tblTasks[Task Name],ROW()-5))</f>
        <v/>
      </c>
      <c r="C50" s="11">
        <f>IF($AP50="",0,IF($AO50="Yes",IF(C$2=$AK50,"◆",0),IF(AND(C$2&gt;=$AK50,C$2&lt;=$AL50),IF($AM50&gt;=1,2,IF(C$2&lt;$AK50+($AL50-$AK50+1)*$AM50,2,3)),0)))</f>
        <v/>
      </c>
      <c r="D50" s="11">
        <f>IF($AP50="",0,IF($AO50="Yes",IF(D$2=$AK50,"◆",0),IF(AND(D$2&gt;=$AK50,D$2&lt;=$AL50),IF($AM50&gt;=1,2,IF(D$2&lt;$AK50+($AL50-$AK50+1)*$AM50,2,3)),0)))</f>
        <v/>
      </c>
      <c r="E50" s="11">
        <f>IF($AP50="",0,IF($AO50="Yes",IF(E$2=$AK50,"◆",0),IF(AND(E$2&gt;=$AK50,E$2&lt;=$AL50),IF($AM50&gt;=1,2,IF(E$2&lt;$AK50+($AL50-$AK50+1)*$AM50,2,3)),0)))</f>
        <v/>
      </c>
      <c r="F50" s="11">
        <f>IF($AP50="",0,IF($AO50="Yes",IF(F$2=$AK50,"◆",0),IF(AND(F$2&gt;=$AK50,F$2&lt;=$AL50),IF($AM50&gt;=1,2,IF(F$2&lt;$AK50+($AL50-$AK50+1)*$AM50,2,3)),0)))</f>
        <v/>
      </c>
      <c r="G50" s="11">
        <f>IF($AP50="",0,IF($AO50="Yes",IF(G$2=$AK50,"◆",0),IF(AND(G$2&gt;=$AK50,G$2&lt;=$AL50),IF($AM50&gt;=1,2,IF(G$2&lt;$AK50+($AL50-$AK50+1)*$AM50,2,3)),0)))</f>
        <v/>
      </c>
      <c r="H50" s="11">
        <f>IF($AP50="",0,IF($AO50="Yes",IF(H$2=$AK50,"◆",0),IF(AND(H$2&gt;=$AK50,H$2&lt;=$AL50),IF($AM50&gt;=1,2,IF(H$2&lt;$AK50+($AL50-$AK50+1)*$AM50,2,3)),0)))</f>
        <v/>
      </c>
      <c r="I50" s="11">
        <f>IF($AP50="",0,IF($AO50="Yes",IF(I$2=$AK50,"◆",0),IF(AND(I$2&gt;=$AK50,I$2&lt;=$AL50),IF($AM50&gt;=1,2,IF(I$2&lt;$AK50+($AL50-$AK50+1)*$AM50,2,3)),0)))</f>
        <v/>
      </c>
      <c r="J50" s="11">
        <f>IF($AP50="",0,IF($AO50="Yes",IF(J$2=$AK50,"◆",0),IF(AND(J$2&gt;=$AK50,J$2&lt;=$AL50),IF($AM50&gt;=1,2,IF(J$2&lt;$AK50+($AL50-$AK50+1)*$AM50,2,3)),0)))</f>
        <v/>
      </c>
      <c r="K50" s="11">
        <f>IF($AP50="",0,IF($AO50="Yes",IF(K$2=$AK50,"◆",0),IF(AND(K$2&gt;=$AK50,K$2&lt;=$AL50),IF($AM50&gt;=1,2,IF(K$2&lt;$AK50+($AL50-$AK50+1)*$AM50,2,3)),0)))</f>
        <v/>
      </c>
      <c r="L50" s="11">
        <f>IF($AP50="",0,IF($AO50="Yes",IF(L$2=$AK50,"◆",0),IF(AND(L$2&gt;=$AK50,L$2&lt;=$AL50),IF($AM50&gt;=1,2,IF(L$2&lt;$AK50+($AL50-$AK50+1)*$AM50,2,3)),0)))</f>
        <v/>
      </c>
      <c r="M50" s="11">
        <f>IF($AP50="",0,IF($AO50="Yes",IF(M$2=$AK50,"◆",0),IF(AND(M$2&gt;=$AK50,M$2&lt;=$AL50),IF($AM50&gt;=1,2,IF(M$2&lt;$AK50+($AL50-$AK50+1)*$AM50,2,3)),0)))</f>
        <v/>
      </c>
      <c r="N50" s="11">
        <f>IF($AP50="",0,IF($AO50="Yes",IF(N$2=$AK50,"◆",0),IF(AND(N$2&gt;=$AK50,N$2&lt;=$AL50),IF($AM50&gt;=1,2,IF(N$2&lt;$AK50+($AL50-$AK50+1)*$AM50,2,3)),0)))</f>
        <v/>
      </c>
      <c r="O50" s="11">
        <f>IF($AP50="",0,IF($AO50="Yes",IF(O$2=$AK50,"◆",0),IF(AND(O$2&gt;=$AK50,O$2&lt;=$AL50),IF($AM50&gt;=1,2,IF(O$2&lt;$AK50+($AL50-$AK50+1)*$AM50,2,3)),0)))</f>
        <v/>
      </c>
      <c r="P50" s="11">
        <f>IF($AP50="",0,IF($AO50="Yes",IF(P$2=$AK50,"◆",0),IF(AND(P$2&gt;=$AK50,P$2&lt;=$AL50),IF($AM50&gt;=1,2,IF(P$2&lt;$AK50+($AL50-$AK50+1)*$AM50,2,3)),0)))</f>
        <v/>
      </c>
      <c r="Q50" s="11">
        <f>IF($AP50="",0,IF($AO50="Yes",IF(Q$2=$AK50,"◆",0),IF(AND(Q$2&gt;=$AK50,Q$2&lt;=$AL50),IF($AM50&gt;=1,2,IF(Q$2&lt;$AK50+($AL50-$AK50+1)*$AM50,2,3)),0)))</f>
        <v/>
      </c>
      <c r="R50" s="11">
        <f>IF($AP50="",0,IF($AO50="Yes",IF(R$2=$AK50,"◆",0),IF(AND(R$2&gt;=$AK50,R$2&lt;=$AL50),IF($AM50&gt;=1,2,IF(R$2&lt;$AK50+($AL50-$AK50+1)*$AM50,2,3)),0)))</f>
        <v/>
      </c>
      <c r="S50" s="11">
        <f>IF($AP50="",0,IF($AO50="Yes",IF(S$2=$AK50,"◆",0),IF(AND(S$2&gt;=$AK50,S$2&lt;=$AL50),IF($AM50&gt;=1,2,IF(S$2&lt;$AK50+($AL50-$AK50+1)*$AM50,2,3)),0)))</f>
        <v/>
      </c>
      <c r="T50" s="11">
        <f>IF($AP50="",0,IF($AO50="Yes",IF(T$2=$AK50,"◆",0),IF(AND(T$2&gt;=$AK50,T$2&lt;=$AL50),IF($AM50&gt;=1,2,IF(T$2&lt;$AK50+($AL50-$AK50+1)*$AM50,2,3)),0)))</f>
        <v/>
      </c>
      <c r="U50" s="11">
        <f>IF($AP50="",0,IF($AO50="Yes",IF(U$2=$AK50,"◆",0),IF(AND(U$2&gt;=$AK50,U$2&lt;=$AL50),IF($AM50&gt;=1,2,IF(U$2&lt;$AK50+($AL50-$AK50+1)*$AM50,2,3)),0)))</f>
        <v/>
      </c>
      <c r="V50" s="11">
        <f>IF($AP50="",0,IF($AO50="Yes",IF(V$2=$AK50,"◆",0),IF(AND(V$2&gt;=$AK50,V$2&lt;=$AL50),IF($AM50&gt;=1,2,IF(V$2&lt;$AK50+($AL50-$AK50+1)*$AM50,2,3)),0)))</f>
        <v/>
      </c>
      <c r="W50" s="11">
        <f>IF($AP50="",0,IF($AO50="Yes",IF(W$2=$AK50,"◆",0),IF(AND(W$2&gt;=$AK50,W$2&lt;=$AL50),IF($AM50&gt;=1,2,IF(W$2&lt;$AK50+($AL50-$AK50+1)*$AM50,2,3)),0)))</f>
        <v/>
      </c>
      <c r="X50" s="11">
        <f>IF($AP50="",0,IF($AO50="Yes",IF(X$2=$AK50,"◆",0),IF(AND(X$2&gt;=$AK50,X$2&lt;=$AL50),IF($AM50&gt;=1,2,IF(X$2&lt;$AK50+($AL50-$AK50+1)*$AM50,2,3)),0)))</f>
        <v/>
      </c>
      <c r="Y50" s="11">
        <f>IF($AP50="",0,IF($AO50="Yes",IF(Y$2=$AK50,"◆",0),IF(AND(Y$2&gt;=$AK50,Y$2&lt;=$AL50),IF($AM50&gt;=1,2,IF(Y$2&lt;$AK50+($AL50-$AK50+1)*$AM50,2,3)),0)))</f>
        <v/>
      </c>
      <c r="Z50" s="11">
        <f>IF($AP50="",0,IF($AO50="Yes",IF(Z$2=$AK50,"◆",0),IF(AND(Z$2&gt;=$AK50,Z$2&lt;=$AL50),IF($AM50&gt;=1,2,IF(Z$2&lt;$AK50+($AL50-$AK50+1)*$AM50,2,3)),0)))</f>
        <v/>
      </c>
      <c r="AA50" s="11">
        <f>IF($AP50="",0,IF($AO50="Yes",IF(AA$2=$AK50,"◆",0),IF(AND(AA$2&gt;=$AK50,AA$2&lt;=$AL50),IF($AM50&gt;=1,2,IF(AA$2&lt;$AK50+($AL50-$AK50+1)*$AM50,2,3)),0)))</f>
        <v/>
      </c>
      <c r="AB50" s="11">
        <f>IF($AP50="",0,IF($AO50="Yes",IF(AB$2=$AK50,"◆",0),IF(AND(AB$2&gt;=$AK50,AB$2&lt;=$AL50),IF($AM50&gt;=1,2,IF(AB$2&lt;$AK50+($AL50-$AK50+1)*$AM50,2,3)),0)))</f>
        <v/>
      </c>
      <c r="AC50" s="11">
        <f>IF($AP50="",0,IF($AO50="Yes",IF(AC$2=$AK50,"◆",0),IF(AND(AC$2&gt;=$AK50,AC$2&lt;=$AL50),IF($AM50&gt;=1,2,IF(AC$2&lt;$AK50+($AL50-$AK50+1)*$AM50,2,3)),0)))</f>
        <v/>
      </c>
      <c r="AD50" s="11">
        <f>IF($AP50="",0,IF($AO50="Yes",IF(AD$2=$AK50,"◆",0),IF(AND(AD$2&gt;=$AK50,AD$2&lt;=$AL50),IF($AM50&gt;=1,2,IF(AD$2&lt;$AK50+($AL50-$AK50+1)*$AM50,2,3)),0)))</f>
        <v/>
      </c>
      <c r="AE50" s="11">
        <f>IF($AP50="",0,IF($AO50="Yes",IF(AE$2=$AK50,"◆",0),IF(AND(AE$2&gt;=$AK50,AE$2&lt;=$AL50),IF($AM50&gt;=1,2,IF(AE$2&lt;$AK50+($AL50-$AK50+1)*$AM50,2,3)),0)))</f>
        <v/>
      </c>
      <c r="AF50" s="11">
        <f>IF($AP50="",0,IF($AO50="Yes",IF(AF$2=$AK50,"◆",0),IF(AND(AF$2&gt;=$AK50,AF$2&lt;=$AL50),IF($AM50&gt;=1,2,IF(AF$2&lt;$AK50+($AL50-$AK50+1)*$AM50,2,3)),0)))</f>
        <v/>
      </c>
      <c r="AG50" s="11">
        <f>IF($AP50="",0,IF($AO50="Yes",IF(AG$2=$AK50,"◆",0),IF(AND(AG$2&gt;=$AK50,AG$2&lt;=$AL50),IF($AM50&gt;=1,2,IF(AG$2&lt;$AK50+($AL50-$AK50+1)*$AM50,2,3)),0)))</f>
        <v/>
      </c>
      <c r="AH50" s="11">
        <f>IF($AP50="",0,IF($AO50="Yes",IF(AH$2=$AK50,"◆",0),IF(AND(AH$2&gt;=$AK50,AH$2&lt;=$AL50),IF($AM50&gt;=1,2,IF(AH$2&lt;$AK50+($AL50-$AK50+1)*$AM50,2,3)),0)))</f>
        <v/>
      </c>
      <c r="AI50" s="11">
        <f>IF($AP50="",0,IF($AO50="Yes",IF(AI$2=$AK50,"◆",0),IF(AND(AI$2&gt;=$AK50,AI$2&lt;=$AL50),IF($AM50&gt;=1,2,IF(AI$2&lt;$AK50+($AL50-$AK50+1)*$AM50,2,3)),0)))</f>
        <v/>
      </c>
      <c r="AJ50" s="11">
        <f>IF($AP50="",0,IF($AO50="Yes",IF(AJ$2=$AK50,"◆",0),IF(AND(AJ$2&gt;=$AK50,AJ$2&lt;=$AL50),IF($AM50&gt;=1,2,IF(AJ$2&lt;$AK50+($AL50-$AK50+1)*$AM50,2,3)),0)))</f>
        <v/>
      </c>
      <c r="AK50">
        <f>IFERROR(INDEX(tblTasks[Start Date],ROW()-5),"")</f>
        <v/>
      </c>
      <c r="AL50">
        <f>IFERROR(INDEX(tblTasks[End Date],ROW()-5),"")</f>
        <v/>
      </c>
      <c r="AM50">
        <f>IFERROR(INDEX(tblTasks[Progress %],ROW()-5),0)</f>
        <v/>
      </c>
      <c r="AN50">
        <f>IFERROR(INDEX(tblTasks[Status],ROW()-5),"")</f>
        <v/>
      </c>
      <c r="AO50">
        <f>IFERROR(INDEX(tblTasks[Milestone],ROW()-5),"No")</f>
        <v/>
      </c>
      <c r="AP50">
        <f>IFERROR(INDEX(tblTasks[Task ID],ROW()-5),"")</f>
        <v/>
      </c>
      <c r="AQ50">
        <f>IFERROR(INDEX(tblTasks[Phase],ROW()-5),"")</f>
        <v/>
      </c>
    </row>
    <row r="52">
      <c r="B52" s="12" t="inlineStr">
        <is>
          <t>Legend:</t>
        </is>
      </c>
      <c r="C52" s="13" t="n"/>
      <c r="D52" s="14" t="inlineStr">
        <is>
          <t>Completed</t>
        </is>
      </c>
      <c r="F52" s="15" t="n"/>
      <c r="G52" s="14" t="inlineStr">
        <is>
          <t>Remaining / planned</t>
        </is>
      </c>
      <c r="I52" s="16" t="n"/>
      <c r="J52" s="14" t="inlineStr">
        <is>
          <t>Delayed</t>
        </is>
      </c>
      <c r="L52" s="17" t="n"/>
      <c r="M52" s="14" t="inlineStr">
        <is>
          <t>On Hold</t>
        </is>
      </c>
      <c r="O52" s="18" t="n"/>
      <c r="P52" s="14" t="inlineStr">
        <is>
          <t>Milestone ◆</t>
        </is>
      </c>
      <c r="R52" s="19" t="n"/>
      <c r="S52" s="14" t="inlineStr">
        <is>
          <t>Weekend</t>
        </is>
      </c>
      <c r="U52" s="20" t="n"/>
      <c r="V52" s="14" t="inlineStr">
        <is>
          <t>Today</t>
        </is>
      </c>
    </row>
  </sheetData>
  <mergeCells count="2">
    <mergeCell ref="W1:AJ1"/>
    <mergeCell ref="C1:V1"/>
  </mergeCells>
  <conditionalFormatting sqref="C6:AJ50">
    <cfRule type="cellIs" priority="1" operator="equal" dxfId="5" stopIfTrue="1">
      <formula>"◆"</formula>
    </cfRule>
    <cfRule type="expression" priority="2" dxfId="6" stopIfTrue="1">
      <formula>AND(OR(C6=2,C6=3),$AN6="Delayed")</formula>
    </cfRule>
    <cfRule type="expression" priority="3" dxfId="7" stopIfTrue="1">
      <formula>AND(OR(C6=2,C6=3),$AN6="On Hold")</formula>
    </cfRule>
    <cfRule type="expression" priority="4" dxfId="8" stopIfTrue="1">
      <formula>AND(C6=2,$AN6&lt;&gt;"Delayed",$AN6&lt;&gt;"On Hold")</formula>
    </cfRule>
    <cfRule type="expression" priority="5" dxfId="9" stopIfTrue="1">
      <formula>AND(C6=3,$AN6&lt;&gt;"Delayed",$AN6&lt;&gt;"On Hold")</formula>
    </cfRule>
    <cfRule type="expression" priority="6" dxfId="10">
      <formula>AND(C6=0,OR(WEEKDAY(C$2)=1,WEEKDAY(C$2)=7))</formula>
    </cfRule>
    <cfRule type="expression" priority="7" dxfId="11">
      <formula>AND(C6=0,C$2=TODAY())</formula>
    </cfRule>
  </conditionalFormatting>
  <conditionalFormatting sqref="A6:B50">
    <cfRule type="expression" priority="8" dxfId="12">
      <formula>$AQ6="P1 · Governance &amp; Policy"</formula>
    </cfRule>
    <cfRule type="expression" priority="9" dxfId="13">
      <formula>$AQ6="P2 · Data Plane &amp; Storage"</formula>
    </cfRule>
    <cfRule type="expression" priority="10" dxfId="14">
      <formula>$AQ6="P3 · Sandbox &amp; Sub-Agents"</formula>
    </cfRule>
    <cfRule type="expression" priority="11" dxfId="15">
      <formula>$AQ6="P4 · Domain Intelligence &amp; Assets"</formula>
    </cfRule>
    <cfRule type="expression" priority="12" dxfId="16">
      <formula>$AQ6="P5 · HITL Clearance"</formula>
    </cfRule>
    <cfRule type="expression" priority="13" dxfId="17">
      <formula>$AQ6="P6 · Outbound Actuation &amp; Go-Live"</formula>
    </cfRule>
    <cfRule type="expression" priority="14" dxfId="18">
      <formula>$AQ6="P7 · Telemetry &amp; Closeout"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Tasks</t>
        </is>
      </c>
      <c r="D1" t="inlineStr">
        <is>
          <t>Phase</t>
        </is>
      </c>
      <c r="E1" t="inlineStr">
        <is>
          <t>Avg Progress %</t>
        </is>
      </c>
      <c r="G1" t="inlineStr">
        <is>
          <t>Milestone Status</t>
        </is>
      </c>
      <c r="H1" t="inlineStr">
        <is>
          <t>Count</t>
        </is>
      </c>
    </row>
    <row r="2">
      <c r="A2" t="inlineStr">
        <is>
          <t>Completed</t>
        </is>
      </c>
      <c r="B2">
        <f>COUNTIFS(tblTasks[Milestone],"No",tblTasks[Status],"Completed")</f>
        <v/>
      </c>
      <c r="D2" t="inlineStr">
        <is>
          <t>P1 · Governance &amp; Policy</t>
        </is>
      </c>
      <c r="E2" s="4">
        <f>IFERROR(AVERAGEIFS(tblTasks[Progress %],tblTasks[Phase],D2,tblTasks[Milestone],"No"),0)</f>
        <v/>
      </c>
      <c r="G2" t="inlineStr">
        <is>
          <t>Completed</t>
        </is>
      </c>
      <c r="H2">
        <f>COUNTIFS(tblTasks[Milestone],"Yes",tblTasks[Status],"Completed")</f>
        <v/>
      </c>
    </row>
    <row r="3">
      <c r="A3" t="inlineStr">
        <is>
          <t>In Progress</t>
        </is>
      </c>
      <c r="B3">
        <f>COUNTIFS(tblTasks[Milestone],"No",tblTasks[Status],"In Progress")</f>
        <v/>
      </c>
      <c r="D3" t="inlineStr">
        <is>
          <t>P2 · Data Plane &amp; Storage</t>
        </is>
      </c>
      <c r="E3" s="4">
        <f>IFERROR(AVERAGEIFS(tblTasks[Progress %],tblTasks[Phase],D3,tblTasks[Milestone],"No"),0)</f>
        <v/>
      </c>
      <c r="G3" t="inlineStr">
        <is>
          <t>Remaining</t>
        </is>
      </c>
      <c r="H3">
        <f>COUNTIF(tblTasks[Milestone],"Yes")-H2</f>
        <v/>
      </c>
    </row>
    <row r="4">
      <c r="A4" t="inlineStr">
        <is>
          <t>Not Started</t>
        </is>
      </c>
      <c r="B4">
        <f>COUNTIFS(tblTasks[Milestone],"No",tblTasks[Status],"Not Started")</f>
        <v/>
      </c>
      <c r="D4" t="inlineStr">
        <is>
          <t>P3 · Sandbox &amp; Sub-Agents</t>
        </is>
      </c>
      <c r="E4" s="4">
        <f>IFERROR(AVERAGEIFS(tblTasks[Progress %],tblTasks[Phase],D4,tblTasks[Milestone],"No"),0)</f>
        <v/>
      </c>
    </row>
    <row r="5">
      <c r="A5" t="inlineStr">
        <is>
          <t>On Hold</t>
        </is>
      </c>
      <c r="B5">
        <f>COUNTIFS(tblTasks[Milestone],"No",tblTasks[Status],"On Hold")</f>
        <v/>
      </c>
      <c r="D5" t="inlineStr">
        <is>
          <t>P4 · Domain Intelligence &amp; Assets</t>
        </is>
      </c>
      <c r="E5" s="4">
        <f>IFERROR(AVERAGEIFS(tblTasks[Progress %],tblTasks[Phase],D5,tblTasks[Milestone],"No"),0)</f>
        <v/>
      </c>
    </row>
    <row r="6">
      <c r="A6" t="inlineStr">
        <is>
          <t>Delayed</t>
        </is>
      </c>
      <c r="B6">
        <f>COUNTIFS(tblTasks[Milestone],"No",tblTasks[Status],"Delayed")</f>
        <v/>
      </c>
      <c r="D6" t="inlineStr">
        <is>
          <t>P5 · HITL Clearance</t>
        </is>
      </c>
      <c r="E6" s="4">
        <f>IFERROR(AVERAGEIFS(tblTasks[Progress %],tblTasks[Phase],D6,tblTasks[Milestone],"No"),0)</f>
        <v/>
      </c>
    </row>
    <row r="7">
      <c r="D7" t="inlineStr">
        <is>
          <t>P6 · Outbound Actuation &amp; Go-Live</t>
        </is>
      </c>
      <c r="E7" s="4">
        <f>IFERROR(AVERAGEIFS(tblTasks[Progress %],tblTasks[Phase],D7,tblTasks[Milestone],"No"),0)</f>
        <v/>
      </c>
    </row>
    <row r="8">
      <c r="D8" t="inlineStr">
        <is>
          <t>P7 · Telemetry &amp; Closeout</t>
        </is>
      </c>
      <c r="E8" s="4">
        <f>IFERROR(AVERAGEIFS(tblTasks[Progress %],tblTasks[Phase],D8,tblTasks[Milestone],"No"),0)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cols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21" t="inlineStr">
        <is>
          <t>Governed Multi-Brand Agentic System — Project Dashboard</t>
        </is>
      </c>
    </row>
    <row r="3">
      <c r="B3" s="22" t="inlineStr">
        <is>
          <t>Total Tasks</t>
        </is>
      </c>
      <c r="C3" s="22" t="inlineStr">
        <is>
          <t>Completed</t>
        </is>
      </c>
      <c r="D3" s="22" t="inlineStr">
        <is>
          <t>In Progress</t>
        </is>
      </c>
      <c r="E3" s="22" t="inlineStr">
        <is>
          <t>Not Started</t>
        </is>
      </c>
      <c r="F3" s="22" t="inlineStr">
        <is>
          <t>Delayed</t>
        </is>
      </c>
      <c r="G3" s="22" t="inlineStr">
        <is>
          <t>On Hold</t>
        </is>
      </c>
      <c r="H3" s="22" t="inlineStr">
        <is>
          <t>Overall Progress</t>
        </is>
      </c>
      <c r="I3" s="22" t="inlineStr">
        <is>
          <t>Total Milestones</t>
        </is>
      </c>
      <c r="J3" s="22" t="inlineStr">
        <is>
          <t>Milestones Done</t>
        </is>
      </c>
      <c r="K3" s="22" t="inlineStr">
        <is>
          <t>Milestones Left</t>
        </is>
      </c>
      <c r="L3" s="22" t="inlineStr">
        <is>
          <t>Days Remaining</t>
        </is>
      </c>
    </row>
    <row r="4">
      <c r="B4" s="23">
        <f>COUNTIF(tblTasks[Milestone],"No")</f>
        <v/>
      </c>
      <c r="C4" s="23">
        <f>COUNTIFS(tblTasks[Milestone],"No",tblTasks[Status],"Completed")</f>
        <v/>
      </c>
      <c r="D4" s="23">
        <f>COUNTIFS(tblTasks[Milestone],"No",tblTasks[Status],"In Progress")</f>
        <v/>
      </c>
      <c r="E4" s="23">
        <f>COUNTIFS(tblTasks[Milestone],"No",tblTasks[Status],"Not Started")</f>
        <v/>
      </c>
      <c r="F4" s="23">
        <f>COUNTIFS(tblTasks[Milestone],"No",tblTasks[Status],"Delayed")</f>
        <v/>
      </c>
      <c r="G4" s="23">
        <f>COUNTIFS(tblTasks[Milestone],"No",tblTasks[Status],"On Hold")</f>
        <v/>
      </c>
      <c r="H4" s="24">
        <f>IFERROR(SUMPRODUCT((tblTasks[Milestone]="No")*tblTasks[Progress %]*tblTasks[Duration])/SUMPRODUCT((tblTasks[Milestone]="No")*tblTasks[Duration]),0)</f>
        <v/>
      </c>
      <c r="I4" s="23">
        <f>COUNTIF(tblTasks[Milestone],"Yes")</f>
        <v/>
      </c>
      <c r="J4" s="23">
        <f>COUNTIFS(tblTasks[Milestone],"Yes",tblTasks[Status],"Completed")</f>
        <v/>
      </c>
      <c r="K4" s="23">
        <f>COUNTIF(tblTasks[Milestone],"Yes")-COUNTIFS(tblTasks[Milestone],"Yes",tblTasks[Status],"Completed")</f>
        <v/>
      </c>
      <c r="L4" s="23">
        <f>MAX(0,DATE(2026,10,14)-TODAY())</f>
        <v/>
      </c>
    </row>
    <row r="6">
      <c r="N6" s="12" t="inlineStr">
        <is>
          <t>Next upcoming tasks</t>
        </is>
      </c>
    </row>
    <row r="7">
      <c r="N7">
        <f>IFERROR(TAKE(SORT(FILTER(CHOOSE({1,2,3,4,5},tblTasks[Task ID],tblTasks[Task Name],tblTasks[Start Date],tblTasks[End Date],tblTasks[Status]),(tblTasks[Status]&lt;&gt;"Completed")*(tblTasks[Milestone]="No")),3,1),5),"—")</f>
        <v/>
      </c>
    </row>
    <row r="15">
      <c r="N15" s="12" t="inlineStr">
        <is>
          <t>Upcoming milestones</t>
        </is>
      </c>
    </row>
    <row r="16">
      <c r="N16">
        <f>IFERROR(TAKE(SORT(FILTER(CHOOSE({1,2,3},tblTasks[Task ID],tblTasks[Task Name],tblTasks[Start Date]),(tblTasks[Milestone]="Yes")*(tblTasks[Status]&lt;&gt;"Completed")),3,1),3),"—")</f>
        <v/>
      </c>
    </row>
    <row r="22">
      <c r="N22" s="12" t="inlineStr">
        <is>
          <t>Approaching end date (≤7 days)</t>
        </is>
      </c>
    </row>
    <row r="23">
      <c r="N23">
        <f>IFERROR(TAKE(SORT(FILTER(CHOOSE({1,2,3,4},tblTasks[Task ID],tblTasks[Task Name],tblTasks[End Date],tblTasks[Progress %]),(tblTasks[End Date]&gt;=TODAY())*(tblTasks[End Date]&lt;=TODAY()+7)*(tblTasks[Status]&lt;&gt;"Completed")*(tblTasks[Milestone]="No")),3,1),5),"—")</f>
        <v/>
      </c>
    </row>
    <row r="31">
      <c r="N31" s="12" t="inlineStr">
        <is>
          <t>Delayed / schedule-conflicted</t>
        </is>
      </c>
    </row>
    <row r="32">
      <c r="N32">
        <f>IFERROR(FILTER(CHOOSE({1,2,3},tblTasks[Task ID],tblTasks[Task Name],tblTasks[Schedule Health]),((tblTasks[Status]="Delayed")+(tblTasks[Schedule Health]="Dep. Conflict")+(tblTasks[Schedule Health]="Overdue")+(tblTasks[Schedule Health]="Invalid Dates"))&gt;0),"None currently")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1" customWidth="1" min="3" max="3"/>
    <col width="12" customWidth="1" min="4" max="4"/>
    <col width="11" customWidth="1" min="5" max="5"/>
    <col width="11" customWidth="1" min="6" max="6"/>
    <col width="12" customWidth="1" min="7" max="7"/>
    <col width="42" customWidth="1" min="8" max="8"/>
  </cols>
  <sheetData>
    <row r="1">
      <c r="A1" s="8" t="inlineStr">
        <is>
          <t>Resource</t>
        </is>
      </c>
      <c r="B1" s="8" t="inlineStr">
        <is>
          <t>Total Assigned</t>
        </is>
      </c>
      <c r="C1" s="8" t="inlineStr">
        <is>
          <t>Completed</t>
        </is>
      </c>
      <c r="D1" s="8" t="inlineStr">
        <is>
          <t>In Progress</t>
        </is>
      </c>
      <c r="E1" s="8" t="inlineStr">
        <is>
          <t>Not Started</t>
        </is>
      </c>
      <c r="F1" s="8" t="inlineStr">
        <is>
          <t>Remaining</t>
        </is>
      </c>
      <c r="G1" s="8" t="inlineStr">
        <is>
          <t>Avg Progress</t>
        </is>
      </c>
      <c r="H1" s="8" t="inlineStr">
        <is>
          <t>Notes</t>
        </is>
      </c>
    </row>
    <row r="2">
      <c r="A2" t="inlineStr">
        <is>
          <t>No</t>
        </is>
      </c>
      <c r="B2">
        <f>COUNTIF(tblTasks[Resource / Owner],$A2)</f>
        <v/>
      </c>
      <c r="C2">
        <f>COUNTIFS(tblTasks[Resource / Owner],$A2,tblTasks[Status],"Completed")</f>
        <v/>
      </c>
      <c r="D2">
        <f>COUNTIFS(tblTasks[Resource / Owner],$A2,tblTasks[Status],"In Progress")</f>
        <v/>
      </c>
      <c r="E2">
        <f>COUNTIFS(tblTasks[Resource / Owner],$A2,tblTasks[Status],"Not Started")</f>
        <v/>
      </c>
      <c r="F2">
        <f>B2-C2</f>
        <v/>
      </c>
      <c r="G2" s="4">
        <f>IFERROR(AVERAGEIF(tblTasks[Resource / Owner],$A2,tblTasks[Progress %]),0)</f>
        <v/>
      </c>
      <c r="H2">
        <f>IF(B2&gt;1,"Multiple assignments — review for schedule overlap","")</f>
        <v/>
      </c>
    </row>
    <row r="3">
      <c r="A3" t="inlineStr">
        <is>
          <t>Yes</t>
        </is>
      </c>
      <c r="B3">
        <f>COUNTIF(tblTasks[Resource / Owner],$A3)</f>
        <v/>
      </c>
      <c r="C3">
        <f>COUNTIFS(tblTasks[Resource / Owner],$A3,tblTasks[Status],"Completed")</f>
        <v/>
      </c>
      <c r="D3">
        <f>COUNTIFS(tblTasks[Resource / Owner],$A3,tblTasks[Status],"In Progress")</f>
        <v/>
      </c>
      <c r="E3">
        <f>COUNTIFS(tblTasks[Resource / Owner],$A3,tblTasks[Status],"Not Started")</f>
        <v/>
      </c>
      <c r="F3">
        <f>B3-C3</f>
        <v/>
      </c>
      <c r="G3" s="4">
        <f>IFERROR(AVERAGEIF(tblTasks[Resource / Owner],$A3,tblTasks[Progress %]),0)</f>
        <v/>
      </c>
      <c r="H3">
        <f>IF(B3&gt;1,"Multiple assignments — review for schedule overlap","")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52" customWidth="1" min="3" max="3"/>
    <col width="52" customWidth="1" min="4" max="4"/>
    <col width="40" customWidth="1" min="5" max="5"/>
  </cols>
  <sheetData>
    <row r="1">
      <c r="A1" s="8" t="inlineStr">
        <is>
          <t>Label</t>
        </is>
      </c>
      <c r="B1" s="8" t="inlineStr">
        <is>
          <t>Source field / item</t>
        </is>
      </c>
      <c r="C1" s="8" t="inlineStr">
        <is>
          <t>Issue</t>
        </is>
      </c>
      <c r="D1" s="8" t="inlineStr">
        <is>
          <t>Resolution used</t>
        </is>
      </c>
      <c r="E1" s="8" t="inlineStr">
        <is>
          <t>User action needed</t>
        </is>
      </c>
    </row>
    <row r="2">
      <c r="A2" s="25" t="inlineStr">
        <is>
          <t>[CONFLICT]</t>
        </is>
      </c>
      <c r="B2" s="26" t="inlineStr">
        <is>
          <t>flowchart.drawio.html</t>
        </is>
      </c>
      <c r="C2" s="26" t="inlineStr">
        <is>
          <t>HTML contains only placeholder 'Untitled Diagram-Page-3'; no diagram data despite MD claiming identical export.</t>
        </is>
      </c>
      <c r="D2" s="26" t="inlineStr">
        <is>
          <t>Used Final-Level Full Architecture.md as sole structural source.</t>
        </is>
      </c>
      <c r="E2" s="26" t="inlineStr">
        <is>
          <t>Re-export Draw.io diagram if visual reference needed.</t>
        </is>
      </c>
    </row>
    <row r="3">
      <c r="A3" s="27" t="inlineStr">
        <is>
          <t>[INFERRED]</t>
        </is>
      </c>
      <c r="B3" s="26" t="inlineStr">
        <is>
          <t>All task dates</t>
        </is>
      </c>
      <c r="C3" s="26" t="inlineStr">
        <is>
          <t>Source has no calendar dates; 34 tasks dated from dependency DAG.</t>
        </is>
      </c>
      <c r="D3" s="26" t="inlineStr">
        <is>
          <t>Mapped into 2026-09-11 → 2026-10-14; all within window.</t>
        </is>
      </c>
      <c r="E3" s="26" t="inlineStr">
        <is>
          <t>Confirm dates against real calendar.</t>
        </is>
      </c>
    </row>
    <row r="4">
      <c r="A4" s="27" t="inlineStr">
        <is>
          <t>[INFERRED]</t>
        </is>
      </c>
      <c r="B4" s="26" t="inlineStr">
        <is>
          <t>Progress values</t>
        </is>
      </c>
      <c r="C4" s="26" t="inlineStr">
        <is>
          <t>Source progress marked [INFERRED] (100/50/25/0%).</t>
        </is>
      </c>
      <c r="D4" s="26" t="inlineStr">
        <is>
          <t>All Progress % initialized to 0% per workbook rule for fresh tracking.</t>
        </is>
      </c>
      <c r="E4" s="26" t="inlineStr">
        <is>
          <t>Enter actual progress if project is underway.</t>
        </is>
      </c>
    </row>
    <row r="5">
      <c r="A5" s="27" t="inlineStr">
        <is>
          <t>[INFERRED]</t>
        </is>
      </c>
      <c r="B5" s="26" t="inlineStr">
        <is>
          <t>Dependency types</t>
        </is>
      </c>
      <c r="C5" s="26" t="inlineStr">
        <is>
          <t>Source lists all dependencies as Finish-to-Start.</t>
        </is>
      </c>
      <c r="D5" s="26" t="inlineStr">
        <is>
          <t>All set to FS.</t>
        </is>
      </c>
      <c r="E5" s="26" t="inlineStr">
        <is>
          <t>Change to SS/FF/SF if intended.</t>
        </is>
      </c>
    </row>
    <row r="6">
      <c r="A6" s="27" t="inlineStr">
        <is>
          <t>[INFERRED]</t>
        </is>
      </c>
      <c r="B6" s="26" t="inlineStr">
        <is>
          <t>Priority</t>
        </is>
      </c>
      <c r="C6" s="26" t="inlineStr">
        <is>
          <t>Not specified in source.</t>
        </is>
      </c>
      <c r="D6" s="26" t="inlineStr">
        <is>
          <t>Assigned by gating/criticality (deploy, HITL, foundations = High).</t>
        </is>
      </c>
      <c r="E6" s="26" t="inlineStr">
        <is>
          <t>Adjust as needed.</t>
        </is>
      </c>
    </row>
    <row r="7">
      <c r="A7" s="27" t="inlineStr">
        <is>
          <t>[INFERRED]</t>
        </is>
      </c>
      <c r="B7" s="26" t="inlineStr">
        <is>
          <t>Milestone status</t>
        </is>
      </c>
      <c r="C7" s="26" t="inlineStr">
        <is>
          <t>Source milestone status marked [INFERRED].</t>
        </is>
      </c>
      <c r="D7" s="26" t="inlineStr">
        <is>
          <t>Milestones start Not Started / 0%.</t>
        </is>
      </c>
      <c r="E7" s="26" t="inlineStr">
        <is>
          <t>Mark complete when achieved.</t>
        </is>
      </c>
    </row>
    <row r="8">
      <c r="A8" s="25" t="inlineStr">
        <is>
          <t>[MISSING]</t>
        </is>
      </c>
      <c r="B8" s="26" t="inlineStr">
        <is>
          <t>Platform API credentials</t>
        </is>
      </c>
      <c r="C8" s="26" t="inlineStr">
        <is>
          <t>Meta/Google/TikTok/CMS OAuth secrets absent.</t>
        </is>
      </c>
      <c r="D8" s="26" t="inlineStr">
        <is>
          <t>Assumed injected via secure vault at T25.</t>
        </is>
      </c>
      <c r="E8" s="26" t="inlineStr">
        <is>
          <t>Provide credentials before go-live.</t>
        </is>
      </c>
    </row>
    <row r="9">
      <c r="A9" s="25" t="inlineStr">
        <is>
          <t>[MISSING]</t>
        </is>
      </c>
      <c r="B9" s="26" t="inlineStr">
        <is>
          <t>Budget figures</t>
        </is>
      </c>
      <c r="C9" s="26" t="inlineStr">
        <is>
          <t>Spend caps conceptual only; no numeric values.</t>
        </is>
      </c>
      <c r="D9" s="26" t="inlineStr">
        <is>
          <t>No numeric budget modeled.</t>
        </is>
      </c>
      <c r="E9" s="26" t="inlineStr">
        <is>
          <t>Supply budget caps from Brand Stakeholder.</t>
        </is>
      </c>
    </row>
    <row r="10">
      <c r="A10" s="27" t="inlineStr">
        <is>
          <t>[DEPENDENCY ISSUE]</t>
        </is>
      </c>
      <c r="B10" s="26" t="inlineStr">
        <is>
          <t>DAG validation</t>
        </is>
      </c>
      <c r="C10" s="26" t="inlineStr">
        <is>
          <t>Checked for cycles / invalid refs / early starts.</t>
        </is>
      </c>
      <c r="D10" s="26" t="inlineStr">
        <is>
          <t>PASS — no cycles, all refs valid, FS ordering satisfied.</t>
        </is>
      </c>
      <c r="E10" s="26" t="inlineStr">
        <is>
          <t>None.</t>
        </is>
      </c>
    </row>
    <row r="11">
      <c r="A11" s="27" t="inlineStr">
        <is>
          <t>[OUTSIDE WINDOW]</t>
        </is>
      </c>
      <c r="B11" s="26" t="inlineStr">
        <is>
          <t>Date window</t>
        </is>
      </c>
      <c r="C11" s="26" t="inlineStr">
        <is>
          <t>Checked all tasks vs 2026-09-11..10-14.</t>
        </is>
      </c>
      <c r="D11" s="26" t="inlineStr">
        <is>
          <t>PASS — every task within window.</t>
        </is>
      </c>
      <c r="E11" s="26" t="inlineStr">
        <is>
          <t>None.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8" t="inlineStr">
        <is>
          <t>GOVERNED MULTI-BRAND AGENTIC SYSTEM — WORKBOOK INSTRUCTIONS</t>
        </is>
      </c>
    </row>
    <row r="2">
      <c r="A2" s="29" t="inlineStr"/>
    </row>
    <row r="3">
      <c r="A3" s="29" t="inlineStr">
        <is>
          <t>1. Edit tasks: Project Tracker sheet. Type directly into Task Name, Description, Predecessor, Resource, Notes.</t>
        </is>
      </c>
    </row>
    <row r="4">
      <c r="A4" s="29" t="inlineStr">
        <is>
          <t>2. Change dates: edit Start Date / End Date (columns E/F). Duration, Schedule Health, Gantt and Dashboard recalc automatically.</t>
        </is>
      </c>
    </row>
    <row r="5">
      <c r="A5" s="29" t="inlineStr">
        <is>
          <t>3. Update progress: enter 0%–100% in Progress % (column N). The Gantt bar fills proportionally.</t>
        </is>
      </c>
    </row>
    <row r="6">
      <c r="A6" s="29" t="inlineStr">
        <is>
          <t>4. Change status: use the Status dropdown. Keep it in sync with progress (0%=Not Started, 1–99%=In Progress, 100%=Completed). On Hold/Delayed are manual and are never overwritten.</t>
        </is>
      </c>
    </row>
    <row r="7">
      <c r="A7" s="29" t="inlineStr">
        <is>
          <t>5. Assign resources: type the resource name in Resource / Owner (column K). The Resources sheet and dashboard update.</t>
        </is>
      </c>
    </row>
    <row r="8">
      <c r="A8" s="29" t="inlineStr">
        <is>
          <t>6. Dependencies: list predecessor Task IDs comma-separated (e.g. 'T05, T06'). Pick FS/SS/FF/SF in Dependency Type. The Schedule Health column flags 'Dep. Conflict' if a task starts before its predecessors finish (FS).</t>
        </is>
      </c>
    </row>
    <row r="9">
      <c r="A9" s="29" t="inlineStr">
        <is>
          <t>7. Add a new task: type in the row immediately below the table — the table, formulas, dropdowns and formatting extend automatically. Add a matching Gantt row by copying the last Gantt row's formulas if you exceed the buffer.</t>
        </is>
      </c>
    </row>
    <row r="10">
      <c r="A10" s="29" t="inlineStr">
        <is>
          <t>8. Milestones: tasks with Milestone='Yes' show as a purple ◆ on their single date instead of a bar.</t>
        </is>
      </c>
    </row>
    <row r="11">
      <c r="A11" s="29" t="inlineStr">
        <is>
          <t>9. Gantt updates: bars are formula-driven from the Tracker. Green=completed portion, blue=remaining, red=delayed, orange=on-hold. Weekends are shaded; today's column is amber.</t>
        </is>
      </c>
    </row>
    <row r="12">
      <c r="A12" s="29" t="inlineStr">
        <is>
          <t>10. Dashboard: all KPIs, charts and 'upcoming work' lists recalc from the Tracker. The 'upcoming work' formulas use Excel 365 dynamic arrays (FILTER/SORT/TAKE).</t>
        </is>
      </c>
    </row>
    <row r="13">
      <c r="A13" s="29" t="inlineStr"/>
    </row>
    <row r="14">
      <c r="A14" s="28" t="inlineStr">
        <is>
          <t>Notes: grey italic cells are calculated — do not edit. Requires Excel 365/2021 for dashboard array formulas and LET-free Gantt. All progress was initialized to 0% (see Assumptions &amp; Gaps).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2026-09-11T04:21:49Z</dcterms:created>
  <dcterms:modified xmlns:dcterms="http://purl.org/dc/terms/" xmlns:xsi="http://www.w3.org/2001/XMLSchema-instance" xsi:type="dcterms:W3CDTF">2026-09-11T04:21:50Z</dcterms:modified>
</cp:coreProperties>
</file>