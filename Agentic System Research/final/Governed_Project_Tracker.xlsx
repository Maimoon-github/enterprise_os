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c21f2ac10d468c" /></Relationships>
</file>

<file path=xl/workbook.xml><?xml version="1.0" encoding="utf-8"?>
<ns0:workbook xmlns:ns0="http://schemas.openxmlformats.org/spreadsheetml/2006/main" xmlns:ns1="http://schemas.openxmlformats.org/officeDocument/2006/relationships">
  <ns0:sheets>
    <ns0:sheet name="Project Tracker" sheetId="1" ns1:id="Rf08a4c78487f46cc"/>
    <ns0:sheet name="Gantt" sheetId="2" ns1:id="R30584403357a45b5"/>
    <ns0:sheet name="Dashboard" sheetId="3" ns1:id="Rf6afa906e59948ae"/>
    <ns0:sheet name="Resources" sheetId="4" ns1:id="Rccda85cede6f4bfe"/>
    <ns0:sheet name="Assumptions &amp; Gaps" sheetId="5" ns1:id="Rb5759d35d3174c76"/>
    <ns0:sheet name="Instructions" sheetId="6" ns1:id="Rc721af83c69140ed"/>
  </ns0:sheets>
  <ns0:definedNames>
    <ns0:definedName name="ProjectStart">'Instructions'!$B$5</ns0:definedName>
    <ns0:definedName name="ProjectEnd">'Instructions'!$D$5</ns0:definedName>
    <ns0:definedName name="AsOfDate">'Instructions'!$F$5</ns0:definedName>
    <ns0:definedName name="PhaseLabels">'Dashboard'!$U$7:INDEX('Dashboard'!$U$7:$U$106,MAX(1,MAX('Project Tracker'!$AN$7:$AN$106)))</ns0:definedName>
    <ns0:definedName name="PhaseProgress">'Dashboard'!$V$7:INDEX('Dashboard'!$V$7:$V$106,MAX(1,MAX('Project Tracker'!$AN$7:$AN$106)))</ns0:definedName>
  </ns0:definedNames>
  <ns0:calcPr calcMode="auto" fullCalcOnLoad="1" forceFullCalc="1"/>
</ns0:workbook>
</file>

<file path=xl/sharedStrings.xml><?xml version="1.0" encoding="utf-8"?>
<x:sst xmlns:x="http://schemas.openxmlformats.org/spreadsheetml/2006/main"/>
</file>

<file path=xl/styles.xml><?xml version="1.0" encoding="utf-8"?>
<ns0:styleSheet xmlns:ns0="http://schemas.openxmlformats.org/spreadsheetml/2006/main">
  <ns0:numFmts count="7">
    <ns0:numFmt numFmtId="200" formatCode="dd-mmm-yyyy"/>
    <ns0:numFmt numFmtId="201" formatCode="0%"/>
    <ns0:numFmt numFmtId="202" formatCode="ddd"/>
    <ns0:numFmt numFmtId="203" formatCode="d"/>
    <ns0:numFmt numFmtId="204" formatCode="dd-mmm"/>
    <ns0:numFmt numFmtId="205" formatCode=";;;@"/>
    <ns0:numFmt numFmtId="206" formatCode="0.0%"/>
  </ns0:numFmts>
  <ns0:fonts count="7">
    <ns0:font>
      <ns0:sz val="11"/>
      <ns0:name val="Carlito"/>
    </ns0:font>
    <ns0:font>
      <ns0:sz val="10"/>
      <ns0:color rgb="FF24364B"/>
      <ns0:name val="Arial"/>
    </ns0:font>
    <ns0:font>
      <ns0:b/>
      <ns0:sz val="16"/>
      <ns0:color rgb="FF24364B"/>
      <ns0:name val="Arial"/>
    </ns0:font>
    <ns0:font>
      <ns0:b/>
      <ns0:sz val="10"/>
      <ns0:color rgb="FFFFFFFF"/>
      <ns0:name val="Arial"/>
    </ns0:font>
    <ns0:font>
      <ns0:sz val="10"/>
      <ns0:color rgb="FF2563EB"/>
      <ns0:name val="Arial"/>
    </ns0:font>
    <ns0:font>
      <ns0:sz val="12"/>
      <ns0:color rgb="FF166534"/>
      <ns0:name val="Arial"/>
    </ns0:font>
    <ns0:font>
      <ns0:b/>
      <ns0:sz val="10"/>
      <ns0:color rgb="FF24364B"/>
      <ns0:name val="Arial"/>
    </ns0:font>
  </ns0:fonts>
  <ns0:fills count="6">
    <ns0:fill>
      <ns0:patternFill patternType="none"/>
    </ns0:fill>
    <ns0:fill>
      <ns0:patternFill patternType="gray125"/>
    </ns0:fill>
    <ns0:fill>
      <ns0:patternFill patternType="solid">
        <ns0:fgColor rgb="FF24364B"/>
      </ns0:patternFill>
    </ns0:fill>
    <ns0:fill>
      <ns0:patternFill patternType="solid">
        <ns0:fgColor rgb="FFEFF4F8"/>
      </ns0:patternFill>
    </ns0:fill>
    <ns0:fill>
      <ns0:patternFill patternType="solid">
        <ns0:fgColor rgb="FFF7F9FC"/>
      </ns0:patternFill>
    </ns0:fill>
    <ns0:fill>
      <ns0:patternFill patternType="solid">
        <ns0:fgColor rgb="FFFFF3CD"/>
      </ns0:patternFill>
    </ns0:fill>
  </ns0:fills>
  <ns0:borders count="1">
    <ns0:border/>
  </ns0:borders>
  <ns0:cellStyleXfs count="1">
    <ns0:xf numFmtId="0" fontId="0" fillId="0" borderId="0"/>
  </ns0:cellStyleXfs>
  <ns0:cellXfs count="54">
    <ns0:xf numFmtId="0" fontId="0" fillId="0" borderId="0" xfId="0"/>
    <ns0:xf numFmtId="0" fontId="1" fillId="0" borderId="0" xfId="0" applyNumberFormat="1" applyFont="1" applyFill="1" applyBorder="1"/>
    <ns0:xf numFmtId="0" fontId="1" fillId="0" borderId="0" xfId="0" applyNumberFormat="1" applyFont="1" applyFill="1" applyBorder="1" applyAlignment="1">
      <ns0:alignment vertical="center"/>
    </ns0:xf>
    <ns0:xf numFmtId="0" fontId="2" fillId="0" borderId="0" xfId="0" applyNumberFormat="1" applyFont="1" applyFill="1" applyBorder="1" applyAlignment="1">
      <ns0:alignment vertical="center"/>
    </ns0:xf>
    <ns0:xf numFmtId="0" fontId="1" fillId="2" borderId="0" xfId="0" applyNumberFormat="1" applyFont="1" applyFill="1" applyBorder="1" applyAlignment="1">
      <ns0:alignment vertical="center"/>
    </ns0:xf>
    <ns0:xf numFmtId="0" fontId="3" fillId="2" borderId="0" xfId="0" applyNumberFormat="1" applyFont="1" applyFill="1" applyBorder="1" applyAlignment="1">
      <ns0:alignment vertical="center"/>
    </ns0:xf>
    <ns0:xf numFmtId="0" fontId="3" fillId="2" borderId="0" xfId="0" applyNumberFormat="1" applyFont="1" applyFill="1" applyBorder="1" applyAlignment="1">
      <ns0:alignment vertical="center" wrapText="1"/>
    </ns0:xf>
    <ns0:xf numFmtId="0" fontId="3" fillId="2" borderId="0" xfId="0" applyNumberFormat="1" applyFont="1" applyFill="1" applyBorder="1" applyAlignment="1">
      <ns0:alignment horizontal="center" vertical="center" wrapText="1"/>
    </ns0:xf>
    <ns0:xf numFmtId="0" fontId="1" fillId="0" borderId="0" xfId="0" applyNumberFormat="1" applyFont="1" applyFill="1" applyBorder="1" applyAlignment="1">
      <ns0:alignment vertical="center" wrapText="1"/>
    </ns0:xf>
    <ns0:xf numFmtId="0" fontId="4" fillId="0" borderId="0" xfId="0" applyNumberFormat="1" applyFont="1" applyFill="1" applyBorder="1" applyAlignment="1">
      <ns0:alignment vertical="center" wrapText="1"/>
    </ns0:xf>
    <ns0:xf numFmtId="200" fontId="4" fillId="0" borderId="0" xfId="0" applyNumberFormat="1" applyFont="1" applyFill="1" applyBorder="1" applyAlignment="1">
      <ns0:alignment vertical="center" wrapText="1"/>
    </ns0:xf>
    <ns0:xf numFmtId="201" fontId="4" fillId="0" borderId="0" xfId="0" applyNumberFormat="1" applyFont="1" applyFill="1" applyBorder="1" applyAlignment="1">
      <ns0:alignment vertical="center" wrapText="1"/>
    </ns0:xf>
    <ns0:xf numFmtId="0" fontId="4" fillId="3" borderId="0" xfId="0" applyNumberFormat="1" applyFont="1" applyFill="1" applyBorder="1" applyAlignment="1">
      <ns0:alignment vertical="center" wrapText="1"/>
    </ns0:xf>
    <ns0:xf numFmtId="0" fontId="1" fillId="3" borderId="0" xfId="0" applyNumberFormat="1" applyFont="1" applyFill="1" applyBorder="1" applyAlignment="1">
      <ns0:alignment vertical="center" wrapText="1"/>
    </ns0:xf>
    <ns0:xf numFmtId="0" fontId="4" fillId="4" borderId="0" xfId="0" applyNumberFormat="1" applyFont="1" applyFill="1" applyBorder="1" applyAlignment="1">
      <ns0:alignment vertical="center" wrapText="1"/>
    </ns0:xf>
    <ns0:xf numFmtId="0" fontId="3" fillId="2" borderId="0" xfId="0" applyNumberFormat="1" applyFont="1" applyFill="1" applyBorder="1" applyAlignment="1">
      <ns0:alignment horizontal="center" vertical="center"/>
    </ns0:xf>
    <ns0:xf numFmtId="202" fontId="1" fillId="0" borderId="0" xfId="0" applyNumberFormat="1" applyFont="1" applyFill="1" applyBorder="1" applyAlignment="1">
      <ns0:alignment vertical="center"/>
    </ns0:xf>
    <ns0:xf numFmtId="203" fontId="3" fillId="2" borderId="0" xfId="0" applyNumberFormat="1" applyFont="1" applyFill="1" applyBorder="1" applyAlignment="1">
      <ns0:alignment horizontal="center" vertical="center" wrapText="1"/>
    </ns0:xf>
    <ns0:xf numFmtId="204" fontId="1" fillId="0" borderId="0" xfId="0" applyNumberFormat="1" applyFont="1" applyFill="1" applyBorder="1" applyAlignment="1">
      <ns0:alignment vertical="center" wrapText="1"/>
    </ns0:xf>
    <ns0:xf numFmtId="201" fontId="1" fillId="0" borderId="0" xfId="0" applyNumberFormat="1" applyFont="1" applyFill="1" applyBorder="1" applyAlignment="1">
      <ns0:alignment vertical="center" wrapText="1"/>
    </ns0:xf>
    <ns0:xf numFmtId="205" fontId="1" fillId="0" borderId="0" xfId="0" applyNumberFormat="1" applyFont="1" applyFill="1" applyBorder="1" applyAlignment="1">
      <ns0:alignment vertical="center"/>
    </ns0:xf>
    <ns0:xf numFmtId="205" fontId="1" fillId="0" borderId="0" xfId="0" applyNumberFormat="1" applyFont="1" applyFill="1" applyBorder="1" applyAlignment="1">
      <ns0:alignment horizontal="left" vertical="center"/>
    </ns0:xf>
    <ns0:xf numFmtId="205" fontId="5" fillId="0" borderId="0" xfId="0" applyNumberFormat="1" applyFont="1" applyFill="1" applyBorder="1" applyAlignment="1">
      <ns0:alignment horizontal="left" vertical="center"/>
    </ns0:xf>
    <ns0:xf numFmtId="200" fontId="1" fillId="0" borderId="0" xfId="0" applyNumberFormat="1" applyFont="1" applyFill="1" applyBorder="1" applyAlignment="1">
      <ns0:alignment vertical="center"/>
    </ns0:xf>
    <ns0:xf numFmtId="0" fontId="1" fillId="3" borderId="0" xfId="0" applyNumberFormat="1" applyFont="1" applyFill="1" applyBorder="1" applyAlignment="1">
      <ns0:alignment vertical="center"/>
    </ns0:xf>
    <ns0:xf numFmtId="0" fontId="6" fillId="3" borderId="0" xfId="0" applyNumberFormat="1" applyFont="1" applyFill="1" applyBorder="1" applyAlignment="1">
      <ns0:alignment vertical="center"/>
    </ns0:xf>
    <ns0:xf numFmtId="0" fontId="2" fillId="3" borderId="0" xfId="0" applyNumberFormat="1" applyFont="1" applyFill="1" applyBorder="1" applyAlignment="1">
      <ns0:alignment vertical="center"/>
    </ns0:xf>
    <ns0:xf numFmtId="206" fontId="2" fillId="3" borderId="0" xfId="0" applyNumberFormat="1" applyFont="1" applyFill="1" applyBorder="1" applyAlignment="1">
      <ns0:alignment vertical="center"/>
    </ns0:xf>
    <ns0:xf numFmtId="0" fontId="6" fillId="0" borderId="0" xfId="0" applyNumberFormat="1" applyFont="1" applyFill="1" applyBorder="1" applyAlignment="1">
      <ns0:alignment vertical="center"/>
    </ns0:xf>
    <ns0:xf numFmtId="204" fontId="1" fillId="0" borderId="0" xfId="0" applyNumberFormat="1" applyFont="1" applyFill="1" applyBorder="1" applyAlignment="1">
      <ns0:alignment vertical="center"/>
    </ns0:xf>
    <ns0:xf numFmtId="0" fontId="1" fillId="2" borderId="0" xfId="0" applyNumberFormat="1" applyFont="1" applyFill="1" applyBorder="1" applyAlignment="1">
      <ns0:alignment vertical="center" wrapText="1"/>
    </ns0:xf>
    <ns0:xf numFmtId="204" fontId="1" fillId="3" borderId="0" xfId="0" applyNumberFormat="1" applyFont="1" applyFill="1" applyBorder="1" applyAlignment="1">
      <ns0:alignment vertical="center" wrapText="1"/>
    </ns0:xf>
    <ns0:xf numFmtId="200" fontId="1" fillId="5" borderId="0" xfId="0" applyNumberFormat="1" applyFont="1" applyFill="1" applyBorder="1" applyAlignment="1">
      <ns0:alignment vertical="center"/>
    </ns0:xf>
    <ns0:xf numFmtId="200" fontId="4" fillId="5" borderId="0" xfId="0" applyNumberFormat="1" applyFont="1" applyFill="1" applyBorder="1" applyAlignment="1">
      <ns0:alignment vertical="center"/>
    </ns0:xf>
    <ns0:xf numFmtId="0" fontId="6" fillId="0" borderId="0" xfId="0" applyNumberFormat="1" applyFont="1" applyFill="1" applyBorder="1" applyAlignment="1">
      <ns0:alignment vertical="center" wrapText="1"/>
    </ns0:xf>
    <ns0:xf numFmtId="0" fontId="6" fillId="3" borderId="0" xfId="0" applyNumberFormat="1" applyFont="1" applyFill="1" applyBorder="1" applyAlignment="1">
      <ns0:alignment vertical="center" wrapText="1"/>
    </ns0:xf>
    <ns0:xf numFmtId="0" fontId="4" fillId="0" borderId="0" xfId="0" applyNumberFormat="1" applyFont="1" applyFill="1" applyBorder="1" applyAlignment="1" applyProtection="1">
      <ns0:alignment vertical="center" wrapText="1"/>
      <ns0:protection locked="0" hidden="0"/>
    </ns0:xf>
    <ns0:xf numFmtId="200" fontId="4" fillId="0" borderId="0" xfId="0" applyNumberFormat="1" applyFont="1" applyFill="1" applyBorder="1" applyAlignment="1" applyProtection="1">
      <ns0:alignment vertical="center" wrapText="1"/>
      <ns0:protection locked="0" hidden="0"/>
    </ns0:xf>
    <ns0:xf numFmtId="0" fontId="4" fillId="4" borderId="0" xfId="0" applyNumberFormat="1" applyFont="1" applyFill="1" applyBorder="1" applyAlignment="1" applyProtection="1">
      <ns0:alignment vertical="center" wrapText="1"/>
      <ns0:protection locked="0" hidden="0"/>
    </ns0:xf>
    <ns0:xf numFmtId="201" fontId="4" fillId="0" borderId="0" xfId="0" applyNumberFormat="1" applyFont="1" applyFill="1" applyBorder="1" applyAlignment="1" applyProtection="1">
      <ns0:alignment vertical="center" wrapText="1"/>
      <ns0:protection locked="0" hidden="0"/>
    </ns0:xf>
    <ns0:xf numFmtId="0" fontId="1" fillId="0" borderId="0" xfId="0" applyNumberFormat="1" applyFont="1" applyFill="1" applyBorder="1" applyAlignment="1" applyProtection="1">
      <ns0:alignment vertical="center" wrapText="1"/>
      <ns0:protection locked="0" hidden="0"/>
    </ns0:xf>
    <ns0:xf numFmtId="200" fontId="4" fillId="5" borderId="0" xfId="0" applyNumberFormat="1" applyFont="1" applyFill="1" applyBorder="1" applyAlignment="1" applyProtection="1">
      <ns0:alignment vertical="center"/>
      <ns0:protection locked="0" hidden="0"/>
    </ns0:xf>
    <ns0:xf numFmtId="0" fontId="4" fillId="0" borderId="0" xfId="0" applyNumberFormat="1" applyFont="1" applyFill="1" applyBorder="1" applyAlignment="1" applyProtection="1">
      <ns0:alignment vertical="center" wrapText="1"/>
      <ns0:protection locked="0" hidden="0"/>
    </ns0:xf>
    <ns0:xf numFmtId="200" fontId="4" fillId="0" borderId="0" xfId="0" applyNumberFormat="1" applyFont="1" applyFill="1" applyBorder="1" applyAlignment="1" applyProtection="1">
      <ns0:alignment vertical="center" wrapText="1"/>
      <ns0:protection locked="0" hidden="0"/>
    </ns0:xf>
    <ns0:xf numFmtId="0" fontId="4" fillId="4" borderId="0" xfId="0" applyNumberFormat="1" applyFont="1" applyFill="1" applyBorder="1" applyAlignment="1" applyProtection="1">
      <ns0:alignment vertical="center" wrapText="1"/>
      <ns0:protection locked="0" hidden="0"/>
    </ns0:xf>
    <ns0:xf numFmtId="201" fontId="4" fillId="0" borderId="0" xfId="0" applyNumberFormat="1" applyFont="1" applyFill="1" applyBorder="1" applyAlignment="1" applyProtection="1">
      <ns0:alignment vertical="center" wrapText="1"/>
      <ns0:protection locked="0" hidden="0"/>
    </ns0:xf>
    <ns0:xf numFmtId="0" fontId="1" fillId="0" borderId="0" xfId="0" applyNumberFormat="1" applyFont="1" applyFill="1" applyBorder="1" applyAlignment="1" applyProtection="1">
      <ns0:alignment vertical="center" wrapText="1"/>
      <ns0:protection locked="0" hidden="0"/>
    </ns0:xf>
    <ns0:xf numFmtId="200" fontId="4" fillId="5" borderId="0" xfId="0" applyNumberFormat="1" applyFont="1" applyFill="1" applyBorder="1" applyAlignment="1" applyProtection="1">
      <ns0:alignment vertical="center"/>
      <ns0:protection locked="0" hidden="0"/>
    </ns0:xf>
    <ns0:xf numFmtId="0" fontId="4" fillId="0" borderId="0" xfId="0" applyNumberFormat="1" applyFont="1" applyFill="1" applyBorder="1" applyAlignment="1" applyProtection="1">
      <ns0:alignment vertical="center" wrapText="1"/>
      <ns0:protection locked="0" hidden="0"/>
    </ns0:xf>
    <ns0:xf numFmtId="200" fontId="4" fillId="0" borderId="0" xfId="0" applyNumberFormat="1" applyFont="1" applyFill="1" applyBorder="1" applyAlignment="1" applyProtection="1">
      <ns0:alignment vertical="center" wrapText="1"/>
      <ns0:protection locked="0" hidden="0"/>
    </ns0:xf>
    <ns0:xf numFmtId="0" fontId="4" fillId="4" borderId="0" xfId="0" applyNumberFormat="1" applyFont="1" applyFill="1" applyBorder="1" applyAlignment="1" applyProtection="1">
      <ns0:alignment vertical="center" wrapText="1"/>
      <ns0:protection locked="0" hidden="0"/>
    </ns0:xf>
    <ns0:xf numFmtId="201" fontId="4" fillId="0" borderId="0" xfId="0" applyNumberFormat="1" applyFont="1" applyFill="1" applyBorder="1" applyAlignment="1" applyProtection="1">
      <ns0:alignment vertical="center" wrapText="1"/>
      <ns0:protection locked="0" hidden="0"/>
    </ns0:xf>
    <ns0:xf numFmtId="0" fontId="1" fillId="0" borderId="0" xfId="0" applyNumberFormat="1" applyFont="1" applyFill="1" applyBorder="1" applyAlignment="1" applyProtection="1">
      <ns0:alignment vertical="center" wrapText="1"/>
      <ns0:protection locked="0" hidden="0"/>
    </ns0:xf>
    <ns0:xf numFmtId="200" fontId="4" fillId="5" borderId="0" xfId="0" applyNumberFormat="1" applyFont="1" applyFill="1" applyBorder="1" applyAlignment="1" applyProtection="1">
      <ns0:alignment vertical="center"/>
      <ns0:protection locked="0" hidden="0"/>
    </ns0:xf>
  </ns0:cellXfs>
  <ns0:cellStyles count="1">
    <ns0:cellStyle name="Normal" xfId="0"/>
  </ns0:cellStyles>
  <ns0:dxfs count="16">
    <ns0:dxf>
      <ns0:fill>
        <ns0:patternFill patternType="solid">
          <ns0:bgColor rgb="FFF1ECFA"/>
        </ns0:patternFill>
      </ns0:fill>
    </ns0:dxf>
    <ns0:dxf>
      <ns0:font>
        <ns0:color rgb="FFA12622"/>
      </ns0:font>
      <ns0:fill>
        <ns0:patternFill patternType="solid">
          <ns0:bgColor rgb="FFFDE9E7"/>
        </ns0:patternFill>
      </ns0:fill>
    </ns0:dxf>
    <ns0:dxf>
      <ns0:fill>
        <ns0:patternFill patternType="solid">
          <ns0:bgColor rgb="FFE4EAF1"/>
        </ns0:patternFill>
      </ns0:fill>
    </ns0:dxf>
    <ns0:dxf>
      <ns0:fill>
        <ns0:patternFill patternType="solid">
          <ns0:bgColor rgb="FFF0F3F7"/>
        </ns0:patternFill>
      </ns0:fill>
    </ns0:dxf>
    <ns0:dxf>
      <ns0:fill>
        <ns0:patternFill patternType="solid">
          <ns0:bgColor rgb="FFD8E0EA"/>
        </ns0:patternFill>
      </ns0:fill>
    </ns0:dxf>
    <ns0:dxf>
      <ns0:fill>
        <ns0:patternFill patternType="solid">
          <ns0:bgColor rgb="FFADC9F4"/>
        </ns0:patternFill>
      </ns0:fill>
    </ns0:dxf>
    <ns0:dxf>
      <ns0:fill>
        <ns0:patternFill patternType="solid">
          <ns0:bgColor rgb="FF74BC91"/>
        </ns0:patternFill>
      </ns0:fill>
    </ns0:dxf>
    <ns0:dxf>
      <ns0:fill>
        <ns0:patternFill patternType="solid">
          <ns0:bgColor rgb="FFF4B6B0"/>
        </ns0:patternFill>
      </ns0:fill>
    </ns0:dxf>
    <ns0:dxf>
      <ns0:fill>
        <ns0:patternFill patternType="solid">
          <ns0:bgColor rgb="FFF4D389"/>
        </ns0:patternFill>
      </ns0:fill>
    </ns0:dxf>
    <ns0:dxf>
      <ns0:fill>
        <ns0:patternFill patternType="solid">
          <ns0:bgColor rgb="FFF4B6B0"/>
        </ns0:patternFill>
      </ns0:fill>
    </ns0:dxf>
    <ns0:dxf>
      <ns0:font>
        <ns0:color rgb="FF71419C"/>
      </ns0:font>
      <ns0:fill>
        <ns0:patternFill patternType="solid">
          <ns0:bgColor rgb="FFEEE8F8"/>
        </ns0:patternFill>
      </ns0:fill>
    </ns0:dxf>
    <ns0:dxf>
      <ns0:font>
        <ns0:color rgb="FF166534"/>
      </ns0:font>
      <ns0:fill>
        <ns0:patternFill patternType="solid">
          <ns0:bgColor rgb="FFB3DBC4"/>
        </ns0:patternFill>
      </ns0:fill>
    </ns0:dxf>
    <ns0:dxf>
      <ns0:fill>
        <ns0:patternFill patternType="solid">
          <ns0:bgColor rgb="FFEEE8F8"/>
        </ns0:patternFill>
      </ns0:fill>
    </ns0:dxf>
    <ns0:dxf>
      <ns0:font>
        <ns0:color rgb="FFA12622"/>
      </ns0:font>
      <ns0:fill>
        <ns0:patternFill patternType="solid">
          <ns0:bgColor rgb="FFFDE9E7"/>
        </ns0:patternFill>
      </ns0:fill>
    </ns0:dxf>
    <ns0:dxf>
      <ns0:border>
        <ns0:top style="medium">
          <ns0:color rgb="FF71849A"/>
        </ns0:top>
      </ns0:border>
    </ns0:dxf>
    <ns0:dxf>
      <ns0:fill>
        <ns0:patternFill patternType="solid">
          <ns0:bgColor rgb="FFFFF3CD"/>
        </ns0:patternFill>
      </ns0:fill>
    </ns0:dxf>
  </ns0:dxfs>
</ns0:styleSheet>
</file>

<file path=xl/_rels/workbook.xml.rels>&#65279;<?xml version="1.0" encoding="utf-8"?><Relationships xmlns="http://schemas.openxmlformats.org/package/2006/relationships"><Relationship Type="http://schemas.openxmlformats.org/officeDocument/2006/relationships/styles" Target="/xl/styles.xml" Id="R37ee3fbcf81c42fe" /><Relationship Type="http://schemas.openxmlformats.org/officeDocument/2006/relationships/theme" Target="/xl/theme/theme1.xml" Id="Rca374c4d7ee94cfc" /><Relationship Type="http://schemas.openxmlformats.org/officeDocument/2006/relationships/sharedStrings" Target="/xl/sharedStrings.xml" Id="Re425b5f5f8814658" /><Relationship Type="http://schemas.openxmlformats.org/officeDocument/2006/relationships/worksheet" Target="/xl/worksheets/sheet1.xml" Id="Rf08a4c78487f46cc" /><Relationship Type="http://schemas.openxmlformats.org/officeDocument/2006/relationships/worksheet" Target="/xl/worksheets/sheet2.xml" Id="R30584403357a45b5" /><Relationship Type="http://schemas.openxmlformats.org/officeDocument/2006/relationships/worksheet" Target="/xl/worksheets/sheet3.xml" Id="Rf6afa906e59948ae" /><Relationship Type="http://schemas.openxmlformats.org/officeDocument/2006/relationships/worksheet" Target="/xl/worksheets/sheet4.xml" Id="Rccda85cede6f4bfe" /><Relationship Type="http://schemas.openxmlformats.org/officeDocument/2006/relationships/worksheet" Target="/xl/worksheets/sheet5.xml" Id="Rb5759d35d3174c76" /><Relationship Type="http://schemas.openxmlformats.org/officeDocument/2006/relationships/worksheet" Target="/xl/worksheets/sheet6.xml" Id="Rc721af83c69140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7a762acb754021" /><Relationship Type="http://schemas.openxmlformats.org/officeDocument/2006/relationships/chart" Target="/xl/drawings/charts/chart2.xml" Id="Rd975fb51270c43b6" /><Relationship Type="http://schemas.openxmlformats.org/officeDocument/2006/relationships/chart" Target="/xl/drawings/charts/chart3.xml" Id="Rba5372cae4ae4d22" /><Relationship Type="http://schemas.openxmlformats.org/officeDocument/2006/relationships/chart" Target="/xl/drawings/charts/chart4.xml" Id="R215505ae84f946c3" /></Relationships>
</file>

<file path=xl/drawings/charts/chart1.xml><?xml version="1.0" encoding="utf-8"?>
<ns0:chartSpace xmlns:ns0="http://schemas.openxmlformats.org/drawingml/2006/chart" xmlns:ns1="http://schemas.openxmlformats.org/drawingml/2006/main">
  <ns0:lang val="en-US"/>
  <ns0:roundedCorners val="0"/>
  <ns0:chart>
    <ns0:title>
      <ns0:tx>
        <ns0:rich>
          <ns1:bodyPr/>
          <ns1:lstStyle/>
          <ns1:p>
            <ns1:r>
              <ns1:rPr sz="975">
                <ns1:latin typeface="Arial"/>
                <ns1:ea typeface="Arial"/>
                <ns1:cs typeface="Arial"/>
              </ns1:rPr>
              <ns1:t>Tasks by status</ns1:t>
            </ns1:r>
          </ns1:p>
        </ns0:rich>
      </ns0:tx>
      <ns0:overlay val="0"/>
      <ns0:txPr>
        <ns1:bodyPr anchorCtr="1"/>
        <ns1:lstStyle/>
        <ns1:p>
          <ns1:pPr>
            <ns1:defRPr sz="975">
              <ns1:latin typeface="Arial"/>
              <ns1:ea typeface="Arial"/>
              <ns1:cs typeface="Arial"/>
            </ns1:defRPr>
          </ns1:pPr>
        </ns1:p>
      </ns0:txPr>
    </ns0:title>
    <ns0:plotArea>
      <ns0:barChart>
        <ns0:barDir val="bar"/>
        <ns0:varyColors val="0"/>
        <ns0:ser>
          <ns0:idx val="0"/>
          <ns0:order val="0"/>
          <ns0:tx>
            <ns0:v>Tasks</ns0:v>
          </ns0:tx>
          <ns0:spPr>
            <ns1:solidFill>
              <ns1:srgbClr val="527EAD"/>
            </ns1:solidFill>
          </ns0:spPr>
          <ns0:cat>
            <ns0:strRef>
              <ns0:f>'Dashboard'!$R$7:$R$11</ns0:f>
              <ns0:strCache>
                <ns0:ptCount val="0"/>
              </ns0:strCache>
            </ns0:strRef>
          </ns0:cat>
          <ns0:val>
            <ns0:numRef>
              <ns0:f>'Dashboard'!$S$7:$S$11</ns0:f>
              <ns0:numCache>
                <ns0:formatCode>0</ns0:formatCode>
                <ns0:ptCount val="0"/>
              </ns0:numCache>
            </ns0:numRef>
          </ns0:val>
        </ns0:ser>
        <ns0:axId val="48650112"/>
        <ns0:axId val="48672768"/>
      </ns0:barChart>
      <ns0:catAx>
        <ns0:axId val="48650112"/>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tickLblPos val="nextTo"/>
        <ns0:txPr>
          <ns1:bodyPr anchorCtr="1"/>
          <ns1:lstStyle/>
          <ns1:p>
            <ns1:pPr>
              <ns1:defRPr sz="750">
                <ns1:latin typeface="Arial"/>
                <ns1:ea typeface="Arial"/>
                <ns1:cs typeface="Arial"/>
              </ns1:defRPr>
            </ns1:pPr>
          </ns1:p>
        </ns0:txPr>
        <ns0:crossAx val="48672768"/>
      </ns0:catAx>
      <ns0:valAx>
        <ns0:axId val="48672768"/>
        <ns0:scaling>
          <ns0:orientation val="minMax"/>
          <ns0:min val="0"/>
        </ns0:scaling>
        <ns0:delete val="0"/>
        <ns0:axPos val="b"/>
        <ns0:majorGridlines>
          <ns0:spPr>
            <ns1:ln w="9525">
              <ns1:solidFill>
                <ns1:srgbClr val="CCCCCC"/>
              </ns1:solidFill>
              <ns1:prstDash val="dash"/>
            </ns1:ln>
          </ns0:spPr>
        </ns0:majorGridlines>
        <ns0:numFmt formatCode="0" sourceLinked="0"/>
        <ns0:majorTickMark val="none"/>
        <ns0:minorTickMark val="none"/>
        <ns0:txPr>
          <ns1:bodyPr anchorCtr="1"/>
          <ns1:lstStyle/>
          <ns1:p>
            <ns1:pPr>
              <ns1:defRPr sz="750">
                <ns1:latin typeface="Arial"/>
                <ns1:ea typeface="Arial"/>
                <ns1:cs typeface="Arial"/>
              </ns1:defRPr>
            </ns1:pPr>
          </ns1:p>
        </ns0:txPr>
        <ns0:crossAx val="48650112"/>
        <ns0:crossBetween val="between"/>
        <ns0:majorUnit val="1"/>
      </ns0:valAx>
    </ns0:plotArea>
    <ns0:plotVisOnly val="0"/>
  </ns0:chart>
  <ns0:spPr>
    <ns1:ln w="9525">
      <ns1:solidFill>
        <ns1:srgbClr val="D9D9D9"/>
      </ns1:solidFill>
      <ns1:prstDash val="solid"/>
    </ns1:ln>
  </ns0:spPr>
</ns0:chartSpace>
</file>

<file path=xl/drawings/charts/chart2.xml><?xml version="1.0" encoding="utf-8"?>
<ns0:chartSpace xmlns:ns0="http://schemas.openxmlformats.org/drawingml/2006/chart" xmlns:ns1="http://schemas.openxmlformats.org/drawingml/2006/main">
  <ns0:lang val="en-US"/>
  <ns0:roundedCorners val="0"/>
  <ns0:chart>
    <ns0:title>
      <ns0:tx>
        <ns0:rich>
          <ns1:bodyPr/>
          <ns1:lstStyle/>
          <ns1:p>
            <ns1:r>
              <ns1:rPr sz="975">
                <ns1:latin typeface="Arial"/>
                <ns1:ea typeface="Arial"/>
                <ns1:cs typeface="Arial"/>
              </ns1:rPr>
              <ns1:t>Progress by phase</ns1:t>
            </ns1:r>
          </ns1:p>
        </ns0:rich>
      </ns0:tx>
      <ns0:overlay val="0"/>
      <ns0:txPr>
        <ns1:bodyPr anchorCtr="1"/>
        <ns1:lstStyle/>
        <ns1:p>
          <ns1:pPr>
            <ns1:defRPr sz="975">
              <ns1:latin typeface="Arial"/>
              <ns1:ea typeface="Arial"/>
              <ns1:cs typeface="Arial"/>
            </ns1:defRPr>
          </ns1:pPr>
        </ns1:p>
      </ns0:txPr>
    </ns0:title>
    <ns0:plotArea>
      <ns0:barChart>
        <ns0:barDir val="bar"/>
        <ns0:varyColors val="0"/>
        <ns0:ser>
          <ns0:idx val="0"/>
          <ns0:order val="0"/>
          <ns0:tx>
            <ns0:v>Progress</ns0:v>
          </ns0:tx>
          <ns0:spPr>
            <ns1:solidFill>
              <ns1:srgbClr val="527EAD"/>
            </ns1:solidFill>
          </ns0:spPr>
          <ns0:cat>
            <ns0:strRef>
              <ns0:f>'Governed_Project_Tracker.xlsx'!PhaseLabels</ns0:f>
              <ns0:strCache>
                <ns0:ptCount val="0"/>
              </ns0:strCache>
            </ns0:strRef>
          </ns0:cat>
          <ns0:val>
            <ns0:numRef>
              <ns0:f>'Governed_Project_Tracker.xlsx'!PhaseProgress</ns0:f>
              <ns0:numCache>
                <ns0:formatCode>0%</ns0:formatCode>
                <ns0:ptCount val="0"/>
              </ns0:numCache>
            </ns0:numRef>
          </ns0:val>
        </ns0:ser>
        <ns0:axId val="48650112"/>
        <ns0:axId val="48672768"/>
      </ns0:barChart>
      <ns0:catAx>
        <ns0:axId val="48650112"/>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tickLblPos val="nextTo"/>
        <ns0:txPr>
          <ns1:bodyPr anchorCtr="1"/>
          <ns1:lstStyle/>
          <ns1:p>
            <ns1:pPr>
              <ns1:defRPr sz="750">
                <ns1:latin typeface="Arial"/>
                <ns1:ea typeface="Arial"/>
                <ns1:cs typeface="Arial"/>
              </ns1:defRPr>
            </ns1:pPr>
          </ns1:p>
        </ns0:txPr>
        <ns0:crossAx val="48672768"/>
      </ns0:catAx>
      <ns0:valAx>
        <ns0:axId val="48672768"/>
        <ns0:scaling>
          <ns0:orientation val="minMax"/>
          <ns0:min val="0"/>
          <ns0:max val="1"/>
        </ns0:scaling>
        <ns0:delete val="0"/>
        <ns0:axPos val="b"/>
        <ns0:majorGridlines>
          <ns0:spPr>
            <ns1:ln w="9525">
              <ns1:solidFill>
                <ns1:srgbClr val="CCCCCC"/>
              </ns1:solidFill>
              <ns1:prstDash val="dash"/>
            </ns1:ln>
          </ns0:spPr>
        </ns0:majorGridlines>
        <ns0:numFmt formatCode="0%" sourceLinked="0"/>
        <ns0:majorTickMark val="none"/>
        <ns0:minorTickMark val="none"/>
        <ns0:txPr>
          <ns1:bodyPr anchorCtr="1"/>
          <ns1:lstStyle/>
          <ns1:p>
            <ns1:pPr>
              <ns1:defRPr sz="750">
                <ns1:latin typeface="Arial"/>
                <ns1:ea typeface="Arial"/>
                <ns1:cs typeface="Arial"/>
              </ns1:defRPr>
            </ns1:pPr>
          </ns1:p>
        </ns0:txPr>
        <ns0:crossAx val="48650112"/>
        <ns0:crossBetween val="between"/>
        <ns0:majorUnit val="0.25"/>
      </ns0:valAx>
    </ns0:plotArea>
    <ns0:plotVisOnly val="0"/>
  </ns0:chart>
  <ns0:spPr>
    <ns1:ln w="9525">
      <ns1:solidFill>
        <ns1:srgbClr val="D9D9D9"/>
      </ns1:solidFill>
      <ns1:prstDash val="solid"/>
    </ns1:ln>
  </ns0:spPr>
</ns0:chartSpace>
</file>

<file path=xl/drawings/charts/chart3.xml><?xml version="1.0" encoding="utf-8"?>
<ns0:chartSpace xmlns:ns0="http://schemas.openxmlformats.org/drawingml/2006/chart" xmlns:ns1="http://schemas.openxmlformats.org/drawingml/2006/main">
  <ns0:lang val="en-US"/>
  <ns0:roundedCorners val="0"/>
  <ns0:chart>
    <ns0:title>
      <ns0:tx>
        <ns0:rich>
          <ns1:bodyPr/>
          <ns1:lstStyle/>
          <ns1:p>
            <ns1:r>
              <ns1:rPr sz="975">
                <ns1:latin typeface="Arial"/>
                <ns1:ea typeface="Arial"/>
                <ns1:cs typeface="Arial"/>
              </ns1:rPr>
              <ns1:t>Tasks by resource (top 10)</ns1:t>
            </ns1:r>
          </ns1:p>
        </ns0:rich>
      </ns0:tx>
      <ns0:overlay val="0"/>
      <ns0:txPr>
        <ns1:bodyPr anchorCtr="1"/>
        <ns1:lstStyle/>
        <ns1:p>
          <ns1:pPr>
            <ns1:defRPr sz="975">
              <ns1:latin typeface="Arial"/>
              <ns1:ea typeface="Arial"/>
              <ns1:cs typeface="Arial"/>
            </ns1:defRPr>
          </ns1:pPr>
        </ns1:p>
      </ns0:txPr>
    </ns0:title>
    <ns0:plotArea>
      <ns0:barChart>
        <ns0:barDir val="bar"/>
        <ns0:varyColors val="0"/>
        <ns0:ser>
          <ns0:idx val="0"/>
          <ns0:order val="0"/>
          <ns0:tx>
            <ns0:v>Assigned tasks</ns0:v>
          </ns0:tx>
          <ns0:spPr>
            <ns1:solidFill>
              <ns1:srgbClr val="527EAD"/>
            </ns1:solidFill>
          </ns0:spPr>
          <ns0:cat>
            <ns0:strRef>
              <ns0:f>'Dashboard'!$AA$7:$AA$16</ns0:f>
              <ns0:strCache>
                <ns0:ptCount val="0"/>
              </ns0:strCache>
            </ns0:strRef>
          </ns0:cat>
          <ns0:val>
            <ns0:numRef>
              <ns0:f>'Dashboard'!$AB$7:$AB$16</ns0:f>
              <ns0:numCache>
                <ns0:formatCode>0</ns0:formatCode>
                <ns0:ptCount val="0"/>
              </ns0:numCache>
            </ns0:numRef>
          </ns0:val>
        </ns0:ser>
        <ns0:axId val="48650112"/>
        <ns0:axId val="48672768"/>
      </ns0:barChart>
      <ns0:catAx>
        <ns0:axId val="48650112"/>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tickLblPos val="nextTo"/>
        <ns0:txPr>
          <ns1:bodyPr anchorCtr="1"/>
          <ns1:lstStyle/>
          <ns1:p>
            <ns1:pPr>
              <ns1:defRPr sz="750">
                <ns1:latin typeface="Arial"/>
                <ns1:ea typeface="Arial"/>
                <ns1:cs typeface="Arial"/>
              </ns1:defRPr>
            </ns1:pPr>
          </ns1:p>
        </ns0:txPr>
        <ns0:crossAx val="48672768"/>
      </ns0:catAx>
      <ns0:valAx>
        <ns0:axId val="48672768"/>
        <ns0:scaling>
          <ns0:orientation val="minMax"/>
          <ns0:min val="0"/>
        </ns0:scaling>
        <ns0:delete val="0"/>
        <ns0:axPos val="b"/>
        <ns0:majorGridlines>
          <ns0:spPr>
            <ns1:ln w="9525">
              <ns1:solidFill>
                <ns1:srgbClr val="CCCCCC"/>
              </ns1:solidFill>
              <ns1:prstDash val="dash"/>
            </ns1:ln>
          </ns0:spPr>
        </ns0:majorGridlines>
        <ns0:numFmt formatCode="0" sourceLinked="0"/>
        <ns0:majorTickMark val="none"/>
        <ns0:minorTickMark val="none"/>
        <ns0:txPr>
          <ns1:bodyPr anchorCtr="1"/>
          <ns1:lstStyle/>
          <ns1:p>
            <ns1:pPr>
              <ns1:defRPr sz="750">
                <ns1:latin typeface="Arial"/>
                <ns1:ea typeface="Arial"/>
                <ns1:cs typeface="Arial"/>
              </ns1:defRPr>
            </ns1:pPr>
          </ns1:p>
        </ns0:txPr>
        <ns0:crossAx val="48650112"/>
        <ns0:crossBetween val="between"/>
        <ns0:majorUnit val="1"/>
      </ns0:valAx>
    </ns0:plotArea>
    <ns0:plotVisOnly val="0"/>
  </ns0:chart>
  <ns0:spPr>
    <ns1:ln w="9525">
      <ns1:solidFill>
        <ns1:srgbClr val="D9D9D9"/>
      </ns1:solidFill>
      <ns1:prstDash val="solid"/>
    </ns1:ln>
  </ns0:spPr>
</ns0:chartSpace>
</file>

<file path=xl/drawings/charts/chart4.xml><?xml version="1.0" encoding="utf-8"?>
<ns0:chartSpace xmlns:ns0="http://schemas.openxmlformats.org/drawingml/2006/chart" xmlns:ns1="http://schemas.openxmlformats.org/drawingml/2006/main">
  <ns0:lang val="en-US"/>
  <ns0:roundedCorners val="0"/>
  <ns0:chart>
    <ns0:title>
      <ns0:tx>
        <ns0:rich>
          <ns1:bodyPr/>
          <ns1:lstStyle/>
          <ns1:p>
            <ns1:r>
              <ns1:rPr sz="975">
                <ns1:latin typeface="Arial"/>
                <ns1:ea typeface="Arial"/>
                <ns1:cs typeface="Arial"/>
              </ns1:rPr>
              <ns1:t>Milestone completion</ns1:t>
            </ns1:r>
          </ns1:p>
        </ns0:rich>
      </ns0:tx>
      <ns0:overlay val="0"/>
      <ns0:txPr>
        <ns1:bodyPr anchorCtr="1"/>
        <ns1:lstStyle/>
        <ns1:p>
          <ns1:pPr>
            <ns1:defRPr sz="975">
              <ns1:latin typeface="Arial"/>
              <ns1:ea typeface="Arial"/>
              <ns1:cs typeface="Arial"/>
            </ns1:defRPr>
          </ns1:pPr>
        </ns1:p>
      </ns0:txPr>
    </ns0:title>
    <ns0:plotArea>
      <ns0:doughnutChart>
        <ns0:ser>
          <ns0:idx val="0"/>
          <ns0:order val="0"/>
          <ns0:tx>
            <ns0:v>Count</ns0:v>
          </ns0:tx>
          <ns0:spPr>
            <ns1:solidFill>
              <ns1:srgbClr val="527EAD"/>
            </ns1:solidFill>
          </ns0:spPr>
          <ns0:dPt>
            <ns0:idx val="0"/>
            <ns0:spPr>
              <ns1:solidFill>
                <ns1:srgbClr val="168251"/>
              </ns1:solidFill>
            </ns0:spPr>
          </ns0:dPt>
          <ns0:dPt>
            <ns0:idx val="1"/>
            <ns0:spPr>
              <ns1:solidFill>
                <ns1:srgbClr val="B8C7D8"/>
              </ns1:solidFill>
            </ns0:spPr>
          </ns0:dPt>
          <ns0:cat>
            <ns0:strRef>
              <ns0:f>'Dashboard'!$X$7:$X$8</ns0:f>
              <ns0:strCache>
                <ns0:ptCount val="0"/>
              </ns0:strCache>
            </ns0:strRef>
          </ns0:cat>
          <ns0:val>
            <ns0:numRef>
              <ns0:f>'Dashboard'!$Y$7:$Y$8</ns0:f>
              <ns0:numCache>
                <ns0:formatCode>0</ns0:formatCode>
                <ns0:ptCount val="0"/>
              </ns0:numCache>
            </ns0:numRef>
          </ns0:val>
        </ns0:ser>
      </ns0:doughnutChart>
    </ns0:plotArea>
    <ns0:legend>
      <ns0:legendPos val="b"/>
      <ns0:overlay val="0"/>
    </ns0:legend>
    <ns0:plotVisOnly val="0"/>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7a762acb754021"/>
        </a:graphicData>
      </a:graphic>
    </xdr:graphicFrame>
    <xdr:clientData/>
  </xdr:twoCellAnchor>
  <xdr:twoCellAnchor>
    <xdr:from>
      <xdr:col>8</xdr:col>
      <xdr:colOff>0</xdr:colOff>
      <xdr:row>15</xdr:row>
      <xdr:rowOff>0</xdr:rowOff>
    </xdr:from>
    <xdr:to>
      <xdr:col>16</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75fb51270c43b6"/>
        </a:graphicData>
      </a:graphic>
    </xdr:graphicFrame>
    <xdr:clientData/>
  </xdr:twoCellAnchor>
  <xdr:twoCellAnchor>
    <xdr:from>
      <xdr:col>0</xdr:col>
      <xdr:colOff>0</xdr:colOff>
      <xdr:row>30</xdr:row>
      <xdr:rowOff>0</xdr:rowOff>
    </xdr:from>
    <xdr:to>
      <xdr:col>11</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5372cae4ae4d22"/>
        </a:graphicData>
      </a:graphic>
    </xdr:graphicFrame>
    <xdr:clientData/>
  </xdr:twoCellAnchor>
  <xdr:twoCellAnchor>
    <xdr:from>
      <xdr:col>11</xdr:col>
      <xdr:colOff>0</xdr:colOff>
      <xdr:row>30</xdr:row>
      <xdr:rowOff>0</xdr:rowOff>
    </xdr:from>
    <xdr:to>
      <xdr:col>16</xdr:col>
      <xdr:colOff>0</xdr:colOff>
      <xdr:row>45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5505ae84f946c3"/>
        </a:graphicData>
      </a:graphic>
    </xdr:graphicFrame>
    <xdr:clientData/>
  </xdr:twoCellAnchor>
</xdr:wsDr>
</file>

<file path=xl/tables/table1.xml><?xml version="1.0" encoding="utf-8"?>
<ns0:table xmlns:ns0="http://schemas.openxmlformats.org/spreadsheetml/2006/main" id="1" name="Tasks" displayName="Tasks" ref="A6:P106" headerRowCount="1" totalsRowCount="0" totalsRowShown="0">
  <ns0:autoFilter ref="A6:P106"/>
  <ns0:tableColumns count="16">
    <ns0:tableColumn id="1" name="Task ID"/>
    <ns0:tableColumn id="2" name="Phase"/>
    <ns0:tableColumn id="3" name="Task Name"/>
    <ns0:tableColumn id="4" name="Description"/>
    <ns0:tableColumn id="5" name="Start Date"/>
    <ns0:tableColumn id="6" name="End Date"/>
    <ns0:tableColumn id="7" name="Duration">
      <ns0:calculatedColumnFormula>IF(A7="","",IF(OR(NOT(ISNUMBER(E7)),NOT(ISNUMBER(F7)),F7&lt;E7),"",IF(J7="Yes",0,F7-E7+1)))</ns0:calculatedColumnFormula>
    </ns0:tableColumn>
    <ns0:tableColumn id="8" name="Predecessor"/>
    <ns0:tableColumn id="9" name="Dependency Type"/>
    <ns0:tableColumn id="10" name="Milestone"/>
    <ns0:tableColumn id="11" name="Resource / Owner"/>
    <ns0:tableColumn id="12" name="Priority"/>
    <ns0:tableColumn id="13" name="Status">
      <ns0:calculatedColumnFormula>IF(A7="","",IF(N7=1,"Completed",IF(N7&gt;0,"In Progress","Not Started")))</ns0:calculatedColumnFormula>
    </ns0:tableColumn>
    <ns0:tableColumn id="14" name="Progress %"/>
    <ns0:tableColumn id="15" name="Schedule Health">
      <ns0:calculatedColumnFormula>IF(A7="","",IF(R7&lt;&gt;"","[CONFLICT] "&amp;R7,IF(S7&lt;&gt;"","[CONFLICT] "&amp;S7,IF(OR(NOT(ISNUMBER(N7)),N7&lt;0,N7&gt;1),"[CONFLICT] Invalid progress",IF(AK7&gt;0,"[DEPENDENCY ISSUE] Missing ID / &gt;8 links",IF(AM7&gt;0,"[DEPENDENCY ISSUE] Cycle or blocked by cycle",IF(AND(H7&lt;&gt;"",ISNA(MATCH(I7,{"FS","SS","FF","SF"},0))),"[DEPENDENCY ISSUE] Invalid type",IF(AL7&gt;0,"[DEPENDENCY ISSUE] Timing conflict",IF(OR(E7&lt;ProjectStart,F7&gt;ProjectEnd),"[OUTSIDE WINDOW]",IF(AND(N7&lt;1,F7&lt;AsOfDate),"Overdue",IF(AND(M7&lt;&gt;Q7,M7&lt;&gt;""),"[CONFLICT] Status / progress","On track")))))))))))</ns0:calculatedColumnFormula>
    </ns0:tableColumn>
    <ns0:tableColumn id="16" name="Notes"/>
  </ns0:tableColumns>
  <ns0:tableStyleInfo name="TableStyleMedium2" showFirstColumn="0" showLastColumn="0" showRowStripes="1" showColumnStripes="0"/>
</ns0:table>
</file>

<file path=xl/tables/table2.xml><?xml version="1.0" encoding="utf-8"?>
<ns0:table xmlns:ns0="http://schemas.openxmlformats.org/spreadsheetml/2006/main" id="2" name="Gaps" displayName="Gaps" ref="A6:E44" headerRowCount="1" totalsRowCount="0" totalsRowShown="0">
  <ns0:tableColumns count="5">
    <ns0:tableColumn id="1" name="Label"/>
    <ns0:tableColumn id="2" name="Source field / item"/>
    <ns0:tableColumn id="3" name="Issue"/>
    <ns0:tableColumn id="4" name="Resolution used"/>
    <ns0:tableColumn id="5" name="User action needed"/>
  </ns0:tableColumns>
  <ns0:tableStyleInfo name="TableStyleMedium2" showFirstColumn="0" showLastColumn="0" showRowStripes="1" showColumnStripes="0"/>
</ns0: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65def74b0241ec" /></Relationships>
</file>

<file path=xl/worksheets/_rels/sheet3.xml.rels>&#65279;<?xml version="1.0" encoding="utf-8"?><Relationships xmlns="http://schemas.openxmlformats.org/package/2006/relationships"><Relationship Type="http://schemas.openxmlformats.org/officeDocument/2006/relationships/drawing" Target="/xl/drawings/drawing1.xml" Id="Rb3c845aea83d48fb" /></Relationships>
</file>

<file path=xl/worksheets/_rels/sheet5.xml.rels>&#65279;<?xml version="1.0" encoding="utf-8"?><Relationships xmlns="http://schemas.openxmlformats.org/package/2006/relationships"><Relationship Type="http://schemas.openxmlformats.org/officeDocument/2006/relationships/table" Target="/xl/tables/table2.xml" Id="R34026570686d457f" /></Relationships>
</file>

<file path=xl/worksheets/sheet1.xml><?xml version="1.0" encoding="utf-8"?>
<ns0:worksheet xmlns:ns0="http://schemas.openxmlformats.org/spreadsheetml/2006/main" xmlns:ns1="http://schemas.openxmlformats.org/officeDocument/2006/relationships">
  <ns0:sheetPr>
    <ns0:tabColor rgb="FF24364B"/>
  </ns0:sheetPr>
  <ns0:sheetViews>
    <ns0:sheetView showGridLines="0" workbookViewId="0" zoomScale="85">
      <ns0:pane xSplit="3" ySplit="6" topLeftCell="D7" activePane="bottomRight" state="frozen"/>
    </ns0:sheetView>
  </ns0:sheetViews>
  <ns0:sheetFormatPr defaultRowHeight="15"/>
  <ns0:cols>
    <ns0:col min="1" max="1" width="10" hidden="0" customWidth="1"/>
    <ns0:col min="2" max="2" width="24" hidden="0" customWidth="1"/>
    <ns0:col min="3" max="3" width="52" hidden="0" customWidth="1"/>
    <ns0:col min="4" max="4" width="57" hidden="0" customWidth="1"/>
    <ns0:col min="5" max="5" width="14" hidden="0" customWidth="1"/>
    <ns0:col min="6" max="6" width="14" hidden="0" customWidth="1"/>
    <ns0:col min="7" max="7" width="11" hidden="0" customWidth="1"/>
    <ns0:col min="8" max="8" width="26" hidden="0" customWidth="1"/>
    <ns0:col min="9" max="9" width="14" hidden="0" customWidth="1"/>
    <ns0:col min="10" max="10" width="12" hidden="0" customWidth="1"/>
    <ns0:col min="11" max="11" width="46" hidden="0" customWidth="1"/>
    <ns0:col min="12" max="12" width="12" hidden="0" customWidth="1"/>
    <ns0:col min="13" max="13" width="17" hidden="0" customWidth="1"/>
    <ns0:col min="14" max="14" width="13" hidden="0" customWidth="1"/>
    <ns0:col min="15" max="15" width="44" hidden="0" customWidth="1"/>
    <ns0:col min="16" max="16" width="100" hidden="0" customWidth="1"/>
    <ns0:col min="17" max="147" hidden="1" width="12" customWidth="1"/>
  </ns0:cols>
  <ns0:sheetData>
    <ns0:row r="1" ht="24" customHeight="1">
      <ns0:c r="A1" s="2"/>
      <ns0:c r="B1" s="2"/>
      <ns0:c r="C1" s="2"/>
      <ns0:c r="D1" s="2"/>
      <ns0:c r="E1" s="2"/>
      <ns0:c r="F1" s="2"/>
      <ns0:c r="G1" s="2"/>
      <ns0:c r="H1" s="2"/>
      <ns0:c r="I1" s="2"/>
      <ns0:c r="J1" s="2"/>
      <ns0:c r="K1" s="2"/>
      <ns0:c r="L1" s="2"/>
      <ns0:c r="M1" s="2"/>
      <ns0:c r="N1" s="2"/>
      <ns0:c r="O1" s="2"/>
      <ns0:c r="P1" s="2"/>
    </ns0:row>
    <ns0:row r="2" ht="24" customHeight="1">
      <ns0:c r="A2" s="3" t="str">
        <ns0:v>Governed Multi-Brand Agentic System</ns0:v>
      </ns0:c>
      <ns0:c r="B2" s="2"/>
      <ns0:c r="C2" s="2"/>
      <ns0:c r="D2" s="2"/>
      <ns0:c r="E2" s="2"/>
      <ns0:c r="F2" s="2"/>
      <ns0:c r="G2" s="2"/>
      <ns0:c r="H2" s="2"/>
      <ns0:c r="I2" s="2"/>
      <ns0:c r="J2" s="2"/>
      <ns0:c r="K2" s="2"/>
      <ns0:c r="L2" s="2"/>
      <ns0:c r="M2" s="2"/>
      <ns0:c r="N2" s="2"/>
      <ns0:c r="O2" s="2"/>
      <ns0:c r="P2" s="2"/>
    </ns0:row>
    <ns0:row r="3" ht="24" customHeight="1">
      <ns0:c r="A3" s="2"/>
      <ns0:c r="B3" s="2"/>
      <ns0:c r="C3" s="2"/>
      <ns0:c r="D3" s="2"/>
      <ns0:c r="E3" s="2"/>
      <ns0:c r="F3" s="2"/>
      <ns0:c r="G3" s="2"/>
      <ns0:c r="H3" s="2"/>
      <ns0:c r="I3" s="2"/>
      <ns0:c r="J3" s="2"/>
      <ns0:c r="K3" s="2"/>
      <ns0:c r="L3" s="2"/>
      <ns0:c r="M3" s="2"/>
      <ns0:c r="N3" s="2"/>
      <ns0:c r="O3" s="2"/>
      <ns0:c r="P3" s="2"/>
    </ns0:row>
    <ns0:row r="4" ht="24" customHeight="1">
      <ns0:c r="A4" s="2" t="str">
        <ns0:v>11 Sep–14 Oct 2026. Provisional compressed schedule. Review Assumptions &amp; Gaps before committing resources.</ns0:v>
      </ns0:c>
      <ns0:c r="B4" s="2"/>
      <ns0:c r="C4" s="2"/>
      <ns0:c r="D4" s="2"/>
      <ns0:c r="E4" s="2"/>
      <ns0:c r="F4" s="2"/>
      <ns0:c r="G4" s="2"/>
      <ns0:c r="H4" s="2"/>
      <ns0:c r="I4" s="2"/>
      <ns0:c r="J4" s="2"/>
      <ns0:c r="K4" s="2"/>
      <ns0:c r="L4" s="2"/>
      <ns0:c r="M4" s="2"/>
      <ns0:c r="N4" s="2"/>
      <ns0:c r="O4" s="2"/>
      <ns0:c r="P4" s="2"/>
    </ns0:row>
    <ns0:row r="5" ht="24" customHeight="1">
      <ns0:c r="A5" s="2" t="str">
        <ns0:v>Blue text = editable. Gray cells = formulas. 34 activities + 7 milestones. Blank table rows are reserved for growth.</ns0:v>
      </ns0:c>
      <ns0:c r="B5" s="2"/>
      <ns0:c r="C5" s="2"/>
      <ns0:c r="D5" s="2"/>
      <ns0:c r="E5" s="2"/>
      <ns0:c r="F5" s="2"/>
      <ns0:c r="G5" s="2"/>
      <ns0:c r="H5" s="2"/>
      <ns0:c r="I5" s="2"/>
      <ns0:c r="J5" s="2"/>
      <ns0:c r="K5" s="2"/>
      <ns0:c r="L5" s="2"/>
      <ns0:c r="M5" s="2"/>
      <ns0:c r="N5" s="2"/>
      <ns0:c r="O5" s="2"/>
      <ns0:c r="P5" s="2"/>
    </ns0:row>
    <ns0:row r="6" ht="34" customHeight="1">
      <ns0:c r="A6" s="7" t="str">
        <ns0:v>Task ID</ns0:v>
      </ns0:c>
      <ns0:c r="B6" s="7" t="str">
        <ns0:v>Phase</ns0:v>
      </ns0:c>
      <ns0:c r="C6" s="7" t="str">
        <ns0:v>Task Name</ns0:v>
      </ns0:c>
      <ns0:c r="D6" s="7" t="str">
        <ns0:v>Description</ns0:v>
      </ns0:c>
      <ns0:c r="E6" s="7" t="str">
        <ns0:v>Start Date</ns0:v>
      </ns0:c>
      <ns0:c r="F6" s="7" t="str">
        <ns0:v>End Date</ns0:v>
      </ns0:c>
      <ns0:c r="G6" s="7" t="str">
        <ns0:v>Duration</ns0:v>
      </ns0:c>
      <ns0:c r="H6" s="7" t="str">
        <ns0:v>Predecessor</ns0:v>
      </ns0:c>
      <ns0:c r="I6" s="7" t="str">
        <ns0:v>Dependency Type</ns0:v>
      </ns0:c>
      <ns0:c r="J6" s="7" t="str">
        <ns0:v>Milestone</ns0:v>
      </ns0:c>
      <ns0:c r="K6" s="7" t="str">
        <ns0:v>Resource / Owner</ns0:v>
      </ns0:c>
      <ns0:c r="L6" s="7" t="str">
        <ns0:v>Priority</ns0:v>
      </ns0:c>
      <ns0:c r="M6" s="7" t="str">
        <ns0:v>Status</ns0:v>
      </ns0:c>
      <ns0:c r="N6" s="7" t="str">
        <ns0:v>Progress %</ns0:v>
      </ns0:c>
      <ns0:c r="O6" s="7" t="str">
        <ns0:v>Schedule Health</ns0:v>
      </ns0:c>
      <ns0:c r="P6" s="7" t="str">
        <ns0:v>Notes</ns0:v>
      </ns0:c>
      <ns0:c r="Q6" t="str">
        <ns0:v>Effective status</ns0:v>
      </ns0:c>
      <ns0:c r="R6" t="str">
        <ns0:v>ID issue</ns0:v>
      </ns0:c>
      <ns0:c r="S6" t="str">
        <ns0:v>Date issue</ns0:v>
      </ns0:c>
      <ns0:c r="T6" t="str">
        <ns0:v>Predecessor count</ns0:v>
      </ns0:c>
      <ns0:c r="U6" t="str">
        <ns0:v>Predecessor 1</ns0:v>
      </ns0:c>
      <ns0:c r="V6" t="str">
        <ns0:v>Predecessor 2</ns0:v>
      </ns0:c>
      <ns0:c r="W6" t="str">
        <ns0:v>Predecessor 3</ns0:v>
      </ns0:c>
      <ns0:c r="X6" t="str">
        <ns0:v>Predecessor 4</ns0:v>
      </ns0:c>
      <ns0:c r="Y6" t="str">
        <ns0:v>Predecessor 5</ns0:v>
      </ns0:c>
      <ns0:c r="Z6" t="str">
        <ns0:v>Predecessor 6</ns0:v>
      </ns0:c>
      <ns0:c r="AA6" t="str">
        <ns0:v>Predecessor 7</ns0:v>
      </ns0:c>
      <ns0:c r="AB6" t="str">
        <ns0:v>Predecessor 8</ns0:v>
      </ns0:c>
      <ns0:c r="AC6" t="str">
        <ns0:v>Predecessor position 1</ns0:v>
      </ns0:c>
      <ns0:c r="AD6" t="str">
        <ns0:v>Predecessor position 2</ns0:v>
      </ns0:c>
      <ns0:c r="AE6" t="str">
        <ns0:v>Predecessor position 3</ns0:v>
      </ns0:c>
      <ns0:c r="AF6" t="str">
        <ns0:v>Predecessor position 4</ns0:v>
      </ns0:c>
      <ns0:c r="AG6" t="str">
        <ns0:v>Predecessor position 5</ns0:v>
      </ns0:c>
      <ns0:c r="AH6" t="str">
        <ns0:v>Predecessor position 6</ns0:v>
      </ns0:c>
      <ns0:c r="AI6" t="str">
        <ns0:v>Predecessor position 7</ns0:v>
      </ns0:c>
      <ns0:c r="AJ6" t="str">
        <ns0:v>Predecessor position 8</ns0:v>
      </ns0:c>
      <ns0:c r="AK6" t="str">
        <ns0:v>Missing references</ns0:v>
      </ns0:c>
      <ns0:c r="AL6" t="str">
        <ns0:v>Timing issues</ns0:v>
      </ns0:c>
      <ns0:c r="AM6" t="str">
        <ns0:v>Cycle issue</ns0:v>
      </ns0:c>
      <ns0:c r="AN6" t="str">
        <ns0:v>Unique phase</ns0:v>
      </ns0:c>
      <ns0:c r="AO6" t="str">
        <ns0:v>Upcoming key</ns0:v>
      </ns0:c>
      <ns0:c r="AP6" t="str">
        <ns0:v>Milestone key</ns0:v>
      </ns0:c>
      <ns0:c r="AQ6" t="str">
        <ns0:v>Due soon key</ns0:v>
      </ns0:c>
      <ns0:c r="AR6" t="str">
        <ns0:v>Conflict key</ns0:v>
      </ns0:c>
      <ns0:c r="AS6" t="str">
        <ns0:v>Resource tokens</ns0:v>
      </ns0:c>
    </ns0:row>
    <ns0:row r="7" ht="62" customHeight="1">
      <ns0:c r="A7" s="48" t="str">
        <ns0:v>T01</ns0:v>
      </ns0:c>
      <ns0:c r="B7" s="48" t="str">
        <ns0:v>Governance &amp; state</ns0:v>
      </ns0:c>
      <ns0:c r="C7" s="48" t="str">
        <ns0:v>Define enterprise objectives, tenant scopes, and budget boundaries</ns0:v>
      </ns0:c>
      <ns0:c r="D7" s="48" t="str">
        <ns0:v>Agree objectives, tenant boundaries, budget caps and risk appetite.</ns0:v>
      </ns0:c>
      <ns0:c r="E7" s="49" t="n">
        <ns0:v>46276</ns0:v>
      </ns0:c>
      <ns0:c r="F7" s="49" t="n">
        <ns0:v>46276</ns0:v>
      </ns0:c>
      <ns0:c r="G7" s="13" t="n">
        <ns0:f>IF(A7="","",IF(OR(NOT(ISNUMBER(E7)),NOT(ISNUMBER(F7)),F7&lt;E7),"",IF(J7="Yes",0,F7-E7+1)))</ns0:f>
        <ns0:v>1</ns0:v>
      </ns0:c>
      <ns0:c r="H7" s="48" t="str"/>
      <ns0:c r="I7" s="48" t="str"/>
      <ns0:c r="J7" s="48" t="str">
        <ns0:v>No</ns0:v>
      </ns0:c>
      <ns0:c r="K7" s="48" t="str">
        <ns0:v>Brand Stakeholder / Portfolio Owner</ns0:v>
      </ns0:c>
      <ns0:c r="L7" s="48" t="str"/>
      <ns0:c r="M7" s="50" t="str">
        <ns0:f>IF(A7="","",IF(N7=1,"Completed",IF(N7&gt;0,"In Progress","Not Started")))</ns0:f>
        <ns0:v>Not Started</ns0:v>
      </ns0:c>
      <ns0:c r="N7" s="51" t="n">
        <ns0:v>0</ns0:v>
      </ns0:c>
      <ns0:c r="O7" s="13" t="str">
        <ns0:f>IF(A7="","",IF(R7&lt;&gt;"","[CONFLICT] "&amp;R7,IF(S7&lt;&gt;"","[CONFLICT] "&amp;S7,IF(OR(NOT(ISNUMBER(N7)),N7&lt;0,N7&gt;1),"[CONFLICT] Invalid progress",IF(AK7&gt;0,"[DEPENDENCY ISSUE] Missing ID / &gt;8 links",IF(AM7&gt;0,"[DEPENDENCY ISSUE] Cycle or blocked by cycle",IF(AND(H7&lt;&gt;"",ISNA(MATCH(I7,{"FS","SS","FF","SF"},0))),"[DEPENDENCY ISSUE] Invalid type",IF(AL7&gt;0,"[DEPENDENCY ISSUE] Timing conflict",IF(OR(E7&lt;ProjectStart,F7&gt;ProjectEnd),"[OUTSIDE WINDOW]",IF(AND(N7&lt;1,F7&lt;AsOfDate),"Overdue",IF(AND(M7&lt;&gt;Q7,M7&lt;&gt;""),"[CONFLICT] Status / progress","On track")))))))))))</ns0:f>
        <ns0:v>On track</ns0:v>
      </ns0:c>
      <ns0:c r="P7" s="52" t="str">
        <ns0:v>Source: Project Plan Essentials (2).md §1, §2, §4. Original 2026-09-11 to 2026-09-12, 2d; original progress 100% [INFERRED]. [INFERRED] Rescheduled to fit 34d with FS. Duration reduced to 1d. Original resource/tools: Brand Stakeholder / Portfolio Owner.</ns0:v>
      </ns0:c>
      <ns0:c r="Q7" t="str">
        <ns0:f>IF(A7="","",IF(OR(M7="On Hold",M7="Delayed"),M7,IF(N7=1,"Completed",IF(N7&gt;0,"In Progress","Not Started"))))</ns0:f>
        <ns0:v>Not Started</ns0:v>
      </ns0:c>
      <ns0:c r="R7" t="str">
        <ns0:f>IF(A7="","",IF(COUNTIFS(Tasks[Task ID],A7)&lt;&gt;1,"Duplicate ID",""))</ns0:f>
      </ns0:c>
      <ns0:c r="S7" t="str">
        <ns0:f>IF(A7="","",IF(OR(NOT(ISNUMBER(E7)),NOT(ISNUMBER(F7))),"Invalid / missing date",IF(OR(E7&lt;&gt;INT(E7),F7&lt;&gt;INT(F7),E7&lt;1,F7&gt;2958465),"Invalid date",IF(F7&lt;E7,"End before start",IF(AND(J7="Yes",E7&lt;&gt;F7),"Milestone needs one date","")))))</ns0:f>
      </ns0:c>
      <ns0:c r="T7" t="n">
        <ns0:f>IF(H7="",0,LEN(H7)-LEN(SUBSTITUTE(H7,",",""))+1)</ns0:f>
        <ns0:v>0</ns0:v>
      </ns0:c>
      <ns0:c r="U7" t="str">
        <ns0:f>TRIM(MID(SUBSTITUTE($H7,",",REPT(" ",100)),1,100))</ns0:f>
      </ns0:c>
      <ns0:c r="V7" t="str">
        <ns0:f>TRIM(MID(SUBSTITUTE($H7,",",REPT(" ",100)),101,100))</ns0:f>
      </ns0:c>
      <ns0:c r="W7" t="str">
        <ns0:f>TRIM(MID(SUBSTITUTE($H7,",",REPT(" ",100)),201,100))</ns0:f>
      </ns0:c>
      <ns0:c r="X7" t="str">
        <ns0:f>TRIM(MID(SUBSTITUTE($H7,",",REPT(" ",100)),301,100))</ns0:f>
      </ns0:c>
      <ns0:c r="Y7" t="str">
        <ns0:f>TRIM(MID(SUBSTITUTE($H7,",",REPT(" ",100)),401,100))</ns0:f>
      </ns0:c>
      <ns0:c r="Z7" t="str">
        <ns0:f>TRIM(MID(SUBSTITUTE($H7,",",REPT(" ",100)),501,100))</ns0:f>
      </ns0:c>
      <ns0:c r="AA7" t="str">
        <ns0:f>TRIM(MID(SUBSTITUTE($H7,",",REPT(" ",100)),601,100))</ns0:f>
      </ns0:c>
      <ns0:c r="AB7" t="str">
        <ns0:f>TRIM(MID(SUBSTITUTE($H7,",",REPT(" ",100)),701,100))</ns0:f>
      </ns0:c>
      <ns0:c r="AC7" t="n">
        <ns0:f>IF(U7="",0,IF(COUNTIFS(Tasks[Task ID],U7)=1,MATCH(U7,Tasks[Task ID],0),-1))</ns0:f>
        <ns0:v>0</ns0:v>
      </ns0:c>
      <ns0:c r="AD7" t="n">
        <ns0:f>IF(V7="",0,IF(COUNTIFS(Tasks[Task ID],V7)=1,MATCH(V7,Tasks[Task ID],0),-1))</ns0:f>
        <ns0:v>0</ns0:v>
      </ns0:c>
      <ns0:c r="AE7" t="n">
        <ns0:f>IF(W7="",0,IF(COUNTIFS(Tasks[Task ID],W7)=1,MATCH(W7,Tasks[Task ID],0),-1))</ns0:f>
        <ns0:v>0</ns0:v>
      </ns0:c>
      <ns0:c r="AF7" t="n">
        <ns0:f>IF(X7="",0,IF(COUNTIFS(Tasks[Task ID],X7)=1,MATCH(X7,Tasks[Task ID],0),-1))</ns0:f>
        <ns0:v>0</ns0:v>
      </ns0:c>
      <ns0:c r="AG7" t="n">
        <ns0:f>IF(Y7="",0,IF(COUNTIFS(Tasks[Task ID],Y7)=1,MATCH(Y7,Tasks[Task ID],0),-1))</ns0:f>
        <ns0:v>0</ns0:v>
      </ns0:c>
      <ns0:c r="AH7" t="n">
        <ns0:f>IF(Z7="",0,IF(COUNTIFS(Tasks[Task ID],Z7)=1,MATCH(Z7,Tasks[Task ID],0),-1))</ns0:f>
        <ns0:v>0</ns0:v>
      </ns0:c>
      <ns0:c r="AI7" t="n">
        <ns0:f>IF(AA7="",0,IF(COUNTIFS(Tasks[Task ID],AA7)=1,MATCH(AA7,Tasks[Task ID],0),-1))</ns0:f>
        <ns0:v>0</ns0:v>
      </ns0:c>
      <ns0:c r="AJ7" t="n">
        <ns0:f>IF(AB7="",0,IF(COUNTIFS(Tasks[Task ID],AB7)=1,MATCH(AB7,Tasks[Task ID],0),-1))</ns0:f>
        <ns0:v>0</ns0:v>
      </ns0:c>
      <ns0:c r="AK7" t="n">
        <ns0:f>COUNTIFS(AC7:AJ7,-1)+IF(T7&gt;8,1,0)</ns0:f>
        <ns0:v>0</ns0:v>
      </ns0:c>
      <ns0:c r="AL7" t="n">
        <ns0:f>IF(OR(A7="",S7&lt;&gt;""),0,SUM(IF(AC7&gt;0,IF($I7="FS",--($E7&lt;INDEX(Tasks[End Date],AC7)+IF(INDEX(Tasks[Milestone],AC7)="Yes",0,1)),IF($I7="SS",--($E7&lt;INDEX(Tasks[Start Date],AC7)),IF($I7="FF",--($F7&lt;INDEX(Tasks[End Date],AC7)),IF($I7="SF",--($F7&lt;INDEX(Tasks[Start Date],AC7)),0)))),0),IF(AD7&gt;0,IF($I7="FS",--($E7&lt;INDEX(Tasks[End Date],AD7)+IF(INDEX(Tasks[Milestone],AD7)="Yes",0,1)),IF($I7="SS",--($E7&lt;INDEX(Tasks[Start Date],AD7)),IF($I7="FF",--($F7&lt;INDEX(Tasks[End Date],AD7)),IF($I7="SF",--($F7&lt;INDEX(Tasks[Start Date],AD7)),0)))),0),IF(AE7&gt;0,IF($I7="FS",--($E7&lt;INDEX(Tasks[End Date],AE7)+IF(INDEX(Tasks[Milestone],AE7)="Yes",0,1)),IF($I7="SS",--($E7&lt;INDEX(Tasks[Start Date],AE7)),IF($I7="FF",--($F7&lt;INDEX(Tasks[End Date],AE7)),IF($I7="SF",--($F7&lt;INDEX(Tasks[Start Date],AE7)),0)))),0),IF(AF7&gt;0,IF($I7="FS",--($E7&lt;INDEX(Tasks[End Date],AF7)+IF(INDEX(Tasks[Milestone],AF7)="Yes",0,1)),IF($I7="SS",--($E7&lt;INDEX(Tasks[Start Date],AF7)),IF($I7="FF",--($F7&lt;INDEX(Tasks[End Date],AF7)),IF($I7="SF",--($F7&lt;INDEX(Tasks[Start Date],AF7)),0)))),0),IF(AG7&gt;0,IF($I7="FS",--($E7&lt;INDEX(Tasks[End Date],AG7)+IF(INDEX(Tasks[Milestone],AG7)="Yes",0,1)),IF($I7="SS",--($E7&lt;INDEX(Tasks[Start Date],AG7)),IF($I7="FF",--($F7&lt;INDEX(Tasks[End Date],AG7)),IF($I7="SF",--($F7&lt;INDEX(Tasks[Start Date],AG7)),0)))),0),IF(AH7&gt;0,IF($I7="FS",--($E7&lt;INDEX(Tasks[End Date],AH7)+IF(INDEX(Tasks[Milestone],AH7)="Yes",0,1)),IF($I7="SS",--($E7&lt;INDEX(Tasks[Start Date],AH7)),IF($I7="FF",--($F7&lt;INDEX(Tasks[End Date],AH7)),IF($I7="SF",--($F7&lt;INDEX(Tasks[Start Date],AH7)),0)))),0),IF(AI7&gt;0,IF($I7="FS",--($E7&lt;INDEX(Tasks[End Date],AI7)+IF(INDEX(Tasks[Milestone],AI7)="Yes",0,1)),IF($I7="SS",--($E7&lt;INDEX(Tasks[Start Date],AI7)),IF($I7="FF",--($F7&lt;INDEX(Tasks[End Date],AI7)),IF($I7="SF",--($F7&lt;INDEX(Tasks[Start Date],AI7)),0)))),0),IF(AJ7&gt;0,IF($I7="FS",--($E7&lt;INDEX(Tasks[End Date],AJ7)+IF(INDEX(Tasks[Milestone],AJ7)="Yes",0,1)),IF($I7="SS",--($E7&lt;INDEX(Tasks[Start Date],AJ7)),IF($I7="FF",--($F7&lt;INDEX(Tasks[End Date],AJ7)),IF($I7="SF",--($F7&lt;INDEX(Tasks[Start Date],AJ7)),0)))),0)))</ns0:f>
        <ns0:v>0</ns0:v>
      </ns0:c>
      <ns0:c r="AM7" t="n">
        <ns0:f>IF(AND(A7&lt;&gt;"",AK7=0,EP7=0),1,0)</ns0:f>
        <ns0:v>0</ns0:v>
      </ns0:c>
      <ns0:c r="AN7" t="n">
        <ns0:f>IF(OR(A7="",B7=""),"",IF(COUNTIFS($B$7:B7,B7)=1,MAX($AN$6:AN6)+1,""))</ns0:f>
        <ns0:v>1</ns0:v>
      </ns0:c>
      <ns0:c r="AO7" t="n">
        <ns0:f>IF(AND(A7&lt;&gt;"",J7="No",N7&lt;1,E7&gt;=AsOfDate),E7+ROW()/10000,1E+9)</ns0:f>
        <ns0:v>46276.0007</ns0:v>
      </ns0:c>
      <ns0:c r="AP7" t="n">
        <ns0:f>IF(AND(A7&lt;&gt;"",J7="Yes",N7&lt;1,E7&gt;=AsOfDate),E7+ROW()/10000,1E+9)</ns0:f>
        <ns0:v>1000000000</ns0:v>
      </ns0:c>
      <ns0:c r="AQ7" t="n">
        <ns0:f>IF(AND(A7&lt;&gt;"",J7="No",N7&lt;1,F7&gt;=AsOfDate,F7&lt;=AsOfDate+7),F7+ROW()/10000,1E+9)</ns0:f>
        <ns0:v>46276.0007</ns0:v>
      </ns0:c>
      <ns0:c r="AR7" t="n">
        <ns0:f>IF(AND(A7&lt;&gt;"",OR(O7&lt;&gt;"On track",Q7="Delayed")),ROW(),1E+9)</ns0:f>
        <ns0:v>1000000000</ns0:v>
      </ns0:c>
      <ns0:c r="AS7" t="str">
        <ns0:f>IF(A7="","",";"&amp;K7&amp;";")</ns0:f>
        <ns0:v>;Brand Stakeholder / Portfolio Owner;</ns0:v>
      </ns0:c>
      <ns0:c r="AT7" t="n">
        <ns0:f>IF(A7="",1,--(T7=0))</ns0:f>
        <ns0:v>1</ns0:v>
      </ns0:c>
      <ns0:c r="AU7" t="n">
        <ns0:f>IF($A7="",1,IF(AT7=1,1,--AND(IF($AC7&gt;0,INDEX(AT$7:AT$106,$AC7),1),IF($AD7&gt;0,INDEX(AT$7:AT$106,$AD7),1),IF($AE7&gt;0,INDEX(AT$7:AT$106,$AE7),1),IF($AF7&gt;0,INDEX(AT$7:AT$106,$AF7),1),IF($AG7&gt;0,INDEX(AT$7:AT$106,$AG7),1),IF($AH7&gt;0,INDEX(AT$7:AT$106,$AH7),1),IF($AI7&gt;0,INDEX(AT$7:AT$106,$AI7),1),IF($AJ7&gt;0,INDEX(AT$7:AT$106,$AJ7),1))))</ns0:f>
        <ns0:v>1</ns0:v>
      </ns0:c>
      <ns0:c r="AV7" t="n">
        <ns0:f>IF($A7="",1,IF(AU7=1,1,--AND(IF($AC7&gt;0,INDEX(AU$7:AU$106,$AC7),1),IF($AD7&gt;0,INDEX(AU$7:AU$106,$AD7),1),IF($AE7&gt;0,INDEX(AU$7:AU$106,$AE7),1),IF($AF7&gt;0,INDEX(AU$7:AU$106,$AF7),1),IF($AG7&gt;0,INDEX(AU$7:AU$106,$AG7),1),IF($AH7&gt;0,INDEX(AU$7:AU$106,$AH7),1),IF($AI7&gt;0,INDEX(AU$7:AU$106,$AI7),1),IF($AJ7&gt;0,INDEX(AU$7:AU$106,$AJ7),1))))</ns0:f>
        <ns0:v>1</ns0:v>
      </ns0:c>
      <ns0:c r="AW7" t="n">
        <ns0:f>IF($A7="",1,IF(AV7=1,1,--AND(IF($AC7&gt;0,INDEX(AV$7:AV$106,$AC7),1),IF($AD7&gt;0,INDEX(AV$7:AV$106,$AD7),1),IF($AE7&gt;0,INDEX(AV$7:AV$106,$AE7),1),IF($AF7&gt;0,INDEX(AV$7:AV$106,$AF7),1),IF($AG7&gt;0,INDEX(AV$7:AV$106,$AG7),1),IF($AH7&gt;0,INDEX(AV$7:AV$106,$AH7),1),IF($AI7&gt;0,INDEX(AV$7:AV$106,$AI7),1),IF($AJ7&gt;0,INDEX(AV$7:AV$106,$AJ7),1))))</ns0:f>
        <ns0:v>1</ns0:v>
      </ns0:c>
      <ns0:c r="AX7" t="n">
        <ns0:f>IF($A7="",1,IF(AW7=1,1,--AND(IF($AC7&gt;0,INDEX(AW$7:AW$106,$AC7),1),IF($AD7&gt;0,INDEX(AW$7:AW$106,$AD7),1),IF($AE7&gt;0,INDEX(AW$7:AW$106,$AE7),1),IF($AF7&gt;0,INDEX(AW$7:AW$106,$AF7),1),IF($AG7&gt;0,INDEX(AW$7:AW$106,$AG7),1),IF($AH7&gt;0,INDEX(AW$7:AW$106,$AH7),1),IF($AI7&gt;0,INDEX(AW$7:AW$106,$AI7),1),IF($AJ7&gt;0,INDEX(AW$7:AW$106,$AJ7),1))))</ns0:f>
        <ns0:v>1</ns0:v>
      </ns0:c>
      <ns0:c r="AY7" t="n">
        <ns0:f>IF($A7="",1,IF(AX7=1,1,--AND(IF($AC7&gt;0,INDEX(AX$7:AX$106,$AC7),1),IF($AD7&gt;0,INDEX(AX$7:AX$106,$AD7),1),IF($AE7&gt;0,INDEX(AX$7:AX$106,$AE7),1),IF($AF7&gt;0,INDEX(AX$7:AX$106,$AF7),1),IF($AG7&gt;0,INDEX(AX$7:AX$106,$AG7),1),IF($AH7&gt;0,INDEX(AX$7:AX$106,$AH7),1),IF($AI7&gt;0,INDEX(AX$7:AX$106,$AI7),1),IF($AJ7&gt;0,INDEX(AX$7:AX$106,$AJ7),1))))</ns0:f>
        <ns0:v>1</ns0:v>
      </ns0:c>
      <ns0:c r="AZ7" t="n">
        <ns0:f>IF($A7="",1,IF(AY7=1,1,--AND(IF($AC7&gt;0,INDEX(AY$7:AY$106,$AC7),1),IF($AD7&gt;0,INDEX(AY$7:AY$106,$AD7),1),IF($AE7&gt;0,INDEX(AY$7:AY$106,$AE7),1),IF($AF7&gt;0,INDEX(AY$7:AY$106,$AF7),1),IF($AG7&gt;0,INDEX(AY$7:AY$106,$AG7),1),IF($AH7&gt;0,INDEX(AY$7:AY$106,$AH7),1),IF($AI7&gt;0,INDEX(AY$7:AY$106,$AI7),1),IF($AJ7&gt;0,INDEX(AY$7:AY$106,$AJ7),1))))</ns0:f>
        <ns0:v>1</ns0:v>
      </ns0:c>
      <ns0:c r="BA7" t="n">
        <ns0:f>IF($A7="",1,IF(AZ7=1,1,--AND(IF($AC7&gt;0,INDEX(AZ$7:AZ$106,$AC7),1),IF($AD7&gt;0,INDEX(AZ$7:AZ$106,$AD7),1),IF($AE7&gt;0,INDEX(AZ$7:AZ$106,$AE7),1),IF($AF7&gt;0,INDEX(AZ$7:AZ$106,$AF7),1),IF($AG7&gt;0,INDEX(AZ$7:AZ$106,$AG7),1),IF($AH7&gt;0,INDEX(AZ$7:AZ$106,$AH7),1),IF($AI7&gt;0,INDEX(AZ$7:AZ$106,$AI7),1),IF($AJ7&gt;0,INDEX(AZ$7:AZ$106,$AJ7),1))))</ns0:f>
        <ns0:v>1</ns0:v>
      </ns0:c>
      <ns0:c r="BB7" t="n">
        <ns0:f>IF($A7="",1,IF(BA7=1,1,--AND(IF($AC7&gt;0,INDEX(BA$7:BA$106,$AC7),1),IF($AD7&gt;0,INDEX(BA$7:BA$106,$AD7),1),IF($AE7&gt;0,INDEX(BA$7:BA$106,$AE7),1),IF($AF7&gt;0,INDEX(BA$7:BA$106,$AF7),1),IF($AG7&gt;0,INDEX(BA$7:BA$106,$AG7),1),IF($AH7&gt;0,INDEX(BA$7:BA$106,$AH7),1),IF($AI7&gt;0,INDEX(BA$7:BA$106,$AI7),1),IF($AJ7&gt;0,INDEX(BA$7:BA$106,$AJ7),1))))</ns0:f>
        <ns0:v>1</ns0:v>
      </ns0:c>
      <ns0:c r="BC7" t="n">
        <ns0:f>IF($A7="",1,IF(BB7=1,1,--AND(IF($AC7&gt;0,INDEX(BB$7:BB$106,$AC7),1),IF($AD7&gt;0,INDEX(BB$7:BB$106,$AD7),1),IF($AE7&gt;0,INDEX(BB$7:BB$106,$AE7),1),IF($AF7&gt;0,INDEX(BB$7:BB$106,$AF7),1),IF($AG7&gt;0,INDEX(BB$7:BB$106,$AG7),1),IF($AH7&gt;0,INDEX(BB$7:BB$106,$AH7),1),IF($AI7&gt;0,INDEX(BB$7:BB$106,$AI7),1),IF($AJ7&gt;0,INDEX(BB$7:BB$106,$AJ7),1))))</ns0:f>
        <ns0:v>1</ns0:v>
      </ns0:c>
      <ns0:c r="BD7" t="n">
        <ns0:f>IF($A7="",1,IF(BC7=1,1,--AND(IF($AC7&gt;0,INDEX(BC$7:BC$106,$AC7),1),IF($AD7&gt;0,INDEX(BC$7:BC$106,$AD7),1),IF($AE7&gt;0,INDEX(BC$7:BC$106,$AE7),1),IF($AF7&gt;0,INDEX(BC$7:BC$106,$AF7),1),IF($AG7&gt;0,INDEX(BC$7:BC$106,$AG7),1),IF($AH7&gt;0,INDEX(BC$7:BC$106,$AH7),1),IF($AI7&gt;0,INDEX(BC$7:BC$106,$AI7),1),IF($AJ7&gt;0,INDEX(BC$7:BC$106,$AJ7),1))))</ns0:f>
        <ns0:v>1</ns0:v>
      </ns0:c>
      <ns0:c r="BE7" t="n">
        <ns0:f>IF($A7="",1,IF(BD7=1,1,--AND(IF($AC7&gt;0,INDEX(BD$7:BD$106,$AC7),1),IF($AD7&gt;0,INDEX(BD$7:BD$106,$AD7),1),IF($AE7&gt;0,INDEX(BD$7:BD$106,$AE7),1),IF($AF7&gt;0,INDEX(BD$7:BD$106,$AF7),1),IF($AG7&gt;0,INDEX(BD$7:BD$106,$AG7),1),IF($AH7&gt;0,INDEX(BD$7:BD$106,$AH7),1),IF($AI7&gt;0,INDEX(BD$7:BD$106,$AI7),1),IF($AJ7&gt;0,INDEX(BD$7:BD$106,$AJ7),1))))</ns0:f>
        <ns0:v>1</ns0:v>
      </ns0:c>
      <ns0:c r="BF7" t="n">
        <ns0:f>IF($A7="",1,IF(BE7=1,1,--AND(IF($AC7&gt;0,INDEX(BE$7:BE$106,$AC7),1),IF($AD7&gt;0,INDEX(BE$7:BE$106,$AD7),1),IF($AE7&gt;0,INDEX(BE$7:BE$106,$AE7),1),IF($AF7&gt;0,INDEX(BE$7:BE$106,$AF7),1),IF($AG7&gt;0,INDEX(BE$7:BE$106,$AG7),1),IF($AH7&gt;0,INDEX(BE$7:BE$106,$AH7),1),IF($AI7&gt;0,INDEX(BE$7:BE$106,$AI7),1),IF($AJ7&gt;0,INDEX(BE$7:BE$106,$AJ7),1))))</ns0:f>
        <ns0:v>1</ns0:v>
      </ns0:c>
      <ns0:c r="BG7" t="n">
        <ns0:f>IF($A7="",1,IF(BF7=1,1,--AND(IF($AC7&gt;0,INDEX(BF$7:BF$106,$AC7),1),IF($AD7&gt;0,INDEX(BF$7:BF$106,$AD7),1),IF($AE7&gt;0,INDEX(BF$7:BF$106,$AE7),1),IF($AF7&gt;0,INDEX(BF$7:BF$106,$AF7),1),IF($AG7&gt;0,INDEX(BF$7:BF$106,$AG7),1),IF($AH7&gt;0,INDEX(BF$7:BF$106,$AH7),1),IF($AI7&gt;0,INDEX(BF$7:BF$106,$AI7),1),IF($AJ7&gt;0,INDEX(BF$7:BF$106,$AJ7),1))))</ns0:f>
        <ns0:v>1</ns0:v>
      </ns0:c>
      <ns0:c r="BH7" t="n">
        <ns0:f>IF($A7="",1,IF(BG7=1,1,--AND(IF($AC7&gt;0,INDEX(BG$7:BG$106,$AC7),1),IF($AD7&gt;0,INDEX(BG$7:BG$106,$AD7),1),IF($AE7&gt;0,INDEX(BG$7:BG$106,$AE7),1),IF($AF7&gt;0,INDEX(BG$7:BG$106,$AF7),1),IF($AG7&gt;0,INDEX(BG$7:BG$106,$AG7),1),IF($AH7&gt;0,INDEX(BG$7:BG$106,$AH7),1),IF($AI7&gt;0,INDEX(BG$7:BG$106,$AI7),1),IF($AJ7&gt;0,INDEX(BG$7:BG$106,$AJ7),1))))</ns0:f>
        <ns0:v>1</ns0:v>
      </ns0:c>
      <ns0:c r="BI7" t="n">
        <ns0:f>IF($A7="",1,IF(BH7=1,1,--AND(IF($AC7&gt;0,INDEX(BH$7:BH$106,$AC7),1),IF($AD7&gt;0,INDEX(BH$7:BH$106,$AD7),1),IF($AE7&gt;0,INDEX(BH$7:BH$106,$AE7),1),IF($AF7&gt;0,INDEX(BH$7:BH$106,$AF7),1),IF($AG7&gt;0,INDEX(BH$7:BH$106,$AG7),1),IF($AH7&gt;0,INDEX(BH$7:BH$106,$AH7),1),IF($AI7&gt;0,INDEX(BH$7:BH$106,$AI7),1),IF($AJ7&gt;0,INDEX(BH$7:BH$106,$AJ7),1))))</ns0:f>
        <ns0:v>1</ns0:v>
      </ns0:c>
      <ns0:c r="BJ7" t="n">
        <ns0:f>IF($A7="",1,IF(BI7=1,1,--AND(IF($AC7&gt;0,INDEX(BI$7:BI$106,$AC7),1),IF($AD7&gt;0,INDEX(BI$7:BI$106,$AD7),1),IF($AE7&gt;0,INDEX(BI$7:BI$106,$AE7),1),IF($AF7&gt;0,INDEX(BI$7:BI$106,$AF7),1),IF($AG7&gt;0,INDEX(BI$7:BI$106,$AG7),1),IF($AH7&gt;0,INDEX(BI$7:BI$106,$AH7),1),IF($AI7&gt;0,INDEX(BI$7:BI$106,$AI7),1),IF($AJ7&gt;0,INDEX(BI$7:BI$106,$AJ7),1))))</ns0:f>
        <ns0:v>1</ns0:v>
      </ns0:c>
      <ns0:c r="BK7" t="n">
        <ns0:f>IF($A7="",1,IF(BJ7=1,1,--AND(IF($AC7&gt;0,INDEX(BJ$7:BJ$106,$AC7),1),IF($AD7&gt;0,INDEX(BJ$7:BJ$106,$AD7),1),IF($AE7&gt;0,INDEX(BJ$7:BJ$106,$AE7),1),IF($AF7&gt;0,INDEX(BJ$7:BJ$106,$AF7),1),IF($AG7&gt;0,INDEX(BJ$7:BJ$106,$AG7),1),IF($AH7&gt;0,INDEX(BJ$7:BJ$106,$AH7),1),IF($AI7&gt;0,INDEX(BJ$7:BJ$106,$AI7),1),IF($AJ7&gt;0,INDEX(BJ$7:BJ$106,$AJ7),1))))</ns0:f>
        <ns0:v>1</ns0:v>
      </ns0:c>
      <ns0:c r="BL7" t="n">
        <ns0:f>IF($A7="",1,IF(BK7=1,1,--AND(IF($AC7&gt;0,INDEX(BK$7:BK$106,$AC7),1),IF($AD7&gt;0,INDEX(BK$7:BK$106,$AD7),1),IF($AE7&gt;0,INDEX(BK$7:BK$106,$AE7),1),IF($AF7&gt;0,INDEX(BK$7:BK$106,$AF7),1),IF($AG7&gt;0,INDEX(BK$7:BK$106,$AG7),1),IF($AH7&gt;0,INDEX(BK$7:BK$106,$AH7),1),IF($AI7&gt;0,INDEX(BK$7:BK$106,$AI7),1),IF($AJ7&gt;0,INDEX(BK$7:BK$106,$AJ7),1))))</ns0:f>
        <ns0:v>1</ns0:v>
      </ns0:c>
      <ns0:c r="BM7" t="n">
        <ns0:f>IF($A7="",1,IF(BL7=1,1,--AND(IF($AC7&gt;0,INDEX(BL$7:BL$106,$AC7),1),IF($AD7&gt;0,INDEX(BL$7:BL$106,$AD7),1),IF($AE7&gt;0,INDEX(BL$7:BL$106,$AE7),1),IF($AF7&gt;0,INDEX(BL$7:BL$106,$AF7),1),IF($AG7&gt;0,INDEX(BL$7:BL$106,$AG7),1),IF($AH7&gt;0,INDEX(BL$7:BL$106,$AH7),1),IF($AI7&gt;0,INDEX(BL$7:BL$106,$AI7),1),IF($AJ7&gt;0,INDEX(BL$7:BL$106,$AJ7),1))))</ns0:f>
        <ns0:v>1</ns0:v>
      </ns0:c>
      <ns0:c r="BN7" t="n">
        <ns0:f>IF($A7="",1,IF(BM7=1,1,--AND(IF($AC7&gt;0,INDEX(BM$7:BM$106,$AC7),1),IF($AD7&gt;0,INDEX(BM$7:BM$106,$AD7),1),IF($AE7&gt;0,INDEX(BM$7:BM$106,$AE7),1),IF($AF7&gt;0,INDEX(BM$7:BM$106,$AF7),1),IF($AG7&gt;0,INDEX(BM$7:BM$106,$AG7),1),IF($AH7&gt;0,INDEX(BM$7:BM$106,$AH7),1),IF($AI7&gt;0,INDEX(BM$7:BM$106,$AI7),1),IF($AJ7&gt;0,INDEX(BM$7:BM$106,$AJ7),1))))</ns0:f>
        <ns0:v>1</ns0:v>
      </ns0:c>
      <ns0:c r="BO7" t="n">
        <ns0:f>IF($A7="",1,IF(BN7=1,1,--AND(IF($AC7&gt;0,INDEX(BN$7:BN$106,$AC7),1),IF($AD7&gt;0,INDEX(BN$7:BN$106,$AD7),1),IF($AE7&gt;0,INDEX(BN$7:BN$106,$AE7),1),IF($AF7&gt;0,INDEX(BN$7:BN$106,$AF7),1),IF($AG7&gt;0,INDEX(BN$7:BN$106,$AG7),1),IF($AH7&gt;0,INDEX(BN$7:BN$106,$AH7),1),IF($AI7&gt;0,INDEX(BN$7:BN$106,$AI7),1),IF($AJ7&gt;0,INDEX(BN$7:BN$106,$AJ7),1))))</ns0:f>
        <ns0:v>1</ns0:v>
      </ns0:c>
      <ns0:c r="BP7" t="n">
        <ns0:f>IF($A7="",1,IF(BO7=1,1,--AND(IF($AC7&gt;0,INDEX(BO$7:BO$106,$AC7),1),IF($AD7&gt;0,INDEX(BO$7:BO$106,$AD7),1),IF($AE7&gt;0,INDEX(BO$7:BO$106,$AE7),1),IF($AF7&gt;0,INDEX(BO$7:BO$106,$AF7),1),IF($AG7&gt;0,INDEX(BO$7:BO$106,$AG7),1),IF($AH7&gt;0,INDEX(BO$7:BO$106,$AH7),1),IF($AI7&gt;0,INDEX(BO$7:BO$106,$AI7),1),IF($AJ7&gt;0,INDEX(BO$7:BO$106,$AJ7),1))))</ns0:f>
        <ns0:v>1</ns0:v>
      </ns0:c>
      <ns0:c r="BQ7" t="n">
        <ns0:f>IF($A7="",1,IF(BP7=1,1,--AND(IF($AC7&gt;0,INDEX(BP$7:BP$106,$AC7),1),IF($AD7&gt;0,INDEX(BP$7:BP$106,$AD7),1),IF($AE7&gt;0,INDEX(BP$7:BP$106,$AE7),1),IF($AF7&gt;0,INDEX(BP$7:BP$106,$AF7),1),IF($AG7&gt;0,INDEX(BP$7:BP$106,$AG7),1),IF($AH7&gt;0,INDEX(BP$7:BP$106,$AH7),1),IF($AI7&gt;0,INDEX(BP$7:BP$106,$AI7),1),IF($AJ7&gt;0,INDEX(BP$7:BP$106,$AJ7),1))))</ns0:f>
        <ns0:v>1</ns0:v>
      </ns0:c>
      <ns0:c r="BR7" t="n">
        <ns0:f>IF($A7="",1,IF(BQ7=1,1,--AND(IF($AC7&gt;0,INDEX(BQ$7:BQ$106,$AC7),1),IF($AD7&gt;0,INDEX(BQ$7:BQ$106,$AD7),1),IF($AE7&gt;0,INDEX(BQ$7:BQ$106,$AE7),1),IF($AF7&gt;0,INDEX(BQ$7:BQ$106,$AF7),1),IF($AG7&gt;0,INDEX(BQ$7:BQ$106,$AG7),1),IF($AH7&gt;0,INDEX(BQ$7:BQ$106,$AH7),1),IF($AI7&gt;0,INDEX(BQ$7:BQ$106,$AI7),1),IF($AJ7&gt;0,INDEX(BQ$7:BQ$106,$AJ7),1))))</ns0:f>
        <ns0:v>1</ns0:v>
      </ns0:c>
      <ns0:c r="BS7" t="n">
        <ns0:f>IF($A7="",1,IF(BR7=1,1,--AND(IF($AC7&gt;0,INDEX(BR$7:BR$106,$AC7),1),IF($AD7&gt;0,INDEX(BR$7:BR$106,$AD7),1),IF($AE7&gt;0,INDEX(BR$7:BR$106,$AE7),1),IF($AF7&gt;0,INDEX(BR$7:BR$106,$AF7),1),IF($AG7&gt;0,INDEX(BR$7:BR$106,$AG7),1),IF($AH7&gt;0,INDEX(BR$7:BR$106,$AH7),1),IF($AI7&gt;0,INDEX(BR$7:BR$106,$AI7),1),IF($AJ7&gt;0,INDEX(BR$7:BR$106,$AJ7),1))))</ns0:f>
        <ns0:v>1</ns0:v>
      </ns0:c>
      <ns0:c r="BT7" t="n">
        <ns0:f>IF($A7="",1,IF(BS7=1,1,--AND(IF($AC7&gt;0,INDEX(BS$7:BS$106,$AC7),1),IF($AD7&gt;0,INDEX(BS$7:BS$106,$AD7),1),IF($AE7&gt;0,INDEX(BS$7:BS$106,$AE7),1),IF($AF7&gt;0,INDEX(BS$7:BS$106,$AF7),1),IF($AG7&gt;0,INDEX(BS$7:BS$106,$AG7),1),IF($AH7&gt;0,INDEX(BS$7:BS$106,$AH7),1),IF($AI7&gt;0,INDEX(BS$7:BS$106,$AI7),1),IF($AJ7&gt;0,INDEX(BS$7:BS$106,$AJ7),1))))</ns0:f>
        <ns0:v>1</ns0:v>
      </ns0:c>
      <ns0:c r="BU7" t="n">
        <ns0:f>IF($A7="",1,IF(BT7=1,1,--AND(IF($AC7&gt;0,INDEX(BT$7:BT$106,$AC7),1),IF($AD7&gt;0,INDEX(BT$7:BT$106,$AD7),1),IF($AE7&gt;0,INDEX(BT$7:BT$106,$AE7),1),IF($AF7&gt;0,INDEX(BT$7:BT$106,$AF7),1),IF($AG7&gt;0,INDEX(BT$7:BT$106,$AG7),1),IF($AH7&gt;0,INDEX(BT$7:BT$106,$AH7),1),IF($AI7&gt;0,INDEX(BT$7:BT$106,$AI7),1),IF($AJ7&gt;0,INDEX(BT$7:BT$106,$AJ7),1))))</ns0:f>
        <ns0:v>1</ns0:v>
      </ns0:c>
      <ns0:c r="BV7" t="n">
        <ns0:f>IF($A7="",1,IF(BU7=1,1,--AND(IF($AC7&gt;0,INDEX(BU$7:BU$106,$AC7),1),IF($AD7&gt;0,INDEX(BU$7:BU$106,$AD7),1),IF($AE7&gt;0,INDEX(BU$7:BU$106,$AE7),1),IF($AF7&gt;0,INDEX(BU$7:BU$106,$AF7),1),IF($AG7&gt;0,INDEX(BU$7:BU$106,$AG7),1),IF($AH7&gt;0,INDEX(BU$7:BU$106,$AH7),1),IF($AI7&gt;0,INDEX(BU$7:BU$106,$AI7),1),IF($AJ7&gt;0,INDEX(BU$7:BU$106,$AJ7),1))))</ns0:f>
        <ns0:v>1</ns0:v>
      </ns0:c>
      <ns0:c r="BW7" t="n">
        <ns0:f>IF($A7="",1,IF(BV7=1,1,--AND(IF($AC7&gt;0,INDEX(BV$7:BV$106,$AC7),1),IF($AD7&gt;0,INDEX(BV$7:BV$106,$AD7),1),IF($AE7&gt;0,INDEX(BV$7:BV$106,$AE7),1),IF($AF7&gt;0,INDEX(BV$7:BV$106,$AF7),1),IF($AG7&gt;0,INDEX(BV$7:BV$106,$AG7),1),IF($AH7&gt;0,INDEX(BV$7:BV$106,$AH7),1),IF($AI7&gt;0,INDEX(BV$7:BV$106,$AI7),1),IF($AJ7&gt;0,INDEX(BV$7:BV$106,$AJ7),1))))</ns0:f>
        <ns0:v>1</ns0:v>
      </ns0:c>
      <ns0:c r="BX7" t="n">
        <ns0:f>IF($A7="",1,IF(BW7=1,1,--AND(IF($AC7&gt;0,INDEX(BW$7:BW$106,$AC7),1),IF($AD7&gt;0,INDEX(BW$7:BW$106,$AD7),1),IF($AE7&gt;0,INDEX(BW$7:BW$106,$AE7),1),IF($AF7&gt;0,INDEX(BW$7:BW$106,$AF7),1),IF($AG7&gt;0,INDEX(BW$7:BW$106,$AG7),1),IF($AH7&gt;0,INDEX(BW$7:BW$106,$AH7),1),IF($AI7&gt;0,INDEX(BW$7:BW$106,$AI7),1),IF($AJ7&gt;0,INDEX(BW$7:BW$106,$AJ7),1))))</ns0:f>
        <ns0:v>1</ns0:v>
      </ns0:c>
      <ns0:c r="BY7" t="n">
        <ns0:f>IF($A7="",1,IF(BX7=1,1,--AND(IF($AC7&gt;0,INDEX(BX$7:BX$106,$AC7),1),IF($AD7&gt;0,INDEX(BX$7:BX$106,$AD7),1),IF($AE7&gt;0,INDEX(BX$7:BX$106,$AE7),1),IF($AF7&gt;0,INDEX(BX$7:BX$106,$AF7),1),IF($AG7&gt;0,INDEX(BX$7:BX$106,$AG7),1),IF($AH7&gt;0,INDEX(BX$7:BX$106,$AH7),1),IF($AI7&gt;0,INDEX(BX$7:BX$106,$AI7),1),IF($AJ7&gt;0,INDEX(BX$7:BX$106,$AJ7),1))))</ns0:f>
        <ns0:v>1</ns0:v>
      </ns0:c>
      <ns0:c r="BZ7" t="n">
        <ns0:f>IF($A7="",1,IF(BY7=1,1,--AND(IF($AC7&gt;0,INDEX(BY$7:BY$106,$AC7),1),IF($AD7&gt;0,INDEX(BY$7:BY$106,$AD7),1),IF($AE7&gt;0,INDEX(BY$7:BY$106,$AE7),1),IF($AF7&gt;0,INDEX(BY$7:BY$106,$AF7),1),IF($AG7&gt;0,INDEX(BY$7:BY$106,$AG7),1),IF($AH7&gt;0,INDEX(BY$7:BY$106,$AH7),1),IF($AI7&gt;0,INDEX(BY$7:BY$106,$AI7),1),IF($AJ7&gt;0,INDEX(BY$7:BY$106,$AJ7),1))))</ns0:f>
        <ns0:v>1</ns0:v>
      </ns0:c>
      <ns0:c r="CA7" t="n">
        <ns0:f>IF($A7="",1,IF(BZ7=1,1,--AND(IF($AC7&gt;0,INDEX(BZ$7:BZ$106,$AC7),1),IF($AD7&gt;0,INDEX(BZ$7:BZ$106,$AD7),1),IF($AE7&gt;0,INDEX(BZ$7:BZ$106,$AE7),1),IF($AF7&gt;0,INDEX(BZ$7:BZ$106,$AF7),1),IF($AG7&gt;0,INDEX(BZ$7:BZ$106,$AG7),1),IF($AH7&gt;0,INDEX(BZ$7:BZ$106,$AH7),1),IF($AI7&gt;0,INDEX(BZ$7:BZ$106,$AI7),1),IF($AJ7&gt;0,INDEX(BZ$7:BZ$106,$AJ7),1))))</ns0:f>
        <ns0:v>1</ns0:v>
      </ns0:c>
      <ns0:c r="CB7" t="n">
        <ns0:f>IF($A7="",1,IF(CA7=1,1,--AND(IF($AC7&gt;0,INDEX(CA$7:CA$106,$AC7),1),IF($AD7&gt;0,INDEX(CA$7:CA$106,$AD7),1),IF($AE7&gt;0,INDEX(CA$7:CA$106,$AE7),1),IF($AF7&gt;0,INDEX(CA$7:CA$106,$AF7),1),IF($AG7&gt;0,INDEX(CA$7:CA$106,$AG7),1),IF($AH7&gt;0,INDEX(CA$7:CA$106,$AH7),1),IF($AI7&gt;0,INDEX(CA$7:CA$106,$AI7),1),IF($AJ7&gt;0,INDEX(CA$7:CA$106,$AJ7),1))))</ns0:f>
        <ns0:v>1</ns0:v>
      </ns0:c>
      <ns0:c r="CC7" t="n">
        <ns0:f>IF($A7="",1,IF(CB7=1,1,--AND(IF($AC7&gt;0,INDEX(CB$7:CB$106,$AC7),1),IF($AD7&gt;0,INDEX(CB$7:CB$106,$AD7),1),IF($AE7&gt;0,INDEX(CB$7:CB$106,$AE7),1),IF($AF7&gt;0,INDEX(CB$7:CB$106,$AF7),1),IF($AG7&gt;0,INDEX(CB$7:CB$106,$AG7),1),IF($AH7&gt;0,INDEX(CB$7:CB$106,$AH7),1),IF($AI7&gt;0,INDEX(CB$7:CB$106,$AI7),1),IF($AJ7&gt;0,INDEX(CB$7:CB$106,$AJ7),1))))</ns0:f>
        <ns0:v>1</ns0:v>
      </ns0:c>
      <ns0:c r="CD7" t="n">
        <ns0:f>IF($A7="",1,IF(CC7=1,1,--AND(IF($AC7&gt;0,INDEX(CC$7:CC$106,$AC7),1),IF($AD7&gt;0,INDEX(CC$7:CC$106,$AD7),1),IF($AE7&gt;0,INDEX(CC$7:CC$106,$AE7),1),IF($AF7&gt;0,INDEX(CC$7:CC$106,$AF7),1),IF($AG7&gt;0,INDEX(CC$7:CC$106,$AG7),1),IF($AH7&gt;0,INDEX(CC$7:CC$106,$AH7),1),IF($AI7&gt;0,INDEX(CC$7:CC$106,$AI7),1),IF($AJ7&gt;0,INDEX(CC$7:CC$106,$AJ7),1))))</ns0:f>
        <ns0:v>1</ns0:v>
      </ns0:c>
      <ns0:c r="CE7" t="n">
        <ns0:f>IF($A7="",1,IF(CD7=1,1,--AND(IF($AC7&gt;0,INDEX(CD$7:CD$106,$AC7),1),IF($AD7&gt;0,INDEX(CD$7:CD$106,$AD7),1),IF($AE7&gt;0,INDEX(CD$7:CD$106,$AE7),1),IF($AF7&gt;0,INDEX(CD$7:CD$106,$AF7),1),IF($AG7&gt;0,INDEX(CD$7:CD$106,$AG7),1),IF($AH7&gt;0,INDEX(CD$7:CD$106,$AH7),1),IF($AI7&gt;0,INDEX(CD$7:CD$106,$AI7),1),IF($AJ7&gt;0,INDEX(CD$7:CD$106,$AJ7),1))))</ns0:f>
        <ns0:v>1</ns0:v>
      </ns0:c>
      <ns0:c r="CF7" t="n">
        <ns0:f>IF($A7="",1,IF(CE7=1,1,--AND(IF($AC7&gt;0,INDEX(CE$7:CE$106,$AC7),1),IF($AD7&gt;0,INDEX(CE$7:CE$106,$AD7),1),IF($AE7&gt;0,INDEX(CE$7:CE$106,$AE7),1),IF($AF7&gt;0,INDEX(CE$7:CE$106,$AF7),1),IF($AG7&gt;0,INDEX(CE$7:CE$106,$AG7),1),IF($AH7&gt;0,INDEX(CE$7:CE$106,$AH7),1),IF($AI7&gt;0,INDEX(CE$7:CE$106,$AI7),1),IF($AJ7&gt;0,INDEX(CE$7:CE$106,$AJ7),1))))</ns0:f>
        <ns0:v>1</ns0:v>
      </ns0:c>
      <ns0:c r="CG7" t="n">
        <ns0:f>IF($A7="",1,IF(CF7=1,1,--AND(IF($AC7&gt;0,INDEX(CF$7:CF$106,$AC7),1),IF($AD7&gt;0,INDEX(CF$7:CF$106,$AD7),1),IF($AE7&gt;0,INDEX(CF$7:CF$106,$AE7),1),IF($AF7&gt;0,INDEX(CF$7:CF$106,$AF7),1),IF($AG7&gt;0,INDEX(CF$7:CF$106,$AG7),1),IF($AH7&gt;0,INDEX(CF$7:CF$106,$AH7),1),IF($AI7&gt;0,INDEX(CF$7:CF$106,$AI7),1),IF($AJ7&gt;0,INDEX(CF$7:CF$106,$AJ7),1))))</ns0:f>
        <ns0:v>1</ns0:v>
      </ns0:c>
      <ns0:c r="CH7" t="n">
        <ns0:f>IF($A7="",1,IF(CG7=1,1,--AND(IF($AC7&gt;0,INDEX(CG$7:CG$106,$AC7),1),IF($AD7&gt;0,INDEX(CG$7:CG$106,$AD7),1),IF($AE7&gt;0,INDEX(CG$7:CG$106,$AE7),1),IF($AF7&gt;0,INDEX(CG$7:CG$106,$AF7),1),IF($AG7&gt;0,INDEX(CG$7:CG$106,$AG7),1),IF($AH7&gt;0,INDEX(CG$7:CG$106,$AH7),1),IF($AI7&gt;0,INDEX(CG$7:CG$106,$AI7),1),IF($AJ7&gt;0,INDEX(CG$7:CG$106,$AJ7),1))))</ns0:f>
        <ns0:v>1</ns0:v>
      </ns0:c>
      <ns0:c r="CI7" t="n">
        <ns0:f>IF($A7="",1,IF(CH7=1,1,--AND(IF($AC7&gt;0,INDEX(CH$7:CH$106,$AC7),1),IF($AD7&gt;0,INDEX(CH$7:CH$106,$AD7),1),IF($AE7&gt;0,INDEX(CH$7:CH$106,$AE7),1),IF($AF7&gt;0,INDEX(CH$7:CH$106,$AF7),1),IF($AG7&gt;0,INDEX(CH$7:CH$106,$AG7),1),IF($AH7&gt;0,INDEX(CH$7:CH$106,$AH7),1),IF($AI7&gt;0,INDEX(CH$7:CH$106,$AI7),1),IF($AJ7&gt;0,INDEX(CH$7:CH$106,$AJ7),1))))</ns0:f>
        <ns0:v>1</ns0:v>
      </ns0:c>
      <ns0:c r="CJ7" t="n">
        <ns0:f>IF($A7="",1,IF(CI7=1,1,--AND(IF($AC7&gt;0,INDEX(CI$7:CI$106,$AC7),1),IF($AD7&gt;0,INDEX(CI$7:CI$106,$AD7),1),IF($AE7&gt;0,INDEX(CI$7:CI$106,$AE7),1),IF($AF7&gt;0,INDEX(CI$7:CI$106,$AF7),1),IF($AG7&gt;0,INDEX(CI$7:CI$106,$AG7),1),IF($AH7&gt;0,INDEX(CI$7:CI$106,$AH7),1),IF($AI7&gt;0,INDEX(CI$7:CI$106,$AI7),1),IF($AJ7&gt;0,INDEX(CI$7:CI$106,$AJ7),1))))</ns0:f>
        <ns0:v>1</ns0:v>
      </ns0:c>
      <ns0:c r="CK7" t="n">
        <ns0:f>IF($A7="",1,IF(CJ7=1,1,--AND(IF($AC7&gt;0,INDEX(CJ$7:CJ$106,$AC7),1),IF($AD7&gt;0,INDEX(CJ$7:CJ$106,$AD7),1),IF($AE7&gt;0,INDEX(CJ$7:CJ$106,$AE7),1),IF($AF7&gt;0,INDEX(CJ$7:CJ$106,$AF7),1),IF($AG7&gt;0,INDEX(CJ$7:CJ$106,$AG7),1),IF($AH7&gt;0,INDEX(CJ$7:CJ$106,$AH7),1),IF($AI7&gt;0,INDEX(CJ$7:CJ$106,$AI7),1),IF($AJ7&gt;0,INDEX(CJ$7:CJ$106,$AJ7),1))))</ns0:f>
        <ns0:v>1</ns0:v>
      </ns0:c>
      <ns0:c r="CL7" t="n">
        <ns0:f>IF($A7="",1,IF(CK7=1,1,--AND(IF($AC7&gt;0,INDEX(CK$7:CK$106,$AC7),1),IF($AD7&gt;0,INDEX(CK$7:CK$106,$AD7),1),IF($AE7&gt;0,INDEX(CK$7:CK$106,$AE7),1),IF($AF7&gt;0,INDEX(CK$7:CK$106,$AF7),1),IF($AG7&gt;0,INDEX(CK$7:CK$106,$AG7),1),IF($AH7&gt;0,INDEX(CK$7:CK$106,$AH7),1),IF($AI7&gt;0,INDEX(CK$7:CK$106,$AI7),1),IF($AJ7&gt;0,INDEX(CK$7:CK$106,$AJ7),1))))</ns0:f>
        <ns0:v>1</ns0:v>
      </ns0:c>
      <ns0:c r="CM7" t="n">
        <ns0:f>IF($A7="",1,IF(CL7=1,1,--AND(IF($AC7&gt;0,INDEX(CL$7:CL$106,$AC7),1),IF($AD7&gt;0,INDEX(CL$7:CL$106,$AD7),1),IF($AE7&gt;0,INDEX(CL$7:CL$106,$AE7),1),IF($AF7&gt;0,INDEX(CL$7:CL$106,$AF7),1),IF($AG7&gt;0,INDEX(CL$7:CL$106,$AG7),1),IF($AH7&gt;0,INDEX(CL$7:CL$106,$AH7),1),IF($AI7&gt;0,INDEX(CL$7:CL$106,$AI7),1),IF($AJ7&gt;0,INDEX(CL$7:CL$106,$AJ7),1))))</ns0:f>
        <ns0:v>1</ns0:v>
      </ns0:c>
      <ns0:c r="CN7" t="n">
        <ns0:f>IF($A7="",1,IF(CM7=1,1,--AND(IF($AC7&gt;0,INDEX(CM$7:CM$106,$AC7),1),IF($AD7&gt;0,INDEX(CM$7:CM$106,$AD7),1),IF($AE7&gt;0,INDEX(CM$7:CM$106,$AE7),1),IF($AF7&gt;0,INDEX(CM$7:CM$106,$AF7),1),IF($AG7&gt;0,INDEX(CM$7:CM$106,$AG7),1),IF($AH7&gt;0,INDEX(CM$7:CM$106,$AH7),1),IF($AI7&gt;0,INDEX(CM$7:CM$106,$AI7),1),IF($AJ7&gt;0,INDEX(CM$7:CM$106,$AJ7),1))))</ns0:f>
        <ns0:v>1</ns0:v>
      </ns0:c>
      <ns0:c r="CO7" t="n">
        <ns0:f>IF($A7="",1,IF(CN7=1,1,--AND(IF($AC7&gt;0,INDEX(CN$7:CN$106,$AC7),1),IF($AD7&gt;0,INDEX(CN$7:CN$106,$AD7),1),IF($AE7&gt;0,INDEX(CN$7:CN$106,$AE7),1),IF($AF7&gt;0,INDEX(CN$7:CN$106,$AF7),1),IF($AG7&gt;0,INDEX(CN$7:CN$106,$AG7),1),IF($AH7&gt;0,INDEX(CN$7:CN$106,$AH7),1),IF($AI7&gt;0,INDEX(CN$7:CN$106,$AI7),1),IF($AJ7&gt;0,INDEX(CN$7:CN$106,$AJ7),1))))</ns0:f>
        <ns0:v>1</ns0:v>
      </ns0:c>
      <ns0:c r="CP7" t="n">
        <ns0:f>IF($A7="",1,IF(CO7=1,1,--AND(IF($AC7&gt;0,INDEX(CO$7:CO$106,$AC7),1),IF($AD7&gt;0,INDEX(CO$7:CO$106,$AD7),1),IF($AE7&gt;0,INDEX(CO$7:CO$106,$AE7),1),IF($AF7&gt;0,INDEX(CO$7:CO$106,$AF7),1),IF($AG7&gt;0,INDEX(CO$7:CO$106,$AG7),1),IF($AH7&gt;0,INDEX(CO$7:CO$106,$AH7),1),IF($AI7&gt;0,INDEX(CO$7:CO$106,$AI7),1),IF($AJ7&gt;0,INDEX(CO$7:CO$106,$AJ7),1))))</ns0:f>
        <ns0:v>1</ns0:v>
      </ns0:c>
      <ns0:c r="CQ7" t="n">
        <ns0:f>IF($A7="",1,IF(CP7=1,1,--AND(IF($AC7&gt;0,INDEX(CP$7:CP$106,$AC7),1),IF($AD7&gt;0,INDEX(CP$7:CP$106,$AD7),1),IF($AE7&gt;0,INDEX(CP$7:CP$106,$AE7),1),IF($AF7&gt;0,INDEX(CP$7:CP$106,$AF7),1),IF($AG7&gt;0,INDEX(CP$7:CP$106,$AG7),1),IF($AH7&gt;0,INDEX(CP$7:CP$106,$AH7),1),IF($AI7&gt;0,INDEX(CP$7:CP$106,$AI7),1),IF($AJ7&gt;0,INDEX(CP$7:CP$106,$AJ7),1))))</ns0:f>
        <ns0:v>1</ns0:v>
      </ns0:c>
      <ns0:c r="CR7" t="n">
        <ns0:f>IF($A7="",1,IF(CQ7=1,1,--AND(IF($AC7&gt;0,INDEX(CQ$7:CQ$106,$AC7),1),IF($AD7&gt;0,INDEX(CQ$7:CQ$106,$AD7),1),IF($AE7&gt;0,INDEX(CQ$7:CQ$106,$AE7),1),IF($AF7&gt;0,INDEX(CQ$7:CQ$106,$AF7),1),IF($AG7&gt;0,INDEX(CQ$7:CQ$106,$AG7),1),IF($AH7&gt;0,INDEX(CQ$7:CQ$106,$AH7),1),IF($AI7&gt;0,INDEX(CQ$7:CQ$106,$AI7),1),IF($AJ7&gt;0,INDEX(CQ$7:CQ$106,$AJ7),1))))</ns0:f>
        <ns0:v>1</ns0:v>
      </ns0:c>
      <ns0:c r="CS7" t="n">
        <ns0:f>IF($A7="",1,IF(CR7=1,1,--AND(IF($AC7&gt;0,INDEX(CR$7:CR$106,$AC7),1),IF($AD7&gt;0,INDEX(CR$7:CR$106,$AD7),1),IF($AE7&gt;0,INDEX(CR$7:CR$106,$AE7),1),IF($AF7&gt;0,INDEX(CR$7:CR$106,$AF7),1),IF($AG7&gt;0,INDEX(CR$7:CR$106,$AG7),1),IF($AH7&gt;0,INDEX(CR$7:CR$106,$AH7),1),IF($AI7&gt;0,INDEX(CR$7:CR$106,$AI7),1),IF($AJ7&gt;0,INDEX(CR$7:CR$106,$AJ7),1))))</ns0:f>
        <ns0:v>1</ns0:v>
      </ns0:c>
      <ns0:c r="CT7" t="n">
        <ns0:f>IF($A7="",1,IF(CS7=1,1,--AND(IF($AC7&gt;0,INDEX(CS$7:CS$106,$AC7),1),IF($AD7&gt;0,INDEX(CS$7:CS$106,$AD7),1),IF($AE7&gt;0,INDEX(CS$7:CS$106,$AE7),1),IF($AF7&gt;0,INDEX(CS$7:CS$106,$AF7),1),IF($AG7&gt;0,INDEX(CS$7:CS$106,$AG7),1),IF($AH7&gt;0,INDEX(CS$7:CS$106,$AH7),1),IF($AI7&gt;0,INDEX(CS$7:CS$106,$AI7),1),IF($AJ7&gt;0,INDEX(CS$7:CS$106,$AJ7),1))))</ns0:f>
        <ns0:v>1</ns0:v>
      </ns0:c>
      <ns0:c r="CU7" t="n">
        <ns0:f>IF($A7="",1,IF(CT7=1,1,--AND(IF($AC7&gt;0,INDEX(CT$7:CT$106,$AC7),1),IF($AD7&gt;0,INDEX(CT$7:CT$106,$AD7),1),IF($AE7&gt;0,INDEX(CT$7:CT$106,$AE7),1),IF($AF7&gt;0,INDEX(CT$7:CT$106,$AF7),1),IF($AG7&gt;0,INDEX(CT$7:CT$106,$AG7),1),IF($AH7&gt;0,INDEX(CT$7:CT$106,$AH7),1),IF($AI7&gt;0,INDEX(CT$7:CT$106,$AI7),1),IF($AJ7&gt;0,INDEX(CT$7:CT$106,$AJ7),1))))</ns0:f>
        <ns0:v>1</ns0:v>
      </ns0:c>
      <ns0:c r="CV7" t="n">
        <ns0:f>IF($A7="",1,IF(CU7=1,1,--AND(IF($AC7&gt;0,INDEX(CU$7:CU$106,$AC7),1),IF($AD7&gt;0,INDEX(CU$7:CU$106,$AD7),1),IF($AE7&gt;0,INDEX(CU$7:CU$106,$AE7),1),IF($AF7&gt;0,INDEX(CU$7:CU$106,$AF7),1),IF($AG7&gt;0,INDEX(CU$7:CU$106,$AG7),1),IF($AH7&gt;0,INDEX(CU$7:CU$106,$AH7),1),IF($AI7&gt;0,INDEX(CU$7:CU$106,$AI7),1),IF($AJ7&gt;0,INDEX(CU$7:CU$106,$AJ7),1))))</ns0:f>
        <ns0:v>1</ns0:v>
      </ns0:c>
      <ns0:c r="CW7" t="n">
        <ns0:f>IF($A7="",1,IF(CV7=1,1,--AND(IF($AC7&gt;0,INDEX(CV$7:CV$106,$AC7),1),IF($AD7&gt;0,INDEX(CV$7:CV$106,$AD7),1),IF($AE7&gt;0,INDEX(CV$7:CV$106,$AE7),1),IF($AF7&gt;0,INDEX(CV$7:CV$106,$AF7),1),IF($AG7&gt;0,INDEX(CV$7:CV$106,$AG7),1),IF($AH7&gt;0,INDEX(CV$7:CV$106,$AH7),1),IF($AI7&gt;0,INDEX(CV$7:CV$106,$AI7),1),IF($AJ7&gt;0,INDEX(CV$7:CV$106,$AJ7),1))))</ns0:f>
        <ns0:v>1</ns0:v>
      </ns0:c>
      <ns0:c r="CX7" t="n">
        <ns0:f>IF($A7="",1,IF(CW7=1,1,--AND(IF($AC7&gt;0,INDEX(CW$7:CW$106,$AC7),1),IF($AD7&gt;0,INDEX(CW$7:CW$106,$AD7),1),IF($AE7&gt;0,INDEX(CW$7:CW$106,$AE7),1),IF($AF7&gt;0,INDEX(CW$7:CW$106,$AF7),1),IF($AG7&gt;0,INDEX(CW$7:CW$106,$AG7),1),IF($AH7&gt;0,INDEX(CW$7:CW$106,$AH7),1),IF($AI7&gt;0,INDEX(CW$7:CW$106,$AI7),1),IF($AJ7&gt;0,INDEX(CW$7:CW$106,$AJ7),1))))</ns0:f>
        <ns0:v>1</ns0:v>
      </ns0:c>
      <ns0:c r="CY7" t="n">
        <ns0:f>IF($A7="",1,IF(CX7=1,1,--AND(IF($AC7&gt;0,INDEX(CX$7:CX$106,$AC7),1),IF($AD7&gt;0,INDEX(CX$7:CX$106,$AD7),1),IF($AE7&gt;0,INDEX(CX$7:CX$106,$AE7),1),IF($AF7&gt;0,INDEX(CX$7:CX$106,$AF7),1),IF($AG7&gt;0,INDEX(CX$7:CX$106,$AG7),1),IF($AH7&gt;0,INDEX(CX$7:CX$106,$AH7),1),IF($AI7&gt;0,INDEX(CX$7:CX$106,$AI7),1),IF($AJ7&gt;0,INDEX(CX$7:CX$106,$AJ7),1))))</ns0:f>
        <ns0:v>1</ns0:v>
      </ns0:c>
      <ns0:c r="CZ7" t="n">
        <ns0:f>IF($A7="",1,IF(CY7=1,1,--AND(IF($AC7&gt;0,INDEX(CY$7:CY$106,$AC7),1),IF($AD7&gt;0,INDEX(CY$7:CY$106,$AD7),1),IF($AE7&gt;0,INDEX(CY$7:CY$106,$AE7),1),IF($AF7&gt;0,INDEX(CY$7:CY$106,$AF7),1),IF($AG7&gt;0,INDEX(CY$7:CY$106,$AG7),1),IF($AH7&gt;0,INDEX(CY$7:CY$106,$AH7),1),IF($AI7&gt;0,INDEX(CY$7:CY$106,$AI7),1),IF($AJ7&gt;0,INDEX(CY$7:CY$106,$AJ7),1))))</ns0:f>
        <ns0:v>1</ns0:v>
      </ns0:c>
      <ns0:c r="DA7" t="n">
        <ns0:f>IF($A7="",1,IF(CZ7=1,1,--AND(IF($AC7&gt;0,INDEX(CZ$7:CZ$106,$AC7),1),IF($AD7&gt;0,INDEX(CZ$7:CZ$106,$AD7),1),IF($AE7&gt;0,INDEX(CZ$7:CZ$106,$AE7),1),IF($AF7&gt;0,INDEX(CZ$7:CZ$106,$AF7),1),IF($AG7&gt;0,INDEX(CZ$7:CZ$106,$AG7),1),IF($AH7&gt;0,INDEX(CZ$7:CZ$106,$AH7),1),IF($AI7&gt;0,INDEX(CZ$7:CZ$106,$AI7),1),IF($AJ7&gt;0,INDEX(CZ$7:CZ$106,$AJ7),1))))</ns0:f>
        <ns0:v>1</ns0:v>
      </ns0:c>
      <ns0:c r="DB7" t="n">
        <ns0:f>IF($A7="",1,IF(DA7=1,1,--AND(IF($AC7&gt;0,INDEX(DA$7:DA$106,$AC7),1),IF($AD7&gt;0,INDEX(DA$7:DA$106,$AD7),1),IF($AE7&gt;0,INDEX(DA$7:DA$106,$AE7),1),IF($AF7&gt;0,INDEX(DA$7:DA$106,$AF7),1),IF($AG7&gt;0,INDEX(DA$7:DA$106,$AG7),1),IF($AH7&gt;0,INDEX(DA$7:DA$106,$AH7),1),IF($AI7&gt;0,INDEX(DA$7:DA$106,$AI7),1),IF($AJ7&gt;0,INDEX(DA$7:DA$106,$AJ7),1))))</ns0:f>
        <ns0:v>1</ns0:v>
      </ns0:c>
      <ns0:c r="DC7" t="n">
        <ns0:f>IF($A7="",1,IF(DB7=1,1,--AND(IF($AC7&gt;0,INDEX(DB$7:DB$106,$AC7),1),IF($AD7&gt;0,INDEX(DB$7:DB$106,$AD7),1),IF($AE7&gt;0,INDEX(DB$7:DB$106,$AE7),1),IF($AF7&gt;0,INDEX(DB$7:DB$106,$AF7),1),IF($AG7&gt;0,INDEX(DB$7:DB$106,$AG7),1),IF($AH7&gt;0,INDEX(DB$7:DB$106,$AH7),1),IF($AI7&gt;0,INDEX(DB$7:DB$106,$AI7),1),IF($AJ7&gt;0,INDEX(DB$7:DB$106,$AJ7),1))))</ns0:f>
        <ns0:v>1</ns0:v>
      </ns0:c>
      <ns0:c r="DD7" t="n">
        <ns0:f>IF($A7="",1,IF(DC7=1,1,--AND(IF($AC7&gt;0,INDEX(DC$7:DC$106,$AC7),1),IF($AD7&gt;0,INDEX(DC$7:DC$106,$AD7),1),IF($AE7&gt;0,INDEX(DC$7:DC$106,$AE7),1),IF($AF7&gt;0,INDEX(DC$7:DC$106,$AF7),1),IF($AG7&gt;0,INDEX(DC$7:DC$106,$AG7),1),IF($AH7&gt;0,INDEX(DC$7:DC$106,$AH7),1),IF($AI7&gt;0,INDEX(DC$7:DC$106,$AI7),1),IF($AJ7&gt;0,INDEX(DC$7:DC$106,$AJ7),1))))</ns0:f>
        <ns0:v>1</ns0:v>
      </ns0:c>
      <ns0:c r="DE7" t="n">
        <ns0:f>IF($A7="",1,IF(DD7=1,1,--AND(IF($AC7&gt;0,INDEX(DD$7:DD$106,$AC7),1),IF($AD7&gt;0,INDEX(DD$7:DD$106,$AD7),1),IF($AE7&gt;0,INDEX(DD$7:DD$106,$AE7),1),IF($AF7&gt;0,INDEX(DD$7:DD$106,$AF7),1),IF($AG7&gt;0,INDEX(DD$7:DD$106,$AG7),1),IF($AH7&gt;0,INDEX(DD$7:DD$106,$AH7),1),IF($AI7&gt;0,INDEX(DD$7:DD$106,$AI7),1),IF($AJ7&gt;0,INDEX(DD$7:DD$106,$AJ7),1))))</ns0:f>
        <ns0:v>1</ns0:v>
      </ns0:c>
      <ns0:c r="DF7" t="n">
        <ns0:f>IF($A7="",1,IF(DE7=1,1,--AND(IF($AC7&gt;0,INDEX(DE$7:DE$106,$AC7),1),IF($AD7&gt;0,INDEX(DE$7:DE$106,$AD7),1),IF($AE7&gt;0,INDEX(DE$7:DE$106,$AE7),1),IF($AF7&gt;0,INDEX(DE$7:DE$106,$AF7),1),IF($AG7&gt;0,INDEX(DE$7:DE$106,$AG7),1),IF($AH7&gt;0,INDEX(DE$7:DE$106,$AH7),1),IF($AI7&gt;0,INDEX(DE$7:DE$106,$AI7),1),IF($AJ7&gt;0,INDEX(DE$7:DE$106,$AJ7),1))))</ns0:f>
        <ns0:v>1</ns0:v>
      </ns0:c>
      <ns0:c r="DG7" t="n">
        <ns0:f>IF($A7="",1,IF(DF7=1,1,--AND(IF($AC7&gt;0,INDEX(DF$7:DF$106,$AC7),1),IF($AD7&gt;0,INDEX(DF$7:DF$106,$AD7),1),IF($AE7&gt;0,INDEX(DF$7:DF$106,$AE7),1),IF($AF7&gt;0,INDEX(DF$7:DF$106,$AF7),1),IF($AG7&gt;0,INDEX(DF$7:DF$106,$AG7),1),IF($AH7&gt;0,INDEX(DF$7:DF$106,$AH7),1),IF($AI7&gt;0,INDEX(DF$7:DF$106,$AI7),1),IF($AJ7&gt;0,INDEX(DF$7:DF$106,$AJ7),1))))</ns0:f>
        <ns0:v>1</ns0:v>
      </ns0:c>
      <ns0:c r="DH7" t="n">
        <ns0:f>IF($A7="",1,IF(DG7=1,1,--AND(IF($AC7&gt;0,INDEX(DG$7:DG$106,$AC7),1),IF($AD7&gt;0,INDEX(DG$7:DG$106,$AD7),1),IF($AE7&gt;0,INDEX(DG$7:DG$106,$AE7),1),IF($AF7&gt;0,INDEX(DG$7:DG$106,$AF7),1),IF($AG7&gt;0,INDEX(DG$7:DG$106,$AG7),1),IF($AH7&gt;0,INDEX(DG$7:DG$106,$AH7),1),IF($AI7&gt;0,INDEX(DG$7:DG$106,$AI7),1),IF($AJ7&gt;0,INDEX(DG$7:DG$106,$AJ7),1))))</ns0:f>
        <ns0:v>1</ns0:v>
      </ns0:c>
      <ns0:c r="DI7" t="n">
        <ns0:f>IF($A7="",1,IF(DH7=1,1,--AND(IF($AC7&gt;0,INDEX(DH$7:DH$106,$AC7),1),IF($AD7&gt;0,INDEX(DH$7:DH$106,$AD7),1),IF($AE7&gt;0,INDEX(DH$7:DH$106,$AE7),1),IF($AF7&gt;0,INDEX(DH$7:DH$106,$AF7),1),IF($AG7&gt;0,INDEX(DH$7:DH$106,$AG7),1),IF($AH7&gt;0,INDEX(DH$7:DH$106,$AH7),1),IF($AI7&gt;0,INDEX(DH$7:DH$106,$AI7),1),IF($AJ7&gt;0,INDEX(DH$7:DH$106,$AJ7),1))))</ns0:f>
        <ns0:v>1</ns0:v>
      </ns0:c>
      <ns0:c r="DJ7" t="n">
        <ns0:f>IF($A7="",1,IF(DI7=1,1,--AND(IF($AC7&gt;0,INDEX(DI$7:DI$106,$AC7),1),IF($AD7&gt;0,INDEX(DI$7:DI$106,$AD7),1),IF($AE7&gt;0,INDEX(DI$7:DI$106,$AE7),1),IF($AF7&gt;0,INDEX(DI$7:DI$106,$AF7),1),IF($AG7&gt;0,INDEX(DI$7:DI$106,$AG7),1),IF($AH7&gt;0,INDEX(DI$7:DI$106,$AH7),1),IF($AI7&gt;0,INDEX(DI$7:DI$106,$AI7),1),IF($AJ7&gt;0,INDEX(DI$7:DI$106,$AJ7),1))))</ns0:f>
        <ns0:v>1</ns0:v>
      </ns0:c>
      <ns0:c r="DK7" t="n">
        <ns0:f>IF($A7="",1,IF(DJ7=1,1,--AND(IF($AC7&gt;0,INDEX(DJ$7:DJ$106,$AC7),1),IF($AD7&gt;0,INDEX(DJ$7:DJ$106,$AD7),1),IF($AE7&gt;0,INDEX(DJ$7:DJ$106,$AE7),1),IF($AF7&gt;0,INDEX(DJ$7:DJ$106,$AF7),1),IF($AG7&gt;0,INDEX(DJ$7:DJ$106,$AG7),1),IF($AH7&gt;0,INDEX(DJ$7:DJ$106,$AH7),1),IF($AI7&gt;0,INDEX(DJ$7:DJ$106,$AI7),1),IF($AJ7&gt;0,INDEX(DJ$7:DJ$106,$AJ7),1))))</ns0:f>
        <ns0:v>1</ns0:v>
      </ns0:c>
      <ns0:c r="DL7" t="n">
        <ns0:f>IF($A7="",1,IF(DK7=1,1,--AND(IF($AC7&gt;0,INDEX(DK$7:DK$106,$AC7),1),IF($AD7&gt;0,INDEX(DK$7:DK$106,$AD7),1),IF($AE7&gt;0,INDEX(DK$7:DK$106,$AE7),1),IF($AF7&gt;0,INDEX(DK$7:DK$106,$AF7),1),IF($AG7&gt;0,INDEX(DK$7:DK$106,$AG7),1),IF($AH7&gt;0,INDEX(DK$7:DK$106,$AH7),1),IF($AI7&gt;0,INDEX(DK$7:DK$106,$AI7),1),IF($AJ7&gt;0,INDEX(DK$7:DK$106,$AJ7),1))))</ns0:f>
        <ns0:v>1</ns0:v>
      </ns0:c>
      <ns0:c r="DM7" t="n">
        <ns0:f>IF($A7="",1,IF(DL7=1,1,--AND(IF($AC7&gt;0,INDEX(DL$7:DL$106,$AC7),1),IF($AD7&gt;0,INDEX(DL$7:DL$106,$AD7),1),IF($AE7&gt;0,INDEX(DL$7:DL$106,$AE7),1),IF($AF7&gt;0,INDEX(DL$7:DL$106,$AF7),1),IF($AG7&gt;0,INDEX(DL$7:DL$106,$AG7),1),IF($AH7&gt;0,INDEX(DL$7:DL$106,$AH7),1),IF($AI7&gt;0,INDEX(DL$7:DL$106,$AI7),1),IF($AJ7&gt;0,INDEX(DL$7:DL$106,$AJ7),1))))</ns0:f>
        <ns0:v>1</ns0:v>
      </ns0:c>
      <ns0:c r="DN7" t="n">
        <ns0:f>IF($A7="",1,IF(DM7=1,1,--AND(IF($AC7&gt;0,INDEX(DM$7:DM$106,$AC7),1),IF($AD7&gt;0,INDEX(DM$7:DM$106,$AD7),1),IF($AE7&gt;0,INDEX(DM$7:DM$106,$AE7),1),IF($AF7&gt;0,INDEX(DM$7:DM$106,$AF7),1),IF($AG7&gt;0,INDEX(DM$7:DM$106,$AG7),1),IF($AH7&gt;0,INDEX(DM$7:DM$106,$AH7),1),IF($AI7&gt;0,INDEX(DM$7:DM$106,$AI7),1),IF($AJ7&gt;0,INDEX(DM$7:DM$106,$AJ7),1))))</ns0:f>
        <ns0:v>1</ns0:v>
      </ns0:c>
      <ns0:c r="DO7" t="n">
        <ns0:f>IF($A7="",1,IF(DN7=1,1,--AND(IF($AC7&gt;0,INDEX(DN$7:DN$106,$AC7),1),IF($AD7&gt;0,INDEX(DN$7:DN$106,$AD7),1),IF($AE7&gt;0,INDEX(DN$7:DN$106,$AE7),1),IF($AF7&gt;0,INDEX(DN$7:DN$106,$AF7),1),IF($AG7&gt;0,INDEX(DN$7:DN$106,$AG7),1),IF($AH7&gt;0,INDEX(DN$7:DN$106,$AH7),1),IF($AI7&gt;0,INDEX(DN$7:DN$106,$AI7),1),IF($AJ7&gt;0,INDEX(DN$7:DN$106,$AJ7),1))))</ns0:f>
        <ns0:v>1</ns0:v>
      </ns0:c>
      <ns0:c r="DP7" t="n">
        <ns0:f>IF($A7="",1,IF(DO7=1,1,--AND(IF($AC7&gt;0,INDEX(DO$7:DO$106,$AC7),1),IF($AD7&gt;0,INDEX(DO$7:DO$106,$AD7),1),IF($AE7&gt;0,INDEX(DO$7:DO$106,$AE7),1),IF($AF7&gt;0,INDEX(DO$7:DO$106,$AF7),1),IF($AG7&gt;0,INDEX(DO$7:DO$106,$AG7),1),IF($AH7&gt;0,INDEX(DO$7:DO$106,$AH7),1),IF($AI7&gt;0,INDEX(DO$7:DO$106,$AI7),1),IF($AJ7&gt;0,INDEX(DO$7:DO$106,$AJ7),1))))</ns0:f>
        <ns0:v>1</ns0:v>
      </ns0:c>
      <ns0:c r="DQ7" t="n">
        <ns0:f>IF($A7="",1,IF(DP7=1,1,--AND(IF($AC7&gt;0,INDEX(DP$7:DP$106,$AC7),1),IF($AD7&gt;0,INDEX(DP$7:DP$106,$AD7),1),IF($AE7&gt;0,INDEX(DP$7:DP$106,$AE7),1),IF($AF7&gt;0,INDEX(DP$7:DP$106,$AF7),1),IF($AG7&gt;0,INDEX(DP$7:DP$106,$AG7),1),IF($AH7&gt;0,INDEX(DP$7:DP$106,$AH7),1),IF($AI7&gt;0,INDEX(DP$7:DP$106,$AI7),1),IF($AJ7&gt;0,INDEX(DP$7:DP$106,$AJ7),1))))</ns0:f>
        <ns0:v>1</ns0:v>
      </ns0:c>
      <ns0:c r="DR7" t="n">
        <ns0:f>IF($A7="",1,IF(DQ7=1,1,--AND(IF($AC7&gt;0,INDEX(DQ$7:DQ$106,$AC7),1),IF($AD7&gt;0,INDEX(DQ$7:DQ$106,$AD7),1),IF($AE7&gt;0,INDEX(DQ$7:DQ$106,$AE7),1),IF($AF7&gt;0,INDEX(DQ$7:DQ$106,$AF7),1),IF($AG7&gt;0,INDEX(DQ$7:DQ$106,$AG7),1),IF($AH7&gt;0,INDEX(DQ$7:DQ$106,$AH7),1),IF($AI7&gt;0,INDEX(DQ$7:DQ$106,$AI7),1),IF($AJ7&gt;0,INDEX(DQ$7:DQ$106,$AJ7),1))))</ns0:f>
        <ns0:v>1</ns0:v>
      </ns0:c>
      <ns0:c r="DS7" t="n">
        <ns0:f>IF($A7="",1,IF(DR7=1,1,--AND(IF($AC7&gt;0,INDEX(DR$7:DR$106,$AC7),1),IF($AD7&gt;0,INDEX(DR$7:DR$106,$AD7),1),IF($AE7&gt;0,INDEX(DR$7:DR$106,$AE7),1),IF($AF7&gt;0,INDEX(DR$7:DR$106,$AF7),1),IF($AG7&gt;0,INDEX(DR$7:DR$106,$AG7),1),IF($AH7&gt;0,INDEX(DR$7:DR$106,$AH7),1),IF($AI7&gt;0,INDEX(DR$7:DR$106,$AI7),1),IF($AJ7&gt;0,INDEX(DR$7:DR$106,$AJ7),1))))</ns0:f>
        <ns0:v>1</ns0:v>
      </ns0:c>
      <ns0:c r="DT7" t="n">
        <ns0:f>IF($A7="",1,IF(DS7=1,1,--AND(IF($AC7&gt;0,INDEX(DS$7:DS$106,$AC7),1),IF($AD7&gt;0,INDEX(DS$7:DS$106,$AD7),1),IF($AE7&gt;0,INDEX(DS$7:DS$106,$AE7),1),IF($AF7&gt;0,INDEX(DS$7:DS$106,$AF7),1),IF($AG7&gt;0,INDEX(DS$7:DS$106,$AG7),1),IF($AH7&gt;0,INDEX(DS$7:DS$106,$AH7),1),IF($AI7&gt;0,INDEX(DS$7:DS$106,$AI7),1),IF($AJ7&gt;0,INDEX(DS$7:DS$106,$AJ7),1))))</ns0:f>
        <ns0:v>1</ns0:v>
      </ns0:c>
      <ns0:c r="DU7" t="n">
        <ns0:f>IF($A7="",1,IF(DT7=1,1,--AND(IF($AC7&gt;0,INDEX(DT$7:DT$106,$AC7),1),IF($AD7&gt;0,INDEX(DT$7:DT$106,$AD7),1),IF($AE7&gt;0,INDEX(DT$7:DT$106,$AE7),1),IF($AF7&gt;0,INDEX(DT$7:DT$106,$AF7),1),IF($AG7&gt;0,INDEX(DT$7:DT$106,$AG7),1),IF($AH7&gt;0,INDEX(DT$7:DT$106,$AH7),1),IF($AI7&gt;0,INDEX(DT$7:DT$106,$AI7),1),IF($AJ7&gt;0,INDEX(DT$7:DT$106,$AJ7),1))))</ns0:f>
        <ns0:v>1</ns0:v>
      </ns0:c>
      <ns0:c r="DV7" t="n">
        <ns0:f>IF($A7="",1,IF(DU7=1,1,--AND(IF($AC7&gt;0,INDEX(DU$7:DU$106,$AC7),1),IF($AD7&gt;0,INDEX(DU$7:DU$106,$AD7),1),IF($AE7&gt;0,INDEX(DU$7:DU$106,$AE7),1),IF($AF7&gt;0,INDEX(DU$7:DU$106,$AF7),1),IF($AG7&gt;0,INDEX(DU$7:DU$106,$AG7),1),IF($AH7&gt;0,INDEX(DU$7:DU$106,$AH7),1),IF($AI7&gt;0,INDEX(DU$7:DU$106,$AI7),1),IF($AJ7&gt;0,INDEX(DU$7:DU$106,$AJ7),1))))</ns0:f>
        <ns0:v>1</ns0:v>
      </ns0:c>
      <ns0:c r="DW7" t="n">
        <ns0:f>IF($A7="",1,IF(DV7=1,1,--AND(IF($AC7&gt;0,INDEX(DV$7:DV$106,$AC7),1),IF($AD7&gt;0,INDEX(DV$7:DV$106,$AD7),1),IF($AE7&gt;0,INDEX(DV$7:DV$106,$AE7),1),IF($AF7&gt;0,INDEX(DV$7:DV$106,$AF7),1),IF($AG7&gt;0,INDEX(DV$7:DV$106,$AG7),1),IF($AH7&gt;0,INDEX(DV$7:DV$106,$AH7),1),IF($AI7&gt;0,INDEX(DV$7:DV$106,$AI7),1),IF($AJ7&gt;0,INDEX(DV$7:DV$106,$AJ7),1))))</ns0:f>
        <ns0:v>1</ns0:v>
      </ns0:c>
      <ns0:c r="DX7" t="n">
        <ns0:f>IF($A7="",1,IF(DW7=1,1,--AND(IF($AC7&gt;0,INDEX(DW$7:DW$106,$AC7),1),IF($AD7&gt;0,INDEX(DW$7:DW$106,$AD7),1),IF($AE7&gt;0,INDEX(DW$7:DW$106,$AE7),1),IF($AF7&gt;0,INDEX(DW$7:DW$106,$AF7),1),IF($AG7&gt;0,INDEX(DW$7:DW$106,$AG7),1),IF($AH7&gt;0,INDEX(DW$7:DW$106,$AH7),1),IF($AI7&gt;0,INDEX(DW$7:DW$106,$AI7),1),IF($AJ7&gt;0,INDEX(DW$7:DW$106,$AJ7),1))))</ns0:f>
        <ns0:v>1</ns0:v>
      </ns0:c>
      <ns0:c r="DY7" t="n">
        <ns0:f>IF($A7="",1,IF(DX7=1,1,--AND(IF($AC7&gt;0,INDEX(DX$7:DX$106,$AC7),1),IF($AD7&gt;0,INDEX(DX$7:DX$106,$AD7),1),IF($AE7&gt;0,INDEX(DX$7:DX$106,$AE7),1),IF($AF7&gt;0,INDEX(DX$7:DX$106,$AF7),1),IF($AG7&gt;0,INDEX(DX$7:DX$106,$AG7),1),IF($AH7&gt;0,INDEX(DX$7:DX$106,$AH7),1),IF($AI7&gt;0,INDEX(DX$7:DX$106,$AI7),1),IF($AJ7&gt;0,INDEX(DX$7:DX$106,$AJ7),1))))</ns0:f>
        <ns0:v>1</ns0:v>
      </ns0:c>
      <ns0:c r="DZ7" t="n">
        <ns0:f>IF($A7="",1,IF(DY7=1,1,--AND(IF($AC7&gt;0,INDEX(DY$7:DY$106,$AC7),1),IF($AD7&gt;0,INDEX(DY$7:DY$106,$AD7),1),IF($AE7&gt;0,INDEX(DY$7:DY$106,$AE7),1),IF($AF7&gt;0,INDEX(DY$7:DY$106,$AF7),1),IF($AG7&gt;0,INDEX(DY$7:DY$106,$AG7),1),IF($AH7&gt;0,INDEX(DY$7:DY$106,$AH7),1),IF($AI7&gt;0,INDEX(DY$7:DY$106,$AI7),1),IF($AJ7&gt;0,INDEX(DY$7:DY$106,$AJ7),1))))</ns0:f>
        <ns0:v>1</ns0:v>
      </ns0:c>
      <ns0:c r="EA7" t="n">
        <ns0:f>IF($A7="",1,IF(DZ7=1,1,--AND(IF($AC7&gt;0,INDEX(DZ$7:DZ$106,$AC7),1),IF($AD7&gt;0,INDEX(DZ$7:DZ$106,$AD7),1),IF($AE7&gt;0,INDEX(DZ$7:DZ$106,$AE7),1),IF($AF7&gt;0,INDEX(DZ$7:DZ$106,$AF7),1),IF($AG7&gt;0,INDEX(DZ$7:DZ$106,$AG7),1),IF($AH7&gt;0,INDEX(DZ$7:DZ$106,$AH7),1),IF($AI7&gt;0,INDEX(DZ$7:DZ$106,$AI7),1),IF($AJ7&gt;0,INDEX(DZ$7:DZ$106,$AJ7),1))))</ns0:f>
        <ns0:v>1</ns0:v>
      </ns0:c>
      <ns0:c r="EB7" t="n">
        <ns0:f>IF($A7="",1,IF(EA7=1,1,--AND(IF($AC7&gt;0,INDEX(EA$7:EA$106,$AC7),1),IF($AD7&gt;0,INDEX(EA$7:EA$106,$AD7),1),IF($AE7&gt;0,INDEX(EA$7:EA$106,$AE7),1),IF($AF7&gt;0,INDEX(EA$7:EA$106,$AF7),1),IF($AG7&gt;0,INDEX(EA$7:EA$106,$AG7),1),IF($AH7&gt;0,INDEX(EA$7:EA$106,$AH7),1),IF($AI7&gt;0,INDEX(EA$7:EA$106,$AI7),1),IF($AJ7&gt;0,INDEX(EA$7:EA$106,$AJ7),1))))</ns0:f>
        <ns0:v>1</ns0:v>
      </ns0:c>
      <ns0:c r="EC7" t="n">
        <ns0:f>IF($A7="",1,IF(EB7=1,1,--AND(IF($AC7&gt;0,INDEX(EB$7:EB$106,$AC7),1),IF($AD7&gt;0,INDEX(EB$7:EB$106,$AD7),1),IF($AE7&gt;0,INDEX(EB$7:EB$106,$AE7),1),IF($AF7&gt;0,INDEX(EB$7:EB$106,$AF7),1),IF($AG7&gt;0,INDEX(EB$7:EB$106,$AG7),1),IF($AH7&gt;0,INDEX(EB$7:EB$106,$AH7),1),IF($AI7&gt;0,INDEX(EB$7:EB$106,$AI7),1),IF($AJ7&gt;0,INDEX(EB$7:EB$106,$AJ7),1))))</ns0:f>
        <ns0:v>1</ns0:v>
      </ns0:c>
      <ns0:c r="ED7" t="n">
        <ns0:f>IF($A7="",1,IF(EC7=1,1,--AND(IF($AC7&gt;0,INDEX(EC$7:EC$106,$AC7),1),IF($AD7&gt;0,INDEX(EC$7:EC$106,$AD7),1),IF($AE7&gt;0,INDEX(EC$7:EC$106,$AE7),1),IF($AF7&gt;0,INDEX(EC$7:EC$106,$AF7),1),IF($AG7&gt;0,INDEX(EC$7:EC$106,$AG7),1),IF($AH7&gt;0,INDEX(EC$7:EC$106,$AH7),1),IF($AI7&gt;0,INDEX(EC$7:EC$106,$AI7),1),IF($AJ7&gt;0,INDEX(EC$7:EC$106,$AJ7),1))))</ns0:f>
        <ns0:v>1</ns0:v>
      </ns0:c>
      <ns0:c r="EE7" t="n">
        <ns0:f>IF($A7="",1,IF(ED7=1,1,--AND(IF($AC7&gt;0,INDEX(ED$7:ED$106,$AC7),1),IF($AD7&gt;0,INDEX(ED$7:ED$106,$AD7),1),IF($AE7&gt;0,INDEX(ED$7:ED$106,$AE7),1),IF($AF7&gt;0,INDEX(ED$7:ED$106,$AF7),1),IF($AG7&gt;0,INDEX(ED$7:ED$106,$AG7),1),IF($AH7&gt;0,INDEX(ED$7:ED$106,$AH7),1),IF($AI7&gt;0,INDEX(ED$7:ED$106,$AI7),1),IF($AJ7&gt;0,INDEX(ED$7:ED$106,$AJ7),1))))</ns0:f>
        <ns0:v>1</ns0:v>
      </ns0:c>
      <ns0:c r="EF7" t="n">
        <ns0:f>IF($A7="",1,IF(EE7=1,1,--AND(IF($AC7&gt;0,INDEX(EE$7:EE$106,$AC7),1),IF($AD7&gt;0,INDEX(EE$7:EE$106,$AD7),1),IF($AE7&gt;0,INDEX(EE$7:EE$106,$AE7),1),IF($AF7&gt;0,INDEX(EE$7:EE$106,$AF7),1),IF($AG7&gt;0,INDEX(EE$7:EE$106,$AG7),1),IF($AH7&gt;0,INDEX(EE$7:EE$106,$AH7),1),IF($AI7&gt;0,INDEX(EE$7:EE$106,$AI7),1),IF($AJ7&gt;0,INDEX(EE$7:EE$106,$AJ7),1))))</ns0:f>
        <ns0:v>1</ns0:v>
      </ns0:c>
      <ns0:c r="EG7" t="n">
        <ns0:f>IF($A7="",1,IF(EF7=1,1,--AND(IF($AC7&gt;0,INDEX(EF$7:EF$106,$AC7),1),IF($AD7&gt;0,INDEX(EF$7:EF$106,$AD7),1),IF($AE7&gt;0,INDEX(EF$7:EF$106,$AE7),1),IF($AF7&gt;0,INDEX(EF$7:EF$106,$AF7),1),IF($AG7&gt;0,INDEX(EF$7:EF$106,$AG7),1),IF($AH7&gt;0,INDEX(EF$7:EF$106,$AH7),1),IF($AI7&gt;0,INDEX(EF$7:EF$106,$AI7),1),IF($AJ7&gt;0,INDEX(EF$7:EF$106,$AJ7),1))))</ns0:f>
        <ns0:v>1</ns0:v>
      </ns0:c>
      <ns0:c r="EH7" t="n">
        <ns0:f>IF($A7="",1,IF(EG7=1,1,--AND(IF($AC7&gt;0,INDEX(EG$7:EG$106,$AC7),1),IF($AD7&gt;0,INDEX(EG$7:EG$106,$AD7),1),IF($AE7&gt;0,INDEX(EG$7:EG$106,$AE7),1),IF($AF7&gt;0,INDEX(EG$7:EG$106,$AF7),1),IF($AG7&gt;0,INDEX(EG$7:EG$106,$AG7),1),IF($AH7&gt;0,INDEX(EG$7:EG$106,$AH7),1),IF($AI7&gt;0,INDEX(EG$7:EG$106,$AI7),1),IF($AJ7&gt;0,INDEX(EG$7:EG$106,$AJ7),1))))</ns0:f>
        <ns0:v>1</ns0:v>
      </ns0:c>
      <ns0:c r="EI7" t="n">
        <ns0:f>IF($A7="",1,IF(EH7=1,1,--AND(IF($AC7&gt;0,INDEX(EH$7:EH$106,$AC7),1),IF($AD7&gt;0,INDEX(EH$7:EH$106,$AD7),1),IF($AE7&gt;0,INDEX(EH$7:EH$106,$AE7),1),IF($AF7&gt;0,INDEX(EH$7:EH$106,$AF7),1),IF($AG7&gt;0,INDEX(EH$7:EH$106,$AG7),1),IF($AH7&gt;0,INDEX(EH$7:EH$106,$AH7),1),IF($AI7&gt;0,INDEX(EH$7:EH$106,$AI7),1),IF($AJ7&gt;0,INDEX(EH$7:EH$106,$AJ7),1))))</ns0:f>
        <ns0:v>1</ns0:v>
      </ns0:c>
      <ns0:c r="EJ7" t="n">
        <ns0:f>IF($A7="",1,IF(EI7=1,1,--AND(IF($AC7&gt;0,INDEX(EI$7:EI$106,$AC7),1),IF($AD7&gt;0,INDEX(EI$7:EI$106,$AD7),1),IF($AE7&gt;0,INDEX(EI$7:EI$106,$AE7),1),IF($AF7&gt;0,INDEX(EI$7:EI$106,$AF7),1),IF($AG7&gt;0,INDEX(EI$7:EI$106,$AG7),1),IF($AH7&gt;0,INDEX(EI$7:EI$106,$AH7),1),IF($AI7&gt;0,INDEX(EI$7:EI$106,$AI7),1),IF($AJ7&gt;0,INDEX(EI$7:EI$106,$AJ7),1))))</ns0:f>
        <ns0:v>1</ns0:v>
      </ns0:c>
      <ns0:c r="EK7" t="n">
        <ns0:f>IF($A7="",1,IF(EJ7=1,1,--AND(IF($AC7&gt;0,INDEX(EJ$7:EJ$106,$AC7),1),IF($AD7&gt;0,INDEX(EJ$7:EJ$106,$AD7),1),IF($AE7&gt;0,INDEX(EJ$7:EJ$106,$AE7),1),IF($AF7&gt;0,INDEX(EJ$7:EJ$106,$AF7),1),IF($AG7&gt;0,INDEX(EJ$7:EJ$106,$AG7),1),IF($AH7&gt;0,INDEX(EJ$7:EJ$106,$AH7),1),IF($AI7&gt;0,INDEX(EJ$7:EJ$106,$AI7),1),IF($AJ7&gt;0,INDEX(EJ$7:EJ$106,$AJ7),1))))</ns0:f>
        <ns0:v>1</ns0:v>
      </ns0:c>
      <ns0:c r="EL7" t="n">
        <ns0:f>IF($A7="",1,IF(EK7=1,1,--AND(IF($AC7&gt;0,INDEX(EK$7:EK$106,$AC7),1),IF($AD7&gt;0,INDEX(EK$7:EK$106,$AD7),1),IF($AE7&gt;0,INDEX(EK$7:EK$106,$AE7),1),IF($AF7&gt;0,INDEX(EK$7:EK$106,$AF7),1),IF($AG7&gt;0,INDEX(EK$7:EK$106,$AG7),1),IF($AH7&gt;0,INDEX(EK$7:EK$106,$AH7),1),IF($AI7&gt;0,INDEX(EK$7:EK$106,$AI7),1),IF($AJ7&gt;0,INDEX(EK$7:EK$106,$AJ7),1))))</ns0:f>
        <ns0:v>1</ns0:v>
      </ns0:c>
      <ns0:c r="EM7" t="n">
        <ns0:f>IF($A7="",1,IF(EL7=1,1,--AND(IF($AC7&gt;0,INDEX(EL$7:EL$106,$AC7),1),IF($AD7&gt;0,INDEX(EL$7:EL$106,$AD7),1),IF($AE7&gt;0,INDEX(EL$7:EL$106,$AE7),1),IF($AF7&gt;0,INDEX(EL$7:EL$106,$AF7),1),IF($AG7&gt;0,INDEX(EL$7:EL$106,$AG7),1),IF($AH7&gt;0,INDEX(EL$7:EL$106,$AH7),1),IF($AI7&gt;0,INDEX(EL$7:EL$106,$AI7),1),IF($AJ7&gt;0,INDEX(EL$7:EL$106,$AJ7),1))))</ns0:f>
        <ns0:v>1</ns0:v>
      </ns0:c>
      <ns0:c r="EN7" t="n">
        <ns0:f>IF($A7="",1,IF(EM7=1,1,--AND(IF($AC7&gt;0,INDEX(EM$7:EM$106,$AC7),1),IF($AD7&gt;0,INDEX(EM$7:EM$106,$AD7),1),IF($AE7&gt;0,INDEX(EM$7:EM$106,$AE7),1),IF($AF7&gt;0,INDEX(EM$7:EM$106,$AF7),1),IF($AG7&gt;0,INDEX(EM$7:EM$106,$AG7),1),IF($AH7&gt;0,INDEX(EM$7:EM$106,$AH7),1),IF($AI7&gt;0,INDEX(EM$7:EM$106,$AI7),1),IF($AJ7&gt;0,INDEX(EM$7:EM$106,$AJ7),1))))</ns0:f>
        <ns0:v>1</ns0:v>
      </ns0:c>
      <ns0:c r="EO7" t="n">
        <ns0:f>IF($A7="",1,IF(EN7=1,1,--AND(IF($AC7&gt;0,INDEX(EN$7:EN$106,$AC7),1),IF($AD7&gt;0,INDEX(EN$7:EN$106,$AD7),1),IF($AE7&gt;0,INDEX(EN$7:EN$106,$AE7),1),IF($AF7&gt;0,INDEX(EN$7:EN$106,$AF7),1),IF($AG7&gt;0,INDEX(EN$7:EN$106,$AG7),1),IF($AH7&gt;0,INDEX(EN$7:EN$106,$AH7),1),IF($AI7&gt;0,INDEX(EN$7:EN$106,$AI7),1),IF($AJ7&gt;0,INDEX(EN$7:EN$106,$AJ7),1))))</ns0:f>
        <ns0:v>1</ns0:v>
      </ns0:c>
      <ns0:c r="EP7" t="n">
        <ns0:f>IF($A7="",1,IF(EO7=1,1,--AND(IF($AC7&gt;0,INDEX(EO$7:EO$106,$AC7),1),IF($AD7&gt;0,INDEX(EO$7:EO$106,$AD7),1),IF($AE7&gt;0,INDEX(EO$7:EO$106,$AE7),1),IF($AF7&gt;0,INDEX(EO$7:EO$106,$AF7),1),IF($AG7&gt;0,INDEX(EO$7:EO$106,$AG7),1),IF($AH7&gt;0,INDEX(EO$7:EO$106,$AH7),1),IF($AI7&gt;0,INDEX(EO$7:EO$106,$AI7),1),IF($AJ7&gt;0,INDEX(EO$7:EO$106,$AJ7),1))))</ns0:f>
        <ns0:v>1</ns0:v>
      </ns0:c>
      <ns0:c r="EQ7" t="n">
        <ns0:f>IF(OR(A7="",NOT(ISNUMBER(G7))),0,G7*N7)</ns0:f>
        <ns0:v>0</ns0:v>
      </ns0:c>
    </ns0:row>
    <ns0:row r="8" ht="62" customHeight="1">
      <ns0:c r="A8" s="48" t="str">
        <ns0:v>T02</ns0:v>
      </ns0:c>
      <ns0:c r="B8" s="48" t="str">
        <ns0:v>Governance &amp; state</ns0:v>
      </ns0:c>
      <ns0:c r="C8" s="48" t="str">
        <ns0:v>Configure machine-readable policy rules, autonomy tiers, and claim limits</ns0:v>
      </ns0:c>
      <ns0:c r="D8" s="48" t="str">
        <ns0:v>Version policy envelopes, autonomy tiers and permitted claims.</ns0:v>
      </ns0:c>
      <ns0:c r="E8" s="49" t="n">
        <ns0:v>46276</ns0:v>
      </ns0:c>
      <ns0:c r="F8" s="49" t="n">
        <ns0:v>46276</ns0:v>
      </ns0:c>
      <ns0:c r="G8" s="13" t="n">
        <ns0:f>IF(A8="","",IF(OR(NOT(ISNUMBER(E8)),NOT(ISNUMBER(F8)),F8&lt;E8),"",IF(J8="Yes",0,F8-E8+1)))</ns0:f>
        <ns0:v>1</ns0:v>
      </ns0:c>
      <ns0:c r="H8" s="48" t="str"/>
      <ns0:c r="I8" s="48" t="str"/>
      <ns0:c r="J8" s="48" t="str">
        <ns0:v>No</ns0:v>
      </ns0:c>
      <ns0:c r="K8" s="48" t="str">
        <ns0:v>Enterprise Policy Engine</ns0:v>
      </ns0:c>
      <ns0:c r="L8" s="48" t="str"/>
      <ns0:c r="M8" s="50" t="str">
        <ns0:f>IF(A8="","",IF(N8=1,"Completed",IF(N8&gt;0,"In Progress","Not Started")))</ns0:f>
        <ns0:v>Not Started</ns0:v>
      </ns0:c>
      <ns0:c r="N8" s="51" t="n">
        <ns0:v>0</ns0:v>
      </ns0:c>
      <ns0:c r="O8" s="13" t="str">
        <ns0:f>IF(A8="","",IF(R8&lt;&gt;"","[CONFLICT] "&amp;R8,IF(S8&lt;&gt;"","[CONFLICT] "&amp;S8,IF(OR(NOT(ISNUMBER(N8)),N8&lt;0,N8&gt;1),"[CONFLICT] Invalid progress",IF(AK8&gt;0,"[DEPENDENCY ISSUE] Missing ID / &gt;8 links",IF(AM8&gt;0,"[DEPENDENCY ISSUE] Cycle or blocked by cycle",IF(AND(H8&lt;&gt;"",ISNA(MATCH(I8,{"FS","SS","FF","SF"},0))),"[DEPENDENCY ISSUE] Invalid type",IF(AL8&gt;0,"[DEPENDENCY ISSUE] Timing conflict",IF(OR(E8&lt;ProjectStart,F8&gt;ProjectEnd),"[OUTSIDE WINDOW]",IF(AND(N8&lt;1,F8&lt;AsOfDate),"Overdue",IF(AND(M8&lt;&gt;Q8,M8&lt;&gt;""),"[CONFLICT] Status / progress","On track")))))))))))</ns0:f>
        <ns0:v>On track</ns0:v>
      </ns0:c>
      <ns0:c r="P8" s="52" t="str">
        <ns0:v>Source: Project Plan Essentials (2).md §1, §2, §4. Original 2026-09-11 to 2026-09-12, 2d; original progress 100% [INFERRED]. [INFERRED] Rescheduled to fit 34d with FS. Duration reduced to 1d. Original resource/tools: Enterprise Policy Engine.</ns0:v>
      </ns0:c>
      <ns0:c r="Q8" t="str">
        <ns0:f>IF(A8="","",IF(OR(M8="On Hold",M8="Delayed"),M8,IF(N8=1,"Completed",IF(N8&gt;0,"In Progress","Not Started"))))</ns0:f>
        <ns0:v>Not Started</ns0:v>
      </ns0:c>
      <ns0:c r="R8" t="str">
        <ns0:f>IF(A8="","",IF(COUNTIFS(Tasks[Task ID],A8)&lt;&gt;1,"Duplicate ID",""))</ns0:f>
      </ns0:c>
      <ns0:c r="S8" t="str">
        <ns0:f>IF(A8="","",IF(OR(NOT(ISNUMBER(E8)),NOT(ISNUMBER(F8))),"Invalid / missing date",IF(OR(E8&lt;&gt;INT(E8),F8&lt;&gt;INT(F8),E8&lt;1,F8&gt;2958465),"Invalid date",IF(F8&lt;E8,"End before start",IF(AND(J8="Yes",E8&lt;&gt;F8),"Milestone needs one date","")))))</ns0:f>
      </ns0:c>
      <ns0:c r="T8" t="n">
        <ns0:f>IF(H8="",0,LEN(H8)-LEN(SUBSTITUTE(H8,",",""))+1)</ns0:f>
        <ns0:v>0</ns0:v>
      </ns0:c>
      <ns0:c r="U8" t="str">
        <ns0:f>TRIM(MID(SUBSTITUTE($H8,",",REPT(" ",100)),1,100))</ns0:f>
      </ns0:c>
      <ns0:c r="V8" t="str">
        <ns0:f>TRIM(MID(SUBSTITUTE($H8,",",REPT(" ",100)),101,100))</ns0:f>
      </ns0:c>
      <ns0:c r="W8" t="str">
        <ns0:f>TRIM(MID(SUBSTITUTE($H8,",",REPT(" ",100)),201,100))</ns0:f>
      </ns0:c>
      <ns0:c r="X8" t="str">
        <ns0:f>TRIM(MID(SUBSTITUTE($H8,",",REPT(" ",100)),301,100))</ns0:f>
      </ns0:c>
      <ns0:c r="Y8" t="str">
        <ns0:f>TRIM(MID(SUBSTITUTE($H8,",",REPT(" ",100)),401,100))</ns0:f>
      </ns0:c>
      <ns0:c r="Z8" t="str">
        <ns0:f>TRIM(MID(SUBSTITUTE($H8,",",REPT(" ",100)),501,100))</ns0:f>
      </ns0:c>
      <ns0:c r="AA8" t="str">
        <ns0:f>TRIM(MID(SUBSTITUTE($H8,",",REPT(" ",100)),601,100))</ns0:f>
      </ns0:c>
      <ns0:c r="AB8" t="str">
        <ns0:f>TRIM(MID(SUBSTITUTE($H8,",",REPT(" ",100)),701,100))</ns0:f>
      </ns0:c>
      <ns0:c r="AC8" t="n">
        <ns0:f>IF(U8="",0,IF(COUNTIFS(Tasks[Task ID],U8)=1,MATCH(U8,Tasks[Task ID],0),-1))</ns0:f>
        <ns0:v>0</ns0:v>
      </ns0:c>
      <ns0:c r="AD8" t="n">
        <ns0:f>IF(V8="",0,IF(COUNTIFS(Tasks[Task ID],V8)=1,MATCH(V8,Tasks[Task ID],0),-1))</ns0:f>
        <ns0:v>0</ns0:v>
      </ns0:c>
      <ns0:c r="AE8" t="n">
        <ns0:f>IF(W8="",0,IF(COUNTIFS(Tasks[Task ID],W8)=1,MATCH(W8,Tasks[Task ID],0),-1))</ns0:f>
        <ns0:v>0</ns0:v>
      </ns0:c>
      <ns0:c r="AF8" t="n">
        <ns0:f>IF(X8="",0,IF(COUNTIFS(Tasks[Task ID],X8)=1,MATCH(X8,Tasks[Task ID],0),-1))</ns0:f>
        <ns0:v>0</ns0:v>
      </ns0:c>
      <ns0:c r="AG8" t="n">
        <ns0:f>IF(Y8="",0,IF(COUNTIFS(Tasks[Task ID],Y8)=1,MATCH(Y8,Tasks[Task ID],0),-1))</ns0:f>
        <ns0:v>0</ns0:v>
      </ns0:c>
      <ns0:c r="AH8" t="n">
        <ns0:f>IF(Z8="",0,IF(COUNTIFS(Tasks[Task ID],Z8)=1,MATCH(Z8,Tasks[Task ID],0),-1))</ns0:f>
        <ns0:v>0</ns0:v>
      </ns0:c>
      <ns0:c r="AI8" t="n">
        <ns0:f>IF(AA8="",0,IF(COUNTIFS(Tasks[Task ID],AA8)=1,MATCH(AA8,Tasks[Task ID],0),-1))</ns0:f>
        <ns0:v>0</ns0:v>
      </ns0:c>
      <ns0:c r="AJ8" t="n">
        <ns0:f>IF(AB8="",0,IF(COUNTIFS(Tasks[Task ID],AB8)=1,MATCH(AB8,Tasks[Task ID],0),-1))</ns0:f>
        <ns0:v>0</ns0:v>
      </ns0:c>
      <ns0:c r="AK8" t="n">
        <ns0:f>COUNTIFS(AC8:AJ8,-1)+IF(T8&gt;8,1,0)</ns0:f>
        <ns0:v>0</ns0:v>
      </ns0:c>
      <ns0:c r="AL8" t="n">
        <ns0:f>IF(OR(A8="",S8&lt;&gt;""),0,SUM(IF(AC8&gt;0,IF($I8="FS",--($E8&lt;INDEX(Tasks[End Date],AC8)+IF(INDEX(Tasks[Milestone],AC8)="Yes",0,1)),IF($I8="SS",--($E8&lt;INDEX(Tasks[Start Date],AC8)),IF($I8="FF",--($F8&lt;INDEX(Tasks[End Date],AC8)),IF($I8="SF",--($F8&lt;INDEX(Tasks[Start Date],AC8)),0)))),0),IF(AD8&gt;0,IF($I8="FS",--($E8&lt;INDEX(Tasks[End Date],AD8)+IF(INDEX(Tasks[Milestone],AD8)="Yes",0,1)),IF($I8="SS",--($E8&lt;INDEX(Tasks[Start Date],AD8)),IF($I8="FF",--($F8&lt;INDEX(Tasks[End Date],AD8)),IF($I8="SF",--($F8&lt;INDEX(Tasks[Start Date],AD8)),0)))),0),IF(AE8&gt;0,IF($I8="FS",--($E8&lt;INDEX(Tasks[End Date],AE8)+IF(INDEX(Tasks[Milestone],AE8)="Yes",0,1)),IF($I8="SS",--($E8&lt;INDEX(Tasks[Start Date],AE8)),IF($I8="FF",--($F8&lt;INDEX(Tasks[End Date],AE8)),IF($I8="SF",--($F8&lt;INDEX(Tasks[Start Date],AE8)),0)))),0),IF(AF8&gt;0,IF($I8="FS",--($E8&lt;INDEX(Tasks[End Date],AF8)+IF(INDEX(Tasks[Milestone],AF8)="Yes",0,1)),IF($I8="SS",--($E8&lt;INDEX(Tasks[Start Date],AF8)),IF($I8="FF",--($F8&lt;INDEX(Tasks[End Date],AF8)),IF($I8="SF",--($F8&lt;INDEX(Tasks[Start Date],AF8)),0)))),0),IF(AG8&gt;0,IF($I8="FS",--($E8&lt;INDEX(Tasks[End Date],AG8)+IF(INDEX(Tasks[Milestone],AG8)="Yes",0,1)),IF($I8="SS",--($E8&lt;INDEX(Tasks[Start Date],AG8)),IF($I8="FF",--($F8&lt;INDEX(Tasks[End Date],AG8)),IF($I8="SF",--($F8&lt;INDEX(Tasks[Start Date],AG8)),0)))),0),IF(AH8&gt;0,IF($I8="FS",--($E8&lt;INDEX(Tasks[End Date],AH8)+IF(INDEX(Tasks[Milestone],AH8)="Yes",0,1)),IF($I8="SS",--($E8&lt;INDEX(Tasks[Start Date],AH8)),IF($I8="FF",--($F8&lt;INDEX(Tasks[End Date],AH8)),IF($I8="SF",--($F8&lt;INDEX(Tasks[Start Date],AH8)),0)))),0),IF(AI8&gt;0,IF($I8="FS",--($E8&lt;INDEX(Tasks[End Date],AI8)+IF(INDEX(Tasks[Milestone],AI8)="Yes",0,1)),IF($I8="SS",--($E8&lt;INDEX(Tasks[Start Date],AI8)),IF($I8="FF",--($F8&lt;INDEX(Tasks[End Date],AI8)),IF($I8="SF",--($F8&lt;INDEX(Tasks[Start Date],AI8)),0)))),0),IF(AJ8&gt;0,IF($I8="FS",--($E8&lt;INDEX(Tasks[End Date],AJ8)+IF(INDEX(Tasks[Milestone],AJ8)="Yes",0,1)),IF($I8="SS",--($E8&lt;INDEX(Tasks[Start Date],AJ8)),IF($I8="FF",--($F8&lt;INDEX(Tasks[End Date],AJ8)),IF($I8="SF",--($F8&lt;INDEX(Tasks[Start Date],AJ8)),0)))),0)))</ns0:f>
        <ns0:v>0</ns0:v>
      </ns0:c>
      <ns0:c r="AM8" t="n">
        <ns0:f>IF(AND(A8&lt;&gt;"",AK8=0,EP8=0),1,0)</ns0:f>
        <ns0:v>0</ns0:v>
      </ns0:c>
      <ns0:c r="AN8" t="str">
        <ns0:f>IF(OR(A8="",B8=""),"",IF(COUNTIFS($B$7:B8,B8)=1,MAX($AN$6:AN7)+1,""))</ns0:f>
      </ns0:c>
      <ns0:c r="AO8" t="n">
        <ns0:f>IF(AND(A8&lt;&gt;"",J8="No",N8&lt;1,E8&gt;=AsOfDate),E8+ROW()/10000,1E+9)</ns0:f>
        <ns0:v>46276.0008</ns0:v>
      </ns0:c>
      <ns0:c r="AP8" t="n">
        <ns0:f>IF(AND(A8&lt;&gt;"",J8="Yes",N8&lt;1,E8&gt;=AsOfDate),E8+ROW()/10000,1E+9)</ns0:f>
        <ns0:v>1000000000</ns0:v>
      </ns0:c>
      <ns0:c r="AQ8" t="n">
        <ns0:f>IF(AND(A8&lt;&gt;"",J8="No",N8&lt;1,F8&gt;=AsOfDate,F8&lt;=AsOfDate+7),F8+ROW()/10000,1E+9)</ns0:f>
        <ns0:v>46276.0008</ns0:v>
      </ns0:c>
      <ns0:c r="AR8" t="n">
        <ns0:f>IF(AND(A8&lt;&gt;"",OR(O8&lt;&gt;"On track",Q8="Delayed")),ROW(),1E+9)</ns0:f>
        <ns0:v>1000000000</ns0:v>
      </ns0:c>
      <ns0:c r="AS8" t="str">
        <ns0:f>IF(A8="","",";"&amp;K8&amp;";")</ns0:f>
        <ns0:v>;Enterprise Policy Engine;</ns0:v>
      </ns0:c>
      <ns0:c r="AT8" t="n">
        <ns0:f>IF(A8="",1,--(T8=0))</ns0:f>
        <ns0:v>1</ns0:v>
      </ns0:c>
      <ns0:c r="AU8" t="n">
        <ns0:f>IF($A8="",1,IF(AT8=1,1,--AND(IF($AC8&gt;0,INDEX(AT$7:AT$106,$AC8),1),IF($AD8&gt;0,INDEX(AT$7:AT$106,$AD8),1),IF($AE8&gt;0,INDEX(AT$7:AT$106,$AE8),1),IF($AF8&gt;0,INDEX(AT$7:AT$106,$AF8),1),IF($AG8&gt;0,INDEX(AT$7:AT$106,$AG8),1),IF($AH8&gt;0,INDEX(AT$7:AT$106,$AH8),1),IF($AI8&gt;0,INDEX(AT$7:AT$106,$AI8),1),IF($AJ8&gt;0,INDEX(AT$7:AT$106,$AJ8),1))))</ns0:f>
        <ns0:v>1</ns0:v>
      </ns0:c>
      <ns0:c r="AV8" t="n">
        <ns0:f>IF($A8="",1,IF(AU8=1,1,--AND(IF($AC8&gt;0,INDEX(AU$7:AU$106,$AC8),1),IF($AD8&gt;0,INDEX(AU$7:AU$106,$AD8),1),IF($AE8&gt;0,INDEX(AU$7:AU$106,$AE8),1),IF($AF8&gt;0,INDEX(AU$7:AU$106,$AF8),1),IF($AG8&gt;0,INDEX(AU$7:AU$106,$AG8),1),IF($AH8&gt;0,INDEX(AU$7:AU$106,$AH8),1),IF($AI8&gt;0,INDEX(AU$7:AU$106,$AI8),1),IF($AJ8&gt;0,INDEX(AU$7:AU$106,$AJ8),1))))</ns0:f>
        <ns0:v>1</ns0:v>
      </ns0:c>
      <ns0:c r="AW8" t="n">
        <ns0:f>IF($A8="",1,IF(AV8=1,1,--AND(IF($AC8&gt;0,INDEX(AV$7:AV$106,$AC8),1),IF($AD8&gt;0,INDEX(AV$7:AV$106,$AD8),1),IF($AE8&gt;0,INDEX(AV$7:AV$106,$AE8),1),IF($AF8&gt;0,INDEX(AV$7:AV$106,$AF8),1),IF($AG8&gt;0,INDEX(AV$7:AV$106,$AG8),1),IF($AH8&gt;0,INDEX(AV$7:AV$106,$AH8),1),IF($AI8&gt;0,INDEX(AV$7:AV$106,$AI8),1),IF($AJ8&gt;0,INDEX(AV$7:AV$106,$AJ8),1))))</ns0:f>
        <ns0:v>1</ns0:v>
      </ns0:c>
      <ns0:c r="AX8" t="n">
        <ns0:f>IF($A8="",1,IF(AW8=1,1,--AND(IF($AC8&gt;0,INDEX(AW$7:AW$106,$AC8),1),IF($AD8&gt;0,INDEX(AW$7:AW$106,$AD8),1),IF($AE8&gt;0,INDEX(AW$7:AW$106,$AE8),1),IF($AF8&gt;0,INDEX(AW$7:AW$106,$AF8),1),IF($AG8&gt;0,INDEX(AW$7:AW$106,$AG8),1),IF($AH8&gt;0,INDEX(AW$7:AW$106,$AH8),1),IF($AI8&gt;0,INDEX(AW$7:AW$106,$AI8),1),IF($AJ8&gt;0,INDEX(AW$7:AW$106,$AJ8),1))))</ns0:f>
        <ns0:v>1</ns0:v>
      </ns0:c>
      <ns0:c r="AY8" t="n">
        <ns0:f>IF($A8="",1,IF(AX8=1,1,--AND(IF($AC8&gt;0,INDEX(AX$7:AX$106,$AC8),1),IF($AD8&gt;0,INDEX(AX$7:AX$106,$AD8),1),IF($AE8&gt;0,INDEX(AX$7:AX$106,$AE8),1),IF($AF8&gt;0,INDEX(AX$7:AX$106,$AF8),1),IF($AG8&gt;0,INDEX(AX$7:AX$106,$AG8),1),IF($AH8&gt;0,INDEX(AX$7:AX$106,$AH8),1),IF($AI8&gt;0,INDEX(AX$7:AX$106,$AI8),1),IF($AJ8&gt;0,INDEX(AX$7:AX$106,$AJ8),1))))</ns0:f>
        <ns0:v>1</ns0:v>
      </ns0:c>
      <ns0:c r="AZ8" t="n">
        <ns0:f>IF($A8="",1,IF(AY8=1,1,--AND(IF($AC8&gt;0,INDEX(AY$7:AY$106,$AC8),1),IF($AD8&gt;0,INDEX(AY$7:AY$106,$AD8),1),IF($AE8&gt;0,INDEX(AY$7:AY$106,$AE8),1),IF($AF8&gt;0,INDEX(AY$7:AY$106,$AF8),1),IF($AG8&gt;0,INDEX(AY$7:AY$106,$AG8),1),IF($AH8&gt;0,INDEX(AY$7:AY$106,$AH8),1),IF($AI8&gt;0,INDEX(AY$7:AY$106,$AI8),1),IF($AJ8&gt;0,INDEX(AY$7:AY$106,$AJ8),1))))</ns0:f>
        <ns0:v>1</ns0:v>
      </ns0:c>
      <ns0:c r="BA8" t="n">
        <ns0:f>IF($A8="",1,IF(AZ8=1,1,--AND(IF($AC8&gt;0,INDEX(AZ$7:AZ$106,$AC8),1),IF($AD8&gt;0,INDEX(AZ$7:AZ$106,$AD8),1),IF($AE8&gt;0,INDEX(AZ$7:AZ$106,$AE8),1),IF($AF8&gt;0,INDEX(AZ$7:AZ$106,$AF8),1),IF($AG8&gt;0,INDEX(AZ$7:AZ$106,$AG8),1),IF($AH8&gt;0,INDEX(AZ$7:AZ$106,$AH8),1),IF($AI8&gt;0,INDEX(AZ$7:AZ$106,$AI8),1),IF($AJ8&gt;0,INDEX(AZ$7:AZ$106,$AJ8),1))))</ns0:f>
        <ns0:v>1</ns0:v>
      </ns0:c>
      <ns0:c r="BB8" t="n">
        <ns0:f>IF($A8="",1,IF(BA8=1,1,--AND(IF($AC8&gt;0,INDEX(BA$7:BA$106,$AC8),1),IF($AD8&gt;0,INDEX(BA$7:BA$106,$AD8),1),IF($AE8&gt;0,INDEX(BA$7:BA$106,$AE8),1),IF($AF8&gt;0,INDEX(BA$7:BA$106,$AF8),1),IF($AG8&gt;0,INDEX(BA$7:BA$106,$AG8),1),IF($AH8&gt;0,INDEX(BA$7:BA$106,$AH8),1),IF($AI8&gt;0,INDEX(BA$7:BA$106,$AI8),1),IF($AJ8&gt;0,INDEX(BA$7:BA$106,$AJ8),1))))</ns0:f>
        <ns0:v>1</ns0:v>
      </ns0:c>
      <ns0:c r="BC8" t="n">
        <ns0:f>IF($A8="",1,IF(BB8=1,1,--AND(IF($AC8&gt;0,INDEX(BB$7:BB$106,$AC8),1),IF($AD8&gt;0,INDEX(BB$7:BB$106,$AD8),1),IF($AE8&gt;0,INDEX(BB$7:BB$106,$AE8),1),IF($AF8&gt;0,INDEX(BB$7:BB$106,$AF8),1),IF($AG8&gt;0,INDEX(BB$7:BB$106,$AG8),1),IF($AH8&gt;0,INDEX(BB$7:BB$106,$AH8),1),IF($AI8&gt;0,INDEX(BB$7:BB$106,$AI8),1),IF($AJ8&gt;0,INDEX(BB$7:BB$106,$AJ8),1))))</ns0:f>
        <ns0:v>1</ns0:v>
      </ns0:c>
      <ns0:c r="BD8" t="n">
        <ns0:f>IF($A8="",1,IF(BC8=1,1,--AND(IF($AC8&gt;0,INDEX(BC$7:BC$106,$AC8),1),IF($AD8&gt;0,INDEX(BC$7:BC$106,$AD8),1),IF($AE8&gt;0,INDEX(BC$7:BC$106,$AE8),1),IF($AF8&gt;0,INDEX(BC$7:BC$106,$AF8),1),IF($AG8&gt;0,INDEX(BC$7:BC$106,$AG8),1),IF($AH8&gt;0,INDEX(BC$7:BC$106,$AH8),1),IF($AI8&gt;0,INDEX(BC$7:BC$106,$AI8),1),IF($AJ8&gt;0,INDEX(BC$7:BC$106,$AJ8),1))))</ns0:f>
        <ns0:v>1</ns0:v>
      </ns0:c>
      <ns0:c r="BE8" t="n">
        <ns0:f>IF($A8="",1,IF(BD8=1,1,--AND(IF($AC8&gt;0,INDEX(BD$7:BD$106,$AC8),1),IF($AD8&gt;0,INDEX(BD$7:BD$106,$AD8),1),IF($AE8&gt;0,INDEX(BD$7:BD$106,$AE8),1),IF($AF8&gt;0,INDEX(BD$7:BD$106,$AF8),1),IF($AG8&gt;0,INDEX(BD$7:BD$106,$AG8),1),IF($AH8&gt;0,INDEX(BD$7:BD$106,$AH8),1),IF($AI8&gt;0,INDEX(BD$7:BD$106,$AI8),1),IF($AJ8&gt;0,INDEX(BD$7:BD$106,$AJ8),1))))</ns0:f>
        <ns0:v>1</ns0:v>
      </ns0:c>
      <ns0:c r="BF8" t="n">
        <ns0:f>IF($A8="",1,IF(BE8=1,1,--AND(IF($AC8&gt;0,INDEX(BE$7:BE$106,$AC8),1),IF($AD8&gt;0,INDEX(BE$7:BE$106,$AD8),1),IF($AE8&gt;0,INDEX(BE$7:BE$106,$AE8),1),IF($AF8&gt;0,INDEX(BE$7:BE$106,$AF8),1),IF($AG8&gt;0,INDEX(BE$7:BE$106,$AG8),1),IF($AH8&gt;0,INDEX(BE$7:BE$106,$AH8),1),IF($AI8&gt;0,INDEX(BE$7:BE$106,$AI8),1),IF($AJ8&gt;0,INDEX(BE$7:BE$106,$AJ8),1))))</ns0:f>
        <ns0:v>1</ns0:v>
      </ns0:c>
      <ns0:c r="BG8" t="n">
        <ns0:f>IF($A8="",1,IF(BF8=1,1,--AND(IF($AC8&gt;0,INDEX(BF$7:BF$106,$AC8),1),IF($AD8&gt;0,INDEX(BF$7:BF$106,$AD8),1),IF($AE8&gt;0,INDEX(BF$7:BF$106,$AE8),1),IF($AF8&gt;0,INDEX(BF$7:BF$106,$AF8),1),IF($AG8&gt;0,INDEX(BF$7:BF$106,$AG8),1),IF($AH8&gt;0,INDEX(BF$7:BF$106,$AH8),1),IF($AI8&gt;0,INDEX(BF$7:BF$106,$AI8),1),IF($AJ8&gt;0,INDEX(BF$7:BF$106,$AJ8),1))))</ns0:f>
        <ns0:v>1</ns0:v>
      </ns0:c>
      <ns0:c r="BH8" t="n">
        <ns0:f>IF($A8="",1,IF(BG8=1,1,--AND(IF($AC8&gt;0,INDEX(BG$7:BG$106,$AC8),1),IF($AD8&gt;0,INDEX(BG$7:BG$106,$AD8),1),IF($AE8&gt;0,INDEX(BG$7:BG$106,$AE8),1),IF($AF8&gt;0,INDEX(BG$7:BG$106,$AF8),1),IF($AG8&gt;0,INDEX(BG$7:BG$106,$AG8),1),IF($AH8&gt;0,INDEX(BG$7:BG$106,$AH8),1),IF($AI8&gt;0,INDEX(BG$7:BG$106,$AI8),1),IF($AJ8&gt;0,INDEX(BG$7:BG$106,$AJ8),1))))</ns0:f>
        <ns0:v>1</ns0:v>
      </ns0:c>
      <ns0:c r="BI8" t="n">
        <ns0:f>IF($A8="",1,IF(BH8=1,1,--AND(IF($AC8&gt;0,INDEX(BH$7:BH$106,$AC8),1),IF($AD8&gt;0,INDEX(BH$7:BH$106,$AD8),1),IF($AE8&gt;0,INDEX(BH$7:BH$106,$AE8),1),IF($AF8&gt;0,INDEX(BH$7:BH$106,$AF8),1),IF($AG8&gt;0,INDEX(BH$7:BH$106,$AG8),1),IF($AH8&gt;0,INDEX(BH$7:BH$106,$AH8),1),IF($AI8&gt;0,INDEX(BH$7:BH$106,$AI8),1),IF($AJ8&gt;0,INDEX(BH$7:BH$106,$AJ8),1))))</ns0:f>
        <ns0:v>1</ns0:v>
      </ns0:c>
      <ns0:c r="BJ8" t="n">
        <ns0:f>IF($A8="",1,IF(BI8=1,1,--AND(IF($AC8&gt;0,INDEX(BI$7:BI$106,$AC8),1),IF($AD8&gt;0,INDEX(BI$7:BI$106,$AD8),1),IF($AE8&gt;0,INDEX(BI$7:BI$106,$AE8),1),IF($AF8&gt;0,INDEX(BI$7:BI$106,$AF8),1),IF($AG8&gt;0,INDEX(BI$7:BI$106,$AG8),1),IF($AH8&gt;0,INDEX(BI$7:BI$106,$AH8),1),IF($AI8&gt;0,INDEX(BI$7:BI$106,$AI8),1),IF($AJ8&gt;0,INDEX(BI$7:BI$106,$AJ8),1))))</ns0:f>
        <ns0:v>1</ns0:v>
      </ns0:c>
      <ns0:c r="BK8" t="n">
        <ns0:f>IF($A8="",1,IF(BJ8=1,1,--AND(IF($AC8&gt;0,INDEX(BJ$7:BJ$106,$AC8),1),IF($AD8&gt;0,INDEX(BJ$7:BJ$106,$AD8),1),IF($AE8&gt;0,INDEX(BJ$7:BJ$106,$AE8),1),IF($AF8&gt;0,INDEX(BJ$7:BJ$106,$AF8),1),IF($AG8&gt;0,INDEX(BJ$7:BJ$106,$AG8),1),IF($AH8&gt;0,INDEX(BJ$7:BJ$106,$AH8),1),IF($AI8&gt;0,INDEX(BJ$7:BJ$106,$AI8),1),IF($AJ8&gt;0,INDEX(BJ$7:BJ$106,$AJ8),1))))</ns0:f>
        <ns0:v>1</ns0:v>
      </ns0:c>
      <ns0:c r="BL8" t="n">
        <ns0:f>IF($A8="",1,IF(BK8=1,1,--AND(IF($AC8&gt;0,INDEX(BK$7:BK$106,$AC8),1),IF($AD8&gt;0,INDEX(BK$7:BK$106,$AD8),1),IF($AE8&gt;0,INDEX(BK$7:BK$106,$AE8),1),IF($AF8&gt;0,INDEX(BK$7:BK$106,$AF8),1),IF($AG8&gt;0,INDEX(BK$7:BK$106,$AG8),1),IF($AH8&gt;0,INDEX(BK$7:BK$106,$AH8),1),IF($AI8&gt;0,INDEX(BK$7:BK$106,$AI8),1),IF($AJ8&gt;0,INDEX(BK$7:BK$106,$AJ8),1))))</ns0:f>
        <ns0:v>1</ns0:v>
      </ns0:c>
      <ns0:c r="BM8" t="n">
        <ns0:f>IF($A8="",1,IF(BL8=1,1,--AND(IF($AC8&gt;0,INDEX(BL$7:BL$106,$AC8),1),IF($AD8&gt;0,INDEX(BL$7:BL$106,$AD8),1),IF($AE8&gt;0,INDEX(BL$7:BL$106,$AE8),1),IF($AF8&gt;0,INDEX(BL$7:BL$106,$AF8),1),IF($AG8&gt;0,INDEX(BL$7:BL$106,$AG8),1),IF($AH8&gt;0,INDEX(BL$7:BL$106,$AH8),1),IF($AI8&gt;0,INDEX(BL$7:BL$106,$AI8),1),IF($AJ8&gt;0,INDEX(BL$7:BL$106,$AJ8),1))))</ns0:f>
        <ns0:v>1</ns0:v>
      </ns0:c>
      <ns0:c r="BN8" t="n">
        <ns0:f>IF($A8="",1,IF(BM8=1,1,--AND(IF($AC8&gt;0,INDEX(BM$7:BM$106,$AC8),1),IF($AD8&gt;0,INDEX(BM$7:BM$106,$AD8),1),IF($AE8&gt;0,INDEX(BM$7:BM$106,$AE8),1),IF($AF8&gt;0,INDEX(BM$7:BM$106,$AF8),1),IF($AG8&gt;0,INDEX(BM$7:BM$106,$AG8),1),IF($AH8&gt;0,INDEX(BM$7:BM$106,$AH8),1),IF($AI8&gt;0,INDEX(BM$7:BM$106,$AI8),1),IF($AJ8&gt;0,INDEX(BM$7:BM$106,$AJ8),1))))</ns0:f>
        <ns0:v>1</ns0:v>
      </ns0:c>
      <ns0:c r="BO8" t="n">
        <ns0:f>IF($A8="",1,IF(BN8=1,1,--AND(IF($AC8&gt;0,INDEX(BN$7:BN$106,$AC8),1),IF($AD8&gt;0,INDEX(BN$7:BN$106,$AD8),1),IF($AE8&gt;0,INDEX(BN$7:BN$106,$AE8),1),IF($AF8&gt;0,INDEX(BN$7:BN$106,$AF8),1),IF($AG8&gt;0,INDEX(BN$7:BN$106,$AG8),1),IF($AH8&gt;0,INDEX(BN$7:BN$106,$AH8),1),IF($AI8&gt;0,INDEX(BN$7:BN$106,$AI8),1),IF($AJ8&gt;0,INDEX(BN$7:BN$106,$AJ8),1))))</ns0:f>
        <ns0:v>1</ns0:v>
      </ns0:c>
      <ns0:c r="BP8" t="n">
        <ns0:f>IF($A8="",1,IF(BO8=1,1,--AND(IF($AC8&gt;0,INDEX(BO$7:BO$106,$AC8),1),IF($AD8&gt;0,INDEX(BO$7:BO$106,$AD8),1),IF($AE8&gt;0,INDEX(BO$7:BO$106,$AE8),1),IF($AF8&gt;0,INDEX(BO$7:BO$106,$AF8),1),IF($AG8&gt;0,INDEX(BO$7:BO$106,$AG8),1),IF($AH8&gt;0,INDEX(BO$7:BO$106,$AH8),1),IF($AI8&gt;0,INDEX(BO$7:BO$106,$AI8),1),IF($AJ8&gt;0,INDEX(BO$7:BO$106,$AJ8),1))))</ns0:f>
        <ns0:v>1</ns0:v>
      </ns0:c>
      <ns0:c r="BQ8" t="n">
        <ns0:f>IF($A8="",1,IF(BP8=1,1,--AND(IF($AC8&gt;0,INDEX(BP$7:BP$106,$AC8),1),IF($AD8&gt;0,INDEX(BP$7:BP$106,$AD8),1),IF($AE8&gt;0,INDEX(BP$7:BP$106,$AE8),1),IF($AF8&gt;0,INDEX(BP$7:BP$106,$AF8),1),IF($AG8&gt;0,INDEX(BP$7:BP$106,$AG8),1),IF($AH8&gt;0,INDEX(BP$7:BP$106,$AH8),1),IF($AI8&gt;0,INDEX(BP$7:BP$106,$AI8),1),IF($AJ8&gt;0,INDEX(BP$7:BP$106,$AJ8),1))))</ns0:f>
        <ns0:v>1</ns0:v>
      </ns0:c>
      <ns0:c r="BR8" t="n">
        <ns0:f>IF($A8="",1,IF(BQ8=1,1,--AND(IF($AC8&gt;0,INDEX(BQ$7:BQ$106,$AC8),1),IF($AD8&gt;0,INDEX(BQ$7:BQ$106,$AD8),1),IF($AE8&gt;0,INDEX(BQ$7:BQ$106,$AE8),1),IF($AF8&gt;0,INDEX(BQ$7:BQ$106,$AF8),1),IF($AG8&gt;0,INDEX(BQ$7:BQ$106,$AG8),1),IF($AH8&gt;0,INDEX(BQ$7:BQ$106,$AH8),1),IF($AI8&gt;0,INDEX(BQ$7:BQ$106,$AI8),1),IF($AJ8&gt;0,INDEX(BQ$7:BQ$106,$AJ8),1))))</ns0:f>
        <ns0:v>1</ns0:v>
      </ns0:c>
      <ns0:c r="BS8" t="n">
        <ns0:f>IF($A8="",1,IF(BR8=1,1,--AND(IF($AC8&gt;0,INDEX(BR$7:BR$106,$AC8),1),IF($AD8&gt;0,INDEX(BR$7:BR$106,$AD8),1),IF($AE8&gt;0,INDEX(BR$7:BR$106,$AE8),1),IF($AF8&gt;0,INDEX(BR$7:BR$106,$AF8),1),IF($AG8&gt;0,INDEX(BR$7:BR$106,$AG8),1),IF($AH8&gt;0,INDEX(BR$7:BR$106,$AH8),1),IF($AI8&gt;0,INDEX(BR$7:BR$106,$AI8),1),IF($AJ8&gt;0,INDEX(BR$7:BR$106,$AJ8),1))))</ns0:f>
        <ns0:v>1</ns0:v>
      </ns0:c>
      <ns0:c r="BT8" t="n">
        <ns0:f>IF($A8="",1,IF(BS8=1,1,--AND(IF($AC8&gt;0,INDEX(BS$7:BS$106,$AC8),1),IF($AD8&gt;0,INDEX(BS$7:BS$106,$AD8),1),IF($AE8&gt;0,INDEX(BS$7:BS$106,$AE8),1),IF($AF8&gt;0,INDEX(BS$7:BS$106,$AF8),1),IF($AG8&gt;0,INDEX(BS$7:BS$106,$AG8),1),IF($AH8&gt;0,INDEX(BS$7:BS$106,$AH8),1),IF($AI8&gt;0,INDEX(BS$7:BS$106,$AI8),1),IF($AJ8&gt;0,INDEX(BS$7:BS$106,$AJ8),1))))</ns0:f>
        <ns0:v>1</ns0:v>
      </ns0:c>
      <ns0:c r="BU8" t="n">
        <ns0:f>IF($A8="",1,IF(BT8=1,1,--AND(IF($AC8&gt;0,INDEX(BT$7:BT$106,$AC8),1),IF($AD8&gt;0,INDEX(BT$7:BT$106,$AD8),1),IF($AE8&gt;0,INDEX(BT$7:BT$106,$AE8),1),IF($AF8&gt;0,INDEX(BT$7:BT$106,$AF8),1),IF($AG8&gt;0,INDEX(BT$7:BT$106,$AG8),1),IF($AH8&gt;0,INDEX(BT$7:BT$106,$AH8),1),IF($AI8&gt;0,INDEX(BT$7:BT$106,$AI8),1),IF($AJ8&gt;0,INDEX(BT$7:BT$106,$AJ8),1))))</ns0:f>
        <ns0:v>1</ns0:v>
      </ns0:c>
      <ns0:c r="BV8" t="n">
        <ns0:f>IF($A8="",1,IF(BU8=1,1,--AND(IF($AC8&gt;0,INDEX(BU$7:BU$106,$AC8),1),IF($AD8&gt;0,INDEX(BU$7:BU$106,$AD8),1),IF($AE8&gt;0,INDEX(BU$7:BU$106,$AE8),1),IF($AF8&gt;0,INDEX(BU$7:BU$106,$AF8),1),IF($AG8&gt;0,INDEX(BU$7:BU$106,$AG8),1),IF($AH8&gt;0,INDEX(BU$7:BU$106,$AH8),1),IF($AI8&gt;0,INDEX(BU$7:BU$106,$AI8),1),IF($AJ8&gt;0,INDEX(BU$7:BU$106,$AJ8),1))))</ns0:f>
        <ns0:v>1</ns0:v>
      </ns0:c>
      <ns0:c r="BW8" t="n">
        <ns0:f>IF($A8="",1,IF(BV8=1,1,--AND(IF($AC8&gt;0,INDEX(BV$7:BV$106,$AC8),1),IF($AD8&gt;0,INDEX(BV$7:BV$106,$AD8),1),IF($AE8&gt;0,INDEX(BV$7:BV$106,$AE8),1),IF($AF8&gt;0,INDEX(BV$7:BV$106,$AF8),1),IF($AG8&gt;0,INDEX(BV$7:BV$106,$AG8),1),IF($AH8&gt;0,INDEX(BV$7:BV$106,$AH8),1),IF($AI8&gt;0,INDEX(BV$7:BV$106,$AI8),1),IF($AJ8&gt;0,INDEX(BV$7:BV$106,$AJ8),1))))</ns0:f>
        <ns0:v>1</ns0:v>
      </ns0:c>
      <ns0:c r="BX8" t="n">
        <ns0:f>IF($A8="",1,IF(BW8=1,1,--AND(IF($AC8&gt;0,INDEX(BW$7:BW$106,$AC8),1),IF($AD8&gt;0,INDEX(BW$7:BW$106,$AD8),1),IF($AE8&gt;0,INDEX(BW$7:BW$106,$AE8),1),IF($AF8&gt;0,INDEX(BW$7:BW$106,$AF8),1),IF($AG8&gt;0,INDEX(BW$7:BW$106,$AG8),1),IF($AH8&gt;0,INDEX(BW$7:BW$106,$AH8),1),IF($AI8&gt;0,INDEX(BW$7:BW$106,$AI8),1),IF($AJ8&gt;0,INDEX(BW$7:BW$106,$AJ8),1))))</ns0:f>
        <ns0:v>1</ns0:v>
      </ns0:c>
      <ns0:c r="BY8" t="n">
        <ns0:f>IF($A8="",1,IF(BX8=1,1,--AND(IF($AC8&gt;0,INDEX(BX$7:BX$106,$AC8),1),IF($AD8&gt;0,INDEX(BX$7:BX$106,$AD8),1),IF($AE8&gt;0,INDEX(BX$7:BX$106,$AE8),1),IF($AF8&gt;0,INDEX(BX$7:BX$106,$AF8),1),IF($AG8&gt;0,INDEX(BX$7:BX$106,$AG8),1),IF($AH8&gt;0,INDEX(BX$7:BX$106,$AH8),1),IF($AI8&gt;0,INDEX(BX$7:BX$106,$AI8),1),IF($AJ8&gt;0,INDEX(BX$7:BX$106,$AJ8),1))))</ns0:f>
        <ns0:v>1</ns0:v>
      </ns0:c>
      <ns0:c r="BZ8" t="n">
        <ns0:f>IF($A8="",1,IF(BY8=1,1,--AND(IF($AC8&gt;0,INDEX(BY$7:BY$106,$AC8),1),IF($AD8&gt;0,INDEX(BY$7:BY$106,$AD8),1),IF($AE8&gt;0,INDEX(BY$7:BY$106,$AE8),1),IF($AF8&gt;0,INDEX(BY$7:BY$106,$AF8),1),IF($AG8&gt;0,INDEX(BY$7:BY$106,$AG8),1),IF($AH8&gt;0,INDEX(BY$7:BY$106,$AH8),1),IF($AI8&gt;0,INDEX(BY$7:BY$106,$AI8),1),IF($AJ8&gt;0,INDEX(BY$7:BY$106,$AJ8),1))))</ns0:f>
        <ns0:v>1</ns0:v>
      </ns0:c>
      <ns0:c r="CA8" t="n">
        <ns0:f>IF($A8="",1,IF(BZ8=1,1,--AND(IF($AC8&gt;0,INDEX(BZ$7:BZ$106,$AC8),1),IF($AD8&gt;0,INDEX(BZ$7:BZ$106,$AD8),1),IF($AE8&gt;0,INDEX(BZ$7:BZ$106,$AE8),1),IF($AF8&gt;0,INDEX(BZ$7:BZ$106,$AF8),1),IF($AG8&gt;0,INDEX(BZ$7:BZ$106,$AG8),1),IF($AH8&gt;0,INDEX(BZ$7:BZ$106,$AH8),1),IF($AI8&gt;0,INDEX(BZ$7:BZ$106,$AI8),1),IF($AJ8&gt;0,INDEX(BZ$7:BZ$106,$AJ8),1))))</ns0:f>
        <ns0:v>1</ns0:v>
      </ns0:c>
      <ns0:c r="CB8" t="n">
        <ns0:f>IF($A8="",1,IF(CA8=1,1,--AND(IF($AC8&gt;0,INDEX(CA$7:CA$106,$AC8),1),IF($AD8&gt;0,INDEX(CA$7:CA$106,$AD8),1),IF($AE8&gt;0,INDEX(CA$7:CA$106,$AE8),1),IF($AF8&gt;0,INDEX(CA$7:CA$106,$AF8),1),IF($AG8&gt;0,INDEX(CA$7:CA$106,$AG8),1),IF($AH8&gt;0,INDEX(CA$7:CA$106,$AH8),1),IF($AI8&gt;0,INDEX(CA$7:CA$106,$AI8),1),IF($AJ8&gt;0,INDEX(CA$7:CA$106,$AJ8),1))))</ns0:f>
        <ns0:v>1</ns0:v>
      </ns0:c>
      <ns0:c r="CC8" t="n">
        <ns0:f>IF($A8="",1,IF(CB8=1,1,--AND(IF($AC8&gt;0,INDEX(CB$7:CB$106,$AC8),1),IF($AD8&gt;0,INDEX(CB$7:CB$106,$AD8),1),IF($AE8&gt;0,INDEX(CB$7:CB$106,$AE8),1),IF($AF8&gt;0,INDEX(CB$7:CB$106,$AF8),1),IF($AG8&gt;0,INDEX(CB$7:CB$106,$AG8),1),IF($AH8&gt;0,INDEX(CB$7:CB$106,$AH8),1),IF($AI8&gt;0,INDEX(CB$7:CB$106,$AI8),1),IF($AJ8&gt;0,INDEX(CB$7:CB$106,$AJ8),1))))</ns0:f>
        <ns0:v>1</ns0:v>
      </ns0:c>
      <ns0:c r="CD8" t="n">
        <ns0:f>IF($A8="",1,IF(CC8=1,1,--AND(IF($AC8&gt;0,INDEX(CC$7:CC$106,$AC8),1),IF($AD8&gt;0,INDEX(CC$7:CC$106,$AD8),1),IF($AE8&gt;0,INDEX(CC$7:CC$106,$AE8),1),IF($AF8&gt;0,INDEX(CC$7:CC$106,$AF8),1),IF($AG8&gt;0,INDEX(CC$7:CC$106,$AG8),1),IF($AH8&gt;0,INDEX(CC$7:CC$106,$AH8),1),IF($AI8&gt;0,INDEX(CC$7:CC$106,$AI8),1),IF($AJ8&gt;0,INDEX(CC$7:CC$106,$AJ8),1))))</ns0:f>
        <ns0:v>1</ns0:v>
      </ns0:c>
      <ns0:c r="CE8" t="n">
        <ns0:f>IF($A8="",1,IF(CD8=1,1,--AND(IF($AC8&gt;0,INDEX(CD$7:CD$106,$AC8),1),IF($AD8&gt;0,INDEX(CD$7:CD$106,$AD8),1),IF($AE8&gt;0,INDEX(CD$7:CD$106,$AE8),1),IF($AF8&gt;0,INDEX(CD$7:CD$106,$AF8),1),IF($AG8&gt;0,INDEX(CD$7:CD$106,$AG8),1),IF($AH8&gt;0,INDEX(CD$7:CD$106,$AH8),1),IF($AI8&gt;0,INDEX(CD$7:CD$106,$AI8),1),IF($AJ8&gt;0,INDEX(CD$7:CD$106,$AJ8),1))))</ns0:f>
        <ns0:v>1</ns0:v>
      </ns0:c>
      <ns0:c r="CF8" t="n">
        <ns0:f>IF($A8="",1,IF(CE8=1,1,--AND(IF($AC8&gt;0,INDEX(CE$7:CE$106,$AC8),1),IF($AD8&gt;0,INDEX(CE$7:CE$106,$AD8),1),IF($AE8&gt;0,INDEX(CE$7:CE$106,$AE8),1),IF($AF8&gt;0,INDEX(CE$7:CE$106,$AF8),1),IF($AG8&gt;0,INDEX(CE$7:CE$106,$AG8),1),IF($AH8&gt;0,INDEX(CE$7:CE$106,$AH8),1),IF($AI8&gt;0,INDEX(CE$7:CE$106,$AI8),1),IF($AJ8&gt;0,INDEX(CE$7:CE$106,$AJ8),1))))</ns0:f>
        <ns0:v>1</ns0:v>
      </ns0:c>
      <ns0:c r="CG8" t="n">
        <ns0:f>IF($A8="",1,IF(CF8=1,1,--AND(IF($AC8&gt;0,INDEX(CF$7:CF$106,$AC8),1),IF($AD8&gt;0,INDEX(CF$7:CF$106,$AD8),1),IF($AE8&gt;0,INDEX(CF$7:CF$106,$AE8),1),IF($AF8&gt;0,INDEX(CF$7:CF$106,$AF8),1),IF($AG8&gt;0,INDEX(CF$7:CF$106,$AG8),1),IF($AH8&gt;0,INDEX(CF$7:CF$106,$AH8),1),IF($AI8&gt;0,INDEX(CF$7:CF$106,$AI8),1),IF($AJ8&gt;0,INDEX(CF$7:CF$106,$AJ8),1))))</ns0:f>
        <ns0:v>1</ns0:v>
      </ns0:c>
      <ns0:c r="CH8" t="n">
        <ns0:f>IF($A8="",1,IF(CG8=1,1,--AND(IF($AC8&gt;0,INDEX(CG$7:CG$106,$AC8),1),IF($AD8&gt;0,INDEX(CG$7:CG$106,$AD8),1),IF($AE8&gt;0,INDEX(CG$7:CG$106,$AE8),1),IF($AF8&gt;0,INDEX(CG$7:CG$106,$AF8),1),IF($AG8&gt;0,INDEX(CG$7:CG$106,$AG8),1),IF($AH8&gt;0,INDEX(CG$7:CG$106,$AH8),1),IF($AI8&gt;0,INDEX(CG$7:CG$106,$AI8),1),IF($AJ8&gt;0,INDEX(CG$7:CG$106,$AJ8),1))))</ns0:f>
        <ns0:v>1</ns0:v>
      </ns0:c>
      <ns0:c r="CI8" t="n">
        <ns0:f>IF($A8="",1,IF(CH8=1,1,--AND(IF($AC8&gt;0,INDEX(CH$7:CH$106,$AC8),1),IF($AD8&gt;0,INDEX(CH$7:CH$106,$AD8),1),IF($AE8&gt;0,INDEX(CH$7:CH$106,$AE8),1),IF($AF8&gt;0,INDEX(CH$7:CH$106,$AF8),1),IF($AG8&gt;0,INDEX(CH$7:CH$106,$AG8),1),IF($AH8&gt;0,INDEX(CH$7:CH$106,$AH8),1),IF($AI8&gt;0,INDEX(CH$7:CH$106,$AI8),1),IF($AJ8&gt;0,INDEX(CH$7:CH$106,$AJ8),1))))</ns0:f>
        <ns0:v>1</ns0:v>
      </ns0:c>
      <ns0:c r="CJ8" t="n">
        <ns0:f>IF($A8="",1,IF(CI8=1,1,--AND(IF($AC8&gt;0,INDEX(CI$7:CI$106,$AC8),1),IF($AD8&gt;0,INDEX(CI$7:CI$106,$AD8),1),IF($AE8&gt;0,INDEX(CI$7:CI$106,$AE8),1),IF($AF8&gt;0,INDEX(CI$7:CI$106,$AF8),1),IF($AG8&gt;0,INDEX(CI$7:CI$106,$AG8),1),IF($AH8&gt;0,INDEX(CI$7:CI$106,$AH8),1),IF($AI8&gt;0,INDEX(CI$7:CI$106,$AI8),1),IF($AJ8&gt;0,INDEX(CI$7:CI$106,$AJ8),1))))</ns0:f>
        <ns0:v>1</ns0:v>
      </ns0:c>
      <ns0:c r="CK8" t="n">
        <ns0:f>IF($A8="",1,IF(CJ8=1,1,--AND(IF($AC8&gt;0,INDEX(CJ$7:CJ$106,$AC8),1),IF($AD8&gt;0,INDEX(CJ$7:CJ$106,$AD8),1),IF($AE8&gt;0,INDEX(CJ$7:CJ$106,$AE8),1),IF($AF8&gt;0,INDEX(CJ$7:CJ$106,$AF8),1),IF($AG8&gt;0,INDEX(CJ$7:CJ$106,$AG8),1),IF($AH8&gt;0,INDEX(CJ$7:CJ$106,$AH8),1),IF($AI8&gt;0,INDEX(CJ$7:CJ$106,$AI8),1),IF($AJ8&gt;0,INDEX(CJ$7:CJ$106,$AJ8),1))))</ns0:f>
        <ns0:v>1</ns0:v>
      </ns0:c>
      <ns0:c r="CL8" t="n">
        <ns0:f>IF($A8="",1,IF(CK8=1,1,--AND(IF($AC8&gt;0,INDEX(CK$7:CK$106,$AC8),1),IF($AD8&gt;0,INDEX(CK$7:CK$106,$AD8),1),IF($AE8&gt;0,INDEX(CK$7:CK$106,$AE8),1),IF($AF8&gt;0,INDEX(CK$7:CK$106,$AF8),1),IF($AG8&gt;0,INDEX(CK$7:CK$106,$AG8),1),IF($AH8&gt;0,INDEX(CK$7:CK$106,$AH8),1),IF($AI8&gt;0,INDEX(CK$7:CK$106,$AI8),1),IF($AJ8&gt;0,INDEX(CK$7:CK$106,$AJ8),1))))</ns0:f>
        <ns0:v>1</ns0:v>
      </ns0:c>
      <ns0:c r="CM8" t="n">
        <ns0:f>IF($A8="",1,IF(CL8=1,1,--AND(IF($AC8&gt;0,INDEX(CL$7:CL$106,$AC8),1),IF($AD8&gt;0,INDEX(CL$7:CL$106,$AD8),1),IF($AE8&gt;0,INDEX(CL$7:CL$106,$AE8),1),IF($AF8&gt;0,INDEX(CL$7:CL$106,$AF8),1),IF($AG8&gt;0,INDEX(CL$7:CL$106,$AG8),1),IF($AH8&gt;0,INDEX(CL$7:CL$106,$AH8),1),IF($AI8&gt;0,INDEX(CL$7:CL$106,$AI8),1),IF($AJ8&gt;0,INDEX(CL$7:CL$106,$AJ8),1))))</ns0:f>
        <ns0:v>1</ns0:v>
      </ns0:c>
      <ns0:c r="CN8" t="n">
        <ns0:f>IF($A8="",1,IF(CM8=1,1,--AND(IF($AC8&gt;0,INDEX(CM$7:CM$106,$AC8),1),IF($AD8&gt;0,INDEX(CM$7:CM$106,$AD8),1),IF($AE8&gt;0,INDEX(CM$7:CM$106,$AE8),1),IF($AF8&gt;0,INDEX(CM$7:CM$106,$AF8),1),IF($AG8&gt;0,INDEX(CM$7:CM$106,$AG8),1),IF($AH8&gt;0,INDEX(CM$7:CM$106,$AH8),1),IF($AI8&gt;0,INDEX(CM$7:CM$106,$AI8),1),IF($AJ8&gt;0,INDEX(CM$7:CM$106,$AJ8),1))))</ns0:f>
        <ns0:v>1</ns0:v>
      </ns0:c>
      <ns0:c r="CO8" t="n">
        <ns0:f>IF($A8="",1,IF(CN8=1,1,--AND(IF($AC8&gt;0,INDEX(CN$7:CN$106,$AC8),1),IF($AD8&gt;0,INDEX(CN$7:CN$106,$AD8),1),IF($AE8&gt;0,INDEX(CN$7:CN$106,$AE8),1),IF($AF8&gt;0,INDEX(CN$7:CN$106,$AF8),1),IF($AG8&gt;0,INDEX(CN$7:CN$106,$AG8),1),IF($AH8&gt;0,INDEX(CN$7:CN$106,$AH8),1),IF($AI8&gt;0,INDEX(CN$7:CN$106,$AI8),1),IF($AJ8&gt;0,INDEX(CN$7:CN$106,$AJ8),1))))</ns0:f>
        <ns0:v>1</ns0:v>
      </ns0:c>
      <ns0:c r="CP8" t="n">
        <ns0:f>IF($A8="",1,IF(CO8=1,1,--AND(IF($AC8&gt;0,INDEX(CO$7:CO$106,$AC8),1),IF($AD8&gt;0,INDEX(CO$7:CO$106,$AD8),1),IF($AE8&gt;0,INDEX(CO$7:CO$106,$AE8),1),IF($AF8&gt;0,INDEX(CO$7:CO$106,$AF8),1),IF($AG8&gt;0,INDEX(CO$7:CO$106,$AG8),1),IF($AH8&gt;0,INDEX(CO$7:CO$106,$AH8),1),IF($AI8&gt;0,INDEX(CO$7:CO$106,$AI8),1),IF($AJ8&gt;0,INDEX(CO$7:CO$106,$AJ8),1))))</ns0:f>
        <ns0:v>1</ns0:v>
      </ns0:c>
      <ns0:c r="CQ8" t="n">
        <ns0:f>IF($A8="",1,IF(CP8=1,1,--AND(IF($AC8&gt;0,INDEX(CP$7:CP$106,$AC8),1),IF($AD8&gt;0,INDEX(CP$7:CP$106,$AD8),1),IF($AE8&gt;0,INDEX(CP$7:CP$106,$AE8),1),IF($AF8&gt;0,INDEX(CP$7:CP$106,$AF8),1),IF($AG8&gt;0,INDEX(CP$7:CP$106,$AG8),1),IF($AH8&gt;0,INDEX(CP$7:CP$106,$AH8),1),IF($AI8&gt;0,INDEX(CP$7:CP$106,$AI8),1),IF($AJ8&gt;0,INDEX(CP$7:CP$106,$AJ8),1))))</ns0:f>
        <ns0:v>1</ns0:v>
      </ns0:c>
      <ns0:c r="CR8" t="n">
        <ns0:f>IF($A8="",1,IF(CQ8=1,1,--AND(IF($AC8&gt;0,INDEX(CQ$7:CQ$106,$AC8),1),IF($AD8&gt;0,INDEX(CQ$7:CQ$106,$AD8),1),IF($AE8&gt;0,INDEX(CQ$7:CQ$106,$AE8),1),IF($AF8&gt;0,INDEX(CQ$7:CQ$106,$AF8),1),IF($AG8&gt;0,INDEX(CQ$7:CQ$106,$AG8),1),IF($AH8&gt;0,INDEX(CQ$7:CQ$106,$AH8),1),IF($AI8&gt;0,INDEX(CQ$7:CQ$106,$AI8),1),IF($AJ8&gt;0,INDEX(CQ$7:CQ$106,$AJ8),1))))</ns0:f>
        <ns0:v>1</ns0:v>
      </ns0:c>
      <ns0:c r="CS8" t="n">
        <ns0:f>IF($A8="",1,IF(CR8=1,1,--AND(IF($AC8&gt;0,INDEX(CR$7:CR$106,$AC8),1),IF($AD8&gt;0,INDEX(CR$7:CR$106,$AD8),1),IF($AE8&gt;0,INDEX(CR$7:CR$106,$AE8),1),IF($AF8&gt;0,INDEX(CR$7:CR$106,$AF8),1),IF($AG8&gt;0,INDEX(CR$7:CR$106,$AG8),1),IF($AH8&gt;0,INDEX(CR$7:CR$106,$AH8),1),IF($AI8&gt;0,INDEX(CR$7:CR$106,$AI8),1),IF($AJ8&gt;0,INDEX(CR$7:CR$106,$AJ8),1))))</ns0:f>
        <ns0:v>1</ns0:v>
      </ns0:c>
      <ns0:c r="CT8" t="n">
        <ns0:f>IF($A8="",1,IF(CS8=1,1,--AND(IF($AC8&gt;0,INDEX(CS$7:CS$106,$AC8),1),IF($AD8&gt;0,INDEX(CS$7:CS$106,$AD8),1),IF($AE8&gt;0,INDEX(CS$7:CS$106,$AE8),1),IF($AF8&gt;0,INDEX(CS$7:CS$106,$AF8),1),IF($AG8&gt;0,INDEX(CS$7:CS$106,$AG8),1),IF($AH8&gt;0,INDEX(CS$7:CS$106,$AH8),1),IF($AI8&gt;0,INDEX(CS$7:CS$106,$AI8),1),IF($AJ8&gt;0,INDEX(CS$7:CS$106,$AJ8),1))))</ns0:f>
        <ns0:v>1</ns0:v>
      </ns0:c>
      <ns0:c r="CU8" t="n">
        <ns0:f>IF($A8="",1,IF(CT8=1,1,--AND(IF($AC8&gt;0,INDEX(CT$7:CT$106,$AC8),1),IF($AD8&gt;0,INDEX(CT$7:CT$106,$AD8),1),IF($AE8&gt;0,INDEX(CT$7:CT$106,$AE8),1),IF($AF8&gt;0,INDEX(CT$7:CT$106,$AF8),1),IF($AG8&gt;0,INDEX(CT$7:CT$106,$AG8),1),IF($AH8&gt;0,INDEX(CT$7:CT$106,$AH8),1),IF($AI8&gt;0,INDEX(CT$7:CT$106,$AI8),1),IF($AJ8&gt;0,INDEX(CT$7:CT$106,$AJ8),1))))</ns0:f>
        <ns0:v>1</ns0:v>
      </ns0:c>
      <ns0:c r="CV8" t="n">
        <ns0:f>IF($A8="",1,IF(CU8=1,1,--AND(IF($AC8&gt;0,INDEX(CU$7:CU$106,$AC8),1),IF($AD8&gt;0,INDEX(CU$7:CU$106,$AD8),1),IF($AE8&gt;0,INDEX(CU$7:CU$106,$AE8),1),IF($AF8&gt;0,INDEX(CU$7:CU$106,$AF8),1),IF($AG8&gt;0,INDEX(CU$7:CU$106,$AG8),1),IF($AH8&gt;0,INDEX(CU$7:CU$106,$AH8),1),IF($AI8&gt;0,INDEX(CU$7:CU$106,$AI8),1),IF($AJ8&gt;0,INDEX(CU$7:CU$106,$AJ8),1))))</ns0:f>
        <ns0:v>1</ns0:v>
      </ns0:c>
      <ns0:c r="CW8" t="n">
        <ns0:f>IF($A8="",1,IF(CV8=1,1,--AND(IF($AC8&gt;0,INDEX(CV$7:CV$106,$AC8),1),IF($AD8&gt;0,INDEX(CV$7:CV$106,$AD8),1),IF($AE8&gt;0,INDEX(CV$7:CV$106,$AE8),1),IF($AF8&gt;0,INDEX(CV$7:CV$106,$AF8),1),IF($AG8&gt;0,INDEX(CV$7:CV$106,$AG8),1),IF($AH8&gt;0,INDEX(CV$7:CV$106,$AH8),1),IF($AI8&gt;0,INDEX(CV$7:CV$106,$AI8),1),IF($AJ8&gt;0,INDEX(CV$7:CV$106,$AJ8),1))))</ns0:f>
        <ns0:v>1</ns0:v>
      </ns0:c>
      <ns0:c r="CX8" t="n">
        <ns0:f>IF($A8="",1,IF(CW8=1,1,--AND(IF($AC8&gt;0,INDEX(CW$7:CW$106,$AC8),1),IF($AD8&gt;0,INDEX(CW$7:CW$106,$AD8),1),IF($AE8&gt;0,INDEX(CW$7:CW$106,$AE8),1),IF($AF8&gt;0,INDEX(CW$7:CW$106,$AF8),1),IF($AG8&gt;0,INDEX(CW$7:CW$106,$AG8),1),IF($AH8&gt;0,INDEX(CW$7:CW$106,$AH8),1),IF($AI8&gt;0,INDEX(CW$7:CW$106,$AI8),1),IF($AJ8&gt;0,INDEX(CW$7:CW$106,$AJ8),1))))</ns0:f>
        <ns0:v>1</ns0:v>
      </ns0:c>
      <ns0:c r="CY8" t="n">
        <ns0:f>IF($A8="",1,IF(CX8=1,1,--AND(IF($AC8&gt;0,INDEX(CX$7:CX$106,$AC8),1),IF($AD8&gt;0,INDEX(CX$7:CX$106,$AD8),1),IF($AE8&gt;0,INDEX(CX$7:CX$106,$AE8),1),IF($AF8&gt;0,INDEX(CX$7:CX$106,$AF8),1),IF($AG8&gt;0,INDEX(CX$7:CX$106,$AG8),1),IF($AH8&gt;0,INDEX(CX$7:CX$106,$AH8),1),IF($AI8&gt;0,INDEX(CX$7:CX$106,$AI8),1),IF($AJ8&gt;0,INDEX(CX$7:CX$106,$AJ8),1))))</ns0:f>
        <ns0:v>1</ns0:v>
      </ns0:c>
      <ns0:c r="CZ8" t="n">
        <ns0:f>IF($A8="",1,IF(CY8=1,1,--AND(IF($AC8&gt;0,INDEX(CY$7:CY$106,$AC8),1),IF($AD8&gt;0,INDEX(CY$7:CY$106,$AD8),1),IF($AE8&gt;0,INDEX(CY$7:CY$106,$AE8),1),IF($AF8&gt;0,INDEX(CY$7:CY$106,$AF8),1),IF($AG8&gt;0,INDEX(CY$7:CY$106,$AG8),1),IF($AH8&gt;0,INDEX(CY$7:CY$106,$AH8),1),IF($AI8&gt;0,INDEX(CY$7:CY$106,$AI8),1),IF($AJ8&gt;0,INDEX(CY$7:CY$106,$AJ8),1))))</ns0:f>
        <ns0:v>1</ns0:v>
      </ns0:c>
      <ns0:c r="DA8" t="n">
        <ns0:f>IF($A8="",1,IF(CZ8=1,1,--AND(IF($AC8&gt;0,INDEX(CZ$7:CZ$106,$AC8),1),IF($AD8&gt;0,INDEX(CZ$7:CZ$106,$AD8),1),IF($AE8&gt;0,INDEX(CZ$7:CZ$106,$AE8),1),IF($AF8&gt;0,INDEX(CZ$7:CZ$106,$AF8),1),IF($AG8&gt;0,INDEX(CZ$7:CZ$106,$AG8),1),IF($AH8&gt;0,INDEX(CZ$7:CZ$106,$AH8),1),IF($AI8&gt;0,INDEX(CZ$7:CZ$106,$AI8),1),IF($AJ8&gt;0,INDEX(CZ$7:CZ$106,$AJ8),1))))</ns0:f>
        <ns0:v>1</ns0:v>
      </ns0:c>
      <ns0:c r="DB8" t="n">
        <ns0:f>IF($A8="",1,IF(DA8=1,1,--AND(IF($AC8&gt;0,INDEX(DA$7:DA$106,$AC8),1),IF($AD8&gt;0,INDEX(DA$7:DA$106,$AD8),1),IF($AE8&gt;0,INDEX(DA$7:DA$106,$AE8),1),IF($AF8&gt;0,INDEX(DA$7:DA$106,$AF8),1),IF($AG8&gt;0,INDEX(DA$7:DA$106,$AG8),1),IF($AH8&gt;0,INDEX(DA$7:DA$106,$AH8),1),IF($AI8&gt;0,INDEX(DA$7:DA$106,$AI8),1),IF($AJ8&gt;0,INDEX(DA$7:DA$106,$AJ8),1))))</ns0:f>
        <ns0:v>1</ns0:v>
      </ns0:c>
      <ns0:c r="DC8" t="n">
        <ns0:f>IF($A8="",1,IF(DB8=1,1,--AND(IF($AC8&gt;0,INDEX(DB$7:DB$106,$AC8),1),IF($AD8&gt;0,INDEX(DB$7:DB$106,$AD8),1),IF($AE8&gt;0,INDEX(DB$7:DB$106,$AE8),1),IF($AF8&gt;0,INDEX(DB$7:DB$106,$AF8),1),IF($AG8&gt;0,INDEX(DB$7:DB$106,$AG8),1),IF($AH8&gt;0,INDEX(DB$7:DB$106,$AH8),1),IF($AI8&gt;0,INDEX(DB$7:DB$106,$AI8),1),IF($AJ8&gt;0,INDEX(DB$7:DB$106,$AJ8),1))))</ns0:f>
        <ns0:v>1</ns0:v>
      </ns0:c>
      <ns0:c r="DD8" t="n">
        <ns0:f>IF($A8="",1,IF(DC8=1,1,--AND(IF($AC8&gt;0,INDEX(DC$7:DC$106,$AC8),1),IF($AD8&gt;0,INDEX(DC$7:DC$106,$AD8),1),IF($AE8&gt;0,INDEX(DC$7:DC$106,$AE8),1),IF($AF8&gt;0,INDEX(DC$7:DC$106,$AF8),1),IF($AG8&gt;0,INDEX(DC$7:DC$106,$AG8),1),IF($AH8&gt;0,INDEX(DC$7:DC$106,$AH8),1),IF($AI8&gt;0,INDEX(DC$7:DC$106,$AI8),1),IF($AJ8&gt;0,INDEX(DC$7:DC$106,$AJ8),1))))</ns0:f>
        <ns0:v>1</ns0:v>
      </ns0:c>
      <ns0:c r="DE8" t="n">
        <ns0:f>IF($A8="",1,IF(DD8=1,1,--AND(IF($AC8&gt;0,INDEX(DD$7:DD$106,$AC8),1),IF($AD8&gt;0,INDEX(DD$7:DD$106,$AD8),1),IF($AE8&gt;0,INDEX(DD$7:DD$106,$AE8),1),IF($AF8&gt;0,INDEX(DD$7:DD$106,$AF8),1),IF($AG8&gt;0,INDEX(DD$7:DD$106,$AG8),1),IF($AH8&gt;0,INDEX(DD$7:DD$106,$AH8),1),IF($AI8&gt;0,INDEX(DD$7:DD$106,$AI8),1),IF($AJ8&gt;0,INDEX(DD$7:DD$106,$AJ8),1))))</ns0:f>
        <ns0:v>1</ns0:v>
      </ns0:c>
      <ns0:c r="DF8" t="n">
        <ns0:f>IF($A8="",1,IF(DE8=1,1,--AND(IF($AC8&gt;0,INDEX(DE$7:DE$106,$AC8),1),IF($AD8&gt;0,INDEX(DE$7:DE$106,$AD8),1),IF($AE8&gt;0,INDEX(DE$7:DE$106,$AE8),1),IF($AF8&gt;0,INDEX(DE$7:DE$106,$AF8),1),IF($AG8&gt;0,INDEX(DE$7:DE$106,$AG8),1),IF($AH8&gt;0,INDEX(DE$7:DE$106,$AH8),1),IF($AI8&gt;0,INDEX(DE$7:DE$106,$AI8),1),IF($AJ8&gt;0,INDEX(DE$7:DE$106,$AJ8),1))))</ns0:f>
        <ns0:v>1</ns0:v>
      </ns0:c>
      <ns0:c r="DG8" t="n">
        <ns0:f>IF($A8="",1,IF(DF8=1,1,--AND(IF($AC8&gt;0,INDEX(DF$7:DF$106,$AC8),1),IF($AD8&gt;0,INDEX(DF$7:DF$106,$AD8),1),IF($AE8&gt;0,INDEX(DF$7:DF$106,$AE8),1),IF($AF8&gt;0,INDEX(DF$7:DF$106,$AF8),1),IF($AG8&gt;0,INDEX(DF$7:DF$106,$AG8),1),IF($AH8&gt;0,INDEX(DF$7:DF$106,$AH8),1),IF($AI8&gt;0,INDEX(DF$7:DF$106,$AI8),1),IF($AJ8&gt;0,INDEX(DF$7:DF$106,$AJ8),1))))</ns0:f>
        <ns0:v>1</ns0:v>
      </ns0:c>
      <ns0:c r="DH8" t="n">
        <ns0:f>IF($A8="",1,IF(DG8=1,1,--AND(IF($AC8&gt;0,INDEX(DG$7:DG$106,$AC8),1),IF($AD8&gt;0,INDEX(DG$7:DG$106,$AD8),1),IF($AE8&gt;0,INDEX(DG$7:DG$106,$AE8),1),IF($AF8&gt;0,INDEX(DG$7:DG$106,$AF8),1),IF($AG8&gt;0,INDEX(DG$7:DG$106,$AG8),1),IF($AH8&gt;0,INDEX(DG$7:DG$106,$AH8),1),IF($AI8&gt;0,INDEX(DG$7:DG$106,$AI8),1),IF($AJ8&gt;0,INDEX(DG$7:DG$106,$AJ8),1))))</ns0:f>
        <ns0:v>1</ns0:v>
      </ns0:c>
      <ns0:c r="DI8" t="n">
        <ns0:f>IF($A8="",1,IF(DH8=1,1,--AND(IF($AC8&gt;0,INDEX(DH$7:DH$106,$AC8),1),IF($AD8&gt;0,INDEX(DH$7:DH$106,$AD8),1),IF($AE8&gt;0,INDEX(DH$7:DH$106,$AE8),1),IF($AF8&gt;0,INDEX(DH$7:DH$106,$AF8),1),IF($AG8&gt;0,INDEX(DH$7:DH$106,$AG8),1),IF($AH8&gt;0,INDEX(DH$7:DH$106,$AH8),1),IF($AI8&gt;0,INDEX(DH$7:DH$106,$AI8),1),IF($AJ8&gt;0,INDEX(DH$7:DH$106,$AJ8),1))))</ns0:f>
        <ns0:v>1</ns0:v>
      </ns0:c>
      <ns0:c r="DJ8" t="n">
        <ns0:f>IF($A8="",1,IF(DI8=1,1,--AND(IF($AC8&gt;0,INDEX(DI$7:DI$106,$AC8),1),IF($AD8&gt;0,INDEX(DI$7:DI$106,$AD8),1),IF($AE8&gt;0,INDEX(DI$7:DI$106,$AE8),1),IF($AF8&gt;0,INDEX(DI$7:DI$106,$AF8),1),IF($AG8&gt;0,INDEX(DI$7:DI$106,$AG8),1),IF($AH8&gt;0,INDEX(DI$7:DI$106,$AH8),1),IF($AI8&gt;0,INDEX(DI$7:DI$106,$AI8),1),IF($AJ8&gt;0,INDEX(DI$7:DI$106,$AJ8),1))))</ns0:f>
        <ns0:v>1</ns0:v>
      </ns0:c>
      <ns0:c r="DK8" t="n">
        <ns0:f>IF($A8="",1,IF(DJ8=1,1,--AND(IF($AC8&gt;0,INDEX(DJ$7:DJ$106,$AC8),1),IF($AD8&gt;0,INDEX(DJ$7:DJ$106,$AD8),1),IF($AE8&gt;0,INDEX(DJ$7:DJ$106,$AE8),1),IF($AF8&gt;0,INDEX(DJ$7:DJ$106,$AF8),1),IF($AG8&gt;0,INDEX(DJ$7:DJ$106,$AG8),1),IF($AH8&gt;0,INDEX(DJ$7:DJ$106,$AH8),1),IF($AI8&gt;0,INDEX(DJ$7:DJ$106,$AI8),1),IF($AJ8&gt;0,INDEX(DJ$7:DJ$106,$AJ8),1))))</ns0:f>
        <ns0:v>1</ns0:v>
      </ns0:c>
      <ns0:c r="DL8" t="n">
        <ns0:f>IF($A8="",1,IF(DK8=1,1,--AND(IF($AC8&gt;0,INDEX(DK$7:DK$106,$AC8),1),IF($AD8&gt;0,INDEX(DK$7:DK$106,$AD8),1),IF($AE8&gt;0,INDEX(DK$7:DK$106,$AE8),1),IF($AF8&gt;0,INDEX(DK$7:DK$106,$AF8),1),IF($AG8&gt;0,INDEX(DK$7:DK$106,$AG8),1),IF($AH8&gt;0,INDEX(DK$7:DK$106,$AH8),1),IF($AI8&gt;0,INDEX(DK$7:DK$106,$AI8),1),IF($AJ8&gt;0,INDEX(DK$7:DK$106,$AJ8),1))))</ns0:f>
        <ns0:v>1</ns0:v>
      </ns0:c>
      <ns0:c r="DM8" t="n">
        <ns0:f>IF($A8="",1,IF(DL8=1,1,--AND(IF($AC8&gt;0,INDEX(DL$7:DL$106,$AC8),1),IF($AD8&gt;0,INDEX(DL$7:DL$106,$AD8),1),IF($AE8&gt;0,INDEX(DL$7:DL$106,$AE8),1),IF($AF8&gt;0,INDEX(DL$7:DL$106,$AF8),1),IF($AG8&gt;0,INDEX(DL$7:DL$106,$AG8),1),IF($AH8&gt;0,INDEX(DL$7:DL$106,$AH8),1),IF($AI8&gt;0,INDEX(DL$7:DL$106,$AI8),1),IF($AJ8&gt;0,INDEX(DL$7:DL$106,$AJ8),1))))</ns0:f>
        <ns0:v>1</ns0:v>
      </ns0:c>
      <ns0:c r="DN8" t="n">
        <ns0:f>IF($A8="",1,IF(DM8=1,1,--AND(IF($AC8&gt;0,INDEX(DM$7:DM$106,$AC8),1),IF($AD8&gt;0,INDEX(DM$7:DM$106,$AD8),1),IF($AE8&gt;0,INDEX(DM$7:DM$106,$AE8),1),IF($AF8&gt;0,INDEX(DM$7:DM$106,$AF8),1),IF($AG8&gt;0,INDEX(DM$7:DM$106,$AG8),1),IF($AH8&gt;0,INDEX(DM$7:DM$106,$AH8),1),IF($AI8&gt;0,INDEX(DM$7:DM$106,$AI8),1),IF($AJ8&gt;0,INDEX(DM$7:DM$106,$AJ8),1))))</ns0:f>
        <ns0:v>1</ns0:v>
      </ns0:c>
      <ns0:c r="DO8" t="n">
        <ns0:f>IF($A8="",1,IF(DN8=1,1,--AND(IF($AC8&gt;0,INDEX(DN$7:DN$106,$AC8),1),IF($AD8&gt;0,INDEX(DN$7:DN$106,$AD8),1),IF($AE8&gt;0,INDEX(DN$7:DN$106,$AE8),1),IF($AF8&gt;0,INDEX(DN$7:DN$106,$AF8),1),IF($AG8&gt;0,INDEX(DN$7:DN$106,$AG8),1),IF($AH8&gt;0,INDEX(DN$7:DN$106,$AH8),1),IF($AI8&gt;0,INDEX(DN$7:DN$106,$AI8),1),IF($AJ8&gt;0,INDEX(DN$7:DN$106,$AJ8),1))))</ns0:f>
        <ns0:v>1</ns0:v>
      </ns0:c>
      <ns0:c r="DP8" t="n">
        <ns0:f>IF($A8="",1,IF(DO8=1,1,--AND(IF($AC8&gt;0,INDEX(DO$7:DO$106,$AC8),1),IF($AD8&gt;0,INDEX(DO$7:DO$106,$AD8),1),IF($AE8&gt;0,INDEX(DO$7:DO$106,$AE8),1),IF($AF8&gt;0,INDEX(DO$7:DO$106,$AF8),1),IF($AG8&gt;0,INDEX(DO$7:DO$106,$AG8),1),IF($AH8&gt;0,INDEX(DO$7:DO$106,$AH8),1),IF($AI8&gt;0,INDEX(DO$7:DO$106,$AI8),1),IF($AJ8&gt;0,INDEX(DO$7:DO$106,$AJ8),1))))</ns0:f>
        <ns0:v>1</ns0:v>
      </ns0:c>
      <ns0:c r="DQ8" t="n">
        <ns0:f>IF($A8="",1,IF(DP8=1,1,--AND(IF($AC8&gt;0,INDEX(DP$7:DP$106,$AC8),1),IF($AD8&gt;0,INDEX(DP$7:DP$106,$AD8),1),IF($AE8&gt;0,INDEX(DP$7:DP$106,$AE8),1),IF($AF8&gt;0,INDEX(DP$7:DP$106,$AF8),1),IF($AG8&gt;0,INDEX(DP$7:DP$106,$AG8),1),IF($AH8&gt;0,INDEX(DP$7:DP$106,$AH8),1),IF($AI8&gt;0,INDEX(DP$7:DP$106,$AI8),1),IF($AJ8&gt;0,INDEX(DP$7:DP$106,$AJ8),1))))</ns0:f>
        <ns0:v>1</ns0:v>
      </ns0:c>
      <ns0:c r="DR8" t="n">
        <ns0:f>IF($A8="",1,IF(DQ8=1,1,--AND(IF($AC8&gt;0,INDEX(DQ$7:DQ$106,$AC8),1),IF($AD8&gt;0,INDEX(DQ$7:DQ$106,$AD8),1),IF($AE8&gt;0,INDEX(DQ$7:DQ$106,$AE8),1),IF($AF8&gt;0,INDEX(DQ$7:DQ$106,$AF8),1),IF($AG8&gt;0,INDEX(DQ$7:DQ$106,$AG8),1),IF($AH8&gt;0,INDEX(DQ$7:DQ$106,$AH8),1),IF($AI8&gt;0,INDEX(DQ$7:DQ$106,$AI8),1),IF($AJ8&gt;0,INDEX(DQ$7:DQ$106,$AJ8),1))))</ns0:f>
        <ns0:v>1</ns0:v>
      </ns0:c>
      <ns0:c r="DS8" t="n">
        <ns0:f>IF($A8="",1,IF(DR8=1,1,--AND(IF($AC8&gt;0,INDEX(DR$7:DR$106,$AC8),1),IF($AD8&gt;0,INDEX(DR$7:DR$106,$AD8),1),IF($AE8&gt;0,INDEX(DR$7:DR$106,$AE8),1),IF($AF8&gt;0,INDEX(DR$7:DR$106,$AF8),1),IF($AG8&gt;0,INDEX(DR$7:DR$106,$AG8),1),IF($AH8&gt;0,INDEX(DR$7:DR$106,$AH8),1),IF($AI8&gt;0,INDEX(DR$7:DR$106,$AI8),1),IF($AJ8&gt;0,INDEX(DR$7:DR$106,$AJ8),1))))</ns0:f>
        <ns0:v>1</ns0:v>
      </ns0:c>
      <ns0:c r="DT8" t="n">
        <ns0:f>IF($A8="",1,IF(DS8=1,1,--AND(IF($AC8&gt;0,INDEX(DS$7:DS$106,$AC8),1),IF($AD8&gt;0,INDEX(DS$7:DS$106,$AD8),1),IF($AE8&gt;0,INDEX(DS$7:DS$106,$AE8),1),IF($AF8&gt;0,INDEX(DS$7:DS$106,$AF8),1),IF($AG8&gt;0,INDEX(DS$7:DS$106,$AG8),1),IF($AH8&gt;0,INDEX(DS$7:DS$106,$AH8),1),IF($AI8&gt;0,INDEX(DS$7:DS$106,$AI8),1),IF($AJ8&gt;0,INDEX(DS$7:DS$106,$AJ8),1))))</ns0:f>
        <ns0:v>1</ns0:v>
      </ns0:c>
      <ns0:c r="DU8" t="n">
        <ns0:f>IF($A8="",1,IF(DT8=1,1,--AND(IF($AC8&gt;0,INDEX(DT$7:DT$106,$AC8),1),IF($AD8&gt;0,INDEX(DT$7:DT$106,$AD8),1),IF($AE8&gt;0,INDEX(DT$7:DT$106,$AE8),1),IF($AF8&gt;0,INDEX(DT$7:DT$106,$AF8),1),IF($AG8&gt;0,INDEX(DT$7:DT$106,$AG8),1),IF($AH8&gt;0,INDEX(DT$7:DT$106,$AH8),1),IF($AI8&gt;0,INDEX(DT$7:DT$106,$AI8),1),IF($AJ8&gt;0,INDEX(DT$7:DT$106,$AJ8),1))))</ns0:f>
        <ns0:v>1</ns0:v>
      </ns0:c>
      <ns0:c r="DV8" t="n">
        <ns0:f>IF($A8="",1,IF(DU8=1,1,--AND(IF($AC8&gt;0,INDEX(DU$7:DU$106,$AC8),1),IF($AD8&gt;0,INDEX(DU$7:DU$106,$AD8),1),IF($AE8&gt;0,INDEX(DU$7:DU$106,$AE8),1),IF($AF8&gt;0,INDEX(DU$7:DU$106,$AF8),1),IF($AG8&gt;0,INDEX(DU$7:DU$106,$AG8),1),IF($AH8&gt;0,INDEX(DU$7:DU$106,$AH8),1),IF($AI8&gt;0,INDEX(DU$7:DU$106,$AI8),1),IF($AJ8&gt;0,INDEX(DU$7:DU$106,$AJ8),1))))</ns0:f>
        <ns0:v>1</ns0:v>
      </ns0:c>
      <ns0:c r="DW8" t="n">
        <ns0:f>IF($A8="",1,IF(DV8=1,1,--AND(IF($AC8&gt;0,INDEX(DV$7:DV$106,$AC8),1),IF($AD8&gt;0,INDEX(DV$7:DV$106,$AD8),1),IF($AE8&gt;0,INDEX(DV$7:DV$106,$AE8),1),IF($AF8&gt;0,INDEX(DV$7:DV$106,$AF8),1),IF($AG8&gt;0,INDEX(DV$7:DV$106,$AG8),1),IF($AH8&gt;0,INDEX(DV$7:DV$106,$AH8),1),IF($AI8&gt;0,INDEX(DV$7:DV$106,$AI8),1),IF($AJ8&gt;0,INDEX(DV$7:DV$106,$AJ8),1))))</ns0:f>
        <ns0:v>1</ns0:v>
      </ns0:c>
      <ns0:c r="DX8" t="n">
        <ns0:f>IF($A8="",1,IF(DW8=1,1,--AND(IF($AC8&gt;0,INDEX(DW$7:DW$106,$AC8),1),IF($AD8&gt;0,INDEX(DW$7:DW$106,$AD8),1),IF($AE8&gt;0,INDEX(DW$7:DW$106,$AE8),1),IF($AF8&gt;0,INDEX(DW$7:DW$106,$AF8),1),IF($AG8&gt;0,INDEX(DW$7:DW$106,$AG8),1),IF($AH8&gt;0,INDEX(DW$7:DW$106,$AH8),1),IF($AI8&gt;0,INDEX(DW$7:DW$106,$AI8),1),IF($AJ8&gt;0,INDEX(DW$7:DW$106,$AJ8),1))))</ns0:f>
        <ns0:v>1</ns0:v>
      </ns0:c>
      <ns0:c r="DY8" t="n">
        <ns0:f>IF($A8="",1,IF(DX8=1,1,--AND(IF($AC8&gt;0,INDEX(DX$7:DX$106,$AC8),1),IF($AD8&gt;0,INDEX(DX$7:DX$106,$AD8),1),IF($AE8&gt;0,INDEX(DX$7:DX$106,$AE8),1),IF($AF8&gt;0,INDEX(DX$7:DX$106,$AF8),1),IF($AG8&gt;0,INDEX(DX$7:DX$106,$AG8),1),IF($AH8&gt;0,INDEX(DX$7:DX$106,$AH8),1),IF($AI8&gt;0,INDEX(DX$7:DX$106,$AI8),1),IF($AJ8&gt;0,INDEX(DX$7:DX$106,$AJ8),1))))</ns0:f>
        <ns0:v>1</ns0:v>
      </ns0:c>
      <ns0:c r="DZ8" t="n">
        <ns0:f>IF($A8="",1,IF(DY8=1,1,--AND(IF($AC8&gt;0,INDEX(DY$7:DY$106,$AC8),1),IF($AD8&gt;0,INDEX(DY$7:DY$106,$AD8),1),IF($AE8&gt;0,INDEX(DY$7:DY$106,$AE8),1),IF($AF8&gt;0,INDEX(DY$7:DY$106,$AF8),1),IF($AG8&gt;0,INDEX(DY$7:DY$106,$AG8),1),IF($AH8&gt;0,INDEX(DY$7:DY$106,$AH8),1),IF($AI8&gt;0,INDEX(DY$7:DY$106,$AI8),1),IF($AJ8&gt;0,INDEX(DY$7:DY$106,$AJ8),1))))</ns0:f>
        <ns0:v>1</ns0:v>
      </ns0:c>
      <ns0:c r="EA8" t="n">
        <ns0:f>IF($A8="",1,IF(DZ8=1,1,--AND(IF($AC8&gt;0,INDEX(DZ$7:DZ$106,$AC8),1),IF($AD8&gt;0,INDEX(DZ$7:DZ$106,$AD8),1),IF($AE8&gt;0,INDEX(DZ$7:DZ$106,$AE8),1),IF($AF8&gt;0,INDEX(DZ$7:DZ$106,$AF8),1),IF($AG8&gt;0,INDEX(DZ$7:DZ$106,$AG8),1),IF($AH8&gt;0,INDEX(DZ$7:DZ$106,$AH8),1),IF($AI8&gt;0,INDEX(DZ$7:DZ$106,$AI8),1),IF($AJ8&gt;0,INDEX(DZ$7:DZ$106,$AJ8),1))))</ns0:f>
        <ns0:v>1</ns0:v>
      </ns0:c>
      <ns0:c r="EB8" t="n">
        <ns0:f>IF($A8="",1,IF(EA8=1,1,--AND(IF($AC8&gt;0,INDEX(EA$7:EA$106,$AC8),1),IF($AD8&gt;0,INDEX(EA$7:EA$106,$AD8),1),IF($AE8&gt;0,INDEX(EA$7:EA$106,$AE8),1),IF($AF8&gt;0,INDEX(EA$7:EA$106,$AF8),1),IF($AG8&gt;0,INDEX(EA$7:EA$106,$AG8),1),IF($AH8&gt;0,INDEX(EA$7:EA$106,$AH8),1),IF($AI8&gt;0,INDEX(EA$7:EA$106,$AI8),1),IF($AJ8&gt;0,INDEX(EA$7:EA$106,$AJ8),1))))</ns0:f>
        <ns0:v>1</ns0:v>
      </ns0:c>
      <ns0:c r="EC8" t="n">
        <ns0:f>IF($A8="",1,IF(EB8=1,1,--AND(IF($AC8&gt;0,INDEX(EB$7:EB$106,$AC8),1),IF($AD8&gt;0,INDEX(EB$7:EB$106,$AD8),1),IF($AE8&gt;0,INDEX(EB$7:EB$106,$AE8),1),IF($AF8&gt;0,INDEX(EB$7:EB$106,$AF8),1),IF($AG8&gt;0,INDEX(EB$7:EB$106,$AG8),1),IF($AH8&gt;0,INDEX(EB$7:EB$106,$AH8),1),IF($AI8&gt;0,INDEX(EB$7:EB$106,$AI8),1),IF($AJ8&gt;0,INDEX(EB$7:EB$106,$AJ8),1))))</ns0:f>
        <ns0:v>1</ns0:v>
      </ns0:c>
      <ns0:c r="ED8" t="n">
        <ns0:f>IF($A8="",1,IF(EC8=1,1,--AND(IF($AC8&gt;0,INDEX(EC$7:EC$106,$AC8),1),IF($AD8&gt;0,INDEX(EC$7:EC$106,$AD8),1),IF($AE8&gt;0,INDEX(EC$7:EC$106,$AE8),1),IF($AF8&gt;0,INDEX(EC$7:EC$106,$AF8),1),IF($AG8&gt;0,INDEX(EC$7:EC$106,$AG8),1),IF($AH8&gt;0,INDEX(EC$7:EC$106,$AH8),1),IF($AI8&gt;0,INDEX(EC$7:EC$106,$AI8),1),IF($AJ8&gt;0,INDEX(EC$7:EC$106,$AJ8),1))))</ns0:f>
        <ns0:v>1</ns0:v>
      </ns0:c>
      <ns0:c r="EE8" t="n">
        <ns0:f>IF($A8="",1,IF(ED8=1,1,--AND(IF($AC8&gt;0,INDEX(ED$7:ED$106,$AC8),1),IF($AD8&gt;0,INDEX(ED$7:ED$106,$AD8),1),IF($AE8&gt;0,INDEX(ED$7:ED$106,$AE8),1),IF($AF8&gt;0,INDEX(ED$7:ED$106,$AF8),1),IF($AG8&gt;0,INDEX(ED$7:ED$106,$AG8),1),IF($AH8&gt;0,INDEX(ED$7:ED$106,$AH8),1),IF($AI8&gt;0,INDEX(ED$7:ED$106,$AI8),1),IF($AJ8&gt;0,INDEX(ED$7:ED$106,$AJ8),1))))</ns0:f>
        <ns0:v>1</ns0:v>
      </ns0:c>
      <ns0:c r="EF8" t="n">
        <ns0:f>IF($A8="",1,IF(EE8=1,1,--AND(IF($AC8&gt;0,INDEX(EE$7:EE$106,$AC8),1),IF($AD8&gt;0,INDEX(EE$7:EE$106,$AD8),1),IF($AE8&gt;0,INDEX(EE$7:EE$106,$AE8),1),IF($AF8&gt;0,INDEX(EE$7:EE$106,$AF8),1),IF($AG8&gt;0,INDEX(EE$7:EE$106,$AG8),1),IF($AH8&gt;0,INDEX(EE$7:EE$106,$AH8),1),IF($AI8&gt;0,INDEX(EE$7:EE$106,$AI8),1),IF($AJ8&gt;0,INDEX(EE$7:EE$106,$AJ8),1))))</ns0:f>
        <ns0:v>1</ns0:v>
      </ns0:c>
      <ns0:c r="EG8" t="n">
        <ns0:f>IF($A8="",1,IF(EF8=1,1,--AND(IF($AC8&gt;0,INDEX(EF$7:EF$106,$AC8),1),IF($AD8&gt;0,INDEX(EF$7:EF$106,$AD8),1),IF($AE8&gt;0,INDEX(EF$7:EF$106,$AE8),1),IF($AF8&gt;0,INDEX(EF$7:EF$106,$AF8),1),IF($AG8&gt;0,INDEX(EF$7:EF$106,$AG8),1),IF($AH8&gt;0,INDEX(EF$7:EF$106,$AH8),1),IF($AI8&gt;0,INDEX(EF$7:EF$106,$AI8),1),IF($AJ8&gt;0,INDEX(EF$7:EF$106,$AJ8),1))))</ns0:f>
        <ns0:v>1</ns0:v>
      </ns0:c>
      <ns0:c r="EH8" t="n">
        <ns0:f>IF($A8="",1,IF(EG8=1,1,--AND(IF($AC8&gt;0,INDEX(EG$7:EG$106,$AC8),1),IF($AD8&gt;0,INDEX(EG$7:EG$106,$AD8),1),IF($AE8&gt;0,INDEX(EG$7:EG$106,$AE8),1),IF($AF8&gt;0,INDEX(EG$7:EG$106,$AF8),1),IF($AG8&gt;0,INDEX(EG$7:EG$106,$AG8),1),IF($AH8&gt;0,INDEX(EG$7:EG$106,$AH8),1),IF($AI8&gt;0,INDEX(EG$7:EG$106,$AI8),1),IF($AJ8&gt;0,INDEX(EG$7:EG$106,$AJ8),1))))</ns0:f>
        <ns0:v>1</ns0:v>
      </ns0:c>
      <ns0:c r="EI8" t="n">
        <ns0:f>IF($A8="",1,IF(EH8=1,1,--AND(IF($AC8&gt;0,INDEX(EH$7:EH$106,$AC8),1),IF($AD8&gt;0,INDEX(EH$7:EH$106,$AD8),1),IF($AE8&gt;0,INDEX(EH$7:EH$106,$AE8),1),IF($AF8&gt;0,INDEX(EH$7:EH$106,$AF8),1),IF($AG8&gt;0,INDEX(EH$7:EH$106,$AG8),1),IF($AH8&gt;0,INDEX(EH$7:EH$106,$AH8),1),IF($AI8&gt;0,INDEX(EH$7:EH$106,$AI8),1),IF($AJ8&gt;0,INDEX(EH$7:EH$106,$AJ8),1))))</ns0:f>
        <ns0:v>1</ns0:v>
      </ns0:c>
      <ns0:c r="EJ8" t="n">
        <ns0:f>IF($A8="",1,IF(EI8=1,1,--AND(IF($AC8&gt;0,INDEX(EI$7:EI$106,$AC8),1),IF($AD8&gt;0,INDEX(EI$7:EI$106,$AD8),1),IF($AE8&gt;0,INDEX(EI$7:EI$106,$AE8),1),IF($AF8&gt;0,INDEX(EI$7:EI$106,$AF8),1),IF($AG8&gt;0,INDEX(EI$7:EI$106,$AG8),1),IF($AH8&gt;0,INDEX(EI$7:EI$106,$AH8),1),IF($AI8&gt;0,INDEX(EI$7:EI$106,$AI8),1),IF($AJ8&gt;0,INDEX(EI$7:EI$106,$AJ8),1))))</ns0:f>
        <ns0:v>1</ns0:v>
      </ns0:c>
      <ns0:c r="EK8" t="n">
        <ns0:f>IF($A8="",1,IF(EJ8=1,1,--AND(IF($AC8&gt;0,INDEX(EJ$7:EJ$106,$AC8),1),IF($AD8&gt;0,INDEX(EJ$7:EJ$106,$AD8),1),IF($AE8&gt;0,INDEX(EJ$7:EJ$106,$AE8),1),IF($AF8&gt;0,INDEX(EJ$7:EJ$106,$AF8),1),IF($AG8&gt;0,INDEX(EJ$7:EJ$106,$AG8),1),IF($AH8&gt;0,INDEX(EJ$7:EJ$106,$AH8),1),IF($AI8&gt;0,INDEX(EJ$7:EJ$106,$AI8),1),IF($AJ8&gt;0,INDEX(EJ$7:EJ$106,$AJ8),1))))</ns0:f>
        <ns0:v>1</ns0:v>
      </ns0:c>
      <ns0:c r="EL8" t="n">
        <ns0:f>IF($A8="",1,IF(EK8=1,1,--AND(IF($AC8&gt;0,INDEX(EK$7:EK$106,$AC8),1),IF($AD8&gt;0,INDEX(EK$7:EK$106,$AD8),1),IF($AE8&gt;0,INDEX(EK$7:EK$106,$AE8),1),IF($AF8&gt;0,INDEX(EK$7:EK$106,$AF8),1),IF($AG8&gt;0,INDEX(EK$7:EK$106,$AG8),1),IF($AH8&gt;0,INDEX(EK$7:EK$106,$AH8),1),IF($AI8&gt;0,INDEX(EK$7:EK$106,$AI8),1),IF($AJ8&gt;0,INDEX(EK$7:EK$106,$AJ8),1))))</ns0:f>
        <ns0:v>1</ns0:v>
      </ns0:c>
      <ns0:c r="EM8" t="n">
        <ns0:f>IF($A8="",1,IF(EL8=1,1,--AND(IF($AC8&gt;0,INDEX(EL$7:EL$106,$AC8),1),IF($AD8&gt;0,INDEX(EL$7:EL$106,$AD8),1),IF($AE8&gt;0,INDEX(EL$7:EL$106,$AE8),1),IF($AF8&gt;0,INDEX(EL$7:EL$106,$AF8),1),IF($AG8&gt;0,INDEX(EL$7:EL$106,$AG8),1),IF($AH8&gt;0,INDEX(EL$7:EL$106,$AH8),1),IF($AI8&gt;0,INDEX(EL$7:EL$106,$AI8),1),IF($AJ8&gt;0,INDEX(EL$7:EL$106,$AJ8),1))))</ns0:f>
        <ns0:v>1</ns0:v>
      </ns0:c>
      <ns0:c r="EN8" t="n">
        <ns0:f>IF($A8="",1,IF(EM8=1,1,--AND(IF($AC8&gt;0,INDEX(EM$7:EM$106,$AC8),1),IF($AD8&gt;0,INDEX(EM$7:EM$106,$AD8),1),IF($AE8&gt;0,INDEX(EM$7:EM$106,$AE8),1),IF($AF8&gt;0,INDEX(EM$7:EM$106,$AF8),1),IF($AG8&gt;0,INDEX(EM$7:EM$106,$AG8),1),IF($AH8&gt;0,INDEX(EM$7:EM$106,$AH8),1),IF($AI8&gt;0,INDEX(EM$7:EM$106,$AI8),1),IF($AJ8&gt;0,INDEX(EM$7:EM$106,$AJ8),1))))</ns0:f>
        <ns0:v>1</ns0:v>
      </ns0:c>
      <ns0:c r="EO8" t="n">
        <ns0:f>IF($A8="",1,IF(EN8=1,1,--AND(IF($AC8&gt;0,INDEX(EN$7:EN$106,$AC8),1),IF($AD8&gt;0,INDEX(EN$7:EN$106,$AD8),1),IF($AE8&gt;0,INDEX(EN$7:EN$106,$AE8),1),IF($AF8&gt;0,INDEX(EN$7:EN$106,$AF8),1),IF($AG8&gt;0,INDEX(EN$7:EN$106,$AG8),1),IF($AH8&gt;0,INDEX(EN$7:EN$106,$AH8),1),IF($AI8&gt;0,INDEX(EN$7:EN$106,$AI8),1),IF($AJ8&gt;0,INDEX(EN$7:EN$106,$AJ8),1))))</ns0:f>
        <ns0:v>1</ns0:v>
      </ns0:c>
      <ns0:c r="EP8" t="n">
        <ns0:f>IF($A8="",1,IF(EO8=1,1,--AND(IF($AC8&gt;0,INDEX(EO$7:EO$106,$AC8),1),IF($AD8&gt;0,INDEX(EO$7:EO$106,$AD8),1),IF($AE8&gt;0,INDEX(EO$7:EO$106,$AE8),1),IF($AF8&gt;0,INDEX(EO$7:EO$106,$AF8),1),IF($AG8&gt;0,INDEX(EO$7:EO$106,$AG8),1),IF($AH8&gt;0,INDEX(EO$7:EO$106,$AH8),1),IF($AI8&gt;0,INDEX(EO$7:EO$106,$AI8),1),IF($AJ8&gt;0,INDEX(EO$7:EO$106,$AJ8),1))))</ns0:f>
        <ns0:v>1</ns0:v>
      </ns0:c>
      <ns0:c r="EQ8" t="n">
        <ns0:f>IF(OR(A8="",NOT(ISNUMBER(G8))),0,G8*N8)</ns0:f>
        <ns0:v>0</ns0:v>
      </ns0:c>
    </ns0:row>
    <ns0:row r="9" ht="62" customHeight="1">
      <ns0:c r="A9" s="48" t="str">
        <ns0:v>T03</ns0:v>
      </ns0:c>
      <ns0:c r="B9" s="48" t="str">
        <ns0:v>Governance &amp; state</ns0:v>
      </ns0:c>
      <ns0:c r="C9" s="48" t="str">
        <ns0:v>Establish Policy &amp; Authorization Boundary (PAB) evaluation rules</ns0:v>
      </ns0:c>
      <ns0:c r="D9" s="48" t="str">
        <ns0:v>Validate identity, delegated tokens, tenant scope and risk tier.</ns0:v>
      </ns0:c>
      <ns0:c r="E9" s="49" t="n">
        <ns0:v>46277</ns0:v>
      </ns0:c>
      <ns0:c r="F9" s="49" t="n">
        <ns0:v>46278</ns0:v>
      </ns0:c>
      <ns0:c r="G9" s="13" t="n">
        <ns0:f>IF(A9="","",IF(OR(NOT(ISNUMBER(E9)),NOT(ISNUMBER(F9)),F9&lt;E9),"",IF(J9="Yes",0,F9-E9+1)))</ns0:f>
        <ns0:v>2</ns0:v>
      </ns0:c>
      <ns0:c r="H9" s="48" t="str">
        <ns0:v>T01,T02</ns0:v>
      </ns0:c>
      <ns0:c r="I9" s="48" t="str">
        <ns0:v>FS</ns0:v>
      </ns0:c>
      <ns0:c r="J9" s="48" t="str">
        <ns0:v>No</ns0:v>
      </ns0:c>
      <ns0:c r="K9" s="48" t="str">
        <ns0:v>Policy &amp; Authorization Boundary (PAB)</ns0:v>
      </ns0:c>
      <ns0:c r="L9" s="48" t="str"/>
      <ns0:c r="M9" s="50" t="str">
        <ns0:f>IF(A9="","",IF(N9=1,"Completed",IF(N9&gt;0,"In Progress","Not Started")))</ns0:f>
        <ns0:v>Not Started</ns0:v>
      </ns0:c>
      <ns0:c r="N9" s="51" t="n">
        <ns0:v>0</ns0:v>
      </ns0:c>
      <ns0:c r="O9" s="13" t="str">
        <ns0:f>IF(A9="","",IF(R9&lt;&gt;"","[CONFLICT] "&amp;R9,IF(S9&lt;&gt;"","[CONFLICT] "&amp;S9,IF(OR(NOT(ISNUMBER(N9)),N9&lt;0,N9&gt;1),"[CONFLICT] Invalid progress",IF(AK9&gt;0,"[DEPENDENCY ISSUE] Missing ID / &gt;8 links",IF(AM9&gt;0,"[DEPENDENCY ISSUE] Cycle or blocked by cycle",IF(AND(H9&lt;&gt;"",ISNA(MATCH(I9,{"FS","SS","FF","SF"},0))),"[DEPENDENCY ISSUE] Invalid type",IF(AL9&gt;0,"[DEPENDENCY ISSUE] Timing conflict",IF(OR(E9&lt;ProjectStart,F9&gt;ProjectEnd),"[OUTSIDE WINDOW]",IF(AND(N9&lt;1,F9&lt;AsOfDate),"Overdue",IF(AND(M9&lt;&gt;Q9,M9&lt;&gt;""),"[CONFLICT] Status / progress","On track")))))))))))</ns0:f>
        <ns0:v>On track</ns0:v>
      </ns0:c>
      <ns0:c r="P9" s="52" t="str">
        <ns0:v>Source: Project Plan Essentials (2).md §1, §2, §4. Original 2026-09-12 to 2026-09-14, 3d; original progress 100% [INFERRED]. [INFERRED] Rescheduled to fit 34d with FS. Duration reduced to 2d. Original resource/tools: Policy &amp; Authorization Boundary (PAB).</ns0:v>
      </ns0:c>
      <ns0:c r="Q9" t="str">
        <ns0:f>IF(A9="","",IF(OR(M9="On Hold",M9="Delayed"),M9,IF(N9=1,"Completed",IF(N9&gt;0,"In Progress","Not Started"))))</ns0:f>
        <ns0:v>Not Started</ns0:v>
      </ns0:c>
      <ns0:c r="R9" t="str">
        <ns0:f>IF(A9="","",IF(COUNTIFS(Tasks[Task ID],A9)&lt;&gt;1,"Duplicate ID",""))</ns0:f>
      </ns0:c>
      <ns0:c r="S9" t="str">
        <ns0:f>IF(A9="","",IF(OR(NOT(ISNUMBER(E9)),NOT(ISNUMBER(F9))),"Invalid / missing date",IF(OR(E9&lt;&gt;INT(E9),F9&lt;&gt;INT(F9),E9&lt;1,F9&gt;2958465),"Invalid date",IF(F9&lt;E9,"End before start",IF(AND(J9="Yes",E9&lt;&gt;F9),"Milestone needs one date","")))))</ns0:f>
      </ns0:c>
      <ns0:c r="T9" t="n">
        <ns0:f>IF(H9="",0,LEN(H9)-LEN(SUBSTITUTE(H9,",",""))+1)</ns0:f>
        <ns0:v>2</ns0:v>
      </ns0:c>
      <ns0:c r="U9" t="str">
        <ns0:f>TRIM(MID(SUBSTITUTE($H9,",",REPT(" ",100)),1,100))</ns0:f>
        <ns0:v>T01</ns0:v>
      </ns0:c>
      <ns0:c r="V9" t="str">
        <ns0:f>TRIM(MID(SUBSTITUTE($H9,",",REPT(" ",100)),101,100))</ns0:f>
        <ns0:v>T02</ns0:v>
      </ns0:c>
      <ns0:c r="W9" t="str">
        <ns0:f>TRIM(MID(SUBSTITUTE($H9,",",REPT(" ",100)),201,100))</ns0:f>
      </ns0:c>
      <ns0:c r="X9" t="str">
        <ns0:f>TRIM(MID(SUBSTITUTE($H9,",",REPT(" ",100)),301,100))</ns0:f>
      </ns0:c>
      <ns0:c r="Y9" t="str">
        <ns0:f>TRIM(MID(SUBSTITUTE($H9,",",REPT(" ",100)),401,100))</ns0:f>
      </ns0:c>
      <ns0:c r="Z9" t="str">
        <ns0:f>TRIM(MID(SUBSTITUTE($H9,",",REPT(" ",100)),501,100))</ns0:f>
      </ns0:c>
      <ns0:c r="AA9" t="str">
        <ns0:f>TRIM(MID(SUBSTITUTE($H9,",",REPT(" ",100)),601,100))</ns0:f>
      </ns0:c>
      <ns0:c r="AB9" t="str">
        <ns0:f>TRIM(MID(SUBSTITUTE($H9,",",REPT(" ",100)),701,100))</ns0:f>
      </ns0:c>
      <ns0:c r="AC9" t="n">
        <ns0:f>IF(U9="",0,IF(COUNTIFS(Tasks[Task ID],U9)=1,MATCH(U9,Tasks[Task ID],0),-1))</ns0:f>
        <ns0:v>1</ns0:v>
      </ns0:c>
      <ns0:c r="AD9" t="n">
        <ns0:f>IF(V9="",0,IF(COUNTIFS(Tasks[Task ID],V9)=1,MATCH(V9,Tasks[Task ID],0),-1))</ns0:f>
        <ns0:v>2</ns0:v>
      </ns0:c>
      <ns0:c r="AE9" t="n">
        <ns0:f>IF(W9="",0,IF(COUNTIFS(Tasks[Task ID],W9)=1,MATCH(W9,Tasks[Task ID],0),-1))</ns0:f>
        <ns0:v>0</ns0:v>
      </ns0:c>
      <ns0:c r="AF9" t="n">
        <ns0:f>IF(X9="",0,IF(COUNTIFS(Tasks[Task ID],X9)=1,MATCH(X9,Tasks[Task ID],0),-1))</ns0:f>
        <ns0:v>0</ns0:v>
      </ns0:c>
      <ns0:c r="AG9" t="n">
        <ns0:f>IF(Y9="",0,IF(COUNTIFS(Tasks[Task ID],Y9)=1,MATCH(Y9,Tasks[Task ID],0),-1))</ns0:f>
        <ns0:v>0</ns0:v>
      </ns0:c>
      <ns0:c r="AH9" t="n">
        <ns0:f>IF(Z9="",0,IF(COUNTIFS(Tasks[Task ID],Z9)=1,MATCH(Z9,Tasks[Task ID],0),-1))</ns0:f>
        <ns0:v>0</ns0:v>
      </ns0:c>
      <ns0:c r="AI9" t="n">
        <ns0:f>IF(AA9="",0,IF(COUNTIFS(Tasks[Task ID],AA9)=1,MATCH(AA9,Tasks[Task ID],0),-1))</ns0:f>
        <ns0:v>0</ns0:v>
      </ns0:c>
      <ns0:c r="AJ9" t="n">
        <ns0:f>IF(AB9="",0,IF(COUNTIFS(Tasks[Task ID],AB9)=1,MATCH(AB9,Tasks[Task ID],0),-1))</ns0:f>
        <ns0:v>0</ns0:v>
      </ns0:c>
      <ns0:c r="AK9" t="n">
        <ns0:f>COUNTIFS(AC9:AJ9,-1)+IF(T9&gt;8,1,0)</ns0:f>
        <ns0:v>0</ns0:v>
      </ns0:c>
      <ns0:c r="AL9" t="n">
        <ns0:f>IF(OR(A9="",S9&lt;&gt;""),0,SUM(IF(AC9&gt;0,IF($I9="FS",--($E9&lt;INDEX(Tasks[End Date],AC9)+IF(INDEX(Tasks[Milestone],AC9)="Yes",0,1)),IF($I9="SS",--($E9&lt;INDEX(Tasks[Start Date],AC9)),IF($I9="FF",--($F9&lt;INDEX(Tasks[End Date],AC9)),IF($I9="SF",--($F9&lt;INDEX(Tasks[Start Date],AC9)),0)))),0),IF(AD9&gt;0,IF($I9="FS",--($E9&lt;INDEX(Tasks[End Date],AD9)+IF(INDEX(Tasks[Milestone],AD9)="Yes",0,1)),IF($I9="SS",--($E9&lt;INDEX(Tasks[Start Date],AD9)),IF($I9="FF",--($F9&lt;INDEX(Tasks[End Date],AD9)),IF($I9="SF",--($F9&lt;INDEX(Tasks[Start Date],AD9)),0)))),0),IF(AE9&gt;0,IF($I9="FS",--($E9&lt;INDEX(Tasks[End Date],AE9)+IF(INDEX(Tasks[Milestone],AE9)="Yes",0,1)),IF($I9="SS",--($E9&lt;INDEX(Tasks[Start Date],AE9)),IF($I9="FF",--($F9&lt;INDEX(Tasks[End Date],AE9)),IF($I9="SF",--($F9&lt;INDEX(Tasks[Start Date],AE9)),0)))),0),IF(AF9&gt;0,IF($I9="FS",--($E9&lt;INDEX(Tasks[End Date],AF9)+IF(INDEX(Tasks[Milestone],AF9)="Yes",0,1)),IF($I9="SS",--($E9&lt;INDEX(Tasks[Start Date],AF9)),IF($I9="FF",--($F9&lt;INDEX(Tasks[End Date],AF9)),IF($I9="SF",--($F9&lt;INDEX(Tasks[Start Date],AF9)),0)))),0),IF(AG9&gt;0,IF($I9="FS",--($E9&lt;INDEX(Tasks[End Date],AG9)+IF(INDEX(Tasks[Milestone],AG9)="Yes",0,1)),IF($I9="SS",--($E9&lt;INDEX(Tasks[Start Date],AG9)),IF($I9="FF",--($F9&lt;INDEX(Tasks[End Date],AG9)),IF($I9="SF",--($F9&lt;INDEX(Tasks[Start Date],AG9)),0)))),0),IF(AH9&gt;0,IF($I9="FS",--($E9&lt;INDEX(Tasks[End Date],AH9)+IF(INDEX(Tasks[Milestone],AH9)="Yes",0,1)),IF($I9="SS",--($E9&lt;INDEX(Tasks[Start Date],AH9)),IF($I9="FF",--($F9&lt;INDEX(Tasks[End Date],AH9)),IF($I9="SF",--($F9&lt;INDEX(Tasks[Start Date],AH9)),0)))),0),IF(AI9&gt;0,IF($I9="FS",--($E9&lt;INDEX(Tasks[End Date],AI9)+IF(INDEX(Tasks[Milestone],AI9)="Yes",0,1)),IF($I9="SS",--($E9&lt;INDEX(Tasks[Start Date],AI9)),IF($I9="FF",--($F9&lt;INDEX(Tasks[End Date],AI9)),IF($I9="SF",--($F9&lt;INDEX(Tasks[Start Date],AI9)),0)))),0),IF(AJ9&gt;0,IF($I9="FS",--($E9&lt;INDEX(Tasks[End Date],AJ9)+IF(INDEX(Tasks[Milestone],AJ9)="Yes",0,1)),IF($I9="SS",--($E9&lt;INDEX(Tasks[Start Date],AJ9)),IF($I9="FF",--($F9&lt;INDEX(Tasks[End Date],AJ9)),IF($I9="SF",--($F9&lt;INDEX(Tasks[Start Date],AJ9)),0)))),0)))</ns0:f>
        <ns0:v>0</ns0:v>
      </ns0:c>
      <ns0:c r="AM9" t="n">
        <ns0:f>IF(AND(A9&lt;&gt;"",AK9=0,EP9=0),1,0)</ns0:f>
        <ns0:v>0</ns0:v>
      </ns0:c>
      <ns0:c r="AN9" t="str">
        <ns0:f>IF(OR(A9="",B9=""),"",IF(COUNTIFS($B$7:B9,B9)=1,MAX($AN$6:AN8)+1,""))</ns0:f>
      </ns0:c>
      <ns0:c r="AO9" t="n">
        <ns0:f>IF(AND(A9&lt;&gt;"",J9="No",N9&lt;1,E9&gt;=AsOfDate),E9+ROW()/10000,1E+9)</ns0:f>
        <ns0:v>46277.0009</ns0:v>
      </ns0:c>
      <ns0:c r="AP9" t="n">
        <ns0:f>IF(AND(A9&lt;&gt;"",J9="Yes",N9&lt;1,E9&gt;=AsOfDate),E9+ROW()/10000,1E+9)</ns0:f>
        <ns0:v>1000000000</ns0:v>
      </ns0:c>
      <ns0:c r="AQ9" t="n">
        <ns0:f>IF(AND(A9&lt;&gt;"",J9="No",N9&lt;1,F9&gt;=AsOfDate,F9&lt;=AsOfDate+7),F9+ROW()/10000,1E+9)</ns0:f>
        <ns0:v>46278.0009</ns0:v>
      </ns0:c>
      <ns0:c r="AR9" t="n">
        <ns0:f>IF(AND(A9&lt;&gt;"",OR(O9&lt;&gt;"On track",Q9="Delayed")),ROW(),1E+9)</ns0:f>
        <ns0:v>1000000000</ns0:v>
      </ns0:c>
      <ns0:c r="AS9" t="str">
        <ns0:f>IF(A9="","",";"&amp;K9&amp;";")</ns0:f>
        <ns0:v>;Policy &amp; Authorization Boundary (PAB);</ns0:v>
      </ns0:c>
      <ns0:c r="AT9" t="n">
        <ns0:f>IF(A9="",1,--(T9=0))</ns0:f>
        <ns0:v>0</ns0:v>
      </ns0:c>
      <ns0:c r="AU9" t="n">
        <ns0:f>IF($A9="",1,IF(AT9=1,1,--AND(IF($AC9&gt;0,INDEX(AT$7:AT$106,$AC9),1),IF($AD9&gt;0,INDEX(AT$7:AT$106,$AD9),1),IF($AE9&gt;0,INDEX(AT$7:AT$106,$AE9),1),IF($AF9&gt;0,INDEX(AT$7:AT$106,$AF9),1),IF($AG9&gt;0,INDEX(AT$7:AT$106,$AG9),1),IF($AH9&gt;0,INDEX(AT$7:AT$106,$AH9),1),IF($AI9&gt;0,INDEX(AT$7:AT$106,$AI9),1),IF($AJ9&gt;0,INDEX(AT$7:AT$106,$AJ9),1))))</ns0:f>
        <ns0:v>1</ns0:v>
      </ns0:c>
      <ns0:c r="AV9" t="n">
        <ns0:f>IF($A9="",1,IF(AU9=1,1,--AND(IF($AC9&gt;0,INDEX(AU$7:AU$106,$AC9),1),IF($AD9&gt;0,INDEX(AU$7:AU$106,$AD9),1),IF($AE9&gt;0,INDEX(AU$7:AU$106,$AE9),1),IF($AF9&gt;0,INDEX(AU$7:AU$106,$AF9),1),IF($AG9&gt;0,INDEX(AU$7:AU$106,$AG9),1),IF($AH9&gt;0,INDEX(AU$7:AU$106,$AH9),1),IF($AI9&gt;0,INDEX(AU$7:AU$106,$AI9),1),IF($AJ9&gt;0,INDEX(AU$7:AU$106,$AJ9),1))))</ns0:f>
        <ns0:v>1</ns0:v>
      </ns0:c>
      <ns0:c r="AW9" t="n">
        <ns0:f>IF($A9="",1,IF(AV9=1,1,--AND(IF($AC9&gt;0,INDEX(AV$7:AV$106,$AC9),1),IF($AD9&gt;0,INDEX(AV$7:AV$106,$AD9),1),IF($AE9&gt;0,INDEX(AV$7:AV$106,$AE9),1),IF($AF9&gt;0,INDEX(AV$7:AV$106,$AF9),1),IF($AG9&gt;0,INDEX(AV$7:AV$106,$AG9),1),IF($AH9&gt;0,INDEX(AV$7:AV$106,$AH9),1),IF($AI9&gt;0,INDEX(AV$7:AV$106,$AI9),1),IF($AJ9&gt;0,INDEX(AV$7:AV$106,$AJ9),1))))</ns0:f>
        <ns0:v>1</ns0:v>
      </ns0:c>
      <ns0:c r="AX9" t="n">
        <ns0:f>IF($A9="",1,IF(AW9=1,1,--AND(IF($AC9&gt;0,INDEX(AW$7:AW$106,$AC9),1),IF($AD9&gt;0,INDEX(AW$7:AW$106,$AD9),1),IF($AE9&gt;0,INDEX(AW$7:AW$106,$AE9),1),IF($AF9&gt;0,INDEX(AW$7:AW$106,$AF9),1),IF($AG9&gt;0,INDEX(AW$7:AW$106,$AG9),1),IF($AH9&gt;0,INDEX(AW$7:AW$106,$AH9),1),IF($AI9&gt;0,INDEX(AW$7:AW$106,$AI9),1),IF($AJ9&gt;0,INDEX(AW$7:AW$106,$AJ9),1))))</ns0:f>
        <ns0:v>1</ns0:v>
      </ns0:c>
      <ns0:c r="AY9" t="n">
        <ns0:f>IF($A9="",1,IF(AX9=1,1,--AND(IF($AC9&gt;0,INDEX(AX$7:AX$106,$AC9),1),IF($AD9&gt;0,INDEX(AX$7:AX$106,$AD9),1),IF($AE9&gt;0,INDEX(AX$7:AX$106,$AE9),1),IF($AF9&gt;0,INDEX(AX$7:AX$106,$AF9),1),IF($AG9&gt;0,INDEX(AX$7:AX$106,$AG9),1),IF($AH9&gt;0,INDEX(AX$7:AX$106,$AH9),1),IF($AI9&gt;0,INDEX(AX$7:AX$106,$AI9),1),IF($AJ9&gt;0,INDEX(AX$7:AX$106,$AJ9),1))))</ns0:f>
        <ns0:v>1</ns0:v>
      </ns0:c>
      <ns0:c r="AZ9" t="n">
        <ns0:f>IF($A9="",1,IF(AY9=1,1,--AND(IF($AC9&gt;0,INDEX(AY$7:AY$106,$AC9),1),IF($AD9&gt;0,INDEX(AY$7:AY$106,$AD9),1),IF($AE9&gt;0,INDEX(AY$7:AY$106,$AE9),1),IF($AF9&gt;0,INDEX(AY$7:AY$106,$AF9),1),IF($AG9&gt;0,INDEX(AY$7:AY$106,$AG9),1),IF($AH9&gt;0,INDEX(AY$7:AY$106,$AH9),1),IF($AI9&gt;0,INDEX(AY$7:AY$106,$AI9),1),IF($AJ9&gt;0,INDEX(AY$7:AY$106,$AJ9),1))))</ns0:f>
        <ns0:v>1</ns0:v>
      </ns0:c>
      <ns0:c r="BA9" t="n">
        <ns0:f>IF($A9="",1,IF(AZ9=1,1,--AND(IF($AC9&gt;0,INDEX(AZ$7:AZ$106,$AC9),1),IF($AD9&gt;0,INDEX(AZ$7:AZ$106,$AD9),1),IF($AE9&gt;0,INDEX(AZ$7:AZ$106,$AE9),1),IF($AF9&gt;0,INDEX(AZ$7:AZ$106,$AF9),1),IF($AG9&gt;0,INDEX(AZ$7:AZ$106,$AG9),1),IF($AH9&gt;0,INDEX(AZ$7:AZ$106,$AH9),1),IF($AI9&gt;0,INDEX(AZ$7:AZ$106,$AI9),1),IF($AJ9&gt;0,INDEX(AZ$7:AZ$106,$AJ9),1))))</ns0:f>
        <ns0:v>1</ns0:v>
      </ns0:c>
      <ns0:c r="BB9" t="n">
        <ns0:f>IF($A9="",1,IF(BA9=1,1,--AND(IF($AC9&gt;0,INDEX(BA$7:BA$106,$AC9),1),IF($AD9&gt;0,INDEX(BA$7:BA$106,$AD9),1),IF($AE9&gt;0,INDEX(BA$7:BA$106,$AE9),1),IF($AF9&gt;0,INDEX(BA$7:BA$106,$AF9),1),IF($AG9&gt;0,INDEX(BA$7:BA$106,$AG9),1),IF($AH9&gt;0,INDEX(BA$7:BA$106,$AH9),1),IF($AI9&gt;0,INDEX(BA$7:BA$106,$AI9),1),IF($AJ9&gt;0,INDEX(BA$7:BA$106,$AJ9),1))))</ns0:f>
        <ns0:v>1</ns0:v>
      </ns0:c>
      <ns0:c r="BC9" t="n">
        <ns0:f>IF($A9="",1,IF(BB9=1,1,--AND(IF($AC9&gt;0,INDEX(BB$7:BB$106,$AC9),1),IF($AD9&gt;0,INDEX(BB$7:BB$106,$AD9),1),IF($AE9&gt;0,INDEX(BB$7:BB$106,$AE9),1),IF($AF9&gt;0,INDEX(BB$7:BB$106,$AF9),1),IF($AG9&gt;0,INDEX(BB$7:BB$106,$AG9),1),IF($AH9&gt;0,INDEX(BB$7:BB$106,$AH9),1),IF($AI9&gt;0,INDEX(BB$7:BB$106,$AI9),1),IF($AJ9&gt;0,INDEX(BB$7:BB$106,$AJ9),1))))</ns0:f>
        <ns0:v>1</ns0:v>
      </ns0:c>
      <ns0:c r="BD9" t="n">
        <ns0:f>IF($A9="",1,IF(BC9=1,1,--AND(IF($AC9&gt;0,INDEX(BC$7:BC$106,$AC9),1),IF($AD9&gt;0,INDEX(BC$7:BC$106,$AD9),1),IF($AE9&gt;0,INDEX(BC$7:BC$106,$AE9),1),IF($AF9&gt;0,INDEX(BC$7:BC$106,$AF9),1),IF($AG9&gt;0,INDEX(BC$7:BC$106,$AG9),1),IF($AH9&gt;0,INDEX(BC$7:BC$106,$AH9),1),IF($AI9&gt;0,INDEX(BC$7:BC$106,$AI9),1),IF($AJ9&gt;0,INDEX(BC$7:BC$106,$AJ9),1))))</ns0:f>
        <ns0:v>1</ns0:v>
      </ns0:c>
      <ns0:c r="BE9" t="n">
        <ns0:f>IF($A9="",1,IF(BD9=1,1,--AND(IF($AC9&gt;0,INDEX(BD$7:BD$106,$AC9),1),IF($AD9&gt;0,INDEX(BD$7:BD$106,$AD9),1),IF($AE9&gt;0,INDEX(BD$7:BD$106,$AE9),1),IF($AF9&gt;0,INDEX(BD$7:BD$106,$AF9),1),IF($AG9&gt;0,INDEX(BD$7:BD$106,$AG9),1),IF($AH9&gt;0,INDEX(BD$7:BD$106,$AH9),1),IF($AI9&gt;0,INDEX(BD$7:BD$106,$AI9),1),IF($AJ9&gt;0,INDEX(BD$7:BD$106,$AJ9),1))))</ns0:f>
        <ns0:v>1</ns0:v>
      </ns0:c>
      <ns0:c r="BF9" t="n">
        <ns0:f>IF($A9="",1,IF(BE9=1,1,--AND(IF($AC9&gt;0,INDEX(BE$7:BE$106,$AC9),1),IF($AD9&gt;0,INDEX(BE$7:BE$106,$AD9),1),IF($AE9&gt;0,INDEX(BE$7:BE$106,$AE9),1),IF($AF9&gt;0,INDEX(BE$7:BE$106,$AF9),1),IF($AG9&gt;0,INDEX(BE$7:BE$106,$AG9),1),IF($AH9&gt;0,INDEX(BE$7:BE$106,$AH9),1),IF($AI9&gt;0,INDEX(BE$7:BE$106,$AI9),1),IF($AJ9&gt;0,INDEX(BE$7:BE$106,$AJ9),1))))</ns0:f>
        <ns0:v>1</ns0:v>
      </ns0:c>
      <ns0:c r="BG9" t="n">
        <ns0:f>IF($A9="",1,IF(BF9=1,1,--AND(IF($AC9&gt;0,INDEX(BF$7:BF$106,$AC9),1),IF($AD9&gt;0,INDEX(BF$7:BF$106,$AD9),1),IF($AE9&gt;0,INDEX(BF$7:BF$106,$AE9),1),IF($AF9&gt;0,INDEX(BF$7:BF$106,$AF9),1),IF($AG9&gt;0,INDEX(BF$7:BF$106,$AG9),1),IF($AH9&gt;0,INDEX(BF$7:BF$106,$AH9),1),IF($AI9&gt;0,INDEX(BF$7:BF$106,$AI9),1),IF($AJ9&gt;0,INDEX(BF$7:BF$106,$AJ9),1))))</ns0:f>
        <ns0:v>1</ns0:v>
      </ns0:c>
      <ns0:c r="BH9" t="n">
        <ns0:f>IF($A9="",1,IF(BG9=1,1,--AND(IF($AC9&gt;0,INDEX(BG$7:BG$106,$AC9),1),IF($AD9&gt;0,INDEX(BG$7:BG$106,$AD9),1),IF($AE9&gt;0,INDEX(BG$7:BG$106,$AE9),1),IF($AF9&gt;0,INDEX(BG$7:BG$106,$AF9),1),IF($AG9&gt;0,INDEX(BG$7:BG$106,$AG9),1),IF($AH9&gt;0,INDEX(BG$7:BG$106,$AH9),1),IF($AI9&gt;0,INDEX(BG$7:BG$106,$AI9),1),IF($AJ9&gt;0,INDEX(BG$7:BG$106,$AJ9),1))))</ns0:f>
        <ns0:v>1</ns0:v>
      </ns0:c>
      <ns0:c r="BI9" t="n">
        <ns0:f>IF($A9="",1,IF(BH9=1,1,--AND(IF($AC9&gt;0,INDEX(BH$7:BH$106,$AC9),1),IF($AD9&gt;0,INDEX(BH$7:BH$106,$AD9),1),IF($AE9&gt;0,INDEX(BH$7:BH$106,$AE9),1),IF($AF9&gt;0,INDEX(BH$7:BH$106,$AF9),1),IF($AG9&gt;0,INDEX(BH$7:BH$106,$AG9),1),IF($AH9&gt;0,INDEX(BH$7:BH$106,$AH9),1),IF($AI9&gt;0,INDEX(BH$7:BH$106,$AI9),1),IF($AJ9&gt;0,INDEX(BH$7:BH$106,$AJ9),1))))</ns0:f>
        <ns0:v>1</ns0:v>
      </ns0:c>
      <ns0:c r="BJ9" t="n">
        <ns0:f>IF($A9="",1,IF(BI9=1,1,--AND(IF($AC9&gt;0,INDEX(BI$7:BI$106,$AC9),1),IF($AD9&gt;0,INDEX(BI$7:BI$106,$AD9),1),IF($AE9&gt;0,INDEX(BI$7:BI$106,$AE9),1),IF($AF9&gt;0,INDEX(BI$7:BI$106,$AF9),1),IF($AG9&gt;0,INDEX(BI$7:BI$106,$AG9),1),IF($AH9&gt;0,INDEX(BI$7:BI$106,$AH9),1),IF($AI9&gt;0,INDEX(BI$7:BI$106,$AI9),1),IF($AJ9&gt;0,INDEX(BI$7:BI$106,$AJ9),1))))</ns0:f>
        <ns0:v>1</ns0:v>
      </ns0:c>
      <ns0:c r="BK9" t="n">
        <ns0:f>IF($A9="",1,IF(BJ9=1,1,--AND(IF($AC9&gt;0,INDEX(BJ$7:BJ$106,$AC9),1),IF($AD9&gt;0,INDEX(BJ$7:BJ$106,$AD9),1),IF($AE9&gt;0,INDEX(BJ$7:BJ$106,$AE9),1),IF($AF9&gt;0,INDEX(BJ$7:BJ$106,$AF9),1),IF($AG9&gt;0,INDEX(BJ$7:BJ$106,$AG9),1),IF($AH9&gt;0,INDEX(BJ$7:BJ$106,$AH9),1),IF($AI9&gt;0,INDEX(BJ$7:BJ$106,$AI9),1),IF($AJ9&gt;0,INDEX(BJ$7:BJ$106,$AJ9),1))))</ns0:f>
        <ns0:v>1</ns0:v>
      </ns0:c>
      <ns0:c r="BL9" t="n">
        <ns0:f>IF($A9="",1,IF(BK9=1,1,--AND(IF($AC9&gt;0,INDEX(BK$7:BK$106,$AC9),1),IF($AD9&gt;0,INDEX(BK$7:BK$106,$AD9),1),IF($AE9&gt;0,INDEX(BK$7:BK$106,$AE9),1),IF($AF9&gt;0,INDEX(BK$7:BK$106,$AF9),1),IF($AG9&gt;0,INDEX(BK$7:BK$106,$AG9),1),IF($AH9&gt;0,INDEX(BK$7:BK$106,$AH9),1),IF($AI9&gt;0,INDEX(BK$7:BK$106,$AI9),1),IF($AJ9&gt;0,INDEX(BK$7:BK$106,$AJ9),1))))</ns0:f>
        <ns0:v>1</ns0:v>
      </ns0:c>
      <ns0:c r="BM9" t="n">
        <ns0:f>IF($A9="",1,IF(BL9=1,1,--AND(IF($AC9&gt;0,INDEX(BL$7:BL$106,$AC9),1),IF($AD9&gt;0,INDEX(BL$7:BL$106,$AD9),1),IF($AE9&gt;0,INDEX(BL$7:BL$106,$AE9),1),IF($AF9&gt;0,INDEX(BL$7:BL$106,$AF9),1),IF($AG9&gt;0,INDEX(BL$7:BL$106,$AG9),1),IF($AH9&gt;0,INDEX(BL$7:BL$106,$AH9),1),IF($AI9&gt;0,INDEX(BL$7:BL$106,$AI9),1),IF($AJ9&gt;0,INDEX(BL$7:BL$106,$AJ9),1))))</ns0:f>
        <ns0:v>1</ns0:v>
      </ns0:c>
      <ns0:c r="BN9" t="n">
        <ns0:f>IF($A9="",1,IF(BM9=1,1,--AND(IF($AC9&gt;0,INDEX(BM$7:BM$106,$AC9),1),IF($AD9&gt;0,INDEX(BM$7:BM$106,$AD9),1),IF($AE9&gt;0,INDEX(BM$7:BM$106,$AE9),1),IF($AF9&gt;0,INDEX(BM$7:BM$106,$AF9),1),IF($AG9&gt;0,INDEX(BM$7:BM$106,$AG9),1),IF($AH9&gt;0,INDEX(BM$7:BM$106,$AH9),1),IF($AI9&gt;0,INDEX(BM$7:BM$106,$AI9),1),IF($AJ9&gt;0,INDEX(BM$7:BM$106,$AJ9),1))))</ns0:f>
        <ns0:v>1</ns0:v>
      </ns0:c>
      <ns0:c r="BO9" t="n">
        <ns0:f>IF($A9="",1,IF(BN9=1,1,--AND(IF($AC9&gt;0,INDEX(BN$7:BN$106,$AC9),1),IF($AD9&gt;0,INDEX(BN$7:BN$106,$AD9),1),IF($AE9&gt;0,INDEX(BN$7:BN$106,$AE9),1),IF($AF9&gt;0,INDEX(BN$7:BN$106,$AF9),1),IF($AG9&gt;0,INDEX(BN$7:BN$106,$AG9),1),IF($AH9&gt;0,INDEX(BN$7:BN$106,$AH9),1),IF($AI9&gt;0,INDEX(BN$7:BN$106,$AI9),1),IF($AJ9&gt;0,INDEX(BN$7:BN$106,$AJ9),1))))</ns0:f>
        <ns0:v>1</ns0:v>
      </ns0:c>
      <ns0:c r="BP9" t="n">
        <ns0:f>IF($A9="",1,IF(BO9=1,1,--AND(IF($AC9&gt;0,INDEX(BO$7:BO$106,$AC9),1),IF($AD9&gt;0,INDEX(BO$7:BO$106,$AD9),1),IF($AE9&gt;0,INDEX(BO$7:BO$106,$AE9),1),IF($AF9&gt;0,INDEX(BO$7:BO$106,$AF9),1),IF($AG9&gt;0,INDEX(BO$7:BO$106,$AG9),1),IF($AH9&gt;0,INDEX(BO$7:BO$106,$AH9),1),IF($AI9&gt;0,INDEX(BO$7:BO$106,$AI9),1),IF($AJ9&gt;0,INDEX(BO$7:BO$106,$AJ9),1))))</ns0:f>
        <ns0:v>1</ns0:v>
      </ns0:c>
      <ns0:c r="BQ9" t="n">
        <ns0:f>IF($A9="",1,IF(BP9=1,1,--AND(IF($AC9&gt;0,INDEX(BP$7:BP$106,$AC9),1),IF($AD9&gt;0,INDEX(BP$7:BP$106,$AD9),1),IF($AE9&gt;0,INDEX(BP$7:BP$106,$AE9),1),IF($AF9&gt;0,INDEX(BP$7:BP$106,$AF9),1),IF($AG9&gt;0,INDEX(BP$7:BP$106,$AG9),1),IF($AH9&gt;0,INDEX(BP$7:BP$106,$AH9),1),IF($AI9&gt;0,INDEX(BP$7:BP$106,$AI9),1),IF($AJ9&gt;0,INDEX(BP$7:BP$106,$AJ9),1))))</ns0:f>
        <ns0:v>1</ns0:v>
      </ns0:c>
      <ns0:c r="BR9" t="n">
        <ns0:f>IF($A9="",1,IF(BQ9=1,1,--AND(IF($AC9&gt;0,INDEX(BQ$7:BQ$106,$AC9),1),IF($AD9&gt;0,INDEX(BQ$7:BQ$106,$AD9),1),IF($AE9&gt;0,INDEX(BQ$7:BQ$106,$AE9),1),IF($AF9&gt;0,INDEX(BQ$7:BQ$106,$AF9),1),IF($AG9&gt;0,INDEX(BQ$7:BQ$106,$AG9),1),IF($AH9&gt;0,INDEX(BQ$7:BQ$106,$AH9),1),IF($AI9&gt;0,INDEX(BQ$7:BQ$106,$AI9),1),IF($AJ9&gt;0,INDEX(BQ$7:BQ$106,$AJ9),1))))</ns0:f>
        <ns0:v>1</ns0:v>
      </ns0:c>
      <ns0:c r="BS9" t="n">
        <ns0:f>IF($A9="",1,IF(BR9=1,1,--AND(IF($AC9&gt;0,INDEX(BR$7:BR$106,$AC9),1),IF($AD9&gt;0,INDEX(BR$7:BR$106,$AD9),1),IF($AE9&gt;0,INDEX(BR$7:BR$106,$AE9),1),IF($AF9&gt;0,INDEX(BR$7:BR$106,$AF9),1),IF($AG9&gt;0,INDEX(BR$7:BR$106,$AG9),1),IF($AH9&gt;0,INDEX(BR$7:BR$106,$AH9),1),IF($AI9&gt;0,INDEX(BR$7:BR$106,$AI9),1),IF($AJ9&gt;0,INDEX(BR$7:BR$106,$AJ9),1))))</ns0:f>
        <ns0:v>1</ns0:v>
      </ns0:c>
      <ns0:c r="BT9" t="n">
        <ns0:f>IF($A9="",1,IF(BS9=1,1,--AND(IF($AC9&gt;0,INDEX(BS$7:BS$106,$AC9),1),IF($AD9&gt;0,INDEX(BS$7:BS$106,$AD9),1),IF($AE9&gt;0,INDEX(BS$7:BS$106,$AE9),1),IF($AF9&gt;0,INDEX(BS$7:BS$106,$AF9),1),IF($AG9&gt;0,INDEX(BS$7:BS$106,$AG9),1),IF($AH9&gt;0,INDEX(BS$7:BS$106,$AH9),1),IF($AI9&gt;0,INDEX(BS$7:BS$106,$AI9),1),IF($AJ9&gt;0,INDEX(BS$7:BS$106,$AJ9),1))))</ns0:f>
        <ns0:v>1</ns0:v>
      </ns0:c>
      <ns0:c r="BU9" t="n">
        <ns0:f>IF($A9="",1,IF(BT9=1,1,--AND(IF($AC9&gt;0,INDEX(BT$7:BT$106,$AC9),1),IF($AD9&gt;0,INDEX(BT$7:BT$106,$AD9),1),IF($AE9&gt;0,INDEX(BT$7:BT$106,$AE9),1),IF($AF9&gt;0,INDEX(BT$7:BT$106,$AF9),1),IF($AG9&gt;0,INDEX(BT$7:BT$106,$AG9),1),IF($AH9&gt;0,INDEX(BT$7:BT$106,$AH9),1),IF($AI9&gt;0,INDEX(BT$7:BT$106,$AI9),1),IF($AJ9&gt;0,INDEX(BT$7:BT$106,$AJ9),1))))</ns0:f>
        <ns0:v>1</ns0:v>
      </ns0:c>
      <ns0:c r="BV9" t="n">
        <ns0:f>IF($A9="",1,IF(BU9=1,1,--AND(IF($AC9&gt;0,INDEX(BU$7:BU$106,$AC9),1),IF($AD9&gt;0,INDEX(BU$7:BU$106,$AD9),1),IF($AE9&gt;0,INDEX(BU$7:BU$106,$AE9),1),IF($AF9&gt;0,INDEX(BU$7:BU$106,$AF9),1),IF($AG9&gt;0,INDEX(BU$7:BU$106,$AG9),1),IF($AH9&gt;0,INDEX(BU$7:BU$106,$AH9),1),IF($AI9&gt;0,INDEX(BU$7:BU$106,$AI9),1),IF($AJ9&gt;0,INDEX(BU$7:BU$106,$AJ9),1))))</ns0:f>
        <ns0:v>1</ns0:v>
      </ns0:c>
      <ns0:c r="BW9" t="n">
        <ns0:f>IF($A9="",1,IF(BV9=1,1,--AND(IF($AC9&gt;0,INDEX(BV$7:BV$106,$AC9),1),IF($AD9&gt;0,INDEX(BV$7:BV$106,$AD9),1),IF($AE9&gt;0,INDEX(BV$7:BV$106,$AE9),1),IF($AF9&gt;0,INDEX(BV$7:BV$106,$AF9),1),IF($AG9&gt;0,INDEX(BV$7:BV$106,$AG9),1),IF($AH9&gt;0,INDEX(BV$7:BV$106,$AH9),1),IF($AI9&gt;0,INDEX(BV$7:BV$106,$AI9),1),IF($AJ9&gt;0,INDEX(BV$7:BV$106,$AJ9),1))))</ns0:f>
        <ns0:v>1</ns0:v>
      </ns0:c>
      <ns0:c r="BX9" t="n">
        <ns0:f>IF($A9="",1,IF(BW9=1,1,--AND(IF($AC9&gt;0,INDEX(BW$7:BW$106,$AC9),1),IF($AD9&gt;0,INDEX(BW$7:BW$106,$AD9),1),IF($AE9&gt;0,INDEX(BW$7:BW$106,$AE9),1),IF($AF9&gt;0,INDEX(BW$7:BW$106,$AF9),1),IF($AG9&gt;0,INDEX(BW$7:BW$106,$AG9),1),IF($AH9&gt;0,INDEX(BW$7:BW$106,$AH9),1),IF($AI9&gt;0,INDEX(BW$7:BW$106,$AI9),1),IF($AJ9&gt;0,INDEX(BW$7:BW$106,$AJ9),1))))</ns0:f>
        <ns0:v>1</ns0:v>
      </ns0:c>
      <ns0:c r="BY9" t="n">
        <ns0:f>IF($A9="",1,IF(BX9=1,1,--AND(IF($AC9&gt;0,INDEX(BX$7:BX$106,$AC9),1),IF($AD9&gt;0,INDEX(BX$7:BX$106,$AD9),1),IF($AE9&gt;0,INDEX(BX$7:BX$106,$AE9),1),IF($AF9&gt;0,INDEX(BX$7:BX$106,$AF9),1),IF($AG9&gt;0,INDEX(BX$7:BX$106,$AG9),1),IF($AH9&gt;0,INDEX(BX$7:BX$106,$AH9),1),IF($AI9&gt;0,INDEX(BX$7:BX$106,$AI9),1),IF($AJ9&gt;0,INDEX(BX$7:BX$106,$AJ9),1))))</ns0:f>
        <ns0:v>1</ns0:v>
      </ns0:c>
      <ns0:c r="BZ9" t="n">
        <ns0:f>IF($A9="",1,IF(BY9=1,1,--AND(IF($AC9&gt;0,INDEX(BY$7:BY$106,$AC9),1),IF($AD9&gt;0,INDEX(BY$7:BY$106,$AD9),1),IF($AE9&gt;0,INDEX(BY$7:BY$106,$AE9),1),IF($AF9&gt;0,INDEX(BY$7:BY$106,$AF9),1),IF($AG9&gt;0,INDEX(BY$7:BY$106,$AG9),1),IF($AH9&gt;0,INDEX(BY$7:BY$106,$AH9),1),IF($AI9&gt;0,INDEX(BY$7:BY$106,$AI9),1),IF($AJ9&gt;0,INDEX(BY$7:BY$106,$AJ9),1))))</ns0:f>
        <ns0:v>1</ns0:v>
      </ns0:c>
      <ns0:c r="CA9" t="n">
        <ns0:f>IF($A9="",1,IF(BZ9=1,1,--AND(IF($AC9&gt;0,INDEX(BZ$7:BZ$106,$AC9),1),IF($AD9&gt;0,INDEX(BZ$7:BZ$106,$AD9),1),IF($AE9&gt;0,INDEX(BZ$7:BZ$106,$AE9),1),IF($AF9&gt;0,INDEX(BZ$7:BZ$106,$AF9),1),IF($AG9&gt;0,INDEX(BZ$7:BZ$106,$AG9),1),IF($AH9&gt;0,INDEX(BZ$7:BZ$106,$AH9),1),IF($AI9&gt;0,INDEX(BZ$7:BZ$106,$AI9),1),IF($AJ9&gt;0,INDEX(BZ$7:BZ$106,$AJ9),1))))</ns0:f>
        <ns0:v>1</ns0:v>
      </ns0:c>
      <ns0:c r="CB9" t="n">
        <ns0:f>IF($A9="",1,IF(CA9=1,1,--AND(IF($AC9&gt;0,INDEX(CA$7:CA$106,$AC9),1),IF($AD9&gt;0,INDEX(CA$7:CA$106,$AD9),1),IF($AE9&gt;0,INDEX(CA$7:CA$106,$AE9),1),IF($AF9&gt;0,INDEX(CA$7:CA$106,$AF9),1),IF($AG9&gt;0,INDEX(CA$7:CA$106,$AG9),1),IF($AH9&gt;0,INDEX(CA$7:CA$106,$AH9),1),IF($AI9&gt;0,INDEX(CA$7:CA$106,$AI9),1),IF($AJ9&gt;0,INDEX(CA$7:CA$106,$AJ9),1))))</ns0:f>
        <ns0:v>1</ns0:v>
      </ns0:c>
      <ns0:c r="CC9" t="n">
        <ns0:f>IF($A9="",1,IF(CB9=1,1,--AND(IF($AC9&gt;0,INDEX(CB$7:CB$106,$AC9),1),IF($AD9&gt;0,INDEX(CB$7:CB$106,$AD9),1),IF($AE9&gt;0,INDEX(CB$7:CB$106,$AE9),1),IF($AF9&gt;0,INDEX(CB$7:CB$106,$AF9),1),IF($AG9&gt;0,INDEX(CB$7:CB$106,$AG9),1),IF($AH9&gt;0,INDEX(CB$7:CB$106,$AH9),1),IF($AI9&gt;0,INDEX(CB$7:CB$106,$AI9),1),IF($AJ9&gt;0,INDEX(CB$7:CB$106,$AJ9),1))))</ns0:f>
        <ns0:v>1</ns0:v>
      </ns0:c>
      <ns0:c r="CD9" t="n">
        <ns0:f>IF($A9="",1,IF(CC9=1,1,--AND(IF($AC9&gt;0,INDEX(CC$7:CC$106,$AC9),1),IF($AD9&gt;0,INDEX(CC$7:CC$106,$AD9),1),IF($AE9&gt;0,INDEX(CC$7:CC$106,$AE9),1),IF($AF9&gt;0,INDEX(CC$7:CC$106,$AF9),1),IF($AG9&gt;0,INDEX(CC$7:CC$106,$AG9),1),IF($AH9&gt;0,INDEX(CC$7:CC$106,$AH9),1),IF($AI9&gt;0,INDEX(CC$7:CC$106,$AI9),1),IF($AJ9&gt;0,INDEX(CC$7:CC$106,$AJ9),1))))</ns0:f>
        <ns0:v>1</ns0:v>
      </ns0:c>
      <ns0:c r="CE9" t="n">
        <ns0:f>IF($A9="",1,IF(CD9=1,1,--AND(IF($AC9&gt;0,INDEX(CD$7:CD$106,$AC9),1),IF($AD9&gt;0,INDEX(CD$7:CD$106,$AD9),1),IF($AE9&gt;0,INDEX(CD$7:CD$106,$AE9),1),IF($AF9&gt;0,INDEX(CD$7:CD$106,$AF9),1),IF($AG9&gt;0,INDEX(CD$7:CD$106,$AG9),1),IF($AH9&gt;0,INDEX(CD$7:CD$106,$AH9),1),IF($AI9&gt;0,INDEX(CD$7:CD$106,$AI9),1),IF($AJ9&gt;0,INDEX(CD$7:CD$106,$AJ9),1))))</ns0:f>
        <ns0:v>1</ns0:v>
      </ns0:c>
      <ns0:c r="CF9" t="n">
        <ns0:f>IF($A9="",1,IF(CE9=1,1,--AND(IF($AC9&gt;0,INDEX(CE$7:CE$106,$AC9),1),IF($AD9&gt;0,INDEX(CE$7:CE$106,$AD9),1),IF($AE9&gt;0,INDEX(CE$7:CE$106,$AE9),1),IF($AF9&gt;0,INDEX(CE$7:CE$106,$AF9),1),IF($AG9&gt;0,INDEX(CE$7:CE$106,$AG9),1),IF($AH9&gt;0,INDEX(CE$7:CE$106,$AH9),1),IF($AI9&gt;0,INDEX(CE$7:CE$106,$AI9),1),IF($AJ9&gt;0,INDEX(CE$7:CE$106,$AJ9),1))))</ns0:f>
        <ns0:v>1</ns0:v>
      </ns0:c>
      <ns0:c r="CG9" t="n">
        <ns0:f>IF($A9="",1,IF(CF9=1,1,--AND(IF($AC9&gt;0,INDEX(CF$7:CF$106,$AC9),1),IF($AD9&gt;0,INDEX(CF$7:CF$106,$AD9),1),IF($AE9&gt;0,INDEX(CF$7:CF$106,$AE9),1),IF($AF9&gt;0,INDEX(CF$7:CF$106,$AF9),1),IF($AG9&gt;0,INDEX(CF$7:CF$106,$AG9),1),IF($AH9&gt;0,INDEX(CF$7:CF$106,$AH9),1),IF($AI9&gt;0,INDEX(CF$7:CF$106,$AI9),1),IF($AJ9&gt;0,INDEX(CF$7:CF$106,$AJ9),1))))</ns0:f>
        <ns0:v>1</ns0:v>
      </ns0:c>
      <ns0:c r="CH9" t="n">
        <ns0:f>IF($A9="",1,IF(CG9=1,1,--AND(IF($AC9&gt;0,INDEX(CG$7:CG$106,$AC9),1),IF($AD9&gt;0,INDEX(CG$7:CG$106,$AD9),1),IF($AE9&gt;0,INDEX(CG$7:CG$106,$AE9),1),IF($AF9&gt;0,INDEX(CG$7:CG$106,$AF9),1),IF($AG9&gt;0,INDEX(CG$7:CG$106,$AG9),1),IF($AH9&gt;0,INDEX(CG$7:CG$106,$AH9),1),IF($AI9&gt;0,INDEX(CG$7:CG$106,$AI9),1),IF($AJ9&gt;0,INDEX(CG$7:CG$106,$AJ9),1))))</ns0:f>
        <ns0:v>1</ns0:v>
      </ns0:c>
      <ns0:c r="CI9" t="n">
        <ns0:f>IF($A9="",1,IF(CH9=1,1,--AND(IF($AC9&gt;0,INDEX(CH$7:CH$106,$AC9),1),IF($AD9&gt;0,INDEX(CH$7:CH$106,$AD9),1),IF($AE9&gt;0,INDEX(CH$7:CH$106,$AE9),1),IF($AF9&gt;0,INDEX(CH$7:CH$106,$AF9),1),IF($AG9&gt;0,INDEX(CH$7:CH$106,$AG9),1),IF($AH9&gt;0,INDEX(CH$7:CH$106,$AH9),1),IF($AI9&gt;0,INDEX(CH$7:CH$106,$AI9),1),IF($AJ9&gt;0,INDEX(CH$7:CH$106,$AJ9),1))))</ns0:f>
        <ns0:v>1</ns0:v>
      </ns0:c>
      <ns0:c r="CJ9" t="n">
        <ns0:f>IF($A9="",1,IF(CI9=1,1,--AND(IF($AC9&gt;0,INDEX(CI$7:CI$106,$AC9),1),IF($AD9&gt;0,INDEX(CI$7:CI$106,$AD9),1),IF($AE9&gt;0,INDEX(CI$7:CI$106,$AE9),1),IF($AF9&gt;0,INDEX(CI$7:CI$106,$AF9),1),IF($AG9&gt;0,INDEX(CI$7:CI$106,$AG9),1),IF($AH9&gt;0,INDEX(CI$7:CI$106,$AH9),1),IF($AI9&gt;0,INDEX(CI$7:CI$106,$AI9),1),IF($AJ9&gt;0,INDEX(CI$7:CI$106,$AJ9),1))))</ns0:f>
        <ns0:v>1</ns0:v>
      </ns0:c>
      <ns0:c r="CK9" t="n">
        <ns0:f>IF($A9="",1,IF(CJ9=1,1,--AND(IF($AC9&gt;0,INDEX(CJ$7:CJ$106,$AC9),1),IF($AD9&gt;0,INDEX(CJ$7:CJ$106,$AD9),1),IF($AE9&gt;0,INDEX(CJ$7:CJ$106,$AE9),1),IF($AF9&gt;0,INDEX(CJ$7:CJ$106,$AF9),1),IF($AG9&gt;0,INDEX(CJ$7:CJ$106,$AG9),1),IF($AH9&gt;0,INDEX(CJ$7:CJ$106,$AH9),1),IF($AI9&gt;0,INDEX(CJ$7:CJ$106,$AI9),1),IF($AJ9&gt;0,INDEX(CJ$7:CJ$106,$AJ9),1))))</ns0:f>
        <ns0:v>1</ns0:v>
      </ns0:c>
      <ns0:c r="CL9" t="n">
        <ns0:f>IF($A9="",1,IF(CK9=1,1,--AND(IF($AC9&gt;0,INDEX(CK$7:CK$106,$AC9),1),IF($AD9&gt;0,INDEX(CK$7:CK$106,$AD9),1),IF($AE9&gt;0,INDEX(CK$7:CK$106,$AE9),1),IF($AF9&gt;0,INDEX(CK$7:CK$106,$AF9),1),IF($AG9&gt;0,INDEX(CK$7:CK$106,$AG9),1),IF($AH9&gt;0,INDEX(CK$7:CK$106,$AH9),1),IF($AI9&gt;0,INDEX(CK$7:CK$106,$AI9),1),IF($AJ9&gt;0,INDEX(CK$7:CK$106,$AJ9),1))))</ns0:f>
        <ns0:v>1</ns0:v>
      </ns0:c>
      <ns0:c r="CM9" t="n">
        <ns0:f>IF($A9="",1,IF(CL9=1,1,--AND(IF($AC9&gt;0,INDEX(CL$7:CL$106,$AC9),1),IF($AD9&gt;0,INDEX(CL$7:CL$106,$AD9),1),IF($AE9&gt;0,INDEX(CL$7:CL$106,$AE9),1),IF($AF9&gt;0,INDEX(CL$7:CL$106,$AF9),1),IF($AG9&gt;0,INDEX(CL$7:CL$106,$AG9),1),IF($AH9&gt;0,INDEX(CL$7:CL$106,$AH9),1),IF($AI9&gt;0,INDEX(CL$7:CL$106,$AI9),1),IF($AJ9&gt;0,INDEX(CL$7:CL$106,$AJ9),1))))</ns0:f>
        <ns0:v>1</ns0:v>
      </ns0:c>
      <ns0:c r="CN9" t="n">
        <ns0:f>IF($A9="",1,IF(CM9=1,1,--AND(IF($AC9&gt;0,INDEX(CM$7:CM$106,$AC9),1),IF($AD9&gt;0,INDEX(CM$7:CM$106,$AD9),1),IF($AE9&gt;0,INDEX(CM$7:CM$106,$AE9),1),IF($AF9&gt;0,INDEX(CM$7:CM$106,$AF9),1),IF($AG9&gt;0,INDEX(CM$7:CM$106,$AG9),1),IF($AH9&gt;0,INDEX(CM$7:CM$106,$AH9),1),IF($AI9&gt;0,INDEX(CM$7:CM$106,$AI9),1),IF($AJ9&gt;0,INDEX(CM$7:CM$106,$AJ9),1))))</ns0:f>
        <ns0:v>1</ns0:v>
      </ns0:c>
      <ns0:c r="CO9" t="n">
        <ns0:f>IF($A9="",1,IF(CN9=1,1,--AND(IF($AC9&gt;0,INDEX(CN$7:CN$106,$AC9),1),IF($AD9&gt;0,INDEX(CN$7:CN$106,$AD9),1),IF($AE9&gt;0,INDEX(CN$7:CN$106,$AE9),1),IF($AF9&gt;0,INDEX(CN$7:CN$106,$AF9),1),IF($AG9&gt;0,INDEX(CN$7:CN$106,$AG9),1),IF($AH9&gt;0,INDEX(CN$7:CN$106,$AH9),1),IF($AI9&gt;0,INDEX(CN$7:CN$106,$AI9),1),IF($AJ9&gt;0,INDEX(CN$7:CN$106,$AJ9),1))))</ns0:f>
        <ns0:v>1</ns0:v>
      </ns0:c>
      <ns0:c r="CP9" t="n">
        <ns0:f>IF($A9="",1,IF(CO9=1,1,--AND(IF($AC9&gt;0,INDEX(CO$7:CO$106,$AC9),1),IF($AD9&gt;0,INDEX(CO$7:CO$106,$AD9),1),IF($AE9&gt;0,INDEX(CO$7:CO$106,$AE9),1),IF($AF9&gt;0,INDEX(CO$7:CO$106,$AF9),1),IF($AG9&gt;0,INDEX(CO$7:CO$106,$AG9),1),IF($AH9&gt;0,INDEX(CO$7:CO$106,$AH9),1),IF($AI9&gt;0,INDEX(CO$7:CO$106,$AI9),1),IF($AJ9&gt;0,INDEX(CO$7:CO$106,$AJ9),1))))</ns0:f>
        <ns0:v>1</ns0:v>
      </ns0:c>
      <ns0:c r="CQ9" t="n">
        <ns0:f>IF($A9="",1,IF(CP9=1,1,--AND(IF($AC9&gt;0,INDEX(CP$7:CP$106,$AC9),1),IF($AD9&gt;0,INDEX(CP$7:CP$106,$AD9),1),IF($AE9&gt;0,INDEX(CP$7:CP$106,$AE9),1),IF($AF9&gt;0,INDEX(CP$7:CP$106,$AF9),1),IF($AG9&gt;0,INDEX(CP$7:CP$106,$AG9),1),IF($AH9&gt;0,INDEX(CP$7:CP$106,$AH9),1),IF($AI9&gt;0,INDEX(CP$7:CP$106,$AI9),1),IF($AJ9&gt;0,INDEX(CP$7:CP$106,$AJ9),1))))</ns0:f>
        <ns0:v>1</ns0:v>
      </ns0:c>
      <ns0:c r="CR9" t="n">
        <ns0:f>IF($A9="",1,IF(CQ9=1,1,--AND(IF($AC9&gt;0,INDEX(CQ$7:CQ$106,$AC9),1),IF($AD9&gt;0,INDEX(CQ$7:CQ$106,$AD9),1),IF($AE9&gt;0,INDEX(CQ$7:CQ$106,$AE9),1),IF($AF9&gt;0,INDEX(CQ$7:CQ$106,$AF9),1),IF($AG9&gt;0,INDEX(CQ$7:CQ$106,$AG9),1),IF($AH9&gt;0,INDEX(CQ$7:CQ$106,$AH9),1),IF($AI9&gt;0,INDEX(CQ$7:CQ$106,$AI9),1),IF($AJ9&gt;0,INDEX(CQ$7:CQ$106,$AJ9),1))))</ns0:f>
        <ns0:v>1</ns0:v>
      </ns0:c>
      <ns0:c r="CS9" t="n">
        <ns0:f>IF($A9="",1,IF(CR9=1,1,--AND(IF($AC9&gt;0,INDEX(CR$7:CR$106,$AC9),1),IF($AD9&gt;0,INDEX(CR$7:CR$106,$AD9),1),IF($AE9&gt;0,INDEX(CR$7:CR$106,$AE9),1),IF($AF9&gt;0,INDEX(CR$7:CR$106,$AF9),1),IF($AG9&gt;0,INDEX(CR$7:CR$106,$AG9),1),IF($AH9&gt;0,INDEX(CR$7:CR$106,$AH9),1),IF($AI9&gt;0,INDEX(CR$7:CR$106,$AI9),1),IF($AJ9&gt;0,INDEX(CR$7:CR$106,$AJ9),1))))</ns0:f>
        <ns0:v>1</ns0:v>
      </ns0:c>
      <ns0:c r="CT9" t="n">
        <ns0:f>IF($A9="",1,IF(CS9=1,1,--AND(IF($AC9&gt;0,INDEX(CS$7:CS$106,$AC9),1),IF($AD9&gt;0,INDEX(CS$7:CS$106,$AD9),1),IF($AE9&gt;0,INDEX(CS$7:CS$106,$AE9),1),IF($AF9&gt;0,INDEX(CS$7:CS$106,$AF9),1),IF($AG9&gt;0,INDEX(CS$7:CS$106,$AG9),1),IF($AH9&gt;0,INDEX(CS$7:CS$106,$AH9),1),IF($AI9&gt;0,INDEX(CS$7:CS$106,$AI9),1),IF($AJ9&gt;0,INDEX(CS$7:CS$106,$AJ9),1))))</ns0:f>
        <ns0:v>1</ns0:v>
      </ns0:c>
      <ns0:c r="CU9" t="n">
        <ns0:f>IF($A9="",1,IF(CT9=1,1,--AND(IF($AC9&gt;0,INDEX(CT$7:CT$106,$AC9),1),IF($AD9&gt;0,INDEX(CT$7:CT$106,$AD9),1),IF($AE9&gt;0,INDEX(CT$7:CT$106,$AE9),1),IF($AF9&gt;0,INDEX(CT$7:CT$106,$AF9),1),IF($AG9&gt;0,INDEX(CT$7:CT$106,$AG9),1),IF($AH9&gt;0,INDEX(CT$7:CT$106,$AH9),1),IF($AI9&gt;0,INDEX(CT$7:CT$106,$AI9),1),IF($AJ9&gt;0,INDEX(CT$7:CT$106,$AJ9),1))))</ns0:f>
        <ns0:v>1</ns0:v>
      </ns0:c>
      <ns0:c r="CV9" t="n">
        <ns0:f>IF($A9="",1,IF(CU9=1,1,--AND(IF($AC9&gt;0,INDEX(CU$7:CU$106,$AC9),1),IF($AD9&gt;0,INDEX(CU$7:CU$106,$AD9),1),IF($AE9&gt;0,INDEX(CU$7:CU$106,$AE9),1),IF($AF9&gt;0,INDEX(CU$7:CU$106,$AF9),1),IF($AG9&gt;0,INDEX(CU$7:CU$106,$AG9),1),IF($AH9&gt;0,INDEX(CU$7:CU$106,$AH9),1),IF($AI9&gt;0,INDEX(CU$7:CU$106,$AI9),1),IF($AJ9&gt;0,INDEX(CU$7:CU$106,$AJ9),1))))</ns0:f>
        <ns0:v>1</ns0:v>
      </ns0:c>
      <ns0:c r="CW9" t="n">
        <ns0:f>IF($A9="",1,IF(CV9=1,1,--AND(IF($AC9&gt;0,INDEX(CV$7:CV$106,$AC9),1),IF($AD9&gt;0,INDEX(CV$7:CV$106,$AD9),1),IF($AE9&gt;0,INDEX(CV$7:CV$106,$AE9),1),IF($AF9&gt;0,INDEX(CV$7:CV$106,$AF9),1),IF($AG9&gt;0,INDEX(CV$7:CV$106,$AG9),1),IF($AH9&gt;0,INDEX(CV$7:CV$106,$AH9),1),IF($AI9&gt;0,INDEX(CV$7:CV$106,$AI9),1),IF($AJ9&gt;0,INDEX(CV$7:CV$106,$AJ9),1))))</ns0:f>
        <ns0:v>1</ns0:v>
      </ns0:c>
      <ns0:c r="CX9" t="n">
        <ns0:f>IF($A9="",1,IF(CW9=1,1,--AND(IF($AC9&gt;0,INDEX(CW$7:CW$106,$AC9),1),IF($AD9&gt;0,INDEX(CW$7:CW$106,$AD9),1),IF($AE9&gt;0,INDEX(CW$7:CW$106,$AE9),1),IF($AF9&gt;0,INDEX(CW$7:CW$106,$AF9),1),IF($AG9&gt;0,INDEX(CW$7:CW$106,$AG9),1),IF($AH9&gt;0,INDEX(CW$7:CW$106,$AH9),1),IF($AI9&gt;0,INDEX(CW$7:CW$106,$AI9),1),IF($AJ9&gt;0,INDEX(CW$7:CW$106,$AJ9),1))))</ns0:f>
        <ns0:v>1</ns0:v>
      </ns0:c>
      <ns0:c r="CY9" t="n">
        <ns0:f>IF($A9="",1,IF(CX9=1,1,--AND(IF($AC9&gt;0,INDEX(CX$7:CX$106,$AC9),1),IF($AD9&gt;0,INDEX(CX$7:CX$106,$AD9),1),IF($AE9&gt;0,INDEX(CX$7:CX$106,$AE9),1),IF($AF9&gt;0,INDEX(CX$7:CX$106,$AF9),1),IF($AG9&gt;0,INDEX(CX$7:CX$106,$AG9),1),IF($AH9&gt;0,INDEX(CX$7:CX$106,$AH9),1),IF($AI9&gt;0,INDEX(CX$7:CX$106,$AI9),1),IF($AJ9&gt;0,INDEX(CX$7:CX$106,$AJ9),1))))</ns0:f>
        <ns0:v>1</ns0:v>
      </ns0:c>
      <ns0:c r="CZ9" t="n">
        <ns0:f>IF($A9="",1,IF(CY9=1,1,--AND(IF($AC9&gt;0,INDEX(CY$7:CY$106,$AC9),1),IF($AD9&gt;0,INDEX(CY$7:CY$106,$AD9),1),IF($AE9&gt;0,INDEX(CY$7:CY$106,$AE9),1),IF($AF9&gt;0,INDEX(CY$7:CY$106,$AF9),1),IF($AG9&gt;0,INDEX(CY$7:CY$106,$AG9),1),IF($AH9&gt;0,INDEX(CY$7:CY$106,$AH9),1),IF($AI9&gt;0,INDEX(CY$7:CY$106,$AI9),1),IF($AJ9&gt;0,INDEX(CY$7:CY$106,$AJ9),1))))</ns0:f>
        <ns0:v>1</ns0:v>
      </ns0:c>
      <ns0:c r="DA9" t="n">
        <ns0:f>IF($A9="",1,IF(CZ9=1,1,--AND(IF($AC9&gt;0,INDEX(CZ$7:CZ$106,$AC9),1),IF($AD9&gt;0,INDEX(CZ$7:CZ$106,$AD9),1),IF($AE9&gt;0,INDEX(CZ$7:CZ$106,$AE9),1),IF($AF9&gt;0,INDEX(CZ$7:CZ$106,$AF9),1),IF($AG9&gt;0,INDEX(CZ$7:CZ$106,$AG9),1),IF($AH9&gt;0,INDEX(CZ$7:CZ$106,$AH9),1),IF($AI9&gt;0,INDEX(CZ$7:CZ$106,$AI9),1),IF($AJ9&gt;0,INDEX(CZ$7:CZ$106,$AJ9),1))))</ns0:f>
        <ns0:v>1</ns0:v>
      </ns0:c>
      <ns0:c r="DB9" t="n">
        <ns0:f>IF($A9="",1,IF(DA9=1,1,--AND(IF($AC9&gt;0,INDEX(DA$7:DA$106,$AC9),1),IF($AD9&gt;0,INDEX(DA$7:DA$106,$AD9),1),IF($AE9&gt;0,INDEX(DA$7:DA$106,$AE9),1),IF($AF9&gt;0,INDEX(DA$7:DA$106,$AF9),1),IF($AG9&gt;0,INDEX(DA$7:DA$106,$AG9),1),IF($AH9&gt;0,INDEX(DA$7:DA$106,$AH9),1),IF($AI9&gt;0,INDEX(DA$7:DA$106,$AI9),1),IF($AJ9&gt;0,INDEX(DA$7:DA$106,$AJ9),1))))</ns0:f>
        <ns0:v>1</ns0:v>
      </ns0:c>
      <ns0:c r="DC9" t="n">
        <ns0:f>IF($A9="",1,IF(DB9=1,1,--AND(IF($AC9&gt;0,INDEX(DB$7:DB$106,$AC9),1),IF($AD9&gt;0,INDEX(DB$7:DB$106,$AD9),1),IF($AE9&gt;0,INDEX(DB$7:DB$106,$AE9),1),IF($AF9&gt;0,INDEX(DB$7:DB$106,$AF9),1),IF($AG9&gt;0,INDEX(DB$7:DB$106,$AG9),1),IF($AH9&gt;0,INDEX(DB$7:DB$106,$AH9),1),IF($AI9&gt;0,INDEX(DB$7:DB$106,$AI9),1),IF($AJ9&gt;0,INDEX(DB$7:DB$106,$AJ9),1))))</ns0:f>
        <ns0:v>1</ns0:v>
      </ns0:c>
      <ns0:c r="DD9" t="n">
        <ns0:f>IF($A9="",1,IF(DC9=1,1,--AND(IF($AC9&gt;0,INDEX(DC$7:DC$106,$AC9),1),IF($AD9&gt;0,INDEX(DC$7:DC$106,$AD9),1),IF($AE9&gt;0,INDEX(DC$7:DC$106,$AE9),1),IF($AF9&gt;0,INDEX(DC$7:DC$106,$AF9),1),IF($AG9&gt;0,INDEX(DC$7:DC$106,$AG9),1),IF($AH9&gt;0,INDEX(DC$7:DC$106,$AH9),1),IF($AI9&gt;0,INDEX(DC$7:DC$106,$AI9),1),IF($AJ9&gt;0,INDEX(DC$7:DC$106,$AJ9),1))))</ns0:f>
        <ns0:v>1</ns0:v>
      </ns0:c>
      <ns0:c r="DE9" t="n">
        <ns0:f>IF($A9="",1,IF(DD9=1,1,--AND(IF($AC9&gt;0,INDEX(DD$7:DD$106,$AC9),1),IF($AD9&gt;0,INDEX(DD$7:DD$106,$AD9),1),IF($AE9&gt;0,INDEX(DD$7:DD$106,$AE9),1),IF($AF9&gt;0,INDEX(DD$7:DD$106,$AF9),1),IF($AG9&gt;0,INDEX(DD$7:DD$106,$AG9),1),IF($AH9&gt;0,INDEX(DD$7:DD$106,$AH9),1),IF($AI9&gt;0,INDEX(DD$7:DD$106,$AI9),1),IF($AJ9&gt;0,INDEX(DD$7:DD$106,$AJ9),1))))</ns0:f>
        <ns0:v>1</ns0:v>
      </ns0:c>
      <ns0:c r="DF9" t="n">
        <ns0:f>IF($A9="",1,IF(DE9=1,1,--AND(IF($AC9&gt;0,INDEX(DE$7:DE$106,$AC9),1),IF($AD9&gt;0,INDEX(DE$7:DE$106,$AD9),1),IF($AE9&gt;0,INDEX(DE$7:DE$106,$AE9),1),IF($AF9&gt;0,INDEX(DE$7:DE$106,$AF9),1),IF($AG9&gt;0,INDEX(DE$7:DE$106,$AG9),1),IF($AH9&gt;0,INDEX(DE$7:DE$106,$AH9),1),IF($AI9&gt;0,INDEX(DE$7:DE$106,$AI9),1),IF($AJ9&gt;0,INDEX(DE$7:DE$106,$AJ9),1))))</ns0:f>
        <ns0:v>1</ns0:v>
      </ns0:c>
      <ns0:c r="DG9" t="n">
        <ns0:f>IF($A9="",1,IF(DF9=1,1,--AND(IF($AC9&gt;0,INDEX(DF$7:DF$106,$AC9),1),IF($AD9&gt;0,INDEX(DF$7:DF$106,$AD9),1),IF($AE9&gt;0,INDEX(DF$7:DF$106,$AE9),1),IF($AF9&gt;0,INDEX(DF$7:DF$106,$AF9),1),IF($AG9&gt;0,INDEX(DF$7:DF$106,$AG9),1),IF($AH9&gt;0,INDEX(DF$7:DF$106,$AH9),1),IF($AI9&gt;0,INDEX(DF$7:DF$106,$AI9),1),IF($AJ9&gt;0,INDEX(DF$7:DF$106,$AJ9),1))))</ns0:f>
        <ns0:v>1</ns0:v>
      </ns0:c>
      <ns0:c r="DH9" t="n">
        <ns0:f>IF($A9="",1,IF(DG9=1,1,--AND(IF($AC9&gt;0,INDEX(DG$7:DG$106,$AC9),1),IF($AD9&gt;0,INDEX(DG$7:DG$106,$AD9),1),IF($AE9&gt;0,INDEX(DG$7:DG$106,$AE9),1),IF($AF9&gt;0,INDEX(DG$7:DG$106,$AF9),1),IF($AG9&gt;0,INDEX(DG$7:DG$106,$AG9),1),IF($AH9&gt;0,INDEX(DG$7:DG$106,$AH9),1),IF($AI9&gt;0,INDEX(DG$7:DG$106,$AI9),1),IF($AJ9&gt;0,INDEX(DG$7:DG$106,$AJ9),1))))</ns0:f>
        <ns0:v>1</ns0:v>
      </ns0:c>
      <ns0:c r="DI9" t="n">
        <ns0:f>IF($A9="",1,IF(DH9=1,1,--AND(IF($AC9&gt;0,INDEX(DH$7:DH$106,$AC9),1),IF($AD9&gt;0,INDEX(DH$7:DH$106,$AD9),1),IF($AE9&gt;0,INDEX(DH$7:DH$106,$AE9),1),IF($AF9&gt;0,INDEX(DH$7:DH$106,$AF9),1),IF($AG9&gt;0,INDEX(DH$7:DH$106,$AG9),1),IF($AH9&gt;0,INDEX(DH$7:DH$106,$AH9),1),IF($AI9&gt;0,INDEX(DH$7:DH$106,$AI9),1),IF($AJ9&gt;0,INDEX(DH$7:DH$106,$AJ9),1))))</ns0:f>
        <ns0:v>1</ns0:v>
      </ns0:c>
      <ns0:c r="DJ9" t="n">
        <ns0:f>IF($A9="",1,IF(DI9=1,1,--AND(IF($AC9&gt;0,INDEX(DI$7:DI$106,$AC9),1),IF($AD9&gt;0,INDEX(DI$7:DI$106,$AD9),1),IF($AE9&gt;0,INDEX(DI$7:DI$106,$AE9),1),IF($AF9&gt;0,INDEX(DI$7:DI$106,$AF9),1),IF($AG9&gt;0,INDEX(DI$7:DI$106,$AG9),1),IF($AH9&gt;0,INDEX(DI$7:DI$106,$AH9),1),IF($AI9&gt;0,INDEX(DI$7:DI$106,$AI9),1),IF($AJ9&gt;0,INDEX(DI$7:DI$106,$AJ9),1))))</ns0:f>
        <ns0:v>1</ns0:v>
      </ns0:c>
      <ns0:c r="DK9" t="n">
        <ns0:f>IF($A9="",1,IF(DJ9=1,1,--AND(IF($AC9&gt;0,INDEX(DJ$7:DJ$106,$AC9),1),IF($AD9&gt;0,INDEX(DJ$7:DJ$106,$AD9),1),IF($AE9&gt;0,INDEX(DJ$7:DJ$106,$AE9),1),IF($AF9&gt;0,INDEX(DJ$7:DJ$106,$AF9),1),IF($AG9&gt;0,INDEX(DJ$7:DJ$106,$AG9),1),IF($AH9&gt;0,INDEX(DJ$7:DJ$106,$AH9),1),IF($AI9&gt;0,INDEX(DJ$7:DJ$106,$AI9),1),IF($AJ9&gt;0,INDEX(DJ$7:DJ$106,$AJ9),1))))</ns0:f>
        <ns0:v>1</ns0:v>
      </ns0:c>
      <ns0:c r="DL9" t="n">
        <ns0:f>IF($A9="",1,IF(DK9=1,1,--AND(IF($AC9&gt;0,INDEX(DK$7:DK$106,$AC9),1),IF($AD9&gt;0,INDEX(DK$7:DK$106,$AD9),1),IF($AE9&gt;0,INDEX(DK$7:DK$106,$AE9),1),IF($AF9&gt;0,INDEX(DK$7:DK$106,$AF9),1),IF($AG9&gt;0,INDEX(DK$7:DK$106,$AG9),1),IF($AH9&gt;0,INDEX(DK$7:DK$106,$AH9),1),IF($AI9&gt;0,INDEX(DK$7:DK$106,$AI9),1),IF($AJ9&gt;0,INDEX(DK$7:DK$106,$AJ9),1))))</ns0:f>
        <ns0:v>1</ns0:v>
      </ns0:c>
      <ns0:c r="DM9" t="n">
        <ns0:f>IF($A9="",1,IF(DL9=1,1,--AND(IF($AC9&gt;0,INDEX(DL$7:DL$106,$AC9),1),IF($AD9&gt;0,INDEX(DL$7:DL$106,$AD9),1),IF($AE9&gt;0,INDEX(DL$7:DL$106,$AE9),1),IF($AF9&gt;0,INDEX(DL$7:DL$106,$AF9),1),IF($AG9&gt;0,INDEX(DL$7:DL$106,$AG9),1),IF($AH9&gt;0,INDEX(DL$7:DL$106,$AH9),1),IF($AI9&gt;0,INDEX(DL$7:DL$106,$AI9),1),IF($AJ9&gt;0,INDEX(DL$7:DL$106,$AJ9),1))))</ns0:f>
        <ns0:v>1</ns0:v>
      </ns0:c>
      <ns0:c r="DN9" t="n">
        <ns0:f>IF($A9="",1,IF(DM9=1,1,--AND(IF($AC9&gt;0,INDEX(DM$7:DM$106,$AC9),1),IF($AD9&gt;0,INDEX(DM$7:DM$106,$AD9),1),IF($AE9&gt;0,INDEX(DM$7:DM$106,$AE9),1),IF($AF9&gt;0,INDEX(DM$7:DM$106,$AF9),1),IF($AG9&gt;0,INDEX(DM$7:DM$106,$AG9),1),IF($AH9&gt;0,INDEX(DM$7:DM$106,$AH9),1),IF($AI9&gt;0,INDEX(DM$7:DM$106,$AI9),1),IF($AJ9&gt;0,INDEX(DM$7:DM$106,$AJ9),1))))</ns0:f>
        <ns0:v>1</ns0:v>
      </ns0:c>
      <ns0:c r="DO9" t="n">
        <ns0:f>IF($A9="",1,IF(DN9=1,1,--AND(IF($AC9&gt;0,INDEX(DN$7:DN$106,$AC9),1),IF($AD9&gt;0,INDEX(DN$7:DN$106,$AD9),1),IF($AE9&gt;0,INDEX(DN$7:DN$106,$AE9),1),IF($AF9&gt;0,INDEX(DN$7:DN$106,$AF9),1),IF($AG9&gt;0,INDEX(DN$7:DN$106,$AG9),1),IF($AH9&gt;0,INDEX(DN$7:DN$106,$AH9),1),IF($AI9&gt;0,INDEX(DN$7:DN$106,$AI9),1),IF($AJ9&gt;0,INDEX(DN$7:DN$106,$AJ9),1))))</ns0:f>
        <ns0:v>1</ns0:v>
      </ns0:c>
      <ns0:c r="DP9" t="n">
        <ns0:f>IF($A9="",1,IF(DO9=1,1,--AND(IF($AC9&gt;0,INDEX(DO$7:DO$106,$AC9),1),IF($AD9&gt;0,INDEX(DO$7:DO$106,$AD9),1),IF($AE9&gt;0,INDEX(DO$7:DO$106,$AE9),1),IF($AF9&gt;0,INDEX(DO$7:DO$106,$AF9),1),IF($AG9&gt;0,INDEX(DO$7:DO$106,$AG9),1),IF($AH9&gt;0,INDEX(DO$7:DO$106,$AH9),1),IF($AI9&gt;0,INDEX(DO$7:DO$106,$AI9),1),IF($AJ9&gt;0,INDEX(DO$7:DO$106,$AJ9),1))))</ns0:f>
        <ns0:v>1</ns0:v>
      </ns0:c>
      <ns0:c r="DQ9" t="n">
        <ns0:f>IF($A9="",1,IF(DP9=1,1,--AND(IF($AC9&gt;0,INDEX(DP$7:DP$106,$AC9),1),IF($AD9&gt;0,INDEX(DP$7:DP$106,$AD9),1),IF($AE9&gt;0,INDEX(DP$7:DP$106,$AE9),1),IF($AF9&gt;0,INDEX(DP$7:DP$106,$AF9),1),IF($AG9&gt;0,INDEX(DP$7:DP$106,$AG9),1),IF($AH9&gt;0,INDEX(DP$7:DP$106,$AH9),1),IF($AI9&gt;0,INDEX(DP$7:DP$106,$AI9),1),IF($AJ9&gt;0,INDEX(DP$7:DP$106,$AJ9),1))))</ns0:f>
        <ns0:v>1</ns0:v>
      </ns0:c>
      <ns0:c r="DR9" t="n">
        <ns0:f>IF($A9="",1,IF(DQ9=1,1,--AND(IF($AC9&gt;0,INDEX(DQ$7:DQ$106,$AC9),1),IF($AD9&gt;0,INDEX(DQ$7:DQ$106,$AD9),1),IF($AE9&gt;0,INDEX(DQ$7:DQ$106,$AE9),1),IF($AF9&gt;0,INDEX(DQ$7:DQ$106,$AF9),1),IF($AG9&gt;0,INDEX(DQ$7:DQ$106,$AG9),1),IF($AH9&gt;0,INDEX(DQ$7:DQ$106,$AH9),1),IF($AI9&gt;0,INDEX(DQ$7:DQ$106,$AI9),1),IF($AJ9&gt;0,INDEX(DQ$7:DQ$106,$AJ9),1))))</ns0:f>
        <ns0:v>1</ns0:v>
      </ns0:c>
      <ns0:c r="DS9" t="n">
        <ns0:f>IF($A9="",1,IF(DR9=1,1,--AND(IF($AC9&gt;0,INDEX(DR$7:DR$106,$AC9),1),IF($AD9&gt;0,INDEX(DR$7:DR$106,$AD9),1),IF($AE9&gt;0,INDEX(DR$7:DR$106,$AE9),1),IF($AF9&gt;0,INDEX(DR$7:DR$106,$AF9),1),IF($AG9&gt;0,INDEX(DR$7:DR$106,$AG9),1),IF($AH9&gt;0,INDEX(DR$7:DR$106,$AH9),1),IF($AI9&gt;0,INDEX(DR$7:DR$106,$AI9),1),IF($AJ9&gt;0,INDEX(DR$7:DR$106,$AJ9),1))))</ns0:f>
        <ns0:v>1</ns0:v>
      </ns0:c>
      <ns0:c r="DT9" t="n">
        <ns0:f>IF($A9="",1,IF(DS9=1,1,--AND(IF($AC9&gt;0,INDEX(DS$7:DS$106,$AC9),1),IF($AD9&gt;0,INDEX(DS$7:DS$106,$AD9),1),IF($AE9&gt;0,INDEX(DS$7:DS$106,$AE9),1),IF($AF9&gt;0,INDEX(DS$7:DS$106,$AF9),1),IF($AG9&gt;0,INDEX(DS$7:DS$106,$AG9),1),IF($AH9&gt;0,INDEX(DS$7:DS$106,$AH9),1),IF($AI9&gt;0,INDEX(DS$7:DS$106,$AI9),1),IF($AJ9&gt;0,INDEX(DS$7:DS$106,$AJ9),1))))</ns0:f>
        <ns0:v>1</ns0:v>
      </ns0:c>
      <ns0:c r="DU9" t="n">
        <ns0:f>IF($A9="",1,IF(DT9=1,1,--AND(IF($AC9&gt;0,INDEX(DT$7:DT$106,$AC9),1),IF($AD9&gt;0,INDEX(DT$7:DT$106,$AD9),1),IF($AE9&gt;0,INDEX(DT$7:DT$106,$AE9),1),IF($AF9&gt;0,INDEX(DT$7:DT$106,$AF9),1),IF($AG9&gt;0,INDEX(DT$7:DT$106,$AG9),1),IF($AH9&gt;0,INDEX(DT$7:DT$106,$AH9),1),IF($AI9&gt;0,INDEX(DT$7:DT$106,$AI9),1),IF($AJ9&gt;0,INDEX(DT$7:DT$106,$AJ9),1))))</ns0:f>
        <ns0:v>1</ns0:v>
      </ns0:c>
      <ns0:c r="DV9" t="n">
        <ns0:f>IF($A9="",1,IF(DU9=1,1,--AND(IF($AC9&gt;0,INDEX(DU$7:DU$106,$AC9),1),IF($AD9&gt;0,INDEX(DU$7:DU$106,$AD9),1),IF($AE9&gt;0,INDEX(DU$7:DU$106,$AE9),1),IF($AF9&gt;0,INDEX(DU$7:DU$106,$AF9),1),IF($AG9&gt;0,INDEX(DU$7:DU$106,$AG9),1),IF($AH9&gt;0,INDEX(DU$7:DU$106,$AH9),1),IF($AI9&gt;0,INDEX(DU$7:DU$106,$AI9),1),IF($AJ9&gt;0,INDEX(DU$7:DU$106,$AJ9),1))))</ns0:f>
        <ns0:v>1</ns0:v>
      </ns0:c>
      <ns0:c r="DW9" t="n">
        <ns0:f>IF($A9="",1,IF(DV9=1,1,--AND(IF($AC9&gt;0,INDEX(DV$7:DV$106,$AC9),1),IF($AD9&gt;0,INDEX(DV$7:DV$106,$AD9),1),IF($AE9&gt;0,INDEX(DV$7:DV$106,$AE9),1),IF($AF9&gt;0,INDEX(DV$7:DV$106,$AF9),1),IF($AG9&gt;0,INDEX(DV$7:DV$106,$AG9),1),IF($AH9&gt;0,INDEX(DV$7:DV$106,$AH9),1),IF($AI9&gt;0,INDEX(DV$7:DV$106,$AI9),1),IF($AJ9&gt;0,INDEX(DV$7:DV$106,$AJ9),1))))</ns0:f>
        <ns0:v>1</ns0:v>
      </ns0:c>
      <ns0:c r="DX9" t="n">
        <ns0:f>IF($A9="",1,IF(DW9=1,1,--AND(IF($AC9&gt;0,INDEX(DW$7:DW$106,$AC9),1),IF($AD9&gt;0,INDEX(DW$7:DW$106,$AD9),1),IF($AE9&gt;0,INDEX(DW$7:DW$106,$AE9),1),IF($AF9&gt;0,INDEX(DW$7:DW$106,$AF9),1),IF($AG9&gt;0,INDEX(DW$7:DW$106,$AG9),1),IF($AH9&gt;0,INDEX(DW$7:DW$106,$AH9),1),IF($AI9&gt;0,INDEX(DW$7:DW$106,$AI9),1),IF($AJ9&gt;0,INDEX(DW$7:DW$106,$AJ9),1))))</ns0:f>
        <ns0:v>1</ns0:v>
      </ns0:c>
      <ns0:c r="DY9" t="n">
        <ns0:f>IF($A9="",1,IF(DX9=1,1,--AND(IF($AC9&gt;0,INDEX(DX$7:DX$106,$AC9),1),IF($AD9&gt;0,INDEX(DX$7:DX$106,$AD9),1),IF($AE9&gt;0,INDEX(DX$7:DX$106,$AE9),1),IF($AF9&gt;0,INDEX(DX$7:DX$106,$AF9),1),IF($AG9&gt;0,INDEX(DX$7:DX$106,$AG9),1),IF($AH9&gt;0,INDEX(DX$7:DX$106,$AH9),1),IF($AI9&gt;0,INDEX(DX$7:DX$106,$AI9),1),IF($AJ9&gt;0,INDEX(DX$7:DX$106,$AJ9),1))))</ns0:f>
        <ns0:v>1</ns0:v>
      </ns0:c>
      <ns0:c r="DZ9" t="n">
        <ns0:f>IF($A9="",1,IF(DY9=1,1,--AND(IF($AC9&gt;0,INDEX(DY$7:DY$106,$AC9),1),IF($AD9&gt;0,INDEX(DY$7:DY$106,$AD9),1),IF($AE9&gt;0,INDEX(DY$7:DY$106,$AE9),1),IF($AF9&gt;0,INDEX(DY$7:DY$106,$AF9),1),IF($AG9&gt;0,INDEX(DY$7:DY$106,$AG9),1),IF($AH9&gt;0,INDEX(DY$7:DY$106,$AH9),1),IF($AI9&gt;0,INDEX(DY$7:DY$106,$AI9),1),IF($AJ9&gt;0,INDEX(DY$7:DY$106,$AJ9),1))))</ns0:f>
        <ns0:v>1</ns0:v>
      </ns0:c>
      <ns0:c r="EA9" t="n">
        <ns0:f>IF($A9="",1,IF(DZ9=1,1,--AND(IF($AC9&gt;0,INDEX(DZ$7:DZ$106,$AC9),1),IF($AD9&gt;0,INDEX(DZ$7:DZ$106,$AD9),1),IF($AE9&gt;0,INDEX(DZ$7:DZ$106,$AE9),1),IF($AF9&gt;0,INDEX(DZ$7:DZ$106,$AF9),1),IF($AG9&gt;0,INDEX(DZ$7:DZ$106,$AG9),1),IF($AH9&gt;0,INDEX(DZ$7:DZ$106,$AH9),1),IF($AI9&gt;0,INDEX(DZ$7:DZ$106,$AI9),1),IF($AJ9&gt;0,INDEX(DZ$7:DZ$106,$AJ9),1))))</ns0:f>
        <ns0:v>1</ns0:v>
      </ns0:c>
      <ns0:c r="EB9" t="n">
        <ns0:f>IF($A9="",1,IF(EA9=1,1,--AND(IF($AC9&gt;0,INDEX(EA$7:EA$106,$AC9),1),IF($AD9&gt;0,INDEX(EA$7:EA$106,$AD9),1),IF($AE9&gt;0,INDEX(EA$7:EA$106,$AE9),1),IF($AF9&gt;0,INDEX(EA$7:EA$106,$AF9),1),IF($AG9&gt;0,INDEX(EA$7:EA$106,$AG9),1),IF($AH9&gt;0,INDEX(EA$7:EA$106,$AH9),1),IF($AI9&gt;0,INDEX(EA$7:EA$106,$AI9),1),IF($AJ9&gt;0,INDEX(EA$7:EA$106,$AJ9),1))))</ns0:f>
        <ns0:v>1</ns0:v>
      </ns0:c>
      <ns0:c r="EC9" t="n">
        <ns0:f>IF($A9="",1,IF(EB9=1,1,--AND(IF($AC9&gt;0,INDEX(EB$7:EB$106,$AC9),1),IF($AD9&gt;0,INDEX(EB$7:EB$106,$AD9),1),IF($AE9&gt;0,INDEX(EB$7:EB$106,$AE9),1),IF($AF9&gt;0,INDEX(EB$7:EB$106,$AF9),1),IF($AG9&gt;0,INDEX(EB$7:EB$106,$AG9),1),IF($AH9&gt;0,INDEX(EB$7:EB$106,$AH9),1),IF($AI9&gt;0,INDEX(EB$7:EB$106,$AI9),1),IF($AJ9&gt;0,INDEX(EB$7:EB$106,$AJ9),1))))</ns0:f>
        <ns0:v>1</ns0:v>
      </ns0:c>
      <ns0:c r="ED9" t="n">
        <ns0:f>IF($A9="",1,IF(EC9=1,1,--AND(IF($AC9&gt;0,INDEX(EC$7:EC$106,$AC9),1),IF($AD9&gt;0,INDEX(EC$7:EC$106,$AD9),1),IF($AE9&gt;0,INDEX(EC$7:EC$106,$AE9),1),IF($AF9&gt;0,INDEX(EC$7:EC$106,$AF9),1),IF($AG9&gt;0,INDEX(EC$7:EC$106,$AG9),1),IF($AH9&gt;0,INDEX(EC$7:EC$106,$AH9),1),IF($AI9&gt;0,INDEX(EC$7:EC$106,$AI9),1),IF($AJ9&gt;0,INDEX(EC$7:EC$106,$AJ9),1))))</ns0:f>
        <ns0:v>1</ns0:v>
      </ns0:c>
      <ns0:c r="EE9" t="n">
        <ns0:f>IF($A9="",1,IF(ED9=1,1,--AND(IF($AC9&gt;0,INDEX(ED$7:ED$106,$AC9),1),IF($AD9&gt;0,INDEX(ED$7:ED$106,$AD9),1),IF($AE9&gt;0,INDEX(ED$7:ED$106,$AE9),1),IF($AF9&gt;0,INDEX(ED$7:ED$106,$AF9),1),IF($AG9&gt;0,INDEX(ED$7:ED$106,$AG9),1),IF($AH9&gt;0,INDEX(ED$7:ED$106,$AH9),1),IF($AI9&gt;0,INDEX(ED$7:ED$106,$AI9),1),IF($AJ9&gt;0,INDEX(ED$7:ED$106,$AJ9),1))))</ns0:f>
        <ns0:v>1</ns0:v>
      </ns0:c>
      <ns0:c r="EF9" t="n">
        <ns0:f>IF($A9="",1,IF(EE9=1,1,--AND(IF($AC9&gt;0,INDEX(EE$7:EE$106,$AC9),1),IF($AD9&gt;0,INDEX(EE$7:EE$106,$AD9),1),IF($AE9&gt;0,INDEX(EE$7:EE$106,$AE9),1),IF($AF9&gt;0,INDEX(EE$7:EE$106,$AF9),1),IF($AG9&gt;0,INDEX(EE$7:EE$106,$AG9),1),IF($AH9&gt;0,INDEX(EE$7:EE$106,$AH9),1),IF($AI9&gt;0,INDEX(EE$7:EE$106,$AI9),1),IF($AJ9&gt;0,INDEX(EE$7:EE$106,$AJ9),1))))</ns0:f>
        <ns0:v>1</ns0:v>
      </ns0:c>
      <ns0:c r="EG9" t="n">
        <ns0:f>IF($A9="",1,IF(EF9=1,1,--AND(IF($AC9&gt;0,INDEX(EF$7:EF$106,$AC9),1),IF($AD9&gt;0,INDEX(EF$7:EF$106,$AD9),1),IF($AE9&gt;0,INDEX(EF$7:EF$106,$AE9),1),IF($AF9&gt;0,INDEX(EF$7:EF$106,$AF9),1),IF($AG9&gt;0,INDEX(EF$7:EF$106,$AG9),1),IF($AH9&gt;0,INDEX(EF$7:EF$106,$AH9),1),IF($AI9&gt;0,INDEX(EF$7:EF$106,$AI9),1),IF($AJ9&gt;0,INDEX(EF$7:EF$106,$AJ9),1))))</ns0:f>
        <ns0:v>1</ns0:v>
      </ns0:c>
      <ns0:c r="EH9" t="n">
        <ns0:f>IF($A9="",1,IF(EG9=1,1,--AND(IF($AC9&gt;0,INDEX(EG$7:EG$106,$AC9),1),IF($AD9&gt;0,INDEX(EG$7:EG$106,$AD9),1),IF($AE9&gt;0,INDEX(EG$7:EG$106,$AE9),1),IF($AF9&gt;0,INDEX(EG$7:EG$106,$AF9),1),IF($AG9&gt;0,INDEX(EG$7:EG$106,$AG9),1),IF($AH9&gt;0,INDEX(EG$7:EG$106,$AH9),1),IF($AI9&gt;0,INDEX(EG$7:EG$106,$AI9),1),IF($AJ9&gt;0,INDEX(EG$7:EG$106,$AJ9),1))))</ns0:f>
        <ns0:v>1</ns0:v>
      </ns0:c>
      <ns0:c r="EI9" t="n">
        <ns0:f>IF($A9="",1,IF(EH9=1,1,--AND(IF($AC9&gt;0,INDEX(EH$7:EH$106,$AC9),1),IF($AD9&gt;0,INDEX(EH$7:EH$106,$AD9),1),IF($AE9&gt;0,INDEX(EH$7:EH$106,$AE9),1),IF($AF9&gt;0,INDEX(EH$7:EH$106,$AF9),1),IF($AG9&gt;0,INDEX(EH$7:EH$106,$AG9),1),IF($AH9&gt;0,INDEX(EH$7:EH$106,$AH9),1),IF($AI9&gt;0,INDEX(EH$7:EH$106,$AI9),1),IF($AJ9&gt;0,INDEX(EH$7:EH$106,$AJ9),1))))</ns0:f>
        <ns0:v>1</ns0:v>
      </ns0:c>
      <ns0:c r="EJ9" t="n">
        <ns0:f>IF($A9="",1,IF(EI9=1,1,--AND(IF($AC9&gt;0,INDEX(EI$7:EI$106,$AC9),1),IF($AD9&gt;0,INDEX(EI$7:EI$106,$AD9),1),IF($AE9&gt;0,INDEX(EI$7:EI$106,$AE9),1),IF($AF9&gt;0,INDEX(EI$7:EI$106,$AF9),1),IF($AG9&gt;0,INDEX(EI$7:EI$106,$AG9),1),IF($AH9&gt;0,INDEX(EI$7:EI$106,$AH9),1),IF($AI9&gt;0,INDEX(EI$7:EI$106,$AI9),1),IF($AJ9&gt;0,INDEX(EI$7:EI$106,$AJ9),1))))</ns0:f>
        <ns0:v>1</ns0:v>
      </ns0:c>
      <ns0:c r="EK9" t="n">
        <ns0:f>IF($A9="",1,IF(EJ9=1,1,--AND(IF($AC9&gt;0,INDEX(EJ$7:EJ$106,$AC9),1),IF($AD9&gt;0,INDEX(EJ$7:EJ$106,$AD9),1),IF($AE9&gt;0,INDEX(EJ$7:EJ$106,$AE9),1),IF($AF9&gt;0,INDEX(EJ$7:EJ$106,$AF9),1),IF($AG9&gt;0,INDEX(EJ$7:EJ$106,$AG9),1),IF($AH9&gt;0,INDEX(EJ$7:EJ$106,$AH9),1),IF($AI9&gt;0,INDEX(EJ$7:EJ$106,$AI9),1),IF($AJ9&gt;0,INDEX(EJ$7:EJ$106,$AJ9),1))))</ns0:f>
        <ns0:v>1</ns0:v>
      </ns0:c>
      <ns0:c r="EL9" t="n">
        <ns0:f>IF($A9="",1,IF(EK9=1,1,--AND(IF($AC9&gt;0,INDEX(EK$7:EK$106,$AC9),1),IF($AD9&gt;0,INDEX(EK$7:EK$106,$AD9),1),IF($AE9&gt;0,INDEX(EK$7:EK$106,$AE9),1),IF($AF9&gt;0,INDEX(EK$7:EK$106,$AF9),1),IF($AG9&gt;0,INDEX(EK$7:EK$106,$AG9),1),IF($AH9&gt;0,INDEX(EK$7:EK$106,$AH9),1),IF($AI9&gt;0,INDEX(EK$7:EK$106,$AI9),1),IF($AJ9&gt;0,INDEX(EK$7:EK$106,$AJ9),1))))</ns0:f>
        <ns0:v>1</ns0:v>
      </ns0:c>
      <ns0:c r="EM9" t="n">
        <ns0:f>IF($A9="",1,IF(EL9=1,1,--AND(IF($AC9&gt;0,INDEX(EL$7:EL$106,$AC9),1),IF($AD9&gt;0,INDEX(EL$7:EL$106,$AD9),1),IF($AE9&gt;0,INDEX(EL$7:EL$106,$AE9),1),IF($AF9&gt;0,INDEX(EL$7:EL$106,$AF9),1),IF($AG9&gt;0,INDEX(EL$7:EL$106,$AG9),1),IF($AH9&gt;0,INDEX(EL$7:EL$106,$AH9),1),IF($AI9&gt;0,INDEX(EL$7:EL$106,$AI9),1),IF($AJ9&gt;0,INDEX(EL$7:EL$106,$AJ9),1))))</ns0:f>
        <ns0:v>1</ns0:v>
      </ns0:c>
      <ns0:c r="EN9" t="n">
        <ns0:f>IF($A9="",1,IF(EM9=1,1,--AND(IF($AC9&gt;0,INDEX(EM$7:EM$106,$AC9),1),IF($AD9&gt;0,INDEX(EM$7:EM$106,$AD9),1),IF($AE9&gt;0,INDEX(EM$7:EM$106,$AE9),1),IF($AF9&gt;0,INDEX(EM$7:EM$106,$AF9),1),IF($AG9&gt;0,INDEX(EM$7:EM$106,$AG9),1),IF($AH9&gt;0,INDEX(EM$7:EM$106,$AH9),1),IF($AI9&gt;0,INDEX(EM$7:EM$106,$AI9),1),IF($AJ9&gt;0,INDEX(EM$7:EM$106,$AJ9),1))))</ns0:f>
        <ns0:v>1</ns0:v>
      </ns0:c>
      <ns0:c r="EO9" t="n">
        <ns0:f>IF($A9="",1,IF(EN9=1,1,--AND(IF($AC9&gt;0,INDEX(EN$7:EN$106,$AC9),1),IF($AD9&gt;0,INDEX(EN$7:EN$106,$AD9),1),IF($AE9&gt;0,INDEX(EN$7:EN$106,$AE9),1),IF($AF9&gt;0,INDEX(EN$7:EN$106,$AF9),1),IF($AG9&gt;0,INDEX(EN$7:EN$106,$AG9),1),IF($AH9&gt;0,INDEX(EN$7:EN$106,$AH9),1),IF($AI9&gt;0,INDEX(EN$7:EN$106,$AI9),1),IF($AJ9&gt;0,INDEX(EN$7:EN$106,$AJ9),1))))</ns0:f>
        <ns0:v>1</ns0:v>
      </ns0:c>
      <ns0:c r="EP9" t="n">
        <ns0:f>IF($A9="",1,IF(EO9=1,1,--AND(IF($AC9&gt;0,INDEX(EO$7:EO$106,$AC9),1),IF($AD9&gt;0,INDEX(EO$7:EO$106,$AD9),1),IF($AE9&gt;0,INDEX(EO$7:EO$106,$AE9),1),IF($AF9&gt;0,INDEX(EO$7:EO$106,$AF9),1),IF($AG9&gt;0,INDEX(EO$7:EO$106,$AG9),1),IF($AH9&gt;0,INDEX(EO$7:EO$106,$AH9),1),IF($AI9&gt;0,INDEX(EO$7:EO$106,$AI9),1),IF($AJ9&gt;0,INDEX(EO$7:EO$106,$AJ9),1))))</ns0:f>
        <ns0:v>1</ns0:v>
      </ns0:c>
      <ns0:c r="EQ9" t="n">
        <ns0:f>IF(OR(A9="",NOT(ISNUMBER(G9))),0,G9*N9)</ns0:f>
        <ns0:v>0</ns0:v>
      </ns0:c>
    </ns0:row>
    <ns0:row r="10" ht="62" customHeight="1">
      <ns0:c r="A10" s="48" t="str">
        <ns0:v>T04</ns0:v>
      </ns0:c>
      <ns0:c r="B10" s="48" t="str">
        <ns0:v>Governance &amp; state</ns0:v>
      </ns0:c>
      <ns0:c r="C10" s="48" t="str">
        <ns0:v>Initialize Canonical Task State Machine (CTS) and DAG execution schema</ns0:v>
      </ns0:c>
      <ns0:c r="D10" s="48" t="str">
        <ns0:v>Define lifecycle states, checkpoints, dependency locks and holds.</ns0:v>
      </ns0:c>
      <ns0:c r="E10" s="49" t="n">
        <ns0:v>46277</ns0:v>
      </ns0:c>
      <ns0:c r="F10" s="49" t="n">
        <ns0:v>46278</ns0:v>
      </ns0:c>
      <ns0:c r="G10" s="13" t="n">
        <ns0:f>IF(A10="","",IF(OR(NOT(ISNUMBER(E10)),NOT(ISNUMBER(F10)),F10&lt;E10),"",IF(J10="Yes",0,F10-E10+1)))</ns0:f>
        <ns0:v>2</ns0:v>
      </ns0:c>
      <ns0:c r="H10" s="48" t="str">
        <ns0:v>T01</ns0:v>
      </ns0:c>
      <ns0:c r="I10" s="48" t="str">
        <ns0:v>FS</ns0:v>
      </ns0:c>
      <ns0:c r="J10" s="48" t="str">
        <ns0:v>No</ns0:v>
      </ns0:c>
      <ns0:c r="K10" s="48" t="str">
        <ns0:v>Canonical Task State Machine (CTS)</ns0:v>
      </ns0:c>
      <ns0:c r="L10" s="48" t="str"/>
      <ns0:c r="M10" s="50" t="str">
        <ns0:f>IF(A10="","",IF(N10=1,"Completed",IF(N10&gt;0,"In Progress","Not Started")))</ns0:f>
        <ns0:v>Not Started</ns0:v>
      </ns0:c>
      <ns0:c r="N10" s="51" t="n">
        <ns0:v>0</ns0:v>
      </ns0:c>
      <ns0:c r="O10" s="13" t="str">
        <ns0:f>IF(A10="","",IF(R10&lt;&gt;"","[CONFLICT] "&amp;R10,IF(S10&lt;&gt;"","[CONFLICT] "&amp;S10,IF(OR(NOT(ISNUMBER(N10)),N10&lt;0,N10&gt;1),"[CONFLICT] Invalid progress",IF(AK10&gt;0,"[DEPENDENCY ISSUE] Missing ID / &gt;8 links",IF(AM10&gt;0,"[DEPENDENCY ISSUE] Cycle or blocked by cycle",IF(AND(H10&lt;&gt;"",ISNA(MATCH(I10,{"FS","SS","FF","SF"},0))),"[DEPENDENCY ISSUE] Invalid type",IF(AL10&gt;0,"[DEPENDENCY ISSUE] Timing conflict",IF(OR(E10&lt;ProjectStart,F10&gt;ProjectEnd),"[OUTSIDE WINDOW]",IF(AND(N10&lt;1,F10&lt;AsOfDate),"Overdue",IF(AND(M10&lt;&gt;Q10,M10&lt;&gt;""),"[CONFLICT] Status / progress","On track")))))))))))</ns0:f>
        <ns0:v>On track</ns0:v>
      </ns0:c>
      <ns0:c r="P10" s="52" t="str">
        <ns0:v>Source: Project Plan Essentials (2).md §1, §2, §4. Original 2026-09-12 to 2026-09-14, 3d; original progress 100% [INFERRED]. [INFERRED] Rescheduled to fit 34d with FS. Duration reduced to 2d. Original resource/tools: Canonical Task State Machine (CTS).</ns0:v>
      </ns0:c>
      <ns0:c r="Q10" t="str">
        <ns0:f>IF(A10="","",IF(OR(M10="On Hold",M10="Delayed"),M10,IF(N10=1,"Completed",IF(N10&gt;0,"In Progress","Not Started"))))</ns0:f>
        <ns0:v>Not Started</ns0:v>
      </ns0:c>
      <ns0:c r="R10" t="str">
        <ns0:f>IF(A10="","",IF(COUNTIFS(Tasks[Task ID],A10)&lt;&gt;1,"Duplicate ID",""))</ns0:f>
      </ns0:c>
      <ns0:c r="S10" t="str">
        <ns0:f>IF(A10="","",IF(OR(NOT(ISNUMBER(E10)),NOT(ISNUMBER(F10))),"Invalid / missing date",IF(OR(E10&lt;&gt;INT(E10),F10&lt;&gt;INT(F10),E10&lt;1,F10&gt;2958465),"Invalid date",IF(F10&lt;E10,"End before start",IF(AND(J10="Yes",E10&lt;&gt;F10),"Milestone needs one date","")))))</ns0:f>
      </ns0:c>
      <ns0:c r="T10" t="n">
        <ns0:f>IF(H10="",0,LEN(H10)-LEN(SUBSTITUTE(H10,",",""))+1)</ns0:f>
        <ns0:v>1</ns0:v>
      </ns0:c>
      <ns0:c r="U10" t="str">
        <ns0:f>TRIM(MID(SUBSTITUTE($H10,",",REPT(" ",100)),1,100))</ns0:f>
        <ns0:v>T01</ns0:v>
      </ns0:c>
      <ns0:c r="V10" t="str">
        <ns0:f>TRIM(MID(SUBSTITUTE($H10,",",REPT(" ",100)),101,100))</ns0:f>
      </ns0:c>
      <ns0:c r="W10" t="str">
        <ns0:f>TRIM(MID(SUBSTITUTE($H10,",",REPT(" ",100)),201,100))</ns0:f>
      </ns0:c>
      <ns0:c r="X10" t="str">
        <ns0:f>TRIM(MID(SUBSTITUTE($H10,",",REPT(" ",100)),301,100))</ns0:f>
      </ns0:c>
      <ns0:c r="Y10" t="str">
        <ns0:f>TRIM(MID(SUBSTITUTE($H10,",",REPT(" ",100)),401,100))</ns0:f>
      </ns0:c>
      <ns0:c r="Z10" t="str">
        <ns0:f>TRIM(MID(SUBSTITUTE($H10,",",REPT(" ",100)),501,100))</ns0:f>
      </ns0:c>
      <ns0:c r="AA10" t="str">
        <ns0:f>TRIM(MID(SUBSTITUTE($H10,",",REPT(" ",100)),601,100))</ns0:f>
      </ns0:c>
      <ns0:c r="AB10" t="str">
        <ns0:f>TRIM(MID(SUBSTITUTE($H10,",",REPT(" ",100)),701,100))</ns0:f>
      </ns0:c>
      <ns0:c r="AC10" t="n">
        <ns0:f>IF(U10="",0,IF(COUNTIFS(Tasks[Task ID],U10)=1,MATCH(U10,Tasks[Task ID],0),-1))</ns0:f>
        <ns0:v>1</ns0:v>
      </ns0:c>
      <ns0:c r="AD10" t="n">
        <ns0:f>IF(V10="",0,IF(COUNTIFS(Tasks[Task ID],V10)=1,MATCH(V10,Tasks[Task ID],0),-1))</ns0:f>
        <ns0:v>0</ns0:v>
      </ns0:c>
      <ns0:c r="AE10" t="n">
        <ns0:f>IF(W10="",0,IF(COUNTIFS(Tasks[Task ID],W10)=1,MATCH(W10,Tasks[Task ID],0),-1))</ns0:f>
        <ns0:v>0</ns0:v>
      </ns0:c>
      <ns0:c r="AF10" t="n">
        <ns0:f>IF(X10="",0,IF(COUNTIFS(Tasks[Task ID],X10)=1,MATCH(X10,Tasks[Task ID],0),-1))</ns0:f>
        <ns0:v>0</ns0:v>
      </ns0:c>
      <ns0:c r="AG10" t="n">
        <ns0:f>IF(Y10="",0,IF(COUNTIFS(Tasks[Task ID],Y10)=1,MATCH(Y10,Tasks[Task ID],0),-1))</ns0:f>
        <ns0:v>0</ns0:v>
      </ns0:c>
      <ns0:c r="AH10" t="n">
        <ns0:f>IF(Z10="",0,IF(COUNTIFS(Tasks[Task ID],Z10)=1,MATCH(Z10,Tasks[Task ID],0),-1))</ns0:f>
        <ns0:v>0</ns0:v>
      </ns0:c>
      <ns0:c r="AI10" t="n">
        <ns0:f>IF(AA10="",0,IF(COUNTIFS(Tasks[Task ID],AA10)=1,MATCH(AA10,Tasks[Task ID],0),-1))</ns0:f>
        <ns0:v>0</ns0:v>
      </ns0:c>
      <ns0:c r="AJ10" t="n">
        <ns0:f>IF(AB10="",0,IF(COUNTIFS(Tasks[Task ID],AB10)=1,MATCH(AB10,Tasks[Task ID],0),-1))</ns0:f>
        <ns0:v>0</ns0:v>
      </ns0:c>
      <ns0:c r="AK10" t="n">
        <ns0:f>COUNTIFS(AC10:AJ10,-1)+IF(T10&gt;8,1,0)</ns0:f>
        <ns0:v>0</ns0:v>
      </ns0:c>
      <ns0:c r="AL10" t="n">
        <ns0:f>IF(OR(A10="",S10&lt;&gt;""),0,SUM(IF(AC10&gt;0,IF($I10="FS",--($E10&lt;INDEX(Tasks[End Date],AC10)+IF(INDEX(Tasks[Milestone],AC10)="Yes",0,1)),IF($I10="SS",--($E10&lt;INDEX(Tasks[Start Date],AC10)),IF($I10="FF",--($F10&lt;INDEX(Tasks[End Date],AC10)),IF($I10="SF",--($F10&lt;INDEX(Tasks[Start Date],AC10)),0)))),0),IF(AD10&gt;0,IF($I10="FS",--($E10&lt;INDEX(Tasks[End Date],AD10)+IF(INDEX(Tasks[Milestone],AD10)="Yes",0,1)),IF($I10="SS",--($E10&lt;INDEX(Tasks[Start Date],AD10)),IF($I10="FF",--($F10&lt;INDEX(Tasks[End Date],AD10)),IF($I10="SF",--($F10&lt;INDEX(Tasks[Start Date],AD10)),0)))),0),IF(AE10&gt;0,IF($I10="FS",--($E10&lt;INDEX(Tasks[End Date],AE10)+IF(INDEX(Tasks[Milestone],AE10)="Yes",0,1)),IF($I10="SS",--($E10&lt;INDEX(Tasks[Start Date],AE10)),IF($I10="FF",--($F10&lt;INDEX(Tasks[End Date],AE10)),IF($I10="SF",--($F10&lt;INDEX(Tasks[Start Date],AE10)),0)))),0),IF(AF10&gt;0,IF($I10="FS",--($E10&lt;INDEX(Tasks[End Date],AF10)+IF(INDEX(Tasks[Milestone],AF10)="Yes",0,1)),IF($I10="SS",--($E10&lt;INDEX(Tasks[Start Date],AF10)),IF($I10="FF",--($F10&lt;INDEX(Tasks[End Date],AF10)),IF($I10="SF",--($F10&lt;INDEX(Tasks[Start Date],AF10)),0)))),0),IF(AG10&gt;0,IF($I10="FS",--($E10&lt;INDEX(Tasks[End Date],AG10)+IF(INDEX(Tasks[Milestone],AG10)="Yes",0,1)),IF($I10="SS",--($E10&lt;INDEX(Tasks[Start Date],AG10)),IF($I10="FF",--($F10&lt;INDEX(Tasks[End Date],AG10)),IF($I10="SF",--($F10&lt;INDEX(Tasks[Start Date],AG10)),0)))),0),IF(AH10&gt;0,IF($I10="FS",--($E10&lt;INDEX(Tasks[End Date],AH10)+IF(INDEX(Tasks[Milestone],AH10)="Yes",0,1)),IF($I10="SS",--($E10&lt;INDEX(Tasks[Start Date],AH10)),IF($I10="FF",--($F10&lt;INDEX(Tasks[End Date],AH10)),IF($I10="SF",--($F10&lt;INDEX(Tasks[Start Date],AH10)),0)))),0),IF(AI10&gt;0,IF($I10="FS",--($E10&lt;INDEX(Tasks[End Date],AI10)+IF(INDEX(Tasks[Milestone],AI10)="Yes",0,1)),IF($I10="SS",--($E10&lt;INDEX(Tasks[Start Date],AI10)),IF($I10="FF",--($F10&lt;INDEX(Tasks[End Date],AI10)),IF($I10="SF",--($F10&lt;INDEX(Tasks[Start Date],AI10)),0)))),0),IF(AJ10&gt;0,IF($I10="FS",--($E10&lt;INDEX(Tasks[End Date],AJ10)+IF(INDEX(Tasks[Milestone],AJ10)="Yes",0,1)),IF($I10="SS",--($E10&lt;INDEX(Tasks[Start Date],AJ10)),IF($I10="FF",--($F10&lt;INDEX(Tasks[End Date],AJ10)),IF($I10="SF",--($F10&lt;INDEX(Tasks[Start Date],AJ10)),0)))),0)))</ns0:f>
        <ns0:v>0</ns0:v>
      </ns0:c>
      <ns0:c r="AM10" t="n">
        <ns0:f>IF(AND(A10&lt;&gt;"",AK10=0,EP10=0),1,0)</ns0:f>
        <ns0:v>0</ns0:v>
      </ns0:c>
      <ns0:c r="AN10" t="str">
        <ns0:f>IF(OR(A10="",B10=""),"",IF(COUNTIFS($B$7:B10,B10)=1,MAX($AN$6:AN9)+1,""))</ns0:f>
      </ns0:c>
      <ns0:c r="AO10" t="n">
        <ns0:f>IF(AND(A10&lt;&gt;"",J10="No",N10&lt;1,E10&gt;=AsOfDate),E10+ROW()/10000,1E+9)</ns0:f>
        <ns0:v>46277.001</ns0:v>
      </ns0:c>
      <ns0:c r="AP10" t="n">
        <ns0:f>IF(AND(A10&lt;&gt;"",J10="Yes",N10&lt;1,E10&gt;=AsOfDate),E10+ROW()/10000,1E+9)</ns0:f>
        <ns0:v>1000000000</ns0:v>
      </ns0:c>
      <ns0:c r="AQ10" t="n">
        <ns0:f>IF(AND(A10&lt;&gt;"",J10="No",N10&lt;1,F10&gt;=AsOfDate,F10&lt;=AsOfDate+7),F10+ROW()/10000,1E+9)</ns0:f>
        <ns0:v>46278.001</ns0:v>
      </ns0:c>
      <ns0:c r="AR10" t="n">
        <ns0:f>IF(AND(A10&lt;&gt;"",OR(O10&lt;&gt;"On track",Q10="Delayed")),ROW(),1E+9)</ns0:f>
        <ns0:v>1000000000</ns0:v>
      </ns0:c>
      <ns0:c r="AS10" t="str">
        <ns0:f>IF(A10="","",";"&amp;K10&amp;";")</ns0:f>
        <ns0:v>;Canonical Task State Machine (CTS);</ns0:v>
      </ns0:c>
      <ns0:c r="AT10" t="n">
        <ns0:f>IF(A10="",1,--(T10=0))</ns0:f>
        <ns0:v>0</ns0:v>
      </ns0:c>
      <ns0:c r="AU10" t="n">
        <ns0:f>IF($A10="",1,IF(AT10=1,1,--AND(IF($AC10&gt;0,INDEX(AT$7:AT$106,$AC10),1),IF($AD10&gt;0,INDEX(AT$7:AT$106,$AD10),1),IF($AE10&gt;0,INDEX(AT$7:AT$106,$AE10),1),IF($AF10&gt;0,INDEX(AT$7:AT$106,$AF10),1),IF($AG10&gt;0,INDEX(AT$7:AT$106,$AG10),1),IF($AH10&gt;0,INDEX(AT$7:AT$106,$AH10),1),IF($AI10&gt;0,INDEX(AT$7:AT$106,$AI10),1),IF($AJ10&gt;0,INDEX(AT$7:AT$106,$AJ10),1))))</ns0:f>
        <ns0:v>1</ns0:v>
      </ns0:c>
      <ns0:c r="AV10" t="n">
        <ns0:f>IF($A10="",1,IF(AU10=1,1,--AND(IF($AC10&gt;0,INDEX(AU$7:AU$106,$AC10),1),IF($AD10&gt;0,INDEX(AU$7:AU$106,$AD10),1),IF($AE10&gt;0,INDEX(AU$7:AU$106,$AE10),1),IF($AF10&gt;0,INDEX(AU$7:AU$106,$AF10),1),IF($AG10&gt;0,INDEX(AU$7:AU$106,$AG10),1),IF($AH10&gt;0,INDEX(AU$7:AU$106,$AH10),1),IF($AI10&gt;0,INDEX(AU$7:AU$106,$AI10),1),IF($AJ10&gt;0,INDEX(AU$7:AU$106,$AJ10),1))))</ns0:f>
        <ns0:v>1</ns0:v>
      </ns0:c>
      <ns0:c r="AW10" t="n">
        <ns0:f>IF($A10="",1,IF(AV10=1,1,--AND(IF($AC10&gt;0,INDEX(AV$7:AV$106,$AC10),1),IF($AD10&gt;0,INDEX(AV$7:AV$106,$AD10),1),IF($AE10&gt;0,INDEX(AV$7:AV$106,$AE10),1),IF($AF10&gt;0,INDEX(AV$7:AV$106,$AF10),1),IF($AG10&gt;0,INDEX(AV$7:AV$106,$AG10),1),IF($AH10&gt;0,INDEX(AV$7:AV$106,$AH10),1),IF($AI10&gt;0,INDEX(AV$7:AV$106,$AI10),1),IF($AJ10&gt;0,INDEX(AV$7:AV$106,$AJ10),1))))</ns0:f>
        <ns0:v>1</ns0:v>
      </ns0:c>
      <ns0:c r="AX10" t="n">
        <ns0:f>IF($A10="",1,IF(AW10=1,1,--AND(IF($AC10&gt;0,INDEX(AW$7:AW$106,$AC10),1),IF($AD10&gt;0,INDEX(AW$7:AW$106,$AD10),1),IF($AE10&gt;0,INDEX(AW$7:AW$106,$AE10),1),IF($AF10&gt;0,INDEX(AW$7:AW$106,$AF10),1),IF($AG10&gt;0,INDEX(AW$7:AW$106,$AG10),1),IF($AH10&gt;0,INDEX(AW$7:AW$106,$AH10),1),IF($AI10&gt;0,INDEX(AW$7:AW$106,$AI10),1),IF($AJ10&gt;0,INDEX(AW$7:AW$106,$AJ10),1))))</ns0:f>
        <ns0:v>1</ns0:v>
      </ns0:c>
      <ns0:c r="AY10" t="n">
        <ns0:f>IF($A10="",1,IF(AX10=1,1,--AND(IF($AC10&gt;0,INDEX(AX$7:AX$106,$AC10),1),IF($AD10&gt;0,INDEX(AX$7:AX$106,$AD10),1),IF($AE10&gt;0,INDEX(AX$7:AX$106,$AE10),1),IF($AF10&gt;0,INDEX(AX$7:AX$106,$AF10),1),IF($AG10&gt;0,INDEX(AX$7:AX$106,$AG10),1),IF($AH10&gt;0,INDEX(AX$7:AX$106,$AH10),1),IF($AI10&gt;0,INDEX(AX$7:AX$106,$AI10),1),IF($AJ10&gt;0,INDEX(AX$7:AX$106,$AJ10),1))))</ns0:f>
        <ns0:v>1</ns0:v>
      </ns0:c>
      <ns0:c r="AZ10" t="n">
        <ns0:f>IF($A10="",1,IF(AY10=1,1,--AND(IF($AC10&gt;0,INDEX(AY$7:AY$106,$AC10),1),IF($AD10&gt;0,INDEX(AY$7:AY$106,$AD10),1),IF($AE10&gt;0,INDEX(AY$7:AY$106,$AE10),1),IF($AF10&gt;0,INDEX(AY$7:AY$106,$AF10),1),IF($AG10&gt;0,INDEX(AY$7:AY$106,$AG10),1),IF($AH10&gt;0,INDEX(AY$7:AY$106,$AH10),1),IF($AI10&gt;0,INDEX(AY$7:AY$106,$AI10),1),IF($AJ10&gt;0,INDEX(AY$7:AY$106,$AJ10),1))))</ns0:f>
        <ns0:v>1</ns0:v>
      </ns0:c>
      <ns0:c r="BA10" t="n">
        <ns0:f>IF($A10="",1,IF(AZ10=1,1,--AND(IF($AC10&gt;0,INDEX(AZ$7:AZ$106,$AC10),1),IF($AD10&gt;0,INDEX(AZ$7:AZ$106,$AD10),1),IF($AE10&gt;0,INDEX(AZ$7:AZ$106,$AE10),1),IF($AF10&gt;0,INDEX(AZ$7:AZ$106,$AF10),1),IF($AG10&gt;0,INDEX(AZ$7:AZ$106,$AG10),1),IF($AH10&gt;0,INDEX(AZ$7:AZ$106,$AH10),1),IF($AI10&gt;0,INDEX(AZ$7:AZ$106,$AI10),1),IF($AJ10&gt;0,INDEX(AZ$7:AZ$106,$AJ10),1))))</ns0:f>
        <ns0:v>1</ns0:v>
      </ns0:c>
      <ns0:c r="BB10" t="n">
        <ns0:f>IF($A10="",1,IF(BA10=1,1,--AND(IF($AC10&gt;0,INDEX(BA$7:BA$106,$AC10),1),IF($AD10&gt;0,INDEX(BA$7:BA$106,$AD10),1),IF($AE10&gt;0,INDEX(BA$7:BA$106,$AE10),1),IF($AF10&gt;0,INDEX(BA$7:BA$106,$AF10),1),IF($AG10&gt;0,INDEX(BA$7:BA$106,$AG10),1),IF($AH10&gt;0,INDEX(BA$7:BA$106,$AH10),1),IF($AI10&gt;0,INDEX(BA$7:BA$106,$AI10),1),IF($AJ10&gt;0,INDEX(BA$7:BA$106,$AJ10),1))))</ns0:f>
        <ns0:v>1</ns0:v>
      </ns0:c>
      <ns0:c r="BC10" t="n">
        <ns0:f>IF($A10="",1,IF(BB10=1,1,--AND(IF($AC10&gt;0,INDEX(BB$7:BB$106,$AC10),1),IF($AD10&gt;0,INDEX(BB$7:BB$106,$AD10),1),IF($AE10&gt;0,INDEX(BB$7:BB$106,$AE10),1),IF($AF10&gt;0,INDEX(BB$7:BB$106,$AF10),1),IF($AG10&gt;0,INDEX(BB$7:BB$106,$AG10),1),IF($AH10&gt;0,INDEX(BB$7:BB$106,$AH10),1),IF($AI10&gt;0,INDEX(BB$7:BB$106,$AI10),1),IF($AJ10&gt;0,INDEX(BB$7:BB$106,$AJ10),1))))</ns0:f>
        <ns0:v>1</ns0:v>
      </ns0:c>
      <ns0:c r="BD10" t="n">
        <ns0:f>IF($A10="",1,IF(BC10=1,1,--AND(IF($AC10&gt;0,INDEX(BC$7:BC$106,$AC10),1),IF($AD10&gt;0,INDEX(BC$7:BC$106,$AD10),1),IF($AE10&gt;0,INDEX(BC$7:BC$106,$AE10),1),IF($AF10&gt;0,INDEX(BC$7:BC$106,$AF10),1),IF($AG10&gt;0,INDEX(BC$7:BC$106,$AG10),1),IF($AH10&gt;0,INDEX(BC$7:BC$106,$AH10),1),IF($AI10&gt;0,INDEX(BC$7:BC$106,$AI10),1),IF($AJ10&gt;0,INDEX(BC$7:BC$106,$AJ10),1))))</ns0:f>
        <ns0:v>1</ns0:v>
      </ns0:c>
      <ns0:c r="BE10" t="n">
        <ns0:f>IF($A10="",1,IF(BD10=1,1,--AND(IF($AC10&gt;0,INDEX(BD$7:BD$106,$AC10),1),IF($AD10&gt;0,INDEX(BD$7:BD$106,$AD10),1),IF($AE10&gt;0,INDEX(BD$7:BD$106,$AE10),1),IF($AF10&gt;0,INDEX(BD$7:BD$106,$AF10),1),IF($AG10&gt;0,INDEX(BD$7:BD$106,$AG10),1),IF($AH10&gt;0,INDEX(BD$7:BD$106,$AH10),1),IF($AI10&gt;0,INDEX(BD$7:BD$106,$AI10),1),IF($AJ10&gt;0,INDEX(BD$7:BD$106,$AJ10),1))))</ns0:f>
        <ns0:v>1</ns0:v>
      </ns0:c>
      <ns0:c r="BF10" t="n">
        <ns0:f>IF($A10="",1,IF(BE10=1,1,--AND(IF($AC10&gt;0,INDEX(BE$7:BE$106,$AC10),1),IF($AD10&gt;0,INDEX(BE$7:BE$106,$AD10),1),IF($AE10&gt;0,INDEX(BE$7:BE$106,$AE10),1),IF($AF10&gt;0,INDEX(BE$7:BE$106,$AF10),1),IF($AG10&gt;0,INDEX(BE$7:BE$106,$AG10),1),IF($AH10&gt;0,INDEX(BE$7:BE$106,$AH10),1),IF($AI10&gt;0,INDEX(BE$7:BE$106,$AI10),1),IF($AJ10&gt;0,INDEX(BE$7:BE$106,$AJ10),1))))</ns0:f>
        <ns0:v>1</ns0:v>
      </ns0:c>
      <ns0:c r="BG10" t="n">
        <ns0:f>IF($A10="",1,IF(BF10=1,1,--AND(IF($AC10&gt;0,INDEX(BF$7:BF$106,$AC10),1),IF($AD10&gt;0,INDEX(BF$7:BF$106,$AD10),1),IF($AE10&gt;0,INDEX(BF$7:BF$106,$AE10),1),IF($AF10&gt;0,INDEX(BF$7:BF$106,$AF10),1),IF($AG10&gt;0,INDEX(BF$7:BF$106,$AG10),1),IF($AH10&gt;0,INDEX(BF$7:BF$106,$AH10),1),IF($AI10&gt;0,INDEX(BF$7:BF$106,$AI10),1),IF($AJ10&gt;0,INDEX(BF$7:BF$106,$AJ10),1))))</ns0:f>
        <ns0:v>1</ns0:v>
      </ns0:c>
      <ns0:c r="BH10" t="n">
        <ns0:f>IF($A10="",1,IF(BG10=1,1,--AND(IF($AC10&gt;0,INDEX(BG$7:BG$106,$AC10),1),IF($AD10&gt;0,INDEX(BG$7:BG$106,$AD10),1),IF($AE10&gt;0,INDEX(BG$7:BG$106,$AE10),1),IF($AF10&gt;0,INDEX(BG$7:BG$106,$AF10),1),IF($AG10&gt;0,INDEX(BG$7:BG$106,$AG10),1),IF($AH10&gt;0,INDEX(BG$7:BG$106,$AH10),1),IF($AI10&gt;0,INDEX(BG$7:BG$106,$AI10),1),IF($AJ10&gt;0,INDEX(BG$7:BG$106,$AJ10),1))))</ns0:f>
        <ns0:v>1</ns0:v>
      </ns0:c>
      <ns0:c r="BI10" t="n">
        <ns0:f>IF($A10="",1,IF(BH10=1,1,--AND(IF($AC10&gt;0,INDEX(BH$7:BH$106,$AC10),1),IF($AD10&gt;0,INDEX(BH$7:BH$106,$AD10),1),IF($AE10&gt;0,INDEX(BH$7:BH$106,$AE10),1),IF($AF10&gt;0,INDEX(BH$7:BH$106,$AF10),1),IF($AG10&gt;0,INDEX(BH$7:BH$106,$AG10),1),IF($AH10&gt;0,INDEX(BH$7:BH$106,$AH10),1),IF($AI10&gt;0,INDEX(BH$7:BH$106,$AI10),1),IF($AJ10&gt;0,INDEX(BH$7:BH$106,$AJ10),1))))</ns0:f>
        <ns0:v>1</ns0:v>
      </ns0:c>
      <ns0:c r="BJ10" t="n">
        <ns0:f>IF($A10="",1,IF(BI10=1,1,--AND(IF($AC10&gt;0,INDEX(BI$7:BI$106,$AC10),1),IF($AD10&gt;0,INDEX(BI$7:BI$106,$AD10),1),IF($AE10&gt;0,INDEX(BI$7:BI$106,$AE10),1),IF($AF10&gt;0,INDEX(BI$7:BI$106,$AF10),1),IF($AG10&gt;0,INDEX(BI$7:BI$106,$AG10),1),IF($AH10&gt;0,INDEX(BI$7:BI$106,$AH10),1),IF($AI10&gt;0,INDEX(BI$7:BI$106,$AI10),1),IF($AJ10&gt;0,INDEX(BI$7:BI$106,$AJ10),1))))</ns0:f>
        <ns0:v>1</ns0:v>
      </ns0:c>
      <ns0:c r="BK10" t="n">
        <ns0:f>IF($A10="",1,IF(BJ10=1,1,--AND(IF($AC10&gt;0,INDEX(BJ$7:BJ$106,$AC10),1),IF($AD10&gt;0,INDEX(BJ$7:BJ$106,$AD10),1),IF($AE10&gt;0,INDEX(BJ$7:BJ$106,$AE10),1),IF($AF10&gt;0,INDEX(BJ$7:BJ$106,$AF10),1),IF($AG10&gt;0,INDEX(BJ$7:BJ$106,$AG10),1),IF($AH10&gt;0,INDEX(BJ$7:BJ$106,$AH10),1),IF($AI10&gt;0,INDEX(BJ$7:BJ$106,$AI10),1),IF($AJ10&gt;0,INDEX(BJ$7:BJ$106,$AJ10),1))))</ns0:f>
        <ns0:v>1</ns0:v>
      </ns0:c>
      <ns0:c r="BL10" t="n">
        <ns0:f>IF($A10="",1,IF(BK10=1,1,--AND(IF($AC10&gt;0,INDEX(BK$7:BK$106,$AC10),1),IF($AD10&gt;0,INDEX(BK$7:BK$106,$AD10),1),IF($AE10&gt;0,INDEX(BK$7:BK$106,$AE10),1),IF($AF10&gt;0,INDEX(BK$7:BK$106,$AF10),1),IF($AG10&gt;0,INDEX(BK$7:BK$106,$AG10),1),IF($AH10&gt;0,INDEX(BK$7:BK$106,$AH10),1),IF($AI10&gt;0,INDEX(BK$7:BK$106,$AI10),1),IF($AJ10&gt;0,INDEX(BK$7:BK$106,$AJ10),1))))</ns0:f>
        <ns0:v>1</ns0:v>
      </ns0:c>
      <ns0:c r="BM10" t="n">
        <ns0:f>IF($A10="",1,IF(BL10=1,1,--AND(IF($AC10&gt;0,INDEX(BL$7:BL$106,$AC10),1),IF($AD10&gt;0,INDEX(BL$7:BL$106,$AD10),1),IF($AE10&gt;0,INDEX(BL$7:BL$106,$AE10),1),IF($AF10&gt;0,INDEX(BL$7:BL$106,$AF10),1),IF($AG10&gt;0,INDEX(BL$7:BL$106,$AG10),1),IF($AH10&gt;0,INDEX(BL$7:BL$106,$AH10),1),IF($AI10&gt;0,INDEX(BL$7:BL$106,$AI10),1),IF($AJ10&gt;0,INDEX(BL$7:BL$106,$AJ10),1))))</ns0:f>
        <ns0:v>1</ns0:v>
      </ns0:c>
      <ns0:c r="BN10" t="n">
        <ns0:f>IF($A10="",1,IF(BM10=1,1,--AND(IF($AC10&gt;0,INDEX(BM$7:BM$106,$AC10),1),IF($AD10&gt;0,INDEX(BM$7:BM$106,$AD10),1),IF($AE10&gt;0,INDEX(BM$7:BM$106,$AE10),1),IF($AF10&gt;0,INDEX(BM$7:BM$106,$AF10),1),IF($AG10&gt;0,INDEX(BM$7:BM$106,$AG10),1),IF($AH10&gt;0,INDEX(BM$7:BM$106,$AH10),1),IF($AI10&gt;0,INDEX(BM$7:BM$106,$AI10),1),IF($AJ10&gt;0,INDEX(BM$7:BM$106,$AJ10),1))))</ns0:f>
        <ns0:v>1</ns0:v>
      </ns0:c>
      <ns0:c r="BO10" t="n">
        <ns0:f>IF($A10="",1,IF(BN10=1,1,--AND(IF($AC10&gt;0,INDEX(BN$7:BN$106,$AC10),1),IF($AD10&gt;0,INDEX(BN$7:BN$106,$AD10),1),IF($AE10&gt;0,INDEX(BN$7:BN$106,$AE10),1),IF($AF10&gt;0,INDEX(BN$7:BN$106,$AF10),1),IF($AG10&gt;0,INDEX(BN$7:BN$106,$AG10),1),IF($AH10&gt;0,INDEX(BN$7:BN$106,$AH10),1),IF($AI10&gt;0,INDEX(BN$7:BN$106,$AI10),1),IF($AJ10&gt;0,INDEX(BN$7:BN$106,$AJ10),1))))</ns0:f>
        <ns0:v>1</ns0:v>
      </ns0:c>
      <ns0:c r="BP10" t="n">
        <ns0:f>IF($A10="",1,IF(BO10=1,1,--AND(IF($AC10&gt;0,INDEX(BO$7:BO$106,$AC10),1),IF($AD10&gt;0,INDEX(BO$7:BO$106,$AD10),1),IF($AE10&gt;0,INDEX(BO$7:BO$106,$AE10),1),IF($AF10&gt;0,INDEX(BO$7:BO$106,$AF10),1),IF($AG10&gt;0,INDEX(BO$7:BO$106,$AG10),1),IF($AH10&gt;0,INDEX(BO$7:BO$106,$AH10),1),IF($AI10&gt;0,INDEX(BO$7:BO$106,$AI10),1),IF($AJ10&gt;0,INDEX(BO$7:BO$106,$AJ10),1))))</ns0:f>
        <ns0:v>1</ns0:v>
      </ns0:c>
      <ns0:c r="BQ10" t="n">
        <ns0:f>IF($A10="",1,IF(BP10=1,1,--AND(IF($AC10&gt;0,INDEX(BP$7:BP$106,$AC10),1),IF($AD10&gt;0,INDEX(BP$7:BP$106,$AD10),1),IF($AE10&gt;0,INDEX(BP$7:BP$106,$AE10),1),IF($AF10&gt;0,INDEX(BP$7:BP$106,$AF10),1),IF($AG10&gt;0,INDEX(BP$7:BP$106,$AG10),1),IF($AH10&gt;0,INDEX(BP$7:BP$106,$AH10),1),IF($AI10&gt;0,INDEX(BP$7:BP$106,$AI10),1),IF($AJ10&gt;0,INDEX(BP$7:BP$106,$AJ10),1))))</ns0:f>
        <ns0:v>1</ns0:v>
      </ns0:c>
      <ns0:c r="BR10" t="n">
        <ns0:f>IF($A10="",1,IF(BQ10=1,1,--AND(IF($AC10&gt;0,INDEX(BQ$7:BQ$106,$AC10),1),IF($AD10&gt;0,INDEX(BQ$7:BQ$106,$AD10),1),IF($AE10&gt;0,INDEX(BQ$7:BQ$106,$AE10),1),IF($AF10&gt;0,INDEX(BQ$7:BQ$106,$AF10),1),IF($AG10&gt;0,INDEX(BQ$7:BQ$106,$AG10),1),IF($AH10&gt;0,INDEX(BQ$7:BQ$106,$AH10),1),IF($AI10&gt;0,INDEX(BQ$7:BQ$106,$AI10),1),IF($AJ10&gt;0,INDEX(BQ$7:BQ$106,$AJ10),1))))</ns0:f>
        <ns0:v>1</ns0:v>
      </ns0:c>
      <ns0:c r="BS10" t="n">
        <ns0:f>IF($A10="",1,IF(BR10=1,1,--AND(IF($AC10&gt;0,INDEX(BR$7:BR$106,$AC10),1),IF($AD10&gt;0,INDEX(BR$7:BR$106,$AD10),1),IF($AE10&gt;0,INDEX(BR$7:BR$106,$AE10),1),IF($AF10&gt;0,INDEX(BR$7:BR$106,$AF10),1),IF($AG10&gt;0,INDEX(BR$7:BR$106,$AG10),1),IF($AH10&gt;0,INDEX(BR$7:BR$106,$AH10),1),IF($AI10&gt;0,INDEX(BR$7:BR$106,$AI10),1),IF($AJ10&gt;0,INDEX(BR$7:BR$106,$AJ10),1))))</ns0:f>
        <ns0:v>1</ns0:v>
      </ns0:c>
      <ns0:c r="BT10" t="n">
        <ns0:f>IF($A10="",1,IF(BS10=1,1,--AND(IF($AC10&gt;0,INDEX(BS$7:BS$106,$AC10),1),IF($AD10&gt;0,INDEX(BS$7:BS$106,$AD10),1),IF($AE10&gt;0,INDEX(BS$7:BS$106,$AE10),1),IF($AF10&gt;0,INDEX(BS$7:BS$106,$AF10),1),IF($AG10&gt;0,INDEX(BS$7:BS$106,$AG10),1),IF($AH10&gt;0,INDEX(BS$7:BS$106,$AH10),1),IF($AI10&gt;0,INDEX(BS$7:BS$106,$AI10),1),IF($AJ10&gt;0,INDEX(BS$7:BS$106,$AJ10),1))))</ns0:f>
        <ns0:v>1</ns0:v>
      </ns0:c>
      <ns0:c r="BU10" t="n">
        <ns0:f>IF($A10="",1,IF(BT10=1,1,--AND(IF($AC10&gt;0,INDEX(BT$7:BT$106,$AC10),1),IF($AD10&gt;0,INDEX(BT$7:BT$106,$AD10),1),IF($AE10&gt;0,INDEX(BT$7:BT$106,$AE10),1),IF($AF10&gt;0,INDEX(BT$7:BT$106,$AF10),1),IF($AG10&gt;0,INDEX(BT$7:BT$106,$AG10),1),IF($AH10&gt;0,INDEX(BT$7:BT$106,$AH10),1),IF($AI10&gt;0,INDEX(BT$7:BT$106,$AI10),1),IF($AJ10&gt;0,INDEX(BT$7:BT$106,$AJ10),1))))</ns0:f>
        <ns0:v>1</ns0:v>
      </ns0:c>
      <ns0:c r="BV10" t="n">
        <ns0:f>IF($A10="",1,IF(BU10=1,1,--AND(IF($AC10&gt;0,INDEX(BU$7:BU$106,$AC10),1),IF($AD10&gt;0,INDEX(BU$7:BU$106,$AD10),1),IF($AE10&gt;0,INDEX(BU$7:BU$106,$AE10),1),IF($AF10&gt;0,INDEX(BU$7:BU$106,$AF10),1),IF($AG10&gt;0,INDEX(BU$7:BU$106,$AG10),1),IF($AH10&gt;0,INDEX(BU$7:BU$106,$AH10),1),IF($AI10&gt;0,INDEX(BU$7:BU$106,$AI10),1),IF($AJ10&gt;0,INDEX(BU$7:BU$106,$AJ10),1))))</ns0:f>
        <ns0:v>1</ns0:v>
      </ns0:c>
      <ns0:c r="BW10" t="n">
        <ns0:f>IF($A10="",1,IF(BV10=1,1,--AND(IF($AC10&gt;0,INDEX(BV$7:BV$106,$AC10),1),IF($AD10&gt;0,INDEX(BV$7:BV$106,$AD10),1),IF($AE10&gt;0,INDEX(BV$7:BV$106,$AE10),1),IF($AF10&gt;0,INDEX(BV$7:BV$106,$AF10),1),IF($AG10&gt;0,INDEX(BV$7:BV$106,$AG10),1),IF($AH10&gt;0,INDEX(BV$7:BV$106,$AH10),1),IF($AI10&gt;0,INDEX(BV$7:BV$106,$AI10),1),IF($AJ10&gt;0,INDEX(BV$7:BV$106,$AJ10),1))))</ns0:f>
        <ns0:v>1</ns0:v>
      </ns0:c>
      <ns0:c r="BX10" t="n">
        <ns0:f>IF($A10="",1,IF(BW10=1,1,--AND(IF($AC10&gt;0,INDEX(BW$7:BW$106,$AC10),1),IF($AD10&gt;0,INDEX(BW$7:BW$106,$AD10),1),IF($AE10&gt;0,INDEX(BW$7:BW$106,$AE10),1),IF($AF10&gt;0,INDEX(BW$7:BW$106,$AF10),1),IF($AG10&gt;0,INDEX(BW$7:BW$106,$AG10),1),IF($AH10&gt;0,INDEX(BW$7:BW$106,$AH10),1),IF($AI10&gt;0,INDEX(BW$7:BW$106,$AI10),1),IF($AJ10&gt;0,INDEX(BW$7:BW$106,$AJ10),1))))</ns0:f>
        <ns0:v>1</ns0:v>
      </ns0:c>
      <ns0:c r="BY10" t="n">
        <ns0:f>IF($A10="",1,IF(BX10=1,1,--AND(IF($AC10&gt;0,INDEX(BX$7:BX$106,$AC10),1),IF($AD10&gt;0,INDEX(BX$7:BX$106,$AD10),1),IF($AE10&gt;0,INDEX(BX$7:BX$106,$AE10),1),IF($AF10&gt;0,INDEX(BX$7:BX$106,$AF10),1),IF($AG10&gt;0,INDEX(BX$7:BX$106,$AG10),1),IF($AH10&gt;0,INDEX(BX$7:BX$106,$AH10),1),IF($AI10&gt;0,INDEX(BX$7:BX$106,$AI10),1),IF($AJ10&gt;0,INDEX(BX$7:BX$106,$AJ10),1))))</ns0:f>
        <ns0:v>1</ns0:v>
      </ns0:c>
      <ns0:c r="BZ10" t="n">
        <ns0:f>IF($A10="",1,IF(BY10=1,1,--AND(IF($AC10&gt;0,INDEX(BY$7:BY$106,$AC10),1),IF($AD10&gt;0,INDEX(BY$7:BY$106,$AD10),1),IF($AE10&gt;0,INDEX(BY$7:BY$106,$AE10),1),IF($AF10&gt;0,INDEX(BY$7:BY$106,$AF10),1),IF($AG10&gt;0,INDEX(BY$7:BY$106,$AG10),1),IF($AH10&gt;0,INDEX(BY$7:BY$106,$AH10),1),IF($AI10&gt;0,INDEX(BY$7:BY$106,$AI10),1),IF($AJ10&gt;0,INDEX(BY$7:BY$106,$AJ10),1))))</ns0:f>
        <ns0:v>1</ns0:v>
      </ns0:c>
      <ns0:c r="CA10" t="n">
        <ns0:f>IF($A10="",1,IF(BZ10=1,1,--AND(IF($AC10&gt;0,INDEX(BZ$7:BZ$106,$AC10),1),IF($AD10&gt;0,INDEX(BZ$7:BZ$106,$AD10),1),IF($AE10&gt;0,INDEX(BZ$7:BZ$106,$AE10),1),IF($AF10&gt;0,INDEX(BZ$7:BZ$106,$AF10),1),IF($AG10&gt;0,INDEX(BZ$7:BZ$106,$AG10),1),IF($AH10&gt;0,INDEX(BZ$7:BZ$106,$AH10),1),IF($AI10&gt;0,INDEX(BZ$7:BZ$106,$AI10),1),IF($AJ10&gt;0,INDEX(BZ$7:BZ$106,$AJ10),1))))</ns0:f>
        <ns0:v>1</ns0:v>
      </ns0:c>
      <ns0:c r="CB10" t="n">
        <ns0:f>IF($A10="",1,IF(CA10=1,1,--AND(IF($AC10&gt;0,INDEX(CA$7:CA$106,$AC10),1),IF($AD10&gt;0,INDEX(CA$7:CA$106,$AD10),1),IF($AE10&gt;0,INDEX(CA$7:CA$106,$AE10),1),IF($AF10&gt;0,INDEX(CA$7:CA$106,$AF10),1),IF($AG10&gt;0,INDEX(CA$7:CA$106,$AG10),1),IF($AH10&gt;0,INDEX(CA$7:CA$106,$AH10),1),IF($AI10&gt;0,INDEX(CA$7:CA$106,$AI10),1),IF($AJ10&gt;0,INDEX(CA$7:CA$106,$AJ10),1))))</ns0:f>
        <ns0:v>1</ns0:v>
      </ns0:c>
      <ns0:c r="CC10" t="n">
        <ns0:f>IF($A10="",1,IF(CB10=1,1,--AND(IF($AC10&gt;0,INDEX(CB$7:CB$106,$AC10),1),IF($AD10&gt;0,INDEX(CB$7:CB$106,$AD10),1),IF($AE10&gt;0,INDEX(CB$7:CB$106,$AE10),1),IF($AF10&gt;0,INDEX(CB$7:CB$106,$AF10),1),IF($AG10&gt;0,INDEX(CB$7:CB$106,$AG10),1),IF($AH10&gt;0,INDEX(CB$7:CB$106,$AH10),1),IF($AI10&gt;0,INDEX(CB$7:CB$106,$AI10),1),IF($AJ10&gt;0,INDEX(CB$7:CB$106,$AJ10),1))))</ns0:f>
        <ns0:v>1</ns0:v>
      </ns0:c>
      <ns0:c r="CD10" t="n">
        <ns0:f>IF($A10="",1,IF(CC10=1,1,--AND(IF($AC10&gt;0,INDEX(CC$7:CC$106,$AC10),1),IF($AD10&gt;0,INDEX(CC$7:CC$106,$AD10),1),IF($AE10&gt;0,INDEX(CC$7:CC$106,$AE10),1),IF($AF10&gt;0,INDEX(CC$7:CC$106,$AF10),1),IF($AG10&gt;0,INDEX(CC$7:CC$106,$AG10),1),IF($AH10&gt;0,INDEX(CC$7:CC$106,$AH10),1),IF($AI10&gt;0,INDEX(CC$7:CC$106,$AI10),1),IF($AJ10&gt;0,INDEX(CC$7:CC$106,$AJ10),1))))</ns0:f>
        <ns0:v>1</ns0:v>
      </ns0:c>
      <ns0:c r="CE10" t="n">
        <ns0:f>IF($A10="",1,IF(CD10=1,1,--AND(IF($AC10&gt;0,INDEX(CD$7:CD$106,$AC10),1),IF($AD10&gt;0,INDEX(CD$7:CD$106,$AD10),1),IF($AE10&gt;0,INDEX(CD$7:CD$106,$AE10),1),IF($AF10&gt;0,INDEX(CD$7:CD$106,$AF10),1),IF($AG10&gt;0,INDEX(CD$7:CD$106,$AG10),1),IF($AH10&gt;0,INDEX(CD$7:CD$106,$AH10),1),IF($AI10&gt;0,INDEX(CD$7:CD$106,$AI10),1),IF($AJ10&gt;0,INDEX(CD$7:CD$106,$AJ10),1))))</ns0:f>
        <ns0:v>1</ns0:v>
      </ns0:c>
      <ns0:c r="CF10" t="n">
        <ns0:f>IF($A10="",1,IF(CE10=1,1,--AND(IF($AC10&gt;0,INDEX(CE$7:CE$106,$AC10),1),IF($AD10&gt;0,INDEX(CE$7:CE$106,$AD10),1),IF($AE10&gt;0,INDEX(CE$7:CE$106,$AE10),1),IF($AF10&gt;0,INDEX(CE$7:CE$106,$AF10),1),IF($AG10&gt;0,INDEX(CE$7:CE$106,$AG10),1),IF($AH10&gt;0,INDEX(CE$7:CE$106,$AH10),1),IF($AI10&gt;0,INDEX(CE$7:CE$106,$AI10),1),IF($AJ10&gt;0,INDEX(CE$7:CE$106,$AJ10),1))))</ns0:f>
        <ns0:v>1</ns0:v>
      </ns0:c>
      <ns0:c r="CG10" t="n">
        <ns0:f>IF($A10="",1,IF(CF10=1,1,--AND(IF($AC10&gt;0,INDEX(CF$7:CF$106,$AC10),1),IF($AD10&gt;0,INDEX(CF$7:CF$106,$AD10),1),IF($AE10&gt;0,INDEX(CF$7:CF$106,$AE10),1),IF($AF10&gt;0,INDEX(CF$7:CF$106,$AF10),1),IF($AG10&gt;0,INDEX(CF$7:CF$106,$AG10),1),IF($AH10&gt;0,INDEX(CF$7:CF$106,$AH10),1),IF($AI10&gt;0,INDEX(CF$7:CF$106,$AI10),1),IF($AJ10&gt;0,INDEX(CF$7:CF$106,$AJ10),1))))</ns0:f>
        <ns0:v>1</ns0:v>
      </ns0:c>
      <ns0:c r="CH10" t="n">
        <ns0:f>IF($A10="",1,IF(CG10=1,1,--AND(IF($AC10&gt;0,INDEX(CG$7:CG$106,$AC10),1),IF($AD10&gt;0,INDEX(CG$7:CG$106,$AD10),1),IF($AE10&gt;0,INDEX(CG$7:CG$106,$AE10),1),IF($AF10&gt;0,INDEX(CG$7:CG$106,$AF10),1),IF($AG10&gt;0,INDEX(CG$7:CG$106,$AG10),1),IF($AH10&gt;0,INDEX(CG$7:CG$106,$AH10),1),IF($AI10&gt;0,INDEX(CG$7:CG$106,$AI10),1),IF($AJ10&gt;0,INDEX(CG$7:CG$106,$AJ10),1))))</ns0:f>
        <ns0:v>1</ns0:v>
      </ns0:c>
      <ns0:c r="CI10" t="n">
        <ns0:f>IF($A10="",1,IF(CH10=1,1,--AND(IF($AC10&gt;0,INDEX(CH$7:CH$106,$AC10),1),IF($AD10&gt;0,INDEX(CH$7:CH$106,$AD10),1),IF($AE10&gt;0,INDEX(CH$7:CH$106,$AE10),1),IF($AF10&gt;0,INDEX(CH$7:CH$106,$AF10),1),IF($AG10&gt;0,INDEX(CH$7:CH$106,$AG10),1),IF($AH10&gt;0,INDEX(CH$7:CH$106,$AH10),1),IF($AI10&gt;0,INDEX(CH$7:CH$106,$AI10),1),IF($AJ10&gt;0,INDEX(CH$7:CH$106,$AJ10),1))))</ns0:f>
        <ns0:v>1</ns0:v>
      </ns0:c>
      <ns0:c r="CJ10" t="n">
        <ns0:f>IF($A10="",1,IF(CI10=1,1,--AND(IF($AC10&gt;0,INDEX(CI$7:CI$106,$AC10),1),IF($AD10&gt;0,INDEX(CI$7:CI$106,$AD10),1),IF($AE10&gt;0,INDEX(CI$7:CI$106,$AE10),1),IF($AF10&gt;0,INDEX(CI$7:CI$106,$AF10),1),IF($AG10&gt;0,INDEX(CI$7:CI$106,$AG10),1),IF($AH10&gt;0,INDEX(CI$7:CI$106,$AH10),1),IF($AI10&gt;0,INDEX(CI$7:CI$106,$AI10),1),IF($AJ10&gt;0,INDEX(CI$7:CI$106,$AJ10),1))))</ns0:f>
        <ns0:v>1</ns0:v>
      </ns0:c>
      <ns0:c r="CK10" t="n">
        <ns0:f>IF($A10="",1,IF(CJ10=1,1,--AND(IF($AC10&gt;0,INDEX(CJ$7:CJ$106,$AC10),1),IF($AD10&gt;0,INDEX(CJ$7:CJ$106,$AD10),1),IF($AE10&gt;0,INDEX(CJ$7:CJ$106,$AE10),1),IF($AF10&gt;0,INDEX(CJ$7:CJ$106,$AF10),1),IF($AG10&gt;0,INDEX(CJ$7:CJ$106,$AG10),1),IF($AH10&gt;0,INDEX(CJ$7:CJ$106,$AH10),1),IF($AI10&gt;0,INDEX(CJ$7:CJ$106,$AI10),1),IF($AJ10&gt;0,INDEX(CJ$7:CJ$106,$AJ10),1))))</ns0:f>
        <ns0:v>1</ns0:v>
      </ns0:c>
      <ns0:c r="CL10" t="n">
        <ns0:f>IF($A10="",1,IF(CK10=1,1,--AND(IF($AC10&gt;0,INDEX(CK$7:CK$106,$AC10),1),IF($AD10&gt;0,INDEX(CK$7:CK$106,$AD10),1),IF($AE10&gt;0,INDEX(CK$7:CK$106,$AE10),1),IF($AF10&gt;0,INDEX(CK$7:CK$106,$AF10),1),IF($AG10&gt;0,INDEX(CK$7:CK$106,$AG10),1),IF($AH10&gt;0,INDEX(CK$7:CK$106,$AH10),1),IF($AI10&gt;0,INDEX(CK$7:CK$106,$AI10),1),IF($AJ10&gt;0,INDEX(CK$7:CK$106,$AJ10),1))))</ns0:f>
        <ns0:v>1</ns0:v>
      </ns0:c>
      <ns0:c r="CM10" t="n">
        <ns0:f>IF($A10="",1,IF(CL10=1,1,--AND(IF($AC10&gt;0,INDEX(CL$7:CL$106,$AC10),1),IF($AD10&gt;0,INDEX(CL$7:CL$106,$AD10),1),IF($AE10&gt;0,INDEX(CL$7:CL$106,$AE10),1),IF($AF10&gt;0,INDEX(CL$7:CL$106,$AF10),1),IF($AG10&gt;0,INDEX(CL$7:CL$106,$AG10),1),IF($AH10&gt;0,INDEX(CL$7:CL$106,$AH10),1),IF($AI10&gt;0,INDEX(CL$7:CL$106,$AI10),1),IF($AJ10&gt;0,INDEX(CL$7:CL$106,$AJ10),1))))</ns0:f>
        <ns0:v>1</ns0:v>
      </ns0:c>
      <ns0:c r="CN10" t="n">
        <ns0:f>IF($A10="",1,IF(CM10=1,1,--AND(IF($AC10&gt;0,INDEX(CM$7:CM$106,$AC10),1),IF($AD10&gt;0,INDEX(CM$7:CM$106,$AD10),1),IF($AE10&gt;0,INDEX(CM$7:CM$106,$AE10),1),IF($AF10&gt;0,INDEX(CM$7:CM$106,$AF10),1),IF($AG10&gt;0,INDEX(CM$7:CM$106,$AG10),1),IF($AH10&gt;0,INDEX(CM$7:CM$106,$AH10),1),IF($AI10&gt;0,INDEX(CM$7:CM$106,$AI10),1),IF($AJ10&gt;0,INDEX(CM$7:CM$106,$AJ10),1))))</ns0:f>
        <ns0:v>1</ns0:v>
      </ns0:c>
      <ns0:c r="CO10" t="n">
        <ns0:f>IF($A10="",1,IF(CN10=1,1,--AND(IF($AC10&gt;0,INDEX(CN$7:CN$106,$AC10),1),IF($AD10&gt;0,INDEX(CN$7:CN$106,$AD10),1),IF($AE10&gt;0,INDEX(CN$7:CN$106,$AE10),1),IF($AF10&gt;0,INDEX(CN$7:CN$106,$AF10),1),IF($AG10&gt;0,INDEX(CN$7:CN$106,$AG10),1),IF($AH10&gt;0,INDEX(CN$7:CN$106,$AH10),1),IF($AI10&gt;0,INDEX(CN$7:CN$106,$AI10),1),IF($AJ10&gt;0,INDEX(CN$7:CN$106,$AJ10),1))))</ns0:f>
        <ns0:v>1</ns0:v>
      </ns0:c>
      <ns0:c r="CP10" t="n">
        <ns0:f>IF($A10="",1,IF(CO10=1,1,--AND(IF($AC10&gt;0,INDEX(CO$7:CO$106,$AC10),1),IF($AD10&gt;0,INDEX(CO$7:CO$106,$AD10),1),IF($AE10&gt;0,INDEX(CO$7:CO$106,$AE10),1),IF($AF10&gt;0,INDEX(CO$7:CO$106,$AF10),1),IF($AG10&gt;0,INDEX(CO$7:CO$106,$AG10),1),IF($AH10&gt;0,INDEX(CO$7:CO$106,$AH10),1),IF($AI10&gt;0,INDEX(CO$7:CO$106,$AI10),1),IF($AJ10&gt;0,INDEX(CO$7:CO$106,$AJ10),1))))</ns0:f>
        <ns0:v>1</ns0:v>
      </ns0:c>
      <ns0:c r="CQ10" t="n">
        <ns0:f>IF($A10="",1,IF(CP10=1,1,--AND(IF($AC10&gt;0,INDEX(CP$7:CP$106,$AC10),1),IF($AD10&gt;0,INDEX(CP$7:CP$106,$AD10),1),IF($AE10&gt;0,INDEX(CP$7:CP$106,$AE10),1),IF($AF10&gt;0,INDEX(CP$7:CP$106,$AF10),1),IF($AG10&gt;0,INDEX(CP$7:CP$106,$AG10),1),IF($AH10&gt;0,INDEX(CP$7:CP$106,$AH10),1),IF($AI10&gt;0,INDEX(CP$7:CP$106,$AI10),1),IF($AJ10&gt;0,INDEX(CP$7:CP$106,$AJ10),1))))</ns0:f>
        <ns0:v>1</ns0:v>
      </ns0:c>
      <ns0:c r="CR10" t="n">
        <ns0:f>IF($A10="",1,IF(CQ10=1,1,--AND(IF($AC10&gt;0,INDEX(CQ$7:CQ$106,$AC10),1),IF($AD10&gt;0,INDEX(CQ$7:CQ$106,$AD10),1),IF($AE10&gt;0,INDEX(CQ$7:CQ$106,$AE10),1),IF($AF10&gt;0,INDEX(CQ$7:CQ$106,$AF10),1),IF($AG10&gt;0,INDEX(CQ$7:CQ$106,$AG10),1),IF($AH10&gt;0,INDEX(CQ$7:CQ$106,$AH10),1),IF($AI10&gt;0,INDEX(CQ$7:CQ$106,$AI10),1),IF($AJ10&gt;0,INDEX(CQ$7:CQ$106,$AJ10),1))))</ns0:f>
        <ns0:v>1</ns0:v>
      </ns0:c>
      <ns0:c r="CS10" t="n">
        <ns0:f>IF($A10="",1,IF(CR10=1,1,--AND(IF($AC10&gt;0,INDEX(CR$7:CR$106,$AC10),1),IF($AD10&gt;0,INDEX(CR$7:CR$106,$AD10),1),IF($AE10&gt;0,INDEX(CR$7:CR$106,$AE10),1),IF($AF10&gt;0,INDEX(CR$7:CR$106,$AF10),1),IF($AG10&gt;0,INDEX(CR$7:CR$106,$AG10),1),IF($AH10&gt;0,INDEX(CR$7:CR$106,$AH10),1),IF($AI10&gt;0,INDEX(CR$7:CR$106,$AI10),1),IF($AJ10&gt;0,INDEX(CR$7:CR$106,$AJ10),1))))</ns0:f>
        <ns0:v>1</ns0:v>
      </ns0:c>
      <ns0:c r="CT10" t="n">
        <ns0:f>IF($A10="",1,IF(CS10=1,1,--AND(IF($AC10&gt;0,INDEX(CS$7:CS$106,$AC10),1),IF($AD10&gt;0,INDEX(CS$7:CS$106,$AD10),1),IF($AE10&gt;0,INDEX(CS$7:CS$106,$AE10),1),IF($AF10&gt;0,INDEX(CS$7:CS$106,$AF10),1),IF($AG10&gt;0,INDEX(CS$7:CS$106,$AG10),1),IF($AH10&gt;0,INDEX(CS$7:CS$106,$AH10),1),IF($AI10&gt;0,INDEX(CS$7:CS$106,$AI10),1),IF($AJ10&gt;0,INDEX(CS$7:CS$106,$AJ10),1))))</ns0:f>
        <ns0:v>1</ns0:v>
      </ns0:c>
      <ns0:c r="CU10" t="n">
        <ns0:f>IF($A10="",1,IF(CT10=1,1,--AND(IF($AC10&gt;0,INDEX(CT$7:CT$106,$AC10),1),IF($AD10&gt;0,INDEX(CT$7:CT$106,$AD10),1),IF($AE10&gt;0,INDEX(CT$7:CT$106,$AE10),1),IF($AF10&gt;0,INDEX(CT$7:CT$106,$AF10),1),IF($AG10&gt;0,INDEX(CT$7:CT$106,$AG10),1),IF($AH10&gt;0,INDEX(CT$7:CT$106,$AH10),1),IF($AI10&gt;0,INDEX(CT$7:CT$106,$AI10),1),IF($AJ10&gt;0,INDEX(CT$7:CT$106,$AJ10),1))))</ns0:f>
        <ns0:v>1</ns0:v>
      </ns0:c>
      <ns0:c r="CV10" t="n">
        <ns0:f>IF($A10="",1,IF(CU10=1,1,--AND(IF($AC10&gt;0,INDEX(CU$7:CU$106,$AC10),1),IF($AD10&gt;0,INDEX(CU$7:CU$106,$AD10),1),IF($AE10&gt;0,INDEX(CU$7:CU$106,$AE10),1),IF($AF10&gt;0,INDEX(CU$7:CU$106,$AF10),1),IF($AG10&gt;0,INDEX(CU$7:CU$106,$AG10),1),IF($AH10&gt;0,INDEX(CU$7:CU$106,$AH10),1),IF($AI10&gt;0,INDEX(CU$7:CU$106,$AI10),1),IF($AJ10&gt;0,INDEX(CU$7:CU$106,$AJ10),1))))</ns0:f>
        <ns0:v>1</ns0:v>
      </ns0:c>
      <ns0:c r="CW10" t="n">
        <ns0:f>IF($A10="",1,IF(CV10=1,1,--AND(IF($AC10&gt;0,INDEX(CV$7:CV$106,$AC10),1),IF($AD10&gt;0,INDEX(CV$7:CV$106,$AD10),1),IF($AE10&gt;0,INDEX(CV$7:CV$106,$AE10),1),IF($AF10&gt;0,INDEX(CV$7:CV$106,$AF10),1),IF($AG10&gt;0,INDEX(CV$7:CV$106,$AG10),1),IF($AH10&gt;0,INDEX(CV$7:CV$106,$AH10),1),IF($AI10&gt;0,INDEX(CV$7:CV$106,$AI10),1),IF($AJ10&gt;0,INDEX(CV$7:CV$106,$AJ10),1))))</ns0:f>
        <ns0:v>1</ns0:v>
      </ns0:c>
      <ns0:c r="CX10" t="n">
        <ns0:f>IF($A10="",1,IF(CW10=1,1,--AND(IF($AC10&gt;0,INDEX(CW$7:CW$106,$AC10),1),IF($AD10&gt;0,INDEX(CW$7:CW$106,$AD10),1),IF($AE10&gt;0,INDEX(CW$7:CW$106,$AE10),1),IF($AF10&gt;0,INDEX(CW$7:CW$106,$AF10),1),IF($AG10&gt;0,INDEX(CW$7:CW$106,$AG10),1),IF($AH10&gt;0,INDEX(CW$7:CW$106,$AH10),1),IF($AI10&gt;0,INDEX(CW$7:CW$106,$AI10),1),IF($AJ10&gt;0,INDEX(CW$7:CW$106,$AJ10),1))))</ns0:f>
        <ns0:v>1</ns0:v>
      </ns0:c>
      <ns0:c r="CY10" t="n">
        <ns0:f>IF($A10="",1,IF(CX10=1,1,--AND(IF($AC10&gt;0,INDEX(CX$7:CX$106,$AC10),1),IF($AD10&gt;0,INDEX(CX$7:CX$106,$AD10),1),IF($AE10&gt;0,INDEX(CX$7:CX$106,$AE10),1),IF($AF10&gt;0,INDEX(CX$7:CX$106,$AF10),1),IF($AG10&gt;0,INDEX(CX$7:CX$106,$AG10),1),IF($AH10&gt;0,INDEX(CX$7:CX$106,$AH10),1),IF($AI10&gt;0,INDEX(CX$7:CX$106,$AI10),1),IF($AJ10&gt;0,INDEX(CX$7:CX$106,$AJ10),1))))</ns0:f>
        <ns0:v>1</ns0:v>
      </ns0:c>
      <ns0:c r="CZ10" t="n">
        <ns0:f>IF($A10="",1,IF(CY10=1,1,--AND(IF($AC10&gt;0,INDEX(CY$7:CY$106,$AC10),1),IF($AD10&gt;0,INDEX(CY$7:CY$106,$AD10),1),IF($AE10&gt;0,INDEX(CY$7:CY$106,$AE10),1),IF($AF10&gt;0,INDEX(CY$7:CY$106,$AF10),1),IF($AG10&gt;0,INDEX(CY$7:CY$106,$AG10),1),IF($AH10&gt;0,INDEX(CY$7:CY$106,$AH10),1),IF($AI10&gt;0,INDEX(CY$7:CY$106,$AI10),1),IF($AJ10&gt;0,INDEX(CY$7:CY$106,$AJ10),1))))</ns0:f>
        <ns0:v>1</ns0:v>
      </ns0:c>
      <ns0:c r="DA10" t="n">
        <ns0:f>IF($A10="",1,IF(CZ10=1,1,--AND(IF($AC10&gt;0,INDEX(CZ$7:CZ$106,$AC10),1),IF($AD10&gt;0,INDEX(CZ$7:CZ$106,$AD10),1),IF($AE10&gt;0,INDEX(CZ$7:CZ$106,$AE10),1),IF($AF10&gt;0,INDEX(CZ$7:CZ$106,$AF10),1),IF($AG10&gt;0,INDEX(CZ$7:CZ$106,$AG10),1),IF($AH10&gt;0,INDEX(CZ$7:CZ$106,$AH10),1),IF($AI10&gt;0,INDEX(CZ$7:CZ$106,$AI10),1),IF($AJ10&gt;0,INDEX(CZ$7:CZ$106,$AJ10),1))))</ns0:f>
        <ns0:v>1</ns0:v>
      </ns0:c>
      <ns0:c r="DB10" t="n">
        <ns0:f>IF($A10="",1,IF(DA10=1,1,--AND(IF($AC10&gt;0,INDEX(DA$7:DA$106,$AC10),1),IF($AD10&gt;0,INDEX(DA$7:DA$106,$AD10),1),IF($AE10&gt;0,INDEX(DA$7:DA$106,$AE10),1),IF($AF10&gt;0,INDEX(DA$7:DA$106,$AF10),1),IF($AG10&gt;0,INDEX(DA$7:DA$106,$AG10),1),IF($AH10&gt;0,INDEX(DA$7:DA$106,$AH10),1),IF($AI10&gt;0,INDEX(DA$7:DA$106,$AI10),1),IF($AJ10&gt;0,INDEX(DA$7:DA$106,$AJ10),1))))</ns0:f>
        <ns0:v>1</ns0:v>
      </ns0:c>
      <ns0:c r="DC10" t="n">
        <ns0:f>IF($A10="",1,IF(DB10=1,1,--AND(IF($AC10&gt;0,INDEX(DB$7:DB$106,$AC10),1),IF($AD10&gt;0,INDEX(DB$7:DB$106,$AD10),1),IF($AE10&gt;0,INDEX(DB$7:DB$106,$AE10),1),IF($AF10&gt;0,INDEX(DB$7:DB$106,$AF10),1),IF($AG10&gt;0,INDEX(DB$7:DB$106,$AG10),1),IF($AH10&gt;0,INDEX(DB$7:DB$106,$AH10),1),IF($AI10&gt;0,INDEX(DB$7:DB$106,$AI10),1),IF($AJ10&gt;0,INDEX(DB$7:DB$106,$AJ10),1))))</ns0:f>
        <ns0:v>1</ns0:v>
      </ns0:c>
      <ns0:c r="DD10" t="n">
        <ns0:f>IF($A10="",1,IF(DC10=1,1,--AND(IF($AC10&gt;0,INDEX(DC$7:DC$106,$AC10),1),IF($AD10&gt;0,INDEX(DC$7:DC$106,$AD10),1),IF($AE10&gt;0,INDEX(DC$7:DC$106,$AE10),1),IF($AF10&gt;0,INDEX(DC$7:DC$106,$AF10),1),IF($AG10&gt;0,INDEX(DC$7:DC$106,$AG10),1),IF($AH10&gt;0,INDEX(DC$7:DC$106,$AH10),1),IF($AI10&gt;0,INDEX(DC$7:DC$106,$AI10),1),IF($AJ10&gt;0,INDEX(DC$7:DC$106,$AJ10),1))))</ns0:f>
        <ns0:v>1</ns0:v>
      </ns0:c>
      <ns0:c r="DE10" t="n">
        <ns0:f>IF($A10="",1,IF(DD10=1,1,--AND(IF($AC10&gt;0,INDEX(DD$7:DD$106,$AC10),1),IF($AD10&gt;0,INDEX(DD$7:DD$106,$AD10),1),IF($AE10&gt;0,INDEX(DD$7:DD$106,$AE10),1),IF($AF10&gt;0,INDEX(DD$7:DD$106,$AF10),1),IF($AG10&gt;0,INDEX(DD$7:DD$106,$AG10),1),IF($AH10&gt;0,INDEX(DD$7:DD$106,$AH10),1),IF($AI10&gt;0,INDEX(DD$7:DD$106,$AI10),1),IF($AJ10&gt;0,INDEX(DD$7:DD$106,$AJ10),1))))</ns0:f>
        <ns0:v>1</ns0:v>
      </ns0:c>
      <ns0:c r="DF10" t="n">
        <ns0:f>IF($A10="",1,IF(DE10=1,1,--AND(IF($AC10&gt;0,INDEX(DE$7:DE$106,$AC10),1),IF($AD10&gt;0,INDEX(DE$7:DE$106,$AD10),1),IF($AE10&gt;0,INDEX(DE$7:DE$106,$AE10),1),IF($AF10&gt;0,INDEX(DE$7:DE$106,$AF10),1),IF($AG10&gt;0,INDEX(DE$7:DE$106,$AG10),1),IF($AH10&gt;0,INDEX(DE$7:DE$106,$AH10),1),IF($AI10&gt;0,INDEX(DE$7:DE$106,$AI10),1),IF($AJ10&gt;0,INDEX(DE$7:DE$106,$AJ10),1))))</ns0:f>
        <ns0:v>1</ns0:v>
      </ns0:c>
      <ns0:c r="DG10" t="n">
        <ns0:f>IF($A10="",1,IF(DF10=1,1,--AND(IF($AC10&gt;0,INDEX(DF$7:DF$106,$AC10),1),IF($AD10&gt;0,INDEX(DF$7:DF$106,$AD10),1),IF($AE10&gt;0,INDEX(DF$7:DF$106,$AE10),1),IF($AF10&gt;0,INDEX(DF$7:DF$106,$AF10),1),IF($AG10&gt;0,INDEX(DF$7:DF$106,$AG10),1),IF($AH10&gt;0,INDEX(DF$7:DF$106,$AH10),1),IF($AI10&gt;0,INDEX(DF$7:DF$106,$AI10),1),IF($AJ10&gt;0,INDEX(DF$7:DF$106,$AJ10),1))))</ns0:f>
        <ns0:v>1</ns0:v>
      </ns0:c>
      <ns0:c r="DH10" t="n">
        <ns0:f>IF($A10="",1,IF(DG10=1,1,--AND(IF($AC10&gt;0,INDEX(DG$7:DG$106,$AC10),1),IF($AD10&gt;0,INDEX(DG$7:DG$106,$AD10),1),IF($AE10&gt;0,INDEX(DG$7:DG$106,$AE10),1),IF($AF10&gt;0,INDEX(DG$7:DG$106,$AF10),1),IF($AG10&gt;0,INDEX(DG$7:DG$106,$AG10),1),IF($AH10&gt;0,INDEX(DG$7:DG$106,$AH10),1),IF($AI10&gt;0,INDEX(DG$7:DG$106,$AI10),1),IF($AJ10&gt;0,INDEX(DG$7:DG$106,$AJ10),1))))</ns0:f>
        <ns0:v>1</ns0:v>
      </ns0:c>
      <ns0:c r="DI10" t="n">
        <ns0:f>IF($A10="",1,IF(DH10=1,1,--AND(IF($AC10&gt;0,INDEX(DH$7:DH$106,$AC10),1),IF($AD10&gt;0,INDEX(DH$7:DH$106,$AD10),1),IF($AE10&gt;0,INDEX(DH$7:DH$106,$AE10),1),IF($AF10&gt;0,INDEX(DH$7:DH$106,$AF10),1),IF($AG10&gt;0,INDEX(DH$7:DH$106,$AG10),1),IF($AH10&gt;0,INDEX(DH$7:DH$106,$AH10),1),IF($AI10&gt;0,INDEX(DH$7:DH$106,$AI10),1),IF($AJ10&gt;0,INDEX(DH$7:DH$106,$AJ10),1))))</ns0:f>
        <ns0:v>1</ns0:v>
      </ns0:c>
      <ns0:c r="DJ10" t="n">
        <ns0:f>IF($A10="",1,IF(DI10=1,1,--AND(IF($AC10&gt;0,INDEX(DI$7:DI$106,$AC10),1),IF($AD10&gt;0,INDEX(DI$7:DI$106,$AD10),1),IF($AE10&gt;0,INDEX(DI$7:DI$106,$AE10),1),IF($AF10&gt;0,INDEX(DI$7:DI$106,$AF10),1),IF($AG10&gt;0,INDEX(DI$7:DI$106,$AG10),1),IF($AH10&gt;0,INDEX(DI$7:DI$106,$AH10),1),IF($AI10&gt;0,INDEX(DI$7:DI$106,$AI10),1),IF($AJ10&gt;0,INDEX(DI$7:DI$106,$AJ10),1))))</ns0:f>
        <ns0:v>1</ns0:v>
      </ns0:c>
      <ns0:c r="DK10" t="n">
        <ns0:f>IF($A10="",1,IF(DJ10=1,1,--AND(IF($AC10&gt;0,INDEX(DJ$7:DJ$106,$AC10),1),IF($AD10&gt;0,INDEX(DJ$7:DJ$106,$AD10),1),IF($AE10&gt;0,INDEX(DJ$7:DJ$106,$AE10),1),IF($AF10&gt;0,INDEX(DJ$7:DJ$106,$AF10),1),IF($AG10&gt;0,INDEX(DJ$7:DJ$106,$AG10),1),IF($AH10&gt;0,INDEX(DJ$7:DJ$106,$AH10),1),IF($AI10&gt;0,INDEX(DJ$7:DJ$106,$AI10),1),IF($AJ10&gt;0,INDEX(DJ$7:DJ$106,$AJ10),1))))</ns0:f>
        <ns0:v>1</ns0:v>
      </ns0:c>
      <ns0:c r="DL10" t="n">
        <ns0:f>IF($A10="",1,IF(DK10=1,1,--AND(IF($AC10&gt;0,INDEX(DK$7:DK$106,$AC10),1),IF($AD10&gt;0,INDEX(DK$7:DK$106,$AD10),1),IF($AE10&gt;0,INDEX(DK$7:DK$106,$AE10),1),IF($AF10&gt;0,INDEX(DK$7:DK$106,$AF10),1),IF($AG10&gt;0,INDEX(DK$7:DK$106,$AG10),1),IF($AH10&gt;0,INDEX(DK$7:DK$106,$AH10),1),IF($AI10&gt;0,INDEX(DK$7:DK$106,$AI10),1),IF($AJ10&gt;0,INDEX(DK$7:DK$106,$AJ10),1))))</ns0:f>
        <ns0:v>1</ns0:v>
      </ns0:c>
      <ns0:c r="DM10" t="n">
        <ns0:f>IF($A10="",1,IF(DL10=1,1,--AND(IF($AC10&gt;0,INDEX(DL$7:DL$106,$AC10),1),IF($AD10&gt;0,INDEX(DL$7:DL$106,$AD10),1),IF($AE10&gt;0,INDEX(DL$7:DL$106,$AE10),1),IF($AF10&gt;0,INDEX(DL$7:DL$106,$AF10),1),IF($AG10&gt;0,INDEX(DL$7:DL$106,$AG10),1),IF($AH10&gt;0,INDEX(DL$7:DL$106,$AH10),1),IF($AI10&gt;0,INDEX(DL$7:DL$106,$AI10),1),IF($AJ10&gt;0,INDEX(DL$7:DL$106,$AJ10),1))))</ns0:f>
        <ns0:v>1</ns0:v>
      </ns0:c>
      <ns0:c r="DN10" t="n">
        <ns0:f>IF($A10="",1,IF(DM10=1,1,--AND(IF($AC10&gt;0,INDEX(DM$7:DM$106,$AC10),1),IF($AD10&gt;0,INDEX(DM$7:DM$106,$AD10),1),IF($AE10&gt;0,INDEX(DM$7:DM$106,$AE10),1),IF($AF10&gt;0,INDEX(DM$7:DM$106,$AF10),1),IF($AG10&gt;0,INDEX(DM$7:DM$106,$AG10),1),IF($AH10&gt;0,INDEX(DM$7:DM$106,$AH10),1),IF($AI10&gt;0,INDEX(DM$7:DM$106,$AI10),1),IF($AJ10&gt;0,INDEX(DM$7:DM$106,$AJ10),1))))</ns0:f>
        <ns0:v>1</ns0:v>
      </ns0:c>
      <ns0:c r="DO10" t="n">
        <ns0:f>IF($A10="",1,IF(DN10=1,1,--AND(IF($AC10&gt;0,INDEX(DN$7:DN$106,$AC10),1),IF($AD10&gt;0,INDEX(DN$7:DN$106,$AD10),1),IF($AE10&gt;0,INDEX(DN$7:DN$106,$AE10),1),IF($AF10&gt;0,INDEX(DN$7:DN$106,$AF10),1),IF($AG10&gt;0,INDEX(DN$7:DN$106,$AG10),1),IF($AH10&gt;0,INDEX(DN$7:DN$106,$AH10),1),IF($AI10&gt;0,INDEX(DN$7:DN$106,$AI10),1),IF($AJ10&gt;0,INDEX(DN$7:DN$106,$AJ10),1))))</ns0:f>
        <ns0:v>1</ns0:v>
      </ns0:c>
      <ns0:c r="DP10" t="n">
        <ns0:f>IF($A10="",1,IF(DO10=1,1,--AND(IF($AC10&gt;0,INDEX(DO$7:DO$106,$AC10),1),IF($AD10&gt;0,INDEX(DO$7:DO$106,$AD10),1),IF($AE10&gt;0,INDEX(DO$7:DO$106,$AE10),1),IF($AF10&gt;0,INDEX(DO$7:DO$106,$AF10),1),IF($AG10&gt;0,INDEX(DO$7:DO$106,$AG10),1),IF($AH10&gt;0,INDEX(DO$7:DO$106,$AH10),1),IF($AI10&gt;0,INDEX(DO$7:DO$106,$AI10),1),IF($AJ10&gt;0,INDEX(DO$7:DO$106,$AJ10),1))))</ns0:f>
        <ns0:v>1</ns0:v>
      </ns0:c>
      <ns0:c r="DQ10" t="n">
        <ns0:f>IF($A10="",1,IF(DP10=1,1,--AND(IF($AC10&gt;0,INDEX(DP$7:DP$106,$AC10),1),IF($AD10&gt;0,INDEX(DP$7:DP$106,$AD10),1),IF($AE10&gt;0,INDEX(DP$7:DP$106,$AE10),1),IF($AF10&gt;0,INDEX(DP$7:DP$106,$AF10),1),IF($AG10&gt;0,INDEX(DP$7:DP$106,$AG10),1),IF($AH10&gt;0,INDEX(DP$7:DP$106,$AH10),1),IF($AI10&gt;0,INDEX(DP$7:DP$106,$AI10),1),IF($AJ10&gt;0,INDEX(DP$7:DP$106,$AJ10),1))))</ns0:f>
        <ns0:v>1</ns0:v>
      </ns0:c>
      <ns0:c r="DR10" t="n">
        <ns0:f>IF($A10="",1,IF(DQ10=1,1,--AND(IF($AC10&gt;0,INDEX(DQ$7:DQ$106,$AC10),1),IF($AD10&gt;0,INDEX(DQ$7:DQ$106,$AD10),1),IF($AE10&gt;0,INDEX(DQ$7:DQ$106,$AE10),1),IF($AF10&gt;0,INDEX(DQ$7:DQ$106,$AF10),1),IF($AG10&gt;0,INDEX(DQ$7:DQ$106,$AG10),1),IF($AH10&gt;0,INDEX(DQ$7:DQ$106,$AH10),1),IF($AI10&gt;0,INDEX(DQ$7:DQ$106,$AI10),1),IF($AJ10&gt;0,INDEX(DQ$7:DQ$106,$AJ10),1))))</ns0:f>
        <ns0:v>1</ns0:v>
      </ns0:c>
      <ns0:c r="DS10" t="n">
        <ns0:f>IF($A10="",1,IF(DR10=1,1,--AND(IF($AC10&gt;0,INDEX(DR$7:DR$106,$AC10),1),IF($AD10&gt;0,INDEX(DR$7:DR$106,$AD10),1),IF($AE10&gt;0,INDEX(DR$7:DR$106,$AE10),1),IF($AF10&gt;0,INDEX(DR$7:DR$106,$AF10),1),IF($AG10&gt;0,INDEX(DR$7:DR$106,$AG10),1),IF($AH10&gt;0,INDEX(DR$7:DR$106,$AH10),1),IF($AI10&gt;0,INDEX(DR$7:DR$106,$AI10),1),IF($AJ10&gt;0,INDEX(DR$7:DR$106,$AJ10),1))))</ns0:f>
        <ns0:v>1</ns0:v>
      </ns0:c>
      <ns0:c r="DT10" t="n">
        <ns0:f>IF($A10="",1,IF(DS10=1,1,--AND(IF($AC10&gt;0,INDEX(DS$7:DS$106,$AC10),1),IF($AD10&gt;0,INDEX(DS$7:DS$106,$AD10),1),IF($AE10&gt;0,INDEX(DS$7:DS$106,$AE10),1),IF($AF10&gt;0,INDEX(DS$7:DS$106,$AF10),1),IF($AG10&gt;0,INDEX(DS$7:DS$106,$AG10),1),IF($AH10&gt;0,INDEX(DS$7:DS$106,$AH10),1),IF($AI10&gt;0,INDEX(DS$7:DS$106,$AI10),1),IF($AJ10&gt;0,INDEX(DS$7:DS$106,$AJ10),1))))</ns0:f>
        <ns0:v>1</ns0:v>
      </ns0:c>
      <ns0:c r="DU10" t="n">
        <ns0:f>IF($A10="",1,IF(DT10=1,1,--AND(IF($AC10&gt;0,INDEX(DT$7:DT$106,$AC10),1),IF($AD10&gt;0,INDEX(DT$7:DT$106,$AD10),1),IF($AE10&gt;0,INDEX(DT$7:DT$106,$AE10),1),IF($AF10&gt;0,INDEX(DT$7:DT$106,$AF10),1),IF($AG10&gt;0,INDEX(DT$7:DT$106,$AG10),1),IF($AH10&gt;0,INDEX(DT$7:DT$106,$AH10),1),IF($AI10&gt;0,INDEX(DT$7:DT$106,$AI10),1),IF($AJ10&gt;0,INDEX(DT$7:DT$106,$AJ10),1))))</ns0:f>
        <ns0:v>1</ns0:v>
      </ns0:c>
      <ns0:c r="DV10" t="n">
        <ns0:f>IF($A10="",1,IF(DU10=1,1,--AND(IF($AC10&gt;0,INDEX(DU$7:DU$106,$AC10),1),IF($AD10&gt;0,INDEX(DU$7:DU$106,$AD10),1),IF($AE10&gt;0,INDEX(DU$7:DU$106,$AE10),1),IF($AF10&gt;0,INDEX(DU$7:DU$106,$AF10),1),IF($AG10&gt;0,INDEX(DU$7:DU$106,$AG10),1),IF($AH10&gt;0,INDEX(DU$7:DU$106,$AH10),1),IF($AI10&gt;0,INDEX(DU$7:DU$106,$AI10),1),IF($AJ10&gt;0,INDEX(DU$7:DU$106,$AJ10),1))))</ns0:f>
        <ns0:v>1</ns0:v>
      </ns0:c>
      <ns0:c r="DW10" t="n">
        <ns0:f>IF($A10="",1,IF(DV10=1,1,--AND(IF($AC10&gt;0,INDEX(DV$7:DV$106,$AC10),1),IF($AD10&gt;0,INDEX(DV$7:DV$106,$AD10),1),IF($AE10&gt;0,INDEX(DV$7:DV$106,$AE10),1),IF($AF10&gt;0,INDEX(DV$7:DV$106,$AF10),1),IF($AG10&gt;0,INDEX(DV$7:DV$106,$AG10),1),IF($AH10&gt;0,INDEX(DV$7:DV$106,$AH10),1),IF($AI10&gt;0,INDEX(DV$7:DV$106,$AI10),1),IF($AJ10&gt;0,INDEX(DV$7:DV$106,$AJ10),1))))</ns0:f>
        <ns0:v>1</ns0:v>
      </ns0:c>
      <ns0:c r="DX10" t="n">
        <ns0:f>IF($A10="",1,IF(DW10=1,1,--AND(IF($AC10&gt;0,INDEX(DW$7:DW$106,$AC10),1),IF($AD10&gt;0,INDEX(DW$7:DW$106,$AD10),1),IF($AE10&gt;0,INDEX(DW$7:DW$106,$AE10),1),IF($AF10&gt;0,INDEX(DW$7:DW$106,$AF10),1),IF($AG10&gt;0,INDEX(DW$7:DW$106,$AG10),1),IF($AH10&gt;0,INDEX(DW$7:DW$106,$AH10),1),IF($AI10&gt;0,INDEX(DW$7:DW$106,$AI10),1),IF($AJ10&gt;0,INDEX(DW$7:DW$106,$AJ10),1))))</ns0:f>
        <ns0:v>1</ns0:v>
      </ns0:c>
      <ns0:c r="DY10" t="n">
        <ns0:f>IF($A10="",1,IF(DX10=1,1,--AND(IF($AC10&gt;0,INDEX(DX$7:DX$106,$AC10),1),IF($AD10&gt;0,INDEX(DX$7:DX$106,$AD10),1),IF($AE10&gt;0,INDEX(DX$7:DX$106,$AE10),1),IF($AF10&gt;0,INDEX(DX$7:DX$106,$AF10),1),IF($AG10&gt;0,INDEX(DX$7:DX$106,$AG10),1),IF($AH10&gt;0,INDEX(DX$7:DX$106,$AH10),1),IF($AI10&gt;0,INDEX(DX$7:DX$106,$AI10),1),IF($AJ10&gt;0,INDEX(DX$7:DX$106,$AJ10),1))))</ns0:f>
        <ns0:v>1</ns0:v>
      </ns0:c>
      <ns0:c r="DZ10" t="n">
        <ns0:f>IF($A10="",1,IF(DY10=1,1,--AND(IF($AC10&gt;0,INDEX(DY$7:DY$106,$AC10),1),IF($AD10&gt;0,INDEX(DY$7:DY$106,$AD10),1),IF($AE10&gt;0,INDEX(DY$7:DY$106,$AE10),1),IF($AF10&gt;0,INDEX(DY$7:DY$106,$AF10),1),IF($AG10&gt;0,INDEX(DY$7:DY$106,$AG10),1),IF($AH10&gt;0,INDEX(DY$7:DY$106,$AH10),1),IF($AI10&gt;0,INDEX(DY$7:DY$106,$AI10),1),IF($AJ10&gt;0,INDEX(DY$7:DY$106,$AJ10),1))))</ns0:f>
        <ns0:v>1</ns0:v>
      </ns0:c>
      <ns0:c r="EA10" t="n">
        <ns0:f>IF($A10="",1,IF(DZ10=1,1,--AND(IF($AC10&gt;0,INDEX(DZ$7:DZ$106,$AC10),1),IF($AD10&gt;0,INDEX(DZ$7:DZ$106,$AD10),1),IF($AE10&gt;0,INDEX(DZ$7:DZ$106,$AE10),1),IF($AF10&gt;0,INDEX(DZ$7:DZ$106,$AF10),1),IF($AG10&gt;0,INDEX(DZ$7:DZ$106,$AG10),1),IF($AH10&gt;0,INDEX(DZ$7:DZ$106,$AH10),1),IF($AI10&gt;0,INDEX(DZ$7:DZ$106,$AI10),1),IF($AJ10&gt;0,INDEX(DZ$7:DZ$106,$AJ10),1))))</ns0:f>
        <ns0:v>1</ns0:v>
      </ns0:c>
      <ns0:c r="EB10" t="n">
        <ns0:f>IF($A10="",1,IF(EA10=1,1,--AND(IF($AC10&gt;0,INDEX(EA$7:EA$106,$AC10),1),IF($AD10&gt;0,INDEX(EA$7:EA$106,$AD10),1),IF($AE10&gt;0,INDEX(EA$7:EA$106,$AE10),1),IF($AF10&gt;0,INDEX(EA$7:EA$106,$AF10),1),IF($AG10&gt;0,INDEX(EA$7:EA$106,$AG10),1),IF($AH10&gt;0,INDEX(EA$7:EA$106,$AH10),1),IF($AI10&gt;0,INDEX(EA$7:EA$106,$AI10),1),IF($AJ10&gt;0,INDEX(EA$7:EA$106,$AJ10),1))))</ns0:f>
        <ns0:v>1</ns0:v>
      </ns0:c>
      <ns0:c r="EC10" t="n">
        <ns0:f>IF($A10="",1,IF(EB10=1,1,--AND(IF($AC10&gt;0,INDEX(EB$7:EB$106,$AC10),1),IF($AD10&gt;0,INDEX(EB$7:EB$106,$AD10),1),IF($AE10&gt;0,INDEX(EB$7:EB$106,$AE10),1),IF($AF10&gt;0,INDEX(EB$7:EB$106,$AF10),1),IF($AG10&gt;0,INDEX(EB$7:EB$106,$AG10),1),IF($AH10&gt;0,INDEX(EB$7:EB$106,$AH10),1),IF($AI10&gt;0,INDEX(EB$7:EB$106,$AI10),1),IF($AJ10&gt;0,INDEX(EB$7:EB$106,$AJ10),1))))</ns0:f>
        <ns0:v>1</ns0:v>
      </ns0:c>
      <ns0:c r="ED10" t="n">
        <ns0:f>IF($A10="",1,IF(EC10=1,1,--AND(IF($AC10&gt;0,INDEX(EC$7:EC$106,$AC10),1),IF($AD10&gt;0,INDEX(EC$7:EC$106,$AD10),1),IF($AE10&gt;0,INDEX(EC$7:EC$106,$AE10),1),IF($AF10&gt;0,INDEX(EC$7:EC$106,$AF10),1),IF($AG10&gt;0,INDEX(EC$7:EC$106,$AG10),1),IF($AH10&gt;0,INDEX(EC$7:EC$106,$AH10),1),IF($AI10&gt;0,INDEX(EC$7:EC$106,$AI10),1),IF($AJ10&gt;0,INDEX(EC$7:EC$106,$AJ10),1))))</ns0:f>
        <ns0:v>1</ns0:v>
      </ns0:c>
      <ns0:c r="EE10" t="n">
        <ns0:f>IF($A10="",1,IF(ED10=1,1,--AND(IF($AC10&gt;0,INDEX(ED$7:ED$106,$AC10),1),IF($AD10&gt;0,INDEX(ED$7:ED$106,$AD10),1),IF($AE10&gt;0,INDEX(ED$7:ED$106,$AE10),1),IF($AF10&gt;0,INDEX(ED$7:ED$106,$AF10),1),IF($AG10&gt;0,INDEX(ED$7:ED$106,$AG10),1),IF($AH10&gt;0,INDEX(ED$7:ED$106,$AH10),1),IF($AI10&gt;0,INDEX(ED$7:ED$106,$AI10),1),IF($AJ10&gt;0,INDEX(ED$7:ED$106,$AJ10),1))))</ns0:f>
        <ns0:v>1</ns0:v>
      </ns0:c>
      <ns0:c r="EF10" t="n">
        <ns0:f>IF($A10="",1,IF(EE10=1,1,--AND(IF($AC10&gt;0,INDEX(EE$7:EE$106,$AC10),1),IF($AD10&gt;0,INDEX(EE$7:EE$106,$AD10),1),IF($AE10&gt;0,INDEX(EE$7:EE$106,$AE10),1),IF($AF10&gt;0,INDEX(EE$7:EE$106,$AF10),1),IF($AG10&gt;0,INDEX(EE$7:EE$106,$AG10),1),IF($AH10&gt;0,INDEX(EE$7:EE$106,$AH10),1),IF($AI10&gt;0,INDEX(EE$7:EE$106,$AI10),1),IF($AJ10&gt;0,INDEX(EE$7:EE$106,$AJ10),1))))</ns0:f>
        <ns0:v>1</ns0:v>
      </ns0:c>
      <ns0:c r="EG10" t="n">
        <ns0:f>IF($A10="",1,IF(EF10=1,1,--AND(IF($AC10&gt;0,INDEX(EF$7:EF$106,$AC10),1),IF($AD10&gt;0,INDEX(EF$7:EF$106,$AD10),1),IF($AE10&gt;0,INDEX(EF$7:EF$106,$AE10),1),IF($AF10&gt;0,INDEX(EF$7:EF$106,$AF10),1),IF($AG10&gt;0,INDEX(EF$7:EF$106,$AG10),1),IF($AH10&gt;0,INDEX(EF$7:EF$106,$AH10),1),IF($AI10&gt;0,INDEX(EF$7:EF$106,$AI10),1),IF($AJ10&gt;0,INDEX(EF$7:EF$106,$AJ10),1))))</ns0:f>
        <ns0:v>1</ns0:v>
      </ns0:c>
      <ns0:c r="EH10" t="n">
        <ns0:f>IF($A10="",1,IF(EG10=1,1,--AND(IF($AC10&gt;0,INDEX(EG$7:EG$106,$AC10),1),IF($AD10&gt;0,INDEX(EG$7:EG$106,$AD10),1),IF($AE10&gt;0,INDEX(EG$7:EG$106,$AE10),1),IF($AF10&gt;0,INDEX(EG$7:EG$106,$AF10),1),IF($AG10&gt;0,INDEX(EG$7:EG$106,$AG10),1),IF($AH10&gt;0,INDEX(EG$7:EG$106,$AH10),1),IF($AI10&gt;0,INDEX(EG$7:EG$106,$AI10),1),IF($AJ10&gt;0,INDEX(EG$7:EG$106,$AJ10),1))))</ns0:f>
        <ns0:v>1</ns0:v>
      </ns0:c>
      <ns0:c r="EI10" t="n">
        <ns0:f>IF($A10="",1,IF(EH10=1,1,--AND(IF($AC10&gt;0,INDEX(EH$7:EH$106,$AC10),1),IF($AD10&gt;0,INDEX(EH$7:EH$106,$AD10),1),IF($AE10&gt;0,INDEX(EH$7:EH$106,$AE10),1),IF($AF10&gt;0,INDEX(EH$7:EH$106,$AF10),1),IF($AG10&gt;0,INDEX(EH$7:EH$106,$AG10),1),IF($AH10&gt;0,INDEX(EH$7:EH$106,$AH10),1),IF($AI10&gt;0,INDEX(EH$7:EH$106,$AI10),1),IF($AJ10&gt;0,INDEX(EH$7:EH$106,$AJ10),1))))</ns0:f>
        <ns0:v>1</ns0:v>
      </ns0:c>
      <ns0:c r="EJ10" t="n">
        <ns0:f>IF($A10="",1,IF(EI10=1,1,--AND(IF($AC10&gt;0,INDEX(EI$7:EI$106,$AC10),1),IF($AD10&gt;0,INDEX(EI$7:EI$106,$AD10),1),IF($AE10&gt;0,INDEX(EI$7:EI$106,$AE10),1),IF($AF10&gt;0,INDEX(EI$7:EI$106,$AF10),1),IF($AG10&gt;0,INDEX(EI$7:EI$106,$AG10),1),IF($AH10&gt;0,INDEX(EI$7:EI$106,$AH10),1),IF($AI10&gt;0,INDEX(EI$7:EI$106,$AI10),1),IF($AJ10&gt;0,INDEX(EI$7:EI$106,$AJ10),1))))</ns0:f>
        <ns0:v>1</ns0:v>
      </ns0:c>
      <ns0:c r="EK10" t="n">
        <ns0:f>IF($A10="",1,IF(EJ10=1,1,--AND(IF($AC10&gt;0,INDEX(EJ$7:EJ$106,$AC10),1),IF($AD10&gt;0,INDEX(EJ$7:EJ$106,$AD10),1),IF($AE10&gt;0,INDEX(EJ$7:EJ$106,$AE10),1),IF($AF10&gt;0,INDEX(EJ$7:EJ$106,$AF10),1),IF($AG10&gt;0,INDEX(EJ$7:EJ$106,$AG10),1),IF($AH10&gt;0,INDEX(EJ$7:EJ$106,$AH10),1),IF($AI10&gt;0,INDEX(EJ$7:EJ$106,$AI10),1),IF($AJ10&gt;0,INDEX(EJ$7:EJ$106,$AJ10),1))))</ns0:f>
        <ns0:v>1</ns0:v>
      </ns0:c>
      <ns0:c r="EL10" t="n">
        <ns0:f>IF($A10="",1,IF(EK10=1,1,--AND(IF($AC10&gt;0,INDEX(EK$7:EK$106,$AC10),1),IF($AD10&gt;0,INDEX(EK$7:EK$106,$AD10),1),IF($AE10&gt;0,INDEX(EK$7:EK$106,$AE10),1),IF($AF10&gt;0,INDEX(EK$7:EK$106,$AF10),1),IF($AG10&gt;0,INDEX(EK$7:EK$106,$AG10),1),IF($AH10&gt;0,INDEX(EK$7:EK$106,$AH10),1),IF($AI10&gt;0,INDEX(EK$7:EK$106,$AI10),1),IF($AJ10&gt;0,INDEX(EK$7:EK$106,$AJ10),1))))</ns0:f>
        <ns0:v>1</ns0:v>
      </ns0:c>
      <ns0:c r="EM10" t="n">
        <ns0:f>IF($A10="",1,IF(EL10=1,1,--AND(IF($AC10&gt;0,INDEX(EL$7:EL$106,$AC10),1),IF($AD10&gt;0,INDEX(EL$7:EL$106,$AD10),1),IF($AE10&gt;0,INDEX(EL$7:EL$106,$AE10),1),IF($AF10&gt;0,INDEX(EL$7:EL$106,$AF10),1),IF($AG10&gt;0,INDEX(EL$7:EL$106,$AG10),1),IF($AH10&gt;0,INDEX(EL$7:EL$106,$AH10),1),IF($AI10&gt;0,INDEX(EL$7:EL$106,$AI10),1),IF($AJ10&gt;0,INDEX(EL$7:EL$106,$AJ10),1))))</ns0:f>
        <ns0:v>1</ns0:v>
      </ns0:c>
      <ns0:c r="EN10" t="n">
        <ns0:f>IF($A10="",1,IF(EM10=1,1,--AND(IF($AC10&gt;0,INDEX(EM$7:EM$106,$AC10),1),IF($AD10&gt;0,INDEX(EM$7:EM$106,$AD10),1),IF($AE10&gt;0,INDEX(EM$7:EM$106,$AE10),1),IF($AF10&gt;0,INDEX(EM$7:EM$106,$AF10),1),IF($AG10&gt;0,INDEX(EM$7:EM$106,$AG10),1),IF($AH10&gt;0,INDEX(EM$7:EM$106,$AH10),1),IF($AI10&gt;0,INDEX(EM$7:EM$106,$AI10),1),IF($AJ10&gt;0,INDEX(EM$7:EM$106,$AJ10),1))))</ns0:f>
        <ns0:v>1</ns0:v>
      </ns0:c>
      <ns0:c r="EO10" t="n">
        <ns0:f>IF($A10="",1,IF(EN10=1,1,--AND(IF($AC10&gt;0,INDEX(EN$7:EN$106,$AC10),1),IF($AD10&gt;0,INDEX(EN$7:EN$106,$AD10),1),IF($AE10&gt;0,INDEX(EN$7:EN$106,$AE10),1),IF($AF10&gt;0,INDEX(EN$7:EN$106,$AF10),1),IF($AG10&gt;0,INDEX(EN$7:EN$106,$AG10),1),IF($AH10&gt;0,INDEX(EN$7:EN$106,$AH10),1),IF($AI10&gt;0,INDEX(EN$7:EN$106,$AI10),1),IF($AJ10&gt;0,INDEX(EN$7:EN$106,$AJ10),1))))</ns0:f>
        <ns0:v>1</ns0:v>
      </ns0:c>
      <ns0:c r="EP10" t="n">
        <ns0:f>IF($A10="",1,IF(EO10=1,1,--AND(IF($AC10&gt;0,INDEX(EO$7:EO$106,$AC10),1),IF($AD10&gt;0,INDEX(EO$7:EO$106,$AD10),1),IF($AE10&gt;0,INDEX(EO$7:EO$106,$AE10),1),IF($AF10&gt;0,INDEX(EO$7:EO$106,$AF10),1),IF($AG10&gt;0,INDEX(EO$7:EO$106,$AG10),1),IF($AH10&gt;0,INDEX(EO$7:EO$106,$AH10),1),IF($AI10&gt;0,INDEX(EO$7:EO$106,$AI10),1),IF($AJ10&gt;0,INDEX(EO$7:EO$106,$AJ10),1))))</ns0:f>
        <ns0:v>1</ns0:v>
      </ns0:c>
      <ns0:c r="EQ10" t="n">
        <ns0:f>IF(OR(A10="",NOT(ISNUMBER(G10))),0,G10*N10)</ns0:f>
        <ns0:v>0</ns0:v>
      </ns0:c>
    </ns0:row>
    <ns0:row r="11" ht="62" customHeight="1">
      <ns0:c r="A11" s="48" t="str">
        <ns0:v>M1</ns0:v>
      </ns0:c>
      <ns0:c r="B11" s="48" t="str">
        <ns0:v>Governance &amp; state</ns0:v>
      </ns0:c>
      <ns0:c r="C11" s="48" t="str">
        <ns0:v>Governance, Policy &amp; Canonical State Initialization</ns0:v>
      </ns0:c>
      <ns0:c r="D11" s="48" t="str">
        <ns0:v>Explicit project checkpoint. Mark complete only after linked work is accepted.</ns0:v>
      </ns0:c>
      <ns0:c r="E11" s="49" t="n">
        <ns0:v>46279</ns0:v>
      </ns0:c>
      <ns0:c r="F11" s="49" t="n">
        <ns0:v>46279</ns0:v>
      </ns0:c>
      <ns0:c r="G11" s="13" t="n">
        <ns0:f>IF(A11="","",IF(OR(NOT(ISNUMBER(E11)),NOT(ISNUMBER(F11)),F11&lt;E11),"",IF(J11="Yes",0,F11-E11+1)))</ns0:f>
        <ns0:v>0</ns0:v>
      </ns0:c>
      <ns0:c r="H11" s="48" t="str">
        <ns0:v>T01,T02,T03,T04</ns0:v>
      </ns0:c>
      <ns0:c r="I11" s="48" t="str">
        <ns0:v>FF</ns0:v>
      </ns0:c>
      <ns0:c r="J11" s="48" t="str">
        <ns0:v>Yes</ns0:v>
      </ns0:c>
      <ns0:c r="K11" s="48" t="str">
        <ns0:v>Unassigned</ns0:v>
      </ns0:c>
      <ns0:c r="L11" s="48" t="str"/>
      <ns0:c r="M11" s="50" t="str">
        <ns0:f>IF(A11="","",IF(N11=1,"Completed",IF(N11&gt;0,"In Progress","Not Started")))</ns0:f>
        <ns0:v>Not Started</ns0:v>
      </ns0:c>
      <ns0:c r="N11" s="51" t="n">
        <ns0:v>0</ns0:v>
      </ns0:c>
      <ns0:c r="O11" s="13" t="str">
        <ns0:f>IF(A11="","",IF(R11&lt;&gt;"","[CONFLICT] "&amp;R11,IF(S11&lt;&gt;"","[CONFLICT] "&amp;S11,IF(OR(NOT(ISNUMBER(N11)),N11&lt;0,N11&gt;1),"[CONFLICT] Invalid progress",IF(AK11&gt;0,"[DEPENDENCY ISSUE] Missing ID / &gt;8 links",IF(AM11&gt;0,"[DEPENDENCY ISSUE] Cycle or blocked by cycle",IF(AND(H11&lt;&gt;"",ISNA(MATCH(I11,{"FS","SS","FF","SF"},0))),"[DEPENDENCY ISSUE] Invalid type",IF(AL11&gt;0,"[DEPENDENCY ISSUE] Timing conflict",IF(OR(E11&lt;ProjectStart,F11&gt;ProjectEnd),"[OUTSIDE WINDOW]",IF(AND(N11&lt;1,F11&lt;AsOfDate),"Overdue",IF(AND(M11&lt;&gt;Q11,M11&lt;&gt;""),"[CONFLICT] Status / progress","On track")))))))))))</ns0:f>
        <ns0:v>On track</ns0:v>
      </ns0:c>
      <ns0:c r="P11" s="52" t="str">
        <ns0:v>Source: Project Plan Essentials (2).md §3. Source checkpoint date retained (source labels all dates [INFERRED]). [INFERRED] FF link permits completion-day checkpoint. Owner missing.</ns0:v>
      </ns0:c>
      <ns0:c r="Q11" t="str">
        <ns0:f>IF(A11="","",IF(OR(M11="On Hold",M11="Delayed"),M11,IF(N11=1,"Completed",IF(N11&gt;0,"In Progress","Not Started"))))</ns0:f>
        <ns0:v>Not Started</ns0:v>
      </ns0:c>
      <ns0:c r="R11" t="str">
        <ns0:f>IF(A11="","",IF(COUNTIFS(Tasks[Task ID],A11)&lt;&gt;1,"Duplicate ID",""))</ns0:f>
      </ns0:c>
      <ns0:c r="S11" t="str">
        <ns0:f>IF(A11="","",IF(OR(NOT(ISNUMBER(E11)),NOT(ISNUMBER(F11))),"Invalid / missing date",IF(OR(E11&lt;&gt;INT(E11),F11&lt;&gt;INT(F11),E11&lt;1,F11&gt;2958465),"Invalid date",IF(F11&lt;E11,"End before start",IF(AND(J11="Yes",E11&lt;&gt;F11),"Milestone needs one date","")))))</ns0:f>
      </ns0:c>
      <ns0:c r="T11" t="n">
        <ns0:f>IF(H11="",0,LEN(H11)-LEN(SUBSTITUTE(H11,",",""))+1)</ns0:f>
        <ns0:v>4</ns0:v>
      </ns0:c>
      <ns0:c r="U11" t="str">
        <ns0:f>TRIM(MID(SUBSTITUTE($H11,",",REPT(" ",100)),1,100))</ns0:f>
        <ns0:v>T01</ns0:v>
      </ns0:c>
      <ns0:c r="V11" t="str">
        <ns0:f>TRIM(MID(SUBSTITUTE($H11,",",REPT(" ",100)),101,100))</ns0:f>
        <ns0:v>T02</ns0:v>
      </ns0:c>
      <ns0:c r="W11" t="str">
        <ns0:f>TRIM(MID(SUBSTITUTE($H11,",",REPT(" ",100)),201,100))</ns0:f>
        <ns0:v>T03</ns0:v>
      </ns0:c>
      <ns0:c r="X11" t="str">
        <ns0:f>TRIM(MID(SUBSTITUTE($H11,",",REPT(" ",100)),301,100))</ns0:f>
        <ns0:v>T04</ns0:v>
      </ns0:c>
      <ns0:c r="Y11" t="str">
        <ns0:f>TRIM(MID(SUBSTITUTE($H11,",",REPT(" ",100)),401,100))</ns0:f>
      </ns0:c>
      <ns0:c r="Z11" t="str">
        <ns0:f>TRIM(MID(SUBSTITUTE($H11,",",REPT(" ",100)),501,100))</ns0:f>
      </ns0:c>
      <ns0:c r="AA11" t="str">
        <ns0:f>TRIM(MID(SUBSTITUTE($H11,",",REPT(" ",100)),601,100))</ns0:f>
      </ns0:c>
      <ns0:c r="AB11" t="str">
        <ns0:f>TRIM(MID(SUBSTITUTE($H11,",",REPT(" ",100)),701,100))</ns0:f>
      </ns0:c>
      <ns0:c r="AC11" t="n">
        <ns0:f>IF(U11="",0,IF(COUNTIFS(Tasks[Task ID],U11)=1,MATCH(U11,Tasks[Task ID],0),-1))</ns0:f>
        <ns0:v>1</ns0:v>
      </ns0:c>
      <ns0:c r="AD11" t="n">
        <ns0:f>IF(V11="",0,IF(COUNTIFS(Tasks[Task ID],V11)=1,MATCH(V11,Tasks[Task ID],0),-1))</ns0:f>
        <ns0:v>2</ns0:v>
      </ns0:c>
      <ns0:c r="AE11" t="n">
        <ns0:f>IF(W11="",0,IF(COUNTIFS(Tasks[Task ID],W11)=1,MATCH(W11,Tasks[Task ID],0),-1))</ns0:f>
        <ns0:v>3</ns0:v>
      </ns0:c>
      <ns0:c r="AF11" t="n">
        <ns0:f>IF(X11="",0,IF(COUNTIFS(Tasks[Task ID],X11)=1,MATCH(X11,Tasks[Task ID],0),-1))</ns0:f>
        <ns0:v>4</ns0:v>
      </ns0:c>
      <ns0:c r="AG11" t="n">
        <ns0:f>IF(Y11="",0,IF(COUNTIFS(Tasks[Task ID],Y11)=1,MATCH(Y11,Tasks[Task ID],0),-1))</ns0:f>
        <ns0:v>0</ns0:v>
      </ns0:c>
      <ns0:c r="AH11" t="n">
        <ns0:f>IF(Z11="",0,IF(COUNTIFS(Tasks[Task ID],Z11)=1,MATCH(Z11,Tasks[Task ID],0),-1))</ns0:f>
        <ns0:v>0</ns0:v>
      </ns0:c>
      <ns0:c r="AI11" t="n">
        <ns0:f>IF(AA11="",0,IF(COUNTIFS(Tasks[Task ID],AA11)=1,MATCH(AA11,Tasks[Task ID],0),-1))</ns0:f>
        <ns0:v>0</ns0:v>
      </ns0:c>
      <ns0:c r="AJ11" t="n">
        <ns0:f>IF(AB11="",0,IF(COUNTIFS(Tasks[Task ID],AB11)=1,MATCH(AB11,Tasks[Task ID],0),-1))</ns0:f>
        <ns0:v>0</ns0:v>
      </ns0:c>
      <ns0:c r="AK11" t="n">
        <ns0:f>COUNTIFS(AC11:AJ11,-1)+IF(T11&gt;8,1,0)</ns0:f>
        <ns0:v>0</ns0:v>
      </ns0:c>
      <ns0:c r="AL11" t="n">
        <ns0:f>IF(OR(A11="",S11&lt;&gt;""),0,SUM(IF(AC11&gt;0,IF($I11="FS",--($E11&lt;INDEX(Tasks[End Date],AC11)+IF(INDEX(Tasks[Milestone],AC11)="Yes",0,1)),IF($I11="SS",--($E11&lt;INDEX(Tasks[Start Date],AC11)),IF($I11="FF",--($F11&lt;INDEX(Tasks[End Date],AC11)),IF($I11="SF",--($F11&lt;INDEX(Tasks[Start Date],AC11)),0)))),0),IF(AD11&gt;0,IF($I11="FS",--($E11&lt;INDEX(Tasks[End Date],AD11)+IF(INDEX(Tasks[Milestone],AD11)="Yes",0,1)),IF($I11="SS",--($E11&lt;INDEX(Tasks[Start Date],AD11)),IF($I11="FF",--($F11&lt;INDEX(Tasks[End Date],AD11)),IF($I11="SF",--($F11&lt;INDEX(Tasks[Start Date],AD11)),0)))),0),IF(AE11&gt;0,IF($I11="FS",--($E11&lt;INDEX(Tasks[End Date],AE11)+IF(INDEX(Tasks[Milestone],AE11)="Yes",0,1)),IF($I11="SS",--($E11&lt;INDEX(Tasks[Start Date],AE11)),IF($I11="FF",--($F11&lt;INDEX(Tasks[End Date],AE11)),IF($I11="SF",--($F11&lt;INDEX(Tasks[Start Date],AE11)),0)))),0),IF(AF11&gt;0,IF($I11="FS",--($E11&lt;INDEX(Tasks[End Date],AF11)+IF(INDEX(Tasks[Milestone],AF11)="Yes",0,1)),IF($I11="SS",--($E11&lt;INDEX(Tasks[Start Date],AF11)),IF($I11="FF",--($F11&lt;INDEX(Tasks[End Date],AF11)),IF($I11="SF",--($F11&lt;INDEX(Tasks[Start Date],AF11)),0)))),0),IF(AG11&gt;0,IF($I11="FS",--($E11&lt;INDEX(Tasks[End Date],AG11)+IF(INDEX(Tasks[Milestone],AG11)="Yes",0,1)),IF($I11="SS",--($E11&lt;INDEX(Tasks[Start Date],AG11)),IF($I11="FF",--($F11&lt;INDEX(Tasks[End Date],AG11)),IF($I11="SF",--($F11&lt;INDEX(Tasks[Start Date],AG11)),0)))),0),IF(AH11&gt;0,IF($I11="FS",--($E11&lt;INDEX(Tasks[End Date],AH11)+IF(INDEX(Tasks[Milestone],AH11)="Yes",0,1)),IF($I11="SS",--($E11&lt;INDEX(Tasks[Start Date],AH11)),IF($I11="FF",--($F11&lt;INDEX(Tasks[End Date],AH11)),IF($I11="SF",--($F11&lt;INDEX(Tasks[Start Date],AH11)),0)))),0),IF(AI11&gt;0,IF($I11="FS",--($E11&lt;INDEX(Tasks[End Date],AI11)+IF(INDEX(Tasks[Milestone],AI11)="Yes",0,1)),IF($I11="SS",--($E11&lt;INDEX(Tasks[Start Date],AI11)),IF($I11="FF",--($F11&lt;INDEX(Tasks[End Date],AI11)),IF($I11="SF",--($F11&lt;INDEX(Tasks[Start Date],AI11)),0)))),0),IF(AJ11&gt;0,IF($I11="FS",--($E11&lt;INDEX(Tasks[End Date],AJ11)+IF(INDEX(Tasks[Milestone],AJ11)="Yes",0,1)),IF($I11="SS",--($E11&lt;INDEX(Tasks[Start Date],AJ11)),IF($I11="FF",--($F11&lt;INDEX(Tasks[End Date],AJ11)),IF($I11="SF",--($F11&lt;INDEX(Tasks[Start Date],AJ11)),0)))),0)))</ns0:f>
        <ns0:v>0</ns0:v>
      </ns0:c>
      <ns0:c r="AM11" t="n">
        <ns0:f>IF(AND(A11&lt;&gt;"",AK11=0,EP11=0),1,0)</ns0:f>
        <ns0:v>0</ns0:v>
      </ns0:c>
      <ns0:c r="AN11" t="str">
        <ns0:f>IF(OR(A11="",B11=""),"",IF(COUNTIFS($B$7:B11,B11)=1,MAX($AN$6:AN10)+1,""))</ns0:f>
      </ns0:c>
      <ns0:c r="AO11" t="n">
        <ns0:f>IF(AND(A11&lt;&gt;"",J11="No",N11&lt;1,E11&gt;=AsOfDate),E11+ROW()/10000,1E+9)</ns0:f>
        <ns0:v>1000000000</ns0:v>
      </ns0:c>
      <ns0:c r="AP11" t="n">
        <ns0:f>IF(AND(A11&lt;&gt;"",J11="Yes",N11&lt;1,E11&gt;=AsOfDate),E11+ROW()/10000,1E+9)</ns0:f>
        <ns0:v>46279.0011</ns0:v>
      </ns0:c>
      <ns0:c r="AQ11" t="n">
        <ns0:f>IF(AND(A11&lt;&gt;"",J11="No",N11&lt;1,F11&gt;=AsOfDate,F11&lt;=AsOfDate+7),F11+ROW()/10000,1E+9)</ns0:f>
        <ns0:v>1000000000</ns0:v>
      </ns0:c>
      <ns0:c r="AR11" t="n">
        <ns0:f>IF(AND(A11&lt;&gt;"",OR(O11&lt;&gt;"On track",Q11="Delayed")),ROW(),1E+9)</ns0:f>
        <ns0:v>1000000000</ns0:v>
      </ns0:c>
      <ns0:c r="AS11" t="str">
        <ns0:f>IF(A11="","",";"&amp;K11&amp;";")</ns0:f>
        <ns0:v>;Unassigned;</ns0:v>
      </ns0:c>
      <ns0:c r="AT11" t="n">
        <ns0:f>IF(A11="",1,--(T11=0))</ns0:f>
        <ns0:v>0</ns0:v>
      </ns0:c>
      <ns0:c r="AU11" t="n">
        <ns0:f>IF($A11="",1,IF(AT11=1,1,--AND(IF($AC11&gt;0,INDEX(AT$7:AT$106,$AC11),1),IF($AD11&gt;0,INDEX(AT$7:AT$106,$AD11),1),IF($AE11&gt;0,INDEX(AT$7:AT$106,$AE11),1),IF($AF11&gt;0,INDEX(AT$7:AT$106,$AF11),1),IF($AG11&gt;0,INDEX(AT$7:AT$106,$AG11),1),IF($AH11&gt;0,INDEX(AT$7:AT$106,$AH11),1),IF($AI11&gt;0,INDEX(AT$7:AT$106,$AI11),1),IF($AJ11&gt;0,INDEX(AT$7:AT$106,$AJ11),1))))</ns0:f>
        <ns0:v>0</ns0:v>
      </ns0:c>
      <ns0:c r="AV11" t="n">
        <ns0:f>IF($A11="",1,IF(AU11=1,1,--AND(IF($AC11&gt;0,INDEX(AU$7:AU$106,$AC11),1),IF($AD11&gt;0,INDEX(AU$7:AU$106,$AD11),1),IF($AE11&gt;0,INDEX(AU$7:AU$106,$AE11),1),IF($AF11&gt;0,INDEX(AU$7:AU$106,$AF11),1),IF($AG11&gt;0,INDEX(AU$7:AU$106,$AG11),1),IF($AH11&gt;0,INDEX(AU$7:AU$106,$AH11),1),IF($AI11&gt;0,INDEX(AU$7:AU$106,$AI11),1),IF($AJ11&gt;0,INDEX(AU$7:AU$106,$AJ11),1))))</ns0:f>
        <ns0:v>1</ns0:v>
      </ns0:c>
      <ns0:c r="AW11" t="n">
        <ns0:f>IF($A11="",1,IF(AV11=1,1,--AND(IF($AC11&gt;0,INDEX(AV$7:AV$106,$AC11),1),IF($AD11&gt;0,INDEX(AV$7:AV$106,$AD11),1),IF($AE11&gt;0,INDEX(AV$7:AV$106,$AE11),1),IF($AF11&gt;0,INDEX(AV$7:AV$106,$AF11),1),IF($AG11&gt;0,INDEX(AV$7:AV$106,$AG11),1),IF($AH11&gt;0,INDEX(AV$7:AV$106,$AH11),1),IF($AI11&gt;0,INDEX(AV$7:AV$106,$AI11),1),IF($AJ11&gt;0,INDEX(AV$7:AV$106,$AJ11),1))))</ns0:f>
        <ns0:v>1</ns0:v>
      </ns0:c>
      <ns0:c r="AX11" t="n">
        <ns0:f>IF($A11="",1,IF(AW11=1,1,--AND(IF($AC11&gt;0,INDEX(AW$7:AW$106,$AC11),1),IF($AD11&gt;0,INDEX(AW$7:AW$106,$AD11),1),IF($AE11&gt;0,INDEX(AW$7:AW$106,$AE11),1),IF($AF11&gt;0,INDEX(AW$7:AW$106,$AF11),1),IF($AG11&gt;0,INDEX(AW$7:AW$106,$AG11),1),IF($AH11&gt;0,INDEX(AW$7:AW$106,$AH11),1),IF($AI11&gt;0,INDEX(AW$7:AW$106,$AI11),1),IF($AJ11&gt;0,INDEX(AW$7:AW$106,$AJ11),1))))</ns0:f>
        <ns0:v>1</ns0:v>
      </ns0:c>
      <ns0:c r="AY11" t="n">
        <ns0:f>IF($A11="",1,IF(AX11=1,1,--AND(IF($AC11&gt;0,INDEX(AX$7:AX$106,$AC11),1),IF($AD11&gt;0,INDEX(AX$7:AX$106,$AD11),1),IF($AE11&gt;0,INDEX(AX$7:AX$106,$AE11),1),IF($AF11&gt;0,INDEX(AX$7:AX$106,$AF11),1),IF($AG11&gt;0,INDEX(AX$7:AX$106,$AG11),1),IF($AH11&gt;0,INDEX(AX$7:AX$106,$AH11),1),IF($AI11&gt;0,INDEX(AX$7:AX$106,$AI11),1),IF($AJ11&gt;0,INDEX(AX$7:AX$106,$AJ11),1))))</ns0:f>
        <ns0:v>1</ns0:v>
      </ns0:c>
      <ns0:c r="AZ11" t="n">
        <ns0:f>IF($A11="",1,IF(AY11=1,1,--AND(IF($AC11&gt;0,INDEX(AY$7:AY$106,$AC11),1),IF($AD11&gt;0,INDEX(AY$7:AY$106,$AD11),1),IF($AE11&gt;0,INDEX(AY$7:AY$106,$AE11),1),IF($AF11&gt;0,INDEX(AY$7:AY$106,$AF11),1),IF($AG11&gt;0,INDEX(AY$7:AY$106,$AG11),1),IF($AH11&gt;0,INDEX(AY$7:AY$106,$AH11),1),IF($AI11&gt;0,INDEX(AY$7:AY$106,$AI11),1),IF($AJ11&gt;0,INDEX(AY$7:AY$106,$AJ11),1))))</ns0:f>
        <ns0:v>1</ns0:v>
      </ns0:c>
      <ns0:c r="BA11" t="n">
        <ns0:f>IF($A11="",1,IF(AZ11=1,1,--AND(IF($AC11&gt;0,INDEX(AZ$7:AZ$106,$AC11),1),IF($AD11&gt;0,INDEX(AZ$7:AZ$106,$AD11),1),IF($AE11&gt;0,INDEX(AZ$7:AZ$106,$AE11),1),IF($AF11&gt;0,INDEX(AZ$7:AZ$106,$AF11),1),IF($AG11&gt;0,INDEX(AZ$7:AZ$106,$AG11),1),IF($AH11&gt;0,INDEX(AZ$7:AZ$106,$AH11),1),IF($AI11&gt;0,INDEX(AZ$7:AZ$106,$AI11),1),IF($AJ11&gt;0,INDEX(AZ$7:AZ$106,$AJ11),1))))</ns0:f>
        <ns0:v>1</ns0:v>
      </ns0:c>
      <ns0:c r="BB11" t="n">
        <ns0:f>IF($A11="",1,IF(BA11=1,1,--AND(IF($AC11&gt;0,INDEX(BA$7:BA$106,$AC11),1),IF($AD11&gt;0,INDEX(BA$7:BA$106,$AD11),1),IF($AE11&gt;0,INDEX(BA$7:BA$106,$AE11),1),IF($AF11&gt;0,INDEX(BA$7:BA$106,$AF11),1),IF($AG11&gt;0,INDEX(BA$7:BA$106,$AG11),1),IF($AH11&gt;0,INDEX(BA$7:BA$106,$AH11),1),IF($AI11&gt;0,INDEX(BA$7:BA$106,$AI11),1),IF($AJ11&gt;0,INDEX(BA$7:BA$106,$AJ11),1))))</ns0:f>
        <ns0:v>1</ns0:v>
      </ns0:c>
      <ns0:c r="BC11" t="n">
        <ns0:f>IF($A11="",1,IF(BB11=1,1,--AND(IF($AC11&gt;0,INDEX(BB$7:BB$106,$AC11),1),IF($AD11&gt;0,INDEX(BB$7:BB$106,$AD11),1),IF($AE11&gt;0,INDEX(BB$7:BB$106,$AE11),1),IF($AF11&gt;0,INDEX(BB$7:BB$106,$AF11),1),IF($AG11&gt;0,INDEX(BB$7:BB$106,$AG11),1),IF($AH11&gt;0,INDEX(BB$7:BB$106,$AH11),1),IF($AI11&gt;0,INDEX(BB$7:BB$106,$AI11),1),IF($AJ11&gt;0,INDEX(BB$7:BB$106,$AJ11),1))))</ns0:f>
        <ns0:v>1</ns0:v>
      </ns0:c>
      <ns0:c r="BD11" t="n">
        <ns0:f>IF($A11="",1,IF(BC11=1,1,--AND(IF($AC11&gt;0,INDEX(BC$7:BC$106,$AC11),1),IF($AD11&gt;0,INDEX(BC$7:BC$106,$AD11),1),IF($AE11&gt;0,INDEX(BC$7:BC$106,$AE11),1),IF($AF11&gt;0,INDEX(BC$7:BC$106,$AF11),1),IF($AG11&gt;0,INDEX(BC$7:BC$106,$AG11),1),IF($AH11&gt;0,INDEX(BC$7:BC$106,$AH11),1),IF($AI11&gt;0,INDEX(BC$7:BC$106,$AI11),1),IF($AJ11&gt;0,INDEX(BC$7:BC$106,$AJ11),1))))</ns0:f>
        <ns0:v>1</ns0:v>
      </ns0:c>
      <ns0:c r="BE11" t="n">
        <ns0:f>IF($A11="",1,IF(BD11=1,1,--AND(IF($AC11&gt;0,INDEX(BD$7:BD$106,$AC11),1),IF($AD11&gt;0,INDEX(BD$7:BD$106,$AD11),1),IF($AE11&gt;0,INDEX(BD$7:BD$106,$AE11),1),IF($AF11&gt;0,INDEX(BD$7:BD$106,$AF11),1),IF($AG11&gt;0,INDEX(BD$7:BD$106,$AG11),1),IF($AH11&gt;0,INDEX(BD$7:BD$106,$AH11),1),IF($AI11&gt;0,INDEX(BD$7:BD$106,$AI11),1),IF($AJ11&gt;0,INDEX(BD$7:BD$106,$AJ11),1))))</ns0:f>
        <ns0:v>1</ns0:v>
      </ns0:c>
      <ns0:c r="BF11" t="n">
        <ns0:f>IF($A11="",1,IF(BE11=1,1,--AND(IF($AC11&gt;0,INDEX(BE$7:BE$106,$AC11),1),IF($AD11&gt;0,INDEX(BE$7:BE$106,$AD11),1),IF($AE11&gt;0,INDEX(BE$7:BE$106,$AE11),1),IF($AF11&gt;0,INDEX(BE$7:BE$106,$AF11),1),IF($AG11&gt;0,INDEX(BE$7:BE$106,$AG11),1),IF($AH11&gt;0,INDEX(BE$7:BE$106,$AH11),1),IF($AI11&gt;0,INDEX(BE$7:BE$106,$AI11),1),IF($AJ11&gt;0,INDEX(BE$7:BE$106,$AJ11),1))))</ns0:f>
        <ns0:v>1</ns0:v>
      </ns0:c>
      <ns0:c r="BG11" t="n">
        <ns0:f>IF($A11="",1,IF(BF11=1,1,--AND(IF($AC11&gt;0,INDEX(BF$7:BF$106,$AC11),1),IF($AD11&gt;0,INDEX(BF$7:BF$106,$AD11),1),IF($AE11&gt;0,INDEX(BF$7:BF$106,$AE11),1),IF($AF11&gt;0,INDEX(BF$7:BF$106,$AF11),1),IF($AG11&gt;0,INDEX(BF$7:BF$106,$AG11),1),IF($AH11&gt;0,INDEX(BF$7:BF$106,$AH11),1),IF($AI11&gt;0,INDEX(BF$7:BF$106,$AI11),1),IF($AJ11&gt;0,INDEX(BF$7:BF$106,$AJ11),1))))</ns0:f>
        <ns0:v>1</ns0:v>
      </ns0:c>
      <ns0:c r="BH11" t="n">
        <ns0:f>IF($A11="",1,IF(BG11=1,1,--AND(IF($AC11&gt;0,INDEX(BG$7:BG$106,$AC11),1),IF($AD11&gt;0,INDEX(BG$7:BG$106,$AD11),1),IF($AE11&gt;0,INDEX(BG$7:BG$106,$AE11),1),IF($AF11&gt;0,INDEX(BG$7:BG$106,$AF11),1),IF($AG11&gt;0,INDEX(BG$7:BG$106,$AG11),1),IF($AH11&gt;0,INDEX(BG$7:BG$106,$AH11),1),IF($AI11&gt;0,INDEX(BG$7:BG$106,$AI11),1),IF($AJ11&gt;0,INDEX(BG$7:BG$106,$AJ11),1))))</ns0:f>
        <ns0:v>1</ns0:v>
      </ns0:c>
      <ns0:c r="BI11" t="n">
        <ns0:f>IF($A11="",1,IF(BH11=1,1,--AND(IF($AC11&gt;0,INDEX(BH$7:BH$106,$AC11),1),IF($AD11&gt;0,INDEX(BH$7:BH$106,$AD11),1),IF($AE11&gt;0,INDEX(BH$7:BH$106,$AE11),1),IF($AF11&gt;0,INDEX(BH$7:BH$106,$AF11),1),IF($AG11&gt;0,INDEX(BH$7:BH$106,$AG11),1),IF($AH11&gt;0,INDEX(BH$7:BH$106,$AH11),1),IF($AI11&gt;0,INDEX(BH$7:BH$106,$AI11),1),IF($AJ11&gt;0,INDEX(BH$7:BH$106,$AJ11),1))))</ns0:f>
        <ns0:v>1</ns0:v>
      </ns0:c>
      <ns0:c r="BJ11" t="n">
        <ns0:f>IF($A11="",1,IF(BI11=1,1,--AND(IF($AC11&gt;0,INDEX(BI$7:BI$106,$AC11),1),IF($AD11&gt;0,INDEX(BI$7:BI$106,$AD11),1),IF($AE11&gt;0,INDEX(BI$7:BI$106,$AE11),1),IF($AF11&gt;0,INDEX(BI$7:BI$106,$AF11),1),IF($AG11&gt;0,INDEX(BI$7:BI$106,$AG11),1),IF($AH11&gt;0,INDEX(BI$7:BI$106,$AH11),1),IF($AI11&gt;0,INDEX(BI$7:BI$106,$AI11),1),IF($AJ11&gt;0,INDEX(BI$7:BI$106,$AJ11),1))))</ns0:f>
        <ns0:v>1</ns0:v>
      </ns0:c>
      <ns0:c r="BK11" t="n">
        <ns0:f>IF($A11="",1,IF(BJ11=1,1,--AND(IF($AC11&gt;0,INDEX(BJ$7:BJ$106,$AC11),1),IF($AD11&gt;0,INDEX(BJ$7:BJ$106,$AD11),1),IF($AE11&gt;0,INDEX(BJ$7:BJ$106,$AE11),1),IF($AF11&gt;0,INDEX(BJ$7:BJ$106,$AF11),1),IF($AG11&gt;0,INDEX(BJ$7:BJ$106,$AG11),1),IF($AH11&gt;0,INDEX(BJ$7:BJ$106,$AH11),1),IF($AI11&gt;0,INDEX(BJ$7:BJ$106,$AI11),1),IF($AJ11&gt;0,INDEX(BJ$7:BJ$106,$AJ11),1))))</ns0:f>
        <ns0:v>1</ns0:v>
      </ns0:c>
      <ns0:c r="BL11" t="n">
        <ns0:f>IF($A11="",1,IF(BK11=1,1,--AND(IF($AC11&gt;0,INDEX(BK$7:BK$106,$AC11),1),IF($AD11&gt;0,INDEX(BK$7:BK$106,$AD11),1),IF($AE11&gt;0,INDEX(BK$7:BK$106,$AE11),1),IF($AF11&gt;0,INDEX(BK$7:BK$106,$AF11),1),IF($AG11&gt;0,INDEX(BK$7:BK$106,$AG11),1),IF($AH11&gt;0,INDEX(BK$7:BK$106,$AH11),1),IF($AI11&gt;0,INDEX(BK$7:BK$106,$AI11),1),IF($AJ11&gt;0,INDEX(BK$7:BK$106,$AJ11),1))))</ns0:f>
        <ns0:v>1</ns0:v>
      </ns0:c>
      <ns0:c r="BM11" t="n">
        <ns0:f>IF($A11="",1,IF(BL11=1,1,--AND(IF($AC11&gt;0,INDEX(BL$7:BL$106,$AC11),1),IF($AD11&gt;0,INDEX(BL$7:BL$106,$AD11),1),IF($AE11&gt;0,INDEX(BL$7:BL$106,$AE11),1),IF($AF11&gt;0,INDEX(BL$7:BL$106,$AF11),1),IF($AG11&gt;0,INDEX(BL$7:BL$106,$AG11),1),IF($AH11&gt;0,INDEX(BL$7:BL$106,$AH11),1),IF($AI11&gt;0,INDEX(BL$7:BL$106,$AI11),1),IF($AJ11&gt;0,INDEX(BL$7:BL$106,$AJ11),1))))</ns0:f>
        <ns0:v>1</ns0:v>
      </ns0:c>
      <ns0:c r="BN11" t="n">
        <ns0:f>IF($A11="",1,IF(BM11=1,1,--AND(IF($AC11&gt;0,INDEX(BM$7:BM$106,$AC11),1),IF($AD11&gt;0,INDEX(BM$7:BM$106,$AD11),1),IF($AE11&gt;0,INDEX(BM$7:BM$106,$AE11),1),IF($AF11&gt;0,INDEX(BM$7:BM$106,$AF11),1),IF($AG11&gt;0,INDEX(BM$7:BM$106,$AG11),1),IF($AH11&gt;0,INDEX(BM$7:BM$106,$AH11),1),IF($AI11&gt;0,INDEX(BM$7:BM$106,$AI11),1),IF($AJ11&gt;0,INDEX(BM$7:BM$106,$AJ11),1))))</ns0:f>
        <ns0:v>1</ns0:v>
      </ns0:c>
      <ns0:c r="BO11" t="n">
        <ns0:f>IF($A11="",1,IF(BN11=1,1,--AND(IF($AC11&gt;0,INDEX(BN$7:BN$106,$AC11),1),IF($AD11&gt;0,INDEX(BN$7:BN$106,$AD11),1),IF($AE11&gt;0,INDEX(BN$7:BN$106,$AE11),1),IF($AF11&gt;0,INDEX(BN$7:BN$106,$AF11),1),IF($AG11&gt;0,INDEX(BN$7:BN$106,$AG11),1),IF($AH11&gt;0,INDEX(BN$7:BN$106,$AH11),1),IF($AI11&gt;0,INDEX(BN$7:BN$106,$AI11),1),IF($AJ11&gt;0,INDEX(BN$7:BN$106,$AJ11),1))))</ns0:f>
        <ns0:v>1</ns0:v>
      </ns0:c>
      <ns0:c r="BP11" t="n">
        <ns0:f>IF($A11="",1,IF(BO11=1,1,--AND(IF($AC11&gt;0,INDEX(BO$7:BO$106,$AC11),1),IF($AD11&gt;0,INDEX(BO$7:BO$106,$AD11),1),IF($AE11&gt;0,INDEX(BO$7:BO$106,$AE11),1),IF($AF11&gt;0,INDEX(BO$7:BO$106,$AF11),1),IF($AG11&gt;0,INDEX(BO$7:BO$106,$AG11),1),IF($AH11&gt;0,INDEX(BO$7:BO$106,$AH11),1),IF($AI11&gt;0,INDEX(BO$7:BO$106,$AI11),1),IF($AJ11&gt;0,INDEX(BO$7:BO$106,$AJ11),1))))</ns0:f>
        <ns0:v>1</ns0:v>
      </ns0:c>
      <ns0:c r="BQ11" t="n">
        <ns0:f>IF($A11="",1,IF(BP11=1,1,--AND(IF($AC11&gt;0,INDEX(BP$7:BP$106,$AC11),1),IF($AD11&gt;0,INDEX(BP$7:BP$106,$AD11),1),IF($AE11&gt;0,INDEX(BP$7:BP$106,$AE11),1),IF($AF11&gt;0,INDEX(BP$7:BP$106,$AF11),1),IF($AG11&gt;0,INDEX(BP$7:BP$106,$AG11),1),IF($AH11&gt;0,INDEX(BP$7:BP$106,$AH11),1),IF($AI11&gt;0,INDEX(BP$7:BP$106,$AI11),1),IF($AJ11&gt;0,INDEX(BP$7:BP$106,$AJ11),1))))</ns0:f>
        <ns0:v>1</ns0:v>
      </ns0:c>
      <ns0:c r="BR11" t="n">
        <ns0:f>IF($A11="",1,IF(BQ11=1,1,--AND(IF($AC11&gt;0,INDEX(BQ$7:BQ$106,$AC11),1),IF($AD11&gt;0,INDEX(BQ$7:BQ$106,$AD11),1),IF($AE11&gt;0,INDEX(BQ$7:BQ$106,$AE11),1),IF($AF11&gt;0,INDEX(BQ$7:BQ$106,$AF11),1),IF($AG11&gt;0,INDEX(BQ$7:BQ$106,$AG11),1),IF($AH11&gt;0,INDEX(BQ$7:BQ$106,$AH11),1),IF($AI11&gt;0,INDEX(BQ$7:BQ$106,$AI11),1),IF($AJ11&gt;0,INDEX(BQ$7:BQ$106,$AJ11),1))))</ns0:f>
        <ns0:v>1</ns0:v>
      </ns0:c>
      <ns0:c r="BS11" t="n">
        <ns0:f>IF($A11="",1,IF(BR11=1,1,--AND(IF($AC11&gt;0,INDEX(BR$7:BR$106,$AC11),1),IF($AD11&gt;0,INDEX(BR$7:BR$106,$AD11),1),IF($AE11&gt;0,INDEX(BR$7:BR$106,$AE11),1),IF($AF11&gt;0,INDEX(BR$7:BR$106,$AF11),1),IF($AG11&gt;0,INDEX(BR$7:BR$106,$AG11),1),IF($AH11&gt;0,INDEX(BR$7:BR$106,$AH11),1),IF($AI11&gt;0,INDEX(BR$7:BR$106,$AI11),1),IF($AJ11&gt;0,INDEX(BR$7:BR$106,$AJ11),1))))</ns0:f>
        <ns0:v>1</ns0:v>
      </ns0:c>
      <ns0:c r="BT11" t="n">
        <ns0:f>IF($A11="",1,IF(BS11=1,1,--AND(IF($AC11&gt;0,INDEX(BS$7:BS$106,$AC11),1),IF($AD11&gt;0,INDEX(BS$7:BS$106,$AD11),1),IF($AE11&gt;0,INDEX(BS$7:BS$106,$AE11),1),IF($AF11&gt;0,INDEX(BS$7:BS$106,$AF11),1),IF($AG11&gt;0,INDEX(BS$7:BS$106,$AG11),1),IF($AH11&gt;0,INDEX(BS$7:BS$106,$AH11),1),IF($AI11&gt;0,INDEX(BS$7:BS$106,$AI11),1),IF($AJ11&gt;0,INDEX(BS$7:BS$106,$AJ11),1))))</ns0:f>
        <ns0:v>1</ns0:v>
      </ns0:c>
      <ns0:c r="BU11" t="n">
        <ns0:f>IF($A11="",1,IF(BT11=1,1,--AND(IF($AC11&gt;0,INDEX(BT$7:BT$106,$AC11),1),IF($AD11&gt;0,INDEX(BT$7:BT$106,$AD11),1),IF($AE11&gt;0,INDEX(BT$7:BT$106,$AE11),1),IF($AF11&gt;0,INDEX(BT$7:BT$106,$AF11),1),IF($AG11&gt;0,INDEX(BT$7:BT$106,$AG11),1),IF($AH11&gt;0,INDEX(BT$7:BT$106,$AH11),1),IF($AI11&gt;0,INDEX(BT$7:BT$106,$AI11),1),IF($AJ11&gt;0,INDEX(BT$7:BT$106,$AJ11),1))))</ns0:f>
        <ns0:v>1</ns0:v>
      </ns0:c>
      <ns0:c r="BV11" t="n">
        <ns0:f>IF($A11="",1,IF(BU11=1,1,--AND(IF($AC11&gt;0,INDEX(BU$7:BU$106,$AC11),1),IF($AD11&gt;0,INDEX(BU$7:BU$106,$AD11),1),IF($AE11&gt;0,INDEX(BU$7:BU$106,$AE11),1),IF($AF11&gt;0,INDEX(BU$7:BU$106,$AF11),1),IF($AG11&gt;0,INDEX(BU$7:BU$106,$AG11),1),IF($AH11&gt;0,INDEX(BU$7:BU$106,$AH11),1),IF($AI11&gt;0,INDEX(BU$7:BU$106,$AI11),1),IF($AJ11&gt;0,INDEX(BU$7:BU$106,$AJ11),1))))</ns0:f>
        <ns0:v>1</ns0:v>
      </ns0:c>
      <ns0:c r="BW11" t="n">
        <ns0:f>IF($A11="",1,IF(BV11=1,1,--AND(IF($AC11&gt;0,INDEX(BV$7:BV$106,$AC11),1),IF($AD11&gt;0,INDEX(BV$7:BV$106,$AD11),1),IF($AE11&gt;0,INDEX(BV$7:BV$106,$AE11),1),IF($AF11&gt;0,INDEX(BV$7:BV$106,$AF11),1),IF($AG11&gt;0,INDEX(BV$7:BV$106,$AG11),1),IF($AH11&gt;0,INDEX(BV$7:BV$106,$AH11),1),IF($AI11&gt;0,INDEX(BV$7:BV$106,$AI11),1),IF($AJ11&gt;0,INDEX(BV$7:BV$106,$AJ11),1))))</ns0:f>
        <ns0:v>1</ns0:v>
      </ns0:c>
      <ns0:c r="BX11" t="n">
        <ns0:f>IF($A11="",1,IF(BW11=1,1,--AND(IF($AC11&gt;0,INDEX(BW$7:BW$106,$AC11),1),IF($AD11&gt;0,INDEX(BW$7:BW$106,$AD11),1),IF($AE11&gt;0,INDEX(BW$7:BW$106,$AE11),1),IF($AF11&gt;0,INDEX(BW$7:BW$106,$AF11),1),IF($AG11&gt;0,INDEX(BW$7:BW$106,$AG11),1),IF($AH11&gt;0,INDEX(BW$7:BW$106,$AH11),1),IF($AI11&gt;0,INDEX(BW$7:BW$106,$AI11),1),IF($AJ11&gt;0,INDEX(BW$7:BW$106,$AJ11),1))))</ns0:f>
        <ns0:v>1</ns0:v>
      </ns0:c>
      <ns0:c r="BY11" t="n">
        <ns0:f>IF($A11="",1,IF(BX11=1,1,--AND(IF($AC11&gt;0,INDEX(BX$7:BX$106,$AC11),1),IF($AD11&gt;0,INDEX(BX$7:BX$106,$AD11),1),IF($AE11&gt;0,INDEX(BX$7:BX$106,$AE11),1),IF($AF11&gt;0,INDEX(BX$7:BX$106,$AF11),1),IF($AG11&gt;0,INDEX(BX$7:BX$106,$AG11),1),IF($AH11&gt;0,INDEX(BX$7:BX$106,$AH11),1),IF($AI11&gt;0,INDEX(BX$7:BX$106,$AI11),1),IF($AJ11&gt;0,INDEX(BX$7:BX$106,$AJ11),1))))</ns0:f>
        <ns0:v>1</ns0:v>
      </ns0:c>
      <ns0:c r="BZ11" t="n">
        <ns0:f>IF($A11="",1,IF(BY11=1,1,--AND(IF($AC11&gt;0,INDEX(BY$7:BY$106,$AC11),1),IF($AD11&gt;0,INDEX(BY$7:BY$106,$AD11),1),IF($AE11&gt;0,INDEX(BY$7:BY$106,$AE11),1),IF($AF11&gt;0,INDEX(BY$7:BY$106,$AF11),1),IF($AG11&gt;0,INDEX(BY$7:BY$106,$AG11),1),IF($AH11&gt;0,INDEX(BY$7:BY$106,$AH11),1),IF($AI11&gt;0,INDEX(BY$7:BY$106,$AI11),1),IF($AJ11&gt;0,INDEX(BY$7:BY$106,$AJ11),1))))</ns0:f>
        <ns0:v>1</ns0:v>
      </ns0:c>
      <ns0:c r="CA11" t="n">
        <ns0:f>IF($A11="",1,IF(BZ11=1,1,--AND(IF($AC11&gt;0,INDEX(BZ$7:BZ$106,$AC11),1),IF($AD11&gt;0,INDEX(BZ$7:BZ$106,$AD11),1),IF($AE11&gt;0,INDEX(BZ$7:BZ$106,$AE11),1),IF($AF11&gt;0,INDEX(BZ$7:BZ$106,$AF11),1),IF($AG11&gt;0,INDEX(BZ$7:BZ$106,$AG11),1),IF($AH11&gt;0,INDEX(BZ$7:BZ$106,$AH11),1),IF($AI11&gt;0,INDEX(BZ$7:BZ$106,$AI11),1),IF($AJ11&gt;0,INDEX(BZ$7:BZ$106,$AJ11),1))))</ns0:f>
        <ns0:v>1</ns0:v>
      </ns0:c>
      <ns0:c r="CB11" t="n">
        <ns0:f>IF($A11="",1,IF(CA11=1,1,--AND(IF($AC11&gt;0,INDEX(CA$7:CA$106,$AC11),1),IF($AD11&gt;0,INDEX(CA$7:CA$106,$AD11),1),IF($AE11&gt;0,INDEX(CA$7:CA$106,$AE11),1),IF($AF11&gt;0,INDEX(CA$7:CA$106,$AF11),1),IF($AG11&gt;0,INDEX(CA$7:CA$106,$AG11),1),IF($AH11&gt;0,INDEX(CA$7:CA$106,$AH11),1),IF($AI11&gt;0,INDEX(CA$7:CA$106,$AI11),1),IF($AJ11&gt;0,INDEX(CA$7:CA$106,$AJ11),1))))</ns0:f>
        <ns0:v>1</ns0:v>
      </ns0:c>
      <ns0:c r="CC11" t="n">
        <ns0:f>IF($A11="",1,IF(CB11=1,1,--AND(IF($AC11&gt;0,INDEX(CB$7:CB$106,$AC11),1),IF($AD11&gt;0,INDEX(CB$7:CB$106,$AD11),1),IF($AE11&gt;0,INDEX(CB$7:CB$106,$AE11),1),IF($AF11&gt;0,INDEX(CB$7:CB$106,$AF11),1),IF($AG11&gt;0,INDEX(CB$7:CB$106,$AG11),1),IF($AH11&gt;0,INDEX(CB$7:CB$106,$AH11),1),IF($AI11&gt;0,INDEX(CB$7:CB$106,$AI11),1),IF($AJ11&gt;0,INDEX(CB$7:CB$106,$AJ11),1))))</ns0:f>
        <ns0:v>1</ns0:v>
      </ns0:c>
      <ns0:c r="CD11" t="n">
        <ns0:f>IF($A11="",1,IF(CC11=1,1,--AND(IF($AC11&gt;0,INDEX(CC$7:CC$106,$AC11),1),IF($AD11&gt;0,INDEX(CC$7:CC$106,$AD11),1),IF($AE11&gt;0,INDEX(CC$7:CC$106,$AE11),1),IF($AF11&gt;0,INDEX(CC$7:CC$106,$AF11),1),IF($AG11&gt;0,INDEX(CC$7:CC$106,$AG11),1),IF($AH11&gt;0,INDEX(CC$7:CC$106,$AH11),1),IF($AI11&gt;0,INDEX(CC$7:CC$106,$AI11),1),IF($AJ11&gt;0,INDEX(CC$7:CC$106,$AJ11),1))))</ns0:f>
        <ns0:v>1</ns0:v>
      </ns0:c>
      <ns0:c r="CE11" t="n">
        <ns0:f>IF($A11="",1,IF(CD11=1,1,--AND(IF($AC11&gt;0,INDEX(CD$7:CD$106,$AC11),1),IF($AD11&gt;0,INDEX(CD$7:CD$106,$AD11),1),IF($AE11&gt;0,INDEX(CD$7:CD$106,$AE11),1),IF($AF11&gt;0,INDEX(CD$7:CD$106,$AF11),1),IF($AG11&gt;0,INDEX(CD$7:CD$106,$AG11),1),IF($AH11&gt;0,INDEX(CD$7:CD$106,$AH11),1),IF($AI11&gt;0,INDEX(CD$7:CD$106,$AI11),1),IF($AJ11&gt;0,INDEX(CD$7:CD$106,$AJ11),1))))</ns0:f>
        <ns0:v>1</ns0:v>
      </ns0:c>
      <ns0:c r="CF11" t="n">
        <ns0:f>IF($A11="",1,IF(CE11=1,1,--AND(IF($AC11&gt;0,INDEX(CE$7:CE$106,$AC11),1),IF($AD11&gt;0,INDEX(CE$7:CE$106,$AD11),1),IF($AE11&gt;0,INDEX(CE$7:CE$106,$AE11),1),IF($AF11&gt;0,INDEX(CE$7:CE$106,$AF11),1),IF($AG11&gt;0,INDEX(CE$7:CE$106,$AG11),1),IF($AH11&gt;0,INDEX(CE$7:CE$106,$AH11),1),IF($AI11&gt;0,INDEX(CE$7:CE$106,$AI11),1),IF($AJ11&gt;0,INDEX(CE$7:CE$106,$AJ11),1))))</ns0:f>
        <ns0:v>1</ns0:v>
      </ns0:c>
      <ns0:c r="CG11" t="n">
        <ns0:f>IF($A11="",1,IF(CF11=1,1,--AND(IF($AC11&gt;0,INDEX(CF$7:CF$106,$AC11),1),IF($AD11&gt;0,INDEX(CF$7:CF$106,$AD11),1),IF($AE11&gt;0,INDEX(CF$7:CF$106,$AE11),1),IF($AF11&gt;0,INDEX(CF$7:CF$106,$AF11),1),IF($AG11&gt;0,INDEX(CF$7:CF$106,$AG11),1),IF($AH11&gt;0,INDEX(CF$7:CF$106,$AH11),1),IF($AI11&gt;0,INDEX(CF$7:CF$106,$AI11),1),IF($AJ11&gt;0,INDEX(CF$7:CF$106,$AJ11),1))))</ns0:f>
        <ns0:v>1</ns0:v>
      </ns0:c>
      <ns0:c r="CH11" t="n">
        <ns0:f>IF($A11="",1,IF(CG11=1,1,--AND(IF($AC11&gt;0,INDEX(CG$7:CG$106,$AC11),1),IF($AD11&gt;0,INDEX(CG$7:CG$106,$AD11),1),IF($AE11&gt;0,INDEX(CG$7:CG$106,$AE11),1),IF($AF11&gt;0,INDEX(CG$7:CG$106,$AF11),1),IF($AG11&gt;0,INDEX(CG$7:CG$106,$AG11),1),IF($AH11&gt;0,INDEX(CG$7:CG$106,$AH11),1),IF($AI11&gt;0,INDEX(CG$7:CG$106,$AI11),1),IF($AJ11&gt;0,INDEX(CG$7:CG$106,$AJ11),1))))</ns0:f>
        <ns0:v>1</ns0:v>
      </ns0:c>
      <ns0:c r="CI11" t="n">
        <ns0:f>IF($A11="",1,IF(CH11=1,1,--AND(IF($AC11&gt;0,INDEX(CH$7:CH$106,$AC11),1),IF($AD11&gt;0,INDEX(CH$7:CH$106,$AD11),1),IF($AE11&gt;0,INDEX(CH$7:CH$106,$AE11),1),IF($AF11&gt;0,INDEX(CH$7:CH$106,$AF11),1),IF($AG11&gt;0,INDEX(CH$7:CH$106,$AG11),1),IF($AH11&gt;0,INDEX(CH$7:CH$106,$AH11),1),IF($AI11&gt;0,INDEX(CH$7:CH$106,$AI11),1),IF($AJ11&gt;0,INDEX(CH$7:CH$106,$AJ11),1))))</ns0:f>
        <ns0:v>1</ns0:v>
      </ns0:c>
      <ns0:c r="CJ11" t="n">
        <ns0:f>IF($A11="",1,IF(CI11=1,1,--AND(IF($AC11&gt;0,INDEX(CI$7:CI$106,$AC11),1),IF($AD11&gt;0,INDEX(CI$7:CI$106,$AD11),1),IF($AE11&gt;0,INDEX(CI$7:CI$106,$AE11),1),IF($AF11&gt;0,INDEX(CI$7:CI$106,$AF11),1),IF($AG11&gt;0,INDEX(CI$7:CI$106,$AG11),1),IF($AH11&gt;0,INDEX(CI$7:CI$106,$AH11),1),IF($AI11&gt;0,INDEX(CI$7:CI$106,$AI11),1),IF($AJ11&gt;0,INDEX(CI$7:CI$106,$AJ11),1))))</ns0:f>
        <ns0:v>1</ns0:v>
      </ns0:c>
      <ns0:c r="CK11" t="n">
        <ns0:f>IF($A11="",1,IF(CJ11=1,1,--AND(IF($AC11&gt;0,INDEX(CJ$7:CJ$106,$AC11),1),IF($AD11&gt;0,INDEX(CJ$7:CJ$106,$AD11),1),IF($AE11&gt;0,INDEX(CJ$7:CJ$106,$AE11),1),IF($AF11&gt;0,INDEX(CJ$7:CJ$106,$AF11),1),IF($AG11&gt;0,INDEX(CJ$7:CJ$106,$AG11),1),IF($AH11&gt;0,INDEX(CJ$7:CJ$106,$AH11),1),IF($AI11&gt;0,INDEX(CJ$7:CJ$106,$AI11),1),IF($AJ11&gt;0,INDEX(CJ$7:CJ$106,$AJ11),1))))</ns0:f>
        <ns0:v>1</ns0:v>
      </ns0:c>
      <ns0:c r="CL11" t="n">
        <ns0:f>IF($A11="",1,IF(CK11=1,1,--AND(IF($AC11&gt;0,INDEX(CK$7:CK$106,$AC11),1),IF($AD11&gt;0,INDEX(CK$7:CK$106,$AD11),1),IF($AE11&gt;0,INDEX(CK$7:CK$106,$AE11),1),IF($AF11&gt;0,INDEX(CK$7:CK$106,$AF11),1),IF($AG11&gt;0,INDEX(CK$7:CK$106,$AG11),1),IF($AH11&gt;0,INDEX(CK$7:CK$106,$AH11),1),IF($AI11&gt;0,INDEX(CK$7:CK$106,$AI11),1),IF($AJ11&gt;0,INDEX(CK$7:CK$106,$AJ11),1))))</ns0:f>
        <ns0:v>1</ns0:v>
      </ns0:c>
      <ns0:c r="CM11" t="n">
        <ns0:f>IF($A11="",1,IF(CL11=1,1,--AND(IF($AC11&gt;0,INDEX(CL$7:CL$106,$AC11),1),IF($AD11&gt;0,INDEX(CL$7:CL$106,$AD11),1),IF($AE11&gt;0,INDEX(CL$7:CL$106,$AE11),1),IF($AF11&gt;0,INDEX(CL$7:CL$106,$AF11),1),IF($AG11&gt;0,INDEX(CL$7:CL$106,$AG11),1),IF($AH11&gt;0,INDEX(CL$7:CL$106,$AH11),1),IF($AI11&gt;0,INDEX(CL$7:CL$106,$AI11),1),IF($AJ11&gt;0,INDEX(CL$7:CL$106,$AJ11),1))))</ns0:f>
        <ns0:v>1</ns0:v>
      </ns0:c>
      <ns0:c r="CN11" t="n">
        <ns0:f>IF($A11="",1,IF(CM11=1,1,--AND(IF($AC11&gt;0,INDEX(CM$7:CM$106,$AC11),1),IF($AD11&gt;0,INDEX(CM$7:CM$106,$AD11),1),IF($AE11&gt;0,INDEX(CM$7:CM$106,$AE11),1),IF($AF11&gt;0,INDEX(CM$7:CM$106,$AF11),1),IF($AG11&gt;0,INDEX(CM$7:CM$106,$AG11),1),IF($AH11&gt;0,INDEX(CM$7:CM$106,$AH11),1),IF($AI11&gt;0,INDEX(CM$7:CM$106,$AI11),1),IF($AJ11&gt;0,INDEX(CM$7:CM$106,$AJ11),1))))</ns0:f>
        <ns0:v>1</ns0:v>
      </ns0:c>
      <ns0:c r="CO11" t="n">
        <ns0:f>IF($A11="",1,IF(CN11=1,1,--AND(IF($AC11&gt;0,INDEX(CN$7:CN$106,$AC11),1),IF($AD11&gt;0,INDEX(CN$7:CN$106,$AD11),1),IF($AE11&gt;0,INDEX(CN$7:CN$106,$AE11),1),IF($AF11&gt;0,INDEX(CN$7:CN$106,$AF11),1),IF($AG11&gt;0,INDEX(CN$7:CN$106,$AG11),1),IF($AH11&gt;0,INDEX(CN$7:CN$106,$AH11),1),IF($AI11&gt;0,INDEX(CN$7:CN$106,$AI11),1),IF($AJ11&gt;0,INDEX(CN$7:CN$106,$AJ11),1))))</ns0:f>
        <ns0:v>1</ns0:v>
      </ns0:c>
      <ns0:c r="CP11" t="n">
        <ns0:f>IF($A11="",1,IF(CO11=1,1,--AND(IF($AC11&gt;0,INDEX(CO$7:CO$106,$AC11),1),IF($AD11&gt;0,INDEX(CO$7:CO$106,$AD11),1),IF($AE11&gt;0,INDEX(CO$7:CO$106,$AE11),1),IF($AF11&gt;0,INDEX(CO$7:CO$106,$AF11),1),IF($AG11&gt;0,INDEX(CO$7:CO$106,$AG11),1),IF($AH11&gt;0,INDEX(CO$7:CO$106,$AH11),1),IF($AI11&gt;0,INDEX(CO$7:CO$106,$AI11),1),IF($AJ11&gt;0,INDEX(CO$7:CO$106,$AJ11),1))))</ns0:f>
        <ns0:v>1</ns0:v>
      </ns0:c>
      <ns0:c r="CQ11" t="n">
        <ns0:f>IF($A11="",1,IF(CP11=1,1,--AND(IF($AC11&gt;0,INDEX(CP$7:CP$106,$AC11),1),IF($AD11&gt;0,INDEX(CP$7:CP$106,$AD11),1),IF($AE11&gt;0,INDEX(CP$7:CP$106,$AE11),1),IF($AF11&gt;0,INDEX(CP$7:CP$106,$AF11),1),IF($AG11&gt;0,INDEX(CP$7:CP$106,$AG11),1),IF($AH11&gt;0,INDEX(CP$7:CP$106,$AH11),1),IF($AI11&gt;0,INDEX(CP$7:CP$106,$AI11),1),IF($AJ11&gt;0,INDEX(CP$7:CP$106,$AJ11),1))))</ns0:f>
        <ns0:v>1</ns0:v>
      </ns0:c>
      <ns0:c r="CR11" t="n">
        <ns0:f>IF($A11="",1,IF(CQ11=1,1,--AND(IF($AC11&gt;0,INDEX(CQ$7:CQ$106,$AC11),1),IF($AD11&gt;0,INDEX(CQ$7:CQ$106,$AD11),1),IF($AE11&gt;0,INDEX(CQ$7:CQ$106,$AE11),1),IF($AF11&gt;0,INDEX(CQ$7:CQ$106,$AF11),1),IF($AG11&gt;0,INDEX(CQ$7:CQ$106,$AG11),1),IF($AH11&gt;0,INDEX(CQ$7:CQ$106,$AH11),1),IF($AI11&gt;0,INDEX(CQ$7:CQ$106,$AI11),1),IF($AJ11&gt;0,INDEX(CQ$7:CQ$106,$AJ11),1))))</ns0:f>
        <ns0:v>1</ns0:v>
      </ns0:c>
      <ns0:c r="CS11" t="n">
        <ns0:f>IF($A11="",1,IF(CR11=1,1,--AND(IF($AC11&gt;0,INDEX(CR$7:CR$106,$AC11),1),IF($AD11&gt;0,INDEX(CR$7:CR$106,$AD11),1),IF($AE11&gt;0,INDEX(CR$7:CR$106,$AE11),1),IF($AF11&gt;0,INDEX(CR$7:CR$106,$AF11),1),IF($AG11&gt;0,INDEX(CR$7:CR$106,$AG11),1),IF($AH11&gt;0,INDEX(CR$7:CR$106,$AH11),1),IF($AI11&gt;0,INDEX(CR$7:CR$106,$AI11),1),IF($AJ11&gt;0,INDEX(CR$7:CR$106,$AJ11),1))))</ns0:f>
        <ns0:v>1</ns0:v>
      </ns0:c>
      <ns0:c r="CT11" t="n">
        <ns0:f>IF($A11="",1,IF(CS11=1,1,--AND(IF($AC11&gt;0,INDEX(CS$7:CS$106,$AC11),1),IF($AD11&gt;0,INDEX(CS$7:CS$106,$AD11),1),IF($AE11&gt;0,INDEX(CS$7:CS$106,$AE11),1),IF($AF11&gt;0,INDEX(CS$7:CS$106,$AF11),1),IF($AG11&gt;0,INDEX(CS$7:CS$106,$AG11),1),IF($AH11&gt;0,INDEX(CS$7:CS$106,$AH11),1),IF($AI11&gt;0,INDEX(CS$7:CS$106,$AI11),1),IF($AJ11&gt;0,INDEX(CS$7:CS$106,$AJ11),1))))</ns0:f>
        <ns0:v>1</ns0:v>
      </ns0:c>
      <ns0:c r="CU11" t="n">
        <ns0:f>IF($A11="",1,IF(CT11=1,1,--AND(IF($AC11&gt;0,INDEX(CT$7:CT$106,$AC11),1),IF($AD11&gt;0,INDEX(CT$7:CT$106,$AD11),1),IF($AE11&gt;0,INDEX(CT$7:CT$106,$AE11),1),IF($AF11&gt;0,INDEX(CT$7:CT$106,$AF11),1),IF($AG11&gt;0,INDEX(CT$7:CT$106,$AG11),1),IF($AH11&gt;0,INDEX(CT$7:CT$106,$AH11),1),IF($AI11&gt;0,INDEX(CT$7:CT$106,$AI11),1),IF($AJ11&gt;0,INDEX(CT$7:CT$106,$AJ11),1))))</ns0:f>
        <ns0:v>1</ns0:v>
      </ns0:c>
      <ns0:c r="CV11" t="n">
        <ns0:f>IF($A11="",1,IF(CU11=1,1,--AND(IF($AC11&gt;0,INDEX(CU$7:CU$106,$AC11),1),IF($AD11&gt;0,INDEX(CU$7:CU$106,$AD11),1),IF($AE11&gt;0,INDEX(CU$7:CU$106,$AE11),1),IF($AF11&gt;0,INDEX(CU$7:CU$106,$AF11),1),IF($AG11&gt;0,INDEX(CU$7:CU$106,$AG11),1),IF($AH11&gt;0,INDEX(CU$7:CU$106,$AH11),1),IF($AI11&gt;0,INDEX(CU$7:CU$106,$AI11),1),IF($AJ11&gt;0,INDEX(CU$7:CU$106,$AJ11),1))))</ns0:f>
        <ns0:v>1</ns0:v>
      </ns0:c>
      <ns0:c r="CW11" t="n">
        <ns0:f>IF($A11="",1,IF(CV11=1,1,--AND(IF($AC11&gt;0,INDEX(CV$7:CV$106,$AC11),1),IF($AD11&gt;0,INDEX(CV$7:CV$106,$AD11),1),IF($AE11&gt;0,INDEX(CV$7:CV$106,$AE11),1),IF($AF11&gt;0,INDEX(CV$7:CV$106,$AF11),1),IF($AG11&gt;0,INDEX(CV$7:CV$106,$AG11),1),IF($AH11&gt;0,INDEX(CV$7:CV$106,$AH11),1),IF($AI11&gt;0,INDEX(CV$7:CV$106,$AI11),1),IF($AJ11&gt;0,INDEX(CV$7:CV$106,$AJ11),1))))</ns0:f>
        <ns0:v>1</ns0:v>
      </ns0:c>
      <ns0:c r="CX11" t="n">
        <ns0:f>IF($A11="",1,IF(CW11=1,1,--AND(IF($AC11&gt;0,INDEX(CW$7:CW$106,$AC11),1),IF($AD11&gt;0,INDEX(CW$7:CW$106,$AD11),1),IF($AE11&gt;0,INDEX(CW$7:CW$106,$AE11),1),IF($AF11&gt;0,INDEX(CW$7:CW$106,$AF11),1),IF($AG11&gt;0,INDEX(CW$7:CW$106,$AG11),1),IF($AH11&gt;0,INDEX(CW$7:CW$106,$AH11),1),IF($AI11&gt;0,INDEX(CW$7:CW$106,$AI11),1),IF($AJ11&gt;0,INDEX(CW$7:CW$106,$AJ11),1))))</ns0:f>
        <ns0:v>1</ns0:v>
      </ns0:c>
      <ns0:c r="CY11" t="n">
        <ns0:f>IF($A11="",1,IF(CX11=1,1,--AND(IF($AC11&gt;0,INDEX(CX$7:CX$106,$AC11),1),IF($AD11&gt;0,INDEX(CX$7:CX$106,$AD11),1),IF($AE11&gt;0,INDEX(CX$7:CX$106,$AE11),1),IF($AF11&gt;0,INDEX(CX$7:CX$106,$AF11),1),IF($AG11&gt;0,INDEX(CX$7:CX$106,$AG11),1),IF($AH11&gt;0,INDEX(CX$7:CX$106,$AH11),1),IF($AI11&gt;0,INDEX(CX$7:CX$106,$AI11),1),IF($AJ11&gt;0,INDEX(CX$7:CX$106,$AJ11),1))))</ns0:f>
        <ns0:v>1</ns0:v>
      </ns0:c>
      <ns0:c r="CZ11" t="n">
        <ns0:f>IF($A11="",1,IF(CY11=1,1,--AND(IF($AC11&gt;0,INDEX(CY$7:CY$106,$AC11),1),IF($AD11&gt;0,INDEX(CY$7:CY$106,$AD11),1),IF($AE11&gt;0,INDEX(CY$7:CY$106,$AE11),1),IF($AF11&gt;0,INDEX(CY$7:CY$106,$AF11),1),IF($AG11&gt;0,INDEX(CY$7:CY$106,$AG11),1),IF($AH11&gt;0,INDEX(CY$7:CY$106,$AH11),1),IF($AI11&gt;0,INDEX(CY$7:CY$106,$AI11),1),IF($AJ11&gt;0,INDEX(CY$7:CY$106,$AJ11),1))))</ns0:f>
        <ns0:v>1</ns0:v>
      </ns0:c>
      <ns0:c r="DA11" t="n">
        <ns0:f>IF($A11="",1,IF(CZ11=1,1,--AND(IF($AC11&gt;0,INDEX(CZ$7:CZ$106,$AC11),1),IF($AD11&gt;0,INDEX(CZ$7:CZ$106,$AD11),1),IF($AE11&gt;0,INDEX(CZ$7:CZ$106,$AE11),1),IF($AF11&gt;0,INDEX(CZ$7:CZ$106,$AF11),1),IF($AG11&gt;0,INDEX(CZ$7:CZ$106,$AG11),1),IF($AH11&gt;0,INDEX(CZ$7:CZ$106,$AH11),1),IF($AI11&gt;0,INDEX(CZ$7:CZ$106,$AI11),1),IF($AJ11&gt;0,INDEX(CZ$7:CZ$106,$AJ11),1))))</ns0:f>
        <ns0:v>1</ns0:v>
      </ns0:c>
      <ns0:c r="DB11" t="n">
        <ns0:f>IF($A11="",1,IF(DA11=1,1,--AND(IF($AC11&gt;0,INDEX(DA$7:DA$106,$AC11),1),IF($AD11&gt;0,INDEX(DA$7:DA$106,$AD11),1),IF($AE11&gt;0,INDEX(DA$7:DA$106,$AE11),1),IF($AF11&gt;0,INDEX(DA$7:DA$106,$AF11),1),IF($AG11&gt;0,INDEX(DA$7:DA$106,$AG11),1),IF($AH11&gt;0,INDEX(DA$7:DA$106,$AH11),1),IF($AI11&gt;0,INDEX(DA$7:DA$106,$AI11),1),IF($AJ11&gt;0,INDEX(DA$7:DA$106,$AJ11),1))))</ns0:f>
        <ns0:v>1</ns0:v>
      </ns0:c>
      <ns0:c r="DC11" t="n">
        <ns0:f>IF($A11="",1,IF(DB11=1,1,--AND(IF($AC11&gt;0,INDEX(DB$7:DB$106,$AC11),1),IF($AD11&gt;0,INDEX(DB$7:DB$106,$AD11),1),IF($AE11&gt;0,INDEX(DB$7:DB$106,$AE11),1),IF($AF11&gt;0,INDEX(DB$7:DB$106,$AF11),1),IF($AG11&gt;0,INDEX(DB$7:DB$106,$AG11),1),IF($AH11&gt;0,INDEX(DB$7:DB$106,$AH11),1),IF($AI11&gt;0,INDEX(DB$7:DB$106,$AI11),1),IF($AJ11&gt;0,INDEX(DB$7:DB$106,$AJ11),1))))</ns0:f>
        <ns0:v>1</ns0:v>
      </ns0:c>
      <ns0:c r="DD11" t="n">
        <ns0:f>IF($A11="",1,IF(DC11=1,1,--AND(IF($AC11&gt;0,INDEX(DC$7:DC$106,$AC11),1),IF($AD11&gt;0,INDEX(DC$7:DC$106,$AD11),1),IF($AE11&gt;0,INDEX(DC$7:DC$106,$AE11),1),IF($AF11&gt;0,INDEX(DC$7:DC$106,$AF11),1),IF($AG11&gt;0,INDEX(DC$7:DC$106,$AG11),1),IF($AH11&gt;0,INDEX(DC$7:DC$106,$AH11),1),IF($AI11&gt;0,INDEX(DC$7:DC$106,$AI11),1),IF($AJ11&gt;0,INDEX(DC$7:DC$106,$AJ11),1))))</ns0:f>
        <ns0:v>1</ns0:v>
      </ns0:c>
      <ns0:c r="DE11" t="n">
        <ns0:f>IF($A11="",1,IF(DD11=1,1,--AND(IF($AC11&gt;0,INDEX(DD$7:DD$106,$AC11),1),IF($AD11&gt;0,INDEX(DD$7:DD$106,$AD11),1),IF($AE11&gt;0,INDEX(DD$7:DD$106,$AE11),1),IF($AF11&gt;0,INDEX(DD$7:DD$106,$AF11),1),IF($AG11&gt;0,INDEX(DD$7:DD$106,$AG11),1),IF($AH11&gt;0,INDEX(DD$7:DD$106,$AH11),1),IF($AI11&gt;0,INDEX(DD$7:DD$106,$AI11),1),IF($AJ11&gt;0,INDEX(DD$7:DD$106,$AJ11),1))))</ns0:f>
        <ns0:v>1</ns0:v>
      </ns0:c>
      <ns0:c r="DF11" t="n">
        <ns0:f>IF($A11="",1,IF(DE11=1,1,--AND(IF($AC11&gt;0,INDEX(DE$7:DE$106,$AC11),1),IF($AD11&gt;0,INDEX(DE$7:DE$106,$AD11),1),IF($AE11&gt;0,INDEX(DE$7:DE$106,$AE11),1),IF($AF11&gt;0,INDEX(DE$7:DE$106,$AF11),1),IF($AG11&gt;0,INDEX(DE$7:DE$106,$AG11),1),IF($AH11&gt;0,INDEX(DE$7:DE$106,$AH11),1),IF($AI11&gt;0,INDEX(DE$7:DE$106,$AI11),1),IF($AJ11&gt;0,INDEX(DE$7:DE$106,$AJ11),1))))</ns0:f>
        <ns0:v>1</ns0:v>
      </ns0:c>
      <ns0:c r="DG11" t="n">
        <ns0:f>IF($A11="",1,IF(DF11=1,1,--AND(IF($AC11&gt;0,INDEX(DF$7:DF$106,$AC11),1),IF($AD11&gt;0,INDEX(DF$7:DF$106,$AD11),1),IF($AE11&gt;0,INDEX(DF$7:DF$106,$AE11),1),IF($AF11&gt;0,INDEX(DF$7:DF$106,$AF11),1),IF($AG11&gt;0,INDEX(DF$7:DF$106,$AG11),1),IF($AH11&gt;0,INDEX(DF$7:DF$106,$AH11),1),IF($AI11&gt;0,INDEX(DF$7:DF$106,$AI11),1),IF($AJ11&gt;0,INDEX(DF$7:DF$106,$AJ11),1))))</ns0:f>
        <ns0:v>1</ns0:v>
      </ns0:c>
      <ns0:c r="DH11" t="n">
        <ns0:f>IF($A11="",1,IF(DG11=1,1,--AND(IF($AC11&gt;0,INDEX(DG$7:DG$106,$AC11),1),IF($AD11&gt;0,INDEX(DG$7:DG$106,$AD11),1),IF($AE11&gt;0,INDEX(DG$7:DG$106,$AE11),1),IF($AF11&gt;0,INDEX(DG$7:DG$106,$AF11),1),IF($AG11&gt;0,INDEX(DG$7:DG$106,$AG11),1),IF($AH11&gt;0,INDEX(DG$7:DG$106,$AH11),1),IF($AI11&gt;0,INDEX(DG$7:DG$106,$AI11),1),IF($AJ11&gt;0,INDEX(DG$7:DG$106,$AJ11),1))))</ns0:f>
        <ns0:v>1</ns0:v>
      </ns0:c>
      <ns0:c r="DI11" t="n">
        <ns0:f>IF($A11="",1,IF(DH11=1,1,--AND(IF($AC11&gt;0,INDEX(DH$7:DH$106,$AC11),1),IF($AD11&gt;0,INDEX(DH$7:DH$106,$AD11),1),IF($AE11&gt;0,INDEX(DH$7:DH$106,$AE11),1),IF($AF11&gt;0,INDEX(DH$7:DH$106,$AF11),1),IF($AG11&gt;0,INDEX(DH$7:DH$106,$AG11),1),IF($AH11&gt;0,INDEX(DH$7:DH$106,$AH11),1),IF($AI11&gt;0,INDEX(DH$7:DH$106,$AI11),1),IF($AJ11&gt;0,INDEX(DH$7:DH$106,$AJ11),1))))</ns0:f>
        <ns0:v>1</ns0:v>
      </ns0:c>
      <ns0:c r="DJ11" t="n">
        <ns0:f>IF($A11="",1,IF(DI11=1,1,--AND(IF($AC11&gt;0,INDEX(DI$7:DI$106,$AC11),1),IF($AD11&gt;0,INDEX(DI$7:DI$106,$AD11),1),IF($AE11&gt;0,INDEX(DI$7:DI$106,$AE11),1),IF($AF11&gt;0,INDEX(DI$7:DI$106,$AF11),1),IF($AG11&gt;0,INDEX(DI$7:DI$106,$AG11),1),IF($AH11&gt;0,INDEX(DI$7:DI$106,$AH11),1),IF($AI11&gt;0,INDEX(DI$7:DI$106,$AI11),1),IF($AJ11&gt;0,INDEX(DI$7:DI$106,$AJ11),1))))</ns0:f>
        <ns0:v>1</ns0:v>
      </ns0:c>
      <ns0:c r="DK11" t="n">
        <ns0:f>IF($A11="",1,IF(DJ11=1,1,--AND(IF($AC11&gt;0,INDEX(DJ$7:DJ$106,$AC11),1),IF($AD11&gt;0,INDEX(DJ$7:DJ$106,$AD11),1),IF($AE11&gt;0,INDEX(DJ$7:DJ$106,$AE11),1),IF($AF11&gt;0,INDEX(DJ$7:DJ$106,$AF11),1),IF($AG11&gt;0,INDEX(DJ$7:DJ$106,$AG11),1),IF($AH11&gt;0,INDEX(DJ$7:DJ$106,$AH11),1),IF($AI11&gt;0,INDEX(DJ$7:DJ$106,$AI11),1),IF($AJ11&gt;0,INDEX(DJ$7:DJ$106,$AJ11),1))))</ns0:f>
        <ns0:v>1</ns0:v>
      </ns0:c>
      <ns0:c r="DL11" t="n">
        <ns0:f>IF($A11="",1,IF(DK11=1,1,--AND(IF($AC11&gt;0,INDEX(DK$7:DK$106,$AC11),1),IF($AD11&gt;0,INDEX(DK$7:DK$106,$AD11),1),IF($AE11&gt;0,INDEX(DK$7:DK$106,$AE11),1),IF($AF11&gt;0,INDEX(DK$7:DK$106,$AF11),1),IF($AG11&gt;0,INDEX(DK$7:DK$106,$AG11),1),IF($AH11&gt;0,INDEX(DK$7:DK$106,$AH11),1),IF($AI11&gt;0,INDEX(DK$7:DK$106,$AI11),1),IF($AJ11&gt;0,INDEX(DK$7:DK$106,$AJ11),1))))</ns0:f>
        <ns0:v>1</ns0:v>
      </ns0:c>
      <ns0:c r="DM11" t="n">
        <ns0:f>IF($A11="",1,IF(DL11=1,1,--AND(IF($AC11&gt;0,INDEX(DL$7:DL$106,$AC11),1),IF($AD11&gt;0,INDEX(DL$7:DL$106,$AD11),1),IF($AE11&gt;0,INDEX(DL$7:DL$106,$AE11),1),IF($AF11&gt;0,INDEX(DL$7:DL$106,$AF11),1),IF($AG11&gt;0,INDEX(DL$7:DL$106,$AG11),1),IF($AH11&gt;0,INDEX(DL$7:DL$106,$AH11),1),IF($AI11&gt;0,INDEX(DL$7:DL$106,$AI11),1),IF($AJ11&gt;0,INDEX(DL$7:DL$106,$AJ11),1))))</ns0:f>
        <ns0:v>1</ns0:v>
      </ns0:c>
      <ns0:c r="DN11" t="n">
        <ns0:f>IF($A11="",1,IF(DM11=1,1,--AND(IF($AC11&gt;0,INDEX(DM$7:DM$106,$AC11),1),IF($AD11&gt;0,INDEX(DM$7:DM$106,$AD11),1),IF($AE11&gt;0,INDEX(DM$7:DM$106,$AE11),1),IF($AF11&gt;0,INDEX(DM$7:DM$106,$AF11),1),IF($AG11&gt;0,INDEX(DM$7:DM$106,$AG11),1),IF($AH11&gt;0,INDEX(DM$7:DM$106,$AH11),1),IF($AI11&gt;0,INDEX(DM$7:DM$106,$AI11),1),IF($AJ11&gt;0,INDEX(DM$7:DM$106,$AJ11),1))))</ns0:f>
        <ns0:v>1</ns0:v>
      </ns0:c>
      <ns0:c r="DO11" t="n">
        <ns0:f>IF($A11="",1,IF(DN11=1,1,--AND(IF($AC11&gt;0,INDEX(DN$7:DN$106,$AC11),1),IF($AD11&gt;0,INDEX(DN$7:DN$106,$AD11),1),IF($AE11&gt;0,INDEX(DN$7:DN$106,$AE11),1),IF($AF11&gt;0,INDEX(DN$7:DN$106,$AF11),1),IF($AG11&gt;0,INDEX(DN$7:DN$106,$AG11),1),IF($AH11&gt;0,INDEX(DN$7:DN$106,$AH11),1),IF($AI11&gt;0,INDEX(DN$7:DN$106,$AI11),1),IF($AJ11&gt;0,INDEX(DN$7:DN$106,$AJ11),1))))</ns0:f>
        <ns0:v>1</ns0:v>
      </ns0:c>
      <ns0:c r="DP11" t="n">
        <ns0:f>IF($A11="",1,IF(DO11=1,1,--AND(IF($AC11&gt;0,INDEX(DO$7:DO$106,$AC11),1),IF($AD11&gt;0,INDEX(DO$7:DO$106,$AD11),1),IF($AE11&gt;0,INDEX(DO$7:DO$106,$AE11),1),IF($AF11&gt;0,INDEX(DO$7:DO$106,$AF11),1),IF($AG11&gt;0,INDEX(DO$7:DO$106,$AG11),1),IF($AH11&gt;0,INDEX(DO$7:DO$106,$AH11),1),IF($AI11&gt;0,INDEX(DO$7:DO$106,$AI11),1),IF($AJ11&gt;0,INDEX(DO$7:DO$106,$AJ11),1))))</ns0:f>
        <ns0:v>1</ns0:v>
      </ns0:c>
      <ns0:c r="DQ11" t="n">
        <ns0:f>IF($A11="",1,IF(DP11=1,1,--AND(IF($AC11&gt;0,INDEX(DP$7:DP$106,$AC11),1),IF($AD11&gt;0,INDEX(DP$7:DP$106,$AD11),1),IF($AE11&gt;0,INDEX(DP$7:DP$106,$AE11),1),IF($AF11&gt;0,INDEX(DP$7:DP$106,$AF11),1),IF($AG11&gt;0,INDEX(DP$7:DP$106,$AG11),1),IF($AH11&gt;0,INDEX(DP$7:DP$106,$AH11),1),IF($AI11&gt;0,INDEX(DP$7:DP$106,$AI11),1),IF($AJ11&gt;0,INDEX(DP$7:DP$106,$AJ11),1))))</ns0:f>
        <ns0:v>1</ns0:v>
      </ns0:c>
      <ns0:c r="DR11" t="n">
        <ns0:f>IF($A11="",1,IF(DQ11=1,1,--AND(IF($AC11&gt;0,INDEX(DQ$7:DQ$106,$AC11),1),IF($AD11&gt;0,INDEX(DQ$7:DQ$106,$AD11),1),IF($AE11&gt;0,INDEX(DQ$7:DQ$106,$AE11),1),IF($AF11&gt;0,INDEX(DQ$7:DQ$106,$AF11),1),IF($AG11&gt;0,INDEX(DQ$7:DQ$106,$AG11),1),IF($AH11&gt;0,INDEX(DQ$7:DQ$106,$AH11),1),IF($AI11&gt;0,INDEX(DQ$7:DQ$106,$AI11),1),IF($AJ11&gt;0,INDEX(DQ$7:DQ$106,$AJ11),1))))</ns0:f>
        <ns0:v>1</ns0:v>
      </ns0:c>
      <ns0:c r="DS11" t="n">
        <ns0:f>IF($A11="",1,IF(DR11=1,1,--AND(IF($AC11&gt;0,INDEX(DR$7:DR$106,$AC11),1),IF($AD11&gt;0,INDEX(DR$7:DR$106,$AD11),1),IF($AE11&gt;0,INDEX(DR$7:DR$106,$AE11),1),IF($AF11&gt;0,INDEX(DR$7:DR$106,$AF11),1),IF($AG11&gt;0,INDEX(DR$7:DR$106,$AG11),1),IF($AH11&gt;0,INDEX(DR$7:DR$106,$AH11),1),IF($AI11&gt;0,INDEX(DR$7:DR$106,$AI11),1),IF($AJ11&gt;0,INDEX(DR$7:DR$106,$AJ11),1))))</ns0:f>
        <ns0:v>1</ns0:v>
      </ns0:c>
      <ns0:c r="DT11" t="n">
        <ns0:f>IF($A11="",1,IF(DS11=1,1,--AND(IF($AC11&gt;0,INDEX(DS$7:DS$106,$AC11),1),IF($AD11&gt;0,INDEX(DS$7:DS$106,$AD11),1),IF($AE11&gt;0,INDEX(DS$7:DS$106,$AE11),1),IF($AF11&gt;0,INDEX(DS$7:DS$106,$AF11),1),IF($AG11&gt;0,INDEX(DS$7:DS$106,$AG11),1),IF($AH11&gt;0,INDEX(DS$7:DS$106,$AH11),1),IF($AI11&gt;0,INDEX(DS$7:DS$106,$AI11),1),IF($AJ11&gt;0,INDEX(DS$7:DS$106,$AJ11),1))))</ns0:f>
        <ns0:v>1</ns0:v>
      </ns0:c>
      <ns0:c r="DU11" t="n">
        <ns0:f>IF($A11="",1,IF(DT11=1,1,--AND(IF($AC11&gt;0,INDEX(DT$7:DT$106,$AC11),1),IF($AD11&gt;0,INDEX(DT$7:DT$106,$AD11),1),IF($AE11&gt;0,INDEX(DT$7:DT$106,$AE11),1),IF($AF11&gt;0,INDEX(DT$7:DT$106,$AF11),1),IF($AG11&gt;0,INDEX(DT$7:DT$106,$AG11),1),IF($AH11&gt;0,INDEX(DT$7:DT$106,$AH11),1),IF($AI11&gt;0,INDEX(DT$7:DT$106,$AI11),1),IF($AJ11&gt;0,INDEX(DT$7:DT$106,$AJ11),1))))</ns0:f>
        <ns0:v>1</ns0:v>
      </ns0:c>
      <ns0:c r="DV11" t="n">
        <ns0:f>IF($A11="",1,IF(DU11=1,1,--AND(IF($AC11&gt;0,INDEX(DU$7:DU$106,$AC11),1),IF($AD11&gt;0,INDEX(DU$7:DU$106,$AD11),1),IF($AE11&gt;0,INDEX(DU$7:DU$106,$AE11),1),IF($AF11&gt;0,INDEX(DU$7:DU$106,$AF11),1),IF($AG11&gt;0,INDEX(DU$7:DU$106,$AG11),1),IF($AH11&gt;0,INDEX(DU$7:DU$106,$AH11),1),IF($AI11&gt;0,INDEX(DU$7:DU$106,$AI11),1),IF($AJ11&gt;0,INDEX(DU$7:DU$106,$AJ11),1))))</ns0:f>
        <ns0:v>1</ns0:v>
      </ns0:c>
      <ns0:c r="DW11" t="n">
        <ns0:f>IF($A11="",1,IF(DV11=1,1,--AND(IF($AC11&gt;0,INDEX(DV$7:DV$106,$AC11),1),IF($AD11&gt;0,INDEX(DV$7:DV$106,$AD11),1),IF($AE11&gt;0,INDEX(DV$7:DV$106,$AE11),1),IF($AF11&gt;0,INDEX(DV$7:DV$106,$AF11),1),IF($AG11&gt;0,INDEX(DV$7:DV$106,$AG11),1),IF($AH11&gt;0,INDEX(DV$7:DV$106,$AH11),1),IF($AI11&gt;0,INDEX(DV$7:DV$106,$AI11),1),IF($AJ11&gt;0,INDEX(DV$7:DV$106,$AJ11),1))))</ns0:f>
        <ns0:v>1</ns0:v>
      </ns0:c>
      <ns0:c r="DX11" t="n">
        <ns0:f>IF($A11="",1,IF(DW11=1,1,--AND(IF($AC11&gt;0,INDEX(DW$7:DW$106,$AC11),1),IF($AD11&gt;0,INDEX(DW$7:DW$106,$AD11),1),IF($AE11&gt;0,INDEX(DW$7:DW$106,$AE11),1),IF($AF11&gt;0,INDEX(DW$7:DW$106,$AF11),1),IF($AG11&gt;0,INDEX(DW$7:DW$106,$AG11),1),IF($AH11&gt;0,INDEX(DW$7:DW$106,$AH11),1),IF($AI11&gt;0,INDEX(DW$7:DW$106,$AI11),1),IF($AJ11&gt;0,INDEX(DW$7:DW$106,$AJ11),1))))</ns0:f>
        <ns0:v>1</ns0:v>
      </ns0:c>
      <ns0:c r="DY11" t="n">
        <ns0:f>IF($A11="",1,IF(DX11=1,1,--AND(IF($AC11&gt;0,INDEX(DX$7:DX$106,$AC11),1),IF($AD11&gt;0,INDEX(DX$7:DX$106,$AD11),1),IF($AE11&gt;0,INDEX(DX$7:DX$106,$AE11),1),IF($AF11&gt;0,INDEX(DX$7:DX$106,$AF11),1),IF($AG11&gt;0,INDEX(DX$7:DX$106,$AG11),1),IF($AH11&gt;0,INDEX(DX$7:DX$106,$AH11),1),IF($AI11&gt;0,INDEX(DX$7:DX$106,$AI11),1),IF($AJ11&gt;0,INDEX(DX$7:DX$106,$AJ11),1))))</ns0:f>
        <ns0:v>1</ns0:v>
      </ns0:c>
      <ns0:c r="DZ11" t="n">
        <ns0:f>IF($A11="",1,IF(DY11=1,1,--AND(IF($AC11&gt;0,INDEX(DY$7:DY$106,$AC11),1),IF($AD11&gt;0,INDEX(DY$7:DY$106,$AD11),1),IF($AE11&gt;0,INDEX(DY$7:DY$106,$AE11),1),IF($AF11&gt;0,INDEX(DY$7:DY$106,$AF11),1),IF($AG11&gt;0,INDEX(DY$7:DY$106,$AG11),1),IF($AH11&gt;0,INDEX(DY$7:DY$106,$AH11),1),IF($AI11&gt;0,INDEX(DY$7:DY$106,$AI11),1),IF($AJ11&gt;0,INDEX(DY$7:DY$106,$AJ11),1))))</ns0:f>
        <ns0:v>1</ns0:v>
      </ns0:c>
      <ns0:c r="EA11" t="n">
        <ns0:f>IF($A11="",1,IF(DZ11=1,1,--AND(IF($AC11&gt;0,INDEX(DZ$7:DZ$106,$AC11),1),IF($AD11&gt;0,INDEX(DZ$7:DZ$106,$AD11),1),IF($AE11&gt;0,INDEX(DZ$7:DZ$106,$AE11),1),IF($AF11&gt;0,INDEX(DZ$7:DZ$106,$AF11),1),IF($AG11&gt;0,INDEX(DZ$7:DZ$106,$AG11),1),IF($AH11&gt;0,INDEX(DZ$7:DZ$106,$AH11),1),IF($AI11&gt;0,INDEX(DZ$7:DZ$106,$AI11),1),IF($AJ11&gt;0,INDEX(DZ$7:DZ$106,$AJ11),1))))</ns0:f>
        <ns0:v>1</ns0:v>
      </ns0:c>
      <ns0:c r="EB11" t="n">
        <ns0:f>IF($A11="",1,IF(EA11=1,1,--AND(IF($AC11&gt;0,INDEX(EA$7:EA$106,$AC11),1),IF($AD11&gt;0,INDEX(EA$7:EA$106,$AD11),1),IF($AE11&gt;0,INDEX(EA$7:EA$106,$AE11),1),IF($AF11&gt;0,INDEX(EA$7:EA$106,$AF11),1),IF($AG11&gt;0,INDEX(EA$7:EA$106,$AG11),1),IF($AH11&gt;0,INDEX(EA$7:EA$106,$AH11),1),IF($AI11&gt;0,INDEX(EA$7:EA$106,$AI11),1),IF($AJ11&gt;0,INDEX(EA$7:EA$106,$AJ11),1))))</ns0:f>
        <ns0:v>1</ns0:v>
      </ns0:c>
      <ns0:c r="EC11" t="n">
        <ns0:f>IF($A11="",1,IF(EB11=1,1,--AND(IF($AC11&gt;0,INDEX(EB$7:EB$106,$AC11),1),IF($AD11&gt;0,INDEX(EB$7:EB$106,$AD11),1),IF($AE11&gt;0,INDEX(EB$7:EB$106,$AE11),1),IF($AF11&gt;0,INDEX(EB$7:EB$106,$AF11),1),IF($AG11&gt;0,INDEX(EB$7:EB$106,$AG11),1),IF($AH11&gt;0,INDEX(EB$7:EB$106,$AH11),1),IF($AI11&gt;0,INDEX(EB$7:EB$106,$AI11),1),IF($AJ11&gt;0,INDEX(EB$7:EB$106,$AJ11),1))))</ns0:f>
        <ns0:v>1</ns0:v>
      </ns0:c>
      <ns0:c r="ED11" t="n">
        <ns0:f>IF($A11="",1,IF(EC11=1,1,--AND(IF($AC11&gt;0,INDEX(EC$7:EC$106,$AC11),1),IF($AD11&gt;0,INDEX(EC$7:EC$106,$AD11),1),IF($AE11&gt;0,INDEX(EC$7:EC$106,$AE11),1),IF($AF11&gt;0,INDEX(EC$7:EC$106,$AF11),1),IF($AG11&gt;0,INDEX(EC$7:EC$106,$AG11),1),IF($AH11&gt;0,INDEX(EC$7:EC$106,$AH11),1),IF($AI11&gt;0,INDEX(EC$7:EC$106,$AI11),1),IF($AJ11&gt;0,INDEX(EC$7:EC$106,$AJ11),1))))</ns0:f>
        <ns0:v>1</ns0:v>
      </ns0:c>
      <ns0:c r="EE11" t="n">
        <ns0:f>IF($A11="",1,IF(ED11=1,1,--AND(IF($AC11&gt;0,INDEX(ED$7:ED$106,$AC11),1),IF($AD11&gt;0,INDEX(ED$7:ED$106,$AD11),1),IF($AE11&gt;0,INDEX(ED$7:ED$106,$AE11),1),IF($AF11&gt;0,INDEX(ED$7:ED$106,$AF11),1),IF($AG11&gt;0,INDEX(ED$7:ED$106,$AG11),1),IF($AH11&gt;0,INDEX(ED$7:ED$106,$AH11),1),IF($AI11&gt;0,INDEX(ED$7:ED$106,$AI11),1),IF($AJ11&gt;0,INDEX(ED$7:ED$106,$AJ11),1))))</ns0:f>
        <ns0:v>1</ns0:v>
      </ns0:c>
      <ns0:c r="EF11" t="n">
        <ns0:f>IF($A11="",1,IF(EE11=1,1,--AND(IF($AC11&gt;0,INDEX(EE$7:EE$106,$AC11),1),IF($AD11&gt;0,INDEX(EE$7:EE$106,$AD11),1),IF($AE11&gt;0,INDEX(EE$7:EE$106,$AE11),1),IF($AF11&gt;0,INDEX(EE$7:EE$106,$AF11),1),IF($AG11&gt;0,INDEX(EE$7:EE$106,$AG11),1),IF($AH11&gt;0,INDEX(EE$7:EE$106,$AH11),1),IF($AI11&gt;0,INDEX(EE$7:EE$106,$AI11),1),IF($AJ11&gt;0,INDEX(EE$7:EE$106,$AJ11),1))))</ns0:f>
        <ns0:v>1</ns0:v>
      </ns0:c>
      <ns0:c r="EG11" t="n">
        <ns0:f>IF($A11="",1,IF(EF11=1,1,--AND(IF($AC11&gt;0,INDEX(EF$7:EF$106,$AC11),1),IF($AD11&gt;0,INDEX(EF$7:EF$106,$AD11),1),IF($AE11&gt;0,INDEX(EF$7:EF$106,$AE11),1),IF($AF11&gt;0,INDEX(EF$7:EF$106,$AF11),1),IF($AG11&gt;0,INDEX(EF$7:EF$106,$AG11),1),IF($AH11&gt;0,INDEX(EF$7:EF$106,$AH11),1),IF($AI11&gt;0,INDEX(EF$7:EF$106,$AI11),1),IF($AJ11&gt;0,INDEX(EF$7:EF$106,$AJ11),1))))</ns0:f>
        <ns0:v>1</ns0:v>
      </ns0:c>
      <ns0:c r="EH11" t="n">
        <ns0:f>IF($A11="",1,IF(EG11=1,1,--AND(IF($AC11&gt;0,INDEX(EG$7:EG$106,$AC11),1),IF($AD11&gt;0,INDEX(EG$7:EG$106,$AD11),1),IF($AE11&gt;0,INDEX(EG$7:EG$106,$AE11),1),IF($AF11&gt;0,INDEX(EG$7:EG$106,$AF11),1),IF($AG11&gt;0,INDEX(EG$7:EG$106,$AG11),1),IF($AH11&gt;0,INDEX(EG$7:EG$106,$AH11),1),IF($AI11&gt;0,INDEX(EG$7:EG$106,$AI11),1),IF($AJ11&gt;0,INDEX(EG$7:EG$106,$AJ11),1))))</ns0:f>
        <ns0:v>1</ns0:v>
      </ns0:c>
      <ns0:c r="EI11" t="n">
        <ns0:f>IF($A11="",1,IF(EH11=1,1,--AND(IF($AC11&gt;0,INDEX(EH$7:EH$106,$AC11),1),IF($AD11&gt;0,INDEX(EH$7:EH$106,$AD11),1),IF($AE11&gt;0,INDEX(EH$7:EH$106,$AE11),1),IF($AF11&gt;0,INDEX(EH$7:EH$106,$AF11),1),IF($AG11&gt;0,INDEX(EH$7:EH$106,$AG11),1),IF($AH11&gt;0,INDEX(EH$7:EH$106,$AH11),1),IF($AI11&gt;0,INDEX(EH$7:EH$106,$AI11),1),IF($AJ11&gt;0,INDEX(EH$7:EH$106,$AJ11),1))))</ns0:f>
        <ns0:v>1</ns0:v>
      </ns0:c>
      <ns0:c r="EJ11" t="n">
        <ns0:f>IF($A11="",1,IF(EI11=1,1,--AND(IF($AC11&gt;0,INDEX(EI$7:EI$106,$AC11),1),IF($AD11&gt;0,INDEX(EI$7:EI$106,$AD11),1),IF($AE11&gt;0,INDEX(EI$7:EI$106,$AE11),1),IF($AF11&gt;0,INDEX(EI$7:EI$106,$AF11),1),IF($AG11&gt;0,INDEX(EI$7:EI$106,$AG11),1),IF($AH11&gt;0,INDEX(EI$7:EI$106,$AH11),1),IF($AI11&gt;0,INDEX(EI$7:EI$106,$AI11),1),IF($AJ11&gt;0,INDEX(EI$7:EI$106,$AJ11),1))))</ns0:f>
        <ns0:v>1</ns0:v>
      </ns0:c>
      <ns0:c r="EK11" t="n">
        <ns0:f>IF($A11="",1,IF(EJ11=1,1,--AND(IF($AC11&gt;0,INDEX(EJ$7:EJ$106,$AC11),1),IF($AD11&gt;0,INDEX(EJ$7:EJ$106,$AD11),1),IF($AE11&gt;0,INDEX(EJ$7:EJ$106,$AE11),1),IF($AF11&gt;0,INDEX(EJ$7:EJ$106,$AF11),1),IF($AG11&gt;0,INDEX(EJ$7:EJ$106,$AG11),1),IF($AH11&gt;0,INDEX(EJ$7:EJ$106,$AH11),1),IF($AI11&gt;0,INDEX(EJ$7:EJ$106,$AI11),1),IF($AJ11&gt;0,INDEX(EJ$7:EJ$106,$AJ11),1))))</ns0:f>
        <ns0:v>1</ns0:v>
      </ns0:c>
      <ns0:c r="EL11" t="n">
        <ns0:f>IF($A11="",1,IF(EK11=1,1,--AND(IF($AC11&gt;0,INDEX(EK$7:EK$106,$AC11),1),IF($AD11&gt;0,INDEX(EK$7:EK$106,$AD11),1),IF($AE11&gt;0,INDEX(EK$7:EK$106,$AE11),1),IF($AF11&gt;0,INDEX(EK$7:EK$106,$AF11),1),IF($AG11&gt;0,INDEX(EK$7:EK$106,$AG11),1),IF($AH11&gt;0,INDEX(EK$7:EK$106,$AH11),1),IF($AI11&gt;0,INDEX(EK$7:EK$106,$AI11),1),IF($AJ11&gt;0,INDEX(EK$7:EK$106,$AJ11),1))))</ns0:f>
        <ns0:v>1</ns0:v>
      </ns0:c>
      <ns0:c r="EM11" t="n">
        <ns0:f>IF($A11="",1,IF(EL11=1,1,--AND(IF($AC11&gt;0,INDEX(EL$7:EL$106,$AC11),1),IF($AD11&gt;0,INDEX(EL$7:EL$106,$AD11),1),IF($AE11&gt;0,INDEX(EL$7:EL$106,$AE11),1),IF($AF11&gt;0,INDEX(EL$7:EL$106,$AF11),1),IF($AG11&gt;0,INDEX(EL$7:EL$106,$AG11),1),IF($AH11&gt;0,INDEX(EL$7:EL$106,$AH11),1),IF($AI11&gt;0,INDEX(EL$7:EL$106,$AI11),1),IF($AJ11&gt;0,INDEX(EL$7:EL$106,$AJ11),1))))</ns0:f>
        <ns0:v>1</ns0:v>
      </ns0:c>
      <ns0:c r="EN11" t="n">
        <ns0:f>IF($A11="",1,IF(EM11=1,1,--AND(IF($AC11&gt;0,INDEX(EM$7:EM$106,$AC11),1),IF($AD11&gt;0,INDEX(EM$7:EM$106,$AD11),1),IF($AE11&gt;0,INDEX(EM$7:EM$106,$AE11),1),IF($AF11&gt;0,INDEX(EM$7:EM$106,$AF11),1),IF($AG11&gt;0,INDEX(EM$7:EM$106,$AG11),1),IF($AH11&gt;0,INDEX(EM$7:EM$106,$AH11),1),IF($AI11&gt;0,INDEX(EM$7:EM$106,$AI11),1),IF($AJ11&gt;0,INDEX(EM$7:EM$106,$AJ11),1))))</ns0:f>
        <ns0:v>1</ns0:v>
      </ns0:c>
      <ns0:c r="EO11" t="n">
        <ns0:f>IF($A11="",1,IF(EN11=1,1,--AND(IF($AC11&gt;0,INDEX(EN$7:EN$106,$AC11),1),IF($AD11&gt;0,INDEX(EN$7:EN$106,$AD11),1),IF($AE11&gt;0,INDEX(EN$7:EN$106,$AE11),1),IF($AF11&gt;0,INDEX(EN$7:EN$106,$AF11),1),IF($AG11&gt;0,INDEX(EN$7:EN$106,$AG11),1),IF($AH11&gt;0,INDEX(EN$7:EN$106,$AH11),1),IF($AI11&gt;0,INDEX(EN$7:EN$106,$AI11),1),IF($AJ11&gt;0,INDEX(EN$7:EN$106,$AJ11),1))))</ns0:f>
        <ns0:v>1</ns0:v>
      </ns0:c>
      <ns0:c r="EP11" t="n">
        <ns0:f>IF($A11="",1,IF(EO11=1,1,--AND(IF($AC11&gt;0,INDEX(EO$7:EO$106,$AC11),1),IF($AD11&gt;0,INDEX(EO$7:EO$106,$AD11),1),IF($AE11&gt;0,INDEX(EO$7:EO$106,$AE11),1),IF($AF11&gt;0,INDEX(EO$7:EO$106,$AF11),1),IF($AG11&gt;0,INDEX(EO$7:EO$106,$AG11),1),IF($AH11&gt;0,INDEX(EO$7:EO$106,$AH11),1),IF($AI11&gt;0,INDEX(EO$7:EO$106,$AI11),1),IF($AJ11&gt;0,INDEX(EO$7:EO$106,$AJ11),1))))</ns0:f>
        <ns0:v>1</ns0:v>
      </ns0:c>
      <ns0:c r="EQ11" t="n">
        <ns0:f>IF(OR(A11="",NOT(ISNUMBER(G11))),0,G11*N11)</ns0:f>
        <ns0:v>0</ns0:v>
      </ns0:c>
    </ns0:row>
    <ns0:row r="12" ht="62" customHeight="1">
      <ns0:c r="A12" s="48" t="str">
        <ns0:v>T05</ns0:v>
      </ns0:c>
      <ns0:c r="B12" s="48" t="str">
        <ns0:v>Data &amp; storage</ns0:v>
      </ns0:c>
      <ns0:c r="C12" s="48" t="str">
        <ns0:v>Provision Central Enterprise Database (CDB) relational tables &amp; vector stores</ns0:v>
      </ns0:c>
      <ns0:c r="D12" s="48" t="str">
        <ns0:v>Create relational/JSONB records, vector namespaces, state and telemetry stores.</ns0:v>
      </ns0:c>
      <ns0:c r="E12" s="49" t="n">
        <ns0:v>46279</ns0:v>
      </ns0:c>
      <ns0:c r="F12" s="49" t="n">
        <ns0:v>46280</ns0:v>
      </ns0:c>
      <ns0:c r="G12" s="13" t="n">
        <ns0:f>IF(A12="","",IF(OR(NOT(ISNUMBER(E12)),NOT(ISNUMBER(F12)),F12&lt;E12),"",IF(J12="Yes",0,F12-E12+1)))</ns0:f>
        <ns0:v>2</ns0:v>
      </ns0:c>
      <ns0:c r="H12" s="48" t="str">
        <ns0:v>T04</ns0:v>
      </ns0:c>
      <ns0:c r="I12" s="48" t="str">
        <ns0:v>FS</ns0:v>
      </ns0:c>
      <ns0:c r="J12" s="48" t="str">
        <ns0:v>No</ns0:v>
      </ns0:c>
      <ns0:c r="K12" s="48" t="str">
        <ns0:v>Central Enterprise Database (CDB)</ns0:v>
      </ns0:c>
      <ns0:c r="L12" s="48" t="str"/>
      <ns0:c r="M12" s="50" t="str">
        <ns0:f>IF(A12="","",IF(N12=1,"Completed",IF(N12&gt;0,"In Progress","Not Started")))</ns0:f>
        <ns0:v>Not Started</ns0:v>
      </ns0:c>
      <ns0:c r="N12" s="51" t="n">
        <ns0:v>0</ns0:v>
      </ns0:c>
      <ns0:c r="O12" s="13" t="str">
        <ns0:f>IF(A12="","",IF(R12&lt;&gt;"","[CONFLICT] "&amp;R12,IF(S12&lt;&gt;"","[CONFLICT] "&amp;S12,IF(OR(NOT(ISNUMBER(N12)),N12&lt;0,N12&gt;1),"[CONFLICT] Invalid progress",IF(AK12&gt;0,"[DEPENDENCY ISSUE] Missing ID / &gt;8 links",IF(AM12&gt;0,"[DEPENDENCY ISSUE] Cycle or blocked by cycle",IF(AND(H12&lt;&gt;"",ISNA(MATCH(I12,{"FS","SS","FF","SF"},0))),"[DEPENDENCY ISSUE] Invalid type",IF(AL12&gt;0,"[DEPENDENCY ISSUE] Timing conflict",IF(OR(E12&lt;ProjectStart,F12&gt;ProjectEnd),"[OUTSIDE WINDOW]",IF(AND(N12&lt;1,F12&lt;AsOfDate),"Overdue",IF(AND(M12&lt;&gt;Q12,M12&lt;&gt;""),"[CONFLICT] Status / progress","On track")))))))))))</ns0:f>
        <ns0:v>On track</ns0:v>
      </ns0:c>
      <ns0:c r="P12" s="52" t="str">
        <ns0:v>Source: Project Plan Essentials (2).md §1, §2, §4. Original 2026-09-14 to 2026-09-16, 3d; original progress 100% [INFERRED]. [INFERRED] Rescheduled to fit 34d with FS. Duration reduced to 2d. Original resource/tools: Central Enterprise Database (CDB).</ns0:v>
      </ns0:c>
      <ns0:c r="Q12" t="str">
        <ns0:f>IF(A12="","",IF(OR(M12="On Hold",M12="Delayed"),M12,IF(N12=1,"Completed",IF(N12&gt;0,"In Progress","Not Started"))))</ns0:f>
        <ns0:v>Not Started</ns0:v>
      </ns0:c>
      <ns0:c r="R12" t="str">
        <ns0:f>IF(A12="","",IF(COUNTIFS(Tasks[Task ID],A12)&lt;&gt;1,"Duplicate ID",""))</ns0:f>
      </ns0:c>
      <ns0:c r="S12" t="str">
        <ns0:f>IF(A12="","",IF(OR(NOT(ISNUMBER(E12)),NOT(ISNUMBER(F12))),"Invalid / missing date",IF(OR(E12&lt;&gt;INT(E12),F12&lt;&gt;INT(F12),E12&lt;1,F12&gt;2958465),"Invalid date",IF(F12&lt;E12,"End before start",IF(AND(J12="Yes",E12&lt;&gt;F12),"Milestone needs one date","")))))</ns0:f>
      </ns0:c>
      <ns0:c r="T12" t="n">
        <ns0:f>IF(H12="",0,LEN(H12)-LEN(SUBSTITUTE(H12,",",""))+1)</ns0:f>
        <ns0:v>1</ns0:v>
      </ns0:c>
      <ns0:c r="U12" t="str">
        <ns0:f>TRIM(MID(SUBSTITUTE($H12,",",REPT(" ",100)),1,100))</ns0:f>
        <ns0:v>T04</ns0:v>
      </ns0:c>
      <ns0:c r="V12" t="str">
        <ns0:f>TRIM(MID(SUBSTITUTE($H12,",",REPT(" ",100)),101,100))</ns0:f>
      </ns0:c>
      <ns0:c r="W12" t="str">
        <ns0:f>TRIM(MID(SUBSTITUTE($H12,",",REPT(" ",100)),201,100))</ns0:f>
      </ns0:c>
      <ns0:c r="X12" t="str">
        <ns0:f>TRIM(MID(SUBSTITUTE($H12,",",REPT(" ",100)),301,100))</ns0:f>
      </ns0:c>
      <ns0:c r="Y12" t="str">
        <ns0:f>TRIM(MID(SUBSTITUTE($H12,",",REPT(" ",100)),401,100))</ns0:f>
      </ns0:c>
      <ns0:c r="Z12" t="str">
        <ns0:f>TRIM(MID(SUBSTITUTE($H12,",",REPT(" ",100)),501,100))</ns0:f>
      </ns0:c>
      <ns0:c r="AA12" t="str">
        <ns0:f>TRIM(MID(SUBSTITUTE($H12,",",REPT(" ",100)),601,100))</ns0:f>
      </ns0:c>
      <ns0:c r="AB12" t="str">
        <ns0:f>TRIM(MID(SUBSTITUTE($H12,",",REPT(" ",100)),701,100))</ns0:f>
      </ns0:c>
      <ns0:c r="AC12" t="n">
        <ns0:f>IF(U12="",0,IF(COUNTIFS(Tasks[Task ID],U12)=1,MATCH(U12,Tasks[Task ID],0),-1))</ns0:f>
        <ns0:v>4</ns0:v>
      </ns0:c>
      <ns0:c r="AD12" t="n">
        <ns0:f>IF(V12="",0,IF(COUNTIFS(Tasks[Task ID],V12)=1,MATCH(V12,Tasks[Task ID],0),-1))</ns0:f>
        <ns0:v>0</ns0:v>
      </ns0:c>
      <ns0:c r="AE12" t="n">
        <ns0:f>IF(W12="",0,IF(COUNTIFS(Tasks[Task ID],W12)=1,MATCH(W12,Tasks[Task ID],0),-1))</ns0:f>
        <ns0:v>0</ns0:v>
      </ns0:c>
      <ns0:c r="AF12" t="n">
        <ns0:f>IF(X12="",0,IF(COUNTIFS(Tasks[Task ID],X12)=1,MATCH(X12,Tasks[Task ID],0),-1))</ns0:f>
        <ns0:v>0</ns0:v>
      </ns0:c>
      <ns0:c r="AG12" t="n">
        <ns0:f>IF(Y12="",0,IF(COUNTIFS(Tasks[Task ID],Y12)=1,MATCH(Y12,Tasks[Task ID],0),-1))</ns0:f>
        <ns0:v>0</ns0:v>
      </ns0:c>
      <ns0:c r="AH12" t="n">
        <ns0:f>IF(Z12="",0,IF(COUNTIFS(Tasks[Task ID],Z12)=1,MATCH(Z12,Tasks[Task ID],0),-1))</ns0:f>
        <ns0:v>0</ns0:v>
      </ns0:c>
      <ns0:c r="AI12" t="n">
        <ns0:f>IF(AA12="",0,IF(COUNTIFS(Tasks[Task ID],AA12)=1,MATCH(AA12,Tasks[Task ID],0),-1))</ns0:f>
        <ns0:v>0</ns0:v>
      </ns0:c>
      <ns0:c r="AJ12" t="n">
        <ns0:f>IF(AB12="",0,IF(COUNTIFS(Tasks[Task ID],AB12)=1,MATCH(AB12,Tasks[Task ID],0),-1))</ns0:f>
        <ns0:v>0</ns0:v>
      </ns0:c>
      <ns0:c r="AK12" t="n">
        <ns0:f>COUNTIFS(AC12:AJ12,-1)+IF(T12&gt;8,1,0)</ns0:f>
        <ns0:v>0</ns0:v>
      </ns0:c>
      <ns0:c r="AL12" t="n">
        <ns0:f>IF(OR(A12="",S12&lt;&gt;""),0,SUM(IF(AC12&gt;0,IF($I12="FS",--($E12&lt;INDEX(Tasks[End Date],AC12)+IF(INDEX(Tasks[Milestone],AC12)="Yes",0,1)),IF($I12="SS",--($E12&lt;INDEX(Tasks[Start Date],AC12)),IF($I12="FF",--($F12&lt;INDEX(Tasks[End Date],AC12)),IF($I12="SF",--($F12&lt;INDEX(Tasks[Start Date],AC12)),0)))),0),IF(AD12&gt;0,IF($I12="FS",--($E12&lt;INDEX(Tasks[End Date],AD12)+IF(INDEX(Tasks[Milestone],AD12)="Yes",0,1)),IF($I12="SS",--($E12&lt;INDEX(Tasks[Start Date],AD12)),IF($I12="FF",--($F12&lt;INDEX(Tasks[End Date],AD12)),IF($I12="SF",--($F12&lt;INDEX(Tasks[Start Date],AD12)),0)))),0),IF(AE12&gt;0,IF($I12="FS",--($E12&lt;INDEX(Tasks[End Date],AE12)+IF(INDEX(Tasks[Milestone],AE12)="Yes",0,1)),IF($I12="SS",--($E12&lt;INDEX(Tasks[Start Date],AE12)),IF($I12="FF",--($F12&lt;INDEX(Tasks[End Date],AE12)),IF($I12="SF",--($F12&lt;INDEX(Tasks[Start Date],AE12)),0)))),0),IF(AF12&gt;0,IF($I12="FS",--($E12&lt;INDEX(Tasks[End Date],AF12)+IF(INDEX(Tasks[Milestone],AF12)="Yes",0,1)),IF($I12="SS",--($E12&lt;INDEX(Tasks[Start Date],AF12)),IF($I12="FF",--($F12&lt;INDEX(Tasks[End Date],AF12)),IF($I12="SF",--($F12&lt;INDEX(Tasks[Start Date],AF12)),0)))),0),IF(AG12&gt;0,IF($I12="FS",--($E12&lt;INDEX(Tasks[End Date],AG12)+IF(INDEX(Tasks[Milestone],AG12)="Yes",0,1)),IF($I12="SS",--($E12&lt;INDEX(Tasks[Start Date],AG12)),IF($I12="FF",--($F12&lt;INDEX(Tasks[End Date],AG12)),IF($I12="SF",--($F12&lt;INDEX(Tasks[Start Date],AG12)),0)))),0),IF(AH12&gt;0,IF($I12="FS",--($E12&lt;INDEX(Tasks[End Date],AH12)+IF(INDEX(Tasks[Milestone],AH12)="Yes",0,1)),IF($I12="SS",--($E12&lt;INDEX(Tasks[Start Date],AH12)),IF($I12="FF",--($F12&lt;INDEX(Tasks[End Date],AH12)),IF($I12="SF",--($F12&lt;INDEX(Tasks[Start Date],AH12)),0)))),0),IF(AI12&gt;0,IF($I12="FS",--($E12&lt;INDEX(Tasks[End Date],AI12)+IF(INDEX(Tasks[Milestone],AI12)="Yes",0,1)),IF($I12="SS",--($E12&lt;INDEX(Tasks[Start Date],AI12)),IF($I12="FF",--($F12&lt;INDEX(Tasks[End Date],AI12)),IF($I12="SF",--($F12&lt;INDEX(Tasks[Start Date],AI12)),0)))),0),IF(AJ12&gt;0,IF($I12="FS",--($E12&lt;INDEX(Tasks[End Date],AJ12)+IF(INDEX(Tasks[Milestone],AJ12)="Yes",0,1)),IF($I12="SS",--($E12&lt;INDEX(Tasks[Start Date],AJ12)),IF($I12="FF",--($F12&lt;INDEX(Tasks[End Date],AJ12)),IF($I12="SF",--($F12&lt;INDEX(Tasks[Start Date],AJ12)),0)))),0)))</ns0:f>
        <ns0:v>0</ns0:v>
      </ns0:c>
      <ns0:c r="AM12" t="n">
        <ns0:f>IF(AND(A12&lt;&gt;"",AK12=0,EP12=0),1,0)</ns0:f>
        <ns0:v>0</ns0:v>
      </ns0:c>
      <ns0:c r="AN12" t="n">
        <ns0:f>IF(OR(A12="",B12=""),"",IF(COUNTIFS($B$7:B12,B12)=1,MAX($AN$6:AN11)+1,""))</ns0:f>
        <ns0:v>2</ns0:v>
      </ns0:c>
      <ns0:c r="AO12" t="n">
        <ns0:f>IF(AND(A12&lt;&gt;"",J12="No",N12&lt;1,E12&gt;=AsOfDate),E12+ROW()/10000,1E+9)</ns0:f>
        <ns0:v>46279.0012</ns0:v>
      </ns0:c>
      <ns0:c r="AP12" t="n">
        <ns0:f>IF(AND(A12&lt;&gt;"",J12="Yes",N12&lt;1,E12&gt;=AsOfDate),E12+ROW()/10000,1E+9)</ns0:f>
        <ns0:v>1000000000</ns0:v>
      </ns0:c>
      <ns0:c r="AQ12" t="n">
        <ns0:f>IF(AND(A12&lt;&gt;"",J12="No",N12&lt;1,F12&gt;=AsOfDate,F12&lt;=AsOfDate+7),F12+ROW()/10000,1E+9)</ns0:f>
        <ns0:v>46280.0012</ns0:v>
      </ns0:c>
      <ns0:c r="AR12" t="n">
        <ns0:f>IF(AND(A12&lt;&gt;"",OR(O12&lt;&gt;"On track",Q12="Delayed")),ROW(),1E+9)</ns0:f>
        <ns0:v>1000000000</ns0:v>
      </ns0:c>
      <ns0:c r="AS12" t="str">
        <ns0:f>IF(A12="","",";"&amp;K12&amp;";")</ns0:f>
        <ns0:v>;Central Enterprise Database (CDB);</ns0:v>
      </ns0:c>
      <ns0:c r="AT12" t="n">
        <ns0:f>IF(A12="",1,--(T12=0))</ns0:f>
        <ns0:v>0</ns0:v>
      </ns0:c>
      <ns0:c r="AU12" t="n">
        <ns0:f>IF($A12="",1,IF(AT12=1,1,--AND(IF($AC12&gt;0,INDEX(AT$7:AT$106,$AC12),1),IF($AD12&gt;0,INDEX(AT$7:AT$106,$AD12),1),IF($AE12&gt;0,INDEX(AT$7:AT$106,$AE12),1),IF($AF12&gt;0,INDEX(AT$7:AT$106,$AF12),1),IF($AG12&gt;0,INDEX(AT$7:AT$106,$AG12),1),IF($AH12&gt;0,INDEX(AT$7:AT$106,$AH12),1),IF($AI12&gt;0,INDEX(AT$7:AT$106,$AI12),1),IF($AJ12&gt;0,INDEX(AT$7:AT$106,$AJ12),1))))</ns0:f>
        <ns0:v>0</ns0:v>
      </ns0:c>
      <ns0:c r="AV12" t="n">
        <ns0:f>IF($A12="",1,IF(AU12=1,1,--AND(IF($AC12&gt;0,INDEX(AU$7:AU$106,$AC12),1),IF($AD12&gt;0,INDEX(AU$7:AU$106,$AD12),1),IF($AE12&gt;0,INDEX(AU$7:AU$106,$AE12),1),IF($AF12&gt;0,INDEX(AU$7:AU$106,$AF12),1),IF($AG12&gt;0,INDEX(AU$7:AU$106,$AG12),1),IF($AH12&gt;0,INDEX(AU$7:AU$106,$AH12),1),IF($AI12&gt;0,INDEX(AU$7:AU$106,$AI12),1),IF($AJ12&gt;0,INDEX(AU$7:AU$106,$AJ12),1))))</ns0:f>
        <ns0:v>1</ns0:v>
      </ns0:c>
      <ns0:c r="AW12" t="n">
        <ns0:f>IF($A12="",1,IF(AV12=1,1,--AND(IF($AC12&gt;0,INDEX(AV$7:AV$106,$AC12),1),IF($AD12&gt;0,INDEX(AV$7:AV$106,$AD12),1),IF($AE12&gt;0,INDEX(AV$7:AV$106,$AE12),1),IF($AF12&gt;0,INDEX(AV$7:AV$106,$AF12),1),IF($AG12&gt;0,INDEX(AV$7:AV$106,$AG12),1),IF($AH12&gt;0,INDEX(AV$7:AV$106,$AH12),1),IF($AI12&gt;0,INDEX(AV$7:AV$106,$AI12),1),IF($AJ12&gt;0,INDEX(AV$7:AV$106,$AJ12),1))))</ns0:f>
        <ns0:v>1</ns0:v>
      </ns0:c>
      <ns0:c r="AX12" t="n">
        <ns0:f>IF($A12="",1,IF(AW12=1,1,--AND(IF($AC12&gt;0,INDEX(AW$7:AW$106,$AC12),1),IF($AD12&gt;0,INDEX(AW$7:AW$106,$AD12),1),IF($AE12&gt;0,INDEX(AW$7:AW$106,$AE12),1),IF($AF12&gt;0,INDEX(AW$7:AW$106,$AF12),1),IF($AG12&gt;0,INDEX(AW$7:AW$106,$AG12),1),IF($AH12&gt;0,INDEX(AW$7:AW$106,$AH12),1),IF($AI12&gt;0,INDEX(AW$7:AW$106,$AI12),1),IF($AJ12&gt;0,INDEX(AW$7:AW$106,$AJ12),1))))</ns0:f>
        <ns0:v>1</ns0:v>
      </ns0:c>
      <ns0:c r="AY12" t="n">
        <ns0:f>IF($A12="",1,IF(AX12=1,1,--AND(IF($AC12&gt;0,INDEX(AX$7:AX$106,$AC12),1),IF($AD12&gt;0,INDEX(AX$7:AX$106,$AD12),1),IF($AE12&gt;0,INDEX(AX$7:AX$106,$AE12),1),IF($AF12&gt;0,INDEX(AX$7:AX$106,$AF12),1),IF($AG12&gt;0,INDEX(AX$7:AX$106,$AG12),1),IF($AH12&gt;0,INDEX(AX$7:AX$106,$AH12),1),IF($AI12&gt;0,INDEX(AX$7:AX$106,$AI12),1),IF($AJ12&gt;0,INDEX(AX$7:AX$106,$AJ12),1))))</ns0:f>
        <ns0:v>1</ns0:v>
      </ns0:c>
      <ns0:c r="AZ12" t="n">
        <ns0:f>IF($A12="",1,IF(AY12=1,1,--AND(IF($AC12&gt;0,INDEX(AY$7:AY$106,$AC12),1),IF($AD12&gt;0,INDEX(AY$7:AY$106,$AD12),1),IF($AE12&gt;0,INDEX(AY$7:AY$106,$AE12),1),IF($AF12&gt;0,INDEX(AY$7:AY$106,$AF12),1),IF($AG12&gt;0,INDEX(AY$7:AY$106,$AG12),1),IF($AH12&gt;0,INDEX(AY$7:AY$106,$AH12),1),IF($AI12&gt;0,INDEX(AY$7:AY$106,$AI12),1),IF($AJ12&gt;0,INDEX(AY$7:AY$106,$AJ12),1))))</ns0:f>
        <ns0:v>1</ns0:v>
      </ns0:c>
      <ns0:c r="BA12" t="n">
        <ns0:f>IF($A12="",1,IF(AZ12=1,1,--AND(IF($AC12&gt;0,INDEX(AZ$7:AZ$106,$AC12),1),IF($AD12&gt;0,INDEX(AZ$7:AZ$106,$AD12),1),IF($AE12&gt;0,INDEX(AZ$7:AZ$106,$AE12),1),IF($AF12&gt;0,INDEX(AZ$7:AZ$106,$AF12),1),IF($AG12&gt;0,INDEX(AZ$7:AZ$106,$AG12),1),IF($AH12&gt;0,INDEX(AZ$7:AZ$106,$AH12),1),IF($AI12&gt;0,INDEX(AZ$7:AZ$106,$AI12),1),IF($AJ12&gt;0,INDEX(AZ$7:AZ$106,$AJ12),1))))</ns0:f>
        <ns0:v>1</ns0:v>
      </ns0:c>
      <ns0:c r="BB12" t="n">
        <ns0:f>IF($A12="",1,IF(BA12=1,1,--AND(IF($AC12&gt;0,INDEX(BA$7:BA$106,$AC12),1),IF($AD12&gt;0,INDEX(BA$7:BA$106,$AD12),1),IF($AE12&gt;0,INDEX(BA$7:BA$106,$AE12),1),IF($AF12&gt;0,INDEX(BA$7:BA$106,$AF12),1),IF($AG12&gt;0,INDEX(BA$7:BA$106,$AG12),1),IF($AH12&gt;0,INDEX(BA$7:BA$106,$AH12),1),IF($AI12&gt;0,INDEX(BA$7:BA$106,$AI12),1),IF($AJ12&gt;0,INDEX(BA$7:BA$106,$AJ12),1))))</ns0:f>
        <ns0:v>1</ns0:v>
      </ns0:c>
      <ns0:c r="BC12" t="n">
        <ns0:f>IF($A12="",1,IF(BB12=1,1,--AND(IF($AC12&gt;0,INDEX(BB$7:BB$106,$AC12),1),IF($AD12&gt;0,INDEX(BB$7:BB$106,$AD12),1),IF($AE12&gt;0,INDEX(BB$7:BB$106,$AE12),1),IF($AF12&gt;0,INDEX(BB$7:BB$106,$AF12),1),IF($AG12&gt;0,INDEX(BB$7:BB$106,$AG12),1),IF($AH12&gt;0,INDEX(BB$7:BB$106,$AH12),1),IF($AI12&gt;0,INDEX(BB$7:BB$106,$AI12),1),IF($AJ12&gt;0,INDEX(BB$7:BB$106,$AJ12),1))))</ns0:f>
        <ns0:v>1</ns0:v>
      </ns0:c>
      <ns0:c r="BD12" t="n">
        <ns0:f>IF($A12="",1,IF(BC12=1,1,--AND(IF($AC12&gt;0,INDEX(BC$7:BC$106,$AC12),1),IF($AD12&gt;0,INDEX(BC$7:BC$106,$AD12),1),IF($AE12&gt;0,INDEX(BC$7:BC$106,$AE12),1),IF($AF12&gt;0,INDEX(BC$7:BC$106,$AF12),1),IF($AG12&gt;0,INDEX(BC$7:BC$106,$AG12),1),IF($AH12&gt;0,INDEX(BC$7:BC$106,$AH12),1),IF($AI12&gt;0,INDEX(BC$7:BC$106,$AI12),1),IF($AJ12&gt;0,INDEX(BC$7:BC$106,$AJ12),1))))</ns0:f>
        <ns0:v>1</ns0:v>
      </ns0:c>
      <ns0:c r="BE12" t="n">
        <ns0:f>IF($A12="",1,IF(BD12=1,1,--AND(IF($AC12&gt;0,INDEX(BD$7:BD$106,$AC12),1),IF($AD12&gt;0,INDEX(BD$7:BD$106,$AD12),1),IF($AE12&gt;0,INDEX(BD$7:BD$106,$AE12),1),IF($AF12&gt;0,INDEX(BD$7:BD$106,$AF12),1),IF($AG12&gt;0,INDEX(BD$7:BD$106,$AG12),1),IF($AH12&gt;0,INDEX(BD$7:BD$106,$AH12),1),IF($AI12&gt;0,INDEX(BD$7:BD$106,$AI12),1),IF($AJ12&gt;0,INDEX(BD$7:BD$106,$AJ12),1))))</ns0:f>
        <ns0:v>1</ns0:v>
      </ns0:c>
      <ns0:c r="BF12" t="n">
        <ns0:f>IF($A12="",1,IF(BE12=1,1,--AND(IF($AC12&gt;0,INDEX(BE$7:BE$106,$AC12),1),IF($AD12&gt;0,INDEX(BE$7:BE$106,$AD12),1),IF($AE12&gt;0,INDEX(BE$7:BE$106,$AE12),1),IF($AF12&gt;0,INDEX(BE$7:BE$106,$AF12),1),IF($AG12&gt;0,INDEX(BE$7:BE$106,$AG12),1),IF($AH12&gt;0,INDEX(BE$7:BE$106,$AH12),1),IF($AI12&gt;0,INDEX(BE$7:BE$106,$AI12),1),IF($AJ12&gt;0,INDEX(BE$7:BE$106,$AJ12),1))))</ns0:f>
        <ns0:v>1</ns0:v>
      </ns0:c>
      <ns0:c r="BG12" t="n">
        <ns0:f>IF($A12="",1,IF(BF12=1,1,--AND(IF($AC12&gt;0,INDEX(BF$7:BF$106,$AC12),1),IF($AD12&gt;0,INDEX(BF$7:BF$106,$AD12),1),IF($AE12&gt;0,INDEX(BF$7:BF$106,$AE12),1),IF($AF12&gt;0,INDEX(BF$7:BF$106,$AF12),1),IF($AG12&gt;0,INDEX(BF$7:BF$106,$AG12),1),IF($AH12&gt;0,INDEX(BF$7:BF$106,$AH12),1),IF($AI12&gt;0,INDEX(BF$7:BF$106,$AI12),1),IF($AJ12&gt;0,INDEX(BF$7:BF$106,$AJ12),1))))</ns0:f>
        <ns0:v>1</ns0:v>
      </ns0:c>
      <ns0:c r="BH12" t="n">
        <ns0:f>IF($A12="",1,IF(BG12=1,1,--AND(IF($AC12&gt;0,INDEX(BG$7:BG$106,$AC12),1),IF($AD12&gt;0,INDEX(BG$7:BG$106,$AD12),1),IF($AE12&gt;0,INDEX(BG$7:BG$106,$AE12),1),IF($AF12&gt;0,INDEX(BG$7:BG$106,$AF12),1),IF($AG12&gt;0,INDEX(BG$7:BG$106,$AG12),1),IF($AH12&gt;0,INDEX(BG$7:BG$106,$AH12),1),IF($AI12&gt;0,INDEX(BG$7:BG$106,$AI12),1),IF($AJ12&gt;0,INDEX(BG$7:BG$106,$AJ12),1))))</ns0:f>
        <ns0:v>1</ns0:v>
      </ns0:c>
      <ns0:c r="BI12" t="n">
        <ns0:f>IF($A12="",1,IF(BH12=1,1,--AND(IF($AC12&gt;0,INDEX(BH$7:BH$106,$AC12),1),IF($AD12&gt;0,INDEX(BH$7:BH$106,$AD12),1),IF($AE12&gt;0,INDEX(BH$7:BH$106,$AE12),1),IF($AF12&gt;0,INDEX(BH$7:BH$106,$AF12),1),IF($AG12&gt;0,INDEX(BH$7:BH$106,$AG12),1),IF($AH12&gt;0,INDEX(BH$7:BH$106,$AH12),1),IF($AI12&gt;0,INDEX(BH$7:BH$106,$AI12),1),IF($AJ12&gt;0,INDEX(BH$7:BH$106,$AJ12),1))))</ns0:f>
        <ns0:v>1</ns0:v>
      </ns0:c>
      <ns0:c r="BJ12" t="n">
        <ns0:f>IF($A12="",1,IF(BI12=1,1,--AND(IF($AC12&gt;0,INDEX(BI$7:BI$106,$AC12),1),IF($AD12&gt;0,INDEX(BI$7:BI$106,$AD12),1),IF($AE12&gt;0,INDEX(BI$7:BI$106,$AE12),1),IF($AF12&gt;0,INDEX(BI$7:BI$106,$AF12),1),IF($AG12&gt;0,INDEX(BI$7:BI$106,$AG12),1),IF($AH12&gt;0,INDEX(BI$7:BI$106,$AH12),1),IF($AI12&gt;0,INDEX(BI$7:BI$106,$AI12),1),IF($AJ12&gt;0,INDEX(BI$7:BI$106,$AJ12),1))))</ns0:f>
        <ns0:v>1</ns0:v>
      </ns0:c>
      <ns0:c r="BK12" t="n">
        <ns0:f>IF($A12="",1,IF(BJ12=1,1,--AND(IF($AC12&gt;0,INDEX(BJ$7:BJ$106,$AC12),1),IF($AD12&gt;0,INDEX(BJ$7:BJ$106,$AD12),1),IF($AE12&gt;0,INDEX(BJ$7:BJ$106,$AE12),1),IF($AF12&gt;0,INDEX(BJ$7:BJ$106,$AF12),1),IF($AG12&gt;0,INDEX(BJ$7:BJ$106,$AG12),1),IF($AH12&gt;0,INDEX(BJ$7:BJ$106,$AH12),1),IF($AI12&gt;0,INDEX(BJ$7:BJ$106,$AI12),1),IF($AJ12&gt;0,INDEX(BJ$7:BJ$106,$AJ12),1))))</ns0:f>
        <ns0:v>1</ns0:v>
      </ns0:c>
      <ns0:c r="BL12" t="n">
        <ns0:f>IF($A12="",1,IF(BK12=1,1,--AND(IF($AC12&gt;0,INDEX(BK$7:BK$106,$AC12),1),IF($AD12&gt;0,INDEX(BK$7:BK$106,$AD12),1),IF($AE12&gt;0,INDEX(BK$7:BK$106,$AE12),1),IF($AF12&gt;0,INDEX(BK$7:BK$106,$AF12),1),IF($AG12&gt;0,INDEX(BK$7:BK$106,$AG12),1),IF($AH12&gt;0,INDEX(BK$7:BK$106,$AH12),1),IF($AI12&gt;0,INDEX(BK$7:BK$106,$AI12),1),IF($AJ12&gt;0,INDEX(BK$7:BK$106,$AJ12),1))))</ns0:f>
        <ns0:v>1</ns0:v>
      </ns0:c>
      <ns0:c r="BM12" t="n">
        <ns0:f>IF($A12="",1,IF(BL12=1,1,--AND(IF($AC12&gt;0,INDEX(BL$7:BL$106,$AC12),1),IF($AD12&gt;0,INDEX(BL$7:BL$106,$AD12),1),IF($AE12&gt;0,INDEX(BL$7:BL$106,$AE12),1),IF($AF12&gt;0,INDEX(BL$7:BL$106,$AF12),1),IF($AG12&gt;0,INDEX(BL$7:BL$106,$AG12),1),IF($AH12&gt;0,INDEX(BL$7:BL$106,$AH12),1),IF($AI12&gt;0,INDEX(BL$7:BL$106,$AI12),1),IF($AJ12&gt;0,INDEX(BL$7:BL$106,$AJ12),1))))</ns0:f>
        <ns0:v>1</ns0:v>
      </ns0:c>
      <ns0:c r="BN12" t="n">
        <ns0:f>IF($A12="",1,IF(BM12=1,1,--AND(IF($AC12&gt;0,INDEX(BM$7:BM$106,$AC12),1),IF($AD12&gt;0,INDEX(BM$7:BM$106,$AD12),1),IF($AE12&gt;0,INDEX(BM$7:BM$106,$AE12),1),IF($AF12&gt;0,INDEX(BM$7:BM$106,$AF12),1),IF($AG12&gt;0,INDEX(BM$7:BM$106,$AG12),1),IF($AH12&gt;0,INDEX(BM$7:BM$106,$AH12),1),IF($AI12&gt;0,INDEX(BM$7:BM$106,$AI12),1),IF($AJ12&gt;0,INDEX(BM$7:BM$106,$AJ12),1))))</ns0:f>
        <ns0:v>1</ns0:v>
      </ns0:c>
      <ns0:c r="BO12" t="n">
        <ns0:f>IF($A12="",1,IF(BN12=1,1,--AND(IF($AC12&gt;0,INDEX(BN$7:BN$106,$AC12),1),IF($AD12&gt;0,INDEX(BN$7:BN$106,$AD12),1),IF($AE12&gt;0,INDEX(BN$7:BN$106,$AE12),1),IF($AF12&gt;0,INDEX(BN$7:BN$106,$AF12),1),IF($AG12&gt;0,INDEX(BN$7:BN$106,$AG12),1),IF($AH12&gt;0,INDEX(BN$7:BN$106,$AH12),1),IF($AI12&gt;0,INDEX(BN$7:BN$106,$AI12),1),IF($AJ12&gt;0,INDEX(BN$7:BN$106,$AJ12),1))))</ns0:f>
        <ns0:v>1</ns0:v>
      </ns0:c>
      <ns0:c r="BP12" t="n">
        <ns0:f>IF($A12="",1,IF(BO12=1,1,--AND(IF($AC12&gt;0,INDEX(BO$7:BO$106,$AC12),1),IF($AD12&gt;0,INDEX(BO$7:BO$106,$AD12),1),IF($AE12&gt;0,INDEX(BO$7:BO$106,$AE12),1),IF($AF12&gt;0,INDEX(BO$7:BO$106,$AF12),1),IF($AG12&gt;0,INDEX(BO$7:BO$106,$AG12),1),IF($AH12&gt;0,INDEX(BO$7:BO$106,$AH12),1),IF($AI12&gt;0,INDEX(BO$7:BO$106,$AI12),1),IF($AJ12&gt;0,INDEX(BO$7:BO$106,$AJ12),1))))</ns0:f>
        <ns0:v>1</ns0:v>
      </ns0:c>
      <ns0:c r="BQ12" t="n">
        <ns0:f>IF($A12="",1,IF(BP12=1,1,--AND(IF($AC12&gt;0,INDEX(BP$7:BP$106,$AC12),1),IF($AD12&gt;0,INDEX(BP$7:BP$106,$AD12),1),IF($AE12&gt;0,INDEX(BP$7:BP$106,$AE12),1),IF($AF12&gt;0,INDEX(BP$7:BP$106,$AF12),1),IF($AG12&gt;0,INDEX(BP$7:BP$106,$AG12),1),IF($AH12&gt;0,INDEX(BP$7:BP$106,$AH12),1),IF($AI12&gt;0,INDEX(BP$7:BP$106,$AI12),1),IF($AJ12&gt;0,INDEX(BP$7:BP$106,$AJ12),1))))</ns0:f>
        <ns0:v>1</ns0:v>
      </ns0:c>
      <ns0:c r="BR12" t="n">
        <ns0:f>IF($A12="",1,IF(BQ12=1,1,--AND(IF($AC12&gt;0,INDEX(BQ$7:BQ$106,$AC12),1),IF($AD12&gt;0,INDEX(BQ$7:BQ$106,$AD12),1),IF($AE12&gt;0,INDEX(BQ$7:BQ$106,$AE12),1),IF($AF12&gt;0,INDEX(BQ$7:BQ$106,$AF12),1),IF($AG12&gt;0,INDEX(BQ$7:BQ$106,$AG12),1),IF($AH12&gt;0,INDEX(BQ$7:BQ$106,$AH12),1),IF($AI12&gt;0,INDEX(BQ$7:BQ$106,$AI12),1),IF($AJ12&gt;0,INDEX(BQ$7:BQ$106,$AJ12),1))))</ns0:f>
        <ns0:v>1</ns0:v>
      </ns0:c>
      <ns0:c r="BS12" t="n">
        <ns0:f>IF($A12="",1,IF(BR12=1,1,--AND(IF($AC12&gt;0,INDEX(BR$7:BR$106,$AC12),1),IF($AD12&gt;0,INDEX(BR$7:BR$106,$AD12),1),IF($AE12&gt;0,INDEX(BR$7:BR$106,$AE12),1),IF($AF12&gt;0,INDEX(BR$7:BR$106,$AF12),1),IF($AG12&gt;0,INDEX(BR$7:BR$106,$AG12),1),IF($AH12&gt;0,INDEX(BR$7:BR$106,$AH12),1),IF($AI12&gt;0,INDEX(BR$7:BR$106,$AI12),1),IF($AJ12&gt;0,INDEX(BR$7:BR$106,$AJ12),1))))</ns0:f>
        <ns0:v>1</ns0:v>
      </ns0:c>
      <ns0:c r="BT12" t="n">
        <ns0:f>IF($A12="",1,IF(BS12=1,1,--AND(IF($AC12&gt;0,INDEX(BS$7:BS$106,$AC12),1),IF($AD12&gt;0,INDEX(BS$7:BS$106,$AD12),1),IF($AE12&gt;0,INDEX(BS$7:BS$106,$AE12),1),IF($AF12&gt;0,INDEX(BS$7:BS$106,$AF12),1),IF($AG12&gt;0,INDEX(BS$7:BS$106,$AG12),1),IF($AH12&gt;0,INDEX(BS$7:BS$106,$AH12),1),IF($AI12&gt;0,INDEX(BS$7:BS$106,$AI12),1),IF($AJ12&gt;0,INDEX(BS$7:BS$106,$AJ12),1))))</ns0:f>
        <ns0:v>1</ns0:v>
      </ns0:c>
      <ns0:c r="BU12" t="n">
        <ns0:f>IF($A12="",1,IF(BT12=1,1,--AND(IF($AC12&gt;0,INDEX(BT$7:BT$106,$AC12),1),IF($AD12&gt;0,INDEX(BT$7:BT$106,$AD12),1),IF($AE12&gt;0,INDEX(BT$7:BT$106,$AE12),1),IF($AF12&gt;0,INDEX(BT$7:BT$106,$AF12),1),IF($AG12&gt;0,INDEX(BT$7:BT$106,$AG12),1),IF($AH12&gt;0,INDEX(BT$7:BT$106,$AH12),1),IF($AI12&gt;0,INDEX(BT$7:BT$106,$AI12),1),IF($AJ12&gt;0,INDEX(BT$7:BT$106,$AJ12),1))))</ns0:f>
        <ns0:v>1</ns0:v>
      </ns0:c>
      <ns0:c r="BV12" t="n">
        <ns0:f>IF($A12="",1,IF(BU12=1,1,--AND(IF($AC12&gt;0,INDEX(BU$7:BU$106,$AC12),1),IF($AD12&gt;0,INDEX(BU$7:BU$106,$AD12),1),IF($AE12&gt;0,INDEX(BU$7:BU$106,$AE12),1),IF($AF12&gt;0,INDEX(BU$7:BU$106,$AF12),1),IF($AG12&gt;0,INDEX(BU$7:BU$106,$AG12),1),IF($AH12&gt;0,INDEX(BU$7:BU$106,$AH12),1),IF($AI12&gt;0,INDEX(BU$7:BU$106,$AI12),1),IF($AJ12&gt;0,INDEX(BU$7:BU$106,$AJ12),1))))</ns0:f>
        <ns0:v>1</ns0:v>
      </ns0:c>
      <ns0:c r="BW12" t="n">
        <ns0:f>IF($A12="",1,IF(BV12=1,1,--AND(IF($AC12&gt;0,INDEX(BV$7:BV$106,$AC12),1),IF($AD12&gt;0,INDEX(BV$7:BV$106,$AD12),1),IF($AE12&gt;0,INDEX(BV$7:BV$106,$AE12),1),IF($AF12&gt;0,INDEX(BV$7:BV$106,$AF12),1),IF($AG12&gt;0,INDEX(BV$7:BV$106,$AG12),1),IF($AH12&gt;0,INDEX(BV$7:BV$106,$AH12),1),IF($AI12&gt;0,INDEX(BV$7:BV$106,$AI12),1),IF($AJ12&gt;0,INDEX(BV$7:BV$106,$AJ12),1))))</ns0:f>
        <ns0:v>1</ns0:v>
      </ns0:c>
      <ns0:c r="BX12" t="n">
        <ns0:f>IF($A12="",1,IF(BW12=1,1,--AND(IF($AC12&gt;0,INDEX(BW$7:BW$106,$AC12),1),IF($AD12&gt;0,INDEX(BW$7:BW$106,$AD12),1),IF($AE12&gt;0,INDEX(BW$7:BW$106,$AE12),1),IF($AF12&gt;0,INDEX(BW$7:BW$106,$AF12),1),IF($AG12&gt;0,INDEX(BW$7:BW$106,$AG12),1),IF($AH12&gt;0,INDEX(BW$7:BW$106,$AH12),1),IF($AI12&gt;0,INDEX(BW$7:BW$106,$AI12),1),IF($AJ12&gt;0,INDEX(BW$7:BW$106,$AJ12),1))))</ns0:f>
        <ns0:v>1</ns0:v>
      </ns0:c>
      <ns0:c r="BY12" t="n">
        <ns0:f>IF($A12="",1,IF(BX12=1,1,--AND(IF($AC12&gt;0,INDEX(BX$7:BX$106,$AC12),1),IF($AD12&gt;0,INDEX(BX$7:BX$106,$AD12),1),IF($AE12&gt;0,INDEX(BX$7:BX$106,$AE12),1),IF($AF12&gt;0,INDEX(BX$7:BX$106,$AF12),1),IF($AG12&gt;0,INDEX(BX$7:BX$106,$AG12),1),IF($AH12&gt;0,INDEX(BX$7:BX$106,$AH12),1),IF($AI12&gt;0,INDEX(BX$7:BX$106,$AI12),1),IF($AJ12&gt;0,INDEX(BX$7:BX$106,$AJ12),1))))</ns0:f>
        <ns0:v>1</ns0:v>
      </ns0:c>
      <ns0:c r="BZ12" t="n">
        <ns0:f>IF($A12="",1,IF(BY12=1,1,--AND(IF($AC12&gt;0,INDEX(BY$7:BY$106,$AC12),1),IF($AD12&gt;0,INDEX(BY$7:BY$106,$AD12),1),IF($AE12&gt;0,INDEX(BY$7:BY$106,$AE12),1),IF($AF12&gt;0,INDEX(BY$7:BY$106,$AF12),1),IF($AG12&gt;0,INDEX(BY$7:BY$106,$AG12),1),IF($AH12&gt;0,INDEX(BY$7:BY$106,$AH12),1),IF($AI12&gt;0,INDEX(BY$7:BY$106,$AI12),1),IF($AJ12&gt;0,INDEX(BY$7:BY$106,$AJ12),1))))</ns0:f>
        <ns0:v>1</ns0:v>
      </ns0:c>
      <ns0:c r="CA12" t="n">
        <ns0:f>IF($A12="",1,IF(BZ12=1,1,--AND(IF($AC12&gt;0,INDEX(BZ$7:BZ$106,$AC12),1),IF($AD12&gt;0,INDEX(BZ$7:BZ$106,$AD12),1),IF($AE12&gt;0,INDEX(BZ$7:BZ$106,$AE12),1),IF($AF12&gt;0,INDEX(BZ$7:BZ$106,$AF12),1),IF($AG12&gt;0,INDEX(BZ$7:BZ$106,$AG12),1),IF($AH12&gt;0,INDEX(BZ$7:BZ$106,$AH12),1),IF($AI12&gt;0,INDEX(BZ$7:BZ$106,$AI12),1),IF($AJ12&gt;0,INDEX(BZ$7:BZ$106,$AJ12),1))))</ns0:f>
        <ns0:v>1</ns0:v>
      </ns0:c>
      <ns0:c r="CB12" t="n">
        <ns0:f>IF($A12="",1,IF(CA12=1,1,--AND(IF($AC12&gt;0,INDEX(CA$7:CA$106,$AC12),1),IF($AD12&gt;0,INDEX(CA$7:CA$106,$AD12),1),IF($AE12&gt;0,INDEX(CA$7:CA$106,$AE12),1),IF($AF12&gt;0,INDEX(CA$7:CA$106,$AF12),1),IF($AG12&gt;0,INDEX(CA$7:CA$106,$AG12),1),IF($AH12&gt;0,INDEX(CA$7:CA$106,$AH12),1),IF($AI12&gt;0,INDEX(CA$7:CA$106,$AI12),1),IF($AJ12&gt;0,INDEX(CA$7:CA$106,$AJ12),1))))</ns0:f>
        <ns0:v>1</ns0:v>
      </ns0:c>
      <ns0:c r="CC12" t="n">
        <ns0:f>IF($A12="",1,IF(CB12=1,1,--AND(IF($AC12&gt;0,INDEX(CB$7:CB$106,$AC12),1),IF($AD12&gt;0,INDEX(CB$7:CB$106,$AD12),1),IF($AE12&gt;0,INDEX(CB$7:CB$106,$AE12),1),IF($AF12&gt;0,INDEX(CB$7:CB$106,$AF12),1),IF($AG12&gt;0,INDEX(CB$7:CB$106,$AG12),1),IF($AH12&gt;0,INDEX(CB$7:CB$106,$AH12),1),IF($AI12&gt;0,INDEX(CB$7:CB$106,$AI12),1),IF($AJ12&gt;0,INDEX(CB$7:CB$106,$AJ12),1))))</ns0:f>
        <ns0:v>1</ns0:v>
      </ns0:c>
      <ns0:c r="CD12" t="n">
        <ns0:f>IF($A12="",1,IF(CC12=1,1,--AND(IF($AC12&gt;0,INDEX(CC$7:CC$106,$AC12),1),IF($AD12&gt;0,INDEX(CC$7:CC$106,$AD12),1),IF($AE12&gt;0,INDEX(CC$7:CC$106,$AE12),1),IF($AF12&gt;0,INDEX(CC$7:CC$106,$AF12),1),IF($AG12&gt;0,INDEX(CC$7:CC$106,$AG12),1),IF($AH12&gt;0,INDEX(CC$7:CC$106,$AH12),1),IF($AI12&gt;0,INDEX(CC$7:CC$106,$AI12),1),IF($AJ12&gt;0,INDEX(CC$7:CC$106,$AJ12),1))))</ns0:f>
        <ns0:v>1</ns0:v>
      </ns0:c>
      <ns0:c r="CE12" t="n">
        <ns0:f>IF($A12="",1,IF(CD12=1,1,--AND(IF($AC12&gt;0,INDEX(CD$7:CD$106,$AC12),1),IF($AD12&gt;0,INDEX(CD$7:CD$106,$AD12),1),IF($AE12&gt;0,INDEX(CD$7:CD$106,$AE12),1),IF($AF12&gt;0,INDEX(CD$7:CD$106,$AF12),1),IF($AG12&gt;0,INDEX(CD$7:CD$106,$AG12),1),IF($AH12&gt;0,INDEX(CD$7:CD$106,$AH12),1),IF($AI12&gt;0,INDEX(CD$7:CD$106,$AI12),1),IF($AJ12&gt;0,INDEX(CD$7:CD$106,$AJ12),1))))</ns0:f>
        <ns0:v>1</ns0:v>
      </ns0:c>
      <ns0:c r="CF12" t="n">
        <ns0:f>IF($A12="",1,IF(CE12=1,1,--AND(IF($AC12&gt;0,INDEX(CE$7:CE$106,$AC12),1),IF($AD12&gt;0,INDEX(CE$7:CE$106,$AD12),1),IF($AE12&gt;0,INDEX(CE$7:CE$106,$AE12),1),IF($AF12&gt;0,INDEX(CE$7:CE$106,$AF12),1),IF($AG12&gt;0,INDEX(CE$7:CE$106,$AG12),1),IF($AH12&gt;0,INDEX(CE$7:CE$106,$AH12),1),IF($AI12&gt;0,INDEX(CE$7:CE$106,$AI12),1),IF($AJ12&gt;0,INDEX(CE$7:CE$106,$AJ12),1))))</ns0:f>
        <ns0:v>1</ns0:v>
      </ns0:c>
      <ns0:c r="CG12" t="n">
        <ns0:f>IF($A12="",1,IF(CF12=1,1,--AND(IF($AC12&gt;0,INDEX(CF$7:CF$106,$AC12),1),IF($AD12&gt;0,INDEX(CF$7:CF$106,$AD12),1),IF($AE12&gt;0,INDEX(CF$7:CF$106,$AE12),1),IF($AF12&gt;0,INDEX(CF$7:CF$106,$AF12),1),IF($AG12&gt;0,INDEX(CF$7:CF$106,$AG12),1),IF($AH12&gt;0,INDEX(CF$7:CF$106,$AH12),1),IF($AI12&gt;0,INDEX(CF$7:CF$106,$AI12),1),IF($AJ12&gt;0,INDEX(CF$7:CF$106,$AJ12),1))))</ns0:f>
        <ns0:v>1</ns0:v>
      </ns0:c>
      <ns0:c r="CH12" t="n">
        <ns0:f>IF($A12="",1,IF(CG12=1,1,--AND(IF($AC12&gt;0,INDEX(CG$7:CG$106,$AC12),1),IF($AD12&gt;0,INDEX(CG$7:CG$106,$AD12),1),IF($AE12&gt;0,INDEX(CG$7:CG$106,$AE12),1),IF($AF12&gt;0,INDEX(CG$7:CG$106,$AF12),1),IF($AG12&gt;0,INDEX(CG$7:CG$106,$AG12),1),IF($AH12&gt;0,INDEX(CG$7:CG$106,$AH12),1),IF($AI12&gt;0,INDEX(CG$7:CG$106,$AI12),1),IF($AJ12&gt;0,INDEX(CG$7:CG$106,$AJ12),1))))</ns0:f>
        <ns0:v>1</ns0:v>
      </ns0:c>
      <ns0:c r="CI12" t="n">
        <ns0:f>IF($A12="",1,IF(CH12=1,1,--AND(IF($AC12&gt;0,INDEX(CH$7:CH$106,$AC12),1),IF($AD12&gt;0,INDEX(CH$7:CH$106,$AD12),1),IF($AE12&gt;0,INDEX(CH$7:CH$106,$AE12),1),IF($AF12&gt;0,INDEX(CH$7:CH$106,$AF12),1),IF($AG12&gt;0,INDEX(CH$7:CH$106,$AG12),1),IF($AH12&gt;0,INDEX(CH$7:CH$106,$AH12),1),IF($AI12&gt;0,INDEX(CH$7:CH$106,$AI12),1),IF($AJ12&gt;0,INDEX(CH$7:CH$106,$AJ12),1))))</ns0:f>
        <ns0:v>1</ns0:v>
      </ns0:c>
      <ns0:c r="CJ12" t="n">
        <ns0:f>IF($A12="",1,IF(CI12=1,1,--AND(IF($AC12&gt;0,INDEX(CI$7:CI$106,$AC12),1),IF($AD12&gt;0,INDEX(CI$7:CI$106,$AD12),1),IF($AE12&gt;0,INDEX(CI$7:CI$106,$AE12),1),IF($AF12&gt;0,INDEX(CI$7:CI$106,$AF12),1),IF($AG12&gt;0,INDEX(CI$7:CI$106,$AG12),1),IF($AH12&gt;0,INDEX(CI$7:CI$106,$AH12),1),IF($AI12&gt;0,INDEX(CI$7:CI$106,$AI12),1),IF($AJ12&gt;0,INDEX(CI$7:CI$106,$AJ12),1))))</ns0:f>
        <ns0:v>1</ns0:v>
      </ns0:c>
      <ns0:c r="CK12" t="n">
        <ns0:f>IF($A12="",1,IF(CJ12=1,1,--AND(IF($AC12&gt;0,INDEX(CJ$7:CJ$106,$AC12),1),IF($AD12&gt;0,INDEX(CJ$7:CJ$106,$AD12),1),IF($AE12&gt;0,INDEX(CJ$7:CJ$106,$AE12),1),IF($AF12&gt;0,INDEX(CJ$7:CJ$106,$AF12),1),IF($AG12&gt;0,INDEX(CJ$7:CJ$106,$AG12),1),IF($AH12&gt;0,INDEX(CJ$7:CJ$106,$AH12),1),IF($AI12&gt;0,INDEX(CJ$7:CJ$106,$AI12),1),IF($AJ12&gt;0,INDEX(CJ$7:CJ$106,$AJ12),1))))</ns0:f>
        <ns0:v>1</ns0:v>
      </ns0:c>
      <ns0:c r="CL12" t="n">
        <ns0:f>IF($A12="",1,IF(CK12=1,1,--AND(IF($AC12&gt;0,INDEX(CK$7:CK$106,$AC12),1),IF($AD12&gt;0,INDEX(CK$7:CK$106,$AD12),1),IF($AE12&gt;0,INDEX(CK$7:CK$106,$AE12),1),IF($AF12&gt;0,INDEX(CK$7:CK$106,$AF12),1),IF($AG12&gt;0,INDEX(CK$7:CK$106,$AG12),1),IF($AH12&gt;0,INDEX(CK$7:CK$106,$AH12),1),IF($AI12&gt;0,INDEX(CK$7:CK$106,$AI12),1),IF($AJ12&gt;0,INDEX(CK$7:CK$106,$AJ12),1))))</ns0:f>
        <ns0:v>1</ns0:v>
      </ns0:c>
      <ns0:c r="CM12" t="n">
        <ns0:f>IF($A12="",1,IF(CL12=1,1,--AND(IF($AC12&gt;0,INDEX(CL$7:CL$106,$AC12),1),IF($AD12&gt;0,INDEX(CL$7:CL$106,$AD12),1),IF($AE12&gt;0,INDEX(CL$7:CL$106,$AE12),1),IF($AF12&gt;0,INDEX(CL$7:CL$106,$AF12),1),IF($AG12&gt;0,INDEX(CL$7:CL$106,$AG12),1),IF($AH12&gt;0,INDEX(CL$7:CL$106,$AH12),1),IF($AI12&gt;0,INDEX(CL$7:CL$106,$AI12),1),IF($AJ12&gt;0,INDEX(CL$7:CL$106,$AJ12),1))))</ns0:f>
        <ns0:v>1</ns0:v>
      </ns0:c>
      <ns0:c r="CN12" t="n">
        <ns0:f>IF($A12="",1,IF(CM12=1,1,--AND(IF($AC12&gt;0,INDEX(CM$7:CM$106,$AC12),1),IF($AD12&gt;0,INDEX(CM$7:CM$106,$AD12),1),IF($AE12&gt;0,INDEX(CM$7:CM$106,$AE12),1),IF($AF12&gt;0,INDEX(CM$7:CM$106,$AF12),1),IF($AG12&gt;0,INDEX(CM$7:CM$106,$AG12),1),IF($AH12&gt;0,INDEX(CM$7:CM$106,$AH12),1),IF($AI12&gt;0,INDEX(CM$7:CM$106,$AI12),1),IF($AJ12&gt;0,INDEX(CM$7:CM$106,$AJ12),1))))</ns0:f>
        <ns0:v>1</ns0:v>
      </ns0:c>
      <ns0:c r="CO12" t="n">
        <ns0:f>IF($A12="",1,IF(CN12=1,1,--AND(IF($AC12&gt;0,INDEX(CN$7:CN$106,$AC12),1),IF($AD12&gt;0,INDEX(CN$7:CN$106,$AD12),1),IF($AE12&gt;0,INDEX(CN$7:CN$106,$AE12),1),IF($AF12&gt;0,INDEX(CN$7:CN$106,$AF12),1),IF($AG12&gt;0,INDEX(CN$7:CN$106,$AG12),1),IF($AH12&gt;0,INDEX(CN$7:CN$106,$AH12),1),IF($AI12&gt;0,INDEX(CN$7:CN$106,$AI12),1),IF($AJ12&gt;0,INDEX(CN$7:CN$106,$AJ12),1))))</ns0:f>
        <ns0:v>1</ns0:v>
      </ns0:c>
      <ns0:c r="CP12" t="n">
        <ns0:f>IF($A12="",1,IF(CO12=1,1,--AND(IF($AC12&gt;0,INDEX(CO$7:CO$106,$AC12),1),IF($AD12&gt;0,INDEX(CO$7:CO$106,$AD12),1),IF($AE12&gt;0,INDEX(CO$7:CO$106,$AE12),1),IF($AF12&gt;0,INDEX(CO$7:CO$106,$AF12),1),IF($AG12&gt;0,INDEX(CO$7:CO$106,$AG12),1),IF($AH12&gt;0,INDEX(CO$7:CO$106,$AH12),1),IF($AI12&gt;0,INDEX(CO$7:CO$106,$AI12),1),IF($AJ12&gt;0,INDEX(CO$7:CO$106,$AJ12),1))))</ns0:f>
        <ns0:v>1</ns0:v>
      </ns0:c>
      <ns0:c r="CQ12" t="n">
        <ns0:f>IF($A12="",1,IF(CP12=1,1,--AND(IF($AC12&gt;0,INDEX(CP$7:CP$106,$AC12),1),IF($AD12&gt;0,INDEX(CP$7:CP$106,$AD12),1),IF($AE12&gt;0,INDEX(CP$7:CP$106,$AE12),1),IF($AF12&gt;0,INDEX(CP$7:CP$106,$AF12),1),IF($AG12&gt;0,INDEX(CP$7:CP$106,$AG12),1),IF($AH12&gt;0,INDEX(CP$7:CP$106,$AH12),1),IF($AI12&gt;0,INDEX(CP$7:CP$106,$AI12),1),IF($AJ12&gt;0,INDEX(CP$7:CP$106,$AJ12),1))))</ns0:f>
        <ns0:v>1</ns0:v>
      </ns0:c>
      <ns0:c r="CR12" t="n">
        <ns0:f>IF($A12="",1,IF(CQ12=1,1,--AND(IF($AC12&gt;0,INDEX(CQ$7:CQ$106,$AC12),1),IF($AD12&gt;0,INDEX(CQ$7:CQ$106,$AD12),1),IF($AE12&gt;0,INDEX(CQ$7:CQ$106,$AE12),1),IF($AF12&gt;0,INDEX(CQ$7:CQ$106,$AF12),1),IF($AG12&gt;0,INDEX(CQ$7:CQ$106,$AG12),1),IF($AH12&gt;0,INDEX(CQ$7:CQ$106,$AH12),1),IF($AI12&gt;0,INDEX(CQ$7:CQ$106,$AI12),1),IF($AJ12&gt;0,INDEX(CQ$7:CQ$106,$AJ12),1))))</ns0:f>
        <ns0:v>1</ns0:v>
      </ns0:c>
      <ns0:c r="CS12" t="n">
        <ns0:f>IF($A12="",1,IF(CR12=1,1,--AND(IF($AC12&gt;0,INDEX(CR$7:CR$106,$AC12),1),IF($AD12&gt;0,INDEX(CR$7:CR$106,$AD12),1),IF($AE12&gt;0,INDEX(CR$7:CR$106,$AE12),1),IF($AF12&gt;0,INDEX(CR$7:CR$106,$AF12),1),IF($AG12&gt;0,INDEX(CR$7:CR$106,$AG12),1),IF($AH12&gt;0,INDEX(CR$7:CR$106,$AH12),1),IF($AI12&gt;0,INDEX(CR$7:CR$106,$AI12),1),IF($AJ12&gt;0,INDEX(CR$7:CR$106,$AJ12),1))))</ns0:f>
        <ns0:v>1</ns0:v>
      </ns0:c>
      <ns0:c r="CT12" t="n">
        <ns0:f>IF($A12="",1,IF(CS12=1,1,--AND(IF($AC12&gt;0,INDEX(CS$7:CS$106,$AC12),1),IF($AD12&gt;0,INDEX(CS$7:CS$106,$AD12),1),IF($AE12&gt;0,INDEX(CS$7:CS$106,$AE12),1),IF($AF12&gt;0,INDEX(CS$7:CS$106,$AF12),1),IF($AG12&gt;0,INDEX(CS$7:CS$106,$AG12),1),IF($AH12&gt;0,INDEX(CS$7:CS$106,$AH12),1),IF($AI12&gt;0,INDEX(CS$7:CS$106,$AI12),1),IF($AJ12&gt;0,INDEX(CS$7:CS$106,$AJ12),1))))</ns0:f>
        <ns0:v>1</ns0:v>
      </ns0:c>
      <ns0:c r="CU12" t="n">
        <ns0:f>IF($A12="",1,IF(CT12=1,1,--AND(IF($AC12&gt;0,INDEX(CT$7:CT$106,$AC12),1),IF($AD12&gt;0,INDEX(CT$7:CT$106,$AD12),1),IF($AE12&gt;0,INDEX(CT$7:CT$106,$AE12),1),IF($AF12&gt;0,INDEX(CT$7:CT$106,$AF12),1),IF($AG12&gt;0,INDEX(CT$7:CT$106,$AG12),1),IF($AH12&gt;0,INDEX(CT$7:CT$106,$AH12),1),IF($AI12&gt;0,INDEX(CT$7:CT$106,$AI12),1),IF($AJ12&gt;0,INDEX(CT$7:CT$106,$AJ12),1))))</ns0:f>
        <ns0:v>1</ns0:v>
      </ns0:c>
      <ns0:c r="CV12" t="n">
        <ns0:f>IF($A12="",1,IF(CU12=1,1,--AND(IF($AC12&gt;0,INDEX(CU$7:CU$106,$AC12),1),IF($AD12&gt;0,INDEX(CU$7:CU$106,$AD12),1),IF($AE12&gt;0,INDEX(CU$7:CU$106,$AE12),1),IF($AF12&gt;0,INDEX(CU$7:CU$106,$AF12),1),IF($AG12&gt;0,INDEX(CU$7:CU$106,$AG12),1),IF($AH12&gt;0,INDEX(CU$7:CU$106,$AH12),1),IF($AI12&gt;0,INDEX(CU$7:CU$106,$AI12),1),IF($AJ12&gt;0,INDEX(CU$7:CU$106,$AJ12),1))))</ns0:f>
        <ns0:v>1</ns0:v>
      </ns0:c>
      <ns0:c r="CW12" t="n">
        <ns0:f>IF($A12="",1,IF(CV12=1,1,--AND(IF($AC12&gt;0,INDEX(CV$7:CV$106,$AC12),1),IF($AD12&gt;0,INDEX(CV$7:CV$106,$AD12),1),IF($AE12&gt;0,INDEX(CV$7:CV$106,$AE12),1),IF($AF12&gt;0,INDEX(CV$7:CV$106,$AF12),1),IF($AG12&gt;0,INDEX(CV$7:CV$106,$AG12),1),IF($AH12&gt;0,INDEX(CV$7:CV$106,$AH12),1),IF($AI12&gt;0,INDEX(CV$7:CV$106,$AI12),1),IF($AJ12&gt;0,INDEX(CV$7:CV$106,$AJ12),1))))</ns0:f>
        <ns0:v>1</ns0:v>
      </ns0:c>
      <ns0:c r="CX12" t="n">
        <ns0:f>IF($A12="",1,IF(CW12=1,1,--AND(IF($AC12&gt;0,INDEX(CW$7:CW$106,$AC12),1),IF($AD12&gt;0,INDEX(CW$7:CW$106,$AD12),1),IF($AE12&gt;0,INDEX(CW$7:CW$106,$AE12),1),IF($AF12&gt;0,INDEX(CW$7:CW$106,$AF12),1),IF($AG12&gt;0,INDEX(CW$7:CW$106,$AG12),1),IF($AH12&gt;0,INDEX(CW$7:CW$106,$AH12),1),IF($AI12&gt;0,INDEX(CW$7:CW$106,$AI12),1),IF($AJ12&gt;0,INDEX(CW$7:CW$106,$AJ12),1))))</ns0:f>
        <ns0:v>1</ns0:v>
      </ns0:c>
      <ns0:c r="CY12" t="n">
        <ns0:f>IF($A12="",1,IF(CX12=1,1,--AND(IF($AC12&gt;0,INDEX(CX$7:CX$106,$AC12),1),IF($AD12&gt;0,INDEX(CX$7:CX$106,$AD12),1),IF($AE12&gt;0,INDEX(CX$7:CX$106,$AE12),1),IF($AF12&gt;0,INDEX(CX$7:CX$106,$AF12),1),IF($AG12&gt;0,INDEX(CX$7:CX$106,$AG12),1),IF($AH12&gt;0,INDEX(CX$7:CX$106,$AH12),1),IF($AI12&gt;0,INDEX(CX$7:CX$106,$AI12),1),IF($AJ12&gt;0,INDEX(CX$7:CX$106,$AJ12),1))))</ns0:f>
        <ns0:v>1</ns0:v>
      </ns0:c>
      <ns0:c r="CZ12" t="n">
        <ns0:f>IF($A12="",1,IF(CY12=1,1,--AND(IF($AC12&gt;0,INDEX(CY$7:CY$106,$AC12),1),IF($AD12&gt;0,INDEX(CY$7:CY$106,$AD12),1),IF($AE12&gt;0,INDEX(CY$7:CY$106,$AE12),1),IF($AF12&gt;0,INDEX(CY$7:CY$106,$AF12),1),IF($AG12&gt;0,INDEX(CY$7:CY$106,$AG12),1),IF($AH12&gt;0,INDEX(CY$7:CY$106,$AH12),1),IF($AI12&gt;0,INDEX(CY$7:CY$106,$AI12),1),IF($AJ12&gt;0,INDEX(CY$7:CY$106,$AJ12),1))))</ns0:f>
        <ns0:v>1</ns0:v>
      </ns0:c>
      <ns0:c r="DA12" t="n">
        <ns0:f>IF($A12="",1,IF(CZ12=1,1,--AND(IF($AC12&gt;0,INDEX(CZ$7:CZ$106,$AC12),1),IF($AD12&gt;0,INDEX(CZ$7:CZ$106,$AD12),1),IF($AE12&gt;0,INDEX(CZ$7:CZ$106,$AE12),1),IF($AF12&gt;0,INDEX(CZ$7:CZ$106,$AF12),1),IF($AG12&gt;0,INDEX(CZ$7:CZ$106,$AG12),1),IF($AH12&gt;0,INDEX(CZ$7:CZ$106,$AH12),1),IF($AI12&gt;0,INDEX(CZ$7:CZ$106,$AI12),1),IF($AJ12&gt;0,INDEX(CZ$7:CZ$106,$AJ12),1))))</ns0:f>
        <ns0:v>1</ns0:v>
      </ns0:c>
      <ns0:c r="DB12" t="n">
        <ns0:f>IF($A12="",1,IF(DA12=1,1,--AND(IF($AC12&gt;0,INDEX(DA$7:DA$106,$AC12),1),IF($AD12&gt;0,INDEX(DA$7:DA$106,$AD12),1),IF($AE12&gt;0,INDEX(DA$7:DA$106,$AE12),1),IF($AF12&gt;0,INDEX(DA$7:DA$106,$AF12),1),IF($AG12&gt;0,INDEX(DA$7:DA$106,$AG12),1),IF($AH12&gt;0,INDEX(DA$7:DA$106,$AH12),1),IF($AI12&gt;0,INDEX(DA$7:DA$106,$AI12),1),IF($AJ12&gt;0,INDEX(DA$7:DA$106,$AJ12),1))))</ns0:f>
        <ns0:v>1</ns0:v>
      </ns0:c>
      <ns0:c r="DC12" t="n">
        <ns0:f>IF($A12="",1,IF(DB12=1,1,--AND(IF($AC12&gt;0,INDEX(DB$7:DB$106,$AC12),1),IF($AD12&gt;0,INDEX(DB$7:DB$106,$AD12),1),IF($AE12&gt;0,INDEX(DB$7:DB$106,$AE12),1),IF($AF12&gt;0,INDEX(DB$7:DB$106,$AF12),1),IF($AG12&gt;0,INDEX(DB$7:DB$106,$AG12),1),IF($AH12&gt;0,INDEX(DB$7:DB$106,$AH12),1),IF($AI12&gt;0,INDEX(DB$7:DB$106,$AI12),1),IF($AJ12&gt;0,INDEX(DB$7:DB$106,$AJ12),1))))</ns0:f>
        <ns0:v>1</ns0:v>
      </ns0:c>
      <ns0:c r="DD12" t="n">
        <ns0:f>IF($A12="",1,IF(DC12=1,1,--AND(IF($AC12&gt;0,INDEX(DC$7:DC$106,$AC12),1),IF($AD12&gt;0,INDEX(DC$7:DC$106,$AD12),1),IF($AE12&gt;0,INDEX(DC$7:DC$106,$AE12),1),IF($AF12&gt;0,INDEX(DC$7:DC$106,$AF12),1),IF($AG12&gt;0,INDEX(DC$7:DC$106,$AG12),1),IF($AH12&gt;0,INDEX(DC$7:DC$106,$AH12),1),IF($AI12&gt;0,INDEX(DC$7:DC$106,$AI12),1),IF($AJ12&gt;0,INDEX(DC$7:DC$106,$AJ12),1))))</ns0:f>
        <ns0:v>1</ns0:v>
      </ns0:c>
      <ns0:c r="DE12" t="n">
        <ns0:f>IF($A12="",1,IF(DD12=1,1,--AND(IF($AC12&gt;0,INDEX(DD$7:DD$106,$AC12),1),IF($AD12&gt;0,INDEX(DD$7:DD$106,$AD12),1),IF($AE12&gt;0,INDEX(DD$7:DD$106,$AE12),1),IF($AF12&gt;0,INDEX(DD$7:DD$106,$AF12),1),IF($AG12&gt;0,INDEX(DD$7:DD$106,$AG12),1),IF($AH12&gt;0,INDEX(DD$7:DD$106,$AH12),1),IF($AI12&gt;0,INDEX(DD$7:DD$106,$AI12),1),IF($AJ12&gt;0,INDEX(DD$7:DD$106,$AJ12),1))))</ns0:f>
        <ns0:v>1</ns0:v>
      </ns0:c>
      <ns0:c r="DF12" t="n">
        <ns0:f>IF($A12="",1,IF(DE12=1,1,--AND(IF($AC12&gt;0,INDEX(DE$7:DE$106,$AC12),1),IF($AD12&gt;0,INDEX(DE$7:DE$106,$AD12),1),IF($AE12&gt;0,INDEX(DE$7:DE$106,$AE12),1),IF($AF12&gt;0,INDEX(DE$7:DE$106,$AF12),1),IF($AG12&gt;0,INDEX(DE$7:DE$106,$AG12),1),IF($AH12&gt;0,INDEX(DE$7:DE$106,$AH12),1),IF($AI12&gt;0,INDEX(DE$7:DE$106,$AI12),1),IF($AJ12&gt;0,INDEX(DE$7:DE$106,$AJ12),1))))</ns0:f>
        <ns0:v>1</ns0:v>
      </ns0:c>
      <ns0:c r="DG12" t="n">
        <ns0:f>IF($A12="",1,IF(DF12=1,1,--AND(IF($AC12&gt;0,INDEX(DF$7:DF$106,$AC12),1),IF($AD12&gt;0,INDEX(DF$7:DF$106,$AD12),1),IF($AE12&gt;0,INDEX(DF$7:DF$106,$AE12),1),IF($AF12&gt;0,INDEX(DF$7:DF$106,$AF12),1),IF($AG12&gt;0,INDEX(DF$7:DF$106,$AG12),1),IF($AH12&gt;0,INDEX(DF$7:DF$106,$AH12),1),IF($AI12&gt;0,INDEX(DF$7:DF$106,$AI12),1),IF($AJ12&gt;0,INDEX(DF$7:DF$106,$AJ12),1))))</ns0:f>
        <ns0:v>1</ns0:v>
      </ns0:c>
      <ns0:c r="DH12" t="n">
        <ns0:f>IF($A12="",1,IF(DG12=1,1,--AND(IF($AC12&gt;0,INDEX(DG$7:DG$106,$AC12),1),IF($AD12&gt;0,INDEX(DG$7:DG$106,$AD12),1),IF($AE12&gt;0,INDEX(DG$7:DG$106,$AE12),1),IF($AF12&gt;0,INDEX(DG$7:DG$106,$AF12),1),IF($AG12&gt;0,INDEX(DG$7:DG$106,$AG12),1),IF($AH12&gt;0,INDEX(DG$7:DG$106,$AH12),1),IF($AI12&gt;0,INDEX(DG$7:DG$106,$AI12),1),IF($AJ12&gt;0,INDEX(DG$7:DG$106,$AJ12),1))))</ns0:f>
        <ns0:v>1</ns0:v>
      </ns0:c>
      <ns0:c r="DI12" t="n">
        <ns0:f>IF($A12="",1,IF(DH12=1,1,--AND(IF($AC12&gt;0,INDEX(DH$7:DH$106,$AC12),1),IF($AD12&gt;0,INDEX(DH$7:DH$106,$AD12),1),IF($AE12&gt;0,INDEX(DH$7:DH$106,$AE12),1),IF($AF12&gt;0,INDEX(DH$7:DH$106,$AF12),1),IF($AG12&gt;0,INDEX(DH$7:DH$106,$AG12),1),IF($AH12&gt;0,INDEX(DH$7:DH$106,$AH12),1),IF($AI12&gt;0,INDEX(DH$7:DH$106,$AI12),1),IF($AJ12&gt;0,INDEX(DH$7:DH$106,$AJ12),1))))</ns0:f>
        <ns0:v>1</ns0:v>
      </ns0:c>
      <ns0:c r="DJ12" t="n">
        <ns0:f>IF($A12="",1,IF(DI12=1,1,--AND(IF($AC12&gt;0,INDEX(DI$7:DI$106,$AC12),1),IF($AD12&gt;0,INDEX(DI$7:DI$106,$AD12),1),IF($AE12&gt;0,INDEX(DI$7:DI$106,$AE12),1),IF($AF12&gt;0,INDEX(DI$7:DI$106,$AF12),1),IF($AG12&gt;0,INDEX(DI$7:DI$106,$AG12),1),IF($AH12&gt;0,INDEX(DI$7:DI$106,$AH12),1),IF($AI12&gt;0,INDEX(DI$7:DI$106,$AI12),1),IF($AJ12&gt;0,INDEX(DI$7:DI$106,$AJ12),1))))</ns0:f>
        <ns0:v>1</ns0:v>
      </ns0:c>
      <ns0:c r="DK12" t="n">
        <ns0:f>IF($A12="",1,IF(DJ12=1,1,--AND(IF($AC12&gt;0,INDEX(DJ$7:DJ$106,$AC12),1),IF($AD12&gt;0,INDEX(DJ$7:DJ$106,$AD12),1),IF($AE12&gt;0,INDEX(DJ$7:DJ$106,$AE12),1),IF($AF12&gt;0,INDEX(DJ$7:DJ$106,$AF12),1),IF($AG12&gt;0,INDEX(DJ$7:DJ$106,$AG12),1),IF($AH12&gt;0,INDEX(DJ$7:DJ$106,$AH12),1),IF($AI12&gt;0,INDEX(DJ$7:DJ$106,$AI12),1),IF($AJ12&gt;0,INDEX(DJ$7:DJ$106,$AJ12),1))))</ns0:f>
        <ns0:v>1</ns0:v>
      </ns0:c>
      <ns0:c r="DL12" t="n">
        <ns0:f>IF($A12="",1,IF(DK12=1,1,--AND(IF($AC12&gt;0,INDEX(DK$7:DK$106,$AC12),1),IF($AD12&gt;0,INDEX(DK$7:DK$106,$AD12),1),IF($AE12&gt;0,INDEX(DK$7:DK$106,$AE12),1),IF($AF12&gt;0,INDEX(DK$7:DK$106,$AF12),1),IF($AG12&gt;0,INDEX(DK$7:DK$106,$AG12),1),IF($AH12&gt;0,INDEX(DK$7:DK$106,$AH12),1),IF($AI12&gt;0,INDEX(DK$7:DK$106,$AI12),1),IF($AJ12&gt;0,INDEX(DK$7:DK$106,$AJ12),1))))</ns0:f>
        <ns0:v>1</ns0:v>
      </ns0:c>
      <ns0:c r="DM12" t="n">
        <ns0:f>IF($A12="",1,IF(DL12=1,1,--AND(IF($AC12&gt;0,INDEX(DL$7:DL$106,$AC12),1),IF($AD12&gt;0,INDEX(DL$7:DL$106,$AD12),1),IF($AE12&gt;0,INDEX(DL$7:DL$106,$AE12),1),IF($AF12&gt;0,INDEX(DL$7:DL$106,$AF12),1),IF($AG12&gt;0,INDEX(DL$7:DL$106,$AG12),1),IF($AH12&gt;0,INDEX(DL$7:DL$106,$AH12),1),IF($AI12&gt;0,INDEX(DL$7:DL$106,$AI12),1),IF($AJ12&gt;0,INDEX(DL$7:DL$106,$AJ12),1))))</ns0:f>
        <ns0:v>1</ns0:v>
      </ns0:c>
      <ns0:c r="DN12" t="n">
        <ns0:f>IF($A12="",1,IF(DM12=1,1,--AND(IF($AC12&gt;0,INDEX(DM$7:DM$106,$AC12),1),IF($AD12&gt;0,INDEX(DM$7:DM$106,$AD12),1),IF($AE12&gt;0,INDEX(DM$7:DM$106,$AE12),1),IF($AF12&gt;0,INDEX(DM$7:DM$106,$AF12),1),IF($AG12&gt;0,INDEX(DM$7:DM$106,$AG12),1),IF($AH12&gt;0,INDEX(DM$7:DM$106,$AH12),1),IF($AI12&gt;0,INDEX(DM$7:DM$106,$AI12),1),IF($AJ12&gt;0,INDEX(DM$7:DM$106,$AJ12),1))))</ns0:f>
        <ns0:v>1</ns0:v>
      </ns0:c>
      <ns0:c r="DO12" t="n">
        <ns0:f>IF($A12="",1,IF(DN12=1,1,--AND(IF($AC12&gt;0,INDEX(DN$7:DN$106,$AC12),1),IF($AD12&gt;0,INDEX(DN$7:DN$106,$AD12),1),IF($AE12&gt;0,INDEX(DN$7:DN$106,$AE12),1),IF($AF12&gt;0,INDEX(DN$7:DN$106,$AF12),1),IF($AG12&gt;0,INDEX(DN$7:DN$106,$AG12),1),IF($AH12&gt;0,INDEX(DN$7:DN$106,$AH12),1),IF($AI12&gt;0,INDEX(DN$7:DN$106,$AI12),1),IF($AJ12&gt;0,INDEX(DN$7:DN$106,$AJ12),1))))</ns0:f>
        <ns0:v>1</ns0:v>
      </ns0:c>
      <ns0:c r="DP12" t="n">
        <ns0:f>IF($A12="",1,IF(DO12=1,1,--AND(IF($AC12&gt;0,INDEX(DO$7:DO$106,$AC12),1),IF($AD12&gt;0,INDEX(DO$7:DO$106,$AD12),1),IF($AE12&gt;0,INDEX(DO$7:DO$106,$AE12),1),IF($AF12&gt;0,INDEX(DO$7:DO$106,$AF12),1),IF($AG12&gt;0,INDEX(DO$7:DO$106,$AG12),1),IF($AH12&gt;0,INDEX(DO$7:DO$106,$AH12),1),IF($AI12&gt;0,INDEX(DO$7:DO$106,$AI12),1),IF($AJ12&gt;0,INDEX(DO$7:DO$106,$AJ12),1))))</ns0:f>
        <ns0:v>1</ns0:v>
      </ns0:c>
      <ns0:c r="DQ12" t="n">
        <ns0:f>IF($A12="",1,IF(DP12=1,1,--AND(IF($AC12&gt;0,INDEX(DP$7:DP$106,$AC12),1),IF($AD12&gt;0,INDEX(DP$7:DP$106,$AD12),1),IF($AE12&gt;0,INDEX(DP$7:DP$106,$AE12),1),IF($AF12&gt;0,INDEX(DP$7:DP$106,$AF12),1),IF($AG12&gt;0,INDEX(DP$7:DP$106,$AG12),1),IF($AH12&gt;0,INDEX(DP$7:DP$106,$AH12),1),IF($AI12&gt;0,INDEX(DP$7:DP$106,$AI12),1),IF($AJ12&gt;0,INDEX(DP$7:DP$106,$AJ12),1))))</ns0:f>
        <ns0:v>1</ns0:v>
      </ns0:c>
      <ns0:c r="DR12" t="n">
        <ns0:f>IF($A12="",1,IF(DQ12=1,1,--AND(IF($AC12&gt;0,INDEX(DQ$7:DQ$106,$AC12),1),IF($AD12&gt;0,INDEX(DQ$7:DQ$106,$AD12),1),IF($AE12&gt;0,INDEX(DQ$7:DQ$106,$AE12),1),IF($AF12&gt;0,INDEX(DQ$7:DQ$106,$AF12),1),IF($AG12&gt;0,INDEX(DQ$7:DQ$106,$AG12),1),IF($AH12&gt;0,INDEX(DQ$7:DQ$106,$AH12),1),IF($AI12&gt;0,INDEX(DQ$7:DQ$106,$AI12),1),IF($AJ12&gt;0,INDEX(DQ$7:DQ$106,$AJ12),1))))</ns0:f>
        <ns0:v>1</ns0:v>
      </ns0:c>
      <ns0:c r="DS12" t="n">
        <ns0:f>IF($A12="",1,IF(DR12=1,1,--AND(IF($AC12&gt;0,INDEX(DR$7:DR$106,$AC12),1),IF($AD12&gt;0,INDEX(DR$7:DR$106,$AD12),1),IF($AE12&gt;0,INDEX(DR$7:DR$106,$AE12),1),IF($AF12&gt;0,INDEX(DR$7:DR$106,$AF12),1),IF($AG12&gt;0,INDEX(DR$7:DR$106,$AG12),1),IF($AH12&gt;0,INDEX(DR$7:DR$106,$AH12),1),IF($AI12&gt;0,INDEX(DR$7:DR$106,$AI12),1),IF($AJ12&gt;0,INDEX(DR$7:DR$106,$AJ12),1))))</ns0:f>
        <ns0:v>1</ns0:v>
      </ns0:c>
      <ns0:c r="DT12" t="n">
        <ns0:f>IF($A12="",1,IF(DS12=1,1,--AND(IF($AC12&gt;0,INDEX(DS$7:DS$106,$AC12),1),IF($AD12&gt;0,INDEX(DS$7:DS$106,$AD12),1),IF($AE12&gt;0,INDEX(DS$7:DS$106,$AE12),1),IF($AF12&gt;0,INDEX(DS$7:DS$106,$AF12),1),IF($AG12&gt;0,INDEX(DS$7:DS$106,$AG12),1),IF($AH12&gt;0,INDEX(DS$7:DS$106,$AH12),1),IF($AI12&gt;0,INDEX(DS$7:DS$106,$AI12),1),IF($AJ12&gt;0,INDEX(DS$7:DS$106,$AJ12),1))))</ns0:f>
        <ns0:v>1</ns0:v>
      </ns0:c>
      <ns0:c r="DU12" t="n">
        <ns0:f>IF($A12="",1,IF(DT12=1,1,--AND(IF($AC12&gt;0,INDEX(DT$7:DT$106,$AC12),1),IF($AD12&gt;0,INDEX(DT$7:DT$106,$AD12),1),IF($AE12&gt;0,INDEX(DT$7:DT$106,$AE12),1),IF($AF12&gt;0,INDEX(DT$7:DT$106,$AF12),1),IF($AG12&gt;0,INDEX(DT$7:DT$106,$AG12),1),IF($AH12&gt;0,INDEX(DT$7:DT$106,$AH12),1),IF($AI12&gt;0,INDEX(DT$7:DT$106,$AI12),1),IF($AJ12&gt;0,INDEX(DT$7:DT$106,$AJ12),1))))</ns0:f>
        <ns0:v>1</ns0:v>
      </ns0:c>
      <ns0:c r="DV12" t="n">
        <ns0:f>IF($A12="",1,IF(DU12=1,1,--AND(IF($AC12&gt;0,INDEX(DU$7:DU$106,$AC12),1),IF($AD12&gt;0,INDEX(DU$7:DU$106,$AD12),1),IF($AE12&gt;0,INDEX(DU$7:DU$106,$AE12),1),IF($AF12&gt;0,INDEX(DU$7:DU$106,$AF12),1),IF($AG12&gt;0,INDEX(DU$7:DU$106,$AG12),1),IF($AH12&gt;0,INDEX(DU$7:DU$106,$AH12),1),IF($AI12&gt;0,INDEX(DU$7:DU$106,$AI12),1),IF($AJ12&gt;0,INDEX(DU$7:DU$106,$AJ12),1))))</ns0:f>
        <ns0:v>1</ns0:v>
      </ns0:c>
      <ns0:c r="DW12" t="n">
        <ns0:f>IF($A12="",1,IF(DV12=1,1,--AND(IF($AC12&gt;0,INDEX(DV$7:DV$106,$AC12),1),IF($AD12&gt;0,INDEX(DV$7:DV$106,$AD12),1),IF($AE12&gt;0,INDEX(DV$7:DV$106,$AE12),1),IF($AF12&gt;0,INDEX(DV$7:DV$106,$AF12),1),IF($AG12&gt;0,INDEX(DV$7:DV$106,$AG12),1),IF($AH12&gt;0,INDEX(DV$7:DV$106,$AH12),1),IF($AI12&gt;0,INDEX(DV$7:DV$106,$AI12),1),IF($AJ12&gt;0,INDEX(DV$7:DV$106,$AJ12),1))))</ns0:f>
        <ns0:v>1</ns0:v>
      </ns0:c>
      <ns0:c r="DX12" t="n">
        <ns0:f>IF($A12="",1,IF(DW12=1,1,--AND(IF($AC12&gt;0,INDEX(DW$7:DW$106,$AC12),1),IF($AD12&gt;0,INDEX(DW$7:DW$106,$AD12),1),IF($AE12&gt;0,INDEX(DW$7:DW$106,$AE12),1),IF($AF12&gt;0,INDEX(DW$7:DW$106,$AF12),1),IF($AG12&gt;0,INDEX(DW$7:DW$106,$AG12),1),IF($AH12&gt;0,INDEX(DW$7:DW$106,$AH12),1),IF($AI12&gt;0,INDEX(DW$7:DW$106,$AI12),1),IF($AJ12&gt;0,INDEX(DW$7:DW$106,$AJ12),1))))</ns0:f>
        <ns0:v>1</ns0:v>
      </ns0:c>
      <ns0:c r="DY12" t="n">
        <ns0:f>IF($A12="",1,IF(DX12=1,1,--AND(IF($AC12&gt;0,INDEX(DX$7:DX$106,$AC12),1),IF($AD12&gt;0,INDEX(DX$7:DX$106,$AD12),1),IF($AE12&gt;0,INDEX(DX$7:DX$106,$AE12),1),IF($AF12&gt;0,INDEX(DX$7:DX$106,$AF12),1),IF($AG12&gt;0,INDEX(DX$7:DX$106,$AG12),1),IF($AH12&gt;0,INDEX(DX$7:DX$106,$AH12),1),IF($AI12&gt;0,INDEX(DX$7:DX$106,$AI12),1),IF($AJ12&gt;0,INDEX(DX$7:DX$106,$AJ12),1))))</ns0:f>
        <ns0:v>1</ns0:v>
      </ns0:c>
      <ns0:c r="DZ12" t="n">
        <ns0:f>IF($A12="",1,IF(DY12=1,1,--AND(IF($AC12&gt;0,INDEX(DY$7:DY$106,$AC12),1),IF($AD12&gt;0,INDEX(DY$7:DY$106,$AD12),1),IF($AE12&gt;0,INDEX(DY$7:DY$106,$AE12),1),IF($AF12&gt;0,INDEX(DY$7:DY$106,$AF12),1),IF($AG12&gt;0,INDEX(DY$7:DY$106,$AG12),1),IF($AH12&gt;0,INDEX(DY$7:DY$106,$AH12),1),IF($AI12&gt;0,INDEX(DY$7:DY$106,$AI12),1),IF($AJ12&gt;0,INDEX(DY$7:DY$106,$AJ12),1))))</ns0:f>
        <ns0:v>1</ns0:v>
      </ns0:c>
      <ns0:c r="EA12" t="n">
        <ns0:f>IF($A12="",1,IF(DZ12=1,1,--AND(IF($AC12&gt;0,INDEX(DZ$7:DZ$106,$AC12),1),IF($AD12&gt;0,INDEX(DZ$7:DZ$106,$AD12),1),IF($AE12&gt;0,INDEX(DZ$7:DZ$106,$AE12),1),IF($AF12&gt;0,INDEX(DZ$7:DZ$106,$AF12),1),IF($AG12&gt;0,INDEX(DZ$7:DZ$106,$AG12),1),IF($AH12&gt;0,INDEX(DZ$7:DZ$106,$AH12),1),IF($AI12&gt;0,INDEX(DZ$7:DZ$106,$AI12),1),IF($AJ12&gt;0,INDEX(DZ$7:DZ$106,$AJ12),1))))</ns0:f>
        <ns0:v>1</ns0:v>
      </ns0:c>
      <ns0:c r="EB12" t="n">
        <ns0:f>IF($A12="",1,IF(EA12=1,1,--AND(IF($AC12&gt;0,INDEX(EA$7:EA$106,$AC12),1),IF($AD12&gt;0,INDEX(EA$7:EA$106,$AD12),1),IF($AE12&gt;0,INDEX(EA$7:EA$106,$AE12),1),IF($AF12&gt;0,INDEX(EA$7:EA$106,$AF12),1),IF($AG12&gt;0,INDEX(EA$7:EA$106,$AG12),1),IF($AH12&gt;0,INDEX(EA$7:EA$106,$AH12),1),IF($AI12&gt;0,INDEX(EA$7:EA$106,$AI12),1),IF($AJ12&gt;0,INDEX(EA$7:EA$106,$AJ12),1))))</ns0:f>
        <ns0:v>1</ns0:v>
      </ns0:c>
      <ns0:c r="EC12" t="n">
        <ns0:f>IF($A12="",1,IF(EB12=1,1,--AND(IF($AC12&gt;0,INDEX(EB$7:EB$106,$AC12),1),IF($AD12&gt;0,INDEX(EB$7:EB$106,$AD12),1),IF($AE12&gt;0,INDEX(EB$7:EB$106,$AE12),1),IF($AF12&gt;0,INDEX(EB$7:EB$106,$AF12),1),IF($AG12&gt;0,INDEX(EB$7:EB$106,$AG12),1),IF($AH12&gt;0,INDEX(EB$7:EB$106,$AH12),1),IF($AI12&gt;0,INDEX(EB$7:EB$106,$AI12),1),IF($AJ12&gt;0,INDEX(EB$7:EB$106,$AJ12),1))))</ns0:f>
        <ns0:v>1</ns0:v>
      </ns0:c>
      <ns0:c r="ED12" t="n">
        <ns0:f>IF($A12="",1,IF(EC12=1,1,--AND(IF($AC12&gt;0,INDEX(EC$7:EC$106,$AC12),1),IF($AD12&gt;0,INDEX(EC$7:EC$106,$AD12),1),IF($AE12&gt;0,INDEX(EC$7:EC$106,$AE12),1),IF($AF12&gt;0,INDEX(EC$7:EC$106,$AF12),1),IF($AG12&gt;0,INDEX(EC$7:EC$106,$AG12),1),IF($AH12&gt;0,INDEX(EC$7:EC$106,$AH12),1),IF($AI12&gt;0,INDEX(EC$7:EC$106,$AI12),1),IF($AJ12&gt;0,INDEX(EC$7:EC$106,$AJ12),1))))</ns0:f>
        <ns0:v>1</ns0:v>
      </ns0:c>
      <ns0:c r="EE12" t="n">
        <ns0:f>IF($A12="",1,IF(ED12=1,1,--AND(IF($AC12&gt;0,INDEX(ED$7:ED$106,$AC12),1),IF($AD12&gt;0,INDEX(ED$7:ED$106,$AD12),1),IF($AE12&gt;0,INDEX(ED$7:ED$106,$AE12),1),IF($AF12&gt;0,INDEX(ED$7:ED$106,$AF12),1),IF($AG12&gt;0,INDEX(ED$7:ED$106,$AG12),1),IF($AH12&gt;0,INDEX(ED$7:ED$106,$AH12),1),IF($AI12&gt;0,INDEX(ED$7:ED$106,$AI12),1),IF($AJ12&gt;0,INDEX(ED$7:ED$106,$AJ12),1))))</ns0:f>
        <ns0:v>1</ns0:v>
      </ns0:c>
      <ns0:c r="EF12" t="n">
        <ns0:f>IF($A12="",1,IF(EE12=1,1,--AND(IF($AC12&gt;0,INDEX(EE$7:EE$106,$AC12),1),IF($AD12&gt;0,INDEX(EE$7:EE$106,$AD12),1),IF($AE12&gt;0,INDEX(EE$7:EE$106,$AE12),1),IF($AF12&gt;0,INDEX(EE$7:EE$106,$AF12),1),IF($AG12&gt;0,INDEX(EE$7:EE$106,$AG12),1),IF($AH12&gt;0,INDEX(EE$7:EE$106,$AH12),1),IF($AI12&gt;0,INDEX(EE$7:EE$106,$AI12),1),IF($AJ12&gt;0,INDEX(EE$7:EE$106,$AJ12),1))))</ns0:f>
        <ns0:v>1</ns0:v>
      </ns0:c>
      <ns0:c r="EG12" t="n">
        <ns0:f>IF($A12="",1,IF(EF12=1,1,--AND(IF($AC12&gt;0,INDEX(EF$7:EF$106,$AC12),1),IF($AD12&gt;0,INDEX(EF$7:EF$106,$AD12),1),IF($AE12&gt;0,INDEX(EF$7:EF$106,$AE12),1),IF($AF12&gt;0,INDEX(EF$7:EF$106,$AF12),1),IF($AG12&gt;0,INDEX(EF$7:EF$106,$AG12),1),IF($AH12&gt;0,INDEX(EF$7:EF$106,$AH12),1),IF($AI12&gt;0,INDEX(EF$7:EF$106,$AI12),1),IF($AJ12&gt;0,INDEX(EF$7:EF$106,$AJ12),1))))</ns0:f>
        <ns0:v>1</ns0:v>
      </ns0:c>
      <ns0:c r="EH12" t="n">
        <ns0:f>IF($A12="",1,IF(EG12=1,1,--AND(IF($AC12&gt;0,INDEX(EG$7:EG$106,$AC12),1),IF($AD12&gt;0,INDEX(EG$7:EG$106,$AD12),1),IF($AE12&gt;0,INDEX(EG$7:EG$106,$AE12),1),IF($AF12&gt;0,INDEX(EG$7:EG$106,$AF12),1),IF($AG12&gt;0,INDEX(EG$7:EG$106,$AG12),1),IF($AH12&gt;0,INDEX(EG$7:EG$106,$AH12),1),IF($AI12&gt;0,INDEX(EG$7:EG$106,$AI12),1),IF($AJ12&gt;0,INDEX(EG$7:EG$106,$AJ12),1))))</ns0:f>
        <ns0:v>1</ns0:v>
      </ns0:c>
      <ns0:c r="EI12" t="n">
        <ns0:f>IF($A12="",1,IF(EH12=1,1,--AND(IF($AC12&gt;0,INDEX(EH$7:EH$106,$AC12),1),IF($AD12&gt;0,INDEX(EH$7:EH$106,$AD12),1),IF($AE12&gt;0,INDEX(EH$7:EH$106,$AE12),1),IF($AF12&gt;0,INDEX(EH$7:EH$106,$AF12),1),IF($AG12&gt;0,INDEX(EH$7:EH$106,$AG12),1),IF($AH12&gt;0,INDEX(EH$7:EH$106,$AH12),1),IF($AI12&gt;0,INDEX(EH$7:EH$106,$AI12),1),IF($AJ12&gt;0,INDEX(EH$7:EH$106,$AJ12),1))))</ns0:f>
        <ns0:v>1</ns0:v>
      </ns0:c>
      <ns0:c r="EJ12" t="n">
        <ns0:f>IF($A12="",1,IF(EI12=1,1,--AND(IF($AC12&gt;0,INDEX(EI$7:EI$106,$AC12),1),IF($AD12&gt;0,INDEX(EI$7:EI$106,$AD12),1),IF($AE12&gt;0,INDEX(EI$7:EI$106,$AE12),1),IF($AF12&gt;0,INDEX(EI$7:EI$106,$AF12),1),IF($AG12&gt;0,INDEX(EI$7:EI$106,$AG12),1),IF($AH12&gt;0,INDEX(EI$7:EI$106,$AH12),1),IF($AI12&gt;0,INDEX(EI$7:EI$106,$AI12),1),IF($AJ12&gt;0,INDEX(EI$7:EI$106,$AJ12),1))))</ns0:f>
        <ns0:v>1</ns0:v>
      </ns0:c>
      <ns0:c r="EK12" t="n">
        <ns0:f>IF($A12="",1,IF(EJ12=1,1,--AND(IF($AC12&gt;0,INDEX(EJ$7:EJ$106,$AC12),1),IF($AD12&gt;0,INDEX(EJ$7:EJ$106,$AD12),1),IF($AE12&gt;0,INDEX(EJ$7:EJ$106,$AE12),1),IF($AF12&gt;0,INDEX(EJ$7:EJ$106,$AF12),1),IF($AG12&gt;0,INDEX(EJ$7:EJ$106,$AG12),1),IF($AH12&gt;0,INDEX(EJ$7:EJ$106,$AH12),1),IF($AI12&gt;0,INDEX(EJ$7:EJ$106,$AI12),1),IF($AJ12&gt;0,INDEX(EJ$7:EJ$106,$AJ12),1))))</ns0:f>
        <ns0:v>1</ns0:v>
      </ns0:c>
      <ns0:c r="EL12" t="n">
        <ns0:f>IF($A12="",1,IF(EK12=1,1,--AND(IF($AC12&gt;0,INDEX(EK$7:EK$106,$AC12),1),IF($AD12&gt;0,INDEX(EK$7:EK$106,$AD12),1),IF($AE12&gt;0,INDEX(EK$7:EK$106,$AE12),1),IF($AF12&gt;0,INDEX(EK$7:EK$106,$AF12),1),IF($AG12&gt;0,INDEX(EK$7:EK$106,$AG12),1),IF($AH12&gt;0,INDEX(EK$7:EK$106,$AH12),1),IF($AI12&gt;0,INDEX(EK$7:EK$106,$AI12),1),IF($AJ12&gt;0,INDEX(EK$7:EK$106,$AJ12),1))))</ns0:f>
        <ns0:v>1</ns0:v>
      </ns0:c>
      <ns0:c r="EM12" t="n">
        <ns0:f>IF($A12="",1,IF(EL12=1,1,--AND(IF($AC12&gt;0,INDEX(EL$7:EL$106,$AC12),1),IF($AD12&gt;0,INDEX(EL$7:EL$106,$AD12),1),IF($AE12&gt;0,INDEX(EL$7:EL$106,$AE12),1),IF($AF12&gt;0,INDEX(EL$7:EL$106,$AF12),1),IF($AG12&gt;0,INDEX(EL$7:EL$106,$AG12),1),IF($AH12&gt;0,INDEX(EL$7:EL$106,$AH12),1),IF($AI12&gt;0,INDEX(EL$7:EL$106,$AI12),1),IF($AJ12&gt;0,INDEX(EL$7:EL$106,$AJ12),1))))</ns0:f>
        <ns0:v>1</ns0:v>
      </ns0:c>
      <ns0:c r="EN12" t="n">
        <ns0:f>IF($A12="",1,IF(EM12=1,1,--AND(IF($AC12&gt;0,INDEX(EM$7:EM$106,$AC12),1),IF($AD12&gt;0,INDEX(EM$7:EM$106,$AD12),1),IF($AE12&gt;0,INDEX(EM$7:EM$106,$AE12),1),IF($AF12&gt;0,INDEX(EM$7:EM$106,$AF12),1),IF($AG12&gt;0,INDEX(EM$7:EM$106,$AG12),1),IF($AH12&gt;0,INDEX(EM$7:EM$106,$AH12),1),IF($AI12&gt;0,INDEX(EM$7:EM$106,$AI12),1),IF($AJ12&gt;0,INDEX(EM$7:EM$106,$AJ12),1))))</ns0:f>
        <ns0:v>1</ns0:v>
      </ns0:c>
      <ns0:c r="EO12" t="n">
        <ns0:f>IF($A12="",1,IF(EN12=1,1,--AND(IF($AC12&gt;0,INDEX(EN$7:EN$106,$AC12),1),IF($AD12&gt;0,INDEX(EN$7:EN$106,$AD12),1),IF($AE12&gt;0,INDEX(EN$7:EN$106,$AE12),1),IF($AF12&gt;0,INDEX(EN$7:EN$106,$AF12),1),IF($AG12&gt;0,INDEX(EN$7:EN$106,$AG12),1),IF($AH12&gt;0,INDEX(EN$7:EN$106,$AH12),1),IF($AI12&gt;0,INDEX(EN$7:EN$106,$AI12),1),IF($AJ12&gt;0,INDEX(EN$7:EN$106,$AJ12),1))))</ns0:f>
        <ns0:v>1</ns0:v>
      </ns0:c>
      <ns0:c r="EP12" t="n">
        <ns0:f>IF($A12="",1,IF(EO12=1,1,--AND(IF($AC12&gt;0,INDEX(EO$7:EO$106,$AC12),1),IF($AD12&gt;0,INDEX(EO$7:EO$106,$AD12),1),IF($AE12&gt;0,INDEX(EO$7:EO$106,$AE12),1),IF($AF12&gt;0,INDEX(EO$7:EO$106,$AF12),1),IF($AG12&gt;0,INDEX(EO$7:EO$106,$AG12),1),IF($AH12&gt;0,INDEX(EO$7:EO$106,$AH12),1),IF($AI12&gt;0,INDEX(EO$7:EO$106,$AI12),1),IF($AJ12&gt;0,INDEX(EO$7:EO$106,$AJ12),1))))</ns0:f>
        <ns0:v>1</ns0:v>
      </ns0:c>
      <ns0:c r="EQ12" t="n">
        <ns0:f>IF(OR(A12="",NOT(ISNUMBER(G12))),0,G12*N12)</ns0:f>
        <ns0:v>0</ns0:v>
      </ns0:c>
    </ns0:row>
    <ns0:row r="13" ht="62" customHeight="1">
      <ns0:c r="A13" s="48" t="str">
        <ns0:v>T06</ns0:v>
      </ns0:c>
      <ns0:c r="B13" s="48" t="str">
        <ns0:v>Data &amp; storage</ns0:v>
      </ns0:c>
      <ns0:c r="C13" s="48" t="str">
        <ns0:v>Connect Headless CMS content models and staging layout schemas</ns0:v>
      </ns0:c>
      <ns0:c r="D13" s="48" t="str">
        <ns0:v>Define staged page models, catalog objects, layouts and assets.</ns0:v>
      </ns0:c>
      <ns0:c r="E13" s="49" t="n">
        <ns0:v>46279</ns0:v>
      </ns0:c>
      <ns0:c r="F13" s="49" t="n">
        <ns0:v>46280</ns0:v>
      </ns0:c>
      <ns0:c r="G13" s="13" t="n">
        <ns0:f>IF(A13="","",IF(OR(NOT(ISNUMBER(E13)),NOT(ISNUMBER(F13)),F13&lt;E13),"",IF(J13="Yes",0,F13-E13+1)))</ns0:f>
        <ns0:v>2</ns0:v>
      </ns0:c>
      <ns0:c r="H13" s="48" t="str">
        <ns0:v>T04</ns0:v>
      </ns0:c>
      <ns0:c r="I13" s="48" t="str">
        <ns0:v>FS</ns0:v>
      </ns0:c>
      <ns0:c r="J13" s="48" t="str">
        <ns0:v>No</ns0:v>
      </ns0:c>
      <ns0:c r="K13" s="48" t="str">
        <ns0:v>Headless CMS &amp; Web Store (CMS)</ns0:v>
      </ns0:c>
      <ns0:c r="L13" s="48" t="str"/>
      <ns0:c r="M13" s="50" t="str">
        <ns0:f>IF(A13="","",IF(N13=1,"Completed",IF(N13&gt;0,"In Progress","Not Started")))</ns0:f>
        <ns0:v>Not Started</ns0:v>
      </ns0:c>
      <ns0:c r="N13" s="51" t="n">
        <ns0:v>0</ns0:v>
      </ns0:c>
      <ns0:c r="O13" s="13" t="str">
        <ns0:f>IF(A13="","",IF(R13&lt;&gt;"","[CONFLICT] "&amp;R13,IF(S13&lt;&gt;"","[CONFLICT] "&amp;S13,IF(OR(NOT(ISNUMBER(N13)),N13&lt;0,N13&gt;1),"[CONFLICT] Invalid progress",IF(AK13&gt;0,"[DEPENDENCY ISSUE] Missing ID / &gt;8 links",IF(AM13&gt;0,"[DEPENDENCY ISSUE] Cycle or blocked by cycle",IF(AND(H13&lt;&gt;"",ISNA(MATCH(I13,{"FS","SS","FF","SF"},0))),"[DEPENDENCY ISSUE] Invalid type",IF(AL13&gt;0,"[DEPENDENCY ISSUE] Timing conflict",IF(OR(E13&lt;ProjectStart,F13&gt;ProjectEnd),"[OUTSIDE WINDOW]",IF(AND(N13&lt;1,F13&lt;AsOfDate),"Overdue",IF(AND(M13&lt;&gt;Q13,M13&lt;&gt;""),"[CONFLICT] Status / progress","On track")))))))))))</ns0:f>
        <ns0:v>On track</ns0:v>
      </ns0:c>
      <ns0:c r="P13" s="52" t="str">
        <ns0:v>Source: Project Plan Essentials (2).md §1, §2, §4. Original 2026-09-14 to 2026-09-16, 3d; original progress 100% [INFERRED]. [INFERRED] Rescheduled to fit 34d with FS. Duration reduced to 2d. Original resource/tools: Headless CMS &amp; Web Store (CMS).</ns0:v>
      </ns0:c>
      <ns0:c r="Q13" t="str">
        <ns0:f>IF(A13="","",IF(OR(M13="On Hold",M13="Delayed"),M13,IF(N13=1,"Completed",IF(N13&gt;0,"In Progress","Not Started"))))</ns0:f>
        <ns0:v>Not Started</ns0:v>
      </ns0:c>
      <ns0:c r="R13" t="str">
        <ns0:f>IF(A13="","",IF(COUNTIFS(Tasks[Task ID],A13)&lt;&gt;1,"Duplicate ID",""))</ns0:f>
      </ns0:c>
      <ns0:c r="S13" t="str">
        <ns0:f>IF(A13="","",IF(OR(NOT(ISNUMBER(E13)),NOT(ISNUMBER(F13))),"Invalid / missing date",IF(OR(E13&lt;&gt;INT(E13),F13&lt;&gt;INT(F13),E13&lt;1,F13&gt;2958465),"Invalid date",IF(F13&lt;E13,"End before start",IF(AND(J13="Yes",E13&lt;&gt;F13),"Milestone needs one date","")))))</ns0:f>
      </ns0:c>
      <ns0:c r="T13" t="n">
        <ns0:f>IF(H13="",0,LEN(H13)-LEN(SUBSTITUTE(H13,",",""))+1)</ns0:f>
        <ns0:v>1</ns0:v>
      </ns0:c>
      <ns0:c r="U13" t="str">
        <ns0:f>TRIM(MID(SUBSTITUTE($H13,",",REPT(" ",100)),1,100))</ns0:f>
        <ns0:v>T04</ns0:v>
      </ns0:c>
      <ns0:c r="V13" t="str">
        <ns0:f>TRIM(MID(SUBSTITUTE($H13,",",REPT(" ",100)),101,100))</ns0:f>
      </ns0:c>
      <ns0:c r="W13" t="str">
        <ns0:f>TRIM(MID(SUBSTITUTE($H13,",",REPT(" ",100)),201,100))</ns0:f>
      </ns0:c>
      <ns0:c r="X13" t="str">
        <ns0:f>TRIM(MID(SUBSTITUTE($H13,",",REPT(" ",100)),301,100))</ns0:f>
      </ns0:c>
      <ns0:c r="Y13" t="str">
        <ns0:f>TRIM(MID(SUBSTITUTE($H13,",",REPT(" ",100)),401,100))</ns0:f>
      </ns0:c>
      <ns0:c r="Z13" t="str">
        <ns0:f>TRIM(MID(SUBSTITUTE($H13,",",REPT(" ",100)),501,100))</ns0:f>
      </ns0:c>
      <ns0:c r="AA13" t="str">
        <ns0:f>TRIM(MID(SUBSTITUTE($H13,",",REPT(" ",100)),601,100))</ns0:f>
      </ns0:c>
      <ns0:c r="AB13" t="str">
        <ns0:f>TRIM(MID(SUBSTITUTE($H13,",",REPT(" ",100)),701,100))</ns0:f>
      </ns0:c>
      <ns0:c r="AC13" t="n">
        <ns0:f>IF(U13="",0,IF(COUNTIFS(Tasks[Task ID],U13)=1,MATCH(U13,Tasks[Task ID],0),-1))</ns0:f>
        <ns0:v>4</ns0:v>
      </ns0:c>
      <ns0:c r="AD13" t="n">
        <ns0:f>IF(V13="",0,IF(COUNTIFS(Tasks[Task ID],V13)=1,MATCH(V13,Tasks[Task ID],0),-1))</ns0:f>
        <ns0:v>0</ns0:v>
      </ns0:c>
      <ns0:c r="AE13" t="n">
        <ns0:f>IF(W13="",0,IF(COUNTIFS(Tasks[Task ID],W13)=1,MATCH(W13,Tasks[Task ID],0),-1))</ns0:f>
        <ns0:v>0</ns0:v>
      </ns0:c>
      <ns0:c r="AF13" t="n">
        <ns0:f>IF(X13="",0,IF(COUNTIFS(Tasks[Task ID],X13)=1,MATCH(X13,Tasks[Task ID],0),-1))</ns0:f>
        <ns0:v>0</ns0:v>
      </ns0:c>
      <ns0:c r="AG13" t="n">
        <ns0:f>IF(Y13="",0,IF(COUNTIFS(Tasks[Task ID],Y13)=1,MATCH(Y13,Tasks[Task ID],0),-1))</ns0:f>
        <ns0:v>0</ns0:v>
      </ns0:c>
      <ns0:c r="AH13" t="n">
        <ns0:f>IF(Z13="",0,IF(COUNTIFS(Tasks[Task ID],Z13)=1,MATCH(Z13,Tasks[Task ID],0),-1))</ns0:f>
        <ns0:v>0</ns0:v>
      </ns0:c>
      <ns0:c r="AI13" t="n">
        <ns0:f>IF(AA13="",0,IF(COUNTIFS(Tasks[Task ID],AA13)=1,MATCH(AA13,Tasks[Task ID],0),-1))</ns0:f>
        <ns0:v>0</ns0:v>
      </ns0:c>
      <ns0:c r="AJ13" t="n">
        <ns0:f>IF(AB13="",0,IF(COUNTIFS(Tasks[Task ID],AB13)=1,MATCH(AB13,Tasks[Task ID],0),-1))</ns0:f>
        <ns0:v>0</ns0:v>
      </ns0:c>
      <ns0:c r="AK13" t="n">
        <ns0:f>COUNTIFS(AC13:AJ13,-1)+IF(T13&gt;8,1,0)</ns0:f>
        <ns0:v>0</ns0:v>
      </ns0:c>
      <ns0:c r="AL13" t="n">
        <ns0:f>IF(OR(A13="",S13&lt;&gt;""),0,SUM(IF(AC13&gt;0,IF($I13="FS",--($E13&lt;INDEX(Tasks[End Date],AC13)+IF(INDEX(Tasks[Milestone],AC13)="Yes",0,1)),IF($I13="SS",--($E13&lt;INDEX(Tasks[Start Date],AC13)),IF($I13="FF",--($F13&lt;INDEX(Tasks[End Date],AC13)),IF($I13="SF",--($F13&lt;INDEX(Tasks[Start Date],AC13)),0)))),0),IF(AD13&gt;0,IF($I13="FS",--($E13&lt;INDEX(Tasks[End Date],AD13)+IF(INDEX(Tasks[Milestone],AD13)="Yes",0,1)),IF($I13="SS",--($E13&lt;INDEX(Tasks[Start Date],AD13)),IF($I13="FF",--($F13&lt;INDEX(Tasks[End Date],AD13)),IF($I13="SF",--($F13&lt;INDEX(Tasks[Start Date],AD13)),0)))),0),IF(AE13&gt;0,IF($I13="FS",--($E13&lt;INDEX(Tasks[End Date],AE13)+IF(INDEX(Tasks[Milestone],AE13)="Yes",0,1)),IF($I13="SS",--($E13&lt;INDEX(Tasks[Start Date],AE13)),IF($I13="FF",--($F13&lt;INDEX(Tasks[End Date],AE13)),IF($I13="SF",--($F13&lt;INDEX(Tasks[Start Date],AE13)),0)))),0),IF(AF13&gt;0,IF($I13="FS",--($E13&lt;INDEX(Tasks[End Date],AF13)+IF(INDEX(Tasks[Milestone],AF13)="Yes",0,1)),IF($I13="SS",--($E13&lt;INDEX(Tasks[Start Date],AF13)),IF($I13="FF",--($F13&lt;INDEX(Tasks[End Date],AF13)),IF($I13="SF",--($F13&lt;INDEX(Tasks[Start Date],AF13)),0)))),0),IF(AG13&gt;0,IF($I13="FS",--($E13&lt;INDEX(Tasks[End Date],AG13)+IF(INDEX(Tasks[Milestone],AG13)="Yes",0,1)),IF($I13="SS",--($E13&lt;INDEX(Tasks[Start Date],AG13)),IF($I13="FF",--($F13&lt;INDEX(Tasks[End Date],AG13)),IF($I13="SF",--($F13&lt;INDEX(Tasks[Start Date],AG13)),0)))),0),IF(AH13&gt;0,IF($I13="FS",--($E13&lt;INDEX(Tasks[End Date],AH13)+IF(INDEX(Tasks[Milestone],AH13)="Yes",0,1)),IF($I13="SS",--($E13&lt;INDEX(Tasks[Start Date],AH13)),IF($I13="FF",--($F13&lt;INDEX(Tasks[End Date],AH13)),IF($I13="SF",--($F13&lt;INDEX(Tasks[Start Date],AH13)),0)))),0),IF(AI13&gt;0,IF($I13="FS",--($E13&lt;INDEX(Tasks[End Date],AI13)+IF(INDEX(Tasks[Milestone],AI13)="Yes",0,1)),IF($I13="SS",--($E13&lt;INDEX(Tasks[Start Date],AI13)),IF($I13="FF",--($F13&lt;INDEX(Tasks[End Date],AI13)),IF($I13="SF",--($F13&lt;INDEX(Tasks[Start Date],AI13)),0)))),0),IF(AJ13&gt;0,IF($I13="FS",--($E13&lt;INDEX(Tasks[End Date],AJ13)+IF(INDEX(Tasks[Milestone],AJ13)="Yes",0,1)),IF($I13="SS",--($E13&lt;INDEX(Tasks[Start Date],AJ13)),IF($I13="FF",--($F13&lt;INDEX(Tasks[End Date],AJ13)),IF($I13="SF",--($F13&lt;INDEX(Tasks[Start Date],AJ13)),0)))),0)))</ns0:f>
        <ns0:v>0</ns0:v>
      </ns0:c>
      <ns0:c r="AM13" t="n">
        <ns0:f>IF(AND(A13&lt;&gt;"",AK13=0,EP13=0),1,0)</ns0:f>
        <ns0:v>0</ns0:v>
      </ns0:c>
      <ns0:c r="AN13" t="str">
        <ns0:f>IF(OR(A13="",B13=""),"",IF(COUNTIFS($B$7:B13,B13)=1,MAX($AN$6:AN12)+1,""))</ns0:f>
      </ns0:c>
      <ns0:c r="AO13" t="n">
        <ns0:f>IF(AND(A13&lt;&gt;"",J13="No",N13&lt;1,E13&gt;=AsOfDate),E13+ROW()/10000,1E+9)</ns0:f>
        <ns0:v>46279.0013</ns0:v>
      </ns0:c>
      <ns0:c r="AP13" t="n">
        <ns0:f>IF(AND(A13&lt;&gt;"",J13="Yes",N13&lt;1,E13&gt;=AsOfDate),E13+ROW()/10000,1E+9)</ns0:f>
        <ns0:v>1000000000</ns0:v>
      </ns0:c>
      <ns0:c r="AQ13" t="n">
        <ns0:f>IF(AND(A13&lt;&gt;"",J13="No",N13&lt;1,F13&gt;=AsOfDate,F13&lt;=AsOfDate+7),F13+ROW()/10000,1E+9)</ns0:f>
        <ns0:v>46280.0013</ns0:v>
      </ns0:c>
      <ns0:c r="AR13" t="n">
        <ns0:f>IF(AND(A13&lt;&gt;"",OR(O13&lt;&gt;"On track",Q13="Delayed")),ROW(),1E+9)</ns0:f>
        <ns0:v>1000000000</ns0:v>
      </ns0:c>
      <ns0:c r="AS13" t="str">
        <ns0:f>IF(A13="","",";"&amp;K13&amp;";")</ns0:f>
        <ns0:v>;Headless CMS &amp; Web Store (CMS);</ns0:v>
      </ns0:c>
      <ns0:c r="AT13" t="n">
        <ns0:f>IF(A13="",1,--(T13=0))</ns0:f>
        <ns0:v>0</ns0:v>
      </ns0:c>
      <ns0:c r="AU13" t="n">
        <ns0:f>IF($A13="",1,IF(AT13=1,1,--AND(IF($AC13&gt;0,INDEX(AT$7:AT$106,$AC13),1),IF($AD13&gt;0,INDEX(AT$7:AT$106,$AD13),1),IF($AE13&gt;0,INDEX(AT$7:AT$106,$AE13),1),IF($AF13&gt;0,INDEX(AT$7:AT$106,$AF13),1),IF($AG13&gt;0,INDEX(AT$7:AT$106,$AG13),1),IF($AH13&gt;0,INDEX(AT$7:AT$106,$AH13),1),IF($AI13&gt;0,INDEX(AT$7:AT$106,$AI13),1),IF($AJ13&gt;0,INDEX(AT$7:AT$106,$AJ13),1))))</ns0:f>
        <ns0:v>0</ns0:v>
      </ns0:c>
      <ns0:c r="AV13" t="n">
        <ns0:f>IF($A13="",1,IF(AU13=1,1,--AND(IF($AC13&gt;0,INDEX(AU$7:AU$106,$AC13),1),IF($AD13&gt;0,INDEX(AU$7:AU$106,$AD13),1),IF($AE13&gt;0,INDEX(AU$7:AU$106,$AE13),1),IF($AF13&gt;0,INDEX(AU$7:AU$106,$AF13),1),IF($AG13&gt;0,INDEX(AU$7:AU$106,$AG13),1),IF($AH13&gt;0,INDEX(AU$7:AU$106,$AH13),1),IF($AI13&gt;0,INDEX(AU$7:AU$106,$AI13),1),IF($AJ13&gt;0,INDEX(AU$7:AU$106,$AJ13),1))))</ns0:f>
        <ns0:v>1</ns0:v>
      </ns0:c>
      <ns0:c r="AW13" t="n">
        <ns0:f>IF($A13="",1,IF(AV13=1,1,--AND(IF($AC13&gt;0,INDEX(AV$7:AV$106,$AC13),1),IF($AD13&gt;0,INDEX(AV$7:AV$106,$AD13),1),IF($AE13&gt;0,INDEX(AV$7:AV$106,$AE13),1),IF($AF13&gt;0,INDEX(AV$7:AV$106,$AF13),1),IF($AG13&gt;0,INDEX(AV$7:AV$106,$AG13),1),IF($AH13&gt;0,INDEX(AV$7:AV$106,$AH13),1),IF($AI13&gt;0,INDEX(AV$7:AV$106,$AI13),1),IF($AJ13&gt;0,INDEX(AV$7:AV$106,$AJ13),1))))</ns0:f>
        <ns0:v>1</ns0:v>
      </ns0:c>
      <ns0:c r="AX13" t="n">
        <ns0:f>IF($A13="",1,IF(AW13=1,1,--AND(IF($AC13&gt;0,INDEX(AW$7:AW$106,$AC13),1),IF($AD13&gt;0,INDEX(AW$7:AW$106,$AD13),1),IF($AE13&gt;0,INDEX(AW$7:AW$106,$AE13),1),IF($AF13&gt;0,INDEX(AW$7:AW$106,$AF13),1),IF($AG13&gt;0,INDEX(AW$7:AW$106,$AG13),1),IF($AH13&gt;0,INDEX(AW$7:AW$106,$AH13),1),IF($AI13&gt;0,INDEX(AW$7:AW$106,$AI13),1),IF($AJ13&gt;0,INDEX(AW$7:AW$106,$AJ13),1))))</ns0:f>
        <ns0:v>1</ns0:v>
      </ns0:c>
      <ns0:c r="AY13" t="n">
        <ns0:f>IF($A13="",1,IF(AX13=1,1,--AND(IF($AC13&gt;0,INDEX(AX$7:AX$106,$AC13),1),IF($AD13&gt;0,INDEX(AX$7:AX$106,$AD13),1),IF($AE13&gt;0,INDEX(AX$7:AX$106,$AE13),1),IF($AF13&gt;0,INDEX(AX$7:AX$106,$AF13),1),IF($AG13&gt;0,INDEX(AX$7:AX$106,$AG13),1),IF($AH13&gt;0,INDEX(AX$7:AX$106,$AH13),1),IF($AI13&gt;0,INDEX(AX$7:AX$106,$AI13),1),IF($AJ13&gt;0,INDEX(AX$7:AX$106,$AJ13),1))))</ns0:f>
        <ns0:v>1</ns0:v>
      </ns0:c>
      <ns0:c r="AZ13" t="n">
        <ns0:f>IF($A13="",1,IF(AY13=1,1,--AND(IF($AC13&gt;0,INDEX(AY$7:AY$106,$AC13),1),IF($AD13&gt;0,INDEX(AY$7:AY$106,$AD13),1),IF($AE13&gt;0,INDEX(AY$7:AY$106,$AE13),1),IF($AF13&gt;0,INDEX(AY$7:AY$106,$AF13),1),IF($AG13&gt;0,INDEX(AY$7:AY$106,$AG13),1),IF($AH13&gt;0,INDEX(AY$7:AY$106,$AH13),1),IF($AI13&gt;0,INDEX(AY$7:AY$106,$AI13),1),IF($AJ13&gt;0,INDEX(AY$7:AY$106,$AJ13),1))))</ns0:f>
        <ns0:v>1</ns0:v>
      </ns0:c>
      <ns0:c r="BA13" t="n">
        <ns0:f>IF($A13="",1,IF(AZ13=1,1,--AND(IF($AC13&gt;0,INDEX(AZ$7:AZ$106,$AC13),1),IF($AD13&gt;0,INDEX(AZ$7:AZ$106,$AD13),1),IF($AE13&gt;0,INDEX(AZ$7:AZ$106,$AE13),1),IF($AF13&gt;0,INDEX(AZ$7:AZ$106,$AF13),1),IF($AG13&gt;0,INDEX(AZ$7:AZ$106,$AG13),1),IF($AH13&gt;0,INDEX(AZ$7:AZ$106,$AH13),1),IF($AI13&gt;0,INDEX(AZ$7:AZ$106,$AI13),1),IF($AJ13&gt;0,INDEX(AZ$7:AZ$106,$AJ13),1))))</ns0:f>
        <ns0:v>1</ns0:v>
      </ns0:c>
      <ns0:c r="BB13" t="n">
        <ns0:f>IF($A13="",1,IF(BA13=1,1,--AND(IF($AC13&gt;0,INDEX(BA$7:BA$106,$AC13),1),IF($AD13&gt;0,INDEX(BA$7:BA$106,$AD13),1),IF($AE13&gt;0,INDEX(BA$7:BA$106,$AE13),1),IF($AF13&gt;0,INDEX(BA$7:BA$106,$AF13),1),IF($AG13&gt;0,INDEX(BA$7:BA$106,$AG13),1),IF($AH13&gt;0,INDEX(BA$7:BA$106,$AH13),1),IF($AI13&gt;0,INDEX(BA$7:BA$106,$AI13),1),IF($AJ13&gt;0,INDEX(BA$7:BA$106,$AJ13),1))))</ns0:f>
        <ns0:v>1</ns0:v>
      </ns0:c>
      <ns0:c r="BC13" t="n">
        <ns0:f>IF($A13="",1,IF(BB13=1,1,--AND(IF($AC13&gt;0,INDEX(BB$7:BB$106,$AC13),1),IF($AD13&gt;0,INDEX(BB$7:BB$106,$AD13),1),IF($AE13&gt;0,INDEX(BB$7:BB$106,$AE13),1),IF($AF13&gt;0,INDEX(BB$7:BB$106,$AF13),1),IF($AG13&gt;0,INDEX(BB$7:BB$106,$AG13),1),IF($AH13&gt;0,INDEX(BB$7:BB$106,$AH13),1),IF($AI13&gt;0,INDEX(BB$7:BB$106,$AI13),1),IF($AJ13&gt;0,INDEX(BB$7:BB$106,$AJ13),1))))</ns0:f>
        <ns0:v>1</ns0:v>
      </ns0:c>
      <ns0:c r="BD13" t="n">
        <ns0:f>IF($A13="",1,IF(BC13=1,1,--AND(IF($AC13&gt;0,INDEX(BC$7:BC$106,$AC13),1),IF($AD13&gt;0,INDEX(BC$7:BC$106,$AD13),1),IF($AE13&gt;0,INDEX(BC$7:BC$106,$AE13),1),IF($AF13&gt;0,INDEX(BC$7:BC$106,$AF13),1),IF($AG13&gt;0,INDEX(BC$7:BC$106,$AG13),1),IF($AH13&gt;0,INDEX(BC$7:BC$106,$AH13),1),IF($AI13&gt;0,INDEX(BC$7:BC$106,$AI13),1),IF($AJ13&gt;0,INDEX(BC$7:BC$106,$AJ13),1))))</ns0:f>
        <ns0:v>1</ns0:v>
      </ns0:c>
      <ns0:c r="BE13" t="n">
        <ns0:f>IF($A13="",1,IF(BD13=1,1,--AND(IF($AC13&gt;0,INDEX(BD$7:BD$106,$AC13),1),IF($AD13&gt;0,INDEX(BD$7:BD$106,$AD13),1),IF($AE13&gt;0,INDEX(BD$7:BD$106,$AE13),1),IF($AF13&gt;0,INDEX(BD$7:BD$106,$AF13),1),IF($AG13&gt;0,INDEX(BD$7:BD$106,$AG13),1),IF($AH13&gt;0,INDEX(BD$7:BD$106,$AH13),1),IF($AI13&gt;0,INDEX(BD$7:BD$106,$AI13),1),IF($AJ13&gt;0,INDEX(BD$7:BD$106,$AJ13),1))))</ns0:f>
        <ns0:v>1</ns0:v>
      </ns0:c>
      <ns0:c r="BF13" t="n">
        <ns0:f>IF($A13="",1,IF(BE13=1,1,--AND(IF($AC13&gt;0,INDEX(BE$7:BE$106,$AC13),1),IF($AD13&gt;0,INDEX(BE$7:BE$106,$AD13),1),IF($AE13&gt;0,INDEX(BE$7:BE$106,$AE13),1),IF($AF13&gt;0,INDEX(BE$7:BE$106,$AF13),1),IF($AG13&gt;0,INDEX(BE$7:BE$106,$AG13),1),IF($AH13&gt;0,INDEX(BE$7:BE$106,$AH13),1),IF($AI13&gt;0,INDEX(BE$7:BE$106,$AI13),1),IF($AJ13&gt;0,INDEX(BE$7:BE$106,$AJ13),1))))</ns0:f>
        <ns0:v>1</ns0:v>
      </ns0:c>
      <ns0:c r="BG13" t="n">
        <ns0:f>IF($A13="",1,IF(BF13=1,1,--AND(IF($AC13&gt;0,INDEX(BF$7:BF$106,$AC13),1),IF($AD13&gt;0,INDEX(BF$7:BF$106,$AD13),1),IF($AE13&gt;0,INDEX(BF$7:BF$106,$AE13),1),IF($AF13&gt;0,INDEX(BF$7:BF$106,$AF13),1),IF($AG13&gt;0,INDEX(BF$7:BF$106,$AG13),1),IF($AH13&gt;0,INDEX(BF$7:BF$106,$AH13),1),IF($AI13&gt;0,INDEX(BF$7:BF$106,$AI13),1),IF($AJ13&gt;0,INDEX(BF$7:BF$106,$AJ13),1))))</ns0:f>
        <ns0:v>1</ns0:v>
      </ns0:c>
      <ns0:c r="BH13" t="n">
        <ns0:f>IF($A13="",1,IF(BG13=1,1,--AND(IF($AC13&gt;0,INDEX(BG$7:BG$106,$AC13),1),IF($AD13&gt;0,INDEX(BG$7:BG$106,$AD13),1),IF($AE13&gt;0,INDEX(BG$7:BG$106,$AE13),1),IF($AF13&gt;0,INDEX(BG$7:BG$106,$AF13),1),IF($AG13&gt;0,INDEX(BG$7:BG$106,$AG13),1),IF($AH13&gt;0,INDEX(BG$7:BG$106,$AH13),1),IF($AI13&gt;0,INDEX(BG$7:BG$106,$AI13),1),IF($AJ13&gt;0,INDEX(BG$7:BG$106,$AJ13),1))))</ns0:f>
        <ns0:v>1</ns0:v>
      </ns0:c>
      <ns0:c r="BI13" t="n">
        <ns0:f>IF($A13="",1,IF(BH13=1,1,--AND(IF($AC13&gt;0,INDEX(BH$7:BH$106,$AC13),1),IF($AD13&gt;0,INDEX(BH$7:BH$106,$AD13),1),IF($AE13&gt;0,INDEX(BH$7:BH$106,$AE13),1),IF($AF13&gt;0,INDEX(BH$7:BH$106,$AF13),1),IF($AG13&gt;0,INDEX(BH$7:BH$106,$AG13),1),IF($AH13&gt;0,INDEX(BH$7:BH$106,$AH13),1),IF($AI13&gt;0,INDEX(BH$7:BH$106,$AI13),1),IF($AJ13&gt;0,INDEX(BH$7:BH$106,$AJ13),1))))</ns0:f>
        <ns0:v>1</ns0:v>
      </ns0:c>
      <ns0:c r="BJ13" t="n">
        <ns0:f>IF($A13="",1,IF(BI13=1,1,--AND(IF($AC13&gt;0,INDEX(BI$7:BI$106,$AC13),1),IF($AD13&gt;0,INDEX(BI$7:BI$106,$AD13),1),IF($AE13&gt;0,INDEX(BI$7:BI$106,$AE13),1),IF($AF13&gt;0,INDEX(BI$7:BI$106,$AF13),1),IF($AG13&gt;0,INDEX(BI$7:BI$106,$AG13),1),IF($AH13&gt;0,INDEX(BI$7:BI$106,$AH13),1),IF($AI13&gt;0,INDEX(BI$7:BI$106,$AI13),1),IF($AJ13&gt;0,INDEX(BI$7:BI$106,$AJ13),1))))</ns0:f>
        <ns0:v>1</ns0:v>
      </ns0:c>
      <ns0:c r="BK13" t="n">
        <ns0:f>IF($A13="",1,IF(BJ13=1,1,--AND(IF($AC13&gt;0,INDEX(BJ$7:BJ$106,$AC13),1),IF($AD13&gt;0,INDEX(BJ$7:BJ$106,$AD13),1),IF($AE13&gt;0,INDEX(BJ$7:BJ$106,$AE13),1),IF($AF13&gt;0,INDEX(BJ$7:BJ$106,$AF13),1),IF($AG13&gt;0,INDEX(BJ$7:BJ$106,$AG13),1),IF($AH13&gt;0,INDEX(BJ$7:BJ$106,$AH13),1),IF($AI13&gt;0,INDEX(BJ$7:BJ$106,$AI13),1),IF($AJ13&gt;0,INDEX(BJ$7:BJ$106,$AJ13),1))))</ns0:f>
        <ns0:v>1</ns0:v>
      </ns0:c>
      <ns0:c r="BL13" t="n">
        <ns0:f>IF($A13="",1,IF(BK13=1,1,--AND(IF($AC13&gt;0,INDEX(BK$7:BK$106,$AC13),1),IF($AD13&gt;0,INDEX(BK$7:BK$106,$AD13),1),IF($AE13&gt;0,INDEX(BK$7:BK$106,$AE13),1),IF($AF13&gt;0,INDEX(BK$7:BK$106,$AF13),1),IF($AG13&gt;0,INDEX(BK$7:BK$106,$AG13),1),IF($AH13&gt;0,INDEX(BK$7:BK$106,$AH13),1),IF($AI13&gt;0,INDEX(BK$7:BK$106,$AI13),1),IF($AJ13&gt;0,INDEX(BK$7:BK$106,$AJ13),1))))</ns0:f>
        <ns0:v>1</ns0:v>
      </ns0:c>
      <ns0:c r="BM13" t="n">
        <ns0:f>IF($A13="",1,IF(BL13=1,1,--AND(IF($AC13&gt;0,INDEX(BL$7:BL$106,$AC13),1),IF($AD13&gt;0,INDEX(BL$7:BL$106,$AD13),1),IF($AE13&gt;0,INDEX(BL$7:BL$106,$AE13),1),IF($AF13&gt;0,INDEX(BL$7:BL$106,$AF13),1),IF($AG13&gt;0,INDEX(BL$7:BL$106,$AG13),1),IF($AH13&gt;0,INDEX(BL$7:BL$106,$AH13),1),IF($AI13&gt;0,INDEX(BL$7:BL$106,$AI13),1),IF($AJ13&gt;0,INDEX(BL$7:BL$106,$AJ13),1))))</ns0:f>
        <ns0:v>1</ns0:v>
      </ns0:c>
      <ns0:c r="BN13" t="n">
        <ns0:f>IF($A13="",1,IF(BM13=1,1,--AND(IF($AC13&gt;0,INDEX(BM$7:BM$106,$AC13),1),IF($AD13&gt;0,INDEX(BM$7:BM$106,$AD13),1),IF($AE13&gt;0,INDEX(BM$7:BM$106,$AE13),1),IF($AF13&gt;0,INDEX(BM$7:BM$106,$AF13),1),IF($AG13&gt;0,INDEX(BM$7:BM$106,$AG13),1),IF($AH13&gt;0,INDEX(BM$7:BM$106,$AH13),1),IF($AI13&gt;0,INDEX(BM$7:BM$106,$AI13),1),IF($AJ13&gt;0,INDEX(BM$7:BM$106,$AJ13),1))))</ns0:f>
        <ns0:v>1</ns0:v>
      </ns0:c>
      <ns0:c r="BO13" t="n">
        <ns0:f>IF($A13="",1,IF(BN13=1,1,--AND(IF($AC13&gt;0,INDEX(BN$7:BN$106,$AC13),1),IF($AD13&gt;0,INDEX(BN$7:BN$106,$AD13),1),IF($AE13&gt;0,INDEX(BN$7:BN$106,$AE13),1),IF($AF13&gt;0,INDEX(BN$7:BN$106,$AF13),1),IF($AG13&gt;0,INDEX(BN$7:BN$106,$AG13),1),IF($AH13&gt;0,INDEX(BN$7:BN$106,$AH13),1),IF($AI13&gt;0,INDEX(BN$7:BN$106,$AI13),1),IF($AJ13&gt;0,INDEX(BN$7:BN$106,$AJ13),1))))</ns0:f>
        <ns0:v>1</ns0:v>
      </ns0:c>
      <ns0:c r="BP13" t="n">
        <ns0:f>IF($A13="",1,IF(BO13=1,1,--AND(IF($AC13&gt;0,INDEX(BO$7:BO$106,$AC13),1),IF($AD13&gt;0,INDEX(BO$7:BO$106,$AD13),1),IF($AE13&gt;0,INDEX(BO$7:BO$106,$AE13),1),IF($AF13&gt;0,INDEX(BO$7:BO$106,$AF13),1),IF($AG13&gt;0,INDEX(BO$7:BO$106,$AG13),1),IF($AH13&gt;0,INDEX(BO$7:BO$106,$AH13),1),IF($AI13&gt;0,INDEX(BO$7:BO$106,$AI13),1),IF($AJ13&gt;0,INDEX(BO$7:BO$106,$AJ13),1))))</ns0:f>
        <ns0:v>1</ns0:v>
      </ns0:c>
      <ns0:c r="BQ13" t="n">
        <ns0:f>IF($A13="",1,IF(BP13=1,1,--AND(IF($AC13&gt;0,INDEX(BP$7:BP$106,$AC13),1),IF($AD13&gt;0,INDEX(BP$7:BP$106,$AD13),1),IF($AE13&gt;0,INDEX(BP$7:BP$106,$AE13),1),IF($AF13&gt;0,INDEX(BP$7:BP$106,$AF13),1),IF($AG13&gt;0,INDEX(BP$7:BP$106,$AG13),1),IF($AH13&gt;0,INDEX(BP$7:BP$106,$AH13),1),IF($AI13&gt;0,INDEX(BP$7:BP$106,$AI13),1),IF($AJ13&gt;0,INDEX(BP$7:BP$106,$AJ13),1))))</ns0:f>
        <ns0:v>1</ns0:v>
      </ns0:c>
      <ns0:c r="BR13" t="n">
        <ns0:f>IF($A13="",1,IF(BQ13=1,1,--AND(IF($AC13&gt;0,INDEX(BQ$7:BQ$106,$AC13),1),IF($AD13&gt;0,INDEX(BQ$7:BQ$106,$AD13),1),IF($AE13&gt;0,INDEX(BQ$7:BQ$106,$AE13),1),IF($AF13&gt;0,INDEX(BQ$7:BQ$106,$AF13),1),IF($AG13&gt;0,INDEX(BQ$7:BQ$106,$AG13),1),IF($AH13&gt;0,INDEX(BQ$7:BQ$106,$AH13),1),IF($AI13&gt;0,INDEX(BQ$7:BQ$106,$AI13),1),IF($AJ13&gt;0,INDEX(BQ$7:BQ$106,$AJ13),1))))</ns0:f>
        <ns0:v>1</ns0:v>
      </ns0:c>
      <ns0:c r="BS13" t="n">
        <ns0:f>IF($A13="",1,IF(BR13=1,1,--AND(IF($AC13&gt;0,INDEX(BR$7:BR$106,$AC13),1),IF($AD13&gt;0,INDEX(BR$7:BR$106,$AD13),1),IF($AE13&gt;0,INDEX(BR$7:BR$106,$AE13),1),IF($AF13&gt;0,INDEX(BR$7:BR$106,$AF13),1),IF($AG13&gt;0,INDEX(BR$7:BR$106,$AG13),1),IF($AH13&gt;0,INDEX(BR$7:BR$106,$AH13),1),IF($AI13&gt;0,INDEX(BR$7:BR$106,$AI13),1),IF($AJ13&gt;0,INDEX(BR$7:BR$106,$AJ13),1))))</ns0:f>
        <ns0:v>1</ns0:v>
      </ns0:c>
      <ns0:c r="BT13" t="n">
        <ns0:f>IF($A13="",1,IF(BS13=1,1,--AND(IF($AC13&gt;0,INDEX(BS$7:BS$106,$AC13),1),IF($AD13&gt;0,INDEX(BS$7:BS$106,$AD13),1),IF($AE13&gt;0,INDEX(BS$7:BS$106,$AE13),1),IF($AF13&gt;0,INDEX(BS$7:BS$106,$AF13),1),IF($AG13&gt;0,INDEX(BS$7:BS$106,$AG13),1),IF($AH13&gt;0,INDEX(BS$7:BS$106,$AH13),1),IF($AI13&gt;0,INDEX(BS$7:BS$106,$AI13),1),IF($AJ13&gt;0,INDEX(BS$7:BS$106,$AJ13),1))))</ns0:f>
        <ns0:v>1</ns0:v>
      </ns0:c>
      <ns0:c r="BU13" t="n">
        <ns0:f>IF($A13="",1,IF(BT13=1,1,--AND(IF($AC13&gt;0,INDEX(BT$7:BT$106,$AC13),1),IF($AD13&gt;0,INDEX(BT$7:BT$106,$AD13),1),IF($AE13&gt;0,INDEX(BT$7:BT$106,$AE13),1),IF($AF13&gt;0,INDEX(BT$7:BT$106,$AF13),1),IF($AG13&gt;0,INDEX(BT$7:BT$106,$AG13),1),IF($AH13&gt;0,INDEX(BT$7:BT$106,$AH13),1),IF($AI13&gt;0,INDEX(BT$7:BT$106,$AI13),1),IF($AJ13&gt;0,INDEX(BT$7:BT$106,$AJ13),1))))</ns0:f>
        <ns0:v>1</ns0:v>
      </ns0:c>
      <ns0:c r="BV13" t="n">
        <ns0:f>IF($A13="",1,IF(BU13=1,1,--AND(IF($AC13&gt;0,INDEX(BU$7:BU$106,$AC13),1),IF($AD13&gt;0,INDEX(BU$7:BU$106,$AD13),1),IF($AE13&gt;0,INDEX(BU$7:BU$106,$AE13),1),IF($AF13&gt;0,INDEX(BU$7:BU$106,$AF13),1),IF($AG13&gt;0,INDEX(BU$7:BU$106,$AG13),1),IF($AH13&gt;0,INDEX(BU$7:BU$106,$AH13),1),IF($AI13&gt;0,INDEX(BU$7:BU$106,$AI13),1),IF($AJ13&gt;0,INDEX(BU$7:BU$106,$AJ13),1))))</ns0:f>
        <ns0:v>1</ns0:v>
      </ns0:c>
      <ns0:c r="BW13" t="n">
        <ns0:f>IF($A13="",1,IF(BV13=1,1,--AND(IF($AC13&gt;0,INDEX(BV$7:BV$106,$AC13),1),IF($AD13&gt;0,INDEX(BV$7:BV$106,$AD13),1),IF($AE13&gt;0,INDEX(BV$7:BV$106,$AE13),1),IF($AF13&gt;0,INDEX(BV$7:BV$106,$AF13),1),IF($AG13&gt;0,INDEX(BV$7:BV$106,$AG13),1),IF($AH13&gt;0,INDEX(BV$7:BV$106,$AH13),1),IF($AI13&gt;0,INDEX(BV$7:BV$106,$AI13),1),IF($AJ13&gt;0,INDEX(BV$7:BV$106,$AJ13),1))))</ns0:f>
        <ns0:v>1</ns0:v>
      </ns0:c>
      <ns0:c r="BX13" t="n">
        <ns0:f>IF($A13="",1,IF(BW13=1,1,--AND(IF($AC13&gt;0,INDEX(BW$7:BW$106,$AC13),1),IF($AD13&gt;0,INDEX(BW$7:BW$106,$AD13),1),IF($AE13&gt;0,INDEX(BW$7:BW$106,$AE13),1),IF($AF13&gt;0,INDEX(BW$7:BW$106,$AF13),1),IF($AG13&gt;0,INDEX(BW$7:BW$106,$AG13),1),IF($AH13&gt;0,INDEX(BW$7:BW$106,$AH13),1),IF($AI13&gt;0,INDEX(BW$7:BW$106,$AI13),1),IF($AJ13&gt;0,INDEX(BW$7:BW$106,$AJ13),1))))</ns0:f>
        <ns0:v>1</ns0:v>
      </ns0:c>
      <ns0:c r="BY13" t="n">
        <ns0:f>IF($A13="",1,IF(BX13=1,1,--AND(IF($AC13&gt;0,INDEX(BX$7:BX$106,$AC13),1),IF($AD13&gt;0,INDEX(BX$7:BX$106,$AD13),1),IF($AE13&gt;0,INDEX(BX$7:BX$106,$AE13),1),IF($AF13&gt;0,INDEX(BX$7:BX$106,$AF13),1),IF($AG13&gt;0,INDEX(BX$7:BX$106,$AG13),1),IF($AH13&gt;0,INDEX(BX$7:BX$106,$AH13),1),IF($AI13&gt;0,INDEX(BX$7:BX$106,$AI13),1),IF($AJ13&gt;0,INDEX(BX$7:BX$106,$AJ13),1))))</ns0:f>
        <ns0:v>1</ns0:v>
      </ns0:c>
      <ns0:c r="BZ13" t="n">
        <ns0:f>IF($A13="",1,IF(BY13=1,1,--AND(IF($AC13&gt;0,INDEX(BY$7:BY$106,$AC13),1),IF($AD13&gt;0,INDEX(BY$7:BY$106,$AD13),1),IF($AE13&gt;0,INDEX(BY$7:BY$106,$AE13),1),IF($AF13&gt;0,INDEX(BY$7:BY$106,$AF13),1),IF($AG13&gt;0,INDEX(BY$7:BY$106,$AG13),1),IF($AH13&gt;0,INDEX(BY$7:BY$106,$AH13),1),IF($AI13&gt;0,INDEX(BY$7:BY$106,$AI13),1),IF($AJ13&gt;0,INDEX(BY$7:BY$106,$AJ13),1))))</ns0:f>
        <ns0:v>1</ns0:v>
      </ns0:c>
      <ns0:c r="CA13" t="n">
        <ns0:f>IF($A13="",1,IF(BZ13=1,1,--AND(IF($AC13&gt;0,INDEX(BZ$7:BZ$106,$AC13),1),IF($AD13&gt;0,INDEX(BZ$7:BZ$106,$AD13),1),IF($AE13&gt;0,INDEX(BZ$7:BZ$106,$AE13),1),IF($AF13&gt;0,INDEX(BZ$7:BZ$106,$AF13),1),IF($AG13&gt;0,INDEX(BZ$7:BZ$106,$AG13),1),IF($AH13&gt;0,INDEX(BZ$7:BZ$106,$AH13),1),IF($AI13&gt;0,INDEX(BZ$7:BZ$106,$AI13),1),IF($AJ13&gt;0,INDEX(BZ$7:BZ$106,$AJ13),1))))</ns0:f>
        <ns0:v>1</ns0:v>
      </ns0:c>
      <ns0:c r="CB13" t="n">
        <ns0:f>IF($A13="",1,IF(CA13=1,1,--AND(IF($AC13&gt;0,INDEX(CA$7:CA$106,$AC13),1),IF($AD13&gt;0,INDEX(CA$7:CA$106,$AD13),1),IF($AE13&gt;0,INDEX(CA$7:CA$106,$AE13),1),IF($AF13&gt;0,INDEX(CA$7:CA$106,$AF13),1),IF($AG13&gt;0,INDEX(CA$7:CA$106,$AG13),1),IF($AH13&gt;0,INDEX(CA$7:CA$106,$AH13),1),IF($AI13&gt;0,INDEX(CA$7:CA$106,$AI13),1),IF($AJ13&gt;0,INDEX(CA$7:CA$106,$AJ13),1))))</ns0:f>
        <ns0:v>1</ns0:v>
      </ns0:c>
      <ns0:c r="CC13" t="n">
        <ns0:f>IF($A13="",1,IF(CB13=1,1,--AND(IF($AC13&gt;0,INDEX(CB$7:CB$106,$AC13),1),IF($AD13&gt;0,INDEX(CB$7:CB$106,$AD13),1),IF($AE13&gt;0,INDEX(CB$7:CB$106,$AE13),1),IF($AF13&gt;0,INDEX(CB$7:CB$106,$AF13),1),IF($AG13&gt;0,INDEX(CB$7:CB$106,$AG13),1),IF($AH13&gt;0,INDEX(CB$7:CB$106,$AH13),1),IF($AI13&gt;0,INDEX(CB$7:CB$106,$AI13),1),IF($AJ13&gt;0,INDEX(CB$7:CB$106,$AJ13),1))))</ns0:f>
        <ns0:v>1</ns0:v>
      </ns0:c>
      <ns0:c r="CD13" t="n">
        <ns0:f>IF($A13="",1,IF(CC13=1,1,--AND(IF($AC13&gt;0,INDEX(CC$7:CC$106,$AC13),1),IF($AD13&gt;0,INDEX(CC$7:CC$106,$AD13),1),IF($AE13&gt;0,INDEX(CC$7:CC$106,$AE13),1),IF($AF13&gt;0,INDEX(CC$7:CC$106,$AF13),1),IF($AG13&gt;0,INDEX(CC$7:CC$106,$AG13),1),IF($AH13&gt;0,INDEX(CC$7:CC$106,$AH13),1),IF($AI13&gt;0,INDEX(CC$7:CC$106,$AI13),1),IF($AJ13&gt;0,INDEX(CC$7:CC$106,$AJ13),1))))</ns0:f>
        <ns0:v>1</ns0:v>
      </ns0:c>
      <ns0:c r="CE13" t="n">
        <ns0:f>IF($A13="",1,IF(CD13=1,1,--AND(IF($AC13&gt;0,INDEX(CD$7:CD$106,$AC13),1),IF($AD13&gt;0,INDEX(CD$7:CD$106,$AD13),1),IF($AE13&gt;0,INDEX(CD$7:CD$106,$AE13),1),IF($AF13&gt;0,INDEX(CD$7:CD$106,$AF13),1),IF($AG13&gt;0,INDEX(CD$7:CD$106,$AG13),1),IF($AH13&gt;0,INDEX(CD$7:CD$106,$AH13),1),IF($AI13&gt;0,INDEX(CD$7:CD$106,$AI13),1),IF($AJ13&gt;0,INDEX(CD$7:CD$106,$AJ13),1))))</ns0:f>
        <ns0:v>1</ns0:v>
      </ns0:c>
      <ns0:c r="CF13" t="n">
        <ns0:f>IF($A13="",1,IF(CE13=1,1,--AND(IF($AC13&gt;0,INDEX(CE$7:CE$106,$AC13),1),IF($AD13&gt;0,INDEX(CE$7:CE$106,$AD13),1),IF($AE13&gt;0,INDEX(CE$7:CE$106,$AE13),1),IF($AF13&gt;0,INDEX(CE$7:CE$106,$AF13),1),IF($AG13&gt;0,INDEX(CE$7:CE$106,$AG13),1),IF($AH13&gt;0,INDEX(CE$7:CE$106,$AH13),1),IF($AI13&gt;0,INDEX(CE$7:CE$106,$AI13),1),IF($AJ13&gt;0,INDEX(CE$7:CE$106,$AJ13),1))))</ns0:f>
        <ns0:v>1</ns0:v>
      </ns0:c>
      <ns0:c r="CG13" t="n">
        <ns0:f>IF($A13="",1,IF(CF13=1,1,--AND(IF($AC13&gt;0,INDEX(CF$7:CF$106,$AC13),1),IF($AD13&gt;0,INDEX(CF$7:CF$106,$AD13),1),IF($AE13&gt;0,INDEX(CF$7:CF$106,$AE13),1),IF($AF13&gt;0,INDEX(CF$7:CF$106,$AF13),1),IF($AG13&gt;0,INDEX(CF$7:CF$106,$AG13),1),IF($AH13&gt;0,INDEX(CF$7:CF$106,$AH13),1),IF($AI13&gt;0,INDEX(CF$7:CF$106,$AI13),1),IF($AJ13&gt;0,INDEX(CF$7:CF$106,$AJ13),1))))</ns0:f>
        <ns0:v>1</ns0:v>
      </ns0:c>
      <ns0:c r="CH13" t="n">
        <ns0:f>IF($A13="",1,IF(CG13=1,1,--AND(IF($AC13&gt;0,INDEX(CG$7:CG$106,$AC13),1),IF($AD13&gt;0,INDEX(CG$7:CG$106,$AD13),1),IF($AE13&gt;0,INDEX(CG$7:CG$106,$AE13),1),IF($AF13&gt;0,INDEX(CG$7:CG$106,$AF13),1),IF($AG13&gt;0,INDEX(CG$7:CG$106,$AG13),1),IF($AH13&gt;0,INDEX(CG$7:CG$106,$AH13),1),IF($AI13&gt;0,INDEX(CG$7:CG$106,$AI13),1),IF($AJ13&gt;0,INDEX(CG$7:CG$106,$AJ13),1))))</ns0:f>
        <ns0:v>1</ns0:v>
      </ns0:c>
      <ns0:c r="CI13" t="n">
        <ns0:f>IF($A13="",1,IF(CH13=1,1,--AND(IF($AC13&gt;0,INDEX(CH$7:CH$106,$AC13),1),IF($AD13&gt;0,INDEX(CH$7:CH$106,$AD13),1),IF($AE13&gt;0,INDEX(CH$7:CH$106,$AE13),1),IF($AF13&gt;0,INDEX(CH$7:CH$106,$AF13),1),IF($AG13&gt;0,INDEX(CH$7:CH$106,$AG13),1),IF($AH13&gt;0,INDEX(CH$7:CH$106,$AH13),1),IF($AI13&gt;0,INDEX(CH$7:CH$106,$AI13),1),IF($AJ13&gt;0,INDEX(CH$7:CH$106,$AJ13),1))))</ns0:f>
        <ns0:v>1</ns0:v>
      </ns0:c>
      <ns0:c r="CJ13" t="n">
        <ns0:f>IF($A13="",1,IF(CI13=1,1,--AND(IF($AC13&gt;0,INDEX(CI$7:CI$106,$AC13),1),IF($AD13&gt;0,INDEX(CI$7:CI$106,$AD13),1),IF($AE13&gt;0,INDEX(CI$7:CI$106,$AE13),1),IF($AF13&gt;0,INDEX(CI$7:CI$106,$AF13),1),IF($AG13&gt;0,INDEX(CI$7:CI$106,$AG13),1),IF($AH13&gt;0,INDEX(CI$7:CI$106,$AH13),1),IF($AI13&gt;0,INDEX(CI$7:CI$106,$AI13),1),IF($AJ13&gt;0,INDEX(CI$7:CI$106,$AJ13),1))))</ns0:f>
        <ns0:v>1</ns0:v>
      </ns0:c>
      <ns0:c r="CK13" t="n">
        <ns0:f>IF($A13="",1,IF(CJ13=1,1,--AND(IF($AC13&gt;0,INDEX(CJ$7:CJ$106,$AC13),1),IF($AD13&gt;0,INDEX(CJ$7:CJ$106,$AD13),1),IF($AE13&gt;0,INDEX(CJ$7:CJ$106,$AE13),1),IF($AF13&gt;0,INDEX(CJ$7:CJ$106,$AF13),1),IF($AG13&gt;0,INDEX(CJ$7:CJ$106,$AG13),1),IF($AH13&gt;0,INDEX(CJ$7:CJ$106,$AH13),1),IF($AI13&gt;0,INDEX(CJ$7:CJ$106,$AI13),1),IF($AJ13&gt;0,INDEX(CJ$7:CJ$106,$AJ13),1))))</ns0:f>
        <ns0:v>1</ns0:v>
      </ns0:c>
      <ns0:c r="CL13" t="n">
        <ns0:f>IF($A13="",1,IF(CK13=1,1,--AND(IF($AC13&gt;0,INDEX(CK$7:CK$106,$AC13),1),IF($AD13&gt;0,INDEX(CK$7:CK$106,$AD13),1),IF($AE13&gt;0,INDEX(CK$7:CK$106,$AE13),1),IF($AF13&gt;0,INDEX(CK$7:CK$106,$AF13),1),IF($AG13&gt;0,INDEX(CK$7:CK$106,$AG13),1),IF($AH13&gt;0,INDEX(CK$7:CK$106,$AH13),1),IF($AI13&gt;0,INDEX(CK$7:CK$106,$AI13),1),IF($AJ13&gt;0,INDEX(CK$7:CK$106,$AJ13),1))))</ns0:f>
        <ns0:v>1</ns0:v>
      </ns0:c>
      <ns0:c r="CM13" t="n">
        <ns0:f>IF($A13="",1,IF(CL13=1,1,--AND(IF($AC13&gt;0,INDEX(CL$7:CL$106,$AC13),1),IF($AD13&gt;0,INDEX(CL$7:CL$106,$AD13),1),IF($AE13&gt;0,INDEX(CL$7:CL$106,$AE13),1),IF($AF13&gt;0,INDEX(CL$7:CL$106,$AF13),1),IF($AG13&gt;0,INDEX(CL$7:CL$106,$AG13),1),IF($AH13&gt;0,INDEX(CL$7:CL$106,$AH13),1),IF($AI13&gt;0,INDEX(CL$7:CL$106,$AI13),1),IF($AJ13&gt;0,INDEX(CL$7:CL$106,$AJ13),1))))</ns0:f>
        <ns0:v>1</ns0:v>
      </ns0:c>
      <ns0:c r="CN13" t="n">
        <ns0:f>IF($A13="",1,IF(CM13=1,1,--AND(IF($AC13&gt;0,INDEX(CM$7:CM$106,$AC13),1),IF($AD13&gt;0,INDEX(CM$7:CM$106,$AD13),1),IF($AE13&gt;0,INDEX(CM$7:CM$106,$AE13),1),IF($AF13&gt;0,INDEX(CM$7:CM$106,$AF13),1),IF($AG13&gt;0,INDEX(CM$7:CM$106,$AG13),1),IF($AH13&gt;0,INDEX(CM$7:CM$106,$AH13),1),IF($AI13&gt;0,INDEX(CM$7:CM$106,$AI13),1),IF($AJ13&gt;0,INDEX(CM$7:CM$106,$AJ13),1))))</ns0:f>
        <ns0:v>1</ns0:v>
      </ns0:c>
      <ns0:c r="CO13" t="n">
        <ns0:f>IF($A13="",1,IF(CN13=1,1,--AND(IF($AC13&gt;0,INDEX(CN$7:CN$106,$AC13),1),IF($AD13&gt;0,INDEX(CN$7:CN$106,$AD13),1),IF($AE13&gt;0,INDEX(CN$7:CN$106,$AE13),1),IF($AF13&gt;0,INDEX(CN$7:CN$106,$AF13),1),IF($AG13&gt;0,INDEX(CN$7:CN$106,$AG13),1),IF($AH13&gt;0,INDEX(CN$7:CN$106,$AH13),1),IF($AI13&gt;0,INDEX(CN$7:CN$106,$AI13),1),IF($AJ13&gt;0,INDEX(CN$7:CN$106,$AJ13),1))))</ns0:f>
        <ns0:v>1</ns0:v>
      </ns0:c>
      <ns0:c r="CP13" t="n">
        <ns0:f>IF($A13="",1,IF(CO13=1,1,--AND(IF($AC13&gt;0,INDEX(CO$7:CO$106,$AC13),1),IF($AD13&gt;0,INDEX(CO$7:CO$106,$AD13),1),IF($AE13&gt;0,INDEX(CO$7:CO$106,$AE13),1),IF($AF13&gt;0,INDEX(CO$7:CO$106,$AF13),1),IF($AG13&gt;0,INDEX(CO$7:CO$106,$AG13),1),IF($AH13&gt;0,INDEX(CO$7:CO$106,$AH13),1),IF($AI13&gt;0,INDEX(CO$7:CO$106,$AI13),1),IF($AJ13&gt;0,INDEX(CO$7:CO$106,$AJ13),1))))</ns0:f>
        <ns0:v>1</ns0:v>
      </ns0:c>
      <ns0:c r="CQ13" t="n">
        <ns0:f>IF($A13="",1,IF(CP13=1,1,--AND(IF($AC13&gt;0,INDEX(CP$7:CP$106,$AC13),1),IF($AD13&gt;0,INDEX(CP$7:CP$106,$AD13),1),IF($AE13&gt;0,INDEX(CP$7:CP$106,$AE13),1),IF($AF13&gt;0,INDEX(CP$7:CP$106,$AF13),1),IF($AG13&gt;0,INDEX(CP$7:CP$106,$AG13),1),IF($AH13&gt;0,INDEX(CP$7:CP$106,$AH13),1),IF($AI13&gt;0,INDEX(CP$7:CP$106,$AI13),1),IF($AJ13&gt;0,INDEX(CP$7:CP$106,$AJ13),1))))</ns0:f>
        <ns0:v>1</ns0:v>
      </ns0:c>
      <ns0:c r="CR13" t="n">
        <ns0:f>IF($A13="",1,IF(CQ13=1,1,--AND(IF($AC13&gt;0,INDEX(CQ$7:CQ$106,$AC13),1),IF($AD13&gt;0,INDEX(CQ$7:CQ$106,$AD13),1),IF($AE13&gt;0,INDEX(CQ$7:CQ$106,$AE13),1),IF($AF13&gt;0,INDEX(CQ$7:CQ$106,$AF13),1),IF($AG13&gt;0,INDEX(CQ$7:CQ$106,$AG13),1),IF($AH13&gt;0,INDEX(CQ$7:CQ$106,$AH13),1),IF($AI13&gt;0,INDEX(CQ$7:CQ$106,$AI13),1),IF($AJ13&gt;0,INDEX(CQ$7:CQ$106,$AJ13),1))))</ns0:f>
        <ns0:v>1</ns0:v>
      </ns0:c>
      <ns0:c r="CS13" t="n">
        <ns0:f>IF($A13="",1,IF(CR13=1,1,--AND(IF($AC13&gt;0,INDEX(CR$7:CR$106,$AC13),1),IF($AD13&gt;0,INDEX(CR$7:CR$106,$AD13),1),IF($AE13&gt;0,INDEX(CR$7:CR$106,$AE13),1),IF($AF13&gt;0,INDEX(CR$7:CR$106,$AF13),1),IF($AG13&gt;0,INDEX(CR$7:CR$106,$AG13),1),IF($AH13&gt;0,INDEX(CR$7:CR$106,$AH13),1),IF($AI13&gt;0,INDEX(CR$7:CR$106,$AI13),1),IF($AJ13&gt;0,INDEX(CR$7:CR$106,$AJ13),1))))</ns0:f>
        <ns0:v>1</ns0:v>
      </ns0:c>
      <ns0:c r="CT13" t="n">
        <ns0:f>IF($A13="",1,IF(CS13=1,1,--AND(IF($AC13&gt;0,INDEX(CS$7:CS$106,$AC13),1),IF($AD13&gt;0,INDEX(CS$7:CS$106,$AD13),1),IF($AE13&gt;0,INDEX(CS$7:CS$106,$AE13),1),IF($AF13&gt;0,INDEX(CS$7:CS$106,$AF13),1),IF($AG13&gt;0,INDEX(CS$7:CS$106,$AG13),1),IF($AH13&gt;0,INDEX(CS$7:CS$106,$AH13),1),IF($AI13&gt;0,INDEX(CS$7:CS$106,$AI13),1),IF($AJ13&gt;0,INDEX(CS$7:CS$106,$AJ13),1))))</ns0:f>
        <ns0:v>1</ns0:v>
      </ns0:c>
      <ns0:c r="CU13" t="n">
        <ns0:f>IF($A13="",1,IF(CT13=1,1,--AND(IF($AC13&gt;0,INDEX(CT$7:CT$106,$AC13),1),IF($AD13&gt;0,INDEX(CT$7:CT$106,$AD13),1),IF($AE13&gt;0,INDEX(CT$7:CT$106,$AE13),1),IF($AF13&gt;0,INDEX(CT$7:CT$106,$AF13),1),IF($AG13&gt;0,INDEX(CT$7:CT$106,$AG13),1),IF($AH13&gt;0,INDEX(CT$7:CT$106,$AH13),1),IF($AI13&gt;0,INDEX(CT$7:CT$106,$AI13),1),IF($AJ13&gt;0,INDEX(CT$7:CT$106,$AJ13),1))))</ns0:f>
        <ns0:v>1</ns0:v>
      </ns0:c>
      <ns0:c r="CV13" t="n">
        <ns0:f>IF($A13="",1,IF(CU13=1,1,--AND(IF($AC13&gt;0,INDEX(CU$7:CU$106,$AC13),1),IF($AD13&gt;0,INDEX(CU$7:CU$106,$AD13),1),IF($AE13&gt;0,INDEX(CU$7:CU$106,$AE13),1),IF($AF13&gt;0,INDEX(CU$7:CU$106,$AF13),1),IF($AG13&gt;0,INDEX(CU$7:CU$106,$AG13),1),IF($AH13&gt;0,INDEX(CU$7:CU$106,$AH13),1),IF($AI13&gt;0,INDEX(CU$7:CU$106,$AI13),1),IF($AJ13&gt;0,INDEX(CU$7:CU$106,$AJ13),1))))</ns0:f>
        <ns0:v>1</ns0:v>
      </ns0:c>
      <ns0:c r="CW13" t="n">
        <ns0:f>IF($A13="",1,IF(CV13=1,1,--AND(IF($AC13&gt;0,INDEX(CV$7:CV$106,$AC13),1),IF($AD13&gt;0,INDEX(CV$7:CV$106,$AD13),1),IF($AE13&gt;0,INDEX(CV$7:CV$106,$AE13),1),IF($AF13&gt;0,INDEX(CV$7:CV$106,$AF13),1),IF($AG13&gt;0,INDEX(CV$7:CV$106,$AG13),1),IF($AH13&gt;0,INDEX(CV$7:CV$106,$AH13),1),IF($AI13&gt;0,INDEX(CV$7:CV$106,$AI13),1),IF($AJ13&gt;0,INDEX(CV$7:CV$106,$AJ13),1))))</ns0:f>
        <ns0:v>1</ns0:v>
      </ns0:c>
      <ns0:c r="CX13" t="n">
        <ns0:f>IF($A13="",1,IF(CW13=1,1,--AND(IF($AC13&gt;0,INDEX(CW$7:CW$106,$AC13),1),IF($AD13&gt;0,INDEX(CW$7:CW$106,$AD13),1),IF($AE13&gt;0,INDEX(CW$7:CW$106,$AE13),1),IF($AF13&gt;0,INDEX(CW$7:CW$106,$AF13),1),IF($AG13&gt;0,INDEX(CW$7:CW$106,$AG13),1),IF($AH13&gt;0,INDEX(CW$7:CW$106,$AH13),1),IF($AI13&gt;0,INDEX(CW$7:CW$106,$AI13),1),IF($AJ13&gt;0,INDEX(CW$7:CW$106,$AJ13),1))))</ns0:f>
        <ns0:v>1</ns0:v>
      </ns0:c>
      <ns0:c r="CY13" t="n">
        <ns0:f>IF($A13="",1,IF(CX13=1,1,--AND(IF($AC13&gt;0,INDEX(CX$7:CX$106,$AC13),1),IF($AD13&gt;0,INDEX(CX$7:CX$106,$AD13),1),IF($AE13&gt;0,INDEX(CX$7:CX$106,$AE13),1),IF($AF13&gt;0,INDEX(CX$7:CX$106,$AF13),1),IF($AG13&gt;0,INDEX(CX$7:CX$106,$AG13),1),IF($AH13&gt;0,INDEX(CX$7:CX$106,$AH13),1),IF($AI13&gt;0,INDEX(CX$7:CX$106,$AI13),1),IF($AJ13&gt;0,INDEX(CX$7:CX$106,$AJ13),1))))</ns0:f>
        <ns0:v>1</ns0:v>
      </ns0:c>
      <ns0:c r="CZ13" t="n">
        <ns0:f>IF($A13="",1,IF(CY13=1,1,--AND(IF($AC13&gt;0,INDEX(CY$7:CY$106,$AC13),1),IF($AD13&gt;0,INDEX(CY$7:CY$106,$AD13),1),IF($AE13&gt;0,INDEX(CY$7:CY$106,$AE13),1),IF($AF13&gt;0,INDEX(CY$7:CY$106,$AF13),1),IF($AG13&gt;0,INDEX(CY$7:CY$106,$AG13),1),IF($AH13&gt;0,INDEX(CY$7:CY$106,$AH13),1),IF($AI13&gt;0,INDEX(CY$7:CY$106,$AI13),1),IF($AJ13&gt;0,INDEX(CY$7:CY$106,$AJ13),1))))</ns0:f>
        <ns0:v>1</ns0:v>
      </ns0:c>
      <ns0:c r="DA13" t="n">
        <ns0:f>IF($A13="",1,IF(CZ13=1,1,--AND(IF($AC13&gt;0,INDEX(CZ$7:CZ$106,$AC13),1),IF($AD13&gt;0,INDEX(CZ$7:CZ$106,$AD13),1),IF($AE13&gt;0,INDEX(CZ$7:CZ$106,$AE13),1),IF($AF13&gt;0,INDEX(CZ$7:CZ$106,$AF13),1),IF($AG13&gt;0,INDEX(CZ$7:CZ$106,$AG13),1),IF($AH13&gt;0,INDEX(CZ$7:CZ$106,$AH13),1),IF($AI13&gt;0,INDEX(CZ$7:CZ$106,$AI13),1),IF($AJ13&gt;0,INDEX(CZ$7:CZ$106,$AJ13),1))))</ns0:f>
        <ns0:v>1</ns0:v>
      </ns0:c>
      <ns0:c r="DB13" t="n">
        <ns0:f>IF($A13="",1,IF(DA13=1,1,--AND(IF($AC13&gt;0,INDEX(DA$7:DA$106,$AC13),1),IF($AD13&gt;0,INDEX(DA$7:DA$106,$AD13),1),IF($AE13&gt;0,INDEX(DA$7:DA$106,$AE13),1),IF($AF13&gt;0,INDEX(DA$7:DA$106,$AF13),1),IF($AG13&gt;0,INDEX(DA$7:DA$106,$AG13),1),IF($AH13&gt;0,INDEX(DA$7:DA$106,$AH13),1),IF($AI13&gt;0,INDEX(DA$7:DA$106,$AI13),1),IF($AJ13&gt;0,INDEX(DA$7:DA$106,$AJ13),1))))</ns0:f>
        <ns0:v>1</ns0:v>
      </ns0:c>
      <ns0:c r="DC13" t="n">
        <ns0:f>IF($A13="",1,IF(DB13=1,1,--AND(IF($AC13&gt;0,INDEX(DB$7:DB$106,$AC13),1),IF($AD13&gt;0,INDEX(DB$7:DB$106,$AD13),1),IF($AE13&gt;0,INDEX(DB$7:DB$106,$AE13),1),IF($AF13&gt;0,INDEX(DB$7:DB$106,$AF13),1),IF($AG13&gt;0,INDEX(DB$7:DB$106,$AG13),1),IF($AH13&gt;0,INDEX(DB$7:DB$106,$AH13),1),IF($AI13&gt;0,INDEX(DB$7:DB$106,$AI13),1),IF($AJ13&gt;0,INDEX(DB$7:DB$106,$AJ13),1))))</ns0:f>
        <ns0:v>1</ns0:v>
      </ns0:c>
      <ns0:c r="DD13" t="n">
        <ns0:f>IF($A13="",1,IF(DC13=1,1,--AND(IF($AC13&gt;0,INDEX(DC$7:DC$106,$AC13),1),IF($AD13&gt;0,INDEX(DC$7:DC$106,$AD13),1),IF($AE13&gt;0,INDEX(DC$7:DC$106,$AE13),1),IF($AF13&gt;0,INDEX(DC$7:DC$106,$AF13),1),IF($AG13&gt;0,INDEX(DC$7:DC$106,$AG13),1),IF($AH13&gt;0,INDEX(DC$7:DC$106,$AH13),1),IF($AI13&gt;0,INDEX(DC$7:DC$106,$AI13),1),IF($AJ13&gt;0,INDEX(DC$7:DC$106,$AJ13),1))))</ns0:f>
        <ns0:v>1</ns0:v>
      </ns0:c>
      <ns0:c r="DE13" t="n">
        <ns0:f>IF($A13="",1,IF(DD13=1,1,--AND(IF($AC13&gt;0,INDEX(DD$7:DD$106,$AC13),1),IF($AD13&gt;0,INDEX(DD$7:DD$106,$AD13),1),IF($AE13&gt;0,INDEX(DD$7:DD$106,$AE13),1),IF($AF13&gt;0,INDEX(DD$7:DD$106,$AF13),1),IF($AG13&gt;0,INDEX(DD$7:DD$106,$AG13),1),IF($AH13&gt;0,INDEX(DD$7:DD$106,$AH13),1),IF($AI13&gt;0,INDEX(DD$7:DD$106,$AI13),1),IF($AJ13&gt;0,INDEX(DD$7:DD$106,$AJ13),1))))</ns0:f>
        <ns0:v>1</ns0:v>
      </ns0:c>
      <ns0:c r="DF13" t="n">
        <ns0:f>IF($A13="",1,IF(DE13=1,1,--AND(IF($AC13&gt;0,INDEX(DE$7:DE$106,$AC13),1),IF($AD13&gt;0,INDEX(DE$7:DE$106,$AD13),1),IF($AE13&gt;0,INDEX(DE$7:DE$106,$AE13),1),IF($AF13&gt;0,INDEX(DE$7:DE$106,$AF13),1),IF($AG13&gt;0,INDEX(DE$7:DE$106,$AG13),1),IF($AH13&gt;0,INDEX(DE$7:DE$106,$AH13),1),IF($AI13&gt;0,INDEX(DE$7:DE$106,$AI13),1),IF($AJ13&gt;0,INDEX(DE$7:DE$106,$AJ13),1))))</ns0:f>
        <ns0:v>1</ns0:v>
      </ns0:c>
      <ns0:c r="DG13" t="n">
        <ns0:f>IF($A13="",1,IF(DF13=1,1,--AND(IF($AC13&gt;0,INDEX(DF$7:DF$106,$AC13),1),IF($AD13&gt;0,INDEX(DF$7:DF$106,$AD13),1),IF($AE13&gt;0,INDEX(DF$7:DF$106,$AE13),1),IF($AF13&gt;0,INDEX(DF$7:DF$106,$AF13),1),IF($AG13&gt;0,INDEX(DF$7:DF$106,$AG13),1),IF($AH13&gt;0,INDEX(DF$7:DF$106,$AH13),1),IF($AI13&gt;0,INDEX(DF$7:DF$106,$AI13),1),IF($AJ13&gt;0,INDEX(DF$7:DF$106,$AJ13),1))))</ns0:f>
        <ns0:v>1</ns0:v>
      </ns0:c>
      <ns0:c r="DH13" t="n">
        <ns0:f>IF($A13="",1,IF(DG13=1,1,--AND(IF($AC13&gt;0,INDEX(DG$7:DG$106,$AC13),1),IF($AD13&gt;0,INDEX(DG$7:DG$106,$AD13),1),IF($AE13&gt;0,INDEX(DG$7:DG$106,$AE13),1),IF($AF13&gt;0,INDEX(DG$7:DG$106,$AF13),1),IF($AG13&gt;0,INDEX(DG$7:DG$106,$AG13),1),IF($AH13&gt;0,INDEX(DG$7:DG$106,$AH13),1),IF($AI13&gt;0,INDEX(DG$7:DG$106,$AI13),1),IF($AJ13&gt;0,INDEX(DG$7:DG$106,$AJ13),1))))</ns0:f>
        <ns0:v>1</ns0:v>
      </ns0:c>
      <ns0:c r="DI13" t="n">
        <ns0:f>IF($A13="",1,IF(DH13=1,1,--AND(IF($AC13&gt;0,INDEX(DH$7:DH$106,$AC13),1),IF($AD13&gt;0,INDEX(DH$7:DH$106,$AD13),1),IF($AE13&gt;0,INDEX(DH$7:DH$106,$AE13),1),IF($AF13&gt;0,INDEX(DH$7:DH$106,$AF13),1),IF($AG13&gt;0,INDEX(DH$7:DH$106,$AG13),1),IF($AH13&gt;0,INDEX(DH$7:DH$106,$AH13),1),IF($AI13&gt;0,INDEX(DH$7:DH$106,$AI13),1),IF($AJ13&gt;0,INDEX(DH$7:DH$106,$AJ13),1))))</ns0:f>
        <ns0:v>1</ns0:v>
      </ns0:c>
      <ns0:c r="DJ13" t="n">
        <ns0:f>IF($A13="",1,IF(DI13=1,1,--AND(IF($AC13&gt;0,INDEX(DI$7:DI$106,$AC13),1),IF($AD13&gt;0,INDEX(DI$7:DI$106,$AD13),1),IF($AE13&gt;0,INDEX(DI$7:DI$106,$AE13),1),IF($AF13&gt;0,INDEX(DI$7:DI$106,$AF13),1),IF($AG13&gt;0,INDEX(DI$7:DI$106,$AG13),1),IF($AH13&gt;0,INDEX(DI$7:DI$106,$AH13),1),IF($AI13&gt;0,INDEX(DI$7:DI$106,$AI13),1),IF($AJ13&gt;0,INDEX(DI$7:DI$106,$AJ13),1))))</ns0:f>
        <ns0:v>1</ns0:v>
      </ns0:c>
      <ns0:c r="DK13" t="n">
        <ns0:f>IF($A13="",1,IF(DJ13=1,1,--AND(IF($AC13&gt;0,INDEX(DJ$7:DJ$106,$AC13),1),IF($AD13&gt;0,INDEX(DJ$7:DJ$106,$AD13),1),IF($AE13&gt;0,INDEX(DJ$7:DJ$106,$AE13),1),IF($AF13&gt;0,INDEX(DJ$7:DJ$106,$AF13),1),IF($AG13&gt;0,INDEX(DJ$7:DJ$106,$AG13),1),IF($AH13&gt;0,INDEX(DJ$7:DJ$106,$AH13),1),IF($AI13&gt;0,INDEX(DJ$7:DJ$106,$AI13),1),IF($AJ13&gt;0,INDEX(DJ$7:DJ$106,$AJ13),1))))</ns0:f>
        <ns0:v>1</ns0:v>
      </ns0:c>
      <ns0:c r="DL13" t="n">
        <ns0:f>IF($A13="",1,IF(DK13=1,1,--AND(IF($AC13&gt;0,INDEX(DK$7:DK$106,$AC13),1),IF($AD13&gt;0,INDEX(DK$7:DK$106,$AD13),1),IF($AE13&gt;0,INDEX(DK$7:DK$106,$AE13),1),IF($AF13&gt;0,INDEX(DK$7:DK$106,$AF13),1),IF($AG13&gt;0,INDEX(DK$7:DK$106,$AG13),1),IF($AH13&gt;0,INDEX(DK$7:DK$106,$AH13),1),IF($AI13&gt;0,INDEX(DK$7:DK$106,$AI13),1),IF($AJ13&gt;0,INDEX(DK$7:DK$106,$AJ13),1))))</ns0:f>
        <ns0:v>1</ns0:v>
      </ns0:c>
      <ns0:c r="DM13" t="n">
        <ns0:f>IF($A13="",1,IF(DL13=1,1,--AND(IF($AC13&gt;0,INDEX(DL$7:DL$106,$AC13),1),IF($AD13&gt;0,INDEX(DL$7:DL$106,$AD13),1),IF($AE13&gt;0,INDEX(DL$7:DL$106,$AE13),1),IF($AF13&gt;0,INDEX(DL$7:DL$106,$AF13),1),IF($AG13&gt;0,INDEX(DL$7:DL$106,$AG13),1),IF($AH13&gt;0,INDEX(DL$7:DL$106,$AH13),1),IF($AI13&gt;0,INDEX(DL$7:DL$106,$AI13),1),IF($AJ13&gt;0,INDEX(DL$7:DL$106,$AJ13),1))))</ns0:f>
        <ns0:v>1</ns0:v>
      </ns0:c>
      <ns0:c r="DN13" t="n">
        <ns0:f>IF($A13="",1,IF(DM13=1,1,--AND(IF($AC13&gt;0,INDEX(DM$7:DM$106,$AC13),1),IF($AD13&gt;0,INDEX(DM$7:DM$106,$AD13),1),IF($AE13&gt;0,INDEX(DM$7:DM$106,$AE13),1),IF($AF13&gt;0,INDEX(DM$7:DM$106,$AF13),1),IF($AG13&gt;0,INDEX(DM$7:DM$106,$AG13),1),IF($AH13&gt;0,INDEX(DM$7:DM$106,$AH13),1),IF($AI13&gt;0,INDEX(DM$7:DM$106,$AI13),1),IF($AJ13&gt;0,INDEX(DM$7:DM$106,$AJ13),1))))</ns0:f>
        <ns0:v>1</ns0:v>
      </ns0:c>
      <ns0:c r="DO13" t="n">
        <ns0:f>IF($A13="",1,IF(DN13=1,1,--AND(IF($AC13&gt;0,INDEX(DN$7:DN$106,$AC13),1),IF($AD13&gt;0,INDEX(DN$7:DN$106,$AD13),1),IF($AE13&gt;0,INDEX(DN$7:DN$106,$AE13),1),IF($AF13&gt;0,INDEX(DN$7:DN$106,$AF13),1),IF($AG13&gt;0,INDEX(DN$7:DN$106,$AG13),1),IF($AH13&gt;0,INDEX(DN$7:DN$106,$AH13),1),IF($AI13&gt;0,INDEX(DN$7:DN$106,$AI13),1),IF($AJ13&gt;0,INDEX(DN$7:DN$106,$AJ13),1))))</ns0:f>
        <ns0:v>1</ns0:v>
      </ns0:c>
      <ns0:c r="DP13" t="n">
        <ns0:f>IF($A13="",1,IF(DO13=1,1,--AND(IF($AC13&gt;0,INDEX(DO$7:DO$106,$AC13),1),IF($AD13&gt;0,INDEX(DO$7:DO$106,$AD13),1),IF($AE13&gt;0,INDEX(DO$7:DO$106,$AE13),1),IF($AF13&gt;0,INDEX(DO$7:DO$106,$AF13),1),IF($AG13&gt;0,INDEX(DO$7:DO$106,$AG13),1),IF($AH13&gt;0,INDEX(DO$7:DO$106,$AH13),1),IF($AI13&gt;0,INDEX(DO$7:DO$106,$AI13),1),IF($AJ13&gt;0,INDEX(DO$7:DO$106,$AJ13),1))))</ns0:f>
        <ns0:v>1</ns0:v>
      </ns0:c>
      <ns0:c r="DQ13" t="n">
        <ns0:f>IF($A13="",1,IF(DP13=1,1,--AND(IF($AC13&gt;0,INDEX(DP$7:DP$106,$AC13),1),IF($AD13&gt;0,INDEX(DP$7:DP$106,$AD13),1),IF($AE13&gt;0,INDEX(DP$7:DP$106,$AE13),1),IF($AF13&gt;0,INDEX(DP$7:DP$106,$AF13),1),IF($AG13&gt;0,INDEX(DP$7:DP$106,$AG13),1),IF($AH13&gt;0,INDEX(DP$7:DP$106,$AH13),1),IF($AI13&gt;0,INDEX(DP$7:DP$106,$AI13),1),IF($AJ13&gt;0,INDEX(DP$7:DP$106,$AJ13),1))))</ns0:f>
        <ns0:v>1</ns0:v>
      </ns0:c>
      <ns0:c r="DR13" t="n">
        <ns0:f>IF($A13="",1,IF(DQ13=1,1,--AND(IF($AC13&gt;0,INDEX(DQ$7:DQ$106,$AC13),1),IF($AD13&gt;0,INDEX(DQ$7:DQ$106,$AD13),1),IF($AE13&gt;0,INDEX(DQ$7:DQ$106,$AE13),1),IF($AF13&gt;0,INDEX(DQ$7:DQ$106,$AF13),1),IF($AG13&gt;0,INDEX(DQ$7:DQ$106,$AG13),1),IF($AH13&gt;0,INDEX(DQ$7:DQ$106,$AH13),1),IF($AI13&gt;0,INDEX(DQ$7:DQ$106,$AI13),1),IF($AJ13&gt;0,INDEX(DQ$7:DQ$106,$AJ13),1))))</ns0:f>
        <ns0:v>1</ns0:v>
      </ns0:c>
      <ns0:c r="DS13" t="n">
        <ns0:f>IF($A13="",1,IF(DR13=1,1,--AND(IF($AC13&gt;0,INDEX(DR$7:DR$106,$AC13),1),IF($AD13&gt;0,INDEX(DR$7:DR$106,$AD13),1),IF($AE13&gt;0,INDEX(DR$7:DR$106,$AE13),1),IF($AF13&gt;0,INDEX(DR$7:DR$106,$AF13),1),IF($AG13&gt;0,INDEX(DR$7:DR$106,$AG13),1),IF($AH13&gt;0,INDEX(DR$7:DR$106,$AH13),1),IF($AI13&gt;0,INDEX(DR$7:DR$106,$AI13),1),IF($AJ13&gt;0,INDEX(DR$7:DR$106,$AJ13),1))))</ns0:f>
        <ns0:v>1</ns0:v>
      </ns0:c>
      <ns0:c r="DT13" t="n">
        <ns0:f>IF($A13="",1,IF(DS13=1,1,--AND(IF($AC13&gt;0,INDEX(DS$7:DS$106,$AC13),1),IF($AD13&gt;0,INDEX(DS$7:DS$106,$AD13),1),IF($AE13&gt;0,INDEX(DS$7:DS$106,$AE13),1),IF($AF13&gt;0,INDEX(DS$7:DS$106,$AF13),1),IF($AG13&gt;0,INDEX(DS$7:DS$106,$AG13),1),IF($AH13&gt;0,INDEX(DS$7:DS$106,$AH13),1),IF($AI13&gt;0,INDEX(DS$7:DS$106,$AI13),1),IF($AJ13&gt;0,INDEX(DS$7:DS$106,$AJ13),1))))</ns0:f>
        <ns0:v>1</ns0:v>
      </ns0:c>
      <ns0:c r="DU13" t="n">
        <ns0:f>IF($A13="",1,IF(DT13=1,1,--AND(IF($AC13&gt;0,INDEX(DT$7:DT$106,$AC13),1),IF($AD13&gt;0,INDEX(DT$7:DT$106,$AD13),1),IF($AE13&gt;0,INDEX(DT$7:DT$106,$AE13),1),IF($AF13&gt;0,INDEX(DT$7:DT$106,$AF13),1),IF($AG13&gt;0,INDEX(DT$7:DT$106,$AG13),1),IF($AH13&gt;0,INDEX(DT$7:DT$106,$AH13),1),IF($AI13&gt;0,INDEX(DT$7:DT$106,$AI13),1),IF($AJ13&gt;0,INDEX(DT$7:DT$106,$AJ13),1))))</ns0:f>
        <ns0:v>1</ns0:v>
      </ns0:c>
      <ns0:c r="DV13" t="n">
        <ns0:f>IF($A13="",1,IF(DU13=1,1,--AND(IF($AC13&gt;0,INDEX(DU$7:DU$106,$AC13),1),IF($AD13&gt;0,INDEX(DU$7:DU$106,$AD13),1),IF($AE13&gt;0,INDEX(DU$7:DU$106,$AE13),1),IF($AF13&gt;0,INDEX(DU$7:DU$106,$AF13),1),IF($AG13&gt;0,INDEX(DU$7:DU$106,$AG13),1),IF($AH13&gt;0,INDEX(DU$7:DU$106,$AH13),1),IF($AI13&gt;0,INDEX(DU$7:DU$106,$AI13),1),IF($AJ13&gt;0,INDEX(DU$7:DU$106,$AJ13),1))))</ns0:f>
        <ns0:v>1</ns0:v>
      </ns0:c>
      <ns0:c r="DW13" t="n">
        <ns0:f>IF($A13="",1,IF(DV13=1,1,--AND(IF($AC13&gt;0,INDEX(DV$7:DV$106,$AC13),1),IF($AD13&gt;0,INDEX(DV$7:DV$106,$AD13),1),IF($AE13&gt;0,INDEX(DV$7:DV$106,$AE13),1),IF($AF13&gt;0,INDEX(DV$7:DV$106,$AF13),1),IF($AG13&gt;0,INDEX(DV$7:DV$106,$AG13),1),IF($AH13&gt;0,INDEX(DV$7:DV$106,$AH13),1),IF($AI13&gt;0,INDEX(DV$7:DV$106,$AI13),1),IF($AJ13&gt;0,INDEX(DV$7:DV$106,$AJ13),1))))</ns0:f>
        <ns0:v>1</ns0:v>
      </ns0:c>
      <ns0:c r="DX13" t="n">
        <ns0:f>IF($A13="",1,IF(DW13=1,1,--AND(IF($AC13&gt;0,INDEX(DW$7:DW$106,$AC13),1),IF($AD13&gt;0,INDEX(DW$7:DW$106,$AD13),1),IF($AE13&gt;0,INDEX(DW$7:DW$106,$AE13),1),IF($AF13&gt;0,INDEX(DW$7:DW$106,$AF13),1),IF($AG13&gt;0,INDEX(DW$7:DW$106,$AG13),1),IF($AH13&gt;0,INDEX(DW$7:DW$106,$AH13),1),IF($AI13&gt;0,INDEX(DW$7:DW$106,$AI13),1),IF($AJ13&gt;0,INDEX(DW$7:DW$106,$AJ13),1))))</ns0:f>
        <ns0:v>1</ns0:v>
      </ns0:c>
      <ns0:c r="DY13" t="n">
        <ns0:f>IF($A13="",1,IF(DX13=1,1,--AND(IF($AC13&gt;0,INDEX(DX$7:DX$106,$AC13),1),IF($AD13&gt;0,INDEX(DX$7:DX$106,$AD13),1),IF($AE13&gt;0,INDEX(DX$7:DX$106,$AE13),1),IF($AF13&gt;0,INDEX(DX$7:DX$106,$AF13),1),IF($AG13&gt;0,INDEX(DX$7:DX$106,$AG13),1),IF($AH13&gt;0,INDEX(DX$7:DX$106,$AH13),1),IF($AI13&gt;0,INDEX(DX$7:DX$106,$AI13),1),IF($AJ13&gt;0,INDEX(DX$7:DX$106,$AJ13),1))))</ns0:f>
        <ns0:v>1</ns0:v>
      </ns0:c>
      <ns0:c r="DZ13" t="n">
        <ns0:f>IF($A13="",1,IF(DY13=1,1,--AND(IF($AC13&gt;0,INDEX(DY$7:DY$106,$AC13),1),IF($AD13&gt;0,INDEX(DY$7:DY$106,$AD13),1),IF($AE13&gt;0,INDEX(DY$7:DY$106,$AE13),1),IF($AF13&gt;0,INDEX(DY$7:DY$106,$AF13),1),IF($AG13&gt;0,INDEX(DY$7:DY$106,$AG13),1),IF($AH13&gt;0,INDEX(DY$7:DY$106,$AH13),1),IF($AI13&gt;0,INDEX(DY$7:DY$106,$AI13),1),IF($AJ13&gt;0,INDEX(DY$7:DY$106,$AJ13),1))))</ns0:f>
        <ns0:v>1</ns0:v>
      </ns0:c>
      <ns0:c r="EA13" t="n">
        <ns0:f>IF($A13="",1,IF(DZ13=1,1,--AND(IF($AC13&gt;0,INDEX(DZ$7:DZ$106,$AC13),1),IF($AD13&gt;0,INDEX(DZ$7:DZ$106,$AD13),1),IF($AE13&gt;0,INDEX(DZ$7:DZ$106,$AE13),1),IF($AF13&gt;0,INDEX(DZ$7:DZ$106,$AF13),1),IF($AG13&gt;0,INDEX(DZ$7:DZ$106,$AG13),1),IF($AH13&gt;0,INDEX(DZ$7:DZ$106,$AH13),1),IF($AI13&gt;0,INDEX(DZ$7:DZ$106,$AI13),1),IF($AJ13&gt;0,INDEX(DZ$7:DZ$106,$AJ13),1))))</ns0:f>
        <ns0:v>1</ns0:v>
      </ns0:c>
      <ns0:c r="EB13" t="n">
        <ns0:f>IF($A13="",1,IF(EA13=1,1,--AND(IF($AC13&gt;0,INDEX(EA$7:EA$106,$AC13),1),IF($AD13&gt;0,INDEX(EA$7:EA$106,$AD13),1),IF($AE13&gt;0,INDEX(EA$7:EA$106,$AE13),1),IF($AF13&gt;0,INDEX(EA$7:EA$106,$AF13),1),IF($AG13&gt;0,INDEX(EA$7:EA$106,$AG13),1),IF($AH13&gt;0,INDEX(EA$7:EA$106,$AH13),1),IF($AI13&gt;0,INDEX(EA$7:EA$106,$AI13),1),IF($AJ13&gt;0,INDEX(EA$7:EA$106,$AJ13),1))))</ns0:f>
        <ns0:v>1</ns0:v>
      </ns0:c>
      <ns0:c r="EC13" t="n">
        <ns0:f>IF($A13="",1,IF(EB13=1,1,--AND(IF($AC13&gt;0,INDEX(EB$7:EB$106,$AC13),1),IF($AD13&gt;0,INDEX(EB$7:EB$106,$AD13),1),IF($AE13&gt;0,INDEX(EB$7:EB$106,$AE13),1),IF($AF13&gt;0,INDEX(EB$7:EB$106,$AF13),1),IF($AG13&gt;0,INDEX(EB$7:EB$106,$AG13),1),IF($AH13&gt;0,INDEX(EB$7:EB$106,$AH13),1),IF($AI13&gt;0,INDEX(EB$7:EB$106,$AI13),1),IF($AJ13&gt;0,INDEX(EB$7:EB$106,$AJ13),1))))</ns0:f>
        <ns0:v>1</ns0:v>
      </ns0:c>
      <ns0:c r="ED13" t="n">
        <ns0:f>IF($A13="",1,IF(EC13=1,1,--AND(IF($AC13&gt;0,INDEX(EC$7:EC$106,$AC13),1),IF($AD13&gt;0,INDEX(EC$7:EC$106,$AD13),1),IF($AE13&gt;0,INDEX(EC$7:EC$106,$AE13),1),IF($AF13&gt;0,INDEX(EC$7:EC$106,$AF13),1),IF($AG13&gt;0,INDEX(EC$7:EC$106,$AG13),1),IF($AH13&gt;0,INDEX(EC$7:EC$106,$AH13),1),IF($AI13&gt;0,INDEX(EC$7:EC$106,$AI13),1),IF($AJ13&gt;0,INDEX(EC$7:EC$106,$AJ13),1))))</ns0:f>
        <ns0:v>1</ns0:v>
      </ns0:c>
      <ns0:c r="EE13" t="n">
        <ns0:f>IF($A13="",1,IF(ED13=1,1,--AND(IF($AC13&gt;0,INDEX(ED$7:ED$106,$AC13),1),IF($AD13&gt;0,INDEX(ED$7:ED$106,$AD13),1),IF($AE13&gt;0,INDEX(ED$7:ED$106,$AE13),1),IF($AF13&gt;0,INDEX(ED$7:ED$106,$AF13),1),IF($AG13&gt;0,INDEX(ED$7:ED$106,$AG13),1),IF($AH13&gt;0,INDEX(ED$7:ED$106,$AH13),1),IF($AI13&gt;0,INDEX(ED$7:ED$106,$AI13),1),IF($AJ13&gt;0,INDEX(ED$7:ED$106,$AJ13),1))))</ns0:f>
        <ns0:v>1</ns0:v>
      </ns0:c>
      <ns0:c r="EF13" t="n">
        <ns0:f>IF($A13="",1,IF(EE13=1,1,--AND(IF($AC13&gt;0,INDEX(EE$7:EE$106,$AC13),1),IF($AD13&gt;0,INDEX(EE$7:EE$106,$AD13),1),IF($AE13&gt;0,INDEX(EE$7:EE$106,$AE13),1),IF($AF13&gt;0,INDEX(EE$7:EE$106,$AF13),1),IF($AG13&gt;0,INDEX(EE$7:EE$106,$AG13),1),IF($AH13&gt;0,INDEX(EE$7:EE$106,$AH13),1),IF($AI13&gt;0,INDEX(EE$7:EE$106,$AI13),1),IF($AJ13&gt;0,INDEX(EE$7:EE$106,$AJ13),1))))</ns0:f>
        <ns0:v>1</ns0:v>
      </ns0:c>
      <ns0:c r="EG13" t="n">
        <ns0:f>IF($A13="",1,IF(EF13=1,1,--AND(IF($AC13&gt;0,INDEX(EF$7:EF$106,$AC13),1),IF($AD13&gt;0,INDEX(EF$7:EF$106,$AD13),1),IF($AE13&gt;0,INDEX(EF$7:EF$106,$AE13),1),IF($AF13&gt;0,INDEX(EF$7:EF$106,$AF13),1),IF($AG13&gt;0,INDEX(EF$7:EF$106,$AG13),1),IF($AH13&gt;0,INDEX(EF$7:EF$106,$AH13),1),IF($AI13&gt;0,INDEX(EF$7:EF$106,$AI13),1),IF($AJ13&gt;0,INDEX(EF$7:EF$106,$AJ13),1))))</ns0:f>
        <ns0:v>1</ns0:v>
      </ns0:c>
      <ns0:c r="EH13" t="n">
        <ns0:f>IF($A13="",1,IF(EG13=1,1,--AND(IF($AC13&gt;0,INDEX(EG$7:EG$106,$AC13),1),IF($AD13&gt;0,INDEX(EG$7:EG$106,$AD13),1),IF($AE13&gt;0,INDEX(EG$7:EG$106,$AE13),1),IF($AF13&gt;0,INDEX(EG$7:EG$106,$AF13),1),IF($AG13&gt;0,INDEX(EG$7:EG$106,$AG13),1),IF($AH13&gt;0,INDEX(EG$7:EG$106,$AH13),1),IF($AI13&gt;0,INDEX(EG$7:EG$106,$AI13),1),IF($AJ13&gt;0,INDEX(EG$7:EG$106,$AJ13),1))))</ns0:f>
        <ns0:v>1</ns0:v>
      </ns0:c>
      <ns0:c r="EI13" t="n">
        <ns0:f>IF($A13="",1,IF(EH13=1,1,--AND(IF($AC13&gt;0,INDEX(EH$7:EH$106,$AC13),1),IF($AD13&gt;0,INDEX(EH$7:EH$106,$AD13),1),IF($AE13&gt;0,INDEX(EH$7:EH$106,$AE13),1),IF($AF13&gt;0,INDEX(EH$7:EH$106,$AF13),1),IF($AG13&gt;0,INDEX(EH$7:EH$106,$AG13),1),IF($AH13&gt;0,INDEX(EH$7:EH$106,$AH13),1),IF($AI13&gt;0,INDEX(EH$7:EH$106,$AI13),1),IF($AJ13&gt;0,INDEX(EH$7:EH$106,$AJ13),1))))</ns0:f>
        <ns0:v>1</ns0:v>
      </ns0:c>
      <ns0:c r="EJ13" t="n">
        <ns0:f>IF($A13="",1,IF(EI13=1,1,--AND(IF($AC13&gt;0,INDEX(EI$7:EI$106,$AC13),1),IF($AD13&gt;0,INDEX(EI$7:EI$106,$AD13),1),IF($AE13&gt;0,INDEX(EI$7:EI$106,$AE13),1),IF($AF13&gt;0,INDEX(EI$7:EI$106,$AF13),1),IF($AG13&gt;0,INDEX(EI$7:EI$106,$AG13),1),IF($AH13&gt;0,INDEX(EI$7:EI$106,$AH13),1),IF($AI13&gt;0,INDEX(EI$7:EI$106,$AI13),1),IF($AJ13&gt;0,INDEX(EI$7:EI$106,$AJ13),1))))</ns0:f>
        <ns0:v>1</ns0:v>
      </ns0:c>
      <ns0:c r="EK13" t="n">
        <ns0:f>IF($A13="",1,IF(EJ13=1,1,--AND(IF($AC13&gt;0,INDEX(EJ$7:EJ$106,$AC13),1),IF($AD13&gt;0,INDEX(EJ$7:EJ$106,$AD13),1),IF($AE13&gt;0,INDEX(EJ$7:EJ$106,$AE13),1),IF($AF13&gt;0,INDEX(EJ$7:EJ$106,$AF13),1),IF($AG13&gt;0,INDEX(EJ$7:EJ$106,$AG13),1),IF($AH13&gt;0,INDEX(EJ$7:EJ$106,$AH13),1),IF($AI13&gt;0,INDEX(EJ$7:EJ$106,$AI13),1),IF($AJ13&gt;0,INDEX(EJ$7:EJ$106,$AJ13),1))))</ns0:f>
        <ns0:v>1</ns0:v>
      </ns0:c>
      <ns0:c r="EL13" t="n">
        <ns0:f>IF($A13="",1,IF(EK13=1,1,--AND(IF($AC13&gt;0,INDEX(EK$7:EK$106,$AC13),1),IF($AD13&gt;0,INDEX(EK$7:EK$106,$AD13),1),IF($AE13&gt;0,INDEX(EK$7:EK$106,$AE13),1),IF($AF13&gt;0,INDEX(EK$7:EK$106,$AF13),1),IF($AG13&gt;0,INDEX(EK$7:EK$106,$AG13),1),IF($AH13&gt;0,INDEX(EK$7:EK$106,$AH13),1),IF($AI13&gt;0,INDEX(EK$7:EK$106,$AI13),1),IF($AJ13&gt;0,INDEX(EK$7:EK$106,$AJ13),1))))</ns0:f>
        <ns0:v>1</ns0:v>
      </ns0:c>
      <ns0:c r="EM13" t="n">
        <ns0:f>IF($A13="",1,IF(EL13=1,1,--AND(IF($AC13&gt;0,INDEX(EL$7:EL$106,$AC13),1),IF($AD13&gt;0,INDEX(EL$7:EL$106,$AD13),1),IF($AE13&gt;0,INDEX(EL$7:EL$106,$AE13),1),IF($AF13&gt;0,INDEX(EL$7:EL$106,$AF13),1),IF($AG13&gt;0,INDEX(EL$7:EL$106,$AG13),1),IF($AH13&gt;0,INDEX(EL$7:EL$106,$AH13),1),IF($AI13&gt;0,INDEX(EL$7:EL$106,$AI13),1),IF($AJ13&gt;0,INDEX(EL$7:EL$106,$AJ13),1))))</ns0:f>
        <ns0:v>1</ns0:v>
      </ns0:c>
      <ns0:c r="EN13" t="n">
        <ns0:f>IF($A13="",1,IF(EM13=1,1,--AND(IF($AC13&gt;0,INDEX(EM$7:EM$106,$AC13),1),IF($AD13&gt;0,INDEX(EM$7:EM$106,$AD13),1),IF($AE13&gt;0,INDEX(EM$7:EM$106,$AE13),1),IF($AF13&gt;0,INDEX(EM$7:EM$106,$AF13),1),IF($AG13&gt;0,INDEX(EM$7:EM$106,$AG13),1),IF($AH13&gt;0,INDEX(EM$7:EM$106,$AH13),1),IF($AI13&gt;0,INDEX(EM$7:EM$106,$AI13),1),IF($AJ13&gt;0,INDEX(EM$7:EM$106,$AJ13),1))))</ns0:f>
        <ns0:v>1</ns0:v>
      </ns0:c>
      <ns0:c r="EO13" t="n">
        <ns0:f>IF($A13="",1,IF(EN13=1,1,--AND(IF($AC13&gt;0,INDEX(EN$7:EN$106,$AC13),1),IF($AD13&gt;0,INDEX(EN$7:EN$106,$AD13),1),IF($AE13&gt;0,INDEX(EN$7:EN$106,$AE13),1),IF($AF13&gt;0,INDEX(EN$7:EN$106,$AF13),1),IF($AG13&gt;0,INDEX(EN$7:EN$106,$AG13),1),IF($AH13&gt;0,INDEX(EN$7:EN$106,$AH13),1),IF($AI13&gt;0,INDEX(EN$7:EN$106,$AI13),1),IF($AJ13&gt;0,INDEX(EN$7:EN$106,$AJ13),1))))</ns0:f>
        <ns0:v>1</ns0:v>
      </ns0:c>
      <ns0:c r="EP13" t="n">
        <ns0:f>IF($A13="",1,IF(EO13=1,1,--AND(IF($AC13&gt;0,INDEX(EO$7:EO$106,$AC13),1),IF($AD13&gt;0,INDEX(EO$7:EO$106,$AD13),1),IF($AE13&gt;0,INDEX(EO$7:EO$106,$AE13),1),IF($AF13&gt;0,INDEX(EO$7:EO$106,$AF13),1),IF($AG13&gt;0,INDEX(EO$7:EO$106,$AG13),1),IF($AH13&gt;0,INDEX(EO$7:EO$106,$AH13),1),IF($AI13&gt;0,INDEX(EO$7:EO$106,$AI13),1),IF($AJ13&gt;0,INDEX(EO$7:EO$106,$AJ13),1))))</ns0:f>
        <ns0:v>1</ns0:v>
      </ns0:c>
      <ns0:c r="EQ13" t="n">
        <ns0:f>IF(OR(A13="",NOT(ISNUMBER(G13))),0,G13*N13)</ns0:f>
        <ns0:v>0</ns0:v>
      </ns0:c>
    </ns0:row>
    <ns0:row r="14" ht="62" customHeight="1">
      <ns0:c r="A14" s="48" t="str">
        <ns0:v>T07</ns0:v>
      </ns0:c>
      <ns0:c r="B14" s="48" t="str">
        <ns0:v>Data &amp; storage</ns0:v>
      </ns0:c>
      <ns0:c r="C14" s="48" t="str">
        <ns0:v>Instantiate Institutional Memory Store (MEM) for brand heuristics &amp; rules</ns0:v>
      </ns0:c>
      <ns0:c r="D14" s="48" t="str">
        <ns0:v>Store brand books, heuristics and promoted learning deltas.</ns0:v>
      </ns0:c>
      <ns0:c r="E14" s="49" t="n">
        <ns0:v>46279</ns0:v>
      </ns0:c>
      <ns0:c r="F14" s="49" t="n">
        <ns0:v>46280</ns0:v>
      </ns0:c>
      <ns0:c r="G14" s="13" t="n">
        <ns0:f>IF(A14="","",IF(OR(NOT(ISNUMBER(E14)),NOT(ISNUMBER(F14)),F14&lt;E14),"",IF(J14="Yes",0,F14-E14+1)))</ns0:f>
        <ns0:v>2</ns0:v>
      </ns0:c>
      <ns0:c r="H14" s="48" t="str">
        <ns0:v>T04</ns0:v>
      </ns0:c>
      <ns0:c r="I14" s="48" t="str">
        <ns0:v>FS</ns0:v>
      </ns0:c>
      <ns0:c r="J14" s="48" t="str">
        <ns0:v>No</ns0:v>
      </ns0:c>
      <ns0:c r="K14" s="48" t="str">
        <ns0:v>Institutional Memory Store (MEM)</ns0:v>
      </ns0:c>
      <ns0:c r="L14" s="48" t="str"/>
      <ns0:c r="M14" s="50" t="str">
        <ns0:f>IF(A14="","",IF(N14=1,"Completed",IF(N14&gt;0,"In Progress","Not Started")))</ns0:f>
        <ns0:v>Not Started</ns0:v>
      </ns0:c>
      <ns0:c r="N14" s="51" t="n">
        <ns0:v>0</ns0:v>
      </ns0:c>
      <ns0:c r="O14" s="13" t="str">
        <ns0:f>IF(A14="","",IF(R14&lt;&gt;"","[CONFLICT] "&amp;R14,IF(S14&lt;&gt;"","[CONFLICT] "&amp;S14,IF(OR(NOT(ISNUMBER(N14)),N14&lt;0,N14&gt;1),"[CONFLICT] Invalid progress",IF(AK14&gt;0,"[DEPENDENCY ISSUE] Missing ID / &gt;8 links",IF(AM14&gt;0,"[DEPENDENCY ISSUE] Cycle or blocked by cycle",IF(AND(H14&lt;&gt;"",ISNA(MATCH(I14,{"FS","SS","FF","SF"},0))),"[DEPENDENCY ISSUE] Invalid type",IF(AL14&gt;0,"[DEPENDENCY ISSUE] Timing conflict",IF(OR(E14&lt;ProjectStart,F14&gt;ProjectEnd),"[OUTSIDE WINDOW]",IF(AND(N14&lt;1,F14&lt;AsOfDate),"Overdue",IF(AND(M14&lt;&gt;Q14,M14&lt;&gt;""),"[CONFLICT] Status / progress","On track")))))))))))</ns0:f>
        <ns0:v>On track</ns0:v>
      </ns0:c>
      <ns0:c r="P14" s="52" t="str">
        <ns0:v>Source: Project Plan Essentials (2).md §1, §2, §4. Original 2026-09-14 to 2026-09-16, 3d; original progress 100% [INFERRED]. [INFERRED] Rescheduled to fit 34d with FS. Duration reduced to 2d. Original resource/tools: Institutional Memory Store (MEM).</ns0:v>
      </ns0:c>
      <ns0:c r="Q14" t="str">
        <ns0:f>IF(A14="","",IF(OR(M14="On Hold",M14="Delayed"),M14,IF(N14=1,"Completed",IF(N14&gt;0,"In Progress","Not Started"))))</ns0:f>
        <ns0:v>Not Started</ns0:v>
      </ns0:c>
      <ns0:c r="R14" t="str">
        <ns0:f>IF(A14="","",IF(COUNTIFS(Tasks[Task ID],A14)&lt;&gt;1,"Duplicate ID",""))</ns0:f>
      </ns0:c>
      <ns0:c r="S14" t="str">
        <ns0:f>IF(A14="","",IF(OR(NOT(ISNUMBER(E14)),NOT(ISNUMBER(F14))),"Invalid / missing date",IF(OR(E14&lt;&gt;INT(E14),F14&lt;&gt;INT(F14),E14&lt;1,F14&gt;2958465),"Invalid date",IF(F14&lt;E14,"End before start",IF(AND(J14="Yes",E14&lt;&gt;F14),"Milestone needs one date","")))))</ns0:f>
      </ns0:c>
      <ns0:c r="T14" t="n">
        <ns0:f>IF(H14="",0,LEN(H14)-LEN(SUBSTITUTE(H14,",",""))+1)</ns0:f>
        <ns0:v>1</ns0:v>
      </ns0:c>
      <ns0:c r="U14" t="str">
        <ns0:f>TRIM(MID(SUBSTITUTE($H14,",",REPT(" ",100)),1,100))</ns0:f>
        <ns0:v>T04</ns0:v>
      </ns0:c>
      <ns0:c r="V14" t="str">
        <ns0:f>TRIM(MID(SUBSTITUTE($H14,",",REPT(" ",100)),101,100))</ns0:f>
      </ns0:c>
      <ns0:c r="W14" t="str">
        <ns0:f>TRIM(MID(SUBSTITUTE($H14,",",REPT(" ",100)),201,100))</ns0:f>
      </ns0:c>
      <ns0:c r="X14" t="str">
        <ns0:f>TRIM(MID(SUBSTITUTE($H14,",",REPT(" ",100)),301,100))</ns0:f>
      </ns0:c>
      <ns0:c r="Y14" t="str">
        <ns0:f>TRIM(MID(SUBSTITUTE($H14,",",REPT(" ",100)),401,100))</ns0:f>
      </ns0:c>
      <ns0:c r="Z14" t="str">
        <ns0:f>TRIM(MID(SUBSTITUTE($H14,",",REPT(" ",100)),501,100))</ns0:f>
      </ns0:c>
      <ns0:c r="AA14" t="str">
        <ns0:f>TRIM(MID(SUBSTITUTE($H14,",",REPT(" ",100)),601,100))</ns0:f>
      </ns0:c>
      <ns0:c r="AB14" t="str">
        <ns0:f>TRIM(MID(SUBSTITUTE($H14,",",REPT(" ",100)),701,100))</ns0:f>
      </ns0:c>
      <ns0:c r="AC14" t="n">
        <ns0:f>IF(U14="",0,IF(COUNTIFS(Tasks[Task ID],U14)=1,MATCH(U14,Tasks[Task ID],0),-1))</ns0:f>
        <ns0:v>4</ns0:v>
      </ns0:c>
      <ns0:c r="AD14" t="n">
        <ns0:f>IF(V14="",0,IF(COUNTIFS(Tasks[Task ID],V14)=1,MATCH(V14,Tasks[Task ID],0),-1))</ns0:f>
        <ns0:v>0</ns0:v>
      </ns0:c>
      <ns0:c r="AE14" t="n">
        <ns0:f>IF(W14="",0,IF(COUNTIFS(Tasks[Task ID],W14)=1,MATCH(W14,Tasks[Task ID],0),-1))</ns0:f>
        <ns0:v>0</ns0:v>
      </ns0:c>
      <ns0:c r="AF14" t="n">
        <ns0:f>IF(X14="",0,IF(COUNTIFS(Tasks[Task ID],X14)=1,MATCH(X14,Tasks[Task ID],0),-1))</ns0:f>
        <ns0:v>0</ns0:v>
      </ns0:c>
      <ns0:c r="AG14" t="n">
        <ns0:f>IF(Y14="",0,IF(COUNTIFS(Tasks[Task ID],Y14)=1,MATCH(Y14,Tasks[Task ID],0),-1))</ns0:f>
        <ns0:v>0</ns0:v>
      </ns0:c>
      <ns0:c r="AH14" t="n">
        <ns0:f>IF(Z14="",0,IF(COUNTIFS(Tasks[Task ID],Z14)=1,MATCH(Z14,Tasks[Task ID],0),-1))</ns0:f>
        <ns0:v>0</ns0:v>
      </ns0:c>
      <ns0:c r="AI14" t="n">
        <ns0:f>IF(AA14="",0,IF(COUNTIFS(Tasks[Task ID],AA14)=1,MATCH(AA14,Tasks[Task ID],0),-1))</ns0:f>
        <ns0:v>0</ns0:v>
      </ns0:c>
      <ns0:c r="AJ14" t="n">
        <ns0:f>IF(AB14="",0,IF(COUNTIFS(Tasks[Task ID],AB14)=1,MATCH(AB14,Tasks[Task ID],0),-1))</ns0:f>
        <ns0:v>0</ns0:v>
      </ns0:c>
      <ns0:c r="AK14" t="n">
        <ns0:f>COUNTIFS(AC14:AJ14,-1)+IF(T14&gt;8,1,0)</ns0:f>
        <ns0:v>0</ns0:v>
      </ns0:c>
      <ns0:c r="AL14" t="n">
        <ns0:f>IF(OR(A14="",S14&lt;&gt;""),0,SUM(IF(AC14&gt;0,IF($I14="FS",--($E14&lt;INDEX(Tasks[End Date],AC14)+IF(INDEX(Tasks[Milestone],AC14)="Yes",0,1)),IF($I14="SS",--($E14&lt;INDEX(Tasks[Start Date],AC14)),IF($I14="FF",--($F14&lt;INDEX(Tasks[End Date],AC14)),IF($I14="SF",--($F14&lt;INDEX(Tasks[Start Date],AC14)),0)))),0),IF(AD14&gt;0,IF($I14="FS",--($E14&lt;INDEX(Tasks[End Date],AD14)+IF(INDEX(Tasks[Milestone],AD14)="Yes",0,1)),IF($I14="SS",--($E14&lt;INDEX(Tasks[Start Date],AD14)),IF($I14="FF",--($F14&lt;INDEX(Tasks[End Date],AD14)),IF($I14="SF",--($F14&lt;INDEX(Tasks[Start Date],AD14)),0)))),0),IF(AE14&gt;0,IF($I14="FS",--($E14&lt;INDEX(Tasks[End Date],AE14)+IF(INDEX(Tasks[Milestone],AE14)="Yes",0,1)),IF($I14="SS",--($E14&lt;INDEX(Tasks[Start Date],AE14)),IF($I14="FF",--($F14&lt;INDEX(Tasks[End Date],AE14)),IF($I14="SF",--($F14&lt;INDEX(Tasks[Start Date],AE14)),0)))),0),IF(AF14&gt;0,IF($I14="FS",--($E14&lt;INDEX(Tasks[End Date],AF14)+IF(INDEX(Tasks[Milestone],AF14)="Yes",0,1)),IF($I14="SS",--($E14&lt;INDEX(Tasks[Start Date],AF14)),IF($I14="FF",--($F14&lt;INDEX(Tasks[End Date],AF14)),IF($I14="SF",--($F14&lt;INDEX(Tasks[Start Date],AF14)),0)))),0),IF(AG14&gt;0,IF($I14="FS",--($E14&lt;INDEX(Tasks[End Date],AG14)+IF(INDEX(Tasks[Milestone],AG14)="Yes",0,1)),IF($I14="SS",--($E14&lt;INDEX(Tasks[Start Date],AG14)),IF($I14="FF",--($F14&lt;INDEX(Tasks[End Date],AG14)),IF($I14="SF",--($F14&lt;INDEX(Tasks[Start Date],AG14)),0)))),0),IF(AH14&gt;0,IF($I14="FS",--($E14&lt;INDEX(Tasks[End Date],AH14)+IF(INDEX(Tasks[Milestone],AH14)="Yes",0,1)),IF($I14="SS",--($E14&lt;INDEX(Tasks[Start Date],AH14)),IF($I14="FF",--($F14&lt;INDEX(Tasks[End Date],AH14)),IF($I14="SF",--($F14&lt;INDEX(Tasks[Start Date],AH14)),0)))),0),IF(AI14&gt;0,IF($I14="FS",--($E14&lt;INDEX(Tasks[End Date],AI14)+IF(INDEX(Tasks[Milestone],AI14)="Yes",0,1)),IF($I14="SS",--($E14&lt;INDEX(Tasks[Start Date],AI14)),IF($I14="FF",--($F14&lt;INDEX(Tasks[End Date],AI14)),IF($I14="SF",--($F14&lt;INDEX(Tasks[Start Date],AI14)),0)))),0),IF(AJ14&gt;0,IF($I14="FS",--($E14&lt;INDEX(Tasks[End Date],AJ14)+IF(INDEX(Tasks[Milestone],AJ14)="Yes",0,1)),IF($I14="SS",--($E14&lt;INDEX(Tasks[Start Date],AJ14)),IF($I14="FF",--($F14&lt;INDEX(Tasks[End Date],AJ14)),IF($I14="SF",--($F14&lt;INDEX(Tasks[Start Date],AJ14)),0)))),0)))</ns0:f>
        <ns0:v>0</ns0:v>
      </ns0:c>
      <ns0:c r="AM14" t="n">
        <ns0:f>IF(AND(A14&lt;&gt;"",AK14=0,EP14=0),1,0)</ns0:f>
        <ns0:v>0</ns0:v>
      </ns0:c>
      <ns0:c r="AN14" t="str">
        <ns0:f>IF(OR(A14="",B14=""),"",IF(COUNTIFS($B$7:B14,B14)=1,MAX($AN$6:AN13)+1,""))</ns0:f>
      </ns0:c>
      <ns0:c r="AO14" t="n">
        <ns0:f>IF(AND(A14&lt;&gt;"",J14="No",N14&lt;1,E14&gt;=AsOfDate),E14+ROW()/10000,1E+9)</ns0:f>
        <ns0:v>46279.0014</ns0:v>
      </ns0:c>
      <ns0:c r="AP14" t="n">
        <ns0:f>IF(AND(A14&lt;&gt;"",J14="Yes",N14&lt;1,E14&gt;=AsOfDate),E14+ROW()/10000,1E+9)</ns0:f>
        <ns0:v>1000000000</ns0:v>
      </ns0:c>
      <ns0:c r="AQ14" t="n">
        <ns0:f>IF(AND(A14&lt;&gt;"",J14="No",N14&lt;1,F14&gt;=AsOfDate,F14&lt;=AsOfDate+7),F14+ROW()/10000,1E+9)</ns0:f>
        <ns0:v>46280.0014</ns0:v>
      </ns0:c>
      <ns0:c r="AR14" t="n">
        <ns0:f>IF(AND(A14&lt;&gt;"",OR(O14&lt;&gt;"On track",Q14="Delayed")),ROW(),1E+9)</ns0:f>
        <ns0:v>1000000000</ns0:v>
      </ns0:c>
      <ns0:c r="AS14" t="str">
        <ns0:f>IF(A14="","",";"&amp;K14&amp;";")</ns0:f>
        <ns0:v>;Institutional Memory Store (MEM);</ns0:v>
      </ns0:c>
      <ns0:c r="AT14" t="n">
        <ns0:f>IF(A14="",1,--(T14=0))</ns0:f>
        <ns0:v>0</ns0:v>
      </ns0:c>
      <ns0:c r="AU14" t="n">
        <ns0:f>IF($A14="",1,IF(AT14=1,1,--AND(IF($AC14&gt;0,INDEX(AT$7:AT$106,$AC14),1),IF($AD14&gt;0,INDEX(AT$7:AT$106,$AD14),1),IF($AE14&gt;0,INDEX(AT$7:AT$106,$AE14),1),IF($AF14&gt;0,INDEX(AT$7:AT$106,$AF14),1),IF($AG14&gt;0,INDEX(AT$7:AT$106,$AG14),1),IF($AH14&gt;0,INDEX(AT$7:AT$106,$AH14),1),IF($AI14&gt;0,INDEX(AT$7:AT$106,$AI14),1),IF($AJ14&gt;0,INDEX(AT$7:AT$106,$AJ14),1))))</ns0:f>
        <ns0:v>0</ns0:v>
      </ns0:c>
      <ns0:c r="AV14" t="n">
        <ns0:f>IF($A14="",1,IF(AU14=1,1,--AND(IF($AC14&gt;0,INDEX(AU$7:AU$106,$AC14),1),IF($AD14&gt;0,INDEX(AU$7:AU$106,$AD14),1),IF($AE14&gt;0,INDEX(AU$7:AU$106,$AE14),1),IF($AF14&gt;0,INDEX(AU$7:AU$106,$AF14),1),IF($AG14&gt;0,INDEX(AU$7:AU$106,$AG14),1),IF($AH14&gt;0,INDEX(AU$7:AU$106,$AH14),1),IF($AI14&gt;0,INDEX(AU$7:AU$106,$AI14),1),IF($AJ14&gt;0,INDEX(AU$7:AU$106,$AJ14),1))))</ns0:f>
        <ns0:v>1</ns0:v>
      </ns0:c>
      <ns0:c r="AW14" t="n">
        <ns0:f>IF($A14="",1,IF(AV14=1,1,--AND(IF($AC14&gt;0,INDEX(AV$7:AV$106,$AC14),1),IF($AD14&gt;0,INDEX(AV$7:AV$106,$AD14),1),IF($AE14&gt;0,INDEX(AV$7:AV$106,$AE14),1),IF($AF14&gt;0,INDEX(AV$7:AV$106,$AF14),1),IF($AG14&gt;0,INDEX(AV$7:AV$106,$AG14),1),IF($AH14&gt;0,INDEX(AV$7:AV$106,$AH14),1),IF($AI14&gt;0,INDEX(AV$7:AV$106,$AI14),1),IF($AJ14&gt;0,INDEX(AV$7:AV$106,$AJ14),1))))</ns0:f>
        <ns0:v>1</ns0:v>
      </ns0:c>
      <ns0:c r="AX14" t="n">
        <ns0:f>IF($A14="",1,IF(AW14=1,1,--AND(IF($AC14&gt;0,INDEX(AW$7:AW$106,$AC14),1),IF($AD14&gt;0,INDEX(AW$7:AW$106,$AD14),1),IF($AE14&gt;0,INDEX(AW$7:AW$106,$AE14),1),IF($AF14&gt;0,INDEX(AW$7:AW$106,$AF14),1),IF($AG14&gt;0,INDEX(AW$7:AW$106,$AG14),1),IF($AH14&gt;0,INDEX(AW$7:AW$106,$AH14),1),IF($AI14&gt;0,INDEX(AW$7:AW$106,$AI14),1),IF($AJ14&gt;0,INDEX(AW$7:AW$106,$AJ14),1))))</ns0:f>
        <ns0:v>1</ns0:v>
      </ns0:c>
      <ns0:c r="AY14" t="n">
        <ns0:f>IF($A14="",1,IF(AX14=1,1,--AND(IF($AC14&gt;0,INDEX(AX$7:AX$106,$AC14),1),IF($AD14&gt;0,INDEX(AX$7:AX$106,$AD14),1),IF($AE14&gt;0,INDEX(AX$7:AX$106,$AE14),1),IF($AF14&gt;0,INDEX(AX$7:AX$106,$AF14),1),IF($AG14&gt;0,INDEX(AX$7:AX$106,$AG14),1),IF($AH14&gt;0,INDEX(AX$7:AX$106,$AH14),1),IF($AI14&gt;0,INDEX(AX$7:AX$106,$AI14),1),IF($AJ14&gt;0,INDEX(AX$7:AX$106,$AJ14),1))))</ns0:f>
        <ns0:v>1</ns0:v>
      </ns0:c>
      <ns0:c r="AZ14" t="n">
        <ns0:f>IF($A14="",1,IF(AY14=1,1,--AND(IF($AC14&gt;0,INDEX(AY$7:AY$106,$AC14),1),IF($AD14&gt;0,INDEX(AY$7:AY$106,$AD14),1),IF($AE14&gt;0,INDEX(AY$7:AY$106,$AE14),1),IF($AF14&gt;0,INDEX(AY$7:AY$106,$AF14),1),IF($AG14&gt;0,INDEX(AY$7:AY$106,$AG14),1),IF($AH14&gt;0,INDEX(AY$7:AY$106,$AH14),1),IF($AI14&gt;0,INDEX(AY$7:AY$106,$AI14),1),IF($AJ14&gt;0,INDEX(AY$7:AY$106,$AJ14),1))))</ns0:f>
        <ns0:v>1</ns0:v>
      </ns0:c>
      <ns0:c r="BA14" t="n">
        <ns0:f>IF($A14="",1,IF(AZ14=1,1,--AND(IF($AC14&gt;0,INDEX(AZ$7:AZ$106,$AC14),1),IF($AD14&gt;0,INDEX(AZ$7:AZ$106,$AD14),1),IF($AE14&gt;0,INDEX(AZ$7:AZ$106,$AE14),1),IF($AF14&gt;0,INDEX(AZ$7:AZ$106,$AF14),1),IF($AG14&gt;0,INDEX(AZ$7:AZ$106,$AG14),1),IF($AH14&gt;0,INDEX(AZ$7:AZ$106,$AH14),1),IF($AI14&gt;0,INDEX(AZ$7:AZ$106,$AI14),1),IF($AJ14&gt;0,INDEX(AZ$7:AZ$106,$AJ14),1))))</ns0:f>
        <ns0:v>1</ns0:v>
      </ns0:c>
      <ns0:c r="BB14" t="n">
        <ns0:f>IF($A14="",1,IF(BA14=1,1,--AND(IF($AC14&gt;0,INDEX(BA$7:BA$106,$AC14),1),IF($AD14&gt;0,INDEX(BA$7:BA$106,$AD14),1),IF($AE14&gt;0,INDEX(BA$7:BA$106,$AE14),1),IF($AF14&gt;0,INDEX(BA$7:BA$106,$AF14),1),IF($AG14&gt;0,INDEX(BA$7:BA$106,$AG14),1),IF($AH14&gt;0,INDEX(BA$7:BA$106,$AH14),1),IF($AI14&gt;0,INDEX(BA$7:BA$106,$AI14),1),IF($AJ14&gt;0,INDEX(BA$7:BA$106,$AJ14),1))))</ns0:f>
        <ns0:v>1</ns0:v>
      </ns0:c>
      <ns0:c r="BC14" t="n">
        <ns0:f>IF($A14="",1,IF(BB14=1,1,--AND(IF($AC14&gt;0,INDEX(BB$7:BB$106,$AC14),1),IF($AD14&gt;0,INDEX(BB$7:BB$106,$AD14),1),IF($AE14&gt;0,INDEX(BB$7:BB$106,$AE14),1),IF($AF14&gt;0,INDEX(BB$7:BB$106,$AF14),1),IF($AG14&gt;0,INDEX(BB$7:BB$106,$AG14),1),IF($AH14&gt;0,INDEX(BB$7:BB$106,$AH14),1),IF($AI14&gt;0,INDEX(BB$7:BB$106,$AI14),1),IF($AJ14&gt;0,INDEX(BB$7:BB$106,$AJ14),1))))</ns0:f>
        <ns0:v>1</ns0:v>
      </ns0:c>
      <ns0:c r="BD14" t="n">
        <ns0:f>IF($A14="",1,IF(BC14=1,1,--AND(IF($AC14&gt;0,INDEX(BC$7:BC$106,$AC14),1),IF($AD14&gt;0,INDEX(BC$7:BC$106,$AD14),1),IF($AE14&gt;0,INDEX(BC$7:BC$106,$AE14),1),IF($AF14&gt;0,INDEX(BC$7:BC$106,$AF14),1),IF($AG14&gt;0,INDEX(BC$7:BC$106,$AG14),1),IF($AH14&gt;0,INDEX(BC$7:BC$106,$AH14),1),IF($AI14&gt;0,INDEX(BC$7:BC$106,$AI14),1),IF($AJ14&gt;0,INDEX(BC$7:BC$106,$AJ14),1))))</ns0:f>
        <ns0:v>1</ns0:v>
      </ns0:c>
      <ns0:c r="BE14" t="n">
        <ns0:f>IF($A14="",1,IF(BD14=1,1,--AND(IF($AC14&gt;0,INDEX(BD$7:BD$106,$AC14),1),IF($AD14&gt;0,INDEX(BD$7:BD$106,$AD14),1),IF($AE14&gt;0,INDEX(BD$7:BD$106,$AE14),1),IF($AF14&gt;0,INDEX(BD$7:BD$106,$AF14),1),IF($AG14&gt;0,INDEX(BD$7:BD$106,$AG14),1),IF($AH14&gt;0,INDEX(BD$7:BD$106,$AH14),1),IF($AI14&gt;0,INDEX(BD$7:BD$106,$AI14),1),IF($AJ14&gt;0,INDEX(BD$7:BD$106,$AJ14),1))))</ns0:f>
        <ns0:v>1</ns0:v>
      </ns0:c>
      <ns0:c r="BF14" t="n">
        <ns0:f>IF($A14="",1,IF(BE14=1,1,--AND(IF($AC14&gt;0,INDEX(BE$7:BE$106,$AC14),1),IF($AD14&gt;0,INDEX(BE$7:BE$106,$AD14),1),IF($AE14&gt;0,INDEX(BE$7:BE$106,$AE14),1),IF($AF14&gt;0,INDEX(BE$7:BE$106,$AF14),1),IF($AG14&gt;0,INDEX(BE$7:BE$106,$AG14),1),IF($AH14&gt;0,INDEX(BE$7:BE$106,$AH14),1),IF($AI14&gt;0,INDEX(BE$7:BE$106,$AI14),1),IF($AJ14&gt;0,INDEX(BE$7:BE$106,$AJ14),1))))</ns0:f>
        <ns0:v>1</ns0:v>
      </ns0:c>
      <ns0:c r="BG14" t="n">
        <ns0:f>IF($A14="",1,IF(BF14=1,1,--AND(IF($AC14&gt;0,INDEX(BF$7:BF$106,$AC14),1),IF($AD14&gt;0,INDEX(BF$7:BF$106,$AD14),1),IF($AE14&gt;0,INDEX(BF$7:BF$106,$AE14),1),IF($AF14&gt;0,INDEX(BF$7:BF$106,$AF14),1),IF($AG14&gt;0,INDEX(BF$7:BF$106,$AG14),1),IF($AH14&gt;0,INDEX(BF$7:BF$106,$AH14),1),IF($AI14&gt;0,INDEX(BF$7:BF$106,$AI14),1),IF($AJ14&gt;0,INDEX(BF$7:BF$106,$AJ14),1))))</ns0:f>
        <ns0:v>1</ns0:v>
      </ns0:c>
      <ns0:c r="BH14" t="n">
        <ns0:f>IF($A14="",1,IF(BG14=1,1,--AND(IF($AC14&gt;0,INDEX(BG$7:BG$106,$AC14),1),IF($AD14&gt;0,INDEX(BG$7:BG$106,$AD14),1),IF($AE14&gt;0,INDEX(BG$7:BG$106,$AE14),1),IF($AF14&gt;0,INDEX(BG$7:BG$106,$AF14),1),IF($AG14&gt;0,INDEX(BG$7:BG$106,$AG14),1),IF($AH14&gt;0,INDEX(BG$7:BG$106,$AH14),1),IF($AI14&gt;0,INDEX(BG$7:BG$106,$AI14),1),IF($AJ14&gt;0,INDEX(BG$7:BG$106,$AJ14),1))))</ns0:f>
        <ns0:v>1</ns0:v>
      </ns0:c>
      <ns0:c r="BI14" t="n">
        <ns0:f>IF($A14="",1,IF(BH14=1,1,--AND(IF($AC14&gt;0,INDEX(BH$7:BH$106,$AC14),1),IF($AD14&gt;0,INDEX(BH$7:BH$106,$AD14),1),IF($AE14&gt;0,INDEX(BH$7:BH$106,$AE14),1),IF($AF14&gt;0,INDEX(BH$7:BH$106,$AF14),1),IF($AG14&gt;0,INDEX(BH$7:BH$106,$AG14),1),IF($AH14&gt;0,INDEX(BH$7:BH$106,$AH14),1),IF($AI14&gt;0,INDEX(BH$7:BH$106,$AI14),1),IF($AJ14&gt;0,INDEX(BH$7:BH$106,$AJ14),1))))</ns0:f>
        <ns0:v>1</ns0:v>
      </ns0:c>
      <ns0:c r="BJ14" t="n">
        <ns0:f>IF($A14="",1,IF(BI14=1,1,--AND(IF($AC14&gt;0,INDEX(BI$7:BI$106,$AC14),1),IF($AD14&gt;0,INDEX(BI$7:BI$106,$AD14),1),IF($AE14&gt;0,INDEX(BI$7:BI$106,$AE14),1),IF($AF14&gt;0,INDEX(BI$7:BI$106,$AF14),1),IF($AG14&gt;0,INDEX(BI$7:BI$106,$AG14),1),IF($AH14&gt;0,INDEX(BI$7:BI$106,$AH14),1),IF($AI14&gt;0,INDEX(BI$7:BI$106,$AI14),1),IF($AJ14&gt;0,INDEX(BI$7:BI$106,$AJ14),1))))</ns0:f>
        <ns0:v>1</ns0:v>
      </ns0:c>
      <ns0:c r="BK14" t="n">
        <ns0:f>IF($A14="",1,IF(BJ14=1,1,--AND(IF($AC14&gt;0,INDEX(BJ$7:BJ$106,$AC14),1),IF($AD14&gt;0,INDEX(BJ$7:BJ$106,$AD14),1),IF($AE14&gt;0,INDEX(BJ$7:BJ$106,$AE14),1),IF($AF14&gt;0,INDEX(BJ$7:BJ$106,$AF14),1),IF($AG14&gt;0,INDEX(BJ$7:BJ$106,$AG14),1),IF($AH14&gt;0,INDEX(BJ$7:BJ$106,$AH14),1),IF($AI14&gt;0,INDEX(BJ$7:BJ$106,$AI14),1),IF($AJ14&gt;0,INDEX(BJ$7:BJ$106,$AJ14),1))))</ns0:f>
        <ns0:v>1</ns0:v>
      </ns0:c>
      <ns0:c r="BL14" t="n">
        <ns0:f>IF($A14="",1,IF(BK14=1,1,--AND(IF($AC14&gt;0,INDEX(BK$7:BK$106,$AC14),1),IF($AD14&gt;0,INDEX(BK$7:BK$106,$AD14),1),IF($AE14&gt;0,INDEX(BK$7:BK$106,$AE14),1),IF($AF14&gt;0,INDEX(BK$7:BK$106,$AF14),1),IF($AG14&gt;0,INDEX(BK$7:BK$106,$AG14),1),IF($AH14&gt;0,INDEX(BK$7:BK$106,$AH14),1),IF($AI14&gt;0,INDEX(BK$7:BK$106,$AI14),1),IF($AJ14&gt;0,INDEX(BK$7:BK$106,$AJ14),1))))</ns0:f>
        <ns0:v>1</ns0:v>
      </ns0:c>
      <ns0:c r="BM14" t="n">
        <ns0:f>IF($A14="",1,IF(BL14=1,1,--AND(IF($AC14&gt;0,INDEX(BL$7:BL$106,$AC14),1),IF($AD14&gt;0,INDEX(BL$7:BL$106,$AD14),1),IF($AE14&gt;0,INDEX(BL$7:BL$106,$AE14),1),IF($AF14&gt;0,INDEX(BL$7:BL$106,$AF14),1),IF($AG14&gt;0,INDEX(BL$7:BL$106,$AG14),1),IF($AH14&gt;0,INDEX(BL$7:BL$106,$AH14),1),IF($AI14&gt;0,INDEX(BL$7:BL$106,$AI14),1),IF($AJ14&gt;0,INDEX(BL$7:BL$106,$AJ14),1))))</ns0:f>
        <ns0:v>1</ns0:v>
      </ns0:c>
      <ns0:c r="BN14" t="n">
        <ns0:f>IF($A14="",1,IF(BM14=1,1,--AND(IF($AC14&gt;0,INDEX(BM$7:BM$106,$AC14),1),IF($AD14&gt;0,INDEX(BM$7:BM$106,$AD14),1),IF($AE14&gt;0,INDEX(BM$7:BM$106,$AE14),1),IF($AF14&gt;0,INDEX(BM$7:BM$106,$AF14),1),IF($AG14&gt;0,INDEX(BM$7:BM$106,$AG14),1),IF($AH14&gt;0,INDEX(BM$7:BM$106,$AH14),1),IF($AI14&gt;0,INDEX(BM$7:BM$106,$AI14),1),IF($AJ14&gt;0,INDEX(BM$7:BM$106,$AJ14),1))))</ns0:f>
        <ns0:v>1</ns0:v>
      </ns0:c>
      <ns0:c r="BO14" t="n">
        <ns0:f>IF($A14="",1,IF(BN14=1,1,--AND(IF($AC14&gt;0,INDEX(BN$7:BN$106,$AC14),1),IF($AD14&gt;0,INDEX(BN$7:BN$106,$AD14),1),IF($AE14&gt;0,INDEX(BN$7:BN$106,$AE14),1),IF($AF14&gt;0,INDEX(BN$7:BN$106,$AF14),1),IF($AG14&gt;0,INDEX(BN$7:BN$106,$AG14),1),IF($AH14&gt;0,INDEX(BN$7:BN$106,$AH14),1),IF($AI14&gt;0,INDEX(BN$7:BN$106,$AI14),1),IF($AJ14&gt;0,INDEX(BN$7:BN$106,$AJ14),1))))</ns0:f>
        <ns0:v>1</ns0:v>
      </ns0:c>
      <ns0:c r="BP14" t="n">
        <ns0:f>IF($A14="",1,IF(BO14=1,1,--AND(IF($AC14&gt;0,INDEX(BO$7:BO$106,$AC14),1),IF($AD14&gt;0,INDEX(BO$7:BO$106,$AD14),1),IF($AE14&gt;0,INDEX(BO$7:BO$106,$AE14),1),IF($AF14&gt;0,INDEX(BO$7:BO$106,$AF14),1),IF($AG14&gt;0,INDEX(BO$7:BO$106,$AG14),1),IF($AH14&gt;0,INDEX(BO$7:BO$106,$AH14),1),IF($AI14&gt;0,INDEX(BO$7:BO$106,$AI14),1),IF($AJ14&gt;0,INDEX(BO$7:BO$106,$AJ14),1))))</ns0:f>
        <ns0:v>1</ns0:v>
      </ns0:c>
      <ns0:c r="BQ14" t="n">
        <ns0:f>IF($A14="",1,IF(BP14=1,1,--AND(IF($AC14&gt;0,INDEX(BP$7:BP$106,$AC14),1),IF($AD14&gt;0,INDEX(BP$7:BP$106,$AD14),1),IF($AE14&gt;0,INDEX(BP$7:BP$106,$AE14),1),IF($AF14&gt;0,INDEX(BP$7:BP$106,$AF14),1),IF($AG14&gt;0,INDEX(BP$7:BP$106,$AG14),1),IF($AH14&gt;0,INDEX(BP$7:BP$106,$AH14),1),IF($AI14&gt;0,INDEX(BP$7:BP$106,$AI14),1),IF($AJ14&gt;0,INDEX(BP$7:BP$106,$AJ14),1))))</ns0:f>
        <ns0:v>1</ns0:v>
      </ns0:c>
      <ns0:c r="BR14" t="n">
        <ns0:f>IF($A14="",1,IF(BQ14=1,1,--AND(IF($AC14&gt;0,INDEX(BQ$7:BQ$106,$AC14),1),IF($AD14&gt;0,INDEX(BQ$7:BQ$106,$AD14),1),IF($AE14&gt;0,INDEX(BQ$7:BQ$106,$AE14),1),IF($AF14&gt;0,INDEX(BQ$7:BQ$106,$AF14),1),IF($AG14&gt;0,INDEX(BQ$7:BQ$106,$AG14),1),IF($AH14&gt;0,INDEX(BQ$7:BQ$106,$AH14),1),IF($AI14&gt;0,INDEX(BQ$7:BQ$106,$AI14),1),IF($AJ14&gt;0,INDEX(BQ$7:BQ$106,$AJ14),1))))</ns0:f>
        <ns0:v>1</ns0:v>
      </ns0:c>
      <ns0:c r="BS14" t="n">
        <ns0:f>IF($A14="",1,IF(BR14=1,1,--AND(IF($AC14&gt;0,INDEX(BR$7:BR$106,$AC14),1),IF($AD14&gt;0,INDEX(BR$7:BR$106,$AD14),1),IF($AE14&gt;0,INDEX(BR$7:BR$106,$AE14),1),IF($AF14&gt;0,INDEX(BR$7:BR$106,$AF14),1),IF($AG14&gt;0,INDEX(BR$7:BR$106,$AG14),1),IF($AH14&gt;0,INDEX(BR$7:BR$106,$AH14),1),IF($AI14&gt;0,INDEX(BR$7:BR$106,$AI14),1),IF($AJ14&gt;0,INDEX(BR$7:BR$106,$AJ14),1))))</ns0:f>
        <ns0:v>1</ns0:v>
      </ns0:c>
      <ns0:c r="BT14" t="n">
        <ns0:f>IF($A14="",1,IF(BS14=1,1,--AND(IF($AC14&gt;0,INDEX(BS$7:BS$106,$AC14),1),IF($AD14&gt;0,INDEX(BS$7:BS$106,$AD14),1),IF($AE14&gt;0,INDEX(BS$7:BS$106,$AE14),1),IF($AF14&gt;0,INDEX(BS$7:BS$106,$AF14),1),IF($AG14&gt;0,INDEX(BS$7:BS$106,$AG14),1),IF($AH14&gt;0,INDEX(BS$7:BS$106,$AH14),1),IF($AI14&gt;0,INDEX(BS$7:BS$106,$AI14),1),IF($AJ14&gt;0,INDEX(BS$7:BS$106,$AJ14),1))))</ns0:f>
        <ns0:v>1</ns0:v>
      </ns0:c>
      <ns0:c r="BU14" t="n">
        <ns0:f>IF($A14="",1,IF(BT14=1,1,--AND(IF($AC14&gt;0,INDEX(BT$7:BT$106,$AC14),1),IF($AD14&gt;0,INDEX(BT$7:BT$106,$AD14),1),IF($AE14&gt;0,INDEX(BT$7:BT$106,$AE14),1),IF($AF14&gt;0,INDEX(BT$7:BT$106,$AF14),1),IF($AG14&gt;0,INDEX(BT$7:BT$106,$AG14),1),IF($AH14&gt;0,INDEX(BT$7:BT$106,$AH14),1),IF($AI14&gt;0,INDEX(BT$7:BT$106,$AI14),1),IF($AJ14&gt;0,INDEX(BT$7:BT$106,$AJ14),1))))</ns0:f>
        <ns0:v>1</ns0:v>
      </ns0:c>
      <ns0:c r="BV14" t="n">
        <ns0:f>IF($A14="",1,IF(BU14=1,1,--AND(IF($AC14&gt;0,INDEX(BU$7:BU$106,$AC14),1),IF($AD14&gt;0,INDEX(BU$7:BU$106,$AD14),1),IF($AE14&gt;0,INDEX(BU$7:BU$106,$AE14),1),IF($AF14&gt;0,INDEX(BU$7:BU$106,$AF14),1),IF($AG14&gt;0,INDEX(BU$7:BU$106,$AG14),1),IF($AH14&gt;0,INDEX(BU$7:BU$106,$AH14),1),IF($AI14&gt;0,INDEX(BU$7:BU$106,$AI14),1),IF($AJ14&gt;0,INDEX(BU$7:BU$106,$AJ14),1))))</ns0:f>
        <ns0:v>1</ns0:v>
      </ns0:c>
      <ns0:c r="BW14" t="n">
        <ns0:f>IF($A14="",1,IF(BV14=1,1,--AND(IF($AC14&gt;0,INDEX(BV$7:BV$106,$AC14),1),IF($AD14&gt;0,INDEX(BV$7:BV$106,$AD14),1),IF($AE14&gt;0,INDEX(BV$7:BV$106,$AE14),1),IF($AF14&gt;0,INDEX(BV$7:BV$106,$AF14),1),IF($AG14&gt;0,INDEX(BV$7:BV$106,$AG14),1),IF($AH14&gt;0,INDEX(BV$7:BV$106,$AH14),1),IF($AI14&gt;0,INDEX(BV$7:BV$106,$AI14),1),IF($AJ14&gt;0,INDEX(BV$7:BV$106,$AJ14),1))))</ns0:f>
        <ns0:v>1</ns0:v>
      </ns0:c>
      <ns0:c r="BX14" t="n">
        <ns0:f>IF($A14="",1,IF(BW14=1,1,--AND(IF($AC14&gt;0,INDEX(BW$7:BW$106,$AC14),1),IF($AD14&gt;0,INDEX(BW$7:BW$106,$AD14),1),IF($AE14&gt;0,INDEX(BW$7:BW$106,$AE14),1),IF($AF14&gt;0,INDEX(BW$7:BW$106,$AF14),1),IF($AG14&gt;0,INDEX(BW$7:BW$106,$AG14),1),IF($AH14&gt;0,INDEX(BW$7:BW$106,$AH14),1),IF($AI14&gt;0,INDEX(BW$7:BW$106,$AI14),1),IF($AJ14&gt;0,INDEX(BW$7:BW$106,$AJ14),1))))</ns0:f>
        <ns0:v>1</ns0:v>
      </ns0:c>
      <ns0:c r="BY14" t="n">
        <ns0:f>IF($A14="",1,IF(BX14=1,1,--AND(IF($AC14&gt;0,INDEX(BX$7:BX$106,$AC14),1),IF($AD14&gt;0,INDEX(BX$7:BX$106,$AD14),1),IF($AE14&gt;0,INDEX(BX$7:BX$106,$AE14),1),IF($AF14&gt;0,INDEX(BX$7:BX$106,$AF14),1),IF($AG14&gt;0,INDEX(BX$7:BX$106,$AG14),1),IF($AH14&gt;0,INDEX(BX$7:BX$106,$AH14),1),IF($AI14&gt;0,INDEX(BX$7:BX$106,$AI14),1),IF($AJ14&gt;0,INDEX(BX$7:BX$106,$AJ14),1))))</ns0:f>
        <ns0:v>1</ns0:v>
      </ns0:c>
      <ns0:c r="BZ14" t="n">
        <ns0:f>IF($A14="",1,IF(BY14=1,1,--AND(IF($AC14&gt;0,INDEX(BY$7:BY$106,$AC14),1),IF($AD14&gt;0,INDEX(BY$7:BY$106,$AD14),1),IF($AE14&gt;0,INDEX(BY$7:BY$106,$AE14),1),IF($AF14&gt;0,INDEX(BY$7:BY$106,$AF14),1),IF($AG14&gt;0,INDEX(BY$7:BY$106,$AG14),1),IF($AH14&gt;0,INDEX(BY$7:BY$106,$AH14),1),IF($AI14&gt;0,INDEX(BY$7:BY$106,$AI14),1),IF($AJ14&gt;0,INDEX(BY$7:BY$106,$AJ14),1))))</ns0:f>
        <ns0:v>1</ns0:v>
      </ns0:c>
      <ns0:c r="CA14" t="n">
        <ns0:f>IF($A14="",1,IF(BZ14=1,1,--AND(IF($AC14&gt;0,INDEX(BZ$7:BZ$106,$AC14),1),IF($AD14&gt;0,INDEX(BZ$7:BZ$106,$AD14),1),IF($AE14&gt;0,INDEX(BZ$7:BZ$106,$AE14),1),IF($AF14&gt;0,INDEX(BZ$7:BZ$106,$AF14),1),IF($AG14&gt;0,INDEX(BZ$7:BZ$106,$AG14),1),IF($AH14&gt;0,INDEX(BZ$7:BZ$106,$AH14),1),IF($AI14&gt;0,INDEX(BZ$7:BZ$106,$AI14),1),IF($AJ14&gt;0,INDEX(BZ$7:BZ$106,$AJ14),1))))</ns0:f>
        <ns0:v>1</ns0:v>
      </ns0:c>
      <ns0:c r="CB14" t="n">
        <ns0:f>IF($A14="",1,IF(CA14=1,1,--AND(IF($AC14&gt;0,INDEX(CA$7:CA$106,$AC14),1),IF($AD14&gt;0,INDEX(CA$7:CA$106,$AD14),1),IF($AE14&gt;0,INDEX(CA$7:CA$106,$AE14),1),IF($AF14&gt;0,INDEX(CA$7:CA$106,$AF14),1),IF($AG14&gt;0,INDEX(CA$7:CA$106,$AG14),1),IF($AH14&gt;0,INDEX(CA$7:CA$106,$AH14),1),IF($AI14&gt;0,INDEX(CA$7:CA$106,$AI14),1),IF($AJ14&gt;0,INDEX(CA$7:CA$106,$AJ14),1))))</ns0:f>
        <ns0:v>1</ns0:v>
      </ns0:c>
      <ns0:c r="CC14" t="n">
        <ns0:f>IF($A14="",1,IF(CB14=1,1,--AND(IF($AC14&gt;0,INDEX(CB$7:CB$106,$AC14),1),IF($AD14&gt;0,INDEX(CB$7:CB$106,$AD14),1),IF($AE14&gt;0,INDEX(CB$7:CB$106,$AE14),1),IF($AF14&gt;0,INDEX(CB$7:CB$106,$AF14),1),IF($AG14&gt;0,INDEX(CB$7:CB$106,$AG14),1),IF($AH14&gt;0,INDEX(CB$7:CB$106,$AH14),1),IF($AI14&gt;0,INDEX(CB$7:CB$106,$AI14),1),IF($AJ14&gt;0,INDEX(CB$7:CB$106,$AJ14),1))))</ns0:f>
        <ns0:v>1</ns0:v>
      </ns0:c>
      <ns0:c r="CD14" t="n">
        <ns0:f>IF($A14="",1,IF(CC14=1,1,--AND(IF($AC14&gt;0,INDEX(CC$7:CC$106,$AC14),1),IF($AD14&gt;0,INDEX(CC$7:CC$106,$AD14),1),IF($AE14&gt;0,INDEX(CC$7:CC$106,$AE14),1),IF($AF14&gt;0,INDEX(CC$7:CC$106,$AF14),1),IF($AG14&gt;0,INDEX(CC$7:CC$106,$AG14),1),IF($AH14&gt;0,INDEX(CC$7:CC$106,$AH14),1),IF($AI14&gt;0,INDEX(CC$7:CC$106,$AI14),1),IF($AJ14&gt;0,INDEX(CC$7:CC$106,$AJ14),1))))</ns0:f>
        <ns0:v>1</ns0:v>
      </ns0:c>
      <ns0:c r="CE14" t="n">
        <ns0:f>IF($A14="",1,IF(CD14=1,1,--AND(IF($AC14&gt;0,INDEX(CD$7:CD$106,$AC14),1),IF($AD14&gt;0,INDEX(CD$7:CD$106,$AD14),1),IF($AE14&gt;0,INDEX(CD$7:CD$106,$AE14),1),IF($AF14&gt;0,INDEX(CD$7:CD$106,$AF14),1),IF($AG14&gt;0,INDEX(CD$7:CD$106,$AG14),1),IF($AH14&gt;0,INDEX(CD$7:CD$106,$AH14),1),IF($AI14&gt;0,INDEX(CD$7:CD$106,$AI14),1),IF($AJ14&gt;0,INDEX(CD$7:CD$106,$AJ14),1))))</ns0:f>
        <ns0:v>1</ns0:v>
      </ns0:c>
      <ns0:c r="CF14" t="n">
        <ns0:f>IF($A14="",1,IF(CE14=1,1,--AND(IF($AC14&gt;0,INDEX(CE$7:CE$106,$AC14),1),IF($AD14&gt;0,INDEX(CE$7:CE$106,$AD14),1),IF($AE14&gt;0,INDEX(CE$7:CE$106,$AE14),1),IF($AF14&gt;0,INDEX(CE$7:CE$106,$AF14),1),IF($AG14&gt;0,INDEX(CE$7:CE$106,$AG14),1),IF($AH14&gt;0,INDEX(CE$7:CE$106,$AH14),1),IF($AI14&gt;0,INDEX(CE$7:CE$106,$AI14),1),IF($AJ14&gt;0,INDEX(CE$7:CE$106,$AJ14),1))))</ns0:f>
        <ns0:v>1</ns0:v>
      </ns0:c>
      <ns0:c r="CG14" t="n">
        <ns0:f>IF($A14="",1,IF(CF14=1,1,--AND(IF($AC14&gt;0,INDEX(CF$7:CF$106,$AC14),1),IF($AD14&gt;0,INDEX(CF$7:CF$106,$AD14),1),IF($AE14&gt;0,INDEX(CF$7:CF$106,$AE14),1),IF($AF14&gt;0,INDEX(CF$7:CF$106,$AF14),1),IF($AG14&gt;0,INDEX(CF$7:CF$106,$AG14),1),IF($AH14&gt;0,INDEX(CF$7:CF$106,$AH14),1),IF($AI14&gt;0,INDEX(CF$7:CF$106,$AI14),1),IF($AJ14&gt;0,INDEX(CF$7:CF$106,$AJ14),1))))</ns0:f>
        <ns0:v>1</ns0:v>
      </ns0:c>
      <ns0:c r="CH14" t="n">
        <ns0:f>IF($A14="",1,IF(CG14=1,1,--AND(IF($AC14&gt;0,INDEX(CG$7:CG$106,$AC14),1),IF($AD14&gt;0,INDEX(CG$7:CG$106,$AD14),1),IF($AE14&gt;0,INDEX(CG$7:CG$106,$AE14),1),IF($AF14&gt;0,INDEX(CG$7:CG$106,$AF14),1),IF($AG14&gt;0,INDEX(CG$7:CG$106,$AG14),1),IF($AH14&gt;0,INDEX(CG$7:CG$106,$AH14),1),IF($AI14&gt;0,INDEX(CG$7:CG$106,$AI14),1),IF($AJ14&gt;0,INDEX(CG$7:CG$106,$AJ14),1))))</ns0:f>
        <ns0:v>1</ns0:v>
      </ns0:c>
      <ns0:c r="CI14" t="n">
        <ns0:f>IF($A14="",1,IF(CH14=1,1,--AND(IF($AC14&gt;0,INDEX(CH$7:CH$106,$AC14),1),IF($AD14&gt;0,INDEX(CH$7:CH$106,$AD14),1),IF($AE14&gt;0,INDEX(CH$7:CH$106,$AE14),1),IF($AF14&gt;0,INDEX(CH$7:CH$106,$AF14),1),IF($AG14&gt;0,INDEX(CH$7:CH$106,$AG14),1),IF($AH14&gt;0,INDEX(CH$7:CH$106,$AH14),1),IF($AI14&gt;0,INDEX(CH$7:CH$106,$AI14),1),IF($AJ14&gt;0,INDEX(CH$7:CH$106,$AJ14),1))))</ns0:f>
        <ns0:v>1</ns0:v>
      </ns0:c>
      <ns0:c r="CJ14" t="n">
        <ns0:f>IF($A14="",1,IF(CI14=1,1,--AND(IF($AC14&gt;0,INDEX(CI$7:CI$106,$AC14),1),IF($AD14&gt;0,INDEX(CI$7:CI$106,$AD14),1),IF($AE14&gt;0,INDEX(CI$7:CI$106,$AE14),1),IF($AF14&gt;0,INDEX(CI$7:CI$106,$AF14),1),IF($AG14&gt;0,INDEX(CI$7:CI$106,$AG14),1),IF($AH14&gt;0,INDEX(CI$7:CI$106,$AH14),1),IF($AI14&gt;0,INDEX(CI$7:CI$106,$AI14),1),IF($AJ14&gt;0,INDEX(CI$7:CI$106,$AJ14),1))))</ns0:f>
        <ns0:v>1</ns0:v>
      </ns0:c>
      <ns0:c r="CK14" t="n">
        <ns0:f>IF($A14="",1,IF(CJ14=1,1,--AND(IF($AC14&gt;0,INDEX(CJ$7:CJ$106,$AC14),1),IF($AD14&gt;0,INDEX(CJ$7:CJ$106,$AD14),1),IF($AE14&gt;0,INDEX(CJ$7:CJ$106,$AE14),1),IF($AF14&gt;0,INDEX(CJ$7:CJ$106,$AF14),1),IF($AG14&gt;0,INDEX(CJ$7:CJ$106,$AG14),1),IF($AH14&gt;0,INDEX(CJ$7:CJ$106,$AH14),1),IF($AI14&gt;0,INDEX(CJ$7:CJ$106,$AI14),1),IF($AJ14&gt;0,INDEX(CJ$7:CJ$106,$AJ14),1))))</ns0:f>
        <ns0:v>1</ns0:v>
      </ns0:c>
      <ns0:c r="CL14" t="n">
        <ns0:f>IF($A14="",1,IF(CK14=1,1,--AND(IF($AC14&gt;0,INDEX(CK$7:CK$106,$AC14),1),IF($AD14&gt;0,INDEX(CK$7:CK$106,$AD14),1),IF($AE14&gt;0,INDEX(CK$7:CK$106,$AE14),1),IF($AF14&gt;0,INDEX(CK$7:CK$106,$AF14),1),IF($AG14&gt;0,INDEX(CK$7:CK$106,$AG14),1),IF($AH14&gt;0,INDEX(CK$7:CK$106,$AH14),1),IF($AI14&gt;0,INDEX(CK$7:CK$106,$AI14),1),IF($AJ14&gt;0,INDEX(CK$7:CK$106,$AJ14),1))))</ns0:f>
        <ns0:v>1</ns0:v>
      </ns0:c>
      <ns0:c r="CM14" t="n">
        <ns0:f>IF($A14="",1,IF(CL14=1,1,--AND(IF($AC14&gt;0,INDEX(CL$7:CL$106,$AC14),1),IF($AD14&gt;0,INDEX(CL$7:CL$106,$AD14),1),IF($AE14&gt;0,INDEX(CL$7:CL$106,$AE14),1),IF($AF14&gt;0,INDEX(CL$7:CL$106,$AF14),1),IF($AG14&gt;0,INDEX(CL$7:CL$106,$AG14),1),IF($AH14&gt;0,INDEX(CL$7:CL$106,$AH14),1),IF($AI14&gt;0,INDEX(CL$7:CL$106,$AI14),1),IF($AJ14&gt;0,INDEX(CL$7:CL$106,$AJ14),1))))</ns0:f>
        <ns0:v>1</ns0:v>
      </ns0:c>
      <ns0:c r="CN14" t="n">
        <ns0:f>IF($A14="",1,IF(CM14=1,1,--AND(IF($AC14&gt;0,INDEX(CM$7:CM$106,$AC14),1),IF($AD14&gt;0,INDEX(CM$7:CM$106,$AD14),1),IF($AE14&gt;0,INDEX(CM$7:CM$106,$AE14),1),IF($AF14&gt;0,INDEX(CM$7:CM$106,$AF14),1),IF($AG14&gt;0,INDEX(CM$7:CM$106,$AG14),1),IF($AH14&gt;0,INDEX(CM$7:CM$106,$AH14),1),IF($AI14&gt;0,INDEX(CM$7:CM$106,$AI14),1),IF($AJ14&gt;0,INDEX(CM$7:CM$106,$AJ14),1))))</ns0:f>
        <ns0:v>1</ns0:v>
      </ns0:c>
      <ns0:c r="CO14" t="n">
        <ns0:f>IF($A14="",1,IF(CN14=1,1,--AND(IF($AC14&gt;0,INDEX(CN$7:CN$106,$AC14),1),IF($AD14&gt;0,INDEX(CN$7:CN$106,$AD14),1),IF($AE14&gt;0,INDEX(CN$7:CN$106,$AE14),1),IF($AF14&gt;0,INDEX(CN$7:CN$106,$AF14),1),IF($AG14&gt;0,INDEX(CN$7:CN$106,$AG14),1),IF($AH14&gt;0,INDEX(CN$7:CN$106,$AH14),1),IF($AI14&gt;0,INDEX(CN$7:CN$106,$AI14),1),IF($AJ14&gt;0,INDEX(CN$7:CN$106,$AJ14),1))))</ns0:f>
        <ns0:v>1</ns0:v>
      </ns0:c>
      <ns0:c r="CP14" t="n">
        <ns0:f>IF($A14="",1,IF(CO14=1,1,--AND(IF($AC14&gt;0,INDEX(CO$7:CO$106,$AC14),1),IF($AD14&gt;0,INDEX(CO$7:CO$106,$AD14),1),IF($AE14&gt;0,INDEX(CO$7:CO$106,$AE14),1),IF($AF14&gt;0,INDEX(CO$7:CO$106,$AF14),1),IF($AG14&gt;0,INDEX(CO$7:CO$106,$AG14),1),IF($AH14&gt;0,INDEX(CO$7:CO$106,$AH14),1),IF($AI14&gt;0,INDEX(CO$7:CO$106,$AI14),1),IF($AJ14&gt;0,INDEX(CO$7:CO$106,$AJ14),1))))</ns0:f>
        <ns0:v>1</ns0:v>
      </ns0:c>
      <ns0:c r="CQ14" t="n">
        <ns0:f>IF($A14="",1,IF(CP14=1,1,--AND(IF($AC14&gt;0,INDEX(CP$7:CP$106,$AC14),1),IF($AD14&gt;0,INDEX(CP$7:CP$106,$AD14),1),IF($AE14&gt;0,INDEX(CP$7:CP$106,$AE14),1),IF($AF14&gt;0,INDEX(CP$7:CP$106,$AF14),1),IF($AG14&gt;0,INDEX(CP$7:CP$106,$AG14),1),IF($AH14&gt;0,INDEX(CP$7:CP$106,$AH14),1),IF($AI14&gt;0,INDEX(CP$7:CP$106,$AI14),1),IF($AJ14&gt;0,INDEX(CP$7:CP$106,$AJ14),1))))</ns0:f>
        <ns0:v>1</ns0:v>
      </ns0:c>
      <ns0:c r="CR14" t="n">
        <ns0:f>IF($A14="",1,IF(CQ14=1,1,--AND(IF($AC14&gt;0,INDEX(CQ$7:CQ$106,$AC14),1),IF($AD14&gt;0,INDEX(CQ$7:CQ$106,$AD14),1),IF($AE14&gt;0,INDEX(CQ$7:CQ$106,$AE14),1),IF($AF14&gt;0,INDEX(CQ$7:CQ$106,$AF14),1),IF($AG14&gt;0,INDEX(CQ$7:CQ$106,$AG14),1),IF($AH14&gt;0,INDEX(CQ$7:CQ$106,$AH14),1),IF($AI14&gt;0,INDEX(CQ$7:CQ$106,$AI14),1),IF($AJ14&gt;0,INDEX(CQ$7:CQ$106,$AJ14),1))))</ns0:f>
        <ns0:v>1</ns0:v>
      </ns0:c>
      <ns0:c r="CS14" t="n">
        <ns0:f>IF($A14="",1,IF(CR14=1,1,--AND(IF($AC14&gt;0,INDEX(CR$7:CR$106,$AC14),1),IF($AD14&gt;0,INDEX(CR$7:CR$106,$AD14),1),IF($AE14&gt;0,INDEX(CR$7:CR$106,$AE14),1),IF($AF14&gt;0,INDEX(CR$7:CR$106,$AF14),1),IF($AG14&gt;0,INDEX(CR$7:CR$106,$AG14),1),IF($AH14&gt;0,INDEX(CR$7:CR$106,$AH14),1),IF($AI14&gt;0,INDEX(CR$7:CR$106,$AI14),1),IF($AJ14&gt;0,INDEX(CR$7:CR$106,$AJ14),1))))</ns0:f>
        <ns0:v>1</ns0:v>
      </ns0:c>
      <ns0:c r="CT14" t="n">
        <ns0:f>IF($A14="",1,IF(CS14=1,1,--AND(IF($AC14&gt;0,INDEX(CS$7:CS$106,$AC14),1),IF($AD14&gt;0,INDEX(CS$7:CS$106,$AD14),1),IF($AE14&gt;0,INDEX(CS$7:CS$106,$AE14),1),IF($AF14&gt;0,INDEX(CS$7:CS$106,$AF14),1),IF($AG14&gt;0,INDEX(CS$7:CS$106,$AG14),1),IF($AH14&gt;0,INDEX(CS$7:CS$106,$AH14),1),IF($AI14&gt;0,INDEX(CS$7:CS$106,$AI14),1),IF($AJ14&gt;0,INDEX(CS$7:CS$106,$AJ14),1))))</ns0:f>
        <ns0:v>1</ns0:v>
      </ns0:c>
      <ns0:c r="CU14" t="n">
        <ns0:f>IF($A14="",1,IF(CT14=1,1,--AND(IF($AC14&gt;0,INDEX(CT$7:CT$106,$AC14),1),IF($AD14&gt;0,INDEX(CT$7:CT$106,$AD14),1),IF($AE14&gt;0,INDEX(CT$7:CT$106,$AE14),1),IF($AF14&gt;0,INDEX(CT$7:CT$106,$AF14),1),IF($AG14&gt;0,INDEX(CT$7:CT$106,$AG14),1),IF($AH14&gt;0,INDEX(CT$7:CT$106,$AH14),1),IF($AI14&gt;0,INDEX(CT$7:CT$106,$AI14),1),IF($AJ14&gt;0,INDEX(CT$7:CT$106,$AJ14),1))))</ns0:f>
        <ns0:v>1</ns0:v>
      </ns0:c>
      <ns0:c r="CV14" t="n">
        <ns0:f>IF($A14="",1,IF(CU14=1,1,--AND(IF($AC14&gt;0,INDEX(CU$7:CU$106,$AC14),1),IF($AD14&gt;0,INDEX(CU$7:CU$106,$AD14),1),IF($AE14&gt;0,INDEX(CU$7:CU$106,$AE14),1),IF($AF14&gt;0,INDEX(CU$7:CU$106,$AF14),1),IF($AG14&gt;0,INDEX(CU$7:CU$106,$AG14),1),IF($AH14&gt;0,INDEX(CU$7:CU$106,$AH14),1),IF($AI14&gt;0,INDEX(CU$7:CU$106,$AI14),1),IF($AJ14&gt;0,INDEX(CU$7:CU$106,$AJ14),1))))</ns0:f>
        <ns0:v>1</ns0:v>
      </ns0:c>
      <ns0:c r="CW14" t="n">
        <ns0:f>IF($A14="",1,IF(CV14=1,1,--AND(IF($AC14&gt;0,INDEX(CV$7:CV$106,$AC14),1),IF($AD14&gt;0,INDEX(CV$7:CV$106,$AD14),1),IF($AE14&gt;0,INDEX(CV$7:CV$106,$AE14),1),IF($AF14&gt;0,INDEX(CV$7:CV$106,$AF14),1),IF($AG14&gt;0,INDEX(CV$7:CV$106,$AG14),1),IF($AH14&gt;0,INDEX(CV$7:CV$106,$AH14),1),IF($AI14&gt;0,INDEX(CV$7:CV$106,$AI14),1),IF($AJ14&gt;0,INDEX(CV$7:CV$106,$AJ14),1))))</ns0:f>
        <ns0:v>1</ns0:v>
      </ns0:c>
      <ns0:c r="CX14" t="n">
        <ns0:f>IF($A14="",1,IF(CW14=1,1,--AND(IF($AC14&gt;0,INDEX(CW$7:CW$106,$AC14),1),IF($AD14&gt;0,INDEX(CW$7:CW$106,$AD14),1),IF($AE14&gt;0,INDEX(CW$7:CW$106,$AE14),1),IF($AF14&gt;0,INDEX(CW$7:CW$106,$AF14),1),IF($AG14&gt;0,INDEX(CW$7:CW$106,$AG14),1),IF($AH14&gt;0,INDEX(CW$7:CW$106,$AH14),1),IF($AI14&gt;0,INDEX(CW$7:CW$106,$AI14),1),IF($AJ14&gt;0,INDEX(CW$7:CW$106,$AJ14),1))))</ns0:f>
        <ns0:v>1</ns0:v>
      </ns0:c>
      <ns0:c r="CY14" t="n">
        <ns0:f>IF($A14="",1,IF(CX14=1,1,--AND(IF($AC14&gt;0,INDEX(CX$7:CX$106,$AC14),1),IF($AD14&gt;0,INDEX(CX$7:CX$106,$AD14),1),IF($AE14&gt;0,INDEX(CX$7:CX$106,$AE14),1),IF($AF14&gt;0,INDEX(CX$7:CX$106,$AF14),1),IF($AG14&gt;0,INDEX(CX$7:CX$106,$AG14),1),IF($AH14&gt;0,INDEX(CX$7:CX$106,$AH14),1),IF($AI14&gt;0,INDEX(CX$7:CX$106,$AI14),1),IF($AJ14&gt;0,INDEX(CX$7:CX$106,$AJ14),1))))</ns0:f>
        <ns0:v>1</ns0:v>
      </ns0:c>
      <ns0:c r="CZ14" t="n">
        <ns0:f>IF($A14="",1,IF(CY14=1,1,--AND(IF($AC14&gt;0,INDEX(CY$7:CY$106,$AC14),1),IF($AD14&gt;0,INDEX(CY$7:CY$106,$AD14),1),IF($AE14&gt;0,INDEX(CY$7:CY$106,$AE14),1),IF($AF14&gt;0,INDEX(CY$7:CY$106,$AF14),1),IF($AG14&gt;0,INDEX(CY$7:CY$106,$AG14),1),IF($AH14&gt;0,INDEX(CY$7:CY$106,$AH14),1),IF($AI14&gt;0,INDEX(CY$7:CY$106,$AI14),1),IF($AJ14&gt;0,INDEX(CY$7:CY$106,$AJ14),1))))</ns0:f>
        <ns0:v>1</ns0:v>
      </ns0:c>
      <ns0:c r="DA14" t="n">
        <ns0:f>IF($A14="",1,IF(CZ14=1,1,--AND(IF($AC14&gt;0,INDEX(CZ$7:CZ$106,$AC14),1),IF($AD14&gt;0,INDEX(CZ$7:CZ$106,$AD14),1),IF($AE14&gt;0,INDEX(CZ$7:CZ$106,$AE14),1),IF($AF14&gt;0,INDEX(CZ$7:CZ$106,$AF14),1),IF($AG14&gt;0,INDEX(CZ$7:CZ$106,$AG14),1),IF($AH14&gt;0,INDEX(CZ$7:CZ$106,$AH14),1),IF($AI14&gt;0,INDEX(CZ$7:CZ$106,$AI14),1),IF($AJ14&gt;0,INDEX(CZ$7:CZ$106,$AJ14),1))))</ns0:f>
        <ns0:v>1</ns0:v>
      </ns0:c>
      <ns0:c r="DB14" t="n">
        <ns0:f>IF($A14="",1,IF(DA14=1,1,--AND(IF($AC14&gt;0,INDEX(DA$7:DA$106,$AC14),1),IF($AD14&gt;0,INDEX(DA$7:DA$106,$AD14),1),IF($AE14&gt;0,INDEX(DA$7:DA$106,$AE14),1),IF($AF14&gt;0,INDEX(DA$7:DA$106,$AF14),1),IF($AG14&gt;0,INDEX(DA$7:DA$106,$AG14),1),IF($AH14&gt;0,INDEX(DA$7:DA$106,$AH14),1),IF($AI14&gt;0,INDEX(DA$7:DA$106,$AI14),1),IF($AJ14&gt;0,INDEX(DA$7:DA$106,$AJ14),1))))</ns0:f>
        <ns0:v>1</ns0:v>
      </ns0:c>
      <ns0:c r="DC14" t="n">
        <ns0:f>IF($A14="",1,IF(DB14=1,1,--AND(IF($AC14&gt;0,INDEX(DB$7:DB$106,$AC14),1),IF($AD14&gt;0,INDEX(DB$7:DB$106,$AD14),1),IF($AE14&gt;0,INDEX(DB$7:DB$106,$AE14),1),IF($AF14&gt;0,INDEX(DB$7:DB$106,$AF14),1),IF($AG14&gt;0,INDEX(DB$7:DB$106,$AG14),1),IF($AH14&gt;0,INDEX(DB$7:DB$106,$AH14),1),IF($AI14&gt;0,INDEX(DB$7:DB$106,$AI14),1),IF($AJ14&gt;0,INDEX(DB$7:DB$106,$AJ14),1))))</ns0:f>
        <ns0:v>1</ns0:v>
      </ns0:c>
      <ns0:c r="DD14" t="n">
        <ns0:f>IF($A14="",1,IF(DC14=1,1,--AND(IF($AC14&gt;0,INDEX(DC$7:DC$106,$AC14),1),IF($AD14&gt;0,INDEX(DC$7:DC$106,$AD14),1),IF($AE14&gt;0,INDEX(DC$7:DC$106,$AE14),1),IF($AF14&gt;0,INDEX(DC$7:DC$106,$AF14),1),IF($AG14&gt;0,INDEX(DC$7:DC$106,$AG14),1),IF($AH14&gt;0,INDEX(DC$7:DC$106,$AH14),1),IF($AI14&gt;0,INDEX(DC$7:DC$106,$AI14),1),IF($AJ14&gt;0,INDEX(DC$7:DC$106,$AJ14),1))))</ns0:f>
        <ns0:v>1</ns0:v>
      </ns0:c>
      <ns0:c r="DE14" t="n">
        <ns0:f>IF($A14="",1,IF(DD14=1,1,--AND(IF($AC14&gt;0,INDEX(DD$7:DD$106,$AC14),1),IF($AD14&gt;0,INDEX(DD$7:DD$106,$AD14),1),IF($AE14&gt;0,INDEX(DD$7:DD$106,$AE14),1),IF($AF14&gt;0,INDEX(DD$7:DD$106,$AF14),1),IF($AG14&gt;0,INDEX(DD$7:DD$106,$AG14),1),IF($AH14&gt;0,INDEX(DD$7:DD$106,$AH14),1),IF($AI14&gt;0,INDEX(DD$7:DD$106,$AI14),1),IF($AJ14&gt;0,INDEX(DD$7:DD$106,$AJ14),1))))</ns0:f>
        <ns0:v>1</ns0:v>
      </ns0:c>
      <ns0:c r="DF14" t="n">
        <ns0:f>IF($A14="",1,IF(DE14=1,1,--AND(IF($AC14&gt;0,INDEX(DE$7:DE$106,$AC14),1),IF($AD14&gt;0,INDEX(DE$7:DE$106,$AD14),1),IF($AE14&gt;0,INDEX(DE$7:DE$106,$AE14),1),IF($AF14&gt;0,INDEX(DE$7:DE$106,$AF14),1),IF($AG14&gt;0,INDEX(DE$7:DE$106,$AG14),1),IF($AH14&gt;0,INDEX(DE$7:DE$106,$AH14),1),IF($AI14&gt;0,INDEX(DE$7:DE$106,$AI14),1),IF($AJ14&gt;0,INDEX(DE$7:DE$106,$AJ14),1))))</ns0:f>
        <ns0:v>1</ns0:v>
      </ns0:c>
      <ns0:c r="DG14" t="n">
        <ns0:f>IF($A14="",1,IF(DF14=1,1,--AND(IF($AC14&gt;0,INDEX(DF$7:DF$106,$AC14),1),IF($AD14&gt;0,INDEX(DF$7:DF$106,$AD14),1),IF($AE14&gt;0,INDEX(DF$7:DF$106,$AE14),1),IF($AF14&gt;0,INDEX(DF$7:DF$106,$AF14),1),IF($AG14&gt;0,INDEX(DF$7:DF$106,$AG14),1),IF($AH14&gt;0,INDEX(DF$7:DF$106,$AH14),1),IF($AI14&gt;0,INDEX(DF$7:DF$106,$AI14),1),IF($AJ14&gt;0,INDEX(DF$7:DF$106,$AJ14),1))))</ns0:f>
        <ns0:v>1</ns0:v>
      </ns0:c>
      <ns0:c r="DH14" t="n">
        <ns0:f>IF($A14="",1,IF(DG14=1,1,--AND(IF($AC14&gt;0,INDEX(DG$7:DG$106,$AC14),1),IF($AD14&gt;0,INDEX(DG$7:DG$106,$AD14),1),IF($AE14&gt;0,INDEX(DG$7:DG$106,$AE14),1),IF($AF14&gt;0,INDEX(DG$7:DG$106,$AF14),1),IF($AG14&gt;0,INDEX(DG$7:DG$106,$AG14),1),IF($AH14&gt;0,INDEX(DG$7:DG$106,$AH14),1),IF($AI14&gt;0,INDEX(DG$7:DG$106,$AI14),1),IF($AJ14&gt;0,INDEX(DG$7:DG$106,$AJ14),1))))</ns0:f>
        <ns0:v>1</ns0:v>
      </ns0:c>
      <ns0:c r="DI14" t="n">
        <ns0:f>IF($A14="",1,IF(DH14=1,1,--AND(IF($AC14&gt;0,INDEX(DH$7:DH$106,$AC14),1),IF($AD14&gt;0,INDEX(DH$7:DH$106,$AD14),1),IF($AE14&gt;0,INDEX(DH$7:DH$106,$AE14),1),IF($AF14&gt;0,INDEX(DH$7:DH$106,$AF14),1),IF($AG14&gt;0,INDEX(DH$7:DH$106,$AG14),1),IF($AH14&gt;0,INDEX(DH$7:DH$106,$AH14),1),IF($AI14&gt;0,INDEX(DH$7:DH$106,$AI14),1),IF($AJ14&gt;0,INDEX(DH$7:DH$106,$AJ14),1))))</ns0:f>
        <ns0:v>1</ns0:v>
      </ns0:c>
      <ns0:c r="DJ14" t="n">
        <ns0:f>IF($A14="",1,IF(DI14=1,1,--AND(IF($AC14&gt;0,INDEX(DI$7:DI$106,$AC14),1),IF($AD14&gt;0,INDEX(DI$7:DI$106,$AD14),1),IF($AE14&gt;0,INDEX(DI$7:DI$106,$AE14),1),IF($AF14&gt;0,INDEX(DI$7:DI$106,$AF14),1),IF($AG14&gt;0,INDEX(DI$7:DI$106,$AG14),1),IF($AH14&gt;0,INDEX(DI$7:DI$106,$AH14),1),IF($AI14&gt;0,INDEX(DI$7:DI$106,$AI14),1),IF($AJ14&gt;0,INDEX(DI$7:DI$106,$AJ14),1))))</ns0:f>
        <ns0:v>1</ns0:v>
      </ns0:c>
      <ns0:c r="DK14" t="n">
        <ns0:f>IF($A14="",1,IF(DJ14=1,1,--AND(IF($AC14&gt;0,INDEX(DJ$7:DJ$106,$AC14),1),IF($AD14&gt;0,INDEX(DJ$7:DJ$106,$AD14),1),IF($AE14&gt;0,INDEX(DJ$7:DJ$106,$AE14),1),IF($AF14&gt;0,INDEX(DJ$7:DJ$106,$AF14),1),IF($AG14&gt;0,INDEX(DJ$7:DJ$106,$AG14),1),IF($AH14&gt;0,INDEX(DJ$7:DJ$106,$AH14),1),IF($AI14&gt;0,INDEX(DJ$7:DJ$106,$AI14),1),IF($AJ14&gt;0,INDEX(DJ$7:DJ$106,$AJ14),1))))</ns0:f>
        <ns0:v>1</ns0:v>
      </ns0:c>
      <ns0:c r="DL14" t="n">
        <ns0:f>IF($A14="",1,IF(DK14=1,1,--AND(IF($AC14&gt;0,INDEX(DK$7:DK$106,$AC14),1),IF($AD14&gt;0,INDEX(DK$7:DK$106,$AD14),1),IF($AE14&gt;0,INDEX(DK$7:DK$106,$AE14),1),IF($AF14&gt;0,INDEX(DK$7:DK$106,$AF14),1),IF($AG14&gt;0,INDEX(DK$7:DK$106,$AG14),1),IF($AH14&gt;0,INDEX(DK$7:DK$106,$AH14),1),IF($AI14&gt;0,INDEX(DK$7:DK$106,$AI14),1),IF($AJ14&gt;0,INDEX(DK$7:DK$106,$AJ14),1))))</ns0:f>
        <ns0:v>1</ns0:v>
      </ns0:c>
      <ns0:c r="DM14" t="n">
        <ns0:f>IF($A14="",1,IF(DL14=1,1,--AND(IF($AC14&gt;0,INDEX(DL$7:DL$106,$AC14),1),IF($AD14&gt;0,INDEX(DL$7:DL$106,$AD14),1),IF($AE14&gt;0,INDEX(DL$7:DL$106,$AE14),1),IF($AF14&gt;0,INDEX(DL$7:DL$106,$AF14),1),IF($AG14&gt;0,INDEX(DL$7:DL$106,$AG14),1),IF($AH14&gt;0,INDEX(DL$7:DL$106,$AH14),1),IF($AI14&gt;0,INDEX(DL$7:DL$106,$AI14),1),IF($AJ14&gt;0,INDEX(DL$7:DL$106,$AJ14),1))))</ns0:f>
        <ns0:v>1</ns0:v>
      </ns0:c>
      <ns0:c r="DN14" t="n">
        <ns0:f>IF($A14="",1,IF(DM14=1,1,--AND(IF($AC14&gt;0,INDEX(DM$7:DM$106,$AC14),1),IF($AD14&gt;0,INDEX(DM$7:DM$106,$AD14),1),IF($AE14&gt;0,INDEX(DM$7:DM$106,$AE14),1),IF($AF14&gt;0,INDEX(DM$7:DM$106,$AF14),1),IF($AG14&gt;0,INDEX(DM$7:DM$106,$AG14),1),IF($AH14&gt;0,INDEX(DM$7:DM$106,$AH14),1),IF($AI14&gt;0,INDEX(DM$7:DM$106,$AI14),1),IF($AJ14&gt;0,INDEX(DM$7:DM$106,$AJ14),1))))</ns0:f>
        <ns0:v>1</ns0:v>
      </ns0:c>
      <ns0:c r="DO14" t="n">
        <ns0:f>IF($A14="",1,IF(DN14=1,1,--AND(IF($AC14&gt;0,INDEX(DN$7:DN$106,$AC14),1),IF($AD14&gt;0,INDEX(DN$7:DN$106,$AD14),1),IF($AE14&gt;0,INDEX(DN$7:DN$106,$AE14),1),IF($AF14&gt;0,INDEX(DN$7:DN$106,$AF14),1),IF($AG14&gt;0,INDEX(DN$7:DN$106,$AG14),1),IF($AH14&gt;0,INDEX(DN$7:DN$106,$AH14),1),IF($AI14&gt;0,INDEX(DN$7:DN$106,$AI14),1),IF($AJ14&gt;0,INDEX(DN$7:DN$106,$AJ14),1))))</ns0:f>
        <ns0:v>1</ns0:v>
      </ns0:c>
      <ns0:c r="DP14" t="n">
        <ns0:f>IF($A14="",1,IF(DO14=1,1,--AND(IF($AC14&gt;0,INDEX(DO$7:DO$106,$AC14),1),IF($AD14&gt;0,INDEX(DO$7:DO$106,$AD14),1),IF($AE14&gt;0,INDEX(DO$7:DO$106,$AE14),1),IF($AF14&gt;0,INDEX(DO$7:DO$106,$AF14),1),IF($AG14&gt;0,INDEX(DO$7:DO$106,$AG14),1),IF($AH14&gt;0,INDEX(DO$7:DO$106,$AH14),1),IF($AI14&gt;0,INDEX(DO$7:DO$106,$AI14),1),IF($AJ14&gt;0,INDEX(DO$7:DO$106,$AJ14),1))))</ns0:f>
        <ns0:v>1</ns0:v>
      </ns0:c>
      <ns0:c r="DQ14" t="n">
        <ns0:f>IF($A14="",1,IF(DP14=1,1,--AND(IF($AC14&gt;0,INDEX(DP$7:DP$106,$AC14),1),IF($AD14&gt;0,INDEX(DP$7:DP$106,$AD14),1),IF($AE14&gt;0,INDEX(DP$7:DP$106,$AE14),1),IF($AF14&gt;0,INDEX(DP$7:DP$106,$AF14),1),IF($AG14&gt;0,INDEX(DP$7:DP$106,$AG14),1),IF($AH14&gt;0,INDEX(DP$7:DP$106,$AH14),1),IF($AI14&gt;0,INDEX(DP$7:DP$106,$AI14),1),IF($AJ14&gt;0,INDEX(DP$7:DP$106,$AJ14),1))))</ns0:f>
        <ns0:v>1</ns0:v>
      </ns0:c>
      <ns0:c r="DR14" t="n">
        <ns0:f>IF($A14="",1,IF(DQ14=1,1,--AND(IF($AC14&gt;0,INDEX(DQ$7:DQ$106,$AC14),1),IF($AD14&gt;0,INDEX(DQ$7:DQ$106,$AD14),1),IF($AE14&gt;0,INDEX(DQ$7:DQ$106,$AE14),1),IF($AF14&gt;0,INDEX(DQ$7:DQ$106,$AF14),1),IF($AG14&gt;0,INDEX(DQ$7:DQ$106,$AG14),1),IF($AH14&gt;0,INDEX(DQ$7:DQ$106,$AH14),1),IF($AI14&gt;0,INDEX(DQ$7:DQ$106,$AI14),1),IF($AJ14&gt;0,INDEX(DQ$7:DQ$106,$AJ14),1))))</ns0:f>
        <ns0:v>1</ns0:v>
      </ns0:c>
      <ns0:c r="DS14" t="n">
        <ns0:f>IF($A14="",1,IF(DR14=1,1,--AND(IF($AC14&gt;0,INDEX(DR$7:DR$106,$AC14),1),IF($AD14&gt;0,INDEX(DR$7:DR$106,$AD14),1),IF($AE14&gt;0,INDEX(DR$7:DR$106,$AE14),1),IF($AF14&gt;0,INDEX(DR$7:DR$106,$AF14),1),IF($AG14&gt;0,INDEX(DR$7:DR$106,$AG14),1),IF($AH14&gt;0,INDEX(DR$7:DR$106,$AH14),1),IF($AI14&gt;0,INDEX(DR$7:DR$106,$AI14),1),IF($AJ14&gt;0,INDEX(DR$7:DR$106,$AJ14),1))))</ns0:f>
        <ns0:v>1</ns0:v>
      </ns0:c>
      <ns0:c r="DT14" t="n">
        <ns0:f>IF($A14="",1,IF(DS14=1,1,--AND(IF($AC14&gt;0,INDEX(DS$7:DS$106,$AC14),1),IF($AD14&gt;0,INDEX(DS$7:DS$106,$AD14),1),IF($AE14&gt;0,INDEX(DS$7:DS$106,$AE14),1),IF($AF14&gt;0,INDEX(DS$7:DS$106,$AF14),1),IF($AG14&gt;0,INDEX(DS$7:DS$106,$AG14),1),IF($AH14&gt;0,INDEX(DS$7:DS$106,$AH14),1),IF($AI14&gt;0,INDEX(DS$7:DS$106,$AI14),1),IF($AJ14&gt;0,INDEX(DS$7:DS$106,$AJ14),1))))</ns0:f>
        <ns0:v>1</ns0:v>
      </ns0:c>
      <ns0:c r="DU14" t="n">
        <ns0:f>IF($A14="",1,IF(DT14=1,1,--AND(IF($AC14&gt;0,INDEX(DT$7:DT$106,$AC14),1),IF($AD14&gt;0,INDEX(DT$7:DT$106,$AD14),1),IF($AE14&gt;0,INDEX(DT$7:DT$106,$AE14),1),IF($AF14&gt;0,INDEX(DT$7:DT$106,$AF14),1),IF($AG14&gt;0,INDEX(DT$7:DT$106,$AG14),1),IF($AH14&gt;0,INDEX(DT$7:DT$106,$AH14),1),IF($AI14&gt;0,INDEX(DT$7:DT$106,$AI14),1),IF($AJ14&gt;0,INDEX(DT$7:DT$106,$AJ14),1))))</ns0:f>
        <ns0:v>1</ns0:v>
      </ns0:c>
      <ns0:c r="DV14" t="n">
        <ns0:f>IF($A14="",1,IF(DU14=1,1,--AND(IF($AC14&gt;0,INDEX(DU$7:DU$106,$AC14),1),IF($AD14&gt;0,INDEX(DU$7:DU$106,$AD14),1),IF($AE14&gt;0,INDEX(DU$7:DU$106,$AE14),1),IF($AF14&gt;0,INDEX(DU$7:DU$106,$AF14),1),IF($AG14&gt;0,INDEX(DU$7:DU$106,$AG14),1),IF($AH14&gt;0,INDEX(DU$7:DU$106,$AH14),1),IF($AI14&gt;0,INDEX(DU$7:DU$106,$AI14),1),IF($AJ14&gt;0,INDEX(DU$7:DU$106,$AJ14),1))))</ns0:f>
        <ns0:v>1</ns0:v>
      </ns0:c>
      <ns0:c r="DW14" t="n">
        <ns0:f>IF($A14="",1,IF(DV14=1,1,--AND(IF($AC14&gt;0,INDEX(DV$7:DV$106,$AC14),1),IF($AD14&gt;0,INDEX(DV$7:DV$106,$AD14),1),IF($AE14&gt;0,INDEX(DV$7:DV$106,$AE14),1),IF($AF14&gt;0,INDEX(DV$7:DV$106,$AF14),1),IF($AG14&gt;0,INDEX(DV$7:DV$106,$AG14),1),IF($AH14&gt;0,INDEX(DV$7:DV$106,$AH14),1),IF($AI14&gt;0,INDEX(DV$7:DV$106,$AI14),1),IF($AJ14&gt;0,INDEX(DV$7:DV$106,$AJ14),1))))</ns0:f>
        <ns0:v>1</ns0:v>
      </ns0:c>
      <ns0:c r="DX14" t="n">
        <ns0:f>IF($A14="",1,IF(DW14=1,1,--AND(IF($AC14&gt;0,INDEX(DW$7:DW$106,$AC14),1),IF($AD14&gt;0,INDEX(DW$7:DW$106,$AD14),1),IF($AE14&gt;0,INDEX(DW$7:DW$106,$AE14),1),IF($AF14&gt;0,INDEX(DW$7:DW$106,$AF14),1),IF($AG14&gt;0,INDEX(DW$7:DW$106,$AG14),1),IF($AH14&gt;0,INDEX(DW$7:DW$106,$AH14),1),IF($AI14&gt;0,INDEX(DW$7:DW$106,$AI14),1),IF($AJ14&gt;0,INDEX(DW$7:DW$106,$AJ14),1))))</ns0:f>
        <ns0:v>1</ns0:v>
      </ns0:c>
      <ns0:c r="DY14" t="n">
        <ns0:f>IF($A14="",1,IF(DX14=1,1,--AND(IF($AC14&gt;0,INDEX(DX$7:DX$106,$AC14),1),IF($AD14&gt;0,INDEX(DX$7:DX$106,$AD14),1),IF($AE14&gt;0,INDEX(DX$7:DX$106,$AE14),1),IF($AF14&gt;0,INDEX(DX$7:DX$106,$AF14),1),IF($AG14&gt;0,INDEX(DX$7:DX$106,$AG14),1),IF($AH14&gt;0,INDEX(DX$7:DX$106,$AH14),1),IF($AI14&gt;0,INDEX(DX$7:DX$106,$AI14),1),IF($AJ14&gt;0,INDEX(DX$7:DX$106,$AJ14),1))))</ns0:f>
        <ns0:v>1</ns0:v>
      </ns0:c>
      <ns0:c r="DZ14" t="n">
        <ns0:f>IF($A14="",1,IF(DY14=1,1,--AND(IF($AC14&gt;0,INDEX(DY$7:DY$106,$AC14),1),IF($AD14&gt;0,INDEX(DY$7:DY$106,$AD14),1),IF($AE14&gt;0,INDEX(DY$7:DY$106,$AE14),1),IF($AF14&gt;0,INDEX(DY$7:DY$106,$AF14),1),IF($AG14&gt;0,INDEX(DY$7:DY$106,$AG14),1),IF($AH14&gt;0,INDEX(DY$7:DY$106,$AH14),1),IF($AI14&gt;0,INDEX(DY$7:DY$106,$AI14),1),IF($AJ14&gt;0,INDEX(DY$7:DY$106,$AJ14),1))))</ns0:f>
        <ns0:v>1</ns0:v>
      </ns0:c>
      <ns0:c r="EA14" t="n">
        <ns0:f>IF($A14="",1,IF(DZ14=1,1,--AND(IF($AC14&gt;0,INDEX(DZ$7:DZ$106,$AC14),1),IF($AD14&gt;0,INDEX(DZ$7:DZ$106,$AD14),1),IF($AE14&gt;0,INDEX(DZ$7:DZ$106,$AE14),1),IF($AF14&gt;0,INDEX(DZ$7:DZ$106,$AF14),1),IF($AG14&gt;0,INDEX(DZ$7:DZ$106,$AG14),1),IF($AH14&gt;0,INDEX(DZ$7:DZ$106,$AH14),1),IF($AI14&gt;0,INDEX(DZ$7:DZ$106,$AI14),1),IF($AJ14&gt;0,INDEX(DZ$7:DZ$106,$AJ14),1))))</ns0:f>
        <ns0:v>1</ns0:v>
      </ns0:c>
      <ns0:c r="EB14" t="n">
        <ns0:f>IF($A14="",1,IF(EA14=1,1,--AND(IF($AC14&gt;0,INDEX(EA$7:EA$106,$AC14),1),IF($AD14&gt;0,INDEX(EA$7:EA$106,$AD14),1),IF($AE14&gt;0,INDEX(EA$7:EA$106,$AE14),1),IF($AF14&gt;0,INDEX(EA$7:EA$106,$AF14),1),IF($AG14&gt;0,INDEX(EA$7:EA$106,$AG14),1),IF($AH14&gt;0,INDEX(EA$7:EA$106,$AH14),1),IF($AI14&gt;0,INDEX(EA$7:EA$106,$AI14),1),IF($AJ14&gt;0,INDEX(EA$7:EA$106,$AJ14),1))))</ns0:f>
        <ns0:v>1</ns0:v>
      </ns0:c>
      <ns0:c r="EC14" t="n">
        <ns0:f>IF($A14="",1,IF(EB14=1,1,--AND(IF($AC14&gt;0,INDEX(EB$7:EB$106,$AC14),1),IF($AD14&gt;0,INDEX(EB$7:EB$106,$AD14),1),IF($AE14&gt;0,INDEX(EB$7:EB$106,$AE14),1),IF($AF14&gt;0,INDEX(EB$7:EB$106,$AF14),1),IF($AG14&gt;0,INDEX(EB$7:EB$106,$AG14),1),IF($AH14&gt;0,INDEX(EB$7:EB$106,$AH14),1),IF($AI14&gt;0,INDEX(EB$7:EB$106,$AI14),1),IF($AJ14&gt;0,INDEX(EB$7:EB$106,$AJ14),1))))</ns0:f>
        <ns0:v>1</ns0:v>
      </ns0:c>
      <ns0:c r="ED14" t="n">
        <ns0:f>IF($A14="",1,IF(EC14=1,1,--AND(IF($AC14&gt;0,INDEX(EC$7:EC$106,$AC14),1),IF($AD14&gt;0,INDEX(EC$7:EC$106,$AD14),1),IF($AE14&gt;0,INDEX(EC$7:EC$106,$AE14),1),IF($AF14&gt;0,INDEX(EC$7:EC$106,$AF14),1),IF($AG14&gt;0,INDEX(EC$7:EC$106,$AG14),1),IF($AH14&gt;0,INDEX(EC$7:EC$106,$AH14),1),IF($AI14&gt;0,INDEX(EC$7:EC$106,$AI14),1),IF($AJ14&gt;0,INDEX(EC$7:EC$106,$AJ14),1))))</ns0:f>
        <ns0:v>1</ns0:v>
      </ns0:c>
      <ns0:c r="EE14" t="n">
        <ns0:f>IF($A14="",1,IF(ED14=1,1,--AND(IF($AC14&gt;0,INDEX(ED$7:ED$106,$AC14),1),IF($AD14&gt;0,INDEX(ED$7:ED$106,$AD14),1),IF($AE14&gt;0,INDEX(ED$7:ED$106,$AE14),1),IF($AF14&gt;0,INDEX(ED$7:ED$106,$AF14),1),IF($AG14&gt;0,INDEX(ED$7:ED$106,$AG14),1),IF($AH14&gt;0,INDEX(ED$7:ED$106,$AH14),1),IF($AI14&gt;0,INDEX(ED$7:ED$106,$AI14),1),IF($AJ14&gt;0,INDEX(ED$7:ED$106,$AJ14),1))))</ns0:f>
        <ns0:v>1</ns0:v>
      </ns0:c>
      <ns0:c r="EF14" t="n">
        <ns0:f>IF($A14="",1,IF(EE14=1,1,--AND(IF($AC14&gt;0,INDEX(EE$7:EE$106,$AC14),1),IF($AD14&gt;0,INDEX(EE$7:EE$106,$AD14),1),IF($AE14&gt;0,INDEX(EE$7:EE$106,$AE14),1),IF($AF14&gt;0,INDEX(EE$7:EE$106,$AF14),1),IF($AG14&gt;0,INDEX(EE$7:EE$106,$AG14),1),IF($AH14&gt;0,INDEX(EE$7:EE$106,$AH14),1),IF($AI14&gt;0,INDEX(EE$7:EE$106,$AI14),1),IF($AJ14&gt;0,INDEX(EE$7:EE$106,$AJ14),1))))</ns0:f>
        <ns0:v>1</ns0:v>
      </ns0:c>
      <ns0:c r="EG14" t="n">
        <ns0:f>IF($A14="",1,IF(EF14=1,1,--AND(IF($AC14&gt;0,INDEX(EF$7:EF$106,$AC14),1),IF($AD14&gt;0,INDEX(EF$7:EF$106,$AD14),1),IF($AE14&gt;0,INDEX(EF$7:EF$106,$AE14),1),IF($AF14&gt;0,INDEX(EF$7:EF$106,$AF14),1),IF($AG14&gt;0,INDEX(EF$7:EF$106,$AG14),1),IF($AH14&gt;0,INDEX(EF$7:EF$106,$AH14),1),IF($AI14&gt;0,INDEX(EF$7:EF$106,$AI14),1),IF($AJ14&gt;0,INDEX(EF$7:EF$106,$AJ14),1))))</ns0:f>
        <ns0:v>1</ns0:v>
      </ns0:c>
      <ns0:c r="EH14" t="n">
        <ns0:f>IF($A14="",1,IF(EG14=1,1,--AND(IF($AC14&gt;0,INDEX(EG$7:EG$106,$AC14),1),IF($AD14&gt;0,INDEX(EG$7:EG$106,$AD14),1),IF($AE14&gt;0,INDEX(EG$7:EG$106,$AE14),1),IF($AF14&gt;0,INDEX(EG$7:EG$106,$AF14),1),IF($AG14&gt;0,INDEX(EG$7:EG$106,$AG14),1),IF($AH14&gt;0,INDEX(EG$7:EG$106,$AH14),1),IF($AI14&gt;0,INDEX(EG$7:EG$106,$AI14),1),IF($AJ14&gt;0,INDEX(EG$7:EG$106,$AJ14),1))))</ns0:f>
        <ns0:v>1</ns0:v>
      </ns0:c>
      <ns0:c r="EI14" t="n">
        <ns0:f>IF($A14="",1,IF(EH14=1,1,--AND(IF($AC14&gt;0,INDEX(EH$7:EH$106,$AC14),1),IF($AD14&gt;0,INDEX(EH$7:EH$106,$AD14),1),IF($AE14&gt;0,INDEX(EH$7:EH$106,$AE14),1),IF($AF14&gt;0,INDEX(EH$7:EH$106,$AF14),1),IF($AG14&gt;0,INDEX(EH$7:EH$106,$AG14),1),IF($AH14&gt;0,INDEX(EH$7:EH$106,$AH14),1),IF($AI14&gt;0,INDEX(EH$7:EH$106,$AI14),1),IF($AJ14&gt;0,INDEX(EH$7:EH$106,$AJ14),1))))</ns0:f>
        <ns0:v>1</ns0:v>
      </ns0:c>
      <ns0:c r="EJ14" t="n">
        <ns0:f>IF($A14="",1,IF(EI14=1,1,--AND(IF($AC14&gt;0,INDEX(EI$7:EI$106,$AC14),1),IF($AD14&gt;0,INDEX(EI$7:EI$106,$AD14),1),IF($AE14&gt;0,INDEX(EI$7:EI$106,$AE14),1),IF($AF14&gt;0,INDEX(EI$7:EI$106,$AF14),1),IF($AG14&gt;0,INDEX(EI$7:EI$106,$AG14),1),IF($AH14&gt;0,INDEX(EI$7:EI$106,$AH14),1),IF($AI14&gt;0,INDEX(EI$7:EI$106,$AI14),1),IF($AJ14&gt;0,INDEX(EI$7:EI$106,$AJ14),1))))</ns0:f>
        <ns0:v>1</ns0:v>
      </ns0:c>
      <ns0:c r="EK14" t="n">
        <ns0:f>IF($A14="",1,IF(EJ14=1,1,--AND(IF($AC14&gt;0,INDEX(EJ$7:EJ$106,$AC14),1),IF($AD14&gt;0,INDEX(EJ$7:EJ$106,$AD14),1),IF($AE14&gt;0,INDEX(EJ$7:EJ$106,$AE14),1),IF($AF14&gt;0,INDEX(EJ$7:EJ$106,$AF14),1),IF($AG14&gt;0,INDEX(EJ$7:EJ$106,$AG14),1),IF($AH14&gt;0,INDEX(EJ$7:EJ$106,$AH14),1),IF($AI14&gt;0,INDEX(EJ$7:EJ$106,$AI14),1),IF($AJ14&gt;0,INDEX(EJ$7:EJ$106,$AJ14),1))))</ns0:f>
        <ns0:v>1</ns0:v>
      </ns0:c>
      <ns0:c r="EL14" t="n">
        <ns0:f>IF($A14="",1,IF(EK14=1,1,--AND(IF($AC14&gt;0,INDEX(EK$7:EK$106,$AC14),1),IF($AD14&gt;0,INDEX(EK$7:EK$106,$AD14),1),IF($AE14&gt;0,INDEX(EK$7:EK$106,$AE14),1),IF($AF14&gt;0,INDEX(EK$7:EK$106,$AF14),1),IF($AG14&gt;0,INDEX(EK$7:EK$106,$AG14),1),IF($AH14&gt;0,INDEX(EK$7:EK$106,$AH14),1),IF($AI14&gt;0,INDEX(EK$7:EK$106,$AI14),1),IF($AJ14&gt;0,INDEX(EK$7:EK$106,$AJ14),1))))</ns0:f>
        <ns0:v>1</ns0:v>
      </ns0:c>
      <ns0:c r="EM14" t="n">
        <ns0:f>IF($A14="",1,IF(EL14=1,1,--AND(IF($AC14&gt;0,INDEX(EL$7:EL$106,$AC14),1),IF($AD14&gt;0,INDEX(EL$7:EL$106,$AD14),1),IF($AE14&gt;0,INDEX(EL$7:EL$106,$AE14),1),IF($AF14&gt;0,INDEX(EL$7:EL$106,$AF14),1),IF($AG14&gt;0,INDEX(EL$7:EL$106,$AG14),1),IF($AH14&gt;0,INDEX(EL$7:EL$106,$AH14),1),IF($AI14&gt;0,INDEX(EL$7:EL$106,$AI14),1),IF($AJ14&gt;0,INDEX(EL$7:EL$106,$AJ14),1))))</ns0:f>
        <ns0:v>1</ns0:v>
      </ns0:c>
      <ns0:c r="EN14" t="n">
        <ns0:f>IF($A14="",1,IF(EM14=1,1,--AND(IF($AC14&gt;0,INDEX(EM$7:EM$106,$AC14),1),IF($AD14&gt;0,INDEX(EM$7:EM$106,$AD14),1),IF($AE14&gt;0,INDEX(EM$7:EM$106,$AE14),1),IF($AF14&gt;0,INDEX(EM$7:EM$106,$AF14),1),IF($AG14&gt;0,INDEX(EM$7:EM$106,$AG14),1),IF($AH14&gt;0,INDEX(EM$7:EM$106,$AH14),1),IF($AI14&gt;0,INDEX(EM$7:EM$106,$AI14),1),IF($AJ14&gt;0,INDEX(EM$7:EM$106,$AJ14),1))))</ns0:f>
        <ns0:v>1</ns0:v>
      </ns0:c>
      <ns0:c r="EO14" t="n">
        <ns0:f>IF($A14="",1,IF(EN14=1,1,--AND(IF($AC14&gt;0,INDEX(EN$7:EN$106,$AC14),1),IF($AD14&gt;0,INDEX(EN$7:EN$106,$AD14),1),IF($AE14&gt;0,INDEX(EN$7:EN$106,$AE14),1),IF($AF14&gt;0,INDEX(EN$7:EN$106,$AF14),1),IF($AG14&gt;0,INDEX(EN$7:EN$106,$AG14),1),IF($AH14&gt;0,INDEX(EN$7:EN$106,$AH14),1),IF($AI14&gt;0,INDEX(EN$7:EN$106,$AI14),1),IF($AJ14&gt;0,INDEX(EN$7:EN$106,$AJ14),1))))</ns0:f>
        <ns0:v>1</ns0:v>
      </ns0:c>
      <ns0:c r="EP14" t="n">
        <ns0:f>IF($A14="",1,IF(EO14=1,1,--AND(IF($AC14&gt;0,INDEX(EO$7:EO$106,$AC14),1),IF($AD14&gt;0,INDEX(EO$7:EO$106,$AD14),1),IF($AE14&gt;0,INDEX(EO$7:EO$106,$AE14),1),IF($AF14&gt;0,INDEX(EO$7:EO$106,$AF14),1),IF($AG14&gt;0,INDEX(EO$7:EO$106,$AG14),1),IF($AH14&gt;0,INDEX(EO$7:EO$106,$AH14),1),IF($AI14&gt;0,INDEX(EO$7:EO$106,$AI14),1),IF($AJ14&gt;0,INDEX(EO$7:EO$106,$AJ14),1))))</ns0:f>
        <ns0:v>1</ns0:v>
      </ns0:c>
      <ns0:c r="EQ14" t="n">
        <ns0:f>IF(OR(A14="",NOT(ISNUMBER(G14))),0,G14*N14)</ns0:f>
        <ns0:v>0</ns0:v>
      </ns0:c>
    </ns0:row>
    <ns0:row r="15" ht="62" customHeight="1">
      <ns0:c r="A15" s="48" t="str">
        <ns0:v>T08</ns0:v>
      </ns0:c>
      <ns0:c r="B15" s="48" t="str">
        <ns0:v>Data &amp; storage</ns0:v>
      </ns0:c>
      <ns0:c r="C15" s="48" t="str">
        <ns0:v>Configure Artifact &amp; Evidence Registry (ART) for UUID/hash deliverables</ns0:v>
      </ns0:c>
      <ns0:c r="D15" s="48" t="str">
        <ns0:v>Address evidence, copy packs and code diffs by UUID / SHA-256.</ns0:v>
      </ns0:c>
      <ns0:c r="E15" s="49" t="n">
        <ns0:v>46281</ns0:v>
      </ns0:c>
      <ns0:c r="F15" s="49" t="n">
        <ns0:v>46283</ns0:v>
      </ns0:c>
      <ns0:c r="G15" s="13" t="n">
        <ns0:f>IF(A15="","",IF(OR(NOT(ISNUMBER(E15)),NOT(ISNUMBER(F15)),F15&lt;E15),"",IF(J15="Yes",0,F15-E15+1)))</ns0:f>
        <ns0:v>3</ns0:v>
      </ns0:c>
      <ns0:c r="H15" s="48" t="str">
        <ns0:v>T05</ns0:v>
      </ns0:c>
      <ns0:c r="I15" s="48" t="str">
        <ns0:v>FS</ns0:v>
      </ns0:c>
      <ns0:c r="J15" s="48" t="str">
        <ns0:v>No</ns0:v>
      </ns0:c>
      <ns0:c r="K15" s="48" t="str">
        <ns0:v>Artifact &amp; Evidence Registry (ART)</ns0:v>
      </ns0:c>
      <ns0:c r="L15" s="48" t="str"/>
      <ns0:c r="M15" s="50" t="str">
        <ns0:f>IF(A15="","",IF(N15=1,"Completed",IF(N15&gt;0,"In Progress","Not Started")))</ns0:f>
        <ns0:v>Not Started</ns0:v>
      </ns0:c>
      <ns0:c r="N15" s="51" t="n">
        <ns0:v>0</ns0:v>
      </ns0:c>
      <ns0:c r="O15" s="13" t="str">
        <ns0:f>IF(A15="","",IF(R15&lt;&gt;"","[CONFLICT] "&amp;R15,IF(S15&lt;&gt;"","[CONFLICT] "&amp;S15,IF(OR(NOT(ISNUMBER(N15)),N15&lt;0,N15&gt;1),"[CONFLICT] Invalid progress",IF(AK15&gt;0,"[DEPENDENCY ISSUE] Missing ID / &gt;8 links",IF(AM15&gt;0,"[DEPENDENCY ISSUE] Cycle or blocked by cycle",IF(AND(H15&lt;&gt;"",ISNA(MATCH(I15,{"FS","SS","FF","SF"},0))),"[DEPENDENCY ISSUE] Invalid type",IF(AL15&gt;0,"[DEPENDENCY ISSUE] Timing conflict",IF(OR(E15&lt;ProjectStart,F15&gt;ProjectEnd),"[OUTSIDE WINDOW]",IF(AND(N15&lt;1,F15&lt;AsOfDate),"Overdue",IF(AND(M15&lt;&gt;Q15,M15&lt;&gt;""),"[CONFLICT] Status / progress","On track")))))))))))</ns0:f>
        <ns0:v>On track</ns0:v>
      </ns0:c>
      <ns0:c r="P15" s="52" t="str">
        <ns0:v>Source: Project Plan Essentials (2).md §1, §2, §4. Original 2026-09-16 to 2026-09-18, 3d; original progress 100% [INFERRED]. [INFERRED] Rescheduled to fit 34d with FS. [INFERRED] FS type. Original resource/tools: Artifact &amp; Evidence Registry (ART).</ns0:v>
      </ns0:c>
      <ns0:c r="Q15" t="str">
        <ns0:f>IF(A15="","",IF(OR(M15="On Hold",M15="Delayed"),M15,IF(N15=1,"Completed",IF(N15&gt;0,"In Progress","Not Started"))))</ns0:f>
        <ns0:v>Not Started</ns0:v>
      </ns0:c>
      <ns0:c r="R15" t="str">
        <ns0:f>IF(A15="","",IF(COUNTIFS(Tasks[Task ID],A15)&lt;&gt;1,"Duplicate ID",""))</ns0:f>
      </ns0:c>
      <ns0:c r="S15" t="str">
        <ns0:f>IF(A15="","",IF(OR(NOT(ISNUMBER(E15)),NOT(ISNUMBER(F15))),"Invalid / missing date",IF(OR(E15&lt;&gt;INT(E15),F15&lt;&gt;INT(F15),E15&lt;1,F15&gt;2958465),"Invalid date",IF(F15&lt;E15,"End before start",IF(AND(J15="Yes",E15&lt;&gt;F15),"Milestone needs one date","")))))</ns0:f>
      </ns0:c>
      <ns0:c r="T15" t="n">
        <ns0:f>IF(H15="",0,LEN(H15)-LEN(SUBSTITUTE(H15,",",""))+1)</ns0:f>
        <ns0:v>1</ns0:v>
      </ns0:c>
      <ns0:c r="U15" t="str">
        <ns0:f>TRIM(MID(SUBSTITUTE($H15,",",REPT(" ",100)),1,100))</ns0:f>
        <ns0:v>T05</ns0:v>
      </ns0:c>
      <ns0:c r="V15" t="str">
        <ns0:f>TRIM(MID(SUBSTITUTE($H15,",",REPT(" ",100)),101,100))</ns0:f>
      </ns0:c>
      <ns0:c r="W15" t="str">
        <ns0:f>TRIM(MID(SUBSTITUTE($H15,",",REPT(" ",100)),201,100))</ns0:f>
      </ns0:c>
      <ns0:c r="X15" t="str">
        <ns0:f>TRIM(MID(SUBSTITUTE($H15,",",REPT(" ",100)),301,100))</ns0:f>
      </ns0:c>
      <ns0:c r="Y15" t="str">
        <ns0:f>TRIM(MID(SUBSTITUTE($H15,",",REPT(" ",100)),401,100))</ns0:f>
      </ns0:c>
      <ns0:c r="Z15" t="str">
        <ns0:f>TRIM(MID(SUBSTITUTE($H15,",",REPT(" ",100)),501,100))</ns0:f>
      </ns0:c>
      <ns0:c r="AA15" t="str">
        <ns0:f>TRIM(MID(SUBSTITUTE($H15,",",REPT(" ",100)),601,100))</ns0:f>
      </ns0:c>
      <ns0:c r="AB15" t="str">
        <ns0:f>TRIM(MID(SUBSTITUTE($H15,",",REPT(" ",100)),701,100))</ns0:f>
      </ns0:c>
      <ns0:c r="AC15" t="n">
        <ns0:f>IF(U15="",0,IF(COUNTIFS(Tasks[Task ID],U15)=1,MATCH(U15,Tasks[Task ID],0),-1))</ns0:f>
        <ns0:v>6</ns0:v>
      </ns0:c>
      <ns0:c r="AD15" t="n">
        <ns0:f>IF(V15="",0,IF(COUNTIFS(Tasks[Task ID],V15)=1,MATCH(V15,Tasks[Task ID],0),-1))</ns0:f>
        <ns0:v>0</ns0:v>
      </ns0:c>
      <ns0:c r="AE15" t="n">
        <ns0:f>IF(W15="",0,IF(COUNTIFS(Tasks[Task ID],W15)=1,MATCH(W15,Tasks[Task ID],0),-1))</ns0:f>
        <ns0:v>0</ns0:v>
      </ns0:c>
      <ns0:c r="AF15" t="n">
        <ns0:f>IF(X15="",0,IF(COUNTIFS(Tasks[Task ID],X15)=1,MATCH(X15,Tasks[Task ID],0),-1))</ns0:f>
        <ns0:v>0</ns0:v>
      </ns0:c>
      <ns0:c r="AG15" t="n">
        <ns0:f>IF(Y15="",0,IF(COUNTIFS(Tasks[Task ID],Y15)=1,MATCH(Y15,Tasks[Task ID],0),-1))</ns0:f>
        <ns0:v>0</ns0:v>
      </ns0:c>
      <ns0:c r="AH15" t="n">
        <ns0:f>IF(Z15="",0,IF(COUNTIFS(Tasks[Task ID],Z15)=1,MATCH(Z15,Tasks[Task ID],0),-1))</ns0:f>
        <ns0:v>0</ns0:v>
      </ns0:c>
      <ns0:c r="AI15" t="n">
        <ns0:f>IF(AA15="",0,IF(COUNTIFS(Tasks[Task ID],AA15)=1,MATCH(AA15,Tasks[Task ID],0),-1))</ns0:f>
        <ns0:v>0</ns0:v>
      </ns0:c>
      <ns0:c r="AJ15" t="n">
        <ns0:f>IF(AB15="",0,IF(COUNTIFS(Tasks[Task ID],AB15)=1,MATCH(AB15,Tasks[Task ID],0),-1))</ns0:f>
        <ns0:v>0</ns0:v>
      </ns0:c>
      <ns0:c r="AK15" t="n">
        <ns0:f>COUNTIFS(AC15:AJ15,-1)+IF(T15&gt;8,1,0)</ns0:f>
        <ns0:v>0</ns0:v>
      </ns0:c>
      <ns0:c r="AL15" t="n">
        <ns0:f>IF(OR(A15="",S15&lt;&gt;""),0,SUM(IF(AC15&gt;0,IF($I15="FS",--($E15&lt;INDEX(Tasks[End Date],AC15)+IF(INDEX(Tasks[Milestone],AC15)="Yes",0,1)),IF($I15="SS",--($E15&lt;INDEX(Tasks[Start Date],AC15)),IF($I15="FF",--($F15&lt;INDEX(Tasks[End Date],AC15)),IF($I15="SF",--($F15&lt;INDEX(Tasks[Start Date],AC15)),0)))),0),IF(AD15&gt;0,IF($I15="FS",--($E15&lt;INDEX(Tasks[End Date],AD15)+IF(INDEX(Tasks[Milestone],AD15)="Yes",0,1)),IF($I15="SS",--($E15&lt;INDEX(Tasks[Start Date],AD15)),IF($I15="FF",--($F15&lt;INDEX(Tasks[End Date],AD15)),IF($I15="SF",--($F15&lt;INDEX(Tasks[Start Date],AD15)),0)))),0),IF(AE15&gt;0,IF($I15="FS",--($E15&lt;INDEX(Tasks[End Date],AE15)+IF(INDEX(Tasks[Milestone],AE15)="Yes",0,1)),IF($I15="SS",--($E15&lt;INDEX(Tasks[Start Date],AE15)),IF($I15="FF",--($F15&lt;INDEX(Tasks[End Date],AE15)),IF($I15="SF",--($F15&lt;INDEX(Tasks[Start Date],AE15)),0)))),0),IF(AF15&gt;0,IF($I15="FS",--($E15&lt;INDEX(Tasks[End Date],AF15)+IF(INDEX(Tasks[Milestone],AF15)="Yes",0,1)),IF($I15="SS",--($E15&lt;INDEX(Tasks[Start Date],AF15)),IF($I15="FF",--($F15&lt;INDEX(Tasks[End Date],AF15)),IF($I15="SF",--($F15&lt;INDEX(Tasks[Start Date],AF15)),0)))),0),IF(AG15&gt;0,IF($I15="FS",--($E15&lt;INDEX(Tasks[End Date],AG15)+IF(INDEX(Tasks[Milestone],AG15)="Yes",0,1)),IF($I15="SS",--($E15&lt;INDEX(Tasks[Start Date],AG15)),IF($I15="FF",--($F15&lt;INDEX(Tasks[End Date],AG15)),IF($I15="SF",--($F15&lt;INDEX(Tasks[Start Date],AG15)),0)))),0),IF(AH15&gt;0,IF($I15="FS",--($E15&lt;INDEX(Tasks[End Date],AH15)+IF(INDEX(Tasks[Milestone],AH15)="Yes",0,1)),IF($I15="SS",--($E15&lt;INDEX(Tasks[Start Date],AH15)),IF($I15="FF",--($F15&lt;INDEX(Tasks[End Date],AH15)),IF($I15="SF",--($F15&lt;INDEX(Tasks[Start Date],AH15)),0)))),0),IF(AI15&gt;0,IF($I15="FS",--($E15&lt;INDEX(Tasks[End Date],AI15)+IF(INDEX(Tasks[Milestone],AI15)="Yes",0,1)),IF($I15="SS",--($E15&lt;INDEX(Tasks[Start Date],AI15)),IF($I15="FF",--($F15&lt;INDEX(Tasks[End Date],AI15)),IF($I15="SF",--($F15&lt;INDEX(Tasks[Start Date],AI15)),0)))),0),IF(AJ15&gt;0,IF($I15="FS",--($E15&lt;INDEX(Tasks[End Date],AJ15)+IF(INDEX(Tasks[Milestone],AJ15)="Yes",0,1)),IF($I15="SS",--($E15&lt;INDEX(Tasks[Start Date],AJ15)),IF($I15="FF",--($F15&lt;INDEX(Tasks[End Date],AJ15)),IF($I15="SF",--($F15&lt;INDEX(Tasks[Start Date],AJ15)),0)))),0)))</ns0:f>
        <ns0:v>0</ns0:v>
      </ns0:c>
      <ns0:c r="AM15" t="n">
        <ns0:f>IF(AND(A15&lt;&gt;"",AK15=0,EP15=0),1,0)</ns0:f>
        <ns0:v>0</ns0:v>
      </ns0:c>
      <ns0:c r="AN15" t="str">
        <ns0:f>IF(OR(A15="",B15=""),"",IF(COUNTIFS($B$7:B15,B15)=1,MAX($AN$6:AN14)+1,""))</ns0:f>
      </ns0:c>
      <ns0:c r="AO15" t="n">
        <ns0:f>IF(AND(A15&lt;&gt;"",J15="No",N15&lt;1,E15&gt;=AsOfDate),E15+ROW()/10000,1E+9)</ns0:f>
        <ns0:v>46281.0015</ns0:v>
      </ns0:c>
      <ns0:c r="AP15" t="n">
        <ns0:f>IF(AND(A15&lt;&gt;"",J15="Yes",N15&lt;1,E15&gt;=AsOfDate),E15+ROW()/10000,1E+9)</ns0:f>
        <ns0:v>1000000000</ns0:v>
      </ns0:c>
      <ns0:c r="AQ15" t="n">
        <ns0:f>IF(AND(A15&lt;&gt;"",J15="No",N15&lt;1,F15&gt;=AsOfDate,F15&lt;=AsOfDate+7),F15+ROW()/10000,1E+9)</ns0:f>
        <ns0:v>1000000000</ns0:v>
      </ns0:c>
      <ns0:c r="AR15" t="n">
        <ns0:f>IF(AND(A15&lt;&gt;"",OR(O15&lt;&gt;"On track",Q15="Delayed")),ROW(),1E+9)</ns0:f>
        <ns0:v>1000000000</ns0:v>
      </ns0:c>
      <ns0:c r="AS15" t="str">
        <ns0:f>IF(A15="","",";"&amp;K15&amp;";")</ns0:f>
        <ns0:v>;Artifact &amp; Evidence Registry (ART);</ns0:v>
      </ns0:c>
      <ns0:c r="AT15" t="n">
        <ns0:f>IF(A15="",1,--(T15=0))</ns0:f>
        <ns0:v>0</ns0:v>
      </ns0:c>
      <ns0:c r="AU15" t="n">
        <ns0:f>IF($A15="",1,IF(AT15=1,1,--AND(IF($AC15&gt;0,INDEX(AT$7:AT$106,$AC15),1),IF($AD15&gt;0,INDEX(AT$7:AT$106,$AD15),1),IF($AE15&gt;0,INDEX(AT$7:AT$106,$AE15),1),IF($AF15&gt;0,INDEX(AT$7:AT$106,$AF15),1),IF($AG15&gt;0,INDEX(AT$7:AT$106,$AG15),1),IF($AH15&gt;0,INDEX(AT$7:AT$106,$AH15),1),IF($AI15&gt;0,INDEX(AT$7:AT$106,$AI15),1),IF($AJ15&gt;0,INDEX(AT$7:AT$106,$AJ15),1))))</ns0:f>
        <ns0:v>0</ns0:v>
      </ns0:c>
      <ns0:c r="AV15" t="n">
        <ns0:f>IF($A15="",1,IF(AU15=1,1,--AND(IF($AC15&gt;0,INDEX(AU$7:AU$106,$AC15),1),IF($AD15&gt;0,INDEX(AU$7:AU$106,$AD15),1),IF($AE15&gt;0,INDEX(AU$7:AU$106,$AE15),1),IF($AF15&gt;0,INDEX(AU$7:AU$106,$AF15),1),IF($AG15&gt;0,INDEX(AU$7:AU$106,$AG15),1),IF($AH15&gt;0,INDEX(AU$7:AU$106,$AH15),1),IF($AI15&gt;0,INDEX(AU$7:AU$106,$AI15),1),IF($AJ15&gt;0,INDEX(AU$7:AU$106,$AJ15),1))))</ns0:f>
        <ns0:v>0</ns0:v>
      </ns0:c>
      <ns0:c r="AW15" t="n">
        <ns0:f>IF($A15="",1,IF(AV15=1,1,--AND(IF($AC15&gt;0,INDEX(AV$7:AV$106,$AC15),1),IF($AD15&gt;0,INDEX(AV$7:AV$106,$AD15),1),IF($AE15&gt;0,INDEX(AV$7:AV$106,$AE15),1),IF($AF15&gt;0,INDEX(AV$7:AV$106,$AF15),1),IF($AG15&gt;0,INDEX(AV$7:AV$106,$AG15),1),IF($AH15&gt;0,INDEX(AV$7:AV$106,$AH15),1),IF($AI15&gt;0,INDEX(AV$7:AV$106,$AI15),1),IF($AJ15&gt;0,INDEX(AV$7:AV$106,$AJ15),1))))</ns0:f>
        <ns0:v>1</ns0:v>
      </ns0:c>
      <ns0:c r="AX15" t="n">
        <ns0:f>IF($A15="",1,IF(AW15=1,1,--AND(IF($AC15&gt;0,INDEX(AW$7:AW$106,$AC15),1),IF($AD15&gt;0,INDEX(AW$7:AW$106,$AD15),1),IF($AE15&gt;0,INDEX(AW$7:AW$106,$AE15),1),IF($AF15&gt;0,INDEX(AW$7:AW$106,$AF15),1),IF($AG15&gt;0,INDEX(AW$7:AW$106,$AG15),1),IF($AH15&gt;0,INDEX(AW$7:AW$106,$AH15),1),IF($AI15&gt;0,INDEX(AW$7:AW$106,$AI15),1),IF($AJ15&gt;0,INDEX(AW$7:AW$106,$AJ15),1))))</ns0:f>
        <ns0:v>1</ns0:v>
      </ns0:c>
      <ns0:c r="AY15" t="n">
        <ns0:f>IF($A15="",1,IF(AX15=1,1,--AND(IF($AC15&gt;0,INDEX(AX$7:AX$106,$AC15),1),IF($AD15&gt;0,INDEX(AX$7:AX$106,$AD15),1),IF($AE15&gt;0,INDEX(AX$7:AX$106,$AE15),1),IF($AF15&gt;0,INDEX(AX$7:AX$106,$AF15),1),IF($AG15&gt;0,INDEX(AX$7:AX$106,$AG15),1),IF($AH15&gt;0,INDEX(AX$7:AX$106,$AH15),1),IF($AI15&gt;0,INDEX(AX$7:AX$106,$AI15),1),IF($AJ15&gt;0,INDEX(AX$7:AX$106,$AJ15),1))))</ns0:f>
        <ns0:v>1</ns0:v>
      </ns0:c>
      <ns0:c r="AZ15" t="n">
        <ns0:f>IF($A15="",1,IF(AY15=1,1,--AND(IF($AC15&gt;0,INDEX(AY$7:AY$106,$AC15),1),IF($AD15&gt;0,INDEX(AY$7:AY$106,$AD15),1),IF($AE15&gt;0,INDEX(AY$7:AY$106,$AE15),1),IF($AF15&gt;0,INDEX(AY$7:AY$106,$AF15),1),IF($AG15&gt;0,INDEX(AY$7:AY$106,$AG15),1),IF($AH15&gt;0,INDEX(AY$7:AY$106,$AH15),1),IF($AI15&gt;0,INDEX(AY$7:AY$106,$AI15),1),IF($AJ15&gt;0,INDEX(AY$7:AY$106,$AJ15),1))))</ns0:f>
        <ns0:v>1</ns0:v>
      </ns0:c>
      <ns0:c r="BA15" t="n">
        <ns0:f>IF($A15="",1,IF(AZ15=1,1,--AND(IF($AC15&gt;0,INDEX(AZ$7:AZ$106,$AC15),1),IF($AD15&gt;0,INDEX(AZ$7:AZ$106,$AD15),1),IF($AE15&gt;0,INDEX(AZ$7:AZ$106,$AE15),1),IF($AF15&gt;0,INDEX(AZ$7:AZ$106,$AF15),1),IF($AG15&gt;0,INDEX(AZ$7:AZ$106,$AG15),1),IF($AH15&gt;0,INDEX(AZ$7:AZ$106,$AH15),1),IF($AI15&gt;0,INDEX(AZ$7:AZ$106,$AI15),1),IF($AJ15&gt;0,INDEX(AZ$7:AZ$106,$AJ15),1))))</ns0:f>
        <ns0:v>1</ns0:v>
      </ns0:c>
      <ns0:c r="BB15" t="n">
        <ns0:f>IF($A15="",1,IF(BA15=1,1,--AND(IF($AC15&gt;0,INDEX(BA$7:BA$106,$AC15),1),IF($AD15&gt;0,INDEX(BA$7:BA$106,$AD15),1),IF($AE15&gt;0,INDEX(BA$7:BA$106,$AE15),1),IF($AF15&gt;0,INDEX(BA$7:BA$106,$AF15),1),IF($AG15&gt;0,INDEX(BA$7:BA$106,$AG15),1),IF($AH15&gt;0,INDEX(BA$7:BA$106,$AH15),1),IF($AI15&gt;0,INDEX(BA$7:BA$106,$AI15),1),IF($AJ15&gt;0,INDEX(BA$7:BA$106,$AJ15),1))))</ns0:f>
        <ns0:v>1</ns0:v>
      </ns0:c>
      <ns0:c r="BC15" t="n">
        <ns0:f>IF($A15="",1,IF(BB15=1,1,--AND(IF($AC15&gt;0,INDEX(BB$7:BB$106,$AC15),1),IF($AD15&gt;0,INDEX(BB$7:BB$106,$AD15),1),IF($AE15&gt;0,INDEX(BB$7:BB$106,$AE15),1),IF($AF15&gt;0,INDEX(BB$7:BB$106,$AF15),1),IF($AG15&gt;0,INDEX(BB$7:BB$106,$AG15),1),IF($AH15&gt;0,INDEX(BB$7:BB$106,$AH15),1),IF($AI15&gt;0,INDEX(BB$7:BB$106,$AI15),1),IF($AJ15&gt;0,INDEX(BB$7:BB$106,$AJ15),1))))</ns0:f>
        <ns0:v>1</ns0:v>
      </ns0:c>
      <ns0:c r="BD15" t="n">
        <ns0:f>IF($A15="",1,IF(BC15=1,1,--AND(IF($AC15&gt;0,INDEX(BC$7:BC$106,$AC15),1),IF($AD15&gt;0,INDEX(BC$7:BC$106,$AD15),1),IF($AE15&gt;0,INDEX(BC$7:BC$106,$AE15),1),IF($AF15&gt;0,INDEX(BC$7:BC$106,$AF15),1),IF($AG15&gt;0,INDEX(BC$7:BC$106,$AG15),1),IF($AH15&gt;0,INDEX(BC$7:BC$106,$AH15),1),IF($AI15&gt;0,INDEX(BC$7:BC$106,$AI15),1),IF($AJ15&gt;0,INDEX(BC$7:BC$106,$AJ15),1))))</ns0:f>
        <ns0:v>1</ns0:v>
      </ns0:c>
      <ns0:c r="BE15" t="n">
        <ns0:f>IF($A15="",1,IF(BD15=1,1,--AND(IF($AC15&gt;0,INDEX(BD$7:BD$106,$AC15),1),IF($AD15&gt;0,INDEX(BD$7:BD$106,$AD15),1),IF($AE15&gt;0,INDEX(BD$7:BD$106,$AE15),1),IF($AF15&gt;0,INDEX(BD$7:BD$106,$AF15),1),IF($AG15&gt;0,INDEX(BD$7:BD$106,$AG15),1),IF($AH15&gt;0,INDEX(BD$7:BD$106,$AH15),1),IF($AI15&gt;0,INDEX(BD$7:BD$106,$AI15),1),IF($AJ15&gt;0,INDEX(BD$7:BD$106,$AJ15),1))))</ns0:f>
        <ns0:v>1</ns0:v>
      </ns0:c>
      <ns0:c r="BF15" t="n">
        <ns0:f>IF($A15="",1,IF(BE15=1,1,--AND(IF($AC15&gt;0,INDEX(BE$7:BE$106,$AC15),1),IF($AD15&gt;0,INDEX(BE$7:BE$106,$AD15),1),IF($AE15&gt;0,INDEX(BE$7:BE$106,$AE15),1),IF($AF15&gt;0,INDEX(BE$7:BE$106,$AF15),1),IF($AG15&gt;0,INDEX(BE$7:BE$106,$AG15),1),IF($AH15&gt;0,INDEX(BE$7:BE$106,$AH15),1),IF($AI15&gt;0,INDEX(BE$7:BE$106,$AI15),1),IF($AJ15&gt;0,INDEX(BE$7:BE$106,$AJ15),1))))</ns0:f>
        <ns0:v>1</ns0:v>
      </ns0:c>
      <ns0:c r="BG15" t="n">
        <ns0:f>IF($A15="",1,IF(BF15=1,1,--AND(IF($AC15&gt;0,INDEX(BF$7:BF$106,$AC15),1),IF($AD15&gt;0,INDEX(BF$7:BF$106,$AD15),1),IF($AE15&gt;0,INDEX(BF$7:BF$106,$AE15),1),IF($AF15&gt;0,INDEX(BF$7:BF$106,$AF15),1),IF($AG15&gt;0,INDEX(BF$7:BF$106,$AG15),1),IF($AH15&gt;0,INDEX(BF$7:BF$106,$AH15),1),IF($AI15&gt;0,INDEX(BF$7:BF$106,$AI15),1),IF($AJ15&gt;0,INDEX(BF$7:BF$106,$AJ15),1))))</ns0:f>
        <ns0:v>1</ns0:v>
      </ns0:c>
      <ns0:c r="BH15" t="n">
        <ns0:f>IF($A15="",1,IF(BG15=1,1,--AND(IF($AC15&gt;0,INDEX(BG$7:BG$106,$AC15),1),IF($AD15&gt;0,INDEX(BG$7:BG$106,$AD15),1),IF($AE15&gt;0,INDEX(BG$7:BG$106,$AE15),1),IF($AF15&gt;0,INDEX(BG$7:BG$106,$AF15),1),IF($AG15&gt;0,INDEX(BG$7:BG$106,$AG15),1),IF($AH15&gt;0,INDEX(BG$7:BG$106,$AH15),1),IF($AI15&gt;0,INDEX(BG$7:BG$106,$AI15),1),IF($AJ15&gt;0,INDEX(BG$7:BG$106,$AJ15),1))))</ns0:f>
        <ns0:v>1</ns0:v>
      </ns0:c>
      <ns0:c r="BI15" t="n">
        <ns0:f>IF($A15="",1,IF(BH15=1,1,--AND(IF($AC15&gt;0,INDEX(BH$7:BH$106,$AC15),1),IF($AD15&gt;0,INDEX(BH$7:BH$106,$AD15),1),IF($AE15&gt;0,INDEX(BH$7:BH$106,$AE15),1),IF($AF15&gt;0,INDEX(BH$7:BH$106,$AF15),1),IF($AG15&gt;0,INDEX(BH$7:BH$106,$AG15),1),IF($AH15&gt;0,INDEX(BH$7:BH$106,$AH15),1),IF($AI15&gt;0,INDEX(BH$7:BH$106,$AI15),1),IF($AJ15&gt;0,INDEX(BH$7:BH$106,$AJ15),1))))</ns0:f>
        <ns0:v>1</ns0:v>
      </ns0:c>
      <ns0:c r="BJ15" t="n">
        <ns0:f>IF($A15="",1,IF(BI15=1,1,--AND(IF($AC15&gt;0,INDEX(BI$7:BI$106,$AC15),1),IF($AD15&gt;0,INDEX(BI$7:BI$106,$AD15),1),IF($AE15&gt;0,INDEX(BI$7:BI$106,$AE15),1),IF($AF15&gt;0,INDEX(BI$7:BI$106,$AF15),1),IF($AG15&gt;0,INDEX(BI$7:BI$106,$AG15),1),IF($AH15&gt;0,INDEX(BI$7:BI$106,$AH15),1),IF($AI15&gt;0,INDEX(BI$7:BI$106,$AI15),1),IF($AJ15&gt;0,INDEX(BI$7:BI$106,$AJ15),1))))</ns0:f>
        <ns0:v>1</ns0:v>
      </ns0:c>
      <ns0:c r="BK15" t="n">
        <ns0:f>IF($A15="",1,IF(BJ15=1,1,--AND(IF($AC15&gt;0,INDEX(BJ$7:BJ$106,$AC15),1),IF($AD15&gt;0,INDEX(BJ$7:BJ$106,$AD15),1),IF($AE15&gt;0,INDEX(BJ$7:BJ$106,$AE15),1),IF($AF15&gt;0,INDEX(BJ$7:BJ$106,$AF15),1),IF($AG15&gt;0,INDEX(BJ$7:BJ$106,$AG15),1),IF($AH15&gt;0,INDEX(BJ$7:BJ$106,$AH15),1),IF($AI15&gt;0,INDEX(BJ$7:BJ$106,$AI15),1),IF($AJ15&gt;0,INDEX(BJ$7:BJ$106,$AJ15),1))))</ns0:f>
        <ns0:v>1</ns0:v>
      </ns0:c>
      <ns0:c r="BL15" t="n">
        <ns0:f>IF($A15="",1,IF(BK15=1,1,--AND(IF($AC15&gt;0,INDEX(BK$7:BK$106,$AC15),1),IF($AD15&gt;0,INDEX(BK$7:BK$106,$AD15),1),IF($AE15&gt;0,INDEX(BK$7:BK$106,$AE15),1),IF($AF15&gt;0,INDEX(BK$7:BK$106,$AF15),1),IF($AG15&gt;0,INDEX(BK$7:BK$106,$AG15),1),IF($AH15&gt;0,INDEX(BK$7:BK$106,$AH15),1),IF($AI15&gt;0,INDEX(BK$7:BK$106,$AI15),1),IF($AJ15&gt;0,INDEX(BK$7:BK$106,$AJ15),1))))</ns0:f>
        <ns0:v>1</ns0:v>
      </ns0:c>
      <ns0:c r="BM15" t="n">
        <ns0:f>IF($A15="",1,IF(BL15=1,1,--AND(IF($AC15&gt;0,INDEX(BL$7:BL$106,$AC15),1),IF($AD15&gt;0,INDEX(BL$7:BL$106,$AD15),1),IF($AE15&gt;0,INDEX(BL$7:BL$106,$AE15),1),IF($AF15&gt;0,INDEX(BL$7:BL$106,$AF15),1),IF($AG15&gt;0,INDEX(BL$7:BL$106,$AG15),1),IF($AH15&gt;0,INDEX(BL$7:BL$106,$AH15),1),IF($AI15&gt;0,INDEX(BL$7:BL$106,$AI15),1),IF($AJ15&gt;0,INDEX(BL$7:BL$106,$AJ15),1))))</ns0:f>
        <ns0:v>1</ns0:v>
      </ns0:c>
      <ns0:c r="BN15" t="n">
        <ns0:f>IF($A15="",1,IF(BM15=1,1,--AND(IF($AC15&gt;0,INDEX(BM$7:BM$106,$AC15),1),IF($AD15&gt;0,INDEX(BM$7:BM$106,$AD15),1),IF($AE15&gt;0,INDEX(BM$7:BM$106,$AE15),1),IF($AF15&gt;0,INDEX(BM$7:BM$106,$AF15),1),IF($AG15&gt;0,INDEX(BM$7:BM$106,$AG15),1),IF($AH15&gt;0,INDEX(BM$7:BM$106,$AH15),1),IF($AI15&gt;0,INDEX(BM$7:BM$106,$AI15),1),IF($AJ15&gt;0,INDEX(BM$7:BM$106,$AJ15),1))))</ns0:f>
        <ns0:v>1</ns0:v>
      </ns0:c>
      <ns0:c r="BO15" t="n">
        <ns0:f>IF($A15="",1,IF(BN15=1,1,--AND(IF($AC15&gt;0,INDEX(BN$7:BN$106,$AC15),1),IF($AD15&gt;0,INDEX(BN$7:BN$106,$AD15),1),IF($AE15&gt;0,INDEX(BN$7:BN$106,$AE15),1),IF($AF15&gt;0,INDEX(BN$7:BN$106,$AF15),1),IF($AG15&gt;0,INDEX(BN$7:BN$106,$AG15),1),IF($AH15&gt;0,INDEX(BN$7:BN$106,$AH15),1),IF($AI15&gt;0,INDEX(BN$7:BN$106,$AI15),1),IF($AJ15&gt;0,INDEX(BN$7:BN$106,$AJ15),1))))</ns0:f>
        <ns0:v>1</ns0:v>
      </ns0:c>
      <ns0:c r="BP15" t="n">
        <ns0:f>IF($A15="",1,IF(BO15=1,1,--AND(IF($AC15&gt;0,INDEX(BO$7:BO$106,$AC15),1),IF($AD15&gt;0,INDEX(BO$7:BO$106,$AD15),1),IF($AE15&gt;0,INDEX(BO$7:BO$106,$AE15),1),IF($AF15&gt;0,INDEX(BO$7:BO$106,$AF15),1),IF($AG15&gt;0,INDEX(BO$7:BO$106,$AG15),1),IF($AH15&gt;0,INDEX(BO$7:BO$106,$AH15),1),IF($AI15&gt;0,INDEX(BO$7:BO$106,$AI15),1),IF($AJ15&gt;0,INDEX(BO$7:BO$106,$AJ15),1))))</ns0:f>
        <ns0:v>1</ns0:v>
      </ns0:c>
      <ns0:c r="BQ15" t="n">
        <ns0:f>IF($A15="",1,IF(BP15=1,1,--AND(IF($AC15&gt;0,INDEX(BP$7:BP$106,$AC15),1),IF($AD15&gt;0,INDEX(BP$7:BP$106,$AD15),1),IF($AE15&gt;0,INDEX(BP$7:BP$106,$AE15),1),IF($AF15&gt;0,INDEX(BP$7:BP$106,$AF15),1),IF($AG15&gt;0,INDEX(BP$7:BP$106,$AG15),1),IF($AH15&gt;0,INDEX(BP$7:BP$106,$AH15),1),IF($AI15&gt;0,INDEX(BP$7:BP$106,$AI15),1),IF($AJ15&gt;0,INDEX(BP$7:BP$106,$AJ15),1))))</ns0:f>
        <ns0:v>1</ns0:v>
      </ns0:c>
      <ns0:c r="BR15" t="n">
        <ns0:f>IF($A15="",1,IF(BQ15=1,1,--AND(IF($AC15&gt;0,INDEX(BQ$7:BQ$106,$AC15),1),IF($AD15&gt;0,INDEX(BQ$7:BQ$106,$AD15),1),IF($AE15&gt;0,INDEX(BQ$7:BQ$106,$AE15),1),IF($AF15&gt;0,INDEX(BQ$7:BQ$106,$AF15),1),IF($AG15&gt;0,INDEX(BQ$7:BQ$106,$AG15),1),IF($AH15&gt;0,INDEX(BQ$7:BQ$106,$AH15),1),IF($AI15&gt;0,INDEX(BQ$7:BQ$106,$AI15),1),IF($AJ15&gt;0,INDEX(BQ$7:BQ$106,$AJ15),1))))</ns0:f>
        <ns0:v>1</ns0:v>
      </ns0:c>
      <ns0:c r="BS15" t="n">
        <ns0:f>IF($A15="",1,IF(BR15=1,1,--AND(IF($AC15&gt;0,INDEX(BR$7:BR$106,$AC15),1),IF($AD15&gt;0,INDEX(BR$7:BR$106,$AD15),1),IF($AE15&gt;0,INDEX(BR$7:BR$106,$AE15),1),IF($AF15&gt;0,INDEX(BR$7:BR$106,$AF15),1),IF($AG15&gt;0,INDEX(BR$7:BR$106,$AG15),1),IF($AH15&gt;0,INDEX(BR$7:BR$106,$AH15),1),IF($AI15&gt;0,INDEX(BR$7:BR$106,$AI15),1),IF($AJ15&gt;0,INDEX(BR$7:BR$106,$AJ15),1))))</ns0:f>
        <ns0:v>1</ns0:v>
      </ns0:c>
      <ns0:c r="BT15" t="n">
        <ns0:f>IF($A15="",1,IF(BS15=1,1,--AND(IF($AC15&gt;0,INDEX(BS$7:BS$106,$AC15),1),IF($AD15&gt;0,INDEX(BS$7:BS$106,$AD15),1),IF($AE15&gt;0,INDEX(BS$7:BS$106,$AE15),1),IF($AF15&gt;0,INDEX(BS$7:BS$106,$AF15),1),IF($AG15&gt;0,INDEX(BS$7:BS$106,$AG15),1),IF($AH15&gt;0,INDEX(BS$7:BS$106,$AH15),1),IF($AI15&gt;0,INDEX(BS$7:BS$106,$AI15),1),IF($AJ15&gt;0,INDEX(BS$7:BS$106,$AJ15),1))))</ns0:f>
        <ns0:v>1</ns0:v>
      </ns0:c>
      <ns0:c r="BU15" t="n">
        <ns0:f>IF($A15="",1,IF(BT15=1,1,--AND(IF($AC15&gt;0,INDEX(BT$7:BT$106,$AC15),1),IF($AD15&gt;0,INDEX(BT$7:BT$106,$AD15),1),IF($AE15&gt;0,INDEX(BT$7:BT$106,$AE15),1),IF($AF15&gt;0,INDEX(BT$7:BT$106,$AF15),1),IF($AG15&gt;0,INDEX(BT$7:BT$106,$AG15),1),IF($AH15&gt;0,INDEX(BT$7:BT$106,$AH15),1),IF($AI15&gt;0,INDEX(BT$7:BT$106,$AI15),1),IF($AJ15&gt;0,INDEX(BT$7:BT$106,$AJ15),1))))</ns0:f>
        <ns0:v>1</ns0:v>
      </ns0:c>
      <ns0:c r="BV15" t="n">
        <ns0:f>IF($A15="",1,IF(BU15=1,1,--AND(IF($AC15&gt;0,INDEX(BU$7:BU$106,$AC15),1),IF($AD15&gt;0,INDEX(BU$7:BU$106,$AD15),1),IF($AE15&gt;0,INDEX(BU$7:BU$106,$AE15),1),IF($AF15&gt;0,INDEX(BU$7:BU$106,$AF15),1),IF($AG15&gt;0,INDEX(BU$7:BU$106,$AG15),1),IF($AH15&gt;0,INDEX(BU$7:BU$106,$AH15),1),IF($AI15&gt;0,INDEX(BU$7:BU$106,$AI15),1),IF($AJ15&gt;0,INDEX(BU$7:BU$106,$AJ15),1))))</ns0:f>
        <ns0:v>1</ns0:v>
      </ns0:c>
      <ns0:c r="BW15" t="n">
        <ns0:f>IF($A15="",1,IF(BV15=1,1,--AND(IF($AC15&gt;0,INDEX(BV$7:BV$106,$AC15),1),IF($AD15&gt;0,INDEX(BV$7:BV$106,$AD15),1),IF($AE15&gt;0,INDEX(BV$7:BV$106,$AE15),1),IF($AF15&gt;0,INDEX(BV$7:BV$106,$AF15),1),IF($AG15&gt;0,INDEX(BV$7:BV$106,$AG15),1),IF($AH15&gt;0,INDEX(BV$7:BV$106,$AH15),1),IF($AI15&gt;0,INDEX(BV$7:BV$106,$AI15),1),IF($AJ15&gt;0,INDEX(BV$7:BV$106,$AJ15),1))))</ns0:f>
        <ns0:v>1</ns0:v>
      </ns0:c>
      <ns0:c r="BX15" t="n">
        <ns0:f>IF($A15="",1,IF(BW15=1,1,--AND(IF($AC15&gt;0,INDEX(BW$7:BW$106,$AC15),1),IF($AD15&gt;0,INDEX(BW$7:BW$106,$AD15),1),IF($AE15&gt;0,INDEX(BW$7:BW$106,$AE15),1),IF($AF15&gt;0,INDEX(BW$7:BW$106,$AF15),1),IF($AG15&gt;0,INDEX(BW$7:BW$106,$AG15),1),IF($AH15&gt;0,INDEX(BW$7:BW$106,$AH15),1),IF($AI15&gt;0,INDEX(BW$7:BW$106,$AI15),1),IF($AJ15&gt;0,INDEX(BW$7:BW$106,$AJ15),1))))</ns0:f>
        <ns0:v>1</ns0:v>
      </ns0:c>
      <ns0:c r="BY15" t="n">
        <ns0:f>IF($A15="",1,IF(BX15=1,1,--AND(IF($AC15&gt;0,INDEX(BX$7:BX$106,$AC15),1),IF($AD15&gt;0,INDEX(BX$7:BX$106,$AD15),1),IF($AE15&gt;0,INDEX(BX$7:BX$106,$AE15),1),IF($AF15&gt;0,INDEX(BX$7:BX$106,$AF15),1),IF($AG15&gt;0,INDEX(BX$7:BX$106,$AG15),1),IF($AH15&gt;0,INDEX(BX$7:BX$106,$AH15),1),IF($AI15&gt;0,INDEX(BX$7:BX$106,$AI15),1),IF($AJ15&gt;0,INDEX(BX$7:BX$106,$AJ15),1))))</ns0:f>
        <ns0:v>1</ns0:v>
      </ns0:c>
      <ns0:c r="BZ15" t="n">
        <ns0:f>IF($A15="",1,IF(BY15=1,1,--AND(IF($AC15&gt;0,INDEX(BY$7:BY$106,$AC15),1),IF($AD15&gt;0,INDEX(BY$7:BY$106,$AD15),1),IF($AE15&gt;0,INDEX(BY$7:BY$106,$AE15),1),IF($AF15&gt;0,INDEX(BY$7:BY$106,$AF15),1),IF($AG15&gt;0,INDEX(BY$7:BY$106,$AG15),1),IF($AH15&gt;0,INDEX(BY$7:BY$106,$AH15),1),IF($AI15&gt;0,INDEX(BY$7:BY$106,$AI15),1),IF($AJ15&gt;0,INDEX(BY$7:BY$106,$AJ15),1))))</ns0:f>
        <ns0:v>1</ns0:v>
      </ns0:c>
      <ns0:c r="CA15" t="n">
        <ns0:f>IF($A15="",1,IF(BZ15=1,1,--AND(IF($AC15&gt;0,INDEX(BZ$7:BZ$106,$AC15),1),IF($AD15&gt;0,INDEX(BZ$7:BZ$106,$AD15),1),IF($AE15&gt;0,INDEX(BZ$7:BZ$106,$AE15),1),IF($AF15&gt;0,INDEX(BZ$7:BZ$106,$AF15),1),IF($AG15&gt;0,INDEX(BZ$7:BZ$106,$AG15),1),IF($AH15&gt;0,INDEX(BZ$7:BZ$106,$AH15),1),IF($AI15&gt;0,INDEX(BZ$7:BZ$106,$AI15),1),IF($AJ15&gt;0,INDEX(BZ$7:BZ$106,$AJ15),1))))</ns0:f>
        <ns0:v>1</ns0:v>
      </ns0:c>
      <ns0:c r="CB15" t="n">
        <ns0:f>IF($A15="",1,IF(CA15=1,1,--AND(IF($AC15&gt;0,INDEX(CA$7:CA$106,$AC15),1),IF($AD15&gt;0,INDEX(CA$7:CA$106,$AD15),1),IF($AE15&gt;0,INDEX(CA$7:CA$106,$AE15),1),IF($AF15&gt;0,INDEX(CA$7:CA$106,$AF15),1),IF($AG15&gt;0,INDEX(CA$7:CA$106,$AG15),1),IF($AH15&gt;0,INDEX(CA$7:CA$106,$AH15),1),IF($AI15&gt;0,INDEX(CA$7:CA$106,$AI15),1),IF($AJ15&gt;0,INDEX(CA$7:CA$106,$AJ15),1))))</ns0:f>
        <ns0:v>1</ns0:v>
      </ns0:c>
      <ns0:c r="CC15" t="n">
        <ns0:f>IF($A15="",1,IF(CB15=1,1,--AND(IF($AC15&gt;0,INDEX(CB$7:CB$106,$AC15),1),IF($AD15&gt;0,INDEX(CB$7:CB$106,$AD15),1),IF($AE15&gt;0,INDEX(CB$7:CB$106,$AE15),1),IF($AF15&gt;0,INDEX(CB$7:CB$106,$AF15),1),IF($AG15&gt;0,INDEX(CB$7:CB$106,$AG15),1),IF($AH15&gt;0,INDEX(CB$7:CB$106,$AH15),1),IF($AI15&gt;0,INDEX(CB$7:CB$106,$AI15),1),IF($AJ15&gt;0,INDEX(CB$7:CB$106,$AJ15),1))))</ns0:f>
        <ns0:v>1</ns0:v>
      </ns0:c>
      <ns0:c r="CD15" t="n">
        <ns0:f>IF($A15="",1,IF(CC15=1,1,--AND(IF($AC15&gt;0,INDEX(CC$7:CC$106,$AC15),1),IF($AD15&gt;0,INDEX(CC$7:CC$106,$AD15),1),IF($AE15&gt;0,INDEX(CC$7:CC$106,$AE15),1),IF($AF15&gt;0,INDEX(CC$7:CC$106,$AF15),1),IF($AG15&gt;0,INDEX(CC$7:CC$106,$AG15),1),IF($AH15&gt;0,INDEX(CC$7:CC$106,$AH15),1),IF($AI15&gt;0,INDEX(CC$7:CC$106,$AI15),1),IF($AJ15&gt;0,INDEX(CC$7:CC$106,$AJ15),1))))</ns0:f>
        <ns0:v>1</ns0:v>
      </ns0:c>
      <ns0:c r="CE15" t="n">
        <ns0:f>IF($A15="",1,IF(CD15=1,1,--AND(IF($AC15&gt;0,INDEX(CD$7:CD$106,$AC15),1),IF($AD15&gt;0,INDEX(CD$7:CD$106,$AD15),1),IF($AE15&gt;0,INDEX(CD$7:CD$106,$AE15),1),IF($AF15&gt;0,INDEX(CD$7:CD$106,$AF15),1),IF($AG15&gt;0,INDEX(CD$7:CD$106,$AG15),1),IF($AH15&gt;0,INDEX(CD$7:CD$106,$AH15),1),IF($AI15&gt;0,INDEX(CD$7:CD$106,$AI15),1),IF($AJ15&gt;0,INDEX(CD$7:CD$106,$AJ15),1))))</ns0:f>
        <ns0:v>1</ns0:v>
      </ns0:c>
      <ns0:c r="CF15" t="n">
        <ns0:f>IF($A15="",1,IF(CE15=1,1,--AND(IF($AC15&gt;0,INDEX(CE$7:CE$106,$AC15),1),IF($AD15&gt;0,INDEX(CE$7:CE$106,$AD15),1),IF($AE15&gt;0,INDEX(CE$7:CE$106,$AE15),1),IF($AF15&gt;0,INDEX(CE$7:CE$106,$AF15),1),IF($AG15&gt;0,INDEX(CE$7:CE$106,$AG15),1),IF($AH15&gt;0,INDEX(CE$7:CE$106,$AH15),1),IF($AI15&gt;0,INDEX(CE$7:CE$106,$AI15),1),IF($AJ15&gt;0,INDEX(CE$7:CE$106,$AJ15),1))))</ns0:f>
        <ns0:v>1</ns0:v>
      </ns0:c>
      <ns0:c r="CG15" t="n">
        <ns0:f>IF($A15="",1,IF(CF15=1,1,--AND(IF($AC15&gt;0,INDEX(CF$7:CF$106,$AC15),1),IF($AD15&gt;0,INDEX(CF$7:CF$106,$AD15),1),IF($AE15&gt;0,INDEX(CF$7:CF$106,$AE15),1),IF($AF15&gt;0,INDEX(CF$7:CF$106,$AF15),1),IF($AG15&gt;0,INDEX(CF$7:CF$106,$AG15),1),IF($AH15&gt;0,INDEX(CF$7:CF$106,$AH15),1),IF($AI15&gt;0,INDEX(CF$7:CF$106,$AI15),1),IF($AJ15&gt;0,INDEX(CF$7:CF$106,$AJ15),1))))</ns0:f>
        <ns0:v>1</ns0:v>
      </ns0:c>
      <ns0:c r="CH15" t="n">
        <ns0:f>IF($A15="",1,IF(CG15=1,1,--AND(IF($AC15&gt;0,INDEX(CG$7:CG$106,$AC15),1),IF($AD15&gt;0,INDEX(CG$7:CG$106,$AD15),1),IF($AE15&gt;0,INDEX(CG$7:CG$106,$AE15),1),IF($AF15&gt;0,INDEX(CG$7:CG$106,$AF15),1),IF($AG15&gt;0,INDEX(CG$7:CG$106,$AG15),1),IF($AH15&gt;0,INDEX(CG$7:CG$106,$AH15),1),IF($AI15&gt;0,INDEX(CG$7:CG$106,$AI15),1),IF($AJ15&gt;0,INDEX(CG$7:CG$106,$AJ15),1))))</ns0:f>
        <ns0:v>1</ns0:v>
      </ns0:c>
      <ns0:c r="CI15" t="n">
        <ns0:f>IF($A15="",1,IF(CH15=1,1,--AND(IF($AC15&gt;0,INDEX(CH$7:CH$106,$AC15),1),IF($AD15&gt;0,INDEX(CH$7:CH$106,$AD15),1),IF($AE15&gt;0,INDEX(CH$7:CH$106,$AE15),1),IF($AF15&gt;0,INDEX(CH$7:CH$106,$AF15),1),IF($AG15&gt;0,INDEX(CH$7:CH$106,$AG15),1),IF($AH15&gt;0,INDEX(CH$7:CH$106,$AH15),1),IF($AI15&gt;0,INDEX(CH$7:CH$106,$AI15),1),IF($AJ15&gt;0,INDEX(CH$7:CH$106,$AJ15),1))))</ns0:f>
        <ns0:v>1</ns0:v>
      </ns0:c>
      <ns0:c r="CJ15" t="n">
        <ns0:f>IF($A15="",1,IF(CI15=1,1,--AND(IF($AC15&gt;0,INDEX(CI$7:CI$106,$AC15),1),IF($AD15&gt;0,INDEX(CI$7:CI$106,$AD15),1),IF($AE15&gt;0,INDEX(CI$7:CI$106,$AE15),1),IF($AF15&gt;0,INDEX(CI$7:CI$106,$AF15),1),IF($AG15&gt;0,INDEX(CI$7:CI$106,$AG15),1),IF($AH15&gt;0,INDEX(CI$7:CI$106,$AH15),1),IF($AI15&gt;0,INDEX(CI$7:CI$106,$AI15),1),IF($AJ15&gt;0,INDEX(CI$7:CI$106,$AJ15),1))))</ns0:f>
        <ns0:v>1</ns0:v>
      </ns0:c>
      <ns0:c r="CK15" t="n">
        <ns0:f>IF($A15="",1,IF(CJ15=1,1,--AND(IF($AC15&gt;0,INDEX(CJ$7:CJ$106,$AC15),1),IF($AD15&gt;0,INDEX(CJ$7:CJ$106,$AD15),1),IF($AE15&gt;0,INDEX(CJ$7:CJ$106,$AE15),1),IF($AF15&gt;0,INDEX(CJ$7:CJ$106,$AF15),1),IF($AG15&gt;0,INDEX(CJ$7:CJ$106,$AG15),1),IF($AH15&gt;0,INDEX(CJ$7:CJ$106,$AH15),1),IF($AI15&gt;0,INDEX(CJ$7:CJ$106,$AI15),1),IF($AJ15&gt;0,INDEX(CJ$7:CJ$106,$AJ15),1))))</ns0:f>
        <ns0:v>1</ns0:v>
      </ns0:c>
      <ns0:c r="CL15" t="n">
        <ns0:f>IF($A15="",1,IF(CK15=1,1,--AND(IF($AC15&gt;0,INDEX(CK$7:CK$106,$AC15),1),IF($AD15&gt;0,INDEX(CK$7:CK$106,$AD15),1),IF($AE15&gt;0,INDEX(CK$7:CK$106,$AE15),1),IF($AF15&gt;0,INDEX(CK$7:CK$106,$AF15),1),IF($AG15&gt;0,INDEX(CK$7:CK$106,$AG15),1),IF($AH15&gt;0,INDEX(CK$7:CK$106,$AH15),1),IF($AI15&gt;0,INDEX(CK$7:CK$106,$AI15),1),IF($AJ15&gt;0,INDEX(CK$7:CK$106,$AJ15),1))))</ns0:f>
        <ns0:v>1</ns0:v>
      </ns0:c>
      <ns0:c r="CM15" t="n">
        <ns0:f>IF($A15="",1,IF(CL15=1,1,--AND(IF($AC15&gt;0,INDEX(CL$7:CL$106,$AC15),1),IF($AD15&gt;0,INDEX(CL$7:CL$106,$AD15),1),IF($AE15&gt;0,INDEX(CL$7:CL$106,$AE15),1),IF($AF15&gt;0,INDEX(CL$7:CL$106,$AF15),1),IF($AG15&gt;0,INDEX(CL$7:CL$106,$AG15),1),IF($AH15&gt;0,INDEX(CL$7:CL$106,$AH15),1),IF($AI15&gt;0,INDEX(CL$7:CL$106,$AI15),1),IF($AJ15&gt;0,INDEX(CL$7:CL$106,$AJ15),1))))</ns0:f>
        <ns0:v>1</ns0:v>
      </ns0:c>
      <ns0:c r="CN15" t="n">
        <ns0:f>IF($A15="",1,IF(CM15=1,1,--AND(IF($AC15&gt;0,INDEX(CM$7:CM$106,$AC15),1),IF($AD15&gt;0,INDEX(CM$7:CM$106,$AD15),1),IF($AE15&gt;0,INDEX(CM$7:CM$106,$AE15),1),IF($AF15&gt;0,INDEX(CM$7:CM$106,$AF15),1),IF($AG15&gt;0,INDEX(CM$7:CM$106,$AG15),1),IF($AH15&gt;0,INDEX(CM$7:CM$106,$AH15),1),IF($AI15&gt;0,INDEX(CM$7:CM$106,$AI15),1),IF($AJ15&gt;0,INDEX(CM$7:CM$106,$AJ15),1))))</ns0:f>
        <ns0:v>1</ns0:v>
      </ns0:c>
      <ns0:c r="CO15" t="n">
        <ns0:f>IF($A15="",1,IF(CN15=1,1,--AND(IF($AC15&gt;0,INDEX(CN$7:CN$106,$AC15),1),IF($AD15&gt;0,INDEX(CN$7:CN$106,$AD15),1),IF($AE15&gt;0,INDEX(CN$7:CN$106,$AE15),1),IF($AF15&gt;0,INDEX(CN$7:CN$106,$AF15),1),IF($AG15&gt;0,INDEX(CN$7:CN$106,$AG15),1),IF($AH15&gt;0,INDEX(CN$7:CN$106,$AH15),1),IF($AI15&gt;0,INDEX(CN$7:CN$106,$AI15),1),IF($AJ15&gt;0,INDEX(CN$7:CN$106,$AJ15),1))))</ns0:f>
        <ns0:v>1</ns0:v>
      </ns0:c>
      <ns0:c r="CP15" t="n">
        <ns0:f>IF($A15="",1,IF(CO15=1,1,--AND(IF($AC15&gt;0,INDEX(CO$7:CO$106,$AC15),1),IF($AD15&gt;0,INDEX(CO$7:CO$106,$AD15),1),IF($AE15&gt;0,INDEX(CO$7:CO$106,$AE15),1),IF($AF15&gt;0,INDEX(CO$7:CO$106,$AF15),1),IF($AG15&gt;0,INDEX(CO$7:CO$106,$AG15),1),IF($AH15&gt;0,INDEX(CO$7:CO$106,$AH15),1),IF($AI15&gt;0,INDEX(CO$7:CO$106,$AI15),1),IF($AJ15&gt;0,INDEX(CO$7:CO$106,$AJ15),1))))</ns0:f>
        <ns0:v>1</ns0:v>
      </ns0:c>
      <ns0:c r="CQ15" t="n">
        <ns0:f>IF($A15="",1,IF(CP15=1,1,--AND(IF($AC15&gt;0,INDEX(CP$7:CP$106,$AC15),1),IF($AD15&gt;0,INDEX(CP$7:CP$106,$AD15),1),IF($AE15&gt;0,INDEX(CP$7:CP$106,$AE15),1),IF($AF15&gt;0,INDEX(CP$7:CP$106,$AF15),1),IF($AG15&gt;0,INDEX(CP$7:CP$106,$AG15),1),IF($AH15&gt;0,INDEX(CP$7:CP$106,$AH15),1),IF($AI15&gt;0,INDEX(CP$7:CP$106,$AI15),1),IF($AJ15&gt;0,INDEX(CP$7:CP$106,$AJ15),1))))</ns0:f>
        <ns0:v>1</ns0:v>
      </ns0:c>
      <ns0:c r="CR15" t="n">
        <ns0:f>IF($A15="",1,IF(CQ15=1,1,--AND(IF($AC15&gt;0,INDEX(CQ$7:CQ$106,$AC15),1),IF($AD15&gt;0,INDEX(CQ$7:CQ$106,$AD15),1),IF($AE15&gt;0,INDEX(CQ$7:CQ$106,$AE15),1),IF($AF15&gt;0,INDEX(CQ$7:CQ$106,$AF15),1),IF($AG15&gt;0,INDEX(CQ$7:CQ$106,$AG15),1),IF($AH15&gt;0,INDEX(CQ$7:CQ$106,$AH15),1),IF($AI15&gt;0,INDEX(CQ$7:CQ$106,$AI15),1),IF($AJ15&gt;0,INDEX(CQ$7:CQ$106,$AJ15),1))))</ns0:f>
        <ns0:v>1</ns0:v>
      </ns0:c>
      <ns0:c r="CS15" t="n">
        <ns0:f>IF($A15="",1,IF(CR15=1,1,--AND(IF($AC15&gt;0,INDEX(CR$7:CR$106,$AC15),1),IF($AD15&gt;0,INDEX(CR$7:CR$106,$AD15),1),IF($AE15&gt;0,INDEX(CR$7:CR$106,$AE15),1),IF($AF15&gt;0,INDEX(CR$7:CR$106,$AF15),1),IF($AG15&gt;0,INDEX(CR$7:CR$106,$AG15),1),IF($AH15&gt;0,INDEX(CR$7:CR$106,$AH15),1),IF($AI15&gt;0,INDEX(CR$7:CR$106,$AI15),1),IF($AJ15&gt;0,INDEX(CR$7:CR$106,$AJ15),1))))</ns0:f>
        <ns0:v>1</ns0:v>
      </ns0:c>
      <ns0:c r="CT15" t="n">
        <ns0:f>IF($A15="",1,IF(CS15=1,1,--AND(IF($AC15&gt;0,INDEX(CS$7:CS$106,$AC15),1),IF($AD15&gt;0,INDEX(CS$7:CS$106,$AD15),1),IF($AE15&gt;0,INDEX(CS$7:CS$106,$AE15),1),IF($AF15&gt;0,INDEX(CS$7:CS$106,$AF15),1),IF($AG15&gt;0,INDEX(CS$7:CS$106,$AG15),1),IF($AH15&gt;0,INDEX(CS$7:CS$106,$AH15),1),IF($AI15&gt;0,INDEX(CS$7:CS$106,$AI15),1),IF($AJ15&gt;0,INDEX(CS$7:CS$106,$AJ15),1))))</ns0:f>
        <ns0:v>1</ns0:v>
      </ns0:c>
      <ns0:c r="CU15" t="n">
        <ns0:f>IF($A15="",1,IF(CT15=1,1,--AND(IF($AC15&gt;0,INDEX(CT$7:CT$106,$AC15),1),IF($AD15&gt;0,INDEX(CT$7:CT$106,$AD15),1),IF($AE15&gt;0,INDEX(CT$7:CT$106,$AE15),1),IF($AF15&gt;0,INDEX(CT$7:CT$106,$AF15),1),IF($AG15&gt;0,INDEX(CT$7:CT$106,$AG15),1),IF($AH15&gt;0,INDEX(CT$7:CT$106,$AH15),1),IF($AI15&gt;0,INDEX(CT$7:CT$106,$AI15),1),IF($AJ15&gt;0,INDEX(CT$7:CT$106,$AJ15),1))))</ns0:f>
        <ns0:v>1</ns0:v>
      </ns0:c>
      <ns0:c r="CV15" t="n">
        <ns0:f>IF($A15="",1,IF(CU15=1,1,--AND(IF($AC15&gt;0,INDEX(CU$7:CU$106,$AC15),1),IF($AD15&gt;0,INDEX(CU$7:CU$106,$AD15),1),IF($AE15&gt;0,INDEX(CU$7:CU$106,$AE15),1),IF($AF15&gt;0,INDEX(CU$7:CU$106,$AF15),1),IF($AG15&gt;0,INDEX(CU$7:CU$106,$AG15),1),IF($AH15&gt;0,INDEX(CU$7:CU$106,$AH15),1),IF($AI15&gt;0,INDEX(CU$7:CU$106,$AI15),1),IF($AJ15&gt;0,INDEX(CU$7:CU$106,$AJ15),1))))</ns0:f>
        <ns0:v>1</ns0:v>
      </ns0:c>
      <ns0:c r="CW15" t="n">
        <ns0:f>IF($A15="",1,IF(CV15=1,1,--AND(IF($AC15&gt;0,INDEX(CV$7:CV$106,$AC15),1),IF($AD15&gt;0,INDEX(CV$7:CV$106,$AD15),1),IF($AE15&gt;0,INDEX(CV$7:CV$106,$AE15),1),IF($AF15&gt;0,INDEX(CV$7:CV$106,$AF15),1),IF($AG15&gt;0,INDEX(CV$7:CV$106,$AG15),1),IF($AH15&gt;0,INDEX(CV$7:CV$106,$AH15),1),IF($AI15&gt;0,INDEX(CV$7:CV$106,$AI15),1),IF($AJ15&gt;0,INDEX(CV$7:CV$106,$AJ15),1))))</ns0:f>
        <ns0:v>1</ns0:v>
      </ns0:c>
      <ns0:c r="CX15" t="n">
        <ns0:f>IF($A15="",1,IF(CW15=1,1,--AND(IF($AC15&gt;0,INDEX(CW$7:CW$106,$AC15),1),IF($AD15&gt;0,INDEX(CW$7:CW$106,$AD15),1),IF($AE15&gt;0,INDEX(CW$7:CW$106,$AE15),1),IF($AF15&gt;0,INDEX(CW$7:CW$106,$AF15),1),IF($AG15&gt;0,INDEX(CW$7:CW$106,$AG15),1),IF($AH15&gt;0,INDEX(CW$7:CW$106,$AH15),1),IF($AI15&gt;0,INDEX(CW$7:CW$106,$AI15),1),IF($AJ15&gt;0,INDEX(CW$7:CW$106,$AJ15),1))))</ns0:f>
        <ns0:v>1</ns0:v>
      </ns0:c>
      <ns0:c r="CY15" t="n">
        <ns0:f>IF($A15="",1,IF(CX15=1,1,--AND(IF($AC15&gt;0,INDEX(CX$7:CX$106,$AC15),1),IF($AD15&gt;0,INDEX(CX$7:CX$106,$AD15),1),IF($AE15&gt;0,INDEX(CX$7:CX$106,$AE15),1),IF($AF15&gt;0,INDEX(CX$7:CX$106,$AF15),1),IF($AG15&gt;0,INDEX(CX$7:CX$106,$AG15),1),IF($AH15&gt;0,INDEX(CX$7:CX$106,$AH15),1),IF($AI15&gt;0,INDEX(CX$7:CX$106,$AI15),1),IF($AJ15&gt;0,INDEX(CX$7:CX$106,$AJ15),1))))</ns0:f>
        <ns0:v>1</ns0:v>
      </ns0:c>
      <ns0:c r="CZ15" t="n">
        <ns0:f>IF($A15="",1,IF(CY15=1,1,--AND(IF($AC15&gt;0,INDEX(CY$7:CY$106,$AC15),1),IF($AD15&gt;0,INDEX(CY$7:CY$106,$AD15),1),IF($AE15&gt;0,INDEX(CY$7:CY$106,$AE15),1),IF($AF15&gt;0,INDEX(CY$7:CY$106,$AF15),1),IF($AG15&gt;0,INDEX(CY$7:CY$106,$AG15),1),IF($AH15&gt;0,INDEX(CY$7:CY$106,$AH15),1),IF($AI15&gt;0,INDEX(CY$7:CY$106,$AI15),1),IF($AJ15&gt;0,INDEX(CY$7:CY$106,$AJ15),1))))</ns0:f>
        <ns0:v>1</ns0:v>
      </ns0:c>
      <ns0:c r="DA15" t="n">
        <ns0:f>IF($A15="",1,IF(CZ15=1,1,--AND(IF($AC15&gt;0,INDEX(CZ$7:CZ$106,$AC15),1),IF($AD15&gt;0,INDEX(CZ$7:CZ$106,$AD15),1),IF($AE15&gt;0,INDEX(CZ$7:CZ$106,$AE15),1),IF($AF15&gt;0,INDEX(CZ$7:CZ$106,$AF15),1),IF($AG15&gt;0,INDEX(CZ$7:CZ$106,$AG15),1),IF($AH15&gt;0,INDEX(CZ$7:CZ$106,$AH15),1),IF($AI15&gt;0,INDEX(CZ$7:CZ$106,$AI15),1),IF($AJ15&gt;0,INDEX(CZ$7:CZ$106,$AJ15),1))))</ns0:f>
        <ns0:v>1</ns0:v>
      </ns0:c>
      <ns0:c r="DB15" t="n">
        <ns0:f>IF($A15="",1,IF(DA15=1,1,--AND(IF($AC15&gt;0,INDEX(DA$7:DA$106,$AC15),1),IF($AD15&gt;0,INDEX(DA$7:DA$106,$AD15),1),IF($AE15&gt;0,INDEX(DA$7:DA$106,$AE15),1),IF($AF15&gt;0,INDEX(DA$7:DA$106,$AF15),1),IF($AG15&gt;0,INDEX(DA$7:DA$106,$AG15),1),IF($AH15&gt;0,INDEX(DA$7:DA$106,$AH15),1),IF($AI15&gt;0,INDEX(DA$7:DA$106,$AI15),1),IF($AJ15&gt;0,INDEX(DA$7:DA$106,$AJ15),1))))</ns0:f>
        <ns0:v>1</ns0:v>
      </ns0:c>
      <ns0:c r="DC15" t="n">
        <ns0:f>IF($A15="",1,IF(DB15=1,1,--AND(IF($AC15&gt;0,INDEX(DB$7:DB$106,$AC15),1),IF($AD15&gt;0,INDEX(DB$7:DB$106,$AD15),1),IF($AE15&gt;0,INDEX(DB$7:DB$106,$AE15),1),IF($AF15&gt;0,INDEX(DB$7:DB$106,$AF15),1),IF($AG15&gt;0,INDEX(DB$7:DB$106,$AG15),1),IF($AH15&gt;0,INDEX(DB$7:DB$106,$AH15),1),IF($AI15&gt;0,INDEX(DB$7:DB$106,$AI15),1),IF($AJ15&gt;0,INDEX(DB$7:DB$106,$AJ15),1))))</ns0:f>
        <ns0:v>1</ns0:v>
      </ns0:c>
      <ns0:c r="DD15" t="n">
        <ns0:f>IF($A15="",1,IF(DC15=1,1,--AND(IF($AC15&gt;0,INDEX(DC$7:DC$106,$AC15),1),IF($AD15&gt;0,INDEX(DC$7:DC$106,$AD15),1),IF($AE15&gt;0,INDEX(DC$7:DC$106,$AE15),1),IF($AF15&gt;0,INDEX(DC$7:DC$106,$AF15),1),IF($AG15&gt;0,INDEX(DC$7:DC$106,$AG15),1),IF($AH15&gt;0,INDEX(DC$7:DC$106,$AH15),1),IF($AI15&gt;0,INDEX(DC$7:DC$106,$AI15),1),IF($AJ15&gt;0,INDEX(DC$7:DC$106,$AJ15),1))))</ns0:f>
        <ns0:v>1</ns0:v>
      </ns0:c>
      <ns0:c r="DE15" t="n">
        <ns0:f>IF($A15="",1,IF(DD15=1,1,--AND(IF($AC15&gt;0,INDEX(DD$7:DD$106,$AC15),1),IF($AD15&gt;0,INDEX(DD$7:DD$106,$AD15),1),IF($AE15&gt;0,INDEX(DD$7:DD$106,$AE15),1),IF($AF15&gt;0,INDEX(DD$7:DD$106,$AF15),1),IF($AG15&gt;0,INDEX(DD$7:DD$106,$AG15),1),IF($AH15&gt;0,INDEX(DD$7:DD$106,$AH15),1),IF($AI15&gt;0,INDEX(DD$7:DD$106,$AI15),1),IF($AJ15&gt;0,INDEX(DD$7:DD$106,$AJ15),1))))</ns0:f>
        <ns0:v>1</ns0:v>
      </ns0:c>
      <ns0:c r="DF15" t="n">
        <ns0:f>IF($A15="",1,IF(DE15=1,1,--AND(IF($AC15&gt;0,INDEX(DE$7:DE$106,$AC15),1),IF($AD15&gt;0,INDEX(DE$7:DE$106,$AD15),1),IF($AE15&gt;0,INDEX(DE$7:DE$106,$AE15),1),IF($AF15&gt;0,INDEX(DE$7:DE$106,$AF15),1),IF($AG15&gt;0,INDEX(DE$7:DE$106,$AG15),1),IF($AH15&gt;0,INDEX(DE$7:DE$106,$AH15),1),IF($AI15&gt;0,INDEX(DE$7:DE$106,$AI15),1),IF($AJ15&gt;0,INDEX(DE$7:DE$106,$AJ15),1))))</ns0:f>
        <ns0:v>1</ns0:v>
      </ns0:c>
      <ns0:c r="DG15" t="n">
        <ns0:f>IF($A15="",1,IF(DF15=1,1,--AND(IF($AC15&gt;0,INDEX(DF$7:DF$106,$AC15),1),IF($AD15&gt;0,INDEX(DF$7:DF$106,$AD15),1),IF($AE15&gt;0,INDEX(DF$7:DF$106,$AE15),1),IF($AF15&gt;0,INDEX(DF$7:DF$106,$AF15),1),IF($AG15&gt;0,INDEX(DF$7:DF$106,$AG15),1),IF($AH15&gt;0,INDEX(DF$7:DF$106,$AH15),1),IF($AI15&gt;0,INDEX(DF$7:DF$106,$AI15),1),IF($AJ15&gt;0,INDEX(DF$7:DF$106,$AJ15),1))))</ns0:f>
        <ns0:v>1</ns0:v>
      </ns0:c>
      <ns0:c r="DH15" t="n">
        <ns0:f>IF($A15="",1,IF(DG15=1,1,--AND(IF($AC15&gt;0,INDEX(DG$7:DG$106,$AC15),1),IF($AD15&gt;0,INDEX(DG$7:DG$106,$AD15),1),IF($AE15&gt;0,INDEX(DG$7:DG$106,$AE15),1),IF($AF15&gt;0,INDEX(DG$7:DG$106,$AF15),1),IF($AG15&gt;0,INDEX(DG$7:DG$106,$AG15),1),IF($AH15&gt;0,INDEX(DG$7:DG$106,$AH15),1),IF($AI15&gt;0,INDEX(DG$7:DG$106,$AI15),1),IF($AJ15&gt;0,INDEX(DG$7:DG$106,$AJ15),1))))</ns0:f>
        <ns0:v>1</ns0:v>
      </ns0:c>
      <ns0:c r="DI15" t="n">
        <ns0:f>IF($A15="",1,IF(DH15=1,1,--AND(IF($AC15&gt;0,INDEX(DH$7:DH$106,$AC15),1),IF($AD15&gt;0,INDEX(DH$7:DH$106,$AD15),1),IF($AE15&gt;0,INDEX(DH$7:DH$106,$AE15),1),IF($AF15&gt;0,INDEX(DH$7:DH$106,$AF15),1),IF($AG15&gt;0,INDEX(DH$7:DH$106,$AG15),1),IF($AH15&gt;0,INDEX(DH$7:DH$106,$AH15),1),IF($AI15&gt;0,INDEX(DH$7:DH$106,$AI15),1),IF($AJ15&gt;0,INDEX(DH$7:DH$106,$AJ15),1))))</ns0:f>
        <ns0:v>1</ns0:v>
      </ns0:c>
      <ns0:c r="DJ15" t="n">
        <ns0:f>IF($A15="",1,IF(DI15=1,1,--AND(IF($AC15&gt;0,INDEX(DI$7:DI$106,$AC15),1),IF($AD15&gt;0,INDEX(DI$7:DI$106,$AD15),1),IF($AE15&gt;0,INDEX(DI$7:DI$106,$AE15),1),IF($AF15&gt;0,INDEX(DI$7:DI$106,$AF15),1),IF($AG15&gt;0,INDEX(DI$7:DI$106,$AG15),1),IF($AH15&gt;0,INDEX(DI$7:DI$106,$AH15),1),IF($AI15&gt;0,INDEX(DI$7:DI$106,$AI15),1),IF($AJ15&gt;0,INDEX(DI$7:DI$106,$AJ15),1))))</ns0:f>
        <ns0:v>1</ns0:v>
      </ns0:c>
      <ns0:c r="DK15" t="n">
        <ns0:f>IF($A15="",1,IF(DJ15=1,1,--AND(IF($AC15&gt;0,INDEX(DJ$7:DJ$106,$AC15),1),IF($AD15&gt;0,INDEX(DJ$7:DJ$106,$AD15),1),IF($AE15&gt;0,INDEX(DJ$7:DJ$106,$AE15),1),IF($AF15&gt;0,INDEX(DJ$7:DJ$106,$AF15),1),IF($AG15&gt;0,INDEX(DJ$7:DJ$106,$AG15),1),IF($AH15&gt;0,INDEX(DJ$7:DJ$106,$AH15),1),IF($AI15&gt;0,INDEX(DJ$7:DJ$106,$AI15),1),IF($AJ15&gt;0,INDEX(DJ$7:DJ$106,$AJ15),1))))</ns0:f>
        <ns0:v>1</ns0:v>
      </ns0:c>
      <ns0:c r="DL15" t="n">
        <ns0:f>IF($A15="",1,IF(DK15=1,1,--AND(IF($AC15&gt;0,INDEX(DK$7:DK$106,$AC15),1),IF($AD15&gt;0,INDEX(DK$7:DK$106,$AD15),1),IF($AE15&gt;0,INDEX(DK$7:DK$106,$AE15),1),IF($AF15&gt;0,INDEX(DK$7:DK$106,$AF15),1),IF($AG15&gt;0,INDEX(DK$7:DK$106,$AG15),1),IF($AH15&gt;0,INDEX(DK$7:DK$106,$AH15),1),IF($AI15&gt;0,INDEX(DK$7:DK$106,$AI15),1),IF($AJ15&gt;0,INDEX(DK$7:DK$106,$AJ15),1))))</ns0:f>
        <ns0:v>1</ns0:v>
      </ns0:c>
      <ns0:c r="DM15" t="n">
        <ns0:f>IF($A15="",1,IF(DL15=1,1,--AND(IF($AC15&gt;0,INDEX(DL$7:DL$106,$AC15),1),IF($AD15&gt;0,INDEX(DL$7:DL$106,$AD15),1),IF($AE15&gt;0,INDEX(DL$7:DL$106,$AE15),1),IF($AF15&gt;0,INDEX(DL$7:DL$106,$AF15),1),IF($AG15&gt;0,INDEX(DL$7:DL$106,$AG15),1),IF($AH15&gt;0,INDEX(DL$7:DL$106,$AH15),1),IF($AI15&gt;0,INDEX(DL$7:DL$106,$AI15),1),IF($AJ15&gt;0,INDEX(DL$7:DL$106,$AJ15),1))))</ns0:f>
        <ns0:v>1</ns0:v>
      </ns0:c>
      <ns0:c r="DN15" t="n">
        <ns0:f>IF($A15="",1,IF(DM15=1,1,--AND(IF($AC15&gt;0,INDEX(DM$7:DM$106,$AC15),1),IF($AD15&gt;0,INDEX(DM$7:DM$106,$AD15),1),IF($AE15&gt;0,INDEX(DM$7:DM$106,$AE15),1),IF($AF15&gt;0,INDEX(DM$7:DM$106,$AF15),1),IF($AG15&gt;0,INDEX(DM$7:DM$106,$AG15),1),IF($AH15&gt;0,INDEX(DM$7:DM$106,$AH15),1),IF($AI15&gt;0,INDEX(DM$7:DM$106,$AI15),1),IF($AJ15&gt;0,INDEX(DM$7:DM$106,$AJ15),1))))</ns0:f>
        <ns0:v>1</ns0:v>
      </ns0:c>
      <ns0:c r="DO15" t="n">
        <ns0:f>IF($A15="",1,IF(DN15=1,1,--AND(IF($AC15&gt;0,INDEX(DN$7:DN$106,$AC15),1),IF($AD15&gt;0,INDEX(DN$7:DN$106,$AD15),1),IF($AE15&gt;0,INDEX(DN$7:DN$106,$AE15),1),IF($AF15&gt;0,INDEX(DN$7:DN$106,$AF15),1),IF($AG15&gt;0,INDEX(DN$7:DN$106,$AG15),1),IF($AH15&gt;0,INDEX(DN$7:DN$106,$AH15),1),IF($AI15&gt;0,INDEX(DN$7:DN$106,$AI15),1),IF($AJ15&gt;0,INDEX(DN$7:DN$106,$AJ15),1))))</ns0:f>
        <ns0:v>1</ns0:v>
      </ns0:c>
      <ns0:c r="DP15" t="n">
        <ns0:f>IF($A15="",1,IF(DO15=1,1,--AND(IF($AC15&gt;0,INDEX(DO$7:DO$106,$AC15),1),IF($AD15&gt;0,INDEX(DO$7:DO$106,$AD15),1),IF($AE15&gt;0,INDEX(DO$7:DO$106,$AE15),1),IF($AF15&gt;0,INDEX(DO$7:DO$106,$AF15),1),IF($AG15&gt;0,INDEX(DO$7:DO$106,$AG15),1),IF($AH15&gt;0,INDEX(DO$7:DO$106,$AH15),1),IF($AI15&gt;0,INDEX(DO$7:DO$106,$AI15),1),IF($AJ15&gt;0,INDEX(DO$7:DO$106,$AJ15),1))))</ns0:f>
        <ns0:v>1</ns0:v>
      </ns0:c>
      <ns0:c r="DQ15" t="n">
        <ns0:f>IF($A15="",1,IF(DP15=1,1,--AND(IF($AC15&gt;0,INDEX(DP$7:DP$106,$AC15),1),IF($AD15&gt;0,INDEX(DP$7:DP$106,$AD15),1),IF($AE15&gt;0,INDEX(DP$7:DP$106,$AE15),1),IF($AF15&gt;0,INDEX(DP$7:DP$106,$AF15),1),IF($AG15&gt;0,INDEX(DP$7:DP$106,$AG15),1),IF($AH15&gt;0,INDEX(DP$7:DP$106,$AH15),1),IF($AI15&gt;0,INDEX(DP$7:DP$106,$AI15),1),IF($AJ15&gt;0,INDEX(DP$7:DP$106,$AJ15),1))))</ns0:f>
        <ns0:v>1</ns0:v>
      </ns0:c>
      <ns0:c r="DR15" t="n">
        <ns0:f>IF($A15="",1,IF(DQ15=1,1,--AND(IF($AC15&gt;0,INDEX(DQ$7:DQ$106,$AC15),1),IF($AD15&gt;0,INDEX(DQ$7:DQ$106,$AD15),1),IF($AE15&gt;0,INDEX(DQ$7:DQ$106,$AE15),1),IF($AF15&gt;0,INDEX(DQ$7:DQ$106,$AF15),1),IF($AG15&gt;0,INDEX(DQ$7:DQ$106,$AG15),1),IF($AH15&gt;0,INDEX(DQ$7:DQ$106,$AH15),1),IF($AI15&gt;0,INDEX(DQ$7:DQ$106,$AI15),1),IF($AJ15&gt;0,INDEX(DQ$7:DQ$106,$AJ15),1))))</ns0:f>
        <ns0:v>1</ns0:v>
      </ns0:c>
      <ns0:c r="DS15" t="n">
        <ns0:f>IF($A15="",1,IF(DR15=1,1,--AND(IF($AC15&gt;0,INDEX(DR$7:DR$106,$AC15),1),IF($AD15&gt;0,INDEX(DR$7:DR$106,$AD15),1),IF($AE15&gt;0,INDEX(DR$7:DR$106,$AE15),1),IF($AF15&gt;0,INDEX(DR$7:DR$106,$AF15),1),IF($AG15&gt;0,INDEX(DR$7:DR$106,$AG15),1),IF($AH15&gt;0,INDEX(DR$7:DR$106,$AH15),1),IF($AI15&gt;0,INDEX(DR$7:DR$106,$AI15),1),IF($AJ15&gt;0,INDEX(DR$7:DR$106,$AJ15),1))))</ns0:f>
        <ns0:v>1</ns0:v>
      </ns0:c>
      <ns0:c r="DT15" t="n">
        <ns0:f>IF($A15="",1,IF(DS15=1,1,--AND(IF($AC15&gt;0,INDEX(DS$7:DS$106,$AC15),1),IF($AD15&gt;0,INDEX(DS$7:DS$106,$AD15),1),IF($AE15&gt;0,INDEX(DS$7:DS$106,$AE15),1),IF($AF15&gt;0,INDEX(DS$7:DS$106,$AF15),1),IF($AG15&gt;0,INDEX(DS$7:DS$106,$AG15),1),IF($AH15&gt;0,INDEX(DS$7:DS$106,$AH15),1),IF($AI15&gt;0,INDEX(DS$7:DS$106,$AI15),1),IF($AJ15&gt;0,INDEX(DS$7:DS$106,$AJ15),1))))</ns0:f>
        <ns0:v>1</ns0:v>
      </ns0:c>
      <ns0:c r="DU15" t="n">
        <ns0:f>IF($A15="",1,IF(DT15=1,1,--AND(IF($AC15&gt;0,INDEX(DT$7:DT$106,$AC15),1),IF($AD15&gt;0,INDEX(DT$7:DT$106,$AD15),1),IF($AE15&gt;0,INDEX(DT$7:DT$106,$AE15),1),IF($AF15&gt;0,INDEX(DT$7:DT$106,$AF15),1),IF($AG15&gt;0,INDEX(DT$7:DT$106,$AG15),1),IF($AH15&gt;0,INDEX(DT$7:DT$106,$AH15),1),IF($AI15&gt;0,INDEX(DT$7:DT$106,$AI15),1),IF($AJ15&gt;0,INDEX(DT$7:DT$106,$AJ15),1))))</ns0:f>
        <ns0:v>1</ns0:v>
      </ns0:c>
      <ns0:c r="DV15" t="n">
        <ns0:f>IF($A15="",1,IF(DU15=1,1,--AND(IF($AC15&gt;0,INDEX(DU$7:DU$106,$AC15),1),IF($AD15&gt;0,INDEX(DU$7:DU$106,$AD15),1),IF($AE15&gt;0,INDEX(DU$7:DU$106,$AE15),1),IF($AF15&gt;0,INDEX(DU$7:DU$106,$AF15),1),IF($AG15&gt;0,INDEX(DU$7:DU$106,$AG15),1),IF($AH15&gt;0,INDEX(DU$7:DU$106,$AH15),1),IF($AI15&gt;0,INDEX(DU$7:DU$106,$AI15),1),IF($AJ15&gt;0,INDEX(DU$7:DU$106,$AJ15),1))))</ns0:f>
        <ns0:v>1</ns0:v>
      </ns0:c>
      <ns0:c r="DW15" t="n">
        <ns0:f>IF($A15="",1,IF(DV15=1,1,--AND(IF($AC15&gt;0,INDEX(DV$7:DV$106,$AC15),1),IF($AD15&gt;0,INDEX(DV$7:DV$106,$AD15),1),IF($AE15&gt;0,INDEX(DV$7:DV$106,$AE15),1),IF($AF15&gt;0,INDEX(DV$7:DV$106,$AF15),1),IF($AG15&gt;0,INDEX(DV$7:DV$106,$AG15),1),IF($AH15&gt;0,INDEX(DV$7:DV$106,$AH15),1),IF($AI15&gt;0,INDEX(DV$7:DV$106,$AI15),1),IF($AJ15&gt;0,INDEX(DV$7:DV$106,$AJ15),1))))</ns0:f>
        <ns0:v>1</ns0:v>
      </ns0:c>
      <ns0:c r="DX15" t="n">
        <ns0:f>IF($A15="",1,IF(DW15=1,1,--AND(IF($AC15&gt;0,INDEX(DW$7:DW$106,$AC15),1),IF($AD15&gt;0,INDEX(DW$7:DW$106,$AD15),1),IF($AE15&gt;0,INDEX(DW$7:DW$106,$AE15),1),IF($AF15&gt;0,INDEX(DW$7:DW$106,$AF15),1),IF($AG15&gt;0,INDEX(DW$7:DW$106,$AG15),1),IF($AH15&gt;0,INDEX(DW$7:DW$106,$AH15),1),IF($AI15&gt;0,INDEX(DW$7:DW$106,$AI15),1),IF($AJ15&gt;0,INDEX(DW$7:DW$106,$AJ15),1))))</ns0:f>
        <ns0:v>1</ns0:v>
      </ns0:c>
      <ns0:c r="DY15" t="n">
        <ns0:f>IF($A15="",1,IF(DX15=1,1,--AND(IF($AC15&gt;0,INDEX(DX$7:DX$106,$AC15),1),IF($AD15&gt;0,INDEX(DX$7:DX$106,$AD15),1),IF($AE15&gt;0,INDEX(DX$7:DX$106,$AE15),1),IF($AF15&gt;0,INDEX(DX$7:DX$106,$AF15),1),IF($AG15&gt;0,INDEX(DX$7:DX$106,$AG15),1),IF($AH15&gt;0,INDEX(DX$7:DX$106,$AH15),1),IF($AI15&gt;0,INDEX(DX$7:DX$106,$AI15),1),IF($AJ15&gt;0,INDEX(DX$7:DX$106,$AJ15),1))))</ns0:f>
        <ns0:v>1</ns0:v>
      </ns0:c>
      <ns0:c r="DZ15" t="n">
        <ns0:f>IF($A15="",1,IF(DY15=1,1,--AND(IF($AC15&gt;0,INDEX(DY$7:DY$106,$AC15),1),IF($AD15&gt;0,INDEX(DY$7:DY$106,$AD15),1),IF($AE15&gt;0,INDEX(DY$7:DY$106,$AE15),1),IF($AF15&gt;0,INDEX(DY$7:DY$106,$AF15),1),IF($AG15&gt;0,INDEX(DY$7:DY$106,$AG15),1),IF($AH15&gt;0,INDEX(DY$7:DY$106,$AH15),1),IF($AI15&gt;0,INDEX(DY$7:DY$106,$AI15),1),IF($AJ15&gt;0,INDEX(DY$7:DY$106,$AJ15),1))))</ns0:f>
        <ns0:v>1</ns0:v>
      </ns0:c>
      <ns0:c r="EA15" t="n">
        <ns0:f>IF($A15="",1,IF(DZ15=1,1,--AND(IF($AC15&gt;0,INDEX(DZ$7:DZ$106,$AC15),1),IF($AD15&gt;0,INDEX(DZ$7:DZ$106,$AD15),1),IF($AE15&gt;0,INDEX(DZ$7:DZ$106,$AE15),1),IF($AF15&gt;0,INDEX(DZ$7:DZ$106,$AF15),1),IF($AG15&gt;0,INDEX(DZ$7:DZ$106,$AG15),1),IF($AH15&gt;0,INDEX(DZ$7:DZ$106,$AH15),1),IF($AI15&gt;0,INDEX(DZ$7:DZ$106,$AI15),1),IF($AJ15&gt;0,INDEX(DZ$7:DZ$106,$AJ15),1))))</ns0:f>
        <ns0:v>1</ns0:v>
      </ns0:c>
      <ns0:c r="EB15" t="n">
        <ns0:f>IF($A15="",1,IF(EA15=1,1,--AND(IF($AC15&gt;0,INDEX(EA$7:EA$106,$AC15),1),IF($AD15&gt;0,INDEX(EA$7:EA$106,$AD15),1),IF($AE15&gt;0,INDEX(EA$7:EA$106,$AE15),1),IF($AF15&gt;0,INDEX(EA$7:EA$106,$AF15),1),IF($AG15&gt;0,INDEX(EA$7:EA$106,$AG15),1),IF($AH15&gt;0,INDEX(EA$7:EA$106,$AH15),1),IF($AI15&gt;0,INDEX(EA$7:EA$106,$AI15),1),IF($AJ15&gt;0,INDEX(EA$7:EA$106,$AJ15),1))))</ns0:f>
        <ns0:v>1</ns0:v>
      </ns0:c>
      <ns0:c r="EC15" t="n">
        <ns0:f>IF($A15="",1,IF(EB15=1,1,--AND(IF($AC15&gt;0,INDEX(EB$7:EB$106,$AC15),1),IF($AD15&gt;0,INDEX(EB$7:EB$106,$AD15),1),IF($AE15&gt;0,INDEX(EB$7:EB$106,$AE15),1),IF($AF15&gt;0,INDEX(EB$7:EB$106,$AF15),1),IF($AG15&gt;0,INDEX(EB$7:EB$106,$AG15),1),IF($AH15&gt;0,INDEX(EB$7:EB$106,$AH15),1),IF($AI15&gt;0,INDEX(EB$7:EB$106,$AI15),1),IF($AJ15&gt;0,INDEX(EB$7:EB$106,$AJ15),1))))</ns0:f>
        <ns0:v>1</ns0:v>
      </ns0:c>
      <ns0:c r="ED15" t="n">
        <ns0:f>IF($A15="",1,IF(EC15=1,1,--AND(IF($AC15&gt;0,INDEX(EC$7:EC$106,$AC15),1),IF($AD15&gt;0,INDEX(EC$7:EC$106,$AD15),1),IF($AE15&gt;0,INDEX(EC$7:EC$106,$AE15),1),IF($AF15&gt;0,INDEX(EC$7:EC$106,$AF15),1),IF($AG15&gt;0,INDEX(EC$7:EC$106,$AG15),1),IF($AH15&gt;0,INDEX(EC$7:EC$106,$AH15),1),IF($AI15&gt;0,INDEX(EC$7:EC$106,$AI15),1),IF($AJ15&gt;0,INDEX(EC$7:EC$106,$AJ15),1))))</ns0:f>
        <ns0:v>1</ns0:v>
      </ns0:c>
      <ns0:c r="EE15" t="n">
        <ns0:f>IF($A15="",1,IF(ED15=1,1,--AND(IF($AC15&gt;0,INDEX(ED$7:ED$106,$AC15),1),IF($AD15&gt;0,INDEX(ED$7:ED$106,$AD15),1),IF($AE15&gt;0,INDEX(ED$7:ED$106,$AE15),1),IF($AF15&gt;0,INDEX(ED$7:ED$106,$AF15),1),IF($AG15&gt;0,INDEX(ED$7:ED$106,$AG15),1),IF($AH15&gt;0,INDEX(ED$7:ED$106,$AH15),1),IF($AI15&gt;0,INDEX(ED$7:ED$106,$AI15),1),IF($AJ15&gt;0,INDEX(ED$7:ED$106,$AJ15),1))))</ns0:f>
        <ns0:v>1</ns0:v>
      </ns0:c>
      <ns0:c r="EF15" t="n">
        <ns0:f>IF($A15="",1,IF(EE15=1,1,--AND(IF($AC15&gt;0,INDEX(EE$7:EE$106,$AC15),1),IF($AD15&gt;0,INDEX(EE$7:EE$106,$AD15),1),IF($AE15&gt;0,INDEX(EE$7:EE$106,$AE15),1),IF($AF15&gt;0,INDEX(EE$7:EE$106,$AF15),1),IF($AG15&gt;0,INDEX(EE$7:EE$106,$AG15),1),IF($AH15&gt;0,INDEX(EE$7:EE$106,$AH15),1),IF($AI15&gt;0,INDEX(EE$7:EE$106,$AI15),1),IF($AJ15&gt;0,INDEX(EE$7:EE$106,$AJ15),1))))</ns0:f>
        <ns0:v>1</ns0:v>
      </ns0:c>
      <ns0:c r="EG15" t="n">
        <ns0:f>IF($A15="",1,IF(EF15=1,1,--AND(IF($AC15&gt;0,INDEX(EF$7:EF$106,$AC15),1),IF($AD15&gt;0,INDEX(EF$7:EF$106,$AD15),1),IF($AE15&gt;0,INDEX(EF$7:EF$106,$AE15),1),IF($AF15&gt;0,INDEX(EF$7:EF$106,$AF15),1),IF($AG15&gt;0,INDEX(EF$7:EF$106,$AG15),1),IF($AH15&gt;0,INDEX(EF$7:EF$106,$AH15),1),IF($AI15&gt;0,INDEX(EF$7:EF$106,$AI15),1),IF($AJ15&gt;0,INDEX(EF$7:EF$106,$AJ15),1))))</ns0:f>
        <ns0:v>1</ns0:v>
      </ns0:c>
      <ns0:c r="EH15" t="n">
        <ns0:f>IF($A15="",1,IF(EG15=1,1,--AND(IF($AC15&gt;0,INDEX(EG$7:EG$106,$AC15),1),IF($AD15&gt;0,INDEX(EG$7:EG$106,$AD15),1),IF($AE15&gt;0,INDEX(EG$7:EG$106,$AE15),1),IF($AF15&gt;0,INDEX(EG$7:EG$106,$AF15),1),IF($AG15&gt;0,INDEX(EG$7:EG$106,$AG15),1),IF($AH15&gt;0,INDEX(EG$7:EG$106,$AH15),1),IF($AI15&gt;0,INDEX(EG$7:EG$106,$AI15),1),IF($AJ15&gt;0,INDEX(EG$7:EG$106,$AJ15),1))))</ns0:f>
        <ns0:v>1</ns0:v>
      </ns0:c>
      <ns0:c r="EI15" t="n">
        <ns0:f>IF($A15="",1,IF(EH15=1,1,--AND(IF($AC15&gt;0,INDEX(EH$7:EH$106,$AC15),1),IF($AD15&gt;0,INDEX(EH$7:EH$106,$AD15),1),IF($AE15&gt;0,INDEX(EH$7:EH$106,$AE15),1),IF($AF15&gt;0,INDEX(EH$7:EH$106,$AF15),1),IF($AG15&gt;0,INDEX(EH$7:EH$106,$AG15),1),IF($AH15&gt;0,INDEX(EH$7:EH$106,$AH15),1),IF($AI15&gt;0,INDEX(EH$7:EH$106,$AI15),1),IF($AJ15&gt;0,INDEX(EH$7:EH$106,$AJ15),1))))</ns0:f>
        <ns0:v>1</ns0:v>
      </ns0:c>
      <ns0:c r="EJ15" t="n">
        <ns0:f>IF($A15="",1,IF(EI15=1,1,--AND(IF($AC15&gt;0,INDEX(EI$7:EI$106,$AC15),1),IF($AD15&gt;0,INDEX(EI$7:EI$106,$AD15),1),IF($AE15&gt;0,INDEX(EI$7:EI$106,$AE15),1),IF($AF15&gt;0,INDEX(EI$7:EI$106,$AF15),1),IF($AG15&gt;0,INDEX(EI$7:EI$106,$AG15),1),IF($AH15&gt;0,INDEX(EI$7:EI$106,$AH15),1),IF($AI15&gt;0,INDEX(EI$7:EI$106,$AI15),1),IF($AJ15&gt;0,INDEX(EI$7:EI$106,$AJ15),1))))</ns0:f>
        <ns0:v>1</ns0:v>
      </ns0:c>
      <ns0:c r="EK15" t="n">
        <ns0:f>IF($A15="",1,IF(EJ15=1,1,--AND(IF($AC15&gt;0,INDEX(EJ$7:EJ$106,$AC15),1),IF($AD15&gt;0,INDEX(EJ$7:EJ$106,$AD15),1),IF($AE15&gt;0,INDEX(EJ$7:EJ$106,$AE15),1),IF($AF15&gt;0,INDEX(EJ$7:EJ$106,$AF15),1),IF($AG15&gt;0,INDEX(EJ$7:EJ$106,$AG15),1),IF($AH15&gt;0,INDEX(EJ$7:EJ$106,$AH15),1),IF($AI15&gt;0,INDEX(EJ$7:EJ$106,$AI15),1),IF($AJ15&gt;0,INDEX(EJ$7:EJ$106,$AJ15),1))))</ns0:f>
        <ns0:v>1</ns0:v>
      </ns0:c>
      <ns0:c r="EL15" t="n">
        <ns0:f>IF($A15="",1,IF(EK15=1,1,--AND(IF($AC15&gt;0,INDEX(EK$7:EK$106,$AC15),1),IF($AD15&gt;0,INDEX(EK$7:EK$106,$AD15),1),IF($AE15&gt;0,INDEX(EK$7:EK$106,$AE15),1),IF($AF15&gt;0,INDEX(EK$7:EK$106,$AF15),1),IF($AG15&gt;0,INDEX(EK$7:EK$106,$AG15),1),IF($AH15&gt;0,INDEX(EK$7:EK$106,$AH15),1),IF($AI15&gt;0,INDEX(EK$7:EK$106,$AI15),1),IF($AJ15&gt;0,INDEX(EK$7:EK$106,$AJ15),1))))</ns0:f>
        <ns0:v>1</ns0:v>
      </ns0:c>
      <ns0:c r="EM15" t="n">
        <ns0:f>IF($A15="",1,IF(EL15=1,1,--AND(IF($AC15&gt;0,INDEX(EL$7:EL$106,$AC15),1),IF($AD15&gt;0,INDEX(EL$7:EL$106,$AD15),1),IF($AE15&gt;0,INDEX(EL$7:EL$106,$AE15),1),IF($AF15&gt;0,INDEX(EL$7:EL$106,$AF15),1),IF($AG15&gt;0,INDEX(EL$7:EL$106,$AG15),1),IF($AH15&gt;0,INDEX(EL$7:EL$106,$AH15),1),IF($AI15&gt;0,INDEX(EL$7:EL$106,$AI15),1),IF($AJ15&gt;0,INDEX(EL$7:EL$106,$AJ15),1))))</ns0:f>
        <ns0:v>1</ns0:v>
      </ns0:c>
      <ns0:c r="EN15" t="n">
        <ns0:f>IF($A15="",1,IF(EM15=1,1,--AND(IF($AC15&gt;0,INDEX(EM$7:EM$106,$AC15),1),IF($AD15&gt;0,INDEX(EM$7:EM$106,$AD15),1),IF($AE15&gt;0,INDEX(EM$7:EM$106,$AE15),1),IF($AF15&gt;0,INDEX(EM$7:EM$106,$AF15),1),IF($AG15&gt;0,INDEX(EM$7:EM$106,$AG15),1),IF($AH15&gt;0,INDEX(EM$7:EM$106,$AH15),1),IF($AI15&gt;0,INDEX(EM$7:EM$106,$AI15),1),IF($AJ15&gt;0,INDEX(EM$7:EM$106,$AJ15),1))))</ns0:f>
        <ns0:v>1</ns0:v>
      </ns0:c>
      <ns0:c r="EO15" t="n">
        <ns0:f>IF($A15="",1,IF(EN15=1,1,--AND(IF($AC15&gt;0,INDEX(EN$7:EN$106,$AC15),1),IF($AD15&gt;0,INDEX(EN$7:EN$106,$AD15),1),IF($AE15&gt;0,INDEX(EN$7:EN$106,$AE15),1),IF($AF15&gt;0,INDEX(EN$7:EN$106,$AF15),1),IF($AG15&gt;0,INDEX(EN$7:EN$106,$AG15),1),IF($AH15&gt;0,INDEX(EN$7:EN$106,$AH15),1),IF($AI15&gt;0,INDEX(EN$7:EN$106,$AI15),1),IF($AJ15&gt;0,INDEX(EN$7:EN$106,$AJ15),1))))</ns0:f>
        <ns0:v>1</ns0:v>
      </ns0:c>
      <ns0:c r="EP15" t="n">
        <ns0:f>IF($A15="",1,IF(EO15=1,1,--AND(IF($AC15&gt;0,INDEX(EO$7:EO$106,$AC15),1),IF($AD15&gt;0,INDEX(EO$7:EO$106,$AD15),1),IF($AE15&gt;0,INDEX(EO$7:EO$106,$AE15),1),IF($AF15&gt;0,INDEX(EO$7:EO$106,$AF15),1),IF($AG15&gt;0,INDEX(EO$7:EO$106,$AG15),1),IF($AH15&gt;0,INDEX(EO$7:EO$106,$AH15),1),IF($AI15&gt;0,INDEX(EO$7:EO$106,$AI15),1),IF($AJ15&gt;0,INDEX(EO$7:EO$106,$AJ15),1))))</ns0:f>
        <ns0:v>1</ns0:v>
      </ns0:c>
      <ns0:c r="EQ15" t="n">
        <ns0:f>IF(OR(A15="",NOT(ISNUMBER(G15))),0,G15*N15)</ns0:f>
        <ns0:v>0</ns0:v>
      </ns0:c>
    </ns0:row>
    <ns0:row r="16" ht="62" customHeight="1">
      <ns0:c r="A16" s="48" t="str">
        <ns0:v>T09</ns0:v>
      </ns0:c>
      <ns0:c r="B16" s="48" t="str">
        <ns0:v>Data &amp; storage</ns0:v>
      </ns0:c>
      <ns0:c r="C16" s="48" t="str">
        <ns0:v>Deploy Governed MCP Data Boundary CRUD gateways &amp; connection pools</ns0:v>
      </ns0:c>
      <ns0:c r="D16" s="48" t="str">
        <ns0:v>Connect governed CRUD adapters and enforce schemas on all data access.</ns0:v>
      </ns0:c>
      <ns0:c r="E16" s="49" t="n">
        <ns0:v>46281</ns0:v>
      </ns0:c>
      <ns0:c r="F16" s="49" t="n">
        <ns0:v>46282</ns0:v>
      </ns0:c>
      <ns0:c r="G16" s="13" t="n">
        <ns0:f>IF(A16="","",IF(OR(NOT(ISNUMBER(E16)),NOT(ISNUMBER(F16)),F16&lt;E16),"",IF(J16="Yes",0,F16-E16+1)))</ns0:f>
        <ns0:v>2</ns0:v>
      </ns0:c>
      <ns0:c r="H16" s="48" t="str">
        <ns0:v>T05,T06,T07</ns0:v>
      </ns0:c>
      <ns0:c r="I16" s="48" t="str">
        <ns0:v>FS</ns0:v>
      </ns0:c>
      <ns0:c r="J16" s="48" t="str">
        <ns0:v>No</ns0:v>
      </ns0:c>
      <ns0:c r="K16" s="48" t="str">
        <ns0:v>Governed MCP Data Boundary</ns0:v>
      </ns0:c>
      <ns0:c r="L16" s="48" t="str"/>
      <ns0:c r="M16" s="50" t="str">
        <ns0:f>IF(A16="","",IF(N16=1,"Completed",IF(N16&gt;0,"In Progress","Not Started")))</ns0:f>
        <ns0:v>Not Started</ns0:v>
      </ns0:c>
      <ns0:c r="N16" s="51" t="n">
        <ns0:v>0</ns0:v>
      </ns0:c>
      <ns0:c r="O16" s="13" t="str">
        <ns0:f>IF(A16="","",IF(R16&lt;&gt;"","[CONFLICT] "&amp;R16,IF(S16&lt;&gt;"","[CONFLICT] "&amp;S16,IF(OR(NOT(ISNUMBER(N16)),N16&lt;0,N16&gt;1),"[CONFLICT] Invalid progress",IF(AK16&gt;0,"[DEPENDENCY ISSUE] Missing ID / &gt;8 links",IF(AM16&gt;0,"[DEPENDENCY ISSUE] Cycle or blocked by cycle",IF(AND(H16&lt;&gt;"",ISNA(MATCH(I16,{"FS","SS","FF","SF"},0))),"[DEPENDENCY ISSUE] Invalid type",IF(AL16&gt;0,"[DEPENDENCY ISSUE] Timing conflict",IF(OR(E16&lt;ProjectStart,F16&gt;ProjectEnd),"[OUTSIDE WINDOW]",IF(AND(N16&lt;1,F16&lt;AsOfDate),"Overdue",IF(AND(M16&lt;&gt;Q16,M16&lt;&gt;""),"[CONFLICT] Status / progress","On track")))))))))))</ns0:f>
        <ns0:v>On track</ns0:v>
      </ns0:c>
      <ns0:c r="P16" s="52" t="str">
        <ns0:v>Source: Project Plan Essentials (2).md §1, §2, §4. Original 2026-09-16 to 2026-09-18, 3d; original progress 100% [INFERRED]. [INFERRED] Rescheduled to fit 34d with FS. Duration reduced to 2d. Original resource/tools: Governed MCP Data Boundary.</ns0:v>
      </ns0:c>
      <ns0:c r="Q16" t="str">
        <ns0:f>IF(A16="","",IF(OR(M16="On Hold",M16="Delayed"),M16,IF(N16=1,"Completed",IF(N16&gt;0,"In Progress","Not Started"))))</ns0:f>
        <ns0:v>Not Started</ns0:v>
      </ns0:c>
      <ns0:c r="R16" t="str">
        <ns0:f>IF(A16="","",IF(COUNTIFS(Tasks[Task ID],A16)&lt;&gt;1,"Duplicate ID",""))</ns0:f>
      </ns0:c>
      <ns0:c r="S16" t="str">
        <ns0:f>IF(A16="","",IF(OR(NOT(ISNUMBER(E16)),NOT(ISNUMBER(F16))),"Invalid / missing date",IF(OR(E16&lt;&gt;INT(E16),F16&lt;&gt;INT(F16),E16&lt;1,F16&gt;2958465),"Invalid date",IF(F16&lt;E16,"End before start",IF(AND(J16="Yes",E16&lt;&gt;F16),"Milestone needs one date","")))))</ns0:f>
      </ns0:c>
      <ns0:c r="T16" t="n">
        <ns0:f>IF(H16="",0,LEN(H16)-LEN(SUBSTITUTE(H16,",",""))+1)</ns0:f>
        <ns0:v>3</ns0:v>
      </ns0:c>
      <ns0:c r="U16" t="str">
        <ns0:f>TRIM(MID(SUBSTITUTE($H16,",",REPT(" ",100)),1,100))</ns0:f>
        <ns0:v>T05</ns0:v>
      </ns0:c>
      <ns0:c r="V16" t="str">
        <ns0:f>TRIM(MID(SUBSTITUTE($H16,",",REPT(" ",100)),101,100))</ns0:f>
        <ns0:v>T06</ns0:v>
      </ns0:c>
      <ns0:c r="W16" t="str">
        <ns0:f>TRIM(MID(SUBSTITUTE($H16,",",REPT(" ",100)),201,100))</ns0:f>
        <ns0:v>T07</ns0:v>
      </ns0:c>
      <ns0:c r="X16" t="str">
        <ns0:f>TRIM(MID(SUBSTITUTE($H16,",",REPT(" ",100)),301,100))</ns0:f>
      </ns0:c>
      <ns0:c r="Y16" t="str">
        <ns0:f>TRIM(MID(SUBSTITUTE($H16,",",REPT(" ",100)),401,100))</ns0:f>
      </ns0:c>
      <ns0:c r="Z16" t="str">
        <ns0:f>TRIM(MID(SUBSTITUTE($H16,",",REPT(" ",100)),501,100))</ns0:f>
      </ns0:c>
      <ns0:c r="AA16" t="str">
        <ns0:f>TRIM(MID(SUBSTITUTE($H16,",",REPT(" ",100)),601,100))</ns0:f>
      </ns0:c>
      <ns0:c r="AB16" t="str">
        <ns0:f>TRIM(MID(SUBSTITUTE($H16,",",REPT(" ",100)),701,100))</ns0:f>
      </ns0:c>
      <ns0:c r="AC16" t="n">
        <ns0:f>IF(U16="",0,IF(COUNTIFS(Tasks[Task ID],U16)=1,MATCH(U16,Tasks[Task ID],0),-1))</ns0:f>
        <ns0:v>6</ns0:v>
      </ns0:c>
      <ns0:c r="AD16" t="n">
        <ns0:f>IF(V16="",0,IF(COUNTIFS(Tasks[Task ID],V16)=1,MATCH(V16,Tasks[Task ID],0),-1))</ns0:f>
        <ns0:v>7</ns0:v>
      </ns0:c>
      <ns0:c r="AE16" t="n">
        <ns0:f>IF(W16="",0,IF(COUNTIFS(Tasks[Task ID],W16)=1,MATCH(W16,Tasks[Task ID],0),-1))</ns0:f>
        <ns0:v>8</ns0:v>
      </ns0:c>
      <ns0:c r="AF16" t="n">
        <ns0:f>IF(X16="",0,IF(COUNTIFS(Tasks[Task ID],X16)=1,MATCH(X16,Tasks[Task ID],0),-1))</ns0:f>
        <ns0:v>0</ns0:v>
      </ns0:c>
      <ns0:c r="AG16" t="n">
        <ns0:f>IF(Y16="",0,IF(COUNTIFS(Tasks[Task ID],Y16)=1,MATCH(Y16,Tasks[Task ID],0),-1))</ns0:f>
        <ns0:v>0</ns0:v>
      </ns0:c>
      <ns0:c r="AH16" t="n">
        <ns0:f>IF(Z16="",0,IF(COUNTIFS(Tasks[Task ID],Z16)=1,MATCH(Z16,Tasks[Task ID],0),-1))</ns0:f>
        <ns0:v>0</ns0:v>
      </ns0:c>
      <ns0:c r="AI16" t="n">
        <ns0:f>IF(AA16="",0,IF(COUNTIFS(Tasks[Task ID],AA16)=1,MATCH(AA16,Tasks[Task ID],0),-1))</ns0:f>
        <ns0:v>0</ns0:v>
      </ns0:c>
      <ns0:c r="AJ16" t="n">
        <ns0:f>IF(AB16="",0,IF(COUNTIFS(Tasks[Task ID],AB16)=1,MATCH(AB16,Tasks[Task ID],0),-1))</ns0:f>
        <ns0:v>0</ns0:v>
      </ns0:c>
      <ns0:c r="AK16" t="n">
        <ns0:f>COUNTIFS(AC16:AJ16,-1)+IF(T16&gt;8,1,0)</ns0:f>
        <ns0:v>0</ns0:v>
      </ns0:c>
      <ns0:c r="AL16" t="n">
        <ns0:f>IF(OR(A16="",S16&lt;&gt;""),0,SUM(IF(AC16&gt;0,IF($I16="FS",--($E16&lt;INDEX(Tasks[End Date],AC16)+IF(INDEX(Tasks[Milestone],AC16)="Yes",0,1)),IF($I16="SS",--($E16&lt;INDEX(Tasks[Start Date],AC16)),IF($I16="FF",--($F16&lt;INDEX(Tasks[End Date],AC16)),IF($I16="SF",--($F16&lt;INDEX(Tasks[Start Date],AC16)),0)))),0),IF(AD16&gt;0,IF($I16="FS",--($E16&lt;INDEX(Tasks[End Date],AD16)+IF(INDEX(Tasks[Milestone],AD16)="Yes",0,1)),IF($I16="SS",--($E16&lt;INDEX(Tasks[Start Date],AD16)),IF($I16="FF",--($F16&lt;INDEX(Tasks[End Date],AD16)),IF($I16="SF",--($F16&lt;INDEX(Tasks[Start Date],AD16)),0)))),0),IF(AE16&gt;0,IF($I16="FS",--($E16&lt;INDEX(Tasks[End Date],AE16)+IF(INDEX(Tasks[Milestone],AE16)="Yes",0,1)),IF($I16="SS",--($E16&lt;INDEX(Tasks[Start Date],AE16)),IF($I16="FF",--($F16&lt;INDEX(Tasks[End Date],AE16)),IF($I16="SF",--($F16&lt;INDEX(Tasks[Start Date],AE16)),0)))),0),IF(AF16&gt;0,IF($I16="FS",--($E16&lt;INDEX(Tasks[End Date],AF16)+IF(INDEX(Tasks[Milestone],AF16)="Yes",0,1)),IF($I16="SS",--($E16&lt;INDEX(Tasks[Start Date],AF16)),IF($I16="FF",--($F16&lt;INDEX(Tasks[End Date],AF16)),IF($I16="SF",--($F16&lt;INDEX(Tasks[Start Date],AF16)),0)))),0),IF(AG16&gt;0,IF($I16="FS",--($E16&lt;INDEX(Tasks[End Date],AG16)+IF(INDEX(Tasks[Milestone],AG16)="Yes",0,1)),IF($I16="SS",--($E16&lt;INDEX(Tasks[Start Date],AG16)),IF($I16="FF",--($F16&lt;INDEX(Tasks[End Date],AG16)),IF($I16="SF",--($F16&lt;INDEX(Tasks[Start Date],AG16)),0)))),0),IF(AH16&gt;0,IF($I16="FS",--($E16&lt;INDEX(Tasks[End Date],AH16)+IF(INDEX(Tasks[Milestone],AH16)="Yes",0,1)),IF($I16="SS",--($E16&lt;INDEX(Tasks[Start Date],AH16)),IF($I16="FF",--($F16&lt;INDEX(Tasks[End Date],AH16)),IF($I16="SF",--($F16&lt;INDEX(Tasks[Start Date],AH16)),0)))),0),IF(AI16&gt;0,IF($I16="FS",--($E16&lt;INDEX(Tasks[End Date],AI16)+IF(INDEX(Tasks[Milestone],AI16)="Yes",0,1)),IF($I16="SS",--($E16&lt;INDEX(Tasks[Start Date],AI16)),IF($I16="FF",--($F16&lt;INDEX(Tasks[End Date],AI16)),IF($I16="SF",--($F16&lt;INDEX(Tasks[Start Date],AI16)),0)))),0),IF(AJ16&gt;0,IF($I16="FS",--($E16&lt;INDEX(Tasks[End Date],AJ16)+IF(INDEX(Tasks[Milestone],AJ16)="Yes",0,1)),IF($I16="SS",--($E16&lt;INDEX(Tasks[Start Date],AJ16)),IF($I16="FF",--($F16&lt;INDEX(Tasks[End Date],AJ16)),IF($I16="SF",--($F16&lt;INDEX(Tasks[Start Date],AJ16)),0)))),0)))</ns0:f>
        <ns0:v>0</ns0:v>
      </ns0:c>
      <ns0:c r="AM16" t="n">
        <ns0:f>IF(AND(A16&lt;&gt;"",AK16=0,EP16=0),1,0)</ns0:f>
        <ns0:v>0</ns0:v>
      </ns0:c>
      <ns0:c r="AN16" t="str">
        <ns0:f>IF(OR(A16="",B16=""),"",IF(COUNTIFS($B$7:B16,B16)=1,MAX($AN$6:AN15)+1,""))</ns0:f>
      </ns0:c>
      <ns0:c r="AO16" t="n">
        <ns0:f>IF(AND(A16&lt;&gt;"",J16="No",N16&lt;1,E16&gt;=AsOfDate),E16+ROW()/10000,1E+9)</ns0:f>
        <ns0:v>46281.0016</ns0:v>
      </ns0:c>
      <ns0:c r="AP16" t="n">
        <ns0:f>IF(AND(A16&lt;&gt;"",J16="Yes",N16&lt;1,E16&gt;=AsOfDate),E16+ROW()/10000,1E+9)</ns0:f>
        <ns0:v>1000000000</ns0:v>
      </ns0:c>
      <ns0:c r="AQ16" t="n">
        <ns0:f>IF(AND(A16&lt;&gt;"",J16="No",N16&lt;1,F16&gt;=AsOfDate,F16&lt;=AsOfDate+7),F16+ROW()/10000,1E+9)</ns0:f>
        <ns0:v>46282.0016</ns0:v>
      </ns0:c>
      <ns0:c r="AR16" t="n">
        <ns0:f>IF(AND(A16&lt;&gt;"",OR(O16&lt;&gt;"On track",Q16="Delayed")),ROW(),1E+9)</ns0:f>
        <ns0:v>1000000000</ns0:v>
      </ns0:c>
      <ns0:c r="AS16" t="str">
        <ns0:f>IF(A16="","",";"&amp;K16&amp;";")</ns0:f>
        <ns0:v>;Governed MCP Data Boundary;</ns0:v>
      </ns0:c>
      <ns0:c r="AT16" t="n">
        <ns0:f>IF(A16="",1,--(T16=0))</ns0:f>
        <ns0:v>0</ns0:v>
      </ns0:c>
      <ns0:c r="AU16" t="n">
        <ns0:f>IF($A16="",1,IF(AT16=1,1,--AND(IF($AC16&gt;0,INDEX(AT$7:AT$106,$AC16),1),IF($AD16&gt;0,INDEX(AT$7:AT$106,$AD16),1),IF($AE16&gt;0,INDEX(AT$7:AT$106,$AE16),1),IF($AF16&gt;0,INDEX(AT$7:AT$106,$AF16),1),IF($AG16&gt;0,INDEX(AT$7:AT$106,$AG16),1),IF($AH16&gt;0,INDEX(AT$7:AT$106,$AH16),1),IF($AI16&gt;0,INDEX(AT$7:AT$106,$AI16),1),IF($AJ16&gt;0,INDEX(AT$7:AT$106,$AJ16),1))))</ns0:f>
        <ns0:v>0</ns0:v>
      </ns0:c>
      <ns0:c r="AV16" t="n">
        <ns0:f>IF($A16="",1,IF(AU16=1,1,--AND(IF($AC16&gt;0,INDEX(AU$7:AU$106,$AC16),1),IF($AD16&gt;0,INDEX(AU$7:AU$106,$AD16),1),IF($AE16&gt;0,INDEX(AU$7:AU$106,$AE16),1),IF($AF16&gt;0,INDEX(AU$7:AU$106,$AF16),1),IF($AG16&gt;0,INDEX(AU$7:AU$106,$AG16),1),IF($AH16&gt;0,INDEX(AU$7:AU$106,$AH16),1),IF($AI16&gt;0,INDEX(AU$7:AU$106,$AI16),1),IF($AJ16&gt;0,INDEX(AU$7:AU$106,$AJ16),1))))</ns0:f>
        <ns0:v>0</ns0:v>
      </ns0:c>
      <ns0:c r="AW16" t="n">
        <ns0:f>IF($A16="",1,IF(AV16=1,1,--AND(IF($AC16&gt;0,INDEX(AV$7:AV$106,$AC16),1),IF($AD16&gt;0,INDEX(AV$7:AV$106,$AD16),1),IF($AE16&gt;0,INDEX(AV$7:AV$106,$AE16),1),IF($AF16&gt;0,INDEX(AV$7:AV$106,$AF16),1),IF($AG16&gt;0,INDEX(AV$7:AV$106,$AG16),1),IF($AH16&gt;0,INDEX(AV$7:AV$106,$AH16),1),IF($AI16&gt;0,INDEX(AV$7:AV$106,$AI16),1),IF($AJ16&gt;0,INDEX(AV$7:AV$106,$AJ16),1))))</ns0:f>
        <ns0:v>1</ns0:v>
      </ns0:c>
      <ns0:c r="AX16" t="n">
        <ns0:f>IF($A16="",1,IF(AW16=1,1,--AND(IF($AC16&gt;0,INDEX(AW$7:AW$106,$AC16),1),IF($AD16&gt;0,INDEX(AW$7:AW$106,$AD16),1),IF($AE16&gt;0,INDEX(AW$7:AW$106,$AE16),1),IF($AF16&gt;0,INDEX(AW$7:AW$106,$AF16),1),IF($AG16&gt;0,INDEX(AW$7:AW$106,$AG16),1),IF($AH16&gt;0,INDEX(AW$7:AW$106,$AH16),1),IF($AI16&gt;0,INDEX(AW$7:AW$106,$AI16),1),IF($AJ16&gt;0,INDEX(AW$7:AW$106,$AJ16),1))))</ns0:f>
        <ns0:v>1</ns0:v>
      </ns0:c>
      <ns0:c r="AY16" t="n">
        <ns0:f>IF($A16="",1,IF(AX16=1,1,--AND(IF($AC16&gt;0,INDEX(AX$7:AX$106,$AC16),1),IF($AD16&gt;0,INDEX(AX$7:AX$106,$AD16),1),IF($AE16&gt;0,INDEX(AX$7:AX$106,$AE16),1),IF($AF16&gt;0,INDEX(AX$7:AX$106,$AF16),1),IF($AG16&gt;0,INDEX(AX$7:AX$106,$AG16),1),IF($AH16&gt;0,INDEX(AX$7:AX$106,$AH16),1),IF($AI16&gt;0,INDEX(AX$7:AX$106,$AI16),1),IF($AJ16&gt;0,INDEX(AX$7:AX$106,$AJ16),1))))</ns0:f>
        <ns0:v>1</ns0:v>
      </ns0:c>
      <ns0:c r="AZ16" t="n">
        <ns0:f>IF($A16="",1,IF(AY16=1,1,--AND(IF($AC16&gt;0,INDEX(AY$7:AY$106,$AC16),1),IF($AD16&gt;0,INDEX(AY$7:AY$106,$AD16),1),IF($AE16&gt;0,INDEX(AY$7:AY$106,$AE16),1),IF($AF16&gt;0,INDEX(AY$7:AY$106,$AF16),1),IF($AG16&gt;0,INDEX(AY$7:AY$106,$AG16),1),IF($AH16&gt;0,INDEX(AY$7:AY$106,$AH16),1),IF($AI16&gt;0,INDEX(AY$7:AY$106,$AI16),1),IF($AJ16&gt;0,INDEX(AY$7:AY$106,$AJ16),1))))</ns0:f>
        <ns0:v>1</ns0:v>
      </ns0:c>
      <ns0:c r="BA16" t="n">
        <ns0:f>IF($A16="",1,IF(AZ16=1,1,--AND(IF($AC16&gt;0,INDEX(AZ$7:AZ$106,$AC16),1),IF($AD16&gt;0,INDEX(AZ$7:AZ$106,$AD16),1),IF($AE16&gt;0,INDEX(AZ$7:AZ$106,$AE16),1),IF($AF16&gt;0,INDEX(AZ$7:AZ$106,$AF16),1),IF($AG16&gt;0,INDEX(AZ$7:AZ$106,$AG16),1),IF($AH16&gt;0,INDEX(AZ$7:AZ$106,$AH16),1),IF($AI16&gt;0,INDEX(AZ$7:AZ$106,$AI16),1),IF($AJ16&gt;0,INDEX(AZ$7:AZ$106,$AJ16),1))))</ns0:f>
        <ns0:v>1</ns0:v>
      </ns0:c>
      <ns0:c r="BB16" t="n">
        <ns0:f>IF($A16="",1,IF(BA16=1,1,--AND(IF($AC16&gt;0,INDEX(BA$7:BA$106,$AC16),1),IF($AD16&gt;0,INDEX(BA$7:BA$106,$AD16),1),IF($AE16&gt;0,INDEX(BA$7:BA$106,$AE16),1),IF($AF16&gt;0,INDEX(BA$7:BA$106,$AF16),1),IF($AG16&gt;0,INDEX(BA$7:BA$106,$AG16),1),IF($AH16&gt;0,INDEX(BA$7:BA$106,$AH16),1),IF($AI16&gt;0,INDEX(BA$7:BA$106,$AI16),1),IF($AJ16&gt;0,INDEX(BA$7:BA$106,$AJ16),1))))</ns0:f>
        <ns0:v>1</ns0:v>
      </ns0:c>
      <ns0:c r="BC16" t="n">
        <ns0:f>IF($A16="",1,IF(BB16=1,1,--AND(IF($AC16&gt;0,INDEX(BB$7:BB$106,$AC16),1),IF($AD16&gt;0,INDEX(BB$7:BB$106,$AD16),1),IF($AE16&gt;0,INDEX(BB$7:BB$106,$AE16),1),IF($AF16&gt;0,INDEX(BB$7:BB$106,$AF16),1),IF($AG16&gt;0,INDEX(BB$7:BB$106,$AG16),1),IF($AH16&gt;0,INDEX(BB$7:BB$106,$AH16),1),IF($AI16&gt;0,INDEX(BB$7:BB$106,$AI16),1),IF($AJ16&gt;0,INDEX(BB$7:BB$106,$AJ16),1))))</ns0:f>
        <ns0:v>1</ns0:v>
      </ns0:c>
      <ns0:c r="BD16" t="n">
        <ns0:f>IF($A16="",1,IF(BC16=1,1,--AND(IF($AC16&gt;0,INDEX(BC$7:BC$106,$AC16),1),IF($AD16&gt;0,INDEX(BC$7:BC$106,$AD16),1),IF($AE16&gt;0,INDEX(BC$7:BC$106,$AE16),1),IF($AF16&gt;0,INDEX(BC$7:BC$106,$AF16),1),IF($AG16&gt;0,INDEX(BC$7:BC$106,$AG16),1),IF($AH16&gt;0,INDEX(BC$7:BC$106,$AH16),1),IF($AI16&gt;0,INDEX(BC$7:BC$106,$AI16),1),IF($AJ16&gt;0,INDEX(BC$7:BC$106,$AJ16),1))))</ns0:f>
        <ns0:v>1</ns0:v>
      </ns0:c>
      <ns0:c r="BE16" t="n">
        <ns0:f>IF($A16="",1,IF(BD16=1,1,--AND(IF($AC16&gt;0,INDEX(BD$7:BD$106,$AC16),1),IF($AD16&gt;0,INDEX(BD$7:BD$106,$AD16),1),IF($AE16&gt;0,INDEX(BD$7:BD$106,$AE16),1),IF($AF16&gt;0,INDEX(BD$7:BD$106,$AF16),1),IF($AG16&gt;0,INDEX(BD$7:BD$106,$AG16),1),IF($AH16&gt;0,INDEX(BD$7:BD$106,$AH16),1),IF($AI16&gt;0,INDEX(BD$7:BD$106,$AI16),1),IF($AJ16&gt;0,INDEX(BD$7:BD$106,$AJ16),1))))</ns0:f>
        <ns0:v>1</ns0:v>
      </ns0:c>
      <ns0:c r="BF16" t="n">
        <ns0:f>IF($A16="",1,IF(BE16=1,1,--AND(IF($AC16&gt;0,INDEX(BE$7:BE$106,$AC16),1),IF($AD16&gt;0,INDEX(BE$7:BE$106,$AD16),1),IF($AE16&gt;0,INDEX(BE$7:BE$106,$AE16),1),IF($AF16&gt;0,INDEX(BE$7:BE$106,$AF16),1),IF($AG16&gt;0,INDEX(BE$7:BE$106,$AG16),1),IF($AH16&gt;0,INDEX(BE$7:BE$106,$AH16),1),IF($AI16&gt;0,INDEX(BE$7:BE$106,$AI16),1),IF($AJ16&gt;0,INDEX(BE$7:BE$106,$AJ16),1))))</ns0:f>
        <ns0:v>1</ns0:v>
      </ns0:c>
      <ns0:c r="BG16" t="n">
        <ns0:f>IF($A16="",1,IF(BF16=1,1,--AND(IF($AC16&gt;0,INDEX(BF$7:BF$106,$AC16),1),IF($AD16&gt;0,INDEX(BF$7:BF$106,$AD16),1),IF($AE16&gt;0,INDEX(BF$7:BF$106,$AE16),1),IF($AF16&gt;0,INDEX(BF$7:BF$106,$AF16),1),IF($AG16&gt;0,INDEX(BF$7:BF$106,$AG16),1),IF($AH16&gt;0,INDEX(BF$7:BF$106,$AH16),1),IF($AI16&gt;0,INDEX(BF$7:BF$106,$AI16),1),IF($AJ16&gt;0,INDEX(BF$7:BF$106,$AJ16),1))))</ns0:f>
        <ns0:v>1</ns0:v>
      </ns0:c>
      <ns0:c r="BH16" t="n">
        <ns0:f>IF($A16="",1,IF(BG16=1,1,--AND(IF($AC16&gt;0,INDEX(BG$7:BG$106,$AC16),1),IF($AD16&gt;0,INDEX(BG$7:BG$106,$AD16),1),IF($AE16&gt;0,INDEX(BG$7:BG$106,$AE16),1),IF($AF16&gt;0,INDEX(BG$7:BG$106,$AF16),1),IF($AG16&gt;0,INDEX(BG$7:BG$106,$AG16),1),IF($AH16&gt;0,INDEX(BG$7:BG$106,$AH16),1),IF($AI16&gt;0,INDEX(BG$7:BG$106,$AI16),1),IF($AJ16&gt;0,INDEX(BG$7:BG$106,$AJ16),1))))</ns0:f>
        <ns0:v>1</ns0:v>
      </ns0:c>
      <ns0:c r="BI16" t="n">
        <ns0:f>IF($A16="",1,IF(BH16=1,1,--AND(IF($AC16&gt;0,INDEX(BH$7:BH$106,$AC16),1),IF($AD16&gt;0,INDEX(BH$7:BH$106,$AD16),1),IF($AE16&gt;0,INDEX(BH$7:BH$106,$AE16),1),IF($AF16&gt;0,INDEX(BH$7:BH$106,$AF16),1),IF($AG16&gt;0,INDEX(BH$7:BH$106,$AG16),1),IF($AH16&gt;0,INDEX(BH$7:BH$106,$AH16),1),IF($AI16&gt;0,INDEX(BH$7:BH$106,$AI16),1),IF($AJ16&gt;0,INDEX(BH$7:BH$106,$AJ16),1))))</ns0:f>
        <ns0:v>1</ns0:v>
      </ns0:c>
      <ns0:c r="BJ16" t="n">
        <ns0:f>IF($A16="",1,IF(BI16=1,1,--AND(IF($AC16&gt;0,INDEX(BI$7:BI$106,$AC16),1),IF($AD16&gt;0,INDEX(BI$7:BI$106,$AD16),1),IF($AE16&gt;0,INDEX(BI$7:BI$106,$AE16),1),IF($AF16&gt;0,INDEX(BI$7:BI$106,$AF16),1),IF($AG16&gt;0,INDEX(BI$7:BI$106,$AG16),1),IF($AH16&gt;0,INDEX(BI$7:BI$106,$AH16),1),IF($AI16&gt;0,INDEX(BI$7:BI$106,$AI16),1),IF($AJ16&gt;0,INDEX(BI$7:BI$106,$AJ16),1))))</ns0:f>
        <ns0:v>1</ns0:v>
      </ns0:c>
      <ns0:c r="BK16" t="n">
        <ns0:f>IF($A16="",1,IF(BJ16=1,1,--AND(IF($AC16&gt;0,INDEX(BJ$7:BJ$106,$AC16),1),IF($AD16&gt;0,INDEX(BJ$7:BJ$106,$AD16),1),IF($AE16&gt;0,INDEX(BJ$7:BJ$106,$AE16),1),IF($AF16&gt;0,INDEX(BJ$7:BJ$106,$AF16),1),IF($AG16&gt;0,INDEX(BJ$7:BJ$106,$AG16),1),IF($AH16&gt;0,INDEX(BJ$7:BJ$106,$AH16),1),IF($AI16&gt;0,INDEX(BJ$7:BJ$106,$AI16),1),IF($AJ16&gt;0,INDEX(BJ$7:BJ$106,$AJ16),1))))</ns0:f>
        <ns0:v>1</ns0:v>
      </ns0:c>
      <ns0:c r="BL16" t="n">
        <ns0:f>IF($A16="",1,IF(BK16=1,1,--AND(IF($AC16&gt;0,INDEX(BK$7:BK$106,$AC16),1),IF($AD16&gt;0,INDEX(BK$7:BK$106,$AD16),1),IF($AE16&gt;0,INDEX(BK$7:BK$106,$AE16),1),IF($AF16&gt;0,INDEX(BK$7:BK$106,$AF16),1),IF($AG16&gt;0,INDEX(BK$7:BK$106,$AG16),1),IF($AH16&gt;0,INDEX(BK$7:BK$106,$AH16),1),IF($AI16&gt;0,INDEX(BK$7:BK$106,$AI16),1),IF($AJ16&gt;0,INDEX(BK$7:BK$106,$AJ16),1))))</ns0:f>
        <ns0:v>1</ns0:v>
      </ns0:c>
      <ns0:c r="BM16" t="n">
        <ns0:f>IF($A16="",1,IF(BL16=1,1,--AND(IF($AC16&gt;0,INDEX(BL$7:BL$106,$AC16),1),IF($AD16&gt;0,INDEX(BL$7:BL$106,$AD16),1),IF($AE16&gt;0,INDEX(BL$7:BL$106,$AE16),1),IF($AF16&gt;0,INDEX(BL$7:BL$106,$AF16),1),IF($AG16&gt;0,INDEX(BL$7:BL$106,$AG16),1),IF($AH16&gt;0,INDEX(BL$7:BL$106,$AH16),1),IF($AI16&gt;0,INDEX(BL$7:BL$106,$AI16),1),IF($AJ16&gt;0,INDEX(BL$7:BL$106,$AJ16),1))))</ns0:f>
        <ns0:v>1</ns0:v>
      </ns0:c>
      <ns0:c r="BN16" t="n">
        <ns0:f>IF($A16="",1,IF(BM16=1,1,--AND(IF($AC16&gt;0,INDEX(BM$7:BM$106,$AC16),1),IF($AD16&gt;0,INDEX(BM$7:BM$106,$AD16),1),IF($AE16&gt;0,INDEX(BM$7:BM$106,$AE16),1),IF($AF16&gt;0,INDEX(BM$7:BM$106,$AF16),1),IF($AG16&gt;0,INDEX(BM$7:BM$106,$AG16),1),IF($AH16&gt;0,INDEX(BM$7:BM$106,$AH16),1),IF($AI16&gt;0,INDEX(BM$7:BM$106,$AI16),1),IF($AJ16&gt;0,INDEX(BM$7:BM$106,$AJ16),1))))</ns0:f>
        <ns0:v>1</ns0:v>
      </ns0:c>
      <ns0:c r="BO16" t="n">
        <ns0:f>IF($A16="",1,IF(BN16=1,1,--AND(IF($AC16&gt;0,INDEX(BN$7:BN$106,$AC16),1),IF($AD16&gt;0,INDEX(BN$7:BN$106,$AD16),1),IF($AE16&gt;0,INDEX(BN$7:BN$106,$AE16),1),IF($AF16&gt;0,INDEX(BN$7:BN$106,$AF16),1),IF($AG16&gt;0,INDEX(BN$7:BN$106,$AG16),1),IF($AH16&gt;0,INDEX(BN$7:BN$106,$AH16),1),IF($AI16&gt;0,INDEX(BN$7:BN$106,$AI16),1),IF($AJ16&gt;0,INDEX(BN$7:BN$106,$AJ16),1))))</ns0:f>
        <ns0:v>1</ns0:v>
      </ns0:c>
      <ns0:c r="BP16" t="n">
        <ns0:f>IF($A16="",1,IF(BO16=1,1,--AND(IF($AC16&gt;0,INDEX(BO$7:BO$106,$AC16),1),IF($AD16&gt;0,INDEX(BO$7:BO$106,$AD16),1),IF($AE16&gt;0,INDEX(BO$7:BO$106,$AE16),1),IF($AF16&gt;0,INDEX(BO$7:BO$106,$AF16),1),IF($AG16&gt;0,INDEX(BO$7:BO$106,$AG16),1),IF($AH16&gt;0,INDEX(BO$7:BO$106,$AH16),1),IF($AI16&gt;0,INDEX(BO$7:BO$106,$AI16),1),IF($AJ16&gt;0,INDEX(BO$7:BO$106,$AJ16),1))))</ns0:f>
        <ns0:v>1</ns0:v>
      </ns0:c>
      <ns0:c r="BQ16" t="n">
        <ns0:f>IF($A16="",1,IF(BP16=1,1,--AND(IF($AC16&gt;0,INDEX(BP$7:BP$106,$AC16),1),IF($AD16&gt;0,INDEX(BP$7:BP$106,$AD16),1),IF($AE16&gt;0,INDEX(BP$7:BP$106,$AE16),1),IF($AF16&gt;0,INDEX(BP$7:BP$106,$AF16),1),IF($AG16&gt;0,INDEX(BP$7:BP$106,$AG16),1),IF($AH16&gt;0,INDEX(BP$7:BP$106,$AH16),1),IF($AI16&gt;0,INDEX(BP$7:BP$106,$AI16),1),IF($AJ16&gt;0,INDEX(BP$7:BP$106,$AJ16),1))))</ns0:f>
        <ns0:v>1</ns0:v>
      </ns0:c>
      <ns0:c r="BR16" t="n">
        <ns0:f>IF($A16="",1,IF(BQ16=1,1,--AND(IF($AC16&gt;0,INDEX(BQ$7:BQ$106,$AC16),1),IF($AD16&gt;0,INDEX(BQ$7:BQ$106,$AD16),1),IF($AE16&gt;0,INDEX(BQ$7:BQ$106,$AE16),1),IF($AF16&gt;0,INDEX(BQ$7:BQ$106,$AF16),1),IF($AG16&gt;0,INDEX(BQ$7:BQ$106,$AG16),1),IF($AH16&gt;0,INDEX(BQ$7:BQ$106,$AH16),1),IF($AI16&gt;0,INDEX(BQ$7:BQ$106,$AI16),1),IF($AJ16&gt;0,INDEX(BQ$7:BQ$106,$AJ16),1))))</ns0:f>
        <ns0:v>1</ns0:v>
      </ns0:c>
      <ns0:c r="BS16" t="n">
        <ns0:f>IF($A16="",1,IF(BR16=1,1,--AND(IF($AC16&gt;0,INDEX(BR$7:BR$106,$AC16),1),IF($AD16&gt;0,INDEX(BR$7:BR$106,$AD16),1),IF($AE16&gt;0,INDEX(BR$7:BR$106,$AE16),1),IF($AF16&gt;0,INDEX(BR$7:BR$106,$AF16),1),IF($AG16&gt;0,INDEX(BR$7:BR$106,$AG16),1),IF($AH16&gt;0,INDEX(BR$7:BR$106,$AH16),1),IF($AI16&gt;0,INDEX(BR$7:BR$106,$AI16),1),IF($AJ16&gt;0,INDEX(BR$7:BR$106,$AJ16),1))))</ns0:f>
        <ns0:v>1</ns0:v>
      </ns0:c>
      <ns0:c r="BT16" t="n">
        <ns0:f>IF($A16="",1,IF(BS16=1,1,--AND(IF($AC16&gt;0,INDEX(BS$7:BS$106,$AC16),1),IF($AD16&gt;0,INDEX(BS$7:BS$106,$AD16),1),IF($AE16&gt;0,INDEX(BS$7:BS$106,$AE16),1),IF($AF16&gt;0,INDEX(BS$7:BS$106,$AF16),1),IF($AG16&gt;0,INDEX(BS$7:BS$106,$AG16),1),IF($AH16&gt;0,INDEX(BS$7:BS$106,$AH16),1),IF($AI16&gt;0,INDEX(BS$7:BS$106,$AI16),1),IF($AJ16&gt;0,INDEX(BS$7:BS$106,$AJ16),1))))</ns0:f>
        <ns0:v>1</ns0:v>
      </ns0:c>
      <ns0:c r="BU16" t="n">
        <ns0:f>IF($A16="",1,IF(BT16=1,1,--AND(IF($AC16&gt;0,INDEX(BT$7:BT$106,$AC16),1),IF($AD16&gt;0,INDEX(BT$7:BT$106,$AD16),1),IF($AE16&gt;0,INDEX(BT$7:BT$106,$AE16),1),IF($AF16&gt;0,INDEX(BT$7:BT$106,$AF16),1),IF($AG16&gt;0,INDEX(BT$7:BT$106,$AG16),1),IF($AH16&gt;0,INDEX(BT$7:BT$106,$AH16),1),IF($AI16&gt;0,INDEX(BT$7:BT$106,$AI16),1),IF($AJ16&gt;0,INDEX(BT$7:BT$106,$AJ16),1))))</ns0:f>
        <ns0:v>1</ns0:v>
      </ns0:c>
      <ns0:c r="BV16" t="n">
        <ns0:f>IF($A16="",1,IF(BU16=1,1,--AND(IF($AC16&gt;0,INDEX(BU$7:BU$106,$AC16),1),IF($AD16&gt;0,INDEX(BU$7:BU$106,$AD16),1),IF($AE16&gt;0,INDEX(BU$7:BU$106,$AE16),1),IF($AF16&gt;0,INDEX(BU$7:BU$106,$AF16),1),IF($AG16&gt;0,INDEX(BU$7:BU$106,$AG16),1),IF($AH16&gt;0,INDEX(BU$7:BU$106,$AH16),1),IF($AI16&gt;0,INDEX(BU$7:BU$106,$AI16),1),IF($AJ16&gt;0,INDEX(BU$7:BU$106,$AJ16),1))))</ns0:f>
        <ns0:v>1</ns0:v>
      </ns0:c>
      <ns0:c r="BW16" t="n">
        <ns0:f>IF($A16="",1,IF(BV16=1,1,--AND(IF($AC16&gt;0,INDEX(BV$7:BV$106,$AC16),1),IF($AD16&gt;0,INDEX(BV$7:BV$106,$AD16),1),IF($AE16&gt;0,INDEX(BV$7:BV$106,$AE16),1),IF($AF16&gt;0,INDEX(BV$7:BV$106,$AF16),1),IF($AG16&gt;0,INDEX(BV$7:BV$106,$AG16),1),IF($AH16&gt;0,INDEX(BV$7:BV$106,$AH16),1),IF($AI16&gt;0,INDEX(BV$7:BV$106,$AI16),1),IF($AJ16&gt;0,INDEX(BV$7:BV$106,$AJ16),1))))</ns0:f>
        <ns0:v>1</ns0:v>
      </ns0:c>
      <ns0:c r="BX16" t="n">
        <ns0:f>IF($A16="",1,IF(BW16=1,1,--AND(IF($AC16&gt;0,INDEX(BW$7:BW$106,$AC16),1),IF($AD16&gt;0,INDEX(BW$7:BW$106,$AD16),1),IF($AE16&gt;0,INDEX(BW$7:BW$106,$AE16),1),IF($AF16&gt;0,INDEX(BW$7:BW$106,$AF16),1),IF($AG16&gt;0,INDEX(BW$7:BW$106,$AG16),1),IF($AH16&gt;0,INDEX(BW$7:BW$106,$AH16),1),IF($AI16&gt;0,INDEX(BW$7:BW$106,$AI16),1),IF($AJ16&gt;0,INDEX(BW$7:BW$106,$AJ16),1))))</ns0:f>
        <ns0:v>1</ns0:v>
      </ns0:c>
      <ns0:c r="BY16" t="n">
        <ns0:f>IF($A16="",1,IF(BX16=1,1,--AND(IF($AC16&gt;0,INDEX(BX$7:BX$106,$AC16),1),IF($AD16&gt;0,INDEX(BX$7:BX$106,$AD16),1),IF($AE16&gt;0,INDEX(BX$7:BX$106,$AE16),1),IF($AF16&gt;0,INDEX(BX$7:BX$106,$AF16),1),IF($AG16&gt;0,INDEX(BX$7:BX$106,$AG16),1),IF($AH16&gt;0,INDEX(BX$7:BX$106,$AH16),1),IF($AI16&gt;0,INDEX(BX$7:BX$106,$AI16),1),IF($AJ16&gt;0,INDEX(BX$7:BX$106,$AJ16),1))))</ns0:f>
        <ns0:v>1</ns0:v>
      </ns0:c>
      <ns0:c r="BZ16" t="n">
        <ns0:f>IF($A16="",1,IF(BY16=1,1,--AND(IF($AC16&gt;0,INDEX(BY$7:BY$106,$AC16),1),IF($AD16&gt;0,INDEX(BY$7:BY$106,$AD16),1),IF($AE16&gt;0,INDEX(BY$7:BY$106,$AE16),1),IF($AF16&gt;0,INDEX(BY$7:BY$106,$AF16),1),IF($AG16&gt;0,INDEX(BY$7:BY$106,$AG16),1),IF($AH16&gt;0,INDEX(BY$7:BY$106,$AH16),1),IF($AI16&gt;0,INDEX(BY$7:BY$106,$AI16),1),IF($AJ16&gt;0,INDEX(BY$7:BY$106,$AJ16),1))))</ns0:f>
        <ns0:v>1</ns0:v>
      </ns0:c>
      <ns0:c r="CA16" t="n">
        <ns0:f>IF($A16="",1,IF(BZ16=1,1,--AND(IF($AC16&gt;0,INDEX(BZ$7:BZ$106,$AC16),1),IF($AD16&gt;0,INDEX(BZ$7:BZ$106,$AD16),1),IF($AE16&gt;0,INDEX(BZ$7:BZ$106,$AE16),1),IF($AF16&gt;0,INDEX(BZ$7:BZ$106,$AF16),1),IF($AG16&gt;0,INDEX(BZ$7:BZ$106,$AG16),1),IF($AH16&gt;0,INDEX(BZ$7:BZ$106,$AH16),1),IF($AI16&gt;0,INDEX(BZ$7:BZ$106,$AI16),1),IF($AJ16&gt;0,INDEX(BZ$7:BZ$106,$AJ16),1))))</ns0:f>
        <ns0:v>1</ns0:v>
      </ns0:c>
      <ns0:c r="CB16" t="n">
        <ns0:f>IF($A16="",1,IF(CA16=1,1,--AND(IF($AC16&gt;0,INDEX(CA$7:CA$106,$AC16),1),IF($AD16&gt;0,INDEX(CA$7:CA$106,$AD16),1),IF($AE16&gt;0,INDEX(CA$7:CA$106,$AE16),1),IF($AF16&gt;0,INDEX(CA$7:CA$106,$AF16),1),IF($AG16&gt;0,INDEX(CA$7:CA$106,$AG16),1),IF($AH16&gt;0,INDEX(CA$7:CA$106,$AH16),1),IF($AI16&gt;0,INDEX(CA$7:CA$106,$AI16),1),IF($AJ16&gt;0,INDEX(CA$7:CA$106,$AJ16),1))))</ns0:f>
        <ns0:v>1</ns0:v>
      </ns0:c>
      <ns0:c r="CC16" t="n">
        <ns0:f>IF($A16="",1,IF(CB16=1,1,--AND(IF($AC16&gt;0,INDEX(CB$7:CB$106,$AC16),1),IF($AD16&gt;0,INDEX(CB$7:CB$106,$AD16),1),IF($AE16&gt;0,INDEX(CB$7:CB$106,$AE16),1),IF($AF16&gt;0,INDEX(CB$7:CB$106,$AF16),1),IF($AG16&gt;0,INDEX(CB$7:CB$106,$AG16),1),IF($AH16&gt;0,INDEX(CB$7:CB$106,$AH16),1),IF($AI16&gt;0,INDEX(CB$7:CB$106,$AI16),1),IF($AJ16&gt;0,INDEX(CB$7:CB$106,$AJ16),1))))</ns0:f>
        <ns0:v>1</ns0:v>
      </ns0:c>
      <ns0:c r="CD16" t="n">
        <ns0:f>IF($A16="",1,IF(CC16=1,1,--AND(IF($AC16&gt;0,INDEX(CC$7:CC$106,$AC16),1),IF($AD16&gt;0,INDEX(CC$7:CC$106,$AD16),1),IF($AE16&gt;0,INDEX(CC$7:CC$106,$AE16),1),IF($AF16&gt;0,INDEX(CC$7:CC$106,$AF16),1),IF($AG16&gt;0,INDEX(CC$7:CC$106,$AG16),1),IF($AH16&gt;0,INDEX(CC$7:CC$106,$AH16),1),IF($AI16&gt;0,INDEX(CC$7:CC$106,$AI16),1),IF($AJ16&gt;0,INDEX(CC$7:CC$106,$AJ16),1))))</ns0:f>
        <ns0:v>1</ns0:v>
      </ns0:c>
      <ns0:c r="CE16" t="n">
        <ns0:f>IF($A16="",1,IF(CD16=1,1,--AND(IF($AC16&gt;0,INDEX(CD$7:CD$106,$AC16),1),IF($AD16&gt;0,INDEX(CD$7:CD$106,$AD16),1),IF($AE16&gt;0,INDEX(CD$7:CD$106,$AE16),1),IF($AF16&gt;0,INDEX(CD$7:CD$106,$AF16),1),IF($AG16&gt;0,INDEX(CD$7:CD$106,$AG16),1),IF($AH16&gt;0,INDEX(CD$7:CD$106,$AH16),1),IF($AI16&gt;0,INDEX(CD$7:CD$106,$AI16),1),IF($AJ16&gt;0,INDEX(CD$7:CD$106,$AJ16),1))))</ns0:f>
        <ns0:v>1</ns0:v>
      </ns0:c>
      <ns0:c r="CF16" t="n">
        <ns0:f>IF($A16="",1,IF(CE16=1,1,--AND(IF($AC16&gt;0,INDEX(CE$7:CE$106,$AC16),1),IF($AD16&gt;0,INDEX(CE$7:CE$106,$AD16),1),IF($AE16&gt;0,INDEX(CE$7:CE$106,$AE16),1),IF($AF16&gt;0,INDEX(CE$7:CE$106,$AF16),1),IF($AG16&gt;0,INDEX(CE$7:CE$106,$AG16),1),IF($AH16&gt;0,INDEX(CE$7:CE$106,$AH16),1),IF($AI16&gt;0,INDEX(CE$7:CE$106,$AI16),1),IF($AJ16&gt;0,INDEX(CE$7:CE$106,$AJ16),1))))</ns0:f>
        <ns0:v>1</ns0:v>
      </ns0:c>
      <ns0:c r="CG16" t="n">
        <ns0:f>IF($A16="",1,IF(CF16=1,1,--AND(IF($AC16&gt;0,INDEX(CF$7:CF$106,$AC16),1),IF($AD16&gt;0,INDEX(CF$7:CF$106,$AD16),1),IF($AE16&gt;0,INDEX(CF$7:CF$106,$AE16),1),IF($AF16&gt;0,INDEX(CF$7:CF$106,$AF16),1),IF($AG16&gt;0,INDEX(CF$7:CF$106,$AG16),1),IF($AH16&gt;0,INDEX(CF$7:CF$106,$AH16),1),IF($AI16&gt;0,INDEX(CF$7:CF$106,$AI16),1),IF($AJ16&gt;0,INDEX(CF$7:CF$106,$AJ16),1))))</ns0:f>
        <ns0:v>1</ns0:v>
      </ns0:c>
      <ns0:c r="CH16" t="n">
        <ns0:f>IF($A16="",1,IF(CG16=1,1,--AND(IF($AC16&gt;0,INDEX(CG$7:CG$106,$AC16),1),IF($AD16&gt;0,INDEX(CG$7:CG$106,$AD16),1),IF($AE16&gt;0,INDEX(CG$7:CG$106,$AE16),1),IF($AF16&gt;0,INDEX(CG$7:CG$106,$AF16),1),IF($AG16&gt;0,INDEX(CG$7:CG$106,$AG16),1),IF($AH16&gt;0,INDEX(CG$7:CG$106,$AH16),1),IF($AI16&gt;0,INDEX(CG$7:CG$106,$AI16),1),IF($AJ16&gt;0,INDEX(CG$7:CG$106,$AJ16),1))))</ns0:f>
        <ns0:v>1</ns0:v>
      </ns0:c>
      <ns0:c r="CI16" t="n">
        <ns0:f>IF($A16="",1,IF(CH16=1,1,--AND(IF($AC16&gt;0,INDEX(CH$7:CH$106,$AC16),1),IF($AD16&gt;0,INDEX(CH$7:CH$106,$AD16),1),IF($AE16&gt;0,INDEX(CH$7:CH$106,$AE16),1),IF($AF16&gt;0,INDEX(CH$7:CH$106,$AF16),1),IF($AG16&gt;0,INDEX(CH$7:CH$106,$AG16),1),IF($AH16&gt;0,INDEX(CH$7:CH$106,$AH16),1),IF($AI16&gt;0,INDEX(CH$7:CH$106,$AI16),1),IF($AJ16&gt;0,INDEX(CH$7:CH$106,$AJ16),1))))</ns0:f>
        <ns0:v>1</ns0:v>
      </ns0:c>
      <ns0:c r="CJ16" t="n">
        <ns0:f>IF($A16="",1,IF(CI16=1,1,--AND(IF($AC16&gt;0,INDEX(CI$7:CI$106,$AC16),1),IF($AD16&gt;0,INDEX(CI$7:CI$106,$AD16),1),IF($AE16&gt;0,INDEX(CI$7:CI$106,$AE16),1),IF($AF16&gt;0,INDEX(CI$7:CI$106,$AF16),1),IF($AG16&gt;0,INDEX(CI$7:CI$106,$AG16),1),IF($AH16&gt;0,INDEX(CI$7:CI$106,$AH16),1),IF($AI16&gt;0,INDEX(CI$7:CI$106,$AI16),1),IF($AJ16&gt;0,INDEX(CI$7:CI$106,$AJ16),1))))</ns0:f>
        <ns0:v>1</ns0:v>
      </ns0:c>
      <ns0:c r="CK16" t="n">
        <ns0:f>IF($A16="",1,IF(CJ16=1,1,--AND(IF($AC16&gt;0,INDEX(CJ$7:CJ$106,$AC16),1),IF($AD16&gt;0,INDEX(CJ$7:CJ$106,$AD16),1),IF($AE16&gt;0,INDEX(CJ$7:CJ$106,$AE16),1),IF($AF16&gt;0,INDEX(CJ$7:CJ$106,$AF16),1),IF($AG16&gt;0,INDEX(CJ$7:CJ$106,$AG16),1),IF($AH16&gt;0,INDEX(CJ$7:CJ$106,$AH16),1),IF($AI16&gt;0,INDEX(CJ$7:CJ$106,$AI16),1),IF($AJ16&gt;0,INDEX(CJ$7:CJ$106,$AJ16),1))))</ns0:f>
        <ns0:v>1</ns0:v>
      </ns0:c>
      <ns0:c r="CL16" t="n">
        <ns0:f>IF($A16="",1,IF(CK16=1,1,--AND(IF($AC16&gt;0,INDEX(CK$7:CK$106,$AC16),1),IF($AD16&gt;0,INDEX(CK$7:CK$106,$AD16),1),IF($AE16&gt;0,INDEX(CK$7:CK$106,$AE16),1),IF($AF16&gt;0,INDEX(CK$7:CK$106,$AF16),1),IF($AG16&gt;0,INDEX(CK$7:CK$106,$AG16),1),IF($AH16&gt;0,INDEX(CK$7:CK$106,$AH16),1),IF($AI16&gt;0,INDEX(CK$7:CK$106,$AI16),1),IF($AJ16&gt;0,INDEX(CK$7:CK$106,$AJ16),1))))</ns0:f>
        <ns0:v>1</ns0:v>
      </ns0:c>
      <ns0:c r="CM16" t="n">
        <ns0:f>IF($A16="",1,IF(CL16=1,1,--AND(IF($AC16&gt;0,INDEX(CL$7:CL$106,$AC16),1),IF($AD16&gt;0,INDEX(CL$7:CL$106,$AD16),1),IF($AE16&gt;0,INDEX(CL$7:CL$106,$AE16),1),IF($AF16&gt;0,INDEX(CL$7:CL$106,$AF16),1),IF($AG16&gt;0,INDEX(CL$7:CL$106,$AG16),1),IF($AH16&gt;0,INDEX(CL$7:CL$106,$AH16),1),IF($AI16&gt;0,INDEX(CL$7:CL$106,$AI16),1),IF($AJ16&gt;0,INDEX(CL$7:CL$106,$AJ16),1))))</ns0:f>
        <ns0:v>1</ns0:v>
      </ns0:c>
      <ns0:c r="CN16" t="n">
        <ns0:f>IF($A16="",1,IF(CM16=1,1,--AND(IF($AC16&gt;0,INDEX(CM$7:CM$106,$AC16),1),IF($AD16&gt;0,INDEX(CM$7:CM$106,$AD16),1),IF($AE16&gt;0,INDEX(CM$7:CM$106,$AE16),1),IF($AF16&gt;0,INDEX(CM$7:CM$106,$AF16),1),IF($AG16&gt;0,INDEX(CM$7:CM$106,$AG16),1),IF($AH16&gt;0,INDEX(CM$7:CM$106,$AH16),1),IF($AI16&gt;0,INDEX(CM$7:CM$106,$AI16),1),IF($AJ16&gt;0,INDEX(CM$7:CM$106,$AJ16),1))))</ns0:f>
        <ns0:v>1</ns0:v>
      </ns0:c>
      <ns0:c r="CO16" t="n">
        <ns0:f>IF($A16="",1,IF(CN16=1,1,--AND(IF($AC16&gt;0,INDEX(CN$7:CN$106,$AC16),1),IF($AD16&gt;0,INDEX(CN$7:CN$106,$AD16),1),IF($AE16&gt;0,INDEX(CN$7:CN$106,$AE16),1),IF($AF16&gt;0,INDEX(CN$7:CN$106,$AF16),1),IF($AG16&gt;0,INDEX(CN$7:CN$106,$AG16),1),IF($AH16&gt;0,INDEX(CN$7:CN$106,$AH16),1),IF($AI16&gt;0,INDEX(CN$7:CN$106,$AI16),1),IF($AJ16&gt;0,INDEX(CN$7:CN$106,$AJ16),1))))</ns0:f>
        <ns0:v>1</ns0:v>
      </ns0:c>
      <ns0:c r="CP16" t="n">
        <ns0:f>IF($A16="",1,IF(CO16=1,1,--AND(IF($AC16&gt;0,INDEX(CO$7:CO$106,$AC16),1),IF($AD16&gt;0,INDEX(CO$7:CO$106,$AD16),1),IF($AE16&gt;0,INDEX(CO$7:CO$106,$AE16),1),IF($AF16&gt;0,INDEX(CO$7:CO$106,$AF16),1),IF($AG16&gt;0,INDEX(CO$7:CO$106,$AG16),1),IF($AH16&gt;0,INDEX(CO$7:CO$106,$AH16),1),IF($AI16&gt;0,INDEX(CO$7:CO$106,$AI16),1),IF($AJ16&gt;0,INDEX(CO$7:CO$106,$AJ16),1))))</ns0:f>
        <ns0:v>1</ns0:v>
      </ns0:c>
      <ns0:c r="CQ16" t="n">
        <ns0:f>IF($A16="",1,IF(CP16=1,1,--AND(IF($AC16&gt;0,INDEX(CP$7:CP$106,$AC16),1),IF($AD16&gt;0,INDEX(CP$7:CP$106,$AD16),1),IF($AE16&gt;0,INDEX(CP$7:CP$106,$AE16),1),IF($AF16&gt;0,INDEX(CP$7:CP$106,$AF16),1),IF($AG16&gt;0,INDEX(CP$7:CP$106,$AG16),1),IF($AH16&gt;0,INDEX(CP$7:CP$106,$AH16),1),IF($AI16&gt;0,INDEX(CP$7:CP$106,$AI16),1),IF($AJ16&gt;0,INDEX(CP$7:CP$106,$AJ16),1))))</ns0:f>
        <ns0:v>1</ns0:v>
      </ns0:c>
      <ns0:c r="CR16" t="n">
        <ns0:f>IF($A16="",1,IF(CQ16=1,1,--AND(IF($AC16&gt;0,INDEX(CQ$7:CQ$106,$AC16),1),IF($AD16&gt;0,INDEX(CQ$7:CQ$106,$AD16),1),IF($AE16&gt;0,INDEX(CQ$7:CQ$106,$AE16),1),IF($AF16&gt;0,INDEX(CQ$7:CQ$106,$AF16),1),IF($AG16&gt;0,INDEX(CQ$7:CQ$106,$AG16),1),IF($AH16&gt;0,INDEX(CQ$7:CQ$106,$AH16),1),IF($AI16&gt;0,INDEX(CQ$7:CQ$106,$AI16),1),IF($AJ16&gt;0,INDEX(CQ$7:CQ$106,$AJ16),1))))</ns0:f>
        <ns0:v>1</ns0:v>
      </ns0:c>
      <ns0:c r="CS16" t="n">
        <ns0:f>IF($A16="",1,IF(CR16=1,1,--AND(IF($AC16&gt;0,INDEX(CR$7:CR$106,$AC16),1),IF($AD16&gt;0,INDEX(CR$7:CR$106,$AD16),1),IF($AE16&gt;0,INDEX(CR$7:CR$106,$AE16),1),IF($AF16&gt;0,INDEX(CR$7:CR$106,$AF16),1),IF($AG16&gt;0,INDEX(CR$7:CR$106,$AG16),1),IF($AH16&gt;0,INDEX(CR$7:CR$106,$AH16),1),IF($AI16&gt;0,INDEX(CR$7:CR$106,$AI16),1),IF($AJ16&gt;0,INDEX(CR$7:CR$106,$AJ16),1))))</ns0:f>
        <ns0:v>1</ns0:v>
      </ns0:c>
      <ns0:c r="CT16" t="n">
        <ns0:f>IF($A16="",1,IF(CS16=1,1,--AND(IF($AC16&gt;0,INDEX(CS$7:CS$106,$AC16),1),IF($AD16&gt;0,INDEX(CS$7:CS$106,$AD16),1),IF($AE16&gt;0,INDEX(CS$7:CS$106,$AE16),1),IF($AF16&gt;0,INDEX(CS$7:CS$106,$AF16),1),IF($AG16&gt;0,INDEX(CS$7:CS$106,$AG16),1),IF($AH16&gt;0,INDEX(CS$7:CS$106,$AH16),1),IF($AI16&gt;0,INDEX(CS$7:CS$106,$AI16),1),IF($AJ16&gt;0,INDEX(CS$7:CS$106,$AJ16),1))))</ns0:f>
        <ns0:v>1</ns0:v>
      </ns0:c>
      <ns0:c r="CU16" t="n">
        <ns0:f>IF($A16="",1,IF(CT16=1,1,--AND(IF($AC16&gt;0,INDEX(CT$7:CT$106,$AC16),1),IF($AD16&gt;0,INDEX(CT$7:CT$106,$AD16),1),IF($AE16&gt;0,INDEX(CT$7:CT$106,$AE16),1),IF($AF16&gt;0,INDEX(CT$7:CT$106,$AF16),1),IF($AG16&gt;0,INDEX(CT$7:CT$106,$AG16),1),IF($AH16&gt;0,INDEX(CT$7:CT$106,$AH16),1),IF($AI16&gt;0,INDEX(CT$7:CT$106,$AI16),1),IF($AJ16&gt;0,INDEX(CT$7:CT$106,$AJ16),1))))</ns0:f>
        <ns0:v>1</ns0:v>
      </ns0:c>
      <ns0:c r="CV16" t="n">
        <ns0:f>IF($A16="",1,IF(CU16=1,1,--AND(IF($AC16&gt;0,INDEX(CU$7:CU$106,$AC16),1),IF($AD16&gt;0,INDEX(CU$7:CU$106,$AD16),1),IF($AE16&gt;0,INDEX(CU$7:CU$106,$AE16),1),IF($AF16&gt;0,INDEX(CU$7:CU$106,$AF16),1),IF($AG16&gt;0,INDEX(CU$7:CU$106,$AG16),1),IF($AH16&gt;0,INDEX(CU$7:CU$106,$AH16),1),IF($AI16&gt;0,INDEX(CU$7:CU$106,$AI16),1),IF($AJ16&gt;0,INDEX(CU$7:CU$106,$AJ16),1))))</ns0:f>
        <ns0:v>1</ns0:v>
      </ns0:c>
      <ns0:c r="CW16" t="n">
        <ns0:f>IF($A16="",1,IF(CV16=1,1,--AND(IF($AC16&gt;0,INDEX(CV$7:CV$106,$AC16),1),IF($AD16&gt;0,INDEX(CV$7:CV$106,$AD16),1),IF($AE16&gt;0,INDEX(CV$7:CV$106,$AE16),1),IF($AF16&gt;0,INDEX(CV$7:CV$106,$AF16),1),IF($AG16&gt;0,INDEX(CV$7:CV$106,$AG16),1),IF($AH16&gt;0,INDEX(CV$7:CV$106,$AH16),1),IF($AI16&gt;0,INDEX(CV$7:CV$106,$AI16),1),IF($AJ16&gt;0,INDEX(CV$7:CV$106,$AJ16),1))))</ns0:f>
        <ns0:v>1</ns0:v>
      </ns0:c>
      <ns0:c r="CX16" t="n">
        <ns0:f>IF($A16="",1,IF(CW16=1,1,--AND(IF($AC16&gt;0,INDEX(CW$7:CW$106,$AC16),1),IF($AD16&gt;0,INDEX(CW$7:CW$106,$AD16),1),IF($AE16&gt;0,INDEX(CW$7:CW$106,$AE16),1),IF($AF16&gt;0,INDEX(CW$7:CW$106,$AF16),1),IF($AG16&gt;0,INDEX(CW$7:CW$106,$AG16),1),IF($AH16&gt;0,INDEX(CW$7:CW$106,$AH16),1),IF($AI16&gt;0,INDEX(CW$7:CW$106,$AI16),1),IF($AJ16&gt;0,INDEX(CW$7:CW$106,$AJ16),1))))</ns0:f>
        <ns0:v>1</ns0:v>
      </ns0:c>
      <ns0:c r="CY16" t="n">
        <ns0:f>IF($A16="",1,IF(CX16=1,1,--AND(IF($AC16&gt;0,INDEX(CX$7:CX$106,$AC16),1),IF($AD16&gt;0,INDEX(CX$7:CX$106,$AD16),1),IF($AE16&gt;0,INDEX(CX$7:CX$106,$AE16),1),IF($AF16&gt;0,INDEX(CX$7:CX$106,$AF16),1),IF($AG16&gt;0,INDEX(CX$7:CX$106,$AG16),1),IF($AH16&gt;0,INDEX(CX$7:CX$106,$AH16),1),IF($AI16&gt;0,INDEX(CX$7:CX$106,$AI16),1),IF($AJ16&gt;0,INDEX(CX$7:CX$106,$AJ16),1))))</ns0:f>
        <ns0:v>1</ns0:v>
      </ns0:c>
      <ns0:c r="CZ16" t="n">
        <ns0:f>IF($A16="",1,IF(CY16=1,1,--AND(IF($AC16&gt;0,INDEX(CY$7:CY$106,$AC16),1),IF($AD16&gt;0,INDEX(CY$7:CY$106,$AD16),1),IF($AE16&gt;0,INDEX(CY$7:CY$106,$AE16),1),IF($AF16&gt;0,INDEX(CY$7:CY$106,$AF16),1),IF($AG16&gt;0,INDEX(CY$7:CY$106,$AG16),1),IF($AH16&gt;0,INDEX(CY$7:CY$106,$AH16),1),IF($AI16&gt;0,INDEX(CY$7:CY$106,$AI16),1),IF($AJ16&gt;0,INDEX(CY$7:CY$106,$AJ16),1))))</ns0:f>
        <ns0:v>1</ns0:v>
      </ns0:c>
      <ns0:c r="DA16" t="n">
        <ns0:f>IF($A16="",1,IF(CZ16=1,1,--AND(IF($AC16&gt;0,INDEX(CZ$7:CZ$106,$AC16),1),IF($AD16&gt;0,INDEX(CZ$7:CZ$106,$AD16),1),IF($AE16&gt;0,INDEX(CZ$7:CZ$106,$AE16),1),IF($AF16&gt;0,INDEX(CZ$7:CZ$106,$AF16),1),IF($AG16&gt;0,INDEX(CZ$7:CZ$106,$AG16),1),IF($AH16&gt;0,INDEX(CZ$7:CZ$106,$AH16),1),IF($AI16&gt;0,INDEX(CZ$7:CZ$106,$AI16),1),IF($AJ16&gt;0,INDEX(CZ$7:CZ$106,$AJ16),1))))</ns0:f>
        <ns0:v>1</ns0:v>
      </ns0:c>
      <ns0:c r="DB16" t="n">
        <ns0:f>IF($A16="",1,IF(DA16=1,1,--AND(IF($AC16&gt;0,INDEX(DA$7:DA$106,$AC16),1),IF($AD16&gt;0,INDEX(DA$7:DA$106,$AD16),1),IF($AE16&gt;0,INDEX(DA$7:DA$106,$AE16),1),IF($AF16&gt;0,INDEX(DA$7:DA$106,$AF16),1),IF($AG16&gt;0,INDEX(DA$7:DA$106,$AG16),1),IF($AH16&gt;0,INDEX(DA$7:DA$106,$AH16),1),IF($AI16&gt;0,INDEX(DA$7:DA$106,$AI16),1),IF($AJ16&gt;0,INDEX(DA$7:DA$106,$AJ16),1))))</ns0:f>
        <ns0:v>1</ns0:v>
      </ns0:c>
      <ns0:c r="DC16" t="n">
        <ns0:f>IF($A16="",1,IF(DB16=1,1,--AND(IF($AC16&gt;0,INDEX(DB$7:DB$106,$AC16),1),IF($AD16&gt;0,INDEX(DB$7:DB$106,$AD16),1),IF($AE16&gt;0,INDEX(DB$7:DB$106,$AE16),1),IF($AF16&gt;0,INDEX(DB$7:DB$106,$AF16),1),IF($AG16&gt;0,INDEX(DB$7:DB$106,$AG16),1),IF($AH16&gt;0,INDEX(DB$7:DB$106,$AH16),1),IF($AI16&gt;0,INDEX(DB$7:DB$106,$AI16),1),IF($AJ16&gt;0,INDEX(DB$7:DB$106,$AJ16),1))))</ns0:f>
        <ns0:v>1</ns0:v>
      </ns0:c>
      <ns0:c r="DD16" t="n">
        <ns0:f>IF($A16="",1,IF(DC16=1,1,--AND(IF($AC16&gt;0,INDEX(DC$7:DC$106,$AC16),1),IF($AD16&gt;0,INDEX(DC$7:DC$106,$AD16),1),IF($AE16&gt;0,INDEX(DC$7:DC$106,$AE16),1),IF($AF16&gt;0,INDEX(DC$7:DC$106,$AF16),1),IF($AG16&gt;0,INDEX(DC$7:DC$106,$AG16),1),IF($AH16&gt;0,INDEX(DC$7:DC$106,$AH16),1),IF($AI16&gt;0,INDEX(DC$7:DC$106,$AI16),1),IF($AJ16&gt;0,INDEX(DC$7:DC$106,$AJ16),1))))</ns0:f>
        <ns0:v>1</ns0:v>
      </ns0:c>
      <ns0:c r="DE16" t="n">
        <ns0:f>IF($A16="",1,IF(DD16=1,1,--AND(IF($AC16&gt;0,INDEX(DD$7:DD$106,$AC16),1),IF($AD16&gt;0,INDEX(DD$7:DD$106,$AD16),1),IF($AE16&gt;0,INDEX(DD$7:DD$106,$AE16),1),IF($AF16&gt;0,INDEX(DD$7:DD$106,$AF16),1),IF($AG16&gt;0,INDEX(DD$7:DD$106,$AG16),1),IF($AH16&gt;0,INDEX(DD$7:DD$106,$AH16),1),IF($AI16&gt;0,INDEX(DD$7:DD$106,$AI16),1),IF($AJ16&gt;0,INDEX(DD$7:DD$106,$AJ16),1))))</ns0:f>
        <ns0:v>1</ns0:v>
      </ns0:c>
      <ns0:c r="DF16" t="n">
        <ns0:f>IF($A16="",1,IF(DE16=1,1,--AND(IF($AC16&gt;0,INDEX(DE$7:DE$106,$AC16),1),IF($AD16&gt;0,INDEX(DE$7:DE$106,$AD16),1),IF($AE16&gt;0,INDEX(DE$7:DE$106,$AE16),1),IF($AF16&gt;0,INDEX(DE$7:DE$106,$AF16),1),IF($AG16&gt;0,INDEX(DE$7:DE$106,$AG16),1),IF($AH16&gt;0,INDEX(DE$7:DE$106,$AH16),1),IF($AI16&gt;0,INDEX(DE$7:DE$106,$AI16),1),IF($AJ16&gt;0,INDEX(DE$7:DE$106,$AJ16),1))))</ns0:f>
        <ns0:v>1</ns0:v>
      </ns0:c>
      <ns0:c r="DG16" t="n">
        <ns0:f>IF($A16="",1,IF(DF16=1,1,--AND(IF($AC16&gt;0,INDEX(DF$7:DF$106,$AC16),1),IF($AD16&gt;0,INDEX(DF$7:DF$106,$AD16),1),IF($AE16&gt;0,INDEX(DF$7:DF$106,$AE16),1),IF($AF16&gt;0,INDEX(DF$7:DF$106,$AF16),1),IF($AG16&gt;0,INDEX(DF$7:DF$106,$AG16),1),IF($AH16&gt;0,INDEX(DF$7:DF$106,$AH16),1),IF($AI16&gt;0,INDEX(DF$7:DF$106,$AI16),1),IF($AJ16&gt;0,INDEX(DF$7:DF$106,$AJ16),1))))</ns0:f>
        <ns0:v>1</ns0:v>
      </ns0:c>
      <ns0:c r="DH16" t="n">
        <ns0:f>IF($A16="",1,IF(DG16=1,1,--AND(IF($AC16&gt;0,INDEX(DG$7:DG$106,$AC16),1),IF($AD16&gt;0,INDEX(DG$7:DG$106,$AD16),1),IF($AE16&gt;0,INDEX(DG$7:DG$106,$AE16),1),IF($AF16&gt;0,INDEX(DG$7:DG$106,$AF16),1),IF($AG16&gt;0,INDEX(DG$7:DG$106,$AG16),1),IF($AH16&gt;0,INDEX(DG$7:DG$106,$AH16),1),IF($AI16&gt;0,INDEX(DG$7:DG$106,$AI16),1),IF($AJ16&gt;0,INDEX(DG$7:DG$106,$AJ16),1))))</ns0:f>
        <ns0:v>1</ns0:v>
      </ns0:c>
      <ns0:c r="DI16" t="n">
        <ns0:f>IF($A16="",1,IF(DH16=1,1,--AND(IF($AC16&gt;0,INDEX(DH$7:DH$106,$AC16),1),IF($AD16&gt;0,INDEX(DH$7:DH$106,$AD16),1),IF($AE16&gt;0,INDEX(DH$7:DH$106,$AE16),1),IF($AF16&gt;0,INDEX(DH$7:DH$106,$AF16),1),IF($AG16&gt;0,INDEX(DH$7:DH$106,$AG16),1),IF($AH16&gt;0,INDEX(DH$7:DH$106,$AH16),1),IF($AI16&gt;0,INDEX(DH$7:DH$106,$AI16),1),IF($AJ16&gt;0,INDEX(DH$7:DH$106,$AJ16),1))))</ns0:f>
        <ns0:v>1</ns0:v>
      </ns0:c>
      <ns0:c r="DJ16" t="n">
        <ns0:f>IF($A16="",1,IF(DI16=1,1,--AND(IF($AC16&gt;0,INDEX(DI$7:DI$106,$AC16),1),IF($AD16&gt;0,INDEX(DI$7:DI$106,$AD16),1),IF($AE16&gt;0,INDEX(DI$7:DI$106,$AE16),1),IF($AF16&gt;0,INDEX(DI$7:DI$106,$AF16),1),IF($AG16&gt;0,INDEX(DI$7:DI$106,$AG16),1),IF($AH16&gt;0,INDEX(DI$7:DI$106,$AH16),1),IF($AI16&gt;0,INDEX(DI$7:DI$106,$AI16),1),IF($AJ16&gt;0,INDEX(DI$7:DI$106,$AJ16),1))))</ns0:f>
        <ns0:v>1</ns0:v>
      </ns0:c>
      <ns0:c r="DK16" t="n">
        <ns0:f>IF($A16="",1,IF(DJ16=1,1,--AND(IF($AC16&gt;0,INDEX(DJ$7:DJ$106,$AC16),1),IF($AD16&gt;0,INDEX(DJ$7:DJ$106,$AD16),1),IF($AE16&gt;0,INDEX(DJ$7:DJ$106,$AE16),1),IF($AF16&gt;0,INDEX(DJ$7:DJ$106,$AF16),1),IF($AG16&gt;0,INDEX(DJ$7:DJ$106,$AG16),1),IF($AH16&gt;0,INDEX(DJ$7:DJ$106,$AH16),1),IF($AI16&gt;0,INDEX(DJ$7:DJ$106,$AI16),1),IF($AJ16&gt;0,INDEX(DJ$7:DJ$106,$AJ16),1))))</ns0:f>
        <ns0:v>1</ns0:v>
      </ns0:c>
      <ns0:c r="DL16" t="n">
        <ns0:f>IF($A16="",1,IF(DK16=1,1,--AND(IF($AC16&gt;0,INDEX(DK$7:DK$106,$AC16),1),IF($AD16&gt;0,INDEX(DK$7:DK$106,$AD16),1),IF($AE16&gt;0,INDEX(DK$7:DK$106,$AE16),1),IF($AF16&gt;0,INDEX(DK$7:DK$106,$AF16),1),IF($AG16&gt;0,INDEX(DK$7:DK$106,$AG16),1),IF($AH16&gt;0,INDEX(DK$7:DK$106,$AH16),1),IF($AI16&gt;0,INDEX(DK$7:DK$106,$AI16),1),IF($AJ16&gt;0,INDEX(DK$7:DK$106,$AJ16),1))))</ns0:f>
        <ns0:v>1</ns0:v>
      </ns0:c>
      <ns0:c r="DM16" t="n">
        <ns0:f>IF($A16="",1,IF(DL16=1,1,--AND(IF($AC16&gt;0,INDEX(DL$7:DL$106,$AC16),1),IF($AD16&gt;0,INDEX(DL$7:DL$106,$AD16),1),IF($AE16&gt;0,INDEX(DL$7:DL$106,$AE16),1),IF($AF16&gt;0,INDEX(DL$7:DL$106,$AF16),1),IF($AG16&gt;0,INDEX(DL$7:DL$106,$AG16),1),IF($AH16&gt;0,INDEX(DL$7:DL$106,$AH16),1),IF($AI16&gt;0,INDEX(DL$7:DL$106,$AI16),1),IF($AJ16&gt;0,INDEX(DL$7:DL$106,$AJ16),1))))</ns0:f>
        <ns0:v>1</ns0:v>
      </ns0:c>
      <ns0:c r="DN16" t="n">
        <ns0:f>IF($A16="",1,IF(DM16=1,1,--AND(IF($AC16&gt;0,INDEX(DM$7:DM$106,$AC16),1),IF($AD16&gt;0,INDEX(DM$7:DM$106,$AD16),1),IF($AE16&gt;0,INDEX(DM$7:DM$106,$AE16),1),IF($AF16&gt;0,INDEX(DM$7:DM$106,$AF16),1),IF($AG16&gt;0,INDEX(DM$7:DM$106,$AG16),1),IF($AH16&gt;0,INDEX(DM$7:DM$106,$AH16),1),IF($AI16&gt;0,INDEX(DM$7:DM$106,$AI16),1),IF($AJ16&gt;0,INDEX(DM$7:DM$106,$AJ16),1))))</ns0:f>
        <ns0:v>1</ns0:v>
      </ns0:c>
      <ns0:c r="DO16" t="n">
        <ns0:f>IF($A16="",1,IF(DN16=1,1,--AND(IF($AC16&gt;0,INDEX(DN$7:DN$106,$AC16),1),IF($AD16&gt;0,INDEX(DN$7:DN$106,$AD16),1),IF($AE16&gt;0,INDEX(DN$7:DN$106,$AE16),1),IF($AF16&gt;0,INDEX(DN$7:DN$106,$AF16),1),IF($AG16&gt;0,INDEX(DN$7:DN$106,$AG16),1),IF($AH16&gt;0,INDEX(DN$7:DN$106,$AH16),1),IF($AI16&gt;0,INDEX(DN$7:DN$106,$AI16),1),IF($AJ16&gt;0,INDEX(DN$7:DN$106,$AJ16),1))))</ns0:f>
        <ns0:v>1</ns0:v>
      </ns0:c>
      <ns0:c r="DP16" t="n">
        <ns0:f>IF($A16="",1,IF(DO16=1,1,--AND(IF($AC16&gt;0,INDEX(DO$7:DO$106,$AC16),1),IF($AD16&gt;0,INDEX(DO$7:DO$106,$AD16),1),IF($AE16&gt;0,INDEX(DO$7:DO$106,$AE16),1),IF($AF16&gt;0,INDEX(DO$7:DO$106,$AF16),1),IF($AG16&gt;0,INDEX(DO$7:DO$106,$AG16),1),IF($AH16&gt;0,INDEX(DO$7:DO$106,$AH16),1),IF($AI16&gt;0,INDEX(DO$7:DO$106,$AI16),1),IF($AJ16&gt;0,INDEX(DO$7:DO$106,$AJ16),1))))</ns0:f>
        <ns0:v>1</ns0:v>
      </ns0:c>
      <ns0:c r="DQ16" t="n">
        <ns0:f>IF($A16="",1,IF(DP16=1,1,--AND(IF($AC16&gt;0,INDEX(DP$7:DP$106,$AC16),1),IF($AD16&gt;0,INDEX(DP$7:DP$106,$AD16),1),IF($AE16&gt;0,INDEX(DP$7:DP$106,$AE16),1),IF($AF16&gt;0,INDEX(DP$7:DP$106,$AF16),1),IF($AG16&gt;0,INDEX(DP$7:DP$106,$AG16),1),IF($AH16&gt;0,INDEX(DP$7:DP$106,$AH16),1),IF($AI16&gt;0,INDEX(DP$7:DP$106,$AI16),1),IF($AJ16&gt;0,INDEX(DP$7:DP$106,$AJ16),1))))</ns0:f>
        <ns0:v>1</ns0:v>
      </ns0:c>
      <ns0:c r="DR16" t="n">
        <ns0:f>IF($A16="",1,IF(DQ16=1,1,--AND(IF($AC16&gt;0,INDEX(DQ$7:DQ$106,$AC16),1),IF($AD16&gt;0,INDEX(DQ$7:DQ$106,$AD16),1),IF($AE16&gt;0,INDEX(DQ$7:DQ$106,$AE16),1),IF($AF16&gt;0,INDEX(DQ$7:DQ$106,$AF16),1),IF($AG16&gt;0,INDEX(DQ$7:DQ$106,$AG16),1),IF($AH16&gt;0,INDEX(DQ$7:DQ$106,$AH16),1),IF($AI16&gt;0,INDEX(DQ$7:DQ$106,$AI16),1),IF($AJ16&gt;0,INDEX(DQ$7:DQ$106,$AJ16),1))))</ns0:f>
        <ns0:v>1</ns0:v>
      </ns0:c>
      <ns0:c r="DS16" t="n">
        <ns0:f>IF($A16="",1,IF(DR16=1,1,--AND(IF($AC16&gt;0,INDEX(DR$7:DR$106,$AC16),1),IF($AD16&gt;0,INDEX(DR$7:DR$106,$AD16),1),IF($AE16&gt;0,INDEX(DR$7:DR$106,$AE16),1),IF($AF16&gt;0,INDEX(DR$7:DR$106,$AF16),1),IF($AG16&gt;0,INDEX(DR$7:DR$106,$AG16),1),IF($AH16&gt;0,INDEX(DR$7:DR$106,$AH16),1),IF($AI16&gt;0,INDEX(DR$7:DR$106,$AI16),1),IF($AJ16&gt;0,INDEX(DR$7:DR$106,$AJ16),1))))</ns0:f>
        <ns0:v>1</ns0:v>
      </ns0:c>
      <ns0:c r="DT16" t="n">
        <ns0:f>IF($A16="",1,IF(DS16=1,1,--AND(IF($AC16&gt;0,INDEX(DS$7:DS$106,$AC16),1),IF($AD16&gt;0,INDEX(DS$7:DS$106,$AD16),1),IF($AE16&gt;0,INDEX(DS$7:DS$106,$AE16),1),IF($AF16&gt;0,INDEX(DS$7:DS$106,$AF16),1),IF($AG16&gt;0,INDEX(DS$7:DS$106,$AG16),1),IF($AH16&gt;0,INDEX(DS$7:DS$106,$AH16),1),IF($AI16&gt;0,INDEX(DS$7:DS$106,$AI16),1),IF($AJ16&gt;0,INDEX(DS$7:DS$106,$AJ16),1))))</ns0:f>
        <ns0:v>1</ns0:v>
      </ns0:c>
      <ns0:c r="DU16" t="n">
        <ns0:f>IF($A16="",1,IF(DT16=1,1,--AND(IF($AC16&gt;0,INDEX(DT$7:DT$106,$AC16),1),IF($AD16&gt;0,INDEX(DT$7:DT$106,$AD16),1),IF($AE16&gt;0,INDEX(DT$7:DT$106,$AE16),1),IF($AF16&gt;0,INDEX(DT$7:DT$106,$AF16),1),IF($AG16&gt;0,INDEX(DT$7:DT$106,$AG16),1),IF($AH16&gt;0,INDEX(DT$7:DT$106,$AH16),1),IF($AI16&gt;0,INDEX(DT$7:DT$106,$AI16),1),IF($AJ16&gt;0,INDEX(DT$7:DT$106,$AJ16),1))))</ns0:f>
        <ns0:v>1</ns0:v>
      </ns0:c>
      <ns0:c r="DV16" t="n">
        <ns0:f>IF($A16="",1,IF(DU16=1,1,--AND(IF($AC16&gt;0,INDEX(DU$7:DU$106,$AC16),1),IF($AD16&gt;0,INDEX(DU$7:DU$106,$AD16),1),IF($AE16&gt;0,INDEX(DU$7:DU$106,$AE16),1),IF($AF16&gt;0,INDEX(DU$7:DU$106,$AF16),1),IF($AG16&gt;0,INDEX(DU$7:DU$106,$AG16),1),IF($AH16&gt;0,INDEX(DU$7:DU$106,$AH16),1),IF($AI16&gt;0,INDEX(DU$7:DU$106,$AI16),1),IF($AJ16&gt;0,INDEX(DU$7:DU$106,$AJ16),1))))</ns0:f>
        <ns0:v>1</ns0:v>
      </ns0:c>
      <ns0:c r="DW16" t="n">
        <ns0:f>IF($A16="",1,IF(DV16=1,1,--AND(IF($AC16&gt;0,INDEX(DV$7:DV$106,$AC16),1),IF($AD16&gt;0,INDEX(DV$7:DV$106,$AD16),1),IF($AE16&gt;0,INDEX(DV$7:DV$106,$AE16),1),IF($AF16&gt;0,INDEX(DV$7:DV$106,$AF16),1),IF($AG16&gt;0,INDEX(DV$7:DV$106,$AG16),1),IF($AH16&gt;0,INDEX(DV$7:DV$106,$AH16),1),IF($AI16&gt;0,INDEX(DV$7:DV$106,$AI16),1),IF($AJ16&gt;0,INDEX(DV$7:DV$106,$AJ16),1))))</ns0:f>
        <ns0:v>1</ns0:v>
      </ns0:c>
      <ns0:c r="DX16" t="n">
        <ns0:f>IF($A16="",1,IF(DW16=1,1,--AND(IF($AC16&gt;0,INDEX(DW$7:DW$106,$AC16),1),IF($AD16&gt;0,INDEX(DW$7:DW$106,$AD16),1),IF($AE16&gt;0,INDEX(DW$7:DW$106,$AE16),1),IF($AF16&gt;0,INDEX(DW$7:DW$106,$AF16),1),IF($AG16&gt;0,INDEX(DW$7:DW$106,$AG16),1),IF($AH16&gt;0,INDEX(DW$7:DW$106,$AH16),1),IF($AI16&gt;0,INDEX(DW$7:DW$106,$AI16),1),IF($AJ16&gt;0,INDEX(DW$7:DW$106,$AJ16),1))))</ns0:f>
        <ns0:v>1</ns0:v>
      </ns0:c>
      <ns0:c r="DY16" t="n">
        <ns0:f>IF($A16="",1,IF(DX16=1,1,--AND(IF($AC16&gt;0,INDEX(DX$7:DX$106,$AC16),1),IF($AD16&gt;0,INDEX(DX$7:DX$106,$AD16),1),IF($AE16&gt;0,INDEX(DX$7:DX$106,$AE16),1),IF($AF16&gt;0,INDEX(DX$7:DX$106,$AF16),1),IF($AG16&gt;0,INDEX(DX$7:DX$106,$AG16),1),IF($AH16&gt;0,INDEX(DX$7:DX$106,$AH16),1),IF($AI16&gt;0,INDEX(DX$7:DX$106,$AI16),1),IF($AJ16&gt;0,INDEX(DX$7:DX$106,$AJ16),1))))</ns0:f>
        <ns0:v>1</ns0:v>
      </ns0:c>
      <ns0:c r="DZ16" t="n">
        <ns0:f>IF($A16="",1,IF(DY16=1,1,--AND(IF($AC16&gt;0,INDEX(DY$7:DY$106,$AC16),1),IF($AD16&gt;0,INDEX(DY$7:DY$106,$AD16),1),IF($AE16&gt;0,INDEX(DY$7:DY$106,$AE16),1),IF($AF16&gt;0,INDEX(DY$7:DY$106,$AF16),1),IF($AG16&gt;0,INDEX(DY$7:DY$106,$AG16),1),IF($AH16&gt;0,INDEX(DY$7:DY$106,$AH16),1),IF($AI16&gt;0,INDEX(DY$7:DY$106,$AI16),1),IF($AJ16&gt;0,INDEX(DY$7:DY$106,$AJ16),1))))</ns0:f>
        <ns0:v>1</ns0:v>
      </ns0:c>
      <ns0:c r="EA16" t="n">
        <ns0:f>IF($A16="",1,IF(DZ16=1,1,--AND(IF($AC16&gt;0,INDEX(DZ$7:DZ$106,$AC16),1),IF($AD16&gt;0,INDEX(DZ$7:DZ$106,$AD16),1),IF($AE16&gt;0,INDEX(DZ$7:DZ$106,$AE16),1),IF($AF16&gt;0,INDEX(DZ$7:DZ$106,$AF16),1),IF($AG16&gt;0,INDEX(DZ$7:DZ$106,$AG16),1),IF($AH16&gt;0,INDEX(DZ$7:DZ$106,$AH16),1),IF($AI16&gt;0,INDEX(DZ$7:DZ$106,$AI16),1),IF($AJ16&gt;0,INDEX(DZ$7:DZ$106,$AJ16),1))))</ns0:f>
        <ns0:v>1</ns0:v>
      </ns0:c>
      <ns0:c r="EB16" t="n">
        <ns0:f>IF($A16="",1,IF(EA16=1,1,--AND(IF($AC16&gt;0,INDEX(EA$7:EA$106,$AC16),1),IF($AD16&gt;0,INDEX(EA$7:EA$106,$AD16),1),IF($AE16&gt;0,INDEX(EA$7:EA$106,$AE16),1),IF($AF16&gt;0,INDEX(EA$7:EA$106,$AF16),1),IF($AG16&gt;0,INDEX(EA$7:EA$106,$AG16),1),IF($AH16&gt;0,INDEX(EA$7:EA$106,$AH16),1),IF($AI16&gt;0,INDEX(EA$7:EA$106,$AI16),1),IF($AJ16&gt;0,INDEX(EA$7:EA$106,$AJ16),1))))</ns0:f>
        <ns0:v>1</ns0:v>
      </ns0:c>
      <ns0:c r="EC16" t="n">
        <ns0:f>IF($A16="",1,IF(EB16=1,1,--AND(IF($AC16&gt;0,INDEX(EB$7:EB$106,$AC16),1),IF($AD16&gt;0,INDEX(EB$7:EB$106,$AD16),1),IF($AE16&gt;0,INDEX(EB$7:EB$106,$AE16),1),IF($AF16&gt;0,INDEX(EB$7:EB$106,$AF16),1),IF($AG16&gt;0,INDEX(EB$7:EB$106,$AG16),1),IF($AH16&gt;0,INDEX(EB$7:EB$106,$AH16),1),IF($AI16&gt;0,INDEX(EB$7:EB$106,$AI16),1),IF($AJ16&gt;0,INDEX(EB$7:EB$106,$AJ16),1))))</ns0:f>
        <ns0:v>1</ns0:v>
      </ns0:c>
      <ns0:c r="ED16" t="n">
        <ns0:f>IF($A16="",1,IF(EC16=1,1,--AND(IF($AC16&gt;0,INDEX(EC$7:EC$106,$AC16),1),IF($AD16&gt;0,INDEX(EC$7:EC$106,$AD16),1),IF($AE16&gt;0,INDEX(EC$7:EC$106,$AE16),1),IF($AF16&gt;0,INDEX(EC$7:EC$106,$AF16),1),IF($AG16&gt;0,INDEX(EC$7:EC$106,$AG16),1),IF($AH16&gt;0,INDEX(EC$7:EC$106,$AH16),1),IF($AI16&gt;0,INDEX(EC$7:EC$106,$AI16),1),IF($AJ16&gt;0,INDEX(EC$7:EC$106,$AJ16),1))))</ns0:f>
        <ns0:v>1</ns0:v>
      </ns0:c>
      <ns0:c r="EE16" t="n">
        <ns0:f>IF($A16="",1,IF(ED16=1,1,--AND(IF($AC16&gt;0,INDEX(ED$7:ED$106,$AC16),1),IF($AD16&gt;0,INDEX(ED$7:ED$106,$AD16),1),IF($AE16&gt;0,INDEX(ED$7:ED$106,$AE16),1),IF($AF16&gt;0,INDEX(ED$7:ED$106,$AF16),1),IF($AG16&gt;0,INDEX(ED$7:ED$106,$AG16),1),IF($AH16&gt;0,INDEX(ED$7:ED$106,$AH16),1),IF($AI16&gt;0,INDEX(ED$7:ED$106,$AI16),1),IF($AJ16&gt;0,INDEX(ED$7:ED$106,$AJ16),1))))</ns0:f>
        <ns0:v>1</ns0:v>
      </ns0:c>
      <ns0:c r="EF16" t="n">
        <ns0:f>IF($A16="",1,IF(EE16=1,1,--AND(IF($AC16&gt;0,INDEX(EE$7:EE$106,$AC16),1),IF($AD16&gt;0,INDEX(EE$7:EE$106,$AD16),1),IF($AE16&gt;0,INDEX(EE$7:EE$106,$AE16),1),IF($AF16&gt;0,INDEX(EE$7:EE$106,$AF16),1),IF($AG16&gt;0,INDEX(EE$7:EE$106,$AG16),1),IF($AH16&gt;0,INDEX(EE$7:EE$106,$AH16),1),IF($AI16&gt;0,INDEX(EE$7:EE$106,$AI16),1),IF($AJ16&gt;0,INDEX(EE$7:EE$106,$AJ16),1))))</ns0:f>
        <ns0:v>1</ns0:v>
      </ns0:c>
      <ns0:c r="EG16" t="n">
        <ns0:f>IF($A16="",1,IF(EF16=1,1,--AND(IF($AC16&gt;0,INDEX(EF$7:EF$106,$AC16),1),IF($AD16&gt;0,INDEX(EF$7:EF$106,$AD16),1),IF($AE16&gt;0,INDEX(EF$7:EF$106,$AE16),1),IF($AF16&gt;0,INDEX(EF$7:EF$106,$AF16),1),IF($AG16&gt;0,INDEX(EF$7:EF$106,$AG16),1),IF($AH16&gt;0,INDEX(EF$7:EF$106,$AH16),1),IF($AI16&gt;0,INDEX(EF$7:EF$106,$AI16),1),IF($AJ16&gt;0,INDEX(EF$7:EF$106,$AJ16),1))))</ns0:f>
        <ns0:v>1</ns0:v>
      </ns0:c>
      <ns0:c r="EH16" t="n">
        <ns0:f>IF($A16="",1,IF(EG16=1,1,--AND(IF($AC16&gt;0,INDEX(EG$7:EG$106,$AC16),1),IF($AD16&gt;0,INDEX(EG$7:EG$106,$AD16),1),IF($AE16&gt;0,INDEX(EG$7:EG$106,$AE16),1),IF($AF16&gt;0,INDEX(EG$7:EG$106,$AF16),1),IF($AG16&gt;0,INDEX(EG$7:EG$106,$AG16),1),IF($AH16&gt;0,INDEX(EG$7:EG$106,$AH16),1),IF($AI16&gt;0,INDEX(EG$7:EG$106,$AI16),1),IF($AJ16&gt;0,INDEX(EG$7:EG$106,$AJ16),1))))</ns0:f>
        <ns0:v>1</ns0:v>
      </ns0:c>
      <ns0:c r="EI16" t="n">
        <ns0:f>IF($A16="",1,IF(EH16=1,1,--AND(IF($AC16&gt;0,INDEX(EH$7:EH$106,$AC16),1),IF($AD16&gt;0,INDEX(EH$7:EH$106,$AD16),1),IF($AE16&gt;0,INDEX(EH$7:EH$106,$AE16),1),IF($AF16&gt;0,INDEX(EH$7:EH$106,$AF16),1),IF($AG16&gt;0,INDEX(EH$7:EH$106,$AG16),1),IF($AH16&gt;0,INDEX(EH$7:EH$106,$AH16),1),IF($AI16&gt;0,INDEX(EH$7:EH$106,$AI16),1),IF($AJ16&gt;0,INDEX(EH$7:EH$106,$AJ16),1))))</ns0:f>
        <ns0:v>1</ns0:v>
      </ns0:c>
      <ns0:c r="EJ16" t="n">
        <ns0:f>IF($A16="",1,IF(EI16=1,1,--AND(IF($AC16&gt;0,INDEX(EI$7:EI$106,$AC16),1),IF($AD16&gt;0,INDEX(EI$7:EI$106,$AD16),1),IF($AE16&gt;0,INDEX(EI$7:EI$106,$AE16),1),IF($AF16&gt;0,INDEX(EI$7:EI$106,$AF16),1),IF($AG16&gt;0,INDEX(EI$7:EI$106,$AG16),1),IF($AH16&gt;0,INDEX(EI$7:EI$106,$AH16),1),IF($AI16&gt;0,INDEX(EI$7:EI$106,$AI16),1),IF($AJ16&gt;0,INDEX(EI$7:EI$106,$AJ16),1))))</ns0:f>
        <ns0:v>1</ns0:v>
      </ns0:c>
      <ns0:c r="EK16" t="n">
        <ns0:f>IF($A16="",1,IF(EJ16=1,1,--AND(IF($AC16&gt;0,INDEX(EJ$7:EJ$106,$AC16),1),IF($AD16&gt;0,INDEX(EJ$7:EJ$106,$AD16),1),IF($AE16&gt;0,INDEX(EJ$7:EJ$106,$AE16),1),IF($AF16&gt;0,INDEX(EJ$7:EJ$106,$AF16),1),IF($AG16&gt;0,INDEX(EJ$7:EJ$106,$AG16),1),IF($AH16&gt;0,INDEX(EJ$7:EJ$106,$AH16),1),IF($AI16&gt;0,INDEX(EJ$7:EJ$106,$AI16),1),IF($AJ16&gt;0,INDEX(EJ$7:EJ$106,$AJ16),1))))</ns0:f>
        <ns0:v>1</ns0:v>
      </ns0:c>
      <ns0:c r="EL16" t="n">
        <ns0:f>IF($A16="",1,IF(EK16=1,1,--AND(IF($AC16&gt;0,INDEX(EK$7:EK$106,$AC16),1),IF($AD16&gt;0,INDEX(EK$7:EK$106,$AD16),1),IF($AE16&gt;0,INDEX(EK$7:EK$106,$AE16),1),IF($AF16&gt;0,INDEX(EK$7:EK$106,$AF16),1),IF($AG16&gt;0,INDEX(EK$7:EK$106,$AG16),1),IF($AH16&gt;0,INDEX(EK$7:EK$106,$AH16),1),IF($AI16&gt;0,INDEX(EK$7:EK$106,$AI16),1),IF($AJ16&gt;0,INDEX(EK$7:EK$106,$AJ16),1))))</ns0:f>
        <ns0:v>1</ns0:v>
      </ns0:c>
      <ns0:c r="EM16" t="n">
        <ns0:f>IF($A16="",1,IF(EL16=1,1,--AND(IF($AC16&gt;0,INDEX(EL$7:EL$106,$AC16),1),IF($AD16&gt;0,INDEX(EL$7:EL$106,$AD16),1),IF($AE16&gt;0,INDEX(EL$7:EL$106,$AE16),1),IF($AF16&gt;0,INDEX(EL$7:EL$106,$AF16),1),IF($AG16&gt;0,INDEX(EL$7:EL$106,$AG16),1),IF($AH16&gt;0,INDEX(EL$7:EL$106,$AH16),1),IF($AI16&gt;0,INDEX(EL$7:EL$106,$AI16),1),IF($AJ16&gt;0,INDEX(EL$7:EL$106,$AJ16),1))))</ns0:f>
        <ns0:v>1</ns0:v>
      </ns0:c>
      <ns0:c r="EN16" t="n">
        <ns0:f>IF($A16="",1,IF(EM16=1,1,--AND(IF($AC16&gt;0,INDEX(EM$7:EM$106,$AC16),1),IF($AD16&gt;0,INDEX(EM$7:EM$106,$AD16),1),IF($AE16&gt;0,INDEX(EM$7:EM$106,$AE16),1),IF($AF16&gt;0,INDEX(EM$7:EM$106,$AF16),1),IF($AG16&gt;0,INDEX(EM$7:EM$106,$AG16),1),IF($AH16&gt;0,INDEX(EM$7:EM$106,$AH16),1),IF($AI16&gt;0,INDEX(EM$7:EM$106,$AI16),1),IF($AJ16&gt;0,INDEX(EM$7:EM$106,$AJ16),1))))</ns0:f>
        <ns0:v>1</ns0:v>
      </ns0:c>
      <ns0:c r="EO16" t="n">
        <ns0:f>IF($A16="",1,IF(EN16=1,1,--AND(IF($AC16&gt;0,INDEX(EN$7:EN$106,$AC16),1),IF($AD16&gt;0,INDEX(EN$7:EN$106,$AD16),1),IF($AE16&gt;0,INDEX(EN$7:EN$106,$AE16),1),IF($AF16&gt;0,INDEX(EN$7:EN$106,$AF16),1),IF($AG16&gt;0,INDEX(EN$7:EN$106,$AG16),1),IF($AH16&gt;0,INDEX(EN$7:EN$106,$AH16),1),IF($AI16&gt;0,INDEX(EN$7:EN$106,$AI16),1),IF($AJ16&gt;0,INDEX(EN$7:EN$106,$AJ16),1))))</ns0:f>
        <ns0:v>1</ns0:v>
      </ns0:c>
      <ns0:c r="EP16" t="n">
        <ns0:f>IF($A16="",1,IF(EO16=1,1,--AND(IF($AC16&gt;0,INDEX(EO$7:EO$106,$AC16),1),IF($AD16&gt;0,INDEX(EO$7:EO$106,$AD16),1),IF($AE16&gt;0,INDEX(EO$7:EO$106,$AE16),1),IF($AF16&gt;0,INDEX(EO$7:EO$106,$AF16),1),IF($AG16&gt;0,INDEX(EO$7:EO$106,$AG16),1),IF($AH16&gt;0,INDEX(EO$7:EO$106,$AH16),1),IF($AI16&gt;0,INDEX(EO$7:EO$106,$AI16),1),IF($AJ16&gt;0,INDEX(EO$7:EO$106,$AJ16),1))))</ns0:f>
        <ns0:v>1</ns0:v>
      </ns0:c>
      <ns0:c r="EQ16" t="n">
        <ns0:f>IF(OR(A16="",NOT(ISNUMBER(G16))),0,G16*N16)</ns0:f>
        <ns0:v>0</ns0:v>
      </ns0:c>
    </ns0:row>
    <ns0:row r="17" ht="62" customHeight="1">
      <ns0:c r="A17" s="48" t="str">
        <ns0:v>T10</ns0:v>
      </ns0:c>
      <ns0:c r="B17" s="48" t="str">
        <ns0:v>Data &amp; storage</ns0:v>
      </ns0:c>
      <ns0:c r="C17" s="48" t="str">
        <ns0:v>Configure Agentic RAG Controller with tenant isolation &amp; freshness gates</ns0:v>
      </ns0:c>
      <ns0:c r="D17" s="48" t="str">
        <ns0:v>Enforce tenant-scoped retrieval, freshness and provenance through IE.</ns0:v>
      </ns0:c>
      <ns0:c r="E17" s="49" t="n">
        <ns0:v>46283</ns0:v>
      </ns0:c>
      <ns0:c r="F17" s="49" t="n">
        <ns0:v>46283</ns0:v>
      </ns0:c>
      <ns0:c r="G17" s="13" t="n">
        <ns0:f>IF(A17="","",IF(OR(NOT(ISNUMBER(E17)),NOT(ISNUMBER(F17)),F17&lt;E17),"",IF(J17="Yes",0,F17-E17+1)))</ns0:f>
        <ns0:v>1</ns0:v>
      </ns0:c>
      <ns0:c r="H17" s="48" t="str">
        <ns0:v>T03,T09</ns0:v>
      </ns0:c>
      <ns0:c r="I17" s="48" t="str">
        <ns0:v>FS</ns0:v>
      </ns0:c>
      <ns0:c r="J17" s="48" t="str">
        <ns0:v>No</ns0:v>
      </ns0:c>
      <ns0:c r="K17" s="48" t="str">
        <ns0:v>Agentic RAG Controller</ns0:v>
      </ns0:c>
      <ns0:c r="L17" s="48" t="str"/>
      <ns0:c r="M17" s="50" t="str">
        <ns0:f>IF(A17="","",IF(N17=1,"Completed",IF(N17&gt;0,"In Progress","Not Started")))</ns0:f>
        <ns0:v>Not Started</ns0:v>
      </ns0:c>
      <ns0:c r="N17" s="51" t="n">
        <ns0:v>0</ns0:v>
      </ns0:c>
      <ns0:c r="O17" s="13" t="str">
        <ns0:f>IF(A17="","",IF(R17&lt;&gt;"","[CONFLICT] "&amp;R17,IF(S17&lt;&gt;"","[CONFLICT] "&amp;S17,IF(OR(NOT(ISNUMBER(N17)),N17&lt;0,N17&gt;1),"[CONFLICT] Invalid progress",IF(AK17&gt;0,"[DEPENDENCY ISSUE] Missing ID / &gt;8 links",IF(AM17&gt;0,"[DEPENDENCY ISSUE] Cycle or blocked by cycle",IF(AND(H17&lt;&gt;"",ISNA(MATCH(I17,{"FS","SS","FF","SF"},0))),"[DEPENDENCY ISSUE] Invalid type",IF(AL17&gt;0,"[DEPENDENCY ISSUE] Timing conflict",IF(OR(E17&lt;ProjectStart,F17&gt;ProjectEnd),"[OUTSIDE WINDOW]",IF(AND(N17&lt;1,F17&lt;AsOfDate),"Overdue",IF(AND(M17&lt;&gt;Q17,M17&lt;&gt;""),"[CONFLICT] Status / progress","On track")))))))))))</ns0:f>
        <ns0:v>On track</ns0:v>
      </ns0:c>
      <ns0:c r="P17" s="52" t="str">
        <ns0:v>Source: Project Plan Essentials (2).md §1, §2, §4. Original 2026-09-18 to 2026-09-19, 2d; original progress 100% [INFERRED]. [INFERRED] Rescheduled to fit 34d with FS. Duration reduced to 1d. Original resource/tools: Agentic RAG Controller.</ns0:v>
      </ns0:c>
      <ns0:c r="Q17" t="str">
        <ns0:f>IF(A17="","",IF(OR(M17="On Hold",M17="Delayed"),M17,IF(N17=1,"Completed",IF(N17&gt;0,"In Progress","Not Started"))))</ns0:f>
        <ns0:v>Not Started</ns0:v>
      </ns0:c>
      <ns0:c r="R17" t="str">
        <ns0:f>IF(A17="","",IF(COUNTIFS(Tasks[Task ID],A17)&lt;&gt;1,"Duplicate ID",""))</ns0:f>
      </ns0:c>
      <ns0:c r="S17" t="str">
        <ns0:f>IF(A17="","",IF(OR(NOT(ISNUMBER(E17)),NOT(ISNUMBER(F17))),"Invalid / missing date",IF(OR(E17&lt;&gt;INT(E17),F17&lt;&gt;INT(F17),E17&lt;1,F17&gt;2958465),"Invalid date",IF(F17&lt;E17,"End before start",IF(AND(J17="Yes",E17&lt;&gt;F17),"Milestone needs one date","")))))</ns0:f>
      </ns0:c>
      <ns0:c r="T17" t="n">
        <ns0:f>IF(H17="",0,LEN(H17)-LEN(SUBSTITUTE(H17,",",""))+1)</ns0:f>
        <ns0:v>2</ns0:v>
      </ns0:c>
      <ns0:c r="U17" t="str">
        <ns0:f>TRIM(MID(SUBSTITUTE($H17,",",REPT(" ",100)),1,100))</ns0:f>
        <ns0:v>T03</ns0:v>
      </ns0:c>
      <ns0:c r="V17" t="str">
        <ns0:f>TRIM(MID(SUBSTITUTE($H17,",",REPT(" ",100)),101,100))</ns0:f>
        <ns0:v>T09</ns0:v>
      </ns0:c>
      <ns0:c r="W17" t="str">
        <ns0:f>TRIM(MID(SUBSTITUTE($H17,",",REPT(" ",100)),201,100))</ns0:f>
      </ns0:c>
      <ns0:c r="X17" t="str">
        <ns0:f>TRIM(MID(SUBSTITUTE($H17,",",REPT(" ",100)),301,100))</ns0:f>
      </ns0:c>
      <ns0:c r="Y17" t="str">
        <ns0:f>TRIM(MID(SUBSTITUTE($H17,",",REPT(" ",100)),401,100))</ns0:f>
      </ns0:c>
      <ns0:c r="Z17" t="str">
        <ns0:f>TRIM(MID(SUBSTITUTE($H17,",",REPT(" ",100)),501,100))</ns0:f>
      </ns0:c>
      <ns0:c r="AA17" t="str">
        <ns0:f>TRIM(MID(SUBSTITUTE($H17,",",REPT(" ",100)),601,100))</ns0:f>
      </ns0:c>
      <ns0:c r="AB17" t="str">
        <ns0:f>TRIM(MID(SUBSTITUTE($H17,",",REPT(" ",100)),701,100))</ns0:f>
      </ns0:c>
      <ns0:c r="AC17" t="n">
        <ns0:f>IF(U17="",0,IF(COUNTIFS(Tasks[Task ID],U17)=1,MATCH(U17,Tasks[Task ID],0),-1))</ns0:f>
        <ns0:v>3</ns0:v>
      </ns0:c>
      <ns0:c r="AD17" t="n">
        <ns0:f>IF(V17="",0,IF(COUNTIFS(Tasks[Task ID],V17)=1,MATCH(V17,Tasks[Task ID],0),-1))</ns0:f>
        <ns0:v>10</ns0:v>
      </ns0:c>
      <ns0:c r="AE17" t="n">
        <ns0:f>IF(W17="",0,IF(COUNTIFS(Tasks[Task ID],W17)=1,MATCH(W17,Tasks[Task ID],0),-1))</ns0:f>
        <ns0:v>0</ns0:v>
      </ns0:c>
      <ns0:c r="AF17" t="n">
        <ns0:f>IF(X17="",0,IF(COUNTIFS(Tasks[Task ID],X17)=1,MATCH(X17,Tasks[Task ID],0),-1))</ns0:f>
        <ns0:v>0</ns0:v>
      </ns0:c>
      <ns0:c r="AG17" t="n">
        <ns0:f>IF(Y17="",0,IF(COUNTIFS(Tasks[Task ID],Y17)=1,MATCH(Y17,Tasks[Task ID],0),-1))</ns0:f>
        <ns0:v>0</ns0:v>
      </ns0:c>
      <ns0:c r="AH17" t="n">
        <ns0:f>IF(Z17="",0,IF(COUNTIFS(Tasks[Task ID],Z17)=1,MATCH(Z17,Tasks[Task ID],0),-1))</ns0:f>
        <ns0:v>0</ns0:v>
      </ns0:c>
      <ns0:c r="AI17" t="n">
        <ns0:f>IF(AA17="",0,IF(COUNTIFS(Tasks[Task ID],AA17)=1,MATCH(AA17,Tasks[Task ID],0),-1))</ns0:f>
        <ns0:v>0</ns0:v>
      </ns0:c>
      <ns0:c r="AJ17" t="n">
        <ns0:f>IF(AB17="",0,IF(COUNTIFS(Tasks[Task ID],AB17)=1,MATCH(AB17,Tasks[Task ID],0),-1))</ns0:f>
        <ns0:v>0</ns0:v>
      </ns0:c>
      <ns0:c r="AK17" t="n">
        <ns0:f>COUNTIFS(AC17:AJ17,-1)+IF(T17&gt;8,1,0)</ns0:f>
        <ns0:v>0</ns0:v>
      </ns0:c>
      <ns0:c r="AL17" t="n">
        <ns0:f>IF(OR(A17="",S17&lt;&gt;""),0,SUM(IF(AC17&gt;0,IF($I17="FS",--($E17&lt;INDEX(Tasks[End Date],AC17)+IF(INDEX(Tasks[Milestone],AC17)="Yes",0,1)),IF($I17="SS",--($E17&lt;INDEX(Tasks[Start Date],AC17)),IF($I17="FF",--($F17&lt;INDEX(Tasks[End Date],AC17)),IF($I17="SF",--($F17&lt;INDEX(Tasks[Start Date],AC17)),0)))),0),IF(AD17&gt;0,IF($I17="FS",--($E17&lt;INDEX(Tasks[End Date],AD17)+IF(INDEX(Tasks[Milestone],AD17)="Yes",0,1)),IF($I17="SS",--($E17&lt;INDEX(Tasks[Start Date],AD17)),IF($I17="FF",--($F17&lt;INDEX(Tasks[End Date],AD17)),IF($I17="SF",--($F17&lt;INDEX(Tasks[Start Date],AD17)),0)))),0),IF(AE17&gt;0,IF($I17="FS",--($E17&lt;INDEX(Tasks[End Date],AE17)+IF(INDEX(Tasks[Milestone],AE17)="Yes",0,1)),IF($I17="SS",--($E17&lt;INDEX(Tasks[Start Date],AE17)),IF($I17="FF",--($F17&lt;INDEX(Tasks[End Date],AE17)),IF($I17="SF",--($F17&lt;INDEX(Tasks[Start Date],AE17)),0)))),0),IF(AF17&gt;0,IF($I17="FS",--($E17&lt;INDEX(Tasks[End Date],AF17)+IF(INDEX(Tasks[Milestone],AF17)="Yes",0,1)),IF($I17="SS",--($E17&lt;INDEX(Tasks[Start Date],AF17)),IF($I17="FF",--($F17&lt;INDEX(Tasks[End Date],AF17)),IF($I17="SF",--($F17&lt;INDEX(Tasks[Start Date],AF17)),0)))),0),IF(AG17&gt;0,IF($I17="FS",--($E17&lt;INDEX(Tasks[End Date],AG17)+IF(INDEX(Tasks[Milestone],AG17)="Yes",0,1)),IF($I17="SS",--($E17&lt;INDEX(Tasks[Start Date],AG17)),IF($I17="FF",--($F17&lt;INDEX(Tasks[End Date],AG17)),IF($I17="SF",--($F17&lt;INDEX(Tasks[Start Date],AG17)),0)))),0),IF(AH17&gt;0,IF($I17="FS",--($E17&lt;INDEX(Tasks[End Date],AH17)+IF(INDEX(Tasks[Milestone],AH17)="Yes",0,1)),IF($I17="SS",--($E17&lt;INDEX(Tasks[Start Date],AH17)),IF($I17="FF",--($F17&lt;INDEX(Tasks[End Date],AH17)),IF($I17="SF",--($F17&lt;INDEX(Tasks[Start Date],AH17)),0)))),0),IF(AI17&gt;0,IF($I17="FS",--($E17&lt;INDEX(Tasks[End Date],AI17)+IF(INDEX(Tasks[Milestone],AI17)="Yes",0,1)),IF($I17="SS",--($E17&lt;INDEX(Tasks[Start Date],AI17)),IF($I17="FF",--($F17&lt;INDEX(Tasks[End Date],AI17)),IF($I17="SF",--($F17&lt;INDEX(Tasks[Start Date],AI17)),0)))),0),IF(AJ17&gt;0,IF($I17="FS",--($E17&lt;INDEX(Tasks[End Date],AJ17)+IF(INDEX(Tasks[Milestone],AJ17)="Yes",0,1)),IF($I17="SS",--($E17&lt;INDEX(Tasks[Start Date],AJ17)),IF($I17="FF",--($F17&lt;INDEX(Tasks[End Date],AJ17)),IF($I17="SF",--($F17&lt;INDEX(Tasks[Start Date],AJ17)),0)))),0)))</ns0:f>
        <ns0:v>0</ns0:v>
      </ns0:c>
      <ns0:c r="AM17" t="n">
        <ns0:f>IF(AND(A17&lt;&gt;"",AK17=0,EP17=0),1,0)</ns0:f>
        <ns0:v>0</ns0:v>
      </ns0:c>
      <ns0:c r="AN17" t="str">
        <ns0:f>IF(OR(A17="",B17=""),"",IF(COUNTIFS($B$7:B17,B17)=1,MAX($AN$6:AN16)+1,""))</ns0:f>
      </ns0:c>
      <ns0:c r="AO17" t="n">
        <ns0:f>IF(AND(A17&lt;&gt;"",J17="No",N17&lt;1,E17&gt;=AsOfDate),E17+ROW()/10000,1E+9)</ns0:f>
        <ns0:v>46283.0017</ns0:v>
      </ns0:c>
      <ns0:c r="AP17" t="n">
        <ns0:f>IF(AND(A17&lt;&gt;"",J17="Yes",N17&lt;1,E17&gt;=AsOfDate),E17+ROW()/10000,1E+9)</ns0:f>
        <ns0:v>1000000000</ns0:v>
      </ns0:c>
      <ns0:c r="AQ17" t="n">
        <ns0:f>IF(AND(A17&lt;&gt;"",J17="No",N17&lt;1,F17&gt;=AsOfDate,F17&lt;=AsOfDate+7),F17+ROW()/10000,1E+9)</ns0:f>
        <ns0:v>1000000000</ns0:v>
      </ns0:c>
      <ns0:c r="AR17" t="n">
        <ns0:f>IF(AND(A17&lt;&gt;"",OR(O17&lt;&gt;"On track",Q17="Delayed")),ROW(),1E+9)</ns0:f>
        <ns0:v>1000000000</ns0:v>
      </ns0:c>
      <ns0:c r="AS17" t="str">
        <ns0:f>IF(A17="","",";"&amp;K17&amp;";")</ns0:f>
        <ns0:v>;Agentic RAG Controller;</ns0:v>
      </ns0:c>
      <ns0:c r="AT17" t="n">
        <ns0:f>IF(A17="",1,--(T17=0))</ns0:f>
        <ns0:v>0</ns0:v>
      </ns0:c>
      <ns0:c r="AU17" t="n">
        <ns0:f>IF($A17="",1,IF(AT17=1,1,--AND(IF($AC17&gt;0,INDEX(AT$7:AT$106,$AC17),1),IF($AD17&gt;0,INDEX(AT$7:AT$106,$AD17),1),IF($AE17&gt;0,INDEX(AT$7:AT$106,$AE17),1),IF($AF17&gt;0,INDEX(AT$7:AT$106,$AF17),1),IF($AG17&gt;0,INDEX(AT$7:AT$106,$AG17),1),IF($AH17&gt;0,INDEX(AT$7:AT$106,$AH17),1),IF($AI17&gt;0,INDEX(AT$7:AT$106,$AI17),1),IF($AJ17&gt;0,INDEX(AT$7:AT$106,$AJ17),1))))</ns0:f>
        <ns0:v>0</ns0:v>
      </ns0:c>
      <ns0:c r="AV17" t="n">
        <ns0:f>IF($A17="",1,IF(AU17=1,1,--AND(IF($AC17&gt;0,INDEX(AU$7:AU$106,$AC17),1),IF($AD17&gt;0,INDEX(AU$7:AU$106,$AD17),1),IF($AE17&gt;0,INDEX(AU$7:AU$106,$AE17),1),IF($AF17&gt;0,INDEX(AU$7:AU$106,$AF17),1),IF($AG17&gt;0,INDEX(AU$7:AU$106,$AG17),1),IF($AH17&gt;0,INDEX(AU$7:AU$106,$AH17),1),IF($AI17&gt;0,INDEX(AU$7:AU$106,$AI17),1),IF($AJ17&gt;0,INDEX(AU$7:AU$106,$AJ17),1))))</ns0:f>
        <ns0:v>0</ns0:v>
      </ns0:c>
      <ns0:c r="AW17" t="n">
        <ns0:f>IF($A17="",1,IF(AV17=1,1,--AND(IF($AC17&gt;0,INDEX(AV$7:AV$106,$AC17),1),IF($AD17&gt;0,INDEX(AV$7:AV$106,$AD17),1),IF($AE17&gt;0,INDEX(AV$7:AV$106,$AE17),1),IF($AF17&gt;0,INDEX(AV$7:AV$106,$AF17),1),IF($AG17&gt;0,INDEX(AV$7:AV$106,$AG17),1),IF($AH17&gt;0,INDEX(AV$7:AV$106,$AH17),1),IF($AI17&gt;0,INDEX(AV$7:AV$106,$AI17),1),IF($AJ17&gt;0,INDEX(AV$7:AV$106,$AJ17),1))))</ns0:f>
        <ns0:v>0</ns0:v>
      </ns0:c>
      <ns0:c r="AX17" t="n">
        <ns0:f>IF($A17="",1,IF(AW17=1,1,--AND(IF($AC17&gt;0,INDEX(AW$7:AW$106,$AC17),1),IF($AD17&gt;0,INDEX(AW$7:AW$106,$AD17),1),IF($AE17&gt;0,INDEX(AW$7:AW$106,$AE17),1),IF($AF17&gt;0,INDEX(AW$7:AW$106,$AF17),1),IF($AG17&gt;0,INDEX(AW$7:AW$106,$AG17),1),IF($AH17&gt;0,INDEX(AW$7:AW$106,$AH17),1),IF($AI17&gt;0,INDEX(AW$7:AW$106,$AI17),1),IF($AJ17&gt;0,INDEX(AW$7:AW$106,$AJ17),1))))</ns0:f>
        <ns0:v>1</ns0:v>
      </ns0:c>
      <ns0:c r="AY17" t="n">
        <ns0:f>IF($A17="",1,IF(AX17=1,1,--AND(IF($AC17&gt;0,INDEX(AX$7:AX$106,$AC17),1),IF($AD17&gt;0,INDEX(AX$7:AX$106,$AD17),1),IF($AE17&gt;0,INDEX(AX$7:AX$106,$AE17),1),IF($AF17&gt;0,INDEX(AX$7:AX$106,$AF17),1),IF($AG17&gt;0,INDEX(AX$7:AX$106,$AG17),1),IF($AH17&gt;0,INDEX(AX$7:AX$106,$AH17),1),IF($AI17&gt;0,INDEX(AX$7:AX$106,$AI17),1),IF($AJ17&gt;0,INDEX(AX$7:AX$106,$AJ17),1))))</ns0:f>
        <ns0:v>1</ns0:v>
      </ns0:c>
      <ns0:c r="AZ17" t="n">
        <ns0:f>IF($A17="",1,IF(AY17=1,1,--AND(IF($AC17&gt;0,INDEX(AY$7:AY$106,$AC17),1),IF($AD17&gt;0,INDEX(AY$7:AY$106,$AD17),1),IF($AE17&gt;0,INDEX(AY$7:AY$106,$AE17),1),IF($AF17&gt;0,INDEX(AY$7:AY$106,$AF17),1),IF($AG17&gt;0,INDEX(AY$7:AY$106,$AG17),1),IF($AH17&gt;0,INDEX(AY$7:AY$106,$AH17),1),IF($AI17&gt;0,INDEX(AY$7:AY$106,$AI17),1),IF($AJ17&gt;0,INDEX(AY$7:AY$106,$AJ17),1))))</ns0:f>
        <ns0:v>1</ns0:v>
      </ns0:c>
      <ns0:c r="BA17" t="n">
        <ns0:f>IF($A17="",1,IF(AZ17=1,1,--AND(IF($AC17&gt;0,INDEX(AZ$7:AZ$106,$AC17),1),IF($AD17&gt;0,INDEX(AZ$7:AZ$106,$AD17),1),IF($AE17&gt;0,INDEX(AZ$7:AZ$106,$AE17),1),IF($AF17&gt;0,INDEX(AZ$7:AZ$106,$AF17),1),IF($AG17&gt;0,INDEX(AZ$7:AZ$106,$AG17),1),IF($AH17&gt;0,INDEX(AZ$7:AZ$106,$AH17),1),IF($AI17&gt;0,INDEX(AZ$7:AZ$106,$AI17),1),IF($AJ17&gt;0,INDEX(AZ$7:AZ$106,$AJ17),1))))</ns0:f>
        <ns0:v>1</ns0:v>
      </ns0:c>
      <ns0:c r="BB17" t="n">
        <ns0:f>IF($A17="",1,IF(BA17=1,1,--AND(IF($AC17&gt;0,INDEX(BA$7:BA$106,$AC17),1),IF($AD17&gt;0,INDEX(BA$7:BA$106,$AD17),1),IF($AE17&gt;0,INDEX(BA$7:BA$106,$AE17),1),IF($AF17&gt;0,INDEX(BA$7:BA$106,$AF17),1),IF($AG17&gt;0,INDEX(BA$7:BA$106,$AG17),1),IF($AH17&gt;0,INDEX(BA$7:BA$106,$AH17),1),IF($AI17&gt;0,INDEX(BA$7:BA$106,$AI17),1),IF($AJ17&gt;0,INDEX(BA$7:BA$106,$AJ17),1))))</ns0:f>
        <ns0:v>1</ns0:v>
      </ns0:c>
      <ns0:c r="BC17" t="n">
        <ns0:f>IF($A17="",1,IF(BB17=1,1,--AND(IF($AC17&gt;0,INDEX(BB$7:BB$106,$AC17),1),IF($AD17&gt;0,INDEX(BB$7:BB$106,$AD17),1),IF($AE17&gt;0,INDEX(BB$7:BB$106,$AE17),1),IF($AF17&gt;0,INDEX(BB$7:BB$106,$AF17),1),IF($AG17&gt;0,INDEX(BB$7:BB$106,$AG17),1),IF($AH17&gt;0,INDEX(BB$7:BB$106,$AH17),1),IF($AI17&gt;0,INDEX(BB$7:BB$106,$AI17),1),IF($AJ17&gt;0,INDEX(BB$7:BB$106,$AJ17),1))))</ns0:f>
        <ns0:v>1</ns0:v>
      </ns0:c>
      <ns0:c r="BD17" t="n">
        <ns0:f>IF($A17="",1,IF(BC17=1,1,--AND(IF($AC17&gt;0,INDEX(BC$7:BC$106,$AC17),1),IF($AD17&gt;0,INDEX(BC$7:BC$106,$AD17),1),IF($AE17&gt;0,INDEX(BC$7:BC$106,$AE17),1),IF($AF17&gt;0,INDEX(BC$7:BC$106,$AF17),1),IF($AG17&gt;0,INDEX(BC$7:BC$106,$AG17),1),IF($AH17&gt;0,INDEX(BC$7:BC$106,$AH17),1),IF($AI17&gt;0,INDEX(BC$7:BC$106,$AI17),1),IF($AJ17&gt;0,INDEX(BC$7:BC$106,$AJ17),1))))</ns0:f>
        <ns0:v>1</ns0:v>
      </ns0:c>
      <ns0:c r="BE17" t="n">
        <ns0:f>IF($A17="",1,IF(BD17=1,1,--AND(IF($AC17&gt;0,INDEX(BD$7:BD$106,$AC17),1),IF($AD17&gt;0,INDEX(BD$7:BD$106,$AD17),1),IF($AE17&gt;0,INDEX(BD$7:BD$106,$AE17),1),IF($AF17&gt;0,INDEX(BD$7:BD$106,$AF17),1),IF($AG17&gt;0,INDEX(BD$7:BD$106,$AG17),1),IF($AH17&gt;0,INDEX(BD$7:BD$106,$AH17),1),IF($AI17&gt;0,INDEX(BD$7:BD$106,$AI17),1),IF($AJ17&gt;0,INDEX(BD$7:BD$106,$AJ17),1))))</ns0:f>
        <ns0:v>1</ns0:v>
      </ns0:c>
      <ns0:c r="BF17" t="n">
        <ns0:f>IF($A17="",1,IF(BE17=1,1,--AND(IF($AC17&gt;0,INDEX(BE$7:BE$106,$AC17),1),IF($AD17&gt;0,INDEX(BE$7:BE$106,$AD17),1),IF($AE17&gt;0,INDEX(BE$7:BE$106,$AE17),1),IF($AF17&gt;0,INDEX(BE$7:BE$106,$AF17),1),IF($AG17&gt;0,INDEX(BE$7:BE$106,$AG17),1),IF($AH17&gt;0,INDEX(BE$7:BE$106,$AH17),1),IF($AI17&gt;0,INDEX(BE$7:BE$106,$AI17),1),IF($AJ17&gt;0,INDEX(BE$7:BE$106,$AJ17),1))))</ns0:f>
        <ns0:v>1</ns0:v>
      </ns0:c>
      <ns0:c r="BG17" t="n">
        <ns0:f>IF($A17="",1,IF(BF17=1,1,--AND(IF($AC17&gt;0,INDEX(BF$7:BF$106,$AC17),1),IF($AD17&gt;0,INDEX(BF$7:BF$106,$AD17),1),IF($AE17&gt;0,INDEX(BF$7:BF$106,$AE17),1),IF($AF17&gt;0,INDEX(BF$7:BF$106,$AF17),1),IF($AG17&gt;0,INDEX(BF$7:BF$106,$AG17),1),IF($AH17&gt;0,INDEX(BF$7:BF$106,$AH17),1),IF($AI17&gt;0,INDEX(BF$7:BF$106,$AI17),1),IF($AJ17&gt;0,INDEX(BF$7:BF$106,$AJ17),1))))</ns0:f>
        <ns0:v>1</ns0:v>
      </ns0:c>
      <ns0:c r="BH17" t="n">
        <ns0:f>IF($A17="",1,IF(BG17=1,1,--AND(IF($AC17&gt;0,INDEX(BG$7:BG$106,$AC17),1),IF($AD17&gt;0,INDEX(BG$7:BG$106,$AD17),1),IF($AE17&gt;0,INDEX(BG$7:BG$106,$AE17),1),IF($AF17&gt;0,INDEX(BG$7:BG$106,$AF17),1),IF($AG17&gt;0,INDEX(BG$7:BG$106,$AG17),1),IF($AH17&gt;0,INDEX(BG$7:BG$106,$AH17),1),IF($AI17&gt;0,INDEX(BG$7:BG$106,$AI17),1),IF($AJ17&gt;0,INDEX(BG$7:BG$106,$AJ17),1))))</ns0:f>
        <ns0:v>1</ns0:v>
      </ns0:c>
      <ns0:c r="BI17" t="n">
        <ns0:f>IF($A17="",1,IF(BH17=1,1,--AND(IF($AC17&gt;0,INDEX(BH$7:BH$106,$AC17),1),IF($AD17&gt;0,INDEX(BH$7:BH$106,$AD17),1),IF($AE17&gt;0,INDEX(BH$7:BH$106,$AE17),1),IF($AF17&gt;0,INDEX(BH$7:BH$106,$AF17),1),IF($AG17&gt;0,INDEX(BH$7:BH$106,$AG17),1),IF($AH17&gt;0,INDEX(BH$7:BH$106,$AH17),1),IF($AI17&gt;0,INDEX(BH$7:BH$106,$AI17),1),IF($AJ17&gt;0,INDEX(BH$7:BH$106,$AJ17),1))))</ns0:f>
        <ns0:v>1</ns0:v>
      </ns0:c>
      <ns0:c r="BJ17" t="n">
        <ns0:f>IF($A17="",1,IF(BI17=1,1,--AND(IF($AC17&gt;0,INDEX(BI$7:BI$106,$AC17),1),IF($AD17&gt;0,INDEX(BI$7:BI$106,$AD17),1),IF($AE17&gt;0,INDEX(BI$7:BI$106,$AE17),1),IF($AF17&gt;0,INDEX(BI$7:BI$106,$AF17),1),IF($AG17&gt;0,INDEX(BI$7:BI$106,$AG17),1),IF($AH17&gt;0,INDEX(BI$7:BI$106,$AH17),1),IF($AI17&gt;0,INDEX(BI$7:BI$106,$AI17),1),IF($AJ17&gt;0,INDEX(BI$7:BI$106,$AJ17),1))))</ns0:f>
        <ns0:v>1</ns0:v>
      </ns0:c>
      <ns0:c r="BK17" t="n">
        <ns0:f>IF($A17="",1,IF(BJ17=1,1,--AND(IF($AC17&gt;0,INDEX(BJ$7:BJ$106,$AC17),1),IF($AD17&gt;0,INDEX(BJ$7:BJ$106,$AD17),1),IF($AE17&gt;0,INDEX(BJ$7:BJ$106,$AE17),1),IF($AF17&gt;0,INDEX(BJ$7:BJ$106,$AF17),1),IF($AG17&gt;0,INDEX(BJ$7:BJ$106,$AG17),1),IF($AH17&gt;0,INDEX(BJ$7:BJ$106,$AH17),1),IF($AI17&gt;0,INDEX(BJ$7:BJ$106,$AI17),1),IF($AJ17&gt;0,INDEX(BJ$7:BJ$106,$AJ17),1))))</ns0:f>
        <ns0:v>1</ns0:v>
      </ns0:c>
      <ns0:c r="BL17" t="n">
        <ns0:f>IF($A17="",1,IF(BK17=1,1,--AND(IF($AC17&gt;0,INDEX(BK$7:BK$106,$AC17),1),IF($AD17&gt;0,INDEX(BK$7:BK$106,$AD17),1),IF($AE17&gt;0,INDEX(BK$7:BK$106,$AE17),1),IF($AF17&gt;0,INDEX(BK$7:BK$106,$AF17),1),IF($AG17&gt;0,INDEX(BK$7:BK$106,$AG17),1),IF($AH17&gt;0,INDEX(BK$7:BK$106,$AH17),1),IF($AI17&gt;0,INDEX(BK$7:BK$106,$AI17),1),IF($AJ17&gt;0,INDEX(BK$7:BK$106,$AJ17),1))))</ns0:f>
        <ns0:v>1</ns0:v>
      </ns0:c>
      <ns0:c r="BM17" t="n">
        <ns0:f>IF($A17="",1,IF(BL17=1,1,--AND(IF($AC17&gt;0,INDEX(BL$7:BL$106,$AC17),1),IF($AD17&gt;0,INDEX(BL$7:BL$106,$AD17),1),IF($AE17&gt;0,INDEX(BL$7:BL$106,$AE17),1),IF($AF17&gt;0,INDEX(BL$7:BL$106,$AF17),1),IF($AG17&gt;0,INDEX(BL$7:BL$106,$AG17),1),IF($AH17&gt;0,INDEX(BL$7:BL$106,$AH17),1),IF($AI17&gt;0,INDEX(BL$7:BL$106,$AI17),1),IF($AJ17&gt;0,INDEX(BL$7:BL$106,$AJ17),1))))</ns0:f>
        <ns0:v>1</ns0:v>
      </ns0:c>
      <ns0:c r="BN17" t="n">
        <ns0:f>IF($A17="",1,IF(BM17=1,1,--AND(IF($AC17&gt;0,INDEX(BM$7:BM$106,$AC17),1),IF($AD17&gt;0,INDEX(BM$7:BM$106,$AD17),1),IF($AE17&gt;0,INDEX(BM$7:BM$106,$AE17),1),IF($AF17&gt;0,INDEX(BM$7:BM$106,$AF17),1),IF($AG17&gt;0,INDEX(BM$7:BM$106,$AG17),1),IF($AH17&gt;0,INDEX(BM$7:BM$106,$AH17),1),IF($AI17&gt;0,INDEX(BM$7:BM$106,$AI17),1),IF($AJ17&gt;0,INDEX(BM$7:BM$106,$AJ17),1))))</ns0:f>
        <ns0:v>1</ns0:v>
      </ns0:c>
      <ns0:c r="BO17" t="n">
        <ns0:f>IF($A17="",1,IF(BN17=1,1,--AND(IF($AC17&gt;0,INDEX(BN$7:BN$106,$AC17),1),IF($AD17&gt;0,INDEX(BN$7:BN$106,$AD17),1),IF($AE17&gt;0,INDEX(BN$7:BN$106,$AE17),1),IF($AF17&gt;0,INDEX(BN$7:BN$106,$AF17),1),IF($AG17&gt;0,INDEX(BN$7:BN$106,$AG17),1),IF($AH17&gt;0,INDEX(BN$7:BN$106,$AH17),1),IF($AI17&gt;0,INDEX(BN$7:BN$106,$AI17),1),IF($AJ17&gt;0,INDEX(BN$7:BN$106,$AJ17),1))))</ns0:f>
        <ns0:v>1</ns0:v>
      </ns0:c>
      <ns0:c r="BP17" t="n">
        <ns0:f>IF($A17="",1,IF(BO17=1,1,--AND(IF($AC17&gt;0,INDEX(BO$7:BO$106,$AC17),1),IF($AD17&gt;0,INDEX(BO$7:BO$106,$AD17),1),IF($AE17&gt;0,INDEX(BO$7:BO$106,$AE17),1),IF($AF17&gt;0,INDEX(BO$7:BO$106,$AF17),1),IF($AG17&gt;0,INDEX(BO$7:BO$106,$AG17),1),IF($AH17&gt;0,INDEX(BO$7:BO$106,$AH17),1),IF($AI17&gt;0,INDEX(BO$7:BO$106,$AI17),1),IF($AJ17&gt;0,INDEX(BO$7:BO$106,$AJ17),1))))</ns0:f>
        <ns0:v>1</ns0:v>
      </ns0:c>
      <ns0:c r="BQ17" t="n">
        <ns0:f>IF($A17="",1,IF(BP17=1,1,--AND(IF($AC17&gt;0,INDEX(BP$7:BP$106,$AC17),1),IF($AD17&gt;0,INDEX(BP$7:BP$106,$AD17),1),IF($AE17&gt;0,INDEX(BP$7:BP$106,$AE17),1),IF($AF17&gt;0,INDEX(BP$7:BP$106,$AF17),1),IF($AG17&gt;0,INDEX(BP$7:BP$106,$AG17),1),IF($AH17&gt;0,INDEX(BP$7:BP$106,$AH17),1),IF($AI17&gt;0,INDEX(BP$7:BP$106,$AI17),1),IF($AJ17&gt;0,INDEX(BP$7:BP$106,$AJ17),1))))</ns0:f>
        <ns0:v>1</ns0:v>
      </ns0:c>
      <ns0:c r="BR17" t="n">
        <ns0:f>IF($A17="",1,IF(BQ17=1,1,--AND(IF($AC17&gt;0,INDEX(BQ$7:BQ$106,$AC17),1),IF($AD17&gt;0,INDEX(BQ$7:BQ$106,$AD17),1),IF($AE17&gt;0,INDEX(BQ$7:BQ$106,$AE17),1),IF($AF17&gt;0,INDEX(BQ$7:BQ$106,$AF17),1),IF($AG17&gt;0,INDEX(BQ$7:BQ$106,$AG17),1),IF($AH17&gt;0,INDEX(BQ$7:BQ$106,$AH17),1),IF($AI17&gt;0,INDEX(BQ$7:BQ$106,$AI17),1),IF($AJ17&gt;0,INDEX(BQ$7:BQ$106,$AJ17),1))))</ns0:f>
        <ns0:v>1</ns0:v>
      </ns0:c>
      <ns0:c r="BS17" t="n">
        <ns0:f>IF($A17="",1,IF(BR17=1,1,--AND(IF($AC17&gt;0,INDEX(BR$7:BR$106,$AC17),1),IF($AD17&gt;0,INDEX(BR$7:BR$106,$AD17),1),IF($AE17&gt;0,INDEX(BR$7:BR$106,$AE17),1),IF($AF17&gt;0,INDEX(BR$7:BR$106,$AF17),1),IF($AG17&gt;0,INDEX(BR$7:BR$106,$AG17),1),IF($AH17&gt;0,INDEX(BR$7:BR$106,$AH17),1),IF($AI17&gt;0,INDEX(BR$7:BR$106,$AI17),1),IF($AJ17&gt;0,INDEX(BR$7:BR$106,$AJ17),1))))</ns0:f>
        <ns0:v>1</ns0:v>
      </ns0:c>
      <ns0:c r="BT17" t="n">
        <ns0:f>IF($A17="",1,IF(BS17=1,1,--AND(IF($AC17&gt;0,INDEX(BS$7:BS$106,$AC17),1),IF($AD17&gt;0,INDEX(BS$7:BS$106,$AD17),1),IF($AE17&gt;0,INDEX(BS$7:BS$106,$AE17),1),IF($AF17&gt;0,INDEX(BS$7:BS$106,$AF17),1),IF($AG17&gt;0,INDEX(BS$7:BS$106,$AG17),1),IF($AH17&gt;0,INDEX(BS$7:BS$106,$AH17),1),IF($AI17&gt;0,INDEX(BS$7:BS$106,$AI17),1),IF($AJ17&gt;0,INDEX(BS$7:BS$106,$AJ17),1))))</ns0:f>
        <ns0:v>1</ns0:v>
      </ns0:c>
      <ns0:c r="BU17" t="n">
        <ns0:f>IF($A17="",1,IF(BT17=1,1,--AND(IF($AC17&gt;0,INDEX(BT$7:BT$106,$AC17),1),IF($AD17&gt;0,INDEX(BT$7:BT$106,$AD17),1),IF($AE17&gt;0,INDEX(BT$7:BT$106,$AE17),1),IF($AF17&gt;0,INDEX(BT$7:BT$106,$AF17),1),IF($AG17&gt;0,INDEX(BT$7:BT$106,$AG17),1),IF($AH17&gt;0,INDEX(BT$7:BT$106,$AH17),1),IF($AI17&gt;0,INDEX(BT$7:BT$106,$AI17),1),IF($AJ17&gt;0,INDEX(BT$7:BT$106,$AJ17),1))))</ns0:f>
        <ns0:v>1</ns0:v>
      </ns0:c>
      <ns0:c r="BV17" t="n">
        <ns0:f>IF($A17="",1,IF(BU17=1,1,--AND(IF($AC17&gt;0,INDEX(BU$7:BU$106,$AC17),1),IF($AD17&gt;0,INDEX(BU$7:BU$106,$AD17),1),IF($AE17&gt;0,INDEX(BU$7:BU$106,$AE17),1),IF($AF17&gt;0,INDEX(BU$7:BU$106,$AF17),1),IF($AG17&gt;0,INDEX(BU$7:BU$106,$AG17),1),IF($AH17&gt;0,INDEX(BU$7:BU$106,$AH17),1),IF($AI17&gt;0,INDEX(BU$7:BU$106,$AI17),1),IF($AJ17&gt;0,INDEX(BU$7:BU$106,$AJ17),1))))</ns0:f>
        <ns0:v>1</ns0:v>
      </ns0:c>
      <ns0:c r="BW17" t="n">
        <ns0:f>IF($A17="",1,IF(BV17=1,1,--AND(IF($AC17&gt;0,INDEX(BV$7:BV$106,$AC17),1),IF($AD17&gt;0,INDEX(BV$7:BV$106,$AD17),1),IF($AE17&gt;0,INDEX(BV$7:BV$106,$AE17),1),IF($AF17&gt;0,INDEX(BV$7:BV$106,$AF17),1),IF($AG17&gt;0,INDEX(BV$7:BV$106,$AG17),1),IF($AH17&gt;0,INDEX(BV$7:BV$106,$AH17),1),IF($AI17&gt;0,INDEX(BV$7:BV$106,$AI17),1),IF($AJ17&gt;0,INDEX(BV$7:BV$106,$AJ17),1))))</ns0:f>
        <ns0:v>1</ns0:v>
      </ns0:c>
      <ns0:c r="BX17" t="n">
        <ns0:f>IF($A17="",1,IF(BW17=1,1,--AND(IF($AC17&gt;0,INDEX(BW$7:BW$106,$AC17),1),IF($AD17&gt;0,INDEX(BW$7:BW$106,$AD17),1),IF($AE17&gt;0,INDEX(BW$7:BW$106,$AE17),1),IF($AF17&gt;0,INDEX(BW$7:BW$106,$AF17),1),IF($AG17&gt;0,INDEX(BW$7:BW$106,$AG17),1),IF($AH17&gt;0,INDEX(BW$7:BW$106,$AH17),1),IF($AI17&gt;0,INDEX(BW$7:BW$106,$AI17),1),IF($AJ17&gt;0,INDEX(BW$7:BW$106,$AJ17),1))))</ns0:f>
        <ns0:v>1</ns0:v>
      </ns0:c>
      <ns0:c r="BY17" t="n">
        <ns0:f>IF($A17="",1,IF(BX17=1,1,--AND(IF($AC17&gt;0,INDEX(BX$7:BX$106,$AC17),1),IF($AD17&gt;0,INDEX(BX$7:BX$106,$AD17),1),IF($AE17&gt;0,INDEX(BX$7:BX$106,$AE17),1),IF($AF17&gt;0,INDEX(BX$7:BX$106,$AF17),1),IF($AG17&gt;0,INDEX(BX$7:BX$106,$AG17),1),IF($AH17&gt;0,INDEX(BX$7:BX$106,$AH17),1),IF($AI17&gt;0,INDEX(BX$7:BX$106,$AI17),1),IF($AJ17&gt;0,INDEX(BX$7:BX$106,$AJ17),1))))</ns0:f>
        <ns0:v>1</ns0:v>
      </ns0:c>
      <ns0:c r="BZ17" t="n">
        <ns0:f>IF($A17="",1,IF(BY17=1,1,--AND(IF($AC17&gt;0,INDEX(BY$7:BY$106,$AC17),1),IF($AD17&gt;0,INDEX(BY$7:BY$106,$AD17),1),IF($AE17&gt;0,INDEX(BY$7:BY$106,$AE17),1),IF($AF17&gt;0,INDEX(BY$7:BY$106,$AF17),1),IF($AG17&gt;0,INDEX(BY$7:BY$106,$AG17),1),IF($AH17&gt;0,INDEX(BY$7:BY$106,$AH17),1),IF($AI17&gt;0,INDEX(BY$7:BY$106,$AI17),1),IF($AJ17&gt;0,INDEX(BY$7:BY$106,$AJ17),1))))</ns0:f>
        <ns0:v>1</ns0:v>
      </ns0:c>
      <ns0:c r="CA17" t="n">
        <ns0:f>IF($A17="",1,IF(BZ17=1,1,--AND(IF($AC17&gt;0,INDEX(BZ$7:BZ$106,$AC17),1),IF($AD17&gt;0,INDEX(BZ$7:BZ$106,$AD17),1),IF($AE17&gt;0,INDEX(BZ$7:BZ$106,$AE17),1),IF($AF17&gt;0,INDEX(BZ$7:BZ$106,$AF17),1),IF($AG17&gt;0,INDEX(BZ$7:BZ$106,$AG17),1),IF($AH17&gt;0,INDEX(BZ$7:BZ$106,$AH17),1),IF($AI17&gt;0,INDEX(BZ$7:BZ$106,$AI17),1),IF($AJ17&gt;0,INDEX(BZ$7:BZ$106,$AJ17),1))))</ns0:f>
        <ns0:v>1</ns0:v>
      </ns0:c>
      <ns0:c r="CB17" t="n">
        <ns0:f>IF($A17="",1,IF(CA17=1,1,--AND(IF($AC17&gt;0,INDEX(CA$7:CA$106,$AC17),1),IF($AD17&gt;0,INDEX(CA$7:CA$106,$AD17),1),IF($AE17&gt;0,INDEX(CA$7:CA$106,$AE17),1),IF($AF17&gt;0,INDEX(CA$7:CA$106,$AF17),1),IF($AG17&gt;0,INDEX(CA$7:CA$106,$AG17),1),IF($AH17&gt;0,INDEX(CA$7:CA$106,$AH17),1),IF($AI17&gt;0,INDEX(CA$7:CA$106,$AI17),1),IF($AJ17&gt;0,INDEX(CA$7:CA$106,$AJ17),1))))</ns0:f>
        <ns0:v>1</ns0:v>
      </ns0:c>
      <ns0:c r="CC17" t="n">
        <ns0:f>IF($A17="",1,IF(CB17=1,1,--AND(IF($AC17&gt;0,INDEX(CB$7:CB$106,$AC17),1),IF($AD17&gt;0,INDEX(CB$7:CB$106,$AD17),1),IF($AE17&gt;0,INDEX(CB$7:CB$106,$AE17),1),IF($AF17&gt;0,INDEX(CB$7:CB$106,$AF17),1),IF($AG17&gt;0,INDEX(CB$7:CB$106,$AG17),1),IF($AH17&gt;0,INDEX(CB$7:CB$106,$AH17),1),IF($AI17&gt;0,INDEX(CB$7:CB$106,$AI17),1),IF($AJ17&gt;0,INDEX(CB$7:CB$106,$AJ17),1))))</ns0:f>
        <ns0:v>1</ns0:v>
      </ns0:c>
      <ns0:c r="CD17" t="n">
        <ns0:f>IF($A17="",1,IF(CC17=1,1,--AND(IF($AC17&gt;0,INDEX(CC$7:CC$106,$AC17),1),IF($AD17&gt;0,INDEX(CC$7:CC$106,$AD17),1),IF($AE17&gt;0,INDEX(CC$7:CC$106,$AE17),1),IF($AF17&gt;0,INDEX(CC$7:CC$106,$AF17),1),IF($AG17&gt;0,INDEX(CC$7:CC$106,$AG17),1),IF($AH17&gt;0,INDEX(CC$7:CC$106,$AH17),1),IF($AI17&gt;0,INDEX(CC$7:CC$106,$AI17),1),IF($AJ17&gt;0,INDEX(CC$7:CC$106,$AJ17),1))))</ns0:f>
        <ns0:v>1</ns0:v>
      </ns0:c>
      <ns0:c r="CE17" t="n">
        <ns0:f>IF($A17="",1,IF(CD17=1,1,--AND(IF($AC17&gt;0,INDEX(CD$7:CD$106,$AC17),1),IF($AD17&gt;0,INDEX(CD$7:CD$106,$AD17),1),IF($AE17&gt;0,INDEX(CD$7:CD$106,$AE17),1),IF($AF17&gt;0,INDEX(CD$7:CD$106,$AF17),1),IF($AG17&gt;0,INDEX(CD$7:CD$106,$AG17),1),IF($AH17&gt;0,INDEX(CD$7:CD$106,$AH17),1),IF($AI17&gt;0,INDEX(CD$7:CD$106,$AI17),1),IF($AJ17&gt;0,INDEX(CD$7:CD$106,$AJ17),1))))</ns0:f>
        <ns0:v>1</ns0:v>
      </ns0:c>
      <ns0:c r="CF17" t="n">
        <ns0:f>IF($A17="",1,IF(CE17=1,1,--AND(IF($AC17&gt;0,INDEX(CE$7:CE$106,$AC17),1),IF($AD17&gt;0,INDEX(CE$7:CE$106,$AD17),1),IF($AE17&gt;0,INDEX(CE$7:CE$106,$AE17),1),IF($AF17&gt;0,INDEX(CE$7:CE$106,$AF17),1),IF($AG17&gt;0,INDEX(CE$7:CE$106,$AG17),1),IF($AH17&gt;0,INDEX(CE$7:CE$106,$AH17),1),IF($AI17&gt;0,INDEX(CE$7:CE$106,$AI17),1),IF($AJ17&gt;0,INDEX(CE$7:CE$106,$AJ17),1))))</ns0:f>
        <ns0:v>1</ns0:v>
      </ns0:c>
      <ns0:c r="CG17" t="n">
        <ns0:f>IF($A17="",1,IF(CF17=1,1,--AND(IF($AC17&gt;0,INDEX(CF$7:CF$106,$AC17),1),IF($AD17&gt;0,INDEX(CF$7:CF$106,$AD17),1),IF($AE17&gt;0,INDEX(CF$7:CF$106,$AE17),1),IF($AF17&gt;0,INDEX(CF$7:CF$106,$AF17),1),IF($AG17&gt;0,INDEX(CF$7:CF$106,$AG17),1),IF($AH17&gt;0,INDEX(CF$7:CF$106,$AH17),1),IF($AI17&gt;0,INDEX(CF$7:CF$106,$AI17),1),IF($AJ17&gt;0,INDEX(CF$7:CF$106,$AJ17),1))))</ns0:f>
        <ns0:v>1</ns0:v>
      </ns0:c>
      <ns0:c r="CH17" t="n">
        <ns0:f>IF($A17="",1,IF(CG17=1,1,--AND(IF($AC17&gt;0,INDEX(CG$7:CG$106,$AC17),1),IF($AD17&gt;0,INDEX(CG$7:CG$106,$AD17),1),IF($AE17&gt;0,INDEX(CG$7:CG$106,$AE17),1),IF($AF17&gt;0,INDEX(CG$7:CG$106,$AF17),1),IF($AG17&gt;0,INDEX(CG$7:CG$106,$AG17),1),IF($AH17&gt;0,INDEX(CG$7:CG$106,$AH17),1),IF($AI17&gt;0,INDEX(CG$7:CG$106,$AI17),1),IF($AJ17&gt;0,INDEX(CG$7:CG$106,$AJ17),1))))</ns0:f>
        <ns0:v>1</ns0:v>
      </ns0:c>
      <ns0:c r="CI17" t="n">
        <ns0:f>IF($A17="",1,IF(CH17=1,1,--AND(IF($AC17&gt;0,INDEX(CH$7:CH$106,$AC17),1),IF($AD17&gt;0,INDEX(CH$7:CH$106,$AD17),1),IF($AE17&gt;0,INDEX(CH$7:CH$106,$AE17),1),IF($AF17&gt;0,INDEX(CH$7:CH$106,$AF17),1),IF($AG17&gt;0,INDEX(CH$7:CH$106,$AG17),1),IF($AH17&gt;0,INDEX(CH$7:CH$106,$AH17),1),IF($AI17&gt;0,INDEX(CH$7:CH$106,$AI17),1),IF($AJ17&gt;0,INDEX(CH$7:CH$106,$AJ17),1))))</ns0:f>
        <ns0:v>1</ns0:v>
      </ns0:c>
      <ns0:c r="CJ17" t="n">
        <ns0:f>IF($A17="",1,IF(CI17=1,1,--AND(IF($AC17&gt;0,INDEX(CI$7:CI$106,$AC17),1),IF($AD17&gt;0,INDEX(CI$7:CI$106,$AD17),1),IF($AE17&gt;0,INDEX(CI$7:CI$106,$AE17),1),IF($AF17&gt;0,INDEX(CI$7:CI$106,$AF17),1),IF($AG17&gt;0,INDEX(CI$7:CI$106,$AG17),1),IF($AH17&gt;0,INDEX(CI$7:CI$106,$AH17),1),IF($AI17&gt;0,INDEX(CI$7:CI$106,$AI17),1),IF($AJ17&gt;0,INDEX(CI$7:CI$106,$AJ17),1))))</ns0:f>
        <ns0:v>1</ns0:v>
      </ns0:c>
      <ns0:c r="CK17" t="n">
        <ns0:f>IF($A17="",1,IF(CJ17=1,1,--AND(IF($AC17&gt;0,INDEX(CJ$7:CJ$106,$AC17),1),IF($AD17&gt;0,INDEX(CJ$7:CJ$106,$AD17),1),IF($AE17&gt;0,INDEX(CJ$7:CJ$106,$AE17),1),IF($AF17&gt;0,INDEX(CJ$7:CJ$106,$AF17),1),IF($AG17&gt;0,INDEX(CJ$7:CJ$106,$AG17),1),IF($AH17&gt;0,INDEX(CJ$7:CJ$106,$AH17),1),IF($AI17&gt;0,INDEX(CJ$7:CJ$106,$AI17),1),IF($AJ17&gt;0,INDEX(CJ$7:CJ$106,$AJ17),1))))</ns0:f>
        <ns0:v>1</ns0:v>
      </ns0:c>
      <ns0:c r="CL17" t="n">
        <ns0:f>IF($A17="",1,IF(CK17=1,1,--AND(IF($AC17&gt;0,INDEX(CK$7:CK$106,$AC17),1),IF($AD17&gt;0,INDEX(CK$7:CK$106,$AD17),1),IF($AE17&gt;0,INDEX(CK$7:CK$106,$AE17),1),IF($AF17&gt;0,INDEX(CK$7:CK$106,$AF17),1),IF($AG17&gt;0,INDEX(CK$7:CK$106,$AG17),1),IF($AH17&gt;0,INDEX(CK$7:CK$106,$AH17),1),IF($AI17&gt;0,INDEX(CK$7:CK$106,$AI17),1),IF($AJ17&gt;0,INDEX(CK$7:CK$106,$AJ17),1))))</ns0:f>
        <ns0:v>1</ns0:v>
      </ns0:c>
      <ns0:c r="CM17" t="n">
        <ns0:f>IF($A17="",1,IF(CL17=1,1,--AND(IF($AC17&gt;0,INDEX(CL$7:CL$106,$AC17),1),IF($AD17&gt;0,INDEX(CL$7:CL$106,$AD17),1),IF($AE17&gt;0,INDEX(CL$7:CL$106,$AE17),1),IF($AF17&gt;0,INDEX(CL$7:CL$106,$AF17),1),IF($AG17&gt;0,INDEX(CL$7:CL$106,$AG17),1),IF($AH17&gt;0,INDEX(CL$7:CL$106,$AH17),1),IF($AI17&gt;0,INDEX(CL$7:CL$106,$AI17),1),IF($AJ17&gt;0,INDEX(CL$7:CL$106,$AJ17),1))))</ns0:f>
        <ns0:v>1</ns0:v>
      </ns0:c>
      <ns0:c r="CN17" t="n">
        <ns0:f>IF($A17="",1,IF(CM17=1,1,--AND(IF($AC17&gt;0,INDEX(CM$7:CM$106,$AC17),1),IF($AD17&gt;0,INDEX(CM$7:CM$106,$AD17),1),IF($AE17&gt;0,INDEX(CM$7:CM$106,$AE17),1),IF($AF17&gt;0,INDEX(CM$7:CM$106,$AF17),1),IF($AG17&gt;0,INDEX(CM$7:CM$106,$AG17),1),IF($AH17&gt;0,INDEX(CM$7:CM$106,$AH17),1),IF($AI17&gt;0,INDEX(CM$7:CM$106,$AI17),1),IF($AJ17&gt;0,INDEX(CM$7:CM$106,$AJ17),1))))</ns0:f>
        <ns0:v>1</ns0:v>
      </ns0:c>
      <ns0:c r="CO17" t="n">
        <ns0:f>IF($A17="",1,IF(CN17=1,1,--AND(IF($AC17&gt;0,INDEX(CN$7:CN$106,$AC17),1),IF($AD17&gt;0,INDEX(CN$7:CN$106,$AD17),1),IF($AE17&gt;0,INDEX(CN$7:CN$106,$AE17),1),IF($AF17&gt;0,INDEX(CN$7:CN$106,$AF17),1),IF($AG17&gt;0,INDEX(CN$7:CN$106,$AG17),1),IF($AH17&gt;0,INDEX(CN$7:CN$106,$AH17),1),IF($AI17&gt;0,INDEX(CN$7:CN$106,$AI17),1),IF($AJ17&gt;0,INDEX(CN$7:CN$106,$AJ17),1))))</ns0:f>
        <ns0:v>1</ns0:v>
      </ns0:c>
      <ns0:c r="CP17" t="n">
        <ns0:f>IF($A17="",1,IF(CO17=1,1,--AND(IF($AC17&gt;0,INDEX(CO$7:CO$106,$AC17),1),IF($AD17&gt;0,INDEX(CO$7:CO$106,$AD17),1),IF($AE17&gt;0,INDEX(CO$7:CO$106,$AE17),1),IF($AF17&gt;0,INDEX(CO$7:CO$106,$AF17),1),IF($AG17&gt;0,INDEX(CO$7:CO$106,$AG17),1),IF($AH17&gt;0,INDEX(CO$7:CO$106,$AH17),1),IF($AI17&gt;0,INDEX(CO$7:CO$106,$AI17),1),IF($AJ17&gt;0,INDEX(CO$7:CO$106,$AJ17),1))))</ns0:f>
        <ns0:v>1</ns0:v>
      </ns0:c>
      <ns0:c r="CQ17" t="n">
        <ns0:f>IF($A17="",1,IF(CP17=1,1,--AND(IF($AC17&gt;0,INDEX(CP$7:CP$106,$AC17),1),IF($AD17&gt;0,INDEX(CP$7:CP$106,$AD17),1),IF($AE17&gt;0,INDEX(CP$7:CP$106,$AE17),1),IF($AF17&gt;0,INDEX(CP$7:CP$106,$AF17),1),IF($AG17&gt;0,INDEX(CP$7:CP$106,$AG17),1),IF($AH17&gt;0,INDEX(CP$7:CP$106,$AH17),1),IF($AI17&gt;0,INDEX(CP$7:CP$106,$AI17),1),IF($AJ17&gt;0,INDEX(CP$7:CP$106,$AJ17),1))))</ns0:f>
        <ns0:v>1</ns0:v>
      </ns0:c>
      <ns0:c r="CR17" t="n">
        <ns0:f>IF($A17="",1,IF(CQ17=1,1,--AND(IF($AC17&gt;0,INDEX(CQ$7:CQ$106,$AC17),1),IF($AD17&gt;0,INDEX(CQ$7:CQ$106,$AD17),1),IF($AE17&gt;0,INDEX(CQ$7:CQ$106,$AE17),1),IF($AF17&gt;0,INDEX(CQ$7:CQ$106,$AF17),1),IF($AG17&gt;0,INDEX(CQ$7:CQ$106,$AG17),1),IF($AH17&gt;0,INDEX(CQ$7:CQ$106,$AH17),1),IF($AI17&gt;0,INDEX(CQ$7:CQ$106,$AI17),1),IF($AJ17&gt;0,INDEX(CQ$7:CQ$106,$AJ17),1))))</ns0:f>
        <ns0:v>1</ns0:v>
      </ns0:c>
      <ns0:c r="CS17" t="n">
        <ns0:f>IF($A17="",1,IF(CR17=1,1,--AND(IF($AC17&gt;0,INDEX(CR$7:CR$106,$AC17),1),IF($AD17&gt;0,INDEX(CR$7:CR$106,$AD17),1),IF($AE17&gt;0,INDEX(CR$7:CR$106,$AE17),1),IF($AF17&gt;0,INDEX(CR$7:CR$106,$AF17),1),IF($AG17&gt;0,INDEX(CR$7:CR$106,$AG17),1),IF($AH17&gt;0,INDEX(CR$7:CR$106,$AH17),1),IF($AI17&gt;0,INDEX(CR$7:CR$106,$AI17),1),IF($AJ17&gt;0,INDEX(CR$7:CR$106,$AJ17),1))))</ns0:f>
        <ns0:v>1</ns0:v>
      </ns0:c>
      <ns0:c r="CT17" t="n">
        <ns0:f>IF($A17="",1,IF(CS17=1,1,--AND(IF($AC17&gt;0,INDEX(CS$7:CS$106,$AC17),1),IF($AD17&gt;0,INDEX(CS$7:CS$106,$AD17),1),IF($AE17&gt;0,INDEX(CS$7:CS$106,$AE17),1),IF($AF17&gt;0,INDEX(CS$7:CS$106,$AF17),1),IF($AG17&gt;0,INDEX(CS$7:CS$106,$AG17),1),IF($AH17&gt;0,INDEX(CS$7:CS$106,$AH17),1),IF($AI17&gt;0,INDEX(CS$7:CS$106,$AI17),1),IF($AJ17&gt;0,INDEX(CS$7:CS$106,$AJ17),1))))</ns0:f>
        <ns0:v>1</ns0:v>
      </ns0:c>
      <ns0:c r="CU17" t="n">
        <ns0:f>IF($A17="",1,IF(CT17=1,1,--AND(IF($AC17&gt;0,INDEX(CT$7:CT$106,$AC17),1),IF($AD17&gt;0,INDEX(CT$7:CT$106,$AD17),1),IF($AE17&gt;0,INDEX(CT$7:CT$106,$AE17),1),IF($AF17&gt;0,INDEX(CT$7:CT$106,$AF17),1),IF($AG17&gt;0,INDEX(CT$7:CT$106,$AG17),1),IF($AH17&gt;0,INDEX(CT$7:CT$106,$AH17),1),IF($AI17&gt;0,INDEX(CT$7:CT$106,$AI17),1),IF($AJ17&gt;0,INDEX(CT$7:CT$106,$AJ17),1))))</ns0:f>
        <ns0:v>1</ns0:v>
      </ns0:c>
      <ns0:c r="CV17" t="n">
        <ns0:f>IF($A17="",1,IF(CU17=1,1,--AND(IF($AC17&gt;0,INDEX(CU$7:CU$106,$AC17),1),IF($AD17&gt;0,INDEX(CU$7:CU$106,$AD17),1),IF($AE17&gt;0,INDEX(CU$7:CU$106,$AE17),1),IF($AF17&gt;0,INDEX(CU$7:CU$106,$AF17),1),IF($AG17&gt;0,INDEX(CU$7:CU$106,$AG17),1),IF($AH17&gt;0,INDEX(CU$7:CU$106,$AH17),1),IF($AI17&gt;0,INDEX(CU$7:CU$106,$AI17),1),IF($AJ17&gt;0,INDEX(CU$7:CU$106,$AJ17),1))))</ns0:f>
        <ns0:v>1</ns0:v>
      </ns0:c>
      <ns0:c r="CW17" t="n">
        <ns0:f>IF($A17="",1,IF(CV17=1,1,--AND(IF($AC17&gt;0,INDEX(CV$7:CV$106,$AC17),1),IF($AD17&gt;0,INDEX(CV$7:CV$106,$AD17),1),IF($AE17&gt;0,INDEX(CV$7:CV$106,$AE17),1),IF($AF17&gt;0,INDEX(CV$7:CV$106,$AF17),1),IF($AG17&gt;0,INDEX(CV$7:CV$106,$AG17),1),IF($AH17&gt;0,INDEX(CV$7:CV$106,$AH17),1),IF($AI17&gt;0,INDEX(CV$7:CV$106,$AI17),1),IF($AJ17&gt;0,INDEX(CV$7:CV$106,$AJ17),1))))</ns0:f>
        <ns0:v>1</ns0:v>
      </ns0:c>
      <ns0:c r="CX17" t="n">
        <ns0:f>IF($A17="",1,IF(CW17=1,1,--AND(IF($AC17&gt;0,INDEX(CW$7:CW$106,$AC17),1),IF($AD17&gt;0,INDEX(CW$7:CW$106,$AD17),1),IF($AE17&gt;0,INDEX(CW$7:CW$106,$AE17),1),IF($AF17&gt;0,INDEX(CW$7:CW$106,$AF17),1),IF($AG17&gt;0,INDEX(CW$7:CW$106,$AG17),1),IF($AH17&gt;0,INDEX(CW$7:CW$106,$AH17),1),IF($AI17&gt;0,INDEX(CW$7:CW$106,$AI17),1),IF($AJ17&gt;0,INDEX(CW$7:CW$106,$AJ17),1))))</ns0:f>
        <ns0:v>1</ns0:v>
      </ns0:c>
      <ns0:c r="CY17" t="n">
        <ns0:f>IF($A17="",1,IF(CX17=1,1,--AND(IF($AC17&gt;0,INDEX(CX$7:CX$106,$AC17),1),IF($AD17&gt;0,INDEX(CX$7:CX$106,$AD17),1),IF($AE17&gt;0,INDEX(CX$7:CX$106,$AE17),1),IF($AF17&gt;0,INDEX(CX$7:CX$106,$AF17),1),IF($AG17&gt;0,INDEX(CX$7:CX$106,$AG17),1),IF($AH17&gt;0,INDEX(CX$7:CX$106,$AH17),1),IF($AI17&gt;0,INDEX(CX$7:CX$106,$AI17),1),IF($AJ17&gt;0,INDEX(CX$7:CX$106,$AJ17),1))))</ns0:f>
        <ns0:v>1</ns0:v>
      </ns0:c>
      <ns0:c r="CZ17" t="n">
        <ns0:f>IF($A17="",1,IF(CY17=1,1,--AND(IF($AC17&gt;0,INDEX(CY$7:CY$106,$AC17),1),IF($AD17&gt;0,INDEX(CY$7:CY$106,$AD17),1),IF($AE17&gt;0,INDEX(CY$7:CY$106,$AE17),1),IF($AF17&gt;0,INDEX(CY$7:CY$106,$AF17),1),IF($AG17&gt;0,INDEX(CY$7:CY$106,$AG17),1),IF($AH17&gt;0,INDEX(CY$7:CY$106,$AH17),1),IF($AI17&gt;0,INDEX(CY$7:CY$106,$AI17),1),IF($AJ17&gt;0,INDEX(CY$7:CY$106,$AJ17),1))))</ns0:f>
        <ns0:v>1</ns0:v>
      </ns0:c>
      <ns0:c r="DA17" t="n">
        <ns0:f>IF($A17="",1,IF(CZ17=1,1,--AND(IF($AC17&gt;0,INDEX(CZ$7:CZ$106,$AC17),1),IF($AD17&gt;0,INDEX(CZ$7:CZ$106,$AD17),1),IF($AE17&gt;0,INDEX(CZ$7:CZ$106,$AE17),1),IF($AF17&gt;0,INDEX(CZ$7:CZ$106,$AF17),1),IF($AG17&gt;0,INDEX(CZ$7:CZ$106,$AG17),1),IF($AH17&gt;0,INDEX(CZ$7:CZ$106,$AH17),1),IF($AI17&gt;0,INDEX(CZ$7:CZ$106,$AI17),1),IF($AJ17&gt;0,INDEX(CZ$7:CZ$106,$AJ17),1))))</ns0:f>
        <ns0:v>1</ns0:v>
      </ns0:c>
      <ns0:c r="DB17" t="n">
        <ns0:f>IF($A17="",1,IF(DA17=1,1,--AND(IF($AC17&gt;0,INDEX(DA$7:DA$106,$AC17),1),IF($AD17&gt;0,INDEX(DA$7:DA$106,$AD17),1),IF($AE17&gt;0,INDEX(DA$7:DA$106,$AE17),1),IF($AF17&gt;0,INDEX(DA$7:DA$106,$AF17),1),IF($AG17&gt;0,INDEX(DA$7:DA$106,$AG17),1),IF($AH17&gt;0,INDEX(DA$7:DA$106,$AH17),1),IF($AI17&gt;0,INDEX(DA$7:DA$106,$AI17),1),IF($AJ17&gt;0,INDEX(DA$7:DA$106,$AJ17),1))))</ns0:f>
        <ns0:v>1</ns0:v>
      </ns0:c>
      <ns0:c r="DC17" t="n">
        <ns0:f>IF($A17="",1,IF(DB17=1,1,--AND(IF($AC17&gt;0,INDEX(DB$7:DB$106,$AC17),1),IF($AD17&gt;0,INDEX(DB$7:DB$106,$AD17),1),IF($AE17&gt;0,INDEX(DB$7:DB$106,$AE17),1),IF($AF17&gt;0,INDEX(DB$7:DB$106,$AF17),1),IF($AG17&gt;0,INDEX(DB$7:DB$106,$AG17),1),IF($AH17&gt;0,INDEX(DB$7:DB$106,$AH17),1),IF($AI17&gt;0,INDEX(DB$7:DB$106,$AI17),1),IF($AJ17&gt;0,INDEX(DB$7:DB$106,$AJ17),1))))</ns0:f>
        <ns0:v>1</ns0:v>
      </ns0:c>
      <ns0:c r="DD17" t="n">
        <ns0:f>IF($A17="",1,IF(DC17=1,1,--AND(IF($AC17&gt;0,INDEX(DC$7:DC$106,$AC17),1),IF($AD17&gt;0,INDEX(DC$7:DC$106,$AD17),1),IF($AE17&gt;0,INDEX(DC$7:DC$106,$AE17),1),IF($AF17&gt;0,INDEX(DC$7:DC$106,$AF17),1),IF($AG17&gt;0,INDEX(DC$7:DC$106,$AG17),1),IF($AH17&gt;0,INDEX(DC$7:DC$106,$AH17),1),IF($AI17&gt;0,INDEX(DC$7:DC$106,$AI17),1),IF($AJ17&gt;0,INDEX(DC$7:DC$106,$AJ17),1))))</ns0:f>
        <ns0:v>1</ns0:v>
      </ns0:c>
      <ns0:c r="DE17" t="n">
        <ns0:f>IF($A17="",1,IF(DD17=1,1,--AND(IF($AC17&gt;0,INDEX(DD$7:DD$106,$AC17),1),IF($AD17&gt;0,INDEX(DD$7:DD$106,$AD17),1),IF($AE17&gt;0,INDEX(DD$7:DD$106,$AE17),1),IF($AF17&gt;0,INDEX(DD$7:DD$106,$AF17),1),IF($AG17&gt;0,INDEX(DD$7:DD$106,$AG17),1),IF($AH17&gt;0,INDEX(DD$7:DD$106,$AH17),1),IF($AI17&gt;0,INDEX(DD$7:DD$106,$AI17),1),IF($AJ17&gt;0,INDEX(DD$7:DD$106,$AJ17),1))))</ns0:f>
        <ns0:v>1</ns0:v>
      </ns0:c>
      <ns0:c r="DF17" t="n">
        <ns0:f>IF($A17="",1,IF(DE17=1,1,--AND(IF($AC17&gt;0,INDEX(DE$7:DE$106,$AC17),1),IF($AD17&gt;0,INDEX(DE$7:DE$106,$AD17),1),IF($AE17&gt;0,INDEX(DE$7:DE$106,$AE17),1),IF($AF17&gt;0,INDEX(DE$7:DE$106,$AF17),1),IF($AG17&gt;0,INDEX(DE$7:DE$106,$AG17),1),IF($AH17&gt;0,INDEX(DE$7:DE$106,$AH17),1),IF($AI17&gt;0,INDEX(DE$7:DE$106,$AI17),1),IF($AJ17&gt;0,INDEX(DE$7:DE$106,$AJ17),1))))</ns0:f>
        <ns0:v>1</ns0:v>
      </ns0:c>
      <ns0:c r="DG17" t="n">
        <ns0:f>IF($A17="",1,IF(DF17=1,1,--AND(IF($AC17&gt;0,INDEX(DF$7:DF$106,$AC17),1),IF($AD17&gt;0,INDEX(DF$7:DF$106,$AD17),1),IF($AE17&gt;0,INDEX(DF$7:DF$106,$AE17),1),IF($AF17&gt;0,INDEX(DF$7:DF$106,$AF17),1),IF($AG17&gt;0,INDEX(DF$7:DF$106,$AG17),1),IF($AH17&gt;0,INDEX(DF$7:DF$106,$AH17),1),IF($AI17&gt;0,INDEX(DF$7:DF$106,$AI17),1),IF($AJ17&gt;0,INDEX(DF$7:DF$106,$AJ17),1))))</ns0:f>
        <ns0:v>1</ns0:v>
      </ns0:c>
      <ns0:c r="DH17" t="n">
        <ns0:f>IF($A17="",1,IF(DG17=1,1,--AND(IF($AC17&gt;0,INDEX(DG$7:DG$106,$AC17),1),IF($AD17&gt;0,INDEX(DG$7:DG$106,$AD17),1),IF($AE17&gt;0,INDEX(DG$7:DG$106,$AE17),1),IF($AF17&gt;0,INDEX(DG$7:DG$106,$AF17),1),IF($AG17&gt;0,INDEX(DG$7:DG$106,$AG17),1),IF($AH17&gt;0,INDEX(DG$7:DG$106,$AH17),1),IF($AI17&gt;0,INDEX(DG$7:DG$106,$AI17),1),IF($AJ17&gt;0,INDEX(DG$7:DG$106,$AJ17),1))))</ns0:f>
        <ns0:v>1</ns0:v>
      </ns0:c>
      <ns0:c r="DI17" t="n">
        <ns0:f>IF($A17="",1,IF(DH17=1,1,--AND(IF($AC17&gt;0,INDEX(DH$7:DH$106,$AC17),1),IF($AD17&gt;0,INDEX(DH$7:DH$106,$AD17),1),IF($AE17&gt;0,INDEX(DH$7:DH$106,$AE17),1),IF($AF17&gt;0,INDEX(DH$7:DH$106,$AF17),1),IF($AG17&gt;0,INDEX(DH$7:DH$106,$AG17),1),IF($AH17&gt;0,INDEX(DH$7:DH$106,$AH17),1),IF($AI17&gt;0,INDEX(DH$7:DH$106,$AI17),1),IF($AJ17&gt;0,INDEX(DH$7:DH$106,$AJ17),1))))</ns0:f>
        <ns0:v>1</ns0:v>
      </ns0:c>
      <ns0:c r="DJ17" t="n">
        <ns0:f>IF($A17="",1,IF(DI17=1,1,--AND(IF($AC17&gt;0,INDEX(DI$7:DI$106,$AC17),1),IF($AD17&gt;0,INDEX(DI$7:DI$106,$AD17),1),IF($AE17&gt;0,INDEX(DI$7:DI$106,$AE17),1),IF($AF17&gt;0,INDEX(DI$7:DI$106,$AF17),1),IF($AG17&gt;0,INDEX(DI$7:DI$106,$AG17),1),IF($AH17&gt;0,INDEX(DI$7:DI$106,$AH17),1),IF($AI17&gt;0,INDEX(DI$7:DI$106,$AI17),1),IF($AJ17&gt;0,INDEX(DI$7:DI$106,$AJ17),1))))</ns0:f>
        <ns0:v>1</ns0:v>
      </ns0:c>
      <ns0:c r="DK17" t="n">
        <ns0:f>IF($A17="",1,IF(DJ17=1,1,--AND(IF($AC17&gt;0,INDEX(DJ$7:DJ$106,$AC17),1),IF($AD17&gt;0,INDEX(DJ$7:DJ$106,$AD17),1),IF($AE17&gt;0,INDEX(DJ$7:DJ$106,$AE17),1),IF($AF17&gt;0,INDEX(DJ$7:DJ$106,$AF17),1),IF($AG17&gt;0,INDEX(DJ$7:DJ$106,$AG17),1),IF($AH17&gt;0,INDEX(DJ$7:DJ$106,$AH17),1),IF($AI17&gt;0,INDEX(DJ$7:DJ$106,$AI17),1),IF($AJ17&gt;0,INDEX(DJ$7:DJ$106,$AJ17),1))))</ns0:f>
        <ns0:v>1</ns0:v>
      </ns0:c>
      <ns0:c r="DL17" t="n">
        <ns0:f>IF($A17="",1,IF(DK17=1,1,--AND(IF($AC17&gt;0,INDEX(DK$7:DK$106,$AC17),1),IF($AD17&gt;0,INDEX(DK$7:DK$106,$AD17),1),IF($AE17&gt;0,INDEX(DK$7:DK$106,$AE17),1),IF($AF17&gt;0,INDEX(DK$7:DK$106,$AF17),1),IF($AG17&gt;0,INDEX(DK$7:DK$106,$AG17),1),IF($AH17&gt;0,INDEX(DK$7:DK$106,$AH17),1),IF($AI17&gt;0,INDEX(DK$7:DK$106,$AI17),1),IF($AJ17&gt;0,INDEX(DK$7:DK$106,$AJ17),1))))</ns0:f>
        <ns0:v>1</ns0:v>
      </ns0:c>
      <ns0:c r="DM17" t="n">
        <ns0:f>IF($A17="",1,IF(DL17=1,1,--AND(IF($AC17&gt;0,INDEX(DL$7:DL$106,$AC17),1),IF($AD17&gt;0,INDEX(DL$7:DL$106,$AD17),1),IF($AE17&gt;0,INDEX(DL$7:DL$106,$AE17),1),IF($AF17&gt;0,INDEX(DL$7:DL$106,$AF17),1),IF($AG17&gt;0,INDEX(DL$7:DL$106,$AG17),1),IF($AH17&gt;0,INDEX(DL$7:DL$106,$AH17),1),IF($AI17&gt;0,INDEX(DL$7:DL$106,$AI17),1),IF($AJ17&gt;0,INDEX(DL$7:DL$106,$AJ17),1))))</ns0:f>
        <ns0:v>1</ns0:v>
      </ns0:c>
      <ns0:c r="DN17" t="n">
        <ns0:f>IF($A17="",1,IF(DM17=1,1,--AND(IF($AC17&gt;0,INDEX(DM$7:DM$106,$AC17),1),IF($AD17&gt;0,INDEX(DM$7:DM$106,$AD17),1),IF($AE17&gt;0,INDEX(DM$7:DM$106,$AE17),1),IF($AF17&gt;0,INDEX(DM$7:DM$106,$AF17),1),IF($AG17&gt;0,INDEX(DM$7:DM$106,$AG17),1),IF($AH17&gt;0,INDEX(DM$7:DM$106,$AH17),1),IF($AI17&gt;0,INDEX(DM$7:DM$106,$AI17),1),IF($AJ17&gt;0,INDEX(DM$7:DM$106,$AJ17),1))))</ns0:f>
        <ns0:v>1</ns0:v>
      </ns0:c>
      <ns0:c r="DO17" t="n">
        <ns0:f>IF($A17="",1,IF(DN17=1,1,--AND(IF($AC17&gt;0,INDEX(DN$7:DN$106,$AC17),1),IF($AD17&gt;0,INDEX(DN$7:DN$106,$AD17),1),IF($AE17&gt;0,INDEX(DN$7:DN$106,$AE17),1),IF($AF17&gt;0,INDEX(DN$7:DN$106,$AF17),1),IF($AG17&gt;0,INDEX(DN$7:DN$106,$AG17),1),IF($AH17&gt;0,INDEX(DN$7:DN$106,$AH17),1),IF($AI17&gt;0,INDEX(DN$7:DN$106,$AI17),1),IF($AJ17&gt;0,INDEX(DN$7:DN$106,$AJ17),1))))</ns0:f>
        <ns0:v>1</ns0:v>
      </ns0:c>
      <ns0:c r="DP17" t="n">
        <ns0:f>IF($A17="",1,IF(DO17=1,1,--AND(IF($AC17&gt;0,INDEX(DO$7:DO$106,$AC17),1),IF($AD17&gt;0,INDEX(DO$7:DO$106,$AD17),1),IF($AE17&gt;0,INDEX(DO$7:DO$106,$AE17),1),IF($AF17&gt;0,INDEX(DO$7:DO$106,$AF17),1),IF($AG17&gt;0,INDEX(DO$7:DO$106,$AG17),1),IF($AH17&gt;0,INDEX(DO$7:DO$106,$AH17),1),IF($AI17&gt;0,INDEX(DO$7:DO$106,$AI17),1),IF($AJ17&gt;0,INDEX(DO$7:DO$106,$AJ17),1))))</ns0:f>
        <ns0:v>1</ns0:v>
      </ns0:c>
      <ns0:c r="DQ17" t="n">
        <ns0:f>IF($A17="",1,IF(DP17=1,1,--AND(IF($AC17&gt;0,INDEX(DP$7:DP$106,$AC17),1),IF($AD17&gt;0,INDEX(DP$7:DP$106,$AD17),1),IF($AE17&gt;0,INDEX(DP$7:DP$106,$AE17),1),IF($AF17&gt;0,INDEX(DP$7:DP$106,$AF17),1),IF($AG17&gt;0,INDEX(DP$7:DP$106,$AG17),1),IF($AH17&gt;0,INDEX(DP$7:DP$106,$AH17),1),IF($AI17&gt;0,INDEX(DP$7:DP$106,$AI17),1),IF($AJ17&gt;0,INDEX(DP$7:DP$106,$AJ17),1))))</ns0:f>
        <ns0:v>1</ns0:v>
      </ns0:c>
      <ns0:c r="DR17" t="n">
        <ns0:f>IF($A17="",1,IF(DQ17=1,1,--AND(IF($AC17&gt;0,INDEX(DQ$7:DQ$106,$AC17),1),IF($AD17&gt;0,INDEX(DQ$7:DQ$106,$AD17),1),IF($AE17&gt;0,INDEX(DQ$7:DQ$106,$AE17),1),IF($AF17&gt;0,INDEX(DQ$7:DQ$106,$AF17),1),IF($AG17&gt;0,INDEX(DQ$7:DQ$106,$AG17),1),IF($AH17&gt;0,INDEX(DQ$7:DQ$106,$AH17),1),IF($AI17&gt;0,INDEX(DQ$7:DQ$106,$AI17),1),IF($AJ17&gt;0,INDEX(DQ$7:DQ$106,$AJ17),1))))</ns0:f>
        <ns0:v>1</ns0:v>
      </ns0:c>
      <ns0:c r="DS17" t="n">
        <ns0:f>IF($A17="",1,IF(DR17=1,1,--AND(IF($AC17&gt;0,INDEX(DR$7:DR$106,$AC17),1),IF($AD17&gt;0,INDEX(DR$7:DR$106,$AD17),1),IF($AE17&gt;0,INDEX(DR$7:DR$106,$AE17),1),IF($AF17&gt;0,INDEX(DR$7:DR$106,$AF17),1),IF($AG17&gt;0,INDEX(DR$7:DR$106,$AG17),1),IF($AH17&gt;0,INDEX(DR$7:DR$106,$AH17),1),IF($AI17&gt;0,INDEX(DR$7:DR$106,$AI17),1),IF($AJ17&gt;0,INDEX(DR$7:DR$106,$AJ17),1))))</ns0:f>
        <ns0:v>1</ns0:v>
      </ns0:c>
      <ns0:c r="DT17" t="n">
        <ns0:f>IF($A17="",1,IF(DS17=1,1,--AND(IF($AC17&gt;0,INDEX(DS$7:DS$106,$AC17),1),IF($AD17&gt;0,INDEX(DS$7:DS$106,$AD17),1),IF($AE17&gt;0,INDEX(DS$7:DS$106,$AE17),1),IF($AF17&gt;0,INDEX(DS$7:DS$106,$AF17),1),IF($AG17&gt;0,INDEX(DS$7:DS$106,$AG17),1),IF($AH17&gt;0,INDEX(DS$7:DS$106,$AH17),1),IF($AI17&gt;0,INDEX(DS$7:DS$106,$AI17),1),IF($AJ17&gt;0,INDEX(DS$7:DS$106,$AJ17),1))))</ns0:f>
        <ns0:v>1</ns0:v>
      </ns0:c>
      <ns0:c r="DU17" t="n">
        <ns0:f>IF($A17="",1,IF(DT17=1,1,--AND(IF($AC17&gt;0,INDEX(DT$7:DT$106,$AC17),1),IF($AD17&gt;0,INDEX(DT$7:DT$106,$AD17),1),IF($AE17&gt;0,INDEX(DT$7:DT$106,$AE17),1),IF($AF17&gt;0,INDEX(DT$7:DT$106,$AF17),1),IF($AG17&gt;0,INDEX(DT$7:DT$106,$AG17),1),IF($AH17&gt;0,INDEX(DT$7:DT$106,$AH17),1),IF($AI17&gt;0,INDEX(DT$7:DT$106,$AI17),1),IF($AJ17&gt;0,INDEX(DT$7:DT$106,$AJ17),1))))</ns0:f>
        <ns0:v>1</ns0:v>
      </ns0:c>
      <ns0:c r="DV17" t="n">
        <ns0:f>IF($A17="",1,IF(DU17=1,1,--AND(IF($AC17&gt;0,INDEX(DU$7:DU$106,$AC17),1),IF($AD17&gt;0,INDEX(DU$7:DU$106,$AD17),1),IF($AE17&gt;0,INDEX(DU$7:DU$106,$AE17),1),IF($AF17&gt;0,INDEX(DU$7:DU$106,$AF17),1),IF($AG17&gt;0,INDEX(DU$7:DU$106,$AG17),1),IF($AH17&gt;0,INDEX(DU$7:DU$106,$AH17),1),IF($AI17&gt;0,INDEX(DU$7:DU$106,$AI17),1),IF($AJ17&gt;0,INDEX(DU$7:DU$106,$AJ17),1))))</ns0:f>
        <ns0:v>1</ns0:v>
      </ns0:c>
      <ns0:c r="DW17" t="n">
        <ns0:f>IF($A17="",1,IF(DV17=1,1,--AND(IF($AC17&gt;0,INDEX(DV$7:DV$106,$AC17),1),IF($AD17&gt;0,INDEX(DV$7:DV$106,$AD17),1),IF($AE17&gt;0,INDEX(DV$7:DV$106,$AE17),1),IF($AF17&gt;0,INDEX(DV$7:DV$106,$AF17),1),IF($AG17&gt;0,INDEX(DV$7:DV$106,$AG17),1),IF($AH17&gt;0,INDEX(DV$7:DV$106,$AH17),1),IF($AI17&gt;0,INDEX(DV$7:DV$106,$AI17),1),IF($AJ17&gt;0,INDEX(DV$7:DV$106,$AJ17),1))))</ns0:f>
        <ns0:v>1</ns0:v>
      </ns0:c>
      <ns0:c r="DX17" t="n">
        <ns0:f>IF($A17="",1,IF(DW17=1,1,--AND(IF($AC17&gt;0,INDEX(DW$7:DW$106,$AC17),1),IF($AD17&gt;0,INDEX(DW$7:DW$106,$AD17),1),IF($AE17&gt;0,INDEX(DW$7:DW$106,$AE17),1),IF($AF17&gt;0,INDEX(DW$7:DW$106,$AF17),1),IF($AG17&gt;0,INDEX(DW$7:DW$106,$AG17),1),IF($AH17&gt;0,INDEX(DW$7:DW$106,$AH17),1),IF($AI17&gt;0,INDEX(DW$7:DW$106,$AI17),1),IF($AJ17&gt;0,INDEX(DW$7:DW$106,$AJ17),1))))</ns0:f>
        <ns0:v>1</ns0:v>
      </ns0:c>
      <ns0:c r="DY17" t="n">
        <ns0:f>IF($A17="",1,IF(DX17=1,1,--AND(IF($AC17&gt;0,INDEX(DX$7:DX$106,$AC17),1),IF($AD17&gt;0,INDEX(DX$7:DX$106,$AD17),1),IF($AE17&gt;0,INDEX(DX$7:DX$106,$AE17),1),IF($AF17&gt;0,INDEX(DX$7:DX$106,$AF17),1),IF($AG17&gt;0,INDEX(DX$7:DX$106,$AG17),1),IF($AH17&gt;0,INDEX(DX$7:DX$106,$AH17),1),IF($AI17&gt;0,INDEX(DX$7:DX$106,$AI17),1),IF($AJ17&gt;0,INDEX(DX$7:DX$106,$AJ17),1))))</ns0:f>
        <ns0:v>1</ns0:v>
      </ns0:c>
      <ns0:c r="DZ17" t="n">
        <ns0:f>IF($A17="",1,IF(DY17=1,1,--AND(IF($AC17&gt;0,INDEX(DY$7:DY$106,$AC17),1),IF($AD17&gt;0,INDEX(DY$7:DY$106,$AD17),1),IF($AE17&gt;0,INDEX(DY$7:DY$106,$AE17),1),IF($AF17&gt;0,INDEX(DY$7:DY$106,$AF17),1),IF($AG17&gt;0,INDEX(DY$7:DY$106,$AG17),1),IF($AH17&gt;0,INDEX(DY$7:DY$106,$AH17),1),IF($AI17&gt;0,INDEX(DY$7:DY$106,$AI17),1),IF($AJ17&gt;0,INDEX(DY$7:DY$106,$AJ17),1))))</ns0:f>
        <ns0:v>1</ns0:v>
      </ns0:c>
      <ns0:c r="EA17" t="n">
        <ns0:f>IF($A17="",1,IF(DZ17=1,1,--AND(IF($AC17&gt;0,INDEX(DZ$7:DZ$106,$AC17),1),IF($AD17&gt;0,INDEX(DZ$7:DZ$106,$AD17),1),IF($AE17&gt;0,INDEX(DZ$7:DZ$106,$AE17),1),IF($AF17&gt;0,INDEX(DZ$7:DZ$106,$AF17),1),IF($AG17&gt;0,INDEX(DZ$7:DZ$106,$AG17),1),IF($AH17&gt;0,INDEX(DZ$7:DZ$106,$AH17),1),IF($AI17&gt;0,INDEX(DZ$7:DZ$106,$AI17),1),IF($AJ17&gt;0,INDEX(DZ$7:DZ$106,$AJ17),1))))</ns0:f>
        <ns0:v>1</ns0:v>
      </ns0:c>
      <ns0:c r="EB17" t="n">
        <ns0:f>IF($A17="",1,IF(EA17=1,1,--AND(IF($AC17&gt;0,INDEX(EA$7:EA$106,$AC17),1),IF($AD17&gt;0,INDEX(EA$7:EA$106,$AD17),1),IF($AE17&gt;0,INDEX(EA$7:EA$106,$AE17),1),IF($AF17&gt;0,INDEX(EA$7:EA$106,$AF17),1),IF($AG17&gt;0,INDEX(EA$7:EA$106,$AG17),1),IF($AH17&gt;0,INDEX(EA$7:EA$106,$AH17),1),IF($AI17&gt;0,INDEX(EA$7:EA$106,$AI17),1),IF($AJ17&gt;0,INDEX(EA$7:EA$106,$AJ17),1))))</ns0:f>
        <ns0:v>1</ns0:v>
      </ns0:c>
      <ns0:c r="EC17" t="n">
        <ns0:f>IF($A17="",1,IF(EB17=1,1,--AND(IF($AC17&gt;0,INDEX(EB$7:EB$106,$AC17),1),IF($AD17&gt;0,INDEX(EB$7:EB$106,$AD17),1),IF($AE17&gt;0,INDEX(EB$7:EB$106,$AE17),1),IF($AF17&gt;0,INDEX(EB$7:EB$106,$AF17),1),IF($AG17&gt;0,INDEX(EB$7:EB$106,$AG17),1),IF($AH17&gt;0,INDEX(EB$7:EB$106,$AH17),1),IF($AI17&gt;0,INDEX(EB$7:EB$106,$AI17),1),IF($AJ17&gt;0,INDEX(EB$7:EB$106,$AJ17),1))))</ns0:f>
        <ns0:v>1</ns0:v>
      </ns0:c>
      <ns0:c r="ED17" t="n">
        <ns0:f>IF($A17="",1,IF(EC17=1,1,--AND(IF($AC17&gt;0,INDEX(EC$7:EC$106,$AC17),1),IF($AD17&gt;0,INDEX(EC$7:EC$106,$AD17),1),IF($AE17&gt;0,INDEX(EC$7:EC$106,$AE17),1),IF($AF17&gt;0,INDEX(EC$7:EC$106,$AF17),1),IF($AG17&gt;0,INDEX(EC$7:EC$106,$AG17),1),IF($AH17&gt;0,INDEX(EC$7:EC$106,$AH17),1),IF($AI17&gt;0,INDEX(EC$7:EC$106,$AI17),1),IF($AJ17&gt;0,INDEX(EC$7:EC$106,$AJ17),1))))</ns0:f>
        <ns0:v>1</ns0:v>
      </ns0:c>
      <ns0:c r="EE17" t="n">
        <ns0:f>IF($A17="",1,IF(ED17=1,1,--AND(IF($AC17&gt;0,INDEX(ED$7:ED$106,$AC17),1),IF($AD17&gt;0,INDEX(ED$7:ED$106,$AD17),1),IF($AE17&gt;0,INDEX(ED$7:ED$106,$AE17),1),IF($AF17&gt;0,INDEX(ED$7:ED$106,$AF17),1),IF($AG17&gt;0,INDEX(ED$7:ED$106,$AG17),1),IF($AH17&gt;0,INDEX(ED$7:ED$106,$AH17),1),IF($AI17&gt;0,INDEX(ED$7:ED$106,$AI17),1),IF($AJ17&gt;0,INDEX(ED$7:ED$106,$AJ17),1))))</ns0:f>
        <ns0:v>1</ns0:v>
      </ns0:c>
      <ns0:c r="EF17" t="n">
        <ns0:f>IF($A17="",1,IF(EE17=1,1,--AND(IF($AC17&gt;0,INDEX(EE$7:EE$106,$AC17),1),IF($AD17&gt;0,INDEX(EE$7:EE$106,$AD17),1),IF($AE17&gt;0,INDEX(EE$7:EE$106,$AE17),1),IF($AF17&gt;0,INDEX(EE$7:EE$106,$AF17),1),IF($AG17&gt;0,INDEX(EE$7:EE$106,$AG17),1),IF($AH17&gt;0,INDEX(EE$7:EE$106,$AH17),1),IF($AI17&gt;0,INDEX(EE$7:EE$106,$AI17),1),IF($AJ17&gt;0,INDEX(EE$7:EE$106,$AJ17),1))))</ns0:f>
        <ns0:v>1</ns0:v>
      </ns0:c>
      <ns0:c r="EG17" t="n">
        <ns0:f>IF($A17="",1,IF(EF17=1,1,--AND(IF($AC17&gt;0,INDEX(EF$7:EF$106,$AC17),1),IF($AD17&gt;0,INDEX(EF$7:EF$106,$AD17),1),IF($AE17&gt;0,INDEX(EF$7:EF$106,$AE17),1),IF($AF17&gt;0,INDEX(EF$7:EF$106,$AF17),1),IF($AG17&gt;0,INDEX(EF$7:EF$106,$AG17),1),IF($AH17&gt;0,INDEX(EF$7:EF$106,$AH17),1),IF($AI17&gt;0,INDEX(EF$7:EF$106,$AI17),1),IF($AJ17&gt;0,INDEX(EF$7:EF$106,$AJ17),1))))</ns0:f>
        <ns0:v>1</ns0:v>
      </ns0:c>
      <ns0:c r="EH17" t="n">
        <ns0:f>IF($A17="",1,IF(EG17=1,1,--AND(IF($AC17&gt;0,INDEX(EG$7:EG$106,$AC17),1),IF($AD17&gt;0,INDEX(EG$7:EG$106,$AD17),1),IF($AE17&gt;0,INDEX(EG$7:EG$106,$AE17),1),IF($AF17&gt;0,INDEX(EG$7:EG$106,$AF17),1),IF($AG17&gt;0,INDEX(EG$7:EG$106,$AG17),1),IF($AH17&gt;0,INDEX(EG$7:EG$106,$AH17),1),IF($AI17&gt;0,INDEX(EG$7:EG$106,$AI17),1),IF($AJ17&gt;0,INDEX(EG$7:EG$106,$AJ17),1))))</ns0:f>
        <ns0:v>1</ns0:v>
      </ns0:c>
      <ns0:c r="EI17" t="n">
        <ns0:f>IF($A17="",1,IF(EH17=1,1,--AND(IF($AC17&gt;0,INDEX(EH$7:EH$106,$AC17),1),IF($AD17&gt;0,INDEX(EH$7:EH$106,$AD17),1),IF($AE17&gt;0,INDEX(EH$7:EH$106,$AE17),1),IF($AF17&gt;0,INDEX(EH$7:EH$106,$AF17),1),IF($AG17&gt;0,INDEX(EH$7:EH$106,$AG17),1),IF($AH17&gt;0,INDEX(EH$7:EH$106,$AH17),1),IF($AI17&gt;0,INDEX(EH$7:EH$106,$AI17),1),IF($AJ17&gt;0,INDEX(EH$7:EH$106,$AJ17),1))))</ns0:f>
        <ns0:v>1</ns0:v>
      </ns0:c>
      <ns0:c r="EJ17" t="n">
        <ns0:f>IF($A17="",1,IF(EI17=1,1,--AND(IF($AC17&gt;0,INDEX(EI$7:EI$106,$AC17),1),IF($AD17&gt;0,INDEX(EI$7:EI$106,$AD17),1),IF($AE17&gt;0,INDEX(EI$7:EI$106,$AE17),1),IF($AF17&gt;0,INDEX(EI$7:EI$106,$AF17),1),IF($AG17&gt;0,INDEX(EI$7:EI$106,$AG17),1),IF($AH17&gt;0,INDEX(EI$7:EI$106,$AH17),1),IF($AI17&gt;0,INDEX(EI$7:EI$106,$AI17),1),IF($AJ17&gt;0,INDEX(EI$7:EI$106,$AJ17),1))))</ns0:f>
        <ns0:v>1</ns0:v>
      </ns0:c>
      <ns0:c r="EK17" t="n">
        <ns0:f>IF($A17="",1,IF(EJ17=1,1,--AND(IF($AC17&gt;0,INDEX(EJ$7:EJ$106,$AC17),1),IF($AD17&gt;0,INDEX(EJ$7:EJ$106,$AD17),1),IF($AE17&gt;0,INDEX(EJ$7:EJ$106,$AE17),1),IF($AF17&gt;0,INDEX(EJ$7:EJ$106,$AF17),1),IF($AG17&gt;0,INDEX(EJ$7:EJ$106,$AG17),1),IF($AH17&gt;0,INDEX(EJ$7:EJ$106,$AH17),1),IF($AI17&gt;0,INDEX(EJ$7:EJ$106,$AI17),1),IF($AJ17&gt;0,INDEX(EJ$7:EJ$106,$AJ17),1))))</ns0:f>
        <ns0:v>1</ns0:v>
      </ns0:c>
      <ns0:c r="EL17" t="n">
        <ns0:f>IF($A17="",1,IF(EK17=1,1,--AND(IF($AC17&gt;0,INDEX(EK$7:EK$106,$AC17),1),IF($AD17&gt;0,INDEX(EK$7:EK$106,$AD17),1),IF($AE17&gt;0,INDEX(EK$7:EK$106,$AE17),1),IF($AF17&gt;0,INDEX(EK$7:EK$106,$AF17),1),IF($AG17&gt;0,INDEX(EK$7:EK$106,$AG17),1),IF($AH17&gt;0,INDEX(EK$7:EK$106,$AH17),1),IF($AI17&gt;0,INDEX(EK$7:EK$106,$AI17),1),IF($AJ17&gt;0,INDEX(EK$7:EK$106,$AJ17),1))))</ns0:f>
        <ns0:v>1</ns0:v>
      </ns0:c>
      <ns0:c r="EM17" t="n">
        <ns0:f>IF($A17="",1,IF(EL17=1,1,--AND(IF($AC17&gt;0,INDEX(EL$7:EL$106,$AC17),1),IF($AD17&gt;0,INDEX(EL$7:EL$106,$AD17),1),IF($AE17&gt;0,INDEX(EL$7:EL$106,$AE17),1),IF($AF17&gt;0,INDEX(EL$7:EL$106,$AF17),1),IF($AG17&gt;0,INDEX(EL$7:EL$106,$AG17),1),IF($AH17&gt;0,INDEX(EL$7:EL$106,$AH17),1),IF($AI17&gt;0,INDEX(EL$7:EL$106,$AI17),1),IF($AJ17&gt;0,INDEX(EL$7:EL$106,$AJ17),1))))</ns0:f>
        <ns0:v>1</ns0:v>
      </ns0:c>
      <ns0:c r="EN17" t="n">
        <ns0:f>IF($A17="",1,IF(EM17=1,1,--AND(IF($AC17&gt;0,INDEX(EM$7:EM$106,$AC17),1),IF($AD17&gt;0,INDEX(EM$7:EM$106,$AD17),1),IF($AE17&gt;0,INDEX(EM$7:EM$106,$AE17),1),IF($AF17&gt;0,INDEX(EM$7:EM$106,$AF17),1),IF($AG17&gt;0,INDEX(EM$7:EM$106,$AG17),1),IF($AH17&gt;0,INDEX(EM$7:EM$106,$AH17),1),IF($AI17&gt;0,INDEX(EM$7:EM$106,$AI17),1),IF($AJ17&gt;0,INDEX(EM$7:EM$106,$AJ17),1))))</ns0:f>
        <ns0:v>1</ns0:v>
      </ns0:c>
      <ns0:c r="EO17" t="n">
        <ns0:f>IF($A17="",1,IF(EN17=1,1,--AND(IF($AC17&gt;0,INDEX(EN$7:EN$106,$AC17),1),IF($AD17&gt;0,INDEX(EN$7:EN$106,$AD17),1),IF($AE17&gt;0,INDEX(EN$7:EN$106,$AE17),1),IF($AF17&gt;0,INDEX(EN$7:EN$106,$AF17),1),IF($AG17&gt;0,INDEX(EN$7:EN$106,$AG17),1),IF($AH17&gt;0,INDEX(EN$7:EN$106,$AH17),1),IF($AI17&gt;0,INDEX(EN$7:EN$106,$AI17),1),IF($AJ17&gt;0,INDEX(EN$7:EN$106,$AJ17),1))))</ns0:f>
        <ns0:v>1</ns0:v>
      </ns0:c>
      <ns0:c r="EP17" t="n">
        <ns0:f>IF($A17="",1,IF(EO17=1,1,--AND(IF($AC17&gt;0,INDEX(EO$7:EO$106,$AC17),1),IF($AD17&gt;0,INDEX(EO$7:EO$106,$AD17),1),IF($AE17&gt;0,INDEX(EO$7:EO$106,$AE17),1),IF($AF17&gt;0,INDEX(EO$7:EO$106,$AF17),1),IF($AG17&gt;0,INDEX(EO$7:EO$106,$AG17),1),IF($AH17&gt;0,INDEX(EO$7:EO$106,$AH17),1),IF($AI17&gt;0,INDEX(EO$7:EO$106,$AI17),1),IF($AJ17&gt;0,INDEX(EO$7:EO$106,$AJ17),1))))</ns0:f>
        <ns0:v>1</ns0:v>
      </ns0:c>
      <ns0:c r="EQ17" t="n">
        <ns0:f>IF(OR(A17="",NOT(ISNUMBER(G17))),0,G17*N17)</ns0:f>
        <ns0:v>0</ns0:v>
      </ns0:c>
    </ns0:row>
    <ns0:row r="18" ht="62" customHeight="1">
      <ns0:c r="A18" s="48" t="str">
        <ns0:v>M2</ns0:v>
      </ns0:c>
      <ns0:c r="B18" s="48" t="str">
        <ns0:v>Data &amp; storage</ns0:v>
      </ns0:c>
      <ns0:c r="C18" s="48" t="str">
        <ns0:v>Governed Data Plane &amp; Central Storage Integration (Model A)</ns0:v>
      </ns0:c>
      <ns0:c r="D18" s="48" t="str">
        <ns0:v>Explicit project checkpoint. Mark complete only after linked work is accepted.</ns0:v>
      </ns0:c>
      <ns0:c r="E18" s="49" t="n">
        <ns0:v>46284</ns0:v>
      </ns0:c>
      <ns0:c r="F18" s="49" t="n">
        <ns0:v>46284</ns0:v>
      </ns0:c>
      <ns0:c r="G18" s="13" t="n">
        <ns0:f>IF(A18="","",IF(OR(NOT(ISNUMBER(E18)),NOT(ISNUMBER(F18)),F18&lt;E18),"",IF(J18="Yes",0,F18-E18+1)))</ns0:f>
        <ns0:v>0</ns0:v>
      </ns0:c>
      <ns0:c r="H18" s="48" t="str">
        <ns0:v>T05,T06,T07,T08,T09,T10</ns0:v>
      </ns0:c>
      <ns0:c r="I18" s="48" t="str">
        <ns0:v>FF</ns0:v>
      </ns0:c>
      <ns0:c r="J18" s="48" t="str">
        <ns0:v>Yes</ns0:v>
      </ns0:c>
      <ns0:c r="K18" s="48" t="str">
        <ns0:v>Unassigned</ns0:v>
      </ns0:c>
      <ns0:c r="L18" s="48" t="str"/>
      <ns0:c r="M18" s="50" t="str">
        <ns0:f>IF(A18="","",IF(N18=1,"Completed",IF(N18&gt;0,"In Progress","Not Started")))</ns0:f>
        <ns0:v>Not Started</ns0:v>
      </ns0:c>
      <ns0:c r="N18" s="51" t="n">
        <ns0:v>0</ns0:v>
      </ns0:c>
      <ns0:c r="O18" s="13" t="str">
        <ns0:f>IF(A18="","",IF(R18&lt;&gt;"","[CONFLICT] "&amp;R18,IF(S18&lt;&gt;"","[CONFLICT] "&amp;S18,IF(OR(NOT(ISNUMBER(N18)),N18&lt;0,N18&gt;1),"[CONFLICT] Invalid progress",IF(AK18&gt;0,"[DEPENDENCY ISSUE] Missing ID / &gt;8 links",IF(AM18&gt;0,"[DEPENDENCY ISSUE] Cycle or blocked by cycle",IF(AND(H18&lt;&gt;"",ISNA(MATCH(I18,{"FS","SS","FF","SF"},0))),"[DEPENDENCY ISSUE] Invalid type",IF(AL18&gt;0,"[DEPENDENCY ISSUE] Timing conflict",IF(OR(E18&lt;ProjectStart,F18&gt;ProjectEnd),"[OUTSIDE WINDOW]",IF(AND(N18&lt;1,F18&lt;AsOfDate),"Overdue",IF(AND(M18&lt;&gt;Q18,M18&lt;&gt;""),"[CONFLICT] Status / progress","On track")))))))))))</ns0:f>
        <ns0:v>On track</ns0:v>
      </ns0:c>
      <ns0:c r="P18" s="52" t="str">
        <ns0:v>Source: Project Plan Essentials (2).md §3. Source checkpoint date retained (source labels all dates [INFERRED]). [INFERRED] FF link permits completion-day checkpoint. Owner missing.</ns0:v>
      </ns0:c>
      <ns0:c r="Q18" t="str">
        <ns0:f>IF(A18="","",IF(OR(M18="On Hold",M18="Delayed"),M18,IF(N18=1,"Completed",IF(N18&gt;0,"In Progress","Not Started"))))</ns0:f>
        <ns0:v>Not Started</ns0:v>
      </ns0:c>
      <ns0:c r="R18" t="str">
        <ns0:f>IF(A18="","",IF(COUNTIFS(Tasks[Task ID],A18)&lt;&gt;1,"Duplicate ID",""))</ns0:f>
      </ns0:c>
      <ns0:c r="S18" t="str">
        <ns0:f>IF(A18="","",IF(OR(NOT(ISNUMBER(E18)),NOT(ISNUMBER(F18))),"Invalid / missing date",IF(OR(E18&lt;&gt;INT(E18),F18&lt;&gt;INT(F18),E18&lt;1,F18&gt;2958465),"Invalid date",IF(F18&lt;E18,"End before start",IF(AND(J18="Yes",E18&lt;&gt;F18),"Milestone needs one date","")))))</ns0:f>
      </ns0:c>
      <ns0:c r="T18" t="n">
        <ns0:f>IF(H18="",0,LEN(H18)-LEN(SUBSTITUTE(H18,",",""))+1)</ns0:f>
        <ns0:v>6</ns0:v>
      </ns0:c>
      <ns0:c r="U18" t="str">
        <ns0:f>TRIM(MID(SUBSTITUTE($H18,",",REPT(" ",100)),1,100))</ns0:f>
        <ns0:v>T05</ns0:v>
      </ns0:c>
      <ns0:c r="V18" t="str">
        <ns0:f>TRIM(MID(SUBSTITUTE($H18,",",REPT(" ",100)),101,100))</ns0:f>
        <ns0:v>T06</ns0:v>
      </ns0:c>
      <ns0:c r="W18" t="str">
        <ns0:f>TRIM(MID(SUBSTITUTE($H18,",",REPT(" ",100)),201,100))</ns0:f>
        <ns0:v>T07</ns0:v>
      </ns0:c>
      <ns0:c r="X18" t="str">
        <ns0:f>TRIM(MID(SUBSTITUTE($H18,",",REPT(" ",100)),301,100))</ns0:f>
        <ns0:v>T08</ns0:v>
      </ns0:c>
      <ns0:c r="Y18" t="str">
        <ns0:f>TRIM(MID(SUBSTITUTE($H18,",",REPT(" ",100)),401,100))</ns0:f>
        <ns0:v>T09</ns0:v>
      </ns0:c>
      <ns0:c r="Z18" t="str">
        <ns0:f>TRIM(MID(SUBSTITUTE($H18,",",REPT(" ",100)),501,100))</ns0:f>
        <ns0:v>T10</ns0:v>
      </ns0:c>
      <ns0:c r="AA18" t="str">
        <ns0:f>TRIM(MID(SUBSTITUTE($H18,",",REPT(" ",100)),601,100))</ns0:f>
      </ns0:c>
      <ns0:c r="AB18" t="str">
        <ns0:f>TRIM(MID(SUBSTITUTE($H18,",",REPT(" ",100)),701,100))</ns0:f>
      </ns0:c>
      <ns0:c r="AC18" t="n">
        <ns0:f>IF(U18="",0,IF(COUNTIFS(Tasks[Task ID],U18)=1,MATCH(U18,Tasks[Task ID],0),-1))</ns0:f>
        <ns0:v>6</ns0:v>
      </ns0:c>
      <ns0:c r="AD18" t="n">
        <ns0:f>IF(V18="",0,IF(COUNTIFS(Tasks[Task ID],V18)=1,MATCH(V18,Tasks[Task ID],0),-1))</ns0:f>
        <ns0:v>7</ns0:v>
      </ns0:c>
      <ns0:c r="AE18" t="n">
        <ns0:f>IF(W18="",0,IF(COUNTIFS(Tasks[Task ID],W18)=1,MATCH(W18,Tasks[Task ID],0),-1))</ns0:f>
        <ns0:v>8</ns0:v>
      </ns0:c>
      <ns0:c r="AF18" t="n">
        <ns0:f>IF(X18="",0,IF(COUNTIFS(Tasks[Task ID],X18)=1,MATCH(X18,Tasks[Task ID],0),-1))</ns0:f>
        <ns0:v>9</ns0:v>
      </ns0:c>
      <ns0:c r="AG18" t="n">
        <ns0:f>IF(Y18="",0,IF(COUNTIFS(Tasks[Task ID],Y18)=1,MATCH(Y18,Tasks[Task ID],0),-1))</ns0:f>
        <ns0:v>10</ns0:v>
      </ns0:c>
      <ns0:c r="AH18" t="n">
        <ns0:f>IF(Z18="",0,IF(COUNTIFS(Tasks[Task ID],Z18)=1,MATCH(Z18,Tasks[Task ID],0),-1))</ns0:f>
        <ns0:v>11</ns0:v>
      </ns0:c>
      <ns0:c r="AI18" t="n">
        <ns0:f>IF(AA18="",0,IF(COUNTIFS(Tasks[Task ID],AA18)=1,MATCH(AA18,Tasks[Task ID],0),-1))</ns0:f>
        <ns0:v>0</ns0:v>
      </ns0:c>
      <ns0:c r="AJ18" t="n">
        <ns0:f>IF(AB18="",0,IF(COUNTIFS(Tasks[Task ID],AB18)=1,MATCH(AB18,Tasks[Task ID],0),-1))</ns0:f>
        <ns0:v>0</ns0:v>
      </ns0:c>
      <ns0:c r="AK18" t="n">
        <ns0:f>COUNTIFS(AC18:AJ18,-1)+IF(T18&gt;8,1,0)</ns0:f>
        <ns0:v>0</ns0:v>
      </ns0:c>
      <ns0:c r="AL18" t="n">
        <ns0:f>IF(OR(A18="",S18&lt;&gt;""),0,SUM(IF(AC18&gt;0,IF($I18="FS",--($E18&lt;INDEX(Tasks[End Date],AC18)+IF(INDEX(Tasks[Milestone],AC18)="Yes",0,1)),IF($I18="SS",--($E18&lt;INDEX(Tasks[Start Date],AC18)),IF($I18="FF",--($F18&lt;INDEX(Tasks[End Date],AC18)),IF($I18="SF",--($F18&lt;INDEX(Tasks[Start Date],AC18)),0)))),0),IF(AD18&gt;0,IF($I18="FS",--($E18&lt;INDEX(Tasks[End Date],AD18)+IF(INDEX(Tasks[Milestone],AD18)="Yes",0,1)),IF($I18="SS",--($E18&lt;INDEX(Tasks[Start Date],AD18)),IF($I18="FF",--($F18&lt;INDEX(Tasks[End Date],AD18)),IF($I18="SF",--($F18&lt;INDEX(Tasks[Start Date],AD18)),0)))),0),IF(AE18&gt;0,IF($I18="FS",--($E18&lt;INDEX(Tasks[End Date],AE18)+IF(INDEX(Tasks[Milestone],AE18)="Yes",0,1)),IF($I18="SS",--($E18&lt;INDEX(Tasks[Start Date],AE18)),IF($I18="FF",--($F18&lt;INDEX(Tasks[End Date],AE18)),IF($I18="SF",--($F18&lt;INDEX(Tasks[Start Date],AE18)),0)))),0),IF(AF18&gt;0,IF($I18="FS",--($E18&lt;INDEX(Tasks[End Date],AF18)+IF(INDEX(Tasks[Milestone],AF18)="Yes",0,1)),IF($I18="SS",--($E18&lt;INDEX(Tasks[Start Date],AF18)),IF($I18="FF",--($F18&lt;INDEX(Tasks[End Date],AF18)),IF($I18="SF",--($F18&lt;INDEX(Tasks[Start Date],AF18)),0)))),0),IF(AG18&gt;0,IF($I18="FS",--($E18&lt;INDEX(Tasks[End Date],AG18)+IF(INDEX(Tasks[Milestone],AG18)="Yes",0,1)),IF($I18="SS",--($E18&lt;INDEX(Tasks[Start Date],AG18)),IF($I18="FF",--($F18&lt;INDEX(Tasks[End Date],AG18)),IF($I18="SF",--($F18&lt;INDEX(Tasks[Start Date],AG18)),0)))),0),IF(AH18&gt;0,IF($I18="FS",--($E18&lt;INDEX(Tasks[End Date],AH18)+IF(INDEX(Tasks[Milestone],AH18)="Yes",0,1)),IF($I18="SS",--($E18&lt;INDEX(Tasks[Start Date],AH18)),IF($I18="FF",--($F18&lt;INDEX(Tasks[End Date],AH18)),IF($I18="SF",--($F18&lt;INDEX(Tasks[Start Date],AH18)),0)))),0),IF(AI18&gt;0,IF($I18="FS",--($E18&lt;INDEX(Tasks[End Date],AI18)+IF(INDEX(Tasks[Milestone],AI18)="Yes",0,1)),IF($I18="SS",--($E18&lt;INDEX(Tasks[Start Date],AI18)),IF($I18="FF",--($F18&lt;INDEX(Tasks[End Date],AI18)),IF($I18="SF",--($F18&lt;INDEX(Tasks[Start Date],AI18)),0)))),0),IF(AJ18&gt;0,IF($I18="FS",--($E18&lt;INDEX(Tasks[End Date],AJ18)+IF(INDEX(Tasks[Milestone],AJ18)="Yes",0,1)),IF($I18="SS",--($E18&lt;INDEX(Tasks[Start Date],AJ18)),IF($I18="FF",--($F18&lt;INDEX(Tasks[End Date],AJ18)),IF($I18="SF",--($F18&lt;INDEX(Tasks[Start Date],AJ18)),0)))),0)))</ns0:f>
        <ns0:v>0</ns0:v>
      </ns0:c>
      <ns0:c r="AM18" t="n">
        <ns0:f>IF(AND(A18&lt;&gt;"",AK18=0,EP18=0),1,0)</ns0:f>
        <ns0:v>0</ns0:v>
      </ns0:c>
      <ns0:c r="AN18" t="str">
        <ns0:f>IF(OR(A18="",B18=""),"",IF(COUNTIFS($B$7:B18,B18)=1,MAX($AN$6:AN17)+1,""))</ns0:f>
      </ns0:c>
      <ns0:c r="AO18" t="n">
        <ns0:f>IF(AND(A18&lt;&gt;"",J18="No",N18&lt;1,E18&gt;=AsOfDate),E18+ROW()/10000,1E+9)</ns0:f>
        <ns0:v>1000000000</ns0:v>
      </ns0:c>
      <ns0:c r="AP18" t="n">
        <ns0:f>IF(AND(A18&lt;&gt;"",J18="Yes",N18&lt;1,E18&gt;=AsOfDate),E18+ROW()/10000,1E+9)</ns0:f>
        <ns0:v>46284.0018</ns0:v>
      </ns0:c>
      <ns0:c r="AQ18" t="n">
        <ns0:f>IF(AND(A18&lt;&gt;"",J18="No",N18&lt;1,F18&gt;=AsOfDate,F18&lt;=AsOfDate+7),F18+ROW()/10000,1E+9)</ns0:f>
        <ns0:v>1000000000</ns0:v>
      </ns0:c>
      <ns0:c r="AR18" t="n">
        <ns0:f>IF(AND(A18&lt;&gt;"",OR(O18&lt;&gt;"On track",Q18="Delayed")),ROW(),1E+9)</ns0:f>
        <ns0:v>1000000000</ns0:v>
      </ns0:c>
      <ns0:c r="AS18" t="str">
        <ns0:f>IF(A18="","",";"&amp;K18&amp;";")</ns0:f>
        <ns0:v>;Unassigned;</ns0:v>
      </ns0:c>
      <ns0:c r="AT18" t="n">
        <ns0:f>IF(A18="",1,--(T18=0))</ns0:f>
        <ns0:v>0</ns0:v>
      </ns0:c>
      <ns0:c r="AU18" t="n">
        <ns0:f>IF($A18="",1,IF(AT18=1,1,--AND(IF($AC18&gt;0,INDEX(AT$7:AT$106,$AC18),1),IF($AD18&gt;0,INDEX(AT$7:AT$106,$AD18),1),IF($AE18&gt;0,INDEX(AT$7:AT$106,$AE18),1),IF($AF18&gt;0,INDEX(AT$7:AT$106,$AF18),1),IF($AG18&gt;0,INDEX(AT$7:AT$106,$AG18),1),IF($AH18&gt;0,INDEX(AT$7:AT$106,$AH18),1),IF($AI18&gt;0,INDEX(AT$7:AT$106,$AI18),1),IF($AJ18&gt;0,INDEX(AT$7:AT$106,$AJ18),1))))</ns0:f>
        <ns0:v>0</ns0:v>
      </ns0:c>
      <ns0:c r="AV18" t="n">
        <ns0:f>IF($A18="",1,IF(AU18=1,1,--AND(IF($AC18&gt;0,INDEX(AU$7:AU$106,$AC18),1),IF($AD18&gt;0,INDEX(AU$7:AU$106,$AD18),1),IF($AE18&gt;0,INDEX(AU$7:AU$106,$AE18),1),IF($AF18&gt;0,INDEX(AU$7:AU$106,$AF18),1),IF($AG18&gt;0,INDEX(AU$7:AU$106,$AG18),1),IF($AH18&gt;0,INDEX(AU$7:AU$106,$AH18),1),IF($AI18&gt;0,INDEX(AU$7:AU$106,$AI18),1),IF($AJ18&gt;0,INDEX(AU$7:AU$106,$AJ18),1))))</ns0:f>
        <ns0:v>0</ns0:v>
      </ns0:c>
      <ns0:c r="AW18" t="n">
        <ns0:f>IF($A18="",1,IF(AV18=1,1,--AND(IF($AC18&gt;0,INDEX(AV$7:AV$106,$AC18),1),IF($AD18&gt;0,INDEX(AV$7:AV$106,$AD18),1),IF($AE18&gt;0,INDEX(AV$7:AV$106,$AE18),1),IF($AF18&gt;0,INDEX(AV$7:AV$106,$AF18),1),IF($AG18&gt;0,INDEX(AV$7:AV$106,$AG18),1),IF($AH18&gt;0,INDEX(AV$7:AV$106,$AH18),1),IF($AI18&gt;0,INDEX(AV$7:AV$106,$AI18),1),IF($AJ18&gt;0,INDEX(AV$7:AV$106,$AJ18),1))))</ns0:f>
        <ns0:v>0</ns0:v>
      </ns0:c>
      <ns0:c r="AX18" t="n">
        <ns0:f>IF($A18="",1,IF(AW18=1,1,--AND(IF($AC18&gt;0,INDEX(AW$7:AW$106,$AC18),1),IF($AD18&gt;0,INDEX(AW$7:AW$106,$AD18),1),IF($AE18&gt;0,INDEX(AW$7:AW$106,$AE18),1),IF($AF18&gt;0,INDEX(AW$7:AW$106,$AF18),1),IF($AG18&gt;0,INDEX(AW$7:AW$106,$AG18),1),IF($AH18&gt;0,INDEX(AW$7:AW$106,$AH18),1),IF($AI18&gt;0,INDEX(AW$7:AW$106,$AI18),1),IF($AJ18&gt;0,INDEX(AW$7:AW$106,$AJ18),1))))</ns0:f>
        <ns0:v>0</ns0:v>
      </ns0:c>
      <ns0:c r="AY18" t="n">
        <ns0:f>IF($A18="",1,IF(AX18=1,1,--AND(IF($AC18&gt;0,INDEX(AX$7:AX$106,$AC18),1),IF($AD18&gt;0,INDEX(AX$7:AX$106,$AD18),1),IF($AE18&gt;0,INDEX(AX$7:AX$106,$AE18),1),IF($AF18&gt;0,INDEX(AX$7:AX$106,$AF18),1),IF($AG18&gt;0,INDEX(AX$7:AX$106,$AG18),1),IF($AH18&gt;0,INDEX(AX$7:AX$106,$AH18),1),IF($AI18&gt;0,INDEX(AX$7:AX$106,$AI18),1),IF($AJ18&gt;0,INDEX(AX$7:AX$106,$AJ18),1))))</ns0:f>
        <ns0:v>1</ns0:v>
      </ns0:c>
      <ns0:c r="AZ18" t="n">
        <ns0:f>IF($A18="",1,IF(AY18=1,1,--AND(IF($AC18&gt;0,INDEX(AY$7:AY$106,$AC18),1),IF($AD18&gt;0,INDEX(AY$7:AY$106,$AD18),1),IF($AE18&gt;0,INDEX(AY$7:AY$106,$AE18),1),IF($AF18&gt;0,INDEX(AY$7:AY$106,$AF18),1),IF($AG18&gt;0,INDEX(AY$7:AY$106,$AG18),1),IF($AH18&gt;0,INDEX(AY$7:AY$106,$AH18),1),IF($AI18&gt;0,INDEX(AY$7:AY$106,$AI18),1),IF($AJ18&gt;0,INDEX(AY$7:AY$106,$AJ18),1))))</ns0:f>
        <ns0:v>1</ns0:v>
      </ns0:c>
      <ns0:c r="BA18" t="n">
        <ns0:f>IF($A18="",1,IF(AZ18=1,1,--AND(IF($AC18&gt;0,INDEX(AZ$7:AZ$106,$AC18),1),IF($AD18&gt;0,INDEX(AZ$7:AZ$106,$AD18),1),IF($AE18&gt;0,INDEX(AZ$7:AZ$106,$AE18),1),IF($AF18&gt;0,INDEX(AZ$7:AZ$106,$AF18),1),IF($AG18&gt;0,INDEX(AZ$7:AZ$106,$AG18),1),IF($AH18&gt;0,INDEX(AZ$7:AZ$106,$AH18),1),IF($AI18&gt;0,INDEX(AZ$7:AZ$106,$AI18),1),IF($AJ18&gt;0,INDEX(AZ$7:AZ$106,$AJ18),1))))</ns0:f>
        <ns0:v>1</ns0:v>
      </ns0:c>
      <ns0:c r="BB18" t="n">
        <ns0:f>IF($A18="",1,IF(BA18=1,1,--AND(IF($AC18&gt;0,INDEX(BA$7:BA$106,$AC18),1),IF($AD18&gt;0,INDEX(BA$7:BA$106,$AD18),1),IF($AE18&gt;0,INDEX(BA$7:BA$106,$AE18),1),IF($AF18&gt;0,INDEX(BA$7:BA$106,$AF18),1),IF($AG18&gt;0,INDEX(BA$7:BA$106,$AG18),1),IF($AH18&gt;0,INDEX(BA$7:BA$106,$AH18),1),IF($AI18&gt;0,INDEX(BA$7:BA$106,$AI18),1),IF($AJ18&gt;0,INDEX(BA$7:BA$106,$AJ18),1))))</ns0:f>
        <ns0:v>1</ns0:v>
      </ns0:c>
      <ns0:c r="BC18" t="n">
        <ns0:f>IF($A18="",1,IF(BB18=1,1,--AND(IF($AC18&gt;0,INDEX(BB$7:BB$106,$AC18),1),IF($AD18&gt;0,INDEX(BB$7:BB$106,$AD18),1),IF($AE18&gt;0,INDEX(BB$7:BB$106,$AE18),1),IF($AF18&gt;0,INDEX(BB$7:BB$106,$AF18),1),IF($AG18&gt;0,INDEX(BB$7:BB$106,$AG18),1),IF($AH18&gt;0,INDEX(BB$7:BB$106,$AH18),1),IF($AI18&gt;0,INDEX(BB$7:BB$106,$AI18),1),IF($AJ18&gt;0,INDEX(BB$7:BB$106,$AJ18),1))))</ns0:f>
        <ns0:v>1</ns0:v>
      </ns0:c>
      <ns0:c r="BD18" t="n">
        <ns0:f>IF($A18="",1,IF(BC18=1,1,--AND(IF($AC18&gt;0,INDEX(BC$7:BC$106,$AC18),1),IF($AD18&gt;0,INDEX(BC$7:BC$106,$AD18),1),IF($AE18&gt;0,INDEX(BC$7:BC$106,$AE18),1),IF($AF18&gt;0,INDEX(BC$7:BC$106,$AF18),1),IF($AG18&gt;0,INDEX(BC$7:BC$106,$AG18),1),IF($AH18&gt;0,INDEX(BC$7:BC$106,$AH18),1),IF($AI18&gt;0,INDEX(BC$7:BC$106,$AI18),1),IF($AJ18&gt;0,INDEX(BC$7:BC$106,$AJ18),1))))</ns0:f>
        <ns0:v>1</ns0:v>
      </ns0:c>
      <ns0:c r="BE18" t="n">
        <ns0:f>IF($A18="",1,IF(BD18=1,1,--AND(IF($AC18&gt;0,INDEX(BD$7:BD$106,$AC18),1),IF($AD18&gt;0,INDEX(BD$7:BD$106,$AD18),1),IF($AE18&gt;0,INDEX(BD$7:BD$106,$AE18),1),IF($AF18&gt;0,INDEX(BD$7:BD$106,$AF18),1),IF($AG18&gt;0,INDEX(BD$7:BD$106,$AG18),1),IF($AH18&gt;0,INDEX(BD$7:BD$106,$AH18),1),IF($AI18&gt;0,INDEX(BD$7:BD$106,$AI18),1),IF($AJ18&gt;0,INDEX(BD$7:BD$106,$AJ18),1))))</ns0:f>
        <ns0:v>1</ns0:v>
      </ns0:c>
      <ns0:c r="BF18" t="n">
        <ns0:f>IF($A18="",1,IF(BE18=1,1,--AND(IF($AC18&gt;0,INDEX(BE$7:BE$106,$AC18),1),IF($AD18&gt;0,INDEX(BE$7:BE$106,$AD18),1),IF($AE18&gt;0,INDEX(BE$7:BE$106,$AE18),1),IF($AF18&gt;0,INDEX(BE$7:BE$106,$AF18),1),IF($AG18&gt;0,INDEX(BE$7:BE$106,$AG18),1),IF($AH18&gt;0,INDEX(BE$7:BE$106,$AH18),1),IF($AI18&gt;0,INDEX(BE$7:BE$106,$AI18),1),IF($AJ18&gt;0,INDEX(BE$7:BE$106,$AJ18),1))))</ns0:f>
        <ns0:v>1</ns0:v>
      </ns0:c>
      <ns0:c r="BG18" t="n">
        <ns0:f>IF($A18="",1,IF(BF18=1,1,--AND(IF($AC18&gt;0,INDEX(BF$7:BF$106,$AC18),1),IF($AD18&gt;0,INDEX(BF$7:BF$106,$AD18),1),IF($AE18&gt;0,INDEX(BF$7:BF$106,$AE18),1),IF($AF18&gt;0,INDEX(BF$7:BF$106,$AF18),1),IF($AG18&gt;0,INDEX(BF$7:BF$106,$AG18),1),IF($AH18&gt;0,INDEX(BF$7:BF$106,$AH18),1),IF($AI18&gt;0,INDEX(BF$7:BF$106,$AI18),1),IF($AJ18&gt;0,INDEX(BF$7:BF$106,$AJ18),1))))</ns0:f>
        <ns0:v>1</ns0:v>
      </ns0:c>
      <ns0:c r="BH18" t="n">
        <ns0:f>IF($A18="",1,IF(BG18=1,1,--AND(IF($AC18&gt;0,INDEX(BG$7:BG$106,$AC18),1),IF($AD18&gt;0,INDEX(BG$7:BG$106,$AD18),1),IF($AE18&gt;0,INDEX(BG$7:BG$106,$AE18),1),IF($AF18&gt;0,INDEX(BG$7:BG$106,$AF18),1),IF($AG18&gt;0,INDEX(BG$7:BG$106,$AG18),1),IF($AH18&gt;0,INDEX(BG$7:BG$106,$AH18),1),IF($AI18&gt;0,INDEX(BG$7:BG$106,$AI18),1),IF($AJ18&gt;0,INDEX(BG$7:BG$106,$AJ18),1))))</ns0:f>
        <ns0:v>1</ns0:v>
      </ns0:c>
      <ns0:c r="BI18" t="n">
        <ns0:f>IF($A18="",1,IF(BH18=1,1,--AND(IF($AC18&gt;0,INDEX(BH$7:BH$106,$AC18),1),IF($AD18&gt;0,INDEX(BH$7:BH$106,$AD18),1),IF($AE18&gt;0,INDEX(BH$7:BH$106,$AE18),1),IF($AF18&gt;0,INDEX(BH$7:BH$106,$AF18),1),IF($AG18&gt;0,INDEX(BH$7:BH$106,$AG18),1),IF($AH18&gt;0,INDEX(BH$7:BH$106,$AH18),1),IF($AI18&gt;0,INDEX(BH$7:BH$106,$AI18),1),IF($AJ18&gt;0,INDEX(BH$7:BH$106,$AJ18),1))))</ns0:f>
        <ns0:v>1</ns0:v>
      </ns0:c>
      <ns0:c r="BJ18" t="n">
        <ns0:f>IF($A18="",1,IF(BI18=1,1,--AND(IF($AC18&gt;0,INDEX(BI$7:BI$106,$AC18),1),IF($AD18&gt;0,INDEX(BI$7:BI$106,$AD18),1),IF($AE18&gt;0,INDEX(BI$7:BI$106,$AE18),1),IF($AF18&gt;0,INDEX(BI$7:BI$106,$AF18),1),IF($AG18&gt;0,INDEX(BI$7:BI$106,$AG18),1),IF($AH18&gt;0,INDEX(BI$7:BI$106,$AH18),1),IF($AI18&gt;0,INDEX(BI$7:BI$106,$AI18),1),IF($AJ18&gt;0,INDEX(BI$7:BI$106,$AJ18),1))))</ns0:f>
        <ns0:v>1</ns0:v>
      </ns0:c>
      <ns0:c r="BK18" t="n">
        <ns0:f>IF($A18="",1,IF(BJ18=1,1,--AND(IF($AC18&gt;0,INDEX(BJ$7:BJ$106,$AC18),1),IF($AD18&gt;0,INDEX(BJ$7:BJ$106,$AD18),1),IF($AE18&gt;0,INDEX(BJ$7:BJ$106,$AE18),1),IF($AF18&gt;0,INDEX(BJ$7:BJ$106,$AF18),1),IF($AG18&gt;0,INDEX(BJ$7:BJ$106,$AG18),1),IF($AH18&gt;0,INDEX(BJ$7:BJ$106,$AH18),1),IF($AI18&gt;0,INDEX(BJ$7:BJ$106,$AI18),1),IF($AJ18&gt;0,INDEX(BJ$7:BJ$106,$AJ18),1))))</ns0:f>
        <ns0:v>1</ns0:v>
      </ns0:c>
      <ns0:c r="BL18" t="n">
        <ns0:f>IF($A18="",1,IF(BK18=1,1,--AND(IF($AC18&gt;0,INDEX(BK$7:BK$106,$AC18),1),IF($AD18&gt;0,INDEX(BK$7:BK$106,$AD18),1),IF($AE18&gt;0,INDEX(BK$7:BK$106,$AE18),1),IF($AF18&gt;0,INDEX(BK$7:BK$106,$AF18),1),IF($AG18&gt;0,INDEX(BK$7:BK$106,$AG18),1),IF($AH18&gt;0,INDEX(BK$7:BK$106,$AH18),1),IF($AI18&gt;0,INDEX(BK$7:BK$106,$AI18),1),IF($AJ18&gt;0,INDEX(BK$7:BK$106,$AJ18),1))))</ns0:f>
        <ns0:v>1</ns0:v>
      </ns0:c>
      <ns0:c r="BM18" t="n">
        <ns0:f>IF($A18="",1,IF(BL18=1,1,--AND(IF($AC18&gt;0,INDEX(BL$7:BL$106,$AC18),1),IF($AD18&gt;0,INDEX(BL$7:BL$106,$AD18),1),IF($AE18&gt;0,INDEX(BL$7:BL$106,$AE18),1),IF($AF18&gt;0,INDEX(BL$7:BL$106,$AF18),1),IF($AG18&gt;0,INDEX(BL$7:BL$106,$AG18),1),IF($AH18&gt;0,INDEX(BL$7:BL$106,$AH18),1),IF($AI18&gt;0,INDEX(BL$7:BL$106,$AI18),1),IF($AJ18&gt;0,INDEX(BL$7:BL$106,$AJ18),1))))</ns0:f>
        <ns0:v>1</ns0:v>
      </ns0:c>
      <ns0:c r="BN18" t="n">
        <ns0:f>IF($A18="",1,IF(BM18=1,1,--AND(IF($AC18&gt;0,INDEX(BM$7:BM$106,$AC18),1),IF($AD18&gt;0,INDEX(BM$7:BM$106,$AD18),1),IF($AE18&gt;0,INDEX(BM$7:BM$106,$AE18),1),IF($AF18&gt;0,INDEX(BM$7:BM$106,$AF18),1),IF($AG18&gt;0,INDEX(BM$7:BM$106,$AG18),1),IF($AH18&gt;0,INDEX(BM$7:BM$106,$AH18),1),IF($AI18&gt;0,INDEX(BM$7:BM$106,$AI18),1),IF($AJ18&gt;0,INDEX(BM$7:BM$106,$AJ18),1))))</ns0:f>
        <ns0:v>1</ns0:v>
      </ns0:c>
      <ns0:c r="BO18" t="n">
        <ns0:f>IF($A18="",1,IF(BN18=1,1,--AND(IF($AC18&gt;0,INDEX(BN$7:BN$106,$AC18),1),IF($AD18&gt;0,INDEX(BN$7:BN$106,$AD18),1),IF($AE18&gt;0,INDEX(BN$7:BN$106,$AE18),1),IF($AF18&gt;0,INDEX(BN$7:BN$106,$AF18),1),IF($AG18&gt;0,INDEX(BN$7:BN$106,$AG18),1),IF($AH18&gt;0,INDEX(BN$7:BN$106,$AH18),1),IF($AI18&gt;0,INDEX(BN$7:BN$106,$AI18),1),IF($AJ18&gt;0,INDEX(BN$7:BN$106,$AJ18),1))))</ns0:f>
        <ns0:v>1</ns0:v>
      </ns0:c>
      <ns0:c r="BP18" t="n">
        <ns0:f>IF($A18="",1,IF(BO18=1,1,--AND(IF($AC18&gt;0,INDEX(BO$7:BO$106,$AC18),1),IF($AD18&gt;0,INDEX(BO$7:BO$106,$AD18),1),IF($AE18&gt;0,INDEX(BO$7:BO$106,$AE18),1),IF($AF18&gt;0,INDEX(BO$7:BO$106,$AF18),1),IF($AG18&gt;0,INDEX(BO$7:BO$106,$AG18),1),IF($AH18&gt;0,INDEX(BO$7:BO$106,$AH18),1),IF($AI18&gt;0,INDEX(BO$7:BO$106,$AI18),1),IF($AJ18&gt;0,INDEX(BO$7:BO$106,$AJ18),1))))</ns0:f>
        <ns0:v>1</ns0:v>
      </ns0:c>
      <ns0:c r="BQ18" t="n">
        <ns0:f>IF($A18="",1,IF(BP18=1,1,--AND(IF($AC18&gt;0,INDEX(BP$7:BP$106,$AC18),1),IF($AD18&gt;0,INDEX(BP$7:BP$106,$AD18),1),IF($AE18&gt;0,INDEX(BP$7:BP$106,$AE18),1),IF($AF18&gt;0,INDEX(BP$7:BP$106,$AF18),1),IF($AG18&gt;0,INDEX(BP$7:BP$106,$AG18),1),IF($AH18&gt;0,INDEX(BP$7:BP$106,$AH18),1),IF($AI18&gt;0,INDEX(BP$7:BP$106,$AI18),1),IF($AJ18&gt;0,INDEX(BP$7:BP$106,$AJ18),1))))</ns0:f>
        <ns0:v>1</ns0:v>
      </ns0:c>
      <ns0:c r="BR18" t="n">
        <ns0:f>IF($A18="",1,IF(BQ18=1,1,--AND(IF($AC18&gt;0,INDEX(BQ$7:BQ$106,$AC18),1),IF($AD18&gt;0,INDEX(BQ$7:BQ$106,$AD18),1),IF($AE18&gt;0,INDEX(BQ$7:BQ$106,$AE18),1),IF($AF18&gt;0,INDEX(BQ$7:BQ$106,$AF18),1),IF($AG18&gt;0,INDEX(BQ$7:BQ$106,$AG18),1),IF($AH18&gt;0,INDEX(BQ$7:BQ$106,$AH18),1),IF($AI18&gt;0,INDEX(BQ$7:BQ$106,$AI18),1),IF($AJ18&gt;0,INDEX(BQ$7:BQ$106,$AJ18),1))))</ns0:f>
        <ns0:v>1</ns0:v>
      </ns0:c>
      <ns0:c r="BS18" t="n">
        <ns0:f>IF($A18="",1,IF(BR18=1,1,--AND(IF($AC18&gt;0,INDEX(BR$7:BR$106,$AC18),1),IF($AD18&gt;0,INDEX(BR$7:BR$106,$AD18),1),IF($AE18&gt;0,INDEX(BR$7:BR$106,$AE18),1),IF($AF18&gt;0,INDEX(BR$7:BR$106,$AF18),1),IF($AG18&gt;0,INDEX(BR$7:BR$106,$AG18),1),IF($AH18&gt;0,INDEX(BR$7:BR$106,$AH18),1),IF($AI18&gt;0,INDEX(BR$7:BR$106,$AI18),1),IF($AJ18&gt;0,INDEX(BR$7:BR$106,$AJ18),1))))</ns0:f>
        <ns0:v>1</ns0:v>
      </ns0:c>
      <ns0:c r="BT18" t="n">
        <ns0:f>IF($A18="",1,IF(BS18=1,1,--AND(IF($AC18&gt;0,INDEX(BS$7:BS$106,$AC18),1),IF($AD18&gt;0,INDEX(BS$7:BS$106,$AD18),1),IF($AE18&gt;0,INDEX(BS$7:BS$106,$AE18),1),IF($AF18&gt;0,INDEX(BS$7:BS$106,$AF18),1),IF($AG18&gt;0,INDEX(BS$7:BS$106,$AG18),1),IF($AH18&gt;0,INDEX(BS$7:BS$106,$AH18),1),IF($AI18&gt;0,INDEX(BS$7:BS$106,$AI18),1),IF($AJ18&gt;0,INDEX(BS$7:BS$106,$AJ18),1))))</ns0:f>
        <ns0:v>1</ns0:v>
      </ns0:c>
      <ns0:c r="BU18" t="n">
        <ns0:f>IF($A18="",1,IF(BT18=1,1,--AND(IF($AC18&gt;0,INDEX(BT$7:BT$106,$AC18),1),IF($AD18&gt;0,INDEX(BT$7:BT$106,$AD18),1),IF($AE18&gt;0,INDEX(BT$7:BT$106,$AE18),1),IF($AF18&gt;0,INDEX(BT$7:BT$106,$AF18),1),IF($AG18&gt;0,INDEX(BT$7:BT$106,$AG18),1),IF($AH18&gt;0,INDEX(BT$7:BT$106,$AH18),1),IF($AI18&gt;0,INDEX(BT$7:BT$106,$AI18),1),IF($AJ18&gt;0,INDEX(BT$7:BT$106,$AJ18),1))))</ns0:f>
        <ns0:v>1</ns0:v>
      </ns0:c>
      <ns0:c r="BV18" t="n">
        <ns0:f>IF($A18="",1,IF(BU18=1,1,--AND(IF($AC18&gt;0,INDEX(BU$7:BU$106,$AC18),1),IF($AD18&gt;0,INDEX(BU$7:BU$106,$AD18),1),IF($AE18&gt;0,INDEX(BU$7:BU$106,$AE18),1),IF($AF18&gt;0,INDEX(BU$7:BU$106,$AF18),1),IF($AG18&gt;0,INDEX(BU$7:BU$106,$AG18),1),IF($AH18&gt;0,INDEX(BU$7:BU$106,$AH18),1),IF($AI18&gt;0,INDEX(BU$7:BU$106,$AI18),1),IF($AJ18&gt;0,INDEX(BU$7:BU$106,$AJ18),1))))</ns0:f>
        <ns0:v>1</ns0:v>
      </ns0:c>
      <ns0:c r="BW18" t="n">
        <ns0:f>IF($A18="",1,IF(BV18=1,1,--AND(IF($AC18&gt;0,INDEX(BV$7:BV$106,$AC18),1),IF($AD18&gt;0,INDEX(BV$7:BV$106,$AD18),1),IF($AE18&gt;0,INDEX(BV$7:BV$106,$AE18),1),IF($AF18&gt;0,INDEX(BV$7:BV$106,$AF18),1),IF($AG18&gt;0,INDEX(BV$7:BV$106,$AG18),1),IF($AH18&gt;0,INDEX(BV$7:BV$106,$AH18),1),IF($AI18&gt;0,INDEX(BV$7:BV$106,$AI18),1),IF($AJ18&gt;0,INDEX(BV$7:BV$106,$AJ18),1))))</ns0:f>
        <ns0:v>1</ns0:v>
      </ns0:c>
      <ns0:c r="BX18" t="n">
        <ns0:f>IF($A18="",1,IF(BW18=1,1,--AND(IF($AC18&gt;0,INDEX(BW$7:BW$106,$AC18),1),IF($AD18&gt;0,INDEX(BW$7:BW$106,$AD18),1),IF($AE18&gt;0,INDEX(BW$7:BW$106,$AE18),1),IF($AF18&gt;0,INDEX(BW$7:BW$106,$AF18),1),IF($AG18&gt;0,INDEX(BW$7:BW$106,$AG18),1),IF($AH18&gt;0,INDEX(BW$7:BW$106,$AH18),1),IF($AI18&gt;0,INDEX(BW$7:BW$106,$AI18),1),IF($AJ18&gt;0,INDEX(BW$7:BW$106,$AJ18),1))))</ns0:f>
        <ns0:v>1</ns0:v>
      </ns0:c>
      <ns0:c r="BY18" t="n">
        <ns0:f>IF($A18="",1,IF(BX18=1,1,--AND(IF($AC18&gt;0,INDEX(BX$7:BX$106,$AC18),1),IF($AD18&gt;0,INDEX(BX$7:BX$106,$AD18),1),IF($AE18&gt;0,INDEX(BX$7:BX$106,$AE18),1),IF($AF18&gt;0,INDEX(BX$7:BX$106,$AF18),1),IF($AG18&gt;0,INDEX(BX$7:BX$106,$AG18),1),IF($AH18&gt;0,INDEX(BX$7:BX$106,$AH18),1),IF($AI18&gt;0,INDEX(BX$7:BX$106,$AI18),1),IF($AJ18&gt;0,INDEX(BX$7:BX$106,$AJ18),1))))</ns0:f>
        <ns0:v>1</ns0:v>
      </ns0:c>
      <ns0:c r="BZ18" t="n">
        <ns0:f>IF($A18="",1,IF(BY18=1,1,--AND(IF($AC18&gt;0,INDEX(BY$7:BY$106,$AC18),1),IF($AD18&gt;0,INDEX(BY$7:BY$106,$AD18),1),IF($AE18&gt;0,INDEX(BY$7:BY$106,$AE18),1),IF($AF18&gt;0,INDEX(BY$7:BY$106,$AF18),1),IF($AG18&gt;0,INDEX(BY$7:BY$106,$AG18),1),IF($AH18&gt;0,INDEX(BY$7:BY$106,$AH18),1),IF($AI18&gt;0,INDEX(BY$7:BY$106,$AI18),1),IF($AJ18&gt;0,INDEX(BY$7:BY$106,$AJ18),1))))</ns0:f>
        <ns0:v>1</ns0:v>
      </ns0:c>
      <ns0:c r="CA18" t="n">
        <ns0:f>IF($A18="",1,IF(BZ18=1,1,--AND(IF($AC18&gt;0,INDEX(BZ$7:BZ$106,$AC18),1),IF($AD18&gt;0,INDEX(BZ$7:BZ$106,$AD18),1),IF($AE18&gt;0,INDEX(BZ$7:BZ$106,$AE18),1),IF($AF18&gt;0,INDEX(BZ$7:BZ$106,$AF18),1),IF($AG18&gt;0,INDEX(BZ$7:BZ$106,$AG18),1),IF($AH18&gt;0,INDEX(BZ$7:BZ$106,$AH18),1),IF($AI18&gt;0,INDEX(BZ$7:BZ$106,$AI18),1),IF($AJ18&gt;0,INDEX(BZ$7:BZ$106,$AJ18),1))))</ns0:f>
        <ns0:v>1</ns0:v>
      </ns0:c>
      <ns0:c r="CB18" t="n">
        <ns0:f>IF($A18="",1,IF(CA18=1,1,--AND(IF($AC18&gt;0,INDEX(CA$7:CA$106,$AC18),1),IF($AD18&gt;0,INDEX(CA$7:CA$106,$AD18),1),IF($AE18&gt;0,INDEX(CA$7:CA$106,$AE18),1),IF($AF18&gt;0,INDEX(CA$7:CA$106,$AF18),1),IF($AG18&gt;0,INDEX(CA$7:CA$106,$AG18),1),IF($AH18&gt;0,INDEX(CA$7:CA$106,$AH18),1),IF($AI18&gt;0,INDEX(CA$7:CA$106,$AI18),1),IF($AJ18&gt;0,INDEX(CA$7:CA$106,$AJ18),1))))</ns0:f>
        <ns0:v>1</ns0:v>
      </ns0:c>
      <ns0:c r="CC18" t="n">
        <ns0:f>IF($A18="",1,IF(CB18=1,1,--AND(IF($AC18&gt;0,INDEX(CB$7:CB$106,$AC18),1),IF($AD18&gt;0,INDEX(CB$7:CB$106,$AD18),1),IF($AE18&gt;0,INDEX(CB$7:CB$106,$AE18),1),IF($AF18&gt;0,INDEX(CB$7:CB$106,$AF18),1),IF($AG18&gt;0,INDEX(CB$7:CB$106,$AG18),1),IF($AH18&gt;0,INDEX(CB$7:CB$106,$AH18),1),IF($AI18&gt;0,INDEX(CB$7:CB$106,$AI18),1),IF($AJ18&gt;0,INDEX(CB$7:CB$106,$AJ18),1))))</ns0:f>
        <ns0:v>1</ns0:v>
      </ns0:c>
      <ns0:c r="CD18" t="n">
        <ns0:f>IF($A18="",1,IF(CC18=1,1,--AND(IF($AC18&gt;0,INDEX(CC$7:CC$106,$AC18),1),IF($AD18&gt;0,INDEX(CC$7:CC$106,$AD18),1),IF($AE18&gt;0,INDEX(CC$7:CC$106,$AE18),1),IF($AF18&gt;0,INDEX(CC$7:CC$106,$AF18),1),IF($AG18&gt;0,INDEX(CC$7:CC$106,$AG18),1),IF($AH18&gt;0,INDEX(CC$7:CC$106,$AH18),1),IF($AI18&gt;0,INDEX(CC$7:CC$106,$AI18),1),IF($AJ18&gt;0,INDEX(CC$7:CC$106,$AJ18),1))))</ns0:f>
        <ns0:v>1</ns0:v>
      </ns0:c>
      <ns0:c r="CE18" t="n">
        <ns0:f>IF($A18="",1,IF(CD18=1,1,--AND(IF($AC18&gt;0,INDEX(CD$7:CD$106,$AC18),1),IF($AD18&gt;0,INDEX(CD$7:CD$106,$AD18),1),IF($AE18&gt;0,INDEX(CD$7:CD$106,$AE18),1),IF($AF18&gt;0,INDEX(CD$7:CD$106,$AF18),1),IF($AG18&gt;0,INDEX(CD$7:CD$106,$AG18),1),IF($AH18&gt;0,INDEX(CD$7:CD$106,$AH18),1),IF($AI18&gt;0,INDEX(CD$7:CD$106,$AI18),1),IF($AJ18&gt;0,INDEX(CD$7:CD$106,$AJ18),1))))</ns0:f>
        <ns0:v>1</ns0:v>
      </ns0:c>
      <ns0:c r="CF18" t="n">
        <ns0:f>IF($A18="",1,IF(CE18=1,1,--AND(IF($AC18&gt;0,INDEX(CE$7:CE$106,$AC18),1),IF($AD18&gt;0,INDEX(CE$7:CE$106,$AD18),1),IF($AE18&gt;0,INDEX(CE$7:CE$106,$AE18),1),IF($AF18&gt;0,INDEX(CE$7:CE$106,$AF18),1),IF($AG18&gt;0,INDEX(CE$7:CE$106,$AG18),1),IF($AH18&gt;0,INDEX(CE$7:CE$106,$AH18),1),IF($AI18&gt;0,INDEX(CE$7:CE$106,$AI18),1),IF($AJ18&gt;0,INDEX(CE$7:CE$106,$AJ18),1))))</ns0:f>
        <ns0:v>1</ns0:v>
      </ns0:c>
      <ns0:c r="CG18" t="n">
        <ns0:f>IF($A18="",1,IF(CF18=1,1,--AND(IF($AC18&gt;0,INDEX(CF$7:CF$106,$AC18),1),IF($AD18&gt;0,INDEX(CF$7:CF$106,$AD18),1),IF($AE18&gt;0,INDEX(CF$7:CF$106,$AE18),1),IF($AF18&gt;0,INDEX(CF$7:CF$106,$AF18),1),IF($AG18&gt;0,INDEX(CF$7:CF$106,$AG18),1),IF($AH18&gt;0,INDEX(CF$7:CF$106,$AH18),1),IF($AI18&gt;0,INDEX(CF$7:CF$106,$AI18),1),IF($AJ18&gt;0,INDEX(CF$7:CF$106,$AJ18),1))))</ns0:f>
        <ns0:v>1</ns0:v>
      </ns0:c>
      <ns0:c r="CH18" t="n">
        <ns0:f>IF($A18="",1,IF(CG18=1,1,--AND(IF($AC18&gt;0,INDEX(CG$7:CG$106,$AC18),1),IF($AD18&gt;0,INDEX(CG$7:CG$106,$AD18),1),IF($AE18&gt;0,INDEX(CG$7:CG$106,$AE18),1),IF($AF18&gt;0,INDEX(CG$7:CG$106,$AF18),1),IF($AG18&gt;0,INDEX(CG$7:CG$106,$AG18),1),IF($AH18&gt;0,INDEX(CG$7:CG$106,$AH18),1),IF($AI18&gt;0,INDEX(CG$7:CG$106,$AI18),1),IF($AJ18&gt;0,INDEX(CG$7:CG$106,$AJ18),1))))</ns0:f>
        <ns0:v>1</ns0:v>
      </ns0:c>
      <ns0:c r="CI18" t="n">
        <ns0:f>IF($A18="",1,IF(CH18=1,1,--AND(IF($AC18&gt;0,INDEX(CH$7:CH$106,$AC18),1),IF($AD18&gt;0,INDEX(CH$7:CH$106,$AD18),1),IF($AE18&gt;0,INDEX(CH$7:CH$106,$AE18),1),IF($AF18&gt;0,INDEX(CH$7:CH$106,$AF18),1),IF($AG18&gt;0,INDEX(CH$7:CH$106,$AG18),1),IF($AH18&gt;0,INDEX(CH$7:CH$106,$AH18),1),IF($AI18&gt;0,INDEX(CH$7:CH$106,$AI18),1),IF($AJ18&gt;0,INDEX(CH$7:CH$106,$AJ18),1))))</ns0:f>
        <ns0:v>1</ns0:v>
      </ns0:c>
      <ns0:c r="CJ18" t="n">
        <ns0:f>IF($A18="",1,IF(CI18=1,1,--AND(IF($AC18&gt;0,INDEX(CI$7:CI$106,$AC18),1),IF($AD18&gt;0,INDEX(CI$7:CI$106,$AD18),1),IF($AE18&gt;0,INDEX(CI$7:CI$106,$AE18),1),IF($AF18&gt;0,INDEX(CI$7:CI$106,$AF18),1),IF($AG18&gt;0,INDEX(CI$7:CI$106,$AG18),1),IF($AH18&gt;0,INDEX(CI$7:CI$106,$AH18),1),IF($AI18&gt;0,INDEX(CI$7:CI$106,$AI18),1),IF($AJ18&gt;0,INDEX(CI$7:CI$106,$AJ18),1))))</ns0:f>
        <ns0:v>1</ns0:v>
      </ns0:c>
      <ns0:c r="CK18" t="n">
        <ns0:f>IF($A18="",1,IF(CJ18=1,1,--AND(IF($AC18&gt;0,INDEX(CJ$7:CJ$106,$AC18),1),IF($AD18&gt;0,INDEX(CJ$7:CJ$106,$AD18),1),IF($AE18&gt;0,INDEX(CJ$7:CJ$106,$AE18),1),IF($AF18&gt;0,INDEX(CJ$7:CJ$106,$AF18),1),IF($AG18&gt;0,INDEX(CJ$7:CJ$106,$AG18),1),IF($AH18&gt;0,INDEX(CJ$7:CJ$106,$AH18),1),IF($AI18&gt;0,INDEX(CJ$7:CJ$106,$AI18),1),IF($AJ18&gt;0,INDEX(CJ$7:CJ$106,$AJ18),1))))</ns0:f>
        <ns0:v>1</ns0:v>
      </ns0:c>
      <ns0:c r="CL18" t="n">
        <ns0:f>IF($A18="",1,IF(CK18=1,1,--AND(IF($AC18&gt;0,INDEX(CK$7:CK$106,$AC18),1),IF($AD18&gt;0,INDEX(CK$7:CK$106,$AD18),1),IF($AE18&gt;0,INDEX(CK$7:CK$106,$AE18),1),IF($AF18&gt;0,INDEX(CK$7:CK$106,$AF18),1),IF($AG18&gt;0,INDEX(CK$7:CK$106,$AG18),1),IF($AH18&gt;0,INDEX(CK$7:CK$106,$AH18),1),IF($AI18&gt;0,INDEX(CK$7:CK$106,$AI18),1),IF($AJ18&gt;0,INDEX(CK$7:CK$106,$AJ18),1))))</ns0:f>
        <ns0:v>1</ns0:v>
      </ns0:c>
      <ns0:c r="CM18" t="n">
        <ns0:f>IF($A18="",1,IF(CL18=1,1,--AND(IF($AC18&gt;0,INDEX(CL$7:CL$106,$AC18),1),IF($AD18&gt;0,INDEX(CL$7:CL$106,$AD18),1),IF($AE18&gt;0,INDEX(CL$7:CL$106,$AE18),1),IF($AF18&gt;0,INDEX(CL$7:CL$106,$AF18),1),IF($AG18&gt;0,INDEX(CL$7:CL$106,$AG18),1),IF($AH18&gt;0,INDEX(CL$7:CL$106,$AH18),1),IF($AI18&gt;0,INDEX(CL$7:CL$106,$AI18),1),IF($AJ18&gt;0,INDEX(CL$7:CL$106,$AJ18),1))))</ns0:f>
        <ns0:v>1</ns0:v>
      </ns0:c>
      <ns0:c r="CN18" t="n">
        <ns0:f>IF($A18="",1,IF(CM18=1,1,--AND(IF($AC18&gt;0,INDEX(CM$7:CM$106,$AC18),1),IF($AD18&gt;0,INDEX(CM$7:CM$106,$AD18),1),IF($AE18&gt;0,INDEX(CM$7:CM$106,$AE18),1),IF($AF18&gt;0,INDEX(CM$7:CM$106,$AF18),1),IF($AG18&gt;0,INDEX(CM$7:CM$106,$AG18),1),IF($AH18&gt;0,INDEX(CM$7:CM$106,$AH18),1),IF($AI18&gt;0,INDEX(CM$7:CM$106,$AI18),1),IF($AJ18&gt;0,INDEX(CM$7:CM$106,$AJ18),1))))</ns0:f>
        <ns0:v>1</ns0:v>
      </ns0:c>
      <ns0:c r="CO18" t="n">
        <ns0:f>IF($A18="",1,IF(CN18=1,1,--AND(IF($AC18&gt;0,INDEX(CN$7:CN$106,$AC18),1),IF($AD18&gt;0,INDEX(CN$7:CN$106,$AD18),1),IF($AE18&gt;0,INDEX(CN$7:CN$106,$AE18),1),IF($AF18&gt;0,INDEX(CN$7:CN$106,$AF18),1),IF($AG18&gt;0,INDEX(CN$7:CN$106,$AG18),1),IF($AH18&gt;0,INDEX(CN$7:CN$106,$AH18),1),IF($AI18&gt;0,INDEX(CN$7:CN$106,$AI18),1),IF($AJ18&gt;0,INDEX(CN$7:CN$106,$AJ18),1))))</ns0:f>
        <ns0:v>1</ns0:v>
      </ns0:c>
      <ns0:c r="CP18" t="n">
        <ns0:f>IF($A18="",1,IF(CO18=1,1,--AND(IF($AC18&gt;0,INDEX(CO$7:CO$106,$AC18),1),IF($AD18&gt;0,INDEX(CO$7:CO$106,$AD18),1),IF($AE18&gt;0,INDEX(CO$7:CO$106,$AE18),1),IF($AF18&gt;0,INDEX(CO$7:CO$106,$AF18),1),IF($AG18&gt;0,INDEX(CO$7:CO$106,$AG18),1),IF($AH18&gt;0,INDEX(CO$7:CO$106,$AH18),1),IF($AI18&gt;0,INDEX(CO$7:CO$106,$AI18),1),IF($AJ18&gt;0,INDEX(CO$7:CO$106,$AJ18),1))))</ns0:f>
        <ns0:v>1</ns0:v>
      </ns0:c>
      <ns0:c r="CQ18" t="n">
        <ns0:f>IF($A18="",1,IF(CP18=1,1,--AND(IF($AC18&gt;0,INDEX(CP$7:CP$106,$AC18),1),IF($AD18&gt;0,INDEX(CP$7:CP$106,$AD18),1),IF($AE18&gt;0,INDEX(CP$7:CP$106,$AE18),1),IF($AF18&gt;0,INDEX(CP$7:CP$106,$AF18),1),IF($AG18&gt;0,INDEX(CP$7:CP$106,$AG18),1),IF($AH18&gt;0,INDEX(CP$7:CP$106,$AH18),1),IF($AI18&gt;0,INDEX(CP$7:CP$106,$AI18),1),IF($AJ18&gt;0,INDEX(CP$7:CP$106,$AJ18),1))))</ns0:f>
        <ns0:v>1</ns0:v>
      </ns0:c>
      <ns0:c r="CR18" t="n">
        <ns0:f>IF($A18="",1,IF(CQ18=1,1,--AND(IF($AC18&gt;0,INDEX(CQ$7:CQ$106,$AC18),1),IF($AD18&gt;0,INDEX(CQ$7:CQ$106,$AD18),1),IF($AE18&gt;0,INDEX(CQ$7:CQ$106,$AE18),1),IF($AF18&gt;0,INDEX(CQ$7:CQ$106,$AF18),1),IF($AG18&gt;0,INDEX(CQ$7:CQ$106,$AG18),1),IF($AH18&gt;0,INDEX(CQ$7:CQ$106,$AH18),1),IF($AI18&gt;0,INDEX(CQ$7:CQ$106,$AI18),1),IF($AJ18&gt;0,INDEX(CQ$7:CQ$106,$AJ18),1))))</ns0:f>
        <ns0:v>1</ns0:v>
      </ns0:c>
      <ns0:c r="CS18" t="n">
        <ns0:f>IF($A18="",1,IF(CR18=1,1,--AND(IF($AC18&gt;0,INDEX(CR$7:CR$106,$AC18),1),IF($AD18&gt;0,INDEX(CR$7:CR$106,$AD18),1),IF($AE18&gt;0,INDEX(CR$7:CR$106,$AE18),1),IF($AF18&gt;0,INDEX(CR$7:CR$106,$AF18),1),IF($AG18&gt;0,INDEX(CR$7:CR$106,$AG18),1),IF($AH18&gt;0,INDEX(CR$7:CR$106,$AH18),1),IF($AI18&gt;0,INDEX(CR$7:CR$106,$AI18),1),IF($AJ18&gt;0,INDEX(CR$7:CR$106,$AJ18),1))))</ns0:f>
        <ns0:v>1</ns0:v>
      </ns0:c>
      <ns0:c r="CT18" t="n">
        <ns0:f>IF($A18="",1,IF(CS18=1,1,--AND(IF($AC18&gt;0,INDEX(CS$7:CS$106,$AC18),1),IF($AD18&gt;0,INDEX(CS$7:CS$106,$AD18),1),IF($AE18&gt;0,INDEX(CS$7:CS$106,$AE18),1),IF($AF18&gt;0,INDEX(CS$7:CS$106,$AF18),1),IF($AG18&gt;0,INDEX(CS$7:CS$106,$AG18),1),IF($AH18&gt;0,INDEX(CS$7:CS$106,$AH18),1),IF($AI18&gt;0,INDEX(CS$7:CS$106,$AI18),1),IF($AJ18&gt;0,INDEX(CS$7:CS$106,$AJ18),1))))</ns0:f>
        <ns0:v>1</ns0:v>
      </ns0:c>
      <ns0:c r="CU18" t="n">
        <ns0:f>IF($A18="",1,IF(CT18=1,1,--AND(IF($AC18&gt;0,INDEX(CT$7:CT$106,$AC18),1),IF($AD18&gt;0,INDEX(CT$7:CT$106,$AD18),1),IF($AE18&gt;0,INDEX(CT$7:CT$106,$AE18),1),IF($AF18&gt;0,INDEX(CT$7:CT$106,$AF18),1),IF($AG18&gt;0,INDEX(CT$7:CT$106,$AG18),1),IF($AH18&gt;0,INDEX(CT$7:CT$106,$AH18),1),IF($AI18&gt;0,INDEX(CT$7:CT$106,$AI18),1),IF($AJ18&gt;0,INDEX(CT$7:CT$106,$AJ18),1))))</ns0:f>
        <ns0:v>1</ns0:v>
      </ns0:c>
      <ns0:c r="CV18" t="n">
        <ns0:f>IF($A18="",1,IF(CU18=1,1,--AND(IF($AC18&gt;0,INDEX(CU$7:CU$106,$AC18),1),IF($AD18&gt;0,INDEX(CU$7:CU$106,$AD18),1),IF($AE18&gt;0,INDEX(CU$7:CU$106,$AE18),1),IF($AF18&gt;0,INDEX(CU$7:CU$106,$AF18),1),IF($AG18&gt;0,INDEX(CU$7:CU$106,$AG18),1),IF($AH18&gt;0,INDEX(CU$7:CU$106,$AH18),1),IF($AI18&gt;0,INDEX(CU$7:CU$106,$AI18),1),IF($AJ18&gt;0,INDEX(CU$7:CU$106,$AJ18),1))))</ns0:f>
        <ns0:v>1</ns0:v>
      </ns0:c>
      <ns0:c r="CW18" t="n">
        <ns0:f>IF($A18="",1,IF(CV18=1,1,--AND(IF($AC18&gt;0,INDEX(CV$7:CV$106,$AC18),1),IF($AD18&gt;0,INDEX(CV$7:CV$106,$AD18),1),IF($AE18&gt;0,INDEX(CV$7:CV$106,$AE18),1),IF($AF18&gt;0,INDEX(CV$7:CV$106,$AF18),1),IF($AG18&gt;0,INDEX(CV$7:CV$106,$AG18),1),IF($AH18&gt;0,INDEX(CV$7:CV$106,$AH18),1),IF($AI18&gt;0,INDEX(CV$7:CV$106,$AI18),1),IF($AJ18&gt;0,INDEX(CV$7:CV$106,$AJ18),1))))</ns0:f>
        <ns0:v>1</ns0:v>
      </ns0:c>
      <ns0:c r="CX18" t="n">
        <ns0:f>IF($A18="",1,IF(CW18=1,1,--AND(IF($AC18&gt;0,INDEX(CW$7:CW$106,$AC18),1),IF($AD18&gt;0,INDEX(CW$7:CW$106,$AD18),1),IF($AE18&gt;0,INDEX(CW$7:CW$106,$AE18),1),IF($AF18&gt;0,INDEX(CW$7:CW$106,$AF18),1),IF($AG18&gt;0,INDEX(CW$7:CW$106,$AG18),1),IF($AH18&gt;0,INDEX(CW$7:CW$106,$AH18),1),IF($AI18&gt;0,INDEX(CW$7:CW$106,$AI18),1),IF($AJ18&gt;0,INDEX(CW$7:CW$106,$AJ18),1))))</ns0:f>
        <ns0:v>1</ns0:v>
      </ns0:c>
      <ns0:c r="CY18" t="n">
        <ns0:f>IF($A18="",1,IF(CX18=1,1,--AND(IF($AC18&gt;0,INDEX(CX$7:CX$106,$AC18),1),IF($AD18&gt;0,INDEX(CX$7:CX$106,$AD18),1),IF($AE18&gt;0,INDEX(CX$7:CX$106,$AE18),1),IF($AF18&gt;0,INDEX(CX$7:CX$106,$AF18),1),IF($AG18&gt;0,INDEX(CX$7:CX$106,$AG18),1),IF($AH18&gt;0,INDEX(CX$7:CX$106,$AH18),1),IF($AI18&gt;0,INDEX(CX$7:CX$106,$AI18),1),IF($AJ18&gt;0,INDEX(CX$7:CX$106,$AJ18),1))))</ns0:f>
        <ns0:v>1</ns0:v>
      </ns0:c>
      <ns0:c r="CZ18" t="n">
        <ns0:f>IF($A18="",1,IF(CY18=1,1,--AND(IF($AC18&gt;0,INDEX(CY$7:CY$106,$AC18),1),IF($AD18&gt;0,INDEX(CY$7:CY$106,$AD18),1),IF($AE18&gt;0,INDEX(CY$7:CY$106,$AE18),1),IF($AF18&gt;0,INDEX(CY$7:CY$106,$AF18),1),IF($AG18&gt;0,INDEX(CY$7:CY$106,$AG18),1),IF($AH18&gt;0,INDEX(CY$7:CY$106,$AH18),1),IF($AI18&gt;0,INDEX(CY$7:CY$106,$AI18),1),IF($AJ18&gt;0,INDEX(CY$7:CY$106,$AJ18),1))))</ns0:f>
        <ns0:v>1</ns0:v>
      </ns0:c>
      <ns0:c r="DA18" t="n">
        <ns0:f>IF($A18="",1,IF(CZ18=1,1,--AND(IF($AC18&gt;0,INDEX(CZ$7:CZ$106,$AC18),1),IF($AD18&gt;0,INDEX(CZ$7:CZ$106,$AD18),1),IF($AE18&gt;0,INDEX(CZ$7:CZ$106,$AE18),1),IF($AF18&gt;0,INDEX(CZ$7:CZ$106,$AF18),1),IF($AG18&gt;0,INDEX(CZ$7:CZ$106,$AG18),1),IF($AH18&gt;0,INDEX(CZ$7:CZ$106,$AH18),1),IF($AI18&gt;0,INDEX(CZ$7:CZ$106,$AI18),1),IF($AJ18&gt;0,INDEX(CZ$7:CZ$106,$AJ18),1))))</ns0:f>
        <ns0:v>1</ns0:v>
      </ns0:c>
      <ns0:c r="DB18" t="n">
        <ns0:f>IF($A18="",1,IF(DA18=1,1,--AND(IF($AC18&gt;0,INDEX(DA$7:DA$106,$AC18),1),IF($AD18&gt;0,INDEX(DA$7:DA$106,$AD18),1),IF($AE18&gt;0,INDEX(DA$7:DA$106,$AE18),1),IF($AF18&gt;0,INDEX(DA$7:DA$106,$AF18),1),IF($AG18&gt;0,INDEX(DA$7:DA$106,$AG18),1),IF($AH18&gt;0,INDEX(DA$7:DA$106,$AH18),1),IF($AI18&gt;0,INDEX(DA$7:DA$106,$AI18),1),IF($AJ18&gt;0,INDEX(DA$7:DA$106,$AJ18),1))))</ns0:f>
        <ns0:v>1</ns0:v>
      </ns0:c>
      <ns0:c r="DC18" t="n">
        <ns0:f>IF($A18="",1,IF(DB18=1,1,--AND(IF($AC18&gt;0,INDEX(DB$7:DB$106,$AC18),1),IF($AD18&gt;0,INDEX(DB$7:DB$106,$AD18),1),IF($AE18&gt;0,INDEX(DB$7:DB$106,$AE18),1),IF($AF18&gt;0,INDEX(DB$7:DB$106,$AF18),1),IF($AG18&gt;0,INDEX(DB$7:DB$106,$AG18),1),IF($AH18&gt;0,INDEX(DB$7:DB$106,$AH18),1),IF($AI18&gt;0,INDEX(DB$7:DB$106,$AI18),1),IF($AJ18&gt;0,INDEX(DB$7:DB$106,$AJ18),1))))</ns0:f>
        <ns0:v>1</ns0:v>
      </ns0:c>
      <ns0:c r="DD18" t="n">
        <ns0:f>IF($A18="",1,IF(DC18=1,1,--AND(IF($AC18&gt;0,INDEX(DC$7:DC$106,$AC18),1),IF($AD18&gt;0,INDEX(DC$7:DC$106,$AD18),1),IF($AE18&gt;0,INDEX(DC$7:DC$106,$AE18),1),IF($AF18&gt;0,INDEX(DC$7:DC$106,$AF18),1),IF($AG18&gt;0,INDEX(DC$7:DC$106,$AG18),1),IF($AH18&gt;0,INDEX(DC$7:DC$106,$AH18),1),IF($AI18&gt;0,INDEX(DC$7:DC$106,$AI18),1),IF($AJ18&gt;0,INDEX(DC$7:DC$106,$AJ18),1))))</ns0:f>
        <ns0:v>1</ns0:v>
      </ns0:c>
      <ns0:c r="DE18" t="n">
        <ns0:f>IF($A18="",1,IF(DD18=1,1,--AND(IF($AC18&gt;0,INDEX(DD$7:DD$106,$AC18),1),IF($AD18&gt;0,INDEX(DD$7:DD$106,$AD18),1),IF($AE18&gt;0,INDEX(DD$7:DD$106,$AE18),1),IF($AF18&gt;0,INDEX(DD$7:DD$106,$AF18),1),IF($AG18&gt;0,INDEX(DD$7:DD$106,$AG18),1),IF($AH18&gt;0,INDEX(DD$7:DD$106,$AH18),1),IF($AI18&gt;0,INDEX(DD$7:DD$106,$AI18),1),IF($AJ18&gt;0,INDEX(DD$7:DD$106,$AJ18),1))))</ns0:f>
        <ns0:v>1</ns0:v>
      </ns0:c>
      <ns0:c r="DF18" t="n">
        <ns0:f>IF($A18="",1,IF(DE18=1,1,--AND(IF($AC18&gt;0,INDEX(DE$7:DE$106,$AC18),1),IF($AD18&gt;0,INDEX(DE$7:DE$106,$AD18),1),IF($AE18&gt;0,INDEX(DE$7:DE$106,$AE18),1),IF($AF18&gt;0,INDEX(DE$7:DE$106,$AF18),1),IF($AG18&gt;0,INDEX(DE$7:DE$106,$AG18),1),IF($AH18&gt;0,INDEX(DE$7:DE$106,$AH18),1),IF($AI18&gt;0,INDEX(DE$7:DE$106,$AI18),1),IF($AJ18&gt;0,INDEX(DE$7:DE$106,$AJ18),1))))</ns0:f>
        <ns0:v>1</ns0:v>
      </ns0:c>
      <ns0:c r="DG18" t="n">
        <ns0:f>IF($A18="",1,IF(DF18=1,1,--AND(IF($AC18&gt;0,INDEX(DF$7:DF$106,$AC18),1),IF($AD18&gt;0,INDEX(DF$7:DF$106,$AD18),1),IF($AE18&gt;0,INDEX(DF$7:DF$106,$AE18),1),IF($AF18&gt;0,INDEX(DF$7:DF$106,$AF18),1),IF($AG18&gt;0,INDEX(DF$7:DF$106,$AG18),1),IF($AH18&gt;0,INDEX(DF$7:DF$106,$AH18),1),IF($AI18&gt;0,INDEX(DF$7:DF$106,$AI18),1),IF($AJ18&gt;0,INDEX(DF$7:DF$106,$AJ18),1))))</ns0:f>
        <ns0:v>1</ns0:v>
      </ns0:c>
      <ns0:c r="DH18" t="n">
        <ns0:f>IF($A18="",1,IF(DG18=1,1,--AND(IF($AC18&gt;0,INDEX(DG$7:DG$106,$AC18),1),IF($AD18&gt;0,INDEX(DG$7:DG$106,$AD18),1),IF($AE18&gt;0,INDEX(DG$7:DG$106,$AE18),1),IF($AF18&gt;0,INDEX(DG$7:DG$106,$AF18),1),IF($AG18&gt;0,INDEX(DG$7:DG$106,$AG18),1),IF($AH18&gt;0,INDEX(DG$7:DG$106,$AH18),1),IF($AI18&gt;0,INDEX(DG$7:DG$106,$AI18),1),IF($AJ18&gt;0,INDEX(DG$7:DG$106,$AJ18),1))))</ns0:f>
        <ns0:v>1</ns0:v>
      </ns0:c>
      <ns0:c r="DI18" t="n">
        <ns0:f>IF($A18="",1,IF(DH18=1,1,--AND(IF($AC18&gt;0,INDEX(DH$7:DH$106,$AC18),1),IF($AD18&gt;0,INDEX(DH$7:DH$106,$AD18),1),IF($AE18&gt;0,INDEX(DH$7:DH$106,$AE18),1),IF($AF18&gt;0,INDEX(DH$7:DH$106,$AF18),1),IF($AG18&gt;0,INDEX(DH$7:DH$106,$AG18),1),IF($AH18&gt;0,INDEX(DH$7:DH$106,$AH18),1),IF($AI18&gt;0,INDEX(DH$7:DH$106,$AI18),1),IF($AJ18&gt;0,INDEX(DH$7:DH$106,$AJ18),1))))</ns0:f>
        <ns0:v>1</ns0:v>
      </ns0:c>
      <ns0:c r="DJ18" t="n">
        <ns0:f>IF($A18="",1,IF(DI18=1,1,--AND(IF($AC18&gt;0,INDEX(DI$7:DI$106,$AC18),1),IF($AD18&gt;0,INDEX(DI$7:DI$106,$AD18),1),IF($AE18&gt;0,INDEX(DI$7:DI$106,$AE18),1),IF($AF18&gt;0,INDEX(DI$7:DI$106,$AF18),1),IF($AG18&gt;0,INDEX(DI$7:DI$106,$AG18),1),IF($AH18&gt;0,INDEX(DI$7:DI$106,$AH18),1),IF($AI18&gt;0,INDEX(DI$7:DI$106,$AI18),1),IF($AJ18&gt;0,INDEX(DI$7:DI$106,$AJ18),1))))</ns0:f>
        <ns0:v>1</ns0:v>
      </ns0:c>
      <ns0:c r="DK18" t="n">
        <ns0:f>IF($A18="",1,IF(DJ18=1,1,--AND(IF($AC18&gt;0,INDEX(DJ$7:DJ$106,$AC18),1),IF($AD18&gt;0,INDEX(DJ$7:DJ$106,$AD18),1),IF($AE18&gt;0,INDEX(DJ$7:DJ$106,$AE18),1),IF($AF18&gt;0,INDEX(DJ$7:DJ$106,$AF18),1),IF($AG18&gt;0,INDEX(DJ$7:DJ$106,$AG18),1),IF($AH18&gt;0,INDEX(DJ$7:DJ$106,$AH18),1),IF($AI18&gt;0,INDEX(DJ$7:DJ$106,$AI18),1),IF($AJ18&gt;0,INDEX(DJ$7:DJ$106,$AJ18),1))))</ns0:f>
        <ns0:v>1</ns0:v>
      </ns0:c>
      <ns0:c r="DL18" t="n">
        <ns0:f>IF($A18="",1,IF(DK18=1,1,--AND(IF($AC18&gt;0,INDEX(DK$7:DK$106,$AC18),1),IF($AD18&gt;0,INDEX(DK$7:DK$106,$AD18),1),IF($AE18&gt;0,INDEX(DK$7:DK$106,$AE18),1),IF($AF18&gt;0,INDEX(DK$7:DK$106,$AF18),1),IF($AG18&gt;0,INDEX(DK$7:DK$106,$AG18),1),IF($AH18&gt;0,INDEX(DK$7:DK$106,$AH18),1),IF($AI18&gt;0,INDEX(DK$7:DK$106,$AI18),1),IF($AJ18&gt;0,INDEX(DK$7:DK$106,$AJ18),1))))</ns0:f>
        <ns0:v>1</ns0:v>
      </ns0:c>
      <ns0:c r="DM18" t="n">
        <ns0:f>IF($A18="",1,IF(DL18=1,1,--AND(IF($AC18&gt;0,INDEX(DL$7:DL$106,$AC18),1),IF($AD18&gt;0,INDEX(DL$7:DL$106,$AD18),1),IF($AE18&gt;0,INDEX(DL$7:DL$106,$AE18),1),IF($AF18&gt;0,INDEX(DL$7:DL$106,$AF18),1),IF($AG18&gt;0,INDEX(DL$7:DL$106,$AG18),1),IF($AH18&gt;0,INDEX(DL$7:DL$106,$AH18),1),IF($AI18&gt;0,INDEX(DL$7:DL$106,$AI18),1),IF($AJ18&gt;0,INDEX(DL$7:DL$106,$AJ18),1))))</ns0:f>
        <ns0:v>1</ns0:v>
      </ns0:c>
      <ns0:c r="DN18" t="n">
        <ns0:f>IF($A18="",1,IF(DM18=1,1,--AND(IF($AC18&gt;0,INDEX(DM$7:DM$106,$AC18),1),IF($AD18&gt;0,INDEX(DM$7:DM$106,$AD18),1),IF($AE18&gt;0,INDEX(DM$7:DM$106,$AE18),1),IF($AF18&gt;0,INDEX(DM$7:DM$106,$AF18),1),IF($AG18&gt;0,INDEX(DM$7:DM$106,$AG18),1),IF($AH18&gt;0,INDEX(DM$7:DM$106,$AH18),1),IF($AI18&gt;0,INDEX(DM$7:DM$106,$AI18),1),IF($AJ18&gt;0,INDEX(DM$7:DM$106,$AJ18),1))))</ns0:f>
        <ns0:v>1</ns0:v>
      </ns0:c>
      <ns0:c r="DO18" t="n">
        <ns0:f>IF($A18="",1,IF(DN18=1,1,--AND(IF($AC18&gt;0,INDEX(DN$7:DN$106,$AC18),1),IF($AD18&gt;0,INDEX(DN$7:DN$106,$AD18),1),IF($AE18&gt;0,INDEX(DN$7:DN$106,$AE18),1),IF($AF18&gt;0,INDEX(DN$7:DN$106,$AF18),1),IF($AG18&gt;0,INDEX(DN$7:DN$106,$AG18),1),IF($AH18&gt;0,INDEX(DN$7:DN$106,$AH18),1),IF($AI18&gt;0,INDEX(DN$7:DN$106,$AI18),1),IF($AJ18&gt;0,INDEX(DN$7:DN$106,$AJ18),1))))</ns0:f>
        <ns0:v>1</ns0:v>
      </ns0:c>
      <ns0:c r="DP18" t="n">
        <ns0:f>IF($A18="",1,IF(DO18=1,1,--AND(IF($AC18&gt;0,INDEX(DO$7:DO$106,$AC18),1),IF($AD18&gt;0,INDEX(DO$7:DO$106,$AD18),1),IF($AE18&gt;0,INDEX(DO$7:DO$106,$AE18),1),IF($AF18&gt;0,INDEX(DO$7:DO$106,$AF18),1),IF($AG18&gt;0,INDEX(DO$7:DO$106,$AG18),1),IF($AH18&gt;0,INDEX(DO$7:DO$106,$AH18),1),IF($AI18&gt;0,INDEX(DO$7:DO$106,$AI18),1),IF($AJ18&gt;0,INDEX(DO$7:DO$106,$AJ18),1))))</ns0:f>
        <ns0:v>1</ns0:v>
      </ns0:c>
      <ns0:c r="DQ18" t="n">
        <ns0:f>IF($A18="",1,IF(DP18=1,1,--AND(IF($AC18&gt;0,INDEX(DP$7:DP$106,$AC18),1),IF($AD18&gt;0,INDEX(DP$7:DP$106,$AD18),1),IF($AE18&gt;0,INDEX(DP$7:DP$106,$AE18),1),IF($AF18&gt;0,INDEX(DP$7:DP$106,$AF18),1),IF($AG18&gt;0,INDEX(DP$7:DP$106,$AG18),1),IF($AH18&gt;0,INDEX(DP$7:DP$106,$AH18),1),IF($AI18&gt;0,INDEX(DP$7:DP$106,$AI18),1),IF($AJ18&gt;0,INDEX(DP$7:DP$106,$AJ18),1))))</ns0:f>
        <ns0:v>1</ns0:v>
      </ns0:c>
      <ns0:c r="DR18" t="n">
        <ns0:f>IF($A18="",1,IF(DQ18=1,1,--AND(IF($AC18&gt;0,INDEX(DQ$7:DQ$106,$AC18),1),IF($AD18&gt;0,INDEX(DQ$7:DQ$106,$AD18),1),IF($AE18&gt;0,INDEX(DQ$7:DQ$106,$AE18),1),IF($AF18&gt;0,INDEX(DQ$7:DQ$106,$AF18),1),IF($AG18&gt;0,INDEX(DQ$7:DQ$106,$AG18),1),IF($AH18&gt;0,INDEX(DQ$7:DQ$106,$AH18),1),IF($AI18&gt;0,INDEX(DQ$7:DQ$106,$AI18),1),IF($AJ18&gt;0,INDEX(DQ$7:DQ$106,$AJ18),1))))</ns0:f>
        <ns0:v>1</ns0:v>
      </ns0:c>
      <ns0:c r="DS18" t="n">
        <ns0:f>IF($A18="",1,IF(DR18=1,1,--AND(IF($AC18&gt;0,INDEX(DR$7:DR$106,$AC18),1),IF($AD18&gt;0,INDEX(DR$7:DR$106,$AD18),1),IF($AE18&gt;0,INDEX(DR$7:DR$106,$AE18),1),IF($AF18&gt;0,INDEX(DR$7:DR$106,$AF18),1),IF($AG18&gt;0,INDEX(DR$7:DR$106,$AG18),1),IF($AH18&gt;0,INDEX(DR$7:DR$106,$AH18),1),IF($AI18&gt;0,INDEX(DR$7:DR$106,$AI18),1),IF($AJ18&gt;0,INDEX(DR$7:DR$106,$AJ18),1))))</ns0:f>
        <ns0:v>1</ns0:v>
      </ns0:c>
      <ns0:c r="DT18" t="n">
        <ns0:f>IF($A18="",1,IF(DS18=1,1,--AND(IF($AC18&gt;0,INDEX(DS$7:DS$106,$AC18),1),IF($AD18&gt;0,INDEX(DS$7:DS$106,$AD18),1),IF($AE18&gt;0,INDEX(DS$7:DS$106,$AE18),1),IF($AF18&gt;0,INDEX(DS$7:DS$106,$AF18),1),IF($AG18&gt;0,INDEX(DS$7:DS$106,$AG18),1),IF($AH18&gt;0,INDEX(DS$7:DS$106,$AH18),1),IF($AI18&gt;0,INDEX(DS$7:DS$106,$AI18),1),IF($AJ18&gt;0,INDEX(DS$7:DS$106,$AJ18),1))))</ns0:f>
        <ns0:v>1</ns0:v>
      </ns0:c>
      <ns0:c r="DU18" t="n">
        <ns0:f>IF($A18="",1,IF(DT18=1,1,--AND(IF($AC18&gt;0,INDEX(DT$7:DT$106,$AC18),1),IF($AD18&gt;0,INDEX(DT$7:DT$106,$AD18),1),IF($AE18&gt;0,INDEX(DT$7:DT$106,$AE18),1),IF($AF18&gt;0,INDEX(DT$7:DT$106,$AF18),1),IF($AG18&gt;0,INDEX(DT$7:DT$106,$AG18),1),IF($AH18&gt;0,INDEX(DT$7:DT$106,$AH18),1),IF($AI18&gt;0,INDEX(DT$7:DT$106,$AI18),1),IF($AJ18&gt;0,INDEX(DT$7:DT$106,$AJ18),1))))</ns0:f>
        <ns0:v>1</ns0:v>
      </ns0:c>
      <ns0:c r="DV18" t="n">
        <ns0:f>IF($A18="",1,IF(DU18=1,1,--AND(IF($AC18&gt;0,INDEX(DU$7:DU$106,$AC18),1),IF($AD18&gt;0,INDEX(DU$7:DU$106,$AD18),1),IF($AE18&gt;0,INDEX(DU$7:DU$106,$AE18),1),IF($AF18&gt;0,INDEX(DU$7:DU$106,$AF18),1),IF($AG18&gt;0,INDEX(DU$7:DU$106,$AG18),1),IF($AH18&gt;0,INDEX(DU$7:DU$106,$AH18),1),IF($AI18&gt;0,INDEX(DU$7:DU$106,$AI18),1),IF($AJ18&gt;0,INDEX(DU$7:DU$106,$AJ18),1))))</ns0:f>
        <ns0:v>1</ns0:v>
      </ns0:c>
      <ns0:c r="DW18" t="n">
        <ns0:f>IF($A18="",1,IF(DV18=1,1,--AND(IF($AC18&gt;0,INDEX(DV$7:DV$106,$AC18),1),IF($AD18&gt;0,INDEX(DV$7:DV$106,$AD18),1),IF($AE18&gt;0,INDEX(DV$7:DV$106,$AE18),1),IF($AF18&gt;0,INDEX(DV$7:DV$106,$AF18),1),IF($AG18&gt;0,INDEX(DV$7:DV$106,$AG18),1),IF($AH18&gt;0,INDEX(DV$7:DV$106,$AH18),1),IF($AI18&gt;0,INDEX(DV$7:DV$106,$AI18),1),IF($AJ18&gt;0,INDEX(DV$7:DV$106,$AJ18),1))))</ns0:f>
        <ns0:v>1</ns0:v>
      </ns0:c>
      <ns0:c r="DX18" t="n">
        <ns0:f>IF($A18="",1,IF(DW18=1,1,--AND(IF($AC18&gt;0,INDEX(DW$7:DW$106,$AC18),1),IF($AD18&gt;0,INDEX(DW$7:DW$106,$AD18),1),IF($AE18&gt;0,INDEX(DW$7:DW$106,$AE18),1),IF($AF18&gt;0,INDEX(DW$7:DW$106,$AF18),1),IF($AG18&gt;0,INDEX(DW$7:DW$106,$AG18),1),IF($AH18&gt;0,INDEX(DW$7:DW$106,$AH18),1),IF($AI18&gt;0,INDEX(DW$7:DW$106,$AI18),1),IF($AJ18&gt;0,INDEX(DW$7:DW$106,$AJ18),1))))</ns0:f>
        <ns0:v>1</ns0:v>
      </ns0:c>
      <ns0:c r="DY18" t="n">
        <ns0:f>IF($A18="",1,IF(DX18=1,1,--AND(IF($AC18&gt;0,INDEX(DX$7:DX$106,$AC18),1),IF($AD18&gt;0,INDEX(DX$7:DX$106,$AD18),1),IF($AE18&gt;0,INDEX(DX$7:DX$106,$AE18),1),IF($AF18&gt;0,INDEX(DX$7:DX$106,$AF18),1),IF($AG18&gt;0,INDEX(DX$7:DX$106,$AG18),1),IF($AH18&gt;0,INDEX(DX$7:DX$106,$AH18),1),IF($AI18&gt;0,INDEX(DX$7:DX$106,$AI18),1),IF($AJ18&gt;0,INDEX(DX$7:DX$106,$AJ18),1))))</ns0:f>
        <ns0:v>1</ns0:v>
      </ns0:c>
      <ns0:c r="DZ18" t="n">
        <ns0:f>IF($A18="",1,IF(DY18=1,1,--AND(IF($AC18&gt;0,INDEX(DY$7:DY$106,$AC18),1),IF($AD18&gt;0,INDEX(DY$7:DY$106,$AD18),1),IF($AE18&gt;0,INDEX(DY$7:DY$106,$AE18),1),IF($AF18&gt;0,INDEX(DY$7:DY$106,$AF18),1),IF($AG18&gt;0,INDEX(DY$7:DY$106,$AG18),1),IF($AH18&gt;0,INDEX(DY$7:DY$106,$AH18),1),IF($AI18&gt;0,INDEX(DY$7:DY$106,$AI18),1),IF($AJ18&gt;0,INDEX(DY$7:DY$106,$AJ18),1))))</ns0:f>
        <ns0:v>1</ns0:v>
      </ns0:c>
      <ns0:c r="EA18" t="n">
        <ns0:f>IF($A18="",1,IF(DZ18=1,1,--AND(IF($AC18&gt;0,INDEX(DZ$7:DZ$106,$AC18),1),IF($AD18&gt;0,INDEX(DZ$7:DZ$106,$AD18),1),IF($AE18&gt;0,INDEX(DZ$7:DZ$106,$AE18),1),IF($AF18&gt;0,INDEX(DZ$7:DZ$106,$AF18),1),IF($AG18&gt;0,INDEX(DZ$7:DZ$106,$AG18),1),IF($AH18&gt;0,INDEX(DZ$7:DZ$106,$AH18),1),IF($AI18&gt;0,INDEX(DZ$7:DZ$106,$AI18),1),IF($AJ18&gt;0,INDEX(DZ$7:DZ$106,$AJ18),1))))</ns0:f>
        <ns0:v>1</ns0:v>
      </ns0:c>
      <ns0:c r="EB18" t="n">
        <ns0:f>IF($A18="",1,IF(EA18=1,1,--AND(IF($AC18&gt;0,INDEX(EA$7:EA$106,$AC18),1),IF($AD18&gt;0,INDEX(EA$7:EA$106,$AD18),1),IF($AE18&gt;0,INDEX(EA$7:EA$106,$AE18),1),IF($AF18&gt;0,INDEX(EA$7:EA$106,$AF18),1),IF($AG18&gt;0,INDEX(EA$7:EA$106,$AG18),1),IF($AH18&gt;0,INDEX(EA$7:EA$106,$AH18),1),IF($AI18&gt;0,INDEX(EA$7:EA$106,$AI18),1),IF($AJ18&gt;0,INDEX(EA$7:EA$106,$AJ18),1))))</ns0:f>
        <ns0:v>1</ns0:v>
      </ns0:c>
      <ns0:c r="EC18" t="n">
        <ns0:f>IF($A18="",1,IF(EB18=1,1,--AND(IF($AC18&gt;0,INDEX(EB$7:EB$106,$AC18),1),IF($AD18&gt;0,INDEX(EB$7:EB$106,$AD18),1),IF($AE18&gt;0,INDEX(EB$7:EB$106,$AE18),1),IF($AF18&gt;0,INDEX(EB$7:EB$106,$AF18),1),IF($AG18&gt;0,INDEX(EB$7:EB$106,$AG18),1),IF($AH18&gt;0,INDEX(EB$7:EB$106,$AH18),1),IF($AI18&gt;0,INDEX(EB$7:EB$106,$AI18),1),IF($AJ18&gt;0,INDEX(EB$7:EB$106,$AJ18),1))))</ns0:f>
        <ns0:v>1</ns0:v>
      </ns0:c>
      <ns0:c r="ED18" t="n">
        <ns0:f>IF($A18="",1,IF(EC18=1,1,--AND(IF($AC18&gt;0,INDEX(EC$7:EC$106,$AC18),1),IF($AD18&gt;0,INDEX(EC$7:EC$106,$AD18),1),IF($AE18&gt;0,INDEX(EC$7:EC$106,$AE18),1),IF($AF18&gt;0,INDEX(EC$7:EC$106,$AF18),1),IF($AG18&gt;0,INDEX(EC$7:EC$106,$AG18),1),IF($AH18&gt;0,INDEX(EC$7:EC$106,$AH18),1),IF($AI18&gt;0,INDEX(EC$7:EC$106,$AI18),1),IF($AJ18&gt;0,INDEX(EC$7:EC$106,$AJ18),1))))</ns0:f>
        <ns0:v>1</ns0:v>
      </ns0:c>
      <ns0:c r="EE18" t="n">
        <ns0:f>IF($A18="",1,IF(ED18=1,1,--AND(IF($AC18&gt;0,INDEX(ED$7:ED$106,$AC18),1),IF($AD18&gt;0,INDEX(ED$7:ED$106,$AD18),1),IF($AE18&gt;0,INDEX(ED$7:ED$106,$AE18),1),IF($AF18&gt;0,INDEX(ED$7:ED$106,$AF18),1),IF($AG18&gt;0,INDEX(ED$7:ED$106,$AG18),1),IF($AH18&gt;0,INDEX(ED$7:ED$106,$AH18),1),IF($AI18&gt;0,INDEX(ED$7:ED$106,$AI18),1),IF($AJ18&gt;0,INDEX(ED$7:ED$106,$AJ18),1))))</ns0:f>
        <ns0:v>1</ns0:v>
      </ns0:c>
      <ns0:c r="EF18" t="n">
        <ns0:f>IF($A18="",1,IF(EE18=1,1,--AND(IF($AC18&gt;0,INDEX(EE$7:EE$106,$AC18),1),IF($AD18&gt;0,INDEX(EE$7:EE$106,$AD18),1),IF($AE18&gt;0,INDEX(EE$7:EE$106,$AE18),1),IF($AF18&gt;0,INDEX(EE$7:EE$106,$AF18),1),IF($AG18&gt;0,INDEX(EE$7:EE$106,$AG18),1),IF($AH18&gt;0,INDEX(EE$7:EE$106,$AH18),1),IF($AI18&gt;0,INDEX(EE$7:EE$106,$AI18),1),IF($AJ18&gt;0,INDEX(EE$7:EE$106,$AJ18),1))))</ns0:f>
        <ns0:v>1</ns0:v>
      </ns0:c>
      <ns0:c r="EG18" t="n">
        <ns0:f>IF($A18="",1,IF(EF18=1,1,--AND(IF($AC18&gt;0,INDEX(EF$7:EF$106,$AC18),1),IF($AD18&gt;0,INDEX(EF$7:EF$106,$AD18),1),IF($AE18&gt;0,INDEX(EF$7:EF$106,$AE18),1),IF($AF18&gt;0,INDEX(EF$7:EF$106,$AF18),1),IF($AG18&gt;0,INDEX(EF$7:EF$106,$AG18),1),IF($AH18&gt;0,INDEX(EF$7:EF$106,$AH18),1),IF($AI18&gt;0,INDEX(EF$7:EF$106,$AI18),1),IF($AJ18&gt;0,INDEX(EF$7:EF$106,$AJ18),1))))</ns0:f>
        <ns0:v>1</ns0:v>
      </ns0:c>
      <ns0:c r="EH18" t="n">
        <ns0:f>IF($A18="",1,IF(EG18=1,1,--AND(IF($AC18&gt;0,INDEX(EG$7:EG$106,$AC18),1),IF($AD18&gt;0,INDEX(EG$7:EG$106,$AD18),1),IF($AE18&gt;0,INDEX(EG$7:EG$106,$AE18),1),IF($AF18&gt;0,INDEX(EG$7:EG$106,$AF18),1),IF($AG18&gt;0,INDEX(EG$7:EG$106,$AG18),1),IF($AH18&gt;0,INDEX(EG$7:EG$106,$AH18),1),IF($AI18&gt;0,INDEX(EG$7:EG$106,$AI18),1),IF($AJ18&gt;0,INDEX(EG$7:EG$106,$AJ18),1))))</ns0:f>
        <ns0:v>1</ns0:v>
      </ns0:c>
      <ns0:c r="EI18" t="n">
        <ns0:f>IF($A18="",1,IF(EH18=1,1,--AND(IF($AC18&gt;0,INDEX(EH$7:EH$106,$AC18),1),IF($AD18&gt;0,INDEX(EH$7:EH$106,$AD18),1),IF($AE18&gt;0,INDEX(EH$7:EH$106,$AE18),1),IF($AF18&gt;0,INDEX(EH$7:EH$106,$AF18),1),IF($AG18&gt;0,INDEX(EH$7:EH$106,$AG18),1),IF($AH18&gt;0,INDEX(EH$7:EH$106,$AH18),1),IF($AI18&gt;0,INDEX(EH$7:EH$106,$AI18),1),IF($AJ18&gt;0,INDEX(EH$7:EH$106,$AJ18),1))))</ns0:f>
        <ns0:v>1</ns0:v>
      </ns0:c>
      <ns0:c r="EJ18" t="n">
        <ns0:f>IF($A18="",1,IF(EI18=1,1,--AND(IF($AC18&gt;0,INDEX(EI$7:EI$106,$AC18),1),IF($AD18&gt;0,INDEX(EI$7:EI$106,$AD18),1),IF($AE18&gt;0,INDEX(EI$7:EI$106,$AE18),1),IF($AF18&gt;0,INDEX(EI$7:EI$106,$AF18),1),IF($AG18&gt;0,INDEX(EI$7:EI$106,$AG18),1),IF($AH18&gt;0,INDEX(EI$7:EI$106,$AH18),1),IF($AI18&gt;0,INDEX(EI$7:EI$106,$AI18),1),IF($AJ18&gt;0,INDEX(EI$7:EI$106,$AJ18),1))))</ns0:f>
        <ns0:v>1</ns0:v>
      </ns0:c>
      <ns0:c r="EK18" t="n">
        <ns0:f>IF($A18="",1,IF(EJ18=1,1,--AND(IF($AC18&gt;0,INDEX(EJ$7:EJ$106,$AC18),1),IF($AD18&gt;0,INDEX(EJ$7:EJ$106,$AD18),1),IF($AE18&gt;0,INDEX(EJ$7:EJ$106,$AE18),1),IF($AF18&gt;0,INDEX(EJ$7:EJ$106,$AF18),1),IF($AG18&gt;0,INDEX(EJ$7:EJ$106,$AG18),1),IF($AH18&gt;0,INDEX(EJ$7:EJ$106,$AH18),1),IF($AI18&gt;0,INDEX(EJ$7:EJ$106,$AI18),1),IF($AJ18&gt;0,INDEX(EJ$7:EJ$106,$AJ18),1))))</ns0:f>
        <ns0:v>1</ns0:v>
      </ns0:c>
      <ns0:c r="EL18" t="n">
        <ns0:f>IF($A18="",1,IF(EK18=1,1,--AND(IF($AC18&gt;0,INDEX(EK$7:EK$106,$AC18),1),IF($AD18&gt;0,INDEX(EK$7:EK$106,$AD18),1),IF($AE18&gt;0,INDEX(EK$7:EK$106,$AE18),1),IF($AF18&gt;0,INDEX(EK$7:EK$106,$AF18),1),IF($AG18&gt;0,INDEX(EK$7:EK$106,$AG18),1),IF($AH18&gt;0,INDEX(EK$7:EK$106,$AH18),1),IF($AI18&gt;0,INDEX(EK$7:EK$106,$AI18),1),IF($AJ18&gt;0,INDEX(EK$7:EK$106,$AJ18),1))))</ns0:f>
        <ns0:v>1</ns0:v>
      </ns0:c>
      <ns0:c r="EM18" t="n">
        <ns0:f>IF($A18="",1,IF(EL18=1,1,--AND(IF($AC18&gt;0,INDEX(EL$7:EL$106,$AC18),1),IF($AD18&gt;0,INDEX(EL$7:EL$106,$AD18),1),IF($AE18&gt;0,INDEX(EL$7:EL$106,$AE18),1),IF($AF18&gt;0,INDEX(EL$7:EL$106,$AF18),1),IF($AG18&gt;0,INDEX(EL$7:EL$106,$AG18),1),IF($AH18&gt;0,INDEX(EL$7:EL$106,$AH18),1),IF($AI18&gt;0,INDEX(EL$7:EL$106,$AI18),1),IF($AJ18&gt;0,INDEX(EL$7:EL$106,$AJ18),1))))</ns0:f>
        <ns0:v>1</ns0:v>
      </ns0:c>
      <ns0:c r="EN18" t="n">
        <ns0:f>IF($A18="",1,IF(EM18=1,1,--AND(IF($AC18&gt;0,INDEX(EM$7:EM$106,$AC18),1),IF($AD18&gt;0,INDEX(EM$7:EM$106,$AD18),1),IF($AE18&gt;0,INDEX(EM$7:EM$106,$AE18),1),IF($AF18&gt;0,INDEX(EM$7:EM$106,$AF18),1),IF($AG18&gt;0,INDEX(EM$7:EM$106,$AG18),1),IF($AH18&gt;0,INDEX(EM$7:EM$106,$AH18),1),IF($AI18&gt;0,INDEX(EM$7:EM$106,$AI18),1),IF($AJ18&gt;0,INDEX(EM$7:EM$106,$AJ18),1))))</ns0:f>
        <ns0:v>1</ns0:v>
      </ns0:c>
      <ns0:c r="EO18" t="n">
        <ns0:f>IF($A18="",1,IF(EN18=1,1,--AND(IF($AC18&gt;0,INDEX(EN$7:EN$106,$AC18),1),IF($AD18&gt;0,INDEX(EN$7:EN$106,$AD18),1),IF($AE18&gt;0,INDEX(EN$7:EN$106,$AE18),1),IF($AF18&gt;0,INDEX(EN$7:EN$106,$AF18),1),IF($AG18&gt;0,INDEX(EN$7:EN$106,$AG18),1),IF($AH18&gt;0,INDEX(EN$7:EN$106,$AH18),1),IF($AI18&gt;0,INDEX(EN$7:EN$106,$AI18),1),IF($AJ18&gt;0,INDEX(EN$7:EN$106,$AJ18),1))))</ns0:f>
        <ns0:v>1</ns0:v>
      </ns0:c>
      <ns0:c r="EP18" t="n">
        <ns0:f>IF($A18="",1,IF(EO18=1,1,--AND(IF($AC18&gt;0,INDEX(EO$7:EO$106,$AC18),1),IF($AD18&gt;0,INDEX(EO$7:EO$106,$AD18),1),IF($AE18&gt;0,INDEX(EO$7:EO$106,$AE18),1),IF($AF18&gt;0,INDEX(EO$7:EO$106,$AF18),1),IF($AG18&gt;0,INDEX(EO$7:EO$106,$AG18),1),IF($AH18&gt;0,INDEX(EO$7:EO$106,$AH18),1),IF($AI18&gt;0,INDEX(EO$7:EO$106,$AI18),1),IF($AJ18&gt;0,INDEX(EO$7:EO$106,$AJ18),1))))</ns0:f>
        <ns0:v>1</ns0:v>
      </ns0:c>
      <ns0:c r="EQ18" t="n">
        <ns0:f>IF(OR(A18="",NOT(ISNUMBER(G18))),0,G18*N18)</ns0:f>
        <ns0:v>0</ns0:v>
      </ns0:c>
    </ns0:row>
    <ns0:row r="19" ht="62" customHeight="1">
      <ns0:c r="A19" s="48" t="str">
        <ns0:v>T11</ns0:v>
      </ns0:c>
      <ns0:c r="B19" s="48" t="str">
        <ns0:v>Sandbox &amp; tools</ns0:v>
      </ns0:c>
      <ns0:c r="C19" s="48" t="str">
        <ns0:v>Deploy agent_sandbox with cgroups, seccomp, and tmpfs isolation</ns0:v>
      </ns0:c>
      <ns0:c r="D19" s="48" t="str">
        <ns0:v>Isolate processes and memory, scrub tmpfs on teardown.</ns0:v>
      </ns0:c>
      <ns0:c r="E19" s="49" t="n">
        <ns0:v>46279</ns0:v>
      </ns0:c>
      <ns0:c r="F19" s="49" t="n">
        <ns0:v>46280</ns0:v>
      </ns0:c>
      <ns0:c r="G19" s="13" t="n">
        <ns0:f>IF(A19="","",IF(OR(NOT(ISNUMBER(E19)),NOT(ISNUMBER(F19)),F19&lt;E19),"",IF(J19="Yes",0,F19-E19+1)))</ns0:f>
        <ns0:v>2</ns0:v>
      </ns0:c>
      <ns0:c r="H19" s="48" t="str">
        <ns0:v>T03</ns0:v>
      </ns0:c>
      <ns0:c r="I19" s="48" t="str">
        <ns0:v>FS</ns0:v>
      </ns0:c>
      <ns0:c r="J19" s="48" t="str">
        <ns0:v>No</ns0:v>
      </ns0:c>
      <ns0:c r="K19" s="48" t="str">
        <ns0:v>Sandbox Controller (agent_sandbox)</ns0:v>
      </ns0:c>
      <ns0:c r="L19" s="48" t="str"/>
      <ns0:c r="M19" s="50" t="str">
        <ns0:f>IF(A19="","",IF(N19=1,"Completed",IF(N19&gt;0,"In Progress","Not Started")))</ns0:f>
        <ns0:v>Not Started</ns0:v>
      </ns0:c>
      <ns0:c r="N19" s="51" t="n">
        <ns0:v>0</ns0:v>
      </ns0:c>
      <ns0:c r="O19" s="13" t="str">
        <ns0:f>IF(A19="","",IF(R19&lt;&gt;"","[CONFLICT] "&amp;R19,IF(S19&lt;&gt;"","[CONFLICT] "&amp;S19,IF(OR(NOT(ISNUMBER(N19)),N19&lt;0,N19&gt;1),"[CONFLICT] Invalid progress",IF(AK19&gt;0,"[DEPENDENCY ISSUE] Missing ID / &gt;8 links",IF(AM19&gt;0,"[DEPENDENCY ISSUE] Cycle or blocked by cycle",IF(AND(H19&lt;&gt;"",ISNA(MATCH(I19,{"FS","SS","FF","SF"},0))),"[DEPENDENCY ISSUE] Invalid type",IF(AL19&gt;0,"[DEPENDENCY ISSUE] Timing conflict",IF(OR(E19&lt;ProjectStart,F19&gt;ProjectEnd),"[OUTSIDE WINDOW]",IF(AND(N19&lt;1,F19&lt;AsOfDate),"Overdue",IF(AND(M19&lt;&gt;Q19,M19&lt;&gt;""),"[CONFLICT] Status / progress","On track")))))))))))</ns0:f>
        <ns0:v>On track</ns0:v>
      </ns0:c>
      <ns0:c r="P19" s="52" t="str">
        <ns0:v>Source: Project Plan Essentials (2).md §1, §2, §4. Original 2026-09-18 to 2026-09-20, 3d; original progress 100% [INFERRED]. [INFERRED] Rescheduled to fit 34d with FS. Duration reduced to 2d. Original resource/tools: Sandbox Controller (agent_sandbox).</ns0:v>
      </ns0:c>
      <ns0:c r="Q19" t="str">
        <ns0:f>IF(A19="","",IF(OR(M19="On Hold",M19="Delayed"),M19,IF(N19=1,"Completed",IF(N19&gt;0,"In Progress","Not Started"))))</ns0:f>
        <ns0:v>Not Started</ns0:v>
      </ns0:c>
      <ns0:c r="R19" t="str">
        <ns0:f>IF(A19="","",IF(COUNTIFS(Tasks[Task ID],A19)&lt;&gt;1,"Duplicate ID",""))</ns0:f>
      </ns0:c>
      <ns0:c r="S19" t="str">
        <ns0:f>IF(A19="","",IF(OR(NOT(ISNUMBER(E19)),NOT(ISNUMBER(F19))),"Invalid / missing date",IF(OR(E19&lt;&gt;INT(E19),F19&lt;&gt;INT(F19),E19&lt;1,F19&gt;2958465),"Invalid date",IF(F19&lt;E19,"End before start",IF(AND(J19="Yes",E19&lt;&gt;F19),"Milestone needs one date","")))))</ns0:f>
      </ns0:c>
      <ns0:c r="T19" t="n">
        <ns0:f>IF(H19="",0,LEN(H19)-LEN(SUBSTITUTE(H19,",",""))+1)</ns0:f>
        <ns0:v>1</ns0:v>
      </ns0:c>
      <ns0:c r="U19" t="str">
        <ns0:f>TRIM(MID(SUBSTITUTE($H19,",",REPT(" ",100)),1,100))</ns0:f>
        <ns0:v>T03</ns0:v>
      </ns0:c>
      <ns0:c r="V19" t="str">
        <ns0:f>TRIM(MID(SUBSTITUTE($H19,",",REPT(" ",100)),101,100))</ns0:f>
      </ns0:c>
      <ns0:c r="W19" t="str">
        <ns0:f>TRIM(MID(SUBSTITUTE($H19,",",REPT(" ",100)),201,100))</ns0:f>
      </ns0:c>
      <ns0:c r="X19" t="str">
        <ns0:f>TRIM(MID(SUBSTITUTE($H19,",",REPT(" ",100)),301,100))</ns0:f>
      </ns0:c>
      <ns0:c r="Y19" t="str">
        <ns0:f>TRIM(MID(SUBSTITUTE($H19,",",REPT(" ",100)),401,100))</ns0:f>
      </ns0:c>
      <ns0:c r="Z19" t="str">
        <ns0:f>TRIM(MID(SUBSTITUTE($H19,",",REPT(" ",100)),501,100))</ns0:f>
      </ns0:c>
      <ns0:c r="AA19" t="str">
        <ns0:f>TRIM(MID(SUBSTITUTE($H19,",",REPT(" ",100)),601,100))</ns0:f>
      </ns0:c>
      <ns0:c r="AB19" t="str">
        <ns0:f>TRIM(MID(SUBSTITUTE($H19,",",REPT(" ",100)),701,100))</ns0:f>
      </ns0:c>
      <ns0:c r="AC19" t="n">
        <ns0:f>IF(U19="",0,IF(COUNTIFS(Tasks[Task ID],U19)=1,MATCH(U19,Tasks[Task ID],0),-1))</ns0:f>
        <ns0:v>3</ns0:v>
      </ns0:c>
      <ns0:c r="AD19" t="n">
        <ns0:f>IF(V19="",0,IF(COUNTIFS(Tasks[Task ID],V19)=1,MATCH(V19,Tasks[Task ID],0),-1))</ns0:f>
        <ns0:v>0</ns0:v>
      </ns0:c>
      <ns0:c r="AE19" t="n">
        <ns0:f>IF(W19="",0,IF(COUNTIFS(Tasks[Task ID],W19)=1,MATCH(W19,Tasks[Task ID],0),-1))</ns0:f>
        <ns0:v>0</ns0:v>
      </ns0:c>
      <ns0:c r="AF19" t="n">
        <ns0:f>IF(X19="",0,IF(COUNTIFS(Tasks[Task ID],X19)=1,MATCH(X19,Tasks[Task ID],0),-1))</ns0:f>
        <ns0:v>0</ns0:v>
      </ns0:c>
      <ns0:c r="AG19" t="n">
        <ns0:f>IF(Y19="",0,IF(COUNTIFS(Tasks[Task ID],Y19)=1,MATCH(Y19,Tasks[Task ID],0),-1))</ns0:f>
        <ns0:v>0</ns0:v>
      </ns0:c>
      <ns0:c r="AH19" t="n">
        <ns0:f>IF(Z19="",0,IF(COUNTIFS(Tasks[Task ID],Z19)=1,MATCH(Z19,Tasks[Task ID],0),-1))</ns0:f>
        <ns0:v>0</ns0:v>
      </ns0:c>
      <ns0:c r="AI19" t="n">
        <ns0:f>IF(AA19="",0,IF(COUNTIFS(Tasks[Task ID],AA19)=1,MATCH(AA19,Tasks[Task ID],0),-1))</ns0:f>
        <ns0:v>0</ns0:v>
      </ns0:c>
      <ns0:c r="AJ19" t="n">
        <ns0:f>IF(AB19="",0,IF(COUNTIFS(Tasks[Task ID],AB19)=1,MATCH(AB19,Tasks[Task ID],0),-1))</ns0:f>
        <ns0:v>0</ns0:v>
      </ns0:c>
      <ns0:c r="AK19" t="n">
        <ns0:f>COUNTIFS(AC19:AJ19,-1)+IF(T19&gt;8,1,0)</ns0:f>
        <ns0:v>0</ns0:v>
      </ns0:c>
      <ns0:c r="AL19" t="n">
        <ns0:f>IF(OR(A19="",S19&lt;&gt;""),0,SUM(IF(AC19&gt;0,IF($I19="FS",--($E19&lt;INDEX(Tasks[End Date],AC19)+IF(INDEX(Tasks[Milestone],AC19)="Yes",0,1)),IF($I19="SS",--($E19&lt;INDEX(Tasks[Start Date],AC19)),IF($I19="FF",--($F19&lt;INDEX(Tasks[End Date],AC19)),IF($I19="SF",--($F19&lt;INDEX(Tasks[Start Date],AC19)),0)))),0),IF(AD19&gt;0,IF($I19="FS",--($E19&lt;INDEX(Tasks[End Date],AD19)+IF(INDEX(Tasks[Milestone],AD19)="Yes",0,1)),IF($I19="SS",--($E19&lt;INDEX(Tasks[Start Date],AD19)),IF($I19="FF",--($F19&lt;INDEX(Tasks[End Date],AD19)),IF($I19="SF",--($F19&lt;INDEX(Tasks[Start Date],AD19)),0)))),0),IF(AE19&gt;0,IF($I19="FS",--($E19&lt;INDEX(Tasks[End Date],AE19)+IF(INDEX(Tasks[Milestone],AE19)="Yes",0,1)),IF($I19="SS",--($E19&lt;INDEX(Tasks[Start Date],AE19)),IF($I19="FF",--($F19&lt;INDEX(Tasks[End Date],AE19)),IF($I19="SF",--($F19&lt;INDEX(Tasks[Start Date],AE19)),0)))),0),IF(AF19&gt;0,IF($I19="FS",--($E19&lt;INDEX(Tasks[End Date],AF19)+IF(INDEX(Tasks[Milestone],AF19)="Yes",0,1)),IF($I19="SS",--($E19&lt;INDEX(Tasks[Start Date],AF19)),IF($I19="FF",--($F19&lt;INDEX(Tasks[End Date],AF19)),IF($I19="SF",--($F19&lt;INDEX(Tasks[Start Date],AF19)),0)))),0),IF(AG19&gt;0,IF($I19="FS",--($E19&lt;INDEX(Tasks[End Date],AG19)+IF(INDEX(Tasks[Milestone],AG19)="Yes",0,1)),IF($I19="SS",--($E19&lt;INDEX(Tasks[Start Date],AG19)),IF($I19="FF",--($F19&lt;INDEX(Tasks[End Date],AG19)),IF($I19="SF",--($F19&lt;INDEX(Tasks[Start Date],AG19)),0)))),0),IF(AH19&gt;0,IF($I19="FS",--($E19&lt;INDEX(Tasks[End Date],AH19)+IF(INDEX(Tasks[Milestone],AH19)="Yes",0,1)),IF($I19="SS",--($E19&lt;INDEX(Tasks[Start Date],AH19)),IF($I19="FF",--($F19&lt;INDEX(Tasks[End Date],AH19)),IF($I19="SF",--($F19&lt;INDEX(Tasks[Start Date],AH19)),0)))),0),IF(AI19&gt;0,IF($I19="FS",--($E19&lt;INDEX(Tasks[End Date],AI19)+IF(INDEX(Tasks[Milestone],AI19)="Yes",0,1)),IF($I19="SS",--($E19&lt;INDEX(Tasks[Start Date],AI19)),IF($I19="FF",--($F19&lt;INDEX(Tasks[End Date],AI19)),IF($I19="SF",--($F19&lt;INDEX(Tasks[Start Date],AI19)),0)))),0),IF(AJ19&gt;0,IF($I19="FS",--($E19&lt;INDEX(Tasks[End Date],AJ19)+IF(INDEX(Tasks[Milestone],AJ19)="Yes",0,1)),IF($I19="SS",--($E19&lt;INDEX(Tasks[Start Date],AJ19)),IF($I19="FF",--($F19&lt;INDEX(Tasks[End Date],AJ19)),IF($I19="SF",--($F19&lt;INDEX(Tasks[Start Date],AJ19)),0)))),0)))</ns0:f>
        <ns0:v>0</ns0:v>
      </ns0:c>
      <ns0:c r="AM19" t="n">
        <ns0:f>IF(AND(A19&lt;&gt;"",AK19=0,EP19=0),1,0)</ns0:f>
        <ns0:v>0</ns0:v>
      </ns0:c>
      <ns0:c r="AN19" t="n">
        <ns0:f>IF(OR(A19="",B19=""),"",IF(COUNTIFS($B$7:B19,B19)=1,MAX($AN$6:AN18)+1,""))</ns0:f>
        <ns0:v>3</ns0:v>
      </ns0:c>
      <ns0:c r="AO19" t="n">
        <ns0:f>IF(AND(A19&lt;&gt;"",J19="No",N19&lt;1,E19&gt;=AsOfDate),E19+ROW()/10000,1E+9)</ns0:f>
        <ns0:v>46279.0019</ns0:v>
      </ns0:c>
      <ns0:c r="AP19" t="n">
        <ns0:f>IF(AND(A19&lt;&gt;"",J19="Yes",N19&lt;1,E19&gt;=AsOfDate),E19+ROW()/10000,1E+9)</ns0:f>
        <ns0:v>1000000000</ns0:v>
      </ns0:c>
      <ns0:c r="AQ19" t="n">
        <ns0:f>IF(AND(A19&lt;&gt;"",J19="No",N19&lt;1,F19&gt;=AsOfDate,F19&lt;=AsOfDate+7),F19+ROW()/10000,1E+9)</ns0:f>
        <ns0:v>46280.0019</ns0:v>
      </ns0:c>
      <ns0:c r="AR19" t="n">
        <ns0:f>IF(AND(A19&lt;&gt;"",OR(O19&lt;&gt;"On track",Q19="Delayed")),ROW(),1E+9)</ns0:f>
        <ns0:v>1000000000</ns0:v>
      </ns0:c>
      <ns0:c r="AS19" t="str">
        <ns0:f>IF(A19="","",";"&amp;K19&amp;";")</ns0:f>
        <ns0:v>;Sandbox Controller (agent_sandbox);</ns0:v>
      </ns0:c>
      <ns0:c r="AT19" t="n">
        <ns0:f>IF(A19="",1,--(T19=0))</ns0:f>
        <ns0:v>0</ns0:v>
      </ns0:c>
      <ns0:c r="AU19" t="n">
        <ns0:f>IF($A19="",1,IF(AT19=1,1,--AND(IF($AC19&gt;0,INDEX(AT$7:AT$106,$AC19),1),IF($AD19&gt;0,INDEX(AT$7:AT$106,$AD19),1),IF($AE19&gt;0,INDEX(AT$7:AT$106,$AE19),1),IF($AF19&gt;0,INDEX(AT$7:AT$106,$AF19),1),IF($AG19&gt;0,INDEX(AT$7:AT$106,$AG19),1),IF($AH19&gt;0,INDEX(AT$7:AT$106,$AH19),1),IF($AI19&gt;0,INDEX(AT$7:AT$106,$AI19),1),IF($AJ19&gt;0,INDEX(AT$7:AT$106,$AJ19),1))))</ns0:f>
        <ns0:v>0</ns0:v>
      </ns0:c>
      <ns0:c r="AV19" t="n">
        <ns0:f>IF($A19="",1,IF(AU19=1,1,--AND(IF($AC19&gt;0,INDEX(AU$7:AU$106,$AC19),1),IF($AD19&gt;0,INDEX(AU$7:AU$106,$AD19),1),IF($AE19&gt;0,INDEX(AU$7:AU$106,$AE19),1),IF($AF19&gt;0,INDEX(AU$7:AU$106,$AF19),1),IF($AG19&gt;0,INDEX(AU$7:AU$106,$AG19),1),IF($AH19&gt;0,INDEX(AU$7:AU$106,$AH19),1),IF($AI19&gt;0,INDEX(AU$7:AU$106,$AI19),1),IF($AJ19&gt;0,INDEX(AU$7:AU$106,$AJ19),1))))</ns0:f>
        <ns0:v>1</ns0:v>
      </ns0:c>
      <ns0:c r="AW19" t="n">
        <ns0:f>IF($A19="",1,IF(AV19=1,1,--AND(IF($AC19&gt;0,INDEX(AV$7:AV$106,$AC19),1),IF($AD19&gt;0,INDEX(AV$7:AV$106,$AD19),1),IF($AE19&gt;0,INDEX(AV$7:AV$106,$AE19),1),IF($AF19&gt;0,INDEX(AV$7:AV$106,$AF19),1),IF($AG19&gt;0,INDEX(AV$7:AV$106,$AG19),1),IF($AH19&gt;0,INDEX(AV$7:AV$106,$AH19),1),IF($AI19&gt;0,INDEX(AV$7:AV$106,$AI19),1),IF($AJ19&gt;0,INDEX(AV$7:AV$106,$AJ19),1))))</ns0:f>
        <ns0:v>1</ns0:v>
      </ns0:c>
      <ns0:c r="AX19" t="n">
        <ns0:f>IF($A19="",1,IF(AW19=1,1,--AND(IF($AC19&gt;0,INDEX(AW$7:AW$106,$AC19),1),IF($AD19&gt;0,INDEX(AW$7:AW$106,$AD19),1),IF($AE19&gt;0,INDEX(AW$7:AW$106,$AE19),1),IF($AF19&gt;0,INDEX(AW$7:AW$106,$AF19),1),IF($AG19&gt;0,INDEX(AW$7:AW$106,$AG19),1),IF($AH19&gt;0,INDEX(AW$7:AW$106,$AH19),1),IF($AI19&gt;0,INDEX(AW$7:AW$106,$AI19),1),IF($AJ19&gt;0,INDEX(AW$7:AW$106,$AJ19),1))))</ns0:f>
        <ns0:v>1</ns0:v>
      </ns0:c>
      <ns0:c r="AY19" t="n">
        <ns0:f>IF($A19="",1,IF(AX19=1,1,--AND(IF($AC19&gt;0,INDEX(AX$7:AX$106,$AC19),1),IF($AD19&gt;0,INDEX(AX$7:AX$106,$AD19),1),IF($AE19&gt;0,INDEX(AX$7:AX$106,$AE19),1),IF($AF19&gt;0,INDEX(AX$7:AX$106,$AF19),1),IF($AG19&gt;0,INDEX(AX$7:AX$106,$AG19),1),IF($AH19&gt;0,INDEX(AX$7:AX$106,$AH19),1),IF($AI19&gt;0,INDEX(AX$7:AX$106,$AI19),1),IF($AJ19&gt;0,INDEX(AX$7:AX$106,$AJ19),1))))</ns0:f>
        <ns0:v>1</ns0:v>
      </ns0:c>
      <ns0:c r="AZ19" t="n">
        <ns0:f>IF($A19="",1,IF(AY19=1,1,--AND(IF($AC19&gt;0,INDEX(AY$7:AY$106,$AC19),1),IF($AD19&gt;0,INDEX(AY$7:AY$106,$AD19),1),IF($AE19&gt;0,INDEX(AY$7:AY$106,$AE19),1),IF($AF19&gt;0,INDEX(AY$7:AY$106,$AF19),1),IF($AG19&gt;0,INDEX(AY$7:AY$106,$AG19),1),IF($AH19&gt;0,INDEX(AY$7:AY$106,$AH19),1),IF($AI19&gt;0,INDEX(AY$7:AY$106,$AI19),1),IF($AJ19&gt;0,INDEX(AY$7:AY$106,$AJ19),1))))</ns0:f>
        <ns0:v>1</ns0:v>
      </ns0:c>
      <ns0:c r="BA19" t="n">
        <ns0:f>IF($A19="",1,IF(AZ19=1,1,--AND(IF($AC19&gt;0,INDEX(AZ$7:AZ$106,$AC19),1),IF($AD19&gt;0,INDEX(AZ$7:AZ$106,$AD19),1),IF($AE19&gt;0,INDEX(AZ$7:AZ$106,$AE19),1),IF($AF19&gt;0,INDEX(AZ$7:AZ$106,$AF19),1),IF($AG19&gt;0,INDEX(AZ$7:AZ$106,$AG19),1),IF($AH19&gt;0,INDEX(AZ$7:AZ$106,$AH19),1),IF($AI19&gt;0,INDEX(AZ$7:AZ$106,$AI19),1),IF($AJ19&gt;0,INDEX(AZ$7:AZ$106,$AJ19),1))))</ns0:f>
        <ns0:v>1</ns0:v>
      </ns0:c>
      <ns0:c r="BB19" t="n">
        <ns0:f>IF($A19="",1,IF(BA19=1,1,--AND(IF($AC19&gt;0,INDEX(BA$7:BA$106,$AC19),1),IF($AD19&gt;0,INDEX(BA$7:BA$106,$AD19),1),IF($AE19&gt;0,INDEX(BA$7:BA$106,$AE19),1),IF($AF19&gt;0,INDEX(BA$7:BA$106,$AF19),1),IF($AG19&gt;0,INDEX(BA$7:BA$106,$AG19),1),IF($AH19&gt;0,INDEX(BA$7:BA$106,$AH19),1),IF($AI19&gt;0,INDEX(BA$7:BA$106,$AI19),1),IF($AJ19&gt;0,INDEX(BA$7:BA$106,$AJ19),1))))</ns0:f>
        <ns0:v>1</ns0:v>
      </ns0:c>
      <ns0:c r="BC19" t="n">
        <ns0:f>IF($A19="",1,IF(BB19=1,1,--AND(IF($AC19&gt;0,INDEX(BB$7:BB$106,$AC19),1),IF($AD19&gt;0,INDEX(BB$7:BB$106,$AD19),1),IF($AE19&gt;0,INDEX(BB$7:BB$106,$AE19),1),IF($AF19&gt;0,INDEX(BB$7:BB$106,$AF19),1),IF($AG19&gt;0,INDEX(BB$7:BB$106,$AG19),1),IF($AH19&gt;0,INDEX(BB$7:BB$106,$AH19),1),IF($AI19&gt;0,INDEX(BB$7:BB$106,$AI19),1),IF($AJ19&gt;0,INDEX(BB$7:BB$106,$AJ19),1))))</ns0:f>
        <ns0:v>1</ns0:v>
      </ns0:c>
      <ns0:c r="BD19" t="n">
        <ns0:f>IF($A19="",1,IF(BC19=1,1,--AND(IF($AC19&gt;0,INDEX(BC$7:BC$106,$AC19),1),IF($AD19&gt;0,INDEX(BC$7:BC$106,$AD19),1),IF($AE19&gt;0,INDEX(BC$7:BC$106,$AE19),1),IF($AF19&gt;0,INDEX(BC$7:BC$106,$AF19),1),IF($AG19&gt;0,INDEX(BC$7:BC$106,$AG19),1),IF($AH19&gt;0,INDEX(BC$7:BC$106,$AH19),1),IF($AI19&gt;0,INDEX(BC$7:BC$106,$AI19),1),IF($AJ19&gt;0,INDEX(BC$7:BC$106,$AJ19),1))))</ns0:f>
        <ns0:v>1</ns0:v>
      </ns0:c>
      <ns0:c r="BE19" t="n">
        <ns0:f>IF($A19="",1,IF(BD19=1,1,--AND(IF($AC19&gt;0,INDEX(BD$7:BD$106,$AC19),1),IF($AD19&gt;0,INDEX(BD$7:BD$106,$AD19),1),IF($AE19&gt;0,INDEX(BD$7:BD$106,$AE19),1),IF($AF19&gt;0,INDEX(BD$7:BD$106,$AF19),1),IF($AG19&gt;0,INDEX(BD$7:BD$106,$AG19),1),IF($AH19&gt;0,INDEX(BD$7:BD$106,$AH19),1),IF($AI19&gt;0,INDEX(BD$7:BD$106,$AI19),1),IF($AJ19&gt;0,INDEX(BD$7:BD$106,$AJ19),1))))</ns0:f>
        <ns0:v>1</ns0:v>
      </ns0:c>
      <ns0:c r="BF19" t="n">
        <ns0:f>IF($A19="",1,IF(BE19=1,1,--AND(IF($AC19&gt;0,INDEX(BE$7:BE$106,$AC19),1),IF($AD19&gt;0,INDEX(BE$7:BE$106,$AD19),1),IF($AE19&gt;0,INDEX(BE$7:BE$106,$AE19),1),IF($AF19&gt;0,INDEX(BE$7:BE$106,$AF19),1),IF($AG19&gt;0,INDEX(BE$7:BE$106,$AG19),1),IF($AH19&gt;0,INDEX(BE$7:BE$106,$AH19),1),IF($AI19&gt;0,INDEX(BE$7:BE$106,$AI19),1),IF($AJ19&gt;0,INDEX(BE$7:BE$106,$AJ19),1))))</ns0:f>
        <ns0:v>1</ns0:v>
      </ns0:c>
      <ns0:c r="BG19" t="n">
        <ns0:f>IF($A19="",1,IF(BF19=1,1,--AND(IF($AC19&gt;0,INDEX(BF$7:BF$106,$AC19),1),IF($AD19&gt;0,INDEX(BF$7:BF$106,$AD19),1),IF($AE19&gt;0,INDEX(BF$7:BF$106,$AE19),1),IF($AF19&gt;0,INDEX(BF$7:BF$106,$AF19),1),IF($AG19&gt;0,INDEX(BF$7:BF$106,$AG19),1),IF($AH19&gt;0,INDEX(BF$7:BF$106,$AH19),1),IF($AI19&gt;0,INDEX(BF$7:BF$106,$AI19),1),IF($AJ19&gt;0,INDEX(BF$7:BF$106,$AJ19),1))))</ns0:f>
        <ns0:v>1</ns0:v>
      </ns0:c>
      <ns0:c r="BH19" t="n">
        <ns0:f>IF($A19="",1,IF(BG19=1,1,--AND(IF($AC19&gt;0,INDEX(BG$7:BG$106,$AC19),1),IF($AD19&gt;0,INDEX(BG$7:BG$106,$AD19),1),IF($AE19&gt;0,INDEX(BG$7:BG$106,$AE19),1),IF($AF19&gt;0,INDEX(BG$7:BG$106,$AF19),1),IF($AG19&gt;0,INDEX(BG$7:BG$106,$AG19),1),IF($AH19&gt;0,INDEX(BG$7:BG$106,$AH19),1),IF($AI19&gt;0,INDEX(BG$7:BG$106,$AI19),1),IF($AJ19&gt;0,INDEX(BG$7:BG$106,$AJ19),1))))</ns0:f>
        <ns0:v>1</ns0:v>
      </ns0:c>
      <ns0:c r="BI19" t="n">
        <ns0:f>IF($A19="",1,IF(BH19=1,1,--AND(IF($AC19&gt;0,INDEX(BH$7:BH$106,$AC19),1),IF($AD19&gt;0,INDEX(BH$7:BH$106,$AD19),1),IF($AE19&gt;0,INDEX(BH$7:BH$106,$AE19),1),IF($AF19&gt;0,INDEX(BH$7:BH$106,$AF19),1),IF($AG19&gt;0,INDEX(BH$7:BH$106,$AG19),1),IF($AH19&gt;0,INDEX(BH$7:BH$106,$AH19),1),IF($AI19&gt;0,INDEX(BH$7:BH$106,$AI19),1),IF($AJ19&gt;0,INDEX(BH$7:BH$106,$AJ19),1))))</ns0:f>
        <ns0:v>1</ns0:v>
      </ns0:c>
      <ns0:c r="BJ19" t="n">
        <ns0:f>IF($A19="",1,IF(BI19=1,1,--AND(IF($AC19&gt;0,INDEX(BI$7:BI$106,$AC19),1),IF($AD19&gt;0,INDEX(BI$7:BI$106,$AD19),1),IF($AE19&gt;0,INDEX(BI$7:BI$106,$AE19),1),IF($AF19&gt;0,INDEX(BI$7:BI$106,$AF19),1),IF($AG19&gt;0,INDEX(BI$7:BI$106,$AG19),1),IF($AH19&gt;0,INDEX(BI$7:BI$106,$AH19),1),IF($AI19&gt;0,INDEX(BI$7:BI$106,$AI19),1),IF($AJ19&gt;0,INDEX(BI$7:BI$106,$AJ19),1))))</ns0:f>
        <ns0:v>1</ns0:v>
      </ns0:c>
      <ns0:c r="BK19" t="n">
        <ns0:f>IF($A19="",1,IF(BJ19=1,1,--AND(IF($AC19&gt;0,INDEX(BJ$7:BJ$106,$AC19),1),IF($AD19&gt;0,INDEX(BJ$7:BJ$106,$AD19),1),IF($AE19&gt;0,INDEX(BJ$7:BJ$106,$AE19),1),IF($AF19&gt;0,INDEX(BJ$7:BJ$106,$AF19),1),IF($AG19&gt;0,INDEX(BJ$7:BJ$106,$AG19),1),IF($AH19&gt;0,INDEX(BJ$7:BJ$106,$AH19),1),IF($AI19&gt;0,INDEX(BJ$7:BJ$106,$AI19),1),IF($AJ19&gt;0,INDEX(BJ$7:BJ$106,$AJ19),1))))</ns0:f>
        <ns0:v>1</ns0:v>
      </ns0:c>
      <ns0:c r="BL19" t="n">
        <ns0:f>IF($A19="",1,IF(BK19=1,1,--AND(IF($AC19&gt;0,INDEX(BK$7:BK$106,$AC19),1),IF($AD19&gt;0,INDEX(BK$7:BK$106,$AD19),1),IF($AE19&gt;0,INDEX(BK$7:BK$106,$AE19),1),IF($AF19&gt;0,INDEX(BK$7:BK$106,$AF19),1),IF($AG19&gt;0,INDEX(BK$7:BK$106,$AG19),1),IF($AH19&gt;0,INDEX(BK$7:BK$106,$AH19),1),IF($AI19&gt;0,INDEX(BK$7:BK$106,$AI19),1),IF($AJ19&gt;0,INDEX(BK$7:BK$106,$AJ19),1))))</ns0:f>
        <ns0:v>1</ns0:v>
      </ns0:c>
      <ns0:c r="BM19" t="n">
        <ns0:f>IF($A19="",1,IF(BL19=1,1,--AND(IF($AC19&gt;0,INDEX(BL$7:BL$106,$AC19),1),IF($AD19&gt;0,INDEX(BL$7:BL$106,$AD19),1),IF($AE19&gt;0,INDEX(BL$7:BL$106,$AE19),1),IF($AF19&gt;0,INDEX(BL$7:BL$106,$AF19),1),IF($AG19&gt;0,INDEX(BL$7:BL$106,$AG19),1),IF($AH19&gt;0,INDEX(BL$7:BL$106,$AH19),1),IF($AI19&gt;0,INDEX(BL$7:BL$106,$AI19),1),IF($AJ19&gt;0,INDEX(BL$7:BL$106,$AJ19),1))))</ns0:f>
        <ns0:v>1</ns0:v>
      </ns0:c>
      <ns0:c r="BN19" t="n">
        <ns0:f>IF($A19="",1,IF(BM19=1,1,--AND(IF($AC19&gt;0,INDEX(BM$7:BM$106,$AC19),1),IF($AD19&gt;0,INDEX(BM$7:BM$106,$AD19),1),IF($AE19&gt;0,INDEX(BM$7:BM$106,$AE19),1),IF($AF19&gt;0,INDEX(BM$7:BM$106,$AF19),1),IF($AG19&gt;0,INDEX(BM$7:BM$106,$AG19),1),IF($AH19&gt;0,INDEX(BM$7:BM$106,$AH19),1),IF($AI19&gt;0,INDEX(BM$7:BM$106,$AI19),1),IF($AJ19&gt;0,INDEX(BM$7:BM$106,$AJ19),1))))</ns0:f>
        <ns0:v>1</ns0:v>
      </ns0:c>
      <ns0:c r="BO19" t="n">
        <ns0:f>IF($A19="",1,IF(BN19=1,1,--AND(IF($AC19&gt;0,INDEX(BN$7:BN$106,$AC19),1),IF($AD19&gt;0,INDEX(BN$7:BN$106,$AD19),1),IF($AE19&gt;0,INDEX(BN$7:BN$106,$AE19),1),IF($AF19&gt;0,INDEX(BN$7:BN$106,$AF19),1),IF($AG19&gt;0,INDEX(BN$7:BN$106,$AG19),1),IF($AH19&gt;0,INDEX(BN$7:BN$106,$AH19),1),IF($AI19&gt;0,INDEX(BN$7:BN$106,$AI19),1),IF($AJ19&gt;0,INDEX(BN$7:BN$106,$AJ19),1))))</ns0:f>
        <ns0:v>1</ns0:v>
      </ns0:c>
      <ns0:c r="BP19" t="n">
        <ns0:f>IF($A19="",1,IF(BO19=1,1,--AND(IF($AC19&gt;0,INDEX(BO$7:BO$106,$AC19),1),IF($AD19&gt;0,INDEX(BO$7:BO$106,$AD19),1),IF($AE19&gt;0,INDEX(BO$7:BO$106,$AE19),1),IF($AF19&gt;0,INDEX(BO$7:BO$106,$AF19),1),IF($AG19&gt;0,INDEX(BO$7:BO$106,$AG19),1),IF($AH19&gt;0,INDEX(BO$7:BO$106,$AH19),1),IF($AI19&gt;0,INDEX(BO$7:BO$106,$AI19),1),IF($AJ19&gt;0,INDEX(BO$7:BO$106,$AJ19),1))))</ns0:f>
        <ns0:v>1</ns0:v>
      </ns0:c>
      <ns0:c r="BQ19" t="n">
        <ns0:f>IF($A19="",1,IF(BP19=1,1,--AND(IF($AC19&gt;0,INDEX(BP$7:BP$106,$AC19),1),IF($AD19&gt;0,INDEX(BP$7:BP$106,$AD19),1),IF($AE19&gt;0,INDEX(BP$7:BP$106,$AE19),1),IF($AF19&gt;0,INDEX(BP$7:BP$106,$AF19),1),IF($AG19&gt;0,INDEX(BP$7:BP$106,$AG19),1),IF($AH19&gt;0,INDEX(BP$7:BP$106,$AH19),1),IF($AI19&gt;0,INDEX(BP$7:BP$106,$AI19),1),IF($AJ19&gt;0,INDEX(BP$7:BP$106,$AJ19),1))))</ns0:f>
        <ns0:v>1</ns0:v>
      </ns0:c>
      <ns0:c r="BR19" t="n">
        <ns0:f>IF($A19="",1,IF(BQ19=1,1,--AND(IF($AC19&gt;0,INDEX(BQ$7:BQ$106,$AC19),1),IF($AD19&gt;0,INDEX(BQ$7:BQ$106,$AD19),1),IF($AE19&gt;0,INDEX(BQ$7:BQ$106,$AE19),1),IF($AF19&gt;0,INDEX(BQ$7:BQ$106,$AF19),1),IF($AG19&gt;0,INDEX(BQ$7:BQ$106,$AG19),1),IF($AH19&gt;0,INDEX(BQ$7:BQ$106,$AH19),1),IF($AI19&gt;0,INDEX(BQ$7:BQ$106,$AI19),1),IF($AJ19&gt;0,INDEX(BQ$7:BQ$106,$AJ19),1))))</ns0:f>
        <ns0:v>1</ns0:v>
      </ns0:c>
      <ns0:c r="BS19" t="n">
        <ns0:f>IF($A19="",1,IF(BR19=1,1,--AND(IF($AC19&gt;0,INDEX(BR$7:BR$106,$AC19),1),IF($AD19&gt;0,INDEX(BR$7:BR$106,$AD19),1),IF($AE19&gt;0,INDEX(BR$7:BR$106,$AE19),1),IF($AF19&gt;0,INDEX(BR$7:BR$106,$AF19),1),IF($AG19&gt;0,INDEX(BR$7:BR$106,$AG19),1),IF($AH19&gt;0,INDEX(BR$7:BR$106,$AH19),1),IF($AI19&gt;0,INDEX(BR$7:BR$106,$AI19),1),IF($AJ19&gt;0,INDEX(BR$7:BR$106,$AJ19),1))))</ns0:f>
        <ns0:v>1</ns0:v>
      </ns0:c>
      <ns0:c r="BT19" t="n">
        <ns0:f>IF($A19="",1,IF(BS19=1,1,--AND(IF($AC19&gt;0,INDEX(BS$7:BS$106,$AC19),1),IF($AD19&gt;0,INDEX(BS$7:BS$106,$AD19),1),IF($AE19&gt;0,INDEX(BS$7:BS$106,$AE19),1),IF($AF19&gt;0,INDEX(BS$7:BS$106,$AF19),1),IF($AG19&gt;0,INDEX(BS$7:BS$106,$AG19),1),IF($AH19&gt;0,INDEX(BS$7:BS$106,$AH19),1),IF($AI19&gt;0,INDEX(BS$7:BS$106,$AI19),1),IF($AJ19&gt;0,INDEX(BS$7:BS$106,$AJ19),1))))</ns0:f>
        <ns0:v>1</ns0:v>
      </ns0:c>
      <ns0:c r="BU19" t="n">
        <ns0:f>IF($A19="",1,IF(BT19=1,1,--AND(IF($AC19&gt;0,INDEX(BT$7:BT$106,$AC19),1),IF($AD19&gt;0,INDEX(BT$7:BT$106,$AD19),1),IF($AE19&gt;0,INDEX(BT$7:BT$106,$AE19),1),IF($AF19&gt;0,INDEX(BT$7:BT$106,$AF19),1),IF($AG19&gt;0,INDEX(BT$7:BT$106,$AG19),1),IF($AH19&gt;0,INDEX(BT$7:BT$106,$AH19),1),IF($AI19&gt;0,INDEX(BT$7:BT$106,$AI19),1),IF($AJ19&gt;0,INDEX(BT$7:BT$106,$AJ19),1))))</ns0:f>
        <ns0:v>1</ns0:v>
      </ns0:c>
      <ns0:c r="BV19" t="n">
        <ns0:f>IF($A19="",1,IF(BU19=1,1,--AND(IF($AC19&gt;0,INDEX(BU$7:BU$106,$AC19),1),IF($AD19&gt;0,INDEX(BU$7:BU$106,$AD19),1),IF($AE19&gt;0,INDEX(BU$7:BU$106,$AE19),1),IF($AF19&gt;0,INDEX(BU$7:BU$106,$AF19),1),IF($AG19&gt;0,INDEX(BU$7:BU$106,$AG19),1),IF($AH19&gt;0,INDEX(BU$7:BU$106,$AH19),1),IF($AI19&gt;0,INDEX(BU$7:BU$106,$AI19),1),IF($AJ19&gt;0,INDEX(BU$7:BU$106,$AJ19),1))))</ns0:f>
        <ns0:v>1</ns0:v>
      </ns0:c>
      <ns0:c r="BW19" t="n">
        <ns0:f>IF($A19="",1,IF(BV19=1,1,--AND(IF($AC19&gt;0,INDEX(BV$7:BV$106,$AC19),1),IF($AD19&gt;0,INDEX(BV$7:BV$106,$AD19),1),IF($AE19&gt;0,INDEX(BV$7:BV$106,$AE19),1),IF($AF19&gt;0,INDEX(BV$7:BV$106,$AF19),1),IF($AG19&gt;0,INDEX(BV$7:BV$106,$AG19),1),IF($AH19&gt;0,INDEX(BV$7:BV$106,$AH19),1),IF($AI19&gt;0,INDEX(BV$7:BV$106,$AI19),1),IF($AJ19&gt;0,INDEX(BV$7:BV$106,$AJ19),1))))</ns0:f>
        <ns0:v>1</ns0:v>
      </ns0:c>
      <ns0:c r="BX19" t="n">
        <ns0:f>IF($A19="",1,IF(BW19=1,1,--AND(IF($AC19&gt;0,INDEX(BW$7:BW$106,$AC19),1),IF($AD19&gt;0,INDEX(BW$7:BW$106,$AD19),1),IF($AE19&gt;0,INDEX(BW$7:BW$106,$AE19),1),IF($AF19&gt;0,INDEX(BW$7:BW$106,$AF19),1),IF($AG19&gt;0,INDEX(BW$7:BW$106,$AG19),1),IF($AH19&gt;0,INDEX(BW$7:BW$106,$AH19),1),IF($AI19&gt;0,INDEX(BW$7:BW$106,$AI19),1),IF($AJ19&gt;0,INDEX(BW$7:BW$106,$AJ19),1))))</ns0:f>
        <ns0:v>1</ns0:v>
      </ns0:c>
      <ns0:c r="BY19" t="n">
        <ns0:f>IF($A19="",1,IF(BX19=1,1,--AND(IF($AC19&gt;0,INDEX(BX$7:BX$106,$AC19),1),IF($AD19&gt;0,INDEX(BX$7:BX$106,$AD19),1),IF($AE19&gt;0,INDEX(BX$7:BX$106,$AE19),1),IF($AF19&gt;0,INDEX(BX$7:BX$106,$AF19),1),IF($AG19&gt;0,INDEX(BX$7:BX$106,$AG19),1),IF($AH19&gt;0,INDEX(BX$7:BX$106,$AH19),1),IF($AI19&gt;0,INDEX(BX$7:BX$106,$AI19),1),IF($AJ19&gt;0,INDEX(BX$7:BX$106,$AJ19),1))))</ns0:f>
        <ns0:v>1</ns0:v>
      </ns0:c>
      <ns0:c r="BZ19" t="n">
        <ns0:f>IF($A19="",1,IF(BY19=1,1,--AND(IF($AC19&gt;0,INDEX(BY$7:BY$106,$AC19),1),IF($AD19&gt;0,INDEX(BY$7:BY$106,$AD19),1),IF($AE19&gt;0,INDEX(BY$7:BY$106,$AE19),1),IF($AF19&gt;0,INDEX(BY$7:BY$106,$AF19),1),IF($AG19&gt;0,INDEX(BY$7:BY$106,$AG19),1),IF($AH19&gt;0,INDEX(BY$7:BY$106,$AH19),1),IF($AI19&gt;0,INDEX(BY$7:BY$106,$AI19),1),IF($AJ19&gt;0,INDEX(BY$7:BY$106,$AJ19),1))))</ns0:f>
        <ns0:v>1</ns0:v>
      </ns0:c>
      <ns0:c r="CA19" t="n">
        <ns0:f>IF($A19="",1,IF(BZ19=1,1,--AND(IF($AC19&gt;0,INDEX(BZ$7:BZ$106,$AC19),1),IF($AD19&gt;0,INDEX(BZ$7:BZ$106,$AD19),1),IF($AE19&gt;0,INDEX(BZ$7:BZ$106,$AE19),1),IF($AF19&gt;0,INDEX(BZ$7:BZ$106,$AF19),1),IF($AG19&gt;0,INDEX(BZ$7:BZ$106,$AG19),1),IF($AH19&gt;0,INDEX(BZ$7:BZ$106,$AH19),1),IF($AI19&gt;0,INDEX(BZ$7:BZ$106,$AI19),1),IF($AJ19&gt;0,INDEX(BZ$7:BZ$106,$AJ19),1))))</ns0:f>
        <ns0:v>1</ns0:v>
      </ns0:c>
      <ns0:c r="CB19" t="n">
        <ns0:f>IF($A19="",1,IF(CA19=1,1,--AND(IF($AC19&gt;0,INDEX(CA$7:CA$106,$AC19),1),IF($AD19&gt;0,INDEX(CA$7:CA$106,$AD19),1),IF($AE19&gt;0,INDEX(CA$7:CA$106,$AE19),1),IF($AF19&gt;0,INDEX(CA$7:CA$106,$AF19),1),IF($AG19&gt;0,INDEX(CA$7:CA$106,$AG19),1),IF($AH19&gt;0,INDEX(CA$7:CA$106,$AH19),1),IF($AI19&gt;0,INDEX(CA$7:CA$106,$AI19),1),IF($AJ19&gt;0,INDEX(CA$7:CA$106,$AJ19),1))))</ns0:f>
        <ns0:v>1</ns0:v>
      </ns0:c>
      <ns0:c r="CC19" t="n">
        <ns0:f>IF($A19="",1,IF(CB19=1,1,--AND(IF($AC19&gt;0,INDEX(CB$7:CB$106,$AC19),1),IF($AD19&gt;0,INDEX(CB$7:CB$106,$AD19),1),IF($AE19&gt;0,INDEX(CB$7:CB$106,$AE19),1),IF($AF19&gt;0,INDEX(CB$7:CB$106,$AF19),1),IF($AG19&gt;0,INDEX(CB$7:CB$106,$AG19),1),IF($AH19&gt;0,INDEX(CB$7:CB$106,$AH19),1),IF($AI19&gt;0,INDEX(CB$7:CB$106,$AI19),1),IF($AJ19&gt;0,INDEX(CB$7:CB$106,$AJ19),1))))</ns0:f>
        <ns0:v>1</ns0:v>
      </ns0:c>
      <ns0:c r="CD19" t="n">
        <ns0:f>IF($A19="",1,IF(CC19=1,1,--AND(IF($AC19&gt;0,INDEX(CC$7:CC$106,$AC19),1),IF($AD19&gt;0,INDEX(CC$7:CC$106,$AD19),1),IF($AE19&gt;0,INDEX(CC$7:CC$106,$AE19),1),IF($AF19&gt;0,INDEX(CC$7:CC$106,$AF19),1),IF($AG19&gt;0,INDEX(CC$7:CC$106,$AG19),1),IF($AH19&gt;0,INDEX(CC$7:CC$106,$AH19),1),IF($AI19&gt;0,INDEX(CC$7:CC$106,$AI19),1),IF($AJ19&gt;0,INDEX(CC$7:CC$106,$AJ19),1))))</ns0:f>
        <ns0:v>1</ns0:v>
      </ns0:c>
      <ns0:c r="CE19" t="n">
        <ns0:f>IF($A19="",1,IF(CD19=1,1,--AND(IF($AC19&gt;0,INDEX(CD$7:CD$106,$AC19),1),IF($AD19&gt;0,INDEX(CD$7:CD$106,$AD19),1),IF($AE19&gt;0,INDEX(CD$7:CD$106,$AE19),1),IF($AF19&gt;0,INDEX(CD$7:CD$106,$AF19),1),IF($AG19&gt;0,INDEX(CD$7:CD$106,$AG19),1),IF($AH19&gt;0,INDEX(CD$7:CD$106,$AH19),1),IF($AI19&gt;0,INDEX(CD$7:CD$106,$AI19),1),IF($AJ19&gt;0,INDEX(CD$7:CD$106,$AJ19),1))))</ns0:f>
        <ns0:v>1</ns0:v>
      </ns0:c>
      <ns0:c r="CF19" t="n">
        <ns0:f>IF($A19="",1,IF(CE19=1,1,--AND(IF($AC19&gt;0,INDEX(CE$7:CE$106,$AC19),1),IF($AD19&gt;0,INDEX(CE$7:CE$106,$AD19),1),IF($AE19&gt;0,INDEX(CE$7:CE$106,$AE19),1),IF($AF19&gt;0,INDEX(CE$7:CE$106,$AF19),1),IF($AG19&gt;0,INDEX(CE$7:CE$106,$AG19),1),IF($AH19&gt;0,INDEX(CE$7:CE$106,$AH19),1),IF($AI19&gt;0,INDEX(CE$7:CE$106,$AI19),1),IF($AJ19&gt;0,INDEX(CE$7:CE$106,$AJ19),1))))</ns0:f>
        <ns0:v>1</ns0:v>
      </ns0:c>
      <ns0:c r="CG19" t="n">
        <ns0:f>IF($A19="",1,IF(CF19=1,1,--AND(IF($AC19&gt;0,INDEX(CF$7:CF$106,$AC19),1),IF($AD19&gt;0,INDEX(CF$7:CF$106,$AD19),1),IF($AE19&gt;0,INDEX(CF$7:CF$106,$AE19),1),IF($AF19&gt;0,INDEX(CF$7:CF$106,$AF19),1),IF($AG19&gt;0,INDEX(CF$7:CF$106,$AG19),1),IF($AH19&gt;0,INDEX(CF$7:CF$106,$AH19),1),IF($AI19&gt;0,INDEX(CF$7:CF$106,$AI19),1),IF($AJ19&gt;0,INDEX(CF$7:CF$106,$AJ19),1))))</ns0:f>
        <ns0:v>1</ns0:v>
      </ns0:c>
      <ns0:c r="CH19" t="n">
        <ns0:f>IF($A19="",1,IF(CG19=1,1,--AND(IF($AC19&gt;0,INDEX(CG$7:CG$106,$AC19),1),IF($AD19&gt;0,INDEX(CG$7:CG$106,$AD19),1),IF($AE19&gt;0,INDEX(CG$7:CG$106,$AE19),1),IF($AF19&gt;0,INDEX(CG$7:CG$106,$AF19),1),IF($AG19&gt;0,INDEX(CG$7:CG$106,$AG19),1),IF($AH19&gt;0,INDEX(CG$7:CG$106,$AH19),1),IF($AI19&gt;0,INDEX(CG$7:CG$106,$AI19),1),IF($AJ19&gt;0,INDEX(CG$7:CG$106,$AJ19),1))))</ns0:f>
        <ns0:v>1</ns0:v>
      </ns0:c>
      <ns0:c r="CI19" t="n">
        <ns0:f>IF($A19="",1,IF(CH19=1,1,--AND(IF($AC19&gt;0,INDEX(CH$7:CH$106,$AC19),1),IF($AD19&gt;0,INDEX(CH$7:CH$106,$AD19),1),IF($AE19&gt;0,INDEX(CH$7:CH$106,$AE19),1),IF($AF19&gt;0,INDEX(CH$7:CH$106,$AF19),1),IF($AG19&gt;0,INDEX(CH$7:CH$106,$AG19),1),IF($AH19&gt;0,INDEX(CH$7:CH$106,$AH19),1),IF($AI19&gt;0,INDEX(CH$7:CH$106,$AI19),1),IF($AJ19&gt;0,INDEX(CH$7:CH$106,$AJ19),1))))</ns0:f>
        <ns0:v>1</ns0:v>
      </ns0:c>
      <ns0:c r="CJ19" t="n">
        <ns0:f>IF($A19="",1,IF(CI19=1,1,--AND(IF($AC19&gt;0,INDEX(CI$7:CI$106,$AC19),1),IF($AD19&gt;0,INDEX(CI$7:CI$106,$AD19),1),IF($AE19&gt;0,INDEX(CI$7:CI$106,$AE19),1),IF($AF19&gt;0,INDEX(CI$7:CI$106,$AF19),1),IF($AG19&gt;0,INDEX(CI$7:CI$106,$AG19),1),IF($AH19&gt;0,INDEX(CI$7:CI$106,$AH19),1),IF($AI19&gt;0,INDEX(CI$7:CI$106,$AI19),1),IF($AJ19&gt;0,INDEX(CI$7:CI$106,$AJ19),1))))</ns0:f>
        <ns0:v>1</ns0:v>
      </ns0:c>
      <ns0:c r="CK19" t="n">
        <ns0:f>IF($A19="",1,IF(CJ19=1,1,--AND(IF($AC19&gt;0,INDEX(CJ$7:CJ$106,$AC19),1),IF($AD19&gt;0,INDEX(CJ$7:CJ$106,$AD19),1),IF($AE19&gt;0,INDEX(CJ$7:CJ$106,$AE19),1),IF($AF19&gt;0,INDEX(CJ$7:CJ$106,$AF19),1),IF($AG19&gt;0,INDEX(CJ$7:CJ$106,$AG19),1),IF($AH19&gt;0,INDEX(CJ$7:CJ$106,$AH19),1),IF($AI19&gt;0,INDEX(CJ$7:CJ$106,$AI19),1),IF($AJ19&gt;0,INDEX(CJ$7:CJ$106,$AJ19),1))))</ns0:f>
        <ns0:v>1</ns0:v>
      </ns0:c>
      <ns0:c r="CL19" t="n">
        <ns0:f>IF($A19="",1,IF(CK19=1,1,--AND(IF($AC19&gt;0,INDEX(CK$7:CK$106,$AC19),1),IF($AD19&gt;0,INDEX(CK$7:CK$106,$AD19),1),IF($AE19&gt;0,INDEX(CK$7:CK$106,$AE19),1),IF($AF19&gt;0,INDEX(CK$7:CK$106,$AF19),1),IF($AG19&gt;0,INDEX(CK$7:CK$106,$AG19),1),IF($AH19&gt;0,INDEX(CK$7:CK$106,$AH19),1),IF($AI19&gt;0,INDEX(CK$7:CK$106,$AI19),1),IF($AJ19&gt;0,INDEX(CK$7:CK$106,$AJ19),1))))</ns0:f>
        <ns0:v>1</ns0:v>
      </ns0:c>
      <ns0:c r="CM19" t="n">
        <ns0:f>IF($A19="",1,IF(CL19=1,1,--AND(IF($AC19&gt;0,INDEX(CL$7:CL$106,$AC19),1),IF($AD19&gt;0,INDEX(CL$7:CL$106,$AD19),1),IF($AE19&gt;0,INDEX(CL$7:CL$106,$AE19),1),IF($AF19&gt;0,INDEX(CL$7:CL$106,$AF19),1),IF($AG19&gt;0,INDEX(CL$7:CL$106,$AG19),1),IF($AH19&gt;0,INDEX(CL$7:CL$106,$AH19),1),IF($AI19&gt;0,INDEX(CL$7:CL$106,$AI19),1),IF($AJ19&gt;0,INDEX(CL$7:CL$106,$AJ19),1))))</ns0:f>
        <ns0:v>1</ns0:v>
      </ns0:c>
      <ns0:c r="CN19" t="n">
        <ns0:f>IF($A19="",1,IF(CM19=1,1,--AND(IF($AC19&gt;0,INDEX(CM$7:CM$106,$AC19),1),IF($AD19&gt;0,INDEX(CM$7:CM$106,$AD19),1),IF($AE19&gt;0,INDEX(CM$7:CM$106,$AE19),1),IF($AF19&gt;0,INDEX(CM$7:CM$106,$AF19),1),IF($AG19&gt;0,INDEX(CM$7:CM$106,$AG19),1),IF($AH19&gt;0,INDEX(CM$7:CM$106,$AH19),1),IF($AI19&gt;0,INDEX(CM$7:CM$106,$AI19),1),IF($AJ19&gt;0,INDEX(CM$7:CM$106,$AJ19),1))))</ns0:f>
        <ns0:v>1</ns0:v>
      </ns0:c>
      <ns0:c r="CO19" t="n">
        <ns0:f>IF($A19="",1,IF(CN19=1,1,--AND(IF($AC19&gt;0,INDEX(CN$7:CN$106,$AC19),1),IF($AD19&gt;0,INDEX(CN$7:CN$106,$AD19),1),IF($AE19&gt;0,INDEX(CN$7:CN$106,$AE19),1),IF($AF19&gt;0,INDEX(CN$7:CN$106,$AF19),1),IF($AG19&gt;0,INDEX(CN$7:CN$106,$AG19),1),IF($AH19&gt;0,INDEX(CN$7:CN$106,$AH19),1),IF($AI19&gt;0,INDEX(CN$7:CN$106,$AI19),1),IF($AJ19&gt;0,INDEX(CN$7:CN$106,$AJ19),1))))</ns0:f>
        <ns0:v>1</ns0:v>
      </ns0:c>
      <ns0:c r="CP19" t="n">
        <ns0:f>IF($A19="",1,IF(CO19=1,1,--AND(IF($AC19&gt;0,INDEX(CO$7:CO$106,$AC19),1),IF($AD19&gt;0,INDEX(CO$7:CO$106,$AD19),1),IF($AE19&gt;0,INDEX(CO$7:CO$106,$AE19),1),IF($AF19&gt;0,INDEX(CO$7:CO$106,$AF19),1),IF($AG19&gt;0,INDEX(CO$7:CO$106,$AG19),1),IF($AH19&gt;0,INDEX(CO$7:CO$106,$AH19),1),IF($AI19&gt;0,INDEX(CO$7:CO$106,$AI19),1),IF($AJ19&gt;0,INDEX(CO$7:CO$106,$AJ19),1))))</ns0:f>
        <ns0:v>1</ns0:v>
      </ns0:c>
      <ns0:c r="CQ19" t="n">
        <ns0:f>IF($A19="",1,IF(CP19=1,1,--AND(IF($AC19&gt;0,INDEX(CP$7:CP$106,$AC19),1),IF($AD19&gt;0,INDEX(CP$7:CP$106,$AD19),1),IF($AE19&gt;0,INDEX(CP$7:CP$106,$AE19),1),IF($AF19&gt;0,INDEX(CP$7:CP$106,$AF19),1),IF($AG19&gt;0,INDEX(CP$7:CP$106,$AG19),1),IF($AH19&gt;0,INDEX(CP$7:CP$106,$AH19),1),IF($AI19&gt;0,INDEX(CP$7:CP$106,$AI19),1),IF($AJ19&gt;0,INDEX(CP$7:CP$106,$AJ19),1))))</ns0:f>
        <ns0:v>1</ns0:v>
      </ns0:c>
      <ns0:c r="CR19" t="n">
        <ns0:f>IF($A19="",1,IF(CQ19=1,1,--AND(IF($AC19&gt;0,INDEX(CQ$7:CQ$106,$AC19),1),IF($AD19&gt;0,INDEX(CQ$7:CQ$106,$AD19),1),IF($AE19&gt;0,INDEX(CQ$7:CQ$106,$AE19),1),IF($AF19&gt;0,INDEX(CQ$7:CQ$106,$AF19),1),IF($AG19&gt;0,INDEX(CQ$7:CQ$106,$AG19),1),IF($AH19&gt;0,INDEX(CQ$7:CQ$106,$AH19),1),IF($AI19&gt;0,INDEX(CQ$7:CQ$106,$AI19),1),IF($AJ19&gt;0,INDEX(CQ$7:CQ$106,$AJ19),1))))</ns0:f>
        <ns0:v>1</ns0:v>
      </ns0:c>
      <ns0:c r="CS19" t="n">
        <ns0:f>IF($A19="",1,IF(CR19=1,1,--AND(IF($AC19&gt;0,INDEX(CR$7:CR$106,$AC19),1),IF($AD19&gt;0,INDEX(CR$7:CR$106,$AD19),1),IF($AE19&gt;0,INDEX(CR$7:CR$106,$AE19),1),IF($AF19&gt;0,INDEX(CR$7:CR$106,$AF19),1),IF($AG19&gt;0,INDEX(CR$7:CR$106,$AG19),1),IF($AH19&gt;0,INDEX(CR$7:CR$106,$AH19),1),IF($AI19&gt;0,INDEX(CR$7:CR$106,$AI19),1),IF($AJ19&gt;0,INDEX(CR$7:CR$106,$AJ19),1))))</ns0:f>
        <ns0:v>1</ns0:v>
      </ns0:c>
      <ns0:c r="CT19" t="n">
        <ns0:f>IF($A19="",1,IF(CS19=1,1,--AND(IF($AC19&gt;0,INDEX(CS$7:CS$106,$AC19),1),IF($AD19&gt;0,INDEX(CS$7:CS$106,$AD19),1),IF($AE19&gt;0,INDEX(CS$7:CS$106,$AE19),1),IF($AF19&gt;0,INDEX(CS$7:CS$106,$AF19),1),IF($AG19&gt;0,INDEX(CS$7:CS$106,$AG19),1),IF($AH19&gt;0,INDEX(CS$7:CS$106,$AH19),1),IF($AI19&gt;0,INDEX(CS$7:CS$106,$AI19),1),IF($AJ19&gt;0,INDEX(CS$7:CS$106,$AJ19),1))))</ns0:f>
        <ns0:v>1</ns0:v>
      </ns0:c>
      <ns0:c r="CU19" t="n">
        <ns0:f>IF($A19="",1,IF(CT19=1,1,--AND(IF($AC19&gt;0,INDEX(CT$7:CT$106,$AC19),1),IF($AD19&gt;0,INDEX(CT$7:CT$106,$AD19),1),IF($AE19&gt;0,INDEX(CT$7:CT$106,$AE19),1),IF($AF19&gt;0,INDEX(CT$7:CT$106,$AF19),1),IF($AG19&gt;0,INDEX(CT$7:CT$106,$AG19),1),IF($AH19&gt;0,INDEX(CT$7:CT$106,$AH19),1),IF($AI19&gt;0,INDEX(CT$7:CT$106,$AI19),1),IF($AJ19&gt;0,INDEX(CT$7:CT$106,$AJ19),1))))</ns0:f>
        <ns0:v>1</ns0:v>
      </ns0:c>
      <ns0:c r="CV19" t="n">
        <ns0:f>IF($A19="",1,IF(CU19=1,1,--AND(IF($AC19&gt;0,INDEX(CU$7:CU$106,$AC19),1),IF($AD19&gt;0,INDEX(CU$7:CU$106,$AD19),1),IF($AE19&gt;0,INDEX(CU$7:CU$106,$AE19),1),IF($AF19&gt;0,INDEX(CU$7:CU$106,$AF19),1),IF($AG19&gt;0,INDEX(CU$7:CU$106,$AG19),1),IF($AH19&gt;0,INDEX(CU$7:CU$106,$AH19),1),IF($AI19&gt;0,INDEX(CU$7:CU$106,$AI19),1),IF($AJ19&gt;0,INDEX(CU$7:CU$106,$AJ19),1))))</ns0:f>
        <ns0:v>1</ns0:v>
      </ns0:c>
      <ns0:c r="CW19" t="n">
        <ns0:f>IF($A19="",1,IF(CV19=1,1,--AND(IF($AC19&gt;0,INDEX(CV$7:CV$106,$AC19),1),IF($AD19&gt;0,INDEX(CV$7:CV$106,$AD19),1),IF($AE19&gt;0,INDEX(CV$7:CV$106,$AE19),1),IF($AF19&gt;0,INDEX(CV$7:CV$106,$AF19),1),IF($AG19&gt;0,INDEX(CV$7:CV$106,$AG19),1),IF($AH19&gt;0,INDEX(CV$7:CV$106,$AH19),1),IF($AI19&gt;0,INDEX(CV$7:CV$106,$AI19),1),IF($AJ19&gt;0,INDEX(CV$7:CV$106,$AJ19),1))))</ns0:f>
        <ns0:v>1</ns0:v>
      </ns0:c>
      <ns0:c r="CX19" t="n">
        <ns0:f>IF($A19="",1,IF(CW19=1,1,--AND(IF($AC19&gt;0,INDEX(CW$7:CW$106,$AC19),1),IF($AD19&gt;0,INDEX(CW$7:CW$106,$AD19),1),IF($AE19&gt;0,INDEX(CW$7:CW$106,$AE19),1),IF($AF19&gt;0,INDEX(CW$7:CW$106,$AF19),1),IF($AG19&gt;0,INDEX(CW$7:CW$106,$AG19),1),IF($AH19&gt;0,INDEX(CW$7:CW$106,$AH19),1),IF($AI19&gt;0,INDEX(CW$7:CW$106,$AI19),1),IF($AJ19&gt;0,INDEX(CW$7:CW$106,$AJ19),1))))</ns0:f>
        <ns0:v>1</ns0:v>
      </ns0:c>
      <ns0:c r="CY19" t="n">
        <ns0:f>IF($A19="",1,IF(CX19=1,1,--AND(IF($AC19&gt;0,INDEX(CX$7:CX$106,$AC19),1),IF($AD19&gt;0,INDEX(CX$7:CX$106,$AD19),1),IF($AE19&gt;0,INDEX(CX$7:CX$106,$AE19),1),IF($AF19&gt;0,INDEX(CX$7:CX$106,$AF19),1),IF($AG19&gt;0,INDEX(CX$7:CX$106,$AG19),1),IF($AH19&gt;0,INDEX(CX$7:CX$106,$AH19),1),IF($AI19&gt;0,INDEX(CX$7:CX$106,$AI19),1),IF($AJ19&gt;0,INDEX(CX$7:CX$106,$AJ19),1))))</ns0:f>
        <ns0:v>1</ns0:v>
      </ns0:c>
      <ns0:c r="CZ19" t="n">
        <ns0:f>IF($A19="",1,IF(CY19=1,1,--AND(IF($AC19&gt;0,INDEX(CY$7:CY$106,$AC19),1),IF($AD19&gt;0,INDEX(CY$7:CY$106,$AD19),1),IF($AE19&gt;0,INDEX(CY$7:CY$106,$AE19),1),IF($AF19&gt;0,INDEX(CY$7:CY$106,$AF19),1),IF($AG19&gt;0,INDEX(CY$7:CY$106,$AG19),1),IF($AH19&gt;0,INDEX(CY$7:CY$106,$AH19),1),IF($AI19&gt;0,INDEX(CY$7:CY$106,$AI19),1),IF($AJ19&gt;0,INDEX(CY$7:CY$106,$AJ19),1))))</ns0:f>
        <ns0:v>1</ns0:v>
      </ns0:c>
      <ns0:c r="DA19" t="n">
        <ns0:f>IF($A19="",1,IF(CZ19=1,1,--AND(IF($AC19&gt;0,INDEX(CZ$7:CZ$106,$AC19),1),IF($AD19&gt;0,INDEX(CZ$7:CZ$106,$AD19),1),IF($AE19&gt;0,INDEX(CZ$7:CZ$106,$AE19),1),IF($AF19&gt;0,INDEX(CZ$7:CZ$106,$AF19),1),IF($AG19&gt;0,INDEX(CZ$7:CZ$106,$AG19),1),IF($AH19&gt;0,INDEX(CZ$7:CZ$106,$AH19),1),IF($AI19&gt;0,INDEX(CZ$7:CZ$106,$AI19),1),IF($AJ19&gt;0,INDEX(CZ$7:CZ$106,$AJ19),1))))</ns0:f>
        <ns0:v>1</ns0:v>
      </ns0:c>
      <ns0:c r="DB19" t="n">
        <ns0:f>IF($A19="",1,IF(DA19=1,1,--AND(IF($AC19&gt;0,INDEX(DA$7:DA$106,$AC19),1),IF($AD19&gt;0,INDEX(DA$7:DA$106,$AD19),1),IF($AE19&gt;0,INDEX(DA$7:DA$106,$AE19),1),IF($AF19&gt;0,INDEX(DA$7:DA$106,$AF19),1),IF($AG19&gt;0,INDEX(DA$7:DA$106,$AG19),1),IF($AH19&gt;0,INDEX(DA$7:DA$106,$AH19),1),IF($AI19&gt;0,INDEX(DA$7:DA$106,$AI19),1),IF($AJ19&gt;0,INDEX(DA$7:DA$106,$AJ19),1))))</ns0:f>
        <ns0:v>1</ns0:v>
      </ns0:c>
      <ns0:c r="DC19" t="n">
        <ns0:f>IF($A19="",1,IF(DB19=1,1,--AND(IF($AC19&gt;0,INDEX(DB$7:DB$106,$AC19),1),IF($AD19&gt;0,INDEX(DB$7:DB$106,$AD19),1),IF($AE19&gt;0,INDEX(DB$7:DB$106,$AE19),1),IF($AF19&gt;0,INDEX(DB$7:DB$106,$AF19),1),IF($AG19&gt;0,INDEX(DB$7:DB$106,$AG19),1),IF($AH19&gt;0,INDEX(DB$7:DB$106,$AH19),1),IF($AI19&gt;0,INDEX(DB$7:DB$106,$AI19),1),IF($AJ19&gt;0,INDEX(DB$7:DB$106,$AJ19),1))))</ns0:f>
        <ns0:v>1</ns0:v>
      </ns0:c>
      <ns0:c r="DD19" t="n">
        <ns0:f>IF($A19="",1,IF(DC19=1,1,--AND(IF($AC19&gt;0,INDEX(DC$7:DC$106,$AC19),1),IF($AD19&gt;0,INDEX(DC$7:DC$106,$AD19),1),IF($AE19&gt;0,INDEX(DC$7:DC$106,$AE19),1),IF($AF19&gt;0,INDEX(DC$7:DC$106,$AF19),1),IF($AG19&gt;0,INDEX(DC$7:DC$106,$AG19),1),IF($AH19&gt;0,INDEX(DC$7:DC$106,$AH19),1),IF($AI19&gt;0,INDEX(DC$7:DC$106,$AI19),1),IF($AJ19&gt;0,INDEX(DC$7:DC$106,$AJ19),1))))</ns0:f>
        <ns0:v>1</ns0:v>
      </ns0:c>
      <ns0:c r="DE19" t="n">
        <ns0:f>IF($A19="",1,IF(DD19=1,1,--AND(IF($AC19&gt;0,INDEX(DD$7:DD$106,$AC19),1),IF($AD19&gt;0,INDEX(DD$7:DD$106,$AD19),1),IF($AE19&gt;0,INDEX(DD$7:DD$106,$AE19),1),IF($AF19&gt;0,INDEX(DD$7:DD$106,$AF19),1),IF($AG19&gt;0,INDEX(DD$7:DD$106,$AG19),1),IF($AH19&gt;0,INDEX(DD$7:DD$106,$AH19),1),IF($AI19&gt;0,INDEX(DD$7:DD$106,$AI19),1),IF($AJ19&gt;0,INDEX(DD$7:DD$106,$AJ19),1))))</ns0:f>
        <ns0:v>1</ns0:v>
      </ns0:c>
      <ns0:c r="DF19" t="n">
        <ns0:f>IF($A19="",1,IF(DE19=1,1,--AND(IF($AC19&gt;0,INDEX(DE$7:DE$106,$AC19),1),IF($AD19&gt;0,INDEX(DE$7:DE$106,$AD19),1),IF($AE19&gt;0,INDEX(DE$7:DE$106,$AE19),1),IF($AF19&gt;0,INDEX(DE$7:DE$106,$AF19),1),IF($AG19&gt;0,INDEX(DE$7:DE$106,$AG19),1),IF($AH19&gt;0,INDEX(DE$7:DE$106,$AH19),1),IF($AI19&gt;0,INDEX(DE$7:DE$106,$AI19),1),IF($AJ19&gt;0,INDEX(DE$7:DE$106,$AJ19),1))))</ns0:f>
        <ns0:v>1</ns0:v>
      </ns0:c>
      <ns0:c r="DG19" t="n">
        <ns0:f>IF($A19="",1,IF(DF19=1,1,--AND(IF($AC19&gt;0,INDEX(DF$7:DF$106,$AC19),1),IF($AD19&gt;0,INDEX(DF$7:DF$106,$AD19),1),IF($AE19&gt;0,INDEX(DF$7:DF$106,$AE19),1),IF($AF19&gt;0,INDEX(DF$7:DF$106,$AF19),1),IF($AG19&gt;0,INDEX(DF$7:DF$106,$AG19),1),IF($AH19&gt;0,INDEX(DF$7:DF$106,$AH19),1),IF($AI19&gt;0,INDEX(DF$7:DF$106,$AI19),1),IF($AJ19&gt;0,INDEX(DF$7:DF$106,$AJ19),1))))</ns0:f>
        <ns0:v>1</ns0:v>
      </ns0:c>
      <ns0:c r="DH19" t="n">
        <ns0:f>IF($A19="",1,IF(DG19=1,1,--AND(IF($AC19&gt;0,INDEX(DG$7:DG$106,$AC19),1),IF($AD19&gt;0,INDEX(DG$7:DG$106,$AD19),1),IF($AE19&gt;0,INDEX(DG$7:DG$106,$AE19),1),IF($AF19&gt;0,INDEX(DG$7:DG$106,$AF19),1),IF($AG19&gt;0,INDEX(DG$7:DG$106,$AG19),1),IF($AH19&gt;0,INDEX(DG$7:DG$106,$AH19),1),IF($AI19&gt;0,INDEX(DG$7:DG$106,$AI19),1),IF($AJ19&gt;0,INDEX(DG$7:DG$106,$AJ19),1))))</ns0:f>
        <ns0:v>1</ns0:v>
      </ns0:c>
      <ns0:c r="DI19" t="n">
        <ns0:f>IF($A19="",1,IF(DH19=1,1,--AND(IF($AC19&gt;0,INDEX(DH$7:DH$106,$AC19),1),IF($AD19&gt;0,INDEX(DH$7:DH$106,$AD19),1),IF($AE19&gt;0,INDEX(DH$7:DH$106,$AE19),1),IF($AF19&gt;0,INDEX(DH$7:DH$106,$AF19),1),IF($AG19&gt;0,INDEX(DH$7:DH$106,$AG19),1),IF($AH19&gt;0,INDEX(DH$7:DH$106,$AH19),1),IF($AI19&gt;0,INDEX(DH$7:DH$106,$AI19),1),IF($AJ19&gt;0,INDEX(DH$7:DH$106,$AJ19),1))))</ns0:f>
        <ns0:v>1</ns0:v>
      </ns0:c>
      <ns0:c r="DJ19" t="n">
        <ns0:f>IF($A19="",1,IF(DI19=1,1,--AND(IF($AC19&gt;0,INDEX(DI$7:DI$106,$AC19),1),IF($AD19&gt;0,INDEX(DI$7:DI$106,$AD19),1),IF($AE19&gt;0,INDEX(DI$7:DI$106,$AE19),1),IF($AF19&gt;0,INDEX(DI$7:DI$106,$AF19),1),IF($AG19&gt;0,INDEX(DI$7:DI$106,$AG19),1),IF($AH19&gt;0,INDEX(DI$7:DI$106,$AH19),1),IF($AI19&gt;0,INDEX(DI$7:DI$106,$AI19),1),IF($AJ19&gt;0,INDEX(DI$7:DI$106,$AJ19),1))))</ns0:f>
        <ns0:v>1</ns0:v>
      </ns0:c>
      <ns0:c r="DK19" t="n">
        <ns0:f>IF($A19="",1,IF(DJ19=1,1,--AND(IF($AC19&gt;0,INDEX(DJ$7:DJ$106,$AC19),1),IF($AD19&gt;0,INDEX(DJ$7:DJ$106,$AD19),1),IF($AE19&gt;0,INDEX(DJ$7:DJ$106,$AE19),1),IF($AF19&gt;0,INDEX(DJ$7:DJ$106,$AF19),1),IF($AG19&gt;0,INDEX(DJ$7:DJ$106,$AG19),1),IF($AH19&gt;0,INDEX(DJ$7:DJ$106,$AH19),1),IF($AI19&gt;0,INDEX(DJ$7:DJ$106,$AI19),1),IF($AJ19&gt;0,INDEX(DJ$7:DJ$106,$AJ19),1))))</ns0:f>
        <ns0:v>1</ns0:v>
      </ns0:c>
      <ns0:c r="DL19" t="n">
        <ns0:f>IF($A19="",1,IF(DK19=1,1,--AND(IF($AC19&gt;0,INDEX(DK$7:DK$106,$AC19),1),IF($AD19&gt;0,INDEX(DK$7:DK$106,$AD19),1),IF($AE19&gt;0,INDEX(DK$7:DK$106,$AE19),1),IF($AF19&gt;0,INDEX(DK$7:DK$106,$AF19),1),IF($AG19&gt;0,INDEX(DK$7:DK$106,$AG19),1),IF($AH19&gt;0,INDEX(DK$7:DK$106,$AH19),1),IF($AI19&gt;0,INDEX(DK$7:DK$106,$AI19),1),IF($AJ19&gt;0,INDEX(DK$7:DK$106,$AJ19),1))))</ns0:f>
        <ns0:v>1</ns0:v>
      </ns0:c>
      <ns0:c r="DM19" t="n">
        <ns0:f>IF($A19="",1,IF(DL19=1,1,--AND(IF($AC19&gt;0,INDEX(DL$7:DL$106,$AC19),1),IF($AD19&gt;0,INDEX(DL$7:DL$106,$AD19),1),IF($AE19&gt;0,INDEX(DL$7:DL$106,$AE19),1),IF($AF19&gt;0,INDEX(DL$7:DL$106,$AF19),1),IF($AG19&gt;0,INDEX(DL$7:DL$106,$AG19),1),IF($AH19&gt;0,INDEX(DL$7:DL$106,$AH19),1),IF($AI19&gt;0,INDEX(DL$7:DL$106,$AI19),1),IF($AJ19&gt;0,INDEX(DL$7:DL$106,$AJ19),1))))</ns0:f>
        <ns0:v>1</ns0:v>
      </ns0:c>
      <ns0:c r="DN19" t="n">
        <ns0:f>IF($A19="",1,IF(DM19=1,1,--AND(IF($AC19&gt;0,INDEX(DM$7:DM$106,$AC19),1),IF($AD19&gt;0,INDEX(DM$7:DM$106,$AD19),1),IF($AE19&gt;0,INDEX(DM$7:DM$106,$AE19),1),IF($AF19&gt;0,INDEX(DM$7:DM$106,$AF19),1),IF($AG19&gt;0,INDEX(DM$7:DM$106,$AG19),1),IF($AH19&gt;0,INDEX(DM$7:DM$106,$AH19),1),IF($AI19&gt;0,INDEX(DM$7:DM$106,$AI19),1),IF($AJ19&gt;0,INDEX(DM$7:DM$106,$AJ19),1))))</ns0:f>
        <ns0:v>1</ns0:v>
      </ns0:c>
      <ns0:c r="DO19" t="n">
        <ns0:f>IF($A19="",1,IF(DN19=1,1,--AND(IF($AC19&gt;0,INDEX(DN$7:DN$106,$AC19),1),IF($AD19&gt;0,INDEX(DN$7:DN$106,$AD19),1),IF($AE19&gt;0,INDEX(DN$7:DN$106,$AE19),1),IF($AF19&gt;0,INDEX(DN$7:DN$106,$AF19),1),IF($AG19&gt;0,INDEX(DN$7:DN$106,$AG19),1),IF($AH19&gt;0,INDEX(DN$7:DN$106,$AH19),1),IF($AI19&gt;0,INDEX(DN$7:DN$106,$AI19),1),IF($AJ19&gt;0,INDEX(DN$7:DN$106,$AJ19),1))))</ns0:f>
        <ns0:v>1</ns0:v>
      </ns0:c>
      <ns0:c r="DP19" t="n">
        <ns0:f>IF($A19="",1,IF(DO19=1,1,--AND(IF($AC19&gt;0,INDEX(DO$7:DO$106,$AC19),1),IF($AD19&gt;0,INDEX(DO$7:DO$106,$AD19),1),IF($AE19&gt;0,INDEX(DO$7:DO$106,$AE19),1),IF($AF19&gt;0,INDEX(DO$7:DO$106,$AF19),1),IF($AG19&gt;0,INDEX(DO$7:DO$106,$AG19),1),IF($AH19&gt;0,INDEX(DO$7:DO$106,$AH19),1),IF($AI19&gt;0,INDEX(DO$7:DO$106,$AI19),1),IF($AJ19&gt;0,INDEX(DO$7:DO$106,$AJ19),1))))</ns0:f>
        <ns0:v>1</ns0:v>
      </ns0:c>
      <ns0:c r="DQ19" t="n">
        <ns0:f>IF($A19="",1,IF(DP19=1,1,--AND(IF($AC19&gt;0,INDEX(DP$7:DP$106,$AC19),1),IF($AD19&gt;0,INDEX(DP$7:DP$106,$AD19),1),IF($AE19&gt;0,INDEX(DP$7:DP$106,$AE19),1),IF($AF19&gt;0,INDEX(DP$7:DP$106,$AF19),1),IF($AG19&gt;0,INDEX(DP$7:DP$106,$AG19),1),IF($AH19&gt;0,INDEX(DP$7:DP$106,$AH19),1),IF($AI19&gt;0,INDEX(DP$7:DP$106,$AI19),1),IF($AJ19&gt;0,INDEX(DP$7:DP$106,$AJ19),1))))</ns0:f>
        <ns0:v>1</ns0:v>
      </ns0:c>
      <ns0:c r="DR19" t="n">
        <ns0:f>IF($A19="",1,IF(DQ19=1,1,--AND(IF($AC19&gt;0,INDEX(DQ$7:DQ$106,$AC19),1),IF($AD19&gt;0,INDEX(DQ$7:DQ$106,$AD19),1),IF($AE19&gt;0,INDEX(DQ$7:DQ$106,$AE19),1),IF($AF19&gt;0,INDEX(DQ$7:DQ$106,$AF19),1),IF($AG19&gt;0,INDEX(DQ$7:DQ$106,$AG19),1),IF($AH19&gt;0,INDEX(DQ$7:DQ$106,$AH19),1),IF($AI19&gt;0,INDEX(DQ$7:DQ$106,$AI19),1),IF($AJ19&gt;0,INDEX(DQ$7:DQ$106,$AJ19),1))))</ns0:f>
        <ns0:v>1</ns0:v>
      </ns0:c>
      <ns0:c r="DS19" t="n">
        <ns0:f>IF($A19="",1,IF(DR19=1,1,--AND(IF($AC19&gt;0,INDEX(DR$7:DR$106,$AC19),1),IF($AD19&gt;0,INDEX(DR$7:DR$106,$AD19),1),IF($AE19&gt;0,INDEX(DR$7:DR$106,$AE19),1),IF($AF19&gt;0,INDEX(DR$7:DR$106,$AF19),1),IF($AG19&gt;0,INDEX(DR$7:DR$106,$AG19),1),IF($AH19&gt;0,INDEX(DR$7:DR$106,$AH19),1),IF($AI19&gt;0,INDEX(DR$7:DR$106,$AI19),1),IF($AJ19&gt;0,INDEX(DR$7:DR$106,$AJ19),1))))</ns0:f>
        <ns0:v>1</ns0:v>
      </ns0:c>
      <ns0:c r="DT19" t="n">
        <ns0:f>IF($A19="",1,IF(DS19=1,1,--AND(IF($AC19&gt;0,INDEX(DS$7:DS$106,$AC19),1),IF($AD19&gt;0,INDEX(DS$7:DS$106,$AD19),1),IF($AE19&gt;0,INDEX(DS$7:DS$106,$AE19),1),IF($AF19&gt;0,INDEX(DS$7:DS$106,$AF19),1),IF($AG19&gt;0,INDEX(DS$7:DS$106,$AG19),1),IF($AH19&gt;0,INDEX(DS$7:DS$106,$AH19),1),IF($AI19&gt;0,INDEX(DS$7:DS$106,$AI19),1),IF($AJ19&gt;0,INDEX(DS$7:DS$106,$AJ19),1))))</ns0:f>
        <ns0:v>1</ns0:v>
      </ns0:c>
      <ns0:c r="DU19" t="n">
        <ns0:f>IF($A19="",1,IF(DT19=1,1,--AND(IF($AC19&gt;0,INDEX(DT$7:DT$106,$AC19),1),IF($AD19&gt;0,INDEX(DT$7:DT$106,$AD19),1),IF($AE19&gt;0,INDEX(DT$7:DT$106,$AE19),1),IF($AF19&gt;0,INDEX(DT$7:DT$106,$AF19),1),IF($AG19&gt;0,INDEX(DT$7:DT$106,$AG19),1),IF($AH19&gt;0,INDEX(DT$7:DT$106,$AH19),1),IF($AI19&gt;0,INDEX(DT$7:DT$106,$AI19),1),IF($AJ19&gt;0,INDEX(DT$7:DT$106,$AJ19),1))))</ns0:f>
        <ns0:v>1</ns0:v>
      </ns0:c>
      <ns0:c r="DV19" t="n">
        <ns0:f>IF($A19="",1,IF(DU19=1,1,--AND(IF($AC19&gt;0,INDEX(DU$7:DU$106,$AC19),1),IF($AD19&gt;0,INDEX(DU$7:DU$106,$AD19),1),IF($AE19&gt;0,INDEX(DU$7:DU$106,$AE19),1),IF($AF19&gt;0,INDEX(DU$7:DU$106,$AF19),1),IF($AG19&gt;0,INDEX(DU$7:DU$106,$AG19),1),IF($AH19&gt;0,INDEX(DU$7:DU$106,$AH19),1),IF($AI19&gt;0,INDEX(DU$7:DU$106,$AI19),1),IF($AJ19&gt;0,INDEX(DU$7:DU$106,$AJ19),1))))</ns0:f>
        <ns0:v>1</ns0:v>
      </ns0:c>
      <ns0:c r="DW19" t="n">
        <ns0:f>IF($A19="",1,IF(DV19=1,1,--AND(IF($AC19&gt;0,INDEX(DV$7:DV$106,$AC19),1),IF($AD19&gt;0,INDEX(DV$7:DV$106,$AD19),1),IF($AE19&gt;0,INDEX(DV$7:DV$106,$AE19),1),IF($AF19&gt;0,INDEX(DV$7:DV$106,$AF19),1),IF($AG19&gt;0,INDEX(DV$7:DV$106,$AG19),1),IF($AH19&gt;0,INDEX(DV$7:DV$106,$AH19),1),IF($AI19&gt;0,INDEX(DV$7:DV$106,$AI19),1),IF($AJ19&gt;0,INDEX(DV$7:DV$106,$AJ19),1))))</ns0:f>
        <ns0:v>1</ns0:v>
      </ns0:c>
      <ns0:c r="DX19" t="n">
        <ns0:f>IF($A19="",1,IF(DW19=1,1,--AND(IF($AC19&gt;0,INDEX(DW$7:DW$106,$AC19),1),IF($AD19&gt;0,INDEX(DW$7:DW$106,$AD19),1),IF($AE19&gt;0,INDEX(DW$7:DW$106,$AE19),1),IF($AF19&gt;0,INDEX(DW$7:DW$106,$AF19),1),IF($AG19&gt;0,INDEX(DW$7:DW$106,$AG19),1),IF($AH19&gt;0,INDEX(DW$7:DW$106,$AH19),1),IF($AI19&gt;0,INDEX(DW$7:DW$106,$AI19),1),IF($AJ19&gt;0,INDEX(DW$7:DW$106,$AJ19),1))))</ns0:f>
        <ns0:v>1</ns0:v>
      </ns0:c>
      <ns0:c r="DY19" t="n">
        <ns0:f>IF($A19="",1,IF(DX19=1,1,--AND(IF($AC19&gt;0,INDEX(DX$7:DX$106,$AC19),1),IF($AD19&gt;0,INDEX(DX$7:DX$106,$AD19),1),IF($AE19&gt;0,INDEX(DX$7:DX$106,$AE19),1),IF($AF19&gt;0,INDEX(DX$7:DX$106,$AF19),1),IF($AG19&gt;0,INDEX(DX$7:DX$106,$AG19),1),IF($AH19&gt;0,INDEX(DX$7:DX$106,$AH19),1),IF($AI19&gt;0,INDEX(DX$7:DX$106,$AI19),1),IF($AJ19&gt;0,INDEX(DX$7:DX$106,$AJ19),1))))</ns0:f>
        <ns0:v>1</ns0:v>
      </ns0:c>
      <ns0:c r="DZ19" t="n">
        <ns0:f>IF($A19="",1,IF(DY19=1,1,--AND(IF($AC19&gt;0,INDEX(DY$7:DY$106,$AC19),1),IF($AD19&gt;0,INDEX(DY$7:DY$106,$AD19),1),IF($AE19&gt;0,INDEX(DY$7:DY$106,$AE19),1),IF($AF19&gt;0,INDEX(DY$7:DY$106,$AF19),1),IF($AG19&gt;0,INDEX(DY$7:DY$106,$AG19),1),IF($AH19&gt;0,INDEX(DY$7:DY$106,$AH19),1),IF($AI19&gt;0,INDEX(DY$7:DY$106,$AI19),1),IF($AJ19&gt;0,INDEX(DY$7:DY$106,$AJ19),1))))</ns0:f>
        <ns0:v>1</ns0:v>
      </ns0:c>
      <ns0:c r="EA19" t="n">
        <ns0:f>IF($A19="",1,IF(DZ19=1,1,--AND(IF($AC19&gt;0,INDEX(DZ$7:DZ$106,$AC19),1),IF($AD19&gt;0,INDEX(DZ$7:DZ$106,$AD19),1),IF($AE19&gt;0,INDEX(DZ$7:DZ$106,$AE19),1),IF($AF19&gt;0,INDEX(DZ$7:DZ$106,$AF19),1),IF($AG19&gt;0,INDEX(DZ$7:DZ$106,$AG19),1),IF($AH19&gt;0,INDEX(DZ$7:DZ$106,$AH19),1),IF($AI19&gt;0,INDEX(DZ$7:DZ$106,$AI19),1),IF($AJ19&gt;0,INDEX(DZ$7:DZ$106,$AJ19),1))))</ns0:f>
        <ns0:v>1</ns0:v>
      </ns0:c>
      <ns0:c r="EB19" t="n">
        <ns0:f>IF($A19="",1,IF(EA19=1,1,--AND(IF($AC19&gt;0,INDEX(EA$7:EA$106,$AC19),1),IF($AD19&gt;0,INDEX(EA$7:EA$106,$AD19),1),IF($AE19&gt;0,INDEX(EA$7:EA$106,$AE19),1),IF($AF19&gt;0,INDEX(EA$7:EA$106,$AF19),1),IF($AG19&gt;0,INDEX(EA$7:EA$106,$AG19),1),IF($AH19&gt;0,INDEX(EA$7:EA$106,$AH19),1),IF($AI19&gt;0,INDEX(EA$7:EA$106,$AI19),1),IF($AJ19&gt;0,INDEX(EA$7:EA$106,$AJ19),1))))</ns0:f>
        <ns0:v>1</ns0:v>
      </ns0:c>
      <ns0:c r="EC19" t="n">
        <ns0:f>IF($A19="",1,IF(EB19=1,1,--AND(IF($AC19&gt;0,INDEX(EB$7:EB$106,$AC19),1),IF($AD19&gt;0,INDEX(EB$7:EB$106,$AD19),1),IF($AE19&gt;0,INDEX(EB$7:EB$106,$AE19),1),IF($AF19&gt;0,INDEX(EB$7:EB$106,$AF19),1),IF($AG19&gt;0,INDEX(EB$7:EB$106,$AG19),1),IF($AH19&gt;0,INDEX(EB$7:EB$106,$AH19),1),IF($AI19&gt;0,INDEX(EB$7:EB$106,$AI19),1),IF($AJ19&gt;0,INDEX(EB$7:EB$106,$AJ19),1))))</ns0:f>
        <ns0:v>1</ns0:v>
      </ns0:c>
      <ns0:c r="ED19" t="n">
        <ns0:f>IF($A19="",1,IF(EC19=1,1,--AND(IF($AC19&gt;0,INDEX(EC$7:EC$106,$AC19),1),IF($AD19&gt;0,INDEX(EC$7:EC$106,$AD19),1),IF($AE19&gt;0,INDEX(EC$7:EC$106,$AE19),1),IF($AF19&gt;0,INDEX(EC$7:EC$106,$AF19),1),IF($AG19&gt;0,INDEX(EC$7:EC$106,$AG19),1),IF($AH19&gt;0,INDEX(EC$7:EC$106,$AH19),1),IF($AI19&gt;0,INDEX(EC$7:EC$106,$AI19),1),IF($AJ19&gt;0,INDEX(EC$7:EC$106,$AJ19),1))))</ns0:f>
        <ns0:v>1</ns0:v>
      </ns0:c>
      <ns0:c r="EE19" t="n">
        <ns0:f>IF($A19="",1,IF(ED19=1,1,--AND(IF($AC19&gt;0,INDEX(ED$7:ED$106,$AC19),1),IF($AD19&gt;0,INDEX(ED$7:ED$106,$AD19),1),IF($AE19&gt;0,INDEX(ED$7:ED$106,$AE19),1),IF($AF19&gt;0,INDEX(ED$7:ED$106,$AF19),1),IF($AG19&gt;0,INDEX(ED$7:ED$106,$AG19),1),IF($AH19&gt;0,INDEX(ED$7:ED$106,$AH19),1),IF($AI19&gt;0,INDEX(ED$7:ED$106,$AI19),1),IF($AJ19&gt;0,INDEX(ED$7:ED$106,$AJ19),1))))</ns0:f>
        <ns0:v>1</ns0:v>
      </ns0:c>
      <ns0:c r="EF19" t="n">
        <ns0:f>IF($A19="",1,IF(EE19=1,1,--AND(IF($AC19&gt;0,INDEX(EE$7:EE$106,$AC19),1),IF($AD19&gt;0,INDEX(EE$7:EE$106,$AD19),1),IF($AE19&gt;0,INDEX(EE$7:EE$106,$AE19),1),IF($AF19&gt;0,INDEX(EE$7:EE$106,$AF19),1),IF($AG19&gt;0,INDEX(EE$7:EE$106,$AG19),1),IF($AH19&gt;0,INDEX(EE$7:EE$106,$AH19),1),IF($AI19&gt;0,INDEX(EE$7:EE$106,$AI19),1),IF($AJ19&gt;0,INDEX(EE$7:EE$106,$AJ19),1))))</ns0:f>
        <ns0:v>1</ns0:v>
      </ns0:c>
      <ns0:c r="EG19" t="n">
        <ns0:f>IF($A19="",1,IF(EF19=1,1,--AND(IF($AC19&gt;0,INDEX(EF$7:EF$106,$AC19),1),IF($AD19&gt;0,INDEX(EF$7:EF$106,$AD19),1),IF($AE19&gt;0,INDEX(EF$7:EF$106,$AE19),1),IF($AF19&gt;0,INDEX(EF$7:EF$106,$AF19),1),IF($AG19&gt;0,INDEX(EF$7:EF$106,$AG19),1),IF($AH19&gt;0,INDEX(EF$7:EF$106,$AH19),1),IF($AI19&gt;0,INDEX(EF$7:EF$106,$AI19),1),IF($AJ19&gt;0,INDEX(EF$7:EF$106,$AJ19),1))))</ns0:f>
        <ns0:v>1</ns0:v>
      </ns0:c>
      <ns0:c r="EH19" t="n">
        <ns0:f>IF($A19="",1,IF(EG19=1,1,--AND(IF($AC19&gt;0,INDEX(EG$7:EG$106,$AC19),1),IF($AD19&gt;0,INDEX(EG$7:EG$106,$AD19),1),IF($AE19&gt;0,INDEX(EG$7:EG$106,$AE19),1),IF($AF19&gt;0,INDEX(EG$7:EG$106,$AF19),1),IF($AG19&gt;0,INDEX(EG$7:EG$106,$AG19),1),IF($AH19&gt;0,INDEX(EG$7:EG$106,$AH19),1),IF($AI19&gt;0,INDEX(EG$7:EG$106,$AI19),1),IF($AJ19&gt;0,INDEX(EG$7:EG$106,$AJ19),1))))</ns0:f>
        <ns0:v>1</ns0:v>
      </ns0:c>
      <ns0:c r="EI19" t="n">
        <ns0:f>IF($A19="",1,IF(EH19=1,1,--AND(IF($AC19&gt;0,INDEX(EH$7:EH$106,$AC19),1),IF($AD19&gt;0,INDEX(EH$7:EH$106,$AD19),1),IF($AE19&gt;0,INDEX(EH$7:EH$106,$AE19),1),IF($AF19&gt;0,INDEX(EH$7:EH$106,$AF19),1),IF($AG19&gt;0,INDEX(EH$7:EH$106,$AG19),1),IF($AH19&gt;0,INDEX(EH$7:EH$106,$AH19),1),IF($AI19&gt;0,INDEX(EH$7:EH$106,$AI19),1),IF($AJ19&gt;0,INDEX(EH$7:EH$106,$AJ19),1))))</ns0:f>
        <ns0:v>1</ns0:v>
      </ns0:c>
      <ns0:c r="EJ19" t="n">
        <ns0:f>IF($A19="",1,IF(EI19=1,1,--AND(IF($AC19&gt;0,INDEX(EI$7:EI$106,$AC19),1),IF($AD19&gt;0,INDEX(EI$7:EI$106,$AD19),1),IF($AE19&gt;0,INDEX(EI$7:EI$106,$AE19),1),IF($AF19&gt;0,INDEX(EI$7:EI$106,$AF19),1),IF($AG19&gt;0,INDEX(EI$7:EI$106,$AG19),1),IF($AH19&gt;0,INDEX(EI$7:EI$106,$AH19),1),IF($AI19&gt;0,INDEX(EI$7:EI$106,$AI19),1),IF($AJ19&gt;0,INDEX(EI$7:EI$106,$AJ19),1))))</ns0:f>
        <ns0:v>1</ns0:v>
      </ns0:c>
      <ns0:c r="EK19" t="n">
        <ns0:f>IF($A19="",1,IF(EJ19=1,1,--AND(IF($AC19&gt;0,INDEX(EJ$7:EJ$106,$AC19),1),IF($AD19&gt;0,INDEX(EJ$7:EJ$106,$AD19),1),IF($AE19&gt;0,INDEX(EJ$7:EJ$106,$AE19),1),IF($AF19&gt;0,INDEX(EJ$7:EJ$106,$AF19),1),IF($AG19&gt;0,INDEX(EJ$7:EJ$106,$AG19),1),IF($AH19&gt;0,INDEX(EJ$7:EJ$106,$AH19),1),IF($AI19&gt;0,INDEX(EJ$7:EJ$106,$AI19),1),IF($AJ19&gt;0,INDEX(EJ$7:EJ$106,$AJ19),1))))</ns0:f>
        <ns0:v>1</ns0:v>
      </ns0:c>
      <ns0:c r="EL19" t="n">
        <ns0:f>IF($A19="",1,IF(EK19=1,1,--AND(IF($AC19&gt;0,INDEX(EK$7:EK$106,$AC19),1),IF($AD19&gt;0,INDEX(EK$7:EK$106,$AD19),1),IF($AE19&gt;0,INDEX(EK$7:EK$106,$AE19),1),IF($AF19&gt;0,INDEX(EK$7:EK$106,$AF19),1),IF($AG19&gt;0,INDEX(EK$7:EK$106,$AG19),1),IF($AH19&gt;0,INDEX(EK$7:EK$106,$AH19),1),IF($AI19&gt;0,INDEX(EK$7:EK$106,$AI19),1),IF($AJ19&gt;0,INDEX(EK$7:EK$106,$AJ19),1))))</ns0:f>
        <ns0:v>1</ns0:v>
      </ns0:c>
      <ns0:c r="EM19" t="n">
        <ns0:f>IF($A19="",1,IF(EL19=1,1,--AND(IF($AC19&gt;0,INDEX(EL$7:EL$106,$AC19),1),IF($AD19&gt;0,INDEX(EL$7:EL$106,$AD19),1),IF($AE19&gt;0,INDEX(EL$7:EL$106,$AE19),1),IF($AF19&gt;0,INDEX(EL$7:EL$106,$AF19),1),IF($AG19&gt;0,INDEX(EL$7:EL$106,$AG19),1),IF($AH19&gt;0,INDEX(EL$7:EL$106,$AH19),1),IF($AI19&gt;0,INDEX(EL$7:EL$106,$AI19),1),IF($AJ19&gt;0,INDEX(EL$7:EL$106,$AJ19),1))))</ns0:f>
        <ns0:v>1</ns0:v>
      </ns0:c>
      <ns0:c r="EN19" t="n">
        <ns0:f>IF($A19="",1,IF(EM19=1,1,--AND(IF($AC19&gt;0,INDEX(EM$7:EM$106,$AC19),1),IF($AD19&gt;0,INDEX(EM$7:EM$106,$AD19),1),IF($AE19&gt;0,INDEX(EM$7:EM$106,$AE19),1),IF($AF19&gt;0,INDEX(EM$7:EM$106,$AF19),1),IF($AG19&gt;0,INDEX(EM$7:EM$106,$AG19),1),IF($AH19&gt;0,INDEX(EM$7:EM$106,$AH19),1),IF($AI19&gt;0,INDEX(EM$7:EM$106,$AI19),1),IF($AJ19&gt;0,INDEX(EM$7:EM$106,$AJ19),1))))</ns0:f>
        <ns0:v>1</ns0:v>
      </ns0:c>
      <ns0:c r="EO19" t="n">
        <ns0:f>IF($A19="",1,IF(EN19=1,1,--AND(IF($AC19&gt;0,INDEX(EN$7:EN$106,$AC19),1),IF($AD19&gt;0,INDEX(EN$7:EN$106,$AD19),1),IF($AE19&gt;0,INDEX(EN$7:EN$106,$AE19),1),IF($AF19&gt;0,INDEX(EN$7:EN$106,$AF19),1),IF($AG19&gt;0,INDEX(EN$7:EN$106,$AG19),1),IF($AH19&gt;0,INDEX(EN$7:EN$106,$AH19),1),IF($AI19&gt;0,INDEX(EN$7:EN$106,$AI19),1),IF($AJ19&gt;0,INDEX(EN$7:EN$106,$AJ19),1))))</ns0:f>
        <ns0:v>1</ns0:v>
      </ns0:c>
      <ns0:c r="EP19" t="n">
        <ns0:f>IF($A19="",1,IF(EO19=1,1,--AND(IF($AC19&gt;0,INDEX(EO$7:EO$106,$AC19),1),IF($AD19&gt;0,INDEX(EO$7:EO$106,$AD19),1),IF($AE19&gt;0,INDEX(EO$7:EO$106,$AE19),1),IF($AF19&gt;0,INDEX(EO$7:EO$106,$AF19),1),IF($AG19&gt;0,INDEX(EO$7:EO$106,$AG19),1),IF($AH19&gt;0,INDEX(EO$7:EO$106,$AH19),1),IF($AI19&gt;0,INDEX(EO$7:EO$106,$AI19),1),IF($AJ19&gt;0,INDEX(EO$7:EO$106,$AJ19),1))))</ns0:f>
        <ns0:v>1</ns0:v>
      </ns0:c>
      <ns0:c r="EQ19" t="n">
        <ns0:f>IF(OR(A19="",NOT(ISNUMBER(G19))),0,G19*N19)</ns0:f>
        <ns0:v>0</ns0:v>
      </ns0:c>
    </ns0:row>
    <ns0:row r="20" ht="62" customHeight="1">
      <ns0:c r="A20" s="48" t="str">
        <ns0:v>T12</ns0:v>
      </ns0:c>
      <ns0:c r="B20" s="48" t="str">
        <ns0:v>Sandbox &amp; tools</ns0:v>
      </ns0:c>
      <ns0:c r="C20" s="48" t="str">
        <ns0:v>Configure sandbox network proxy with strict egress allowlisting (DENY_ALL)</ns0:v>
      </ns0:c>
      <ns0:c r="D20" s="48" t="str">
        <ns0:v>Deny egress by default. Use approved proxy domains for external scraping.</ns0:v>
      </ns0:c>
      <ns0:c r="E20" s="49" t="n">
        <ns0:v>46281</ns0:v>
      </ns0:c>
      <ns0:c r="F20" s="49" t="n">
        <ns0:v>46282</ns0:v>
      </ns0:c>
      <ns0:c r="G20" s="13" t="n">
        <ns0:f>IF(A20="","",IF(OR(NOT(ISNUMBER(E20)),NOT(ISNUMBER(F20)),F20&lt;E20),"",IF(J20="Yes",0,F20-E20+1)))</ns0:f>
        <ns0:v>2</ns0:v>
      </ns0:c>
      <ns0:c r="H20" s="48" t="str">
        <ns0:v>T11</ns0:v>
      </ns0:c>
      <ns0:c r="I20" s="48" t="str">
        <ns0:v>FS</ns0:v>
      </ns0:c>
      <ns0:c r="J20" s="48" t="str">
        <ns0:v>No</ns0:v>
      </ns0:c>
      <ns0:c r="K20" s="48" t="str">
        <ns0:v>Sandbox Controller (agent_sandbox)</ns0:v>
      </ns0:c>
      <ns0:c r="L20" s="48" t="str"/>
      <ns0:c r="M20" s="50" t="str">
        <ns0:f>IF(A20="","",IF(N20=1,"Completed",IF(N20&gt;0,"In Progress","Not Started")))</ns0:f>
        <ns0:v>Not Started</ns0:v>
      </ns0:c>
      <ns0:c r="N20" s="51" t="n">
        <ns0:v>0</ns0:v>
      </ns0:c>
      <ns0:c r="O20" s="13" t="str">
        <ns0:f>IF(A20="","",IF(R20&lt;&gt;"","[CONFLICT] "&amp;R20,IF(S20&lt;&gt;"","[CONFLICT] "&amp;S20,IF(OR(NOT(ISNUMBER(N20)),N20&lt;0,N20&gt;1),"[CONFLICT] Invalid progress",IF(AK20&gt;0,"[DEPENDENCY ISSUE] Missing ID / &gt;8 links",IF(AM20&gt;0,"[DEPENDENCY ISSUE] Cycle or blocked by cycle",IF(AND(H20&lt;&gt;"",ISNA(MATCH(I20,{"FS","SS","FF","SF"},0))),"[DEPENDENCY ISSUE] Invalid type",IF(AL20&gt;0,"[DEPENDENCY ISSUE] Timing conflict",IF(OR(E20&lt;ProjectStart,F20&gt;ProjectEnd),"[OUTSIDE WINDOW]",IF(AND(N20&lt;1,F20&lt;AsOfDate),"Overdue",IF(AND(M20&lt;&gt;Q20,M20&lt;&gt;""),"[CONFLICT] Status / progress","On track")))))))))))</ns0:f>
        <ns0:v>On track</ns0:v>
      </ns0:c>
      <ns0:c r="P20" s="52" t="str">
        <ns0:v>Source: Project Plan Essentials (2).md §1, §2, §4. Original 2026-09-20 to 2026-09-21, 2d; original progress 100% [INFERRED]. [INFERRED] Rescheduled to fit 34d with FS. [INFERRED] FS type. Original resource/tools: Sandbox Controller (agent_sandbox).</ns0:v>
      </ns0:c>
      <ns0:c r="Q20" t="str">
        <ns0:f>IF(A20="","",IF(OR(M20="On Hold",M20="Delayed"),M20,IF(N20=1,"Completed",IF(N20&gt;0,"In Progress","Not Started"))))</ns0:f>
        <ns0:v>Not Started</ns0:v>
      </ns0:c>
      <ns0:c r="R20" t="str">
        <ns0:f>IF(A20="","",IF(COUNTIFS(Tasks[Task ID],A20)&lt;&gt;1,"Duplicate ID",""))</ns0:f>
      </ns0:c>
      <ns0:c r="S20" t="str">
        <ns0:f>IF(A20="","",IF(OR(NOT(ISNUMBER(E20)),NOT(ISNUMBER(F20))),"Invalid / missing date",IF(OR(E20&lt;&gt;INT(E20),F20&lt;&gt;INT(F20),E20&lt;1,F20&gt;2958465),"Invalid date",IF(F20&lt;E20,"End before start",IF(AND(J20="Yes",E20&lt;&gt;F20),"Milestone needs one date","")))))</ns0:f>
      </ns0:c>
      <ns0:c r="T20" t="n">
        <ns0:f>IF(H20="",0,LEN(H20)-LEN(SUBSTITUTE(H20,",",""))+1)</ns0:f>
        <ns0:v>1</ns0:v>
      </ns0:c>
      <ns0:c r="U20" t="str">
        <ns0:f>TRIM(MID(SUBSTITUTE($H20,",",REPT(" ",100)),1,100))</ns0:f>
        <ns0:v>T11</ns0:v>
      </ns0:c>
      <ns0:c r="V20" t="str">
        <ns0:f>TRIM(MID(SUBSTITUTE($H20,",",REPT(" ",100)),101,100))</ns0:f>
      </ns0:c>
      <ns0:c r="W20" t="str">
        <ns0:f>TRIM(MID(SUBSTITUTE($H20,",",REPT(" ",100)),201,100))</ns0:f>
      </ns0:c>
      <ns0:c r="X20" t="str">
        <ns0:f>TRIM(MID(SUBSTITUTE($H20,",",REPT(" ",100)),301,100))</ns0:f>
      </ns0:c>
      <ns0:c r="Y20" t="str">
        <ns0:f>TRIM(MID(SUBSTITUTE($H20,",",REPT(" ",100)),401,100))</ns0:f>
      </ns0:c>
      <ns0:c r="Z20" t="str">
        <ns0:f>TRIM(MID(SUBSTITUTE($H20,",",REPT(" ",100)),501,100))</ns0:f>
      </ns0:c>
      <ns0:c r="AA20" t="str">
        <ns0:f>TRIM(MID(SUBSTITUTE($H20,",",REPT(" ",100)),601,100))</ns0:f>
      </ns0:c>
      <ns0:c r="AB20" t="str">
        <ns0:f>TRIM(MID(SUBSTITUTE($H20,",",REPT(" ",100)),701,100))</ns0:f>
      </ns0:c>
      <ns0:c r="AC20" t="n">
        <ns0:f>IF(U20="",0,IF(COUNTIFS(Tasks[Task ID],U20)=1,MATCH(U20,Tasks[Task ID],0),-1))</ns0:f>
        <ns0:v>13</ns0:v>
      </ns0:c>
      <ns0:c r="AD20" t="n">
        <ns0:f>IF(V20="",0,IF(COUNTIFS(Tasks[Task ID],V20)=1,MATCH(V20,Tasks[Task ID],0),-1))</ns0:f>
        <ns0:v>0</ns0:v>
      </ns0:c>
      <ns0:c r="AE20" t="n">
        <ns0:f>IF(W20="",0,IF(COUNTIFS(Tasks[Task ID],W20)=1,MATCH(W20,Tasks[Task ID],0),-1))</ns0:f>
        <ns0:v>0</ns0:v>
      </ns0:c>
      <ns0:c r="AF20" t="n">
        <ns0:f>IF(X20="",0,IF(COUNTIFS(Tasks[Task ID],X20)=1,MATCH(X20,Tasks[Task ID],0),-1))</ns0:f>
        <ns0:v>0</ns0:v>
      </ns0:c>
      <ns0:c r="AG20" t="n">
        <ns0:f>IF(Y20="",0,IF(COUNTIFS(Tasks[Task ID],Y20)=1,MATCH(Y20,Tasks[Task ID],0),-1))</ns0:f>
        <ns0:v>0</ns0:v>
      </ns0:c>
      <ns0:c r="AH20" t="n">
        <ns0:f>IF(Z20="",0,IF(COUNTIFS(Tasks[Task ID],Z20)=1,MATCH(Z20,Tasks[Task ID],0),-1))</ns0:f>
        <ns0:v>0</ns0:v>
      </ns0:c>
      <ns0:c r="AI20" t="n">
        <ns0:f>IF(AA20="",0,IF(COUNTIFS(Tasks[Task ID],AA20)=1,MATCH(AA20,Tasks[Task ID],0),-1))</ns0:f>
        <ns0:v>0</ns0:v>
      </ns0:c>
      <ns0:c r="AJ20" t="n">
        <ns0:f>IF(AB20="",0,IF(COUNTIFS(Tasks[Task ID],AB20)=1,MATCH(AB20,Tasks[Task ID],0),-1))</ns0:f>
        <ns0:v>0</ns0:v>
      </ns0:c>
      <ns0:c r="AK20" t="n">
        <ns0:f>COUNTIFS(AC20:AJ20,-1)+IF(T20&gt;8,1,0)</ns0:f>
        <ns0:v>0</ns0:v>
      </ns0:c>
      <ns0:c r="AL20" t="n">
        <ns0:f>IF(OR(A20="",S20&lt;&gt;""),0,SUM(IF(AC20&gt;0,IF($I20="FS",--($E20&lt;INDEX(Tasks[End Date],AC20)+IF(INDEX(Tasks[Milestone],AC20)="Yes",0,1)),IF($I20="SS",--($E20&lt;INDEX(Tasks[Start Date],AC20)),IF($I20="FF",--($F20&lt;INDEX(Tasks[End Date],AC20)),IF($I20="SF",--($F20&lt;INDEX(Tasks[Start Date],AC20)),0)))),0),IF(AD20&gt;0,IF($I20="FS",--($E20&lt;INDEX(Tasks[End Date],AD20)+IF(INDEX(Tasks[Milestone],AD20)="Yes",0,1)),IF($I20="SS",--($E20&lt;INDEX(Tasks[Start Date],AD20)),IF($I20="FF",--($F20&lt;INDEX(Tasks[End Date],AD20)),IF($I20="SF",--($F20&lt;INDEX(Tasks[Start Date],AD20)),0)))),0),IF(AE20&gt;0,IF($I20="FS",--($E20&lt;INDEX(Tasks[End Date],AE20)+IF(INDEX(Tasks[Milestone],AE20)="Yes",0,1)),IF($I20="SS",--($E20&lt;INDEX(Tasks[Start Date],AE20)),IF($I20="FF",--($F20&lt;INDEX(Tasks[End Date],AE20)),IF($I20="SF",--($F20&lt;INDEX(Tasks[Start Date],AE20)),0)))),0),IF(AF20&gt;0,IF($I20="FS",--($E20&lt;INDEX(Tasks[End Date],AF20)+IF(INDEX(Tasks[Milestone],AF20)="Yes",0,1)),IF($I20="SS",--($E20&lt;INDEX(Tasks[Start Date],AF20)),IF($I20="FF",--($F20&lt;INDEX(Tasks[End Date],AF20)),IF($I20="SF",--($F20&lt;INDEX(Tasks[Start Date],AF20)),0)))),0),IF(AG20&gt;0,IF($I20="FS",--($E20&lt;INDEX(Tasks[End Date],AG20)+IF(INDEX(Tasks[Milestone],AG20)="Yes",0,1)),IF($I20="SS",--($E20&lt;INDEX(Tasks[Start Date],AG20)),IF($I20="FF",--($F20&lt;INDEX(Tasks[End Date],AG20)),IF($I20="SF",--($F20&lt;INDEX(Tasks[Start Date],AG20)),0)))),0),IF(AH20&gt;0,IF($I20="FS",--($E20&lt;INDEX(Tasks[End Date],AH20)+IF(INDEX(Tasks[Milestone],AH20)="Yes",0,1)),IF($I20="SS",--($E20&lt;INDEX(Tasks[Start Date],AH20)),IF($I20="FF",--($F20&lt;INDEX(Tasks[End Date],AH20)),IF($I20="SF",--($F20&lt;INDEX(Tasks[Start Date],AH20)),0)))),0),IF(AI20&gt;0,IF($I20="FS",--($E20&lt;INDEX(Tasks[End Date],AI20)+IF(INDEX(Tasks[Milestone],AI20)="Yes",0,1)),IF($I20="SS",--($E20&lt;INDEX(Tasks[Start Date],AI20)),IF($I20="FF",--($F20&lt;INDEX(Tasks[End Date],AI20)),IF($I20="SF",--($F20&lt;INDEX(Tasks[Start Date],AI20)),0)))),0),IF(AJ20&gt;0,IF($I20="FS",--($E20&lt;INDEX(Tasks[End Date],AJ20)+IF(INDEX(Tasks[Milestone],AJ20)="Yes",0,1)),IF($I20="SS",--($E20&lt;INDEX(Tasks[Start Date],AJ20)),IF($I20="FF",--($F20&lt;INDEX(Tasks[End Date],AJ20)),IF($I20="SF",--($F20&lt;INDEX(Tasks[Start Date],AJ20)),0)))),0)))</ns0:f>
        <ns0:v>0</ns0:v>
      </ns0:c>
      <ns0:c r="AM20" t="n">
        <ns0:f>IF(AND(A20&lt;&gt;"",AK20=0,EP20=0),1,0)</ns0:f>
        <ns0:v>0</ns0:v>
      </ns0:c>
      <ns0:c r="AN20" t="str">
        <ns0:f>IF(OR(A20="",B20=""),"",IF(COUNTIFS($B$7:B20,B20)=1,MAX($AN$6:AN19)+1,""))</ns0:f>
      </ns0:c>
      <ns0:c r="AO20" t="n">
        <ns0:f>IF(AND(A20&lt;&gt;"",J20="No",N20&lt;1,E20&gt;=AsOfDate),E20+ROW()/10000,1E+9)</ns0:f>
        <ns0:v>46281.002</ns0:v>
      </ns0:c>
      <ns0:c r="AP20" t="n">
        <ns0:f>IF(AND(A20&lt;&gt;"",J20="Yes",N20&lt;1,E20&gt;=AsOfDate),E20+ROW()/10000,1E+9)</ns0:f>
        <ns0:v>1000000000</ns0:v>
      </ns0:c>
      <ns0:c r="AQ20" t="n">
        <ns0:f>IF(AND(A20&lt;&gt;"",J20="No",N20&lt;1,F20&gt;=AsOfDate,F20&lt;=AsOfDate+7),F20+ROW()/10000,1E+9)</ns0:f>
        <ns0:v>46282.002</ns0:v>
      </ns0:c>
      <ns0:c r="AR20" t="n">
        <ns0:f>IF(AND(A20&lt;&gt;"",OR(O20&lt;&gt;"On track",Q20="Delayed")),ROW(),1E+9)</ns0:f>
        <ns0:v>1000000000</ns0:v>
      </ns0:c>
      <ns0:c r="AS20" t="str">
        <ns0:f>IF(A20="","",";"&amp;K20&amp;";")</ns0:f>
        <ns0:v>;Sandbox Controller (agent_sandbox);</ns0:v>
      </ns0:c>
      <ns0:c r="AT20" t="n">
        <ns0:f>IF(A20="",1,--(T20=0))</ns0:f>
        <ns0:v>0</ns0:v>
      </ns0:c>
      <ns0:c r="AU20" t="n">
        <ns0:f>IF($A20="",1,IF(AT20=1,1,--AND(IF($AC20&gt;0,INDEX(AT$7:AT$106,$AC20),1),IF($AD20&gt;0,INDEX(AT$7:AT$106,$AD20),1),IF($AE20&gt;0,INDEX(AT$7:AT$106,$AE20),1),IF($AF20&gt;0,INDEX(AT$7:AT$106,$AF20),1),IF($AG20&gt;0,INDEX(AT$7:AT$106,$AG20),1),IF($AH20&gt;0,INDEX(AT$7:AT$106,$AH20),1),IF($AI20&gt;0,INDEX(AT$7:AT$106,$AI20),1),IF($AJ20&gt;0,INDEX(AT$7:AT$106,$AJ20),1))))</ns0:f>
        <ns0:v>0</ns0:v>
      </ns0:c>
      <ns0:c r="AV20" t="n">
        <ns0:f>IF($A20="",1,IF(AU20=1,1,--AND(IF($AC20&gt;0,INDEX(AU$7:AU$106,$AC20),1),IF($AD20&gt;0,INDEX(AU$7:AU$106,$AD20),1),IF($AE20&gt;0,INDEX(AU$7:AU$106,$AE20),1),IF($AF20&gt;0,INDEX(AU$7:AU$106,$AF20),1),IF($AG20&gt;0,INDEX(AU$7:AU$106,$AG20),1),IF($AH20&gt;0,INDEX(AU$7:AU$106,$AH20),1),IF($AI20&gt;0,INDEX(AU$7:AU$106,$AI20),1),IF($AJ20&gt;0,INDEX(AU$7:AU$106,$AJ20),1))))</ns0:f>
        <ns0:v>0</ns0:v>
      </ns0:c>
      <ns0:c r="AW20" t="n">
        <ns0:f>IF($A20="",1,IF(AV20=1,1,--AND(IF($AC20&gt;0,INDEX(AV$7:AV$106,$AC20),1),IF($AD20&gt;0,INDEX(AV$7:AV$106,$AD20),1),IF($AE20&gt;0,INDEX(AV$7:AV$106,$AE20),1),IF($AF20&gt;0,INDEX(AV$7:AV$106,$AF20),1),IF($AG20&gt;0,INDEX(AV$7:AV$106,$AG20),1),IF($AH20&gt;0,INDEX(AV$7:AV$106,$AH20),1),IF($AI20&gt;0,INDEX(AV$7:AV$106,$AI20),1),IF($AJ20&gt;0,INDEX(AV$7:AV$106,$AJ20),1))))</ns0:f>
        <ns0:v>1</ns0:v>
      </ns0:c>
      <ns0:c r="AX20" t="n">
        <ns0:f>IF($A20="",1,IF(AW20=1,1,--AND(IF($AC20&gt;0,INDEX(AW$7:AW$106,$AC20),1),IF($AD20&gt;0,INDEX(AW$7:AW$106,$AD20),1),IF($AE20&gt;0,INDEX(AW$7:AW$106,$AE20),1),IF($AF20&gt;0,INDEX(AW$7:AW$106,$AF20),1),IF($AG20&gt;0,INDEX(AW$7:AW$106,$AG20),1),IF($AH20&gt;0,INDEX(AW$7:AW$106,$AH20),1),IF($AI20&gt;0,INDEX(AW$7:AW$106,$AI20),1),IF($AJ20&gt;0,INDEX(AW$7:AW$106,$AJ20),1))))</ns0:f>
        <ns0:v>1</ns0:v>
      </ns0:c>
      <ns0:c r="AY20" t="n">
        <ns0:f>IF($A20="",1,IF(AX20=1,1,--AND(IF($AC20&gt;0,INDEX(AX$7:AX$106,$AC20),1),IF($AD20&gt;0,INDEX(AX$7:AX$106,$AD20),1),IF($AE20&gt;0,INDEX(AX$7:AX$106,$AE20),1),IF($AF20&gt;0,INDEX(AX$7:AX$106,$AF20),1),IF($AG20&gt;0,INDEX(AX$7:AX$106,$AG20),1),IF($AH20&gt;0,INDEX(AX$7:AX$106,$AH20),1),IF($AI20&gt;0,INDEX(AX$7:AX$106,$AI20),1),IF($AJ20&gt;0,INDEX(AX$7:AX$106,$AJ20),1))))</ns0:f>
        <ns0:v>1</ns0:v>
      </ns0:c>
      <ns0:c r="AZ20" t="n">
        <ns0:f>IF($A20="",1,IF(AY20=1,1,--AND(IF($AC20&gt;0,INDEX(AY$7:AY$106,$AC20),1),IF($AD20&gt;0,INDEX(AY$7:AY$106,$AD20),1),IF($AE20&gt;0,INDEX(AY$7:AY$106,$AE20),1),IF($AF20&gt;0,INDEX(AY$7:AY$106,$AF20),1),IF($AG20&gt;0,INDEX(AY$7:AY$106,$AG20),1),IF($AH20&gt;0,INDEX(AY$7:AY$106,$AH20),1),IF($AI20&gt;0,INDEX(AY$7:AY$106,$AI20),1),IF($AJ20&gt;0,INDEX(AY$7:AY$106,$AJ20),1))))</ns0:f>
        <ns0:v>1</ns0:v>
      </ns0:c>
      <ns0:c r="BA20" t="n">
        <ns0:f>IF($A20="",1,IF(AZ20=1,1,--AND(IF($AC20&gt;0,INDEX(AZ$7:AZ$106,$AC20),1),IF($AD20&gt;0,INDEX(AZ$7:AZ$106,$AD20),1),IF($AE20&gt;0,INDEX(AZ$7:AZ$106,$AE20),1),IF($AF20&gt;0,INDEX(AZ$7:AZ$106,$AF20),1),IF($AG20&gt;0,INDEX(AZ$7:AZ$106,$AG20),1),IF($AH20&gt;0,INDEX(AZ$7:AZ$106,$AH20),1),IF($AI20&gt;0,INDEX(AZ$7:AZ$106,$AI20),1),IF($AJ20&gt;0,INDEX(AZ$7:AZ$106,$AJ20),1))))</ns0:f>
        <ns0:v>1</ns0:v>
      </ns0:c>
      <ns0:c r="BB20" t="n">
        <ns0:f>IF($A20="",1,IF(BA20=1,1,--AND(IF($AC20&gt;0,INDEX(BA$7:BA$106,$AC20),1),IF($AD20&gt;0,INDEX(BA$7:BA$106,$AD20),1),IF($AE20&gt;0,INDEX(BA$7:BA$106,$AE20),1),IF($AF20&gt;0,INDEX(BA$7:BA$106,$AF20),1),IF($AG20&gt;0,INDEX(BA$7:BA$106,$AG20),1),IF($AH20&gt;0,INDEX(BA$7:BA$106,$AH20),1),IF($AI20&gt;0,INDEX(BA$7:BA$106,$AI20),1),IF($AJ20&gt;0,INDEX(BA$7:BA$106,$AJ20),1))))</ns0:f>
        <ns0:v>1</ns0:v>
      </ns0:c>
      <ns0:c r="BC20" t="n">
        <ns0:f>IF($A20="",1,IF(BB20=1,1,--AND(IF($AC20&gt;0,INDEX(BB$7:BB$106,$AC20),1),IF($AD20&gt;0,INDEX(BB$7:BB$106,$AD20),1),IF($AE20&gt;0,INDEX(BB$7:BB$106,$AE20),1),IF($AF20&gt;0,INDEX(BB$7:BB$106,$AF20),1),IF($AG20&gt;0,INDEX(BB$7:BB$106,$AG20),1),IF($AH20&gt;0,INDEX(BB$7:BB$106,$AH20),1),IF($AI20&gt;0,INDEX(BB$7:BB$106,$AI20),1),IF($AJ20&gt;0,INDEX(BB$7:BB$106,$AJ20),1))))</ns0:f>
        <ns0:v>1</ns0:v>
      </ns0:c>
      <ns0:c r="BD20" t="n">
        <ns0:f>IF($A20="",1,IF(BC20=1,1,--AND(IF($AC20&gt;0,INDEX(BC$7:BC$106,$AC20),1),IF($AD20&gt;0,INDEX(BC$7:BC$106,$AD20),1),IF($AE20&gt;0,INDEX(BC$7:BC$106,$AE20),1),IF($AF20&gt;0,INDEX(BC$7:BC$106,$AF20),1),IF($AG20&gt;0,INDEX(BC$7:BC$106,$AG20),1),IF($AH20&gt;0,INDEX(BC$7:BC$106,$AH20),1),IF($AI20&gt;0,INDEX(BC$7:BC$106,$AI20),1),IF($AJ20&gt;0,INDEX(BC$7:BC$106,$AJ20),1))))</ns0:f>
        <ns0:v>1</ns0:v>
      </ns0:c>
      <ns0:c r="BE20" t="n">
        <ns0:f>IF($A20="",1,IF(BD20=1,1,--AND(IF($AC20&gt;0,INDEX(BD$7:BD$106,$AC20),1),IF($AD20&gt;0,INDEX(BD$7:BD$106,$AD20),1),IF($AE20&gt;0,INDEX(BD$7:BD$106,$AE20),1),IF($AF20&gt;0,INDEX(BD$7:BD$106,$AF20),1),IF($AG20&gt;0,INDEX(BD$7:BD$106,$AG20),1),IF($AH20&gt;0,INDEX(BD$7:BD$106,$AH20),1),IF($AI20&gt;0,INDEX(BD$7:BD$106,$AI20),1),IF($AJ20&gt;0,INDEX(BD$7:BD$106,$AJ20),1))))</ns0:f>
        <ns0:v>1</ns0:v>
      </ns0:c>
      <ns0:c r="BF20" t="n">
        <ns0:f>IF($A20="",1,IF(BE20=1,1,--AND(IF($AC20&gt;0,INDEX(BE$7:BE$106,$AC20),1),IF($AD20&gt;0,INDEX(BE$7:BE$106,$AD20),1),IF($AE20&gt;0,INDEX(BE$7:BE$106,$AE20),1),IF($AF20&gt;0,INDEX(BE$7:BE$106,$AF20),1),IF($AG20&gt;0,INDEX(BE$7:BE$106,$AG20),1),IF($AH20&gt;0,INDEX(BE$7:BE$106,$AH20),1),IF($AI20&gt;0,INDEX(BE$7:BE$106,$AI20),1),IF($AJ20&gt;0,INDEX(BE$7:BE$106,$AJ20),1))))</ns0:f>
        <ns0:v>1</ns0:v>
      </ns0:c>
      <ns0:c r="BG20" t="n">
        <ns0:f>IF($A20="",1,IF(BF20=1,1,--AND(IF($AC20&gt;0,INDEX(BF$7:BF$106,$AC20),1),IF($AD20&gt;0,INDEX(BF$7:BF$106,$AD20),1),IF($AE20&gt;0,INDEX(BF$7:BF$106,$AE20),1),IF($AF20&gt;0,INDEX(BF$7:BF$106,$AF20),1),IF($AG20&gt;0,INDEX(BF$7:BF$106,$AG20),1),IF($AH20&gt;0,INDEX(BF$7:BF$106,$AH20),1),IF($AI20&gt;0,INDEX(BF$7:BF$106,$AI20),1),IF($AJ20&gt;0,INDEX(BF$7:BF$106,$AJ20),1))))</ns0:f>
        <ns0:v>1</ns0:v>
      </ns0:c>
      <ns0:c r="BH20" t="n">
        <ns0:f>IF($A20="",1,IF(BG20=1,1,--AND(IF($AC20&gt;0,INDEX(BG$7:BG$106,$AC20),1),IF($AD20&gt;0,INDEX(BG$7:BG$106,$AD20),1),IF($AE20&gt;0,INDEX(BG$7:BG$106,$AE20),1),IF($AF20&gt;0,INDEX(BG$7:BG$106,$AF20),1),IF($AG20&gt;0,INDEX(BG$7:BG$106,$AG20),1),IF($AH20&gt;0,INDEX(BG$7:BG$106,$AH20),1),IF($AI20&gt;0,INDEX(BG$7:BG$106,$AI20),1),IF($AJ20&gt;0,INDEX(BG$7:BG$106,$AJ20),1))))</ns0:f>
        <ns0:v>1</ns0:v>
      </ns0:c>
      <ns0:c r="BI20" t="n">
        <ns0:f>IF($A20="",1,IF(BH20=1,1,--AND(IF($AC20&gt;0,INDEX(BH$7:BH$106,$AC20),1),IF($AD20&gt;0,INDEX(BH$7:BH$106,$AD20),1),IF($AE20&gt;0,INDEX(BH$7:BH$106,$AE20),1),IF($AF20&gt;0,INDEX(BH$7:BH$106,$AF20),1),IF($AG20&gt;0,INDEX(BH$7:BH$106,$AG20),1),IF($AH20&gt;0,INDEX(BH$7:BH$106,$AH20),1),IF($AI20&gt;0,INDEX(BH$7:BH$106,$AI20),1),IF($AJ20&gt;0,INDEX(BH$7:BH$106,$AJ20),1))))</ns0:f>
        <ns0:v>1</ns0:v>
      </ns0:c>
      <ns0:c r="BJ20" t="n">
        <ns0:f>IF($A20="",1,IF(BI20=1,1,--AND(IF($AC20&gt;0,INDEX(BI$7:BI$106,$AC20),1),IF($AD20&gt;0,INDEX(BI$7:BI$106,$AD20),1),IF($AE20&gt;0,INDEX(BI$7:BI$106,$AE20),1),IF($AF20&gt;0,INDEX(BI$7:BI$106,$AF20),1),IF($AG20&gt;0,INDEX(BI$7:BI$106,$AG20),1),IF($AH20&gt;0,INDEX(BI$7:BI$106,$AH20),1),IF($AI20&gt;0,INDEX(BI$7:BI$106,$AI20),1),IF($AJ20&gt;0,INDEX(BI$7:BI$106,$AJ20),1))))</ns0:f>
        <ns0:v>1</ns0:v>
      </ns0:c>
      <ns0:c r="BK20" t="n">
        <ns0:f>IF($A20="",1,IF(BJ20=1,1,--AND(IF($AC20&gt;0,INDEX(BJ$7:BJ$106,$AC20),1),IF($AD20&gt;0,INDEX(BJ$7:BJ$106,$AD20),1),IF($AE20&gt;0,INDEX(BJ$7:BJ$106,$AE20),1),IF($AF20&gt;0,INDEX(BJ$7:BJ$106,$AF20),1),IF($AG20&gt;0,INDEX(BJ$7:BJ$106,$AG20),1),IF($AH20&gt;0,INDEX(BJ$7:BJ$106,$AH20),1),IF($AI20&gt;0,INDEX(BJ$7:BJ$106,$AI20),1),IF($AJ20&gt;0,INDEX(BJ$7:BJ$106,$AJ20),1))))</ns0:f>
        <ns0:v>1</ns0:v>
      </ns0:c>
      <ns0:c r="BL20" t="n">
        <ns0:f>IF($A20="",1,IF(BK20=1,1,--AND(IF($AC20&gt;0,INDEX(BK$7:BK$106,$AC20),1),IF($AD20&gt;0,INDEX(BK$7:BK$106,$AD20),1),IF($AE20&gt;0,INDEX(BK$7:BK$106,$AE20),1),IF($AF20&gt;0,INDEX(BK$7:BK$106,$AF20),1),IF($AG20&gt;0,INDEX(BK$7:BK$106,$AG20),1),IF($AH20&gt;0,INDEX(BK$7:BK$106,$AH20),1),IF($AI20&gt;0,INDEX(BK$7:BK$106,$AI20),1),IF($AJ20&gt;0,INDEX(BK$7:BK$106,$AJ20),1))))</ns0:f>
        <ns0:v>1</ns0:v>
      </ns0:c>
      <ns0:c r="BM20" t="n">
        <ns0:f>IF($A20="",1,IF(BL20=1,1,--AND(IF($AC20&gt;0,INDEX(BL$7:BL$106,$AC20),1),IF($AD20&gt;0,INDEX(BL$7:BL$106,$AD20),1),IF($AE20&gt;0,INDEX(BL$7:BL$106,$AE20),1),IF($AF20&gt;0,INDEX(BL$7:BL$106,$AF20),1),IF($AG20&gt;0,INDEX(BL$7:BL$106,$AG20),1),IF($AH20&gt;0,INDEX(BL$7:BL$106,$AH20),1),IF($AI20&gt;0,INDEX(BL$7:BL$106,$AI20),1),IF($AJ20&gt;0,INDEX(BL$7:BL$106,$AJ20),1))))</ns0:f>
        <ns0:v>1</ns0:v>
      </ns0:c>
      <ns0:c r="BN20" t="n">
        <ns0:f>IF($A20="",1,IF(BM20=1,1,--AND(IF($AC20&gt;0,INDEX(BM$7:BM$106,$AC20),1),IF($AD20&gt;0,INDEX(BM$7:BM$106,$AD20),1),IF($AE20&gt;0,INDEX(BM$7:BM$106,$AE20),1),IF($AF20&gt;0,INDEX(BM$7:BM$106,$AF20),1),IF($AG20&gt;0,INDEX(BM$7:BM$106,$AG20),1),IF($AH20&gt;0,INDEX(BM$7:BM$106,$AH20),1),IF($AI20&gt;0,INDEX(BM$7:BM$106,$AI20),1),IF($AJ20&gt;0,INDEX(BM$7:BM$106,$AJ20),1))))</ns0:f>
        <ns0:v>1</ns0:v>
      </ns0:c>
      <ns0:c r="BO20" t="n">
        <ns0:f>IF($A20="",1,IF(BN20=1,1,--AND(IF($AC20&gt;0,INDEX(BN$7:BN$106,$AC20),1),IF($AD20&gt;0,INDEX(BN$7:BN$106,$AD20),1),IF($AE20&gt;0,INDEX(BN$7:BN$106,$AE20),1),IF($AF20&gt;0,INDEX(BN$7:BN$106,$AF20),1),IF($AG20&gt;0,INDEX(BN$7:BN$106,$AG20),1),IF($AH20&gt;0,INDEX(BN$7:BN$106,$AH20),1),IF($AI20&gt;0,INDEX(BN$7:BN$106,$AI20),1),IF($AJ20&gt;0,INDEX(BN$7:BN$106,$AJ20),1))))</ns0:f>
        <ns0:v>1</ns0:v>
      </ns0:c>
      <ns0:c r="BP20" t="n">
        <ns0:f>IF($A20="",1,IF(BO20=1,1,--AND(IF($AC20&gt;0,INDEX(BO$7:BO$106,$AC20),1),IF($AD20&gt;0,INDEX(BO$7:BO$106,$AD20),1),IF($AE20&gt;0,INDEX(BO$7:BO$106,$AE20),1),IF($AF20&gt;0,INDEX(BO$7:BO$106,$AF20),1),IF($AG20&gt;0,INDEX(BO$7:BO$106,$AG20),1),IF($AH20&gt;0,INDEX(BO$7:BO$106,$AH20),1),IF($AI20&gt;0,INDEX(BO$7:BO$106,$AI20),1),IF($AJ20&gt;0,INDEX(BO$7:BO$106,$AJ20),1))))</ns0:f>
        <ns0:v>1</ns0:v>
      </ns0:c>
      <ns0:c r="BQ20" t="n">
        <ns0:f>IF($A20="",1,IF(BP20=1,1,--AND(IF($AC20&gt;0,INDEX(BP$7:BP$106,$AC20),1),IF($AD20&gt;0,INDEX(BP$7:BP$106,$AD20),1),IF($AE20&gt;0,INDEX(BP$7:BP$106,$AE20),1),IF($AF20&gt;0,INDEX(BP$7:BP$106,$AF20),1),IF($AG20&gt;0,INDEX(BP$7:BP$106,$AG20),1),IF($AH20&gt;0,INDEX(BP$7:BP$106,$AH20),1),IF($AI20&gt;0,INDEX(BP$7:BP$106,$AI20),1),IF($AJ20&gt;0,INDEX(BP$7:BP$106,$AJ20),1))))</ns0:f>
        <ns0:v>1</ns0:v>
      </ns0:c>
      <ns0:c r="BR20" t="n">
        <ns0:f>IF($A20="",1,IF(BQ20=1,1,--AND(IF($AC20&gt;0,INDEX(BQ$7:BQ$106,$AC20),1),IF($AD20&gt;0,INDEX(BQ$7:BQ$106,$AD20),1),IF($AE20&gt;0,INDEX(BQ$7:BQ$106,$AE20),1),IF($AF20&gt;0,INDEX(BQ$7:BQ$106,$AF20),1),IF($AG20&gt;0,INDEX(BQ$7:BQ$106,$AG20),1),IF($AH20&gt;0,INDEX(BQ$7:BQ$106,$AH20),1),IF($AI20&gt;0,INDEX(BQ$7:BQ$106,$AI20),1),IF($AJ20&gt;0,INDEX(BQ$7:BQ$106,$AJ20),1))))</ns0:f>
        <ns0:v>1</ns0:v>
      </ns0:c>
      <ns0:c r="BS20" t="n">
        <ns0:f>IF($A20="",1,IF(BR20=1,1,--AND(IF($AC20&gt;0,INDEX(BR$7:BR$106,$AC20),1),IF($AD20&gt;0,INDEX(BR$7:BR$106,$AD20),1),IF($AE20&gt;0,INDEX(BR$7:BR$106,$AE20),1),IF($AF20&gt;0,INDEX(BR$7:BR$106,$AF20),1),IF($AG20&gt;0,INDEX(BR$7:BR$106,$AG20),1),IF($AH20&gt;0,INDEX(BR$7:BR$106,$AH20),1),IF($AI20&gt;0,INDEX(BR$7:BR$106,$AI20),1),IF($AJ20&gt;0,INDEX(BR$7:BR$106,$AJ20),1))))</ns0:f>
        <ns0:v>1</ns0:v>
      </ns0:c>
      <ns0:c r="BT20" t="n">
        <ns0:f>IF($A20="",1,IF(BS20=1,1,--AND(IF($AC20&gt;0,INDEX(BS$7:BS$106,$AC20),1),IF($AD20&gt;0,INDEX(BS$7:BS$106,$AD20),1),IF($AE20&gt;0,INDEX(BS$7:BS$106,$AE20),1),IF($AF20&gt;0,INDEX(BS$7:BS$106,$AF20),1),IF($AG20&gt;0,INDEX(BS$7:BS$106,$AG20),1),IF($AH20&gt;0,INDEX(BS$7:BS$106,$AH20),1),IF($AI20&gt;0,INDEX(BS$7:BS$106,$AI20),1),IF($AJ20&gt;0,INDEX(BS$7:BS$106,$AJ20),1))))</ns0:f>
        <ns0:v>1</ns0:v>
      </ns0:c>
      <ns0:c r="BU20" t="n">
        <ns0:f>IF($A20="",1,IF(BT20=1,1,--AND(IF($AC20&gt;0,INDEX(BT$7:BT$106,$AC20),1),IF($AD20&gt;0,INDEX(BT$7:BT$106,$AD20),1),IF($AE20&gt;0,INDEX(BT$7:BT$106,$AE20),1),IF($AF20&gt;0,INDEX(BT$7:BT$106,$AF20),1),IF($AG20&gt;0,INDEX(BT$7:BT$106,$AG20),1),IF($AH20&gt;0,INDEX(BT$7:BT$106,$AH20),1),IF($AI20&gt;0,INDEX(BT$7:BT$106,$AI20),1),IF($AJ20&gt;0,INDEX(BT$7:BT$106,$AJ20),1))))</ns0:f>
        <ns0:v>1</ns0:v>
      </ns0:c>
      <ns0:c r="BV20" t="n">
        <ns0:f>IF($A20="",1,IF(BU20=1,1,--AND(IF($AC20&gt;0,INDEX(BU$7:BU$106,$AC20),1),IF($AD20&gt;0,INDEX(BU$7:BU$106,$AD20),1),IF($AE20&gt;0,INDEX(BU$7:BU$106,$AE20),1),IF($AF20&gt;0,INDEX(BU$7:BU$106,$AF20),1),IF($AG20&gt;0,INDEX(BU$7:BU$106,$AG20),1),IF($AH20&gt;0,INDEX(BU$7:BU$106,$AH20),1),IF($AI20&gt;0,INDEX(BU$7:BU$106,$AI20),1),IF($AJ20&gt;0,INDEX(BU$7:BU$106,$AJ20),1))))</ns0:f>
        <ns0:v>1</ns0:v>
      </ns0:c>
      <ns0:c r="BW20" t="n">
        <ns0:f>IF($A20="",1,IF(BV20=1,1,--AND(IF($AC20&gt;0,INDEX(BV$7:BV$106,$AC20),1),IF($AD20&gt;0,INDEX(BV$7:BV$106,$AD20),1),IF($AE20&gt;0,INDEX(BV$7:BV$106,$AE20),1),IF($AF20&gt;0,INDEX(BV$7:BV$106,$AF20),1),IF($AG20&gt;0,INDEX(BV$7:BV$106,$AG20),1),IF($AH20&gt;0,INDEX(BV$7:BV$106,$AH20),1),IF($AI20&gt;0,INDEX(BV$7:BV$106,$AI20),1),IF($AJ20&gt;0,INDEX(BV$7:BV$106,$AJ20),1))))</ns0:f>
        <ns0:v>1</ns0:v>
      </ns0:c>
      <ns0:c r="BX20" t="n">
        <ns0:f>IF($A20="",1,IF(BW20=1,1,--AND(IF($AC20&gt;0,INDEX(BW$7:BW$106,$AC20),1),IF($AD20&gt;0,INDEX(BW$7:BW$106,$AD20),1),IF($AE20&gt;0,INDEX(BW$7:BW$106,$AE20),1),IF($AF20&gt;0,INDEX(BW$7:BW$106,$AF20),1),IF($AG20&gt;0,INDEX(BW$7:BW$106,$AG20),1),IF($AH20&gt;0,INDEX(BW$7:BW$106,$AH20),1),IF($AI20&gt;0,INDEX(BW$7:BW$106,$AI20),1),IF($AJ20&gt;0,INDEX(BW$7:BW$106,$AJ20),1))))</ns0:f>
        <ns0:v>1</ns0:v>
      </ns0:c>
      <ns0:c r="BY20" t="n">
        <ns0:f>IF($A20="",1,IF(BX20=1,1,--AND(IF($AC20&gt;0,INDEX(BX$7:BX$106,$AC20),1),IF($AD20&gt;0,INDEX(BX$7:BX$106,$AD20),1),IF($AE20&gt;0,INDEX(BX$7:BX$106,$AE20),1),IF($AF20&gt;0,INDEX(BX$7:BX$106,$AF20),1),IF($AG20&gt;0,INDEX(BX$7:BX$106,$AG20),1),IF($AH20&gt;0,INDEX(BX$7:BX$106,$AH20),1),IF($AI20&gt;0,INDEX(BX$7:BX$106,$AI20),1),IF($AJ20&gt;0,INDEX(BX$7:BX$106,$AJ20),1))))</ns0:f>
        <ns0:v>1</ns0:v>
      </ns0:c>
      <ns0:c r="BZ20" t="n">
        <ns0:f>IF($A20="",1,IF(BY20=1,1,--AND(IF($AC20&gt;0,INDEX(BY$7:BY$106,$AC20),1),IF($AD20&gt;0,INDEX(BY$7:BY$106,$AD20),1),IF($AE20&gt;0,INDEX(BY$7:BY$106,$AE20),1),IF($AF20&gt;0,INDEX(BY$7:BY$106,$AF20),1),IF($AG20&gt;0,INDEX(BY$7:BY$106,$AG20),1),IF($AH20&gt;0,INDEX(BY$7:BY$106,$AH20),1),IF($AI20&gt;0,INDEX(BY$7:BY$106,$AI20),1),IF($AJ20&gt;0,INDEX(BY$7:BY$106,$AJ20),1))))</ns0:f>
        <ns0:v>1</ns0:v>
      </ns0:c>
      <ns0:c r="CA20" t="n">
        <ns0:f>IF($A20="",1,IF(BZ20=1,1,--AND(IF($AC20&gt;0,INDEX(BZ$7:BZ$106,$AC20),1),IF($AD20&gt;0,INDEX(BZ$7:BZ$106,$AD20),1),IF($AE20&gt;0,INDEX(BZ$7:BZ$106,$AE20),1),IF($AF20&gt;0,INDEX(BZ$7:BZ$106,$AF20),1),IF($AG20&gt;0,INDEX(BZ$7:BZ$106,$AG20),1),IF($AH20&gt;0,INDEX(BZ$7:BZ$106,$AH20),1),IF($AI20&gt;0,INDEX(BZ$7:BZ$106,$AI20),1),IF($AJ20&gt;0,INDEX(BZ$7:BZ$106,$AJ20),1))))</ns0:f>
        <ns0:v>1</ns0:v>
      </ns0:c>
      <ns0:c r="CB20" t="n">
        <ns0:f>IF($A20="",1,IF(CA20=1,1,--AND(IF($AC20&gt;0,INDEX(CA$7:CA$106,$AC20),1),IF($AD20&gt;0,INDEX(CA$7:CA$106,$AD20),1),IF($AE20&gt;0,INDEX(CA$7:CA$106,$AE20),1),IF($AF20&gt;0,INDEX(CA$7:CA$106,$AF20),1),IF($AG20&gt;0,INDEX(CA$7:CA$106,$AG20),1),IF($AH20&gt;0,INDEX(CA$7:CA$106,$AH20),1),IF($AI20&gt;0,INDEX(CA$7:CA$106,$AI20),1),IF($AJ20&gt;0,INDEX(CA$7:CA$106,$AJ20),1))))</ns0:f>
        <ns0:v>1</ns0:v>
      </ns0:c>
      <ns0:c r="CC20" t="n">
        <ns0:f>IF($A20="",1,IF(CB20=1,1,--AND(IF($AC20&gt;0,INDEX(CB$7:CB$106,$AC20),1),IF($AD20&gt;0,INDEX(CB$7:CB$106,$AD20),1),IF($AE20&gt;0,INDEX(CB$7:CB$106,$AE20),1),IF($AF20&gt;0,INDEX(CB$7:CB$106,$AF20),1),IF($AG20&gt;0,INDEX(CB$7:CB$106,$AG20),1),IF($AH20&gt;0,INDEX(CB$7:CB$106,$AH20),1),IF($AI20&gt;0,INDEX(CB$7:CB$106,$AI20),1),IF($AJ20&gt;0,INDEX(CB$7:CB$106,$AJ20),1))))</ns0:f>
        <ns0:v>1</ns0:v>
      </ns0:c>
      <ns0:c r="CD20" t="n">
        <ns0:f>IF($A20="",1,IF(CC20=1,1,--AND(IF($AC20&gt;0,INDEX(CC$7:CC$106,$AC20),1),IF($AD20&gt;0,INDEX(CC$7:CC$106,$AD20),1),IF($AE20&gt;0,INDEX(CC$7:CC$106,$AE20),1),IF($AF20&gt;0,INDEX(CC$7:CC$106,$AF20),1),IF($AG20&gt;0,INDEX(CC$7:CC$106,$AG20),1),IF($AH20&gt;0,INDEX(CC$7:CC$106,$AH20),1),IF($AI20&gt;0,INDEX(CC$7:CC$106,$AI20),1),IF($AJ20&gt;0,INDEX(CC$7:CC$106,$AJ20),1))))</ns0:f>
        <ns0:v>1</ns0:v>
      </ns0:c>
      <ns0:c r="CE20" t="n">
        <ns0:f>IF($A20="",1,IF(CD20=1,1,--AND(IF($AC20&gt;0,INDEX(CD$7:CD$106,$AC20),1),IF($AD20&gt;0,INDEX(CD$7:CD$106,$AD20),1),IF($AE20&gt;0,INDEX(CD$7:CD$106,$AE20),1),IF($AF20&gt;0,INDEX(CD$7:CD$106,$AF20),1),IF($AG20&gt;0,INDEX(CD$7:CD$106,$AG20),1),IF($AH20&gt;0,INDEX(CD$7:CD$106,$AH20),1),IF($AI20&gt;0,INDEX(CD$7:CD$106,$AI20),1),IF($AJ20&gt;0,INDEX(CD$7:CD$106,$AJ20),1))))</ns0:f>
        <ns0:v>1</ns0:v>
      </ns0:c>
      <ns0:c r="CF20" t="n">
        <ns0:f>IF($A20="",1,IF(CE20=1,1,--AND(IF($AC20&gt;0,INDEX(CE$7:CE$106,$AC20),1),IF($AD20&gt;0,INDEX(CE$7:CE$106,$AD20),1),IF($AE20&gt;0,INDEX(CE$7:CE$106,$AE20),1),IF($AF20&gt;0,INDEX(CE$7:CE$106,$AF20),1),IF($AG20&gt;0,INDEX(CE$7:CE$106,$AG20),1),IF($AH20&gt;0,INDEX(CE$7:CE$106,$AH20),1),IF($AI20&gt;0,INDEX(CE$7:CE$106,$AI20),1),IF($AJ20&gt;0,INDEX(CE$7:CE$106,$AJ20),1))))</ns0:f>
        <ns0:v>1</ns0:v>
      </ns0:c>
      <ns0:c r="CG20" t="n">
        <ns0:f>IF($A20="",1,IF(CF20=1,1,--AND(IF($AC20&gt;0,INDEX(CF$7:CF$106,$AC20),1),IF($AD20&gt;0,INDEX(CF$7:CF$106,$AD20),1),IF($AE20&gt;0,INDEX(CF$7:CF$106,$AE20),1),IF($AF20&gt;0,INDEX(CF$7:CF$106,$AF20),1),IF($AG20&gt;0,INDEX(CF$7:CF$106,$AG20),1),IF($AH20&gt;0,INDEX(CF$7:CF$106,$AH20),1),IF($AI20&gt;0,INDEX(CF$7:CF$106,$AI20),1),IF($AJ20&gt;0,INDEX(CF$7:CF$106,$AJ20),1))))</ns0:f>
        <ns0:v>1</ns0:v>
      </ns0:c>
      <ns0:c r="CH20" t="n">
        <ns0:f>IF($A20="",1,IF(CG20=1,1,--AND(IF($AC20&gt;0,INDEX(CG$7:CG$106,$AC20),1),IF($AD20&gt;0,INDEX(CG$7:CG$106,$AD20),1),IF($AE20&gt;0,INDEX(CG$7:CG$106,$AE20),1),IF($AF20&gt;0,INDEX(CG$7:CG$106,$AF20),1),IF($AG20&gt;0,INDEX(CG$7:CG$106,$AG20),1),IF($AH20&gt;0,INDEX(CG$7:CG$106,$AH20),1),IF($AI20&gt;0,INDEX(CG$7:CG$106,$AI20),1),IF($AJ20&gt;0,INDEX(CG$7:CG$106,$AJ20),1))))</ns0:f>
        <ns0:v>1</ns0:v>
      </ns0:c>
      <ns0:c r="CI20" t="n">
        <ns0:f>IF($A20="",1,IF(CH20=1,1,--AND(IF($AC20&gt;0,INDEX(CH$7:CH$106,$AC20),1),IF($AD20&gt;0,INDEX(CH$7:CH$106,$AD20),1),IF($AE20&gt;0,INDEX(CH$7:CH$106,$AE20),1),IF($AF20&gt;0,INDEX(CH$7:CH$106,$AF20),1),IF($AG20&gt;0,INDEX(CH$7:CH$106,$AG20),1),IF($AH20&gt;0,INDEX(CH$7:CH$106,$AH20),1),IF($AI20&gt;0,INDEX(CH$7:CH$106,$AI20),1),IF($AJ20&gt;0,INDEX(CH$7:CH$106,$AJ20),1))))</ns0:f>
        <ns0:v>1</ns0:v>
      </ns0:c>
      <ns0:c r="CJ20" t="n">
        <ns0:f>IF($A20="",1,IF(CI20=1,1,--AND(IF($AC20&gt;0,INDEX(CI$7:CI$106,$AC20),1),IF($AD20&gt;0,INDEX(CI$7:CI$106,$AD20),1),IF($AE20&gt;0,INDEX(CI$7:CI$106,$AE20),1),IF($AF20&gt;0,INDEX(CI$7:CI$106,$AF20),1),IF($AG20&gt;0,INDEX(CI$7:CI$106,$AG20),1),IF($AH20&gt;0,INDEX(CI$7:CI$106,$AH20),1),IF($AI20&gt;0,INDEX(CI$7:CI$106,$AI20),1),IF($AJ20&gt;0,INDEX(CI$7:CI$106,$AJ20),1))))</ns0:f>
        <ns0:v>1</ns0:v>
      </ns0:c>
      <ns0:c r="CK20" t="n">
        <ns0:f>IF($A20="",1,IF(CJ20=1,1,--AND(IF($AC20&gt;0,INDEX(CJ$7:CJ$106,$AC20),1),IF($AD20&gt;0,INDEX(CJ$7:CJ$106,$AD20),1),IF($AE20&gt;0,INDEX(CJ$7:CJ$106,$AE20),1),IF($AF20&gt;0,INDEX(CJ$7:CJ$106,$AF20),1),IF($AG20&gt;0,INDEX(CJ$7:CJ$106,$AG20),1),IF($AH20&gt;0,INDEX(CJ$7:CJ$106,$AH20),1),IF($AI20&gt;0,INDEX(CJ$7:CJ$106,$AI20),1),IF($AJ20&gt;0,INDEX(CJ$7:CJ$106,$AJ20),1))))</ns0:f>
        <ns0:v>1</ns0:v>
      </ns0:c>
      <ns0:c r="CL20" t="n">
        <ns0:f>IF($A20="",1,IF(CK20=1,1,--AND(IF($AC20&gt;0,INDEX(CK$7:CK$106,$AC20),1),IF($AD20&gt;0,INDEX(CK$7:CK$106,$AD20),1),IF($AE20&gt;0,INDEX(CK$7:CK$106,$AE20),1),IF($AF20&gt;0,INDEX(CK$7:CK$106,$AF20),1),IF($AG20&gt;0,INDEX(CK$7:CK$106,$AG20),1),IF($AH20&gt;0,INDEX(CK$7:CK$106,$AH20),1),IF($AI20&gt;0,INDEX(CK$7:CK$106,$AI20),1),IF($AJ20&gt;0,INDEX(CK$7:CK$106,$AJ20),1))))</ns0:f>
        <ns0:v>1</ns0:v>
      </ns0:c>
      <ns0:c r="CM20" t="n">
        <ns0:f>IF($A20="",1,IF(CL20=1,1,--AND(IF($AC20&gt;0,INDEX(CL$7:CL$106,$AC20),1),IF($AD20&gt;0,INDEX(CL$7:CL$106,$AD20),1),IF($AE20&gt;0,INDEX(CL$7:CL$106,$AE20),1),IF($AF20&gt;0,INDEX(CL$7:CL$106,$AF20),1),IF($AG20&gt;0,INDEX(CL$7:CL$106,$AG20),1),IF($AH20&gt;0,INDEX(CL$7:CL$106,$AH20),1),IF($AI20&gt;0,INDEX(CL$7:CL$106,$AI20),1),IF($AJ20&gt;0,INDEX(CL$7:CL$106,$AJ20),1))))</ns0:f>
        <ns0:v>1</ns0:v>
      </ns0:c>
      <ns0:c r="CN20" t="n">
        <ns0:f>IF($A20="",1,IF(CM20=1,1,--AND(IF($AC20&gt;0,INDEX(CM$7:CM$106,$AC20),1),IF($AD20&gt;0,INDEX(CM$7:CM$106,$AD20),1),IF($AE20&gt;0,INDEX(CM$7:CM$106,$AE20),1),IF($AF20&gt;0,INDEX(CM$7:CM$106,$AF20),1),IF($AG20&gt;0,INDEX(CM$7:CM$106,$AG20),1),IF($AH20&gt;0,INDEX(CM$7:CM$106,$AH20),1),IF($AI20&gt;0,INDEX(CM$7:CM$106,$AI20),1),IF($AJ20&gt;0,INDEX(CM$7:CM$106,$AJ20),1))))</ns0:f>
        <ns0:v>1</ns0:v>
      </ns0:c>
      <ns0:c r="CO20" t="n">
        <ns0:f>IF($A20="",1,IF(CN20=1,1,--AND(IF($AC20&gt;0,INDEX(CN$7:CN$106,$AC20),1),IF($AD20&gt;0,INDEX(CN$7:CN$106,$AD20),1),IF($AE20&gt;0,INDEX(CN$7:CN$106,$AE20),1),IF($AF20&gt;0,INDEX(CN$7:CN$106,$AF20),1),IF($AG20&gt;0,INDEX(CN$7:CN$106,$AG20),1),IF($AH20&gt;0,INDEX(CN$7:CN$106,$AH20),1),IF($AI20&gt;0,INDEX(CN$7:CN$106,$AI20),1),IF($AJ20&gt;0,INDEX(CN$7:CN$106,$AJ20),1))))</ns0:f>
        <ns0:v>1</ns0:v>
      </ns0:c>
      <ns0:c r="CP20" t="n">
        <ns0:f>IF($A20="",1,IF(CO20=1,1,--AND(IF($AC20&gt;0,INDEX(CO$7:CO$106,$AC20),1),IF($AD20&gt;0,INDEX(CO$7:CO$106,$AD20),1),IF($AE20&gt;0,INDEX(CO$7:CO$106,$AE20),1),IF($AF20&gt;0,INDEX(CO$7:CO$106,$AF20),1),IF($AG20&gt;0,INDEX(CO$7:CO$106,$AG20),1),IF($AH20&gt;0,INDEX(CO$7:CO$106,$AH20),1),IF($AI20&gt;0,INDEX(CO$7:CO$106,$AI20),1),IF($AJ20&gt;0,INDEX(CO$7:CO$106,$AJ20),1))))</ns0:f>
        <ns0:v>1</ns0:v>
      </ns0:c>
      <ns0:c r="CQ20" t="n">
        <ns0:f>IF($A20="",1,IF(CP20=1,1,--AND(IF($AC20&gt;0,INDEX(CP$7:CP$106,$AC20),1),IF($AD20&gt;0,INDEX(CP$7:CP$106,$AD20),1),IF($AE20&gt;0,INDEX(CP$7:CP$106,$AE20),1),IF($AF20&gt;0,INDEX(CP$7:CP$106,$AF20),1),IF($AG20&gt;0,INDEX(CP$7:CP$106,$AG20),1),IF($AH20&gt;0,INDEX(CP$7:CP$106,$AH20),1),IF($AI20&gt;0,INDEX(CP$7:CP$106,$AI20),1),IF($AJ20&gt;0,INDEX(CP$7:CP$106,$AJ20),1))))</ns0:f>
        <ns0:v>1</ns0:v>
      </ns0:c>
      <ns0:c r="CR20" t="n">
        <ns0:f>IF($A20="",1,IF(CQ20=1,1,--AND(IF($AC20&gt;0,INDEX(CQ$7:CQ$106,$AC20),1),IF($AD20&gt;0,INDEX(CQ$7:CQ$106,$AD20),1),IF($AE20&gt;0,INDEX(CQ$7:CQ$106,$AE20),1),IF($AF20&gt;0,INDEX(CQ$7:CQ$106,$AF20),1),IF($AG20&gt;0,INDEX(CQ$7:CQ$106,$AG20),1),IF($AH20&gt;0,INDEX(CQ$7:CQ$106,$AH20),1),IF($AI20&gt;0,INDEX(CQ$7:CQ$106,$AI20),1),IF($AJ20&gt;0,INDEX(CQ$7:CQ$106,$AJ20),1))))</ns0:f>
        <ns0:v>1</ns0:v>
      </ns0:c>
      <ns0:c r="CS20" t="n">
        <ns0:f>IF($A20="",1,IF(CR20=1,1,--AND(IF($AC20&gt;0,INDEX(CR$7:CR$106,$AC20),1),IF($AD20&gt;0,INDEX(CR$7:CR$106,$AD20),1),IF($AE20&gt;0,INDEX(CR$7:CR$106,$AE20),1),IF($AF20&gt;0,INDEX(CR$7:CR$106,$AF20),1),IF($AG20&gt;0,INDEX(CR$7:CR$106,$AG20),1),IF($AH20&gt;0,INDEX(CR$7:CR$106,$AH20),1),IF($AI20&gt;0,INDEX(CR$7:CR$106,$AI20),1),IF($AJ20&gt;0,INDEX(CR$7:CR$106,$AJ20),1))))</ns0:f>
        <ns0:v>1</ns0:v>
      </ns0:c>
      <ns0:c r="CT20" t="n">
        <ns0:f>IF($A20="",1,IF(CS20=1,1,--AND(IF($AC20&gt;0,INDEX(CS$7:CS$106,$AC20),1),IF($AD20&gt;0,INDEX(CS$7:CS$106,$AD20),1),IF($AE20&gt;0,INDEX(CS$7:CS$106,$AE20),1),IF($AF20&gt;0,INDEX(CS$7:CS$106,$AF20),1),IF($AG20&gt;0,INDEX(CS$7:CS$106,$AG20),1),IF($AH20&gt;0,INDEX(CS$7:CS$106,$AH20),1),IF($AI20&gt;0,INDEX(CS$7:CS$106,$AI20),1),IF($AJ20&gt;0,INDEX(CS$7:CS$106,$AJ20),1))))</ns0:f>
        <ns0:v>1</ns0:v>
      </ns0:c>
      <ns0:c r="CU20" t="n">
        <ns0:f>IF($A20="",1,IF(CT20=1,1,--AND(IF($AC20&gt;0,INDEX(CT$7:CT$106,$AC20),1),IF($AD20&gt;0,INDEX(CT$7:CT$106,$AD20),1),IF($AE20&gt;0,INDEX(CT$7:CT$106,$AE20),1),IF($AF20&gt;0,INDEX(CT$7:CT$106,$AF20),1),IF($AG20&gt;0,INDEX(CT$7:CT$106,$AG20),1),IF($AH20&gt;0,INDEX(CT$7:CT$106,$AH20),1),IF($AI20&gt;0,INDEX(CT$7:CT$106,$AI20),1),IF($AJ20&gt;0,INDEX(CT$7:CT$106,$AJ20),1))))</ns0:f>
        <ns0:v>1</ns0:v>
      </ns0:c>
      <ns0:c r="CV20" t="n">
        <ns0:f>IF($A20="",1,IF(CU20=1,1,--AND(IF($AC20&gt;0,INDEX(CU$7:CU$106,$AC20),1),IF($AD20&gt;0,INDEX(CU$7:CU$106,$AD20),1),IF($AE20&gt;0,INDEX(CU$7:CU$106,$AE20),1),IF($AF20&gt;0,INDEX(CU$7:CU$106,$AF20),1),IF($AG20&gt;0,INDEX(CU$7:CU$106,$AG20),1),IF($AH20&gt;0,INDEX(CU$7:CU$106,$AH20),1),IF($AI20&gt;0,INDEX(CU$7:CU$106,$AI20),1),IF($AJ20&gt;0,INDEX(CU$7:CU$106,$AJ20),1))))</ns0:f>
        <ns0:v>1</ns0:v>
      </ns0:c>
      <ns0:c r="CW20" t="n">
        <ns0:f>IF($A20="",1,IF(CV20=1,1,--AND(IF($AC20&gt;0,INDEX(CV$7:CV$106,$AC20),1),IF($AD20&gt;0,INDEX(CV$7:CV$106,$AD20),1),IF($AE20&gt;0,INDEX(CV$7:CV$106,$AE20),1),IF($AF20&gt;0,INDEX(CV$7:CV$106,$AF20),1),IF($AG20&gt;0,INDEX(CV$7:CV$106,$AG20),1),IF($AH20&gt;0,INDEX(CV$7:CV$106,$AH20),1),IF($AI20&gt;0,INDEX(CV$7:CV$106,$AI20),1),IF($AJ20&gt;0,INDEX(CV$7:CV$106,$AJ20),1))))</ns0:f>
        <ns0:v>1</ns0:v>
      </ns0:c>
      <ns0:c r="CX20" t="n">
        <ns0:f>IF($A20="",1,IF(CW20=1,1,--AND(IF($AC20&gt;0,INDEX(CW$7:CW$106,$AC20),1),IF($AD20&gt;0,INDEX(CW$7:CW$106,$AD20),1),IF($AE20&gt;0,INDEX(CW$7:CW$106,$AE20),1),IF($AF20&gt;0,INDEX(CW$7:CW$106,$AF20),1),IF($AG20&gt;0,INDEX(CW$7:CW$106,$AG20),1),IF($AH20&gt;0,INDEX(CW$7:CW$106,$AH20),1),IF($AI20&gt;0,INDEX(CW$7:CW$106,$AI20),1),IF($AJ20&gt;0,INDEX(CW$7:CW$106,$AJ20),1))))</ns0:f>
        <ns0:v>1</ns0:v>
      </ns0:c>
      <ns0:c r="CY20" t="n">
        <ns0:f>IF($A20="",1,IF(CX20=1,1,--AND(IF($AC20&gt;0,INDEX(CX$7:CX$106,$AC20),1),IF($AD20&gt;0,INDEX(CX$7:CX$106,$AD20),1),IF($AE20&gt;0,INDEX(CX$7:CX$106,$AE20),1),IF($AF20&gt;0,INDEX(CX$7:CX$106,$AF20),1),IF($AG20&gt;0,INDEX(CX$7:CX$106,$AG20),1),IF($AH20&gt;0,INDEX(CX$7:CX$106,$AH20),1),IF($AI20&gt;0,INDEX(CX$7:CX$106,$AI20),1),IF($AJ20&gt;0,INDEX(CX$7:CX$106,$AJ20),1))))</ns0:f>
        <ns0:v>1</ns0:v>
      </ns0:c>
      <ns0:c r="CZ20" t="n">
        <ns0:f>IF($A20="",1,IF(CY20=1,1,--AND(IF($AC20&gt;0,INDEX(CY$7:CY$106,$AC20),1),IF($AD20&gt;0,INDEX(CY$7:CY$106,$AD20),1),IF($AE20&gt;0,INDEX(CY$7:CY$106,$AE20),1),IF($AF20&gt;0,INDEX(CY$7:CY$106,$AF20),1),IF($AG20&gt;0,INDEX(CY$7:CY$106,$AG20),1),IF($AH20&gt;0,INDEX(CY$7:CY$106,$AH20),1),IF($AI20&gt;0,INDEX(CY$7:CY$106,$AI20),1),IF($AJ20&gt;0,INDEX(CY$7:CY$106,$AJ20),1))))</ns0:f>
        <ns0:v>1</ns0:v>
      </ns0:c>
      <ns0:c r="DA20" t="n">
        <ns0:f>IF($A20="",1,IF(CZ20=1,1,--AND(IF($AC20&gt;0,INDEX(CZ$7:CZ$106,$AC20),1),IF($AD20&gt;0,INDEX(CZ$7:CZ$106,$AD20),1),IF($AE20&gt;0,INDEX(CZ$7:CZ$106,$AE20),1),IF($AF20&gt;0,INDEX(CZ$7:CZ$106,$AF20),1),IF($AG20&gt;0,INDEX(CZ$7:CZ$106,$AG20),1),IF($AH20&gt;0,INDEX(CZ$7:CZ$106,$AH20),1),IF($AI20&gt;0,INDEX(CZ$7:CZ$106,$AI20),1),IF($AJ20&gt;0,INDEX(CZ$7:CZ$106,$AJ20),1))))</ns0:f>
        <ns0:v>1</ns0:v>
      </ns0:c>
      <ns0:c r="DB20" t="n">
        <ns0:f>IF($A20="",1,IF(DA20=1,1,--AND(IF($AC20&gt;0,INDEX(DA$7:DA$106,$AC20),1),IF($AD20&gt;0,INDEX(DA$7:DA$106,$AD20),1),IF($AE20&gt;0,INDEX(DA$7:DA$106,$AE20),1),IF($AF20&gt;0,INDEX(DA$7:DA$106,$AF20),1),IF($AG20&gt;0,INDEX(DA$7:DA$106,$AG20),1),IF($AH20&gt;0,INDEX(DA$7:DA$106,$AH20),1),IF($AI20&gt;0,INDEX(DA$7:DA$106,$AI20),1),IF($AJ20&gt;0,INDEX(DA$7:DA$106,$AJ20),1))))</ns0:f>
        <ns0:v>1</ns0:v>
      </ns0:c>
      <ns0:c r="DC20" t="n">
        <ns0:f>IF($A20="",1,IF(DB20=1,1,--AND(IF($AC20&gt;0,INDEX(DB$7:DB$106,$AC20),1),IF($AD20&gt;0,INDEX(DB$7:DB$106,$AD20),1),IF($AE20&gt;0,INDEX(DB$7:DB$106,$AE20),1),IF($AF20&gt;0,INDEX(DB$7:DB$106,$AF20),1),IF($AG20&gt;0,INDEX(DB$7:DB$106,$AG20),1),IF($AH20&gt;0,INDEX(DB$7:DB$106,$AH20),1),IF($AI20&gt;0,INDEX(DB$7:DB$106,$AI20),1),IF($AJ20&gt;0,INDEX(DB$7:DB$106,$AJ20),1))))</ns0:f>
        <ns0:v>1</ns0:v>
      </ns0:c>
      <ns0:c r="DD20" t="n">
        <ns0:f>IF($A20="",1,IF(DC20=1,1,--AND(IF($AC20&gt;0,INDEX(DC$7:DC$106,$AC20),1),IF($AD20&gt;0,INDEX(DC$7:DC$106,$AD20),1),IF($AE20&gt;0,INDEX(DC$7:DC$106,$AE20),1),IF($AF20&gt;0,INDEX(DC$7:DC$106,$AF20),1),IF($AG20&gt;0,INDEX(DC$7:DC$106,$AG20),1),IF($AH20&gt;0,INDEX(DC$7:DC$106,$AH20),1),IF($AI20&gt;0,INDEX(DC$7:DC$106,$AI20),1),IF($AJ20&gt;0,INDEX(DC$7:DC$106,$AJ20),1))))</ns0:f>
        <ns0:v>1</ns0:v>
      </ns0:c>
      <ns0:c r="DE20" t="n">
        <ns0:f>IF($A20="",1,IF(DD20=1,1,--AND(IF($AC20&gt;0,INDEX(DD$7:DD$106,$AC20),1),IF($AD20&gt;0,INDEX(DD$7:DD$106,$AD20),1),IF($AE20&gt;0,INDEX(DD$7:DD$106,$AE20),1),IF($AF20&gt;0,INDEX(DD$7:DD$106,$AF20),1),IF($AG20&gt;0,INDEX(DD$7:DD$106,$AG20),1),IF($AH20&gt;0,INDEX(DD$7:DD$106,$AH20),1),IF($AI20&gt;0,INDEX(DD$7:DD$106,$AI20),1),IF($AJ20&gt;0,INDEX(DD$7:DD$106,$AJ20),1))))</ns0:f>
        <ns0:v>1</ns0:v>
      </ns0:c>
      <ns0:c r="DF20" t="n">
        <ns0:f>IF($A20="",1,IF(DE20=1,1,--AND(IF($AC20&gt;0,INDEX(DE$7:DE$106,$AC20),1),IF($AD20&gt;0,INDEX(DE$7:DE$106,$AD20),1),IF($AE20&gt;0,INDEX(DE$7:DE$106,$AE20),1),IF($AF20&gt;0,INDEX(DE$7:DE$106,$AF20),1),IF($AG20&gt;0,INDEX(DE$7:DE$106,$AG20),1),IF($AH20&gt;0,INDEX(DE$7:DE$106,$AH20),1),IF($AI20&gt;0,INDEX(DE$7:DE$106,$AI20),1),IF($AJ20&gt;0,INDEX(DE$7:DE$106,$AJ20),1))))</ns0:f>
        <ns0:v>1</ns0:v>
      </ns0:c>
      <ns0:c r="DG20" t="n">
        <ns0:f>IF($A20="",1,IF(DF20=1,1,--AND(IF($AC20&gt;0,INDEX(DF$7:DF$106,$AC20),1),IF($AD20&gt;0,INDEX(DF$7:DF$106,$AD20),1),IF($AE20&gt;0,INDEX(DF$7:DF$106,$AE20),1),IF($AF20&gt;0,INDEX(DF$7:DF$106,$AF20),1),IF($AG20&gt;0,INDEX(DF$7:DF$106,$AG20),1),IF($AH20&gt;0,INDEX(DF$7:DF$106,$AH20),1),IF($AI20&gt;0,INDEX(DF$7:DF$106,$AI20),1),IF($AJ20&gt;0,INDEX(DF$7:DF$106,$AJ20),1))))</ns0:f>
        <ns0:v>1</ns0:v>
      </ns0:c>
      <ns0:c r="DH20" t="n">
        <ns0:f>IF($A20="",1,IF(DG20=1,1,--AND(IF($AC20&gt;0,INDEX(DG$7:DG$106,$AC20),1),IF($AD20&gt;0,INDEX(DG$7:DG$106,$AD20),1),IF($AE20&gt;0,INDEX(DG$7:DG$106,$AE20),1),IF($AF20&gt;0,INDEX(DG$7:DG$106,$AF20),1),IF($AG20&gt;0,INDEX(DG$7:DG$106,$AG20),1),IF($AH20&gt;0,INDEX(DG$7:DG$106,$AH20),1),IF($AI20&gt;0,INDEX(DG$7:DG$106,$AI20),1),IF($AJ20&gt;0,INDEX(DG$7:DG$106,$AJ20),1))))</ns0:f>
        <ns0:v>1</ns0:v>
      </ns0:c>
      <ns0:c r="DI20" t="n">
        <ns0:f>IF($A20="",1,IF(DH20=1,1,--AND(IF($AC20&gt;0,INDEX(DH$7:DH$106,$AC20),1),IF($AD20&gt;0,INDEX(DH$7:DH$106,$AD20),1),IF($AE20&gt;0,INDEX(DH$7:DH$106,$AE20),1),IF($AF20&gt;0,INDEX(DH$7:DH$106,$AF20),1),IF($AG20&gt;0,INDEX(DH$7:DH$106,$AG20),1),IF($AH20&gt;0,INDEX(DH$7:DH$106,$AH20),1),IF($AI20&gt;0,INDEX(DH$7:DH$106,$AI20),1),IF($AJ20&gt;0,INDEX(DH$7:DH$106,$AJ20),1))))</ns0:f>
        <ns0:v>1</ns0:v>
      </ns0:c>
      <ns0:c r="DJ20" t="n">
        <ns0:f>IF($A20="",1,IF(DI20=1,1,--AND(IF($AC20&gt;0,INDEX(DI$7:DI$106,$AC20),1),IF($AD20&gt;0,INDEX(DI$7:DI$106,$AD20),1),IF($AE20&gt;0,INDEX(DI$7:DI$106,$AE20),1),IF($AF20&gt;0,INDEX(DI$7:DI$106,$AF20),1),IF($AG20&gt;0,INDEX(DI$7:DI$106,$AG20),1),IF($AH20&gt;0,INDEX(DI$7:DI$106,$AH20),1),IF($AI20&gt;0,INDEX(DI$7:DI$106,$AI20),1),IF($AJ20&gt;0,INDEX(DI$7:DI$106,$AJ20),1))))</ns0:f>
        <ns0:v>1</ns0:v>
      </ns0:c>
      <ns0:c r="DK20" t="n">
        <ns0:f>IF($A20="",1,IF(DJ20=1,1,--AND(IF($AC20&gt;0,INDEX(DJ$7:DJ$106,$AC20),1),IF($AD20&gt;0,INDEX(DJ$7:DJ$106,$AD20),1),IF($AE20&gt;0,INDEX(DJ$7:DJ$106,$AE20),1),IF($AF20&gt;0,INDEX(DJ$7:DJ$106,$AF20),1),IF($AG20&gt;0,INDEX(DJ$7:DJ$106,$AG20),1),IF($AH20&gt;0,INDEX(DJ$7:DJ$106,$AH20),1),IF($AI20&gt;0,INDEX(DJ$7:DJ$106,$AI20),1),IF($AJ20&gt;0,INDEX(DJ$7:DJ$106,$AJ20),1))))</ns0:f>
        <ns0:v>1</ns0:v>
      </ns0:c>
      <ns0:c r="DL20" t="n">
        <ns0:f>IF($A20="",1,IF(DK20=1,1,--AND(IF($AC20&gt;0,INDEX(DK$7:DK$106,$AC20),1),IF($AD20&gt;0,INDEX(DK$7:DK$106,$AD20),1),IF($AE20&gt;0,INDEX(DK$7:DK$106,$AE20),1),IF($AF20&gt;0,INDEX(DK$7:DK$106,$AF20),1),IF($AG20&gt;0,INDEX(DK$7:DK$106,$AG20),1),IF($AH20&gt;0,INDEX(DK$7:DK$106,$AH20),1),IF($AI20&gt;0,INDEX(DK$7:DK$106,$AI20),1),IF($AJ20&gt;0,INDEX(DK$7:DK$106,$AJ20),1))))</ns0:f>
        <ns0:v>1</ns0:v>
      </ns0:c>
      <ns0:c r="DM20" t="n">
        <ns0:f>IF($A20="",1,IF(DL20=1,1,--AND(IF($AC20&gt;0,INDEX(DL$7:DL$106,$AC20),1),IF($AD20&gt;0,INDEX(DL$7:DL$106,$AD20),1),IF($AE20&gt;0,INDEX(DL$7:DL$106,$AE20),1),IF($AF20&gt;0,INDEX(DL$7:DL$106,$AF20),1),IF($AG20&gt;0,INDEX(DL$7:DL$106,$AG20),1),IF($AH20&gt;0,INDEX(DL$7:DL$106,$AH20),1),IF($AI20&gt;0,INDEX(DL$7:DL$106,$AI20),1),IF($AJ20&gt;0,INDEX(DL$7:DL$106,$AJ20),1))))</ns0:f>
        <ns0:v>1</ns0:v>
      </ns0:c>
      <ns0:c r="DN20" t="n">
        <ns0:f>IF($A20="",1,IF(DM20=1,1,--AND(IF($AC20&gt;0,INDEX(DM$7:DM$106,$AC20),1),IF($AD20&gt;0,INDEX(DM$7:DM$106,$AD20),1),IF($AE20&gt;0,INDEX(DM$7:DM$106,$AE20),1),IF($AF20&gt;0,INDEX(DM$7:DM$106,$AF20),1),IF($AG20&gt;0,INDEX(DM$7:DM$106,$AG20),1),IF($AH20&gt;0,INDEX(DM$7:DM$106,$AH20),1),IF($AI20&gt;0,INDEX(DM$7:DM$106,$AI20),1),IF($AJ20&gt;0,INDEX(DM$7:DM$106,$AJ20),1))))</ns0:f>
        <ns0:v>1</ns0:v>
      </ns0:c>
      <ns0:c r="DO20" t="n">
        <ns0:f>IF($A20="",1,IF(DN20=1,1,--AND(IF($AC20&gt;0,INDEX(DN$7:DN$106,$AC20),1),IF($AD20&gt;0,INDEX(DN$7:DN$106,$AD20),1),IF($AE20&gt;0,INDEX(DN$7:DN$106,$AE20),1),IF($AF20&gt;0,INDEX(DN$7:DN$106,$AF20),1),IF($AG20&gt;0,INDEX(DN$7:DN$106,$AG20),1),IF($AH20&gt;0,INDEX(DN$7:DN$106,$AH20),1),IF($AI20&gt;0,INDEX(DN$7:DN$106,$AI20),1),IF($AJ20&gt;0,INDEX(DN$7:DN$106,$AJ20),1))))</ns0:f>
        <ns0:v>1</ns0:v>
      </ns0:c>
      <ns0:c r="DP20" t="n">
        <ns0:f>IF($A20="",1,IF(DO20=1,1,--AND(IF($AC20&gt;0,INDEX(DO$7:DO$106,$AC20),1),IF($AD20&gt;0,INDEX(DO$7:DO$106,$AD20),1),IF($AE20&gt;0,INDEX(DO$7:DO$106,$AE20),1),IF($AF20&gt;0,INDEX(DO$7:DO$106,$AF20),1),IF($AG20&gt;0,INDEX(DO$7:DO$106,$AG20),1),IF($AH20&gt;0,INDEX(DO$7:DO$106,$AH20),1),IF($AI20&gt;0,INDEX(DO$7:DO$106,$AI20),1),IF($AJ20&gt;0,INDEX(DO$7:DO$106,$AJ20),1))))</ns0:f>
        <ns0:v>1</ns0:v>
      </ns0:c>
      <ns0:c r="DQ20" t="n">
        <ns0:f>IF($A20="",1,IF(DP20=1,1,--AND(IF($AC20&gt;0,INDEX(DP$7:DP$106,$AC20),1),IF($AD20&gt;0,INDEX(DP$7:DP$106,$AD20),1),IF($AE20&gt;0,INDEX(DP$7:DP$106,$AE20),1),IF($AF20&gt;0,INDEX(DP$7:DP$106,$AF20),1),IF($AG20&gt;0,INDEX(DP$7:DP$106,$AG20),1),IF($AH20&gt;0,INDEX(DP$7:DP$106,$AH20),1),IF($AI20&gt;0,INDEX(DP$7:DP$106,$AI20),1),IF($AJ20&gt;0,INDEX(DP$7:DP$106,$AJ20),1))))</ns0:f>
        <ns0:v>1</ns0:v>
      </ns0:c>
      <ns0:c r="DR20" t="n">
        <ns0:f>IF($A20="",1,IF(DQ20=1,1,--AND(IF($AC20&gt;0,INDEX(DQ$7:DQ$106,$AC20),1),IF($AD20&gt;0,INDEX(DQ$7:DQ$106,$AD20),1),IF($AE20&gt;0,INDEX(DQ$7:DQ$106,$AE20),1),IF($AF20&gt;0,INDEX(DQ$7:DQ$106,$AF20),1),IF($AG20&gt;0,INDEX(DQ$7:DQ$106,$AG20),1),IF($AH20&gt;0,INDEX(DQ$7:DQ$106,$AH20),1),IF($AI20&gt;0,INDEX(DQ$7:DQ$106,$AI20),1),IF($AJ20&gt;0,INDEX(DQ$7:DQ$106,$AJ20),1))))</ns0:f>
        <ns0:v>1</ns0:v>
      </ns0:c>
      <ns0:c r="DS20" t="n">
        <ns0:f>IF($A20="",1,IF(DR20=1,1,--AND(IF($AC20&gt;0,INDEX(DR$7:DR$106,$AC20),1),IF($AD20&gt;0,INDEX(DR$7:DR$106,$AD20),1),IF($AE20&gt;0,INDEX(DR$7:DR$106,$AE20),1),IF($AF20&gt;0,INDEX(DR$7:DR$106,$AF20),1),IF($AG20&gt;0,INDEX(DR$7:DR$106,$AG20),1),IF($AH20&gt;0,INDEX(DR$7:DR$106,$AH20),1),IF($AI20&gt;0,INDEX(DR$7:DR$106,$AI20),1),IF($AJ20&gt;0,INDEX(DR$7:DR$106,$AJ20),1))))</ns0:f>
        <ns0:v>1</ns0:v>
      </ns0:c>
      <ns0:c r="DT20" t="n">
        <ns0:f>IF($A20="",1,IF(DS20=1,1,--AND(IF($AC20&gt;0,INDEX(DS$7:DS$106,$AC20),1),IF($AD20&gt;0,INDEX(DS$7:DS$106,$AD20),1),IF($AE20&gt;0,INDEX(DS$7:DS$106,$AE20),1),IF($AF20&gt;0,INDEX(DS$7:DS$106,$AF20),1),IF($AG20&gt;0,INDEX(DS$7:DS$106,$AG20),1),IF($AH20&gt;0,INDEX(DS$7:DS$106,$AH20),1),IF($AI20&gt;0,INDEX(DS$7:DS$106,$AI20),1),IF($AJ20&gt;0,INDEX(DS$7:DS$106,$AJ20),1))))</ns0:f>
        <ns0:v>1</ns0:v>
      </ns0:c>
      <ns0:c r="DU20" t="n">
        <ns0:f>IF($A20="",1,IF(DT20=1,1,--AND(IF($AC20&gt;0,INDEX(DT$7:DT$106,$AC20),1),IF($AD20&gt;0,INDEX(DT$7:DT$106,$AD20),1),IF($AE20&gt;0,INDEX(DT$7:DT$106,$AE20),1),IF($AF20&gt;0,INDEX(DT$7:DT$106,$AF20),1),IF($AG20&gt;0,INDEX(DT$7:DT$106,$AG20),1),IF($AH20&gt;0,INDEX(DT$7:DT$106,$AH20),1),IF($AI20&gt;0,INDEX(DT$7:DT$106,$AI20),1),IF($AJ20&gt;0,INDEX(DT$7:DT$106,$AJ20),1))))</ns0:f>
        <ns0:v>1</ns0:v>
      </ns0:c>
      <ns0:c r="DV20" t="n">
        <ns0:f>IF($A20="",1,IF(DU20=1,1,--AND(IF($AC20&gt;0,INDEX(DU$7:DU$106,$AC20),1),IF($AD20&gt;0,INDEX(DU$7:DU$106,$AD20),1),IF($AE20&gt;0,INDEX(DU$7:DU$106,$AE20),1),IF($AF20&gt;0,INDEX(DU$7:DU$106,$AF20),1),IF($AG20&gt;0,INDEX(DU$7:DU$106,$AG20),1),IF($AH20&gt;0,INDEX(DU$7:DU$106,$AH20),1),IF($AI20&gt;0,INDEX(DU$7:DU$106,$AI20),1),IF($AJ20&gt;0,INDEX(DU$7:DU$106,$AJ20),1))))</ns0:f>
        <ns0:v>1</ns0:v>
      </ns0:c>
      <ns0:c r="DW20" t="n">
        <ns0:f>IF($A20="",1,IF(DV20=1,1,--AND(IF($AC20&gt;0,INDEX(DV$7:DV$106,$AC20),1),IF($AD20&gt;0,INDEX(DV$7:DV$106,$AD20),1),IF($AE20&gt;0,INDEX(DV$7:DV$106,$AE20),1),IF($AF20&gt;0,INDEX(DV$7:DV$106,$AF20),1),IF($AG20&gt;0,INDEX(DV$7:DV$106,$AG20),1),IF($AH20&gt;0,INDEX(DV$7:DV$106,$AH20),1),IF($AI20&gt;0,INDEX(DV$7:DV$106,$AI20),1),IF($AJ20&gt;0,INDEX(DV$7:DV$106,$AJ20),1))))</ns0:f>
        <ns0:v>1</ns0:v>
      </ns0:c>
      <ns0:c r="DX20" t="n">
        <ns0:f>IF($A20="",1,IF(DW20=1,1,--AND(IF($AC20&gt;0,INDEX(DW$7:DW$106,$AC20),1),IF($AD20&gt;0,INDEX(DW$7:DW$106,$AD20),1),IF($AE20&gt;0,INDEX(DW$7:DW$106,$AE20),1),IF($AF20&gt;0,INDEX(DW$7:DW$106,$AF20),1),IF($AG20&gt;0,INDEX(DW$7:DW$106,$AG20),1),IF($AH20&gt;0,INDEX(DW$7:DW$106,$AH20),1),IF($AI20&gt;0,INDEX(DW$7:DW$106,$AI20),1),IF($AJ20&gt;0,INDEX(DW$7:DW$106,$AJ20),1))))</ns0:f>
        <ns0:v>1</ns0:v>
      </ns0:c>
      <ns0:c r="DY20" t="n">
        <ns0:f>IF($A20="",1,IF(DX20=1,1,--AND(IF($AC20&gt;0,INDEX(DX$7:DX$106,$AC20),1),IF($AD20&gt;0,INDEX(DX$7:DX$106,$AD20),1),IF($AE20&gt;0,INDEX(DX$7:DX$106,$AE20),1),IF($AF20&gt;0,INDEX(DX$7:DX$106,$AF20),1),IF($AG20&gt;0,INDEX(DX$7:DX$106,$AG20),1),IF($AH20&gt;0,INDEX(DX$7:DX$106,$AH20),1),IF($AI20&gt;0,INDEX(DX$7:DX$106,$AI20),1),IF($AJ20&gt;0,INDEX(DX$7:DX$106,$AJ20),1))))</ns0:f>
        <ns0:v>1</ns0:v>
      </ns0:c>
      <ns0:c r="DZ20" t="n">
        <ns0:f>IF($A20="",1,IF(DY20=1,1,--AND(IF($AC20&gt;0,INDEX(DY$7:DY$106,$AC20),1),IF($AD20&gt;0,INDEX(DY$7:DY$106,$AD20),1),IF($AE20&gt;0,INDEX(DY$7:DY$106,$AE20),1),IF($AF20&gt;0,INDEX(DY$7:DY$106,$AF20),1),IF($AG20&gt;0,INDEX(DY$7:DY$106,$AG20),1),IF($AH20&gt;0,INDEX(DY$7:DY$106,$AH20),1),IF($AI20&gt;0,INDEX(DY$7:DY$106,$AI20),1),IF($AJ20&gt;0,INDEX(DY$7:DY$106,$AJ20),1))))</ns0:f>
        <ns0:v>1</ns0:v>
      </ns0:c>
      <ns0:c r="EA20" t="n">
        <ns0:f>IF($A20="",1,IF(DZ20=1,1,--AND(IF($AC20&gt;0,INDEX(DZ$7:DZ$106,$AC20),1),IF($AD20&gt;0,INDEX(DZ$7:DZ$106,$AD20),1),IF($AE20&gt;0,INDEX(DZ$7:DZ$106,$AE20),1),IF($AF20&gt;0,INDEX(DZ$7:DZ$106,$AF20),1),IF($AG20&gt;0,INDEX(DZ$7:DZ$106,$AG20),1),IF($AH20&gt;0,INDEX(DZ$7:DZ$106,$AH20),1),IF($AI20&gt;0,INDEX(DZ$7:DZ$106,$AI20),1),IF($AJ20&gt;0,INDEX(DZ$7:DZ$106,$AJ20),1))))</ns0:f>
        <ns0:v>1</ns0:v>
      </ns0:c>
      <ns0:c r="EB20" t="n">
        <ns0:f>IF($A20="",1,IF(EA20=1,1,--AND(IF($AC20&gt;0,INDEX(EA$7:EA$106,$AC20),1),IF($AD20&gt;0,INDEX(EA$7:EA$106,$AD20),1),IF($AE20&gt;0,INDEX(EA$7:EA$106,$AE20),1),IF($AF20&gt;0,INDEX(EA$7:EA$106,$AF20),1),IF($AG20&gt;0,INDEX(EA$7:EA$106,$AG20),1),IF($AH20&gt;0,INDEX(EA$7:EA$106,$AH20),1),IF($AI20&gt;0,INDEX(EA$7:EA$106,$AI20),1),IF($AJ20&gt;0,INDEX(EA$7:EA$106,$AJ20),1))))</ns0:f>
        <ns0:v>1</ns0:v>
      </ns0:c>
      <ns0:c r="EC20" t="n">
        <ns0:f>IF($A20="",1,IF(EB20=1,1,--AND(IF($AC20&gt;0,INDEX(EB$7:EB$106,$AC20),1),IF($AD20&gt;0,INDEX(EB$7:EB$106,$AD20),1),IF($AE20&gt;0,INDEX(EB$7:EB$106,$AE20),1),IF($AF20&gt;0,INDEX(EB$7:EB$106,$AF20),1),IF($AG20&gt;0,INDEX(EB$7:EB$106,$AG20),1),IF($AH20&gt;0,INDEX(EB$7:EB$106,$AH20),1),IF($AI20&gt;0,INDEX(EB$7:EB$106,$AI20),1),IF($AJ20&gt;0,INDEX(EB$7:EB$106,$AJ20),1))))</ns0:f>
        <ns0:v>1</ns0:v>
      </ns0:c>
      <ns0:c r="ED20" t="n">
        <ns0:f>IF($A20="",1,IF(EC20=1,1,--AND(IF($AC20&gt;0,INDEX(EC$7:EC$106,$AC20),1),IF($AD20&gt;0,INDEX(EC$7:EC$106,$AD20),1),IF($AE20&gt;0,INDEX(EC$7:EC$106,$AE20),1),IF($AF20&gt;0,INDEX(EC$7:EC$106,$AF20),1),IF($AG20&gt;0,INDEX(EC$7:EC$106,$AG20),1),IF($AH20&gt;0,INDEX(EC$7:EC$106,$AH20),1),IF($AI20&gt;0,INDEX(EC$7:EC$106,$AI20),1),IF($AJ20&gt;0,INDEX(EC$7:EC$106,$AJ20),1))))</ns0:f>
        <ns0:v>1</ns0:v>
      </ns0:c>
      <ns0:c r="EE20" t="n">
        <ns0:f>IF($A20="",1,IF(ED20=1,1,--AND(IF($AC20&gt;0,INDEX(ED$7:ED$106,$AC20),1),IF($AD20&gt;0,INDEX(ED$7:ED$106,$AD20),1),IF($AE20&gt;0,INDEX(ED$7:ED$106,$AE20),1),IF($AF20&gt;0,INDEX(ED$7:ED$106,$AF20),1),IF($AG20&gt;0,INDEX(ED$7:ED$106,$AG20),1),IF($AH20&gt;0,INDEX(ED$7:ED$106,$AH20),1),IF($AI20&gt;0,INDEX(ED$7:ED$106,$AI20),1),IF($AJ20&gt;0,INDEX(ED$7:ED$106,$AJ20),1))))</ns0:f>
        <ns0:v>1</ns0:v>
      </ns0:c>
      <ns0:c r="EF20" t="n">
        <ns0:f>IF($A20="",1,IF(EE20=1,1,--AND(IF($AC20&gt;0,INDEX(EE$7:EE$106,$AC20),1),IF($AD20&gt;0,INDEX(EE$7:EE$106,$AD20),1),IF($AE20&gt;0,INDEX(EE$7:EE$106,$AE20),1),IF($AF20&gt;0,INDEX(EE$7:EE$106,$AF20),1),IF($AG20&gt;0,INDEX(EE$7:EE$106,$AG20),1),IF($AH20&gt;0,INDEX(EE$7:EE$106,$AH20),1),IF($AI20&gt;0,INDEX(EE$7:EE$106,$AI20),1),IF($AJ20&gt;0,INDEX(EE$7:EE$106,$AJ20),1))))</ns0:f>
        <ns0:v>1</ns0:v>
      </ns0:c>
      <ns0:c r="EG20" t="n">
        <ns0:f>IF($A20="",1,IF(EF20=1,1,--AND(IF($AC20&gt;0,INDEX(EF$7:EF$106,$AC20),1),IF($AD20&gt;0,INDEX(EF$7:EF$106,$AD20),1),IF($AE20&gt;0,INDEX(EF$7:EF$106,$AE20),1),IF($AF20&gt;0,INDEX(EF$7:EF$106,$AF20),1),IF($AG20&gt;0,INDEX(EF$7:EF$106,$AG20),1),IF($AH20&gt;0,INDEX(EF$7:EF$106,$AH20),1),IF($AI20&gt;0,INDEX(EF$7:EF$106,$AI20),1),IF($AJ20&gt;0,INDEX(EF$7:EF$106,$AJ20),1))))</ns0:f>
        <ns0:v>1</ns0:v>
      </ns0:c>
      <ns0:c r="EH20" t="n">
        <ns0:f>IF($A20="",1,IF(EG20=1,1,--AND(IF($AC20&gt;0,INDEX(EG$7:EG$106,$AC20),1),IF($AD20&gt;0,INDEX(EG$7:EG$106,$AD20),1),IF($AE20&gt;0,INDEX(EG$7:EG$106,$AE20),1),IF($AF20&gt;0,INDEX(EG$7:EG$106,$AF20),1),IF($AG20&gt;0,INDEX(EG$7:EG$106,$AG20),1),IF($AH20&gt;0,INDEX(EG$7:EG$106,$AH20),1),IF($AI20&gt;0,INDEX(EG$7:EG$106,$AI20),1),IF($AJ20&gt;0,INDEX(EG$7:EG$106,$AJ20),1))))</ns0:f>
        <ns0:v>1</ns0:v>
      </ns0:c>
      <ns0:c r="EI20" t="n">
        <ns0:f>IF($A20="",1,IF(EH20=1,1,--AND(IF($AC20&gt;0,INDEX(EH$7:EH$106,$AC20),1),IF($AD20&gt;0,INDEX(EH$7:EH$106,$AD20),1),IF($AE20&gt;0,INDEX(EH$7:EH$106,$AE20),1),IF($AF20&gt;0,INDEX(EH$7:EH$106,$AF20),1),IF($AG20&gt;0,INDEX(EH$7:EH$106,$AG20),1),IF($AH20&gt;0,INDEX(EH$7:EH$106,$AH20),1),IF($AI20&gt;0,INDEX(EH$7:EH$106,$AI20),1),IF($AJ20&gt;0,INDEX(EH$7:EH$106,$AJ20),1))))</ns0:f>
        <ns0:v>1</ns0:v>
      </ns0:c>
      <ns0:c r="EJ20" t="n">
        <ns0:f>IF($A20="",1,IF(EI20=1,1,--AND(IF($AC20&gt;0,INDEX(EI$7:EI$106,$AC20),1),IF($AD20&gt;0,INDEX(EI$7:EI$106,$AD20),1),IF($AE20&gt;0,INDEX(EI$7:EI$106,$AE20),1),IF($AF20&gt;0,INDEX(EI$7:EI$106,$AF20),1),IF($AG20&gt;0,INDEX(EI$7:EI$106,$AG20),1),IF($AH20&gt;0,INDEX(EI$7:EI$106,$AH20),1),IF($AI20&gt;0,INDEX(EI$7:EI$106,$AI20),1),IF($AJ20&gt;0,INDEX(EI$7:EI$106,$AJ20),1))))</ns0:f>
        <ns0:v>1</ns0:v>
      </ns0:c>
      <ns0:c r="EK20" t="n">
        <ns0:f>IF($A20="",1,IF(EJ20=1,1,--AND(IF($AC20&gt;0,INDEX(EJ$7:EJ$106,$AC20),1),IF($AD20&gt;0,INDEX(EJ$7:EJ$106,$AD20),1),IF($AE20&gt;0,INDEX(EJ$7:EJ$106,$AE20),1),IF($AF20&gt;0,INDEX(EJ$7:EJ$106,$AF20),1),IF($AG20&gt;0,INDEX(EJ$7:EJ$106,$AG20),1),IF($AH20&gt;0,INDEX(EJ$7:EJ$106,$AH20),1),IF($AI20&gt;0,INDEX(EJ$7:EJ$106,$AI20),1),IF($AJ20&gt;0,INDEX(EJ$7:EJ$106,$AJ20),1))))</ns0:f>
        <ns0:v>1</ns0:v>
      </ns0:c>
      <ns0:c r="EL20" t="n">
        <ns0:f>IF($A20="",1,IF(EK20=1,1,--AND(IF($AC20&gt;0,INDEX(EK$7:EK$106,$AC20),1),IF($AD20&gt;0,INDEX(EK$7:EK$106,$AD20),1),IF($AE20&gt;0,INDEX(EK$7:EK$106,$AE20),1),IF($AF20&gt;0,INDEX(EK$7:EK$106,$AF20),1),IF($AG20&gt;0,INDEX(EK$7:EK$106,$AG20),1),IF($AH20&gt;0,INDEX(EK$7:EK$106,$AH20),1),IF($AI20&gt;0,INDEX(EK$7:EK$106,$AI20),1),IF($AJ20&gt;0,INDEX(EK$7:EK$106,$AJ20),1))))</ns0:f>
        <ns0:v>1</ns0:v>
      </ns0:c>
      <ns0:c r="EM20" t="n">
        <ns0:f>IF($A20="",1,IF(EL20=1,1,--AND(IF($AC20&gt;0,INDEX(EL$7:EL$106,$AC20),1),IF($AD20&gt;0,INDEX(EL$7:EL$106,$AD20),1),IF($AE20&gt;0,INDEX(EL$7:EL$106,$AE20),1),IF($AF20&gt;0,INDEX(EL$7:EL$106,$AF20),1),IF($AG20&gt;0,INDEX(EL$7:EL$106,$AG20),1),IF($AH20&gt;0,INDEX(EL$7:EL$106,$AH20),1),IF($AI20&gt;0,INDEX(EL$7:EL$106,$AI20),1),IF($AJ20&gt;0,INDEX(EL$7:EL$106,$AJ20),1))))</ns0:f>
        <ns0:v>1</ns0:v>
      </ns0:c>
      <ns0:c r="EN20" t="n">
        <ns0:f>IF($A20="",1,IF(EM20=1,1,--AND(IF($AC20&gt;0,INDEX(EM$7:EM$106,$AC20),1),IF($AD20&gt;0,INDEX(EM$7:EM$106,$AD20),1),IF($AE20&gt;0,INDEX(EM$7:EM$106,$AE20),1),IF($AF20&gt;0,INDEX(EM$7:EM$106,$AF20),1),IF($AG20&gt;0,INDEX(EM$7:EM$106,$AG20),1),IF($AH20&gt;0,INDEX(EM$7:EM$106,$AH20),1),IF($AI20&gt;0,INDEX(EM$7:EM$106,$AI20),1),IF($AJ20&gt;0,INDEX(EM$7:EM$106,$AJ20),1))))</ns0:f>
        <ns0:v>1</ns0:v>
      </ns0:c>
      <ns0:c r="EO20" t="n">
        <ns0:f>IF($A20="",1,IF(EN20=1,1,--AND(IF($AC20&gt;0,INDEX(EN$7:EN$106,$AC20),1),IF($AD20&gt;0,INDEX(EN$7:EN$106,$AD20),1),IF($AE20&gt;0,INDEX(EN$7:EN$106,$AE20),1),IF($AF20&gt;0,INDEX(EN$7:EN$106,$AF20),1),IF($AG20&gt;0,INDEX(EN$7:EN$106,$AG20),1),IF($AH20&gt;0,INDEX(EN$7:EN$106,$AH20),1),IF($AI20&gt;0,INDEX(EN$7:EN$106,$AI20),1),IF($AJ20&gt;0,INDEX(EN$7:EN$106,$AJ20),1))))</ns0:f>
        <ns0:v>1</ns0:v>
      </ns0:c>
      <ns0:c r="EP20" t="n">
        <ns0:f>IF($A20="",1,IF(EO20=1,1,--AND(IF($AC20&gt;0,INDEX(EO$7:EO$106,$AC20),1),IF($AD20&gt;0,INDEX(EO$7:EO$106,$AD20),1),IF($AE20&gt;0,INDEX(EO$7:EO$106,$AE20),1),IF($AF20&gt;0,INDEX(EO$7:EO$106,$AF20),1),IF($AG20&gt;0,INDEX(EO$7:EO$106,$AG20),1),IF($AH20&gt;0,INDEX(EO$7:EO$106,$AH20),1),IF($AI20&gt;0,INDEX(EO$7:EO$106,$AI20),1),IF($AJ20&gt;0,INDEX(EO$7:EO$106,$AJ20),1))))</ns0:f>
        <ns0:v>1</ns0:v>
      </ns0:c>
      <ns0:c r="EQ20" t="n">
        <ns0:f>IF(OR(A20="",NOT(ISNUMBER(G20))),0,G20*N20)</ns0:f>
        <ns0:v>0</ns0:v>
      </ns0:c>
    </ns0:row>
    <ns0:row r="21" ht="62" customHeight="1">
      <ns0:c r="A21" s="48" t="str">
        <ns0:v>T13</ns0:v>
      </ns0:c>
      <ns0:c r="B21" s="48" t="str">
        <ns0:v>Sandbox &amp; tools</ns0:v>
      </ns0:c>
      <ns0:c r="C21" s="48" t="str">
        <ns0:v>Implement sandbox execution audit interception to W3C PROV ledger</ns0:v>
      </ns0:c>
      <ns0:c r="D21" s="48" t="str">
        <ns0:v>Stream command, exit-code, memory and error events to immutable audit.</ns0:v>
      </ns0:c>
      <ns0:c r="E21" s="49" t="n">
        <ns0:v>46283</ns0:v>
      </ns0:c>
      <ns0:c r="F21" s="49" t="n">
        <ns0:v>46284</ns0:v>
      </ns0:c>
      <ns0:c r="G21" s="13" t="n">
        <ns0:f>IF(A21="","",IF(OR(NOT(ISNUMBER(E21)),NOT(ISNUMBER(F21)),F21&lt;E21),"",IF(J21="Yes",0,F21-E21+1)))</ns0:f>
        <ns0:v>2</ns0:v>
      </ns0:c>
      <ns0:c r="H21" s="48" t="str">
        <ns0:v>T11,T12</ns0:v>
      </ns0:c>
      <ns0:c r="I21" s="48" t="str">
        <ns0:v>FS</ns0:v>
      </ns0:c>
      <ns0:c r="J21" s="48" t="str">
        <ns0:v>No</ns0:v>
      </ns0:c>
      <ns0:c r="K21" s="48" t="str">
        <ns0:v>Sandbox Controller (agent_sandbox);W3C PROV Immutable Ledger</ns0:v>
      </ns0:c>
      <ns0:c r="L21" s="48" t="str"/>
      <ns0:c r="M21" s="50" t="str">
        <ns0:f>IF(A21="","",IF(N21=1,"Completed",IF(N21&gt;0,"In Progress","Not Started")))</ns0:f>
        <ns0:v>Not Started</ns0:v>
      </ns0:c>
      <ns0:c r="N21" s="51" t="n">
        <ns0:v>0</ns0:v>
      </ns0:c>
      <ns0:c r="O21" s="13" t="str">
        <ns0:f>IF(A21="","",IF(R21&lt;&gt;"","[CONFLICT] "&amp;R21,IF(S21&lt;&gt;"","[CONFLICT] "&amp;S21,IF(OR(NOT(ISNUMBER(N21)),N21&lt;0,N21&gt;1),"[CONFLICT] Invalid progress",IF(AK21&gt;0,"[DEPENDENCY ISSUE] Missing ID / &gt;8 links",IF(AM21&gt;0,"[DEPENDENCY ISSUE] Cycle or blocked by cycle",IF(AND(H21&lt;&gt;"",ISNA(MATCH(I21,{"FS","SS","FF","SF"},0))),"[DEPENDENCY ISSUE] Invalid type",IF(AL21&gt;0,"[DEPENDENCY ISSUE] Timing conflict",IF(OR(E21&lt;ProjectStart,F21&gt;ProjectEnd),"[OUTSIDE WINDOW]",IF(AND(N21&lt;1,F21&lt;AsOfDate),"Overdue",IF(AND(M21&lt;&gt;Q21,M21&lt;&gt;""),"[CONFLICT] Status / progress","On track")))))))))))</ns0:f>
        <ns0:v>On track</ns0:v>
      </ns0:c>
      <ns0:c r="P21" s="52" t="str">
        <ns0:v>Source: Project Plan Essentials (2).md §1, §2, §4. Original 2026-09-21 to 2026-09-22, 2d; original progress 100% [INFERRED]. [INFERRED] Rescheduled to fit 34d with FS. Original resource/tools: Sandbox Controller &amp; W3C PROV Audit.</ns0:v>
      </ns0:c>
      <ns0:c r="Q21" t="str">
        <ns0:f>IF(A21="","",IF(OR(M21="On Hold",M21="Delayed"),M21,IF(N21=1,"Completed",IF(N21&gt;0,"In Progress","Not Started"))))</ns0:f>
        <ns0:v>Not Started</ns0:v>
      </ns0:c>
      <ns0:c r="R21" t="str">
        <ns0:f>IF(A21="","",IF(COUNTIFS(Tasks[Task ID],A21)&lt;&gt;1,"Duplicate ID",""))</ns0:f>
      </ns0:c>
      <ns0:c r="S21" t="str">
        <ns0:f>IF(A21="","",IF(OR(NOT(ISNUMBER(E21)),NOT(ISNUMBER(F21))),"Invalid / missing date",IF(OR(E21&lt;&gt;INT(E21),F21&lt;&gt;INT(F21),E21&lt;1,F21&gt;2958465),"Invalid date",IF(F21&lt;E21,"End before start",IF(AND(J21="Yes",E21&lt;&gt;F21),"Milestone needs one date","")))))</ns0:f>
      </ns0:c>
      <ns0:c r="T21" t="n">
        <ns0:f>IF(H21="",0,LEN(H21)-LEN(SUBSTITUTE(H21,",",""))+1)</ns0:f>
        <ns0:v>2</ns0:v>
      </ns0:c>
      <ns0:c r="U21" t="str">
        <ns0:f>TRIM(MID(SUBSTITUTE($H21,",",REPT(" ",100)),1,100))</ns0:f>
        <ns0:v>T11</ns0:v>
      </ns0:c>
      <ns0:c r="V21" t="str">
        <ns0:f>TRIM(MID(SUBSTITUTE($H21,",",REPT(" ",100)),101,100))</ns0:f>
        <ns0:v>T12</ns0:v>
      </ns0:c>
      <ns0:c r="W21" t="str">
        <ns0:f>TRIM(MID(SUBSTITUTE($H21,",",REPT(" ",100)),201,100))</ns0:f>
      </ns0:c>
      <ns0:c r="X21" t="str">
        <ns0:f>TRIM(MID(SUBSTITUTE($H21,",",REPT(" ",100)),301,100))</ns0:f>
      </ns0:c>
      <ns0:c r="Y21" t="str">
        <ns0:f>TRIM(MID(SUBSTITUTE($H21,",",REPT(" ",100)),401,100))</ns0:f>
      </ns0:c>
      <ns0:c r="Z21" t="str">
        <ns0:f>TRIM(MID(SUBSTITUTE($H21,",",REPT(" ",100)),501,100))</ns0:f>
      </ns0:c>
      <ns0:c r="AA21" t="str">
        <ns0:f>TRIM(MID(SUBSTITUTE($H21,",",REPT(" ",100)),601,100))</ns0:f>
      </ns0:c>
      <ns0:c r="AB21" t="str">
        <ns0:f>TRIM(MID(SUBSTITUTE($H21,",",REPT(" ",100)),701,100))</ns0:f>
      </ns0:c>
      <ns0:c r="AC21" t="n">
        <ns0:f>IF(U21="",0,IF(COUNTIFS(Tasks[Task ID],U21)=1,MATCH(U21,Tasks[Task ID],0),-1))</ns0:f>
        <ns0:v>13</ns0:v>
      </ns0:c>
      <ns0:c r="AD21" t="n">
        <ns0:f>IF(V21="",0,IF(COUNTIFS(Tasks[Task ID],V21)=1,MATCH(V21,Tasks[Task ID],0),-1))</ns0:f>
        <ns0:v>14</ns0:v>
      </ns0:c>
      <ns0:c r="AE21" t="n">
        <ns0:f>IF(W21="",0,IF(COUNTIFS(Tasks[Task ID],W21)=1,MATCH(W21,Tasks[Task ID],0),-1))</ns0:f>
        <ns0:v>0</ns0:v>
      </ns0:c>
      <ns0:c r="AF21" t="n">
        <ns0:f>IF(X21="",0,IF(COUNTIFS(Tasks[Task ID],X21)=1,MATCH(X21,Tasks[Task ID],0),-1))</ns0:f>
        <ns0:v>0</ns0:v>
      </ns0:c>
      <ns0:c r="AG21" t="n">
        <ns0:f>IF(Y21="",0,IF(COUNTIFS(Tasks[Task ID],Y21)=1,MATCH(Y21,Tasks[Task ID],0),-1))</ns0:f>
        <ns0:v>0</ns0:v>
      </ns0:c>
      <ns0:c r="AH21" t="n">
        <ns0:f>IF(Z21="",0,IF(COUNTIFS(Tasks[Task ID],Z21)=1,MATCH(Z21,Tasks[Task ID],0),-1))</ns0:f>
        <ns0:v>0</ns0:v>
      </ns0:c>
      <ns0:c r="AI21" t="n">
        <ns0:f>IF(AA21="",0,IF(COUNTIFS(Tasks[Task ID],AA21)=1,MATCH(AA21,Tasks[Task ID],0),-1))</ns0:f>
        <ns0:v>0</ns0:v>
      </ns0:c>
      <ns0:c r="AJ21" t="n">
        <ns0:f>IF(AB21="",0,IF(COUNTIFS(Tasks[Task ID],AB21)=1,MATCH(AB21,Tasks[Task ID],0),-1))</ns0:f>
        <ns0:v>0</ns0:v>
      </ns0:c>
      <ns0:c r="AK21" t="n">
        <ns0:f>COUNTIFS(AC21:AJ21,-1)+IF(T21&gt;8,1,0)</ns0:f>
        <ns0:v>0</ns0:v>
      </ns0:c>
      <ns0:c r="AL21" t="n">
        <ns0:f>IF(OR(A21="",S21&lt;&gt;""),0,SUM(IF(AC21&gt;0,IF($I21="FS",--($E21&lt;INDEX(Tasks[End Date],AC21)+IF(INDEX(Tasks[Milestone],AC21)="Yes",0,1)),IF($I21="SS",--($E21&lt;INDEX(Tasks[Start Date],AC21)),IF($I21="FF",--($F21&lt;INDEX(Tasks[End Date],AC21)),IF($I21="SF",--($F21&lt;INDEX(Tasks[Start Date],AC21)),0)))),0),IF(AD21&gt;0,IF($I21="FS",--($E21&lt;INDEX(Tasks[End Date],AD21)+IF(INDEX(Tasks[Milestone],AD21)="Yes",0,1)),IF($I21="SS",--($E21&lt;INDEX(Tasks[Start Date],AD21)),IF($I21="FF",--($F21&lt;INDEX(Tasks[End Date],AD21)),IF($I21="SF",--($F21&lt;INDEX(Tasks[Start Date],AD21)),0)))),0),IF(AE21&gt;0,IF($I21="FS",--($E21&lt;INDEX(Tasks[End Date],AE21)+IF(INDEX(Tasks[Milestone],AE21)="Yes",0,1)),IF($I21="SS",--($E21&lt;INDEX(Tasks[Start Date],AE21)),IF($I21="FF",--($F21&lt;INDEX(Tasks[End Date],AE21)),IF($I21="SF",--($F21&lt;INDEX(Tasks[Start Date],AE21)),0)))),0),IF(AF21&gt;0,IF($I21="FS",--($E21&lt;INDEX(Tasks[End Date],AF21)+IF(INDEX(Tasks[Milestone],AF21)="Yes",0,1)),IF($I21="SS",--($E21&lt;INDEX(Tasks[Start Date],AF21)),IF($I21="FF",--($F21&lt;INDEX(Tasks[End Date],AF21)),IF($I21="SF",--($F21&lt;INDEX(Tasks[Start Date],AF21)),0)))),0),IF(AG21&gt;0,IF($I21="FS",--($E21&lt;INDEX(Tasks[End Date],AG21)+IF(INDEX(Tasks[Milestone],AG21)="Yes",0,1)),IF($I21="SS",--($E21&lt;INDEX(Tasks[Start Date],AG21)),IF($I21="FF",--($F21&lt;INDEX(Tasks[End Date],AG21)),IF($I21="SF",--($F21&lt;INDEX(Tasks[Start Date],AG21)),0)))),0),IF(AH21&gt;0,IF($I21="FS",--($E21&lt;INDEX(Tasks[End Date],AH21)+IF(INDEX(Tasks[Milestone],AH21)="Yes",0,1)),IF($I21="SS",--($E21&lt;INDEX(Tasks[Start Date],AH21)),IF($I21="FF",--($F21&lt;INDEX(Tasks[End Date],AH21)),IF($I21="SF",--($F21&lt;INDEX(Tasks[Start Date],AH21)),0)))),0),IF(AI21&gt;0,IF($I21="FS",--($E21&lt;INDEX(Tasks[End Date],AI21)+IF(INDEX(Tasks[Milestone],AI21)="Yes",0,1)),IF($I21="SS",--($E21&lt;INDEX(Tasks[Start Date],AI21)),IF($I21="FF",--($F21&lt;INDEX(Tasks[End Date],AI21)),IF($I21="SF",--($F21&lt;INDEX(Tasks[Start Date],AI21)),0)))),0),IF(AJ21&gt;0,IF($I21="FS",--($E21&lt;INDEX(Tasks[End Date],AJ21)+IF(INDEX(Tasks[Milestone],AJ21)="Yes",0,1)),IF($I21="SS",--($E21&lt;INDEX(Tasks[Start Date],AJ21)),IF($I21="FF",--($F21&lt;INDEX(Tasks[End Date],AJ21)),IF($I21="SF",--($F21&lt;INDEX(Tasks[Start Date],AJ21)),0)))),0)))</ns0:f>
        <ns0:v>0</ns0:v>
      </ns0:c>
      <ns0:c r="AM21" t="n">
        <ns0:f>IF(AND(A21&lt;&gt;"",AK21=0,EP21=0),1,0)</ns0:f>
        <ns0:v>0</ns0:v>
      </ns0:c>
      <ns0:c r="AN21" t="str">
        <ns0:f>IF(OR(A21="",B21=""),"",IF(COUNTIFS($B$7:B21,B21)=1,MAX($AN$6:AN20)+1,""))</ns0:f>
      </ns0:c>
      <ns0:c r="AO21" t="n">
        <ns0:f>IF(AND(A21&lt;&gt;"",J21="No",N21&lt;1,E21&gt;=AsOfDate),E21+ROW()/10000,1E+9)</ns0:f>
        <ns0:v>46283.0021</ns0:v>
      </ns0:c>
      <ns0:c r="AP21" t="n">
        <ns0:f>IF(AND(A21&lt;&gt;"",J21="Yes",N21&lt;1,E21&gt;=AsOfDate),E21+ROW()/10000,1E+9)</ns0:f>
        <ns0:v>1000000000</ns0:v>
      </ns0:c>
      <ns0:c r="AQ21" t="n">
        <ns0:f>IF(AND(A21&lt;&gt;"",J21="No",N21&lt;1,F21&gt;=AsOfDate,F21&lt;=AsOfDate+7),F21+ROW()/10000,1E+9)</ns0:f>
        <ns0:v>1000000000</ns0:v>
      </ns0:c>
      <ns0:c r="AR21" t="n">
        <ns0:f>IF(AND(A21&lt;&gt;"",OR(O21&lt;&gt;"On track",Q21="Delayed")),ROW(),1E+9)</ns0:f>
        <ns0:v>1000000000</ns0:v>
      </ns0:c>
      <ns0:c r="AS21" t="str">
        <ns0:f>IF(A21="","",";"&amp;K21&amp;";")</ns0:f>
        <ns0:v>;Sandbox Controller (agent_sandbox);W3C PROV Immutable Ledger;</ns0:v>
      </ns0:c>
      <ns0:c r="AT21" t="n">
        <ns0:f>IF(A21="",1,--(T21=0))</ns0:f>
        <ns0:v>0</ns0:v>
      </ns0:c>
      <ns0:c r="AU21" t="n">
        <ns0:f>IF($A21="",1,IF(AT21=1,1,--AND(IF($AC21&gt;0,INDEX(AT$7:AT$106,$AC21),1),IF($AD21&gt;0,INDEX(AT$7:AT$106,$AD21),1),IF($AE21&gt;0,INDEX(AT$7:AT$106,$AE21),1),IF($AF21&gt;0,INDEX(AT$7:AT$106,$AF21),1),IF($AG21&gt;0,INDEX(AT$7:AT$106,$AG21),1),IF($AH21&gt;0,INDEX(AT$7:AT$106,$AH21),1),IF($AI21&gt;0,INDEX(AT$7:AT$106,$AI21),1),IF($AJ21&gt;0,INDEX(AT$7:AT$106,$AJ21),1))))</ns0:f>
        <ns0:v>0</ns0:v>
      </ns0:c>
      <ns0:c r="AV21" t="n">
        <ns0:f>IF($A21="",1,IF(AU21=1,1,--AND(IF($AC21&gt;0,INDEX(AU$7:AU$106,$AC21),1),IF($AD21&gt;0,INDEX(AU$7:AU$106,$AD21),1),IF($AE21&gt;0,INDEX(AU$7:AU$106,$AE21),1),IF($AF21&gt;0,INDEX(AU$7:AU$106,$AF21),1),IF($AG21&gt;0,INDEX(AU$7:AU$106,$AG21),1),IF($AH21&gt;0,INDEX(AU$7:AU$106,$AH21),1),IF($AI21&gt;0,INDEX(AU$7:AU$106,$AI21),1),IF($AJ21&gt;0,INDEX(AU$7:AU$106,$AJ21),1))))</ns0:f>
        <ns0:v>0</ns0:v>
      </ns0:c>
      <ns0:c r="AW21" t="n">
        <ns0:f>IF($A21="",1,IF(AV21=1,1,--AND(IF($AC21&gt;0,INDEX(AV$7:AV$106,$AC21),1),IF($AD21&gt;0,INDEX(AV$7:AV$106,$AD21),1),IF($AE21&gt;0,INDEX(AV$7:AV$106,$AE21),1),IF($AF21&gt;0,INDEX(AV$7:AV$106,$AF21),1),IF($AG21&gt;0,INDEX(AV$7:AV$106,$AG21),1),IF($AH21&gt;0,INDEX(AV$7:AV$106,$AH21),1),IF($AI21&gt;0,INDEX(AV$7:AV$106,$AI21),1),IF($AJ21&gt;0,INDEX(AV$7:AV$106,$AJ21),1))))</ns0:f>
        <ns0:v>0</ns0:v>
      </ns0:c>
      <ns0:c r="AX21" t="n">
        <ns0:f>IF($A21="",1,IF(AW21=1,1,--AND(IF($AC21&gt;0,INDEX(AW$7:AW$106,$AC21),1),IF($AD21&gt;0,INDEX(AW$7:AW$106,$AD21),1),IF($AE21&gt;0,INDEX(AW$7:AW$106,$AE21),1),IF($AF21&gt;0,INDEX(AW$7:AW$106,$AF21),1),IF($AG21&gt;0,INDEX(AW$7:AW$106,$AG21),1),IF($AH21&gt;0,INDEX(AW$7:AW$106,$AH21),1),IF($AI21&gt;0,INDEX(AW$7:AW$106,$AI21),1),IF($AJ21&gt;0,INDEX(AW$7:AW$106,$AJ21),1))))</ns0:f>
        <ns0:v>1</ns0:v>
      </ns0:c>
      <ns0:c r="AY21" t="n">
        <ns0:f>IF($A21="",1,IF(AX21=1,1,--AND(IF($AC21&gt;0,INDEX(AX$7:AX$106,$AC21),1),IF($AD21&gt;0,INDEX(AX$7:AX$106,$AD21),1),IF($AE21&gt;0,INDEX(AX$7:AX$106,$AE21),1),IF($AF21&gt;0,INDEX(AX$7:AX$106,$AF21),1),IF($AG21&gt;0,INDEX(AX$7:AX$106,$AG21),1),IF($AH21&gt;0,INDEX(AX$7:AX$106,$AH21),1),IF($AI21&gt;0,INDEX(AX$7:AX$106,$AI21),1),IF($AJ21&gt;0,INDEX(AX$7:AX$106,$AJ21),1))))</ns0:f>
        <ns0:v>1</ns0:v>
      </ns0:c>
      <ns0:c r="AZ21" t="n">
        <ns0:f>IF($A21="",1,IF(AY21=1,1,--AND(IF($AC21&gt;0,INDEX(AY$7:AY$106,$AC21),1),IF($AD21&gt;0,INDEX(AY$7:AY$106,$AD21),1),IF($AE21&gt;0,INDEX(AY$7:AY$106,$AE21),1),IF($AF21&gt;0,INDEX(AY$7:AY$106,$AF21),1),IF($AG21&gt;0,INDEX(AY$7:AY$106,$AG21),1),IF($AH21&gt;0,INDEX(AY$7:AY$106,$AH21),1),IF($AI21&gt;0,INDEX(AY$7:AY$106,$AI21),1),IF($AJ21&gt;0,INDEX(AY$7:AY$106,$AJ21),1))))</ns0:f>
        <ns0:v>1</ns0:v>
      </ns0:c>
      <ns0:c r="BA21" t="n">
        <ns0:f>IF($A21="",1,IF(AZ21=1,1,--AND(IF($AC21&gt;0,INDEX(AZ$7:AZ$106,$AC21),1),IF($AD21&gt;0,INDEX(AZ$7:AZ$106,$AD21),1),IF($AE21&gt;0,INDEX(AZ$7:AZ$106,$AE21),1),IF($AF21&gt;0,INDEX(AZ$7:AZ$106,$AF21),1),IF($AG21&gt;0,INDEX(AZ$7:AZ$106,$AG21),1),IF($AH21&gt;0,INDEX(AZ$7:AZ$106,$AH21),1),IF($AI21&gt;0,INDEX(AZ$7:AZ$106,$AI21),1),IF($AJ21&gt;0,INDEX(AZ$7:AZ$106,$AJ21),1))))</ns0:f>
        <ns0:v>1</ns0:v>
      </ns0:c>
      <ns0:c r="BB21" t="n">
        <ns0:f>IF($A21="",1,IF(BA21=1,1,--AND(IF($AC21&gt;0,INDEX(BA$7:BA$106,$AC21),1),IF($AD21&gt;0,INDEX(BA$7:BA$106,$AD21),1),IF($AE21&gt;0,INDEX(BA$7:BA$106,$AE21),1),IF($AF21&gt;0,INDEX(BA$7:BA$106,$AF21),1),IF($AG21&gt;0,INDEX(BA$7:BA$106,$AG21),1),IF($AH21&gt;0,INDEX(BA$7:BA$106,$AH21),1),IF($AI21&gt;0,INDEX(BA$7:BA$106,$AI21),1),IF($AJ21&gt;0,INDEX(BA$7:BA$106,$AJ21),1))))</ns0:f>
        <ns0:v>1</ns0:v>
      </ns0:c>
      <ns0:c r="BC21" t="n">
        <ns0:f>IF($A21="",1,IF(BB21=1,1,--AND(IF($AC21&gt;0,INDEX(BB$7:BB$106,$AC21),1),IF($AD21&gt;0,INDEX(BB$7:BB$106,$AD21),1),IF($AE21&gt;0,INDEX(BB$7:BB$106,$AE21),1),IF($AF21&gt;0,INDEX(BB$7:BB$106,$AF21),1),IF($AG21&gt;0,INDEX(BB$7:BB$106,$AG21),1),IF($AH21&gt;0,INDEX(BB$7:BB$106,$AH21),1),IF($AI21&gt;0,INDEX(BB$7:BB$106,$AI21),1),IF($AJ21&gt;0,INDEX(BB$7:BB$106,$AJ21),1))))</ns0:f>
        <ns0:v>1</ns0:v>
      </ns0:c>
      <ns0:c r="BD21" t="n">
        <ns0:f>IF($A21="",1,IF(BC21=1,1,--AND(IF($AC21&gt;0,INDEX(BC$7:BC$106,$AC21),1),IF($AD21&gt;0,INDEX(BC$7:BC$106,$AD21),1),IF($AE21&gt;0,INDEX(BC$7:BC$106,$AE21),1),IF($AF21&gt;0,INDEX(BC$7:BC$106,$AF21),1),IF($AG21&gt;0,INDEX(BC$7:BC$106,$AG21),1),IF($AH21&gt;0,INDEX(BC$7:BC$106,$AH21),1),IF($AI21&gt;0,INDEX(BC$7:BC$106,$AI21),1),IF($AJ21&gt;0,INDEX(BC$7:BC$106,$AJ21),1))))</ns0:f>
        <ns0:v>1</ns0:v>
      </ns0:c>
      <ns0:c r="BE21" t="n">
        <ns0:f>IF($A21="",1,IF(BD21=1,1,--AND(IF($AC21&gt;0,INDEX(BD$7:BD$106,$AC21),1),IF($AD21&gt;0,INDEX(BD$7:BD$106,$AD21),1),IF($AE21&gt;0,INDEX(BD$7:BD$106,$AE21),1),IF($AF21&gt;0,INDEX(BD$7:BD$106,$AF21),1),IF($AG21&gt;0,INDEX(BD$7:BD$106,$AG21),1),IF($AH21&gt;0,INDEX(BD$7:BD$106,$AH21),1),IF($AI21&gt;0,INDEX(BD$7:BD$106,$AI21),1),IF($AJ21&gt;0,INDEX(BD$7:BD$106,$AJ21),1))))</ns0:f>
        <ns0:v>1</ns0:v>
      </ns0:c>
      <ns0:c r="BF21" t="n">
        <ns0:f>IF($A21="",1,IF(BE21=1,1,--AND(IF($AC21&gt;0,INDEX(BE$7:BE$106,$AC21),1),IF($AD21&gt;0,INDEX(BE$7:BE$106,$AD21),1),IF($AE21&gt;0,INDEX(BE$7:BE$106,$AE21),1),IF($AF21&gt;0,INDEX(BE$7:BE$106,$AF21),1),IF($AG21&gt;0,INDEX(BE$7:BE$106,$AG21),1),IF($AH21&gt;0,INDEX(BE$7:BE$106,$AH21),1),IF($AI21&gt;0,INDEX(BE$7:BE$106,$AI21),1),IF($AJ21&gt;0,INDEX(BE$7:BE$106,$AJ21),1))))</ns0:f>
        <ns0:v>1</ns0:v>
      </ns0:c>
      <ns0:c r="BG21" t="n">
        <ns0:f>IF($A21="",1,IF(BF21=1,1,--AND(IF($AC21&gt;0,INDEX(BF$7:BF$106,$AC21),1),IF($AD21&gt;0,INDEX(BF$7:BF$106,$AD21),1),IF($AE21&gt;0,INDEX(BF$7:BF$106,$AE21),1),IF($AF21&gt;0,INDEX(BF$7:BF$106,$AF21),1),IF($AG21&gt;0,INDEX(BF$7:BF$106,$AG21),1),IF($AH21&gt;0,INDEX(BF$7:BF$106,$AH21),1),IF($AI21&gt;0,INDEX(BF$7:BF$106,$AI21),1),IF($AJ21&gt;0,INDEX(BF$7:BF$106,$AJ21),1))))</ns0:f>
        <ns0:v>1</ns0:v>
      </ns0:c>
      <ns0:c r="BH21" t="n">
        <ns0:f>IF($A21="",1,IF(BG21=1,1,--AND(IF($AC21&gt;0,INDEX(BG$7:BG$106,$AC21),1),IF($AD21&gt;0,INDEX(BG$7:BG$106,$AD21),1),IF($AE21&gt;0,INDEX(BG$7:BG$106,$AE21),1),IF($AF21&gt;0,INDEX(BG$7:BG$106,$AF21),1),IF($AG21&gt;0,INDEX(BG$7:BG$106,$AG21),1),IF($AH21&gt;0,INDEX(BG$7:BG$106,$AH21),1),IF($AI21&gt;0,INDEX(BG$7:BG$106,$AI21),1),IF($AJ21&gt;0,INDEX(BG$7:BG$106,$AJ21),1))))</ns0:f>
        <ns0:v>1</ns0:v>
      </ns0:c>
      <ns0:c r="BI21" t="n">
        <ns0:f>IF($A21="",1,IF(BH21=1,1,--AND(IF($AC21&gt;0,INDEX(BH$7:BH$106,$AC21),1),IF($AD21&gt;0,INDEX(BH$7:BH$106,$AD21),1),IF($AE21&gt;0,INDEX(BH$7:BH$106,$AE21),1),IF($AF21&gt;0,INDEX(BH$7:BH$106,$AF21),1),IF($AG21&gt;0,INDEX(BH$7:BH$106,$AG21),1),IF($AH21&gt;0,INDEX(BH$7:BH$106,$AH21),1),IF($AI21&gt;0,INDEX(BH$7:BH$106,$AI21),1),IF($AJ21&gt;0,INDEX(BH$7:BH$106,$AJ21),1))))</ns0:f>
        <ns0:v>1</ns0:v>
      </ns0:c>
      <ns0:c r="BJ21" t="n">
        <ns0:f>IF($A21="",1,IF(BI21=1,1,--AND(IF($AC21&gt;0,INDEX(BI$7:BI$106,$AC21),1),IF($AD21&gt;0,INDEX(BI$7:BI$106,$AD21),1),IF($AE21&gt;0,INDEX(BI$7:BI$106,$AE21),1),IF($AF21&gt;0,INDEX(BI$7:BI$106,$AF21),1),IF($AG21&gt;0,INDEX(BI$7:BI$106,$AG21),1),IF($AH21&gt;0,INDEX(BI$7:BI$106,$AH21),1),IF($AI21&gt;0,INDEX(BI$7:BI$106,$AI21),1),IF($AJ21&gt;0,INDEX(BI$7:BI$106,$AJ21),1))))</ns0:f>
        <ns0:v>1</ns0:v>
      </ns0:c>
      <ns0:c r="BK21" t="n">
        <ns0:f>IF($A21="",1,IF(BJ21=1,1,--AND(IF($AC21&gt;0,INDEX(BJ$7:BJ$106,$AC21),1),IF($AD21&gt;0,INDEX(BJ$7:BJ$106,$AD21),1),IF($AE21&gt;0,INDEX(BJ$7:BJ$106,$AE21),1),IF($AF21&gt;0,INDEX(BJ$7:BJ$106,$AF21),1),IF($AG21&gt;0,INDEX(BJ$7:BJ$106,$AG21),1),IF($AH21&gt;0,INDEX(BJ$7:BJ$106,$AH21),1),IF($AI21&gt;0,INDEX(BJ$7:BJ$106,$AI21),1),IF($AJ21&gt;0,INDEX(BJ$7:BJ$106,$AJ21),1))))</ns0:f>
        <ns0:v>1</ns0:v>
      </ns0:c>
      <ns0:c r="BL21" t="n">
        <ns0:f>IF($A21="",1,IF(BK21=1,1,--AND(IF($AC21&gt;0,INDEX(BK$7:BK$106,$AC21),1),IF($AD21&gt;0,INDEX(BK$7:BK$106,$AD21),1),IF($AE21&gt;0,INDEX(BK$7:BK$106,$AE21),1),IF($AF21&gt;0,INDEX(BK$7:BK$106,$AF21),1),IF($AG21&gt;0,INDEX(BK$7:BK$106,$AG21),1),IF($AH21&gt;0,INDEX(BK$7:BK$106,$AH21),1),IF($AI21&gt;0,INDEX(BK$7:BK$106,$AI21),1),IF($AJ21&gt;0,INDEX(BK$7:BK$106,$AJ21),1))))</ns0:f>
        <ns0:v>1</ns0:v>
      </ns0:c>
      <ns0:c r="BM21" t="n">
        <ns0:f>IF($A21="",1,IF(BL21=1,1,--AND(IF($AC21&gt;0,INDEX(BL$7:BL$106,$AC21),1),IF($AD21&gt;0,INDEX(BL$7:BL$106,$AD21),1),IF($AE21&gt;0,INDEX(BL$7:BL$106,$AE21),1),IF($AF21&gt;0,INDEX(BL$7:BL$106,$AF21),1),IF($AG21&gt;0,INDEX(BL$7:BL$106,$AG21),1),IF($AH21&gt;0,INDEX(BL$7:BL$106,$AH21),1),IF($AI21&gt;0,INDEX(BL$7:BL$106,$AI21),1),IF($AJ21&gt;0,INDEX(BL$7:BL$106,$AJ21),1))))</ns0:f>
        <ns0:v>1</ns0:v>
      </ns0:c>
      <ns0:c r="BN21" t="n">
        <ns0:f>IF($A21="",1,IF(BM21=1,1,--AND(IF($AC21&gt;0,INDEX(BM$7:BM$106,$AC21),1),IF($AD21&gt;0,INDEX(BM$7:BM$106,$AD21),1),IF($AE21&gt;0,INDEX(BM$7:BM$106,$AE21),1),IF($AF21&gt;0,INDEX(BM$7:BM$106,$AF21),1),IF($AG21&gt;0,INDEX(BM$7:BM$106,$AG21),1),IF($AH21&gt;0,INDEX(BM$7:BM$106,$AH21),1),IF($AI21&gt;0,INDEX(BM$7:BM$106,$AI21),1),IF($AJ21&gt;0,INDEX(BM$7:BM$106,$AJ21),1))))</ns0:f>
        <ns0:v>1</ns0:v>
      </ns0:c>
      <ns0:c r="BO21" t="n">
        <ns0:f>IF($A21="",1,IF(BN21=1,1,--AND(IF($AC21&gt;0,INDEX(BN$7:BN$106,$AC21),1),IF($AD21&gt;0,INDEX(BN$7:BN$106,$AD21),1),IF($AE21&gt;0,INDEX(BN$7:BN$106,$AE21),1),IF($AF21&gt;0,INDEX(BN$7:BN$106,$AF21),1),IF($AG21&gt;0,INDEX(BN$7:BN$106,$AG21),1),IF($AH21&gt;0,INDEX(BN$7:BN$106,$AH21),1),IF($AI21&gt;0,INDEX(BN$7:BN$106,$AI21),1),IF($AJ21&gt;0,INDEX(BN$7:BN$106,$AJ21),1))))</ns0:f>
        <ns0:v>1</ns0:v>
      </ns0:c>
      <ns0:c r="BP21" t="n">
        <ns0:f>IF($A21="",1,IF(BO21=1,1,--AND(IF($AC21&gt;0,INDEX(BO$7:BO$106,$AC21),1),IF($AD21&gt;0,INDEX(BO$7:BO$106,$AD21),1),IF($AE21&gt;0,INDEX(BO$7:BO$106,$AE21),1),IF($AF21&gt;0,INDEX(BO$7:BO$106,$AF21),1),IF($AG21&gt;0,INDEX(BO$7:BO$106,$AG21),1),IF($AH21&gt;0,INDEX(BO$7:BO$106,$AH21),1),IF($AI21&gt;0,INDEX(BO$7:BO$106,$AI21),1),IF($AJ21&gt;0,INDEX(BO$7:BO$106,$AJ21),1))))</ns0:f>
        <ns0:v>1</ns0:v>
      </ns0:c>
      <ns0:c r="BQ21" t="n">
        <ns0:f>IF($A21="",1,IF(BP21=1,1,--AND(IF($AC21&gt;0,INDEX(BP$7:BP$106,$AC21),1),IF($AD21&gt;0,INDEX(BP$7:BP$106,$AD21),1),IF($AE21&gt;0,INDEX(BP$7:BP$106,$AE21),1),IF($AF21&gt;0,INDEX(BP$7:BP$106,$AF21),1),IF($AG21&gt;0,INDEX(BP$7:BP$106,$AG21),1),IF($AH21&gt;0,INDEX(BP$7:BP$106,$AH21),1),IF($AI21&gt;0,INDEX(BP$7:BP$106,$AI21),1),IF($AJ21&gt;0,INDEX(BP$7:BP$106,$AJ21),1))))</ns0:f>
        <ns0:v>1</ns0:v>
      </ns0:c>
      <ns0:c r="BR21" t="n">
        <ns0:f>IF($A21="",1,IF(BQ21=1,1,--AND(IF($AC21&gt;0,INDEX(BQ$7:BQ$106,$AC21),1),IF($AD21&gt;0,INDEX(BQ$7:BQ$106,$AD21),1),IF($AE21&gt;0,INDEX(BQ$7:BQ$106,$AE21),1),IF($AF21&gt;0,INDEX(BQ$7:BQ$106,$AF21),1),IF($AG21&gt;0,INDEX(BQ$7:BQ$106,$AG21),1),IF($AH21&gt;0,INDEX(BQ$7:BQ$106,$AH21),1),IF($AI21&gt;0,INDEX(BQ$7:BQ$106,$AI21),1),IF($AJ21&gt;0,INDEX(BQ$7:BQ$106,$AJ21),1))))</ns0:f>
        <ns0:v>1</ns0:v>
      </ns0:c>
      <ns0:c r="BS21" t="n">
        <ns0:f>IF($A21="",1,IF(BR21=1,1,--AND(IF($AC21&gt;0,INDEX(BR$7:BR$106,$AC21),1),IF($AD21&gt;0,INDEX(BR$7:BR$106,$AD21),1),IF($AE21&gt;0,INDEX(BR$7:BR$106,$AE21),1),IF($AF21&gt;0,INDEX(BR$7:BR$106,$AF21),1),IF($AG21&gt;0,INDEX(BR$7:BR$106,$AG21),1),IF($AH21&gt;0,INDEX(BR$7:BR$106,$AH21),1),IF($AI21&gt;0,INDEX(BR$7:BR$106,$AI21),1),IF($AJ21&gt;0,INDEX(BR$7:BR$106,$AJ21),1))))</ns0:f>
        <ns0:v>1</ns0:v>
      </ns0:c>
      <ns0:c r="BT21" t="n">
        <ns0:f>IF($A21="",1,IF(BS21=1,1,--AND(IF($AC21&gt;0,INDEX(BS$7:BS$106,$AC21),1),IF($AD21&gt;0,INDEX(BS$7:BS$106,$AD21),1),IF($AE21&gt;0,INDEX(BS$7:BS$106,$AE21),1),IF($AF21&gt;0,INDEX(BS$7:BS$106,$AF21),1),IF($AG21&gt;0,INDEX(BS$7:BS$106,$AG21),1),IF($AH21&gt;0,INDEX(BS$7:BS$106,$AH21),1),IF($AI21&gt;0,INDEX(BS$7:BS$106,$AI21),1),IF($AJ21&gt;0,INDEX(BS$7:BS$106,$AJ21),1))))</ns0:f>
        <ns0:v>1</ns0:v>
      </ns0:c>
      <ns0:c r="BU21" t="n">
        <ns0:f>IF($A21="",1,IF(BT21=1,1,--AND(IF($AC21&gt;0,INDEX(BT$7:BT$106,$AC21),1),IF($AD21&gt;0,INDEX(BT$7:BT$106,$AD21),1),IF($AE21&gt;0,INDEX(BT$7:BT$106,$AE21),1),IF($AF21&gt;0,INDEX(BT$7:BT$106,$AF21),1),IF($AG21&gt;0,INDEX(BT$7:BT$106,$AG21),1),IF($AH21&gt;0,INDEX(BT$7:BT$106,$AH21),1),IF($AI21&gt;0,INDEX(BT$7:BT$106,$AI21),1),IF($AJ21&gt;0,INDEX(BT$7:BT$106,$AJ21),1))))</ns0:f>
        <ns0:v>1</ns0:v>
      </ns0:c>
      <ns0:c r="BV21" t="n">
        <ns0:f>IF($A21="",1,IF(BU21=1,1,--AND(IF($AC21&gt;0,INDEX(BU$7:BU$106,$AC21),1),IF($AD21&gt;0,INDEX(BU$7:BU$106,$AD21),1),IF($AE21&gt;0,INDEX(BU$7:BU$106,$AE21),1),IF($AF21&gt;0,INDEX(BU$7:BU$106,$AF21),1),IF($AG21&gt;0,INDEX(BU$7:BU$106,$AG21),1),IF($AH21&gt;0,INDEX(BU$7:BU$106,$AH21),1),IF($AI21&gt;0,INDEX(BU$7:BU$106,$AI21),1),IF($AJ21&gt;0,INDEX(BU$7:BU$106,$AJ21),1))))</ns0:f>
        <ns0:v>1</ns0:v>
      </ns0:c>
      <ns0:c r="BW21" t="n">
        <ns0:f>IF($A21="",1,IF(BV21=1,1,--AND(IF($AC21&gt;0,INDEX(BV$7:BV$106,$AC21),1),IF($AD21&gt;0,INDEX(BV$7:BV$106,$AD21),1),IF($AE21&gt;0,INDEX(BV$7:BV$106,$AE21),1),IF($AF21&gt;0,INDEX(BV$7:BV$106,$AF21),1),IF($AG21&gt;0,INDEX(BV$7:BV$106,$AG21),1),IF($AH21&gt;0,INDEX(BV$7:BV$106,$AH21),1),IF($AI21&gt;0,INDEX(BV$7:BV$106,$AI21),1),IF($AJ21&gt;0,INDEX(BV$7:BV$106,$AJ21),1))))</ns0:f>
        <ns0:v>1</ns0:v>
      </ns0:c>
      <ns0:c r="BX21" t="n">
        <ns0:f>IF($A21="",1,IF(BW21=1,1,--AND(IF($AC21&gt;0,INDEX(BW$7:BW$106,$AC21),1),IF($AD21&gt;0,INDEX(BW$7:BW$106,$AD21),1),IF($AE21&gt;0,INDEX(BW$7:BW$106,$AE21),1),IF($AF21&gt;0,INDEX(BW$7:BW$106,$AF21),1),IF($AG21&gt;0,INDEX(BW$7:BW$106,$AG21),1),IF($AH21&gt;0,INDEX(BW$7:BW$106,$AH21),1),IF($AI21&gt;0,INDEX(BW$7:BW$106,$AI21),1),IF($AJ21&gt;0,INDEX(BW$7:BW$106,$AJ21),1))))</ns0:f>
        <ns0:v>1</ns0:v>
      </ns0:c>
      <ns0:c r="BY21" t="n">
        <ns0:f>IF($A21="",1,IF(BX21=1,1,--AND(IF($AC21&gt;0,INDEX(BX$7:BX$106,$AC21),1),IF($AD21&gt;0,INDEX(BX$7:BX$106,$AD21),1),IF($AE21&gt;0,INDEX(BX$7:BX$106,$AE21),1),IF($AF21&gt;0,INDEX(BX$7:BX$106,$AF21),1),IF($AG21&gt;0,INDEX(BX$7:BX$106,$AG21),1),IF($AH21&gt;0,INDEX(BX$7:BX$106,$AH21),1),IF($AI21&gt;0,INDEX(BX$7:BX$106,$AI21),1),IF($AJ21&gt;0,INDEX(BX$7:BX$106,$AJ21),1))))</ns0:f>
        <ns0:v>1</ns0:v>
      </ns0:c>
      <ns0:c r="BZ21" t="n">
        <ns0:f>IF($A21="",1,IF(BY21=1,1,--AND(IF($AC21&gt;0,INDEX(BY$7:BY$106,$AC21),1),IF($AD21&gt;0,INDEX(BY$7:BY$106,$AD21),1),IF($AE21&gt;0,INDEX(BY$7:BY$106,$AE21),1),IF($AF21&gt;0,INDEX(BY$7:BY$106,$AF21),1),IF($AG21&gt;0,INDEX(BY$7:BY$106,$AG21),1),IF($AH21&gt;0,INDEX(BY$7:BY$106,$AH21),1),IF($AI21&gt;0,INDEX(BY$7:BY$106,$AI21),1),IF($AJ21&gt;0,INDEX(BY$7:BY$106,$AJ21),1))))</ns0:f>
        <ns0:v>1</ns0:v>
      </ns0:c>
      <ns0:c r="CA21" t="n">
        <ns0:f>IF($A21="",1,IF(BZ21=1,1,--AND(IF($AC21&gt;0,INDEX(BZ$7:BZ$106,$AC21),1),IF($AD21&gt;0,INDEX(BZ$7:BZ$106,$AD21),1),IF($AE21&gt;0,INDEX(BZ$7:BZ$106,$AE21),1),IF($AF21&gt;0,INDEX(BZ$7:BZ$106,$AF21),1),IF($AG21&gt;0,INDEX(BZ$7:BZ$106,$AG21),1),IF($AH21&gt;0,INDEX(BZ$7:BZ$106,$AH21),1),IF($AI21&gt;0,INDEX(BZ$7:BZ$106,$AI21),1),IF($AJ21&gt;0,INDEX(BZ$7:BZ$106,$AJ21),1))))</ns0:f>
        <ns0:v>1</ns0:v>
      </ns0:c>
      <ns0:c r="CB21" t="n">
        <ns0:f>IF($A21="",1,IF(CA21=1,1,--AND(IF($AC21&gt;0,INDEX(CA$7:CA$106,$AC21),1),IF($AD21&gt;0,INDEX(CA$7:CA$106,$AD21),1),IF($AE21&gt;0,INDEX(CA$7:CA$106,$AE21),1),IF($AF21&gt;0,INDEX(CA$7:CA$106,$AF21),1),IF($AG21&gt;0,INDEX(CA$7:CA$106,$AG21),1),IF($AH21&gt;0,INDEX(CA$7:CA$106,$AH21),1),IF($AI21&gt;0,INDEX(CA$7:CA$106,$AI21),1),IF($AJ21&gt;0,INDEX(CA$7:CA$106,$AJ21),1))))</ns0:f>
        <ns0:v>1</ns0:v>
      </ns0:c>
      <ns0:c r="CC21" t="n">
        <ns0:f>IF($A21="",1,IF(CB21=1,1,--AND(IF($AC21&gt;0,INDEX(CB$7:CB$106,$AC21),1),IF($AD21&gt;0,INDEX(CB$7:CB$106,$AD21),1),IF($AE21&gt;0,INDEX(CB$7:CB$106,$AE21),1),IF($AF21&gt;0,INDEX(CB$7:CB$106,$AF21),1),IF($AG21&gt;0,INDEX(CB$7:CB$106,$AG21),1),IF($AH21&gt;0,INDEX(CB$7:CB$106,$AH21),1),IF($AI21&gt;0,INDEX(CB$7:CB$106,$AI21),1),IF($AJ21&gt;0,INDEX(CB$7:CB$106,$AJ21),1))))</ns0:f>
        <ns0:v>1</ns0:v>
      </ns0:c>
      <ns0:c r="CD21" t="n">
        <ns0:f>IF($A21="",1,IF(CC21=1,1,--AND(IF($AC21&gt;0,INDEX(CC$7:CC$106,$AC21),1),IF($AD21&gt;0,INDEX(CC$7:CC$106,$AD21),1),IF($AE21&gt;0,INDEX(CC$7:CC$106,$AE21),1),IF($AF21&gt;0,INDEX(CC$7:CC$106,$AF21),1),IF($AG21&gt;0,INDEX(CC$7:CC$106,$AG21),1),IF($AH21&gt;0,INDEX(CC$7:CC$106,$AH21),1),IF($AI21&gt;0,INDEX(CC$7:CC$106,$AI21),1),IF($AJ21&gt;0,INDEX(CC$7:CC$106,$AJ21),1))))</ns0:f>
        <ns0:v>1</ns0:v>
      </ns0:c>
      <ns0:c r="CE21" t="n">
        <ns0:f>IF($A21="",1,IF(CD21=1,1,--AND(IF($AC21&gt;0,INDEX(CD$7:CD$106,$AC21),1),IF($AD21&gt;0,INDEX(CD$7:CD$106,$AD21),1),IF($AE21&gt;0,INDEX(CD$7:CD$106,$AE21),1),IF($AF21&gt;0,INDEX(CD$7:CD$106,$AF21),1),IF($AG21&gt;0,INDEX(CD$7:CD$106,$AG21),1),IF($AH21&gt;0,INDEX(CD$7:CD$106,$AH21),1),IF($AI21&gt;0,INDEX(CD$7:CD$106,$AI21),1),IF($AJ21&gt;0,INDEX(CD$7:CD$106,$AJ21),1))))</ns0:f>
        <ns0:v>1</ns0:v>
      </ns0:c>
      <ns0:c r="CF21" t="n">
        <ns0:f>IF($A21="",1,IF(CE21=1,1,--AND(IF($AC21&gt;0,INDEX(CE$7:CE$106,$AC21),1),IF($AD21&gt;0,INDEX(CE$7:CE$106,$AD21),1),IF($AE21&gt;0,INDEX(CE$7:CE$106,$AE21),1),IF($AF21&gt;0,INDEX(CE$7:CE$106,$AF21),1),IF($AG21&gt;0,INDEX(CE$7:CE$106,$AG21),1),IF($AH21&gt;0,INDEX(CE$7:CE$106,$AH21),1),IF($AI21&gt;0,INDEX(CE$7:CE$106,$AI21),1),IF($AJ21&gt;0,INDEX(CE$7:CE$106,$AJ21),1))))</ns0:f>
        <ns0:v>1</ns0:v>
      </ns0:c>
      <ns0:c r="CG21" t="n">
        <ns0:f>IF($A21="",1,IF(CF21=1,1,--AND(IF($AC21&gt;0,INDEX(CF$7:CF$106,$AC21),1),IF($AD21&gt;0,INDEX(CF$7:CF$106,$AD21),1),IF($AE21&gt;0,INDEX(CF$7:CF$106,$AE21),1),IF($AF21&gt;0,INDEX(CF$7:CF$106,$AF21),1),IF($AG21&gt;0,INDEX(CF$7:CF$106,$AG21),1),IF($AH21&gt;0,INDEX(CF$7:CF$106,$AH21),1),IF($AI21&gt;0,INDEX(CF$7:CF$106,$AI21),1),IF($AJ21&gt;0,INDEX(CF$7:CF$106,$AJ21),1))))</ns0:f>
        <ns0:v>1</ns0:v>
      </ns0:c>
      <ns0:c r="CH21" t="n">
        <ns0:f>IF($A21="",1,IF(CG21=1,1,--AND(IF($AC21&gt;0,INDEX(CG$7:CG$106,$AC21),1),IF($AD21&gt;0,INDEX(CG$7:CG$106,$AD21),1),IF($AE21&gt;0,INDEX(CG$7:CG$106,$AE21),1),IF($AF21&gt;0,INDEX(CG$7:CG$106,$AF21),1),IF($AG21&gt;0,INDEX(CG$7:CG$106,$AG21),1),IF($AH21&gt;0,INDEX(CG$7:CG$106,$AH21),1),IF($AI21&gt;0,INDEX(CG$7:CG$106,$AI21),1),IF($AJ21&gt;0,INDEX(CG$7:CG$106,$AJ21),1))))</ns0:f>
        <ns0:v>1</ns0:v>
      </ns0:c>
      <ns0:c r="CI21" t="n">
        <ns0:f>IF($A21="",1,IF(CH21=1,1,--AND(IF($AC21&gt;0,INDEX(CH$7:CH$106,$AC21),1),IF($AD21&gt;0,INDEX(CH$7:CH$106,$AD21),1),IF($AE21&gt;0,INDEX(CH$7:CH$106,$AE21),1),IF($AF21&gt;0,INDEX(CH$7:CH$106,$AF21),1),IF($AG21&gt;0,INDEX(CH$7:CH$106,$AG21),1),IF($AH21&gt;0,INDEX(CH$7:CH$106,$AH21),1),IF($AI21&gt;0,INDEX(CH$7:CH$106,$AI21),1),IF($AJ21&gt;0,INDEX(CH$7:CH$106,$AJ21),1))))</ns0:f>
        <ns0:v>1</ns0:v>
      </ns0:c>
      <ns0:c r="CJ21" t="n">
        <ns0:f>IF($A21="",1,IF(CI21=1,1,--AND(IF($AC21&gt;0,INDEX(CI$7:CI$106,$AC21),1),IF($AD21&gt;0,INDEX(CI$7:CI$106,$AD21),1),IF($AE21&gt;0,INDEX(CI$7:CI$106,$AE21),1),IF($AF21&gt;0,INDEX(CI$7:CI$106,$AF21),1),IF($AG21&gt;0,INDEX(CI$7:CI$106,$AG21),1),IF($AH21&gt;0,INDEX(CI$7:CI$106,$AH21),1),IF($AI21&gt;0,INDEX(CI$7:CI$106,$AI21),1),IF($AJ21&gt;0,INDEX(CI$7:CI$106,$AJ21),1))))</ns0:f>
        <ns0:v>1</ns0:v>
      </ns0:c>
      <ns0:c r="CK21" t="n">
        <ns0:f>IF($A21="",1,IF(CJ21=1,1,--AND(IF($AC21&gt;0,INDEX(CJ$7:CJ$106,$AC21),1),IF($AD21&gt;0,INDEX(CJ$7:CJ$106,$AD21),1),IF($AE21&gt;0,INDEX(CJ$7:CJ$106,$AE21),1),IF($AF21&gt;0,INDEX(CJ$7:CJ$106,$AF21),1),IF($AG21&gt;0,INDEX(CJ$7:CJ$106,$AG21),1),IF($AH21&gt;0,INDEX(CJ$7:CJ$106,$AH21),1),IF($AI21&gt;0,INDEX(CJ$7:CJ$106,$AI21),1),IF($AJ21&gt;0,INDEX(CJ$7:CJ$106,$AJ21),1))))</ns0:f>
        <ns0:v>1</ns0:v>
      </ns0:c>
      <ns0:c r="CL21" t="n">
        <ns0:f>IF($A21="",1,IF(CK21=1,1,--AND(IF($AC21&gt;0,INDEX(CK$7:CK$106,$AC21),1),IF($AD21&gt;0,INDEX(CK$7:CK$106,$AD21),1),IF($AE21&gt;0,INDEX(CK$7:CK$106,$AE21),1),IF($AF21&gt;0,INDEX(CK$7:CK$106,$AF21),1),IF($AG21&gt;0,INDEX(CK$7:CK$106,$AG21),1),IF($AH21&gt;0,INDEX(CK$7:CK$106,$AH21),1),IF($AI21&gt;0,INDEX(CK$7:CK$106,$AI21),1),IF($AJ21&gt;0,INDEX(CK$7:CK$106,$AJ21),1))))</ns0:f>
        <ns0:v>1</ns0:v>
      </ns0:c>
      <ns0:c r="CM21" t="n">
        <ns0:f>IF($A21="",1,IF(CL21=1,1,--AND(IF($AC21&gt;0,INDEX(CL$7:CL$106,$AC21),1),IF($AD21&gt;0,INDEX(CL$7:CL$106,$AD21),1),IF($AE21&gt;0,INDEX(CL$7:CL$106,$AE21),1),IF($AF21&gt;0,INDEX(CL$7:CL$106,$AF21),1),IF($AG21&gt;0,INDEX(CL$7:CL$106,$AG21),1),IF($AH21&gt;0,INDEX(CL$7:CL$106,$AH21),1),IF($AI21&gt;0,INDEX(CL$7:CL$106,$AI21),1),IF($AJ21&gt;0,INDEX(CL$7:CL$106,$AJ21),1))))</ns0:f>
        <ns0:v>1</ns0:v>
      </ns0:c>
      <ns0:c r="CN21" t="n">
        <ns0:f>IF($A21="",1,IF(CM21=1,1,--AND(IF($AC21&gt;0,INDEX(CM$7:CM$106,$AC21),1),IF($AD21&gt;0,INDEX(CM$7:CM$106,$AD21),1),IF($AE21&gt;0,INDEX(CM$7:CM$106,$AE21),1),IF($AF21&gt;0,INDEX(CM$7:CM$106,$AF21),1),IF($AG21&gt;0,INDEX(CM$7:CM$106,$AG21),1),IF($AH21&gt;0,INDEX(CM$7:CM$106,$AH21),1),IF($AI21&gt;0,INDEX(CM$7:CM$106,$AI21),1),IF($AJ21&gt;0,INDEX(CM$7:CM$106,$AJ21),1))))</ns0:f>
        <ns0:v>1</ns0:v>
      </ns0:c>
      <ns0:c r="CO21" t="n">
        <ns0:f>IF($A21="",1,IF(CN21=1,1,--AND(IF($AC21&gt;0,INDEX(CN$7:CN$106,$AC21),1),IF($AD21&gt;0,INDEX(CN$7:CN$106,$AD21),1),IF($AE21&gt;0,INDEX(CN$7:CN$106,$AE21),1),IF($AF21&gt;0,INDEX(CN$7:CN$106,$AF21),1),IF($AG21&gt;0,INDEX(CN$7:CN$106,$AG21),1),IF($AH21&gt;0,INDEX(CN$7:CN$106,$AH21),1),IF($AI21&gt;0,INDEX(CN$7:CN$106,$AI21),1),IF($AJ21&gt;0,INDEX(CN$7:CN$106,$AJ21),1))))</ns0:f>
        <ns0:v>1</ns0:v>
      </ns0:c>
      <ns0:c r="CP21" t="n">
        <ns0:f>IF($A21="",1,IF(CO21=1,1,--AND(IF($AC21&gt;0,INDEX(CO$7:CO$106,$AC21),1),IF($AD21&gt;0,INDEX(CO$7:CO$106,$AD21),1),IF($AE21&gt;0,INDEX(CO$7:CO$106,$AE21),1),IF($AF21&gt;0,INDEX(CO$7:CO$106,$AF21),1),IF($AG21&gt;0,INDEX(CO$7:CO$106,$AG21),1),IF($AH21&gt;0,INDEX(CO$7:CO$106,$AH21),1),IF($AI21&gt;0,INDEX(CO$7:CO$106,$AI21),1),IF($AJ21&gt;0,INDEX(CO$7:CO$106,$AJ21),1))))</ns0:f>
        <ns0:v>1</ns0:v>
      </ns0:c>
      <ns0:c r="CQ21" t="n">
        <ns0:f>IF($A21="",1,IF(CP21=1,1,--AND(IF($AC21&gt;0,INDEX(CP$7:CP$106,$AC21),1),IF($AD21&gt;0,INDEX(CP$7:CP$106,$AD21),1),IF($AE21&gt;0,INDEX(CP$7:CP$106,$AE21),1),IF($AF21&gt;0,INDEX(CP$7:CP$106,$AF21),1),IF($AG21&gt;0,INDEX(CP$7:CP$106,$AG21),1),IF($AH21&gt;0,INDEX(CP$7:CP$106,$AH21),1),IF($AI21&gt;0,INDEX(CP$7:CP$106,$AI21),1),IF($AJ21&gt;0,INDEX(CP$7:CP$106,$AJ21),1))))</ns0:f>
        <ns0:v>1</ns0:v>
      </ns0:c>
      <ns0:c r="CR21" t="n">
        <ns0:f>IF($A21="",1,IF(CQ21=1,1,--AND(IF($AC21&gt;0,INDEX(CQ$7:CQ$106,$AC21),1),IF($AD21&gt;0,INDEX(CQ$7:CQ$106,$AD21),1),IF($AE21&gt;0,INDEX(CQ$7:CQ$106,$AE21),1),IF($AF21&gt;0,INDEX(CQ$7:CQ$106,$AF21),1),IF($AG21&gt;0,INDEX(CQ$7:CQ$106,$AG21),1),IF($AH21&gt;0,INDEX(CQ$7:CQ$106,$AH21),1),IF($AI21&gt;0,INDEX(CQ$7:CQ$106,$AI21),1),IF($AJ21&gt;0,INDEX(CQ$7:CQ$106,$AJ21),1))))</ns0:f>
        <ns0:v>1</ns0:v>
      </ns0:c>
      <ns0:c r="CS21" t="n">
        <ns0:f>IF($A21="",1,IF(CR21=1,1,--AND(IF($AC21&gt;0,INDEX(CR$7:CR$106,$AC21),1),IF($AD21&gt;0,INDEX(CR$7:CR$106,$AD21),1),IF($AE21&gt;0,INDEX(CR$7:CR$106,$AE21),1),IF($AF21&gt;0,INDEX(CR$7:CR$106,$AF21),1),IF($AG21&gt;0,INDEX(CR$7:CR$106,$AG21),1),IF($AH21&gt;0,INDEX(CR$7:CR$106,$AH21),1),IF($AI21&gt;0,INDEX(CR$7:CR$106,$AI21),1),IF($AJ21&gt;0,INDEX(CR$7:CR$106,$AJ21),1))))</ns0:f>
        <ns0:v>1</ns0:v>
      </ns0:c>
      <ns0:c r="CT21" t="n">
        <ns0:f>IF($A21="",1,IF(CS21=1,1,--AND(IF($AC21&gt;0,INDEX(CS$7:CS$106,$AC21),1),IF($AD21&gt;0,INDEX(CS$7:CS$106,$AD21),1),IF($AE21&gt;0,INDEX(CS$7:CS$106,$AE21),1),IF($AF21&gt;0,INDEX(CS$7:CS$106,$AF21),1),IF($AG21&gt;0,INDEX(CS$7:CS$106,$AG21),1),IF($AH21&gt;0,INDEX(CS$7:CS$106,$AH21),1),IF($AI21&gt;0,INDEX(CS$7:CS$106,$AI21),1),IF($AJ21&gt;0,INDEX(CS$7:CS$106,$AJ21),1))))</ns0:f>
        <ns0:v>1</ns0:v>
      </ns0:c>
      <ns0:c r="CU21" t="n">
        <ns0:f>IF($A21="",1,IF(CT21=1,1,--AND(IF($AC21&gt;0,INDEX(CT$7:CT$106,$AC21),1),IF($AD21&gt;0,INDEX(CT$7:CT$106,$AD21),1),IF($AE21&gt;0,INDEX(CT$7:CT$106,$AE21),1),IF($AF21&gt;0,INDEX(CT$7:CT$106,$AF21),1),IF($AG21&gt;0,INDEX(CT$7:CT$106,$AG21),1),IF($AH21&gt;0,INDEX(CT$7:CT$106,$AH21),1),IF($AI21&gt;0,INDEX(CT$7:CT$106,$AI21),1),IF($AJ21&gt;0,INDEX(CT$7:CT$106,$AJ21),1))))</ns0:f>
        <ns0:v>1</ns0:v>
      </ns0:c>
      <ns0:c r="CV21" t="n">
        <ns0:f>IF($A21="",1,IF(CU21=1,1,--AND(IF($AC21&gt;0,INDEX(CU$7:CU$106,$AC21),1),IF($AD21&gt;0,INDEX(CU$7:CU$106,$AD21),1),IF($AE21&gt;0,INDEX(CU$7:CU$106,$AE21),1),IF($AF21&gt;0,INDEX(CU$7:CU$106,$AF21),1),IF($AG21&gt;0,INDEX(CU$7:CU$106,$AG21),1),IF($AH21&gt;0,INDEX(CU$7:CU$106,$AH21),1),IF($AI21&gt;0,INDEX(CU$7:CU$106,$AI21),1),IF($AJ21&gt;0,INDEX(CU$7:CU$106,$AJ21),1))))</ns0:f>
        <ns0:v>1</ns0:v>
      </ns0:c>
      <ns0:c r="CW21" t="n">
        <ns0:f>IF($A21="",1,IF(CV21=1,1,--AND(IF($AC21&gt;0,INDEX(CV$7:CV$106,$AC21),1),IF($AD21&gt;0,INDEX(CV$7:CV$106,$AD21),1),IF($AE21&gt;0,INDEX(CV$7:CV$106,$AE21),1),IF($AF21&gt;0,INDEX(CV$7:CV$106,$AF21),1),IF($AG21&gt;0,INDEX(CV$7:CV$106,$AG21),1),IF($AH21&gt;0,INDEX(CV$7:CV$106,$AH21),1),IF($AI21&gt;0,INDEX(CV$7:CV$106,$AI21),1),IF($AJ21&gt;0,INDEX(CV$7:CV$106,$AJ21),1))))</ns0:f>
        <ns0:v>1</ns0:v>
      </ns0:c>
      <ns0:c r="CX21" t="n">
        <ns0:f>IF($A21="",1,IF(CW21=1,1,--AND(IF($AC21&gt;0,INDEX(CW$7:CW$106,$AC21),1),IF($AD21&gt;0,INDEX(CW$7:CW$106,$AD21),1),IF($AE21&gt;0,INDEX(CW$7:CW$106,$AE21),1),IF($AF21&gt;0,INDEX(CW$7:CW$106,$AF21),1),IF($AG21&gt;0,INDEX(CW$7:CW$106,$AG21),1),IF($AH21&gt;0,INDEX(CW$7:CW$106,$AH21),1),IF($AI21&gt;0,INDEX(CW$7:CW$106,$AI21),1),IF($AJ21&gt;0,INDEX(CW$7:CW$106,$AJ21),1))))</ns0:f>
        <ns0:v>1</ns0:v>
      </ns0:c>
      <ns0:c r="CY21" t="n">
        <ns0:f>IF($A21="",1,IF(CX21=1,1,--AND(IF($AC21&gt;0,INDEX(CX$7:CX$106,$AC21),1),IF($AD21&gt;0,INDEX(CX$7:CX$106,$AD21),1),IF($AE21&gt;0,INDEX(CX$7:CX$106,$AE21),1),IF($AF21&gt;0,INDEX(CX$7:CX$106,$AF21),1),IF($AG21&gt;0,INDEX(CX$7:CX$106,$AG21),1),IF($AH21&gt;0,INDEX(CX$7:CX$106,$AH21),1),IF($AI21&gt;0,INDEX(CX$7:CX$106,$AI21),1),IF($AJ21&gt;0,INDEX(CX$7:CX$106,$AJ21),1))))</ns0:f>
        <ns0:v>1</ns0:v>
      </ns0:c>
      <ns0:c r="CZ21" t="n">
        <ns0:f>IF($A21="",1,IF(CY21=1,1,--AND(IF($AC21&gt;0,INDEX(CY$7:CY$106,$AC21),1),IF($AD21&gt;0,INDEX(CY$7:CY$106,$AD21),1),IF($AE21&gt;0,INDEX(CY$7:CY$106,$AE21),1),IF($AF21&gt;0,INDEX(CY$7:CY$106,$AF21),1),IF($AG21&gt;0,INDEX(CY$7:CY$106,$AG21),1),IF($AH21&gt;0,INDEX(CY$7:CY$106,$AH21),1),IF($AI21&gt;0,INDEX(CY$7:CY$106,$AI21),1),IF($AJ21&gt;0,INDEX(CY$7:CY$106,$AJ21),1))))</ns0:f>
        <ns0:v>1</ns0:v>
      </ns0:c>
      <ns0:c r="DA21" t="n">
        <ns0:f>IF($A21="",1,IF(CZ21=1,1,--AND(IF($AC21&gt;0,INDEX(CZ$7:CZ$106,$AC21),1),IF($AD21&gt;0,INDEX(CZ$7:CZ$106,$AD21),1),IF($AE21&gt;0,INDEX(CZ$7:CZ$106,$AE21),1),IF($AF21&gt;0,INDEX(CZ$7:CZ$106,$AF21),1),IF($AG21&gt;0,INDEX(CZ$7:CZ$106,$AG21),1),IF($AH21&gt;0,INDEX(CZ$7:CZ$106,$AH21),1),IF($AI21&gt;0,INDEX(CZ$7:CZ$106,$AI21),1),IF($AJ21&gt;0,INDEX(CZ$7:CZ$106,$AJ21),1))))</ns0:f>
        <ns0:v>1</ns0:v>
      </ns0:c>
      <ns0:c r="DB21" t="n">
        <ns0:f>IF($A21="",1,IF(DA21=1,1,--AND(IF($AC21&gt;0,INDEX(DA$7:DA$106,$AC21),1),IF($AD21&gt;0,INDEX(DA$7:DA$106,$AD21),1),IF($AE21&gt;0,INDEX(DA$7:DA$106,$AE21),1),IF($AF21&gt;0,INDEX(DA$7:DA$106,$AF21),1),IF($AG21&gt;0,INDEX(DA$7:DA$106,$AG21),1),IF($AH21&gt;0,INDEX(DA$7:DA$106,$AH21),1),IF($AI21&gt;0,INDEX(DA$7:DA$106,$AI21),1),IF($AJ21&gt;0,INDEX(DA$7:DA$106,$AJ21),1))))</ns0:f>
        <ns0:v>1</ns0:v>
      </ns0:c>
      <ns0:c r="DC21" t="n">
        <ns0:f>IF($A21="",1,IF(DB21=1,1,--AND(IF($AC21&gt;0,INDEX(DB$7:DB$106,$AC21),1),IF($AD21&gt;0,INDEX(DB$7:DB$106,$AD21),1),IF($AE21&gt;0,INDEX(DB$7:DB$106,$AE21),1),IF($AF21&gt;0,INDEX(DB$7:DB$106,$AF21),1),IF($AG21&gt;0,INDEX(DB$7:DB$106,$AG21),1),IF($AH21&gt;0,INDEX(DB$7:DB$106,$AH21),1),IF($AI21&gt;0,INDEX(DB$7:DB$106,$AI21),1),IF($AJ21&gt;0,INDEX(DB$7:DB$106,$AJ21),1))))</ns0:f>
        <ns0:v>1</ns0:v>
      </ns0:c>
      <ns0:c r="DD21" t="n">
        <ns0:f>IF($A21="",1,IF(DC21=1,1,--AND(IF($AC21&gt;0,INDEX(DC$7:DC$106,$AC21),1),IF($AD21&gt;0,INDEX(DC$7:DC$106,$AD21),1),IF($AE21&gt;0,INDEX(DC$7:DC$106,$AE21),1),IF($AF21&gt;0,INDEX(DC$7:DC$106,$AF21),1),IF($AG21&gt;0,INDEX(DC$7:DC$106,$AG21),1),IF($AH21&gt;0,INDEX(DC$7:DC$106,$AH21),1),IF($AI21&gt;0,INDEX(DC$7:DC$106,$AI21),1),IF($AJ21&gt;0,INDEX(DC$7:DC$106,$AJ21),1))))</ns0:f>
        <ns0:v>1</ns0:v>
      </ns0:c>
      <ns0:c r="DE21" t="n">
        <ns0:f>IF($A21="",1,IF(DD21=1,1,--AND(IF($AC21&gt;0,INDEX(DD$7:DD$106,$AC21),1),IF($AD21&gt;0,INDEX(DD$7:DD$106,$AD21),1),IF($AE21&gt;0,INDEX(DD$7:DD$106,$AE21),1),IF($AF21&gt;0,INDEX(DD$7:DD$106,$AF21),1),IF($AG21&gt;0,INDEX(DD$7:DD$106,$AG21),1),IF($AH21&gt;0,INDEX(DD$7:DD$106,$AH21),1),IF($AI21&gt;0,INDEX(DD$7:DD$106,$AI21),1),IF($AJ21&gt;0,INDEX(DD$7:DD$106,$AJ21),1))))</ns0:f>
        <ns0:v>1</ns0:v>
      </ns0:c>
      <ns0:c r="DF21" t="n">
        <ns0:f>IF($A21="",1,IF(DE21=1,1,--AND(IF($AC21&gt;0,INDEX(DE$7:DE$106,$AC21),1),IF($AD21&gt;0,INDEX(DE$7:DE$106,$AD21),1),IF($AE21&gt;0,INDEX(DE$7:DE$106,$AE21),1),IF($AF21&gt;0,INDEX(DE$7:DE$106,$AF21),1),IF($AG21&gt;0,INDEX(DE$7:DE$106,$AG21),1),IF($AH21&gt;0,INDEX(DE$7:DE$106,$AH21),1),IF($AI21&gt;0,INDEX(DE$7:DE$106,$AI21),1),IF($AJ21&gt;0,INDEX(DE$7:DE$106,$AJ21),1))))</ns0:f>
        <ns0:v>1</ns0:v>
      </ns0:c>
      <ns0:c r="DG21" t="n">
        <ns0:f>IF($A21="",1,IF(DF21=1,1,--AND(IF($AC21&gt;0,INDEX(DF$7:DF$106,$AC21),1),IF($AD21&gt;0,INDEX(DF$7:DF$106,$AD21),1),IF($AE21&gt;0,INDEX(DF$7:DF$106,$AE21),1),IF($AF21&gt;0,INDEX(DF$7:DF$106,$AF21),1),IF($AG21&gt;0,INDEX(DF$7:DF$106,$AG21),1),IF($AH21&gt;0,INDEX(DF$7:DF$106,$AH21),1),IF($AI21&gt;0,INDEX(DF$7:DF$106,$AI21),1),IF($AJ21&gt;0,INDEX(DF$7:DF$106,$AJ21),1))))</ns0:f>
        <ns0:v>1</ns0:v>
      </ns0:c>
      <ns0:c r="DH21" t="n">
        <ns0:f>IF($A21="",1,IF(DG21=1,1,--AND(IF($AC21&gt;0,INDEX(DG$7:DG$106,$AC21),1),IF($AD21&gt;0,INDEX(DG$7:DG$106,$AD21),1),IF($AE21&gt;0,INDEX(DG$7:DG$106,$AE21),1),IF($AF21&gt;0,INDEX(DG$7:DG$106,$AF21),1),IF($AG21&gt;0,INDEX(DG$7:DG$106,$AG21),1),IF($AH21&gt;0,INDEX(DG$7:DG$106,$AH21),1),IF($AI21&gt;0,INDEX(DG$7:DG$106,$AI21),1),IF($AJ21&gt;0,INDEX(DG$7:DG$106,$AJ21),1))))</ns0:f>
        <ns0:v>1</ns0:v>
      </ns0:c>
      <ns0:c r="DI21" t="n">
        <ns0:f>IF($A21="",1,IF(DH21=1,1,--AND(IF($AC21&gt;0,INDEX(DH$7:DH$106,$AC21),1),IF($AD21&gt;0,INDEX(DH$7:DH$106,$AD21),1),IF($AE21&gt;0,INDEX(DH$7:DH$106,$AE21),1),IF($AF21&gt;0,INDEX(DH$7:DH$106,$AF21),1),IF($AG21&gt;0,INDEX(DH$7:DH$106,$AG21),1),IF($AH21&gt;0,INDEX(DH$7:DH$106,$AH21),1),IF($AI21&gt;0,INDEX(DH$7:DH$106,$AI21),1),IF($AJ21&gt;0,INDEX(DH$7:DH$106,$AJ21),1))))</ns0:f>
        <ns0:v>1</ns0:v>
      </ns0:c>
      <ns0:c r="DJ21" t="n">
        <ns0:f>IF($A21="",1,IF(DI21=1,1,--AND(IF($AC21&gt;0,INDEX(DI$7:DI$106,$AC21),1),IF($AD21&gt;0,INDEX(DI$7:DI$106,$AD21),1),IF($AE21&gt;0,INDEX(DI$7:DI$106,$AE21),1),IF($AF21&gt;0,INDEX(DI$7:DI$106,$AF21),1),IF($AG21&gt;0,INDEX(DI$7:DI$106,$AG21),1),IF($AH21&gt;0,INDEX(DI$7:DI$106,$AH21),1),IF($AI21&gt;0,INDEX(DI$7:DI$106,$AI21),1),IF($AJ21&gt;0,INDEX(DI$7:DI$106,$AJ21),1))))</ns0:f>
        <ns0:v>1</ns0:v>
      </ns0:c>
      <ns0:c r="DK21" t="n">
        <ns0:f>IF($A21="",1,IF(DJ21=1,1,--AND(IF($AC21&gt;0,INDEX(DJ$7:DJ$106,$AC21),1),IF($AD21&gt;0,INDEX(DJ$7:DJ$106,$AD21),1),IF($AE21&gt;0,INDEX(DJ$7:DJ$106,$AE21),1),IF($AF21&gt;0,INDEX(DJ$7:DJ$106,$AF21),1),IF($AG21&gt;0,INDEX(DJ$7:DJ$106,$AG21),1),IF($AH21&gt;0,INDEX(DJ$7:DJ$106,$AH21),1),IF($AI21&gt;0,INDEX(DJ$7:DJ$106,$AI21),1),IF($AJ21&gt;0,INDEX(DJ$7:DJ$106,$AJ21),1))))</ns0:f>
        <ns0:v>1</ns0:v>
      </ns0:c>
      <ns0:c r="DL21" t="n">
        <ns0:f>IF($A21="",1,IF(DK21=1,1,--AND(IF($AC21&gt;0,INDEX(DK$7:DK$106,$AC21),1),IF($AD21&gt;0,INDEX(DK$7:DK$106,$AD21),1),IF($AE21&gt;0,INDEX(DK$7:DK$106,$AE21),1),IF($AF21&gt;0,INDEX(DK$7:DK$106,$AF21),1),IF($AG21&gt;0,INDEX(DK$7:DK$106,$AG21),1),IF($AH21&gt;0,INDEX(DK$7:DK$106,$AH21),1),IF($AI21&gt;0,INDEX(DK$7:DK$106,$AI21),1),IF($AJ21&gt;0,INDEX(DK$7:DK$106,$AJ21),1))))</ns0:f>
        <ns0:v>1</ns0:v>
      </ns0:c>
      <ns0:c r="DM21" t="n">
        <ns0:f>IF($A21="",1,IF(DL21=1,1,--AND(IF($AC21&gt;0,INDEX(DL$7:DL$106,$AC21),1),IF($AD21&gt;0,INDEX(DL$7:DL$106,$AD21),1),IF($AE21&gt;0,INDEX(DL$7:DL$106,$AE21),1),IF($AF21&gt;0,INDEX(DL$7:DL$106,$AF21),1),IF($AG21&gt;0,INDEX(DL$7:DL$106,$AG21),1),IF($AH21&gt;0,INDEX(DL$7:DL$106,$AH21),1),IF($AI21&gt;0,INDEX(DL$7:DL$106,$AI21),1),IF($AJ21&gt;0,INDEX(DL$7:DL$106,$AJ21),1))))</ns0:f>
        <ns0:v>1</ns0:v>
      </ns0:c>
      <ns0:c r="DN21" t="n">
        <ns0:f>IF($A21="",1,IF(DM21=1,1,--AND(IF($AC21&gt;0,INDEX(DM$7:DM$106,$AC21),1),IF($AD21&gt;0,INDEX(DM$7:DM$106,$AD21),1),IF($AE21&gt;0,INDEX(DM$7:DM$106,$AE21),1),IF($AF21&gt;0,INDEX(DM$7:DM$106,$AF21),1),IF($AG21&gt;0,INDEX(DM$7:DM$106,$AG21),1),IF($AH21&gt;0,INDEX(DM$7:DM$106,$AH21),1),IF($AI21&gt;0,INDEX(DM$7:DM$106,$AI21),1),IF($AJ21&gt;0,INDEX(DM$7:DM$106,$AJ21),1))))</ns0:f>
        <ns0:v>1</ns0:v>
      </ns0:c>
      <ns0:c r="DO21" t="n">
        <ns0:f>IF($A21="",1,IF(DN21=1,1,--AND(IF($AC21&gt;0,INDEX(DN$7:DN$106,$AC21),1),IF($AD21&gt;0,INDEX(DN$7:DN$106,$AD21),1),IF($AE21&gt;0,INDEX(DN$7:DN$106,$AE21),1),IF($AF21&gt;0,INDEX(DN$7:DN$106,$AF21),1),IF($AG21&gt;0,INDEX(DN$7:DN$106,$AG21),1),IF($AH21&gt;0,INDEX(DN$7:DN$106,$AH21),1),IF($AI21&gt;0,INDEX(DN$7:DN$106,$AI21),1),IF($AJ21&gt;0,INDEX(DN$7:DN$106,$AJ21),1))))</ns0:f>
        <ns0:v>1</ns0:v>
      </ns0:c>
      <ns0:c r="DP21" t="n">
        <ns0:f>IF($A21="",1,IF(DO21=1,1,--AND(IF($AC21&gt;0,INDEX(DO$7:DO$106,$AC21),1),IF($AD21&gt;0,INDEX(DO$7:DO$106,$AD21),1),IF($AE21&gt;0,INDEX(DO$7:DO$106,$AE21),1),IF($AF21&gt;0,INDEX(DO$7:DO$106,$AF21),1),IF($AG21&gt;0,INDEX(DO$7:DO$106,$AG21),1),IF($AH21&gt;0,INDEX(DO$7:DO$106,$AH21),1),IF($AI21&gt;0,INDEX(DO$7:DO$106,$AI21),1),IF($AJ21&gt;0,INDEX(DO$7:DO$106,$AJ21),1))))</ns0:f>
        <ns0:v>1</ns0:v>
      </ns0:c>
      <ns0:c r="DQ21" t="n">
        <ns0:f>IF($A21="",1,IF(DP21=1,1,--AND(IF($AC21&gt;0,INDEX(DP$7:DP$106,$AC21),1),IF($AD21&gt;0,INDEX(DP$7:DP$106,$AD21),1),IF($AE21&gt;0,INDEX(DP$7:DP$106,$AE21),1),IF($AF21&gt;0,INDEX(DP$7:DP$106,$AF21),1),IF($AG21&gt;0,INDEX(DP$7:DP$106,$AG21),1),IF($AH21&gt;0,INDEX(DP$7:DP$106,$AH21),1),IF($AI21&gt;0,INDEX(DP$7:DP$106,$AI21),1),IF($AJ21&gt;0,INDEX(DP$7:DP$106,$AJ21),1))))</ns0:f>
        <ns0:v>1</ns0:v>
      </ns0:c>
      <ns0:c r="DR21" t="n">
        <ns0:f>IF($A21="",1,IF(DQ21=1,1,--AND(IF($AC21&gt;0,INDEX(DQ$7:DQ$106,$AC21),1),IF($AD21&gt;0,INDEX(DQ$7:DQ$106,$AD21),1),IF($AE21&gt;0,INDEX(DQ$7:DQ$106,$AE21),1),IF($AF21&gt;0,INDEX(DQ$7:DQ$106,$AF21),1),IF($AG21&gt;0,INDEX(DQ$7:DQ$106,$AG21),1),IF($AH21&gt;0,INDEX(DQ$7:DQ$106,$AH21),1),IF($AI21&gt;0,INDEX(DQ$7:DQ$106,$AI21),1),IF($AJ21&gt;0,INDEX(DQ$7:DQ$106,$AJ21),1))))</ns0:f>
        <ns0:v>1</ns0:v>
      </ns0:c>
      <ns0:c r="DS21" t="n">
        <ns0:f>IF($A21="",1,IF(DR21=1,1,--AND(IF($AC21&gt;0,INDEX(DR$7:DR$106,$AC21),1),IF($AD21&gt;0,INDEX(DR$7:DR$106,$AD21),1),IF($AE21&gt;0,INDEX(DR$7:DR$106,$AE21),1),IF($AF21&gt;0,INDEX(DR$7:DR$106,$AF21),1),IF($AG21&gt;0,INDEX(DR$7:DR$106,$AG21),1),IF($AH21&gt;0,INDEX(DR$7:DR$106,$AH21),1),IF($AI21&gt;0,INDEX(DR$7:DR$106,$AI21),1),IF($AJ21&gt;0,INDEX(DR$7:DR$106,$AJ21),1))))</ns0:f>
        <ns0:v>1</ns0:v>
      </ns0:c>
      <ns0:c r="DT21" t="n">
        <ns0:f>IF($A21="",1,IF(DS21=1,1,--AND(IF($AC21&gt;0,INDEX(DS$7:DS$106,$AC21),1),IF($AD21&gt;0,INDEX(DS$7:DS$106,$AD21),1),IF($AE21&gt;0,INDEX(DS$7:DS$106,$AE21),1),IF($AF21&gt;0,INDEX(DS$7:DS$106,$AF21),1),IF($AG21&gt;0,INDEX(DS$7:DS$106,$AG21),1),IF($AH21&gt;0,INDEX(DS$7:DS$106,$AH21),1),IF($AI21&gt;0,INDEX(DS$7:DS$106,$AI21),1),IF($AJ21&gt;0,INDEX(DS$7:DS$106,$AJ21),1))))</ns0:f>
        <ns0:v>1</ns0:v>
      </ns0:c>
      <ns0:c r="DU21" t="n">
        <ns0:f>IF($A21="",1,IF(DT21=1,1,--AND(IF($AC21&gt;0,INDEX(DT$7:DT$106,$AC21),1),IF($AD21&gt;0,INDEX(DT$7:DT$106,$AD21),1),IF($AE21&gt;0,INDEX(DT$7:DT$106,$AE21),1),IF($AF21&gt;0,INDEX(DT$7:DT$106,$AF21),1),IF($AG21&gt;0,INDEX(DT$7:DT$106,$AG21),1),IF($AH21&gt;0,INDEX(DT$7:DT$106,$AH21),1),IF($AI21&gt;0,INDEX(DT$7:DT$106,$AI21),1),IF($AJ21&gt;0,INDEX(DT$7:DT$106,$AJ21),1))))</ns0:f>
        <ns0:v>1</ns0:v>
      </ns0:c>
      <ns0:c r="DV21" t="n">
        <ns0:f>IF($A21="",1,IF(DU21=1,1,--AND(IF($AC21&gt;0,INDEX(DU$7:DU$106,$AC21),1),IF($AD21&gt;0,INDEX(DU$7:DU$106,$AD21),1),IF($AE21&gt;0,INDEX(DU$7:DU$106,$AE21),1),IF($AF21&gt;0,INDEX(DU$7:DU$106,$AF21),1),IF($AG21&gt;0,INDEX(DU$7:DU$106,$AG21),1),IF($AH21&gt;0,INDEX(DU$7:DU$106,$AH21),1),IF($AI21&gt;0,INDEX(DU$7:DU$106,$AI21),1),IF($AJ21&gt;0,INDEX(DU$7:DU$106,$AJ21),1))))</ns0:f>
        <ns0:v>1</ns0:v>
      </ns0:c>
      <ns0:c r="DW21" t="n">
        <ns0:f>IF($A21="",1,IF(DV21=1,1,--AND(IF($AC21&gt;0,INDEX(DV$7:DV$106,$AC21),1),IF($AD21&gt;0,INDEX(DV$7:DV$106,$AD21),1),IF($AE21&gt;0,INDEX(DV$7:DV$106,$AE21),1),IF($AF21&gt;0,INDEX(DV$7:DV$106,$AF21),1),IF($AG21&gt;0,INDEX(DV$7:DV$106,$AG21),1),IF($AH21&gt;0,INDEX(DV$7:DV$106,$AH21),1),IF($AI21&gt;0,INDEX(DV$7:DV$106,$AI21),1),IF($AJ21&gt;0,INDEX(DV$7:DV$106,$AJ21),1))))</ns0:f>
        <ns0:v>1</ns0:v>
      </ns0:c>
      <ns0:c r="DX21" t="n">
        <ns0:f>IF($A21="",1,IF(DW21=1,1,--AND(IF($AC21&gt;0,INDEX(DW$7:DW$106,$AC21),1),IF($AD21&gt;0,INDEX(DW$7:DW$106,$AD21),1),IF($AE21&gt;0,INDEX(DW$7:DW$106,$AE21),1),IF($AF21&gt;0,INDEX(DW$7:DW$106,$AF21),1),IF($AG21&gt;0,INDEX(DW$7:DW$106,$AG21),1),IF($AH21&gt;0,INDEX(DW$7:DW$106,$AH21),1),IF($AI21&gt;0,INDEX(DW$7:DW$106,$AI21),1),IF($AJ21&gt;0,INDEX(DW$7:DW$106,$AJ21),1))))</ns0:f>
        <ns0:v>1</ns0:v>
      </ns0:c>
      <ns0:c r="DY21" t="n">
        <ns0:f>IF($A21="",1,IF(DX21=1,1,--AND(IF($AC21&gt;0,INDEX(DX$7:DX$106,$AC21),1),IF($AD21&gt;0,INDEX(DX$7:DX$106,$AD21),1),IF($AE21&gt;0,INDEX(DX$7:DX$106,$AE21),1),IF($AF21&gt;0,INDEX(DX$7:DX$106,$AF21),1),IF($AG21&gt;0,INDEX(DX$7:DX$106,$AG21),1),IF($AH21&gt;0,INDEX(DX$7:DX$106,$AH21),1),IF($AI21&gt;0,INDEX(DX$7:DX$106,$AI21),1),IF($AJ21&gt;0,INDEX(DX$7:DX$106,$AJ21),1))))</ns0:f>
        <ns0:v>1</ns0:v>
      </ns0:c>
      <ns0:c r="DZ21" t="n">
        <ns0:f>IF($A21="",1,IF(DY21=1,1,--AND(IF($AC21&gt;0,INDEX(DY$7:DY$106,$AC21),1),IF($AD21&gt;0,INDEX(DY$7:DY$106,$AD21),1),IF($AE21&gt;0,INDEX(DY$7:DY$106,$AE21),1),IF($AF21&gt;0,INDEX(DY$7:DY$106,$AF21),1),IF($AG21&gt;0,INDEX(DY$7:DY$106,$AG21),1),IF($AH21&gt;0,INDEX(DY$7:DY$106,$AH21),1),IF($AI21&gt;0,INDEX(DY$7:DY$106,$AI21),1),IF($AJ21&gt;0,INDEX(DY$7:DY$106,$AJ21),1))))</ns0:f>
        <ns0:v>1</ns0:v>
      </ns0:c>
      <ns0:c r="EA21" t="n">
        <ns0:f>IF($A21="",1,IF(DZ21=1,1,--AND(IF($AC21&gt;0,INDEX(DZ$7:DZ$106,$AC21),1),IF($AD21&gt;0,INDEX(DZ$7:DZ$106,$AD21),1),IF($AE21&gt;0,INDEX(DZ$7:DZ$106,$AE21),1),IF($AF21&gt;0,INDEX(DZ$7:DZ$106,$AF21),1),IF($AG21&gt;0,INDEX(DZ$7:DZ$106,$AG21),1),IF($AH21&gt;0,INDEX(DZ$7:DZ$106,$AH21),1),IF($AI21&gt;0,INDEX(DZ$7:DZ$106,$AI21),1),IF($AJ21&gt;0,INDEX(DZ$7:DZ$106,$AJ21),1))))</ns0:f>
        <ns0:v>1</ns0:v>
      </ns0:c>
      <ns0:c r="EB21" t="n">
        <ns0:f>IF($A21="",1,IF(EA21=1,1,--AND(IF($AC21&gt;0,INDEX(EA$7:EA$106,$AC21),1),IF($AD21&gt;0,INDEX(EA$7:EA$106,$AD21),1),IF($AE21&gt;0,INDEX(EA$7:EA$106,$AE21),1),IF($AF21&gt;0,INDEX(EA$7:EA$106,$AF21),1),IF($AG21&gt;0,INDEX(EA$7:EA$106,$AG21),1),IF($AH21&gt;0,INDEX(EA$7:EA$106,$AH21),1),IF($AI21&gt;0,INDEX(EA$7:EA$106,$AI21),1),IF($AJ21&gt;0,INDEX(EA$7:EA$106,$AJ21),1))))</ns0:f>
        <ns0:v>1</ns0:v>
      </ns0:c>
      <ns0:c r="EC21" t="n">
        <ns0:f>IF($A21="",1,IF(EB21=1,1,--AND(IF($AC21&gt;0,INDEX(EB$7:EB$106,$AC21),1),IF($AD21&gt;0,INDEX(EB$7:EB$106,$AD21),1),IF($AE21&gt;0,INDEX(EB$7:EB$106,$AE21),1),IF($AF21&gt;0,INDEX(EB$7:EB$106,$AF21),1),IF($AG21&gt;0,INDEX(EB$7:EB$106,$AG21),1),IF($AH21&gt;0,INDEX(EB$7:EB$106,$AH21),1),IF($AI21&gt;0,INDEX(EB$7:EB$106,$AI21),1),IF($AJ21&gt;0,INDEX(EB$7:EB$106,$AJ21),1))))</ns0:f>
        <ns0:v>1</ns0:v>
      </ns0:c>
      <ns0:c r="ED21" t="n">
        <ns0:f>IF($A21="",1,IF(EC21=1,1,--AND(IF($AC21&gt;0,INDEX(EC$7:EC$106,$AC21),1),IF($AD21&gt;0,INDEX(EC$7:EC$106,$AD21),1),IF($AE21&gt;0,INDEX(EC$7:EC$106,$AE21),1),IF($AF21&gt;0,INDEX(EC$7:EC$106,$AF21),1),IF($AG21&gt;0,INDEX(EC$7:EC$106,$AG21),1),IF($AH21&gt;0,INDEX(EC$7:EC$106,$AH21),1),IF($AI21&gt;0,INDEX(EC$7:EC$106,$AI21),1),IF($AJ21&gt;0,INDEX(EC$7:EC$106,$AJ21),1))))</ns0:f>
        <ns0:v>1</ns0:v>
      </ns0:c>
      <ns0:c r="EE21" t="n">
        <ns0:f>IF($A21="",1,IF(ED21=1,1,--AND(IF($AC21&gt;0,INDEX(ED$7:ED$106,$AC21),1),IF($AD21&gt;0,INDEX(ED$7:ED$106,$AD21),1),IF($AE21&gt;0,INDEX(ED$7:ED$106,$AE21),1),IF($AF21&gt;0,INDEX(ED$7:ED$106,$AF21),1),IF($AG21&gt;0,INDEX(ED$7:ED$106,$AG21),1),IF($AH21&gt;0,INDEX(ED$7:ED$106,$AH21),1),IF($AI21&gt;0,INDEX(ED$7:ED$106,$AI21),1),IF($AJ21&gt;0,INDEX(ED$7:ED$106,$AJ21),1))))</ns0:f>
        <ns0:v>1</ns0:v>
      </ns0:c>
      <ns0:c r="EF21" t="n">
        <ns0:f>IF($A21="",1,IF(EE21=1,1,--AND(IF($AC21&gt;0,INDEX(EE$7:EE$106,$AC21),1),IF($AD21&gt;0,INDEX(EE$7:EE$106,$AD21),1),IF($AE21&gt;0,INDEX(EE$7:EE$106,$AE21),1),IF($AF21&gt;0,INDEX(EE$7:EE$106,$AF21),1),IF($AG21&gt;0,INDEX(EE$7:EE$106,$AG21),1),IF($AH21&gt;0,INDEX(EE$7:EE$106,$AH21),1),IF($AI21&gt;0,INDEX(EE$7:EE$106,$AI21),1),IF($AJ21&gt;0,INDEX(EE$7:EE$106,$AJ21),1))))</ns0:f>
        <ns0:v>1</ns0:v>
      </ns0:c>
      <ns0:c r="EG21" t="n">
        <ns0:f>IF($A21="",1,IF(EF21=1,1,--AND(IF($AC21&gt;0,INDEX(EF$7:EF$106,$AC21),1),IF($AD21&gt;0,INDEX(EF$7:EF$106,$AD21),1),IF($AE21&gt;0,INDEX(EF$7:EF$106,$AE21),1),IF($AF21&gt;0,INDEX(EF$7:EF$106,$AF21),1),IF($AG21&gt;0,INDEX(EF$7:EF$106,$AG21),1),IF($AH21&gt;0,INDEX(EF$7:EF$106,$AH21),1),IF($AI21&gt;0,INDEX(EF$7:EF$106,$AI21),1),IF($AJ21&gt;0,INDEX(EF$7:EF$106,$AJ21),1))))</ns0:f>
        <ns0:v>1</ns0:v>
      </ns0:c>
      <ns0:c r="EH21" t="n">
        <ns0:f>IF($A21="",1,IF(EG21=1,1,--AND(IF($AC21&gt;0,INDEX(EG$7:EG$106,$AC21),1),IF($AD21&gt;0,INDEX(EG$7:EG$106,$AD21),1),IF($AE21&gt;0,INDEX(EG$7:EG$106,$AE21),1),IF($AF21&gt;0,INDEX(EG$7:EG$106,$AF21),1),IF($AG21&gt;0,INDEX(EG$7:EG$106,$AG21),1),IF($AH21&gt;0,INDEX(EG$7:EG$106,$AH21),1),IF($AI21&gt;0,INDEX(EG$7:EG$106,$AI21),1),IF($AJ21&gt;0,INDEX(EG$7:EG$106,$AJ21),1))))</ns0:f>
        <ns0:v>1</ns0:v>
      </ns0:c>
      <ns0:c r="EI21" t="n">
        <ns0:f>IF($A21="",1,IF(EH21=1,1,--AND(IF($AC21&gt;0,INDEX(EH$7:EH$106,$AC21),1),IF($AD21&gt;0,INDEX(EH$7:EH$106,$AD21),1),IF($AE21&gt;0,INDEX(EH$7:EH$106,$AE21),1),IF($AF21&gt;0,INDEX(EH$7:EH$106,$AF21),1),IF($AG21&gt;0,INDEX(EH$7:EH$106,$AG21),1),IF($AH21&gt;0,INDEX(EH$7:EH$106,$AH21),1),IF($AI21&gt;0,INDEX(EH$7:EH$106,$AI21),1),IF($AJ21&gt;0,INDEX(EH$7:EH$106,$AJ21),1))))</ns0:f>
        <ns0:v>1</ns0:v>
      </ns0:c>
      <ns0:c r="EJ21" t="n">
        <ns0:f>IF($A21="",1,IF(EI21=1,1,--AND(IF($AC21&gt;0,INDEX(EI$7:EI$106,$AC21),1),IF($AD21&gt;0,INDEX(EI$7:EI$106,$AD21),1),IF($AE21&gt;0,INDEX(EI$7:EI$106,$AE21),1),IF($AF21&gt;0,INDEX(EI$7:EI$106,$AF21),1),IF($AG21&gt;0,INDEX(EI$7:EI$106,$AG21),1),IF($AH21&gt;0,INDEX(EI$7:EI$106,$AH21),1),IF($AI21&gt;0,INDEX(EI$7:EI$106,$AI21),1),IF($AJ21&gt;0,INDEX(EI$7:EI$106,$AJ21),1))))</ns0:f>
        <ns0:v>1</ns0:v>
      </ns0:c>
      <ns0:c r="EK21" t="n">
        <ns0:f>IF($A21="",1,IF(EJ21=1,1,--AND(IF($AC21&gt;0,INDEX(EJ$7:EJ$106,$AC21),1),IF($AD21&gt;0,INDEX(EJ$7:EJ$106,$AD21),1),IF($AE21&gt;0,INDEX(EJ$7:EJ$106,$AE21),1),IF($AF21&gt;0,INDEX(EJ$7:EJ$106,$AF21),1),IF($AG21&gt;0,INDEX(EJ$7:EJ$106,$AG21),1),IF($AH21&gt;0,INDEX(EJ$7:EJ$106,$AH21),1),IF($AI21&gt;0,INDEX(EJ$7:EJ$106,$AI21),1),IF($AJ21&gt;0,INDEX(EJ$7:EJ$106,$AJ21),1))))</ns0:f>
        <ns0:v>1</ns0:v>
      </ns0:c>
      <ns0:c r="EL21" t="n">
        <ns0:f>IF($A21="",1,IF(EK21=1,1,--AND(IF($AC21&gt;0,INDEX(EK$7:EK$106,$AC21),1),IF($AD21&gt;0,INDEX(EK$7:EK$106,$AD21),1),IF($AE21&gt;0,INDEX(EK$7:EK$106,$AE21),1),IF($AF21&gt;0,INDEX(EK$7:EK$106,$AF21),1),IF($AG21&gt;0,INDEX(EK$7:EK$106,$AG21),1),IF($AH21&gt;0,INDEX(EK$7:EK$106,$AH21),1),IF($AI21&gt;0,INDEX(EK$7:EK$106,$AI21),1),IF($AJ21&gt;0,INDEX(EK$7:EK$106,$AJ21),1))))</ns0:f>
        <ns0:v>1</ns0:v>
      </ns0:c>
      <ns0:c r="EM21" t="n">
        <ns0:f>IF($A21="",1,IF(EL21=1,1,--AND(IF($AC21&gt;0,INDEX(EL$7:EL$106,$AC21),1),IF($AD21&gt;0,INDEX(EL$7:EL$106,$AD21),1),IF($AE21&gt;0,INDEX(EL$7:EL$106,$AE21),1),IF($AF21&gt;0,INDEX(EL$7:EL$106,$AF21),1),IF($AG21&gt;0,INDEX(EL$7:EL$106,$AG21),1),IF($AH21&gt;0,INDEX(EL$7:EL$106,$AH21),1),IF($AI21&gt;0,INDEX(EL$7:EL$106,$AI21),1),IF($AJ21&gt;0,INDEX(EL$7:EL$106,$AJ21),1))))</ns0:f>
        <ns0:v>1</ns0:v>
      </ns0:c>
      <ns0:c r="EN21" t="n">
        <ns0:f>IF($A21="",1,IF(EM21=1,1,--AND(IF($AC21&gt;0,INDEX(EM$7:EM$106,$AC21),1),IF($AD21&gt;0,INDEX(EM$7:EM$106,$AD21),1),IF($AE21&gt;0,INDEX(EM$7:EM$106,$AE21),1),IF($AF21&gt;0,INDEX(EM$7:EM$106,$AF21),1),IF($AG21&gt;0,INDEX(EM$7:EM$106,$AG21),1),IF($AH21&gt;0,INDEX(EM$7:EM$106,$AH21),1),IF($AI21&gt;0,INDEX(EM$7:EM$106,$AI21),1),IF($AJ21&gt;0,INDEX(EM$7:EM$106,$AJ21),1))))</ns0:f>
        <ns0:v>1</ns0:v>
      </ns0:c>
      <ns0:c r="EO21" t="n">
        <ns0:f>IF($A21="",1,IF(EN21=1,1,--AND(IF($AC21&gt;0,INDEX(EN$7:EN$106,$AC21),1),IF($AD21&gt;0,INDEX(EN$7:EN$106,$AD21),1),IF($AE21&gt;0,INDEX(EN$7:EN$106,$AE21),1),IF($AF21&gt;0,INDEX(EN$7:EN$106,$AF21),1),IF($AG21&gt;0,INDEX(EN$7:EN$106,$AG21),1),IF($AH21&gt;0,INDEX(EN$7:EN$106,$AH21),1),IF($AI21&gt;0,INDEX(EN$7:EN$106,$AI21),1),IF($AJ21&gt;0,INDEX(EN$7:EN$106,$AJ21),1))))</ns0:f>
        <ns0:v>1</ns0:v>
      </ns0:c>
      <ns0:c r="EP21" t="n">
        <ns0:f>IF($A21="",1,IF(EO21=1,1,--AND(IF($AC21&gt;0,INDEX(EO$7:EO$106,$AC21),1),IF($AD21&gt;0,INDEX(EO$7:EO$106,$AD21),1),IF($AE21&gt;0,INDEX(EO$7:EO$106,$AE21),1),IF($AF21&gt;0,INDEX(EO$7:EO$106,$AF21),1),IF($AG21&gt;0,INDEX(EO$7:EO$106,$AG21),1),IF($AH21&gt;0,INDEX(EO$7:EO$106,$AH21),1),IF($AI21&gt;0,INDEX(EO$7:EO$106,$AI21),1),IF($AJ21&gt;0,INDEX(EO$7:EO$106,$AJ21),1))))</ns0:f>
        <ns0:v>1</ns0:v>
      </ns0:c>
      <ns0:c r="EQ21" t="n">
        <ns0:f>IF(OR(A21="",NOT(ISNUMBER(G21))),0,G21*N21)</ns0:f>
        <ns0:v>0</ns0:v>
      </ns0:c>
    </ns0:row>
    <ns0:row r="22" ht="62" customHeight="1">
      <ns0:c r="A22" s="48" t="str">
        <ns0:v>T14</ns0:v>
      </ns0:c>
      <ns0:c r="B22" s="48" t="str">
        <ns0:v>Sandbox &amp; tools</ns0:v>
      </ns0:c>
      <ns0:c r="C22" s="48" t="str">
        <ns0:v>Instantiate specialist sub-agent micro-tools (S_CODE to S_ATTR) in sandbox</ns0:v>
      </ns0:c>
      <ns0:c r="D22" s="48" t="str">
        <ns0:v>Provide S_CODE, S_ALLOC, S_COPY, S_VAL, S_SCRAPE, S_PARSE and S_ATTR.</ns0:v>
      </ns0:c>
      <ns0:c r="E22" s="49" t="n">
        <ns0:v>46283</ns0:v>
      </ns0:c>
      <ns0:c r="F22" s="49" t="n">
        <ns0:v>46284</ns0:v>
      </ns0:c>
      <ns0:c r="G22" s="13" t="n">
        <ns0:f>IF(A22="","",IF(OR(NOT(ISNUMBER(E22)),NOT(ISNUMBER(F22)),F22&lt;E22),"",IF(J22="Yes",0,F22-E22+1)))</ns0:f>
        <ns0:v>2</ns0:v>
      </ns0:c>
      <ns0:c r="H22" s="48" t="str">
        <ns0:v>T11,T12</ns0:v>
      </ns0:c>
      <ns0:c r="I22" s="48" t="str">
        <ns0:v>FS</ns0:v>
      </ns0:c>
      <ns0:c r="J22" s="48" t="str">
        <ns0:v>No</ns0:v>
      </ns0:c>
      <ns0:c r="K22" s="48" t="str">
        <ns0:v>Specialist Sub-Agents (L4_SUBS)</ns0:v>
      </ns0:c>
      <ns0:c r="L22" s="48" t="str"/>
      <ns0:c r="M22" s="50" t="str">
        <ns0:f>IF(A22="","",IF(N22=1,"Completed",IF(N22&gt;0,"In Progress","Not Started")))</ns0:f>
        <ns0:v>Not Started</ns0:v>
      </ns0:c>
      <ns0:c r="N22" s="51" t="n">
        <ns0:v>0</ns0:v>
      </ns0:c>
      <ns0:c r="O22" s="13" t="str">
        <ns0:f>IF(A22="","",IF(R22&lt;&gt;"","[CONFLICT] "&amp;R22,IF(S22&lt;&gt;"","[CONFLICT] "&amp;S22,IF(OR(NOT(ISNUMBER(N22)),N22&lt;0,N22&gt;1),"[CONFLICT] Invalid progress",IF(AK22&gt;0,"[DEPENDENCY ISSUE] Missing ID / &gt;8 links",IF(AM22&gt;0,"[DEPENDENCY ISSUE] Cycle or blocked by cycle",IF(AND(H22&lt;&gt;"",ISNA(MATCH(I22,{"FS","SS","FF","SF"},0))),"[DEPENDENCY ISSUE] Invalid type",IF(AL22&gt;0,"[DEPENDENCY ISSUE] Timing conflict",IF(OR(E22&lt;ProjectStart,F22&gt;ProjectEnd),"[OUTSIDE WINDOW]",IF(AND(N22&lt;1,F22&lt;AsOfDate),"Overdue",IF(AND(M22&lt;&gt;Q22,M22&lt;&gt;""),"[CONFLICT] Status / progress","On track")))))))))))</ns0:f>
        <ns0:v>On track</ns0:v>
      </ns0:c>
      <ns0:c r="P22" s="52" t="str">
        <ns0:v>Source: Project Plan Essentials (2).md §1, §2, §4. Original 2026-09-21 to 2026-09-23, 3d; original progress 100% [INFERRED]. [INFERRED] Rescheduled to fit 34d with FS. Duration reduced to 2d. Original resource/tools: Specialist Sub-Agents (L4_SUBS).</ns0:v>
      </ns0:c>
      <ns0:c r="Q22" t="str">
        <ns0:f>IF(A22="","",IF(OR(M22="On Hold",M22="Delayed"),M22,IF(N22=1,"Completed",IF(N22&gt;0,"In Progress","Not Started"))))</ns0:f>
        <ns0:v>Not Started</ns0:v>
      </ns0:c>
      <ns0:c r="R22" t="str">
        <ns0:f>IF(A22="","",IF(COUNTIFS(Tasks[Task ID],A22)&lt;&gt;1,"Duplicate ID",""))</ns0:f>
      </ns0:c>
      <ns0:c r="S22" t="str">
        <ns0:f>IF(A22="","",IF(OR(NOT(ISNUMBER(E22)),NOT(ISNUMBER(F22))),"Invalid / missing date",IF(OR(E22&lt;&gt;INT(E22),F22&lt;&gt;INT(F22),E22&lt;1,F22&gt;2958465),"Invalid date",IF(F22&lt;E22,"End before start",IF(AND(J22="Yes",E22&lt;&gt;F22),"Milestone needs one date","")))))</ns0:f>
      </ns0:c>
      <ns0:c r="T22" t="n">
        <ns0:f>IF(H22="",0,LEN(H22)-LEN(SUBSTITUTE(H22,",",""))+1)</ns0:f>
        <ns0:v>2</ns0:v>
      </ns0:c>
      <ns0:c r="U22" t="str">
        <ns0:f>TRIM(MID(SUBSTITUTE($H22,",",REPT(" ",100)),1,100))</ns0:f>
        <ns0:v>T11</ns0:v>
      </ns0:c>
      <ns0:c r="V22" t="str">
        <ns0:f>TRIM(MID(SUBSTITUTE($H22,",",REPT(" ",100)),101,100))</ns0:f>
        <ns0:v>T12</ns0:v>
      </ns0:c>
      <ns0:c r="W22" t="str">
        <ns0:f>TRIM(MID(SUBSTITUTE($H22,",",REPT(" ",100)),201,100))</ns0:f>
      </ns0:c>
      <ns0:c r="X22" t="str">
        <ns0:f>TRIM(MID(SUBSTITUTE($H22,",",REPT(" ",100)),301,100))</ns0:f>
      </ns0:c>
      <ns0:c r="Y22" t="str">
        <ns0:f>TRIM(MID(SUBSTITUTE($H22,",",REPT(" ",100)),401,100))</ns0:f>
      </ns0:c>
      <ns0:c r="Z22" t="str">
        <ns0:f>TRIM(MID(SUBSTITUTE($H22,",",REPT(" ",100)),501,100))</ns0:f>
      </ns0:c>
      <ns0:c r="AA22" t="str">
        <ns0:f>TRIM(MID(SUBSTITUTE($H22,",",REPT(" ",100)),601,100))</ns0:f>
      </ns0:c>
      <ns0:c r="AB22" t="str">
        <ns0:f>TRIM(MID(SUBSTITUTE($H22,",",REPT(" ",100)),701,100))</ns0:f>
      </ns0:c>
      <ns0:c r="AC22" t="n">
        <ns0:f>IF(U22="",0,IF(COUNTIFS(Tasks[Task ID],U22)=1,MATCH(U22,Tasks[Task ID],0),-1))</ns0:f>
        <ns0:v>13</ns0:v>
      </ns0:c>
      <ns0:c r="AD22" t="n">
        <ns0:f>IF(V22="",0,IF(COUNTIFS(Tasks[Task ID],V22)=1,MATCH(V22,Tasks[Task ID],0),-1))</ns0:f>
        <ns0:v>14</ns0:v>
      </ns0:c>
      <ns0:c r="AE22" t="n">
        <ns0:f>IF(W22="",0,IF(COUNTIFS(Tasks[Task ID],W22)=1,MATCH(W22,Tasks[Task ID],0),-1))</ns0:f>
        <ns0:v>0</ns0:v>
      </ns0:c>
      <ns0:c r="AF22" t="n">
        <ns0:f>IF(X22="",0,IF(COUNTIFS(Tasks[Task ID],X22)=1,MATCH(X22,Tasks[Task ID],0),-1))</ns0:f>
        <ns0:v>0</ns0:v>
      </ns0:c>
      <ns0:c r="AG22" t="n">
        <ns0:f>IF(Y22="",0,IF(COUNTIFS(Tasks[Task ID],Y22)=1,MATCH(Y22,Tasks[Task ID],0),-1))</ns0:f>
        <ns0:v>0</ns0:v>
      </ns0:c>
      <ns0:c r="AH22" t="n">
        <ns0:f>IF(Z22="",0,IF(COUNTIFS(Tasks[Task ID],Z22)=1,MATCH(Z22,Tasks[Task ID],0),-1))</ns0:f>
        <ns0:v>0</ns0:v>
      </ns0:c>
      <ns0:c r="AI22" t="n">
        <ns0:f>IF(AA22="",0,IF(COUNTIFS(Tasks[Task ID],AA22)=1,MATCH(AA22,Tasks[Task ID],0),-1))</ns0:f>
        <ns0:v>0</ns0:v>
      </ns0:c>
      <ns0:c r="AJ22" t="n">
        <ns0:f>IF(AB22="",0,IF(COUNTIFS(Tasks[Task ID],AB22)=1,MATCH(AB22,Tasks[Task ID],0),-1))</ns0:f>
        <ns0:v>0</ns0:v>
      </ns0:c>
      <ns0:c r="AK22" t="n">
        <ns0:f>COUNTIFS(AC22:AJ22,-1)+IF(T22&gt;8,1,0)</ns0:f>
        <ns0:v>0</ns0:v>
      </ns0:c>
      <ns0:c r="AL22" t="n">
        <ns0:f>IF(OR(A22="",S22&lt;&gt;""),0,SUM(IF(AC22&gt;0,IF($I22="FS",--($E22&lt;INDEX(Tasks[End Date],AC22)+IF(INDEX(Tasks[Milestone],AC22)="Yes",0,1)),IF($I22="SS",--($E22&lt;INDEX(Tasks[Start Date],AC22)),IF($I22="FF",--($F22&lt;INDEX(Tasks[End Date],AC22)),IF($I22="SF",--($F22&lt;INDEX(Tasks[Start Date],AC22)),0)))),0),IF(AD22&gt;0,IF($I22="FS",--($E22&lt;INDEX(Tasks[End Date],AD22)+IF(INDEX(Tasks[Milestone],AD22)="Yes",0,1)),IF($I22="SS",--($E22&lt;INDEX(Tasks[Start Date],AD22)),IF($I22="FF",--($F22&lt;INDEX(Tasks[End Date],AD22)),IF($I22="SF",--($F22&lt;INDEX(Tasks[Start Date],AD22)),0)))),0),IF(AE22&gt;0,IF($I22="FS",--($E22&lt;INDEX(Tasks[End Date],AE22)+IF(INDEX(Tasks[Milestone],AE22)="Yes",0,1)),IF($I22="SS",--($E22&lt;INDEX(Tasks[Start Date],AE22)),IF($I22="FF",--($F22&lt;INDEX(Tasks[End Date],AE22)),IF($I22="SF",--($F22&lt;INDEX(Tasks[Start Date],AE22)),0)))),0),IF(AF22&gt;0,IF($I22="FS",--($E22&lt;INDEX(Tasks[End Date],AF22)+IF(INDEX(Tasks[Milestone],AF22)="Yes",0,1)),IF($I22="SS",--($E22&lt;INDEX(Tasks[Start Date],AF22)),IF($I22="FF",--($F22&lt;INDEX(Tasks[End Date],AF22)),IF($I22="SF",--($F22&lt;INDEX(Tasks[Start Date],AF22)),0)))),0),IF(AG22&gt;0,IF($I22="FS",--($E22&lt;INDEX(Tasks[End Date],AG22)+IF(INDEX(Tasks[Milestone],AG22)="Yes",0,1)),IF($I22="SS",--($E22&lt;INDEX(Tasks[Start Date],AG22)),IF($I22="FF",--($F22&lt;INDEX(Tasks[End Date],AG22)),IF($I22="SF",--($F22&lt;INDEX(Tasks[Start Date],AG22)),0)))),0),IF(AH22&gt;0,IF($I22="FS",--($E22&lt;INDEX(Tasks[End Date],AH22)+IF(INDEX(Tasks[Milestone],AH22)="Yes",0,1)),IF($I22="SS",--($E22&lt;INDEX(Tasks[Start Date],AH22)),IF($I22="FF",--($F22&lt;INDEX(Tasks[End Date],AH22)),IF($I22="SF",--($F22&lt;INDEX(Tasks[Start Date],AH22)),0)))),0),IF(AI22&gt;0,IF($I22="FS",--($E22&lt;INDEX(Tasks[End Date],AI22)+IF(INDEX(Tasks[Milestone],AI22)="Yes",0,1)),IF($I22="SS",--($E22&lt;INDEX(Tasks[Start Date],AI22)),IF($I22="FF",--($F22&lt;INDEX(Tasks[End Date],AI22)),IF($I22="SF",--($F22&lt;INDEX(Tasks[Start Date],AI22)),0)))),0),IF(AJ22&gt;0,IF($I22="FS",--($E22&lt;INDEX(Tasks[End Date],AJ22)+IF(INDEX(Tasks[Milestone],AJ22)="Yes",0,1)),IF($I22="SS",--($E22&lt;INDEX(Tasks[Start Date],AJ22)),IF($I22="FF",--($F22&lt;INDEX(Tasks[End Date],AJ22)),IF($I22="SF",--($F22&lt;INDEX(Tasks[Start Date],AJ22)),0)))),0)))</ns0:f>
        <ns0:v>0</ns0:v>
      </ns0:c>
      <ns0:c r="AM22" t="n">
        <ns0:f>IF(AND(A22&lt;&gt;"",AK22=0,EP22=0),1,0)</ns0:f>
        <ns0:v>0</ns0:v>
      </ns0:c>
      <ns0:c r="AN22" t="str">
        <ns0:f>IF(OR(A22="",B22=""),"",IF(COUNTIFS($B$7:B22,B22)=1,MAX($AN$6:AN21)+1,""))</ns0:f>
      </ns0:c>
      <ns0:c r="AO22" t="n">
        <ns0:f>IF(AND(A22&lt;&gt;"",J22="No",N22&lt;1,E22&gt;=AsOfDate),E22+ROW()/10000,1E+9)</ns0:f>
        <ns0:v>46283.0022</ns0:v>
      </ns0:c>
      <ns0:c r="AP22" t="n">
        <ns0:f>IF(AND(A22&lt;&gt;"",J22="Yes",N22&lt;1,E22&gt;=AsOfDate),E22+ROW()/10000,1E+9)</ns0:f>
        <ns0:v>1000000000</ns0:v>
      </ns0:c>
      <ns0:c r="AQ22" t="n">
        <ns0:f>IF(AND(A22&lt;&gt;"",J22="No",N22&lt;1,F22&gt;=AsOfDate,F22&lt;=AsOfDate+7),F22+ROW()/10000,1E+9)</ns0:f>
        <ns0:v>1000000000</ns0:v>
      </ns0:c>
      <ns0:c r="AR22" t="n">
        <ns0:f>IF(AND(A22&lt;&gt;"",OR(O22&lt;&gt;"On track",Q22="Delayed")),ROW(),1E+9)</ns0:f>
        <ns0:v>1000000000</ns0:v>
      </ns0:c>
      <ns0:c r="AS22" t="str">
        <ns0:f>IF(A22="","",";"&amp;K22&amp;";")</ns0:f>
        <ns0:v>;Specialist Sub-Agents (L4_SUBS);</ns0:v>
      </ns0:c>
      <ns0:c r="AT22" t="n">
        <ns0:f>IF(A22="",1,--(T22=0))</ns0:f>
        <ns0:v>0</ns0:v>
      </ns0:c>
      <ns0:c r="AU22" t="n">
        <ns0:f>IF($A22="",1,IF(AT22=1,1,--AND(IF($AC22&gt;0,INDEX(AT$7:AT$106,$AC22),1),IF($AD22&gt;0,INDEX(AT$7:AT$106,$AD22),1),IF($AE22&gt;0,INDEX(AT$7:AT$106,$AE22),1),IF($AF22&gt;0,INDEX(AT$7:AT$106,$AF22),1),IF($AG22&gt;0,INDEX(AT$7:AT$106,$AG22),1),IF($AH22&gt;0,INDEX(AT$7:AT$106,$AH22),1),IF($AI22&gt;0,INDEX(AT$7:AT$106,$AI22),1),IF($AJ22&gt;0,INDEX(AT$7:AT$106,$AJ22),1))))</ns0:f>
        <ns0:v>0</ns0:v>
      </ns0:c>
      <ns0:c r="AV22" t="n">
        <ns0:f>IF($A22="",1,IF(AU22=1,1,--AND(IF($AC22&gt;0,INDEX(AU$7:AU$106,$AC22),1),IF($AD22&gt;0,INDEX(AU$7:AU$106,$AD22),1),IF($AE22&gt;0,INDEX(AU$7:AU$106,$AE22),1),IF($AF22&gt;0,INDEX(AU$7:AU$106,$AF22),1),IF($AG22&gt;0,INDEX(AU$7:AU$106,$AG22),1),IF($AH22&gt;0,INDEX(AU$7:AU$106,$AH22),1),IF($AI22&gt;0,INDEX(AU$7:AU$106,$AI22),1),IF($AJ22&gt;0,INDEX(AU$7:AU$106,$AJ22),1))))</ns0:f>
        <ns0:v>0</ns0:v>
      </ns0:c>
      <ns0:c r="AW22" t="n">
        <ns0:f>IF($A22="",1,IF(AV22=1,1,--AND(IF($AC22&gt;0,INDEX(AV$7:AV$106,$AC22),1),IF($AD22&gt;0,INDEX(AV$7:AV$106,$AD22),1),IF($AE22&gt;0,INDEX(AV$7:AV$106,$AE22),1),IF($AF22&gt;0,INDEX(AV$7:AV$106,$AF22),1),IF($AG22&gt;0,INDEX(AV$7:AV$106,$AG22),1),IF($AH22&gt;0,INDEX(AV$7:AV$106,$AH22),1),IF($AI22&gt;0,INDEX(AV$7:AV$106,$AI22),1),IF($AJ22&gt;0,INDEX(AV$7:AV$106,$AJ22),1))))</ns0:f>
        <ns0:v>0</ns0:v>
      </ns0:c>
      <ns0:c r="AX22" t="n">
        <ns0:f>IF($A22="",1,IF(AW22=1,1,--AND(IF($AC22&gt;0,INDEX(AW$7:AW$106,$AC22),1),IF($AD22&gt;0,INDEX(AW$7:AW$106,$AD22),1),IF($AE22&gt;0,INDEX(AW$7:AW$106,$AE22),1),IF($AF22&gt;0,INDEX(AW$7:AW$106,$AF22),1),IF($AG22&gt;0,INDEX(AW$7:AW$106,$AG22),1),IF($AH22&gt;0,INDEX(AW$7:AW$106,$AH22),1),IF($AI22&gt;0,INDEX(AW$7:AW$106,$AI22),1),IF($AJ22&gt;0,INDEX(AW$7:AW$106,$AJ22),1))))</ns0:f>
        <ns0:v>1</ns0:v>
      </ns0:c>
      <ns0:c r="AY22" t="n">
        <ns0:f>IF($A22="",1,IF(AX22=1,1,--AND(IF($AC22&gt;0,INDEX(AX$7:AX$106,$AC22),1),IF($AD22&gt;0,INDEX(AX$7:AX$106,$AD22),1),IF($AE22&gt;0,INDEX(AX$7:AX$106,$AE22),1),IF($AF22&gt;0,INDEX(AX$7:AX$106,$AF22),1),IF($AG22&gt;0,INDEX(AX$7:AX$106,$AG22),1),IF($AH22&gt;0,INDEX(AX$7:AX$106,$AH22),1),IF($AI22&gt;0,INDEX(AX$7:AX$106,$AI22),1),IF($AJ22&gt;0,INDEX(AX$7:AX$106,$AJ22),1))))</ns0:f>
        <ns0:v>1</ns0:v>
      </ns0:c>
      <ns0:c r="AZ22" t="n">
        <ns0:f>IF($A22="",1,IF(AY22=1,1,--AND(IF($AC22&gt;0,INDEX(AY$7:AY$106,$AC22),1),IF($AD22&gt;0,INDEX(AY$7:AY$106,$AD22),1),IF($AE22&gt;0,INDEX(AY$7:AY$106,$AE22),1),IF($AF22&gt;0,INDEX(AY$7:AY$106,$AF22),1),IF($AG22&gt;0,INDEX(AY$7:AY$106,$AG22),1),IF($AH22&gt;0,INDEX(AY$7:AY$106,$AH22),1),IF($AI22&gt;0,INDEX(AY$7:AY$106,$AI22),1),IF($AJ22&gt;0,INDEX(AY$7:AY$106,$AJ22),1))))</ns0:f>
        <ns0:v>1</ns0:v>
      </ns0:c>
      <ns0:c r="BA22" t="n">
        <ns0:f>IF($A22="",1,IF(AZ22=1,1,--AND(IF($AC22&gt;0,INDEX(AZ$7:AZ$106,$AC22),1),IF($AD22&gt;0,INDEX(AZ$7:AZ$106,$AD22),1),IF($AE22&gt;0,INDEX(AZ$7:AZ$106,$AE22),1),IF($AF22&gt;0,INDEX(AZ$7:AZ$106,$AF22),1),IF($AG22&gt;0,INDEX(AZ$7:AZ$106,$AG22),1),IF($AH22&gt;0,INDEX(AZ$7:AZ$106,$AH22),1),IF($AI22&gt;0,INDEX(AZ$7:AZ$106,$AI22),1),IF($AJ22&gt;0,INDEX(AZ$7:AZ$106,$AJ22),1))))</ns0:f>
        <ns0:v>1</ns0:v>
      </ns0:c>
      <ns0:c r="BB22" t="n">
        <ns0:f>IF($A22="",1,IF(BA22=1,1,--AND(IF($AC22&gt;0,INDEX(BA$7:BA$106,$AC22),1),IF($AD22&gt;0,INDEX(BA$7:BA$106,$AD22),1),IF($AE22&gt;0,INDEX(BA$7:BA$106,$AE22),1),IF($AF22&gt;0,INDEX(BA$7:BA$106,$AF22),1),IF($AG22&gt;0,INDEX(BA$7:BA$106,$AG22),1),IF($AH22&gt;0,INDEX(BA$7:BA$106,$AH22),1),IF($AI22&gt;0,INDEX(BA$7:BA$106,$AI22),1),IF($AJ22&gt;0,INDEX(BA$7:BA$106,$AJ22),1))))</ns0:f>
        <ns0:v>1</ns0:v>
      </ns0:c>
      <ns0:c r="BC22" t="n">
        <ns0:f>IF($A22="",1,IF(BB22=1,1,--AND(IF($AC22&gt;0,INDEX(BB$7:BB$106,$AC22),1),IF($AD22&gt;0,INDEX(BB$7:BB$106,$AD22),1),IF($AE22&gt;0,INDEX(BB$7:BB$106,$AE22),1),IF($AF22&gt;0,INDEX(BB$7:BB$106,$AF22),1),IF($AG22&gt;0,INDEX(BB$7:BB$106,$AG22),1),IF($AH22&gt;0,INDEX(BB$7:BB$106,$AH22),1),IF($AI22&gt;0,INDEX(BB$7:BB$106,$AI22),1),IF($AJ22&gt;0,INDEX(BB$7:BB$106,$AJ22),1))))</ns0:f>
        <ns0:v>1</ns0:v>
      </ns0:c>
      <ns0:c r="BD22" t="n">
        <ns0:f>IF($A22="",1,IF(BC22=1,1,--AND(IF($AC22&gt;0,INDEX(BC$7:BC$106,$AC22),1),IF($AD22&gt;0,INDEX(BC$7:BC$106,$AD22),1),IF($AE22&gt;0,INDEX(BC$7:BC$106,$AE22),1),IF($AF22&gt;0,INDEX(BC$7:BC$106,$AF22),1),IF($AG22&gt;0,INDEX(BC$7:BC$106,$AG22),1),IF($AH22&gt;0,INDEX(BC$7:BC$106,$AH22),1),IF($AI22&gt;0,INDEX(BC$7:BC$106,$AI22),1),IF($AJ22&gt;0,INDEX(BC$7:BC$106,$AJ22),1))))</ns0:f>
        <ns0:v>1</ns0:v>
      </ns0:c>
      <ns0:c r="BE22" t="n">
        <ns0:f>IF($A22="",1,IF(BD22=1,1,--AND(IF($AC22&gt;0,INDEX(BD$7:BD$106,$AC22),1),IF($AD22&gt;0,INDEX(BD$7:BD$106,$AD22),1),IF($AE22&gt;0,INDEX(BD$7:BD$106,$AE22),1),IF($AF22&gt;0,INDEX(BD$7:BD$106,$AF22),1),IF($AG22&gt;0,INDEX(BD$7:BD$106,$AG22),1),IF($AH22&gt;0,INDEX(BD$7:BD$106,$AH22),1),IF($AI22&gt;0,INDEX(BD$7:BD$106,$AI22),1),IF($AJ22&gt;0,INDEX(BD$7:BD$106,$AJ22),1))))</ns0:f>
        <ns0:v>1</ns0:v>
      </ns0:c>
      <ns0:c r="BF22" t="n">
        <ns0:f>IF($A22="",1,IF(BE22=1,1,--AND(IF($AC22&gt;0,INDEX(BE$7:BE$106,$AC22),1),IF($AD22&gt;0,INDEX(BE$7:BE$106,$AD22),1),IF($AE22&gt;0,INDEX(BE$7:BE$106,$AE22),1),IF($AF22&gt;0,INDEX(BE$7:BE$106,$AF22),1),IF($AG22&gt;0,INDEX(BE$7:BE$106,$AG22),1),IF($AH22&gt;0,INDEX(BE$7:BE$106,$AH22),1),IF($AI22&gt;0,INDEX(BE$7:BE$106,$AI22),1),IF($AJ22&gt;0,INDEX(BE$7:BE$106,$AJ22),1))))</ns0:f>
        <ns0:v>1</ns0:v>
      </ns0:c>
      <ns0:c r="BG22" t="n">
        <ns0:f>IF($A22="",1,IF(BF22=1,1,--AND(IF($AC22&gt;0,INDEX(BF$7:BF$106,$AC22),1),IF($AD22&gt;0,INDEX(BF$7:BF$106,$AD22),1),IF($AE22&gt;0,INDEX(BF$7:BF$106,$AE22),1),IF($AF22&gt;0,INDEX(BF$7:BF$106,$AF22),1),IF($AG22&gt;0,INDEX(BF$7:BF$106,$AG22),1),IF($AH22&gt;0,INDEX(BF$7:BF$106,$AH22),1),IF($AI22&gt;0,INDEX(BF$7:BF$106,$AI22),1),IF($AJ22&gt;0,INDEX(BF$7:BF$106,$AJ22),1))))</ns0:f>
        <ns0:v>1</ns0:v>
      </ns0:c>
      <ns0:c r="BH22" t="n">
        <ns0:f>IF($A22="",1,IF(BG22=1,1,--AND(IF($AC22&gt;0,INDEX(BG$7:BG$106,$AC22),1),IF($AD22&gt;0,INDEX(BG$7:BG$106,$AD22),1),IF($AE22&gt;0,INDEX(BG$7:BG$106,$AE22),1),IF($AF22&gt;0,INDEX(BG$7:BG$106,$AF22),1),IF($AG22&gt;0,INDEX(BG$7:BG$106,$AG22),1),IF($AH22&gt;0,INDEX(BG$7:BG$106,$AH22),1),IF($AI22&gt;0,INDEX(BG$7:BG$106,$AI22),1),IF($AJ22&gt;0,INDEX(BG$7:BG$106,$AJ22),1))))</ns0:f>
        <ns0:v>1</ns0:v>
      </ns0:c>
      <ns0:c r="BI22" t="n">
        <ns0:f>IF($A22="",1,IF(BH22=1,1,--AND(IF($AC22&gt;0,INDEX(BH$7:BH$106,$AC22),1),IF($AD22&gt;0,INDEX(BH$7:BH$106,$AD22),1),IF($AE22&gt;0,INDEX(BH$7:BH$106,$AE22),1),IF($AF22&gt;0,INDEX(BH$7:BH$106,$AF22),1),IF($AG22&gt;0,INDEX(BH$7:BH$106,$AG22),1),IF($AH22&gt;0,INDEX(BH$7:BH$106,$AH22),1),IF($AI22&gt;0,INDEX(BH$7:BH$106,$AI22),1),IF($AJ22&gt;0,INDEX(BH$7:BH$106,$AJ22),1))))</ns0:f>
        <ns0:v>1</ns0:v>
      </ns0:c>
      <ns0:c r="BJ22" t="n">
        <ns0:f>IF($A22="",1,IF(BI22=1,1,--AND(IF($AC22&gt;0,INDEX(BI$7:BI$106,$AC22),1),IF($AD22&gt;0,INDEX(BI$7:BI$106,$AD22),1),IF($AE22&gt;0,INDEX(BI$7:BI$106,$AE22),1),IF($AF22&gt;0,INDEX(BI$7:BI$106,$AF22),1),IF($AG22&gt;0,INDEX(BI$7:BI$106,$AG22),1),IF($AH22&gt;0,INDEX(BI$7:BI$106,$AH22),1),IF($AI22&gt;0,INDEX(BI$7:BI$106,$AI22),1),IF($AJ22&gt;0,INDEX(BI$7:BI$106,$AJ22),1))))</ns0:f>
        <ns0:v>1</ns0:v>
      </ns0:c>
      <ns0:c r="BK22" t="n">
        <ns0:f>IF($A22="",1,IF(BJ22=1,1,--AND(IF($AC22&gt;0,INDEX(BJ$7:BJ$106,$AC22),1),IF($AD22&gt;0,INDEX(BJ$7:BJ$106,$AD22),1),IF($AE22&gt;0,INDEX(BJ$7:BJ$106,$AE22),1),IF($AF22&gt;0,INDEX(BJ$7:BJ$106,$AF22),1),IF($AG22&gt;0,INDEX(BJ$7:BJ$106,$AG22),1),IF($AH22&gt;0,INDEX(BJ$7:BJ$106,$AH22),1),IF($AI22&gt;0,INDEX(BJ$7:BJ$106,$AI22),1),IF($AJ22&gt;0,INDEX(BJ$7:BJ$106,$AJ22),1))))</ns0:f>
        <ns0:v>1</ns0:v>
      </ns0:c>
      <ns0:c r="BL22" t="n">
        <ns0:f>IF($A22="",1,IF(BK22=1,1,--AND(IF($AC22&gt;0,INDEX(BK$7:BK$106,$AC22),1),IF($AD22&gt;0,INDEX(BK$7:BK$106,$AD22),1),IF($AE22&gt;0,INDEX(BK$7:BK$106,$AE22),1),IF($AF22&gt;0,INDEX(BK$7:BK$106,$AF22),1),IF($AG22&gt;0,INDEX(BK$7:BK$106,$AG22),1),IF($AH22&gt;0,INDEX(BK$7:BK$106,$AH22),1),IF($AI22&gt;0,INDEX(BK$7:BK$106,$AI22),1),IF($AJ22&gt;0,INDEX(BK$7:BK$106,$AJ22),1))))</ns0:f>
        <ns0:v>1</ns0:v>
      </ns0:c>
      <ns0:c r="BM22" t="n">
        <ns0:f>IF($A22="",1,IF(BL22=1,1,--AND(IF($AC22&gt;0,INDEX(BL$7:BL$106,$AC22),1),IF($AD22&gt;0,INDEX(BL$7:BL$106,$AD22),1),IF($AE22&gt;0,INDEX(BL$7:BL$106,$AE22),1),IF($AF22&gt;0,INDEX(BL$7:BL$106,$AF22),1),IF($AG22&gt;0,INDEX(BL$7:BL$106,$AG22),1),IF($AH22&gt;0,INDEX(BL$7:BL$106,$AH22),1),IF($AI22&gt;0,INDEX(BL$7:BL$106,$AI22),1),IF($AJ22&gt;0,INDEX(BL$7:BL$106,$AJ22),1))))</ns0:f>
        <ns0:v>1</ns0:v>
      </ns0:c>
      <ns0:c r="BN22" t="n">
        <ns0:f>IF($A22="",1,IF(BM22=1,1,--AND(IF($AC22&gt;0,INDEX(BM$7:BM$106,$AC22),1),IF($AD22&gt;0,INDEX(BM$7:BM$106,$AD22),1),IF($AE22&gt;0,INDEX(BM$7:BM$106,$AE22),1),IF($AF22&gt;0,INDEX(BM$7:BM$106,$AF22),1),IF($AG22&gt;0,INDEX(BM$7:BM$106,$AG22),1),IF($AH22&gt;0,INDEX(BM$7:BM$106,$AH22),1),IF($AI22&gt;0,INDEX(BM$7:BM$106,$AI22),1),IF($AJ22&gt;0,INDEX(BM$7:BM$106,$AJ22),1))))</ns0:f>
        <ns0:v>1</ns0:v>
      </ns0:c>
      <ns0:c r="BO22" t="n">
        <ns0:f>IF($A22="",1,IF(BN22=1,1,--AND(IF($AC22&gt;0,INDEX(BN$7:BN$106,$AC22),1),IF($AD22&gt;0,INDEX(BN$7:BN$106,$AD22),1),IF($AE22&gt;0,INDEX(BN$7:BN$106,$AE22),1),IF($AF22&gt;0,INDEX(BN$7:BN$106,$AF22),1),IF($AG22&gt;0,INDEX(BN$7:BN$106,$AG22),1),IF($AH22&gt;0,INDEX(BN$7:BN$106,$AH22),1),IF($AI22&gt;0,INDEX(BN$7:BN$106,$AI22),1),IF($AJ22&gt;0,INDEX(BN$7:BN$106,$AJ22),1))))</ns0:f>
        <ns0:v>1</ns0:v>
      </ns0:c>
      <ns0:c r="BP22" t="n">
        <ns0:f>IF($A22="",1,IF(BO22=1,1,--AND(IF($AC22&gt;0,INDEX(BO$7:BO$106,$AC22),1),IF($AD22&gt;0,INDEX(BO$7:BO$106,$AD22),1),IF($AE22&gt;0,INDEX(BO$7:BO$106,$AE22),1),IF($AF22&gt;0,INDEX(BO$7:BO$106,$AF22),1),IF($AG22&gt;0,INDEX(BO$7:BO$106,$AG22),1),IF($AH22&gt;0,INDEX(BO$7:BO$106,$AH22),1),IF($AI22&gt;0,INDEX(BO$7:BO$106,$AI22),1),IF($AJ22&gt;0,INDEX(BO$7:BO$106,$AJ22),1))))</ns0:f>
        <ns0:v>1</ns0:v>
      </ns0:c>
      <ns0:c r="BQ22" t="n">
        <ns0:f>IF($A22="",1,IF(BP22=1,1,--AND(IF($AC22&gt;0,INDEX(BP$7:BP$106,$AC22),1),IF($AD22&gt;0,INDEX(BP$7:BP$106,$AD22),1),IF($AE22&gt;0,INDEX(BP$7:BP$106,$AE22),1),IF($AF22&gt;0,INDEX(BP$7:BP$106,$AF22),1),IF($AG22&gt;0,INDEX(BP$7:BP$106,$AG22),1),IF($AH22&gt;0,INDEX(BP$7:BP$106,$AH22),1),IF($AI22&gt;0,INDEX(BP$7:BP$106,$AI22),1),IF($AJ22&gt;0,INDEX(BP$7:BP$106,$AJ22),1))))</ns0:f>
        <ns0:v>1</ns0:v>
      </ns0:c>
      <ns0:c r="BR22" t="n">
        <ns0:f>IF($A22="",1,IF(BQ22=1,1,--AND(IF($AC22&gt;0,INDEX(BQ$7:BQ$106,$AC22),1),IF($AD22&gt;0,INDEX(BQ$7:BQ$106,$AD22),1),IF($AE22&gt;0,INDEX(BQ$7:BQ$106,$AE22),1),IF($AF22&gt;0,INDEX(BQ$7:BQ$106,$AF22),1),IF($AG22&gt;0,INDEX(BQ$7:BQ$106,$AG22),1),IF($AH22&gt;0,INDEX(BQ$7:BQ$106,$AH22),1),IF($AI22&gt;0,INDEX(BQ$7:BQ$106,$AI22),1),IF($AJ22&gt;0,INDEX(BQ$7:BQ$106,$AJ22),1))))</ns0:f>
        <ns0:v>1</ns0:v>
      </ns0:c>
      <ns0:c r="BS22" t="n">
        <ns0:f>IF($A22="",1,IF(BR22=1,1,--AND(IF($AC22&gt;0,INDEX(BR$7:BR$106,$AC22),1),IF($AD22&gt;0,INDEX(BR$7:BR$106,$AD22),1),IF($AE22&gt;0,INDEX(BR$7:BR$106,$AE22),1),IF($AF22&gt;0,INDEX(BR$7:BR$106,$AF22),1),IF($AG22&gt;0,INDEX(BR$7:BR$106,$AG22),1),IF($AH22&gt;0,INDEX(BR$7:BR$106,$AH22),1),IF($AI22&gt;0,INDEX(BR$7:BR$106,$AI22),1),IF($AJ22&gt;0,INDEX(BR$7:BR$106,$AJ22),1))))</ns0:f>
        <ns0:v>1</ns0:v>
      </ns0:c>
      <ns0:c r="BT22" t="n">
        <ns0:f>IF($A22="",1,IF(BS22=1,1,--AND(IF($AC22&gt;0,INDEX(BS$7:BS$106,$AC22),1),IF($AD22&gt;0,INDEX(BS$7:BS$106,$AD22),1),IF($AE22&gt;0,INDEX(BS$7:BS$106,$AE22),1),IF($AF22&gt;0,INDEX(BS$7:BS$106,$AF22),1),IF($AG22&gt;0,INDEX(BS$7:BS$106,$AG22),1),IF($AH22&gt;0,INDEX(BS$7:BS$106,$AH22),1),IF($AI22&gt;0,INDEX(BS$7:BS$106,$AI22),1),IF($AJ22&gt;0,INDEX(BS$7:BS$106,$AJ22),1))))</ns0:f>
        <ns0:v>1</ns0:v>
      </ns0:c>
      <ns0:c r="BU22" t="n">
        <ns0:f>IF($A22="",1,IF(BT22=1,1,--AND(IF($AC22&gt;0,INDEX(BT$7:BT$106,$AC22),1),IF($AD22&gt;0,INDEX(BT$7:BT$106,$AD22),1),IF($AE22&gt;0,INDEX(BT$7:BT$106,$AE22),1),IF($AF22&gt;0,INDEX(BT$7:BT$106,$AF22),1),IF($AG22&gt;0,INDEX(BT$7:BT$106,$AG22),1),IF($AH22&gt;0,INDEX(BT$7:BT$106,$AH22),1),IF($AI22&gt;0,INDEX(BT$7:BT$106,$AI22),1),IF($AJ22&gt;0,INDEX(BT$7:BT$106,$AJ22),1))))</ns0:f>
        <ns0:v>1</ns0:v>
      </ns0:c>
      <ns0:c r="BV22" t="n">
        <ns0:f>IF($A22="",1,IF(BU22=1,1,--AND(IF($AC22&gt;0,INDEX(BU$7:BU$106,$AC22),1),IF($AD22&gt;0,INDEX(BU$7:BU$106,$AD22),1),IF($AE22&gt;0,INDEX(BU$7:BU$106,$AE22),1),IF($AF22&gt;0,INDEX(BU$7:BU$106,$AF22),1),IF($AG22&gt;0,INDEX(BU$7:BU$106,$AG22),1),IF($AH22&gt;0,INDEX(BU$7:BU$106,$AH22),1),IF($AI22&gt;0,INDEX(BU$7:BU$106,$AI22),1),IF($AJ22&gt;0,INDEX(BU$7:BU$106,$AJ22),1))))</ns0:f>
        <ns0:v>1</ns0:v>
      </ns0:c>
      <ns0:c r="BW22" t="n">
        <ns0:f>IF($A22="",1,IF(BV22=1,1,--AND(IF($AC22&gt;0,INDEX(BV$7:BV$106,$AC22),1),IF($AD22&gt;0,INDEX(BV$7:BV$106,$AD22),1),IF($AE22&gt;0,INDEX(BV$7:BV$106,$AE22),1),IF($AF22&gt;0,INDEX(BV$7:BV$106,$AF22),1),IF($AG22&gt;0,INDEX(BV$7:BV$106,$AG22),1),IF($AH22&gt;0,INDEX(BV$7:BV$106,$AH22),1),IF($AI22&gt;0,INDEX(BV$7:BV$106,$AI22),1),IF($AJ22&gt;0,INDEX(BV$7:BV$106,$AJ22),1))))</ns0:f>
        <ns0:v>1</ns0:v>
      </ns0:c>
      <ns0:c r="BX22" t="n">
        <ns0:f>IF($A22="",1,IF(BW22=1,1,--AND(IF($AC22&gt;0,INDEX(BW$7:BW$106,$AC22),1),IF($AD22&gt;0,INDEX(BW$7:BW$106,$AD22),1),IF($AE22&gt;0,INDEX(BW$7:BW$106,$AE22),1),IF($AF22&gt;0,INDEX(BW$7:BW$106,$AF22),1),IF($AG22&gt;0,INDEX(BW$7:BW$106,$AG22),1),IF($AH22&gt;0,INDEX(BW$7:BW$106,$AH22),1),IF($AI22&gt;0,INDEX(BW$7:BW$106,$AI22),1),IF($AJ22&gt;0,INDEX(BW$7:BW$106,$AJ22),1))))</ns0:f>
        <ns0:v>1</ns0:v>
      </ns0:c>
      <ns0:c r="BY22" t="n">
        <ns0:f>IF($A22="",1,IF(BX22=1,1,--AND(IF($AC22&gt;0,INDEX(BX$7:BX$106,$AC22),1),IF($AD22&gt;0,INDEX(BX$7:BX$106,$AD22),1),IF($AE22&gt;0,INDEX(BX$7:BX$106,$AE22),1),IF($AF22&gt;0,INDEX(BX$7:BX$106,$AF22),1),IF($AG22&gt;0,INDEX(BX$7:BX$106,$AG22),1),IF($AH22&gt;0,INDEX(BX$7:BX$106,$AH22),1),IF($AI22&gt;0,INDEX(BX$7:BX$106,$AI22),1),IF($AJ22&gt;0,INDEX(BX$7:BX$106,$AJ22),1))))</ns0:f>
        <ns0:v>1</ns0:v>
      </ns0:c>
      <ns0:c r="BZ22" t="n">
        <ns0:f>IF($A22="",1,IF(BY22=1,1,--AND(IF($AC22&gt;0,INDEX(BY$7:BY$106,$AC22),1),IF($AD22&gt;0,INDEX(BY$7:BY$106,$AD22),1),IF($AE22&gt;0,INDEX(BY$7:BY$106,$AE22),1),IF($AF22&gt;0,INDEX(BY$7:BY$106,$AF22),1),IF($AG22&gt;0,INDEX(BY$7:BY$106,$AG22),1),IF($AH22&gt;0,INDEX(BY$7:BY$106,$AH22),1),IF($AI22&gt;0,INDEX(BY$7:BY$106,$AI22),1),IF($AJ22&gt;0,INDEX(BY$7:BY$106,$AJ22),1))))</ns0:f>
        <ns0:v>1</ns0:v>
      </ns0:c>
      <ns0:c r="CA22" t="n">
        <ns0:f>IF($A22="",1,IF(BZ22=1,1,--AND(IF($AC22&gt;0,INDEX(BZ$7:BZ$106,$AC22),1),IF($AD22&gt;0,INDEX(BZ$7:BZ$106,$AD22),1),IF($AE22&gt;0,INDEX(BZ$7:BZ$106,$AE22),1),IF($AF22&gt;0,INDEX(BZ$7:BZ$106,$AF22),1),IF($AG22&gt;0,INDEX(BZ$7:BZ$106,$AG22),1),IF($AH22&gt;0,INDEX(BZ$7:BZ$106,$AH22),1),IF($AI22&gt;0,INDEX(BZ$7:BZ$106,$AI22),1),IF($AJ22&gt;0,INDEX(BZ$7:BZ$106,$AJ22),1))))</ns0:f>
        <ns0:v>1</ns0:v>
      </ns0:c>
      <ns0:c r="CB22" t="n">
        <ns0:f>IF($A22="",1,IF(CA22=1,1,--AND(IF($AC22&gt;0,INDEX(CA$7:CA$106,$AC22),1),IF($AD22&gt;0,INDEX(CA$7:CA$106,$AD22),1),IF($AE22&gt;0,INDEX(CA$7:CA$106,$AE22),1),IF($AF22&gt;0,INDEX(CA$7:CA$106,$AF22),1),IF($AG22&gt;0,INDEX(CA$7:CA$106,$AG22),1),IF($AH22&gt;0,INDEX(CA$7:CA$106,$AH22),1),IF($AI22&gt;0,INDEX(CA$7:CA$106,$AI22),1),IF($AJ22&gt;0,INDEX(CA$7:CA$106,$AJ22),1))))</ns0:f>
        <ns0:v>1</ns0:v>
      </ns0:c>
      <ns0:c r="CC22" t="n">
        <ns0:f>IF($A22="",1,IF(CB22=1,1,--AND(IF($AC22&gt;0,INDEX(CB$7:CB$106,$AC22),1),IF($AD22&gt;0,INDEX(CB$7:CB$106,$AD22),1),IF($AE22&gt;0,INDEX(CB$7:CB$106,$AE22),1),IF($AF22&gt;0,INDEX(CB$7:CB$106,$AF22),1),IF($AG22&gt;0,INDEX(CB$7:CB$106,$AG22),1),IF($AH22&gt;0,INDEX(CB$7:CB$106,$AH22),1),IF($AI22&gt;0,INDEX(CB$7:CB$106,$AI22),1),IF($AJ22&gt;0,INDEX(CB$7:CB$106,$AJ22),1))))</ns0:f>
        <ns0:v>1</ns0:v>
      </ns0:c>
      <ns0:c r="CD22" t="n">
        <ns0:f>IF($A22="",1,IF(CC22=1,1,--AND(IF($AC22&gt;0,INDEX(CC$7:CC$106,$AC22),1),IF($AD22&gt;0,INDEX(CC$7:CC$106,$AD22),1),IF($AE22&gt;0,INDEX(CC$7:CC$106,$AE22),1),IF($AF22&gt;0,INDEX(CC$7:CC$106,$AF22),1),IF($AG22&gt;0,INDEX(CC$7:CC$106,$AG22),1),IF($AH22&gt;0,INDEX(CC$7:CC$106,$AH22),1),IF($AI22&gt;0,INDEX(CC$7:CC$106,$AI22),1),IF($AJ22&gt;0,INDEX(CC$7:CC$106,$AJ22),1))))</ns0:f>
        <ns0:v>1</ns0:v>
      </ns0:c>
      <ns0:c r="CE22" t="n">
        <ns0:f>IF($A22="",1,IF(CD22=1,1,--AND(IF($AC22&gt;0,INDEX(CD$7:CD$106,$AC22),1),IF($AD22&gt;0,INDEX(CD$7:CD$106,$AD22),1),IF($AE22&gt;0,INDEX(CD$7:CD$106,$AE22),1),IF($AF22&gt;0,INDEX(CD$7:CD$106,$AF22),1),IF($AG22&gt;0,INDEX(CD$7:CD$106,$AG22),1),IF($AH22&gt;0,INDEX(CD$7:CD$106,$AH22),1),IF($AI22&gt;0,INDEX(CD$7:CD$106,$AI22),1),IF($AJ22&gt;0,INDEX(CD$7:CD$106,$AJ22),1))))</ns0:f>
        <ns0:v>1</ns0:v>
      </ns0:c>
      <ns0:c r="CF22" t="n">
        <ns0:f>IF($A22="",1,IF(CE22=1,1,--AND(IF($AC22&gt;0,INDEX(CE$7:CE$106,$AC22),1),IF($AD22&gt;0,INDEX(CE$7:CE$106,$AD22),1),IF($AE22&gt;0,INDEX(CE$7:CE$106,$AE22),1),IF($AF22&gt;0,INDEX(CE$7:CE$106,$AF22),1),IF($AG22&gt;0,INDEX(CE$7:CE$106,$AG22),1),IF($AH22&gt;0,INDEX(CE$7:CE$106,$AH22),1),IF($AI22&gt;0,INDEX(CE$7:CE$106,$AI22),1),IF($AJ22&gt;0,INDEX(CE$7:CE$106,$AJ22),1))))</ns0:f>
        <ns0:v>1</ns0:v>
      </ns0:c>
      <ns0:c r="CG22" t="n">
        <ns0:f>IF($A22="",1,IF(CF22=1,1,--AND(IF($AC22&gt;0,INDEX(CF$7:CF$106,$AC22),1),IF($AD22&gt;0,INDEX(CF$7:CF$106,$AD22),1),IF($AE22&gt;0,INDEX(CF$7:CF$106,$AE22),1),IF($AF22&gt;0,INDEX(CF$7:CF$106,$AF22),1),IF($AG22&gt;0,INDEX(CF$7:CF$106,$AG22),1),IF($AH22&gt;0,INDEX(CF$7:CF$106,$AH22),1),IF($AI22&gt;0,INDEX(CF$7:CF$106,$AI22),1),IF($AJ22&gt;0,INDEX(CF$7:CF$106,$AJ22),1))))</ns0:f>
        <ns0:v>1</ns0:v>
      </ns0:c>
      <ns0:c r="CH22" t="n">
        <ns0:f>IF($A22="",1,IF(CG22=1,1,--AND(IF($AC22&gt;0,INDEX(CG$7:CG$106,$AC22),1),IF($AD22&gt;0,INDEX(CG$7:CG$106,$AD22),1),IF($AE22&gt;0,INDEX(CG$7:CG$106,$AE22),1),IF($AF22&gt;0,INDEX(CG$7:CG$106,$AF22),1),IF($AG22&gt;0,INDEX(CG$7:CG$106,$AG22),1),IF($AH22&gt;0,INDEX(CG$7:CG$106,$AH22),1),IF($AI22&gt;0,INDEX(CG$7:CG$106,$AI22),1),IF($AJ22&gt;0,INDEX(CG$7:CG$106,$AJ22),1))))</ns0:f>
        <ns0:v>1</ns0:v>
      </ns0:c>
      <ns0:c r="CI22" t="n">
        <ns0:f>IF($A22="",1,IF(CH22=1,1,--AND(IF($AC22&gt;0,INDEX(CH$7:CH$106,$AC22),1),IF($AD22&gt;0,INDEX(CH$7:CH$106,$AD22),1),IF($AE22&gt;0,INDEX(CH$7:CH$106,$AE22),1),IF($AF22&gt;0,INDEX(CH$7:CH$106,$AF22),1),IF($AG22&gt;0,INDEX(CH$7:CH$106,$AG22),1),IF($AH22&gt;0,INDEX(CH$7:CH$106,$AH22),1),IF($AI22&gt;0,INDEX(CH$7:CH$106,$AI22),1),IF($AJ22&gt;0,INDEX(CH$7:CH$106,$AJ22),1))))</ns0:f>
        <ns0:v>1</ns0:v>
      </ns0:c>
      <ns0:c r="CJ22" t="n">
        <ns0:f>IF($A22="",1,IF(CI22=1,1,--AND(IF($AC22&gt;0,INDEX(CI$7:CI$106,$AC22),1),IF($AD22&gt;0,INDEX(CI$7:CI$106,$AD22),1),IF($AE22&gt;0,INDEX(CI$7:CI$106,$AE22),1),IF($AF22&gt;0,INDEX(CI$7:CI$106,$AF22),1),IF($AG22&gt;0,INDEX(CI$7:CI$106,$AG22),1),IF($AH22&gt;0,INDEX(CI$7:CI$106,$AH22),1),IF($AI22&gt;0,INDEX(CI$7:CI$106,$AI22),1),IF($AJ22&gt;0,INDEX(CI$7:CI$106,$AJ22),1))))</ns0:f>
        <ns0:v>1</ns0:v>
      </ns0:c>
      <ns0:c r="CK22" t="n">
        <ns0:f>IF($A22="",1,IF(CJ22=1,1,--AND(IF($AC22&gt;0,INDEX(CJ$7:CJ$106,$AC22),1),IF($AD22&gt;0,INDEX(CJ$7:CJ$106,$AD22),1),IF($AE22&gt;0,INDEX(CJ$7:CJ$106,$AE22),1),IF($AF22&gt;0,INDEX(CJ$7:CJ$106,$AF22),1),IF($AG22&gt;0,INDEX(CJ$7:CJ$106,$AG22),1),IF($AH22&gt;0,INDEX(CJ$7:CJ$106,$AH22),1),IF($AI22&gt;0,INDEX(CJ$7:CJ$106,$AI22),1),IF($AJ22&gt;0,INDEX(CJ$7:CJ$106,$AJ22),1))))</ns0:f>
        <ns0:v>1</ns0:v>
      </ns0:c>
      <ns0:c r="CL22" t="n">
        <ns0:f>IF($A22="",1,IF(CK22=1,1,--AND(IF($AC22&gt;0,INDEX(CK$7:CK$106,$AC22),1),IF($AD22&gt;0,INDEX(CK$7:CK$106,$AD22),1),IF($AE22&gt;0,INDEX(CK$7:CK$106,$AE22),1),IF($AF22&gt;0,INDEX(CK$7:CK$106,$AF22),1),IF($AG22&gt;0,INDEX(CK$7:CK$106,$AG22),1),IF($AH22&gt;0,INDEX(CK$7:CK$106,$AH22),1),IF($AI22&gt;0,INDEX(CK$7:CK$106,$AI22),1),IF($AJ22&gt;0,INDEX(CK$7:CK$106,$AJ22),1))))</ns0:f>
        <ns0:v>1</ns0:v>
      </ns0:c>
      <ns0:c r="CM22" t="n">
        <ns0:f>IF($A22="",1,IF(CL22=1,1,--AND(IF($AC22&gt;0,INDEX(CL$7:CL$106,$AC22),1),IF($AD22&gt;0,INDEX(CL$7:CL$106,$AD22),1),IF($AE22&gt;0,INDEX(CL$7:CL$106,$AE22),1),IF($AF22&gt;0,INDEX(CL$7:CL$106,$AF22),1),IF($AG22&gt;0,INDEX(CL$7:CL$106,$AG22),1),IF($AH22&gt;0,INDEX(CL$7:CL$106,$AH22),1),IF($AI22&gt;0,INDEX(CL$7:CL$106,$AI22),1),IF($AJ22&gt;0,INDEX(CL$7:CL$106,$AJ22),1))))</ns0:f>
        <ns0:v>1</ns0:v>
      </ns0:c>
      <ns0:c r="CN22" t="n">
        <ns0:f>IF($A22="",1,IF(CM22=1,1,--AND(IF($AC22&gt;0,INDEX(CM$7:CM$106,$AC22),1),IF($AD22&gt;0,INDEX(CM$7:CM$106,$AD22),1),IF($AE22&gt;0,INDEX(CM$7:CM$106,$AE22),1),IF($AF22&gt;0,INDEX(CM$7:CM$106,$AF22),1),IF($AG22&gt;0,INDEX(CM$7:CM$106,$AG22),1),IF($AH22&gt;0,INDEX(CM$7:CM$106,$AH22),1),IF($AI22&gt;0,INDEX(CM$7:CM$106,$AI22),1),IF($AJ22&gt;0,INDEX(CM$7:CM$106,$AJ22),1))))</ns0:f>
        <ns0:v>1</ns0:v>
      </ns0:c>
      <ns0:c r="CO22" t="n">
        <ns0:f>IF($A22="",1,IF(CN22=1,1,--AND(IF($AC22&gt;0,INDEX(CN$7:CN$106,$AC22),1),IF($AD22&gt;0,INDEX(CN$7:CN$106,$AD22),1),IF($AE22&gt;0,INDEX(CN$7:CN$106,$AE22),1),IF($AF22&gt;0,INDEX(CN$7:CN$106,$AF22),1),IF($AG22&gt;0,INDEX(CN$7:CN$106,$AG22),1),IF($AH22&gt;0,INDEX(CN$7:CN$106,$AH22),1),IF($AI22&gt;0,INDEX(CN$7:CN$106,$AI22),1),IF($AJ22&gt;0,INDEX(CN$7:CN$106,$AJ22),1))))</ns0:f>
        <ns0:v>1</ns0:v>
      </ns0:c>
      <ns0:c r="CP22" t="n">
        <ns0:f>IF($A22="",1,IF(CO22=1,1,--AND(IF($AC22&gt;0,INDEX(CO$7:CO$106,$AC22),1),IF($AD22&gt;0,INDEX(CO$7:CO$106,$AD22),1),IF($AE22&gt;0,INDEX(CO$7:CO$106,$AE22),1),IF($AF22&gt;0,INDEX(CO$7:CO$106,$AF22),1),IF($AG22&gt;0,INDEX(CO$7:CO$106,$AG22),1),IF($AH22&gt;0,INDEX(CO$7:CO$106,$AH22),1),IF($AI22&gt;0,INDEX(CO$7:CO$106,$AI22),1),IF($AJ22&gt;0,INDEX(CO$7:CO$106,$AJ22),1))))</ns0:f>
        <ns0:v>1</ns0:v>
      </ns0:c>
      <ns0:c r="CQ22" t="n">
        <ns0:f>IF($A22="",1,IF(CP22=1,1,--AND(IF($AC22&gt;0,INDEX(CP$7:CP$106,$AC22),1),IF($AD22&gt;0,INDEX(CP$7:CP$106,$AD22),1),IF($AE22&gt;0,INDEX(CP$7:CP$106,$AE22),1),IF($AF22&gt;0,INDEX(CP$7:CP$106,$AF22),1),IF($AG22&gt;0,INDEX(CP$7:CP$106,$AG22),1),IF($AH22&gt;0,INDEX(CP$7:CP$106,$AH22),1),IF($AI22&gt;0,INDEX(CP$7:CP$106,$AI22),1),IF($AJ22&gt;0,INDEX(CP$7:CP$106,$AJ22),1))))</ns0:f>
        <ns0:v>1</ns0:v>
      </ns0:c>
      <ns0:c r="CR22" t="n">
        <ns0:f>IF($A22="",1,IF(CQ22=1,1,--AND(IF($AC22&gt;0,INDEX(CQ$7:CQ$106,$AC22),1),IF($AD22&gt;0,INDEX(CQ$7:CQ$106,$AD22),1),IF($AE22&gt;0,INDEX(CQ$7:CQ$106,$AE22),1),IF($AF22&gt;0,INDEX(CQ$7:CQ$106,$AF22),1),IF($AG22&gt;0,INDEX(CQ$7:CQ$106,$AG22),1),IF($AH22&gt;0,INDEX(CQ$7:CQ$106,$AH22),1),IF($AI22&gt;0,INDEX(CQ$7:CQ$106,$AI22),1),IF($AJ22&gt;0,INDEX(CQ$7:CQ$106,$AJ22),1))))</ns0:f>
        <ns0:v>1</ns0:v>
      </ns0:c>
      <ns0:c r="CS22" t="n">
        <ns0:f>IF($A22="",1,IF(CR22=1,1,--AND(IF($AC22&gt;0,INDEX(CR$7:CR$106,$AC22),1),IF($AD22&gt;0,INDEX(CR$7:CR$106,$AD22),1),IF($AE22&gt;0,INDEX(CR$7:CR$106,$AE22),1),IF($AF22&gt;0,INDEX(CR$7:CR$106,$AF22),1),IF($AG22&gt;0,INDEX(CR$7:CR$106,$AG22),1),IF($AH22&gt;0,INDEX(CR$7:CR$106,$AH22),1),IF($AI22&gt;0,INDEX(CR$7:CR$106,$AI22),1),IF($AJ22&gt;0,INDEX(CR$7:CR$106,$AJ22),1))))</ns0:f>
        <ns0:v>1</ns0:v>
      </ns0:c>
      <ns0:c r="CT22" t="n">
        <ns0:f>IF($A22="",1,IF(CS22=1,1,--AND(IF($AC22&gt;0,INDEX(CS$7:CS$106,$AC22),1),IF($AD22&gt;0,INDEX(CS$7:CS$106,$AD22),1),IF($AE22&gt;0,INDEX(CS$7:CS$106,$AE22),1),IF($AF22&gt;0,INDEX(CS$7:CS$106,$AF22),1),IF($AG22&gt;0,INDEX(CS$7:CS$106,$AG22),1),IF($AH22&gt;0,INDEX(CS$7:CS$106,$AH22),1),IF($AI22&gt;0,INDEX(CS$7:CS$106,$AI22),1),IF($AJ22&gt;0,INDEX(CS$7:CS$106,$AJ22),1))))</ns0:f>
        <ns0:v>1</ns0:v>
      </ns0:c>
      <ns0:c r="CU22" t="n">
        <ns0:f>IF($A22="",1,IF(CT22=1,1,--AND(IF($AC22&gt;0,INDEX(CT$7:CT$106,$AC22),1),IF($AD22&gt;0,INDEX(CT$7:CT$106,$AD22),1),IF($AE22&gt;0,INDEX(CT$7:CT$106,$AE22),1),IF($AF22&gt;0,INDEX(CT$7:CT$106,$AF22),1),IF($AG22&gt;0,INDEX(CT$7:CT$106,$AG22),1),IF($AH22&gt;0,INDEX(CT$7:CT$106,$AH22),1),IF($AI22&gt;0,INDEX(CT$7:CT$106,$AI22),1),IF($AJ22&gt;0,INDEX(CT$7:CT$106,$AJ22),1))))</ns0:f>
        <ns0:v>1</ns0:v>
      </ns0:c>
      <ns0:c r="CV22" t="n">
        <ns0:f>IF($A22="",1,IF(CU22=1,1,--AND(IF($AC22&gt;0,INDEX(CU$7:CU$106,$AC22),1),IF($AD22&gt;0,INDEX(CU$7:CU$106,$AD22),1),IF($AE22&gt;0,INDEX(CU$7:CU$106,$AE22),1),IF($AF22&gt;0,INDEX(CU$7:CU$106,$AF22),1),IF($AG22&gt;0,INDEX(CU$7:CU$106,$AG22),1),IF($AH22&gt;0,INDEX(CU$7:CU$106,$AH22),1),IF($AI22&gt;0,INDEX(CU$7:CU$106,$AI22),1),IF($AJ22&gt;0,INDEX(CU$7:CU$106,$AJ22),1))))</ns0:f>
        <ns0:v>1</ns0:v>
      </ns0:c>
      <ns0:c r="CW22" t="n">
        <ns0:f>IF($A22="",1,IF(CV22=1,1,--AND(IF($AC22&gt;0,INDEX(CV$7:CV$106,$AC22),1),IF($AD22&gt;0,INDEX(CV$7:CV$106,$AD22),1),IF($AE22&gt;0,INDEX(CV$7:CV$106,$AE22),1),IF($AF22&gt;0,INDEX(CV$7:CV$106,$AF22),1),IF($AG22&gt;0,INDEX(CV$7:CV$106,$AG22),1),IF($AH22&gt;0,INDEX(CV$7:CV$106,$AH22),1),IF($AI22&gt;0,INDEX(CV$7:CV$106,$AI22),1),IF($AJ22&gt;0,INDEX(CV$7:CV$106,$AJ22),1))))</ns0:f>
        <ns0:v>1</ns0:v>
      </ns0:c>
      <ns0:c r="CX22" t="n">
        <ns0:f>IF($A22="",1,IF(CW22=1,1,--AND(IF($AC22&gt;0,INDEX(CW$7:CW$106,$AC22),1),IF($AD22&gt;0,INDEX(CW$7:CW$106,$AD22),1),IF($AE22&gt;0,INDEX(CW$7:CW$106,$AE22),1),IF($AF22&gt;0,INDEX(CW$7:CW$106,$AF22),1),IF($AG22&gt;0,INDEX(CW$7:CW$106,$AG22),1),IF($AH22&gt;0,INDEX(CW$7:CW$106,$AH22),1),IF($AI22&gt;0,INDEX(CW$7:CW$106,$AI22),1),IF($AJ22&gt;0,INDEX(CW$7:CW$106,$AJ22),1))))</ns0:f>
        <ns0:v>1</ns0:v>
      </ns0:c>
      <ns0:c r="CY22" t="n">
        <ns0:f>IF($A22="",1,IF(CX22=1,1,--AND(IF($AC22&gt;0,INDEX(CX$7:CX$106,$AC22),1),IF($AD22&gt;0,INDEX(CX$7:CX$106,$AD22),1),IF($AE22&gt;0,INDEX(CX$7:CX$106,$AE22),1),IF($AF22&gt;0,INDEX(CX$7:CX$106,$AF22),1),IF($AG22&gt;0,INDEX(CX$7:CX$106,$AG22),1),IF($AH22&gt;0,INDEX(CX$7:CX$106,$AH22),1),IF($AI22&gt;0,INDEX(CX$7:CX$106,$AI22),1),IF($AJ22&gt;0,INDEX(CX$7:CX$106,$AJ22),1))))</ns0:f>
        <ns0:v>1</ns0:v>
      </ns0:c>
      <ns0:c r="CZ22" t="n">
        <ns0:f>IF($A22="",1,IF(CY22=1,1,--AND(IF($AC22&gt;0,INDEX(CY$7:CY$106,$AC22),1),IF($AD22&gt;0,INDEX(CY$7:CY$106,$AD22),1),IF($AE22&gt;0,INDEX(CY$7:CY$106,$AE22),1),IF($AF22&gt;0,INDEX(CY$7:CY$106,$AF22),1),IF($AG22&gt;0,INDEX(CY$7:CY$106,$AG22),1),IF($AH22&gt;0,INDEX(CY$7:CY$106,$AH22),1),IF($AI22&gt;0,INDEX(CY$7:CY$106,$AI22),1),IF($AJ22&gt;0,INDEX(CY$7:CY$106,$AJ22),1))))</ns0:f>
        <ns0:v>1</ns0:v>
      </ns0:c>
      <ns0:c r="DA22" t="n">
        <ns0:f>IF($A22="",1,IF(CZ22=1,1,--AND(IF($AC22&gt;0,INDEX(CZ$7:CZ$106,$AC22),1),IF($AD22&gt;0,INDEX(CZ$7:CZ$106,$AD22),1),IF($AE22&gt;0,INDEX(CZ$7:CZ$106,$AE22),1),IF($AF22&gt;0,INDEX(CZ$7:CZ$106,$AF22),1),IF($AG22&gt;0,INDEX(CZ$7:CZ$106,$AG22),1),IF($AH22&gt;0,INDEX(CZ$7:CZ$106,$AH22),1),IF($AI22&gt;0,INDEX(CZ$7:CZ$106,$AI22),1),IF($AJ22&gt;0,INDEX(CZ$7:CZ$106,$AJ22),1))))</ns0:f>
        <ns0:v>1</ns0:v>
      </ns0:c>
      <ns0:c r="DB22" t="n">
        <ns0:f>IF($A22="",1,IF(DA22=1,1,--AND(IF($AC22&gt;0,INDEX(DA$7:DA$106,$AC22),1),IF($AD22&gt;0,INDEX(DA$7:DA$106,$AD22),1),IF($AE22&gt;0,INDEX(DA$7:DA$106,$AE22),1),IF($AF22&gt;0,INDEX(DA$7:DA$106,$AF22),1),IF($AG22&gt;0,INDEX(DA$7:DA$106,$AG22),1),IF($AH22&gt;0,INDEX(DA$7:DA$106,$AH22),1),IF($AI22&gt;0,INDEX(DA$7:DA$106,$AI22),1),IF($AJ22&gt;0,INDEX(DA$7:DA$106,$AJ22),1))))</ns0:f>
        <ns0:v>1</ns0:v>
      </ns0:c>
      <ns0:c r="DC22" t="n">
        <ns0:f>IF($A22="",1,IF(DB22=1,1,--AND(IF($AC22&gt;0,INDEX(DB$7:DB$106,$AC22),1),IF($AD22&gt;0,INDEX(DB$7:DB$106,$AD22),1),IF($AE22&gt;0,INDEX(DB$7:DB$106,$AE22),1),IF($AF22&gt;0,INDEX(DB$7:DB$106,$AF22),1),IF($AG22&gt;0,INDEX(DB$7:DB$106,$AG22),1),IF($AH22&gt;0,INDEX(DB$7:DB$106,$AH22),1),IF($AI22&gt;0,INDEX(DB$7:DB$106,$AI22),1),IF($AJ22&gt;0,INDEX(DB$7:DB$106,$AJ22),1))))</ns0:f>
        <ns0:v>1</ns0:v>
      </ns0:c>
      <ns0:c r="DD22" t="n">
        <ns0:f>IF($A22="",1,IF(DC22=1,1,--AND(IF($AC22&gt;0,INDEX(DC$7:DC$106,$AC22),1),IF($AD22&gt;0,INDEX(DC$7:DC$106,$AD22),1),IF($AE22&gt;0,INDEX(DC$7:DC$106,$AE22),1),IF($AF22&gt;0,INDEX(DC$7:DC$106,$AF22),1),IF($AG22&gt;0,INDEX(DC$7:DC$106,$AG22),1),IF($AH22&gt;0,INDEX(DC$7:DC$106,$AH22),1),IF($AI22&gt;0,INDEX(DC$7:DC$106,$AI22),1),IF($AJ22&gt;0,INDEX(DC$7:DC$106,$AJ22),1))))</ns0:f>
        <ns0:v>1</ns0:v>
      </ns0:c>
      <ns0:c r="DE22" t="n">
        <ns0:f>IF($A22="",1,IF(DD22=1,1,--AND(IF($AC22&gt;0,INDEX(DD$7:DD$106,$AC22),1),IF($AD22&gt;0,INDEX(DD$7:DD$106,$AD22),1),IF($AE22&gt;0,INDEX(DD$7:DD$106,$AE22),1),IF($AF22&gt;0,INDEX(DD$7:DD$106,$AF22),1),IF($AG22&gt;0,INDEX(DD$7:DD$106,$AG22),1),IF($AH22&gt;0,INDEX(DD$7:DD$106,$AH22),1),IF($AI22&gt;0,INDEX(DD$7:DD$106,$AI22),1),IF($AJ22&gt;0,INDEX(DD$7:DD$106,$AJ22),1))))</ns0:f>
        <ns0:v>1</ns0:v>
      </ns0:c>
      <ns0:c r="DF22" t="n">
        <ns0:f>IF($A22="",1,IF(DE22=1,1,--AND(IF($AC22&gt;0,INDEX(DE$7:DE$106,$AC22),1),IF($AD22&gt;0,INDEX(DE$7:DE$106,$AD22),1),IF($AE22&gt;0,INDEX(DE$7:DE$106,$AE22),1),IF($AF22&gt;0,INDEX(DE$7:DE$106,$AF22),1),IF($AG22&gt;0,INDEX(DE$7:DE$106,$AG22),1),IF($AH22&gt;0,INDEX(DE$7:DE$106,$AH22),1),IF($AI22&gt;0,INDEX(DE$7:DE$106,$AI22),1),IF($AJ22&gt;0,INDEX(DE$7:DE$106,$AJ22),1))))</ns0:f>
        <ns0:v>1</ns0:v>
      </ns0:c>
      <ns0:c r="DG22" t="n">
        <ns0:f>IF($A22="",1,IF(DF22=1,1,--AND(IF($AC22&gt;0,INDEX(DF$7:DF$106,$AC22),1),IF($AD22&gt;0,INDEX(DF$7:DF$106,$AD22),1),IF($AE22&gt;0,INDEX(DF$7:DF$106,$AE22),1),IF($AF22&gt;0,INDEX(DF$7:DF$106,$AF22),1),IF($AG22&gt;0,INDEX(DF$7:DF$106,$AG22),1),IF($AH22&gt;0,INDEX(DF$7:DF$106,$AH22),1),IF($AI22&gt;0,INDEX(DF$7:DF$106,$AI22),1),IF($AJ22&gt;0,INDEX(DF$7:DF$106,$AJ22),1))))</ns0:f>
        <ns0:v>1</ns0:v>
      </ns0:c>
      <ns0:c r="DH22" t="n">
        <ns0:f>IF($A22="",1,IF(DG22=1,1,--AND(IF($AC22&gt;0,INDEX(DG$7:DG$106,$AC22),1),IF($AD22&gt;0,INDEX(DG$7:DG$106,$AD22),1),IF($AE22&gt;0,INDEX(DG$7:DG$106,$AE22),1),IF($AF22&gt;0,INDEX(DG$7:DG$106,$AF22),1),IF($AG22&gt;0,INDEX(DG$7:DG$106,$AG22),1),IF($AH22&gt;0,INDEX(DG$7:DG$106,$AH22),1),IF($AI22&gt;0,INDEX(DG$7:DG$106,$AI22),1),IF($AJ22&gt;0,INDEX(DG$7:DG$106,$AJ22),1))))</ns0:f>
        <ns0:v>1</ns0:v>
      </ns0:c>
      <ns0:c r="DI22" t="n">
        <ns0:f>IF($A22="",1,IF(DH22=1,1,--AND(IF($AC22&gt;0,INDEX(DH$7:DH$106,$AC22),1),IF($AD22&gt;0,INDEX(DH$7:DH$106,$AD22),1),IF($AE22&gt;0,INDEX(DH$7:DH$106,$AE22),1),IF($AF22&gt;0,INDEX(DH$7:DH$106,$AF22),1),IF($AG22&gt;0,INDEX(DH$7:DH$106,$AG22),1),IF($AH22&gt;0,INDEX(DH$7:DH$106,$AH22),1),IF($AI22&gt;0,INDEX(DH$7:DH$106,$AI22),1),IF($AJ22&gt;0,INDEX(DH$7:DH$106,$AJ22),1))))</ns0:f>
        <ns0:v>1</ns0:v>
      </ns0:c>
      <ns0:c r="DJ22" t="n">
        <ns0:f>IF($A22="",1,IF(DI22=1,1,--AND(IF($AC22&gt;0,INDEX(DI$7:DI$106,$AC22),1),IF($AD22&gt;0,INDEX(DI$7:DI$106,$AD22),1),IF($AE22&gt;0,INDEX(DI$7:DI$106,$AE22),1),IF($AF22&gt;0,INDEX(DI$7:DI$106,$AF22),1),IF($AG22&gt;0,INDEX(DI$7:DI$106,$AG22),1),IF($AH22&gt;0,INDEX(DI$7:DI$106,$AH22),1),IF($AI22&gt;0,INDEX(DI$7:DI$106,$AI22),1),IF($AJ22&gt;0,INDEX(DI$7:DI$106,$AJ22),1))))</ns0:f>
        <ns0:v>1</ns0:v>
      </ns0:c>
      <ns0:c r="DK22" t="n">
        <ns0:f>IF($A22="",1,IF(DJ22=1,1,--AND(IF($AC22&gt;0,INDEX(DJ$7:DJ$106,$AC22),1),IF($AD22&gt;0,INDEX(DJ$7:DJ$106,$AD22),1),IF($AE22&gt;0,INDEX(DJ$7:DJ$106,$AE22),1),IF($AF22&gt;0,INDEX(DJ$7:DJ$106,$AF22),1),IF($AG22&gt;0,INDEX(DJ$7:DJ$106,$AG22),1),IF($AH22&gt;0,INDEX(DJ$7:DJ$106,$AH22),1),IF($AI22&gt;0,INDEX(DJ$7:DJ$106,$AI22),1),IF($AJ22&gt;0,INDEX(DJ$7:DJ$106,$AJ22),1))))</ns0:f>
        <ns0:v>1</ns0:v>
      </ns0:c>
      <ns0:c r="DL22" t="n">
        <ns0:f>IF($A22="",1,IF(DK22=1,1,--AND(IF($AC22&gt;0,INDEX(DK$7:DK$106,$AC22),1),IF($AD22&gt;0,INDEX(DK$7:DK$106,$AD22),1),IF($AE22&gt;0,INDEX(DK$7:DK$106,$AE22),1),IF($AF22&gt;0,INDEX(DK$7:DK$106,$AF22),1),IF($AG22&gt;0,INDEX(DK$7:DK$106,$AG22),1),IF($AH22&gt;0,INDEX(DK$7:DK$106,$AH22),1),IF($AI22&gt;0,INDEX(DK$7:DK$106,$AI22),1),IF($AJ22&gt;0,INDEX(DK$7:DK$106,$AJ22),1))))</ns0:f>
        <ns0:v>1</ns0:v>
      </ns0:c>
      <ns0:c r="DM22" t="n">
        <ns0:f>IF($A22="",1,IF(DL22=1,1,--AND(IF($AC22&gt;0,INDEX(DL$7:DL$106,$AC22),1),IF($AD22&gt;0,INDEX(DL$7:DL$106,$AD22),1),IF($AE22&gt;0,INDEX(DL$7:DL$106,$AE22),1),IF($AF22&gt;0,INDEX(DL$7:DL$106,$AF22),1),IF($AG22&gt;0,INDEX(DL$7:DL$106,$AG22),1),IF($AH22&gt;0,INDEX(DL$7:DL$106,$AH22),1),IF($AI22&gt;0,INDEX(DL$7:DL$106,$AI22),1),IF($AJ22&gt;0,INDEX(DL$7:DL$106,$AJ22),1))))</ns0:f>
        <ns0:v>1</ns0:v>
      </ns0:c>
      <ns0:c r="DN22" t="n">
        <ns0:f>IF($A22="",1,IF(DM22=1,1,--AND(IF($AC22&gt;0,INDEX(DM$7:DM$106,$AC22),1),IF($AD22&gt;0,INDEX(DM$7:DM$106,$AD22),1),IF($AE22&gt;0,INDEX(DM$7:DM$106,$AE22),1),IF($AF22&gt;0,INDEX(DM$7:DM$106,$AF22),1),IF($AG22&gt;0,INDEX(DM$7:DM$106,$AG22),1),IF($AH22&gt;0,INDEX(DM$7:DM$106,$AH22),1),IF($AI22&gt;0,INDEX(DM$7:DM$106,$AI22),1),IF($AJ22&gt;0,INDEX(DM$7:DM$106,$AJ22),1))))</ns0:f>
        <ns0:v>1</ns0:v>
      </ns0:c>
      <ns0:c r="DO22" t="n">
        <ns0:f>IF($A22="",1,IF(DN22=1,1,--AND(IF($AC22&gt;0,INDEX(DN$7:DN$106,$AC22),1),IF($AD22&gt;0,INDEX(DN$7:DN$106,$AD22),1),IF($AE22&gt;0,INDEX(DN$7:DN$106,$AE22),1),IF($AF22&gt;0,INDEX(DN$7:DN$106,$AF22),1),IF($AG22&gt;0,INDEX(DN$7:DN$106,$AG22),1),IF($AH22&gt;0,INDEX(DN$7:DN$106,$AH22),1),IF($AI22&gt;0,INDEX(DN$7:DN$106,$AI22),1),IF($AJ22&gt;0,INDEX(DN$7:DN$106,$AJ22),1))))</ns0:f>
        <ns0:v>1</ns0:v>
      </ns0:c>
      <ns0:c r="DP22" t="n">
        <ns0:f>IF($A22="",1,IF(DO22=1,1,--AND(IF($AC22&gt;0,INDEX(DO$7:DO$106,$AC22),1),IF($AD22&gt;0,INDEX(DO$7:DO$106,$AD22),1),IF($AE22&gt;0,INDEX(DO$7:DO$106,$AE22),1),IF($AF22&gt;0,INDEX(DO$7:DO$106,$AF22),1),IF($AG22&gt;0,INDEX(DO$7:DO$106,$AG22),1),IF($AH22&gt;0,INDEX(DO$7:DO$106,$AH22),1),IF($AI22&gt;0,INDEX(DO$7:DO$106,$AI22),1),IF($AJ22&gt;0,INDEX(DO$7:DO$106,$AJ22),1))))</ns0:f>
        <ns0:v>1</ns0:v>
      </ns0:c>
      <ns0:c r="DQ22" t="n">
        <ns0:f>IF($A22="",1,IF(DP22=1,1,--AND(IF($AC22&gt;0,INDEX(DP$7:DP$106,$AC22),1),IF($AD22&gt;0,INDEX(DP$7:DP$106,$AD22),1),IF($AE22&gt;0,INDEX(DP$7:DP$106,$AE22),1),IF($AF22&gt;0,INDEX(DP$7:DP$106,$AF22),1),IF($AG22&gt;0,INDEX(DP$7:DP$106,$AG22),1),IF($AH22&gt;0,INDEX(DP$7:DP$106,$AH22),1),IF($AI22&gt;0,INDEX(DP$7:DP$106,$AI22),1),IF($AJ22&gt;0,INDEX(DP$7:DP$106,$AJ22),1))))</ns0:f>
        <ns0:v>1</ns0:v>
      </ns0:c>
      <ns0:c r="DR22" t="n">
        <ns0:f>IF($A22="",1,IF(DQ22=1,1,--AND(IF($AC22&gt;0,INDEX(DQ$7:DQ$106,$AC22),1),IF($AD22&gt;0,INDEX(DQ$7:DQ$106,$AD22),1),IF($AE22&gt;0,INDEX(DQ$7:DQ$106,$AE22),1),IF($AF22&gt;0,INDEX(DQ$7:DQ$106,$AF22),1),IF($AG22&gt;0,INDEX(DQ$7:DQ$106,$AG22),1),IF($AH22&gt;0,INDEX(DQ$7:DQ$106,$AH22),1),IF($AI22&gt;0,INDEX(DQ$7:DQ$106,$AI22),1),IF($AJ22&gt;0,INDEX(DQ$7:DQ$106,$AJ22),1))))</ns0:f>
        <ns0:v>1</ns0:v>
      </ns0:c>
      <ns0:c r="DS22" t="n">
        <ns0:f>IF($A22="",1,IF(DR22=1,1,--AND(IF($AC22&gt;0,INDEX(DR$7:DR$106,$AC22),1),IF($AD22&gt;0,INDEX(DR$7:DR$106,$AD22),1),IF($AE22&gt;0,INDEX(DR$7:DR$106,$AE22),1),IF($AF22&gt;0,INDEX(DR$7:DR$106,$AF22),1),IF($AG22&gt;0,INDEX(DR$7:DR$106,$AG22),1),IF($AH22&gt;0,INDEX(DR$7:DR$106,$AH22),1),IF($AI22&gt;0,INDEX(DR$7:DR$106,$AI22),1),IF($AJ22&gt;0,INDEX(DR$7:DR$106,$AJ22),1))))</ns0:f>
        <ns0:v>1</ns0:v>
      </ns0:c>
      <ns0:c r="DT22" t="n">
        <ns0:f>IF($A22="",1,IF(DS22=1,1,--AND(IF($AC22&gt;0,INDEX(DS$7:DS$106,$AC22),1),IF($AD22&gt;0,INDEX(DS$7:DS$106,$AD22),1),IF($AE22&gt;0,INDEX(DS$7:DS$106,$AE22),1),IF($AF22&gt;0,INDEX(DS$7:DS$106,$AF22),1),IF($AG22&gt;0,INDEX(DS$7:DS$106,$AG22),1),IF($AH22&gt;0,INDEX(DS$7:DS$106,$AH22),1),IF($AI22&gt;0,INDEX(DS$7:DS$106,$AI22),1),IF($AJ22&gt;0,INDEX(DS$7:DS$106,$AJ22),1))))</ns0:f>
        <ns0:v>1</ns0:v>
      </ns0:c>
      <ns0:c r="DU22" t="n">
        <ns0:f>IF($A22="",1,IF(DT22=1,1,--AND(IF($AC22&gt;0,INDEX(DT$7:DT$106,$AC22),1),IF($AD22&gt;0,INDEX(DT$7:DT$106,$AD22),1),IF($AE22&gt;0,INDEX(DT$7:DT$106,$AE22),1),IF($AF22&gt;0,INDEX(DT$7:DT$106,$AF22),1),IF($AG22&gt;0,INDEX(DT$7:DT$106,$AG22),1),IF($AH22&gt;0,INDEX(DT$7:DT$106,$AH22),1),IF($AI22&gt;0,INDEX(DT$7:DT$106,$AI22),1),IF($AJ22&gt;0,INDEX(DT$7:DT$106,$AJ22),1))))</ns0:f>
        <ns0:v>1</ns0:v>
      </ns0:c>
      <ns0:c r="DV22" t="n">
        <ns0:f>IF($A22="",1,IF(DU22=1,1,--AND(IF($AC22&gt;0,INDEX(DU$7:DU$106,$AC22),1),IF($AD22&gt;0,INDEX(DU$7:DU$106,$AD22),1),IF($AE22&gt;0,INDEX(DU$7:DU$106,$AE22),1),IF($AF22&gt;0,INDEX(DU$7:DU$106,$AF22),1),IF($AG22&gt;0,INDEX(DU$7:DU$106,$AG22),1),IF($AH22&gt;0,INDEX(DU$7:DU$106,$AH22),1),IF($AI22&gt;0,INDEX(DU$7:DU$106,$AI22),1),IF($AJ22&gt;0,INDEX(DU$7:DU$106,$AJ22),1))))</ns0:f>
        <ns0:v>1</ns0:v>
      </ns0:c>
      <ns0:c r="DW22" t="n">
        <ns0:f>IF($A22="",1,IF(DV22=1,1,--AND(IF($AC22&gt;0,INDEX(DV$7:DV$106,$AC22),1),IF($AD22&gt;0,INDEX(DV$7:DV$106,$AD22),1),IF($AE22&gt;0,INDEX(DV$7:DV$106,$AE22),1),IF($AF22&gt;0,INDEX(DV$7:DV$106,$AF22),1),IF($AG22&gt;0,INDEX(DV$7:DV$106,$AG22),1),IF($AH22&gt;0,INDEX(DV$7:DV$106,$AH22),1),IF($AI22&gt;0,INDEX(DV$7:DV$106,$AI22),1),IF($AJ22&gt;0,INDEX(DV$7:DV$106,$AJ22),1))))</ns0:f>
        <ns0:v>1</ns0:v>
      </ns0:c>
      <ns0:c r="DX22" t="n">
        <ns0:f>IF($A22="",1,IF(DW22=1,1,--AND(IF($AC22&gt;0,INDEX(DW$7:DW$106,$AC22),1),IF($AD22&gt;0,INDEX(DW$7:DW$106,$AD22),1),IF($AE22&gt;0,INDEX(DW$7:DW$106,$AE22),1),IF($AF22&gt;0,INDEX(DW$7:DW$106,$AF22),1),IF($AG22&gt;0,INDEX(DW$7:DW$106,$AG22),1),IF($AH22&gt;0,INDEX(DW$7:DW$106,$AH22),1),IF($AI22&gt;0,INDEX(DW$7:DW$106,$AI22),1),IF($AJ22&gt;0,INDEX(DW$7:DW$106,$AJ22),1))))</ns0:f>
        <ns0:v>1</ns0:v>
      </ns0:c>
      <ns0:c r="DY22" t="n">
        <ns0:f>IF($A22="",1,IF(DX22=1,1,--AND(IF($AC22&gt;0,INDEX(DX$7:DX$106,$AC22),1),IF($AD22&gt;0,INDEX(DX$7:DX$106,$AD22),1),IF($AE22&gt;0,INDEX(DX$7:DX$106,$AE22),1),IF($AF22&gt;0,INDEX(DX$7:DX$106,$AF22),1),IF($AG22&gt;0,INDEX(DX$7:DX$106,$AG22),1),IF($AH22&gt;0,INDEX(DX$7:DX$106,$AH22),1),IF($AI22&gt;0,INDEX(DX$7:DX$106,$AI22),1),IF($AJ22&gt;0,INDEX(DX$7:DX$106,$AJ22),1))))</ns0:f>
        <ns0:v>1</ns0:v>
      </ns0:c>
      <ns0:c r="DZ22" t="n">
        <ns0:f>IF($A22="",1,IF(DY22=1,1,--AND(IF($AC22&gt;0,INDEX(DY$7:DY$106,$AC22),1),IF($AD22&gt;0,INDEX(DY$7:DY$106,$AD22),1),IF($AE22&gt;0,INDEX(DY$7:DY$106,$AE22),1),IF($AF22&gt;0,INDEX(DY$7:DY$106,$AF22),1),IF($AG22&gt;0,INDEX(DY$7:DY$106,$AG22),1),IF($AH22&gt;0,INDEX(DY$7:DY$106,$AH22),1),IF($AI22&gt;0,INDEX(DY$7:DY$106,$AI22),1),IF($AJ22&gt;0,INDEX(DY$7:DY$106,$AJ22),1))))</ns0:f>
        <ns0:v>1</ns0:v>
      </ns0:c>
      <ns0:c r="EA22" t="n">
        <ns0:f>IF($A22="",1,IF(DZ22=1,1,--AND(IF($AC22&gt;0,INDEX(DZ$7:DZ$106,$AC22),1),IF($AD22&gt;0,INDEX(DZ$7:DZ$106,$AD22),1),IF($AE22&gt;0,INDEX(DZ$7:DZ$106,$AE22),1),IF($AF22&gt;0,INDEX(DZ$7:DZ$106,$AF22),1),IF($AG22&gt;0,INDEX(DZ$7:DZ$106,$AG22),1),IF($AH22&gt;0,INDEX(DZ$7:DZ$106,$AH22),1),IF($AI22&gt;0,INDEX(DZ$7:DZ$106,$AI22),1),IF($AJ22&gt;0,INDEX(DZ$7:DZ$106,$AJ22),1))))</ns0:f>
        <ns0:v>1</ns0:v>
      </ns0:c>
      <ns0:c r="EB22" t="n">
        <ns0:f>IF($A22="",1,IF(EA22=1,1,--AND(IF($AC22&gt;0,INDEX(EA$7:EA$106,$AC22),1),IF($AD22&gt;0,INDEX(EA$7:EA$106,$AD22),1),IF($AE22&gt;0,INDEX(EA$7:EA$106,$AE22),1),IF($AF22&gt;0,INDEX(EA$7:EA$106,$AF22),1),IF($AG22&gt;0,INDEX(EA$7:EA$106,$AG22),1),IF($AH22&gt;0,INDEX(EA$7:EA$106,$AH22),1),IF($AI22&gt;0,INDEX(EA$7:EA$106,$AI22),1),IF($AJ22&gt;0,INDEX(EA$7:EA$106,$AJ22),1))))</ns0:f>
        <ns0:v>1</ns0:v>
      </ns0:c>
      <ns0:c r="EC22" t="n">
        <ns0:f>IF($A22="",1,IF(EB22=1,1,--AND(IF($AC22&gt;0,INDEX(EB$7:EB$106,$AC22),1),IF($AD22&gt;0,INDEX(EB$7:EB$106,$AD22),1),IF($AE22&gt;0,INDEX(EB$7:EB$106,$AE22),1),IF($AF22&gt;0,INDEX(EB$7:EB$106,$AF22),1),IF($AG22&gt;0,INDEX(EB$7:EB$106,$AG22),1),IF($AH22&gt;0,INDEX(EB$7:EB$106,$AH22),1),IF($AI22&gt;0,INDEX(EB$7:EB$106,$AI22),1),IF($AJ22&gt;0,INDEX(EB$7:EB$106,$AJ22),1))))</ns0:f>
        <ns0:v>1</ns0:v>
      </ns0:c>
      <ns0:c r="ED22" t="n">
        <ns0:f>IF($A22="",1,IF(EC22=1,1,--AND(IF($AC22&gt;0,INDEX(EC$7:EC$106,$AC22),1),IF($AD22&gt;0,INDEX(EC$7:EC$106,$AD22),1),IF($AE22&gt;0,INDEX(EC$7:EC$106,$AE22),1),IF($AF22&gt;0,INDEX(EC$7:EC$106,$AF22),1),IF($AG22&gt;0,INDEX(EC$7:EC$106,$AG22),1),IF($AH22&gt;0,INDEX(EC$7:EC$106,$AH22),1),IF($AI22&gt;0,INDEX(EC$7:EC$106,$AI22),1),IF($AJ22&gt;0,INDEX(EC$7:EC$106,$AJ22),1))))</ns0:f>
        <ns0:v>1</ns0:v>
      </ns0:c>
      <ns0:c r="EE22" t="n">
        <ns0:f>IF($A22="",1,IF(ED22=1,1,--AND(IF($AC22&gt;0,INDEX(ED$7:ED$106,$AC22),1),IF($AD22&gt;0,INDEX(ED$7:ED$106,$AD22),1),IF($AE22&gt;0,INDEX(ED$7:ED$106,$AE22),1),IF($AF22&gt;0,INDEX(ED$7:ED$106,$AF22),1),IF($AG22&gt;0,INDEX(ED$7:ED$106,$AG22),1),IF($AH22&gt;0,INDEX(ED$7:ED$106,$AH22),1),IF($AI22&gt;0,INDEX(ED$7:ED$106,$AI22),1),IF($AJ22&gt;0,INDEX(ED$7:ED$106,$AJ22),1))))</ns0:f>
        <ns0:v>1</ns0:v>
      </ns0:c>
      <ns0:c r="EF22" t="n">
        <ns0:f>IF($A22="",1,IF(EE22=1,1,--AND(IF($AC22&gt;0,INDEX(EE$7:EE$106,$AC22),1),IF($AD22&gt;0,INDEX(EE$7:EE$106,$AD22),1),IF($AE22&gt;0,INDEX(EE$7:EE$106,$AE22),1),IF($AF22&gt;0,INDEX(EE$7:EE$106,$AF22),1),IF($AG22&gt;0,INDEX(EE$7:EE$106,$AG22),1),IF($AH22&gt;0,INDEX(EE$7:EE$106,$AH22),1),IF($AI22&gt;0,INDEX(EE$7:EE$106,$AI22),1),IF($AJ22&gt;0,INDEX(EE$7:EE$106,$AJ22),1))))</ns0:f>
        <ns0:v>1</ns0:v>
      </ns0:c>
      <ns0:c r="EG22" t="n">
        <ns0:f>IF($A22="",1,IF(EF22=1,1,--AND(IF($AC22&gt;0,INDEX(EF$7:EF$106,$AC22),1),IF($AD22&gt;0,INDEX(EF$7:EF$106,$AD22),1),IF($AE22&gt;0,INDEX(EF$7:EF$106,$AE22),1),IF($AF22&gt;0,INDEX(EF$7:EF$106,$AF22),1),IF($AG22&gt;0,INDEX(EF$7:EF$106,$AG22),1),IF($AH22&gt;0,INDEX(EF$7:EF$106,$AH22),1),IF($AI22&gt;0,INDEX(EF$7:EF$106,$AI22),1),IF($AJ22&gt;0,INDEX(EF$7:EF$106,$AJ22),1))))</ns0:f>
        <ns0:v>1</ns0:v>
      </ns0:c>
      <ns0:c r="EH22" t="n">
        <ns0:f>IF($A22="",1,IF(EG22=1,1,--AND(IF($AC22&gt;0,INDEX(EG$7:EG$106,$AC22),1),IF($AD22&gt;0,INDEX(EG$7:EG$106,$AD22),1),IF($AE22&gt;0,INDEX(EG$7:EG$106,$AE22),1),IF($AF22&gt;0,INDEX(EG$7:EG$106,$AF22),1),IF($AG22&gt;0,INDEX(EG$7:EG$106,$AG22),1),IF($AH22&gt;0,INDEX(EG$7:EG$106,$AH22),1),IF($AI22&gt;0,INDEX(EG$7:EG$106,$AI22),1),IF($AJ22&gt;0,INDEX(EG$7:EG$106,$AJ22),1))))</ns0:f>
        <ns0:v>1</ns0:v>
      </ns0:c>
      <ns0:c r="EI22" t="n">
        <ns0:f>IF($A22="",1,IF(EH22=1,1,--AND(IF($AC22&gt;0,INDEX(EH$7:EH$106,$AC22),1),IF($AD22&gt;0,INDEX(EH$7:EH$106,$AD22),1),IF($AE22&gt;0,INDEX(EH$7:EH$106,$AE22),1),IF($AF22&gt;0,INDEX(EH$7:EH$106,$AF22),1),IF($AG22&gt;0,INDEX(EH$7:EH$106,$AG22),1),IF($AH22&gt;0,INDEX(EH$7:EH$106,$AH22),1),IF($AI22&gt;0,INDEX(EH$7:EH$106,$AI22),1),IF($AJ22&gt;0,INDEX(EH$7:EH$106,$AJ22),1))))</ns0:f>
        <ns0:v>1</ns0:v>
      </ns0:c>
      <ns0:c r="EJ22" t="n">
        <ns0:f>IF($A22="",1,IF(EI22=1,1,--AND(IF($AC22&gt;0,INDEX(EI$7:EI$106,$AC22),1),IF($AD22&gt;0,INDEX(EI$7:EI$106,$AD22),1),IF($AE22&gt;0,INDEX(EI$7:EI$106,$AE22),1),IF($AF22&gt;0,INDEX(EI$7:EI$106,$AF22),1),IF($AG22&gt;0,INDEX(EI$7:EI$106,$AG22),1),IF($AH22&gt;0,INDEX(EI$7:EI$106,$AH22),1),IF($AI22&gt;0,INDEX(EI$7:EI$106,$AI22),1),IF($AJ22&gt;0,INDEX(EI$7:EI$106,$AJ22),1))))</ns0:f>
        <ns0:v>1</ns0:v>
      </ns0:c>
      <ns0:c r="EK22" t="n">
        <ns0:f>IF($A22="",1,IF(EJ22=1,1,--AND(IF($AC22&gt;0,INDEX(EJ$7:EJ$106,$AC22),1),IF($AD22&gt;0,INDEX(EJ$7:EJ$106,$AD22),1),IF($AE22&gt;0,INDEX(EJ$7:EJ$106,$AE22),1),IF($AF22&gt;0,INDEX(EJ$7:EJ$106,$AF22),1),IF($AG22&gt;0,INDEX(EJ$7:EJ$106,$AG22),1),IF($AH22&gt;0,INDEX(EJ$7:EJ$106,$AH22),1),IF($AI22&gt;0,INDEX(EJ$7:EJ$106,$AI22),1),IF($AJ22&gt;0,INDEX(EJ$7:EJ$106,$AJ22),1))))</ns0:f>
        <ns0:v>1</ns0:v>
      </ns0:c>
      <ns0:c r="EL22" t="n">
        <ns0:f>IF($A22="",1,IF(EK22=1,1,--AND(IF($AC22&gt;0,INDEX(EK$7:EK$106,$AC22),1),IF($AD22&gt;0,INDEX(EK$7:EK$106,$AD22),1),IF($AE22&gt;0,INDEX(EK$7:EK$106,$AE22),1),IF($AF22&gt;0,INDEX(EK$7:EK$106,$AF22),1),IF($AG22&gt;0,INDEX(EK$7:EK$106,$AG22),1),IF($AH22&gt;0,INDEX(EK$7:EK$106,$AH22),1),IF($AI22&gt;0,INDEX(EK$7:EK$106,$AI22),1),IF($AJ22&gt;0,INDEX(EK$7:EK$106,$AJ22),1))))</ns0:f>
        <ns0:v>1</ns0:v>
      </ns0:c>
      <ns0:c r="EM22" t="n">
        <ns0:f>IF($A22="",1,IF(EL22=1,1,--AND(IF($AC22&gt;0,INDEX(EL$7:EL$106,$AC22),1),IF($AD22&gt;0,INDEX(EL$7:EL$106,$AD22),1),IF($AE22&gt;0,INDEX(EL$7:EL$106,$AE22),1),IF($AF22&gt;0,INDEX(EL$7:EL$106,$AF22),1),IF($AG22&gt;0,INDEX(EL$7:EL$106,$AG22),1),IF($AH22&gt;0,INDEX(EL$7:EL$106,$AH22),1),IF($AI22&gt;0,INDEX(EL$7:EL$106,$AI22),1),IF($AJ22&gt;0,INDEX(EL$7:EL$106,$AJ22),1))))</ns0:f>
        <ns0:v>1</ns0:v>
      </ns0:c>
      <ns0:c r="EN22" t="n">
        <ns0:f>IF($A22="",1,IF(EM22=1,1,--AND(IF($AC22&gt;0,INDEX(EM$7:EM$106,$AC22),1),IF($AD22&gt;0,INDEX(EM$7:EM$106,$AD22),1),IF($AE22&gt;0,INDEX(EM$7:EM$106,$AE22),1),IF($AF22&gt;0,INDEX(EM$7:EM$106,$AF22),1),IF($AG22&gt;0,INDEX(EM$7:EM$106,$AG22),1),IF($AH22&gt;0,INDEX(EM$7:EM$106,$AH22),1),IF($AI22&gt;0,INDEX(EM$7:EM$106,$AI22),1),IF($AJ22&gt;0,INDEX(EM$7:EM$106,$AJ22),1))))</ns0:f>
        <ns0:v>1</ns0:v>
      </ns0:c>
      <ns0:c r="EO22" t="n">
        <ns0:f>IF($A22="",1,IF(EN22=1,1,--AND(IF($AC22&gt;0,INDEX(EN$7:EN$106,$AC22),1),IF($AD22&gt;0,INDEX(EN$7:EN$106,$AD22),1),IF($AE22&gt;0,INDEX(EN$7:EN$106,$AE22),1),IF($AF22&gt;0,INDEX(EN$7:EN$106,$AF22),1),IF($AG22&gt;0,INDEX(EN$7:EN$106,$AG22),1),IF($AH22&gt;0,INDEX(EN$7:EN$106,$AH22),1),IF($AI22&gt;0,INDEX(EN$7:EN$106,$AI22),1),IF($AJ22&gt;0,INDEX(EN$7:EN$106,$AJ22),1))))</ns0:f>
        <ns0:v>1</ns0:v>
      </ns0:c>
      <ns0:c r="EP22" t="n">
        <ns0:f>IF($A22="",1,IF(EO22=1,1,--AND(IF($AC22&gt;0,INDEX(EO$7:EO$106,$AC22),1),IF($AD22&gt;0,INDEX(EO$7:EO$106,$AD22),1),IF($AE22&gt;0,INDEX(EO$7:EO$106,$AE22),1),IF($AF22&gt;0,INDEX(EO$7:EO$106,$AF22),1),IF($AG22&gt;0,INDEX(EO$7:EO$106,$AG22),1),IF($AH22&gt;0,INDEX(EO$7:EO$106,$AH22),1),IF($AI22&gt;0,INDEX(EO$7:EO$106,$AI22),1),IF($AJ22&gt;0,INDEX(EO$7:EO$106,$AJ22),1))))</ns0:f>
        <ns0:v>1</ns0:v>
      </ns0:c>
      <ns0:c r="EQ22" t="n">
        <ns0:f>IF(OR(A22="",NOT(ISNUMBER(G22))),0,G22*N22)</ns0:f>
        <ns0:v>0</ns0:v>
      </ns0:c>
    </ns0:row>
    <ns0:row r="23" ht="62" customHeight="1">
      <ns0:c r="A23" s="48" t="str">
        <ns0:v>M3</ns0:v>
      </ns0:c>
      <ns0:c r="B23" s="48" t="str">
        <ns0:v>Sandbox &amp; tools</ns0:v>
      </ns0:c>
      <ns0:c r="C23" s="48" t="str">
        <ns0:v>Sandbox Isolation &amp; Specialist Sub-Agent Readiness</ns0:v>
      </ns0:c>
      <ns0:c r="D23" s="48" t="str">
        <ns0:v>Explicit project checkpoint. Mark complete only after linked work is accepted.</ns0:v>
      </ns0:c>
      <ns0:c r="E23" s="49" t="n">
        <ns0:v>46288</ns0:v>
      </ns0:c>
      <ns0:c r="F23" s="49" t="n">
        <ns0:v>46288</ns0:v>
      </ns0:c>
      <ns0:c r="G23" s="13" t="n">
        <ns0:f>IF(A23="","",IF(OR(NOT(ISNUMBER(E23)),NOT(ISNUMBER(F23)),F23&lt;E23),"",IF(J23="Yes",0,F23-E23+1)))</ns0:f>
        <ns0:v>0</ns0:v>
      </ns0:c>
      <ns0:c r="H23" s="48" t="str">
        <ns0:v>T11,T12,T13,T14</ns0:v>
      </ns0:c>
      <ns0:c r="I23" s="48" t="str">
        <ns0:v>FF</ns0:v>
      </ns0:c>
      <ns0:c r="J23" s="48" t="str">
        <ns0:v>Yes</ns0:v>
      </ns0:c>
      <ns0:c r="K23" s="48" t="str">
        <ns0:v>Unassigned</ns0:v>
      </ns0:c>
      <ns0:c r="L23" s="48" t="str"/>
      <ns0:c r="M23" s="50" t="str">
        <ns0:f>IF(A23="","",IF(N23=1,"Completed",IF(N23&gt;0,"In Progress","Not Started")))</ns0:f>
        <ns0:v>Not Started</ns0:v>
      </ns0:c>
      <ns0:c r="N23" s="51" t="n">
        <ns0:v>0</ns0:v>
      </ns0:c>
      <ns0:c r="O23" s="13" t="str">
        <ns0:f>IF(A23="","",IF(R23&lt;&gt;"","[CONFLICT] "&amp;R23,IF(S23&lt;&gt;"","[CONFLICT] "&amp;S23,IF(OR(NOT(ISNUMBER(N23)),N23&lt;0,N23&gt;1),"[CONFLICT] Invalid progress",IF(AK23&gt;0,"[DEPENDENCY ISSUE] Missing ID / &gt;8 links",IF(AM23&gt;0,"[DEPENDENCY ISSUE] Cycle or blocked by cycle",IF(AND(H23&lt;&gt;"",ISNA(MATCH(I23,{"FS","SS","FF","SF"},0))),"[DEPENDENCY ISSUE] Invalid type",IF(AL23&gt;0,"[DEPENDENCY ISSUE] Timing conflict",IF(OR(E23&lt;ProjectStart,F23&gt;ProjectEnd),"[OUTSIDE WINDOW]",IF(AND(N23&lt;1,F23&lt;AsOfDate),"Overdue",IF(AND(M23&lt;&gt;Q23,M23&lt;&gt;""),"[CONFLICT] Status / progress","On track")))))))))))</ns0:f>
        <ns0:v>On track</ns0:v>
      </ns0:c>
      <ns0:c r="P23" s="52" t="str">
        <ns0:v>Source: Project Plan Essentials (2).md §3. Source checkpoint date retained (source labels all dates [INFERRED]). [INFERRED] FF link permits completion-day checkpoint. Owner missing.</ns0:v>
      </ns0:c>
      <ns0:c r="Q23" t="str">
        <ns0:f>IF(A23="","",IF(OR(M23="On Hold",M23="Delayed"),M23,IF(N23=1,"Completed",IF(N23&gt;0,"In Progress","Not Started"))))</ns0:f>
        <ns0:v>Not Started</ns0:v>
      </ns0:c>
      <ns0:c r="R23" t="str">
        <ns0:f>IF(A23="","",IF(COUNTIFS(Tasks[Task ID],A23)&lt;&gt;1,"Duplicate ID",""))</ns0:f>
      </ns0:c>
      <ns0:c r="S23" t="str">
        <ns0:f>IF(A23="","",IF(OR(NOT(ISNUMBER(E23)),NOT(ISNUMBER(F23))),"Invalid / missing date",IF(OR(E23&lt;&gt;INT(E23),F23&lt;&gt;INT(F23),E23&lt;1,F23&gt;2958465),"Invalid date",IF(F23&lt;E23,"End before start",IF(AND(J23="Yes",E23&lt;&gt;F23),"Milestone needs one date","")))))</ns0:f>
      </ns0:c>
      <ns0:c r="T23" t="n">
        <ns0:f>IF(H23="",0,LEN(H23)-LEN(SUBSTITUTE(H23,",",""))+1)</ns0:f>
        <ns0:v>4</ns0:v>
      </ns0:c>
      <ns0:c r="U23" t="str">
        <ns0:f>TRIM(MID(SUBSTITUTE($H23,",",REPT(" ",100)),1,100))</ns0:f>
        <ns0:v>T11</ns0:v>
      </ns0:c>
      <ns0:c r="V23" t="str">
        <ns0:f>TRIM(MID(SUBSTITUTE($H23,",",REPT(" ",100)),101,100))</ns0:f>
        <ns0:v>T12</ns0:v>
      </ns0:c>
      <ns0:c r="W23" t="str">
        <ns0:f>TRIM(MID(SUBSTITUTE($H23,",",REPT(" ",100)),201,100))</ns0:f>
        <ns0:v>T13</ns0:v>
      </ns0:c>
      <ns0:c r="X23" t="str">
        <ns0:f>TRIM(MID(SUBSTITUTE($H23,",",REPT(" ",100)),301,100))</ns0:f>
        <ns0:v>T14</ns0:v>
      </ns0:c>
      <ns0:c r="Y23" t="str">
        <ns0:f>TRIM(MID(SUBSTITUTE($H23,",",REPT(" ",100)),401,100))</ns0:f>
      </ns0:c>
      <ns0:c r="Z23" t="str">
        <ns0:f>TRIM(MID(SUBSTITUTE($H23,",",REPT(" ",100)),501,100))</ns0:f>
      </ns0:c>
      <ns0:c r="AA23" t="str">
        <ns0:f>TRIM(MID(SUBSTITUTE($H23,",",REPT(" ",100)),601,100))</ns0:f>
      </ns0:c>
      <ns0:c r="AB23" t="str">
        <ns0:f>TRIM(MID(SUBSTITUTE($H23,",",REPT(" ",100)),701,100))</ns0:f>
      </ns0:c>
      <ns0:c r="AC23" t="n">
        <ns0:f>IF(U23="",0,IF(COUNTIFS(Tasks[Task ID],U23)=1,MATCH(U23,Tasks[Task ID],0),-1))</ns0:f>
        <ns0:v>13</ns0:v>
      </ns0:c>
      <ns0:c r="AD23" t="n">
        <ns0:f>IF(V23="",0,IF(COUNTIFS(Tasks[Task ID],V23)=1,MATCH(V23,Tasks[Task ID],0),-1))</ns0:f>
        <ns0:v>14</ns0:v>
      </ns0:c>
      <ns0:c r="AE23" t="n">
        <ns0:f>IF(W23="",0,IF(COUNTIFS(Tasks[Task ID],W23)=1,MATCH(W23,Tasks[Task ID],0),-1))</ns0:f>
        <ns0:v>15</ns0:v>
      </ns0:c>
      <ns0:c r="AF23" t="n">
        <ns0:f>IF(X23="",0,IF(COUNTIFS(Tasks[Task ID],X23)=1,MATCH(X23,Tasks[Task ID],0),-1))</ns0:f>
        <ns0:v>16</ns0:v>
      </ns0:c>
      <ns0:c r="AG23" t="n">
        <ns0:f>IF(Y23="",0,IF(COUNTIFS(Tasks[Task ID],Y23)=1,MATCH(Y23,Tasks[Task ID],0),-1))</ns0:f>
        <ns0:v>0</ns0:v>
      </ns0:c>
      <ns0:c r="AH23" t="n">
        <ns0:f>IF(Z23="",0,IF(COUNTIFS(Tasks[Task ID],Z23)=1,MATCH(Z23,Tasks[Task ID],0),-1))</ns0:f>
        <ns0:v>0</ns0:v>
      </ns0:c>
      <ns0:c r="AI23" t="n">
        <ns0:f>IF(AA23="",0,IF(COUNTIFS(Tasks[Task ID],AA23)=1,MATCH(AA23,Tasks[Task ID],0),-1))</ns0:f>
        <ns0:v>0</ns0:v>
      </ns0:c>
      <ns0:c r="AJ23" t="n">
        <ns0:f>IF(AB23="",0,IF(COUNTIFS(Tasks[Task ID],AB23)=1,MATCH(AB23,Tasks[Task ID],0),-1))</ns0:f>
        <ns0:v>0</ns0:v>
      </ns0:c>
      <ns0:c r="AK23" t="n">
        <ns0:f>COUNTIFS(AC23:AJ23,-1)+IF(T23&gt;8,1,0)</ns0:f>
        <ns0:v>0</ns0:v>
      </ns0:c>
      <ns0:c r="AL23" t="n">
        <ns0:f>IF(OR(A23="",S23&lt;&gt;""),0,SUM(IF(AC23&gt;0,IF($I23="FS",--($E23&lt;INDEX(Tasks[End Date],AC23)+IF(INDEX(Tasks[Milestone],AC23)="Yes",0,1)),IF($I23="SS",--($E23&lt;INDEX(Tasks[Start Date],AC23)),IF($I23="FF",--($F23&lt;INDEX(Tasks[End Date],AC23)),IF($I23="SF",--($F23&lt;INDEX(Tasks[Start Date],AC23)),0)))),0),IF(AD23&gt;0,IF($I23="FS",--($E23&lt;INDEX(Tasks[End Date],AD23)+IF(INDEX(Tasks[Milestone],AD23)="Yes",0,1)),IF($I23="SS",--($E23&lt;INDEX(Tasks[Start Date],AD23)),IF($I23="FF",--($F23&lt;INDEX(Tasks[End Date],AD23)),IF($I23="SF",--($F23&lt;INDEX(Tasks[Start Date],AD23)),0)))),0),IF(AE23&gt;0,IF($I23="FS",--($E23&lt;INDEX(Tasks[End Date],AE23)+IF(INDEX(Tasks[Milestone],AE23)="Yes",0,1)),IF($I23="SS",--($E23&lt;INDEX(Tasks[Start Date],AE23)),IF($I23="FF",--($F23&lt;INDEX(Tasks[End Date],AE23)),IF($I23="SF",--($F23&lt;INDEX(Tasks[Start Date],AE23)),0)))),0),IF(AF23&gt;0,IF($I23="FS",--($E23&lt;INDEX(Tasks[End Date],AF23)+IF(INDEX(Tasks[Milestone],AF23)="Yes",0,1)),IF($I23="SS",--($E23&lt;INDEX(Tasks[Start Date],AF23)),IF($I23="FF",--($F23&lt;INDEX(Tasks[End Date],AF23)),IF($I23="SF",--($F23&lt;INDEX(Tasks[Start Date],AF23)),0)))),0),IF(AG23&gt;0,IF($I23="FS",--($E23&lt;INDEX(Tasks[End Date],AG23)+IF(INDEX(Tasks[Milestone],AG23)="Yes",0,1)),IF($I23="SS",--($E23&lt;INDEX(Tasks[Start Date],AG23)),IF($I23="FF",--($F23&lt;INDEX(Tasks[End Date],AG23)),IF($I23="SF",--($F23&lt;INDEX(Tasks[Start Date],AG23)),0)))),0),IF(AH23&gt;0,IF($I23="FS",--($E23&lt;INDEX(Tasks[End Date],AH23)+IF(INDEX(Tasks[Milestone],AH23)="Yes",0,1)),IF($I23="SS",--($E23&lt;INDEX(Tasks[Start Date],AH23)),IF($I23="FF",--($F23&lt;INDEX(Tasks[End Date],AH23)),IF($I23="SF",--($F23&lt;INDEX(Tasks[Start Date],AH23)),0)))),0),IF(AI23&gt;0,IF($I23="FS",--($E23&lt;INDEX(Tasks[End Date],AI23)+IF(INDEX(Tasks[Milestone],AI23)="Yes",0,1)),IF($I23="SS",--($E23&lt;INDEX(Tasks[Start Date],AI23)),IF($I23="FF",--($F23&lt;INDEX(Tasks[End Date],AI23)),IF($I23="SF",--($F23&lt;INDEX(Tasks[Start Date],AI23)),0)))),0),IF(AJ23&gt;0,IF($I23="FS",--($E23&lt;INDEX(Tasks[End Date],AJ23)+IF(INDEX(Tasks[Milestone],AJ23)="Yes",0,1)),IF($I23="SS",--($E23&lt;INDEX(Tasks[Start Date],AJ23)),IF($I23="FF",--($F23&lt;INDEX(Tasks[End Date],AJ23)),IF($I23="SF",--($F23&lt;INDEX(Tasks[Start Date],AJ23)),0)))),0)))</ns0:f>
        <ns0:v>0</ns0:v>
      </ns0:c>
      <ns0:c r="AM23" t="n">
        <ns0:f>IF(AND(A23&lt;&gt;"",AK23=0,EP23=0),1,0)</ns0:f>
        <ns0:v>0</ns0:v>
      </ns0:c>
      <ns0:c r="AN23" t="str">
        <ns0:f>IF(OR(A23="",B23=""),"",IF(COUNTIFS($B$7:B23,B23)=1,MAX($AN$6:AN22)+1,""))</ns0:f>
      </ns0:c>
      <ns0:c r="AO23" t="n">
        <ns0:f>IF(AND(A23&lt;&gt;"",J23="No",N23&lt;1,E23&gt;=AsOfDate),E23+ROW()/10000,1E+9)</ns0:f>
        <ns0:v>1000000000</ns0:v>
      </ns0:c>
      <ns0:c r="AP23" t="n">
        <ns0:f>IF(AND(A23&lt;&gt;"",J23="Yes",N23&lt;1,E23&gt;=AsOfDate),E23+ROW()/10000,1E+9)</ns0:f>
        <ns0:v>46288.0023</ns0:v>
      </ns0:c>
      <ns0:c r="AQ23" t="n">
        <ns0:f>IF(AND(A23&lt;&gt;"",J23="No",N23&lt;1,F23&gt;=AsOfDate,F23&lt;=AsOfDate+7),F23+ROW()/10000,1E+9)</ns0:f>
        <ns0:v>1000000000</ns0:v>
      </ns0:c>
      <ns0:c r="AR23" t="n">
        <ns0:f>IF(AND(A23&lt;&gt;"",OR(O23&lt;&gt;"On track",Q23="Delayed")),ROW(),1E+9)</ns0:f>
        <ns0:v>1000000000</ns0:v>
      </ns0:c>
      <ns0:c r="AS23" t="str">
        <ns0:f>IF(A23="","",";"&amp;K23&amp;";")</ns0:f>
        <ns0:v>;Unassigned;</ns0:v>
      </ns0:c>
      <ns0:c r="AT23" t="n">
        <ns0:f>IF(A23="",1,--(T23=0))</ns0:f>
        <ns0:v>0</ns0:v>
      </ns0:c>
      <ns0:c r="AU23" t="n">
        <ns0:f>IF($A23="",1,IF(AT23=1,1,--AND(IF($AC23&gt;0,INDEX(AT$7:AT$106,$AC23),1),IF($AD23&gt;0,INDEX(AT$7:AT$106,$AD23),1),IF($AE23&gt;0,INDEX(AT$7:AT$106,$AE23),1),IF($AF23&gt;0,INDEX(AT$7:AT$106,$AF23),1),IF($AG23&gt;0,INDEX(AT$7:AT$106,$AG23),1),IF($AH23&gt;0,INDEX(AT$7:AT$106,$AH23),1),IF($AI23&gt;0,INDEX(AT$7:AT$106,$AI23),1),IF($AJ23&gt;0,INDEX(AT$7:AT$106,$AJ23),1))))</ns0:f>
        <ns0:v>0</ns0:v>
      </ns0:c>
      <ns0:c r="AV23" t="n">
        <ns0:f>IF($A23="",1,IF(AU23=1,1,--AND(IF($AC23&gt;0,INDEX(AU$7:AU$106,$AC23),1),IF($AD23&gt;0,INDEX(AU$7:AU$106,$AD23),1),IF($AE23&gt;0,INDEX(AU$7:AU$106,$AE23),1),IF($AF23&gt;0,INDEX(AU$7:AU$106,$AF23),1),IF($AG23&gt;0,INDEX(AU$7:AU$106,$AG23),1),IF($AH23&gt;0,INDEX(AU$7:AU$106,$AH23),1),IF($AI23&gt;0,INDEX(AU$7:AU$106,$AI23),1),IF($AJ23&gt;0,INDEX(AU$7:AU$106,$AJ23),1))))</ns0:f>
        <ns0:v>0</ns0:v>
      </ns0:c>
      <ns0:c r="AW23" t="n">
        <ns0:f>IF($A23="",1,IF(AV23=1,1,--AND(IF($AC23&gt;0,INDEX(AV$7:AV$106,$AC23),1),IF($AD23&gt;0,INDEX(AV$7:AV$106,$AD23),1),IF($AE23&gt;0,INDEX(AV$7:AV$106,$AE23),1),IF($AF23&gt;0,INDEX(AV$7:AV$106,$AF23),1),IF($AG23&gt;0,INDEX(AV$7:AV$106,$AG23),1),IF($AH23&gt;0,INDEX(AV$7:AV$106,$AH23),1),IF($AI23&gt;0,INDEX(AV$7:AV$106,$AI23),1),IF($AJ23&gt;0,INDEX(AV$7:AV$106,$AJ23),1))))</ns0:f>
        <ns0:v>0</ns0:v>
      </ns0:c>
      <ns0:c r="AX23" t="n">
        <ns0:f>IF($A23="",1,IF(AW23=1,1,--AND(IF($AC23&gt;0,INDEX(AW$7:AW$106,$AC23),1),IF($AD23&gt;0,INDEX(AW$7:AW$106,$AD23),1),IF($AE23&gt;0,INDEX(AW$7:AW$106,$AE23),1),IF($AF23&gt;0,INDEX(AW$7:AW$106,$AF23),1),IF($AG23&gt;0,INDEX(AW$7:AW$106,$AG23),1),IF($AH23&gt;0,INDEX(AW$7:AW$106,$AH23),1),IF($AI23&gt;0,INDEX(AW$7:AW$106,$AI23),1),IF($AJ23&gt;0,INDEX(AW$7:AW$106,$AJ23),1))))</ns0:f>
        <ns0:v>0</ns0:v>
      </ns0:c>
      <ns0:c r="AY23" t="n">
        <ns0:f>IF($A23="",1,IF(AX23=1,1,--AND(IF($AC23&gt;0,INDEX(AX$7:AX$106,$AC23),1),IF($AD23&gt;0,INDEX(AX$7:AX$106,$AD23),1),IF($AE23&gt;0,INDEX(AX$7:AX$106,$AE23),1),IF($AF23&gt;0,INDEX(AX$7:AX$106,$AF23),1),IF($AG23&gt;0,INDEX(AX$7:AX$106,$AG23),1),IF($AH23&gt;0,INDEX(AX$7:AX$106,$AH23),1),IF($AI23&gt;0,INDEX(AX$7:AX$106,$AI23),1),IF($AJ23&gt;0,INDEX(AX$7:AX$106,$AJ23),1))))</ns0:f>
        <ns0:v>1</ns0:v>
      </ns0:c>
      <ns0:c r="AZ23" t="n">
        <ns0:f>IF($A23="",1,IF(AY23=1,1,--AND(IF($AC23&gt;0,INDEX(AY$7:AY$106,$AC23),1),IF($AD23&gt;0,INDEX(AY$7:AY$106,$AD23),1),IF($AE23&gt;0,INDEX(AY$7:AY$106,$AE23),1),IF($AF23&gt;0,INDEX(AY$7:AY$106,$AF23),1),IF($AG23&gt;0,INDEX(AY$7:AY$106,$AG23),1),IF($AH23&gt;0,INDEX(AY$7:AY$106,$AH23),1),IF($AI23&gt;0,INDEX(AY$7:AY$106,$AI23),1),IF($AJ23&gt;0,INDEX(AY$7:AY$106,$AJ23),1))))</ns0:f>
        <ns0:v>1</ns0:v>
      </ns0:c>
      <ns0:c r="BA23" t="n">
        <ns0:f>IF($A23="",1,IF(AZ23=1,1,--AND(IF($AC23&gt;0,INDEX(AZ$7:AZ$106,$AC23),1),IF($AD23&gt;0,INDEX(AZ$7:AZ$106,$AD23),1),IF($AE23&gt;0,INDEX(AZ$7:AZ$106,$AE23),1),IF($AF23&gt;0,INDEX(AZ$7:AZ$106,$AF23),1),IF($AG23&gt;0,INDEX(AZ$7:AZ$106,$AG23),1),IF($AH23&gt;0,INDEX(AZ$7:AZ$106,$AH23),1),IF($AI23&gt;0,INDEX(AZ$7:AZ$106,$AI23),1),IF($AJ23&gt;0,INDEX(AZ$7:AZ$106,$AJ23),1))))</ns0:f>
        <ns0:v>1</ns0:v>
      </ns0:c>
      <ns0:c r="BB23" t="n">
        <ns0:f>IF($A23="",1,IF(BA23=1,1,--AND(IF($AC23&gt;0,INDEX(BA$7:BA$106,$AC23),1),IF($AD23&gt;0,INDEX(BA$7:BA$106,$AD23),1),IF($AE23&gt;0,INDEX(BA$7:BA$106,$AE23),1),IF($AF23&gt;0,INDEX(BA$7:BA$106,$AF23),1),IF($AG23&gt;0,INDEX(BA$7:BA$106,$AG23),1),IF($AH23&gt;0,INDEX(BA$7:BA$106,$AH23),1),IF($AI23&gt;0,INDEX(BA$7:BA$106,$AI23),1),IF($AJ23&gt;0,INDEX(BA$7:BA$106,$AJ23),1))))</ns0:f>
        <ns0:v>1</ns0:v>
      </ns0:c>
      <ns0:c r="BC23" t="n">
        <ns0:f>IF($A23="",1,IF(BB23=1,1,--AND(IF($AC23&gt;0,INDEX(BB$7:BB$106,$AC23),1),IF($AD23&gt;0,INDEX(BB$7:BB$106,$AD23),1),IF($AE23&gt;0,INDEX(BB$7:BB$106,$AE23),1),IF($AF23&gt;0,INDEX(BB$7:BB$106,$AF23),1),IF($AG23&gt;0,INDEX(BB$7:BB$106,$AG23),1),IF($AH23&gt;0,INDEX(BB$7:BB$106,$AH23),1),IF($AI23&gt;0,INDEX(BB$7:BB$106,$AI23),1),IF($AJ23&gt;0,INDEX(BB$7:BB$106,$AJ23),1))))</ns0:f>
        <ns0:v>1</ns0:v>
      </ns0:c>
      <ns0:c r="BD23" t="n">
        <ns0:f>IF($A23="",1,IF(BC23=1,1,--AND(IF($AC23&gt;0,INDEX(BC$7:BC$106,$AC23),1),IF($AD23&gt;0,INDEX(BC$7:BC$106,$AD23),1),IF($AE23&gt;0,INDEX(BC$7:BC$106,$AE23),1),IF($AF23&gt;0,INDEX(BC$7:BC$106,$AF23),1),IF($AG23&gt;0,INDEX(BC$7:BC$106,$AG23),1),IF($AH23&gt;0,INDEX(BC$7:BC$106,$AH23),1),IF($AI23&gt;0,INDEX(BC$7:BC$106,$AI23),1),IF($AJ23&gt;0,INDEX(BC$7:BC$106,$AJ23),1))))</ns0:f>
        <ns0:v>1</ns0:v>
      </ns0:c>
      <ns0:c r="BE23" t="n">
        <ns0:f>IF($A23="",1,IF(BD23=1,1,--AND(IF($AC23&gt;0,INDEX(BD$7:BD$106,$AC23),1),IF($AD23&gt;0,INDEX(BD$7:BD$106,$AD23),1),IF($AE23&gt;0,INDEX(BD$7:BD$106,$AE23),1),IF($AF23&gt;0,INDEX(BD$7:BD$106,$AF23),1),IF($AG23&gt;0,INDEX(BD$7:BD$106,$AG23),1),IF($AH23&gt;0,INDEX(BD$7:BD$106,$AH23),1),IF($AI23&gt;0,INDEX(BD$7:BD$106,$AI23),1),IF($AJ23&gt;0,INDEX(BD$7:BD$106,$AJ23),1))))</ns0:f>
        <ns0:v>1</ns0:v>
      </ns0:c>
      <ns0:c r="BF23" t="n">
        <ns0:f>IF($A23="",1,IF(BE23=1,1,--AND(IF($AC23&gt;0,INDEX(BE$7:BE$106,$AC23),1),IF($AD23&gt;0,INDEX(BE$7:BE$106,$AD23),1),IF($AE23&gt;0,INDEX(BE$7:BE$106,$AE23),1),IF($AF23&gt;0,INDEX(BE$7:BE$106,$AF23),1),IF($AG23&gt;0,INDEX(BE$7:BE$106,$AG23),1),IF($AH23&gt;0,INDEX(BE$7:BE$106,$AH23),1),IF($AI23&gt;0,INDEX(BE$7:BE$106,$AI23),1),IF($AJ23&gt;0,INDEX(BE$7:BE$106,$AJ23),1))))</ns0:f>
        <ns0:v>1</ns0:v>
      </ns0:c>
      <ns0:c r="BG23" t="n">
        <ns0:f>IF($A23="",1,IF(BF23=1,1,--AND(IF($AC23&gt;0,INDEX(BF$7:BF$106,$AC23),1),IF($AD23&gt;0,INDEX(BF$7:BF$106,$AD23),1),IF($AE23&gt;0,INDEX(BF$7:BF$106,$AE23),1),IF($AF23&gt;0,INDEX(BF$7:BF$106,$AF23),1),IF($AG23&gt;0,INDEX(BF$7:BF$106,$AG23),1),IF($AH23&gt;0,INDEX(BF$7:BF$106,$AH23),1),IF($AI23&gt;0,INDEX(BF$7:BF$106,$AI23),1),IF($AJ23&gt;0,INDEX(BF$7:BF$106,$AJ23),1))))</ns0:f>
        <ns0:v>1</ns0:v>
      </ns0:c>
      <ns0:c r="BH23" t="n">
        <ns0:f>IF($A23="",1,IF(BG23=1,1,--AND(IF($AC23&gt;0,INDEX(BG$7:BG$106,$AC23),1),IF($AD23&gt;0,INDEX(BG$7:BG$106,$AD23),1),IF($AE23&gt;0,INDEX(BG$7:BG$106,$AE23),1),IF($AF23&gt;0,INDEX(BG$7:BG$106,$AF23),1),IF($AG23&gt;0,INDEX(BG$7:BG$106,$AG23),1),IF($AH23&gt;0,INDEX(BG$7:BG$106,$AH23),1),IF($AI23&gt;0,INDEX(BG$7:BG$106,$AI23),1),IF($AJ23&gt;0,INDEX(BG$7:BG$106,$AJ23),1))))</ns0:f>
        <ns0:v>1</ns0:v>
      </ns0:c>
      <ns0:c r="BI23" t="n">
        <ns0:f>IF($A23="",1,IF(BH23=1,1,--AND(IF($AC23&gt;0,INDEX(BH$7:BH$106,$AC23),1),IF($AD23&gt;0,INDEX(BH$7:BH$106,$AD23),1),IF($AE23&gt;0,INDEX(BH$7:BH$106,$AE23),1),IF($AF23&gt;0,INDEX(BH$7:BH$106,$AF23),1),IF($AG23&gt;0,INDEX(BH$7:BH$106,$AG23),1),IF($AH23&gt;0,INDEX(BH$7:BH$106,$AH23),1),IF($AI23&gt;0,INDEX(BH$7:BH$106,$AI23),1),IF($AJ23&gt;0,INDEX(BH$7:BH$106,$AJ23),1))))</ns0:f>
        <ns0:v>1</ns0:v>
      </ns0:c>
      <ns0:c r="BJ23" t="n">
        <ns0:f>IF($A23="",1,IF(BI23=1,1,--AND(IF($AC23&gt;0,INDEX(BI$7:BI$106,$AC23),1),IF($AD23&gt;0,INDEX(BI$7:BI$106,$AD23),1),IF($AE23&gt;0,INDEX(BI$7:BI$106,$AE23),1),IF($AF23&gt;0,INDEX(BI$7:BI$106,$AF23),1),IF($AG23&gt;0,INDEX(BI$7:BI$106,$AG23),1),IF($AH23&gt;0,INDEX(BI$7:BI$106,$AH23),1),IF($AI23&gt;0,INDEX(BI$7:BI$106,$AI23),1),IF($AJ23&gt;0,INDEX(BI$7:BI$106,$AJ23),1))))</ns0:f>
        <ns0:v>1</ns0:v>
      </ns0:c>
      <ns0:c r="BK23" t="n">
        <ns0:f>IF($A23="",1,IF(BJ23=1,1,--AND(IF($AC23&gt;0,INDEX(BJ$7:BJ$106,$AC23),1),IF($AD23&gt;0,INDEX(BJ$7:BJ$106,$AD23),1),IF($AE23&gt;0,INDEX(BJ$7:BJ$106,$AE23),1),IF($AF23&gt;0,INDEX(BJ$7:BJ$106,$AF23),1),IF($AG23&gt;0,INDEX(BJ$7:BJ$106,$AG23),1),IF($AH23&gt;0,INDEX(BJ$7:BJ$106,$AH23),1),IF($AI23&gt;0,INDEX(BJ$7:BJ$106,$AI23),1),IF($AJ23&gt;0,INDEX(BJ$7:BJ$106,$AJ23),1))))</ns0:f>
        <ns0:v>1</ns0:v>
      </ns0:c>
      <ns0:c r="BL23" t="n">
        <ns0:f>IF($A23="",1,IF(BK23=1,1,--AND(IF($AC23&gt;0,INDEX(BK$7:BK$106,$AC23),1),IF($AD23&gt;0,INDEX(BK$7:BK$106,$AD23),1),IF($AE23&gt;0,INDEX(BK$7:BK$106,$AE23),1),IF($AF23&gt;0,INDEX(BK$7:BK$106,$AF23),1),IF($AG23&gt;0,INDEX(BK$7:BK$106,$AG23),1),IF($AH23&gt;0,INDEX(BK$7:BK$106,$AH23),1),IF($AI23&gt;0,INDEX(BK$7:BK$106,$AI23),1),IF($AJ23&gt;0,INDEX(BK$7:BK$106,$AJ23),1))))</ns0:f>
        <ns0:v>1</ns0:v>
      </ns0:c>
      <ns0:c r="BM23" t="n">
        <ns0:f>IF($A23="",1,IF(BL23=1,1,--AND(IF($AC23&gt;0,INDEX(BL$7:BL$106,$AC23),1),IF($AD23&gt;0,INDEX(BL$7:BL$106,$AD23),1),IF($AE23&gt;0,INDEX(BL$7:BL$106,$AE23),1),IF($AF23&gt;0,INDEX(BL$7:BL$106,$AF23),1),IF($AG23&gt;0,INDEX(BL$7:BL$106,$AG23),1),IF($AH23&gt;0,INDEX(BL$7:BL$106,$AH23),1),IF($AI23&gt;0,INDEX(BL$7:BL$106,$AI23),1),IF($AJ23&gt;0,INDEX(BL$7:BL$106,$AJ23),1))))</ns0:f>
        <ns0:v>1</ns0:v>
      </ns0:c>
      <ns0:c r="BN23" t="n">
        <ns0:f>IF($A23="",1,IF(BM23=1,1,--AND(IF($AC23&gt;0,INDEX(BM$7:BM$106,$AC23),1),IF($AD23&gt;0,INDEX(BM$7:BM$106,$AD23),1),IF($AE23&gt;0,INDEX(BM$7:BM$106,$AE23),1),IF($AF23&gt;0,INDEX(BM$7:BM$106,$AF23),1),IF($AG23&gt;0,INDEX(BM$7:BM$106,$AG23),1),IF($AH23&gt;0,INDEX(BM$7:BM$106,$AH23),1),IF($AI23&gt;0,INDEX(BM$7:BM$106,$AI23),1),IF($AJ23&gt;0,INDEX(BM$7:BM$106,$AJ23),1))))</ns0:f>
        <ns0:v>1</ns0:v>
      </ns0:c>
      <ns0:c r="BO23" t="n">
        <ns0:f>IF($A23="",1,IF(BN23=1,1,--AND(IF($AC23&gt;0,INDEX(BN$7:BN$106,$AC23),1),IF($AD23&gt;0,INDEX(BN$7:BN$106,$AD23),1),IF($AE23&gt;0,INDEX(BN$7:BN$106,$AE23),1),IF($AF23&gt;0,INDEX(BN$7:BN$106,$AF23),1),IF($AG23&gt;0,INDEX(BN$7:BN$106,$AG23),1),IF($AH23&gt;0,INDEX(BN$7:BN$106,$AH23),1),IF($AI23&gt;0,INDEX(BN$7:BN$106,$AI23),1),IF($AJ23&gt;0,INDEX(BN$7:BN$106,$AJ23),1))))</ns0:f>
        <ns0:v>1</ns0:v>
      </ns0:c>
      <ns0:c r="BP23" t="n">
        <ns0:f>IF($A23="",1,IF(BO23=1,1,--AND(IF($AC23&gt;0,INDEX(BO$7:BO$106,$AC23),1),IF($AD23&gt;0,INDEX(BO$7:BO$106,$AD23),1),IF($AE23&gt;0,INDEX(BO$7:BO$106,$AE23),1),IF($AF23&gt;0,INDEX(BO$7:BO$106,$AF23),1),IF($AG23&gt;0,INDEX(BO$7:BO$106,$AG23),1),IF($AH23&gt;0,INDEX(BO$7:BO$106,$AH23),1),IF($AI23&gt;0,INDEX(BO$7:BO$106,$AI23),1),IF($AJ23&gt;0,INDEX(BO$7:BO$106,$AJ23),1))))</ns0:f>
        <ns0:v>1</ns0:v>
      </ns0:c>
      <ns0:c r="BQ23" t="n">
        <ns0:f>IF($A23="",1,IF(BP23=1,1,--AND(IF($AC23&gt;0,INDEX(BP$7:BP$106,$AC23),1),IF($AD23&gt;0,INDEX(BP$7:BP$106,$AD23),1),IF($AE23&gt;0,INDEX(BP$7:BP$106,$AE23),1),IF($AF23&gt;0,INDEX(BP$7:BP$106,$AF23),1),IF($AG23&gt;0,INDEX(BP$7:BP$106,$AG23),1),IF($AH23&gt;0,INDEX(BP$7:BP$106,$AH23),1),IF($AI23&gt;0,INDEX(BP$7:BP$106,$AI23),1),IF($AJ23&gt;0,INDEX(BP$7:BP$106,$AJ23),1))))</ns0:f>
        <ns0:v>1</ns0:v>
      </ns0:c>
      <ns0:c r="BR23" t="n">
        <ns0:f>IF($A23="",1,IF(BQ23=1,1,--AND(IF($AC23&gt;0,INDEX(BQ$7:BQ$106,$AC23),1),IF($AD23&gt;0,INDEX(BQ$7:BQ$106,$AD23),1),IF($AE23&gt;0,INDEX(BQ$7:BQ$106,$AE23),1),IF($AF23&gt;0,INDEX(BQ$7:BQ$106,$AF23),1),IF($AG23&gt;0,INDEX(BQ$7:BQ$106,$AG23),1),IF($AH23&gt;0,INDEX(BQ$7:BQ$106,$AH23),1),IF($AI23&gt;0,INDEX(BQ$7:BQ$106,$AI23),1),IF($AJ23&gt;0,INDEX(BQ$7:BQ$106,$AJ23),1))))</ns0:f>
        <ns0:v>1</ns0:v>
      </ns0:c>
      <ns0:c r="BS23" t="n">
        <ns0:f>IF($A23="",1,IF(BR23=1,1,--AND(IF($AC23&gt;0,INDEX(BR$7:BR$106,$AC23),1),IF($AD23&gt;0,INDEX(BR$7:BR$106,$AD23),1),IF($AE23&gt;0,INDEX(BR$7:BR$106,$AE23),1),IF($AF23&gt;0,INDEX(BR$7:BR$106,$AF23),1),IF($AG23&gt;0,INDEX(BR$7:BR$106,$AG23),1),IF($AH23&gt;0,INDEX(BR$7:BR$106,$AH23),1),IF($AI23&gt;0,INDEX(BR$7:BR$106,$AI23),1),IF($AJ23&gt;0,INDEX(BR$7:BR$106,$AJ23),1))))</ns0:f>
        <ns0:v>1</ns0:v>
      </ns0:c>
      <ns0:c r="BT23" t="n">
        <ns0:f>IF($A23="",1,IF(BS23=1,1,--AND(IF($AC23&gt;0,INDEX(BS$7:BS$106,$AC23),1),IF($AD23&gt;0,INDEX(BS$7:BS$106,$AD23),1),IF($AE23&gt;0,INDEX(BS$7:BS$106,$AE23),1),IF($AF23&gt;0,INDEX(BS$7:BS$106,$AF23),1),IF($AG23&gt;0,INDEX(BS$7:BS$106,$AG23),1),IF($AH23&gt;0,INDEX(BS$7:BS$106,$AH23),1),IF($AI23&gt;0,INDEX(BS$7:BS$106,$AI23),1),IF($AJ23&gt;0,INDEX(BS$7:BS$106,$AJ23),1))))</ns0:f>
        <ns0:v>1</ns0:v>
      </ns0:c>
      <ns0:c r="BU23" t="n">
        <ns0:f>IF($A23="",1,IF(BT23=1,1,--AND(IF($AC23&gt;0,INDEX(BT$7:BT$106,$AC23),1),IF($AD23&gt;0,INDEX(BT$7:BT$106,$AD23),1),IF($AE23&gt;0,INDEX(BT$7:BT$106,$AE23),1),IF($AF23&gt;0,INDEX(BT$7:BT$106,$AF23),1),IF($AG23&gt;0,INDEX(BT$7:BT$106,$AG23),1),IF($AH23&gt;0,INDEX(BT$7:BT$106,$AH23),1),IF($AI23&gt;0,INDEX(BT$7:BT$106,$AI23),1),IF($AJ23&gt;0,INDEX(BT$7:BT$106,$AJ23),1))))</ns0:f>
        <ns0:v>1</ns0:v>
      </ns0:c>
      <ns0:c r="BV23" t="n">
        <ns0:f>IF($A23="",1,IF(BU23=1,1,--AND(IF($AC23&gt;0,INDEX(BU$7:BU$106,$AC23),1),IF($AD23&gt;0,INDEX(BU$7:BU$106,$AD23),1),IF($AE23&gt;0,INDEX(BU$7:BU$106,$AE23),1),IF($AF23&gt;0,INDEX(BU$7:BU$106,$AF23),1),IF($AG23&gt;0,INDEX(BU$7:BU$106,$AG23),1),IF($AH23&gt;0,INDEX(BU$7:BU$106,$AH23),1),IF($AI23&gt;0,INDEX(BU$7:BU$106,$AI23),1),IF($AJ23&gt;0,INDEX(BU$7:BU$106,$AJ23),1))))</ns0:f>
        <ns0:v>1</ns0:v>
      </ns0:c>
      <ns0:c r="BW23" t="n">
        <ns0:f>IF($A23="",1,IF(BV23=1,1,--AND(IF($AC23&gt;0,INDEX(BV$7:BV$106,$AC23),1),IF($AD23&gt;0,INDEX(BV$7:BV$106,$AD23),1),IF($AE23&gt;0,INDEX(BV$7:BV$106,$AE23),1),IF($AF23&gt;0,INDEX(BV$7:BV$106,$AF23),1),IF($AG23&gt;0,INDEX(BV$7:BV$106,$AG23),1),IF($AH23&gt;0,INDEX(BV$7:BV$106,$AH23),1),IF($AI23&gt;0,INDEX(BV$7:BV$106,$AI23),1),IF($AJ23&gt;0,INDEX(BV$7:BV$106,$AJ23),1))))</ns0:f>
        <ns0:v>1</ns0:v>
      </ns0:c>
      <ns0:c r="BX23" t="n">
        <ns0:f>IF($A23="",1,IF(BW23=1,1,--AND(IF($AC23&gt;0,INDEX(BW$7:BW$106,$AC23),1),IF($AD23&gt;0,INDEX(BW$7:BW$106,$AD23),1),IF($AE23&gt;0,INDEX(BW$7:BW$106,$AE23),1),IF($AF23&gt;0,INDEX(BW$7:BW$106,$AF23),1),IF($AG23&gt;0,INDEX(BW$7:BW$106,$AG23),1),IF($AH23&gt;0,INDEX(BW$7:BW$106,$AH23),1),IF($AI23&gt;0,INDEX(BW$7:BW$106,$AI23),1),IF($AJ23&gt;0,INDEX(BW$7:BW$106,$AJ23),1))))</ns0:f>
        <ns0:v>1</ns0:v>
      </ns0:c>
      <ns0:c r="BY23" t="n">
        <ns0:f>IF($A23="",1,IF(BX23=1,1,--AND(IF($AC23&gt;0,INDEX(BX$7:BX$106,$AC23),1),IF($AD23&gt;0,INDEX(BX$7:BX$106,$AD23),1),IF($AE23&gt;0,INDEX(BX$7:BX$106,$AE23),1),IF($AF23&gt;0,INDEX(BX$7:BX$106,$AF23),1),IF($AG23&gt;0,INDEX(BX$7:BX$106,$AG23),1),IF($AH23&gt;0,INDEX(BX$7:BX$106,$AH23),1),IF($AI23&gt;0,INDEX(BX$7:BX$106,$AI23),1),IF($AJ23&gt;0,INDEX(BX$7:BX$106,$AJ23),1))))</ns0:f>
        <ns0:v>1</ns0:v>
      </ns0:c>
      <ns0:c r="BZ23" t="n">
        <ns0:f>IF($A23="",1,IF(BY23=1,1,--AND(IF($AC23&gt;0,INDEX(BY$7:BY$106,$AC23),1),IF($AD23&gt;0,INDEX(BY$7:BY$106,$AD23),1),IF($AE23&gt;0,INDEX(BY$7:BY$106,$AE23),1),IF($AF23&gt;0,INDEX(BY$7:BY$106,$AF23),1),IF($AG23&gt;0,INDEX(BY$7:BY$106,$AG23),1),IF($AH23&gt;0,INDEX(BY$7:BY$106,$AH23),1),IF($AI23&gt;0,INDEX(BY$7:BY$106,$AI23),1),IF($AJ23&gt;0,INDEX(BY$7:BY$106,$AJ23),1))))</ns0:f>
        <ns0:v>1</ns0:v>
      </ns0:c>
      <ns0:c r="CA23" t="n">
        <ns0:f>IF($A23="",1,IF(BZ23=1,1,--AND(IF($AC23&gt;0,INDEX(BZ$7:BZ$106,$AC23),1),IF($AD23&gt;0,INDEX(BZ$7:BZ$106,$AD23),1),IF($AE23&gt;0,INDEX(BZ$7:BZ$106,$AE23),1),IF($AF23&gt;0,INDEX(BZ$7:BZ$106,$AF23),1),IF($AG23&gt;0,INDEX(BZ$7:BZ$106,$AG23),1),IF($AH23&gt;0,INDEX(BZ$7:BZ$106,$AH23),1),IF($AI23&gt;0,INDEX(BZ$7:BZ$106,$AI23),1),IF($AJ23&gt;0,INDEX(BZ$7:BZ$106,$AJ23),1))))</ns0:f>
        <ns0:v>1</ns0:v>
      </ns0:c>
      <ns0:c r="CB23" t="n">
        <ns0:f>IF($A23="",1,IF(CA23=1,1,--AND(IF($AC23&gt;0,INDEX(CA$7:CA$106,$AC23),1),IF($AD23&gt;0,INDEX(CA$7:CA$106,$AD23),1),IF($AE23&gt;0,INDEX(CA$7:CA$106,$AE23),1),IF($AF23&gt;0,INDEX(CA$7:CA$106,$AF23),1),IF($AG23&gt;0,INDEX(CA$7:CA$106,$AG23),1),IF($AH23&gt;0,INDEX(CA$7:CA$106,$AH23),1),IF($AI23&gt;0,INDEX(CA$7:CA$106,$AI23),1),IF($AJ23&gt;0,INDEX(CA$7:CA$106,$AJ23),1))))</ns0:f>
        <ns0:v>1</ns0:v>
      </ns0:c>
      <ns0:c r="CC23" t="n">
        <ns0:f>IF($A23="",1,IF(CB23=1,1,--AND(IF($AC23&gt;0,INDEX(CB$7:CB$106,$AC23),1),IF($AD23&gt;0,INDEX(CB$7:CB$106,$AD23),1),IF($AE23&gt;0,INDEX(CB$7:CB$106,$AE23),1),IF($AF23&gt;0,INDEX(CB$7:CB$106,$AF23),1),IF($AG23&gt;0,INDEX(CB$7:CB$106,$AG23),1),IF($AH23&gt;0,INDEX(CB$7:CB$106,$AH23),1),IF($AI23&gt;0,INDEX(CB$7:CB$106,$AI23),1),IF($AJ23&gt;0,INDEX(CB$7:CB$106,$AJ23),1))))</ns0:f>
        <ns0:v>1</ns0:v>
      </ns0:c>
      <ns0:c r="CD23" t="n">
        <ns0:f>IF($A23="",1,IF(CC23=1,1,--AND(IF($AC23&gt;0,INDEX(CC$7:CC$106,$AC23),1),IF($AD23&gt;0,INDEX(CC$7:CC$106,$AD23),1),IF($AE23&gt;0,INDEX(CC$7:CC$106,$AE23),1),IF($AF23&gt;0,INDEX(CC$7:CC$106,$AF23),1),IF($AG23&gt;0,INDEX(CC$7:CC$106,$AG23),1),IF($AH23&gt;0,INDEX(CC$7:CC$106,$AH23),1),IF($AI23&gt;0,INDEX(CC$7:CC$106,$AI23),1),IF($AJ23&gt;0,INDEX(CC$7:CC$106,$AJ23),1))))</ns0:f>
        <ns0:v>1</ns0:v>
      </ns0:c>
      <ns0:c r="CE23" t="n">
        <ns0:f>IF($A23="",1,IF(CD23=1,1,--AND(IF($AC23&gt;0,INDEX(CD$7:CD$106,$AC23),1),IF($AD23&gt;0,INDEX(CD$7:CD$106,$AD23),1),IF($AE23&gt;0,INDEX(CD$7:CD$106,$AE23),1),IF($AF23&gt;0,INDEX(CD$7:CD$106,$AF23),1),IF($AG23&gt;0,INDEX(CD$7:CD$106,$AG23),1),IF($AH23&gt;0,INDEX(CD$7:CD$106,$AH23),1),IF($AI23&gt;0,INDEX(CD$7:CD$106,$AI23),1),IF($AJ23&gt;0,INDEX(CD$7:CD$106,$AJ23),1))))</ns0:f>
        <ns0:v>1</ns0:v>
      </ns0:c>
      <ns0:c r="CF23" t="n">
        <ns0:f>IF($A23="",1,IF(CE23=1,1,--AND(IF($AC23&gt;0,INDEX(CE$7:CE$106,$AC23),1),IF($AD23&gt;0,INDEX(CE$7:CE$106,$AD23),1),IF($AE23&gt;0,INDEX(CE$7:CE$106,$AE23),1),IF($AF23&gt;0,INDEX(CE$7:CE$106,$AF23),1),IF($AG23&gt;0,INDEX(CE$7:CE$106,$AG23),1),IF($AH23&gt;0,INDEX(CE$7:CE$106,$AH23),1),IF($AI23&gt;0,INDEX(CE$7:CE$106,$AI23),1),IF($AJ23&gt;0,INDEX(CE$7:CE$106,$AJ23),1))))</ns0:f>
        <ns0:v>1</ns0:v>
      </ns0:c>
      <ns0:c r="CG23" t="n">
        <ns0:f>IF($A23="",1,IF(CF23=1,1,--AND(IF($AC23&gt;0,INDEX(CF$7:CF$106,$AC23),1),IF($AD23&gt;0,INDEX(CF$7:CF$106,$AD23),1),IF($AE23&gt;0,INDEX(CF$7:CF$106,$AE23),1),IF($AF23&gt;0,INDEX(CF$7:CF$106,$AF23),1),IF($AG23&gt;0,INDEX(CF$7:CF$106,$AG23),1),IF($AH23&gt;0,INDEX(CF$7:CF$106,$AH23),1),IF($AI23&gt;0,INDEX(CF$7:CF$106,$AI23),1),IF($AJ23&gt;0,INDEX(CF$7:CF$106,$AJ23),1))))</ns0:f>
        <ns0:v>1</ns0:v>
      </ns0:c>
      <ns0:c r="CH23" t="n">
        <ns0:f>IF($A23="",1,IF(CG23=1,1,--AND(IF($AC23&gt;0,INDEX(CG$7:CG$106,$AC23),1),IF($AD23&gt;0,INDEX(CG$7:CG$106,$AD23),1),IF($AE23&gt;0,INDEX(CG$7:CG$106,$AE23),1),IF($AF23&gt;0,INDEX(CG$7:CG$106,$AF23),1),IF($AG23&gt;0,INDEX(CG$7:CG$106,$AG23),1),IF($AH23&gt;0,INDEX(CG$7:CG$106,$AH23),1),IF($AI23&gt;0,INDEX(CG$7:CG$106,$AI23),1),IF($AJ23&gt;0,INDEX(CG$7:CG$106,$AJ23),1))))</ns0:f>
        <ns0:v>1</ns0:v>
      </ns0:c>
      <ns0:c r="CI23" t="n">
        <ns0:f>IF($A23="",1,IF(CH23=1,1,--AND(IF($AC23&gt;0,INDEX(CH$7:CH$106,$AC23),1),IF($AD23&gt;0,INDEX(CH$7:CH$106,$AD23),1),IF($AE23&gt;0,INDEX(CH$7:CH$106,$AE23),1),IF($AF23&gt;0,INDEX(CH$7:CH$106,$AF23),1),IF($AG23&gt;0,INDEX(CH$7:CH$106,$AG23),1),IF($AH23&gt;0,INDEX(CH$7:CH$106,$AH23),1),IF($AI23&gt;0,INDEX(CH$7:CH$106,$AI23),1),IF($AJ23&gt;0,INDEX(CH$7:CH$106,$AJ23),1))))</ns0:f>
        <ns0:v>1</ns0:v>
      </ns0:c>
      <ns0:c r="CJ23" t="n">
        <ns0:f>IF($A23="",1,IF(CI23=1,1,--AND(IF($AC23&gt;0,INDEX(CI$7:CI$106,$AC23),1),IF($AD23&gt;0,INDEX(CI$7:CI$106,$AD23),1),IF($AE23&gt;0,INDEX(CI$7:CI$106,$AE23),1),IF($AF23&gt;0,INDEX(CI$7:CI$106,$AF23),1),IF($AG23&gt;0,INDEX(CI$7:CI$106,$AG23),1),IF($AH23&gt;0,INDEX(CI$7:CI$106,$AH23),1),IF($AI23&gt;0,INDEX(CI$7:CI$106,$AI23),1),IF($AJ23&gt;0,INDEX(CI$7:CI$106,$AJ23),1))))</ns0:f>
        <ns0:v>1</ns0:v>
      </ns0:c>
      <ns0:c r="CK23" t="n">
        <ns0:f>IF($A23="",1,IF(CJ23=1,1,--AND(IF($AC23&gt;0,INDEX(CJ$7:CJ$106,$AC23),1),IF($AD23&gt;0,INDEX(CJ$7:CJ$106,$AD23),1),IF($AE23&gt;0,INDEX(CJ$7:CJ$106,$AE23),1),IF($AF23&gt;0,INDEX(CJ$7:CJ$106,$AF23),1),IF($AG23&gt;0,INDEX(CJ$7:CJ$106,$AG23),1),IF($AH23&gt;0,INDEX(CJ$7:CJ$106,$AH23),1),IF($AI23&gt;0,INDEX(CJ$7:CJ$106,$AI23),1),IF($AJ23&gt;0,INDEX(CJ$7:CJ$106,$AJ23),1))))</ns0:f>
        <ns0:v>1</ns0:v>
      </ns0:c>
      <ns0:c r="CL23" t="n">
        <ns0:f>IF($A23="",1,IF(CK23=1,1,--AND(IF($AC23&gt;0,INDEX(CK$7:CK$106,$AC23),1),IF($AD23&gt;0,INDEX(CK$7:CK$106,$AD23),1),IF($AE23&gt;0,INDEX(CK$7:CK$106,$AE23),1),IF($AF23&gt;0,INDEX(CK$7:CK$106,$AF23),1),IF($AG23&gt;0,INDEX(CK$7:CK$106,$AG23),1),IF($AH23&gt;0,INDEX(CK$7:CK$106,$AH23),1),IF($AI23&gt;0,INDEX(CK$7:CK$106,$AI23),1),IF($AJ23&gt;0,INDEX(CK$7:CK$106,$AJ23),1))))</ns0:f>
        <ns0:v>1</ns0:v>
      </ns0:c>
      <ns0:c r="CM23" t="n">
        <ns0:f>IF($A23="",1,IF(CL23=1,1,--AND(IF($AC23&gt;0,INDEX(CL$7:CL$106,$AC23),1),IF($AD23&gt;0,INDEX(CL$7:CL$106,$AD23),1),IF($AE23&gt;0,INDEX(CL$7:CL$106,$AE23),1),IF($AF23&gt;0,INDEX(CL$7:CL$106,$AF23),1),IF($AG23&gt;0,INDEX(CL$7:CL$106,$AG23),1),IF($AH23&gt;0,INDEX(CL$7:CL$106,$AH23),1),IF($AI23&gt;0,INDEX(CL$7:CL$106,$AI23),1),IF($AJ23&gt;0,INDEX(CL$7:CL$106,$AJ23),1))))</ns0:f>
        <ns0:v>1</ns0:v>
      </ns0:c>
      <ns0:c r="CN23" t="n">
        <ns0:f>IF($A23="",1,IF(CM23=1,1,--AND(IF($AC23&gt;0,INDEX(CM$7:CM$106,$AC23),1),IF($AD23&gt;0,INDEX(CM$7:CM$106,$AD23),1),IF($AE23&gt;0,INDEX(CM$7:CM$106,$AE23),1),IF($AF23&gt;0,INDEX(CM$7:CM$106,$AF23),1),IF($AG23&gt;0,INDEX(CM$7:CM$106,$AG23),1),IF($AH23&gt;0,INDEX(CM$7:CM$106,$AH23),1),IF($AI23&gt;0,INDEX(CM$7:CM$106,$AI23),1),IF($AJ23&gt;0,INDEX(CM$7:CM$106,$AJ23),1))))</ns0:f>
        <ns0:v>1</ns0:v>
      </ns0:c>
      <ns0:c r="CO23" t="n">
        <ns0:f>IF($A23="",1,IF(CN23=1,1,--AND(IF($AC23&gt;0,INDEX(CN$7:CN$106,$AC23),1),IF($AD23&gt;0,INDEX(CN$7:CN$106,$AD23),1),IF($AE23&gt;0,INDEX(CN$7:CN$106,$AE23),1),IF($AF23&gt;0,INDEX(CN$7:CN$106,$AF23),1),IF($AG23&gt;0,INDEX(CN$7:CN$106,$AG23),1),IF($AH23&gt;0,INDEX(CN$7:CN$106,$AH23),1),IF($AI23&gt;0,INDEX(CN$7:CN$106,$AI23),1),IF($AJ23&gt;0,INDEX(CN$7:CN$106,$AJ23),1))))</ns0:f>
        <ns0:v>1</ns0:v>
      </ns0:c>
      <ns0:c r="CP23" t="n">
        <ns0:f>IF($A23="",1,IF(CO23=1,1,--AND(IF($AC23&gt;0,INDEX(CO$7:CO$106,$AC23),1),IF($AD23&gt;0,INDEX(CO$7:CO$106,$AD23),1),IF($AE23&gt;0,INDEX(CO$7:CO$106,$AE23),1),IF($AF23&gt;0,INDEX(CO$7:CO$106,$AF23),1),IF($AG23&gt;0,INDEX(CO$7:CO$106,$AG23),1),IF($AH23&gt;0,INDEX(CO$7:CO$106,$AH23),1),IF($AI23&gt;0,INDEX(CO$7:CO$106,$AI23),1),IF($AJ23&gt;0,INDEX(CO$7:CO$106,$AJ23),1))))</ns0:f>
        <ns0:v>1</ns0:v>
      </ns0:c>
      <ns0:c r="CQ23" t="n">
        <ns0:f>IF($A23="",1,IF(CP23=1,1,--AND(IF($AC23&gt;0,INDEX(CP$7:CP$106,$AC23),1),IF($AD23&gt;0,INDEX(CP$7:CP$106,$AD23),1),IF($AE23&gt;0,INDEX(CP$7:CP$106,$AE23),1),IF($AF23&gt;0,INDEX(CP$7:CP$106,$AF23),1),IF($AG23&gt;0,INDEX(CP$7:CP$106,$AG23),1),IF($AH23&gt;0,INDEX(CP$7:CP$106,$AH23),1),IF($AI23&gt;0,INDEX(CP$7:CP$106,$AI23),1),IF($AJ23&gt;0,INDEX(CP$7:CP$106,$AJ23),1))))</ns0:f>
        <ns0:v>1</ns0:v>
      </ns0:c>
      <ns0:c r="CR23" t="n">
        <ns0:f>IF($A23="",1,IF(CQ23=1,1,--AND(IF($AC23&gt;0,INDEX(CQ$7:CQ$106,$AC23),1),IF($AD23&gt;0,INDEX(CQ$7:CQ$106,$AD23),1),IF($AE23&gt;0,INDEX(CQ$7:CQ$106,$AE23),1),IF($AF23&gt;0,INDEX(CQ$7:CQ$106,$AF23),1),IF($AG23&gt;0,INDEX(CQ$7:CQ$106,$AG23),1),IF($AH23&gt;0,INDEX(CQ$7:CQ$106,$AH23),1),IF($AI23&gt;0,INDEX(CQ$7:CQ$106,$AI23),1),IF($AJ23&gt;0,INDEX(CQ$7:CQ$106,$AJ23),1))))</ns0:f>
        <ns0:v>1</ns0:v>
      </ns0:c>
      <ns0:c r="CS23" t="n">
        <ns0:f>IF($A23="",1,IF(CR23=1,1,--AND(IF($AC23&gt;0,INDEX(CR$7:CR$106,$AC23),1),IF($AD23&gt;0,INDEX(CR$7:CR$106,$AD23),1),IF($AE23&gt;0,INDEX(CR$7:CR$106,$AE23),1),IF($AF23&gt;0,INDEX(CR$7:CR$106,$AF23),1),IF($AG23&gt;0,INDEX(CR$7:CR$106,$AG23),1),IF($AH23&gt;0,INDEX(CR$7:CR$106,$AH23),1),IF($AI23&gt;0,INDEX(CR$7:CR$106,$AI23),1),IF($AJ23&gt;0,INDEX(CR$7:CR$106,$AJ23),1))))</ns0:f>
        <ns0:v>1</ns0:v>
      </ns0:c>
      <ns0:c r="CT23" t="n">
        <ns0:f>IF($A23="",1,IF(CS23=1,1,--AND(IF($AC23&gt;0,INDEX(CS$7:CS$106,$AC23),1),IF($AD23&gt;0,INDEX(CS$7:CS$106,$AD23),1),IF($AE23&gt;0,INDEX(CS$7:CS$106,$AE23),1),IF($AF23&gt;0,INDEX(CS$7:CS$106,$AF23),1),IF($AG23&gt;0,INDEX(CS$7:CS$106,$AG23),1),IF($AH23&gt;0,INDEX(CS$7:CS$106,$AH23),1),IF($AI23&gt;0,INDEX(CS$7:CS$106,$AI23),1),IF($AJ23&gt;0,INDEX(CS$7:CS$106,$AJ23),1))))</ns0:f>
        <ns0:v>1</ns0:v>
      </ns0:c>
      <ns0:c r="CU23" t="n">
        <ns0:f>IF($A23="",1,IF(CT23=1,1,--AND(IF($AC23&gt;0,INDEX(CT$7:CT$106,$AC23),1),IF($AD23&gt;0,INDEX(CT$7:CT$106,$AD23),1),IF($AE23&gt;0,INDEX(CT$7:CT$106,$AE23),1),IF($AF23&gt;0,INDEX(CT$7:CT$106,$AF23),1),IF($AG23&gt;0,INDEX(CT$7:CT$106,$AG23),1),IF($AH23&gt;0,INDEX(CT$7:CT$106,$AH23),1),IF($AI23&gt;0,INDEX(CT$7:CT$106,$AI23),1),IF($AJ23&gt;0,INDEX(CT$7:CT$106,$AJ23),1))))</ns0:f>
        <ns0:v>1</ns0:v>
      </ns0:c>
      <ns0:c r="CV23" t="n">
        <ns0:f>IF($A23="",1,IF(CU23=1,1,--AND(IF($AC23&gt;0,INDEX(CU$7:CU$106,$AC23),1),IF($AD23&gt;0,INDEX(CU$7:CU$106,$AD23),1),IF($AE23&gt;0,INDEX(CU$7:CU$106,$AE23),1),IF($AF23&gt;0,INDEX(CU$7:CU$106,$AF23),1),IF($AG23&gt;0,INDEX(CU$7:CU$106,$AG23),1),IF($AH23&gt;0,INDEX(CU$7:CU$106,$AH23),1),IF($AI23&gt;0,INDEX(CU$7:CU$106,$AI23),1),IF($AJ23&gt;0,INDEX(CU$7:CU$106,$AJ23),1))))</ns0:f>
        <ns0:v>1</ns0:v>
      </ns0:c>
      <ns0:c r="CW23" t="n">
        <ns0:f>IF($A23="",1,IF(CV23=1,1,--AND(IF($AC23&gt;0,INDEX(CV$7:CV$106,$AC23),1),IF($AD23&gt;0,INDEX(CV$7:CV$106,$AD23),1),IF($AE23&gt;0,INDEX(CV$7:CV$106,$AE23),1),IF($AF23&gt;0,INDEX(CV$7:CV$106,$AF23),1),IF($AG23&gt;0,INDEX(CV$7:CV$106,$AG23),1),IF($AH23&gt;0,INDEX(CV$7:CV$106,$AH23),1),IF($AI23&gt;0,INDEX(CV$7:CV$106,$AI23),1),IF($AJ23&gt;0,INDEX(CV$7:CV$106,$AJ23),1))))</ns0:f>
        <ns0:v>1</ns0:v>
      </ns0:c>
      <ns0:c r="CX23" t="n">
        <ns0:f>IF($A23="",1,IF(CW23=1,1,--AND(IF($AC23&gt;0,INDEX(CW$7:CW$106,$AC23),1),IF($AD23&gt;0,INDEX(CW$7:CW$106,$AD23),1),IF($AE23&gt;0,INDEX(CW$7:CW$106,$AE23),1),IF($AF23&gt;0,INDEX(CW$7:CW$106,$AF23),1),IF($AG23&gt;0,INDEX(CW$7:CW$106,$AG23),1),IF($AH23&gt;0,INDEX(CW$7:CW$106,$AH23),1),IF($AI23&gt;0,INDEX(CW$7:CW$106,$AI23),1),IF($AJ23&gt;0,INDEX(CW$7:CW$106,$AJ23),1))))</ns0:f>
        <ns0:v>1</ns0:v>
      </ns0:c>
      <ns0:c r="CY23" t="n">
        <ns0:f>IF($A23="",1,IF(CX23=1,1,--AND(IF($AC23&gt;0,INDEX(CX$7:CX$106,$AC23),1),IF($AD23&gt;0,INDEX(CX$7:CX$106,$AD23),1),IF($AE23&gt;0,INDEX(CX$7:CX$106,$AE23),1),IF($AF23&gt;0,INDEX(CX$7:CX$106,$AF23),1),IF($AG23&gt;0,INDEX(CX$7:CX$106,$AG23),1),IF($AH23&gt;0,INDEX(CX$7:CX$106,$AH23),1),IF($AI23&gt;0,INDEX(CX$7:CX$106,$AI23),1),IF($AJ23&gt;0,INDEX(CX$7:CX$106,$AJ23),1))))</ns0:f>
        <ns0:v>1</ns0:v>
      </ns0:c>
      <ns0:c r="CZ23" t="n">
        <ns0:f>IF($A23="",1,IF(CY23=1,1,--AND(IF($AC23&gt;0,INDEX(CY$7:CY$106,$AC23),1),IF($AD23&gt;0,INDEX(CY$7:CY$106,$AD23),1),IF($AE23&gt;0,INDEX(CY$7:CY$106,$AE23),1),IF($AF23&gt;0,INDEX(CY$7:CY$106,$AF23),1),IF($AG23&gt;0,INDEX(CY$7:CY$106,$AG23),1),IF($AH23&gt;0,INDEX(CY$7:CY$106,$AH23),1),IF($AI23&gt;0,INDEX(CY$7:CY$106,$AI23),1),IF($AJ23&gt;0,INDEX(CY$7:CY$106,$AJ23),1))))</ns0:f>
        <ns0:v>1</ns0:v>
      </ns0:c>
      <ns0:c r="DA23" t="n">
        <ns0:f>IF($A23="",1,IF(CZ23=1,1,--AND(IF($AC23&gt;0,INDEX(CZ$7:CZ$106,$AC23),1),IF($AD23&gt;0,INDEX(CZ$7:CZ$106,$AD23),1),IF($AE23&gt;0,INDEX(CZ$7:CZ$106,$AE23),1),IF($AF23&gt;0,INDEX(CZ$7:CZ$106,$AF23),1),IF($AG23&gt;0,INDEX(CZ$7:CZ$106,$AG23),1),IF($AH23&gt;0,INDEX(CZ$7:CZ$106,$AH23),1),IF($AI23&gt;0,INDEX(CZ$7:CZ$106,$AI23),1),IF($AJ23&gt;0,INDEX(CZ$7:CZ$106,$AJ23),1))))</ns0:f>
        <ns0:v>1</ns0:v>
      </ns0:c>
      <ns0:c r="DB23" t="n">
        <ns0:f>IF($A23="",1,IF(DA23=1,1,--AND(IF($AC23&gt;0,INDEX(DA$7:DA$106,$AC23),1),IF($AD23&gt;0,INDEX(DA$7:DA$106,$AD23),1),IF($AE23&gt;0,INDEX(DA$7:DA$106,$AE23),1),IF($AF23&gt;0,INDEX(DA$7:DA$106,$AF23),1),IF($AG23&gt;0,INDEX(DA$7:DA$106,$AG23),1),IF($AH23&gt;0,INDEX(DA$7:DA$106,$AH23),1),IF($AI23&gt;0,INDEX(DA$7:DA$106,$AI23),1),IF($AJ23&gt;0,INDEX(DA$7:DA$106,$AJ23),1))))</ns0:f>
        <ns0:v>1</ns0:v>
      </ns0:c>
      <ns0:c r="DC23" t="n">
        <ns0:f>IF($A23="",1,IF(DB23=1,1,--AND(IF($AC23&gt;0,INDEX(DB$7:DB$106,$AC23),1),IF($AD23&gt;0,INDEX(DB$7:DB$106,$AD23),1),IF($AE23&gt;0,INDEX(DB$7:DB$106,$AE23),1),IF($AF23&gt;0,INDEX(DB$7:DB$106,$AF23),1),IF($AG23&gt;0,INDEX(DB$7:DB$106,$AG23),1),IF($AH23&gt;0,INDEX(DB$7:DB$106,$AH23),1),IF($AI23&gt;0,INDEX(DB$7:DB$106,$AI23),1),IF($AJ23&gt;0,INDEX(DB$7:DB$106,$AJ23),1))))</ns0:f>
        <ns0:v>1</ns0:v>
      </ns0:c>
      <ns0:c r="DD23" t="n">
        <ns0:f>IF($A23="",1,IF(DC23=1,1,--AND(IF($AC23&gt;0,INDEX(DC$7:DC$106,$AC23),1),IF($AD23&gt;0,INDEX(DC$7:DC$106,$AD23),1),IF($AE23&gt;0,INDEX(DC$7:DC$106,$AE23),1),IF($AF23&gt;0,INDEX(DC$7:DC$106,$AF23),1),IF($AG23&gt;0,INDEX(DC$7:DC$106,$AG23),1),IF($AH23&gt;0,INDEX(DC$7:DC$106,$AH23),1),IF($AI23&gt;0,INDEX(DC$7:DC$106,$AI23),1),IF($AJ23&gt;0,INDEX(DC$7:DC$106,$AJ23),1))))</ns0:f>
        <ns0:v>1</ns0:v>
      </ns0:c>
      <ns0:c r="DE23" t="n">
        <ns0:f>IF($A23="",1,IF(DD23=1,1,--AND(IF($AC23&gt;0,INDEX(DD$7:DD$106,$AC23),1),IF($AD23&gt;0,INDEX(DD$7:DD$106,$AD23),1),IF($AE23&gt;0,INDEX(DD$7:DD$106,$AE23),1),IF($AF23&gt;0,INDEX(DD$7:DD$106,$AF23),1),IF($AG23&gt;0,INDEX(DD$7:DD$106,$AG23),1),IF($AH23&gt;0,INDEX(DD$7:DD$106,$AH23),1),IF($AI23&gt;0,INDEX(DD$7:DD$106,$AI23),1),IF($AJ23&gt;0,INDEX(DD$7:DD$106,$AJ23),1))))</ns0:f>
        <ns0:v>1</ns0:v>
      </ns0:c>
      <ns0:c r="DF23" t="n">
        <ns0:f>IF($A23="",1,IF(DE23=1,1,--AND(IF($AC23&gt;0,INDEX(DE$7:DE$106,$AC23),1),IF($AD23&gt;0,INDEX(DE$7:DE$106,$AD23),1),IF($AE23&gt;0,INDEX(DE$7:DE$106,$AE23),1),IF($AF23&gt;0,INDEX(DE$7:DE$106,$AF23),1),IF($AG23&gt;0,INDEX(DE$7:DE$106,$AG23),1),IF($AH23&gt;0,INDEX(DE$7:DE$106,$AH23),1),IF($AI23&gt;0,INDEX(DE$7:DE$106,$AI23),1),IF($AJ23&gt;0,INDEX(DE$7:DE$106,$AJ23),1))))</ns0:f>
        <ns0:v>1</ns0:v>
      </ns0:c>
      <ns0:c r="DG23" t="n">
        <ns0:f>IF($A23="",1,IF(DF23=1,1,--AND(IF($AC23&gt;0,INDEX(DF$7:DF$106,$AC23),1),IF($AD23&gt;0,INDEX(DF$7:DF$106,$AD23),1),IF($AE23&gt;0,INDEX(DF$7:DF$106,$AE23),1),IF($AF23&gt;0,INDEX(DF$7:DF$106,$AF23),1),IF($AG23&gt;0,INDEX(DF$7:DF$106,$AG23),1),IF($AH23&gt;0,INDEX(DF$7:DF$106,$AH23),1),IF($AI23&gt;0,INDEX(DF$7:DF$106,$AI23),1),IF($AJ23&gt;0,INDEX(DF$7:DF$106,$AJ23),1))))</ns0:f>
        <ns0:v>1</ns0:v>
      </ns0:c>
      <ns0:c r="DH23" t="n">
        <ns0:f>IF($A23="",1,IF(DG23=1,1,--AND(IF($AC23&gt;0,INDEX(DG$7:DG$106,$AC23),1),IF($AD23&gt;0,INDEX(DG$7:DG$106,$AD23),1),IF($AE23&gt;0,INDEX(DG$7:DG$106,$AE23),1),IF($AF23&gt;0,INDEX(DG$7:DG$106,$AF23),1),IF($AG23&gt;0,INDEX(DG$7:DG$106,$AG23),1),IF($AH23&gt;0,INDEX(DG$7:DG$106,$AH23),1),IF($AI23&gt;0,INDEX(DG$7:DG$106,$AI23),1),IF($AJ23&gt;0,INDEX(DG$7:DG$106,$AJ23),1))))</ns0:f>
        <ns0:v>1</ns0:v>
      </ns0:c>
      <ns0:c r="DI23" t="n">
        <ns0:f>IF($A23="",1,IF(DH23=1,1,--AND(IF($AC23&gt;0,INDEX(DH$7:DH$106,$AC23),1),IF($AD23&gt;0,INDEX(DH$7:DH$106,$AD23),1),IF($AE23&gt;0,INDEX(DH$7:DH$106,$AE23),1),IF($AF23&gt;0,INDEX(DH$7:DH$106,$AF23),1),IF($AG23&gt;0,INDEX(DH$7:DH$106,$AG23),1),IF($AH23&gt;0,INDEX(DH$7:DH$106,$AH23),1),IF($AI23&gt;0,INDEX(DH$7:DH$106,$AI23),1),IF($AJ23&gt;0,INDEX(DH$7:DH$106,$AJ23),1))))</ns0:f>
        <ns0:v>1</ns0:v>
      </ns0:c>
      <ns0:c r="DJ23" t="n">
        <ns0:f>IF($A23="",1,IF(DI23=1,1,--AND(IF($AC23&gt;0,INDEX(DI$7:DI$106,$AC23),1),IF($AD23&gt;0,INDEX(DI$7:DI$106,$AD23),1),IF($AE23&gt;0,INDEX(DI$7:DI$106,$AE23),1),IF($AF23&gt;0,INDEX(DI$7:DI$106,$AF23),1),IF($AG23&gt;0,INDEX(DI$7:DI$106,$AG23),1),IF($AH23&gt;0,INDEX(DI$7:DI$106,$AH23),1),IF($AI23&gt;0,INDEX(DI$7:DI$106,$AI23),1),IF($AJ23&gt;0,INDEX(DI$7:DI$106,$AJ23),1))))</ns0:f>
        <ns0:v>1</ns0:v>
      </ns0:c>
      <ns0:c r="DK23" t="n">
        <ns0:f>IF($A23="",1,IF(DJ23=1,1,--AND(IF($AC23&gt;0,INDEX(DJ$7:DJ$106,$AC23),1),IF($AD23&gt;0,INDEX(DJ$7:DJ$106,$AD23),1),IF($AE23&gt;0,INDEX(DJ$7:DJ$106,$AE23),1),IF($AF23&gt;0,INDEX(DJ$7:DJ$106,$AF23),1),IF($AG23&gt;0,INDEX(DJ$7:DJ$106,$AG23),1),IF($AH23&gt;0,INDEX(DJ$7:DJ$106,$AH23),1),IF($AI23&gt;0,INDEX(DJ$7:DJ$106,$AI23),1),IF($AJ23&gt;0,INDEX(DJ$7:DJ$106,$AJ23),1))))</ns0:f>
        <ns0:v>1</ns0:v>
      </ns0:c>
      <ns0:c r="DL23" t="n">
        <ns0:f>IF($A23="",1,IF(DK23=1,1,--AND(IF($AC23&gt;0,INDEX(DK$7:DK$106,$AC23),1),IF($AD23&gt;0,INDEX(DK$7:DK$106,$AD23),1),IF($AE23&gt;0,INDEX(DK$7:DK$106,$AE23),1),IF($AF23&gt;0,INDEX(DK$7:DK$106,$AF23),1),IF($AG23&gt;0,INDEX(DK$7:DK$106,$AG23),1),IF($AH23&gt;0,INDEX(DK$7:DK$106,$AH23),1),IF($AI23&gt;0,INDEX(DK$7:DK$106,$AI23),1),IF($AJ23&gt;0,INDEX(DK$7:DK$106,$AJ23),1))))</ns0:f>
        <ns0:v>1</ns0:v>
      </ns0:c>
      <ns0:c r="DM23" t="n">
        <ns0:f>IF($A23="",1,IF(DL23=1,1,--AND(IF($AC23&gt;0,INDEX(DL$7:DL$106,$AC23),1),IF($AD23&gt;0,INDEX(DL$7:DL$106,$AD23),1),IF($AE23&gt;0,INDEX(DL$7:DL$106,$AE23),1),IF($AF23&gt;0,INDEX(DL$7:DL$106,$AF23),1),IF($AG23&gt;0,INDEX(DL$7:DL$106,$AG23),1),IF($AH23&gt;0,INDEX(DL$7:DL$106,$AH23),1),IF($AI23&gt;0,INDEX(DL$7:DL$106,$AI23),1),IF($AJ23&gt;0,INDEX(DL$7:DL$106,$AJ23),1))))</ns0:f>
        <ns0:v>1</ns0:v>
      </ns0:c>
      <ns0:c r="DN23" t="n">
        <ns0:f>IF($A23="",1,IF(DM23=1,1,--AND(IF($AC23&gt;0,INDEX(DM$7:DM$106,$AC23),1),IF($AD23&gt;0,INDEX(DM$7:DM$106,$AD23),1),IF($AE23&gt;0,INDEX(DM$7:DM$106,$AE23),1),IF($AF23&gt;0,INDEX(DM$7:DM$106,$AF23),1),IF($AG23&gt;0,INDEX(DM$7:DM$106,$AG23),1),IF($AH23&gt;0,INDEX(DM$7:DM$106,$AH23),1),IF($AI23&gt;0,INDEX(DM$7:DM$106,$AI23),1),IF($AJ23&gt;0,INDEX(DM$7:DM$106,$AJ23),1))))</ns0:f>
        <ns0:v>1</ns0:v>
      </ns0:c>
      <ns0:c r="DO23" t="n">
        <ns0:f>IF($A23="",1,IF(DN23=1,1,--AND(IF($AC23&gt;0,INDEX(DN$7:DN$106,$AC23),1),IF($AD23&gt;0,INDEX(DN$7:DN$106,$AD23),1),IF($AE23&gt;0,INDEX(DN$7:DN$106,$AE23),1),IF($AF23&gt;0,INDEX(DN$7:DN$106,$AF23),1),IF($AG23&gt;0,INDEX(DN$7:DN$106,$AG23),1),IF($AH23&gt;0,INDEX(DN$7:DN$106,$AH23),1),IF($AI23&gt;0,INDEX(DN$7:DN$106,$AI23),1),IF($AJ23&gt;0,INDEX(DN$7:DN$106,$AJ23),1))))</ns0:f>
        <ns0:v>1</ns0:v>
      </ns0:c>
      <ns0:c r="DP23" t="n">
        <ns0:f>IF($A23="",1,IF(DO23=1,1,--AND(IF($AC23&gt;0,INDEX(DO$7:DO$106,$AC23),1),IF($AD23&gt;0,INDEX(DO$7:DO$106,$AD23),1),IF($AE23&gt;0,INDEX(DO$7:DO$106,$AE23),1),IF($AF23&gt;0,INDEX(DO$7:DO$106,$AF23),1),IF($AG23&gt;0,INDEX(DO$7:DO$106,$AG23),1),IF($AH23&gt;0,INDEX(DO$7:DO$106,$AH23),1),IF($AI23&gt;0,INDEX(DO$7:DO$106,$AI23),1),IF($AJ23&gt;0,INDEX(DO$7:DO$106,$AJ23),1))))</ns0:f>
        <ns0:v>1</ns0:v>
      </ns0:c>
      <ns0:c r="DQ23" t="n">
        <ns0:f>IF($A23="",1,IF(DP23=1,1,--AND(IF($AC23&gt;0,INDEX(DP$7:DP$106,$AC23),1),IF($AD23&gt;0,INDEX(DP$7:DP$106,$AD23),1),IF($AE23&gt;0,INDEX(DP$7:DP$106,$AE23),1),IF($AF23&gt;0,INDEX(DP$7:DP$106,$AF23),1),IF($AG23&gt;0,INDEX(DP$7:DP$106,$AG23),1),IF($AH23&gt;0,INDEX(DP$7:DP$106,$AH23),1),IF($AI23&gt;0,INDEX(DP$7:DP$106,$AI23),1),IF($AJ23&gt;0,INDEX(DP$7:DP$106,$AJ23),1))))</ns0:f>
        <ns0:v>1</ns0:v>
      </ns0:c>
      <ns0:c r="DR23" t="n">
        <ns0:f>IF($A23="",1,IF(DQ23=1,1,--AND(IF($AC23&gt;0,INDEX(DQ$7:DQ$106,$AC23),1),IF($AD23&gt;0,INDEX(DQ$7:DQ$106,$AD23),1),IF($AE23&gt;0,INDEX(DQ$7:DQ$106,$AE23),1),IF($AF23&gt;0,INDEX(DQ$7:DQ$106,$AF23),1),IF($AG23&gt;0,INDEX(DQ$7:DQ$106,$AG23),1),IF($AH23&gt;0,INDEX(DQ$7:DQ$106,$AH23),1),IF($AI23&gt;0,INDEX(DQ$7:DQ$106,$AI23),1),IF($AJ23&gt;0,INDEX(DQ$7:DQ$106,$AJ23),1))))</ns0:f>
        <ns0:v>1</ns0:v>
      </ns0:c>
      <ns0:c r="DS23" t="n">
        <ns0:f>IF($A23="",1,IF(DR23=1,1,--AND(IF($AC23&gt;0,INDEX(DR$7:DR$106,$AC23),1),IF($AD23&gt;0,INDEX(DR$7:DR$106,$AD23),1),IF($AE23&gt;0,INDEX(DR$7:DR$106,$AE23),1),IF($AF23&gt;0,INDEX(DR$7:DR$106,$AF23),1),IF($AG23&gt;0,INDEX(DR$7:DR$106,$AG23),1),IF($AH23&gt;0,INDEX(DR$7:DR$106,$AH23),1),IF($AI23&gt;0,INDEX(DR$7:DR$106,$AI23),1),IF($AJ23&gt;0,INDEX(DR$7:DR$106,$AJ23),1))))</ns0:f>
        <ns0:v>1</ns0:v>
      </ns0:c>
      <ns0:c r="DT23" t="n">
        <ns0:f>IF($A23="",1,IF(DS23=1,1,--AND(IF($AC23&gt;0,INDEX(DS$7:DS$106,$AC23),1),IF($AD23&gt;0,INDEX(DS$7:DS$106,$AD23),1),IF($AE23&gt;0,INDEX(DS$7:DS$106,$AE23),1),IF($AF23&gt;0,INDEX(DS$7:DS$106,$AF23),1),IF($AG23&gt;0,INDEX(DS$7:DS$106,$AG23),1),IF($AH23&gt;0,INDEX(DS$7:DS$106,$AH23),1),IF($AI23&gt;0,INDEX(DS$7:DS$106,$AI23),1),IF($AJ23&gt;0,INDEX(DS$7:DS$106,$AJ23),1))))</ns0:f>
        <ns0:v>1</ns0:v>
      </ns0:c>
      <ns0:c r="DU23" t="n">
        <ns0:f>IF($A23="",1,IF(DT23=1,1,--AND(IF($AC23&gt;0,INDEX(DT$7:DT$106,$AC23),1),IF($AD23&gt;0,INDEX(DT$7:DT$106,$AD23),1),IF($AE23&gt;0,INDEX(DT$7:DT$106,$AE23),1),IF($AF23&gt;0,INDEX(DT$7:DT$106,$AF23),1),IF($AG23&gt;0,INDEX(DT$7:DT$106,$AG23),1),IF($AH23&gt;0,INDEX(DT$7:DT$106,$AH23),1),IF($AI23&gt;0,INDEX(DT$7:DT$106,$AI23),1),IF($AJ23&gt;0,INDEX(DT$7:DT$106,$AJ23),1))))</ns0:f>
        <ns0:v>1</ns0:v>
      </ns0:c>
      <ns0:c r="DV23" t="n">
        <ns0:f>IF($A23="",1,IF(DU23=1,1,--AND(IF($AC23&gt;0,INDEX(DU$7:DU$106,$AC23),1),IF($AD23&gt;0,INDEX(DU$7:DU$106,$AD23),1),IF($AE23&gt;0,INDEX(DU$7:DU$106,$AE23),1),IF($AF23&gt;0,INDEX(DU$7:DU$106,$AF23),1),IF($AG23&gt;0,INDEX(DU$7:DU$106,$AG23),1),IF($AH23&gt;0,INDEX(DU$7:DU$106,$AH23),1),IF($AI23&gt;0,INDEX(DU$7:DU$106,$AI23),1),IF($AJ23&gt;0,INDEX(DU$7:DU$106,$AJ23),1))))</ns0:f>
        <ns0:v>1</ns0:v>
      </ns0:c>
      <ns0:c r="DW23" t="n">
        <ns0:f>IF($A23="",1,IF(DV23=1,1,--AND(IF($AC23&gt;0,INDEX(DV$7:DV$106,$AC23),1),IF($AD23&gt;0,INDEX(DV$7:DV$106,$AD23),1),IF($AE23&gt;0,INDEX(DV$7:DV$106,$AE23),1),IF($AF23&gt;0,INDEX(DV$7:DV$106,$AF23),1),IF($AG23&gt;0,INDEX(DV$7:DV$106,$AG23),1),IF($AH23&gt;0,INDEX(DV$7:DV$106,$AH23),1),IF($AI23&gt;0,INDEX(DV$7:DV$106,$AI23),1),IF($AJ23&gt;0,INDEX(DV$7:DV$106,$AJ23),1))))</ns0:f>
        <ns0:v>1</ns0:v>
      </ns0:c>
      <ns0:c r="DX23" t="n">
        <ns0:f>IF($A23="",1,IF(DW23=1,1,--AND(IF($AC23&gt;0,INDEX(DW$7:DW$106,$AC23),1),IF($AD23&gt;0,INDEX(DW$7:DW$106,$AD23),1),IF($AE23&gt;0,INDEX(DW$7:DW$106,$AE23),1),IF($AF23&gt;0,INDEX(DW$7:DW$106,$AF23),1),IF($AG23&gt;0,INDEX(DW$7:DW$106,$AG23),1),IF($AH23&gt;0,INDEX(DW$7:DW$106,$AH23),1),IF($AI23&gt;0,INDEX(DW$7:DW$106,$AI23),1),IF($AJ23&gt;0,INDEX(DW$7:DW$106,$AJ23),1))))</ns0:f>
        <ns0:v>1</ns0:v>
      </ns0:c>
      <ns0:c r="DY23" t="n">
        <ns0:f>IF($A23="",1,IF(DX23=1,1,--AND(IF($AC23&gt;0,INDEX(DX$7:DX$106,$AC23),1),IF($AD23&gt;0,INDEX(DX$7:DX$106,$AD23),1),IF($AE23&gt;0,INDEX(DX$7:DX$106,$AE23),1),IF($AF23&gt;0,INDEX(DX$7:DX$106,$AF23),1),IF($AG23&gt;0,INDEX(DX$7:DX$106,$AG23),1),IF($AH23&gt;0,INDEX(DX$7:DX$106,$AH23),1),IF($AI23&gt;0,INDEX(DX$7:DX$106,$AI23),1),IF($AJ23&gt;0,INDEX(DX$7:DX$106,$AJ23),1))))</ns0:f>
        <ns0:v>1</ns0:v>
      </ns0:c>
      <ns0:c r="DZ23" t="n">
        <ns0:f>IF($A23="",1,IF(DY23=1,1,--AND(IF($AC23&gt;0,INDEX(DY$7:DY$106,$AC23),1),IF($AD23&gt;0,INDEX(DY$7:DY$106,$AD23),1),IF($AE23&gt;0,INDEX(DY$7:DY$106,$AE23),1),IF($AF23&gt;0,INDEX(DY$7:DY$106,$AF23),1),IF($AG23&gt;0,INDEX(DY$7:DY$106,$AG23),1),IF($AH23&gt;0,INDEX(DY$7:DY$106,$AH23),1),IF($AI23&gt;0,INDEX(DY$7:DY$106,$AI23),1),IF($AJ23&gt;0,INDEX(DY$7:DY$106,$AJ23),1))))</ns0:f>
        <ns0:v>1</ns0:v>
      </ns0:c>
      <ns0:c r="EA23" t="n">
        <ns0:f>IF($A23="",1,IF(DZ23=1,1,--AND(IF($AC23&gt;0,INDEX(DZ$7:DZ$106,$AC23),1),IF($AD23&gt;0,INDEX(DZ$7:DZ$106,$AD23),1),IF($AE23&gt;0,INDEX(DZ$7:DZ$106,$AE23),1),IF($AF23&gt;0,INDEX(DZ$7:DZ$106,$AF23),1),IF($AG23&gt;0,INDEX(DZ$7:DZ$106,$AG23),1),IF($AH23&gt;0,INDEX(DZ$7:DZ$106,$AH23),1),IF($AI23&gt;0,INDEX(DZ$7:DZ$106,$AI23),1),IF($AJ23&gt;0,INDEX(DZ$7:DZ$106,$AJ23),1))))</ns0:f>
        <ns0:v>1</ns0:v>
      </ns0:c>
      <ns0:c r="EB23" t="n">
        <ns0:f>IF($A23="",1,IF(EA23=1,1,--AND(IF($AC23&gt;0,INDEX(EA$7:EA$106,$AC23),1),IF($AD23&gt;0,INDEX(EA$7:EA$106,$AD23),1),IF($AE23&gt;0,INDEX(EA$7:EA$106,$AE23),1),IF($AF23&gt;0,INDEX(EA$7:EA$106,$AF23),1),IF($AG23&gt;0,INDEX(EA$7:EA$106,$AG23),1),IF($AH23&gt;0,INDEX(EA$7:EA$106,$AH23),1),IF($AI23&gt;0,INDEX(EA$7:EA$106,$AI23),1),IF($AJ23&gt;0,INDEX(EA$7:EA$106,$AJ23),1))))</ns0:f>
        <ns0:v>1</ns0:v>
      </ns0:c>
      <ns0:c r="EC23" t="n">
        <ns0:f>IF($A23="",1,IF(EB23=1,1,--AND(IF($AC23&gt;0,INDEX(EB$7:EB$106,$AC23),1),IF($AD23&gt;0,INDEX(EB$7:EB$106,$AD23),1),IF($AE23&gt;0,INDEX(EB$7:EB$106,$AE23),1),IF($AF23&gt;0,INDEX(EB$7:EB$106,$AF23),1),IF($AG23&gt;0,INDEX(EB$7:EB$106,$AG23),1),IF($AH23&gt;0,INDEX(EB$7:EB$106,$AH23),1),IF($AI23&gt;0,INDEX(EB$7:EB$106,$AI23),1),IF($AJ23&gt;0,INDEX(EB$7:EB$106,$AJ23),1))))</ns0:f>
        <ns0:v>1</ns0:v>
      </ns0:c>
      <ns0:c r="ED23" t="n">
        <ns0:f>IF($A23="",1,IF(EC23=1,1,--AND(IF($AC23&gt;0,INDEX(EC$7:EC$106,$AC23),1),IF($AD23&gt;0,INDEX(EC$7:EC$106,$AD23),1),IF($AE23&gt;0,INDEX(EC$7:EC$106,$AE23),1),IF($AF23&gt;0,INDEX(EC$7:EC$106,$AF23),1),IF($AG23&gt;0,INDEX(EC$7:EC$106,$AG23),1),IF($AH23&gt;0,INDEX(EC$7:EC$106,$AH23),1),IF($AI23&gt;0,INDEX(EC$7:EC$106,$AI23),1),IF($AJ23&gt;0,INDEX(EC$7:EC$106,$AJ23),1))))</ns0:f>
        <ns0:v>1</ns0:v>
      </ns0:c>
      <ns0:c r="EE23" t="n">
        <ns0:f>IF($A23="",1,IF(ED23=1,1,--AND(IF($AC23&gt;0,INDEX(ED$7:ED$106,$AC23),1),IF($AD23&gt;0,INDEX(ED$7:ED$106,$AD23),1),IF($AE23&gt;0,INDEX(ED$7:ED$106,$AE23),1),IF($AF23&gt;0,INDEX(ED$7:ED$106,$AF23),1),IF($AG23&gt;0,INDEX(ED$7:ED$106,$AG23),1),IF($AH23&gt;0,INDEX(ED$7:ED$106,$AH23),1),IF($AI23&gt;0,INDEX(ED$7:ED$106,$AI23),1),IF($AJ23&gt;0,INDEX(ED$7:ED$106,$AJ23),1))))</ns0:f>
        <ns0:v>1</ns0:v>
      </ns0:c>
      <ns0:c r="EF23" t="n">
        <ns0:f>IF($A23="",1,IF(EE23=1,1,--AND(IF($AC23&gt;0,INDEX(EE$7:EE$106,$AC23),1),IF($AD23&gt;0,INDEX(EE$7:EE$106,$AD23),1),IF($AE23&gt;0,INDEX(EE$7:EE$106,$AE23),1),IF($AF23&gt;0,INDEX(EE$7:EE$106,$AF23),1),IF($AG23&gt;0,INDEX(EE$7:EE$106,$AG23),1),IF($AH23&gt;0,INDEX(EE$7:EE$106,$AH23),1),IF($AI23&gt;0,INDEX(EE$7:EE$106,$AI23),1),IF($AJ23&gt;0,INDEX(EE$7:EE$106,$AJ23),1))))</ns0:f>
        <ns0:v>1</ns0:v>
      </ns0:c>
      <ns0:c r="EG23" t="n">
        <ns0:f>IF($A23="",1,IF(EF23=1,1,--AND(IF($AC23&gt;0,INDEX(EF$7:EF$106,$AC23),1),IF($AD23&gt;0,INDEX(EF$7:EF$106,$AD23),1),IF($AE23&gt;0,INDEX(EF$7:EF$106,$AE23),1),IF($AF23&gt;0,INDEX(EF$7:EF$106,$AF23),1),IF($AG23&gt;0,INDEX(EF$7:EF$106,$AG23),1),IF($AH23&gt;0,INDEX(EF$7:EF$106,$AH23),1),IF($AI23&gt;0,INDEX(EF$7:EF$106,$AI23),1),IF($AJ23&gt;0,INDEX(EF$7:EF$106,$AJ23),1))))</ns0:f>
        <ns0:v>1</ns0:v>
      </ns0:c>
      <ns0:c r="EH23" t="n">
        <ns0:f>IF($A23="",1,IF(EG23=1,1,--AND(IF($AC23&gt;0,INDEX(EG$7:EG$106,$AC23),1),IF($AD23&gt;0,INDEX(EG$7:EG$106,$AD23),1),IF($AE23&gt;0,INDEX(EG$7:EG$106,$AE23),1),IF($AF23&gt;0,INDEX(EG$7:EG$106,$AF23),1),IF($AG23&gt;0,INDEX(EG$7:EG$106,$AG23),1),IF($AH23&gt;0,INDEX(EG$7:EG$106,$AH23),1),IF($AI23&gt;0,INDEX(EG$7:EG$106,$AI23),1),IF($AJ23&gt;0,INDEX(EG$7:EG$106,$AJ23),1))))</ns0:f>
        <ns0:v>1</ns0:v>
      </ns0:c>
      <ns0:c r="EI23" t="n">
        <ns0:f>IF($A23="",1,IF(EH23=1,1,--AND(IF($AC23&gt;0,INDEX(EH$7:EH$106,$AC23),1),IF($AD23&gt;0,INDEX(EH$7:EH$106,$AD23),1),IF($AE23&gt;0,INDEX(EH$7:EH$106,$AE23),1),IF($AF23&gt;0,INDEX(EH$7:EH$106,$AF23),1),IF($AG23&gt;0,INDEX(EH$7:EH$106,$AG23),1),IF($AH23&gt;0,INDEX(EH$7:EH$106,$AH23),1),IF($AI23&gt;0,INDEX(EH$7:EH$106,$AI23),1),IF($AJ23&gt;0,INDEX(EH$7:EH$106,$AJ23),1))))</ns0:f>
        <ns0:v>1</ns0:v>
      </ns0:c>
      <ns0:c r="EJ23" t="n">
        <ns0:f>IF($A23="",1,IF(EI23=1,1,--AND(IF($AC23&gt;0,INDEX(EI$7:EI$106,$AC23),1),IF($AD23&gt;0,INDEX(EI$7:EI$106,$AD23),1),IF($AE23&gt;0,INDEX(EI$7:EI$106,$AE23),1),IF($AF23&gt;0,INDEX(EI$7:EI$106,$AF23),1),IF($AG23&gt;0,INDEX(EI$7:EI$106,$AG23),1),IF($AH23&gt;0,INDEX(EI$7:EI$106,$AH23),1),IF($AI23&gt;0,INDEX(EI$7:EI$106,$AI23),1),IF($AJ23&gt;0,INDEX(EI$7:EI$106,$AJ23),1))))</ns0:f>
        <ns0:v>1</ns0:v>
      </ns0:c>
      <ns0:c r="EK23" t="n">
        <ns0:f>IF($A23="",1,IF(EJ23=1,1,--AND(IF($AC23&gt;0,INDEX(EJ$7:EJ$106,$AC23),1),IF($AD23&gt;0,INDEX(EJ$7:EJ$106,$AD23),1),IF($AE23&gt;0,INDEX(EJ$7:EJ$106,$AE23),1),IF($AF23&gt;0,INDEX(EJ$7:EJ$106,$AF23),1),IF($AG23&gt;0,INDEX(EJ$7:EJ$106,$AG23),1),IF($AH23&gt;0,INDEX(EJ$7:EJ$106,$AH23),1),IF($AI23&gt;0,INDEX(EJ$7:EJ$106,$AI23),1),IF($AJ23&gt;0,INDEX(EJ$7:EJ$106,$AJ23),1))))</ns0:f>
        <ns0:v>1</ns0:v>
      </ns0:c>
      <ns0:c r="EL23" t="n">
        <ns0:f>IF($A23="",1,IF(EK23=1,1,--AND(IF($AC23&gt;0,INDEX(EK$7:EK$106,$AC23),1),IF($AD23&gt;0,INDEX(EK$7:EK$106,$AD23),1),IF($AE23&gt;0,INDEX(EK$7:EK$106,$AE23),1),IF($AF23&gt;0,INDEX(EK$7:EK$106,$AF23),1),IF($AG23&gt;0,INDEX(EK$7:EK$106,$AG23),1),IF($AH23&gt;0,INDEX(EK$7:EK$106,$AH23),1),IF($AI23&gt;0,INDEX(EK$7:EK$106,$AI23),1),IF($AJ23&gt;0,INDEX(EK$7:EK$106,$AJ23),1))))</ns0:f>
        <ns0:v>1</ns0:v>
      </ns0:c>
      <ns0:c r="EM23" t="n">
        <ns0:f>IF($A23="",1,IF(EL23=1,1,--AND(IF($AC23&gt;0,INDEX(EL$7:EL$106,$AC23),1),IF($AD23&gt;0,INDEX(EL$7:EL$106,$AD23),1),IF($AE23&gt;0,INDEX(EL$7:EL$106,$AE23),1),IF($AF23&gt;0,INDEX(EL$7:EL$106,$AF23),1),IF($AG23&gt;0,INDEX(EL$7:EL$106,$AG23),1),IF($AH23&gt;0,INDEX(EL$7:EL$106,$AH23),1),IF($AI23&gt;0,INDEX(EL$7:EL$106,$AI23),1),IF($AJ23&gt;0,INDEX(EL$7:EL$106,$AJ23),1))))</ns0:f>
        <ns0:v>1</ns0:v>
      </ns0:c>
      <ns0:c r="EN23" t="n">
        <ns0:f>IF($A23="",1,IF(EM23=1,1,--AND(IF($AC23&gt;0,INDEX(EM$7:EM$106,$AC23),1),IF($AD23&gt;0,INDEX(EM$7:EM$106,$AD23),1),IF($AE23&gt;0,INDEX(EM$7:EM$106,$AE23),1),IF($AF23&gt;0,INDEX(EM$7:EM$106,$AF23),1),IF($AG23&gt;0,INDEX(EM$7:EM$106,$AG23),1),IF($AH23&gt;0,INDEX(EM$7:EM$106,$AH23),1),IF($AI23&gt;0,INDEX(EM$7:EM$106,$AI23),1),IF($AJ23&gt;0,INDEX(EM$7:EM$106,$AJ23),1))))</ns0:f>
        <ns0:v>1</ns0:v>
      </ns0:c>
      <ns0:c r="EO23" t="n">
        <ns0:f>IF($A23="",1,IF(EN23=1,1,--AND(IF($AC23&gt;0,INDEX(EN$7:EN$106,$AC23),1),IF($AD23&gt;0,INDEX(EN$7:EN$106,$AD23),1),IF($AE23&gt;0,INDEX(EN$7:EN$106,$AE23),1),IF($AF23&gt;0,INDEX(EN$7:EN$106,$AF23),1),IF($AG23&gt;0,INDEX(EN$7:EN$106,$AG23),1),IF($AH23&gt;0,INDEX(EN$7:EN$106,$AH23),1),IF($AI23&gt;0,INDEX(EN$7:EN$106,$AI23),1),IF($AJ23&gt;0,INDEX(EN$7:EN$106,$AJ23),1))))</ns0:f>
        <ns0:v>1</ns0:v>
      </ns0:c>
      <ns0:c r="EP23" t="n">
        <ns0:f>IF($A23="",1,IF(EO23=1,1,--AND(IF($AC23&gt;0,INDEX(EO$7:EO$106,$AC23),1),IF($AD23&gt;0,INDEX(EO$7:EO$106,$AD23),1),IF($AE23&gt;0,INDEX(EO$7:EO$106,$AE23),1),IF($AF23&gt;0,INDEX(EO$7:EO$106,$AF23),1),IF($AG23&gt;0,INDEX(EO$7:EO$106,$AG23),1),IF($AH23&gt;0,INDEX(EO$7:EO$106,$AH23),1),IF($AI23&gt;0,INDEX(EO$7:EO$106,$AI23),1),IF($AJ23&gt;0,INDEX(EO$7:EO$106,$AJ23),1))))</ns0:f>
        <ns0:v>1</ns0:v>
      </ns0:c>
      <ns0:c r="EQ23" t="n">
        <ns0:f>IF(OR(A23="",NOT(ISNUMBER(G23))),0,G23*N23)</ns0:f>
        <ns0:v>0</ns0:v>
      </ns0:c>
    </ns0:row>
    <ns0:row r="24" ht="62" customHeight="1">
      <ns0:c r="A24" s="48" t="str">
        <ns0:v>T15</ns0:v>
      </ns0:c>
      <ns0:c r="B24" s="48" t="str">
        <ns0:v>Intelligence &amp; assets</ns0:v>
      </ns0:c>
      <ns0:c r="C24" s="48" t="str">
        <ns0:v>Configure Intelligence Engine context assembly &amp; brand persona layer</ns0:v>
      </ns0:c>
      <ns0:c r="D24" s="48" t="str">
        <ns0:v>Assemble persona, bounded grants, tools, token budgets and context.</ns0:v>
      </ns0:c>
      <ns0:c r="E24" s="49" t="n">
        <ns0:v>46284</ns0:v>
      </ns0:c>
      <ns0:c r="F24" s="49" t="n">
        <ns0:v>46284</ns0:v>
      </ns0:c>
      <ns0:c r="G24" s="13" t="n">
        <ns0:f>IF(A24="","",IF(OR(NOT(ISNUMBER(E24)),NOT(ISNUMBER(F24)),F24&lt;E24),"",IF(J24="Yes",0,F24-E24+1)))</ns0:f>
        <ns0:v>1</ns0:v>
      </ns0:c>
      <ns0:c r="H24" s="48" t="str">
        <ns0:v>T04,T10</ns0:v>
      </ns0:c>
      <ns0:c r="I24" s="48" t="str">
        <ns0:v>FS</ns0:v>
      </ns0:c>
      <ns0:c r="J24" s="48" t="str">
        <ns0:v>No</ns0:v>
      </ns0:c>
      <ns0:c r="K24" s="48" t="str">
        <ns0:v>Intelligence Engine (IE / Orchestrator)</ns0:v>
      </ns0:c>
      <ns0:c r="L24" s="48" t="str"/>
      <ns0:c r="M24" s="50" t="str">
        <ns0:f>IF(A24="","",IF(N24=1,"Completed",IF(N24&gt;0,"In Progress","Not Started")))</ns0:f>
        <ns0:v>Not Started</ns0:v>
      </ns0:c>
      <ns0:c r="N24" s="51" t="n">
        <ns0:v>0</ns0:v>
      </ns0:c>
      <ns0:c r="O24" s="13" t="str">
        <ns0:f>IF(A24="","",IF(R24&lt;&gt;"","[CONFLICT] "&amp;R24,IF(S24&lt;&gt;"","[CONFLICT] "&amp;S24,IF(OR(NOT(ISNUMBER(N24)),N24&lt;0,N24&gt;1),"[CONFLICT] Invalid progress",IF(AK24&gt;0,"[DEPENDENCY ISSUE] Missing ID / &gt;8 links",IF(AM24&gt;0,"[DEPENDENCY ISSUE] Cycle or blocked by cycle",IF(AND(H24&lt;&gt;"",ISNA(MATCH(I24,{"FS","SS","FF","SF"},0))),"[DEPENDENCY ISSUE] Invalid type",IF(AL24&gt;0,"[DEPENDENCY ISSUE] Timing conflict",IF(OR(E24&lt;ProjectStart,F24&gt;ProjectEnd),"[OUTSIDE WINDOW]",IF(AND(N24&lt;1,F24&lt;AsOfDate),"Overdue",IF(AND(M24&lt;&gt;Q24,M24&lt;&gt;""),"[CONFLICT] Status / progress","On track")))))))))))</ns0:f>
        <ns0:v>On track</ns0:v>
      </ns0:c>
      <ns0:c r="P24" s="52" t="str">
        <ns0:v>Source: Project Plan Essentials (2).md §1, §2, §4. Original 2026-09-23 to 2026-09-24, 2d; original progress 100% [INFERRED]. [INFERRED] Rescheduled to fit 34d with FS. Duration reduced to 1d. Original resource/tools: Intelligence Engine (IE).</ns0:v>
      </ns0:c>
      <ns0:c r="Q24" t="str">
        <ns0:f>IF(A24="","",IF(OR(M24="On Hold",M24="Delayed"),M24,IF(N24=1,"Completed",IF(N24&gt;0,"In Progress","Not Started"))))</ns0:f>
        <ns0:v>Not Started</ns0:v>
      </ns0:c>
      <ns0:c r="R24" t="str">
        <ns0:f>IF(A24="","",IF(COUNTIFS(Tasks[Task ID],A24)&lt;&gt;1,"Duplicate ID",""))</ns0:f>
      </ns0:c>
      <ns0:c r="S24" t="str">
        <ns0:f>IF(A24="","",IF(OR(NOT(ISNUMBER(E24)),NOT(ISNUMBER(F24))),"Invalid / missing date",IF(OR(E24&lt;&gt;INT(E24),F24&lt;&gt;INT(F24),E24&lt;1,F24&gt;2958465),"Invalid date",IF(F24&lt;E24,"End before start",IF(AND(J24="Yes",E24&lt;&gt;F24),"Milestone needs one date","")))))</ns0:f>
      </ns0:c>
      <ns0:c r="T24" t="n">
        <ns0:f>IF(H24="",0,LEN(H24)-LEN(SUBSTITUTE(H24,",",""))+1)</ns0:f>
        <ns0:v>2</ns0:v>
      </ns0:c>
      <ns0:c r="U24" t="str">
        <ns0:f>TRIM(MID(SUBSTITUTE($H24,",",REPT(" ",100)),1,100))</ns0:f>
        <ns0:v>T04</ns0:v>
      </ns0:c>
      <ns0:c r="V24" t="str">
        <ns0:f>TRIM(MID(SUBSTITUTE($H24,",",REPT(" ",100)),101,100))</ns0:f>
        <ns0:v>T10</ns0:v>
      </ns0:c>
      <ns0:c r="W24" t="str">
        <ns0:f>TRIM(MID(SUBSTITUTE($H24,",",REPT(" ",100)),201,100))</ns0:f>
      </ns0:c>
      <ns0:c r="X24" t="str">
        <ns0:f>TRIM(MID(SUBSTITUTE($H24,",",REPT(" ",100)),301,100))</ns0:f>
      </ns0:c>
      <ns0:c r="Y24" t="str">
        <ns0:f>TRIM(MID(SUBSTITUTE($H24,",",REPT(" ",100)),401,100))</ns0:f>
      </ns0:c>
      <ns0:c r="Z24" t="str">
        <ns0:f>TRIM(MID(SUBSTITUTE($H24,",",REPT(" ",100)),501,100))</ns0:f>
      </ns0:c>
      <ns0:c r="AA24" t="str">
        <ns0:f>TRIM(MID(SUBSTITUTE($H24,",",REPT(" ",100)),601,100))</ns0:f>
      </ns0:c>
      <ns0:c r="AB24" t="str">
        <ns0:f>TRIM(MID(SUBSTITUTE($H24,",",REPT(" ",100)),701,100))</ns0:f>
      </ns0:c>
      <ns0:c r="AC24" t="n">
        <ns0:f>IF(U24="",0,IF(COUNTIFS(Tasks[Task ID],U24)=1,MATCH(U24,Tasks[Task ID],0),-1))</ns0:f>
        <ns0:v>4</ns0:v>
      </ns0:c>
      <ns0:c r="AD24" t="n">
        <ns0:f>IF(V24="",0,IF(COUNTIFS(Tasks[Task ID],V24)=1,MATCH(V24,Tasks[Task ID],0),-1))</ns0:f>
        <ns0:v>11</ns0:v>
      </ns0:c>
      <ns0:c r="AE24" t="n">
        <ns0:f>IF(W24="",0,IF(COUNTIFS(Tasks[Task ID],W24)=1,MATCH(W24,Tasks[Task ID],0),-1))</ns0:f>
        <ns0:v>0</ns0:v>
      </ns0:c>
      <ns0:c r="AF24" t="n">
        <ns0:f>IF(X24="",0,IF(COUNTIFS(Tasks[Task ID],X24)=1,MATCH(X24,Tasks[Task ID],0),-1))</ns0:f>
        <ns0:v>0</ns0:v>
      </ns0:c>
      <ns0:c r="AG24" t="n">
        <ns0:f>IF(Y24="",0,IF(COUNTIFS(Tasks[Task ID],Y24)=1,MATCH(Y24,Tasks[Task ID],0),-1))</ns0:f>
        <ns0:v>0</ns0:v>
      </ns0:c>
      <ns0:c r="AH24" t="n">
        <ns0:f>IF(Z24="",0,IF(COUNTIFS(Tasks[Task ID],Z24)=1,MATCH(Z24,Tasks[Task ID],0),-1))</ns0:f>
        <ns0:v>0</ns0:v>
      </ns0:c>
      <ns0:c r="AI24" t="n">
        <ns0:f>IF(AA24="",0,IF(COUNTIFS(Tasks[Task ID],AA24)=1,MATCH(AA24,Tasks[Task ID],0),-1))</ns0:f>
        <ns0:v>0</ns0:v>
      </ns0:c>
      <ns0:c r="AJ24" t="n">
        <ns0:f>IF(AB24="",0,IF(COUNTIFS(Tasks[Task ID],AB24)=1,MATCH(AB24,Tasks[Task ID],0),-1))</ns0:f>
        <ns0:v>0</ns0:v>
      </ns0:c>
      <ns0:c r="AK24" t="n">
        <ns0:f>COUNTIFS(AC24:AJ24,-1)+IF(T24&gt;8,1,0)</ns0:f>
        <ns0:v>0</ns0:v>
      </ns0:c>
      <ns0:c r="AL24" t="n">
        <ns0:f>IF(OR(A24="",S24&lt;&gt;""),0,SUM(IF(AC24&gt;0,IF($I24="FS",--($E24&lt;INDEX(Tasks[End Date],AC24)+IF(INDEX(Tasks[Milestone],AC24)="Yes",0,1)),IF($I24="SS",--($E24&lt;INDEX(Tasks[Start Date],AC24)),IF($I24="FF",--($F24&lt;INDEX(Tasks[End Date],AC24)),IF($I24="SF",--($F24&lt;INDEX(Tasks[Start Date],AC24)),0)))),0),IF(AD24&gt;0,IF($I24="FS",--($E24&lt;INDEX(Tasks[End Date],AD24)+IF(INDEX(Tasks[Milestone],AD24)="Yes",0,1)),IF($I24="SS",--($E24&lt;INDEX(Tasks[Start Date],AD24)),IF($I24="FF",--($F24&lt;INDEX(Tasks[End Date],AD24)),IF($I24="SF",--($F24&lt;INDEX(Tasks[Start Date],AD24)),0)))),0),IF(AE24&gt;0,IF($I24="FS",--($E24&lt;INDEX(Tasks[End Date],AE24)+IF(INDEX(Tasks[Milestone],AE24)="Yes",0,1)),IF($I24="SS",--($E24&lt;INDEX(Tasks[Start Date],AE24)),IF($I24="FF",--($F24&lt;INDEX(Tasks[End Date],AE24)),IF($I24="SF",--($F24&lt;INDEX(Tasks[Start Date],AE24)),0)))),0),IF(AF24&gt;0,IF($I24="FS",--($E24&lt;INDEX(Tasks[End Date],AF24)+IF(INDEX(Tasks[Milestone],AF24)="Yes",0,1)),IF($I24="SS",--($E24&lt;INDEX(Tasks[Start Date],AF24)),IF($I24="FF",--($F24&lt;INDEX(Tasks[End Date],AF24)),IF($I24="SF",--($F24&lt;INDEX(Tasks[Start Date],AF24)),0)))),0),IF(AG24&gt;0,IF($I24="FS",--($E24&lt;INDEX(Tasks[End Date],AG24)+IF(INDEX(Tasks[Milestone],AG24)="Yes",0,1)),IF($I24="SS",--($E24&lt;INDEX(Tasks[Start Date],AG24)),IF($I24="FF",--($F24&lt;INDEX(Tasks[End Date],AG24)),IF($I24="SF",--($F24&lt;INDEX(Tasks[Start Date],AG24)),0)))),0),IF(AH24&gt;0,IF($I24="FS",--($E24&lt;INDEX(Tasks[End Date],AH24)+IF(INDEX(Tasks[Milestone],AH24)="Yes",0,1)),IF($I24="SS",--($E24&lt;INDEX(Tasks[Start Date],AH24)),IF($I24="FF",--($F24&lt;INDEX(Tasks[End Date],AH24)),IF($I24="SF",--($F24&lt;INDEX(Tasks[Start Date],AH24)),0)))),0),IF(AI24&gt;0,IF($I24="FS",--($E24&lt;INDEX(Tasks[End Date],AI24)+IF(INDEX(Tasks[Milestone],AI24)="Yes",0,1)),IF($I24="SS",--($E24&lt;INDEX(Tasks[Start Date],AI24)),IF($I24="FF",--($F24&lt;INDEX(Tasks[End Date],AI24)),IF($I24="SF",--($F24&lt;INDEX(Tasks[Start Date],AI24)),0)))),0),IF(AJ24&gt;0,IF($I24="FS",--($E24&lt;INDEX(Tasks[End Date],AJ24)+IF(INDEX(Tasks[Milestone],AJ24)="Yes",0,1)),IF($I24="SS",--($E24&lt;INDEX(Tasks[Start Date],AJ24)),IF($I24="FF",--($F24&lt;INDEX(Tasks[End Date],AJ24)),IF($I24="SF",--($F24&lt;INDEX(Tasks[Start Date],AJ24)),0)))),0)))</ns0:f>
        <ns0:v>0</ns0:v>
      </ns0:c>
      <ns0:c r="AM24" t="n">
        <ns0:f>IF(AND(A24&lt;&gt;"",AK24=0,EP24=0),1,0)</ns0:f>
        <ns0:v>0</ns0:v>
      </ns0:c>
      <ns0:c r="AN24" t="n">
        <ns0:f>IF(OR(A24="",B24=""),"",IF(COUNTIFS($B$7:B24,B24)=1,MAX($AN$6:AN23)+1,""))</ns0:f>
        <ns0:v>4</ns0:v>
      </ns0:c>
      <ns0:c r="AO24" t="n">
        <ns0:f>IF(AND(A24&lt;&gt;"",J24="No",N24&lt;1,E24&gt;=AsOfDate),E24+ROW()/10000,1E+9)</ns0:f>
        <ns0:v>46284.0024</ns0:v>
      </ns0:c>
      <ns0:c r="AP24" t="n">
        <ns0:f>IF(AND(A24&lt;&gt;"",J24="Yes",N24&lt;1,E24&gt;=AsOfDate),E24+ROW()/10000,1E+9)</ns0:f>
        <ns0:v>1000000000</ns0:v>
      </ns0:c>
      <ns0:c r="AQ24" t="n">
        <ns0:f>IF(AND(A24&lt;&gt;"",J24="No",N24&lt;1,F24&gt;=AsOfDate,F24&lt;=AsOfDate+7),F24+ROW()/10000,1E+9)</ns0:f>
        <ns0:v>1000000000</ns0:v>
      </ns0:c>
      <ns0:c r="AR24" t="n">
        <ns0:f>IF(AND(A24&lt;&gt;"",OR(O24&lt;&gt;"On track",Q24="Delayed")),ROW(),1E+9)</ns0:f>
        <ns0:v>1000000000</ns0:v>
      </ns0:c>
      <ns0:c r="AS24" t="str">
        <ns0:f>IF(A24="","",";"&amp;K24&amp;";")</ns0:f>
        <ns0:v>;Intelligence Engine (IE / Orchestrator);</ns0:v>
      </ns0:c>
      <ns0:c r="AT24" t="n">
        <ns0:f>IF(A24="",1,--(T24=0))</ns0:f>
        <ns0:v>0</ns0:v>
      </ns0:c>
      <ns0:c r="AU24" t="n">
        <ns0:f>IF($A24="",1,IF(AT24=1,1,--AND(IF($AC24&gt;0,INDEX(AT$7:AT$106,$AC24),1),IF($AD24&gt;0,INDEX(AT$7:AT$106,$AD24),1),IF($AE24&gt;0,INDEX(AT$7:AT$106,$AE24),1),IF($AF24&gt;0,INDEX(AT$7:AT$106,$AF24),1),IF($AG24&gt;0,INDEX(AT$7:AT$106,$AG24),1),IF($AH24&gt;0,INDEX(AT$7:AT$106,$AH24),1),IF($AI24&gt;0,INDEX(AT$7:AT$106,$AI24),1),IF($AJ24&gt;0,INDEX(AT$7:AT$106,$AJ24),1))))</ns0:f>
        <ns0:v>0</ns0:v>
      </ns0:c>
      <ns0:c r="AV24" t="n">
        <ns0:f>IF($A24="",1,IF(AU24=1,1,--AND(IF($AC24&gt;0,INDEX(AU$7:AU$106,$AC24),1),IF($AD24&gt;0,INDEX(AU$7:AU$106,$AD24),1),IF($AE24&gt;0,INDEX(AU$7:AU$106,$AE24),1),IF($AF24&gt;0,INDEX(AU$7:AU$106,$AF24),1),IF($AG24&gt;0,INDEX(AU$7:AU$106,$AG24),1),IF($AH24&gt;0,INDEX(AU$7:AU$106,$AH24),1),IF($AI24&gt;0,INDEX(AU$7:AU$106,$AI24),1),IF($AJ24&gt;0,INDEX(AU$7:AU$106,$AJ24),1))))</ns0:f>
        <ns0:v>0</ns0:v>
      </ns0:c>
      <ns0:c r="AW24" t="n">
        <ns0:f>IF($A24="",1,IF(AV24=1,1,--AND(IF($AC24&gt;0,INDEX(AV$7:AV$106,$AC24),1),IF($AD24&gt;0,INDEX(AV$7:AV$106,$AD24),1),IF($AE24&gt;0,INDEX(AV$7:AV$106,$AE24),1),IF($AF24&gt;0,INDEX(AV$7:AV$106,$AF24),1),IF($AG24&gt;0,INDEX(AV$7:AV$106,$AG24),1),IF($AH24&gt;0,INDEX(AV$7:AV$106,$AH24),1),IF($AI24&gt;0,INDEX(AV$7:AV$106,$AI24),1),IF($AJ24&gt;0,INDEX(AV$7:AV$106,$AJ24),1))))</ns0:f>
        <ns0:v>0</ns0:v>
      </ns0:c>
      <ns0:c r="AX24" t="n">
        <ns0:f>IF($A24="",1,IF(AW24=1,1,--AND(IF($AC24&gt;0,INDEX(AW$7:AW$106,$AC24),1),IF($AD24&gt;0,INDEX(AW$7:AW$106,$AD24),1),IF($AE24&gt;0,INDEX(AW$7:AW$106,$AE24),1),IF($AF24&gt;0,INDEX(AW$7:AW$106,$AF24),1),IF($AG24&gt;0,INDEX(AW$7:AW$106,$AG24),1),IF($AH24&gt;0,INDEX(AW$7:AW$106,$AH24),1),IF($AI24&gt;0,INDEX(AW$7:AW$106,$AI24),1),IF($AJ24&gt;0,INDEX(AW$7:AW$106,$AJ24),1))))</ns0:f>
        <ns0:v>0</ns0:v>
      </ns0:c>
      <ns0:c r="AY24" t="n">
        <ns0:f>IF($A24="",1,IF(AX24=1,1,--AND(IF($AC24&gt;0,INDEX(AX$7:AX$106,$AC24),1),IF($AD24&gt;0,INDEX(AX$7:AX$106,$AD24),1),IF($AE24&gt;0,INDEX(AX$7:AX$106,$AE24),1),IF($AF24&gt;0,INDEX(AX$7:AX$106,$AF24),1),IF($AG24&gt;0,INDEX(AX$7:AX$106,$AG24),1),IF($AH24&gt;0,INDEX(AX$7:AX$106,$AH24),1),IF($AI24&gt;0,INDEX(AX$7:AX$106,$AI24),1),IF($AJ24&gt;0,INDEX(AX$7:AX$106,$AJ24),1))))</ns0:f>
        <ns0:v>1</ns0:v>
      </ns0:c>
      <ns0:c r="AZ24" t="n">
        <ns0:f>IF($A24="",1,IF(AY24=1,1,--AND(IF($AC24&gt;0,INDEX(AY$7:AY$106,$AC24),1),IF($AD24&gt;0,INDEX(AY$7:AY$106,$AD24),1),IF($AE24&gt;0,INDEX(AY$7:AY$106,$AE24),1),IF($AF24&gt;0,INDEX(AY$7:AY$106,$AF24),1),IF($AG24&gt;0,INDEX(AY$7:AY$106,$AG24),1),IF($AH24&gt;0,INDEX(AY$7:AY$106,$AH24),1),IF($AI24&gt;0,INDEX(AY$7:AY$106,$AI24),1),IF($AJ24&gt;0,INDEX(AY$7:AY$106,$AJ24),1))))</ns0:f>
        <ns0:v>1</ns0:v>
      </ns0:c>
      <ns0:c r="BA24" t="n">
        <ns0:f>IF($A24="",1,IF(AZ24=1,1,--AND(IF($AC24&gt;0,INDEX(AZ$7:AZ$106,$AC24),1),IF($AD24&gt;0,INDEX(AZ$7:AZ$106,$AD24),1),IF($AE24&gt;0,INDEX(AZ$7:AZ$106,$AE24),1),IF($AF24&gt;0,INDEX(AZ$7:AZ$106,$AF24),1),IF($AG24&gt;0,INDEX(AZ$7:AZ$106,$AG24),1),IF($AH24&gt;0,INDEX(AZ$7:AZ$106,$AH24),1),IF($AI24&gt;0,INDEX(AZ$7:AZ$106,$AI24),1),IF($AJ24&gt;0,INDEX(AZ$7:AZ$106,$AJ24),1))))</ns0:f>
        <ns0:v>1</ns0:v>
      </ns0:c>
      <ns0:c r="BB24" t="n">
        <ns0:f>IF($A24="",1,IF(BA24=1,1,--AND(IF($AC24&gt;0,INDEX(BA$7:BA$106,$AC24),1),IF($AD24&gt;0,INDEX(BA$7:BA$106,$AD24),1),IF($AE24&gt;0,INDEX(BA$7:BA$106,$AE24),1),IF($AF24&gt;0,INDEX(BA$7:BA$106,$AF24),1),IF($AG24&gt;0,INDEX(BA$7:BA$106,$AG24),1),IF($AH24&gt;0,INDEX(BA$7:BA$106,$AH24),1),IF($AI24&gt;0,INDEX(BA$7:BA$106,$AI24),1),IF($AJ24&gt;0,INDEX(BA$7:BA$106,$AJ24),1))))</ns0:f>
        <ns0:v>1</ns0:v>
      </ns0:c>
      <ns0:c r="BC24" t="n">
        <ns0:f>IF($A24="",1,IF(BB24=1,1,--AND(IF($AC24&gt;0,INDEX(BB$7:BB$106,$AC24),1),IF($AD24&gt;0,INDEX(BB$7:BB$106,$AD24),1),IF($AE24&gt;0,INDEX(BB$7:BB$106,$AE24),1),IF($AF24&gt;0,INDEX(BB$7:BB$106,$AF24),1),IF($AG24&gt;0,INDEX(BB$7:BB$106,$AG24),1),IF($AH24&gt;0,INDEX(BB$7:BB$106,$AH24),1),IF($AI24&gt;0,INDEX(BB$7:BB$106,$AI24),1),IF($AJ24&gt;0,INDEX(BB$7:BB$106,$AJ24),1))))</ns0:f>
        <ns0:v>1</ns0:v>
      </ns0:c>
      <ns0:c r="BD24" t="n">
        <ns0:f>IF($A24="",1,IF(BC24=1,1,--AND(IF($AC24&gt;0,INDEX(BC$7:BC$106,$AC24),1),IF($AD24&gt;0,INDEX(BC$7:BC$106,$AD24),1),IF($AE24&gt;0,INDEX(BC$7:BC$106,$AE24),1),IF($AF24&gt;0,INDEX(BC$7:BC$106,$AF24),1),IF($AG24&gt;0,INDEX(BC$7:BC$106,$AG24),1),IF($AH24&gt;0,INDEX(BC$7:BC$106,$AH24),1),IF($AI24&gt;0,INDEX(BC$7:BC$106,$AI24),1),IF($AJ24&gt;0,INDEX(BC$7:BC$106,$AJ24),1))))</ns0:f>
        <ns0:v>1</ns0:v>
      </ns0:c>
      <ns0:c r="BE24" t="n">
        <ns0:f>IF($A24="",1,IF(BD24=1,1,--AND(IF($AC24&gt;0,INDEX(BD$7:BD$106,$AC24),1),IF($AD24&gt;0,INDEX(BD$7:BD$106,$AD24),1),IF($AE24&gt;0,INDEX(BD$7:BD$106,$AE24),1),IF($AF24&gt;0,INDEX(BD$7:BD$106,$AF24),1),IF($AG24&gt;0,INDEX(BD$7:BD$106,$AG24),1),IF($AH24&gt;0,INDEX(BD$7:BD$106,$AH24),1),IF($AI24&gt;0,INDEX(BD$7:BD$106,$AI24),1),IF($AJ24&gt;0,INDEX(BD$7:BD$106,$AJ24),1))))</ns0:f>
        <ns0:v>1</ns0:v>
      </ns0:c>
      <ns0:c r="BF24" t="n">
        <ns0:f>IF($A24="",1,IF(BE24=1,1,--AND(IF($AC24&gt;0,INDEX(BE$7:BE$106,$AC24),1),IF($AD24&gt;0,INDEX(BE$7:BE$106,$AD24),1),IF($AE24&gt;0,INDEX(BE$7:BE$106,$AE24),1),IF($AF24&gt;0,INDEX(BE$7:BE$106,$AF24),1),IF($AG24&gt;0,INDEX(BE$7:BE$106,$AG24),1),IF($AH24&gt;0,INDEX(BE$7:BE$106,$AH24),1),IF($AI24&gt;0,INDEX(BE$7:BE$106,$AI24),1),IF($AJ24&gt;0,INDEX(BE$7:BE$106,$AJ24),1))))</ns0:f>
        <ns0:v>1</ns0:v>
      </ns0:c>
      <ns0:c r="BG24" t="n">
        <ns0:f>IF($A24="",1,IF(BF24=1,1,--AND(IF($AC24&gt;0,INDEX(BF$7:BF$106,$AC24),1),IF($AD24&gt;0,INDEX(BF$7:BF$106,$AD24),1),IF($AE24&gt;0,INDEX(BF$7:BF$106,$AE24),1),IF($AF24&gt;0,INDEX(BF$7:BF$106,$AF24),1),IF($AG24&gt;0,INDEX(BF$7:BF$106,$AG24),1),IF($AH24&gt;0,INDEX(BF$7:BF$106,$AH24),1),IF($AI24&gt;0,INDEX(BF$7:BF$106,$AI24),1),IF($AJ24&gt;0,INDEX(BF$7:BF$106,$AJ24),1))))</ns0:f>
        <ns0:v>1</ns0:v>
      </ns0:c>
      <ns0:c r="BH24" t="n">
        <ns0:f>IF($A24="",1,IF(BG24=1,1,--AND(IF($AC24&gt;0,INDEX(BG$7:BG$106,$AC24),1),IF($AD24&gt;0,INDEX(BG$7:BG$106,$AD24),1),IF($AE24&gt;0,INDEX(BG$7:BG$106,$AE24),1),IF($AF24&gt;0,INDEX(BG$7:BG$106,$AF24),1),IF($AG24&gt;0,INDEX(BG$7:BG$106,$AG24),1),IF($AH24&gt;0,INDEX(BG$7:BG$106,$AH24),1),IF($AI24&gt;0,INDEX(BG$7:BG$106,$AI24),1),IF($AJ24&gt;0,INDEX(BG$7:BG$106,$AJ24),1))))</ns0:f>
        <ns0:v>1</ns0:v>
      </ns0:c>
      <ns0:c r="BI24" t="n">
        <ns0:f>IF($A24="",1,IF(BH24=1,1,--AND(IF($AC24&gt;0,INDEX(BH$7:BH$106,$AC24),1),IF($AD24&gt;0,INDEX(BH$7:BH$106,$AD24),1),IF($AE24&gt;0,INDEX(BH$7:BH$106,$AE24),1),IF($AF24&gt;0,INDEX(BH$7:BH$106,$AF24),1),IF($AG24&gt;0,INDEX(BH$7:BH$106,$AG24),1),IF($AH24&gt;0,INDEX(BH$7:BH$106,$AH24),1),IF($AI24&gt;0,INDEX(BH$7:BH$106,$AI24),1),IF($AJ24&gt;0,INDEX(BH$7:BH$106,$AJ24),1))))</ns0:f>
        <ns0:v>1</ns0:v>
      </ns0:c>
      <ns0:c r="BJ24" t="n">
        <ns0:f>IF($A24="",1,IF(BI24=1,1,--AND(IF($AC24&gt;0,INDEX(BI$7:BI$106,$AC24),1),IF($AD24&gt;0,INDEX(BI$7:BI$106,$AD24),1),IF($AE24&gt;0,INDEX(BI$7:BI$106,$AE24),1),IF($AF24&gt;0,INDEX(BI$7:BI$106,$AF24),1),IF($AG24&gt;0,INDEX(BI$7:BI$106,$AG24),1),IF($AH24&gt;0,INDEX(BI$7:BI$106,$AH24),1),IF($AI24&gt;0,INDEX(BI$7:BI$106,$AI24),1),IF($AJ24&gt;0,INDEX(BI$7:BI$106,$AJ24),1))))</ns0:f>
        <ns0:v>1</ns0:v>
      </ns0:c>
      <ns0:c r="BK24" t="n">
        <ns0:f>IF($A24="",1,IF(BJ24=1,1,--AND(IF($AC24&gt;0,INDEX(BJ$7:BJ$106,$AC24),1),IF($AD24&gt;0,INDEX(BJ$7:BJ$106,$AD24),1),IF($AE24&gt;0,INDEX(BJ$7:BJ$106,$AE24),1),IF($AF24&gt;0,INDEX(BJ$7:BJ$106,$AF24),1),IF($AG24&gt;0,INDEX(BJ$7:BJ$106,$AG24),1),IF($AH24&gt;0,INDEX(BJ$7:BJ$106,$AH24),1),IF($AI24&gt;0,INDEX(BJ$7:BJ$106,$AI24),1),IF($AJ24&gt;0,INDEX(BJ$7:BJ$106,$AJ24),1))))</ns0:f>
        <ns0:v>1</ns0:v>
      </ns0:c>
      <ns0:c r="BL24" t="n">
        <ns0:f>IF($A24="",1,IF(BK24=1,1,--AND(IF($AC24&gt;0,INDEX(BK$7:BK$106,$AC24),1),IF($AD24&gt;0,INDEX(BK$7:BK$106,$AD24),1),IF($AE24&gt;0,INDEX(BK$7:BK$106,$AE24),1),IF($AF24&gt;0,INDEX(BK$7:BK$106,$AF24),1),IF($AG24&gt;0,INDEX(BK$7:BK$106,$AG24),1),IF($AH24&gt;0,INDEX(BK$7:BK$106,$AH24),1),IF($AI24&gt;0,INDEX(BK$7:BK$106,$AI24),1),IF($AJ24&gt;0,INDEX(BK$7:BK$106,$AJ24),1))))</ns0:f>
        <ns0:v>1</ns0:v>
      </ns0:c>
      <ns0:c r="BM24" t="n">
        <ns0:f>IF($A24="",1,IF(BL24=1,1,--AND(IF($AC24&gt;0,INDEX(BL$7:BL$106,$AC24),1),IF($AD24&gt;0,INDEX(BL$7:BL$106,$AD24),1),IF($AE24&gt;0,INDEX(BL$7:BL$106,$AE24),1),IF($AF24&gt;0,INDEX(BL$7:BL$106,$AF24),1),IF($AG24&gt;0,INDEX(BL$7:BL$106,$AG24),1),IF($AH24&gt;0,INDEX(BL$7:BL$106,$AH24),1),IF($AI24&gt;0,INDEX(BL$7:BL$106,$AI24),1),IF($AJ24&gt;0,INDEX(BL$7:BL$106,$AJ24),1))))</ns0:f>
        <ns0:v>1</ns0:v>
      </ns0:c>
      <ns0:c r="BN24" t="n">
        <ns0:f>IF($A24="",1,IF(BM24=1,1,--AND(IF($AC24&gt;0,INDEX(BM$7:BM$106,$AC24),1),IF($AD24&gt;0,INDEX(BM$7:BM$106,$AD24),1),IF($AE24&gt;0,INDEX(BM$7:BM$106,$AE24),1),IF($AF24&gt;0,INDEX(BM$7:BM$106,$AF24),1),IF($AG24&gt;0,INDEX(BM$7:BM$106,$AG24),1),IF($AH24&gt;0,INDEX(BM$7:BM$106,$AH24),1),IF($AI24&gt;0,INDEX(BM$7:BM$106,$AI24),1),IF($AJ24&gt;0,INDEX(BM$7:BM$106,$AJ24),1))))</ns0:f>
        <ns0:v>1</ns0:v>
      </ns0:c>
      <ns0:c r="BO24" t="n">
        <ns0:f>IF($A24="",1,IF(BN24=1,1,--AND(IF($AC24&gt;0,INDEX(BN$7:BN$106,$AC24),1),IF($AD24&gt;0,INDEX(BN$7:BN$106,$AD24),1),IF($AE24&gt;0,INDEX(BN$7:BN$106,$AE24),1),IF($AF24&gt;0,INDEX(BN$7:BN$106,$AF24),1),IF($AG24&gt;0,INDEX(BN$7:BN$106,$AG24),1),IF($AH24&gt;0,INDEX(BN$7:BN$106,$AH24),1),IF($AI24&gt;0,INDEX(BN$7:BN$106,$AI24),1),IF($AJ24&gt;0,INDEX(BN$7:BN$106,$AJ24),1))))</ns0:f>
        <ns0:v>1</ns0:v>
      </ns0:c>
      <ns0:c r="BP24" t="n">
        <ns0:f>IF($A24="",1,IF(BO24=1,1,--AND(IF($AC24&gt;0,INDEX(BO$7:BO$106,$AC24),1),IF($AD24&gt;0,INDEX(BO$7:BO$106,$AD24),1),IF($AE24&gt;0,INDEX(BO$7:BO$106,$AE24),1),IF($AF24&gt;0,INDEX(BO$7:BO$106,$AF24),1),IF($AG24&gt;0,INDEX(BO$7:BO$106,$AG24),1),IF($AH24&gt;0,INDEX(BO$7:BO$106,$AH24),1),IF($AI24&gt;0,INDEX(BO$7:BO$106,$AI24),1),IF($AJ24&gt;0,INDEX(BO$7:BO$106,$AJ24),1))))</ns0:f>
        <ns0:v>1</ns0:v>
      </ns0:c>
      <ns0:c r="BQ24" t="n">
        <ns0:f>IF($A24="",1,IF(BP24=1,1,--AND(IF($AC24&gt;0,INDEX(BP$7:BP$106,$AC24),1),IF($AD24&gt;0,INDEX(BP$7:BP$106,$AD24),1),IF($AE24&gt;0,INDEX(BP$7:BP$106,$AE24),1),IF($AF24&gt;0,INDEX(BP$7:BP$106,$AF24),1),IF($AG24&gt;0,INDEX(BP$7:BP$106,$AG24),1),IF($AH24&gt;0,INDEX(BP$7:BP$106,$AH24),1),IF($AI24&gt;0,INDEX(BP$7:BP$106,$AI24),1),IF($AJ24&gt;0,INDEX(BP$7:BP$106,$AJ24),1))))</ns0:f>
        <ns0:v>1</ns0:v>
      </ns0:c>
      <ns0:c r="BR24" t="n">
        <ns0:f>IF($A24="",1,IF(BQ24=1,1,--AND(IF($AC24&gt;0,INDEX(BQ$7:BQ$106,$AC24),1),IF($AD24&gt;0,INDEX(BQ$7:BQ$106,$AD24),1),IF($AE24&gt;0,INDEX(BQ$7:BQ$106,$AE24),1),IF($AF24&gt;0,INDEX(BQ$7:BQ$106,$AF24),1),IF($AG24&gt;0,INDEX(BQ$7:BQ$106,$AG24),1),IF($AH24&gt;0,INDEX(BQ$7:BQ$106,$AH24),1),IF($AI24&gt;0,INDEX(BQ$7:BQ$106,$AI24),1),IF($AJ24&gt;0,INDEX(BQ$7:BQ$106,$AJ24),1))))</ns0:f>
        <ns0:v>1</ns0:v>
      </ns0:c>
      <ns0:c r="BS24" t="n">
        <ns0:f>IF($A24="",1,IF(BR24=1,1,--AND(IF($AC24&gt;0,INDEX(BR$7:BR$106,$AC24),1),IF($AD24&gt;0,INDEX(BR$7:BR$106,$AD24),1),IF($AE24&gt;0,INDEX(BR$7:BR$106,$AE24),1),IF($AF24&gt;0,INDEX(BR$7:BR$106,$AF24),1),IF($AG24&gt;0,INDEX(BR$7:BR$106,$AG24),1),IF($AH24&gt;0,INDEX(BR$7:BR$106,$AH24),1),IF($AI24&gt;0,INDEX(BR$7:BR$106,$AI24),1),IF($AJ24&gt;0,INDEX(BR$7:BR$106,$AJ24),1))))</ns0:f>
        <ns0:v>1</ns0:v>
      </ns0:c>
      <ns0:c r="BT24" t="n">
        <ns0:f>IF($A24="",1,IF(BS24=1,1,--AND(IF($AC24&gt;0,INDEX(BS$7:BS$106,$AC24),1),IF($AD24&gt;0,INDEX(BS$7:BS$106,$AD24),1),IF($AE24&gt;0,INDEX(BS$7:BS$106,$AE24),1),IF($AF24&gt;0,INDEX(BS$7:BS$106,$AF24),1),IF($AG24&gt;0,INDEX(BS$7:BS$106,$AG24),1),IF($AH24&gt;0,INDEX(BS$7:BS$106,$AH24),1),IF($AI24&gt;0,INDEX(BS$7:BS$106,$AI24),1),IF($AJ24&gt;0,INDEX(BS$7:BS$106,$AJ24),1))))</ns0:f>
        <ns0:v>1</ns0:v>
      </ns0:c>
      <ns0:c r="BU24" t="n">
        <ns0:f>IF($A24="",1,IF(BT24=1,1,--AND(IF($AC24&gt;0,INDEX(BT$7:BT$106,$AC24),1),IF($AD24&gt;0,INDEX(BT$7:BT$106,$AD24),1),IF($AE24&gt;0,INDEX(BT$7:BT$106,$AE24),1),IF($AF24&gt;0,INDEX(BT$7:BT$106,$AF24),1),IF($AG24&gt;0,INDEX(BT$7:BT$106,$AG24),1),IF($AH24&gt;0,INDEX(BT$7:BT$106,$AH24),1),IF($AI24&gt;0,INDEX(BT$7:BT$106,$AI24),1),IF($AJ24&gt;0,INDEX(BT$7:BT$106,$AJ24),1))))</ns0:f>
        <ns0:v>1</ns0:v>
      </ns0:c>
      <ns0:c r="BV24" t="n">
        <ns0:f>IF($A24="",1,IF(BU24=1,1,--AND(IF($AC24&gt;0,INDEX(BU$7:BU$106,$AC24),1),IF($AD24&gt;0,INDEX(BU$7:BU$106,$AD24),1),IF($AE24&gt;0,INDEX(BU$7:BU$106,$AE24),1),IF($AF24&gt;0,INDEX(BU$7:BU$106,$AF24),1),IF($AG24&gt;0,INDEX(BU$7:BU$106,$AG24),1),IF($AH24&gt;0,INDEX(BU$7:BU$106,$AH24),1),IF($AI24&gt;0,INDEX(BU$7:BU$106,$AI24),1),IF($AJ24&gt;0,INDEX(BU$7:BU$106,$AJ24),1))))</ns0:f>
        <ns0:v>1</ns0:v>
      </ns0:c>
      <ns0:c r="BW24" t="n">
        <ns0:f>IF($A24="",1,IF(BV24=1,1,--AND(IF($AC24&gt;0,INDEX(BV$7:BV$106,$AC24),1),IF($AD24&gt;0,INDEX(BV$7:BV$106,$AD24),1),IF($AE24&gt;0,INDEX(BV$7:BV$106,$AE24),1),IF($AF24&gt;0,INDEX(BV$7:BV$106,$AF24),1),IF($AG24&gt;0,INDEX(BV$7:BV$106,$AG24),1),IF($AH24&gt;0,INDEX(BV$7:BV$106,$AH24),1),IF($AI24&gt;0,INDEX(BV$7:BV$106,$AI24),1),IF($AJ24&gt;0,INDEX(BV$7:BV$106,$AJ24),1))))</ns0:f>
        <ns0:v>1</ns0:v>
      </ns0:c>
      <ns0:c r="BX24" t="n">
        <ns0:f>IF($A24="",1,IF(BW24=1,1,--AND(IF($AC24&gt;0,INDEX(BW$7:BW$106,$AC24),1),IF($AD24&gt;0,INDEX(BW$7:BW$106,$AD24),1),IF($AE24&gt;0,INDEX(BW$7:BW$106,$AE24),1),IF($AF24&gt;0,INDEX(BW$7:BW$106,$AF24),1),IF($AG24&gt;0,INDEX(BW$7:BW$106,$AG24),1),IF($AH24&gt;0,INDEX(BW$7:BW$106,$AH24),1),IF($AI24&gt;0,INDEX(BW$7:BW$106,$AI24),1),IF($AJ24&gt;0,INDEX(BW$7:BW$106,$AJ24),1))))</ns0:f>
        <ns0:v>1</ns0:v>
      </ns0:c>
      <ns0:c r="BY24" t="n">
        <ns0:f>IF($A24="",1,IF(BX24=1,1,--AND(IF($AC24&gt;0,INDEX(BX$7:BX$106,$AC24),1),IF($AD24&gt;0,INDEX(BX$7:BX$106,$AD24),1),IF($AE24&gt;0,INDEX(BX$7:BX$106,$AE24),1),IF($AF24&gt;0,INDEX(BX$7:BX$106,$AF24),1),IF($AG24&gt;0,INDEX(BX$7:BX$106,$AG24),1),IF($AH24&gt;0,INDEX(BX$7:BX$106,$AH24),1),IF($AI24&gt;0,INDEX(BX$7:BX$106,$AI24),1),IF($AJ24&gt;0,INDEX(BX$7:BX$106,$AJ24),1))))</ns0:f>
        <ns0:v>1</ns0:v>
      </ns0:c>
      <ns0:c r="BZ24" t="n">
        <ns0:f>IF($A24="",1,IF(BY24=1,1,--AND(IF($AC24&gt;0,INDEX(BY$7:BY$106,$AC24),1),IF($AD24&gt;0,INDEX(BY$7:BY$106,$AD24),1),IF($AE24&gt;0,INDEX(BY$7:BY$106,$AE24),1),IF($AF24&gt;0,INDEX(BY$7:BY$106,$AF24),1),IF($AG24&gt;0,INDEX(BY$7:BY$106,$AG24),1),IF($AH24&gt;0,INDEX(BY$7:BY$106,$AH24),1),IF($AI24&gt;0,INDEX(BY$7:BY$106,$AI24),1),IF($AJ24&gt;0,INDEX(BY$7:BY$106,$AJ24),1))))</ns0:f>
        <ns0:v>1</ns0:v>
      </ns0:c>
      <ns0:c r="CA24" t="n">
        <ns0:f>IF($A24="",1,IF(BZ24=1,1,--AND(IF($AC24&gt;0,INDEX(BZ$7:BZ$106,$AC24),1),IF($AD24&gt;0,INDEX(BZ$7:BZ$106,$AD24),1),IF($AE24&gt;0,INDEX(BZ$7:BZ$106,$AE24),1),IF($AF24&gt;0,INDEX(BZ$7:BZ$106,$AF24),1),IF($AG24&gt;0,INDEX(BZ$7:BZ$106,$AG24),1),IF($AH24&gt;0,INDEX(BZ$7:BZ$106,$AH24),1),IF($AI24&gt;0,INDEX(BZ$7:BZ$106,$AI24),1),IF($AJ24&gt;0,INDEX(BZ$7:BZ$106,$AJ24),1))))</ns0:f>
        <ns0:v>1</ns0:v>
      </ns0:c>
      <ns0:c r="CB24" t="n">
        <ns0:f>IF($A24="",1,IF(CA24=1,1,--AND(IF($AC24&gt;0,INDEX(CA$7:CA$106,$AC24),1),IF($AD24&gt;0,INDEX(CA$7:CA$106,$AD24),1),IF($AE24&gt;0,INDEX(CA$7:CA$106,$AE24),1),IF($AF24&gt;0,INDEX(CA$7:CA$106,$AF24),1),IF($AG24&gt;0,INDEX(CA$7:CA$106,$AG24),1),IF($AH24&gt;0,INDEX(CA$7:CA$106,$AH24),1),IF($AI24&gt;0,INDEX(CA$7:CA$106,$AI24),1),IF($AJ24&gt;0,INDEX(CA$7:CA$106,$AJ24),1))))</ns0:f>
        <ns0:v>1</ns0:v>
      </ns0:c>
      <ns0:c r="CC24" t="n">
        <ns0:f>IF($A24="",1,IF(CB24=1,1,--AND(IF($AC24&gt;0,INDEX(CB$7:CB$106,$AC24),1),IF($AD24&gt;0,INDEX(CB$7:CB$106,$AD24),1),IF($AE24&gt;0,INDEX(CB$7:CB$106,$AE24),1),IF($AF24&gt;0,INDEX(CB$7:CB$106,$AF24),1),IF($AG24&gt;0,INDEX(CB$7:CB$106,$AG24),1),IF($AH24&gt;0,INDEX(CB$7:CB$106,$AH24),1),IF($AI24&gt;0,INDEX(CB$7:CB$106,$AI24),1),IF($AJ24&gt;0,INDEX(CB$7:CB$106,$AJ24),1))))</ns0:f>
        <ns0:v>1</ns0:v>
      </ns0:c>
      <ns0:c r="CD24" t="n">
        <ns0:f>IF($A24="",1,IF(CC24=1,1,--AND(IF($AC24&gt;0,INDEX(CC$7:CC$106,$AC24),1),IF($AD24&gt;0,INDEX(CC$7:CC$106,$AD24),1),IF($AE24&gt;0,INDEX(CC$7:CC$106,$AE24),1),IF($AF24&gt;0,INDEX(CC$7:CC$106,$AF24),1),IF($AG24&gt;0,INDEX(CC$7:CC$106,$AG24),1),IF($AH24&gt;0,INDEX(CC$7:CC$106,$AH24),1),IF($AI24&gt;0,INDEX(CC$7:CC$106,$AI24),1),IF($AJ24&gt;0,INDEX(CC$7:CC$106,$AJ24),1))))</ns0:f>
        <ns0:v>1</ns0:v>
      </ns0:c>
      <ns0:c r="CE24" t="n">
        <ns0:f>IF($A24="",1,IF(CD24=1,1,--AND(IF($AC24&gt;0,INDEX(CD$7:CD$106,$AC24),1),IF($AD24&gt;0,INDEX(CD$7:CD$106,$AD24),1),IF($AE24&gt;0,INDEX(CD$7:CD$106,$AE24),1),IF($AF24&gt;0,INDEX(CD$7:CD$106,$AF24),1),IF($AG24&gt;0,INDEX(CD$7:CD$106,$AG24),1),IF($AH24&gt;0,INDEX(CD$7:CD$106,$AH24),1),IF($AI24&gt;0,INDEX(CD$7:CD$106,$AI24),1),IF($AJ24&gt;0,INDEX(CD$7:CD$106,$AJ24),1))))</ns0:f>
        <ns0:v>1</ns0:v>
      </ns0:c>
      <ns0:c r="CF24" t="n">
        <ns0:f>IF($A24="",1,IF(CE24=1,1,--AND(IF($AC24&gt;0,INDEX(CE$7:CE$106,$AC24),1),IF($AD24&gt;0,INDEX(CE$7:CE$106,$AD24),1),IF($AE24&gt;0,INDEX(CE$7:CE$106,$AE24),1),IF($AF24&gt;0,INDEX(CE$7:CE$106,$AF24),1),IF($AG24&gt;0,INDEX(CE$7:CE$106,$AG24),1),IF($AH24&gt;0,INDEX(CE$7:CE$106,$AH24),1),IF($AI24&gt;0,INDEX(CE$7:CE$106,$AI24),1),IF($AJ24&gt;0,INDEX(CE$7:CE$106,$AJ24),1))))</ns0:f>
        <ns0:v>1</ns0:v>
      </ns0:c>
      <ns0:c r="CG24" t="n">
        <ns0:f>IF($A24="",1,IF(CF24=1,1,--AND(IF($AC24&gt;0,INDEX(CF$7:CF$106,$AC24),1),IF($AD24&gt;0,INDEX(CF$7:CF$106,$AD24),1),IF($AE24&gt;0,INDEX(CF$7:CF$106,$AE24),1),IF($AF24&gt;0,INDEX(CF$7:CF$106,$AF24),1),IF($AG24&gt;0,INDEX(CF$7:CF$106,$AG24),1),IF($AH24&gt;0,INDEX(CF$7:CF$106,$AH24),1),IF($AI24&gt;0,INDEX(CF$7:CF$106,$AI24),1),IF($AJ24&gt;0,INDEX(CF$7:CF$106,$AJ24),1))))</ns0:f>
        <ns0:v>1</ns0:v>
      </ns0:c>
      <ns0:c r="CH24" t="n">
        <ns0:f>IF($A24="",1,IF(CG24=1,1,--AND(IF($AC24&gt;0,INDEX(CG$7:CG$106,$AC24),1),IF($AD24&gt;0,INDEX(CG$7:CG$106,$AD24),1),IF($AE24&gt;0,INDEX(CG$7:CG$106,$AE24),1),IF($AF24&gt;0,INDEX(CG$7:CG$106,$AF24),1),IF($AG24&gt;0,INDEX(CG$7:CG$106,$AG24),1),IF($AH24&gt;0,INDEX(CG$7:CG$106,$AH24),1),IF($AI24&gt;0,INDEX(CG$7:CG$106,$AI24),1),IF($AJ24&gt;0,INDEX(CG$7:CG$106,$AJ24),1))))</ns0:f>
        <ns0:v>1</ns0:v>
      </ns0:c>
      <ns0:c r="CI24" t="n">
        <ns0:f>IF($A24="",1,IF(CH24=1,1,--AND(IF($AC24&gt;0,INDEX(CH$7:CH$106,$AC24),1),IF($AD24&gt;0,INDEX(CH$7:CH$106,$AD24),1),IF($AE24&gt;0,INDEX(CH$7:CH$106,$AE24),1),IF($AF24&gt;0,INDEX(CH$7:CH$106,$AF24),1),IF($AG24&gt;0,INDEX(CH$7:CH$106,$AG24),1),IF($AH24&gt;0,INDEX(CH$7:CH$106,$AH24),1),IF($AI24&gt;0,INDEX(CH$7:CH$106,$AI24),1),IF($AJ24&gt;0,INDEX(CH$7:CH$106,$AJ24),1))))</ns0:f>
        <ns0:v>1</ns0:v>
      </ns0:c>
      <ns0:c r="CJ24" t="n">
        <ns0:f>IF($A24="",1,IF(CI24=1,1,--AND(IF($AC24&gt;0,INDEX(CI$7:CI$106,$AC24),1),IF($AD24&gt;0,INDEX(CI$7:CI$106,$AD24),1),IF($AE24&gt;0,INDEX(CI$7:CI$106,$AE24),1),IF($AF24&gt;0,INDEX(CI$7:CI$106,$AF24),1),IF($AG24&gt;0,INDEX(CI$7:CI$106,$AG24),1),IF($AH24&gt;0,INDEX(CI$7:CI$106,$AH24),1),IF($AI24&gt;0,INDEX(CI$7:CI$106,$AI24),1),IF($AJ24&gt;0,INDEX(CI$7:CI$106,$AJ24),1))))</ns0:f>
        <ns0:v>1</ns0:v>
      </ns0:c>
      <ns0:c r="CK24" t="n">
        <ns0:f>IF($A24="",1,IF(CJ24=1,1,--AND(IF($AC24&gt;0,INDEX(CJ$7:CJ$106,$AC24),1),IF($AD24&gt;0,INDEX(CJ$7:CJ$106,$AD24),1),IF($AE24&gt;0,INDEX(CJ$7:CJ$106,$AE24),1),IF($AF24&gt;0,INDEX(CJ$7:CJ$106,$AF24),1),IF($AG24&gt;0,INDEX(CJ$7:CJ$106,$AG24),1),IF($AH24&gt;0,INDEX(CJ$7:CJ$106,$AH24),1),IF($AI24&gt;0,INDEX(CJ$7:CJ$106,$AI24),1),IF($AJ24&gt;0,INDEX(CJ$7:CJ$106,$AJ24),1))))</ns0:f>
        <ns0:v>1</ns0:v>
      </ns0:c>
      <ns0:c r="CL24" t="n">
        <ns0:f>IF($A24="",1,IF(CK24=1,1,--AND(IF($AC24&gt;0,INDEX(CK$7:CK$106,$AC24),1),IF($AD24&gt;0,INDEX(CK$7:CK$106,$AD24),1),IF($AE24&gt;0,INDEX(CK$7:CK$106,$AE24),1),IF($AF24&gt;0,INDEX(CK$7:CK$106,$AF24),1),IF($AG24&gt;0,INDEX(CK$7:CK$106,$AG24),1),IF($AH24&gt;0,INDEX(CK$7:CK$106,$AH24),1),IF($AI24&gt;0,INDEX(CK$7:CK$106,$AI24),1),IF($AJ24&gt;0,INDEX(CK$7:CK$106,$AJ24),1))))</ns0:f>
        <ns0:v>1</ns0:v>
      </ns0:c>
      <ns0:c r="CM24" t="n">
        <ns0:f>IF($A24="",1,IF(CL24=1,1,--AND(IF($AC24&gt;0,INDEX(CL$7:CL$106,$AC24),1),IF($AD24&gt;0,INDEX(CL$7:CL$106,$AD24),1),IF($AE24&gt;0,INDEX(CL$7:CL$106,$AE24),1),IF($AF24&gt;0,INDEX(CL$7:CL$106,$AF24),1),IF($AG24&gt;0,INDEX(CL$7:CL$106,$AG24),1),IF($AH24&gt;0,INDEX(CL$7:CL$106,$AH24),1),IF($AI24&gt;0,INDEX(CL$7:CL$106,$AI24),1),IF($AJ24&gt;0,INDEX(CL$7:CL$106,$AJ24),1))))</ns0:f>
        <ns0:v>1</ns0:v>
      </ns0:c>
      <ns0:c r="CN24" t="n">
        <ns0:f>IF($A24="",1,IF(CM24=1,1,--AND(IF($AC24&gt;0,INDEX(CM$7:CM$106,$AC24),1),IF($AD24&gt;0,INDEX(CM$7:CM$106,$AD24),1),IF($AE24&gt;0,INDEX(CM$7:CM$106,$AE24),1),IF($AF24&gt;0,INDEX(CM$7:CM$106,$AF24),1),IF($AG24&gt;0,INDEX(CM$7:CM$106,$AG24),1),IF($AH24&gt;0,INDEX(CM$7:CM$106,$AH24),1),IF($AI24&gt;0,INDEX(CM$7:CM$106,$AI24),1),IF($AJ24&gt;0,INDEX(CM$7:CM$106,$AJ24),1))))</ns0:f>
        <ns0:v>1</ns0:v>
      </ns0:c>
      <ns0:c r="CO24" t="n">
        <ns0:f>IF($A24="",1,IF(CN24=1,1,--AND(IF($AC24&gt;0,INDEX(CN$7:CN$106,$AC24),1),IF($AD24&gt;0,INDEX(CN$7:CN$106,$AD24),1),IF($AE24&gt;0,INDEX(CN$7:CN$106,$AE24),1),IF($AF24&gt;0,INDEX(CN$7:CN$106,$AF24),1),IF($AG24&gt;0,INDEX(CN$7:CN$106,$AG24),1),IF($AH24&gt;0,INDEX(CN$7:CN$106,$AH24),1),IF($AI24&gt;0,INDEX(CN$7:CN$106,$AI24),1),IF($AJ24&gt;0,INDEX(CN$7:CN$106,$AJ24),1))))</ns0:f>
        <ns0:v>1</ns0:v>
      </ns0:c>
      <ns0:c r="CP24" t="n">
        <ns0:f>IF($A24="",1,IF(CO24=1,1,--AND(IF($AC24&gt;0,INDEX(CO$7:CO$106,$AC24),1),IF($AD24&gt;0,INDEX(CO$7:CO$106,$AD24),1),IF($AE24&gt;0,INDEX(CO$7:CO$106,$AE24),1),IF($AF24&gt;0,INDEX(CO$7:CO$106,$AF24),1),IF($AG24&gt;0,INDEX(CO$7:CO$106,$AG24),1),IF($AH24&gt;0,INDEX(CO$7:CO$106,$AH24),1),IF($AI24&gt;0,INDEX(CO$7:CO$106,$AI24),1),IF($AJ24&gt;0,INDEX(CO$7:CO$106,$AJ24),1))))</ns0:f>
        <ns0:v>1</ns0:v>
      </ns0:c>
      <ns0:c r="CQ24" t="n">
        <ns0:f>IF($A24="",1,IF(CP24=1,1,--AND(IF($AC24&gt;0,INDEX(CP$7:CP$106,$AC24),1),IF($AD24&gt;0,INDEX(CP$7:CP$106,$AD24),1),IF($AE24&gt;0,INDEX(CP$7:CP$106,$AE24),1),IF($AF24&gt;0,INDEX(CP$7:CP$106,$AF24),1),IF($AG24&gt;0,INDEX(CP$7:CP$106,$AG24),1),IF($AH24&gt;0,INDEX(CP$7:CP$106,$AH24),1),IF($AI24&gt;0,INDEX(CP$7:CP$106,$AI24),1),IF($AJ24&gt;0,INDEX(CP$7:CP$106,$AJ24),1))))</ns0:f>
        <ns0:v>1</ns0:v>
      </ns0:c>
      <ns0:c r="CR24" t="n">
        <ns0:f>IF($A24="",1,IF(CQ24=1,1,--AND(IF($AC24&gt;0,INDEX(CQ$7:CQ$106,$AC24),1),IF($AD24&gt;0,INDEX(CQ$7:CQ$106,$AD24),1),IF($AE24&gt;0,INDEX(CQ$7:CQ$106,$AE24),1),IF($AF24&gt;0,INDEX(CQ$7:CQ$106,$AF24),1),IF($AG24&gt;0,INDEX(CQ$7:CQ$106,$AG24),1),IF($AH24&gt;0,INDEX(CQ$7:CQ$106,$AH24),1),IF($AI24&gt;0,INDEX(CQ$7:CQ$106,$AI24),1),IF($AJ24&gt;0,INDEX(CQ$7:CQ$106,$AJ24),1))))</ns0:f>
        <ns0:v>1</ns0:v>
      </ns0:c>
      <ns0:c r="CS24" t="n">
        <ns0:f>IF($A24="",1,IF(CR24=1,1,--AND(IF($AC24&gt;0,INDEX(CR$7:CR$106,$AC24),1),IF($AD24&gt;0,INDEX(CR$7:CR$106,$AD24),1),IF($AE24&gt;0,INDEX(CR$7:CR$106,$AE24),1),IF($AF24&gt;0,INDEX(CR$7:CR$106,$AF24),1),IF($AG24&gt;0,INDEX(CR$7:CR$106,$AG24),1),IF($AH24&gt;0,INDEX(CR$7:CR$106,$AH24),1),IF($AI24&gt;0,INDEX(CR$7:CR$106,$AI24),1),IF($AJ24&gt;0,INDEX(CR$7:CR$106,$AJ24),1))))</ns0:f>
        <ns0:v>1</ns0:v>
      </ns0:c>
      <ns0:c r="CT24" t="n">
        <ns0:f>IF($A24="",1,IF(CS24=1,1,--AND(IF($AC24&gt;0,INDEX(CS$7:CS$106,$AC24),1),IF($AD24&gt;0,INDEX(CS$7:CS$106,$AD24),1),IF($AE24&gt;0,INDEX(CS$7:CS$106,$AE24),1),IF($AF24&gt;0,INDEX(CS$7:CS$106,$AF24),1),IF($AG24&gt;0,INDEX(CS$7:CS$106,$AG24),1),IF($AH24&gt;0,INDEX(CS$7:CS$106,$AH24),1),IF($AI24&gt;0,INDEX(CS$7:CS$106,$AI24),1),IF($AJ24&gt;0,INDEX(CS$7:CS$106,$AJ24),1))))</ns0:f>
        <ns0:v>1</ns0:v>
      </ns0:c>
      <ns0:c r="CU24" t="n">
        <ns0:f>IF($A24="",1,IF(CT24=1,1,--AND(IF($AC24&gt;0,INDEX(CT$7:CT$106,$AC24),1),IF($AD24&gt;0,INDEX(CT$7:CT$106,$AD24),1),IF($AE24&gt;0,INDEX(CT$7:CT$106,$AE24),1),IF($AF24&gt;0,INDEX(CT$7:CT$106,$AF24),1),IF($AG24&gt;0,INDEX(CT$7:CT$106,$AG24),1),IF($AH24&gt;0,INDEX(CT$7:CT$106,$AH24),1),IF($AI24&gt;0,INDEX(CT$7:CT$106,$AI24),1),IF($AJ24&gt;0,INDEX(CT$7:CT$106,$AJ24),1))))</ns0:f>
        <ns0:v>1</ns0:v>
      </ns0:c>
      <ns0:c r="CV24" t="n">
        <ns0:f>IF($A24="",1,IF(CU24=1,1,--AND(IF($AC24&gt;0,INDEX(CU$7:CU$106,$AC24),1),IF($AD24&gt;0,INDEX(CU$7:CU$106,$AD24),1),IF($AE24&gt;0,INDEX(CU$7:CU$106,$AE24),1),IF($AF24&gt;0,INDEX(CU$7:CU$106,$AF24),1),IF($AG24&gt;0,INDEX(CU$7:CU$106,$AG24),1),IF($AH24&gt;0,INDEX(CU$7:CU$106,$AH24),1),IF($AI24&gt;0,INDEX(CU$7:CU$106,$AI24),1),IF($AJ24&gt;0,INDEX(CU$7:CU$106,$AJ24),1))))</ns0:f>
        <ns0:v>1</ns0:v>
      </ns0:c>
      <ns0:c r="CW24" t="n">
        <ns0:f>IF($A24="",1,IF(CV24=1,1,--AND(IF($AC24&gt;0,INDEX(CV$7:CV$106,$AC24),1),IF($AD24&gt;0,INDEX(CV$7:CV$106,$AD24),1),IF($AE24&gt;0,INDEX(CV$7:CV$106,$AE24),1),IF($AF24&gt;0,INDEX(CV$7:CV$106,$AF24),1),IF($AG24&gt;0,INDEX(CV$7:CV$106,$AG24),1),IF($AH24&gt;0,INDEX(CV$7:CV$106,$AH24),1),IF($AI24&gt;0,INDEX(CV$7:CV$106,$AI24),1),IF($AJ24&gt;0,INDEX(CV$7:CV$106,$AJ24),1))))</ns0:f>
        <ns0:v>1</ns0:v>
      </ns0:c>
      <ns0:c r="CX24" t="n">
        <ns0:f>IF($A24="",1,IF(CW24=1,1,--AND(IF($AC24&gt;0,INDEX(CW$7:CW$106,$AC24),1),IF($AD24&gt;0,INDEX(CW$7:CW$106,$AD24),1),IF($AE24&gt;0,INDEX(CW$7:CW$106,$AE24),1),IF($AF24&gt;0,INDEX(CW$7:CW$106,$AF24),1),IF($AG24&gt;0,INDEX(CW$7:CW$106,$AG24),1),IF($AH24&gt;0,INDEX(CW$7:CW$106,$AH24),1),IF($AI24&gt;0,INDEX(CW$7:CW$106,$AI24),1),IF($AJ24&gt;0,INDEX(CW$7:CW$106,$AJ24),1))))</ns0:f>
        <ns0:v>1</ns0:v>
      </ns0:c>
      <ns0:c r="CY24" t="n">
        <ns0:f>IF($A24="",1,IF(CX24=1,1,--AND(IF($AC24&gt;0,INDEX(CX$7:CX$106,$AC24),1),IF($AD24&gt;0,INDEX(CX$7:CX$106,$AD24),1),IF($AE24&gt;0,INDEX(CX$7:CX$106,$AE24),1),IF($AF24&gt;0,INDEX(CX$7:CX$106,$AF24),1),IF($AG24&gt;0,INDEX(CX$7:CX$106,$AG24),1),IF($AH24&gt;0,INDEX(CX$7:CX$106,$AH24),1),IF($AI24&gt;0,INDEX(CX$7:CX$106,$AI24),1),IF($AJ24&gt;0,INDEX(CX$7:CX$106,$AJ24),1))))</ns0:f>
        <ns0:v>1</ns0:v>
      </ns0:c>
      <ns0:c r="CZ24" t="n">
        <ns0:f>IF($A24="",1,IF(CY24=1,1,--AND(IF($AC24&gt;0,INDEX(CY$7:CY$106,$AC24),1),IF($AD24&gt;0,INDEX(CY$7:CY$106,$AD24),1),IF($AE24&gt;0,INDEX(CY$7:CY$106,$AE24),1),IF($AF24&gt;0,INDEX(CY$7:CY$106,$AF24),1),IF($AG24&gt;0,INDEX(CY$7:CY$106,$AG24),1),IF($AH24&gt;0,INDEX(CY$7:CY$106,$AH24),1),IF($AI24&gt;0,INDEX(CY$7:CY$106,$AI24),1),IF($AJ24&gt;0,INDEX(CY$7:CY$106,$AJ24),1))))</ns0:f>
        <ns0:v>1</ns0:v>
      </ns0:c>
      <ns0:c r="DA24" t="n">
        <ns0:f>IF($A24="",1,IF(CZ24=1,1,--AND(IF($AC24&gt;0,INDEX(CZ$7:CZ$106,$AC24),1),IF($AD24&gt;0,INDEX(CZ$7:CZ$106,$AD24),1),IF($AE24&gt;0,INDEX(CZ$7:CZ$106,$AE24),1),IF($AF24&gt;0,INDEX(CZ$7:CZ$106,$AF24),1),IF($AG24&gt;0,INDEX(CZ$7:CZ$106,$AG24),1),IF($AH24&gt;0,INDEX(CZ$7:CZ$106,$AH24),1),IF($AI24&gt;0,INDEX(CZ$7:CZ$106,$AI24),1),IF($AJ24&gt;0,INDEX(CZ$7:CZ$106,$AJ24),1))))</ns0:f>
        <ns0:v>1</ns0:v>
      </ns0:c>
      <ns0:c r="DB24" t="n">
        <ns0:f>IF($A24="",1,IF(DA24=1,1,--AND(IF($AC24&gt;0,INDEX(DA$7:DA$106,$AC24),1),IF($AD24&gt;0,INDEX(DA$7:DA$106,$AD24),1),IF($AE24&gt;0,INDEX(DA$7:DA$106,$AE24),1),IF($AF24&gt;0,INDEX(DA$7:DA$106,$AF24),1),IF($AG24&gt;0,INDEX(DA$7:DA$106,$AG24),1),IF($AH24&gt;0,INDEX(DA$7:DA$106,$AH24),1),IF($AI24&gt;0,INDEX(DA$7:DA$106,$AI24),1),IF($AJ24&gt;0,INDEX(DA$7:DA$106,$AJ24),1))))</ns0:f>
        <ns0:v>1</ns0:v>
      </ns0:c>
      <ns0:c r="DC24" t="n">
        <ns0:f>IF($A24="",1,IF(DB24=1,1,--AND(IF($AC24&gt;0,INDEX(DB$7:DB$106,$AC24),1),IF($AD24&gt;0,INDEX(DB$7:DB$106,$AD24),1),IF($AE24&gt;0,INDEX(DB$7:DB$106,$AE24),1),IF($AF24&gt;0,INDEX(DB$7:DB$106,$AF24),1),IF($AG24&gt;0,INDEX(DB$7:DB$106,$AG24),1),IF($AH24&gt;0,INDEX(DB$7:DB$106,$AH24),1),IF($AI24&gt;0,INDEX(DB$7:DB$106,$AI24),1),IF($AJ24&gt;0,INDEX(DB$7:DB$106,$AJ24),1))))</ns0:f>
        <ns0:v>1</ns0:v>
      </ns0:c>
      <ns0:c r="DD24" t="n">
        <ns0:f>IF($A24="",1,IF(DC24=1,1,--AND(IF($AC24&gt;0,INDEX(DC$7:DC$106,$AC24),1),IF($AD24&gt;0,INDEX(DC$7:DC$106,$AD24),1),IF($AE24&gt;0,INDEX(DC$7:DC$106,$AE24),1),IF($AF24&gt;0,INDEX(DC$7:DC$106,$AF24),1),IF($AG24&gt;0,INDEX(DC$7:DC$106,$AG24),1),IF($AH24&gt;0,INDEX(DC$7:DC$106,$AH24),1),IF($AI24&gt;0,INDEX(DC$7:DC$106,$AI24),1),IF($AJ24&gt;0,INDEX(DC$7:DC$106,$AJ24),1))))</ns0:f>
        <ns0:v>1</ns0:v>
      </ns0:c>
      <ns0:c r="DE24" t="n">
        <ns0:f>IF($A24="",1,IF(DD24=1,1,--AND(IF($AC24&gt;0,INDEX(DD$7:DD$106,$AC24),1),IF($AD24&gt;0,INDEX(DD$7:DD$106,$AD24),1),IF($AE24&gt;0,INDEX(DD$7:DD$106,$AE24),1),IF($AF24&gt;0,INDEX(DD$7:DD$106,$AF24),1),IF($AG24&gt;0,INDEX(DD$7:DD$106,$AG24),1),IF($AH24&gt;0,INDEX(DD$7:DD$106,$AH24),1),IF($AI24&gt;0,INDEX(DD$7:DD$106,$AI24),1),IF($AJ24&gt;0,INDEX(DD$7:DD$106,$AJ24),1))))</ns0:f>
        <ns0:v>1</ns0:v>
      </ns0:c>
      <ns0:c r="DF24" t="n">
        <ns0:f>IF($A24="",1,IF(DE24=1,1,--AND(IF($AC24&gt;0,INDEX(DE$7:DE$106,$AC24),1),IF($AD24&gt;0,INDEX(DE$7:DE$106,$AD24),1),IF($AE24&gt;0,INDEX(DE$7:DE$106,$AE24),1),IF($AF24&gt;0,INDEX(DE$7:DE$106,$AF24),1),IF($AG24&gt;0,INDEX(DE$7:DE$106,$AG24),1),IF($AH24&gt;0,INDEX(DE$7:DE$106,$AH24),1),IF($AI24&gt;0,INDEX(DE$7:DE$106,$AI24),1),IF($AJ24&gt;0,INDEX(DE$7:DE$106,$AJ24),1))))</ns0:f>
        <ns0:v>1</ns0:v>
      </ns0:c>
      <ns0:c r="DG24" t="n">
        <ns0:f>IF($A24="",1,IF(DF24=1,1,--AND(IF($AC24&gt;0,INDEX(DF$7:DF$106,$AC24),1),IF($AD24&gt;0,INDEX(DF$7:DF$106,$AD24),1),IF($AE24&gt;0,INDEX(DF$7:DF$106,$AE24),1),IF($AF24&gt;0,INDEX(DF$7:DF$106,$AF24),1),IF($AG24&gt;0,INDEX(DF$7:DF$106,$AG24),1),IF($AH24&gt;0,INDEX(DF$7:DF$106,$AH24),1),IF($AI24&gt;0,INDEX(DF$7:DF$106,$AI24),1),IF($AJ24&gt;0,INDEX(DF$7:DF$106,$AJ24),1))))</ns0:f>
        <ns0:v>1</ns0:v>
      </ns0:c>
      <ns0:c r="DH24" t="n">
        <ns0:f>IF($A24="",1,IF(DG24=1,1,--AND(IF($AC24&gt;0,INDEX(DG$7:DG$106,$AC24),1),IF($AD24&gt;0,INDEX(DG$7:DG$106,$AD24),1),IF($AE24&gt;0,INDEX(DG$7:DG$106,$AE24),1),IF($AF24&gt;0,INDEX(DG$7:DG$106,$AF24),1),IF($AG24&gt;0,INDEX(DG$7:DG$106,$AG24),1),IF($AH24&gt;0,INDEX(DG$7:DG$106,$AH24),1),IF($AI24&gt;0,INDEX(DG$7:DG$106,$AI24),1),IF($AJ24&gt;0,INDEX(DG$7:DG$106,$AJ24),1))))</ns0:f>
        <ns0:v>1</ns0:v>
      </ns0:c>
      <ns0:c r="DI24" t="n">
        <ns0:f>IF($A24="",1,IF(DH24=1,1,--AND(IF($AC24&gt;0,INDEX(DH$7:DH$106,$AC24),1),IF($AD24&gt;0,INDEX(DH$7:DH$106,$AD24),1),IF($AE24&gt;0,INDEX(DH$7:DH$106,$AE24),1),IF($AF24&gt;0,INDEX(DH$7:DH$106,$AF24),1),IF($AG24&gt;0,INDEX(DH$7:DH$106,$AG24),1),IF($AH24&gt;0,INDEX(DH$7:DH$106,$AH24),1),IF($AI24&gt;0,INDEX(DH$7:DH$106,$AI24),1),IF($AJ24&gt;0,INDEX(DH$7:DH$106,$AJ24),1))))</ns0:f>
        <ns0:v>1</ns0:v>
      </ns0:c>
      <ns0:c r="DJ24" t="n">
        <ns0:f>IF($A24="",1,IF(DI24=1,1,--AND(IF($AC24&gt;0,INDEX(DI$7:DI$106,$AC24),1),IF($AD24&gt;0,INDEX(DI$7:DI$106,$AD24),1),IF($AE24&gt;0,INDEX(DI$7:DI$106,$AE24),1),IF($AF24&gt;0,INDEX(DI$7:DI$106,$AF24),1),IF($AG24&gt;0,INDEX(DI$7:DI$106,$AG24),1),IF($AH24&gt;0,INDEX(DI$7:DI$106,$AH24),1),IF($AI24&gt;0,INDEX(DI$7:DI$106,$AI24),1),IF($AJ24&gt;0,INDEX(DI$7:DI$106,$AJ24),1))))</ns0:f>
        <ns0:v>1</ns0:v>
      </ns0:c>
      <ns0:c r="DK24" t="n">
        <ns0:f>IF($A24="",1,IF(DJ24=1,1,--AND(IF($AC24&gt;0,INDEX(DJ$7:DJ$106,$AC24),1),IF($AD24&gt;0,INDEX(DJ$7:DJ$106,$AD24),1),IF($AE24&gt;0,INDEX(DJ$7:DJ$106,$AE24),1),IF($AF24&gt;0,INDEX(DJ$7:DJ$106,$AF24),1),IF($AG24&gt;0,INDEX(DJ$7:DJ$106,$AG24),1),IF($AH24&gt;0,INDEX(DJ$7:DJ$106,$AH24),1),IF($AI24&gt;0,INDEX(DJ$7:DJ$106,$AI24),1),IF($AJ24&gt;0,INDEX(DJ$7:DJ$106,$AJ24),1))))</ns0:f>
        <ns0:v>1</ns0:v>
      </ns0:c>
      <ns0:c r="DL24" t="n">
        <ns0:f>IF($A24="",1,IF(DK24=1,1,--AND(IF($AC24&gt;0,INDEX(DK$7:DK$106,$AC24),1),IF($AD24&gt;0,INDEX(DK$7:DK$106,$AD24),1),IF($AE24&gt;0,INDEX(DK$7:DK$106,$AE24),1),IF($AF24&gt;0,INDEX(DK$7:DK$106,$AF24),1),IF($AG24&gt;0,INDEX(DK$7:DK$106,$AG24),1),IF($AH24&gt;0,INDEX(DK$7:DK$106,$AH24),1),IF($AI24&gt;0,INDEX(DK$7:DK$106,$AI24),1),IF($AJ24&gt;0,INDEX(DK$7:DK$106,$AJ24),1))))</ns0:f>
        <ns0:v>1</ns0:v>
      </ns0:c>
      <ns0:c r="DM24" t="n">
        <ns0:f>IF($A24="",1,IF(DL24=1,1,--AND(IF($AC24&gt;0,INDEX(DL$7:DL$106,$AC24),1),IF($AD24&gt;0,INDEX(DL$7:DL$106,$AD24),1),IF($AE24&gt;0,INDEX(DL$7:DL$106,$AE24),1),IF($AF24&gt;0,INDEX(DL$7:DL$106,$AF24),1),IF($AG24&gt;0,INDEX(DL$7:DL$106,$AG24),1),IF($AH24&gt;0,INDEX(DL$7:DL$106,$AH24),1),IF($AI24&gt;0,INDEX(DL$7:DL$106,$AI24),1),IF($AJ24&gt;0,INDEX(DL$7:DL$106,$AJ24),1))))</ns0:f>
        <ns0:v>1</ns0:v>
      </ns0:c>
      <ns0:c r="DN24" t="n">
        <ns0:f>IF($A24="",1,IF(DM24=1,1,--AND(IF($AC24&gt;0,INDEX(DM$7:DM$106,$AC24),1),IF($AD24&gt;0,INDEX(DM$7:DM$106,$AD24),1),IF($AE24&gt;0,INDEX(DM$7:DM$106,$AE24),1),IF($AF24&gt;0,INDEX(DM$7:DM$106,$AF24),1),IF($AG24&gt;0,INDEX(DM$7:DM$106,$AG24),1),IF($AH24&gt;0,INDEX(DM$7:DM$106,$AH24),1),IF($AI24&gt;0,INDEX(DM$7:DM$106,$AI24),1),IF($AJ24&gt;0,INDEX(DM$7:DM$106,$AJ24),1))))</ns0:f>
        <ns0:v>1</ns0:v>
      </ns0:c>
      <ns0:c r="DO24" t="n">
        <ns0:f>IF($A24="",1,IF(DN24=1,1,--AND(IF($AC24&gt;0,INDEX(DN$7:DN$106,$AC24),1),IF($AD24&gt;0,INDEX(DN$7:DN$106,$AD24),1),IF($AE24&gt;0,INDEX(DN$7:DN$106,$AE24),1),IF($AF24&gt;0,INDEX(DN$7:DN$106,$AF24),1),IF($AG24&gt;0,INDEX(DN$7:DN$106,$AG24),1),IF($AH24&gt;0,INDEX(DN$7:DN$106,$AH24),1),IF($AI24&gt;0,INDEX(DN$7:DN$106,$AI24),1),IF($AJ24&gt;0,INDEX(DN$7:DN$106,$AJ24),1))))</ns0:f>
        <ns0:v>1</ns0:v>
      </ns0:c>
      <ns0:c r="DP24" t="n">
        <ns0:f>IF($A24="",1,IF(DO24=1,1,--AND(IF($AC24&gt;0,INDEX(DO$7:DO$106,$AC24),1),IF($AD24&gt;0,INDEX(DO$7:DO$106,$AD24),1),IF($AE24&gt;0,INDEX(DO$7:DO$106,$AE24),1),IF($AF24&gt;0,INDEX(DO$7:DO$106,$AF24),1),IF($AG24&gt;0,INDEX(DO$7:DO$106,$AG24),1),IF($AH24&gt;0,INDEX(DO$7:DO$106,$AH24),1),IF($AI24&gt;0,INDEX(DO$7:DO$106,$AI24),1),IF($AJ24&gt;0,INDEX(DO$7:DO$106,$AJ24),1))))</ns0:f>
        <ns0:v>1</ns0:v>
      </ns0:c>
      <ns0:c r="DQ24" t="n">
        <ns0:f>IF($A24="",1,IF(DP24=1,1,--AND(IF($AC24&gt;0,INDEX(DP$7:DP$106,$AC24),1),IF($AD24&gt;0,INDEX(DP$7:DP$106,$AD24),1),IF($AE24&gt;0,INDEX(DP$7:DP$106,$AE24),1),IF($AF24&gt;0,INDEX(DP$7:DP$106,$AF24),1),IF($AG24&gt;0,INDEX(DP$7:DP$106,$AG24),1),IF($AH24&gt;0,INDEX(DP$7:DP$106,$AH24),1),IF($AI24&gt;0,INDEX(DP$7:DP$106,$AI24),1),IF($AJ24&gt;0,INDEX(DP$7:DP$106,$AJ24),1))))</ns0:f>
        <ns0:v>1</ns0:v>
      </ns0:c>
      <ns0:c r="DR24" t="n">
        <ns0:f>IF($A24="",1,IF(DQ24=1,1,--AND(IF($AC24&gt;0,INDEX(DQ$7:DQ$106,$AC24),1),IF($AD24&gt;0,INDEX(DQ$7:DQ$106,$AD24),1),IF($AE24&gt;0,INDEX(DQ$7:DQ$106,$AE24),1),IF($AF24&gt;0,INDEX(DQ$7:DQ$106,$AF24),1),IF($AG24&gt;0,INDEX(DQ$7:DQ$106,$AG24),1),IF($AH24&gt;0,INDEX(DQ$7:DQ$106,$AH24),1),IF($AI24&gt;0,INDEX(DQ$7:DQ$106,$AI24),1),IF($AJ24&gt;0,INDEX(DQ$7:DQ$106,$AJ24),1))))</ns0:f>
        <ns0:v>1</ns0:v>
      </ns0:c>
      <ns0:c r="DS24" t="n">
        <ns0:f>IF($A24="",1,IF(DR24=1,1,--AND(IF($AC24&gt;0,INDEX(DR$7:DR$106,$AC24),1),IF($AD24&gt;0,INDEX(DR$7:DR$106,$AD24),1),IF($AE24&gt;0,INDEX(DR$7:DR$106,$AE24),1),IF($AF24&gt;0,INDEX(DR$7:DR$106,$AF24),1),IF($AG24&gt;0,INDEX(DR$7:DR$106,$AG24),1),IF($AH24&gt;0,INDEX(DR$7:DR$106,$AH24),1),IF($AI24&gt;0,INDEX(DR$7:DR$106,$AI24),1),IF($AJ24&gt;0,INDEX(DR$7:DR$106,$AJ24),1))))</ns0:f>
        <ns0:v>1</ns0:v>
      </ns0:c>
      <ns0:c r="DT24" t="n">
        <ns0:f>IF($A24="",1,IF(DS24=1,1,--AND(IF($AC24&gt;0,INDEX(DS$7:DS$106,$AC24),1),IF($AD24&gt;0,INDEX(DS$7:DS$106,$AD24),1),IF($AE24&gt;0,INDEX(DS$7:DS$106,$AE24),1),IF($AF24&gt;0,INDEX(DS$7:DS$106,$AF24),1),IF($AG24&gt;0,INDEX(DS$7:DS$106,$AG24),1),IF($AH24&gt;0,INDEX(DS$7:DS$106,$AH24),1),IF($AI24&gt;0,INDEX(DS$7:DS$106,$AI24),1),IF($AJ24&gt;0,INDEX(DS$7:DS$106,$AJ24),1))))</ns0:f>
        <ns0:v>1</ns0:v>
      </ns0:c>
      <ns0:c r="DU24" t="n">
        <ns0:f>IF($A24="",1,IF(DT24=1,1,--AND(IF($AC24&gt;0,INDEX(DT$7:DT$106,$AC24),1),IF($AD24&gt;0,INDEX(DT$7:DT$106,$AD24),1),IF($AE24&gt;0,INDEX(DT$7:DT$106,$AE24),1),IF($AF24&gt;0,INDEX(DT$7:DT$106,$AF24),1),IF($AG24&gt;0,INDEX(DT$7:DT$106,$AG24),1),IF($AH24&gt;0,INDEX(DT$7:DT$106,$AH24),1),IF($AI24&gt;0,INDEX(DT$7:DT$106,$AI24),1),IF($AJ24&gt;0,INDEX(DT$7:DT$106,$AJ24),1))))</ns0:f>
        <ns0:v>1</ns0:v>
      </ns0:c>
      <ns0:c r="DV24" t="n">
        <ns0:f>IF($A24="",1,IF(DU24=1,1,--AND(IF($AC24&gt;0,INDEX(DU$7:DU$106,$AC24),1),IF($AD24&gt;0,INDEX(DU$7:DU$106,$AD24),1),IF($AE24&gt;0,INDEX(DU$7:DU$106,$AE24),1),IF($AF24&gt;0,INDEX(DU$7:DU$106,$AF24),1),IF($AG24&gt;0,INDEX(DU$7:DU$106,$AG24),1),IF($AH24&gt;0,INDEX(DU$7:DU$106,$AH24),1),IF($AI24&gt;0,INDEX(DU$7:DU$106,$AI24),1),IF($AJ24&gt;0,INDEX(DU$7:DU$106,$AJ24),1))))</ns0:f>
        <ns0:v>1</ns0:v>
      </ns0:c>
      <ns0:c r="DW24" t="n">
        <ns0:f>IF($A24="",1,IF(DV24=1,1,--AND(IF($AC24&gt;0,INDEX(DV$7:DV$106,$AC24),1),IF($AD24&gt;0,INDEX(DV$7:DV$106,$AD24),1),IF($AE24&gt;0,INDEX(DV$7:DV$106,$AE24),1),IF($AF24&gt;0,INDEX(DV$7:DV$106,$AF24),1),IF($AG24&gt;0,INDEX(DV$7:DV$106,$AG24),1),IF($AH24&gt;0,INDEX(DV$7:DV$106,$AH24),1),IF($AI24&gt;0,INDEX(DV$7:DV$106,$AI24),1),IF($AJ24&gt;0,INDEX(DV$7:DV$106,$AJ24),1))))</ns0:f>
        <ns0:v>1</ns0:v>
      </ns0:c>
      <ns0:c r="DX24" t="n">
        <ns0:f>IF($A24="",1,IF(DW24=1,1,--AND(IF($AC24&gt;0,INDEX(DW$7:DW$106,$AC24),1),IF($AD24&gt;0,INDEX(DW$7:DW$106,$AD24),1),IF($AE24&gt;0,INDEX(DW$7:DW$106,$AE24),1),IF($AF24&gt;0,INDEX(DW$7:DW$106,$AF24),1),IF($AG24&gt;0,INDEX(DW$7:DW$106,$AG24),1),IF($AH24&gt;0,INDEX(DW$7:DW$106,$AH24),1),IF($AI24&gt;0,INDEX(DW$7:DW$106,$AI24),1),IF($AJ24&gt;0,INDEX(DW$7:DW$106,$AJ24),1))))</ns0:f>
        <ns0:v>1</ns0:v>
      </ns0:c>
      <ns0:c r="DY24" t="n">
        <ns0:f>IF($A24="",1,IF(DX24=1,1,--AND(IF($AC24&gt;0,INDEX(DX$7:DX$106,$AC24),1),IF($AD24&gt;0,INDEX(DX$7:DX$106,$AD24),1),IF($AE24&gt;0,INDEX(DX$7:DX$106,$AE24),1),IF($AF24&gt;0,INDEX(DX$7:DX$106,$AF24),1),IF($AG24&gt;0,INDEX(DX$7:DX$106,$AG24),1),IF($AH24&gt;0,INDEX(DX$7:DX$106,$AH24),1),IF($AI24&gt;0,INDEX(DX$7:DX$106,$AI24),1),IF($AJ24&gt;0,INDEX(DX$7:DX$106,$AJ24),1))))</ns0:f>
        <ns0:v>1</ns0:v>
      </ns0:c>
      <ns0:c r="DZ24" t="n">
        <ns0:f>IF($A24="",1,IF(DY24=1,1,--AND(IF($AC24&gt;0,INDEX(DY$7:DY$106,$AC24),1),IF($AD24&gt;0,INDEX(DY$7:DY$106,$AD24),1),IF($AE24&gt;0,INDEX(DY$7:DY$106,$AE24),1),IF($AF24&gt;0,INDEX(DY$7:DY$106,$AF24),1),IF($AG24&gt;0,INDEX(DY$7:DY$106,$AG24),1),IF($AH24&gt;0,INDEX(DY$7:DY$106,$AH24),1),IF($AI24&gt;0,INDEX(DY$7:DY$106,$AI24),1),IF($AJ24&gt;0,INDEX(DY$7:DY$106,$AJ24),1))))</ns0:f>
        <ns0:v>1</ns0:v>
      </ns0:c>
      <ns0:c r="EA24" t="n">
        <ns0:f>IF($A24="",1,IF(DZ24=1,1,--AND(IF($AC24&gt;0,INDEX(DZ$7:DZ$106,$AC24),1),IF($AD24&gt;0,INDEX(DZ$7:DZ$106,$AD24),1),IF($AE24&gt;0,INDEX(DZ$7:DZ$106,$AE24),1),IF($AF24&gt;0,INDEX(DZ$7:DZ$106,$AF24),1),IF($AG24&gt;0,INDEX(DZ$7:DZ$106,$AG24),1),IF($AH24&gt;0,INDEX(DZ$7:DZ$106,$AH24),1),IF($AI24&gt;0,INDEX(DZ$7:DZ$106,$AI24),1),IF($AJ24&gt;0,INDEX(DZ$7:DZ$106,$AJ24),1))))</ns0:f>
        <ns0:v>1</ns0:v>
      </ns0:c>
      <ns0:c r="EB24" t="n">
        <ns0:f>IF($A24="",1,IF(EA24=1,1,--AND(IF($AC24&gt;0,INDEX(EA$7:EA$106,$AC24),1),IF($AD24&gt;0,INDEX(EA$7:EA$106,$AD24),1),IF($AE24&gt;0,INDEX(EA$7:EA$106,$AE24),1),IF($AF24&gt;0,INDEX(EA$7:EA$106,$AF24),1),IF($AG24&gt;0,INDEX(EA$7:EA$106,$AG24),1),IF($AH24&gt;0,INDEX(EA$7:EA$106,$AH24),1),IF($AI24&gt;0,INDEX(EA$7:EA$106,$AI24),1),IF($AJ24&gt;0,INDEX(EA$7:EA$106,$AJ24),1))))</ns0:f>
        <ns0:v>1</ns0:v>
      </ns0:c>
      <ns0:c r="EC24" t="n">
        <ns0:f>IF($A24="",1,IF(EB24=1,1,--AND(IF($AC24&gt;0,INDEX(EB$7:EB$106,$AC24),1),IF($AD24&gt;0,INDEX(EB$7:EB$106,$AD24),1),IF($AE24&gt;0,INDEX(EB$7:EB$106,$AE24),1),IF($AF24&gt;0,INDEX(EB$7:EB$106,$AF24),1),IF($AG24&gt;0,INDEX(EB$7:EB$106,$AG24),1),IF($AH24&gt;0,INDEX(EB$7:EB$106,$AH24),1),IF($AI24&gt;0,INDEX(EB$7:EB$106,$AI24),1),IF($AJ24&gt;0,INDEX(EB$7:EB$106,$AJ24),1))))</ns0:f>
        <ns0:v>1</ns0:v>
      </ns0:c>
      <ns0:c r="ED24" t="n">
        <ns0:f>IF($A24="",1,IF(EC24=1,1,--AND(IF($AC24&gt;0,INDEX(EC$7:EC$106,$AC24),1),IF($AD24&gt;0,INDEX(EC$7:EC$106,$AD24),1),IF($AE24&gt;0,INDEX(EC$7:EC$106,$AE24),1),IF($AF24&gt;0,INDEX(EC$7:EC$106,$AF24),1),IF($AG24&gt;0,INDEX(EC$7:EC$106,$AG24),1),IF($AH24&gt;0,INDEX(EC$7:EC$106,$AH24),1),IF($AI24&gt;0,INDEX(EC$7:EC$106,$AI24),1),IF($AJ24&gt;0,INDEX(EC$7:EC$106,$AJ24),1))))</ns0:f>
        <ns0:v>1</ns0:v>
      </ns0:c>
      <ns0:c r="EE24" t="n">
        <ns0:f>IF($A24="",1,IF(ED24=1,1,--AND(IF($AC24&gt;0,INDEX(ED$7:ED$106,$AC24),1),IF($AD24&gt;0,INDEX(ED$7:ED$106,$AD24),1),IF($AE24&gt;0,INDEX(ED$7:ED$106,$AE24),1),IF($AF24&gt;0,INDEX(ED$7:ED$106,$AF24),1),IF($AG24&gt;0,INDEX(ED$7:ED$106,$AG24),1),IF($AH24&gt;0,INDEX(ED$7:ED$106,$AH24),1),IF($AI24&gt;0,INDEX(ED$7:ED$106,$AI24),1),IF($AJ24&gt;0,INDEX(ED$7:ED$106,$AJ24),1))))</ns0:f>
        <ns0:v>1</ns0:v>
      </ns0:c>
      <ns0:c r="EF24" t="n">
        <ns0:f>IF($A24="",1,IF(EE24=1,1,--AND(IF($AC24&gt;0,INDEX(EE$7:EE$106,$AC24),1),IF($AD24&gt;0,INDEX(EE$7:EE$106,$AD24),1),IF($AE24&gt;0,INDEX(EE$7:EE$106,$AE24),1),IF($AF24&gt;0,INDEX(EE$7:EE$106,$AF24),1),IF($AG24&gt;0,INDEX(EE$7:EE$106,$AG24),1),IF($AH24&gt;0,INDEX(EE$7:EE$106,$AH24),1),IF($AI24&gt;0,INDEX(EE$7:EE$106,$AI24),1),IF($AJ24&gt;0,INDEX(EE$7:EE$106,$AJ24),1))))</ns0:f>
        <ns0:v>1</ns0:v>
      </ns0:c>
      <ns0:c r="EG24" t="n">
        <ns0:f>IF($A24="",1,IF(EF24=1,1,--AND(IF($AC24&gt;0,INDEX(EF$7:EF$106,$AC24),1),IF($AD24&gt;0,INDEX(EF$7:EF$106,$AD24),1),IF($AE24&gt;0,INDEX(EF$7:EF$106,$AE24),1),IF($AF24&gt;0,INDEX(EF$7:EF$106,$AF24),1),IF($AG24&gt;0,INDEX(EF$7:EF$106,$AG24),1),IF($AH24&gt;0,INDEX(EF$7:EF$106,$AH24),1),IF($AI24&gt;0,INDEX(EF$7:EF$106,$AI24),1),IF($AJ24&gt;0,INDEX(EF$7:EF$106,$AJ24),1))))</ns0:f>
        <ns0:v>1</ns0:v>
      </ns0:c>
      <ns0:c r="EH24" t="n">
        <ns0:f>IF($A24="",1,IF(EG24=1,1,--AND(IF($AC24&gt;0,INDEX(EG$7:EG$106,$AC24),1),IF($AD24&gt;0,INDEX(EG$7:EG$106,$AD24),1),IF($AE24&gt;0,INDEX(EG$7:EG$106,$AE24),1),IF($AF24&gt;0,INDEX(EG$7:EG$106,$AF24),1),IF($AG24&gt;0,INDEX(EG$7:EG$106,$AG24),1),IF($AH24&gt;0,INDEX(EG$7:EG$106,$AH24),1),IF($AI24&gt;0,INDEX(EG$7:EG$106,$AI24),1),IF($AJ24&gt;0,INDEX(EG$7:EG$106,$AJ24),1))))</ns0:f>
        <ns0:v>1</ns0:v>
      </ns0:c>
      <ns0:c r="EI24" t="n">
        <ns0:f>IF($A24="",1,IF(EH24=1,1,--AND(IF($AC24&gt;0,INDEX(EH$7:EH$106,$AC24),1),IF($AD24&gt;0,INDEX(EH$7:EH$106,$AD24),1),IF($AE24&gt;0,INDEX(EH$7:EH$106,$AE24),1),IF($AF24&gt;0,INDEX(EH$7:EH$106,$AF24),1),IF($AG24&gt;0,INDEX(EH$7:EH$106,$AG24),1),IF($AH24&gt;0,INDEX(EH$7:EH$106,$AH24),1),IF($AI24&gt;0,INDEX(EH$7:EH$106,$AI24),1),IF($AJ24&gt;0,INDEX(EH$7:EH$106,$AJ24),1))))</ns0:f>
        <ns0:v>1</ns0:v>
      </ns0:c>
      <ns0:c r="EJ24" t="n">
        <ns0:f>IF($A24="",1,IF(EI24=1,1,--AND(IF($AC24&gt;0,INDEX(EI$7:EI$106,$AC24),1),IF($AD24&gt;0,INDEX(EI$7:EI$106,$AD24),1),IF($AE24&gt;0,INDEX(EI$7:EI$106,$AE24),1),IF($AF24&gt;0,INDEX(EI$7:EI$106,$AF24),1),IF($AG24&gt;0,INDEX(EI$7:EI$106,$AG24),1),IF($AH24&gt;0,INDEX(EI$7:EI$106,$AH24),1),IF($AI24&gt;0,INDEX(EI$7:EI$106,$AI24),1),IF($AJ24&gt;0,INDEX(EI$7:EI$106,$AJ24),1))))</ns0:f>
        <ns0:v>1</ns0:v>
      </ns0:c>
      <ns0:c r="EK24" t="n">
        <ns0:f>IF($A24="",1,IF(EJ24=1,1,--AND(IF($AC24&gt;0,INDEX(EJ$7:EJ$106,$AC24),1),IF($AD24&gt;0,INDEX(EJ$7:EJ$106,$AD24),1),IF($AE24&gt;0,INDEX(EJ$7:EJ$106,$AE24),1),IF($AF24&gt;0,INDEX(EJ$7:EJ$106,$AF24),1),IF($AG24&gt;0,INDEX(EJ$7:EJ$106,$AG24),1),IF($AH24&gt;0,INDEX(EJ$7:EJ$106,$AH24),1),IF($AI24&gt;0,INDEX(EJ$7:EJ$106,$AI24),1),IF($AJ24&gt;0,INDEX(EJ$7:EJ$106,$AJ24),1))))</ns0:f>
        <ns0:v>1</ns0:v>
      </ns0:c>
      <ns0:c r="EL24" t="n">
        <ns0:f>IF($A24="",1,IF(EK24=1,1,--AND(IF($AC24&gt;0,INDEX(EK$7:EK$106,$AC24),1),IF($AD24&gt;0,INDEX(EK$7:EK$106,$AD24),1),IF($AE24&gt;0,INDEX(EK$7:EK$106,$AE24),1),IF($AF24&gt;0,INDEX(EK$7:EK$106,$AF24),1),IF($AG24&gt;0,INDEX(EK$7:EK$106,$AG24),1),IF($AH24&gt;0,INDEX(EK$7:EK$106,$AH24),1),IF($AI24&gt;0,INDEX(EK$7:EK$106,$AI24),1),IF($AJ24&gt;0,INDEX(EK$7:EK$106,$AJ24),1))))</ns0:f>
        <ns0:v>1</ns0:v>
      </ns0:c>
      <ns0:c r="EM24" t="n">
        <ns0:f>IF($A24="",1,IF(EL24=1,1,--AND(IF($AC24&gt;0,INDEX(EL$7:EL$106,$AC24),1),IF($AD24&gt;0,INDEX(EL$7:EL$106,$AD24),1),IF($AE24&gt;0,INDEX(EL$7:EL$106,$AE24),1),IF($AF24&gt;0,INDEX(EL$7:EL$106,$AF24),1),IF($AG24&gt;0,INDEX(EL$7:EL$106,$AG24),1),IF($AH24&gt;0,INDEX(EL$7:EL$106,$AH24),1),IF($AI24&gt;0,INDEX(EL$7:EL$106,$AI24),1),IF($AJ24&gt;0,INDEX(EL$7:EL$106,$AJ24),1))))</ns0:f>
        <ns0:v>1</ns0:v>
      </ns0:c>
      <ns0:c r="EN24" t="n">
        <ns0:f>IF($A24="",1,IF(EM24=1,1,--AND(IF($AC24&gt;0,INDEX(EM$7:EM$106,$AC24),1),IF($AD24&gt;0,INDEX(EM$7:EM$106,$AD24),1),IF($AE24&gt;0,INDEX(EM$7:EM$106,$AE24),1),IF($AF24&gt;0,INDEX(EM$7:EM$106,$AF24),1),IF($AG24&gt;0,INDEX(EM$7:EM$106,$AG24),1),IF($AH24&gt;0,INDEX(EM$7:EM$106,$AH24),1),IF($AI24&gt;0,INDEX(EM$7:EM$106,$AI24),1),IF($AJ24&gt;0,INDEX(EM$7:EM$106,$AJ24),1))))</ns0:f>
        <ns0:v>1</ns0:v>
      </ns0:c>
      <ns0:c r="EO24" t="n">
        <ns0:f>IF($A24="",1,IF(EN24=1,1,--AND(IF($AC24&gt;0,INDEX(EN$7:EN$106,$AC24),1),IF($AD24&gt;0,INDEX(EN$7:EN$106,$AD24),1),IF($AE24&gt;0,INDEX(EN$7:EN$106,$AE24),1),IF($AF24&gt;0,INDEX(EN$7:EN$106,$AF24),1),IF($AG24&gt;0,INDEX(EN$7:EN$106,$AG24),1),IF($AH24&gt;0,INDEX(EN$7:EN$106,$AH24),1),IF($AI24&gt;0,INDEX(EN$7:EN$106,$AI24),1),IF($AJ24&gt;0,INDEX(EN$7:EN$106,$AJ24),1))))</ns0:f>
        <ns0:v>1</ns0:v>
      </ns0:c>
      <ns0:c r="EP24" t="n">
        <ns0:f>IF($A24="",1,IF(EO24=1,1,--AND(IF($AC24&gt;0,INDEX(EO$7:EO$106,$AC24),1),IF($AD24&gt;0,INDEX(EO$7:EO$106,$AD24),1),IF($AE24&gt;0,INDEX(EO$7:EO$106,$AE24),1),IF($AF24&gt;0,INDEX(EO$7:EO$106,$AF24),1),IF($AG24&gt;0,INDEX(EO$7:EO$106,$AG24),1),IF($AH24&gt;0,INDEX(EO$7:EO$106,$AH24),1),IF($AI24&gt;0,INDEX(EO$7:EO$106,$AI24),1),IF($AJ24&gt;0,INDEX(EO$7:EO$106,$AJ24),1))))</ns0:f>
        <ns0:v>1</ns0:v>
      </ns0:c>
      <ns0:c r="EQ24" t="n">
        <ns0:f>IF(OR(A24="",NOT(ISNUMBER(G24))),0,G24*N24)</ns0:f>
        <ns0:v>0</ns0:v>
      </ns0:c>
    </ns0:row>
    <ns0:row r="25" ht="62" customHeight="1">
      <ns0:c r="A25" s="48" t="str">
        <ns0:v>T16</ns0:v>
      </ns0:c>
      <ns0:c r="B25" s="48" t="str">
        <ns0:v>Intelligence &amp; assets</ns0:v>
      </ns0:c>
      <ns0:c r="C25" s="48" t="str">
        <ns0:v>Ingest &amp; verify product formulations and compliance dossiers (W_PROD)</ns0:v>
      </ns0:c>
      <ns0:c r="D25" s="48" t="str">
        <ns0:v>Create verified claims dossiers and product specifications with S_VAL.</ns0:v>
      </ns0:c>
      <ns0:c r="E25" s="49" t="n">
        <ns0:v>46285</ns0:v>
      </ns0:c>
      <ns0:c r="F25" s="49" t="n">
        <ns0:v>46286</ns0:v>
      </ns0:c>
      <ns0:c r="G25" s="13" t="n">
        <ns0:f>IF(A25="","",IF(OR(NOT(ISNUMBER(E25)),NOT(ISNUMBER(F25)),F25&lt;E25),"",IF(J25="Yes",0,F25-E25+1)))</ns0:f>
        <ns0:v>2</ns0:v>
      </ns0:c>
      <ns0:c r="H25" s="48" t="str">
        <ns0:v>T10,T14,T15</ns0:v>
      </ns0:c>
      <ns0:c r="I25" s="48" t="str">
        <ns0:v>FS</ns0:v>
      </ns0:c>
      <ns0:c r="J25" s="48" t="str">
        <ns0:v>No</ns0:v>
      </ns0:c>
      <ns0:c r="K25" s="48" t="str">
        <ns0:v>Specialist Sub-Agents (L4_SUBS);Product / Evidence Engine (W_PROD)</ns0:v>
      </ns0:c>
      <ns0:c r="L25" s="48" t="str"/>
      <ns0:c r="M25" s="50" t="str">
        <ns0:f>IF(A25="","",IF(N25=1,"Completed",IF(N25&gt;0,"In Progress","Not Started")))</ns0:f>
        <ns0:v>Not Started</ns0:v>
      </ns0:c>
      <ns0:c r="N25" s="51" t="n">
        <ns0:v>0</ns0:v>
      </ns0:c>
      <ns0:c r="O25" s="13" t="str">
        <ns0:f>IF(A25="","",IF(R25&lt;&gt;"","[CONFLICT] "&amp;R25,IF(S25&lt;&gt;"","[CONFLICT] "&amp;S25,IF(OR(NOT(ISNUMBER(N25)),N25&lt;0,N25&gt;1),"[CONFLICT] Invalid progress",IF(AK25&gt;0,"[DEPENDENCY ISSUE] Missing ID / &gt;8 links",IF(AM25&gt;0,"[DEPENDENCY ISSUE] Cycle or blocked by cycle",IF(AND(H25&lt;&gt;"",ISNA(MATCH(I25,{"FS","SS","FF","SF"},0))),"[DEPENDENCY ISSUE] Invalid type",IF(AL25&gt;0,"[DEPENDENCY ISSUE] Timing conflict",IF(OR(E25&lt;ProjectStart,F25&gt;ProjectEnd),"[OUTSIDE WINDOW]",IF(AND(N25&lt;1,F25&lt;AsOfDate),"Overdue",IF(AND(M25&lt;&gt;Q25,M25&lt;&gt;""),"[CONFLICT] Status / progress","On track")))))))))))</ns0:f>
        <ns0:v>On track</ns0:v>
      </ns0:c>
      <ns0:c r="P25" s="52" t="str">
        <ns0:v>Source: Project Plan Essentials (2).md §1, §2, §4. Original 2026-09-24 to 2026-09-26, 3d; original progress 100% [INFERRED]. [INFERRED] Rescheduled to fit 34d with FS. Duration reduced to 2d. Original resource/tools: Product / Evidence Engine &amp; S_VAL.</ns0:v>
      </ns0:c>
      <ns0:c r="Q25" t="str">
        <ns0:f>IF(A25="","",IF(OR(M25="On Hold",M25="Delayed"),M25,IF(N25=1,"Completed",IF(N25&gt;0,"In Progress","Not Started"))))</ns0:f>
        <ns0:v>Not Started</ns0:v>
      </ns0:c>
      <ns0:c r="R25" t="str">
        <ns0:f>IF(A25="","",IF(COUNTIFS(Tasks[Task ID],A25)&lt;&gt;1,"Duplicate ID",""))</ns0:f>
      </ns0:c>
      <ns0:c r="S25" t="str">
        <ns0:f>IF(A25="","",IF(OR(NOT(ISNUMBER(E25)),NOT(ISNUMBER(F25))),"Invalid / missing date",IF(OR(E25&lt;&gt;INT(E25),F25&lt;&gt;INT(F25),E25&lt;1,F25&gt;2958465),"Invalid date",IF(F25&lt;E25,"End before start",IF(AND(J25="Yes",E25&lt;&gt;F25),"Milestone needs one date","")))))</ns0:f>
      </ns0:c>
      <ns0:c r="T25" t="n">
        <ns0:f>IF(H25="",0,LEN(H25)-LEN(SUBSTITUTE(H25,",",""))+1)</ns0:f>
        <ns0:v>3</ns0:v>
      </ns0:c>
      <ns0:c r="U25" t="str">
        <ns0:f>TRIM(MID(SUBSTITUTE($H25,",",REPT(" ",100)),1,100))</ns0:f>
        <ns0:v>T10</ns0:v>
      </ns0:c>
      <ns0:c r="V25" t="str">
        <ns0:f>TRIM(MID(SUBSTITUTE($H25,",",REPT(" ",100)),101,100))</ns0:f>
        <ns0:v>T14</ns0:v>
      </ns0:c>
      <ns0:c r="W25" t="str">
        <ns0:f>TRIM(MID(SUBSTITUTE($H25,",",REPT(" ",100)),201,100))</ns0:f>
        <ns0:v>T15</ns0:v>
      </ns0:c>
      <ns0:c r="X25" t="str">
        <ns0:f>TRIM(MID(SUBSTITUTE($H25,",",REPT(" ",100)),301,100))</ns0:f>
      </ns0:c>
      <ns0:c r="Y25" t="str">
        <ns0:f>TRIM(MID(SUBSTITUTE($H25,",",REPT(" ",100)),401,100))</ns0:f>
      </ns0:c>
      <ns0:c r="Z25" t="str">
        <ns0:f>TRIM(MID(SUBSTITUTE($H25,",",REPT(" ",100)),501,100))</ns0:f>
      </ns0:c>
      <ns0:c r="AA25" t="str">
        <ns0:f>TRIM(MID(SUBSTITUTE($H25,",",REPT(" ",100)),601,100))</ns0:f>
      </ns0:c>
      <ns0:c r="AB25" t="str">
        <ns0:f>TRIM(MID(SUBSTITUTE($H25,",",REPT(" ",100)),701,100))</ns0:f>
      </ns0:c>
      <ns0:c r="AC25" t="n">
        <ns0:f>IF(U25="",0,IF(COUNTIFS(Tasks[Task ID],U25)=1,MATCH(U25,Tasks[Task ID],0),-1))</ns0:f>
        <ns0:v>11</ns0:v>
      </ns0:c>
      <ns0:c r="AD25" t="n">
        <ns0:f>IF(V25="",0,IF(COUNTIFS(Tasks[Task ID],V25)=1,MATCH(V25,Tasks[Task ID],0),-1))</ns0:f>
        <ns0:v>16</ns0:v>
      </ns0:c>
      <ns0:c r="AE25" t="n">
        <ns0:f>IF(W25="",0,IF(COUNTIFS(Tasks[Task ID],W25)=1,MATCH(W25,Tasks[Task ID],0),-1))</ns0:f>
        <ns0:v>18</ns0:v>
      </ns0:c>
      <ns0:c r="AF25" t="n">
        <ns0:f>IF(X25="",0,IF(COUNTIFS(Tasks[Task ID],X25)=1,MATCH(X25,Tasks[Task ID],0),-1))</ns0:f>
        <ns0:v>0</ns0:v>
      </ns0:c>
      <ns0:c r="AG25" t="n">
        <ns0:f>IF(Y25="",0,IF(COUNTIFS(Tasks[Task ID],Y25)=1,MATCH(Y25,Tasks[Task ID],0),-1))</ns0:f>
        <ns0:v>0</ns0:v>
      </ns0:c>
      <ns0:c r="AH25" t="n">
        <ns0:f>IF(Z25="",0,IF(COUNTIFS(Tasks[Task ID],Z25)=1,MATCH(Z25,Tasks[Task ID],0),-1))</ns0:f>
        <ns0:v>0</ns0:v>
      </ns0:c>
      <ns0:c r="AI25" t="n">
        <ns0:f>IF(AA25="",0,IF(COUNTIFS(Tasks[Task ID],AA25)=1,MATCH(AA25,Tasks[Task ID],0),-1))</ns0:f>
        <ns0:v>0</ns0:v>
      </ns0:c>
      <ns0:c r="AJ25" t="n">
        <ns0:f>IF(AB25="",0,IF(COUNTIFS(Tasks[Task ID],AB25)=1,MATCH(AB25,Tasks[Task ID],0),-1))</ns0:f>
        <ns0:v>0</ns0:v>
      </ns0:c>
      <ns0:c r="AK25" t="n">
        <ns0:f>COUNTIFS(AC25:AJ25,-1)+IF(T25&gt;8,1,0)</ns0:f>
        <ns0:v>0</ns0:v>
      </ns0:c>
      <ns0:c r="AL25" t="n">
        <ns0:f>IF(OR(A25="",S25&lt;&gt;""),0,SUM(IF(AC25&gt;0,IF($I25="FS",--($E25&lt;INDEX(Tasks[End Date],AC25)+IF(INDEX(Tasks[Milestone],AC25)="Yes",0,1)),IF($I25="SS",--($E25&lt;INDEX(Tasks[Start Date],AC25)),IF($I25="FF",--($F25&lt;INDEX(Tasks[End Date],AC25)),IF($I25="SF",--($F25&lt;INDEX(Tasks[Start Date],AC25)),0)))),0),IF(AD25&gt;0,IF($I25="FS",--($E25&lt;INDEX(Tasks[End Date],AD25)+IF(INDEX(Tasks[Milestone],AD25)="Yes",0,1)),IF($I25="SS",--($E25&lt;INDEX(Tasks[Start Date],AD25)),IF($I25="FF",--($F25&lt;INDEX(Tasks[End Date],AD25)),IF($I25="SF",--($F25&lt;INDEX(Tasks[Start Date],AD25)),0)))),0),IF(AE25&gt;0,IF($I25="FS",--($E25&lt;INDEX(Tasks[End Date],AE25)+IF(INDEX(Tasks[Milestone],AE25)="Yes",0,1)),IF($I25="SS",--($E25&lt;INDEX(Tasks[Start Date],AE25)),IF($I25="FF",--($F25&lt;INDEX(Tasks[End Date],AE25)),IF($I25="SF",--($F25&lt;INDEX(Tasks[Start Date],AE25)),0)))),0),IF(AF25&gt;0,IF($I25="FS",--($E25&lt;INDEX(Tasks[End Date],AF25)+IF(INDEX(Tasks[Milestone],AF25)="Yes",0,1)),IF($I25="SS",--($E25&lt;INDEX(Tasks[Start Date],AF25)),IF($I25="FF",--($F25&lt;INDEX(Tasks[End Date],AF25)),IF($I25="SF",--($F25&lt;INDEX(Tasks[Start Date],AF25)),0)))),0),IF(AG25&gt;0,IF($I25="FS",--($E25&lt;INDEX(Tasks[End Date],AG25)+IF(INDEX(Tasks[Milestone],AG25)="Yes",0,1)),IF($I25="SS",--($E25&lt;INDEX(Tasks[Start Date],AG25)),IF($I25="FF",--($F25&lt;INDEX(Tasks[End Date],AG25)),IF($I25="SF",--($F25&lt;INDEX(Tasks[Start Date],AG25)),0)))),0),IF(AH25&gt;0,IF($I25="FS",--($E25&lt;INDEX(Tasks[End Date],AH25)+IF(INDEX(Tasks[Milestone],AH25)="Yes",0,1)),IF($I25="SS",--($E25&lt;INDEX(Tasks[Start Date],AH25)),IF($I25="FF",--($F25&lt;INDEX(Tasks[End Date],AH25)),IF($I25="SF",--($F25&lt;INDEX(Tasks[Start Date],AH25)),0)))),0),IF(AI25&gt;0,IF($I25="FS",--($E25&lt;INDEX(Tasks[End Date],AI25)+IF(INDEX(Tasks[Milestone],AI25)="Yes",0,1)),IF($I25="SS",--($E25&lt;INDEX(Tasks[Start Date],AI25)),IF($I25="FF",--($F25&lt;INDEX(Tasks[End Date],AI25)),IF($I25="SF",--($F25&lt;INDEX(Tasks[Start Date],AI25)),0)))),0),IF(AJ25&gt;0,IF($I25="FS",--($E25&lt;INDEX(Tasks[End Date],AJ25)+IF(INDEX(Tasks[Milestone],AJ25)="Yes",0,1)),IF($I25="SS",--($E25&lt;INDEX(Tasks[Start Date],AJ25)),IF($I25="FF",--($F25&lt;INDEX(Tasks[End Date],AJ25)),IF($I25="SF",--($F25&lt;INDEX(Tasks[Start Date],AJ25)),0)))),0)))</ns0:f>
        <ns0:v>0</ns0:v>
      </ns0:c>
      <ns0:c r="AM25" t="n">
        <ns0:f>IF(AND(A25&lt;&gt;"",AK25=0,EP25=0),1,0)</ns0:f>
        <ns0:v>0</ns0:v>
      </ns0:c>
      <ns0:c r="AN25" t="str">
        <ns0:f>IF(OR(A25="",B25=""),"",IF(COUNTIFS($B$7:B25,B25)=1,MAX($AN$6:AN24)+1,""))</ns0:f>
      </ns0:c>
      <ns0:c r="AO25" t="n">
        <ns0:f>IF(AND(A25&lt;&gt;"",J25="No",N25&lt;1,E25&gt;=AsOfDate),E25+ROW()/10000,1E+9)</ns0:f>
        <ns0:v>46285.0025</ns0:v>
      </ns0:c>
      <ns0:c r="AP25" t="n">
        <ns0:f>IF(AND(A25&lt;&gt;"",J25="Yes",N25&lt;1,E25&gt;=AsOfDate),E25+ROW()/10000,1E+9)</ns0:f>
        <ns0:v>1000000000</ns0:v>
      </ns0:c>
      <ns0:c r="AQ25" t="n">
        <ns0:f>IF(AND(A25&lt;&gt;"",J25="No",N25&lt;1,F25&gt;=AsOfDate,F25&lt;=AsOfDate+7),F25+ROW()/10000,1E+9)</ns0:f>
        <ns0:v>1000000000</ns0:v>
      </ns0:c>
      <ns0:c r="AR25" t="n">
        <ns0:f>IF(AND(A25&lt;&gt;"",OR(O25&lt;&gt;"On track",Q25="Delayed")),ROW(),1E+9)</ns0:f>
        <ns0:v>1000000000</ns0:v>
      </ns0:c>
      <ns0:c r="AS25" t="str">
        <ns0:f>IF(A25="","",";"&amp;K25&amp;";")</ns0:f>
        <ns0:v>;Specialist Sub-Agents (L4_SUBS);Product / Evidence Engine (W_PROD);</ns0:v>
      </ns0:c>
      <ns0:c r="AT25" t="n">
        <ns0:f>IF(A25="",1,--(T25=0))</ns0:f>
        <ns0:v>0</ns0:v>
      </ns0:c>
      <ns0:c r="AU25" t="n">
        <ns0:f>IF($A25="",1,IF(AT25=1,1,--AND(IF($AC25&gt;0,INDEX(AT$7:AT$106,$AC25),1),IF($AD25&gt;0,INDEX(AT$7:AT$106,$AD25),1),IF($AE25&gt;0,INDEX(AT$7:AT$106,$AE25),1),IF($AF25&gt;0,INDEX(AT$7:AT$106,$AF25),1),IF($AG25&gt;0,INDEX(AT$7:AT$106,$AG25),1),IF($AH25&gt;0,INDEX(AT$7:AT$106,$AH25),1),IF($AI25&gt;0,INDEX(AT$7:AT$106,$AI25),1),IF($AJ25&gt;0,INDEX(AT$7:AT$106,$AJ25),1))))</ns0:f>
        <ns0:v>0</ns0:v>
      </ns0:c>
      <ns0:c r="AV25" t="n">
        <ns0:f>IF($A25="",1,IF(AU25=1,1,--AND(IF($AC25&gt;0,INDEX(AU$7:AU$106,$AC25),1),IF($AD25&gt;0,INDEX(AU$7:AU$106,$AD25),1),IF($AE25&gt;0,INDEX(AU$7:AU$106,$AE25),1),IF($AF25&gt;0,INDEX(AU$7:AU$106,$AF25),1),IF($AG25&gt;0,INDEX(AU$7:AU$106,$AG25),1),IF($AH25&gt;0,INDEX(AU$7:AU$106,$AH25),1),IF($AI25&gt;0,INDEX(AU$7:AU$106,$AI25),1),IF($AJ25&gt;0,INDEX(AU$7:AU$106,$AJ25),1))))</ns0:f>
        <ns0:v>0</ns0:v>
      </ns0:c>
      <ns0:c r="AW25" t="n">
        <ns0:f>IF($A25="",1,IF(AV25=1,1,--AND(IF($AC25&gt;0,INDEX(AV$7:AV$106,$AC25),1),IF($AD25&gt;0,INDEX(AV$7:AV$106,$AD25),1),IF($AE25&gt;0,INDEX(AV$7:AV$106,$AE25),1),IF($AF25&gt;0,INDEX(AV$7:AV$106,$AF25),1),IF($AG25&gt;0,INDEX(AV$7:AV$106,$AG25),1),IF($AH25&gt;0,INDEX(AV$7:AV$106,$AH25),1),IF($AI25&gt;0,INDEX(AV$7:AV$106,$AI25),1),IF($AJ25&gt;0,INDEX(AV$7:AV$106,$AJ25),1))))</ns0:f>
        <ns0:v>0</ns0:v>
      </ns0:c>
      <ns0:c r="AX25" t="n">
        <ns0:f>IF($A25="",1,IF(AW25=1,1,--AND(IF($AC25&gt;0,INDEX(AW$7:AW$106,$AC25),1),IF($AD25&gt;0,INDEX(AW$7:AW$106,$AD25),1),IF($AE25&gt;0,INDEX(AW$7:AW$106,$AE25),1),IF($AF25&gt;0,INDEX(AW$7:AW$106,$AF25),1),IF($AG25&gt;0,INDEX(AW$7:AW$106,$AG25),1),IF($AH25&gt;0,INDEX(AW$7:AW$106,$AH25),1),IF($AI25&gt;0,INDEX(AW$7:AW$106,$AI25),1),IF($AJ25&gt;0,INDEX(AW$7:AW$106,$AJ25),1))))</ns0:f>
        <ns0:v>0</ns0:v>
      </ns0:c>
      <ns0:c r="AY25" t="n">
        <ns0:f>IF($A25="",1,IF(AX25=1,1,--AND(IF($AC25&gt;0,INDEX(AX$7:AX$106,$AC25),1),IF($AD25&gt;0,INDEX(AX$7:AX$106,$AD25),1),IF($AE25&gt;0,INDEX(AX$7:AX$106,$AE25),1),IF($AF25&gt;0,INDEX(AX$7:AX$106,$AF25),1),IF($AG25&gt;0,INDEX(AX$7:AX$106,$AG25),1),IF($AH25&gt;0,INDEX(AX$7:AX$106,$AH25),1),IF($AI25&gt;0,INDEX(AX$7:AX$106,$AI25),1),IF($AJ25&gt;0,INDEX(AX$7:AX$106,$AJ25),1))))</ns0:f>
        <ns0:v>0</ns0:v>
      </ns0:c>
      <ns0:c r="AZ25" t="n">
        <ns0:f>IF($A25="",1,IF(AY25=1,1,--AND(IF($AC25&gt;0,INDEX(AY$7:AY$106,$AC25),1),IF($AD25&gt;0,INDEX(AY$7:AY$106,$AD25),1),IF($AE25&gt;0,INDEX(AY$7:AY$106,$AE25),1),IF($AF25&gt;0,INDEX(AY$7:AY$106,$AF25),1),IF($AG25&gt;0,INDEX(AY$7:AY$106,$AG25),1),IF($AH25&gt;0,INDEX(AY$7:AY$106,$AH25),1),IF($AI25&gt;0,INDEX(AY$7:AY$106,$AI25),1),IF($AJ25&gt;0,INDEX(AY$7:AY$106,$AJ25),1))))</ns0:f>
        <ns0:v>1</ns0:v>
      </ns0:c>
      <ns0:c r="BA25" t="n">
        <ns0:f>IF($A25="",1,IF(AZ25=1,1,--AND(IF($AC25&gt;0,INDEX(AZ$7:AZ$106,$AC25),1),IF($AD25&gt;0,INDEX(AZ$7:AZ$106,$AD25),1),IF($AE25&gt;0,INDEX(AZ$7:AZ$106,$AE25),1),IF($AF25&gt;0,INDEX(AZ$7:AZ$106,$AF25),1),IF($AG25&gt;0,INDEX(AZ$7:AZ$106,$AG25),1),IF($AH25&gt;0,INDEX(AZ$7:AZ$106,$AH25),1),IF($AI25&gt;0,INDEX(AZ$7:AZ$106,$AI25),1),IF($AJ25&gt;0,INDEX(AZ$7:AZ$106,$AJ25),1))))</ns0:f>
        <ns0:v>1</ns0:v>
      </ns0:c>
      <ns0:c r="BB25" t="n">
        <ns0:f>IF($A25="",1,IF(BA25=1,1,--AND(IF($AC25&gt;0,INDEX(BA$7:BA$106,$AC25),1),IF($AD25&gt;0,INDEX(BA$7:BA$106,$AD25),1),IF($AE25&gt;0,INDEX(BA$7:BA$106,$AE25),1),IF($AF25&gt;0,INDEX(BA$7:BA$106,$AF25),1),IF($AG25&gt;0,INDEX(BA$7:BA$106,$AG25),1),IF($AH25&gt;0,INDEX(BA$7:BA$106,$AH25),1),IF($AI25&gt;0,INDEX(BA$7:BA$106,$AI25),1),IF($AJ25&gt;0,INDEX(BA$7:BA$106,$AJ25),1))))</ns0:f>
        <ns0:v>1</ns0:v>
      </ns0:c>
      <ns0:c r="BC25" t="n">
        <ns0:f>IF($A25="",1,IF(BB25=1,1,--AND(IF($AC25&gt;0,INDEX(BB$7:BB$106,$AC25),1),IF($AD25&gt;0,INDEX(BB$7:BB$106,$AD25),1),IF($AE25&gt;0,INDEX(BB$7:BB$106,$AE25),1),IF($AF25&gt;0,INDEX(BB$7:BB$106,$AF25),1),IF($AG25&gt;0,INDEX(BB$7:BB$106,$AG25),1),IF($AH25&gt;0,INDEX(BB$7:BB$106,$AH25),1),IF($AI25&gt;0,INDEX(BB$7:BB$106,$AI25),1),IF($AJ25&gt;0,INDEX(BB$7:BB$106,$AJ25),1))))</ns0:f>
        <ns0:v>1</ns0:v>
      </ns0:c>
      <ns0:c r="BD25" t="n">
        <ns0:f>IF($A25="",1,IF(BC25=1,1,--AND(IF($AC25&gt;0,INDEX(BC$7:BC$106,$AC25),1),IF($AD25&gt;0,INDEX(BC$7:BC$106,$AD25),1),IF($AE25&gt;0,INDEX(BC$7:BC$106,$AE25),1),IF($AF25&gt;0,INDEX(BC$7:BC$106,$AF25),1),IF($AG25&gt;0,INDEX(BC$7:BC$106,$AG25),1),IF($AH25&gt;0,INDEX(BC$7:BC$106,$AH25),1),IF($AI25&gt;0,INDEX(BC$7:BC$106,$AI25),1),IF($AJ25&gt;0,INDEX(BC$7:BC$106,$AJ25),1))))</ns0:f>
        <ns0:v>1</ns0:v>
      </ns0:c>
      <ns0:c r="BE25" t="n">
        <ns0:f>IF($A25="",1,IF(BD25=1,1,--AND(IF($AC25&gt;0,INDEX(BD$7:BD$106,$AC25),1),IF($AD25&gt;0,INDEX(BD$7:BD$106,$AD25),1),IF($AE25&gt;0,INDEX(BD$7:BD$106,$AE25),1),IF($AF25&gt;0,INDEX(BD$7:BD$106,$AF25),1),IF($AG25&gt;0,INDEX(BD$7:BD$106,$AG25),1),IF($AH25&gt;0,INDEX(BD$7:BD$106,$AH25),1),IF($AI25&gt;0,INDEX(BD$7:BD$106,$AI25),1),IF($AJ25&gt;0,INDEX(BD$7:BD$106,$AJ25),1))))</ns0:f>
        <ns0:v>1</ns0:v>
      </ns0:c>
      <ns0:c r="BF25" t="n">
        <ns0:f>IF($A25="",1,IF(BE25=1,1,--AND(IF($AC25&gt;0,INDEX(BE$7:BE$106,$AC25),1),IF($AD25&gt;0,INDEX(BE$7:BE$106,$AD25),1),IF($AE25&gt;0,INDEX(BE$7:BE$106,$AE25),1),IF($AF25&gt;0,INDEX(BE$7:BE$106,$AF25),1),IF($AG25&gt;0,INDEX(BE$7:BE$106,$AG25),1),IF($AH25&gt;0,INDEX(BE$7:BE$106,$AH25),1),IF($AI25&gt;0,INDEX(BE$7:BE$106,$AI25),1),IF($AJ25&gt;0,INDEX(BE$7:BE$106,$AJ25),1))))</ns0:f>
        <ns0:v>1</ns0:v>
      </ns0:c>
      <ns0:c r="BG25" t="n">
        <ns0:f>IF($A25="",1,IF(BF25=1,1,--AND(IF($AC25&gt;0,INDEX(BF$7:BF$106,$AC25),1),IF($AD25&gt;0,INDEX(BF$7:BF$106,$AD25),1),IF($AE25&gt;0,INDEX(BF$7:BF$106,$AE25),1),IF($AF25&gt;0,INDEX(BF$7:BF$106,$AF25),1),IF($AG25&gt;0,INDEX(BF$7:BF$106,$AG25),1),IF($AH25&gt;0,INDEX(BF$7:BF$106,$AH25),1),IF($AI25&gt;0,INDEX(BF$7:BF$106,$AI25),1),IF($AJ25&gt;0,INDEX(BF$7:BF$106,$AJ25),1))))</ns0:f>
        <ns0:v>1</ns0:v>
      </ns0:c>
      <ns0:c r="BH25" t="n">
        <ns0:f>IF($A25="",1,IF(BG25=1,1,--AND(IF($AC25&gt;0,INDEX(BG$7:BG$106,$AC25),1),IF($AD25&gt;0,INDEX(BG$7:BG$106,$AD25),1),IF($AE25&gt;0,INDEX(BG$7:BG$106,$AE25),1),IF($AF25&gt;0,INDEX(BG$7:BG$106,$AF25),1),IF($AG25&gt;0,INDEX(BG$7:BG$106,$AG25),1),IF($AH25&gt;0,INDEX(BG$7:BG$106,$AH25),1),IF($AI25&gt;0,INDEX(BG$7:BG$106,$AI25),1),IF($AJ25&gt;0,INDEX(BG$7:BG$106,$AJ25),1))))</ns0:f>
        <ns0:v>1</ns0:v>
      </ns0:c>
      <ns0:c r="BI25" t="n">
        <ns0:f>IF($A25="",1,IF(BH25=1,1,--AND(IF($AC25&gt;0,INDEX(BH$7:BH$106,$AC25),1),IF($AD25&gt;0,INDEX(BH$7:BH$106,$AD25),1),IF($AE25&gt;0,INDEX(BH$7:BH$106,$AE25),1),IF($AF25&gt;0,INDEX(BH$7:BH$106,$AF25),1),IF($AG25&gt;0,INDEX(BH$7:BH$106,$AG25),1),IF($AH25&gt;0,INDEX(BH$7:BH$106,$AH25),1),IF($AI25&gt;0,INDEX(BH$7:BH$106,$AI25),1),IF($AJ25&gt;0,INDEX(BH$7:BH$106,$AJ25),1))))</ns0:f>
        <ns0:v>1</ns0:v>
      </ns0:c>
      <ns0:c r="BJ25" t="n">
        <ns0:f>IF($A25="",1,IF(BI25=1,1,--AND(IF($AC25&gt;0,INDEX(BI$7:BI$106,$AC25),1),IF($AD25&gt;0,INDEX(BI$7:BI$106,$AD25),1),IF($AE25&gt;0,INDEX(BI$7:BI$106,$AE25),1),IF($AF25&gt;0,INDEX(BI$7:BI$106,$AF25),1),IF($AG25&gt;0,INDEX(BI$7:BI$106,$AG25),1),IF($AH25&gt;0,INDEX(BI$7:BI$106,$AH25),1),IF($AI25&gt;0,INDEX(BI$7:BI$106,$AI25),1),IF($AJ25&gt;0,INDEX(BI$7:BI$106,$AJ25),1))))</ns0:f>
        <ns0:v>1</ns0:v>
      </ns0:c>
      <ns0:c r="BK25" t="n">
        <ns0:f>IF($A25="",1,IF(BJ25=1,1,--AND(IF($AC25&gt;0,INDEX(BJ$7:BJ$106,$AC25),1),IF($AD25&gt;0,INDEX(BJ$7:BJ$106,$AD25),1),IF($AE25&gt;0,INDEX(BJ$7:BJ$106,$AE25),1),IF($AF25&gt;0,INDEX(BJ$7:BJ$106,$AF25),1),IF($AG25&gt;0,INDEX(BJ$7:BJ$106,$AG25),1),IF($AH25&gt;0,INDEX(BJ$7:BJ$106,$AH25),1),IF($AI25&gt;0,INDEX(BJ$7:BJ$106,$AI25),1),IF($AJ25&gt;0,INDEX(BJ$7:BJ$106,$AJ25),1))))</ns0:f>
        <ns0:v>1</ns0:v>
      </ns0:c>
      <ns0:c r="BL25" t="n">
        <ns0:f>IF($A25="",1,IF(BK25=1,1,--AND(IF($AC25&gt;0,INDEX(BK$7:BK$106,$AC25),1),IF($AD25&gt;0,INDEX(BK$7:BK$106,$AD25),1),IF($AE25&gt;0,INDEX(BK$7:BK$106,$AE25),1),IF($AF25&gt;0,INDEX(BK$7:BK$106,$AF25),1),IF($AG25&gt;0,INDEX(BK$7:BK$106,$AG25),1),IF($AH25&gt;0,INDEX(BK$7:BK$106,$AH25),1),IF($AI25&gt;0,INDEX(BK$7:BK$106,$AI25),1),IF($AJ25&gt;0,INDEX(BK$7:BK$106,$AJ25),1))))</ns0:f>
        <ns0:v>1</ns0:v>
      </ns0:c>
      <ns0:c r="BM25" t="n">
        <ns0:f>IF($A25="",1,IF(BL25=1,1,--AND(IF($AC25&gt;0,INDEX(BL$7:BL$106,$AC25),1),IF($AD25&gt;0,INDEX(BL$7:BL$106,$AD25),1),IF($AE25&gt;0,INDEX(BL$7:BL$106,$AE25),1),IF($AF25&gt;0,INDEX(BL$7:BL$106,$AF25),1),IF($AG25&gt;0,INDEX(BL$7:BL$106,$AG25),1),IF($AH25&gt;0,INDEX(BL$7:BL$106,$AH25),1),IF($AI25&gt;0,INDEX(BL$7:BL$106,$AI25),1),IF($AJ25&gt;0,INDEX(BL$7:BL$106,$AJ25),1))))</ns0:f>
        <ns0:v>1</ns0:v>
      </ns0:c>
      <ns0:c r="BN25" t="n">
        <ns0:f>IF($A25="",1,IF(BM25=1,1,--AND(IF($AC25&gt;0,INDEX(BM$7:BM$106,$AC25),1),IF($AD25&gt;0,INDEX(BM$7:BM$106,$AD25),1),IF($AE25&gt;0,INDEX(BM$7:BM$106,$AE25),1),IF($AF25&gt;0,INDEX(BM$7:BM$106,$AF25),1),IF($AG25&gt;0,INDEX(BM$7:BM$106,$AG25),1),IF($AH25&gt;0,INDEX(BM$7:BM$106,$AH25),1),IF($AI25&gt;0,INDEX(BM$7:BM$106,$AI25),1),IF($AJ25&gt;0,INDEX(BM$7:BM$106,$AJ25),1))))</ns0:f>
        <ns0:v>1</ns0:v>
      </ns0:c>
      <ns0:c r="BO25" t="n">
        <ns0:f>IF($A25="",1,IF(BN25=1,1,--AND(IF($AC25&gt;0,INDEX(BN$7:BN$106,$AC25),1),IF($AD25&gt;0,INDEX(BN$7:BN$106,$AD25),1),IF($AE25&gt;0,INDEX(BN$7:BN$106,$AE25),1),IF($AF25&gt;0,INDEX(BN$7:BN$106,$AF25),1),IF($AG25&gt;0,INDEX(BN$7:BN$106,$AG25),1),IF($AH25&gt;0,INDEX(BN$7:BN$106,$AH25),1),IF($AI25&gt;0,INDEX(BN$7:BN$106,$AI25),1),IF($AJ25&gt;0,INDEX(BN$7:BN$106,$AJ25),1))))</ns0:f>
        <ns0:v>1</ns0:v>
      </ns0:c>
      <ns0:c r="BP25" t="n">
        <ns0:f>IF($A25="",1,IF(BO25=1,1,--AND(IF($AC25&gt;0,INDEX(BO$7:BO$106,$AC25),1),IF($AD25&gt;0,INDEX(BO$7:BO$106,$AD25),1),IF($AE25&gt;0,INDEX(BO$7:BO$106,$AE25),1),IF($AF25&gt;0,INDEX(BO$7:BO$106,$AF25),1),IF($AG25&gt;0,INDEX(BO$7:BO$106,$AG25),1),IF($AH25&gt;0,INDEX(BO$7:BO$106,$AH25),1),IF($AI25&gt;0,INDEX(BO$7:BO$106,$AI25),1),IF($AJ25&gt;0,INDEX(BO$7:BO$106,$AJ25),1))))</ns0:f>
        <ns0:v>1</ns0:v>
      </ns0:c>
      <ns0:c r="BQ25" t="n">
        <ns0:f>IF($A25="",1,IF(BP25=1,1,--AND(IF($AC25&gt;0,INDEX(BP$7:BP$106,$AC25),1),IF($AD25&gt;0,INDEX(BP$7:BP$106,$AD25),1),IF($AE25&gt;0,INDEX(BP$7:BP$106,$AE25),1),IF($AF25&gt;0,INDEX(BP$7:BP$106,$AF25),1),IF($AG25&gt;0,INDEX(BP$7:BP$106,$AG25),1),IF($AH25&gt;0,INDEX(BP$7:BP$106,$AH25),1),IF($AI25&gt;0,INDEX(BP$7:BP$106,$AI25),1),IF($AJ25&gt;0,INDEX(BP$7:BP$106,$AJ25),1))))</ns0:f>
        <ns0:v>1</ns0:v>
      </ns0:c>
      <ns0:c r="BR25" t="n">
        <ns0:f>IF($A25="",1,IF(BQ25=1,1,--AND(IF($AC25&gt;0,INDEX(BQ$7:BQ$106,$AC25),1),IF($AD25&gt;0,INDEX(BQ$7:BQ$106,$AD25),1),IF($AE25&gt;0,INDEX(BQ$7:BQ$106,$AE25),1),IF($AF25&gt;0,INDEX(BQ$7:BQ$106,$AF25),1),IF($AG25&gt;0,INDEX(BQ$7:BQ$106,$AG25),1),IF($AH25&gt;0,INDEX(BQ$7:BQ$106,$AH25),1),IF($AI25&gt;0,INDEX(BQ$7:BQ$106,$AI25),1),IF($AJ25&gt;0,INDEX(BQ$7:BQ$106,$AJ25),1))))</ns0:f>
        <ns0:v>1</ns0:v>
      </ns0:c>
      <ns0:c r="BS25" t="n">
        <ns0:f>IF($A25="",1,IF(BR25=1,1,--AND(IF($AC25&gt;0,INDEX(BR$7:BR$106,$AC25),1),IF($AD25&gt;0,INDEX(BR$7:BR$106,$AD25),1),IF($AE25&gt;0,INDEX(BR$7:BR$106,$AE25),1),IF($AF25&gt;0,INDEX(BR$7:BR$106,$AF25),1),IF($AG25&gt;0,INDEX(BR$7:BR$106,$AG25),1),IF($AH25&gt;0,INDEX(BR$7:BR$106,$AH25),1),IF($AI25&gt;0,INDEX(BR$7:BR$106,$AI25),1),IF($AJ25&gt;0,INDEX(BR$7:BR$106,$AJ25),1))))</ns0:f>
        <ns0:v>1</ns0:v>
      </ns0:c>
      <ns0:c r="BT25" t="n">
        <ns0:f>IF($A25="",1,IF(BS25=1,1,--AND(IF($AC25&gt;0,INDEX(BS$7:BS$106,$AC25),1),IF($AD25&gt;0,INDEX(BS$7:BS$106,$AD25),1),IF($AE25&gt;0,INDEX(BS$7:BS$106,$AE25),1),IF($AF25&gt;0,INDEX(BS$7:BS$106,$AF25),1),IF($AG25&gt;0,INDEX(BS$7:BS$106,$AG25),1),IF($AH25&gt;0,INDEX(BS$7:BS$106,$AH25),1),IF($AI25&gt;0,INDEX(BS$7:BS$106,$AI25),1),IF($AJ25&gt;0,INDEX(BS$7:BS$106,$AJ25),1))))</ns0:f>
        <ns0:v>1</ns0:v>
      </ns0:c>
      <ns0:c r="BU25" t="n">
        <ns0:f>IF($A25="",1,IF(BT25=1,1,--AND(IF($AC25&gt;0,INDEX(BT$7:BT$106,$AC25),1),IF($AD25&gt;0,INDEX(BT$7:BT$106,$AD25),1),IF($AE25&gt;0,INDEX(BT$7:BT$106,$AE25),1),IF($AF25&gt;0,INDEX(BT$7:BT$106,$AF25),1),IF($AG25&gt;0,INDEX(BT$7:BT$106,$AG25),1),IF($AH25&gt;0,INDEX(BT$7:BT$106,$AH25),1),IF($AI25&gt;0,INDEX(BT$7:BT$106,$AI25),1),IF($AJ25&gt;0,INDEX(BT$7:BT$106,$AJ25),1))))</ns0:f>
        <ns0:v>1</ns0:v>
      </ns0:c>
      <ns0:c r="BV25" t="n">
        <ns0:f>IF($A25="",1,IF(BU25=1,1,--AND(IF($AC25&gt;0,INDEX(BU$7:BU$106,$AC25),1),IF($AD25&gt;0,INDEX(BU$7:BU$106,$AD25),1),IF($AE25&gt;0,INDEX(BU$7:BU$106,$AE25),1),IF($AF25&gt;0,INDEX(BU$7:BU$106,$AF25),1),IF($AG25&gt;0,INDEX(BU$7:BU$106,$AG25),1),IF($AH25&gt;0,INDEX(BU$7:BU$106,$AH25),1),IF($AI25&gt;0,INDEX(BU$7:BU$106,$AI25),1),IF($AJ25&gt;0,INDEX(BU$7:BU$106,$AJ25),1))))</ns0:f>
        <ns0:v>1</ns0:v>
      </ns0:c>
      <ns0:c r="BW25" t="n">
        <ns0:f>IF($A25="",1,IF(BV25=1,1,--AND(IF($AC25&gt;0,INDEX(BV$7:BV$106,$AC25),1),IF($AD25&gt;0,INDEX(BV$7:BV$106,$AD25),1),IF($AE25&gt;0,INDEX(BV$7:BV$106,$AE25),1),IF($AF25&gt;0,INDEX(BV$7:BV$106,$AF25),1),IF($AG25&gt;0,INDEX(BV$7:BV$106,$AG25),1),IF($AH25&gt;0,INDEX(BV$7:BV$106,$AH25),1),IF($AI25&gt;0,INDEX(BV$7:BV$106,$AI25),1),IF($AJ25&gt;0,INDEX(BV$7:BV$106,$AJ25),1))))</ns0:f>
        <ns0:v>1</ns0:v>
      </ns0:c>
      <ns0:c r="BX25" t="n">
        <ns0:f>IF($A25="",1,IF(BW25=1,1,--AND(IF($AC25&gt;0,INDEX(BW$7:BW$106,$AC25),1),IF($AD25&gt;0,INDEX(BW$7:BW$106,$AD25),1),IF($AE25&gt;0,INDEX(BW$7:BW$106,$AE25),1),IF($AF25&gt;0,INDEX(BW$7:BW$106,$AF25),1),IF($AG25&gt;0,INDEX(BW$7:BW$106,$AG25),1),IF($AH25&gt;0,INDEX(BW$7:BW$106,$AH25),1),IF($AI25&gt;0,INDEX(BW$7:BW$106,$AI25),1),IF($AJ25&gt;0,INDEX(BW$7:BW$106,$AJ25),1))))</ns0:f>
        <ns0:v>1</ns0:v>
      </ns0:c>
      <ns0:c r="BY25" t="n">
        <ns0:f>IF($A25="",1,IF(BX25=1,1,--AND(IF($AC25&gt;0,INDEX(BX$7:BX$106,$AC25),1),IF($AD25&gt;0,INDEX(BX$7:BX$106,$AD25),1),IF($AE25&gt;0,INDEX(BX$7:BX$106,$AE25),1),IF($AF25&gt;0,INDEX(BX$7:BX$106,$AF25),1),IF($AG25&gt;0,INDEX(BX$7:BX$106,$AG25),1),IF($AH25&gt;0,INDEX(BX$7:BX$106,$AH25),1),IF($AI25&gt;0,INDEX(BX$7:BX$106,$AI25),1),IF($AJ25&gt;0,INDEX(BX$7:BX$106,$AJ25),1))))</ns0:f>
        <ns0:v>1</ns0:v>
      </ns0:c>
      <ns0:c r="BZ25" t="n">
        <ns0:f>IF($A25="",1,IF(BY25=1,1,--AND(IF($AC25&gt;0,INDEX(BY$7:BY$106,$AC25),1),IF($AD25&gt;0,INDEX(BY$7:BY$106,$AD25),1),IF($AE25&gt;0,INDEX(BY$7:BY$106,$AE25),1),IF($AF25&gt;0,INDEX(BY$7:BY$106,$AF25),1),IF($AG25&gt;0,INDEX(BY$7:BY$106,$AG25),1),IF($AH25&gt;0,INDEX(BY$7:BY$106,$AH25),1),IF($AI25&gt;0,INDEX(BY$7:BY$106,$AI25),1),IF($AJ25&gt;0,INDEX(BY$7:BY$106,$AJ25),1))))</ns0:f>
        <ns0:v>1</ns0:v>
      </ns0:c>
      <ns0:c r="CA25" t="n">
        <ns0:f>IF($A25="",1,IF(BZ25=1,1,--AND(IF($AC25&gt;0,INDEX(BZ$7:BZ$106,$AC25),1),IF($AD25&gt;0,INDEX(BZ$7:BZ$106,$AD25),1),IF($AE25&gt;0,INDEX(BZ$7:BZ$106,$AE25),1),IF($AF25&gt;0,INDEX(BZ$7:BZ$106,$AF25),1),IF($AG25&gt;0,INDEX(BZ$7:BZ$106,$AG25),1),IF($AH25&gt;0,INDEX(BZ$7:BZ$106,$AH25),1),IF($AI25&gt;0,INDEX(BZ$7:BZ$106,$AI25),1),IF($AJ25&gt;0,INDEX(BZ$7:BZ$106,$AJ25),1))))</ns0:f>
        <ns0:v>1</ns0:v>
      </ns0:c>
      <ns0:c r="CB25" t="n">
        <ns0:f>IF($A25="",1,IF(CA25=1,1,--AND(IF($AC25&gt;0,INDEX(CA$7:CA$106,$AC25),1),IF($AD25&gt;0,INDEX(CA$7:CA$106,$AD25),1),IF($AE25&gt;0,INDEX(CA$7:CA$106,$AE25),1),IF($AF25&gt;0,INDEX(CA$7:CA$106,$AF25),1),IF($AG25&gt;0,INDEX(CA$7:CA$106,$AG25),1),IF($AH25&gt;0,INDEX(CA$7:CA$106,$AH25),1),IF($AI25&gt;0,INDEX(CA$7:CA$106,$AI25),1),IF($AJ25&gt;0,INDEX(CA$7:CA$106,$AJ25),1))))</ns0:f>
        <ns0:v>1</ns0:v>
      </ns0:c>
      <ns0:c r="CC25" t="n">
        <ns0:f>IF($A25="",1,IF(CB25=1,1,--AND(IF($AC25&gt;0,INDEX(CB$7:CB$106,$AC25),1),IF($AD25&gt;0,INDEX(CB$7:CB$106,$AD25),1),IF($AE25&gt;0,INDEX(CB$7:CB$106,$AE25),1),IF($AF25&gt;0,INDEX(CB$7:CB$106,$AF25),1),IF($AG25&gt;0,INDEX(CB$7:CB$106,$AG25),1),IF($AH25&gt;0,INDEX(CB$7:CB$106,$AH25),1),IF($AI25&gt;0,INDEX(CB$7:CB$106,$AI25),1),IF($AJ25&gt;0,INDEX(CB$7:CB$106,$AJ25),1))))</ns0:f>
        <ns0:v>1</ns0:v>
      </ns0:c>
      <ns0:c r="CD25" t="n">
        <ns0:f>IF($A25="",1,IF(CC25=1,1,--AND(IF($AC25&gt;0,INDEX(CC$7:CC$106,$AC25),1),IF($AD25&gt;0,INDEX(CC$7:CC$106,$AD25),1),IF($AE25&gt;0,INDEX(CC$7:CC$106,$AE25),1),IF($AF25&gt;0,INDEX(CC$7:CC$106,$AF25),1),IF($AG25&gt;0,INDEX(CC$7:CC$106,$AG25),1),IF($AH25&gt;0,INDEX(CC$7:CC$106,$AH25),1),IF($AI25&gt;0,INDEX(CC$7:CC$106,$AI25),1),IF($AJ25&gt;0,INDEX(CC$7:CC$106,$AJ25),1))))</ns0:f>
        <ns0:v>1</ns0:v>
      </ns0:c>
      <ns0:c r="CE25" t="n">
        <ns0:f>IF($A25="",1,IF(CD25=1,1,--AND(IF($AC25&gt;0,INDEX(CD$7:CD$106,$AC25),1),IF($AD25&gt;0,INDEX(CD$7:CD$106,$AD25),1),IF($AE25&gt;0,INDEX(CD$7:CD$106,$AE25),1),IF($AF25&gt;0,INDEX(CD$7:CD$106,$AF25),1),IF($AG25&gt;0,INDEX(CD$7:CD$106,$AG25),1),IF($AH25&gt;0,INDEX(CD$7:CD$106,$AH25),1),IF($AI25&gt;0,INDEX(CD$7:CD$106,$AI25),1),IF($AJ25&gt;0,INDEX(CD$7:CD$106,$AJ25),1))))</ns0:f>
        <ns0:v>1</ns0:v>
      </ns0:c>
      <ns0:c r="CF25" t="n">
        <ns0:f>IF($A25="",1,IF(CE25=1,1,--AND(IF($AC25&gt;0,INDEX(CE$7:CE$106,$AC25),1),IF($AD25&gt;0,INDEX(CE$7:CE$106,$AD25),1),IF($AE25&gt;0,INDEX(CE$7:CE$106,$AE25),1),IF($AF25&gt;0,INDEX(CE$7:CE$106,$AF25),1),IF($AG25&gt;0,INDEX(CE$7:CE$106,$AG25),1),IF($AH25&gt;0,INDEX(CE$7:CE$106,$AH25),1),IF($AI25&gt;0,INDEX(CE$7:CE$106,$AI25),1),IF($AJ25&gt;0,INDEX(CE$7:CE$106,$AJ25),1))))</ns0:f>
        <ns0:v>1</ns0:v>
      </ns0:c>
      <ns0:c r="CG25" t="n">
        <ns0:f>IF($A25="",1,IF(CF25=1,1,--AND(IF($AC25&gt;0,INDEX(CF$7:CF$106,$AC25),1),IF($AD25&gt;0,INDEX(CF$7:CF$106,$AD25),1),IF($AE25&gt;0,INDEX(CF$7:CF$106,$AE25),1),IF($AF25&gt;0,INDEX(CF$7:CF$106,$AF25),1),IF($AG25&gt;0,INDEX(CF$7:CF$106,$AG25),1),IF($AH25&gt;0,INDEX(CF$7:CF$106,$AH25),1),IF($AI25&gt;0,INDEX(CF$7:CF$106,$AI25),1),IF($AJ25&gt;0,INDEX(CF$7:CF$106,$AJ25),1))))</ns0:f>
        <ns0:v>1</ns0:v>
      </ns0:c>
      <ns0:c r="CH25" t="n">
        <ns0:f>IF($A25="",1,IF(CG25=1,1,--AND(IF($AC25&gt;0,INDEX(CG$7:CG$106,$AC25),1),IF($AD25&gt;0,INDEX(CG$7:CG$106,$AD25),1),IF($AE25&gt;0,INDEX(CG$7:CG$106,$AE25),1),IF($AF25&gt;0,INDEX(CG$7:CG$106,$AF25),1),IF($AG25&gt;0,INDEX(CG$7:CG$106,$AG25),1),IF($AH25&gt;0,INDEX(CG$7:CG$106,$AH25),1),IF($AI25&gt;0,INDEX(CG$7:CG$106,$AI25),1),IF($AJ25&gt;0,INDEX(CG$7:CG$106,$AJ25),1))))</ns0:f>
        <ns0:v>1</ns0:v>
      </ns0:c>
      <ns0:c r="CI25" t="n">
        <ns0:f>IF($A25="",1,IF(CH25=1,1,--AND(IF($AC25&gt;0,INDEX(CH$7:CH$106,$AC25),1),IF($AD25&gt;0,INDEX(CH$7:CH$106,$AD25),1),IF($AE25&gt;0,INDEX(CH$7:CH$106,$AE25),1),IF($AF25&gt;0,INDEX(CH$7:CH$106,$AF25),1),IF($AG25&gt;0,INDEX(CH$7:CH$106,$AG25),1),IF($AH25&gt;0,INDEX(CH$7:CH$106,$AH25),1),IF($AI25&gt;0,INDEX(CH$7:CH$106,$AI25),1),IF($AJ25&gt;0,INDEX(CH$7:CH$106,$AJ25),1))))</ns0:f>
        <ns0:v>1</ns0:v>
      </ns0:c>
      <ns0:c r="CJ25" t="n">
        <ns0:f>IF($A25="",1,IF(CI25=1,1,--AND(IF($AC25&gt;0,INDEX(CI$7:CI$106,$AC25),1),IF($AD25&gt;0,INDEX(CI$7:CI$106,$AD25),1),IF($AE25&gt;0,INDEX(CI$7:CI$106,$AE25),1),IF($AF25&gt;0,INDEX(CI$7:CI$106,$AF25),1),IF($AG25&gt;0,INDEX(CI$7:CI$106,$AG25),1),IF($AH25&gt;0,INDEX(CI$7:CI$106,$AH25),1),IF($AI25&gt;0,INDEX(CI$7:CI$106,$AI25),1),IF($AJ25&gt;0,INDEX(CI$7:CI$106,$AJ25),1))))</ns0:f>
        <ns0:v>1</ns0:v>
      </ns0:c>
      <ns0:c r="CK25" t="n">
        <ns0:f>IF($A25="",1,IF(CJ25=1,1,--AND(IF($AC25&gt;0,INDEX(CJ$7:CJ$106,$AC25),1),IF($AD25&gt;0,INDEX(CJ$7:CJ$106,$AD25),1),IF($AE25&gt;0,INDEX(CJ$7:CJ$106,$AE25),1),IF($AF25&gt;0,INDEX(CJ$7:CJ$106,$AF25),1),IF($AG25&gt;0,INDEX(CJ$7:CJ$106,$AG25),1),IF($AH25&gt;0,INDEX(CJ$7:CJ$106,$AH25),1),IF($AI25&gt;0,INDEX(CJ$7:CJ$106,$AI25),1),IF($AJ25&gt;0,INDEX(CJ$7:CJ$106,$AJ25),1))))</ns0:f>
        <ns0:v>1</ns0:v>
      </ns0:c>
      <ns0:c r="CL25" t="n">
        <ns0:f>IF($A25="",1,IF(CK25=1,1,--AND(IF($AC25&gt;0,INDEX(CK$7:CK$106,$AC25),1),IF($AD25&gt;0,INDEX(CK$7:CK$106,$AD25),1),IF($AE25&gt;0,INDEX(CK$7:CK$106,$AE25),1),IF($AF25&gt;0,INDEX(CK$7:CK$106,$AF25),1),IF($AG25&gt;0,INDEX(CK$7:CK$106,$AG25),1),IF($AH25&gt;0,INDEX(CK$7:CK$106,$AH25),1),IF($AI25&gt;0,INDEX(CK$7:CK$106,$AI25),1),IF($AJ25&gt;0,INDEX(CK$7:CK$106,$AJ25),1))))</ns0:f>
        <ns0:v>1</ns0:v>
      </ns0:c>
      <ns0:c r="CM25" t="n">
        <ns0:f>IF($A25="",1,IF(CL25=1,1,--AND(IF($AC25&gt;0,INDEX(CL$7:CL$106,$AC25),1),IF($AD25&gt;0,INDEX(CL$7:CL$106,$AD25),1),IF($AE25&gt;0,INDEX(CL$7:CL$106,$AE25),1),IF($AF25&gt;0,INDEX(CL$7:CL$106,$AF25),1),IF($AG25&gt;0,INDEX(CL$7:CL$106,$AG25),1),IF($AH25&gt;0,INDEX(CL$7:CL$106,$AH25),1),IF($AI25&gt;0,INDEX(CL$7:CL$106,$AI25),1),IF($AJ25&gt;0,INDEX(CL$7:CL$106,$AJ25),1))))</ns0:f>
        <ns0:v>1</ns0:v>
      </ns0:c>
      <ns0:c r="CN25" t="n">
        <ns0:f>IF($A25="",1,IF(CM25=1,1,--AND(IF($AC25&gt;0,INDEX(CM$7:CM$106,$AC25),1),IF($AD25&gt;0,INDEX(CM$7:CM$106,$AD25),1),IF($AE25&gt;0,INDEX(CM$7:CM$106,$AE25),1),IF($AF25&gt;0,INDEX(CM$7:CM$106,$AF25),1),IF($AG25&gt;0,INDEX(CM$7:CM$106,$AG25),1),IF($AH25&gt;0,INDEX(CM$7:CM$106,$AH25),1),IF($AI25&gt;0,INDEX(CM$7:CM$106,$AI25),1),IF($AJ25&gt;0,INDEX(CM$7:CM$106,$AJ25),1))))</ns0:f>
        <ns0:v>1</ns0:v>
      </ns0:c>
      <ns0:c r="CO25" t="n">
        <ns0:f>IF($A25="",1,IF(CN25=1,1,--AND(IF($AC25&gt;0,INDEX(CN$7:CN$106,$AC25),1),IF($AD25&gt;0,INDEX(CN$7:CN$106,$AD25),1),IF($AE25&gt;0,INDEX(CN$7:CN$106,$AE25),1),IF($AF25&gt;0,INDEX(CN$7:CN$106,$AF25),1),IF($AG25&gt;0,INDEX(CN$7:CN$106,$AG25),1),IF($AH25&gt;0,INDEX(CN$7:CN$106,$AH25),1),IF($AI25&gt;0,INDEX(CN$7:CN$106,$AI25),1),IF($AJ25&gt;0,INDEX(CN$7:CN$106,$AJ25),1))))</ns0:f>
        <ns0:v>1</ns0:v>
      </ns0:c>
      <ns0:c r="CP25" t="n">
        <ns0:f>IF($A25="",1,IF(CO25=1,1,--AND(IF($AC25&gt;0,INDEX(CO$7:CO$106,$AC25),1),IF($AD25&gt;0,INDEX(CO$7:CO$106,$AD25),1),IF($AE25&gt;0,INDEX(CO$7:CO$106,$AE25),1),IF($AF25&gt;0,INDEX(CO$7:CO$106,$AF25),1),IF($AG25&gt;0,INDEX(CO$7:CO$106,$AG25),1),IF($AH25&gt;0,INDEX(CO$7:CO$106,$AH25),1),IF($AI25&gt;0,INDEX(CO$7:CO$106,$AI25),1),IF($AJ25&gt;0,INDEX(CO$7:CO$106,$AJ25),1))))</ns0:f>
        <ns0:v>1</ns0:v>
      </ns0:c>
      <ns0:c r="CQ25" t="n">
        <ns0:f>IF($A25="",1,IF(CP25=1,1,--AND(IF($AC25&gt;0,INDEX(CP$7:CP$106,$AC25),1),IF($AD25&gt;0,INDEX(CP$7:CP$106,$AD25),1),IF($AE25&gt;0,INDEX(CP$7:CP$106,$AE25),1),IF($AF25&gt;0,INDEX(CP$7:CP$106,$AF25),1),IF($AG25&gt;0,INDEX(CP$7:CP$106,$AG25),1),IF($AH25&gt;0,INDEX(CP$7:CP$106,$AH25),1),IF($AI25&gt;0,INDEX(CP$7:CP$106,$AI25),1),IF($AJ25&gt;0,INDEX(CP$7:CP$106,$AJ25),1))))</ns0:f>
        <ns0:v>1</ns0:v>
      </ns0:c>
      <ns0:c r="CR25" t="n">
        <ns0:f>IF($A25="",1,IF(CQ25=1,1,--AND(IF($AC25&gt;0,INDEX(CQ$7:CQ$106,$AC25),1),IF($AD25&gt;0,INDEX(CQ$7:CQ$106,$AD25),1),IF($AE25&gt;0,INDEX(CQ$7:CQ$106,$AE25),1),IF($AF25&gt;0,INDEX(CQ$7:CQ$106,$AF25),1),IF($AG25&gt;0,INDEX(CQ$7:CQ$106,$AG25),1),IF($AH25&gt;0,INDEX(CQ$7:CQ$106,$AH25),1),IF($AI25&gt;0,INDEX(CQ$7:CQ$106,$AI25),1),IF($AJ25&gt;0,INDEX(CQ$7:CQ$106,$AJ25),1))))</ns0:f>
        <ns0:v>1</ns0:v>
      </ns0:c>
      <ns0:c r="CS25" t="n">
        <ns0:f>IF($A25="",1,IF(CR25=1,1,--AND(IF($AC25&gt;0,INDEX(CR$7:CR$106,$AC25),1),IF($AD25&gt;0,INDEX(CR$7:CR$106,$AD25),1),IF($AE25&gt;0,INDEX(CR$7:CR$106,$AE25),1),IF($AF25&gt;0,INDEX(CR$7:CR$106,$AF25),1),IF($AG25&gt;0,INDEX(CR$7:CR$106,$AG25),1),IF($AH25&gt;0,INDEX(CR$7:CR$106,$AH25),1),IF($AI25&gt;0,INDEX(CR$7:CR$106,$AI25),1),IF($AJ25&gt;0,INDEX(CR$7:CR$106,$AJ25),1))))</ns0:f>
        <ns0:v>1</ns0:v>
      </ns0:c>
      <ns0:c r="CT25" t="n">
        <ns0:f>IF($A25="",1,IF(CS25=1,1,--AND(IF($AC25&gt;0,INDEX(CS$7:CS$106,$AC25),1),IF($AD25&gt;0,INDEX(CS$7:CS$106,$AD25),1),IF($AE25&gt;0,INDEX(CS$7:CS$106,$AE25),1),IF($AF25&gt;0,INDEX(CS$7:CS$106,$AF25),1),IF($AG25&gt;0,INDEX(CS$7:CS$106,$AG25),1),IF($AH25&gt;0,INDEX(CS$7:CS$106,$AH25),1),IF($AI25&gt;0,INDEX(CS$7:CS$106,$AI25),1),IF($AJ25&gt;0,INDEX(CS$7:CS$106,$AJ25),1))))</ns0:f>
        <ns0:v>1</ns0:v>
      </ns0:c>
      <ns0:c r="CU25" t="n">
        <ns0:f>IF($A25="",1,IF(CT25=1,1,--AND(IF($AC25&gt;0,INDEX(CT$7:CT$106,$AC25),1),IF($AD25&gt;0,INDEX(CT$7:CT$106,$AD25),1),IF($AE25&gt;0,INDEX(CT$7:CT$106,$AE25),1),IF($AF25&gt;0,INDEX(CT$7:CT$106,$AF25),1),IF($AG25&gt;0,INDEX(CT$7:CT$106,$AG25),1),IF($AH25&gt;0,INDEX(CT$7:CT$106,$AH25),1),IF($AI25&gt;0,INDEX(CT$7:CT$106,$AI25),1),IF($AJ25&gt;0,INDEX(CT$7:CT$106,$AJ25),1))))</ns0:f>
        <ns0:v>1</ns0:v>
      </ns0:c>
      <ns0:c r="CV25" t="n">
        <ns0:f>IF($A25="",1,IF(CU25=1,1,--AND(IF($AC25&gt;0,INDEX(CU$7:CU$106,$AC25),1),IF($AD25&gt;0,INDEX(CU$7:CU$106,$AD25),1),IF($AE25&gt;0,INDEX(CU$7:CU$106,$AE25),1),IF($AF25&gt;0,INDEX(CU$7:CU$106,$AF25),1),IF($AG25&gt;0,INDEX(CU$7:CU$106,$AG25),1),IF($AH25&gt;0,INDEX(CU$7:CU$106,$AH25),1),IF($AI25&gt;0,INDEX(CU$7:CU$106,$AI25),1),IF($AJ25&gt;0,INDEX(CU$7:CU$106,$AJ25),1))))</ns0:f>
        <ns0:v>1</ns0:v>
      </ns0:c>
      <ns0:c r="CW25" t="n">
        <ns0:f>IF($A25="",1,IF(CV25=1,1,--AND(IF($AC25&gt;0,INDEX(CV$7:CV$106,$AC25),1),IF($AD25&gt;0,INDEX(CV$7:CV$106,$AD25),1),IF($AE25&gt;0,INDEX(CV$7:CV$106,$AE25),1),IF($AF25&gt;0,INDEX(CV$7:CV$106,$AF25),1),IF($AG25&gt;0,INDEX(CV$7:CV$106,$AG25),1),IF($AH25&gt;0,INDEX(CV$7:CV$106,$AH25),1),IF($AI25&gt;0,INDEX(CV$7:CV$106,$AI25),1),IF($AJ25&gt;0,INDEX(CV$7:CV$106,$AJ25),1))))</ns0:f>
        <ns0:v>1</ns0:v>
      </ns0:c>
      <ns0:c r="CX25" t="n">
        <ns0:f>IF($A25="",1,IF(CW25=1,1,--AND(IF($AC25&gt;0,INDEX(CW$7:CW$106,$AC25),1),IF($AD25&gt;0,INDEX(CW$7:CW$106,$AD25),1),IF($AE25&gt;0,INDEX(CW$7:CW$106,$AE25),1),IF($AF25&gt;0,INDEX(CW$7:CW$106,$AF25),1),IF($AG25&gt;0,INDEX(CW$7:CW$106,$AG25),1),IF($AH25&gt;0,INDEX(CW$7:CW$106,$AH25),1),IF($AI25&gt;0,INDEX(CW$7:CW$106,$AI25),1),IF($AJ25&gt;0,INDEX(CW$7:CW$106,$AJ25),1))))</ns0:f>
        <ns0:v>1</ns0:v>
      </ns0:c>
      <ns0:c r="CY25" t="n">
        <ns0:f>IF($A25="",1,IF(CX25=1,1,--AND(IF($AC25&gt;0,INDEX(CX$7:CX$106,$AC25),1),IF($AD25&gt;0,INDEX(CX$7:CX$106,$AD25),1),IF($AE25&gt;0,INDEX(CX$7:CX$106,$AE25),1),IF($AF25&gt;0,INDEX(CX$7:CX$106,$AF25),1),IF($AG25&gt;0,INDEX(CX$7:CX$106,$AG25),1),IF($AH25&gt;0,INDEX(CX$7:CX$106,$AH25),1),IF($AI25&gt;0,INDEX(CX$7:CX$106,$AI25),1),IF($AJ25&gt;0,INDEX(CX$7:CX$106,$AJ25),1))))</ns0:f>
        <ns0:v>1</ns0:v>
      </ns0:c>
      <ns0:c r="CZ25" t="n">
        <ns0:f>IF($A25="",1,IF(CY25=1,1,--AND(IF($AC25&gt;0,INDEX(CY$7:CY$106,$AC25),1),IF($AD25&gt;0,INDEX(CY$7:CY$106,$AD25),1),IF($AE25&gt;0,INDEX(CY$7:CY$106,$AE25),1),IF($AF25&gt;0,INDEX(CY$7:CY$106,$AF25),1),IF($AG25&gt;0,INDEX(CY$7:CY$106,$AG25),1),IF($AH25&gt;0,INDEX(CY$7:CY$106,$AH25),1),IF($AI25&gt;0,INDEX(CY$7:CY$106,$AI25),1),IF($AJ25&gt;0,INDEX(CY$7:CY$106,$AJ25),1))))</ns0:f>
        <ns0:v>1</ns0:v>
      </ns0:c>
      <ns0:c r="DA25" t="n">
        <ns0:f>IF($A25="",1,IF(CZ25=1,1,--AND(IF($AC25&gt;0,INDEX(CZ$7:CZ$106,$AC25),1),IF($AD25&gt;0,INDEX(CZ$7:CZ$106,$AD25),1),IF($AE25&gt;0,INDEX(CZ$7:CZ$106,$AE25),1),IF($AF25&gt;0,INDEX(CZ$7:CZ$106,$AF25),1),IF($AG25&gt;0,INDEX(CZ$7:CZ$106,$AG25),1),IF($AH25&gt;0,INDEX(CZ$7:CZ$106,$AH25),1),IF($AI25&gt;0,INDEX(CZ$7:CZ$106,$AI25),1),IF($AJ25&gt;0,INDEX(CZ$7:CZ$106,$AJ25),1))))</ns0:f>
        <ns0:v>1</ns0:v>
      </ns0:c>
      <ns0:c r="DB25" t="n">
        <ns0:f>IF($A25="",1,IF(DA25=1,1,--AND(IF($AC25&gt;0,INDEX(DA$7:DA$106,$AC25),1),IF($AD25&gt;0,INDEX(DA$7:DA$106,$AD25),1),IF($AE25&gt;0,INDEX(DA$7:DA$106,$AE25),1),IF($AF25&gt;0,INDEX(DA$7:DA$106,$AF25),1),IF($AG25&gt;0,INDEX(DA$7:DA$106,$AG25),1),IF($AH25&gt;0,INDEX(DA$7:DA$106,$AH25),1),IF($AI25&gt;0,INDEX(DA$7:DA$106,$AI25),1),IF($AJ25&gt;0,INDEX(DA$7:DA$106,$AJ25),1))))</ns0:f>
        <ns0:v>1</ns0:v>
      </ns0:c>
      <ns0:c r="DC25" t="n">
        <ns0:f>IF($A25="",1,IF(DB25=1,1,--AND(IF($AC25&gt;0,INDEX(DB$7:DB$106,$AC25),1),IF($AD25&gt;0,INDEX(DB$7:DB$106,$AD25),1),IF($AE25&gt;0,INDEX(DB$7:DB$106,$AE25),1),IF($AF25&gt;0,INDEX(DB$7:DB$106,$AF25),1),IF($AG25&gt;0,INDEX(DB$7:DB$106,$AG25),1),IF($AH25&gt;0,INDEX(DB$7:DB$106,$AH25),1),IF($AI25&gt;0,INDEX(DB$7:DB$106,$AI25),1),IF($AJ25&gt;0,INDEX(DB$7:DB$106,$AJ25),1))))</ns0:f>
        <ns0:v>1</ns0:v>
      </ns0:c>
      <ns0:c r="DD25" t="n">
        <ns0:f>IF($A25="",1,IF(DC25=1,1,--AND(IF($AC25&gt;0,INDEX(DC$7:DC$106,$AC25),1),IF($AD25&gt;0,INDEX(DC$7:DC$106,$AD25),1),IF($AE25&gt;0,INDEX(DC$7:DC$106,$AE25),1),IF($AF25&gt;0,INDEX(DC$7:DC$106,$AF25),1),IF($AG25&gt;0,INDEX(DC$7:DC$106,$AG25),1),IF($AH25&gt;0,INDEX(DC$7:DC$106,$AH25),1),IF($AI25&gt;0,INDEX(DC$7:DC$106,$AI25),1),IF($AJ25&gt;0,INDEX(DC$7:DC$106,$AJ25),1))))</ns0:f>
        <ns0:v>1</ns0:v>
      </ns0:c>
      <ns0:c r="DE25" t="n">
        <ns0:f>IF($A25="",1,IF(DD25=1,1,--AND(IF($AC25&gt;0,INDEX(DD$7:DD$106,$AC25),1),IF($AD25&gt;0,INDEX(DD$7:DD$106,$AD25),1),IF($AE25&gt;0,INDEX(DD$7:DD$106,$AE25),1),IF($AF25&gt;0,INDEX(DD$7:DD$106,$AF25),1),IF($AG25&gt;0,INDEX(DD$7:DD$106,$AG25),1),IF($AH25&gt;0,INDEX(DD$7:DD$106,$AH25),1),IF($AI25&gt;0,INDEX(DD$7:DD$106,$AI25),1),IF($AJ25&gt;0,INDEX(DD$7:DD$106,$AJ25),1))))</ns0:f>
        <ns0:v>1</ns0:v>
      </ns0:c>
      <ns0:c r="DF25" t="n">
        <ns0:f>IF($A25="",1,IF(DE25=1,1,--AND(IF($AC25&gt;0,INDEX(DE$7:DE$106,$AC25),1),IF($AD25&gt;0,INDEX(DE$7:DE$106,$AD25),1),IF($AE25&gt;0,INDEX(DE$7:DE$106,$AE25),1),IF($AF25&gt;0,INDEX(DE$7:DE$106,$AF25),1),IF($AG25&gt;0,INDEX(DE$7:DE$106,$AG25),1),IF($AH25&gt;0,INDEX(DE$7:DE$106,$AH25),1),IF($AI25&gt;0,INDEX(DE$7:DE$106,$AI25),1),IF($AJ25&gt;0,INDEX(DE$7:DE$106,$AJ25),1))))</ns0:f>
        <ns0:v>1</ns0:v>
      </ns0:c>
      <ns0:c r="DG25" t="n">
        <ns0:f>IF($A25="",1,IF(DF25=1,1,--AND(IF($AC25&gt;0,INDEX(DF$7:DF$106,$AC25),1),IF($AD25&gt;0,INDEX(DF$7:DF$106,$AD25),1),IF($AE25&gt;0,INDEX(DF$7:DF$106,$AE25),1),IF($AF25&gt;0,INDEX(DF$7:DF$106,$AF25),1),IF($AG25&gt;0,INDEX(DF$7:DF$106,$AG25),1),IF($AH25&gt;0,INDEX(DF$7:DF$106,$AH25),1),IF($AI25&gt;0,INDEX(DF$7:DF$106,$AI25),1),IF($AJ25&gt;0,INDEX(DF$7:DF$106,$AJ25),1))))</ns0:f>
        <ns0:v>1</ns0:v>
      </ns0:c>
      <ns0:c r="DH25" t="n">
        <ns0:f>IF($A25="",1,IF(DG25=1,1,--AND(IF($AC25&gt;0,INDEX(DG$7:DG$106,$AC25),1),IF($AD25&gt;0,INDEX(DG$7:DG$106,$AD25),1),IF($AE25&gt;0,INDEX(DG$7:DG$106,$AE25),1),IF($AF25&gt;0,INDEX(DG$7:DG$106,$AF25),1),IF($AG25&gt;0,INDEX(DG$7:DG$106,$AG25),1),IF($AH25&gt;0,INDEX(DG$7:DG$106,$AH25),1),IF($AI25&gt;0,INDEX(DG$7:DG$106,$AI25),1),IF($AJ25&gt;0,INDEX(DG$7:DG$106,$AJ25),1))))</ns0:f>
        <ns0:v>1</ns0:v>
      </ns0:c>
      <ns0:c r="DI25" t="n">
        <ns0:f>IF($A25="",1,IF(DH25=1,1,--AND(IF($AC25&gt;0,INDEX(DH$7:DH$106,$AC25),1),IF($AD25&gt;0,INDEX(DH$7:DH$106,$AD25),1),IF($AE25&gt;0,INDEX(DH$7:DH$106,$AE25),1),IF($AF25&gt;0,INDEX(DH$7:DH$106,$AF25),1),IF($AG25&gt;0,INDEX(DH$7:DH$106,$AG25),1),IF($AH25&gt;0,INDEX(DH$7:DH$106,$AH25),1),IF($AI25&gt;0,INDEX(DH$7:DH$106,$AI25),1),IF($AJ25&gt;0,INDEX(DH$7:DH$106,$AJ25),1))))</ns0:f>
        <ns0:v>1</ns0:v>
      </ns0:c>
      <ns0:c r="DJ25" t="n">
        <ns0:f>IF($A25="",1,IF(DI25=1,1,--AND(IF($AC25&gt;0,INDEX(DI$7:DI$106,$AC25),1),IF($AD25&gt;0,INDEX(DI$7:DI$106,$AD25),1),IF($AE25&gt;0,INDEX(DI$7:DI$106,$AE25),1),IF($AF25&gt;0,INDEX(DI$7:DI$106,$AF25),1),IF($AG25&gt;0,INDEX(DI$7:DI$106,$AG25),1),IF($AH25&gt;0,INDEX(DI$7:DI$106,$AH25),1),IF($AI25&gt;0,INDEX(DI$7:DI$106,$AI25),1),IF($AJ25&gt;0,INDEX(DI$7:DI$106,$AJ25),1))))</ns0:f>
        <ns0:v>1</ns0:v>
      </ns0:c>
      <ns0:c r="DK25" t="n">
        <ns0:f>IF($A25="",1,IF(DJ25=1,1,--AND(IF($AC25&gt;0,INDEX(DJ$7:DJ$106,$AC25),1),IF($AD25&gt;0,INDEX(DJ$7:DJ$106,$AD25),1),IF($AE25&gt;0,INDEX(DJ$7:DJ$106,$AE25),1),IF($AF25&gt;0,INDEX(DJ$7:DJ$106,$AF25),1),IF($AG25&gt;0,INDEX(DJ$7:DJ$106,$AG25),1),IF($AH25&gt;0,INDEX(DJ$7:DJ$106,$AH25),1),IF($AI25&gt;0,INDEX(DJ$7:DJ$106,$AI25),1),IF($AJ25&gt;0,INDEX(DJ$7:DJ$106,$AJ25),1))))</ns0:f>
        <ns0:v>1</ns0:v>
      </ns0:c>
      <ns0:c r="DL25" t="n">
        <ns0:f>IF($A25="",1,IF(DK25=1,1,--AND(IF($AC25&gt;0,INDEX(DK$7:DK$106,$AC25),1),IF($AD25&gt;0,INDEX(DK$7:DK$106,$AD25),1),IF($AE25&gt;0,INDEX(DK$7:DK$106,$AE25),1),IF($AF25&gt;0,INDEX(DK$7:DK$106,$AF25),1),IF($AG25&gt;0,INDEX(DK$7:DK$106,$AG25),1),IF($AH25&gt;0,INDEX(DK$7:DK$106,$AH25),1),IF($AI25&gt;0,INDEX(DK$7:DK$106,$AI25),1),IF($AJ25&gt;0,INDEX(DK$7:DK$106,$AJ25),1))))</ns0:f>
        <ns0:v>1</ns0:v>
      </ns0:c>
      <ns0:c r="DM25" t="n">
        <ns0:f>IF($A25="",1,IF(DL25=1,1,--AND(IF($AC25&gt;0,INDEX(DL$7:DL$106,$AC25),1),IF($AD25&gt;0,INDEX(DL$7:DL$106,$AD25),1),IF($AE25&gt;0,INDEX(DL$7:DL$106,$AE25),1),IF($AF25&gt;0,INDEX(DL$7:DL$106,$AF25),1),IF($AG25&gt;0,INDEX(DL$7:DL$106,$AG25),1),IF($AH25&gt;0,INDEX(DL$7:DL$106,$AH25),1),IF($AI25&gt;0,INDEX(DL$7:DL$106,$AI25),1),IF($AJ25&gt;0,INDEX(DL$7:DL$106,$AJ25),1))))</ns0:f>
        <ns0:v>1</ns0:v>
      </ns0:c>
      <ns0:c r="DN25" t="n">
        <ns0:f>IF($A25="",1,IF(DM25=1,1,--AND(IF($AC25&gt;0,INDEX(DM$7:DM$106,$AC25),1),IF($AD25&gt;0,INDEX(DM$7:DM$106,$AD25),1),IF($AE25&gt;0,INDEX(DM$7:DM$106,$AE25),1),IF($AF25&gt;0,INDEX(DM$7:DM$106,$AF25),1),IF($AG25&gt;0,INDEX(DM$7:DM$106,$AG25),1),IF($AH25&gt;0,INDEX(DM$7:DM$106,$AH25),1),IF($AI25&gt;0,INDEX(DM$7:DM$106,$AI25),1),IF($AJ25&gt;0,INDEX(DM$7:DM$106,$AJ25),1))))</ns0:f>
        <ns0:v>1</ns0:v>
      </ns0:c>
      <ns0:c r="DO25" t="n">
        <ns0:f>IF($A25="",1,IF(DN25=1,1,--AND(IF($AC25&gt;0,INDEX(DN$7:DN$106,$AC25),1),IF($AD25&gt;0,INDEX(DN$7:DN$106,$AD25),1),IF($AE25&gt;0,INDEX(DN$7:DN$106,$AE25),1),IF($AF25&gt;0,INDEX(DN$7:DN$106,$AF25),1),IF($AG25&gt;0,INDEX(DN$7:DN$106,$AG25),1),IF($AH25&gt;0,INDEX(DN$7:DN$106,$AH25),1),IF($AI25&gt;0,INDEX(DN$7:DN$106,$AI25),1),IF($AJ25&gt;0,INDEX(DN$7:DN$106,$AJ25),1))))</ns0:f>
        <ns0:v>1</ns0:v>
      </ns0:c>
      <ns0:c r="DP25" t="n">
        <ns0:f>IF($A25="",1,IF(DO25=1,1,--AND(IF($AC25&gt;0,INDEX(DO$7:DO$106,$AC25),1),IF($AD25&gt;0,INDEX(DO$7:DO$106,$AD25),1),IF($AE25&gt;0,INDEX(DO$7:DO$106,$AE25),1),IF($AF25&gt;0,INDEX(DO$7:DO$106,$AF25),1),IF($AG25&gt;0,INDEX(DO$7:DO$106,$AG25),1),IF($AH25&gt;0,INDEX(DO$7:DO$106,$AH25),1),IF($AI25&gt;0,INDEX(DO$7:DO$106,$AI25),1),IF($AJ25&gt;0,INDEX(DO$7:DO$106,$AJ25),1))))</ns0:f>
        <ns0:v>1</ns0:v>
      </ns0:c>
      <ns0:c r="DQ25" t="n">
        <ns0:f>IF($A25="",1,IF(DP25=1,1,--AND(IF($AC25&gt;0,INDEX(DP$7:DP$106,$AC25),1),IF($AD25&gt;0,INDEX(DP$7:DP$106,$AD25),1),IF($AE25&gt;0,INDEX(DP$7:DP$106,$AE25),1),IF($AF25&gt;0,INDEX(DP$7:DP$106,$AF25),1),IF($AG25&gt;0,INDEX(DP$7:DP$106,$AG25),1),IF($AH25&gt;0,INDEX(DP$7:DP$106,$AH25),1),IF($AI25&gt;0,INDEX(DP$7:DP$106,$AI25),1),IF($AJ25&gt;0,INDEX(DP$7:DP$106,$AJ25),1))))</ns0:f>
        <ns0:v>1</ns0:v>
      </ns0:c>
      <ns0:c r="DR25" t="n">
        <ns0:f>IF($A25="",1,IF(DQ25=1,1,--AND(IF($AC25&gt;0,INDEX(DQ$7:DQ$106,$AC25),1),IF($AD25&gt;0,INDEX(DQ$7:DQ$106,$AD25),1),IF($AE25&gt;0,INDEX(DQ$7:DQ$106,$AE25),1),IF($AF25&gt;0,INDEX(DQ$7:DQ$106,$AF25),1),IF($AG25&gt;0,INDEX(DQ$7:DQ$106,$AG25),1),IF($AH25&gt;0,INDEX(DQ$7:DQ$106,$AH25),1),IF($AI25&gt;0,INDEX(DQ$7:DQ$106,$AI25),1),IF($AJ25&gt;0,INDEX(DQ$7:DQ$106,$AJ25),1))))</ns0:f>
        <ns0:v>1</ns0:v>
      </ns0:c>
      <ns0:c r="DS25" t="n">
        <ns0:f>IF($A25="",1,IF(DR25=1,1,--AND(IF($AC25&gt;0,INDEX(DR$7:DR$106,$AC25),1),IF($AD25&gt;0,INDEX(DR$7:DR$106,$AD25),1),IF($AE25&gt;0,INDEX(DR$7:DR$106,$AE25),1),IF($AF25&gt;0,INDEX(DR$7:DR$106,$AF25),1),IF($AG25&gt;0,INDEX(DR$7:DR$106,$AG25),1),IF($AH25&gt;0,INDEX(DR$7:DR$106,$AH25),1),IF($AI25&gt;0,INDEX(DR$7:DR$106,$AI25),1),IF($AJ25&gt;0,INDEX(DR$7:DR$106,$AJ25),1))))</ns0:f>
        <ns0:v>1</ns0:v>
      </ns0:c>
      <ns0:c r="DT25" t="n">
        <ns0:f>IF($A25="",1,IF(DS25=1,1,--AND(IF($AC25&gt;0,INDEX(DS$7:DS$106,$AC25),1),IF($AD25&gt;0,INDEX(DS$7:DS$106,$AD25),1),IF($AE25&gt;0,INDEX(DS$7:DS$106,$AE25),1),IF($AF25&gt;0,INDEX(DS$7:DS$106,$AF25),1),IF($AG25&gt;0,INDEX(DS$7:DS$106,$AG25),1),IF($AH25&gt;0,INDEX(DS$7:DS$106,$AH25),1),IF($AI25&gt;0,INDEX(DS$7:DS$106,$AI25),1),IF($AJ25&gt;0,INDEX(DS$7:DS$106,$AJ25),1))))</ns0:f>
        <ns0:v>1</ns0:v>
      </ns0:c>
      <ns0:c r="DU25" t="n">
        <ns0:f>IF($A25="",1,IF(DT25=1,1,--AND(IF($AC25&gt;0,INDEX(DT$7:DT$106,$AC25),1),IF($AD25&gt;0,INDEX(DT$7:DT$106,$AD25),1),IF($AE25&gt;0,INDEX(DT$7:DT$106,$AE25),1),IF($AF25&gt;0,INDEX(DT$7:DT$106,$AF25),1),IF($AG25&gt;0,INDEX(DT$7:DT$106,$AG25),1),IF($AH25&gt;0,INDEX(DT$7:DT$106,$AH25),1),IF($AI25&gt;0,INDEX(DT$7:DT$106,$AI25),1),IF($AJ25&gt;0,INDEX(DT$7:DT$106,$AJ25),1))))</ns0:f>
        <ns0:v>1</ns0:v>
      </ns0:c>
      <ns0:c r="DV25" t="n">
        <ns0:f>IF($A25="",1,IF(DU25=1,1,--AND(IF($AC25&gt;0,INDEX(DU$7:DU$106,$AC25),1),IF($AD25&gt;0,INDEX(DU$7:DU$106,$AD25),1),IF($AE25&gt;0,INDEX(DU$7:DU$106,$AE25),1),IF($AF25&gt;0,INDEX(DU$7:DU$106,$AF25),1),IF($AG25&gt;0,INDEX(DU$7:DU$106,$AG25),1),IF($AH25&gt;0,INDEX(DU$7:DU$106,$AH25),1),IF($AI25&gt;0,INDEX(DU$7:DU$106,$AI25),1),IF($AJ25&gt;0,INDEX(DU$7:DU$106,$AJ25),1))))</ns0:f>
        <ns0:v>1</ns0:v>
      </ns0:c>
      <ns0:c r="DW25" t="n">
        <ns0:f>IF($A25="",1,IF(DV25=1,1,--AND(IF($AC25&gt;0,INDEX(DV$7:DV$106,$AC25),1),IF($AD25&gt;0,INDEX(DV$7:DV$106,$AD25),1),IF($AE25&gt;0,INDEX(DV$7:DV$106,$AE25),1),IF($AF25&gt;0,INDEX(DV$7:DV$106,$AF25),1),IF($AG25&gt;0,INDEX(DV$7:DV$106,$AG25),1),IF($AH25&gt;0,INDEX(DV$7:DV$106,$AH25),1),IF($AI25&gt;0,INDEX(DV$7:DV$106,$AI25),1),IF($AJ25&gt;0,INDEX(DV$7:DV$106,$AJ25),1))))</ns0:f>
        <ns0:v>1</ns0:v>
      </ns0:c>
      <ns0:c r="DX25" t="n">
        <ns0:f>IF($A25="",1,IF(DW25=1,1,--AND(IF($AC25&gt;0,INDEX(DW$7:DW$106,$AC25),1),IF($AD25&gt;0,INDEX(DW$7:DW$106,$AD25),1),IF($AE25&gt;0,INDEX(DW$7:DW$106,$AE25),1),IF($AF25&gt;0,INDEX(DW$7:DW$106,$AF25),1),IF($AG25&gt;0,INDEX(DW$7:DW$106,$AG25),1),IF($AH25&gt;0,INDEX(DW$7:DW$106,$AH25),1),IF($AI25&gt;0,INDEX(DW$7:DW$106,$AI25),1),IF($AJ25&gt;0,INDEX(DW$7:DW$106,$AJ25),1))))</ns0:f>
        <ns0:v>1</ns0:v>
      </ns0:c>
      <ns0:c r="DY25" t="n">
        <ns0:f>IF($A25="",1,IF(DX25=1,1,--AND(IF($AC25&gt;0,INDEX(DX$7:DX$106,$AC25),1),IF($AD25&gt;0,INDEX(DX$7:DX$106,$AD25),1),IF($AE25&gt;0,INDEX(DX$7:DX$106,$AE25),1),IF($AF25&gt;0,INDEX(DX$7:DX$106,$AF25),1),IF($AG25&gt;0,INDEX(DX$7:DX$106,$AG25),1),IF($AH25&gt;0,INDEX(DX$7:DX$106,$AH25),1),IF($AI25&gt;0,INDEX(DX$7:DX$106,$AI25),1),IF($AJ25&gt;0,INDEX(DX$7:DX$106,$AJ25),1))))</ns0:f>
        <ns0:v>1</ns0:v>
      </ns0:c>
      <ns0:c r="DZ25" t="n">
        <ns0:f>IF($A25="",1,IF(DY25=1,1,--AND(IF($AC25&gt;0,INDEX(DY$7:DY$106,$AC25),1),IF($AD25&gt;0,INDEX(DY$7:DY$106,$AD25),1),IF($AE25&gt;0,INDEX(DY$7:DY$106,$AE25),1),IF($AF25&gt;0,INDEX(DY$7:DY$106,$AF25),1),IF($AG25&gt;0,INDEX(DY$7:DY$106,$AG25),1),IF($AH25&gt;0,INDEX(DY$7:DY$106,$AH25),1),IF($AI25&gt;0,INDEX(DY$7:DY$106,$AI25),1),IF($AJ25&gt;0,INDEX(DY$7:DY$106,$AJ25),1))))</ns0:f>
        <ns0:v>1</ns0:v>
      </ns0:c>
      <ns0:c r="EA25" t="n">
        <ns0:f>IF($A25="",1,IF(DZ25=1,1,--AND(IF($AC25&gt;0,INDEX(DZ$7:DZ$106,$AC25),1),IF($AD25&gt;0,INDEX(DZ$7:DZ$106,$AD25),1),IF($AE25&gt;0,INDEX(DZ$7:DZ$106,$AE25),1),IF($AF25&gt;0,INDEX(DZ$7:DZ$106,$AF25),1),IF($AG25&gt;0,INDEX(DZ$7:DZ$106,$AG25),1),IF($AH25&gt;0,INDEX(DZ$7:DZ$106,$AH25),1),IF($AI25&gt;0,INDEX(DZ$7:DZ$106,$AI25),1),IF($AJ25&gt;0,INDEX(DZ$7:DZ$106,$AJ25),1))))</ns0:f>
        <ns0:v>1</ns0:v>
      </ns0:c>
      <ns0:c r="EB25" t="n">
        <ns0:f>IF($A25="",1,IF(EA25=1,1,--AND(IF($AC25&gt;0,INDEX(EA$7:EA$106,$AC25),1),IF($AD25&gt;0,INDEX(EA$7:EA$106,$AD25),1),IF($AE25&gt;0,INDEX(EA$7:EA$106,$AE25),1),IF($AF25&gt;0,INDEX(EA$7:EA$106,$AF25),1),IF($AG25&gt;0,INDEX(EA$7:EA$106,$AG25),1),IF($AH25&gt;0,INDEX(EA$7:EA$106,$AH25),1),IF($AI25&gt;0,INDEX(EA$7:EA$106,$AI25),1),IF($AJ25&gt;0,INDEX(EA$7:EA$106,$AJ25),1))))</ns0:f>
        <ns0:v>1</ns0:v>
      </ns0:c>
      <ns0:c r="EC25" t="n">
        <ns0:f>IF($A25="",1,IF(EB25=1,1,--AND(IF($AC25&gt;0,INDEX(EB$7:EB$106,$AC25),1),IF($AD25&gt;0,INDEX(EB$7:EB$106,$AD25),1),IF($AE25&gt;0,INDEX(EB$7:EB$106,$AE25),1),IF($AF25&gt;0,INDEX(EB$7:EB$106,$AF25),1),IF($AG25&gt;0,INDEX(EB$7:EB$106,$AG25),1),IF($AH25&gt;0,INDEX(EB$7:EB$106,$AH25),1),IF($AI25&gt;0,INDEX(EB$7:EB$106,$AI25),1),IF($AJ25&gt;0,INDEX(EB$7:EB$106,$AJ25),1))))</ns0:f>
        <ns0:v>1</ns0:v>
      </ns0:c>
      <ns0:c r="ED25" t="n">
        <ns0:f>IF($A25="",1,IF(EC25=1,1,--AND(IF($AC25&gt;0,INDEX(EC$7:EC$106,$AC25),1),IF($AD25&gt;0,INDEX(EC$7:EC$106,$AD25),1),IF($AE25&gt;0,INDEX(EC$7:EC$106,$AE25),1),IF($AF25&gt;0,INDEX(EC$7:EC$106,$AF25),1),IF($AG25&gt;0,INDEX(EC$7:EC$106,$AG25),1),IF($AH25&gt;0,INDEX(EC$7:EC$106,$AH25),1),IF($AI25&gt;0,INDEX(EC$7:EC$106,$AI25),1),IF($AJ25&gt;0,INDEX(EC$7:EC$106,$AJ25),1))))</ns0:f>
        <ns0:v>1</ns0:v>
      </ns0:c>
      <ns0:c r="EE25" t="n">
        <ns0:f>IF($A25="",1,IF(ED25=1,1,--AND(IF($AC25&gt;0,INDEX(ED$7:ED$106,$AC25),1),IF($AD25&gt;0,INDEX(ED$7:ED$106,$AD25),1),IF($AE25&gt;0,INDEX(ED$7:ED$106,$AE25),1),IF($AF25&gt;0,INDEX(ED$7:ED$106,$AF25),1),IF($AG25&gt;0,INDEX(ED$7:ED$106,$AG25),1),IF($AH25&gt;0,INDEX(ED$7:ED$106,$AH25),1),IF($AI25&gt;0,INDEX(ED$7:ED$106,$AI25),1),IF($AJ25&gt;0,INDEX(ED$7:ED$106,$AJ25),1))))</ns0:f>
        <ns0:v>1</ns0:v>
      </ns0:c>
      <ns0:c r="EF25" t="n">
        <ns0:f>IF($A25="",1,IF(EE25=1,1,--AND(IF($AC25&gt;0,INDEX(EE$7:EE$106,$AC25),1),IF($AD25&gt;0,INDEX(EE$7:EE$106,$AD25),1),IF($AE25&gt;0,INDEX(EE$7:EE$106,$AE25),1),IF($AF25&gt;0,INDEX(EE$7:EE$106,$AF25),1),IF($AG25&gt;0,INDEX(EE$7:EE$106,$AG25),1),IF($AH25&gt;0,INDEX(EE$7:EE$106,$AH25),1),IF($AI25&gt;0,INDEX(EE$7:EE$106,$AI25),1),IF($AJ25&gt;0,INDEX(EE$7:EE$106,$AJ25),1))))</ns0:f>
        <ns0:v>1</ns0:v>
      </ns0:c>
      <ns0:c r="EG25" t="n">
        <ns0:f>IF($A25="",1,IF(EF25=1,1,--AND(IF($AC25&gt;0,INDEX(EF$7:EF$106,$AC25),1),IF($AD25&gt;0,INDEX(EF$7:EF$106,$AD25),1),IF($AE25&gt;0,INDEX(EF$7:EF$106,$AE25),1),IF($AF25&gt;0,INDEX(EF$7:EF$106,$AF25),1),IF($AG25&gt;0,INDEX(EF$7:EF$106,$AG25),1),IF($AH25&gt;0,INDEX(EF$7:EF$106,$AH25),1),IF($AI25&gt;0,INDEX(EF$7:EF$106,$AI25),1),IF($AJ25&gt;0,INDEX(EF$7:EF$106,$AJ25),1))))</ns0:f>
        <ns0:v>1</ns0:v>
      </ns0:c>
      <ns0:c r="EH25" t="n">
        <ns0:f>IF($A25="",1,IF(EG25=1,1,--AND(IF($AC25&gt;0,INDEX(EG$7:EG$106,$AC25),1),IF($AD25&gt;0,INDEX(EG$7:EG$106,$AD25),1),IF($AE25&gt;0,INDEX(EG$7:EG$106,$AE25),1),IF($AF25&gt;0,INDEX(EG$7:EG$106,$AF25),1),IF($AG25&gt;0,INDEX(EG$7:EG$106,$AG25),1),IF($AH25&gt;0,INDEX(EG$7:EG$106,$AH25),1),IF($AI25&gt;0,INDEX(EG$7:EG$106,$AI25),1),IF($AJ25&gt;0,INDEX(EG$7:EG$106,$AJ25),1))))</ns0:f>
        <ns0:v>1</ns0:v>
      </ns0:c>
      <ns0:c r="EI25" t="n">
        <ns0:f>IF($A25="",1,IF(EH25=1,1,--AND(IF($AC25&gt;0,INDEX(EH$7:EH$106,$AC25),1),IF($AD25&gt;0,INDEX(EH$7:EH$106,$AD25),1),IF($AE25&gt;0,INDEX(EH$7:EH$106,$AE25),1),IF($AF25&gt;0,INDEX(EH$7:EH$106,$AF25),1),IF($AG25&gt;0,INDEX(EH$7:EH$106,$AG25),1),IF($AH25&gt;0,INDEX(EH$7:EH$106,$AH25),1),IF($AI25&gt;0,INDEX(EH$7:EH$106,$AI25),1),IF($AJ25&gt;0,INDEX(EH$7:EH$106,$AJ25),1))))</ns0:f>
        <ns0:v>1</ns0:v>
      </ns0:c>
      <ns0:c r="EJ25" t="n">
        <ns0:f>IF($A25="",1,IF(EI25=1,1,--AND(IF($AC25&gt;0,INDEX(EI$7:EI$106,$AC25),1),IF($AD25&gt;0,INDEX(EI$7:EI$106,$AD25),1),IF($AE25&gt;0,INDEX(EI$7:EI$106,$AE25),1),IF($AF25&gt;0,INDEX(EI$7:EI$106,$AF25),1),IF($AG25&gt;0,INDEX(EI$7:EI$106,$AG25),1),IF($AH25&gt;0,INDEX(EI$7:EI$106,$AH25),1),IF($AI25&gt;0,INDEX(EI$7:EI$106,$AI25),1),IF($AJ25&gt;0,INDEX(EI$7:EI$106,$AJ25),1))))</ns0:f>
        <ns0:v>1</ns0:v>
      </ns0:c>
      <ns0:c r="EK25" t="n">
        <ns0:f>IF($A25="",1,IF(EJ25=1,1,--AND(IF($AC25&gt;0,INDEX(EJ$7:EJ$106,$AC25),1),IF($AD25&gt;0,INDEX(EJ$7:EJ$106,$AD25),1),IF($AE25&gt;0,INDEX(EJ$7:EJ$106,$AE25),1),IF($AF25&gt;0,INDEX(EJ$7:EJ$106,$AF25),1),IF($AG25&gt;0,INDEX(EJ$7:EJ$106,$AG25),1),IF($AH25&gt;0,INDEX(EJ$7:EJ$106,$AH25),1),IF($AI25&gt;0,INDEX(EJ$7:EJ$106,$AI25),1),IF($AJ25&gt;0,INDEX(EJ$7:EJ$106,$AJ25),1))))</ns0:f>
        <ns0:v>1</ns0:v>
      </ns0:c>
      <ns0:c r="EL25" t="n">
        <ns0:f>IF($A25="",1,IF(EK25=1,1,--AND(IF($AC25&gt;0,INDEX(EK$7:EK$106,$AC25),1),IF($AD25&gt;0,INDEX(EK$7:EK$106,$AD25),1),IF($AE25&gt;0,INDEX(EK$7:EK$106,$AE25),1),IF($AF25&gt;0,INDEX(EK$7:EK$106,$AF25),1),IF($AG25&gt;0,INDEX(EK$7:EK$106,$AG25),1),IF($AH25&gt;0,INDEX(EK$7:EK$106,$AH25),1),IF($AI25&gt;0,INDEX(EK$7:EK$106,$AI25),1),IF($AJ25&gt;0,INDEX(EK$7:EK$106,$AJ25),1))))</ns0:f>
        <ns0:v>1</ns0:v>
      </ns0:c>
      <ns0:c r="EM25" t="n">
        <ns0:f>IF($A25="",1,IF(EL25=1,1,--AND(IF($AC25&gt;0,INDEX(EL$7:EL$106,$AC25),1),IF($AD25&gt;0,INDEX(EL$7:EL$106,$AD25),1),IF($AE25&gt;0,INDEX(EL$7:EL$106,$AE25),1),IF($AF25&gt;0,INDEX(EL$7:EL$106,$AF25),1),IF($AG25&gt;0,INDEX(EL$7:EL$106,$AG25),1),IF($AH25&gt;0,INDEX(EL$7:EL$106,$AH25),1),IF($AI25&gt;0,INDEX(EL$7:EL$106,$AI25),1),IF($AJ25&gt;0,INDEX(EL$7:EL$106,$AJ25),1))))</ns0:f>
        <ns0:v>1</ns0:v>
      </ns0:c>
      <ns0:c r="EN25" t="n">
        <ns0:f>IF($A25="",1,IF(EM25=1,1,--AND(IF($AC25&gt;0,INDEX(EM$7:EM$106,$AC25),1),IF($AD25&gt;0,INDEX(EM$7:EM$106,$AD25),1),IF($AE25&gt;0,INDEX(EM$7:EM$106,$AE25),1),IF($AF25&gt;0,INDEX(EM$7:EM$106,$AF25),1),IF($AG25&gt;0,INDEX(EM$7:EM$106,$AG25),1),IF($AH25&gt;0,INDEX(EM$7:EM$106,$AH25),1),IF($AI25&gt;0,INDEX(EM$7:EM$106,$AI25),1),IF($AJ25&gt;0,INDEX(EM$7:EM$106,$AJ25),1))))</ns0:f>
        <ns0:v>1</ns0:v>
      </ns0:c>
      <ns0:c r="EO25" t="n">
        <ns0:f>IF($A25="",1,IF(EN25=1,1,--AND(IF($AC25&gt;0,INDEX(EN$7:EN$106,$AC25),1),IF($AD25&gt;0,INDEX(EN$7:EN$106,$AD25),1),IF($AE25&gt;0,INDEX(EN$7:EN$106,$AE25),1),IF($AF25&gt;0,INDEX(EN$7:EN$106,$AF25),1),IF($AG25&gt;0,INDEX(EN$7:EN$106,$AG25),1),IF($AH25&gt;0,INDEX(EN$7:EN$106,$AH25),1),IF($AI25&gt;0,INDEX(EN$7:EN$106,$AI25),1),IF($AJ25&gt;0,INDEX(EN$7:EN$106,$AJ25),1))))</ns0:f>
        <ns0:v>1</ns0:v>
      </ns0:c>
      <ns0:c r="EP25" t="n">
        <ns0:f>IF($A25="",1,IF(EO25=1,1,--AND(IF($AC25&gt;0,INDEX(EO$7:EO$106,$AC25),1),IF($AD25&gt;0,INDEX(EO$7:EO$106,$AD25),1),IF($AE25&gt;0,INDEX(EO$7:EO$106,$AE25),1),IF($AF25&gt;0,INDEX(EO$7:EO$106,$AF25),1),IF($AG25&gt;0,INDEX(EO$7:EO$106,$AG25),1),IF($AH25&gt;0,INDEX(EO$7:EO$106,$AH25),1),IF($AI25&gt;0,INDEX(EO$7:EO$106,$AI25),1),IF($AJ25&gt;0,INDEX(EO$7:EO$106,$AJ25),1))))</ns0:f>
        <ns0:v>1</ns0:v>
      </ns0:c>
      <ns0:c r="EQ25" t="n">
        <ns0:f>IF(OR(A25="",NOT(ISNUMBER(G25))),0,G25*N25)</ns0:f>
        <ns0:v>0</ns0:v>
      </ns0:c>
    </ns0:row>
    <ns0:row r="26" ht="62" customHeight="1">
      <ns0:c r="A26" s="48" t="str">
        <ns0:v>T17</ns0:v>
      </ns0:c>
      <ns0:c r="B26" s="48" t="str">
        <ns0:v>Intelligence &amp; assets</ns0:v>
      </ns0:c>
      <ns0:c r="C26" s="48" t="str">
        <ns0:v>Ingest &amp; parse customer support tickets and review sentiment (W_VOICE)</ns0:v>
      </ns0:c>
      <ns0:c r="D26" s="48" t="str">
        <ns0:v>Produce anonymized sentiment vectors and objection profiles with S_PARSE.</ns0:v>
      </ns0:c>
      <ns0:c r="E26" s="49" t="n">
        <ns0:v>46285</ns0:v>
      </ns0:c>
      <ns0:c r="F26" s="49" t="n">
        <ns0:v>46286</ns0:v>
      </ns0:c>
      <ns0:c r="G26" s="13" t="n">
        <ns0:f>IF(A26="","",IF(OR(NOT(ISNUMBER(E26)),NOT(ISNUMBER(F26)),F26&lt;E26),"",IF(J26="Yes",0,F26-E26+1)))</ns0:f>
        <ns0:v>2</ns0:v>
      </ns0:c>
      <ns0:c r="H26" s="48" t="str">
        <ns0:v>T10,T14,T15</ns0:v>
      </ns0:c>
      <ns0:c r="I26" s="48" t="str">
        <ns0:v>FS</ns0:v>
      </ns0:c>
      <ns0:c r="J26" s="48" t="str">
        <ns0:v>No</ns0:v>
      </ns0:c>
      <ns0:c r="K26" s="48" t="str">
        <ns0:v>Specialist Sub-Agents (L4_SUBS);Customer Voice Engine (W_VOICE)</ns0:v>
      </ns0:c>
      <ns0:c r="L26" s="48" t="str"/>
      <ns0:c r="M26" s="50" t="str">
        <ns0:f>IF(A26="","",IF(N26=1,"Completed",IF(N26&gt;0,"In Progress","Not Started")))</ns0:f>
        <ns0:v>Not Started</ns0:v>
      </ns0:c>
      <ns0:c r="N26" s="51" t="n">
        <ns0:v>0</ns0:v>
      </ns0:c>
      <ns0:c r="O26" s="13" t="str">
        <ns0:f>IF(A26="","",IF(R26&lt;&gt;"","[CONFLICT] "&amp;R26,IF(S26&lt;&gt;"","[CONFLICT] "&amp;S26,IF(OR(NOT(ISNUMBER(N26)),N26&lt;0,N26&gt;1),"[CONFLICT] Invalid progress",IF(AK26&gt;0,"[DEPENDENCY ISSUE] Missing ID / &gt;8 links",IF(AM26&gt;0,"[DEPENDENCY ISSUE] Cycle or blocked by cycle",IF(AND(H26&lt;&gt;"",ISNA(MATCH(I26,{"FS","SS","FF","SF"},0))),"[DEPENDENCY ISSUE] Invalid type",IF(AL26&gt;0,"[DEPENDENCY ISSUE] Timing conflict",IF(OR(E26&lt;ProjectStart,F26&gt;ProjectEnd),"[OUTSIDE WINDOW]",IF(AND(N26&lt;1,F26&lt;AsOfDate),"Overdue",IF(AND(M26&lt;&gt;Q26,M26&lt;&gt;""),"[CONFLICT] Status / progress","On track")))))))))))</ns0:f>
        <ns0:v>On track</ns0:v>
      </ns0:c>
      <ns0:c r="P26" s="52" t="str">
        <ns0:v>Source: Project Plan Essentials (2).md §1, §2, §4. Original 2026-09-24 to 2026-09-26, 3d; original progress 100% [INFERRED]. [INFERRED] Rescheduled to fit 34d with FS. Duration reduced to 2d. Original resource/tools: Customer Voice Engine &amp; S_PARSE.</ns0:v>
      </ns0:c>
      <ns0:c r="Q26" t="str">
        <ns0:f>IF(A26="","",IF(OR(M26="On Hold",M26="Delayed"),M26,IF(N26=1,"Completed",IF(N26&gt;0,"In Progress","Not Started"))))</ns0:f>
        <ns0:v>Not Started</ns0:v>
      </ns0:c>
      <ns0:c r="R26" t="str">
        <ns0:f>IF(A26="","",IF(COUNTIFS(Tasks[Task ID],A26)&lt;&gt;1,"Duplicate ID",""))</ns0:f>
      </ns0:c>
      <ns0:c r="S26" t="str">
        <ns0:f>IF(A26="","",IF(OR(NOT(ISNUMBER(E26)),NOT(ISNUMBER(F26))),"Invalid / missing date",IF(OR(E26&lt;&gt;INT(E26),F26&lt;&gt;INT(F26),E26&lt;1,F26&gt;2958465),"Invalid date",IF(F26&lt;E26,"End before start",IF(AND(J26="Yes",E26&lt;&gt;F26),"Milestone needs one date","")))))</ns0:f>
      </ns0:c>
      <ns0:c r="T26" t="n">
        <ns0:f>IF(H26="",0,LEN(H26)-LEN(SUBSTITUTE(H26,",",""))+1)</ns0:f>
        <ns0:v>3</ns0:v>
      </ns0:c>
      <ns0:c r="U26" t="str">
        <ns0:f>TRIM(MID(SUBSTITUTE($H26,",",REPT(" ",100)),1,100))</ns0:f>
        <ns0:v>T10</ns0:v>
      </ns0:c>
      <ns0:c r="V26" t="str">
        <ns0:f>TRIM(MID(SUBSTITUTE($H26,",",REPT(" ",100)),101,100))</ns0:f>
        <ns0:v>T14</ns0:v>
      </ns0:c>
      <ns0:c r="W26" t="str">
        <ns0:f>TRIM(MID(SUBSTITUTE($H26,",",REPT(" ",100)),201,100))</ns0:f>
        <ns0:v>T15</ns0:v>
      </ns0:c>
      <ns0:c r="X26" t="str">
        <ns0:f>TRIM(MID(SUBSTITUTE($H26,",",REPT(" ",100)),301,100))</ns0:f>
      </ns0:c>
      <ns0:c r="Y26" t="str">
        <ns0:f>TRIM(MID(SUBSTITUTE($H26,",",REPT(" ",100)),401,100))</ns0:f>
      </ns0:c>
      <ns0:c r="Z26" t="str">
        <ns0:f>TRIM(MID(SUBSTITUTE($H26,",",REPT(" ",100)),501,100))</ns0:f>
      </ns0:c>
      <ns0:c r="AA26" t="str">
        <ns0:f>TRIM(MID(SUBSTITUTE($H26,",",REPT(" ",100)),601,100))</ns0:f>
      </ns0:c>
      <ns0:c r="AB26" t="str">
        <ns0:f>TRIM(MID(SUBSTITUTE($H26,",",REPT(" ",100)),701,100))</ns0:f>
      </ns0:c>
      <ns0:c r="AC26" t="n">
        <ns0:f>IF(U26="",0,IF(COUNTIFS(Tasks[Task ID],U26)=1,MATCH(U26,Tasks[Task ID],0),-1))</ns0:f>
        <ns0:v>11</ns0:v>
      </ns0:c>
      <ns0:c r="AD26" t="n">
        <ns0:f>IF(V26="",0,IF(COUNTIFS(Tasks[Task ID],V26)=1,MATCH(V26,Tasks[Task ID],0),-1))</ns0:f>
        <ns0:v>16</ns0:v>
      </ns0:c>
      <ns0:c r="AE26" t="n">
        <ns0:f>IF(W26="",0,IF(COUNTIFS(Tasks[Task ID],W26)=1,MATCH(W26,Tasks[Task ID],0),-1))</ns0:f>
        <ns0:v>18</ns0:v>
      </ns0:c>
      <ns0:c r="AF26" t="n">
        <ns0:f>IF(X26="",0,IF(COUNTIFS(Tasks[Task ID],X26)=1,MATCH(X26,Tasks[Task ID],0),-1))</ns0:f>
        <ns0:v>0</ns0:v>
      </ns0:c>
      <ns0:c r="AG26" t="n">
        <ns0:f>IF(Y26="",0,IF(COUNTIFS(Tasks[Task ID],Y26)=1,MATCH(Y26,Tasks[Task ID],0),-1))</ns0:f>
        <ns0:v>0</ns0:v>
      </ns0:c>
      <ns0:c r="AH26" t="n">
        <ns0:f>IF(Z26="",0,IF(COUNTIFS(Tasks[Task ID],Z26)=1,MATCH(Z26,Tasks[Task ID],0),-1))</ns0:f>
        <ns0:v>0</ns0:v>
      </ns0:c>
      <ns0:c r="AI26" t="n">
        <ns0:f>IF(AA26="",0,IF(COUNTIFS(Tasks[Task ID],AA26)=1,MATCH(AA26,Tasks[Task ID],0),-1))</ns0:f>
        <ns0:v>0</ns0:v>
      </ns0:c>
      <ns0:c r="AJ26" t="n">
        <ns0:f>IF(AB26="",0,IF(COUNTIFS(Tasks[Task ID],AB26)=1,MATCH(AB26,Tasks[Task ID],0),-1))</ns0:f>
        <ns0:v>0</ns0:v>
      </ns0:c>
      <ns0:c r="AK26" t="n">
        <ns0:f>COUNTIFS(AC26:AJ26,-1)+IF(T26&gt;8,1,0)</ns0:f>
        <ns0:v>0</ns0:v>
      </ns0:c>
      <ns0:c r="AL26" t="n">
        <ns0:f>IF(OR(A26="",S26&lt;&gt;""),0,SUM(IF(AC26&gt;0,IF($I26="FS",--($E26&lt;INDEX(Tasks[End Date],AC26)+IF(INDEX(Tasks[Milestone],AC26)="Yes",0,1)),IF($I26="SS",--($E26&lt;INDEX(Tasks[Start Date],AC26)),IF($I26="FF",--($F26&lt;INDEX(Tasks[End Date],AC26)),IF($I26="SF",--($F26&lt;INDEX(Tasks[Start Date],AC26)),0)))),0),IF(AD26&gt;0,IF($I26="FS",--($E26&lt;INDEX(Tasks[End Date],AD26)+IF(INDEX(Tasks[Milestone],AD26)="Yes",0,1)),IF($I26="SS",--($E26&lt;INDEX(Tasks[Start Date],AD26)),IF($I26="FF",--($F26&lt;INDEX(Tasks[End Date],AD26)),IF($I26="SF",--($F26&lt;INDEX(Tasks[Start Date],AD26)),0)))),0),IF(AE26&gt;0,IF($I26="FS",--($E26&lt;INDEX(Tasks[End Date],AE26)+IF(INDEX(Tasks[Milestone],AE26)="Yes",0,1)),IF($I26="SS",--($E26&lt;INDEX(Tasks[Start Date],AE26)),IF($I26="FF",--($F26&lt;INDEX(Tasks[End Date],AE26)),IF($I26="SF",--($F26&lt;INDEX(Tasks[Start Date],AE26)),0)))),0),IF(AF26&gt;0,IF($I26="FS",--($E26&lt;INDEX(Tasks[End Date],AF26)+IF(INDEX(Tasks[Milestone],AF26)="Yes",0,1)),IF($I26="SS",--($E26&lt;INDEX(Tasks[Start Date],AF26)),IF($I26="FF",--($F26&lt;INDEX(Tasks[End Date],AF26)),IF($I26="SF",--($F26&lt;INDEX(Tasks[Start Date],AF26)),0)))),0),IF(AG26&gt;0,IF($I26="FS",--($E26&lt;INDEX(Tasks[End Date],AG26)+IF(INDEX(Tasks[Milestone],AG26)="Yes",0,1)),IF($I26="SS",--($E26&lt;INDEX(Tasks[Start Date],AG26)),IF($I26="FF",--($F26&lt;INDEX(Tasks[End Date],AG26)),IF($I26="SF",--($F26&lt;INDEX(Tasks[Start Date],AG26)),0)))),0),IF(AH26&gt;0,IF($I26="FS",--($E26&lt;INDEX(Tasks[End Date],AH26)+IF(INDEX(Tasks[Milestone],AH26)="Yes",0,1)),IF($I26="SS",--($E26&lt;INDEX(Tasks[Start Date],AH26)),IF($I26="FF",--($F26&lt;INDEX(Tasks[End Date],AH26)),IF($I26="SF",--($F26&lt;INDEX(Tasks[Start Date],AH26)),0)))),0),IF(AI26&gt;0,IF($I26="FS",--($E26&lt;INDEX(Tasks[End Date],AI26)+IF(INDEX(Tasks[Milestone],AI26)="Yes",0,1)),IF($I26="SS",--($E26&lt;INDEX(Tasks[Start Date],AI26)),IF($I26="FF",--($F26&lt;INDEX(Tasks[End Date],AI26)),IF($I26="SF",--($F26&lt;INDEX(Tasks[Start Date],AI26)),0)))),0),IF(AJ26&gt;0,IF($I26="FS",--($E26&lt;INDEX(Tasks[End Date],AJ26)+IF(INDEX(Tasks[Milestone],AJ26)="Yes",0,1)),IF($I26="SS",--($E26&lt;INDEX(Tasks[Start Date],AJ26)),IF($I26="FF",--($F26&lt;INDEX(Tasks[End Date],AJ26)),IF($I26="SF",--($F26&lt;INDEX(Tasks[Start Date],AJ26)),0)))),0)))</ns0:f>
        <ns0:v>0</ns0:v>
      </ns0:c>
      <ns0:c r="AM26" t="n">
        <ns0:f>IF(AND(A26&lt;&gt;"",AK26=0,EP26=0),1,0)</ns0:f>
        <ns0:v>0</ns0:v>
      </ns0:c>
      <ns0:c r="AN26" t="str">
        <ns0:f>IF(OR(A26="",B26=""),"",IF(COUNTIFS($B$7:B26,B26)=1,MAX($AN$6:AN25)+1,""))</ns0:f>
      </ns0:c>
      <ns0:c r="AO26" t="n">
        <ns0:f>IF(AND(A26&lt;&gt;"",J26="No",N26&lt;1,E26&gt;=AsOfDate),E26+ROW()/10000,1E+9)</ns0:f>
        <ns0:v>46285.0026</ns0:v>
      </ns0:c>
      <ns0:c r="AP26" t="n">
        <ns0:f>IF(AND(A26&lt;&gt;"",J26="Yes",N26&lt;1,E26&gt;=AsOfDate),E26+ROW()/10000,1E+9)</ns0:f>
        <ns0:v>1000000000</ns0:v>
      </ns0:c>
      <ns0:c r="AQ26" t="n">
        <ns0:f>IF(AND(A26&lt;&gt;"",J26="No",N26&lt;1,F26&gt;=AsOfDate,F26&lt;=AsOfDate+7),F26+ROW()/10000,1E+9)</ns0:f>
        <ns0:v>1000000000</ns0:v>
      </ns0:c>
      <ns0:c r="AR26" t="n">
        <ns0:f>IF(AND(A26&lt;&gt;"",OR(O26&lt;&gt;"On track",Q26="Delayed")),ROW(),1E+9)</ns0:f>
        <ns0:v>1000000000</ns0:v>
      </ns0:c>
      <ns0:c r="AS26" t="str">
        <ns0:f>IF(A26="","",";"&amp;K26&amp;";")</ns0:f>
        <ns0:v>;Specialist Sub-Agents (L4_SUBS);Customer Voice Engine (W_VOICE);</ns0:v>
      </ns0:c>
      <ns0:c r="AT26" t="n">
        <ns0:f>IF(A26="",1,--(T26=0))</ns0:f>
        <ns0:v>0</ns0:v>
      </ns0:c>
      <ns0:c r="AU26" t="n">
        <ns0:f>IF($A26="",1,IF(AT26=1,1,--AND(IF($AC26&gt;0,INDEX(AT$7:AT$106,$AC26),1),IF($AD26&gt;0,INDEX(AT$7:AT$106,$AD26),1),IF($AE26&gt;0,INDEX(AT$7:AT$106,$AE26),1),IF($AF26&gt;0,INDEX(AT$7:AT$106,$AF26),1),IF($AG26&gt;0,INDEX(AT$7:AT$106,$AG26),1),IF($AH26&gt;0,INDEX(AT$7:AT$106,$AH26),1),IF($AI26&gt;0,INDEX(AT$7:AT$106,$AI26),1),IF($AJ26&gt;0,INDEX(AT$7:AT$106,$AJ26),1))))</ns0:f>
        <ns0:v>0</ns0:v>
      </ns0:c>
      <ns0:c r="AV26" t="n">
        <ns0:f>IF($A26="",1,IF(AU26=1,1,--AND(IF($AC26&gt;0,INDEX(AU$7:AU$106,$AC26),1),IF($AD26&gt;0,INDEX(AU$7:AU$106,$AD26),1),IF($AE26&gt;0,INDEX(AU$7:AU$106,$AE26),1),IF($AF26&gt;0,INDEX(AU$7:AU$106,$AF26),1),IF($AG26&gt;0,INDEX(AU$7:AU$106,$AG26),1),IF($AH26&gt;0,INDEX(AU$7:AU$106,$AH26),1),IF($AI26&gt;0,INDEX(AU$7:AU$106,$AI26),1),IF($AJ26&gt;0,INDEX(AU$7:AU$106,$AJ26),1))))</ns0:f>
        <ns0:v>0</ns0:v>
      </ns0:c>
      <ns0:c r="AW26" t="n">
        <ns0:f>IF($A26="",1,IF(AV26=1,1,--AND(IF($AC26&gt;0,INDEX(AV$7:AV$106,$AC26),1),IF($AD26&gt;0,INDEX(AV$7:AV$106,$AD26),1),IF($AE26&gt;0,INDEX(AV$7:AV$106,$AE26),1),IF($AF26&gt;0,INDEX(AV$7:AV$106,$AF26),1),IF($AG26&gt;0,INDEX(AV$7:AV$106,$AG26),1),IF($AH26&gt;0,INDEX(AV$7:AV$106,$AH26),1),IF($AI26&gt;0,INDEX(AV$7:AV$106,$AI26),1),IF($AJ26&gt;0,INDEX(AV$7:AV$106,$AJ26),1))))</ns0:f>
        <ns0:v>0</ns0:v>
      </ns0:c>
      <ns0:c r="AX26" t="n">
        <ns0:f>IF($A26="",1,IF(AW26=1,1,--AND(IF($AC26&gt;0,INDEX(AW$7:AW$106,$AC26),1),IF($AD26&gt;0,INDEX(AW$7:AW$106,$AD26),1),IF($AE26&gt;0,INDEX(AW$7:AW$106,$AE26),1),IF($AF26&gt;0,INDEX(AW$7:AW$106,$AF26),1),IF($AG26&gt;0,INDEX(AW$7:AW$106,$AG26),1),IF($AH26&gt;0,INDEX(AW$7:AW$106,$AH26),1),IF($AI26&gt;0,INDEX(AW$7:AW$106,$AI26),1),IF($AJ26&gt;0,INDEX(AW$7:AW$106,$AJ26),1))))</ns0:f>
        <ns0:v>0</ns0:v>
      </ns0:c>
      <ns0:c r="AY26" t="n">
        <ns0:f>IF($A26="",1,IF(AX26=1,1,--AND(IF($AC26&gt;0,INDEX(AX$7:AX$106,$AC26),1),IF($AD26&gt;0,INDEX(AX$7:AX$106,$AD26),1),IF($AE26&gt;0,INDEX(AX$7:AX$106,$AE26),1),IF($AF26&gt;0,INDEX(AX$7:AX$106,$AF26),1),IF($AG26&gt;0,INDEX(AX$7:AX$106,$AG26),1),IF($AH26&gt;0,INDEX(AX$7:AX$106,$AH26),1),IF($AI26&gt;0,INDEX(AX$7:AX$106,$AI26),1),IF($AJ26&gt;0,INDEX(AX$7:AX$106,$AJ26),1))))</ns0:f>
        <ns0:v>0</ns0:v>
      </ns0:c>
      <ns0:c r="AZ26" t="n">
        <ns0:f>IF($A26="",1,IF(AY26=1,1,--AND(IF($AC26&gt;0,INDEX(AY$7:AY$106,$AC26),1),IF($AD26&gt;0,INDEX(AY$7:AY$106,$AD26),1),IF($AE26&gt;0,INDEX(AY$7:AY$106,$AE26),1),IF($AF26&gt;0,INDEX(AY$7:AY$106,$AF26),1),IF($AG26&gt;0,INDEX(AY$7:AY$106,$AG26),1),IF($AH26&gt;0,INDEX(AY$7:AY$106,$AH26),1),IF($AI26&gt;0,INDEX(AY$7:AY$106,$AI26),1),IF($AJ26&gt;0,INDEX(AY$7:AY$106,$AJ26),1))))</ns0:f>
        <ns0:v>1</ns0:v>
      </ns0:c>
      <ns0:c r="BA26" t="n">
        <ns0:f>IF($A26="",1,IF(AZ26=1,1,--AND(IF($AC26&gt;0,INDEX(AZ$7:AZ$106,$AC26),1),IF($AD26&gt;0,INDEX(AZ$7:AZ$106,$AD26),1),IF($AE26&gt;0,INDEX(AZ$7:AZ$106,$AE26),1),IF($AF26&gt;0,INDEX(AZ$7:AZ$106,$AF26),1),IF($AG26&gt;0,INDEX(AZ$7:AZ$106,$AG26),1),IF($AH26&gt;0,INDEX(AZ$7:AZ$106,$AH26),1),IF($AI26&gt;0,INDEX(AZ$7:AZ$106,$AI26),1),IF($AJ26&gt;0,INDEX(AZ$7:AZ$106,$AJ26),1))))</ns0:f>
        <ns0:v>1</ns0:v>
      </ns0:c>
      <ns0:c r="BB26" t="n">
        <ns0:f>IF($A26="",1,IF(BA26=1,1,--AND(IF($AC26&gt;0,INDEX(BA$7:BA$106,$AC26),1),IF($AD26&gt;0,INDEX(BA$7:BA$106,$AD26),1),IF($AE26&gt;0,INDEX(BA$7:BA$106,$AE26),1),IF($AF26&gt;0,INDEX(BA$7:BA$106,$AF26),1),IF($AG26&gt;0,INDEX(BA$7:BA$106,$AG26),1),IF($AH26&gt;0,INDEX(BA$7:BA$106,$AH26),1),IF($AI26&gt;0,INDEX(BA$7:BA$106,$AI26),1),IF($AJ26&gt;0,INDEX(BA$7:BA$106,$AJ26),1))))</ns0:f>
        <ns0:v>1</ns0:v>
      </ns0:c>
      <ns0:c r="BC26" t="n">
        <ns0:f>IF($A26="",1,IF(BB26=1,1,--AND(IF($AC26&gt;0,INDEX(BB$7:BB$106,$AC26),1),IF($AD26&gt;0,INDEX(BB$7:BB$106,$AD26),1),IF($AE26&gt;0,INDEX(BB$7:BB$106,$AE26),1),IF($AF26&gt;0,INDEX(BB$7:BB$106,$AF26),1),IF($AG26&gt;0,INDEX(BB$7:BB$106,$AG26),1),IF($AH26&gt;0,INDEX(BB$7:BB$106,$AH26),1),IF($AI26&gt;0,INDEX(BB$7:BB$106,$AI26),1),IF($AJ26&gt;0,INDEX(BB$7:BB$106,$AJ26),1))))</ns0:f>
        <ns0:v>1</ns0:v>
      </ns0:c>
      <ns0:c r="BD26" t="n">
        <ns0:f>IF($A26="",1,IF(BC26=1,1,--AND(IF($AC26&gt;0,INDEX(BC$7:BC$106,$AC26),1),IF($AD26&gt;0,INDEX(BC$7:BC$106,$AD26),1),IF($AE26&gt;0,INDEX(BC$7:BC$106,$AE26),1),IF($AF26&gt;0,INDEX(BC$7:BC$106,$AF26),1),IF($AG26&gt;0,INDEX(BC$7:BC$106,$AG26),1),IF($AH26&gt;0,INDEX(BC$7:BC$106,$AH26),1),IF($AI26&gt;0,INDEX(BC$7:BC$106,$AI26),1),IF($AJ26&gt;0,INDEX(BC$7:BC$106,$AJ26),1))))</ns0:f>
        <ns0:v>1</ns0:v>
      </ns0:c>
      <ns0:c r="BE26" t="n">
        <ns0:f>IF($A26="",1,IF(BD26=1,1,--AND(IF($AC26&gt;0,INDEX(BD$7:BD$106,$AC26),1),IF($AD26&gt;0,INDEX(BD$7:BD$106,$AD26),1),IF($AE26&gt;0,INDEX(BD$7:BD$106,$AE26),1),IF($AF26&gt;0,INDEX(BD$7:BD$106,$AF26),1),IF($AG26&gt;0,INDEX(BD$7:BD$106,$AG26),1),IF($AH26&gt;0,INDEX(BD$7:BD$106,$AH26),1),IF($AI26&gt;0,INDEX(BD$7:BD$106,$AI26),1),IF($AJ26&gt;0,INDEX(BD$7:BD$106,$AJ26),1))))</ns0:f>
        <ns0:v>1</ns0:v>
      </ns0:c>
      <ns0:c r="BF26" t="n">
        <ns0:f>IF($A26="",1,IF(BE26=1,1,--AND(IF($AC26&gt;0,INDEX(BE$7:BE$106,$AC26),1),IF($AD26&gt;0,INDEX(BE$7:BE$106,$AD26),1),IF($AE26&gt;0,INDEX(BE$7:BE$106,$AE26),1),IF($AF26&gt;0,INDEX(BE$7:BE$106,$AF26),1),IF($AG26&gt;0,INDEX(BE$7:BE$106,$AG26),1),IF($AH26&gt;0,INDEX(BE$7:BE$106,$AH26),1),IF($AI26&gt;0,INDEX(BE$7:BE$106,$AI26),1),IF($AJ26&gt;0,INDEX(BE$7:BE$106,$AJ26),1))))</ns0:f>
        <ns0:v>1</ns0:v>
      </ns0:c>
      <ns0:c r="BG26" t="n">
        <ns0:f>IF($A26="",1,IF(BF26=1,1,--AND(IF($AC26&gt;0,INDEX(BF$7:BF$106,$AC26),1),IF($AD26&gt;0,INDEX(BF$7:BF$106,$AD26),1),IF($AE26&gt;0,INDEX(BF$7:BF$106,$AE26),1),IF($AF26&gt;0,INDEX(BF$7:BF$106,$AF26),1),IF($AG26&gt;0,INDEX(BF$7:BF$106,$AG26),1),IF($AH26&gt;0,INDEX(BF$7:BF$106,$AH26),1),IF($AI26&gt;0,INDEX(BF$7:BF$106,$AI26),1),IF($AJ26&gt;0,INDEX(BF$7:BF$106,$AJ26),1))))</ns0:f>
        <ns0:v>1</ns0:v>
      </ns0:c>
      <ns0:c r="BH26" t="n">
        <ns0:f>IF($A26="",1,IF(BG26=1,1,--AND(IF($AC26&gt;0,INDEX(BG$7:BG$106,$AC26),1),IF($AD26&gt;0,INDEX(BG$7:BG$106,$AD26),1),IF($AE26&gt;0,INDEX(BG$7:BG$106,$AE26),1),IF($AF26&gt;0,INDEX(BG$7:BG$106,$AF26),1),IF($AG26&gt;0,INDEX(BG$7:BG$106,$AG26),1),IF($AH26&gt;0,INDEX(BG$7:BG$106,$AH26),1),IF($AI26&gt;0,INDEX(BG$7:BG$106,$AI26),1),IF($AJ26&gt;0,INDEX(BG$7:BG$106,$AJ26),1))))</ns0:f>
        <ns0:v>1</ns0:v>
      </ns0:c>
      <ns0:c r="BI26" t="n">
        <ns0:f>IF($A26="",1,IF(BH26=1,1,--AND(IF($AC26&gt;0,INDEX(BH$7:BH$106,$AC26),1),IF($AD26&gt;0,INDEX(BH$7:BH$106,$AD26),1),IF($AE26&gt;0,INDEX(BH$7:BH$106,$AE26),1),IF($AF26&gt;0,INDEX(BH$7:BH$106,$AF26),1),IF($AG26&gt;0,INDEX(BH$7:BH$106,$AG26),1),IF($AH26&gt;0,INDEX(BH$7:BH$106,$AH26),1),IF($AI26&gt;0,INDEX(BH$7:BH$106,$AI26),1),IF($AJ26&gt;0,INDEX(BH$7:BH$106,$AJ26),1))))</ns0:f>
        <ns0:v>1</ns0:v>
      </ns0:c>
      <ns0:c r="BJ26" t="n">
        <ns0:f>IF($A26="",1,IF(BI26=1,1,--AND(IF($AC26&gt;0,INDEX(BI$7:BI$106,$AC26),1),IF($AD26&gt;0,INDEX(BI$7:BI$106,$AD26),1),IF($AE26&gt;0,INDEX(BI$7:BI$106,$AE26),1),IF($AF26&gt;0,INDEX(BI$7:BI$106,$AF26),1),IF($AG26&gt;0,INDEX(BI$7:BI$106,$AG26),1),IF($AH26&gt;0,INDEX(BI$7:BI$106,$AH26),1),IF($AI26&gt;0,INDEX(BI$7:BI$106,$AI26),1),IF($AJ26&gt;0,INDEX(BI$7:BI$106,$AJ26),1))))</ns0:f>
        <ns0:v>1</ns0:v>
      </ns0:c>
      <ns0:c r="BK26" t="n">
        <ns0:f>IF($A26="",1,IF(BJ26=1,1,--AND(IF($AC26&gt;0,INDEX(BJ$7:BJ$106,$AC26),1),IF($AD26&gt;0,INDEX(BJ$7:BJ$106,$AD26),1),IF($AE26&gt;0,INDEX(BJ$7:BJ$106,$AE26),1),IF($AF26&gt;0,INDEX(BJ$7:BJ$106,$AF26),1),IF($AG26&gt;0,INDEX(BJ$7:BJ$106,$AG26),1),IF($AH26&gt;0,INDEX(BJ$7:BJ$106,$AH26),1),IF($AI26&gt;0,INDEX(BJ$7:BJ$106,$AI26),1),IF($AJ26&gt;0,INDEX(BJ$7:BJ$106,$AJ26),1))))</ns0:f>
        <ns0:v>1</ns0:v>
      </ns0:c>
      <ns0:c r="BL26" t="n">
        <ns0:f>IF($A26="",1,IF(BK26=1,1,--AND(IF($AC26&gt;0,INDEX(BK$7:BK$106,$AC26),1),IF($AD26&gt;0,INDEX(BK$7:BK$106,$AD26),1),IF($AE26&gt;0,INDEX(BK$7:BK$106,$AE26),1),IF($AF26&gt;0,INDEX(BK$7:BK$106,$AF26),1),IF($AG26&gt;0,INDEX(BK$7:BK$106,$AG26),1),IF($AH26&gt;0,INDEX(BK$7:BK$106,$AH26),1),IF($AI26&gt;0,INDEX(BK$7:BK$106,$AI26),1),IF($AJ26&gt;0,INDEX(BK$7:BK$106,$AJ26),1))))</ns0:f>
        <ns0:v>1</ns0:v>
      </ns0:c>
      <ns0:c r="BM26" t="n">
        <ns0:f>IF($A26="",1,IF(BL26=1,1,--AND(IF($AC26&gt;0,INDEX(BL$7:BL$106,$AC26),1),IF($AD26&gt;0,INDEX(BL$7:BL$106,$AD26),1),IF($AE26&gt;0,INDEX(BL$7:BL$106,$AE26),1),IF($AF26&gt;0,INDEX(BL$7:BL$106,$AF26),1),IF($AG26&gt;0,INDEX(BL$7:BL$106,$AG26),1),IF($AH26&gt;0,INDEX(BL$7:BL$106,$AH26),1),IF($AI26&gt;0,INDEX(BL$7:BL$106,$AI26),1),IF($AJ26&gt;0,INDEX(BL$7:BL$106,$AJ26),1))))</ns0:f>
        <ns0:v>1</ns0:v>
      </ns0:c>
      <ns0:c r="BN26" t="n">
        <ns0:f>IF($A26="",1,IF(BM26=1,1,--AND(IF($AC26&gt;0,INDEX(BM$7:BM$106,$AC26),1),IF($AD26&gt;0,INDEX(BM$7:BM$106,$AD26),1),IF($AE26&gt;0,INDEX(BM$7:BM$106,$AE26),1),IF($AF26&gt;0,INDEX(BM$7:BM$106,$AF26),1),IF($AG26&gt;0,INDEX(BM$7:BM$106,$AG26),1),IF($AH26&gt;0,INDEX(BM$7:BM$106,$AH26),1),IF($AI26&gt;0,INDEX(BM$7:BM$106,$AI26),1),IF($AJ26&gt;0,INDEX(BM$7:BM$106,$AJ26),1))))</ns0:f>
        <ns0:v>1</ns0:v>
      </ns0:c>
      <ns0:c r="BO26" t="n">
        <ns0:f>IF($A26="",1,IF(BN26=1,1,--AND(IF($AC26&gt;0,INDEX(BN$7:BN$106,$AC26),1),IF($AD26&gt;0,INDEX(BN$7:BN$106,$AD26),1),IF($AE26&gt;0,INDEX(BN$7:BN$106,$AE26),1),IF($AF26&gt;0,INDEX(BN$7:BN$106,$AF26),1),IF($AG26&gt;0,INDEX(BN$7:BN$106,$AG26),1),IF($AH26&gt;0,INDEX(BN$7:BN$106,$AH26),1),IF($AI26&gt;0,INDEX(BN$7:BN$106,$AI26),1),IF($AJ26&gt;0,INDEX(BN$7:BN$106,$AJ26),1))))</ns0:f>
        <ns0:v>1</ns0:v>
      </ns0:c>
      <ns0:c r="BP26" t="n">
        <ns0:f>IF($A26="",1,IF(BO26=1,1,--AND(IF($AC26&gt;0,INDEX(BO$7:BO$106,$AC26),1),IF($AD26&gt;0,INDEX(BO$7:BO$106,$AD26),1),IF($AE26&gt;0,INDEX(BO$7:BO$106,$AE26),1),IF($AF26&gt;0,INDEX(BO$7:BO$106,$AF26),1),IF($AG26&gt;0,INDEX(BO$7:BO$106,$AG26),1),IF($AH26&gt;0,INDEX(BO$7:BO$106,$AH26),1),IF($AI26&gt;0,INDEX(BO$7:BO$106,$AI26),1),IF($AJ26&gt;0,INDEX(BO$7:BO$106,$AJ26),1))))</ns0:f>
        <ns0:v>1</ns0:v>
      </ns0:c>
      <ns0:c r="BQ26" t="n">
        <ns0:f>IF($A26="",1,IF(BP26=1,1,--AND(IF($AC26&gt;0,INDEX(BP$7:BP$106,$AC26),1),IF($AD26&gt;0,INDEX(BP$7:BP$106,$AD26),1),IF($AE26&gt;0,INDEX(BP$7:BP$106,$AE26),1),IF($AF26&gt;0,INDEX(BP$7:BP$106,$AF26),1),IF($AG26&gt;0,INDEX(BP$7:BP$106,$AG26),1),IF($AH26&gt;0,INDEX(BP$7:BP$106,$AH26),1),IF($AI26&gt;0,INDEX(BP$7:BP$106,$AI26),1),IF($AJ26&gt;0,INDEX(BP$7:BP$106,$AJ26),1))))</ns0:f>
        <ns0:v>1</ns0:v>
      </ns0:c>
      <ns0:c r="BR26" t="n">
        <ns0:f>IF($A26="",1,IF(BQ26=1,1,--AND(IF($AC26&gt;0,INDEX(BQ$7:BQ$106,$AC26),1),IF($AD26&gt;0,INDEX(BQ$7:BQ$106,$AD26),1),IF($AE26&gt;0,INDEX(BQ$7:BQ$106,$AE26),1),IF($AF26&gt;0,INDEX(BQ$7:BQ$106,$AF26),1),IF($AG26&gt;0,INDEX(BQ$7:BQ$106,$AG26),1),IF($AH26&gt;0,INDEX(BQ$7:BQ$106,$AH26),1),IF($AI26&gt;0,INDEX(BQ$7:BQ$106,$AI26),1),IF($AJ26&gt;0,INDEX(BQ$7:BQ$106,$AJ26),1))))</ns0:f>
        <ns0:v>1</ns0:v>
      </ns0:c>
      <ns0:c r="BS26" t="n">
        <ns0:f>IF($A26="",1,IF(BR26=1,1,--AND(IF($AC26&gt;0,INDEX(BR$7:BR$106,$AC26),1),IF($AD26&gt;0,INDEX(BR$7:BR$106,$AD26),1),IF($AE26&gt;0,INDEX(BR$7:BR$106,$AE26),1),IF($AF26&gt;0,INDEX(BR$7:BR$106,$AF26),1),IF($AG26&gt;0,INDEX(BR$7:BR$106,$AG26),1),IF($AH26&gt;0,INDEX(BR$7:BR$106,$AH26),1),IF($AI26&gt;0,INDEX(BR$7:BR$106,$AI26),1),IF($AJ26&gt;0,INDEX(BR$7:BR$106,$AJ26),1))))</ns0:f>
        <ns0:v>1</ns0:v>
      </ns0:c>
      <ns0:c r="BT26" t="n">
        <ns0:f>IF($A26="",1,IF(BS26=1,1,--AND(IF($AC26&gt;0,INDEX(BS$7:BS$106,$AC26),1),IF($AD26&gt;0,INDEX(BS$7:BS$106,$AD26),1),IF($AE26&gt;0,INDEX(BS$7:BS$106,$AE26),1),IF($AF26&gt;0,INDEX(BS$7:BS$106,$AF26),1),IF($AG26&gt;0,INDEX(BS$7:BS$106,$AG26),1),IF($AH26&gt;0,INDEX(BS$7:BS$106,$AH26),1),IF($AI26&gt;0,INDEX(BS$7:BS$106,$AI26),1),IF($AJ26&gt;0,INDEX(BS$7:BS$106,$AJ26),1))))</ns0:f>
        <ns0:v>1</ns0:v>
      </ns0:c>
      <ns0:c r="BU26" t="n">
        <ns0:f>IF($A26="",1,IF(BT26=1,1,--AND(IF($AC26&gt;0,INDEX(BT$7:BT$106,$AC26),1),IF($AD26&gt;0,INDEX(BT$7:BT$106,$AD26),1),IF($AE26&gt;0,INDEX(BT$7:BT$106,$AE26),1),IF($AF26&gt;0,INDEX(BT$7:BT$106,$AF26),1),IF($AG26&gt;0,INDEX(BT$7:BT$106,$AG26),1),IF($AH26&gt;0,INDEX(BT$7:BT$106,$AH26),1),IF($AI26&gt;0,INDEX(BT$7:BT$106,$AI26),1),IF($AJ26&gt;0,INDEX(BT$7:BT$106,$AJ26),1))))</ns0:f>
        <ns0:v>1</ns0:v>
      </ns0:c>
      <ns0:c r="BV26" t="n">
        <ns0:f>IF($A26="",1,IF(BU26=1,1,--AND(IF($AC26&gt;0,INDEX(BU$7:BU$106,$AC26),1),IF($AD26&gt;0,INDEX(BU$7:BU$106,$AD26),1),IF($AE26&gt;0,INDEX(BU$7:BU$106,$AE26),1),IF($AF26&gt;0,INDEX(BU$7:BU$106,$AF26),1),IF($AG26&gt;0,INDEX(BU$7:BU$106,$AG26),1),IF($AH26&gt;0,INDEX(BU$7:BU$106,$AH26),1),IF($AI26&gt;0,INDEX(BU$7:BU$106,$AI26),1),IF($AJ26&gt;0,INDEX(BU$7:BU$106,$AJ26),1))))</ns0:f>
        <ns0:v>1</ns0:v>
      </ns0:c>
      <ns0:c r="BW26" t="n">
        <ns0:f>IF($A26="",1,IF(BV26=1,1,--AND(IF($AC26&gt;0,INDEX(BV$7:BV$106,$AC26),1),IF($AD26&gt;0,INDEX(BV$7:BV$106,$AD26),1),IF($AE26&gt;0,INDEX(BV$7:BV$106,$AE26),1),IF($AF26&gt;0,INDEX(BV$7:BV$106,$AF26),1),IF($AG26&gt;0,INDEX(BV$7:BV$106,$AG26),1),IF($AH26&gt;0,INDEX(BV$7:BV$106,$AH26),1),IF($AI26&gt;0,INDEX(BV$7:BV$106,$AI26),1),IF($AJ26&gt;0,INDEX(BV$7:BV$106,$AJ26),1))))</ns0:f>
        <ns0:v>1</ns0:v>
      </ns0:c>
      <ns0:c r="BX26" t="n">
        <ns0:f>IF($A26="",1,IF(BW26=1,1,--AND(IF($AC26&gt;0,INDEX(BW$7:BW$106,$AC26),1),IF($AD26&gt;0,INDEX(BW$7:BW$106,$AD26),1),IF($AE26&gt;0,INDEX(BW$7:BW$106,$AE26),1),IF($AF26&gt;0,INDEX(BW$7:BW$106,$AF26),1),IF($AG26&gt;0,INDEX(BW$7:BW$106,$AG26),1),IF($AH26&gt;0,INDEX(BW$7:BW$106,$AH26),1),IF($AI26&gt;0,INDEX(BW$7:BW$106,$AI26),1),IF($AJ26&gt;0,INDEX(BW$7:BW$106,$AJ26),1))))</ns0:f>
        <ns0:v>1</ns0:v>
      </ns0:c>
      <ns0:c r="BY26" t="n">
        <ns0:f>IF($A26="",1,IF(BX26=1,1,--AND(IF($AC26&gt;0,INDEX(BX$7:BX$106,$AC26),1),IF($AD26&gt;0,INDEX(BX$7:BX$106,$AD26),1),IF($AE26&gt;0,INDEX(BX$7:BX$106,$AE26),1),IF($AF26&gt;0,INDEX(BX$7:BX$106,$AF26),1),IF($AG26&gt;0,INDEX(BX$7:BX$106,$AG26),1),IF($AH26&gt;0,INDEX(BX$7:BX$106,$AH26),1),IF($AI26&gt;0,INDEX(BX$7:BX$106,$AI26),1),IF($AJ26&gt;0,INDEX(BX$7:BX$106,$AJ26),1))))</ns0:f>
        <ns0:v>1</ns0:v>
      </ns0:c>
      <ns0:c r="BZ26" t="n">
        <ns0:f>IF($A26="",1,IF(BY26=1,1,--AND(IF($AC26&gt;0,INDEX(BY$7:BY$106,$AC26),1),IF($AD26&gt;0,INDEX(BY$7:BY$106,$AD26),1),IF($AE26&gt;0,INDEX(BY$7:BY$106,$AE26),1),IF($AF26&gt;0,INDEX(BY$7:BY$106,$AF26),1),IF($AG26&gt;0,INDEX(BY$7:BY$106,$AG26),1),IF($AH26&gt;0,INDEX(BY$7:BY$106,$AH26),1),IF($AI26&gt;0,INDEX(BY$7:BY$106,$AI26),1),IF($AJ26&gt;0,INDEX(BY$7:BY$106,$AJ26),1))))</ns0:f>
        <ns0:v>1</ns0:v>
      </ns0:c>
      <ns0:c r="CA26" t="n">
        <ns0:f>IF($A26="",1,IF(BZ26=1,1,--AND(IF($AC26&gt;0,INDEX(BZ$7:BZ$106,$AC26),1),IF($AD26&gt;0,INDEX(BZ$7:BZ$106,$AD26),1),IF($AE26&gt;0,INDEX(BZ$7:BZ$106,$AE26),1),IF($AF26&gt;0,INDEX(BZ$7:BZ$106,$AF26),1),IF($AG26&gt;0,INDEX(BZ$7:BZ$106,$AG26),1),IF($AH26&gt;0,INDEX(BZ$7:BZ$106,$AH26),1),IF($AI26&gt;0,INDEX(BZ$7:BZ$106,$AI26),1),IF($AJ26&gt;0,INDEX(BZ$7:BZ$106,$AJ26),1))))</ns0:f>
        <ns0:v>1</ns0:v>
      </ns0:c>
      <ns0:c r="CB26" t="n">
        <ns0:f>IF($A26="",1,IF(CA26=1,1,--AND(IF($AC26&gt;0,INDEX(CA$7:CA$106,$AC26),1),IF($AD26&gt;0,INDEX(CA$7:CA$106,$AD26),1),IF($AE26&gt;0,INDEX(CA$7:CA$106,$AE26),1),IF($AF26&gt;0,INDEX(CA$7:CA$106,$AF26),1),IF($AG26&gt;0,INDEX(CA$7:CA$106,$AG26),1),IF($AH26&gt;0,INDEX(CA$7:CA$106,$AH26),1),IF($AI26&gt;0,INDEX(CA$7:CA$106,$AI26),1),IF($AJ26&gt;0,INDEX(CA$7:CA$106,$AJ26),1))))</ns0:f>
        <ns0:v>1</ns0:v>
      </ns0:c>
      <ns0:c r="CC26" t="n">
        <ns0:f>IF($A26="",1,IF(CB26=1,1,--AND(IF($AC26&gt;0,INDEX(CB$7:CB$106,$AC26),1),IF($AD26&gt;0,INDEX(CB$7:CB$106,$AD26),1),IF($AE26&gt;0,INDEX(CB$7:CB$106,$AE26),1),IF($AF26&gt;0,INDEX(CB$7:CB$106,$AF26),1),IF($AG26&gt;0,INDEX(CB$7:CB$106,$AG26),1),IF($AH26&gt;0,INDEX(CB$7:CB$106,$AH26),1),IF($AI26&gt;0,INDEX(CB$7:CB$106,$AI26),1),IF($AJ26&gt;0,INDEX(CB$7:CB$106,$AJ26),1))))</ns0:f>
        <ns0:v>1</ns0:v>
      </ns0:c>
      <ns0:c r="CD26" t="n">
        <ns0:f>IF($A26="",1,IF(CC26=1,1,--AND(IF($AC26&gt;0,INDEX(CC$7:CC$106,$AC26),1),IF($AD26&gt;0,INDEX(CC$7:CC$106,$AD26),1),IF($AE26&gt;0,INDEX(CC$7:CC$106,$AE26),1),IF($AF26&gt;0,INDEX(CC$7:CC$106,$AF26),1),IF($AG26&gt;0,INDEX(CC$7:CC$106,$AG26),1),IF($AH26&gt;0,INDEX(CC$7:CC$106,$AH26),1),IF($AI26&gt;0,INDEX(CC$7:CC$106,$AI26),1),IF($AJ26&gt;0,INDEX(CC$7:CC$106,$AJ26),1))))</ns0:f>
        <ns0:v>1</ns0:v>
      </ns0:c>
      <ns0:c r="CE26" t="n">
        <ns0:f>IF($A26="",1,IF(CD26=1,1,--AND(IF($AC26&gt;0,INDEX(CD$7:CD$106,$AC26),1),IF($AD26&gt;0,INDEX(CD$7:CD$106,$AD26),1),IF($AE26&gt;0,INDEX(CD$7:CD$106,$AE26),1),IF($AF26&gt;0,INDEX(CD$7:CD$106,$AF26),1),IF($AG26&gt;0,INDEX(CD$7:CD$106,$AG26),1),IF($AH26&gt;0,INDEX(CD$7:CD$106,$AH26),1),IF($AI26&gt;0,INDEX(CD$7:CD$106,$AI26),1),IF($AJ26&gt;0,INDEX(CD$7:CD$106,$AJ26),1))))</ns0:f>
        <ns0:v>1</ns0:v>
      </ns0:c>
      <ns0:c r="CF26" t="n">
        <ns0:f>IF($A26="",1,IF(CE26=1,1,--AND(IF($AC26&gt;0,INDEX(CE$7:CE$106,$AC26),1),IF($AD26&gt;0,INDEX(CE$7:CE$106,$AD26),1),IF($AE26&gt;0,INDEX(CE$7:CE$106,$AE26),1),IF($AF26&gt;0,INDEX(CE$7:CE$106,$AF26),1),IF($AG26&gt;0,INDEX(CE$7:CE$106,$AG26),1),IF($AH26&gt;0,INDEX(CE$7:CE$106,$AH26),1),IF($AI26&gt;0,INDEX(CE$7:CE$106,$AI26),1),IF($AJ26&gt;0,INDEX(CE$7:CE$106,$AJ26),1))))</ns0:f>
        <ns0:v>1</ns0:v>
      </ns0:c>
      <ns0:c r="CG26" t="n">
        <ns0:f>IF($A26="",1,IF(CF26=1,1,--AND(IF($AC26&gt;0,INDEX(CF$7:CF$106,$AC26),1),IF($AD26&gt;0,INDEX(CF$7:CF$106,$AD26),1),IF($AE26&gt;0,INDEX(CF$7:CF$106,$AE26),1),IF($AF26&gt;0,INDEX(CF$7:CF$106,$AF26),1),IF($AG26&gt;0,INDEX(CF$7:CF$106,$AG26),1),IF($AH26&gt;0,INDEX(CF$7:CF$106,$AH26),1),IF($AI26&gt;0,INDEX(CF$7:CF$106,$AI26),1),IF($AJ26&gt;0,INDEX(CF$7:CF$106,$AJ26),1))))</ns0:f>
        <ns0:v>1</ns0:v>
      </ns0:c>
      <ns0:c r="CH26" t="n">
        <ns0:f>IF($A26="",1,IF(CG26=1,1,--AND(IF($AC26&gt;0,INDEX(CG$7:CG$106,$AC26),1),IF($AD26&gt;0,INDEX(CG$7:CG$106,$AD26),1),IF($AE26&gt;0,INDEX(CG$7:CG$106,$AE26),1),IF($AF26&gt;0,INDEX(CG$7:CG$106,$AF26),1),IF($AG26&gt;0,INDEX(CG$7:CG$106,$AG26),1),IF($AH26&gt;0,INDEX(CG$7:CG$106,$AH26),1),IF($AI26&gt;0,INDEX(CG$7:CG$106,$AI26),1),IF($AJ26&gt;0,INDEX(CG$7:CG$106,$AJ26),1))))</ns0:f>
        <ns0:v>1</ns0:v>
      </ns0:c>
      <ns0:c r="CI26" t="n">
        <ns0:f>IF($A26="",1,IF(CH26=1,1,--AND(IF($AC26&gt;0,INDEX(CH$7:CH$106,$AC26),1),IF($AD26&gt;0,INDEX(CH$7:CH$106,$AD26),1),IF($AE26&gt;0,INDEX(CH$7:CH$106,$AE26),1),IF($AF26&gt;0,INDEX(CH$7:CH$106,$AF26),1),IF($AG26&gt;0,INDEX(CH$7:CH$106,$AG26),1),IF($AH26&gt;0,INDEX(CH$7:CH$106,$AH26),1),IF($AI26&gt;0,INDEX(CH$7:CH$106,$AI26),1),IF($AJ26&gt;0,INDEX(CH$7:CH$106,$AJ26),1))))</ns0:f>
        <ns0:v>1</ns0:v>
      </ns0:c>
      <ns0:c r="CJ26" t="n">
        <ns0:f>IF($A26="",1,IF(CI26=1,1,--AND(IF($AC26&gt;0,INDEX(CI$7:CI$106,$AC26),1),IF($AD26&gt;0,INDEX(CI$7:CI$106,$AD26),1),IF($AE26&gt;0,INDEX(CI$7:CI$106,$AE26),1),IF($AF26&gt;0,INDEX(CI$7:CI$106,$AF26),1),IF($AG26&gt;0,INDEX(CI$7:CI$106,$AG26),1),IF($AH26&gt;0,INDEX(CI$7:CI$106,$AH26),1),IF($AI26&gt;0,INDEX(CI$7:CI$106,$AI26),1),IF($AJ26&gt;0,INDEX(CI$7:CI$106,$AJ26),1))))</ns0:f>
        <ns0:v>1</ns0:v>
      </ns0:c>
      <ns0:c r="CK26" t="n">
        <ns0:f>IF($A26="",1,IF(CJ26=1,1,--AND(IF($AC26&gt;0,INDEX(CJ$7:CJ$106,$AC26),1),IF($AD26&gt;0,INDEX(CJ$7:CJ$106,$AD26),1),IF($AE26&gt;0,INDEX(CJ$7:CJ$106,$AE26),1),IF($AF26&gt;0,INDEX(CJ$7:CJ$106,$AF26),1),IF($AG26&gt;0,INDEX(CJ$7:CJ$106,$AG26),1),IF($AH26&gt;0,INDEX(CJ$7:CJ$106,$AH26),1),IF($AI26&gt;0,INDEX(CJ$7:CJ$106,$AI26),1),IF($AJ26&gt;0,INDEX(CJ$7:CJ$106,$AJ26),1))))</ns0:f>
        <ns0:v>1</ns0:v>
      </ns0:c>
      <ns0:c r="CL26" t="n">
        <ns0:f>IF($A26="",1,IF(CK26=1,1,--AND(IF($AC26&gt;0,INDEX(CK$7:CK$106,$AC26),1),IF($AD26&gt;0,INDEX(CK$7:CK$106,$AD26),1),IF($AE26&gt;0,INDEX(CK$7:CK$106,$AE26),1),IF($AF26&gt;0,INDEX(CK$7:CK$106,$AF26),1),IF($AG26&gt;0,INDEX(CK$7:CK$106,$AG26),1),IF($AH26&gt;0,INDEX(CK$7:CK$106,$AH26),1),IF($AI26&gt;0,INDEX(CK$7:CK$106,$AI26),1),IF($AJ26&gt;0,INDEX(CK$7:CK$106,$AJ26),1))))</ns0:f>
        <ns0:v>1</ns0:v>
      </ns0:c>
      <ns0:c r="CM26" t="n">
        <ns0:f>IF($A26="",1,IF(CL26=1,1,--AND(IF($AC26&gt;0,INDEX(CL$7:CL$106,$AC26),1),IF($AD26&gt;0,INDEX(CL$7:CL$106,$AD26),1),IF($AE26&gt;0,INDEX(CL$7:CL$106,$AE26),1),IF($AF26&gt;0,INDEX(CL$7:CL$106,$AF26),1),IF($AG26&gt;0,INDEX(CL$7:CL$106,$AG26),1),IF($AH26&gt;0,INDEX(CL$7:CL$106,$AH26),1),IF($AI26&gt;0,INDEX(CL$7:CL$106,$AI26),1),IF($AJ26&gt;0,INDEX(CL$7:CL$106,$AJ26),1))))</ns0:f>
        <ns0:v>1</ns0:v>
      </ns0:c>
      <ns0:c r="CN26" t="n">
        <ns0:f>IF($A26="",1,IF(CM26=1,1,--AND(IF($AC26&gt;0,INDEX(CM$7:CM$106,$AC26),1),IF($AD26&gt;0,INDEX(CM$7:CM$106,$AD26),1),IF($AE26&gt;0,INDEX(CM$7:CM$106,$AE26),1),IF($AF26&gt;0,INDEX(CM$7:CM$106,$AF26),1),IF($AG26&gt;0,INDEX(CM$7:CM$106,$AG26),1),IF($AH26&gt;0,INDEX(CM$7:CM$106,$AH26),1),IF($AI26&gt;0,INDEX(CM$7:CM$106,$AI26),1),IF($AJ26&gt;0,INDEX(CM$7:CM$106,$AJ26),1))))</ns0:f>
        <ns0:v>1</ns0:v>
      </ns0:c>
      <ns0:c r="CO26" t="n">
        <ns0:f>IF($A26="",1,IF(CN26=1,1,--AND(IF($AC26&gt;0,INDEX(CN$7:CN$106,$AC26),1),IF($AD26&gt;0,INDEX(CN$7:CN$106,$AD26),1),IF($AE26&gt;0,INDEX(CN$7:CN$106,$AE26),1),IF($AF26&gt;0,INDEX(CN$7:CN$106,$AF26),1),IF($AG26&gt;0,INDEX(CN$7:CN$106,$AG26),1),IF($AH26&gt;0,INDEX(CN$7:CN$106,$AH26),1),IF($AI26&gt;0,INDEX(CN$7:CN$106,$AI26),1),IF($AJ26&gt;0,INDEX(CN$7:CN$106,$AJ26),1))))</ns0:f>
        <ns0:v>1</ns0:v>
      </ns0:c>
      <ns0:c r="CP26" t="n">
        <ns0:f>IF($A26="",1,IF(CO26=1,1,--AND(IF($AC26&gt;0,INDEX(CO$7:CO$106,$AC26),1),IF($AD26&gt;0,INDEX(CO$7:CO$106,$AD26),1),IF($AE26&gt;0,INDEX(CO$7:CO$106,$AE26),1),IF($AF26&gt;0,INDEX(CO$7:CO$106,$AF26),1),IF($AG26&gt;0,INDEX(CO$7:CO$106,$AG26),1),IF($AH26&gt;0,INDEX(CO$7:CO$106,$AH26),1),IF($AI26&gt;0,INDEX(CO$7:CO$106,$AI26),1),IF($AJ26&gt;0,INDEX(CO$7:CO$106,$AJ26),1))))</ns0:f>
        <ns0:v>1</ns0:v>
      </ns0:c>
      <ns0:c r="CQ26" t="n">
        <ns0:f>IF($A26="",1,IF(CP26=1,1,--AND(IF($AC26&gt;0,INDEX(CP$7:CP$106,$AC26),1),IF($AD26&gt;0,INDEX(CP$7:CP$106,$AD26),1),IF($AE26&gt;0,INDEX(CP$7:CP$106,$AE26),1),IF($AF26&gt;0,INDEX(CP$7:CP$106,$AF26),1),IF($AG26&gt;0,INDEX(CP$7:CP$106,$AG26),1),IF($AH26&gt;0,INDEX(CP$7:CP$106,$AH26),1),IF($AI26&gt;0,INDEX(CP$7:CP$106,$AI26),1),IF($AJ26&gt;0,INDEX(CP$7:CP$106,$AJ26),1))))</ns0:f>
        <ns0:v>1</ns0:v>
      </ns0:c>
      <ns0:c r="CR26" t="n">
        <ns0:f>IF($A26="",1,IF(CQ26=1,1,--AND(IF($AC26&gt;0,INDEX(CQ$7:CQ$106,$AC26),1),IF($AD26&gt;0,INDEX(CQ$7:CQ$106,$AD26),1),IF($AE26&gt;0,INDEX(CQ$7:CQ$106,$AE26),1),IF($AF26&gt;0,INDEX(CQ$7:CQ$106,$AF26),1),IF($AG26&gt;0,INDEX(CQ$7:CQ$106,$AG26),1),IF($AH26&gt;0,INDEX(CQ$7:CQ$106,$AH26),1),IF($AI26&gt;0,INDEX(CQ$7:CQ$106,$AI26),1),IF($AJ26&gt;0,INDEX(CQ$7:CQ$106,$AJ26),1))))</ns0:f>
        <ns0:v>1</ns0:v>
      </ns0:c>
      <ns0:c r="CS26" t="n">
        <ns0:f>IF($A26="",1,IF(CR26=1,1,--AND(IF($AC26&gt;0,INDEX(CR$7:CR$106,$AC26),1),IF($AD26&gt;0,INDEX(CR$7:CR$106,$AD26),1),IF($AE26&gt;0,INDEX(CR$7:CR$106,$AE26),1),IF($AF26&gt;0,INDEX(CR$7:CR$106,$AF26),1),IF($AG26&gt;0,INDEX(CR$7:CR$106,$AG26),1),IF($AH26&gt;0,INDEX(CR$7:CR$106,$AH26),1),IF($AI26&gt;0,INDEX(CR$7:CR$106,$AI26),1),IF($AJ26&gt;0,INDEX(CR$7:CR$106,$AJ26),1))))</ns0:f>
        <ns0:v>1</ns0:v>
      </ns0:c>
      <ns0:c r="CT26" t="n">
        <ns0:f>IF($A26="",1,IF(CS26=1,1,--AND(IF($AC26&gt;0,INDEX(CS$7:CS$106,$AC26),1),IF($AD26&gt;0,INDEX(CS$7:CS$106,$AD26),1),IF($AE26&gt;0,INDEX(CS$7:CS$106,$AE26),1),IF($AF26&gt;0,INDEX(CS$7:CS$106,$AF26),1),IF($AG26&gt;0,INDEX(CS$7:CS$106,$AG26),1),IF($AH26&gt;0,INDEX(CS$7:CS$106,$AH26),1),IF($AI26&gt;0,INDEX(CS$7:CS$106,$AI26),1),IF($AJ26&gt;0,INDEX(CS$7:CS$106,$AJ26),1))))</ns0:f>
        <ns0:v>1</ns0:v>
      </ns0:c>
      <ns0:c r="CU26" t="n">
        <ns0:f>IF($A26="",1,IF(CT26=1,1,--AND(IF($AC26&gt;0,INDEX(CT$7:CT$106,$AC26),1),IF($AD26&gt;0,INDEX(CT$7:CT$106,$AD26),1),IF($AE26&gt;0,INDEX(CT$7:CT$106,$AE26),1),IF($AF26&gt;0,INDEX(CT$7:CT$106,$AF26),1),IF($AG26&gt;0,INDEX(CT$7:CT$106,$AG26),1),IF($AH26&gt;0,INDEX(CT$7:CT$106,$AH26),1),IF($AI26&gt;0,INDEX(CT$7:CT$106,$AI26),1),IF($AJ26&gt;0,INDEX(CT$7:CT$106,$AJ26),1))))</ns0:f>
        <ns0:v>1</ns0:v>
      </ns0:c>
      <ns0:c r="CV26" t="n">
        <ns0:f>IF($A26="",1,IF(CU26=1,1,--AND(IF($AC26&gt;0,INDEX(CU$7:CU$106,$AC26),1),IF($AD26&gt;0,INDEX(CU$7:CU$106,$AD26),1),IF($AE26&gt;0,INDEX(CU$7:CU$106,$AE26),1),IF($AF26&gt;0,INDEX(CU$7:CU$106,$AF26),1),IF($AG26&gt;0,INDEX(CU$7:CU$106,$AG26),1),IF($AH26&gt;0,INDEX(CU$7:CU$106,$AH26),1),IF($AI26&gt;0,INDEX(CU$7:CU$106,$AI26),1),IF($AJ26&gt;0,INDEX(CU$7:CU$106,$AJ26),1))))</ns0:f>
        <ns0:v>1</ns0:v>
      </ns0:c>
      <ns0:c r="CW26" t="n">
        <ns0:f>IF($A26="",1,IF(CV26=1,1,--AND(IF($AC26&gt;0,INDEX(CV$7:CV$106,$AC26),1),IF($AD26&gt;0,INDEX(CV$7:CV$106,$AD26),1),IF($AE26&gt;0,INDEX(CV$7:CV$106,$AE26),1),IF($AF26&gt;0,INDEX(CV$7:CV$106,$AF26),1),IF($AG26&gt;0,INDEX(CV$7:CV$106,$AG26),1),IF($AH26&gt;0,INDEX(CV$7:CV$106,$AH26),1),IF($AI26&gt;0,INDEX(CV$7:CV$106,$AI26),1),IF($AJ26&gt;0,INDEX(CV$7:CV$106,$AJ26),1))))</ns0:f>
        <ns0:v>1</ns0:v>
      </ns0:c>
      <ns0:c r="CX26" t="n">
        <ns0:f>IF($A26="",1,IF(CW26=1,1,--AND(IF($AC26&gt;0,INDEX(CW$7:CW$106,$AC26),1),IF($AD26&gt;0,INDEX(CW$7:CW$106,$AD26),1),IF($AE26&gt;0,INDEX(CW$7:CW$106,$AE26),1),IF($AF26&gt;0,INDEX(CW$7:CW$106,$AF26),1),IF($AG26&gt;0,INDEX(CW$7:CW$106,$AG26),1),IF($AH26&gt;0,INDEX(CW$7:CW$106,$AH26),1),IF($AI26&gt;0,INDEX(CW$7:CW$106,$AI26),1),IF($AJ26&gt;0,INDEX(CW$7:CW$106,$AJ26),1))))</ns0:f>
        <ns0:v>1</ns0:v>
      </ns0:c>
      <ns0:c r="CY26" t="n">
        <ns0:f>IF($A26="",1,IF(CX26=1,1,--AND(IF($AC26&gt;0,INDEX(CX$7:CX$106,$AC26),1),IF($AD26&gt;0,INDEX(CX$7:CX$106,$AD26),1),IF($AE26&gt;0,INDEX(CX$7:CX$106,$AE26),1),IF($AF26&gt;0,INDEX(CX$7:CX$106,$AF26),1),IF($AG26&gt;0,INDEX(CX$7:CX$106,$AG26),1),IF($AH26&gt;0,INDEX(CX$7:CX$106,$AH26),1),IF($AI26&gt;0,INDEX(CX$7:CX$106,$AI26),1),IF($AJ26&gt;0,INDEX(CX$7:CX$106,$AJ26),1))))</ns0:f>
        <ns0:v>1</ns0:v>
      </ns0:c>
      <ns0:c r="CZ26" t="n">
        <ns0:f>IF($A26="",1,IF(CY26=1,1,--AND(IF($AC26&gt;0,INDEX(CY$7:CY$106,$AC26),1),IF($AD26&gt;0,INDEX(CY$7:CY$106,$AD26),1),IF($AE26&gt;0,INDEX(CY$7:CY$106,$AE26),1),IF($AF26&gt;0,INDEX(CY$7:CY$106,$AF26),1),IF($AG26&gt;0,INDEX(CY$7:CY$106,$AG26),1),IF($AH26&gt;0,INDEX(CY$7:CY$106,$AH26),1),IF($AI26&gt;0,INDEX(CY$7:CY$106,$AI26),1),IF($AJ26&gt;0,INDEX(CY$7:CY$106,$AJ26),1))))</ns0:f>
        <ns0:v>1</ns0:v>
      </ns0:c>
      <ns0:c r="DA26" t="n">
        <ns0:f>IF($A26="",1,IF(CZ26=1,1,--AND(IF($AC26&gt;0,INDEX(CZ$7:CZ$106,$AC26),1),IF($AD26&gt;0,INDEX(CZ$7:CZ$106,$AD26),1),IF($AE26&gt;0,INDEX(CZ$7:CZ$106,$AE26),1),IF($AF26&gt;0,INDEX(CZ$7:CZ$106,$AF26),1),IF($AG26&gt;0,INDEX(CZ$7:CZ$106,$AG26),1),IF($AH26&gt;0,INDEX(CZ$7:CZ$106,$AH26),1),IF($AI26&gt;0,INDEX(CZ$7:CZ$106,$AI26),1),IF($AJ26&gt;0,INDEX(CZ$7:CZ$106,$AJ26),1))))</ns0:f>
        <ns0:v>1</ns0:v>
      </ns0:c>
      <ns0:c r="DB26" t="n">
        <ns0:f>IF($A26="",1,IF(DA26=1,1,--AND(IF($AC26&gt;0,INDEX(DA$7:DA$106,$AC26),1),IF($AD26&gt;0,INDEX(DA$7:DA$106,$AD26),1),IF($AE26&gt;0,INDEX(DA$7:DA$106,$AE26),1),IF($AF26&gt;0,INDEX(DA$7:DA$106,$AF26),1),IF($AG26&gt;0,INDEX(DA$7:DA$106,$AG26),1),IF($AH26&gt;0,INDEX(DA$7:DA$106,$AH26),1),IF($AI26&gt;0,INDEX(DA$7:DA$106,$AI26),1),IF($AJ26&gt;0,INDEX(DA$7:DA$106,$AJ26),1))))</ns0:f>
        <ns0:v>1</ns0:v>
      </ns0:c>
      <ns0:c r="DC26" t="n">
        <ns0:f>IF($A26="",1,IF(DB26=1,1,--AND(IF($AC26&gt;0,INDEX(DB$7:DB$106,$AC26),1),IF($AD26&gt;0,INDEX(DB$7:DB$106,$AD26),1),IF($AE26&gt;0,INDEX(DB$7:DB$106,$AE26),1),IF($AF26&gt;0,INDEX(DB$7:DB$106,$AF26),1),IF($AG26&gt;0,INDEX(DB$7:DB$106,$AG26),1),IF($AH26&gt;0,INDEX(DB$7:DB$106,$AH26),1),IF($AI26&gt;0,INDEX(DB$7:DB$106,$AI26),1),IF($AJ26&gt;0,INDEX(DB$7:DB$106,$AJ26),1))))</ns0:f>
        <ns0:v>1</ns0:v>
      </ns0:c>
      <ns0:c r="DD26" t="n">
        <ns0:f>IF($A26="",1,IF(DC26=1,1,--AND(IF($AC26&gt;0,INDEX(DC$7:DC$106,$AC26),1),IF($AD26&gt;0,INDEX(DC$7:DC$106,$AD26),1),IF($AE26&gt;0,INDEX(DC$7:DC$106,$AE26),1),IF($AF26&gt;0,INDEX(DC$7:DC$106,$AF26),1),IF($AG26&gt;0,INDEX(DC$7:DC$106,$AG26),1),IF($AH26&gt;0,INDEX(DC$7:DC$106,$AH26),1),IF($AI26&gt;0,INDEX(DC$7:DC$106,$AI26),1),IF($AJ26&gt;0,INDEX(DC$7:DC$106,$AJ26),1))))</ns0:f>
        <ns0:v>1</ns0:v>
      </ns0:c>
      <ns0:c r="DE26" t="n">
        <ns0:f>IF($A26="",1,IF(DD26=1,1,--AND(IF($AC26&gt;0,INDEX(DD$7:DD$106,$AC26),1),IF($AD26&gt;0,INDEX(DD$7:DD$106,$AD26),1),IF($AE26&gt;0,INDEX(DD$7:DD$106,$AE26),1),IF($AF26&gt;0,INDEX(DD$7:DD$106,$AF26),1),IF($AG26&gt;0,INDEX(DD$7:DD$106,$AG26),1),IF($AH26&gt;0,INDEX(DD$7:DD$106,$AH26),1),IF($AI26&gt;0,INDEX(DD$7:DD$106,$AI26),1),IF($AJ26&gt;0,INDEX(DD$7:DD$106,$AJ26),1))))</ns0:f>
        <ns0:v>1</ns0:v>
      </ns0:c>
      <ns0:c r="DF26" t="n">
        <ns0:f>IF($A26="",1,IF(DE26=1,1,--AND(IF($AC26&gt;0,INDEX(DE$7:DE$106,$AC26),1),IF($AD26&gt;0,INDEX(DE$7:DE$106,$AD26),1),IF($AE26&gt;0,INDEX(DE$7:DE$106,$AE26),1),IF($AF26&gt;0,INDEX(DE$7:DE$106,$AF26),1),IF($AG26&gt;0,INDEX(DE$7:DE$106,$AG26),1),IF($AH26&gt;0,INDEX(DE$7:DE$106,$AH26),1),IF($AI26&gt;0,INDEX(DE$7:DE$106,$AI26),1),IF($AJ26&gt;0,INDEX(DE$7:DE$106,$AJ26),1))))</ns0:f>
        <ns0:v>1</ns0:v>
      </ns0:c>
      <ns0:c r="DG26" t="n">
        <ns0:f>IF($A26="",1,IF(DF26=1,1,--AND(IF($AC26&gt;0,INDEX(DF$7:DF$106,$AC26),1),IF($AD26&gt;0,INDEX(DF$7:DF$106,$AD26),1),IF($AE26&gt;0,INDEX(DF$7:DF$106,$AE26),1),IF($AF26&gt;0,INDEX(DF$7:DF$106,$AF26),1),IF($AG26&gt;0,INDEX(DF$7:DF$106,$AG26),1),IF($AH26&gt;0,INDEX(DF$7:DF$106,$AH26),1),IF($AI26&gt;0,INDEX(DF$7:DF$106,$AI26),1),IF($AJ26&gt;0,INDEX(DF$7:DF$106,$AJ26),1))))</ns0:f>
        <ns0:v>1</ns0:v>
      </ns0:c>
      <ns0:c r="DH26" t="n">
        <ns0:f>IF($A26="",1,IF(DG26=1,1,--AND(IF($AC26&gt;0,INDEX(DG$7:DG$106,$AC26),1),IF($AD26&gt;0,INDEX(DG$7:DG$106,$AD26),1),IF($AE26&gt;0,INDEX(DG$7:DG$106,$AE26),1),IF($AF26&gt;0,INDEX(DG$7:DG$106,$AF26),1),IF($AG26&gt;0,INDEX(DG$7:DG$106,$AG26),1),IF($AH26&gt;0,INDEX(DG$7:DG$106,$AH26),1),IF($AI26&gt;0,INDEX(DG$7:DG$106,$AI26),1),IF($AJ26&gt;0,INDEX(DG$7:DG$106,$AJ26),1))))</ns0:f>
        <ns0:v>1</ns0:v>
      </ns0:c>
      <ns0:c r="DI26" t="n">
        <ns0:f>IF($A26="",1,IF(DH26=1,1,--AND(IF($AC26&gt;0,INDEX(DH$7:DH$106,$AC26),1),IF($AD26&gt;0,INDEX(DH$7:DH$106,$AD26),1),IF($AE26&gt;0,INDEX(DH$7:DH$106,$AE26),1),IF($AF26&gt;0,INDEX(DH$7:DH$106,$AF26),1),IF($AG26&gt;0,INDEX(DH$7:DH$106,$AG26),1),IF($AH26&gt;0,INDEX(DH$7:DH$106,$AH26),1),IF($AI26&gt;0,INDEX(DH$7:DH$106,$AI26),1),IF($AJ26&gt;0,INDEX(DH$7:DH$106,$AJ26),1))))</ns0:f>
        <ns0:v>1</ns0:v>
      </ns0:c>
      <ns0:c r="DJ26" t="n">
        <ns0:f>IF($A26="",1,IF(DI26=1,1,--AND(IF($AC26&gt;0,INDEX(DI$7:DI$106,$AC26),1),IF($AD26&gt;0,INDEX(DI$7:DI$106,$AD26),1),IF($AE26&gt;0,INDEX(DI$7:DI$106,$AE26),1),IF($AF26&gt;0,INDEX(DI$7:DI$106,$AF26),1),IF($AG26&gt;0,INDEX(DI$7:DI$106,$AG26),1),IF($AH26&gt;0,INDEX(DI$7:DI$106,$AH26),1),IF($AI26&gt;0,INDEX(DI$7:DI$106,$AI26),1),IF($AJ26&gt;0,INDEX(DI$7:DI$106,$AJ26),1))))</ns0:f>
        <ns0:v>1</ns0:v>
      </ns0:c>
      <ns0:c r="DK26" t="n">
        <ns0:f>IF($A26="",1,IF(DJ26=1,1,--AND(IF($AC26&gt;0,INDEX(DJ$7:DJ$106,$AC26),1),IF($AD26&gt;0,INDEX(DJ$7:DJ$106,$AD26),1),IF($AE26&gt;0,INDEX(DJ$7:DJ$106,$AE26),1),IF($AF26&gt;0,INDEX(DJ$7:DJ$106,$AF26),1),IF($AG26&gt;0,INDEX(DJ$7:DJ$106,$AG26),1),IF($AH26&gt;0,INDEX(DJ$7:DJ$106,$AH26),1),IF($AI26&gt;0,INDEX(DJ$7:DJ$106,$AI26),1),IF($AJ26&gt;0,INDEX(DJ$7:DJ$106,$AJ26),1))))</ns0:f>
        <ns0:v>1</ns0:v>
      </ns0:c>
      <ns0:c r="DL26" t="n">
        <ns0:f>IF($A26="",1,IF(DK26=1,1,--AND(IF($AC26&gt;0,INDEX(DK$7:DK$106,$AC26),1),IF($AD26&gt;0,INDEX(DK$7:DK$106,$AD26),1),IF($AE26&gt;0,INDEX(DK$7:DK$106,$AE26),1),IF($AF26&gt;0,INDEX(DK$7:DK$106,$AF26),1),IF($AG26&gt;0,INDEX(DK$7:DK$106,$AG26),1),IF($AH26&gt;0,INDEX(DK$7:DK$106,$AH26),1),IF($AI26&gt;0,INDEX(DK$7:DK$106,$AI26),1),IF($AJ26&gt;0,INDEX(DK$7:DK$106,$AJ26),1))))</ns0:f>
        <ns0:v>1</ns0:v>
      </ns0:c>
      <ns0:c r="DM26" t="n">
        <ns0:f>IF($A26="",1,IF(DL26=1,1,--AND(IF($AC26&gt;0,INDEX(DL$7:DL$106,$AC26),1),IF($AD26&gt;0,INDEX(DL$7:DL$106,$AD26),1),IF($AE26&gt;0,INDEX(DL$7:DL$106,$AE26),1),IF($AF26&gt;0,INDEX(DL$7:DL$106,$AF26),1),IF($AG26&gt;0,INDEX(DL$7:DL$106,$AG26),1),IF($AH26&gt;0,INDEX(DL$7:DL$106,$AH26),1),IF($AI26&gt;0,INDEX(DL$7:DL$106,$AI26),1),IF($AJ26&gt;0,INDEX(DL$7:DL$106,$AJ26),1))))</ns0:f>
        <ns0:v>1</ns0:v>
      </ns0:c>
      <ns0:c r="DN26" t="n">
        <ns0:f>IF($A26="",1,IF(DM26=1,1,--AND(IF($AC26&gt;0,INDEX(DM$7:DM$106,$AC26),1),IF($AD26&gt;0,INDEX(DM$7:DM$106,$AD26),1),IF($AE26&gt;0,INDEX(DM$7:DM$106,$AE26),1),IF($AF26&gt;0,INDEX(DM$7:DM$106,$AF26),1),IF($AG26&gt;0,INDEX(DM$7:DM$106,$AG26),1),IF($AH26&gt;0,INDEX(DM$7:DM$106,$AH26),1),IF($AI26&gt;0,INDEX(DM$7:DM$106,$AI26),1),IF($AJ26&gt;0,INDEX(DM$7:DM$106,$AJ26),1))))</ns0:f>
        <ns0:v>1</ns0:v>
      </ns0:c>
      <ns0:c r="DO26" t="n">
        <ns0:f>IF($A26="",1,IF(DN26=1,1,--AND(IF($AC26&gt;0,INDEX(DN$7:DN$106,$AC26),1),IF($AD26&gt;0,INDEX(DN$7:DN$106,$AD26),1),IF($AE26&gt;0,INDEX(DN$7:DN$106,$AE26),1),IF($AF26&gt;0,INDEX(DN$7:DN$106,$AF26),1),IF($AG26&gt;0,INDEX(DN$7:DN$106,$AG26),1),IF($AH26&gt;0,INDEX(DN$7:DN$106,$AH26),1),IF($AI26&gt;0,INDEX(DN$7:DN$106,$AI26),1),IF($AJ26&gt;0,INDEX(DN$7:DN$106,$AJ26),1))))</ns0:f>
        <ns0:v>1</ns0:v>
      </ns0:c>
      <ns0:c r="DP26" t="n">
        <ns0:f>IF($A26="",1,IF(DO26=1,1,--AND(IF($AC26&gt;0,INDEX(DO$7:DO$106,$AC26),1),IF($AD26&gt;0,INDEX(DO$7:DO$106,$AD26),1),IF($AE26&gt;0,INDEX(DO$7:DO$106,$AE26),1),IF($AF26&gt;0,INDEX(DO$7:DO$106,$AF26),1),IF($AG26&gt;0,INDEX(DO$7:DO$106,$AG26),1),IF($AH26&gt;0,INDEX(DO$7:DO$106,$AH26),1),IF($AI26&gt;0,INDEX(DO$7:DO$106,$AI26),1),IF($AJ26&gt;0,INDEX(DO$7:DO$106,$AJ26),1))))</ns0:f>
        <ns0:v>1</ns0:v>
      </ns0:c>
      <ns0:c r="DQ26" t="n">
        <ns0:f>IF($A26="",1,IF(DP26=1,1,--AND(IF($AC26&gt;0,INDEX(DP$7:DP$106,$AC26),1),IF($AD26&gt;0,INDEX(DP$7:DP$106,$AD26),1),IF($AE26&gt;0,INDEX(DP$7:DP$106,$AE26),1),IF($AF26&gt;0,INDEX(DP$7:DP$106,$AF26),1),IF($AG26&gt;0,INDEX(DP$7:DP$106,$AG26),1),IF($AH26&gt;0,INDEX(DP$7:DP$106,$AH26),1),IF($AI26&gt;0,INDEX(DP$7:DP$106,$AI26),1),IF($AJ26&gt;0,INDEX(DP$7:DP$106,$AJ26),1))))</ns0:f>
        <ns0:v>1</ns0:v>
      </ns0:c>
      <ns0:c r="DR26" t="n">
        <ns0:f>IF($A26="",1,IF(DQ26=1,1,--AND(IF($AC26&gt;0,INDEX(DQ$7:DQ$106,$AC26),1),IF($AD26&gt;0,INDEX(DQ$7:DQ$106,$AD26),1),IF($AE26&gt;0,INDEX(DQ$7:DQ$106,$AE26),1),IF($AF26&gt;0,INDEX(DQ$7:DQ$106,$AF26),1),IF($AG26&gt;0,INDEX(DQ$7:DQ$106,$AG26),1),IF($AH26&gt;0,INDEX(DQ$7:DQ$106,$AH26),1),IF($AI26&gt;0,INDEX(DQ$7:DQ$106,$AI26),1),IF($AJ26&gt;0,INDEX(DQ$7:DQ$106,$AJ26),1))))</ns0:f>
        <ns0:v>1</ns0:v>
      </ns0:c>
      <ns0:c r="DS26" t="n">
        <ns0:f>IF($A26="",1,IF(DR26=1,1,--AND(IF($AC26&gt;0,INDEX(DR$7:DR$106,$AC26),1),IF($AD26&gt;0,INDEX(DR$7:DR$106,$AD26),1),IF($AE26&gt;0,INDEX(DR$7:DR$106,$AE26),1),IF($AF26&gt;0,INDEX(DR$7:DR$106,$AF26),1),IF($AG26&gt;0,INDEX(DR$7:DR$106,$AG26),1),IF($AH26&gt;0,INDEX(DR$7:DR$106,$AH26),1),IF($AI26&gt;0,INDEX(DR$7:DR$106,$AI26),1),IF($AJ26&gt;0,INDEX(DR$7:DR$106,$AJ26),1))))</ns0:f>
        <ns0:v>1</ns0:v>
      </ns0:c>
      <ns0:c r="DT26" t="n">
        <ns0:f>IF($A26="",1,IF(DS26=1,1,--AND(IF($AC26&gt;0,INDEX(DS$7:DS$106,$AC26),1),IF($AD26&gt;0,INDEX(DS$7:DS$106,$AD26),1),IF($AE26&gt;0,INDEX(DS$7:DS$106,$AE26),1),IF($AF26&gt;0,INDEX(DS$7:DS$106,$AF26),1),IF($AG26&gt;0,INDEX(DS$7:DS$106,$AG26),1),IF($AH26&gt;0,INDEX(DS$7:DS$106,$AH26),1),IF($AI26&gt;0,INDEX(DS$7:DS$106,$AI26),1),IF($AJ26&gt;0,INDEX(DS$7:DS$106,$AJ26),1))))</ns0:f>
        <ns0:v>1</ns0:v>
      </ns0:c>
      <ns0:c r="DU26" t="n">
        <ns0:f>IF($A26="",1,IF(DT26=1,1,--AND(IF($AC26&gt;0,INDEX(DT$7:DT$106,$AC26),1),IF($AD26&gt;0,INDEX(DT$7:DT$106,$AD26),1),IF($AE26&gt;0,INDEX(DT$7:DT$106,$AE26),1),IF($AF26&gt;0,INDEX(DT$7:DT$106,$AF26),1),IF($AG26&gt;0,INDEX(DT$7:DT$106,$AG26),1),IF($AH26&gt;0,INDEX(DT$7:DT$106,$AH26),1),IF($AI26&gt;0,INDEX(DT$7:DT$106,$AI26),1),IF($AJ26&gt;0,INDEX(DT$7:DT$106,$AJ26),1))))</ns0:f>
        <ns0:v>1</ns0:v>
      </ns0:c>
      <ns0:c r="DV26" t="n">
        <ns0:f>IF($A26="",1,IF(DU26=1,1,--AND(IF($AC26&gt;0,INDEX(DU$7:DU$106,$AC26),1),IF($AD26&gt;0,INDEX(DU$7:DU$106,$AD26),1),IF($AE26&gt;0,INDEX(DU$7:DU$106,$AE26),1),IF($AF26&gt;0,INDEX(DU$7:DU$106,$AF26),1),IF($AG26&gt;0,INDEX(DU$7:DU$106,$AG26),1),IF($AH26&gt;0,INDEX(DU$7:DU$106,$AH26),1),IF($AI26&gt;0,INDEX(DU$7:DU$106,$AI26),1),IF($AJ26&gt;0,INDEX(DU$7:DU$106,$AJ26),1))))</ns0:f>
        <ns0:v>1</ns0:v>
      </ns0:c>
      <ns0:c r="DW26" t="n">
        <ns0:f>IF($A26="",1,IF(DV26=1,1,--AND(IF($AC26&gt;0,INDEX(DV$7:DV$106,$AC26),1),IF($AD26&gt;0,INDEX(DV$7:DV$106,$AD26),1),IF($AE26&gt;0,INDEX(DV$7:DV$106,$AE26),1),IF($AF26&gt;0,INDEX(DV$7:DV$106,$AF26),1),IF($AG26&gt;0,INDEX(DV$7:DV$106,$AG26),1),IF($AH26&gt;0,INDEX(DV$7:DV$106,$AH26),1),IF($AI26&gt;0,INDEX(DV$7:DV$106,$AI26),1),IF($AJ26&gt;0,INDEX(DV$7:DV$106,$AJ26),1))))</ns0:f>
        <ns0:v>1</ns0:v>
      </ns0:c>
      <ns0:c r="DX26" t="n">
        <ns0:f>IF($A26="",1,IF(DW26=1,1,--AND(IF($AC26&gt;0,INDEX(DW$7:DW$106,$AC26),1),IF($AD26&gt;0,INDEX(DW$7:DW$106,$AD26),1),IF($AE26&gt;0,INDEX(DW$7:DW$106,$AE26),1),IF($AF26&gt;0,INDEX(DW$7:DW$106,$AF26),1),IF($AG26&gt;0,INDEX(DW$7:DW$106,$AG26),1),IF($AH26&gt;0,INDEX(DW$7:DW$106,$AH26),1),IF($AI26&gt;0,INDEX(DW$7:DW$106,$AI26),1),IF($AJ26&gt;0,INDEX(DW$7:DW$106,$AJ26),1))))</ns0:f>
        <ns0:v>1</ns0:v>
      </ns0:c>
      <ns0:c r="DY26" t="n">
        <ns0:f>IF($A26="",1,IF(DX26=1,1,--AND(IF($AC26&gt;0,INDEX(DX$7:DX$106,$AC26),1),IF($AD26&gt;0,INDEX(DX$7:DX$106,$AD26),1),IF($AE26&gt;0,INDEX(DX$7:DX$106,$AE26),1),IF($AF26&gt;0,INDEX(DX$7:DX$106,$AF26),1),IF($AG26&gt;0,INDEX(DX$7:DX$106,$AG26),1),IF($AH26&gt;0,INDEX(DX$7:DX$106,$AH26),1),IF($AI26&gt;0,INDEX(DX$7:DX$106,$AI26),1),IF($AJ26&gt;0,INDEX(DX$7:DX$106,$AJ26),1))))</ns0:f>
        <ns0:v>1</ns0:v>
      </ns0:c>
      <ns0:c r="DZ26" t="n">
        <ns0:f>IF($A26="",1,IF(DY26=1,1,--AND(IF($AC26&gt;0,INDEX(DY$7:DY$106,$AC26),1),IF($AD26&gt;0,INDEX(DY$7:DY$106,$AD26),1),IF($AE26&gt;0,INDEX(DY$7:DY$106,$AE26),1),IF($AF26&gt;0,INDEX(DY$7:DY$106,$AF26),1),IF($AG26&gt;0,INDEX(DY$7:DY$106,$AG26),1),IF($AH26&gt;0,INDEX(DY$7:DY$106,$AH26),1),IF($AI26&gt;0,INDEX(DY$7:DY$106,$AI26),1),IF($AJ26&gt;0,INDEX(DY$7:DY$106,$AJ26),1))))</ns0:f>
        <ns0:v>1</ns0:v>
      </ns0:c>
      <ns0:c r="EA26" t="n">
        <ns0:f>IF($A26="",1,IF(DZ26=1,1,--AND(IF($AC26&gt;0,INDEX(DZ$7:DZ$106,$AC26),1),IF($AD26&gt;0,INDEX(DZ$7:DZ$106,$AD26),1),IF($AE26&gt;0,INDEX(DZ$7:DZ$106,$AE26),1),IF($AF26&gt;0,INDEX(DZ$7:DZ$106,$AF26),1),IF($AG26&gt;0,INDEX(DZ$7:DZ$106,$AG26),1),IF($AH26&gt;0,INDEX(DZ$7:DZ$106,$AH26),1),IF($AI26&gt;0,INDEX(DZ$7:DZ$106,$AI26),1),IF($AJ26&gt;0,INDEX(DZ$7:DZ$106,$AJ26),1))))</ns0:f>
        <ns0:v>1</ns0:v>
      </ns0:c>
      <ns0:c r="EB26" t="n">
        <ns0:f>IF($A26="",1,IF(EA26=1,1,--AND(IF($AC26&gt;0,INDEX(EA$7:EA$106,$AC26),1),IF($AD26&gt;0,INDEX(EA$7:EA$106,$AD26),1),IF($AE26&gt;0,INDEX(EA$7:EA$106,$AE26),1),IF($AF26&gt;0,INDEX(EA$7:EA$106,$AF26),1),IF($AG26&gt;0,INDEX(EA$7:EA$106,$AG26),1),IF($AH26&gt;0,INDEX(EA$7:EA$106,$AH26),1),IF($AI26&gt;0,INDEX(EA$7:EA$106,$AI26),1),IF($AJ26&gt;0,INDEX(EA$7:EA$106,$AJ26),1))))</ns0:f>
        <ns0:v>1</ns0:v>
      </ns0:c>
      <ns0:c r="EC26" t="n">
        <ns0:f>IF($A26="",1,IF(EB26=1,1,--AND(IF($AC26&gt;0,INDEX(EB$7:EB$106,$AC26),1),IF($AD26&gt;0,INDEX(EB$7:EB$106,$AD26),1),IF($AE26&gt;0,INDEX(EB$7:EB$106,$AE26),1),IF($AF26&gt;0,INDEX(EB$7:EB$106,$AF26),1),IF($AG26&gt;0,INDEX(EB$7:EB$106,$AG26),1),IF($AH26&gt;0,INDEX(EB$7:EB$106,$AH26),1),IF($AI26&gt;0,INDEX(EB$7:EB$106,$AI26),1),IF($AJ26&gt;0,INDEX(EB$7:EB$106,$AJ26),1))))</ns0:f>
        <ns0:v>1</ns0:v>
      </ns0:c>
      <ns0:c r="ED26" t="n">
        <ns0:f>IF($A26="",1,IF(EC26=1,1,--AND(IF($AC26&gt;0,INDEX(EC$7:EC$106,$AC26),1),IF($AD26&gt;0,INDEX(EC$7:EC$106,$AD26),1),IF($AE26&gt;0,INDEX(EC$7:EC$106,$AE26),1),IF($AF26&gt;0,INDEX(EC$7:EC$106,$AF26),1),IF($AG26&gt;0,INDEX(EC$7:EC$106,$AG26),1),IF($AH26&gt;0,INDEX(EC$7:EC$106,$AH26),1),IF($AI26&gt;0,INDEX(EC$7:EC$106,$AI26),1),IF($AJ26&gt;0,INDEX(EC$7:EC$106,$AJ26),1))))</ns0:f>
        <ns0:v>1</ns0:v>
      </ns0:c>
      <ns0:c r="EE26" t="n">
        <ns0:f>IF($A26="",1,IF(ED26=1,1,--AND(IF($AC26&gt;0,INDEX(ED$7:ED$106,$AC26),1),IF($AD26&gt;0,INDEX(ED$7:ED$106,$AD26),1),IF($AE26&gt;0,INDEX(ED$7:ED$106,$AE26),1),IF($AF26&gt;0,INDEX(ED$7:ED$106,$AF26),1),IF($AG26&gt;0,INDEX(ED$7:ED$106,$AG26),1),IF($AH26&gt;0,INDEX(ED$7:ED$106,$AH26),1),IF($AI26&gt;0,INDEX(ED$7:ED$106,$AI26),1),IF($AJ26&gt;0,INDEX(ED$7:ED$106,$AJ26),1))))</ns0:f>
        <ns0:v>1</ns0:v>
      </ns0:c>
      <ns0:c r="EF26" t="n">
        <ns0:f>IF($A26="",1,IF(EE26=1,1,--AND(IF($AC26&gt;0,INDEX(EE$7:EE$106,$AC26),1),IF($AD26&gt;0,INDEX(EE$7:EE$106,$AD26),1),IF($AE26&gt;0,INDEX(EE$7:EE$106,$AE26),1),IF($AF26&gt;0,INDEX(EE$7:EE$106,$AF26),1),IF($AG26&gt;0,INDEX(EE$7:EE$106,$AG26),1),IF($AH26&gt;0,INDEX(EE$7:EE$106,$AH26),1),IF($AI26&gt;0,INDEX(EE$7:EE$106,$AI26),1),IF($AJ26&gt;0,INDEX(EE$7:EE$106,$AJ26),1))))</ns0:f>
        <ns0:v>1</ns0:v>
      </ns0:c>
      <ns0:c r="EG26" t="n">
        <ns0:f>IF($A26="",1,IF(EF26=1,1,--AND(IF($AC26&gt;0,INDEX(EF$7:EF$106,$AC26),1),IF($AD26&gt;0,INDEX(EF$7:EF$106,$AD26),1),IF($AE26&gt;0,INDEX(EF$7:EF$106,$AE26),1),IF($AF26&gt;0,INDEX(EF$7:EF$106,$AF26),1),IF($AG26&gt;0,INDEX(EF$7:EF$106,$AG26),1),IF($AH26&gt;0,INDEX(EF$7:EF$106,$AH26),1),IF($AI26&gt;0,INDEX(EF$7:EF$106,$AI26),1),IF($AJ26&gt;0,INDEX(EF$7:EF$106,$AJ26),1))))</ns0:f>
        <ns0:v>1</ns0:v>
      </ns0:c>
      <ns0:c r="EH26" t="n">
        <ns0:f>IF($A26="",1,IF(EG26=1,1,--AND(IF($AC26&gt;0,INDEX(EG$7:EG$106,$AC26),1),IF($AD26&gt;0,INDEX(EG$7:EG$106,$AD26),1),IF($AE26&gt;0,INDEX(EG$7:EG$106,$AE26),1),IF($AF26&gt;0,INDEX(EG$7:EG$106,$AF26),1),IF($AG26&gt;0,INDEX(EG$7:EG$106,$AG26),1),IF($AH26&gt;0,INDEX(EG$7:EG$106,$AH26),1),IF($AI26&gt;0,INDEX(EG$7:EG$106,$AI26),1),IF($AJ26&gt;0,INDEX(EG$7:EG$106,$AJ26),1))))</ns0:f>
        <ns0:v>1</ns0:v>
      </ns0:c>
      <ns0:c r="EI26" t="n">
        <ns0:f>IF($A26="",1,IF(EH26=1,1,--AND(IF($AC26&gt;0,INDEX(EH$7:EH$106,$AC26),1),IF($AD26&gt;0,INDEX(EH$7:EH$106,$AD26),1),IF($AE26&gt;0,INDEX(EH$7:EH$106,$AE26),1),IF($AF26&gt;0,INDEX(EH$7:EH$106,$AF26),1),IF($AG26&gt;0,INDEX(EH$7:EH$106,$AG26),1),IF($AH26&gt;0,INDEX(EH$7:EH$106,$AH26),1),IF($AI26&gt;0,INDEX(EH$7:EH$106,$AI26),1),IF($AJ26&gt;0,INDEX(EH$7:EH$106,$AJ26),1))))</ns0:f>
        <ns0:v>1</ns0:v>
      </ns0:c>
      <ns0:c r="EJ26" t="n">
        <ns0:f>IF($A26="",1,IF(EI26=1,1,--AND(IF($AC26&gt;0,INDEX(EI$7:EI$106,$AC26),1),IF($AD26&gt;0,INDEX(EI$7:EI$106,$AD26),1),IF($AE26&gt;0,INDEX(EI$7:EI$106,$AE26),1),IF($AF26&gt;0,INDEX(EI$7:EI$106,$AF26),1),IF($AG26&gt;0,INDEX(EI$7:EI$106,$AG26),1),IF($AH26&gt;0,INDEX(EI$7:EI$106,$AH26),1),IF($AI26&gt;0,INDEX(EI$7:EI$106,$AI26),1),IF($AJ26&gt;0,INDEX(EI$7:EI$106,$AJ26),1))))</ns0:f>
        <ns0:v>1</ns0:v>
      </ns0:c>
      <ns0:c r="EK26" t="n">
        <ns0:f>IF($A26="",1,IF(EJ26=1,1,--AND(IF($AC26&gt;0,INDEX(EJ$7:EJ$106,$AC26),1),IF($AD26&gt;0,INDEX(EJ$7:EJ$106,$AD26),1),IF($AE26&gt;0,INDEX(EJ$7:EJ$106,$AE26),1),IF($AF26&gt;0,INDEX(EJ$7:EJ$106,$AF26),1),IF($AG26&gt;0,INDEX(EJ$7:EJ$106,$AG26),1),IF($AH26&gt;0,INDEX(EJ$7:EJ$106,$AH26),1),IF($AI26&gt;0,INDEX(EJ$7:EJ$106,$AI26),1),IF($AJ26&gt;0,INDEX(EJ$7:EJ$106,$AJ26),1))))</ns0:f>
        <ns0:v>1</ns0:v>
      </ns0:c>
      <ns0:c r="EL26" t="n">
        <ns0:f>IF($A26="",1,IF(EK26=1,1,--AND(IF($AC26&gt;0,INDEX(EK$7:EK$106,$AC26),1),IF($AD26&gt;0,INDEX(EK$7:EK$106,$AD26),1),IF($AE26&gt;0,INDEX(EK$7:EK$106,$AE26),1),IF($AF26&gt;0,INDEX(EK$7:EK$106,$AF26),1),IF($AG26&gt;0,INDEX(EK$7:EK$106,$AG26),1),IF($AH26&gt;0,INDEX(EK$7:EK$106,$AH26),1),IF($AI26&gt;0,INDEX(EK$7:EK$106,$AI26),1),IF($AJ26&gt;0,INDEX(EK$7:EK$106,$AJ26),1))))</ns0:f>
        <ns0:v>1</ns0:v>
      </ns0:c>
      <ns0:c r="EM26" t="n">
        <ns0:f>IF($A26="",1,IF(EL26=1,1,--AND(IF($AC26&gt;0,INDEX(EL$7:EL$106,$AC26),1),IF($AD26&gt;0,INDEX(EL$7:EL$106,$AD26),1),IF($AE26&gt;0,INDEX(EL$7:EL$106,$AE26),1),IF($AF26&gt;0,INDEX(EL$7:EL$106,$AF26),1),IF($AG26&gt;0,INDEX(EL$7:EL$106,$AG26),1),IF($AH26&gt;0,INDEX(EL$7:EL$106,$AH26),1),IF($AI26&gt;0,INDEX(EL$7:EL$106,$AI26),1),IF($AJ26&gt;0,INDEX(EL$7:EL$106,$AJ26),1))))</ns0:f>
        <ns0:v>1</ns0:v>
      </ns0:c>
      <ns0:c r="EN26" t="n">
        <ns0:f>IF($A26="",1,IF(EM26=1,1,--AND(IF($AC26&gt;0,INDEX(EM$7:EM$106,$AC26),1),IF($AD26&gt;0,INDEX(EM$7:EM$106,$AD26),1),IF($AE26&gt;0,INDEX(EM$7:EM$106,$AE26),1),IF($AF26&gt;0,INDEX(EM$7:EM$106,$AF26),1),IF($AG26&gt;0,INDEX(EM$7:EM$106,$AG26),1),IF($AH26&gt;0,INDEX(EM$7:EM$106,$AH26),1),IF($AI26&gt;0,INDEX(EM$7:EM$106,$AI26),1),IF($AJ26&gt;0,INDEX(EM$7:EM$106,$AJ26),1))))</ns0:f>
        <ns0:v>1</ns0:v>
      </ns0:c>
      <ns0:c r="EO26" t="n">
        <ns0:f>IF($A26="",1,IF(EN26=1,1,--AND(IF($AC26&gt;0,INDEX(EN$7:EN$106,$AC26),1),IF($AD26&gt;0,INDEX(EN$7:EN$106,$AD26),1),IF($AE26&gt;0,INDEX(EN$7:EN$106,$AE26),1),IF($AF26&gt;0,INDEX(EN$7:EN$106,$AF26),1),IF($AG26&gt;0,INDEX(EN$7:EN$106,$AG26),1),IF($AH26&gt;0,INDEX(EN$7:EN$106,$AH26),1),IF($AI26&gt;0,INDEX(EN$7:EN$106,$AI26),1),IF($AJ26&gt;0,INDEX(EN$7:EN$106,$AJ26),1))))</ns0:f>
        <ns0:v>1</ns0:v>
      </ns0:c>
      <ns0:c r="EP26" t="n">
        <ns0:f>IF($A26="",1,IF(EO26=1,1,--AND(IF($AC26&gt;0,INDEX(EO$7:EO$106,$AC26),1),IF($AD26&gt;0,INDEX(EO$7:EO$106,$AD26),1),IF($AE26&gt;0,INDEX(EO$7:EO$106,$AE26),1),IF($AF26&gt;0,INDEX(EO$7:EO$106,$AF26),1),IF($AG26&gt;0,INDEX(EO$7:EO$106,$AG26),1),IF($AH26&gt;0,INDEX(EO$7:EO$106,$AH26),1),IF($AI26&gt;0,INDEX(EO$7:EO$106,$AI26),1),IF($AJ26&gt;0,INDEX(EO$7:EO$106,$AJ26),1))))</ns0:f>
        <ns0:v>1</ns0:v>
      </ns0:c>
      <ns0:c r="EQ26" t="n">
        <ns0:f>IF(OR(A26="",NOT(ISNUMBER(G26))),0,G26*N26)</ns0:f>
        <ns0:v>0</ns0:v>
      </ns0:c>
    </ns0:row>
    <ns0:row r="27" ht="62" customHeight="1">
      <ns0:c r="A27" s="48" t="str">
        <ns0:v>T18</ns0:v>
      </ns0:c>
      <ns0:c r="B27" s="48" t="str">
        <ns0:v>Intelligence &amp; assets</ns0:v>
      </ns0:c>
      <ns0:c r="C27" s="48" t="str">
        <ns0:v>Scrape competitor ad libraries, pricing, and market positioning (W_COMP)</ns0:v>
      </ns0:c>
      <ns0:c r="D27" s="48" t="str">
        <ns0:v>Collect ad-library trends, competitor pricing and positioning with S_SCRAPE.</ns0:v>
      </ns0:c>
      <ns0:c r="E27" s="49" t="n">
        <ns0:v>46285</ns0:v>
      </ns0:c>
      <ns0:c r="F27" s="49" t="n">
        <ns0:v>46286</ns0:v>
      </ns0:c>
      <ns0:c r="G27" s="13" t="n">
        <ns0:f>IF(A27="","",IF(OR(NOT(ISNUMBER(E27)),NOT(ISNUMBER(F27)),F27&lt;E27),"",IF(J27="Yes",0,F27-E27+1)))</ns0:f>
        <ns0:v>2</ns0:v>
      </ns0:c>
      <ns0:c r="H27" s="48" t="str">
        <ns0:v>T10,T12,T14,T15</ns0:v>
      </ns0:c>
      <ns0:c r="I27" s="48" t="str">
        <ns0:v>FS</ns0:v>
      </ns0:c>
      <ns0:c r="J27" s="48" t="str">
        <ns0:v>No</ns0:v>
      </ns0:c>
      <ns0:c r="K27" s="48" t="str">
        <ns0:v>Specialist Sub-Agents (L4_SUBS);Competitor Intel Engine (W_COMP)</ns0:v>
      </ns0:c>
      <ns0:c r="L27" s="48" t="str"/>
      <ns0:c r="M27" s="50" t="str">
        <ns0:f>IF(A27="","",IF(N27=1,"Completed",IF(N27&gt;0,"In Progress","Not Started")))</ns0:f>
        <ns0:v>Not Started</ns0:v>
      </ns0:c>
      <ns0:c r="N27" s="51" t="n">
        <ns0:v>0</ns0:v>
      </ns0:c>
      <ns0:c r="O27" s="13" t="str">
        <ns0:f>IF(A27="","",IF(R27&lt;&gt;"","[CONFLICT] "&amp;R27,IF(S27&lt;&gt;"","[CONFLICT] "&amp;S27,IF(OR(NOT(ISNUMBER(N27)),N27&lt;0,N27&gt;1),"[CONFLICT] Invalid progress",IF(AK27&gt;0,"[DEPENDENCY ISSUE] Missing ID / &gt;8 links",IF(AM27&gt;0,"[DEPENDENCY ISSUE] Cycle or blocked by cycle",IF(AND(H27&lt;&gt;"",ISNA(MATCH(I27,{"FS","SS","FF","SF"},0))),"[DEPENDENCY ISSUE] Invalid type",IF(AL27&gt;0,"[DEPENDENCY ISSUE] Timing conflict",IF(OR(E27&lt;ProjectStart,F27&gt;ProjectEnd),"[OUTSIDE WINDOW]",IF(AND(N27&lt;1,F27&lt;AsOfDate),"Overdue",IF(AND(M27&lt;&gt;Q27,M27&lt;&gt;""),"[CONFLICT] Status / progress","On track")))))))))))</ns0:f>
        <ns0:v>On track</ns0:v>
      </ns0:c>
      <ns0:c r="P27" s="52" t="str">
        <ns0:v>Source: Project Plan Essentials (2).md §1, §2, §4. Original 2026-09-24 to 2026-09-26, 3d; original progress 100% [INFERRED]. [INFERRED] Rescheduled to fit 34d with FS. Duration reduced to 2d. [CONFLICT] §1/§2.1 vs §2.2 predecessors: union retained. Original resource/tools: Competitor Intel Engine &amp; S_SCRAPE.</ns0:v>
      </ns0:c>
      <ns0:c r="Q27" t="str">
        <ns0:f>IF(A27="","",IF(OR(M27="On Hold",M27="Delayed"),M27,IF(N27=1,"Completed",IF(N27&gt;0,"In Progress","Not Started"))))</ns0:f>
        <ns0:v>Not Started</ns0:v>
      </ns0:c>
      <ns0:c r="R27" t="str">
        <ns0:f>IF(A27="","",IF(COUNTIFS(Tasks[Task ID],A27)&lt;&gt;1,"Duplicate ID",""))</ns0:f>
      </ns0:c>
      <ns0:c r="S27" t="str">
        <ns0:f>IF(A27="","",IF(OR(NOT(ISNUMBER(E27)),NOT(ISNUMBER(F27))),"Invalid / missing date",IF(OR(E27&lt;&gt;INT(E27),F27&lt;&gt;INT(F27),E27&lt;1,F27&gt;2958465),"Invalid date",IF(F27&lt;E27,"End before start",IF(AND(J27="Yes",E27&lt;&gt;F27),"Milestone needs one date","")))))</ns0:f>
      </ns0:c>
      <ns0:c r="T27" t="n">
        <ns0:f>IF(H27="",0,LEN(H27)-LEN(SUBSTITUTE(H27,",",""))+1)</ns0:f>
        <ns0:v>4</ns0:v>
      </ns0:c>
      <ns0:c r="U27" t="str">
        <ns0:f>TRIM(MID(SUBSTITUTE($H27,",",REPT(" ",100)),1,100))</ns0:f>
        <ns0:v>T10</ns0:v>
      </ns0:c>
      <ns0:c r="V27" t="str">
        <ns0:f>TRIM(MID(SUBSTITUTE($H27,",",REPT(" ",100)),101,100))</ns0:f>
        <ns0:v>T12</ns0:v>
      </ns0:c>
      <ns0:c r="W27" t="str">
        <ns0:f>TRIM(MID(SUBSTITUTE($H27,",",REPT(" ",100)),201,100))</ns0:f>
        <ns0:v>T14</ns0:v>
      </ns0:c>
      <ns0:c r="X27" t="str">
        <ns0:f>TRIM(MID(SUBSTITUTE($H27,",",REPT(" ",100)),301,100))</ns0:f>
        <ns0:v>T15</ns0:v>
      </ns0:c>
      <ns0:c r="Y27" t="str">
        <ns0:f>TRIM(MID(SUBSTITUTE($H27,",",REPT(" ",100)),401,100))</ns0:f>
      </ns0:c>
      <ns0:c r="Z27" t="str">
        <ns0:f>TRIM(MID(SUBSTITUTE($H27,",",REPT(" ",100)),501,100))</ns0:f>
      </ns0:c>
      <ns0:c r="AA27" t="str">
        <ns0:f>TRIM(MID(SUBSTITUTE($H27,",",REPT(" ",100)),601,100))</ns0:f>
      </ns0:c>
      <ns0:c r="AB27" t="str">
        <ns0:f>TRIM(MID(SUBSTITUTE($H27,",",REPT(" ",100)),701,100))</ns0:f>
      </ns0:c>
      <ns0:c r="AC27" t="n">
        <ns0:f>IF(U27="",0,IF(COUNTIFS(Tasks[Task ID],U27)=1,MATCH(U27,Tasks[Task ID],0),-1))</ns0:f>
        <ns0:v>11</ns0:v>
      </ns0:c>
      <ns0:c r="AD27" t="n">
        <ns0:f>IF(V27="",0,IF(COUNTIFS(Tasks[Task ID],V27)=1,MATCH(V27,Tasks[Task ID],0),-1))</ns0:f>
        <ns0:v>14</ns0:v>
      </ns0:c>
      <ns0:c r="AE27" t="n">
        <ns0:f>IF(W27="",0,IF(COUNTIFS(Tasks[Task ID],W27)=1,MATCH(W27,Tasks[Task ID],0),-1))</ns0:f>
        <ns0:v>16</ns0:v>
      </ns0:c>
      <ns0:c r="AF27" t="n">
        <ns0:f>IF(X27="",0,IF(COUNTIFS(Tasks[Task ID],X27)=1,MATCH(X27,Tasks[Task ID],0),-1))</ns0:f>
        <ns0:v>18</ns0:v>
      </ns0:c>
      <ns0:c r="AG27" t="n">
        <ns0:f>IF(Y27="",0,IF(COUNTIFS(Tasks[Task ID],Y27)=1,MATCH(Y27,Tasks[Task ID],0),-1))</ns0:f>
        <ns0:v>0</ns0:v>
      </ns0:c>
      <ns0:c r="AH27" t="n">
        <ns0:f>IF(Z27="",0,IF(COUNTIFS(Tasks[Task ID],Z27)=1,MATCH(Z27,Tasks[Task ID],0),-1))</ns0:f>
        <ns0:v>0</ns0:v>
      </ns0:c>
      <ns0:c r="AI27" t="n">
        <ns0:f>IF(AA27="",0,IF(COUNTIFS(Tasks[Task ID],AA27)=1,MATCH(AA27,Tasks[Task ID],0),-1))</ns0:f>
        <ns0:v>0</ns0:v>
      </ns0:c>
      <ns0:c r="AJ27" t="n">
        <ns0:f>IF(AB27="",0,IF(COUNTIFS(Tasks[Task ID],AB27)=1,MATCH(AB27,Tasks[Task ID],0),-1))</ns0:f>
        <ns0:v>0</ns0:v>
      </ns0:c>
      <ns0:c r="AK27" t="n">
        <ns0:f>COUNTIFS(AC27:AJ27,-1)+IF(T27&gt;8,1,0)</ns0:f>
        <ns0:v>0</ns0:v>
      </ns0:c>
      <ns0:c r="AL27" t="n">
        <ns0:f>IF(OR(A27="",S27&lt;&gt;""),0,SUM(IF(AC27&gt;0,IF($I27="FS",--($E27&lt;INDEX(Tasks[End Date],AC27)+IF(INDEX(Tasks[Milestone],AC27)="Yes",0,1)),IF($I27="SS",--($E27&lt;INDEX(Tasks[Start Date],AC27)),IF($I27="FF",--($F27&lt;INDEX(Tasks[End Date],AC27)),IF($I27="SF",--($F27&lt;INDEX(Tasks[Start Date],AC27)),0)))),0),IF(AD27&gt;0,IF($I27="FS",--($E27&lt;INDEX(Tasks[End Date],AD27)+IF(INDEX(Tasks[Milestone],AD27)="Yes",0,1)),IF($I27="SS",--($E27&lt;INDEX(Tasks[Start Date],AD27)),IF($I27="FF",--($F27&lt;INDEX(Tasks[End Date],AD27)),IF($I27="SF",--($F27&lt;INDEX(Tasks[Start Date],AD27)),0)))),0),IF(AE27&gt;0,IF($I27="FS",--($E27&lt;INDEX(Tasks[End Date],AE27)+IF(INDEX(Tasks[Milestone],AE27)="Yes",0,1)),IF($I27="SS",--($E27&lt;INDEX(Tasks[Start Date],AE27)),IF($I27="FF",--($F27&lt;INDEX(Tasks[End Date],AE27)),IF($I27="SF",--($F27&lt;INDEX(Tasks[Start Date],AE27)),0)))),0),IF(AF27&gt;0,IF($I27="FS",--($E27&lt;INDEX(Tasks[End Date],AF27)+IF(INDEX(Tasks[Milestone],AF27)="Yes",0,1)),IF($I27="SS",--($E27&lt;INDEX(Tasks[Start Date],AF27)),IF($I27="FF",--($F27&lt;INDEX(Tasks[End Date],AF27)),IF($I27="SF",--($F27&lt;INDEX(Tasks[Start Date],AF27)),0)))),0),IF(AG27&gt;0,IF($I27="FS",--($E27&lt;INDEX(Tasks[End Date],AG27)+IF(INDEX(Tasks[Milestone],AG27)="Yes",0,1)),IF($I27="SS",--($E27&lt;INDEX(Tasks[Start Date],AG27)),IF($I27="FF",--($F27&lt;INDEX(Tasks[End Date],AG27)),IF($I27="SF",--($F27&lt;INDEX(Tasks[Start Date],AG27)),0)))),0),IF(AH27&gt;0,IF($I27="FS",--($E27&lt;INDEX(Tasks[End Date],AH27)+IF(INDEX(Tasks[Milestone],AH27)="Yes",0,1)),IF($I27="SS",--($E27&lt;INDEX(Tasks[Start Date],AH27)),IF($I27="FF",--($F27&lt;INDEX(Tasks[End Date],AH27)),IF($I27="SF",--($F27&lt;INDEX(Tasks[Start Date],AH27)),0)))),0),IF(AI27&gt;0,IF($I27="FS",--($E27&lt;INDEX(Tasks[End Date],AI27)+IF(INDEX(Tasks[Milestone],AI27)="Yes",0,1)),IF($I27="SS",--($E27&lt;INDEX(Tasks[Start Date],AI27)),IF($I27="FF",--($F27&lt;INDEX(Tasks[End Date],AI27)),IF($I27="SF",--($F27&lt;INDEX(Tasks[Start Date],AI27)),0)))),0),IF(AJ27&gt;0,IF($I27="FS",--($E27&lt;INDEX(Tasks[End Date],AJ27)+IF(INDEX(Tasks[Milestone],AJ27)="Yes",0,1)),IF($I27="SS",--($E27&lt;INDEX(Tasks[Start Date],AJ27)),IF($I27="FF",--($F27&lt;INDEX(Tasks[End Date],AJ27)),IF($I27="SF",--($F27&lt;INDEX(Tasks[Start Date],AJ27)),0)))),0)))</ns0:f>
        <ns0:v>0</ns0:v>
      </ns0:c>
      <ns0:c r="AM27" t="n">
        <ns0:f>IF(AND(A27&lt;&gt;"",AK27=0,EP27=0),1,0)</ns0:f>
        <ns0:v>0</ns0:v>
      </ns0:c>
      <ns0:c r="AN27" t="str">
        <ns0:f>IF(OR(A27="",B27=""),"",IF(COUNTIFS($B$7:B27,B27)=1,MAX($AN$6:AN26)+1,""))</ns0:f>
      </ns0:c>
      <ns0:c r="AO27" t="n">
        <ns0:f>IF(AND(A27&lt;&gt;"",J27="No",N27&lt;1,E27&gt;=AsOfDate),E27+ROW()/10000,1E+9)</ns0:f>
        <ns0:v>46285.0027</ns0:v>
      </ns0:c>
      <ns0:c r="AP27" t="n">
        <ns0:f>IF(AND(A27&lt;&gt;"",J27="Yes",N27&lt;1,E27&gt;=AsOfDate),E27+ROW()/10000,1E+9)</ns0:f>
        <ns0:v>1000000000</ns0:v>
      </ns0:c>
      <ns0:c r="AQ27" t="n">
        <ns0:f>IF(AND(A27&lt;&gt;"",J27="No",N27&lt;1,F27&gt;=AsOfDate,F27&lt;=AsOfDate+7),F27+ROW()/10000,1E+9)</ns0:f>
        <ns0:v>1000000000</ns0:v>
      </ns0:c>
      <ns0:c r="AR27" t="n">
        <ns0:f>IF(AND(A27&lt;&gt;"",OR(O27&lt;&gt;"On track",Q27="Delayed")),ROW(),1E+9)</ns0:f>
        <ns0:v>1000000000</ns0:v>
      </ns0:c>
      <ns0:c r="AS27" t="str">
        <ns0:f>IF(A27="","",";"&amp;K27&amp;";")</ns0:f>
        <ns0:v>;Specialist Sub-Agents (L4_SUBS);Competitor Intel Engine (W_COMP);</ns0:v>
      </ns0:c>
      <ns0:c r="AT27" t="n">
        <ns0:f>IF(A27="",1,--(T27=0))</ns0:f>
        <ns0:v>0</ns0:v>
      </ns0:c>
      <ns0:c r="AU27" t="n">
        <ns0:f>IF($A27="",1,IF(AT27=1,1,--AND(IF($AC27&gt;0,INDEX(AT$7:AT$106,$AC27),1),IF($AD27&gt;0,INDEX(AT$7:AT$106,$AD27),1),IF($AE27&gt;0,INDEX(AT$7:AT$106,$AE27),1),IF($AF27&gt;0,INDEX(AT$7:AT$106,$AF27),1),IF($AG27&gt;0,INDEX(AT$7:AT$106,$AG27),1),IF($AH27&gt;0,INDEX(AT$7:AT$106,$AH27),1),IF($AI27&gt;0,INDEX(AT$7:AT$106,$AI27),1),IF($AJ27&gt;0,INDEX(AT$7:AT$106,$AJ27),1))))</ns0:f>
        <ns0:v>0</ns0:v>
      </ns0:c>
      <ns0:c r="AV27" t="n">
        <ns0:f>IF($A27="",1,IF(AU27=1,1,--AND(IF($AC27&gt;0,INDEX(AU$7:AU$106,$AC27),1),IF($AD27&gt;0,INDEX(AU$7:AU$106,$AD27),1),IF($AE27&gt;0,INDEX(AU$7:AU$106,$AE27),1),IF($AF27&gt;0,INDEX(AU$7:AU$106,$AF27),1),IF($AG27&gt;0,INDEX(AU$7:AU$106,$AG27),1),IF($AH27&gt;0,INDEX(AU$7:AU$106,$AH27),1),IF($AI27&gt;0,INDEX(AU$7:AU$106,$AI27),1),IF($AJ27&gt;0,INDEX(AU$7:AU$106,$AJ27),1))))</ns0:f>
        <ns0:v>0</ns0:v>
      </ns0:c>
      <ns0:c r="AW27" t="n">
        <ns0:f>IF($A27="",1,IF(AV27=1,1,--AND(IF($AC27&gt;0,INDEX(AV$7:AV$106,$AC27),1),IF($AD27&gt;0,INDEX(AV$7:AV$106,$AD27),1),IF($AE27&gt;0,INDEX(AV$7:AV$106,$AE27),1),IF($AF27&gt;0,INDEX(AV$7:AV$106,$AF27),1),IF($AG27&gt;0,INDEX(AV$7:AV$106,$AG27),1),IF($AH27&gt;0,INDEX(AV$7:AV$106,$AH27),1),IF($AI27&gt;0,INDEX(AV$7:AV$106,$AI27),1),IF($AJ27&gt;0,INDEX(AV$7:AV$106,$AJ27),1))))</ns0:f>
        <ns0:v>0</ns0:v>
      </ns0:c>
      <ns0:c r="AX27" t="n">
        <ns0:f>IF($A27="",1,IF(AW27=1,1,--AND(IF($AC27&gt;0,INDEX(AW$7:AW$106,$AC27),1),IF($AD27&gt;0,INDEX(AW$7:AW$106,$AD27),1),IF($AE27&gt;0,INDEX(AW$7:AW$106,$AE27),1),IF($AF27&gt;0,INDEX(AW$7:AW$106,$AF27),1),IF($AG27&gt;0,INDEX(AW$7:AW$106,$AG27),1),IF($AH27&gt;0,INDEX(AW$7:AW$106,$AH27),1),IF($AI27&gt;0,INDEX(AW$7:AW$106,$AI27),1),IF($AJ27&gt;0,INDEX(AW$7:AW$106,$AJ27),1))))</ns0:f>
        <ns0:v>0</ns0:v>
      </ns0:c>
      <ns0:c r="AY27" t="n">
        <ns0:f>IF($A27="",1,IF(AX27=1,1,--AND(IF($AC27&gt;0,INDEX(AX$7:AX$106,$AC27),1),IF($AD27&gt;0,INDEX(AX$7:AX$106,$AD27),1),IF($AE27&gt;0,INDEX(AX$7:AX$106,$AE27),1),IF($AF27&gt;0,INDEX(AX$7:AX$106,$AF27),1),IF($AG27&gt;0,INDEX(AX$7:AX$106,$AG27),1),IF($AH27&gt;0,INDEX(AX$7:AX$106,$AH27),1),IF($AI27&gt;0,INDEX(AX$7:AX$106,$AI27),1),IF($AJ27&gt;0,INDEX(AX$7:AX$106,$AJ27),1))))</ns0:f>
        <ns0:v>0</ns0:v>
      </ns0:c>
      <ns0:c r="AZ27" t="n">
        <ns0:f>IF($A27="",1,IF(AY27=1,1,--AND(IF($AC27&gt;0,INDEX(AY$7:AY$106,$AC27),1),IF($AD27&gt;0,INDEX(AY$7:AY$106,$AD27),1),IF($AE27&gt;0,INDEX(AY$7:AY$106,$AE27),1),IF($AF27&gt;0,INDEX(AY$7:AY$106,$AF27),1),IF($AG27&gt;0,INDEX(AY$7:AY$106,$AG27),1),IF($AH27&gt;0,INDEX(AY$7:AY$106,$AH27),1),IF($AI27&gt;0,INDEX(AY$7:AY$106,$AI27),1),IF($AJ27&gt;0,INDEX(AY$7:AY$106,$AJ27),1))))</ns0:f>
        <ns0:v>1</ns0:v>
      </ns0:c>
      <ns0:c r="BA27" t="n">
        <ns0:f>IF($A27="",1,IF(AZ27=1,1,--AND(IF($AC27&gt;0,INDEX(AZ$7:AZ$106,$AC27),1),IF($AD27&gt;0,INDEX(AZ$7:AZ$106,$AD27),1),IF($AE27&gt;0,INDEX(AZ$7:AZ$106,$AE27),1),IF($AF27&gt;0,INDEX(AZ$7:AZ$106,$AF27),1),IF($AG27&gt;0,INDEX(AZ$7:AZ$106,$AG27),1),IF($AH27&gt;0,INDEX(AZ$7:AZ$106,$AH27),1),IF($AI27&gt;0,INDEX(AZ$7:AZ$106,$AI27),1),IF($AJ27&gt;0,INDEX(AZ$7:AZ$106,$AJ27),1))))</ns0:f>
        <ns0:v>1</ns0:v>
      </ns0:c>
      <ns0:c r="BB27" t="n">
        <ns0:f>IF($A27="",1,IF(BA27=1,1,--AND(IF($AC27&gt;0,INDEX(BA$7:BA$106,$AC27),1),IF($AD27&gt;0,INDEX(BA$7:BA$106,$AD27),1),IF($AE27&gt;0,INDEX(BA$7:BA$106,$AE27),1),IF($AF27&gt;0,INDEX(BA$7:BA$106,$AF27),1),IF($AG27&gt;0,INDEX(BA$7:BA$106,$AG27),1),IF($AH27&gt;0,INDEX(BA$7:BA$106,$AH27),1),IF($AI27&gt;0,INDEX(BA$7:BA$106,$AI27),1),IF($AJ27&gt;0,INDEX(BA$7:BA$106,$AJ27),1))))</ns0:f>
        <ns0:v>1</ns0:v>
      </ns0:c>
      <ns0:c r="BC27" t="n">
        <ns0:f>IF($A27="",1,IF(BB27=1,1,--AND(IF($AC27&gt;0,INDEX(BB$7:BB$106,$AC27),1),IF($AD27&gt;0,INDEX(BB$7:BB$106,$AD27),1),IF($AE27&gt;0,INDEX(BB$7:BB$106,$AE27),1),IF($AF27&gt;0,INDEX(BB$7:BB$106,$AF27),1),IF($AG27&gt;0,INDEX(BB$7:BB$106,$AG27),1),IF($AH27&gt;0,INDEX(BB$7:BB$106,$AH27),1),IF($AI27&gt;0,INDEX(BB$7:BB$106,$AI27),1),IF($AJ27&gt;0,INDEX(BB$7:BB$106,$AJ27),1))))</ns0:f>
        <ns0:v>1</ns0:v>
      </ns0:c>
      <ns0:c r="BD27" t="n">
        <ns0:f>IF($A27="",1,IF(BC27=1,1,--AND(IF($AC27&gt;0,INDEX(BC$7:BC$106,$AC27),1),IF($AD27&gt;0,INDEX(BC$7:BC$106,$AD27),1),IF($AE27&gt;0,INDEX(BC$7:BC$106,$AE27),1),IF($AF27&gt;0,INDEX(BC$7:BC$106,$AF27),1),IF($AG27&gt;0,INDEX(BC$7:BC$106,$AG27),1),IF($AH27&gt;0,INDEX(BC$7:BC$106,$AH27),1),IF($AI27&gt;0,INDEX(BC$7:BC$106,$AI27),1),IF($AJ27&gt;0,INDEX(BC$7:BC$106,$AJ27),1))))</ns0:f>
        <ns0:v>1</ns0:v>
      </ns0:c>
      <ns0:c r="BE27" t="n">
        <ns0:f>IF($A27="",1,IF(BD27=1,1,--AND(IF($AC27&gt;0,INDEX(BD$7:BD$106,$AC27),1),IF($AD27&gt;0,INDEX(BD$7:BD$106,$AD27),1),IF($AE27&gt;0,INDEX(BD$7:BD$106,$AE27),1),IF($AF27&gt;0,INDEX(BD$7:BD$106,$AF27),1),IF($AG27&gt;0,INDEX(BD$7:BD$106,$AG27),1),IF($AH27&gt;0,INDEX(BD$7:BD$106,$AH27),1),IF($AI27&gt;0,INDEX(BD$7:BD$106,$AI27),1),IF($AJ27&gt;0,INDEX(BD$7:BD$106,$AJ27),1))))</ns0:f>
        <ns0:v>1</ns0:v>
      </ns0:c>
      <ns0:c r="BF27" t="n">
        <ns0:f>IF($A27="",1,IF(BE27=1,1,--AND(IF($AC27&gt;0,INDEX(BE$7:BE$106,$AC27),1),IF($AD27&gt;0,INDEX(BE$7:BE$106,$AD27),1),IF($AE27&gt;0,INDEX(BE$7:BE$106,$AE27),1),IF($AF27&gt;0,INDEX(BE$7:BE$106,$AF27),1),IF($AG27&gt;0,INDEX(BE$7:BE$106,$AG27),1),IF($AH27&gt;0,INDEX(BE$7:BE$106,$AH27),1),IF($AI27&gt;0,INDEX(BE$7:BE$106,$AI27),1),IF($AJ27&gt;0,INDEX(BE$7:BE$106,$AJ27),1))))</ns0:f>
        <ns0:v>1</ns0:v>
      </ns0:c>
      <ns0:c r="BG27" t="n">
        <ns0:f>IF($A27="",1,IF(BF27=1,1,--AND(IF($AC27&gt;0,INDEX(BF$7:BF$106,$AC27),1),IF($AD27&gt;0,INDEX(BF$7:BF$106,$AD27),1),IF($AE27&gt;0,INDEX(BF$7:BF$106,$AE27),1),IF($AF27&gt;0,INDEX(BF$7:BF$106,$AF27),1),IF($AG27&gt;0,INDEX(BF$7:BF$106,$AG27),1),IF($AH27&gt;0,INDEX(BF$7:BF$106,$AH27),1),IF($AI27&gt;0,INDEX(BF$7:BF$106,$AI27),1),IF($AJ27&gt;0,INDEX(BF$7:BF$106,$AJ27),1))))</ns0:f>
        <ns0:v>1</ns0:v>
      </ns0:c>
      <ns0:c r="BH27" t="n">
        <ns0:f>IF($A27="",1,IF(BG27=1,1,--AND(IF($AC27&gt;0,INDEX(BG$7:BG$106,$AC27),1),IF($AD27&gt;0,INDEX(BG$7:BG$106,$AD27),1),IF($AE27&gt;0,INDEX(BG$7:BG$106,$AE27),1),IF($AF27&gt;0,INDEX(BG$7:BG$106,$AF27),1),IF($AG27&gt;0,INDEX(BG$7:BG$106,$AG27),1),IF($AH27&gt;0,INDEX(BG$7:BG$106,$AH27),1),IF($AI27&gt;0,INDEX(BG$7:BG$106,$AI27),1),IF($AJ27&gt;0,INDEX(BG$7:BG$106,$AJ27),1))))</ns0:f>
        <ns0:v>1</ns0:v>
      </ns0:c>
      <ns0:c r="BI27" t="n">
        <ns0:f>IF($A27="",1,IF(BH27=1,1,--AND(IF($AC27&gt;0,INDEX(BH$7:BH$106,$AC27),1),IF($AD27&gt;0,INDEX(BH$7:BH$106,$AD27),1),IF($AE27&gt;0,INDEX(BH$7:BH$106,$AE27),1),IF($AF27&gt;0,INDEX(BH$7:BH$106,$AF27),1),IF($AG27&gt;0,INDEX(BH$7:BH$106,$AG27),1),IF($AH27&gt;0,INDEX(BH$7:BH$106,$AH27),1),IF($AI27&gt;0,INDEX(BH$7:BH$106,$AI27),1),IF($AJ27&gt;0,INDEX(BH$7:BH$106,$AJ27),1))))</ns0:f>
        <ns0:v>1</ns0:v>
      </ns0:c>
      <ns0:c r="BJ27" t="n">
        <ns0:f>IF($A27="",1,IF(BI27=1,1,--AND(IF($AC27&gt;0,INDEX(BI$7:BI$106,$AC27),1),IF($AD27&gt;0,INDEX(BI$7:BI$106,$AD27),1),IF($AE27&gt;0,INDEX(BI$7:BI$106,$AE27),1),IF($AF27&gt;0,INDEX(BI$7:BI$106,$AF27),1),IF($AG27&gt;0,INDEX(BI$7:BI$106,$AG27),1),IF($AH27&gt;0,INDEX(BI$7:BI$106,$AH27),1),IF($AI27&gt;0,INDEX(BI$7:BI$106,$AI27),1),IF($AJ27&gt;0,INDEX(BI$7:BI$106,$AJ27),1))))</ns0:f>
        <ns0:v>1</ns0:v>
      </ns0:c>
      <ns0:c r="BK27" t="n">
        <ns0:f>IF($A27="",1,IF(BJ27=1,1,--AND(IF($AC27&gt;0,INDEX(BJ$7:BJ$106,$AC27),1),IF($AD27&gt;0,INDEX(BJ$7:BJ$106,$AD27),1),IF($AE27&gt;0,INDEX(BJ$7:BJ$106,$AE27),1),IF($AF27&gt;0,INDEX(BJ$7:BJ$106,$AF27),1),IF($AG27&gt;0,INDEX(BJ$7:BJ$106,$AG27),1),IF($AH27&gt;0,INDEX(BJ$7:BJ$106,$AH27),1),IF($AI27&gt;0,INDEX(BJ$7:BJ$106,$AI27),1),IF($AJ27&gt;0,INDEX(BJ$7:BJ$106,$AJ27),1))))</ns0:f>
        <ns0:v>1</ns0:v>
      </ns0:c>
      <ns0:c r="BL27" t="n">
        <ns0:f>IF($A27="",1,IF(BK27=1,1,--AND(IF($AC27&gt;0,INDEX(BK$7:BK$106,$AC27),1),IF($AD27&gt;0,INDEX(BK$7:BK$106,$AD27),1),IF($AE27&gt;0,INDEX(BK$7:BK$106,$AE27),1),IF($AF27&gt;0,INDEX(BK$7:BK$106,$AF27),1),IF($AG27&gt;0,INDEX(BK$7:BK$106,$AG27),1),IF($AH27&gt;0,INDEX(BK$7:BK$106,$AH27),1),IF($AI27&gt;0,INDEX(BK$7:BK$106,$AI27),1),IF($AJ27&gt;0,INDEX(BK$7:BK$106,$AJ27),1))))</ns0:f>
        <ns0:v>1</ns0:v>
      </ns0:c>
      <ns0:c r="BM27" t="n">
        <ns0:f>IF($A27="",1,IF(BL27=1,1,--AND(IF($AC27&gt;0,INDEX(BL$7:BL$106,$AC27),1),IF($AD27&gt;0,INDEX(BL$7:BL$106,$AD27),1),IF($AE27&gt;0,INDEX(BL$7:BL$106,$AE27),1),IF($AF27&gt;0,INDEX(BL$7:BL$106,$AF27),1),IF($AG27&gt;0,INDEX(BL$7:BL$106,$AG27),1),IF($AH27&gt;0,INDEX(BL$7:BL$106,$AH27),1),IF($AI27&gt;0,INDEX(BL$7:BL$106,$AI27),1),IF($AJ27&gt;0,INDEX(BL$7:BL$106,$AJ27),1))))</ns0:f>
        <ns0:v>1</ns0:v>
      </ns0:c>
      <ns0:c r="BN27" t="n">
        <ns0:f>IF($A27="",1,IF(BM27=1,1,--AND(IF($AC27&gt;0,INDEX(BM$7:BM$106,$AC27),1),IF($AD27&gt;0,INDEX(BM$7:BM$106,$AD27),1),IF($AE27&gt;0,INDEX(BM$7:BM$106,$AE27),1),IF($AF27&gt;0,INDEX(BM$7:BM$106,$AF27),1),IF($AG27&gt;0,INDEX(BM$7:BM$106,$AG27),1),IF($AH27&gt;0,INDEX(BM$7:BM$106,$AH27),1),IF($AI27&gt;0,INDEX(BM$7:BM$106,$AI27),1),IF($AJ27&gt;0,INDEX(BM$7:BM$106,$AJ27),1))))</ns0:f>
        <ns0:v>1</ns0:v>
      </ns0:c>
      <ns0:c r="BO27" t="n">
        <ns0:f>IF($A27="",1,IF(BN27=1,1,--AND(IF($AC27&gt;0,INDEX(BN$7:BN$106,$AC27),1),IF($AD27&gt;0,INDEX(BN$7:BN$106,$AD27),1),IF($AE27&gt;0,INDEX(BN$7:BN$106,$AE27),1),IF($AF27&gt;0,INDEX(BN$7:BN$106,$AF27),1),IF($AG27&gt;0,INDEX(BN$7:BN$106,$AG27),1),IF($AH27&gt;0,INDEX(BN$7:BN$106,$AH27),1),IF($AI27&gt;0,INDEX(BN$7:BN$106,$AI27),1),IF($AJ27&gt;0,INDEX(BN$7:BN$106,$AJ27),1))))</ns0:f>
        <ns0:v>1</ns0:v>
      </ns0:c>
      <ns0:c r="BP27" t="n">
        <ns0:f>IF($A27="",1,IF(BO27=1,1,--AND(IF($AC27&gt;0,INDEX(BO$7:BO$106,$AC27),1),IF($AD27&gt;0,INDEX(BO$7:BO$106,$AD27),1),IF($AE27&gt;0,INDEX(BO$7:BO$106,$AE27),1),IF($AF27&gt;0,INDEX(BO$7:BO$106,$AF27),1),IF($AG27&gt;0,INDEX(BO$7:BO$106,$AG27),1),IF($AH27&gt;0,INDEX(BO$7:BO$106,$AH27),1),IF($AI27&gt;0,INDEX(BO$7:BO$106,$AI27),1),IF($AJ27&gt;0,INDEX(BO$7:BO$106,$AJ27),1))))</ns0:f>
        <ns0:v>1</ns0:v>
      </ns0:c>
      <ns0:c r="BQ27" t="n">
        <ns0:f>IF($A27="",1,IF(BP27=1,1,--AND(IF($AC27&gt;0,INDEX(BP$7:BP$106,$AC27),1),IF($AD27&gt;0,INDEX(BP$7:BP$106,$AD27),1),IF($AE27&gt;0,INDEX(BP$7:BP$106,$AE27),1),IF($AF27&gt;0,INDEX(BP$7:BP$106,$AF27),1),IF($AG27&gt;0,INDEX(BP$7:BP$106,$AG27),1),IF($AH27&gt;0,INDEX(BP$7:BP$106,$AH27),1),IF($AI27&gt;0,INDEX(BP$7:BP$106,$AI27),1),IF($AJ27&gt;0,INDEX(BP$7:BP$106,$AJ27),1))))</ns0:f>
        <ns0:v>1</ns0:v>
      </ns0:c>
      <ns0:c r="BR27" t="n">
        <ns0:f>IF($A27="",1,IF(BQ27=1,1,--AND(IF($AC27&gt;0,INDEX(BQ$7:BQ$106,$AC27),1),IF($AD27&gt;0,INDEX(BQ$7:BQ$106,$AD27),1),IF($AE27&gt;0,INDEX(BQ$7:BQ$106,$AE27),1),IF($AF27&gt;0,INDEX(BQ$7:BQ$106,$AF27),1),IF($AG27&gt;0,INDEX(BQ$7:BQ$106,$AG27),1),IF($AH27&gt;0,INDEX(BQ$7:BQ$106,$AH27),1),IF($AI27&gt;0,INDEX(BQ$7:BQ$106,$AI27),1),IF($AJ27&gt;0,INDEX(BQ$7:BQ$106,$AJ27),1))))</ns0:f>
        <ns0:v>1</ns0:v>
      </ns0:c>
      <ns0:c r="BS27" t="n">
        <ns0:f>IF($A27="",1,IF(BR27=1,1,--AND(IF($AC27&gt;0,INDEX(BR$7:BR$106,$AC27),1),IF($AD27&gt;0,INDEX(BR$7:BR$106,$AD27),1),IF($AE27&gt;0,INDEX(BR$7:BR$106,$AE27),1),IF($AF27&gt;0,INDEX(BR$7:BR$106,$AF27),1),IF($AG27&gt;0,INDEX(BR$7:BR$106,$AG27),1),IF($AH27&gt;0,INDEX(BR$7:BR$106,$AH27),1),IF($AI27&gt;0,INDEX(BR$7:BR$106,$AI27),1),IF($AJ27&gt;0,INDEX(BR$7:BR$106,$AJ27),1))))</ns0:f>
        <ns0:v>1</ns0:v>
      </ns0:c>
      <ns0:c r="BT27" t="n">
        <ns0:f>IF($A27="",1,IF(BS27=1,1,--AND(IF($AC27&gt;0,INDEX(BS$7:BS$106,$AC27),1),IF($AD27&gt;0,INDEX(BS$7:BS$106,$AD27),1),IF($AE27&gt;0,INDEX(BS$7:BS$106,$AE27),1),IF($AF27&gt;0,INDEX(BS$7:BS$106,$AF27),1),IF($AG27&gt;0,INDEX(BS$7:BS$106,$AG27),1),IF($AH27&gt;0,INDEX(BS$7:BS$106,$AH27),1),IF($AI27&gt;0,INDEX(BS$7:BS$106,$AI27),1),IF($AJ27&gt;0,INDEX(BS$7:BS$106,$AJ27),1))))</ns0:f>
        <ns0:v>1</ns0:v>
      </ns0:c>
      <ns0:c r="BU27" t="n">
        <ns0:f>IF($A27="",1,IF(BT27=1,1,--AND(IF($AC27&gt;0,INDEX(BT$7:BT$106,$AC27),1),IF($AD27&gt;0,INDEX(BT$7:BT$106,$AD27),1),IF($AE27&gt;0,INDEX(BT$7:BT$106,$AE27),1),IF($AF27&gt;0,INDEX(BT$7:BT$106,$AF27),1),IF($AG27&gt;0,INDEX(BT$7:BT$106,$AG27),1),IF($AH27&gt;0,INDEX(BT$7:BT$106,$AH27),1),IF($AI27&gt;0,INDEX(BT$7:BT$106,$AI27),1),IF($AJ27&gt;0,INDEX(BT$7:BT$106,$AJ27),1))))</ns0:f>
        <ns0:v>1</ns0:v>
      </ns0:c>
      <ns0:c r="BV27" t="n">
        <ns0:f>IF($A27="",1,IF(BU27=1,1,--AND(IF($AC27&gt;0,INDEX(BU$7:BU$106,$AC27),1),IF($AD27&gt;0,INDEX(BU$7:BU$106,$AD27),1),IF($AE27&gt;0,INDEX(BU$7:BU$106,$AE27),1),IF($AF27&gt;0,INDEX(BU$7:BU$106,$AF27),1),IF($AG27&gt;0,INDEX(BU$7:BU$106,$AG27),1),IF($AH27&gt;0,INDEX(BU$7:BU$106,$AH27),1),IF($AI27&gt;0,INDEX(BU$7:BU$106,$AI27),1),IF($AJ27&gt;0,INDEX(BU$7:BU$106,$AJ27),1))))</ns0:f>
        <ns0:v>1</ns0:v>
      </ns0:c>
      <ns0:c r="BW27" t="n">
        <ns0:f>IF($A27="",1,IF(BV27=1,1,--AND(IF($AC27&gt;0,INDEX(BV$7:BV$106,$AC27),1),IF($AD27&gt;0,INDEX(BV$7:BV$106,$AD27),1),IF($AE27&gt;0,INDEX(BV$7:BV$106,$AE27),1),IF($AF27&gt;0,INDEX(BV$7:BV$106,$AF27),1),IF($AG27&gt;0,INDEX(BV$7:BV$106,$AG27),1),IF($AH27&gt;0,INDEX(BV$7:BV$106,$AH27),1),IF($AI27&gt;0,INDEX(BV$7:BV$106,$AI27),1),IF($AJ27&gt;0,INDEX(BV$7:BV$106,$AJ27),1))))</ns0:f>
        <ns0:v>1</ns0:v>
      </ns0:c>
      <ns0:c r="BX27" t="n">
        <ns0:f>IF($A27="",1,IF(BW27=1,1,--AND(IF($AC27&gt;0,INDEX(BW$7:BW$106,$AC27),1),IF($AD27&gt;0,INDEX(BW$7:BW$106,$AD27),1),IF($AE27&gt;0,INDEX(BW$7:BW$106,$AE27),1),IF($AF27&gt;0,INDEX(BW$7:BW$106,$AF27),1),IF($AG27&gt;0,INDEX(BW$7:BW$106,$AG27),1),IF($AH27&gt;0,INDEX(BW$7:BW$106,$AH27),1),IF($AI27&gt;0,INDEX(BW$7:BW$106,$AI27),1),IF($AJ27&gt;0,INDEX(BW$7:BW$106,$AJ27),1))))</ns0:f>
        <ns0:v>1</ns0:v>
      </ns0:c>
      <ns0:c r="BY27" t="n">
        <ns0:f>IF($A27="",1,IF(BX27=1,1,--AND(IF($AC27&gt;0,INDEX(BX$7:BX$106,$AC27),1),IF($AD27&gt;0,INDEX(BX$7:BX$106,$AD27),1),IF($AE27&gt;0,INDEX(BX$7:BX$106,$AE27),1),IF($AF27&gt;0,INDEX(BX$7:BX$106,$AF27),1),IF($AG27&gt;0,INDEX(BX$7:BX$106,$AG27),1),IF($AH27&gt;0,INDEX(BX$7:BX$106,$AH27),1),IF($AI27&gt;0,INDEX(BX$7:BX$106,$AI27),1),IF($AJ27&gt;0,INDEX(BX$7:BX$106,$AJ27),1))))</ns0:f>
        <ns0:v>1</ns0:v>
      </ns0:c>
      <ns0:c r="BZ27" t="n">
        <ns0:f>IF($A27="",1,IF(BY27=1,1,--AND(IF($AC27&gt;0,INDEX(BY$7:BY$106,$AC27),1),IF($AD27&gt;0,INDEX(BY$7:BY$106,$AD27),1),IF($AE27&gt;0,INDEX(BY$7:BY$106,$AE27),1),IF($AF27&gt;0,INDEX(BY$7:BY$106,$AF27),1),IF($AG27&gt;0,INDEX(BY$7:BY$106,$AG27),1),IF($AH27&gt;0,INDEX(BY$7:BY$106,$AH27),1),IF($AI27&gt;0,INDEX(BY$7:BY$106,$AI27),1),IF($AJ27&gt;0,INDEX(BY$7:BY$106,$AJ27),1))))</ns0:f>
        <ns0:v>1</ns0:v>
      </ns0:c>
      <ns0:c r="CA27" t="n">
        <ns0:f>IF($A27="",1,IF(BZ27=1,1,--AND(IF($AC27&gt;0,INDEX(BZ$7:BZ$106,$AC27),1),IF($AD27&gt;0,INDEX(BZ$7:BZ$106,$AD27),1),IF($AE27&gt;0,INDEX(BZ$7:BZ$106,$AE27),1),IF($AF27&gt;0,INDEX(BZ$7:BZ$106,$AF27),1),IF($AG27&gt;0,INDEX(BZ$7:BZ$106,$AG27),1),IF($AH27&gt;0,INDEX(BZ$7:BZ$106,$AH27),1),IF($AI27&gt;0,INDEX(BZ$7:BZ$106,$AI27),1),IF($AJ27&gt;0,INDEX(BZ$7:BZ$106,$AJ27),1))))</ns0:f>
        <ns0:v>1</ns0:v>
      </ns0:c>
      <ns0:c r="CB27" t="n">
        <ns0:f>IF($A27="",1,IF(CA27=1,1,--AND(IF($AC27&gt;0,INDEX(CA$7:CA$106,$AC27),1),IF($AD27&gt;0,INDEX(CA$7:CA$106,$AD27),1),IF($AE27&gt;0,INDEX(CA$7:CA$106,$AE27),1),IF($AF27&gt;0,INDEX(CA$7:CA$106,$AF27),1),IF($AG27&gt;0,INDEX(CA$7:CA$106,$AG27),1),IF($AH27&gt;0,INDEX(CA$7:CA$106,$AH27),1),IF($AI27&gt;0,INDEX(CA$7:CA$106,$AI27),1),IF($AJ27&gt;0,INDEX(CA$7:CA$106,$AJ27),1))))</ns0:f>
        <ns0:v>1</ns0:v>
      </ns0:c>
      <ns0:c r="CC27" t="n">
        <ns0:f>IF($A27="",1,IF(CB27=1,1,--AND(IF($AC27&gt;0,INDEX(CB$7:CB$106,$AC27),1),IF($AD27&gt;0,INDEX(CB$7:CB$106,$AD27),1),IF($AE27&gt;0,INDEX(CB$7:CB$106,$AE27),1),IF($AF27&gt;0,INDEX(CB$7:CB$106,$AF27),1),IF($AG27&gt;0,INDEX(CB$7:CB$106,$AG27),1),IF($AH27&gt;0,INDEX(CB$7:CB$106,$AH27),1),IF($AI27&gt;0,INDEX(CB$7:CB$106,$AI27),1),IF($AJ27&gt;0,INDEX(CB$7:CB$106,$AJ27),1))))</ns0:f>
        <ns0:v>1</ns0:v>
      </ns0:c>
      <ns0:c r="CD27" t="n">
        <ns0:f>IF($A27="",1,IF(CC27=1,1,--AND(IF($AC27&gt;0,INDEX(CC$7:CC$106,$AC27),1),IF($AD27&gt;0,INDEX(CC$7:CC$106,$AD27),1),IF($AE27&gt;0,INDEX(CC$7:CC$106,$AE27),1),IF($AF27&gt;0,INDEX(CC$7:CC$106,$AF27),1),IF($AG27&gt;0,INDEX(CC$7:CC$106,$AG27),1),IF($AH27&gt;0,INDEX(CC$7:CC$106,$AH27),1),IF($AI27&gt;0,INDEX(CC$7:CC$106,$AI27),1),IF($AJ27&gt;0,INDEX(CC$7:CC$106,$AJ27),1))))</ns0:f>
        <ns0:v>1</ns0:v>
      </ns0:c>
      <ns0:c r="CE27" t="n">
        <ns0:f>IF($A27="",1,IF(CD27=1,1,--AND(IF($AC27&gt;0,INDEX(CD$7:CD$106,$AC27),1),IF($AD27&gt;0,INDEX(CD$7:CD$106,$AD27),1),IF($AE27&gt;0,INDEX(CD$7:CD$106,$AE27),1),IF($AF27&gt;0,INDEX(CD$7:CD$106,$AF27),1),IF($AG27&gt;0,INDEX(CD$7:CD$106,$AG27),1),IF($AH27&gt;0,INDEX(CD$7:CD$106,$AH27),1),IF($AI27&gt;0,INDEX(CD$7:CD$106,$AI27),1),IF($AJ27&gt;0,INDEX(CD$7:CD$106,$AJ27),1))))</ns0:f>
        <ns0:v>1</ns0:v>
      </ns0:c>
      <ns0:c r="CF27" t="n">
        <ns0:f>IF($A27="",1,IF(CE27=1,1,--AND(IF($AC27&gt;0,INDEX(CE$7:CE$106,$AC27),1),IF($AD27&gt;0,INDEX(CE$7:CE$106,$AD27),1),IF($AE27&gt;0,INDEX(CE$7:CE$106,$AE27),1),IF($AF27&gt;0,INDEX(CE$7:CE$106,$AF27),1),IF($AG27&gt;0,INDEX(CE$7:CE$106,$AG27),1),IF($AH27&gt;0,INDEX(CE$7:CE$106,$AH27),1),IF($AI27&gt;0,INDEX(CE$7:CE$106,$AI27),1),IF($AJ27&gt;0,INDEX(CE$7:CE$106,$AJ27),1))))</ns0:f>
        <ns0:v>1</ns0:v>
      </ns0:c>
      <ns0:c r="CG27" t="n">
        <ns0:f>IF($A27="",1,IF(CF27=1,1,--AND(IF($AC27&gt;0,INDEX(CF$7:CF$106,$AC27),1),IF($AD27&gt;0,INDEX(CF$7:CF$106,$AD27),1),IF($AE27&gt;0,INDEX(CF$7:CF$106,$AE27),1),IF($AF27&gt;0,INDEX(CF$7:CF$106,$AF27),1),IF($AG27&gt;0,INDEX(CF$7:CF$106,$AG27),1),IF($AH27&gt;0,INDEX(CF$7:CF$106,$AH27),1),IF($AI27&gt;0,INDEX(CF$7:CF$106,$AI27),1),IF($AJ27&gt;0,INDEX(CF$7:CF$106,$AJ27),1))))</ns0:f>
        <ns0:v>1</ns0:v>
      </ns0:c>
      <ns0:c r="CH27" t="n">
        <ns0:f>IF($A27="",1,IF(CG27=1,1,--AND(IF($AC27&gt;0,INDEX(CG$7:CG$106,$AC27),1),IF($AD27&gt;0,INDEX(CG$7:CG$106,$AD27),1),IF($AE27&gt;0,INDEX(CG$7:CG$106,$AE27),1),IF($AF27&gt;0,INDEX(CG$7:CG$106,$AF27),1),IF($AG27&gt;0,INDEX(CG$7:CG$106,$AG27),1),IF($AH27&gt;0,INDEX(CG$7:CG$106,$AH27),1),IF($AI27&gt;0,INDEX(CG$7:CG$106,$AI27),1),IF($AJ27&gt;0,INDEX(CG$7:CG$106,$AJ27),1))))</ns0:f>
        <ns0:v>1</ns0:v>
      </ns0:c>
      <ns0:c r="CI27" t="n">
        <ns0:f>IF($A27="",1,IF(CH27=1,1,--AND(IF($AC27&gt;0,INDEX(CH$7:CH$106,$AC27),1),IF($AD27&gt;0,INDEX(CH$7:CH$106,$AD27),1),IF($AE27&gt;0,INDEX(CH$7:CH$106,$AE27),1),IF($AF27&gt;0,INDEX(CH$7:CH$106,$AF27),1),IF($AG27&gt;0,INDEX(CH$7:CH$106,$AG27),1),IF($AH27&gt;0,INDEX(CH$7:CH$106,$AH27),1),IF($AI27&gt;0,INDEX(CH$7:CH$106,$AI27),1),IF($AJ27&gt;0,INDEX(CH$7:CH$106,$AJ27),1))))</ns0:f>
        <ns0:v>1</ns0:v>
      </ns0:c>
      <ns0:c r="CJ27" t="n">
        <ns0:f>IF($A27="",1,IF(CI27=1,1,--AND(IF($AC27&gt;0,INDEX(CI$7:CI$106,$AC27),1),IF($AD27&gt;0,INDEX(CI$7:CI$106,$AD27),1),IF($AE27&gt;0,INDEX(CI$7:CI$106,$AE27),1),IF($AF27&gt;0,INDEX(CI$7:CI$106,$AF27),1),IF($AG27&gt;0,INDEX(CI$7:CI$106,$AG27),1),IF($AH27&gt;0,INDEX(CI$7:CI$106,$AH27),1),IF($AI27&gt;0,INDEX(CI$7:CI$106,$AI27),1),IF($AJ27&gt;0,INDEX(CI$7:CI$106,$AJ27),1))))</ns0:f>
        <ns0:v>1</ns0:v>
      </ns0:c>
      <ns0:c r="CK27" t="n">
        <ns0:f>IF($A27="",1,IF(CJ27=1,1,--AND(IF($AC27&gt;0,INDEX(CJ$7:CJ$106,$AC27),1),IF($AD27&gt;0,INDEX(CJ$7:CJ$106,$AD27),1),IF($AE27&gt;0,INDEX(CJ$7:CJ$106,$AE27),1),IF($AF27&gt;0,INDEX(CJ$7:CJ$106,$AF27),1),IF($AG27&gt;0,INDEX(CJ$7:CJ$106,$AG27),1),IF($AH27&gt;0,INDEX(CJ$7:CJ$106,$AH27),1),IF($AI27&gt;0,INDEX(CJ$7:CJ$106,$AI27),1),IF($AJ27&gt;0,INDEX(CJ$7:CJ$106,$AJ27),1))))</ns0:f>
        <ns0:v>1</ns0:v>
      </ns0:c>
      <ns0:c r="CL27" t="n">
        <ns0:f>IF($A27="",1,IF(CK27=1,1,--AND(IF($AC27&gt;0,INDEX(CK$7:CK$106,$AC27),1),IF($AD27&gt;0,INDEX(CK$7:CK$106,$AD27),1),IF($AE27&gt;0,INDEX(CK$7:CK$106,$AE27),1),IF($AF27&gt;0,INDEX(CK$7:CK$106,$AF27),1),IF($AG27&gt;0,INDEX(CK$7:CK$106,$AG27),1),IF($AH27&gt;0,INDEX(CK$7:CK$106,$AH27),1),IF($AI27&gt;0,INDEX(CK$7:CK$106,$AI27),1),IF($AJ27&gt;0,INDEX(CK$7:CK$106,$AJ27),1))))</ns0:f>
        <ns0:v>1</ns0:v>
      </ns0:c>
      <ns0:c r="CM27" t="n">
        <ns0:f>IF($A27="",1,IF(CL27=1,1,--AND(IF($AC27&gt;0,INDEX(CL$7:CL$106,$AC27),1),IF($AD27&gt;0,INDEX(CL$7:CL$106,$AD27),1),IF($AE27&gt;0,INDEX(CL$7:CL$106,$AE27),1),IF($AF27&gt;0,INDEX(CL$7:CL$106,$AF27),1),IF($AG27&gt;0,INDEX(CL$7:CL$106,$AG27),1),IF($AH27&gt;0,INDEX(CL$7:CL$106,$AH27),1),IF($AI27&gt;0,INDEX(CL$7:CL$106,$AI27),1),IF($AJ27&gt;0,INDEX(CL$7:CL$106,$AJ27),1))))</ns0:f>
        <ns0:v>1</ns0:v>
      </ns0:c>
      <ns0:c r="CN27" t="n">
        <ns0:f>IF($A27="",1,IF(CM27=1,1,--AND(IF($AC27&gt;0,INDEX(CM$7:CM$106,$AC27),1),IF($AD27&gt;0,INDEX(CM$7:CM$106,$AD27),1),IF($AE27&gt;0,INDEX(CM$7:CM$106,$AE27),1),IF($AF27&gt;0,INDEX(CM$7:CM$106,$AF27),1),IF($AG27&gt;0,INDEX(CM$7:CM$106,$AG27),1),IF($AH27&gt;0,INDEX(CM$7:CM$106,$AH27),1),IF($AI27&gt;0,INDEX(CM$7:CM$106,$AI27),1),IF($AJ27&gt;0,INDEX(CM$7:CM$106,$AJ27),1))))</ns0:f>
        <ns0:v>1</ns0:v>
      </ns0:c>
      <ns0:c r="CO27" t="n">
        <ns0:f>IF($A27="",1,IF(CN27=1,1,--AND(IF($AC27&gt;0,INDEX(CN$7:CN$106,$AC27),1),IF($AD27&gt;0,INDEX(CN$7:CN$106,$AD27),1),IF($AE27&gt;0,INDEX(CN$7:CN$106,$AE27),1),IF($AF27&gt;0,INDEX(CN$7:CN$106,$AF27),1),IF($AG27&gt;0,INDEX(CN$7:CN$106,$AG27),1),IF($AH27&gt;0,INDEX(CN$7:CN$106,$AH27),1),IF($AI27&gt;0,INDEX(CN$7:CN$106,$AI27),1),IF($AJ27&gt;0,INDEX(CN$7:CN$106,$AJ27),1))))</ns0:f>
        <ns0:v>1</ns0:v>
      </ns0:c>
      <ns0:c r="CP27" t="n">
        <ns0:f>IF($A27="",1,IF(CO27=1,1,--AND(IF($AC27&gt;0,INDEX(CO$7:CO$106,$AC27),1),IF($AD27&gt;0,INDEX(CO$7:CO$106,$AD27),1),IF($AE27&gt;0,INDEX(CO$7:CO$106,$AE27),1),IF($AF27&gt;0,INDEX(CO$7:CO$106,$AF27),1),IF($AG27&gt;0,INDEX(CO$7:CO$106,$AG27),1),IF($AH27&gt;0,INDEX(CO$7:CO$106,$AH27),1),IF($AI27&gt;0,INDEX(CO$7:CO$106,$AI27),1),IF($AJ27&gt;0,INDEX(CO$7:CO$106,$AJ27),1))))</ns0:f>
        <ns0:v>1</ns0:v>
      </ns0:c>
      <ns0:c r="CQ27" t="n">
        <ns0:f>IF($A27="",1,IF(CP27=1,1,--AND(IF($AC27&gt;0,INDEX(CP$7:CP$106,$AC27),1),IF($AD27&gt;0,INDEX(CP$7:CP$106,$AD27),1),IF($AE27&gt;0,INDEX(CP$7:CP$106,$AE27),1),IF($AF27&gt;0,INDEX(CP$7:CP$106,$AF27),1),IF($AG27&gt;0,INDEX(CP$7:CP$106,$AG27),1),IF($AH27&gt;0,INDEX(CP$7:CP$106,$AH27),1),IF($AI27&gt;0,INDEX(CP$7:CP$106,$AI27),1),IF($AJ27&gt;0,INDEX(CP$7:CP$106,$AJ27),1))))</ns0:f>
        <ns0:v>1</ns0:v>
      </ns0:c>
      <ns0:c r="CR27" t="n">
        <ns0:f>IF($A27="",1,IF(CQ27=1,1,--AND(IF($AC27&gt;0,INDEX(CQ$7:CQ$106,$AC27),1),IF($AD27&gt;0,INDEX(CQ$7:CQ$106,$AD27),1),IF($AE27&gt;0,INDEX(CQ$7:CQ$106,$AE27),1),IF($AF27&gt;0,INDEX(CQ$7:CQ$106,$AF27),1),IF($AG27&gt;0,INDEX(CQ$7:CQ$106,$AG27),1),IF($AH27&gt;0,INDEX(CQ$7:CQ$106,$AH27),1),IF($AI27&gt;0,INDEX(CQ$7:CQ$106,$AI27),1),IF($AJ27&gt;0,INDEX(CQ$7:CQ$106,$AJ27),1))))</ns0:f>
        <ns0:v>1</ns0:v>
      </ns0:c>
      <ns0:c r="CS27" t="n">
        <ns0:f>IF($A27="",1,IF(CR27=1,1,--AND(IF($AC27&gt;0,INDEX(CR$7:CR$106,$AC27),1),IF($AD27&gt;0,INDEX(CR$7:CR$106,$AD27),1),IF($AE27&gt;0,INDEX(CR$7:CR$106,$AE27),1),IF($AF27&gt;0,INDEX(CR$7:CR$106,$AF27),1),IF($AG27&gt;0,INDEX(CR$7:CR$106,$AG27),1),IF($AH27&gt;0,INDEX(CR$7:CR$106,$AH27),1),IF($AI27&gt;0,INDEX(CR$7:CR$106,$AI27),1),IF($AJ27&gt;0,INDEX(CR$7:CR$106,$AJ27),1))))</ns0:f>
        <ns0:v>1</ns0:v>
      </ns0:c>
      <ns0:c r="CT27" t="n">
        <ns0:f>IF($A27="",1,IF(CS27=1,1,--AND(IF($AC27&gt;0,INDEX(CS$7:CS$106,$AC27),1),IF($AD27&gt;0,INDEX(CS$7:CS$106,$AD27),1),IF($AE27&gt;0,INDEX(CS$7:CS$106,$AE27),1),IF($AF27&gt;0,INDEX(CS$7:CS$106,$AF27),1),IF($AG27&gt;0,INDEX(CS$7:CS$106,$AG27),1),IF($AH27&gt;0,INDEX(CS$7:CS$106,$AH27),1),IF($AI27&gt;0,INDEX(CS$7:CS$106,$AI27),1),IF($AJ27&gt;0,INDEX(CS$7:CS$106,$AJ27),1))))</ns0:f>
        <ns0:v>1</ns0:v>
      </ns0:c>
      <ns0:c r="CU27" t="n">
        <ns0:f>IF($A27="",1,IF(CT27=1,1,--AND(IF($AC27&gt;0,INDEX(CT$7:CT$106,$AC27),1),IF($AD27&gt;0,INDEX(CT$7:CT$106,$AD27),1),IF($AE27&gt;0,INDEX(CT$7:CT$106,$AE27),1),IF($AF27&gt;0,INDEX(CT$7:CT$106,$AF27),1),IF($AG27&gt;0,INDEX(CT$7:CT$106,$AG27),1),IF($AH27&gt;0,INDEX(CT$7:CT$106,$AH27),1),IF($AI27&gt;0,INDEX(CT$7:CT$106,$AI27),1),IF($AJ27&gt;0,INDEX(CT$7:CT$106,$AJ27),1))))</ns0:f>
        <ns0:v>1</ns0:v>
      </ns0:c>
      <ns0:c r="CV27" t="n">
        <ns0:f>IF($A27="",1,IF(CU27=1,1,--AND(IF($AC27&gt;0,INDEX(CU$7:CU$106,$AC27),1),IF($AD27&gt;0,INDEX(CU$7:CU$106,$AD27),1),IF($AE27&gt;0,INDEX(CU$7:CU$106,$AE27),1),IF($AF27&gt;0,INDEX(CU$7:CU$106,$AF27),1),IF($AG27&gt;0,INDEX(CU$7:CU$106,$AG27),1),IF($AH27&gt;0,INDEX(CU$7:CU$106,$AH27),1),IF($AI27&gt;0,INDEX(CU$7:CU$106,$AI27),1),IF($AJ27&gt;0,INDEX(CU$7:CU$106,$AJ27),1))))</ns0:f>
        <ns0:v>1</ns0:v>
      </ns0:c>
      <ns0:c r="CW27" t="n">
        <ns0:f>IF($A27="",1,IF(CV27=1,1,--AND(IF($AC27&gt;0,INDEX(CV$7:CV$106,$AC27),1),IF($AD27&gt;0,INDEX(CV$7:CV$106,$AD27),1),IF($AE27&gt;0,INDEX(CV$7:CV$106,$AE27),1),IF($AF27&gt;0,INDEX(CV$7:CV$106,$AF27),1),IF($AG27&gt;0,INDEX(CV$7:CV$106,$AG27),1),IF($AH27&gt;0,INDEX(CV$7:CV$106,$AH27),1),IF($AI27&gt;0,INDEX(CV$7:CV$106,$AI27),1),IF($AJ27&gt;0,INDEX(CV$7:CV$106,$AJ27),1))))</ns0:f>
        <ns0:v>1</ns0:v>
      </ns0:c>
      <ns0:c r="CX27" t="n">
        <ns0:f>IF($A27="",1,IF(CW27=1,1,--AND(IF($AC27&gt;0,INDEX(CW$7:CW$106,$AC27),1),IF($AD27&gt;0,INDEX(CW$7:CW$106,$AD27),1),IF($AE27&gt;0,INDEX(CW$7:CW$106,$AE27),1),IF($AF27&gt;0,INDEX(CW$7:CW$106,$AF27),1),IF($AG27&gt;0,INDEX(CW$7:CW$106,$AG27),1),IF($AH27&gt;0,INDEX(CW$7:CW$106,$AH27),1),IF($AI27&gt;0,INDEX(CW$7:CW$106,$AI27),1),IF($AJ27&gt;0,INDEX(CW$7:CW$106,$AJ27),1))))</ns0:f>
        <ns0:v>1</ns0:v>
      </ns0:c>
      <ns0:c r="CY27" t="n">
        <ns0:f>IF($A27="",1,IF(CX27=1,1,--AND(IF($AC27&gt;0,INDEX(CX$7:CX$106,$AC27),1),IF($AD27&gt;0,INDEX(CX$7:CX$106,$AD27),1),IF($AE27&gt;0,INDEX(CX$7:CX$106,$AE27),1),IF($AF27&gt;0,INDEX(CX$7:CX$106,$AF27),1),IF($AG27&gt;0,INDEX(CX$7:CX$106,$AG27),1),IF($AH27&gt;0,INDEX(CX$7:CX$106,$AH27),1),IF($AI27&gt;0,INDEX(CX$7:CX$106,$AI27),1),IF($AJ27&gt;0,INDEX(CX$7:CX$106,$AJ27),1))))</ns0:f>
        <ns0:v>1</ns0:v>
      </ns0:c>
      <ns0:c r="CZ27" t="n">
        <ns0:f>IF($A27="",1,IF(CY27=1,1,--AND(IF($AC27&gt;0,INDEX(CY$7:CY$106,$AC27),1),IF($AD27&gt;0,INDEX(CY$7:CY$106,$AD27),1),IF($AE27&gt;0,INDEX(CY$7:CY$106,$AE27),1),IF($AF27&gt;0,INDEX(CY$7:CY$106,$AF27),1),IF($AG27&gt;0,INDEX(CY$7:CY$106,$AG27),1),IF($AH27&gt;0,INDEX(CY$7:CY$106,$AH27),1),IF($AI27&gt;0,INDEX(CY$7:CY$106,$AI27),1),IF($AJ27&gt;0,INDEX(CY$7:CY$106,$AJ27),1))))</ns0:f>
        <ns0:v>1</ns0:v>
      </ns0:c>
      <ns0:c r="DA27" t="n">
        <ns0:f>IF($A27="",1,IF(CZ27=1,1,--AND(IF($AC27&gt;0,INDEX(CZ$7:CZ$106,$AC27),1),IF($AD27&gt;0,INDEX(CZ$7:CZ$106,$AD27),1),IF($AE27&gt;0,INDEX(CZ$7:CZ$106,$AE27),1),IF($AF27&gt;0,INDEX(CZ$7:CZ$106,$AF27),1),IF($AG27&gt;0,INDEX(CZ$7:CZ$106,$AG27),1),IF($AH27&gt;0,INDEX(CZ$7:CZ$106,$AH27),1),IF($AI27&gt;0,INDEX(CZ$7:CZ$106,$AI27),1),IF($AJ27&gt;0,INDEX(CZ$7:CZ$106,$AJ27),1))))</ns0:f>
        <ns0:v>1</ns0:v>
      </ns0:c>
      <ns0:c r="DB27" t="n">
        <ns0:f>IF($A27="",1,IF(DA27=1,1,--AND(IF($AC27&gt;0,INDEX(DA$7:DA$106,$AC27),1),IF($AD27&gt;0,INDEX(DA$7:DA$106,$AD27),1),IF($AE27&gt;0,INDEX(DA$7:DA$106,$AE27),1),IF($AF27&gt;0,INDEX(DA$7:DA$106,$AF27),1),IF($AG27&gt;0,INDEX(DA$7:DA$106,$AG27),1),IF($AH27&gt;0,INDEX(DA$7:DA$106,$AH27),1),IF($AI27&gt;0,INDEX(DA$7:DA$106,$AI27),1),IF($AJ27&gt;0,INDEX(DA$7:DA$106,$AJ27),1))))</ns0:f>
        <ns0:v>1</ns0:v>
      </ns0:c>
      <ns0:c r="DC27" t="n">
        <ns0:f>IF($A27="",1,IF(DB27=1,1,--AND(IF($AC27&gt;0,INDEX(DB$7:DB$106,$AC27),1),IF($AD27&gt;0,INDEX(DB$7:DB$106,$AD27),1),IF($AE27&gt;0,INDEX(DB$7:DB$106,$AE27),1),IF($AF27&gt;0,INDEX(DB$7:DB$106,$AF27),1),IF($AG27&gt;0,INDEX(DB$7:DB$106,$AG27),1),IF($AH27&gt;0,INDEX(DB$7:DB$106,$AH27),1),IF($AI27&gt;0,INDEX(DB$7:DB$106,$AI27),1),IF($AJ27&gt;0,INDEX(DB$7:DB$106,$AJ27),1))))</ns0:f>
        <ns0:v>1</ns0:v>
      </ns0:c>
      <ns0:c r="DD27" t="n">
        <ns0:f>IF($A27="",1,IF(DC27=1,1,--AND(IF($AC27&gt;0,INDEX(DC$7:DC$106,$AC27),1),IF($AD27&gt;0,INDEX(DC$7:DC$106,$AD27),1),IF($AE27&gt;0,INDEX(DC$7:DC$106,$AE27),1),IF($AF27&gt;0,INDEX(DC$7:DC$106,$AF27),1),IF($AG27&gt;0,INDEX(DC$7:DC$106,$AG27),1),IF($AH27&gt;0,INDEX(DC$7:DC$106,$AH27),1),IF($AI27&gt;0,INDEX(DC$7:DC$106,$AI27),1),IF($AJ27&gt;0,INDEX(DC$7:DC$106,$AJ27),1))))</ns0:f>
        <ns0:v>1</ns0:v>
      </ns0:c>
      <ns0:c r="DE27" t="n">
        <ns0:f>IF($A27="",1,IF(DD27=1,1,--AND(IF($AC27&gt;0,INDEX(DD$7:DD$106,$AC27),1),IF($AD27&gt;0,INDEX(DD$7:DD$106,$AD27),1),IF($AE27&gt;0,INDEX(DD$7:DD$106,$AE27),1),IF($AF27&gt;0,INDEX(DD$7:DD$106,$AF27),1),IF($AG27&gt;0,INDEX(DD$7:DD$106,$AG27),1),IF($AH27&gt;0,INDEX(DD$7:DD$106,$AH27),1),IF($AI27&gt;0,INDEX(DD$7:DD$106,$AI27),1),IF($AJ27&gt;0,INDEX(DD$7:DD$106,$AJ27),1))))</ns0:f>
        <ns0:v>1</ns0:v>
      </ns0:c>
      <ns0:c r="DF27" t="n">
        <ns0:f>IF($A27="",1,IF(DE27=1,1,--AND(IF($AC27&gt;0,INDEX(DE$7:DE$106,$AC27),1),IF($AD27&gt;0,INDEX(DE$7:DE$106,$AD27),1),IF($AE27&gt;0,INDEX(DE$7:DE$106,$AE27),1),IF($AF27&gt;0,INDEX(DE$7:DE$106,$AF27),1),IF($AG27&gt;0,INDEX(DE$7:DE$106,$AG27),1),IF($AH27&gt;0,INDEX(DE$7:DE$106,$AH27),1),IF($AI27&gt;0,INDEX(DE$7:DE$106,$AI27),1),IF($AJ27&gt;0,INDEX(DE$7:DE$106,$AJ27),1))))</ns0:f>
        <ns0:v>1</ns0:v>
      </ns0:c>
      <ns0:c r="DG27" t="n">
        <ns0:f>IF($A27="",1,IF(DF27=1,1,--AND(IF($AC27&gt;0,INDEX(DF$7:DF$106,$AC27),1),IF($AD27&gt;0,INDEX(DF$7:DF$106,$AD27),1),IF($AE27&gt;0,INDEX(DF$7:DF$106,$AE27),1),IF($AF27&gt;0,INDEX(DF$7:DF$106,$AF27),1),IF($AG27&gt;0,INDEX(DF$7:DF$106,$AG27),1),IF($AH27&gt;0,INDEX(DF$7:DF$106,$AH27),1),IF($AI27&gt;0,INDEX(DF$7:DF$106,$AI27),1),IF($AJ27&gt;0,INDEX(DF$7:DF$106,$AJ27),1))))</ns0:f>
        <ns0:v>1</ns0:v>
      </ns0:c>
      <ns0:c r="DH27" t="n">
        <ns0:f>IF($A27="",1,IF(DG27=1,1,--AND(IF($AC27&gt;0,INDEX(DG$7:DG$106,$AC27),1),IF($AD27&gt;0,INDEX(DG$7:DG$106,$AD27),1),IF($AE27&gt;0,INDEX(DG$7:DG$106,$AE27),1),IF($AF27&gt;0,INDEX(DG$7:DG$106,$AF27),1),IF($AG27&gt;0,INDEX(DG$7:DG$106,$AG27),1),IF($AH27&gt;0,INDEX(DG$7:DG$106,$AH27),1),IF($AI27&gt;0,INDEX(DG$7:DG$106,$AI27),1),IF($AJ27&gt;0,INDEX(DG$7:DG$106,$AJ27),1))))</ns0:f>
        <ns0:v>1</ns0:v>
      </ns0:c>
      <ns0:c r="DI27" t="n">
        <ns0:f>IF($A27="",1,IF(DH27=1,1,--AND(IF($AC27&gt;0,INDEX(DH$7:DH$106,$AC27),1),IF($AD27&gt;0,INDEX(DH$7:DH$106,$AD27),1),IF($AE27&gt;0,INDEX(DH$7:DH$106,$AE27),1),IF($AF27&gt;0,INDEX(DH$7:DH$106,$AF27),1),IF($AG27&gt;0,INDEX(DH$7:DH$106,$AG27),1),IF($AH27&gt;0,INDEX(DH$7:DH$106,$AH27),1),IF($AI27&gt;0,INDEX(DH$7:DH$106,$AI27),1),IF($AJ27&gt;0,INDEX(DH$7:DH$106,$AJ27),1))))</ns0:f>
        <ns0:v>1</ns0:v>
      </ns0:c>
      <ns0:c r="DJ27" t="n">
        <ns0:f>IF($A27="",1,IF(DI27=1,1,--AND(IF($AC27&gt;0,INDEX(DI$7:DI$106,$AC27),1),IF($AD27&gt;0,INDEX(DI$7:DI$106,$AD27),1),IF($AE27&gt;0,INDEX(DI$7:DI$106,$AE27),1),IF($AF27&gt;0,INDEX(DI$7:DI$106,$AF27),1),IF($AG27&gt;0,INDEX(DI$7:DI$106,$AG27),1),IF($AH27&gt;0,INDEX(DI$7:DI$106,$AH27),1),IF($AI27&gt;0,INDEX(DI$7:DI$106,$AI27),1),IF($AJ27&gt;0,INDEX(DI$7:DI$106,$AJ27),1))))</ns0:f>
        <ns0:v>1</ns0:v>
      </ns0:c>
      <ns0:c r="DK27" t="n">
        <ns0:f>IF($A27="",1,IF(DJ27=1,1,--AND(IF($AC27&gt;0,INDEX(DJ$7:DJ$106,$AC27),1),IF($AD27&gt;0,INDEX(DJ$7:DJ$106,$AD27),1),IF($AE27&gt;0,INDEX(DJ$7:DJ$106,$AE27),1),IF($AF27&gt;0,INDEX(DJ$7:DJ$106,$AF27),1),IF($AG27&gt;0,INDEX(DJ$7:DJ$106,$AG27),1),IF($AH27&gt;0,INDEX(DJ$7:DJ$106,$AH27),1),IF($AI27&gt;0,INDEX(DJ$7:DJ$106,$AI27),1),IF($AJ27&gt;0,INDEX(DJ$7:DJ$106,$AJ27),1))))</ns0:f>
        <ns0:v>1</ns0:v>
      </ns0:c>
      <ns0:c r="DL27" t="n">
        <ns0:f>IF($A27="",1,IF(DK27=1,1,--AND(IF($AC27&gt;0,INDEX(DK$7:DK$106,$AC27),1),IF($AD27&gt;0,INDEX(DK$7:DK$106,$AD27),1),IF($AE27&gt;0,INDEX(DK$7:DK$106,$AE27),1),IF($AF27&gt;0,INDEX(DK$7:DK$106,$AF27),1),IF($AG27&gt;0,INDEX(DK$7:DK$106,$AG27),1),IF($AH27&gt;0,INDEX(DK$7:DK$106,$AH27),1),IF($AI27&gt;0,INDEX(DK$7:DK$106,$AI27),1),IF($AJ27&gt;0,INDEX(DK$7:DK$106,$AJ27),1))))</ns0:f>
        <ns0:v>1</ns0:v>
      </ns0:c>
      <ns0:c r="DM27" t="n">
        <ns0:f>IF($A27="",1,IF(DL27=1,1,--AND(IF($AC27&gt;0,INDEX(DL$7:DL$106,$AC27),1),IF($AD27&gt;0,INDEX(DL$7:DL$106,$AD27),1),IF($AE27&gt;0,INDEX(DL$7:DL$106,$AE27),1),IF($AF27&gt;0,INDEX(DL$7:DL$106,$AF27),1),IF($AG27&gt;0,INDEX(DL$7:DL$106,$AG27),1),IF($AH27&gt;0,INDEX(DL$7:DL$106,$AH27),1),IF($AI27&gt;0,INDEX(DL$7:DL$106,$AI27),1),IF($AJ27&gt;0,INDEX(DL$7:DL$106,$AJ27),1))))</ns0:f>
        <ns0:v>1</ns0:v>
      </ns0:c>
      <ns0:c r="DN27" t="n">
        <ns0:f>IF($A27="",1,IF(DM27=1,1,--AND(IF($AC27&gt;0,INDEX(DM$7:DM$106,$AC27),1),IF($AD27&gt;0,INDEX(DM$7:DM$106,$AD27),1),IF($AE27&gt;0,INDEX(DM$7:DM$106,$AE27),1),IF($AF27&gt;0,INDEX(DM$7:DM$106,$AF27),1),IF($AG27&gt;0,INDEX(DM$7:DM$106,$AG27),1),IF($AH27&gt;0,INDEX(DM$7:DM$106,$AH27),1),IF($AI27&gt;0,INDEX(DM$7:DM$106,$AI27),1),IF($AJ27&gt;0,INDEX(DM$7:DM$106,$AJ27),1))))</ns0:f>
        <ns0:v>1</ns0:v>
      </ns0:c>
      <ns0:c r="DO27" t="n">
        <ns0:f>IF($A27="",1,IF(DN27=1,1,--AND(IF($AC27&gt;0,INDEX(DN$7:DN$106,$AC27),1),IF($AD27&gt;0,INDEX(DN$7:DN$106,$AD27),1),IF($AE27&gt;0,INDEX(DN$7:DN$106,$AE27),1),IF($AF27&gt;0,INDEX(DN$7:DN$106,$AF27),1),IF($AG27&gt;0,INDEX(DN$7:DN$106,$AG27),1),IF($AH27&gt;0,INDEX(DN$7:DN$106,$AH27),1),IF($AI27&gt;0,INDEX(DN$7:DN$106,$AI27),1),IF($AJ27&gt;0,INDEX(DN$7:DN$106,$AJ27),1))))</ns0:f>
        <ns0:v>1</ns0:v>
      </ns0:c>
      <ns0:c r="DP27" t="n">
        <ns0:f>IF($A27="",1,IF(DO27=1,1,--AND(IF($AC27&gt;0,INDEX(DO$7:DO$106,$AC27),1),IF($AD27&gt;0,INDEX(DO$7:DO$106,$AD27),1),IF($AE27&gt;0,INDEX(DO$7:DO$106,$AE27),1),IF($AF27&gt;0,INDEX(DO$7:DO$106,$AF27),1),IF($AG27&gt;0,INDEX(DO$7:DO$106,$AG27),1),IF($AH27&gt;0,INDEX(DO$7:DO$106,$AH27),1),IF($AI27&gt;0,INDEX(DO$7:DO$106,$AI27),1),IF($AJ27&gt;0,INDEX(DO$7:DO$106,$AJ27),1))))</ns0:f>
        <ns0:v>1</ns0:v>
      </ns0:c>
      <ns0:c r="DQ27" t="n">
        <ns0:f>IF($A27="",1,IF(DP27=1,1,--AND(IF($AC27&gt;0,INDEX(DP$7:DP$106,$AC27),1),IF($AD27&gt;0,INDEX(DP$7:DP$106,$AD27),1),IF($AE27&gt;0,INDEX(DP$7:DP$106,$AE27),1),IF($AF27&gt;0,INDEX(DP$7:DP$106,$AF27),1),IF($AG27&gt;0,INDEX(DP$7:DP$106,$AG27),1),IF($AH27&gt;0,INDEX(DP$7:DP$106,$AH27),1),IF($AI27&gt;0,INDEX(DP$7:DP$106,$AI27),1),IF($AJ27&gt;0,INDEX(DP$7:DP$106,$AJ27),1))))</ns0:f>
        <ns0:v>1</ns0:v>
      </ns0:c>
      <ns0:c r="DR27" t="n">
        <ns0:f>IF($A27="",1,IF(DQ27=1,1,--AND(IF($AC27&gt;0,INDEX(DQ$7:DQ$106,$AC27),1),IF($AD27&gt;0,INDEX(DQ$7:DQ$106,$AD27),1),IF($AE27&gt;0,INDEX(DQ$7:DQ$106,$AE27),1),IF($AF27&gt;0,INDEX(DQ$7:DQ$106,$AF27),1),IF($AG27&gt;0,INDEX(DQ$7:DQ$106,$AG27),1),IF($AH27&gt;0,INDEX(DQ$7:DQ$106,$AH27),1),IF($AI27&gt;0,INDEX(DQ$7:DQ$106,$AI27),1),IF($AJ27&gt;0,INDEX(DQ$7:DQ$106,$AJ27),1))))</ns0:f>
        <ns0:v>1</ns0:v>
      </ns0:c>
      <ns0:c r="DS27" t="n">
        <ns0:f>IF($A27="",1,IF(DR27=1,1,--AND(IF($AC27&gt;0,INDEX(DR$7:DR$106,$AC27),1),IF($AD27&gt;0,INDEX(DR$7:DR$106,$AD27),1),IF($AE27&gt;0,INDEX(DR$7:DR$106,$AE27),1),IF($AF27&gt;0,INDEX(DR$7:DR$106,$AF27),1),IF($AG27&gt;0,INDEX(DR$7:DR$106,$AG27),1),IF($AH27&gt;0,INDEX(DR$7:DR$106,$AH27),1),IF($AI27&gt;0,INDEX(DR$7:DR$106,$AI27),1),IF($AJ27&gt;0,INDEX(DR$7:DR$106,$AJ27),1))))</ns0:f>
        <ns0:v>1</ns0:v>
      </ns0:c>
      <ns0:c r="DT27" t="n">
        <ns0:f>IF($A27="",1,IF(DS27=1,1,--AND(IF($AC27&gt;0,INDEX(DS$7:DS$106,$AC27),1),IF($AD27&gt;0,INDEX(DS$7:DS$106,$AD27),1),IF($AE27&gt;0,INDEX(DS$7:DS$106,$AE27),1),IF($AF27&gt;0,INDEX(DS$7:DS$106,$AF27),1),IF($AG27&gt;0,INDEX(DS$7:DS$106,$AG27),1),IF($AH27&gt;0,INDEX(DS$7:DS$106,$AH27),1),IF($AI27&gt;0,INDEX(DS$7:DS$106,$AI27),1),IF($AJ27&gt;0,INDEX(DS$7:DS$106,$AJ27),1))))</ns0:f>
        <ns0:v>1</ns0:v>
      </ns0:c>
      <ns0:c r="DU27" t="n">
        <ns0:f>IF($A27="",1,IF(DT27=1,1,--AND(IF($AC27&gt;0,INDEX(DT$7:DT$106,$AC27),1),IF($AD27&gt;0,INDEX(DT$7:DT$106,$AD27),1),IF($AE27&gt;0,INDEX(DT$7:DT$106,$AE27),1),IF($AF27&gt;0,INDEX(DT$7:DT$106,$AF27),1),IF($AG27&gt;0,INDEX(DT$7:DT$106,$AG27),1),IF($AH27&gt;0,INDEX(DT$7:DT$106,$AH27),1),IF($AI27&gt;0,INDEX(DT$7:DT$106,$AI27),1),IF($AJ27&gt;0,INDEX(DT$7:DT$106,$AJ27),1))))</ns0:f>
        <ns0:v>1</ns0:v>
      </ns0:c>
      <ns0:c r="DV27" t="n">
        <ns0:f>IF($A27="",1,IF(DU27=1,1,--AND(IF($AC27&gt;0,INDEX(DU$7:DU$106,$AC27),1),IF($AD27&gt;0,INDEX(DU$7:DU$106,$AD27),1),IF($AE27&gt;0,INDEX(DU$7:DU$106,$AE27),1),IF($AF27&gt;0,INDEX(DU$7:DU$106,$AF27),1),IF($AG27&gt;0,INDEX(DU$7:DU$106,$AG27),1),IF($AH27&gt;0,INDEX(DU$7:DU$106,$AH27),1),IF($AI27&gt;0,INDEX(DU$7:DU$106,$AI27),1),IF($AJ27&gt;0,INDEX(DU$7:DU$106,$AJ27),1))))</ns0:f>
        <ns0:v>1</ns0:v>
      </ns0:c>
      <ns0:c r="DW27" t="n">
        <ns0:f>IF($A27="",1,IF(DV27=1,1,--AND(IF($AC27&gt;0,INDEX(DV$7:DV$106,$AC27),1),IF($AD27&gt;0,INDEX(DV$7:DV$106,$AD27),1),IF($AE27&gt;0,INDEX(DV$7:DV$106,$AE27),1),IF($AF27&gt;0,INDEX(DV$7:DV$106,$AF27),1),IF($AG27&gt;0,INDEX(DV$7:DV$106,$AG27),1),IF($AH27&gt;0,INDEX(DV$7:DV$106,$AH27),1),IF($AI27&gt;0,INDEX(DV$7:DV$106,$AI27),1),IF($AJ27&gt;0,INDEX(DV$7:DV$106,$AJ27),1))))</ns0:f>
        <ns0:v>1</ns0:v>
      </ns0:c>
      <ns0:c r="DX27" t="n">
        <ns0:f>IF($A27="",1,IF(DW27=1,1,--AND(IF($AC27&gt;0,INDEX(DW$7:DW$106,$AC27),1),IF($AD27&gt;0,INDEX(DW$7:DW$106,$AD27),1),IF($AE27&gt;0,INDEX(DW$7:DW$106,$AE27),1),IF($AF27&gt;0,INDEX(DW$7:DW$106,$AF27),1),IF($AG27&gt;0,INDEX(DW$7:DW$106,$AG27),1),IF($AH27&gt;0,INDEX(DW$7:DW$106,$AH27),1),IF($AI27&gt;0,INDEX(DW$7:DW$106,$AI27),1),IF($AJ27&gt;0,INDEX(DW$7:DW$106,$AJ27),1))))</ns0:f>
        <ns0:v>1</ns0:v>
      </ns0:c>
      <ns0:c r="DY27" t="n">
        <ns0:f>IF($A27="",1,IF(DX27=1,1,--AND(IF($AC27&gt;0,INDEX(DX$7:DX$106,$AC27),1),IF($AD27&gt;0,INDEX(DX$7:DX$106,$AD27),1),IF($AE27&gt;0,INDEX(DX$7:DX$106,$AE27),1),IF($AF27&gt;0,INDEX(DX$7:DX$106,$AF27),1),IF($AG27&gt;0,INDEX(DX$7:DX$106,$AG27),1),IF($AH27&gt;0,INDEX(DX$7:DX$106,$AH27),1),IF($AI27&gt;0,INDEX(DX$7:DX$106,$AI27),1),IF($AJ27&gt;0,INDEX(DX$7:DX$106,$AJ27),1))))</ns0:f>
        <ns0:v>1</ns0:v>
      </ns0:c>
      <ns0:c r="DZ27" t="n">
        <ns0:f>IF($A27="",1,IF(DY27=1,1,--AND(IF($AC27&gt;0,INDEX(DY$7:DY$106,$AC27),1),IF($AD27&gt;0,INDEX(DY$7:DY$106,$AD27),1),IF($AE27&gt;0,INDEX(DY$7:DY$106,$AE27),1),IF($AF27&gt;0,INDEX(DY$7:DY$106,$AF27),1),IF($AG27&gt;0,INDEX(DY$7:DY$106,$AG27),1),IF($AH27&gt;0,INDEX(DY$7:DY$106,$AH27),1),IF($AI27&gt;0,INDEX(DY$7:DY$106,$AI27),1),IF($AJ27&gt;0,INDEX(DY$7:DY$106,$AJ27),1))))</ns0:f>
        <ns0:v>1</ns0:v>
      </ns0:c>
      <ns0:c r="EA27" t="n">
        <ns0:f>IF($A27="",1,IF(DZ27=1,1,--AND(IF($AC27&gt;0,INDEX(DZ$7:DZ$106,$AC27),1),IF($AD27&gt;0,INDEX(DZ$7:DZ$106,$AD27),1),IF($AE27&gt;0,INDEX(DZ$7:DZ$106,$AE27),1),IF($AF27&gt;0,INDEX(DZ$7:DZ$106,$AF27),1),IF($AG27&gt;0,INDEX(DZ$7:DZ$106,$AG27),1),IF($AH27&gt;0,INDEX(DZ$7:DZ$106,$AH27),1),IF($AI27&gt;0,INDEX(DZ$7:DZ$106,$AI27),1),IF($AJ27&gt;0,INDEX(DZ$7:DZ$106,$AJ27),1))))</ns0:f>
        <ns0:v>1</ns0:v>
      </ns0:c>
      <ns0:c r="EB27" t="n">
        <ns0:f>IF($A27="",1,IF(EA27=1,1,--AND(IF($AC27&gt;0,INDEX(EA$7:EA$106,$AC27),1),IF($AD27&gt;0,INDEX(EA$7:EA$106,$AD27),1),IF($AE27&gt;0,INDEX(EA$7:EA$106,$AE27),1),IF($AF27&gt;0,INDEX(EA$7:EA$106,$AF27),1),IF($AG27&gt;0,INDEX(EA$7:EA$106,$AG27),1),IF($AH27&gt;0,INDEX(EA$7:EA$106,$AH27),1),IF($AI27&gt;0,INDEX(EA$7:EA$106,$AI27),1),IF($AJ27&gt;0,INDEX(EA$7:EA$106,$AJ27),1))))</ns0:f>
        <ns0:v>1</ns0:v>
      </ns0:c>
      <ns0:c r="EC27" t="n">
        <ns0:f>IF($A27="",1,IF(EB27=1,1,--AND(IF($AC27&gt;0,INDEX(EB$7:EB$106,$AC27),1),IF($AD27&gt;0,INDEX(EB$7:EB$106,$AD27),1),IF($AE27&gt;0,INDEX(EB$7:EB$106,$AE27),1),IF($AF27&gt;0,INDEX(EB$7:EB$106,$AF27),1),IF($AG27&gt;0,INDEX(EB$7:EB$106,$AG27),1),IF($AH27&gt;0,INDEX(EB$7:EB$106,$AH27),1),IF($AI27&gt;0,INDEX(EB$7:EB$106,$AI27),1),IF($AJ27&gt;0,INDEX(EB$7:EB$106,$AJ27),1))))</ns0:f>
        <ns0:v>1</ns0:v>
      </ns0:c>
      <ns0:c r="ED27" t="n">
        <ns0:f>IF($A27="",1,IF(EC27=1,1,--AND(IF($AC27&gt;0,INDEX(EC$7:EC$106,$AC27),1),IF($AD27&gt;0,INDEX(EC$7:EC$106,$AD27),1),IF($AE27&gt;0,INDEX(EC$7:EC$106,$AE27),1),IF($AF27&gt;0,INDEX(EC$7:EC$106,$AF27),1),IF($AG27&gt;0,INDEX(EC$7:EC$106,$AG27),1),IF($AH27&gt;0,INDEX(EC$7:EC$106,$AH27),1),IF($AI27&gt;0,INDEX(EC$7:EC$106,$AI27),1),IF($AJ27&gt;0,INDEX(EC$7:EC$106,$AJ27),1))))</ns0:f>
        <ns0:v>1</ns0:v>
      </ns0:c>
      <ns0:c r="EE27" t="n">
        <ns0:f>IF($A27="",1,IF(ED27=1,1,--AND(IF($AC27&gt;0,INDEX(ED$7:ED$106,$AC27),1),IF($AD27&gt;0,INDEX(ED$7:ED$106,$AD27),1),IF($AE27&gt;0,INDEX(ED$7:ED$106,$AE27),1),IF($AF27&gt;0,INDEX(ED$7:ED$106,$AF27),1),IF($AG27&gt;0,INDEX(ED$7:ED$106,$AG27),1),IF($AH27&gt;0,INDEX(ED$7:ED$106,$AH27),1),IF($AI27&gt;0,INDEX(ED$7:ED$106,$AI27),1),IF($AJ27&gt;0,INDEX(ED$7:ED$106,$AJ27),1))))</ns0:f>
        <ns0:v>1</ns0:v>
      </ns0:c>
      <ns0:c r="EF27" t="n">
        <ns0:f>IF($A27="",1,IF(EE27=1,1,--AND(IF($AC27&gt;0,INDEX(EE$7:EE$106,$AC27),1),IF($AD27&gt;0,INDEX(EE$7:EE$106,$AD27),1),IF($AE27&gt;0,INDEX(EE$7:EE$106,$AE27),1),IF($AF27&gt;0,INDEX(EE$7:EE$106,$AF27),1),IF($AG27&gt;0,INDEX(EE$7:EE$106,$AG27),1),IF($AH27&gt;0,INDEX(EE$7:EE$106,$AH27),1),IF($AI27&gt;0,INDEX(EE$7:EE$106,$AI27),1),IF($AJ27&gt;0,INDEX(EE$7:EE$106,$AJ27),1))))</ns0:f>
        <ns0:v>1</ns0:v>
      </ns0:c>
      <ns0:c r="EG27" t="n">
        <ns0:f>IF($A27="",1,IF(EF27=1,1,--AND(IF($AC27&gt;0,INDEX(EF$7:EF$106,$AC27),1),IF($AD27&gt;0,INDEX(EF$7:EF$106,$AD27),1),IF($AE27&gt;0,INDEX(EF$7:EF$106,$AE27),1),IF($AF27&gt;0,INDEX(EF$7:EF$106,$AF27),1),IF($AG27&gt;0,INDEX(EF$7:EF$106,$AG27),1),IF($AH27&gt;0,INDEX(EF$7:EF$106,$AH27),1),IF($AI27&gt;0,INDEX(EF$7:EF$106,$AI27),1),IF($AJ27&gt;0,INDEX(EF$7:EF$106,$AJ27),1))))</ns0:f>
        <ns0:v>1</ns0:v>
      </ns0:c>
      <ns0:c r="EH27" t="n">
        <ns0:f>IF($A27="",1,IF(EG27=1,1,--AND(IF($AC27&gt;0,INDEX(EG$7:EG$106,$AC27),1),IF($AD27&gt;0,INDEX(EG$7:EG$106,$AD27),1),IF($AE27&gt;0,INDEX(EG$7:EG$106,$AE27),1),IF($AF27&gt;0,INDEX(EG$7:EG$106,$AF27),1),IF($AG27&gt;0,INDEX(EG$7:EG$106,$AG27),1),IF($AH27&gt;0,INDEX(EG$7:EG$106,$AH27),1),IF($AI27&gt;0,INDEX(EG$7:EG$106,$AI27),1),IF($AJ27&gt;0,INDEX(EG$7:EG$106,$AJ27),1))))</ns0:f>
        <ns0:v>1</ns0:v>
      </ns0:c>
      <ns0:c r="EI27" t="n">
        <ns0:f>IF($A27="",1,IF(EH27=1,1,--AND(IF($AC27&gt;0,INDEX(EH$7:EH$106,$AC27),1),IF($AD27&gt;0,INDEX(EH$7:EH$106,$AD27),1),IF($AE27&gt;0,INDEX(EH$7:EH$106,$AE27),1),IF($AF27&gt;0,INDEX(EH$7:EH$106,$AF27),1),IF($AG27&gt;0,INDEX(EH$7:EH$106,$AG27),1),IF($AH27&gt;0,INDEX(EH$7:EH$106,$AH27),1),IF($AI27&gt;0,INDEX(EH$7:EH$106,$AI27),1),IF($AJ27&gt;0,INDEX(EH$7:EH$106,$AJ27),1))))</ns0:f>
        <ns0:v>1</ns0:v>
      </ns0:c>
      <ns0:c r="EJ27" t="n">
        <ns0:f>IF($A27="",1,IF(EI27=1,1,--AND(IF($AC27&gt;0,INDEX(EI$7:EI$106,$AC27),1),IF($AD27&gt;0,INDEX(EI$7:EI$106,$AD27),1),IF($AE27&gt;0,INDEX(EI$7:EI$106,$AE27),1),IF($AF27&gt;0,INDEX(EI$7:EI$106,$AF27),1),IF($AG27&gt;0,INDEX(EI$7:EI$106,$AG27),1),IF($AH27&gt;0,INDEX(EI$7:EI$106,$AH27),1),IF($AI27&gt;0,INDEX(EI$7:EI$106,$AI27),1),IF($AJ27&gt;0,INDEX(EI$7:EI$106,$AJ27),1))))</ns0:f>
        <ns0:v>1</ns0:v>
      </ns0:c>
      <ns0:c r="EK27" t="n">
        <ns0:f>IF($A27="",1,IF(EJ27=1,1,--AND(IF($AC27&gt;0,INDEX(EJ$7:EJ$106,$AC27),1),IF($AD27&gt;0,INDEX(EJ$7:EJ$106,$AD27),1),IF($AE27&gt;0,INDEX(EJ$7:EJ$106,$AE27),1),IF($AF27&gt;0,INDEX(EJ$7:EJ$106,$AF27),1),IF($AG27&gt;0,INDEX(EJ$7:EJ$106,$AG27),1),IF($AH27&gt;0,INDEX(EJ$7:EJ$106,$AH27),1),IF($AI27&gt;0,INDEX(EJ$7:EJ$106,$AI27),1),IF($AJ27&gt;0,INDEX(EJ$7:EJ$106,$AJ27),1))))</ns0:f>
        <ns0:v>1</ns0:v>
      </ns0:c>
      <ns0:c r="EL27" t="n">
        <ns0:f>IF($A27="",1,IF(EK27=1,1,--AND(IF($AC27&gt;0,INDEX(EK$7:EK$106,$AC27),1),IF($AD27&gt;0,INDEX(EK$7:EK$106,$AD27),1),IF($AE27&gt;0,INDEX(EK$7:EK$106,$AE27),1),IF($AF27&gt;0,INDEX(EK$7:EK$106,$AF27),1),IF($AG27&gt;0,INDEX(EK$7:EK$106,$AG27),1),IF($AH27&gt;0,INDEX(EK$7:EK$106,$AH27),1),IF($AI27&gt;0,INDEX(EK$7:EK$106,$AI27),1),IF($AJ27&gt;0,INDEX(EK$7:EK$106,$AJ27),1))))</ns0:f>
        <ns0:v>1</ns0:v>
      </ns0:c>
      <ns0:c r="EM27" t="n">
        <ns0:f>IF($A27="",1,IF(EL27=1,1,--AND(IF($AC27&gt;0,INDEX(EL$7:EL$106,$AC27),1),IF($AD27&gt;0,INDEX(EL$7:EL$106,$AD27),1),IF($AE27&gt;0,INDEX(EL$7:EL$106,$AE27),1),IF($AF27&gt;0,INDEX(EL$7:EL$106,$AF27),1),IF($AG27&gt;0,INDEX(EL$7:EL$106,$AG27),1),IF($AH27&gt;0,INDEX(EL$7:EL$106,$AH27),1),IF($AI27&gt;0,INDEX(EL$7:EL$106,$AI27),1),IF($AJ27&gt;0,INDEX(EL$7:EL$106,$AJ27),1))))</ns0:f>
        <ns0:v>1</ns0:v>
      </ns0:c>
      <ns0:c r="EN27" t="n">
        <ns0:f>IF($A27="",1,IF(EM27=1,1,--AND(IF($AC27&gt;0,INDEX(EM$7:EM$106,$AC27),1),IF($AD27&gt;0,INDEX(EM$7:EM$106,$AD27),1),IF($AE27&gt;0,INDEX(EM$7:EM$106,$AE27),1),IF($AF27&gt;0,INDEX(EM$7:EM$106,$AF27),1),IF($AG27&gt;0,INDEX(EM$7:EM$106,$AG27),1),IF($AH27&gt;0,INDEX(EM$7:EM$106,$AH27),1),IF($AI27&gt;0,INDEX(EM$7:EM$106,$AI27),1),IF($AJ27&gt;0,INDEX(EM$7:EM$106,$AJ27),1))))</ns0:f>
        <ns0:v>1</ns0:v>
      </ns0:c>
      <ns0:c r="EO27" t="n">
        <ns0:f>IF($A27="",1,IF(EN27=1,1,--AND(IF($AC27&gt;0,INDEX(EN$7:EN$106,$AC27),1),IF($AD27&gt;0,INDEX(EN$7:EN$106,$AD27),1),IF($AE27&gt;0,INDEX(EN$7:EN$106,$AE27),1),IF($AF27&gt;0,INDEX(EN$7:EN$106,$AF27),1),IF($AG27&gt;0,INDEX(EN$7:EN$106,$AG27),1),IF($AH27&gt;0,INDEX(EN$7:EN$106,$AH27),1),IF($AI27&gt;0,INDEX(EN$7:EN$106,$AI27),1),IF($AJ27&gt;0,INDEX(EN$7:EN$106,$AJ27),1))))</ns0:f>
        <ns0:v>1</ns0:v>
      </ns0:c>
      <ns0:c r="EP27" t="n">
        <ns0:f>IF($A27="",1,IF(EO27=1,1,--AND(IF($AC27&gt;0,INDEX(EO$7:EO$106,$AC27),1),IF($AD27&gt;0,INDEX(EO$7:EO$106,$AD27),1),IF($AE27&gt;0,INDEX(EO$7:EO$106,$AE27),1),IF($AF27&gt;0,INDEX(EO$7:EO$106,$AF27),1),IF($AG27&gt;0,INDEX(EO$7:EO$106,$AG27),1),IF($AH27&gt;0,INDEX(EO$7:EO$106,$AH27),1),IF($AI27&gt;0,INDEX(EO$7:EO$106,$AI27),1),IF($AJ27&gt;0,INDEX(EO$7:EO$106,$AJ27),1))))</ns0:f>
        <ns0:v>1</ns0:v>
      </ns0:c>
      <ns0:c r="EQ27" t="n">
        <ns0:f>IF(OR(A27="",NOT(ISNUMBER(G27))),0,G27*N27)</ns0:f>
        <ns0:v>0</ns0:v>
      </ns0:c>
    </ns0:row>
    <ns0:row r="28" ht="62" customHeight="1">
      <ns0:c r="A28" s="48" t="str">
        <ns0:v>T19</ns0:v>
      </ns0:c>
      <ns0:c r="B28" s="48" t="str">
        <ns0:v>Intelligence &amp; assets</ns0:v>
      </ns0:c>
      <ns0:c r="C28" s="48" t="str">
        <ns0:v>Develop omnichannel marketing roadmaps &amp; budget allocations (W_STRAT)</ns0:v>
      </ns0:c>
      <ns0:c r="D28" s="48" t="str">
        <ns0:v>Prepare roadmaps, funnel models and spend proposals with S_ALLOC.</ns0:v>
      </ns0:c>
      <ns0:c r="E28" s="49" t="n">
        <ns0:v>46287</ns0:v>
      </ns0:c>
      <ns0:c r="F28" s="49" t="n">
        <ns0:v>46289</ns0:v>
      </ns0:c>
      <ns0:c r="G28" s="13" t="n">
        <ns0:f>IF(A28="","",IF(OR(NOT(ISNUMBER(E28)),NOT(ISNUMBER(F28)),F28&lt;E28),"",IF(J28="Yes",0,F28-E28+1)))</ns0:f>
        <ns0:v>3</ns0:v>
      </ns0:c>
      <ns0:c r="H28" s="48" t="str">
        <ns0:v>T16,T17,T18</ns0:v>
      </ns0:c>
      <ns0:c r="I28" s="48" t="str">
        <ns0:v>FS</ns0:v>
      </ns0:c>
      <ns0:c r="J28" s="48" t="str">
        <ns0:v>No</ns0:v>
      </ns0:c>
      <ns0:c r="K28" s="48" t="str">
        <ns0:v>Specialist Sub-Agents (L4_SUBS);Strategy Engine (W_STRAT)</ns0:v>
      </ns0:c>
      <ns0:c r="L28" s="48" t="str"/>
      <ns0:c r="M28" s="50" t="str">
        <ns0:f>IF(A28="","",IF(N28=1,"Completed",IF(N28&gt;0,"In Progress","Not Started")))</ns0:f>
        <ns0:v>Not Started</ns0:v>
      </ns0:c>
      <ns0:c r="N28" s="51" t="n">
        <ns0:v>0</ns0:v>
      </ns0:c>
      <ns0:c r="O28" s="13" t="str">
        <ns0:f>IF(A28="","",IF(R28&lt;&gt;"","[CONFLICT] "&amp;R28,IF(S28&lt;&gt;"","[CONFLICT] "&amp;S28,IF(OR(NOT(ISNUMBER(N28)),N28&lt;0,N28&gt;1),"[CONFLICT] Invalid progress",IF(AK28&gt;0,"[DEPENDENCY ISSUE] Missing ID / &gt;8 links",IF(AM28&gt;0,"[DEPENDENCY ISSUE] Cycle or blocked by cycle",IF(AND(H28&lt;&gt;"",ISNA(MATCH(I28,{"FS","SS","FF","SF"},0))),"[DEPENDENCY ISSUE] Invalid type",IF(AL28&gt;0,"[DEPENDENCY ISSUE] Timing conflict",IF(OR(E28&lt;ProjectStart,F28&gt;ProjectEnd),"[OUTSIDE WINDOW]",IF(AND(N28&lt;1,F28&lt;AsOfDate),"Overdue",IF(AND(M28&lt;&gt;Q28,M28&lt;&gt;""),"[CONFLICT] Status / progress","On track")))))))))))</ns0:f>
        <ns0:v>On track</ns0:v>
      </ns0:c>
      <ns0:c r="P28" s="52" t="str">
        <ns0:v>Source: Project Plan Essentials (2).md §1, §2, §4. Original 2026-09-26 to 2026-09-29, 4d; original progress 100% [INFERRED]. [INFERRED] Rescheduled to fit 34d with FS. Duration reduced to 3d. Original resource/tools: Strategy Engine &amp; S_ALLOC.</ns0:v>
      </ns0:c>
      <ns0:c r="Q28" t="str">
        <ns0:f>IF(A28="","",IF(OR(M28="On Hold",M28="Delayed"),M28,IF(N28=1,"Completed",IF(N28&gt;0,"In Progress","Not Started"))))</ns0:f>
        <ns0:v>Not Started</ns0:v>
      </ns0:c>
      <ns0:c r="R28" t="str">
        <ns0:f>IF(A28="","",IF(COUNTIFS(Tasks[Task ID],A28)&lt;&gt;1,"Duplicate ID",""))</ns0:f>
      </ns0:c>
      <ns0:c r="S28" t="str">
        <ns0:f>IF(A28="","",IF(OR(NOT(ISNUMBER(E28)),NOT(ISNUMBER(F28))),"Invalid / missing date",IF(OR(E28&lt;&gt;INT(E28),F28&lt;&gt;INT(F28),E28&lt;1,F28&gt;2958465),"Invalid date",IF(F28&lt;E28,"End before start",IF(AND(J28="Yes",E28&lt;&gt;F28),"Milestone needs one date","")))))</ns0:f>
      </ns0:c>
      <ns0:c r="T28" t="n">
        <ns0:f>IF(H28="",0,LEN(H28)-LEN(SUBSTITUTE(H28,",",""))+1)</ns0:f>
        <ns0:v>3</ns0:v>
      </ns0:c>
      <ns0:c r="U28" t="str">
        <ns0:f>TRIM(MID(SUBSTITUTE($H28,",",REPT(" ",100)),1,100))</ns0:f>
        <ns0:v>T16</ns0:v>
      </ns0:c>
      <ns0:c r="V28" t="str">
        <ns0:f>TRIM(MID(SUBSTITUTE($H28,",",REPT(" ",100)),101,100))</ns0:f>
        <ns0:v>T17</ns0:v>
      </ns0:c>
      <ns0:c r="W28" t="str">
        <ns0:f>TRIM(MID(SUBSTITUTE($H28,",",REPT(" ",100)),201,100))</ns0:f>
        <ns0:v>T18</ns0:v>
      </ns0:c>
      <ns0:c r="X28" t="str">
        <ns0:f>TRIM(MID(SUBSTITUTE($H28,",",REPT(" ",100)),301,100))</ns0:f>
      </ns0:c>
      <ns0:c r="Y28" t="str">
        <ns0:f>TRIM(MID(SUBSTITUTE($H28,",",REPT(" ",100)),401,100))</ns0:f>
      </ns0:c>
      <ns0:c r="Z28" t="str">
        <ns0:f>TRIM(MID(SUBSTITUTE($H28,",",REPT(" ",100)),501,100))</ns0:f>
      </ns0:c>
      <ns0:c r="AA28" t="str">
        <ns0:f>TRIM(MID(SUBSTITUTE($H28,",",REPT(" ",100)),601,100))</ns0:f>
      </ns0:c>
      <ns0:c r="AB28" t="str">
        <ns0:f>TRIM(MID(SUBSTITUTE($H28,",",REPT(" ",100)),701,100))</ns0:f>
      </ns0:c>
      <ns0:c r="AC28" t="n">
        <ns0:f>IF(U28="",0,IF(COUNTIFS(Tasks[Task ID],U28)=1,MATCH(U28,Tasks[Task ID],0),-1))</ns0:f>
        <ns0:v>19</ns0:v>
      </ns0:c>
      <ns0:c r="AD28" t="n">
        <ns0:f>IF(V28="",0,IF(COUNTIFS(Tasks[Task ID],V28)=1,MATCH(V28,Tasks[Task ID],0),-1))</ns0:f>
        <ns0:v>20</ns0:v>
      </ns0:c>
      <ns0:c r="AE28" t="n">
        <ns0:f>IF(W28="",0,IF(COUNTIFS(Tasks[Task ID],W28)=1,MATCH(W28,Tasks[Task ID],0),-1))</ns0:f>
        <ns0:v>21</ns0:v>
      </ns0:c>
      <ns0:c r="AF28" t="n">
        <ns0:f>IF(X28="",0,IF(COUNTIFS(Tasks[Task ID],X28)=1,MATCH(X28,Tasks[Task ID],0),-1))</ns0:f>
        <ns0:v>0</ns0:v>
      </ns0:c>
      <ns0:c r="AG28" t="n">
        <ns0:f>IF(Y28="",0,IF(COUNTIFS(Tasks[Task ID],Y28)=1,MATCH(Y28,Tasks[Task ID],0),-1))</ns0:f>
        <ns0:v>0</ns0:v>
      </ns0:c>
      <ns0:c r="AH28" t="n">
        <ns0:f>IF(Z28="",0,IF(COUNTIFS(Tasks[Task ID],Z28)=1,MATCH(Z28,Tasks[Task ID],0),-1))</ns0:f>
        <ns0:v>0</ns0:v>
      </ns0:c>
      <ns0:c r="AI28" t="n">
        <ns0:f>IF(AA28="",0,IF(COUNTIFS(Tasks[Task ID],AA28)=1,MATCH(AA28,Tasks[Task ID],0),-1))</ns0:f>
        <ns0:v>0</ns0:v>
      </ns0:c>
      <ns0:c r="AJ28" t="n">
        <ns0:f>IF(AB28="",0,IF(COUNTIFS(Tasks[Task ID],AB28)=1,MATCH(AB28,Tasks[Task ID],0),-1))</ns0:f>
        <ns0:v>0</ns0:v>
      </ns0:c>
      <ns0:c r="AK28" t="n">
        <ns0:f>COUNTIFS(AC28:AJ28,-1)+IF(T28&gt;8,1,0)</ns0:f>
        <ns0:v>0</ns0:v>
      </ns0:c>
      <ns0:c r="AL28" t="n">
        <ns0:f>IF(OR(A28="",S28&lt;&gt;""),0,SUM(IF(AC28&gt;0,IF($I28="FS",--($E28&lt;INDEX(Tasks[End Date],AC28)+IF(INDEX(Tasks[Milestone],AC28)="Yes",0,1)),IF($I28="SS",--($E28&lt;INDEX(Tasks[Start Date],AC28)),IF($I28="FF",--($F28&lt;INDEX(Tasks[End Date],AC28)),IF($I28="SF",--($F28&lt;INDEX(Tasks[Start Date],AC28)),0)))),0),IF(AD28&gt;0,IF($I28="FS",--($E28&lt;INDEX(Tasks[End Date],AD28)+IF(INDEX(Tasks[Milestone],AD28)="Yes",0,1)),IF($I28="SS",--($E28&lt;INDEX(Tasks[Start Date],AD28)),IF($I28="FF",--($F28&lt;INDEX(Tasks[End Date],AD28)),IF($I28="SF",--($F28&lt;INDEX(Tasks[Start Date],AD28)),0)))),0),IF(AE28&gt;0,IF($I28="FS",--($E28&lt;INDEX(Tasks[End Date],AE28)+IF(INDEX(Tasks[Milestone],AE28)="Yes",0,1)),IF($I28="SS",--($E28&lt;INDEX(Tasks[Start Date],AE28)),IF($I28="FF",--($F28&lt;INDEX(Tasks[End Date],AE28)),IF($I28="SF",--($F28&lt;INDEX(Tasks[Start Date],AE28)),0)))),0),IF(AF28&gt;0,IF($I28="FS",--($E28&lt;INDEX(Tasks[End Date],AF28)+IF(INDEX(Tasks[Milestone],AF28)="Yes",0,1)),IF($I28="SS",--($E28&lt;INDEX(Tasks[Start Date],AF28)),IF($I28="FF",--($F28&lt;INDEX(Tasks[End Date],AF28)),IF($I28="SF",--($F28&lt;INDEX(Tasks[Start Date],AF28)),0)))),0),IF(AG28&gt;0,IF($I28="FS",--($E28&lt;INDEX(Tasks[End Date],AG28)+IF(INDEX(Tasks[Milestone],AG28)="Yes",0,1)),IF($I28="SS",--($E28&lt;INDEX(Tasks[Start Date],AG28)),IF($I28="FF",--($F28&lt;INDEX(Tasks[End Date],AG28)),IF($I28="SF",--($F28&lt;INDEX(Tasks[Start Date],AG28)),0)))),0),IF(AH28&gt;0,IF($I28="FS",--($E28&lt;INDEX(Tasks[End Date],AH28)+IF(INDEX(Tasks[Milestone],AH28)="Yes",0,1)),IF($I28="SS",--($E28&lt;INDEX(Tasks[Start Date],AH28)),IF($I28="FF",--($F28&lt;INDEX(Tasks[End Date],AH28)),IF($I28="SF",--($F28&lt;INDEX(Tasks[Start Date],AH28)),0)))),0),IF(AI28&gt;0,IF($I28="FS",--($E28&lt;INDEX(Tasks[End Date],AI28)+IF(INDEX(Tasks[Milestone],AI28)="Yes",0,1)),IF($I28="SS",--($E28&lt;INDEX(Tasks[Start Date],AI28)),IF($I28="FF",--($F28&lt;INDEX(Tasks[End Date],AI28)),IF($I28="SF",--($F28&lt;INDEX(Tasks[Start Date],AI28)),0)))),0),IF(AJ28&gt;0,IF($I28="FS",--($E28&lt;INDEX(Tasks[End Date],AJ28)+IF(INDEX(Tasks[Milestone],AJ28)="Yes",0,1)),IF($I28="SS",--($E28&lt;INDEX(Tasks[Start Date],AJ28)),IF($I28="FF",--($F28&lt;INDEX(Tasks[End Date],AJ28)),IF($I28="SF",--($F28&lt;INDEX(Tasks[Start Date],AJ28)),0)))),0)))</ns0:f>
        <ns0:v>0</ns0:v>
      </ns0:c>
      <ns0:c r="AM28" t="n">
        <ns0:f>IF(AND(A28&lt;&gt;"",AK28=0,EP28=0),1,0)</ns0:f>
        <ns0:v>0</ns0:v>
      </ns0:c>
      <ns0:c r="AN28" t="str">
        <ns0:f>IF(OR(A28="",B28=""),"",IF(COUNTIFS($B$7:B28,B28)=1,MAX($AN$6:AN27)+1,""))</ns0:f>
      </ns0:c>
      <ns0:c r="AO28" t="n">
        <ns0:f>IF(AND(A28&lt;&gt;"",J28="No",N28&lt;1,E28&gt;=AsOfDate),E28+ROW()/10000,1E+9)</ns0:f>
        <ns0:v>46287.0028</ns0:v>
      </ns0:c>
      <ns0:c r="AP28" t="n">
        <ns0:f>IF(AND(A28&lt;&gt;"",J28="Yes",N28&lt;1,E28&gt;=AsOfDate),E28+ROW()/10000,1E+9)</ns0:f>
        <ns0:v>1000000000</ns0:v>
      </ns0:c>
      <ns0:c r="AQ28" t="n">
        <ns0:f>IF(AND(A28&lt;&gt;"",J28="No",N28&lt;1,F28&gt;=AsOfDate,F28&lt;=AsOfDate+7),F28+ROW()/10000,1E+9)</ns0:f>
        <ns0:v>1000000000</ns0:v>
      </ns0:c>
      <ns0:c r="AR28" t="n">
        <ns0:f>IF(AND(A28&lt;&gt;"",OR(O28&lt;&gt;"On track",Q28="Delayed")),ROW(),1E+9)</ns0:f>
        <ns0:v>1000000000</ns0:v>
      </ns0:c>
      <ns0:c r="AS28" t="str">
        <ns0:f>IF(A28="","",";"&amp;K28&amp;";")</ns0:f>
        <ns0:v>;Specialist Sub-Agents (L4_SUBS);Strategy Engine (W_STRAT);</ns0:v>
      </ns0:c>
      <ns0:c r="AT28" t="n">
        <ns0:f>IF(A28="",1,--(T28=0))</ns0:f>
        <ns0:v>0</ns0:v>
      </ns0:c>
      <ns0:c r="AU28" t="n">
        <ns0:f>IF($A28="",1,IF(AT28=1,1,--AND(IF($AC28&gt;0,INDEX(AT$7:AT$106,$AC28),1),IF($AD28&gt;0,INDEX(AT$7:AT$106,$AD28),1),IF($AE28&gt;0,INDEX(AT$7:AT$106,$AE28),1),IF($AF28&gt;0,INDEX(AT$7:AT$106,$AF28),1),IF($AG28&gt;0,INDEX(AT$7:AT$106,$AG28),1),IF($AH28&gt;0,INDEX(AT$7:AT$106,$AH28),1),IF($AI28&gt;0,INDEX(AT$7:AT$106,$AI28),1),IF($AJ28&gt;0,INDEX(AT$7:AT$106,$AJ28),1))))</ns0:f>
        <ns0:v>0</ns0:v>
      </ns0:c>
      <ns0:c r="AV28" t="n">
        <ns0:f>IF($A28="",1,IF(AU28=1,1,--AND(IF($AC28&gt;0,INDEX(AU$7:AU$106,$AC28),1),IF($AD28&gt;0,INDEX(AU$7:AU$106,$AD28),1),IF($AE28&gt;0,INDEX(AU$7:AU$106,$AE28),1),IF($AF28&gt;0,INDEX(AU$7:AU$106,$AF28),1),IF($AG28&gt;0,INDEX(AU$7:AU$106,$AG28),1),IF($AH28&gt;0,INDEX(AU$7:AU$106,$AH28),1),IF($AI28&gt;0,INDEX(AU$7:AU$106,$AI28),1),IF($AJ28&gt;0,INDEX(AU$7:AU$106,$AJ28),1))))</ns0:f>
        <ns0:v>0</ns0:v>
      </ns0:c>
      <ns0:c r="AW28" t="n">
        <ns0:f>IF($A28="",1,IF(AV28=1,1,--AND(IF($AC28&gt;0,INDEX(AV$7:AV$106,$AC28),1),IF($AD28&gt;0,INDEX(AV$7:AV$106,$AD28),1),IF($AE28&gt;0,INDEX(AV$7:AV$106,$AE28),1),IF($AF28&gt;0,INDEX(AV$7:AV$106,$AF28),1),IF($AG28&gt;0,INDEX(AV$7:AV$106,$AG28),1),IF($AH28&gt;0,INDEX(AV$7:AV$106,$AH28),1),IF($AI28&gt;0,INDEX(AV$7:AV$106,$AI28),1),IF($AJ28&gt;0,INDEX(AV$7:AV$106,$AJ28),1))))</ns0:f>
        <ns0:v>0</ns0:v>
      </ns0:c>
      <ns0:c r="AX28" t="n">
        <ns0:f>IF($A28="",1,IF(AW28=1,1,--AND(IF($AC28&gt;0,INDEX(AW$7:AW$106,$AC28),1),IF($AD28&gt;0,INDEX(AW$7:AW$106,$AD28),1),IF($AE28&gt;0,INDEX(AW$7:AW$106,$AE28),1),IF($AF28&gt;0,INDEX(AW$7:AW$106,$AF28),1),IF($AG28&gt;0,INDEX(AW$7:AW$106,$AG28),1),IF($AH28&gt;0,INDEX(AW$7:AW$106,$AH28),1),IF($AI28&gt;0,INDEX(AW$7:AW$106,$AI28),1),IF($AJ28&gt;0,INDEX(AW$7:AW$106,$AJ28),1))))</ns0:f>
        <ns0:v>0</ns0:v>
      </ns0:c>
      <ns0:c r="AY28" t="n">
        <ns0:f>IF($A28="",1,IF(AX28=1,1,--AND(IF($AC28&gt;0,INDEX(AX$7:AX$106,$AC28),1),IF($AD28&gt;0,INDEX(AX$7:AX$106,$AD28),1),IF($AE28&gt;0,INDEX(AX$7:AX$106,$AE28),1),IF($AF28&gt;0,INDEX(AX$7:AX$106,$AF28),1),IF($AG28&gt;0,INDEX(AX$7:AX$106,$AG28),1),IF($AH28&gt;0,INDEX(AX$7:AX$106,$AH28),1),IF($AI28&gt;0,INDEX(AX$7:AX$106,$AI28),1),IF($AJ28&gt;0,INDEX(AX$7:AX$106,$AJ28),1))))</ns0:f>
        <ns0:v>0</ns0:v>
      </ns0:c>
      <ns0:c r="AZ28" t="n">
        <ns0:f>IF($A28="",1,IF(AY28=1,1,--AND(IF($AC28&gt;0,INDEX(AY$7:AY$106,$AC28),1),IF($AD28&gt;0,INDEX(AY$7:AY$106,$AD28),1),IF($AE28&gt;0,INDEX(AY$7:AY$106,$AE28),1),IF($AF28&gt;0,INDEX(AY$7:AY$106,$AF28),1),IF($AG28&gt;0,INDEX(AY$7:AY$106,$AG28),1),IF($AH28&gt;0,INDEX(AY$7:AY$106,$AH28),1),IF($AI28&gt;0,INDEX(AY$7:AY$106,$AI28),1),IF($AJ28&gt;0,INDEX(AY$7:AY$106,$AJ28),1))))</ns0:f>
        <ns0:v>0</ns0:v>
      </ns0:c>
      <ns0:c r="BA28" t="n">
        <ns0:f>IF($A28="",1,IF(AZ28=1,1,--AND(IF($AC28&gt;0,INDEX(AZ$7:AZ$106,$AC28),1),IF($AD28&gt;0,INDEX(AZ$7:AZ$106,$AD28),1),IF($AE28&gt;0,INDEX(AZ$7:AZ$106,$AE28),1),IF($AF28&gt;0,INDEX(AZ$7:AZ$106,$AF28),1),IF($AG28&gt;0,INDEX(AZ$7:AZ$106,$AG28),1),IF($AH28&gt;0,INDEX(AZ$7:AZ$106,$AH28),1),IF($AI28&gt;0,INDEX(AZ$7:AZ$106,$AI28),1),IF($AJ28&gt;0,INDEX(AZ$7:AZ$106,$AJ28),1))))</ns0:f>
        <ns0:v>1</ns0:v>
      </ns0:c>
      <ns0:c r="BB28" t="n">
        <ns0:f>IF($A28="",1,IF(BA28=1,1,--AND(IF($AC28&gt;0,INDEX(BA$7:BA$106,$AC28),1),IF($AD28&gt;0,INDEX(BA$7:BA$106,$AD28),1),IF($AE28&gt;0,INDEX(BA$7:BA$106,$AE28),1),IF($AF28&gt;0,INDEX(BA$7:BA$106,$AF28),1),IF($AG28&gt;0,INDEX(BA$7:BA$106,$AG28),1),IF($AH28&gt;0,INDEX(BA$7:BA$106,$AH28),1),IF($AI28&gt;0,INDEX(BA$7:BA$106,$AI28),1),IF($AJ28&gt;0,INDEX(BA$7:BA$106,$AJ28),1))))</ns0:f>
        <ns0:v>1</ns0:v>
      </ns0:c>
      <ns0:c r="BC28" t="n">
        <ns0:f>IF($A28="",1,IF(BB28=1,1,--AND(IF($AC28&gt;0,INDEX(BB$7:BB$106,$AC28),1),IF($AD28&gt;0,INDEX(BB$7:BB$106,$AD28),1),IF($AE28&gt;0,INDEX(BB$7:BB$106,$AE28),1),IF($AF28&gt;0,INDEX(BB$7:BB$106,$AF28),1),IF($AG28&gt;0,INDEX(BB$7:BB$106,$AG28),1),IF($AH28&gt;0,INDEX(BB$7:BB$106,$AH28),1),IF($AI28&gt;0,INDEX(BB$7:BB$106,$AI28),1),IF($AJ28&gt;0,INDEX(BB$7:BB$106,$AJ28),1))))</ns0:f>
        <ns0:v>1</ns0:v>
      </ns0:c>
      <ns0:c r="BD28" t="n">
        <ns0:f>IF($A28="",1,IF(BC28=1,1,--AND(IF($AC28&gt;0,INDEX(BC$7:BC$106,$AC28),1),IF($AD28&gt;0,INDEX(BC$7:BC$106,$AD28),1),IF($AE28&gt;0,INDEX(BC$7:BC$106,$AE28),1),IF($AF28&gt;0,INDEX(BC$7:BC$106,$AF28),1),IF($AG28&gt;0,INDEX(BC$7:BC$106,$AG28),1),IF($AH28&gt;0,INDEX(BC$7:BC$106,$AH28),1),IF($AI28&gt;0,INDEX(BC$7:BC$106,$AI28),1),IF($AJ28&gt;0,INDEX(BC$7:BC$106,$AJ28),1))))</ns0:f>
        <ns0:v>1</ns0:v>
      </ns0:c>
      <ns0:c r="BE28" t="n">
        <ns0:f>IF($A28="",1,IF(BD28=1,1,--AND(IF($AC28&gt;0,INDEX(BD$7:BD$106,$AC28),1),IF($AD28&gt;0,INDEX(BD$7:BD$106,$AD28),1),IF($AE28&gt;0,INDEX(BD$7:BD$106,$AE28),1),IF($AF28&gt;0,INDEX(BD$7:BD$106,$AF28),1),IF($AG28&gt;0,INDEX(BD$7:BD$106,$AG28),1),IF($AH28&gt;0,INDEX(BD$7:BD$106,$AH28),1),IF($AI28&gt;0,INDEX(BD$7:BD$106,$AI28),1),IF($AJ28&gt;0,INDEX(BD$7:BD$106,$AJ28),1))))</ns0:f>
        <ns0:v>1</ns0:v>
      </ns0:c>
      <ns0:c r="BF28" t="n">
        <ns0:f>IF($A28="",1,IF(BE28=1,1,--AND(IF($AC28&gt;0,INDEX(BE$7:BE$106,$AC28),1),IF($AD28&gt;0,INDEX(BE$7:BE$106,$AD28),1),IF($AE28&gt;0,INDEX(BE$7:BE$106,$AE28),1),IF($AF28&gt;0,INDEX(BE$7:BE$106,$AF28),1),IF($AG28&gt;0,INDEX(BE$7:BE$106,$AG28),1),IF($AH28&gt;0,INDEX(BE$7:BE$106,$AH28),1),IF($AI28&gt;0,INDEX(BE$7:BE$106,$AI28),1),IF($AJ28&gt;0,INDEX(BE$7:BE$106,$AJ28),1))))</ns0:f>
        <ns0:v>1</ns0:v>
      </ns0:c>
      <ns0:c r="BG28" t="n">
        <ns0:f>IF($A28="",1,IF(BF28=1,1,--AND(IF($AC28&gt;0,INDEX(BF$7:BF$106,$AC28),1),IF($AD28&gt;0,INDEX(BF$7:BF$106,$AD28),1),IF($AE28&gt;0,INDEX(BF$7:BF$106,$AE28),1),IF($AF28&gt;0,INDEX(BF$7:BF$106,$AF28),1),IF($AG28&gt;0,INDEX(BF$7:BF$106,$AG28),1),IF($AH28&gt;0,INDEX(BF$7:BF$106,$AH28),1),IF($AI28&gt;0,INDEX(BF$7:BF$106,$AI28),1),IF($AJ28&gt;0,INDEX(BF$7:BF$106,$AJ28),1))))</ns0:f>
        <ns0:v>1</ns0:v>
      </ns0:c>
      <ns0:c r="BH28" t="n">
        <ns0:f>IF($A28="",1,IF(BG28=1,1,--AND(IF($AC28&gt;0,INDEX(BG$7:BG$106,$AC28),1),IF($AD28&gt;0,INDEX(BG$7:BG$106,$AD28),1),IF($AE28&gt;0,INDEX(BG$7:BG$106,$AE28),1),IF($AF28&gt;0,INDEX(BG$7:BG$106,$AF28),1),IF($AG28&gt;0,INDEX(BG$7:BG$106,$AG28),1),IF($AH28&gt;0,INDEX(BG$7:BG$106,$AH28),1),IF($AI28&gt;0,INDEX(BG$7:BG$106,$AI28),1),IF($AJ28&gt;0,INDEX(BG$7:BG$106,$AJ28),1))))</ns0:f>
        <ns0:v>1</ns0:v>
      </ns0:c>
      <ns0:c r="BI28" t="n">
        <ns0:f>IF($A28="",1,IF(BH28=1,1,--AND(IF($AC28&gt;0,INDEX(BH$7:BH$106,$AC28),1),IF($AD28&gt;0,INDEX(BH$7:BH$106,$AD28),1),IF($AE28&gt;0,INDEX(BH$7:BH$106,$AE28),1),IF($AF28&gt;0,INDEX(BH$7:BH$106,$AF28),1),IF($AG28&gt;0,INDEX(BH$7:BH$106,$AG28),1),IF($AH28&gt;0,INDEX(BH$7:BH$106,$AH28),1),IF($AI28&gt;0,INDEX(BH$7:BH$106,$AI28),1),IF($AJ28&gt;0,INDEX(BH$7:BH$106,$AJ28),1))))</ns0:f>
        <ns0:v>1</ns0:v>
      </ns0:c>
      <ns0:c r="BJ28" t="n">
        <ns0:f>IF($A28="",1,IF(BI28=1,1,--AND(IF($AC28&gt;0,INDEX(BI$7:BI$106,$AC28),1),IF($AD28&gt;0,INDEX(BI$7:BI$106,$AD28),1),IF($AE28&gt;0,INDEX(BI$7:BI$106,$AE28),1),IF($AF28&gt;0,INDEX(BI$7:BI$106,$AF28),1),IF($AG28&gt;0,INDEX(BI$7:BI$106,$AG28),1),IF($AH28&gt;0,INDEX(BI$7:BI$106,$AH28),1),IF($AI28&gt;0,INDEX(BI$7:BI$106,$AI28),1),IF($AJ28&gt;0,INDEX(BI$7:BI$106,$AJ28),1))))</ns0:f>
        <ns0:v>1</ns0:v>
      </ns0:c>
      <ns0:c r="BK28" t="n">
        <ns0:f>IF($A28="",1,IF(BJ28=1,1,--AND(IF($AC28&gt;0,INDEX(BJ$7:BJ$106,$AC28),1),IF($AD28&gt;0,INDEX(BJ$7:BJ$106,$AD28),1),IF($AE28&gt;0,INDEX(BJ$7:BJ$106,$AE28),1),IF($AF28&gt;0,INDEX(BJ$7:BJ$106,$AF28),1),IF($AG28&gt;0,INDEX(BJ$7:BJ$106,$AG28),1),IF($AH28&gt;0,INDEX(BJ$7:BJ$106,$AH28),1),IF($AI28&gt;0,INDEX(BJ$7:BJ$106,$AI28),1),IF($AJ28&gt;0,INDEX(BJ$7:BJ$106,$AJ28),1))))</ns0:f>
        <ns0:v>1</ns0:v>
      </ns0:c>
      <ns0:c r="BL28" t="n">
        <ns0:f>IF($A28="",1,IF(BK28=1,1,--AND(IF($AC28&gt;0,INDEX(BK$7:BK$106,$AC28),1),IF($AD28&gt;0,INDEX(BK$7:BK$106,$AD28),1),IF($AE28&gt;0,INDEX(BK$7:BK$106,$AE28),1),IF($AF28&gt;0,INDEX(BK$7:BK$106,$AF28),1),IF($AG28&gt;0,INDEX(BK$7:BK$106,$AG28),1),IF($AH28&gt;0,INDEX(BK$7:BK$106,$AH28),1),IF($AI28&gt;0,INDEX(BK$7:BK$106,$AI28),1),IF($AJ28&gt;0,INDEX(BK$7:BK$106,$AJ28),1))))</ns0:f>
        <ns0:v>1</ns0:v>
      </ns0:c>
      <ns0:c r="BM28" t="n">
        <ns0:f>IF($A28="",1,IF(BL28=1,1,--AND(IF($AC28&gt;0,INDEX(BL$7:BL$106,$AC28),1),IF($AD28&gt;0,INDEX(BL$7:BL$106,$AD28),1),IF($AE28&gt;0,INDEX(BL$7:BL$106,$AE28),1),IF($AF28&gt;0,INDEX(BL$7:BL$106,$AF28),1),IF($AG28&gt;0,INDEX(BL$7:BL$106,$AG28),1),IF($AH28&gt;0,INDEX(BL$7:BL$106,$AH28),1),IF($AI28&gt;0,INDEX(BL$7:BL$106,$AI28),1),IF($AJ28&gt;0,INDEX(BL$7:BL$106,$AJ28),1))))</ns0:f>
        <ns0:v>1</ns0:v>
      </ns0:c>
      <ns0:c r="BN28" t="n">
        <ns0:f>IF($A28="",1,IF(BM28=1,1,--AND(IF($AC28&gt;0,INDEX(BM$7:BM$106,$AC28),1),IF($AD28&gt;0,INDEX(BM$7:BM$106,$AD28),1),IF($AE28&gt;0,INDEX(BM$7:BM$106,$AE28),1),IF($AF28&gt;0,INDEX(BM$7:BM$106,$AF28),1),IF($AG28&gt;0,INDEX(BM$7:BM$106,$AG28),1),IF($AH28&gt;0,INDEX(BM$7:BM$106,$AH28),1),IF($AI28&gt;0,INDEX(BM$7:BM$106,$AI28),1),IF($AJ28&gt;0,INDEX(BM$7:BM$106,$AJ28),1))))</ns0:f>
        <ns0:v>1</ns0:v>
      </ns0:c>
      <ns0:c r="BO28" t="n">
        <ns0:f>IF($A28="",1,IF(BN28=1,1,--AND(IF($AC28&gt;0,INDEX(BN$7:BN$106,$AC28),1),IF($AD28&gt;0,INDEX(BN$7:BN$106,$AD28),1),IF($AE28&gt;0,INDEX(BN$7:BN$106,$AE28),1),IF($AF28&gt;0,INDEX(BN$7:BN$106,$AF28),1),IF($AG28&gt;0,INDEX(BN$7:BN$106,$AG28),1),IF($AH28&gt;0,INDEX(BN$7:BN$106,$AH28),1),IF($AI28&gt;0,INDEX(BN$7:BN$106,$AI28),1),IF($AJ28&gt;0,INDEX(BN$7:BN$106,$AJ28),1))))</ns0:f>
        <ns0:v>1</ns0:v>
      </ns0:c>
      <ns0:c r="BP28" t="n">
        <ns0:f>IF($A28="",1,IF(BO28=1,1,--AND(IF($AC28&gt;0,INDEX(BO$7:BO$106,$AC28),1),IF($AD28&gt;0,INDEX(BO$7:BO$106,$AD28),1),IF($AE28&gt;0,INDEX(BO$7:BO$106,$AE28),1),IF($AF28&gt;0,INDEX(BO$7:BO$106,$AF28),1),IF($AG28&gt;0,INDEX(BO$7:BO$106,$AG28),1),IF($AH28&gt;0,INDEX(BO$7:BO$106,$AH28),1),IF($AI28&gt;0,INDEX(BO$7:BO$106,$AI28),1),IF($AJ28&gt;0,INDEX(BO$7:BO$106,$AJ28),1))))</ns0:f>
        <ns0:v>1</ns0:v>
      </ns0:c>
      <ns0:c r="BQ28" t="n">
        <ns0:f>IF($A28="",1,IF(BP28=1,1,--AND(IF($AC28&gt;0,INDEX(BP$7:BP$106,$AC28),1),IF($AD28&gt;0,INDEX(BP$7:BP$106,$AD28),1),IF($AE28&gt;0,INDEX(BP$7:BP$106,$AE28),1),IF($AF28&gt;0,INDEX(BP$7:BP$106,$AF28),1),IF($AG28&gt;0,INDEX(BP$7:BP$106,$AG28),1),IF($AH28&gt;0,INDEX(BP$7:BP$106,$AH28),1),IF($AI28&gt;0,INDEX(BP$7:BP$106,$AI28),1),IF($AJ28&gt;0,INDEX(BP$7:BP$106,$AJ28),1))))</ns0:f>
        <ns0:v>1</ns0:v>
      </ns0:c>
      <ns0:c r="BR28" t="n">
        <ns0:f>IF($A28="",1,IF(BQ28=1,1,--AND(IF($AC28&gt;0,INDEX(BQ$7:BQ$106,$AC28),1),IF($AD28&gt;0,INDEX(BQ$7:BQ$106,$AD28),1),IF($AE28&gt;0,INDEX(BQ$7:BQ$106,$AE28),1),IF($AF28&gt;0,INDEX(BQ$7:BQ$106,$AF28),1),IF($AG28&gt;0,INDEX(BQ$7:BQ$106,$AG28),1),IF($AH28&gt;0,INDEX(BQ$7:BQ$106,$AH28),1),IF($AI28&gt;0,INDEX(BQ$7:BQ$106,$AI28),1),IF($AJ28&gt;0,INDEX(BQ$7:BQ$106,$AJ28),1))))</ns0:f>
        <ns0:v>1</ns0:v>
      </ns0:c>
      <ns0:c r="BS28" t="n">
        <ns0:f>IF($A28="",1,IF(BR28=1,1,--AND(IF($AC28&gt;0,INDEX(BR$7:BR$106,$AC28),1),IF($AD28&gt;0,INDEX(BR$7:BR$106,$AD28),1),IF($AE28&gt;0,INDEX(BR$7:BR$106,$AE28),1),IF($AF28&gt;0,INDEX(BR$7:BR$106,$AF28),1),IF($AG28&gt;0,INDEX(BR$7:BR$106,$AG28),1),IF($AH28&gt;0,INDEX(BR$7:BR$106,$AH28),1),IF($AI28&gt;0,INDEX(BR$7:BR$106,$AI28),1),IF($AJ28&gt;0,INDEX(BR$7:BR$106,$AJ28),1))))</ns0:f>
        <ns0:v>1</ns0:v>
      </ns0:c>
      <ns0:c r="BT28" t="n">
        <ns0:f>IF($A28="",1,IF(BS28=1,1,--AND(IF($AC28&gt;0,INDEX(BS$7:BS$106,$AC28),1),IF($AD28&gt;0,INDEX(BS$7:BS$106,$AD28),1),IF($AE28&gt;0,INDEX(BS$7:BS$106,$AE28),1),IF($AF28&gt;0,INDEX(BS$7:BS$106,$AF28),1),IF($AG28&gt;0,INDEX(BS$7:BS$106,$AG28),1),IF($AH28&gt;0,INDEX(BS$7:BS$106,$AH28),1),IF($AI28&gt;0,INDEX(BS$7:BS$106,$AI28),1),IF($AJ28&gt;0,INDEX(BS$7:BS$106,$AJ28),1))))</ns0:f>
        <ns0:v>1</ns0:v>
      </ns0:c>
      <ns0:c r="BU28" t="n">
        <ns0:f>IF($A28="",1,IF(BT28=1,1,--AND(IF($AC28&gt;0,INDEX(BT$7:BT$106,$AC28),1),IF($AD28&gt;0,INDEX(BT$7:BT$106,$AD28),1),IF($AE28&gt;0,INDEX(BT$7:BT$106,$AE28),1),IF($AF28&gt;0,INDEX(BT$7:BT$106,$AF28),1),IF($AG28&gt;0,INDEX(BT$7:BT$106,$AG28),1),IF($AH28&gt;0,INDEX(BT$7:BT$106,$AH28),1),IF($AI28&gt;0,INDEX(BT$7:BT$106,$AI28),1),IF($AJ28&gt;0,INDEX(BT$7:BT$106,$AJ28),1))))</ns0:f>
        <ns0:v>1</ns0:v>
      </ns0:c>
      <ns0:c r="BV28" t="n">
        <ns0:f>IF($A28="",1,IF(BU28=1,1,--AND(IF($AC28&gt;0,INDEX(BU$7:BU$106,$AC28),1),IF($AD28&gt;0,INDEX(BU$7:BU$106,$AD28),1),IF($AE28&gt;0,INDEX(BU$7:BU$106,$AE28),1),IF($AF28&gt;0,INDEX(BU$7:BU$106,$AF28),1),IF($AG28&gt;0,INDEX(BU$7:BU$106,$AG28),1),IF($AH28&gt;0,INDEX(BU$7:BU$106,$AH28),1),IF($AI28&gt;0,INDEX(BU$7:BU$106,$AI28),1),IF($AJ28&gt;0,INDEX(BU$7:BU$106,$AJ28),1))))</ns0:f>
        <ns0:v>1</ns0:v>
      </ns0:c>
      <ns0:c r="BW28" t="n">
        <ns0:f>IF($A28="",1,IF(BV28=1,1,--AND(IF($AC28&gt;0,INDEX(BV$7:BV$106,$AC28),1),IF($AD28&gt;0,INDEX(BV$7:BV$106,$AD28),1),IF($AE28&gt;0,INDEX(BV$7:BV$106,$AE28),1),IF($AF28&gt;0,INDEX(BV$7:BV$106,$AF28),1),IF($AG28&gt;0,INDEX(BV$7:BV$106,$AG28),1),IF($AH28&gt;0,INDEX(BV$7:BV$106,$AH28),1),IF($AI28&gt;0,INDEX(BV$7:BV$106,$AI28),1),IF($AJ28&gt;0,INDEX(BV$7:BV$106,$AJ28),1))))</ns0:f>
        <ns0:v>1</ns0:v>
      </ns0:c>
      <ns0:c r="BX28" t="n">
        <ns0:f>IF($A28="",1,IF(BW28=1,1,--AND(IF($AC28&gt;0,INDEX(BW$7:BW$106,$AC28),1),IF($AD28&gt;0,INDEX(BW$7:BW$106,$AD28),1),IF($AE28&gt;0,INDEX(BW$7:BW$106,$AE28),1),IF($AF28&gt;0,INDEX(BW$7:BW$106,$AF28),1),IF($AG28&gt;0,INDEX(BW$7:BW$106,$AG28),1),IF($AH28&gt;0,INDEX(BW$7:BW$106,$AH28),1),IF($AI28&gt;0,INDEX(BW$7:BW$106,$AI28),1),IF($AJ28&gt;0,INDEX(BW$7:BW$106,$AJ28),1))))</ns0:f>
        <ns0:v>1</ns0:v>
      </ns0:c>
      <ns0:c r="BY28" t="n">
        <ns0:f>IF($A28="",1,IF(BX28=1,1,--AND(IF($AC28&gt;0,INDEX(BX$7:BX$106,$AC28),1),IF($AD28&gt;0,INDEX(BX$7:BX$106,$AD28),1),IF($AE28&gt;0,INDEX(BX$7:BX$106,$AE28),1),IF($AF28&gt;0,INDEX(BX$7:BX$106,$AF28),1),IF($AG28&gt;0,INDEX(BX$7:BX$106,$AG28),1),IF($AH28&gt;0,INDEX(BX$7:BX$106,$AH28),1),IF($AI28&gt;0,INDEX(BX$7:BX$106,$AI28),1),IF($AJ28&gt;0,INDEX(BX$7:BX$106,$AJ28),1))))</ns0:f>
        <ns0:v>1</ns0:v>
      </ns0:c>
      <ns0:c r="BZ28" t="n">
        <ns0:f>IF($A28="",1,IF(BY28=1,1,--AND(IF($AC28&gt;0,INDEX(BY$7:BY$106,$AC28),1),IF($AD28&gt;0,INDEX(BY$7:BY$106,$AD28),1),IF($AE28&gt;0,INDEX(BY$7:BY$106,$AE28),1),IF($AF28&gt;0,INDEX(BY$7:BY$106,$AF28),1),IF($AG28&gt;0,INDEX(BY$7:BY$106,$AG28),1),IF($AH28&gt;0,INDEX(BY$7:BY$106,$AH28),1),IF($AI28&gt;0,INDEX(BY$7:BY$106,$AI28),1),IF($AJ28&gt;0,INDEX(BY$7:BY$106,$AJ28),1))))</ns0:f>
        <ns0:v>1</ns0:v>
      </ns0:c>
      <ns0:c r="CA28" t="n">
        <ns0:f>IF($A28="",1,IF(BZ28=1,1,--AND(IF($AC28&gt;0,INDEX(BZ$7:BZ$106,$AC28),1),IF($AD28&gt;0,INDEX(BZ$7:BZ$106,$AD28),1),IF($AE28&gt;0,INDEX(BZ$7:BZ$106,$AE28),1),IF($AF28&gt;0,INDEX(BZ$7:BZ$106,$AF28),1),IF($AG28&gt;0,INDEX(BZ$7:BZ$106,$AG28),1),IF($AH28&gt;0,INDEX(BZ$7:BZ$106,$AH28),1),IF($AI28&gt;0,INDEX(BZ$7:BZ$106,$AI28),1),IF($AJ28&gt;0,INDEX(BZ$7:BZ$106,$AJ28),1))))</ns0:f>
        <ns0:v>1</ns0:v>
      </ns0:c>
      <ns0:c r="CB28" t="n">
        <ns0:f>IF($A28="",1,IF(CA28=1,1,--AND(IF($AC28&gt;0,INDEX(CA$7:CA$106,$AC28),1),IF($AD28&gt;0,INDEX(CA$7:CA$106,$AD28),1),IF($AE28&gt;0,INDEX(CA$7:CA$106,$AE28),1),IF($AF28&gt;0,INDEX(CA$7:CA$106,$AF28),1),IF($AG28&gt;0,INDEX(CA$7:CA$106,$AG28),1),IF($AH28&gt;0,INDEX(CA$7:CA$106,$AH28),1),IF($AI28&gt;0,INDEX(CA$7:CA$106,$AI28),1),IF($AJ28&gt;0,INDEX(CA$7:CA$106,$AJ28),1))))</ns0:f>
        <ns0:v>1</ns0:v>
      </ns0:c>
      <ns0:c r="CC28" t="n">
        <ns0:f>IF($A28="",1,IF(CB28=1,1,--AND(IF($AC28&gt;0,INDEX(CB$7:CB$106,$AC28),1),IF($AD28&gt;0,INDEX(CB$7:CB$106,$AD28),1),IF($AE28&gt;0,INDEX(CB$7:CB$106,$AE28),1),IF($AF28&gt;0,INDEX(CB$7:CB$106,$AF28),1),IF($AG28&gt;0,INDEX(CB$7:CB$106,$AG28),1),IF($AH28&gt;0,INDEX(CB$7:CB$106,$AH28),1),IF($AI28&gt;0,INDEX(CB$7:CB$106,$AI28),1),IF($AJ28&gt;0,INDEX(CB$7:CB$106,$AJ28),1))))</ns0:f>
        <ns0:v>1</ns0:v>
      </ns0:c>
      <ns0:c r="CD28" t="n">
        <ns0:f>IF($A28="",1,IF(CC28=1,1,--AND(IF($AC28&gt;0,INDEX(CC$7:CC$106,$AC28),1),IF($AD28&gt;0,INDEX(CC$7:CC$106,$AD28),1),IF($AE28&gt;0,INDEX(CC$7:CC$106,$AE28),1),IF($AF28&gt;0,INDEX(CC$7:CC$106,$AF28),1),IF($AG28&gt;0,INDEX(CC$7:CC$106,$AG28),1),IF($AH28&gt;0,INDEX(CC$7:CC$106,$AH28),1),IF($AI28&gt;0,INDEX(CC$7:CC$106,$AI28),1),IF($AJ28&gt;0,INDEX(CC$7:CC$106,$AJ28),1))))</ns0:f>
        <ns0:v>1</ns0:v>
      </ns0:c>
      <ns0:c r="CE28" t="n">
        <ns0:f>IF($A28="",1,IF(CD28=1,1,--AND(IF($AC28&gt;0,INDEX(CD$7:CD$106,$AC28),1),IF($AD28&gt;0,INDEX(CD$7:CD$106,$AD28),1),IF($AE28&gt;0,INDEX(CD$7:CD$106,$AE28),1),IF($AF28&gt;0,INDEX(CD$7:CD$106,$AF28),1),IF($AG28&gt;0,INDEX(CD$7:CD$106,$AG28),1),IF($AH28&gt;0,INDEX(CD$7:CD$106,$AH28),1),IF($AI28&gt;0,INDEX(CD$7:CD$106,$AI28),1),IF($AJ28&gt;0,INDEX(CD$7:CD$106,$AJ28),1))))</ns0:f>
        <ns0:v>1</ns0:v>
      </ns0:c>
      <ns0:c r="CF28" t="n">
        <ns0:f>IF($A28="",1,IF(CE28=1,1,--AND(IF($AC28&gt;0,INDEX(CE$7:CE$106,$AC28),1),IF($AD28&gt;0,INDEX(CE$7:CE$106,$AD28),1),IF($AE28&gt;0,INDEX(CE$7:CE$106,$AE28),1),IF($AF28&gt;0,INDEX(CE$7:CE$106,$AF28),1),IF($AG28&gt;0,INDEX(CE$7:CE$106,$AG28),1),IF($AH28&gt;0,INDEX(CE$7:CE$106,$AH28),1),IF($AI28&gt;0,INDEX(CE$7:CE$106,$AI28),1),IF($AJ28&gt;0,INDEX(CE$7:CE$106,$AJ28),1))))</ns0:f>
        <ns0:v>1</ns0:v>
      </ns0:c>
      <ns0:c r="CG28" t="n">
        <ns0:f>IF($A28="",1,IF(CF28=1,1,--AND(IF($AC28&gt;0,INDEX(CF$7:CF$106,$AC28),1),IF($AD28&gt;0,INDEX(CF$7:CF$106,$AD28),1),IF($AE28&gt;0,INDEX(CF$7:CF$106,$AE28),1),IF($AF28&gt;0,INDEX(CF$7:CF$106,$AF28),1),IF($AG28&gt;0,INDEX(CF$7:CF$106,$AG28),1),IF($AH28&gt;0,INDEX(CF$7:CF$106,$AH28),1),IF($AI28&gt;0,INDEX(CF$7:CF$106,$AI28),1),IF($AJ28&gt;0,INDEX(CF$7:CF$106,$AJ28),1))))</ns0:f>
        <ns0:v>1</ns0:v>
      </ns0:c>
      <ns0:c r="CH28" t="n">
        <ns0:f>IF($A28="",1,IF(CG28=1,1,--AND(IF($AC28&gt;0,INDEX(CG$7:CG$106,$AC28),1),IF($AD28&gt;0,INDEX(CG$7:CG$106,$AD28),1),IF($AE28&gt;0,INDEX(CG$7:CG$106,$AE28),1),IF($AF28&gt;0,INDEX(CG$7:CG$106,$AF28),1),IF($AG28&gt;0,INDEX(CG$7:CG$106,$AG28),1),IF($AH28&gt;0,INDEX(CG$7:CG$106,$AH28),1),IF($AI28&gt;0,INDEX(CG$7:CG$106,$AI28),1),IF($AJ28&gt;0,INDEX(CG$7:CG$106,$AJ28),1))))</ns0:f>
        <ns0:v>1</ns0:v>
      </ns0:c>
      <ns0:c r="CI28" t="n">
        <ns0:f>IF($A28="",1,IF(CH28=1,1,--AND(IF($AC28&gt;0,INDEX(CH$7:CH$106,$AC28),1),IF($AD28&gt;0,INDEX(CH$7:CH$106,$AD28),1),IF($AE28&gt;0,INDEX(CH$7:CH$106,$AE28),1),IF($AF28&gt;0,INDEX(CH$7:CH$106,$AF28),1),IF($AG28&gt;0,INDEX(CH$7:CH$106,$AG28),1),IF($AH28&gt;0,INDEX(CH$7:CH$106,$AH28),1),IF($AI28&gt;0,INDEX(CH$7:CH$106,$AI28),1),IF($AJ28&gt;0,INDEX(CH$7:CH$106,$AJ28),1))))</ns0:f>
        <ns0:v>1</ns0:v>
      </ns0:c>
      <ns0:c r="CJ28" t="n">
        <ns0:f>IF($A28="",1,IF(CI28=1,1,--AND(IF($AC28&gt;0,INDEX(CI$7:CI$106,$AC28),1),IF($AD28&gt;0,INDEX(CI$7:CI$106,$AD28),1),IF($AE28&gt;0,INDEX(CI$7:CI$106,$AE28),1),IF($AF28&gt;0,INDEX(CI$7:CI$106,$AF28),1),IF($AG28&gt;0,INDEX(CI$7:CI$106,$AG28),1),IF($AH28&gt;0,INDEX(CI$7:CI$106,$AH28),1),IF($AI28&gt;0,INDEX(CI$7:CI$106,$AI28),1),IF($AJ28&gt;0,INDEX(CI$7:CI$106,$AJ28),1))))</ns0:f>
        <ns0:v>1</ns0:v>
      </ns0:c>
      <ns0:c r="CK28" t="n">
        <ns0:f>IF($A28="",1,IF(CJ28=1,1,--AND(IF($AC28&gt;0,INDEX(CJ$7:CJ$106,$AC28),1),IF($AD28&gt;0,INDEX(CJ$7:CJ$106,$AD28),1),IF($AE28&gt;0,INDEX(CJ$7:CJ$106,$AE28),1),IF($AF28&gt;0,INDEX(CJ$7:CJ$106,$AF28),1),IF($AG28&gt;0,INDEX(CJ$7:CJ$106,$AG28),1),IF($AH28&gt;0,INDEX(CJ$7:CJ$106,$AH28),1),IF($AI28&gt;0,INDEX(CJ$7:CJ$106,$AI28),1),IF($AJ28&gt;0,INDEX(CJ$7:CJ$106,$AJ28),1))))</ns0:f>
        <ns0:v>1</ns0:v>
      </ns0:c>
      <ns0:c r="CL28" t="n">
        <ns0:f>IF($A28="",1,IF(CK28=1,1,--AND(IF($AC28&gt;0,INDEX(CK$7:CK$106,$AC28),1),IF($AD28&gt;0,INDEX(CK$7:CK$106,$AD28),1),IF($AE28&gt;0,INDEX(CK$7:CK$106,$AE28),1),IF($AF28&gt;0,INDEX(CK$7:CK$106,$AF28),1),IF($AG28&gt;0,INDEX(CK$7:CK$106,$AG28),1),IF($AH28&gt;0,INDEX(CK$7:CK$106,$AH28),1),IF($AI28&gt;0,INDEX(CK$7:CK$106,$AI28),1),IF($AJ28&gt;0,INDEX(CK$7:CK$106,$AJ28),1))))</ns0:f>
        <ns0:v>1</ns0:v>
      </ns0:c>
      <ns0:c r="CM28" t="n">
        <ns0:f>IF($A28="",1,IF(CL28=1,1,--AND(IF($AC28&gt;0,INDEX(CL$7:CL$106,$AC28),1),IF($AD28&gt;0,INDEX(CL$7:CL$106,$AD28),1),IF($AE28&gt;0,INDEX(CL$7:CL$106,$AE28),1),IF($AF28&gt;0,INDEX(CL$7:CL$106,$AF28),1),IF($AG28&gt;0,INDEX(CL$7:CL$106,$AG28),1),IF($AH28&gt;0,INDEX(CL$7:CL$106,$AH28),1),IF($AI28&gt;0,INDEX(CL$7:CL$106,$AI28),1),IF($AJ28&gt;0,INDEX(CL$7:CL$106,$AJ28),1))))</ns0:f>
        <ns0:v>1</ns0:v>
      </ns0:c>
      <ns0:c r="CN28" t="n">
        <ns0:f>IF($A28="",1,IF(CM28=1,1,--AND(IF($AC28&gt;0,INDEX(CM$7:CM$106,$AC28),1),IF($AD28&gt;0,INDEX(CM$7:CM$106,$AD28),1),IF($AE28&gt;0,INDEX(CM$7:CM$106,$AE28),1),IF($AF28&gt;0,INDEX(CM$7:CM$106,$AF28),1),IF($AG28&gt;0,INDEX(CM$7:CM$106,$AG28),1),IF($AH28&gt;0,INDEX(CM$7:CM$106,$AH28),1),IF($AI28&gt;0,INDEX(CM$7:CM$106,$AI28),1),IF($AJ28&gt;0,INDEX(CM$7:CM$106,$AJ28),1))))</ns0:f>
        <ns0:v>1</ns0:v>
      </ns0:c>
      <ns0:c r="CO28" t="n">
        <ns0:f>IF($A28="",1,IF(CN28=1,1,--AND(IF($AC28&gt;0,INDEX(CN$7:CN$106,$AC28),1),IF($AD28&gt;0,INDEX(CN$7:CN$106,$AD28),1),IF($AE28&gt;0,INDEX(CN$7:CN$106,$AE28),1),IF($AF28&gt;0,INDEX(CN$7:CN$106,$AF28),1),IF($AG28&gt;0,INDEX(CN$7:CN$106,$AG28),1),IF($AH28&gt;0,INDEX(CN$7:CN$106,$AH28),1),IF($AI28&gt;0,INDEX(CN$7:CN$106,$AI28),1),IF($AJ28&gt;0,INDEX(CN$7:CN$106,$AJ28),1))))</ns0:f>
        <ns0:v>1</ns0:v>
      </ns0:c>
      <ns0:c r="CP28" t="n">
        <ns0:f>IF($A28="",1,IF(CO28=1,1,--AND(IF($AC28&gt;0,INDEX(CO$7:CO$106,$AC28),1),IF($AD28&gt;0,INDEX(CO$7:CO$106,$AD28),1),IF($AE28&gt;0,INDEX(CO$7:CO$106,$AE28),1),IF($AF28&gt;0,INDEX(CO$7:CO$106,$AF28),1),IF($AG28&gt;0,INDEX(CO$7:CO$106,$AG28),1),IF($AH28&gt;0,INDEX(CO$7:CO$106,$AH28),1),IF($AI28&gt;0,INDEX(CO$7:CO$106,$AI28),1),IF($AJ28&gt;0,INDEX(CO$7:CO$106,$AJ28),1))))</ns0:f>
        <ns0:v>1</ns0:v>
      </ns0:c>
      <ns0:c r="CQ28" t="n">
        <ns0:f>IF($A28="",1,IF(CP28=1,1,--AND(IF($AC28&gt;0,INDEX(CP$7:CP$106,$AC28),1),IF($AD28&gt;0,INDEX(CP$7:CP$106,$AD28),1),IF($AE28&gt;0,INDEX(CP$7:CP$106,$AE28),1),IF($AF28&gt;0,INDEX(CP$7:CP$106,$AF28),1),IF($AG28&gt;0,INDEX(CP$7:CP$106,$AG28),1),IF($AH28&gt;0,INDEX(CP$7:CP$106,$AH28),1),IF($AI28&gt;0,INDEX(CP$7:CP$106,$AI28),1),IF($AJ28&gt;0,INDEX(CP$7:CP$106,$AJ28),1))))</ns0:f>
        <ns0:v>1</ns0:v>
      </ns0:c>
      <ns0:c r="CR28" t="n">
        <ns0:f>IF($A28="",1,IF(CQ28=1,1,--AND(IF($AC28&gt;0,INDEX(CQ$7:CQ$106,$AC28),1),IF($AD28&gt;0,INDEX(CQ$7:CQ$106,$AD28),1),IF($AE28&gt;0,INDEX(CQ$7:CQ$106,$AE28),1),IF($AF28&gt;0,INDEX(CQ$7:CQ$106,$AF28),1),IF($AG28&gt;0,INDEX(CQ$7:CQ$106,$AG28),1),IF($AH28&gt;0,INDEX(CQ$7:CQ$106,$AH28),1),IF($AI28&gt;0,INDEX(CQ$7:CQ$106,$AI28),1),IF($AJ28&gt;0,INDEX(CQ$7:CQ$106,$AJ28),1))))</ns0:f>
        <ns0:v>1</ns0:v>
      </ns0:c>
      <ns0:c r="CS28" t="n">
        <ns0:f>IF($A28="",1,IF(CR28=1,1,--AND(IF($AC28&gt;0,INDEX(CR$7:CR$106,$AC28),1),IF($AD28&gt;0,INDEX(CR$7:CR$106,$AD28),1),IF($AE28&gt;0,INDEX(CR$7:CR$106,$AE28),1),IF($AF28&gt;0,INDEX(CR$7:CR$106,$AF28),1),IF($AG28&gt;0,INDEX(CR$7:CR$106,$AG28),1),IF($AH28&gt;0,INDEX(CR$7:CR$106,$AH28),1),IF($AI28&gt;0,INDEX(CR$7:CR$106,$AI28),1),IF($AJ28&gt;0,INDEX(CR$7:CR$106,$AJ28),1))))</ns0:f>
        <ns0:v>1</ns0:v>
      </ns0:c>
      <ns0:c r="CT28" t="n">
        <ns0:f>IF($A28="",1,IF(CS28=1,1,--AND(IF($AC28&gt;0,INDEX(CS$7:CS$106,$AC28),1),IF($AD28&gt;0,INDEX(CS$7:CS$106,$AD28),1),IF($AE28&gt;0,INDEX(CS$7:CS$106,$AE28),1),IF($AF28&gt;0,INDEX(CS$7:CS$106,$AF28),1),IF($AG28&gt;0,INDEX(CS$7:CS$106,$AG28),1),IF($AH28&gt;0,INDEX(CS$7:CS$106,$AH28),1),IF($AI28&gt;0,INDEX(CS$7:CS$106,$AI28),1),IF($AJ28&gt;0,INDEX(CS$7:CS$106,$AJ28),1))))</ns0:f>
        <ns0:v>1</ns0:v>
      </ns0:c>
      <ns0:c r="CU28" t="n">
        <ns0:f>IF($A28="",1,IF(CT28=1,1,--AND(IF($AC28&gt;0,INDEX(CT$7:CT$106,$AC28),1),IF($AD28&gt;0,INDEX(CT$7:CT$106,$AD28),1),IF($AE28&gt;0,INDEX(CT$7:CT$106,$AE28),1),IF($AF28&gt;0,INDEX(CT$7:CT$106,$AF28),1),IF($AG28&gt;0,INDEX(CT$7:CT$106,$AG28),1),IF($AH28&gt;0,INDEX(CT$7:CT$106,$AH28),1),IF($AI28&gt;0,INDEX(CT$7:CT$106,$AI28),1),IF($AJ28&gt;0,INDEX(CT$7:CT$106,$AJ28),1))))</ns0:f>
        <ns0:v>1</ns0:v>
      </ns0:c>
      <ns0:c r="CV28" t="n">
        <ns0:f>IF($A28="",1,IF(CU28=1,1,--AND(IF($AC28&gt;0,INDEX(CU$7:CU$106,$AC28),1),IF($AD28&gt;0,INDEX(CU$7:CU$106,$AD28),1),IF($AE28&gt;0,INDEX(CU$7:CU$106,$AE28),1),IF($AF28&gt;0,INDEX(CU$7:CU$106,$AF28),1),IF($AG28&gt;0,INDEX(CU$7:CU$106,$AG28),1),IF($AH28&gt;0,INDEX(CU$7:CU$106,$AH28),1),IF($AI28&gt;0,INDEX(CU$7:CU$106,$AI28),1),IF($AJ28&gt;0,INDEX(CU$7:CU$106,$AJ28),1))))</ns0:f>
        <ns0:v>1</ns0:v>
      </ns0:c>
      <ns0:c r="CW28" t="n">
        <ns0:f>IF($A28="",1,IF(CV28=1,1,--AND(IF($AC28&gt;0,INDEX(CV$7:CV$106,$AC28),1),IF($AD28&gt;0,INDEX(CV$7:CV$106,$AD28),1),IF($AE28&gt;0,INDEX(CV$7:CV$106,$AE28),1),IF($AF28&gt;0,INDEX(CV$7:CV$106,$AF28),1),IF($AG28&gt;0,INDEX(CV$7:CV$106,$AG28),1),IF($AH28&gt;0,INDEX(CV$7:CV$106,$AH28),1),IF($AI28&gt;0,INDEX(CV$7:CV$106,$AI28),1),IF($AJ28&gt;0,INDEX(CV$7:CV$106,$AJ28),1))))</ns0:f>
        <ns0:v>1</ns0:v>
      </ns0:c>
      <ns0:c r="CX28" t="n">
        <ns0:f>IF($A28="",1,IF(CW28=1,1,--AND(IF($AC28&gt;0,INDEX(CW$7:CW$106,$AC28),1),IF($AD28&gt;0,INDEX(CW$7:CW$106,$AD28),1),IF($AE28&gt;0,INDEX(CW$7:CW$106,$AE28),1),IF($AF28&gt;0,INDEX(CW$7:CW$106,$AF28),1),IF($AG28&gt;0,INDEX(CW$7:CW$106,$AG28),1),IF($AH28&gt;0,INDEX(CW$7:CW$106,$AH28),1),IF($AI28&gt;0,INDEX(CW$7:CW$106,$AI28),1),IF($AJ28&gt;0,INDEX(CW$7:CW$106,$AJ28),1))))</ns0:f>
        <ns0:v>1</ns0:v>
      </ns0:c>
      <ns0:c r="CY28" t="n">
        <ns0:f>IF($A28="",1,IF(CX28=1,1,--AND(IF($AC28&gt;0,INDEX(CX$7:CX$106,$AC28),1),IF($AD28&gt;0,INDEX(CX$7:CX$106,$AD28),1),IF($AE28&gt;0,INDEX(CX$7:CX$106,$AE28),1),IF($AF28&gt;0,INDEX(CX$7:CX$106,$AF28),1),IF($AG28&gt;0,INDEX(CX$7:CX$106,$AG28),1),IF($AH28&gt;0,INDEX(CX$7:CX$106,$AH28),1),IF($AI28&gt;0,INDEX(CX$7:CX$106,$AI28),1),IF($AJ28&gt;0,INDEX(CX$7:CX$106,$AJ28),1))))</ns0:f>
        <ns0:v>1</ns0:v>
      </ns0:c>
      <ns0:c r="CZ28" t="n">
        <ns0:f>IF($A28="",1,IF(CY28=1,1,--AND(IF($AC28&gt;0,INDEX(CY$7:CY$106,$AC28),1),IF($AD28&gt;0,INDEX(CY$7:CY$106,$AD28),1),IF($AE28&gt;0,INDEX(CY$7:CY$106,$AE28),1),IF($AF28&gt;0,INDEX(CY$7:CY$106,$AF28),1),IF($AG28&gt;0,INDEX(CY$7:CY$106,$AG28),1),IF($AH28&gt;0,INDEX(CY$7:CY$106,$AH28),1),IF($AI28&gt;0,INDEX(CY$7:CY$106,$AI28),1),IF($AJ28&gt;0,INDEX(CY$7:CY$106,$AJ28),1))))</ns0:f>
        <ns0:v>1</ns0:v>
      </ns0:c>
      <ns0:c r="DA28" t="n">
        <ns0:f>IF($A28="",1,IF(CZ28=1,1,--AND(IF($AC28&gt;0,INDEX(CZ$7:CZ$106,$AC28),1),IF($AD28&gt;0,INDEX(CZ$7:CZ$106,$AD28),1),IF($AE28&gt;0,INDEX(CZ$7:CZ$106,$AE28),1),IF($AF28&gt;0,INDEX(CZ$7:CZ$106,$AF28),1),IF($AG28&gt;0,INDEX(CZ$7:CZ$106,$AG28),1),IF($AH28&gt;0,INDEX(CZ$7:CZ$106,$AH28),1),IF($AI28&gt;0,INDEX(CZ$7:CZ$106,$AI28),1),IF($AJ28&gt;0,INDEX(CZ$7:CZ$106,$AJ28),1))))</ns0:f>
        <ns0:v>1</ns0:v>
      </ns0:c>
      <ns0:c r="DB28" t="n">
        <ns0:f>IF($A28="",1,IF(DA28=1,1,--AND(IF($AC28&gt;0,INDEX(DA$7:DA$106,$AC28),1),IF($AD28&gt;0,INDEX(DA$7:DA$106,$AD28),1),IF($AE28&gt;0,INDEX(DA$7:DA$106,$AE28),1),IF($AF28&gt;0,INDEX(DA$7:DA$106,$AF28),1),IF($AG28&gt;0,INDEX(DA$7:DA$106,$AG28),1),IF($AH28&gt;0,INDEX(DA$7:DA$106,$AH28),1),IF($AI28&gt;0,INDEX(DA$7:DA$106,$AI28),1),IF($AJ28&gt;0,INDEX(DA$7:DA$106,$AJ28),1))))</ns0:f>
        <ns0:v>1</ns0:v>
      </ns0:c>
      <ns0:c r="DC28" t="n">
        <ns0:f>IF($A28="",1,IF(DB28=1,1,--AND(IF($AC28&gt;0,INDEX(DB$7:DB$106,$AC28),1),IF($AD28&gt;0,INDEX(DB$7:DB$106,$AD28),1),IF($AE28&gt;0,INDEX(DB$7:DB$106,$AE28),1),IF($AF28&gt;0,INDEX(DB$7:DB$106,$AF28),1),IF($AG28&gt;0,INDEX(DB$7:DB$106,$AG28),1),IF($AH28&gt;0,INDEX(DB$7:DB$106,$AH28),1),IF($AI28&gt;0,INDEX(DB$7:DB$106,$AI28),1),IF($AJ28&gt;0,INDEX(DB$7:DB$106,$AJ28),1))))</ns0:f>
        <ns0:v>1</ns0:v>
      </ns0:c>
      <ns0:c r="DD28" t="n">
        <ns0:f>IF($A28="",1,IF(DC28=1,1,--AND(IF($AC28&gt;0,INDEX(DC$7:DC$106,$AC28),1),IF($AD28&gt;0,INDEX(DC$7:DC$106,$AD28),1),IF($AE28&gt;0,INDEX(DC$7:DC$106,$AE28),1),IF($AF28&gt;0,INDEX(DC$7:DC$106,$AF28),1),IF($AG28&gt;0,INDEX(DC$7:DC$106,$AG28),1),IF($AH28&gt;0,INDEX(DC$7:DC$106,$AH28),1),IF($AI28&gt;0,INDEX(DC$7:DC$106,$AI28),1),IF($AJ28&gt;0,INDEX(DC$7:DC$106,$AJ28),1))))</ns0:f>
        <ns0:v>1</ns0:v>
      </ns0:c>
      <ns0:c r="DE28" t="n">
        <ns0:f>IF($A28="",1,IF(DD28=1,1,--AND(IF($AC28&gt;0,INDEX(DD$7:DD$106,$AC28),1),IF($AD28&gt;0,INDEX(DD$7:DD$106,$AD28),1),IF($AE28&gt;0,INDEX(DD$7:DD$106,$AE28),1),IF($AF28&gt;0,INDEX(DD$7:DD$106,$AF28),1),IF($AG28&gt;0,INDEX(DD$7:DD$106,$AG28),1),IF($AH28&gt;0,INDEX(DD$7:DD$106,$AH28),1),IF($AI28&gt;0,INDEX(DD$7:DD$106,$AI28),1),IF($AJ28&gt;0,INDEX(DD$7:DD$106,$AJ28),1))))</ns0:f>
        <ns0:v>1</ns0:v>
      </ns0:c>
      <ns0:c r="DF28" t="n">
        <ns0:f>IF($A28="",1,IF(DE28=1,1,--AND(IF($AC28&gt;0,INDEX(DE$7:DE$106,$AC28),1),IF($AD28&gt;0,INDEX(DE$7:DE$106,$AD28),1),IF($AE28&gt;0,INDEX(DE$7:DE$106,$AE28),1),IF($AF28&gt;0,INDEX(DE$7:DE$106,$AF28),1),IF($AG28&gt;0,INDEX(DE$7:DE$106,$AG28),1),IF($AH28&gt;0,INDEX(DE$7:DE$106,$AH28),1),IF($AI28&gt;0,INDEX(DE$7:DE$106,$AI28),1),IF($AJ28&gt;0,INDEX(DE$7:DE$106,$AJ28),1))))</ns0:f>
        <ns0:v>1</ns0:v>
      </ns0:c>
      <ns0:c r="DG28" t="n">
        <ns0:f>IF($A28="",1,IF(DF28=1,1,--AND(IF($AC28&gt;0,INDEX(DF$7:DF$106,$AC28),1),IF($AD28&gt;0,INDEX(DF$7:DF$106,$AD28),1),IF($AE28&gt;0,INDEX(DF$7:DF$106,$AE28),1),IF($AF28&gt;0,INDEX(DF$7:DF$106,$AF28),1),IF($AG28&gt;0,INDEX(DF$7:DF$106,$AG28),1),IF($AH28&gt;0,INDEX(DF$7:DF$106,$AH28),1),IF($AI28&gt;0,INDEX(DF$7:DF$106,$AI28),1),IF($AJ28&gt;0,INDEX(DF$7:DF$106,$AJ28),1))))</ns0:f>
        <ns0:v>1</ns0:v>
      </ns0:c>
      <ns0:c r="DH28" t="n">
        <ns0:f>IF($A28="",1,IF(DG28=1,1,--AND(IF($AC28&gt;0,INDEX(DG$7:DG$106,$AC28),1),IF($AD28&gt;0,INDEX(DG$7:DG$106,$AD28),1),IF($AE28&gt;0,INDEX(DG$7:DG$106,$AE28),1),IF($AF28&gt;0,INDEX(DG$7:DG$106,$AF28),1),IF($AG28&gt;0,INDEX(DG$7:DG$106,$AG28),1),IF($AH28&gt;0,INDEX(DG$7:DG$106,$AH28),1),IF($AI28&gt;0,INDEX(DG$7:DG$106,$AI28),1),IF($AJ28&gt;0,INDEX(DG$7:DG$106,$AJ28),1))))</ns0:f>
        <ns0:v>1</ns0:v>
      </ns0:c>
      <ns0:c r="DI28" t="n">
        <ns0:f>IF($A28="",1,IF(DH28=1,1,--AND(IF($AC28&gt;0,INDEX(DH$7:DH$106,$AC28),1),IF($AD28&gt;0,INDEX(DH$7:DH$106,$AD28),1),IF($AE28&gt;0,INDEX(DH$7:DH$106,$AE28),1),IF($AF28&gt;0,INDEX(DH$7:DH$106,$AF28),1),IF($AG28&gt;0,INDEX(DH$7:DH$106,$AG28),1),IF($AH28&gt;0,INDEX(DH$7:DH$106,$AH28),1),IF($AI28&gt;0,INDEX(DH$7:DH$106,$AI28),1),IF($AJ28&gt;0,INDEX(DH$7:DH$106,$AJ28),1))))</ns0:f>
        <ns0:v>1</ns0:v>
      </ns0:c>
      <ns0:c r="DJ28" t="n">
        <ns0:f>IF($A28="",1,IF(DI28=1,1,--AND(IF($AC28&gt;0,INDEX(DI$7:DI$106,$AC28),1),IF($AD28&gt;0,INDEX(DI$7:DI$106,$AD28),1),IF($AE28&gt;0,INDEX(DI$7:DI$106,$AE28),1),IF($AF28&gt;0,INDEX(DI$7:DI$106,$AF28),1),IF($AG28&gt;0,INDEX(DI$7:DI$106,$AG28),1),IF($AH28&gt;0,INDEX(DI$7:DI$106,$AH28),1),IF($AI28&gt;0,INDEX(DI$7:DI$106,$AI28),1),IF($AJ28&gt;0,INDEX(DI$7:DI$106,$AJ28),1))))</ns0:f>
        <ns0:v>1</ns0:v>
      </ns0:c>
      <ns0:c r="DK28" t="n">
        <ns0:f>IF($A28="",1,IF(DJ28=1,1,--AND(IF($AC28&gt;0,INDEX(DJ$7:DJ$106,$AC28),1),IF($AD28&gt;0,INDEX(DJ$7:DJ$106,$AD28),1),IF($AE28&gt;0,INDEX(DJ$7:DJ$106,$AE28),1),IF($AF28&gt;0,INDEX(DJ$7:DJ$106,$AF28),1),IF($AG28&gt;0,INDEX(DJ$7:DJ$106,$AG28),1),IF($AH28&gt;0,INDEX(DJ$7:DJ$106,$AH28),1),IF($AI28&gt;0,INDEX(DJ$7:DJ$106,$AI28),1),IF($AJ28&gt;0,INDEX(DJ$7:DJ$106,$AJ28),1))))</ns0:f>
        <ns0:v>1</ns0:v>
      </ns0:c>
      <ns0:c r="DL28" t="n">
        <ns0:f>IF($A28="",1,IF(DK28=1,1,--AND(IF($AC28&gt;0,INDEX(DK$7:DK$106,$AC28),1),IF($AD28&gt;0,INDEX(DK$7:DK$106,$AD28),1),IF($AE28&gt;0,INDEX(DK$7:DK$106,$AE28),1),IF($AF28&gt;0,INDEX(DK$7:DK$106,$AF28),1),IF($AG28&gt;0,INDEX(DK$7:DK$106,$AG28),1),IF($AH28&gt;0,INDEX(DK$7:DK$106,$AH28),1),IF($AI28&gt;0,INDEX(DK$7:DK$106,$AI28),1),IF($AJ28&gt;0,INDEX(DK$7:DK$106,$AJ28),1))))</ns0:f>
        <ns0:v>1</ns0:v>
      </ns0:c>
      <ns0:c r="DM28" t="n">
        <ns0:f>IF($A28="",1,IF(DL28=1,1,--AND(IF($AC28&gt;0,INDEX(DL$7:DL$106,$AC28),1),IF($AD28&gt;0,INDEX(DL$7:DL$106,$AD28),1),IF($AE28&gt;0,INDEX(DL$7:DL$106,$AE28),1),IF($AF28&gt;0,INDEX(DL$7:DL$106,$AF28),1),IF($AG28&gt;0,INDEX(DL$7:DL$106,$AG28),1),IF($AH28&gt;0,INDEX(DL$7:DL$106,$AH28),1),IF($AI28&gt;0,INDEX(DL$7:DL$106,$AI28),1),IF($AJ28&gt;0,INDEX(DL$7:DL$106,$AJ28),1))))</ns0:f>
        <ns0:v>1</ns0:v>
      </ns0:c>
      <ns0:c r="DN28" t="n">
        <ns0:f>IF($A28="",1,IF(DM28=1,1,--AND(IF($AC28&gt;0,INDEX(DM$7:DM$106,$AC28),1),IF($AD28&gt;0,INDEX(DM$7:DM$106,$AD28),1),IF($AE28&gt;0,INDEX(DM$7:DM$106,$AE28),1),IF($AF28&gt;0,INDEX(DM$7:DM$106,$AF28),1),IF($AG28&gt;0,INDEX(DM$7:DM$106,$AG28),1),IF($AH28&gt;0,INDEX(DM$7:DM$106,$AH28),1),IF($AI28&gt;0,INDEX(DM$7:DM$106,$AI28),1),IF($AJ28&gt;0,INDEX(DM$7:DM$106,$AJ28),1))))</ns0:f>
        <ns0:v>1</ns0:v>
      </ns0:c>
      <ns0:c r="DO28" t="n">
        <ns0:f>IF($A28="",1,IF(DN28=1,1,--AND(IF($AC28&gt;0,INDEX(DN$7:DN$106,$AC28),1),IF($AD28&gt;0,INDEX(DN$7:DN$106,$AD28),1),IF($AE28&gt;0,INDEX(DN$7:DN$106,$AE28),1),IF($AF28&gt;0,INDEX(DN$7:DN$106,$AF28),1),IF($AG28&gt;0,INDEX(DN$7:DN$106,$AG28),1),IF($AH28&gt;0,INDEX(DN$7:DN$106,$AH28),1),IF($AI28&gt;0,INDEX(DN$7:DN$106,$AI28),1),IF($AJ28&gt;0,INDEX(DN$7:DN$106,$AJ28),1))))</ns0:f>
        <ns0:v>1</ns0:v>
      </ns0:c>
      <ns0:c r="DP28" t="n">
        <ns0:f>IF($A28="",1,IF(DO28=1,1,--AND(IF($AC28&gt;0,INDEX(DO$7:DO$106,$AC28),1),IF($AD28&gt;0,INDEX(DO$7:DO$106,$AD28),1),IF($AE28&gt;0,INDEX(DO$7:DO$106,$AE28),1),IF($AF28&gt;0,INDEX(DO$7:DO$106,$AF28),1),IF($AG28&gt;0,INDEX(DO$7:DO$106,$AG28),1),IF($AH28&gt;0,INDEX(DO$7:DO$106,$AH28),1),IF($AI28&gt;0,INDEX(DO$7:DO$106,$AI28),1),IF($AJ28&gt;0,INDEX(DO$7:DO$106,$AJ28),1))))</ns0:f>
        <ns0:v>1</ns0:v>
      </ns0:c>
      <ns0:c r="DQ28" t="n">
        <ns0:f>IF($A28="",1,IF(DP28=1,1,--AND(IF($AC28&gt;0,INDEX(DP$7:DP$106,$AC28),1),IF($AD28&gt;0,INDEX(DP$7:DP$106,$AD28),1),IF($AE28&gt;0,INDEX(DP$7:DP$106,$AE28),1),IF($AF28&gt;0,INDEX(DP$7:DP$106,$AF28),1),IF($AG28&gt;0,INDEX(DP$7:DP$106,$AG28),1),IF($AH28&gt;0,INDEX(DP$7:DP$106,$AH28),1),IF($AI28&gt;0,INDEX(DP$7:DP$106,$AI28),1),IF($AJ28&gt;0,INDEX(DP$7:DP$106,$AJ28),1))))</ns0:f>
        <ns0:v>1</ns0:v>
      </ns0:c>
      <ns0:c r="DR28" t="n">
        <ns0:f>IF($A28="",1,IF(DQ28=1,1,--AND(IF($AC28&gt;0,INDEX(DQ$7:DQ$106,$AC28),1),IF($AD28&gt;0,INDEX(DQ$7:DQ$106,$AD28),1),IF($AE28&gt;0,INDEX(DQ$7:DQ$106,$AE28),1),IF($AF28&gt;0,INDEX(DQ$7:DQ$106,$AF28),1),IF($AG28&gt;0,INDEX(DQ$7:DQ$106,$AG28),1),IF($AH28&gt;0,INDEX(DQ$7:DQ$106,$AH28),1),IF($AI28&gt;0,INDEX(DQ$7:DQ$106,$AI28),1),IF($AJ28&gt;0,INDEX(DQ$7:DQ$106,$AJ28),1))))</ns0:f>
        <ns0:v>1</ns0:v>
      </ns0:c>
      <ns0:c r="DS28" t="n">
        <ns0:f>IF($A28="",1,IF(DR28=1,1,--AND(IF($AC28&gt;0,INDEX(DR$7:DR$106,$AC28),1),IF($AD28&gt;0,INDEX(DR$7:DR$106,$AD28),1),IF($AE28&gt;0,INDEX(DR$7:DR$106,$AE28),1),IF($AF28&gt;0,INDEX(DR$7:DR$106,$AF28),1),IF($AG28&gt;0,INDEX(DR$7:DR$106,$AG28),1),IF($AH28&gt;0,INDEX(DR$7:DR$106,$AH28),1),IF($AI28&gt;0,INDEX(DR$7:DR$106,$AI28),1),IF($AJ28&gt;0,INDEX(DR$7:DR$106,$AJ28),1))))</ns0:f>
        <ns0:v>1</ns0:v>
      </ns0:c>
      <ns0:c r="DT28" t="n">
        <ns0:f>IF($A28="",1,IF(DS28=1,1,--AND(IF($AC28&gt;0,INDEX(DS$7:DS$106,$AC28),1),IF($AD28&gt;0,INDEX(DS$7:DS$106,$AD28),1),IF($AE28&gt;0,INDEX(DS$7:DS$106,$AE28),1),IF($AF28&gt;0,INDEX(DS$7:DS$106,$AF28),1),IF($AG28&gt;0,INDEX(DS$7:DS$106,$AG28),1),IF($AH28&gt;0,INDEX(DS$7:DS$106,$AH28),1),IF($AI28&gt;0,INDEX(DS$7:DS$106,$AI28),1),IF($AJ28&gt;0,INDEX(DS$7:DS$106,$AJ28),1))))</ns0:f>
        <ns0:v>1</ns0:v>
      </ns0:c>
      <ns0:c r="DU28" t="n">
        <ns0:f>IF($A28="",1,IF(DT28=1,1,--AND(IF($AC28&gt;0,INDEX(DT$7:DT$106,$AC28),1),IF($AD28&gt;0,INDEX(DT$7:DT$106,$AD28),1),IF($AE28&gt;0,INDEX(DT$7:DT$106,$AE28),1),IF($AF28&gt;0,INDEX(DT$7:DT$106,$AF28),1),IF($AG28&gt;0,INDEX(DT$7:DT$106,$AG28),1),IF($AH28&gt;0,INDEX(DT$7:DT$106,$AH28),1),IF($AI28&gt;0,INDEX(DT$7:DT$106,$AI28),1),IF($AJ28&gt;0,INDEX(DT$7:DT$106,$AJ28),1))))</ns0:f>
        <ns0:v>1</ns0:v>
      </ns0:c>
      <ns0:c r="DV28" t="n">
        <ns0:f>IF($A28="",1,IF(DU28=1,1,--AND(IF($AC28&gt;0,INDEX(DU$7:DU$106,$AC28),1),IF($AD28&gt;0,INDEX(DU$7:DU$106,$AD28),1),IF($AE28&gt;0,INDEX(DU$7:DU$106,$AE28),1),IF($AF28&gt;0,INDEX(DU$7:DU$106,$AF28),1),IF($AG28&gt;0,INDEX(DU$7:DU$106,$AG28),1),IF($AH28&gt;0,INDEX(DU$7:DU$106,$AH28),1),IF($AI28&gt;0,INDEX(DU$7:DU$106,$AI28),1),IF($AJ28&gt;0,INDEX(DU$7:DU$106,$AJ28),1))))</ns0:f>
        <ns0:v>1</ns0:v>
      </ns0:c>
      <ns0:c r="DW28" t="n">
        <ns0:f>IF($A28="",1,IF(DV28=1,1,--AND(IF($AC28&gt;0,INDEX(DV$7:DV$106,$AC28),1),IF($AD28&gt;0,INDEX(DV$7:DV$106,$AD28),1),IF($AE28&gt;0,INDEX(DV$7:DV$106,$AE28),1),IF($AF28&gt;0,INDEX(DV$7:DV$106,$AF28),1),IF($AG28&gt;0,INDEX(DV$7:DV$106,$AG28),1),IF($AH28&gt;0,INDEX(DV$7:DV$106,$AH28),1),IF($AI28&gt;0,INDEX(DV$7:DV$106,$AI28),1),IF($AJ28&gt;0,INDEX(DV$7:DV$106,$AJ28),1))))</ns0:f>
        <ns0:v>1</ns0:v>
      </ns0:c>
      <ns0:c r="DX28" t="n">
        <ns0:f>IF($A28="",1,IF(DW28=1,1,--AND(IF($AC28&gt;0,INDEX(DW$7:DW$106,$AC28),1),IF($AD28&gt;0,INDEX(DW$7:DW$106,$AD28),1),IF($AE28&gt;0,INDEX(DW$7:DW$106,$AE28),1),IF($AF28&gt;0,INDEX(DW$7:DW$106,$AF28),1),IF($AG28&gt;0,INDEX(DW$7:DW$106,$AG28),1),IF($AH28&gt;0,INDEX(DW$7:DW$106,$AH28),1),IF($AI28&gt;0,INDEX(DW$7:DW$106,$AI28),1),IF($AJ28&gt;0,INDEX(DW$7:DW$106,$AJ28),1))))</ns0:f>
        <ns0:v>1</ns0:v>
      </ns0:c>
      <ns0:c r="DY28" t="n">
        <ns0:f>IF($A28="",1,IF(DX28=1,1,--AND(IF($AC28&gt;0,INDEX(DX$7:DX$106,$AC28),1),IF($AD28&gt;0,INDEX(DX$7:DX$106,$AD28),1),IF($AE28&gt;0,INDEX(DX$7:DX$106,$AE28),1),IF($AF28&gt;0,INDEX(DX$7:DX$106,$AF28),1),IF($AG28&gt;0,INDEX(DX$7:DX$106,$AG28),1),IF($AH28&gt;0,INDEX(DX$7:DX$106,$AH28),1),IF($AI28&gt;0,INDEX(DX$7:DX$106,$AI28),1),IF($AJ28&gt;0,INDEX(DX$7:DX$106,$AJ28),1))))</ns0:f>
        <ns0:v>1</ns0:v>
      </ns0:c>
      <ns0:c r="DZ28" t="n">
        <ns0:f>IF($A28="",1,IF(DY28=1,1,--AND(IF($AC28&gt;0,INDEX(DY$7:DY$106,$AC28),1),IF($AD28&gt;0,INDEX(DY$7:DY$106,$AD28),1),IF($AE28&gt;0,INDEX(DY$7:DY$106,$AE28),1),IF($AF28&gt;0,INDEX(DY$7:DY$106,$AF28),1),IF($AG28&gt;0,INDEX(DY$7:DY$106,$AG28),1),IF($AH28&gt;0,INDEX(DY$7:DY$106,$AH28),1),IF($AI28&gt;0,INDEX(DY$7:DY$106,$AI28),1),IF($AJ28&gt;0,INDEX(DY$7:DY$106,$AJ28),1))))</ns0:f>
        <ns0:v>1</ns0:v>
      </ns0:c>
      <ns0:c r="EA28" t="n">
        <ns0:f>IF($A28="",1,IF(DZ28=1,1,--AND(IF($AC28&gt;0,INDEX(DZ$7:DZ$106,$AC28),1),IF($AD28&gt;0,INDEX(DZ$7:DZ$106,$AD28),1),IF($AE28&gt;0,INDEX(DZ$7:DZ$106,$AE28),1),IF($AF28&gt;0,INDEX(DZ$7:DZ$106,$AF28),1),IF($AG28&gt;0,INDEX(DZ$7:DZ$106,$AG28),1),IF($AH28&gt;0,INDEX(DZ$7:DZ$106,$AH28),1),IF($AI28&gt;0,INDEX(DZ$7:DZ$106,$AI28),1),IF($AJ28&gt;0,INDEX(DZ$7:DZ$106,$AJ28),1))))</ns0:f>
        <ns0:v>1</ns0:v>
      </ns0:c>
      <ns0:c r="EB28" t="n">
        <ns0:f>IF($A28="",1,IF(EA28=1,1,--AND(IF($AC28&gt;0,INDEX(EA$7:EA$106,$AC28),1),IF($AD28&gt;0,INDEX(EA$7:EA$106,$AD28),1),IF($AE28&gt;0,INDEX(EA$7:EA$106,$AE28),1),IF($AF28&gt;0,INDEX(EA$7:EA$106,$AF28),1),IF($AG28&gt;0,INDEX(EA$7:EA$106,$AG28),1),IF($AH28&gt;0,INDEX(EA$7:EA$106,$AH28),1),IF($AI28&gt;0,INDEX(EA$7:EA$106,$AI28),1),IF($AJ28&gt;0,INDEX(EA$7:EA$106,$AJ28),1))))</ns0:f>
        <ns0:v>1</ns0:v>
      </ns0:c>
      <ns0:c r="EC28" t="n">
        <ns0:f>IF($A28="",1,IF(EB28=1,1,--AND(IF($AC28&gt;0,INDEX(EB$7:EB$106,$AC28),1),IF($AD28&gt;0,INDEX(EB$7:EB$106,$AD28),1),IF($AE28&gt;0,INDEX(EB$7:EB$106,$AE28),1),IF($AF28&gt;0,INDEX(EB$7:EB$106,$AF28),1),IF($AG28&gt;0,INDEX(EB$7:EB$106,$AG28),1),IF($AH28&gt;0,INDEX(EB$7:EB$106,$AH28),1),IF($AI28&gt;0,INDEX(EB$7:EB$106,$AI28),1),IF($AJ28&gt;0,INDEX(EB$7:EB$106,$AJ28),1))))</ns0:f>
        <ns0:v>1</ns0:v>
      </ns0:c>
      <ns0:c r="ED28" t="n">
        <ns0:f>IF($A28="",1,IF(EC28=1,1,--AND(IF($AC28&gt;0,INDEX(EC$7:EC$106,$AC28),1),IF($AD28&gt;0,INDEX(EC$7:EC$106,$AD28),1),IF($AE28&gt;0,INDEX(EC$7:EC$106,$AE28),1),IF($AF28&gt;0,INDEX(EC$7:EC$106,$AF28),1),IF($AG28&gt;0,INDEX(EC$7:EC$106,$AG28),1),IF($AH28&gt;0,INDEX(EC$7:EC$106,$AH28),1),IF($AI28&gt;0,INDEX(EC$7:EC$106,$AI28),1),IF($AJ28&gt;0,INDEX(EC$7:EC$106,$AJ28),1))))</ns0:f>
        <ns0:v>1</ns0:v>
      </ns0:c>
      <ns0:c r="EE28" t="n">
        <ns0:f>IF($A28="",1,IF(ED28=1,1,--AND(IF($AC28&gt;0,INDEX(ED$7:ED$106,$AC28),1),IF($AD28&gt;0,INDEX(ED$7:ED$106,$AD28),1),IF($AE28&gt;0,INDEX(ED$7:ED$106,$AE28),1),IF($AF28&gt;0,INDEX(ED$7:ED$106,$AF28),1),IF($AG28&gt;0,INDEX(ED$7:ED$106,$AG28),1),IF($AH28&gt;0,INDEX(ED$7:ED$106,$AH28),1),IF($AI28&gt;0,INDEX(ED$7:ED$106,$AI28),1),IF($AJ28&gt;0,INDEX(ED$7:ED$106,$AJ28),1))))</ns0:f>
        <ns0:v>1</ns0:v>
      </ns0:c>
      <ns0:c r="EF28" t="n">
        <ns0:f>IF($A28="",1,IF(EE28=1,1,--AND(IF($AC28&gt;0,INDEX(EE$7:EE$106,$AC28),1),IF($AD28&gt;0,INDEX(EE$7:EE$106,$AD28),1),IF($AE28&gt;0,INDEX(EE$7:EE$106,$AE28),1),IF($AF28&gt;0,INDEX(EE$7:EE$106,$AF28),1),IF($AG28&gt;0,INDEX(EE$7:EE$106,$AG28),1),IF($AH28&gt;0,INDEX(EE$7:EE$106,$AH28),1),IF($AI28&gt;0,INDEX(EE$7:EE$106,$AI28),1),IF($AJ28&gt;0,INDEX(EE$7:EE$106,$AJ28),1))))</ns0:f>
        <ns0:v>1</ns0:v>
      </ns0:c>
      <ns0:c r="EG28" t="n">
        <ns0:f>IF($A28="",1,IF(EF28=1,1,--AND(IF($AC28&gt;0,INDEX(EF$7:EF$106,$AC28),1),IF($AD28&gt;0,INDEX(EF$7:EF$106,$AD28),1),IF($AE28&gt;0,INDEX(EF$7:EF$106,$AE28),1),IF($AF28&gt;0,INDEX(EF$7:EF$106,$AF28),1),IF($AG28&gt;0,INDEX(EF$7:EF$106,$AG28),1),IF($AH28&gt;0,INDEX(EF$7:EF$106,$AH28),1),IF($AI28&gt;0,INDEX(EF$7:EF$106,$AI28),1),IF($AJ28&gt;0,INDEX(EF$7:EF$106,$AJ28),1))))</ns0:f>
        <ns0:v>1</ns0:v>
      </ns0:c>
      <ns0:c r="EH28" t="n">
        <ns0:f>IF($A28="",1,IF(EG28=1,1,--AND(IF($AC28&gt;0,INDEX(EG$7:EG$106,$AC28),1),IF($AD28&gt;0,INDEX(EG$7:EG$106,$AD28),1),IF($AE28&gt;0,INDEX(EG$7:EG$106,$AE28),1),IF($AF28&gt;0,INDEX(EG$7:EG$106,$AF28),1),IF($AG28&gt;0,INDEX(EG$7:EG$106,$AG28),1),IF($AH28&gt;0,INDEX(EG$7:EG$106,$AH28),1),IF($AI28&gt;0,INDEX(EG$7:EG$106,$AI28),1),IF($AJ28&gt;0,INDEX(EG$7:EG$106,$AJ28),1))))</ns0:f>
        <ns0:v>1</ns0:v>
      </ns0:c>
      <ns0:c r="EI28" t="n">
        <ns0:f>IF($A28="",1,IF(EH28=1,1,--AND(IF($AC28&gt;0,INDEX(EH$7:EH$106,$AC28),1),IF($AD28&gt;0,INDEX(EH$7:EH$106,$AD28),1),IF($AE28&gt;0,INDEX(EH$7:EH$106,$AE28),1),IF($AF28&gt;0,INDEX(EH$7:EH$106,$AF28),1),IF($AG28&gt;0,INDEX(EH$7:EH$106,$AG28),1),IF($AH28&gt;0,INDEX(EH$7:EH$106,$AH28),1),IF($AI28&gt;0,INDEX(EH$7:EH$106,$AI28),1),IF($AJ28&gt;0,INDEX(EH$7:EH$106,$AJ28),1))))</ns0:f>
        <ns0:v>1</ns0:v>
      </ns0:c>
      <ns0:c r="EJ28" t="n">
        <ns0:f>IF($A28="",1,IF(EI28=1,1,--AND(IF($AC28&gt;0,INDEX(EI$7:EI$106,$AC28),1),IF($AD28&gt;0,INDEX(EI$7:EI$106,$AD28),1),IF($AE28&gt;0,INDEX(EI$7:EI$106,$AE28),1),IF($AF28&gt;0,INDEX(EI$7:EI$106,$AF28),1),IF($AG28&gt;0,INDEX(EI$7:EI$106,$AG28),1),IF($AH28&gt;0,INDEX(EI$7:EI$106,$AH28),1),IF($AI28&gt;0,INDEX(EI$7:EI$106,$AI28),1),IF($AJ28&gt;0,INDEX(EI$7:EI$106,$AJ28),1))))</ns0:f>
        <ns0:v>1</ns0:v>
      </ns0:c>
      <ns0:c r="EK28" t="n">
        <ns0:f>IF($A28="",1,IF(EJ28=1,1,--AND(IF($AC28&gt;0,INDEX(EJ$7:EJ$106,$AC28),1),IF($AD28&gt;0,INDEX(EJ$7:EJ$106,$AD28),1),IF($AE28&gt;0,INDEX(EJ$7:EJ$106,$AE28),1),IF($AF28&gt;0,INDEX(EJ$7:EJ$106,$AF28),1),IF($AG28&gt;0,INDEX(EJ$7:EJ$106,$AG28),1),IF($AH28&gt;0,INDEX(EJ$7:EJ$106,$AH28),1),IF($AI28&gt;0,INDEX(EJ$7:EJ$106,$AI28),1),IF($AJ28&gt;0,INDEX(EJ$7:EJ$106,$AJ28),1))))</ns0:f>
        <ns0:v>1</ns0:v>
      </ns0:c>
      <ns0:c r="EL28" t="n">
        <ns0:f>IF($A28="",1,IF(EK28=1,1,--AND(IF($AC28&gt;0,INDEX(EK$7:EK$106,$AC28),1),IF($AD28&gt;0,INDEX(EK$7:EK$106,$AD28),1),IF($AE28&gt;0,INDEX(EK$7:EK$106,$AE28),1),IF($AF28&gt;0,INDEX(EK$7:EK$106,$AF28),1),IF($AG28&gt;0,INDEX(EK$7:EK$106,$AG28),1),IF($AH28&gt;0,INDEX(EK$7:EK$106,$AH28),1),IF($AI28&gt;0,INDEX(EK$7:EK$106,$AI28),1),IF($AJ28&gt;0,INDEX(EK$7:EK$106,$AJ28),1))))</ns0:f>
        <ns0:v>1</ns0:v>
      </ns0:c>
      <ns0:c r="EM28" t="n">
        <ns0:f>IF($A28="",1,IF(EL28=1,1,--AND(IF($AC28&gt;0,INDEX(EL$7:EL$106,$AC28),1),IF($AD28&gt;0,INDEX(EL$7:EL$106,$AD28),1),IF($AE28&gt;0,INDEX(EL$7:EL$106,$AE28),1),IF($AF28&gt;0,INDEX(EL$7:EL$106,$AF28),1),IF($AG28&gt;0,INDEX(EL$7:EL$106,$AG28),1),IF($AH28&gt;0,INDEX(EL$7:EL$106,$AH28),1),IF($AI28&gt;0,INDEX(EL$7:EL$106,$AI28),1),IF($AJ28&gt;0,INDEX(EL$7:EL$106,$AJ28),1))))</ns0:f>
        <ns0:v>1</ns0:v>
      </ns0:c>
      <ns0:c r="EN28" t="n">
        <ns0:f>IF($A28="",1,IF(EM28=1,1,--AND(IF($AC28&gt;0,INDEX(EM$7:EM$106,$AC28),1),IF($AD28&gt;0,INDEX(EM$7:EM$106,$AD28),1),IF($AE28&gt;0,INDEX(EM$7:EM$106,$AE28),1),IF($AF28&gt;0,INDEX(EM$7:EM$106,$AF28),1),IF($AG28&gt;0,INDEX(EM$7:EM$106,$AG28),1),IF($AH28&gt;0,INDEX(EM$7:EM$106,$AH28),1),IF($AI28&gt;0,INDEX(EM$7:EM$106,$AI28),1),IF($AJ28&gt;0,INDEX(EM$7:EM$106,$AJ28),1))))</ns0:f>
        <ns0:v>1</ns0:v>
      </ns0:c>
      <ns0:c r="EO28" t="n">
        <ns0:f>IF($A28="",1,IF(EN28=1,1,--AND(IF($AC28&gt;0,INDEX(EN$7:EN$106,$AC28),1),IF($AD28&gt;0,INDEX(EN$7:EN$106,$AD28),1),IF($AE28&gt;0,INDEX(EN$7:EN$106,$AE28),1),IF($AF28&gt;0,INDEX(EN$7:EN$106,$AF28),1),IF($AG28&gt;0,INDEX(EN$7:EN$106,$AG28),1),IF($AH28&gt;0,INDEX(EN$7:EN$106,$AH28),1),IF($AI28&gt;0,INDEX(EN$7:EN$106,$AI28),1),IF($AJ28&gt;0,INDEX(EN$7:EN$106,$AJ28),1))))</ns0:f>
        <ns0:v>1</ns0:v>
      </ns0:c>
      <ns0:c r="EP28" t="n">
        <ns0:f>IF($A28="",1,IF(EO28=1,1,--AND(IF($AC28&gt;0,INDEX(EO$7:EO$106,$AC28),1),IF($AD28&gt;0,INDEX(EO$7:EO$106,$AD28),1),IF($AE28&gt;0,INDEX(EO$7:EO$106,$AE28),1),IF($AF28&gt;0,INDEX(EO$7:EO$106,$AF28),1),IF($AG28&gt;0,INDEX(EO$7:EO$106,$AG28),1),IF($AH28&gt;0,INDEX(EO$7:EO$106,$AH28),1),IF($AI28&gt;0,INDEX(EO$7:EO$106,$AI28),1),IF($AJ28&gt;0,INDEX(EO$7:EO$106,$AJ28),1))))</ns0:f>
        <ns0:v>1</ns0:v>
      </ns0:c>
      <ns0:c r="EQ28" t="n">
        <ns0:f>IF(OR(A28="",NOT(ISNUMBER(G28))),0,G28*N28)</ns0:f>
        <ns0:v>0</ns0:v>
      </ns0:c>
    </ns0:row>
    <ns0:row r="29" ht="62" customHeight="1">
      <ns0:c r="A29" s="48" t="str">
        <ns0:v>T20</ns0:v>
      </ns0:c>
      <ns0:c r="B29" s="48" t="str">
        <ns0:v>Intelligence &amp; assets</ns0:v>
      </ns0:c>
      <ns0:c r="C29" s="48" t="str">
        <ns0:v>Generate creative ad copy variants, hooks, visual briefs &amp; posts (W_CREAT)</ns0:v>
      </ns0:c>
      <ns0:c r="D29" s="48" t="str">
        <ns0:v>Produce copy variants, hooks, visual briefs and social schedules with S_COPY.</ns0:v>
      </ns0:c>
      <ns0:c r="E29" s="49" t="n">
        <ns0:v>46290</ns0:v>
      </ns0:c>
      <ns0:c r="F29" s="49" t="n">
        <ns0:v>46292</ns0:v>
      </ns0:c>
      <ns0:c r="G29" s="13" t="n">
        <ns0:f>IF(A29="","",IF(OR(NOT(ISNUMBER(E29)),NOT(ISNUMBER(F29)),F29&lt;E29),"",IF(J29="Yes",0,F29-E29+1)))</ns0:f>
        <ns0:v>3</ns0:v>
      </ns0:c>
      <ns0:c r="H29" s="48" t="str">
        <ns0:v>T16,T19</ns0:v>
      </ns0:c>
      <ns0:c r="I29" s="48" t="str">
        <ns0:v>FS</ns0:v>
      </ns0:c>
      <ns0:c r="J29" s="48" t="str">
        <ns0:v>No</ns0:v>
      </ns0:c>
      <ns0:c r="K29" s="48" t="str">
        <ns0:v>Specialist Sub-Agents (L4_SUBS);Creative &amp; Content Engine (W_CREAT)</ns0:v>
      </ns0:c>
      <ns0:c r="L29" s="48" t="str"/>
      <ns0:c r="M29" s="50" t="str">
        <ns0:f>IF(A29="","",IF(N29=1,"Completed",IF(N29&gt;0,"In Progress","Not Started")))</ns0:f>
        <ns0:v>Not Started</ns0:v>
      </ns0:c>
      <ns0:c r="N29" s="51" t="n">
        <ns0:v>0</ns0:v>
      </ns0:c>
      <ns0:c r="O29" s="13" t="str">
        <ns0:f>IF(A29="","",IF(R29&lt;&gt;"","[CONFLICT] "&amp;R29,IF(S29&lt;&gt;"","[CONFLICT] "&amp;S29,IF(OR(NOT(ISNUMBER(N29)),N29&lt;0,N29&gt;1),"[CONFLICT] Invalid progress",IF(AK29&gt;0,"[DEPENDENCY ISSUE] Missing ID / &gt;8 links",IF(AM29&gt;0,"[DEPENDENCY ISSUE] Cycle or blocked by cycle",IF(AND(H29&lt;&gt;"",ISNA(MATCH(I29,{"FS","SS","FF","SF"},0))),"[DEPENDENCY ISSUE] Invalid type",IF(AL29&gt;0,"[DEPENDENCY ISSUE] Timing conflict",IF(OR(E29&lt;ProjectStart,F29&gt;ProjectEnd),"[OUTSIDE WINDOW]",IF(AND(N29&lt;1,F29&lt;AsOfDate),"Overdue",IF(AND(M29&lt;&gt;Q29,M29&lt;&gt;""),"[CONFLICT] Status / progress","On track")))))))))))</ns0:f>
        <ns0:v>On track</ns0:v>
      </ns0:c>
      <ns0:c r="P29" s="52" t="str">
        <ns0:v>Source: Project Plan Essentials (2).md §1, §2, §4. Original 2026-09-29 to 2026-10-02, 4d; original progress 100% [INFERRED]. [INFERRED] Rescheduled to fit 34d with FS. Duration reduced to 3d. Original resource/tools: Creative &amp; Content Engine &amp; S_COPY.</ns0:v>
      </ns0:c>
      <ns0:c r="Q29" t="str">
        <ns0:f>IF(A29="","",IF(OR(M29="On Hold",M29="Delayed"),M29,IF(N29=1,"Completed",IF(N29&gt;0,"In Progress","Not Started"))))</ns0:f>
        <ns0:v>Not Started</ns0:v>
      </ns0:c>
      <ns0:c r="R29" t="str">
        <ns0:f>IF(A29="","",IF(COUNTIFS(Tasks[Task ID],A29)&lt;&gt;1,"Duplicate ID",""))</ns0:f>
      </ns0:c>
      <ns0:c r="S29" t="str">
        <ns0:f>IF(A29="","",IF(OR(NOT(ISNUMBER(E29)),NOT(ISNUMBER(F29))),"Invalid / missing date",IF(OR(E29&lt;&gt;INT(E29),F29&lt;&gt;INT(F29),E29&lt;1,F29&gt;2958465),"Invalid date",IF(F29&lt;E29,"End before start",IF(AND(J29="Yes",E29&lt;&gt;F29),"Milestone needs one date","")))))</ns0:f>
      </ns0:c>
      <ns0:c r="T29" t="n">
        <ns0:f>IF(H29="",0,LEN(H29)-LEN(SUBSTITUTE(H29,",",""))+1)</ns0:f>
        <ns0:v>2</ns0:v>
      </ns0:c>
      <ns0:c r="U29" t="str">
        <ns0:f>TRIM(MID(SUBSTITUTE($H29,",",REPT(" ",100)),1,100))</ns0:f>
        <ns0:v>T16</ns0:v>
      </ns0:c>
      <ns0:c r="V29" t="str">
        <ns0:f>TRIM(MID(SUBSTITUTE($H29,",",REPT(" ",100)),101,100))</ns0:f>
        <ns0:v>T19</ns0:v>
      </ns0:c>
      <ns0:c r="W29" t="str">
        <ns0:f>TRIM(MID(SUBSTITUTE($H29,",",REPT(" ",100)),201,100))</ns0:f>
      </ns0:c>
      <ns0:c r="X29" t="str">
        <ns0:f>TRIM(MID(SUBSTITUTE($H29,",",REPT(" ",100)),301,100))</ns0:f>
      </ns0:c>
      <ns0:c r="Y29" t="str">
        <ns0:f>TRIM(MID(SUBSTITUTE($H29,",",REPT(" ",100)),401,100))</ns0:f>
      </ns0:c>
      <ns0:c r="Z29" t="str">
        <ns0:f>TRIM(MID(SUBSTITUTE($H29,",",REPT(" ",100)),501,100))</ns0:f>
      </ns0:c>
      <ns0:c r="AA29" t="str">
        <ns0:f>TRIM(MID(SUBSTITUTE($H29,",",REPT(" ",100)),601,100))</ns0:f>
      </ns0:c>
      <ns0:c r="AB29" t="str">
        <ns0:f>TRIM(MID(SUBSTITUTE($H29,",",REPT(" ",100)),701,100))</ns0:f>
      </ns0:c>
      <ns0:c r="AC29" t="n">
        <ns0:f>IF(U29="",0,IF(COUNTIFS(Tasks[Task ID],U29)=1,MATCH(U29,Tasks[Task ID],0),-1))</ns0:f>
        <ns0:v>19</ns0:v>
      </ns0:c>
      <ns0:c r="AD29" t="n">
        <ns0:f>IF(V29="",0,IF(COUNTIFS(Tasks[Task ID],V29)=1,MATCH(V29,Tasks[Task ID],0),-1))</ns0:f>
        <ns0:v>22</ns0:v>
      </ns0:c>
      <ns0:c r="AE29" t="n">
        <ns0:f>IF(W29="",0,IF(COUNTIFS(Tasks[Task ID],W29)=1,MATCH(W29,Tasks[Task ID],0),-1))</ns0:f>
        <ns0:v>0</ns0:v>
      </ns0:c>
      <ns0:c r="AF29" t="n">
        <ns0:f>IF(X29="",0,IF(COUNTIFS(Tasks[Task ID],X29)=1,MATCH(X29,Tasks[Task ID],0),-1))</ns0:f>
        <ns0:v>0</ns0:v>
      </ns0:c>
      <ns0:c r="AG29" t="n">
        <ns0:f>IF(Y29="",0,IF(COUNTIFS(Tasks[Task ID],Y29)=1,MATCH(Y29,Tasks[Task ID],0),-1))</ns0:f>
        <ns0:v>0</ns0:v>
      </ns0:c>
      <ns0:c r="AH29" t="n">
        <ns0:f>IF(Z29="",0,IF(COUNTIFS(Tasks[Task ID],Z29)=1,MATCH(Z29,Tasks[Task ID],0),-1))</ns0:f>
        <ns0:v>0</ns0:v>
      </ns0:c>
      <ns0:c r="AI29" t="n">
        <ns0:f>IF(AA29="",0,IF(COUNTIFS(Tasks[Task ID],AA29)=1,MATCH(AA29,Tasks[Task ID],0),-1))</ns0:f>
        <ns0:v>0</ns0:v>
      </ns0:c>
      <ns0:c r="AJ29" t="n">
        <ns0:f>IF(AB29="",0,IF(COUNTIFS(Tasks[Task ID],AB29)=1,MATCH(AB29,Tasks[Task ID],0),-1))</ns0:f>
        <ns0:v>0</ns0:v>
      </ns0:c>
      <ns0:c r="AK29" t="n">
        <ns0:f>COUNTIFS(AC29:AJ29,-1)+IF(T29&gt;8,1,0)</ns0:f>
        <ns0:v>0</ns0:v>
      </ns0:c>
      <ns0:c r="AL29" t="n">
        <ns0:f>IF(OR(A29="",S29&lt;&gt;""),0,SUM(IF(AC29&gt;0,IF($I29="FS",--($E29&lt;INDEX(Tasks[End Date],AC29)+IF(INDEX(Tasks[Milestone],AC29)="Yes",0,1)),IF($I29="SS",--($E29&lt;INDEX(Tasks[Start Date],AC29)),IF($I29="FF",--($F29&lt;INDEX(Tasks[End Date],AC29)),IF($I29="SF",--($F29&lt;INDEX(Tasks[Start Date],AC29)),0)))),0),IF(AD29&gt;0,IF($I29="FS",--($E29&lt;INDEX(Tasks[End Date],AD29)+IF(INDEX(Tasks[Milestone],AD29)="Yes",0,1)),IF($I29="SS",--($E29&lt;INDEX(Tasks[Start Date],AD29)),IF($I29="FF",--($F29&lt;INDEX(Tasks[End Date],AD29)),IF($I29="SF",--($F29&lt;INDEX(Tasks[Start Date],AD29)),0)))),0),IF(AE29&gt;0,IF($I29="FS",--($E29&lt;INDEX(Tasks[End Date],AE29)+IF(INDEX(Tasks[Milestone],AE29)="Yes",0,1)),IF($I29="SS",--($E29&lt;INDEX(Tasks[Start Date],AE29)),IF($I29="FF",--($F29&lt;INDEX(Tasks[End Date],AE29)),IF($I29="SF",--($F29&lt;INDEX(Tasks[Start Date],AE29)),0)))),0),IF(AF29&gt;0,IF($I29="FS",--($E29&lt;INDEX(Tasks[End Date],AF29)+IF(INDEX(Tasks[Milestone],AF29)="Yes",0,1)),IF($I29="SS",--($E29&lt;INDEX(Tasks[Start Date],AF29)),IF($I29="FF",--($F29&lt;INDEX(Tasks[End Date],AF29)),IF($I29="SF",--($F29&lt;INDEX(Tasks[Start Date],AF29)),0)))),0),IF(AG29&gt;0,IF($I29="FS",--($E29&lt;INDEX(Tasks[End Date],AG29)+IF(INDEX(Tasks[Milestone],AG29)="Yes",0,1)),IF($I29="SS",--($E29&lt;INDEX(Tasks[Start Date],AG29)),IF($I29="FF",--($F29&lt;INDEX(Tasks[End Date],AG29)),IF($I29="SF",--($F29&lt;INDEX(Tasks[Start Date],AG29)),0)))),0),IF(AH29&gt;0,IF($I29="FS",--($E29&lt;INDEX(Tasks[End Date],AH29)+IF(INDEX(Tasks[Milestone],AH29)="Yes",0,1)),IF($I29="SS",--($E29&lt;INDEX(Tasks[Start Date],AH29)),IF($I29="FF",--($F29&lt;INDEX(Tasks[End Date],AH29)),IF($I29="SF",--($F29&lt;INDEX(Tasks[Start Date],AH29)),0)))),0),IF(AI29&gt;0,IF($I29="FS",--($E29&lt;INDEX(Tasks[End Date],AI29)+IF(INDEX(Tasks[Milestone],AI29)="Yes",0,1)),IF($I29="SS",--($E29&lt;INDEX(Tasks[Start Date],AI29)),IF($I29="FF",--($F29&lt;INDEX(Tasks[End Date],AI29)),IF($I29="SF",--($F29&lt;INDEX(Tasks[Start Date],AI29)),0)))),0),IF(AJ29&gt;0,IF($I29="FS",--($E29&lt;INDEX(Tasks[End Date],AJ29)+IF(INDEX(Tasks[Milestone],AJ29)="Yes",0,1)),IF($I29="SS",--($E29&lt;INDEX(Tasks[Start Date],AJ29)),IF($I29="FF",--($F29&lt;INDEX(Tasks[End Date],AJ29)),IF($I29="SF",--($F29&lt;INDEX(Tasks[Start Date],AJ29)),0)))),0)))</ns0:f>
        <ns0:v>0</ns0:v>
      </ns0:c>
      <ns0:c r="AM29" t="n">
        <ns0:f>IF(AND(A29&lt;&gt;"",AK29=0,EP29=0),1,0)</ns0:f>
        <ns0:v>0</ns0:v>
      </ns0:c>
      <ns0:c r="AN29" t="str">
        <ns0:f>IF(OR(A29="",B29=""),"",IF(COUNTIFS($B$7:B29,B29)=1,MAX($AN$6:AN28)+1,""))</ns0:f>
      </ns0:c>
      <ns0:c r="AO29" t="n">
        <ns0:f>IF(AND(A29&lt;&gt;"",J29="No",N29&lt;1,E29&gt;=AsOfDate),E29+ROW()/10000,1E+9)</ns0:f>
        <ns0:v>46290.0029</ns0:v>
      </ns0:c>
      <ns0:c r="AP29" t="n">
        <ns0:f>IF(AND(A29&lt;&gt;"",J29="Yes",N29&lt;1,E29&gt;=AsOfDate),E29+ROW()/10000,1E+9)</ns0:f>
        <ns0:v>1000000000</ns0:v>
      </ns0:c>
      <ns0:c r="AQ29" t="n">
        <ns0:f>IF(AND(A29&lt;&gt;"",J29="No",N29&lt;1,F29&gt;=AsOfDate,F29&lt;=AsOfDate+7),F29+ROW()/10000,1E+9)</ns0:f>
        <ns0:v>1000000000</ns0:v>
      </ns0:c>
      <ns0:c r="AR29" t="n">
        <ns0:f>IF(AND(A29&lt;&gt;"",OR(O29&lt;&gt;"On track",Q29="Delayed")),ROW(),1E+9)</ns0:f>
        <ns0:v>1000000000</ns0:v>
      </ns0:c>
      <ns0:c r="AS29" t="str">
        <ns0:f>IF(A29="","",";"&amp;K29&amp;";")</ns0:f>
        <ns0:v>;Specialist Sub-Agents (L4_SUBS);Creative &amp; Content Engine (W_CREAT);</ns0:v>
      </ns0:c>
      <ns0:c r="AT29" t="n">
        <ns0:f>IF(A29="",1,--(T29=0))</ns0:f>
        <ns0:v>0</ns0:v>
      </ns0:c>
      <ns0:c r="AU29" t="n">
        <ns0:f>IF($A29="",1,IF(AT29=1,1,--AND(IF($AC29&gt;0,INDEX(AT$7:AT$106,$AC29),1),IF($AD29&gt;0,INDEX(AT$7:AT$106,$AD29),1),IF($AE29&gt;0,INDEX(AT$7:AT$106,$AE29),1),IF($AF29&gt;0,INDEX(AT$7:AT$106,$AF29),1),IF($AG29&gt;0,INDEX(AT$7:AT$106,$AG29),1),IF($AH29&gt;0,INDEX(AT$7:AT$106,$AH29),1),IF($AI29&gt;0,INDEX(AT$7:AT$106,$AI29),1),IF($AJ29&gt;0,INDEX(AT$7:AT$106,$AJ29),1))))</ns0:f>
        <ns0:v>0</ns0:v>
      </ns0:c>
      <ns0:c r="AV29" t="n">
        <ns0:f>IF($A29="",1,IF(AU29=1,1,--AND(IF($AC29&gt;0,INDEX(AU$7:AU$106,$AC29),1),IF($AD29&gt;0,INDEX(AU$7:AU$106,$AD29),1),IF($AE29&gt;0,INDEX(AU$7:AU$106,$AE29),1),IF($AF29&gt;0,INDEX(AU$7:AU$106,$AF29),1),IF($AG29&gt;0,INDEX(AU$7:AU$106,$AG29),1),IF($AH29&gt;0,INDEX(AU$7:AU$106,$AH29),1),IF($AI29&gt;0,INDEX(AU$7:AU$106,$AI29),1),IF($AJ29&gt;0,INDEX(AU$7:AU$106,$AJ29),1))))</ns0:f>
        <ns0:v>0</ns0:v>
      </ns0:c>
      <ns0:c r="AW29" t="n">
        <ns0:f>IF($A29="",1,IF(AV29=1,1,--AND(IF($AC29&gt;0,INDEX(AV$7:AV$106,$AC29),1),IF($AD29&gt;0,INDEX(AV$7:AV$106,$AD29),1),IF($AE29&gt;0,INDEX(AV$7:AV$106,$AE29),1),IF($AF29&gt;0,INDEX(AV$7:AV$106,$AF29),1),IF($AG29&gt;0,INDEX(AV$7:AV$106,$AG29),1),IF($AH29&gt;0,INDEX(AV$7:AV$106,$AH29),1),IF($AI29&gt;0,INDEX(AV$7:AV$106,$AI29),1),IF($AJ29&gt;0,INDEX(AV$7:AV$106,$AJ29),1))))</ns0:f>
        <ns0:v>0</ns0:v>
      </ns0:c>
      <ns0:c r="AX29" t="n">
        <ns0:f>IF($A29="",1,IF(AW29=1,1,--AND(IF($AC29&gt;0,INDEX(AW$7:AW$106,$AC29),1),IF($AD29&gt;0,INDEX(AW$7:AW$106,$AD29),1),IF($AE29&gt;0,INDEX(AW$7:AW$106,$AE29),1),IF($AF29&gt;0,INDEX(AW$7:AW$106,$AF29),1),IF($AG29&gt;0,INDEX(AW$7:AW$106,$AG29),1),IF($AH29&gt;0,INDEX(AW$7:AW$106,$AH29),1),IF($AI29&gt;0,INDEX(AW$7:AW$106,$AI29),1),IF($AJ29&gt;0,INDEX(AW$7:AW$106,$AJ29),1))))</ns0:f>
        <ns0:v>0</ns0:v>
      </ns0:c>
      <ns0:c r="AY29" t="n">
        <ns0:f>IF($A29="",1,IF(AX29=1,1,--AND(IF($AC29&gt;0,INDEX(AX$7:AX$106,$AC29),1),IF($AD29&gt;0,INDEX(AX$7:AX$106,$AD29),1),IF($AE29&gt;0,INDEX(AX$7:AX$106,$AE29),1),IF($AF29&gt;0,INDEX(AX$7:AX$106,$AF29),1),IF($AG29&gt;0,INDEX(AX$7:AX$106,$AG29),1),IF($AH29&gt;0,INDEX(AX$7:AX$106,$AH29),1),IF($AI29&gt;0,INDEX(AX$7:AX$106,$AI29),1),IF($AJ29&gt;0,INDEX(AX$7:AX$106,$AJ29),1))))</ns0:f>
        <ns0:v>0</ns0:v>
      </ns0:c>
      <ns0:c r="AZ29" t="n">
        <ns0:f>IF($A29="",1,IF(AY29=1,1,--AND(IF($AC29&gt;0,INDEX(AY$7:AY$106,$AC29),1),IF($AD29&gt;0,INDEX(AY$7:AY$106,$AD29),1),IF($AE29&gt;0,INDEX(AY$7:AY$106,$AE29),1),IF($AF29&gt;0,INDEX(AY$7:AY$106,$AF29),1),IF($AG29&gt;0,INDEX(AY$7:AY$106,$AG29),1),IF($AH29&gt;0,INDEX(AY$7:AY$106,$AH29),1),IF($AI29&gt;0,INDEX(AY$7:AY$106,$AI29),1),IF($AJ29&gt;0,INDEX(AY$7:AY$106,$AJ29),1))))</ns0:f>
        <ns0:v>0</ns0:v>
      </ns0:c>
      <ns0:c r="BA29" t="n">
        <ns0:f>IF($A29="",1,IF(AZ29=1,1,--AND(IF($AC29&gt;0,INDEX(AZ$7:AZ$106,$AC29),1),IF($AD29&gt;0,INDEX(AZ$7:AZ$106,$AD29),1),IF($AE29&gt;0,INDEX(AZ$7:AZ$106,$AE29),1),IF($AF29&gt;0,INDEX(AZ$7:AZ$106,$AF29),1),IF($AG29&gt;0,INDEX(AZ$7:AZ$106,$AG29),1),IF($AH29&gt;0,INDEX(AZ$7:AZ$106,$AH29),1),IF($AI29&gt;0,INDEX(AZ$7:AZ$106,$AI29),1),IF($AJ29&gt;0,INDEX(AZ$7:AZ$106,$AJ29),1))))</ns0:f>
        <ns0:v>0</ns0:v>
      </ns0:c>
      <ns0:c r="BB29" t="n">
        <ns0:f>IF($A29="",1,IF(BA29=1,1,--AND(IF($AC29&gt;0,INDEX(BA$7:BA$106,$AC29),1),IF($AD29&gt;0,INDEX(BA$7:BA$106,$AD29),1),IF($AE29&gt;0,INDEX(BA$7:BA$106,$AE29),1),IF($AF29&gt;0,INDEX(BA$7:BA$106,$AF29),1),IF($AG29&gt;0,INDEX(BA$7:BA$106,$AG29),1),IF($AH29&gt;0,INDEX(BA$7:BA$106,$AH29),1),IF($AI29&gt;0,INDEX(BA$7:BA$106,$AI29),1),IF($AJ29&gt;0,INDEX(BA$7:BA$106,$AJ29),1))))</ns0:f>
        <ns0:v>1</ns0:v>
      </ns0:c>
      <ns0:c r="BC29" t="n">
        <ns0:f>IF($A29="",1,IF(BB29=1,1,--AND(IF($AC29&gt;0,INDEX(BB$7:BB$106,$AC29),1),IF($AD29&gt;0,INDEX(BB$7:BB$106,$AD29),1),IF($AE29&gt;0,INDEX(BB$7:BB$106,$AE29),1),IF($AF29&gt;0,INDEX(BB$7:BB$106,$AF29),1),IF($AG29&gt;0,INDEX(BB$7:BB$106,$AG29),1),IF($AH29&gt;0,INDEX(BB$7:BB$106,$AH29),1),IF($AI29&gt;0,INDEX(BB$7:BB$106,$AI29),1),IF($AJ29&gt;0,INDEX(BB$7:BB$106,$AJ29),1))))</ns0:f>
        <ns0:v>1</ns0:v>
      </ns0:c>
      <ns0:c r="BD29" t="n">
        <ns0:f>IF($A29="",1,IF(BC29=1,1,--AND(IF($AC29&gt;0,INDEX(BC$7:BC$106,$AC29),1),IF($AD29&gt;0,INDEX(BC$7:BC$106,$AD29),1),IF($AE29&gt;0,INDEX(BC$7:BC$106,$AE29),1),IF($AF29&gt;0,INDEX(BC$7:BC$106,$AF29),1),IF($AG29&gt;0,INDEX(BC$7:BC$106,$AG29),1),IF($AH29&gt;0,INDEX(BC$7:BC$106,$AH29),1),IF($AI29&gt;0,INDEX(BC$7:BC$106,$AI29),1),IF($AJ29&gt;0,INDEX(BC$7:BC$106,$AJ29),1))))</ns0:f>
        <ns0:v>1</ns0:v>
      </ns0:c>
      <ns0:c r="BE29" t="n">
        <ns0:f>IF($A29="",1,IF(BD29=1,1,--AND(IF($AC29&gt;0,INDEX(BD$7:BD$106,$AC29),1),IF($AD29&gt;0,INDEX(BD$7:BD$106,$AD29),1),IF($AE29&gt;0,INDEX(BD$7:BD$106,$AE29),1),IF($AF29&gt;0,INDEX(BD$7:BD$106,$AF29),1),IF($AG29&gt;0,INDEX(BD$7:BD$106,$AG29),1),IF($AH29&gt;0,INDEX(BD$7:BD$106,$AH29),1),IF($AI29&gt;0,INDEX(BD$7:BD$106,$AI29),1),IF($AJ29&gt;0,INDEX(BD$7:BD$106,$AJ29),1))))</ns0:f>
        <ns0:v>1</ns0:v>
      </ns0:c>
      <ns0:c r="BF29" t="n">
        <ns0:f>IF($A29="",1,IF(BE29=1,1,--AND(IF($AC29&gt;0,INDEX(BE$7:BE$106,$AC29),1),IF($AD29&gt;0,INDEX(BE$7:BE$106,$AD29),1),IF($AE29&gt;0,INDEX(BE$7:BE$106,$AE29),1),IF($AF29&gt;0,INDEX(BE$7:BE$106,$AF29),1),IF($AG29&gt;0,INDEX(BE$7:BE$106,$AG29),1),IF($AH29&gt;0,INDEX(BE$7:BE$106,$AH29),1),IF($AI29&gt;0,INDEX(BE$7:BE$106,$AI29),1),IF($AJ29&gt;0,INDEX(BE$7:BE$106,$AJ29),1))))</ns0:f>
        <ns0:v>1</ns0:v>
      </ns0:c>
      <ns0:c r="BG29" t="n">
        <ns0:f>IF($A29="",1,IF(BF29=1,1,--AND(IF($AC29&gt;0,INDEX(BF$7:BF$106,$AC29),1),IF($AD29&gt;0,INDEX(BF$7:BF$106,$AD29),1),IF($AE29&gt;0,INDEX(BF$7:BF$106,$AE29),1),IF($AF29&gt;0,INDEX(BF$7:BF$106,$AF29),1),IF($AG29&gt;0,INDEX(BF$7:BF$106,$AG29),1),IF($AH29&gt;0,INDEX(BF$7:BF$106,$AH29),1),IF($AI29&gt;0,INDEX(BF$7:BF$106,$AI29),1),IF($AJ29&gt;0,INDEX(BF$7:BF$106,$AJ29),1))))</ns0:f>
        <ns0:v>1</ns0:v>
      </ns0:c>
      <ns0:c r="BH29" t="n">
        <ns0:f>IF($A29="",1,IF(BG29=1,1,--AND(IF($AC29&gt;0,INDEX(BG$7:BG$106,$AC29),1),IF($AD29&gt;0,INDEX(BG$7:BG$106,$AD29),1),IF($AE29&gt;0,INDEX(BG$7:BG$106,$AE29),1),IF($AF29&gt;0,INDEX(BG$7:BG$106,$AF29),1),IF($AG29&gt;0,INDEX(BG$7:BG$106,$AG29),1),IF($AH29&gt;0,INDEX(BG$7:BG$106,$AH29),1),IF($AI29&gt;0,INDEX(BG$7:BG$106,$AI29),1),IF($AJ29&gt;0,INDEX(BG$7:BG$106,$AJ29),1))))</ns0:f>
        <ns0:v>1</ns0:v>
      </ns0:c>
      <ns0:c r="BI29" t="n">
        <ns0:f>IF($A29="",1,IF(BH29=1,1,--AND(IF($AC29&gt;0,INDEX(BH$7:BH$106,$AC29),1),IF($AD29&gt;0,INDEX(BH$7:BH$106,$AD29),1),IF($AE29&gt;0,INDEX(BH$7:BH$106,$AE29),1),IF($AF29&gt;0,INDEX(BH$7:BH$106,$AF29),1),IF($AG29&gt;0,INDEX(BH$7:BH$106,$AG29),1),IF($AH29&gt;0,INDEX(BH$7:BH$106,$AH29),1),IF($AI29&gt;0,INDEX(BH$7:BH$106,$AI29),1),IF($AJ29&gt;0,INDEX(BH$7:BH$106,$AJ29),1))))</ns0:f>
        <ns0:v>1</ns0:v>
      </ns0:c>
      <ns0:c r="BJ29" t="n">
        <ns0:f>IF($A29="",1,IF(BI29=1,1,--AND(IF($AC29&gt;0,INDEX(BI$7:BI$106,$AC29),1),IF($AD29&gt;0,INDEX(BI$7:BI$106,$AD29),1),IF($AE29&gt;0,INDEX(BI$7:BI$106,$AE29),1),IF($AF29&gt;0,INDEX(BI$7:BI$106,$AF29),1),IF($AG29&gt;0,INDEX(BI$7:BI$106,$AG29),1),IF($AH29&gt;0,INDEX(BI$7:BI$106,$AH29),1),IF($AI29&gt;0,INDEX(BI$7:BI$106,$AI29),1),IF($AJ29&gt;0,INDEX(BI$7:BI$106,$AJ29),1))))</ns0:f>
        <ns0:v>1</ns0:v>
      </ns0:c>
      <ns0:c r="BK29" t="n">
        <ns0:f>IF($A29="",1,IF(BJ29=1,1,--AND(IF($AC29&gt;0,INDEX(BJ$7:BJ$106,$AC29),1),IF($AD29&gt;0,INDEX(BJ$7:BJ$106,$AD29),1),IF($AE29&gt;0,INDEX(BJ$7:BJ$106,$AE29),1),IF($AF29&gt;0,INDEX(BJ$7:BJ$106,$AF29),1),IF($AG29&gt;0,INDEX(BJ$7:BJ$106,$AG29),1),IF($AH29&gt;0,INDEX(BJ$7:BJ$106,$AH29),1),IF($AI29&gt;0,INDEX(BJ$7:BJ$106,$AI29),1),IF($AJ29&gt;0,INDEX(BJ$7:BJ$106,$AJ29),1))))</ns0:f>
        <ns0:v>1</ns0:v>
      </ns0:c>
      <ns0:c r="BL29" t="n">
        <ns0:f>IF($A29="",1,IF(BK29=1,1,--AND(IF($AC29&gt;0,INDEX(BK$7:BK$106,$AC29),1),IF($AD29&gt;0,INDEX(BK$7:BK$106,$AD29),1),IF($AE29&gt;0,INDEX(BK$7:BK$106,$AE29),1),IF($AF29&gt;0,INDEX(BK$7:BK$106,$AF29),1),IF($AG29&gt;0,INDEX(BK$7:BK$106,$AG29),1),IF($AH29&gt;0,INDEX(BK$7:BK$106,$AH29),1),IF($AI29&gt;0,INDEX(BK$7:BK$106,$AI29),1),IF($AJ29&gt;0,INDEX(BK$7:BK$106,$AJ29),1))))</ns0:f>
        <ns0:v>1</ns0:v>
      </ns0:c>
      <ns0:c r="BM29" t="n">
        <ns0:f>IF($A29="",1,IF(BL29=1,1,--AND(IF($AC29&gt;0,INDEX(BL$7:BL$106,$AC29),1),IF($AD29&gt;0,INDEX(BL$7:BL$106,$AD29),1),IF($AE29&gt;0,INDEX(BL$7:BL$106,$AE29),1),IF($AF29&gt;0,INDEX(BL$7:BL$106,$AF29),1),IF($AG29&gt;0,INDEX(BL$7:BL$106,$AG29),1),IF($AH29&gt;0,INDEX(BL$7:BL$106,$AH29),1),IF($AI29&gt;0,INDEX(BL$7:BL$106,$AI29),1),IF($AJ29&gt;0,INDEX(BL$7:BL$106,$AJ29),1))))</ns0:f>
        <ns0:v>1</ns0:v>
      </ns0:c>
      <ns0:c r="BN29" t="n">
        <ns0:f>IF($A29="",1,IF(BM29=1,1,--AND(IF($AC29&gt;0,INDEX(BM$7:BM$106,$AC29),1),IF($AD29&gt;0,INDEX(BM$7:BM$106,$AD29),1),IF($AE29&gt;0,INDEX(BM$7:BM$106,$AE29),1),IF($AF29&gt;0,INDEX(BM$7:BM$106,$AF29),1),IF($AG29&gt;0,INDEX(BM$7:BM$106,$AG29),1),IF($AH29&gt;0,INDEX(BM$7:BM$106,$AH29),1),IF($AI29&gt;0,INDEX(BM$7:BM$106,$AI29),1),IF($AJ29&gt;0,INDEX(BM$7:BM$106,$AJ29),1))))</ns0:f>
        <ns0:v>1</ns0:v>
      </ns0:c>
      <ns0:c r="BO29" t="n">
        <ns0:f>IF($A29="",1,IF(BN29=1,1,--AND(IF($AC29&gt;0,INDEX(BN$7:BN$106,$AC29),1),IF($AD29&gt;0,INDEX(BN$7:BN$106,$AD29),1),IF($AE29&gt;0,INDEX(BN$7:BN$106,$AE29),1),IF($AF29&gt;0,INDEX(BN$7:BN$106,$AF29),1),IF($AG29&gt;0,INDEX(BN$7:BN$106,$AG29),1),IF($AH29&gt;0,INDEX(BN$7:BN$106,$AH29),1),IF($AI29&gt;0,INDEX(BN$7:BN$106,$AI29),1),IF($AJ29&gt;0,INDEX(BN$7:BN$106,$AJ29),1))))</ns0:f>
        <ns0:v>1</ns0:v>
      </ns0:c>
      <ns0:c r="BP29" t="n">
        <ns0:f>IF($A29="",1,IF(BO29=1,1,--AND(IF($AC29&gt;0,INDEX(BO$7:BO$106,$AC29),1),IF($AD29&gt;0,INDEX(BO$7:BO$106,$AD29),1),IF($AE29&gt;0,INDEX(BO$7:BO$106,$AE29),1),IF($AF29&gt;0,INDEX(BO$7:BO$106,$AF29),1),IF($AG29&gt;0,INDEX(BO$7:BO$106,$AG29),1),IF($AH29&gt;0,INDEX(BO$7:BO$106,$AH29),1),IF($AI29&gt;0,INDEX(BO$7:BO$106,$AI29),1),IF($AJ29&gt;0,INDEX(BO$7:BO$106,$AJ29),1))))</ns0:f>
        <ns0:v>1</ns0:v>
      </ns0:c>
      <ns0:c r="BQ29" t="n">
        <ns0:f>IF($A29="",1,IF(BP29=1,1,--AND(IF($AC29&gt;0,INDEX(BP$7:BP$106,$AC29),1),IF($AD29&gt;0,INDEX(BP$7:BP$106,$AD29),1),IF($AE29&gt;0,INDEX(BP$7:BP$106,$AE29),1),IF($AF29&gt;0,INDEX(BP$7:BP$106,$AF29),1),IF($AG29&gt;0,INDEX(BP$7:BP$106,$AG29),1),IF($AH29&gt;0,INDEX(BP$7:BP$106,$AH29),1),IF($AI29&gt;0,INDEX(BP$7:BP$106,$AI29),1),IF($AJ29&gt;0,INDEX(BP$7:BP$106,$AJ29),1))))</ns0:f>
        <ns0:v>1</ns0:v>
      </ns0:c>
      <ns0:c r="BR29" t="n">
        <ns0:f>IF($A29="",1,IF(BQ29=1,1,--AND(IF($AC29&gt;0,INDEX(BQ$7:BQ$106,$AC29),1),IF($AD29&gt;0,INDEX(BQ$7:BQ$106,$AD29),1),IF($AE29&gt;0,INDEX(BQ$7:BQ$106,$AE29),1),IF($AF29&gt;0,INDEX(BQ$7:BQ$106,$AF29),1),IF($AG29&gt;0,INDEX(BQ$7:BQ$106,$AG29),1),IF($AH29&gt;0,INDEX(BQ$7:BQ$106,$AH29),1),IF($AI29&gt;0,INDEX(BQ$7:BQ$106,$AI29),1),IF($AJ29&gt;0,INDEX(BQ$7:BQ$106,$AJ29),1))))</ns0:f>
        <ns0:v>1</ns0:v>
      </ns0:c>
      <ns0:c r="BS29" t="n">
        <ns0:f>IF($A29="",1,IF(BR29=1,1,--AND(IF($AC29&gt;0,INDEX(BR$7:BR$106,$AC29),1),IF($AD29&gt;0,INDEX(BR$7:BR$106,$AD29),1),IF($AE29&gt;0,INDEX(BR$7:BR$106,$AE29),1),IF($AF29&gt;0,INDEX(BR$7:BR$106,$AF29),1),IF($AG29&gt;0,INDEX(BR$7:BR$106,$AG29),1),IF($AH29&gt;0,INDEX(BR$7:BR$106,$AH29),1),IF($AI29&gt;0,INDEX(BR$7:BR$106,$AI29),1),IF($AJ29&gt;0,INDEX(BR$7:BR$106,$AJ29),1))))</ns0:f>
        <ns0:v>1</ns0:v>
      </ns0:c>
      <ns0:c r="BT29" t="n">
        <ns0:f>IF($A29="",1,IF(BS29=1,1,--AND(IF($AC29&gt;0,INDEX(BS$7:BS$106,$AC29),1),IF($AD29&gt;0,INDEX(BS$7:BS$106,$AD29),1),IF($AE29&gt;0,INDEX(BS$7:BS$106,$AE29),1),IF($AF29&gt;0,INDEX(BS$7:BS$106,$AF29),1),IF($AG29&gt;0,INDEX(BS$7:BS$106,$AG29),1),IF($AH29&gt;0,INDEX(BS$7:BS$106,$AH29),1),IF($AI29&gt;0,INDEX(BS$7:BS$106,$AI29),1),IF($AJ29&gt;0,INDEX(BS$7:BS$106,$AJ29),1))))</ns0:f>
        <ns0:v>1</ns0:v>
      </ns0:c>
      <ns0:c r="BU29" t="n">
        <ns0:f>IF($A29="",1,IF(BT29=1,1,--AND(IF($AC29&gt;0,INDEX(BT$7:BT$106,$AC29),1),IF($AD29&gt;0,INDEX(BT$7:BT$106,$AD29),1),IF($AE29&gt;0,INDEX(BT$7:BT$106,$AE29),1),IF($AF29&gt;0,INDEX(BT$7:BT$106,$AF29),1),IF($AG29&gt;0,INDEX(BT$7:BT$106,$AG29),1),IF($AH29&gt;0,INDEX(BT$7:BT$106,$AH29),1),IF($AI29&gt;0,INDEX(BT$7:BT$106,$AI29),1),IF($AJ29&gt;0,INDEX(BT$7:BT$106,$AJ29),1))))</ns0:f>
        <ns0:v>1</ns0:v>
      </ns0:c>
      <ns0:c r="BV29" t="n">
        <ns0:f>IF($A29="",1,IF(BU29=1,1,--AND(IF($AC29&gt;0,INDEX(BU$7:BU$106,$AC29),1),IF($AD29&gt;0,INDEX(BU$7:BU$106,$AD29),1),IF($AE29&gt;0,INDEX(BU$7:BU$106,$AE29),1),IF($AF29&gt;0,INDEX(BU$7:BU$106,$AF29),1),IF($AG29&gt;0,INDEX(BU$7:BU$106,$AG29),1),IF($AH29&gt;0,INDEX(BU$7:BU$106,$AH29),1),IF($AI29&gt;0,INDEX(BU$7:BU$106,$AI29),1),IF($AJ29&gt;0,INDEX(BU$7:BU$106,$AJ29),1))))</ns0:f>
        <ns0:v>1</ns0:v>
      </ns0:c>
      <ns0:c r="BW29" t="n">
        <ns0:f>IF($A29="",1,IF(BV29=1,1,--AND(IF($AC29&gt;0,INDEX(BV$7:BV$106,$AC29),1),IF($AD29&gt;0,INDEX(BV$7:BV$106,$AD29),1),IF($AE29&gt;0,INDEX(BV$7:BV$106,$AE29),1),IF($AF29&gt;0,INDEX(BV$7:BV$106,$AF29),1),IF($AG29&gt;0,INDEX(BV$7:BV$106,$AG29),1),IF($AH29&gt;0,INDEX(BV$7:BV$106,$AH29),1),IF($AI29&gt;0,INDEX(BV$7:BV$106,$AI29),1),IF($AJ29&gt;0,INDEX(BV$7:BV$106,$AJ29),1))))</ns0:f>
        <ns0:v>1</ns0:v>
      </ns0:c>
      <ns0:c r="BX29" t="n">
        <ns0:f>IF($A29="",1,IF(BW29=1,1,--AND(IF($AC29&gt;0,INDEX(BW$7:BW$106,$AC29),1),IF($AD29&gt;0,INDEX(BW$7:BW$106,$AD29),1),IF($AE29&gt;0,INDEX(BW$7:BW$106,$AE29),1),IF($AF29&gt;0,INDEX(BW$7:BW$106,$AF29),1),IF($AG29&gt;0,INDEX(BW$7:BW$106,$AG29),1),IF($AH29&gt;0,INDEX(BW$7:BW$106,$AH29),1),IF($AI29&gt;0,INDEX(BW$7:BW$106,$AI29),1),IF($AJ29&gt;0,INDEX(BW$7:BW$106,$AJ29),1))))</ns0:f>
        <ns0:v>1</ns0:v>
      </ns0:c>
      <ns0:c r="BY29" t="n">
        <ns0:f>IF($A29="",1,IF(BX29=1,1,--AND(IF($AC29&gt;0,INDEX(BX$7:BX$106,$AC29),1),IF($AD29&gt;0,INDEX(BX$7:BX$106,$AD29),1),IF($AE29&gt;0,INDEX(BX$7:BX$106,$AE29),1),IF($AF29&gt;0,INDEX(BX$7:BX$106,$AF29),1),IF($AG29&gt;0,INDEX(BX$7:BX$106,$AG29),1),IF($AH29&gt;0,INDEX(BX$7:BX$106,$AH29),1),IF($AI29&gt;0,INDEX(BX$7:BX$106,$AI29),1),IF($AJ29&gt;0,INDEX(BX$7:BX$106,$AJ29),1))))</ns0:f>
        <ns0:v>1</ns0:v>
      </ns0:c>
      <ns0:c r="BZ29" t="n">
        <ns0:f>IF($A29="",1,IF(BY29=1,1,--AND(IF($AC29&gt;0,INDEX(BY$7:BY$106,$AC29),1),IF($AD29&gt;0,INDEX(BY$7:BY$106,$AD29),1),IF($AE29&gt;0,INDEX(BY$7:BY$106,$AE29),1),IF($AF29&gt;0,INDEX(BY$7:BY$106,$AF29),1),IF($AG29&gt;0,INDEX(BY$7:BY$106,$AG29),1),IF($AH29&gt;0,INDEX(BY$7:BY$106,$AH29),1),IF($AI29&gt;0,INDEX(BY$7:BY$106,$AI29),1),IF($AJ29&gt;0,INDEX(BY$7:BY$106,$AJ29),1))))</ns0:f>
        <ns0:v>1</ns0:v>
      </ns0:c>
      <ns0:c r="CA29" t="n">
        <ns0:f>IF($A29="",1,IF(BZ29=1,1,--AND(IF($AC29&gt;0,INDEX(BZ$7:BZ$106,$AC29),1),IF($AD29&gt;0,INDEX(BZ$7:BZ$106,$AD29),1),IF($AE29&gt;0,INDEX(BZ$7:BZ$106,$AE29),1),IF($AF29&gt;0,INDEX(BZ$7:BZ$106,$AF29),1),IF($AG29&gt;0,INDEX(BZ$7:BZ$106,$AG29),1),IF($AH29&gt;0,INDEX(BZ$7:BZ$106,$AH29),1),IF($AI29&gt;0,INDEX(BZ$7:BZ$106,$AI29),1),IF($AJ29&gt;0,INDEX(BZ$7:BZ$106,$AJ29),1))))</ns0:f>
        <ns0:v>1</ns0:v>
      </ns0:c>
      <ns0:c r="CB29" t="n">
        <ns0:f>IF($A29="",1,IF(CA29=1,1,--AND(IF($AC29&gt;0,INDEX(CA$7:CA$106,$AC29),1),IF($AD29&gt;0,INDEX(CA$7:CA$106,$AD29),1),IF($AE29&gt;0,INDEX(CA$7:CA$106,$AE29),1),IF($AF29&gt;0,INDEX(CA$7:CA$106,$AF29),1),IF($AG29&gt;0,INDEX(CA$7:CA$106,$AG29),1),IF($AH29&gt;0,INDEX(CA$7:CA$106,$AH29),1),IF($AI29&gt;0,INDEX(CA$7:CA$106,$AI29),1),IF($AJ29&gt;0,INDEX(CA$7:CA$106,$AJ29),1))))</ns0:f>
        <ns0:v>1</ns0:v>
      </ns0:c>
      <ns0:c r="CC29" t="n">
        <ns0:f>IF($A29="",1,IF(CB29=1,1,--AND(IF($AC29&gt;0,INDEX(CB$7:CB$106,$AC29),1),IF($AD29&gt;0,INDEX(CB$7:CB$106,$AD29),1),IF($AE29&gt;0,INDEX(CB$7:CB$106,$AE29),1),IF($AF29&gt;0,INDEX(CB$7:CB$106,$AF29),1),IF($AG29&gt;0,INDEX(CB$7:CB$106,$AG29),1),IF($AH29&gt;0,INDEX(CB$7:CB$106,$AH29),1),IF($AI29&gt;0,INDEX(CB$7:CB$106,$AI29),1),IF($AJ29&gt;0,INDEX(CB$7:CB$106,$AJ29),1))))</ns0:f>
        <ns0:v>1</ns0:v>
      </ns0:c>
      <ns0:c r="CD29" t="n">
        <ns0:f>IF($A29="",1,IF(CC29=1,1,--AND(IF($AC29&gt;0,INDEX(CC$7:CC$106,$AC29),1),IF($AD29&gt;0,INDEX(CC$7:CC$106,$AD29),1),IF($AE29&gt;0,INDEX(CC$7:CC$106,$AE29),1),IF($AF29&gt;0,INDEX(CC$7:CC$106,$AF29),1),IF($AG29&gt;0,INDEX(CC$7:CC$106,$AG29),1),IF($AH29&gt;0,INDEX(CC$7:CC$106,$AH29),1),IF($AI29&gt;0,INDEX(CC$7:CC$106,$AI29),1),IF($AJ29&gt;0,INDEX(CC$7:CC$106,$AJ29),1))))</ns0:f>
        <ns0:v>1</ns0:v>
      </ns0:c>
      <ns0:c r="CE29" t="n">
        <ns0:f>IF($A29="",1,IF(CD29=1,1,--AND(IF($AC29&gt;0,INDEX(CD$7:CD$106,$AC29),1),IF($AD29&gt;0,INDEX(CD$7:CD$106,$AD29),1),IF($AE29&gt;0,INDEX(CD$7:CD$106,$AE29),1),IF($AF29&gt;0,INDEX(CD$7:CD$106,$AF29),1),IF($AG29&gt;0,INDEX(CD$7:CD$106,$AG29),1),IF($AH29&gt;0,INDEX(CD$7:CD$106,$AH29),1),IF($AI29&gt;0,INDEX(CD$7:CD$106,$AI29),1),IF($AJ29&gt;0,INDEX(CD$7:CD$106,$AJ29),1))))</ns0:f>
        <ns0:v>1</ns0:v>
      </ns0:c>
      <ns0:c r="CF29" t="n">
        <ns0:f>IF($A29="",1,IF(CE29=1,1,--AND(IF($AC29&gt;0,INDEX(CE$7:CE$106,$AC29),1),IF($AD29&gt;0,INDEX(CE$7:CE$106,$AD29),1),IF($AE29&gt;0,INDEX(CE$7:CE$106,$AE29),1),IF($AF29&gt;0,INDEX(CE$7:CE$106,$AF29),1),IF($AG29&gt;0,INDEX(CE$7:CE$106,$AG29),1),IF($AH29&gt;0,INDEX(CE$7:CE$106,$AH29),1),IF($AI29&gt;0,INDEX(CE$7:CE$106,$AI29),1),IF($AJ29&gt;0,INDEX(CE$7:CE$106,$AJ29),1))))</ns0:f>
        <ns0:v>1</ns0:v>
      </ns0:c>
      <ns0:c r="CG29" t="n">
        <ns0:f>IF($A29="",1,IF(CF29=1,1,--AND(IF($AC29&gt;0,INDEX(CF$7:CF$106,$AC29),1),IF($AD29&gt;0,INDEX(CF$7:CF$106,$AD29),1),IF($AE29&gt;0,INDEX(CF$7:CF$106,$AE29),1),IF($AF29&gt;0,INDEX(CF$7:CF$106,$AF29),1),IF($AG29&gt;0,INDEX(CF$7:CF$106,$AG29),1),IF($AH29&gt;0,INDEX(CF$7:CF$106,$AH29),1),IF($AI29&gt;0,INDEX(CF$7:CF$106,$AI29),1),IF($AJ29&gt;0,INDEX(CF$7:CF$106,$AJ29),1))))</ns0:f>
        <ns0:v>1</ns0:v>
      </ns0:c>
      <ns0:c r="CH29" t="n">
        <ns0:f>IF($A29="",1,IF(CG29=1,1,--AND(IF($AC29&gt;0,INDEX(CG$7:CG$106,$AC29),1),IF($AD29&gt;0,INDEX(CG$7:CG$106,$AD29),1),IF($AE29&gt;0,INDEX(CG$7:CG$106,$AE29),1),IF($AF29&gt;0,INDEX(CG$7:CG$106,$AF29),1),IF($AG29&gt;0,INDEX(CG$7:CG$106,$AG29),1),IF($AH29&gt;0,INDEX(CG$7:CG$106,$AH29),1),IF($AI29&gt;0,INDEX(CG$7:CG$106,$AI29),1),IF($AJ29&gt;0,INDEX(CG$7:CG$106,$AJ29),1))))</ns0:f>
        <ns0:v>1</ns0:v>
      </ns0:c>
      <ns0:c r="CI29" t="n">
        <ns0:f>IF($A29="",1,IF(CH29=1,1,--AND(IF($AC29&gt;0,INDEX(CH$7:CH$106,$AC29),1),IF($AD29&gt;0,INDEX(CH$7:CH$106,$AD29),1),IF($AE29&gt;0,INDEX(CH$7:CH$106,$AE29),1),IF($AF29&gt;0,INDEX(CH$7:CH$106,$AF29),1),IF($AG29&gt;0,INDEX(CH$7:CH$106,$AG29),1),IF($AH29&gt;0,INDEX(CH$7:CH$106,$AH29),1),IF($AI29&gt;0,INDEX(CH$7:CH$106,$AI29),1),IF($AJ29&gt;0,INDEX(CH$7:CH$106,$AJ29),1))))</ns0:f>
        <ns0:v>1</ns0:v>
      </ns0:c>
      <ns0:c r="CJ29" t="n">
        <ns0:f>IF($A29="",1,IF(CI29=1,1,--AND(IF($AC29&gt;0,INDEX(CI$7:CI$106,$AC29),1),IF($AD29&gt;0,INDEX(CI$7:CI$106,$AD29),1),IF($AE29&gt;0,INDEX(CI$7:CI$106,$AE29),1),IF($AF29&gt;0,INDEX(CI$7:CI$106,$AF29),1),IF($AG29&gt;0,INDEX(CI$7:CI$106,$AG29),1),IF($AH29&gt;0,INDEX(CI$7:CI$106,$AH29),1),IF($AI29&gt;0,INDEX(CI$7:CI$106,$AI29),1),IF($AJ29&gt;0,INDEX(CI$7:CI$106,$AJ29),1))))</ns0:f>
        <ns0:v>1</ns0:v>
      </ns0:c>
      <ns0:c r="CK29" t="n">
        <ns0:f>IF($A29="",1,IF(CJ29=1,1,--AND(IF($AC29&gt;0,INDEX(CJ$7:CJ$106,$AC29),1),IF($AD29&gt;0,INDEX(CJ$7:CJ$106,$AD29),1),IF($AE29&gt;0,INDEX(CJ$7:CJ$106,$AE29),1),IF($AF29&gt;0,INDEX(CJ$7:CJ$106,$AF29),1),IF($AG29&gt;0,INDEX(CJ$7:CJ$106,$AG29),1),IF($AH29&gt;0,INDEX(CJ$7:CJ$106,$AH29),1),IF($AI29&gt;0,INDEX(CJ$7:CJ$106,$AI29),1),IF($AJ29&gt;0,INDEX(CJ$7:CJ$106,$AJ29),1))))</ns0:f>
        <ns0:v>1</ns0:v>
      </ns0:c>
      <ns0:c r="CL29" t="n">
        <ns0:f>IF($A29="",1,IF(CK29=1,1,--AND(IF($AC29&gt;0,INDEX(CK$7:CK$106,$AC29),1),IF($AD29&gt;0,INDEX(CK$7:CK$106,$AD29),1),IF($AE29&gt;0,INDEX(CK$7:CK$106,$AE29),1),IF($AF29&gt;0,INDEX(CK$7:CK$106,$AF29),1),IF($AG29&gt;0,INDEX(CK$7:CK$106,$AG29),1),IF($AH29&gt;0,INDEX(CK$7:CK$106,$AH29),1),IF($AI29&gt;0,INDEX(CK$7:CK$106,$AI29),1),IF($AJ29&gt;0,INDEX(CK$7:CK$106,$AJ29),1))))</ns0:f>
        <ns0:v>1</ns0:v>
      </ns0:c>
      <ns0:c r="CM29" t="n">
        <ns0:f>IF($A29="",1,IF(CL29=1,1,--AND(IF($AC29&gt;0,INDEX(CL$7:CL$106,$AC29),1),IF($AD29&gt;0,INDEX(CL$7:CL$106,$AD29),1),IF($AE29&gt;0,INDEX(CL$7:CL$106,$AE29),1),IF($AF29&gt;0,INDEX(CL$7:CL$106,$AF29),1),IF($AG29&gt;0,INDEX(CL$7:CL$106,$AG29),1),IF($AH29&gt;0,INDEX(CL$7:CL$106,$AH29),1),IF($AI29&gt;0,INDEX(CL$7:CL$106,$AI29),1),IF($AJ29&gt;0,INDEX(CL$7:CL$106,$AJ29),1))))</ns0:f>
        <ns0:v>1</ns0:v>
      </ns0:c>
      <ns0:c r="CN29" t="n">
        <ns0:f>IF($A29="",1,IF(CM29=1,1,--AND(IF($AC29&gt;0,INDEX(CM$7:CM$106,$AC29),1),IF($AD29&gt;0,INDEX(CM$7:CM$106,$AD29),1),IF($AE29&gt;0,INDEX(CM$7:CM$106,$AE29),1),IF($AF29&gt;0,INDEX(CM$7:CM$106,$AF29),1),IF($AG29&gt;0,INDEX(CM$7:CM$106,$AG29),1),IF($AH29&gt;0,INDEX(CM$7:CM$106,$AH29),1),IF($AI29&gt;0,INDEX(CM$7:CM$106,$AI29),1),IF($AJ29&gt;0,INDEX(CM$7:CM$106,$AJ29),1))))</ns0:f>
        <ns0:v>1</ns0:v>
      </ns0:c>
      <ns0:c r="CO29" t="n">
        <ns0:f>IF($A29="",1,IF(CN29=1,1,--AND(IF($AC29&gt;0,INDEX(CN$7:CN$106,$AC29),1),IF($AD29&gt;0,INDEX(CN$7:CN$106,$AD29),1),IF($AE29&gt;0,INDEX(CN$7:CN$106,$AE29),1),IF($AF29&gt;0,INDEX(CN$7:CN$106,$AF29),1),IF($AG29&gt;0,INDEX(CN$7:CN$106,$AG29),1),IF($AH29&gt;0,INDEX(CN$7:CN$106,$AH29),1),IF($AI29&gt;0,INDEX(CN$7:CN$106,$AI29),1),IF($AJ29&gt;0,INDEX(CN$7:CN$106,$AJ29),1))))</ns0:f>
        <ns0:v>1</ns0:v>
      </ns0:c>
      <ns0:c r="CP29" t="n">
        <ns0:f>IF($A29="",1,IF(CO29=1,1,--AND(IF($AC29&gt;0,INDEX(CO$7:CO$106,$AC29),1),IF($AD29&gt;0,INDEX(CO$7:CO$106,$AD29),1),IF($AE29&gt;0,INDEX(CO$7:CO$106,$AE29),1),IF($AF29&gt;0,INDEX(CO$7:CO$106,$AF29),1),IF($AG29&gt;0,INDEX(CO$7:CO$106,$AG29),1),IF($AH29&gt;0,INDEX(CO$7:CO$106,$AH29),1),IF($AI29&gt;0,INDEX(CO$7:CO$106,$AI29),1),IF($AJ29&gt;0,INDEX(CO$7:CO$106,$AJ29),1))))</ns0:f>
        <ns0:v>1</ns0:v>
      </ns0:c>
      <ns0:c r="CQ29" t="n">
        <ns0:f>IF($A29="",1,IF(CP29=1,1,--AND(IF($AC29&gt;0,INDEX(CP$7:CP$106,$AC29),1),IF($AD29&gt;0,INDEX(CP$7:CP$106,$AD29),1),IF($AE29&gt;0,INDEX(CP$7:CP$106,$AE29),1),IF($AF29&gt;0,INDEX(CP$7:CP$106,$AF29),1),IF($AG29&gt;0,INDEX(CP$7:CP$106,$AG29),1),IF($AH29&gt;0,INDEX(CP$7:CP$106,$AH29),1),IF($AI29&gt;0,INDEX(CP$7:CP$106,$AI29),1),IF($AJ29&gt;0,INDEX(CP$7:CP$106,$AJ29),1))))</ns0:f>
        <ns0:v>1</ns0:v>
      </ns0:c>
      <ns0:c r="CR29" t="n">
        <ns0:f>IF($A29="",1,IF(CQ29=1,1,--AND(IF($AC29&gt;0,INDEX(CQ$7:CQ$106,$AC29),1),IF($AD29&gt;0,INDEX(CQ$7:CQ$106,$AD29),1),IF($AE29&gt;0,INDEX(CQ$7:CQ$106,$AE29),1),IF($AF29&gt;0,INDEX(CQ$7:CQ$106,$AF29),1),IF($AG29&gt;0,INDEX(CQ$7:CQ$106,$AG29),1),IF($AH29&gt;0,INDEX(CQ$7:CQ$106,$AH29),1),IF($AI29&gt;0,INDEX(CQ$7:CQ$106,$AI29),1),IF($AJ29&gt;0,INDEX(CQ$7:CQ$106,$AJ29),1))))</ns0:f>
        <ns0:v>1</ns0:v>
      </ns0:c>
      <ns0:c r="CS29" t="n">
        <ns0:f>IF($A29="",1,IF(CR29=1,1,--AND(IF($AC29&gt;0,INDEX(CR$7:CR$106,$AC29),1),IF($AD29&gt;0,INDEX(CR$7:CR$106,$AD29),1),IF($AE29&gt;0,INDEX(CR$7:CR$106,$AE29),1),IF($AF29&gt;0,INDEX(CR$7:CR$106,$AF29),1),IF($AG29&gt;0,INDEX(CR$7:CR$106,$AG29),1),IF($AH29&gt;0,INDEX(CR$7:CR$106,$AH29),1),IF($AI29&gt;0,INDEX(CR$7:CR$106,$AI29),1),IF($AJ29&gt;0,INDEX(CR$7:CR$106,$AJ29),1))))</ns0:f>
        <ns0:v>1</ns0:v>
      </ns0:c>
      <ns0:c r="CT29" t="n">
        <ns0:f>IF($A29="",1,IF(CS29=1,1,--AND(IF($AC29&gt;0,INDEX(CS$7:CS$106,$AC29),1),IF($AD29&gt;0,INDEX(CS$7:CS$106,$AD29),1),IF($AE29&gt;0,INDEX(CS$7:CS$106,$AE29),1),IF($AF29&gt;0,INDEX(CS$7:CS$106,$AF29),1),IF($AG29&gt;0,INDEX(CS$7:CS$106,$AG29),1),IF($AH29&gt;0,INDEX(CS$7:CS$106,$AH29),1),IF($AI29&gt;0,INDEX(CS$7:CS$106,$AI29),1),IF($AJ29&gt;0,INDEX(CS$7:CS$106,$AJ29),1))))</ns0:f>
        <ns0:v>1</ns0:v>
      </ns0:c>
      <ns0:c r="CU29" t="n">
        <ns0:f>IF($A29="",1,IF(CT29=1,1,--AND(IF($AC29&gt;0,INDEX(CT$7:CT$106,$AC29),1),IF($AD29&gt;0,INDEX(CT$7:CT$106,$AD29),1),IF($AE29&gt;0,INDEX(CT$7:CT$106,$AE29),1),IF($AF29&gt;0,INDEX(CT$7:CT$106,$AF29),1),IF($AG29&gt;0,INDEX(CT$7:CT$106,$AG29),1),IF($AH29&gt;0,INDEX(CT$7:CT$106,$AH29),1),IF($AI29&gt;0,INDEX(CT$7:CT$106,$AI29),1),IF($AJ29&gt;0,INDEX(CT$7:CT$106,$AJ29),1))))</ns0:f>
        <ns0:v>1</ns0:v>
      </ns0:c>
      <ns0:c r="CV29" t="n">
        <ns0:f>IF($A29="",1,IF(CU29=1,1,--AND(IF($AC29&gt;0,INDEX(CU$7:CU$106,$AC29),1),IF($AD29&gt;0,INDEX(CU$7:CU$106,$AD29),1),IF($AE29&gt;0,INDEX(CU$7:CU$106,$AE29),1),IF($AF29&gt;0,INDEX(CU$7:CU$106,$AF29),1),IF($AG29&gt;0,INDEX(CU$7:CU$106,$AG29),1),IF($AH29&gt;0,INDEX(CU$7:CU$106,$AH29),1),IF($AI29&gt;0,INDEX(CU$7:CU$106,$AI29),1),IF($AJ29&gt;0,INDEX(CU$7:CU$106,$AJ29),1))))</ns0:f>
        <ns0:v>1</ns0:v>
      </ns0:c>
      <ns0:c r="CW29" t="n">
        <ns0:f>IF($A29="",1,IF(CV29=1,1,--AND(IF($AC29&gt;0,INDEX(CV$7:CV$106,$AC29),1),IF($AD29&gt;0,INDEX(CV$7:CV$106,$AD29),1),IF($AE29&gt;0,INDEX(CV$7:CV$106,$AE29),1),IF($AF29&gt;0,INDEX(CV$7:CV$106,$AF29),1),IF($AG29&gt;0,INDEX(CV$7:CV$106,$AG29),1),IF($AH29&gt;0,INDEX(CV$7:CV$106,$AH29),1),IF($AI29&gt;0,INDEX(CV$7:CV$106,$AI29),1),IF($AJ29&gt;0,INDEX(CV$7:CV$106,$AJ29),1))))</ns0:f>
        <ns0:v>1</ns0:v>
      </ns0:c>
      <ns0:c r="CX29" t="n">
        <ns0:f>IF($A29="",1,IF(CW29=1,1,--AND(IF($AC29&gt;0,INDEX(CW$7:CW$106,$AC29),1),IF($AD29&gt;0,INDEX(CW$7:CW$106,$AD29),1),IF($AE29&gt;0,INDEX(CW$7:CW$106,$AE29),1),IF($AF29&gt;0,INDEX(CW$7:CW$106,$AF29),1),IF($AG29&gt;0,INDEX(CW$7:CW$106,$AG29),1),IF($AH29&gt;0,INDEX(CW$7:CW$106,$AH29),1),IF($AI29&gt;0,INDEX(CW$7:CW$106,$AI29),1),IF($AJ29&gt;0,INDEX(CW$7:CW$106,$AJ29),1))))</ns0:f>
        <ns0:v>1</ns0:v>
      </ns0:c>
      <ns0:c r="CY29" t="n">
        <ns0:f>IF($A29="",1,IF(CX29=1,1,--AND(IF($AC29&gt;0,INDEX(CX$7:CX$106,$AC29),1),IF($AD29&gt;0,INDEX(CX$7:CX$106,$AD29),1),IF($AE29&gt;0,INDEX(CX$7:CX$106,$AE29),1),IF($AF29&gt;0,INDEX(CX$7:CX$106,$AF29),1),IF($AG29&gt;0,INDEX(CX$7:CX$106,$AG29),1),IF($AH29&gt;0,INDEX(CX$7:CX$106,$AH29),1),IF($AI29&gt;0,INDEX(CX$7:CX$106,$AI29),1),IF($AJ29&gt;0,INDEX(CX$7:CX$106,$AJ29),1))))</ns0:f>
        <ns0:v>1</ns0:v>
      </ns0:c>
      <ns0:c r="CZ29" t="n">
        <ns0:f>IF($A29="",1,IF(CY29=1,1,--AND(IF($AC29&gt;0,INDEX(CY$7:CY$106,$AC29),1),IF($AD29&gt;0,INDEX(CY$7:CY$106,$AD29),1),IF($AE29&gt;0,INDEX(CY$7:CY$106,$AE29),1),IF($AF29&gt;0,INDEX(CY$7:CY$106,$AF29),1),IF($AG29&gt;0,INDEX(CY$7:CY$106,$AG29),1),IF($AH29&gt;0,INDEX(CY$7:CY$106,$AH29),1),IF($AI29&gt;0,INDEX(CY$7:CY$106,$AI29),1),IF($AJ29&gt;0,INDEX(CY$7:CY$106,$AJ29),1))))</ns0:f>
        <ns0:v>1</ns0:v>
      </ns0:c>
      <ns0:c r="DA29" t="n">
        <ns0:f>IF($A29="",1,IF(CZ29=1,1,--AND(IF($AC29&gt;0,INDEX(CZ$7:CZ$106,$AC29),1),IF($AD29&gt;0,INDEX(CZ$7:CZ$106,$AD29),1),IF($AE29&gt;0,INDEX(CZ$7:CZ$106,$AE29),1),IF($AF29&gt;0,INDEX(CZ$7:CZ$106,$AF29),1),IF($AG29&gt;0,INDEX(CZ$7:CZ$106,$AG29),1),IF($AH29&gt;0,INDEX(CZ$7:CZ$106,$AH29),1),IF($AI29&gt;0,INDEX(CZ$7:CZ$106,$AI29),1),IF($AJ29&gt;0,INDEX(CZ$7:CZ$106,$AJ29),1))))</ns0:f>
        <ns0:v>1</ns0:v>
      </ns0:c>
      <ns0:c r="DB29" t="n">
        <ns0:f>IF($A29="",1,IF(DA29=1,1,--AND(IF($AC29&gt;0,INDEX(DA$7:DA$106,$AC29),1),IF($AD29&gt;0,INDEX(DA$7:DA$106,$AD29),1),IF($AE29&gt;0,INDEX(DA$7:DA$106,$AE29),1),IF($AF29&gt;0,INDEX(DA$7:DA$106,$AF29),1),IF($AG29&gt;0,INDEX(DA$7:DA$106,$AG29),1),IF($AH29&gt;0,INDEX(DA$7:DA$106,$AH29),1),IF($AI29&gt;0,INDEX(DA$7:DA$106,$AI29),1),IF($AJ29&gt;0,INDEX(DA$7:DA$106,$AJ29),1))))</ns0:f>
        <ns0:v>1</ns0:v>
      </ns0:c>
      <ns0:c r="DC29" t="n">
        <ns0:f>IF($A29="",1,IF(DB29=1,1,--AND(IF($AC29&gt;0,INDEX(DB$7:DB$106,$AC29),1),IF($AD29&gt;0,INDEX(DB$7:DB$106,$AD29),1),IF($AE29&gt;0,INDEX(DB$7:DB$106,$AE29),1),IF($AF29&gt;0,INDEX(DB$7:DB$106,$AF29),1),IF($AG29&gt;0,INDEX(DB$7:DB$106,$AG29),1),IF($AH29&gt;0,INDEX(DB$7:DB$106,$AH29),1),IF($AI29&gt;0,INDEX(DB$7:DB$106,$AI29),1),IF($AJ29&gt;0,INDEX(DB$7:DB$106,$AJ29),1))))</ns0:f>
        <ns0:v>1</ns0:v>
      </ns0:c>
      <ns0:c r="DD29" t="n">
        <ns0:f>IF($A29="",1,IF(DC29=1,1,--AND(IF($AC29&gt;0,INDEX(DC$7:DC$106,$AC29),1),IF($AD29&gt;0,INDEX(DC$7:DC$106,$AD29),1),IF($AE29&gt;0,INDEX(DC$7:DC$106,$AE29),1),IF($AF29&gt;0,INDEX(DC$7:DC$106,$AF29),1),IF($AG29&gt;0,INDEX(DC$7:DC$106,$AG29),1),IF($AH29&gt;0,INDEX(DC$7:DC$106,$AH29),1),IF($AI29&gt;0,INDEX(DC$7:DC$106,$AI29),1),IF($AJ29&gt;0,INDEX(DC$7:DC$106,$AJ29),1))))</ns0:f>
        <ns0:v>1</ns0:v>
      </ns0:c>
      <ns0:c r="DE29" t="n">
        <ns0:f>IF($A29="",1,IF(DD29=1,1,--AND(IF($AC29&gt;0,INDEX(DD$7:DD$106,$AC29),1),IF($AD29&gt;0,INDEX(DD$7:DD$106,$AD29),1),IF($AE29&gt;0,INDEX(DD$7:DD$106,$AE29),1),IF($AF29&gt;0,INDEX(DD$7:DD$106,$AF29),1),IF($AG29&gt;0,INDEX(DD$7:DD$106,$AG29),1),IF($AH29&gt;0,INDEX(DD$7:DD$106,$AH29),1),IF($AI29&gt;0,INDEX(DD$7:DD$106,$AI29),1),IF($AJ29&gt;0,INDEX(DD$7:DD$106,$AJ29),1))))</ns0:f>
        <ns0:v>1</ns0:v>
      </ns0:c>
      <ns0:c r="DF29" t="n">
        <ns0:f>IF($A29="",1,IF(DE29=1,1,--AND(IF($AC29&gt;0,INDEX(DE$7:DE$106,$AC29),1),IF($AD29&gt;0,INDEX(DE$7:DE$106,$AD29),1),IF($AE29&gt;0,INDEX(DE$7:DE$106,$AE29),1),IF($AF29&gt;0,INDEX(DE$7:DE$106,$AF29),1),IF($AG29&gt;0,INDEX(DE$7:DE$106,$AG29),1),IF($AH29&gt;0,INDEX(DE$7:DE$106,$AH29),1),IF($AI29&gt;0,INDEX(DE$7:DE$106,$AI29),1),IF($AJ29&gt;0,INDEX(DE$7:DE$106,$AJ29),1))))</ns0:f>
        <ns0:v>1</ns0:v>
      </ns0:c>
      <ns0:c r="DG29" t="n">
        <ns0:f>IF($A29="",1,IF(DF29=1,1,--AND(IF($AC29&gt;0,INDEX(DF$7:DF$106,$AC29),1),IF($AD29&gt;0,INDEX(DF$7:DF$106,$AD29),1),IF($AE29&gt;0,INDEX(DF$7:DF$106,$AE29),1),IF($AF29&gt;0,INDEX(DF$7:DF$106,$AF29),1),IF($AG29&gt;0,INDEX(DF$7:DF$106,$AG29),1),IF($AH29&gt;0,INDEX(DF$7:DF$106,$AH29),1),IF($AI29&gt;0,INDEX(DF$7:DF$106,$AI29),1),IF($AJ29&gt;0,INDEX(DF$7:DF$106,$AJ29),1))))</ns0:f>
        <ns0:v>1</ns0:v>
      </ns0:c>
      <ns0:c r="DH29" t="n">
        <ns0:f>IF($A29="",1,IF(DG29=1,1,--AND(IF($AC29&gt;0,INDEX(DG$7:DG$106,$AC29),1),IF($AD29&gt;0,INDEX(DG$7:DG$106,$AD29),1),IF($AE29&gt;0,INDEX(DG$7:DG$106,$AE29),1),IF($AF29&gt;0,INDEX(DG$7:DG$106,$AF29),1),IF($AG29&gt;0,INDEX(DG$7:DG$106,$AG29),1),IF($AH29&gt;0,INDEX(DG$7:DG$106,$AH29),1),IF($AI29&gt;0,INDEX(DG$7:DG$106,$AI29),1),IF($AJ29&gt;0,INDEX(DG$7:DG$106,$AJ29),1))))</ns0:f>
        <ns0:v>1</ns0:v>
      </ns0:c>
      <ns0:c r="DI29" t="n">
        <ns0:f>IF($A29="",1,IF(DH29=1,1,--AND(IF($AC29&gt;0,INDEX(DH$7:DH$106,$AC29),1),IF($AD29&gt;0,INDEX(DH$7:DH$106,$AD29),1),IF($AE29&gt;0,INDEX(DH$7:DH$106,$AE29),1),IF($AF29&gt;0,INDEX(DH$7:DH$106,$AF29),1),IF($AG29&gt;0,INDEX(DH$7:DH$106,$AG29),1),IF($AH29&gt;0,INDEX(DH$7:DH$106,$AH29),1),IF($AI29&gt;0,INDEX(DH$7:DH$106,$AI29),1),IF($AJ29&gt;0,INDEX(DH$7:DH$106,$AJ29),1))))</ns0:f>
        <ns0:v>1</ns0:v>
      </ns0:c>
      <ns0:c r="DJ29" t="n">
        <ns0:f>IF($A29="",1,IF(DI29=1,1,--AND(IF($AC29&gt;0,INDEX(DI$7:DI$106,$AC29),1),IF($AD29&gt;0,INDEX(DI$7:DI$106,$AD29),1),IF($AE29&gt;0,INDEX(DI$7:DI$106,$AE29),1),IF($AF29&gt;0,INDEX(DI$7:DI$106,$AF29),1),IF($AG29&gt;0,INDEX(DI$7:DI$106,$AG29),1),IF($AH29&gt;0,INDEX(DI$7:DI$106,$AH29),1),IF($AI29&gt;0,INDEX(DI$7:DI$106,$AI29),1),IF($AJ29&gt;0,INDEX(DI$7:DI$106,$AJ29),1))))</ns0:f>
        <ns0:v>1</ns0:v>
      </ns0:c>
      <ns0:c r="DK29" t="n">
        <ns0:f>IF($A29="",1,IF(DJ29=1,1,--AND(IF($AC29&gt;0,INDEX(DJ$7:DJ$106,$AC29),1),IF($AD29&gt;0,INDEX(DJ$7:DJ$106,$AD29),1),IF($AE29&gt;0,INDEX(DJ$7:DJ$106,$AE29),1),IF($AF29&gt;0,INDEX(DJ$7:DJ$106,$AF29),1),IF($AG29&gt;0,INDEX(DJ$7:DJ$106,$AG29),1),IF($AH29&gt;0,INDEX(DJ$7:DJ$106,$AH29),1),IF($AI29&gt;0,INDEX(DJ$7:DJ$106,$AI29),1),IF($AJ29&gt;0,INDEX(DJ$7:DJ$106,$AJ29),1))))</ns0:f>
        <ns0:v>1</ns0:v>
      </ns0:c>
      <ns0:c r="DL29" t="n">
        <ns0:f>IF($A29="",1,IF(DK29=1,1,--AND(IF($AC29&gt;0,INDEX(DK$7:DK$106,$AC29),1),IF($AD29&gt;0,INDEX(DK$7:DK$106,$AD29),1),IF($AE29&gt;0,INDEX(DK$7:DK$106,$AE29),1),IF($AF29&gt;0,INDEX(DK$7:DK$106,$AF29),1),IF($AG29&gt;0,INDEX(DK$7:DK$106,$AG29),1),IF($AH29&gt;0,INDEX(DK$7:DK$106,$AH29),1),IF($AI29&gt;0,INDEX(DK$7:DK$106,$AI29),1),IF($AJ29&gt;0,INDEX(DK$7:DK$106,$AJ29),1))))</ns0:f>
        <ns0:v>1</ns0:v>
      </ns0:c>
      <ns0:c r="DM29" t="n">
        <ns0:f>IF($A29="",1,IF(DL29=1,1,--AND(IF($AC29&gt;0,INDEX(DL$7:DL$106,$AC29),1),IF($AD29&gt;0,INDEX(DL$7:DL$106,$AD29),1),IF($AE29&gt;0,INDEX(DL$7:DL$106,$AE29),1),IF($AF29&gt;0,INDEX(DL$7:DL$106,$AF29),1),IF($AG29&gt;0,INDEX(DL$7:DL$106,$AG29),1),IF($AH29&gt;0,INDEX(DL$7:DL$106,$AH29),1),IF($AI29&gt;0,INDEX(DL$7:DL$106,$AI29),1),IF($AJ29&gt;0,INDEX(DL$7:DL$106,$AJ29),1))))</ns0:f>
        <ns0:v>1</ns0:v>
      </ns0:c>
      <ns0:c r="DN29" t="n">
        <ns0:f>IF($A29="",1,IF(DM29=1,1,--AND(IF($AC29&gt;0,INDEX(DM$7:DM$106,$AC29),1),IF($AD29&gt;0,INDEX(DM$7:DM$106,$AD29),1),IF($AE29&gt;0,INDEX(DM$7:DM$106,$AE29),1),IF($AF29&gt;0,INDEX(DM$7:DM$106,$AF29),1),IF($AG29&gt;0,INDEX(DM$7:DM$106,$AG29),1),IF($AH29&gt;0,INDEX(DM$7:DM$106,$AH29),1),IF($AI29&gt;0,INDEX(DM$7:DM$106,$AI29),1),IF($AJ29&gt;0,INDEX(DM$7:DM$106,$AJ29),1))))</ns0:f>
        <ns0:v>1</ns0:v>
      </ns0:c>
      <ns0:c r="DO29" t="n">
        <ns0:f>IF($A29="",1,IF(DN29=1,1,--AND(IF($AC29&gt;0,INDEX(DN$7:DN$106,$AC29),1),IF($AD29&gt;0,INDEX(DN$7:DN$106,$AD29),1),IF($AE29&gt;0,INDEX(DN$7:DN$106,$AE29),1),IF($AF29&gt;0,INDEX(DN$7:DN$106,$AF29),1),IF($AG29&gt;0,INDEX(DN$7:DN$106,$AG29),1),IF($AH29&gt;0,INDEX(DN$7:DN$106,$AH29),1),IF($AI29&gt;0,INDEX(DN$7:DN$106,$AI29),1),IF($AJ29&gt;0,INDEX(DN$7:DN$106,$AJ29),1))))</ns0:f>
        <ns0:v>1</ns0:v>
      </ns0:c>
      <ns0:c r="DP29" t="n">
        <ns0:f>IF($A29="",1,IF(DO29=1,1,--AND(IF($AC29&gt;0,INDEX(DO$7:DO$106,$AC29),1),IF($AD29&gt;0,INDEX(DO$7:DO$106,$AD29),1),IF($AE29&gt;0,INDEX(DO$7:DO$106,$AE29),1),IF($AF29&gt;0,INDEX(DO$7:DO$106,$AF29),1),IF($AG29&gt;0,INDEX(DO$7:DO$106,$AG29),1),IF($AH29&gt;0,INDEX(DO$7:DO$106,$AH29),1),IF($AI29&gt;0,INDEX(DO$7:DO$106,$AI29),1),IF($AJ29&gt;0,INDEX(DO$7:DO$106,$AJ29),1))))</ns0:f>
        <ns0:v>1</ns0:v>
      </ns0:c>
      <ns0:c r="DQ29" t="n">
        <ns0:f>IF($A29="",1,IF(DP29=1,1,--AND(IF($AC29&gt;0,INDEX(DP$7:DP$106,$AC29),1),IF($AD29&gt;0,INDEX(DP$7:DP$106,$AD29),1),IF($AE29&gt;0,INDEX(DP$7:DP$106,$AE29),1),IF($AF29&gt;0,INDEX(DP$7:DP$106,$AF29),1),IF($AG29&gt;0,INDEX(DP$7:DP$106,$AG29),1),IF($AH29&gt;0,INDEX(DP$7:DP$106,$AH29),1),IF($AI29&gt;0,INDEX(DP$7:DP$106,$AI29),1),IF($AJ29&gt;0,INDEX(DP$7:DP$106,$AJ29),1))))</ns0:f>
        <ns0:v>1</ns0:v>
      </ns0:c>
      <ns0:c r="DR29" t="n">
        <ns0:f>IF($A29="",1,IF(DQ29=1,1,--AND(IF($AC29&gt;0,INDEX(DQ$7:DQ$106,$AC29),1),IF($AD29&gt;0,INDEX(DQ$7:DQ$106,$AD29),1),IF($AE29&gt;0,INDEX(DQ$7:DQ$106,$AE29),1),IF($AF29&gt;0,INDEX(DQ$7:DQ$106,$AF29),1),IF($AG29&gt;0,INDEX(DQ$7:DQ$106,$AG29),1),IF($AH29&gt;0,INDEX(DQ$7:DQ$106,$AH29),1),IF($AI29&gt;0,INDEX(DQ$7:DQ$106,$AI29),1),IF($AJ29&gt;0,INDEX(DQ$7:DQ$106,$AJ29),1))))</ns0:f>
        <ns0:v>1</ns0:v>
      </ns0:c>
      <ns0:c r="DS29" t="n">
        <ns0:f>IF($A29="",1,IF(DR29=1,1,--AND(IF($AC29&gt;0,INDEX(DR$7:DR$106,$AC29),1),IF($AD29&gt;0,INDEX(DR$7:DR$106,$AD29),1),IF($AE29&gt;0,INDEX(DR$7:DR$106,$AE29),1),IF($AF29&gt;0,INDEX(DR$7:DR$106,$AF29),1),IF($AG29&gt;0,INDEX(DR$7:DR$106,$AG29),1),IF($AH29&gt;0,INDEX(DR$7:DR$106,$AH29),1),IF($AI29&gt;0,INDEX(DR$7:DR$106,$AI29),1),IF($AJ29&gt;0,INDEX(DR$7:DR$106,$AJ29),1))))</ns0:f>
        <ns0:v>1</ns0:v>
      </ns0:c>
      <ns0:c r="DT29" t="n">
        <ns0:f>IF($A29="",1,IF(DS29=1,1,--AND(IF($AC29&gt;0,INDEX(DS$7:DS$106,$AC29),1),IF($AD29&gt;0,INDEX(DS$7:DS$106,$AD29),1),IF($AE29&gt;0,INDEX(DS$7:DS$106,$AE29),1),IF($AF29&gt;0,INDEX(DS$7:DS$106,$AF29),1),IF($AG29&gt;0,INDEX(DS$7:DS$106,$AG29),1),IF($AH29&gt;0,INDEX(DS$7:DS$106,$AH29),1),IF($AI29&gt;0,INDEX(DS$7:DS$106,$AI29),1),IF($AJ29&gt;0,INDEX(DS$7:DS$106,$AJ29),1))))</ns0:f>
        <ns0:v>1</ns0:v>
      </ns0:c>
      <ns0:c r="DU29" t="n">
        <ns0:f>IF($A29="",1,IF(DT29=1,1,--AND(IF($AC29&gt;0,INDEX(DT$7:DT$106,$AC29),1),IF($AD29&gt;0,INDEX(DT$7:DT$106,$AD29),1),IF($AE29&gt;0,INDEX(DT$7:DT$106,$AE29),1),IF($AF29&gt;0,INDEX(DT$7:DT$106,$AF29),1),IF($AG29&gt;0,INDEX(DT$7:DT$106,$AG29),1),IF($AH29&gt;0,INDEX(DT$7:DT$106,$AH29),1),IF($AI29&gt;0,INDEX(DT$7:DT$106,$AI29),1),IF($AJ29&gt;0,INDEX(DT$7:DT$106,$AJ29),1))))</ns0:f>
        <ns0:v>1</ns0:v>
      </ns0:c>
      <ns0:c r="DV29" t="n">
        <ns0:f>IF($A29="",1,IF(DU29=1,1,--AND(IF($AC29&gt;0,INDEX(DU$7:DU$106,$AC29),1),IF($AD29&gt;0,INDEX(DU$7:DU$106,$AD29),1),IF($AE29&gt;0,INDEX(DU$7:DU$106,$AE29),1),IF($AF29&gt;0,INDEX(DU$7:DU$106,$AF29),1),IF($AG29&gt;0,INDEX(DU$7:DU$106,$AG29),1),IF($AH29&gt;0,INDEX(DU$7:DU$106,$AH29),1),IF($AI29&gt;0,INDEX(DU$7:DU$106,$AI29),1),IF($AJ29&gt;0,INDEX(DU$7:DU$106,$AJ29),1))))</ns0:f>
        <ns0:v>1</ns0:v>
      </ns0:c>
      <ns0:c r="DW29" t="n">
        <ns0:f>IF($A29="",1,IF(DV29=1,1,--AND(IF($AC29&gt;0,INDEX(DV$7:DV$106,$AC29),1),IF($AD29&gt;0,INDEX(DV$7:DV$106,$AD29),1),IF($AE29&gt;0,INDEX(DV$7:DV$106,$AE29),1),IF($AF29&gt;0,INDEX(DV$7:DV$106,$AF29),1),IF($AG29&gt;0,INDEX(DV$7:DV$106,$AG29),1),IF($AH29&gt;0,INDEX(DV$7:DV$106,$AH29),1),IF($AI29&gt;0,INDEX(DV$7:DV$106,$AI29),1),IF($AJ29&gt;0,INDEX(DV$7:DV$106,$AJ29),1))))</ns0:f>
        <ns0:v>1</ns0:v>
      </ns0:c>
      <ns0:c r="DX29" t="n">
        <ns0:f>IF($A29="",1,IF(DW29=1,1,--AND(IF($AC29&gt;0,INDEX(DW$7:DW$106,$AC29),1),IF($AD29&gt;0,INDEX(DW$7:DW$106,$AD29),1),IF($AE29&gt;0,INDEX(DW$7:DW$106,$AE29),1),IF($AF29&gt;0,INDEX(DW$7:DW$106,$AF29),1),IF($AG29&gt;0,INDEX(DW$7:DW$106,$AG29),1),IF($AH29&gt;0,INDEX(DW$7:DW$106,$AH29),1),IF($AI29&gt;0,INDEX(DW$7:DW$106,$AI29),1),IF($AJ29&gt;0,INDEX(DW$7:DW$106,$AJ29),1))))</ns0:f>
        <ns0:v>1</ns0:v>
      </ns0:c>
      <ns0:c r="DY29" t="n">
        <ns0:f>IF($A29="",1,IF(DX29=1,1,--AND(IF($AC29&gt;0,INDEX(DX$7:DX$106,$AC29),1),IF($AD29&gt;0,INDEX(DX$7:DX$106,$AD29),1),IF($AE29&gt;0,INDEX(DX$7:DX$106,$AE29),1),IF($AF29&gt;0,INDEX(DX$7:DX$106,$AF29),1),IF($AG29&gt;0,INDEX(DX$7:DX$106,$AG29),1),IF($AH29&gt;0,INDEX(DX$7:DX$106,$AH29),1),IF($AI29&gt;0,INDEX(DX$7:DX$106,$AI29),1),IF($AJ29&gt;0,INDEX(DX$7:DX$106,$AJ29),1))))</ns0:f>
        <ns0:v>1</ns0:v>
      </ns0:c>
      <ns0:c r="DZ29" t="n">
        <ns0:f>IF($A29="",1,IF(DY29=1,1,--AND(IF($AC29&gt;0,INDEX(DY$7:DY$106,$AC29),1),IF($AD29&gt;0,INDEX(DY$7:DY$106,$AD29),1),IF($AE29&gt;0,INDEX(DY$7:DY$106,$AE29),1),IF($AF29&gt;0,INDEX(DY$7:DY$106,$AF29),1),IF($AG29&gt;0,INDEX(DY$7:DY$106,$AG29),1),IF($AH29&gt;0,INDEX(DY$7:DY$106,$AH29),1),IF($AI29&gt;0,INDEX(DY$7:DY$106,$AI29),1),IF($AJ29&gt;0,INDEX(DY$7:DY$106,$AJ29),1))))</ns0:f>
        <ns0:v>1</ns0:v>
      </ns0:c>
      <ns0:c r="EA29" t="n">
        <ns0:f>IF($A29="",1,IF(DZ29=1,1,--AND(IF($AC29&gt;0,INDEX(DZ$7:DZ$106,$AC29),1),IF($AD29&gt;0,INDEX(DZ$7:DZ$106,$AD29),1),IF($AE29&gt;0,INDEX(DZ$7:DZ$106,$AE29),1),IF($AF29&gt;0,INDEX(DZ$7:DZ$106,$AF29),1),IF($AG29&gt;0,INDEX(DZ$7:DZ$106,$AG29),1),IF($AH29&gt;0,INDEX(DZ$7:DZ$106,$AH29),1),IF($AI29&gt;0,INDEX(DZ$7:DZ$106,$AI29),1),IF($AJ29&gt;0,INDEX(DZ$7:DZ$106,$AJ29),1))))</ns0:f>
        <ns0:v>1</ns0:v>
      </ns0:c>
      <ns0:c r="EB29" t="n">
        <ns0:f>IF($A29="",1,IF(EA29=1,1,--AND(IF($AC29&gt;0,INDEX(EA$7:EA$106,$AC29),1),IF($AD29&gt;0,INDEX(EA$7:EA$106,$AD29),1),IF($AE29&gt;0,INDEX(EA$7:EA$106,$AE29),1),IF($AF29&gt;0,INDEX(EA$7:EA$106,$AF29),1),IF($AG29&gt;0,INDEX(EA$7:EA$106,$AG29),1),IF($AH29&gt;0,INDEX(EA$7:EA$106,$AH29),1),IF($AI29&gt;0,INDEX(EA$7:EA$106,$AI29),1),IF($AJ29&gt;0,INDEX(EA$7:EA$106,$AJ29),1))))</ns0:f>
        <ns0:v>1</ns0:v>
      </ns0:c>
      <ns0:c r="EC29" t="n">
        <ns0:f>IF($A29="",1,IF(EB29=1,1,--AND(IF($AC29&gt;0,INDEX(EB$7:EB$106,$AC29),1),IF($AD29&gt;0,INDEX(EB$7:EB$106,$AD29),1),IF($AE29&gt;0,INDEX(EB$7:EB$106,$AE29),1),IF($AF29&gt;0,INDEX(EB$7:EB$106,$AF29),1),IF($AG29&gt;0,INDEX(EB$7:EB$106,$AG29),1),IF($AH29&gt;0,INDEX(EB$7:EB$106,$AH29),1),IF($AI29&gt;0,INDEX(EB$7:EB$106,$AI29),1),IF($AJ29&gt;0,INDEX(EB$7:EB$106,$AJ29),1))))</ns0:f>
        <ns0:v>1</ns0:v>
      </ns0:c>
      <ns0:c r="ED29" t="n">
        <ns0:f>IF($A29="",1,IF(EC29=1,1,--AND(IF($AC29&gt;0,INDEX(EC$7:EC$106,$AC29),1),IF($AD29&gt;0,INDEX(EC$7:EC$106,$AD29),1),IF($AE29&gt;0,INDEX(EC$7:EC$106,$AE29),1),IF($AF29&gt;0,INDEX(EC$7:EC$106,$AF29),1),IF($AG29&gt;0,INDEX(EC$7:EC$106,$AG29),1),IF($AH29&gt;0,INDEX(EC$7:EC$106,$AH29),1),IF($AI29&gt;0,INDEX(EC$7:EC$106,$AI29),1),IF($AJ29&gt;0,INDEX(EC$7:EC$106,$AJ29),1))))</ns0:f>
        <ns0:v>1</ns0:v>
      </ns0:c>
      <ns0:c r="EE29" t="n">
        <ns0:f>IF($A29="",1,IF(ED29=1,1,--AND(IF($AC29&gt;0,INDEX(ED$7:ED$106,$AC29),1),IF($AD29&gt;0,INDEX(ED$7:ED$106,$AD29),1),IF($AE29&gt;0,INDEX(ED$7:ED$106,$AE29),1),IF($AF29&gt;0,INDEX(ED$7:ED$106,$AF29),1),IF($AG29&gt;0,INDEX(ED$7:ED$106,$AG29),1),IF($AH29&gt;0,INDEX(ED$7:ED$106,$AH29),1),IF($AI29&gt;0,INDEX(ED$7:ED$106,$AI29),1),IF($AJ29&gt;0,INDEX(ED$7:ED$106,$AJ29),1))))</ns0:f>
        <ns0:v>1</ns0:v>
      </ns0:c>
      <ns0:c r="EF29" t="n">
        <ns0:f>IF($A29="",1,IF(EE29=1,1,--AND(IF($AC29&gt;0,INDEX(EE$7:EE$106,$AC29),1),IF($AD29&gt;0,INDEX(EE$7:EE$106,$AD29),1),IF($AE29&gt;0,INDEX(EE$7:EE$106,$AE29),1),IF($AF29&gt;0,INDEX(EE$7:EE$106,$AF29),1),IF($AG29&gt;0,INDEX(EE$7:EE$106,$AG29),1),IF($AH29&gt;0,INDEX(EE$7:EE$106,$AH29),1),IF($AI29&gt;0,INDEX(EE$7:EE$106,$AI29),1),IF($AJ29&gt;0,INDEX(EE$7:EE$106,$AJ29),1))))</ns0:f>
        <ns0:v>1</ns0:v>
      </ns0:c>
      <ns0:c r="EG29" t="n">
        <ns0:f>IF($A29="",1,IF(EF29=1,1,--AND(IF($AC29&gt;0,INDEX(EF$7:EF$106,$AC29),1),IF($AD29&gt;0,INDEX(EF$7:EF$106,$AD29),1),IF($AE29&gt;0,INDEX(EF$7:EF$106,$AE29),1),IF($AF29&gt;0,INDEX(EF$7:EF$106,$AF29),1),IF($AG29&gt;0,INDEX(EF$7:EF$106,$AG29),1),IF($AH29&gt;0,INDEX(EF$7:EF$106,$AH29),1),IF($AI29&gt;0,INDEX(EF$7:EF$106,$AI29),1),IF($AJ29&gt;0,INDEX(EF$7:EF$106,$AJ29),1))))</ns0:f>
        <ns0:v>1</ns0:v>
      </ns0:c>
      <ns0:c r="EH29" t="n">
        <ns0:f>IF($A29="",1,IF(EG29=1,1,--AND(IF($AC29&gt;0,INDEX(EG$7:EG$106,$AC29),1),IF($AD29&gt;0,INDEX(EG$7:EG$106,$AD29),1),IF($AE29&gt;0,INDEX(EG$7:EG$106,$AE29),1),IF($AF29&gt;0,INDEX(EG$7:EG$106,$AF29),1),IF($AG29&gt;0,INDEX(EG$7:EG$106,$AG29),1),IF($AH29&gt;0,INDEX(EG$7:EG$106,$AH29),1),IF($AI29&gt;0,INDEX(EG$7:EG$106,$AI29),1),IF($AJ29&gt;0,INDEX(EG$7:EG$106,$AJ29),1))))</ns0:f>
        <ns0:v>1</ns0:v>
      </ns0:c>
      <ns0:c r="EI29" t="n">
        <ns0:f>IF($A29="",1,IF(EH29=1,1,--AND(IF($AC29&gt;0,INDEX(EH$7:EH$106,$AC29),1),IF($AD29&gt;0,INDEX(EH$7:EH$106,$AD29),1),IF($AE29&gt;0,INDEX(EH$7:EH$106,$AE29),1),IF($AF29&gt;0,INDEX(EH$7:EH$106,$AF29),1),IF($AG29&gt;0,INDEX(EH$7:EH$106,$AG29),1),IF($AH29&gt;0,INDEX(EH$7:EH$106,$AH29),1),IF($AI29&gt;0,INDEX(EH$7:EH$106,$AI29),1),IF($AJ29&gt;0,INDEX(EH$7:EH$106,$AJ29),1))))</ns0:f>
        <ns0:v>1</ns0:v>
      </ns0:c>
      <ns0:c r="EJ29" t="n">
        <ns0:f>IF($A29="",1,IF(EI29=1,1,--AND(IF($AC29&gt;0,INDEX(EI$7:EI$106,$AC29),1),IF($AD29&gt;0,INDEX(EI$7:EI$106,$AD29),1),IF($AE29&gt;0,INDEX(EI$7:EI$106,$AE29),1),IF($AF29&gt;0,INDEX(EI$7:EI$106,$AF29),1),IF($AG29&gt;0,INDEX(EI$7:EI$106,$AG29),1),IF($AH29&gt;0,INDEX(EI$7:EI$106,$AH29),1),IF($AI29&gt;0,INDEX(EI$7:EI$106,$AI29),1),IF($AJ29&gt;0,INDEX(EI$7:EI$106,$AJ29),1))))</ns0:f>
        <ns0:v>1</ns0:v>
      </ns0:c>
      <ns0:c r="EK29" t="n">
        <ns0:f>IF($A29="",1,IF(EJ29=1,1,--AND(IF($AC29&gt;0,INDEX(EJ$7:EJ$106,$AC29),1),IF($AD29&gt;0,INDEX(EJ$7:EJ$106,$AD29),1),IF($AE29&gt;0,INDEX(EJ$7:EJ$106,$AE29),1),IF($AF29&gt;0,INDEX(EJ$7:EJ$106,$AF29),1),IF($AG29&gt;0,INDEX(EJ$7:EJ$106,$AG29),1),IF($AH29&gt;0,INDEX(EJ$7:EJ$106,$AH29),1),IF($AI29&gt;0,INDEX(EJ$7:EJ$106,$AI29),1),IF($AJ29&gt;0,INDEX(EJ$7:EJ$106,$AJ29),1))))</ns0:f>
        <ns0:v>1</ns0:v>
      </ns0:c>
      <ns0:c r="EL29" t="n">
        <ns0:f>IF($A29="",1,IF(EK29=1,1,--AND(IF($AC29&gt;0,INDEX(EK$7:EK$106,$AC29),1),IF($AD29&gt;0,INDEX(EK$7:EK$106,$AD29),1),IF($AE29&gt;0,INDEX(EK$7:EK$106,$AE29),1),IF($AF29&gt;0,INDEX(EK$7:EK$106,$AF29),1),IF($AG29&gt;0,INDEX(EK$7:EK$106,$AG29),1),IF($AH29&gt;0,INDEX(EK$7:EK$106,$AH29),1),IF($AI29&gt;0,INDEX(EK$7:EK$106,$AI29),1),IF($AJ29&gt;0,INDEX(EK$7:EK$106,$AJ29),1))))</ns0:f>
        <ns0:v>1</ns0:v>
      </ns0:c>
      <ns0:c r="EM29" t="n">
        <ns0:f>IF($A29="",1,IF(EL29=1,1,--AND(IF($AC29&gt;0,INDEX(EL$7:EL$106,$AC29),1),IF($AD29&gt;0,INDEX(EL$7:EL$106,$AD29),1),IF($AE29&gt;0,INDEX(EL$7:EL$106,$AE29),1),IF($AF29&gt;0,INDEX(EL$7:EL$106,$AF29),1),IF($AG29&gt;0,INDEX(EL$7:EL$106,$AG29),1),IF($AH29&gt;0,INDEX(EL$7:EL$106,$AH29),1),IF($AI29&gt;0,INDEX(EL$7:EL$106,$AI29),1),IF($AJ29&gt;0,INDEX(EL$7:EL$106,$AJ29),1))))</ns0:f>
        <ns0:v>1</ns0:v>
      </ns0:c>
      <ns0:c r="EN29" t="n">
        <ns0:f>IF($A29="",1,IF(EM29=1,1,--AND(IF($AC29&gt;0,INDEX(EM$7:EM$106,$AC29),1),IF($AD29&gt;0,INDEX(EM$7:EM$106,$AD29),1),IF($AE29&gt;0,INDEX(EM$7:EM$106,$AE29),1),IF($AF29&gt;0,INDEX(EM$7:EM$106,$AF29),1),IF($AG29&gt;0,INDEX(EM$7:EM$106,$AG29),1),IF($AH29&gt;0,INDEX(EM$7:EM$106,$AH29),1),IF($AI29&gt;0,INDEX(EM$7:EM$106,$AI29),1),IF($AJ29&gt;0,INDEX(EM$7:EM$106,$AJ29),1))))</ns0:f>
        <ns0:v>1</ns0:v>
      </ns0:c>
      <ns0:c r="EO29" t="n">
        <ns0:f>IF($A29="",1,IF(EN29=1,1,--AND(IF($AC29&gt;0,INDEX(EN$7:EN$106,$AC29),1),IF($AD29&gt;0,INDEX(EN$7:EN$106,$AD29),1),IF($AE29&gt;0,INDEX(EN$7:EN$106,$AE29),1),IF($AF29&gt;0,INDEX(EN$7:EN$106,$AF29),1),IF($AG29&gt;0,INDEX(EN$7:EN$106,$AG29),1),IF($AH29&gt;0,INDEX(EN$7:EN$106,$AH29),1),IF($AI29&gt;0,INDEX(EN$7:EN$106,$AI29),1),IF($AJ29&gt;0,INDEX(EN$7:EN$106,$AJ29),1))))</ns0:f>
        <ns0:v>1</ns0:v>
      </ns0:c>
      <ns0:c r="EP29" t="n">
        <ns0:f>IF($A29="",1,IF(EO29=1,1,--AND(IF($AC29&gt;0,INDEX(EO$7:EO$106,$AC29),1),IF($AD29&gt;0,INDEX(EO$7:EO$106,$AD29),1),IF($AE29&gt;0,INDEX(EO$7:EO$106,$AE29),1),IF($AF29&gt;0,INDEX(EO$7:EO$106,$AF29),1),IF($AG29&gt;0,INDEX(EO$7:EO$106,$AG29),1),IF($AH29&gt;0,INDEX(EO$7:EO$106,$AH29),1),IF($AI29&gt;0,INDEX(EO$7:EO$106,$AI29),1),IF($AJ29&gt;0,INDEX(EO$7:EO$106,$AJ29),1))))</ns0:f>
        <ns0:v>1</ns0:v>
      </ns0:c>
      <ns0:c r="EQ29" t="n">
        <ns0:f>IF(OR(A29="",NOT(ISNUMBER(G29))),0,G29*N29)</ns0:f>
        <ns0:v>0</ns0:v>
      </ns0:c>
    </ns0:row>
    <ns0:row r="30" ht="62" customHeight="1">
      <ns0:c r="A30" s="48" t="str">
        <ns0:v>T21</ns0:v>
      </ns0:c>
      <ns0:c r="B30" s="48" t="str">
        <ns0:v>Intelligence &amp; assets</ns0:v>
      </ns0:c>
      <ns0:c r="C30" s="48" t="str">
        <ns0:v>Engineer responsive UI templates, CMS schemas &amp; code diffs (W_DEV)</ns0:v>
      </ns0:c>
      <ns0:c r="D30" s="48" t="str">
        <ns0:v>Build validated UI templates, CMS schemas and code diffs with S_CODE.</ns0:v>
      </ns0:c>
      <ns0:c r="E30" s="49" t="n">
        <ns0:v>46285</ns0:v>
      </ns0:c>
      <ns0:c r="F30" s="49" t="n">
        <ns0:v>46291</ns0:v>
      </ns0:c>
      <ns0:c r="G30" s="13" t="n">
        <ns0:f>IF(A30="","",IF(OR(NOT(ISNUMBER(E30)),NOT(ISNUMBER(F30)),F30&lt;E30),"",IF(J30="Yes",0,F30-E30+1)))</ns0:f>
        <ns0:v>7</ns0:v>
      </ns0:c>
      <ns0:c r="H30" s="48" t="str">
        <ns0:v>T06,T14,T15</ns0:v>
      </ns0:c>
      <ns0:c r="I30" s="48" t="str">
        <ns0:v>FS</ns0:v>
      </ns0:c>
      <ns0:c r="J30" s="48" t="str">
        <ns0:v>No</ns0:v>
      </ns0:c>
      <ns0:c r="K30" s="48" t="str">
        <ns0:v>Specialist Sub-Agents (L4_SUBS);Development Engine (W_DEV)</ns0:v>
      </ns0:c>
      <ns0:c r="L30" s="48" t="str"/>
      <ns0:c r="M30" s="50" t="str">
        <ns0:f>IF(A30="","",IF(N30=1,"Completed",IF(N30&gt;0,"In Progress","Not Started")))</ns0:f>
        <ns0:v>Not Started</ns0:v>
      </ns0:c>
      <ns0:c r="N30" s="51" t="n">
        <ns0:v>0</ns0:v>
      </ns0:c>
      <ns0:c r="O30" s="13" t="str">
        <ns0:f>IF(A30="","",IF(R30&lt;&gt;"","[CONFLICT] "&amp;R30,IF(S30&lt;&gt;"","[CONFLICT] "&amp;S30,IF(OR(NOT(ISNUMBER(N30)),N30&lt;0,N30&gt;1),"[CONFLICT] Invalid progress",IF(AK30&gt;0,"[DEPENDENCY ISSUE] Missing ID / &gt;8 links",IF(AM30&gt;0,"[DEPENDENCY ISSUE] Cycle or blocked by cycle",IF(AND(H30&lt;&gt;"",ISNA(MATCH(I30,{"FS","SS","FF","SF"},0))),"[DEPENDENCY ISSUE] Invalid type",IF(AL30&gt;0,"[DEPENDENCY ISSUE] Timing conflict",IF(OR(E30&lt;ProjectStart,F30&gt;ProjectEnd),"[OUTSIDE WINDOW]",IF(AND(N30&lt;1,F30&lt;AsOfDate),"Overdue",IF(AND(M30&lt;&gt;Q30,M30&lt;&gt;""),"[CONFLICT] Status / progress","On track")))))))))))</ns0:f>
        <ns0:v>On track</ns0:v>
      </ns0:c>
      <ns0:c r="P30" s="52" t="str">
        <ns0:v>Source: Project Plan Essentials (2).md §1, §2, §4. Original 2026-09-26 to 2026-10-02, 7d; original progress 100% [INFERRED]. [INFERRED] Rescheduled to fit 34d with FS. Original resource/tools: Development Engine &amp; S_CODE.</ns0:v>
      </ns0:c>
      <ns0:c r="Q30" t="str">
        <ns0:f>IF(A30="","",IF(OR(M30="On Hold",M30="Delayed"),M30,IF(N30=1,"Completed",IF(N30&gt;0,"In Progress","Not Started"))))</ns0:f>
        <ns0:v>Not Started</ns0:v>
      </ns0:c>
      <ns0:c r="R30" t="str">
        <ns0:f>IF(A30="","",IF(COUNTIFS(Tasks[Task ID],A30)&lt;&gt;1,"Duplicate ID",""))</ns0:f>
      </ns0:c>
      <ns0:c r="S30" t="str">
        <ns0:f>IF(A30="","",IF(OR(NOT(ISNUMBER(E30)),NOT(ISNUMBER(F30))),"Invalid / missing date",IF(OR(E30&lt;&gt;INT(E30),F30&lt;&gt;INT(F30),E30&lt;1,F30&gt;2958465),"Invalid date",IF(F30&lt;E30,"End before start",IF(AND(J30="Yes",E30&lt;&gt;F30),"Milestone needs one date","")))))</ns0:f>
      </ns0:c>
      <ns0:c r="T30" t="n">
        <ns0:f>IF(H30="",0,LEN(H30)-LEN(SUBSTITUTE(H30,",",""))+1)</ns0:f>
        <ns0:v>3</ns0:v>
      </ns0:c>
      <ns0:c r="U30" t="str">
        <ns0:f>TRIM(MID(SUBSTITUTE($H30,",",REPT(" ",100)),1,100))</ns0:f>
        <ns0:v>T06</ns0:v>
      </ns0:c>
      <ns0:c r="V30" t="str">
        <ns0:f>TRIM(MID(SUBSTITUTE($H30,",",REPT(" ",100)),101,100))</ns0:f>
        <ns0:v>T14</ns0:v>
      </ns0:c>
      <ns0:c r="W30" t="str">
        <ns0:f>TRIM(MID(SUBSTITUTE($H30,",",REPT(" ",100)),201,100))</ns0:f>
        <ns0:v>T15</ns0:v>
      </ns0:c>
      <ns0:c r="X30" t="str">
        <ns0:f>TRIM(MID(SUBSTITUTE($H30,",",REPT(" ",100)),301,100))</ns0:f>
      </ns0:c>
      <ns0:c r="Y30" t="str">
        <ns0:f>TRIM(MID(SUBSTITUTE($H30,",",REPT(" ",100)),401,100))</ns0:f>
      </ns0:c>
      <ns0:c r="Z30" t="str">
        <ns0:f>TRIM(MID(SUBSTITUTE($H30,",",REPT(" ",100)),501,100))</ns0:f>
      </ns0:c>
      <ns0:c r="AA30" t="str">
        <ns0:f>TRIM(MID(SUBSTITUTE($H30,",",REPT(" ",100)),601,100))</ns0:f>
      </ns0:c>
      <ns0:c r="AB30" t="str">
        <ns0:f>TRIM(MID(SUBSTITUTE($H30,",",REPT(" ",100)),701,100))</ns0:f>
      </ns0:c>
      <ns0:c r="AC30" t="n">
        <ns0:f>IF(U30="",0,IF(COUNTIFS(Tasks[Task ID],U30)=1,MATCH(U30,Tasks[Task ID],0),-1))</ns0:f>
        <ns0:v>7</ns0:v>
      </ns0:c>
      <ns0:c r="AD30" t="n">
        <ns0:f>IF(V30="",0,IF(COUNTIFS(Tasks[Task ID],V30)=1,MATCH(V30,Tasks[Task ID],0),-1))</ns0:f>
        <ns0:v>16</ns0:v>
      </ns0:c>
      <ns0:c r="AE30" t="n">
        <ns0:f>IF(W30="",0,IF(COUNTIFS(Tasks[Task ID],W30)=1,MATCH(W30,Tasks[Task ID],0),-1))</ns0:f>
        <ns0:v>18</ns0:v>
      </ns0:c>
      <ns0:c r="AF30" t="n">
        <ns0:f>IF(X30="",0,IF(COUNTIFS(Tasks[Task ID],X30)=1,MATCH(X30,Tasks[Task ID],0),-1))</ns0:f>
        <ns0:v>0</ns0:v>
      </ns0:c>
      <ns0:c r="AG30" t="n">
        <ns0:f>IF(Y30="",0,IF(COUNTIFS(Tasks[Task ID],Y30)=1,MATCH(Y30,Tasks[Task ID],0),-1))</ns0:f>
        <ns0:v>0</ns0:v>
      </ns0:c>
      <ns0:c r="AH30" t="n">
        <ns0:f>IF(Z30="",0,IF(COUNTIFS(Tasks[Task ID],Z30)=1,MATCH(Z30,Tasks[Task ID],0),-1))</ns0:f>
        <ns0:v>0</ns0:v>
      </ns0:c>
      <ns0:c r="AI30" t="n">
        <ns0:f>IF(AA30="",0,IF(COUNTIFS(Tasks[Task ID],AA30)=1,MATCH(AA30,Tasks[Task ID],0),-1))</ns0:f>
        <ns0:v>0</ns0:v>
      </ns0:c>
      <ns0:c r="AJ30" t="n">
        <ns0:f>IF(AB30="",0,IF(COUNTIFS(Tasks[Task ID],AB30)=1,MATCH(AB30,Tasks[Task ID],0),-1))</ns0:f>
        <ns0:v>0</ns0:v>
      </ns0:c>
      <ns0:c r="AK30" t="n">
        <ns0:f>COUNTIFS(AC30:AJ30,-1)+IF(T30&gt;8,1,0)</ns0:f>
        <ns0:v>0</ns0:v>
      </ns0:c>
      <ns0:c r="AL30" t="n">
        <ns0:f>IF(OR(A30="",S30&lt;&gt;""),0,SUM(IF(AC30&gt;0,IF($I30="FS",--($E30&lt;INDEX(Tasks[End Date],AC30)+IF(INDEX(Tasks[Milestone],AC30)="Yes",0,1)),IF($I30="SS",--($E30&lt;INDEX(Tasks[Start Date],AC30)),IF($I30="FF",--($F30&lt;INDEX(Tasks[End Date],AC30)),IF($I30="SF",--($F30&lt;INDEX(Tasks[Start Date],AC30)),0)))),0),IF(AD30&gt;0,IF($I30="FS",--($E30&lt;INDEX(Tasks[End Date],AD30)+IF(INDEX(Tasks[Milestone],AD30)="Yes",0,1)),IF($I30="SS",--($E30&lt;INDEX(Tasks[Start Date],AD30)),IF($I30="FF",--($F30&lt;INDEX(Tasks[End Date],AD30)),IF($I30="SF",--($F30&lt;INDEX(Tasks[Start Date],AD30)),0)))),0),IF(AE30&gt;0,IF($I30="FS",--($E30&lt;INDEX(Tasks[End Date],AE30)+IF(INDEX(Tasks[Milestone],AE30)="Yes",0,1)),IF($I30="SS",--($E30&lt;INDEX(Tasks[Start Date],AE30)),IF($I30="FF",--($F30&lt;INDEX(Tasks[End Date],AE30)),IF($I30="SF",--($F30&lt;INDEX(Tasks[Start Date],AE30)),0)))),0),IF(AF30&gt;0,IF($I30="FS",--($E30&lt;INDEX(Tasks[End Date],AF30)+IF(INDEX(Tasks[Milestone],AF30)="Yes",0,1)),IF($I30="SS",--($E30&lt;INDEX(Tasks[Start Date],AF30)),IF($I30="FF",--($F30&lt;INDEX(Tasks[End Date],AF30)),IF($I30="SF",--($F30&lt;INDEX(Tasks[Start Date],AF30)),0)))),0),IF(AG30&gt;0,IF($I30="FS",--($E30&lt;INDEX(Tasks[End Date],AG30)+IF(INDEX(Tasks[Milestone],AG30)="Yes",0,1)),IF($I30="SS",--($E30&lt;INDEX(Tasks[Start Date],AG30)),IF($I30="FF",--($F30&lt;INDEX(Tasks[End Date],AG30)),IF($I30="SF",--($F30&lt;INDEX(Tasks[Start Date],AG30)),0)))),0),IF(AH30&gt;0,IF($I30="FS",--($E30&lt;INDEX(Tasks[End Date],AH30)+IF(INDEX(Tasks[Milestone],AH30)="Yes",0,1)),IF($I30="SS",--($E30&lt;INDEX(Tasks[Start Date],AH30)),IF($I30="FF",--($F30&lt;INDEX(Tasks[End Date],AH30)),IF($I30="SF",--($F30&lt;INDEX(Tasks[Start Date],AH30)),0)))),0),IF(AI30&gt;0,IF($I30="FS",--($E30&lt;INDEX(Tasks[End Date],AI30)+IF(INDEX(Tasks[Milestone],AI30)="Yes",0,1)),IF($I30="SS",--($E30&lt;INDEX(Tasks[Start Date],AI30)),IF($I30="FF",--($F30&lt;INDEX(Tasks[End Date],AI30)),IF($I30="SF",--($F30&lt;INDEX(Tasks[Start Date],AI30)),0)))),0),IF(AJ30&gt;0,IF($I30="FS",--($E30&lt;INDEX(Tasks[End Date],AJ30)+IF(INDEX(Tasks[Milestone],AJ30)="Yes",0,1)),IF($I30="SS",--($E30&lt;INDEX(Tasks[Start Date],AJ30)),IF($I30="FF",--($F30&lt;INDEX(Tasks[End Date],AJ30)),IF($I30="SF",--($F30&lt;INDEX(Tasks[Start Date],AJ30)),0)))),0)))</ns0:f>
        <ns0:v>0</ns0:v>
      </ns0:c>
      <ns0:c r="AM30" t="n">
        <ns0:f>IF(AND(A30&lt;&gt;"",AK30=0,EP30=0),1,0)</ns0:f>
        <ns0:v>0</ns0:v>
      </ns0:c>
      <ns0:c r="AN30" t="str">
        <ns0:f>IF(OR(A30="",B30=""),"",IF(COUNTIFS($B$7:B30,B30)=1,MAX($AN$6:AN29)+1,""))</ns0:f>
      </ns0:c>
      <ns0:c r="AO30" t="n">
        <ns0:f>IF(AND(A30&lt;&gt;"",J30="No",N30&lt;1,E30&gt;=AsOfDate),E30+ROW()/10000,1E+9)</ns0:f>
        <ns0:v>46285.003</ns0:v>
      </ns0:c>
      <ns0:c r="AP30" t="n">
        <ns0:f>IF(AND(A30&lt;&gt;"",J30="Yes",N30&lt;1,E30&gt;=AsOfDate),E30+ROW()/10000,1E+9)</ns0:f>
        <ns0:v>1000000000</ns0:v>
      </ns0:c>
      <ns0:c r="AQ30" t="n">
        <ns0:f>IF(AND(A30&lt;&gt;"",J30="No",N30&lt;1,F30&gt;=AsOfDate,F30&lt;=AsOfDate+7),F30+ROW()/10000,1E+9)</ns0:f>
        <ns0:v>1000000000</ns0:v>
      </ns0:c>
      <ns0:c r="AR30" t="n">
        <ns0:f>IF(AND(A30&lt;&gt;"",OR(O30&lt;&gt;"On track",Q30="Delayed")),ROW(),1E+9)</ns0:f>
        <ns0:v>1000000000</ns0:v>
      </ns0:c>
      <ns0:c r="AS30" t="str">
        <ns0:f>IF(A30="","",";"&amp;K30&amp;";")</ns0:f>
        <ns0:v>;Specialist Sub-Agents (L4_SUBS);Development Engine (W_DEV);</ns0:v>
      </ns0:c>
      <ns0:c r="AT30" t="n">
        <ns0:f>IF(A30="",1,--(T30=0))</ns0:f>
        <ns0:v>0</ns0:v>
      </ns0:c>
      <ns0:c r="AU30" t="n">
        <ns0:f>IF($A30="",1,IF(AT30=1,1,--AND(IF($AC30&gt;0,INDEX(AT$7:AT$106,$AC30),1),IF($AD30&gt;0,INDEX(AT$7:AT$106,$AD30),1),IF($AE30&gt;0,INDEX(AT$7:AT$106,$AE30),1),IF($AF30&gt;0,INDEX(AT$7:AT$106,$AF30),1),IF($AG30&gt;0,INDEX(AT$7:AT$106,$AG30),1),IF($AH30&gt;0,INDEX(AT$7:AT$106,$AH30),1),IF($AI30&gt;0,INDEX(AT$7:AT$106,$AI30),1),IF($AJ30&gt;0,INDEX(AT$7:AT$106,$AJ30),1))))</ns0:f>
        <ns0:v>0</ns0:v>
      </ns0:c>
      <ns0:c r="AV30" t="n">
        <ns0:f>IF($A30="",1,IF(AU30=1,1,--AND(IF($AC30&gt;0,INDEX(AU$7:AU$106,$AC30),1),IF($AD30&gt;0,INDEX(AU$7:AU$106,$AD30),1),IF($AE30&gt;0,INDEX(AU$7:AU$106,$AE30),1),IF($AF30&gt;0,INDEX(AU$7:AU$106,$AF30),1),IF($AG30&gt;0,INDEX(AU$7:AU$106,$AG30),1),IF($AH30&gt;0,INDEX(AU$7:AU$106,$AH30),1),IF($AI30&gt;0,INDEX(AU$7:AU$106,$AI30),1),IF($AJ30&gt;0,INDEX(AU$7:AU$106,$AJ30),1))))</ns0:f>
        <ns0:v>0</ns0:v>
      </ns0:c>
      <ns0:c r="AW30" t="n">
        <ns0:f>IF($A30="",1,IF(AV30=1,1,--AND(IF($AC30&gt;0,INDEX(AV$7:AV$106,$AC30),1),IF($AD30&gt;0,INDEX(AV$7:AV$106,$AD30),1),IF($AE30&gt;0,INDEX(AV$7:AV$106,$AE30),1),IF($AF30&gt;0,INDEX(AV$7:AV$106,$AF30),1),IF($AG30&gt;0,INDEX(AV$7:AV$106,$AG30),1),IF($AH30&gt;0,INDEX(AV$7:AV$106,$AH30),1),IF($AI30&gt;0,INDEX(AV$7:AV$106,$AI30),1),IF($AJ30&gt;0,INDEX(AV$7:AV$106,$AJ30),1))))</ns0:f>
        <ns0:v>0</ns0:v>
      </ns0:c>
      <ns0:c r="AX30" t="n">
        <ns0:f>IF($A30="",1,IF(AW30=1,1,--AND(IF($AC30&gt;0,INDEX(AW$7:AW$106,$AC30),1),IF($AD30&gt;0,INDEX(AW$7:AW$106,$AD30),1),IF($AE30&gt;0,INDEX(AW$7:AW$106,$AE30),1),IF($AF30&gt;0,INDEX(AW$7:AW$106,$AF30),1),IF($AG30&gt;0,INDEX(AW$7:AW$106,$AG30),1),IF($AH30&gt;0,INDEX(AW$7:AW$106,$AH30),1),IF($AI30&gt;0,INDEX(AW$7:AW$106,$AI30),1),IF($AJ30&gt;0,INDEX(AW$7:AW$106,$AJ30),1))))</ns0:f>
        <ns0:v>0</ns0:v>
      </ns0:c>
      <ns0:c r="AY30" t="n">
        <ns0:f>IF($A30="",1,IF(AX30=1,1,--AND(IF($AC30&gt;0,INDEX(AX$7:AX$106,$AC30),1),IF($AD30&gt;0,INDEX(AX$7:AX$106,$AD30),1),IF($AE30&gt;0,INDEX(AX$7:AX$106,$AE30),1),IF($AF30&gt;0,INDEX(AX$7:AX$106,$AF30),1),IF($AG30&gt;0,INDEX(AX$7:AX$106,$AG30),1),IF($AH30&gt;0,INDEX(AX$7:AX$106,$AH30),1),IF($AI30&gt;0,INDEX(AX$7:AX$106,$AI30),1),IF($AJ30&gt;0,INDEX(AX$7:AX$106,$AJ30),1))))</ns0:f>
        <ns0:v>0</ns0:v>
      </ns0:c>
      <ns0:c r="AZ30" t="n">
        <ns0:f>IF($A30="",1,IF(AY30=1,1,--AND(IF($AC30&gt;0,INDEX(AY$7:AY$106,$AC30),1),IF($AD30&gt;0,INDEX(AY$7:AY$106,$AD30),1),IF($AE30&gt;0,INDEX(AY$7:AY$106,$AE30),1),IF($AF30&gt;0,INDEX(AY$7:AY$106,$AF30),1),IF($AG30&gt;0,INDEX(AY$7:AY$106,$AG30),1),IF($AH30&gt;0,INDEX(AY$7:AY$106,$AH30),1),IF($AI30&gt;0,INDEX(AY$7:AY$106,$AI30),1),IF($AJ30&gt;0,INDEX(AY$7:AY$106,$AJ30),1))))</ns0:f>
        <ns0:v>1</ns0:v>
      </ns0:c>
      <ns0:c r="BA30" t="n">
        <ns0:f>IF($A30="",1,IF(AZ30=1,1,--AND(IF($AC30&gt;0,INDEX(AZ$7:AZ$106,$AC30),1),IF($AD30&gt;0,INDEX(AZ$7:AZ$106,$AD30),1),IF($AE30&gt;0,INDEX(AZ$7:AZ$106,$AE30),1),IF($AF30&gt;0,INDEX(AZ$7:AZ$106,$AF30),1),IF($AG30&gt;0,INDEX(AZ$7:AZ$106,$AG30),1),IF($AH30&gt;0,INDEX(AZ$7:AZ$106,$AH30),1),IF($AI30&gt;0,INDEX(AZ$7:AZ$106,$AI30),1),IF($AJ30&gt;0,INDEX(AZ$7:AZ$106,$AJ30),1))))</ns0:f>
        <ns0:v>1</ns0:v>
      </ns0:c>
      <ns0:c r="BB30" t="n">
        <ns0:f>IF($A30="",1,IF(BA30=1,1,--AND(IF($AC30&gt;0,INDEX(BA$7:BA$106,$AC30),1),IF($AD30&gt;0,INDEX(BA$7:BA$106,$AD30),1),IF($AE30&gt;0,INDEX(BA$7:BA$106,$AE30),1),IF($AF30&gt;0,INDEX(BA$7:BA$106,$AF30),1),IF($AG30&gt;0,INDEX(BA$7:BA$106,$AG30),1),IF($AH30&gt;0,INDEX(BA$7:BA$106,$AH30),1),IF($AI30&gt;0,INDEX(BA$7:BA$106,$AI30),1),IF($AJ30&gt;0,INDEX(BA$7:BA$106,$AJ30),1))))</ns0:f>
        <ns0:v>1</ns0:v>
      </ns0:c>
      <ns0:c r="BC30" t="n">
        <ns0:f>IF($A30="",1,IF(BB30=1,1,--AND(IF($AC30&gt;0,INDEX(BB$7:BB$106,$AC30),1),IF($AD30&gt;0,INDEX(BB$7:BB$106,$AD30),1),IF($AE30&gt;0,INDEX(BB$7:BB$106,$AE30),1),IF($AF30&gt;0,INDEX(BB$7:BB$106,$AF30),1),IF($AG30&gt;0,INDEX(BB$7:BB$106,$AG30),1),IF($AH30&gt;0,INDEX(BB$7:BB$106,$AH30),1),IF($AI30&gt;0,INDEX(BB$7:BB$106,$AI30),1),IF($AJ30&gt;0,INDEX(BB$7:BB$106,$AJ30),1))))</ns0:f>
        <ns0:v>1</ns0:v>
      </ns0:c>
      <ns0:c r="BD30" t="n">
        <ns0:f>IF($A30="",1,IF(BC30=1,1,--AND(IF($AC30&gt;0,INDEX(BC$7:BC$106,$AC30),1),IF($AD30&gt;0,INDEX(BC$7:BC$106,$AD30),1),IF($AE30&gt;0,INDEX(BC$7:BC$106,$AE30),1),IF($AF30&gt;0,INDEX(BC$7:BC$106,$AF30),1),IF($AG30&gt;0,INDEX(BC$7:BC$106,$AG30),1),IF($AH30&gt;0,INDEX(BC$7:BC$106,$AH30),1),IF($AI30&gt;0,INDEX(BC$7:BC$106,$AI30),1),IF($AJ30&gt;0,INDEX(BC$7:BC$106,$AJ30),1))))</ns0:f>
        <ns0:v>1</ns0:v>
      </ns0:c>
      <ns0:c r="BE30" t="n">
        <ns0:f>IF($A30="",1,IF(BD30=1,1,--AND(IF($AC30&gt;0,INDEX(BD$7:BD$106,$AC30),1),IF($AD30&gt;0,INDEX(BD$7:BD$106,$AD30),1),IF($AE30&gt;0,INDEX(BD$7:BD$106,$AE30),1),IF($AF30&gt;0,INDEX(BD$7:BD$106,$AF30),1),IF($AG30&gt;0,INDEX(BD$7:BD$106,$AG30),1),IF($AH30&gt;0,INDEX(BD$7:BD$106,$AH30),1),IF($AI30&gt;0,INDEX(BD$7:BD$106,$AI30),1),IF($AJ30&gt;0,INDEX(BD$7:BD$106,$AJ30),1))))</ns0:f>
        <ns0:v>1</ns0:v>
      </ns0:c>
      <ns0:c r="BF30" t="n">
        <ns0:f>IF($A30="",1,IF(BE30=1,1,--AND(IF($AC30&gt;0,INDEX(BE$7:BE$106,$AC30),1),IF($AD30&gt;0,INDEX(BE$7:BE$106,$AD30),1),IF($AE30&gt;0,INDEX(BE$7:BE$106,$AE30),1),IF($AF30&gt;0,INDEX(BE$7:BE$106,$AF30),1),IF($AG30&gt;0,INDEX(BE$7:BE$106,$AG30),1),IF($AH30&gt;0,INDEX(BE$7:BE$106,$AH30),1),IF($AI30&gt;0,INDEX(BE$7:BE$106,$AI30),1),IF($AJ30&gt;0,INDEX(BE$7:BE$106,$AJ30),1))))</ns0:f>
        <ns0:v>1</ns0:v>
      </ns0:c>
      <ns0:c r="BG30" t="n">
        <ns0:f>IF($A30="",1,IF(BF30=1,1,--AND(IF($AC30&gt;0,INDEX(BF$7:BF$106,$AC30),1),IF($AD30&gt;0,INDEX(BF$7:BF$106,$AD30),1),IF($AE30&gt;0,INDEX(BF$7:BF$106,$AE30),1),IF($AF30&gt;0,INDEX(BF$7:BF$106,$AF30),1),IF($AG30&gt;0,INDEX(BF$7:BF$106,$AG30),1),IF($AH30&gt;0,INDEX(BF$7:BF$106,$AH30),1),IF($AI30&gt;0,INDEX(BF$7:BF$106,$AI30),1),IF($AJ30&gt;0,INDEX(BF$7:BF$106,$AJ30),1))))</ns0:f>
        <ns0:v>1</ns0:v>
      </ns0:c>
      <ns0:c r="BH30" t="n">
        <ns0:f>IF($A30="",1,IF(BG30=1,1,--AND(IF($AC30&gt;0,INDEX(BG$7:BG$106,$AC30),1),IF($AD30&gt;0,INDEX(BG$7:BG$106,$AD30),1),IF($AE30&gt;0,INDEX(BG$7:BG$106,$AE30),1),IF($AF30&gt;0,INDEX(BG$7:BG$106,$AF30),1),IF($AG30&gt;0,INDEX(BG$7:BG$106,$AG30),1),IF($AH30&gt;0,INDEX(BG$7:BG$106,$AH30),1),IF($AI30&gt;0,INDEX(BG$7:BG$106,$AI30),1),IF($AJ30&gt;0,INDEX(BG$7:BG$106,$AJ30),1))))</ns0:f>
        <ns0:v>1</ns0:v>
      </ns0:c>
      <ns0:c r="BI30" t="n">
        <ns0:f>IF($A30="",1,IF(BH30=1,1,--AND(IF($AC30&gt;0,INDEX(BH$7:BH$106,$AC30),1),IF($AD30&gt;0,INDEX(BH$7:BH$106,$AD30),1),IF($AE30&gt;0,INDEX(BH$7:BH$106,$AE30),1),IF($AF30&gt;0,INDEX(BH$7:BH$106,$AF30),1),IF($AG30&gt;0,INDEX(BH$7:BH$106,$AG30),1),IF($AH30&gt;0,INDEX(BH$7:BH$106,$AH30),1),IF($AI30&gt;0,INDEX(BH$7:BH$106,$AI30),1),IF($AJ30&gt;0,INDEX(BH$7:BH$106,$AJ30),1))))</ns0:f>
        <ns0:v>1</ns0:v>
      </ns0:c>
      <ns0:c r="BJ30" t="n">
        <ns0:f>IF($A30="",1,IF(BI30=1,1,--AND(IF($AC30&gt;0,INDEX(BI$7:BI$106,$AC30),1),IF($AD30&gt;0,INDEX(BI$7:BI$106,$AD30),1),IF($AE30&gt;0,INDEX(BI$7:BI$106,$AE30),1),IF($AF30&gt;0,INDEX(BI$7:BI$106,$AF30),1),IF($AG30&gt;0,INDEX(BI$7:BI$106,$AG30),1),IF($AH30&gt;0,INDEX(BI$7:BI$106,$AH30),1),IF($AI30&gt;0,INDEX(BI$7:BI$106,$AI30),1),IF($AJ30&gt;0,INDEX(BI$7:BI$106,$AJ30),1))))</ns0:f>
        <ns0:v>1</ns0:v>
      </ns0:c>
      <ns0:c r="BK30" t="n">
        <ns0:f>IF($A30="",1,IF(BJ30=1,1,--AND(IF($AC30&gt;0,INDEX(BJ$7:BJ$106,$AC30),1),IF($AD30&gt;0,INDEX(BJ$7:BJ$106,$AD30),1),IF($AE30&gt;0,INDEX(BJ$7:BJ$106,$AE30),1),IF($AF30&gt;0,INDEX(BJ$7:BJ$106,$AF30),1),IF($AG30&gt;0,INDEX(BJ$7:BJ$106,$AG30),1),IF($AH30&gt;0,INDEX(BJ$7:BJ$106,$AH30),1),IF($AI30&gt;0,INDEX(BJ$7:BJ$106,$AI30),1),IF($AJ30&gt;0,INDEX(BJ$7:BJ$106,$AJ30),1))))</ns0:f>
        <ns0:v>1</ns0:v>
      </ns0:c>
      <ns0:c r="BL30" t="n">
        <ns0:f>IF($A30="",1,IF(BK30=1,1,--AND(IF($AC30&gt;0,INDEX(BK$7:BK$106,$AC30),1),IF($AD30&gt;0,INDEX(BK$7:BK$106,$AD30),1),IF($AE30&gt;0,INDEX(BK$7:BK$106,$AE30),1),IF($AF30&gt;0,INDEX(BK$7:BK$106,$AF30),1),IF($AG30&gt;0,INDEX(BK$7:BK$106,$AG30),1),IF($AH30&gt;0,INDEX(BK$7:BK$106,$AH30),1),IF($AI30&gt;0,INDEX(BK$7:BK$106,$AI30),1),IF($AJ30&gt;0,INDEX(BK$7:BK$106,$AJ30),1))))</ns0:f>
        <ns0:v>1</ns0:v>
      </ns0:c>
      <ns0:c r="BM30" t="n">
        <ns0:f>IF($A30="",1,IF(BL30=1,1,--AND(IF($AC30&gt;0,INDEX(BL$7:BL$106,$AC30),1),IF($AD30&gt;0,INDEX(BL$7:BL$106,$AD30),1),IF($AE30&gt;0,INDEX(BL$7:BL$106,$AE30),1),IF($AF30&gt;0,INDEX(BL$7:BL$106,$AF30),1),IF($AG30&gt;0,INDEX(BL$7:BL$106,$AG30),1),IF($AH30&gt;0,INDEX(BL$7:BL$106,$AH30),1),IF($AI30&gt;0,INDEX(BL$7:BL$106,$AI30),1),IF($AJ30&gt;0,INDEX(BL$7:BL$106,$AJ30),1))))</ns0:f>
        <ns0:v>1</ns0:v>
      </ns0:c>
      <ns0:c r="BN30" t="n">
        <ns0:f>IF($A30="",1,IF(BM30=1,1,--AND(IF($AC30&gt;0,INDEX(BM$7:BM$106,$AC30),1),IF($AD30&gt;0,INDEX(BM$7:BM$106,$AD30),1),IF($AE30&gt;0,INDEX(BM$7:BM$106,$AE30),1),IF($AF30&gt;0,INDEX(BM$7:BM$106,$AF30),1),IF($AG30&gt;0,INDEX(BM$7:BM$106,$AG30),1),IF($AH30&gt;0,INDEX(BM$7:BM$106,$AH30),1),IF($AI30&gt;0,INDEX(BM$7:BM$106,$AI30),1),IF($AJ30&gt;0,INDEX(BM$7:BM$106,$AJ30),1))))</ns0:f>
        <ns0:v>1</ns0:v>
      </ns0:c>
      <ns0:c r="BO30" t="n">
        <ns0:f>IF($A30="",1,IF(BN30=1,1,--AND(IF($AC30&gt;0,INDEX(BN$7:BN$106,$AC30),1),IF($AD30&gt;0,INDEX(BN$7:BN$106,$AD30),1),IF($AE30&gt;0,INDEX(BN$7:BN$106,$AE30),1),IF($AF30&gt;0,INDEX(BN$7:BN$106,$AF30),1),IF($AG30&gt;0,INDEX(BN$7:BN$106,$AG30),1),IF($AH30&gt;0,INDEX(BN$7:BN$106,$AH30),1),IF($AI30&gt;0,INDEX(BN$7:BN$106,$AI30),1),IF($AJ30&gt;0,INDEX(BN$7:BN$106,$AJ30),1))))</ns0:f>
        <ns0:v>1</ns0:v>
      </ns0:c>
      <ns0:c r="BP30" t="n">
        <ns0:f>IF($A30="",1,IF(BO30=1,1,--AND(IF($AC30&gt;0,INDEX(BO$7:BO$106,$AC30),1),IF($AD30&gt;0,INDEX(BO$7:BO$106,$AD30),1),IF($AE30&gt;0,INDEX(BO$7:BO$106,$AE30),1),IF($AF30&gt;0,INDEX(BO$7:BO$106,$AF30),1),IF($AG30&gt;0,INDEX(BO$7:BO$106,$AG30),1),IF($AH30&gt;0,INDEX(BO$7:BO$106,$AH30),1),IF($AI30&gt;0,INDEX(BO$7:BO$106,$AI30),1),IF($AJ30&gt;0,INDEX(BO$7:BO$106,$AJ30),1))))</ns0:f>
        <ns0:v>1</ns0:v>
      </ns0:c>
      <ns0:c r="BQ30" t="n">
        <ns0:f>IF($A30="",1,IF(BP30=1,1,--AND(IF($AC30&gt;0,INDEX(BP$7:BP$106,$AC30),1),IF($AD30&gt;0,INDEX(BP$7:BP$106,$AD30),1),IF($AE30&gt;0,INDEX(BP$7:BP$106,$AE30),1),IF($AF30&gt;0,INDEX(BP$7:BP$106,$AF30),1),IF($AG30&gt;0,INDEX(BP$7:BP$106,$AG30),1),IF($AH30&gt;0,INDEX(BP$7:BP$106,$AH30),1),IF($AI30&gt;0,INDEX(BP$7:BP$106,$AI30),1),IF($AJ30&gt;0,INDEX(BP$7:BP$106,$AJ30),1))))</ns0:f>
        <ns0:v>1</ns0:v>
      </ns0:c>
      <ns0:c r="BR30" t="n">
        <ns0:f>IF($A30="",1,IF(BQ30=1,1,--AND(IF($AC30&gt;0,INDEX(BQ$7:BQ$106,$AC30),1),IF($AD30&gt;0,INDEX(BQ$7:BQ$106,$AD30),1),IF($AE30&gt;0,INDEX(BQ$7:BQ$106,$AE30),1),IF($AF30&gt;0,INDEX(BQ$7:BQ$106,$AF30),1),IF($AG30&gt;0,INDEX(BQ$7:BQ$106,$AG30),1),IF($AH30&gt;0,INDEX(BQ$7:BQ$106,$AH30),1),IF($AI30&gt;0,INDEX(BQ$7:BQ$106,$AI30),1),IF($AJ30&gt;0,INDEX(BQ$7:BQ$106,$AJ30),1))))</ns0:f>
        <ns0:v>1</ns0:v>
      </ns0:c>
      <ns0:c r="BS30" t="n">
        <ns0:f>IF($A30="",1,IF(BR30=1,1,--AND(IF($AC30&gt;0,INDEX(BR$7:BR$106,$AC30),1),IF($AD30&gt;0,INDEX(BR$7:BR$106,$AD30),1),IF($AE30&gt;0,INDEX(BR$7:BR$106,$AE30),1),IF($AF30&gt;0,INDEX(BR$7:BR$106,$AF30),1),IF($AG30&gt;0,INDEX(BR$7:BR$106,$AG30),1),IF($AH30&gt;0,INDEX(BR$7:BR$106,$AH30),1),IF($AI30&gt;0,INDEX(BR$7:BR$106,$AI30),1),IF($AJ30&gt;0,INDEX(BR$7:BR$106,$AJ30),1))))</ns0:f>
        <ns0:v>1</ns0:v>
      </ns0:c>
      <ns0:c r="BT30" t="n">
        <ns0:f>IF($A30="",1,IF(BS30=1,1,--AND(IF($AC30&gt;0,INDEX(BS$7:BS$106,$AC30),1),IF($AD30&gt;0,INDEX(BS$7:BS$106,$AD30),1),IF($AE30&gt;0,INDEX(BS$7:BS$106,$AE30),1),IF($AF30&gt;0,INDEX(BS$7:BS$106,$AF30),1),IF($AG30&gt;0,INDEX(BS$7:BS$106,$AG30),1),IF($AH30&gt;0,INDEX(BS$7:BS$106,$AH30),1),IF($AI30&gt;0,INDEX(BS$7:BS$106,$AI30),1),IF($AJ30&gt;0,INDEX(BS$7:BS$106,$AJ30),1))))</ns0:f>
        <ns0:v>1</ns0:v>
      </ns0:c>
      <ns0:c r="BU30" t="n">
        <ns0:f>IF($A30="",1,IF(BT30=1,1,--AND(IF($AC30&gt;0,INDEX(BT$7:BT$106,$AC30),1),IF($AD30&gt;0,INDEX(BT$7:BT$106,$AD30),1),IF($AE30&gt;0,INDEX(BT$7:BT$106,$AE30),1),IF($AF30&gt;0,INDEX(BT$7:BT$106,$AF30),1),IF($AG30&gt;0,INDEX(BT$7:BT$106,$AG30),1),IF($AH30&gt;0,INDEX(BT$7:BT$106,$AH30),1),IF($AI30&gt;0,INDEX(BT$7:BT$106,$AI30),1),IF($AJ30&gt;0,INDEX(BT$7:BT$106,$AJ30),1))))</ns0:f>
        <ns0:v>1</ns0:v>
      </ns0:c>
      <ns0:c r="BV30" t="n">
        <ns0:f>IF($A30="",1,IF(BU30=1,1,--AND(IF($AC30&gt;0,INDEX(BU$7:BU$106,$AC30),1),IF($AD30&gt;0,INDEX(BU$7:BU$106,$AD30),1),IF($AE30&gt;0,INDEX(BU$7:BU$106,$AE30),1),IF($AF30&gt;0,INDEX(BU$7:BU$106,$AF30),1),IF($AG30&gt;0,INDEX(BU$7:BU$106,$AG30),1),IF($AH30&gt;0,INDEX(BU$7:BU$106,$AH30),1),IF($AI30&gt;0,INDEX(BU$7:BU$106,$AI30),1),IF($AJ30&gt;0,INDEX(BU$7:BU$106,$AJ30),1))))</ns0:f>
        <ns0:v>1</ns0:v>
      </ns0:c>
      <ns0:c r="BW30" t="n">
        <ns0:f>IF($A30="",1,IF(BV30=1,1,--AND(IF($AC30&gt;0,INDEX(BV$7:BV$106,$AC30),1),IF($AD30&gt;0,INDEX(BV$7:BV$106,$AD30),1),IF($AE30&gt;0,INDEX(BV$7:BV$106,$AE30),1),IF($AF30&gt;0,INDEX(BV$7:BV$106,$AF30),1),IF($AG30&gt;0,INDEX(BV$7:BV$106,$AG30),1),IF($AH30&gt;0,INDEX(BV$7:BV$106,$AH30),1),IF($AI30&gt;0,INDEX(BV$7:BV$106,$AI30),1),IF($AJ30&gt;0,INDEX(BV$7:BV$106,$AJ30),1))))</ns0:f>
        <ns0:v>1</ns0:v>
      </ns0:c>
      <ns0:c r="BX30" t="n">
        <ns0:f>IF($A30="",1,IF(BW30=1,1,--AND(IF($AC30&gt;0,INDEX(BW$7:BW$106,$AC30),1),IF($AD30&gt;0,INDEX(BW$7:BW$106,$AD30),1),IF($AE30&gt;0,INDEX(BW$7:BW$106,$AE30),1),IF($AF30&gt;0,INDEX(BW$7:BW$106,$AF30),1),IF($AG30&gt;0,INDEX(BW$7:BW$106,$AG30),1),IF($AH30&gt;0,INDEX(BW$7:BW$106,$AH30),1),IF($AI30&gt;0,INDEX(BW$7:BW$106,$AI30),1),IF($AJ30&gt;0,INDEX(BW$7:BW$106,$AJ30),1))))</ns0:f>
        <ns0:v>1</ns0:v>
      </ns0:c>
      <ns0:c r="BY30" t="n">
        <ns0:f>IF($A30="",1,IF(BX30=1,1,--AND(IF($AC30&gt;0,INDEX(BX$7:BX$106,$AC30),1),IF($AD30&gt;0,INDEX(BX$7:BX$106,$AD30),1),IF($AE30&gt;0,INDEX(BX$7:BX$106,$AE30),1),IF($AF30&gt;0,INDEX(BX$7:BX$106,$AF30),1),IF($AG30&gt;0,INDEX(BX$7:BX$106,$AG30),1),IF($AH30&gt;0,INDEX(BX$7:BX$106,$AH30),1),IF($AI30&gt;0,INDEX(BX$7:BX$106,$AI30),1),IF($AJ30&gt;0,INDEX(BX$7:BX$106,$AJ30),1))))</ns0:f>
        <ns0:v>1</ns0:v>
      </ns0:c>
      <ns0:c r="BZ30" t="n">
        <ns0:f>IF($A30="",1,IF(BY30=1,1,--AND(IF($AC30&gt;0,INDEX(BY$7:BY$106,$AC30),1),IF($AD30&gt;0,INDEX(BY$7:BY$106,$AD30),1),IF($AE30&gt;0,INDEX(BY$7:BY$106,$AE30),1),IF($AF30&gt;0,INDEX(BY$7:BY$106,$AF30),1),IF($AG30&gt;0,INDEX(BY$7:BY$106,$AG30),1),IF($AH30&gt;0,INDEX(BY$7:BY$106,$AH30),1),IF($AI30&gt;0,INDEX(BY$7:BY$106,$AI30),1),IF($AJ30&gt;0,INDEX(BY$7:BY$106,$AJ30),1))))</ns0:f>
        <ns0:v>1</ns0:v>
      </ns0:c>
      <ns0:c r="CA30" t="n">
        <ns0:f>IF($A30="",1,IF(BZ30=1,1,--AND(IF($AC30&gt;0,INDEX(BZ$7:BZ$106,$AC30),1),IF($AD30&gt;0,INDEX(BZ$7:BZ$106,$AD30),1),IF($AE30&gt;0,INDEX(BZ$7:BZ$106,$AE30),1),IF($AF30&gt;0,INDEX(BZ$7:BZ$106,$AF30),1),IF($AG30&gt;0,INDEX(BZ$7:BZ$106,$AG30),1),IF($AH30&gt;0,INDEX(BZ$7:BZ$106,$AH30),1),IF($AI30&gt;0,INDEX(BZ$7:BZ$106,$AI30),1),IF($AJ30&gt;0,INDEX(BZ$7:BZ$106,$AJ30),1))))</ns0:f>
        <ns0:v>1</ns0:v>
      </ns0:c>
      <ns0:c r="CB30" t="n">
        <ns0:f>IF($A30="",1,IF(CA30=1,1,--AND(IF($AC30&gt;0,INDEX(CA$7:CA$106,$AC30),1),IF($AD30&gt;0,INDEX(CA$7:CA$106,$AD30),1),IF($AE30&gt;0,INDEX(CA$7:CA$106,$AE30),1),IF($AF30&gt;0,INDEX(CA$7:CA$106,$AF30),1),IF($AG30&gt;0,INDEX(CA$7:CA$106,$AG30),1),IF($AH30&gt;0,INDEX(CA$7:CA$106,$AH30),1),IF($AI30&gt;0,INDEX(CA$7:CA$106,$AI30),1),IF($AJ30&gt;0,INDEX(CA$7:CA$106,$AJ30),1))))</ns0:f>
        <ns0:v>1</ns0:v>
      </ns0:c>
      <ns0:c r="CC30" t="n">
        <ns0:f>IF($A30="",1,IF(CB30=1,1,--AND(IF($AC30&gt;0,INDEX(CB$7:CB$106,$AC30),1),IF($AD30&gt;0,INDEX(CB$7:CB$106,$AD30),1),IF($AE30&gt;0,INDEX(CB$7:CB$106,$AE30),1),IF($AF30&gt;0,INDEX(CB$7:CB$106,$AF30),1),IF($AG30&gt;0,INDEX(CB$7:CB$106,$AG30),1),IF($AH30&gt;0,INDEX(CB$7:CB$106,$AH30),1),IF($AI30&gt;0,INDEX(CB$7:CB$106,$AI30),1),IF($AJ30&gt;0,INDEX(CB$7:CB$106,$AJ30),1))))</ns0:f>
        <ns0:v>1</ns0:v>
      </ns0:c>
      <ns0:c r="CD30" t="n">
        <ns0:f>IF($A30="",1,IF(CC30=1,1,--AND(IF($AC30&gt;0,INDEX(CC$7:CC$106,$AC30),1),IF($AD30&gt;0,INDEX(CC$7:CC$106,$AD30),1),IF($AE30&gt;0,INDEX(CC$7:CC$106,$AE30),1),IF($AF30&gt;0,INDEX(CC$7:CC$106,$AF30),1),IF($AG30&gt;0,INDEX(CC$7:CC$106,$AG30),1),IF($AH30&gt;0,INDEX(CC$7:CC$106,$AH30),1),IF($AI30&gt;0,INDEX(CC$7:CC$106,$AI30),1),IF($AJ30&gt;0,INDEX(CC$7:CC$106,$AJ30),1))))</ns0:f>
        <ns0:v>1</ns0:v>
      </ns0:c>
      <ns0:c r="CE30" t="n">
        <ns0:f>IF($A30="",1,IF(CD30=1,1,--AND(IF($AC30&gt;0,INDEX(CD$7:CD$106,$AC30),1),IF($AD30&gt;0,INDEX(CD$7:CD$106,$AD30),1),IF($AE30&gt;0,INDEX(CD$7:CD$106,$AE30),1),IF($AF30&gt;0,INDEX(CD$7:CD$106,$AF30),1),IF($AG30&gt;0,INDEX(CD$7:CD$106,$AG30),1),IF($AH30&gt;0,INDEX(CD$7:CD$106,$AH30),1),IF($AI30&gt;0,INDEX(CD$7:CD$106,$AI30),1),IF($AJ30&gt;0,INDEX(CD$7:CD$106,$AJ30),1))))</ns0:f>
        <ns0:v>1</ns0:v>
      </ns0:c>
      <ns0:c r="CF30" t="n">
        <ns0:f>IF($A30="",1,IF(CE30=1,1,--AND(IF($AC30&gt;0,INDEX(CE$7:CE$106,$AC30),1),IF($AD30&gt;0,INDEX(CE$7:CE$106,$AD30),1),IF($AE30&gt;0,INDEX(CE$7:CE$106,$AE30),1),IF($AF30&gt;0,INDEX(CE$7:CE$106,$AF30),1),IF($AG30&gt;0,INDEX(CE$7:CE$106,$AG30),1),IF($AH30&gt;0,INDEX(CE$7:CE$106,$AH30),1),IF($AI30&gt;0,INDEX(CE$7:CE$106,$AI30),1),IF($AJ30&gt;0,INDEX(CE$7:CE$106,$AJ30),1))))</ns0:f>
        <ns0:v>1</ns0:v>
      </ns0:c>
      <ns0:c r="CG30" t="n">
        <ns0:f>IF($A30="",1,IF(CF30=1,1,--AND(IF($AC30&gt;0,INDEX(CF$7:CF$106,$AC30),1),IF($AD30&gt;0,INDEX(CF$7:CF$106,$AD30),1),IF($AE30&gt;0,INDEX(CF$7:CF$106,$AE30),1),IF($AF30&gt;0,INDEX(CF$7:CF$106,$AF30),1),IF($AG30&gt;0,INDEX(CF$7:CF$106,$AG30),1),IF($AH30&gt;0,INDEX(CF$7:CF$106,$AH30),1),IF($AI30&gt;0,INDEX(CF$7:CF$106,$AI30),1),IF($AJ30&gt;0,INDEX(CF$7:CF$106,$AJ30),1))))</ns0:f>
        <ns0:v>1</ns0:v>
      </ns0:c>
      <ns0:c r="CH30" t="n">
        <ns0:f>IF($A30="",1,IF(CG30=1,1,--AND(IF($AC30&gt;0,INDEX(CG$7:CG$106,$AC30),1),IF($AD30&gt;0,INDEX(CG$7:CG$106,$AD30),1),IF($AE30&gt;0,INDEX(CG$7:CG$106,$AE30),1),IF($AF30&gt;0,INDEX(CG$7:CG$106,$AF30),1),IF($AG30&gt;0,INDEX(CG$7:CG$106,$AG30),1),IF($AH30&gt;0,INDEX(CG$7:CG$106,$AH30),1),IF($AI30&gt;0,INDEX(CG$7:CG$106,$AI30),1),IF($AJ30&gt;0,INDEX(CG$7:CG$106,$AJ30),1))))</ns0:f>
        <ns0:v>1</ns0:v>
      </ns0:c>
      <ns0:c r="CI30" t="n">
        <ns0:f>IF($A30="",1,IF(CH30=1,1,--AND(IF($AC30&gt;0,INDEX(CH$7:CH$106,$AC30),1),IF($AD30&gt;0,INDEX(CH$7:CH$106,$AD30),1),IF($AE30&gt;0,INDEX(CH$7:CH$106,$AE30),1),IF($AF30&gt;0,INDEX(CH$7:CH$106,$AF30),1),IF($AG30&gt;0,INDEX(CH$7:CH$106,$AG30),1),IF($AH30&gt;0,INDEX(CH$7:CH$106,$AH30),1),IF($AI30&gt;0,INDEX(CH$7:CH$106,$AI30),1),IF($AJ30&gt;0,INDEX(CH$7:CH$106,$AJ30),1))))</ns0:f>
        <ns0:v>1</ns0:v>
      </ns0:c>
      <ns0:c r="CJ30" t="n">
        <ns0:f>IF($A30="",1,IF(CI30=1,1,--AND(IF($AC30&gt;0,INDEX(CI$7:CI$106,$AC30),1),IF($AD30&gt;0,INDEX(CI$7:CI$106,$AD30),1),IF($AE30&gt;0,INDEX(CI$7:CI$106,$AE30),1),IF($AF30&gt;0,INDEX(CI$7:CI$106,$AF30),1),IF($AG30&gt;0,INDEX(CI$7:CI$106,$AG30),1),IF($AH30&gt;0,INDEX(CI$7:CI$106,$AH30),1),IF($AI30&gt;0,INDEX(CI$7:CI$106,$AI30),1),IF($AJ30&gt;0,INDEX(CI$7:CI$106,$AJ30),1))))</ns0:f>
        <ns0:v>1</ns0:v>
      </ns0:c>
      <ns0:c r="CK30" t="n">
        <ns0:f>IF($A30="",1,IF(CJ30=1,1,--AND(IF($AC30&gt;0,INDEX(CJ$7:CJ$106,$AC30),1),IF($AD30&gt;0,INDEX(CJ$7:CJ$106,$AD30),1),IF($AE30&gt;0,INDEX(CJ$7:CJ$106,$AE30),1),IF($AF30&gt;0,INDEX(CJ$7:CJ$106,$AF30),1),IF($AG30&gt;0,INDEX(CJ$7:CJ$106,$AG30),1),IF($AH30&gt;0,INDEX(CJ$7:CJ$106,$AH30),1),IF($AI30&gt;0,INDEX(CJ$7:CJ$106,$AI30),1),IF($AJ30&gt;0,INDEX(CJ$7:CJ$106,$AJ30),1))))</ns0:f>
        <ns0:v>1</ns0:v>
      </ns0:c>
      <ns0:c r="CL30" t="n">
        <ns0:f>IF($A30="",1,IF(CK30=1,1,--AND(IF($AC30&gt;0,INDEX(CK$7:CK$106,$AC30),1),IF($AD30&gt;0,INDEX(CK$7:CK$106,$AD30),1),IF($AE30&gt;0,INDEX(CK$7:CK$106,$AE30),1),IF($AF30&gt;0,INDEX(CK$7:CK$106,$AF30),1),IF($AG30&gt;0,INDEX(CK$7:CK$106,$AG30),1),IF($AH30&gt;0,INDEX(CK$7:CK$106,$AH30),1),IF($AI30&gt;0,INDEX(CK$7:CK$106,$AI30),1),IF($AJ30&gt;0,INDEX(CK$7:CK$106,$AJ30),1))))</ns0:f>
        <ns0:v>1</ns0:v>
      </ns0:c>
      <ns0:c r="CM30" t="n">
        <ns0:f>IF($A30="",1,IF(CL30=1,1,--AND(IF($AC30&gt;0,INDEX(CL$7:CL$106,$AC30),1),IF($AD30&gt;0,INDEX(CL$7:CL$106,$AD30),1),IF($AE30&gt;0,INDEX(CL$7:CL$106,$AE30),1),IF($AF30&gt;0,INDEX(CL$7:CL$106,$AF30),1),IF($AG30&gt;0,INDEX(CL$7:CL$106,$AG30),1),IF($AH30&gt;0,INDEX(CL$7:CL$106,$AH30),1),IF($AI30&gt;0,INDEX(CL$7:CL$106,$AI30),1),IF($AJ30&gt;0,INDEX(CL$7:CL$106,$AJ30),1))))</ns0:f>
        <ns0:v>1</ns0:v>
      </ns0:c>
      <ns0:c r="CN30" t="n">
        <ns0:f>IF($A30="",1,IF(CM30=1,1,--AND(IF($AC30&gt;0,INDEX(CM$7:CM$106,$AC30),1),IF($AD30&gt;0,INDEX(CM$7:CM$106,$AD30),1),IF($AE30&gt;0,INDEX(CM$7:CM$106,$AE30),1),IF($AF30&gt;0,INDEX(CM$7:CM$106,$AF30),1),IF($AG30&gt;0,INDEX(CM$7:CM$106,$AG30),1),IF($AH30&gt;0,INDEX(CM$7:CM$106,$AH30),1),IF($AI30&gt;0,INDEX(CM$7:CM$106,$AI30),1),IF($AJ30&gt;0,INDEX(CM$7:CM$106,$AJ30),1))))</ns0:f>
        <ns0:v>1</ns0:v>
      </ns0:c>
      <ns0:c r="CO30" t="n">
        <ns0:f>IF($A30="",1,IF(CN30=1,1,--AND(IF($AC30&gt;0,INDEX(CN$7:CN$106,$AC30),1),IF($AD30&gt;0,INDEX(CN$7:CN$106,$AD30),1),IF($AE30&gt;0,INDEX(CN$7:CN$106,$AE30),1),IF($AF30&gt;0,INDEX(CN$7:CN$106,$AF30),1),IF($AG30&gt;0,INDEX(CN$7:CN$106,$AG30),1),IF($AH30&gt;0,INDEX(CN$7:CN$106,$AH30),1),IF($AI30&gt;0,INDEX(CN$7:CN$106,$AI30),1),IF($AJ30&gt;0,INDEX(CN$7:CN$106,$AJ30),1))))</ns0:f>
        <ns0:v>1</ns0:v>
      </ns0:c>
      <ns0:c r="CP30" t="n">
        <ns0:f>IF($A30="",1,IF(CO30=1,1,--AND(IF($AC30&gt;0,INDEX(CO$7:CO$106,$AC30),1),IF($AD30&gt;0,INDEX(CO$7:CO$106,$AD30),1),IF($AE30&gt;0,INDEX(CO$7:CO$106,$AE30),1),IF($AF30&gt;0,INDEX(CO$7:CO$106,$AF30),1),IF($AG30&gt;0,INDEX(CO$7:CO$106,$AG30),1),IF($AH30&gt;0,INDEX(CO$7:CO$106,$AH30),1),IF($AI30&gt;0,INDEX(CO$7:CO$106,$AI30),1),IF($AJ30&gt;0,INDEX(CO$7:CO$106,$AJ30),1))))</ns0:f>
        <ns0:v>1</ns0:v>
      </ns0:c>
      <ns0:c r="CQ30" t="n">
        <ns0:f>IF($A30="",1,IF(CP30=1,1,--AND(IF($AC30&gt;0,INDEX(CP$7:CP$106,$AC30),1),IF($AD30&gt;0,INDEX(CP$7:CP$106,$AD30),1),IF($AE30&gt;0,INDEX(CP$7:CP$106,$AE30),1),IF($AF30&gt;0,INDEX(CP$7:CP$106,$AF30),1),IF($AG30&gt;0,INDEX(CP$7:CP$106,$AG30),1),IF($AH30&gt;0,INDEX(CP$7:CP$106,$AH30),1),IF($AI30&gt;0,INDEX(CP$7:CP$106,$AI30),1),IF($AJ30&gt;0,INDEX(CP$7:CP$106,$AJ30),1))))</ns0:f>
        <ns0:v>1</ns0:v>
      </ns0:c>
      <ns0:c r="CR30" t="n">
        <ns0:f>IF($A30="",1,IF(CQ30=1,1,--AND(IF($AC30&gt;0,INDEX(CQ$7:CQ$106,$AC30),1),IF($AD30&gt;0,INDEX(CQ$7:CQ$106,$AD30),1),IF($AE30&gt;0,INDEX(CQ$7:CQ$106,$AE30),1),IF($AF30&gt;0,INDEX(CQ$7:CQ$106,$AF30),1),IF($AG30&gt;0,INDEX(CQ$7:CQ$106,$AG30),1),IF($AH30&gt;0,INDEX(CQ$7:CQ$106,$AH30),1),IF($AI30&gt;0,INDEX(CQ$7:CQ$106,$AI30),1),IF($AJ30&gt;0,INDEX(CQ$7:CQ$106,$AJ30),1))))</ns0:f>
        <ns0:v>1</ns0:v>
      </ns0:c>
      <ns0:c r="CS30" t="n">
        <ns0:f>IF($A30="",1,IF(CR30=1,1,--AND(IF($AC30&gt;0,INDEX(CR$7:CR$106,$AC30),1),IF($AD30&gt;0,INDEX(CR$7:CR$106,$AD30),1),IF($AE30&gt;0,INDEX(CR$7:CR$106,$AE30),1),IF($AF30&gt;0,INDEX(CR$7:CR$106,$AF30),1),IF($AG30&gt;0,INDEX(CR$7:CR$106,$AG30),1),IF($AH30&gt;0,INDEX(CR$7:CR$106,$AH30),1),IF($AI30&gt;0,INDEX(CR$7:CR$106,$AI30),1),IF($AJ30&gt;0,INDEX(CR$7:CR$106,$AJ30),1))))</ns0:f>
        <ns0:v>1</ns0:v>
      </ns0:c>
      <ns0:c r="CT30" t="n">
        <ns0:f>IF($A30="",1,IF(CS30=1,1,--AND(IF($AC30&gt;0,INDEX(CS$7:CS$106,$AC30),1),IF($AD30&gt;0,INDEX(CS$7:CS$106,$AD30),1),IF($AE30&gt;0,INDEX(CS$7:CS$106,$AE30),1),IF($AF30&gt;0,INDEX(CS$7:CS$106,$AF30),1),IF($AG30&gt;0,INDEX(CS$7:CS$106,$AG30),1),IF($AH30&gt;0,INDEX(CS$7:CS$106,$AH30),1),IF($AI30&gt;0,INDEX(CS$7:CS$106,$AI30),1),IF($AJ30&gt;0,INDEX(CS$7:CS$106,$AJ30),1))))</ns0:f>
        <ns0:v>1</ns0:v>
      </ns0:c>
      <ns0:c r="CU30" t="n">
        <ns0:f>IF($A30="",1,IF(CT30=1,1,--AND(IF($AC30&gt;0,INDEX(CT$7:CT$106,$AC30),1),IF($AD30&gt;0,INDEX(CT$7:CT$106,$AD30),1),IF($AE30&gt;0,INDEX(CT$7:CT$106,$AE30),1),IF($AF30&gt;0,INDEX(CT$7:CT$106,$AF30),1),IF($AG30&gt;0,INDEX(CT$7:CT$106,$AG30),1),IF($AH30&gt;0,INDEX(CT$7:CT$106,$AH30),1),IF($AI30&gt;0,INDEX(CT$7:CT$106,$AI30),1),IF($AJ30&gt;0,INDEX(CT$7:CT$106,$AJ30),1))))</ns0:f>
        <ns0:v>1</ns0:v>
      </ns0:c>
      <ns0:c r="CV30" t="n">
        <ns0:f>IF($A30="",1,IF(CU30=1,1,--AND(IF($AC30&gt;0,INDEX(CU$7:CU$106,$AC30),1),IF($AD30&gt;0,INDEX(CU$7:CU$106,$AD30),1),IF($AE30&gt;0,INDEX(CU$7:CU$106,$AE30),1),IF($AF30&gt;0,INDEX(CU$7:CU$106,$AF30),1),IF($AG30&gt;0,INDEX(CU$7:CU$106,$AG30),1),IF($AH30&gt;0,INDEX(CU$7:CU$106,$AH30),1),IF($AI30&gt;0,INDEX(CU$7:CU$106,$AI30),1),IF($AJ30&gt;0,INDEX(CU$7:CU$106,$AJ30),1))))</ns0:f>
        <ns0:v>1</ns0:v>
      </ns0:c>
      <ns0:c r="CW30" t="n">
        <ns0:f>IF($A30="",1,IF(CV30=1,1,--AND(IF($AC30&gt;0,INDEX(CV$7:CV$106,$AC30),1),IF($AD30&gt;0,INDEX(CV$7:CV$106,$AD30),1),IF($AE30&gt;0,INDEX(CV$7:CV$106,$AE30),1),IF($AF30&gt;0,INDEX(CV$7:CV$106,$AF30),1),IF($AG30&gt;0,INDEX(CV$7:CV$106,$AG30),1),IF($AH30&gt;0,INDEX(CV$7:CV$106,$AH30),1),IF($AI30&gt;0,INDEX(CV$7:CV$106,$AI30),1),IF($AJ30&gt;0,INDEX(CV$7:CV$106,$AJ30),1))))</ns0:f>
        <ns0:v>1</ns0:v>
      </ns0:c>
      <ns0:c r="CX30" t="n">
        <ns0:f>IF($A30="",1,IF(CW30=1,1,--AND(IF($AC30&gt;0,INDEX(CW$7:CW$106,$AC30),1),IF($AD30&gt;0,INDEX(CW$7:CW$106,$AD30),1),IF($AE30&gt;0,INDEX(CW$7:CW$106,$AE30),1),IF($AF30&gt;0,INDEX(CW$7:CW$106,$AF30),1),IF($AG30&gt;0,INDEX(CW$7:CW$106,$AG30),1),IF($AH30&gt;0,INDEX(CW$7:CW$106,$AH30),1),IF($AI30&gt;0,INDEX(CW$7:CW$106,$AI30),1),IF($AJ30&gt;0,INDEX(CW$7:CW$106,$AJ30),1))))</ns0:f>
        <ns0:v>1</ns0:v>
      </ns0:c>
      <ns0:c r="CY30" t="n">
        <ns0:f>IF($A30="",1,IF(CX30=1,1,--AND(IF($AC30&gt;0,INDEX(CX$7:CX$106,$AC30),1),IF($AD30&gt;0,INDEX(CX$7:CX$106,$AD30),1),IF($AE30&gt;0,INDEX(CX$7:CX$106,$AE30),1),IF($AF30&gt;0,INDEX(CX$7:CX$106,$AF30),1),IF($AG30&gt;0,INDEX(CX$7:CX$106,$AG30),1),IF($AH30&gt;0,INDEX(CX$7:CX$106,$AH30),1),IF($AI30&gt;0,INDEX(CX$7:CX$106,$AI30),1),IF($AJ30&gt;0,INDEX(CX$7:CX$106,$AJ30),1))))</ns0:f>
        <ns0:v>1</ns0:v>
      </ns0:c>
      <ns0:c r="CZ30" t="n">
        <ns0:f>IF($A30="",1,IF(CY30=1,1,--AND(IF($AC30&gt;0,INDEX(CY$7:CY$106,$AC30),1),IF($AD30&gt;0,INDEX(CY$7:CY$106,$AD30),1),IF($AE30&gt;0,INDEX(CY$7:CY$106,$AE30),1),IF($AF30&gt;0,INDEX(CY$7:CY$106,$AF30),1),IF($AG30&gt;0,INDEX(CY$7:CY$106,$AG30),1),IF($AH30&gt;0,INDEX(CY$7:CY$106,$AH30),1),IF($AI30&gt;0,INDEX(CY$7:CY$106,$AI30),1),IF($AJ30&gt;0,INDEX(CY$7:CY$106,$AJ30),1))))</ns0:f>
        <ns0:v>1</ns0:v>
      </ns0:c>
      <ns0:c r="DA30" t="n">
        <ns0:f>IF($A30="",1,IF(CZ30=1,1,--AND(IF($AC30&gt;0,INDEX(CZ$7:CZ$106,$AC30),1),IF($AD30&gt;0,INDEX(CZ$7:CZ$106,$AD30),1),IF($AE30&gt;0,INDEX(CZ$7:CZ$106,$AE30),1),IF($AF30&gt;0,INDEX(CZ$7:CZ$106,$AF30),1),IF($AG30&gt;0,INDEX(CZ$7:CZ$106,$AG30),1),IF($AH30&gt;0,INDEX(CZ$7:CZ$106,$AH30),1),IF($AI30&gt;0,INDEX(CZ$7:CZ$106,$AI30),1),IF($AJ30&gt;0,INDEX(CZ$7:CZ$106,$AJ30),1))))</ns0:f>
        <ns0:v>1</ns0:v>
      </ns0:c>
      <ns0:c r="DB30" t="n">
        <ns0:f>IF($A30="",1,IF(DA30=1,1,--AND(IF($AC30&gt;0,INDEX(DA$7:DA$106,$AC30),1),IF($AD30&gt;0,INDEX(DA$7:DA$106,$AD30),1),IF($AE30&gt;0,INDEX(DA$7:DA$106,$AE30),1),IF($AF30&gt;0,INDEX(DA$7:DA$106,$AF30),1),IF($AG30&gt;0,INDEX(DA$7:DA$106,$AG30),1),IF($AH30&gt;0,INDEX(DA$7:DA$106,$AH30),1),IF($AI30&gt;0,INDEX(DA$7:DA$106,$AI30),1),IF($AJ30&gt;0,INDEX(DA$7:DA$106,$AJ30),1))))</ns0:f>
        <ns0:v>1</ns0:v>
      </ns0:c>
      <ns0:c r="DC30" t="n">
        <ns0:f>IF($A30="",1,IF(DB30=1,1,--AND(IF($AC30&gt;0,INDEX(DB$7:DB$106,$AC30),1),IF($AD30&gt;0,INDEX(DB$7:DB$106,$AD30),1),IF($AE30&gt;0,INDEX(DB$7:DB$106,$AE30),1),IF($AF30&gt;0,INDEX(DB$7:DB$106,$AF30),1),IF($AG30&gt;0,INDEX(DB$7:DB$106,$AG30),1),IF($AH30&gt;0,INDEX(DB$7:DB$106,$AH30),1),IF($AI30&gt;0,INDEX(DB$7:DB$106,$AI30),1),IF($AJ30&gt;0,INDEX(DB$7:DB$106,$AJ30),1))))</ns0:f>
        <ns0:v>1</ns0:v>
      </ns0:c>
      <ns0:c r="DD30" t="n">
        <ns0:f>IF($A30="",1,IF(DC30=1,1,--AND(IF($AC30&gt;0,INDEX(DC$7:DC$106,$AC30),1),IF($AD30&gt;0,INDEX(DC$7:DC$106,$AD30),1),IF($AE30&gt;0,INDEX(DC$7:DC$106,$AE30),1),IF($AF30&gt;0,INDEX(DC$7:DC$106,$AF30),1),IF($AG30&gt;0,INDEX(DC$7:DC$106,$AG30),1),IF($AH30&gt;0,INDEX(DC$7:DC$106,$AH30),1),IF($AI30&gt;0,INDEX(DC$7:DC$106,$AI30),1),IF($AJ30&gt;0,INDEX(DC$7:DC$106,$AJ30),1))))</ns0:f>
        <ns0:v>1</ns0:v>
      </ns0:c>
      <ns0:c r="DE30" t="n">
        <ns0:f>IF($A30="",1,IF(DD30=1,1,--AND(IF($AC30&gt;0,INDEX(DD$7:DD$106,$AC30),1),IF($AD30&gt;0,INDEX(DD$7:DD$106,$AD30),1),IF($AE30&gt;0,INDEX(DD$7:DD$106,$AE30),1),IF($AF30&gt;0,INDEX(DD$7:DD$106,$AF30),1),IF($AG30&gt;0,INDEX(DD$7:DD$106,$AG30),1),IF($AH30&gt;0,INDEX(DD$7:DD$106,$AH30),1),IF($AI30&gt;0,INDEX(DD$7:DD$106,$AI30),1),IF($AJ30&gt;0,INDEX(DD$7:DD$106,$AJ30),1))))</ns0:f>
        <ns0:v>1</ns0:v>
      </ns0:c>
      <ns0:c r="DF30" t="n">
        <ns0:f>IF($A30="",1,IF(DE30=1,1,--AND(IF($AC30&gt;0,INDEX(DE$7:DE$106,$AC30),1),IF($AD30&gt;0,INDEX(DE$7:DE$106,$AD30),1),IF($AE30&gt;0,INDEX(DE$7:DE$106,$AE30),1),IF($AF30&gt;0,INDEX(DE$7:DE$106,$AF30),1),IF($AG30&gt;0,INDEX(DE$7:DE$106,$AG30),1),IF($AH30&gt;0,INDEX(DE$7:DE$106,$AH30),1),IF($AI30&gt;0,INDEX(DE$7:DE$106,$AI30),1),IF($AJ30&gt;0,INDEX(DE$7:DE$106,$AJ30),1))))</ns0:f>
        <ns0:v>1</ns0:v>
      </ns0:c>
      <ns0:c r="DG30" t="n">
        <ns0:f>IF($A30="",1,IF(DF30=1,1,--AND(IF($AC30&gt;0,INDEX(DF$7:DF$106,$AC30),1),IF($AD30&gt;0,INDEX(DF$7:DF$106,$AD30),1),IF($AE30&gt;0,INDEX(DF$7:DF$106,$AE30),1),IF($AF30&gt;0,INDEX(DF$7:DF$106,$AF30),1),IF($AG30&gt;0,INDEX(DF$7:DF$106,$AG30),1),IF($AH30&gt;0,INDEX(DF$7:DF$106,$AH30),1),IF($AI30&gt;0,INDEX(DF$7:DF$106,$AI30),1),IF($AJ30&gt;0,INDEX(DF$7:DF$106,$AJ30),1))))</ns0:f>
        <ns0:v>1</ns0:v>
      </ns0:c>
      <ns0:c r="DH30" t="n">
        <ns0:f>IF($A30="",1,IF(DG30=1,1,--AND(IF($AC30&gt;0,INDEX(DG$7:DG$106,$AC30),1),IF($AD30&gt;0,INDEX(DG$7:DG$106,$AD30),1),IF($AE30&gt;0,INDEX(DG$7:DG$106,$AE30),1),IF($AF30&gt;0,INDEX(DG$7:DG$106,$AF30),1),IF($AG30&gt;0,INDEX(DG$7:DG$106,$AG30),1),IF($AH30&gt;0,INDEX(DG$7:DG$106,$AH30),1),IF($AI30&gt;0,INDEX(DG$7:DG$106,$AI30),1),IF($AJ30&gt;0,INDEX(DG$7:DG$106,$AJ30),1))))</ns0:f>
        <ns0:v>1</ns0:v>
      </ns0:c>
      <ns0:c r="DI30" t="n">
        <ns0:f>IF($A30="",1,IF(DH30=1,1,--AND(IF($AC30&gt;0,INDEX(DH$7:DH$106,$AC30),1),IF($AD30&gt;0,INDEX(DH$7:DH$106,$AD30),1),IF($AE30&gt;0,INDEX(DH$7:DH$106,$AE30),1),IF($AF30&gt;0,INDEX(DH$7:DH$106,$AF30),1),IF($AG30&gt;0,INDEX(DH$7:DH$106,$AG30),1),IF($AH30&gt;0,INDEX(DH$7:DH$106,$AH30),1),IF($AI30&gt;0,INDEX(DH$7:DH$106,$AI30),1),IF($AJ30&gt;0,INDEX(DH$7:DH$106,$AJ30),1))))</ns0:f>
        <ns0:v>1</ns0:v>
      </ns0:c>
      <ns0:c r="DJ30" t="n">
        <ns0:f>IF($A30="",1,IF(DI30=1,1,--AND(IF($AC30&gt;0,INDEX(DI$7:DI$106,$AC30),1),IF($AD30&gt;0,INDEX(DI$7:DI$106,$AD30),1),IF($AE30&gt;0,INDEX(DI$7:DI$106,$AE30),1),IF($AF30&gt;0,INDEX(DI$7:DI$106,$AF30),1),IF($AG30&gt;0,INDEX(DI$7:DI$106,$AG30),1),IF($AH30&gt;0,INDEX(DI$7:DI$106,$AH30),1),IF($AI30&gt;0,INDEX(DI$7:DI$106,$AI30),1),IF($AJ30&gt;0,INDEX(DI$7:DI$106,$AJ30),1))))</ns0:f>
        <ns0:v>1</ns0:v>
      </ns0:c>
      <ns0:c r="DK30" t="n">
        <ns0:f>IF($A30="",1,IF(DJ30=1,1,--AND(IF($AC30&gt;0,INDEX(DJ$7:DJ$106,$AC30),1),IF($AD30&gt;0,INDEX(DJ$7:DJ$106,$AD30),1),IF($AE30&gt;0,INDEX(DJ$7:DJ$106,$AE30),1),IF($AF30&gt;0,INDEX(DJ$7:DJ$106,$AF30),1),IF($AG30&gt;0,INDEX(DJ$7:DJ$106,$AG30),1),IF($AH30&gt;0,INDEX(DJ$7:DJ$106,$AH30),1),IF($AI30&gt;0,INDEX(DJ$7:DJ$106,$AI30),1),IF($AJ30&gt;0,INDEX(DJ$7:DJ$106,$AJ30),1))))</ns0:f>
        <ns0:v>1</ns0:v>
      </ns0:c>
      <ns0:c r="DL30" t="n">
        <ns0:f>IF($A30="",1,IF(DK30=1,1,--AND(IF($AC30&gt;0,INDEX(DK$7:DK$106,$AC30),1),IF($AD30&gt;0,INDEX(DK$7:DK$106,$AD30),1),IF($AE30&gt;0,INDEX(DK$7:DK$106,$AE30),1),IF($AF30&gt;0,INDEX(DK$7:DK$106,$AF30),1),IF($AG30&gt;0,INDEX(DK$7:DK$106,$AG30),1),IF($AH30&gt;0,INDEX(DK$7:DK$106,$AH30),1),IF($AI30&gt;0,INDEX(DK$7:DK$106,$AI30),1),IF($AJ30&gt;0,INDEX(DK$7:DK$106,$AJ30),1))))</ns0:f>
        <ns0:v>1</ns0:v>
      </ns0:c>
      <ns0:c r="DM30" t="n">
        <ns0:f>IF($A30="",1,IF(DL30=1,1,--AND(IF($AC30&gt;0,INDEX(DL$7:DL$106,$AC30),1),IF($AD30&gt;0,INDEX(DL$7:DL$106,$AD30),1),IF($AE30&gt;0,INDEX(DL$7:DL$106,$AE30),1),IF($AF30&gt;0,INDEX(DL$7:DL$106,$AF30),1),IF($AG30&gt;0,INDEX(DL$7:DL$106,$AG30),1),IF($AH30&gt;0,INDEX(DL$7:DL$106,$AH30),1),IF($AI30&gt;0,INDEX(DL$7:DL$106,$AI30),1),IF($AJ30&gt;0,INDEX(DL$7:DL$106,$AJ30),1))))</ns0:f>
        <ns0:v>1</ns0:v>
      </ns0:c>
      <ns0:c r="DN30" t="n">
        <ns0:f>IF($A30="",1,IF(DM30=1,1,--AND(IF($AC30&gt;0,INDEX(DM$7:DM$106,$AC30),1),IF($AD30&gt;0,INDEX(DM$7:DM$106,$AD30),1),IF($AE30&gt;0,INDEX(DM$7:DM$106,$AE30),1),IF($AF30&gt;0,INDEX(DM$7:DM$106,$AF30),1),IF($AG30&gt;0,INDEX(DM$7:DM$106,$AG30),1),IF($AH30&gt;0,INDEX(DM$7:DM$106,$AH30),1),IF($AI30&gt;0,INDEX(DM$7:DM$106,$AI30),1),IF($AJ30&gt;0,INDEX(DM$7:DM$106,$AJ30),1))))</ns0:f>
        <ns0:v>1</ns0:v>
      </ns0:c>
      <ns0:c r="DO30" t="n">
        <ns0:f>IF($A30="",1,IF(DN30=1,1,--AND(IF($AC30&gt;0,INDEX(DN$7:DN$106,$AC30),1),IF($AD30&gt;0,INDEX(DN$7:DN$106,$AD30),1),IF($AE30&gt;0,INDEX(DN$7:DN$106,$AE30),1),IF($AF30&gt;0,INDEX(DN$7:DN$106,$AF30),1),IF($AG30&gt;0,INDEX(DN$7:DN$106,$AG30),1),IF($AH30&gt;0,INDEX(DN$7:DN$106,$AH30),1),IF($AI30&gt;0,INDEX(DN$7:DN$106,$AI30),1),IF($AJ30&gt;0,INDEX(DN$7:DN$106,$AJ30),1))))</ns0:f>
        <ns0:v>1</ns0:v>
      </ns0:c>
      <ns0:c r="DP30" t="n">
        <ns0:f>IF($A30="",1,IF(DO30=1,1,--AND(IF($AC30&gt;0,INDEX(DO$7:DO$106,$AC30),1),IF($AD30&gt;0,INDEX(DO$7:DO$106,$AD30),1),IF($AE30&gt;0,INDEX(DO$7:DO$106,$AE30),1),IF($AF30&gt;0,INDEX(DO$7:DO$106,$AF30),1),IF($AG30&gt;0,INDEX(DO$7:DO$106,$AG30),1),IF($AH30&gt;0,INDEX(DO$7:DO$106,$AH30),1),IF($AI30&gt;0,INDEX(DO$7:DO$106,$AI30),1),IF($AJ30&gt;0,INDEX(DO$7:DO$106,$AJ30),1))))</ns0:f>
        <ns0:v>1</ns0:v>
      </ns0:c>
      <ns0:c r="DQ30" t="n">
        <ns0:f>IF($A30="",1,IF(DP30=1,1,--AND(IF($AC30&gt;0,INDEX(DP$7:DP$106,$AC30),1),IF($AD30&gt;0,INDEX(DP$7:DP$106,$AD30),1),IF($AE30&gt;0,INDEX(DP$7:DP$106,$AE30),1),IF($AF30&gt;0,INDEX(DP$7:DP$106,$AF30),1),IF($AG30&gt;0,INDEX(DP$7:DP$106,$AG30),1),IF($AH30&gt;0,INDEX(DP$7:DP$106,$AH30),1),IF($AI30&gt;0,INDEX(DP$7:DP$106,$AI30),1),IF($AJ30&gt;0,INDEX(DP$7:DP$106,$AJ30),1))))</ns0:f>
        <ns0:v>1</ns0:v>
      </ns0:c>
      <ns0:c r="DR30" t="n">
        <ns0:f>IF($A30="",1,IF(DQ30=1,1,--AND(IF($AC30&gt;0,INDEX(DQ$7:DQ$106,$AC30),1),IF($AD30&gt;0,INDEX(DQ$7:DQ$106,$AD30),1),IF($AE30&gt;0,INDEX(DQ$7:DQ$106,$AE30),1),IF($AF30&gt;0,INDEX(DQ$7:DQ$106,$AF30),1),IF($AG30&gt;0,INDEX(DQ$7:DQ$106,$AG30),1),IF($AH30&gt;0,INDEX(DQ$7:DQ$106,$AH30),1),IF($AI30&gt;0,INDEX(DQ$7:DQ$106,$AI30),1),IF($AJ30&gt;0,INDEX(DQ$7:DQ$106,$AJ30),1))))</ns0:f>
        <ns0:v>1</ns0:v>
      </ns0:c>
      <ns0:c r="DS30" t="n">
        <ns0:f>IF($A30="",1,IF(DR30=1,1,--AND(IF($AC30&gt;0,INDEX(DR$7:DR$106,$AC30),1),IF($AD30&gt;0,INDEX(DR$7:DR$106,$AD30),1),IF($AE30&gt;0,INDEX(DR$7:DR$106,$AE30),1),IF($AF30&gt;0,INDEX(DR$7:DR$106,$AF30),1),IF($AG30&gt;0,INDEX(DR$7:DR$106,$AG30),1),IF($AH30&gt;0,INDEX(DR$7:DR$106,$AH30),1),IF($AI30&gt;0,INDEX(DR$7:DR$106,$AI30),1),IF($AJ30&gt;0,INDEX(DR$7:DR$106,$AJ30),1))))</ns0:f>
        <ns0:v>1</ns0:v>
      </ns0:c>
      <ns0:c r="DT30" t="n">
        <ns0:f>IF($A30="",1,IF(DS30=1,1,--AND(IF($AC30&gt;0,INDEX(DS$7:DS$106,$AC30),1),IF($AD30&gt;0,INDEX(DS$7:DS$106,$AD30),1),IF($AE30&gt;0,INDEX(DS$7:DS$106,$AE30),1),IF($AF30&gt;0,INDEX(DS$7:DS$106,$AF30),1),IF($AG30&gt;0,INDEX(DS$7:DS$106,$AG30),1),IF($AH30&gt;0,INDEX(DS$7:DS$106,$AH30),1),IF($AI30&gt;0,INDEX(DS$7:DS$106,$AI30),1),IF($AJ30&gt;0,INDEX(DS$7:DS$106,$AJ30),1))))</ns0:f>
        <ns0:v>1</ns0:v>
      </ns0:c>
      <ns0:c r="DU30" t="n">
        <ns0:f>IF($A30="",1,IF(DT30=1,1,--AND(IF($AC30&gt;0,INDEX(DT$7:DT$106,$AC30),1),IF($AD30&gt;0,INDEX(DT$7:DT$106,$AD30),1),IF($AE30&gt;0,INDEX(DT$7:DT$106,$AE30),1),IF($AF30&gt;0,INDEX(DT$7:DT$106,$AF30),1),IF($AG30&gt;0,INDEX(DT$7:DT$106,$AG30),1),IF($AH30&gt;0,INDEX(DT$7:DT$106,$AH30),1),IF($AI30&gt;0,INDEX(DT$7:DT$106,$AI30),1),IF($AJ30&gt;0,INDEX(DT$7:DT$106,$AJ30),1))))</ns0:f>
        <ns0:v>1</ns0:v>
      </ns0:c>
      <ns0:c r="DV30" t="n">
        <ns0:f>IF($A30="",1,IF(DU30=1,1,--AND(IF($AC30&gt;0,INDEX(DU$7:DU$106,$AC30),1),IF($AD30&gt;0,INDEX(DU$7:DU$106,$AD30),1),IF($AE30&gt;0,INDEX(DU$7:DU$106,$AE30),1),IF($AF30&gt;0,INDEX(DU$7:DU$106,$AF30),1),IF($AG30&gt;0,INDEX(DU$7:DU$106,$AG30),1),IF($AH30&gt;0,INDEX(DU$7:DU$106,$AH30),1),IF($AI30&gt;0,INDEX(DU$7:DU$106,$AI30),1),IF($AJ30&gt;0,INDEX(DU$7:DU$106,$AJ30),1))))</ns0:f>
        <ns0:v>1</ns0:v>
      </ns0:c>
      <ns0:c r="DW30" t="n">
        <ns0:f>IF($A30="",1,IF(DV30=1,1,--AND(IF($AC30&gt;0,INDEX(DV$7:DV$106,$AC30),1),IF($AD30&gt;0,INDEX(DV$7:DV$106,$AD30),1),IF($AE30&gt;0,INDEX(DV$7:DV$106,$AE30),1),IF($AF30&gt;0,INDEX(DV$7:DV$106,$AF30),1),IF($AG30&gt;0,INDEX(DV$7:DV$106,$AG30),1),IF($AH30&gt;0,INDEX(DV$7:DV$106,$AH30),1),IF($AI30&gt;0,INDEX(DV$7:DV$106,$AI30),1),IF($AJ30&gt;0,INDEX(DV$7:DV$106,$AJ30),1))))</ns0:f>
        <ns0:v>1</ns0:v>
      </ns0:c>
      <ns0:c r="DX30" t="n">
        <ns0:f>IF($A30="",1,IF(DW30=1,1,--AND(IF($AC30&gt;0,INDEX(DW$7:DW$106,$AC30),1),IF($AD30&gt;0,INDEX(DW$7:DW$106,$AD30),1),IF($AE30&gt;0,INDEX(DW$7:DW$106,$AE30),1),IF($AF30&gt;0,INDEX(DW$7:DW$106,$AF30),1),IF($AG30&gt;0,INDEX(DW$7:DW$106,$AG30),1),IF($AH30&gt;0,INDEX(DW$7:DW$106,$AH30),1),IF($AI30&gt;0,INDEX(DW$7:DW$106,$AI30),1),IF($AJ30&gt;0,INDEX(DW$7:DW$106,$AJ30),1))))</ns0:f>
        <ns0:v>1</ns0:v>
      </ns0:c>
      <ns0:c r="DY30" t="n">
        <ns0:f>IF($A30="",1,IF(DX30=1,1,--AND(IF($AC30&gt;0,INDEX(DX$7:DX$106,$AC30),1),IF($AD30&gt;0,INDEX(DX$7:DX$106,$AD30),1),IF($AE30&gt;0,INDEX(DX$7:DX$106,$AE30),1),IF($AF30&gt;0,INDEX(DX$7:DX$106,$AF30),1),IF($AG30&gt;0,INDEX(DX$7:DX$106,$AG30),1),IF($AH30&gt;0,INDEX(DX$7:DX$106,$AH30),1),IF($AI30&gt;0,INDEX(DX$7:DX$106,$AI30),1),IF($AJ30&gt;0,INDEX(DX$7:DX$106,$AJ30),1))))</ns0:f>
        <ns0:v>1</ns0:v>
      </ns0:c>
      <ns0:c r="DZ30" t="n">
        <ns0:f>IF($A30="",1,IF(DY30=1,1,--AND(IF($AC30&gt;0,INDEX(DY$7:DY$106,$AC30),1),IF($AD30&gt;0,INDEX(DY$7:DY$106,$AD30),1),IF($AE30&gt;0,INDEX(DY$7:DY$106,$AE30),1),IF($AF30&gt;0,INDEX(DY$7:DY$106,$AF30),1),IF($AG30&gt;0,INDEX(DY$7:DY$106,$AG30),1),IF($AH30&gt;0,INDEX(DY$7:DY$106,$AH30),1),IF($AI30&gt;0,INDEX(DY$7:DY$106,$AI30),1),IF($AJ30&gt;0,INDEX(DY$7:DY$106,$AJ30),1))))</ns0:f>
        <ns0:v>1</ns0:v>
      </ns0:c>
      <ns0:c r="EA30" t="n">
        <ns0:f>IF($A30="",1,IF(DZ30=1,1,--AND(IF($AC30&gt;0,INDEX(DZ$7:DZ$106,$AC30),1),IF($AD30&gt;0,INDEX(DZ$7:DZ$106,$AD30),1),IF($AE30&gt;0,INDEX(DZ$7:DZ$106,$AE30),1),IF($AF30&gt;0,INDEX(DZ$7:DZ$106,$AF30),1),IF($AG30&gt;0,INDEX(DZ$7:DZ$106,$AG30),1),IF($AH30&gt;0,INDEX(DZ$7:DZ$106,$AH30),1),IF($AI30&gt;0,INDEX(DZ$7:DZ$106,$AI30),1),IF($AJ30&gt;0,INDEX(DZ$7:DZ$106,$AJ30),1))))</ns0:f>
        <ns0:v>1</ns0:v>
      </ns0:c>
      <ns0:c r="EB30" t="n">
        <ns0:f>IF($A30="",1,IF(EA30=1,1,--AND(IF($AC30&gt;0,INDEX(EA$7:EA$106,$AC30),1),IF($AD30&gt;0,INDEX(EA$7:EA$106,$AD30),1),IF($AE30&gt;0,INDEX(EA$7:EA$106,$AE30),1),IF($AF30&gt;0,INDEX(EA$7:EA$106,$AF30),1),IF($AG30&gt;0,INDEX(EA$7:EA$106,$AG30),1),IF($AH30&gt;0,INDEX(EA$7:EA$106,$AH30),1),IF($AI30&gt;0,INDEX(EA$7:EA$106,$AI30),1),IF($AJ30&gt;0,INDEX(EA$7:EA$106,$AJ30),1))))</ns0:f>
        <ns0:v>1</ns0:v>
      </ns0:c>
      <ns0:c r="EC30" t="n">
        <ns0:f>IF($A30="",1,IF(EB30=1,1,--AND(IF($AC30&gt;0,INDEX(EB$7:EB$106,$AC30),1),IF($AD30&gt;0,INDEX(EB$7:EB$106,$AD30),1),IF($AE30&gt;0,INDEX(EB$7:EB$106,$AE30),1),IF($AF30&gt;0,INDEX(EB$7:EB$106,$AF30),1),IF($AG30&gt;0,INDEX(EB$7:EB$106,$AG30),1),IF($AH30&gt;0,INDEX(EB$7:EB$106,$AH30),1),IF($AI30&gt;0,INDEX(EB$7:EB$106,$AI30),1),IF($AJ30&gt;0,INDEX(EB$7:EB$106,$AJ30),1))))</ns0:f>
        <ns0:v>1</ns0:v>
      </ns0:c>
      <ns0:c r="ED30" t="n">
        <ns0:f>IF($A30="",1,IF(EC30=1,1,--AND(IF($AC30&gt;0,INDEX(EC$7:EC$106,$AC30),1),IF($AD30&gt;0,INDEX(EC$7:EC$106,$AD30),1),IF($AE30&gt;0,INDEX(EC$7:EC$106,$AE30),1),IF($AF30&gt;0,INDEX(EC$7:EC$106,$AF30),1),IF($AG30&gt;0,INDEX(EC$7:EC$106,$AG30),1),IF($AH30&gt;0,INDEX(EC$7:EC$106,$AH30),1),IF($AI30&gt;0,INDEX(EC$7:EC$106,$AI30),1),IF($AJ30&gt;0,INDEX(EC$7:EC$106,$AJ30),1))))</ns0:f>
        <ns0:v>1</ns0:v>
      </ns0:c>
      <ns0:c r="EE30" t="n">
        <ns0:f>IF($A30="",1,IF(ED30=1,1,--AND(IF($AC30&gt;0,INDEX(ED$7:ED$106,$AC30),1),IF($AD30&gt;0,INDEX(ED$7:ED$106,$AD30),1),IF($AE30&gt;0,INDEX(ED$7:ED$106,$AE30),1),IF($AF30&gt;0,INDEX(ED$7:ED$106,$AF30),1),IF($AG30&gt;0,INDEX(ED$7:ED$106,$AG30),1),IF($AH30&gt;0,INDEX(ED$7:ED$106,$AH30),1),IF($AI30&gt;0,INDEX(ED$7:ED$106,$AI30),1),IF($AJ30&gt;0,INDEX(ED$7:ED$106,$AJ30),1))))</ns0:f>
        <ns0:v>1</ns0:v>
      </ns0:c>
      <ns0:c r="EF30" t="n">
        <ns0:f>IF($A30="",1,IF(EE30=1,1,--AND(IF($AC30&gt;0,INDEX(EE$7:EE$106,$AC30),1),IF($AD30&gt;0,INDEX(EE$7:EE$106,$AD30),1),IF($AE30&gt;0,INDEX(EE$7:EE$106,$AE30),1),IF($AF30&gt;0,INDEX(EE$7:EE$106,$AF30),1),IF($AG30&gt;0,INDEX(EE$7:EE$106,$AG30),1),IF($AH30&gt;0,INDEX(EE$7:EE$106,$AH30),1),IF($AI30&gt;0,INDEX(EE$7:EE$106,$AI30),1),IF($AJ30&gt;0,INDEX(EE$7:EE$106,$AJ30),1))))</ns0:f>
        <ns0:v>1</ns0:v>
      </ns0:c>
      <ns0:c r="EG30" t="n">
        <ns0:f>IF($A30="",1,IF(EF30=1,1,--AND(IF($AC30&gt;0,INDEX(EF$7:EF$106,$AC30),1),IF($AD30&gt;0,INDEX(EF$7:EF$106,$AD30),1),IF($AE30&gt;0,INDEX(EF$7:EF$106,$AE30),1),IF($AF30&gt;0,INDEX(EF$7:EF$106,$AF30),1),IF($AG30&gt;0,INDEX(EF$7:EF$106,$AG30),1),IF($AH30&gt;0,INDEX(EF$7:EF$106,$AH30),1),IF($AI30&gt;0,INDEX(EF$7:EF$106,$AI30),1),IF($AJ30&gt;0,INDEX(EF$7:EF$106,$AJ30),1))))</ns0:f>
        <ns0:v>1</ns0:v>
      </ns0:c>
      <ns0:c r="EH30" t="n">
        <ns0:f>IF($A30="",1,IF(EG30=1,1,--AND(IF($AC30&gt;0,INDEX(EG$7:EG$106,$AC30),1),IF($AD30&gt;0,INDEX(EG$7:EG$106,$AD30),1),IF($AE30&gt;0,INDEX(EG$7:EG$106,$AE30),1),IF($AF30&gt;0,INDEX(EG$7:EG$106,$AF30),1),IF($AG30&gt;0,INDEX(EG$7:EG$106,$AG30),1),IF($AH30&gt;0,INDEX(EG$7:EG$106,$AH30),1),IF($AI30&gt;0,INDEX(EG$7:EG$106,$AI30),1),IF($AJ30&gt;0,INDEX(EG$7:EG$106,$AJ30),1))))</ns0:f>
        <ns0:v>1</ns0:v>
      </ns0:c>
      <ns0:c r="EI30" t="n">
        <ns0:f>IF($A30="",1,IF(EH30=1,1,--AND(IF($AC30&gt;0,INDEX(EH$7:EH$106,$AC30),1),IF($AD30&gt;0,INDEX(EH$7:EH$106,$AD30),1),IF($AE30&gt;0,INDEX(EH$7:EH$106,$AE30),1),IF($AF30&gt;0,INDEX(EH$7:EH$106,$AF30),1),IF($AG30&gt;0,INDEX(EH$7:EH$106,$AG30),1),IF($AH30&gt;0,INDEX(EH$7:EH$106,$AH30),1),IF($AI30&gt;0,INDEX(EH$7:EH$106,$AI30),1),IF($AJ30&gt;0,INDEX(EH$7:EH$106,$AJ30),1))))</ns0:f>
        <ns0:v>1</ns0:v>
      </ns0:c>
      <ns0:c r="EJ30" t="n">
        <ns0:f>IF($A30="",1,IF(EI30=1,1,--AND(IF($AC30&gt;0,INDEX(EI$7:EI$106,$AC30),1),IF($AD30&gt;0,INDEX(EI$7:EI$106,$AD30),1),IF($AE30&gt;0,INDEX(EI$7:EI$106,$AE30),1),IF($AF30&gt;0,INDEX(EI$7:EI$106,$AF30),1),IF($AG30&gt;0,INDEX(EI$7:EI$106,$AG30),1),IF($AH30&gt;0,INDEX(EI$7:EI$106,$AH30),1),IF($AI30&gt;0,INDEX(EI$7:EI$106,$AI30),1),IF($AJ30&gt;0,INDEX(EI$7:EI$106,$AJ30),1))))</ns0:f>
        <ns0:v>1</ns0:v>
      </ns0:c>
      <ns0:c r="EK30" t="n">
        <ns0:f>IF($A30="",1,IF(EJ30=1,1,--AND(IF($AC30&gt;0,INDEX(EJ$7:EJ$106,$AC30),1),IF($AD30&gt;0,INDEX(EJ$7:EJ$106,$AD30),1),IF($AE30&gt;0,INDEX(EJ$7:EJ$106,$AE30),1),IF($AF30&gt;0,INDEX(EJ$7:EJ$106,$AF30),1),IF($AG30&gt;0,INDEX(EJ$7:EJ$106,$AG30),1),IF($AH30&gt;0,INDEX(EJ$7:EJ$106,$AH30),1),IF($AI30&gt;0,INDEX(EJ$7:EJ$106,$AI30),1),IF($AJ30&gt;0,INDEX(EJ$7:EJ$106,$AJ30),1))))</ns0:f>
        <ns0:v>1</ns0:v>
      </ns0:c>
      <ns0:c r="EL30" t="n">
        <ns0:f>IF($A30="",1,IF(EK30=1,1,--AND(IF($AC30&gt;0,INDEX(EK$7:EK$106,$AC30),1),IF($AD30&gt;0,INDEX(EK$7:EK$106,$AD30),1),IF($AE30&gt;0,INDEX(EK$7:EK$106,$AE30),1),IF($AF30&gt;0,INDEX(EK$7:EK$106,$AF30),1),IF($AG30&gt;0,INDEX(EK$7:EK$106,$AG30),1),IF($AH30&gt;0,INDEX(EK$7:EK$106,$AH30),1),IF($AI30&gt;0,INDEX(EK$7:EK$106,$AI30),1),IF($AJ30&gt;0,INDEX(EK$7:EK$106,$AJ30),1))))</ns0:f>
        <ns0:v>1</ns0:v>
      </ns0:c>
      <ns0:c r="EM30" t="n">
        <ns0:f>IF($A30="",1,IF(EL30=1,1,--AND(IF($AC30&gt;0,INDEX(EL$7:EL$106,$AC30),1),IF($AD30&gt;0,INDEX(EL$7:EL$106,$AD30),1),IF($AE30&gt;0,INDEX(EL$7:EL$106,$AE30),1),IF($AF30&gt;0,INDEX(EL$7:EL$106,$AF30),1),IF($AG30&gt;0,INDEX(EL$7:EL$106,$AG30),1),IF($AH30&gt;0,INDEX(EL$7:EL$106,$AH30),1),IF($AI30&gt;0,INDEX(EL$7:EL$106,$AI30),1),IF($AJ30&gt;0,INDEX(EL$7:EL$106,$AJ30),1))))</ns0:f>
        <ns0:v>1</ns0:v>
      </ns0:c>
      <ns0:c r="EN30" t="n">
        <ns0:f>IF($A30="",1,IF(EM30=1,1,--AND(IF($AC30&gt;0,INDEX(EM$7:EM$106,$AC30),1),IF($AD30&gt;0,INDEX(EM$7:EM$106,$AD30),1),IF($AE30&gt;0,INDEX(EM$7:EM$106,$AE30),1),IF($AF30&gt;0,INDEX(EM$7:EM$106,$AF30),1),IF($AG30&gt;0,INDEX(EM$7:EM$106,$AG30),1),IF($AH30&gt;0,INDEX(EM$7:EM$106,$AH30),1),IF($AI30&gt;0,INDEX(EM$7:EM$106,$AI30),1),IF($AJ30&gt;0,INDEX(EM$7:EM$106,$AJ30),1))))</ns0:f>
        <ns0:v>1</ns0:v>
      </ns0:c>
      <ns0:c r="EO30" t="n">
        <ns0:f>IF($A30="",1,IF(EN30=1,1,--AND(IF($AC30&gt;0,INDEX(EN$7:EN$106,$AC30),1),IF($AD30&gt;0,INDEX(EN$7:EN$106,$AD30),1),IF($AE30&gt;0,INDEX(EN$7:EN$106,$AE30),1),IF($AF30&gt;0,INDEX(EN$7:EN$106,$AF30),1),IF($AG30&gt;0,INDEX(EN$7:EN$106,$AG30),1),IF($AH30&gt;0,INDEX(EN$7:EN$106,$AH30),1),IF($AI30&gt;0,INDEX(EN$7:EN$106,$AI30),1),IF($AJ30&gt;0,INDEX(EN$7:EN$106,$AJ30),1))))</ns0:f>
        <ns0:v>1</ns0:v>
      </ns0:c>
      <ns0:c r="EP30" t="n">
        <ns0:f>IF($A30="",1,IF(EO30=1,1,--AND(IF($AC30&gt;0,INDEX(EO$7:EO$106,$AC30),1),IF($AD30&gt;0,INDEX(EO$7:EO$106,$AD30),1),IF($AE30&gt;0,INDEX(EO$7:EO$106,$AE30),1),IF($AF30&gt;0,INDEX(EO$7:EO$106,$AF30),1),IF($AG30&gt;0,INDEX(EO$7:EO$106,$AG30),1),IF($AH30&gt;0,INDEX(EO$7:EO$106,$AH30),1),IF($AI30&gt;0,INDEX(EO$7:EO$106,$AI30),1),IF($AJ30&gt;0,INDEX(EO$7:EO$106,$AJ30),1))))</ns0:f>
        <ns0:v>1</ns0:v>
      </ns0:c>
      <ns0:c r="EQ30" t="n">
        <ns0:f>IF(OR(A30="",NOT(ISNUMBER(G30))),0,G30*N30)</ns0:f>
        <ns0:v>0</ns0:v>
      </ns0:c>
    </ns0:row>
    <ns0:row r="31" ht="62" customHeight="1">
      <ns0:c r="A31" s="48" t="str">
        <ns0:v>M4</ns0:v>
      </ns0:c>
      <ns0:c r="B31" s="48" t="str">
        <ns0:v>Intelligence &amp; assets</ns0:v>
      </ns0:c>
      <ns0:c r="C31" s="48" t="str">
        <ns0:v>Domain Intelligence Ingestion &amp; Asset Synthesis Complete</ns0:v>
      </ns0:c>
      <ns0:c r="D31" s="48" t="str">
        <ns0:v>Explicit project checkpoint. Mark complete only after linked work is accepted.</ns0:v>
      </ns0:c>
      <ns0:c r="E31" s="49" t="n">
        <ns0:v>46297</ns0:v>
      </ns0:c>
      <ns0:c r="F31" s="49" t="n">
        <ns0:v>46297</ns0:v>
      </ns0:c>
      <ns0:c r="G31" s="13" t="n">
        <ns0:f>IF(A31="","",IF(OR(NOT(ISNUMBER(E31)),NOT(ISNUMBER(F31)),F31&lt;E31),"",IF(J31="Yes",0,F31-E31+1)))</ns0:f>
        <ns0:v>0</ns0:v>
      </ns0:c>
      <ns0:c r="H31" s="48" t="str">
        <ns0:v>T15,T16,T17,T18,T19,T20,T21</ns0:v>
      </ns0:c>
      <ns0:c r="I31" s="48" t="str">
        <ns0:v>FF</ns0:v>
      </ns0:c>
      <ns0:c r="J31" s="48" t="str">
        <ns0:v>Yes</ns0:v>
      </ns0:c>
      <ns0:c r="K31" s="48" t="str">
        <ns0:v>Unassigned</ns0:v>
      </ns0:c>
      <ns0:c r="L31" s="48" t="str"/>
      <ns0:c r="M31" s="50" t="str">
        <ns0:f>IF(A31="","",IF(N31=1,"Completed",IF(N31&gt;0,"In Progress","Not Started")))</ns0:f>
        <ns0:v>Not Started</ns0:v>
      </ns0:c>
      <ns0:c r="N31" s="51" t="n">
        <ns0:v>0</ns0:v>
      </ns0:c>
      <ns0:c r="O31" s="13" t="str">
        <ns0:f>IF(A31="","",IF(R31&lt;&gt;"","[CONFLICT] "&amp;R31,IF(S31&lt;&gt;"","[CONFLICT] "&amp;S31,IF(OR(NOT(ISNUMBER(N31)),N31&lt;0,N31&gt;1),"[CONFLICT] Invalid progress",IF(AK31&gt;0,"[DEPENDENCY ISSUE] Missing ID / &gt;8 links",IF(AM31&gt;0,"[DEPENDENCY ISSUE] Cycle or blocked by cycle",IF(AND(H31&lt;&gt;"",ISNA(MATCH(I31,{"FS","SS","FF","SF"},0))),"[DEPENDENCY ISSUE] Invalid type",IF(AL31&gt;0,"[DEPENDENCY ISSUE] Timing conflict",IF(OR(E31&lt;ProjectStart,F31&gt;ProjectEnd),"[OUTSIDE WINDOW]",IF(AND(N31&lt;1,F31&lt;AsOfDate),"Overdue",IF(AND(M31&lt;&gt;Q31,M31&lt;&gt;""),"[CONFLICT] Status / progress","On track")))))))))))</ns0:f>
        <ns0:v>On track</ns0:v>
      </ns0:c>
      <ns0:c r="P31" s="52" t="str">
        <ns0:v>Source: Project Plan Essentials (2).md §3. Source checkpoint date retained (source labels all dates [INFERRED]). [INFERRED] FF link permits completion-day checkpoint. Owner missing.</ns0:v>
      </ns0:c>
      <ns0:c r="Q31" t="str">
        <ns0:f>IF(A31="","",IF(OR(M31="On Hold",M31="Delayed"),M31,IF(N31=1,"Completed",IF(N31&gt;0,"In Progress","Not Started"))))</ns0:f>
        <ns0:v>Not Started</ns0:v>
      </ns0:c>
      <ns0:c r="R31" t="str">
        <ns0:f>IF(A31="","",IF(COUNTIFS(Tasks[Task ID],A31)&lt;&gt;1,"Duplicate ID",""))</ns0:f>
      </ns0:c>
      <ns0:c r="S31" t="str">
        <ns0:f>IF(A31="","",IF(OR(NOT(ISNUMBER(E31)),NOT(ISNUMBER(F31))),"Invalid / missing date",IF(OR(E31&lt;&gt;INT(E31),F31&lt;&gt;INT(F31),E31&lt;1,F31&gt;2958465),"Invalid date",IF(F31&lt;E31,"End before start",IF(AND(J31="Yes",E31&lt;&gt;F31),"Milestone needs one date","")))))</ns0:f>
      </ns0:c>
      <ns0:c r="T31" t="n">
        <ns0:f>IF(H31="",0,LEN(H31)-LEN(SUBSTITUTE(H31,",",""))+1)</ns0:f>
        <ns0:v>7</ns0:v>
      </ns0:c>
      <ns0:c r="U31" t="str">
        <ns0:f>TRIM(MID(SUBSTITUTE($H31,",",REPT(" ",100)),1,100))</ns0:f>
        <ns0:v>T15</ns0:v>
      </ns0:c>
      <ns0:c r="V31" t="str">
        <ns0:f>TRIM(MID(SUBSTITUTE($H31,",",REPT(" ",100)),101,100))</ns0:f>
        <ns0:v>T16</ns0:v>
      </ns0:c>
      <ns0:c r="W31" t="str">
        <ns0:f>TRIM(MID(SUBSTITUTE($H31,",",REPT(" ",100)),201,100))</ns0:f>
        <ns0:v>T17</ns0:v>
      </ns0:c>
      <ns0:c r="X31" t="str">
        <ns0:f>TRIM(MID(SUBSTITUTE($H31,",",REPT(" ",100)),301,100))</ns0:f>
        <ns0:v>T18</ns0:v>
      </ns0:c>
      <ns0:c r="Y31" t="str">
        <ns0:f>TRIM(MID(SUBSTITUTE($H31,",",REPT(" ",100)),401,100))</ns0:f>
        <ns0:v>T19</ns0:v>
      </ns0:c>
      <ns0:c r="Z31" t="str">
        <ns0:f>TRIM(MID(SUBSTITUTE($H31,",",REPT(" ",100)),501,100))</ns0:f>
        <ns0:v>T20</ns0:v>
      </ns0:c>
      <ns0:c r="AA31" t="str">
        <ns0:f>TRIM(MID(SUBSTITUTE($H31,",",REPT(" ",100)),601,100))</ns0:f>
        <ns0:v>T21</ns0:v>
      </ns0:c>
      <ns0:c r="AB31" t="str">
        <ns0:f>TRIM(MID(SUBSTITUTE($H31,",",REPT(" ",100)),701,100))</ns0:f>
      </ns0:c>
      <ns0:c r="AC31" t="n">
        <ns0:f>IF(U31="",0,IF(COUNTIFS(Tasks[Task ID],U31)=1,MATCH(U31,Tasks[Task ID],0),-1))</ns0:f>
        <ns0:v>18</ns0:v>
      </ns0:c>
      <ns0:c r="AD31" t="n">
        <ns0:f>IF(V31="",0,IF(COUNTIFS(Tasks[Task ID],V31)=1,MATCH(V31,Tasks[Task ID],0),-1))</ns0:f>
        <ns0:v>19</ns0:v>
      </ns0:c>
      <ns0:c r="AE31" t="n">
        <ns0:f>IF(W31="",0,IF(COUNTIFS(Tasks[Task ID],W31)=1,MATCH(W31,Tasks[Task ID],0),-1))</ns0:f>
        <ns0:v>20</ns0:v>
      </ns0:c>
      <ns0:c r="AF31" t="n">
        <ns0:f>IF(X31="",0,IF(COUNTIFS(Tasks[Task ID],X31)=1,MATCH(X31,Tasks[Task ID],0),-1))</ns0:f>
        <ns0:v>21</ns0:v>
      </ns0:c>
      <ns0:c r="AG31" t="n">
        <ns0:f>IF(Y31="",0,IF(COUNTIFS(Tasks[Task ID],Y31)=1,MATCH(Y31,Tasks[Task ID],0),-1))</ns0:f>
        <ns0:v>22</ns0:v>
      </ns0:c>
      <ns0:c r="AH31" t="n">
        <ns0:f>IF(Z31="",0,IF(COUNTIFS(Tasks[Task ID],Z31)=1,MATCH(Z31,Tasks[Task ID],0),-1))</ns0:f>
        <ns0:v>23</ns0:v>
      </ns0:c>
      <ns0:c r="AI31" t="n">
        <ns0:f>IF(AA31="",0,IF(COUNTIFS(Tasks[Task ID],AA31)=1,MATCH(AA31,Tasks[Task ID],0),-1))</ns0:f>
        <ns0:v>24</ns0:v>
      </ns0:c>
      <ns0:c r="AJ31" t="n">
        <ns0:f>IF(AB31="",0,IF(COUNTIFS(Tasks[Task ID],AB31)=1,MATCH(AB31,Tasks[Task ID],0),-1))</ns0:f>
        <ns0:v>0</ns0:v>
      </ns0:c>
      <ns0:c r="AK31" t="n">
        <ns0:f>COUNTIFS(AC31:AJ31,-1)+IF(T31&gt;8,1,0)</ns0:f>
        <ns0:v>0</ns0:v>
      </ns0:c>
      <ns0:c r="AL31" t="n">
        <ns0:f>IF(OR(A31="",S31&lt;&gt;""),0,SUM(IF(AC31&gt;0,IF($I31="FS",--($E31&lt;INDEX(Tasks[End Date],AC31)+IF(INDEX(Tasks[Milestone],AC31)="Yes",0,1)),IF($I31="SS",--($E31&lt;INDEX(Tasks[Start Date],AC31)),IF($I31="FF",--($F31&lt;INDEX(Tasks[End Date],AC31)),IF($I31="SF",--($F31&lt;INDEX(Tasks[Start Date],AC31)),0)))),0),IF(AD31&gt;0,IF($I31="FS",--($E31&lt;INDEX(Tasks[End Date],AD31)+IF(INDEX(Tasks[Milestone],AD31)="Yes",0,1)),IF($I31="SS",--($E31&lt;INDEX(Tasks[Start Date],AD31)),IF($I31="FF",--($F31&lt;INDEX(Tasks[End Date],AD31)),IF($I31="SF",--($F31&lt;INDEX(Tasks[Start Date],AD31)),0)))),0),IF(AE31&gt;0,IF($I31="FS",--($E31&lt;INDEX(Tasks[End Date],AE31)+IF(INDEX(Tasks[Milestone],AE31)="Yes",0,1)),IF($I31="SS",--($E31&lt;INDEX(Tasks[Start Date],AE31)),IF($I31="FF",--($F31&lt;INDEX(Tasks[End Date],AE31)),IF($I31="SF",--($F31&lt;INDEX(Tasks[Start Date],AE31)),0)))),0),IF(AF31&gt;0,IF($I31="FS",--($E31&lt;INDEX(Tasks[End Date],AF31)+IF(INDEX(Tasks[Milestone],AF31)="Yes",0,1)),IF($I31="SS",--($E31&lt;INDEX(Tasks[Start Date],AF31)),IF($I31="FF",--($F31&lt;INDEX(Tasks[End Date],AF31)),IF($I31="SF",--($F31&lt;INDEX(Tasks[Start Date],AF31)),0)))),0),IF(AG31&gt;0,IF($I31="FS",--($E31&lt;INDEX(Tasks[End Date],AG31)+IF(INDEX(Tasks[Milestone],AG31)="Yes",0,1)),IF($I31="SS",--($E31&lt;INDEX(Tasks[Start Date],AG31)),IF($I31="FF",--($F31&lt;INDEX(Tasks[End Date],AG31)),IF($I31="SF",--($F31&lt;INDEX(Tasks[Start Date],AG31)),0)))),0),IF(AH31&gt;0,IF($I31="FS",--($E31&lt;INDEX(Tasks[End Date],AH31)+IF(INDEX(Tasks[Milestone],AH31)="Yes",0,1)),IF($I31="SS",--($E31&lt;INDEX(Tasks[Start Date],AH31)),IF($I31="FF",--($F31&lt;INDEX(Tasks[End Date],AH31)),IF($I31="SF",--($F31&lt;INDEX(Tasks[Start Date],AH31)),0)))),0),IF(AI31&gt;0,IF($I31="FS",--($E31&lt;INDEX(Tasks[End Date],AI31)+IF(INDEX(Tasks[Milestone],AI31)="Yes",0,1)),IF($I31="SS",--($E31&lt;INDEX(Tasks[Start Date],AI31)),IF($I31="FF",--($F31&lt;INDEX(Tasks[End Date],AI31)),IF($I31="SF",--($F31&lt;INDEX(Tasks[Start Date],AI31)),0)))),0),IF(AJ31&gt;0,IF($I31="FS",--($E31&lt;INDEX(Tasks[End Date],AJ31)+IF(INDEX(Tasks[Milestone],AJ31)="Yes",0,1)),IF($I31="SS",--($E31&lt;INDEX(Tasks[Start Date],AJ31)),IF($I31="FF",--($F31&lt;INDEX(Tasks[End Date],AJ31)),IF($I31="SF",--($F31&lt;INDEX(Tasks[Start Date],AJ31)),0)))),0)))</ns0:f>
        <ns0:v>0</ns0:v>
      </ns0:c>
      <ns0:c r="AM31" t="n">
        <ns0:f>IF(AND(A31&lt;&gt;"",AK31=0,EP31=0),1,0)</ns0:f>
        <ns0:v>0</ns0:v>
      </ns0:c>
      <ns0:c r="AN31" t="str">
        <ns0:f>IF(OR(A31="",B31=""),"",IF(COUNTIFS($B$7:B31,B31)=1,MAX($AN$6:AN30)+1,""))</ns0:f>
      </ns0:c>
      <ns0:c r="AO31" t="n">
        <ns0:f>IF(AND(A31&lt;&gt;"",J31="No",N31&lt;1,E31&gt;=AsOfDate),E31+ROW()/10000,1E+9)</ns0:f>
        <ns0:v>1000000000</ns0:v>
      </ns0:c>
      <ns0:c r="AP31" t="n">
        <ns0:f>IF(AND(A31&lt;&gt;"",J31="Yes",N31&lt;1,E31&gt;=AsOfDate),E31+ROW()/10000,1E+9)</ns0:f>
        <ns0:v>46297.0031</ns0:v>
      </ns0:c>
      <ns0:c r="AQ31" t="n">
        <ns0:f>IF(AND(A31&lt;&gt;"",J31="No",N31&lt;1,F31&gt;=AsOfDate,F31&lt;=AsOfDate+7),F31+ROW()/10000,1E+9)</ns0:f>
        <ns0:v>1000000000</ns0:v>
      </ns0:c>
      <ns0:c r="AR31" t="n">
        <ns0:f>IF(AND(A31&lt;&gt;"",OR(O31&lt;&gt;"On track",Q31="Delayed")),ROW(),1E+9)</ns0:f>
        <ns0:v>1000000000</ns0:v>
      </ns0:c>
      <ns0:c r="AS31" t="str">
        <ns0:f>IF(A31="","",";"&amp;K31&amp;";")</ns0:f>
        <ns0:v>;Unassigned;</ns0:v>
      </ns0:c>
      <ns0:c r="AT31" t="n">
        <ns0:f>IF(A31="",1,--(T31=0))</ns0:f>
        <ns0:v>0</ns0:v>
      </ns0:c>
      <ns0:c r="AU31" t="n">
        <ns0:f>IF($A31="",1,IF(AT31=1,1,--AND(IF($AC31&gt;0,INDEX(AT$7:AT$106,$AC31),1),IF($AD31&gt;0,INDEX(AT$7:AT$106,$AD31),1),IF($AE31&gt;0,INDEX(AT$7:AT$106,$AE31),1),IF($AF31&gt;0,INDEX(AT$7:AT$106,$AF31),1),IF($AG31&gt;0,INDEX(AT$7:AT$106,$AG31),1),IF($AH31&gt;0,INDEX(AT$7:AT$106,$AH31),1),IF($AI31&gt;0,INDEX(AT$7:AT$106,$AI31),1),IF($AJ31&gt;0,INDEX(AT$7:AT$106,$AJ31),1))))</ns0:f>
        <ns0:v>0</ns0:v>
      </ns0:c>
      <ns0:c r="AV31" t="n">
        <ns0:f>IF($A31="",1,IF(AU31=1,1,--AND(IF($AC31&gt;0,INDEX(AU$7:AU$106,$AC31),1),IF($AD31&gt;0,INDEX(AU$7:AU$106,$AD31),1),IF($AE31&gt;0,INDEX(AU$7:AU$106,$AE31),1),IF($AF31&gt;0,INDEX(AU$7:AU$106,$AF31),1),IF($AG31&gt;0,INDEX(AU$7:AU$106,$AG31),1),IF($AH31&gt;0,INDEX(AU$7:AU$106,$AH31),1),IF($AI31&gt;0,INDEX(AU$7:AU$106,$AI31),1),IF($AJ31&gt;0,INDEX(AU$7:AU$106,$AJ31),1))))</ns0:f>
        <ns0:v>0</ns0:v>
      </ns0:c>
      <ns0:c r="AW31" t="n">
        <ns0:f>IF($A31="",1,IF(AV31=1,1,--AND(IF($AC31&gt;0,INDEX(AV$7:AV$106,$AC31),1),IF($AD31&gt;0,INDEX(AV$7:AV$106,$AD31),1),IF($AE31&gt;0,INDEX(AV$7:AV$106,$AE31),1),IF($AF31&gt;0,INDEX(AV$7:AV$106,$AF31),1),IF($AG31&gt;0,INDEX(AV$7:AV$106,$AG31),1),IF($AH31&gt;0,INDEX(AV$7:AV$106,$AH31),1),IF($AI31&gt;0,INDEX(AV$7:AV$106,$AI31),1),IF($AJ31&gt;0,INDEX(AV$7:AV$106,$AJ31),1))))</ns0:f>
        <ns0:v>0</ns0:v>
      </ns0:c>
      <ns0:c r="AX31" t="n">
        <ns0:f>IF($A31="",1,IF(AW31=1,1,--AND(IF($AC31&gt;0,INDEX(AW$7:AW$106,$AC31),1),IF($AD31&gt;0,INDEX(AW$7:AW$106,$AD31),1),IF($AE31&gt;0,INDEX(AW$7:AW$106,$AE31),1),IF($AF31&gt;0,INDEX(AW$7:AW$106,$AF31),1),IF($AG31&gt;0,INDEX(AW$7:AW$106,$AG31),1),IF($AH31&gt;0,INDEX(AW$7:AW$106,$AH31),1),IF($AI31&gt;0,INDEX(AW$7:AW$106,$AI31),1),IF($AJ31&gt;0,INDEX(AW$7:AW$106,$AJ31),1))))</ns0:f>
        <ns0:v>0</ns0:v>
      </ns0:c>
      <ns0:c r="AY31" t="n">
        <ns0:f>IF($A31="",1,IF(AX31=1,1,--AND(IF($AC31&gt;0,INDEX(AX$7:AX$106,$AC31),1),IF($AD31&gt;0,INDEX(AX$7:AX$106,$AD31),1),IF($AE31&gt;0,INDEX(AX$7:AX$106,$AE31),1),IF($AF31&gt;0,INDEX(AX$7:AX$106,$AF31),1),IF($AG31&gt;0,INDEX(AX$7:AX$106,$AG31),1),IF($AH31&gt;0,INDEX(AX$7:AX$106,$AH31),1),IF($AI31&gt;0,INDEX(AX$7:AX$106,$AI31),1),IF($AJ31&gt;0,INDEX(AX$7:AX$106,$AJ31),1))))</ns0:f>
        <ns0:v>0</ns0:v>
      </ns0:c>
      <ns0:c r="AZ31" t="n">
        <ns0:f>IF($A31="",1,IF(AY31=1,1,--AND(IF($AC31&gt;0,INDEX(AY$7:AY$106,$AC31),1),IF($AD31&gt;0,INDEX(AY$7:AY$106,$AD31),1),IF($AE31&gt;0,INDEX(AY$7:AY$106,$AE31),1),IF($AF31&gt;0,INDEX(AY$7:AY$106,$AF31),1),IF($AG31&gt;0,INDEX(AY$7:AY$106,$AG31),1),IF($AH31&gt;0,INDEX(AY$7:AY$106,$AH31),1),IF($AI31&gt;0,INDEX(AY$7:AY$106,$AI31),1),IF($AJ31&gt;0,INDEX(AY$7:AY$106,$AJ31),1))))</ns0:f>
        <ns0:v>0</ns0:v>
      </ns0:c>
      <ns0:c r="BA31" t="n">
        <ns0:f>IF($A31="",1,IF(AZ31=1,1,--AND(IF($AC31&gt;0,INDEX(AZ$7:AZ$106,$AC31),1),IF($AD31&gt;0,INDEX(AZ$7:AZ$106,$AD31),1),IF($AE31&gt;0,INDEX(AZ$7:AZ$106,$AE31),1),IF($AF31&gt;0,INDEX(AZ$7:AZ$106,$AF31),1),IF($AG31&gt;0,INDEX(AZ$7:AZ$106,$AG31),1),IF($AH31&gt;0,INDEX(AZ$7:AZ$106,$AH31),1),IF($AI31&gt;0,INDEX(AZ$7:AZ$106,$AI31),1),IF($AJ31&gt;0,INDEX(AZ$7:AZ$106,$AJ31),1))))</ns0:f>
        <ns0:v>0</ns0:v>
      </ns0:c>
      <ns0:c r="BB31" t="n">
        <ns0:f>IF($A31="",1,IF(BA31=1,1,--AND(IF($AC31&gt;0,INDEX(BA$7:BA$106,$AC31),1),IF($AD31&gt;0,INDEX(BA$7:BA$106,$AD31),1),IF($AE31&gt;0,INDEX(BA$7:BA$106,$AE31),1),IF($AF31&gt;0,INDEX(BA$7:BA$106,$AF31),1),IF($AG31&gt;0,INDEX(BA$7:BA$106,$AG31),1),IF($AH31&gt;0,INDEX(BA$7:BA$106,$AH31),1),IF($AI31&gt;0,INDEX(BA$7:BA$106,$AI31),1),IF($AJ31&gt;0,INDEX(BA$7:BA$106,$AJ31),1))))</ns0:f>
        <ns0:v>0</ns0:v>
      </ns0:c>
      <ns0:c r="BC31" t="n">
        <ns0:f>IF($A31="",1,IF(BB31=1,1,--AND(IF($AC31&gt;0,INDEX(BB$7:BB$106,$AC31),1),IF($AD31&gt;0,INDEX(BB$7:BB$106,$AD31),1),IF($AE31&gt;0,INDEX(BB$7:BB$106,$AE31),1),IF($AF31&gt;0,INDEX(BB$7:BB$106,$AF31),1),IF($AG31&gt;0,INDEX(BB$7:BB$106,$AG31),1),IF($AH31&gt;0,INDEX(BB$7:BB$106,$AH31),1),IF($AI31&gt;0,INDEX(BB$7:BB$106,$AI31),1),IF($AJ31&gt;0,INDEX(BB$7:BB$106,$AJ31),1))))</ns0:f>
        <ns0:v>1</ns0:v>
      </ns0:c>
      <ns0:c r="BD31" t="n">
        <ns0:f>IF($A31="",1,IF(BC31=1,1,--AND(IF($AC31&gt;0,INDEX(BC$7:BC$106,$AC31),1),IF($AD31&gt;0,INDEX(BC$7:BC$106,$AD31),1),IF($AE31&gt;0,INDEX(BC$7:BC$106,$AE31),1),IF($AF31&gt;0,INDEX(BC$7:BC$106,$AF31),1),IF($AG31&gt;0,INDEX(BC$7:BC$106,$AG31),1),IF($AH31&gt;0,INDEX(BC$7:BC$106,$AH31),1),IF($AI31&gt;0,INDEX(BC$7:BC$106,$AI31),1),IF($AJ31&gt;0,INDEX(BC$7:BC$106,$AJ31),1))))</ns0:f>
        <ns0:v>1</ns0:v>
      </ns0:c>
      <ns0:c r="BE31" t="n">
        <ns0:f>IF($A31="",1,IF(BD31=1,1,--AND(IF($AC31&gt;0,INDEX(BD$7:BD$106,$AC31),1),IF($AD31&gt;0,INDEX(BD$7:BD$106,$AD31),1),IF($AE31&gt;0,INDEX(BD$7:BD$106,$AE31),1),IF($AF31&gt;0,INDEX(BD$7:BD$106,$AF31),1),IF($AG31&gt;0,INDEX(BD$7:BD$106,$AG31),1),IF($AH31&gt;0,INDEX(BD$7:BD$106,$AH31),1),IF($AI31&gt;0,INDEX(BD$7:BD$106,$AI31),1),IF($AJ31&gt;0,INDEX(BD$7:BD$106,$AJ31),1))))</ns0:f>
        <ns0:v>1</ns0:v>
      </ns0:c>
      <ns0:c r="BF31" t="n">
        <ns0:f>IF($A31="",1,IF(BE31=1,1,--AND(IF($AC31&gt;0,INDEX(BE$7:BE$106,$AC31),1),IF($AD31&gt;0,INDEX(BE$7:BE$106,$AD31),1),IF($AE31&gt;0,INDEX(BE$7:BE$106,$AE31),1),IF($AF31&gt;0,INDEX(BE$7:BE$106,$AF31),1),IF($AG31&gt;0,INDEX(BE$7:BE$106,$AG31),1),IF($AH31&gt;0,INDEX(BE$7:BE$106,$AH31),1),IF($AI31&gt;0,INDEX(BE$7:BE$106,$AI31),1),IF($AJ31&gt;0,INDEX(BE$7:BE$106,$AJ31),1))))</ns0:f>
        <ns0:v>1</ns0:v>
      </ns0:c>
      <ns0:c r="BG31" t="n">
        <ns0:f>IF($A31="",1,IF(BF31=1,1,--AND(IF($AC31&gt;0,INDEX(BF$7:BF$106,$AC31),1),IF($AD31&gt;0,INDEX(BF$7:BF$106,$AD31),1),IF($AE31&gt;0,INDEX(BF$7:BF$106,$AE31),1),IF($AF31&gt;0,INDEX(BF$7:BF$106,$AF31),1),IF($AG31&gt;0,INDEX(BF$7:BF$106,$AG31),1),IF($AH31&gt;0,INDEX(BF$7:BF$106,$AH31),1),IF($AI31&gt;0,INDEX(BF$7:BF$106,$AI31),1),IF($AJ31&gt;0,INDEX(BF$7:BF$106,$AJ31),1))))</ns0:f>
        <ns0:v>1</ns0:v>
      </ns0:c>
      <ns0:c r="BH31" t="n">
        <ns0:f>IF($A31="",1,IF(BG31=1,1,--AND(IF($AC31&gt;0,INDEX(BG$7:BG$106,$AC31),1),IF($AD31&gt;0,INDEX(BG$7:BG$106,$AD31),1),IF($AE31&gt;0,INDEX(BG$7:BG$106,$AE31),1),IF($AF31&gt;0,INDEX(BG$7:BG$106,$AF31),1),IF($AG31&gt;0,INDEX(BG$7:BG$106,$AG31),1),IF($AH31&gt;0,INDEX(BG$7:BG$106,$AH31),1),IF($AI31&gt;0,INDEX(BG$7:BG$106,$AI31),1),IF($AJ31&gt;0,INDEX(BG$7:BG$106,$AJ31),1))))</ns0:f>
        <ns0:v>1</ns0:v>
      </ns0:c>
      <ns0:c r="BI31" t="n">
        <ns0:f>IF($A31="",1,IF(BH31=1,1,--AND(IF($AC31&gt;0,INDEX(BH$7:BH$106,$AC31),1),IF($AD31&gt;0,INDEX(BH$7:BH$106,$AD31),1),IF($AE31&gt;0,INDEX(BH$7:BH$106,$AE31),1),IF($AF31&gt;0,INDEX(BH$7:BH$106,$AF31),1),IF($AG31&gt;0,INDEX(BH$7:BH$106,$AG31),1),IF($AH31&gt;0,INDEX(BH$7:BH$106,$AH31),1),IF($AI31&gt;0,INDEX(BH$7:BH$106,$AI31),1),IF($AJ31&gt;0,INDEX(BH$7:BH$106,$AJ31),1))))</ns0:f>
        <ns0:v>1</ns0:v>
      </ns0:c>
      <ns0:c r="BJ31" t="n">
        <ns0:f>IF($A31="",1,IF(BI31=1,1,--AND(IF($AC31&gt;0,INDEX(BI$7:BI$106,$AC31),1),IF($AD31&gt;0,INDEX(BI$7:BI$106,$AD31),1),IF($AE31&gt;0,INDEX(BI$7:BI$106,$AE31),1),IF($AF31&gt;0,INDEX(BI$7:BI$106,$AF31),1),IF($AG31&gt;0,INDEX(BI$7:BI$106,$AG31),1),IF($AH31&gt;0,INDEX(BI$7:BI$106,$AH31),1),IF($AI31&gt;0,INDEX(BI$7:BI$106,$AI31),1),IF($AJ31&gt;0,INDEX(BI$7:BI$106,$AJ31),1))))</ns0:f>
        <ns0:v>1</ns0:v>
      </ns0:c>
      <ns0:c r="BK31" t="n">
        <ns0:f>IF($A31="",1,IF(BJ31=1,1,--AND(IF($AC31&gt;0,INDEX(BJ$7:BJ$106,$AC31),1),IF($AD31&gt;0,INDEX(BJ$7:BJ$106,$AD31),1),IF($AE31&gt;0,INDEX(BJ$7:BJ$106,$AE31),1),IF($AF31&gt;0,INDEX(BJ$7:BJ$106,$AF31),1),IF($AG31&gt;0,INDEX(BJ$7:BJ$106,$AG31),1),IF($AH31&gt;0,INDEX(BJ$7:BJ$106,$AH31),1),IF($AI31&gt;0,INDEX(BJ$7:BJ$106,$AI31),1),IF($AJ31&gt;0,INDEX(BJ$7:BJ$106,$AJ31),1))))</ns0:f>
        <ns0:v>1</ns0:v>
      </ns0:c>
      <ns0:c r="BL31" t="n">
        <ns0:f>IF($A31="",1,IF(BK31=1,1,--AND(IF($AC31&gt;0,INDEX(BK$7:BK$106,$AC31),1),IF($AD31&gt;0,INDEX(BK$7:BK$106,$AD31),1),IF($AE31&gt;0,INDEX(BK$7:BK$106,$AE31),1),IF($AF31&gt;0,INDEX(BK$7:BK$106,$AF31),1),IF($AG31&gt;0,INDEX(BK$7:BK$106,$AG31),1),IF($AH31&gt;0,INDEX(BK$7:BK$106,$AH31),1),IF($AI31&gt;0,INDEX(BK$7:BK$106,$AI31),1),IF($AJ31&gt;0,INDEX(BK$7:BK$106,$AJ31),1))))</ns0:f>
        <ns0:v>1</ns0:v>
      </ns0:c>
      <ns0:c r="BM31" t="n">
        <ns0:f>IF($A31="",1,IF(BL31=1,1,--AND(IF($AC31&gt;0,INDEX(BL$7:BL$106,$AC31),1),IF($AD31&gt;0,INDEX(BL$7:BL$106,$AD31),1),IF($AE31&gt;0,INDEX(BL$7:BL$106,$AE31),1),IF($AF31&gt;0,INDEX(BL$7:BL$106,$AF31),1),IF($AG31&gt;0,INDEX(BL$7:BL$106,$AG31),1),IF($AH31&gt;0,INDEX(BL$7:BL$106,$AH31),1),IF($AI31&gt;0,INDEX(BL$7:BL$106,$AI31),1),IF($AJ31&gt;0,INDEX(BL$7:BL$106,$AJ31),1))))</ns0:f>
        <ns0:v>1</ns0:v>
      </ns0:c>
      <ns0:c r="BN31" t="n">
        <ns0:f>IF($A31="",1,IF(BM31=1,1,--AND(IF($AC31&gt;0,INDEX(BM$7:BM$106,$AC31),1),IF($AD31&gt;0,INDEX(BM$7:BM$106,$AD31),1),IF($AE31&gt;0,INDEX(BM$7:BM$106,$AE31),1),IF($AF31&gt;0,INDEX(BM$7:BM$106,$AF31),1),IF($AG31&gt;0,INDEX(BM$7:BM$106,$AG31),1),IF($AH31&gt;0,INDEX(BM$7:BM$106,$AH31),1),IF($AI31&gt;0,INDEX(BM$7:BM$106,$AI31),1),IF($AJ31&gt;0,INDEX(BM$7:BM$106,$AJ31),1))))</ns0:f>
        <ns0:v>1</ns0:v>
      </ns0:c>
      <ns0:c r="BO31" t="n">
        <ns0:f>IF($A31="",1,IF(BN31=1,1,--AND(IF($AC31&gt;0,INDEX(BN$7:BN$106,$AC31),1),IF($AD31&gt;0,INDEX(BN$7:BN$106,$AD31),1),IF($AE31&gt;0,INDEX(BN$7:BN$106,$AE31),1),IF($AF31&gt;0,INDEX(BN$7:BN$106,$AF31),1),IF($AG31&gt;0,INDEX(BN$7:BN$106,$AG31),1),IF($AH31&gt;0,INDEX(BN$7:BN$106,$AH31),1),IF($AI31&gt;0,INDEX(BN$7:BN$106,$AI31),1),IF($AJ31&gt;0,INDEX(BN$7:BN$106,$AJ31),1))))</ns0:f>
        <ns0:v>1</ns0:v>
      </ns0:c>
      <ns0:c r="BP31" t="n">
        <ns0:f>IF($A31="",1,IF(BO31=1,1,--AND(IF($AC31&gt;0,INDEX(BO$7:BO$106,$AC31),1),IF($AD31&gt;0,INDEX(BO$7:BO$106,$AD31),1),IF($AE31&gt;0,INDEX(BO$7:BO$106,$AE31),1),IF($AF31&gt;0,INDEX(BO$7:BO$106,$AF31),1),IF($AG31&gt;0,INDEX(BO$7:BO$106,$AG31),1),IF($AH31&gt;0,INDEX(BO$7:BO$106,$AH31),1),IF($AI31&gt;0,INDEX(BO$7:BO$106,$AI31),1),IF($AJ31&gt;0,INDEX(BO$7:BO$106,$AJ31),1))))</ns0:f>
        <ns0:v>1</ns0:v>
      </ns0:c>
      <ns0:c r="BQ31" t="n">
        <ns0:f>IF($A31="",1,IF(BP31=1,1,--AND(IF($AC31&gt;0,INDEX(BP$7:BP$106,$AC31),1),IF($AD31&gt;0,INDEX(BP$7:BP$106,$AD31),1),IF($AE31&gt;0,INDEX(BP$7:BP$106,$AE31),1),IF($AF31&gt;0,INDEX(BP$7:BP$106,$AF31),1),IF($AG31&gt;0,INDEX(BP$7:BP$106,$AG31),1),IF($AH31&gt;0,INDEX(BP$7:BP$106,$AH31),1),IF($AI31&gt;0,INDEX(BP$7:BP$106,$AI31),1),IF($AJ31&gt;0,INDEX(BP$7:BP$106,$AJ31),1))))</ns0:f>
        <ns0:v>1</ns0:v>
      </ns0:c>
      <ns0:c r="BR31" t="n">
        <ns0:f>IF($A31="",1,IF(BQ31=1,1,--AND(IF($AC31&gt;0,INDEX(BQ$7:BQ$106,$AC31),1),IF($AD31&gt;0,INDEX(BQ$7:BQ$106,$AD31),1),IF($AE31&gt;0,INDEX(BQ$7:BQ$106,$AE31),1),IF($AF31&gt;0,INDEX(BQ$7:BQ$106,$AF31),1),IF($AG31&gt;0,INDEX(BQ$7:BQ$106,$AG31),1),IF($AH31&gt;0,INDEX(BQ$7:BQ$106,$AH31),1),IF($AI31&gt;0,INDEX(BQ$7:BQ$106,$AI31),1),IF($AJ31&gt;0,INDEX(BQ$7:BQ$106,$AJ31),1))))</ns0:f>
        <ns0:v>1</ns0:v>
      </ns0:c>
      <ns0:c r="BS31" t="n">
        <ns0:f>IF($A31="",1,IF(BR31=1,1,--AND(IF($AC31&gt;0,INDEX(BR$7:BR$106,$AC31),1),IF($AD31&gt;0,INDEX(BR$7:BR$106,$AD31),1),IF($AE31&gt;0,INDEX(BR$7:BR$106,$AE31),1),IF($AF31&gt;0,INDEX(BR$7:BR$106,$AF31),1),IF($AG31&gt;0,INDEX(BR$7:BR$106,$AG31),1),IF($AH31&gt;0,INDEX(BR$7:BR$106,$AH31),1),IF($AI31&gt;0,INDEX(BR$7:BR$106,$AI31),1),IF($AJ31&gt;0,INDEX(BR$7:BR$106,$AJ31),1))))</ns0:f>
        <ns0:v>1</ns0:v>
      </ns0:c>
      <ns0:c r="BT31" t="n">
        <ns0:f>IF($A31="",1,IF(BS31=1,1,--AND(IF($AC31&gt;0,INDEX(BS$7:BS$106,$AC31),1),IF($AD31&gt;0,INDEX(BS$7:BS$106,$AD31),1),IF($AE31&gt;0,INDEX(BS$7:BS$106,$AE31),1),IF($AF31&gt;0,INDEX(BS$7:BS$106,$AF31),1),IF($AG31&gt;0,INDEX(BS$7:BS$106,$AG31),1),IF($AH31&gt;0,INDEX(BS$7:BS$106,$AH31),1),IF($AI31&gt;0,INDEX(BS$7:BS$106,$AI31),1),IF($AJ31&gt;0,INDEX(BS$7:BS$106,$AJ31),1))))</ns0:f>
        <ns0:v>1</ns0:v>
      </ns0:c>
      <ns0:c r="BU31" t="n">
        <ns0:f>IF($A31="",1,IF(BT31=1,1,--AND(IF($AC31&gt;0,INDEX(BT$7:BT$106,$AC31),1),IF($AD31&gt;0,INDEX(BT$7:BT$106,$AD31),1),IF($AE31&gt;0,INDEX(BT$7:BT$106,$AE31),1),IF($AF31&gt;0,INDEX(BT$7:BT$106,$AF31),1),IF($AG31&gt;0,INDEX(BT$7:BT$106,$AG31),1),IF($AH31&gt;0,INDEX(BT$7:BT$106,$AH31),1),IF($AI31&gt;0,INDEX(BT$7:BT$106,$AI31),1),IF($AJ31&gt;0,INDEX(BT$7:BT$106,$AJ31),1))))</ns0:f>
        <ns0:v>1</ns0:v>
      </ns0:c>
      <ns0:c r="BV31" t="n">
        <ns0:f>IF($A31="",1,IF(BU31=1,1,--AND(IF($AC31&gt;0,INDEX(BU$7:BU$106,$AC31),1),IF($AD31&gt;0,INDEX(BU$7:BU$106,$AD31),1),IF($AE31&gt;0,INDEX(BU$7:BU$106,$AE31),1),IF($AF31&gt;0,INDEX(BU$7:BU$106,$AF31),1),IF($AG31&gt;0,INDEX(BU$7:BU$106,$AG31),1),IF($AH31&gt;0,INDEX(BU$7:BU$106,$AH31),1),IF($AI31&gt;0,INDEX(BU$7:BU$106,$AI31),1),IF($AJ31&gt;0,INDEX(BU$7:BU$106,$AJ31),1))))</ns0:f>
        <ns0:v>1</ns0:v>
      </ns0:c>
      <ns0:c r="BW31" t="n">
        <ns0:f>IF($A31="",1,IF(BV31=1,1,--AND(IF($AC31&gt;0,INDEX(BV$7:BV$106,$AC31),1),IF($AD31&gt;0,INDEX(BV$7:BV$106,$AD31),1),IF($AE31&gt;0,INDEX(BV$7:BV$106,$AE31),1),IF($AF31&gt;0,INDEX(BV$7:BV$106,$AF31),1),IF($AG31&gt;0,INDEX(BV$7:BV$106,$AG31),1),IF($AH31&gt;0,INDEX(BV$7:BV$106,$AH31),1),IF($AI31&gt;0,INDEX(BV$7:BV$106,$AI31),1),IF($AJ31&gt;0,INDEX(BV$7:BV$106,$AJ31),1))))</ns0:f>
        <ns0:v>1</ns0:v>
      </ns0:c>
      <ns0:c r="BX31" t="n">
        <ns0:f>IF($A31="",1,IF(BW31=1,1,--AND(IF($AC31&gt;0,INDEX(BW$7:BW$106,$AC31),1),IF($AD31&gt;0,INDEX(BW$7:BW$106,$AD31),1),IF($AE31&gt;0,INDEX(BW$7:BW$106,$AE31),1),IF($AF31&gt;0,INDEX(BW$7:BW$106,$AF31),1),IF($AG31&gt;0,INDEX(BW$7:BW$106,$AG31),1),IF($AH31&gt;0,INDEX(BW$7:BW$106,$AH31),1),IF($AI31&gt;0,INDEX(BW$7:BW$106,$AI31),1),IF($AJ31&gt;0,INDEX(BW$7:BW$106,$AJ31),1))))</ns0:f>
        <ns0:v>1</ns0:v>
      </ns0:c>
      <ns0:c r="BY31" t="n">
        <ns0:f>IF($A31="",1,IF(BX31=1,1,--AND(IF($AC31&gt;0,INDEX(BX$7:BX$106,$AC31),1),IF($AD31&gt;0,INDEX(BX$7:BX$106,$AD31),1),IF($AE31&gt;0,INDEX(BX$7:BX$106,$AE31),1),IF($AF31&gt;0,INDEX(BX$7:BX$106,$AF31),1),IF($AG31&gt;0,INDEX(BX$7:BX$106,$AG31),1),IF($AH31&gt;0,INDEX(BX$7:BX$106,$AH31),1),IF($AI31&gt;0,INDEX(BX$7:BX$106,$AI31),1),IF($AJ31&gt;0,INDEX(BX$7:BX$106,$AJ31),1))))</ns0:f>
        <ns0:v>1</ns0:v>
      </ns0:c>
      <ns0:c r="BZ31" t="n">
        <ns0:f>IF($A31="",1,IF(BY31=1,1,--AND(IF($AC31&gt;0,INDEX(BY$7:BY$106,$AC31),1),IF($AD31&gt;0,INDEX(BY$7:BY$106,$AD31),1),IF($AE31&gt;0,INDEX(BY$7:BY$106,$AE31),1),IF($AF31&gt;0,INDEX(BY$7:BY$106,$AF31),1),IF($AG31&gt;0,INDEX(BY$7:BY$106,$AG31),1),IF($AH31&gt;0,INDEX(BY$7:BY$106,$AH31),1),IF($AI31&gt;0,INDEX(BY$7:BY$106,$AI31),1),IF($AJ31&gt;0,INDEX(BY$7:BY$106,$AJ31),1))))</ns0:f>
        <ns0:v>1</ns0:v>
      </ns0:c>
      <ns0:c r="CA31" t="n">
        <ns0:f>IF($A31="",1,IF(BZ31=1,1,--AND(IF($AC31&gt;0,INDEX(BZ$7:BZ$106,$AC31),1),IF($AD31&gt;0,INDEX(BZ$7:BZ$106,$AD31),1),IF($AE31&gt;0,INDEX(BZ$7:BZ$106,$AE31),1),IF($AF31&gt;0,INDEX(BZ$7:BZ$106,$AF31),1),IF($AG31&gt;0,INDEX(BZ$7:BZ$106,$AG31),1),IF($AH31&gt;0,INDEX(BZ$7:BZ$106,$AH31),1),IF($AI31&gt;0,INDEX(BZ$7:BZ$106,$AI31),1),IF($AJ31&gt;0,INDEX(BZ$7:BZ$106,$AJ31),1))))</ns0:f>
        <ns0:v>1</ns0:v>
      </ns0:c>
      <ns0:c r="CB31" t="n">
        <ns0:f>IF($A31="",1,IF(CA31=1,1,--AND(IF($AC31&gt;0,INDEX(CA$7:CA$106,$AC31),1),IF($AD31&gt;0,INDEX(CA$7:CA$106,$AD31),1),IF($AE31&gt;0,INDEX(CA$7:CA$106,$AE31),1),IF($AF31&gt;0,INDEX(CA$7:CA$106,$AF31),1),IF($AG31&gt;0,INDEX(CA$7:CA$106,$AG31),1),IF($AH31&gt;0,INDEX(CA$7:CA$106,$AH31),1),IF($AI31&gt;0,INDEX(CA$7:CA$106,$AI31),1),IF($AJ31&gt;0,INDEX(CA$7:CA$106,$AJ31),1))))</ns0:f>
        <ns0:v>1</ns0:v>
      </ns0:c>
      <ns0:c r="CC31" t="n">
        <ns0:f>IF($A31="",1,IF(CB31=1,1,--AND(IF($AC31&gt;0,INDEX(CB$7:CB$106,$AC31),1),IF($AD31&gt;0,INDEX(CB$7:CB$106,$AD31),1),IF($AE31&gt;0,INDEX(CB$7:CB$106,$AE31),1),IF($AF31&gt;0,INDEX(CB$7:CB$106,$AF31),1),IF($AG31&gt;0,INDEX(CB$7:CB$106,$AG31),1),IF($AH31&gt;0,INDEX(CB$7:CB$106,$AH31),1),IF($AI31&gt;0,INDEX(CB$7:CB$106,$AI31),1),IF($AJ31&gt;0,INDEX(CB$7:CB$106,$AJ31),1))))</ns0:f>
        <ns0:v>1</ns0:v>
      </ns0:c>
      <ns0:c r="CD31" t="n">
        <ns0:f>IF($A31="",1,IF(CC31=1,1,--AND(IF($AC31&gt;0,INDEX(CC$7:CC$106,$AC31),1),IF($AD31&gt;0,INDEX(CC$7:CC$106,$AD31),1),IF($AE31&gt;0,INDEX(CC$7:CC$106,$AE31),1),IF($AF31&gt;0,INDEX(CC$7:CC$106,$AF31),1),IF($AG31&gt;0,INDEX(CC$7:CC$106,$AG31),1),IF($AH31&gt;0,INDEX(CC$7:CC$106,$AH31),1),IF($AI31&gt;0,INDEX(CC$7:CC$106,$AI31),1),IF($AJ31&gt;0,INDEX(CC$7:CC$106,$AJ31),1))))</ns0:f>
        <ns0:v>1</ns0:v>
      </ns0:c>
      <ns0:c r="CE31" t="n">
        <ns0:f>IF($A31="",1,IF(CD31=1,1,--AND(IF($AC31&gt;0,INDEX(CD$7:CD$106,$AC31),1),IF($AD31&gt;0,INDEX(CD$7:CD$106,$AD31),1),IF($AE31&gt;0,INDEX(CD$7:CD$106,$AE31),1),IF($AF31&gt;0,INDEX(CD$7:CD$106,$AF31),1),IF($AG31&gt;0,INDEX(CD$7:CD$106,$AG31),1),IF($AH31&gt;0,INDEX(CD$7:CD$106,$AH31),1),IF($AI31&gt;0,INDEX(CD$7:CD$106,$AI31),1),IF($AJ31&gt;0,INDEX(CD$7:CD$106,$AJ31),1))))</ns0:f>
        <ns0:v>1</ns0:v>
      </ns0:c>
      <ns0:c r="CF31" t="n">
        <ns0:f>IF($A31="",1,IF(CE31=1,1,--AND(IF($AC31&gt;0,INDEX(CE$7:CE$106,$AC31),1),IF($AD31&gt;0,INDEX(CE$7:CE$106,$AD31),1),IF($AE31&gt;0,INDEX(CE$7:CE$106,$AE31),1),IF($AF31&gt;0,INDEX(CE$7:CE$106,$AF31),1),IF($AG31&gt;0,INDEX(CE$7:CE$106,$AG31),1),IF($AH31&gt;0,INDEX(CE$7:CE$106,$AH31),1),IF($AI31&gt;0,INDEX(CE$7:CE$106,$AI31),1),IF($AJ31&gt;0,INDEX(CE$7:CE$106,$AJ31),1))))</ns0:f>
        <ns0:v>1</ns0:v>
      </ns0:c>
      <ns0:c r="CG31" t="n">
        <ns0:f>IF($A31="",1,IF(CF31=1,1,--AND(IF($AC31&gt;0,INDEX(CF$7:CF$106,$AC31),1),IF($AD31&gt;0,INDEX(CF$7:CF$106,$AD31),1),IF($AE31&gt;0,INDEX(CF$7:CF$106,$AE31),1),IF($AF31&gt;0,INDEX(CF$7:CF$106,$AF31),1),IF($AG31&gt;0,INDEX(CF$7:CF$106,$AG31),1),IF($AH31&gt;0,INDEX(CF$7:CF$106,$AH31),1),IF($AI31&gt;0,INDEX(CF$7:CF$106,$AI31),1),IF($AJ31&gt;0,INDEX(CF$7:CF$106,$AJ31),1))))</ns0:f>
        <ns0:v>1</ns0:v>
      </ns0:c>
      <ns0:c r="CH31" t="n">
        <ns0:f>IF($A31="",1,IF(CG31=1,1,--AND(IF($AC31&gt;0,INDEX(CG$7:CG$106,$AC31),1),IF($AD31&gt;0,INDEX(CG$7:CG$106,$AD31),1),IF($AE31&gt;0,INDEX(CG$7:CG$106,$AE31),1),IF($AF31&gt;0,INDEX(CG$7:CG$106,$AF31),1),IF($AG31&gt;0,INDEX(CG$7:CG$106,$AG31),1),IF($AH31&gt;0,INDEX(CG$7:CG$106,$AH31),1),IF($AI31&gt;0,INDEX(CG$7:CG$106,$AI31),1),IF($AJ31&gt;0,INDEX(CG$7:CG$106,$AJ31),1))))</ns0:f>
        <ns0:v>1</ns0:v>
      </ns0:c>
      <ns0:c r="CI31" t="n">
        <ns0:f>IF($A31="",1,IF(CH31=1,1,--AND(IF($AC31&gt;0,INDEX(CH$7:CH$106,$AC31),1),IF($AD31&gt;0,INDEX(CH$7:CH$106,$AD31),1),IF($AE31&gt;0,INDEX(CH$7:CH$106,$AE31),1),IF($AF31&gt;0,INDEX(CH$7:CH$106,$AF31),1),IF($AG31&gt;0,INDEX(CH$7:CH$106,$AG31),1),IF($AH31&gt;0,INDEX(CH$7:CH$106,$AH31),1),IF($AI31&gt;0,INDEX(CH$7:CH$106,$AI31),1),IF($AJ31&gt;0,INDEX(CH$7:CH$106,$AJ31),1))))</ns0:f>
        <ns0:v>1</ns0:v>
      </ns0:c>
      <ns0:c r="CJ31" t="n">
        <ns0:f>IF($A31="",1,IF(CI31=1,1,--AND(IF($AC31&gt;0,INDEX(CI$7:CI$106,$AC31),1),IF($AD31&gt;0,INDEX(CI$7:CI$106,$AD31),1),IF($AE31&gt;0,INDEX(CI$7:CI$106,$AE31),1),IF($AF31&gt;0,INDEX(CI$7:CI$106,$AF31),1),IF($AG31&gt;0,INDEX(CI$7:CI$106,$AG31),1),IF($AH31&gt;0,INDEX(CI$7:CI$106,$AH31),1),IF($AI31&gt;0,INDEX(CI$7:CI$106,$AI31),1),IF($AJ31&gt;0,INDEX(CI$7:CI$106,$AJ31),1))))</ns0:f>
        <ns0:v>1</ns0:v>
      </ns0:c>
      <ns0:c r="CK31" t="n">
        <ns0:f>IF($A31="",1,IF(CJ31=1,1,--AND(IF($AC31&gt;0,INDEX(CJ$7:CJ$106,$AC31),1),IF($AD31&gt;0,INDEX(CJ$7:CJ$106,$AD31),1),IF($AE31&gt;0,INDEX(CJ$7:CJ$106,$AE31),1),IF($AF31&gt;0,INDEX(CJ$7:CJ$106,$AF31),1),IF($AG31&gt;0,INDEX(CJ$7:CJ$106,$AG31),1),IF($AH31&gt;0,INDEX(CJ$7:CJ$106,$AH31),1),IF($AI31&gt;0,INDEX(CJ$7:CJ$106,$AI31),1),IF($AJ31&gt;0,INDEX(CJ$7:CJ$106,$AJ31),1))))</ns0:f>
        <ns0:v>1</ns0:v>
      </ns0:c>
      <ns0:c r="CL31" t="n">
        <ns0:f>IF($A31="",1,IF(CK31=1,1,--AND(IF($AC31&gt;0,INDEX(CK$7:CK$106,$AC31),1),IF($AD31&gt;0,INDEX(CK$7:CK$106,$AD31),1),IF($AE31&gt;0,INDEX(CK$7:CK$106,$AE31),1),IF($AF31&gt;0,INDEX(CK$7:CK$106,$AF31),1),IF($AG31&gt;0,INDEX(CK$7:CK$106,$AG31),1),IF($AH31&gt;0,INDEX(CK$7:CK$106,$AH31),1),IF($AI31&gt;0,INDEX(CK$7:CK$106,$AI31),1),IF($AJ31&gt;0,INDEX(CK$7:CK$106,$AJ31),1))))</ns0:f>
        <ns0:v>1</ns0:v>
      </ns0:c>
      <ns0:c r="CM31" t="n">
        <ns0:f>IF($A31="",1,IF(CL31=1,1,--AND(IF($AC31&gt;0,INDEX(CL$7:CL$106,$AC31),1),IF($AD31&gt;0,INDEX(CL$7:CL$106,$AD31),1),IF($AE31&gt;0,INDEX(CL$7:CL$106,$AE31),1),IF($AF31&gt;0,INDEX(CL$7:CL$106,$AF31),1),IF($AG31&gt;0,INDEX(CL$7:CL$106,$AG31),1),IF($AH31&gt;0,INDEX(CL$7:CL$106,$AH31),1),IF($AI31&gt;0,INDEX(CL$7:CL$106,$AI31),1),IF($AJ31&gt;0,INDEX(CL$7:CL$106,$AJ31),1))))</ns0:f>
        <ns0:v>1</ns0:v>
      </ns0:c>
      <ns0:c r="CN31" t="n">
        <ns0:f>IF($A31="",1,IF(CM31=1,1,--AND(IF($AC31&gt;0,INDEX(CM$7:CM$106,$AC31),1),IF($AD31&gt;0,INDEX(CM$7:CM$106,$AD31),1),IF($AE31&gt;0,INDEX(CM$7:CM$106,$AE31),1),IF($AF31&gt;0,INDEX(CM$7:CM$106,$AF31),1),IF($AG31&gt;0,INDEX(CM$7:CM$106,$AG31),1),IF($AH31&gt;0,INDEX(CM$7:CM$106,$AH31),1),IF($AI31&gt;0,INDEX(CM$7:CM$106,$AI31),1),IF($AJ31&gt;0,INDEX(CM$7:CM$106,$AJ31),1))))</ns0:f>
        <ns0:v>1</ns0:v>
      </ns0:c>
      <ns0:c r="CO31" t="n">
        <ns0:f>IF($A31="",1,IF(CN31=1,1,--AND(IF($AC31&gt;0,INDEX(CN$7:CN$106,$AC31),1),IF($AD31&gt;0,INDEX(CN$7:CN$106,$AD31),1),IF($AE31&gt;0,INDEX(CN$7:CN$106,$AE31),1),IF($AF31&gt;0,INDEX(CN$7:CN$106,$AF31),1),IF($AG31&gt;0,INDEX(CN$7:CN$106,$AG31),1),IF($AH31&gt;0,INDEX(CN$7:CN$106,$AH31),1),IF($AI31&gt;0,INDEX(CN$7:CN$106,$AI31),1),IF($AJ31&gt;0,INDEX(CN$7:CN$106,$AJ31),1))))</ns0:f>
        <ns0:v>1</ns0:v>
      </ns0:c>
      <ns0:c r="CP31" t="n">
        <ns0:f>IF($A31="",1,IF(CO31=1,1,--AND(IF($AC31&gt;0,INDEX(CO$7:CO$106,$AC31),1),IF($AD31&gt;0,INDEX(CO$7:CO$106,$AD31),1),IF($AE31&gt;0,INDEX(CO$7:CO$106,$AE31),1),IF($AF31&gt;0,INDEX(CO$7:CO$106,$AF31),1),IF($AG31&gt;0,INDEX(CO$7:CO$106,$AG31),1),IF($AH31&gt;0,INDEX(CO$7:CO$106,$AH31),1),IF($AI31&gt;0,INDEX(CO$7:CO$106,$AI31),1),IF($AJ31&gt;0,INDEX(CO$7:CO$106,$AJ31),1))))</ns0:f>
        <ns0:v>1</ns0:v>
      </ns0:c>
      <ns0:c r="CQ31" t="n">
        <ns0:f>IF($A31="",1,IF(CP31=1,1,--AND(IF($AC31&gt;0,INDEX(CP$7:CP$106,$AC31),1),IF($AD31&gt;0,INDEX(CP$7:CP$106,$AD31),1),IF($AE31&gt;0,INDEX(CP$7:CP$106,$AE31),1),IF($AF31&gt;0,INDEX(CP$7:CP$106,$AF31),1),IF($AG31&gt;0,INDEX(CP$7:CP$106,$AG31),1),IF($AH31&gt;0,INDEX(CP$7:CP$106,$AH31),1),IF($AI31&gt;0,INDEX(CP$7:CP$106,$AI31),1),IF($AJ31&gt;0,INDEX(CP$7:CP$106,$AJ31),1))))</ns0:f>
        <ns0:v>1</ns0:v>
      </ns0:c>
      <ns0:c r="CR31" t="n">
        <ns0:f>IF($A31="",1,IF(CQ31=1,1,--AND(IF($AC31&gt;0,INDEX(CQ$7:CQ$106,$AC31),1),IF($AD31&gt;0,INDEX(CQ$7:CQ$106,$AD31),1),IF($AE31&gt;0,INDEX(CQ$7:CQ$106,$AE31),1),IF($AF31&gt;0,INDEX(CQ$7:CQ$106,$AF31),1),IF($AG31&gt;0,INDEX(CQ$7:CQ$106,$AG31),1),IF($AH31&gt;0,INDEX(CQ$7:CQ$106,$AH31),1),IF($AI31&gt;0,INDEX(CQ$7:CQ$106,$AI31),1),IF($AJ31&gt;0,INDEX(CQ$7:CQ$106,$AJ31),1))))</ns0:f>
        <ns0:v>1</ns0:v>
      </ns0:c>
      <ns0:c r="CS31" t="n">
        <ns0:f>IF($A31="",1,IF(CR31=1,1,--AND(IF($AC31&gt;0,INDEX(CR$7:CR$106,$AC31),1),IF($AD31&gt;0,INDEX(CR$7:CR$106,$AD31),1),IF($AE31&gt;0,INDEX(CR$7:CR$106,$AE31),1),IF($AF31&gt;0,INDEX(CR$7:CR$106,$AF31),1),IF($AG31&gt;0,INDEX(CR$7:CR$106,$AG31),1),IF($AH31&gt;0,INDEX(CR$7:CR$106,$AH31),1),IF($AI31&gt;0,INDEX(CR$7:CR$106,$AI31),1),IF($AJ31&gt;0,INDEX(CR$7:CR$106,$AJ31),1))))</ns0:f>
        <ns0:v>1</ns0:v>
      </ns0:c>
      <ns0:c r="CT31" t="n">
        <ns0:f>IF($A31="",1,IF(CS31=1,1,--AND(IF($AC31&gt;0,INDEX(CS$7:CS$106,$AC31),1),IF($AD31&gt;0,INDEX(CS$7:CS$106,$AD31),1),IF($AE31&gt;0,INDEX(CS$7:CS$106,$AE31),1),IF($AF31&gt;0,INDEX(CS$7:CS$106,$AF31),1),IF($AG31&gt;0,INDEX(CS$7:CS$106,$AG31),1),IF($AH31&gt;0,INDEX(CS$7:CS$106,$AH31),1),IF($AI31&gt;0,INDEX(CS$7:CS$106,$AI31),1),IF($AJ31&gt;0,INDEX(CS$7:CS$106,$AJ31),1))))</ns0:f>
        <ns0:v>1</ns0:v>
      </ns0:c>
      <ns0:c r="CU31" t="n">
        <ns0:f>IF($A31="",1,IF(CT31=1,1,--AND(IF($AC31&gt;0,INDEX(CT$7:CT$106,$AC31),1),IF($AD31&gt;0,INDEX(CT$7:CT$106,$AD31),1),IF($AE31&gt;0,INDEX(CT$7:CT$106,$AE31),1),IF($AF31&gt;0,INDEX(CT$7:CT$106,$AF31),1),IF($AG31&gt;0,INDEX(CT$7:CT$106,$AG31),1),IF($AH31&gt;0,INDEX(CT$7:CT$106,$AH31),1),IF($AI31&gt;0,INDEX(CT$7:CT$106,$AI31),1),IF($AJ31&gt;0,INDEX(CT$7:CT$106,$AJ31),1))))</ns0:f>
        <ns0:v>1</ns0:v>
      </ns0:c>
      <ns0:c r="CV31" t="n">
        <ns0:f>IF($A31="",1,IF(CU31=1,1,--AND(IF($AC31&gt;0,INDEX(CU$7:CU$106,$AC31),1),IF($AD31&gt;0,INDEX(CU$7:CU$106,$AD31),1),IF($AE31&gt;0,INDEX(CU$7:CU$106,$AE31),1),IF($AF31&gt;0,INDEX(CU$7:CU$106,$AF31),1),IF($AG31&gt;0,INDEX(CU$7:CU$106,$AG31),1),IF($AH31&gt;0,INDEX(CU$7:CU$106,$AH31),1),IF($AI31&gt;0,INDEX(CU$7:CU$106,$AI31),1),IF($AJ31&gt;0,INDEX(CU$7:CU$106,$AJ31),1))))</ns0:f>
        <ns0:v>1</ns0:v>
      </ns0:c>
      <ns0:c r="CW31" t="n">
        <ns0:f>IF($A31="",1,IF(CV31=1,1,--AND(IF($AC31&gt;0,INDEX(CV$7:CV$106,$AC31),1),IF($AD31&gt;0,INDEX(CV$7:CV$106,$AD31),1),IF($AE31&gt;0,INDEX(CV$7:CV$106,$AE31),1),IF($AF31&gt;0,INDEX(CV$7:CV$106,$AF31),1),IF($AG31&gt;0,INDEX(CV$7:CV$106,$AG31),1),IF($AH31&gt;0,INDEX(CV$7:CV$106,$AH31),1),IF($AI31&gt;0,INDEX(CV$7:CV$106,$AI31),1),IF($AJ31&gt;0,INDEX(CV$7:CV$106,$AJ31),1))))</ns0:f>
        <ns0:v>1</ns0:v>
      </ns0:c>
      <ns0:c r="CX31" t="n">
        <ns0:f>IF($A31="",1,IF(CW31=1,1,--AND(IF($AC31&gt;0,INDEX(CW$7:CW$106,$AC31),1),IF($AD31&gt;0,INDEX(CW$7:CW$106,$AD31),1),IF($AE31&gt;0,INDEX(CW$7:CW$106,$AE31),1),IF($AF31&gt;0,INDEX(CW$7:CW$106,$AF31),1),IF($AG31&gt;0,INDEX(CW$7:CW$106,$AG31),1),IF($AH31&gt;0,INDEX(CW$7:CW$106,$AH31),1),IF($AI31&gt;0,INDEX(CW$7:CW$106,$AI31),1),IF($AJ31&gt;0,INDEX(CW$7:CW$106,$AJ31),1))))</ns0:f>
        <ns0:v>1</ns0:v>
      </ns0:c>
      <ns0:c r="CY31" t="n">
        <ns0:f>IF($A31="",1,IF(CX31=1,1,--AND(IF($AC31&gt;0,INDEX(CX$7:CX$106,$AC31),1),IF($AD31&gt;0,INDEX(CX$7:CX$106,$AD31),1),IF($AE31&gt;0,INDEX(CX$7:CX$106,$AE31),1),IF($AF31&gt;0,INDEX(CX$7:CX$106,$AF31),1),IF($AG31&gt;0,INDEX(CX$7:CX$106,$AG31),1),IF($AH31&gt;0,INDEX(CX$7:CX$106,$AH31),1),IF($AI31&gt;0,INDEX(CX$7:CX$106,$AI31),1),IF($AJ31&gt;0,INDEX(CX$7:CX$106,$AJ31),1))))</ns0:f>
        <ns0:v>1</ns0:v>
      </ns0:c>
      <ns0:c r="CZ31" t="n">
        <ns0:f>IF($A31="",1,IF(CY31=1,1,--AND(IF($AC31&gt;0,INDEX(CY$7:CY$106,$AC31),1),IF($AD31&gt;0,INDEX(CY$7:CY$106,$AD31),1),IF($AE31&gt;0,INDEX(CY$7:CY$106,$AE31),1),IF($AF31&gt;0,INDEX(CY$7:CY$106,$AF31),1),IF($AG31&gt;0,INDEX(CY$7:CY$106,$AG31),1),IF($AH31&gt;0,INDEX(CY$7:CY$106,$AH31),1),IF($AI31&gt;0,INDEX(CY$7:CY$106,$AI31),1),IF($AJ31&gt;0,INDEX(CY$7:CY$106,$AJ31),1))))</ns0:f>
        <ns0:v>1</ns0:v>
      </ns0:c>
      <ns0:c r="DA31" t="n">
        <ns0:f>IF($A31="",1,IF(CZ31=1,1,--AND(IF($AC31&gt;0,INDEX(CZ$7:CZ$106,$AC31),1),IF($AD31&gt;0,INDEX(CZ$7:CZ$106,$AD31),1),IF($AE31&gt;0,INDEX(CZ$7:CZ$106,$AE31),1),IF($AF31&gt;0,INDEX(CZ$7:CZ$106,$AF31),1),IF($AG31&gt;0,INDEX(CZ$7:CZ$106,$AG31),1),IF($AH31&gt;0,INDEX(CZ$7:CZ$106,$AH31),1),IF($AI31&gt;0,INDEX(CZ$7:CZ$106,$AI31),1),IF($AJ31&gt;0,INDEX(CZ$7:CZ$106,$AJ31),1))))</ns0:f>
        <ns0:v>1</ns0:v>
      </ns0:c>
      <ns0:c r="DB31" t="n">
        <ns0:f>IF($A31="",1,IF(DA31=1,1,--AND(IF($AC31&gt;0,INDEX(DA$7:DA$106,$AC31),1),IF($AD31&gt;0,INDEX(DA$7:DA$106,$AD31),1),IF($AE31&gt;0,INDEX(DA$7:DA$106,$AE31),1),IF($AF31&gt;0,INDEX(DA$7:DA$106,$AF31),1),IF($AG31&gt;0,INDEX(DA$7:DA$106,$AG31),1),IF($AH31&gt;0,INDEX(DA$7:DA$106,$AH31),1),IF($AI31&gt;0,INDEX(DA$7:DA$106,$AI31),1),IF($AJ31&gt;0,INDEX(DA$7:DA$106,$AJ31),1))))</ns0:f>
        <ns0:v>1</ns0:v>
      </ns0:c>
      <ns0:c r="DC31" t="n">
        <ns0:f>IF($A31="",1,IF(DB31=1,1,--AND(IF($AC31&gt;0,INDEX(DB$7:DB$106,$AC31),1),IF($AD31&gt;0,INDEX(DB$7:DB$106,$AD31),1),IF($AE31&gt;0,INDEX(DB$7:DB$106,$AE31),1),IF($AF31&gt;0,INDEX(DB$7:DB$106,$AF31),1),IF($AG31&gt;0,INDEX(DB$7:DB$106,$AG31),1),IF($AH31&gt;0,INDEX(DB$7:DB$106,$AH31),1),IF($AI31&gt;0,INDEX(DB$7:DB$106,$AI31),1),IF($AJ31&gt;0,INDEX(DB$7:DB$106,$AJ31),1))))</ns0:f>
        <ns0:v>1</ns0:v>
      </ns0:c>
      <ns0:c r="DD31" t="n">
        <ns0:f>IF($A31="",1,IF(DC31=1,1,--AND(IF($AC31&gt;0,INDEX(DC$7:DC$106,$AC31),1),IF($AD31&gt;0,INDEX(DC$7:DC$106,$AD31),1),IF($AE31&gt;0,INDEX(DC$7:DC$106,$AE31),1),IF($AF31&gt;0,INDEX(DC$7:DC$106,$AF31),1),IF($AG31&gt;0,INDEX(DC$7:DC$106,$AG31),1),IF($AH31&gt;0,INDEX(DC$7:DC$106,$AH31),1),IF($AI31&gt;0,INDEX(DC$7:DC$106,$AI31),1),IF($AJ31&gt;0,INDEX(DC$7:DC$106,$AJ31),1))))</ns0:f>
        <ns0:v>1</ns0:v>
      </ns0:c>
      <ns0:c r="DE31" t="n">
        <ns0:f>IF($A31="",1,IF(DD31=1,1,--AND(IF($AC31&gt;0,INDEX(DD$7:DD$106,$AC31),1),IF($AD31&gt;0,INDEX(DD$7:DD$106,$AD31),1),IF($AE31&gt;0,INDEX(DD$7:DD$106,$AE31),1),IF($AF31&gt;0,INDEX(DD$7:DD$106,$AF31),1),IF($AG31&gt;0,INDEX(DD$7:DD$106,$AG31),1),IF($AH31&gt;0,INDEX(DD$7:DD$106,$AH31),1),IF($AI31&gt;0,INDEX(DD$7:DD$106,$AI31),1),IF($AJ31&gt;0,INDEX(DD$7:DD$106,$AJ31),1))))</ns0:f>
        <ns0:v>1</ns0:v>
      </ns0:c>
      <ns0:c r="DF31" t="n">
        <ns0:f>IF($A31="",1,IF(DE31=1,1,--AND(IF($AC31&gt;0,INDEX(DE$7:DE$106,$AC31),1),IF($AD31&gt;0,INDEX(DE$7:DE$106,$AD31),1),IF($AE31&gt;0,INDEX(DE$7:DE$106,$AE31),1),IF($AF31&gt;0,INDEX(DE$7:DE$106,$AF31),1),IF($AG31&gt;0,INDEX(DE$7:DE$106,$AG31),1),IF($AH31&gt;0,INDEX(DE$7:DE$106,$AH31),1),IF($AI31&gt;0,INDEX(DE$7:DE$106,$AI31),1),IF($AJ31&gt;0,INDEX(DE$7:DE$106,$AJ31),1))))</ns0:f>
        <ns0:v>1</ns0:v>
      </ns0:c>
      <ns0:c r="DG31" t="n">
        <ns0:f>IF($A31="",1,IF(DF31=1,1,--AND(IF($AC31&gt;0,INDEX(DF$7:DF$106,$AC31),1),IF($AD31&gt;0,INDEX(DF$7:DF$106,$AD31),1),IF($AE31&gt;0,INDEX(DF$7:DF$106,$AE31),1),IF($AF31&gt;0,INDEX(DF$7:DF$106,$AF31),1),IF($AG31&gt;0,INDEX(DF$7:DF$106,$AG31),1),IF($AH31&gt;0,INDEX(DF$7:DF$106,$AH31),1),IF($AI31&gt;0,INDEX(DF$7:DF$106,$AI31),1),IF($AJ31&gt;0,INDEX(DF$7:DF$106,$AJ31),1))))</ns0:f>
        <ns0:v>1</ns0:v>
      </ns0:c>
      <ns0:c r="DH31" t="n">
        <ns0:f>IF($A31="",1,IF(DG31=1,1,--AND(IF($AC31&gt;0,INDEX(DG$7:DG$106,$AC31),1),IF($AD31&gt;0,INDEX(DG$7:DG$106,$AD31),1),IF($AE31&gt;0,INDEX(DG$7:DG$106,$AE31),1),IF($AF31&gt;0,INDEX(DG$7:DG$106,$AF31),1),IF($AG31&gt;0,INDEX(DG$7:DG$106,$AG31),1),IF($AH31&gt;0,INDEX(DG$7:DG$106,$AH31),1),IF($AI31&gt;0,INDEX(DG$7:DG$106,$AI31),1),IF($AJ31&gt;0,INDEX(DG$7:DG$106,$AJ31),1))))</ns0:f>
        <ns0:v>1</ns0:v>
      </ns0:c>
      <ns0:c r="DI31" t="n">
        <ns0:f>IF($A31="",1,IF(DH31=1,1,--AND(IF($AC31&gt;0,INDEX(DH$7:DH$106,$AC31),1),IF($AD31&gt;0,INDEX(DH$7:DH$106,$AD31),1),IF($AE31&gt;0,INDEX(DH$7:DH$106,$AE31),1),IF($AF31&gt;0,INDEX(DH$7:DH$106,$AF31),1),IF($AG31&gt;0,INDEX(DH$7:DH$106,$AG31),1),IF($AH31&gt;0,INDEX(DH$7:DH$106,$AH31),1),IF($AI31&gt;0,INDEX(DH$7:DH$106,$AI31),1),IF($AJ31&gt;0,INDEX(DH$7:DH$106,$AJ31),1))))</ns0:f>
        <ns0:v>1</ns0:v>
      </ns0:c>
      <ns0:c r="DJ31" t="n">
        <ns0:f>IF($A31="",1,IF(DI31=1,1,--AND(IF($AC31&gt;0,INDEX(DI$7:DI$106,$AC31),1),IF($AD31&gt;0,INDEX(DI$7:DI$106,$AD31),1),IF($AE31&gt;0,INDEX(DI$7:DI$106,$AE31),1),IF($AF31&gt;0,INDEX(DI$7:DI$106,$AF31),1),IF($AG31&gt;0,INDEX(DI$7:DI$106,$AG31),1),IF($AH31&gt;0,INDEX(DI$7:DI$106,$AH31),1),IF($AI31&gt;0,INDEX(DI$7:DI$106,$AI31),1),IF($AJ31&gt;0,INDEX(DI$7:DI$106,$AJ31),1))))</ns0:f>
        <ns0:v>1</ns0:v>
      </ns0:c>
      <ns0:c r="DK31" t="n">
        <ns0:f>IF($A31="",1,IF(DJ31=1,1,--AND(IF($AC31&gt;0,INDEX(DJ$7:DJ$106,$AC31),1),IF($AD31&gt;0,INDEX(DJ$7:DJ$106,$AD31),1),IF($AE31&gt;0,INDEX(DJ$7:DJ$106,$AE31),1),IF($AF31&gt;0,INDEX(DJ$7:DJ$106,$AF31),1),IF($AG31&gt;0,INDEX(DJ$7:DJ$106,$AG31),1),IF($AH31&gt;0,INDEX(DJ$7:DJ$106,$AH31),1),IF($AI31&gt;0,INDEX(DJ$7:DJ$106,$AI31),1),IF($AJ31&gt;0,INDEX(DJ$7:DJ$106,$AJ31),1))))</ns0:f>
        <ns0:v>1</ns0:v>
      </ns0:c>
      <ns0:c r="DL31" t="n">
        <ns0:f>IF($A31="",1,IF(DK31=1,1,--AND(IF($AC31&gt;0,INDEX(DK$7:DK$106,$AC31),1),IF($AD31&gt;0,INDEX(DK$7:DK$106,$AD31),1),IF($AE31&gt;0,INDEX(DK$7:DK$106,$AE31),1),IF($AF31&gt;0,INDEX(DK$7:DK$106,$AF31),1),IF($AG31&gt;0,INDEX(DK$7:DK$106,$AG31),1),IF($AH31&gt;0,INDEX(DK$7:DK$106,$AH31),1),IF($AI31&gt;0,INDEX(DK$7:DK$106,$AI31),1),IF($AJ31&gt;0,INDEX(DK$7:DK$106,$AJ31),1))))</ns0:f>
        <ns0:v>1</ns0:v>
      </ns0:c>
      <ns0:c r="DM31" t="n">
        <ns0:f>IF($A31="",1,IF(DL31=1,1,--AND(IF($AC31&gt;0,INDEX(DL$7:DL$106,$AC31),1),IF($AD31&gt;0,INDEX(DL$7:DL$106,$AD31),1),IF($AE31&gt;0,INDEX(DL$7:DL$106,$AE31),1),IF($AF31&gt;0,INDEX(DL$7:DL$106,$AF31),1),IF($AG31&gt;0,INDEX(DL$7:DL$106,$AG31),1),IF($AH31&gt;0,INDEX(DL$7:DL$106,$AH31),1),IF($AI31&gt;0,INDEX(DL$7:DL$106,$AI31),1),IF($AJ31&gt;0,INDEX(DL$7:DL$106,$AJ31),1))))</ns0:f>
        <ns0:v>1</ns0:v>
      </ns0:c>
      <ns0:c r="DN31" t="n">
        <ns0:f>IF($A31="",1,IF(DM31=1,1,--AND(IF($AC31&gt;0,INDEX(DM$7:DM$106,$AC31),1),IF($AD31&gt;0,INDEX(DM$7:DM$106,$AD31),1),IF($AE31&gt;0,INDEX(DM$7:DM$106,$AE31),1),IF($AF31&gt;0,INDEX(DM$7:DM$106,$AF31),1),IF($AG31&gt;0,INDEX(DM$7:DM$106,$AG31),1),IF($AH31&gt;0,INDEX(DM$7:DM$106,$AH31),1),IF($AI31&gt;0,INDEX(DM$7:DM$106,$AI31),1),IF($AJ31&gt;0,INDEX(DM$7:DM$106,$AJ31),1))))</ns0:f>
        <ns0:v>1</ns0:v>
      </ns0:c>
      <ns0:c r="DO31" t="n">
        <ns0:f>IF($A31="",1,IF(DN31=1,1,--AND(IF($AC31&gt;0,INDEX(DN$7:DN$106,$AC31),1),IF($AD31&gt;0,INDEX(DN$7:DN$106,$AD31),1),IF($AE31&gt;0,INDEX(DN$7:DN$106,$AE31),1),IF($AF31&gt;0,INDEX(DN$7:DN$106,$AF31),1),IF($AG31&gt;0,INDEX(DN$7:DN$106,$AG31),1),IF($AH31&gt;0,INDEX(DN$7:DN$106,$AH31),1),IF($AI31&gt;0,INDEX(DN$7:DN$106,$AI31),1),IF($AJ31&gt;0,INDEX(DN$7:DN$106,$AJ31),1))))</ns0:f>
        <ns0:v>1</ns0:v>
      </ns0:c>
      <ns0:c r="DP31" t="n">
        <ns0:f>IF($A31="",1,IF(DO31=1,1,--AND(IF($AC31&gt;0,INDEX(DO$7:DO$106,$AC31),1),IF($AD31&gt;0,INDEX(DO$7:DO$106,$AD31),1),IF($AE31&gt;0,INDEX(DO$7:DO$106,$AE31),1),IF($AF31&gt;0,INDEX(DO$7:DO$106,$AF31),1),IF($AG31&gt;0,INDEX(DO$7:DO$106,$AG31),1),IF($AH31&gt;0,INDEX(DO$7:DO$106,$AH31),1),IF($AI31&gt;0,INDEX(DO$7:DO$106,$AI31),1),IF($AJ31&gt;0,INDEX(DO$7:DO$106,$AJ31),1))))</ns0:f>
        <ns0:v>1</ns0:v>
      </ns0:c>
      <ns0:c r="DQ31" t="n">
        <ns0:f>IF($A31="",1,IF(DP31=1,1,--AND(IF($AC31&gt;0,INDEX(DP$7:DP$106,$AC31),1),IF($AD31&gt;0,INDEX(DP$7:DP$106,$AD31),1),IF($AE31&gt;0,INDEX(DP$7:DP$106,$AE31),1),IF($AF31&gt;0,INDEX(DP$7:DP$106,$AF31),1),IF($AG31&gt;0,INDEX(DP$7:DP$106,$AG31),1),IF($AH31&gt;0,INDEX(DP$7:DP$106,$AH31),1),IF($AI31&gt;0,INDEX(DP$7:DP$106,$AI31),1),IF($AJ31&gt;0,INDEX(DP$7:DP$106,$AJ31),1))))</ns0:f>
        <ns0:v>1</ns0:v>
      </ns0:c>
      <ns0:c r="DR31" t="n">
        <ns0:f>IF($A31="",1,IF(DQ31=1,1,--AND(IF($AC31&gt;0,INDEX(DQ$7:DQ$106,$AC31),1),IF($AD31&gt;0,INDEX(DQ$7:DQ$106,$AD31),1),IF($AE31&gt;0,INDEX(DQ$7:DQ$106,$AE31),1),IF($AF31&gt;0,INDEX(DQ$7:DQ$106,$AF31),1),IF($AG31&gt;0,INDEX(DQ$7:DQ$106,$AG31),1),IF($AH31&gt;0,INDEX(DQ$7:DQ$106,$AH31),1),IF($AI31&gt;0,INDEX(DQ$7:DQ$106,$AI31),1),IF($AJ31&gt;0,INDEX(DQ$7:DQ$106,$AJ31),1))))</ns0:f>
        <ns0:v>1</ns0:v>
      </ns0:c>
      <ns0:c r="DS31" t="n">
        <ns0:f>IF($A31="",1,IF(DR31=1,1,--AND(IF($AC31&gt;0,INDEX(DR$7:DR$106,$AC31),1),IF($AD31&gt;0,INDEX(DR$7:DR$106,$AD31),1),IF($AE31&gt;0,INDEX(DR$7:DR$106,$AE31),1),IF($AF31&gt;0,INDEX(DR$7:DR$106,$AF31),1),IF($AG31&gt;0,INDEX(DR$7:DR$106,$AG31),1),IF($AH31&gt;0,INDEX(DR$7:DR$106,$AH31),1),IF($AI31&gt;0,INDEX(DR$7:DR$106,$AI31),1),IF($AJ31&gt;0,INDEX(DR$7:DR$106,$AJ31),1))))</ns0:f>
        <ns0:v>1</ns0:v>
      </ns0:c>
      <ns0:c r="DT31" t="n">
        <ns0:f>IF($A31="",1,IF(DS31=1,1,--AND(IF($AC31&gt;0,INDEX(DS$7:DS$106,$AC31),1),IF($AD31&gt;0,INDEX(DS$7:DS$106,$AD31),1),IF($AE31&gt;0,INDEX(DS$7:DS$106,$AE31),1),IF($AF31&gt;0,INDEX(DS$7:DS$106,$AF31),1),IF($AG31&gt;0,INDEX(DS$7:DS$106,$AG31),1),IF($AH31&gt;0,INDEX(DS$7:DS$106,$AH31),1),IF($AI31&gt;0,INDEX(DS$7:DS$106,$AI31),1),IF($AJ31&gt;0,INDEX(DS$7:DS$106,$AJ31),1))))</ns0:f>
        <ns0:v>1</ns0:v>
      </ns0:c>
      <ns0:c r="DU31" t="n">
        <ns0:f>IF($A31="",1,IF(DT31=1,1,--AND(IF($AC31&gt;0,INDEX(DT$7:DT$106,$AC31),1),IF($AD31&gt;0,INDEX(DT$7:DT$106,$AD31),1),IF($AE31&gt;0,INDEX(DT$7:DT$106,$AE31),1),IF($AF31&gt;0,INDEX(DT$7:DT$106,$AF31),1),IF($AG31&gt;0,INDEX(DT$7:DT$106,$AG31),1),IF($AH31&gt;0,INDEX(DT$7:DT$106,$AH31),1),IF($AI31&gt;0,INDEX(DT$7:DT$106,$AI31),1),IF($AJ31&gt;0,INDEX(DT$7:DT$106,$AJ31),1))))</ns0:f>
        <ns0:v>1</ns0:v>
      </ns0:c>
      <ns0:c r="DV31" t="n">
        <ns0:f>IF($A31="",1,IF(DU31=1,1,--AND(IF($AC31&gt;0,INDEX(DU$7:DU$106,$AC31),1),IF($AD31&gt;0,INDEX(DU$7:DU$106,$AD31),1),IF($AE31&gt;0,INDEX(DU$7:DU$106,$AE31),1),IF($AF31&gt;0,INDEX(DU$7:DU$106,$AF31),1),IF($AG31&gt;0,INDEX(DU$7:DU$106,$AG31),1),IF($AH31&gt;0,INDEX(DU$7:DU$106,$AH31),1),IF($AI31&gt;0,INDEX(DU$7:DU$106,$AI31),1),IF($AJ31&gt;0,INDEX(DU$7:DU$106,$AJ31),1))))</ns0:f>
        <ns0:v>1</ns0:v>
      </ns0:c>
      <ns0:c r="DW31" t="n">
        <ns0:f>IF($A31="",1,IF(DV31=1,1,--AND(IF($AC31&gt;0,INDEX(DV$7:DV$106,$AC31),1),IF($AD31&gt;0,INDEX(DV$7:DV$106,$AD31),1),IF($AE31&gt;0,INDEX(DV$7:DV$106,$AE31),1),IF($AF31&gt;0,INDEX(DV$7:DV$106,$AF31),1),IF($AG31&gt;0,INDEX(DV$7:DV$106,$AG31),1),IF($AH31&gt;0,INDEX(DV$7:DV$106,$AH31),1),IF($AI31&gt;0,INDEX(DV$7:DV$106,$AI31),1),IF($AJ31&gt;0,INDEX(DV$7:DV$106,$AJ31),1))))</ns0:f>
        <ns0:v>1</ns0:v>
      </ns0:c>
      <ns0:c r="DX31" t="n">
        <ns0:f>IF($A31="",1,IF(DW31=1,1,--AND(IF($AC31&gt;0,INDEX(DW$7:DW$106,$AC31),1),IF($AD31&gt;0,INDEX(DW$7:DW$106,$AD31),1),IF($AE31&gt;0,INDEX(DW$7:DW$106,$AE31),1),IF($AF31&gt;0,INDEX(DW$7:DW$106,$AF31),1),IF($AG31&gt;0,INDEX(DW$7:DW$106,$AG31),1),IF($AH31&gt;0,INDEX(DW$7:DW$106,$AH31),1),IF($AI31&gt;0,INDEX(DW$7:DW$106,$AI31),1),IF($AJ31&gt;0,INDEX(DW$7:DW$106,$AJ31),1))))</ns0:f>
        <ns0:v>1</ns0:v>
      </ns0:c>
      <ns0:c r="DY31" t="n">
        <ns0:f>IF($A31="",1,IF(DX31=1,1,--AND(IF($AC31&gt;0,INDEX(DX$7:DX$106,$AC31),1),IF($AD31&gt;0,INDEX(DX$7:DX$106,$AD31),1),IF($AE31&gt;0,INDEX(DX$7:DX$106,$AE31),1),IF($AF31&gt;0,INDEX(DX$7:DX$106,$AF31),1),IF($AG31&gt;0,INDEX(DX$7:DX$106,$AG31),1),IF($AH31&gt;0,INDEX(DX$7:DX$106,$AH31),1),IF($AI31&gt;0,INDEX(DX$7:DX$106,$AI31),1),IF($AJ31&gt;0,INDEX(DX$7:DX$106,$AJ31),1))))</ns0:f>
        <ns0:v>1</ns0:v>
      </ns0:c>
      <ns0:c r="DZ31" t="n">
        <ns0:f>IF($A31="",1,IF(DY31=1,1,--AND(IF($AC31&gt;0,INDEX(DY$7:DY$106,$AC31),1),IF($AD31&gt;0,INDEX(DY$7:DY$106,$AD31),1),IF($AE31&gt;0,INDEX(DY$7:DY$106,$AE31),1),IF($AF31&gt;0,INDEX(DY$7:DY$106,$AF31),1),IF($AG31&gt;0,INDEX(DY$7:DY$106,$AG31),1),IF($AH31&gt;0,INDEX(DY$7:DY$106,$AH31),1),IF($AI31&gt;0,INDEX(DY$7:DY$106,$AI31),1),IF($AJ31&gt;0,INDEX(DY$7:DY$106,$AJ31),1))))</ns0:f>
        <ns0:v>1</ns0:v>
      </ns0:c>
      <ns0:c r="EA31" t="n">
        <ns0:f>IF($A31="",1,IF(DZ31=1,1,--AND(IF($AC31&gt;0,INDEX(DZ$7:DZ$106,$AC31),1),IF($AD31&gt;0,INDEX(DZ$7:DZ$106,$AD31),1),IF($AE31&gt;0,INDEX(DZ$7:DZ$106,$AE31),1),IF($AF31&gt;0,INDEX(DZ$7:DZ$106,$AF31),1),IF($AG31&gt;0,INDEX(DZ$7:DZ$106,$AG31),1),IF($AH31&gt;0,INDEX(DZ$7:DZ$106,$AH31),1),IF($AI31&gt;0,INDEX(DZ$7:DZ$106,$AI31),1),IF($AJ31&gt;0,INDEX(DZ$7:DZ$106,$AJ31),1))))</ns0:f>
        <ns0:v>1</ns0:v>
      </ns0:c>
      <ns0:c r="EB31" t="n">
        <ns0:f>IF($A31="",1,IF(EA31=1,1,--AND(IF($AC31&gt;0,INDEX(EA$7:EA$106,$AC31),1),IF($AD31&gt;0,INDEX(EA$7:EA$106,$AD31),1),IF($AE31&gt;0,INDEX(EA$7:EA$106,$AE31),1),IF($AF31&gt;0,INDEX(EA$7:EA$106,$AF31),1),IF($AG31&gt;0,INDEX(EA$7:EA$106,$AG31),1),IF($AH31&gt;0,INDEX(EA$7:EA$106,$AH31),1),IF($AI31&gt;0,INDEX(EA$7:EA$106,$AI31),1),IF($AJ31&gt;0,INDEX(EA$7:EA$106,$AJ31),1))))</ns0:f>
        <ns0:v>1</ns0:v>
      </ns0:c>
      <ns0:c r="EC31" t="n">
        <ns0:f>IF($A31="",1,IF(EB31=1,1,--AND(IF($AC31&gt;0,INDEX(EB$7:EB$106,$AC31),1),IF($AD31&gt;0,INDEX(EB$7:EB$106,$AD31),1),IF($AE31&gt;0,INDEX(EB$7:EB$106,$AE31),1),IF($AF31&gt;0,INDEX(EB$7:EB$106,$AF31),1),IF($AG31&gt;0,INDEX(EB$7:EB$106,$AG31),1),IF($AH31&gt;0,INDEX(EB$7:EB$106,$AH31),1),IF($AI31&gt;0,INDEX(EB$7:EB$106,$AI31),1),IF($AJ31&gt;0,INDEX(EB$7:EB$106,$AJ31),1))))</ns0:f>
        <ns0:v>1</ns0:v>
      </ns0:c>
      <ns0:c r="ED31" t="n">
        <ns0:f>IF($A31="",1,IF(EC31=1,1,--AND(IF($AC31&gt;0,INDEX(EC$7:EC$106,$AC31),1),IF($AD31&gt;0,INDEX(EC$7:EC$106,$AD31),1),IF($AE31&gt;0,INDEX(EC$7:EC$106,$AE31),1),IF($AF31&gt;0,INDEX(EC$7:EC$106,$AF31),1),IF($AG31&gt;0,INDEX(EC$7:EC$106,$AG31),1),IF($AH31&gt;0,INDEX(EC$7:EC$106,$AH31),1),IF($AI31&gt;0,INDEX(EC$7:EC$106,$AI31),1),IF($AJ31&gt;0,INDEX(EC$7:EC$106,$AJ31),1))))</ns0:f>
        <ns0:v>1</ns0:v>
      </ns0:c>
      <ns0:c r="EE31" t="n">
        <ns0:f>IF($A31="",1,IF(ED31=1,1,--AND(IF($AC31&gt;0,INDEX(ED$7:ED$106,$AC31),1),IF($AD31&gt;0,INDEX(ED$7:ED$106,$AD31),1),IF($AE31&gt;0,INDEX(ED$7:ED$106,$AE31),1),IF($AF31&gt;0,INDEX(ED$7:ED$106,$AF31),1),IF($AG31&gt;0,INDEX(ED$7:ED$106,$AG31),1),IF($AH31&gt;0,INDEX(ED$7:ED$106,$AH31),1),IF($AI31&gt;0,INDEX(ED$7:ED$106,$AI31),1),IF($AJ31&gt;0,INDEX(ED$7:ED$106,$AJ31),1))))</ns0:f>
        <ns0:v>1</ns0:v>
      </ns0:c>
      <ns0:c r="EF31" t="n">
        <ns0:f>IF($A31="",1,IF(EE31=1,1,--AND(IF($AC31&gt;0,INDEX(EE$7:EE$106,$AC31),1),IF($AD31&gt;0,INDEX(EE$7:EE$106,$AD31),1),IF($AE31&gt;0,INDEX(EE$7:EE$106,$AE31),1),IF($AF31&gt;0,INDEX(EE$7:EE$106,$AF31),1),IF($AG31&gt;0,INDEX(EE$7:EE$106,$AG31),1),IF($AH31&gt;0,INDEX(EE$7:EE$106,$AH31),1),IF($AI31&gt;0,INDEX(EE$7:EE$106,$AI31),1),IF($AJ31&gt;0,INDEX(EE$7:EE$106,$AJ31),1))))</ns0:f>
        <ns0:v>1</ns0:v>
      </ns0:c>
      <ns0:c r="EG31" t="n">
        <ns0:f>IF($A31="",1,IF(EF31=1,1,--AND(IF($AC31&gt;0,INDEX(EF$7:EF$106,$AC31),1),IF($AD31&gt;0,INDEX(EF$7:EF$106,$AD31),1),IF($AE31&gt;0,INDEX(EF$7:EF$106,$AE31),1),IF($AF31&gt;0,INDEX(EF$7:EF$106,$AF31),1),IF($AG31&gt;0,INDEX(EF$7:EF$106,$AG31),1),IF($AH31&gt;0,INDEX(EF$7:EF$106,$AH31),1),IF($AI31&gt;0,INDEX(EF$7:EF$106,$AI31),1),IF($AJ31&gt;0,INDEX(EF$7:EF$106,$AJ31),1))))</ns0:f>
        <ns0:v>1</ns0:v>
      </ns0:c>
      <ns0:c r="EH31" t="n">
        <ns0:f>IF($A31="",1,IF(EG31=1,1,--AND(IF($AC31&gt;0,INDEX(EG$7:EG$106,$AC31),1),IF($AD31&gt;0,INDEX(EG$7:EG$106,$AD31),1),IF($AE31&gt;0,INDEX(EG$7:EG$106,$AE31),1),IF($AF31&gt;0,INDEX(EG$7:EG$106,$AF31),1),IF($AG31&gt;0,INDEX(EG$7:EG$106,$AG31),1),IF($AH31&gt;0,INDEX(EG$7:EG$106,$AH31),1),IF($AI31&gt;0,INDEX(EG$7:EG$106,$AI31),1),IF($AJ31&gt;0,INDEX(EG$7:EG$106,$AJ31),1))))</ns0:f>
        <ns0:v>1</ns0:v>
      </ns0:c>
      <ns0:c r="EI31" t="n">
        <ns0:f>IF($A31="",1,IF(EH31=1,1,--AND(IF($AC31&gt;0,INDEX(EH$7:EH$106,$AC31),1),IF($AD31&gt;0,INDEX(EH$7:EH$106,$AD31),1),IF($AE31&gt;0,INDEX(EH$7:EH$106,$AE31),1),IF($AF31&gt;0,INDEX(EH$7:EH$106,$AF31),1),IF($AG31&gt;0,INDEX(EH$7:EH$106,$AG31),1),IF($AH31&gt;0,INDEX(EH$7:EH$106,$AH31),1),IF($AI31&gt;0,INDEX(EH$7:EH$106,$AI31),1),IF($AJ31&gt;0,INDEX(EH$7:EH$106,$AJ31),1))))</ns0:f>
        <ns0:v>1</ns0:v>
      </ns0:c>
      <ns0:c r="EJ31" t="n">
        <ns0:f>IF($A31="",1,IF(EI31=1,1,--AND(IF($AC31&gt;0,INDEX(EI$7:EI$106,$AC31),1),IF($AD31&gt;0,INDEX(EI$7:EI$106,$AD31),1),IF($AE31&gt;0,INDEX(EI$7:EI$106,$AE31),1),IF($AF31&gt;0,INDEX(EI$7:EI$106,$AF31),1),IF($AG31&gt;0,INDEX(EI$7:EI$106,$AG31),1),IF($AH31&gt;0,INDEX(EI$7:EI$106,$AH31),1),IF($AI31&gt;0,INDEX(EI$7:EI$106,$AI31),1),IF($AJ31&gt;0,INDEX(EI$7:EI$106,$AJ31),1))))</ns0:f>
        <ns0:v>1</ns0:v>
      </ns0:c>
      <ns0:c r="EK31" t="n">
        <ns0:f>IF($A31="",1,IF(EJ31=1,1,--AND(IF($AC31&gt;0,INDEX(EJ$7:EJ$106,$AC31),1),IF($AD31&gt;0,INDEX(EJ$7:EJ$106,$AD31),1),IF($AE31&gt;0,INDEX(EJ$7:EJ$106,$AE31),1),IF($AF31&gt;0,INDEX(EJ$7:EJ$106,$AF31),1),IF($AG31&gt;0,INDEX(EJ$7:EJ$106,$AG31),1),IF($AH31&gt;0,INDEX(EJ$7:EJ$106,$AH31),1),IF($AI31&gt;0,INDEX(EJ$7:EJ$106,$AI31),1),IF($AJ31&gt;0,INDEX(EJ$7:EJ$106,$AJ31),1))))</ns0:f>
        <ns0:v>1</ns0:v>
      </ns0:c>
      <ns0:c r="EL31" t="n">
        <ns0:f>IF($A31="",1,IF(EK31=1,1,--AND(IF($AC31&gt;0,INDEX(EK$7:EK$106,$AC31),1),IF($AD31&gt;0,INDEX(EK$7:EK$106,$AD31),1),IF($AE31&gt;0,INDEX(EK$7:EK$106,$AE31),1),IF($AF31&gt;0,INDEX(EK$7:EK$106,$AF31),1),IF($AG31&gt;0,INDEX(EK$7:EK$106,$AG31),1),IF($AH31&gt;0,INDEX(EK$7:EK$106,$AH31),1),IF($AI31&gt;0,INDEX(EK$7:EK$106,$AI31),1),IF($AJ31&gt;0,INDEX(EK$7:EK$106,$AJ31),1))))</ns0:f>
        <ns0:v>1</ns0:v>
      </ns0:c>
      <ns0:c r="EM31" t="n">
        <ns0:f>IF($A31="",1,IF(EL31=1,1,--AND(IF($AC31&gt;0,INDEX(EL$7:EL$106,$AC31),1),IF($AD31&gt;0,INDEX(EL$7:EL$106,$AD31),1),IF($AE31&gt;0,INDEX(EL$7:EL$106,$AE31),1),IF($AF31&gt;0,INDEX(EL$7:EL$106,$AF31),1),IF($AG31&gt;0,INDEX(EL$7:EL$106,$AG31),1),IF($AH31&gt;0,INDEX(EL$7:EL$106,$AH31),1),IF($AI31&gt;0,INDEX(EL$7:EL$106,$AI31),1),IF($AJ31&gt;0,INDEX(EL$7:EL$106,$AJ31),1))))</ns0:f>
        <ns0:v>1</ns0:v>
      </ns0:c>
      <ns0:c r="EN31" t="n">
        <ns0:f>IF($A31="",1,IF(EM31=1,1,--AND(IF($AC31&gt;0,INDEX(EM$7:EM$106,$AC31),1),IF($AD31&gt;0,INDEX(EM$7:EM$106,$AD31),1),IF($AE31&gt;0,INDEX(EM$7:EM$106,$AE31),1),IF($AF31&gt;0,INDEX(EM$7:EM$106,$AF31),1),IF($AG31&gt;0,INDEX(EM$7:EM$106,$AG31),1),IF($AH31&gt;0,INDEX(EM$7:EM$106,$AH31),1),IF($AI31&gt;0,INDEX(EM$7:EM$106,$AI31),1),IF($AJ31&gt;0,INDEX(EM$7:EM$106,$AJ31),1))))</ns0:f>
        <ns0:v>1</ns0:v>
      </ns0:c>
      <ns0:c r="EO31" t="n">
        <ns0:f>IF($A31="",1,IF(EN31=1,1,--AND(IF($AC31&gt;0,INDEX(EN$7:EN$106,$AC31),1),IF($AD31&gt;0,INDEX(EN$7:EN$106,$AD31),1),IF($AE31&gt;0,INDEX(EN$7:EN$106,$AE31),1),IF($AF31&gt;0,INDEX(EN$7:EN$106,$AF31),1),IF($AG31&gt;0,INDEX(EN$7:EN$106,$AG31),1),IF($AH31&gt;0,INDEX(EN$7:EN$106,$AH31),1),IF($AI31&gt;0,INDEX(EN$7:EN$106,$AI31),1),IF($AJ31&gt;0,INDEX(EN$7:EN$106,$AJ31),1))))</ns0:f>
        <ns0:v>1</ns0:v>
      </ns0:c>
      <ns0:c r="EP31" t="n">
        <ns0:f>IF($A31="",1,IF(EO31=1,1,--AND(IF($AC31&gt;0,INDEX(EO$7:EO$106,$AC31),1),IF($AD31&gt;0,INDEX(EO$7:EO$106,$AD31),1),IF($AE31&gt;0,INDEX(EO$7:EO$106,$AE31),1),IF($AF31&gt;0,INDEX(EO$7:EO$106,$AF31),1),IF($AG31&gt;0,INDEX(EO$7:EO$106,$AG31),1),IF($AH31&gt;0,INDEX(EO$7:EO$106,$AH31),1),IF($AI31&gt;0,INDEX(EO$7:EO$106,$AI31),1),IF($AJ31&gt;0,INDEX(EO$7:EO$106,$AJ31),1))))</ns0:f>
        <ns0:v>1</ns0:v>
      </ns0:c>
      <ns0:c r="EQ31" t="n">
        <ns0:f>IF(OR(A31="",NOT(ISNUMBER(G31))),0,G31*N31)</ns0:f>
        <ns0:v>0</ns0:v>
      </ns0:c>
    </ns0:row>
    <ns0:row r="32" ht="62" customHeight="1">
      <ns0:c r="A32" s="48" t="str">
        <ns0:v>T22</ns0:v>
      </ns0:c>
      <ns0:c r="B32" s="48" t="str">
        <ns0:v>Evidence &amp; approval</ns0:v>
      </ns0:c>
      <ns0:c r="C32" s="48" t="str">
        <ns0:v>Consolidate worker evidence envelopes &amp; verify confidence intervals</ns0:v>
      </ns0:c>
      <ns0:c r="D32" s="48" t="str">
        <ns0:v>Verify candidate artifacts, provenance, confidence and proposed state deltas.</ns0:v>
      </ns0:c>
      <ns0:c r="E32" s="49" t="n">
        <ns0:v>46293</ns0:v>
      </ns0:c>
      <ns0:c r="F32" s="49" t="n">
        <ns0:v>46294</ns0:v>
      </ns0:c>
      <ns0:c r="G32" s="13" t="n">
        <ns0:f>IF(A32="","",IF(OR(NOT(ISNUMBER(E32)),NOT(ISNUMBER(F32)),F32&lt;E32),"",IF(J32="Yes",0,F32-E32+1)))</ns0:f>
        <ns0:v>2</ns0:v>
      </ns0:c>
      <ns0:c r="H32" s="48" t="str">
        <ns0:v>T19,T20,T21</ns0:v>
      </ns0:c>
      <ns0:c r="I32" s="48" t="str">
        <ns0:v>FS</ns0:v>
      </ns0:c>
      <ns0:c r="J32" s="48" t="str">
        <ns0:v>No</ns0:v>
      </ns0:c>
      <ns0:c r="K32" s="48" t="str">
        <ns0:v>Intelligence Engine (IE / Orchestrator)</ns0:v>
      </ns0:c>
      <ns0:c r="L32" s="48" t="str"/>
      <ns0:c r="M32" s="50" t="str">
        <ns0:f>IF(A32="","",IF(N32=1,"Completed",IF(N32&gt;0,"In Progress","Not Started")))</ns0:f>
        <ns0:v>Not Started</ns0:v>
      </ns0:c>
      <ns0:c r="N32" s="51" t="n">
        <ns0:v>0</ns0:v>
      </ns0:c>
      <ns0:c r="O32" s="13" t="str">
        <ns0:f>IF(A32="","",IF(R32&lt;&gt;"","[CONFLICT] "&amp;R32,IF(S32&lt;&gt;"","[CONFLICT] "&amp;S32,IF(OR(NOT(ISNUMBER(N32)),N32&lt;0,N32&gt;1),"[CONFLICT] Invalid progress",IF(AK32&gt;0,"[DEPENDENCY ISSUE] Missing ID / &gt;8 links",IF(AM32&gt;0,"[DEPENDENCY ISSUE] Cycle or blocked by cycle",IF(AND(H32&lt;&gt;"",ISNA(MATCH(I32,{"FS","SS","FF","SF"},0))),"[DEPENDENCY ISSUE] Invalid type",IF(AL32&gt;0,"[DEPENDENCY ISSUE] Timing conflict",IF(OR(E32&lt;ProjectStart,F32&gt;ProjectEnd),"[OUTSIDE WINDOW]",IF(AND(N32&lt;1,F32&lt;AsOfDate),"Overdue",IF(AND(M32&lt;&gt;Q32,M32&lt;&gt;""),"[CONFLICT] Status / progress","On track")))))))))))</ns0:f>
        <ns0:v>On track</ns0:v>
      </ns0:c>
      <ns0:c r="P32" s="52" t="str">
        <ns0:v>Source: Project Plan Essentials (2).md §1, §2, §4. Original 2026-10-02 to 2026-10-04, 3d; original progress 50% [INFERRED]. [INFERRED] Rescheduled to fit 34d with FS. Duration reduced to 2d. Original resource/tools: Intelligence Engine (IE).</ns0:v>
      </ns0:c>
      <ns0:c r="Q32" t="str">
        <ns0:f>IF(A32="","",IF(OR(M32="On Hold",M32="Delayed"),M32,IF(N32=1,"Completed",IF(N32&gt;0,"In Progress","Not Started"))))</ns0:f>
        <ns0:v>Not Started</ns0:v>
      </ns0:c>
      <ns0:c r="R32" t="str">
        <ns0:f>IF(A32="","",IF(COUNTIFS(Tasks[Task ID],A32)&lt;&gt;1,"Duplicate ID",""))</ns0:f>
      </ns0:c>
      <ns0:c r="S32" t="str">
        <ns0:f>IF(A32="","",IF(OR(NOT(ISNUMBER(E32)),NOT(ISNUMBER(F32))),"Invalid / missing date",IF(OR(E32&lt;&gt;INT(E32),F32&lt;&gt;INT(F32),E32&lt;1,F32&gt;2958465),"Invalid date",IF(F32&lt;E32,"End before start",IF(AND(J32="Yes",E32&lt;&gt;F32),"Milestone needs one date","")))))</ns0:f>
      </ns0:c>
      <ns0:c r="T32" t="n">
        <ns0:f>IF(H32="",0,LEN(H32)-LEN(SUBSTITUTE(H32,",",""))+1)</ns0:f>
        <ns0:v>3</ns0:v>
      </ns0:c>
      <ns0:c r="U32" t="str">
        <ns0:f>TRIM(MID(SUBSTITUTE($H32,",",REPT(" ",100)),1,100))</ns0:f>
        <ns0:v>T19</ns0:v>
      </ns0:c>
      <ns0:c r="V32" t="str">
        <ns0:f>TRIM(MID(SUBSTITUTE($H32,",",REPT(" ",100)),101,100))</ns0:f>
        <ns0:v>T20</ns0:v>
      </ns0:c>
      <ns0:c r="W32" t="str">
        <ns0:f>TRIM(MID(SUBSTITUTE($H32,",",REPT(" ",100)),201,100))</ns0:f>
        <ns0:v>T21</ns0:v>
      </ns0:c>
      <ns0:c r="X32" t="str">
        <ns0:f>TRIM(MID(SUBSTITUTE($H32,",",REPT(" ",100)),301,100))</ns0:f>
      </ns0:c>
      <ns0:c r="Y32" t="str">
        <ns0:f>TRIM(MID(SUBSTITUTE($H32,",",REPT(" ",100)),401,100))</ns0:f>
      </ns0:c>
      <ns0:c r="Z32" t="str">
        <ns0:f>TRIM(MID(SUBSTITUTE($H32,",",REPT(" ",100)),501,100))</ns0:f>
      </ns0:c>
      <ns0:c r="AA32" t="str">
        <ns0:f>TRIM(MID(SUBSTITUTE($H32,",",REPT(" ",100)),601,100))</ns0:f>
      </ns0:c>
      <ns0:c r="AB32" t="str">
        <ns0:f>TRIM(MID(SUBSTITUTE($H32,",",REPT(" ",100)),701,100))</ns0:f>
      </ns0:c>
      <ns0:c r="AC32" t="n">
        <ns0:f>IF(U32="",0,IF(COUNTIFS(Tasks[Task ID],U32)=1,MATCH(U32,Tasks[Task ID],0),-1))</ns0:f>
        <ns0:v>22</ns0:v>
      </ns0:c>
      <ns0:c r="AD32" t="n">
        <ns0:f>IF(V32="",0,IF(COUNTIFS(Tasks[Task ID],V32)=1,MATCH(V32,Tasks[Task ID],0),-1))</ns0:f>
        <ns0:v>23</ns0:v>
      </ns0:c>
      <ns0:c r="AE32" t="n">
        <ns0:f>IF(W32="",0,IF(COUNTIFS(Tasks[Task ID],W32)=1,MATCH(W32,Tasks[Task ID],0),-1))</ns0:f>
        <ns0:v>24</ns0:v>
      </ns0:c>
      <ns0:c r="AF32" t="n">
        <ns0:f>IF(X32="",0,IF(COUNTIFS(Tasks[Task ID],X32)=1,MATCH(X32,Tasks[Task ID],0),-1))</ns0:f>
        <ns0:v>0</ns0:v>
      </ns0:c>
      <ns0:c r="AG32" t="n">
        <ns0:f>IF(Y32="",0,IF(COUNTIFS(Tasks[Task ID],Y32)=1,MATCH(Y32,Tasks[Task ID],0),-1))</ns0:f>
        <ns0:v>0</ns0:v>
      </ns0:c>
      <ns0:c r="AH32" t="n">
        <ns0:f>IF(Z32="",0,IF(COUNTIFS(Tasks[Task ID],Z32)=1,MATCH(Z32,Tasks[Task ID],0),-1))</ns0:f>
        <ns0:v>0</ns0:v>
      </ns0:c>
      <ns0:c r="AI32" t="n">
        <ns0:f>IF(AA32="",0,IF(COUNTIFS(Tasks[Task ID],AA32)=1,MATCH(AA32,Tasks[Task ID],0),-1))</ns0:f>
        <ns0:v>0</ns0:v>
      </ns0:c>
      <ns0:c r="AJ32" t="n">
        <ns0:f>IF(AB32="",0,IF(COUNTIFS(Tasks[Task ID],AB32)=1,MATCH(AB32,Tasks[Task ID],0),-1))</ns0:f>
        <ns0:v>0</ns0:v>
      </ns0:c>
      <ns0:c r="AK32" t="n">
        <ns0:f>COUNTIFS(AC32:AJ32,-1)+IF(T32&gt;8,1,0)</ns0:f>
        <ns0:v>0</ns0:v>
      </ns0:c>
      <ns0:c r="AL32" t="n">
        <ns0:f>IF(OR(A32="",S32&lt;&gt;""),0,SUM(IF(AC32&gt;0,IF($I32="FS",--($E32&lt;INDEX(Tasks[End Date],AC32)+IF(INDEX(Tasks[Milestone],AC32)="Yes",0,1)),IF($I32="SS",--($E32&lt;INDEX(Tasks[Start Date],AC32)),IF($I32="FF",--($F32&lt;INDEX(Tasks[End Date],AC32)),IF($I32="SF",--($F32&lt;INDEX(Tasks[Start Date],AC32)),0)))),0),IF(AD32&gt;0,IF($I32="FS",--($E32&lt;INDEX(Tasks[End Date],AD32)+IF(INDEX(Tasks[Milestone],AD32)="Yes",0,1)),IF($I32="SS",--($E32&lt;INDEX(Tasks[Start Date],AD32)),IF($I32="FF",--($F32&lt;INDEX(Tasks[End Date],AD32)),IF($I32="SF",--($F32&lt;INDEX(Tasks[Start Date],AD32)),0)))),0),IF(AE32&gt;0,IF($I32="FS",--($E32&lt;INDEX(Tasks[End Date],AE32)+IF(INDEX(Tasks[Milestone],AE32)="Yes",0,1)),IF($I32="SS",--($E32&lt;INDEX(Tasks[Start Date],AE32)),IF($I32="FF",--($F32&lt;INDEX(Tasks[End Date],AE32)),IF($I32="SF",--($F32&lt;INDEX(Tasks[Start Date],AE32)),0)))),0),IF(AF32&gt;0,IF($I32="FS",--($E32&lt;INDEX(Tasks[End Date],AF32)+IF(INDEX(Tasks[Milestone],AF32)="Yes",0,1)),IF($I32="SS",--($E32&lt;INDEX(Tasks[Start Date],AF32)),IF($I32="FF",--($F32&lt;INDEX(Tasks[End Date],AF32)),IF($I32="SF",--($F32&lt;INDEX(Tasks[Start Date],AF32)),0)))),0),IF(AG32&gt;0,IF($I32="FS",--($E32&lt;INDEX(Tasks[End Date],AG32)+IF(INDEX(Tasks[Milestone],AG32)="Yes",0,1)),IF($I32="SS",--($E32&lt;INDEX(Tasks[Start Date],AG32)),IF($I32="FF",--($F32&lt;INDEX(Tasks[End Date],AG32)),IF($I32="SF",--($F32&lt;INDEX(Tasks[Start Date],AG32)),0)))),0),IF(AH32&gt;0,IF($I32="FS",--($E32&lt;INDEX(Tasks[End Date],AH32)+IF(INDEX(Tasks[Milestone],AH32)="Yes",0,1)),IF($I32="SS",--($E32&lt;INDEX(Tasks[Start Date],AH32)),IF($I32="FF",--($F32&lt;INDEX(Tasks[End Date],AH32)),IF($I32="SF",--($F32&lt;INDEX(Tasks[Start Date],AH32)),0)))),0),IF(AI32&gt;0,IF($I32="FS",--($E32&lt;INDEX(Tasks[End Date],AI32)+IF(INDEX(Tasks[Milestone],AI32)="Yes",0,1)),IF($I32="SS",--($E32&lt;INDEX(Tasks[Start Date],AI32)),IF($I32="FF",--($F32&lt;INDEX(Tasks[End Date],AI32)),IF($I32="SF",--($F32&lt;INDEX(Tasks[Start Date],AI32)),0)))),0),IF(AJ32&gt;0,IF($I32="FS",--($E32&lt;INDEX(Tasks[End Date],AJ32)+IF(INDEX(Tasks[Milestone],AJ32)="Yes",0,1)),IF($I32="SS",--($E32&lt;INDEX(Tasks[Start Date],AJ32)),IF($I32="FF",--($F32&lt;INDEX(Tasks[End Date],AJ32)),IF($I32="SF",--($F32&lt;INDEX(Tasks[Start Date],AJ32)),0)))),0)))</ns0:f>
        <ns0:v>0</ns0:v>
      </ns0:c>
      <ns0:c r="AM32" t="n">
        <ns0:f>IF(AND(A32&lt;&gt;"",AK32=0,EP32=0),1,0)</ns0:f>
        <ns0:v>0</ns0:v>
      </ns0:c>
      <ns0:c r="AN32" t="n">
        <ns0:f>IF(OR(A32="",B32=""),"",IF(COUNTIFS($B$7:B32,B32)=1,MAX($AN$6:AN31)+1,""))</ns0:f>
        <ns0:v>5</ns0:v>
      </ns0:c>
      <ns0:c r="AO32" t="n">
        <ns0:f>IF(AND(A32&lt;&gt;"",J32="No",N32&lt;1,E32&gt;=AsOfDate),E32+ROW()/10000,1E+9)</ns0:f>
        <ns0:v>46293.0032</ns0:v>
      </ns0:c>
      <ns0:c r="AP32" t="n">
        <ns0:f>IF(AND(A32&lt;&gt;"",J32="Yes",N32&lt;1,E32&gt;=AsOfDate),E32+ROW()/10000,1E+9)</ns0:f>
        <ns0:v>1000000000</ns0:v>
      </ns0:c>
      <ns0:c r="AQ32" t="n">
        <ns0:f>IF(AND(A32&lt;&gt;"",J32="No",N32&lt;1,F32&gt;=AsOfDate,F32&lt;=AsOfDate+7),F32+ROW()/10000,1E+9)</ns0:f>
        <ns0:v>1000000000</ns0:v>
      </ns0:c>
      <ns0:c r="AR32" t="n">
        <ns0:f>IF(AND(A32&lt;&gt;"",OR(O32&lt;&gt;"On track",Q32="Delayed")),ROW(),1E+9)</ns0:f>
        <ns0:v>1000000000</ns0:v>
      </ns0:c>
      <ns0:c r="AS32" t="str">
        <ns0:f>IF(A32="","",";"&amp;K32&amp;";")</ns0:f>
        <ns0:v>;Intelligence Engine (IE / Orchestrator);</ns0:v>
      </ns0:c>
      <ns0:c r="AT32" t="n">
        <ns0:f>IF(A32="",1,--(T32=0))</ns0:f>
        <ns0:v>0</ns0:v>
      </ns0:c>
      <ns0:c r="AU32" t="n">
        <ns0:f>IF($A32="",1,IF(AT32=1,1,--AND(IF($AC32&gt;0,INDEX(AT$7:AT$106,$AC32),1),IF($AD32&gt;0,INDEX(AT$7:AT$106,$AD32),1),IF($AE32&gt;0,INDEX(AT$7:AT$106,$AE32),1),IF($AF32&gt;0,INDEX(AT$7:AT$106,$AF32),1),IF($AG32&gt;0,INDEX(AT$7:AT$106,$AG32),1),IF($AH32&gt;0,INDEX(AT$7:AT$106,$AH32),1),IF($AI32&gt;0,INDEX(AT$7:AT$106,$AI32),1),IF($AJ32&gt;0,INDEX(AT$7:AT$106,$AJ32),1))))</ns0:f>
        <ns0:v>0</ns0:v>
      </ns0:c>
      <ns0:c r="AV32" t="n">
        <ns0:f>IF($A32="",1,IF(AU32=1,1,--AND(IF($AC32&gt;0,INDEX(AU$7:AU$106,$AC32),1),IF($AD32&gt;0,INDEX(AU$7:AU$106,$AD32),1),IF($AE32&gt;0,INDEX(AU$7:AU$106,$AE32),1),IF($AF32&gt;0,INDEX(AU$7:AU$106,$AF32),1),IF($AG32&gt;0,INDEX(AU$7:AU$106,$AG32),1),IF($AH32&gt;0,INDEX(AU$7:AU$106,$AH32),1),IF($AI32&gt;0,INDEX(AU$7:AU$106,$AI32),1),IF($AJ32&gt;0,INDEX(AU$7:AU$106,$AJ32),1))))</ns0:f>
        <ns0:v>0</ns0:v>
      </ns0:c>
      <ns0:c r="AW32" t="n">
        <ns0:f>IF($A32="",1,IF(AV32=1,1,--AND(IF($AC32&gt;0,INDEX(AV$7:AV$106,$AC32),1),IF($AD32&gt;0,INDEX(AV$7:AV$106,$AD32),1),IF($AE32&gt;0,INDEX(AV$7:AV$106,$AE32),1),IF($AF32&gt;0,INDEX(AV$7:AV$106,$AF32),1),IF($AG32&gt;0,INDEX(AV$7:AV$106,$AG32),1),IF($AH32&gt;0,INDEX(AV$7:AV$106,$AH32),1),IF($AI32&gt;0,INDEX(AV$7:AV$106,$AI32),1),IF($AJ32&gt;0,INDEX(AV$7:AV$106,$AJ32),1))))</ns0:f>
        <ns0:v>0</ns0:v>
      </ns0:c>
      <ns0:c r="AX32" t="n">
        <ns0:f>IF($A32="",1,IF(AW32=1,1,--AND(IF($AC32&gt;0,INDEX(AW$7:AW$106,$AC32),1),IF($AD32&gt;0,INDEX(AW$7:AW$106,$AD32),1),IF($AE32&gt;0,INDEX(AW$7:AW$106,$AE32),1),IF($AF32&gt;0,INDEX(AW$7:AW$106,$AF32),1),IF($AG32&gt;0,INDEX(AW$7:AW$106,$AG32),1),IF($AH32&gt;0,INDEX(AW$7:AW$106,$AH32),1),IF($AI32&gt;0,INDEX(AW$7:AW$106,$AI32),1),IF($AJ32&gt;0,INDEX(AW$7:AW$106,$AJ32),1))))</ns0:f>
        <ns0:v>0</ns0:v>
      </ns0:c>
      <ns0:c r="AY32" t="n">
        <ns0:f>IF($A32="",1,IF(AX32=1,1,--AND(IF($AC32&gt;0,INDEX(AX$7:AX$106,$AC32),1),IF($AD32&gt;0,INDEX(AX$7:AX$106,$AD32),1),IF($AE32&gt;0,INDEX(AX$7:AX$106,$AE32),1),IF($AF32&gt;0,INDEX(AX$7:AX$106,$AF32),1),IF($AG32&gt;0,INDEX(AX$7:AX$106,$AG32),1),IF($AH32&gt;0,INDEX(AX$7:AX$106,$AH32),1),IF($AI32&gt;0,INDEX(AX$7:AX$106,$AI32),1),IF($AJ32&gt;0,INDEX(AX$7:AX$106,$AJ32),1))))</ns0:f>
        <ns0:v>0</ns0:v>
      </ns0:c>
      <ns0:c r="AZ32" t="n">
        <ns0:f>IF($A32="",1,IF(AY32=1,1,--AND(IF($AC32&gt;0,INDEX(AY$7:AY$106,$AC32),1),IF($AD32&gt;0,INDEX(AY$7:AY$106,$AD32),1),IF($AE32&gt;0,INDEX(AY$7:AY$106,$AE32),1),IF($AF32&gt;0,INDEX(AY$7:AY$106,$AF32),1),IF($AG32&gt;0,INDEX(AY$7:AY$106,$AG32),1),IF($AH32&gt;0,INDEX(AY$7:AY$106,$AH32),1),IF($AI32&gt;0,INDEX(AY$7:AY$106,$AI32),1),IF($AJ32&gt;0,INDEX(AY$7:AY$106,$AJ32),1))))</ns0:f>
        <ns0:v>0</ns0:v>
      </ns0:c>
      <ns0:c r="BA32" t="n">
        <ns0:f>IF($A32="",1,IF(AZ32=1,1,--AND(IF($AC32&gt;0,INDEX(AZ$7:AZ$106,$AC32),1),IF($AD32&gt;0,INDEX(AZ$7:AZ$106,$AD32),1),IF($AE32&gt;0,INDEX(AZ$7:AZ$106,$AE32),1),IF($AF32&gt;0,INDEX(AZ$7:AZ$106,$AF32),1),IF($AG32&gt;0,INDEX(AZ$7:AZ$106,$AG32),1),IF($AH32&gt;0,INDEX(AZ$7:AZ$106,$AH32),1),IF($AI32&gt;0,INDEX(AZ$7:AZ$106,$AI32),1),IF($AJ32&gt;0,INDEX(AZ$7:AZ$106,$AJ32),1))))</ns0:f>
        <ns0:v>0</ns0:v>
      </ns0:c>
      <ns0:c r="BB32" t="n">
        <ns0:f>IF($A32="",1,IF(BA32=1,1,--AND(IF($AC32&gt;0,INDEX(BA$7:BA$106,$AC32),1),IF($AD32&gt;0,INDEX(BA$7:BA$106,$AD32),1),IF($AE32&gt;0,INDEX(BA$7:BA$106,$AE32),1),IF($AF32&gt;0,INDEX(BA$7:BA$106,$AF32),1),IF($AG32&gt;0,INDEX(BA$7:BA$106,$AG32),1),IF($AH32&gt;0,INDEX(BA$7:BA$106,$AH32),1),IF($AI32&gt;0,INDEX(BA$7:BA$106,$AI32),1),IF($AJ32&gt;0,INDEX(BA$7:BA$106,$AJ32),1))))</ns0:f>
        <ns0:v>0</ns0:v>
      </ns0:c>
      <ns0:c r="BC32" t="n">
        <ns0:f>IF($A32="",1,IF(BB32=1,1,--AND(IF($AC32&gt;0,INDEX(BB$7:BB$106,$AC32),1),IF($AD32&gt;0,INDEX(BB$7:BB$106,$AD32),1),IF($AE32&gt;0,INDEX(BB$7:BB$106,$AE32),1),IF($AF32&gt;0,INDEX(BB$7:BB$106,$AF32),1),IF($AG32&gt;0,INDEX(BB$7:BB$106,$AG32),1),IF($AH32&gt;0,INDEX(BB$7:BB$106,$AH32),1),IF($AI32&gt;0,INDEX(BB$7:BB$106,$AI32),1),IF($AJ32&gt;0,INDEX(BB$7:BB$106,$AJ32),1))))</ns0:f>
        <ns0:v>1</ns0:v>
      </ns0:c>
      <ns0:c r="BD32" t="n">
        <ns0:f>IF($A32="",1,IF(BC32=1,1,--AND(IF($AC32&gt;0,INDEX(BC$7:BC$106,$AC32),1),IF($AD32&gt;0,INDEX(BC$7:BC$106,$AD32),1),IF($AE32&gt;0,INDEX(BC$7:BC$106,$AE32),1),IF($AF32&gt;0,INDEX(BC$7:BC$106,$AF32),1),IF($AG32&gt;0,INDEX(BC$7:BC$106,$AG32),1),IF($AH32&gt;0,INDEX(BC$7:BC$106,$AH32),1),IF($AI32&gt;0,INDEX(BC$7:BC$106,$AI32),1),IF($AJ32&gt;0,INDEX(BC$7:BC$106,$AJ32),1))))</ns0:f>
        <ns0:v>1</ns0:v>
      </ns0:c>
      <ns0:c r="BE32" t="n">
        <ns0:f>IF($A32="",1,IF(BD32=1,1,--AND(IF($AC32&gt;0,INDEX(BD$7:BD$106,$AC32),1),IF($AD32&gt;0,INDEX(BD$7:BD$106,$AD32),1),IF($AE32&gt;0,INDEX(BD$7:BD$106,$AE32),1),IF($AF32&gt;0,INDEX(BD$7:BD$106,$AF32),1),IF($AG32&gt;0,INDEX(BD$7:BD$106,$AG32),1),IF($AH32&gt;0,INDEX(BD$7:BD$106,$AH32),1),IF($AI32&gt;0,INDEX(BD$7:BD$106,$AI32),1),IF($AJ32&gt;0,INDEX(BD$7:BD$106,$AJ32),1))))</ns0:f>
        <ns0:v>1</ns0:v>
      </ns0:c>
      <ns0:c r="BF32" t="n">
        <ns0:f>IF($A32="",1,IF(BE32=1,1,--AND(IF($AC32&gt;0,INDEX(BE$7:BE$106,$AC32),1),IF($AD32&gt;0,INDEX(BE$7:BE$106,$AD32),1),IF($AE32&gt;0,INDEX(BE$7:BE$106,$AE32),1),IF($AF32&gt;0,INDEX(BE$7:BE$106,$AF32),1),IF($AG32&gt;0,INDEX(BE$7:BE$106,$AG32),1),IF($AH32&gt;0,INDEX(BE$7:BE$106,$AH32),1),IF($AI32&gt;0,INDEX(BE$7:BE$106,$AI32),1),IF($AJ32&gt;0,INDEX(BE$7:BE$106,$AJ32),1))))</ns0:f>
        <ns0:v>1</ns0:v>
      </ns0:c>
      <ns0:c r="BG32" t="n">
        <ns0:f>IF($A32="",1,IF(BF32=1,1,--AND(IF($AC32&gt;0,INDEX(BF$7:BF$106,$AC32),1),IF($AD32&gt;0,INDEX(BF$7:BF$106,$AD32),1),IF($AE32&gt;0,INDEX(BF$7:BF$106,$AE32),1),IF($AF32&gt;0,INDEX(BF$7:BF$106,$AF32),1),IF($AG32&gt;0,INDEX(BF$7:BF$106,$AG32),1),IF($AH32&gt;0,INDEX(BF$7:BF$106,$AH32),1),IF($AI32&gt;0,INDEX(BF$7:BF$106,$AI32),1),IF($AJ32&gt;0,INDEX(BF$7:BF$106,$AJ32),1))))</ns0:f>
        <ns0:v>1</ns0:v>
      </ns0:c>
      <ns0:c r="BH32" t="n">
        <ns0:f>IF($A32="",1,IF(BG32=1,1,--AND(IF($AC32&gt;0,INDEX(BG$7:BG$106,$AC32),1),IF($AD32&gt;0,INDEX(BG$7:BG$106,$AD32),1),IF($AE32&gt;0,INDEX(BG$7:BG$106,$AE32),1),IF($AF32&gt;0,INDEX(BG$7:BG$106,$AF32),1),IF($AG32&gt;0,INDEX(BG$7:BG$106,$AG32),1),IF($AH32&gt;0,INDEX(BG$7:BG$106,$AH32),1),IF($AI32&gt;0,INDEX(BG$7:BG$106,$AI32),1),IF($AJ32&gt;0,INDEX(BG$7:BG$106,$AJ32),1))))</ns0:f>
        <ns0:v>1</ns0:v>
      </ns0:c>
      <ns0:c r="BI32" t="n">
        <ns0:f>IF($A32="",1,IF(BH32=1,1,--AND(IF($AC32&gt;0,INDEX(BH$7:BH$106,$AC32),1),IF($AD32&gt;0,INDEX(BH$7:BH$106,$AD32),1),IF($AE32&gt;0,INDEX(BH$7:BH$106,$AE32),1),IF($AF32&gt;0,INDEX(BH$7:BH$106,$AF32),1),IF($AG32&gt;0,INDEX(BH$7:BH$106,$AG32),1),IF($AH32&gt;0,INDEX(BH$7:BH$106,$AH32),1),IF($AI32&gt;0,INDEX(BH$7:BH$106,$AI32),1),IF($AJ32&gt;0,INDEX(BH$7:BH$106,$AJ32),1))))</ns0:f>
        <ns0:v>1</ns0:v>
      </ns0:c>
      <ns0:c r="BJ32" t="n">
        <ns0:f>IF($A32="",1,IF(BI32=1,1,--AND(IF($AC32&gt;0,INDEX(BI$7:BI$106,$AC32),1),IF($AD32&gt;0,INDEX(BI$7:BI$106,$AD32),1),IF($AE32&gt;0,INDEX(BI$7:BI$106,$AE32),1),IF($AF32&gt;0,INDEX(BI$7:BI$106,$AF32),1),IF($AG32&gt;0,INDEX(BI$7:BI$106,$AG32),1),IF($AH32&gt;0,INDEX(BI$7:BI$106,$AH32),1),IF($AI32&gt;0,INDEX(BI$7:BI$106,$AI32),1),IF($AJ32&gt;0,INDEX(BI$7:BI$106,$AJ32),1))))</ns0:f>
        <ns0:v>1</ns0:v>
      </ns0:c>
      <ns0:c r="BK32" t="n">
        <ns0:f>IF($A32="",1,IF(BJ32=1,1,--AND(IF($AC32&gt;0,INDEX(BJ$7:BJ$106,$AC32),1),IF($AD32&gt;0,INDEX(BJ$7:BJ$106,$AD32),1),IF($AE32&gt;0,INDEX(BJ$7:BJ$106,$AE32),1),IF($AF32&gt;0,INDEX(BJ$7:BJ$106,$AF32),1),IF($AG32&gt;0,INDEX(BJ$7:BJ$106,$AG32),1),IF($AH32&gt;0,INDEX(BJ$7:BJ$106,$AH32),1),IF($AI32&gt;0,INDEX(BJ$7:BJ$106,$AI32),1),IF($AJ32&gt;0,INDEX(BJ$7:BJ$106,$AJ32),1))))</ns0:f>
        <ns0:v>1</ns0:v>
      </ns0:c>
      <ns0:c r="BL32" t="n">
        <ns0:f>IF($A32="",1,IF(BK32=1,1,--AND(IF($AC32&gt;0,INDEX(BK$7:BK$106,$AC32),1),IF($AD32&gt;0,INDEX(BK$7:BK$106,$AD32),1),IF($AE32&gt;0,INDEX(BK$7:BK$106,$AE32),1),IF($AF32&gt;0,INDEX(BK$7:BK$106,$AF32),1),IF($AG32&gt;0,INDEX(BK$7:BK$106,$AG32),1),IF($AH32&gt;0,INDEX(BK$7:BK$106,$AH32),1),IF($AI32&gt;0,INDEX(BK$7:BK$106,$AI32),1),IF($AJ32&gt;0,INDEX(BK$7:BK$106,$AJ32),1))))</ns0:f>
        <ns0:v>1</ns0:v>
      </ns0:c>
      <ns0:c r="BM32" t="n">
        <ns0:f>IF($A32="",1,IF(BL32=1,1,--AND(IF($AC32&gt;0,INDEX(BL$7:BL$106,$AC32),1),IF($AD32&gt;0,INDEX(BL$7:BL$106,$AD32),1),IF($AE32&gt;0,INDEX(BL$7:BL$106,$AE32),1),IF($AF32&gt;0,INDEX(BL$7:BL$106,$AF32),1),IF($AG32&gt;0,INDEX(BL$7:BL$106,$AG32),1),IF($AH32&gt;0,INDEX(BL$7:BL$106,$AH32),1),IF($AI32&gt;0,INDEX(BL$7:BL$106,$AI32),1),IF($AJ32&gt;0,INDEX(BL$7:BL$106,$AJ32),1))))</ns0:f>
        <ns0:v>1</ns0:v>
      </ns0:c>
      <ns0:c r="BN32" t="n">
        <ns0:f>IF($A32="",1,IF(BM32=1,1,--AND(IF($AC32&gt;0,INDEX(BM$7:BM$106,$AC32),1),IF($AD32&gt;0,INDEX(BM$7:BM$106,$AD32),1),IF($AE32&gt;0,INDEX(BM$7:BM$106,$AE32),1),IF($AF32&gt;0,INDEX(BM$7:BM$106,$AF32),1),IF($AG32&gt;0,INDEX(BM$7:BM$106,$AG32),1),IF($AH32&gt;0,INDEX(BM$7:BM$106,$AH32),1),IF($AI32&gt;0,INDEX(BM$7:BM$106,$AI32),1),IF($AJ32&gt;0,INDEX(BM$7:BM$106,$AJ32),1))))</ns0:f>
        <ns0:v>1</ns0:v>
      </ns0:c>
      <ns0:c r="BO32" t="n">
        <ns0:f>IF($A32="",1,IF(BN32=1,1,--AND(IF($AC32&gt;0,INDEX(BN$7:BN$106,$AC32),1),IF($AD32&gt;0,INDEX(BN$7:BN$106,$AD32),1),IF($AE32&gt;0,INDEX(BN$7:BN$106,$AE32),1),IF($AF32&gt;0,INDEX(BN$7:BN$106,$AF32),1),IF($AG32&gt;0,INDEX(BN$7:BN$106,$AG32),1),IF($AH32&gt;0,INDEX(BN$7:BN$106,$AH32),1),IF($AI32&gt;0,INDEX(BN$7:BN$106,$AI32),1),IF($AJ32&gt;0,INDEX(BN$7:BN$106,$AJ32),1))))</ns0:f>
        <ns0:v>1</ns0:v>
      </ns0:c>
      <ns0:c r="BP32" t="n">
        <ns0:f>IF($A32="",1,IF(BO32=1,1,--AND(IF($AC32&gt;0,INDEX(BO$7:BO$106,$AC32),1),IF($AD32&gt;0,INDEX(BO$7:BO$106,$AD32),1),IF($AE32&gt;0,INDEX(BO$7:BO$106,$AE32),1),IF($AF32&gt;0,INDEX(BO$7:BO$106,$AF32),1),IF($AG32&gt;0,INDEX(BO$7:BO$106,$AG32),1),IF($AH32&gt;0,INDEX(BO$7:BO$106,$AH32),1),IF($AI32&gt;0,INDEX(BO$7:BO$106,$AI32),1),IF($AJ32&gt;0,INDEX(BO$7:BO$106,$AJ32),1))))</ns0:f>
        <ns0:v>1</ns0:v>
      </ns0:c>
      <ns0:c r="BQ32" t="n">
        <ns0:f>IF($A32="",1,IF(BP32=1,1,--AND(IF($AC32&gt;0,INDEX(BP$7:BP$106,$AC32),1),IF($AD32&gt;0,INDEX(BP$7:BP$106,$AD32),1),IF($AE32&gt;0,INDEX(BP$7:BP$106,$AE32),1),IF($AF32&gt;0,INDEX(BP$7:BP$106,$AF32),1),IF($AG32&gt;0,INDEX(BP$7:BP$106,$AG32),1),IF($AH32&gt;0,INDEX(BP$7:BP$106,$AH32),1),IF($AI32&gt;0,INDEX(BP$7:BP$106,$AI32),1),IF($AJ32&gt;0,INDEX(BP$7:BP$106,$AJ32),1))))</ns0:f>
        <ns0:v>1</ns0:v>
      </ns0:c>
      <ns0:c r="BR32" t="n">
        <ns0:f>IF($A32="",1,IF(BQ32=1,1,--AND(IF($AC32&gt;0,INDEX(BQ$7:BQ$106,$AC32),1),IF($AD32&gt;0,INDEX(BQ$7:BQ$106,$AD32),1),IF($AE32&gt;0,INDEX(BQ$7:BQ$106,$AE32),1),IF($AF32&gt;0,INDEX(BQ$7:BQ$106,$AF32),1),IF($AG32&gt;0,INDEX(BQ$7:BQ$106,$AG32),1),IF($AH32&gt;0,INDEX(BQ$7:BQ$106,$AH32),1),IF($AI32&gt;0,INDEX(BQ$7:BQ$106,$AI32),1),IF($AJ32&gt;0,INDEX(BQ$7:BQ$106,$AJ32),1))))</ns0:f>
        <ns0:v>1</ns0:v>
      </ns0:c>
      <ns0:c r="BS32" t="n">
        <ns0:f>IF($A32="",1,IF(BR32=1,1,--AND(IF($AC32&gt;0,INDEX(BR$7:BR$106,$AC32),1),IF($AD32&gt;0,INDEX(BR$7:BR$106,$AD32),1),IF($AE32&gt;0,INDEX(BR$7:BR$106,$AE32),1),IF($AF32&gt;0,INDEX(BR$7:BR$106,$AF32),1),IF($AG32&gt;0,INDEX(BR$7:BR$106,$AG32),1),IF($AH32&gt;0,INDEX(BR$7:BR$106,$AH32),1),IF($AI32&gt;0,INDEX(BR$7:BR$106,$AI32),1),IF($AJ32&gt;0,INDEX(BR$7:BR$106,$AJ32),1))))</ns0:f>
        <ns0:v>1</ns0:v>
      </ns0:c>
      <ns0:c r="BT32" t="n">
        <ns0:f>IF($A32="",1,IF(BS32=1,1,--AND(IF($AC32&gt;0,INDEX(BS$7:BS$106,$AC32),1),IF($AD32&gt;0,INDEX(BS$7:BS$106,$AD32),1),IF($AE32&gt;0,INDEX(BS$7:BS$106,$AE32),1),IF($AF32&gt;0,INDEX(BS$7:BS$106,$AF32),1),IF($AG32&gt;0,INDEX(BS$7:BS$106,$AG32),1),IF($AH32&gt;0,INDEX(BS$7:BS$106,$AH32),1),IF($AI32&gt;0,INDEX(BS$7:BS$106,$AI32),1),IF($AJ32&gt;0,INDEX(BS$7:BS$106,$AJ32),1))))</ns0:f>
        <ns0:v>1</ns0:v>
      </ns0:c>
      <ns0:c r="BU32" t="n">
        <ns0:f>IF($A32="",1,IF(BT32=1,1,--AND(IF($AC32&gt;0,INDEX(BT$7:BT$106,$AC32),1),IF($AD32&gt;0,INDEX(BT$7:BT$106,$AD32),1),IF($AE32&gt;0,INDEX(BT$7:BT$106,$AE32),1),IF($AF32&gt;0,INDEX(BT$7:BT$106,$AF32),1),IF($AG32&gt;0,INDEX(BT$7:BT$106,$AG32),1),IF($AH32&gt;0,INDEX(BT$7:BT$106,$AH32),1),IF($AI32&gt;0,INDEX(BT$7:BT$106,$AI32),1),IF($AJ32&gt;0,INDEX(BT$7:BT$106,$AJ32),1))))</ns0:f>
        <ns0:v>1</ns0:v>
      </ns0:c>
      <ns0:c r="BV32" t="n">
        <ns0:f>IF($A32="",1,IF(BU32=1,1,--AND(IF($AC32&gt;0,INDEX(BU$7:BU$106,$AC32),1),IF($AD32&gt;0,INDEX(BU$7:BU$106,$AD32),1),IF($AE32&gt;0,INDEX(BU$7:BU$106,$AE32),1),IF($AF32&gt;0,INDEX(BU$7:BU$106,$AF32),1),IF($AG32&gt;0,INDEX(BU$7:BU$106,$AG32),1),IF($AH32&gt;0,INDEX(BU$7:BU$106,$AH32),1),IF($AI32&gt;0,INDEX(BU$7:BU$106,$AI32),1),IF($AJ32&gt;0,INDEX(BU$7:BU$106,$AJ32),1))))</ns0:f>
        <ns0:v>1</ns0:v>
      </ns0:c>
      <ns0:c r="BW32" t="n">
        <ns0:f>IF($A32="",1,IF(BV32=1,1,--AND(IF($AC32&gt;0,INDEX(BV$7:BV$106,$AC32),1),IF($AD32&gt;0,INDEX(BV$7:BV$106,$AD32),1),IF($AE32&gt;0,INDEX(BV$7:BV$106,$AE32),1),IF($AF32&gt;0,INDEX(BV$7:BV$106,$AF32),1),IF($AG32&gt;0,INDEX(BV$7:BV$106,$AG32),1),IF($AH32&gt;0,INDEX(BV$7:BV$106,$AH32),1),IF($AI32&gt;0,INDEX(BV$7:BV$106,$AI32),1),IF($AJ32&gt;0,INDEX(BV$7:BV$106,$AJ32),1))))</ns0:f>
        <ns0:v>1</ns0:v>
      </ns0:c>
      <ns0:c r="BX32" t="n">
        <ns0:f>IF($A32="",1,IF(BW32=1,1,--AND(IF($AC32&gt;0,INDEX(BW$7:BW$106,$AC32),1),IF($AD32&gt;0,INDEX(BW$7:BW$106,$AD32),1),IF($AE32&gt;0,INDEX(BW$7:BW$106,$AE32),1),IF($AF32&gt;0,INDEX(BW$7:BW$106,$AF32),1),IF($AG32&gt;0,INDEX(BW$7:BW$106,$AG32),1),IF($AH32&gt;0,INDEX(BW$7:BW$106,$AH32),1),IF($AI32&gt;0,INDEX(BW$7:BW$106,$AI32),1),IF($AJ32&gt;0,INDEX(BW$7:BW$106,$AJ32),1))))</ns0:f>
        <ns0:v>1</ns0:v>
      </ns0:c>
      <ns0:c r="BY32" t="n">
        <ns0:f>IF($A32="",1,IF(BX32=1,1,--AND(IF($AC32&gt;0,INDEX(BX$7:BX$106,$AC32),1),IF($AD32&gt;0,INDEX(BX$7:BX$106,$AD32),1),IF($AE32&gt;0,INDEX(BX$7:BX$106,$AE32),1),IF($AF32&gt;0,INDEX(BX$7:BX$106,$AF32),1),IF($AG32&gt;0,INDEX(BX$7:BX$106,$AG32),1),IF($AH32&gt;0,INDEX(BX$7:BX$106,$AH32),1),IF($AI32&gt;0,INDEX(BX$7:BX$106,$AI32),1),IF($AJ32&gt;0,INDEX(BX$7:BX$106,$AJ32),1))))</ns0:f>
        <ns0:v>1</ns0:v>
      </ns0:c>
      <ns0:c r="BZ32" t="n">
        <ns0:f>IF($A32="",1,IF(BY32=1,1,--AND(IF($AC32&gt;0,INDEX(BY$7:BY$106,$AC32),1),IF($AD32&gt;0,INDEX(BY$7:BY$106,$AD32),1),IF($AE32&gt;0,INDEX(BY$7:BY$106,$AE32),1),IF($AF32&gt;0,INDEX(BY$7:BY$106,$AF32),1),IF($AG32&gt;0,INDEX(BY$7:BY$106,$AG32),1),IF($AH32&gt;0,INDEX(BY$7:BY$106,$AH32),1),IF($AI32&gt;0,INDEX(BY$7:BY$106,$AI32),1),IF($AJ32&gt;0,INDEX(BY$7:BY$106,$AJ32),1))))</ns0:f>
        <ns0:v>1</ns0:v>
      </ns0:c>
      <ns0:c r="CA32" t="n">
        <ns0:f>IF($A32="",1,IF(BZ32=1,1,--AND(IF($AC32&gt;0,INDEX(BZ$7:BZ$106,$AC32),1),IF($AD32&gt;0,INDEX(BZ$7:BZ$106,$AD32),1),IF($AE32&gt;0,INDEX(BZ$7:BZ$106,$AE32),1),IF($AF32&gt;0,INDEX(BZ$7:BZ$106,$AF32),1),IF($AG32&gt;0,INDEX(BZ$7:BZ$106,$AG32),1),IF($AH32&gt;0,INDEX(BZ$7:BZ$106,$AH32),1),IF($AI32&gt;0,INDEX(BZ$7:BZ$106,$AI32),1),IF($AJ32&gt;0,INDEX(BZ$7:BZ$106,$AJ32),1))))</ns0:f>
        <ns0:v>1</ns0:v>
      </ns0:c>
      <ns0:c r="CB32" t="n">
        <ns0:f>IF($A32="",1,IF(CA32=1,1,--AND(IF($AC32&gt;0,INDEX(CA$7:CA$106,$AC32),1),IF($AD32&gt;0,INDEX(CA$7:CA$106,$AD32),1),IF($AE32&gt;0,INDEX(CA$7:CA$106,$AE32),1),IF($AF32&gt;0,INDEX(CA$7:CA$106,$AF32),1),IF($AG32&gt;0,INDEX(CA$7:CA$106,$AG32),1),IF($AH32&gt;0,INDEX(CA$7:CA$106,$AH32),1),IF($AI32&gt;0,INDEX(CA$7:CA$106,$AI32),1),IF($AJ32&gt;0,INDEX(CA$7:CA$106,$AJ32),1))))</ns0:f>
        <ns0:v>1</ns0:v>
      </ns0:c>
      <ns0:c r="CC32" t="n">
        <ns0:f>IF($A32="",1,IF(CB32=1,1,--AND(IF($AC32&gt;0,INDEX(CB$7:CB$106,$AC32),1),IF($AD32&gt;0,INDEX(CB$7:CB$106,$AD32),1),IF($AE32&gt;0,INDEX(CB$7:CB$106,$AE32),1),IF($AF32&gt;0,INDEX(CB$7:CB$106,$AF32),1),IF($AG32&gt;0,INDEX(CB$7:CB$106,$AG32),1),IF($AH32&gt;0,INDEX(CB$7:CB$106,$AH32),1),IF($AI32&gt;0,INDEX(CB$7:CB$106,$AI32),1),IF($AJ32&gt;0,INDEX(CB$7:CB$106,$AJ32),1))))</ns0:f>
        <ns0:v>1</ns0:v>
      </ns0:c>
      <ns0:c r="CD32" t="n">
        <ns0:f>IF($A32="",1,IF(CC32=1,1,--AND(IF($AC32&gt;0,INDEX(CC$7:CC$106,$AC32),1),IF($AD32&gt;0,INDEX(CC$7:CC$106,$AD32),1),IF($AE32&gt;0,INDEX(CC$7:CC$106,$AE32),1),IF($AF32&gt;0,INDEX(CC$7:CC$106,$AF32),1),IF($AG32&gt;0,INDEX(CC$7:CC$106,$AG32),1),IF($AH32&gt;0,INDEX(CC$7:CC$106,$AH32),1),IF($AI32&gt;0,INDEX(CC$7:CC$106,$AI32),1),IF($AJ32&gt;0,INDEX(CC$7:CC$106,$AJ32),1))))</ns0:f>
        <ns0:v>1</ns0:v>
      </ns0:c>
      <ns0:c r="CE32" t="n">
        <ns0:f>IF($A32="",1,IF(CD32=1,1,--AND(IF($AC32&gt;0,INDEX(CD$7:CD$106,$AC32),1),IF($AD32&gt;0,INDEX(CD$7:CD$106,$AD32),1),IF($AE32&gt;0,INDEX(CD$7:CD$106,$AE32),1),IF($AF32&gt;0,INDEX(CD$7:CD$106,$AF32),1),IF($AG32&gt;0,INDEX(CD$7:CD$106,$AG32),1),IF($AH32&gt;0,INDEX(CD$7:CD$106,$AH32),1),IF($AI32&gt;0,INDEX(CD$7:CD$106,$AI32),1),IF($AJ32&gt;0,INDEX(CD$7:CD$106,$AJ32),1))))</ns0:f>
        <ns0:v>1</ns0:v>
      </ns0:c>
      <ns0:c r="CF32" t="n">
        <ns0:f>IF($A32="",1,IF(CE32=1,1,--AND(IF($AC32&gt;0,INDEX(CE$7:CE$106,$AC32),1),IF($AD32&gt;0,INDEX(CE$7:CE$106,$AD32),1),IF($AE32&gt;0,INDEX(CE$7:CE$106,$AE32),1),IF($AF32&gt;0,INDEX(CE$7:CE$106,$AF32),1),IF($AG32&gt;0,INDEX(CE$7:CE$106,$AG32),1),IF($AH32&gt;0,INDEX(CE$7:CE$106,$AH32),1),IF($AI32&gt;0,INDEX(CE$7:CE$106,$AI32),1),IF($AJ32&gt;0,INDEX(CE$7:CE$106,$AJ32),1))))</ns0:f>
        <ns0:v>1</ns0:v>
      </ns0:c>
      <ns0:c r="CG32" t="n">
        <ns0:f>IF($A32="",1,IF(CF32=1,1,--AND(IF($AC32&gt;0,INDEX(CF$7:CF$106,$AC32),1),IF($AD32&gt;0,INDEX(CF$7:CF$106,$AD32),1),IF($AE32&gt;0,INDEX(CF$7:CF$106,$AE32),1),IF($AF32&gt;0,INDEX(CF$7:CF$106,$AF32),1),IF($AG32&gt;0,INDEX(CF$7:CF$106,$AG32),1),IF($AH32&gt;0,INDEX(CF$7:CF$106,$AH32),1),IF($AI32&gt;0,INDEX(CF$7:CF$106,$AI32),1),IF($AJ32&gt;0,INDEX(CF$7:CF$106,$AJ32),1))))</ns0:f>
        <ns0:v>1</ns0:v>
      </ns0:c>
      <ns0:c r="CH32" t="n">
        <ns0:f>IF($A32="",1,IF(CG32=1,1,--AND(IF($AC32&gt;0,INDEX(CG$7:CG$106,$AC32),1),IF($AD32&gt;0,INDEX(CG$7:CG$106,$AD32),1),IF($AE32&gt;0,INDEX(CG$7:CG$106,$AE32),1),IF($AF32&gt;0,INDEX(CG$7:CG$106,$AF32),1),IF($AG32&gt;0,INDEX(CG$7:CG$106,$AG32),1),IF($AH32&gt;0,INDEX(CG$7:CG$106,$AH32),1),IF($AI32&gt;0,INDEX(CG$7:CG$106,$AI32),1),IF($AJ32&gt;0,INDEX(CG$7:CG$106,$AJ32),1))))</ns0:f>
        <ns0:v>1</ns0:v>
      </ns0:c>
      <ns0:c r="CI32" t="n">
        <ns0:f>IF($A32="",1,IF(CH32=1,1,--AND(IF($AC32&gt;0,INDEX(CH$7:CH$106,$AC32),1),IF($AD32&gt;0,INDEX(CH$7:CH$106,$AD32),1),IF($AE32&gt;0,INDEX(CH$7:CH$106,$AE32),1),IF($AF32&gt;0,INDEX(CH$7:CH$106,$AF32),1),IF($AG32&gt;0,INDEX(CH$7:CH$106,$AG32),1),IF($AH32&gt;0,INDEX(CH$7:CH$106,$AH32),1),IF($AI32&gt;0,INDEX(CH$7:CH$106,$AI32),1),IF($AJ32&gt;0,INDEX(CH$7:CH$106,$AJ32),1))))</ns0:f>
        <ns0:v>1</ns0:v>
      </ns0:c>
      <ns0:c r="CJ32" t="n">
        <ns0:f>IF($A32="",1,IF(CI32=1,1,--AND(IF($AC32&gt;0,INDEX(CI$7:CI$106,$AC32),1),IF($AD32&gt;0,INDEX(CI$7:CI$106,$AD32),1),IF($AE32&gt;0,INDEX(CI$7:CI$106,$AE32),1),IF($AF32&gt;0,INDEX(CI$7:CI$106,$AF32),1),IF($AG32&gt;0,INDEX(CI$7:CI$106,$AG32),1),IF($AH32&gt;0,INDEX(CI$7:CI$106,$AH32),1),IF($AI32&gt;0,INDEX(CI$7:CI$106,$AI32),1),IF($AJ32&gt;0,INDEX(CI$7:CI$106,$AJ32),1))))</ns0:f>
        <ns0:v>1</ns0:v>
      </ns0:c>
      <ns0:c r="CK32" t="n">
        <ns0:f>IF($A32="",1,IF(CJ32=1,1,--AND(IF($AC32&gt;0,INDEX(CJ$7:CJ$106,$AC32),1),IF($AD32&gt;0,INDEX(CJ$7:CJ$106,$AD32),1),IF($AE32&gt;0,INDEX(CJ$7:CJ$106,$AE32),1),IF($AF32&gt;0,INDEX(CJ$7:CJ$106,$AF32),1),IF($AG32&gt;0,INDEX(CJ$7:CJ$106,$AG32),1),IF($AH32&gt;0,INDEX(CJ$7:CJ$106,$AH32),1),IF($AI32&gt;0,INDEX(CJ$7:CJ$106,$AI32),1),IF($AJ32&gt;0,INDEX(CJ$7:CJ$106,$AJ32),1))))</ns0:f>
        <ns0:v>1</ns0:v>
      </ns0:c>
      <ns0:c r="CL32" t="n">
        <ns0:f>IF($A32="",1,IF(CK32=1,1,--AND(IF($AC32&gt;0,INDEX(CK$7:CK$106,$AC32),1),IF($AD32&gt;0,INDEX(CK$7:CK$106,$AD32),1),IF($AE32&gt;0,INDEX(CK$7:CK$106,$AE32),1),IF($AF32&gt;0,INDEX(CK$7:CK$106,$AF32),1),IF($AG32&gt;0,INDEX(CK$7:CK$106,$AG32),1),IF($AH32&gt;0,INDEX(CK$7:CK$106,$AH32),1),IF($AI32&gt;0,INDEX(CK$7:CK$106,$AI32),1),IF($AJ32&gt;0,INDEX(CK$7:CK$106,$AJ32),1))))</ns0:f>
        <ns0:v>1</ns0:v>
      </ns0:c>
      <ns0:c r="CM32" t="n">
        <ns0:f>IF($A32="",1,IF(CL32=1,1,--AND(IF($AC32&gt;0,INDEX(CL$7:CL$106,$AC32),1),IF($AD32&gt;0,INDEX(CL$7:CL$106,$AD32),1),IF($AE32&gt;0,INDEX(CL$7:CL$106,$AE32),1),IF($AF32&gt;0,INDEX(CL$7:CL$106,$AF32),1),IF($AG32&gt;0,INDEX(CL$7:CL$106,$AG32),1),IF($AH32&gt;0,INDEX(CL$7:CL$106,$AH32),1),IF($AI32&gt;0,INDEX(CL$7:CL$106,$AI32),1),IF($AJ32&gt;0,INDEX(CL$7:CL$106,$AJ32),1))))</ns0:f>
        <ns0:v>1</ns0:v>
      </ns0:c>
      <ns0:c r="CN32" t="n">
        <ns0:f>IF($A32="",1,IF(CM32=1,1,--AND(IF($AC32&gt;0,INDEX(CM$7:CM$106,$AC32),1),IF($AD32&gt;0,INDEX(CM$7:CM$106,$AD32),1),IF($AE32&gt;0,INDEX(CM$7:CM$106,$AE32),1),IF($AF32&gt;0,INDEX(CM$7:CM$106,$AF32),1),IF($AG32&gt;0,INDEX(CM$7:CM$106,$AG32),1),IF($AH32&gt;0,INDEX(CM$7:CM$106,$AH32),1),IF($AI32&gt;0,INDEX(CM$7:CM$106,$AI32),1),IF($AJ32&gt;0,INDEX(CM$7:CM$106,$AJ32),1))))</ns0:f>
        <ns0:v>1</ns0:v>
      </ns0:c>
      <ns0:c r="CO32" t="n">
        <ns0:f>IF($A32="",1,IF(CN32=1,1,--AND(IF($AC32&gt;0,INDEX(CN$7:CN$106,$AC32),1),IF($AD32&gt;0,INDEX(CN$7:CN$106,$AD32),1),IF($AE32&gt;0,INDEX(CN$7:CN$106,$AE32),1),IF($AF32&gt;0,INDEX(CN$7:CN$106,$AF32),1),IF($AG32&gt;0,INDEX(CN$7:CN$106,$AG32),1),IF($AH32&gt;0,INDEX(CN$7:CN$106,$AH32),1),IF($AI32&gt;0,INDEX(CN$7:CN$106,$AI32),1),IF($AJ32&gt;0,INDEX(CN$7:CN$106,$AJ32),1))))</ns0:f>
        <ns0:v>1</ns0:v>
      </ns0:c>
      <ns0:c r="CP32" t="n">
        <ns0:f>IF($A32="",1,IF(CO32=1,1,--AND(IF($AC32&gt;0,INDEX(CO$7:CO$106,$AC32),1),IF($AD32&gt;0,INDEX(CO$7:CO$106,$AD32),1),IF($AE32&gt;0,INDEX(CO$7:CO$106,$AE32),1),IF($AF32&gt;0,INDEX(CO$7:CO$106,$AF32),1),IF($AG32&gt;0,INDEX(CO$7:CO$106,$AG32),1),IF($AH32&gt;0,INDEX(CO$7:CO$106,$AH32),1),IF($AI32&gt;0,INDEX(CO$7:CO$106,$AI32),1),IF($AJ32&gt;0,INDEX(CO$7:CO$106,$AJ32),1))))</ns0:f>
        <ns0:v>1</ns0:v>
      </ns0:c>
      <ns0:c r="CQ32" t="n">
        <ns0:f>IF($A32="",1,IF(CP32=1,1,--AND(IF($AC32&gt;0,INDEX(CP$7:CP$106,$AC32),1),IF($AD32&gt;0,INDEX(CP$7:CP$106,$AD32),1),IF($AE32&gt;0,INDEX(CP$7:CP$106,$AE32),1),IF($AF32&gt;0,INDEX(CP$7:CP$106,$AF32),1),IF($AG32&gt;0,INDEX(CP$7:CP$106,$AG32),1),IF($AH32&gt;0,INDEX(CP$7:CP$106,$AH32),1),IF($AI32&gt;0,INDEX(CP$7:CP$106,$AI32),1),IF($AJ32&gt;0,INDEX(CP$7:CP$106,$AJ32),1))))</ns0:f>
        <ns0:v>1</ns0:v>
      </ns0:c>
      <ns0:c r="CR32" t="n">
        <ns0:f>IF($A32="",1,IF(CQ32=1,1,--AND(IF($AC32&gt;0,INDEX(CQ$7:CQ$106,$AC32),1),IF($AD32&gt;0,INDEX(CQ$7:CQ$106,$AD32),1),IF($AE32&gt;0,INDEX(CQ$7:CQ$106,$AE32),1),IF($AF32&gt;0,INDEX(CQ$7:CQ$106,$AF32),1),IF($AG32&gt;0,INDEX(CQ$7:CQ$106,$AG32),1),IF($AH32&gt;0,INDEX(CQ$7:CQ$106,$AH32),1),IF($AI32&gt;0,INDEX(CQ$7:CQ$106,$AI32),1),IF($AJ32&gt;0,INDEX(CQ$7:CQ$106,$AJ32),1))))</ns0:f>
        <ns0:v>1</ns0:v>
      </ns0:c>
      <ns0:c r="CS32" t="n">
        <ns0:f>IF($A32="",1,IF(CR32=1,1,--AND(IF($AC32&gt;0,INDEX(CR$7:CR$106,$AC32),1),IF($AD32&gt;0,INDEX(CR$7:CR$106,$AD32),1),IF($AE32&gt;0,INDEX(CR$7:CR$106,$AE32),1),IF($AF32&gt;0,INDEX(CR$7:CR$106,$AF32),1),IF($AG32&gt;0,INDEX(CR$7:CR$106,$AG32),1),IF($AH32&gt;0,INDEX(CR$7:CR$106,$AH32),1),IF($AI32&gt;0,INDEX(CR$7:CR$106,$AI32),1),IF($AJ32&gt;0,INDEX(CR$7:CR$106,$AJ32),1))))</ns0:f>
        <ns0:v>1</ns0:v>
      </ns0:c>
      <ns0:c r="CT32" t="n">
        <ns0:f>IF($A32="",1,IF(CS32=1,1,--AND(IF($AC32&gt;0,INDEX(CS$7:CS$106,$AC32),1),IF($AD32&gt;0,INDEX(CS$7:CS$106,$AD32),1),IF($AE32&gt;0,INDEX(CS$7:CS$106,$AE32),1),IF($AF32&gt;0,INDEX(CS$7:CS$106,$AF32),1),IF($AG32&gt;0,INDEX(CS$7:CS$106,$AG32),1),IF($AH32&gt;0,INDEX(CS$7:CS$106,$AH32),1),IF($AI32&gt;0,INDEX(CS$7:CS$106,$AI32),1),IF($AJ32&gt;0,INDEX(CS$7:CS$106,$AJ32),1))))</ns0:f>
        <ns0:v>1</ns0:v>
      </ns0:c>
      <ns0:c r="CU32" t="n">
        <ns0:f>IF($A32="",1,IF(CT32=1,1,--AND(IF($AC32&gt;0,INDEX(CT$7:CT$106,$AC32),1),IF($AD32&gt;0,INDEX(CT$7:CT$106,$AD32),1),IF($AE32&gt;0,INDEX(CT$7:CT$106,$AE32),1),IF($AF32&gt;0,INDEX(CT$7:CT$106,$AF32),1),IF($AG32&gt;0,INDEX(CT$7:CT$106,$AG32),1),IF($AH32&gt;0,INDEX(CT$7:CT$106,$AH32),1),IF($AI32&gt;0,INDEX(CT$7:CT$106,$AI32),1),IF($AJ32&gt;0,INDEX(CT$7:CT$106,$AJ32),1))))</ns0:f>
        <ns0:v>1</ns0:v>
      </ns0:c>
      <ns0:c r="CV32" t="n">
        <ns0:f>IF($A32="",1,IF(CU32=1,1,--AND(IF($AC32&gt;0,INDEX(CU$7:CU$106,$AC32),1),IF($AD32&gt;0,INDEX(CU$7:CU$106,$AD32),1),IF($AE32&gt;0,INDEX(CU$7:CU$106,$AE32),1),IF($AF32&gt;0,INDEX(CU$7:CU$106,$AF32),1),IF($AG32&gt;0,INDEX(CU$7:CU$106,$AG32),1),IF($AH32&gt;0,INDEX(CU$7:CU$106,$AH32),1),IF($AI32&gt;0,INDEX(CU$7:CU$106,$AI32),1),IF($AJ32&gt;0,INDEX(CU$7:CU$106,$AJ32),1))))</ns0:f>
        <ns0:v>1</ns0:v>
      </ns0:c>
      <ns0:c r="CW32" t="n">
        <ns0:f>IF($A32="",1,IF(CV32=1,1,--AND(IF($AC32&gt;0,INDEX(CV$7:CV$106,$AC32),1),IF($AD32&gt;0,INDEX(CV$7:CV$106,$AD32),1),IF($AE32&gt;0,INDEX(CV$7:CV$106,$AE32),1),IF($AF32&gt;0,INDEX(CV$7:CV$106,$AF32),1),IF($AG32&gt;0,INDEX(CV$7:CV$106,$AG32),1),IF($AH32&gt;0,INDEX(CV$7:CV$106,$AH32),1),IF($AI32&gt;0,INDEX(CV$7:CV$106,$AI32),1),IF($AJ32&gt;0,INDEX(CV$7:CV$106,$AJ32),1))))</ns0:f>
        <ns0:v>1</ns0:v>
      </ns0:c>
      <ns0:c r="CX32" t="n">
        <ns0:f>IF($A32="",1,IF(CW32=1,1,--AND(IF($AC32&gt;0,INDEX(CW$7:CW$106,$AC32),1),IF($AD32&gt;0,INDEX(CW$7:CW$106,$AD32),1),IF($AE32&gt;0,INDEX(CW$7:CW$106,$AE32),1),IF($AF32&gt;0,INDEX(CW$7:CW$106,$AF32),1),IF($AG32&gt;0,INDEX(CW$7:CW$106,$AG32),1),IF($AH32&gt;0,INDEX(CW$7:CW$106,$AH32),1),IF($AI32&gt;0,INDEX(CW$7:CW$106,$AI32),1),IF($AJ32&gt;0,INDEX(CW$7:CW$106,$AJ32),1))))</ns0:f>
        <ns0:v>1</ns0:v>
      </ns0:c>
      <ns0:c r="CY32" t="n">
        <ns0:f>IF($A32="",1,IF(CX32=1,1,--AND(IF($AC32&gt;0,INDEX(CX$7:CX$106,$AC32),1),IF($AD32&gt;0,INDEX(CX$7:CX$106,$AD32),1),IF($AE32&gt;0,INDEX(CX$7:CX$106,$AE32),1),IF($AF32&gt;0,INDEX(CX$7:CX$106,$AF32),1),IF($AG32&gt;0,INDEX(CX$7:CX$106,$AG32),1),IF($AH32&gt;0,INDEX(CX$7:CX$106,$AH32),1),IF($AI32&gt;0,INDEX(CX$7:CX$106,$AI32),1),IF($AJ32&gt;0,INDEX(CX$7:CX$106,$AJ32),1))))</ns0:f>
        <ns0:v>1</ns0:v>
      </ns0:c>
      <ns0:c r="CZ32" t="n">
        <ns0:f>IF($A32="",1,IF(CY32=1,1,--AND(IF($AC32&gt;0,INDEX(CY$7:CY$106,$AC32),1),IF($AD32&gt;0,INDEX(CY$7:CY$106,$AD32),1),IF($AE32&gt;0,INDEX(CY$7:CY$106,$AE32),1),IF($AF32&gt;0,INDEX(CY$7:CY$106,$AF32),1),IF($AG32&gt;0,INDEX(CY$7:CY$106,$AG32),1),IF($AH32&gt;0,INDEX(CY$7:CY$106,$AH32),1),IF($AI32&gt;0,INDEX(CY$7:CY$106,$AI32),1),IF($AJ32&gt;0,INDEX(CY$7:CY$106,$AJ32),1))))</ns0:f>
        <ns0:v>1</ns0:v>
      </ns0:c>
      <ns0:c r="DA32" t="n">
        <ns0:f>IF($A32="",1,IF(CZ32=1,1,--AND(IF($AC32&gt;0,INDEX(CZ$7:CZ$106,$AC32),1),IF($AD32&gt;0,INDEX(CZ$7:CZ$106,$AD32),1),IF($AE32&gt;0,INDEX(CZ$7:CZ$106,$AE32),1),IF($AF32&gt;0,INDEX(CZ$7:CZ$106,$AF32),1),IF($AG32&gt;0,INDEX(CZ$7:CZ$106,$AG32),1),IF($AH32&gt;0,INDEX(CZ$7:CZ$106,$AH32),1),IF($AI32&gt;0,INDEX(CZ$7:CZ$106,$AI32),1),IF($AJ32&gt;0,INDEX(CZ$7:CZ$106,$AJ32),1))))</ns0:f>
        <ns0:v>1</ns0:v>
      </ns0:c>
      <ns0:c r="DB32" t="n">
        <ns0:f>IF($A32="",1,IF(DA32=1,1,--AND(IF($AC32&gt;0,INDEX(DA$7:DA$106,$AC32),1),IF($AD32&gt;0,INDEX(DA$7:DA$106,$AD32),1),IF($AE32&gt;0,INDEX(DA$7:DA$106,$AE32),1),IF($AF32&gt;0,INDEX(DA$7:DA$106,$AF32),1),IF($AG32&gt;0,INDEX(DA$7:DA$106,$AG32),1),IF($AH32&gt;0,INDEX(DA$7:DA$106,$AH32),1),IF($AI32&gt;0,INDEX(DA$7:DA$106,$AI32),1),IF($AJ32&gt;0,INDEX(DA$7:DA$106,$AJ32),1))))</ns0:f>
        <ns0:v>1</ns0:v>
      </ns0:c>
      <ns0:c r="DC32" t="n">
        <ns0:f>IF($A32="",1,IF(DB32=1,1,--AND(IF($AC32&gt;0,INDEX(DB$7:DB$106,$AC32),1),IF($AD32&gt;0,INDEX(DB$7:DB$106,$AD32),1),IF($AE32&gt;0,INDEX(DB$7:DB$106,$AE32),1),IF($AF32&gt;0,INDEX(DB$7:DB$106,$AF32),1),IF($AG32&gt;0,INDEX(DB$7:DB$106,$AG32),1),IF($AH32&gt;0,INDEX(DB$7:DB$106,$AH32),1),IF($AI32&gt;0,INDEX(DB$7:DB$106,$AI32),1),IF($AJ32&gt;0,INDEX(DB$7:DB$106,$AJ32),1))))</ns0:f>
        <ns0:v>1</ns0:v>
      </ns0:c>
      <ns0:c r="DD32" t="n">
        <ns0:f>IF($A32="",1,IF(DC32=1,1,--AND(IF($AC32&gt;0,INDEX(DC$7:DC$106,$AC32),1),IF($AD32&gt;0,INDEX(DC$7:DC$106,$AD32),1),IF($AE32&gt;0,INDEX(DC$7:DC$106,$AE32),1),IF($AF32&gt;0,INDEX(DC$7:DC$106,$AF32),1),IF($AG32&gt;0,INDEX(DC$7:DC$106,$AG32),1),IF($AH32&gt;0,INDEX(DC$7:DC$106,$AH32),1),IF($AI32&gt;0,INDEX(DC$7:DC$106,$AI32),1),IF($AJ32&gt;0,INDEX(DC$7:DC$106,$AJ32),1))))</ns0:f>
        <ns0:v>1</ns0:v>
      </ns0:c>
      <ns0:c r="DE32" t="n">
        <ns0:f>IF($A32="",1,IF(DD32=1,1,--AND(IF($AC32&gt;0,INDEX(DD$7:DD$106,$AC32),1),IF($AD32&gt;0,INDEX(DD$7:DD$106,$AD32),1),IF($AE32&gt;0,INDEX(DD$7:DD$106,$AE32),1),IF($AF32&gt;0,INDEX(DD$7:DD$106,$AF32),1),IF($AG32&gt;0,INDEX(DD$7:DD$106,$AG32),1),IF($AH32&gt;0,INDEX(DD$7:DD$106,$AH32),1),IF($AI32&gt;0,INDEX(DD$7:DD$106,$AI32),1),IF($AJ32&gt;0,INDEX(DD$7:DD$106,$AJ32),1))))</ns0:f>
        <ns0:v>1</ns0:v>
      </ns0:c>
      <ns0:c r="DF32" t="n">
        <ns0:f>IF($A32="",1,IF(DE32=1,1,--AND(IF($AC32&gt;0,INDEX(DE$7:DE$106,$AC32),1),IF($AD32&gt;0,INDEX(DE$7:DE$106,$AD32),1),IF($AE32&gt;0,INDEX(DE$7:DE$106,$AE32),1),IF($AF32&gt;0,INDEX(DE$7:DE$106,$AF32),1),IF($AG32&gt;0,INDEX(DE$7:DE$106,$AG32),1),IF($AH32&gt;0,INDEX(DE$7:DE$106,$AH32),1),IF($AI32&gt;0,INDEX(DE$7:DE$106,$AI32),1),IF($AJ32&gt;0,INDEX(DE$7:DE$106,$AJ32),1))))</ns0:f>
        <ns0:v>1</ns0:v>
      </ns0:c>
      <ns0:c r="DG32" t="n">
        <ns0:f>IF($A32="",1,IF(DF32=1,1,--AND(IF($AC32&gt;0,INDEX(DF$7:DF$106,$AC32),1),IF($AD32&gt;0,INDEX(DF$7:DF$106,$AD32),1),IF($AE32&gt;0,INDEX(DF$7:DF$106,$AE32),1),IF($AF32&gt;0,INDEX(DF$7:DF$106,$AF32),1),IF($AG32&gt;0,INDEX(DF$7:DF$106,$AG32),1),IF($AH32&gt;0,INDEX(DF$7:DF$106,$AH32),1),IF($AI32&gt;0,INDEX(DF$7:DF$106,$AI32),1),IF($AJ32&gt;0,INDEX(DF$7:DF$106,$AJ32),1))))</ns0:f>
        <ns0:v>1</ns0:v>
      </ns0:c>
      <ns0:c r="DH32" t="n">
        <ns0:f>IF($A32="",1,IF(DG32=1,1,--AND(IF($AC32&gt;0,INDEX(DG$7:DG$106,$AC32),1),IF($AD32&gt;0,INDEX(DG$7:DG$106,$AD32),1),IF($AE32&gt;0,INDEX(DG$7:DG$106,$AE32),1),IF($AF32&gt;0,INDEX(DG$7:DG$106,$AF32),1),IF($AG32&gt;0,INDEX(DG$7:DG$106,$AG32),1),IF($AH32&gt;0,INDEX(DG$7:DG$106,$AH32),1),IF($AI32&gt;0,INDEX(DG$7:DG$106,$AI32),1),IF($AJ32&gt;0,INDEX(DG$7:DG$106,$AJ32),1))))</ns0:f>
        <ns0:v>1</ns0:v>
      </ns0:c>
      <ns0:c r="DI32" t="n">
        <ns0:f>IF($A32="",1,IF(DH32=1,1,--AND(IF($AC32&gt;0,INDEX(DH$7:DH$106,$AC32),1),IF($AD32&gt;0,INDEX(DH$7:DH$106,$AD32),1),IF($AE32&gt;0,INDEX(DH$7:DH$106,$AE32),1),IF($AF32&gt;0,INDEX(DH$7:DH$106,$AF32),1),IF($AG32&gt;0,INDEX(DH$7:DH$106,$AG32),1),IF($AH32&gt;0,INDEX(DH$7:DH$106,$AH32),1),IF($AI32&gt;0,INDEX(DH$7:DH$106,$AI32),1),IF($AJ32&gt;0,INDEX(DH$7:DH$106,$AJ32),1))))</ns0:f>
        <ns0:v>1</ns0:v>
      </ns0:c>
      <ns0:c r="DJ32" t="n">
        <ns0:f>IF($A32="",1,IF(DI32=1,1,--AND(IF($AC32&gt;0,INDEX(DI$7:DI$106,$AC32),1),IF($AD32&gt;0,INDEX(DI$7:DI$106,$AD32),1),IF($AE32&gt;0,INDEX(DI$7:DI$106,$AE32),1),IF($AF32&gt;0,INDEX(DI$7:DI$106,$AF32),1),IF($AG32&gt;0,INDEX(DI$7:DI$106,$AG32),1),IF($AH32&gt;0,INDEX(DI$7:DI$106,$AH32),1),IF($AI32&gt;0,INDEX(DI$7:DI$106,$AI32),1),IF($AJ32&gt;0,INDEX(DI$7:DI$106,$AJ32),1))))</ns0:f>
        <ns0:v>1</ns0:v>
      </ns0:c>
      <ns0:c r="DK32" t="n">
        <ns0:f>IF($A32="",1,IF(DJ32=1,1,--AND(IF($AC32&gt;0,INDEX(DJ$7:DJ$106,$AC32),1),IF($AD32&gt;0,INDEX(DJ$7:DJ$106,$AD32),1),IF($AE32&gt;0,INDEX(DJ$7:DJ$106,$AE32),1),IF($AF32&gt;0,INDEX(DJ$7:DJ$106,$AF32),1),IF($AG32&gt;0,INDEX(DJ$7:DJ$106,$AG32),1),IF($AH32&gt;0,INDEX(DJ$7:DJ$106,$AH32),1),IF($AI32&gt;0,INDEX(DJ$7:DJ$106,$AI32),1),IF($AJ32&gt;0,INDEX(DJ$7:DJ$106,$AJ32),1))))</ns0:f>
        <ns0:v>1</ns0:v>
      </ns0:c>
      <ns0:c r="DL32" t="n">
        <ns0:f>IF($A32="",1,IF(DK32=1,1,--AND(IF($AC32&gt;0,INDEX(DK$7:DK$106,$AC32),1),IF($AD32&gt;0,INDEX(DK$7:DK$106,$AD32),1),IF($AE32&gt;0,INDEX(DK$7:DK$106,$AE32),1),IF($AF32&gt;0,INDEX(DK$7:DK$106,$AF32),1),IF($AG32&gt;0,INDEX(DK$7:DK$106,$AG32),1),IF($AH32&gt;0,INDEX(DK$7:DK$106,$AH32),1),IF($AI32&gt;0,INDEX(DK$7:DK$106,$AI32),1),IF($AJ32&gt;0,INDEX(DK$7:DK$106,$AJ32),1))))</ns0:f>
        <ns0:v>1</ns0:v>
      </ns0:c>
      <ns0:c r="DM32" t="n">
        <ns0:f>IF($A32="",1,IF(DL32=1,1,--AND(IF($AC32&gt;0,INDEX(DL$7:DL$106,$AC32),1),IF($AD32&gt;0,INDEX(DL$7:DL$106,$AD32),1),IF($AE32&gt;0,INDEX(DL$7:DL$106,$AE32),1),IF($AF32&gt;0,INDEX(DL$7:DL$106,$AF32),1),IF($AG32&gt;0,INDEX(DL$7:DL$106,$AG32),1),IF($AH32&gt;0,INDEX(DL$7:DL$106,$AH32),1),IF($AI32&gt;0,INDEX(DL$7:DL$106,$AI32),1),IF($AJ32&gt;0,INDEX(DL$7:DL$106,$AJ32),1))))</ns0:f>
        <ns0:v>1</ns0:v>
      </ns0:c>
      <ns0:c r="DN32" t="n">
        <ns0:f>IF($A32="",1,IF(DM32=1,1,--AND(IF($AC32&gt;0,INDEX(DM$7:DM$106,$AC32),1),IF($AD32&gt;0,INDEX(DM$7:DM$106,$AD32),1),IF($AE32&gt;0,INDEX(DM$7:DM$106,$AE32),1),IF($AF32&gt;0,INDEX(DM$7:DM$106,$AF32),1),IF($AG32&gt;0,INDEX(DM$7:DM$106,$AG32),1),IF($AH32&gt;0,INDEX(DM$7:DM$106,$AH32),1),IF($AI32&gt;0,INDEX(DM$7:DM$106,$AI32),1),IF($AJ32&gt;0,INDEX(DM$7:DM$106,$AJ32),1))))</ns0:f>
        <ns0:v>1</ns0:v>
      </ns0:c>
      <ns0:c r="DO32" t="n">
        <ns0:f>IF($A32="",1,IF(DN32=1,1,--AND(IF($AC32&gt;0,INDEX(DN$7:DN$106,$AC32),1),IF($AD32&gt;0,INDEX(DN$7:DN$106,$AD32),1),IF($AE32&gt;0,INDEX(DN$7:DN$106,$AE32),1),IF($AF32&gt;0,INDEX(DN$7:DN$106,$AF32),1),IF($AG32&gt;0,INDEX(DN$7:DN$106,$AG32),1),IF($AH32&gt;0,INDEX(DN$7:DN$106,$AH32),1),IF($AI32&gt;0,INDEX(DN$7:DN$106,$AI32),1),IF($AJ32&gt;0,INDEX(DN$7:DN$106,$AJ32),1))))</ns0:f>
        <ns0:v>1</ns0:v>
      </ns0:c>
      <ns0:c r="DP32" t="n">
        <ns0:f>IF($A32="",1,IF(DO32=1,1,--AND(IF($AC32&gt;0,INDEX(DO$7:DO$106,$AC32),1),IF($AD32&gt;0,INDEX(DO$7:DO$106,$AD32),1),IF($AE32&gt;0,INDEX(DO$7:DO$106,$AE32),1),IF($AF32&gt;0,INDEX(DO$7:DO$106,$AF32),1),IF($AG32&gt;0,INDEX(DO$7:DO$106,$AG32),1),IF($AH32&gt;0,INDEX(DO$7:DO$106,$AH32),1),IF($AI32&gt;0,INDEX(DO$7:DO$106,$AI32),1),IF($AJ32&gt;0,INDEX(DO$7:DO$106,$AJ32),1))))</ns0:f>
        <ns0:v>1</ns0:v>
      </ns0:c>
      <ns0:c r="DQ32" t="n">
        <ns0:f>IF($A32="",1,IF(DP32=1,1,--AND(IF($AC32&gt;0,INDEX(DP$7:DP$106,$AC32),1),IF($AD32&gt;0,INDEX(DP$7:DP$106,$AD32),1),IF($AE32&gt;0,INDEX(DP$7:DP$106,$AE32),1),IF($AF32&gt;0,INDEX(DP$7:DP$106,$AF32),1),IF($AG32&gt;0,INDEX(DP$7:DP$106,$AG32),1),IF($AH32&gt;0,INDEX(DP$7:DP$106,$AH32),1),IF($AI32&gt;0,INDEX(DP$7:DP$106,$AI32),1),IF($AJ32&gt;0,INDEX(DP$7:DP$106,$AJ32),1))))</ns0:f>
        <ns0:v>1</ns0:v>
      </ns0:c>
      <ns0:c r="DR32" t="n">
        <ns0:f>IF($A32="",1,IF(DQ32=1,1,--AND(IF($AC32&gt;0,INDEX(DQ$7:DQ$106,$AC32),1),IF($AD32&gt;0,INDEX(DQ$7:DQ$106,$AD32),1),IF($AE32&gt;0,INDEX(DQ$7:DQ$106,$AE32),1),IF($AF32&gt;0,INDEX(DQ$7:DQ$106,$AF32),1),IF($AG32&gt;0,INDEX(DQ$7:DQ$106,$AG32),1),IF($AH32&gt;0,INDEX(DQ$7:DQ$106,$AH32),1),IF($AI32&gt;0,INDEX(DQ$7:DQ$106,$AI32),1),IF($AJ32&gt;0,INDEX(DQ$7:DQ$106,$AJ32),1))))</ns0:f>
        <ns0:v>1</ns0:v>
      </ns0:c>
      <ns0:c r="DS32" t="n">
        <ns0:f>IF($A32="",1,IF(DR32=1,1,--AND(IF($AC32&gt;0,INDEX(DR$7:DR$106,$AC32),1),IF($AD32&gt;0,INDEX(DR$7:DR$106,$AD32),1),IF($AE32&gt;0,INDEX(DR$7:DR$106,$AE32),1),IF($AF32&gt;0,INDEX(DR$7:DR$106,$AF32),1),IF($AG32&gt;0,INDEX(DR$7:DR$106,$AG32),1),IF($AH32&gt;0,INDEX(DR$7:DR$106,$AH32),1),IF($AI32&gt;0,INDEX(DR$7:DR$106,$AI32),1),IF($AJ32&gt;0,INDEX(DR$7:DR$106,$AJ32),1))))</ns0:f>
        <ns0:v>1</ns0:v>
      </ns0:c>
      <ns0:c r="DT32" t="n">
        <ns0:f>IF($A32="",1,IF(DS32=1,1,--AND(IF($AC32&gt;0,INDEX(DS$7:DS$106,$AC32),1),IF($AD32&gt;0,INDEX(DS$7:DS$106,$AD32),1),IF($AE32&gt;0,INDEX(DS$7:DS$106,$AE32),1),IF($AF32&gt;0,INDEX(DS$7:DS$106,$AF32),1),IF($AG32&gt;0,INDEX(DS$7:DS$106,$AG32),1),IF($AH32&gt;0,INDEX(DS$7:DS$106,$AH32),1),IF($AI32&gt;0,INDEX(DS$7:DS$106,$AI32),1),IF($AJ32&gt;0,INDEX(DS$7:DS$106,$AJ32),1))))</ns0:f>
        <ns0:v>1</ns0:v>
      </ns0:c>
      <ns0:c r="DU32" t="n">
        <ns0:f>IF($A32="",1,IF(DT32=1,1,--AND(IF($AC32&gt;0,INDEX(DT$7:DT$106,$AC32),1),IF($AD32&gt;0,INDEX(DT$7:DT$106,$AD32),1),IF($AE32&gt;0,INDEX(DT$7:DT$106,$AE32),1),IF($AF32&gt;0,INDEX(DT$7:DT$106,$AF32),1),IF($AG32&gt;0,INDEX(DT$7:DT$106,$AG32),1),IF($AH32&gt;0,INDEX(DT$7:DT$106,$AH32),1),IF($AI32&gt;0,INDEX(DT$7:DT$106,$AI32),1),IF($AJ32&gt;0,INDEX(DT$7:DT$106,$AJ32),1))))</ns0:f>
        <ns0:v>1</ns0:v>
      </ns0:c>
      <ns0:c r="DV32" t="n">
        <ns0:f>IF($A32="",1,IF(DU32=1,1,--AND(IF($AC32&gt;0,INDEX(DU$7:DU$106,$AC32),1),IF($AD32&gt;0,INDEX(DU$7:DU$106,$AD32),1),IF($AE32&gt;0,INDEX(DU$7:DU$106,$AE32),1),IF($AF32&gt;0,INDEX(DU$7:DU$106,$AF32),1),IF($AG32&gt;0,INDEX(DU$7:DU$106,$AG32),1),IF($AH32&gt;0,INDEX(DU$7:DU$106,$AH32),1),IF($AI32&gt;0,INDEX(DU$7:DU$106,$AI32),1),IF($AJ32&gt;0,INDEX(DU$7:DU$106,$AJ32),1))))</ns0:f>
        <ns0:v>1</ns0:v>
      </ns0:c>
      <ns0:c r="DW32" t="n">
        <ns0:f>IF($A32="",1,IF(DV32=1,1,--AND(IF($AC32&gt;0,INDEX(DV$7:DV$106,$AC32),1),IF($AD32&gt;0,INDEX(DV$7:DV$106,$AD32),1),IF($AE32&gt;0,INDEX(DV$7:DV$106,$AE32),1),IF($AF32&gt;0,INDEX(DV$7:DV$106,$AF32),1),IF($AG32&gt;0,INDEX(DV$7:DV$106,$AG32),1),IF($AH32&gt;0,INDEX(DV$7:DV$106,$AH32),1),IF($AI32&gt;0,INDEX(DV$7:DV$106,$AI32),1),IF($AJ32&gt;0,INDEX(DV$7:DV$106,$AJ32),1))))</ns0:f>
        <ns0:v>1</ns0:v>
      </ns0:c>
      <ns0:c r="DX32" t="n">
        <ns0:f>IF($A32="",1,IF(DW32=1,1,--AND(IF($AC32&gt;0,INDEX(DW$7:DW$106,$AC32),1),IF($AD32&gt;0,INDEX(DW$7:DW$106,$AD32),1),IF($AE32&gt;0,INDEX(DW$7:DW$106,$AE32),1),IF($AF32&gt;0,INDEX(DW$7:DW$106,$AF32),1),IF($AG32&gt;0,INDEX(DW$7:DW$106,$AG32),1),IF($AH32&gt;0,INDEX(DW$7:DW$106,$AH32),1),IF($AI32&gt;0,INDEX(DW$7:DW$106,$AI32),1),IF($AJ32&gt;0,INDEX(DW$7:DW$106,$AJ32),1))))</ns0:f>
        <ns0:v>1</ns0:v>
      </ns0:c>
      <ns0:c r="DY32" t="n">
        <ns0:f>IF($A32="",1,IF(DX32=1,1,--AND(IF($AC32&gt;0,INDEX(DX$7:DX$106,$AC32),1),IF($AD32&gt;0,INDEX(DX$7:DX$106,$AD32),1),IF($AE32&gt;0,INDEX(DX$7:DX$106,$AE32),1),IF($AF32&gt;0,INDEX(DX$7:DX$106,$AF32),1),IF($AG32&gt;0,INDEX(DX$7:DX$106,$AG32),1),IF($AH32&gt;0,INDEX(DX$7:DX$106,$AH32),1),IF($AI32&gt;0,INDEX(DX$7:DX$106,$AI32),1),IF($AJ32&gt;0,INDEX(DX$7:DX$106,$AJ32),1))))</ns0:f>
        <ns0:v>1</ns0:v>
      </ns0:c>
      <ns0:c r="DZ32" t="n">
        <ns0:f>IF($A32="",1,IF(DY32=1,1,--AND(IF($AC32&gt;0,INDEX(DY$7:DY$106,$AC32),1),IF($AD32&gt;0,INDEX(DY$7:DY$106,$AD32),1),IF($AE32&gt;0,INDEX(DY$7:DY$106,$AE32),1),IF($AF32&gt;0,INDEX(DY$7:DY$106,$AF32),1),IF($AG32&gt;0,INDEX(DY$7:DY$106,$AG32),1),IF($AH32&gt;0,INDEX(DY$7:DY$106,$AH32),1),IF($AI32&gt;0,INDEX(DY$7:DY$106,$AI32),1),IF($AJ32&gt;0,INDEX(DY$7:DY$106,$AJ32),1))))</ns0:f>
        <ns0:v>1</ns0:v>
      </ns0:c>
      <ns0:c r="EA32" t="n">
        <ns0:f>IF($A32="",1,IF(DZ32=1,1,--AND(IF($AC32&gt;0,INDEX(DZ$7:DZ$106,$AC32),1),IF($AD32&gt;0,INDEX(DZ$7:DZ$106,$AD32),1),IF($AE32&gt;0,INDEX(DZ$7:DZ$106,$AE32),1),IF($AF32&gt;0,INDEX(DZ$7:DZ$106,$AF32),1),IF($AG32&gt;0,INDEX(DZ$7:DZ$106,$AG32),1),IF($AH32&gt;0,INDEX(DZ$7:DZ$106,$AH32),1),IF($AI32&gt;0,INDEX(DZ$7:DZ$106,$AI32),1),IF($AJ32&gt;0,INDEX(DZ$7:DZ$106,$AJ32),1))))</ns0:f>
        <ns0:v>1</ns0:v>
      </ns0:c>
      <ns0:c r="EB32" t="n">
        <ns0:f>IF($A32="",1,IF(EA32=1,1,--AND(IF($AC32&gt;0,INDEX(EA$7:EA$106,$AC32),1),IF($AD32&gt;0,INDEX(EA$7:EA$106,$AD32),1),IF($AE32&gt;0,INDEX(EA$7:EA$106,$AE32),1),IF($AF32&gt;0,INDEX(EA$7:EA$106,$AF32),1),IF($AG32&gt;0,INDEX(EA$7:EA$106,$AG32),1),IF($AH32&gt;0,INDEX(EA$7:EA$106,$AH32),1),IF($AI32&gt;0,INDEX(EA$7:EA$106,$AI32),1),IF($AJ32&gt;0,INDEX(EA$7:EA$106,$AJ32),1))))</ns0:f>
        <ns0:v>1</ns0:v>
      </ns0:c>
      <ns0:c r="EC32" t="n">
        <ns0:f>IF($A32="",1,IF(EB32=1,1,--AND(IF($AC32&gt;0,INDEX(EB$7:EB$106,$AC32),1),IF($AD32&gt;0,INDEX(EB$7:EB$106,$AD32),1),IF($AE32&gt;0,INDEX(EB$7:EB$106,$AE32),1),IF($AF32&gt;0,INDEX(EB$7:EB$106,$AF32),1),IF($AG32&gt;0,INDEX(EB$7:EB$106,$AG32),1),IF($AH32&gt;0,INDEX(EB$7:EB$106,$AH32),1),IF($AI32&gt;0,INDEX(EB$7:EB$106,$AI32),1),IF($AJ32&gt;0,INDEX(EB$7:EB$106,$AJ32),1))))</ns0:f>
        <ns0:v>1</ns0:v>
      </ns0:c>
      <ns0:c r="ED32" t="n">
        <ns0:f>IF($A32="",1,IF(EC32=1,1,--AND(IF($AC32&gt;0,INDEX(EC$7:EC$106,$AC32),1),IF($AD32&gt;0,INDEX(EC$7:EC$106,$AD32),1),IF($AE32&gt;0,INDEX(EC$7:EC$106,$AE32),1),IF($AF32&gt;0,INDEX(EC$7:EC$106,$AF32),1),IF($AG32&gt;0,INDEX(EC$7:EC$106,$AG32),1),IF($AH32&gt;0,INDEX(EC$7:EC$106,$AH32),1),IF($AI32&gt;0,INDEX(EC$7:EC$106,$AI32),1),IF($AJ32&gt;0,INDEX(EC$7:EC$106,$AJ32),1))))</ns0:f>
        <ns0:v>1</ns0:v>
      </ns0:c>
      <ns0:c r="EE32" t="n">
        <ns0:f>IF($A32="",1,IF(ED32=1,1,--AND(IF($AC32&gt;0,INDEX(ED$7:ED$106,$AC32),1),IF($AD32&gt;0,INDEX(ED$7:ED$106,$AD32),1),IF($AE32&gt;0,INDEX(ED$7:ED$106,$AE32),1),IF($AF32&gt;0,INDEX(ED$7:ED$106,$AF32),1),IF($AG32&gt;0,INDEX(ED$7:ED$106,$AG32),1),IF($AH32&gt;0,INDEX(ED$7:ED$106,$AH32),1),IF($AI32&gt;0,INDEX(ED$7:ED$106,$AI32),1),IF($AJ32&gt;0,INDEX(ED$7:ED$106,$AJ32),1))))</ns0:f>
        <ns0:v>1</ns0:v>
      </ns0:c>
      <ns0:c r="EF32" t="n">
        <ns0:f>IF($A32="",1,IF(EE32=1,1,--AND(IF($AC32&gt;0,INDEX(EE$7:EE$106,$AC32),1),IF($AD32&gt;0,INDEX(EE$7:EE$106,$AD32),1),IF($AE32&gt;0,INDEX(EE$7:EE$106,$AE32),1),IF($AF32&gt;0,INDEX(EE$7:EE$106,$AF32),1),IF($AG32&gt;0,INDEX(EE$7:EE$106,$AG32),1),IF($AH32&gt;0,INDEX(EE$7:EE$106,$AH32),1),IF($AI32&gt;0,INDEX(EE$7:EE$106,$AI32),1),IF($AJ32&gt;0,INDEX(EE$7:EE$106,$AJ32),1))))</ns0:f>
        <ns0:v>1</ns0:v>
      </ns0:c>
      <ns0:c r="EG32" t="n">
        <ns0:f>IF($A32="",1,IF(EF32=1,1,--AND(IF($AC32&gt;0,INDEX(EF$7:EF$106,$AC32),1),IF($AD32&gt;0,INDEX(EF$7:EF$106,$AD32),1),IF($AE32&gt;0,INDEX(EF$7:EF$106,$AE32),1),IF($AF32&gt;0,INDEX(EF$7:EF$106,$AF32),1),IF($AG32&gt;0,INDEX(EF$7:EF$106,$AG32),1),IF($AH32&gt;0,INDEX(EF$7:EF$106,$AH32),1),IF($AI32&gt;0,INDEX(EF$7:EF$106,$AI32),1),IF($AJ32&gt;0,INDEX(EF$7:EF$106,$AJ32),1))))</ns0:f>
        <ns0:v>1</ns0:v>
      </ns0:c>
      <ns0:c r="EH32" t="n">
        <ns0:f>IF($A32="",1,IF(EG32=1,1,--AND(IF($AC32&gt;0,INDEX(EG$7:EG$106,$AC32),1),IF($AD32&gt;0,INDEX(EG$7:EG$106,$AD32),1),IF($AE32&gt;0,INDEX(EG$7:EG$106,$AE32),1),IF($AF32&gt;0,INDEX(EG$7:EG$106,$AF32),1),IF($AG32&gt;0,INDEX(EG$7:EG$106,$AG32),1),IF($AH32&gt;0,INDEX(EG$7:EG$106,$AH32),1),IF($AI32&gt;0,INDEX(EG$7:EG$106,$AI32),1),IF($AJ32&gt;0,INDEX(EG$7:EG$106,$AJ32),1))))</ns0:f>
        <ns0:v>1</ns0:v>
      </ns0:c>
      <ns0:c r="EI32" t="n">
        <ns0:f>IF($A32="",1,IF(EH32=1,1,--AND(IF($AC32&gt;0,INDEX(EH$7:EH$106,$AC32),1),IF($AD32&gt;0,INDEX(EH$7:EH$106,$AD32),1),IF($AE32&gt;0,INDEX(EH$7:EH$106,$AE32),1),IF($AF32&gt;0,INDEX(EH$7:EH$106,$AF32),1),IF($AG32&gt;0,INDEX(EH$7:EH$106,$AG32),1),IF($AH32&gt;0,INDEX(EH$7:EH$106,$AH32),1),IF($AI32&gt;0,INDEX(EH$7:EH$106,$AI32),1),IF($AJ32&gt;0,INDEX(EH$7:EH$106,$AJ32),1))))</ns0:f>
        <ns0:v>1</ns0:v>
      </ns0:c>
      <ns0:c r="EJ32" t="n">
        <ns0:f>IF($A32="",1,IF(EI32=1,1,--AND(IF($AC32&gt;0,INDEX(EI$7:EI$106,$AC32),1),IF($AD32&gt;0,INDEX(EI$7:EI$106,$AD32),1),IF($AE32&gt;0,INDEX(EI$7:EI$106,$AE32),1),IF($AF32&gt;0,INDEX(EI$7:EI$106,$AF32),1),IF($AG32&gt;0,INDEX(EI$7:EI$106,$AG32),1),IF($AH32&gt;0,INDEX(EI$7:EI$106,$AH32),1),IF($AI32&gt;0,INDEX(EI$7:EI$106,$AI32),1),IF($AJ32&gt;0,INDEX(EI$7:EI$106,$AJ32),1))))</ns0:f>
        <ns0:v>1</ns0:v>
      </ns0:c>
      <ns0:c r="EK32" t="n">
        <ns0:f>IF($A32="",1,IF(EJ32=1,1,--AND(IF($AC32&gt;0,INDEX(EJ$7:EJ$106,$AC32),1),IF($AD32&gt;0,INDEX(EJ$7:EJ$106,$AD32),1),IF($AE32&gt;0,INDEX(EJ$7:EJ$106,$AE32),1),IF($AF32&gt;0,INDEX(EJ$7:EJ$106,$AF32),1),IF($AG32&gt;0,INDEX(EJ$7:EJ$106,$AG32),1),IF($AH32&gt;0,INDEX(EJ$7:EJ$106,$AH32),1),IF($AI32&gt;0,INDEX(EJ$7:EJ$106,$AI32),1),IF($AJ32&gt;0,INDEX(EJ$7:EJ$106,$AJ32),1))))</ns0:f>
        <ns0:v>1</ns0:v>
      </ns0:c>
      <ns0:c r="EL32" t="n">
        <ns0:f>IF($A32="",1,IF(EK32=1,1,--AND(IF($AC32&gt;0,INDEX(EK$7:EK$106,$AC32),1),IF($AD32&gt;0,INDEX(EK$7:EK$106,$AD32),1),IF($AE32&gt;0,INDEX(EK$7:EK$106,$AE32),1),IF($AF32&gt;0,INDEX(EK$7:EK$106,$AF32),1),IF($AG32&gt;0,INDEX(EK$7:EK$106,$AG32),1),IF($AH32&gt;0,INDEX(EK$7:EK$106,$AH32),1),IF($AI32&gt;0,INDEX(EK$7:EK$106,$AI32),1),IF($AJ32&gt;0,INDEX(EK$7:EK$106,$AJ32),1))))</ns0:f>
        <ns0:v>1</ns0:v>
      </ns0:c>
      <ns0:c r="EM32" t="n">
        <ns0:f>IF($A32="",1,IF(EL32=1,1,--AND(IF($AC32&gt;0,INDEX(EL$7:EL$106,$AC32),1),IF($AD32&gt;0,INDEX(EL$7:EL$106,$AD32),1),IF($AE32&gt;0,INDEX(EL$7:EL$106,$AE32),1),IF($AF32&gt;0,INDEX(EL$7:EL$106,$AF32),1),IF($AG32&gt;0,INDEX(EL$7:EL$106,$AG32),1),IF($AH32&gt;0,INDEX(EL$7:EL$106,$AH32),1),IF($AI32&gt;0,INDEX(EL$7:EL$106,$AI32),1),IF($AJ32&gt;0,INDEX(EL$7:EL$106,$AJ32),1))))</ns0:f>
        <ns0:v>1</ns0:v>
      </ns0:c>
      <ns0:c r="EN32" t="n">
        <ns0:f>IF($A32="",1,IF(EM32=1,1,--AND(IF($AC32&gt;0,INDEX(EM$7:EM$106,$AC32),1),IF($AD32&gt;0,INDEX(EM$7:EM$106,$AD32),1),IF($AE32&gt;0,INDEX(EM$7:EM$106,$AE32),1),IF($AF32&gt;0,INDEX(EM$7:EM$106,$AF32),1),IF($AG32&gt;0,INDEX(EM$7:EM$106,$AG32),1),IF($AH32&gt;0,INDEX(EM$7:EM$106,$AH32),1),IF($AI32&gt;0,INDEX(EM$7:EM$106,$AI32),1),IF($AJ32&gt;0,INDEX(EM$7:EM$106,$AJ32),1))))</ns0:f>
        <ns0:v>1</ns0:v>
      </ns0:c>
      <ns0:c r="EO32" t="n">
        <ns0:f>IF($A32="",1,IF(EN32=1,1,--AND(IF($AC32&gt;0,INDEX(EN$7:EN$106,$AC32),1),IF($AD32&gt;0,INDEX(EN$7:EN$106,$AD32),1),IF($AE32&gt;0,INDEX(EN$7:EN$106,$AE32),1),IF($AF32&gt;0,INDEX(EN$7:EN$106,$AF32),1),IF($AG32&gt;0,INDEX(EN$7:EN$106,$AG32),1),IF($AH32&gt;0,INDEX(EN$7:EN$106,$AH32),1),IF($AI32&gt;0,INDEX(EN$7:EN$106,$AI32),1),IF($AJ32&gt;0,INDEX(EN$7:EN$106,$AJ32),1))))</ns0:f>
        <ns0:v>1</ns0:v>
      </ns0:c>
      <ns0:c r="EP32" t="n">
        <ns0:f>IF($A32="",1,IF(EO32=1,1,--AND(IF($AC32&gt;0,INDEX(EO$7:EO$106,$AC32),1),IF($AD32&gt;0,INDEX(EO$7:EO$106,$AD32),1),IF($AE32&gt;0,INDEX(EO$7:EO$106,$AE32),1),IF($AF32&gt;0,INDEX(EO$7:EO$106,$AF32),1),IF($AG32&gt;0,INDEX(EO$7:EO$106,$AG32),1),IF($AH32&gt;0,INDEX(EO$7:EO$106,$AH32),1),IF($AI32&gt;0,INDEX(EO$7:EO$106,$AI32),1),IF($AJ32&gt;0,INDEX(EO$7:EO$106,$AJ32),1))))</ns0:f>
        <ns0:v>1</ns0:v>
      </ns0:c>
      <ns0:c r="EQ32" t="n">
        <ns0:f>IF(OR(A32="",NOT(ISNUMBER(G32))),0,G32*N32)</ns0:f>
        <ns0:v>0</ns0:v>
      </ns0:c>
    </ns0:row>
    <ns0:row r="33" ht="62" customHeight="1">
      <ns0:c r="A33" s="48" t="str">
        <ns0:v>T23</ns0:v>
      </ns0:c>
      <ns0:c r="B33" s="48" t="str">
        <ns0:v>Evidence &amp; approval</ns0:v>
      </ns0:c>
      <ns0:c r="C33" s="48" t="str">
        <ns0:v>Generate structured action previews (spend, code diffs, claims, copy)</ns0:v>
      </ns0:c>
      <ns0:c r="D33" s="48" t="str">
        <ns0:v>Show spend proposals, claim dossiers, copy and code diffs for review.</ns0:v>
      </ns0:c>
      <ns0:c r="E33" s="49" t="n">
        <ns0:v>46295</ns0:v>
      </ns0:c>
      <ns0:c r="F33" s="49" t="n">
        <ns0:v>46295</ns0:v>
      </ns0:c>
      <ns0:c r="G33" s="13" t="n">
        <ns0:f>IF(A33="","",IF(OR(NOT(ISNUMBER(E33)),NOT(ISNUMBER(F33)),F33&lt;E33),"",IF(J33="Yes",0,F33-E33+1)))</ns0:f>
        <ns0:v>1</ns0:v>
      </ns0:c>
      <ns0:c r="H33" s="48" t="str">
        <ns0:v>T22</ns0:v>
      </ns0:c>
      <ns0:c r="I33" s="48" t="str">
        <ns0:v>FS</ns0:v>
      </ns0:c>
      <ns0:c r="J33" s="48" t="str">
        <ns0:v>No</ns0:v>
      </ns0:c>
      <ns0:c r="K33" s="48" t="str">
        <ns0:v>Intelligence Engine (IE / Orchestrator)</ns0:v>
      </ns0:c>
      <ns0:c r="L33" s="48" t="str"/>
      <ns0:c r="M33" s="50" t="str">
        <ns0:f>IF(A33="","",IF(N33=1,"Completed",IF(N33&gt;0,"In Progress","Not Started")))</ns0:f>
        <ns0:v>Not Started</ns0:v>
      </ns0:c>
      <ns0:c r="N33" s="51" t="n">
        <ns0:v>0</ns0:v>
      </ns0:c>
      <ns0:c r="O33" s="13" t="str">
        <ns0:f>IF(A33="","",IF(R33&lt;&gt;"","[CONFLICT] "&amp;R33,IF(S33&lt;&gt;"","[CONFLICT] "&amp;S33,IF(OR(NOT(ISNUMBER(N33)),N33&lt;0,N33&gt;1),"[CONFLICT] Invalid progress",IF(AK33&gt;0,"[DEPENDENCY ISSUE] Missing ID / &gt;8 links",IF(AM33&gt;0,"[DEPENDENCY ISSUE] Cycle or blocked by cycle",IF(AND(H33&lt;&gt;"",ISNA(MATCH(I33,{"FS","SS","FF","SF"},0))),"[DEPENDENCY ISSUE] Invalid type",IF(AL33&gt;0,"[DEPENDENCY ISSUE] Timing conflict",IF(OR(E33&lt;ProjectStart,F33&gt;ProjectEnd),"[OUTSIDE WINDOW]",IF(AND(N33&lt;1,F33&lt;AsOfDate),"Overdue",IF(AND(M33&lt;&gt;Q33,M33&lt;&gt;""),"[CONFLICT] Status / progress","On track")))))))))))</ns0:f>
        <ns0:v>On track</ns0:v>
      </ns0:c>
      <ns0:c r="P33" s="52" t="str">
        <ns0:v>Source: Project Plan Essentials (2).md §1, §2, §4. Original 2026-10-04 to 2026-10-05, 2d; original progress 25% [INFERRED]. [INFERRED] Rescheduled to fit 34d with FS. Duration reduced to 1d. Original resource/tools: Intelligence Engine (IE).</ns0:v>
      </ns0:c>
      <ns0:c r="Q33" t="str">
        <ns0:f>IF(A33="","",IF(OR(M33="On Hold",M33="Delayed"),M33,IF(N33=1,"Completed",IF(N33&gt;0,"In Progress","Not Started"))))</ns0:f>
        <ns0:v>Not Started</ns0:v>
      </ns0:c>
      <ns0:c r="R33" t="str">
        <ns0:f>IF(A33="","",IF(COUNTIFS(Tasks[Task ID],A33)&lt;&gt;1,"Duplicate ID",""))</ns0:f>
      </ns0:c>
      <ns0:c r="S33" t="str">
        <ns0:f>IF(A33="","",IF(OR(NOT(ISNUMBER(E33)),NOT(ISNUMBER(F33))),"Invalid / missing date",IF(OR(E33&lt;&gt;INT(E33),F33&lt;&gt;INT(F33),E33&lt;1,F33&gt;2958465),"Invalid date",IF(F33&lt;E33,"End before start",IF(AND(J33="Yes",E33&lt;&gt;F33),"Milestone needs one date","")))))</ns0:f>
      </ns0:c>
      <ns0:c r="T33" t="n">
        <ns0:f>IF(H33="",0,LEN(H33)-LEN(SUBSTITUTE(H33,",",""))+1)</ns0:f>
        <ns0:v>1</ns0:v>
      </ns0:c>
      <ns0:c r="U33" t="str">
        <ns0:f>TRIM(MID(SUBSTITUTE($H33,",",REPT(" ",100)),1,100))</ns0:f>
        <ns0:v>T22</ns0:v>
      </ns0:c>
      <ns0:c r="V33" t="str">
        <ns0:f>TRIM(MID(SUBSTITUTE($H33,",",REPT(" ",100)),101,100))</ns0:f>
      </ns0:c>
      <ns0:c r="W33" t="str">
        <ns0:f>TRIM(MID(SUBSTITUTE($H33,",",REPT(" ",100)),201,100))</ns0:f>
      </ns0:c>
      <ns0:c r="X33" t="str">
        <ns0:f>TRIM(MID(SUBSTITUTE($H33,",",REPT(" ",100)),301,100))</ns0:f>
      </ns0:c>
      <ns0:c r="Y33" t="str">
        <ns0:f>TRIM(MID(SUBSTITUTE($H33,",",REPT(" ",100)),401,100))</ns0:f>
      </ns0:c>
      <ns0:c r="Z33" t="str">
        <ns0:f>TRIM(MID(SUBSTITUTE($H33,",",REPT(" ",100)),501,100))</ns0:f>
      </ns0:c>
      <ns0:c r="AA33" t="str">
        <ns0:f>TRIM(MID(SUBSTITUTE($H33,",",REPT(" ",100)),601,100))</ns0:f>
      </ns0:c>
      <ns0:c r="AB33" t="str">
        <ns0:f>TRIM(MID(SUBSTITUTE($H33,",",REPT(" ",100)),701,100))</ns0:f>
      </ns0:c>
      <ns0:c r="AC33" t="n">
        <ns0:f>IF(U33="",0,IF(COUNTIFS(Tasks[Task ID],U33)=1,MATCH(U33,Tasks[Task ID],0),-1))</ns0:f>
        <ns0:v>26</ns0:v>
      </ns0:c>
      <ns0:c r="AD33" t="n">
        <ns0:f>IF(V33="",0,IF(COUNTIFS(Tasks[Task ID],V33)=1,MATCH(V33,Tasks[Task ID],0),-1))</ns0:f>
        <ns0:v>0</ns0:v>
      </ns0:c>
      <ns0:c r="AE33" t="n">
        <ns0:f>IF(W33="",0,IF(COUNTIFS(Tasks[Task ID],W33)=1,MATCH(W33,Tasks[Task ID],0),-1))</ns0:f>
        <ns0:v>0</ns0:v>
      </ns0:c>
      <ns0:c r="AF33" t="n">
        <ns0:f>IF(X33="",0,IF(COUNTIFS(Tasks[Task ID],X33)=1,MATCH(X33,Tasks[Task ID],0),-1))</ns0:f>
        <ns0:v>0</ns0:v>
      </ns0:c>
      <ns0:c r="AG33" t="n">
        <ns0:f>IF(Y33="",0,IF(COUNTIFS(Tasks[Task ID],Y33)=1,MATCH(Y33,Tasks[Task ID],0),-1))</ns0:f>
        <ns0:v>0</ns0:v>
      </ns0:c>
      <ns0:c r="AH33" t="n">
        <ns0:f>IF(Z33="",0,IF(COUNTIFS(Tasks[Task ID],Z33)=1,MATCH(Z33,Tasks[Task ID],0),-1))</ns0:f>
        <ns0:v>0</ns0:v>
      </ns0:c>
      <ns0:c r="AI33" t="n">
        <ns0:f>IF(AA33="",0,IF(COUNTIFS(Tasks[Task ID],AA33)=1,MATCH(AA33,Tasks[Task ID],0),-1))</ns0:f>
        <ns0:v>0</ns0:v>
      </ns0:c>
      <ns0:c r="AJ33" t="n">
        <ns0:f>IF(AB33="",0,IF(COUNTIFS(Tasks[Task ID],AB33)=1,MATCH(AB33,Tasks[Task ID],0),-1))</ns0:f>
        <ns0:v>0</ns0:v>
      </ns0:c>
      <ns0:c r="AK33" t="n">
        <ns0:f>COUNTIFS(AC33:AJ33,-1)+IF(T33&gt;8,1,0)</ns0:f>
        <ns0:v>0</ns0:v>
      </ns0:c>
      <ns0:c r="AL33" t="n">
        <ns0:f>IF(OR(A33="",S33&lt;&gt;""),0,SUM(IF(AC33&gt;0,IF($I33="FS",--($E33&lt;INDEX(Tasks[End Date],AC33)+IF(INDEX(Tasks[Milestone],AC33)="Yes",0,1)),IF($I33="SS",--($E33&lt;INDEX(Tasks[Start Date],AC33)),IF($I33="FF",--($F33&lt;INDEX(Tasks[End Date],AC33)),IF($I33="SF",--($F33&lt;INDEX(Tasks[Start Date],AC33)),0)))),0),IF(AD33&gt;0,IF($I33="FS",--($E33&lt;INDEX(Tasks[End Date],AD33)+IF(INDEX(Tasks[Milestone],AD33)="Yes",0,1)),IF($I33="SS",--($E33&lt;INDEX(Tasks[Start Date],AD33)),IF($I33="FF",--($F33&lt;INDEX(Tasks[End Date],AD33)),IF($I33="SF",--($F33&lt;INDEX(Tasks[Start Date],AD33)),0)))),0),IF(AE33&gt;0,IF($I33="FS",--($E33&lt;INDEX(Tasks[End Date],AE33)+IF(INDEX(Tasks[Milestone],AE33)="Yes",0,1)),IF($I33="SS",--($E33&lt;INDEX(Tasks[Start Date],AE33)),IF($I33="FF",--($F33&lt;INDEX(Tasks[End Date],AE33)),IF($I33="SF",--($F33&lt;INDEX(Tasks[Start Date],AE33)),0)))),0),IF(AF33&gt;0,IF($I33="FS",--($E33&lt;INDEX(Tasks[End Date],AF33)+IF(INDEX(Tasks[Milestone],AF33)="Yes",0,1)),IF($I33="SS",--($E33&lt;INDEX(Tasks[Start Date],AF33)),IF($I33="FF",--($F33&lt;INDEX(Tasks[End Date],AF33)),IF($I33="SF",--($F33&lt;INDEX(Tasks[Start Date],AF33)),0)))),0),IF(AG33&gt;0,IF($I33="FS",--($E33&lt;INDEX(Tasks[End Date],AG33)+IF(INDEX(Tasks[Milestone],AG33)="Yes",0,1)),IF($I33="SS",--($E33&lt;INDEX(Tasks[Start Date],AG33)),IF($I33="FF",--($F33&lt;INDEX(Tasks[End Date],AG33)),IF($I33="SF",--($F33&lt;INDEX(Tasks[Start Date],AG33)),0)))),0),IF(AH33&gt;0,IF($I33="FS",--($E33&lt;INDEX(Tasks[End Date],AH33)+IF(INDEX(Tasks[Milestone],AH33)="Yes",0,1)),IF($I33="SS",--($E33&lt;INDEX(Tasks[Start Date],AH33)),IF($I33="FF",--($F33&lt;INDEX(Tasks[End Date],AH33)),IF($I33="SF",--($F33&lt;INDEX(Tasks[Start Date],AH33)),0)))),0),IF(AI33&gt;0,IF($I33="FS",--($E33&lt;INDEX(Tasks[End Date],AI33)+IF(INDEX(Tasks[Milestone],AI33)="Yes",0,1)),IF($I33="SS",--($E33&lt;INDEX(Tasks[Start Date],AI33)),IF($I33="FF",--($F33&lt;INDEX(Tasks[End Date],AI33)),IF($I33="SF",--($F33&lt;INDEX(Tasks[Start Date],AI33)),0)))),0),IF(AJ33&gt;0,IF($I33="FS",--($E33&lt;INDEX(Tasks[End Date],AJ33)+IF(INDEX(Tasks[Milestone],AJ33)="Yes",0,1)),IF($I33="SS",--($E33&lt;INDEX(Tasks[Start Date],AJ33)),IF($I33="FF",--($F33&lt;INDEX(Tasks[End Date],AJ33)),IF($I33="SF",--($F33&lt;INDEX(Tasks[Start Date],AJ33)),0)))),0)))</ns0:f>
        <ns0:v>0</ns0:v>
      </ns0:c>
      <ns0:c r="AM33" t="n">
        <ns0:f>IF(AND(A33&lt;&gt;"",AK33=0,EP33=0),1,0)</ns0:f>
        <ns0:v>0</ns0:v>
      </ns0:c>
      <ns0:c r="AN33" t="str">
        <ns0:f>IF(OR(A33="",B33=""),"",IF(COUNTIFS($B$7:B33,B33)=1,MAX($AN$6:AN32)+1,""))</ns0:f>
      </ns0:c>
      <ns0:c r="AO33" t="n">
        <ns0:f>IF(AND(A33&lt;&gt;"",J33="No",N33&lt;1,E33&gt;=AsOfDate),E33+ROW()/10000,1E+9)</ns0:f>
        <ns0:v>46295.0033</ns0:v>
      </ns0:c>
      <ns0:c r="AP33" t="n">
        <ns0:f>IF(AND(A33&lt;&gt;"",J33="Yes",N33&lt;1,E33&gt;=AsOfDate),E33+ROW()/10000,1E+9)</ns0:f>
        <ns0:v>1000000000</ns0:v>
      </ns0:c>
      <ns0:c r="AQ33" t="n">
        <ns0:f>IF(AND(A33&lt;&gt;"",J33="No",N33&lt;1,F33&gt;=AsOfDate,F33&lt;=AsOfDate+7),F33+ROW()/10000,1E+9)</ns0:f>
        <ns0:v>1000000000</ns0:v>
      </ns0:c>
      <ns0:c r="AR33" t="n">
        <ns0:f>IF(AND(A33&lt;&gt;"",OR(O33&lt;&gt;"On track",Q33="Delayed")),ROW(),1E+9)</ns0:f>
        <ns0:v>1000000000</ns0:v>
      </ns0:c>
      <ns0:c r="AS33" t="str">
        <ns0:f>IF(A33="","",";"&amp;K33&amp;";")</ns0:f>
        <ns0:v>;Intelligence Engine (IE / Orchestrator);</ns0:v>
      </ns0:c>
      <ns0:c r="AT33" t="n">
        <ns0:f>IF(A33="",1,--(T33=0))</ns0:f>
        <ns0:v>0</ns0:v>
      </ns0:c>
      <ns0:c r="AU33" t="n">
        <ns0:f>IF($A33="",1,IF(AT33=1,1,--AND(IF($AC33&gt;0,INDEX(AT$7:AT$106,$AC33),1),IF($AD33&gt;0,INDEX(AT$7:AT$106,$AD33),1),IF($AE33&gt;0,INDEX(AT$7:AT$106,$AE33),1),IF($AF33&gt;0,INDEX(AT$7:AT$106,$AF33),1),IF($AG33&gt;0,INDEX(AT$7:AT$106,$AG33),1),IF($AH33&gt;0,INDEX(AT$7:AT$106,$AH33),1),IF($AI33&gt;0,INDEX(AT$7:AT$106,$AI33),1),IF($AJ33&gt;0,INDEX(AT$7:AT$106,$AJ33),1))))</ns0:f>
        <ns0:v>0</ns0:v>
      </ns0:c>
      <ns0:c r="AV33" t="n">
        <ns0:f>IF($A33="",1,IF(AU33=1,1,--AND(IF($AC33&gt;0,INDEX(AU$7:AU$106,$AC33),1),IF($AD33&gt;0,INDEX(AU$7:AU$106,$AD33),1),IF($AE33&gt;0,INDEX(AU$7:AU$106,$AE33),1),IF($AF33&gt;0,INDEX(AU$7:AU$106,$AF33),1),IF($AG33&gt;0,INDEX(AU$7:AU$106,$AG33),1),IF($AH33&gt;0,INDEX(AU$7:AU$106,$AH33),1),IF($AI33&gt;0,INDEX(AU$7:AU$106,$AI33),1),IF($AJ33&gt;0,INDEX(AU$7:AU$106,$AJ33),1))))</ns0:f>
        <ns0:v>0</ns0:v>
      </ns0:c>
      <ns0:c r="AW33" t="n">
        <ns0:f>IF($A33="",1,IF(AV33=1,1,--AND(IF($AC33&gt;0,INDEX(AV$7:AV$106,$AC33),1),IF($AD33&gt;0,INDEX(AV$7:AV$106,$AD33),1),IF($AE33&gt;0,INDEX(AV$7:AV$106,$AE33),1),IF($AF33&gt;0,INDEX(AV$7:AV$106,$AF33),1),IF($AG33&gt;0,INDEX(AV$7:AV$106,$AG33),1),IF($AH33&gt;0,INDEX(AV$7:AV$106,$AH33),1),IF($AI33&gt;0,INDEX(AV$7:AV$106,$AI33),1),IF($AJ33&gt;0,INDEX(AV$7:AV$106,$AJ33),1))))</ns0:f>
        <ns0:v>0</ns0:v>
      </ns0:c>
      <ns0:c r="AX33" t="n">
        <ns0:f>IF($A33="",1,IF(AW33=1,1,--AND(IF($AC33&gt;0,INDEX(AW$7:AW$106,$AC33),1),IF($AD33&gt;0,INDEX(AW$7:AW$106,$AD33),1),IF($AE33&gt;0,INDEX(AW$7:AW$106,$AE33),1),IF($AF33&gt;0,INDEX(AW$7:AW$106,$AF33),1),IF($AG33&gt;0,INDEX(AW$7:AW$106,$AG33),1),IF($AH33&gt;0,INDEX(AW$7:AW$106,$AH33),1),IF($AI33&gt;0,INDEX(AW$7:AW$106,$AI33),1),IF($AJ33&gt;0,INDEX(AW$7:AW$106,$AJ33),1))))</ns0:f>
        <ns0:v>0</ns0:v>
      </ns0:c>
      <ns0:c r="AY33" t="n">
        <ns0:f>IF($A33="",1,IF(AX33=1,1,--AND(IF($AC33&gt;0,INDEX(AX$7:AX$106,$AC33),1),IF($AD33&gt;0,INDEX(AX$7:AX$106,$AD33),1),IF($AE33&gt;0,INDEX(AX$7:AX$106,$AE33),1),IF($AF33&gt;0,INDEX(AX$7:AX$106,$AF33),1),IF($AG33&gt;0,INDEX(AX$7:AX$106,$AG33),1),IF($AH33&gt;0,INDEX(AX$7:AX$106,$AH33),1),IF($AI33&gt;0,INDEX(AX$7:AX$106,$AI33),1),IF($AJ33&gt;0,INDEX(AX$7:AX$106,$AJ33),1))))</ns0:f>
        <ns0:v>0</ns0:v>
      </ns0:c>
      <ns0:c r="AZ33" t="n">
        <ns0:f>IF($A33="",1,IF(AY33=1,1,--AND(IF($AC33&gt;0,INDEX(AY$7:AY$106,$AC33),1),IF($AD33&gt;0,INDEX(AY$7:AY$106,$AD33),1),IF($AE33&gt;0,INDEX(AY$7:AY$106,$AE33),1),IF($AF33&gt;0,INDEX(AY$7:AY$106,$AF33),1),IF($AG33&gt;0,INDEX(AY$7:AY$106,$AG33),1),IF($AH33&gt;0,INDEX(AY$7:AY$106,$AH33),1),IF($AI33&gt;0,INDEX(AY$7:AY$106,$AI33),1),IF($AJ33&gt;0,INDEX(AY$7:AY$106,$AJ33),1))))</ns0:f>
        <ns0:v>0</ns0:v>
      </ns0:c>
      <ns0:c r="BA33" t="n">
        <ns0:f>IF($A33="",1,IF(AZ33=1,1,--AND(IF($AC33&gt;0,INDEX(AZ$7:AZ$106,$AC33),1),IF($AD33&gt;0,INDEX(AZ$7:AZ$106,$AD33),1),IF($AE33&gt;0,INDEX(AZ$7:AZ$106,$AE33),1),IF($AF33&gt;0,INDEX(AZ$7:AZ$106,$AF33),1),IF($AG33&gt;0,INDEX(AZ$7:AZ$106,$AG33),1),IF($AH33&gt;0,INDEX(AZ$7:AZ$106,$AH33),1),IF($AI33&gt;0,INDEX(AZ$7:AZ$106,$AI33),1),IF($AJ33&gt;0,INDEX(AZ$7:AZ$106,$AJ33),1))))</ns0:f>
        <ns0:v>0</ns0:v>
      </ns0:c>
      <ns0:c r="BB33" t="n">
        <ns0:f>IF($A33="",1,IF(BA33=1,1,--AND(IF($AC33&gt;0,INDEX(BA$7:BA$106,$AC33),1),IF($AD33&gt;0,INDEX(BA$7:BA$106,$AD33),1),IF($AE33&gt;0,INDEX(BA$7:BA$106,$AE33),1),IF($AF33&gt;0,INDEX(BA$7:BA$106,$AF33),1),IF($AG33&gt;0,INDEX(BA$7:BA$106,$AG33),1),IF($AH33&gt;0,INDEX(BA$7:BA$106,$AH33),1),IF($AI33&gt;0,INDEX(BA$7:BA$106,$AI33),1),IF($AJ33&gt;0,INDEX(BA$7:BA$106,$AJ33),1))))</ns0:f>
        <ns0:v>0</ns0:v>
      </ns0:c>
      <ns0:c r="BC33" t="n">
        <ns0:f>IF($A33="",1,IF(BB33=1,1,--AND(IF($AC33&gt;0,INDEX(BB$7:BB$106,$AC33),1),IF($AD33&gt;0,INDEX(BB$7:BB$106,$AD33),1),IF($AE33&gt;0,INDEX(BB$7:BB$106,$AE33),1),IF($AF33&gt;0,INDEX(BB$7:BB$106,$AF33),1),IF($AG33&gt;0,INDEX(BB$7:BB$106,$AG33),1),IF($AH33&gt;0,INDEX(BB$7:BB$106,$AH33),1),IF($AI33&gt;0,INDEX(BB$7:BB$106,$AI33),1),IF($AJ33&gt;0,INDEX(BB$7:BB$106,$AJ33),1))))</ns0:f>
        <ns0:v>0</ns0:v>
      </ns0:c>
      <ns0:c r="BD33" t="n">
        <ns0:f>IF($A33="",1,IF(BC33=1,1,--AND(IF($AC33&gt;0,INDEX(BC$7:BC$106,$AC33),1),IF($AD33&gt;0,INDEX(BC$7:BC$106,$AD33),1),IF($AE33&gt;0,INDEX(BC$7:BC$106,$AE33),1),IF($AF33&gt;0,INDEX(BC$7:BC$106,$AF33),1),IF($AG33&gt;0,INDEX(BC$7:BC$106,$AG33),1),IF($AH33&gt;0,INDEX(BC$7:BC$106,$AH33),1),IF($AI33&gt;0,INDEX(BC$7:BC$106,$AI33),1),IF($AJ33&gt;0,INDEX(BC$7:BC$106,$AJ33),1))))</ns0:f>
        <ns0:v>1</ns0:v>
      </ns0:c>
      <ns0:c r="BE33" t="n">
        <ns0:f>IF($A33="",1,IF(BD33=1,1,--AND(IF($AC33&gt;0,INDEX(BD$7:BD$106,$AC33),1),IF($AD33&gt;0,INDEX(BD$7:BD$106,$AD33),1),IF($AE33&gt;0,INDEX(BD$7:BD$106,$AE33),1),IF($AF33&gt;0,INDEX(BD$7:BD$106,$AF33),1),IF($AG33&gt;0,INDEX(BD$7:BD$106,$AG33),1),IF($AH33&gt;0,INDEX(BD$7:BD$106,$AH33),1),IF($AI33&gt;0,INDEX(BD$7:BD$106,$AI33),1),IF($AJ33&gt;0,INDEX(BD$7:BD$106,$AJ33),1))))</ns0:f>
        <ns0:v>1</ns0:v>
      </ns0:c>
      <ns0:c r="BF33" t="n">
        <ns0:f>IF($A33="",1,IF(BE33=1,1,--AND(IF($AC33&gt;0,INDEX(BE$7:BE$106,$AC33),1),IF($AD33&gt;0,INDEX(BE$7:BE$106,$AD33),1),IF($AE33&gt;0,INDEX(BE$7:BE$106,$AE33),1),IF($AF33&gt;0,INDEX(BE$7:BE$106,$AF33),1),IF($AG33&gt;0,INDEX(BE$7:BE$106,$AG33),1),IF($AH33&gt;0,INDEX(BE$7:BE$106,$AH33),1),IF($AI33&gt;0,INDEX(BE$7:BE$106,$AI33),1),IF($AJ33&gt;0,INDEX(BE$7:BE$106,$AJ33),1))))</ns0:f>
        <ns0:v>1</ns0:v>
      </ns0:c>
      <ns0:c r="BG33" t="n">
        <ns0:f>IF($A33="",1,IF(BF33=1,1,--AND(IF($AC33&gt;0,INDEX(BF$7:BF$106,$AC33),1),IF($AD33&gt;0,INDEX(BF$7:BF$106,$AD33),1),IF($AE33&gt;0,INDEX(BF$7:BF$106,$AE33),1),IF($AF33&gt;0,INDEX(BF$7:BF$106,$AF33),1),IF($AG33&gt;0,INDEX(BF$7:BF$106,$AG33),1),IF($AH33&gt;0,INDEX(BF$7:BF$106,$AH33),1),IF($AI33&gt;0,INDEX(BF$7:BF$106,$AI33),1),IF($AJ33&gt;0,INDEX(BF$7:BF$106,$AJ33),1))))</ns0:f>
        <ns0:v>1</ns0:v>
      </ns0:c>
      <ns0:c r="BH33" t="n">
        <ns0:f>IF($A33="",1,IF(BG33=1,1,--AND(IF($AC33&gt;0,INDEX(BG$7:BG$106,$AC33),1),IF($AD33&gt;0,INDEX(BG$7:BG$106,$AD33),1),IF($AE33&gt;0,INDEX(BG$7:BG$106,$AE33),1),IF($AF33&gt;0,INDEX(BG$7:BG$106,$AF33),1),IF($AG33&gt;0,INDEX(BG$7:BG$106,$AG33),1),IF($AH33&gt;0,INDEX(BG$7:BG$106,$AH33),1),IF($AI33&gt;0,INDEX(BG$7:BG$106,$AI33),1),IF($AJ33&gt;0,INDEX(BG$7:BG$106,$AJ33),1))))</ns0:f>
        <ns0:v>1</ns0:v>
      </ns0:c>
      <ns0:c r="BI33" t="n">
        <ns0:f>IF($A33="",1,IF(BH33=1,1,--AND(IF($AC33&gt;0,INDEX(BH$7:BH$106,$AC33),1),IF($AD33&gt;0,INDEX(BH$7:BH$106,$AD33),1),IF($AE33&gt;0,INDEX(BH$7:BH$106,$AE33),1),IF($AF33&gt;0,INDEX(BH$7:BH$106,$AF33),1),IF($AG33&gt;0,INDEX(BH$7:BH$106,$AG33),1),IF($AH33&gt;0,INDEX(BH$7:BH$106,$AH33),1),IF($AI33&gt;0,INDEX(BH$7:BH$106,$AI33),1),IF($AJ33&gt;0,INDEX(BH$7:BH$106,$AJ33),1))))</ns0:f>
        <ns0:v>1</ns0:v>
      </ns0:c>
      <ns0:c r="BJ33" t="n">
        <ns0:f>IF($A33="",1,IF(BI33=1,1,--AND(IF($AC33&gt;0,INDEX(BI$7:BI$106,$AC33),1),IF($AD33&gt;0,INDEX(BI$7:BI$106,$AD33),1),IF($AE33&gt;0,INDEX(BI$7:BI$106,$AE33),1),IF($AF33&gt;0,INDEX(BI$7:BI$106,$AF33),1),IF($AG33&gt;0,INDEX(BI$7:BI$106,$AG33),1),IF($AH33&gt;0,INDEX(BI$7:BI$106,$AH33),1),IF($AI33&gt;0,INDEX(BI$7:BI$106,$AI33),1),IF($AJ33&gt;0,INDEX(BI$7:BI$106,$AJ33),1))))</ns0:f>
        <ns0:v>1</ns0:v>
      </ns0:c>
      <ns0:c r="BK33" t="n">
        <ns0:f>IF($A33="",1,IF(BJ33=1,1,--AND(IF($AC33&gt;0,INDEX(BJ$7:BJ$106,$AC33),1),IF($AD33&gt;0,INDEX(BJ$7:BJ$106,$AD33),1),IF($AE33&gt;0,INDEX(BJ$7:BJ$106,$AE33),1),IF($AF33&gt;0,INDEX(BJ$7:BJ$106,$AF33),1),IF($AG33&gt;0,INDEX(BJ$7:BJ$106,$AG33),1),IF($AH33&gt;0,INDEX(BJ$7:BJ$106,$AH33),1),IF($AI33&gt;0,INDEX(BJ$7:BJ$106,$AI33),1),IF($AJ33&gt;0,INDEX(BJ$7:BJ$106,$AJ33),1))))</ns0:f>
        <ns0:v>1</ns0:v>
      </ns0:c>
      <ns0:c r="BL33" t="n">
        <ns0:f>IF($A33="",1,IF(BK33=1,1,--AND(IF($AC33&gt;0,INDEX(BK$7:BK$106,$AC33),1),IF($AD33&gt;0,INDEX(BK$7:BK$106,$AD33),1),IF($AE33&gt;0,INDEX(BK$7:BK$106,$AE33),1),IF($AF33&gt;0,INDEX(BK$7:BK$106,$AF33),1),IF($AG33&gt;0,INDEX(BK$7:BK$106,$AG33),1),IF($AH33&gt;0,INDEX(BK$7:BK$106,$AH33),1),IF($AI33&gt;0,INDEX(BK$7:BK$106,$AI33),1),IF($AJ33&gt;0,INDEX(BK$7:BK$106,$AJ33),1))))</ns0:f>
        <ns0:v>1</ns0:v>
      </ns0:c>
      <ns0:c r="BM33" t="n">
        <ns0:f>IF($A33="",1,IF(BL33=1,1,--AND(IF($AC33&gt;0,INDEX(BL$7:BL$106,$AC33),1),IF($AD33&gt;0,INDEX(BL$7:BL$106,$AD33),1),IF($AE33&gt;0,INDEX(BL$7:BL$106,$AE33),1),IF($AF33&gt;0,INDEX(BL$7:BL$106,$AF33),1),IF($AG33&gt;0,INDEX(BL$7:BL$106,$AG33),1),IF($AH33&gt;0,INDEX(BL$7:BL$106,$AH33),1),IF($AI33&gt;0,INDEX(BL$7:BL$106,$AI33),1),IF($AJ33&gt;0,INDEX(BL$7:BL$106,$AJ33),1))))</ns0:f>
        <ns0:v>1</ns0:v>
      </ns0:c>
      <ns0:c r="BN33" t="n">
        <ns0:f>IF($A33="",1,IF(BM33=1,1,--AND(IF($AC33&gt;0,INDEX(BM$7:BM$106,$AC33),1),IF($AD33&gt;0,INDEX(BM$7:BM$106,$AD33),1),IF($AE33&gt;0,INDEX(BM$7:BM$106,$AE33),1),IF($AF33&gt;0,INDEX(BM$7:BM$106,$AF33),1),IF($AG33&gt;0,INDEX(BM$7:BM$106,$AG33),1),IF($AH33&gt;0,INDEX(BM$7:BM$106,$AH33),1),IF($AI33&gt;0,INDEX(BM$7:BM$106,$AI33),1),IF($AJ33&gt;0,INDEX(BM$7:BM$106,$AJ33),1))))</ns0:f>
        <ns0:v>1</ns0:v>
      </ns0:c>
      <ns0:c r="BO33" t="n">
        <ns0:f>IF($A33="",1,IF(BN33=1,1,--AND(IF($AC33&gt;0,INDEX(BN$7:BN$106,$AC33),1),IF($AD33&gt;0,INDEX(BN$7:BN$106,$AD33),1),IF($AE33&gt;0,INDEX(BN$7:BN$106,$AE33),1),IF($AF33&gt;0,INDEX(BN$7:BN$106,$AF33),1),IF($AG33&gt;0,INDEX(BN$7:BN$106,$AG33),1),IF($AH33&gt;0,INDEX(BN$7:BN$106,$AH33),1),IF($AI33&gt;0,INDEX(BN$7:BN$106,$AI33),1),IF($AJ33&gt;0,INDEX(BN$7:BN$106,$AJ33),1))))</ns0:f>
        <ns0:v>1</ns0:v>
      </ns0:c>
      <ns0:c r="BP33" t="n">
        <ns0:f>IF($A33="",1,IF(BO33=1,1,--AND(IF($AC33&gt;0,INDEX(BO$7:BO$106,$AC33),1),IF($AD33&gt;0,INDEX(BO$7:BO$106,$AD33),1),IF($AE33&gt;0,INDEX(BO$7:BO$106,$AE33),1),IF($AF33&gt;0,INDEX(BO$7:BO$106,$AF33),1),IF($AG33&gt;0,INDEX(BO$7:BO$106,$AG33),1),IF($AH33&gt;0,INDEX(BO$7:BO$106,$AH33),1),IF($AI33&gt;0,INDEX(BO$7:BO$106,$AI33),1),IF($AJ33&gt;0,INDEX(BO$7:BO$106,$AJ33),1))))</ns0:f>
        <ns0:v>1</ns0:v>
      </ns0:c>
      <ns0:c r="BQ33" t="n">
        <ns0:f>IF($A33="",1,IF(BP33=1,1,--AND(IF($AC33&gt;0,INDEX(BP$7:BP$106,$AC33),1),IF($AD33&gt;0,INDEX(BP$7:BP$106,$AD33),1),IF($AE33&gt;0,INDEX(BP$7:BP$106,$AE33),1),IF($AF33&gt;0,INDEX(BP$7:BP$106,$AF33),1),IF($AG33&gt;0,INDEX(BP$7:BP$106,$AG33),1),IF($AH33&gt;0,INDEX(BP$7:BP$106,$AH33),1),IF($AI33&gt;0,INDEX(BP$7:BP$106,$AI33),1),IF($AJ33&gt;0,INDEX(BP$7:BP$106,$AJ33),1))))</ns0:f>
        <ns0:v>1</ns0:v>
      </ns0:c>
      <ns0:c r="BR33" t="n">
        <ns0:f>IF($A33="",1,IF(BQ33=1,1,--AND(IF($AC33&gt;0,INDEX(BQ$7:BQ$106,$AC33),1),IF($AD33&gt;0,INDEX(BQ$7:BQ$106,$AD33),1),IF($AE33&gt;0,INDEX(BQ$7:BQ$106,$AE33),1),IF($AF33&gt;0,INDEX(BQ$7:BQ$106,$AF33),1),IF($AG33&gt;0,INDEX(BQ$7:BQ$106,$AG33),1),IF($AH33&gt;0,INDEX(BQ$7:BQ$106,$AH33),1),IF($AI33&gt;0,INDEX(BQ$7:BQ$106,$AI33),1),IF($AJ33&gt;0,INDEX(BQ$7:BQ$106,$AJ33),1))))</ns0:f>
        <ns0:v>1</ns0:v>
      </ns0:c>
      <ns0:c r="BS33" t="n">
        <ns0:f>IF($A33="",1,IF(BR33=1,1,--AND(IF($AC33&gt;0,INDEX(BR$7:BR$106,$AC33),1),IF($AD33&gt;0,INDEX(BR$7:BR$106,$AD33),1),IF($AE33&gt;0,INDEX(BR$7:BR$106,$AE33),1),IF($AF33&gt;0,INDEX(BR$7:BR$106,$AF33),1),IF($AG33&gt;0,INDEX(BR$7:BR$106,$AG33),1),IF($AH33&gt;0,INDEX(BR$7:BR$106,$AH33),1),IF($AI33&gt;0,INDEX(BR$7:BR$106,$AI33),1),IF($AJ33&gt;0,INDEX(BR$7:BR$106,$AJ33),1))))</ns0:f>
        <ns0:v>1</ns0:v>
      </ns0:c>
      <ns0:c r="BT33" t="n">
        <ns0:f>IF($A33="",1,IF(BS33=1,1,--AND(IF($AC33&gt;0,INDEX(BS$7:BS$106,$AC33),1),IF($AD33&gt;0,INDEX(BS$7:BS$106,$AD33),1),IF($AE33&gt;0,INDEX(BS$7:BS$106,$AE33),1),IF($AF33&gt;0,INDEX(BS$7:BS$106,$AF33),1),IF($AG33&gt;0,INDEX(BS$7:BS$106,$AG33),1),IF($AH33&gt;0,INDEX(BS$7:BS$106,$AH33),1),IF($AI33&gt;0,INDEX(BS$7:BS$106,$AI33),1),IF($AJ33&gt;0,INDEX(BS$7:BS$106,$AJ33),1))))</ns0:f>
        <ns0:v>1</ns0:v>
      </ns0:c>
      <ns0:c r="BU33" t="n">
        <ns0:f>IF($A33="",1,IF(BT33=1,1,--AND(IF($AC33&gt;0,INDEX(BT$7:BT$106,$AC33),1),IF($AD33&gt;0,INDEX(BT$7:BT$106,$AD33),1),IF($AE33&gt;0,INDEX(BT$7:BT$106,$AE33),1),IF($AF33&gt;0,INDEX(BT$7:BT$106,$AF33),1),IF($AG33&gt;0,INDEX(BT$7:BT$106,$AG33),1),IF($AH33&gt;0,INDEX(BT$7:BT$106,$AH33),1),IF($AI33&gt;0,INDEX(BT$7:BT$106,$AI33),1),IF($AJ33&gt;0,INDEX(BT$7:BT$106,$AJ33),1))))</ns0:f>
        <ns0:v>1</ns0:v>
      </ns0:c>
      <ns0:c r="BV33" t="n">
        <ns0:f>IF($A33="",1,IF(BU33=1,1,--AND(IF($AC33&gt;0,INDEX(BU$7:BU$106,$AC33),1),IF($AD33&gt;0,INDEX(BU$7:BU$106,$AD33),1),IF($AE33&gt;0,INDEX(BU$7:BU$106,$AE33),1),IF($AF33&gt;0,INDEX(BU$7:BU$106,$AF33),1),IF($AG33&gt;0,INDEX(BU$7:BU$106,$AG33),1),IF($AH33&gt;0,INDEX(BU$7:BU$106,$AH33),1),IF($AI33&gt;0,INDEX(BU$7:BU$106,$AI33),1),IF($AJ33&gt;0,INDEX(BU$7:BU$106,$AJ33),1))))</ns0:f>
        <ns0:v>1</ns0:v>
      </ns0:c>
      <ns0:c r="BW33" t="n">
        <ns0:f>IF($A33="",1,IF(BV33=1,1,--AND(IF($AC33&gt;0,INDEX(BV$7:BV$106,$AC33),1),IF($AD33&gt;0,INDEX(BV$7:BV$106,$AD33),1),IF($AE33&gt;0,INDEX(BV$7:BV$106,$AE33),1),IF($AF33&gt;0,INDEX(BV$7:BV$106,$AF33),1),IF($AG33&gt;0,INDEX(BV$7:BV$106,$AG33),1),IF($AH33&gt;0,INDEX(BV$7:BV$106,$AH33),1),IF($AI33&gt;0,INDEX(BV$7:BV$106,$AI33),1),IF($AJ33&gt;0,INDEX(BV$7:BV$106,$AJ33),1))))</ns0:f>
        <ns0:v>1</ns0:v>
      </ns0:c>
      <ns0:c r="BX33" t="n">
        <ns0:f>IF($A33="",1,IF(BW33=1,1,--AND(IF($AC33&gt;0,INDEX(BW$7:BW$106,$AC33),1),IF($AD33&gt;0,INDEX(BW$7:BW$106,$AD33),1),IF($AE33&gt;0,INDEX(BW$7:BW$106,$AE33),1),IF($AF33&gt;0,INDEX(BW$7:BW$106,$AF33),1),IF($AG33&gt;0,INDEX(BW$7:BW$106,$AG33),1),IF($AH33&gt;0,INDEX(BW$7:BW$106,$AH33),1),IF($AI33&gt;0,INDEX(BW$7:BW$106,$AI33),1),IF($AJ33&gt;0,INDEX(BW$7:BW$106,$AJ33),1))))</ns0:f>
        <ns0:v>1</ns0:v>
      </ns0:c>
      <ns0:c r="BY33" t="n">
        <ns0:f>IF($A33="",1,IF(BX33=1,1,--AND(IF($AC33&gt;0,INDEX(BX$7:BX$106,$AC33),1),IF($AD33&gt;0,INDEX(BX$7:BX$106,$AD33),1),IF($AE33&gt;0,INDEX(BX$7:BX$106,$AE33),1),IF($AF33&gt;0,INDEX(BX$7:BX$106,$AF33),1),IF($AG33&gt;0,INDEX(BX$7:BX$106,$AG33),1),IF($AH33&gt;0,INDEX(BX$7:BX$106,$AH33),1),IF($AI33&gt;0,INDEX(BX$7:BX$106,$AI33),1),IF($AJ33&gt;0,INDEX(BX$7:BX$106,$AJ33),1))))</ns0:f>
        <ns0:v>1</ns0:v>
      </ns0:c>
      <ns0:c r="BZ33" t="n">
        <ns0:f>IF($A33="",1,IF(BY33=1,1,--AND(IF($AC33&gt;0,INDEX(BY$7:BY$106,$AC33),1),IF($AD33&gt;0,INDEX(BY$7:BY$106,$AD33),1),IF($AE33&gt;0,INDEX(BY$7:BY$106,$AE33),1),IF($AF33&gt;0,INDEX(BY$7:BY$106,$AF33),1),IF($AG33&gt;0,INDEX(BY$7:BY$106,$AG33),1),IF($AH33&gt;0,INDEX(BY$7:BY$106,$AH33),1),IF($AI33&gt;0,INDEX(BY$7:BY$106,$AI33),1),IF($AJ33&gt;0,INDEX(BY$7:BY$106,$AJ33),1))))</ns0:f>
        <ns0:v>1</ns0:v>
      </ns0:c>
      <ns0:c r="CA33" t="n">
        <ns0:f>IF($A33="",1,IF(BZ33=1,1,--AND(IF($AC33&gt;0,INDEX(BZ$7:BZ$106,$AC33),1),IF($AD33&gt;0,INDEX(BZ$7:BZ$106,$AD33),1),IF($AE33&gt;0,INDEX(BZ$7:BZ$106,$AE33),1),IF($AF33&gt;0,INDEX(BZ$7:BZ$106,$AF33),1),IF($AG33&gt;0,INDEX(BZ$7:BZ$106,$AG33),1),IF($AH33&gt;0,INDEX(BZ$7:BZ$106,$AH33),1),IF($AI33&gt;0,INDEX(BZ$7:BZ$106,$AI33),1),IF($AJ33&gt;0,INDEX(BZ$7:BZ$106,$AJ33),1))))</ns0:f>
        <ns0:v>1</ns0:v>
      </ns0:c>
      <ns0:c r="CB33" t="n">
        <ns0:f>IF($A33="",1,IF(CA33=1,1,--AND(IF($AC33&gt;0,INDEX(CA$7:CA$106,$AC33),1),IF($AD33&gt;0,INDEX(CA$7:CA$106,$AD33),1),IF($AE33&gt;0,INDEX(CA$7:CA$106,$AE33),1),IF($AF33&gt;0,INDEX(CA$7:CA$106,$AF33),1),IF($AG33&gt;0,INDEX(CA$7:CA$106,$AG33),1),IF($AH33&gt;0,INDEX(CA$7:CA$106,$AH33),1),IF($AI33&gt;0,INDEX(CA$7:CA$106,$AI33),1),IF($AJ33&gt;0,INDEX(CA$7:CA$106,$AJ33),1))))</ns0:f>
        <ns0:v>1</ns0:v>
      </ns0:c>
      <ns0:c r="CC33" t="n">
        <ns0:f>IF($A33="",1,IF(CB33=1,1,--AND(IF($AC33&gt;0,INDEX(CB$7:CB$106,$AC33),1),IF($AD33&gt;0,INDEX(CB$7:CB$106,$AD33),1),IF($AE33&gt;0,INDEX(CB$7:CB$106,$AE33),1),IF($AF33&gt;0,INDEX(CB$7:CB$106,$AF33),1),IF($AG33&gt;0,INDEX(CB$7:CB$106,$AG33),1),IF($AH33&gt;0,INDEX(CB$7:CB$106,$AH33),1),IF($AI33&gt;0,INDEX(CB$7:CB$106,$AI33),1),IF($AJ33&gt;0,INDEX(CB$7:CB$106,$AJ33),1))))</ns0:f>
        <ns0:v>1</ns0:v>
      </ns0:c>
      <ns0:c r="CD33" t="n">
        <ns0:f>IF($A33="",1,IF(CC33=1,1,--AND(IF($AC33&gt;0,INDEX(CC$7:CC$106,$AC33),1),IF($AD33&gt;0,INDEX(CC$7:CC$106,$AD33),1),IF($AE33&gt;0,INDEX(CC$7:CC$106,$AE33),1),IF($AF33&gt;0,INDEX(CC$7:CC$106,$AF33),1),IF($AG33&gt;0,INDEX(CC$7:CC$106,$AG33),1),IF($AH33&gt;0,INDEX(CC$7:CC$106,$AH33),1),IF($AI33&gt;0,INDEX(CC$7:CC$106,$AI33),1),IF($AJ33&gt;0,INDEX(CC$7:CC$106,$AJ33),1))))</ns0:f>
        <ns0:v>1</ns0:v>
      </ns0:c>
      <ns0:c r="CE33" t="n">
        <ns0:f>IF($A33="",1,IF(CD33=1,1,--AND(IF($AC33&gt;0,INDEX(CD$7:CD$106,$AC33),1),IF($AD33&gt;0,INDEX(CD$7:CD$106,$AD33),1),IF($AE33&gt;0,INDEX(CD$7:CD$106,$AE33),1),IF($AF33&gt;0,INDEX(CD$7:CD$106,$AF33),1),IF($AG33&gt;0,INDEX(CD$7:CD$106,$AG33),1),IF($AH33&gt;0,INDEX(CD$7:CD$106,$AH33),1),IF($AI33&gt;0,INDEX(CD$7:CD$106,$AI33),1),IF($AJ33&gt;0,INDEX(CD$7:CD$106,$AJ33),1))))</ns0:f>
        <ns0:v>1</ns0:v>
      </ns0:c>
      <ns0:c r="CF33" t="n">
        <ns0:f>IF($A33="",1,IF(CE33=1,1,--AND(IF($AC33&gt;0,INDEX(CE$7:CE$106,$AC33),1),IF($AD33&gt;0,INDEX(CE$7:CE$106,$AD33),1),IF($AE33&gt;0,INDEX(CE$7:CE$106,$AE33),1),IF($AF33&gt;0,INDEX(CE$7:CE$106,$AF33),1),IF($AG33&gt;0,INDEX(CE$7:CE$106,$AG33),1),IF($AH33&gt;0,INDEX(CE$7:CE$106,$AH33),1),IF($AI33&gt;0,INDEX(CE$7:CE$106,$AI33),1),IF($AJ33&gt;0,INDEX(CE$7:CE$106,$AJ33),1))))</ns0:f>
        <ns0:v>1</ns0:v>
      </ns0:c>
      <ns0:c r="CG33" t="n">
        <ns0:f>IF($A33="",1,IF(CF33=1,1,--AND(IF($AC33&gt;0,INDEX(CF$7:CF$106,$AC33),1),IF($AD33&gt;0,INDEX(CF$7:CF$106,$AD33),1),IF($AE33&gt;0,INDEX(CF$7:CF$106,$AE33),1),IF($AF33&gt;0,INDEX(CF$7:CF$106,$AF33),1),IF($AG33&gt;0,INDEX(CF$7:CF$106,$AG33),1),IF($AH33&gt;0,INDEX(CF$7:CF$106,$AH33),1),IF($AI33&gt;0,INDEX(CF$7:CF$106,$AI33),1),IF($AJ33&gt;0,INDEX(CF$7:CF$106,$AJ33),1))))</ns0:f>
        <ns0:v>1</ns0:v>
      </ns0:c>
      <ns0:c r="CH33" t="n">
        <ns0:f>IF($A33="",1,IF(CG33=1,1,--AND(IF($AC33&gt;0,INDEX(CG$7:CG$106,$AC33),1),IF($AD33&gt;0,INDEX(CG$7:CG$106,$AD33),1),IF($AE33&gt;0,INDEX(CG$7:CG$106,$AE33),1),IF($AF33&gt;0,INDEX(CG$7:CG$106,$AF33),1),IF($AG33&gt;0,INDEX(CG$7:CG$106,$AG33),1),IF($AH33&gt;0,INDEX(CG$7:CG$106,$AH33),1),IF($AI33&gt;0,INDEX(CG$7:CG$106,$AI33),1),IF($AJ33&gt;0,INDEX(CG$7:CG$106,$AJ33),1))))</ns0:f>
        <ns0:v>1</ns0:v>
      </ns0:c>
      <ns0:c r="CI33" t="n">
        <ns0:f>IF($A33="",1,IF(CH33=1,1,--AND(IF($AC33&gt;0,INDEX(CH$7:CH$106,$AC33),1),IF($AD33&gt;0,INDEX(CH$7:CH$106,$AD33),1),IF($AE33&gt;0,INDEX(CH$7:CH$106,$AE33),1),IF($AF33&gt;0,INDEX(CH$7:CH$106,$AF33),1),IF($AG33&gt;0,INDEX(CH$7:CH$106,$AG33),1),IF($AH33&gt;0,INDEX(CH$7:CH$106,$AH33),1),IF($AI33&gt;0,INDEX(CH$7:CH$106,$AI33),1),IF($AJ33&gt;0,INDEX(CH$7:CH$106,$AJ33),1))))</ns0:f>
        <ns0:v>1</ns0:v>
      </ns0:c>
      <ns0:c r="CJ33" t="n">
        <ns0:f>IF($A33="",1,IF(CI33=1,1,--AND(IF($AC33&gt;0,INDEX(CI$7:CI$106,$AC33),1),IF($AD33&gt;0,INDEX(CI$7:CI$106,$AD33),1),IF($AE33&gt;0,INDEX(CI$7:CI$106,$AE33),1),IF($AF33&gt;0,INDEX(CI$7:CI$106,$AF33),1),IF($AG33&gt;0,INDEX(CI$7:CI$106,$AG33),1),IF($AH33&gt;0,INDEX(CI$7:CI$106,$AH33),1),IF($AI33&gt;0,INDEX(CI$7:CI$106,$AI33),1),IF($AJ33&gt;0,INDEX(CI$7:CI$106,$AJ33),1))))</ns0:f>
        <ns0:v>1</ns0:v>
      </ns0:c>
      <ns0:c r="CK33" t="n">
        <ns0:f>IF($A33="",1,IF(CJ33=1,1,--AND(IF($AC33&gt;0,INDEX(CJ$7:CJ$106,$AC33),1),IF($AD33&gt;0,INDEX(CJ$7:CJ$106,$AD33),1),IF($AE33&gt;0,INDEX(CJ$7:CJ$106,$AE33),1),IF($AF33&gt;0,INDEX(CJ$7:CJ$106,$AF33),1),IF($AG33&gt;0,INDEX(CJ$7:CJ$106,$AG33),1),IF($AH33&gt;0,INDEX(CJ$7:CJ$106,$AH33),1),IF($AI33&gt;0,INDEX(CJ$7:CJ$106,$AI33),1),IF($AJ33&gt;0,INDEX(CJ$7:CJ$106,$AJ33),1))))</ns0:f>
        <ns0:v>1</ns0:v>
      </ns0:c>
      <ns0:c r="CL33" t="n">
        <ns0:f>IF($A33="",1,IF(CK33=1,1,--AND(IF($AC33&gt;0,INDEX(CK$7:CK$106,$AC33),1),IF($AD33&gt;0,INDEX(CK$7:CK$106,$AD33),1),IF($AE33&gt;0,INDEX(CK$7:CK$106,$AE33),1),IF($AF33&gt;0,INDEX(CK$7:CK$106,$AF33),1),IF($AG33&gt;0,INDEX(CK$7:CK$106,$AG33),1),IF($AH33&gt;0,INDEX(CK$7:CK$106,$AH33),1),IF($AI33&gt;0,INDEX(CK$7:CK$106,$AI33),1),IF($AJ33&gt;0,INDEX(CK$7:CK$106,$AJ33),1))))</ns0:f>
        <ns0:v>1</ns0:v>
      </ns0:c>
      <ns0:c r="CM33" t="n">
        <ns0:f>IF($A33="",1,IF(CL33=1,1,--AND(IF($AC33&gt;0,INDEX(CL$7:CL$106,$AC33),1),IF($AD33&gt;0,INDEX(CL$7:CL$106,$AD33),1),IF($AE33&gt;0,INDEX(CL$7:CL$106,$AE33),1),IF($AF33&gt;0,INDEX(CL$7:CL$106,$AF33),1),IF($AG33&gt;0,INDEX(CL$7:CL$106,$AG33),1),IF($AH33&gt;0,INDEX(CL$7:CL$106,$AH33),1),IF($AI33&gt;0,INDEX(CL$7:CL$106,$AI33),1),IF($AJ33&gt;0,INDEX(CL$7:CL$106,$AJ33),1))))</ns0:f>
        <ns0:v>1</ns0:v>
      </ns0:c>
      <ns0:c r="CN33" t="n">
        <ns0:f>IF($A33="",1,IF(CM33=1,1,--AND(IF($AC33&gt;0,INDEX(CM$7:CM$106,$AC33),1),IF($AD33&gt;0,INDEX(CM$7:CM$106,$AD33),1),IF($AE33&gt;0,INDEX(CM$7:CM$106,$AE33),1),IF($AF33&gt;0,INDEX(CM$7:CM$106,$AF33),1),IF($AG33&gt;0,INDEX(CM$7:CM$106,$AG33),1),IF($AH33&gt;0,INDEX(CM$7:CM$106,$AH33),1),IF($AI33&gt;0,INDEX(CM$7:CM$106,$AI33),1),IF($AJ33&gt;0,INDEX(CM$7:CM$106,$AJ33),1))))</ns0:f>
        <ns0:v>1</ns0:v>
      </ns0:c>
      <ns0:c r="CO33" t="n">
        <ns0:f>IF($A33="",1,IF(CN33=1,1,--AND(IF($AC33&gt;0,INDEX(CN$7:CN$106,$AC33),1),IF($AD33&gt;0,INDEX(CN$7:CN$106,$AD33),1),IF($AE33&gt;0,INDEX(CN$7:CN$106,$AE33),1),IF($AF33&gt;0,INDEX(CN$7:CN$106,$AF33),1),IF($AG33&gt;0,INDEX(CN$7:CN$106,$AG33),1),IF($AH33&gt;0,INDEX(CN$7:CN$106,$AH33),1),IF($AI33&gt;0,INDEX(CN$7:CN$106,$AI33),1),IF($AJ33&gt;0,INDEX(CN$7:CN$106,$AJ33),1))))</ns0:f>
        <ns0:v>1</ns0:v>
      </ns0:c>
      <ns0:c r="CP33" t="n">
        <ns0:f>IF($A33="",1,IF(CO33=1,1,--AND(IF($AC33&gt;0,INDEX(CO$7:CO$106,$AC33),1),IF($AD33&gt;0,INDEX(CO$7:CO$106,$AD33),1),IF($AE33&gt;0,INDEX(CO$7:CO$106,$AE33),1),IF($AF33&gt;0,INDEX(CO$7:CO$106,$AF33),1),IF($AG33&gt;0,INDEX(CO$7:CO$106,$AG33),1),IF($AH33&gt;0,INDEX(CO$7:CO$106,$AH33),1),IF($AI33&gt;0,INDEX(CO$7:CO$106,$AI33),1),IF($AJ33&gt;0,INDEX(CO$7:CO$106,$AJ33),1))))</ns0:f>
        <ns0:v>1</ns0:v>
      </ns0:c>
      <ns0:c r="CQ33" t="n">
        <ns0:f>IF($A33="",1,IF(CP33=1,1,--AND(IF($AC33&gt;0,INDEX(CP$7:CP$106,$AC33),1),IF($AD33&gt;0,INDEX(CP$7:CP$106,$AD33),1),IF($AE33&gt;0,INDEX(CP$7:CP$106,$AE33),1),IF($AF33&gt;0,INDEX(CP$7:CP$106,$AF33),1),IF($AG33&gt;0,INDEX(CP$7:CP$106,$AG33),1),IF($AH33&gt;0,INDEX(CP$7:CP$106,$AH33),1),IF($AI33&gt;0,INDEX(CP$7:CP$106,$AI33),1),IF($AJ33&gt;0,INDEX(CP$7:CP$106,$AJ33),1))))</ns0:f>
        <ns0:v>1</ns0:v>
      </ns0:c>
      <ns0:c r="CR33" t="n">
        <ns0:f>IF($A33="",1,IF(CQ33=1,1,--AND(IF($AC33&gt;0,INDEX(CQ$7:CQ$106,$AC33),1),IF($AD33&gt;0,INDEX(CQ$7:CQ$106,$AD33),1),IF($AE33&gt;0,INDEX(CQ$7:CQ$106,$AE33),1),IF($AF33&gt;0,INDEX(CQ$7:CQ$106,$AF33),1),IF($AG33&gt;0,INDEX(CQ$7:CQ$106,$AG33),1),IF($AH33&gt;0,INDEX(CQ$7:CQ$106,$AH33),1),IF($AI33&gt;0,INDEX(CQ$7:CQ$106,$AI33),1),IF($AJ33&gt;0,INDEX(CQ$7:CQ$106,$AJ33),1))))</ns0:f>
        <ns0:v>1</ns0:v>
      </ns0:c>
      <ns0:c r="CS33" t="n">
        <ns0:f>IF($A33="",1,IF(CR33=1,1,--AND(IF($AC33&gt;0,INDEX(CR$7:CR$106,$AC33),1),IF($AD33&gt;0,INDEX(CR$7:CR$106,$AD33),1),IF($AE33&gt;0,INDEX(CR$7:CR$106,$AE33),1),IF($AF33&gt;0,INDEX(CR$7:CR$106,$AF33),1),IF($AG33&gt;0,INDEX(CR$7:CR$106,$AG33),1),IF($AH33&gt;0,INDEX(CR$7:CR$106,$AH33),1),IF($AI33&gt;0,INDEX(CR$7:CR$106,$AI33),1),IF($AJ33&gt;0,INDEX(CR$7:CR$106,$AJ33),1))))</ns0:f>
        <ns0:v>1</ns0:v>
      </ns0:c>
      <ns0:c r="CT33" t="n">
        <ns0:f>IF($A33="",1,IF(CS33=1,1,--AND(IF($AC33&gt;0,INDEX(CS$7:CS$106,$AC33),1),IF($AD33&gt;0,INDEX(CS$7:CS$106,$AD33),1),IF($AE33&gt;0,INDEX(CS$7:CS$106,$AE33),1),IF($AF33&gt;0,INDEX(CS$7:CS$106,$AF33),1),IF($AG33&gt;0,INDEX(CS$7:CS$106,$AG33),1),IF($AH33&gt;0,INDEX(CS$7:CS$106,$AH33),1),IF($AI33&gt;0,INDEX(CS$7:CS$106,$AI33),1),IF($AJ33&gt;0,INDEX(CS$7:CS$106,$AJ33),1))))</ns0:f>
        <ns0:v>1</ns0:v>
      </ns0:c>
      <ns0:c r="CU33" t="n">
        <ns0:f>IF($A33="",1,IF(CT33=1,1,--AND(IF($AC33&gt;0,INDEX(CT$7:CT$106,$AC33),1),IF($AD33&gt;0,INDEX(CT$7:CT$106,$AD33),1),IF($AE33&gt;0,INDEX(CT$7:CT$106,$AE33),1),IF($AF33&gt;0,INDEX(CT$7:CT$106,$AF33),1),IF($AG33&gt;0,INDEX(CT$7:CT$106,$AG33),1),IF($AH33&gt;0,INDEX(CT$7:CT$106,$AH33),1),IF($AI33&gt;0,INDEX(CT$7:CT$106,$AI33),1),IF($AJ33&gt;0,INDEX(CT$7:CT$106,$AJ33),1))))</ns0:f>
        <ns0:v>1</ns0:v>
      </ns0:c>
      <ns0:c r="CV33" t="n">
        <ns0:f>IF($A33="",1,IF(CU33=1,1,--AND(IF($AC33&gt;0,INDEX(CU$7:CU$106,$AC33),1),IF($AD33&gt;0,INDEX(CU$7:CU$106,$AD33),1),IF($AE33&gt;0,INDEX(CU$7:CU$106,$AE33),1),IF($AF33&gt;0,INDEX(CU$7:CU$106,$AF33),1),IF($AG33&gt;0,INDEX(CU$7:CU$106,$AG33),1),IF($AH33&gt;0,INDEX(CU$7:CU$106,$AH33),1),IF($AI33&gt;0,INDEX(CU$7:CU$106,$AI33),1),IF($AJ33&gt;0,INDEX(CU$7:CU$106,$AJ33),1))))</ns0:f>
        <ns0:v>1</ns0:v>
      </ns0:c>
      <ns0:c r="CW33" t="n">
        <ns0:f>IF($A33="",1,IF(CV33=1,1,--AND(IF($AC33&gt;0,INDEX(CV$7:CV$106,$AC33),1),IF($AD33&gt;0,INDEX(CV$7:CV$106,$AD33),1),IF($AE33&gt;0,INDEX(CV$7:CV$106,$AE33),1),IF($AF33&gt;0,INDEX(CV$7:CV$106,$AF33),1),IF($AG33&gt;0,INDEX(CV$7:CV$106,$AG33),1),IF($AH33&gt;0,INDEX(CV$7:CV$106,$AH33),1),IF($AI33&gt;0,INDEX(CV$7:CV$106,$AI33),1),IF($AJ33&gt;0,INDEX(CV$7:CV$106,$AJ33),1))))</ns0:f>
        <ns0:v>1</ns0:v>
      </ns0:c>
      <ns0:c r="CX33" t="n">
        <ns0:f>IF($A33="",1,IF(CW33=1,1,--AND(IF($AC33&gt;0,INDEX(CW$7:CW$106,$AC33),1),IF($AD33&gt;0,INDEX(CW$7:CW$106,$AD33),1),IF($AE33&gt;0,INDEX(CW$7:CW$106,$AE33),1),IF($AF33&gt;0,INDEX(CW$7:CW$106,$AF33),1),IF($AG33&gt;0,INDEX(CW$7:CW$106,$AG33),1),IF($AH33&gt;0,INDEX(CW$7:CW$106,$AH33),1),IF($AI33&gt;0,INDEX(CW$7:CW$106,$AI33),1),IF($AJ33&gt;0,INDEX(CW$7:CW$106,$AJ33),1))))</ns0:f>
        <ns0:v>1</ns0:v>
      </ns0:c>
      <ns0:c r="CY33" t="n">
        <ns0:f>IF($A33="",1,IF(CX33=1,1,--AND(IF($AC33&gt;0,INDEX(CX$7:CX$106,$AC33),1),IF($AD33&gt;0,INDEX(CX$7:CX$106,$AD33),1),IF($AE33&gt;0,INDEX(CX$7:CX$106,$AE33),1),IF($AF33&gt;0,INDEX(CX$7:CX$106,$AF33),1),IF($AG33&gt;0,INDEX(CX$7:CX$106,$AG33),1),IF($AH33&gt;0,INDEX(CX$7:CX$106,$AH33),1),IF($AI33&gt;0,INDEX(CX$7:CX$106,$AI33),1),IF($AJ33&gt;0,INDEX(CX$7:CX$106,$AJ33),1))))</ns0:f>
        <ns0:v>1</ns0:v>
      </ns0:c>
      <ns0:c r="CZ33" t="n">
        <ns0:f>IF($A33="",1,IF(CY33=1,1,--AND(IF($AC33&gt;0,INDEX(CY$7:CY$106,$AC33),1),IF($AD33&gt;0,INDEX(CY$7:CY$106,$AD33),1),IF($AE33&gt;0,INDEX(CY$7:CY$106,$AE33),1),IF($AF33&gt;0,INDEX(CY$7:CY$106,$AF33),1),IF($AG33&gt;0,INDEX(CY$7:CY$106,$AG33),1),IF($AH33&gt;0,INDEX(CY$7:CY$106,$AH33),1),IF($AI33&gt;0,INDEX(CY$7:CY$106,$AI33),1),IF($AJ33&gt;0,INDEX(CY$7:CY$106,$AJ33),1))))</ns0:f>
        <ns0:v>1</ns0:v>
      </ns0:c>
      <ns0:c r="DA33" t="n">
        <ns0:f>IF($A33="",1,IF(CZ33=1,1,--AND(IF($AC33&gt;0,INDEX(CZ$7:CZ$106,$AC33),1),IF($AD33&gt;0,INDEX(CZ$7:CZ$106,$AD33),1),IF($AE33&gt;0,INDEX(CZ$7:CZ$106,$AE33),1),IF($AF33&gt;0,INDEX(CZ$7:CZ$106,$AF33),1),IF($AG33&gt;0,INDEX(CZ$7:CZ$106,$AG33),1),IF($AH33&gt;0,INDEX(CZ$7:CZ$106,$AH33),1),IF($AI33&gt;0,INDEX(CZ$7:CZ$106,$AI33),1),IF($AJ33&gt;0,INDEX(CZ$7:CZ$106,$AJ33),1))))</ns0:f>
        <ns0:v>1</ns0:v>
      </ns0:c>
      <ns0:c r="DB33" t="n">
        <ns0:f>IF($A33="",1,IF(DA33=1,1,--AND(IF($AC33&gt;0,INDEX(DA$7:DA$106,$AC33),1),IF($AD33&gt;0,INDEX(DA$7:DA$106,$AD33),1),IF($AE33&gt;0,INDEX(DA$7:DA$106,$AE33),1),IF($AF33&gt;0,INDEX(DA$7:DA$106,$AF33),1),IF($AG33&gt;0,INDEX(DA$7:DA$106,$AG33),1),IF($AH33&gt;0,INDEX(DA$7:DA$106,$AH33),1),IF($AI33&gt;0,INDEX(DA$7:DA$106,$AI33),1),IF($AJ33&gt;0,INDEX(DA$7:DA$106,$AJ33),1))))</ns0:f>
        <ns0:v>1</ns0:v>
      </ns0:c>
      <ns0:c r="DC33" t="n">
        <ns0:f>IF($A33="",1,IF(DB33=1,1,--AND(IF($AC33&gt;0,INDEX(DB$7:DB$106,$AC33),1),IF($AD33&gt;0,INDEX(DB$7:DB$106,$AD33),1),IF($AE33&gt;0,INDEX(DB$7:DB$106,$AE33),1),IF($AF33&gt;0,INDEX(DB$7:DB$106,$AF33),1),IF($AG33&gt;0,INDEX(DB$7:DB$106,$AG33),1),IF($AH33&gt;0,INDEX(DB$7:DB$106,$AH33),1),IF($AI33&gt;0,INDEX(DB$7:DB$106,$AI33),1),IF($AJ33&gt;0,INDEX(DB$7:DB$106,$AJ33),1))))</ns0:f>
        <ns0:v>1</ns0:v>
      </ns0:c>
      <ns0:c r="DD33" t="n">
        <ns0:f>IF($A33="",1,IF(DC33=1,1,--AND(IF($AC33&gt;0,INDEX(DC$7:DC$106,$AC33),1),IF($AD33&gt;0,INDEX(DC$7:DC$106,$AD33),1),IF($AE33&gt;0,INDEX(DC$7:DC$106,$AE33),1),IF($AF33&gt;0,INDEX(DC$7:DC$106,$AF33),1),IF($AG33&gt;0,INDEX(DC$7:DC$106,$AG33),1),IF($AH33&gt;0,INDEX(DC$7:DC$106,$AH33),1),IF($AI33&gt;0,INDEX(DC$7:DC$106,$AI33),1),IF($AJ33&gt;0,INDEX(DC$7:DC$106,$AJ33),1))))</ns0:f>
        <ns0:v>1</ns0:v>
      </ns0:c>
      <ns0:c r="DE33" t="n">
        <ns0:f>IF($A33="",1,IF(DD33=1,1,--AND(IF($AC33&gt;0,INDEX(DD$7:DD$106,$AC33),1),IF($AD33&gt;0,INDEX(DD$7:DD$106,$AD33),1),IF($AE33&gt;0,INDEX(DD$7:DD$106,$AE33),1),IF($AF33&gt;0,INDEX(DD$7:DD$106,$AF33),1),IF($AG33&gt;0,INDEX(DD$7:DD$106,$AG33),1),IF($AH33&gt;0,INDEX(DD$7:DD$106,$AH33),1),IF($AI33&gt;0,INDEX(DD$7:DD$106,$AI33),1),IF($AJ33&gt;0,INDEX(DD$7:DD$106,$AJ33),1))))</ns0:f>
        <ns0:v>1</ns0:v>
      </ns0:c>
      <ns0:c r="DF33" t="n">
        <ns0:f>IF($A33="",1,IF(DE33=1,1,--AND(IF($AC33&gt;0,INDEX(DE$7:DE$106,$AC33),1),IF($AD33&gt;0,INDEX(DE$7:DE$106,$AD33),1),IF($AE33&gt;0,INDEX(DE$7:DE$106,$AE33),1),IF($AF33&gt;0,INDEX(DE$7:DE$106,$AF33),1),IF($AG33&gt;0,INDEX(DE$7:DE$106,$AG33),1),IF($AH33&gt;0,INDEX(DE$7:DE$106,$AH33),1),IF($AI33&gt;0,INDEX(DE$7:DE$106,$AI33),1),IF($AJ33&gt;0,INDEX(DE$7:DE$106,$AJ33),1))))</ns0:f>
        <ns0:v>1</ns0:v>
      </ns0:c>
      <ns0:c r="DG33" t="n">
        <ns0:f>IF($A33="",1,IF(DF33=1,1,--AND(IF($AC33&gt;0,INDEX(DF$7:DF$106,$AC33),1),IF($AD33&gt;0,INDEX(DF$7:DF$106,$AD33),1),IF($AE33&gt;0,INDEX(DF$7:DF$106,$AE33),1),IF($AF33&gt;0,INDEX(DF$7:DF$106,$AF33),1),IF($AG33&gt;0,INDEX(DF$7:DF$106,$AG33),1),IF($AH33&gt;0,INDEX(DF$7:DF$106,$AH33),1),IF($AI33&gt;0,INDEX(DF$7:DF$106,$AI33),1),IF($AJ33&gt;0,INDEX(DF$7:DF$106,$AJ33),1))))</ns0:f>
        <ns0:v>1</ns0:v>
      </ns0:c>
      <ns0:c r="DH33" t="n">
        <ns0:f>IF($A33="",1,IF(DG33=1,1,--AND(IF($AC33&gt;0,INDEX(DG$7:DG$106,$AC33),1),IF($AD33&gt;0,INDEX(DG$7:DG$106,$AD33),1),IF($AE33&gt;0,INDEX(DG$7:DG$106,$AE33),1),IF($AF33&gt;0,INDEX(DG$7:DG$106,$AF33),1),IF($AG33&gt;0,INDEX(DG$7:DG$106,$AG33),1),IF($AH33&gt;0,INDEX(DG$7:DG$106,$AH33),1),IF($AI33&gt;0,INDEX(DG$7:DG$106,$AI33),1),IF($AJ33&gt;0,INDEX(DG$7:DG$106,$AJ33),1))))</ns0:f>
        <ns0:v>1</ns0:v>
      </ns0:c>
      <ns0:c r="DI33" t="n">
        <ns0:f>IF($A33="",1,IF(DH33=1,1,--AND(IF($AC33&gt;0,INDEX(DH$7:DH$106,$AC33),1),IF($AD33&gt;0,INDEX(DH$7:DH$106,$AD33),1),IF($AE33&gt;0,INDEX(DH$7:DH$106,$AE33),1),IF($AF33&gt;0,INDEX(DH$7:DH$106,$AF33),1),IF($AG33&gt;0,INDEX(DH$7:DH$106,$AG33),1),IF($AH33&gt;0,INDEX(DH$7:DH$106,$AH33),1),IF($AI33&gt;0,INDEX(DH$7:DH$106,$AI33),1),IF($AJ33&gt;0,INDEX(DH$7:DH$106,$AJ33),1))))</ns0:f>
        <ns0:v>1</ns0:v>
      </ns0:c>
      <ns0:c r="DJ33" t="n">
        <ns0:f>IF($A33="",1,IF(DI33=1,1,--AND(IF($AC33&gt;0,INDEX(DI$7:DI$106,$AC33),1),IF($AD33&gt;0,INDEX(DI$7:DI$106,$AD33),1),IF($AE33&gt;0,INDEX(DI$7:DI$106,$AE33),1),IF($AF33&gt;0,INDEX(DI$7:DI$106,$AF33),1),IF($AG33&gt;0,INDEX(DI$7:DI$106,$AG33),1),IF($AH33&gt;0,INDEX(DI$7:DI$106,$AH33),1),IF($AI33&gt;0,INDEX(DI$7:DI$106,$AI33),1),IF($AJ33&gt;0,INDEX(DI$7:DI$106,$AJ33),1))))</ns0:f>
        <ns0:v>1</ns0:v>
      </ns0:c>
      <ns0:c r="DK33" t="n">
        <ns0:f>IF($A33="",1,IF(DJ33=1,1,--AND(IF($AC33&gt;0,INDEX(DJ$7:DJ$106,$AC33),1),IF($AD33&gt;0,INDEX(DJ$7:DJ$106,$AD33),1),IF($AE33&gt;0,INDEX(DJ$7:DJ$106,$AE33),1),IF($AF33&gt;0,INDEX(DJ$7:DJ$106,$AF33),1),IF($AG33&gt;0,INDEX(DJ$7:DJ$106,$AG33),1),IF($AH33&gt;0,INDEX(DJ$7:DJ$106,$AH33),1),IF($AI33&gt;0,INDEX(DJ$7:DJ$106,$AI33),1),IF($AJ33&gt;0,INDEX(DJ$7:DJ$106,$AJ33),1))))</ns0:f>
        <ns0:v>1</ns0:v>
      </ns0:c>
      <ns0:c r="DL33" t="n">
        <ns0:f>IF($A33="",1,IF(DK33=1,1,--AND(IF($AC33&gt;0,INDEX(DK$7:DK$106,$AC33),1),IF($AD33&gt;0,INDEX(DK$7:DK$106,$AD33),1),IF($AE33&gt;0,INDEX(DK$7:DK$106,$AE33),1),IF($AF33&gt;0,INDEX(DK$7:DK$106,$AF33),1),IF($AG33&gt;0,INDEX(DK$7:DK$106,$AG33),1),IF($AH33&gt;0,INDEX(DK$7:DK$106,$AH33),1),IF($AI33&gt;0,INDEX(DK$7:DK$106,$AI33),1),IF($AJ33&gt;0,INDEX(DK$7:DK$106,$AJ33),1))))</ns0:f>
        <ns0:v>1</ns0:v>
      </ns0:c>
      <ns0:c r="DM33" t="n">
        <ns0:f>IF($A33="",1,IF(DL33=1,1,--AND(IF($AC33&gt;0,INDEX(DL$7:DL$106,$AC33),1),IF($AD33&gt;0,INDEX(DL$7:DL$106,$AD33),1),IF($AE33&gt;0,INDEX(DL$7:DL$106,$AE33),1),IF($AF33&gt;0,INDEX(DL$7:DL$106,$AF33),1),IF($AG33&gt;0,INDEX(DL$7:DL$106,$AG33),1),IF($AH33&gt;0,INDEX(DL$7:DL$106,$AH33),1),IF($AI33&gt;0,INDEX(DL$7:DL$106,$AI33),1),IF($AJ33&gt;0,INDEX(DL$7:DL$106,$AJ33),1))))</ns0:f>
        <ns0:v>1</ns0:v>
      </ns0:c>
      <ns0:c r="DN33" t="n">
        <ns0:f>IF($A33="",1,IF(DM33=1,1,--AND(IF($AC33&gt;0,INDEX(DM$7:DM$106,$AC33),1),IF($AD33&gt;0,INDEX(DM$7:DM$106,$AD33),1),IF($AE33&gt;0,INDEX(DM$7:DM$106,$AE33),1),IF($AF33&gt;0,INDEX(DM$7:DM$106,$AF33),1),IF($AG33&gt;0,INDEX(DM$7:DM$106,$AG33),1),IF($AH33&gt;0,INDEX(DM$7:DM$106,$AH33),1),IF($AI33&gt;0,INDEX(DM$7:DM$106,$AI33),1),IF($AJ33&gt;0,INDEX(DM$7:DM$106,$AJ33),1))))</ns0:f>
        <ns0:v>1</ns0:v>
      </ns0:c>
      <ns0:c r="DO33" t="n">
        <ns0:f>IF($A33="",1,IF(DN33=1,1,--AND(IF($AC33&gt;0,INDEX(DN$7:DN$106,$AC33),1),IF($AD33&gt;0,INDEX(DN$7:DN$106,$AD33),1),IF($AE33&gt;0,INDEX(DN$7:DN$106,$AE33),1),IF($AF33&gt;0,INDEX(DN$7:DN$106,$AF33),1),IF($AG33&gt;0,INDEX(DN$7:DN$106,$AG33),1),IF($AH33&gt;0,INDEX(DN$7:DN$106,$AH33),1),IF($AI33&gt;0,INDEX(DN$7:DN$106,$AI33),1),IF($AJ33&gt;0,INDEX(DN$7:DN$106,$AJ33),1))))</ns0:f>
        <ns0:v>1</ns0:v>
      </ns0:c>
      <ns0:c r="DP33" t="n">
        <ns0:f>IF($A33="",1,IF(DO33=1,1,--AND(IF($AC33&gt;0,INDEX(DO$7:DO$106,$AC33),1),IF($AD33&gt;0,INDEX(DO$7:DO$106,$AD33),1),IF($AE33&gt;0,INDEX(DO$7:DO$106,$AE33),1),IF($AF33&gt;0,INDEX(DO$7:DO$106,$AF33),1),IF($AG33&gt;0,INDEX(DO$7:DO$106,$AG33),1),IF($AH33&gt;0,INDEX(DO$7:DO$106,$AH33),1),IF($AI33&gt;0,INDEX(DO$7:DO$106,$AI33),1),IF($AJ33&gt;0,INDEX(DO$7:DO$106,$AJ33),1))))</ns0:f>
        <ns0:v>1</ns0:v>
      </ns0:c>
      <ns0:c r="DQ33" t="n">
        <ns0:f>IF($A33="",1,IF(DP33=1,1,--AND(IF($AC33&gt;0,INDEX(DP$7:DP$106,$AC33),1),IF($AD33&gt;0,INDEX(DP$7:DP$106,$AD33),1),IF($AE33&gt;0,INDEX(DP$7:DP$106,$AE33),1),IF($AF33&gt;0,INDEX(DP$7:DP$106,$AF33),1),IF($AG33&gt;0,INDEX(DP$7:DP$106,$AG33),1),IF($AH33&gt;0,INDEX(DP$7:DP$106,$AH33),1),IF($AI33&gt;0,INDEX(DP$7:DP$106,$AI33),1),IF($AJ33&gt;0,INDEX(DP$7:DP$106,$AJ33),1))))</ns0:f>
        <ns0:v>1</ns0:v>
      </ns0:c>
      <ns0:c r="DR33" t="n">
        <ns0:f>IF($A33="",1,IF(DQ33=1,1,--AND(IF($AC33&gt;0,INDEX(DQ$7:DQ$106,$AC33),1),IF($AD33&gt;0,INDEX(DQ$7:DQ$106,$AD33),1),IF($AE33&gt;0,INDEX(DQ$7:DQ$106,$AE33),1),IF($AF33&gt;0,INDEX(DQ$7:DQ$106,$AF33),1),IF($AG33&gt;0,INDEX(DQ$7:DQ$106,$AG33),1),IF($AH33&gt;0,INDEX(DQ$7:DQ$106,$AH33),1),IF($AI33&gt;0,INDEX(DQ$7:DQ$106,$AI33),1),IF($AJ33&gt;0,INDEX(DQ$7:DQ$106,$AJ33),1))))</ns0:f>
        <ns0:v>1</ns0:v>
      </ns0:c>
      <ns0:c r="DS33" t="n">
        <ns0:f>IF($A33="",1,IF(DR33=1,1,--AND(IF($AC33&gt;0,INDEX(DR$7:DR$106,$AC33),1),IF($AD33&gt;0,INDEX(DR$7:DR$106,$AD33),1),IF($AE33&gt;0,INDEX(DR$7:DR$106,$AE33),1),IF($AF33&gt;0,INDEX(DR$7:DR$106,$AF33),1),IF($AG33&gt;0,INDEX(DR$7:DR$106,$AG33),1),IF($AH33&gt;0,INDEX(DR$7:DR$106,$AH33),1),IF($AI33&gt;0,INDEX(DR$7:DR$106,$AI33),1),IF($AJ33&gt;0,INDEX(DR$7:DR$106,$AJ33),1))))</ns0:f>
        <ns0:v>1</ns0:v>
      </ns0:c>
      <ns0:c r="DT33" t="n">
        <ns0:f>IF($A33="",1,IF(DS33=1,1,--AND(IF($AC33&gt;0,INDEX(DS$7:DS$106,$AC33),1),IF($AD33&gt;0,INDEX(DS$7:DS$106,$AD33),1),IF($AE33&gt;0,INDEX(DS$7:DS$106,$AE33),1),IF($AF33&gt;0,INDEX(DS$7:DS$106,$AF33),1),IF($AG33&gt;0,INDEX(DS$7:DS$106,$AG33),1),IF($AH33&gt;0,INDEX(DS$7:DS$106,$AH33),1),IF($AI33&gt;0,INDEX(DS$7:DS$106,$AI33),1),IF($AJ33&gt;0,INDEX(DS$7:DS$106,$AJ33),1))))</ns0:f>
        <ns0:v>1</ns0:v>
      </ns0:c>
      <ns0:c r="DU33" t="n">
        <ns0:f>IF($A33="",1,IF(DT33=1,1,--AND(IF($AC33&gt;0,INDEX(DT$7:DT$106,$AC33),1),IF($AD33&gt;0,INDEX(DT$7:DT$106,$AD33),1),IF($AE33&gt;0,INDEX(DT$7:DT$106,$AE33),1),IF($AF33&gt;0,INDEX(DT$7:DT$106,$AF33),1),IF($AG33&gt;0,INDEX(DT$7:DT$106,$AG33),1),IF($AH33&gt;0,INDEX(DT$7:DT$106,$AH33),1),IF($AI33&gt;0,INDEX(DT$7:DT$106,$AI33),1),IF($AJ33&gt;0,INDEX(DT$7:DT$106,$AJ33),1))))</ns0:f>
        <ns0:v>1</ns0:v>
      </ns0:c>
      <ns0:c r="DV33" t="n">
        <ns0:f>IF($A33="",1,IF(DU33=1,1,--AND(IF($AC33&gt;0,INDEX(DU$7:DU$106,$AC33),1),IF($AD33&gt;0,INDEX(DU$7:DU$106,$AD33),1),IF($AE33&gt;0,INDEX(DU$7:DU$106,$AE33),1),IF($AF33&gt;0,INDEX(DU$7:DU$106,$AF33),1),IF($AG33&gt;0,INDEX(DU$7:DU$106,$AG33),1),IF($AH33&gt;0,INDEX(DU$7:DU$106,$AH33),1),IF($AI33&gt;0,INDEX(DU$7:DU$106,$AI33),1),IF($AJ33&gt;0,INDEX(DU$7:DU$106,$AJ33),1))))</ns0:f>
        <ns0:v>1</ns0:v>
      </ns0:c>
      <ns0:c r="DW33" t="n">
        <ns0:f>IF($A33="",1,IF(DV33=1,1,--AND(IF($AC33&gt;0,INDEX(DV$7:DV$106,$AC33),1),IF($AD33&gt;0,INDEX(DV$7:DV$106,$AD33),1),IF($AE33&gt;0,INDEX(DV$7:DV$106,$AE33),1),IF($AF33&gt;0,INDEX(DV$7:DV$106,$AF33),1),IF($AG33&gt;0,INDEX(DV$7:DV$106,$AG33),1),IF($AH33&gt;0,INDEX(DV$7:DV$106,$AH33),1),IF($AI33&gt;0,INDEX(DV$7:DV$106,$AI33),1),IF($AJ33&gt;0,INDEX(DV$7:DV$106,$AJ33),1))))</ns0:f>
        <ns0:v>1</ns0:v>
      </ns0:c>
      <ns0:c r="DX33" t="n">
        <ns0:f>IF($A33="",1,IF(DW33=1,1,--AND(IF($AC33&gt;0,INDEX(DW$7:DW$106,$AC33),1),IF($AD33&gt;0,INDEX(DW$7:DW$106,$AD33),1),IF($AE33&gt;0,INDEX(DW$7:DW$106,$AE33),1),IF($AF33&gt;0,INDEX(DW$7:DW$106,$AF33),1),IF($AG33&gt;0,INDEX(DW$7:DW$106,$AG33),1),IF($AH33&gt;0,INDEX(DW$7:DW$106,$AH33),1),IF($AI33&gt;0,INDEX(DW$7:DW$106,$AI33),1),IF($AJ33&gt;0,INDEX(DW$7:DW$106,$AJ33),1))))</ns0:f>
        <ns0:v>1</ns0:v>
      </ns0:c>
      <ns0:c r="DY33" t="n">
        <ns0:f>IF($A33="",1,IF(DX33=1,1,--AND(IF($AC33&gt;0,INDEX(DX$7:DX$106,$AC33),1),IF($AD33&gt;0,INDEX(DX$7:DX$106,$AD33),1),IF($AE33&gt;0,INDEX(DX$7:DX$106,$AE33),1),IF($AF33&gt;0,INDEX(DX$7:DX$106,$AF33),1),IF($AG33&gt;0,INDEX(DX$7:DX$106,$AG33),1),IF($AH33&gt;0,INDEX(DX$7:DX$106,$AH33),1),IF($AI33&gt;0,INDEX(DX$7:DX$106,$AI33),1),IF($AJ33&gt;0,INDEX(DX$7:DX$106,$AJ33),1))))</ns0:f>
        <ns0:v>1</ns0:v>
      </ns0:c>
      <ns0:c r="DZ33" t="n">
        <ns0:f>IF($A33="",1,IF(DY33=1,1,--AND(IF($AC33&gt;0,INDEX(DY$7:DY$106,$AC33),1),IF($AD33&gt;0,INDEX(DY$7:DY$106,$AD33),1),IF($AE33&gt;0,INDEX(DY$7:DY$106,$AE33),1),IF($AF33&gt;0,INDEX(DY$7:DY$106,$AF33),1),IF($AG33&gt;0,INDEX(DY$7:DY$106,$AG33),1),IF($AH33&gt;0,INDEX(DY$7:DY$106,$AH33),1),IF($AI33&gt;0,INDEX(DY$7:DY$106,$AI33),1),IF($AJ33&gt;0,INDEX(DY$7:DY$106,$AJ33),1))))</ns0:f>
        <ns0:v>1</ns0:v>
      </ns0:c>
      <ns0:c r="EA33" t="n">
        <ns0:f>IF($A33="",1,IF(DZ33=1,1,--AND(IF($AC33&gt;0,INDEX(DZ$7:DZ$106,$AC33),1),IF($AD33&gt;0,INDEX(DZ$7:DZ$106,$AD33),1),IF($AE33&gt;0,INDEX(DZ$7:DZ$106,$AE33),1),IF($AF33&gt;0,INDEX(DZ$7:DZ$106,$AF33),1),IF($AG33&gt;0,INDEX(DZ$7:DZ$106,$AG33),1),IF($AH33&gt;0,INDEX(DZ$7:DZ$106,$AH33),1),IF($AI33&gt;0,INDEX(DZ$7:DZ$106,$AI33),1),IF($AJ33&gt;0,INDEX(DZ$7:DZ$106,$AJ33),1))))</ns0:f>
        <ns0:v>1</ns0:v>
      </ns0:c>
      <ns0:c r="EB33" t="n">
        <ns0:f>IF($A33="",1,IF(EA33=1,1,--AND(IF($AC33&gt;0,INDEX(EA$7:EA$106,$AC33),1),IF($AD33&gt;0,INDEX(EA$7:EA$106,$AD33),1),IF($AE33&gt;0,INDEX(EA$7:EA$106,$AE33),1),IF($AF33&gt;0,INDEX(EA$7:EA$106,$AF33),1),IF($AG33&gt;0,INDEX(EA$7:EA$106,$AG33),1),IF($AH33&gt;0,INDEX(EA$7:EA$106,$AH33),1),IF($AI33&gt;0,INDEX(EA$7:EA$106,$AI33),1),IF($AJ33&gt;0,INDEX(EA$7:EA$106,$AJ33),1))))</ns0:f>
        <ns0:v>1</ns0:v>
      </ns0:c>
      <ns0:c r="EC33" t="n">
        <ns0:f>IF($A33="",1,IF(EB33=1,1,--AND(IF($AC33&gt;0,INDEX(EB$7:EB$106,$AC33),1),IF($AD33&gt;0,INDEX(EB$7:EB$106,$AD33),1),IF($AE33&gt;0,INDEX(EB$7:EB$106,$AE33),1),IF($AF33&gt;0,INDEX(EB$7:EB$106,$AF33),1),IF($AG33&gt;0,INDEX(EB$7:EB$106,$AG33),1),IF($AH33&gt;0,INDEX(EB$7:EB$106,$AH33),1),IF($AI33&gt;0,INDEX(EB$7:EB$106,$AI33),1),IF($AJ33&gt;0,INDEX(EB$7:EB$106,$AJ33),1))))</ns0:f>
        <ns0:v>1</ns0:v>
      </ns0:c>
      <ns0:c r="ED33" t="n">
        <ns0:f>IF($A33="",1,IF(EC33=1,1,--AND(IF($AC33&gt;0,INDEX(EC$7:EC$106,$AC33),1),IF($AD33&gt;0,INDEX(EC$7:EC$106,$AD33),1),IF($AE33&gt;0,INDEX(EC$7:EC$106,$AE33),1),IF($AF33&gt;0,INDEX(EC$7:EC$106,$AF33),1),IF($AG33&gt;0,INDEX(EC$7:EC$106,$AG33),1),IF($AH33&gt;0,INDEX(EC$7:EC$106,$AH33),1),IF($AI33&gt;0,INDEX(EC$7:EC$106,$AI33),1),IF($AJ33&gt;0,INDEX(EC$7:EC$106,$AJ33),1))))</ns0:f>
        <ns0:v>1</ns0:v>
      </ns0:c>
      <ns0:c r="EE33" t="n">
        <ns0:f>IF($A33="",1,IF(ED33=1,1,--AND(IF($AC33&gt;0,INDEX(ED$7:ED$106,$AC33),1),IF($AD33&gt;0,INDEX(ED$7:ED$106,$AD33),1),IF($AE33&gt;0,INDEX(ED$7:ED$106,$AE33),1),IF($AF33&gt;0,INDEX(ED$7:ED$106,$AF33),1),IF($AG33&gt;0,INDEX(ED$7:ED$106,$AG33),1),IF($AH33&gt;0,INDEX(ED$7:ED$106,$AH33),1),IF($AI33&gt;0,INDEX(ED$7:ED$106,$AI33),1),IF($AJ33&gt;0,INDEX(ED$7:ED$106,$AJ33),1))))</ns0:f>
        <ns0:v>1</ns0:v>
      </ns0:c>
      <ns0:c r="EF33" t="n">
        <ns0:f>IF($A33="",1,IF(EE33=1,1,--AND(IF($AC33&gt;0,INDEX(EE$7:EE$106,$AC33),1),IF($AD33&gt;0,INDEX(EE$7:EE$106,$AD33),1),IF($AE33&gt;0,INDEX(EE$7:EE$106,$AE33),1),IF($AF33&gt;0,INDEX(EE$7:EE$106,$AF33),1),IF($AG33&gt;0,INDEX(EE$7:EE$106,$AG33),1),IF($AH33&gt;0,INDEX(EE$7:EE$106,$AH33),1),IF($AI33&gt;0,INDEX(EE$7:EE$106,$AI33),1),IF($AJ33&gt;0,INDEX(EE$7:EE$106,$AJ33),1))))</ns0:f>
        <ns0:v>1</ns0:v>
      </ns0:c>
      <ns0:c r="EG33" t="n">
        <ns0:f>IF($A33="",1,IF(EF33=1,1,--AND(IF($AC33&gt;0,INDEX(EF$7:EF$106,$AC33),1),IF($AD33&gt;0,INDEX(EF$7:EF$106,$AD33),1),IF($AE33&gt;0,INDEX(EF$7:EF$106,$AE33),1),IF($AF33&gt;0,INDEX(EF$7:EF$106,$AF33),1),IF($AG33&gt;0,INDEX(EF$7:EF$106,$AG33),1),IF($AH33&gt;0,INDEX(EF$7:EF$106,$AH33),1),IF($AI33&gt;0,INDEX(EF$7:EF$106,$AI33),1),IF($AJ33&gt;0,INDEX(EF$7:EF$106,$AJ33),1))))</ns0:f>
        <ns0:v>1</ns0:v>
      </ns0:c>
      <ns0:c r="EH33" t="n">
        <ns0:f>IF($A33="",1,IF(EG33=1,1,--AND(IF($AC33&gt;0,INDEX(EG$7:EG$106,$AC33),1),IF($AD33&gt;0,INDEX(EG$7:EG$106,$AD33),1),IF($AE33&gt;0,INDEX(EG$7:EG$106,$AE33),1),IF($AF33&gt;0,INDEX(EG$7:EG$106,$AF33),1),IF($AG33&gt;0,INDEX(EG$7:EG$106,$AG33),1),IF($AH33&gt;0,INDEX(EG$7:EG$106,$AH33),1),IF($AI33&gt;0,INDEX(EG$7:EG$106,$AI33),1),IF($AJ33&gt;0,INDEX(EG$7:EG$106,$AJ33),1))))</ns0:f>
        <ns0:v>1</ns0:v>
      </ns0:c>
      <ns0:c r="EI33" t="n">
        <ns0:f>IF($A33="",1,IF(EH33=1,1,--AND(IF($AC33&gt;0,INDEX(EH$7:EH$106,$AC33),1),IF($AD33&gt;0,INDEX(EH$7:EH$106,$AD33),1),IF($AE33&gt;0,INDEX(EH$7:EH$106,$AE33),1),IF($AF33&gt;0,INDEX(EH$7:EH$106,$AF33),1),IF($AG33&gt;0,INDEX(EH$7:EH$106,$AG33),1),IF($AH33&gt;0,INDEX(EH$7:EH$106,$AH33),1),IF($AI33&gt;0,INDEX(EH$7:EH$106,$AI33),1),IF($AJ33&gt;0,INDEX(EH$7:EH$106,$AJ33),1))))</ns0:f>
        <ns0:v>1</ns0:v>
      </ns0:c>
      <ns0:c r="EJ33" t="n">
        <ns0:f>IF($A33="",1,IF(EI33=1,1,--AND(IF($AC33&gt;0,INDEX(EI$7:EI$106,$AC33),1),IF($AD33&gt;0,INDEX(EI$7:EI$106,$AD33),1),IF($AE33&gt;0,INDEX(EI$7:EI$106,$AE33),1),IF($AF33&gt;0,INDEX(EI$7:EI$106,$AF33),1),IF($AG33&gt;0,INDEX(EI$7:EI$106,$AG33),1),IF($AH33&gt;0,INDEX(EI$7:EI$106,$AH33),1),IF($AI33&gt;0,INDEX(EI$7:EI$106,$AI33),1),IF($AJ33&gt;0,INDEX(EI$7:EI$106,$AJ33),1))))</ns0:f>
        <ns0:v>1</ns0:v>
      </ns0:c>
      <ns0:c r="EK33" t="n">
        <ns0:f>IF($A33="",1,IF(EJ33=1,1,--AND(IF($AC33&gt;0,INDEX(EJ$7:EJ$106,$AC33),1),IF($AD33&gt;0,INDEX(EJ$7:EJ$106,$AD33),1),IF($AE33&gt;0,INDEX(EJ$7:EJ$106,$AE33),1),IF($AF33&gt;0,INDEX(EJ$7:EJ$106,$AF33),1),IF($AG33&gt;0,INDEX(EJ$7:EJ$106,$AG33),1),IF($AH33&gt;0,INDEX(EJ$7:EJ$106,$AH33),1),IF($AI33&gt;0,INDEX(EJ$7:EJ$106,$AI33),1),IF($AJ33&gt;0,INDEX(EJ$7:EJ$106,$AJ33),1))))</ns0:f>
        <ns0:v>1</ns0:v>
      </ns0:c>
      <ns0:c r="EL33" t="n">
        <ns0:f>IF($A33="",1,IF(EK33=1,1,--AND(IF($AC33&gt;0,INDEX(EK$7:EK$106,$AC33),1),IF($AD33&gt;0,INDEX(EK$7:EK$106,$AD33),1),IF($AE33&gt;0,INDEX(EK$7:EK$106,$AE33),1),IF($AF33&gt;0,INDEX(EK$7:EK$106,$AF33),1),IF($AG33&gt;0,INDEX(EK$7:EK$106,$AG33),1),IF($AH33&gt;0,INDEX(EK$7:EK$106,$AH33),1),IF($AI33&gt;0,INDEX(EK$7:EK$106,$AI33),1),IF($AJ33&gt;0,INDEX(EK$7:EK$106,$AJ33),1))))</ns0:f>
        <ns0:v>1</ns0:v>
      </ns0:c>
      <ns0:c r="EM33" t="n">
        <ns0:f>IF($A33="",1,IF(EL33=1,1,--AND(IF($AC33&gt;0,INDEX(EL$7:EL$106,$AC33),1),IF($AD33&gt;0,INDEX(EL$7:EL$106,$AD33),1),IF($AE33&gt;0,INDEX(EL$7:EL$106,$AE33),1),IF($AF33&gt;0,INDEX(EL$7:EL$106,$AF33),1),IF($AG33&gt;0,INDEX(EL$7:EL$106,$AG33),1),IF($AH33&gt;0,INDEX(EL$7:EL$106,$AH33),1),IF($AI33&gt;0,INDEX(EL$7:EL$106,$AI33),1),IF($AJ33&gt;0,INDEX(EL$7:EL$106,$AJ33),1))))</ns0:f>
        <ns0:v>1</ns0:v>
      </ns0:c>
      <ns0:c r="EN33" t="n">
        <ns0:f>IF($A33="",1,IF(EM33=1,1,--AND(IF($AC33&gt;0,INDEX(EM$7:EM$106,$AC33),1),IF($AD33&gt;0,INDEX(EM$7:EM$106,$AD33),1),IF($AE33&gt;0,INDEX(EM$7:EM$106,$AE33),1),IF($AF33&gt;0,INDEX(EM$7:EM$106,$AF33),1),IF($AG33&gt;0,INDEX(EM$7:EM$106,$AG33),1),IF($AH33&gt;0,INDEX(EM$7:EM$106,$AH33),1),IF($AI33&gt;0,INDEX(EM$7:EM$106,$AI33),1),IF($AJ33&gt;0,INDEX(EM$7:EM$106,$AJ33),1))))</ns0:f>
        <ns0:v>1</ns0:v>
      </ns0:c>
      <ns0:c r="EO33" t="n">
        <ns0:f>IF($A33="",1,IF(EN33=1,1,--AND(IF($AC33&gt;0,INDEX(EN$7:EN$106,$AC33),1),IF($AD33&gt;0,INDEX(EN$7:EN$106,$AD33),1),IF($AE33&gt;0,INDEX(EN$7:EN$106,$AE33),1),IF($AF33&gt;0,INDEX(EN$7:EN$106,$AF33),1),IF($AG33&gt;0,INDEX(EN$7:EN$106,$AG33),1),IF($AH33&gt;0,INDEX(EN$7:EN$106,$AH33),1),IF($AI33&gt;0,INDEX(EN$7:EN$106,$AI33),1),IF($AJ33&gt;0,INDEX(EN$7:EN$106,$AJ33),1))))</ns0:f>
        <ns0:v>1</ns0:v>
      </ns0:c>
      <ns0:c r="EP33" t="n">
        <ns0:f>IF($A33="",1,IF(EO33=1,1,--AND(IF($AC33&gt;0,INDEX(EO$7:EO$106,$AC33),1),IF($AD33&gt;0,INDEX(EO$7:EO$106,$AD33),1),IF($AE33&gt;0,INDEX(EO$7:EO$106,$AE33),1),IF($AF33&gt;0,INDEX(EO$7:EO$106,$AF33),1),IF($AG33&gt;0,INDEX(EO$7:EO$106,$AG33),1),IF($AH33&gt;0,INDEX(EO$7:EO$106,$AH33),1),IF($AI33&gt;0,INDEX(EO$7:EO$106,$AI33),1),IF($AJ33&gt;0,INDEX(EO$7:EO$106,$AJ33),1))))</ns0:f>
        <ns0:v>1</ns0:v>
      </ns0:c>
      <ns0:c r="EQ33" t="n">
        <ns0:f>IF(OR(A33="",NOT(ISNUMBER(G33))),0,G33*N33)</ns0:f>
        <ns0:v>0</ns0:v>
      </ns0:c>
    </ns0:row>
    <ns0:row r="34" ht="62" customHeight="1">
      <ns0:c r="A34" s="48" t="str">
        <ns0:v>T24</ns0:v>
      </ns0:c>
      <ns0:c r="B34" s="48" t="str">
        <ns0:v>Evidence &amp; approval</ns0:v>
      </ns0:c>
      <ns0:c r="C34" s="48" t="str">
        <ns0:v>Execute Human-in-the-Loop (HITL) quality, legal, and deploy sign-off</ns0:v>
      </ns0:c>
      <ns0:c r="D34" s="48" t="str">
        <ns0:v>Obtain signed spend, legal, quality and deployment clearance.</ns0:v>
      </ns0:c>
      <ns0:c r="E34" s="49" t="n">
        <ns0:v>46296</ns0:v>
      </ns0:c>
      <ns0:c r="F34" s="49" t="n">
        <ns0:v>46296</ns0:v>
      </ns0:c>
      <ns0:c r="G34" s="13" t="n">
        <ns0:f>IF(A34="","",IF(OR(NOT(ISNUMBER(E34)),NOT(ISNUMBER(F34)),F34&lt;E34),"",IF(J34="Yes",0,F34-E34+1)))</ns0:f>
        <ns0:v>1</ns0:v>
      </ns0:c>
      <ns0:c r="H34" s="48" t="str">
        <ns0:v>T23</ns0:v>
      </ns0:c>
      <ns0:c r="I34" s="48" t="str">
        <ns0:v>FS</ns0:v>
      </ns0:c>
      <ns0:c r="J34" s="48" t="str">
        <ns0:v>No</ns0:v>
      </ns0:c>
      <ns0:c r="K34" s="48" t="str">
        <ns0:v>Human-in-the-Loop (HITL) Gate</ns0:v>
      </ns0:c>
      <ns0:c r="L34" s="48" t="str"/>
      <ns0:c r="M34" s="50" t="str">
        <ns0:f>IF(A34="","",IF(N34=1,"Completed",IF(N34&gt;0,"In Progress","Not Started")))</ns0:f>
        <ns0:v>Not Started</ns0:v>
      </ns0:c>
      <ns0:c r="N34" s="51" t="n">
        <ns0:v>0</ns0:v>
      </ns0:c>
      <ns0:c r="O34" s="13" t="str">
        <ns0:f>IF(A34="","",IF(R34&lt;&gt;"","[CONFLICT] "&amp;R34,IF(S34&lt;&gt;"","[CONFLICT] "&amp;S34,IF(OR(NOT(ISNUMBER(N34)),N34&lt;0,N34&gt;1),"[CONFLICT] Invalid progress",IF(AK34&gt;0,"[DEPENDENCY ISSUE] Missing ID / &gt;8 links",IF(AM34&gt;0,"[DEPENDENCY ISSUE] Cycle or blocked by cycle",IF(AND(H34&lt;&gt;"",ISNA(MATCH(I34,{"FS","SS","FF","SF"},0))),"[DEPENDENCY ISSUE] Invalid type",IF(AL34&gt;0,"[DEPENDENCY ISSUE] Timing conflict",IF(OR(E34&lt;ProjectStart,F34&gt;ProjectEnd),"[OUTSIDE WINDOW]",IF(AND(N34&lt;1,F34&lt;AsOfDate),"Overdue",IF(AND(M34&lt;&gt;Q34,M34&lt;&gt;""),"[CONFLICT] Status / progress","On track")))))))))))</ns0:f>
        <ns0:v>On track</ns0:v>
      </ns0:c>
      <ns0:c r="P34" s="52" t="str">
        <ns0:v>Source: Project Plan Essentials (2).md §1, §2, §4. Original 2026-10-05 to 2026-10-06, 2d; original progress 0% [INFERRED]. [INFERRED] Rescheduled to fit 34d with FS. Duration reduced to 1d. Original resource/tools: Human-in-the-Loop (HITL) Gate.</ns0:v>
      </ns0:c>
      <ns0:c r="Q34" t="str">
        <ns0:f>IF(A34="","",IF(OR(M34="On Hold",M34="Delayed"),M34,IF(N34=1,"Completed",IF(N34&gt;0,"In Progress","Not Started"))))</ns0:f>
        <ns0:v>Not Started</ns0:v>
      </ns0:c>
      <ns0:c r="R34" t="str">
        <ns0:f>IF(A34="","",IF(COUNTIFS(Tasks[Task ID],A34)&lt;&gt;1,"Duplicate ID",""))</ns0:f>
      </ns0:c>
      <ns0:c r="S34" t="str">
        <ns0:f>IF(A34="","",IF(OR(NOT(ISNUMBER(E34)),NOT(ISNUMBER(F34))),"Invalid / missing date",IF(OR(E34&lt;&gt;INT(E34),F34&lt;&gt;INT(F34),E34&lt;1,F34&gt;2958465),"Invalid date",IF(F34&lt;E34,"End before start",IF(AND(J34="Yes",E34&lt;&gt;F34),"Milestone needs one date","")))))</ns0:f>
      </ns0:c>
      <ns0:c r="T34" t="n">
        <ns0:f>IF(H34="",0,LEN(H34)-LEN(SUBSTITUTE(H34,",",""))+1)</ns0:f>
        <ns0:v>1</ns0:v>
      </ns0:c>
      <ns0:c r="U34" t="str">
        <ns0:f>TRIM(MID(SUBSTITUTE($H34,",",REPT(" ",100)),1,100))</ns0:f>
        <ns0:v>T23</ns0:v>
      </ns0:c>
      <ns0:c r="V34" t="str">
        <ns0:f>TRIM(MID(SUBSTITUTE($H34,",",REPT(" ",100)),101,100))</ns0:f>
      </ns0:c>
      <ns0:c r="W34" t="str">
        <ns0:f>TRIM(MID(SUBSTITUTE($H34,",",REPT(" ",100)),201,100))</ns0:f>
      </ns0:c>
      <ns0:c r="X34" t="str">
        <ns0:f>TRIM(MID(SUBSTITUTE($H34,",",REPT(" ",100)),301,100))</ns0:f>
      </ns0:c>
      <ns0:c r="Y34" t="str">
        <ns0:f>TRIM(MID(SUBSTITUTE($H34,",",REPT(" ",100)),401,100))</ns0:f>
      </ns0:c>
      <ns0:c r="Z34" t="str">
        <ns0:f>TRIM(MID(SUBSTITUTE($H34,",",REPT(" ",100)),501,100))</ns0:f>
      </ns0:c>
      <ns0:c r="AA34" t="str">
        <ns0:f>TRIM(MID(SUBSTITUTE($H34,",",REPT(" ",100)),601,100))</ns0:f>
      </ns0:c>
      <ns0:c r="AB34" t="str">
        <ns0:f>TRIM(MID(SUBSTITUTE($H34,",",REPT(" ",100)),701,100))</ns0:f>
      </ns0:c>
      <ns0:c r="AC34" t="n">
        <ns0:f>IF(U34="",0,IF(COUNTIFS(Tasks[Task ID],U34)=1,MATCH(U34,Tasks[Task ID],0),-1))</ns0:f>
        <ns0:v>27</ns0:v>
      </ns0:c>
      <ns0:c r="AD34" t="n">
        <ns0:f>IF(V34="",0,IF(COUNTIFS(Tasks[Task ID],V34)=1,MATCH(V34,Tasks[Task ID],0),-1))</ns0:f>
        <ns0:v>0</ns0:v>
      </ns0:c>
      <ns0:c r="AE34" t="n">
        <ns0:f>IF(W34="",0,IF(COUNTIFS(Tasks[Task ID],W34)=1,MATCH(W34,Tasks[Task ID],0),-1))</ns0:f>
        <ns0:v>0</ns0:v>
      </ns0:c>
      <ns0:c r="AF34" t="n">
        <ns0:f>IF(X34="",0,IF(COUNTIFS(Tasks[Task ID],X34)=1,MATCH(X34,Tasks[Task ID],0),-1))</ns0:f>
        <ns0:v>0</ns0:v>
      </ns0:c>
      <ns0:c r="AG34" t="n">
        <ns0:f>IF(Y34="",0,IF(COUNTIFS(Tasks[Task ID],Y34)=1,MATCH(Y34,Tasks[Task ID],0),-1))</ns0:f>
        <ns0:v>0</ns0:v>
      </ns0:c>
      <ns0:c r="AH34" t="n">
        <ns0:f>IF(Z34="",0,IF(COUNTIFS(Tasks[Task ID],Z34)=1,MATCH(Z34,Tasks[Task ID],0),-1))</ns0:f>
        <ns0:v>0</ns0:v>
      </ns0:c>
      <ns0:c r="AI34" t="n">
        <ns0:f>IF(AA34="",0,IF(COUNTIFS(Tasks[Task ID],AA34)=1,MATCH(AA34,Tasks[Task ID],0),-1))</ns0:f>
        <ns0:v>0</ns0:v>
      </ns0:c>
      <ns0:c r="AJ34" t="n">
        <ns0:f>IF(AB34="",0,IF(COUNTIFS(Tasks[Task ID],AB34)=1,MATCH(AB34,Tasks[Task ID],0),-1))</ns0:f>
        <ns0:v>0</ns0:v>
      </ns0:c>
      <ns0:c r="AK34" t="n">
        <ns0:f>COUNTIFS(AC34:AJ34,-1)+IF(T34&gt;8,1,0)</ns0:f>
        <ns0:v>0</ns0:v>
      </ns0:c>
      <ns0:c r="AL34" t="n">
        <ns0:f>IF(OR(A34="",S34&lt;&gt;""),0,SUM(IF(AC34&gt;0,IF($I34="FS",--($E34&lt;INDEX(Tasks[End Date],AC34)+IF(INDEX(Tasks[Milestone],AC34)="Yes",0,1)),IF($I34="SS",--($E34&lt;INDEX(Tasks[Start Date],AC34)),IF($I34="FF",--($F34&lt;INDEX(Tasks[End Date],AC34)),IF($I34="SF",--($F34&lt;INDEX(Tasks[Start Date],AC34)),0)))),0),IF(AD34&gt;0,IF($I34="FS",--($E34&lt;INDEX(Tasks[End Date],AD34)+IF(INDEX(Tasks[Milestone],AD34)="Yes",0,1)),IF($I34="SS",--($E34&lt;INDEX(Tasks[Start Date],AD34)),IF($I34="FF",--($F34&lt;INDEX(Tasks[End Date],AD34)),IF($I34="SF",--($F34&lt;INDEX(Tasks[Start Date],AD34)),0)))),0),IF(AE34&gt;0,IF($I34="FS",--($E34&lt;INDEX(Tasks[End Date],AE34)+IF(INDEX(Tasks[Milestone],AE34)="Yes",0,1)),IF($I34="SS",--($E34&lt;INDEX(Tasks[Start Date],AE34)),IF($I34="FF",--($F34&lt;INDEX(Tasks[End Date],AE34)),IF($I34="SF",--($F34&lt;INDEX(Tasks[Start Date],AE34)),0)))),0),IF(AF34&gt;0,IF($I34="FS",--($E34&lt;INDEX(Tasks[End Date],AF34)+IF(INDEX(Tasks[Milestone],AF34)="Yes",0,1)),IF($I34="SS",--($E34&lt;INDEX(Tasks[Start Date],AF34)),IF($I34="FF",--($F34&lt;INDEX(Tasks[End Date],AF34)),IF($I34="SF",--($F34&lt;INDEX(Tasks[Start Date],AF34)),0)))),0),IF(AG34&gt;0,IF($I34="FS",--($E34&lt;INDEX(Tasks[End Date],AG34)+IF(INDEX(Tasks[Milestone],AG34)="Yes",0,1)),IF($I34="SS",--($E34&lt;INDEX(Tasks[Start Date],AG34)),IF($I34="FF",--($F34&lt;INDEX(Tasks[End Date],AG34)),IF($I34="SF",--($F34&lt;INDEX(Tasks[Start Date],AG34)),0)))),0),IF(AH34&gt;0,IF($I34="FS",--($E34&lt;INDEX(Tasks[End Date],AH34)+IF(INDEX(Tasks[Milestone],AH34)="Yes",0,1)),IF($I34="SS",--($E34&lt;INDEX(Tasks[Start Date],AH34)),IF($I34="FF",--($F34&lt;INDEX(Tasks[End Date],AH34)),IF($I34="SF",--($F34&lt;INDEX(Tasks[Start Date],AH34)),0)))),0),IF(AI34&gt;0,IF($I34="FS",--($E34&lt;INDEX(Tasks[End Date],AI34)+IF(INDEX(Tasks[Milestone],AI34)="Yes",0,1)),IF($I34="SS",--($E34&lt;INDEX(Tasks[Start Date],AI34)),IF($I34="FF",--($F34&lt;INDEX(Tasks[End Date],AI34)),IF($I34="SF",--($F34&lt;INDEX(Tasks[Start Date],AI34)),0)))),0),IF(AJ34&gt;0,IF($I34="FS",--($E34&lt;INDEX(Tasks[End Date],AJ34)+IF(INDEX(Tasks[Milestone],AJ34)="Yes",0,1)),IF($I34="SS",--($E34&lt;INDEX(Tasks[Start Date],AJ34)),IF($I34="FF",--($F34&lt;INDEX(Tasks[End Date],AJ34)),IF($I34="SF",--($F34&lt;INDEX(Tasks[Start Date],AJ34)),0)))),0)))</ns0:f>
        <ns0:v>0</ns0:v>
      </ns0:c>
      <ns0:c r="AM34" t="n">
        <ns0:f>IF(AND(A34&lt;&gt;"",AK34=0,EP34=0),1,0)</ns0:f>
        <ns0:v>0</ns0:v>
      </ns0:c>
      <ns0:c r="AN34" t="str">
        <ns0:f>IF(OR(A34="",B34=""),"",IF(COUNTIFS($B$7:B34,B34)=1,MAX($AN$6:AN33)+1,""))</ns0:f>
      </ns0:c>
      <ns0:c r="AO34" t="n">
        <ns0:f>IF(AND(A34&lt;&gt;"",J34="No",N34&lt;1,E34&gt;=AsOfDate),E34+ROW()/10000,1E+9)</ns0:f>
        <ns0:v>46296.0034</ns0:v>
      </ns0:c>
      <ns0:c r="AP34" t="n">
        <ns0:f>IF(AND(A34&lt;&gt;"",J34="Yes",N34&lt;1,E34&gt;=AsOfDate),E34+ROW()/10000,1E+9)</ns0:f>
        <ns0:v>1000000000</ns0:v>
      </ns0:c>
      <ns0:c r="AQ34" t="n">
        <ns0:f>IF(AND(A34&lt;&gt;"",J34="No",N34&lt;1,F34&gt;=AsOfDate,F34&lt;=AsOfDate+7),F34+ROW()/10000,1E+9)</ns0:f>
        <ns0:v>1000000000</ns0:v>
      </ns0:c>
      <ns0:c r="AR34" t="n">
        <ns0:f>IF(AND(A34&lt;&gt;"",OR(O34&lt;&gt;"On track",Q34="Delayed")),ROW(),1E+9)</ns0:f>
        <ns0:v>1000000000</ns0:v>
      </ns0:c>
      <ns0:c r="AS34" t="str">
        <ns0:f>IF(A34="","",";"&amp;K34&amp;";")</ns0:f>
        <ns0:v>;Human-in-the-Loop (HITL) Gate;</ns0:v>
      </ns0:c>
      <ns0:c r="AT34" t="n">
        <ns0:f>IF(A34="",1,--(T34=0))</ns0:f>
        <ns0:v>0</ns0:v>
      </ns0:c>
      <ns0:c r="AU34" t="n">
        <ns0:f>IF($A34="",1,IF(AT34=1,1,--AND(IF($AC34&gt;0,INDEX(AT$7:AT$106,$AC34),1),IF($AD34&gt;0,INDEX(AT$7:AT$106,$AD34),1),IF($AE34&gt;0,INDEX(AT$7:AT$106,$AE34),1),IF($AF34&gt;0,INDEX(AT$7:AT$106,$AF34),1),IF($AG34&gt;0,INDEX(AT$7:AT$106,$AG34),1),IF($AH34&gt;0,INDEX(AT$7:AT$106,$AH34),1),IF($AI34&gt;0,INDEX(AT$7:AT$106,$AI34),1),IF($AJ34&gt;0,INDEX(AT$7:AT$106,$AJ34),1))))</ns0:f>
        <ns0:v>0</ns0:v>
      </ns0:c>
      <ns0:c r="AV34" t="n">
        <ns0:f>IF($A34="",1,IF(AU34=1,1,--AND(IF($AC34&gt;0,INDEX(AU$7:AU$106,$AC34),1),IF($AD34&gt;0,INDEX(AU$7:AU$106,$AD34),1),IF($AE34&gt;0,INDEX(AU$7:AU$106,$AE34),1),IF($AF34&gt;0,INDEX(AU$7:AU$106,$AF34),1),IF($AG34&gt;0,INDEX(AU$7:AU$106,$AG34),1),IF($AH34&gt;0,INDEX(AU$7:AU$106,$AH34),1),IF($AI34&gt;0,INDEX(AU$7:AU$106,$AI34),1),IF($AJ34&gt;0,INDEX(AU$7:AU$106,$AJ34),1))))</ns0:f>
        <ns0:v>0</ns0:v>
      </ns0:c>
      <ns0:c r="AW34" t="n">
        <ns0:f>IF($A34="",1,IF(AV34=1,1,--AND(IF($AC34&gt;0,INDEX(AV$7:AV$106,$AC34),1),IF($AD34&gt;0,INDEX(AV$7:AV$106,$AD34),1),IF($AE34&gt;0,INDEX(AV$7:AV$106,$AE34),1),IF($AF34&gt;0,INDEX(AV$7:AV$106,$AF34),1),IF($AG34&gt;0,INDEX(AV$7:AV$106,$AG34),1),IF($AH34&gt;0,INDEX(AV$7:AV$106,$AH34),1),IF($AI34&gt;0,INDEX(AV$7:AV$106,$AI34),1),IF($AJ34&gt;0,INDEX(AV$7:AV$106,$AJ34),1))))</ns0:f>
        <ns0:v>0</ns0:v>
      </ns0:c>
      <ns0:c r="AX34" t="n">
        <ns0:f>IF($A34="",1,IF(AW34=1,1,--AND(IF($AC34&gt;0,INDEX(AW$7:AW$106,$AC34),1),IF($AD34&gt;0,INDEX(AW$7:AW$106,$AD34),1),IF($AE34&gt;0,INDEX(AW$7:AW$106,$AE34),1),IF($AF34&gt;0,INDEX(AW$7:AW$106,$AF34),1),IF($AG34&gt;0,INDEX(AW$7:AW$106,$AG34),1),IF($AH34&gt;0,INDEX(AW$7:AW$106,$AH34),1),IF($AI34&gt;0,INDEX(AW$7:AW$106,$AI34),1),IF($AJ34&gt;0,INDEX(AW$7:AW$106,$AJ34),1))))</ns0:f>
        <ns0:v>0</ns0:v>
      </ns0:c>
      <ns0:c r="AY34" t="n">
        <ns0:f>IF($A34="",1,IF(AX34=1,1,--AND(IF($AC34&gt;0,INDEX(AX$7:AX$106,$AC34),1),IF($AD34&gt;0,INDEX(AX$7:AX$106,$AD34),1),IF($AE34&gt;0,INDEX(AX$7:AX$106,$AE34),1),IF($AF34&gt;0,INDEX(AX$7:AX$106,$AF34),1),IF($AG34&gt;0,INDEX(AX$7:AX$106,$AG34),1),IF($AH34&gt;0,INDEX(AX$7:AX$106,$AH34),1),IF($AI34&gt;0,INDEX(AX$7:AX$106,$AI34),1),IF($AJ34&gt;0,INDEX(AX$7:AX$106,$AJ34),1))))</ns0:f>
        <ns0:v>0</ns0:v>
      </ns0:c>
      <ns0:c r="AZ34" t="n">
        <ns0:f>IF($A34="",1,IF(AY34=1,1,--AND(IF($AC34&gt;0,INDEX(AY$7:AY$106,$AC34),1),IF($AD34&gt;0,INDEX(AY$7:AY$106,$AD34),1),IF($AE34&gt;0,INDEX(AY$7:AY$106,$AE34),1),IF($AF34&gt;0,INDEX(AY$7:AY$106,$AF34),1),IF($AG34&gt;0,INDEX(AY$7:AY$106,$AG34),1),IF($AH34&gt;0,INDEX(AY$7:AY$106,$AH34),1),IF($AI34&gt;0,INDEX(AY$7:AY$106,$AI34),1),IF($AJ34&gt;0,INDEX(AY$7:AY$106,$AJ34),1))))</ns0:f>
        <ns0:v>0</ns0:v>
      </ns0:c>
      <ns0:c r="BA34" t="n">
        <ns0:f>IF($A34="",1,IF(AZ34=1,1,--AND(IF($AC34&gt;0,INDEX(AZ$7:AZ$106,$AC34),1),IF($AD34&gt;0,INDEX(AZ$7:AZ$106,$AD34),1),IF($AE34&gt;0,INDEX(AZ$7:AZ$106,$AE34),1),IF($AF34&gt;0,INDEX(AZ$7:AZ$106,$AF34),1),IF($AG34&gt;0,INDEX(AZ$7:AZ$106,$AG34),1),IF($AH34&gt;0,INDEX(AZ$7:AZ$106,$AH34),1),IF($AI34&gt;0,INDEX(AZ$7:AZ$106,$AI34),1),IF($AJ34&gt;0,INDEX(AZ$7:AZ$106,$AJ34),1))))</ns0:f>
        <ns0:v>0</ns0:v>
      </ns0:c>
      <ns0:c r="BB34" t="n">
        <ns0:f>IF($A34="",1,IF(BA34=1,1,--AND(IF($AC34&gt;0,INDEX(BA$7:BA$106,$AC34),1),IF($AD34&gt;0,INDEX(BA$7:BA$106,$AD34),1),IF($AE34&gt;0,INDEX(BA$7:BA$106,$AE34),1),IF($AF34&gt;0,INDEX(BA$7:BA$106,$AF34),1),IF($AG34&gt;0,INDEX(BA$7:BA$106,$AG34),1),IF($AH34&gt;0,INDEX(BA$7:BA$106,$AH34),1),IF($AI34&gt;0,INDEX(BA$7:BA$106,$AI34),1),IF($AJ34&gt;0,INDEX(BA$7:BA$106,$AJ34),1))))</ns0:f>
        <ns0:v>0</ns0:v>
      </ns0:c>
      <ns0:c r="BC34" t="n">
        <ns0:f>IF($A34="",1,IF(BB34=1,1,--AND(IF($AC34&gt;0,INDEX(BB$7:BB$106,$AC34),1),IF($AD34&gt;0,INDEX(BB$7:BB$106,$AD34),1),IF($AE34&gt;0,INDEX(BB$7:BB$106,$AE34),1),IF($AF34&gt;0,INDEX(BB$7:BB$106,$AF34),1),IF($AG34&gt;0,INDEX(BB$7:BB$106,$AG34),1),IF($AH34&gt;0,INDEX(BB$7:BB$106,$AH34),1),IF($AI34&gt;0,INDEX(BB$7:BB$106,$AI34),1),IF($AJ34&gt;0,INDEX(BB$7:BB$106,$AJ34),1))))</ns0:f>
        <ns0:v>0</ns0:v>
      </ns0:c>
      <ns0:c r="BD34" t="n">
        <ns0:f>IF($A34="",1,IF(BC34=1,1,--AND(IF($AC34&gt;0,INDEX(BC$7:BC$106,$AC34),1),IF($AD34&gt;0,INDEX(BC$7:BC$106,$AD34),1),IF($AE34&gt;0,INDEX(BC$7:BC$106,$AE34),1),IF($AF34&gt;0,INDEX(BC$7:BC$106,$AF34),1),IF($AG34&gt;0,INDEX(BC$7:BC$106,$AG34),1),IF($AH34&gt;0,INDEX(BC$7:BC$106,$AH34),1),IF($AI34&gt;0,INDEX(BC$7:BC$106,$AI34),1),IF($AJ34&gt;0,INDEX(BC$7:BC$106,$AJ34),1))))</ns0:f>
        <ns0:v>0</ns0:v>
      </ns0:c>
      <ns0:c r="BE34" t="n">
        <ns0:f>IF($A34="",1,IF(BD34=1,1,--AND(IF($AC34&gt;0,INDEX(BD$7:BD$106,$AC34),1),IF($AD34&gt;0,INDEX(BD$7:BD$106,$AD34),1),IF($AE34&gt;0,INDEX(BD$7:BD$106,$AE34),1),IF($AF34&gt;0,INDEX(BD$7:BD$106,$AF34),1),IF($AG34&gt;0,INDEX(BD$7:BD$106,$AG34),1),IF($AH34&gt;0,INDEX(BD$7:BD$106,$AH34),1),IF($AI34&gt;0,INDEX(BD$7:BD$106,$AI34),1),IF($AJ34&gt;0,INDEX(BD$7:BD$106,$AJ34),1))))</ns0:f>
        <ns0:v>1</ns0:v>
      </ns0:c>
      <ns0:c r="BF34" t="n">
        <ns0:f>IF($A34="",1,IF(BE34=1,1,--AND(IF($AC34&gt;0,INDEX(BE$7:BE$106,$AC34),1),IF($AD34&gt;0,INDEX(BE$7:BE$106,$AD34),1),IF($AE34&gt;0,INDEX(BE$7:BE$106,$AE34),1),IF($AF34&gt;0,INDEX(BE$7:BE$106,$AF34),1),IF($AG34&gt;0,INDEX(BE$7:BE$106,$AG34),1),IF($AH34&gt;0,INDEX(BE$7:BE$106,$AH34),1),IF($AI34&gt;0,INDEX(BE$7:BE$106,$AI34),1),IF($AJ34&gt;0,INDEX(BE$7:BE$106,$AJ34),1))))</ns0:f>
        <ns0:v>1</ns0:v>
      </ns0:c>
      <ns0:c r="BG34" t="n">
        <ns0:f>IF($A34="",1,IF(BF34=1,1,--AND(IF($AC34&gt;0,INDEX(BF$7:BF$106,$AC34),1),IF($AD34&gt;0,INDEX(BF$7:BF$106,$AD34),1),IF($AE34&gt;0,INDEX(BF$7:BF$106,$AE34),1),IF($AF34&gt;0,INDEX(BF$7:BF$106,$AF34),1),IF($AG34&gt;0,INDEX(BF$7:BF$106,$AG34),1),IF($AH34&gt;0,INDEX(BF$7:BF$106,$AH34),1),IF($AI34&gt;0,INDEX(BF$7:BF$106,$AI34),1),IF($AJ34&gt;0,INDEX(BF$7:BF$106,$AJ34),1))))</ns0:f>
        <ns0:v>1</ns0:v>
      </ns0:c>
      <ns0:c r="BH34" t="n">
        <ns0:f>IF($A34="",1,IF(BG34=1,1,--AND(IF($AC34&gt;0,INDEX(BG$7:BG$106,$AC34),1),IF($AD34&gt;0,INDEX(BG$7:BG$106,$AD34),1),IF($AE34&gt;0,INDEX(BG$7:BG$106,$AE34),1),IF($AF34&gt;0,INDEX(BG$7:BG$106,$AF34),1),IF($AG34&gt;0,INDEX(BG$7:BG$106,$AG34),1),IF($AH34&gt;0,INDEX(BG$7:BG$106,$AH34),1),IF($AI34&gt;0,INDEX(BG$7:BG$106,$AI34),1),IF($AJ34&gt;0,INDEX(BG$7:BG$106,$AJ34),1))))</ns0:f>
        <ns0:v>1</ns0:v>
      </ns0:c>
      <ns0:c r="BI34" t="n">
        <ns0:f>IF($A34="",1,IF(BH34=1,1,--AND(IF($AC34&gt;0,INDEX(BH$7:BH$106,$AC34),1),IF($AD34&gt;0,INDEX(BH$7:BH$106,$AD34),1),IF($AE34&gt;0,INDEX(BH$7:BH$106,$AE34),1),IF($AF34&gt;0,INDEX(BH$7:BH$106,$AF34),1),IF($AG34&gt;0,INDEX(BH$7:BH$106,$AG34),1),IF($AH34&gt;0,INDEX(BH$7:BH$106,$AH34),1),IF($AI34&gt;0,INDEX(BH$7:BH$106,$AI34),1),IF($AJ34&gt;0,INDEX(BH$7:BH$106,$AJ34),1))))</ns0:f>
        <ns0:v>1</ns0:v>
      </ns0:c>
      <ns0:c r="BJ34" t="n">
        <ns0:f>IF($A34="",1,IF(BI34=1,1,--AND(IF($AC34&gt;0,INDEX(BI$7:BI$106,$AC34),1),IF($AD34&gt;0,INDEX(BI$7:BI$106,$AD34),1),IF($AE34&gt;0,INDEX(BI$7:BI$106,$AE34),1),IF($AF34&gt;0,INDEX(BI$7:BI$106,$AF34),1),IF($AG34&gt;0,INDEX(BI$7:BI$106,$AG34),1),IF($AH34&gt;0,INDEX(BI$7:BI$106,$AH34),1),IF($AI34&gt;0,INDEX(BI$7:BI$106,$AI34),1),IF($AJ34&gt;0,INDEX(BI$7:BI$106,$AJ34),1))))</ns0:f>
        <ns0:v>1</ns0:v>
      </ns0:c>
      <ns0:c r="BK34" t="n">
        <ns0:f>IF($A34="",1,IF(BJ34=1,1,--AND(IF($AC34&gt;0,INDEX(BJ$7:BJ$106,$AC34),1),IF($AD34&gt;0,INDEX(BJ$7:BJ$106,$AD34),1),IF($AE34&gt;0,INDEX(BJ$7:BJ$106,$AE34),1),IF($AF34&gt;0,INDEX(BJ$7:BJ$106,$AF34),1),IF($AG34&gt;0,INDEX(BJ$7:BJ$106,$AG34),1),IF($AH34&gt;0,INDEX(BJ$7:BJ$106,$AH34),1),IF($AI34&gt;0,INDEX(BJ$7:BJ$106,$AI34),1),IF($AJ34&gt;0,INDEX(BJ$7:BJ$106,$AJ34),1))))</ns0:f>
        <ns0:v>1</ns0:v>
      </ns0:c>
      <ns0:c r="BL34" t="n">
        <ns0:f>IF($A34="",1,IF(BK34=1,1,--AND(IF($AC34&gt;0,INDEX(BK$7:BK$106,$AC34),1),IF($AD34&gt;0,INDEX(BK$7:BK$106,$AD34),1),IF($AE34&gt;0,INDEX(BK$7:BK$106,$AE34),1),IF($AF34&gt;0,INDEX(BK$7:BK$106,$AF34),1),IF($AG34&gt;0,INDEX(BK$7:BK$106,$AG34),1),IF($AH34&gt;0,INDEX(BK$7:BK$106,$AH34),1),IF($AI34&gt;0,INDEX(BK$7:BK$106,$AI34),1),IF($AJ34&gt;0,INDEX(BK$7:BK$106,$AJ34),1))))</ns0:f>
        <ns0:v>1</ns0:v>
      </ns0:c>
      <ns0:c r="BM34" t="n">
        <ns0:f>IF($A34="",1,IF(BL34=1,1,--AND(IF($AC34&gt;0,INDEX(BL$7:BL$106,$AC34),1),IF($AD34&gt;0,INDEX(BL$7:BL$106,$AD34),1),IF($AE34&gt;0,INDEX(BL$7:BL$106,$AE34),1),IF($AF34&gt;0,INDEX(BL$7:BL$106,$AF34),1),IF($AG34&gt;0,INDEX(BL$7:BL$106,$AG34),1),IF($AH34&gt;0,INDEX(BL$7:BL$106,$AH34),1),IF($AI34&gt;0,INDEX(BL$7:BL$106,$AI34),1),IF($AJ34&gt;0,INDEX(BL$7:BL$106,$AJ34),1))))</ns0:f>
        <ns0:v>1</ns0:v>
      </ns0:c>
      <ns0:c r="BN34" t="n">
        <ns0:f>IF($A34="",1,IF(BM34=1,1,--AND(IF($AC34&gt;0,INDEX(BM$7:BM$106,$AC34),1),IF($AD34&gt;0,INDEX(BM$7:BM$106,$AD34),1),IF($AE34&gt;0,INDEX(BM$7:BM$106,$AE34),1),IF($AF34&gt;0,INDEX(BM$7:BM$106,$AF34),1),IF($AG34&gt;0,INDEX(BM$7:BM$106,$AG34),1),IF($AH34&gt;0,INDEX(BM$7:BM$106,$AH34),1),IF($AI34&gt;0,INDEX(BM$7:BM$106,$AI34),1),IF($AJ34&gt;0,INDEX(BM$7:BM$106,$AJ34),1))))</ns0:f>
        <ns0:v>1</ns0:v>
      </ns0:c>
      <ns0:c r="BO34" t="n">
        <ns0:f>IF($A34="",1,IF(BN34=1,1,--AND(IF($AC34&gt;0,INDEX(BN$7:BN$106,$AC34),1),IF($AD34&gt;0,INDEX(BN$7:BN$106,$AD34),1),IF($AE34&gt;0,INDEX(BN$7:BN$106,$AE34),1),IF($AF34&gt;0,INDEX(BN$7:BN$106,$AF34),1),IF($AG34&gt;0,INDEX(BN$7:BN$106,$AG34),1),IF($AH34&gt;0,INDEX(BN$7:BN$106,$AH34),1),IF($AI34&gt;0,INDEX(BN$7:BN$106,$AI34),1),IF($AJ34&gt;0,INDEX(BN$7:BN$106,$AJ34),1))))</ns0:f>
        <ns0:v>1</ns0:v>
      </ns0:c>
      <ns0:c r="BP34" t="n">
        <ns0:f>IF($A34="",1,IF(BO34=1,1,--AND(IF($AC34&gt;0,INDEX(BO$7:BO$106,$AC34),1),IF($AD34&gt;0,INDEX(BO$7:BO$106,$AD34),1),IF($AE34&gt;0,INDEX(BO$7:BO$106,$AE34),1),IF($AF34&gt;0,INDEX(BO$7:BO$106,$AF34),1),IF($AG34&gt;0,INDEX(BO$7:BO$106,$AG34),1),IF($AH34&gt;0,INDEX(BO$7:BO$106,$AH34),1),IF($AI34&gt;0,INDEX(BO$7:BO$106,$AI34),1),IF($AJ34&gt;0,INDEX(BO$7:BO$106,$AJ34),1))))</ns0:f>
        <ns0:v>1</ns0:v>
      </ns0:c>
      <ns0:c r="BQ34" t="n">
        <ns0:f>IF($A34="",1,IF(BP34=1,1,--AND(IF($AC34&gt;0,INDEX(BP$7:BP$106,$AC34),1),IF($AD34&gt;0,INDEX(BP$7:BP$106,$AD34),1),IF($AE34&gt;0,INDEX(BP$7:BP$106,$AE34),1),IF($AF34&gt;0,INDEX(BP$7:BP$106,$AF34),1),IF($AG34&gt;0,INDEX(BP$7:BP$106,$AG34),1),IF($AH34&gt;0,INDEX(BP$7:BP$106,$AH34),1),IF($AI34&gt;0,INDEX(BP$7:BP$106,$AI34),1),IF($AJ34&gt;0,INDEX(BP$7:BP$106,$AJ34),1))))</ns0:f>
        <ns0:v>1</ns0:v>
      </ns0:c>
      <ns0:c r="BR34" t="n">
        <ns0:f>IF($A34="",1,IF(BQ34=1,1,--AND(IF($AC34&gt;0,INDEX(BQ$7:BQ$106,$AC34),1),IF($AD34&gt;0,INDEX(BQ$7:BQ$106,$AD34),1),IF($AE34&gt;0,INDEX(BQ$7:BQ$106,$AE34),1),IF($AF34&gt;0,INDEX(BQ$7:BQ$106,$AF34),1),IF($AG34&gt;0,INDEX(BQ$7:BQ$106,$AG34),1),IF($AH34&gt;0,INDEX(BQ$7:BQ$106,$AH34),1),IF($AI34&gt;0,INDEX(BQ$7:BQ$106,$AI34),1),IF($AJ34&gt;0,INDEX(BQ$7:BQ$106,$AJ34),1))))</ns0:f>
        <ns0:v>1</ns0:v>
      </ns0:c>
      <ns0:c r="BS34" t="n">
        <ns0:f>IF($A34="",1,IF(BR34=1,1,--AND(IF($AC34&gt;0,INDEX(BR$7:BR$106,$AC34),1),IF($AD34&gt;0,INDEX(BR$7:BR$106,$AD34),1),IF($AE34&gt;0,INDEX(BR$7:BR$106,$AE34),1),IF($AF34&gt;0,INDEX(BR$7:BR$106,$AF34),1),IF($AG34&gt;0,INDEX(BR$7:BR$106,$AG34),1),IF($AH34&gt;0,INDEX(BR$7:BR$106,$AH34),1),IF($AI34&gt;0,INDEX(BR$7:BR$106,$AI34),1),IF($AJ34&gt;0,INDEX(BR$7:BR$106,$AJ34),1))))</ns0:f>
        <ns0:v>1</ns0:v>
      </ns0:c>
      <ns0:c r="BT34" t="n">
        <ns0:f>IF($A34="",1,IF(BS34=1,1,--AND(IF($AC34&gt;0,INDEX(BS$7:BS$106,$AC34),1),IF($AD34&gt;0,INDEX(BS$7:BS$106,$AD34),1),IF($AE34&gt;0,INDEX(BS$7:BS$106,$AE34),1),IF($AF34&gt;0,INDEX(BS$7:BS$106,$AF34),1),IF($AG34&gt;0,INDEX(BS$7:BS$106,$AG34),1),IF($AH34&gt;0,INDEX(BS$7:BS$106,$AH34),1),IF($AI34&gt;0,INDEX(BS$7:BS$106,$AI34),1),IF($AJ34&gt;0,INDEX(BS$7:BS$106,$AJ34),1))))</ns0:f>
        <ns0:v>1</ns0:v>
      </ns0:c>
      <ns0:c r="BU34" t="n">
        <ns0:f>IF($A34="",1,IF(BT34=1,1,--AND(IF($AC34&gt;0,INDEX(BT$7:BT$106,$AC34),1),IF($AD34&gt;0,INDEX(BT$7:BT$106,$AD34),1),IF($AE34&gt;0,INDEX(BT$7:BT$106,$AE34),1),IF($AF34&gt;0,INDEX(BT$7:BT$106,$AF34),1),IF($AG34&gt;0,INDEX(BT$7:BT$106,$AG34),1),IF($AH34&gt;0,INDEX(BT$7:BT$106,$AH34),1),IF($AI34&gt;0,INDEX(BT$7:BT$106,$AI34),1),IF($AJ34&gt;0,INDEX(BT$7:BT$106,$AJ34),1))))</ns0:f>
        <ns0:v>1</ns0:v>
      </ns0:c>
      <ns0:c r="BV34" t="n">
        <ns0:f>IF($A34="",1,IF(BU34=1,1,--AND(IF($AC34&gt;0,INDEX(BU$7:BU$106,$AC34),1),IF($AD34&gt;0,INDEX(BU$7:BU$106,$AD34),1),IF($AE34&gt;0,INDEX(BU$7:BU$106,$AE34),1),IF($AF34&gt;0,INDEX(BU$7:BU$106,$AF34),1),IF($AG34&gt;0,INDEX(BU$7:BU$106,$AG34),1),IF($AH34&gt;0,INDEX(BU$7:BU$106,$AH34),1),IF($AI34&gt;0,INDEX(BU$7:BU$106,$AI34),1),IF($AJ34&gt;0,INDEX(BU$7:BU$106,$AJ34),1))))</ns0:f>
        <ns0:v>1</ns0:v>
      </ns0:c>
      <ns0:c r="BW34" t="n">
        <ns0:f>IF($A34="",1,IF(BV34=1,1,--AND(IF($AC34&gt;0,INDEX(BV$7:BV$106,$AC34),1),IF($AD34&gt;0,INDEX(BV$7:BV$106,$AD34),1),IF($AE34&gt;0,INDEX(BV$7:BV$106,$AE34),1),IF($AF34&gt;0,INDEX(BV$7:BV$106,$AF34),1),IF($AG34&gt;0,INDEX(BV$7:BV$106,$AG34),1),IF($AH34&gt;0,INDEX(BV$7:BV$106,$AH34),1),IF($AI34&gt;0,INDEX(BV$7:BV$106,$AI34),1),IF($AJ34&gt;0,INDEX(BV$7:BV$106,$AJ34),1))))</ns0:f>
        <ns0:v>1</ns0:v>
      </ns0:c>
      <ns0:c r="BX34" t="n">
        <ns0:f>IF($A34="",1,IF(BW34=1,1,--AND(IF($AC34&gt;0,INDEX(BW$7:BW$106,$AC34),1),IF($AD34&gt;0,INDEX(BW$7:BW$106,$AD34),1),IF($AE34&gt;0,INDEX(BW$7:BW$106,$AE34),1),IF($AF34&gt;0,INDEX(BW$7:BW$106,$AF34),1),IF($AG34&gt;0,INDEX(BW$7:BW$106,$AG34),1),IF($AH34&gt;0,INDEX(BW$7:BW$106,$AH34),1),IF($AI34&gt;0,INDEX(BW$7:BW$106,$AI34),1),IF($AJ34&gt;0,INDEX(BW$7:BW$106,$AJ34),1))))</ns0:f>
        <ns0:v>1</ns0:v>
      </ns0:c>
      <ns0:c r="BY34" t="n">
        <ns0:f>IF($A34="",1,IF(BX34=1,1,--AND(IF($AC34&gt;0,INDEX(BX$7:BX$106,$AC34),1),IF($AD34&gt;0,INDEX(BX$7:BX$106,$AD34),1),IF($AE34&gt;0,INDEX(BX$7:BX$106,$AE34),1),IF($AF34&gt;0,INDEX(BX$7:BX$106,$AF34),1),IF($AG34&gt;0,INDEX(BX$7:BX$106,$AG34),1),IF($AH34&gt;0,INDEX(BX$7:BX$106,$AH34),1),IF($AI34&gt;0,INDEX(BX$7:BX$106,$AI34),1),IF($AJ34&gt;0,INDEX(BX$7:BX$106,$AJ34),1))))</ns0:f>
        <ns0:v>1</ns0:v>
      </ns0:c>
      <ns0:c r="BZ34" t="n">
        <ns0:f>IF($A34="",1,IF(BY34=1,1,--AND(IF($AC34&gt;0,INDEX(BY$7:BY$106,$AC34),1),IF($AD34&gt;0,INDEX(BY$7:BY$106,$AD34),1),IF($AE34&gt;0,INDEX(BY$7:BY$106,$AE34),1),IF($AF34&gt;0,INDEX(BY$7:BY$106,$AF34),1),IF($AG34&gt;0,INDEX(BY$7:BY$106,$AG34),1),IF($AH34&gt;0,INDEX(BY$7:BY$106,$AH34),1),IF($AI34&gt;0,INDEX(BY$7:BY$106,$AI34),1),IF($AJ34&gt;0,INDEX(BY$7:BY$106,$AJ34),1))))</ns0:f>
        <ns0:v>1</ns0:v>
      </ns0:c>
      <ns0:c r="CA34" t="n">
        <ns0:f>IF($A34="",1,IF(BZ34=1,1,--AND(IF($AC34&gt;0,INDEX(BZ$7:BZ$106,$AC34),1),IF($AD34&gt;0,INDEX(BZ$7:BZ$106,$AD34),1),IF($AE34&gt;0,INDEX(BZ$7:BZ$106,$AE34),1),IF($AF34&gt;0,INDEX(BZ$7:BZ$106,$AF34),1),IF($AG34&gt;0,INDEX(BZ$7:BZ$106,$AG34),1),IF($AH34&gt;0,INDEX(BZ$7:BZ$106,$AH34),1),IF($AI34&gt;0,INDEX(BZ$7:BZ$106,$AI34),1),IF($AJ34&gt;0,INDEX(BZ$7:BZ$106,$AJ34),1))))</ns0:f>
        <ns0:v>1</ns0:v>
      </ns0:c>
      <ns0:c r="CB34" t="n">
        <ns0:f>IF($A34="",1,IF(CA34=1,1,--AND(IF($AC34&gt;0,INDEX(CA$7:CA$106,$AC34),1),IF($AD34&gt;0,INDEX(CA$7:CA$106,$AD34),1),IF($AE34&gt;0,INDEX(CA$7:CA$106,$AE34),1),IF($AF34&gt;0,INDEX(CA$7:CA$106,$AF34),1),IF($AG34&gt;0,INDEX(CA$7:CA$106,$AG34),1),IF($AH34&gt;0,INDEX(CA$7:CA$106,$AH34),1),IF($AI34&gt;0,INDEX(CA$7:CA$106,$AI34),1),IF($AJ34&gt;0,INDEX(CA$7:CA$106,$AJ34),1))))</ns0:f>
        <ns0:v>1</ns0:v>
      </ns0:c>
      <ns0:c r="CC34" t="n">
        <ns0:f>IF($A34="",1,IF(CB34=1,1,--AND(IF($AC34&gt;0,INDEX(CB$7:CB$106,$AC34),1),IF($AD34&gt;0,INDEX(CB$7:CB$106,$AD34),1),IF($AE34&gt;0,INDEX(CB$7:CB$106,$AE34),1),IF($AF34&gt;0,INDEX(CB$7:CB$106,$AF34),1),IF($AG34&gt;0,INDEX(CB$7:CB$106,$AG34),1),IF($AH34&gt;0,INDEX(CB$7:CB$106,$AH34),1),IF($AI34&gt;0,INDEX(CB$7:CB$106,$AI34),1),IF($AJ34&gt;0,INDEX(CB$7:CB$106,$AJ34),1))))</ns0:f>
        <ns0:v>1</ns0:v>
      </ns0:c>
      <ns0:c r="CD34" t="n">
        <ns0:f>IF($A34="",1,IF(CC34=1,1,--AND(IF($AC34&gt;0,INDEX(CC$7:CC$106,$AC34),1),IF($AD34&gt;0,INDEX(CC$7:CC$106,$AD34),1),IF($AE34&gt;0,INDEX(CC$7:CC$106,$AE34),1),IF($AF34&gt;0,INDEX(CC$7:CC$106,$AF34),1),IF($AG34&gt;0,INDEX(CC$7:CC$106,$AG34),1),IF($AH34&gt;0,INDEX(CC$7:CC$106,$AH34),1),IF($AI34&gt;0,INDEX(CC$7:CC$106,$AI34),1),IF($AJ34&gt;0,INDEX(CC$7:CC$106,$AJ34),1))))</ns0:f>
        <ns0:v>1</ns0:v>
      </ns0:c>
      <ns0:c r="CE34" t="n">
        <ns0:f>IF($A34="",1,IF(CD34=1,1,--AND(IF($AC34&gt;0,INDEX(CD$7:CD$106,$AC34),1),IF($AD34&gt;0,INDEX(CD$7:CD$106,$AD34),1),IF($AE34&gt;0,INDEX(CD$7:CD$106,$AE34),1),IF($AF34&gt;0,INDEX(CD$7:CD$106,$AF34),1),IF($AG34&gt;0,INDEX(CD$7:CD$106,$AG34),1),IF($AH34&gt;0,INDEX(CD$7:CD$106,$AH34),1),IF($AI34&gt;0,INDEX(CD$7:CD$106,$AI34),1),IF($AJ34&gt;0,INDEX(CD$7:CD$106,$AJ34),1))))</ns0:f>
        <ns0:v>1</ns0:v>
      </ns0:c>
      <ns0:c r="CF34" t="n">
        <ns0:f>IF($A34="",1,IF(CE34=1,1,--AND(IF($AC34&gt;0,INDEX(CE$7:CE$106,$AC34),1),IF($AD34&gt;0,INDEX(CE$7:CE$106,$AD34),1),IF($AE34&gt;0,INDEX(CE$7:CE$106,$AE34),1),IF($AF34&gt;0,INDEX(CE$7:CE$106,$AF34),1),IF($AG34&gt;0,INDEX(CE$7:CE$106,$AG34),1),IF($AH34&gt;0,INDEX(CE$7:CE$106,$AH34),1),IF($AI34&gt;0,INDEX(CE$7:CE$106,$AI34),1),IF($AJ34&gt;0,INDEX(CE$7:CE$106,$AJ34),1))))</ns0:f>
        <ns0:v>1</ns0:v>
      </ns0:c>
      <ns0:c r="CG34" t="n">
        <ns0:f>IF($A34="",1,IF(CF34=1,1,--AND(IF($AC34&gt;0,INDEX(CF$7:CF$106,$AC34),1),IF($AD34&gt;0,INDEX(CF$7:CF$106,$AD34),1),IF($AE34&gt;0,INDEX(CF$7:CF$106,$AE34),1),IF($AF34&gt;0,INDEX(CF$7:CF$106,$AF34),1),IF($AG34&gt;0,INDEX(CF$7:CF$106,$AG34),1),IF($AH34&gt;0,INDEX(CF$7:CF$106,$AH34),1),IF($AI34&gt;0,INDEX(CF$7:CF$106,$AI34),1),IF($AJ34&gt;0,INDEX(CF$7:CF$106,$AJ34),1))))</ns0:f>
        <ns0:v>1</ns0:v>
      </ns0:c>
      <ns0:c r="CH34" t="n">
        <ns0:f>IF($A34="",1,IF(CG34=1,1,--AND(IF($AC34&gt;0,INDEX(CG$7:CG$106,$AC34),1),IF($AD34&gt;0,INDEX(CG$7:CG$106,$AD34),1),IF($AE34&gt;0,INDEX(CG$7:CG$106,$AE34),1),IF($AF34&gt;0,INDEX(CG$7:CG$106,$AF34),1),IF($AG34&gt;0,INDEX(CG$7:CG$106,$AG34),1),IF($AH34&gt;0,INDEX(CG$7:CG$106,$AH34),1),IF($AI34&gt;0,INDEX(CG$7:CG$106,$AI34),1),IF($AJ34&gt;0,INDEX(CG$7:CG$106,$AJ34),1))))</ns0:f>
        <ns0:v>1</ns0:v>
      </ns0:c>
      <ns0:c r="CI34" t="n">
        <ns0:f>IF($A34="",1,IF(CH34=1,1,--AND(IF($AC34&gt;0,INDEX(CH$7:CH$106,$AC34),1),IF($AD34&gt;0,INDEX(CH$7:CH$106,$AD34),1),IF($AE34&gt;0,INDEX(CH$7:CH$106,$AE34),1),IF($AF34&gt;0,INDEX(CH$7:CH$106,$AF34),1),IF($AG34&gt;0,INDEX(CH$7:CH$106,$AG34),1),IF($AH34&gt;0,INDEX(CH$7:CH$106,$AH34),1),IF($AI34&gt;0,INDEX(CH$7:CH$106,$AI34),1),IF($AJ34&gt;0,INDEX(CH$7:CH$106,$AJ34),1))))</ns0:f>
        <ns0:v>1</ns0:v>
      </ns0:c>
      <ns0:c r="CJ34" t="n">
        <ns0:f>IF($A34="",1,IF(CI34=1,1,--AND(IF($AC34&gt;0,INDEX(CI$7:CI$106,$AC34),1),IF($AD34&gt;0,INDEX(CI$7:CI$106,$AD34),1),IF($AE34&gt;0,INDEX(CI$7:CI$106,$AE34),1),IF($AF34&gt;0,INDEX(CI$7:CI$106,$AF34),1),IF($AG34&gt;0,INDEX(CI$7:CI$106,$AG34),1),IF($AH34&gt;0,INDEX(CI$7:CI$106,$AH34),1),IF($AI34&gt;0,INDEX(CI$7:CI$106,$AI34),1),IF($AJ34&gt;0,INDEX(CI$7:CI$106,$AJ34),1))))</ns0:f>
        <ns0:v>1</ns0:v>
      </ns0:c>
      <ns0:c r="CK34" t="n">
        <ns0:f>IF($A34="",1,IF(CJ34=1,1,--AND(IF($AC34&gt;0,INDEX(CJ$7:CJ$106,$AC34),1),IF($AD34&gt;0,INDEX(CJ$7:CJ$106,$AD34),1),IF($AE34&gt;0,INDEX(CJ$7:CJ$106,$AE34),1),IF($AF34&gt;0,INDEX(CJ$7:CJ$106,$AF34),1),IF($AG34&gt;0,INDEX(CJ$7:CJ$106,$AG34),1),IF($AH34&gt;0,INDEX(CJ$7:CJ$106,$AH34),1),IF($AI34&gt;0,INDEX(CJ$7:CJ$106,$AI34),1),IF($AJ34&gt;0,INDEX(CJ$7:CJ$106,$AJ34),1))))</ns0:f>
        <ns0:v>1</ns0:v>
      </ns0:c>
      <ns0:c r="CL34" t="n">
        <ns0:f>IF($A34="",1,IF(CK34=1,1,--AND(IF($AC34&gt;0,INDEX(CK$7:CK$106,$AC34),1),IF($AD34&gt;0,INDEX(CK$7:CK$106,$AD34),1),IF($AE34&gt;0,INDEX(CK$7:CK$106,$AE34),1),IF($AF34&gt;0,INDEX(CK$7:CK$106,$AF34),1),IF($AG34&gt;0,INDEX(CK$7:CK$106,$AG34),1),IF($AH34&gt;0,INDEX(CK$7:CK$106,$AH34),1),IF($AI34&gt;0,INDEX(CK$7:CK$106,$AI34),1),IF($AJ34&gt;0,INDEX(CK$7:CK$106,$AJ34),1))))</ns0:f>
        <ns0:v>1</ns0:v>
      </ns0:c>
      <ns0:c r="CM34" t="n">
        <ns0:f>IF($A34="",1,IF(CL34=1,1,--AND(IF($AC34&gt;0,INDEX(CL$7:CL$106,$AC34),1),IF($AD34&gt;0,INDEX(CL$7:CL$106,$AD34),1),IF($AE34&gt;0,INDEX(CL$7:CL$106,$AE34),1),IF($AF34&gt;0,INDEX(CL$7:CL$106,$AF34),1),IF($AG34&gt;0,INDEX(CL$7:CL$106,$AG34),1),IF($AH34&gt;0,INDEX(CL$7:CL$106,$AH34),1),IF($AI34&gt;0,INDEX(CL$7:CL$106,$AI34),1),IF($AJ34&gt;0,INDEX(CL$7:CL$106,$AJ34),1))))</ns0:f>
        <ns0:v>1</ns0:v>
      </ns0:c>
      <ns0:c r="CN34" t="n">
        <ns0:f>IF($A34="",1,IF(CM34=1,1,--AND(IF($AC34&gt;0,INDEX(CM$7:CM$106,$AC34),1),IF($AD34&gt;0,INDEX(CM$7:CM$106,$AD34),1),IF($AE34&gt;0,INDEX(CM$7:CM$106,$AE34),1),IF($AF34&gt;0,INDEX(CM$7:CM$106,$AF34),1),IF($AG34&gt;0,INDEX(CM$7:CM$106,$AG34),1),IF($AH34&gt;0,INDEX(CM$7:CM$106,$AH34),1),IF($AI34&gt;0,INDEX(CM$7:CM$106,$AI34),1),IF($AJ34&gt;0,INDEX(CM$7:CM$106,$AJ34),1))))</ns0:f>
        <ns0:v>1</ns0:v>
      </ns0:c>
      <ns0:c r="CO34" t="n">
        <ns0:f>IF($A34="",1,IF(CN34=1,1,--AND(IF($AC34&gt;0,INDEX(CN$7:CN$106,$AC34),1),IF($AD34&gt;0,INDEX(CN$7:CN$106,$AD34),1),IF($AE34&gt;0,INDEX(CN$7:CN$106,$AE34),1),IF($AF34&gt;0,INDEX(CN$7:CN$106,$AF34),1),IF($AG34&gt;0,INDEX(CN$7:CN$106,$AG34),1),IF($AH34&gt;0,INDEX(CN$7:CN$106,$AH34),1),IF($AI34&gt;0,INDEX(CN$7:CN$106,$AI34),1),IF($AJ34&gt;0,INDEX(CN$7:CN$106,$AJ34),1))))</ns0:f>
        <ns0:v>1</ns0:v>
      </ns0:c>
      <ns0:c r="CP34" t="n">
        <ns0:f>IF($A34="",1,IF(CO34=1,1,--AND(IF($AC34&gt;0,INDEX(CO$7:CO$106,$AC34),1),IF($AD34&gt;0,INDEX(CO$7:CO$106,$AD34),1),IF($AE34&gt;0,INDEX(CO$7:CO$106,$AE34),1),IF($AF34&gt;0,INDEX(CO$7:CO$106,$AF34),1),IF($AG34&gt;0,INDEX(CO$7:CO$106,$AG34),1),IF($AH34&gt;0,INDEX(CO$7:CO$106,$AH34),1),IF($AI34&gt;0,INDEX(CO$7:CO$106,$AI34),1),IF($AJ34&gt;0,INDEX(CO$7:CO$106,$AJ34),1))))</ns0:f>
        <ns0:v>1</ns0:v>
      </ns0:c>
      <ns0:c r="CQ34" t="n">
        <ns0:f>IF($A34="",1,IF(CP34=1,1,--AND(IF($AC34&gt;0,INDEX(CP$7:CP$106,$AC34),1),IF($AD34&gt;0,INDEX(CP$7:CP$106,$AD34),1),IF($AE34&gt;0,INDEX(CP$7:CP$106,$AE34),1),IF($AF34&gt;0,INDEX(CP$7:CP$106,$AF34),1),IF($AG34&gt;0,INDEX(CP$7:CP$106,$AG34),1),IF($AH34&gt;0,INDEX(CP$7:CP$106,$AH34),1),IF($AI34&gt;0,INDEX(CP$7:CP$106,$AI34),1),IF($AJ34&gt;0,INDEX(CP$7:CP$106,$AJ34),1))))</ns0:f>
        <ns0:v>1</ns0:v>
      </ns0:c>
      <ns0:c r="CR34" t="n">
        <ns0:f>IF($A34="",1,IF(CQ34=1,1,--AND(IF($AC34&gt;0,INDEX(CQ$7:CQ$106,$AC34),1),IF($AD34&gt;0,INDEX(CQ$7:CQ$106,$AD34),1),IF($AE34&gt;0,INDEX(CQ$7:CQ$106,$AE34),1),IF($AF34&gt;0,INDEX(CQ$7:CQ$106,$AF34),1),IF($AG34&gt;0,INDEX(CQ$7:CQ$106,$AG34),1),IF($AH34&gt;0,INDEX(CQ$7:CQ$106,$AH34),1),IF($AI34&gt;0,INDEX(CQ$7:CQ$106,$AI34),1),IF($AJ34&gt;0,INDEX(CQ$7:CQ$106,$AJ34),1))))</ns0:f>
        <ns0:v>1</ns0:v>
      </ns0:c>
      <ns0:c r="CS34" t="n">
        <ns0:f>IF($A34="",1,IF(CR34=1,1,--AND(IF($AC34&gt;0,INDEX(CR$7:CR$106,$AC34),1),IF($AD34&gt;0,INDEX(CR$7:CR$106,$AD34),1),IF($AE34&gt;0,INDEX(CR$7:CR$106,$AE34),1),IF($AF34&gt;0,INDEX(CR$7:CR$106,$AF34),1),IF($AG34&gt;0,INDEX(CR$7:CR$106,$AG34),1),IF($AH34&gt;0,INDEX(CR$7:CR$106,$AH34),1),IF($AI34&gt;0,INDEX(CR$7:CR$106,$AI34),1),IF($AJ34&gt;0,INDEX(CR$7:CR$106,$AJ34),1))))</ns0:f>
        <ns0:v>1</ns0:v>
      </ns0:c>
      <ns0:c r="CT34" t="n">
        <ns0:f>IF($A34="",1,IF(CS34=1,1,--AND(IF($AC34&gt;0,INDEX(CS$7:CS$106,$AC34),1),IF($AD34&gt;0,INDEX(CS$7:CS$106,$AD34),1),IF($AE34&gt;0,INDEX(CS$7:CS$106,$AE34),1),IF($AF34&gt;0,INDEX(CS$7:CS$106,$AF34),1),IF($AG34&gt;0,INDEX(CS$7:CS$106,$AG34),1),IF($AH34&gt;0,INDEX(CS$7:CS$106,$AH34),1),IF($AI34&gt;0,INDEX(CS$7:CS$106,$AI34),1),IF($AJ34&gt;0,INDEX(CS$7:CS$106,$AJ34),1))))</ns0:f>
        <ns0:v>1</ns0:v>
      </ns0:c>
      <ns0:c r="CU34" t="n">
        <ns0:f>IF($A34="",1,IF(CT34=1,1,--AND(IF($AC34&gt;0,INDEX(CT$7:CT$106,$AC34),1),IF($AD34&gt;0,INDEX(CT$7:CT$106,$AD34),1),IF($AE34&gt;0,INDEX(CT$7:CT$106,$AE34),1),IF($AF34&gt;0,INDEX(CT$7:CT$106,$AF34),1),IF($AG34&gt;0,INDEX(CT$7:CT$106,$AG34),1),IF($AH34&gt;0,INDEX(CT$7:CT$106,$AH34),1),IF($AI34&gt;0,INDEX(CT$7:CT$106,$AI34),1),IF($AJ34&gt;0,INDEX(CT$7:CT$106,$AJ34),1))))</ns0:f>
        <ns0:v>1</ns0:v>
      </ns0:c>
      <ns0:c r="CV34" t="n">
        <ns0:f>IF($A34="",1,IF(CU34=1,1,--AND(IF($AC34&gt;0,INDEX(CU$7:CU$106,$AC34),1),IF($AD34&gt;0,INDEX(CU$7:CU$106,$AD34),1),IF($AE34&gt;0,INDEX(CU$7:CU$106,$AE34),1),IF($AF34&gt;0,INDEX(CU$7:CU$106,$AF34),1),IF($AG34&gt;0,INDEX(CU$7:CU$106,$AG34),1),IF($AH34&gt;0,INDEX(CU$7:CU$106,$AH34),1),IF($AI34&gt;0,INDEX(CU$7:CU$106,$AI34),1),IF($AJ34&gt;0,INDEX(CU$7:CU$106,$AJ34),1))))</ns0:f>
        <ns0:v>1</ns0:v>
      </ns0:c>
      <ns0:c r="CW34" t="n">
        <ns0:f>IF($A34="",1,IF(CV34=1,1,--AND(IF($AC34&gt;0,INDEX(CV$7:CV$106,$AC34),1),IF($AD34&gt;0,INDEX(CV$7:CV$106,$AD34),1),IF($AE34&gt;0,INDEX(CV$7:CV$106,$AE34),1),IF($AF34&gt;0,INDEX(CV$7:CV$106,$AF34),1),IF($AG34&gt;0,INDEX(CV$7:CV$106,$AG34),1),IF($AH34&gt;0,INDEX(CV$7:CV$106,$AH34),1),IF($AI34&gt;0,INDEX(CV$7:CV$106,$AI34),1),IF($AJ34&gt;0,INDEX(CV$7:CV$106,$AJ34),1))))</ns0:f>
        <ns0:v>1</ns0:v>
      </ns0:c>
      <ns0:c r="CX34" t="n">
        <ns0:f>IF($A34="",1,IF(CW34=1,1,--AND(IF($AC34&gt;0,INDEX(CW$7:CW$106,$AC34),1),IF($AD34&gt;0,INDEX(CW$7:CW$106,$AD34),1),IF($AE34&gt;0,INDEX(CW$7:CW$106,$AE34),1),IF($AF34&gt;0,INDEX(CW$7:CW$106,$AF34),1),IF($AG34&gt;0,INDEX(CW$7:CW$106,$AG34),1),IF($AH34&gt;0,INDEX(CW$7:CW$106,$AH34),1),IF($AI34&gt;0,INDEX(CW$7:CW$106,$AI34),1),IF($AJ34&gt;0,INDEX(CW$7:CW$106,$AJ34),1))))</ns0:f>
        <ns0:v>1</ns0:v>
      </ns0:c>
      <ns0:c r="CY34" t="n">
        <ns0:f>IF($A34="",1,IF(CX34=1,1,--AND(IF($AC34&gt;0,INDEX(CX$7:CX$106,$AC34),1),IF($AD34&gt;0,INDEX(CX$7:CX$106,$AD34),1),IF($AE34&gt;0,INDEX(CX$7:CX$106,$AE34),1),IF($AF34&gt;0,INDEX(CX$7:CX$106,$AF34),1),IF($AG34&gt;0,INDEX(CX$7:CX$106,$AG34),1),IF($AH34&gt;0,INDEX(CX$7:CX$106,$AH34),1),IF($AI34&gt;0,INDEX(CX$7:CX$106,$AI34),1),IF($AJ34&gt;0,INDEX(CX$7:CX$106,$AJ34),1))))</ns0:f>
        <ns0:v>1</ns0:v>
      </ns0:c>
      <ns0:c r="CZ34" t="n">
        <ns0:f>IF($A34="",1,IF(CY34=1,1,--AND(IF($AC34&gt;0,INDEX(CY$7:CY$106,$AC34),1),IF($AD34&gt;0,INDEX(CY$7:CY$106,$AD34),1),IF($AE34&gt;0,INDEX(CY$7:CY$106,$AE34),1),IF($AF34&gt;0,INDEX(CY$7:CY$106,$AF34),1),IF($AG34&gt;0,INDEX(CY$7:CY$106,$AG34),1),IF($AH34&gt;0,INDEX(CY$7:CY$106,$AH34),1),IF($AI34&gt;0,INDEX(CY$7:CY$106,$AI34),1),IF($AJ34&gt;0,INDEX(CY$7:CY$106,$AJ34),1))))</ns0:f>
        <ns0:v>1</ns0:v>
      </ns0:c>
      <ns0:c r="DA34" t="n">
        <ns0:f>IF($A34="",1,IF(CZ34=1,1,--AND(IF($AC34&gt;0,INDEX(CZ$7:CZ$106,$AC34),1),IF($AD34&gt;0,INDEX(CZ$7:CZ$106,$AD34),1),IF($AE34&gt;0,INDEX(CZ$7:CZ$106,$AE34),1),IF($AF34&gt;0,INDEX(CZ$7:CZ$106,$AF34),1),IF($AG34&gt;0,INDEX(CZ$7:CZ$106,$AG34),1),IF($AH34&gt;0,INDEX(CZ$7:CZ$106,$AH34),1),IF($AI34&gt;0,INDEX(CZ$7:CZ$106,$AI34),1),IF($AJ34&gt;0,INDEX(CZ$7:CZ$106,$AJ34),1))))</ns0:f>
        <ns0:v>1</ns0:v>
      </ns0:c>
      <ns0:c r="DB34" t="n">
        <ns0:f>IF($A34="",1,IF(DA34=1,1,--AND(IF($AC34&gt;0,INDEX(DA$7:DA$106,$AC34),1),IF($AD34&gt;0,INDEX(DA$7:DA$106,$AD34),1),IF($AE34&gt;0,INDEX(DA$7:DA$106,$AE34),1),IF($AF34&gt;0,INDEX(DA$7:DA$106,$AF34),1),IF($AG34&gt;0,INDEX(DA$7:DA$106,$AG34),1),IF($AH34&gt;0,INDEX(DA$7:DA$106,$AH34),1),IF($AI34&gt;0,INDEX(DA$7:DA$106,$AI34),1),IF($AJ34&gt;0,INDEX(DA$7:DA$106,$AJ34),1))))</ns0:f>
        <ns0:v>1</ns0:v>
      </ns0:c>
      <ns0:c r="DC34" t="n">
        <ns0:f>IF($A34="",1,IF(DB34=1,1,--AND(IF($AC34&gt;0,INDEX(DB$7:DB$106,$AC34),1),IF($AD34&gt;0,INDEX(DB$7:DB$106,$AD34),1),IF($AE34&gt;0,INDEX(DB$7:DB$106,$AE34),1),IF($AF34&gt;0,INDEX(DB$7:DB$106,$AF34),1),IF($AG34&gt;0,INDEX(DB$7:DB$106,$AG34),1),IF($AH34&gt;0,INDEX(DB$7:DB$106,$AH34),1),IF($AI34&gt;0,INDEX(DB$7:DB$106,$AI34),1),IF($AJ34&gt;0,INDEX(DB$7:DB$106,$AJ34),1))))</ns0:f>
        <ns0:v>1</ns0:v>
      </ns0:c>
      <ns0:c r="DD34" t="n">
        <ns0:f>IF($A34="",1,IF(DC34=1,1,--AND(IF($AC34&gt;0,INDEX(DC$7:DC$106,$AC34),1),IF($AD34&gt;0,INDEX(DC$7:DC$106,$AD34),1),IF($AE34&gt;0,INDEX(DC$7:DC$106,$AE34),1),IF($AF34&gt;0,INDEX(DC$7:DC$106,$AF34),1),IF($AG34&gt;0,INDEX(DC$7:DC$106,$AG34),1),IF($AH34&gt;0,INDEX(DC$7:DC$106,$AH34),1),IF($AI34&gt;0,INDEX(DC$7:DC$106,$AI34),1),IF($AJ34&gt;0,INDEX(DC$7:DC$106,$AJ34),1))))</ns0:f>
        <ns0:v>1</ns0:v>
      </ns0:c>
      <ns0:c r="DE34" t="n">
        <ns0:f>IF($A34="",1,IF(DD34=1,1,--AND(IF($AC34&gt;0,INDEX(DD$7:DD$106,$AC34),1),IF($AD34&gt;0,INDEX(DD$7:DD$106,$AD34),1),IF($AE34&gt;0,INDEX(DD$7:DD$106,$AE34),1),IF($AF34&gt;0,INDEX(DD$7:DD$106,$AF34),1),IF($AG34&gt;0,INDEX(DD$7:DD$106,$AG34),1),IF($AH34&gt;0,INDEX(DD$7:DD$106,$AH34),1),IF($AI34&gt;0,INDEX(DD$7:DD$106,$AI34),1),IF($AJ34&gt;0,INDEX(DD$7:DD$106,$AJ34),1))))</ns0:f>
        <ns0:v>1</ns0:v>
      </ns0:c>
      <ns0:c r="DF34" t="n">
        <ns0:f>IF($A34="",1,IF(DE34=1,1,--AND(IF($AC34&gt;0,INDEX(DE$7:DE$106,$AC34),1),IF($AD34&gt;0,INDEX(DE$7:DE$106,$AD34),1),IF($AE34&gt;0,INDEX(DE$7:DE$106,$AE34),1),IF($AF34&gt;0,INDEX(DE$7:DE$106,$AF34),1),IF($AG34&gt;0,INDEX(DE$7:DE$106,$AG34),1),IF($AH34&gt;0,INDEX(DE$7:DE$106,$AH34),1),IF($AI34&gt;0,INDEX(DE$7:DE$106,$AI34),1),IF($AJ34&gt;0,INDEX(DE$7:DE$106,$AJ34),1))))</ns0:f>
        <ns0:v>1</ns0:v>
      </ns0:c>
      <ns0:c r="DG34" t="n">
        <ns0:f>IF($A34="",1,IF(DF34=1,1,--AND(IF($AC34&gt;0,INDEX(DF$7:DF$106,$AC34),1),IF($AD34&gt;0,INDEX(DF$7:DF$106,$AD34),1),IF($AE34&gt;0,INDEX(DF$7:DF$106,$AE34),1),IF($AF34&gt;0,INDEX(DF$7:DF$106,$AF34),1),IF($AG34&gt;0,INDEX(DF$7:DF$106,$AG34),1),IF($AH34&gt;0,INDEX(DF$7:DF$106,$AH34),1),IF($AI34&gt;0,INDEX(DF$7:DF$106,$AI34),1),IF($AJ34&gt;0,INDEX(DF$7:DF$106,$AJ34),1))))</ns0:f>
        <ns0:v>1</ns0:v>
      </ns0:c>
      <ns0:c r="DH34" t="n">
        <ns0:f>IF($A34="",1,IF(DG34=1,1,--AND(IF($AC34&gt;0,INDEX(DG$7:DG$106,$AC34),1),IF($AD34&gt;0,INDEX(DG$7:DG$106,$AD34),1),IF($AE34&gt;0,INDEX(DG$7:DG$106,$AE34),1),IF($AF34&gt;0,INDEX(DG$7:DG$106,$AF34),1),IF($AG34&gt;0,INDEX(DG$7:DG$106,$AG34),1),IF($AH34&gt;0,INDEX(DG$7:DG$106,$AH34),1),IF($AI34&gt;0,INDEX(DG$7:DG$106,$AI34),1),IF($AJ34&gt;0,INDEX(DG$7:DG$106,$AJ34),1))))</ns0:f>
        <ns0:v>1</ns0:v>
      </ns0:c>
      <ns0:c r="DI34" t="n">
        <ns0:f>IF($A34="",1,IF(DH34=1,1,--AND(IF($AC34&gt;0,INDEX(DH$7:DH$106,$AC34),1),IF($AD34&gt;0,INDEX(DH$7:DH$106,$AD34),1),IF($AE34&gt;0,INDEX(DH$7:DH$106,$AE34),1),IF($AF34&gt;0,INDEX(DH$7:DH$106,$AF34),1),IF($AG34&gt;0,INDEX(DH$7:DH$106,$AG34),1),IF($AH34&gt;0,INDEX(DH$7:DH$106,$AH34),1),IF($AI34&gt;0,INDEX(DH$7:DH$106,$AI34),1),IF($AJ34&gt;0,INDEX(DH$7:DH$106,$AJ34),1))))</ns0:f>
        <ns0:v>1</ns0:v>
      </ns0:c>
      <ns0:c r="DJ34" t="n">
        <ns0:f>IF($A34="",1,IF(DI34=1,1,--AND(IF($AC34&gt;0,INDEX(DI$7:DI$106,$AC34),1),IF($AD34&gt;0,INDEX(DI$7:DI$106,$AD34),1),IF($AE34&gt;0,INDEX(DI$7:DI$106,$AE34),1),IF($AF34&gt;0,INDEX(DI$7:DI$106,$AF34),1),IF($AG34&gt;0,INDEX(DI$7:DI$106,$AG34),1),IF($AH34&gt;0,INDEX(DI$7:DI$106,$AH34),1),IF($AI34&gt;0,INDEX(DI$7:DI$106,$AI34),1),IF($AJ34&gt;0,INDEX(DI$7:DI$106,$AJ34),1))))</ns0:f>
        <ns0:v>1</ns0:v>
      </ns0:c>
      <ns0:c r="DK34" t="n">
        <ns0:f>IF($A34="",1,IF(DJ34=1,1,--AND(IF($AC34&gt;0,INDEX(DJ$7:DJ$106,$AC34),1),IF($AD34&gt;0,INDEX(DJ$7:DJ$106,$AD34),1),IF($AE34&gt;0,INDEX(DJ$7:DJ$106,$AE34),1),IF($AF34&gt;0,INDEX(DJ$7:DJ$106,$AF34),1),IF($AG34&gt;0,INDEX(DJ$7:DJ$106,$AG34),1),IF($AH34&gt;0,INDEX(DJ$7:DJ$106,$AH34),1),IF($AI34&gt;0,INDEX(DJ$7:DJ$106,$AI34),1),IF($AJ34&gt;0,INDEX(DJ$7:DJ$106,$AJ34),1))))</ns0:f>
        <ns0:v>1</ns0:v>
      </ns0:c>
      <ns0:c r="DL34" t="n">
        <ns0:f>IF($A34="",1,IF(DK34=1,1,--AND(IF($AC34&gt;0,INDEX(DK$7:DK$106,$AC34),1),IF($AD34&gt;0,INDEX(DK$7:DK$106,$AD34),1),IF($AE34&gt;0,INDEX(DK$7:DK$106,$AE34),1),IF($AF34&gt;0,INDEX(DK$7:DK$106,$AF34),1),IF($AG34&gt;0,INDEX(DK$7:DK$106,$AG34),1),IF($AH34&gt;0,INDEX(DK$7:DK$106,$AH34),1),IF($AI34&gt;0,INDEX(DK$7:DK$106,$AI34),1),IF($AJ34&gt;0,INDEX(DK$7:DK$106,$AJ34),1))))</ns0:f>
        <ns0:v>1</ns0:v>
      </ns0:c>
      <ns0:c r="DM34" t="n">
        <ns0:f>IF($A34="",1,IF(DL34=1,1,--AND(IF($AC34&gt;0,INDEX(DL$7:DL$106,$AC34),1),IF($AD34&gt;0,INDEX(DL$7:DL$106,$AD34),1),IF($AE34&gt;0,INDEX(DL$7:DL$106,$AE34),1),IF($AF34&gt;0,INDEX(DL$7:DL$106,$AF34),1),IF($AG34&gt;0,INDEX(DL$7:DL$106,$AG34),1),IF($AH34&gt;0,INDEX(DL$7:DL$106,$AH34),1),IF($AI34&gt;0,INDEX(DL$7:DL$106,$AI34),1),IF($AJ34&gt;0,INDEX(DL$7:DL$106,$AJ34),1))))</ns0:f>
        <ns0:v>1</ns0:v>
      </ns0:c>
      <ns0:c r="DN34" t="n">
        <ns0:f>IF($A34="",1,IF(DM34=1,1,--AND(IF($AC34&gt;0,INDEX(DM$7:DM$106,$AC34),1),IF($AD34&gt;0,INDEX(DM$7:DM$106,$AD34),1),IF($AE34&gt;0,INDEX(DM$7:DM$106,$AE34),1),IF($AF34&gt;0,INDEX(DM$7:DM$106,$AF34),1),IF($AG34&gt;0,INDEX(DM$7:DM$106,$AG34),1),IF($AH34&gt;0,INDEX(DM$7:DM$106,$AH34),1),IF($AI34&gt;0,INDEX(DM$7:DM$106,$AI34),1),IF($AJ34&gt;0,INDEX(DM$7:DM$106,$AJ34),1))))</ns0:f>
        <ns0:v>1</ns0:v>
      </ns0:c>
      <ns0:c r="DO34" t="n">
        <ns0:f>IF($A34="",1,IF(DN34=1,1,--AND(IF($AC34&gt;0,INDEX(DN$7:DN$106,$AC34),1),IF($AD34&gt;0,INDEX(DN$7:DN$106,$AD34),1),IF($AE34&gt;0,INDEX(DN$7:DN$106,$AE34),1),IF($AF34&gt;0,INDEX(DN$7:DN$106,$AF34),1),IF($AG34&gt;0,INDEX(DN$7:DN$106,$AG34),1),IF($AH34&gt;0,INDEX(DN$7:DN$106,$AH34),1),IF($AI34&gt;0,INDEX(DN$7:DN$106,$AI34),1),IF($AJ34&gt;0,INDEX(DN$7:DN$106,$AJ34),1))))</ns0:f>
        <ns0:v>1</ns0:v>
      </ns0:c>
      <ns0:c r="DP34" t="n">
        <ns0:f>IF($A34="",1,IF(DO34=1,1,--AND(IF($AC34&gt;0,INDEX(DO$7:DO$106,$AC34),1),IF($AD34&gt;0,INDEX(DO$7:DO$106,$AD34),1),IF($AE34&gt;0,INDEX(DO$7:DO$106,$AE34),1),IF($AF34&gt;0,INDEX(DO$7:DO$106,$AF34),1),IF($AG34&gt;0,INDEX(DO$7:DO$106,$AG34),1),IF($AH34&gt;0,INDEX(DO$7:DO$106,$AH34),1),IF($AI34&gt;0,INDEX(DO$7:DO$106,$AI34),1),IF($AJ34&gt;0,INDEX(DO$7:DO$106,$AJ34),1))))</ns0:f>
        <ns0:v>1</ns0:v>
      </ns0:c>
      <ns0:c r="DQ34" t="n">
        <ns0:f>IF($A34="",1,IF(DP34=1,1,--AND(IF($AC34&gt;0,INDEX(DP$7:DP$106,$AC34),1),IF($AD34&gt;0,INDEX(DP$7:DP$106,$AD34),1),IF($AE34&gt;0,INDEX(DP$7:DP$106,$AE34),1),IF($AF34&gt;0,INDEX(DP$7:DP$106,$AF34),1),IF($AG34&gt;0,INDEX(DP$7:DP$106,$AG34),1),IF($AH34&gt;0,INDEX(DP$7:DP$106,$AH34),1),IF($AI34&gt;0,INDEX(DP$7:DP$106,$AI34),1),IF($AJ34&gt;0,INDEX(DP$7:DP$106,$AJ34),1))))</ns0:f>
        <ns0:v>1</ns0:v>
      </ns0:c>
      <ns0:c r="DR34" t="n">
        <ns0:f>IF($A34="",1,IF(DQ34=1,1,--AND(IF($AC34&gt;0,INDEX(DQ$7:DQ$106,$AC34),1),IF($AD34&gt;0,INDEX(DQ$7:DQ$106,$AD34),1),IF($AE34&gt;0,INDEX(DQ$7:DQ$106,$AE34),1),IF($AF34&gt;0,INDEX(DQ$7:DQ$106,$AF34),1),IF($AG34&gt;0,INDEX(DQ$7:DQ$106,$AG34),1),IF($AH34&gt;0,INDEX(DQ$7:DQ$106,$AH34),1),IF($AI34&gt;0,INDEX(DQ$7:DQ$106,$AI34),1),IF($AJ34&gt;0,INDEX(DQ$7:DQ$106,$AJ34),1))))</ns0:f>
        <ns0:v>1</ns0:v>
      </ns0:c>
      <ns0:c r="DS34" t="n">
        <ns0:f>IF($A34="",1,IF(DR34=1,1,--AND(IF($AC34&gt;0,INDEX(DR$7:DR$106,$AC34),1),IF($AD34&gt;0,INDEX(DR$7:DR$106,$AD34),1),IF($AE34&gt;0,INDEX(DR$7:DR$106,$AE34),1),IF($AF34&gt;0,INDEX(DR$7:DR$106,$AF34),1),IF($AG34&gt;0,INDEX(DR$7:DR$106,$AG34),1),IF($AH34&gt;0,INDEX(DR$7:DR$106,$AH34),1),IF($AI34&gt;0,INDEX(DR$7:DR$106,$AI34),1),IF($AJ34&gt;0,INDEX(DR$7:DR$106,$AJ34),1))))</ns0:f>
        <ns0:v>1</ns0:v>
      </ns0:c>
      <ns0:c r="DT34" t="n">
        <ns0:f>IF($A34="",1,IF(DS34=1,1,--AND(IF($AC34&gt;0,INDEX(DS$7:DS$106,$AC34),1),IF($AD34&gt;0,INDEX(DS$7:DS$106,$AD34),1),IF($AE34&gt;0,INDEX(DS$7:DS$106,$AE34),1),IF($AF34&gt;0,INDEX(DS$7:DS$106,$AF34),1),IF($AG34&gt;0,INDEX(DS$7:DS$106,$AG34),1),IF($AH34&gt;0,INDEX(DS$7:DS$106,$AH34),1),IF($AI34&gt;0,INDEX(DS$7:DS$106,$AI34),1),IF($AJ34&gt;0,INDEX(DS$7:DS$106,$AJ34),1))))</ns0:f>
        <ns0:v>1</ns0:v>
      </ns0:c>
      <ns0:c r="DU34" t="n">
        <ns0:f>IF($A34="",1,IF(DT34=1,1,--AND(IF($AC34&gt;0,INDEX(DT$7:DT$106,$AC34),1),IF($AD34&gt;0,INDEX(DT$7:DT$106,$AD34),1),IF($AE34&gt;0,INDEX(DT$7:DT$106,$AE34),1),IF($AF34&gt;0,INDEX(DT$7:DT$106,$AF34),1),IF($AG34&gt;0,INDEX(DT$7:DT$106,$AG34),1),IF($AH34&gt;0,INDEX(DT$7:DT$106,$AH34),1),IF($AI34&gt;0,INDEX(DT$7:DT$106,$AI34),1),IF($AJ34&gt;0,INDEX(DT$7:DT$106,$AJ34),1))))</ns0:f>
        <ns0:v>1</ns0:v>
      </ns0:c>
      <ns0:c r="DV34" t="n">
        <ns0:f>IF($A34="",1,IF(DU34=1,1,--AND(IF($AC34&gt;0,INDEX(DU$7:DU$106,$AC34),1),IF($AD34&gt;0,INDEX(DU$7:DU$106,$AD34),1),IF($AE34&gt;0,INDEX(DU$7:DU$106,$AE34),1),IF($AF34&gt;0,INDEX(DU$7:DU$106,$AF34),1),IF($AG34&gt;0,INDEX(DU$7:DU$106,$AG34),1),IF($AH34&gt;0,INDEX(DU$7:DU$106,$AH34),1),IF($AI34&gt;0,INDEX(DU$7:DU$106,$AI34),1),IF($AJ34&gt;0,INDEX(DU$7:DU$106,$AJ34),1))))</ns0:f>
        <ns0:v>1</ns0:v>
      </ns0:c>
      <ns0:c r="DW34" t="n">
        <ns0:f>IF($A34="",1,IF(DV34=1,1,--AND(IF($AC34&gt;0,INDEX(DV$7:DV$106,$AC34),1),IF($AD34&gt;0,INDEX(DV$7:DV$106,$AD34),1),IF($AE34&gt;0,INDEX(DV$7:DV$106,$AE34),1),IF($AF34&gt;0,INDEX(DV$7:DV$106,$AF34),1),IF($AG34&gt;0,INDEX(DV$7:DV$106,$AG34),1),IF($AH34&gt;0,INDEX(DV$7:DV$106,$AH34),1),IF($AI34&gt;0,INDEX(DV$7:DV$106,$AI34),1),IF($AJ34&gt;0,INDEX(DV$7:DV$106,$AJ34),1))))</ns0:f>
        <ns0:v>1</ns0:v>
      </ns0:c>
      <ns0:c r="DX34" t="n">
        <ns0:f>IF($A34="",1,IF(DW34=1,1,--AND(IF($AC34&gt;0,INDEX(DW$7:DW$106,$AC34),1),IF($AD34&gt;0,INDEX(DW$7:DW$106,$AD34),1),IF($AE34&gt;0,INDEX(DW$7:DW$106,$AE34),1),IF($AF34&gt;0,INDEX(DW$7:DW$106,$AF34),1),IF($AG34&gt;0,INDEX(DW$7:DW$106,$AG34),1),IF($AH34&gt;0,INDEX(DW$7:DW$106,$AH34),1),IF($AI34&gt;0,INDEX(DW$7:DW$106,$AI34),1),IF($AJ34&gt;0,INDEX(DW$7:DW$106,$AJ34),1))))</ns0:f>
        <ns0:v>1</ns0:v>
      </ns0:c>
      <ns0:c r="DY34" t="n">
        <ns0:f>IF($A34="",1,IF(DX34=1,1,--AND(IF($AC34&gt;0,INDEX(DX$7:DX$106,$AC34),1),IF($AD34&gt;0,INDEX(DX$7:DX$106,$AD34),1),IF($AE34&gt;0,INDEX(DX$7:DX$106,$AE34),1),IF($AF34&gt;0,INDEX(DX$7:DX$106,$AF34),1),IF($AG34&gt;0,INDEX(DX$7:DX$106,$AG34),1),IF($AH34&gt;0,INDEX(DX$7:DX$106,$AH34),1),IF($AI34&gt;0,INDEX(DX$7:DX$106,$AI34),1),IF($AJ34&gt;0,INDEX(DX$7:DX$106,$AJ34),1))))</ns0:f>
        <ns0:v>1</ns0:v>
      </ns0:c>
      <ns0:c r="DZ34" t="n">
        <ns0:f>IF($A34="",1,IF(DY34=1,1,--AND(IF($AC34&gt;0,INDEX(DY$7:DY$106,$AC34),1),IF($AD34&gt;0,INDEX(DY$7:DY$106,$AD34),1),IF($AE34&gt;0,INDEX(DY$7:DY$106,$AE34),1),IF($AF34&gt;0,INDEX(DY$7:DY$106,$AF34),1),IF($AG34&gt;0,INDEX(DY$7:DY$106,$AG34),1),IF($AH34&gt;0,INDEX(DY$7:DY$106,$AH34),1),IF($AI34&gt;0,INDEX(DY$7:DY$106,$AI34),1),IF($AJ34&gt;0,INDEX(DY$7:DY$106,$AJ34),1))))</ns0:f>
        <ns0:v>1</ns0:v>
      </ns0:c>
      <ns0:c r="EA34" t="n">
        <ns0:f>IF($A34="",1,IF(DZ34=1,1,--AND(IF($AC34&gt;0,INDEX(DZ$7:DZ$106,$AC34),1),IF($AD34&gt;0,INDEX(DZ$7:DZ$106,$AD34),1),IF($AE34&gt;0,INDEX(DZ$7:DZ$106,$AE34),1),IF($AF34&gt;0,INDEX(DZ$7:DZ$106,$AF34),1),IF($AG34&gt;0,INDEX(DZ$7:DZ$106,$AG34),1),IF($AH34&gt;0,INDEX(DZ$7:DZ$106,$AH34),1),IF($AI34&gt;0,INDEX(DZ$7:DZ$106,$AI34),1),IF($AJ34&gt;0,INDEX(DZ$7:DZ$106,$AJ34),1))))</ns0:f>
        <ns0:v>1</ns0:v>
      </ns0:c>
      <ns0:c r="EB34" t="n">
        <ns0:f>IF($A34="",1,IF(EA34=1,1,--AND(IF($AC34&gt;0,INDEX(EA$7:EA$106,$AC34),1),IF($AD34&gt;0,INDEX(EA$7:EA$106,$AD34),1),IF($AE34&gt;0,INDEX(EA$7:EA$106,$AE34),1),IF($AF34&gt;0,INDEX(EA$7:EA$106,$AF34),1),IF($AG34&gt;0,INDEX(EA$7:EA$106,$AG34),1),IF($AH34&gt;0,INDEX(EA$7:EA$106,$AH34),1),IF($AI34&gt;0,INDEX(EA$7:EA$106,$AI34),1),IF($AJ34&gt;0,INDEX(EA$7:EA$106,$AJ34),1))))</ns0:f>
        <ns0:v>1</ns0:v>
      </ns0:c>
      <ns0:c r="EC34" t="n">
        <ns0:f>IF($A34="",1,IF(EB34=1,1,--AND(IF($AC34&gt;0,INDEX(EB$7:EB$106,$AC34),1),IF($AD34&gt;0,INDEX(EB$7:EB$106,$AD34),1),IF($AE34&gt;0,INDEX(EB$7:EB$106,$AE34),1),IF($AF34&gt;0,INDEX(EB$7:EB$106,$AF34),1),IF($AG34&gt;0,INDEX(EB$7:EB$106,$AG34),1),IF($AH34&gt;0,INDEX(EB$7:EB$106,$AH34),1),IF($AI34&gt;0,INDEX(EB$7:EB$106,$AI34),1),IF($AJ34&gt;0,INDEX(EB$7:EB$106,$AJ34),1))))</ns0:f>
        <ns0:v>1</ns0:v>
      </ns0:c>
      <ns0:c r="ED34" t="n">
        <ns0:f>IF($A34="",1,IF(EC34=1,1,--AND(IF($AC34&gt;0,INDEX(EC$7:EC$106,$AC34),1),IF($AD34&gt;0,INDEX(EC$7:EC$106,$AD34),1),IF($AE34&gt;0,INDEX(EC$7:EC$106,$AE34),1),IF($AF34&gt;0,INDEX(EC$7:EC$106,$AF34),1),IF($AG34&gt;0,INDEX(EC$7:EC$106,$AG34),1),IF($AH34&gt;0,INDEX(EC$7:EC$106,$AH34),1),IF($AI34&gt;0,INDEX(EC$7:EC$106,$AI34),1),IF($AJ34&gt;0,INDEX(EC$7:EC$106,$AJ34),1))))</ns0:f>
        <ns0:v>1</ns0:v>
      </ns0:c>
      <ns0:c r="EE34" t="n">
        <ns0:f>IF($A34="",1,IF(ED34=1,1,--AND(IF($AC34&gt;0,INDEX(ED$7:ED$106,$AC34),1),IF($AD34&gt;0,INDEX(ED$7:ED$106,$AD34),1),IF($AE34&gt;0,INDEX(ED$7:ED$106,$AE34),1),IF($AF34&gt;0,INDEX(ED$7:ED$106,$AF34),1),IF($AG34&gt;0,INDEX(ED$7:ED$106,$AG34),1),IF($AH34&gt;0,INDEX(ED$7:ED$106,$AH34),1),IF($AI34&gt;0,INDEX(ED$7:ED$106,$AI34),1),IF($AJ34&gt;0,INDEX(ED$7:ED$106,$AJ34),1))))</ns0:f>
        <ns0:v>1</ns0:v>
      </ns0:c>
      <ns0:c r="EF34" t="n">
        <ns0:f>IF($A34="",1,IF(EE34=1,1,--AND(IF($AC34&gt;0,INDEX(EE$7:EE$106,$AC34),1),IF($AD34&gt;0,INDEX(EE$7:EE$106,$AD34),1),IF($AE34&gt;0,INDEX(EE$7:EE$106,$AE34),1),IF($AF34&gt;0,INDEX(EE$7:EE$106,$AF34),1),IF($AG34&gt;0,INDEX(EE$7:EE$106,$AG34),1),IF($AH34&gt;0,INDEX(EE$7:EE$106,$AH34),1),IF($AI34&gt;0,INDEX(EE$7:EE$106,$AI34),1),IF($AJ34&gt;0,INDEX(EE$7:EE$106,$AJ34),1))))</ns0:f>
        <ns0:v>1</ns0:v>
      </ns0:c>
      <ns0:c r="EG34" t="n">
        <ns0:f>IF($A34="",1,IF(EF34=1,1,--AND(IF($AC34&gt;0,INDEX(EF$7:EF$106,$AC34),1),IF($AD34&gt;0,INDEX(EF$7:EF$106,$AD34),1),IF($AE34&gt;0,INDEX(EF$7:EF$106,$AE34),1),IF($AF34&gt;0,INDEX(EF$7:EF$106,$AF34),1),IF($AG34&gt;0,INDEX(EF$7:EF$106,$AG34),1),IF($AH34&gt;0,INDEX(EF$7:EF$106,$AH34),1),IF($AI34&gt;0,INDEX(EF$7:EF$106,$AI34),1),IF($AJ34&gt;0,INDEX(EF$7:EF$106,$AJ34),1))))</ns0:f>
        <ns0:v>1</ns0:v>
      </ns0:c>
      <ns0:c r="EH34" t="n">
        <ns0:f>IF($A34="",1,IF(EG34=1,1,--AND(IF($AC34&gt;0,INDEX(EG$7:EG$106,$AC34),1),IF($AD34&gt;0,INDEX(EG$7:EG$106,$AD34),1),IF($AE34&gt;0,INDEX(EG$7:EG$106,$AE34),1),IF($AF34&gt;0,INDEX(EG$7:EG$106,$AF34),1),IF($AG34&gt;0,INDEX(EG$7:EG$106,$AG34),1),IF($AH34&gt;0,INDEX(EG$7:EG$106,$AH34),1),IF($AI34&gt;0,INDEX(EG$7:EG$106,$AI34),1),IF($AJ34&gt;0,INDEX(EG$7:EG$106,$AJ34),1))))</ns0:f>
        <ns0:v>1</ns0:v>
      </ns0:c>
      <ns0:c r="EI34" t="n">
        <ns0:f>IF($A34="",1,IF(EH34=1,1,--AND(IF($AC34&gt;0,INDEX(EH$7:EH$106,$AC34),1),IF($AD34&gt;0,INDEX(EH$7:EH$106,$AD34),1),IF($AE34&gt;0,INDEX(EH$7:EH$106,$AE34),1),IF($AF34&gt;0,INDEX(EH$7:EH$106,$AF34),1),IF($AG34&gt;0,INDEX(EH$7:EH$106,$AG34),1),IF($AH34&gt;0,INDEX(EH$7:EH$106,$AH34),1),IF($AI34&gt;0,INDEX(EH$7:EH$106,$AI34),1),IF($AJ34&gt;0,INDEX(EH$7:EH$106,$AJ34),1))))</ns0:f>
        <ns0:v>1</ns0:v>
      </ns0:c>
      <ns0:c r="EJ34" t="n">
        <ns0:f>IF($A34="",1,IF(EI34=1,1,--AND(IF($AC34&gt;0,INDEX(EI$7:EI$106,$AC34),1),IF($AD34&gt;0,INDEX(EI$7:EI$106,$AD34),1),IF($AE34&gt;0,INDEX(EI$7:EI$106,$AE34),1),IF($AF34&gt;0,INDEX(EI$7:EI$106,$AF34),1),IF($AG34&gt;0,INDEX(EI$7:EI$106,$AG34),1),IF($AH34&gt;0,INDEX(EI$7:EI$106,$AH34),1),IF($AI34&gt;0,INDEX(EI$7:EI$106,$AI34),1),IF($AJ34&gt;0,INDEX(EI$7:EI$106,$AJ34),1))))</ns0:f>
        <ns0:v>1</ns0:v>
      </ns0:c>
      <ns0:c r="EK34" t="n">
        <ns0:f>IF($A34="",1,IF(EJ34=1,1,--AND(IF($AC34&gt;0,INDEX(EJ$7:EJ$106,$AC34),1),IF($AD34&gt;0,INDEX(EJ$7:EJ$106,$AD34),1),IF($AE34&gt;0,INDEX(EJ$7:EJ$106,$AE34),1),IF($AF34&gt;0,INDEX(EJ$7:EJ$106,$AF34),1),IF($AG34&gt;0,INDEX(EJ$7:EJ$106,$AG34),1),IF($AH34&gt;0,INDEX(EJ$7:EJ$106,$AH34),1),IF($AI34&gt;0,INDEX(EJ$7:EJ$106,$AI34),1),IF($AJ34&gt;0,INDEX(EJ$7:EJ$106,$AJ34),1))))</ns0:f>
        <ns0:v>1</ns0:v>
      </ns0:c>
      <ns0:c r="EL34" t="n">
        <ns0:f>IF($A34="",1,IF(EK34=1,1,--AND(IF($AC34&gt;0,INDEX(EK$7:EK$106,$AC34),1),IF($AD34&gt;0,INDEX(EK$7:EK$106,$AD34),1),IF($AE34&gt;0,INDEX(EK$7:EK$106,$AE34),1),IF($AF34&gt;0,INDEX(EK$7:EK$106,$AF34),1),IF($AG34&gt;0,INDEX(EK$7:EK$106,$AG34),1),IF($AH34&gt;0,INDEX(EK$7:EK$106,$AH34),1),IF($AI34&gt;0,INDEX(EK$7:EK$106,$AI34),1),IF($AJ34&gt;0,INDEX(EK$7:EK$106,$AJ34),1))))</ns0:f>
        <ns0:v>1</ns0:v>
      </ns0:c>
      <ns0:c r="EM34" t="n">
        <ns0:f>IF($A34="",1,IF(EL34=1,1,--AND(IF($AC34&gt;0,INDEX(EL$7:EL$106,$AC34),1),IF($AD34&gt;0,INDEX(EL$7:EL$106,$AD34),1),IF($AE34&gt;0,INDEX(EL$7:EL$106,$AE34),1),IF($AF34&gt;0,INDEX(EL$7:EL$106,$AF34),1),IF($AG34&gt;0,INDEX(EL$7:EL$106,$AG34),1),IF($AH34&gt;0,INDEX(EL$7:EL$106,$AH34),1),IF($AI34&gt;0,INDEX(EL$7:EL$106,$AI34),1),IF($AJ34&gt;0,INDEX(EL$7:EL$106,$AJ34),1))))</ns0:f>
        <ns0:v>1</ns0:v>
      </ns0:c>
      <ns0:c r="EN34" t="n">
        <ns0:f>IF($A34="",1,IF(EM34=1,1,--AND(IF($AC34&gt;0,INDEX(EM$7:EM$106,$AC34),1),IF($AD34&gt;0,INDEX(EM$7:EM$106,$AD34),1),IF($AE34&gt;0,INDEX(EM$7:EM$106,$AE34),1),IF($AF34&gt;0,INDEX(EM$7:EM$106,$AF34),1),IF($AG34&gt;0,INDEX(EM$7:EM$106,$AG34),1),IF($AH34&gt;0,INDEX(EM$7:EM$106,$AH34),1),IF($AI34&gt;0,INDEX(EM$7:EM$106,$AI34),1),IF($AJ34&gt;0,INDEX(EM$7:EM$106,$AJ34),1))))</ns0:f>
        <ns0:v>1</ns0:v>
      </ns0:c>
      <ns0:c r="EO34" t="n">
        <ns0:f>IF($A34="",1,IF(EN34=1,1,--AND(IF($AC34&gt;0,INDEX(EN$7:EN$106,$AC34),1),IF($AD34&gt;0,INDEX(EN$7:EN$106,$AD34),1),IF($AE34&gt;0,INDEX(EN$7:EN$106,$AE34),1),IF($AF34&gt;0,INDEX(EN$7:EN$106,$AF34),1),IF($AG34&gt;0,INDEX(EN$7:EN$106,$AG34),1),IF($AH34&gt;0,INDEX(EN$7:EN$106,$AH34),1),IF($AI34&gt;0,INDEX(EN$7:EN$106,$AI34),1),IF($AJ34&gt;0,INDEX(EN$7:EN$106,$AJ34),1))))</ns0:f>
        <ns0:v>1</ns0:v>
      </ns0:c>
      <ns0:c r="EP34" t="n">
        <ns0:f>IF($A34="",1,IF(EO34=1,1,--AND(IF($AC34&gt;0,INDEX(EO$7:EO$106,$AC34),1),IF($AD34&gt;0,INDEX(EO$7:EO$106,$AD34),1),IF($AE34&gt;0,INDEX(EO$7:EO$106,$AE34),1),IF($AF34&gt;0,INDEX(EO$7:EO$106,$AF34),1),IF($AG34&gt;0,INDEX(EO$7:EO$106,$AG34),1),IF($AH34&gt;0,INDEX(EO$7:EO$106,$AH34),1),IF($AI34&gt;0,INDEX(EO$7:EO$106,$AI34),1),IF($AJ34&gt;0,INDEX(EO$7:EO$106,$AJ34),1))))</ns0:f>
        <ns0:v>1</ns0:v>
      </ns0:c>
      <ns0:c r="EQ34" t="n">
        <ns0:f>IF(OR(A34="",NOT(ISNUMBER(G34))),0,G34*N34)</ns0:f>
        <ns0:v>0</ns0:v>
      </ns0:c>
    </ns0:row>
    <ns0:row r="35" ht="62" customHeight="1">
      <ns0:c r="A35" s="48" t="str">
        <ns0:v>M5</ns0:v>
      </ns0:c>
      <ns0:c r="B35" s="48" t="str">
        <ns0:v>Evidence &amp; approval</ns0:v>
      </ns0:c>
      <ns0:c r="C35" s="48" t="str">
        <ns0:v>HITL Gateway Clearance &amp; Cryptographic Authorization</ns0:v>
      </ns0:c>
      <ns0:c r="D35" s="48" t="str">
        <ns0:v>Explicit project checkpoint. Mark complete only after linked work is accepted.</ns0:v>
      </ns0:c>
      <ns0:c r="E35" s="49" t="n">
        <ns0:v>46301</ns0:v>
      </ns0:c>
      <ns0:c r="F35" s="49" t="n">
        <ns0:v>46301</ns0:v>
      </ns0:c>
      <ns0:c r="G35" s="13" t="n">
        <ns0:f>IF(A35="","",IF(OR(NOT(ISNUMBER(E35)),NOT(ISNUMBER(F35)),F35&lt;E35),"",IF(J35="Yes",0,F35-E35+1)))</ns0:f>
        <ns0:v>0</ns0:v>
      </ns0:c>
      <ns0:c r="H35" s="48" t="str">
        <ns0:v>T22,T23,T24</ns0:v>
      </ns0:c>
      <ns0:c r="I35" s="48" t="str">
        <ns0:v>FF</ns0:v>
      </ns0:c>
      <ns0:c r="J35" s="48" t="str">
        <ns0:v>Yes</ns0:v>
      </ns0:c>
      <ns0:c r="K35" s="48" t="str">
        <ns0:v>Unassigned</ns0:v>
      </ns0:c>
      <ns0:c r="L35" s="48" t="str"/>
      <ns0:c r="M35" s="50" t="str">
        <ns0:f>IF(A35="","",IF(N35=1,"Completed",IF(N35&gt;0,"In Progress","Not Started")))</ns0:f>
        <ns0:v>Not Started</ns0:v>
      </ns0:c>
      <ns0:c r="N35" s="51" t="n">
        <ns0:v>0</ns0:v>
      </ns0:c>
      <ns0:c r="O35" s="13" t="str">
        <ns0:f>IF(A35="","",IF(R35&lt;&gt;"","[CONFLICT] "&amp;R35,IF(S35&lt;&gt;"","[CONFLICT] "&amp;S35,IF(OR(NOT(ISNUMBER(N35)),N35&lt;0,N35&gt;1),"[CONFLICT] Invalid progress",IF(AK35&gt;0,"[DEPENDENCY ISSUE] Missing ID / &gt;8 links",IF(AM35&gt;0,"[DEPENDENCY ISSUE] Cycle or blocked by cycle",IF(AND(H35&lt;&gt;"",ISNA(MATCH(I35,{"FS","SS","FF","SF"},0))),"[DEPENDENCY ISSUE] Invalid type",IF(AL35&gt;0,"[DEPENDENCY ISSUE] Timing conflict",IF(OR(E35&lt;ProjectStart,F35&gt;ProjectEnd),"[OUTSIDE WINDOW]",IF(AND(N35&lt;1,F35&lt;AsOfDate),"Overdue",IF(AND(M35&lt;&gt;Q35,M35&lt;&gt;""),"[CONFLICT] Status / progress","On track")))))))))))</ns0:f>
        <ns0:v>On track</ns0:v>
      </ns0:c>
      <ns0:c r="P35" s="52" t="str">
        <ns0:v>Source: Project Plan Essentials (2).md §3. Source checkpoint date retained (source labels all dates [INFERRED]). [INFERRED] FF link permits completion-day checkpoint. Owner missing.</ns0:v>
      </ns0:c>
      <ns0:c r="Q35" t="str">
        <ns0:f>IF(A35="","",IF(OR(M35="On Hold",M35="Delayed"),M35,IF(N35=1,"Completed",IF(N35&gt;0,"In Progress","Not Started"))))</ns0:f>
        <ns0:v>Not Started</ns0:v>
      </ns0:c>
      <ns0:c r="R35" t="str">
        <ns0:f>IF(A35="","",IF(COUNTIFS(Tasks[Task ID],A35)&lt;&gt;1,"Duplicate ID",""))</ns0:f>
      </ns0:c>
      <ns0:c r="S35" t="str">
        <ns0:f>IF(A35="","",IF(OR(NOT(ISNUMBER(E35)),NOT(ISNUMBER(F35))),"Invalid / missing date",IF(OR(E35&lt;&gt;INT(E35),F35&lt;&gt;INT(F35),E35&lt;1,F35&gt;2958465),"Invalid date",IF(F35&lt;E35,"End before start",IF(AND(J35="Yes",E35&lt;&gt;F35),"Milestone needs one date","")))))</ns0:f>
      </ns0:c>
      <ns0:c r="T35" t="n">
        <ns0:f>IF(H35="",0,LEN(H35)-LEN(SUBSTITUTE(H35,",",""))+1)</ns0:f>
        <ns0:v>3</ns0:v>
      </ns0:c>
      <ns0:c r="U35" t="str">
        <ns0:f>TRIM(MID(SUBSTITUTE($H35,",",REPT(" ",100)),1,100))</ns0:f>
        <ns0:v>T22</ns0:v>
      </ns0:c>
      <ns0:c r="V35" t="str">
        <ns0:f>TRIM(MID(SUBSTITUTE($H35,",",REPT(" ",100)),101,100))</ns0:f>
        <ns0:v>T23</ns0:v>
      </ns0:c>
      <ns0:c r="W35" t="str">
        <ns0:f>TRIM(MID(SUBSTITUTE($H35,",",REPT(" ",100)),201,100))</ns0:f>
        <ns0:v>T24</ns0:v>
      </ns0:c>
      <ns0:c r="X35" t="str">
        <ns0:f>TRIM(MID(SUBSTITUTE($H35,",",REPT(" ",100)),301,100))</ns0:f>
      </ns0:c>
      <ns0:c r="Y35" t="str">
        <ns0:f>TRIM(MID(SUBSTITUTE($H35,",",REPT(" ",100)),401,100))</ns0:f>
      </ns0:c>
      <ns0:c r="Z35" t="str">
        <ns0:f>TRIM(MID(SUBSTITUTE($H35,",",REPT(" ",100)),501,100))</ns0:f>
      </ns0:c>
      <ns0:c r="AA35" t="str">
        <ns0:f>TRIM(MID(SUBSTITUTE($H35,",",REPT(" ",100)),601,100))</ns0:f>
      </ns0:c>
      <ns0:c r="AB35" t="str">
        <ns0:f>TRIM(MID(SUBSTITUTE($H35,",",REPT(" ",100)),701,100))</ns0:f>
      </ns0:c>
      <ns0:c r="AC35" t="n">
        <ns0:f>IF(U35="",0,IF(COUNTIFS(Tasks[Task ID],U35)=1,MATCH(U35,Tasks[Task ID],0),-1))</ns0:f>
        <ns0:v>26</ns0:v>
      </ns0:c>
      <ns0:c r="AD35" t="n">
        <ns0:f>IF(V35="",0,IF(COUNTIFS(Tasks[Task ID],V35)=1,MATCH(V35,Tasks[Task ID],0),-1))</ns0:f>
        <ns0:v>27</ns0:v>
      </ns0:c>
      <ns0:c r="AE35" t="n">
        <ns0:f>IF(W35="",0,IF(COUNTIFS(Tasks[Task ID],W35)=1,MATCH(W35,Tasks[Task ID],0),-1))</ns0:f>
        <ns0:v>28</ns0:v>
      </ns0:c>
      <ns0:c r="AF35" t="n">
        <ns0:f>IF(X35="",0,IF(COUNTIFS(Tasks[Task ID],X35)=1,MATCH(X35,Tasks[Task ID],0),-1))</ns0:f>
        <ns0:v>0</ns0:v>
      </ns0:c>
      <ns0:c r="AG35" t="n">
        <ns0:f>IF(Y35="",0,IF(COUNTIFS(Tasks[Task ID],Y35)=1,MATCH(Y35,Tasks[Task ID],0),-1))</ns0:f>
        <ns0:v>0</ns0:v>
      </ns0:c>
      <ns0:c r="AH35" t="n">
        <ns0:f>IF(Z35="",0,IF(COUNTIFS(Tasks[Task ID],Z35)=1,MATCH(Z35,Tasks[Task ID],0),-1))</ns0:f>
        <ns0:v>0</ns0:v>
      </ns0:c>
      <ns0:c r="AI35" t="n">
        <ns0:f>IF(AA35="",0,IF(COUNTIFS(Tasks[Task ID],AA35)=1,MATCH(AA35,Tasks[Task ID],0),-1))</ns0:f>
        <ns0:v>0</ns0:v>
      </ns0:c>
      <ns0:c r="AJ35" t="n">
        <ns0:f>IF(AB35="",0,IF(COUNTIFS(Tasks[Task ID],AB35)=1,MATCH(AB35,Tasks[Task ID],0),-1))</ns0:f>
        <ns0:v>0</ns0:v>
      </ns0:c>
      <ns0:c r="AK35" t="n">
        <ns0:f>COUNTIFS(AC35:AJ35,-1)+IF(T35&gt;8,1,0)</ns0:f>
        <ns0:v>0</ns0:v>
      </ns0:c>
      <ns0:c r="AL35" t="n">
        <ns0:f>IF(OR(A35="",S35&lt;&gt;""),0,SUM(IF(AC35&gt;0,IF($I35="FS",--($E35&lt;INDEX(Tasks[End Date],AC35)+IF(INDEX(Tasks[Milestone],AC35)="Yes",0,1)),IF($I35="SS",--($E35&lt;INDEX(Tasks[Start Date],AC35)),IF($I35="FF",--($F35&lt;INDEX(Tasks[End Date],AC35)),IF($I35="SF",--($F35&lt;INDEX(Tasks[Start Date],AC35)),0)))),0),IF(AD35&gt;0,IF($I35="FS",--($E35&lt;INDEX(Tasks[End Date],AD35)+IF(INDEX(Tasks[Milestone],AD35)="Yes",0,1)),IF($I35="SS",--($E35&lt;INDEX(Tasks[Start Date],AD35)),IF($I35="FF",--($F35&lt;INDEX(Tasks[End Date],AD35)),IF($I35="SF",--($F35&lt;INDEX(Tasks[Start Date],AD35)),0)))),0),IF(AE35&gt;0,IF($I35="FS",--($E35&lt;INDEX(Tasks[End Date],AE35)+IF(INDEX(Tasks[Milestone],AE35)="Yes",0,1)),IF($I35="SS",--($E35&lt;INDEX(Tasks[Start Date],AE35)),IF($I35="FF",--($F35&lt;INDEX(Tasks[End Date],AE35)),IF($I35="SF",--($F35&lt;INDEX(Tasks[Start Date],AE35)),0)))),0),IF(AF35&gt;0,IF($I35="FS",--($E35&lt;INDEX(Tasks[End Date],AF35)+IF(INDEX(Tasks[Milestone],AF35)="Yes",0,1)),IF($I35="SS",--($E35&lt;INDEX(Tasks[Start Date],AF35)),IF($I35="FF",--($F35&lt;INDEX(Tasks[End Date],AF35)),IF($I35="SF",--($F35&lt;INDEX(Tasks[Start Date],AF35)),0)))),0),IF(AG35&gt;0,IF($I35="FS",--($E35&lt;INDEX(Tasks[End Date],AG35)+IF(INDEX(Tasks[Milestone],AG35)="Yes",0,1)),IF($I35="SS",--($E35&lt;INDEX(Tasks[Start Date],AG35)),IF($I35="FF",--($F35&lt;INDEX(Tasks[End Date],AG35)),IF($I35="SF",--($F35&lt;INDEX(Tasks[Start Date],AG35)),0)))),0),IF(AH35&gt;0,IF($I35="FS",--($E35&lt;INDEX(Tasks[End Date],AH35)+IF(INDEX(Tasks[Milestone],AH35)="Yes",0,1)),IF($I35="SS",--($E35&lt;INDEX(Tasks[Start Date],AH35)),IF($I35="FF",--($F35&lt;INDEX(Tasks[End Date],AH35)),IF($I35="SF",--($F35&lt;INDEX(Tasks[Start Date],AH35)),0)))),0),IF(AI35&gt;0,IF($I35="FS",--($E35&lt;INDEX(Tasks[End Date],AI35)+IF(INDEX(Tasks[Milestone],AI35)="Yes",0,1)),IF($I35="SS",--($E35&lt;INDEX(Tasks[Start Date],AI35)),IF($I35="FF",--($F35&lt;INDEX(Tasks[End Date],AI35)),IF($I35="SF",--($F35&lt;INDEX(Tasks[Start Date],AI35)),0)))),0),IF(AJ35&gt;0,IF($I35="FS",--($E35&lt;INDEX(Tasks[End Date],AJ35)+IF(INDEX(Tasks[Milestone],AJ35)="Yes",0,1)),IF($I35="SS",--($E35&lt;INDEX(Tasks[Start Date],AJ35)),IF($I35="FF",--($F35&lt;INDEX(Tasks[End Date],AJ35)),IF($I35="SF",--($F35&lt;INDEX(Tasks[Start Date],AJ35)),0)))),0)))</ns0:f>
        <ns0:v>0</ns0:v>
      </ns0:c>
      <ns0:c r="AM35" t="n">
        <ns0:f>IF(AND(A35&lt;&gt;"",AK35=0,EP35=0),1,0)</ns0:f>
        <ns0:v>0</ns0:v>
      </ns0:c>
      <ns0:c r="AN35" t="str">
        <ns0:f>IF(OR(A35="",B35=""),"",IF(COUNTIFS($B$7:B35,B35)=1,MAX($AN$6:AN34)+1,""))</ns0:f>
      </ns0:c>
      <ns0:c r="AO35" t="n">
        <ns0:f>IF(AND(A35&lt;&gt;"",J35="No",N35&lt;1,E35&gt;=AsOfDate),E35+ROW()/10000,1E+9)</ns0:f>
        <ns0:v>1000000000</ns0:v>
      </ns0:c>
      <ns0:c r="AP35" t="n">
        <ns0:f>IF(AND(A35&lt;&gt;"",J35="Yes",N35&lt;1,E35&gt;=AsOfDate),E35+ROW()/10000,1E+9)</ns0:f>
        <ns0:v>46301.0035</ns0:v>
      </ns0:c>
      <ns0:c r="AQ35" t="n">
        <ns0:f>IF(AND(A35&lt;&gt;"",J35="No",N35&lt;1,F35&gt;=AsOfDate,F35&lt;=AsOfDate+7),F35+ROW()/10000,1E+9)</ns0:f>
        <ns0:v>1000000000</ns0:v>
      </ns0:c>
      <ns0:c r="AR35" t="n">
        <ns0:f>IF(AND(A35&lt;&gt;"",OR(O35&lt;&gt;"On track",Q35="Delayed")),ROW(),1E+9)</ns0:f>
        <ns0:v>1000000000</ns0:v>
      </ns0:c>
      <ns0:c r="AS35" t="str">
        <ns0:f>IF(A35="","",";"&amp;K35&amp;";")</ns0:f>
        <ns0:v>;Unassigned;</ns0:v>
      </ns0:c>
      <ns0:c r="AT35" t="n">
        <ns0:f>IF(A35="",1,--(T35=0))</ns0:f>
        <ns0:v>0</ns0:v>
      </ns0:c>
      <ns0:c r="AU35" t="n">
        <ns0:f>IF($A35="",1,IF(AT35=1,1,--AND(IF($AC35&gt;0,INDEX(AT$7:AT$106,$AC35),1),IF($AD35&gt;0,INDEX(AT$7:AT$106,$AD35),1),IF($AE35&gt;0,INDEX(AT$7:AT$106,$AE35),1),IF($AF35&gt;0,INDEX(AT$7:AT$106,$AF35),1),IF($AG35&gt;0,INDEX(AT$7:AT$106,$AG35),1),IF($AH35&gt;0,INDEX(AT$7:AT$106,$AH35),1),IF($AI35&gt;0,INDEX(AT$7:AT$106,$AI35),1),IF($AJ35&gt;0,INDEX(AT$7:AT$106,$AJ35),1))))</ns0:f>
        <ns0:v>0</ns0:v>
      </ns0:c>
      <ns0:c r="AV35" t="n">
        <ns0:f>IF($A35="",1,IF(AU35=1,1,--AND(IF($AC35&gt;0,INDEX(AU$7:AU$106,$AC35),1),IF($AD35&gt;0,INDEX(AU$7:AU$106,$AD35),1),IF($AE35&gt;0,INDEX(AU$7:AU$106,$AE35),1),IF($AF35&gt;0,INDEX(AU$7:AU$106,$AF35),1),IF($AG35&gt;0,INDEX(AU$7:AU$106,$AG35),1),IF($AH35&gt;0,INDEX(AU$7:AU$106,$AH35),1),IF($AI35&gt;0,INDEX(AU$7:AU$106,$AI35),1),IF($AJ35&gt;0,INDEX(AU$7:AU$106,$AJ35),1))))</ns0:f>
        <ns0:v>0</ns0:v>
      </ns0:c>
      <ns0:c r="AW35" t="n">
        <ns0:f>IF($A35="",1,IF(AV35=1,1,--AND(IF($AC35&gt;0,INDEX(AV$7:AV$106,$AC35),1),IF($AD35&gt;0,INDEX(AV$7:AV$106,$AD35),1),IF($AE35&gt;0,INDEX(AV$7:AV$106,$AE35),1),IF($AF35&gt;0,INDEX(AV$7:AV$106,$AF35),1),IF($AG35&gt;0,INDEX(AV$7:AV$106,$AG35),1),IF($AH35&gt;0,INDEX(AV$7:AV$106,$AH35),1),IF($AI35&gt;0,INDEX(AV$7:AV$106,$AI35),1),IF($AJ35&gt;0,INDEX(AV$7:AV$106,$AJ35),1))))</ns0:f>
        <ns0:v>0</ns0:v>
      </ns0:c>
      <ns0:c r="AX35" t="n">
        <ns0:f>IF($A35="",1,IF(AW35=1,1,--AND(IF($AC35&gt;0,INDEX(AW$7:AW$106,$AC35),1),IF($AD35&gt;0,INDEX(AW$7:AW$106,$AD35),1),IF($AE35&gt;0,INDEX(AW$7:AW$106,$AE35),1),IF($AF35&gt;0,INDEX(AW$7:AW$106,$AF35),1),IF($AG35&gt;0,INDEX(AW$7:AW$106,$AG35),1),IF($AH35&gt;0,INDEX(AW$7:AW$106,$AH35),1),IF($AI35&gt;0,INDEX(AW$7:AW$106,$AI35),1),IF($AJ35&gt;0,INDEX(AW$7:AW$106,$AJ35),1))))</ns0:f>
        <ns0:v>0</ns0:v>
      </ns0:c>
      <ns0:c r="AY35" t="n">
        <ns0:f>IF($A35="",1,IF(AX35=1,1,--AND(IF($AC35&gt;0,INDEX(AX$7:AX$106,$AC35),1),IF($AD35&gt;0,INDEX(AX$7:AX$106,$AD35),1),IF($AE35&gt;0,INDEX(AX$7:AX$106,$AE35),1),IF($AF35&gt;0,INDEX(AX$7:AX$106,$AF35),1),IF($AG35&gt;0,INDEX(AX$7:AX$106,$AG35),1),IF($AH35&gt;0,INDEX(AX$7:AX$106,$AH35),1),IF($AI35&gt;0,INDEX(AX$7:AX$106,$AI35),1),IF($AJ35&gt;0,INDEX(AX$7:AX$106,$AJ35),1))))</ns0:f>
        <ns0:v>0</ns0:v>
      </ns0:c>
      <ns0:c r="AZ35" t="n">
        <ns0:f>IF($A35="",1,IF(AY35=1,1,--AND(IF($AC35&gt;0,INDEX(AY$7:AY$106,$AC35),1),IF($AD35&gt;0,INDEX(AY$7:AY$106,$AD35),1),IF($AE35&gt;0,INDEX(AY$7:AY$106,$AE35),1),IF($AF35&gt;0,INDEX(AY$7:AY$106,$AF35),1),IF($AG35&gt;0,INDEX(AY$7:AY$106,$AG35),1),IF($AH35&gt;0,INDEX(AY$7:AY$106,$AH35),1),IF($AI35&gt;0,INDEX(AY$7:AY$106,$AI35),1),IF($AJ35&gt;0,INDEX(AY$7:AY$106,$AJ35),1))))</ns0:f>
        <ns0:v>0</ns0:v>
      </ns0:c>
      <ns0:c r="BA35" t="n">
        <ns0:f>IF($A35="",1,IF(AZ35=1,1,--AND(IF($AC35&gt;0,INDEX(AZ$7:AZ$106,$AC35),1),IF($AD35&gt;0,INDEX(AZ$7:AZ$106,$AD35),1),IF($AE35&gt;0,INDEX(AZ$7:AZ$106,$AE35),1),IF($AF35&gt;0,INDEX(AZ$7:AZ$106,$AF35),1),IF($AG35&gt;0,INDEX(AZ$7:AZ$106,$AG35),1),IF($AH35&gt;0,INDEX(AZ$7:AZ$106,$AH35),1),IF($AI35&gt;0,INDEX(AZ$7:AZ$106,$AI35),1),IF($AJ35&gt;0,INDEX(AZ$7:AZ$106,$AJ35),1))))</ns0:f>
        <ns0:v>0</ns0:v>
      </ns0:c>
      <ns0:c r="BB35" t="n">
        <ns0:f>IF($A35="",1,IF(BA35=1,1,--AND(IF($AC35&gt;0,INDEX(BA$7:BA$106,$AC35),1),IF($AD35&gt;0,INDEX(BA$7:BA$106,$AD35),1),IF($AE35&gt;0,INDEX(BA$7:BA$106,$AE35),1),IF($AF35&gt;0,INDEX(BA$7:BA$106,$AF35),1),IF($AG35&gt;0,INDEX(BA$7:BA$106,$AG35),1),IF($AH35&gt;0,INDEX(BA$7:BA$106,$AH35),1),IF($AI35&gt;0,INDEX(BA$7:BA$106,$AI35),1),IF($AJ35&gt;0,INDEX(BA$7:BA$106,$AJ35),1))))</ns0:f>
        <ns0:v>0</ns0:v>
      </ns0:c>
      <ns0:c r="BC35" t="n">
        <ns0:f>IF($A35="",1,IF(BB35=1,1,--AND(IF($AC35&gt;0,INDEX(BB$7:BB$106,$AC35),1),IF($AD35&gt;0,INDEX(BB$7:BB$106,$AD35),1),IF($AE35&gt;0,INDEX(BB$7:BB$106,$AE35),1),IF($AF35&gt;0,INDEX(BB$7:BB$106,$AF35),1),IF($AG35&gt;0,INDEX(BB$7:BB$106,$AG35),1),IF($AH35&gt;0,INDEX(BB$7:BB$106,$AH35),1),IF($AI35&gt;0,INDEX(BB$7:BB$106,$AI35),1),IF($AJ35&gt;0,INDEX(BB$7:BB$106,$AJ35),1))))</ns0:f>
        <ns0:v>0</ns0:v>
      </ns0:c>
      <ns0:c r="BD35" t="n">
        <ns0:f>IF($A35="",1,IF(BC35=1,1,--AND(IF($AC35&gt;0,INDEX(BC$7:BC$106,$AC35),1),IF($AD35&gt;0,INDEX(BC$7:BC$106,$AD35),1),IF($AE35&gt;0,INDEX(BC$7:BC$106,$AE35),1),IF($AF35&gt;0,INDEX(BC$7:BC$106,$AF35),1),IF($AG35&gt;0,INDEX(BC$7:BC$106,$AG35),1),IF($AH35&gt;0,INDEX(BC$7:BC$106,$AH35),1),IF($AI35&gt;0,INDEX(BC$7:BC$106,$AI35),1),IF($AJ35&gt;0,INDEX(BC$7:BC$106,$AJ35),1))))</ns0:f>
        <ns0:v>0</ns0:v>
      </ns0:c>
      <ns0:c r="BE35" t="n">
        <ns0:f>IF($A35="",1,IF(BD35=1,1,--AND(IF($AC35&gt;0,INDEX(BD$7:BD$106,$AC35),1),IF($AD35&gt;0,INDEX(BD$7:BD$106,$AD35),1),IF($AE35&gt;0,INDEX(BD$7:BD$106,$AE35),1),IF($AF35&gt;0,INDEX(BD$7:BD$106,$AF35),1),IF($AG35&gt;0,INDEX(BD$7:BD$106,$AG35),1),IF($AH35&gt;0,INDEX(BD$7:BD$106,$AH35),1),IF($AI35&gt;0,INDEX(BD$7:BD$106,$AI35),1),IF($AJ35&gt;0,INDEX(BD$7:BD$106,$AJ35),1))))</ns0:f>
        <ns0:v>0</ns0:v>
      </ns0:c>
      <ns0:c r="BF35" t="n">
        <ns0:f>IF($A35="",1,IF(BE35=1,1,--AND(IF($AC35&gt;0,INDEX(BE$7:BE$106,$AC35),1),IF($AD35&gt;0,INDEX(BE$7:BE$106,$AD35),1),IF($AE35&gt;0,INDEX(BE$7:BE$106,$AE35),1),IF($AF35&gt;0,INDEX(BE$7:BE$106,$AF35),1),IF($AG35&gt;0,INDEX(BE$7:BE$106,$AG35),1),IF($AH35&gt;0,INDEX(BE$7:BE$106,$AH35),1),IF($AI35&gt;0,INDEX(BE$7:BE$106,$AI35),1),IF($AJ35&gt;0,INDEX(BE$7:BE$106,$AJ35),1))))</ns0:f>
        <ns0:v>1</ns0:v>
      </ns0:c>
      <ns0:c r="BG35" t="n">
        <ns0:f>IF($A35="",1,IF(BF35=1,1,--AND(IF($AC35&gt;0,INDEX(BF$7:BF$106,$AC35),1),IF($AD35&gt;0,INDEX(BF$7:BF$106,$AD35),1),IF($AE35&gt;0,INDEX(BF$7:BF$106,$AE35),1),IF($AF35&gt;0,INDEX(BF$7:BF$106,$AF35),1),IF($AG35&gt;0,INDEX(BF$7:BF$106,$AG35),1),IF($AH35&gt;0,INDEX(BF$7:BF$106,$AH35),1),IF($AI35&gt;0,INDEX(BF$7:BF$106,$AI35),1),IF($AJ35&gt;0,INDEX(BF$7:BF$106,$AJ35),1))))</ns0:f>
        <ns0:v>1</ns0:v>
      </ns0:c>
      <ns0:c r="BH35" t="n">
        <ns0:f>IF($A35="",1,IF(BG35=1,1,--AND(IF($AC35&gt;0,INDEX(BG$7:BG$106,$AC35),1),IF($AD35&gt;0,INDEX(BG$7:BG$106,$AD35),1),IF($AE35&gt;0,INDEX(BG$7:BG$106,$AE35),1),IF($AF35&gt;0,INDEX(BG$7:BG$106,$AF35),1),IF($AG35&gt;0,INDEX(BG$7:BG$106,$AG35),1),IF($AH35&gt;0,INDEX(BG$7:BG$106,$AH35),1),IF($AI35&gt;0,INDEX(BG$7:BG$106,$AI35),1),IF($AJ35&gt;0,INDEX(BG$7:BG$106,$AJ35),1))))</ns0:f>
        <ns0:v>1</ns0:v>
      </ns0:c>
      <ns0:c r="BI35" t="n">
        <ns0:f>IF($A35="",1,IF(BH35=1,1,--AND(IF($AC35&gt;0,INDEX(BH$7:BH$106,$AC35),1),IF($AD35&gt;0,INDEX(BH$7:BH$106,$AD35),1),IF($AE35&gt;0,INDEX(BH$7:BH$106,$AE35),1),IF($AF35&gt;0,INDEX(BH$7:BH$106,$AF35),1),IF($AG35&gt;0,INDEX(BH$7:BH$106,$AG35),1),IF($AH35&gt;0,INDEX(BH$7:BH$106,$AH35),1),IF($AI35&gt;0,INDEX(BH$7:BH$106,$AI35),1),IF($AJ35&gt;0,INDEX(BH$7:BH$106,$AJ35),1))))</ns0:f>
        <ns0:v>1</ns0:v>
      </ns0:c>
      <ns0:c r="BJ35" t="n">
        <ns0:f>IF($A35="",1,IF(BI35=1,1,--AND(IF($AC35&gt;0,INDEX(BI$7:BI$106,$AC35),1),IF($AD35&gt;0,INDEX(BI$7:BI$106,$AD35),1),IF($AE35&gt;0,INDEX(BI$7:BI$106,$AE35),1),IF($AF35&gt;0,INDEX(BI$7:BI$106,$AF35),1),IF($AG35&gt;0,INDEX(BI$7:BI$106,$AG35),1),IF($AH35&gt;0,INDEX(BI$7:BI$106,$AH35),1),IF($AI35&gt;0,INDEX(BI$7:BI$106,$AI35),1),IF($AJ35&gt;0,INDEX(BI$7:BI$106,$AJ35),1))))</ns0:f>
        <ns0:v>1</ns0:v>
      </ns0:c>
      <ns0:c r="BK35" t="n">
        <ns0:f>IF($A35="",1,IF(BJ35=1,1,--AND(IF($AC35&gt;0,INDEX(BJ$7:BJ$106,$AC35),1),IF($AD35&gt;0,INDEX(BJ$7:BJ$106,$AD35),1),IF($AE35&gt;0,INDEX(BJ$7:BJ$106,$AE35),1),IF($AF35&gt;0,INDEX(BJ$7:BJ$106,$AF35),1),IF($AG35&gt;0,INDEX(BJ$7:BJ$106,$AG35),1),IF($AH35&gt;0,INDEX(BJ$7:BJ$106,$AH35),1),IF($AI35&gt;0,INDEX(BJ$7:BJ$106,$AI35),1),IF($AJ35&gt;0,INDEX(BJ$7:BJ$106,$AJ35),1))))</ns0:f>
        <ns0:v>1</ns0:v>
      </ns0:c>
      <ns0:c r="BL35" t="n">
        <ns0:f>IF($A35="",1,IF(BK35=1,1,--AND(IF($AC35&gt;0,INDEX(BK$7:BK$106,$AC35),1),IF($AD35&gt;0,INDEX(BK$7:BK$106,$AD35),1),IF($AE35&gt;0,INDEX(BK$7:BK$106,$AE35),1),IF($AF35&gt;0,INDEX(BK$7:BK$106,$AF35),1),IF($AG35&gt;0,INDEX(BK$7:BK$106,$AG35),1),IF($AH35&gt;0,INDEX(BK$7:BK$106,$AH35),1),IF($AI35&gt;0,INDEX(BK$7:BK$106,$AI35),1),IF($AJ35&gt;0,INDEX(BK$7:BK$106,$AJ35),1))))</ns0:f>
        <ns0:v>1</ns0:v>
      </ns0:c>
      <ns0:c r="BM35" t="n">
        <ns0:f>IF($A35="",1,IF(BL35=1,1,--AND(IF($AC35&gt;0,INDEX(BL$7:BL$106,$AC35),1),IF($AD35&gt;0,INDEX(BL$7:BL$106,$AD35),1),IF($AE35&gt;0,INDEX(BL$7:BL$106,$AE35),1),IF($AF35&gt;0,INDEX(BL$7:BL$106,$AF35),1),IF($AG35&gt;0,INDEX(BL$7:BL$106,$AG35),1),IF($AH35&gt;0,INDEX(BL$7:BL$106,$AH35),1),IF($AI35&gt;0,INDEX(BL$7:BL$106,$AI35),1),IF($AJ35&gt;0,INDEX(BL$7:BL$106,$AJ35),1))))</ns0:f>
        <ns0:v>1</ns0:v>
      </ns0:c>
      <ns0:c r="BN35" t="n">
        <ns0:f>IF($A35="",1,IF(BM35=1,1,--AND(IF($AC35&gt;0,INDEX(BM$7:BM$106,$AC35),1),IF($AD35&gt;0,INDEX(BM$7:BM$106,$AD35),1),IF($AE35&gt;0,INDEX(BM$7:BM$106,$AE35),1),IF($AF35&gt;0,INDEX(BM$7:BM$106,$AF35),1),IF($AG35&gt;0,INDEX(BM$7:BM$106,$AG35),1),IF($AH35&gt;0,INDEX(BM$7:BM$106,$AH35),1),IF($AI35&gt;0,INDEX(BM$7:BM$106,$AI35),1),IF($AJ35&gt;0,INDEX(BM$7:BM$106,$AJ35),1))))</ns0:f>
        <ns0:v>1</ns0:v>
      </ns0:c>
      <ns0:c r="BO35" t="n">
        <ns0:f>IF($A35="",1,IF(BN35=1,1,--AND(IF($AC35&gt;0,INDEX(BN$7:BN$106,$AC35),1),IF($AD35&gt;0,INDEX(BN$7:BN$106,$AD35),1),IF($AE35&gt;0,INDEX(BN$7:BN$106,$AE35),1),IF($AF35&gt;0,INDEX(BN$7:BN$106,$AF35),1),IF($AG35&gt;0,INDEX(BN$7:BN$106,$AG35),1),IF($AH35&gt;0,INDEX(BN$7:BN$106,$AH35),1),IF($AI35&gt;0,INDEX(BN$7:BN$106,$AI35),1),IF($AJ35&gt;0,INDEX(BN$7:BN$106,$AJ35),1))))</ns0:f>
        <ns0:v>1</ns0:v>
      </ns0:c>
      <ns0:c r="BP35" t="n">
        <ns0:f>IF($A35="",1,IF(BO35=1,1,--AND(IF($AC35&gt;0,INDEX(BO$7:BO$106,$AC35),1),IF($AD35&gt;0,INDEX(BO$7:BO$106,$AD35),1),IF($AE35&gt;0,INDEX(BO$7:BO$106,$AE35),1),IF($AF35&gt;0,INDEX(BO$7:BO$106,$AF35),1),IF($AG35&gt;0,INDEX(BO$7:BO$106,$AG35),1),IF($AH35&gt;0,INDEX(BO$7:BO$106,$AH35),1),IF($AI35&gt;0,INDEX(BO$7:BO$106,$AI35),1),IF($AJ35&gt;0,INDEX(BO$7:BO$106,$AJ35),1))))</ns0:f>
        <ns0:v>1</ns0:v>
      </ns0:c>
      <ns0:c r="BQ35" t="n">
        <ns0:f>IF($A35="",1,IF(BP35=1,1,--AND(IF($AC35&gt;0,INDEX(BP$7:BP$106,$AC35),1),IF($AD35&gt;0,INDEX(BP$7:BP$106,$AD35),1),IF($AE35&gt;0,INDEX(BP$7:BP$106,$AE35),1),IF($AF35&gt;0,INDEX(BP$7:BP$106,$AF35),1),IF($AG35&gt;0,INDEX(BP$7:BP$106,$AG35),1),IF($AH35&gt;0,INDEX(BP$7:BP$106,$AH35),1),IF($AI35&gt;0,INDEX(BP$7:BP$106,$AI35),1),IF($AJ35&gt;0,INDEX(BP$7:BP$106,$AJ35),1))))</ns0:f>
        <ns0:v>1</ns0:v>
      </ns0:c>
      <ns0:c r="BR35" t="n">
        <ns0:f>IF($A35="",1,IF(BQ35=1,1,--AND(IF($AC35&gt;0,INDEX(BQ$7:BQ$106,$AC35),1),IF($AD35&gt;0,INDEX(BQ$7:BQ$106,$AD35),1),IF($AE35&gt;0,INDEX(BQ$7:BQ$106,$AE35),1),IF($AF35&gt;0,INDEX(BQ$7:BQ$106,$AF35),1),IF($AG35&gt;0,INDEX(BQ$7:BQ$106,$AG35),1),IF($AH35&gt;0,INDEX(BQ$7:BQ$106,$AH35),1),IF($AI35&gt;0,INDEX(BQ$7:BQ$106,$AI35),1),IF($AJ35&gt;0,INDEX(BQ$7:BQ$106,$AJ35),1))))</ns0:f>
        <ns0:v>1</ns0:v>
      </ns0:c>
      <ns0:c r="BS35" t="n">
        <ns0:f>IF($A35="",1,IF(BR35=1,1,--AND(IF($AC35&gt;0,INDEX(BR$7:BR$106,$AC35),1),IF($AD35&gt;0,INDEX(BR$7:BR$106,$AD35),1),IF($AE35&gt;0,INDEX(BR$7:BR$106,$AE35),1),IF($AF35&gt;0,INDEX(BR$7:BR$106,$AF35),1),IF($AG35&gt;0,INDEX(BR$7:BR$106,$AG35),1),IF($AH35&gt;0,INDEX(BR$7:BR$106,$AH35),1),IF($AI35&gt;0,INDEX(BR$7:BR$106,$AI35),1),IF($AJ35&gt;0,INDEX(BR$7:BR$106,$AJ35),1))))</ns0:f>
        <ns0:v>1</ns0:v>
      </ns0:c>
      <ns0:c r="BT35" t="n">
        <ns0:f>IF($A35="",1,IF(BS35=1,1,--AND(IF($AC35&gt;0,INDEX(BS$7:BS$106,$AC35),1),IF($AD35&gt;0,INDEX(BS$7:BS$106,$AD35),1),IF($AE35&gt;0,INDEX(BS$7:BS$106,$AE35),1),IF($AF35&gt;0,INDEX(BS$7:BS$106,$AF35),1),IF($AG35&gt;0,INDEX(BS$7:BS$106,$AG35),1),IF($AH35&gt;0,INDEX(BS$7:BS$106,$AH35),1),IF($AI35&gt;0,INDEX(BS$7:BS$106,$AI35),1),IF($AJ35&gt;0,INDEX(BS$7:BS$106,$AJ35),1))))</ns0:f>
        <ns0:v>1</ns0:v>
      </ns0:c>
      <ns0:c r="BU35" t="n">
        <ns0:f>IF($A35="",1,IF(BT35=1,1,--AND(IF($AC35&gt;0,INDEX(BT$7:BT$106,$AC35),1),IF($AD35&gt;0,INDEX(BT$7:BT$106,$AD35),1),IF($AE35&gt;0,INDEX(BT$7:BT$106,$AE35),1),IF($AF35&gt;0,INDEX(BT$7:BT$106,$AF35),1),IF($AG35&gt;0,INDEX(BT$7:BT$106,$AG35),1),IF($AH35&gt;0,INDEX(BT$7:BT$106,$AH35),1),IF($AI35&gt;0,INDEX(BT$7:BT$106,$AI35),1),IF($AJ35&gt;0,INDEX(BT$7:BT$106,$AJ35),1))))</ns0:f>
        <ns0:v>1</ns0:v>
      </ns0:c>
      <ns0:c r="BV35" t="n">
        <ns0:f>IF($A35="",1,IF(BU35=1,1,--AND(IF($AC35&gt;0,INDEX(BU$7:BU$106,$AC35),1),IF($AD35&gt;0,INDEX(BU$7:BU$106,$AD35),1),IF($AE35&gt;0,INDEX(BU$7:BU$106,$AE35),1),IF($AF35&gt;0,INDEX(BU$7:BU$106,$AF35),1),IF($AG35&gt;0,INDEX(BU$7:BU$106,$AG35),1),IF($AH35&gt;0,INDEX(BU$7:BU$106,$AH35),1),IF($AI35&gt;0,INDEX(BU$7:BU$106,$AI35),1),IF($AJ35&gt;0,INDEX(BU$7:BU$106,$AJ35),1))))</ns0:f>
        <ns0:v>1</ns0:v>
      </ns0:c>
      <ns0:c r="BW35" t="n">
        <ns0:f>IF($A35="",1,IF(BV35=1,1,--AND(IF($AC35&gt;0,INDEX(BV$7:BV$106,$AC35),1),IF($AD35&gt;0,INDEX(BV$7:BV$106,$AD35),1),IF($AE35&gt;0,INDEX(BV$7:BV$106,$AE35),1),IF($AF35&gt;0,INDEX(BV$7:BV$106,$AF35),1),IF($AG35&gt;0,INDEX(BV$7:BV$106,$AG35),1),IF($AH35&gt;0,INDEX(BV$7:BV$106,$AH35),1),IF($AI35&gt;0,INDEX(BV$7:BV$106,$AI35),1),IF($AJ35&gt;0,INDEX(BV$7:BV$106,$AJ35),1))))</ns0:f>
        <ns0:v>1</ns0:v>
      </ns0:c>
      <ns0:c r="BX35" t="n">
        <ns0:f>IF($A35="",1,IF(BW35=1,1,--AND(IF($AC35&gt;0,INDEX(BW$7:BW$106,$AC35),1),IF($AD35&gt;0,INDEX(BW$7:BW$106,$AD35),1),IF($AE35&gt;0,INDEX(BW$7:BW$106,$AE35),1),IF($AF35&gt;0,INDEX(BW$7:BW$106,$AF35),1),IF($AG35&gt;0,INDEX(BW$7:BW$106,$AG35),1),IF($AH35&gt;0,INDEX(BW$7:BW$106,$AH35),1),IF($AI35&gt;0,INDEX(BW$7:BW$106,$AI35),1),IF($AJ35&gt;0,INDEX(BW$7:BW$106,$AJ35),1))))</ns0:f>
        <ns0:v>1</ns0:v>
      </ns0:c>
      <ns0:c r="BY35" t="n">
        <ns0:f>IF($A35="",1,IF(BX35=1,1,--AND(IF($AC35&gt;0,INDEX(BX$7:BX$106,$AC35),1),IF($AD35&gt;0,INDEX(BX$7:BX$106,$AD35),1),IF($AE35&gt;0,INDEX(BX$7:BX$106,$AE35),1),IF($AF35&gt;0,INDEX(BX$7:BX$106,$AF35),1),IF($AG35&gt;0,INDEX(BX$7:BX$106,$AG35),1),IF($AH35&gt;0,INDEX(BX$7:BX$106,$AH35),1),IF($AI35&gt;0,INDEX(BX$7:BX$106,$AI35),1),IF($AJ35&gt;0,INDEX(BX$7:BX$106,$AJ35),1))))</ns0:f>
        <ns0:v>1</ns0:v>
      </ns0:c>
      <ns0:c r="BZ35" t="n">
        <ns0:f>IF($A35="",1,IF(BY35=1,1,--AND(IF($AC35&gt;0,INDEX(BY$7:BY$106,$AC35),1),IF($AD35&gt;0,INDEX(BY$7:BY$106,$AD35),1),IF($AE35&gt;0,INDEX(BY$7:BY$106,$AE35),1),IF($AF35&gt;0,INDEX(BY$7:BY$106,$AF35),1),IF($AG35&gt;0,INDEX(BY$7:BY$106,$AG35),1),IF($AH35&gt;0,INDEX(BY$7:BY$106,$AH35),1),IF($AI35&gt;0,INDEX(BY$7:BY$106,$AI35),1),IF($AJ35&gt;0,INDEX(BY$7:BY$106,$AJ35),1))))</ns0:f>
        <ns0:v>1</ns0:v>
      </ns0:c>
      <ns0:c r="CA35" t="n">
        <ns0:f>IF($A35="",1,IF(BZ35=1,1,--AND(IF($AC35&gt;0,INDEX(BZ$7:BZ$106,$AC35),1),IF($AD35&gt;0,INDEX(BZ$7:BZ$106,$AD35),1),IF($AE35&gt;0,INDEX(BZ$7:BZ$106,$AE35),1),IF($AF35&gt;0,INDEX(BZ$7:BZ$106,$AF35),1),IF($AG35&gt;0,INDEX(BZ$7:BZ$106,$AG35),1),IF($AH35&gt;0,INDEX(BZ$7:BZ$106,$AH35),1),IF($AI35&gt;0,INDEX(BZ$7:BZ$106,$AI35),1),IF($AJ35&gt;0,INDEX(BZ$7:BZ$106,$AJ35),1))))</ns0:f>
        <ns0:v>1</ns0:v>
      </ns0:c>
      <ns0:c r="CB35" t="n">
        <ns0:f>IF($A35="",1,IF(CA35=1,1,--AND(IF($AC35&gt;0,INDEX(CA$7:CA$106,$AC35),1),IF($AD35&gt;0,INDEX(CA$7:CA$106,$AD35),1),IF($AE35&gt;0,INDEX(CA$7:CA$106,$AE35),1),IF($AF35&gt;0,INDEX(CA$7:CA$106,$AF35),1),IF($AG35&gt;0,INDEX(CA$7:CA$106,$AG35),1),IF($AH35&gt;0,INDEX(CA$7:CA$106,$AH35),1),IF($AI35&gt;0,INDEX(CA$7:CA$106,$AI35),1),IF($AJ35&gt;0,INDEX(CA$7:CA$106,$AJ35),1))))</ns0:f>
        <ns0:v>1</ns0:v>
      </ns0:c>
      <ns0:c r="CC35" t="n">
        <ns0:f>IF($A35="",1,IF(CB35=1,1,--AND(IF($AC35&gt;0,INDEX(CB$7:CB$106,$AC35),1),IF($AD35&gt;0,INDEX(CB$7:CB$106,$AD35),1),IF($AE35&gt;0,INDEX(CB$7:CB$106,$AE35),1),IF($AF35&gt;0,INDEX(CB$7:CB$106,$AF35),1),IF($AG35&gt;0,INDEX(CB$7:CB$106,$AG35),1),IF($AH35&gt;0,INDEX(CB$7:CB$106,$AH35),1),IF($AI35&gt;0,INDEX(CB$7:CB$106,$AI35),1),IF($AJ35&gt;0,INDEX(CB$7:CB$106,$AJ35),1))))</ns0:f>
        <ns0:v>1</ns0:v>
      </ns0:c>
      <ns0:c r="CD35" t="n">
        <ns0:f>IF($A35="",1,IF(CC35=1,1,--AND(IF($AC35&gt;0,INDEX(CC$7:CC$106,$AC35),1),IF($AD35&gt;0,INDEX(CC$7:CC$106,$AD35),1),IF($AE35&gt;0,INDEX(CC$7:CC$106,$AE35),1),IF($AF35&gt;0,INDEX(CC$7:CC$106,$AF35),1),IF($AG35&gt;0,INDEX(CC$7:CC$106,$AG35),1),IF($AH35&gt;0,INDEX(CC$7:CC$106,$AH35),1),IF($AI35&gt;0,INDEX(CC$7:CC$106,$AI35),1),IF($AJ35&gt;0,INDEX(CC$7:CC$106,$AJ35),1))))</ns0:f>
        <ns0:v>1</ns0:v>
      </ns0:c>
      <ns0:c r="CE35" t="n">
        <ns0:f>IF($A35="",1,IF(CD35=1,1,--AND(IF($AC35&gt;0,INDEX(CD$7:CD$106,$AC35),1),IF($AD35&gt;0,INDEX(CD$7:CD$106,$AD35),1),IF($AE35&gt;0,INDEX(CD$7:CD$106,$AE35),1),IF($AF35&gt;0,INDEX(CD$7:CD$106,$AF35),1),IF($AG35&gt;0,INDEX(CD$7:CD$106,$AG35),1),IF($AH35&gt;0,INDEX(CD$7:CD$106,$AH35),1),IF($AI35&gt;0,INDEX(CD$7:CD$106,$AI35),1),IF($AJ35&gt;0,INDEX(CD$7:CD$106,$AJ35),1))))</ns0:f>
        <ns0:v>1</ns0:v>
      </ns0:c>
      <ns0:c r="CF35" t="n">
        <ns0:f>IF($A35="",1,IF(CE35=1,1,--AND(IF($AC35&gt;0,INDEX(CE$7:CE$106,$AC35),1),IF($AD35&gt;0,INDEX(CE$7:CE$106,$AD35),1),IF($AE35&gt;0,INDEX(CE$7:CE$106,$AE35),1),IF($AF35&gt;0,INDEX(CE$7:CE$106,$AF35),1),IF($AG35&gt;0,INDEX(CE$7:CE$106,$AG35),1),IF($AH35&gt;0,INDEX(CE$7:CE$106,$AH35),1),IF($AI35&gt;0,INDEX(CE$7:CE$106,$AI35),1),IF($AJ35&gt;0,INDEX(CE$7:CE$106,$AJ35),1))))</ns0:f>
        <ns0:v>1</ns0:v>
      </ns0:c>
      <ns0:c r="CG35" t="n">
        <ns0:f>IF($A35="",1,IF(CF35=1,1,--AND(IF($AC35&gt;0,INDEX(CF$7:CF$106,$AC35),1),IF($AD35&gt;0,INDEX(CF$7:CF$106,$AD35),1),IF($AE35&gt;0,INDEX(CF$7:CF$106,$AE35),1),IF($AF35&gt;0,INDEX(CF$7:CF$106,$AF35),1),IF($AG35&gt;0,INDEX(CF$7:CF$106,$AG35),1),IF($AH35&gt;0,INDEX(CF$7:CF$106,$AH35),1),IF($AI35&gt;0,INDEX(CF$7:CF$106,$AI35),1),IF($AJ35&gt;0,INDEX(CF$7:CF$106,$AJ35),1))))</ns0:f>
        <ns0:v>1</ns0:v>
      </ns0:c>
      <ns0:c r="CH35" t="n">
        <ns0:f>IF($A35="",1,IF(CG35=1,1,--AND(IF($AC35&gt;0,INDEX(CG$7:CG$106,$AC35),1),IF($AD35&gt;0,INDEX(CG$7:CG$106,$AD35),1),IF($AE35&gt;0,INDEX(CG$7:CG$106,$AE35),1),IF($AF35&gt;0,INDEX(CG$7:CG$106,$AF35),1),IF($AG35&gt;0,INDEX(CG$7:CG$106,$AG35),1),IF($AH35&gt;0,INDEX(CG$7:CG$106,$AH35),1),IF($AI35&gt;0,INDEX(CG$7:CG$106,$AI35),1),IF($AJ35&gt;0,INDEX(CG$7:CG$106,$AJ35),1))))</ns0:f>
        <ns0:v>1</ns0:v>
      </ns0:c>
      <ns0:c r="CI35" t="n">
        <ns0:f>IF($A35="",1,IF(CH35=1,1,--AND(IF($AC35&gt;0,INDEX(CH$7:CH$106,$AC35),1),IF($AD35&gt;0,INDEX(CH$7:CH$106,$AD35),1),IF($AE35&gt;0,INDEX(CH$7:CH$106,$AE35),1),IF($AF35&gt;0,INDEX(CH$7:CH$106,$AF35),1),IF($AG35&gt;0,INDEX(CH$7:CH$106,$AG35),1),IF($AH35&gt;0,INDEX(CH$7:CH$106,$AH35),1),IF($AI35&gt;0,INDEX(CH$7:CH$106,$AI35),1),IF($AJ35&gt;0,INDEX(CH$7:CH$106,$AJ35),1))))</ns0:f>
        <ns0:v>1</ns0:v>
      </ns0:c>
      <ns0:c r="CJ35" t="n">
        <ns0:f>IF($A35="",1,IF(CI35=1,1,--AND(IF($AC35&gt;0,INDEX(CI$7:CI$106,$AC35),1),IF($AD35&gt;0,INDEX(CI$7:CI$106,$AD35),1),IF($AE35&gt;0,INDEX(CI$7:CI$106,$AE35),1),IF($AF35&gt;0,INDEX(CI$7:CI$106,$AF35),1),IF($AG35&gt;0,INDEX(CI$7:CI$106,$AG35),1),IF($AH35&gt;0,INDEX(CI$7:CI$106,$AH35),1),IF($AI35&gt;0,INDEX(CI$7:CI$106,$AI35),1),IF($AJ35&gt;0,INDEX(CI$7:CI$106,$AJ35),1))))</ns0:f>
        <ns0:v>1</ns0:v>
      </ns0:c>
      <ns0:c r="CK35" t="n">
        <ns0:f>IF($A35="",1,IF(CJ35=1,1,--AND(IF($AC35&gt;0,INDEX(CJ$7:CJ$106,$AC35),1),IF($AD35&gt;0,INDEX(CJ$7:CJ$106,$AD35),1),IF($AE35&gt;0,INDEX(CJ$7:CJ$106,$AE35),1),IF($AF35&gt;0,INDEX(CJ$7:CJ$106,$AF35),1),IF($AG35&gt;0,INDEX(CJ$7:CJ$106,$AG35),1),IF($AH35&gt;0,INDEX(CJ$7:CJ$106,$AH35),1),IF($AI35&gt;0,INDEX(CJ$7:CJ$106,$AI35),1),IF($AJ35&gt;0,INDEX(CJ$7:CJ$106,$AJ35),1))))</ns0:f>
        <ns0:v>1</ns0:v>
      </ns0:c>
      <ns0:c r="CL35" t="n">
        <ns0:f>IF($A35="",1,IF(CK35=1,1,--AND(IF($AC35&gt;0,INDEX(CK$7:CK$106,$AC35),1),IF($AD35&gt;0,INDEX(CK$7:CK$106,$AD35),1),IF($AE35&gt;0,INDEX(CK$7:CK$106,$AE35),1),IF($AF35&gt;0,INDEX(CK$7:CK$106,$AF35),1),IF($AG35&gt;0,INDEX(CK$7:CK$106,$AG35),1),IF($AH35&gt;0,INDEX(CK$7:CK$106,$AH35),1),IF($AI35&gt;0,INDEX(CK$7:CK$106,$AI35),1),IF($AJ35&gt;0,INDEX(CK$7:CK$106,$AJ35),1))))</ns0:f>
        <ns0:v>1</ns0:v>
      </ns0:c>
      <ns0:c r="CM35" t="n">
        <ns0:f>IF($A35="",1,IF(CL35=1,1,--AND(IF($AC35&gt;0,INDEX(CL$7:CL$106,$AC35),1),IF($AD35&gt;0,INDEX(CL$7:CL$106,$AD35),1),IF($AE35&gt;0,INDEX(CL$7:CL$106,$AE35),1),IF($AF35&gt;0,INDEX(CL$7:CL$106,$AF35),1),IF($AG35&gt;0,INDEX(CL$7:CL$106,$AG35),1),IF($AH35&gt;0,INDEX(CL$7:CL$106,$AH35),1),IF($AI35&gt;0,INDEX(CL$7:CL$106,$AI35),1),IF($AJ35&gt;0,INDEX(CL$7:CL$106,$AJ35),1))))</ns0:f>
        <ns0:v>1</ns0:v>
      </ns0:c>
      <ns0:c r="CN35" t="n">
        <ns0:f>IF($A35="",1,IF(CM35=1,1,--AND(IF($AC35&gt;0,INDEX(CM$7:CM$106,$AC35),1),IF($AD35&gt;0,INDEX(CM$7:CM$106,$AD35),1),IF($AE35&gt;0,INDEX(CM$7:CM$106,$AE35),1),IF($AF35&gt;0,INDEX(CM$7:CM$106,$AF35),1),IF($AG35&gt;0,INDEX(CM$7:CM$106,$AG35),1),IF($AH35&gt;0,INDEX(CM$7:CM$106,$AH35),1),IF($AI35&gt;0,INDEX(CM$7:CM$106,$AI35),1),IF($AJ35&gt;0,INDEX(CM$7:CM$106,$AJ35),1))))</ns0:f>
        <ns0:v>1</ns0:v>
      </ns0:c>
      <ns0:c r="CO35" t="n">
        <ns0:f>IF($A35="",1,IF(CN35=1,1,--AND(IF($AC35&gt;0,INDEX(CN$7:CN$106,$AC35),1),IF($AD35&gt;0,INDEX(CN$7:CN$106,$AD35),1),IF($AE35&gt;0,INDEX(CN$7:CN$106,$AE35),1),IF($AF35&gt;0,INDEX(CN$7:CN$106,$AF35),1),IF($AG35&gt;0,INDEX(CN$7:CN$106,$AG35),1),IF($AH35&gt;0,INDEX(CN$7:CN$106,$AH35),1),IF($AI35&gt;0,INDEX(CN$7:CN$106,$AI35),1),IF($AJ35&gt;0,INDEX(CN$7:CN$106,$AJ35),1))))</ns0:f>
        <ns0:v>1</ns0:v>
      </ns0:c>
      <ns0:c r="CP35" t="n">
        <ns0:f>IF($A35="",1,IF(CO35=1,1,--AND(IF($AC35&gt;0,INDEX(CO$7:CO$106,$AC35),1),IF($AD35&gt;0,INDEX(CO$7:CO$106,$AD35),1),IF($AE35&gt;0,INDEX(CO$7:CO$106,$AE35),1),IF($AF35&gt;0,INDEX(CO$7:CO$106,$AF35),1),IF($AG35&gt;0,INDEX(CO$7:CO$106,$AG35),1),IF($AH35&gt;0,INDEX(CO$7:CO$106,$AH35),1),IF($AI35&gt;0,INDEX(CO$7:CO$106,$AI35),1),IF($AJ35&gt;0,INDEX(CO$7:CO$106,$AJ35),1))))</ns0:f>
        <ns0:v>1</ns0:v>
      </ns0:c>
      <ns0:c r="CQ35" t="n">
        <ns0:f>IF($A35="",1,IF(CP35=1,1,--AND(IF($AC35&gt;0,INDEX(CP$7:CP$106,$AC35),1),IF($AD35&gt;0,INDEX(CP$7:CP$106,$AD35),1),IF($AE35&gt;0,INDEX(CP$7:CP$106,$AE35),1),IF($AF35&gt;0,INDEX(CP$7:CP$106,$AF35),1),IF($AG35&gt;0,INDEX(CP$7:CP$106,$AG35),1),IF($AH35&gt;0,INDEX(CP$7:CP$106,$AH35),1),IF($AI35&gt;0,INDEX(CP$7:CP$106,$AI35),1),IF($AJ35&gt;0,INDEX(CP$7:CP$106,$AJ35),1))))</ns0:f>
        <ns0:v>1</ns0:v>
      </ns0:c>
      <ns0:c r="CR35" t="n">
        <ns0:f>IF($A35="",1,IF(CQ35=1,1,--AND(IF($AC35&gt;0,INDEX(CQ$7:CQ$106,$AC35),1),IF($AD35&gt;0,INDEX(CQ$7:CQ$106,$AD35),1),IF($AE35&gt;0,INDEX(CQ$7:CQ$106,$AE35),1),IF($AF35&gt;0,INDEX(CQ$7:CQ$106,$AF35),1),IF($AG35&gt;0,INDEX(CQ$7:CQ$106,$AG35),1),IF($AH35&gt;0,INDEX(CQ$7:CQ$106,$AH35),1),IF($AI35&gt;0,INDEX(CQ$7:CQ$106,$AI35),1),IF($AJ35&gt;0,INDEX(CQ$7:CQ$106,$AJ35),1))))</ns0:f>
        <ns0:v>1</ns0:v>
      </ns0:c>
      <ns0:c r="CS35" t="n">
        <ns0:f>IF($A35="",1,IF(CR35=1,1,--AND(IF($AC35&gt;0,INDEX(CR$7:CR$106,$AC35),1),IF($AD35&gt;0,INDEX(CR$7:CR$106,$AD35),1),IF($AE35&gt;0,INDEX(CR$7:CR$106,$AE35),1),IF($AF35&gt;0,INDEX(CR$7:CR$106,$AF35),1),IF($AG35&gt;0,INDEX(CR$7:CR$106,$AG35),1),IF($AH35&gt;0,INDEX(CR$7:CR$106,$AH35),1),IF($AI35&gt;0,INDEX(CR$7:CR$106,$AI35),1),IF($AJ35&gt;0,INDEX(CR$7:CR$106,$AJ35),1))))</ns0:f>
        <ns0:v>1</ns0:v>
      </ns0:c>
      <ns0:c r="CT35" t="n">
        <ns0:f>IF($A35="",1,IF(CS35=1,1,--AND(IF($AC35&gt;0,INDEX(CS$7:CS$106,$AC35),1),IF($AD35&gt;0,INDEX(CS$7:CS$106,$AD35),1),IF($AE35&gt;0,INDEX(CS$7:CS$106,$AE35),1),IF($AF35&gt;0,INDEX(CS$7:CS$106,$AF35),1),IF($AG35&gt;0,INDEX(CS$7:CS$106,$AG35),1),IF($AH35&gt;0,INDEX(CS$7:CS$106,$AH35),1),IF($AI35&gt;0,INDEX(CS$7:CS$106,$AI35),1),IF($AJ35&gt;0,INDEX(CS$7:CS$106,$AJ35),1))))</ns0:f>
        <ns0:v>1</ns0:v>
      </ns0:c>
      <ns0:c r="CU35" t="n">
        <ns0:f>IF($A35="",1,IF(CT35=1,1,--AND(IF($AC35&gt;0,INDEX(CT$7:CT$106,$AC35),1),IF($AD35&gt;0,INDEX(CT$7:CT$106,$AD35),1),IF($AE35&gt;0,INDEX(CT$7:CT$106,$AE35),1),IF($AF35&gt;0,INDEX(CT$7:CT$106,$AF35),1),IF($AG35&gt;0,INDEX(CT$7:CT$106,$AG35),1),IF($AH35&gt;0,INDEX(CT$7:CT$106,$AH35),1),IF($AI35&gt;0,INDEX(CT$7:CT$106,$AI35),1),IF($AJ35&gt;0,INDEX(CT$7:CT$106,$AJ35),1))))</ns0:f>
        <ns0:v>1</ns0:v>
      </ns0:c>
      <ns0:c r="CV35" t="n">
        <ns0:f>IF($A35="",1,IF(CU35=1,1,--AND(IF($AC35&gt;0,INDEX(CU$7:CU$106,$AC35),1),IF($AD35&gt;0,INDEX(CU$7:CU$106,$AD35),1),IF($AE35&gt;0,INDEX(CU$7:CU$106,$AE35),1),IF($AF35&gt;0,INDEX(CU$7:CU$106,$AF35),1),IF($AG35&gt;0,INDEX(CU$7:CU$106,$AG35),1),IF($AH35&gt;0,INDEX(CU$7:CU$106,$AH35),1),IF($AI35&gt;0,INDEX(CU$7:CU$106,$AI35),1),IF($AJ35&gt;0,INDEX(CU$7:CU$106,$AJ35),1))))</ns0:f>
        <ns0:v>1</ns0:v>
      </ns0:c>
      <ns0:c r="CW35" t="n">
        <ns0:f>IF($A35="",1,IF(CV35=1,1,--AND(IF($AC35&gt;0,INDEX(CV$7:CV$106,$AC35),1),IF($AD35&gt;0,INDEX(CV$7:CV$106,$AD35),1),IF($AE35&gt;0,INDEX(CV$7:CV$106,$AE35),1),IF($AF35&gt;0,INDEX(CV$7:CV$106,$AF35),1),IF($AG35&gt;0,INDEX(CV$7:CV$106,$AG35),1),IF($AH35&gt;0,INDEX(CV$7:CV$106,$AH35),1),IF($AI35&gt;0,INDEX(CV$7:CV$106,$AI35),1),IF($AJ35&gt;0,INDEX(CV$7:CV$106,$AJ35),1))))</ns0:f>
        <ns0:v>1</ns0:v>
      </ns0:c>
      <ns0:c r="CX35" t="n">
        <ns0:f>IF($A35="",1,IF(CW35=1,1,--AND(IF($AC35&gt;0,INDEX(CW$7:CW$106,$AC35),1),IF($AD35&gt;0,INDEX(CW$7:CW$106,$AD35),1),IF($AE35&gt;0,INDEX(CW$7:CW$106,$AE35),1),IF($AF35&gt;0,INDEX(CW$7:CW$106,$AF35),1),IF($AG35&gt;0,INDEX(CW$7:CW$106,$AG35),1),IF($AH35&gt;0,INDEX(CW$7:CW$106,$AH35),1),IF($AI35&gt;0,INDEX(CW$7:CW$106,$AI35),1),IF($AJ35&gt;0,INDEX(CW$7:CW$106,$AJ35),1))))</ns0:f>
        <ns0:v>1</ns0:v>
      </ns0:c>
      <ns0:c r="CY35" t="n">
        <ns0:f>IF($A35="",1,IF(CX35=1,1,--AND(IF($AC35&gt;0,INDEX(CX$7:CX$106,$AC35),1),IF($AD35&gt;0,INDEX(CX$7:CX$106,$AD35),1),IF($AE35&gt;0,INDEX(CX$7:CX$106,$AE35),1),IF($AF35&gt;0,INDEX(CX$7:CX$106,$AF35),1),IF($AG35&gt;0,INDEX(CX$7:CX$106,$AG35),1),IF($AH35&gt;0,INDEX(CX$7:CX$106,$AH35),1),IF($AI35&gt;0,INDEX(CX$7:CX$106,$AI35),1),IF($AJ35&gt;0,INDEX(CX$7:CX$106,$AJ35),1))))</ns0:f>
        <ns0:v>1</ns0:v>
      </ns0:c>
      <ns0:c r="CZ35" t="n">
        <ns0:f>IF($A35="",1,IF(CY35=1,1,--AND(IF($AC35&gt;0,INDEX(CY$7:CY$106,$AC35),1),IF($AD35&gt;0,INDEX(CY$7:CY$106,$AD35),1),IF($AE35&gt;0,INDEX(CY$7:CY$106,$AE35),1),IF($AF35&gt;0,INDEX(CY$7:CY$106,$AF35),1),IF($AG35&gt;0,INDEX(CY$7:CY$106,$AG35),1),IF($AH35&gt;0,INDEX(CY$7:CY$106,$AH35),1),IF($AI35&gt;0,INDEX(CY$7:CY$106,$AI35),1),IF($AJ35&gt;0,INDEX(CY$7:CY$106,$AJ35),1))))</ns0:f>
        <ns0:v>1</ns0:v>
      </ns0:c>
      <ns0:c r="DA35" t="n">
        <ns0:f>IF($A35="",1,IF(CZ35=1,1,--AND(IF($AC35&gt;0,INDEX(CZ$7:CZ$106,$AC35),1),IF($AD35&gt;0,INDEX(CZ$7:CZ$106,$AD35),1),IF($AE35&gt;0,INDEX(CZ$7:CZ$106,$AE35),1),IF($AF35&gt;0,INDEX(CZ$7:CZ$106,$AF35),1),IF($AG35&gt;0,INDEX(CZ$7:CZ$106,$AG35),1),IF($AH35&gt;0,INDEX(CZ$7:CZ$106,$AH35),1),IF($AI35&gt;0,INDEX(CZ$7:CZ$106,$AI35),1),IF($AJ35&gt;0,INDEX(CZ$7:CZ$106,$AJ35),1))))</ns0:f>
        <ns0:v>1</ns0:v>
      </ns0:c>
      <ns0:c r="DB35" t="n">
        <ns0:f>IF($A35="",1,IF(DA35=1,1,--AND(IF($AC35&gt;0,INDEX(DA$7:DA$106,$AC35),1),IF($AD35&gt;0,INDEX(DA$7:DA$106,$AD35),1),IF($AE35&gt;0,INDEX(DA$7:DA$106,$AE35),1),IF($AF35&gt;0,INDEX(DA$7:DA$106,$AF35),1),IF($AG35&gt;0,INDEX(DA$7:DA$106,$AG35),1),IF($AH35&gt;0,INDEX(DA$7:DA$106,$AH35),1),IF($AI35&gt;0,INDEX(DA$7:DA$106,$AI35),1),IF($AJ35&gt;0,INDEX(DA$7:DA$106,$AJ35),1))))</ns0:f>
        <ns0:v>1</ns0:v>
      </ns0:c>
      <ns0:c r="DC35" t="n">
        <ns0:f>IF($A35="",1,IF(DB35=1,1,--AND(IF($AC35&gt;0,INDEX(DB$7:DB$106,$AC35),1),IF($AD35&gt;0,INDEX(DB$7:DB$106,$AD35),1),IF($AE35&gt;0,INDEX(DB$7:DB$106,$AE35),1),IF($AF35&gt;0,INDEX(DB$7:DB$106,$AF35),1),IF($AG35&gt;0,INDEX(DB$7:DB$106,$AG35),1),IF($AH35&gt;0,INDEX(DB$7:DB$106,$AH35),1),IF($AI35&gt;0,INDEX(DB$7:DB$106,$AI35),1),IF($AJ35&gt;0,INDEX(DB$7:DB$106,$AJ35),1))))</ns0:f>
        <ns0:v>1</ns0:v>
      </ns0:c>
      <ns0:c r="DD35" t="n">
        <ns0:f>IF($A35="",1,IF(DC35=1,1,--AND(IF($AC35&gt;0,INDEX(DC$7:DC$106,$AC35),1),IF($AD35&gt;0,INDEX(DC$7:DC$106,$AD35),1),IF($AE35&gt;0,INDEX(DC$7:DC$106,$AE35),1),IF($AF35&gt;0,INDEX(DC$7:DC$106,$AF35),1),IF($AG35&gt;0,INDEX(DC$7:DC$106,$AG35),1),IF($AH35&gt;0,INDEX(DC$7:DC$106,$AH35),1),IF($AI35&gt;0,INDEX(DC$7:DC$106,$AI35),1),IF($AJ35&gt;0,INDEX(DC$7:DC$106,$AJ35),1))))</ns0:f>
        <ns0:v>1</ns0:v>
      </ns0:c>
      <ns0:c r="DE35" t="n">
        <ns0:f>IF($A35="",1,IF(DD35=1,1,--AND(IF($AC35&gt;0,INDEX(DD$7:DD$106,$AC35),1),IF($AD35&gt;0,INDEX(DD$7:DD$106,$AD35),1),IF($AE35&gt;0,INDEX(DD$7:DD$106,$AE35),1),IF($AF35&gt;0,INDEX(DD$7:DD$106,$AF35),1),IF($AG35&gt;0,INDEX(DD$7:DD$106,$AG35),1),IF($AH35&gt;0,INDEX(DD$7:DD$106,$AH35),1),IF($AI35&gt;0,INDEX(DD$7:DD$106,$AI35),1),IF($AJ35&gt;0,INDEX(DD$7:DD$106,$AJ35),1))))</ns0:f>
        <ns0:v>1</ns0:v>
      </ns0:c>
      <ns0:c r="DF35" t="n">
        <ns0:f>IF($A35="",1,IF(DE35=1,1,--AND(IF($AC35&gt;0,INDEX(DE$7:DE$106,$AC35),1),IF($AD35&gt;0,INDEX(DE$7:DE$106,$AD35),1),IF($AE35&gt;0,INDEX(DE$7:DE$106,$AE35),1),IF($AF35&gt;0,INDEX(DE$7:DE$106,$AF35),1),IF($AG35&gt;0,INDEX(DE$7:DE$106,$AG35),1),IF($AH35&gt;0,INDEX(DE$7:DE$106,$AH35),1),IF($AI35&gt;0,INDEX(DE$7:DE$106,$AI35),1),IF($AJ35&gt;0,INDEX(DE$7:DE$106,$AJ35),1))))</ns0:f>
        <ns0:v>1</ns0:v>
      </ns0:c>
      <ns0:c r="DG35" t="n">
        <ns0:f>IF($A35="",1,IF(DF35=1,1,--AND(IF($AC35&gt;0,INDEX(DF$7:DF$106,$AC35),1),IF($AD35&gt;0,INDEX(DF$7:DF$106,$AD35),1),IF($AE35&gt;0,INDEX(DF$7:DF$106,$AE35),1),IF($AF35&gt;0,INDEX(DF$7:DF$106,$AF35),1),IF($AG35&gt;0,INDEX(DF$7:DF$106,$AG35),1),IF($AH35&gt;0,INDEX(DF$7:DF$106,$AH35),1),IF($AI35&gt;0,INDEX(DF$7:DF$106,$AI35),1),IF($AJ35&gt;0,INDEX(DF$7:DF$106,$AJ35),1))))</ns0:f>
        <ns0:v>1</ns0:v>
      </ns0:c>
      <ns0:c r="DH35" t="n">
        <ns0:f>IF($A35="",1,IF(DG35=1,1,--AND(IF($AC35&gt;0,INDEX(DG$7:DG$106,$AC35),1),IF($AD35&gt;0,INDEX(DG$7:DG$106,$AD35),1),IF($AE35&gt;0,INDEX(DG$7:DG$106,$AE35),1),IF($AF35&gt;0,INDEX(DG$7:DG$106,$AF35),1),IF($AG35&gt;0,INDEX(DG$7:DG$106,$AG35),1),IF($AH35&gt;0,INDEX(DG$7:DG$106,$AH35),1),IF($AI35&gt;0,INDEX(DG$7:DG$106,$AI35),1),IF($AJ35&gt;0,INDEX(DG$7:DG$106,$AJ35),1))))</ns0:f>
        <ns0:v>1</ns0:v>
      </ns0:c>
      <ns0:c r="DI35" t="n">
        <ns0:f>IF($A35="",1,IF(DH35=1,1,--AND(IF($AC35&gt;0,INDEX(DH$7:DH$106,$AC35),1),IF($AD35&gt;0,INDEX(DH$7:DH$106,$AD35),1),IF($AE35&gt;0,INDEX(DH$7:DH$106,$AE35),1),IF($AF35&gt;0,INDEX(DH$7:DH$106,$AF35),1),IF($AG35&gt;0,INDEX(DH$7:DH$106,$AG35),1),IF($AH35&gt;0,INDEX(DH$7:DH$106,$AH35),1),IF($AI35&gt;0,INDEX(DH$7:DH$106,$AI35),1),IF($AJ35&gt;0,INDEX(DH$7:DH$106,$AJ35),1))))</ns0:f>
        <ns0:v>1</ns0:v>
      </ns0:c>
      <ns0:c r="DJ35" t="n">
        <ns0:f>IF($A35="",1,IF(DI35=1,1,--AND(IF($AC35&gt;0,INDEX(DI$7:DI$106,$AC35),1),IF($AD35&gt;0,INDEX(DI$7:DI$106,$AD35),1),IF($AE35&gt;0,INDEX(DI$7:DI$106,$AE35),1),IF($AF35&gt;0,INDEX(DI$7:DI$106,$AF35),1),IF($AG35&gt;0,INDEX(DI$7:DI$106,$AG35),1),IF($AH35&gt;0,INDEX(DI$7:DI$106,$AH35),1),IF($AI35&gt;0,INDEX(DI$7:DI$106,$AI35),1),IF($AJ35&gt;0,INDEX(DI$7:DI$106,$AJ35),1))))</ns0:f>
        <ns0:v>1</ns0:v>
      </ns0:c>
      <ns0:c r="DK35" t="n">
        <ns0:f>IF($A35="",1,IF(DJ35=1,1,--AND(IF($AC35&gt;0,INDEX(DJ$7:DJ$106,$AC35),1),IF($AD35&gt;0,INDEX(DJ$7:DJ$106,$AD35),1),IF($AE35&gt;0,INDEX(DJ$7:DJ$106,$AE35),1),IF($AF35&gt;0,INDEX(DJ$7:DJ$106,$AF35),1),IF($AG35&gt;0,INDEX(DJ$7:DJ$106,$AG35),1),IF($AH35&gt;0,INDEX(DJ$7:DJ$106,$AH35),1),IF($AI35&gt;0,INDEX(DJ$7:DJ$106,$AI35),1),IF($AJ35&gt;0,INDEX(DJ$7:DJ$106,$AJ35),1))))</ns0:f>
        <ns0:v>1</ns0:v>
      </ns0:c>
      <ns0:c r="DL35" t="n">
        <ns0:f>IF($A35="",1,IF(DK35=1,1,--AND(IF($AC35&gt;0,INDEX(DK$7:DK$106,$AC35),1),IF($AD35&gt;0,INDEX(DK$7:DK$106,$AD35),1),IF($AE35&gt;0,INDEX(DK$7:DK$106,$AE35),1),IF($AF35&gt;0,INDEX(DK$7:DK$106,$AF35),1),IF($AG35&gt;0,INDEX(DK$7:DK$106,$AG35),1),IF($AH35&gt;0,INDEX(DK$7:DK$106,$AH35),1),IF($AI35&gt;0,INDEX(DK$7:DK$106,$AI35),1),IF($AJ35&gt;0,INDEX(DK$7:DK$106,$AJ35),1))))</ns0:f>
        <ns0:v>1</ns0:v>
      </ns0:c>
      <ns0:c r="DM35" t="n">
        <ns0:f>IF($A35="",1,IF(DL35=1,1,--AND(IF($AC35&gt;0,INDEX(DL$7:DL$106,$AC35),1),IF($AD35&gt;0,INDEX(DL$7:DL$106,$AD35),1),IF($AE35&gt;0,INDEX(DL$7:DL$106,$AE35),1),IF($AF35&gt;0,INDEX(DL$7:DL$106,$AF35),1),IF($AG35&gt;0,INDEX(DL$7:DL$106,$AG35),1),IF($AH35&gt;0,INDEX(DL$7:DL$106,$AH35),1),IF($AI35&gt;0,INDEX(DL$7:DL$106,$AI35),1),IF($AJ35&gt;0,INDEX(DL$7:DL$106,$AJ35),1))))</ns0:f>
        <ns0:v>1</ns0:v>
      </ns0:c>
      <ns0:c r="DN35" t="n">
        <ns0:f>IF($A35="",1,IF(DM35=1,1,--AND(IF($AC35&gt;0,INDEX(DM$7:DM$106,$AC35),1),IF($AD35&gt;0,INDEX(DM$7:DM$106,$AD35),1),IF($AE35&gt;0,INDEX(DM$7:DM$106,$AE35),1),IF($AF35&gt;0,INDEX(DM$7:DM$106,$AF35),1),IF($AG35&gt;0,INDEX(DM$7:DM$106,$AG35),1),IF($AH35&gt;0,INDEX(DM$7:DM$106,$AH35),1),IF($AI35&gt;0,INDEX(DM$7:DM$106,$AI35),1),IF($AJ35&gt;0,INDEX(DM$7:DM$106,$AJ35),1))))</ns0:f>
        <ns0:v>1</ns0:v>
      </ns0:c>
      <ns0:c r="DO35" t="n">
        <ns0:f>IF($A35="",1,IF(DN35=1,1,--AND(IF($AC35&gt;0,INDEX(DN$7:DN$106,$AC35),1),IF($AD35&gt;0,INDEX(DN$7:DN$106,$AD35),1),IF($AE35&gt;0,INDEX(DN$7:DN$106,$AE35),1),IF($AF35&gt;0,INDEX(DN$7:DN$106,$AF35),1),IF($AG35&gt;0,INDEX(DN$7:DN$106,$AG35),1),IF($AH35&gt;0,INDEX(DN$7:DN$106,$AH35),1),IF($AI35&gt;0,INDEX(DN$7:DN$106,$AI35),1),IF($AJ35&gt;0,INDEX(DN$7:DN$106,$AJ35),1))))</ns0:f>
        <ns0:v>1</ns0:v>
      </ns0:c>
      <ns0:c r="DP35" t="n">
        <ns0:f>IF($A35="",1,IF(DO35=1,1,--AND(IF($AC35&gt;0,INDEX(DO$7:DO$106,$AC35),1),IF($AD35&gt;0,INDEX(DO$7:DO$106,$AD35),1),IF($AE35&gt;0,INDEX(DO$7:DO$106,$AE35),1),IF($AF35&gt;0,INDEX(DO$7:DO$106,$AF35),1),IF($AG35&gt;0,INDEX(DO$7:DO$106,$AG35),1),IF($AH35&gt;0,INDEX(DO$7:DO$106,$AH35),1),IF($AI35&gt;0,INDEX(DO$7:DO$106,$AI35),1),IF($AJ35&gt;0,INDEX(DO$7:DO$106,$AJ35),1))))</ns0:f>
        <ns0:v>1</ns0:v>
      </ns0:c>
      <ns0:c r="DQ35" t="n">
        <ns0:f>IF($A35="",1,IF(DP35=1,1,--AND(IF($AC35&gt;0,INDEX(DP$7:DP$106,$AC35),1),IF($AD35&gt;0,INDEX(DP$7:DP$106,$AD35),1),IF($AE35&gt;0,INDEX(DP$7:DP$106,$AE35),1),IF($AF35&gt;0,INDEX(DP$7:DP$106,$AF35),1),IF($AG35&gt;0,INDEX(DP$7:DP$106,$AG35),1),IF($AH35&gt;0,INDEX(DP$7:DP$106,$AH35),1),IF($AI35&gt;0,INDEX(DP$7:DP$106,$AI35),1),IF($AJ35&gt;0,INDEX(DP$7:DP$106,$AJ35),1))))</ns0:f>
        <ns0:v>1</ns0:v>
      </ns0:c>
      <ns0:c r="DR35" t="n">
        <ns0:f>IF($A35="",1,IF(DQ35=1,1,--AND(IF($AC35&gt;0,INDEX(DQ$7:DQ$106,$AC35),1),IF($AD35&gt;0,INDEX(DQ$7:DQ$106,$AD35),1),IF($AE35&gt;0,INDEX(DQ$7:DQ$106,$AE35),1),IF($AF35&gt;0,INDEX(DQ$7:DQ$106,$AF35),1),IF($AG35&gt;0,INDEX(DQ$7:DQ$106,$AG35),1),IF($AH35&gt;0,INDEX(DQ$7:DQ$106,$AH35),1),IF($AI35&gt;0,INDEX(DQ$7:DQ$106,$AI35),1),IF($AJ35&gt;0,INDEX(DQ$7:DQ$106,$AJ35),1))))</ns0:f>
        <ns0:v>1</ns0:v>
      </ns0:c>
      <ns0:c r="DS35" t="n">
        <ns0:f>IF($A35="",1,IF(DR35=1,1,--AND(IF($AC35&gt;0,INDEX(DR$7:DR$106,$AC35),1),IF($AD35&gt;0,INDEX(DR$7:DR$106,$AD35),1),IF($AE35&gt;0,INDEX(DR$7:DR$106,$AE35),1),IF($AF35&gt;0,INDEX(DR$7:DR$106,$AF35),1),IF($AG35&gt;0,INDEX(DR$7:DR$106,$AG35),1),IF($AH35&gt;0,INDEX(DR$7:DR$106,$AH35),1),IF($AI35&gt;0,INDEX(DR$7:DR$106,$AI35),1),IF($AJ35&gt;0,INDEX(DR$7:DR$106,$AJ35),1))))</ns0:f>
        <ns0:v>1</ns0:v>
      </ns0:c>
      <ns0:c r="DT35" t="n">
        <ns0:f>IF($A35="",1,IF(DS35=1,1,--AND(IF($AC35&gt;0,INDEX(DS$7:DS$106,$AC35),1),IF($AD35&gt;0,INDEX(DS$7:DS$106,$AD35),1),IF($AE35&gt;0,INDEX(DS$7:DS$106,$AE35),1),IF($AF35&gt;0,INDEX(DS$7:DS$106,$AF35),1),IF($AG35&gt;0,INDEX(DS$7:DS$106,$AG35),1),IF($AH35&gt;0,INDEX(DS$7:DS$106,$AH35),1),IF($AI35&gt;0,INDEX(DS$7:DS$106,$AI35),1),IF($AJ35&gt;0,INDEX(DS$7:DS$106,$AJ35),1))))</ns0:f>
        <ns0:v>1</ns0:v>
      </ns0:c>
      <ns0:c r="DU35" t="n">
        <ns0:f>IF($A35="",1,IF(DT35=1,1,--AND(IF($AC35&gt;0,INDEX(DT$7:DT$106,$AC35),1),IF($AD35&gt;0,INDEX(DT$7:DT$106,$AD35),1),IF($AE35&gt;0,INDEX(DT$7:DT$106,$AE35),1),IF($AF35&gt;0,INDEX(DT$7:DT$106,$AF35),1),IF($AG35&gt;0,INDEX(DT$7:DT$106,$AG35),1),IF($AH35&gt;0,INDEX(DT$7:DT$106,$AH35),1),IF($AI35&gt;0,INDEX(DT$7:DT$106,$AI35),1),IF($AJ35&gt;0,INDEX(DT$7:DT$106,$AJ35),1))))</ns0:f>
        <ns0:v>1</ns0:v>
      </ns0:c>
      <ns0:c r="DV35" t="n">
        <ns0:f>IF($A35="",1,IF(DU35=1,1,--AND(IF($AC35&gt;0,INDEX(DU$7:DU$106,$AC35),1),IF($AD35&gt;0,INDEX(DU$7:DU$106,$AD35),1),IF($AE35&gt;0,INDEX(DU$7:DU$106,$AE35),1),IF($AF35&gt;0,INDEX(DU$7:DU$106,$AF35),1),IF($AG35&gt;0,INDEX(DU$7:DU$106,$AG35),1),IF($AH35&gt;0,INDEX(DU$7:DU$106,$AH35),1),IF($AI35&gt;0,INDEX(DU$7:DU$106,$AI35),1),IF($AJ35&gt;0,INDEX(DU$7:DU$106,$AJ35),1))))</ns0:f>
        <ns0:v>1</ns0:v>
      </ns0:c>
      <ns0:c r="DW35" t="n">
        <ns0:f>IF($A35="",1,IF(DV35=1,1,--AND(IF($AC35&gt;0,INDEX(DV$7:DV$106,$AC35),1),IF($AD35&gt;0,INDEX(DV$7:DV$106,$AD35),1),IF($AE35&gt;0,INDEX(DV$7:DV$106,$AE35),1),IF($AF35&gt;0,INDEX(DV$7:DV$106,$AF35),1),IF($AG35&gt;0,INDEX(DV$7:DV$106,$AG35),1),IF($AH35&gt;0,INDEX(DV$7:DV$106,$AH35),1),IF($AI35&gt;0,INDEX(DV$7:DV$106,$AI35),1),IF($AJ35&gt;0,INDEX(DV$7:DV$106,$AJ35),1))))</ns0:f>
        <ns0:v>1</ns0:v>
      </ns0:c>
      <ns0:c r="DX35" t="n">
        <ns0:f>IF($A35="",1,IF(DW35=1,1,--AND(IF($AC35&gt;0,INDEX(DW$7:DW$106,$AC35),1),IF($AD35&gt;0,INDEX(DW$7:DW$106,$AD35),1),IF($AE35&gt;0,INDEX(DW$7:DW$106,$AE35),1),IF($AF35&gt;0,INDEX(DW$7:DW$106,$AF35),1),IF($AG35&gt;0,INDEX(DW$7:DW$106,$AG35),1),IF($AH35&gt;0,INDEX(DW$7:DW$106,$AH35),1),IF($AI35&gt;0,INDEX(DW$7:DW$106,$AI35),1),IF($AJ35&gt;0,INDEX(DW$7:DW$106,$AJ35),1))))</ns0:f>
        <ns0:v>1</ns0:v>
      </ns0:c>
      <ns0:c r="DY35" t="n">
        <ns0:f>IF($A35="",1,IF(DX35=1,1,--AND(IF($AC35&gt;0,INDEX(DX$7:DX$106,$AC35),1),IF($AD35&gt;0,INDEX(DX$7:DX$106,$AD35),1),IF($AE35&gt;0,INDEX(DX$7:DX$106,$AE35),1),IF($AF35&gt;0,INDEX(DX$7:DX$106,$AF35),1),IF($AG35&gt;0,INDEX(DX$7:DX$106,$AG35),1),IF($AH35&gt;0,INDEX(DX$7:DX$106,$AH35),1),IF($AI35&gt;0,INDEX(DX$7:DX$106,$AI35),1),IF($AJ35&gt;0,INDEX(DX$7:DX$106,$AJ35),1))))</ns0:f>
        <ns0:v>1</ns0:v>
      </ns0:c>
      <ns0:c r="DZ35" t="n">
        <ns0:f>IF($A35="",1,IF(DY35=1,1,--AND(IF($AC35&gt;0,INDEX(DY$7:DY$106,$AC35),1),IF($AD35&gt;0,INDEX(DY$7:DY$106,$AD35),1),IF($AE35&gt;0,INDEX(DY$7:DY$106,$AE35),1),IF($AF35&gt;0,INDEX(DY$7:DY$106,$AF35),1),IF($AG35&gt;0,INDEX(DY$7:DY$106,$AG35),1),IF($AH35&gt;0,INDEX(DY$7:DY$106,$AH35),1),IF($AI35&gt;0,INDEX(DY$7:DY$106,$AI35),1),IF($AJ35&gt;0,INDEX(DY$7:DY$106,$AJ35),1))))</ns0:f>
        <ns0:v>1</ns0:v>
      </ns0:c>
      <ns0:c r="EA35" t="n">
        <ns0:f>IF($A35="",1,IF(DZ35=1,1,--AND(IF($AC35&gt;0,INDEX(DZ$7:DZ$106,$AC35),1),IF($AD35&gt;0,INDEX(DZ$7:DZ$106,$AD35),1),IF($AE35&gt;0,INDEX(DZ$7:DZ$106,$AE35),1),IF($AF35&gt;0,INDEX(DZ$7:DZ$106,$AF35),1),IF($AG35&gt;0,INDEX(DZ$7:DZ$106,$AG35),1),IF($AH35&gt;0,INDEX(DZ$7:DZ$106,$AH35),1),IF($AI35&gt;0,INDEX(DZ$7:DZ$106,$AI35),1),IF($AJ35&gt;0,INDEX(DZ$7:DZ$106,$AJ35),1))))</ns0:f>
        <ns0:v>1</ns0:v>
      </ns0:c>
      <ns0:c r="EB35" t="n">
        <ns0:f>IF($A35="",1,IF(EA35=1,1,--AND(IF($AC35&gt;0,INDEX(EA$7:EA$106,$AC35),1),IF($AD35&gt;0,INDEX(EA$7:EA$106,$AD35),1),IF($AE35&gt;0,INDEX(EA$7:EA$106,$AE35),1),IF($AF35&gt;0,INDEX(EA$7:EA$106,$AF35),1),IF($AG35&gt;0,INDEX(EA$7:EA$106,$AG35),1),IF($AH35&gt;0,INDEX(EA$7:EA$106,$AH35),1),IF($AI35&gt;0,INDEX(EA$7:EA$106,$AI35),1),IF($AJ35&gt;0,INDEX(EA$7:EA$106,$AJ35),1))))</ns0:f>
        <ns0:v>1</ns0:v>
      </ns0:c>
      <ns0:c r="EC35" t="n">
        <ns0:f>IF($A35="",1,IF(EB35=1,1,--AND(IF($AC35&gt;0,INDEX(EB$7:EB$106,$AC35),1),IF($AD35&gt;0,INDEX(EB$7:EB$106,$AD35),1),IF($AE35&gt;0,INDEX(EB$7:EB$106,$AE35),1),IF($AF35&gt;0,INDEX(EB$7:EB$106,$AF35),1),IF($AG35&gt;0,INDEX(EB$7:EB$106,$AG35),1),IF($AH35&gt;0,INDEX(EB$7:EB$106,$AH35),1),IF($AI35&gt;0,INDEX(EB$7:EB$106,$AI35),1),IF($AJ35&gt;0,INDEX(EB$7:EB$106,$AJ35),1))))</ns0:f>
        <ns0:v>1</ns0:v>
      </ns0:c>
      <ns0:c r="ED35" t="n">
        <ns0:f>IF($A35="",1,IF(EC35=1,1,--AND(IF($AC35&gt;0,INDEX(EC$7:EC$106,$AC35),1),IF($AD35&gt;0,INDEX(EC$7:EC$106,$AD35),1),IF($AE35&gt;0,INDEX(EC$7:EC$106,$AE35),1),IF($AF35&gt;0,INDEX(EC$7:EC$106,$AF35),1),IF($AG35&gt;0,INDEX(EC$7:EC$106,$AG35),1),IF($AH35&gt;0,INDEX(EC$7:EC$106,$AH35),1),IF($AI35&gt;0,INDEX(EC$7:EC$106,$AI35),1),IF($AJ35&gt;0,INDEX(EC$7:EC$106,$AJ35),1))))</ns0:f>
        <ns0:v>1</ns0:v>
      </ns0:c>
      <ns0:c r="EE35" t="n">
        <ns0:f>IF($A35="",1,IF(ED35=1,1,--AND(IF($AC35&gt;0,INDEX(ED$7:ED$106,$AC35),1),IF($AD35&gt;0,INDEX(ED$7:ED$106,$AD35),1),IF($AE35&gt;0,INDEX(ED$7:ED$106,$AE35),1),IF($AF35&gt;0,INDEX(ED$7:ED$106,$AF35),1),IF($AG35&gt;0,INDEX(ED$7:ED$106,$AG35),1),IF($AH35&gt;0,INDEX(ED$7:ED$106,$AH35),1),IF($AI35&gt;0,INDEX(ED$7:ED$106,$AI35),1),IF($AJ35&gt;0,INDEX(ED$7:ED$106,$AJ35),1))))</ns0:f>
        <ns0:v>1</ns0:v>
      </ns0:c>
      <ns0:c r="EF35" t="n">
        <ns0:f>IF($A35="",1,IF(EE35=1,1,--AND(IF($AC35&gt;0,INDEX(EE$7:EE$106,$AC35),1),IF($AD35&gt;0,INDEX(EE$7:EE$106,$AD35),1),IF($AE35&gt;0,INDEX(EE$7:EE$106,$AE35),1),IF($AF35&gt;0,INDEX(EE$7:EE$106,$AF35),1),IF($AG35&gt;0,INDEX(EE$7:EE$106,$AG35),1),IF($AH35&gt;0,INDEX(EE$7:EE$106,$AH35),1),IF($AI35&gt;0,INDEX(EE$7:EE$106,$AI35),1),IF($AJ35&gt;0,INDEX(EE$7:EE$106,$AJ35),1))))</ns0:f>
        <ns0:v>1</ns0:v>
      </ns0:c>
      <ns0:c r="EG35" t="n">
        <ns0:f>IF($A35="",1,IF(EF35=1,1,--AND(IF($AC35&gt;0,INDEX(EF$7:EF$106,$AC35),1),IF($AD35&gt;0,INDEX(EF$7:EF$106,$AD35),1),IF($AE35&gt;0,INDEX(EF$7:EF$106,$AE35),1),IF($AF35&gt;0,INDEX(EF$7:EF$106,$AF35),1),IF($AG35&gt;0,INDEX(EF$7:EF$106,$AG35),1),IF($AH35&gt;0,INDEX(EF$7:EF$106,$AH35),1),IF($AI35&gt;0,INDEX(EF$7:EF$106,$AI35),1),IF($AJ35&gt;0,INDEX(EF$7:EF$106,$AJ35),1))))</ns0:f>
        <ns0:v>1</ns0:v>
      </ns0:c>
      <ns0:c r="EH35" t="n">
        <ns0:f>IF($A35="",1,IF(EG35=1,1,--AND(IF($AC35&gt;0,INDEX(EG$7:EG$106,$AC35),1),IF($AD35&gt;0,INDEX(EG$7:EG$106,$AD35),1),IF($AE35&gt;0,INDEX(EG$7:EG$106,$AE35),1),IF($AF35&gt;0,INDEX(EG$7:EG$106,$AF35),1),IF($AG35&gt;0,INDEX(EG$7:EG$106,$AG35),1),IF($AH35&gt;0,INDEX(EG$7:EG$106,$AH35),1),IF($AI35&gt;0,INDEX(EG$7:EG$106,$AI35),1),IF($AJ35&gt;0,INDEX(EG$7:EG$106,$AJ35),1))))</ns0:f>
        <ns0:v>1</ns0:v>
      </ns0:c>
      <ns0:c r="EI35" t="n">
        <ns0:f>IF($A35="",1,IF(EH35=1,1,--AND(IF($AC35&gt;0,INDEX(EH$7:EH$106,$AC35),1),IF($AD35&gt;0,INDEX(EH$7:EH$106,$AD35),1),IF($AE35&gt;0,INDEX(EH$7:EH$106,$AE35),1),IF($AF35&gt;0,INDEX(EH$7:EH$106,$AF35),1),IF($AG35&gt;0,INDEX(EH$7:EH$106,$AG35),1),IF($AH35&gt;0,INDEX(EH$7:EH$106,$AH35),1),IF($AI35&gt;0,INDEX(EH$7:EH$106,$AI35),1),IF($AJ35&gt;0,INDEX(EH$7:EH$106,$AJ35),1))))</ns0:f>
        <ns0:v>1</ns0:v>
      </ns0:c>
      <ns0:c r="EJ35" t="n">
        <ns0:f>IF($A35="",1,IF(EI35=1,1,--AND(IF($AC35&gt;0,INDEX(EI$7:EI$106,$AC35),1),IF($AD35&gt;0,INDEX(EI$7:EI$106,$AD35),1),IF($AE35&gt;0,INDEX(EI$7:EI$106,$AE35),1),IF($AF35&gt;0,INDEX(EI$7:EI$106,$AF35),1),IF($AG35&gt;0,INDEX(EI$7:EI$106,$AG35),1),IF($AH35&gt;0,INDEX(EI$7:EI$106,$AH35),1),IF($AI35&gt;0,INDEX(EI$7:EI$106,$AI35),1),IF($AJ35&gt;0,INDEX(EI$7:EI$106,$AJ35),1))))</ns0:f>
        <ns0:v>1</ns0:v>
      </ns0:c>
      <ns0:c r="EK35" t="n">
        <ns0:f>IF($A35="",1,IF(EJ35=1,1,--AND(IF($AC35&gt;0,INDEX(EJ$7:EJ$106,$AC35),1),IF($AD35&gt;0,INDEX(EJ$7:EJ$106,$AD35),1),IF($AE35&gt;0,INDEX(EJ$7:EJ$106,$AE35),1),IF($AF35&gt;0,INDEX(EJ$7:EJ$106,$AF35),1),IF($AG35&gt;0,INDEX(EJ$7:EJ$106,$AG35),1),IF($AH35&gt;0,INDEX(EJ$7:EJ$106,$AH35),1),IF($AI35&gt;0,INDEX(EJ$7:EJ$106,$AI35),1),IF($AJ35&gt;0,INDEX(EJ$7:EJ$106,$AJ35),1))))</ns0:f>
        <ns0:v>1</ns0:v>
      </ns0:c>
      <ns0:c r="EL35" t="n">
        <ns0:f>IF($A35="",1,IF(EK35=1,1,--AND(IF($AC35&gt;0,INDEX(EK$7:EK$106,$AC35),1),IF($AD35&gt;0,INDEX(EK$7:EK$106,$AD35),1),IF($AE35&gt;0,INDEX(EK$7:EK$106,$AE35),1),IF($AF35&gt;0,INDEX(EK$7:EK$106,$AF35),1),IF($AG35&gt;0,INDEX(EK$7:EK$106,$AG35),1),IF($AH35&gt;0,INDEX(EK$7:EK$106,$AH35),1),IF($AI35&gt;0,INDEX(EK$7:EK$106,$AI35),1),IF($AJ35&gt;0,INDEX(EK$7:EK$106,$AJ35),1))))</ns0:f>
        <ns0:v>1</ns0:v>
      </ns0:c>
      <ns0:c r="EM35" t="n">
        <ns0:f>IF($A35="",1,IF(EL35=1,1,--AND(IF($AC35&gt;0,INDEX(EL$7:EL$106,$AC35),1),IF($AD35&gt;0,INDEX(EL$7:EL$106,$AD35),1),IF($AE35&gt;0,INDEX(EL$7:EL$106,$AE35),1),IF($AF35&gt;0,INDEX(EL$7:EL$106,$AF35),1),IF($AG35&gt;0,INDEX(EL$7:EL$106,$AG35),1),IF($AH35&gt;0,INDEX(EL$7:EL$106,$AH35),1),IF($AI35&gt;0,INDEX(EL$7:EL$106,$AI35),1),IF($AJ35&gt;0,INDEX(EL$7:EL$106,$AJ35),1))))</ns0:f>
        <ns0:v>1</ns0:v>
      </ns0:c>
      <ns0:c r="EN35" t="n">
        <ns0:f>IF($A35="",1,IF(EM35=1,1,--AND(IF($AC35&gt;0,INDEX(EM$7:EM$106,$AC35),1),IF($AD35&gt;0,INDEX(EM$7:EM$106,$AD35),1),IF($AE35&gt;0,INDEX(EM$7:EM$106,$AE35),1),IF($AF35&gt;0,INDEX(EM$7:EM$106,$AF35),1),IF($AG35&gt;0,INDEX(EM$7:EM$106,$AG35),1),IF($AH35&gt;0,INDEX(EM$7:EM$106,$AH35),1),IF($AI35&gt;0,INDEX(EM$7:EM$106,$AI35),1),IF($AJ35&gt;0,INDEX(EM$7:EM$106,$AJ35),1))))</ns0:f>
        <ns0:v>1</ns0:v>
      </ns0:c>
      <ns0:c r="EO35" t="n">
        <ns0:f>IF($A35="",1,IF(EN35=1,1,--AND(IF($AC35&gt;0,INDEX(EN$7:EN$106,$AC35),1),IF($AD35&gt;0,INDEX(EN$7:EN$106,$AD35),1),IF($AE35&gt;0,INDEX(EN$7:EN$106,$AE35),1),IF($AF35&gt;0,INDEX(EN$7:EN$106,$AF35),1),IF($AG35&gt;0,INDEX(EN$7:EN$106,$AG35),1),IF($AH35&gt;0,INDEX(EN$7:EN$106,$AH35),1),IF($AI35&gt;0,INDEX(EN$7:EN$106,$AI35),1),IF($AJ35&gt;0,INDEX(EN$7:EN$106,$AJ35),1))))</ns0:f>
        <ns0:v>1</ns0:v>
      </ns0:c>
      <ns0:c r="EP35" t="n">
        <ns0:f>IF($A35="",1,IF(EO35=1,1,--AND(IF($AC35&gt;0,INDEX(EO$7:EO$106,$AC35),1),IF($AD35&gt;0,INDEX(EO$7:EO$106,$AD35),1),IF($AE35&gt;0,INDEX(EO$7:EO$106,$AE35),1),IF($AF35&gt;0,INDEX(EO$7:EO$106,$AF35),1),IF($AG35&gt;0,INDEX(EO$7:EO$106,$AG35),1),IF($AH35&gt;0,INDEX(EO$7:EO$106,$AH35),1),IF($AI35&gt;0,INDEX(EO$7:EO$106,$AI35),1),IF($AJ35&gt;0,INDEX(EO$7:EO$106,$AJ35),1))))</ns0:f>
        <ns0:v>1</ns0:v>
      </ns0:c>
      <ns0:c r="EQ35" t="n">
        <ns0:f>IF(OR(A35="",NOT(ISNUMBER(G35))),0,G35*N35)</ns0:f>
        <ns0:v>0</ns0:v>
      </ns0:c>
    </ns0:row>
    <ns0:row r="36" ht="62" customHeight="1">
      <ns0:c r="A36" s="48" t="str">
        <ns0:v>T25</ns0:v>
      </ns0:c>
      <ns0:c r="B36" s="48" t="str">
        <ns0:v>Launch &amp; telemetry</ns0:v>
      </ns0:c>
      <ns0:c r="C36" s="48" t="str">
        <ns0:v>Initialize Outbound Actuation MCP Boundary with audience tokens</ns0:v>
      </ns0:c>
      <ns0:c r="D36" s="48" t="str">
        <ns0:v>Authenticate signed dispatch, audience tokens and rate limiting.</ns0:v>
      </ns0:c>
      <ns0:c r="E36" s="49" t="n">
        <ns0:v>46297</ns0:v>
      </ns0:c>
      <ns0:c r="F36" s="49" t="n">
        <ns0:v>46298</ns0:v>
      </ns0:c>
      <ns0:c r="G36" s="13" t="n">
        <ns0:f>IF(A36="","",IF(OR(NOT(ISNUMBER(E36)),NOT(ISNUMBER(F36)),F36&lt;E36),"",IF(J36="Yes",0,F36-E36+1)))</ns0:f>
        <ns0:v>2</ns0:v>
      </ns0:c>
      <ns0:c r="H36" s="48" t="str">
        <ns0:v>T24</ns0:v>
      </ns0:c>
      <ns0:c r="I36" s="48" t="str">
        <ns0:v>FS</ns0:v>
      </ns0:c>
      <ns0:c r="J36" s="48" t="str">
        <ns0:v>No</ns0:v>
      </ns0:c>
      <ns0:c r="K36" s="48" t="str">
        <ns0:v>Outbound Actuation MCP Boundary</ns0:v>
      </ns0:c>
      <ns0:c r="L36" s="48" t="str"/>
      <ns0:c r="M36" s="50" t="str">
        <ns0:f>IF(A36="","",IF(N36=1,"Completed",IF(N36&gt;0,"In Progress","Not Started")))</ns0:f>
        <ns0:v>Not Started</ns0:v>
      </ns0:c>
      <ns0:c r="N36" s="51" t="n">
        <ns0:v>0</ns0:v>
      </ns0:c>
      <ns0:c r="O36" s="13" t="str">
        <ns0:f>IF(A36="","",IF(R36&lt;&gt;"","[CONFLICT] "&amp;R36,IF(S36&lt;&gt;"","[CONFLICT] "&amp;S36,IF(OR(NOT(ISNUMBER(N36)),N36&lt;0,N36&gt;1),"[CONFLICT] Invalid progress",IF(AK36&gt;0,"[DEPENDENCY ISSUE] Missing ID / &gt;8 links",IF(AM36&gt;0,"[DEPENDENCY ISSUE] Cycle or blocked by cycle",IF(AND(H36&lt;&gt;"",ISNA(MATCH(I36,{"FS","SS","FF","SF"},0))),"[DEPENDENCY ISSUE] Invalid type",IF(AL36&gt;0,"[DEPENDENCY ISSUE] Timing conflict",IF(OR(E36&lt;ProjectStart,F36&gt;ProjectEnd),"[OUTSIDE WINDOW]",IF(AND(N36&lt;1,F36&lt;AsOfDate),"Overdue",IF(AND(M36&lt;&gt;Q36,M36&lt;&gt;""),"[CONFLICT] Status / progress","On track")))))))))))</ns0:f>
        <ns0:v>On track</ns0:v>
      </ns0:c>
      <ns0:c r="P36" s="52" t="str">
        <ns0:v>Source: Project Plan Essentials (2).md §1, §2, §4. Original 2026-10-06 to 2026-10-07, 2d; original progress 0% [INFERRED]. [INFERRED] Rescheduled to fit 34d with FS. Original resource/tools: Outbound Actuation MCP Boundary.</ns0:v>
      </ns0:c>
      <ns0:c r="Q36" t="str">
        <ns0:f>IF(A36="","",IF(OR(M36="On Hold",M36="Delayed"),M36,IF(N36=1,"Completed",IF(N36&gt;0,"In Progress","Not Started"))))</ns0:f>
        <ns0:v>Not Started</ns0:v>
      </ns0:c>
      <ns0:c r="R36" t="str">
        <ns0:f>IF(A36="","",IF(COUNTIFS(Tasks[Task ID],A36)&lt;&gt;1,"Duplicate ID",""))</ns0:f>
      </ns0:c>
      <ns0:c r="S36" t="str">
        <ns0:f>IF(A36="","",IF(OR(NOT(ISNUMBER(E36)),NOT(ISNUMBER(F36))),"Invalid / missing date",IF(OR(E36&lt;&gt;INT(E36),F36&lt;&gt;INT(F36),E36&lt;1,F36&gt;2958465),"Invalid date",IF(F36&lt;E36,"End before start",IF(AND(J36="Yes",E36&lt;&gt;F36),"Milestone needs one date","")))))</ns0:f>
      </ns0:c>
      <ns0:c r="T36" t="n">
        <ns0:f>IF(H36="",0,LEN(H36)-LEN(SUBSTITUTE(H36,",",""))+1)</ns0:f>
        <ns0:v>1</ns0:v>
      </ns0:c>
      <ns0:c r="U36" t="str">
        <ns0:f>TRIM(MID(SUBSTITUTE($H36,",",REPT(" ",100)),1,100))</ns0:f>
        <ns0:v>T24</ns0:v>
      </ns0:c>
      <ns0:c r="V36" t="str">
        <ns0:f>TRIM(MID(SUBSTITUTE($H36,",",REPT(" ",100)),101,100))</ns0:f>
      </ns0:c>
      <ns0:c r="W36" t="str">
        <ns0:f>TRIM(MID(SUBSTITUTE($H36,",",REPT(" ",100)),201,100))</ns0:f>
      </ns0:c>
      <ns0:c r="X36" t="str">
        <ns0:f>TRIM(MID(SUBSTITUTE($H36,",",REPT(" ",100)),301,100))</ns0:f>
      </ns0:c>
      <ns0:c r="Y36" t="str">
        <ns0:f>TRIM(MID(SUBSTITUTE($H36,",",REPT(" ",100)),401,100))</ns0:f>
      </ns0:c>
      <ns0:c r="Z36" t="str">
        <ns0:f>TRIM(MID(SUBSTITUTE($H36,",",REPT(" ",100)),501,100))</ns0:f>
      </ns0:c>
      <ns0:c r="AA36" t="str">
        <ns0:f>TRIM(MID(SUBSTITUTE($H36,",",REPT(" ",100)),601,100))</ns0:f>
      </ns0:c>
      <ns0:c r="AB36" t="str">
        <ns0:f>TRIM(MID(SUBSTITUTE($H36,",",REPT(" ",100)),701,100))</ns0:f>
      </ns0:c>
      <ns0:c r="AC36" t="n">
        <ns0:f>IF(U36="",0,IF(COUNTIFS(Tasks[Task ID],U36)=1,MATCH(U36,Tasks[Task ID],0),-1))</ns0:f>
        <ns0:v>28</ns0:v>
      </ns0:c>
      <ns0:c r="AD36" t="n">
        <ns0:f>IF(V36="",0,IF(COUNTIFS(Tasks[Task ID],V36)=1,MATCH(V36,Tasks[Task ID],0),-1))</ns0:f>
        <ns0:v>0</ns0:v>
      </ns0:c>
      <ns0:c r="AE36" t="n">
        <ns0:f>IF(W36="",0,IF(COUNTIFS(Tasks[Task ID],W36)=1,MATCH(W36,Tasks[Task ID],0),-1))</ns0:f>
        <ns0:v>0</ns0:v>
      </ns0:c>
      <ns0:c r="AF36" t="n">
        <ns0:f>IF(X36="",0,IF(COUNTIFS(Tasks[Task ID],X36)=1,MATCH(X36,Tasks[Task ID],0),-1))</ns0:f>
        <ns0:v>0</ns0:v>
      </ns0:c>
      <ns0:c r="AG36" t="n">
        <ns0:f>IF(Y36="",0,IF(COUNTIFS(Tasks[Task ID],Y36)=1,MATCH(Y36,Tasks[Task ID],0),-1))</ns0:f>
        <ns0:v>0</ns0:v>
      </ns0:c>
      <ns0:c r="AH36" t="n">
        <ns0:f>IF(Z36="",0,IF(COUNTIFS(Tasks[Task ID],Z36)=1,MATCH(Z36,Tasks[Task ID],0),-1))</ns0:f>
        <ns0:v>0</ns0:v>
      </ns0:c>
      <ns0:c r="AI36" t="n">
        <ns0:f>IF(AA36="",0,IF(COUNTIFS(Tasks[Task ID],AA36)=1,MATCH(AA36,Tasks[Task ID],0),-1))</ns0:f>
        <ns0:v>0</ns0:v>
      </ns0:c>
      <ns0:c r="AJ36" t="n">
        <ns0:f>IF(AB36="",0,IF(COUNTIFS(Tasks[Task ID],AB36)=1,MATCH(AB36,Tasks[Task ID],0),-1))</ns0:f>
        <ns0:v>0</ns0:v>
      </ns0:c>
      <ns0:c r="AK36" t="n">
        <ns0:f>COUNTIFS(AC36:AJ36,-1)+IF(T36&gt;8,1,0)</ns0:f>
        <ns0:v>0</ns0:v>
      </ns0:c>
      <ns0:c r="AL36" t="n">
        <ns0:f>IF(OR(A36="",S36&lt;&gt;""),0,SUM(IF(AC36&gt;0,IF($I36="FS",--($E36&lt;INDEX(Tasks[End Date],AC36)+IF(INDEX(Tasks[Milestone],AC36)="Yes",0,1)),IF($I36="SS",--($E36&lt;INDEX(Tasks[Start Date],AC36)),IF($I36="FF",--($F36&lt;INDEX(Tasks[End Date],AC36)),IF($I36="SF",--($F36&lt;INDEX(Tasks[Start Date],AC36)),0)))),0),IF(AD36&gt;0,IF($I36="FS",--($E36&lt;INDEX(Tasks[End Date],AD36)+IF(INDEX(Tasks[Milestone],AD36)="Yes",0,1)),IF($I36="SS",--($E36&lt;INDEX(Tasks[Start Date],AD36)),IF($I36="FF",--($F36&lt;INDEX(Tasks[End Date],AD36)),IF($I36="SF",--($F36&lt;INDEX(Tasks[Start Date],AD36)),0)))),0),IF(AE36&gt;0,IF($I36="FS",--($E36&lt;INDEX(Tasks[End Date],AE36)+IF(INDEX(Tasks[Milestone],AE36)="Yes",0,1)),IF($I36="SS",--($E36&lt;INDEX(Tasks[Start Date],AE36)),IF($I36="FF",--($F36&lt;INDEX(Tasks[End Date],AE36)),IF($I36="SF",--($F36&lt;INDEX(Tasks[Start Date],AE36)),0)))),0),IF(AF36&gt;0,IF($I36="FS",--($E36&lt;INDEX(Tasks[End Date],AF36)+IF(INDEX(Tasks[Milestone],AF36)="Yes",0,1)),IF($I36="SS",--($E36&lt;INDEX(Tasks[Start Date],AF36)),IF($I36="FF",--($F36&lt;INDEX(Tasks[End Date],AF36)),IF($I36="SF",--($F36&lt;INDEX(Tasks[Start Date],AF36)),0)))),0),IF(AG36&gt;0,IF($I36="FS",--($E36&lt;INDEX(Tasks[End Date],AG36)+IF(INDEX(Tasks[Milestone],AG36)="Yes",0,1)),IF($I36="SS",--($E36&lt;INDEX(Tasks[Start Date],AG36)),IF($I36="FF",--($F36&lt;INDEX(Tasks[End Date],AG36)),IF($I36="SF",--($F36&lt;INDEX(Tasks[Start Date],AG36)),0)))),0),IF(AH36&gt;0,IF($I36="FS",--($E36&lt;INDEX(Tasks[End Date],AH36)+IF(INDEX(Tasks[Milestone],AH36)="Yes",0,1)),IF($I36="SS",--($E36&lt;INDEX(Tasks[Start Date],AH36)),IF($I36="FF",--($F36&lt;INDEX(Tasks[End Date],AH36)),IF($I36="SF",--($F36&lt;INDEX(Tasks[Start Date],AH36)),0)))),0),IF(AI36&gt;0,IF($I36="FS",--($E36&lt;INDEX(Tasks[End Date],AI36)+IF(INDEX(Tasks[Milestone],AI36)="Yes",0,1)),IF($I36="SS",--($E36&lt;INDEX(Tasks[Start Date],AI36)),IF($I36="FF",--($F36&lt;INDEX(Tasks[End Date],AI36)),IF($I36="SF",--($F36&lt;INDEX(Tasks[Start Date],AI36)),0)))),0),IF(AJ36&gt;0,IF($I36="FS",--($E36&lt;INDEX(Tasks[End Date],AJ36)+IF(INDEX(Tasks[Milestone],AJ36)="Yes",0,1)),IF($I36="SS",--($E36&lt;INDEX(Tasks[Start Date],AJ36)),IF($I36="FF",--($F36&lt;INDEX(Tasks[End Date],AJ36)),IF($I36="SF",--($F36&lt;INDEX(Tasks[Start Date],AJ36)),0)))),0)))</ns0:f>
        <ns0:v>0</ns0:v>
      </ns0:c>
      <ns0:c r="AM36" t="n">
        <ns0:f>IF(AND(A36&lt;&gt;"",AK36=0,EP36=0),1,0)</ns0:f>
        <ns0:v>0</ns0:v>
      </ns0:c>
      <ns0:c r="AN36" t="n">
        <ns0:f>IF(OR(A36="",B36=""),"",IF(COUNTIFS($B$7:B36,B36)=1,MAX($AN$6:AN35)+1,""))</ns0:f>
        <ns0:v>6</ns0:v>
      </ns0:c>
      <ns0:c r="AO36" t="n">
        <ns0:f>IF(AND(A36&lt;&gt;"",J36="No",N36&lt;1,E36&gt;=AsOfDate),E36+ROW()/10000,1E+9)</ns0:f>
        <ns0:v>46297.0036</ns0:v>
      </ns0:c>
      <ns0:c r="AP36" t="n">
        <ns0:f>IF(AND(A36&lt;&gt;"",J36="Yes",N36&lt;1,E36&gt;=AsOfDate),E36+ROW()/10000,1E+9)</ns0:f>
        <ns0:v>1000000000</ns0:v>
      </ns0:c>
      <ns0:c r="AQ36" t="n">
        <ns0:f>IF(AND(A36&lt;&gt;"",J36="No",N36&lt;1,F36&gt;=AsOfDate,F36&lt;=AsOfDate+7),F36+ROW()/10000,1E+9)</ns0:f>
        <ns0:v>1000000000</ns0:v>
      </ns0:c>
      <ns0:c r="AR36" t="n">
        <ns0:f>IF(AND(A36&lt;&gt;"",OR(O36&lt;&gt;"On track",Q36="Delayed")),ROW(),1E+9)</ns0:f>
        <ns0:v>1000000000</ns0:v>
      </ns0:c>
      <ns0:c r="AS36" t="str">
        <ns0:f>IF(A36="","",";"&amp;K36&amp;";")</ns0:f>
        <ns0:v>;Outbound Actuation MCP Boundary;</ns0:v>
      </ns0:c>
      <ns0:c r="AT36" t="n">
        <ns0:f>IF(A36="",1,--(T36=0))</ns0:f>
        <ns0:v>0</ns0:v>
      </ns0:c>
      <ns0:c r="AU36" t="n">
        <ns0:f>IF($A36="",1,IF(AT36=1,1,--AND(IF($AC36&gt;0,INDEX(AT$7:AT$106,$AC36),1),IF($AD36&gt;0,INDEX(AT$7:AT$106,$AD36),1),IF($AE36&gt;0,INDEX(AT$7:AT$106,$AE36),1),IF($AF36&gt;0,INDEX(AT$7:AT$106,$AF36),1),IF($AG36&gt;0,INDEX(AT$7:AT$106,$AG36),1),IF($AH36&gt;0,INDEX(AT$7:AT$106,$AH36),1),IF($AI36&gt;0,INDEX(AT$7:AT$106,$AI36),1),IF($AJ36&gt;0,INDEX(AT$7:AT$106,$AJ36),1))))</ns0:f>
        <ns0:v>0</ns0:v>
      </ns0:c>
      <ns0:c r="AV36" t="n">
        <ns0:f>IF($A36="",1,IF(AU36=1,1,--AND(IF($AC36&gt;0,INDEX(AU$7:AU$106,$AC36),1),IF($AD36&gt;0,INDEX(AU$7:AU$106,$AD36),1),IF($AE36&gt;0,INDEX(AU$7:AU$106,$AE36),1),IF($AF36&gt;0,INDEX(AU$7:AU$106,$AF36),1),IF($AG36&gt;0,INDEX(AU$7:AU$106,$AG36),1),IF($AH36&gt;0,INDEX(AU$7:AU$106,$AH36),1),IF($AI36&gt;0,INDEX(AU$7:AU$106,$AI36),1),IF($AJ36&gt;0,INDEX(AU$7:AU$106,$AJ36),1))))</ns0:f>
        <ns0:v>0</ns0:v>
      </ns0:c>
      <ns0:c r="AW36" t="n">
        <ns0:f>IF($A36="",1,IF(AV36=1,1,--AND(IF($AC36&gt;0,INDEX(AV$7:AV$106,$AC36),1),IF($AD36&gt;0,INDEX(AV$7:AV$106,$AD36),1),IF($AE36&gt;0,INDEX(AV$7:AV$106,$AE36),1),IF($AF36&gt;0,INDEX(AV$7:AV$106,$AF36),1),IF($AG36&gt;0,INDEX(AV$7:AV$106,$AG36),1),IF($AH36&gt;0,INDEX(AV$7:AV$106,$AH36),1),IF($AI36&gt;0,INDEX(AV$7:AV$106,$AI36),1),IF($AJ36&gt;0,INDEX(AV$7:AV$106,$AJ36),1))))</ns0:f>
        <ns0:v>0</ns0:v>
      </ns0:c>
      <ns0:c r="AX36" t="n">
        <ns0:f>IF($A36="",1,IF(AW36=1,1,--AND(IF($AC36&gt;0,INDEX(AW$7:AW$106,$AC36),1),IF($AD36&gt;0,INDEX(AW$7:AW$106,$AD36),1),IF($AE36&gt;0,INDEX(AW$7:AW$106,$AE36),1),IF($AF36&gt;0,INDEX(AW$7:AW$106,$AF36),1),IF($AG36&gt;0,INDEX(AW$7:AW$106,$AG36),1),IF($AH36&gt;0,INDEX(AW$7:AW$106,$AH36),1),IF($AI36&gt;0,INDEX(AW$7:AW$106,$AI36),1),IF($AJ36&gt;0,INDEX(AW$7:AW$106,$AJ36),1))))</ns0:f>
        <ns0:v>0</ns0:v>
      </ns0:c>
      <ns0:c r="AY36" t="n">
        <ns0:f>IF($A36="",1,IF(AX36=1,1,--AND(IF($AC36&gt;0,INDEX(AX$7:AX$106,$AC36),1),IF($AD36&gt;0,INDEX(AX$7:AX$106,$AD36),1),IF($AE36&gt;0,INDEX(AX$7:AX$106,$AE36),1),IF($AF36&gt;0,INDEX(AX$7:AX$106,$AF36),1),IF($AG36&gt;0,INDEX(AX$7:AX$106,$AG36),1),IF($AH36&gt;0,INDEX(AX$7:AX$106,$AH36),1),IF($AI36&gt;0,INDEX(AX$7:AX$106,$AI36),1),IF($AJ36&gt;0,INDEX(AX$7:AX$106,$AJ36),1))))</ns0:f>
        <ns0:v>0</ns0:v>
      </ns0:c>
      <ns0:c r="AZ36" t="n">
        <ns0:f>IF($A36="",1,IF(AY36=1,1,--AND(IF($AC36&gt;0,INDEX(AY$7:AY$106,$AC36),1),IF($AD36&gt;0,INDEX(AY$7:AY$106,$AD36),1),IF($AE36&gt;0,INDEX(AY$7:AY$106,$AE36),1),IF($AF36&gt;0,INDEX(AY$7:AY$106,$AF36),1),IF($AG36&gt;0,INDEX(AY$7:AY$106,$AG36),1),IF($AH36&gt;0,INDEX(AY$7:AY$106,$AH36),1),IF($AI36&gt;0,INDEX(AY$7:AY$106,$AI36),1),IF($AJ36&gt;0,INDEX(AY$7:AY$106,$AJ36),1))))</ns0:f>
        <ns0:v>0</ns0:v>
      </ns0:c>
      <ns0:c r="BA36" t="n">
        <ns0:f>IF($A36="",1,IF(AZ36=1,1,--AND(IF($AC36&gt;0,INDEX(AZ$7:AZ$106,$AC36),1),IF($AD36&gt;0,INDEX(AZ$7:AZ$106,$AD36),1),IF($AE36&gt;0,INDEX(AZ$7:AZ$106,$AE36),1),IF($AF36&gt;0,INDEX(AZ$7:AZ$106,$AF36),1),IF($AG36&gt;0,INDEX(AZ$7:AZ$106,$AG36),1),IF($AH36&gt;0,INDEX(AZ$7:AZ$106,$AH36),1),IF($AI36&gt;0,INDEX(AZ$7:AZ$106,$AI36),1),IF($AJ36&gt;0,INDEX(AZ$7:AZ$106,$AJ36),1))))</ns0:f>
        <ns0:v>0</ns0:v>
      </ns0:c>
      <ns0:c r="BB36" t="n">
        <ns0:f>IF($A36="",1,IF(BA36=1,1,--AND(IF($AC36&gt;0,INDEX(BA$7:BA$106,$AC36),1),IF($AD36&gt;0,INDEX(BA$7:BA$106,$AD36),1),IF($AE36&gt;0,INDEX(BA$7:BA$106,$AE36),1),IF($AF36&gt;0,INDEX(BA$7:BA$106,$AF36),1),IF($AG36&gt;0,INDEX(BA$7:BA$106,$AG36),1),IF($AH36&gt;0,INDEX(BA$7:BA$106,$AH36),1),IF($AI36&gt;0,INDEX(BA$7:BA$106,$AI36),1),IF($AJ36&gt;0,INDEX(BA$7:BA$106,$AJ36),1))))</ns0:f>
        <ns0:v>0</ns0:v>
      </ns0:c>
      <ns0:c r="BC36" t="n">
        <ns0:f>IF($A36="",1,IF(BB36=1,1,--AND(IF($AC36&gt;0,INDEX(BB$7:BB$106,$AC36),1),IF($AD36&gt;0,INDEX(BB$7:BB$106,$AD36),1),IF($AE36&gt;0,INDEX(BB$7:BB$106,$AE36),1),IF($AF36&gt;0,INDEX(BB$7:BB$106,$AF36),1),IF($AG36&gt;0,INDEX(BB$7:BB$106,$AG36),1),IF($AH36&gt;0,INDEX(BB$7:BB$106,$AH36),1),IF($AI36&gt;0,INDEX(BB$7:BB$106,$AI36),1),IF($AJ36&gt;0,INDEX(BB$7:BB$106,$AJ36),1))))</ns0:f>
        <ns0:v>0</ns0:v>
      </ns0:c>
      <ns0:c r="BD36" t="n">
        <ns0:f>IF($A36="",1,IF(BC36=1,1,--AND(IF($AC36&gt;0,INDEX(BC$7:BC$106,$AC36),1),IF($AD36&gt;0,INDEX(BC$7:BC$106,$AD36),1),IF($AE36&gt;0,INDEX(BC$7:BC$106,$AE36),1),IF($AF36&gt;0,INDEX(BC$7:BC$106,$AF36),1),IF($AG36&gt;0,INDEX(BC$7:BC$106,$AG36),1),IF($AH36&gt;0,INDEX(BC$7:BC$106,$AH36),1),IF($AI36&gt;0,INDEX(BC$7:BC$106,$AI36),1),IF($AJ36&gt;0,INDEX(BC$7:BC$106,$AJ36),1))))</ns0:f>
        <ns0:v>0</ns0:v>
      </ns0:c>
      <ns0:c r="BE36" t="n">
        <ns0:f>IF($A36="",1,IF(BD36=1,1,--AND(IF($AC36&gt;0,INDEX(BD$7:BD$106,$AC36),1),IF($AD36&gt;0,INDEX(BD$7:BD$106,$AD36),1),IF($AE36&gt;0,INDEX(BD$7:BD$106,$AE36),1),IF($AF36&gt;0,INDEX(BD$7:BD$106,$AF36),1),IF($AG36&gt;0,INDEX(BD$7:BD$106,$AG36),1),IF($AH36&gt;0,INDEX(BD$7:BD$106,$AH36),1),IF($AI36&gt;0,INDEX(BD$7:BD$106,$AI36),1),IF($AJ36&gt;0,INDEX(BD$7:BD$106,$AJ36),1))))</ns0:f>
        <ns0:v>0</ns0:v>
      </ns0:c>
      <ns0:c r="BF36" t="n">
        <ns0:f>IF($A36="",1,IF(BE36=1,1,--AND(IF($AC36&gt;0,INDEX(BE$7:BE$106,$AC36),1),IF($AD36&gt;0,INDEX(BE$7:BE$106,$AD36),1),IF($AE36&gt;0,INDEX(BE$7:BE$106,$AE36),1),IF($AF36&gt;0,INDEX(BE$7:BE$106,$AF36),1),IF($AG36&gt;0,INDEX(BE$7:BE$106,$AG36),1),IF($AH36&gt;0,INDEX(BE$7:BE$106,$AH36),1),IF($AI36&gt;0,INDEX(BE$7:BE$106,$AI36),1),IF($AJ36&gt;0,INDEX(BE$7:BE$106,$AJ36),1))))</ns0:f>
        <ns0:v>1</ns0:v>
      </ns0:c>
      <ns0:c r="BG36" t="n">
        <ns0:f>IF($A36="",1,IF(BF36=1,1,--AND(IF($AC36&gt;0,INDEX(BF$7:BF$106,$AC36),1),IF($AD36&gt;0,INDEX(BF$7:BF$106,$AD36),1),IF($AE36&gt;0,INDEX(BF$7:BF$106,$AE36),1),IF($AF36&gt;0,INDEX(BF$7:BF$106,$AF36),1),IF($AG36&gt;0,INDEX(BF$7:BF$106,$AG36),1),IF($AH36&gt;0,INDEX(BF$7:BF$106,$AH36),1),IF($AI36&gt;0,INDEX(BF$7:BF$106,$AI36),1),IF($AJ36&gt;0,INDEX(BF$7:BF$106,$AJ36),1))))</ns0:f>
        <ns0:v>1</ns0:v>
      </ns0:c>
      <ns0:c r="BH36" t="n">
        <ns0:f>IF($A36="",1,IF(BG36=1,1,--AND(IF($AC36&gt;0,INDEX(BG$7:BG$106,$AC36),1),IF($AD36&gt;0,INDEX(BG$7:BG$106,$AD36),1),IF($AE36&gt;0,INDEX(BG$7:BG$106,$AE36),1),IF($AF36&gt;0,INDEX(BG$7:BG$106,$AF36),1),IF($AG36&gt;0,INDEX(BG$7:BG$106,$AG36),1),IF($AH36&gt;0,INDEX(BG$7:BG$106,$AH36),1),IF($AI36&gt;0,INDEX(BG$7:BG$106,$AI36),1),IF($AJ36&gt;0,INDEX(BG$7:BG$106,$AJ36),1))))</ns0:f>
        <ns0:v>1</ns0:v>
      </ns0:c>
      <ns0:c r="BI36" t="n">
        <ns0:f>IF($A36="",1,IF(BH36=1,1,--AND(IF($AC36&gt;0,INDEX(BH$7:BH$106,$AC36),1),IF($AD36&gt;0,INDEX(BH$7:BH$106,$AD36),1),IF($AE36&gt;0,INDEX(BH$7:BH$106,$AE36),1),IF($AF36&gt;0,INDEX(BH$7:BH$106,$AF36),1),IF($AG36&gt;0,INDEX(BH$7:BH$106,$AG36),1),IF($AH36&gt;0,INDEX(BH$7:BH$106,$AH36),1),IF($AI36&gt;0,INDEX(BH$7:BH$106,$AI36),1),IF($AJ36&gt;0,INDEX(BH$7:BH$106,$AJ36),1))))</ns0:f>
        <ns0:v>1</ns0:v>
      </ns0:c>
      <ns0:c r="BJ36" t="n">
        <ns0:f>IF($A36="",1,IF(BI36=1,1,--AND(IF($AC36&gt;0,INDEX(BI$7:BI$106,$AC36),1),IF($AD36&gt;0,INDEX(BI$7:BI$106,$AD36),1),IF($AE36&gt;0,INDEX(BI$7:BI$106,$AE36),1),IF($AF36&gt;0,INDEX(BI$7:BI$106,$AF36),1),IF($AG36&gt;0,INDEX(BI$7:BI$106,$AG36),1),IF($AH36&gt;0,INDEX(BI$7:BI$106,$AH36),1),IF($AI36&gt;0,INDEX(BI$7:BI$106,$AI36),1),IF($AJ36&gt;0,INDEX(BI$7:BI$106,$AJ36),1))))</ns0:f>
        <ns0:v>1</ns0:v>
      </ns0:c>
      <ns0:c r="BK36" t="n">
        <ns0:f>IF($A36="",1,IF(BJ36=1,1,--AND(IF($AC36&gt;0,INDEX(BJ$7:BJ$106,$AC36),1),IF($AD36&gt;0,INDEX(BJ$7:BJ$106,$AD36),1),IF($AE36&gt;0,INDEX(BJ$7:BJ$106,$AE36),1),IF($AF36&gt;0,INDEX(BJ$7:BJ$106,$AF36),1),IF($AG36&gt;0,INDEX(BJ$7:BJ$106,$AG36),1),IF($AH36&gt;0,INDEX(BJ$7:BJ$106,$AH36),1),IF($AI36&gt;0,INDEX(BJ$7:BJ$106,$AI36),1),IF($AJ36&gt;0,INDEX(BJ$7:BJ$106,$AJ36),1))))</ns0:f>
        <ns0:v>1</ns0:v>
      </ns0:c>
      <ns0:c r="BL36" t="n">
        <ns0:f>IF($A36="",1,IF(BK36=1,1,--AND(IF($AC36&gt;0,INDEX(BK$7:BK$106,$AC36),1),IF($AD36&gt;0,INDEX(BK$7:BK$106,$AD36),1),IF($AE36&gt;0,INDEX(BK$7:BK$106,$AE36),1),IF($AF36&gt;0,INDEX(BK$7:BK$106,$AF36),1),IF($AG36&gt;0,INDEX(BK$7:BK$106,$AG36),1),IF($AH36&gt;0,INDEX(BK$7:BK$106,$AH36),1),IF($AI36&gt;0,INDEX(BK$7:BK$106,$AI36),1),IF($AJ36&gt;0,INDEX(BK$7:BK$106,$AJ36),1))))</ns0:f>
        <ns0:v>1</ns0:v>
      </ns0:c>
      <ns0:c r="BM36" t="n">
        <ns0:f>IF($A36="",1,IF(BL36=1,1,--AND(IF($AC36&gt;0,INDEX(BL$7:BL$106,$AC36),1),IF($AD36&gt;0,INDEX(BL$7:BL$106,$AD36),1),IF($AE36&gt;0,INDEX(BL$7:BL$106,$AE36),1),IF($AF36&gt;0,INDEX(BL$7:BL$106,$AF36),1),IF($AG36&gt;0,INDEX(BL$7:BL$106,$AG36),1),IF($AH36&gt;0,INDEX(BL$7:BL$106,$AH36),1),IF($AI36&gt;0,INDEX(BL$7:BL$106,$AI36),1),IF($AJ36&gt;0,INDEX(BL$7:BL$106,$AJ36),1))))</ns0:f>
        <ns0:v>1</ns0:v>
      </ns0:c>
      <ns0:c r="BN36" t="n">
        <ns0:f>IF($A36="",1,IF(BM36=1,1,--AND(IF($AC36&gt;0,INDEX(BM$7:BM$106,$AC36),1),IF($AD36&gt;0,INDEX(BM$7:BM$106,$AD36),1),IF($AE36&gt;0,INDEX(BM$7:BM$106,$AE36),1),IF($AF36&gt;0,INDEX(BM$7:BM$106,$AF36),1),IF($AG36&gt;0,INDEX(BM$7:BM$106,$AG36),1),IF($AH36&gt;0,INDEX(BM$7:BM$106,$AH36),1),IF($AI36&gt;0,INDEX(BM$7:BM$106,$AI36),1),IF($AJ36&gt;0,INDEX(BM$7:BM$106,$AJ36),1))))</ns0:f>
        <ns0:v>1</ns0:v>
      </ns0:c>
      <ns0:c r="BO36" t="n">
        <ns0:f>IF($A36="",1,IF(BN36=1,1,--AND(IF($AC36&gt;0,INDEX(BN$7:BN$106,$AC36),1),IF($AD36&gt;0,INDEX(BN$7:BN$106,$AD36),1),IF($AE36&gt;0,INDEX(BN$7:BN$106,$AE36),1),IF($AF36&gt;0,INDEX(BN$7:BN$106,$AF36),1),IF($AG36&gt;0,INDEX(BN$7:BN$106,$AG36),1),IF($AH36&gt;0,INDEX(BN$7:BN$106,$AH36),1),IF($AI36&gt;0,INDEX(BN$7:BN$106,$AI36),1),IF($AJ36&gt;0,INDEX(BN$7:BN$106,$AJ36),1))))</ns0:f>
        <ns0:v>1</ns0:v>
      </ns0:c>
      <ns0:c r="BP36" t="n">
        <ns0:f>IF($A36="",1,IF(BO36=1,1,--AND(IF($AC36&gt;0,INDEX(BO$7:BO$106,$AC36),1),IF($AD36&gt;0,INDEX(BO$7:BO$106,$AD36),1),IF($AE36&gt;0,INDEX(BO$7:BO$106,$AE36),1),IF($AF36&gt;0,INDEX(BO$7:BO$106,$AF36),1),IF($AG36&gt;0,INDEX(BO$7:BO$106,$AG36),1),IF($AH36&gt;0,INDEX(BO$7:BO$106,$AH36),1),IF($AI36&gt;0,INDEX(BO$7:BO$106,$AI36),1),IF($AJ36&gt;0,INDEX(BO$7:BO$106,$AJ36),1))))</ns0:f>
        <ns0:v>1</ns0:v>
      </ns0:c>
      <ns0:c r="BQ36" t="n">
        <ns0:f>IF($A36="",1,IF(BP36=1,1,--AND(IF($AC36&gt;0,INDEX(BP$7:BP$106,$AC36),1),IF($AD36&gt;0,INDEX(BP$7:BP$106,$AD36),1),IF($AE36&gt;0,INDEX(BP$7:BP$106,$AE36),1),IF($AF36&gt;0,INDEX(BP$7:BP$106,$AF36),1),IF($AG36&gt;0,INDEX(BP$7:BP$106,$AG36),1),IF($AH36&gt;0,INDEX(BP$7:BP$106,$AH36),1),IF($AI36&gt;0,INDEX(BP$7:BP$106,$AI36),1),IF($AJ36&gt;0,INDEX(BP$7:BP$106,$AJ36),1))))</ns0:f>
        <ns0:v>1</ns0:v>
      </ns0:c>
      <ns0:c r="BR36" t="n">
        <ns0:f>IF($A36="",1,IF(BQ36=1,1,--AND(IF($AC36&gt;0,INDEX(BQ$7:BQ$106,$AC36),1),IF($AD36&gt;0,INDEX(BQ$7:BQ$106,$AD36),1),IF($AE36&gt;0,INDEX(BQ$7:BQ$106,$AE36),1),IF($AF36&gt;0,INDEX(BQ$7:BQ$106,$AF36),1),IF($AG36&gt;0,INDEX(BQ$7:BQ$106,$AG36),1),IF($AH36&gt;0,INDEX(BQ$7:BQ$106,$AH36),1),IF($AI36&gt;0,INDEX(BQ$7:BQ$106,$AI36),1),IF($AJ36&gt;0,INDEX(BQ$7:BQ$106,$AJ36),1))))</ns0:f>
        <ns0:v>1</ns0:v>
      </ns0:c>
      <ns0:c r="BS36" t="n">
        <ns0:f>IF($A36="",1,IF(BR36=1,1,--AND(IF($AC36&gt;0,INDEX(BR$7:BR$106,$AC36),1),IF($AD36&gt;0,INDEX(BR$7:BR$106,$AD36),1),IF($AE36&gt;0,INDEX(BR$7:BR$106,$AE36),1),IF($AF36&gt;0,INDEX(BR$7:BR$106,$AF36),1),IF($AG36&gt;0,INDEX(BR$7:BR$106,$AG36),1),IF($AH36&gt;0,INDEX(BR$7:BR$106,$AH36),1),IF($AI36&gt;0,INDEX(BR$7:BR$106,$AI36),1),IF($AJ36&gt;0,INDEX(BR$7:BR$106,$AJ36),1))))</ns0:f>
        <ns0:v>1</ns0:v>
      </ns0:c>
      <ns0:c r="BT36" t="n">
        <ns0:f>IF($A36="",1,IF(BS36=1,1,--AND(IF($AC36&gt;0,INDEX(BS$7:BS$106,$AC36),1),IF($AD36&gt;0,INDEX(BS$7:BS$106,$AD36),1),IF($AE36&gt;0,INDEX(BS$7:BS$106,$AE36),1),IF($AF36&gt;0,INDEX(BS$7:BS$106,$AF36),1),IF($AG36&gt;0,INDEX(BS$7:BS$106,$AG36),1),IF($AH36&gt;0,INDEX(BS$7:BS$106,$AH36),1),IF($AI36&gt;0,INDEX(BS$7:BS$106,$AI36),1),IF($AJ36&gt;0,INDEX(BS$7:BS$106,$AJ36),1))))</ns0:f>
        <ns0:v>1</ns0:v>
      </ns0:c>
      <ns0:c r="BU36" t="n">
        <ns0:f>IF($A36="",1,IF(BT36=1,1,--AND(IF($AC36&gt;0,INDEX(BT$7:BT$106,$AC36),1),IF($AD36&gt;0,INDEX(BT$7:BT$106,$AD36),1),IF($AE36&gt;0,INDEX(BT$7:BT$106,$AE36),1),IF($AF36&gt;0,INDEX(BT$7:BT$106,$AF36),1),IF($AG36&gt;0,INDEX(BT$7:BT$106,$AG36),1),IF($AH36&gt;0,INDEX(BT$7:BT$106,$AH36),1),IF($AI36&gt;0,INDEX(BT$7:BT$106,$AI36),1),IF($AJ36&gt;0,INDEX(BT$7:BT$106,$AJ36),1))))</ns0:f>
        <ns0:v>1</ns0:v>
      </ns0:c>
      <ns0:c r="BV36" t="n">
        <ns0:f>IF($A36="",1,IF(BU36=1,1,--AND(IF($AC36&gt;0,INDEX(BU$7:BU$106,$AC36),1),IF($AD36&gt;0,INDEX(BU$7:BU$106,$AD36),1),IF($AE36&gt;0,INDEX(BU$7:BU$106,$AE36),1),IF($AF36&gt;0,INDEX(BU$7:BU$106,$AF36),1),IF($AG36&gt;0,INDEX(BU$7:BU$106,$AG36),1),IF($AH36&gt;0,INDEX(BU$7:BU$106,$AH36),1),IF($AI36&gt;0,INDEX(BU$7:BU$106,$AI36),1),IF($AJ36&gt;0,INDEX(BU$7:BU$106,$AJ36),1))))</ns0:f>
        <ns0:v>1</ns0:v>
      </ns0:c>
      <ns0:c r="BW36" t="n">
        <ns0:f>IF($A36="",1,IF(BV36=1,1,--AND(IF($AC36&gt;0,INDEX(BV$7:BV$106,$AC36),1),IF($AD36&gt;0,INDEX(BV$7:BV$106,$AD36),1),IF($AE36&gt;0,INDEX(BV$7:BV$106,$AE36),1),IF($AF36&gt;0,INDEX(BV$7:BV$106,$AF36),1),IF($AG36&gt;0,INDEX(BV$7:BV$106,$AG36),1),IF($AH36&gt;0,INDEX(BV$7:BV$106,$AH36),1),IF($AI36&gt;0,INDEX(BV$7:BV$106,$AI36),1),IF($AJ36&gt;0,INDEX(BV$7:BV$106,$AJ36),1))))</ns0:f>
        <ns0:v>1</ns0:v>
      </ns0:c>
      <ns0:c r="BX36" t="n">
        <ns0:f>IF($A36="",1,IF(BW36=1,1,--AND(IF($AC36&gt;0,INDEX(BW$7:BW$106,$AC36),1),IF($AD36&gt;0,INDEX(BW$7:BW$106,$AD36),1),IF($AE36&gt;0,INDEX(BW$7:BW$106,$AE36),1),IF($AF36&gt;0,INDEX(BW$7:BW$106,$AF36),1),IF($AG36&gt;0,INDEX(BW$7:BW$106,$AG36),1),IF($AH36&gt;0,INDEX(BW$7:BW$106,$AH36),1),IF($AI36&gt;0,INDEX(BW$7:BW$106,$AI36),1),IF($AJ36&gt;0,INDEX(BW$7:BW$106,$AJ36),1))))</ns0:f>
        <ns0:v>1</ns0:v>
      </ns0:c>
      <ns0:c r="BY36" t="n">
        <ns0:f>IF($A36="",1,IF(BX36=1,1,--AND(IF($AC36&gt;0,INDEX(BX$7:BX$106,$AC36),1),IF($AD36&gt;0,INDEX(BX$7:BX$106,$AD36),1),IF($AE36&gt;0,INDEX(BX$7:BX$106,$AE36),1),IF($AF36&gt;0,INDEX(BX$7:BX$106,$AF36),1),IF($AG36&gt;0,INDEX(BX$7:BX$106,$AG36),1),IF($AH36&gt;0,INDEX(BX$7:BX$106,$AH36),1),IF($AI36&gt;0,INDEX(BX$7:BX$106,$AI36),1),IF($AJ36&gt;0,INDEX(BX$7:BX$106,$AJ36),1))))</ns0:f>
        <ns0:v>1</ns0:v>
      </ns0:c>
      <ns0:c r="BZ36" t="n">
        <ns0:f>IF($A36="",1,IF(BY36=1,1,--AND(IF($AC36&gt;0,INDEX(BY$7:BY$106,$AC36),1),IF($AD36&gt;0,INDEX(BY$7:BY$106,$AD36),1),IF($AE36&gt;0,INDEX(BY$7:BY$106,$AE36),1),IF($AF36&gt;0,INDEX(BY$7:BY$106,$AF36),1),IF($AG36&gt;0,INDEX(BY$7:BY$106,$AG36),1),IF($AH36&gt;0,INDEX(BY$7:BY$106,$AH36),1),IF($AI36&gt;0,INDEX(BY$7:BY$106,$AI36),1),IF($AJ36&gt;0,INDEX(BY$7:BY$106,$AJ36),1))))</ns0:f>
        <ns0:v>1</ns0:v>
      </ns0:c>
      <ns0:c r="CA36" t="n">
        <ns0:f>IF($A36="",1,IF(BZ36=1,1,--AND(IF($AC36&gt;0,INDEX(BZ$7:BZ$106,$AC36),1),IF($AD36&gt;0,INDEX(BZ$7:BZ$106,$AD36),1),IF($AE36&gt;0,INDEX(BZ$7:BZ$106,$AE36),1),IF($AF36&gt;0,INDEX(BZ$7:BZ$106,$AF36),1),IF($AG36&gt;0,INDEX(BZ$7:BZ$106,$AG36),1),IF($AH36&gt;0,INDEX(BZ$7:BZ$106,$AH36),1),IF($AI36&gt;0,INDEX(BZ$7:BZ$106,$AI36),1),IF($AJ36&gt;0,INDEX(BZ$7:BZ$106,$AJ36),1))))</ns0:f>
        <ns0:v>1</ns0:v>
      </ns0:c>
      <ns0:c r="CB36" t="n">
        <ns0:f>IF($A36="",1,IF(CA36=1,1,--AND(IF($AC36&gt;0,INDEX(CA$7:CA$106,$AC36),1),IF($AD36&gt;0,INDEX(CA$7:CA$106,$AD36),1),IF($AE36&gt;0,INDEX(CA$7:CA$106,$AE36),1),IF($AF36&gt;0,INDEX(CA$7:CA$106,$AF36),1),IF($AG36&gt;0,INDEX(CA$7:CA$106,$AG36),1),IF($AH36&gt;0,INDEX(CA$7:CA$106,$AH36),1),IF($AI36&gt;0,INDEX(CA$7:CA$106,$AI36),1),IF($AJ36&gt;0,INDEX(CA$7:CA$106,$AJ36),1))))</ns0:f>
        <ns0:v>1</ns0:v>
      </ns0:c>
      <ns0:c r="CC36" t="n">
        <ns0:f>IF($A36="",1,IF(CB36=1,1,--AND(IF($AC36&gt;0,INDEX(CB$7:CB$106,$AC36),1),IF($AD36&gt;0,INDEX(CB$7:CB$106,$AD36),1),IF($AE36&gt;0,INDEX(CB$7:CB$106,$AE36),1),IF($AF36&gt;0,INDEX(CB$7:CB$106,$AF36),1),IF($AG36&gt;0,INDEX(CB$7:CB$106,$AG36),1),IF($AH36&gt;0,INDEX(CB$7:CB$106,$AH36),1),IF($AI36&gt;0,INDEX(CB$7:CB$106,$AI36),1),IF($AJ36&gt;0,INDEX(CB$7:CB$106,$AJ36),1))))</ns0:f>
        <ns0:v>1</ns0:v>
      </ns0:c>
      <ns0:c r="CD36" t="n">
        <ns0:f>IF($A36="",1,IF(CC36=1,1,--AND(IF($AC36&gt;0,INDEX(CC$7:CC$106,$AC36),1),IF($AD36&gt;0,INDEX(CC$7:CC$106,$AD36),1),IF($AE36&gt;0,INDEX(CC$7:CC$106,$AE36),1),IF($AF36&gt;0,INDEX(CC$7:CC$106,$AF36),1),IF($AG36&gt;0,INDEX(CC$7:CC$106,$AG36),1),IF($AH36&gt;0,INDEX(CC$7:CC$106,$AH36),1),IF($AI36&gt;0,INDEX(CC$7:CC$106,$AI36),1),IF($AJ36&gt;0,INDEX(CC$7:CC$106,$AJ36),1))))</ns0:f>
        <ns0:v>1</ns0:v>
      </ns0:c>
      <ns0:c r="CE36" t="n">
        <ns0:f>IF($A36="",1,IF(CD36=1,1,--AND(IF($AC36&gt;0,INDEX(CD$7:CD$106,$AC36),1),IF($AD36&gt;0,INDEX(CD$7:CD$106,$AD36),1),IF($AE36&gt;0,INDEX(CD$7:CD$106,$AE36),1),IF($AF36&gt;0,INDEX(CD$7:CD$106,$AF36),1),IF($AG36&gt;0,INDEX(CD$7:CD$106,$AG36),1),IF($AH36&gt;0,INDEX(CD$7:CD$106,$AH36),1),IF($AI36&gt;0,INDEX(CD$7:CD$106,$AI36),1),IF($AJ36&gt;0,INDEX(CD$7:CD$106,$AJ36),1))))</ns0:f>
        <ns0:v>1</ns0:v>
      </ns0:c>
      <ns0:c r="CF36" t="n">
        <ns0:f>IF($A36="",1,IF(CE36=1,1,--AND(IF($AC36&gt;0,INDEX(CE$7:CE$106,$AC36),1),IF($AD36&gt;0,INDEX(CE$7:CE$106,$AD36),1),IF($AE36&gt;0,INDEX(CE$7:CE$106,$AE36),1),IF($AF36&gt;0,INDEX(CE$7:CE$106,$AF36),1),IF($AG36&gt;0,INDEX(CE$7:CE$106,$AG36),1),IF($AH36&gt;0,INDEX(CE$7:CE$106,$AH36),1),IF($AI36&gt;0,INDEX(CE$7:CE$106,$AI36),1),IF($AJ36&gt;0,INDEX(CE$7:CE$106,$AJ36),1))))</ns0:f>
        <ns0:v>1</ns0:v>
      </ns0:c>
      <ns0:c r="CG36" t="n">
        <ns0:f>IF($A36="",1,IF(CF36=1,1,--AND(IF($AC36&gt;0,INDEX(CF$7:CF$106,$AC36),1),IF($AD36&gt;0,INDEX(CF$7:CF$106,$AD36),1),IF($AE36&gt;0,INDEX(CF$7:CF$106,$AE36),1),IF($AF36&gt;0,INDEX(CF$7:CF$106,$AF36),1),IF($AG36&gt;0,INDEX(CF$7:CF$106,$AG36),1),IF($AH36&gt;0,INDEX(CF$7:CF$106,$AH36),1),IF($AI36&gt;0,INDEX(CF$7:CF$106,$AI36),1),IF($AJ36&gt;0,INDEX(CF$7:CF$106,$AJ36),1))))</ns0:f>
        <ns0:v>1</ns0:v>
      </ns0:c>
      <ns0:c r="CH36" t="n">
        <ns0:f>IF($A36="",1,IF(CG36=1,1,--AND(IF($AC36&gt;0,INDEX(CG$7:CG$106,$AC36),1),IF($AD36&gt;0,INDEX(CG$7:CG$106,$AD36),1),IF($AE36&gt;0,INDEX(CG$7:CG$106,$AE36),1),IF($AF36&gt;0,INDEX(CG$7:CG$106,$AF36),1),IF($AG36&gt;0,INDEX(CG$7:CG$106,$AG36),1),IF($AH36&gt;0,INDEX(CG$7:CG$106,$AH36),1),IF($AI36&gt;0,INDEX(CG$7:CG$106,$AI36),1),IF($AJ36&gt;0,INDEX(CG$7:CG$106,$AJ36),1))))</ns0:f>
        <ns0:v>1</ns0:v>
      </ns0:c>
      <ns0:c r="CI36" t="n">
        <ns0:f>IF($A36="",1,IF(CH36=1,1,--AND(IF($AC36&gt;0,INDEX(CH$7:CH$106,$AC36),1),IF($AD36&gt;0,INDEX(CH$7:CH$106,$AD36),1),IF($AE36&gt;0,INDEX(CH$7:CH$106,$AE36),1),IF($AF36&gt;0,INDEX(CH$7:CH$106,$AF36),1),IF($AG36&gt;0,INDEX(CH$7:CH$106,$AG36),1),IF($AH36&gt;0,INDEX(CH$7:CH$106,$AH36),1),IF($AI36&gt;0,INDEX(CH$7:CH$106,$AI36),1),IF($AJ36&gt;0,INDEX(CH$7:CH$106,$AJ36),1))))</ns0:f>
        <ns0:v>1</ns0:v>
      </ns0:c>
      <ns0:c r="CJ36" t="n">
        <ns0:f>IF($A36="",1,IF(CI36=1,1,--AND(IF($AC36&gt;0,INDEX(CI$7:CI$106,$AC36),1),IF($AD36&gt;0,INDEX(CI$7:CI$106,$AD36),1),IF($AE36&gt;0,INDEX(CI$7:CI$106,$AE36),1),IF($AF36&gt;0,INDEX(CI$7:CI$106,$AF36),1),IF($AG36&gt;0,INDEX(CI$7:CI$106,$AG36),1),IF($AH36&gt;0,INDEX(CI$7:CI$106,$AH36),1),IF($AI36&gt;0,INDEX(CI$7:CI$106,$AI36),1),IF($AJ36&gt;0,INDEX(CI$7:CI$106,$AJ36),1))))</ns0:f>
        <ns0:v>1</ns0:v>
      </ns0:c>
      <ns0:c r="CK36" t="n">
        <ns0:f>IF($A36="",1,IF(CJ36=1,1,--AND(IF($AC36&gt;0,INDEX(CJ$7:CJ$106,$AC36),1),IF($AD36&gt;0,INDEX(CJ$7:CJ$106,$AD36),1),IF($AE36&gt;0,INDEX(CJ$7:CJ$106,$AE36),1),IF($AF36&gt;0,INDEX(CJ$7:CJ$106,$AF36),1),IF($AG36&gt;0,INDEX(CJ$7:CJ$106,$AG36),1),IF($AH36&gt;0,INDEX(CJ$7:CJ$106,$AH36),1),IF($AI36&gt;0,INDEX(CJ$7:CJ$106,$AI36),1),IF($AJ36&gt;0,INDEX(CJ$7:CJ$106,$AJ36),1))))</ns0:f>
        <ns0:v>1</ns0:v>
      </ns0:c>
      <ns0:c r="CL36" t="n">
        <ns0:f>IF($A36="",1,IF(CK36=1,1,--AND(IF($AC36&gt;0,INDEX(CK$7:CK$106,$AC36),1),IF($AD36&gt;0,INDEX(CK$7:CK$106,$AD36),1),IF($AE36&gt;0,INDEX(CK$7:CK$106,$AE36),1),IF($AF36&gt;0,INDEX(CK$7:CK$106,$AF36),1),IF($AG36&gt;0,INDEX(CK$7:CK$106,$AG36),1),IF($AH36&gt;0,INDEX(CK$7:CK$106,$AH36),1),IF($AI36&gt;0,INDEX(CK$7:CK$106,$AI36),1),IF($AJ36&gt;0,INDEX(CK$7:CK$106,$AJ36),1))))</ns0:f>
        <ns0:v>1</ns0:v>
      </ns0:c>
      <ns0:c r="CM36" t="n">
        <ns0:f>IF($A36="",1,IF(CL36=1,1,--AND(IF($AC36&gt;0,INDEX(CL$7:CL$106,$AC36),1),IF($AD36&gt;0,INDEX(CL$7:CL$106,$AD36),1),IF($AE36&gt;0,INDEX(CL$7:CL$106,$AE36),1),IF($AF36&gt;0,INDEX(CL$7:CL$106,$AF36),1),IF($AG36&gt;0,INDEX(CL$7:CL$106,$AG36),1),IF($AH36&gt;0,INDEX(CL$7:CL$106,$AH36),1),IF($AI36&gt;0,INDEX(CL$7:CL$106,$AI36),1),IF($AJ36&gt;0,INDEX(CL$7:CL$106,$AJ36),1))))</ns0:f>
        <ns0:v>1</ns0:v>
      </ns0:c>
      <ns0:c r="CN36" t="n">
        <ns0:f>IF($A36="",1,IF(CM36=1,1,--AND(IF($AC36&gt;0,INDEX(CM$7:CM$106,$AC36),1),IF($AD36&gt;0,INDEX(CM$7:CM$106,$AD36),1),IF($AE36&gt;0,INDEX(CM$7:CM$106,$AE36),1),IF($AF36&gt;0,INDEX(CM$7:CM$106,$AF36),1),IF($AG36&gt;0,INDEX(CM$7:CM$106,$AG36),1),IF($AH36&gt;0,INDEX(CM$7:CM$106,$AH36),1),IF($AI36&gt;0,INDEX(CM$7:CM$106,$AI36),1),IF($AJ36&gt;0,INDEX(CM$7:CM$106,$AJ36),1))))</ns0:f>
        <ns0:v>1</ns0:v>
      </ns0:c>
      <ns0:c r="CO36" t="n">
        <ns0:f>IF($A36="",1,IF(CN36=1,1,--AND(IF($AC36&gt;0,INDEX(CN$7:CN$106,$AC36),1),IF($AD36&gt;0,INDEX(CN$7:CN$106,$AD36),1),IF($AE36&gt;0,INDEX(CN$7:CN$106,$AE36),1),IF($AF36&gt;0,INDEX(CN$7:CN$106,$AF36),1),IF($AG36&gt;0,INDEX(CN$7:CN$106,$AG36),1),IF($AH36&gt;0,INDEX(CN$7:CN$106,$AH36),1),IF($AI36&gt;0,INDEX(CN$7:CN$106,$AI36),1),IF($AJ36&gt;0,INDEX(CN$7:CN$106,$AJ36),1))))</ns0:f>
        <ns0:v>1</ns0:v>
      </ns0:c>
      <ns0:c r="CP36" t="n">
        <ns0:f>IF($A36="",1,IF(CO36=1,1,--AND(IF($AC36&gt;0,INDEX(CO$7:CO$106,$AC36),1),IF($AD36&gt;0,INDEX(CO$7:CO$106,$AD36),1),IF($AE36&gt;0,INDEX(CO$7:CO$106,$AE36),1),IF($AF36&gt;0,INDEX(CO$7:CO$106,$AF36),1),IF($AG36&gt;0,INDEX(CO$7:CO$106,$AG36),1),IF($AH36&gt;0,INDEX(CO$7:CO$106,$AH36),1),IF($AI36&gt;0,INDEX(CO$7:CO$106,$AI36),1),IF($AJ36&gt;0,INDEX(CO$7:CO$106,$AJ36),1))))</ns0:f>
        <ns0:v>1</ns0:v>
      </ns0:c>
      <ns0:c r="CQ36" t="n">
        <ns0:f>IF($A36="",1,IF(CP36=1,1,--AND(IF($AC36&gt;0,INDEX(CP$7:CP$106,$AC36),1),IF($AD36&gt;0,INDEX(CP$7:CP$106,$AD36),1),IF($AE36&gt;0,INDEX(CP$7:CP$106,$AE36),1),IF($AF36&gt;0,INDEX(CP$7:CP$106,$AF36),1),IF($AG36&gt;0,INDEX(CP$7:CP$106,$AG36),1),IF($AH36&gt;0,INDEX(CP$7:CP$106,$AH36),1),IF($AI36&gt;0,INDEX(CP$7:CP$106,$AI36),1),IF($AJ36&gt;0,INDEX(CP$7:CP$106,$AJ36),1))))</ns0:f>
        <ns0:v>1</ns0:v>
      </ns0:c>
      <ns0:c r="CR36" t="n">
        <ns0:f>IF($A36="",1,IF(CQ36=1,1,--AND(IF($AC36&gt;0,INDEX(CQ$7:CQ$106,$AC36),1),IF($AD36&gt;0,INDEX(CQ$7:CQ$106,$AD36),1),IF($AE36&gt;0,INDEX(CQ$7:CQ$106,$AE36),1),IF($AF36&gt;0,INDEX(CQ$7:CQ$106,$AF36),1),IF($AG36&gt;0,INDEX(CQ$7:CQ$106,$AG36),1),IF($AH36&gt;0,INDEX(CQ$7:CQ$106,$AH36),1),IF($AI36&gt;0,INDEX(CQ$7:CQ$106,$AI36),1),IF($AJ36&gt;0,INDEX(CQ$7:CQ$106,$AJ36),1))))</ns0:f>
        <ns0:v>1</ns0:v>
      </ns0:c>
      <ns0:c r="CS36" t="n">
        <ns0:f>IF($A36="",1,IF(CR36=1,1,--AND(IF($AC36&gt;0,INDEX(CR$7:CR$106,$AC36),1),IF($AD36&gt;0,INDEX(CR$7:CR$106,$AD36),1),IF($AE36&gt;0,INDEX(CR$7:CR$106,$AE36),1),IF($AF36&gt;0,INDEX(CR$7:CR$106,$AF36),1),IF($AG36&gt;0,INDEX(CR$7:CR$106,$AG36),1),IF($AH36&gt;0,INDEX(CR$7:CR$106,$AH36),1),IF($AI36&gt;0,INDEX(CR$7:CR$106,$AI36),1),IF($AJ36&gt;0,INDEX(CR$7:CR$106,$AJ36),1))))</ns0:f>
        <ns0:v>1</ns0:v>
      </ns0:c>
      <ns0:c r="CT36" t="n">
        <ns0:f>IF($A36="",1,IF(CS36=1,1,--AND(IF($AC36&gt;0,INDEX(CS$7:CS$106,$AC36),1),IF($AD36&gt;0,INDEX(CS$7:CS$106,$AD36),1),IF($AE36&gt;0,INDEX(CS$7:CS$106,$AE36),1),IF($AF36&gt;0,INDEX(CS$7:CS$106,$AF36),1),IF($AG36&gt;0,INDEX(CS$7:CS$106,$AG36),1),IF($AH36&gt;0,INDEX(CS$7:CS$106,$AH36),1),IF($AI36&gt;0,INDEX(CS$7:CS$106,$AI36),1),IF($AJ36&gt;0,INDEX(CS$7:CS$106,$AJ36),1))))</ns0:f>
        <ns0:v>1</ns0:v>
      </ns0:c>
      <ns0:c r="CU36" t="n">
        <ns0:f>IF($A36="",1,IF(CT36=1,1,--AND(IF($AC36&gt;0,INDEX(CT$7:CT$106,$AC36),1),IF($AD36&gt;0,INDEX(CT$7:CT$106,$AD36),1),IF($AE36&gt;0,INDEX(CT$7:CT$106,$AE36),1),IF($AF36&gt;0,INDEX(CT$7:CT$106,$AF36),1),IF($AG36&gt;0,INDEX(CT$7:CT$106,$AG36),1),IF($AH36&gt;0,INDEX(CT$7:CT$106,$AH36),1),IF($AI36&gt;0,INDEX(CT$7:CT$106,$AI36),1),IF($AJ36&gt;0,INDEX(CT$7:CT$106,$AJ36),1))))</ns0:f>
        <ns0:v>1</ns0:v>
      </ns0:c>
      <ns0:c r="CV36" t="n">
        <ns0:f>IF($A36="",1,IF(CU36=1,1,--AND(IF($AC36&gt;0,INDEX(CU$7:CU$106,$AC36),1),IF($AD36&gt;0,INDEX(CU$7:CU$106,$AD36),1),IF($AE36&gt;0,INDEX(CU$7:CU$106,$AE36),1),IF($AF36&gt;0,INDEX(CU$7:CU$106,$AF36),1),IF($AG36&gt;0,INDEX(CU$7:CU$106,$AG36),1),IF($AH36&gt;0,INDEX(CU$7:CU$106,$AH36),1),IF($AI36&gt;0,INDEX(CU$7:CU$106,$AI36),1),IF($AJ36&gt;0,INDEX(CU$7:CU$106,$AJ36),1))))</ns0:f>
        <ns0:v>1</ns0:v>
      </ns0:c>
      <ns0:c r="CW36" t="n">
        <ns0:f>IF($A36="",1,IF(CV36=1,1,--AND(IF($AC36&gt;0,INDEX(CV$7:CV$106,$AC36),1),IF($AD36&gt;0,INDEX(CV$7:CV$106,$AD36),1),IF($AE36&gt;0,INDEX(CV$7:CV$106,$AE36),1),IF($AF36&gt;0,INDEX(CV$7:CV$106,$AF36),1),IF($AG36&gt;0,INDEX(CV$7:CV$106,$AG36),1),IF($AH36&gt;0,INDEX(CV$7:CV$106,$AH36),1),IF($AI36&gt;0,INDEX(CV$7:CV$106,$AI36),1),IF($AJ36&gt;0,INDEX(CV$7:CV$106,$AJ36),1))))</ns0:f>
        <ns0:v>1</ns0:v>
      </ns0:c>
      <ns0:c r="CX36" t="n">
        <ns0:f>IF($A36="",1,IF(CW36=1,1,--AND(IF($AC36&gt;0,INDEX(CW$7:CW$106,$AC36),1),IF($AD36&gt;0,INDEX(CW$7:CW$106,$AD36),1),IF($AE36&gt;0,INDEX(CW$7:CW$106,$AE36),1),IF($AF36&gt;0,INDEX(CW$7:CW$106,$AF36),1),IF($AG36&gt;0,INDEX(CW$7:CW$106,$AG36),1),IF($AH36&gt;0,INDEX(CW$7:CW$106,$AH36),1),IF($AI36&gt;0,INDEX(CW$7:CW$106,$AI36),1),IF($AJ36&gt;0,INDEX(CW$7:CW$106,$AJ36),1))))</ns0:f>
        <ns0:v>1</ns0:v>
      </ns0:c>
      <ns0:c r="CY36" t="n">
        <ns0:f>IF($A36="",1,IF(CX36=1,1,--AND(IF($AC36&gt;0,INDEX(CX$7:CX$106,$AC36),1),IF($AD36&gt;0,INDEX(CX$7:CX$106,$AD36),1),IF($AE36&gt;0,INDEX(CX$7:CX$106,$AE36),1),IF($AF36&gt;0,INDEX(CX$7:CX$106,$AF36),1),IF($AG36&gt;0,INDEX(CX$7:CX$106,$AG36),1),IF($AH36&gt;0,INDEX(CX$7:CX$106,$AH36),1),IF($AI36&gt;0,INDEX(CX$7:CX$106,$AI36),1),IF($AJ36&gt;0,INDEX(CX$7:CX$106,$AJ36),1))))</ns0:f>
        <ns0:v>1</ns0:v>
      </ns0:c>
      <ns0:c r="CZ36" t="n">
        <ns0:f>IF($A36="",1,IF(CY36=1,1,--AND(IF($AC36&gt;0,INDEX(CY$7:CY$106,$AC36),1),IF($AD36&gt;0,INDEX(CY$7:CY$106,$AD36),1),IF($AE36&gt;0,INDEX(CY$7:CY$106,$AE36),1),IF($AF36&gt;0,INDEX(CY$7:CY$106,$AF36),1),IF($AG36&gt;0,INDEX(CY$7:CY$106,$AG36),1),IF($AH36&gt;0,INDEX(CY$7:CY$106,$AH36),1),IF($AI36&gt;0,INDEX(CY$7:CY$106,$AI36),1),IF($AJ36&gt;0,INDEX(CY$7:CY$106,$AJ36),1))))</ns0:f>
        <ns0:v>1</ns0:v>
      </ns0:c>
      <ns0:c r="DA36" t="n">
        <ns0:f>IF($A36="",1,IF(CZ36=1,1,--AND(IF($AC36&gt;0,INDEX(CZ$7:CZ$106,$AC36),1),IF($AD36&gt;0,INDEX(CZ$7:CZ$106,$AD36),1),IF($AE36&gt;0,INDEX(CZ$7:CZ$106,$AE36),1),IF($AF36&gt;0,INDEX(CZ$7:CZ$106,$AF36),1),IF($AG36&gt;0,INDEX(CZ$7:CZ$106,$AG36),1),IF($AH36&gt;0,INDEX(CZ$7:CZ$106,$AH36),1),IF($AI36&gt;0,INDEX(CZ$7:CZ$106,$AI36),1),IF($AJ36&gt;0,INDEX(CZ$7:CZ$106,$AJ36),1))))</ns0:f>
        <ns0:v>1</ns0:v>
      </ns0:c>
      <ns0:c r="DB36" t="n">
        <ns0:f>IF($A36="",1,IF(DA36=1,1,--AND(IF($AC36&gt;0,INDEX(DA$7:DA$106,$AC36),1),IF($AD36&gt;0,INDEX(DA$7:DA$106,$AD36),1),IF($AE36&gt;0,INDEX(DA$7:DA$106,$AE36),1),IF($AF36&gt;0,INDEX(DA$7:DA$106,$AF36),1),IF($AG36&gt;0,INDEX(DA$7:DA$106,$AG36),1),IF($AH36&gt;0,INDEX(DA$7:DA$106,$AH36),1),IF($AI36&gt;0,INDEX(DA$7:DA$106,$AI36),1),IF($AJ36&gt;0,INDEX(DA$7:DA$106,$AJ36),1))))</ns0:f>
        <ns0:v>1</ns0:v>
      </ns0:c>
      <ns0:c r="DC36" t="n">
        <ns0:f>IF($A36="",1,IF(DB36=1,1,--AND(IF($AC36&gt;0,INDEX(DB$7:DB$106,$AC36),1),IF($AD36&gt;0,INDEX(DB$7:DB$106,$AD36),1),IF($AE36&gt;0,INDEX(DB$7:DB$106,$AE36),1),IF($AF36&gt;0,INDEX(DB$7:DB$106,$AF36),1),IF($AG36&gt;0,INDEX(DB$7:DB$106,$AG36),1),IF($AH36&gt;0,INDEX(DB$7:DB$106,$AH36),1),IF($AI36&gt;0,INDEX(DB$7:DB$106,$AI36),1),IF($AJ36&gt;0,INDEX(DB$7:DB$106,$AJ36),1))))</ns0:f>
        <ns0:v>1</ns0:v>
      </ns0:c>
      <ns0:c r="DD36" t="n">
        <ns0:f>IF($A36="",1,IF(DC36=1,1,--AND(IF($AC36&gt;0,INDEX(DC$7:DC$106,$AC36),1),IF($AD36&gt;0,INDEX(DC$7:DC$106,$AD36),1),IF($AE36&gt;0,INDEX(DC$7:DC$106,$AE36),1),IF($AF36&gt;0,INDEX(DC$7:DC$106,$AF36),1),IF($AG36&gt;0,INDEX(DC$7:DC$106,$AG36),1),IF($AH36&gt;0,INDEX(DC$7:DC$106,$AH36),1),IF($AI36&gt;0,INDEX(DC$7:DC$106,$AI36),1),IF($AJ36&gt;0,INDEX(DC$7:DC$106,$AJ36),1))))</ns0:f>
        <ns0:v>1</ns0:v>
      </ns0:c>
      <ns0:c r="DE36" t="n">
        <ns0:f>IF($A36="",1,IF(DD36=1,1,--AND(IF($AC36&gt;0,INDEX(DD$7:DD$106,$AC36),1),IF($AD36&gt;0,INDEX(DD$7:DD$106,$AD36),1),IF($AE36&gt;0,INDEX(DD$7:DD$106,$AE36),1),IF($AF36&gt;0,INDEX(DD$7:DD$106,$AF36),1),IF($AG36&gt;0,INDEX(DD$7:DD$106,$AG36),1),IF($AH36&gt;0,INDEX(DD$7:DD$106,$AH36),1),IF($AI36&gt;0,INDEX(DD$7:DD$106,$AI36),1),IF($AJ36&gt;0,INDEX(DD$7:DD$106,$AJ36),1))))</ns0:f>
        <ns0:v>1</ns0:v>
      </ns0:c>
      <ns0:c r="DF36" t="n">
        <ns0:f>IF($A36="",1,IF(DE36=1,1,--AND(IF($AC36&gt;0,INDEX(DE$7:DE$106,$AC36),1),IF($AD36&gt;0,INDEX(DE$7:DE$106,$AD36),1),IF($AE36&gt;0,INDEX(DE$7:DE$106,$AE36),1),IF($AF36&gt;0,INDEX(DE$7:DE$106,$AF36),1),IF($AG36&gt;0,INDEX(DE$7:DE$106,$AG36),1),IF($AH36&gt;0,INDEX(DE$7:DE$106,$AH36),1),IF($AI36&gt;0,INDEX(DE$7:DE$106,$AI36),1),IF($AJ36&gt;0,INDEX(DE$7:DE$106,$AJ36),1))))</ns0:f>
        <ns0:v>1</ns0:v>
      </ns0:c>
      <ns0:c r="DG36" t="n">
        <ns0:f>IF($A36="",1,IF(DF36=1,1,--AND(IF($AC36&gt;0,INDEX(DF$7:DF$106,$AC36),1),IF($AD36&gt;0,INDEX(DF$7:DF$106,$AD36),1),IF($AE36&gt;0,INDEX(DF$7:DF$106,$AE36),1),IF($AF36&gt;0,INDEX(DF$7:DF$106,$AF36),1),IF($AG36&gt;0,INDEX(DF$7:DF$106,$AG36),1),IF($AH36&gt;0,INDEX(DF$7:DF$106,$AH36),1),IF($AI36&gt;0,INDEX(DF$7:DF$106,$AI36),1),IF($AJ36&gt;0,INDEX(DF$7:DF$106,$AJ36),1))))</ns0:f>
        <ns0:v>1</ns0:v>
      </ns0:c>
      <ns0:c r="DH36" t="n">
        <ns0:f>IF($A36="",1,IF(DG36=1,1,--AND(IF($AC36&gt;0,INDEX(DG$7:DG$106,$AC36),1),IF($AD36&gt;0,INDEX(DG$7:DG$106,$AD36),1),IF($AE36&gt;0,INDEX(DG$7:DG$106,$AE36),1),IF($AF36&gt;0,INDEX(DG$7:DG$106,$AF36),1),IF($AG36&gt;0,INDEX(DG$7:DG$106,$AG36),1),IF($AH36&gt;0,INDEX(DG$7:DG$106,$AH36),1),IF($AI36&gt;0,INDEX(DG$7:DG$106,$AI36),1),IF($AJ36&gt;0,INDEX(DG$7:DG$106,$AJ36),1))))</ns0:f>
        <ns0:v>1</ns0:v>
      </ns0:c>
      <ns0:c r="DI36" t="n">
        <ns0:f>IF($A36="",1,IF(DH36=1,1,--AND(IF($AC36&gt;0,INDEX(DH$7:DH$106,$AC36),1),IF($AD36&gt;0,INDEX(DH$7:DH$106,$AD36),1),IF($AE36&gt;0,INDEX(DH$7:DH$106,$AE36),1),IF($AF36&gt;0,INDEX(DH$7:DH$106,$AF36),1),IF($AG36&gt;0,INDEX(DH$7:DH$106,$AG36),1),IF($AH36&gt;0,INDEX(DH$7:DH$106,$AH36),1),IF($AI36&gt;0,INDEX(DH$7:DH$106,$AI36),1),IF($AJ36&gt;0,INDEX(DH$7:DH$106,$AJ36),1))))</ns0:f>
        <ns0:v>1</ns0:v>
      </ns0:c>
      <ns0:c r="DJ36" t="n">
        <ns0:f>IF($A36="",1,IF(DI36=1,1,--AND(IF($AC36&gt;0,INDEX(DI$7:DI$106,$AC36),1),IF($AD36&gt;0,INDEX(DI$7:DI$106,$AD36),1),IF($AE36&gt;0,INDEX(DI$7:DI$106,$AE36),1),IF($AF36&gt;0,INDEX(DI$7:DI$106,$AF36),1),IF($AG36&gt;0,INDEX(DI$7:DI$106,$AG36),1),IF($AH36&gt;0,INDEX(DI$7:DI$106,$AH36),1),IF($AI36&gt;0,INDEX(DI$7:DI$106,$AI36),1),IF($AJ36&gt;0,INDEX(DI$7:DI$106,$AJ36),1))))</ns0:f>
        <ns0:v>1</ns0:v>
      </ns0:c>
      <ns0:c r="DK36" t="n">
        <ns0:f>IF($A36="",1,IF(DJ36=1,1,--AND(IF($AC36&gt;0,INDEX(DJ$7:DJ$106,$AC36),1),IF($AD36&gt;0,INDEX(DJ$7:DJ$106,$AD36),1),IF($AE36&gt;0,INDEX(DJ$7:DJ$106,$AE36),1),IF($AF36&gt;0,INDEX(DJ$7:DJ$106,$AF36),1),IF($AG36&gt;0,INDEX(DJ$7:DJ$106,$AG36),1),IF($AH36&gt;0,INDEX(DJ$7:DJ$106,$AH36),1),IF($AI36&gt;0,INDEX(DJ$7:DJ$106,$AI36),1),IF($AJ36&gt;0,INDEX(DJ$7:DJ$106,$AJ36),1))))</ns0:f>
        <ns0:v>1</ns0:v>
      </ns0:c>
      <ns0:c r="DL36" t="n">
        <ns0:f>IF($A36="",1,IF(DK36=1,1,--AND(IF($AC36&gt;0,INDEX(DK$7:DK$106,$AC36),1),IF($AD36&gt;0,INDEX(DK$7:DK$106,$AD36),1),IF($AE36&gt;0,INDEX(DK$7:DK$106,$AE36),1),IF($AF36&gt;0,INDEX(DK$7:DK$106,$AF36),1),IF($AG36&gt;0,INDEX(DK$7:DK$106,$AG36),1),IF($AH36&gt;0,INDEX(DK$7:DK$106,$AH36),1),IF($AI36&gt;0,INDEX(DK$7:DK$106,$AI36),1),IF($AJ36&gt;0,INDEX(DK$7:DK$106,$AJ36),1))))</ns0:f>
        <ns0:v>1</ns0:v>
      </ns0:c>
      <ns0:c r="DM36" t="n">
        <ns0:f>IF($A36="",1,IF(DL36=1,1,--AND(IF($AC36&gt;0,INDEX(DL$7:DL$106,$AC36),1),IF($AD36&gt;0,INDEX(DL$7:DL$106,$AD36),1),IF($AE36&gt;0,INDEX(DL$7:DL$106,$AE36),1),IF($AF36&gt;0,INDEX(DL$7:DL$106,$AF36),1),IF($AG36&gt;0,INDEX(DL$7:DL$106,$AG36),1),IF($AH36&gt;0,INDEX(DL$7:DL$106,$AH36),1),IF($AI36&gt;0,INDEX(DL$7:DL$106,$AI36),1),IF($AJ36&gt;0,INDEX(DL$7:DL$106,$AJ36),1))))</ns0:f>
        <ns0:v>1</ns0:v>
      </ns0:c>
      <ns0:c r="DN36" t="n">
        <ns0:f>IF($A36="",1,IF(DM36=1,1,--AND(IF($AC36&gt;0,INDEX(DM$7:DM$106,$AC36),1),IF($AD36&gt;0,INDEX(DM$7:DM$106,$AD36),1),IF($AE36&gt;0,INDEX(DM$7:DM$106,$AE36),1),IF($AF36&gt;0,INDEX(DM$7:DM$106,$AF36),1),IF($AG36&gt;0,INDEX(DM$7:DM$106,$AG36),1),IF($AH36&gt;0,INDEX(DM$7:DM$106,$AH36),1),IF($AI36&gt;0,INDEX(DM$7:DM$106,$AI36),1),IF($AJ36&gt;0,INDEX(DM$7:DM$106,$AJ36),1))))</ns0:f>
        <ns0:v>1</ns0:v>
      </ns0:c>
      <ns0:c r="DO36" t="n">
        <ns0:f>IF($A36="",1,IF(DN36=1,1,--AND(IF($AC36&gt;0,INDEX(DN$7:DN$106,$AC36),1),IF($AD36&gt;0,INDEX(DN$7:DN$106,$AD36),1),IF($AE36&gt;0,INDEX(DN$7:DN$106,$AE36),1),IF($AF36&gt;0,INDEX(DN$7:DN$106,$AF36),1),IF($AG36&gt;0,INDEX(DN$7:DN$106,$AG36),1),IF($AH36&gt;0,INDEX(DN$7:DN$106,$AH36),1),IF($AI36&gt;0,INDEX(DN$7:DN$106,$AI36),1),IF($AJ36&gt;0,INDEX(DN$7:DN$106,$AJ36),1))))</ns0:f>
        <ns0:v>1</ns0:v>
      </ns0:c>
      <ns0:c r="DP36" t="n">
        <ns0:f>IF($A36="",1,IF(DO36=1,1,--AND(IF($AC36&gt;0,INDEX(DO$7:DO$106,$AC36),1),IF($AD36&gt;0,INDEX(DO$7:DO$106,$AD36),1),IF($AE36&gt;0,INDEX(DO$7:DO$106,$AE36),1),IF($AF36&gt;0,INDEX(DO$7:DO$106,$AF36),1),IF($AG36&gt;0,INDEX(DO$7:DO$106,$AG36),1),IF($AH36&gt;0,INDEX(DO$7:DO$106,$AH36),1),IF($AI36&gt;0,INDEX(DO$7:DO$106,$AI36),1),IF($AJ36&gt;0,INDEX(DO$7:DO$106,$AJ36),1))))</ns0:f>
        <ns0:v>1</ns0:v>
      </ns0:c>
      <ns0:c r="DQ36" t="n">
        <ns0:f>IF($A36="",1,IF(DP36=1,1,--AND(IF($AC36&gt;0,INDEX(DP$7:DP$106,$AC36),1),IF($AD36&gt;0,INDEX(DP$7:DP$106,$AD36),1),IF($AE36&gt;0,INDEX(DP$7:DP$106,$AE36),1),IF($AF36&gt;0,INDEX(DP$7:DP$106,$AF36),1),IF($AG36&gt;0,INDEX(DP$7:DP$106,$AG36),1),IF($AH36&gt;0,INDEX(DP$7:DP$106,$AH36),1),IF($AI36&gt;0,INDEX(DP$7:DP$106,$AI36),1),IF($AJ36&gt;0,INDEX(DP$7:DP$106,$AJ36),1))))</ns0:f>
        <ns0:v>1</ns0:v>
      </ns0:c>
      <ns0:c r="DR36" t="n">
        <ns0:f>IF($A36="",1,IF(DQ36=1,1,--AND(IF($AC36&gt;0,INDEX(DQ$7:DQ$106,$AC36),1),IF($AD36&gt;0,INDEX(DQ$7:DQ$106,$AD36),1),IF($AE36&gt;0,INDEX(DQ$7:DQ$106,$AE36),1),IF($AF36&gt;0,INDEX(DQ$7:DQ$106,$AF36),1),IF($AG36&gt;0,INDEX(DQ$7:DQ$106,$AG36),1),IF($AH36&gt;0,INDEX(DQ$7:DQ$106,$AH36),1),IF($AI36&gt;0,INDEX(DQ$7:DQ$106,$AI36),1),IF($AJ36&gt;0,INDEX(DQ$7:DQ$106,$AJ36),1))))</ns0:f>
        <ns0:v>1</ns0:v>
      </ns0:c>
      <ns0:c r="DS36" t="n">
        <ns0:f>IF($A36="",1,IF(DR36=1,1,--AND(IF($AC36&gt;0,INDEX(DR$7:DR$106,$AC36),1),IF($AD36&gt;0,INDEX(DR$7:DR$106,$AD36),1),IF($AE36&gt;0,INDEX(DR$7:DR$106,$AE36),1),IF($AF36&gt;0,INDEX(DR$7:DR$106,$AF36),1),IF($AG36&gt;0,INDEX(DR$7:DR$106,$AG36),1),IF($AH36&gt;0,INDEX(DR$7:DR$106,$AH36),1),IF($AI36&gt;0,INDEX(DR$7:DR$106,$AI36),1),IF($AJ36&gt;0,INDEX(DR$7:DR$106,$AJ36),1))))</ns0:f>
        <ns0:v>1</ns0:v>
      </ns0:c>
      <ns0:c r="DT36" t="n">
        <ns0:f>IF($A36="",1,IF(DS36=1,1,--AND(IF($AC36&gt;0,INDEX(DS$7:DS$106,$AC36),1),IF($AD36&gt;0,INDEX(DS$7:DS$106,$AD36),1),IF($AE36&gt;0,INDEX(DS$7:DS$106,$AE36),1),IF($AF36&gt;0,INDEX(DS$7:DS$106,$AF36),1),IF($AG36&gt;0,INDEX(DS$7:DS$106,$AG36),1),IF($AH36&gt;0,INDEX(DS$7:DS$106,$AH36),1),IF($AI36&gt;0,INDEX(DS$7:DS$106,$AI36),1),IF($AJ36&gt;0,INDEX(DS$7:DS$106,$AJ36),1))))</ns0:f>
        <ns0:v>1</ns0:v>
      </ns0:c>
      <ns0:c r="DU36" t="n">
        <ns0:f>IF($A36="",1,IF(DT36=1,1,--AND(IF($AC36&gt;0,INDEX(DT$7:DT$106,$AC36),1),IF($AD36&gt;0,INDEX(DT$7:DT$106,$AD36),1),IF($AE36&gt;0,INDEX(DT$7:DT$106,$AE36),1),IF($AF36&gt;0,INDEX(DT$7:DT$106,$AF36),1),IF($AG36&gt;0,INDEX(DT$7:DT$106,$AG36),1),IF($AH36&gt;0,INDEX(DT$7:DT$106,$AH36),1),IF($AI36&gt;0,INDEX(DT$7:DT$106,$AI36),1),IF($AJ36&gt;0,INDEX(DT$7:DT$106,$AJ36),1))))</ns0:f>
        <ns0:v>1</ns0:v>
      </ns0:c>
      <ns0:c r="DV36" t="n">
        <ns0:f>IF($A36="",1,IF(DU36=1,1,--AND(IF($AC36&gt;0,INDEX(DU$7:DU$106,$AC36),1),IF($AD36&gt;0,INDEX(DU$7:DU$106,$AD36),1),IF($AE36&gt;0,INDEX(DU$7:DU$106,$AE36),1),IF($AF36&gt;0,INDEX(DU$7:DU$106,$AF36),1),IF($AG36&gt;0,INDEX(DU$7:DU$106,$AG36),1),IF($AH36&gt;0,INDEX(DU$7:DU$106,$AH36),1),IF($AI36&gt;0,INDEX(DU$7:DU$106,$AI36),1),IF($AJ36&gt;0,INDEX(DU$7:DU$106,$AJ36),1))))</ns0:f>
        <ns0:v>1</ns0:v>
      </ns0:c>
      <ns0:c r="DW36" t="n">
        <ns0:f>IF($A36="",1,IF(DV36=1,1,--AND(IF($AC36&gt;0,INDEX(DV$7:DV$106,$AC36),1),IF($AD36&gt;0,INDEX(DV$7:DV$106,$AD36),1),IF($AE36&gt;0,INDEX(DV$7:DV$106,$AE36),1),IF($AF36&gt;0,INDEX(DV$7:DV$106,$AF36),1),IF($AG36&gt;0,INDEX(DV$7:DV$106,$AG36),1),IF($AH36&gt;0,INDEX(DV$7:DV$106,$AH36),1),IF($AI36&gt;0,INDEX(DV$7:DV$106,$AI36),1),IF($AJ36&gt;0,INDEX(DV$7:DV$106,$AJ36),1))))</ns0:f>
        <ns0:v>1</ns0:v>
      </ns0:c>
      <ns0:c r="DX36" t="n">
        <ns0:f>IF($A36="",1,IF(DW36=1,1,--AND(IF($AC36&gt;0,INDEX(DW$7:DW$106,$AC36),1),IF($AD36&gt;0,INDEX(DW$7:DW$106,$AD36),1),IF($AE36&gt;0,INDEX(DW$7:DW$106,$AE36),1),IF($AF36&gt;0,INDEX(DW$7:DW$106,$AF36),1),IF($AG36&gt;0,INDEX(DW$7:DW$106,$AG36),1),IF($AH36&gt;0,INDEX(DW$7:DW$106,$AH36),1),IF($AI36&gt;0,INDEX(DW$7:DW$106,$AI36),1),IF($AJ36&gt;0,INDEX(DW$7:DW$106,$AJ36),1))))</ns0:f>
        <ns0:v>1</ns0:v>
      </ns0:c>
      <ns0:c r="DY36" t="n">
        <ns0:f>IF($A36="",1,IF(DX36=1,1,--AND(IF($AC36&gt;0,INDEX(DX$7:DX$106,$AC36),1),IF($AD36&gt;0,INDEX(DX$7:DX$106,$AD36),1),IF($AE36&gt;0,INDEX(DX$7:DX$106,$AE36),1),IF($AF36&gt;0,INDEX(DX$7:DX$106,$AF36),1),IF($AG36&gt;0,INDEX(DX$7:DX$106,$AG36),1),IF($AH36&gt;0,INDEX(DX$7:DX$106,$AH36),1),IF($AI36&gt;0,INDEX(DX$7:DX$106,$AI36),1),IF($AJ36&gt;0,INDEX(DX$7:DX$106,$AJ36),1))))</ns0:f>
        <ns0:v>1</ns0:v>
      </ns0:c>
      <ns0:c r="DZ36" t="n">
        <ns0:f>IF($A36="",1,IF(DY36=1,1,--AND(IF($AC36&gt;0,INDEX(DY$7:DY$106,$AC36),1),IF($AD36&gt;0,INDEX(DY$7:DY$106,$AD36),1),IF($AE36&gt;0,INDEX(DY$7:DY$106,$AE36),1),IF($AF36&gt;0,INDEX(DY$7:DY$106,$AF36),1),IF($AG36&gt;0,INDEX(DY$7:DY$106,$AG36),1),IF($AH36&gt;0,INDEX(DY$7:DY$106,$AH36),1),IF($AI36&gt;0,INDEX(DY$7:DY$106,$AI36),1),IF($AJ36&gt;0,INDEX(DY$7:DY$106,$AJ36),1))))</ns0:f>
        <ns0:v>1</ns0:v>
      </ns0:c>
      <ns0:c r="EA36" t="n">
        <ns0:f>IF($A36="",1,IF(DZ36=1,1,--AND(IF($AC36&gt;0,INDEX(DZ$7:DZ$106,$AC36),1),IF($AD36&gt;0,INDEX(DZ$7:DZ$106,$AD36),1),IF($AE36&gt;0,INDEX(DZ$7:DZ$106,$AE36),1),IF($AF36&gt;0,INDEX(DZ$7:DZ$106,$AF36),1),IF($AG36&gt;0,INDEX(DZ$7:DZ$106,$AG36),1),IF($AH36&gt;0,INDEX(DZ$7:DZ$106,$AH36),1),IF($AI36&gt;0,INDEX(DZ$7:DZ$106,$AI36),1),IF($AJ36&gt;0,INDEX(DZ$7:DZ$106,$AJ36),1))))</ns0:f>
        <ns0:v>1</ns0:v>
      </ns0:c>
      <ns0:c r="EB36" t="n">
        <ns0:f>IF($A36="",1,IF(EA36=1,1,--AND(IF($AC36&gt;0,INDEX(EA$7:EA$106,$AC36),1),IF($AD36&gt;0,INDEX(EA$7:EA$106,$AD36),1),IF($AE36&gt;0,INDEX(EA$7:EA$106,$AE36),1),IF($AF36&gt;0,INDEX(EA$7:EA$106,$AF36),1),IF($AG36&gt;0,INDEX(EA$7:EA$106,$AG36),1),IF($AH36&gt;0,INDEX(EA$7:EA$106,$AH36),1),IF($AI36&gt;0,INDEX(EA$7:EA$106,$AI36),1),IF($AJ36&gt;0,INDEX(EA$7:EA$106,$AJ36),1))))</ns0:f>
        <ns0:v>1</ns0:v>
      </ns0:c>
      <ns0:c r="EC36" t="n">
        <ns0:f>IF($A36="",1,IF(EB36=1,1,--AND(IF($AC36&gt;0,INDEX(EB$7:EB$106,$AC36),1),IF($AD36&gt;0,INDEX(EB$7:EB$106,$AD36),1),IF($AE36&gt;0,INDEX(EB$7:EB$106,$AE36),1),IF($AF36&gt;0,INDEX(EB$7:EB$106,$AF36),1),IF($AG36&gt;0,INDEX(EB$7:EB$106,$AG36),1),IF($AH36&gt;0,INDEX(EB$7:EB$106,$AH36),1),IF($AI36&gt;0,INDEX(EB$7:EB$106,$AI36),1),IF($AJ36&gt;0,INDEX(EB$7:EB$106,$AJ36),1))))</ns0:f>
        <ns0:v>1</ns0:v>
      </ns0:c>
      <ns0:c r="ED36" t="n">
        <ns0:f>IF($A36="",1,IF(EC36=1,1,--AND(IF($AC36&gt;0,INDEX(EC$7:EC$106,$AC36),1),IF($AD36&gt;0,INDEX(EC$7:EC$106,$AD36),1),IF($AE36&gt;0,INDEX(EC$7:EC$106,$AE36),1),IF($AF36&gt;0,INDEX(EC$7:EC$106,$AF36),1),IF($AG36&gt;0,INDEX(EC$7:EC$106,$AG36),1),IF($AH36&gt;0,INDEX(EC$7:EC$106,$AH36),1),IF($AI36&gt;0,INDEX(EC$7:EC$106,$AI36),1),IF($AJ36&gt;0,INDEX(EC$7:EC$106,$AJ36),1))))</ns0:f>
        <ns0:v>1</ns0:v>
      </ns0:c>
      <ns0:c r="EE36" t="n">
        <ns0:f>IF($A36="",1,IF(ED36=1,1,--AND(IF($AC36&gt;0,INDEX(ED$7:ED$106,$AC36),1),IF($AD36&gt;0,INDEX(ED$7:ED$106,$AD36),1),IF($AE36&gt;0,INDEX(ED$7:ED$106,$AE36),1),IF($AF36&gt;0,INDEX(ED$7:ED$106,$AF36),1),IF($AG36&gt;0,INDEX(ED$7:ED$106,$AG36),1),IF($AH36&gt;0,INDEX(ED$7:ED$106,$AH36),1),IF($AI36&gt;0,INDEX(ED$7:ED$106,$AI36),1),IF($AJ36&gt;0,INDEX(ED$7:ED$106,$AJ36),1))))</ns0:f>
        <ns0:v>1</ns0:v>
      </ns0:c>
      <ns0:c r="EF36" t="n">
        <ns0:f>IF($A36="",1,IF(EE36=1,1,--AND(IF($AC36&gt;0,INDEX(EE$7:EE$106,$AC36),1),IF($AD36&gt;0,INDEX(EE$7:EE$106,$AD36),1),IF($AE36&gt;0,INDEX(EE$7:EE$106,$AE36),1),IF($AF36&gt;0,INDEX(EE$7:EE$106,$AF36),1),IF($AG36&gt;0,INDEX(EE$7:EE$106,$AG36),1),IF($AH36&gt;0,INDEX(EE$7:EE$106,$AH36),1),IF($AI36&gt;0,INDEX(EE$7:EE$106,$AI36),1),IF($AJ36&gt;0,INDEX(EE$7:EE$106,$AJ36),1))))</ns0:f>
        <ns0:v>1</ns0:v>
      </ns0:c>
      <ns0:c r="EG36" t="n">
        <ns0:f>IF($A36="",1,IF(EF36=1,1,--AND(IF($AC36&gt;0,INDEX(EF$7:EF$106,$AC36),1),IF($AD36&gt;0,INDEX(EF$7:EF$106,$AD36),1),IF($AE36&gt;0,INDEX(EF$7:EF$106,$AE36),1),IF($AF36&gt;0,INDEX(EF$7:EF$106,$AF36),1),IF($AG36&gt;0,INDEX(EF$7:EF$106,$AG36),1),IF($AH36&gt;0,INDEX(EF$7:EF$106,$AH36),1),IF($AI36&gt;0,INDEX(EF$7:EF$106,$AI36),1),IF($AJ36&gt;0,INDEX(EF$7:EF$106,$AJ36),1))))</ns0:f>
        <ns0:v>1</ns0:v>
      </ns0:c>
      <ns0:c r="EH36" t="n">
        <ns0:f>IF($A36="",1,IF(EG36=1,1,--AND(IF($AC36&gt;0,INDEX(EG$7:EG$106,$AC36),1),IF($AD36&gt;0,INDEX(EG$7:EG$106,$AD36),1),IF($AE36&gt;0,INDEX(EG$7:EG$106,$AE36),1),IF($AF36&gt;0,INDEX(EG$7:EG$106,$AF36),1),IF($AG36&gt;0,INDEX(EG$7:EG$106,$AG36),1),IF($AH36&gt;0,INDEX(EG$7:EG$106,$AH36),1),IF($AI36&gt;0,INDEX(EG$7:EG$106,$AI36),1),IF($AJ36&gt;0,INDEX(EG$7:EG$106,$AJ36),1))))</ns0:f>
        <ns0:v>1</ns0:v>
      </ns0:c>
      <ns0:c r="EI36" t="n">
        <ns0:f>IF($A36="",1,IF(EH36=1,1,--AND(IF($AC36&gt;0,INDEX(EH$7:EH$106,$AC36),1),IF($AD36&gt;0,INDEX(EH$7:EH$106,$AD36),1),IF($AE36&gt;0,INDEX(EH$7:EH$106,$AE36),1),IF($AF36&gt;0,INDEX(EH$7:EH$106,$AF36),1),IF($AG36&gt;0,INDEX(EH$7:EH$106,$AG36),1),IF($AH36&gt;0,INDEX(EH$7:EH$106,$AH36),1),IF($AI36&gt;0,INDEX(EH$7:EH$106,$AI36),1),IF($AJ36&gt;0,INDEX(EH$7:EH$106,$AJ36),1))))</ns0:f>
        <ns0:v>1</ns0:v>
      </ns0:c>
      <ns0:c r="EJ36" t="n">
        <ns0:f>IF($A36="",1,IF(EI36=1,1,--AND(IF($AC36&gt;0,INDEX(EI$7:EI$106,$AC36),1),IF($AD36&gt;0,INDEX(EI$7:EI$106,$AD36),1),IF($AE36&gt;0,INDEX(EI$7:EI$106,$AE36),1),IF($AF36&gt;0,INDEX(EI$7:EI$106,$AF36),1),IF($AG36&gt;0,INDEX(EI$7:EI$106,$AG36),1),IF($AH36&gt;0,INDEX(EI$7:EI$106,$AH36),1),IF($AI36&gt;0,INDEX(EI$7:EI$106,$AI36),1),IF($AJ36&gt;0,INDEX(EI$7:EI$106,$AJ36),1))))</ns0:f>
        <ns0:v>1</ns0:v>
      </ns0:c>
      <ns0:c r="EK36" t="n">
        <ns0:f>IF($A36="",1,IF(EJ36=1,1,--AND(IF($AC36&gt;0,INDEX(EJ$7:EJ$106,$AC36),1),IF($AD36&gt;0,INDEX(EJ$7:EJ$106,$AD36),1),IF($AE36&gt;0,INDEX(EJ$7:EJ$106,$AE36),1),IF($AF36&gt;0,INDEX(EJ$7:EJ$106,$AF36),1),IF($AG36&gt;0,INDEX(EJ$7:EJ$106,$AG36),1),IF($AH36&gt;0,INDEX(EJ$7:EJ$106,$AH36),1),IF($AI36&gt;0,INDEX(EJ$7:EJ$106,$AI36),1),IF($AJ36&gt;0,INDEX(EJ$7:EJ$106,$AJ36),1))))</ns0:f>
        <ns0:v>1</ns0:v>
      </ns0:c>
      <ns0:c r="EL36" t="n">
        <ns0:f>IF($A36="",1,IF(EK36=1,1,--AND(IF($AC36&gt;0,INDEX(EK$7:EK$106,$AC36),1),IF($AD36&gt;0,INDEX(EK$7:EK$106,$AD36),1),IF($AE36&gt;0,INDEX(EK$7:EK$106,$AE36),1),IF($AF36&gt;0,INDEX(EK$7:EK$106,$AF36),1),IF($AG36&gt;0,INDEX(EK$7:EK$106,$AG36),1),IF($AH36&gt;0,INDEX(EK$7:EK$106,$AH36),1),IF($AI36&gt;0,INDEX(EK$7:EK$106,$AI36),1),IF($AJ36&gt;0,INDEX(EK$7:EK$106,$AJ36),1))))</ns0:f>
        <ns0:v>1</ns0:v>
      </ns0:c>
      <ns0:c r="EM36" t="n">
        <ns0:f>IF($A36="",1,IF(EL36=1,1,--AND(IF($AC36&gt;0,INDEX(EL$7:EL$106,$AC36),1),IF($AD36&gt;0,INDEX(EL$7:EL$106,$AD36),1),IF($AE36&gt;0,INDEX(EL$7:EL$106,$AE36),1),IF($AF36&gt;0,INDEX(EL$7:EL$106,$AF36),1),IF($AG36&gt;0,INDEX(EL$7:EL$106,$AG36),1),IF($AH36&gt;0,INDEX(EL$7:EL$106,$AH36),1),IF($AI36&gt;0,INDEX(EL$7:EL$106,$AI36),1),IF($AJ36&gt;0,INDEX(EL$7:EL$106,$AJ36),1))))</ns0:f>
        <ns0:v>1</ns0:v>
      </ns0:c>
      <ns0:c r="EN36" t="n">
        <ns0:f>IF($A36="",1,IF(EM36=1,1,--AND(IF($AC36&gt;0,INDEX(EM$7:EM$106,$AC36),1),IF($AD36&gt;0,INDEX(EM$7:EM$106,$AD36),1),IF($AE36&gt;0,INDEX(EM$7:EM$106,$AE36),1),IF($AF36&gt;0,INDEX(EM$7:EM$106,$AF36),1),IF($AG36&gt;0,INDEX(EM$7:EM$106,$AG36),1),IF($AH36&gt;0,INDEX(EM$7:EM$106,$AH36),1),IF($AI36&gt;0,INDEX(EM$7:EM$106,$AI36),1),IF($AJ36&gt;0,INDEX(EM$7:EM$106,$AJ36),1))))</ns0:f>
        <ns0:v>1</ns0:v>
      </ns0:c>
      <ns0:c r="EO36" t="n">
        <ns0:f>IF($A36="",1,IF(EN36=1,1,--AND(IF($AC36&gt;0,INDEX(EN$7:EN$106,$AC36),1),IF($AD36&gt;0,INDEX(EN$7:EN$106,$AD36),1),IF($AE36&gt;0,INDEX(EN$7:EN$106,$AE36),1),IF($AF36&gt;0,INDEX(EN$7:EN$106,$AF36),1),IF($AG36&gt;0,INDEX(EN$7:EN$106,$AG36),1),IF($AH36&gt;0,INDEX(EN$7:EN$106,$AH36),1),IF($AI36&gt;0,INDEX(EN$7:EN$106,$AI36),1),IF($AJ36&gt;0,INDEX(EN$7:EN$106,$AJ36),1))))</ns0:f>
        <ns0:v>1</ns0:v>
      </ns0:c>
      <ns0:c r="EP36" t="n">
        <ns0:f>IF($A36="",1,IF(EO36=1,1,--AND(IF($AC36&gt;0,INDEX(EO$7:EO$106,$AC36),1),IF($AD36&gt;0,INDEX(EO$7:EO$106,$AD36),1),IF($AE36&gt;0,INDEX(EO$7:EO$106,$AE36),1),IF($AF36&gt;0,INDEX(EO$7:EO$106,$AF36),1),IF($AG36&gt;0,INDEX(EO$7:EO$106,$AG36),1),IF($AH36&gt;0,INDEX(EO$7:EO$106,$AH36),1),IF($AI36&gt;0,INDEX(EO$7:EO$106,$AI36),1),IF($AJ36&gt;0,INDEX(EO$7:EO$106,$AJ36),1))))</ns0:f>
        <ns0:v>1</ns0:v>
      </ns0:c>
      <ns0:c r="EQ36" t="n">
        <ns0:f>IF(OR(A36="",NOT(ISNUMBER(G36))),0,G36*N36)</ns0:f>
        <ns0:v>0</ns0:v>
      </ns0:c>
    </ns0:row>
    <ns0:row r="37" ht="62" customHeight="1">
      <ns0:c r="A37" s="48" t="str">
        <ns0:v>T26</ns0:v>
      </ns0:c>
      <ns0:c r="B37" s="48" t="str">
        <ns0:v>Launch &amp; telemetry</ns0:v>
      </ns0:c>
      <ns0:c r="C37" s="48" t="str">
        <ns0:v>Deploy live schemas, catalog updates &amp; layout code to Website &amp; CMS</ns0:v>
      </ns0:c>
      <ns0:c r="D37" s="48" t="str">
        <ns0:v>Release approved storefront/catalog/layout changes through outbound MCP.</ns0:v>
      </ns0:c>
      <ns0:c r="E37" s="49" t="n">
        <ns0:v>46299</ns0:v>
      </ns0:c>
      <ns0:c r="F37" s="49" t="n">
        <ns0:v>46300</ns0:v>
      </ns0:c>
      <ns0:c r="G37" s="13" t="n">
        <ns0:f>IF(A37="","",IF(OR(NOT(ISNUMBER(E37)),NOT(ISNUMBER(F37)),F37&lt;E37),"",IF(J37="Yes",0,F37-E37+1)))</ns0:f>
        <ns0:v>2</ns0:v>
      </ns0:c>
      <ns0:c r="H37" s="48" t="str">
        <ns0:v>T25</ns0:v>
      </ns0:c>
      <ns0:c r="I37" s="48" t="str">
        <ns0:v>FS</ns0:v>
      </ns0:c>
      <ns0:c r="J37" s="48" t="str">
        <ns0:v>No</ns0:v>
      </ns0:c>
      <ns0:c r="K37" s="48" t="str">
        <ns0:v>Headless CMS &amp; Web Store (CMS);Outbound Actuation MCP Boundary;Live Website &amp; Headless CMS Surface</ns0:v>
      </ns0:c>
      <ns0:c r="L37" s="48" t="str"/>
      <ns0:c r="M37" s="50" t="str">
        <ns0:f>IF(A37="","",IF(N37=1,"Completed",IF(N37&gt;0,"In Progress","Not Started")))</ns0:f>
        <ns0:v>Not Started</ns0:v>
      </ns0:c>
      <ns0:c r="N37" s="51" t="n">
        <ns0:v>0</ns0:v>
      </ns0:c>
      <ns0:c r="O37" s="13" t="str">
        <ns0:f>IF(A37="","",IF(R37&lt;&gt;"","[CONFLICT] "&amp;R37,IF(S37&lt;&gt;"","[CONFLICT] "&amp;S37,IF(OR(NOT(ISNUMBER(N37)),N37&lt;0,N37&gt;1),"[CONFLICT] Invalid progress",IF(AK37&gt;0,"[DEPENDENCY ISSUE] Missing ID / &gt;8 links",IF(AM37&gt;0,"[DEPENDENCY ISSUE] Cycle or blocked by cycle",IF(AND(H37&lt;&gt;"",ISNA(MATCH(I37,{"FS","SS","FF","SF"},0))),"[DEPENDENCY ISSUE] Invalid type",IF(AL37&gt;0,"[DEPENDENCY ISSUE] Timing conflict",IF(OR(E37&lt;ProjectStart,F37&gt;ProjectEnd),"[OUTSIDE WINDOW]",IF(AND(N37&lt;1,F37&lt;AsOfDate),"Overdue",IF(AND(M37&lt;&gt;Q37,M37&lt;&gt;""),"[CONFLICT] Status / progress","On track")))))))))))</ns0:f>
        <ns0:v>On track</ns0:v>
      </ns0:c>
      <ns0:c r="P37" s="52" t="str">
        <ns0:v>Source: Project Plan Essentials (2).md §1, §2, §4. Original 2026-10-07 to 2026-10-09, 3d; original progress 0% [INFERRED]. [INFERRED] Rescheduled to fit 34d with FS. Duration reduced to 2d. Original resource/tools: Outbound MCP &amp; Website / CMS.</ns0:v>
      </ns0:c>
      <ns0:c r="Q37" t="str">
        <ns0:f>IF(A37="","",IF(OR(M37="On Hold",M37="Delayed"),M37,IF(N37=1,"Completed",IF(N37&gt;0,"In Progress","Not Started"))))</ns0:f>
        <ns0:v>Not Started</ns0:v>
      </ns0:c>
      <ns0:c r="R37" t="str">
        <ns0:f>IF(A37="","",IF(COUNTIFS(Tasks[Task ID],A37)&lt;&gt;1,"Duplicate ID",""))</ns0:f>
      </ns0:c>
      <ns0:c r="S37" t="str">
        <ns0:f>IF(A37="","",IF(OR(NOT(ISNUMBER(E37)),NOT(ISNUMBER(F37))),"Invalid / missing date",IF(OR(E37&lt;&gt;INT(E37),F37&lt;&gt;INT(F37),E37&lt;1,F37&gt;2958465),"Invalid date",IF(F37&lt;E37,"End before start",IF(AND(J37="Yes",E37&lt;&gt;F37),"Milestone needs one date","")))))</ns0:f>
      </ns0:c>
      <ns0:c r="T37" t="n">
        <ns0:f>IF(H37="",0,LEN(H37)-LEN(SUBSTITUTE(H37,",",""))+1)</ns0:f>
        <ns0:v>1</ns0:v>
      </ns0:c>
      <ns0:c r="U37" t="str">
        <ns0:f>TRIM(MID(SUBSTITUTE($H37,",",REPT(" ",100)),1,100))</ns0:f>
        <ns0:v>T25</ns0:v>
      </ns0:c>
      <ns0:c r="V37" t="str">
        <ns0:f>TRIM(MID(SUBSTITUTE($H37,",",REPT(" ",100)),101,100))</ns0:f>
      </ns0:c>
      <ns0:c r="W37" t="str">
        <ns0:f>TRIM(MID(SUBSTITUTE($H37,",",REPT(" ",100)),201,100))</ns0:f>
      </ns0:c>
      <ns0:c r="X37" t="str">
        <ns0:f>TRIM(MID(SUBSTITUTE($H37,",",REPT(" ",100)),301,100))</ns0:f>
      </ns0:c>
      <ns0:c r="Y37" t="str">
        <ns0:f>TRIM(MID(SUBSTITUTE($H37,",",REPT(" ",100)),401,100))</ns0:f>
      </ns0:c>
      <ns0:c r="Z37" t="str">
        <ns0:f>TRIM(MID(SUBSTITUTE($H37,",",REPT(" ",100)),501,100))</ns0:f>
      </ns0:c>
      <ns0:c r="AA37" t="str">
        <ns0:f>TRIM(MID(SUBSTITUTE($H37,",",REPT(" ",100)),601,100))</ns0:f>
      </ns0:c>
      <ns0:c r="AB37" t="str">
        <ns0:f>TRIM(MID(SUBSTITUTE($H37,",",REPT(" ",100)),701,100))</ns0:f>
      </ns0:c>
      <ns0:c r="AC37" t="n">
        <ns0:f>IF(U37="",0,IF(COUNTIFS(Tasks[Task ID],U37)=1,MATCH(U37,Tasks[Task ID],0),-1))</ns0:f>
        <ns0:v>30</ns0:v>
      </ns0:c>
      <ns0:c r="AD37" t="n">
        <ns0:f>IF(V37="",0,IF(COUNTIFS(Tasks[Task ID],V37)=1,MATCH(V37,Tasks[Task ID],0),-1))</ns0:f>
        <ns0:v>0</ns0:v>
      </ns0:c>
      <ns0:c r="AE37" t="n">
        <ns0:f>IF(W37="",0,IF(COUNTIFS(Tasks[Task ID],W37)=1,MATCH(W37,Tasks[Task ID],0),-1))</ns0:f>
        <ns0:v>0</ns0:v>
      </ns0:c>
      <ns0:c r="AF37" t="n">
        <ns0:f>IF(X37="",0,IF(COUNTIFS(Tasks[Task ID],X37)=1,MATCH(X37,Tasks[Task ID],0),-1))</ns0:f>
        <ns0:v>0</ns0:v>
      </ns0:c>
      <ns0:c r="AG37" t="n">
        <ns0:f>IF(Y37="",0,IF(COUNTIFS(Tasks[Task ID],Y37)=1,MATCH(Y37,Tasks[Task ID],0),-1))</ns0:f>
        <ns0:v>0</ns0:v>
      </ns0:c>
      <ns0:c r="AH37" t="n">
        <ns0:f>IF(Z37="",0,IF(COUNTIFS(Tasks[Task ID],Z37)=1,MATCH(Z37,Tasks[Task ID],0),-1))</ns0:f>
        <ns0:v>0</ns0:v>
      </ns0:c>
      <ns0:c r="AI37" t="n">
        <ns0:f>IF(AA37="",0,IF(COUNTIFS(Tasks[Task ID],AA37)=1,MATCH(AA37,Tasks[Task ID],0),-1))</ns0:f>
        <ns0:v>0</ns0:v>
      </ns0:c>
      <ns0:c r="AJ37" t="n">
        <ns0:f>IF(AB37="",0,IF(COUNTIFS(Tasks[Task ID],AB37)=1,MATCH(AB37,Tasks[Task ID],0),-1))</ns0:f>
        <ns0:v>0</ns0:v>
      </ns0:c>
      <ns0:c r="AK37" t="n">
        <ns0:f>COUNTIFS(AC37:AJ37,-1)+IF(T37&gt;8,1,0)</ns0:f>
        <ns0:v>0</ns0:v>
      </ns0:c>
      <ns0:c r="AL37" t="n">
        <ns0:f>IF(OR(A37="",S37&lt;&gt;""),0,SUM(IF(AC37&gt;0,IF($I37="FS",--($E37&lt;INDEX(Tasks[End Date],AC37)+IF(INDEX(Tasks[Milestone],AC37)="Yes",0,1)),IF($I37="SS",--($E37&lt;INDEX(Tasks[Start Date],AC37)),IF($I37="FF",--($F37&lt;INDEX(Tasks[End Date],AC37)),IF($I37="SF",--($F37&lt;INDEX(Tasks[Start Date],AC37)),0)))),0),IF(AD37&gt;0,IF($I37="FS",--($E37&lt;INDEX(Tasks[End Date],AD37)+IF(INDEX(Tasks[Milestone],AD37)="Yes",0,1)),IF($I37="SS",--($E37&lt;INDEX(Tasks[Start Date],AD37)),IF($I37="FF",--($F37&lt;INDEX(Tasks[End Date],AD37)),IF($I37="SF",--($F37&lt;INDEX(Tasks[Start Date],AD37)),0)))),0),IF(AE37&gt;0,IF($I37="FS",--($E37&lt;INDEX(Tasks[End Date],AE37)+IF(INDEX(Tasks[Milestone],AE37)="Yes",0,1)),IF($I37="SS",--($E37&lt;INDEX(Tasks[Start Date],AE37)),IF($I37="FF",--($F37&lt;INDEX(Tasks[End Date],AE37)),IF($I37="SF",--($F37&lt;INDEX(Tasks[Start Date],AE37)),0)))),0),IF(AF37&gt;0,IF($I37="FS",--($E37&lt;INDEX(Tasks[End Date],AF37)+IF(INDEX(Tasks[Milestone],AF37)="Yes",0,1)),IF($I37="SS",--($E37&lt;INDEX(Tasks[Start Date],AF37)),IF($I37="FF",--($F37&lt;INDEX(Tasks[End Date],AF37)),IF($I37="SF",--($F37&lt;INDEX(Tasks[Start Date],AF37)),0)))),0),IF(AG37&gt;0,IF($I37="FS",--($E37&lt;INDEX(Tasks[End Date],AG37)+IF(INDEX(Tasks[Milestone],AG37)="Yes",0,1)),IF($I37="SS",--($E37&lt;INDEX(Tasks[Start Date],AG37)),IF($I37="FF",--($F37&lt;INDEX(Tasks[End Date],AG37)),IF($I37="SF",--($F37&lt;INDEX(Tasks[Start Date],AG37)),0)))),0),IF(AH37&gt;0,IF($I37="FS",--($E37&lt;INDEX(Tasks[End Date],AH37)+IF(INDEX(Tasks[Milestone],AH37)="Yes",0,1)),IF($I37="SS",--($E37&lt;INDEX(Tasks[Start Date],AH37)),IF($I37="FF",--($F37&lt;INDEX(Tasks[End Date],AH37)),IF($I37="SF",--($F37&lt;INDEX(Tasks[Start Date],AH37)),0)))),0),IF(AI37&gt;0,IF($I37="FS",--($E37&lt;INDEX(Tasks[End Date],AI37)+IF(INDEX(Tasks[Milestone],AI37)="Yes",0,1)),IF($I37="SS",--($E37&lt;INDEX(Tasks[Start Date],AI37)),IF($I37="FF",--($F37&lt;INDEX(Tasks[End Date],AI37)),IF($I37="SF",--($F37&lt;INDEX(Tasks[Start Date],AI37)),0)))),0),IF(AJ37&gt;0,IF($I37="FS",--($E37&lt;INDEX(Tasks[End Date],AJ37)+IF(INDEX(Tasks[Milestone],AJ37)="Yes",0,1)),IF($I37="SS",--($E37&lt;INDEX(Tasks[Start Date],AJ37)),IF($I37="FF",--($F37&lt;INDEX(Tasks[End Date],AJ37)),IF($I37="SF",--($F37&lt;INDEX(Tasks[Start Date],AJ37)),0)))),0)))</ns0:f>
        <ns0:v>0</ns0:v>
      </ns0:c>
      <ns0:c r="AM37" t="n">
        <ns0:f>IF(AND(A37&lt;&gt;"",AK37=0,EP37=0),1,0)</ns0:f>
        <ns0:v>0</ns0:v>
      </ns0:c>
      <ns0:c r="AN37" t="str">
        <ns0:f>IF(OR(A37="",B37=""),"",IF(COUNTIFS($B$7:B37,B37)=1,MAX($AN$6:AN36)+1,""))</ns0:f>
      </ns0:c>
      <ns0:c r="AO37" t="n">
        <ns0:f>IF(AND(A37&lt;&gt;"",J37="No",N37&lt;1,E37&gt;=AsOfDate),E37+ROW()/10000,1E+9)</ns0:f>
        <ns0:v>46299.0037</ns0:v>
      </ns0:c>
      <ns0:c r="AP37" t="n">
        <ns0:f>IF(AND(A37&lt;&gt;"",J37="Yes",N37&lt;1,E37&gt;=AsOfDate),E37+ROW()/10000,1E+9)</ns0:f>
        <ns0:v>1000000000</ns0:v>
      </ns0:c>
      <ns0:c r="AQ37" t="n">
        <ns0:f>IF(AND(A37&lt;&gt;"",J37="No",N37&lt;1,F37&gt;=AsOfDate,F37&lt;=AsOfDate+7),F37+ROW()/10000,1E+9)</ns0:f>
        <ns0:v>1000000000</ns0:v>
      </ns0:c>
      <ns0:c r="AR37" t="n">
        <ns0:f>IF(AND(A37&lt;&gt;"",OR(O37&lt;&gt;"On track",Q37="Delayed")),ROW(),1E+9)</ns0:f>
        <ns0:v>1000000000</ns0:v>
      </ns0:c>
      <ns0:c r="AS37" t="str">
        <ns0:f>IF(A37="","",";"&amp;K37&amp;";")</ns0:f>
        <ns0:v>;Headless CMS &amp; Web Store (CMS);Outbound Actuation MCP Boundary;Live Website &amp; Headless CMS Surface;</ns0:v>
      </ns0:c>
      <ns0:c r="AT37" t="n">
        <ns0:f>IF(A37="",1,--(T37=0))</ns0:f>
        <ns0:v>0</ns0:v>
      </ns0:c>
      <ns0:c r="AU37" t="n">
        <ns0:f>IF($A37="",1,IF(AT37=1,1,--AND(IF($AC37&gt;0,INDEX(AT$7:AT$106,$AC37),1),IF($AD37&gt;0,INDEX(AT$7:AT$106,$AD37),1),IF($AE37&gt;0,INDEX(AT$7:AT$106,$AE37),1),IF($AF37&gt;0,INDEX(AT$7:AT$106,$AF37),1),IF($AG37&gt;0,INDEX(AT$7:AT$106,$AG37),1),IF($AH37&gt;0,INDEX(AT$7:AT$106,$AH37),1),IF($AI37&gt;0,INDEX(AT$7:AT$106,$AI37),1),IF($AJ37&gt;0,INDEX(AT$7:AT$106,$AJ37),1))))</ns0:f>
        <ns0:v>0</ns0:v>
      </ns0:c>
      <ns0:c r="AV37" t="n">
        <ns0:f>IF($A37="",1,IF(AU37=1,1,--AND(IF($AC37&gt;0,INDEX(AU$7:AU$106,$AC37),1),IF($AD37&gt;0,INDEX(AU$7:AU$106,$AD37),1),IF($AE37&gt;0,INDEX(AU$7:AU$106,$AE37),1),IF($AF37&gt;0,INDEX(AU$7:AU$106,$AF37),1),IF($AG37&gt;0,INDEX(AU$7:AU$106,$AG37),1),IF($AH37&gt;0,INDEX(AU$7:AU$106,$AH37),1),IF($AI37&gt;0,INDEX(AU$7:AU$106,$AI37),1),IF($AJ37&gt;0,INDEX(AU$7:AU$106,$AJ37),1))))</ns0:f>
        <ns0:v>0</ns0:v>
      </ns0:c>
      <ns0:c r="AW37" t="n">
        <ns0:f>IF($A37="",1,IF(AV37=1,1,--AND(IF($AC37&gt;0,INDEX(AV$7:AV$106,$AC37),1),IF($AD37&gt;0,INDEX(AV$7:AV$106,$AD37),1),IF($AE37&gt;0,INDEX(AV$7:AV$106,$AE37),1),IF($AF37&gt;0,INDEX(AV$7:AV$106,$AF37),1),IF($AG37&gt;0,INDEX(AV$7:AV$106,$AG37),1),IF($AH37&gt;0,INDEX(AV$7:AV$106,$AH37),1),IF($AI37&gt;0,INDEX(AV$7:AV$106,$AI37),1),IF($AJ37&gt;0,INDEX(AV$7:AV$106,$AJ37),1))))</ns0:f>
        <ns0:v>0</ns0:v>
      </ns0:c>
      <ns0:c r="AX37" t="n">
        <ns0:f>IF($A37="",1,IF(AW37=1,1,--AND(IF($AC37&gt;0,INDEX(AW$7:AW$106,$AC37),1),IF($AD37&gt;0,INDEX(AW$7:AW$106,$AD37),1),IF($AE37&gt;0,INDEX(AW$7:AW$106,$AE37),1),IF($AF37&gt;0,INDEX(AW$7:AW$106,$AF37),1),IF($AG37&gt;0,INDEX(AW$7:AW$106,$AG37),1),IF($AH37&gt;0,INDEX(AW$7:AW$106,$AH37),1),IF($AI37&gt;0,INDEX(AW$7:AW$106,$AI37),1),IF($AJ37&gt;0,INDEX(AW$7:AW$106,$AJ37),1))))</ns0:f>
        <ns0:v>0</ns0:v>
      </ns0:c>
      <ns0:c r="AY37" t="n">
        <ns0:f>IF($A37="",1,IF(AX37=1,1,--AND(IF($AC37&gt;0,INDEX(AX$7:AX$106,$AC37),1),IF($AD37&gt;0,INDEX(AX$7:AX$106,$AD37),1),IF($AE37&gt;0,INDEX(AX$7:AX$106,$AE37),1),IF($AF37&gt;0,INDEX(AX$7:AX$106,$AF37),1),IF($AG37&gt;0,INDEX(AX$7:AX$106,$AG37),1),IF($AH37&gt;0,INDEX(AX$7:AX$106,$AH37),1),IF($AI37&gt;0,INDEX(AX$7:AX$106,$AI37),1),IF($AJ37&gt;0,INDEX(AX$7:AX$106,$AJ37),1))))</ns0:f>
        <ns0:v>0</ns0:v>
      </ns0:c>
      <ns0:c r="AZ37" t="n">
        <ns0:f>IF($A37="",1,IF(AY37=1,1,--AND(IF($AC37&gt;0,INDEX(AY$7:AY$106,$AC37),1),IF($AD37&gt;0,INDEX(AY$7:AY$106,$AD37),1),IF($AE37&gt;0,INDEX(AY$7:AY$106,$AE37),1),IF($AF37&gt;0,INDEX(AY$7:AY$106,$AF37),1),IF($AG37&gt;0,INDEX(AY$7:AY$106,$AG37),1),IF($AH37&gt;0,INDEX(AY$7:AY$106,$AH37),1),IF($AI37&gt;0,INDEX(AY$7:AY$106,$AI37),1),IF($AJ37&gt;0,INDEX(AY$7:AY$106,$AJ37),1))))</ns0:f>
        <ns0:v>0</ns0:v>
      </ns0:c>
      <ns0:c r="BA37" t="n">
        <ns0:f>IF($A37="",1,IF(AZ37=1,1,--AND(IF($AC37&gt;0,INDEX(AZ$7:AZ$106,$AC37),1),IF($AD37&gt;0,INDEX(AZ$7:AZ$106,$AD37),1),IF($AE37&gt;0,INDEX(AZ$7:AZ$106,$AE37),1),IF($AF37&gt;0,INDEX(AZ$7:AZ$106,$AF37),1),IF($AG37&gt;0,INDEX(AZ$7:AZ$106,$AG37),1),IF($AH37&gt;0,INDEX(AZ$7:AZ$106,$AH37),1),IF($AI37&gt;0,INDEX(AZ$7:AZ$106,$AI37),1),IF($AJ37&gt;0,INDEX(AZ$7:AZ$106,$AJ37),1))))</ns0:f>
        <ns0:v>0</ns0:v>
      </ns0:c>
      <ns0:c r="BB37" t="n">
        <ns0:f>IF($A37="",1,IF(BA37=1,1,--AND(IF($AC37&gt;0,INDEX(BA$7:BA$106,$AC37),1),IF($AD37&gt;0,INDEX(BA$7:BA$106,$AD37),1),IF($AE37&gt;0,INDEX(BA$7:BA$106,$AE37),1),IF($AF37&gt;0,INDEX(BA$7:BA$106,$AF37),1),IF($AG37&gt;0,INDEX(BA$7:BA$106,$AG37),1),IF($AH37&gt;0,INDEX(BA$7:BA$106,$AH37),1),IF($AI37&gt;0,INDEX(BA$7:BA$106,$AI37),1),IF($AJ37&gt;0,INDEX(BA$7:BA$106,$AJ37),1))))</ns0:f>
        <ns0:v>0</ns0:v>
      </ns0:c>
      <ns0:c r="BC37" t="n">
        <ns0:f>IF($A37="",1,IF(BB37=1,1,--AND(IF($AC37&gt;0,INDEX(BB$7:BB$106,$AC37),1),IF($AD37&gt;0,INDEX(BB$7:BB$106,$AD37),1),IF($AE37&gt;0,INDEX(BB$7:BB$106,$AE37),1),IF($AF37&gt;0,INDEX(BB$7:BB$106,$AF37),1),IF($AG37&gt;0,INDEX(BB$7:BB$106,$AG37),1),IF($AH37&gt;0,INDEX(BB$7:BB$106,$AH37),1),IF($AI37&gt;0,INDEX(BB$7:BB$106,$AI37),1),IF($AJ37&gt;0,INDEX(BB$7:BB$106,$AJ37),1))))</ns0:f>
        <ns0:v>0</ns0:v>
      </ns0:c>
      <ns0:c r="BD37" t="n">
        <ns0:f>IF($A37="",1,IF(BC37=1,1,--AND(IF($AC37&gt;0,INDEX(BC$7:BC$106,$AC37),1),IF($AD37&gt;0,INDEX(BC$7:BC$106,$AD37),1),IF($AE37&gt;0,INDEX(BC$7:BC$106,$AE37),1),IF($AF37&gt;0,INDEX(BC$7:BC$106,$AF37),1),IF($AG37&gt;0,INDEX(BC$7:BC$106,$AG37),1),IF($AH37&gt;0,INDEX(BC$7:BC$106,$AH37),1),IF($AI37&gt;0,INDEX(BC$7:BC$106,$AI37),1),IF($AJ37&gt;0,INDEX(BC$7:BC$106,$AJ37),1))))</ns0:f>
        <ns0:v>0</ns0:v>
      </ns0:c>
      <ns0:c r="BE37" t="n">
        <ns0:f>IF($A37="",1,IF(BD37=1,1,--AND(IF($AC37&gt;0,INDEX(BD$7:BD$106,$AC37),1),IF($AD37&gt;0,INDEX(BD$7:BD$106,$AD37),1),IF($AE37&gt;0,INDEX(BD$7:BD$106,$AE37),1),IF($AF37&gt;0,INDEX(BD$7:BD$106,$AF37),1),IF($AG37&gt;0,INDEX(BD$7:BD$106,$AG37),1),IF($AH37&gt;0,INDEX(BD$7:BD$106,$AH37),1),IF($AI37&gt;0,INDEX(BD$7:BD$106,$AI37),1),IF($AJ37&gt;0,INDEX(BD$7:BD$106,$AJ37),1))))</ns0:f>
        <ns0:v>0</ns0:v>
      </ns0:c>
      <ns0:c r="BF37" t="n">
        <ns0:f>IF($A37="",1,IF(BE37=1,1,--AND(IF($AC37&gt;0,INDEX(BE$7:BE$106,$AC37),1),IF($AD37&gt;0,INDEX(BE$7:BE$106,$AD37),1),IF($AE37&gt;0,INDEX(BE$7:BE$106,$AE37),1),IF($AF37&gt;0,INDEX(BE$7:BE$106,$AF37),1),IF($AG37&gt;0,INDEX(BE$7:BE$106,$AG37),1),IF($AH37&gt;0,INDEX(BE$7:BE$106,$AH37),1),IF($AI37&gt;0,INDEX(BE$7:BE$106,$AI37),1),IF($AJ37&gt;0,INDEX(BE$7:BE$106,$AJ37),1))))</ns0:f>
        <ns0:v>0</ns0:v>
      </ns0:c>
      <ns0:c r="BG37" t="n">
        <ns0:f>IF($A37="",1,IF(BF37=1,1,--AND(IF($AC37&gt;0,INDEX(BF$7:BF$106,$AC37),1),IF($AD37&gt;0,INDEX(BF$7:BF$106,$AD37),1),IF($AE37&gt;0,INDEX(BF$7:BF$106,$AE37),1),IF($AF37&gt;0,INDEX(BF$7:BF$106,$AF37),1),IF($AG37&gt;0,INDEX(BF$7:BF$106,$AG37),1),IF($AH37&gt;0,INDEX(BF$7:BF$106,$AH37),1),IF($AI37&gt;0,INDEX(BF$7:BF$106,$AI37),1),IF($AJ37&gt;0,INDEX(BF$7:BF$106,$AJ37),1))))</ns0:f>
        <ns0:v>1</ns0:v>
      </ns0:c>
      <ns0:c r="BH37" t="n">
        <ns0:f>IF($A37="",1,IF(BG37=1,1,--AND(IF($AC37&gt;0,INDEX(BG$7:BG$106,$AC37),1),IF($AD37&gt;0,INDEX(BG$7:BG$106,$AD37),1),IF($AE37&gt;0,INDEX(BG$7:BG$106,$AE37),1),IF($AF37&gt;0,INDEX(BG$7:BG$106,$AF37),1),IF($AG37&gt;0,INDEX(BG$7:BG$106,$AG37),1),IF($AH37&gt;0,INDEX(BG$7:BG$106,$AH37),1),IF($AI37&gt;0,INDEX(BG$7:BG$106,$AI37),1),IF($AJ37&gt;0,INDEX(BG$7:BG$106,$AJ37),1))))</ns0:f>
        <ns0:v>1</ns0:v>
      </ns0:c>
      <ns0:c r="BI37" t="n">
        <ns0:f>IF($A37="",1,IF(BH37=1,1,--AND(IF($AC37&gt;0,INDEX(BH$7:BH$106,$AC37),1),IF($AD37&gt;0,INDEX(BH$7:BH$106,$AD37),1),IF($AE37&gt;0,INDEX(BH$7:BH$106,$AE37),1),IF($AF37&gt;0,INDEX(BH$7:BH$106,$AF37),1),IF($AG37&gt;0,INDEX(BH$7:BH$106,$AG37),1),IF($AH37&gt;0,INDEX(BH$7:BH$106,$AH37),1),IF($AI37&gt;0,INDEX(BH$7:BH$106,$AI37),1),IF($AJ37&gt;0,INDEX(BH$7:BH$106,$AJ37),1))))</ns0:f>
        <ns0:v>1</ns0:v>
      </ns0:c>
      <ns0:c r="BJ37" t="n">
        <ns0:f>IF($A37="",1,IF(BI37=1,1,--AND(IF($AC37&gt;0,INDEX(BI$7:BI$106,$AC37),1),IF($AD37&gt;0,INDEX(BI$7:BI$106,$AD37),1),IF($AE37&gt;0,INDEX(BI$7:BI$106,$AE37),1),IF($AF37&gt;0,INDEX(BI$7:BI$106,$AF37),1),IF($AG37&gt;0,INDEX(BI$7:BI$106,$AG37),1),IF($AH37&gt;0,INDEX(BI$7:BI$106,$AH37),1),IF($AI37&gt;0,INDEX(BI$7:BI$106,$AI37),1),IF($AJ37&gt;0,INDEX(BI$7:BI$106,$AJ37),1))))</ns0:f>
        <ns0:v>1</ns0:v>
      </ns0:c>
      <ns0:c r="BK37" t="n">
        <ns0:f>IF($A37="",1,IF(BJ37=1,1,--AND(IF($AC37&gt;0,INDEX(BJ$7:BJ$106,$AC37),1),IF($AD37&gt;0,INDEX(BJ$7:BJ$106,$AD37),1),IF($AE37&gt;0,INDEX(BJ$7:BJ$106,$AE37),1),IF($AF37&gt;0,INDEX(BJ$7:BJ$106,$AF37),1),IF($AG37&gt;0,INDEX(BJ$7:BJ$106,$AG37),1),IF($AH37&gt;0,INDEX(BJ$7:BJ$106,$AH37),1),IF($AI37&gt;0,INDEX(BJ$7:BJ$106,$AI37),1),IF($AJ37&gt;0,INDEX(BJ$7:BJ$106,$AJ37),1))))</ns0:f>
        <ns0:v>1</ns0:v>
      </ns0:c>
      <ns0:c r="BL37" t="n">
        <ns0:f>IF($A37="",1,IF(BK37=1,1,--AND(IF($AC37&gt;0,INDEX(BK$7:BK$106,$AC37),1),IF($AD37&gt;0,INDEX(BK$7:BK$106,$AD37),1),IF($AE37&gt;0,INDEX(BK$7:BK$106,$AE37),1),IF($AF37&gt;0,INDEX(BK$7:BK$106,$AF37),1),IF($AG37&gt;0,INDEX(BK$7:BK$106,$AG37),1),IF($AH37&gt;0,INDEX(BK$7:BK$106,$AH37),1),IF($AI37&gt;0,INDEX(BK$7:BK$106,$AI37),1),IF($AJ37&gt;0,INDEX(BK$7:BK$106,$AJ37),1))))</ns0:f>
        <ns0:v>1</ns0:v>
      </ns0:c>
      <ns0:c r="BM37" t="n">
        <ns0:f>IF($A37="",1,IF(BL37=1,1,--AND(IF($AC37&gt;0,INDEX(BL$7:BL$106,$AC37),1),IF($AD37&gt;0,INDEX(BL$7:BL$106,$AD37),1),IF($AE37&gt;0,INDEX(BL$7:BL$106,$AE37),1),IF($AF37&gt;0,INDEX(BL$7:BL$106,$AF37),1),IF($AG37&gt;0,INDEX(BL$7:BL$106,$AG37),1),IF($AH37&gt;0,INDEX(BL$7:BL$106,$AH37),1),IF($AI37&gt;0,INDEX(BL$7:BL$106,$AI37),1),IF($AJ37&gt;0,INDEX(BL$7:BL$106,$AJ37),1))))</ns0:f>
        <ns0:v>1</ns0:v>
      </ns0:c>
      <ns0:c r="BN37" t="n">
        <ns0:f>IF($A37="",1,IF(BM37=1,1,--AND(IF($AC37&gt;0,INDEX(BM$7:BM$106,$AC37),1),IF($AD37&gt;0,INDEX(BM$7:BM$106,$AD37),1),IF($AE37&gt;0,INDEX(BM$7:BM$106,$AE37),1),IF($AF37&gt;0,INDEX(BM$7:BM$106,$AF37),1),IF($AG37&gt;0,INDEX(BM$7:BM$106,$AG37),1),IF($AH37&gt;0,INDEX(BM$7:BM$106,$AH37),1),IF($AI37&gt;0,INDEX(BM$7:BM$106,$AI37),1),IF($AJ37&gt;0,INDEX(BM$7:BM$106,$AJ37),1))))</ns0:f>
        <ns0:v>1</ns0:v>
      </ns0:c>
      <ns0:c r="BO37" t="n">
        <ns0:f>IF($A37="",1,IF(BN37=1,1,--AND(IF($AC37&gt;0,INDEX(BN$7:BN$106,$AC37),1),IF($AD37&gt;0,INDEX(BN$7:BN$106,$AD37),1),IF($AE37&gt;0,INDEX(BN$7:BN$106,$AE37),1),IF($AF37&gt;0,INDEX(BN$7:BN$106,$AF37),1),IF($AG37&gt;0,INDEX(BN$7:BN$106,$AG37),1),IF($AH37&gt;0,INDEX(BN$7:BN$106,$AH37),1),IF($AI37&gt;0,INDEX(BN$7:BN$106,$AI37),1),IF($AJ37&gt;0,INDEX(BN$7:BN$106,$AJ37),1))))</ns0:f>
        <ns0:v>1</ns0:v>
      </ns0:c>
      <ns0:c r="BP37" t="n">
        <ns0:f>IF($A37="",1,IF(BO37=1,1,--AND(IF($AC37&gt;0,INDEX(BO$7:BO$106,$AC37),1),IF($AD37&gt;0,INDEX(BO$7:BO$106,$AD37),1),IF($AE37&gt;0,INDEX(BO$7:BO$106,$AE37),1),IF($AF37&gt;0,INDEX(BO$7:BO$106,$AF37),1),IF($AG37&gt;0,INDEX(BO$7:BO$106,$AG37),1),IF($AH37&gt;0,INDEX(BO$7:BO$106,$AH37),1),IF($AI37&gt;0,INDEX(BO$7:BO$106,$AI37),1),IF($AJ37&gt;0,INDEX(BO$7:BO$106,$AJ37),1))))</ns0:f>
        <ns0:v>1</ns0:v>
      </ns0:c>
      <ns0:c r="BQ37" t="n">
        <ns0:f>IF($A37="",1,IF(BP37=1,1,--AND(IF($AC37&gt;0,INDEX(BP$7:BP$106,$AC37),1),IF($AD37&gt;0,INDEX(BP$7:BP$106,$AD37),1),IF($AE37&gt;0,INDEX(BP$7:BP$106,$AE37),1),IF($AF37&gt;0,INDEX(BP$7:BP$106,$AF37),1),IF($AG37&gt;0,INDEX(BP$7:BP$106,$AG37),1),IF($AH37&gt;0,INDEX(BP$7:BP$106,$AH37),1),IF($AI37&gt;0,INDEX(BP$7:BP$106,$AI37),1),IF($AJ37&gt;0,INDEX(BP$7:BP$106,$AJ37),1))))</ns0:f>
        <ns0:v>1</ns0:v>
      </ns0:c>
      <ns0:c r="BR37" t="n">
        <ns0:f>IF($A37="",1,IF(BQ37=1,1,--AND(IF($AC37&gt;0,INDEX(BQ$7:BQ$106,$AC37),1),IF($AD37&gt;0,INDEX(BQ$7:BQ$106,$AD37),1),IF($AE37&gt;0,INDEX(BQ$7:BQ$106,$AE37),1),IF($AF37&gt;0,INDEX(BQ$7:BQ$106,$AF37),1),IF($AG37&gt;0,INDEX(BQ$7:BQ$106,$AG37),1),IF($AH37&gt;0,INDEX(BQ$7:BQ$106,$AH37),1),IF($AI37&gt;0,INDEX(BQ$7:BQ$106,$AI37),1),IF($AJ37&gt;0,INDEX(BQ$7:BQ$106,$AJ37),1))))</ns0:f>
        <ns0:v>1</ns0:v>
      </ns0:c>
      <ns0:c r="BS37" t="n">
        <ns0:f>IF($A37="",1,IF(BR37=1,1,--AND(IF($AC37&gt;0,INDEX(BR$7:BR$106,$AC37),1),IF($AD37&gt;0,INDEX(BR$7:BR$106,$AD37),1),IF($AE37&gt;0,INDEX(BR$7:BR$106,$AE37),1),IF($AF37&gt;0,INDEX(BR$7:BR$106,$AF37),1),IF($AG37&gt;0,INDEX(BR$7:BR$106,$AG37),1),IF($AH37&gt;0,INDEX(BR$7:BR$106,$AH37),1),IF($AI37&gt;0,INDEX(BR$7:BR$106,$AI37),1),IF($AJ37&gt;0,INDEX(BR$7:BR$106,$AJ37),1))))</ns0:f>
        <ns0:v>1</ns0:v>
      </ns0:c>
      <ns0:c r="BT37" t="n">
        <ns0:f>IF($A37="",1,IF(BS37=1,1,--AND(IF($AC37&gt;0,INDEX(BS$7:BS$106,$AC37),1),IF($AD37&gt;0,INDEX(BS$7:BS$106,$AD37),1),IF($AE37&gt;0,INDEX(BS$7:BS$106,$AE37),1),IF($AF37&gt;0,INDEX(BS$7:BS$106,$AF37),1),IF($AG37&gt;0,INDEX(BS$7:BS$106,$AG37),1),IF($AH37&gt;0,INDEX(BS$7:BS$106,$AH37),1),IF($AI37&gt;0,INDEX(BS$7:BS$106,$AI37),1),IF($AJ37&gt;0,INDEX(BS$7:BS$106,$AJ37),1))))</ns0:f>
        <ns0:v>1</ns0:v>
      </ns0:c>
      <ns0:c r="BU37" t="n">
        <ns0:f>IF($A37="",1,IF(BT37=1,1,--AND(IF($AC37&gt;0,INDEX(BT$7:BT$106,$AC37),1),IF($AD37&gt;0,INDEX(BT$7:BT$106,$AD37),1),IF($AE37&gt;0,INDEX(BT$7:BT$106,$AE37),1),IF($AF37&gt;0,INDEX(BT$7:BT$106,$AF37),1),IF($AG37&gt;0,INDEX(BT$7:BT$106,$AG37),1),IF($AH37&gt;0,INDEX(BT$7:BT$106,$AH37),1),IF($AI37&gt;0,INDEX(BT$7:BT$106,$AI37),1),IF($AJ37&gt;0,INDEX(BT$7:BT$106,$AJ37),1))))</ns0:f>
        <ns0:v>1</ns0:v>
      </ns0:c>
      <ns0:c r="BV37" t="n">
        <ns0:f>IF($A37="",1,IF(BU37=1,1,--AND(IF($AC37&gt;0,INDEX(BU$7:BU$106,$AC37),1),IF($AD37&gt;0,INDEX(BU$7:BU$106,$AD37),1),IF($AE37&gt;0,INDEX(BU$7:BU$106,$AE37),1),IF($AF37&gt;0,INDEX(BU$7:BU$106,$AF37),1),IF($AG37&gt;0,INDEX(BU$7:BU$106,$AG37),1),IF($AH37&gt;0,INDEX(BU$7:BU$106,$AH37),1),IF($AI37&gt;0,INDEX(BU$7:BU$106,$AI37),1),IF($AJ37&gt;0,INDEX(BU$7:BU$106,$AJ37),1))))</ns0:f>
        <ns0:v>1</ns0:v>
      </ns0:c>
      <ns0:c r="BW37" t="n">
        <ns0:f>IF($A37="",1,IF(BV37=1,1,--AND(IF($AC37&gt;0,INDEX(BV$7:BV$106,$AC37),1),IF($AD37&gt;0,INDEX(BV$7:BV$106,$AD37),1),IF($AE37&gt;0,INDEX(BV$7:BV$106,$AE37),1),IF($AF37&gt;0,INDEX(BV$7:BV$106,$AF37),1),IF($AG37&gt;0,INDEX(BV$7:BV$106,$AG37),1),IF($AH37&gt;0,INDEX(BV$7:BV$106,$AH37),1),IF($AI37&gt;0,INDEX(BV$7:BV$106,$AI37),1),IF($AJ37&gt;0,INDEX(BV$7:BV$106,$AJ37),1))))</ns0:f>
        <ns0:v>1</ns0:v>
      </ns0:c>
      <ns0:c r="BX37" t="n">
        <ns0:f>IF($A37="",1,IF(BW37=1,1,--AND(IF($AC37&gt;0,INDEX(BW$7:BW$106,$AC37),1),IF($AD37&gt;0,INDEX(BW$7:BW$106,$AD37),1),IF($AE37&gt;0,INDEX(BW$7:BW$106,$AE37),1),IF($AF37&gt;0,INDEX(BW$7:BW$106,$AF37),1),IF($AG37&gt;0,INDEX(BW$7:BW$106,$AG37),1),IF($AH37&gt;0,INDEX(BW$7:BW$106,$AH37),1),IF($AI37&gt;0,INDEX(BW$7:BW$106,$AI37),1),IF($AJ37&gt;0,INDEX(BW$7:BW$106,$AJ37),1))))</ns0:f>
        <ns0:v>1</ns0:v>
      </ns0:c>
      <ns0:c r="BY37" t="n">
        <ns0:f>IF($A37="",1,IF(BX37=1,1,--AND(IF($AC37&gt;0,INDEX(BX$7:BX$106,$AC37),1),IF($AD37&gt;0,INDEX(BX$7:BX$106,$AD37),1),IF($AE37&gt;0,INDEX(BX$7:BX$106,$AE37),1),IF($AF37&gt;0,INDEX(BX$7:BX$106,$AF37),1),IF($AG37&gt;0,INDEX(BX$7:BX$106,$AG37),1),IF($AH37&gt;0,INDEX(BX$7:BX$106,$AH37),1),IF($AI37&gt;0,INDEX(BX$7:BX$106,$AI37),1),IF($AJ37&gt;0,INDEX(BX$7:BX$106,$AJ37),1))))</ns0:f>
        <ns0:v>1</ns0:v>
      </ns0:c>
      <ns0:c r="BZ37" t="n">
        <ns0:f>IF($A37="",1,IF(BY37=1,1,--AND(IF($AC37&gt;0,INDEX(BY$7:BY$106,$AC37),1),IF($AD37&gt;0,INDEX(BY$7:BY$106,$AD37),1),IF($AE37&gt;0,INDEX(BY$7:BY$106,$AE37),1),IF($AF37&gt;0,INDEX(BY$7:BY$106,$AF37),1),IF($AG37&gt;0,INDEX(BY$7:BY$106,$AG37),1),IF($AH37&gt;0,INDEX(BY$7:BY$106,$AH37),1),IF($AI37&gt;0,INDEX(BY$7:BY$106,$AI37),1),IF($AJ37&gt;0,INDEX(BY$7:BY$106,$AJ37),1))))</ns0:f>
        <ns0:v>1</ns0:v>
      </ns0:c>
      <ns0:c r="CA37" t="n">
        <ns0:f>IF($A37="",1,IF(BZ37=1,1,--AND(IF($AC37&gt;0,INDEX(BZ$7:BZ$106,$AC37),1),IF($AD37&gt;0,INDEX(BZ$7:BZ$106,$AD37),1),IF($AE37&gt;0,INDEX(BZ$7:BZ$106,$AE37),1),IF($AF37&gt;0,INDEX(BZ$7:BZ$106,$AF37),1),IF($AG37&gt;0,INDEX(BZ$7:BZ$106,$AG37),1),IF($AH37&gt;0,INDEX(BZ$7:BZ$106,$AH37),1),IF($AI37&gt;0,INDEX(BZ$7:BZ$106,$AI37),1),IF($AJ37&gt;0,INDEX(BZ$7:BZ$106,$AJ37),1))))</ns0:f>
        <ns0:v>1</ns0:v>
      </ns0:c>
      <ns0:c r="CB37" t="n">
        <ns0:f>IF($A37="",1,IF(CA37=1,1,--AND(IF($AC37&gt;0,INDEX(CA$7:CA$106,$AC37),1),IF($AD37&gt;0,INDEX(CA$7:CA$106,$AD37),1),IF($AE37&gt;0,INDEX(CA$7:CA$106,$AE37),1),IF($AF37&gt;0,INDEX(CA$7:CA$106,$AF37),1),IF($AG37&gt;0,INDEX(CA$7:CA$106,$AG37),1),IF($AH37&gt;0,INDEX(CA$7:CA$106,$AH37),1),IF($AI37&gt;0,INDEX(CA$7:CA$106,$AI37),1),IF($AJ37&gt;0,INDEX(CA$7:CA$106,$AJ37),1))))</ns0:f>
        <ns0:v>1</ns0:v>
      </ns0:c>
      <ns0:c r="CC37" t="n">
        <ns0:f>IF($A37="",1,IF(CB37=1,1,--AND(IF($AC37&gt;0,INDEX(CB$7:CB$106,$AC37),1),IF($AD37&gt;0,INDEX(CB$7:CB$106,$AD37),1),IF($AE37&gt;0,INDEX(CB$7:CB$106,$AE37),1),IF($AF37&gt;0,INDEX(CB$7:CB$106,$AF37),1),IF($AG37&gt;0,INDEX(CB$7:CB$106,$AG37),1),IF($AH37&gt;0,INDEX(CB$7:CB$106,$AH37),1),IF($AI37&gt;0,INDEX(CB$7:CB$106,$AI37),1),IF($AJ37&gt;0,INDEX(CB$7:CB$106,$AJ37),1))))</ns0:f>
        <ns0:v>1</ns0:v>
      </ns0:c>
      <ns0:c r="CD37" t="n">
        <ns0:f>IF($A37="",1,IF(CC37=1,1,--AND(IF($AC37&gt;0,INDEX(CC$7:CC$106,$AC37),1),IF($AD37&gt;0,INDEX(CC$7:CC$106,$AD37),1),IF($AE37&gt;0,INDEX(CC$7:CC$106,$AE37),1),IF($AF37&gt;0,INDEX(CC$7:CC$106,$AF37),1),IF($AG37&gt;0,INDEX(CC$7:CC$106,$AG37),1),IF($AH37&gt;0,INDEX(CC$7:CC$106,$AH37),1),IF($AI37&gt;0,INDEX(CC$7:CC$106,$AI37),1),IF($AJ37&gt;0,INDEX(CC$7:CC$106,$AJ37),1))))</ns0:f>
        <ns0:v>1</ns0:v>
      </ns0:c>
      <ns0:c r="CE37" t="n">
        <ns0:f>IF($A37="",1,IF(CD37=1,1,--AND(IF($AC37&gt;0,INDEX(CD$7:CD$106,$AC37),1),IF($AD37&gt;0,INDEX(CD$7:CD$106,$AD37),1),IF($AE37&gt;0,INDEX(CD$7:CD$106,$AE37),1),IF($AF37&gt;0,INDEX(CD$7:CD$106,$AF37),1),IF($AG37&gt;0,INDEX(CD$7:CD$106,$AG37),1),IF($AH37&gt;0,INDEX(CD$7:CD$106,$AH37),1),IF($AI37&gt;0,INDEX(CD$7:CD$106,$AI37),1),IF($AJ37&gt;0,INDEX(CD$7:CD$106,$AJ37),1))))</ns0:f>
        <ns0:v>1</ns0:v>
      </ns0:c>
      <ns0:c r="CF37" t="n">
        <ns0:f>IF($A37="",1,IF(CE37=1,1,--AND(IF($AC37&gt;0,INDEX(CE$7:CE$106,$AC37),1),IF($AD37&gt;0,INDEX(CE$7:CE$106,$AD37),1),IF($AE37&gt;0,INDEX(CE$7:CE$106,$AE37),1),IF($AF37&gt;0,INDEX(CE$7:CE$106,$AF37),1),IF($AG37&gt;0,INDEX(CE$7:CE$106,$AG37),1),IF($AH37&gt;0,INDEX(CE$7:CE$106,$AH37),1),IF($AI37&gt;0,INDEX(CE$7:CE$106,$AI37),1),IF($AJ37&gt;0,INDEX(CE$7:CE$106,$AJ37),1))))</ns0:f>
        <ns0:v>1</ns0:v>
      </ns0:c>
      <ns0:c r="CG37" t="n">
        <ns0:f>IF($A37="",1,IF(CF37=1,1,--AND(IF($AC37&gt;0,INDEX(CF$7:CF$106,$AC37),1),IF($AD37&gt;0,INDEX(CF$7:CF$106,$AD37),1),IF($AE37&gt;0,INDEX(CF$7:CF$106,$AE37),1),IF($AF37&gt;0,INDEX(CF$7:CF$106,$AF37),1),IF($AG37&gt;0,INDEX(CF$7:CF$106,$AG37),1),IF($AH37&gt;0,INDEX(CF$7:CF$106,$AH37),1),IF($AI37&gt;0,INDEX(CF$7:CF$106,$AI37),1),IF($AJ37&gt;0,INDEX(CF$7:CF$106,$AJ37),1))))</ns0:f>
        <ns0:v>1</ns0:v>
      </ns0:c>
      <ns0:c r="CH37" t="n">
        <ns0:f>IF($A37="",1,IF(CG37=1,1,--AND(IF($AC37&gt;0,INDEX(CG$7:CG$106,$AC37),1),IF($AD37&gt;0,INDEX(CG$7:CG$106,$AD37),1),IF($AE37&gt;0,INDEX(CG$7:CG$106,$AE37),1),IF($AF37&gt;0,INDEX(CG$7:CG$106,$AF37),1),IF($AG37&gt;0,INDEX(CG$7:CG$106,$AG37),1),IF($AH37&gt;0,INDEX(CG$7:CG$106,$AH37),1),IF($AI37&gt;0,INDEX(CG$7:CG$106,$AI37),1),IF($AJ37&gt;0,INDEX(CG$7:CG$106,$AJ37),1))))</ns0:f>
        <ns0:v>1</ns0:v>
      </ns0:c>
      <ns0:c r="CI37" t="n">
        <ns0:f>IF($A37="",1,IF(CH37=1,1,--AND(IF($AC37&gt;0,INDEX(CH$7:CH$106,$AC37),1),IF($AD37&gt;0,INDEX(CH$7:CH$106,$AD37),1),IF($AE37&gt;0,INDEX(CH$7:CH$106,$AE37),1),IF($AF37&gt;0,INDEX(CH$7:CH$106,$AF37),1),IF($AG37&gt;0,INDEX(CH$7:CH$106,$AG37),1),IF($AH37&gt;0,INDEX(CH$7:CH$106,$AH37),1),IF($AI37&gt;0,INDEX(CH$7:CH$106,$AI37),1),IF($AJ37&gt;0,INDEX(CH$7:CH$106,$AJ37),1))))</ns0:f>
        <ns0:v>1</ns0:v>
      </ns0:c>
      <ns0:c r="CJ37" t="n">
        <ns0:f>IF($A37="",1,IF(CI37=1,1,--AND(IF($AC37&gt;0,INDEX(CI$7:CI$106,$AC37),1),IF($AD37&gt;0,INDEX(CI$7:CI$106,$AD37),1),IF($AE37&gt;0,INDEX(CI$7:CI$106,$AE37),1),IF($AF37&gt;0,INDEX(CI$7:CI$106,$AF37),1),IF($AG37&gt;0,INDEX(CI$7:CI$106,$AG37),1),IF($AH37&gt;0,INDEX(CI$7:CI$106,$AH37),1),IF($AI37&gt;0,INDEX(CI$7:CI$106,$AI37),1),IF($AJ37&gt;0,INDEX(CI$7:CI$106,$AJ37),1))))</ns0:f>
        <ns0:v>1</ns0:v>
      </ns0:c>
      <ns0:c r="CK37" t="n">
        <ns0:f>IF($A37="",1,IF(CJ37=1,1,--AND(IF($AC37&gt;0,INDEX(CJ$7:CJ$106,$AC37),1),IF($AD37&gt;0,INDEX(CJ$7:CJ$106,$AD37),1),IF($AE37&gt;0,INDEX(CJ$7:CJ$106,$AE37),1),IF($AF37&gt;0,INDEX(CJ$7:CJ$106,$AF37),1),IF($AG37&gt;0,INDEX(CJ$7:CJ$106,$AG37),1),IF($AH37&gt;0,INDEX(CJ$7:CJ$106,$AH37),1),IF($AI37&gt;0,INDEX(CJ$7:CJ$106,$AI37),1),IF($AJ37&gt;0,INDEX(CJ$7:CJ$106,$AJ37),1))))</ns0:f>
        <ns0:v>1</ns0:v>
      </ns0:c>
      <ns0:c r="CL37" t="n">
        <ns0:f>IF($A37="",1,IF(CK37=1,1,--AND(IF($AC37&gt;0,INDEX(CK$7:CK$106,$AC37),1),IF($AD37&gt;0,INDEX(CK$7:CK$106,$AD37),1),IF($AE37&gt;0,INDEX(CK$7:CK$106,$AE37),1),IF($AF37&gt;0,INDEX(CK$7:CK$106,$AF37),1),IF($AG37&gt;0,INDEX(CK$7:CK$106,$AG37),1),IF($AH37&gt;0,INDEX(CK$7:CK$106,$AH37),1),IF($AI37&gt;0,INDEX(CK$7:CK$106,$AI37),1),IF($AJ37&gt;0,INDEX(CK$7:CK$106,$AJ37),1))))</ns0:f>
        <ns0:v>1</ns0:v>
      </ns0:c>
      <ns0:c r="CM37" t="n">
        <ns0:f>IF($A37="",1,IF(CL37=1,1,--AND(IF($AC37&gt;0,INDEX(CL$7:CL$106,$AC37),1),IF($AD37&gt;0,INDEX(CL$7:CL$106,$AD37),1),IF($AE37&gt;0,INDEX(CL$7:CL$106,$AE37),1),IF($AF37&gt;0,INDEX(CL$7:CL$106,$AF37),1),IF($AG37&gt;0,INDEX(CL$7:CL$106,$AG37),1),IF($AH37&gt;0,INDEX(CL$7:CL$106,$AH37),1),IF($AI37&gt;0,INDEX(CL$7:CL$106,$AI37),1),IF($AJ37&gt;0,INDEX(CL$7:CL$106,$AJ37),1))))</ns0:f>
        <ns0:v>1</ns0:v>
      </ns0:c>
      <ns0:c r="CN37" t="n">
        <ns0:f>IF($A37="",1,IF(CM37=1,1,--AND(IF($AC37&gt;0,INDEX(CM$7:CM$106,$AC37),1),IF($AD37&gt;0,INDEX(CM$7:CM$106,$AD37),1),IF($AE37&gt;0,INDEX(CM$7:CM$106,$AE37),1),IF($AF37&gt;0,INDEX(CM$7:CM$106,$AF37),1),IF($AG37&gt;0,INDEX(CM$7:CM$106,$AG37),1),IF($AH37&gt;0,INDEX(CM$7:CM$106,$AH37),1),IF($AI37&gt;0,INDEX(CM$7:CM$106,$AI37),1),IF($AJ37&gt;0,INDEX(CM$7:CM$106,$AJ37),1))))</ns0:f>
        <ns0:v>1</ns0:v>
      </ns0:c>
      <ns0:c r="CO37" t="n">
        <ns0:f>IF($A37="",1,IF(CN37=1,1,--AND(IF($AC37&gt;0,INDEX(CN$7:CN$106,$AC37),1),IF($AD37&gt;0,INDEX(CN$7:CN$106,$AD37),1),IF($AE37&gt;0,INDEX(CN$7:CN$106,$AE37),1),IF($AF37&gt;0,INDEX(CN$7:CN$106,$AF37),1),IF($AG37&gt;0,INDEX(CN$7:CN$106,$AG37),1),IF($AH37&gt;0,INDEX(CN$7:CN$106,$AH37),1),IF($AI37&gt;0,INDEX(CN$7:CN$106,$AI37),1),IF($AJ37&gt;0,INDEX(CN$7:CN$106,$AJ37),1))))</ns0:f>
        <ns0:v>1</ns0:v>
      </ns0:c>
      <ns0:c r="CP37" t="n">
        <ns0:f>IF($A37="",1,IF(CO37=1,1,--AND(IF($AC37&gt;0,INDEX(CO$7:CO$106,$AC37),1),IF($AD37&gt;0,INDEX(CO$7:CO$106,$AD37),1),IF($AE37&gt;0,INDEX(CO$7:CO$106,$AE37),1),IF($AF37&gt;0,INDEX(CO$7:CO$106,$AF37),1),IF($AG37&gt;0,INDEX(CO$7:CO$106,$AG37),1),IF($AH37&gt;0,INDEX(CO$7:CO$106,$AH37),1),IF($AI37&gt;0,INDEX(CO$7:CO$106,$AI37),1),IF($AJ37&gt;0,INDEX(CO$7:CO$106,$AJ37),1))))</ns0:f>
        <ns0:v>1</ns0:v>
      </ns0:c>
      <ns0:c r="CQ37" t="n">
        <ns0:f>IF($A37="",1,IF(CP37=1,1,--AND(IF($AC37&gt;0,INDEX(CP$7:CP$106,$AC37),1),IF($AD37&gt;0,INDEX(CP$7:CP$106,$AD37),1),IF($AE37&gt;0,INDEX(CP$7:CP$106,$AE37),1),IF($AF37&gt;0,INDEX(CP$7:CP$106,$AF37),1),IF($AG37&gt;0,INDEX(CP$7:CP$106,$AG37),1),IF($AH37&gt;0,INDEX(CP$7:CP$106,$AH37),1),IF($AI37&gt;0,INDEX(CP$7:CP$106,$AI37),1),IF($AJ37&gt;0,INDEX(CP$7:CP$106,$AJ37),1))))</ns0:f>
        <ns0:v>1</ns0:v>
      </ns0:c>
      <ns0:c r="CR37" t="n">
        <ns0:f>IF($A37="",1,IF(CQ37=1,1,--AND(IF($AC37&gt;0,INDEX(CQ$7:CQ$106,$AC37),1),IF($AD37&gt;0,INDEX(CQ$7:CQ$106,$AD37),1),IF($AE37&gt;0,INDEX(CQ$7:CQ$106,$AE37),1),IF($AF37&gt;0,INDEX(CQ$7:CQ$106,$AF37),1),IF($AG37&gt;0,INDEX(CQ$7:CQ$106,$AG37),1),IF($AH37&gt;0,INDEX(CQ$7:CQ$106,$AH37),1),IF($AI37&gt;0,INDEX(CQ$7:CQ$106,$AI37),1),IF($AJ37&gt;0,INDEX(CQ$7:CQ$106,$AJ37),1))))</ns0:f>
        <ns0:v>1</ns0:v>
      </ns0:c>
      <ns0:c r="CS37" t="n">
        <ns0:f>IF($A37="",1,IF(CR37=1,1,--AND(IF($AC37&gt;0,INDEX(CR$7:CR$106,$AC37),1),IF($AD37&gt;0,INDEX(CR$7:CR$106,$AD37),1),IF($AE37&gt;0,INDEX(CR$7:CR$106,$AE37),1),IF($AF37&gt;0,INDEX(CR$7:CR$106,$AF37),1),IF($AG37&gt;0,INDEX(CR$7:CR$106,$AG37),1),IF($AH37&gt;0,INDEX(CR$7:CR$106,$AH37),1),IF($AI37&gt;0,INDEX(CR$7:CR$106,$AI37),1),IF($AJ37&gt;0,INDEX(CR$7:CR$106,$AJ37),1))))</ns0:f>
        <ns0:v>1</ns0:v>
      </ns0:c>
      <ns0:c r="CT37" t="n">
        <ns0:f>IF($A37="",1,IF(CS37=1,1,--AND(IF($AC37&gt;0,INDEX(CS$7:CS$106,$AC37),1),IF($AD37&gt;0,INDEX(CS$7:CS$106,$AD37),1),IF($AE37&gt;0,INDEX(CS$7:CS$106,$AE37),1),IF($AF37&gt;0,INDEX(CS$7:CS$106,$AF37),1),IF($AG37&gt;0,INDEX(CS$7:CS$106,$AG37),1),IF($AH37&gt;0,INDEX(CS$7:CS$106,$AH37),1),IF($AI37&gt;0,INDEX(CS$7:CS$106,$AI37),1),IF($AJ37&gt;0,INDEX(CS$7:CS$106,$AJ37),1))))</ns0:f>
        <ns0:v>1</ns0:v>
      </ns0:c>
      <ns0:c r="CU37" t="n">
        <ns0:f>IF($A37="",1,IF(CT37=1,1,--AND(IF($AC37&gt;0,INDEX(CT$7:CT$106,$AC37),1),IF($AD37&gt;0,INDEX(CT$7:CT$106,$AD37),1),IF($AE37&gt;0,INDEX(CT$7:CT$106,$AE37),1),IF($AF37&gt;0,INDEX(CT$7:CT$106,$AF37),1),IF($AG37&gt;0,INDEX(CT$7:CT$106,$AG37),1),IF($AH37&gt;0,INDEX(CT$7:CT$106,$AH37),1),IF($AI37&gt;0,INDEX(CT$7:CT$106,$AI37),1),IF($AJ37&gt;0,INDEX(CT$7:CT$106,$AJ37),1))))</ns0:f>
        <ns0:v>1</ns0:v>
      </ns0:c>
      <ns0:c r="CV37" t="n">
        <ns0:f>IF($A37="",1,IF(CU37=1,1,--AND(IF($AC37&gt;0,INDEX(CU$7:CU$106,$AC37),1),IF($AD37&gt;0,INDEX(CU$7:CU$106,$AD37),1),IF($AE37&gt;0,INDEX(CU$7:CU$106,$AE37),1),IF($AF37&gt;0,INDEX(CU$7:CU$106,$AF37),1),IF($AG37&gt;0,INDEX(CU$7:CU$106,$AG37),1),IF($AH37&gt;0,INDEX(CU$7:CU$106,$AH37),1),IF($AI37&gt;0,INDEX(CU$7:CU$106,$AI37),1),IF($AJ37&gt;0,INDEX(CU$7:CU$106,$AJ37),1))))</ns0:f>
        <ns0:v>1</ns0:v>
      </ns0:c>
      <ns0:c r="CW37" t="n">
        <ns0:f>IF($A37="",1,IF(CV37=1,1,--AND(IF($AC37&gt;0,INDEX(CV$7:CV$106,$AC37),1),IF($AD37&gt;0,INDEX(CV$7:CV$106,$AD37),1),IF($AE37&gt;0,INDEX(CV$7:CV$106,$AE37),1),IF($AF37&gt;0,INDEX(CV$7:CV$106,$AF37),1),IF($AG37&gt;0,INDEX(CV$7:CV$106,$AG37),1),IF($AH37&gt;0,INDEX(CV$7:CV$106,$AH37),1),IF($AI37&gt;0,INDEX(CV$7:CV$106,$AI37),1),IF($AJ37&gt;0,INDEX(CV$7:CV$106,$AJ37),1))))</ns0:f>
        <ns0:v>1</ns0:v>
      </ns0:c>
      <ns0:c r="CX37" t="n">
        <ns0:f>IF($A37="",1,IF(CW37=1,1,--AND(IF($AC37&gt;0,INDEX(CW$7:CW$106,$AC37),1),IF($AD37&gt;0,INDEX(CW$7:CW$106,$AD37),1),IF($AE37&gt;0,INDEX(CW$7:CW$106,$AE37),1),IF($AF37&gt;0,INDEX(CW$7:CW$106,$AF37),1),IF($AG37&gt;0,INDEX(CW$7:CW$106,$AG37),1),IF($AH37&gt;0,INDEX(CW$7:CW$106,$AH37),1),IF($AI37&gt;0,INDEX(CW$7:CW$106,$AI37),1),IF($AJ37&gt;0,INDEX(CW$7:CW$106,$AJ37),1))))</ns0:f>
        <ns0:v>1</ns0:v>
      </ns0:c>
      <ns0:c r="CY37" t="n">
        <ns0:f>IF($A37="",1,IF(CX37=1,1,--AND(IF($AC37&gt;0,INDEX(CX$7:CX$106,$AC37),1),IF($AD37&gt;0,INDEX(CX$7:CX$106,$AD37),1),IF($AE37&gt;0,INDEX(CX$7:CX$106,$AE37),1),IF($AF37&gt;0,INDEX(CX$7:CX$106,$AF37),1),IF($AG37&gt;0,INDEX(CX$7:CX$106,$AG37),1),IF($AH37&gt;0,INDEX(CX$7:CX$106,$AH37),1),IF($AI37&gt;0,INDEX(CX$7:CX$106,$AI37),1),IF($AJ37&gt;0,INDEX(CX$7:CX$106,$AJ37),1))))</ns0:f>
        <ns0:v>1</ns0:v>
      </ns0:c>
      <ns0:c r="CZ37" t="n">
        <ns0:f>IF($A37="",1,IF(CY37=1,1,--AND(IF($AC37&gt;0,INDEX(CY$7:CY$106,$AC37),1),IF($AD37&gt;0,INDEX(CY$7:CY$106,$AD37),1),IF($AE37&gt;0,INDEX(CY$7:CY$106,$AE37),1),IF($AF37&gt;0,INDEX(CY$7:CY$106,$AF37),1),IF($AG37&gt;0,INDEX(CY$7:CY$106,$AG37),1),IF($AH37&gt;0,INDEX(CY$7:CY$106,$AH37),1),IF($AI37&gt;0,INDEX(CY$7:CY$106,$AI37),1),IF($AJ37&gt;0,INDEX(CY$7:CY$106,$AJ37),1))))</ns0:f>
        <ns0:v>1</ns0:v>
      </ns0:c>
      <ns0:c r="DA37" t="n">
        <ns0:f>IF($A37="",1,IF(CZ37=1,1,--AND(IF($AC37&gt;0,INDEX(CZ$7:CZ$106,$AC37),1),IF($AD37&gt;0,INDEX(CZ$7:CZ$106,$AD37),1),IF($AE37&gt;0,INDEX(CZ$7:CZ$106,$AE37),1),IF($AF37&gt;0,INDEX(CZ$7:CZ$106,$AF37),1),IF($AG37&gt;0,INDEX(CZ$7:CZ$106,$AG37),1),IF($AH37&gt;0,INDEX(CZ$7:CZ$106,$AH37),1),IF($AI37&gt;0,INDEX(CZ$7:CZ$106,$AI37),1),IF($AJ37&gt;0,INDEX(CZ$7:CZ$106,$AJ37),1))))</ns0:f>
        <ns0:v>1</ns0:v>
      </ns0:c>
      <ns0:c r="DB37" t="n">
        <ns0:f>IF($A37="",1,IF(DA37=1,1,--AND(IF($AC37&gt;0,INDEX(DA$7:DA$106,$AC37),1),IF($AD37&gt;0,INDEX(DA$7:DA$106,$AD37),1),IF($AE37&gt;0,INDEX(DA$7:DA$106,$AE37),1),IF($AF37&gt;0,INDEX(DA$7:DA$106,$AF37),1),IF($AG37&gt;0,INDEX(DA$7:DA$106,$AG37),1),IF($AH37&gt;0,INDEX(DA$7:DA$106,$AH37),1),IF($AI37&gt;0,INDEX(DA$7:DA$106,$AI37),1),IF($AJ37&gt;0,INDEX(DA$7:DA$106,$AJ37),1))))</ns0:f>
        <ns0:v>1</ns0:v>
      </ns0:c>
      <ns0:c r="DC37" t="n">
        <ns0:f>IF($A37="",1,IF(DB37=1,1,--AND(IF($AC37&gt;0,INDEX(DB$7:DB$106,$AC37),1),IF($AD37&gt;0,INDEX(DB$7:DB$106,$AD37),1),IF($AE37&gt;0,INDEX(DB$7:DB$106,$AE37),1),IF($AF37&gt;0,INDEX(DB$7:DB$106,$AF37),1),IF($AG37&gt;0,INDEX(DB$7:DB$106,$AG37),1),IF($AH37&gt;0,INDEX(DB$7:DB$106,$AH37),1),IF($AI37&gt;0,INDEX(DB$7:DB$106,$AI37),1),IF($AJ37&gt;0,INDEX(DB$7:DB$106,$AJ37),1))))</ns0:f>
        <ns0:v>1</ns0:v>
      </ns0:c>
      <ns0:c r="DD37" t="n">
        <ns0:f>IF($A37="",1,IF(DC37=1,1,--AND(IF($AC37&gt;0,INDEX(DC$7:DC$106,$AC37),1),IF($AD37&gt;0,INDEX(DC$7:DC$106,$AD37),1),IF($AE37&gt;0,INDEX(DC$7:DC$106,$AE37),1),IF($AF37&gt;0,INDEX(DC$7:DC$106,$AF37),1),IF($AG37&gt;0,INDEX(DC$7:DC$106,$AG37),1),IF($AH37&gt;0,INDEX(DC$7:DC$106,$AH37),1),IF($AI37&gt;0,INDEX(DC$7:DC$106,$AI37),1),IF($AJ37&gt;0,INDEX(DC$7:DC$106,$AJ37),1))))</ns0:f>
        <ns0:v>1</ns0:v>
      </ns0:c>
      <ns0:c r="DE37" t="n">
        <ns0:f>IF($A37="",1,IF(DD37=1,1,--AND(IF($AC37&gt;0,INDEX(DD$7:DD$106,$AC37),1),IF($AD37&gt;0,INDEX(DD$7:DD$106,$AD37),1),IF($AE37&gt;0,INDEX(DD$7:DD$106,$AE37),1),IF($AF37&gt;0,INDEX(DD$7:DD$106,$AF37),1),IF($AG37&gt;0,INDEX(DD$7:DD$106,$AG37),1),IF($AH37&gt;0,INDEX(DD$7:DD$106,$AH37),1),IF($AI37&gt;0,INDEX(DD$7:DD$106,$AI37),1),IF($AJ37&gt;0,INDEX(DD$7:DD$106,$AJ37),1))))</ns0:f>
        <ns0:v>1</ns0:v>
      </ns0:c>
      <ns0:c r="DF37" t="n">
        <ns0:f>IF($A37="",1,IF(DE37=1,1,--AND(IF($AC37&gt;0,INDEX(DE$7:DE$106,$AC37),1),IF($AD37&gt;0,INDEX(DE$7:DE$106,$AD37),1),IF($AE37&gt;0,INDEX(DE$7:DE$106,$AE37),1),IF($AF37&gt;0,INDEX(DE$7:DE$106,$AF37),1),IF($AG37&gt;0,INDEX(DE$7:DE$106,$AG37),1),IF($AH37&gt;0,INDEX(DE$7:DE$106,$AH37),1),IF($AI37&gt;0,INDEX(DE$7:DE$106,$AI37),1),IF($AJ37&gt;0,INDEX(DE$7:DE$106,$AJ37),1))))</ns0:f>
        <ns0:v>1</ns0:v>
      </ns0:c>
      <ns0:c r="DG37" t="n">
        <ns0:f>IF($A37="",1,IF(DF37=1,1,--AND(IF($AC37&gt;0,INDEX(DF$7:DF$106,$AC37),1),IF($AD37&gt;0,INDEX(DF$7:DF$106,$AD37),1),IF($AE37&gt;0,INDEX(DF$7:DF$106,$AE37),1),IF($AF37&gt;0,INDEX(DF$7:DF$106,$AF37),1),IF($AG37&gt;0,INDEX(DF$7:DF$106,$AG37),1),IF($AH37&gt;0,INDEX(DF$7:DF$106,$AH37),1),IF($AI37&gt;0,INDEX(DF$7:DF$106,$AI37),1),IF($AJ37&gt;0,INDEX(DF$7:DF$106,$AJ37),1))))</ns0:f>
        <ns0:v>1</ns0:v>
      </ns0:c>
      <ns0:c r="DH37" t="n">
        <ns0:f>IF($A37="",1,IF(DG37=1,1,--AND(IF($AC37&gt;0,INDEX(DG$7:DG$106,$AC37),1),IF($AD37&gt;0,INDEX(DG$7:DG$106,$AD37),1),IF($AE37&gt;0,INDEX(DG$7:DG$106,$AE37),1),IF($AF37&gt;0,INDEX(DG$7:DG$106,$AF37),1),IF($AG37&gt;0,INDEX(DG$7:DG$106,$AG37),1),IF($AH37&gt;0,INDEX(DG$7:DG$106,$AH37),1),IF($AI37&gt;0,INDEX(DG$7:DG$106,$AI37),1),IF($AJ37&gt;0,INDEX(DG$7:DG$106,$AJ37),1))))</ns0:f>
        <ns0:v>1</ns0:v>
      </ns0:c>
      <ns0:c r="DI37" t="n">
        <ns0:f>IF($A37="",1,IF(DH37=1,1,--AND(IF($AC37&gt;0,INDEX(DH$7:DH$106,$AC37),1),IF($AD37&gt;0,INDEX(DH$7:DH$106,$AD37),1),IF($AE37&gt;0,INDEX(DH$7:DH$106,$AE37),1),IF($AF37&gt;0,INDEX(DH$7:DH$106,$AF37),1),IF($AG37&gt;0,INDEX(DH$7:DH$106,$AG37),1),IF($AH37&gt;0,INDEX(DH$7:DH$106,$AH37),1),IF($AI37&gt;0,INDEX(DH$7:DH$106,$AI37),1),IF($AJ37&gt;0,INDEX(DH$7:DH$106,$AJ37),1))))</ns0:f>
        <ns0:v>1</ns0:v>
      </ns0:c>
      <ns0:c r="DJ37" t="n">
        <ns0:f>IF($A37="",1,IF(DI37=1,1,--AND(IF($AC37&gt;0,INDEX(DI$7:DI$106,$AC37),1),IF($AD37&gt;0,INDEX(DI$7:DI$106,$AD37),1),IF($AE37&gt;0,INDEX(DI$7:DI$106,$AE37),1),IF($AF37&gt;0,INDEX(DI$7:DI$106,$AF37),1),IF($AG37&gt;0,INDEX(DI$7:DI$106,$AG37),1),IF($AH37&gt;0,INDEX(DI$7:DI$106,$AH37),1),IF($AI37&gt;0,INDEX(DI$7:DI$106,$AI37),1),IF($AJ37&gt;0,INDEX(DI$7:DI$106,$AJ37),1))))</ns0:f>
        <ns0:v>1</ns0:v>
      </ns0:c>
      <ns0:c r="DK37" t="n">
        <ns0:f>IF($A37="",1,IF(DJ37=1,1,--AND(IF($AC37&gt;0,INDEX(DJ$7:DJ$106,$AC37),1),IF($AD37&gt;0,INDEX(DJ$7:DJ$106,$AD37),1),IF($AE37&gt;0,INDEX(DJ$7:DJ$106,$AE37),1),IF($AF37&gt;0,INDEX(DJ$7:DJ$106,$AF37),1),IF($AG37&gt;0,INDEX(DJ$7:DJ$106,$AG37),1),IF($AH37&gt;0,INDEX(DJ$7:DJ$106,$AH37),1),IF($AI37&gt;0,INDEX(DJ$7:DJ$106,$AI37),1),IF($AJ37&gt;0,INDEX(DJ$7:DJ$106,$AJ37),1))))</ns0:f>
        <ns0:v>1</ns0:v>
      </ns0:c>
      <ns0:c r="DL37" t="n">
        <ns0:f>IF($A37="",1,IF(DK37=1,1,--AND(IF($AC37&gt;0,INDEX(DK$7:DK$106,$AC37),1),IF($AD37&gt;0,INDEX(DK$7:DK$106,$AD37),1),IF($AE37&gt;0,INDEX(DK$7:DK$106,$AE37),1),IF($AF37&gt;0,INDEX(DK$7:DK$106,$AF37),1),IF($AG37&gt;0,INDEX(DK$7:DK$106,$AG37),1),IF($AH37&gt;0,INDEX(DK$7:DK$106,$AH37),1),IF($AI37&gt;0,INDEX(DK$7:DK$106,$AI37),1),IF($AJ37&gt;0,INDEX(DK$7:DK$106,$AJ37),1))))</ns0:f>
        <ns0:v>1</ns0:v>
      </ns0:c>
      <ns0:c r="DM37" t="n">
        <ns0:f>IF($A37="",1,IF(DL37=1,1,--AND(IF($AC37&gt;0,INDEX(DL$7:DL$106,$AC37),1),IF($AD37&gt;0,INDEX(DL$7:DL$106,$AD37),1),IF($AE37&gt;0,INDEX(DL$7:DL$106,$AE37),1),IF($AF37&gt;0,INDEX(DL$7:DL$106,$AF37),1),IF($AG37&gt;0,INDEX(DL$7:DL$106,$AG37),1),IF($AH37&gt;0,INDEX(DL$7:DL$106,$AH37),1),IF($AI37&gt;0,INDEX(DL$7:DL$106,$AI37),1),IF($AJ37&gt;0,INDEX(DL$7:DL$106,$AJ37),1))))</ns0:f>
        <ns0:v>1</ns0:v>
      </ns0:c>
      <ns0:c r="DN37" t="n">
        <ns0:f>IF($A37="",1,IF(DM37=1,1,--AND(IF($AC37&gt;0,INDEX(DM$7:DM$106,$AC37),1),IF($AD37&gt;0,INDEX(DM$7:DM$106,$AD37),1),IF($AE37&gt;0,INDEX(DM$7:DM$106,$AE37),1),IF($AF37&gt;0,INDEX(DM$7:DM$106,$AF37),1),IF($AG37&gt;0,INDEX(DM$7:DM$106,$AG37),1),IF($AH37&gt;0,INDEX(DM$7:DM$106,$AH37),1),IF($AI37&gt;0,INDEX(DM$7:DM$106,$AI37),1),IF($AJ37&gt;0,INDEX(DM$7:DM$106,$AJ37),1))))</ns0:f>
        <ns0:v>1</ns0:v>
      </ns0:c>
      <ns0:c r="DO37" t="n">
        <ns0:f>IF($A37="",1,IF(DN37=1,1,--AND(IF($AC37&gt;0,INDEX(DN$7:DN$106,$AC37),1),IF($AD37&gt;0,INDEX(DN$7:DN$106,$AD37),1),IF($AE37&gt;0,INDEX(DN$7:DN$106,$AE37),1),IF($AF37&gt;0,INDEX(DN$7:DN$106,$AF37),1),IF($AG37&gt;0,INDEX(DN$7:DN$106,$AG37),1),IF($AH37&gt;0,INDEX(DN$7:DN$106,$AH37),1),IF($AI37&gt;0,INDEX(DN$7:DN$106,$AI37),1),IF($AJ37&gt;0,INDEX(DN$7:DN$106,$AJ37),1))))</ns0:f>
        <ns0:v>1</ns0:v>
      </ns0:c>
      <ns0:c r="DP37" t="n">
        <ns0:f>IF($A37="",1,IF(DO37=1,1,--AND(IF($AC37&gt;0,INDEX(DO$7:DO$106,$AC37),1),IF($AD37&gt;0,INDEX(DO$7:DO$106,$AD37),1),IF($AE37&gt;0,INDEX(DO$7:DO$106,$AE37),1),IF($AF37&gt;0,INDEX(DO$7:DO$106,$AF37),1),IF($AG37&gt;0,INDEX(DO$7:DO$106,$AG37),1),IF($AH37&gt;0,INDEX(DO$7:DO$106,$AH37),1),IF($AI37&gt;0,INDEX(DO$7:DO$106,$AI37),1),IF($AJ37&gt;0,INDEX(DO$7:DO$106,$AJ37),1))))</ns0:f>
        <ns0:v>1</ns0:v>
      </ns0:c>
      <ns0:c r="DQ37" t="n">
        <ns0:f>IF($A37="",1,IF(DP37=1,1,--AND(IF($AC37&gt;0,INDEX(DP$7:DP$106,$AC37),1),IF($AD37&gt;0,INDEX(DP$7:DP$106,$AD37),1),IF($AE37&gt;0,INDEX(DP$7:DP$106,$AE37),1),IF($AF37&gt;0,INDEX(DP$7:DP$106,$AF37),1),IF($AG37&gt;0,INDEX(DP$7:DP$106,$AG37),1),IF($AH37&gt;0,INDEX(DP$7:DP$106,$AH37),1),IF($AI37&gt;0,INDEX(DP$7:DP$106,$AI37),1),IF($AJ37&gt;0,INDEX(DP$7:DP$106,$AJ37),1))))</ns0:f>
        <ns0:v>1</ns0:v>
      </ns0:c>
      <ns0:c r="DR37" t="n">
        <ns0:f>IF($A37="",1,IF(DQ37=1,1,--AND(IF($AC37&gt;0,INDEX(DQ$7:DQ$106,$AC37),1),IF($AD37&gt;0,INDEX(DQ$7:DQ$106,$AD37),1),IF($AE37&gt;0,INDEX(DQ$7:DQ$106,$AE37),1),IF($AF37&gt;0,INDEX(DQ$7:DQ$106,$AF37),1),IF($AG37&gt;0,INDEX(DQ$7:DQ$106,$AG37),1),IF($AH37&gt;0,INDEX(DQ$7:DQ$106,$AH37),1),IF($AI37&gt;0,INDEX(DQ$7:DQ$106,$AI37),1),IF($AJ37&gt;0,INDEX(DQ$7:DQ$106,$AJ37),1))))</ns0:f>
        <ns0:v>1</ns0:v>
      </ns0:c>
      <ns0:c r="DS37" t="n">
        <ns0:f>IF($A37="",1,IF(DR37=1,1,--AND(IF($AC37&gt;0,INDEX(DR$7:DR$106,$AC37),1),IF($AD37&gt;0,INDEX(DR$7:DR$106,$AD37),1),IF($AE37&gt;0,INDEX(DR$7:DR$106,$AE37),1),IF($AF37&gt;0,INDEX(DR$7:DR$106,$AF37),1),IF($AG37&gt;0,INDEX(DR$7:DR$106,$AG37),1),IF($AH37&gt;0,INDEX(DR$7:DR$106,$AH37),1),IF($AI37&gt;0,INDEX(DR$7:DR$106,$AI37),1),IF($AJ37&gt;0,INDEX(DR$7:DR$106,$AJ37),1))))</ns0:f>
        <ns0:v>1</ns0:v>
      </ns0:c>
      <ns0:c r="DT37" t="n">
        <ns0:f>IF($A37="",1,IF(DS37=1,1,--AND(IF($AC37&gt;0,INDEX(DS$7:DS$106,$AC37),1),IF($AD37&gt;0,INDEX(DS$7:DS$106,$AD37),1),IF($AE37&gt;0,INDEX(DS$7:DS$106,$AE37),1),IF($AF37&gt;0,INDEX(DS$7:DS$106,$AF37),1),IF($AG37&gt;0,INDEX(DS$7:DS$106,$AG37),1),IF($AH37&gt;0,INDEX(DS$7:DS$106,$AH37),1),IF($AI37&gt;0,INDEX(DS$7:DS$106,$AI37),1),IF($AJ37&gt;0,INDEX(DS$7:DS$106,$AJ37),1))))</ns0:f>
        <ns0:v>1</ns0:v>
      </ns0:c>
      <ns0:c r="DU37" t="n">
        <ns0:f>IF($A37="",1,IF(DT37=1,1,--AND(IF($AC37&gt;0,INDEX(DT$7:DT$106,$AC37),1),IF($AD37&gt;0,INDEX(DT$7:DT$106,$AD37),1),IF($AE37&gt;0,INDEX(DT$7:DT$106,$AE37),1),IF($AF37&gt;0,INDEX(DT$7:DT$106,$AF37),1),IF($AG37&gt;0,INDEX(DT$7:DT$106,$AG37),1),IF($AH37&gt;0,INDEX(DT$7:DT$106,$AH37),1),IF($AI37&gt;0,INDEX(DT$7:DT$106,$AI37),1),IF($AJ37&gt;0,INDEX(DT$7:DT$106,$AJ37),1))))</ns0:f>
        <ns0:v>1</ns0:v>
      </ns0:c>
      <ns0:c r="DV37" t="n">
        <ns0:f>IF($A37="",1,IF(DU37=1,1,--AND(IF($AC37&gt;0,INDEX(DU$7:DU$106,$AC37),1),IF($AD37&gt;0,INDEX(DU$7:DU$106,$AD37),1),IF($AE37&gt;0,INDEX(DU$7:DU$106,$AE37),1),IF($AF37&gt;0,INDEX(DU$7:DU$106,$AF37),1),IF($AG37&gt;0,INDEX(DU$7:DU$106,$AG37),1),IF($AH37&gt;0,INDEX(DU$7:DU$106,$AH37),1),IF($AI37&gt;0,INDEX(DU$7:DU$106,$AI37),1),IF($AJ37&gt;0,INDEX(DU$7:DU$106,$AJ37),1))))</ns0:f>
        <ns0:v>1</ns0:v>
      </ns0:c>
      <ns0:c r="DW37" t="n">
        <ns0:f>IF($A37="",1,IF(DV37=1,1,--AND(IF($AC37&gt;0,INDEX(DV$7:DV$106,$AC37),1),IF($AD37&gt;0,INDEX(DV$7:DV$106,$AD37),1),IF($AE37&gt;0,INDEX(DV$7:DV$106,$AE37),1),IF($AF37&gt;0,INDEX(DV$7:DV$106,$AF37),1),IF($AG37&gt;0,INDEX(DV$7:DV$106,$AG37),1),IF($AH37&gt;0,INDEX(DV$7:DV$106,$AH37),1),IF($AI37&gt;0,INDEX(DV$7:DV$106,$AI37),1),IF($AJ37&gt;0,INDEX(DV$7:DV$106,$AJ37),1))))</ns0:f>
        <ns0:v>1</ns0:v>
      </ns0:c>
      <ns0:c r="DX37" t="n">
        <ns0:f>IF($A37="",1,IF(DW37=1,1,--AND(IF($AC37&gt;0,INDEX(DW$7:DW$106,$AC37),1),IF($AD37&gt;0,INDEX(DW$7:DW$106,$AD37),1),IF($AE37&gt;0,INDEX(DW$7:DW$106,$AE37),1),IF($AF37&gt;0,INDEX(DW$7:DW$106,$AF37),1),IF($AG37&gt;0,INDEX(DW$7:DW$106,$AG37),1),IF($AH37&gt;0,INDEX(DW$7:DW$106,$AH37),1),IF($AI37&gt;0,INDEX(DW$7:DW$106,$AI37),1),IF($AJ37&gt;0,INDEX(DW$7:DW$106,$AJ37),1))))</ns0:f>
        <ns0:v>1</ns0:v>
      </ns0:c>
      <ns0:c r="DY37" t="n">
        <ns0:f>IF($A37="",1,IF(DX37=1,1,--AND(IF($AC37&gt;0,INDEX(DX$7:DX$106,$AC37),1),IF($AD37&gt;0,INDEX(DX$7:DX$106,$AD37),1),IF($AE37&gt;0,INDEX(DX$7:DX$106,$AE37),1),IF($AF37&gt;0,INDEX(DX$7:DX$106,$AF37),1),IF($AG37&gt;0,INDEX(DX$7:DX$106,$AG37),1),IF($AH37&gt;0,INDEX(DX$7:DX$106,$AH37),1),IF($AI37&gt;0,INDEX(DX$7:DX$106,$AI37),1),IF($AJ37&gt;0,INDEX(DX$7:DX$106,$AJ37),1))))</ns0:f>
        <ns0:v>1</ns0:v>
      </ns0:c>
      <ns0:c r="DZ37" t="n">
        <ns0:f>IF($A37="",1,IF(DY37=1,1,--AND(IF($AC37&gt;0,INDEX(DY$7:DY$106,$AC37),1),IF($AD37&gt;0,INDEX(DY$7:DY$106,$AD37),1),IF($AE37&gt;0,INDEX(DY$7:DY$106,$AE37),1),IF($AF37&gt;0,INDEX(DY$7:DY$106,$AF37),1),IF($AG37&gt;0,INDEX(DY$7:DY$106,$AG37),1),IF($AH37&gt;0,INDEX(DY$7:DY$106,$AH37),1),IF($AI37&gt;0,INDEX(DY$7:DY$106,$AI37),1),IF($AJ37&gt;0,INDEX(DY$7:DY$106,$AJ37),1))))</ns0:f>
        <ns0:v>1</ns0:v>
      </ns0:c>
      <ns0:c r="EA37" t="n">
        <ns0:f>IF($A37="",1,IF(DZ37=1,1,--AND(IF($AC37&gt;0,INDEX(DZ$7:DZ$106,$AC37),1),IF($AD37&gt;0,INDEX(DZ$7:DZ$106,$AD37),1),IF($AE37&gt;0,INDEX(DZ$7:DZ$106,$AE37),1),IF($AF37&gt;0,INDEX(DZ$7:DZ$106,$AF37),1),IF($AG37&gt;0,INDEX(DZ$7:DZ$106,$AG37),1),IF($AH37&gt;0,INDEX(DZ$7:DZ$106,$AH37),1),IF($AI37&gt;0,INDEX(DZ$7:DZ$106,$AI37),1),IF($AJ37&gt;0,INDEX(DZ$7:DZ$106,$AJ37),1))))</ns0:f>
        <ns0:v>1</ns0:v>
      </ns0:c>
      <ns0:c r="EB37" t="n">
        <ns0:f>IF($A37="",1,IF(EA37=1,1,--AND(IF($AC37&gt;0,INDEX(EA$7:EA$106,$AC37),1),IF($AD37&gt;0,INDEX(EA$7:EA$106,$AD37),1),IF($AE37&gt;0,INDEX(EA$7:EA$106,$AE37),1),IF($AF37&gt;0,INDEX(EA$7:EA$106,$AF37),1),IF($AG37&gt;0,INDEX(EA$7:EA$106,$AG37),1),IF($AH37&gt;0,INDEX(EA$7:EA$106,$AH37),1),IF($AI37&gt;0,INDEX(EA$7:EA$106,$AI37),1),IF($AJ37&gt;0,INDEX(EA$7:EA$106,$AJ37),1))))</ns0:f>
        <ns0:v>1</ns0:v>
      </ns0:c>
      <ns0:c r="EC37" t="n">
        <ns0:f>IF($A37="",1,IF(EB37=1,1,--AND(IF($AC37&gt;0,INDEX(EB$7:EB$106,$AC37),1),IF($AD37&gt;0,INDEX(EB$7:EB$106,$AD37),1),IF($AE37&gt;0,INDEX(EB$7:EB$106,$AE37),1),IF($AF37&gt;0,INDEX(EB$7:EB$106,$AF37),1),IF($AG37&gt;0,INDEX(EB$7:EB$106,$AG37),1),IF($AH37&gt;0,INDEX(EB$7:EB$106,$AH37),1),IF($AI37&gt;0,INDEX(EB$7:EB$106,$AI37),1),IF($AJ37&gt;0,INDEX(EB$7:EB$106,$AJ37),1))))</ns0:f>
        <ns0:v>1</ns0:v>
      </ns0:c>
      <ns0:c r="ED37" t="n">
        <ns0:f>IF($A37="",1,IF(EC37=1,1,--AND(IF($AC37&gt;0,INDEX(EC$7:EC$106,$AC37),1),IF($AD37&gt;0,INDEX(EC$7:EC$106,$AD37),1),IF($AE37&gt;0,INDEX(EC$7:EC$106,$AE37),1),IF($AF37&gt;0,INDEX(EC$7:EC$106,$AF37),1),IF($AG37&gt;0,INDEX(EC$7:EC$106,$AG37),1),IF($AH37&gt;0,INDEX(EC$7:EC$106,$AH37),1),IF($AI37&gt;0,INDEX(EC$7:EC$106,$AI37),1),IF($AJ37&gt;0,INDEX(EC$7:EC$106,$AJ37),1))))</ns0:f>
        <ns0:v>1</ns0:v>
      </ns0:c>
      <ns0:c r="EE37" t="n">
        <ns0:f>IF($A37="",1,IF(ED37=1,1,--AND(IF($AC37&gt;0,INDEX(ED$7:ED$106,$AC37),1),IF($AD37&gt;0,INDEX(ED$7:ED$106,$AD37),1),IF($AE37&gt;0,INDEX(ED$7:ED$106,$AE37),1),IF($AF37&gt;0,INDEX(ED$7:ED$106,$AF37),1),IF($AG37&gt;0,INDEX(ED$7:ED$106,$AG37),1),IF($AH37&gt;0,INDEX(ED$7:ED$106,$AH37),1),IF($AI37&gt;0,INDEX(ED$7:ED$106,$AI37),1),IF($AJ37&gt;0,INDEX(ED$7:ED$106,$AJ37),1))))</ns0:f>
        <ns0:v>1</ns0:v>
      </ns0:c>
      <ns0:c r="EF37" t="n">
        <ns0:f>IF($A37="",1,IF(EE37=1,1,--AND(IF($AC37&gt;0,INDEX(EE$7:EE$106,$AC37),1),IF($AD37&gt;0,INDEX(EE$7:EE$106,$AD37),1),IF($AE37&gt;0,INDEX(EE$7:EE$106,$AE37),1),IF($AF37&gt;0,INDEX(EE$7:EE$106,$AF37),1),IF($AG37&gt;0,INDEX(EE$7:EE$106,$AG37),1),IF($AH37&gt;0,INDEX(EE$7:EE$106,$AH37),1),IF($AI37&gt;0,INDEX(EE$7:EE$106,$AI37),1),IF($AJ37&gt;0,INDEX(EE$7:EE$106,$AJ37),1))))</ns0:f>
        <ns0:v>1</ns0:v>
      </ns0:c>
      <ns0:c r="EG37" t="n">
        <ns0:f>IF($A37="",1,IF(EF37=1,1,--AND(IF($AC37&gt;0,INDEX(EF$7:EF$106,$AC37),1),IF($AD37&gt;0,INDEX(EF$7:EF$106,$AD37),1),IF($AE37&gt;0,INDEX(EF$7:EF$106,$AE37),1),IF($AF37&gt;0,INDEX(EF$7:EF$106,$AF37),1),IF($AG37&gt;0,INDEX(EF$7:EF$106,$AG37),1),IF($AH37&gt;0,INDEX(EF$7:EF$106,$AH37),1),IF($AI37&gt;0,INDEX(EF$7:EF$106,$AI37),1),IF($AJ37&gt;0,INDEX(EF$7:EF$106,$AJ37),1))))</ns0:f>
        <ns0:v>1</ns0:v>
      </ns0:c>
      <ns0:c r="EH37" t="n">
        <ns0:f>IF($A37="",1,IF(EG37=1,1,--AND(IF($AC37&gt;0,INDEX(EG$7:EG$106,$AC37),1),IF($AD37&gt;0,INDEX(EG$7:EG$106,$AD37),1),IF($AE37&gt;0,INDEX(EG$7:EG$106,$AE37),1),IF($AF37&gt;0,INDEX(EG$7:EG$106,$AF37),1),IF($AG37&gt;0,INDEX(EG$7:EG$106,$AG37),1),IF($AH37&gt;0,INDEX(EG$7:EG$106,$AH37),1),IF($AI37&gt;0,INDEX(EG$7:EG$106,$AI37),1),IF($AJ37&gt;0,INDEX(EG$7:EG$106,$AJ37),1))))</ns0:f>
        <ns0:v>1</ns0:v>
      </ns0:c>
      <ns0:c r="EI37" t="n">
        <ns0:f>IF($A37="",1,IF(EH37=1,1,--AND(IF($AC37&gt;0,INDEX(EH$7:EH$106,$AC37),1),IF($AD37&gt;0,INDEX(EH$7:EH$106,$AD37),1),IF($AE37&gt;0,INDEX(EH$7:EH$106,$AE37),1),IF($AF37&gt;0,INDEX(EH$7:EH$106,$AF37),1),IF($AG37&gt;0,INDEX(EH$7:EH$106,$AG37),1),IF($AH37&gt;0,INDEX(EH$7:EH$106,$AH37),1),IF($AI37&gt;0,INDEX(EH$7:EH$106,$AI37),1),IF($AJ37&gt;0,INDEX(EH$7:EH$106,$AJ37),1))))</ns0:f>
        <ns0:v>1</ns0:v>
      </ns0:c>
      <ns0:c r="EJ37" t="n">
        <ns0:f>IF($A37="",1,IF(EI37=1,1,--AND(IF($AC37&gt;0,INDEX(EI$7:EI$106,$AC37),1),IF($AD37&gt;0,INDEX(EI$7:EI$106,$AD37),1),IF($AE37&gt;0,INDEX(EI$7:EI$106,$AE37),1),IF($AF37&gt;0,INDEX(EI$7:EI$106,$AF37),1),IF($AG37&gt;0,INDEX(EI$7:EI$106,$AG37),1),IF($AH37&gt;0,INDEX(EI$7:EI$106,$AH37),1),IF($AI37&gt;0,INDEX(EI$7:EI$106,$AI37),1),IF($AJ37&gt;0,INDEX(EI$7:EI$106,$AJ37),1))))</ns0:f>
        <ns0:v>1</ns0:v>
      </ns0:c>
      <ns0:c r="EK37" t="n">
        <ns0:f>IF($A37="",1,IF(EJ37=1,1,--AND(IF($AC37&gt;0,INDEX(EJ$7:EJ$106,$AC37),1),IF($AD37&gt;0,INDEX(EJ$7:EJ$106,$AD37),1),IF($AE37&gt;0,INDEX(EJ$7:EJ$106,$AE37),1),IF($AF37&gt;0,INDEX(EJ$7:EJ$106,$AF37),1),IF($AG37&gt;0,INDEX(EJ$7:EJ$106,$AG37),1),IF($AH37&gt;0,INDEX(EJ$7:EJ$106,$AH37),1),IF($AI37&gt;0,INDEX(EJ$7:EJ$106,$AI37),1),IF($AJ37&gt;0,INDEX(EJ$7:EJ$106,$AJ37),1))))</ns0:f>
        <ns0:v>1</ns0:v>
      </ns0:c>
      <ns0:c r="EL37" t="n">
        <ns0:f>IF($A37="",1,IF(EK37=1,1,--AND(IF($AC37&gt;0,INDEX(EK$7:EK$106,$AC37),1),IF($AD37&gt;0,INDEX(EK$7:EK$106,$AD37),1),IF($AE37&gt;0,INDEX(EK$7:EK$106,$AE37),1),IF($AF37&gt;0,INDEX(EK$7:EK$106,$AF37),1),IF($AG37&gt;0,INDEX(EK$7:EK$106,$AG37),1),IF($AH37&gt;0,INDEX(EK$7:EK$106,$AH37),1),IF($AI37&gt;0,INDEX(EK$7:EK$106,$AI37),1),IF($AJ37&gt;0,INDEX(EK$7:EK$106,$AJ37),1))))</ns0:f>
        <ns0:v>1</ns0:v>
      </ns0:c>
      <ns0:c r="EM37" t="n">
        <ns0:f>IF($A37="",1,IF(EL37=1,1,--AND(IF($AC37&gt;0,INDEX(EL$7:EL$106,$AC37),1),IF($AD37&gt;0,INDEX(EL$7:EL$106,$AD37),1),IF($AE37&gt;0,INDEX(EL$7:EL$106,$AE37),1),IF($AF37&gt;0,INDEX(EL$7:EL$106,$AF37),1),IF($AG37&gt;0,INDEX(EL$7:EL$106,$AG37),1),IF($AH37&gt;0,INDEX(EL$7:EL$106,$AH37),1),IF($AI37&gt;0,INDEX(EL$7:EL$106,$AI37),1),IF($AJ37&gt;0,INDEX(EL$7:EL$106,$AJ37),1))))</ns0:f>
        <ns0:v>1</ns0:v>
      </ns0:c>
      <ns0:c r="EN37" t="n">
        <ns0:f>IF($A37="",1,IF(EM37=1,1,--AND(IF($AC37&gt;0,INDEX(EM$7:EM$106,$AC37),1),IF($AD37&gt;0,INDEX(EM$7:EM$106,$AD37),1),IF($AE37&gt;0,INDEX(EM$7:EM$106,$AE37),1),IF($AF37&gt;0,INDEX(EM$7:EM$106,$AF37),1),IF($AG37&gt;0,INDEX(EM$7:EM$106,$AG37),1),IF($AH37&gt;0,INDEX(EM$7:EM$106,$AH37),1),IF($AI37&gt;0,INDEX(EM$7:EM$106,$AI37),1),IF($AJ37&gt;0,INDEX(EM$7:EM$106,$AJ37),1))))</ns0:f>
        <ns0:v>1</ns0:v>
      </ns0:c>
      <ns0:c r="EO37" t="n">
        <ns0:f>IF($A37="",1,IF(EN37=1,1,--AND(IF($AC37&gt;0,INDEX(EN$7:EN$106,$AC37),1),IF($AD37&gt;0,INDEX(EN$7:EN$106,$AD37),1),IF($AE37&gt;0,INDEX(EN$7:EN$106,$AE37),1),IF($AF37&gt;0,INDEX(EN$7:EN$106,$AF37),1),IF($AG37&gt;0,INDEX(EN$7:EN$106,$AG37),1),IF($AH37&gt;0,INDEX(EN$7:EN$106,$AH37),1),IF($AI37&gt;0,INDEX(EN$7:EN$106,$AI37),1),IF($AJ37&gt;0,INDEX(EN$7:EN$106,$AJ37),1))))</ns0:f>
        <ns0:v>1</ns0:v>
      </ns0:c>
      <ns0:c r="EP37" t="n">
        <ns0:f>IF($A37="",1,IF(EO37=1,1,--AND(IF($AC37&gt;0,INDEX(EO$7:EO$106,$AC37),1),IF($AD37&gt;0,INDEX(EO$7:EO$106,$AD37),1),IF($AE37&gt;0,INDEX(EO$7:EO$106,$AE37),1),IF($AF37&gt;0,INDEX(EO$7:EO$106,$AF37),1),IF($AG37&gt;0,INDEX(EO$7:EO$106,$AG37),1),IF($AH37&gt;0,INDEX(EO$7:EO$106,$AH37),1),IF($AI37&gt;0,INDEX(EO$7:EO$106,$AI37),1),IF($AJ37&gt;0,INDEX(EO$7:EO$106,$AJ37),1))))</ns0:f>
        <ns0:v>1</ns0:v>
      </ns0:c>
      <ns0:c r="EQ37" t="n">
        <ns0:f>IF(OR(A37="",NOT(ISNUMBER(G37))),0,G37*N37)</ns0:f>
        <ns0:v>0</ns0:v>
      </ns0:c>
    </ns0:row>
    <ns0:row r="38" ht="62" customHeight="1">
      <ns0:c r="A38" s="48" t="str">
        <ns0:v>T27</ns0:v>
      </ns0:c>
      <ns0:c r="B38" s="48" t="str">
        <ns0:v>Launch &amp; telemetry</ns0:v>
      </ns0:c>
      <ns0:c r="C38" s="48" t="str">
        <ns0:v>Publish ad campaigns and bid targets to Paid Ad Platforms</ns0:v>
      </ns0:c>
      <ns0:c r="D38" s="48" t="str">
        <ns0:v>Release approved paid campaigns and bid targets. Confirm platform scope.</ns0:v>
      </ns0:c>
      <ns0:c r="E38" s="49" t="n">
        <ns0:v>46299</ns0:v>
      </ns0:c>
      <ns0:c r="F38" s="49" t="n">
        <ns0:v>46300</ns0:v>
      </ns0:c>
      <ns0:c r="G38" s="13" t="n">
        <ns0:f>IF(A38="","",IF(OR(NOT(ISNUMBER(E38)),NOT(ISNUMBER(F38)),F38&lt;E38),"",IF(J38="Yes",0,F38-E38+1)))</ns0:f>
        <ns0:v>2</ns0:v>
      </ns0:c>
      <ns0:c r="H38" s="48" t="str">
        <ns0:v>T25</ns0:v>
      </ns0:c>
      <ns0:c r="I38" s="48" t="str">
        <ns0:v>FS</ns0:v>
      </ns0:c>
      <ns0:c r="J38" s="48" t="str">
        <ns0:v>No</ns0:v>
      </ns0:c>
      <ns0:c r="K38" s="48" t="str">
        <ns0:v>Outbound Actuation MCP Boundary;Paid Ad Platforms (Meta, Google, TikTok)</ns0:v>
      </ns0:c>
      <ns0:c r="L38" s="48" t="str"/>
      <ns0:c r="M38" s="50" t="str">
        <ns0:f>IF(A38="","",IF(N38=1,"Completed",IF(N38&gt;0,"In Progress","Not Started")))</ns0:f>
        <ns0:v>Not Started</ns0:v>
      </ns0:c>
      <ns0:c r="N38" s="51" t="n">
        <ns0:v>0</ns0:v>
      </ns0:c>
      <ns0:c r="O38" s="13" t="str">
        <ns0:f>IF(A38="","",IF(R38&lt;&gt;"","[CONFLICT] "&amp;R38,IF(S38&lt;&gt;"","[CONFLICT] "&amp;S38,IF(OR(NOT(ISNUMBER(N38)),N38&lt;0,N38&gt;1),"[CONFLICT] Invalid progress",IF(AK38&gt;0,"[DEPENDENCY ISSUE] Missing ID / &gt;8 links",IF(AM38&gt;0,"[DEPENDENCY ISSUE] Cycle or blocked by cycle",IF(AND(H38&lt;&gt;"",ISNA(MATCH(I38,{"FS","SS","FF","SF"},0))),"[DEPENDENCY ISSUE] Invalid type",IF(AL38&gt;0,"[DEPENDENCY ISSUE] Timing conflict",IF(OR(E38&lt;ProjectStart,F38&gt;ProjectEnd),"[OUTSIDE WINDOW]",IF(AND(N38&lt;1,F38&lt;AsOfDate),"Overdue",IF(AND(M38&lt;&gt;Q38,M38&lt;&gt;""),"[CONFLICT] Status / progress","On track")))))))))))</ns0:f>
        <ns0:v>On track</ns0:v>
      </ns0:c>
      <ns0:c r="P38" s="52" t="str">
        <ns0:v>Source: Project Plan Essentials (2).md §1, §2, §4. Original 2026-10-07 to 2026-10-09, 3d; original progress 0% [INFERRED]. [INFERRED] Rescheduled to fit 34d with FS. Duration reduced to 2d. Original resource/tools: Outbound MCP &amp; Paid Ad Platforms.</ns0:v>
      </ns0:c>
      <ns0:c r="Q38" t="str">
        <ns0:f>IF(A38="","",IF(OR(M38="On Hold",M38="Delayed"),M38,IF(N38=1,"Completed",IF(N38&gt;0,"In Progress","Not Started"))))</ns0:f>
        <ns0:v>Not Started</ns0:v>
      </ns0:c>
      <ns0:c r="R38" t="str">
        <ns0:f>IF(A38="","",IF(COUNTIFS(Tasks[Task ID],A38)&lt;&gt;1,"Duplicate ID",""))</ns0:f>
      </ns0:c>
      <ns0:c r="S38" t="str">
        <ns0:f>IF(A38="","",IF(OR(NOT(ISNUMBER(E38)),NOT(ISNUMBER(F38))),"Invalid / missing date",IF(OR(E38&lt;&gt;INT(E38),F38&lt;&gt;INT(F38),E38&lt;1,F38&gt;2958465),"Invalid date",IF(F38&lt;E38,"End before start",IF(AND(J38="Yes",E38&lt;&gt;F38),"Milestone needs one date","")))))</ns0:f>
      </ns0:c>
      <ns0:c r="T38" t="n">
        <ns0:f>IF(H38="",0,LEN(H38)-LEN(SUBSTITUTE(H38,",",""))+1)</ns0:f>
        <ns0:v>1</ns0:v>
      </ns0:c>
      <ns0:c r="U38" t="str">
        <ns0:f>TRIM(MID(SUBSTITUTE($H38,",",REPT(" ",100)),1,100))</ns0:f>
        <ns0:v>T25</ns0:v>
      </ns0:c>
      <ns0:c r="V38" t="str">
        <ns0:f>TRIM(MID(SUBSTITUTE($H38,",",REPT(" ",100)),101,100))</ns0:f>
      </ns0:c>
      <ns0:c r="W38" t="str">
        <ns0:f>TRIM(MID(SUBSTITUTE($H38,",",REPT(" ",100)),201,100))</ns0:f>
      </ns0:c>
      <ns0:c r="X38" t="str">
        <ns0:f>TRIM(MID(SUBSTITUTE($H38,",",REPT(" ",100)),301,100))</ns0:f>
      </ns0:c>
      <ns0:c r="Y38" t="str">
        <ns0:f>TRIM(MID(SUBSTITUTE($H38,",",REPT(" ",100)),401,100))</ns0:f>
      </ns0:c>
      <ns0:c r="Z38" t="str">
        <ns0:f>TRIM(MID(SUBSTITUTE($H38,",",REPT(" ",100)),501,100))</ns0:f>
      </ns0:c>
      <ns0:c r="AA38" t="str">
        <ns0:f>TRIM(MID(SUBSTITUTE($H38,",",REPT(" ",100)),601,100))</ns0:f>
      </ns0:c>
      <ns0:c r="AB38" t="str">
        <ns0:f>TRIM(MID(SUBSTITUTE($H38,",",REPT(" ",100)),701,100))</ns0:f>
      </ns0:c>
      <ns0:c r="AC38" t="n">
        <ns0:f>IF(U38="",0,IF(COUNTIFS(Tasks[Task ID],U38)=1,MATCH(U38,Tasks[Task ID],0),-1))</ns0:f>
        <ns0:v>30</ns0:v>
      </ns0:c>
      <ns0:c r="AD38" t="n">
        <ns0:f>IF(V38="",0,IF(COUNTIFS(Tasks[Task ID],V38)=1,MATCH(V38,Tasks[Task ID],0),-1))</ns0:f>
        <ns0:v>0</ns0:v>
      </ns0:c>
      <ns0:c r="AE38" t="n">
        <ns0:f>IF(W38="",0,IF(COUNTIFS(Tasks[Task ID],W38)=1,MATCH(W38,Tasks[Task ID],0),-1))</ns0:f>
        <ns0:v>0</ns0:v>
      </ns0:c>
      <ns0:c r="AF38" t="n">
        <ns0:f>IF(X38="",0,IF(COUNTIFS(Tasks[Task ID],X38)=1,MATCH(X38,Tasks[Task ID],0),-1))</ns0:f>
        <ns0:v>0</ns0:v>
      </ns0:c>
      <ns0:c r="AG38" t="n">
        <ns0:f>IF(Y38="",0,IF(COUNTIFS(Tasks[Task ID],Y38)=1,MATCH(Y38,Tasks[Task ID],0),-1))</ns0:f>
        <ns0:v>0</ns0:v>
      </ns0:c>
      <ns0:c r="AH38" t="n">
        <ns0:f>IF(Z38="",0,IF(COUNTIFS(Tasks[Task ID],Z38)=1,MATCH(Z38,Tasks[Task ID],0),-1))</ns0:f>
        <ns0:v>0</ns0:v>
      </ns0:c>
      <ns0:c r="AI38" t="n">
        <ns0:f>IF(AA38="",0,IF(COUNTIFS(Tasks[Task ID],AA38)=1,MATCH(AA38,Tasks[Task ID],0),-1))</ns0:f>
        <ns0:v>0</ns0:v>
      </ns0:c>
      <ns0:c r="AJ38" t="n">
        <ns0:f>IF(AB38="",0,IF(COUNTIFS(Tasks[Task ID],AB38)=1,MATCH(AB38,Tasks[Task ID],0),-1))</ns0:f>
        <ns0:v>0</ns0:v>
      </ns0:c>
      <ns0:c r="AK38" t="n">
        <ns0:f>COUNTIFS(AC38:AJ38,-1)+IF(T38&gt;8,1,0)</ns0:f>
        <ns0:v>0</ns0:v>
      </ns0:c>
      <ns0:c r="AL38" t="n">
        <ns0:f>IF(OR(A38="",S38&lt;&gt;""),0,SUM(IF(AC38&gt;0,IF($I38="FS",--($E38&lt;INDEX(Tasks[End Date],AC38)+IF(INDEX(Tasks[Milestone],AC38)="Yes",0,1)),IF($I38="SS",--($E38&lt;INDEX(Tasks[Start Date],AC38)),IF($I38="FF",--($F38&lt;INDEX(Tasks[End Date],AC38)),IF($I38="SF",--($F38&lt;INDEX(Tasks[Start Date],AC38)),0)))),0),IF(AD38&gt;0,IF($I38="FS",--($E38&lt;INDEX(Tasks[End Date],AD38)+IF(INDEX(Tasks[Milestone],AD38)="Yes",0,1)),IF($I38="SS",--($E38&lt;INDEX(Tasks[Start Date],AD38)),IF($I38="FF",--($F38&lt;INDEX(Tasks[End Date],AD38)),IF($I38="SF",--($F38&lt;INDEX(Tasks[Start Date],AD38)),0)))),0),IF(AE38&gt;0,IF($I38="FS",--($E38&lt;INDEX(Tasks[End Date],AE38)+IF(INDEX(Tasks[Milestone],AE38)="Yes",0,1)),IF($I38="SS",--($E38&lt;INDEX(Tasks[Start Date],AE38)),IF($I38="FF",--($F38&lt;INDEX(Tasks[End Date],AE38)),IF($I38="SF",--($F38&lt;INDEX(Tasks[Start Date],AE38)),0)))),0),IF(AF38&gt;0,IF($I38="FS",--($E38&lt;INDEX(Tasks[End Date],AF38)+IF(INDEX(Tasks[Milestone],AF38)="Yes",0,1)),IF($I38="SS",--($E38&lt;INDEX(Tasks[Start Date],AF38)),IF($I38="FF",--($F38&lt;INDEX(Tasks[End Date],AF38)),IF($I38="SF",--($F38&lt;INDEX(Tasks[Start Date],AF38)),0)))),0),IF(AG38&gt;0,IF($I38="FS",--($E38&lt;INDEX(Tasks[End Date],AG38)+IF(INDEX(Tasks[Milestone],AG38)="Yes",0,1)),IF($I38="SS",--($E38&lt;INDEX(Tasks[Start Date],AG38)),IF($I38="FF",--($F38&lt;INDEX(Tasks[End Date],AG38)),IF($I38="SF",--($F38&lt;INDEX(Tasks[Start Date],AG38)),0)))),0),IF(AH38&gt;0,IF($I38="FS",--($E38&lt;INDEX(Tasks[End Date],AH38)+IF(INDEX(Tasks[Milestone],AH38)="Yes",0,1)),IF($I38="SS",--($E38&lt;INDEX(Tasks[Start Date],AH38)),IF($I38="FF",--($F38&lt;INDEX(Tasks[End Date],AH38)),IF($I38="SF",--($F38&lt;INDEX(Tasks[Start Date],AH38)),0)))),0),IF(AI38&gt;0,IF($I38="FS",--($E38&lt;INDEX(Tasks[End Date],AI38)+IF(INDEX(Tasks[Milestone],AI38)="Yes",0,1)),IF($I38="SS",--($E38&lt;INDEX(Tasks[Start Date],AI38)),IF($I38="FF",--($F38&lt;INDEX(Tasks[End Date],AI38)),IF($I38="SF",--($F38&lt;INDEX(Tasks[Start Date],AI38)),0)))),0),IF(AJ38&gt;0,IF($I38="FS",--($E38&lt;INDEX(Tasks[End Date],AJ38)+IF(INDEX(Tasks[Milestone],AJ38)="Yes",0,1)),IF($I38="SS",--($E38&lt;INDEX(Tasks[Start Date],AJ38)),IF($I38="FF",--($F38&lt;INDEX(Tasks[End Date],AJ38)),IF($I38="SF",--($F38&lt;INDEX(Tasks[Start Date],AJ38)),0)))),0)))</ns0:f>
        <ns0:v>0</ns0:v>
      </ns0:c>
      <ns0:c r="AM38" t="n">
        <ns0:f>IF(AND(A38&lt;&gt;"",AK38=0,EP38=0),1,0)</ns0:f>
        <ns0:v>0</ns0:v>
      </ns0:c>
      <ns0:c r="AN38" t="str">
        <ns0:f>IF(OR(A38="",B38=""),"",IF(COUNTIFS($B$7:B38,B38)=1,MAX($AN$6:AN37)+1,""))</ns0:f>
      </ns0:c>
      <ns0:c r="AO38" t="n">
        <ns0:f>IF(AND(A38&lt;&gt;"",J38="No",N38&lt;1,E38&gt;=AsOfDate),E38+ROW()/10000,1E+9)</ns0:f>
        <ns0:v>46299.0038</ns0:v>
      </ns0:c>
      <ns0:c r="AP38" t="n">
        <ns0:f>IF(AND(A38&lt;&gt;"",J38="Yes",N38&lt;1,E38&gt;=AsOfDate),E38+ROW()/10000,1E+9)</ns0:f>
        <ns0:v>1000000000</ns0:v>
      </ns0:c>
      <ns0:c r="AQ38" t="n">
        <ns0:f>IF(AND(A38&lt;&gt;"",J38="No",N38&lt;1,F38&gt;=AsOfDate,F38&lt;=AsOfDate+7),F38+ROW()/10000,1E+9)</ns0:f>
        <ns0:v>1000000000</ns0:v>
      </ns0:c>
      <ns0:c r="AR38" t="n">
        <ns0:f>IF(AND(A38&lt;&gt;"",OR(O38&lt;&gt;"On track",Q38="Delayed")),ROW(),1E+9)</ns0:f>
        <ns0:v>1000000000</ns0:v>
      </ns0:c>
      <ns0:c r="AS38" t="str">
        <ns0:f>IF(A38="","",";"&amp;K38&amp;";")</ns0:f>
        <ns0:v>;Outbound Actuation MCP Boundary;Paid Ad Platforms (Meta, Google, TikTok);</ns0:v>
      </ns0:c>
      <ns0:c r="AT38" t="n">
        <ns0:f>IF(A38="",1,--(T38=0))</ns0:f>
        <ns0:v>0</ns0:v>
      </ns0:c>
      <ns0:c r="AU38" t="n">
        <ns0:f>IF($A38="",1,IF(AT38=1,1,--AND(IF($AC38&gt;0,INDEX(AT$7:AT$106,$AC38),1),IF($AD38&gt;0,INDEX(AT$7:AT$106,$AD38),1),IF($AE38&gt;0,INDEX(AT$7:AT$106,$AE38),1),IF($AF38&gt;0,INDEX(AT$7:AT$106,$AF38),1),IF($AG38&gt;0,INDEX(AT$7:AT$106,$AG38),1),IF($AH38&gt;0,INDEX(AT$7:AT$106,$AH38),1),IF($AI38&gt;0,INDEX(AT$7:AT$106,$AI38),1),IF($AJ38&gt;0,INDEX(AT$7:AT$106,$AJ38),1))))</ns0:f>
        <ns0:v>0</ns0:v>
      </ns0:c>
      <ns0:c r="AV38" t="n">
        <ns0:f>IF($A38="",1,IF(AU38=1,1,--AND(IF($AC38&gt;0,INDEX(AU$7:AU$106,$AC38),1),IF($AD38&gt;0,INDEX(AU$7:AU$106,$AD38),1),IF($AE38&gt;0,INDEX(AU$7:AU$106,$AE38),1),IF($AF38&gt;0,INDEX(AU$7:AU$106,$AF38),1),IF($AG38&gt;0,INDEX(AU$7:AU$106,$AG38),1),IF($AH38&gt;0,INDEX(AU$7:AU$106,$AH38),1),IF($AI38&gt;0,INDEX(AU$7:AU$106,$AI38),1),IF($AJ38&gt;0,INDEX(AU$7:AU$106,$AJ38),1))))</ns0:f>
        <ns0:v>0</ns0:v>
      </ns0:c>
      <ns0:c r="AW38" t="n">
        <ns0:f>IF($A38="",1,IF(AV38=1,1,--AND(IF($AC38&gt;0,INDEX(AV$7:AV$106,$AC38),1),IF($AD38&gt;0,INDEX(AV$7:AV$106,$AD38),1),IF($AE38&gt;0,INDEX(AV$7:AV$106,$AE38),1),IF($AF38&gt;0,INDEX(AV$7:AV$106,$AF38),1),IF($AG38&gt;0,INDEX(AV$7:AV$106,$AG38),1),IF($AH38&gt;0,INDEX(AV$7:AV$106,$AH38),1),IF($AI38&gt;0,INDEX(AV$7:AV$106,$AI38),1),IF($AJ38&gt;0,INDEX(AV$7:AV$106,$AJ38),1))))</ns0:f>
        <ns0:v>0</ns0:v>
      </ns0:c>
      <ns0:c r="AX38" t="n">
        <ns0:f>IF($A38="",1,IF(AW38=1,1,--AND(IF($AC38&gt;0,INDEX(AW$7:AW$106,$AC38),1),IF($AD38&gt;0,INDEX(AW$7:AW$106,$AD38),1),IF($AE38&gt;0,INDEX(AW$7:AW$106,$AE38),1),IF($AF38&gt;0,INDEX(AW$7:AW$106,$AF38),1),IF($AG38&gt;0,INDEX(AW$7:AW$106,$AG38),1),IF($AH38&gt;0,INDEX(AW$7:AW$106,$AH38),1),IF($AI38&gt;0,INDEX(AW$7:AW$106,$AI38),1),IF($AJ38&gt;0,INDEX(AW$7:AW$106,$AJ38),1))))</ns0:f>
        <ns0:v>0</ns0:v>
      </ns0:c>
      <ns0:c r="AY38" t="n">
        <ns0:f>IF($A38="",1,IF(AX38=1,1,--AND(IF($AC38&gt;0,INDEX(AX$7:AX$106,$AC38),1),IF($AD38&gt;0,INDEX(AX$7:AX$106,$AD38),1),IF($AE38&gt;0,INDEX(AX$7:AX$106,$AE38),1),IF($AF38&gt;0,INDEX(AX$7:AX$106,$AF38),1),IF($AG38&gt;0,INDEX(AX$7:AX$106,$AG38),1),IF($AH38&gt;0,INDEX(AX$7:AX$106,$AH38),1),IF($AI38&gt;0,INDEX(AX$7:AX$106,$AI38),1),IF($AJ38&gt;0,INDEX(AX$7:AX$106,$AJ38),1))))</ns0:f>
        <ns0:v>0</ns0:v>
      </ns0:c>
      <ns0:c r="AZ38" t="n">
        <ns0:f>IF($A38="",1,IF(AY38=1,1,--AND(IF($AC38&gt;0,INDEX(AY$7:AY$106,$AC38),1),IF($AD38&gt;0,INDEX(AY$7:AY$106,$AD38),1),IF($AE38&gt;0,INDEX(AY$7:AY$106,$AE38),1),IF($AF38&gt;0,INDEX(AY$7:AY$106,$AF38),1),IF($AG38&gt;0,INDEX(AY$7:AY$106,$AG38),1),IF($AH38&gt;0,INDEX(AY$7:AY$106,$AH38),1),IF($AI38&gt;0,INDEX(AY$7:AY$106,$AI38),1),IF($AJ38&gt;0,INDEX(AY$7:AY$106,$AJ38),1))))</ns0:f>
        <ns0:v>0</ns0:v>
      </ns0:c>
      <ns0:c r="BA38" t="n">
        <ns0:f>IF($A38="",1,IF(AZ38=1,1,--AND(IF($AC38&gt;0,INDEX(AZ$7:AZ$106,$AC38),1),IF($AD38&gt;0,INDEX(AZ$7:AZ$106,$AD38),1),IF($AE38&gt;0,INDEX(AZ$7:AZ$106,$AE38),1),IF($AF38&gt;0,INDEX(AZ$7:AZ$106,$AF38),1),IF($AG38&gt;0,INDEX(AZ$7:AZ$106,$AG38),1),IF($AH38&gt;0,INDEX(AZ$7:AZ$106,$AH38),1),IF($AI38&gt;0,INDEX(AZ$7:AZ$106,$AI38),1),IF($AJ38&gt;0,INDEX(AZ$7:AZ$106,$AJ38),1))))</ns0:f>
        <ns0:v>0</ns0:v>
      </ns0:c>
      <ns0:c r="BB38" t="n">
        <ns0:f>IF($A38="",1,IF(BA38=1,1,--AND(IF($AC38&gt;0,INDEX(BA$7:BA$106,$AC38),1),IF($AD38&gt;0,INDEX(BA$7:BA$106,$AD38),1),IF($AE38&gt;0,INDEX(BA$7:BA$106,$AE38),1),IF($AF38&gt;0,INDEX(BA$7:BA$106,$AF38),1),IF($AG38&gt;0,INDEX(BA$7:BA$106,$AG38),1),IF($AH38&gt;0,INDEX(BA$7:BA$106,$AH38),1),IF($AI38&gt;0,INDEX(BA$7:BA$106,$AI38),1),IF($AJ38&gt;0,INDEX(BA$7:BA$106,$AJ38),1))))</ns0:f>
        <ns0:v>0</ns0:v>
      </ns0:c>
      <ns0:c r="BC38" t="n">
        <ns0:f>IF($A38="",1,IF(BB38=1,1,--AND(IF($AC38&gt;0,INDEX(BB$7:BB$106,$AC38),1),IF($AD38&gt;0,INDEX(BB$7:BB$106,$AD38),1),IF($AE38&gt;0,INDEX(BB$7:BB$106,$AE38),1),IF($AF38&gt;0,INDEX(BB$7:BB$106,$AF38),1),IF($AG38&gt;0,INDEX(BB$7:BB$106,$AG38),1),IF($AH38&gt;0,INDEX(BB$7:BB$106,$AH38),1),IF($AI38&gt;0,INDEX(BB$7:BB$106,$AI38),1),IF($AJ38&gt;0,INDEX(BB$7:BB$106,$AJ38),1))))</ns0:f>
        <ns0:v>0</ns0:v>
      </ns0:c>
      <ns0:c r="BD38" t="n">
        <ns0:f>IF($A38="",1,IF(BC38=1,1,--AND(IF($AC38&gt;0,INDEX(BC$7:BC$106,$AC38),1),IF($AD38&gt;0,INDEX(BC$7:BC$106,$AD38),1),IF($AE38&gt;0,INDEX(BC$7:BC$106,$AE38),1),IF($AF38&gt;0,INDEX(BC$7:BC$106,$AF38),1),IF($AG38&gt;0,INDEX(BC$7:BC$106,$AG38),1),IF($AH38&gt;0,INDEX(BC$7:BC$106,$AH38),1),IF($AI38&gt;0,INDEX(BC$7:BC$106,$AI38),1),IF($AJ38&gt;0,INDEX(BC$7:BC$106,$AJ38),1))))</ns0:f>
        <ns0:v>0</ns0:v>
      </ns0:c>
      <ns0:c r="BE38" t="n">
        <ns0:f>IF($A38="",1,IF(BD38=1,1,--AND(IF($AC38&gt;0,INDEX(BD$7:BD$106,$AC38),1),IF($AD38&gt;0,INDEX(BD$7:BD$106,$AD38),1),IF($AE38&gt;0,INDEX(BD$7:BD$106,$AE38),1),IF($AF38&gt;0,INDEX(BD$7:BD$106,$AF38),1),IF($AG38&gt;0,INDEX(BD$7:BD$106,$AG38),1),IF($AH38&gt;0,INDEX(BD$7:BD$106,$AH38),1),IF($AI38&gt;0,INDEX(BD$7:BD$106,$AI38),1),IF($AJ38&gt;0,INDEX(BD$7:BD$106,$AJ38),1))))</ns0:f>
        <ns0:v>0</ns0:v>
      </ns0:c>
      <ns0:c r="BF38" t="n">
        <ns0:f>IF($A38="",1,IF(BE38=1,1,--AND(IF($AC38&gt;0,INDEX(BE$7:BE$106,$AC38),1),IF($AD38&gt;0,INDEX(BE$7:BE$106,$AD38),1),IF($AE38&gt;0,INDEX(BE$7:BE$106,$AE38),1),IF($AF38&gt;0,INDEX(BE$7:BE$106,$AF38),1),IF($AG38&gt;0,INDEX(BE$7:BE$106,$AG38),1),IF($AH38&gt;0,INDEX(BE$7:BE$106,$AH38),1),IF($AI38&gt;0,INDEX(BE$7:BE$106,$AI38),1),IF($AJ38&gt;0,INDEX(BE$7:BE$106,$AJ38),1))))</ns0:f>
        <ns0:v>0</ns0:v>
      </ns0:c>
      <ns0:c r="BG38" t="n">
        <ns0:f>IF($A38="",1,IF(BF38=1,1,--AND(IF($AC38&gt;0,INDEX(BF$7:BF$106,$AC38),1),IF($AD38&gt;0,INDEX(BF$7:BF$106,$AD38),1),IF($AE38&gt;0,INDEX(BF$7:BF$106,$AE38),1),IF($AF38&gt;0,INDEX(BF$7:BF$106,$AF38),1),IF($AG38&gt;0,INDEX(BF$7:BF$106,$AG38),1),IF($AH38&gt;0,INDEX(BF$7:BF$106,$AH38),1),IF($AI38&gt;0,INDEX(BF$7:BF$106,$AI38),1),IF($AJ38&gt;0,INDEX(BF$7:BF$106,$AJ38),1))))</ns0:f>
        <ns0:v>1</ns0:v>
      </ns0:c>
      <ns0:c r="BH38" t="n">
        <ns0:f>IF($A38="",1,IF(BG38=1,1,--AND(IF($AC38&gt;0,INDEX(BG$7:BG$106,$AC38),1),IF($AD38&gt;0,INDEX(BG$7:BG$106,$AD38),1),IF($AE38&gt;0,INDEX(BG$7:BG$106,$AE38),1),IF($AF38&gt;0,INDEX(BG$7:BG$106,$AF38),1),IF($AG38&gt;0,INDEX(BG$7:BG$106,$AG38),1),IF($AH38&gt;0,INDEX(BG$7:BG$106,$AH38),1),IF($AI38&gt;0,INDEX(BG$7:BG$106,$AI38),1),IF($AJ38&gt;0,INDEX(BG$7:BG$106,$AJ38),1))))</ns0:f>
        <ns0:v>1</ns0:v>
      </ns0:c>
      <ns0:c r="BI38" t="n">
        <ns0:f>IF($A38="",1,IF(BH38=1,1,--AND(IF($AC38&gt;0,INDEX(BH$7:BH$106,$AC38),1),IF($AD38&gt;0,INDEX(BH$7:BH$106,$AD38),1),IF($AE38&gt;0,INDEX(BH$7:BH$106,$AE38),1),IF($AF38&gt;0,INDEX(BH$7:BH$106,$AF38),1),IF($AG38&gt;0,INDEX(BH$7:BH$106,$AG38),1),IF($AH38&gt;0,INDEX(BH$7:BH$106,$AH38),1),IF($AI38&gt;0,INDEX(BH$7:BH$106,$AI38),1),IF($AJ38&gt;0,INDEX(BH$7:BH$106,$AJ38),1))))</ns0:f>
        <ns0:v>1</ns0:v>
      </ns0:c>
      <ns0:c r="BJ38" t="n">
        <ns0:f>IF($A38="",1,IF(BI38=1,1,--AND(IF($AC38&gt;0,INDEX(BI$7:BI$106,$AC38),1),IF($AD38&gt;0,INDEX(BI$7:BI$106,$AD38),1),IF($AE38&gt;0,INDEX(BI$7:BI$106,$AE38),1),IF($AF38&gt;0,INDEX(BI$7:BI$106,$AF38),1),IF($AG38&gt;0,INDEX(BI$7:BI$106,$AG38),1),IF($AH38&gt;0,INDEX(BI$7:BI$106,$AH38),1),IF($AI38&gt;0,INDEX(BI$7:BI$106,$AI38),1),IF($AJ38&gt;0,INDEX(BI$7:BI$106,$AJ38),1))))</ns0:f>
        <ns0:v>1</ns0:v>
      </ns0:c>
      <ns0:c r="BK38" t="n">
        <ns0:f>IF($A38="",1,IF(BJ38=1,1,--AND(IF($AC38&gt;0,INDEX(BJ$7:BJ$106,$AC38),1),IF($AD38&gt;0,INDEX(BJ$7:BJ$106,$AD38),1),IF($AE38&gt;0,INDEX(BJ$7:BJ$106,$AE38),1),IF($AF38&gt;0,INDEX(BJ$7:BJ$106,$AF38),1),IF($AG38&gt;0,INDEX(BJ$7:BJ$106,$AG38),1),IF($AH38&gt;0,INDEX(BJ$7:BJ$106,$AH38),1),IF($AI38&gt;0,INDEX(BJ$7:BJ$106,$AI38),1),IF($AJ38&gt;0,INDEX(BJ$7:BJ$106,$AJ38),1))))</ns0:f>
        <ns0:v>1</ns0:v>
      </ns0:c>
      <ns0:c r="BL38" t="n">
        <ns0:f>IF($A38="",1,IF(BK38=1,1,--AND(IF($AC38&gt;0,INDEX(BK$7:BK$106,$AC38),1),IF($AD38&gt;0,INDEX(BK$7:BK$106,$AD38),1),IF($AE38&gt;0,INDEX(BK$7:BK$106,$AE38),1),IF($AF38&gt;0,INDEX(BK$7:BK$106,$AF38),1),IF($AG38&gt;0,INDEX(BK$7:BK$106,$AG38),1),IF($AH38&gt;0,INDEX(BK$7:BK$106,$AH38),1),IF($AI38&gt;0,INDEX(BK$7:BK$106,$AI38),1),IF($AJ38&gt;0,INDEX(BK$7:BK$106,$AJ38),1))))</ns0:f>
        <ns0:v>1</ns0:v>
      </ns0:c>
      <ns0:c r="BM38" t="n">
        <ns0:f>IF($A38="",1,IF(BL38=1,1,--AND(IF($AC38&gt;0,INDEX(BL$7:BL$106,$AC38),1),IF($AD38&gt;0,INDEX(BL$7:BL$106,$AD38),1),IF($AE38&gt;0,INDEX(BL$7:BL$106,$AE38),1),IF($AF38&gt;0,INDEX(BL$7:BL$106,$AF38),1),IF($AG38&gt;0,INDEX(BL$7:BL$106,$AG38),1),IF($AH38&gt;0,INDEX(BL$7:BL$106,$AH38),1),IF($AI38&gt;0,INDEX(BL$7:BL$106,$AI38),1),IF($AJ38&gt;0,INDEX(BL$7:BL$106,$AJ38),1))))</ns0:f>
        <ns0:v>1</ns0:v>
      </ns0:c>
      <ns0:c r="BN38" t="n">
        <ns0:f>IF($A38="",1,IF(BM38=1,1,--AND(IF($AC38&gt;0,INDEX(BM$7:BM$106,$AC38),1),IF($AD38&gt;0,INDEX(BM$7:BM$106,$AD38),1),IF($AE38&gt;0,INDEX(BM$7:BM$106,$AE38),1),IF($AF38&gt;0,INDEX(BM$7:BM$106,$AF38),1),IF($AG38&gt;0,INDEX(BM$7:BM$106,$AG38),1),IF($AH38&gt;0,INDEX(BM$7:BM$106,$AH38),1),IF($AI38&gt;0,INDEX(BM$7:BM$106,$AI38),1),IF($AJ38&gt;0,INDEX(BM$7:BM$106,$AJ38),1))))</ns0:f>
        <ns0:v>1</ns0:v>
      </ns0:c>
      <ns0:c r="BO38" t="n">
        <ns0:f>IF($A38="",1,IF(BN38=1,1,--AND(IF($AC38&gt;0,INDEX(BN$7:BN$106,$AC38),1),IF($AD38&gt;0,INDEX(BN$7:BN$106,$AD38),1),IF($AE38&gt;0,INDEX(BN$7:BN$106,$AE38),1),IF($AF38&gt;0,INDEX(BN$7:BN$106,$AF38),1),IF($AG38&gt;0,INDEX(BN$7:BN$106,$AG38),1),IF($AH38&gt;0,INDEX(BN$7:BN$106,$AH38),1),IF($AI38&gt;0,INDEX(BN$7:BN$106,$AI38),1),IF($AJ38&gt;0,INDEX(BN$7:BN$106,$AJ38),1))))</ns0:f>
        <ns0:v>1</ns0:v>
      </ns0:c>
      <ns0:c r="BP38" t="n">
        <ns0:f>IF($A38="",1,IF(BO38=1,1,--AND(IF($AC38&gt;0,INDEX(BO$7:BO$106,$AC38),1),IF($AD38&gt;0,INDEX(BO$7:BO$106,$AD38),1),IF($AE38&gt;0,INDEX(BO$7:BO$106,$AE38),1),IF($AF38&gt;0,INDEX(BO$7:BO$106,$AF38),1),IF($AG38&gt;0,INDEX(BO$7:BO$106,$AG38),1),IF($AH38&gt;0,INDEX(BO$7:BO$106,$AH38),1),IF($AI38&gt;0,INDEX(BO$7:BO$106,$AI38),1),IF($AJ38&gt;0,INDEX(BO$7:BO$106,$AJ38),1))))</ns0:f>
        <ns0:v>1</ns0:v>
      </ns0:c>
      <ns0:c r="BQ38" t="n">
        <ns0:f>IF($A38="",1,IF(BP38=1,1,--AND(IF($AC38&gt;0,INDEX(BP$7:BP$106,$AC38),1),IF($AD38&gt;0,INDEX(BP$7:BP$106,$AD38),1),IF($AE38&gt;0,INDEX(BP$7:BP$106,$AE38),1),IF($AF38&gt;0,INDEX(BP$7:BP$106,$AF38),1),IF($AG38&gt;0,INDEX(BP$7:BP$106,$AG38),1),IF($AH38&gt;0,INDEX(BP$7:BP$106,$AH38),1),IF($AI38&gt;0,INDEX(BP$7:BP$106,$AI38),1),IF($AJ38&gt;0,INDEX(BP$7:BP$106,$AJ38),1))))</ns0:f>
        <ns0:v>1</ns0:v>
      </ns0:c>
      <ns0:c r="BR38" t="n">
        <ns0:f>IF($A38="",1,IF(BQ38=1,1,--AND(IF($AC38&gt;0,INDEX(BQ$7:BQ$106,$AC38),1),IF($AD38&gt;0,INDEX(BQ$7:BQ$106,$AD38),1),IF($AE38&gt;0,INDEX(BQ$7:BQ$106,$AE38),1),IF($AF38&gt;0,INDEX(BQ$7:BQ$106,$AF38),1),IF($AG38&gt;0,INDEX(BQ$7:BQ$106,$AG38),1),IF($AH38&gt;0,INDEX(BQ$7:BQ$106,$AH38),1),IF($AI38&gt;0,INDEX(BQ$7:BQ$106,$AI38),1),IF($AJ38&gt;0,INDEX(BQ$7:BQ$106,$AJ38),1))))</ns0:f>
        <ns0:v>1</ns0:v>
      </ns0:c>
      <ns0:c r="BS38" t="n">
        <ns0:f>IF($A38="",1,IF(BR38=1,1,--AND(IF($AC38&gt;0,INDEX(BR$7:BR$106,$AC38),1),IF($AD38&gt;0,INDEX(BR$7:BR$106,$AD38),1),IF($AE38&gt;0,INDEX(BR$7:BR$106,$AE38),1),IF($AF38&gt;0,INDEX(BR$7:BR$106,$AF38),1),IF($AG38&gt;0,INDEX(BR$7:BR$106,$AG38),1),IF($AH38&gt;0,INDEX(BR$7:BR$106,$AH38),1),IF($AI38&gt;0,INDEX(BR$7:BR$106,$AI38),1),IF($AJ38&gt;0,INDEX(BR$7:BR$106,$AJ38),1))))</ns0:f>
        <ns0:v>1</ns0:v>
      </ns0:c>
      <ns0:c r="BT38" t="n">
        <ns0:f>IF($A38="",1,IF(BS38=1,1,--AND(IF($AC38&gt;0,INDEX(BS$7:BS$106,$AC38),1),IF($AD38&gt;0,INDEX(BS$7:BS$106,$AD38),1),IF($AE38&gt;0,INDEX(BS$7:BS$106,$AE38),1),IF($AF38&gt;0,INDEX(BS$7:BS$106,$AF38),1),IF($AG38&gt;0,INDEX(BS$7:BS$106,$AG38),1),IF($AH38&gt;0,INDEX(BS$7:BS$106,$AH38),1),IF($AI38&gt;0,INDEX(BS$7:BS$106,$AI38),1),IF($AJ38&gt;0,INDEX(BS$7:BS$106,$AJ38),1))))</ns0:f>
        <ns0:v>1</ns0:v>
      </ns0:c>
      <ns0:c r="BU38" t="n">
        <ns0:f>IF($A38="",1,IF(BT38=1,1,--AND(IF($AC38&gt;0,INDEX(BT$7:BT$106,$AC38),1),IF($AD38&gt;0,INDEX(BT$7:BT$106,$AD38),1),IF($AE38&gt;0,INDEX(BT$7:BT$106,$AE38),1),IF($AF38&gt;0,INDEX(BT$7:BT$106,$AF38),1),IF($AG38&gt;0,INDEX(BT$7:BT$106,$AG38),1),IF($AH38&gt;0,INDEX(BT$7:BT$106,$AH38),1),IF($AI38&gt;0,INDEX(BT$7:BT$106,$AI38),1),IF($AJ38&gt;0,INDEX(BT$7:BT$106,$AJ38),1))))</ns0:f>
        <ns0:v>1</ns0:v>
      </ns0:c>
      <ns0:c r="BV38" t="n">
        <ns0:f>IF($A38="",1,IF(BU38=1,1,--AND(IF($AC38&gt;0,INDEX(BU$7:BU$106,$AC38),1),IF($AD38&gt;0,INDEX(BU$7:BU$106,$AD38),1),IF($AE38&gt;0,INDEX(BU$7:BU$106,$AE38),1),IF($AF38&gt;0,INDEX(BU$7:BU$106,$AF38),1),IF($AG38&gt;0,INDEX(BU$7:BU$106,$AG38),1),IF($AH38&gt;0,INDEX(BU$7:BU$106,$AH38),1),IF($AI38&gt;0,INDEX(BU$7:BU$106,$AI38),1),IF($AJ38&gt;0,INDEX(BU$7:BU$106,$AJ38),1))))</ns0:f>
        <ns0:v>1</ns0:v>
      </ns0:c>
      <ns0:c r="BW38" t="n">
        <ns0:f>IF($A38="",1,IF(BV38=1,1,--AND(IF($AC38&gt;0,INDEX(BV$7:BV$106,$AC38),1),IF($AD38&gt;0,INDEX(BV$7:BV$106,$AD38),1),IF($AE38&gt;0,INDEX(BV$7:BV$106,$AE38),1),IF($AF38&gt;0,INDEX(BV$7:BV$106,$AF38),1),IF($AG38&gt;0,INDEX(BV$7:BV$106,$AG38),1),IF($AH38&gt;0,INDEX(BV$7:BV$106,$AH38),1),IF($AI38&gt;0,INDEX(BV$7:BV$106,$AI38),1),IF($AJ38&gt;0,INDEX(BV$7:BV$106,$AJ38),1))))</ns0:f>
        <ns0:v>1</ns0:v>
      </ns0:c>
      <ns0:c r="BX38" t="n">
        <ns0:f>IF($A38="",1,IF(BW38=1,1,--AND(IF($AC38&gt;0,INDEX(BW$7:BW$106,$AC38),1),IF($AD38&gt;0,INDEX(BW$7:BW$106,$AD38),1),IF($AE38&gt;0,INDEX(BW$7:BW$106,$AE38),1),IF($AF38&gt;0,INDEX(BW$7:BW$106,$AF38),1),IF($AG38&gt;0,INDEX(BW$7:BW$106,$AG38),1),IF($AH38&gt;0,INDEX(BW$7:BW$106,$AH38),1),IF($AI38&gt;0,INDEX(BW$7:BW$106,$AI38),1),IF($AJ38&gt;0,INDEX(BW$7:BW$106,$AJ38),1))))</ns0:f>
        <ns0:v>1</ns0:v>
      </ns0:c>
      <ns0:c r="BY38" t="n">
        <ns0:f>IF($A38="",1,IF(BX38=1,1,--AND(IF($AC38&gt;0,INDEX(BX$7:BX$106,$AC38),1),IF($AD38&gt;0,INDEX(BX$7:BX$106,$AD38),1),IF($AE38&gt;0,INDEX(BX$7:BX$106,$AE38),1),IF($AF38&gt;0,INDEX(BX$7:BX$106,$AF38),1),IF($AG38&gt;0,INDEX(BX$7:BX$106,$AG38),1),IF($AH38&gt;0,INDEX(BX$7:BX$106,$AH38),1),IF($AI38&gt;0,INDEX(BX$7:BX$106,$AI38),1),IF($AJ38&gt;0,INDEX(BX$7:BX$106,$AJ38),1))))</ns0:f>
        <ns0:v>1</ns0:v>
      </ns0:c>
      <ns0:c r="BZ38" t="n">
        <ns0:f>IF($A38="",1,IF(BY38=1,1,--AND(IF($AC38&gt;0,INDEX(BY$7:BY$106,$AC38),1),IF($AD38&gt;0,INDEX(BY$7:BY$106,$AD38),1),IF($AE38&gt;0,INDEX(BY$7:BY$106,$AE38),1),IF($AF38&gt;0,INDEX(BY$7:BY$106,$AF38),1),IF($AG38&gt;0,INDEX(BY$7:BY$106,$AG38),1),IF($AH38&gt;0,INDEX(BY$7:BY$106,$AH38),1),IF($AI38&gt;0,INDEX(BY$7:BY$106,$AI38),1),IF($AJ38&gt;0,INDEX(BY$7:BY$106,$AJ38),1))))</ns0:f>
        <ns0:v>1</ns0:v>
      </ns0:c>
      <ns0:c r="CA38" t="n">
        <ns0:f>IF($A38="",1,IF(BZ38=1,1,--AND(IF($AC38&gt;0,INDEX(BZ$7:BZ$106,$AC38),1),IF($AD38&gt;0,INDEX(BZ$7:BZ$106,$AD38),1),IF($AE38&gt;0,INDEX(BZ$7:BZ$106,$AE38),1),IF($AF38&gt;0,INDEX(BZ$7:BZ$106,$AF38),1),IF($AG38&gt;0,INDEX(BZ$7:BZ$106,$AG38),1),IF($AH38&gt;0,INDEX(BZ$7:BZ$106,$AH38),1),IF($AI38&gt;0,INDEX(BZ$7:BZ$106,$AI38),1),IF($AJ38&gt;0,INDEX(BZ$7:BZ$106,$AJ38),1))))</ns0:f>
        <ns0:v>1</ns0:v>
      </ns0:c>
      <ns0:c r="CB38" t="n">
        <ns0:f>IF($A38="",1,IF(CA38=1,1,--AND(IF($AC38&gt;0,INDEX(CA$7:CA$106,$AC38),1),IF($AD38&gt;0,INDEX(CA$7:CA$106,$AD38),1),IF($AE38&gt;0,INDEX(CA$7:CA$106,$AE38),1),IF($AF38&gt;0,INDEX(CA$7:CA$106,$AF38),1),IF($AG38&gt;0,INDEX(CA$7:CA$106,$AG38),1),IF($AH38&gt;0,INDEX(CA$7:CA$106,$AH38),1),IF($AI38&gt;0,INDEX(CA$7:CA$106,$AI38),1),IF($AJ38&gt;0,INDEX(CA$7:CA$106,$AJ38),1))))</ns0:f>
        <ns0:v>1</ns0:v>
      </ns0:c>
      <ns0:c r="CC38" t="n">
        <ns0:f>IF($A38="",1,IF(CB38=1,1,--AND(IF($AC38&gt;0,INDEX(CB$7:CB$106,$AC38),1),IF($AD38&gt;0,INDEX(CB$7:CB$106,$AD38),1),IF($AE38&gt;0,INDEX(CB$7:CB$106,$AE38),1),IF($AF38&gt;0,INDEX(CB$7:CB$106,$AF38),1),IF($AG38&gt;0,INDEX(CB$7:CB$106,$AG38),1),IF($AH38&gt;0,INDEX(CB$7:CB$106,$AH38),1),IF($AI38&gt;0,INDEX(CB$7:CB$106,$AI38),1),IF($AJ38&gt;0,INDEX(CB$7:CB$106,$AJ38),1))))</ns0:f>
        <ns0:v>1</ns0:v>
      </ns0:c>
      <ns0:c r="CD38" t="n">
        <ns0:f>IF($A38="",1,IF(CC38=1,1,--AND(IF($AC38&gt;0,INDEX(CC$7:CC$106,$AC38),1),IF($AD38&gt;0,INDEX(CC$7:CC$106,$AD38),1),IF($AE38&gt;0,INDEX(CC$7:CC$106,$AE38),1),IF($AF38&gt;0,INDEX(CC$7:CC$106,$AF38),1),IF($AG38&gt;0,INDEX(CC$7:CC$106,$AG38),1),IF($AH38&gt;0,INDEX(CC$7:CC$106,$AH38),1),IF($AI38&gt;0,INDEX(CC$7:CC$106,$AI38),1),IF($AJ38&gt;0,INDEX(CC$7:CC$106,$AJ38),1))))</ns0:f>
        <ns0:v>1</ns0:v>
      </ns0:c>
      <ns0:c r="CE38" t="n">
        <ns0:f>IF($A38="",1,IF(CD38=1,1,--AND(IF($AC38&gt;0,INDEX(CD$7:CD$106,$AC38),1),IF($AD38&gt;0,INDEX(CD$7:CD$106,$AD38),1),IF($AE38&gt;0,INDEX(CD$7:CD$106,$AE38),1),IF($AF38&gt;0,INDEX(CD$7:CD$106,$AF38),1),IF($AG38&gt;0,INDEX(CD$7:CD$106,$AG38),1),IF($AH38&gt;0,INDEX(CD$7:CD$106,$AH38),1),IF($AI38&gt;0,INDEX(CD$7:CD$106,$AI38),1),IF($AJ38&gt;0,INDEX(CD$7:CD$106,$AJ38),1))))</ns0:f>
        <ns0:v>1</ns0:v>
      </ns0:c>
      <ns0:c r="CF38" t="n">
        <ns0:f>IF($A38="",1,IF(CE38=1,1,--AND(IF($AC38&gt;0,INDEX(CE$7:CE$106,$AC38),1),IF($AD38&gt;0,INDEX(CE$7:CE$106,$AD38),1),IF($AE38&gt;0,INDEX(CE$7:CE$106,$AE38),1),IF($AF38&gt;0,INDEX(CE$7:CE$106,$AF38),1),IF($AG38&gt;0,INDEX(CE$7:CE$106,$AG38),1),IF($AH38&gt;0,INDEX(CE$7:CE$106,$AH38),1),IF($AI38&gt;0,INDEX(CE$7:CE$106,$AI38),1),IF($AJ38&gt;0,INDEX(CE$7:CE$106,$AJ38),1))))</ns0:f>
        <ns0:v>1</ns0:v>
      </ns0:c>
      <ns0:c r="CG38" t="n">
        <ns0:f>IF($A38="",1,IF(CF38=1,1,--AND(IF($AC38&gt;0,INDEX(CF$7:CF$106,$AC38),1),IF($AD38&gt;0,INDEX(CF$7:CF$106,$AD38),1),IF($AE38&gt;0,INDEX(CF$7:CF$106,$AE38),1),IF($AF38&gt;0,INDEX(CF$7:CF$106,$AF38),1),IF($AG38&gt;0,INDEX(CF$7:CF$106,$AG38),1),IF($AH38&gt;0,INDEX(CF$7:CF$106,$AH38),1),IF($AI38&gt;0,INDEX(CF$7:CF$106,$AI38),1),IF($AJ38&gt;0,INDEX(CF$7:CF$106,$AJ38),1))))</ns0:f>
        <ns0:v>1</ns0:v>
      </ns0:c>
      <ns0:c r="CH38" t="n">
        <ns0:f>IF($A38="",1,IF(CG38=1,1,--AND(IF($AC38&gt;0,INDEX(CG$7:CG$106,$AC38),1),IF($AD38&gt;0,INDEX(CG$7:CG$106,$AD38),1),IF($AE38&gt;0,INDEX(CG$7:CG$106,$AE38),1),IF($AF38&gt;0,INDEX(CG$7:CG$106,$AF38),1),IF($AG38&gt;0,INDEX(CG$7:CG$106,$AG38),1),IF($AH38&gt;0,INDEX(CG$7:CG$106,$AH38),1),IF($AI38&gt;0,INDEX(CG$7:CG$106,$AI38),1),IF($AJ38&gt;0,INDEX(CG$7:CG$106,$AJ38),1))))</ns0:f>
        <ns0:v>1</ns0:v>
      </ns0:c>
      <ns0:c r="CI38" t="n">
        <ns0:f>IF($A38="",1,IF(CH38=1,1,--AND(IF($AC38&gt;0,INDEX(CH$7:CH$106,$AC38),1),IF($AD38&gt;0,INDEX(CH$7:CH$106,$AD38),1),IF($AE38&gt;0,INDEX(CH$7:CH$106,$AE38),1),IF($AF38&gt;0,INDEX(CH$7:CH$106,$AF38),1),IF($AG38&gt;0,INDEX(CH$7:CH$106,$AG38),1),IF($AH38&gt;0,INDEX(CH$7:CH$106,$AH38),1),IF($AI38&gt;0,INDEX(CH$7:CH$106,$AI38),1),IF($AJ38&gt;0,INDEX(CH$7:CH$106,$AJ38),1))))</ns0:f>
        <ns0:v>1</ns0:v>
      </ns0:c>
      <ns0:c r="CJ38" t="n">
        <ns0:f>IF($A38="",1,IF(CI38=1,1,--AND(IF($AC38&gt;0,INDEX(CI$7:CI$106,$AC38),1),IF($AD38&gt;0,INDEX(CI$7:CI$106,$AD38),1),IF($AE38&gt;0,INDEX(CI$7:CI$106,$AE38),1),IF($AF38&gt;0,INDEX(CI$7:CI$106,$AF38),1),IF($AG38&gt;0,INDEX(CI$7:CI$106,$AG38),1),IF($AH38&gt;0,INDEX(CI$7:CI$106,$AH38),1),IF($AI38&gt;0,INDEX(CI$7:CI$106,$AI38),1),IF($AJ38&gt;0,INDEX(CI$7:CI$106,$AJ38),1))))</ns0:f>
        <ns0:v>1</ns0:v>
      </ns0:c>
      <ns0:c r="CK38" t="n">
        <ns0:f>IF($A38="",1,IF(CJ38=1,1,--AND(IF($AC38&gt;0,INDEX(CJ$7:CJ$106,$AC38),1),IF($AD38&gt;0,INDEX(CJ$7:CJ$106,$AD38),1),IF($AE38&gt;0,INDEX(CJ$7:CJ$106,$AE38),1),IF($AF38&gt;0,INDEX(CJ$7:CJ$106,$AF38),1),IF($AG38&gt;0,INDEX(CJ$7:CJ$106,$AG38),1),IF($AH38&gt;0,INDEX(CJ$7:CJ$106,$AH38),1),IF($AI38&gt;0,INDEX(CJ$7:CJ$106,$AI38),1),IF($AJ38&gt;0,INDEX(CJ$7:CJ$106,$AJ38),1))))</ns0:f>
        <ns0:v>1</ns0:v>
      </ns0:c>
      <ns0:c r="CL38" t="n">
        <ns0:f>IF($A38="",1,IF(CK38=1,1,--AND(IF($AC38&gt;0,INDEX(CK$7:CK$106,$AC38),1),IF($AD38&gt;0,INDEX(CK$7:CK$106,$AD38),1),IF($AE38&gt;0,INDEX(CK$7:CK$106,$AE38),1),IF($AF38&gt;0,INDEX(CK$7:CK$106,$AF38),1),IF($AG38&gt;0,INDEX(CK$7:CK$106,$AG38),1),IF($AH38&gt;0,INDEX(CK$7:CK$106,$AH38),1),IF($AI38&gt;0,INDEX(CK$7:CK$106,$AI38),1),IF($AJ38&gt;0,INDEX(CK$7:CK$106,$AJ38),1))))</ns0:f>
        <ns0:v>1</ns0:v>
      </ns0:c>
      <ns0:c r="CM38" t="n">
        <ns0:f>IF($A38="",1,IF(CL38=1,1,--AND(IF($AC38&gt;0,INDEX(CL$7:CL$106,$AC38),1),IF($AD38&gt;0,INDEX(CL$7:CL$106,$AD38),1),IF($AE38&gt;0,INDEX(CL$7:CL$106,$AE38),1),IF($AF38&gt;0,INDEX(CL$7:CL$106,$AF38),1),IF($AG38&gt;0,INDEX(CL$7:CL$106,$AG38),1),IF($AH38&gt;0,INDEX(CL$7:CL$106,$AH38),1),IF($AI38&gt;0,INDEX(CL$7:CL$106,$AI38),1),IF($AJ38&gt;0,INDEX(CL$7:CL$106,$AJ38),1))))</ns0:f>
        <ns0:v>1</ns0:v>
      </ns0:c>
      <ns0:c r="CN38" t="n">
        <ns0:f>IF($A38="",1,IF(CM38=1,1,--AND(IF($AC38&gt;0,INDEX(CM$7:CM$106,$AC38),1),IF($AD38&gt;0,INDEX(CM$7:CM$106,$AD38),1),IF($AE38&gt;0,INDEX(CM$7:CM$106,$AE38),1),IF($AF38&gt;0,INDEX(CM$7:CM$106,$AF38),1),IF($AG38&gt;0,INDEX(CM$7:CM$106,$AG38),1),IF($AH38&gt;0,INDEX(CM$7:CM$106,$AH38),1),IF($AI38&gt;0,INDEX(CM$7:CM$106,$AI38),1),IF($AJ38&gt;0,INDEX(CM$7:CM$106,$AJ38),1))))</ns0:f>
        <ns0:v>1</ns0:v>
      </ns0:c>
      <ns0:c r="CO38" t="n">
        <ns0:f>IF($A38="",1,IF(CN38=1,1,--AND(IF($AC38&gt;0,INDEX(CN$7:CN$106,$AC38),1),IF($AD38&gt;0,INDEX(CN$7:CN$106,$AD38),1),IF($AE38&gt;0,INDEX(CN$7:CN$106,$AE38),1),IF($AF38&gt;0,INDEX(CN$7:CN$106,$AF38),1),IF($AG38&gt;0,INDEX(CN$7:CN$106,$AG38),1),IF($AH38&gt;0,INDEX(CN$7:CN$106,$AH38),1),IF($AI38&gt;0,INDEX(CN$7:CN$106,$AI38),1),IF($AJ38&gt;0,INDEX(CN$7:CN$106,$AJ38),1))))</ns0:f>
        <ns0:v>1</ns0:v>
      </ns0:c>
      <ns0:c r="CP38" t="n">
        <ns0:f>IF($A38="",1,IF(CO38=1,1,--AND(IF($AC38&gt;0,INDEX(CO$7:CO$106,$AC38),1),IF($AD38&gt;0,INDEX(CO$7:CO$106,$AD38),1),IF($AE38&gt;0,INDEX(CO$7:CO$106,$AE38),1),IF($AF38&gt;0,INDEX(CO$7:CO$106,$AF38),1),IF($AG38&gt;0,INDEX(CO$7:CO$106,$AG38),1),IF($AH38&gt;0,INDEX(CO$7:CO$106,$AH38),1),IF($AI38&gt;0,INDEX(CO$7:CO$106,$AI38),1),IF($AJ38&gt;0,INDEX(CO$7:CO$106,$AJ38),1))))</ns0:f>
        <ns0:v>1</ns0:v>
      </ns0:c>
      <ns0:c r="CQ38" t="n">
        <ns0:f>IF($A38="",1,IF(CP38=1,1,--AND(IF($AC38&gt;0,INDEX(CP$7:CP$106,$AC38),1),IF($AD38&gt;0,INDEX(CP$7:CP$106,$AD38),1),IF($AE38&gt;0,INDEX(CP$7:CP$106,$AE38),1),IF($AF38&gt;0,INDEX(CP$7:CP$106,$AF38),1),IF($AG38&gt;0,INDEX(CP$7:CP$106,$AG38),1),IF($AH38&gt;0,INDEX(CP$7:CP$106,$AH38),1),IF($AI38&gt;0,INDEX(CP$7:CP$106,$AI38),1),IF($AJ38&gt;0,INDEX(CP$7:CP$106,$AJ38),1))))</ns0:f>
        <ns0:v>1</ns0:v>
      </ns0:c>
      <ns0:c r="CR38" t="n">
        <ns0:f>IF($A38="",1,IF(CQ38=1,1,--AND(IF($AC38&gt;0,INDEX(CQ$7:CQ$106,$AC38),1),IF($AD38&gt;0,INDEX(CQ$7:CQ$106,$AD38),1),IF($AE38&gt;0,INDEX(CQ$7:CQ$106,$AE38),1),IF($AF38&gt;0,INDEX(CQ$7:CQ$106,$AF38),1),IF($AG38&gt;0,INDEX(CQ$7:CQ$106,$AG38),1),IF($AH38&gt;0,INDEX(CQ$7:CQ$106,$AH38),1),IF($AI38&gt;0,INDEX(CQ$7:CQ$106,$AI38),1),IF($AJ38&gt;0,INDEX(CQ$7:CQ$106,$AJ38),1))))</ns0:f>
        <ns0:v>1</ns0:v>
      </ns0:c>
      <ns0:c r="CS38" t="n">
        <ns0:f>IF($A38="",1,IF(CR38=1,1,--AND(IF($AC38&gt;0,INDEX(CR$7:CR$106,$AC38),1),IF($AD38&gt;0,INDEX(CR$7:CR$106,$AD38),1),IF($AE38&gt;0,INDEX(CR$7:CR$106,$AE38),1),IF($AF38&gt;0,INDEX(CR$7:CR$106,$AF38),1),IF($AG38&gt;0,INDEX(CR$7:CR$106,$AG38),1),IF($AH38&gt;0,INDEX(CR$7:CR$106,$AH38),1),IF($AI38&gt;0,INDEX(CR$7:CR$106,$AI38),1),IF($AJ38&gt;0,INDEX(CR$7:CR$106,$AJ38),1))))</ns0:f>
        <ns0:v>1</ns0:v>
      </ns0:c>
      <ns0:c r="CT38" t="n">
        <ns0:f>IF($A38="",1,IF(CS38=1,1,--AND(IF($AC38&gt;0,INDEX(CS$7:CS$106,$AC38),1),IF($AD38&gt;0,INDEX(CS$7:CS$106,$AD38),1),IF($AE38&gt;0,INDEX(CS$7:CS$106,$AE38),1),IF($AF38&gt;0,INDEX(CS$7:CS$106,$AF38),1),IF($AG38&gt;0,INDEX(CS$7:CS$106,$AG38),1),IF($AH38&gt;0,INDEX(CS$7:CS$106,$AH38),1),IF($AI38&gt;0,INDEX(CS$7:CS$106,$AI38),1),IF($AJ38&gt;0,INDEX(CS$7:CS$106,$AJ38),1))))</ns0:f>
        <ns0:v>1</ns0:v>
      </ns0:c>
      <ns0:c r="CU38" t="n">
        <ns0:f>IF($A38="",1,IF(CT38=1,1,--AND(IF($AC38&gt;0,INDEX(CT$7:CT$106,$AC38),1),IF($AD38&gt;0,INDEX(CT$7:CT$106,$AD38),1),IF($AE38&gt;0,INDEX(CT$7:CT$106,$AE38),1),IF($AF38&gt;0,INDEX(CT$7:CT$106,$AF38),1),IF($AG38&gt;0,INDEX(CT$7:CT$106,$AG38),1),IF($AH38&gt;0,INDEX(CT$7:CT$106,$AH38),1),IF($AI38&gt;0,INDEX(CT$7:CT$106,$AI38),1),IF($AJ38&gt;0,INDEX(CT$7:CT$106,$AJ38),1))))</ns0:f>
        <ns0:v>1</ns0:v>
      </ns0:c>
      <ns0:c r="CV38" t="n">
        <ns0:f>IF($A38="",1,IF(CU38=1,1,--AND(IF($AC38&gt;0,INDEX(CU$7:CU$106,$AC38),1),IF($AD38&gt;0,INDEX(CU$7:CU$106,$AD38),1),IF($AE38&gt;0,INDEX(CU$7:CU$106,$AE38),1),IF($AF38&gt;0,INDEX(CU$7:CU$106,$AF38),1),IF($AG38&gt;0,INDEX(CU$7:CU$106,$AG38),1),IF($AH38&gt;0,INDEX(CU$7:CU$106,$AH38),1),IF($AI38&gt;0,INDEX(CU$7:CU$106,$AI38),1),IF($AJ38&gt;0,INDEX(CU$7:CU$106,$AJ38),1))))</ns0:f>
        <ns0:v>1</ns0:v>
      </ns0:c>
      <ns0:c r="CW38" t="n">
        <ns0:f>IF($A38="",1,IF(CV38=1,1,--AND(IF($AC38&gt;0,INDEX(CV$7:CV$106,$AC38),1),IF($AD38&gt;0,INDEX(CV$7:CV$106,$AD38),1),IF($AE38&gt;0,INDEX(CV$7:CV$106,$AE38),1),IF($AF38&gt;0,INDEX(CV$7:CV$106,$AF38),1),IF($AG38&gt;0,INDEX(CV$7:CV$106,$AG38),1),IF($AH38&gt;0,INDEX(CV$7:CV$106,$AH38),1),IF($AI38&gt;0,INDEX(CV$7:CV$106,$AI38),1),IF($AJ38&gt;0,INDEX(CV$7:CV$106,$AJ38),1))))</ns0:f>
        <ns0:v>1</ns0:v>
      </ns0:c>
      <ns0:c r="CX38" t="n">
        <ns0:f>IF($A38="",1,IF(CW38=1,1,--AND(IF($AC38&gt;0,INDEX(CW$7:CW$106,$AC38),1),IF($AD38&gt;0,INDEX(CW$7:CW$106,$AD38),1),IF($AE38&gt;0,INDEX(CW$7:CW$106,$AE38),1),IF($AF38&gt;0,INDEX(CW$7:CW$106,$AF38),1),IF($AG38&gt;0,INDEX(CW$7:CW$106,$AG38),1),IF($AH38&gt;0,INDEX(CW$7:CW$106,$AH38),1),IF($AI38&gt;0,INDEX(CW$7:CW$106,$AI38),1),IF($AJ38&gt;0,INDEX(CW$7:CW$106,$AJ38),1))))</ns0:f>
        <ns0:v>1</ns0:v>
      </ns0:c>
      <ns0:c r="CY38" t="n">
        <ns0:f>IF($A38="",1,IF(CX38=1,1,--AND(IF($AC38&gt;0,INDEX(CX$7:CX$106,$AC38),1),IF($AD38&gt;0,INDEX(CX$7:CX$106,$AD38),1),IF($AE38&gt;0,INDEX(CX$7:CX$106,$AE38),1),IF($AF38&gt;0,INDEX(CX$7:CX$106,$AF38),1),IF($AG38&gt;0,INDEX(CX$7:CX$106,$AG38),1),IF($AH38&gt;0,INDEX(CX$7:CX$106,$AH38),1),IF($AI38&gt;0,INDEX(CX$7:CX$106,$AI38),1),IF($AJ38&gt;0,INDEX(CX$7:CX$106,$AJ38),1))))</ns0:f>
        <ns0:v>1</ns0:v>
      </ns0:c>
      <ns0:c r="CZ38" t="n">
        <ns0:f>IF($A38="",1,IF(CY38=1,1,--AND(IF($AC38&gt;0,INDEX(CY$7:CY$106,$AC38),1),IF($AD38&gt;0,INDEX(CY$7:CY$106,$AD38),1),IF($AE38&gt;0,INDEX(CY$7:CY$106,$AE38),1),IF($AF38&gt;0,INDEX(CY$7:CY$106,$AF38),1),IF($AG38&gt;0,INDEX(CY$7:CY$106,$AG38),1),IF($AH38&gt;0,INDEX(CY$7:CY$106,$AH38),1),IF($AI38&gt;0,INDEX(CY$7:CY$106,$AI38),1),IF($AJ38&gt;0,INDEX(CY$7:CY$106,$AJ38),1))))</ns0:f>
        <ns0:v>1</ns0:v>
      </ns0:c>
      <ns0:c r="DA38" t="n">
        <ns0:f>IF($A38="",1,IF(CZ38=1,1,--AND(IF($AC38&gt;0,INDEX(CZ$7:CZ$106,$AC38),1),IF($AD38&gt;0,INDEX(CZ$7:CZ$106,$AD38),1),IF($AE38&gt;0,INDEX(CZ$7:CZ$106,$AE38),1),IF($AF38&gt;0,INDEX(CZ$7:CZ$106,$AF38),1),IF($AG38&gt;0,INDEX(CZ$7:CZ$106,$AG38),1),IF($AH38&gt;0,INDEX(CZ$7:CZ$106,$AH38),1),IF($AI38&gt;0,INDEX(CZ$7:CZ$106,$AI38),1),IF($AJ38&gt;0,INDEX(CZ$7:CZ$106,$AJ38),1))))</ns0:f>
        <ns0:v>1</ns0:v>
      </ns0:c>
      <ns0:c r="DB38" t="n">
        <ns0:f>IF($A38="",1,IF(DA38=1,1,--AND(IF($AC38&gt;0,INDEX(DA$7:DA$106,$AC38),1),IF($AD38&gt;0,INDEX(DA$7:DA$106,$AD38),1),IF($AE38&gt;0,INDEX(DA$7:DA$106,$AE38),1),IF($AF38&gt;0,INDEX(DA$7:DA$106,$AF38),1),IF($AG38&gt;0,INDEX(DA$7:DA$106,$AG38),1),IF($AH38&gt;0,INDEX(DA$7:DA$106,$AH38),1),IF($AI38&gt;0,INDEX(DA$7:DA$106,$AI38),1),IF($AJ38&gt;0,INDEX(DA$7:DA$106,$AJ38),1))))</ns0:f>
        <ns0:v>1</ns0:v>
      </ns0:c>
      <ns0:c r="DC38" t="n">
        <ns0:f>IF($A38="",1,IF(DB38=1,1,--AND(IF($AC38&gt;0,INDEX(DB$7:DB$106,$AC38),1),IF($AD38&gt;0,INDEX(DB$7:DB$106,$AD38),1),IF($AE38&gt;0,INDEX(DB$7:DB$106,$AE38),1),IF($AF38&gt;0,INDEX(DB$7:DB$106,$AF38),1),IF($AG38&gt;0,INDEX(DB$7:DB$106,$AG38),1),IF($AH38&gt;0,INDEX(DB$7:DB$106,$AH38),1),IF($AI38&gt;0,INDEX(DB$7:DB$106,$AI38),1),IF($AJ38&gt;0,INDEX(DB$7:DB$106,$AJ38),1))))</ns0:f>
        <ns0:v>1</ns0:v>
      </ns0:c>
      <ns0:c r="DD38" t="n">
        <ns0:f>IF($A38="",1,IF(DC38=1,1,--AND(IF($AC38&gt;0,INDEX(DC$7:DC$106,$AC38),1),IF($AD38&gt;0,INDEX(DC$7:DC$106,$AD38),1),IF($AE38&gt;0,INDEX(DC$7:DC$106,$AE38),1),IF($AF38&gt;0,INDEX(DC$7:DC$106,$AF38),1),IF($AG38&gt;0,INDEX(DC$7:DC$106,$AG38),1),IF($AH38&gt;0,INDEX(DC$7:DC$106,$AH38),1),IF($AI38&gt;0,INDEX(DC$7:DC$106,$AI38),1),IF($AJ38&gt;0,INDEX(DC$7:DC$106,$AJ38),1))))</ns0:f>
        <ns0:v>1</ns0:v>
      </ns0:c>
      <ns0:c r="DE38" t="n">
        <ns0:f>IF($A38="",1,IF(DD38=1,1,--AND(IF($AC38&gt;0,INDEX(DD$7:DD$106,$AC38),1),IF($AD38&gt;0,INDEX(DD$7:DD$106,$AD38),1),IF($AE38&gt;0,INDEX(DD$7:DD$106,$AE38),1),IF($AF38&gt;0,INDEX(DD$7:DD$106,$AF38),1),IF($AG38&gt;0,INDEX(DD$7:DD$106,$AG38),1),IF($AH38&gt;0,INDEX(DD$7:DD$106,$AH38),1),IF($AI38&gt;0,INDEX(DD$7:DD$106,$AI38),1),IF($AJ38&gt;0,INDEX(DD$7:DD$106,$AJ38),1))))</ns0:f>
        <ns0:v>1</ns0:v>
      </ns0:c>
      <ns0:c r="DF38" t="n">
        <ns0:f>IF($A38="",1,IF(DE38=1,1,--AND(IF($AC38&gt;0,INDEX(DE$7:DE$106,$AC38),1),IF($AD38&gt;0,INDEX(DE$7:DE$106,$AD38),1),IF($AE38&gt;0,INDEX(DE$7:DE$106,$AE38),1),IF($AF38&gt;0,INDEX(DE$7:DE$106,$AF38),1),IF($AG38&gt;0,INDEX(DE$7:DE$106,$AG38),1),IF($AH38&gt;0,INDEX(DE$7:DE$106,$AH38),1),IF($AI38&gt;0,INDEX(DE$7:DE$106,$AI38),1),IF($AJ38&gt;0,INDEX(DE$7:DE$106,$AJ38),1))))</ns0:f>
        <ns0:v>1</ns0:v>
      </ns0:c>
      <ns0:c r="DG38" t="n">
        <ns0:f>IF($A38="",1,IF(DF38=1,1,--AND(IF($AC38&gt;0,INDEX(DF$7:DF$106,$AC38),1),IF($AD38&gt;0,INDEX(DF$7:DF$106,$AD38),1),IF($AE38&gt;0,INDEX(DF$7:DF$106,$AE38),1),IF($AF38&gt;0,INDEX(DF$7:DF$106,$AF38),1),IF($AG38&gt;0,INDEX(DF$7:DF$106,$AG38),1),IF($AH38&gt;0,INDEX(DF$7:DF$106,$AH38),1),IF($AI38&gt;0,INDEX(DF$7:DF$106,$AI38),1),IF($AJ38&gt;0,INDEX(DF$7:DF$106,$AJ38),1))))</ns0:f>
        <ns0:v>1</ns0:v>
      </ns0:c>
      <ns0:c r="DH38" t="n">
        <ns0:f>IF($A38="",1,IF(DG38=1,1,--AND(IF($AC38&gt;0,INDEX(DG$7:DG$106,$AC38),1),IF($AD38&gt;0,INDEX(DG$7:DG$106,$AD38),1),IF($AE38&gt;0,INDEX(DG$7:DG$106,$AE38),1),IF($AF38&gt;0,INDEX(DG$7:DG$106,$AF38),1),IF($AG38&gt;0,INDEX(DG$7:DG$106,$AG38),1),IF($AH38&gt;0,INDEX(DG$7:DG$106,$AH38),1),IF($AI38&gt;0,INDEX(DG$7:DG$106,$AI38),1),IF($AJ38&gt;0,INDEX(DG$7:DG$106,$AJ38),1))))</ns0:f>
        <ns0:v>1</ns0:v>
      </ns0:c>
      <ns0:c r="DI38" t="n">
        <ns0:f>IF($A38="",1,IF(DH38=1,1,--AND(IF($AC38&gt;0,INDEX(DH$7:DH$106,$AC38),1),IF($AD38&gt;0,INDEX(DH$7:DH$106,$AD38),1),IF($AE38&gt;0,INDEX(DH$7:DH$106,$AE38),1),IF($AF38&gt;0,INDEX(DH$7:DH$106,$AF38),1),IF($AG38&gt;0,INDEX(DH$7:DH$106,$AG38),1),IF($AH38&gt;0,INDEX(DH$7:DH$106,$AH38),1),IF($AI38&gt;0,INDEX(DH$7:DH$106,$AI38),1),IF($AJ38&gt;0,INDEX(DH$7:DH$106,$AJ38),1))))</ns0:f>
        <ns0:v>1</ns0:v>
      </ns0:c>
      <ns0:c r="DJ38" t="n">
        <ns0:f>IF($A38="",1,IF(DI38=1,1,--AND(IF($AC38&gt;0,INDEX(DI$7:DI$106,$AC38),1),IF($AD38&gt;0,INDEX(DI$7:DI$106,$AD38),1),IF($AE38&gt;0,INDEX(DI$7:DI$106,$AE38),1),IF($AF38&gt;0,INDEX(DI$7:DI$106,$AF38),1),IF($AG38&gt;0,INDEX(DI$7:DI$106,$AG38),1),IF($AH38&gt;0,INDEX(DI$7:DI$106,$AH38),1),IF($AI38&gt;0,INDEX(DI$7:DI$106,$AI38),1),IF($AJ38&gt;0,INDEX(DI$7:DI$106,$AJ38),1))))</ns0:f>
        <ns0:v>1</ns0:v>
      </ns0:c>
      <ns0:c r="DK38" t="n">
        <ns0:f>IF($A38="",1,IF(DJ38=1,1,--AND(IF($AC38&gt;0,INDEX(DJ$7:DJ$106,$AC38),1),IF($AD38&gt;0,INDEX(DJ$7:DJ$106,$AD38),1),IF($AE38&gt;0,INDEX(DJ$7:DJ$106,$AE38),1),IF($AF38&gt;0,INDEX(DJ$7:DJ$106,$AF38),1),IF($AG38&gt;0,INDEX(DJ$7:DJ$106,$AG38),1),IF($AH38&gt;0,INDEX(DJ$7:DJ$106,$AH38),1),IF($AI38&gt;0,INDEX(DJ$7:DJ$106,$AI38),1),IF($AJ38&gt;0,INDEX(DJ$7:DJ$106,$AJ38),1))))</ns0:f>
        <ns0:v>1</ns0:v>
      </ns0:c>
      <ns0:c r="DL38" t="n">
        <ns0:f>IF($A38="",1,IF(DK38=1,1,--AND(IF($AC38&gt;0,INDEX(DK$7:DK$106,$AC38),1),IF($AD38&gt;0,INDEX(DK$7:DK$106,$AD38),1),IF($AE38&gt;0,INDEX(DK$7:DK$106,$AE38),1),IF($AF38&gt;0,INDEX(DK$7:DK$106,$AF38),1),IF($AG38&gt;0,INDEX(DK$7:DK$106,$AG38),1),IF($AH38&gt;0,INDEX(DK$7:DK$106,$AH38),1),IF($AI38&gt;0,INDEX(DK$7:DK$106,$AI38),1),IF($AJ38&gt;0,INDEX(DK$7:DK$106,$AJ38),1))))</ns0:f>
        <ns0:v>1</ns0:v>
      </ns0:c>
      <ns0:c r="DM38" t="n">
        <ns0:f>IF($A38="",1,IF(DL38=1,1,--AND(IF($AC38&gt;0,INDEX(DL$7:DL$106,$AC38),1),IF($AD38&gt;0,INDEX(DL$7:DL$106,$AD38),1),IF($AE38&gt;0,INDEX(DL$7:DL$106,$AE38),1),IF($AF38&gt;0,INDEX(DL$7:DL$106,$AF38),1),IF($AG38&gt;0,INDEX(DL$7:DL$106,$AG38),1),IF($AH38&gt;0,INDEX(DL$7:DL$106,$AH38),1),IF($AI38&gt;0,INDEX(DL$7:DL$106,$AI38),1),IF($AJ38&gt;0,INDEX(DL$7:DL$106,$AJ38),1))))</ns0:f>
        <ns0:v>1</ns0:v>
      </ns0:c>
      <ns0:c r="DN38" t="n">
        <ns0:f>IF($A38="",1,IF(DM38=1,1,--AND(IF($AC38&gt;0,INDEX(DM$7:DM$106,$AC38),1),IF($AD38&gt;0,INDEX(DM$7:DM$106,$AD38),1),IF($AE38&gt;0,INDEX(DM$7:DM$106,$AE38),1),IF($AF38&gt;0,INDEX(DM$7:DM$106,$AF38),1),IF($AG38&gt;0,INDEX(DM$7:DM$106,$AG38),1),IF($AH38&gt;0,INDEX(DM$7:DM$106,$AH38),1),IF($AI38&gt;0,INDEX(DM$7:DM$106,$AI38),1),IF($AJ38&gt;0,INDEX(DM$7:DM$106,$AJ38),1))))</ns0:f>
        <ns0:v>1</ns0:v>
      </ns0:c>
      <ns0:c r="DO38" t="n">
        <ns0:f>IF($A38="",1,IF(DN38=1,1,--AND(IF($AC38&gt;0,INDEX(DN$7:DN$106,$AC38),1),IF($AD38&gt;0,INDEX(DN$7:DN$106,$AD38),1),IF($AE38&gt;0,INDEX(DN$7:DN$106,$AE38),1),IF($AF38&gt;0,INDEX(DN$7:DN$106,$AF38),1),IF($AG38&gt;0,INDEX(DN$7:DN$106,$AG38),1),IF($AH38&gt;0,INDEX(DN$7:DN$106,$AH38),1),IF($AI38&gt;0,INDEX(DN$7:DN$106,$AI38),1),IF($AJ38&gt;0,INDEX(DN$7:DN$106,$AJ38),1))))</ns0:f>
        <ns0:v>1</ns0:v>
      </ns0:c>
      <ns0:c r="DP38" t="n">
        <ns0:f>IF($A38="",1,IF(DO38=1,1,--AND(IF($AC38&gt;0,INDEX(DO$7:DO$106,$AC38),1),IF($AD38&gt;0,INDEX(DO$7:DO$106,$AD38),1),IF($AE38&gt;0,INDEX(DO$7:DO$106,$AE38),1),IF($AF38&gt;0,INDEX(DO$7:DO$106,$AF38),1),IF($AG38&gt;0,INDEX(DO$7:DO$106,$AG38),1),IF($AH38&gt;0,INDEX(DO$7:DO$106,$AH38),1),IF($AI38&gt;0,INDEX(DO$7:DO$106,$AI38),1),IF($AJ38&gt;0,INDEX(DO$7:DO$106,$AJ38),1))))</ns0:f>
        <ns0:v>1</ns0:v>
      </ns0:c>
      <ns0:c r="DQ38" t="n">
        <ns0:f>IF($A38="",1,IF(DP38=1,1,--AND(IF($AC38&gt;0,INDEX(DP$7:DP$106,$AC38),1),IF($AD38&gt;0,INDEX(DP$7:DP$106,$AD38),1),IF($AE38&gt;0,INDEX(DP$7:DP$106,$AE38),1),IF($AF38&gt;0,INDEX(DP$7:DP$106,$AF38),1),IF($AG38&gt;0,INDEX(DP$7:DP$106,$AG38),1),IF($AH38&gt;0,INDEX(DP$7:DP$106,$AH38),1),IF($AI38&gt;0,INDEX(DP$7:DP$106,$AI38),1),IF($AJ38&gt;0,INDEX(DP$7:DP$106,$AJ38),1))))</ns0:f>
        <ns0:v>1</ns0:v>
      </ns0:c>
      <ns0:c r="DR38" t="n">
        <ns0:f>IF($A38="",1,IF(DQ38=1,1,--AND(IF($AC38&gt;0,INDEX(DQ$7:DQ$106,$AC38),1),IF($AD38&gt;0,INDEX(DQ$7:DQ$106,$AD38),1),IF($AE38&gt;0,INDEX(DQ$7:DQ$106,$AE38),1),IF($AF38&gt;0,INDEX(DQ$7:DQ$106,$AF38),1),IF($AG38&gt;0,INDEX(DQ$7:DQ$106,$AG38),1),IF($AH38&gt;0,INDEX(DQ$7:DQ$106,$AH38),1),IF($AI38&gt;0,INDEX(DQ$7:DQ$106,$AI38),1),IF($AJ38&gt;0,INDEX(DQ$7:DQ$106,$AJ38),1))))</ns0:f>
        <ns0:v>1</ns0:v>
      </ns0:c>
      <ns0:c r="DS38" t="n">
        <ns0:f>IF($A38="",1,IF(DR38=1,1,--AND(IF($AC38&gt;0,INDEX(DR$7:DR$106,$AC38),1),IF($AD38&gt;0,INDEX(DR$7:DR$106,$AD38),1),IF($AE38&gt;0,INDEX(DR$7:DR$106,$AE38),1),IF($AF38&gt;0,INDEX(DR$7:DR$106,$AF38),1),IF($AG38&gt;0,INDEX(DR$7:DR$106,$AG38),1),IF($AH38&gt;0,INDEX(DR$7:DR$106,$AH38),1),IF($AI38&gt;0,INDEX(DR$7:DR$106,$AI38),1),IF($AJ38&gt;0,INDEX(DR$7:DR$106,$AJ38),1))))</ns0:f>
        <ns0:v>1</ns0:v>
      </ns0:c>
      <ns0:c r="DT38" t="n">
        <ns0:f>IF($A38="",1,IF(DS38=1,1,--AND(IF($AC38&gt;0,INDEX(DS$7:DS$106,$AC38),1),IF($AD38&gt;0,INDEX(DS$7:DS$106,$AD38),1),IF($AE38&gt;0,INDEX(DS$7:DS$106,$AE38),1),IF($AF38&gt;0,INDEX(DS$7:DS$106,$AF38),1),IF($AG38&gt;0,INDEX(DS$7:DS$106,$AG38),1),IF($AH38&gt;0,INDEX(DS$7:DS$106,$AH38),1),IF($AI38&gt;0,INDEX(DS$7:DS$106,$AI38),1),IF($AJ38&gt;0,INDEX(DS$7:DS$106,$AJ38),1))))</ns0:f>
        <ns0:v>1</ns0:v>
      </ns0:c>
      <ns0:c r="DU38" t="n">
        <ns0:f>IF($A38="",1,IF(DT38=1,1,--AND(IF($AC38&gt;0,INDEX(DT$7:DT$106,$AC38),1),IF($AD38&gt;0,INDEX(DT$7:DT$106,$AD38),1),IF($AE38&gt;0,INDEX(DT$7:DT$106,$AE38),1),IF($AF38&gt;0,INDEX(DT$7:DT$106,$AF38),1),IF($AG38&gt;0,INDEX(DT$7:DT$106,$AG38),1),IF($AH38&gt;0,INDEX(DT$7:DT$106,$AH38),1),IF($AI38&gt;0,INDEX(DT$7:DT$106,$AI38),1),IF($AJ38&gt;0,INDEX(DT$7:DT$106,$AJ38),1))))</ns0:f>
        <ns0:v>1</ns0:v>
      </ns0:c>
      <ns0:c r="DV38" t="n">
        <ns0:f>IF($A38="",1,IF(DU38=1,1,--AND(IF($AC38&gt;0,INDEX(DU$7:DU$106,$AC38),1),IF($AD38&gt;0,INDEX(DU$7:DU$106,$AD38),1),IF($AE38&gt;0,INDEX(DU$7:DU$106,$AE38),1),IF($AF38&gt;0,INDEX(DU$7:DU$106,$AF38),1),IF($AG38&gt;0,INDEX(DU$7:DU$106,$AG38),1),IF($AH38&gt;0,INDEX(DU$7:DU$106,$AH38),1),IF($AI38&gt;0,INDEX(DU$7:DU$106,$AI38),1),IF($AJ38&gt;0,INDEX(DU$7:DU$106,$AJ38),1))))</ns0:f>
        <ns0:v>1</ns0:v>
      </ns0:c>
      <ns0:c r="DW38" t="n">
        <ns0:f>IF($A38="",1,IF(DV38=1,1,--AND(IF($AC38&gt;0,INDEX(DV$7:DV$106,$AC38),1),IF($AD38&gt;0,INDEX(DV$7:DV$106,$AD38),1),IF($AE38&gt;0,INDEX(DV$7:DV$106,$AE38),1),IF($AF38&gt;0,INDEX(DV$7:DV$106,$AF38),1),IF($AG38&gt;0,INDEX(DV$7:DV$106,$AG38),1),IF($AH38&gt;0,INDEX(DV$7:DV$106,$AH38),1),IF($AI38&gt;0,INDEX(DV$7:DV$106,$AI38),1),IF($AJ38&gt;0,INDEX(DV$7:DV$106,$AJ38),1))))</ns0:f>
        <ns0:v>1</ns0:v>
      </ns0:c>
      <ns0:c r="DX38" t="n">
        <ns0:f>IF($A38="",1,IF(DW38=1,1,--AND(IF($AC38&gt;0,INDEX(DW$7:DW$106,$AC38),1),IF($AD38&gt;0,INDEX(DW$7:DW$106,$AD38),1),IF($AE38&gt;0,INDEX(DW$7:DW$106,$AE38),1),IF($AF38&gt;0,INDEX(DW$7:DW$106,$AF38),1),IF($AG38&gt;0,INDEX(DW$7:DW$106,$AG38),1),IF($AH38&gt;0,INDEX(DW$7:DW$106,$AH38),1),IF($AI38&gt;0,INDEX(DW$7:DW$106,$AI38),1),IF($AJ38&gt;0,INDEX(DW$7:DW$106,$AJ38),1))))</ns0:f>
        <ns0:v>1</ns0:v>
      </ns0:c>
      <ns0:c r="DY38" t="n">
        <ns0:f>IF($A38="",1,IF(DX38=1,1,--AND(IF($AC38&gt;0,INDEX(DX$7:DX$106,$AC38),1),IF($AD38&gt;0,INDEX(DX$7:DX$106,$AD38),1),IF($AE38&gt;0,INDEX(DX$7:DX$106,$AE38),1),IF($AF38&gt;0,INDEX(DX$7:DX$106,$AF38),1),IF($AG38&gt;0,INDEX(DX$7:DX$106,$AG38),1),IF($AH38&gt;0,INDEX(DX$7:DX$106,$AH38),1),IF($AI38&gt;0,INDEX(DX$7:DX$106,$AI38),1),IF($AJ38&gt;0,INDEX(DX$7:DX$106,$AJ38),1))))</ns0:f>
        <ns0:v>1</ns0:v>
      </ns0:c>
      <ns0:c r="DZ38" t="n">
        <ns0:f>IF($A38="",1,IF(DY38=1,1,--AND(IF($AC38&gt;0,INDEX(DY$7:DY$106,$AC38),1),IF($AD38&gt;0,INDEX(DY$7:DY$106,$AD38),1),IF($AE38&gt;0,INDEX(DY$7:DY$106,$AE38),1),IF($AF38&gt;0,INDEX(DY$7:DY$106,$AF38),1),IF($AG38&gt;0,INDEX(DY$7:DY$106,$AG38),1),IF($AH38&gt;0,INDEX(DY$7:DY$106,$AH38),1),IF($AI38&gt;0,INDEX(DY$7:DY$106,$AI38),1),IF($AJ38&gt;0,INDEX(DY$7:DY$106,$AJ38),1))))</ns0:f>
        <ns0:v>1</ns0:v>
      </ns0:c>
      <ns0:c r="EA38" t="n">
        <ns0:f>IF($A38="",1,IF(DZ38=1,1,--AND(IF($AC38&gt;0,INDEX(DZ$7:DZ$106,$AC38),1),IF($AD38&gt;0,INDEX(DZ$7:DZ$106,$AD38),1),IF($AE38&gt;0,INDEX(DZ$7:DZ$106,$AE38),1),IF($AF38&gt;0,INDEX(DZ$7:DZ$106,$AF38),1),IF($AG38&gt;0,INDEX(DZ$7:DZ$106,$AG38),1),IF($AH38&gt;0,INDEX(DZ$7:DZ$106,$AH38),1),IF($AI38&gt;0,INDEX(DZ$7:DZ$106,$AI38),1),IF($AJ38&gt;0,INDEX(DZ$7:DZ$106,$AJ38),1))))</ns0:f>
        <ns0:v>1</ns0:v>
      </ns0:c>
      <ns0:c r="EB38" t="n">
        <ns0:f>IF($A38="",1,IF(EA38=1,1,--AND(IF($AC38&gt;0,INDEX(EA$7:EA$106,$AC38),1),IF($AD38&gt;0,INDEX(EA$7:EA$106,$AD38),1),IF($AE38&gt;0,INDEX(EA$7:EA$106,$AE38),1),IF($AF38&gt;0,INDEX(EA$7:EA$106,$AF38),1),IF($AG38&gt;0,INDEX(EA$7:EA$106,$AG38),1),IF($AH38&gt;0,INDEX(EA$7:EA$106,$AH38),1),IF($AI38&gt;0,INDEX(EA$7:EA$106,$AI38),1),IF($AJ38&gt;0,INDEX(EA$7:EA$106,$AJ38),1))))</ns0:f>
        <ns0:v>1</ns0:v>
      </ns0:c>
      <ns0:c r="EC38" t="n">
        <ns0:f>IF($A38="",1,IF(EB38=1,1,--AND(IF($AC38&gt;0,INDEX(EB$7:EB$106,$AC38),1),IF($AD38&gt;0,INDEX(EB$7:EB$106,$AD38),1),IF($AE38&gt;0,INDEX(EB$7:EB$106,$AE38),1),IF($AF38&gt;0,INDEX(EB$7:EB$106,$AF38),1),IF($AG38&gt;0,INDEX(EB$7:EB$106,$AG38),1),IF($AH38&gt;0,INDEX(EB$7:EB$106,$AH38),1),IF($AI38&gt;0,INDEX(EB$7:EB$106,$AI38),1),IF($AJ38&gt;0,INDEX(EB$7:EB$106,$AJ38),1))))</ns0:f>
        <ns0:v>1</ns0:v>
      </ns0:c>
      <ns0:c r="ED38" t="n">
        <ns0:f>IF($A38="",1,IF(EC38=1,1,--AND(IF($AC38&gt;0,INDEX(EC$7:EC$106,$AC38),1),IF($AD38&gt;0,INDEX(EC$7:EC$106,$AD38),1),IF($AE38&gt;0,INDEX(EC$7:EC$106,$AE38),1),IF($AF38&gt;0,INDEX(EC$7:EC$106,$AF38),1),IF($AG38&gt;0,INDEX(EC$7:EC$106,$AG38),1),IF($AH38&gt;0,INDEX(EC$7:EC$106,$AH38),1),IF($AI38&gt;0,INDEX(EC$7:EC$106,$AI38),1),IF($AJ38&gt;0,INDEX(EC$7:EC$106,$AJ38),1))))</ns0:f>
        <ns0:v>1</ns0:v>
      </ns0:c>
      <ns0:c r="EE38" t="n">
        <ns0:f>IF($A38="",1,IF(ED38=1,1,--AND(IF($AC38&gt;0,INDEX(ED$7:ED$106,$AC38),1),IF($AD38&gt;0,INDEX(ED$7:ED$106,$AD38),1),IF($AE38&gt;0,INDEX(ED$7:ED$106,$AE38),1),IF($AF38&gt;0,INDEX(ED$7:ED$106,$AF38),1),IF($AG38&gt;0,INDEX(ED$7:ED$106,$AG38),1),IF($AH38&gt;0,INDEX(ED$7:ED$106,$AH38),1),IF($AI38&gt;0,INDEX(ED$7:ED$106,$AI38),1),IF($AJ38&gt;0,INDEX(ED$7:ED$106,$AJ38),1))))</ns0:f>
        <ns0:v>1</ns0:v>
      </ns0:c>
      <ns0:c r="EF38" t="n">
        <ns0:f>IF($A38="",1,IF(EE38=1,1,--AND(IF($AC38&gt;0,INDEX(EE$7:EE$106,$AC38),1),IF($AD38&gt;0,INDEX(EE$7:EE$106,$AD38),1),IF($AE38&gt;0,INDEX(EE$7:EE$106,$AE38),1),IF($AF38&gt;0,INDEX(EE$7:EE$106,$AF38),1),IF($AG38&gt;0,INDEX(EE$7:EE$106,$AG38),1),IF($AH38&gt;0,INDEX(EE$7:EE$106,$AH38),1),IF($AI38&gt;0,INDEX(EE$7:EE$106,$AI38),1),IF($AJ38&gt;0,INDEX(EE$7:EE$106,$AJ38),1))))</ns0:f>
        <ns0:v>1</ns0:v>
      </ns0:c>
      <ns0:c r="EG38" t="n">
        <ns0:f>IF($A38="",1,IF(EF38=1,1,--AND(IF($AC38&gt;0,INDEX(EF$7:EF$106,$AC38),1),IF($AD38&gt;0,INDEX(EF$7:EF$106,$AD38),1),IF($AE38&gt;0,INDEX(EF$7:EF$106,$AE38),1),IF($AF38&gt;0,INDEX(EF$7:EF$106,$AF38),1),IF($AG38&gt;0,INDEX(EF$7:EF$106,$AG38),1),IF($AH38&gt;0,INDEX(EF$7:EF$106,$AH38),1),IF($AI38&gt;0,INDEX(EF$7:EF$106,$AI38),1),IF($AJ38&gt;0,INDEX(EF$7:EF$106,$AJ38),1))))</ns0:f>
        <ns0:v>1</ns0:v>
      </ns0:c>
      <ns0:c r="EH38" t="n">
        <ns0:f>IF($A38="",1,IF(EG38=1,1,--AND(IF($AC38&gt;0,INDEX(EG$7:EG$106,$AC38),1),IF($AD38&gt;0,INDEX(EG$7:EG$106,$AD38),1),IF($AE38&gt;0,INDEX(EG$7:EG$106,$AE38),1),IF($AF38&gt;0,INDEX(EG$7:EG$106,$AF38),1),IF($AG38&gt;0,INDEX(EG$7:EG$106,$AG38),1),IF($AH38&gt;0,INDEX(EG$7:EG$106,$AH38),1),IF($AI38&gt;0,INDEX(EG$7:EG$106,$AI38),1),IF($AJ38&gt;0,INDEX(EG$7:EG$106,$AJ38),1))))</ns0:f>
        <ns0:v>1</ns0:v>
      </ns0:c>
      <ns0:c r="EI38" t="n">
        <ns0:f>IF($A38="",1,IF(EH38=1,1,--AND(IF($AC38&gt;0,INDEX(EH$7:EH$106,$AC38),1),IF($AD38&gt;0,INDEX(EH$7:EH$106,$AD38),1),IF($AE38&gt;0,INDEX(EH$7:EH$106,$AE38),1),IF($AF38&gt;0,INDEX(EH$7:EH$106,$AF38),1),IF($AG38&gt;0,INDEX(EH$7:EH$106,$AG38),1),IF($AH38&gt;0,INDEX(EH$7:EH$106,$AH38),1),IF($AI38&gt;0,INDEX(EH$7:EH$106,$AI38),1),IF($AJ38&gt;0,INDEX(EH$7:EH$106,$AJ38),1))))</ns0:f>
        <ns0:v>1</ns0:v>
      </ns0:c>
      <ns0:c r="EJ38" t="n">
        <ns0:f>IF($A38="",1,IF(EI38=1,1,--AND(IF($AC38&gt;0,INDEX(EI$7:EI$106,$AC38),1),IF($AD38&gt;0,INDEX(EI$7:EI$106,$AD38),1),IF($AE38&gt;0,INDEX(EI$7:EI$106,$AE38),1),IF($AF38&gt;0,INDEX(EI$7:EI$106,$AF38),1),IF($AG38&gt;0,INDEX(EI$7:EI$106,$AG38),1),IF($AH38&gt;0,INDEX(EI$7:EI$106,$AH38),1),IF($AI38&gt;0,INDEX(EI$7:EI$106,$AI38),1),IF($AJ38&gt;0,INDEX(EI$7:EI$106,$AJ38),1))))</ns0:f>
        <ns0:v>1</ns0:v>
      </ns0:c>
      <ns0:c r="EK38" t="n">
        <ns0:f>IF($A38="",1,IF(EJ38=1,1,--AND(IF($AC38&gt;0,INDEX(EJ$7:EJ$106,$AC38),1),IF($AD38&gt;0,INDEX(EJ$7:EJ$106,$AD38),1),IF($AE38&gt;0,INDEX(EJ$7:EJ$106,$AE38),1),IF($AF38&gt;0,INDEX(EJ$7:EJ$106,$AF38),1),IF($AG38&gt;0,INDEX(EJ$7:EJ$106,$AG38),1),IF($AH38&gt;0,INDEX(EJ$7:EJ$106,$AH38),1),IF($AI38&gt;0,INDEX(EJ$7:EJ$106,$AI38),1),IF($AJ38&gt;0,INDEX(EJ$7:EJ$106,$AJ38),1))))</ns0:f>
        <ns0:v>1</ns0:v>
      </ns0:c>
      <ns0:c r="EL38" t="n">
        <ns0:f>IF($A38="",1,IF(EK38=1,1,--AND(IF($AC38&gt;0,INDEX(EK$7:EK$106,$AC38),1),IF($AD38&gt;0,INDEX(EK$7:EK$106,$AD38),1),IF($AE38&gt;0,INDEX(EK$7:EK$106,$AE38),1),IF($AF38&gt;0,INDEX(EK$7:EK$106,$AF38),1),IF($AG38&gt;0,INDEX(EK$7:EK$106,$AG38),1),IF($AH38&gt;0,INDEX(EK$7:EK$106,$AH38),1),IF($AI38&gt;0,INDEX(EK$7:EK$106,$AI38),1),IF($AJ38&gt;0,INDEX(EK$7:EK$106,$AJ38),1))))</ns0:f>
        <ns0:v>1</ns0:v>
      </ns0:c>
      <ns0:c r="EM38" t="n">
        <ns0:f>IF($A38="",1,IF(EL38=1,1,--AND(IF($AC38&gt;0,INDEX(EL$7:EL$106,$AC38),1),IF($AD38&gt;0,INDEX(EL$7:EL$106,$AD38),1),IF($AE38&gt;0,INDEX(EL$7:EL$106,$AE38),1),IF($AF38&gt;0,INDEX(EL$7:EL$106,$AF38),1),IF($AG38&gt;0,INDEX(EL$7:EL$106,$AG38),1),IF($AH38&gt;0,INDEX(EL$7:EL$106,$AH38),1),IF($AI38&gt;0,INDEX(EL$7:EL$106,$AI38),1),IF($AJ38&gt;0,INDEX(EL$7:EL$106,$AJ38),1))))</ns0:f>
        <ns0:v>1</ns0:v>
      </ns0:c>
      <ns0:c r="EN38" t="n">
        <ns0:f>IF($A38="",1,IF(EM38=1,1,--AND(IF($AC38&gt;0,INDEX(EM$7:EM$106,$AC38),1),IF($AD38&gt;0,INDEX(EM$7:EM$106,$AD38),1),IF($AE38&gt;0,INDEX(EM$7:EM$106,$AE38),1),IF($AF38&gt;0,INDEX(EM$7:EM$106,$AF38),1),IF($AG38&gt;0,INDEX(EM$7:EM$106,$AG38),1),IF($AH38&gt;0,INDEX(EM$7:EM$106,$AH38),1),IF($AI38&gt;0,INDEX(EM$7:EM$106,$AI38),1),IF($AJ38&gt;0,INDEX(EM$7:EM$106,$AJ38),1))))</ns0:f>
        <ns0:v>1</ns0:v>
      </ns0:c>
      <ns0:c r="EO38" t="n">
        <ns0:f>IF($A38="",1,IF(EN38=1,1,--AND(IF($AC38&gt;0,INDEX(EN$7:EN$106,$AC38),1),IF($AD38&gt;0,INDEX(EN$7:EN$106,$AD38),1),IF($AE38&gt;0,INDEX(EN$7:EN$106,$AE38),1),IF($AF38&gt;0,INDEX(EN$7:EN$106,$AF38),1),IF($AG38&gt;0,INDEX(EN$7:EN$106,$AG38),1),IF($AH38&gt;0,INDEX(EN$7:EN$106,$AH38),1),IF($AI38&gt;0,INDEX(EN$7:EN$106,$AI38),1),IF($AJ38&gt;0,INDEX(EN$7:EN$106,$AJ38),1))))</ns0:f>
        <ns0:v>1</ns0:v>
      </ns0:c>
      <ns0:c r="EP38" t="n">
        <ns0:f>IF($A38="",1,IF(EO38=1,1,--AND(IF($AC38&gt;0,INDEX(EO$7:EO$106,$AC38),1),IF($AD38&gt;0,INDEX(EO$7:EO$106,$AD38),1),IF($AE38&gt;0,INDEX(EO$7:EO$106,$AE38),1),IF($AF38&gt;0,INDEX(EO$7:EO$106,$AF38),1),IF($AG38&gt;0,INDEX(EO$7:EO$106,$AG38),1),IF($AH38&gt;0,INDEX(EO$7:EO$106,$AH38),1),IF($AI38&gt;0,INDEX(EO$7:EO$106,$AI38),1),IF($AJ38&gt;0,INDEX(EO$7:EO$106,$AJ38),1))))</ns0:f>
        <ns0:v>1</ns0:v>
      </ns0:c>
      <ns0:c r="EQ38" t="n">
        <ns0:f>IF(OR(A38="",NOT(ISNUMBER(G38))),0,G38*N38)</ns0:f>
        <ns0:v>0</ns0:v>
      </ns0:c>
    </ns0:row>
    <ns0:row r="39" ht="62" customHeight="1">
      <ns0:c r="A39" s="48" t="str">
        <ns0:v>T28</ns0:v>
      </ns0:c>
      <ns0:c r="B39" s="48" t="str">
        <ns0:v>Launch &amp; telemetry</ns0:v>
      </ns0:c>
      <ns0:c r="C39" s="48" t="str">
        <ns0:v>Publish scheduled social media posts and assets to Social Channels</ns0:v>
      </ns0:c>
      <ns0:c r="D39" s="48" t="str">
        <ns0:v>Release approved media assets, copy and scheduled social posts.</ns0:v>
      </ns0:c>
      <ns0:c r="E39" s="49" t="n">
        <ns0:v>46299</ns0:v>
      </ns0:c>
      <ns0:c r="F39" s="49" t="n">
        <ns0:v>46300</ns0:v>
      </ns0:c>
      <ns0:c r="G39" s="13" t="n">
        <ns0:f>IF(A39="","",IF(OR(NOT(ISNUMBER(E39)),NOT(ISNUMBER(F39)),F39&lt;E39),"",IF(J39="Yes",0,F39-E39+1)))</ns0:f>
        <ns0:v>2</ns0:v>
      </ns0:c>
      <ns0:c r="H39" s="48" t="str">
        <ns0:v>T25</ns0:v>
      </ns0:c>
      <ns0:c r="I39" s="48" t="str">
        <ns0:v>FS</ns0:v>
      </ns0:c>
      <ns0:c r="J39" s="48" t="str">
        <ns0:v>No</ns0:v>
      </ns0:c>
      <ns0:c r="K39" s="48" t="str">
        <ns0:v>Outbound Actuation MCP Boundary;Social Channels (Instagram, X, YouTube)</ns0:v>
      </ns0:c>
      <ns0:c r="L39" s="48" t="str"/>
      <ns0:c r="M39" s="50" t="str">
        <ns0:f>IF(A39="","",IF(N39=1,"Completed",IF(N39&gt;0,"In Progress","Not Started")))</ns0:f>
        <ns0:v>Not Started</ns0:v>
      </ns0:c>
      <ns0:c r="N39" s="51" t="n">
        <ns0:v>0</ns0:v>
      </ns0:c>
      <ns0:c r="O39" s="13" t="str">
        <ns0:f>IF(A39="","",IF(R39&lt;&gt;"","[CONFLICT] "&amp;R39,IF(S39&lt;&gt;"","[CONFLICT] "&amp;S39,IF(OR(NOT(ISNUMBER(N39)),N39&lt;0,N39&gt;1),"[CONFLICT] Invalid progress",IF(AK39&gt;0,"[DEPENDENCY ISSUE] Missing ID / &gt;8 links",IF(AM39&gt;0,"[DEPENDENCY ISSUE] Cycle or blocked by cycle",IF(AND(H39&lt;&gt;"",ISNA(MATCH(I39,{"FS","SS","FF","SF"},0))),"[DEPENDENCY ISSUE] Invalid type",IF(AL39&gt;0,"[DEPENDENCY ISSUE] Timing conflict",IF(OR(E39&lt;ProjectStart,F39&gt;ProjectEnd),"[OUTSIDE WINDOW]",IF(AND(N39&lt;1,F39&lt;AsOfDate),"Overdue",IF(AND(M39&lt;&gt;Q39,M39&lt;&gt;""),"[CONFLICT] Status / progress","On track")))))))))))</ns0:f>
        <ns0:v>On track</ns0:v>
      </ns0:c>
      <ns0:c r="P39" s="52" t="str">
        <ns0:v>Source: Project Plan Essentials (2).md §1, §2, §4. Original 2026-10-07 to 2026-10-09, 3d; original progress 0% [INFERRED]. [INFERRED] Rescheduled to fit 34d with FS. Duration reduced to 2d. Original resource/tools: Outbound MCP &amp; Social Channels.</ns0:v>
      </ns0:c>
      <ns0:c r="Q39" t="str">
        <ns0:f>IF(A39="","",IF(OR(M39="On Hold",M39="Delayed"),M39,IF(N39=1,"Completed",IF(N39&gt;0,"In Progress","Not Started"))))</ns0:f>
        <ns0:v>Not Started</ns0:v>
      </ns0:c>
      <ns0:c r="R39" t="str">
        <ns0:f>IF(A39="","",IF(COUNTIFS(Tasks[Task ID],A39)&lt;&gt;1,"Duplicate ID",""))</ns0:f>
      </ns0:c>
      <ns0:c r="S39" t="str">
        <ns0:f>IF(A39="","",IF(OR(NOT(ISNUMBER(E39)),NOT(ISNUMBER(F39))),"Invalid / missing date",IF(OR(E39&lt;&gt;INT(E39),F39&lt;&gt;INT(F39),E39&lt;1,F39&gt;2958465),"Invalid date",IF(F39&lt;E39,"End before start",IF(AND(J39="Yes",E39&lt;&gt;F39),"Milestone needs one date","")))))</ns0:f>
      </ns0:c>
      <ns0:c r="T39" t="n">
        <ns0:f>IF(H39="",0,LEN(H39)-LEN(SUBSTITUTE(H39,",",""))+1)</ns0:f>
        <ns0:v>1</ns0:v>
      </ns0:c>
      <ns0:c r="U39" t="str">
        <ns0:f>TRIM(MID(SUBSTITUTE($H39,",",REPT(" ",100)),1,100))</ns0:f>
        <ns0:v>T25</ns0:v>
      </ns0:c>
      <ns0:c r="V39" t="str">
        <ns0:f>TRIM(MID(SUBSTITUTE($H39,",",REPT(" ",100)),101,100))</ns0:f>
      </ns0:c>
      <ns0:c r="W39" t="str">
        <ns0:f>TRIM(MID(SUBSTITUTE($H39,",",REPT(" ",100)),201,100))</ns0:f>
      </ns0:c>
      <ns0:c r="X39" t="str">
        <ns0:f>TRIM(MID(SUBSTITUTE($H39,",",REPT(" ",100)),301,100))</ns0:f>
      </ns0:c>
      <ns0:c r="Y39" t="str">
        <ns0:f>TRIM(MID(SUBSTITUTE($H39,",",REPT(" ",100)),401,100))</ns0:f>
      </ns0:c>
      <ns0:c r="Z39" t="str">
        <ns0:f>TRIM(MID(SUBSTITUTE($H39,",",REPT(" ",100)),501,100))</ns0:f>
      </ns0:c>
      <ns0:c r="AA39" t="str">
        <ns0:f>TRIM(MID(SUBSTITUTE($H39,",",REPT(" ",100)),601,100))</ns0:f>
      </ns0:c>
      <ns0:c r="AB39" t="str">
        <ns0:f>TRIM(MID(SUBSTITUTE($H39,",",REPT(" ",100)),701,100))</ns0:f>
      </ns0:c>
      <ns0:c r="AC39" t="n">
        <ns0:f>IF(U39="",0,IF(COUNTIFS(Tasks[Task ID],U39)=1,MATCH(U39,Tasks[Task ID],0),-1))</ns0:f>
        <ns0:v>30</ns0:v>
      </ns0:c>
      <ns0:c r="AD39" t="n">
        <ns0:f>IF(V39="",0,IF(COUNTIFS(Tasks[Task ID],V39)=1,MATCH(V39,Tasks[Task ID],0),-1))</ns0:f>
        <ns0:v>0</ns0:v>
      </ns0:c>
      <ns0:c r="AE39" t="n">
        <ns0:f>IF(W39="",0,IF(COUNTIFS(Tasks[Task ID],W39)=1,MATCH(W39,Tasks[Task ID],0),-1))</ns0:f>
        <ns0:v>0</ns0:v>
      </ns0:c>
      <ns0:c r="AF39" t="n">
        <ns0:f>IF(X39="",0,IF(COUNTIFS(Tasks[Task ID],X39)=1,MATCH(X39,Tasks[Task ID],0),-1))</ns0:f>
        <ns0:v>0</ns0:v>
      </ns0:c>
      <ns0:c r="AG39" t="n">
        <ns0:f>IF(Y39="",0,IF(COUNTIFS(Tasks[Task ID],Y39)=1,MATCH(Y39,Tasks[Task ID],0),-1))</ns0:f>
        <ns0:v>0</ns0:v>
      </ns0:c>
      <ns0:c r="AH39" t="n">
        <ns0:f>IF(Z39="",0,IF(COUNTIFS(Tasks[Task ID],Z39)=1,MATCH(Z39,Tasks[Task ID],0),-1))</ns0:f>
        <ns0:v>0</ns0:v>
      </ns0:c>
      <ns0:c r="AI39" t="n">
        <ns0:f>IF(AA39="",0,IF(COUNTIFS(Tasks[Task ID],AA39)=1,MATCH(AA39,Tasks[Task ID],0),-1))</ns0:f>
        <ns0:v>0</ns0:v>
      </ns0:c>
      <ns0:c r="AJ39" t="n">
        <ns0:f>IF(AB39="",0,IF(COUNTIFS(Tasks[Task ID],AB39)=1,MATCH(AB39,Tasks[Task ID],0),-1))</ns0:f>
        <ns0:v>0</ns0:v>
      </ns0:c>
      <ns0:c r="AK39" t="n">
        <ns0:f>COUNTIFS(AC39:AJ39,-1)+IF(T39&gt;8,1,0)</ns0:f>
        <ns0:v>0</ns0:v>
      </ns0:c>
      <ns0:c r="AL39" t="n">
        <ns0:f>IF(OR(A39="",S39&lt;&gt;""),0,SUM(IF(AC39&gt;0,IF($I39="FS",--($E39&lt;INDEX(Tasks[End Date],AC39)+IF(INDEX(Tasks[Milestone],AC39)="Yes",0,1)),IF($I39="SS",--($E39&lt;INDEX(Tasks[Start Date],AC39)),IF($I39="FF",--($F39&lt;INDEX(Tasks[End Date],AC39)),IF($I39="SF",--($F39&lt;INDEX(Tasks[Start Date],AC39)),0)))),0),IF(AD39&gt;0,IF($I39="FS",--($E39&lt;INDEX(Tasks[End Date],AD39)+IF(INDEX(Tasks[Milestone],AD39)="Yes",0,1)),IF($I39="SS",--($E39&lt;INDEX(Tasks[Start Date],AD39)),IF($I39="FF",--($F39&lt;INDEX(Tasks[End Date],AD39)),IF($I39="SF",--($F39&lt;INDEX(Tasks[Start Date],AD39)),0)))),0),IF(AE39&gt;0,IF($I39="FS",--($E39&lt;INDEX(Tasks[End Date],AE39)+IF(INDEX(Tasks[Milestone],AE39)="Yes",0,1)),IF($I39="SS",--($E39&lt;INDEX(Tasks[Start Date],AE39)),IF($I39="FF",--($F39&lt;INDEX(Tasks[End Date],AE39)),IF($I39="SF",--($F39&lt;INDEX(Tasks[Start Date],AE39)),0)))),0),IF(AF39&gt;0,IF($I39="FS",--($E39&lt;INDEX(Tasks[End Date],AF39)+IF(INDEX(Tasks[Milestone],AF39)="Yes",0,1)),IF($I39="SS",--($E39&lt;INDEX(Tasks[Start Date],AF39)),IF($I39="FF",--($F39&lt;INDEX(Tasks[End Date],AF39)),IF($I39="SF",--($F39&lt;INDEX(Tasks[Start Date],AF39)),0)))),0),IF(AG39&gt;0,IF($I39="FS",--($E39&lt;INDEX(Tasks[End Date],AG39)+IF(INDEX(Tasks[Milestone],AG39)="Yes",0,1)),IF($I39="SS",--($E39&lt;INDEX(Tasks[Start Date],AG39)),IF($I39="FF",--($F39&lt;INDEX(Tasks[End Date],AG39)),IF($I39="SF",--($F39&lt;INDEX(Tasks[Start Date],AG39)),0)))),0),IF(AH39&gt;0,IF($I39="FS",--($E39&lt;INDEX(Tasks[End Date],AH39)+IF(INDEX(Tasks[Milestone],AH39)="Yes",0,1)),IF($I39="SS",--($E39&lt;INDEX(Tasks[Start Date],AH39)),IF($I39="FF",--($F39&lt;INDEX(Tasks[End Date],AH39)),IF($I39="SF",--($F39&lt;INDEX(Tasks[Start Date],AH39)),0)))),0),IF(AI39&gt;0,IF($I39="FS",--($E39&lt;INDEX(Tasks[End Date],AI39)+IF(INDEX(Tasks[Milestone],AI39)="Yes",0,1)),IF($I39="SS",--($E39&lt;INDEX(Tasks[Start Date],AI39)),IF($I39="FF",--($F39&lt;INDEX(Tasks[End Date],AI39)),IF($I39="SF",--($F39&lt;INDEX(Tasks[Start Date],AI39)),0)))),0),IF(AJ39&gt;0,IF($I39="FS",--($E39&lt;INDEX(Tasks[End Date],AJ39)+IF(INDEX(Tasks[Milestone],AJ39)="Yes",0,1)),IF($I39="SS",--($E39&lt;INDEX(Tasks[Start Date],AJ39)),IF($I39="FF",--($F39&lt;INDEX(Tasks[End Date],AJ39)),IF($I39="SF",--($F39&lt;INDEX(Tasks[Start Date],AJ39)),0)))),0)))</ns0:f>
        <ns0:v>0</ns0:v>
      </ns0:c>
      <ns0:c r="AM39" t="n">
        <ns0:f>IF(AND(A39&lt;&gt;"",AK39=0,EP39=0),1,0)</ns0:f>
        <ns0:v>0</ns0:v>
      </ns0:c>
      <ns0:c r="AN39" t="str">
        <ns0:f>IF(OR(A39="",B39=""),"",IF(COUNTIFS($B$7:B39,B39)=1,MAX($AN$6:AN38)+1,""))</ns0:f>
      </ns0:c>
      <ns0:c r="AO39" t="n">
        <ns0:f>IF(AND(A39&lt;&gt;"",J39="No",N39&lt;1,E39&gt;=AsOfDate),E39+ROW()/10000,1E+9)</ns0:f>
        <ns0:v>46299.0039</ns0:v>
      </ns0:c>
      <ns0:c r="AP39" t="n">
        <ns0:f>IF(AND(A39&lt;&gt;"",J39="Yes",N39&lt;1,E39&gt;=AsOfDate),E39+ROW()/10000,1E+9)</ns0:f>
        <ns0:v>1000000000</ns0:v>
      </ns0:c>
      <ns0:c r="AQ39" t="n">
        <ns0:f>IF(AND(A39&lt;&gt;"",J39="No",N39&lt;1,F39&gt;=AsOfDate,F39&lt;=AsOfDate+7),F39+ROW()/10000,1E+9)</ns0:f>
        <ns0:v>1000000000</ns0:v>
      </ns0:c>
      <ns0:c r="AR39" t="n">
        <ns0:f>IF(AND(A39&lt;&gt;"",OR(O39&lt;&gt;"On track",Q39="Delayed")),ROW(),1E+9)</ns0:f>
        <ns0:v>1000000000</ns0:v>
      </ns0:c>
      <ns0:c r="AS39" t="str">
        <ns0:f>IF(A39="","",";"&amp;K39&amp;";")</ns0:f>
        <ns0:v>;Outbound Actuation MCP Boundary;Social Channels (Instagram, X, YouTube);</ns0:v>
      </ns0:c>
      <ns0:c r="AT39" t="n">
        <ns0:f>IF(A39="",1,--(T39=0))</ns0:f>
        <ns0:v>0</ns0:v>
      </ns0:c>
      <ns0:c r="AU39" t="n">
        <ns0:f>IF($A39="",1,IF(AT39=1,1,--AND(IF($AC39&gt;0,INDEX(AT$7:AT$106,$AC39),1),IF($AD39&gt;0,INDEX(AT$7:AT$106,$AD39),1),IF($AE39&gt;0,INDEX(AT$7:AT$106,$AE39),1),IF($AF39&gt;0,INDEX(AT$7:AT$106,$AF39),1),IF($AG39&gt;0,INDEX(AT$7:AT$106,$AG39),1),IF($AH39&gt;0,INDEX(AT$7:AT$106,$AH39),1),IF($AI39&gt;0,INDEX(AT$7:AT$106,$AI39),1),IF($AJ39&gt;0,INDEX(AT$7:AT$106,$AJ39),1))))</ns0:f>
        <ns0:v>0</ns0:v>
      </ns0:c>
      <ns0:c r="AV39" t="n">
        <ns0:f>IF($A39="",1,IF(AU39=1,1,--AND(IF($AC39&gt;0,INDEX(AU$7:AU$106,$AC39),1),IF($AD39&gt;0,INDEX(AU$7:AU$106,$AD39),1),IF($AE39&gt;0,INDEX(AU$7:AU$106,$AE39),1),IF($AF39&gt;0,INDEX(AU$7:AU$106,$AF39),1),IF($AG39&gt;0,INDEX(AU$7:AU$106,$AG39),1),IF($AH39&gt;0,INDEX(AU$7:AU$106,$AH39),1),IF($AI39&gt;0,INDEX(AU$7:AU$106,$AI39),1),IF($AJ39&gt;0,INDEX(AU$7:AU$106,$AJ39),1))))</ns0:f>
        <ns0:v>0</ns0:v>
      </ns0:c>
      <ns0:c r="AW39" t="n">
        <ns0:f>IF($A39="",1,IF(AV39=1,1,--AND(IF($AC39&gt;0,INDEX(AV$7:AV$106,$AC39),1),IF($AD39&gt;0,INDEX(AV$7:AV$106,$AD39),1),IF($AE39&gt;0,INDEX(AV$7:AV$106,$AE39),1),IF($AF39&gt;0,INDEX(AV$7:AV$106,$AF39),1),IF($AG39&gt;0,INDEX(AV$7:AV$106,$AG39),1),IF($AH39&gt;0,INDEX(AV$7:AV$106,$AH39),1),IF($AI39&gt;0,INDEX(AV$7:AV$106,$AI39),1),IF($AJ39&gt;0,INDEX(AV$7:AV$106,$AJ39),1))))</ns0:f>
        <ns0:v>0</ns0:v>
      </ns0:c>
      <ns0:c r="AX39" t="n">
        <ns0:f>IF($A39="",1,IF(AW39=1,1,--AND(IF($AC39&gt;0,INDEX(AW$7:AW$106,$AC39),1),IF($AD39&gt;0,INDEX(AW$7:AW$106,$AD39),1),IF($AE39&gt;0,INDEX(AW$7:AW$106,$AE39),1),IF($AF39&gt;0,INDEX(AW$7:AW$106,$AF39),1),IF($AG39&gt;0,INDEX(AW$7:AW$106,$AG39),1),IF($AH39&gt;0,INDEX(AW$7:AW$106,$AH39),1),IF($AI39&gt;0,INDEX(AW$7:AW$106,$AI39),1),IF($AJ39&gt;0,INDEX(AW$7:AW$106,$AJ39),1))))</ns0:f>
        <ns0:v>0</ns0:v>
      </ns0:c>
      <ns0:c r="AY39" t="n">
        <ns0:f>IF($A39="",1,IF(AX39=1,1,--AND(IF($AC39&gt;0,INDEX(AX$7:AX$106,$AC39),1),IF($AD39&gt;0,INDEX(AX$7:AX$106,$AD39),1),IF($AE39&gt;0,INDEX(AX$7:AX$106,$AE39),1),IF($AF39&gt;0,INDEX(AX$7:AX$106,$AF39),1),IF($AG39&gt;0,INDEX(AX$7:AX$106,$AG39),1),IF($AH39&gt;0,INDEX(AX$7:AX$106,$AH39),1),IF($AI39&gt;0,INDEX(AX$7:AX$106,$AI39),1),IF($AJ39&gt;0,INDEX(AX$7:AX$106,$AJ39),1))))</ns0:f>
        <ns0:v>0</ns0:v>
      </ns0:c>
      <ns0:c r="AZ39" t="n">
        <ns0:f>IF($A39="",1,IF(AY39=1,1,--AND(IF($AC39&gt;0,INDEX(AY$7:AY$106,$AC39),1),IF($AD39&gt;0,INDEX(AY$7:AY$106,$AD39),1),IF($AE39&gt;0,INDEX(AY$7:AY$106,$AE39),1),IF($AF39&gt;0,INDEX(AY$7:AY$106,$AF39),1),IF($AG39&gt;0,INDEX(AY$7:AY$106,$AG39),1),IF($AH39&gt;0,INDEX(AY$7:AY$106,$AH39),1),IF($AI39&gt;0,INDEX(AY$7:AY$106,$AI39),1),IF($AJ39&gt;0,INDEX(AY$7:AY$106,$AJ39),1))))</ns0:f>
        <ns0:v>0</ns0:v>
      </ns0:c>
      <ns0:c r="BA39" t="n">
        <ns0:f>IF($A39="",1,IF(AZ39=1,1,--AND(IF($AC39&gt;0,INDEX(AZ$7:AZ$106,$AC39),1),IF($AD39&gt;0,INDEX(AZ$7:AZ$106,$AD39),1),IF($AE39&gt;0,INDEX(AZ$7:AZ$106,$AE39),1),IF($AF39&gt;0,INDEX(AZ$7:AZ$106,$AF39),1),IF($AG39&gt;0,INDEX(AZ$7:AZ$106,$AG39),1),IF($AH39&gt;0,INDEX(AZ$7:AZ$106,$AH39),1),IF($AI39&gt;0,INDEX(AZ$7:AZ$106,$AI39),1),IF($AJ39&gt;0,INDEX(AZ$7:AZ$106,$AJ39),1))))</ns0:f>
        <ns0:v>0</ns0:v>
      </ns0:c>
      <ns0:c r="BB39" t="n">
        <ns0:f>IF($A39="",1,IF(BA39=1,1,--AND(IF($AC39&gt;0,INDEX(BA$7:BA$106,$AC39),1),IF($AD39&gt;0,INDEX(BA$7:BA$106,$AD39),1),IF($AE39&gt;0,INDEX(BA$7:BA$106,$AE39),1),IF($AF39&gt;0,INDEX(BA$7:BA$106,$AF39),1),IF($AG39&gt;0,INDEX(BA$7:BA$106,$AG39),1),IF($AH39&gt;0,INDEX(BA$7:BA$106,$AH39),1),IF($AI39&gt;0,INDEX(BA$7:BA$106,$AI39),1),IF($AJ39&gt;0,INDEX(BA$7:BA$106,$AJ39),1))))</ns0:f>
        <ns0:v>0</ns0:v>
      </ns0:c>
      <ns0:c r="BC39" t="n">
        <ns0:f>IF($A39="",1,IF(BB39=1,1,--AND(IF($AC39&gt;0,INDEX(BB$7:BB$106,$AC39),1),IF($AD39&gt;0,INDEX(BB$7:BB$106,$AD39),1),IF($AE39&gt;0,INDEX(BB$7:BB$106,$AE39),1),IF($AF39&gt;0,INDEX(BB$7:BB$106,$AF39),1),IF($AG39&gt;0,INDEX(BB$7:BB$106,$AG39),1),IF($AH39&gt;0,INDEX(BB$7:BB$106,$AH39),1),IF($AI39&gt;0,INDEX(BB$7:BB$106,$AI39),1),IF($AJ39&gt;0,INDEX(BB$7:BB$106,$AJ39),1))))</ns0:f>
        <ns0:v>0</ns0:v>
      </ns0:c>
      <ns0:c r="BD39" t="n">
        <ns0:f>IF($A39="",1,IF(BC39=1,1,--AND(IF($AC39&gt;0,INDEX(BC$7:BC$106,$AC39),1),IF($AD39&gt;0,INDEX(BC$7:BC$106,$AD39),1),IF($AE39&gt;0,INDEX(BC$7:BC$106,$AE39),1),IF($AF39&gt;0,INDEX(BC$7:BC$106,$AF39),1),IF($AG39&gt;0,INDEX(BC$7:BC$106,$AG39),1),IF($AH39&gt;0,INDEX(BC$7:BC$106,$AH39),1),IF($AI39&gt;0,INDEX(BC$7:BC$106,$AI39),1),IF($AJ39&gt;0,INDEX(BC$7:BC$106,$AJ39),1))))</ns0:f>
        <ns0:v>0</ns0:v>
      </ns0:c>
      <ns0:c r="BE39" t="n">
        <ns0:f>IF($A39="",1,IF(BD39=1,1,--AND(IF($AC39&gt;0,INDEX(BD$7:BD$106,$AC39),1),IF($AD39&gt;0,INDEX(BD$7:BD$106,$AD39),1),IF($AE39&gt;0,INDEX(BD$7:BD$106,$AE39),1),IF($AF39&gt;0,INDEX(BD$7:BD$106,$AF39),1),IF($AG39&gt;0,INDEX(BD$7:BD$106,$AG39),1),IF($AH39&gt;0,INDEX(BD$7:BD$106,$AH39),1),IF($AI39&gt;0,INDEX(BD$7:BD$106,$AI39),1),IF($AJ39&gt;0,INDEX(BD$7:BD$106,$AJ39),1))))</ns0:f>
        <ns0:v>0</ns0:v>
      </ns0:c>
      <ns0:c r="BF39" t="n">
        <ns0:f>IF($A39="",1,IF(BE39=1,1,--AND(IF($AC39&gt;0,INDEX(BE$7:BE$106,$AC39),1),IF($AD39&gt;0,INDEX(BE$7:BE$106,$AD39),1),IF($AE39&gt;0,INDEX(BE$7:BE$106,$AE39),1),IF($AF39&gt;0,INDEX(BE$7:BE$106,$AF39),1),IF($AG39&gt;0,INDEX(BE$7:BE$106,$AG39),1),IF($AH39&gt;0,INDEX(BE$7:BE$106,$AH39),1),IF($AI39&gt;0,INDEX(BE$7:BE$106,$AI39),1),IF($AJ39&gt;0,INDEX(BE$7:BE$106,$AJ39),1))))</ns0:f>
        <ns0:v>0</ns0:v>
      </ns0:c>
      <ns0:c r="BG39" t="n">
        <ns0:f>IF($A39="",1,IF(BF39=1,1,--AND(IF($AC39&gt;0,INDEX(BF$7:BF$106,$AC39),1),IF($AD39&gt;0,INDEX(BF$7:BF$106,$AD39),1),IF($AE39&gt;0,INDEX(BF$7:BF$106,$AE39),1),IF($AF39&gt;0,INDEX(BF$7:BF$106,$AF39),1),IF($AG39&gt;0,INDEX(BF$7:BF$106,$AG39),1),IF($AH39&gt;0,INDEX(BF$7:BF$106,$AH39),1),IF($AI39&gt;0,INDEX(BF$7:BF$106,$AI39),1),IF($AJ39&gt;0,INDEX(BF$7:BF$106,$AJ39),1))))</ns0:f>
        <ns0:v>1</ns0:v>
      </ns0:c>
      <ns0:c r="BH39" t="n">
        <ns0:f>IF($A39="",1,IF(BG39=1,1,--AND(IF($AC39&gt;0,INDEX(BG$7:BG$106,$AC39),1),IF($AD39&gt;0,INDEX(BG$7:BG$106,$AD39),1),IF($AE39&gt;0,INDEX(BG$7:BG$106,$AE39),1),IF($AF39&gt;0,INDEX(BG$7:BG$106,$AF39),1),IF($AG39&gt;0,INDEX(BG$7:BG$106,$AG39),1),IF($AH39&gt;0,INDEX(BG$7:BG$106,$AH39),1),IF($AI39&gt;0,INDEX(BG$7:BG$106,$AI39),1),IF($AJ39&gt;0,INDEX(BG$7:BG$106,$AJ39),1))))</ns0:f>
        <ns0:v>1</ns0:v>
      </ns0:c>
      <ns0:c r="BI39" t="n">
        <ns0:f>IF($A39="",1,IF(BH39=1,1,--AND(IF($AC39&gt;0,INDEX(BH$7:BH$106,$AC39),1),IF($AD39&gt;0,INDEX(BH$7:BH$106,$AD39),1),IF($AE39&gt;0,INDEX(BH$7:BH$106,$AE39),1),IF($AF39&gt;0,INDEX(BH$7:BH$106,$AF39),1),IF($AG39&gt;0,INDEX(BH$7:BH$106,$AG39),1),IF($AH39&gt;0,INDEX(BH$7:BH$106,$AH39),1),IF($AI39&gt;0,INDEX(BH$7:BH$106,$AI39),1),IF($AJ39&gt;0,INDEX(BH$7:BH$106,$AJ39),1))))</ns0:f>
        <ns0:v>1</ns0:v>
      </ns0:c>
      <ns0:c r="BJ39" t="n">
        <ns0:f>IF($A39="",1,IF(BI39=1,1,--AND(IF($AC39&gt;0,INDEX(BI$7:BI$106,$AC39),1),IF($AD39&gt;0,INDEX(BI$7:BI$106,$AD39),1),IF($AE39&gt;0,INDEX(BI$7:BI$106,$AE39),1),IF($AF39&gt;0,INDEX(BI$7:BI$106,$AF39),1),IF($AG39&gt;0,INDEX(BI$7:BI$106,$AG39),1),IF($AH39&gt;0,INDEX(BI$7:BI$106,$AH39),1),IF($AI39&gt;0,INDEX(BI$7:BI$106,$AI39),1),IF($AJ39&gt;0,INDEX(BI$7:BI$106,$AJ39),1))))</ns0:f>
        <ns0:v>1</ns0:v>
      </ns0:c>
      <ns0:c r="BK39" t="n">
        <ns0:f>IF($A39="",1,IF(BJ39=1,1,--AND(IF($AC39&gt;0,INDEX(BJ$7:BJ$106,$AC39),1),IF($AD39&gt;0,INDEX(BJ$7:BJ$106,$AD39),1),IF($AE39&gt;0,INDEX(BJ$7:BJ$106,$AE39),1),IF($AF39&gt;0,INDEX(BJ$7:BJ$106,$AF39),1),IF($AG39&gt;0,INDEX(BJ$7:BJ$106,$AG39),1),IF($AH39&gt;0,INDEX(BJ$7:BJ$106,$AH39),1),IF($AI39&gt;0,INDEX(BJ$7:BJ$106,$AI39),1),IF($AJ39&gt;0,INDEX(BJ$7:BJ$106,$AJ39),1))))</ns0:f>
        <ns0:v>1</ns0:v>
      </ns0:c>
      <ns0:c r="BL39" t="n">
        <ns0:f>IF($A39="",1,IF(BK39=1,1,--AND(IF($AC39&gt;0,INDEX(BK$7:BK$106,$AC39),1),IF($AD39&gt;0,INDEX(BK$7:BK$106,$AD39),1),IF($AE39&gt;0,INDEX(BK$7:BK$106,$AE39),1),IF($AF39&gt;0,INDEX(BK$7:BK$106,$AF39),1),IF($AG39&gt;0,INDEX(BK$7:BK$106,$AG39),1),IF($AH39&gt;0,INDEX(BK$7:BK$106,$AH39),1),IF($AI39&gt;0,INDEX(BK$7:BK$106,$AI39),1),IF($AJ39&gt;0,INDEX(BK$7:BK$106,$AJ39),1))))</ns0:f>
        <ns0:v>1</ns0:v>
      </ns0:c>
      <ns0:c r="BM39" t="n">
        <ns0:f>IF($A39="",1,IF(BL39=1,1,--AND(IF($AC39&gt;0,INDEX(BL$7:BL$106,$AC39),1),IF($AD39&gt;0,INDEX(BL$7:BL$106,$AD39),1),IF($AE39&gt;0,INDEX(BL$7:BL$106,$AE39),1),IF($AF39&gt;0,INDEX(BL$7:BL$106,$AF39),1),IF($AG39&gt;0,INDEX(BL$7:BL$106,$AG39),1),IF($AH39&gt;0,INDEX(BL$7:BL$106,$AH39),1),IF($AI39&gt;0,INDEX(BL$7:BL$106,$AI39),1),IF($AJ39&gt;0,INDEX(BL$7:BL$106,$AJ39),1))))</ns0:f>
        <ns0:v>1</ns0:v>
      </ns0:c>
      <ns0:c r="BN39" t="n">
        <ns0:f>IF($A39="",1,IF(BM39=1,1,--AND(IF($AC39&gt;0,INDEX(BM$7:BM$106,$AC39),1),IF($AD39&gt;0,INDEX(BM$7:BM$106,$AD39),1),IF($AE39&gt;0,INDEX(BM$7:BM$106,$AE39),1),IF($AF39&gt;0,INDEX(BM$7:BM$106,$AF39),1),IF($AG39&gt;0,INDEX(BM$7:BM$106,$AG39),1),IF($AH39&gt;0,INDEX(BM$7:BM$106,$AH39),1),IF($AI39&gt;0,INDEX(BM$7:BM$106,$AI39),1),IF($AJ39&gt;0,INDEX(BM$7:BM$106,$AJ39),1))))</ns0:f>
        <ns0:v>1</ns0:v>
      </ns0:c>
      <ns0:c r="BO39" t="n">
        <ns0:f>IF($A39="",1,IF(BN39=1,1,--AND(IF($AC39&gt;0,INDEX(BN$7:BN$106,$AC39),1),IF($AD39&gt;0,INDEX(BN$7:BN$106,$AD39),1),IF($AE39&gt;0,INDEX(BN$7:BN$106,$AE39),1),IF($AF39&gt;0,INDEX(BN$7:BN$106,$AF39),1),IF($AG39&gt;0,INDEX(BN$7:BN$106,$AG39),1),IF($AH39&gt;0,INDEX(BN$7:BN$106,$AH39),1),IF($AI39&gt;0,INDEX(BN$7:BN$106,$AI39),1),IF($AJ39&gt;0,INDEX(BN$7:BN$106,$AJ39),1))))</ns0:f>
        <ns0:v>1</ns0:v>
      </ns0:c>
      <ns0:c r="BP39" t="n">
        <ns0:f>IF($A39="",1,IF(BO39=1,1,--AND(IF($AC39&gt;0,INDEX(BO$7:BO$106,$AC39),1),IF($AD39&gt;0,INDEX(BO$7:BO$106,$AD39),1),IF($AE39&gt;0,INDEX(BO$7:BO$106,$AE39),1),IF($AF39&gt;0,INDEX(BO$7:BO$106,$AF39),1),IF($AG39&gt;0,INDEX(BO$7:BO$106,$AG39),1),IF($AH39&gt;0,INDEX(BO$7:BO$106,$AH39),1),IF($AI39&gt;0,INDEX(BO$7:BO$106,$AI39),1),IF($AJ39&gt;0,INDEX(BO$7:BO$106,$AJ39),1))))</ns0:f>
        <ns0:v>1</ns0:v>
      </ns0:c>
      <ns0:c r="BQ39" t="n">
        <ns0:f>IF($A39="",1,IF(BP39=1,1,--AND(IF($AC39&gt;0,INDEX(BP$7:BP$106,$AC39),1),IF($AD39&gt;0,INDEX(BP$7:BP$106,$AD39),1),IF($AE39&gt;0,INDEX(BP$7:BP$106,$AE39),1),IF($AF39&gt;0,INDEX(BP$7:BP$106,$AF39),1),IF($AG39&gt;0,INDEX(BP$7:BP$106,$AG39),1),IF($AH39&gt;0,INDEX(BP$7:BP$106,$AH39),1),IF($AI39&gt;0,INDEX(BP$7:BP$106,$AI39),1),IF($AJ39&gt;0,INDEX(BP$7:BP$106,$AJ39),1))))</ns0:f>
        <ns0:v>1</ns0:v>
      </ns0:c>
      <ns0:c r="BR39" t="n">
        <ns0:f>IF($A39="",1,IF(BQ39=1,1,--AND(IF($AC39&gt;0,INDEX(BQ$7:BQ$106,$AC39),1),IF($AD39&gt;0,INDEX(BQ$7:BQ$106,$AD39),1),IF($AE39&gt;0,INDEX(BQ$7:BQ$106,$AE39),1),IF($AF39&gt;0,INDEX(BQ$7:BQ$106,$AF39),1),IF($AG39&gt;0,INDEX(BQ$7:BQ$106,$AG39),1),IF($AH39&gt;0,INDEX(BQ$7:BQ$106,$AH39),1),IF($AI39&gt;0,INDEX(BQ$7:BQ$106,$AI39),1),IF($AJ39&gt;0,INDEX(BQ$7:BQ$106,$AJ39),1))))</ns0:f>
        <ns0:v>1</ns0:v>
      </ns0:c>
      <ns0:c r="BS39" t="n">
        <ns0:f>IF($A39="",1,IF(BR39=1,1,--AND(IF($AC39&gt;0,INDEX(BR$7:BR$106,$AC39),1),IF($AD39&gt;0,INDEX(BR$7:BR$106,$AD39),1),IF($AE39&gt;0,INDEX(BR$7:BR$106,$AE39),1),IF($AF39&gt;0,INDEX(BR$7:BR$106,$AF39),1),IF($AG39&gt;0,INDEX(BR$7:BR$106,$AG39),1),IF($AH39&gt;0,INDEX(BR$7:BR$106,$AH39),1),IF($AI39&gt;0,INDEX(BR$7:BR$106,$AI39),1),IF($AJ39&gt;0,INDEX(BR$7:BR$106,$AJ39),1))))</ns0:f>
        <ns0:v>1</ns0:v>
      </ns0:c>
      <ns0:c r="BT39" t="n">
        <ns0:f>IF($A39="",1,IF(BS39=1,1,--AND(IF($AC39&gt;0,INDEX(BS$7:BS$106,$AC39),1),IF($AD39&gt;0,INDEX(BS$7:BS$106,$AD39),1),IF($AE39&gt;0,INDEX(BS$7:BS$106,$AE39),1),IF($AF39&gt;0,INDEX(BS$7:BS$106,$AF39),1),IF($AG39&gt;0,INDEX(BS$7:BS$106,$AG39),1),IF($AH39&gt;0,INDEX(BS$7:BS$106,$AH39),1),IF($AI39&gt;0,INDEX(BS$7:BS$106,$AI39),1),IF($AJ39&gt;0,INDEX(BS$7:BS$106,$AJ39),1))))</ns0:f>
        <ns0:v>1</ns0:v>
      </ns0:c>
      <ns0:c r="BU39" t="n">
        <ns0:f>IF($A39="",1,IF(BT39=1,1,--AND(IF($AC39&gt;0,INDEX(BT$7:BT$106,$AC39),1),IF($AD39&gt;0,INDEX(BT$7:BT$106,$AD39),1),IF($AE39&gt;0,INDEX(BT$7:BT$106,$AE39),1),IF($AF39&gt;0,INDEX(BT$7:BT$106,$AF39),1),IF($AG39&gt;0,INDEX(BT$7:BT$106,$AG39),1),IF($AH39&gt;0,INDEX(BT$7:BT$106,$AH39),1),IF($AI39&gt;0,INDEX(BT$7:BT$106,$AI39),1),IF($AJ39&gt;0,INDEX(BT$7:BT$106,$AJ39),1))))</ns0:f>
        <ns0:v>1</ns0:v>
      </ns0:c>
      <ns0:c r="BV39" t="n">
        <ns0:f>IF($A39="",1,IF(BU39=1,1,--AND(IF($AC39&gt;0,INDEX(BU$7:BU$106,$AC39),1),IF($AD39&gt;0,INDEX(BU$7:BU$106,$AD39),1),IF($AE39&gt;0,INDEX(BU$7:BU$106,$AE39),1),IF($AF39&gt;0,INDEX(BU$7:BU$106,$AF39),1),IF($AG39&gt;0,INDEX(BU$7:BU$106,$AG39),1),IF($AH39&gt;0,INDEX(BU$7:BU$106,$AH39),1),IF($AI39&gt;0,INDEX(BU$7:BU$106,$AI39),1),IF($AJ39&gt;0,INDEX(BU$7:BU$106,$AJ39),1))))</ns0:f>
        <ns0:v>1</ns0:v>
      </ns0:c>
      <ns0:c r="BW39" t="n">
        <ns0:f>IF($A39="",1,IF(BV39=1,1,--AND(IF($AC39&gt;0,INDEX(BV$7:BV$106,$AC39),1),IF($AD39&gt;0,INDEX(BV$7:BV$106,$AD39),1),IF($AE39&gt;0,INDEX(BV$7:BV$106,$AE39),1),IF($AF39&gt;0,INDEX(BV$7:BV$106,$AF39),1),IF($AG39&gt;0,INDEX(BV$7:BV$106,$AG39),1),IF($AH39&gt;0,INDEX(BV$7:BV$106,$AH39),1),IF($AI39&gt;0,INDEX(BV$7:BV$106,$AI39),1),IF($AJ39&gt;0,INDEX(BV$7:BV$106,$AJ39),1))))</ns0:f>
        <ns0:v>1</ns0:v>
      </ns0:c>
      <ns0:c r="BX39" t="n">
        <ns0:f>IF($A39="",1,IF(BW39=1,1,--AND(IF($AC39&gt;0,INDEX(BW$7:BW$106,$AC39),1),IF($AD39&gt;0,INDEX(BW$7:BW$106,$AD39),1),IF($AE39&gt;0,INDEX(BW$7:BW$106,$AE39),1),IF($AF39&gt;0,INDEX(BW$7:BW$106,$AF39),1),IF($AG39&gt;0,INDEX(BW$7:BW$106,$AG39),1),IF($AH39&gt;0,INDEX(BW$7:BW$106,$AH39),1),IF($AI39&gt;0,INDEX(BW$7:BW$106,$AI39),1),IF($AJ39&gt;0,INDEX(BW$7:BW$106,$AJ39),1))))</ns0:f>
        <ns0:v>1</ns0:v>
      </ns0:c>
      <ns0:c r="BY39" t="n">
        <ns0:f>IF($A39="",1,IF(BX39=1,1,--AND(IF($AC39&gt;0,INDEX(BX$7:BX$106,$AC39),1),IF($AD39&gt;0,INDEX(BX$7:BX$106,$AD39),1),IF($AE39&gt;0,INDEX(BX$7:BX$106,$AE39),1),IF($AF39&gt;0,INDEX(BX$7:BX$106,$AF39),1),IF($AG39&gt;0,INDEX(BX$7:BX$106,$AG39),1),IF($AH39&gt;0,INDEX(BX$7:BX$106,$AH39),1),IF($AI39&gt;0,INDEX(BX$7:BX$106,$AI39),1),IF($AJ39&gt;0,INDEX(BX$7:BX$106,$AJ39),1))))</ns0:f>
        <ns0:v>1</ns0:v>
      </ns0:c>
      <ns0:c r="BZ39" t="n">
        <ns0:f>IF($A39="",1,IF(BY39=1,1,--AND(IF($AC39&gt;0,INDEX(BY$7:BY$106,$AC39),1),IF($AD39&gt;0,INDEX(BY$7:BY$106,$AD39),1),IF($AE39&gt;0,INDEX(BY$7:BY$106,$AE39),1),IF($AF39&gt;0,INDEX(BY$7:BY$106,$AF39),1),IF($AG39&gt;0,INDEX(BY$7:BY$106,$AG39),1),IF($AH39&gt;0,INDEX(BY$7:BY$106,$AH39),1),IF($AI39&gt;0,INDEX(BY$7:BY$106,$AI39),1),IF($AJ39&gt;0,INDEX(BY$7:BY$106,$AJ39),1))))</ns0:f>
        <ns0:v>1</ns0:v>
      </ns0:c>
      <ns0:c r="CA39" t="n">
        <ns0:f>IF($A39="",1,IF(BZ39=1,1,--AND(IF($AC39&gt;0,INDEX(BZ$7:BZ$106,$AC39),1),IF($AD39&gt;0,INDEX(BZ$7:BZ$106,$AD39),1),IF($AE39&gt;0,INDEX(BZ$7:BZ$106,$AE39),1),IF($AF39&gt;0,INDEX(BZ$7:BZ$106,$AF39),1),IF($AG39&gt;0,INDEX(BZ$7:BZ$106,$AG39),1),IF($AH39&gt;0,INDEX(BZ$7:BZ$106,$AH39),1),IF($AI39&gt;0,INDEX(BZ$7:BZ$106,$AI39),1),IF($AJ39&gt;0,INDEX(BZ$7:BZ$106,$AJ39),1))))</ns0:f>
        <ns0:v>1</ns0:v>
      </ns0:c>
      <ns0:c r="CB39" t="n">
        <ns0:f>IF($A39="",1,IF(CA39=1,1,--AND(IF($AC39&gt;0,INDEX(CA$7:CA$106,$AC39),1),IF($AD39&gt;0,INDEX(CA$7:CA$106,$AD39),1),IF($AE39&gt;0,INDEX(CA$7:CA$106,$AE39),1),IF($AF39&gt;0,INDEX(CA$7:CA$106,$AF39),1),IF($AG39&gt;0,INDEX(CA$7:CA$106,$AG39),1),IF($AH39&gt;0,INDEX(CA$7:CA$106,$AH39),1),IF($AI39&gt;0,INDEX(CA$7:CA$106,$AI39),1),IF($AJ39&gt;0,INDEX(CA$7:CA$106,$AJ39),1))))</ns0:f>
        <ns0:v>1</ns0:v>
      </ns0:c>
      <ns0:c r="CC39" t="n">
        <ns0:f>IF($A39="",1,IF(CB39=1,1,--AND(IF($AC39&gt;0,INDEX(CB$7:CB$106,$AC39),1),IF($AD39&gt;0,INDEX(CB$7:CB$106,$AD39),1),IF($AE39&gt;0,INDEX(CB$7:CB$106,$AE39),1),IF($AF39&gt;0,INDEX(CB$7:CB$106,$AF39),1),IF($AG39&gt;0,INDEX(CB$7:CB$106,$AG39),1),IF($AH39&gt;0,INDEX(CB$7:CB$106,$AH39),1),IF($AI39&gt;0,INDEX(CB$7:CB$106,$AI39),1),IF($AJ39&gt;0,INDEX(CB$7:CB$106,$AJ39),1))))</ns0:f>
        <ns0:v>1</ns0:v>
      </ns0:c>
      <ns0:c r="CD39" t="n">
        <ns0:f>IF($A39="",1,IF(CC39=1,1,--AND(IF($AC39&gt;0,INDEX(CC$7:CC$106,$AC39),1),IF($AD39&gt;0,INDEX(CC$7:CC$106,$AD39),1),IF($AE39&gt;0,INDEX(CC$7:CC$106,$AE39),1),IF($AF39&gt;0,INDEX(CC$7:CC$106,$AF39),1),IF($AG39&gt;0,INDEX(CC$7:CC$106,$AG39),1),IF($AH39&gt;0,INDEX(CC$7:CC$106,$AH39),1),IF($AI39&gt;0,INDEX(CC$7:CC$106,$AI39),1),IF($AJ39&gt;0,INDEX(CC$7:CC$106,$AJ39),1))))</ns0:f>
        <ns0:v>1</ns0:v>
      </ns0:c>
      <ns0:c r="CE39" t="n">
        <ns0:f>IF($A39="",1,IF(CD39=1,1,--AND(IF($AC39&gt;0,INDEX(CD$7:CD$106,$AC39),1),IF($AD39&gt;0,INDEX(CD$7:CD$106,$AD39),1),IF($AE39&gt;0,INDEX(CD$7:CD$106,$AE39),1),IF($AF39&gt;0,INDEX(CD$7:CD$106,$AF39),1),IF($AG39&gt;0,INDEX(CD$7:CD$106,$AG39),1),IF($AH39&gt;0,INDEX(CD$7:CD$106,$AH39),1),IF($AI39&gt;0,INDEX(CD$7:CD$106,$AI39),1),IF($AJ39&gt;0,INDEX(CD$7:CD$106,$AJ39),1))))</ns0:f>
        <ns0:v>1</ns0:v>
      </ns0:c>
      <ns0:c r="CF39" t="n">
        <ns0:f>IF($A39="",1,IF(CE39=1,1,--AND(IF($AC39&gt;0,INDEX(CE$7:CE$106,$AC39),1),IF($AD39&gt;0,INDEX(CE$7:CE$106,$AD39),1),IF($AE39&gt;0,INDEX(CE$7:CE$106,$AE39),1),IF($AF39&gt;0,INDEX(CE$7:CE$106,$AF39),1),IF($AG39&gt;0,INDEX(CE$7:CE$106,$AG39),1),IF($AH39&gt;0,INDEX(CE$7:CE$106,$AH39),1),IF($AI39&gt;0,INDEX(CE$7:CE$106,$AI39),1),IF($AJ39&gt;0,INDEX(CE$7:CE$106,$AJ39),1))))</ns0:f>
        <ns0:v>1</ns0:v>
      </ns0:c>
      <ns0:c r="CG39" t="n">
        <ns0:f>IF($A39="",1,IF(CF39=1,1,--AND(IF($AC39&gt;0,INDEX(CF$7:CF$106,$AC39),1),IF($AD39&gt;0,INDEX(CF$7:CF$106,$AD39),1),IF($AE39&gt;0,INDEX(CF$7:CF$106,$AE39),1),IF($AF39&gt;0,INDEX(CF$7:CF$106,$AF39),1),IF($AG39&gt;0,INDEX(CF$7:CF$106,$AG39),1),IF($AH39&gt;0,INDEX(CF$7:CF$106,$AH39),1),IF($AI39&gt;0,INDEX(CF$7:CF$106,$AI39),1),IF($AJ39&gt;0,INDEX(CF$7:CF$106,$AJ39),1))))</ns0:f>
        <ns0:v>1</ns0:v>
      </ns0:c>
      <ns0:c r="CH39" t="n">
        <ns0:f>IF($A39="",1,IF(CG39=1,1,--AND(IF($AC39&gt;0,INDEX(CG$7:CG$106,$AC39),1),IF($AD39&gt;0,INDEX(CG$7:CG$106,$AD39),1),IF($AE39&gt;0,INDEX(CG$7:CG$106,$AE39),1),IF($AF39&gt;0,INDEX(CG$7:CG$106,$AF39),1),IF($AG39&gt;0,INDEX(CG$7:CG$106,$AG39),1),IF($AH39&gt;0,INDEX(CG$7:CG$106,$AH39),1),IF($AI39&gt;0,INDEX(CG$7:CG$106,$AI39),1),IF($AJ39&gt;0,INDEX(CG$7:CG$106,$AJ39),1))))</ns0:f>
        <ns0:v>1</ns0:v>
      </ns0:c>
      <ns0:c r="CI39" t="n">
        <ns0:f>IF($A39="",1,IF(CH39=1,1,--AND(IF($AC39&gt;0,INDEX(CH$7:CH$106,$AC39),1),IF($AD39&gt;0,INDEX(CH$7:CH$106,$AD39),1),IF($AE39&gt;0,INDEX(CH$7:CH$106,$AE39),1),IF($AF39&gt;0,INDEX(CH$7:CH$106,$AF39),1),IF($AG39&gt;0,INDEX(CH$7:CH$106,$AG39),1),IF($AH39&gt;0,INDEX(CH$7:CH$106,$AH39),1),IF($AI39&gt;0,INDEX(CH$7:CH$106,$AI39),1),IF($AJ39&gt;0,INDEX(CH$7:CH$106,$AJ39),1))))</ns0:f>
        <ns0:v>1</ns0:v>
      </ns0:c>
      <ns0:c r="CJ39" t="n">
        <ns0:f>IF($A39="",1,IF(CI39=1,1,--AND(IF($AC39&gt;0,INDEX(CI$7:CI$106,$AC39),1),IF($AD39&gt;0,INDEX(CI$7:CI$106,$AD39),1),IF($AE39&gt;0,INDEX(CI$7:CI$106,$AE39),1),IF($AF39&gt;0,INDEX(CI$7:CI$106,$AF39),1),IF($AG39&gt;0,INDEX(CI$7:CI$106,$AG39),1),IF($AH39&gt;0,INDEX(CI$7:CI$106,$AH39),1),IF($AI39&gt;0,INDEX(CI$7:CI$106,$AI39),1),IF($AJ39&gt;0,INDEX(CI$7:CI$106,$AJ39),1))))</ns0:f>
        <ns0:v>1</ns0:v>
      </ns0:c>
      <ns0:c r="CK39" t="n">
        <ns0:f>IF($A39="",1,IF(CJ39=1,1,--AND(IF($AC39&gt;0,INDEX(CJ$7:CJ$106,$AC39),1),IF($AD39&gt;0,INDEX(CJ$7:CJ$106,$AD39),1),IF($AE39&gt;0,INDEX(CJ$7:CJ$106,$AE39),1),IF($AF39&gt;0,INDEX(CJ$7:CJ$106,$AF39),1),IF($AG39&gt;0,INDEX(CJ$7:CJ$106,$AG39),1),IF($AH39&gt;0,INDEX(CJ$7:CJ$106,$AH39),1),IF($AI39&gt;0,INDEX(CJ$7:CJ$106,$AI39),1),IF($AJ39&gt;0,INDEX(CJ$7:CJ$106,$AJ39),1))))</ns0:f>
        <ns0:v>1</ns0:v>
      </ns0:c>
      <ns0:c r="CL39" t="n">
        <ns0:f>IF($A39="",1,IF(CK39=1,1,--AND(IF($AC39&gt;0,INDEX(CK$7:CK$106,$AC39),1),IF($AD39&gt;0,INDEX(CK$7:CK$106,$AD39),1),IF($AE39&gt;0,INDEX(CK$7:CK$106,$AE39),1),IF($AF39&gt;0,INDEX(CK$7:CK$106,$AF39),1),IF($AG39&gt;0,INDEX(CK$7:CK$106,$AG39),1),IF($AH39&gt;0,INDEX(CK$7:CK$106,$AH39),1),IF($AI39&gt;0,INDEX(CK$7:CK$106,$AI39),1),IF($AJ39&gt;0,INDEX(CK$7:CK$106,$AJ39),1))))</ns0:f>
        <ns0:v>1</ns0:v>
      </ns0:c>
      <ns0:c r="CM39" t="n">
        <ns0:f>IF($A39="",1,IF(CL39=1,1,--AND(IF($AC39&gt;0,INDEX(CL$7:CL$106,$AC39),1),IF($AD39&gt;0,INDEX(CL$7:CL$106,$AD39),1),IF($AE39&gt;0,INDEX(CL$7:CL$106,$AE39),1),IF($AF39&gt;0,INDEX(CL$7:CL$106,$AF39),1),IF($AG39&gt;0,INDEX(CL$7:CL$106,$AG39),1),IF($AH39&gt;0,INDEX(CL$7:CL$106,$AH39),1),IF($AI39&gt;0,INDEX(CL$7:CL$106,$AI39),1),IF($AJ39&gt;0,INDEX(CL$7:CL$106,$AJ39),1))))</ns0:f>
        <ns0:v>1</ns0:v>
      </ns0:c>
      <ns0:c r="CN39" t="n">
        <ns0:f>IF($A39="",1,IF(CM39=1,1,--AND(IF($AC39&gt;0,INDEX(CM$7:CM$106,$AC39),1),IF($AD39&gt;0,INDEX(CM$7:CM$106,$AD39),1),IF($AE39&gt;0,INDEX(CM$7:CM$106,$AE39),1),IF($AF39&gt;0,INDEX(CM$7:CM$106,$AF39),1),IF($AG39&gt;0,INDEX(CM$7:CM$106,$AG39),1),IF($AH39&gt;0,INDEX(CM$7:CM$106,$AH39),1),IF($AI39&gt;0,INDEX(CM$7:CM$106,$AI39),1),IF($AJ39&gt;0,INDEX(CM$7:CM$106,$AJ39),1))))</ns0:f>
        <ns0:v>1</ns0:v>
      </ns0:c>
      <ns0:c r="CO39" t="n">
        <ns0:f>IF($A39="",1,IF(CN39=1,1,--AND(IF($AC39&gt;0,INDEX(CN$7:CN$106,$AC39),1),IF($AD39&gt;0,INDEX(CN$7:CN$106,$AD39),1),IF($AE39&gt;0,INDEX(CN$7:CN$106,$AE39),1),IF($AF39&gt;0,INDEX(CN$7:CN$106,$AF39),1),IF($AG39&gt;0,INDEX(CN$7:CN$106,$AG39),1),IF($AH39&gt;0,INDEX(CN$7:CN$106,$AH39),1),IF($AI39&gt;0,INDEX(CN$7:CN$106,$AI39),1),IF($AJ39&gt;0,INDEX(CN$7:CN$106,$AJ39),1))))</ns0:f>
        <ns0:v>1</ns0:v>
      </ns0:c>
      <ns0:c r="CP39" t="n">
        <ns0:f>IF($A39="",1,IF(CO39=1,1,--AND(IF($AC39&gt;0,INDEX(CO$7:CO$106,$AC39),1),IF($AD39&gt;0,INDEX(CO$7:CO$106,$AD39),1),IF($AE39&gt;0,INDEX(CO$7:CO$106,$AE39),1),IF($AF39&gt;0,INDEX(CO$7:CO$106,$AF39),1),IF($AG39&gt;0,INDEX(CO$7:CO$106,$AG39),1),IF($AH39&gt;0,INDEX(CO$7:CO$106,$AH39),1),IF($AI39&gt;0,INDEX(CO$7:CO$106,$AI39),1),IF($AJ39&gt;0,INDEX(CO$7:CO$106,$AJ39),1))))</ns0:f>
        <ns0:v>1</ns0:v>
      </ns0:c>
      <ns0:c r="CQ39" t="n">
        <ns0:f>IF($A39="",1,IF(CP39=1,1,--AND(IF($AC39&gt;0,INDEX(CP$7:CP$106,$AC39),1),IF($AD39&gt;0,INDEX(CP$7:CP$106,$AD39),1),IF($AE39&gt;0,INDEX(CP$7:CP$106,$AE39),1),IF($AF39&gt;0,INDEX(CP$7:CP$106,$AF39),1),IF($AG39&gt;0,INDEX(CP$7:CP$106,$AG39),1),IF($AH39&gt;0,INDEX(CP$7:CP$106,$AH39),1),IF($AI39&gt;0,INDEX(CP$7:CP$106,$AI39),1),IF($AJ39&gt;0,INDEX(CP$7:CP$106,$AJ39),1))))</ns0:f>
        <ns0:v>1</ns0:v>
      </ns0:c>
      <ns0:c r="CR39" t="n">
        <ns0:f>IF($A39="",1,IF(CQ39=1,1,--AND(IF($AC39&gt;0,INDEX(CQ$7:CQ$106,$AC39),1),IF($AD39&gt;0,INDEX(CQ$7:CQ$106,$AD39),1),IF($AE39&gt;0,INDEX(CQ$7:CQ$106,$AE39),1),IF($AF39&gt;0,INDEX(CQ$7:CQ$106,$AF39),1),IF($AG39&gt;0,INDEX(CQ$7:CQ$106,$AG39),1),IF($AH39&gt;0,INDEX(CQ$7:CQ$106,$AH39),1),IF($AI39&gt;0,INDEX(CQ$7:CQ$106,$AI39),1),IF($AJ39&gt;0,INDEX(CQ$7:CQ$106,$AJ39),1))))</ns0:f>
        <ns0:v>1</ns0:v>
      </ns0:c>
      <ns0:c r="CS39" t="n">
        <ns0:f>IF($A39="",1,IF(CR39=1,1,--AND(IF($AC39&gt;0,INDEX(CR$7:CR$106,$AC39),1),IF($AD39&gt;0,INDEX(CR$7:CR$106,$AD39),1),IF($AE39&gt;0,INDEX(CR$7:CR$106,$AE39),1),IF($AF39&gt;0,INDEX(CR$7:CR$106,$AF39),1),IF($AG39&gt;0,INDEX(CR$7:CR$106,$AG39),1),IF($AH39&gt;0,INDEX(CR$7:CR$106,$AH39),1),IF($AI39&gt;0,INDEX(CR$7:CR$106,$AI39),1),IF($AJ39&gt;0,INDEX(CR$7:CR$106,$AJ39),1))))</ns0:f>
        <ns0:v>1</ns0:v>
      </ns0:c>
      <ns0:c r="CT39" t="n">
        <ns0:f>IF($A39="",1,IF(CS39=1,1,--AND(IF($AC39&gt;0,INDEX(CS$7:CS$106,$AC39),1),IF($AD39&gt;0,INDEX(CS$7:CS$106,$AD39),1),IF($AE39&gt;0,INDEX(CS$7:CS$106,$AE39),1),IF($AF39&gt;0,INDEX(CS$7:CS$106,$AF39),1),IF($AG39&gt;0,INDEX(CS$7:CS$106,$AG39),1),IF($AH39&gt;0,INDEX(CS$7:CS$106,$AH39),1),IF($AI39&gt;0,INDEX(CS$7:CS$106,$AI39),1),IF($AJ39&gt;0,INDEX(CS$7:CS$106,$AJ39),1))))</ns0:f>
        <ns0:v>1</ns0:v>
      </ns0:c>
      <ns0:c r="CU39" t="n">
        <ns0:f>IF($A39="",1,IF(CT39=1,1,--AND(IF($AC39&gt;0,INDEX(CT$7:CT$106,$AC39),1),IF($AD39&gt;0,INDEX(CT$7:CT$106,$AD39),1),IF($AE39&gt;0,INDEX(CT$7:CT$106,$AE39),1),IF($AF39&gt;0,INDEX(CT$7:CT$106,$AF39),1),IF($AG39&gt;0,INDEX(CT$7:CT$106,$AG39),1),IF($AH39&gt;0,INDEX(CT$7:CT$106,$AH39),1),IF($AI39&gt;0,INDEX(CT$7:CT$106,$AI39),1),IF($AJ39&gt;0,INDEX(CT$7:CT$106,$AJ39),1))))</ns0:f>
        <ns0:v>1</ns0:v>
      </ns0:c>
      <ns0:c r="CV39" t="n">
        <ns0:f>IF($A39="",1,IF(CU39=1,1,--AND(IF($AC39&gt;0,INDEX(CU$7:CU$106,$AC39),1),IF($AD39&gt;0,INDEX(CU$7:CU$106,$AD39),1),IF($AE39&gt;0,INDEX(CU$7:CU$106,$AE39),1),IF($AF39&gt;0,INDEX(CU$7:CU$106,$AF39),1),IF($AG39&gt;0,INDEX(CU$7:CU$106,$AG39),1),IF($AH39&gt;0,INDEX(CU$7:CU$106,$AH39),1),IF($AI39&gt;0,INDEX(CU$7:CU$106,$AI39),1),IF($AJ39&gt;0,INDEX(CU$7:CU$106,$AJ39),1))))</ns0:f>
        <ns0:v>1</ns0:v>
      </ns0:c>
      <ns0:c r="CW39" t="n">
        <ns0:f>IF($A39="",1,IF(CV39=1,1,--AND(IF($AC39&gt;0,INDEX(CV$7:CV$106,$AC39),1),IF($AD39&gt;0,INDEX(CV$7:CV$106,$AD39),1),IF($AE39&gt;0,INDEX(CV$7:CV$106,$AE39),1),IF($AF39&gt;0,INDEX(CV$7:CV$106,$AF39),1),IF($AG39&gt;0,INDEX(CV$7:CV$106,$AG39),1),IF($AH39&gt;0,INDEX(CV$7:CV$106,$AH39),1),IF($AI39&gt;0,INDEX(CV$7:CV$106,$AI39),1),IF($AJ39&gt;0,INDEX(CV$7:CV$106,$AJ39),1))))</ns0:f>
        <ns0:v>1</ns0:v>
      </ns0:c>
      <ns0:c r="CX39" t="n">
        <ns0:f>IF($A39="",1,IF(CW39=1,1,--AND(IF($AC39&gt;0,INDEX(CW$7:CW$106,$AC39),1),IF($AD39&gt;0,INDEX(CW$7:CW$106,$AD39),1),IF($AE39&gt;0,INDEX(CW$7:CW$106,$AE39),1),IF($AF39&gt;0,INDEX(CW$7:CW$106,$AF39),1),IF($AG39&gt;0,INDEX(CW$7:CW$106,$AG39),1),IF($AH39&gt;0,INDEX(CW$7:CW$106,$AH39),1),IF($AI39&gt;0,INDEX(CW$7:CW$106,$AI39),1),IF($AJ39&gt;0,INDEX(CW$7:CW$106,$AJ39),1))))</ns0:f>
        <ns0:v>1</ns0:v>
      </ns0:c>
      <ns0:c r="CY39" t="n">
        <ns0:f>IF($A39="",1,IF(CX39=1,1,--AND(IF($AC39&gt;0,INDEX(CX$7:CX$106,$AC39),1),IF($AD39&gt;0,INDEX(CX$7:CX$106,$AD39),1),IF($AE39&gt;0,INDEX(CX$7:CX$106,$AE39),1),IF($AF39&gt;0,INDEX(CX$7:CX$106,$AF39),1),IF($AG39&gt;0,INDEX(CX$7:CX$106,$AG39),1),IF($AH39&gt;0,INDEX(CX$7:CX$106,$AH39),1),IF($AI39&gt;0,INDEX(CX$7:CX$106,$AI39),1),IF($AJ39&gt;0,INDEX(CX$7:CX$106,$AJ39),1))))</ns0:f>
        <ns0:v>1</ns0:v>
      </ns0:c>
      <ns0:c r="CZ39" t="n">
        <ns0:f>IF($A39="",1,IF(CY39=1,1,--AND(IF($AC39&gt;0,INDEX(CY$7:CY$106,$AC39),1),IF($AD39&gt;0,INDEX(CY$7:CY$106,$AD39),1),IF($AE39&gt;0,INDEX(CY$7:CY$106,$AE39),1),IF($AF39&gt;0,INDEX(CY$7:CY$106,$AF39),1),IF($AG39&gt;0,INDEX(CY$7:CY$106,$AG39),1),IF($AH39&gt;0,INDEX(CY$7:CY$106,$AH39),1),IF($AI39&gt;0,INDEX(CY$7:CY$106,$AI39),1),IF($AJ39&gt;0,INDEX(CY$7:CY$106,$AJ39),1))))</ns0:f>
        <ns0:v>1</ns0:v>
      </ns0:c>
      <ns0:c r="DA39" t="n">
        <ns0:f>IF($A39="",1,IF(CZ39=1,1,--AND(IF($AC39&gt;0,INDEX(CZ$7:CZ$106,$AC39),1),IF($AD39&gt;0,INDEX(CZ$7:CZ$106,$AD39),1),IF($AE39&gt;0,INDEX(CZ$7:CZ$106,$AE39),1),IF($AF39&gt;0,INDEX(CZ$7:CZ$106,$AF39),1),IF($AG39&gt;0,INDEX(CZ$7:CZ$106,$AG39),1),IF($AH39&gt;0,INDEX(CZ$7:CZ$106,$AH39),1),IF($AI39&gt;0,INDEX(CZ$7:CZ$106,$AI39),1),IF($AJ39&gt;0,INDEX(CZ$7:CZ$106,$AJ39),1))))</ns0:f>
        <ns0:v>1</ns0:v>
      </ns0:c>
      <ns0:c r="DB39" t="n">
        <ns0:f>IF($A39="",1,IF(DA39=1,1,--AND(IF($AC39&gt;0,INDEX(DA$7:DA$106,$AC39),1),IF($AD39&gt;0,INDEX(DA$7:DA$106,$AD39),1),IF($AE39&gt;0,INDEX(DA$7:DA$106,$AE39),1),IF($AF39&gt;0,INDEX(DA$7:DA$106,$AF39),1),IF($AG39&gt;0,INDEX(DA$7:DA$106,$AG39),1),IF($AH39&gt;0,INDEX(DA$7:DA$106,$AH39),1),IF($AI39&gt;0,INDEX(DA$7:DA$106,$AI39),1),IF($AJ39&gt;0,INDEX(DA$7:DA$106,$AJ39),1))))</ns0:f>
        <ns0:v>1</ns0:v>
      </ns0:c>
      <ns0:c r="DC39" t="n">
        <ns0:f>IF($A39="",1,IF(DB39=1,1,--AND(IF($AC39&gt;0,INDEX(DB$7:DB$106,$AC39),1),IF($AD39&gt;0,INDEX(DB$7:DB$106,$AD39),1),IF($AE39&gt;0,INDEX(DB$7:DB$106,$AE39),1),IF($AF39&gt;0,INDEX(DB$7:DB$106,$AF39),1),IF($AG39&gt;0,INDEX(DB$7:DB$106,$AG39),1),IF($AH39&gt;0,INDEX(DB$7:DB$106,$AH39),1),IF($AI39&gt;0,INDEX(DB$7:DB$106,$AI39),1),IF($AJ39&gt;0,INDEX(DB$7:DB$106,$AJ39),1))))</ns0:f>
        <ns0:v>1</ns0:v>
      </ns0:c>
      <ns0:c r="DD39" t="n">
        <ns0:f>IF($A39="",1,IF(DC39=1,1,--AND(IF($AC39&gt;0,INDEX(DC$7:DC$106,$AC39),1),IF($AD39&gt;0,INDEX(DC$7:DC$106,$AD39),1),IF($AE39&gt;0,INDEX(DC$7:DC$106,$AE39),1),IF($AF39&gt;0,INDEX(DC$7:DC$106,$AF39),1),IF($AG39&gt;0,INDEX(DC$7:DC$106,$AG39),1),IF($AH39&gt;0,INDEX(DC$7:DC$106,$AH39),1),IF($AI39&gt;0,INDEX(DC$7:DC$106,$AI39),1),IF($AJ39&gt;0,INDEX(DC$7:DC$106,$AJ39),1))))</ns0:f>
        <ns0:v>1</ns0:v>
      </ns0:c>
      <ns0:c r="DE39" t="n">
        <ns0:f>IF($A39="",1,IF(DD39=1,1,--AND(IF($AC39&gt;0,INDEX(DD$7:DD$106,$AC39),1),IF($AD39&gt;0,INDEX(DD$7:DD$106,$AD39),1),IF($AE39&gt;0,INDEX(DD$7:DD$106,$AE39),1),IF($AF39&gt;0,INDEX(DD$7:DD$106,$AF39),1),IF($AG39&gt;0,INDEX(DD$7:DD$106,$AG39),1),IF($AH39&gt;0,INDEX(DD$7:DD$106,$AH39),1),IF($AI39&gt;0,INDEX(DD$7:DD$106,$AI39),1),IF($AJ39&gt;0,INDEX(DD$7:DD$106,$AJ39),1))))</ns0:f>
        <ns0:v>1</ns0:v>
      </ns0:c>
      <ns0:c r="DF39" t="n">
        <ns0:f>IF($A39="",1,IF(DE39=1,1,--AND(IF($AC39&gt;0,INDEX(DE$7:DE$106,$AC39),1),IF($AD39&gt;0,INDEX(DE$7:DE$106,$AD39),1),IF($AE39&gt;0,INDEX(DE$7:DE$106,$AE39),1),IF($AF39&gt;0,INDEX(DE$7:DE$106,$AF39),1),IF($AG39&gt;0,INDEX(DE$7:DE$106,$AG39),1),IF($AH39&gt;0,INDEX(DE$7:DE$106,$AH39),1),IF($AI39&gt;0,INDEX(DE$7:DE$106,$AI39),1),IF($AJ39&gt;0,INDEX(DE$7:DE$106,$AJ39),1))))</ns0:f>
        <ns0:v>1</ns0:v>
      </ns0:c>
      <ns0:c r="DG39" t="n">
        <ns0:f>IF($A39="",1,IF(DF39=1,1,--AND(IF($AC39&gt;0,INDEX(DF$7:DF$106,$AC39),1),IF($AD39&gt;0,INDEX(DF$7:DF$106,$AD39),1),IF($AE39&gt;0,INDEX(DF$7:DF$106,$AE39),1),IF($AF39&gt;0,INDEX(DF$7:DF$106,$AF39),1),IF($AG39&gt;0,INDEX(DF$7:DF$106,$AG39),1),IF($AH39&gt;0,INDEX(DF$7:DF$106,$AH39),1),IF($AI39&gt;0,INDEX(DF$7:DF$106,$AI39),1),IF($AJ39&gt;0,INDEX(DF$7:DF$106,$AJ39),1))))</ns0:f>
        <ns0:v>1</ns0:v>
      </ns0:c>
      <ns0:c r="DH39" t="n">
        <ns0:f>IF($A39="",1,IF(DG39=1,1,--AND(IF($AC39&gt;0,INDEX(DG$7:DG$106,$AC39),1),IF($AD39&gt;0,INDEX(DG$7:DG$106,$AD39),1),IF($AE39&gt;0,INDEX(DG$7:DG$106,$AE39),1),IF($AF39&gt;0,INDEX(DG$7:DG$106,$AF39),1),IF($AG39&gt;0,INDEX(DG$7:DG$106,$AG39),1),IF($AH39&gt;0,INDEX(DG$7:DG$106,$AH39),1),IF($AI39&gt;0,INDEX(DG$7:DG$106,$AI39),1),IF($AJ39&gt;0,INDEX(DG$7:DG$106,$AJ39),1))))</ns0:f>
        <ns0:v>1</ns0:v>
      </ns0:c>
      <ns0:c r="DI39" t="n">
        <ns0:f>IF($A39="",1,IF(DH39=1,1,--AND(IF($AC39&gt;0,INDEX(DH$7:DH$106,$AC39),1),IF($AD39&gt;0,INDEX(DH$7:DH$106,$AD39),1),IF($AE39&gt;0,INDEX(DH$7:DH$106,$AE39),1),IF($AF39&gt;0,INDEX(DH$7:DH$106,$AF39),1),IF($AG39&gt;0,INDEX(DH$7:DH$106,$AG39),1),IF($AH39&gt;0,INDEX(DH$7:DH$106,$AH39),1),IF($AI39&gt;0,INDEX(DH$7:DH$106,$AI39),1),IF($AJ39&gt;0,INDEX(DH$7:DH$106,$AJ39),1))))</ns0:f>
        <ns0:v>1</ns0:v>
      </ns0:c>
      <ns0:c r="DJ39" t="n">
        <ns0:f>IF($A39="",1,IF(DI39=1,1,--AND(IF($AC39&gt;0,INDEX(DI$7:DI$106,$AC39),1),IF($AD39&gt;0,INDEX(DI$7:DI$106,$AD39),1),IF($AE39&gt;0,INDEX(DI$7:DI$106,$AE39),1),IF($AF39&gt;0,INDEX(DI$7:DI$106,$AF39),1),IF($AG39&gt;0,INDEX(DI$7:DI$106,$AG39),1),IF($AH39&gt;0,INDEX(DI$7:DI$106,$AH39),1),IF($AI39&gt;0,INDEX(DI$7:DI$106,$AI39),1),IF($AJ39&gt;0,INDEX(DI$7:DI$106,$AJ39),1))))</ns0:f>
        <ns0:v>1</ns0:v>
      </ns0:c>
      <ns0:c r="DK39" t="n">
        <ns0:f>IF($A39="",1,IF(DJ39=1,1,--AND(IF($AC39&gt;0,INDEX(DJ$7:DJ$106,$AC39),1),IF($AD39&gt;0,INDEX(DJ$7:DJ$106,$AD39),1),IF($AE39&gt;0,INDEX(DJ$7:DJ$106,$AE39),1),IF($AF39&gt;0,INDEX(DJ$7:DJ$106,$AF39),1),IF($AG39&gt;0,INDEX(DJ$7:DJ$106,$AG39),1),IF($AH39&gt;0,INDEX(DJ$7:DJ$106,$AH39),1),IF($AI39&gt;0,INDEX(DJ$7:DJ$106,$AI39),1),IF($AJ39&gt;0,INDEX(DJ$7:DJ$106,$AJ39),1))))</ns0:f>
        <ns0:v>1</ns0:v>
      </ns0:c>
      <ns0:c r="DL39" t="n">
        <ns0:f>IF($A39="",1,IF(DK39=1,1,--AND(IF($AC39&gt;0,INDEX(DK$7:DK$106,$AC39),1),IF($AD39&gt;0,INDEX(DK$7:DK$106,$AD39),1),IF($AE39&gt;0,INDEX(DK$7:DK$106,$AE39),1),IF($AF39&gt;0,INDEX(DK$7:DK$106,$AF39),1),IF($AG39&gt;0,INDEX(DK$7:DK$106,$AG39),1),IF($AH39&gt;0,INDEX(DK$7:DK$106,$AH39),1),IF($AI39&gt;0,INDEX(DK$7:DK$106,$AI39),1),IF($AJ39&gt;0,INDEX(DK$7:DK$106,$AJ39),1))))</ns0:f>
        <ns0:v>1</ns0:v>
      </ns0:c>
      <ns0:c r="DM39" t="n">
        <ns0:f>IF($A39="",1,IF(DL39=1,1,--AND(IF($AC39&gt;0,INDEX(DL$7:DL$106,$AC39),1),IF($AD39&gt;0,INDEX(DL$7:DL$106,$AD39),1),IF($AE39&gt;0,INDEX(DL$7:DL$106,$AE39),1),IF($AF39&gt;0,INDEX(DL$7:DL$106,$AF39),1),IF($AG39&gt;0,INDEX(DL$7:DL$106,$AG39),1),IF($AH39&gt;0,INDEX(DL$7:DL$106,$AH39),1),IF($AI39&gt;0,INDEX(DL$7:DL$106,$AI39),1),IF($AJ39&gt;0,INDEX(DL$7:DL$106,$AJ39),1))))</ns0:f>
        <ns0:v>1</ns0:v>
      </ns0:c>
      <ns0:c r="DN39" t="n">
        <ns0:f>IF($A39="",1,IF(DM39=1,1,--AND(IF($AC39&gt;0,INDEX(DM$7:DM$106,$AC39),1),IF($AD39&gt;0,INDEX(DM$7:DM$106,$AD39),1),IF($AE39&gt;0,INDEX(DM$7:DM$106,$AE39),1),IF($AF39&gt;0,INDEX(DM$7:DM$106,$AF39),1),IF($AG39&gt;0,INDEX(DM$7:DM$106,$AG39),1),IF($AH39&gt;0,INDEX(DM$7:DM$106,$AH39),1),IF($AI39&gt;0,INDEX(DM$7:DM$106,$AI39),1),IF($AJ39&gt;0,INDEX(DM$7:DM$106,$AJ39),1))))</ns0:f>
        <ns0:v>1</ns0:v>
      </ns0:c>
      <ns0:c r="DO39" t="n">
        <ns0:f>IF($A39="",1,IF(DN39=1,1,--AND(IF($AC39&gt;0,INDEX(DN$7:DN$106,$AC39),1),IF($AD39&gt;0,INDEX(DN$7:DN$106,$AD39),1),IF($AE39&gt;0,INDEX(DN$7:DN$106,$AE39),1),IF($AF39&gt;0,INDEX(DN$7:DN$106,$AF39),1),IF($AG39&gt;0,INDEX(DN$7:DN$106,$AG39),1),IF($AH39&gt;0,INDEX(DN$7:DN$106,$AH39),1),IF($AI39&gt;0,INDEX(DN$7:DN$106,$AI39),1),IF($AJ39&gt;0,INDEX(DN$7:DN$106,$AJ39),1))))</ns0:f>
        <ns0:v>1</ns0:v>
      </ns0:c>
      <ns0:c r="DP39" t="n">
        <ns0:f>IF($A39="",1,IF(DO39=1,1,--AND(IF($AC39&gt;0,INDEX(DO$7:DO$106,$AC39),1),IF($AD39&gt;0,INDEX(DO$7:DO$106,$AD39),1),IF($AE39&gt;0,INDEX(DO$7:DO$106,$AE39),1),IF($AF39&gt;0,INDEX(DO$7:DO$106,$AF39),1),IF($AG39&gt;0,INDEX(DO$7:DO$106,$AG39),1),IF($AH39&gt;0,INDEX(DO$7:DO$106,$AH39),1),IF($AI39&gt;0,INDEX(DO$7:DO$106,$AI39),1),IF($AJ39&gt;0,INDEX(DO$7:DO$106,$AJ39),1))))</ns0:f>
        <ns0:v>1</ns0:v>
      </ns0:c>
      <ns0:c r="DQ39" t="n">
        <ns0:f>IF($A39="",1,IF(DP39=1,1,--AND(IF($AC39&gt;0,INDEX(DP$7:DP$106,$AC39),1),IF($AD39&gt;0,INDEX(DP$7:DP$106,$AD39),1),IF($AE39&gt;0,INDEX(DP$7:DP$106,$AE39),1),IF($AF39&gt;0,INDEX(DP$7:DP$106,$AF39),1),IF($AG39&gt;0,INDEX(DP$7:DP$106,$AG39),1),IF($AH39&gt;0,INDEX(DP$7:DP$106,$AH39),1),IF($AI39&gt;0,INDEX(DP$7:DP$106,$AI39),1),IF($AJ39&gt;0,INDEX(DP$7:DP$106,$AJ39),1))))</ns0:f>
        <ns0:v>1</ns0:v>
      </ns0:c>
      <ns0:c r="DR39" t="n">
        <ns0:f>IF($A39="",1,IF(DQ39=1,1,--AND(IF($AC39&gt;0,INDEX(DQ$7:DQ$106,$AC39),1),IF($AD39&gt;0,INDEX(DQ$7:DQ$106,$AD39),1),IF($AE39&gt;0,INDEX(DQ$7:DQ$106,$AE39),1),IF($AF39&gt;0,INDEX(DQ$7:DQ$106,$AF39),1),IF($AG39&gt;0,INDEX(DQ$7:DQ$106,$AG39),1),IF($AH39&gt;0,INDEX(DQ$7:DQ$106,$AH39),1),IF($AI39&gt;0,INDEX(DQ$7:DQ$106,$AI39),1),IF($AJ39&gt;0,INDEX(DQ$7:DQ$106,$AJ39),1))))</ns0:f>
        <ns0:v>1</ns0:v>
      </ns0:c>
      <ns0:c r="DS39" t="n">
        <ns0:f>IF($A39="",1,IF(DR39=1,1,--AND(IF($AC39&gt;0,INDEX(DR$7:DR$106,$AC39),1),IF($AD39&gt;0,INDEX(DR$7:DR$106,$AD39),1),IF($AE39&gt;0,INDEX(DR$7:DR$106,$AE39),1),IF($AF39&gt;0,INDEX(DR$7:DR$106,$AF39),1),IF($AG39&gt;0,INDEX(DR$7:DR$106,$AG39),1),IF($AH39&gt;0,INDEX(DR$7:DR$106,$AH39),1),IF($AI39&gt;0,INDEX(DR$7:DR$106,$AI39),1),IF($AJ39&gt;0,INDEX(DR$7:DR$106,$AJ39),1))))</ns0:f>
        <ns0:v>1</ns0:v>
      </ns0:c>
      <ns0:c r="DT39" t="n">
        <ns0:f>IF($A39="",1,IF(DS39=1,1,--AND(IF($AC39&gt;0,INDEX(DS$7:DS$106,$AC39),1),IF($AD39&gt;0,INDEX(DS$7:DS$106,$AD39),1),IF($AE39&gt;0,INDEX(DS$7:DS$106,$AE39),1),IF($AF39&gt;0,INDEX(DS$7:DS$106,$AF39),1),IF($AG39&gt;0,INDEX(DS$7:DS$106,$AG39),1),IF($AH39&gt;0,INDEX(DS$7:DS$106,$AH39),1),IF($AI39&gt;0,INDEX(DS$7:DS$106,$AI39),1),IF($AJ39&gt;0,INDEX(DS$7:DS$106,$AJ39),1))))</ns0:f>
        <ns0:v>1</ns0:v>
      </ns0:c>
      <ns0:c r="DU39" t="n">
        <ns0:f>IF($A39="",1,IF(DT39=1,1,--AND(IF($AC39&gt;0,INDEX(DT$7:DT$106,$AC39),1),IF($AD39&gt;0,INDEX(DT$7:DT$106,$AD39),1),IF($AE39&gt;0,INDEX(DT$7:DT$106,$AE39),1),IF($AF39&gt;0,INDEX(DT$7:DT$106,$AF39),1),IF($AG39&gt;0,INDEX(DT$7:DT$106,$AG39),1),IF($AH39&gt;0,INDEX(DT$7:DT$106,$AH39),1),IF($AI39&gt;0,INDEX(DT$7:DT$106,$AI39),1),IF($AJ39&gt;0,INDEX(DT$7:DT$106,$AJ39),1))))</ns0:f>
        <ns0:v>1</ns0:v>
      </ns0:c>
      <ns0:c r="DV39" t="n">
        <ns0:f>IF($A39="",1,IF(DU39=1,1,--AND(IF($AC39&gt;0,INDEX(DU$7:DU$106,$AC39),1),IF($AD39&gt;0,INDEX(DU$7:DU$106,$AD39),1),IF($AE39&gt;0,INDEX(DU$7:DU$106,$AE39),1),IF($AF39&gt;0,INDEX(DU$7:DU$106,$AF39),1),IF($AG39&gt;0,INDEX(DU$7:DU$106,$AG39),1),IF($AH39&gt;0,INDEX(DU$7:DU$106,$AH39),1),IF($AI39&gt;0,INDEX(DU$7:DU$106,$AI39),1),IF($AJ39&gt;0,INDEX(DU$7:DU$106,$AJ39),1))))</ns0:f>
        <ns0:v>1</ns0:v>
      </ns0:c>
      <ns0:c r="DW39" t="n">
        <ns0:f>IF($A39="",1,IF(DV39=1,1,--AND(IF($AC39&gt;0,INDEX(DV$7:DV$106,$AC39),1),IF($AD39&gt;0,INDEX(DV$7:DV$106,$AD39),1),IF($AE39&gt;0,INDEX(DV$7:DV$106,$AE39),1),IF($AF39&gt;0,INDEX(DV$7:DV$106,$AF39),1),IF($AG39&gt;0,INDEX(DV$7:DV$106,$AG39),1),IF($AH39&gt;0,INDEX(DV$7:DV$106,$AH39),1),IF($AI39&gt;0,INDEX(DV$7:DV$106,$AI39),1),IF($AJ39&gt;0,INDEX(DV$7:DV$106,$AJ39),1))))</ns0:f>
        <ns0:v>1</ns0:v>
      </ns0:c>
      <ns0:c r="DX39" t="n">
        <ns0:f>IF($A39="",1,IF(DW39=1,1,--AND(IF($AC39&gt;0,INDEX(DW$7:DW$106,$AC39),1),IF($AD39&gt;0,INDEX(DW$7:DW$106,$AD39),1),IF($AE39&gt;0,INDEX(DW$7:DW$106,$AE39),1),IF($AF39&gt;0,INDEX(DW$7:DW$106,$AF39),1),IF($AG39&gt;0,INDEX(DW$7:DW$106,$AG39),1),IF($AH39&gt;0,INDEX(DW$7:DW$106,$AH39),1),IF($AI39&gt;0,INDEX(DW$7:DW$106,$AI39),1),IF($AJ39&gt;0,INDEX(DW$7:DW$106,$AJ39),1))))</ns0:f>
        <ns0:v>1</ns0:v>
      </ns0:c>
      <ns0:c r="DY39" t="n">
        <ns0:f>IF($A39="",1,IF(DX39=1,1,--AND(IF($AC39&gt;0,INDEX(DX$7:DX$106,$AC39),1),IF($AD39&gt;0,INDEX(DX$7:DX$106,$AD39),1),IF($AE39&gt;0,INDEX(DX$7:DX$106,$AE39),1),IF($AF39&gt;0,INDEX(DX$7:DX$106,$AF39),1),IF($AG39&gt;0,INDEX(DX$7:DX$106,$AG39),1),IF($AH39&gt;0,INDEX(DX$7:DX$106,$AH39),1),IF($AI39&gt;0,INDEX(DX$7:DX$106,$AI39),1),IF($AJ39&gt;0,INDEX(DX$7:DX$106,$AJ39),1))))</ns0:f>
        <ns0:v>1</ns0:v>
      </ns0:c>
      <ns0:c r="DZ39" t="n">
        <ns0:f>IF($A39="",1,IF(DY39=1,1,--AND(IF($AC39&gt;0,INDEX(DY$7:DY$106,$AC39),1),IF($AD39&gt;0,INDEX(DY$7:DY$106,$AD39),1),IF($AE39&gt;0,INDEX(DY$7:DY$106,$AE39),1),IF($AF39&gt;0,INDEX(DY$7:DY$106,$AF39),1),IF($AG39&gt;0,INDEX(DY$7:DY$106,$AG39),1),IF($AH39&gt;0,INDEX(DY$7:DY$106,$AH39),1),IF($AI39&gt;0,INDEX(DY$7:DY$106,$AI39),1),IF($AJ39&gt;0,INDEX(DY$7:DY$106,$AJ39),1))))</ns0:f>
        <ns0:v>1</ns0:v>
      </ns0:c>
      <ns0:c r="EA39" t="n">
        <ns0:f>IF($A39="",1,IF(DZ39=1,1,--AND(IF($AC39&gt;0,INDEX(DZ$7:DZ$106,$AC39),1),IF($AD39&gt;0,INDEX(DZ$7:DZ$106,$AD39),1),IF($AE39&gt;0,INDEX(DZ$7:DZ$106,$AE39),1),IF($AF39&gt;0,INDEX(DZ$7:DZ$106,$AF39),1),IF($AG39&gt;0,INDEX(DZ$7:DZ$106,$AG39),1),IF($AH39&gt;0,INDEX(DZ$7:DZ$106,$AH39),1),IF($AI39&gt;0,INDEX(DZ$7:DZ$106,$AI39),1),IF($AJ39&gt;0,INDEX(DZ$7:DZ$106,$AJ39),1))))</ns0:f>
        <ns0:v>1</ns0:v>
      </ns0:c>
      <ns0:c r="EB39" t="n">
        <ns0:f>IF($A39="",1,IF(EA39=1,1,--AND(IF($AC39&gt;0,INDEX(EA$7:EA$106,$AC39),1),IF($AD39&gt;0,INDEX(EA$7:EA$106,$AD39),1),IF($AE39&gt;0,INDEX(EA$7:EA$106,$AE39),1),IF($AF39&gt;0,INDEX(EA$7:EA$106,$AF39),1),IF($AG39&gt;0,INDEX(EA$7:EA$106,$AG39),1),IF($AH39&gt;0,INDEX(EA$7:EA$106,$AH39),1),IF($AI39&gt;0,INDEX(EA$7:EA$106,$AI39),1),IF($AJ39&gt;0,INDEX(EA$7:EA$106,$AJ39),1))))</ns0:f>
        <ns0:v>1</ns0:v>
      </ns0:c>
      <ns0:c r="EC39" t="n">
        <ns0:f>IF($A39="",1,IF(EB39=1,1,--AND(IF($AC39&gt;0,INDEX(EB$7:EB$106,$AC39),1),IF($AD39&gt;0,INDEX(EB$7:EB$106,$AD39),1),IF($AE39&gt;0,INDEX(EB$7:EB$106,$AE39),1),IF($AF39&gt;0,INDEX(EB$7:EB$106,$AF39),1),IF($AG39&gt;0,INDEX(EB$7:EB$106,$AG39),1),IF($AH39&gt;0,INDEX(EB$7:EB$106,$AH39),1),IF($AI39&gt;0,INDEX(EB$7:EB$106,$AI39),1),IF($AJ39&gt;0,INDEX(EB$7:EB$106,$AJ39),1))))</ns0:f>
        <ns0:v>1</ns0:v>
      </ns0:c>
      <ns0:c r="ED39" t="n">
        <ns0:f>IF($A39="",1,IF(EC39=1,1,--AND(IF($AC39&gt;0,INDEX(EC$7:EC$106,$AC39),1),IF($AD39&gt;0,INDEX(EC$7:EC$106,$AD39),1),IF($AE39&gt;0,INDEX(EC$7:EC$106,$AE39),1),IF($AF39&gt;0,INDEX(EC$7:EC$106,$AF39),1),IF($AG39&gt;0,INDEX(EC$7:EC$106,$AG39),1),IF($AH39&gt;0,INDEX(EC$7:EC$106,$AH39),1),IF($AI39&gt;0,INDEX(EC$7:EC$106,$AI39),1),IF($AJ39&gt;0,INDEX(EC$7:EC$106,$AJ39),1))))</ns0:f>
        <ns0:v>1</ns0:v>
      </ns0:c>
      <ns0:c r="EE39" t="n">
        <ns0:f>IF($A39="",1,IF(ED39=1,1,--AND(IF($AC39&gt;0,INDEX(ED$7:ED$106,$AC39),1),IF($AD39&gt;0,INDEX(ED$7:ED$106,$AD39),1),IF($AE39&gt;0,INDEX(ED$7:ED$106,$AE39),1),IF($AF39&gt;0,INDEX(ED$7:ED$106,$AF39),1),IF($AG39&gt;0,INDEX(ED$7:ED$106,$AG39),1),IF($AH39&gt;0,INDEX(ED$7:ED$106,$AH39),1),IF($AI39&gt;0,INDEX(ED$7:ED$106,$AI39),1),IF($AJ39&gt;0,INDEX(ED$7:ED$106,$AJ39),1))))</ns0:f>
        <ns0:v>1</ns0:v>
      </ns0:c>
      <ns0:c r="EF39" t="n">
        <ns0:f>IF($A39="",1,IF(EE39=1,1,--AND(IF($AC39&gt;0,INDEX(EE$7:EE$106,$AC39),1),IF($AD39&gt;0,INDEX(EE$7:EE$106,$AD39),1),IF($AE39&gt;0,INDEX(EE$7:EE$106,$AE39),1),IF($AF39&gt;0,INDEX(EE$7:EE$106,$AF39),1),IF($AG39&gt;0,INDEX(EE$7:EE$106,$AG39),1),IF($AH39&gt;0,INDEX(EE$7:EE$106,$AH39),1),IF($AI39&gt;0,INDEX(EE$7:EE$106,$AI39),1),IF($AJ39&gt;0,INDEX(EE$7:EE$106,$AJ39),1))))</ns0:f>
        <ns0:v>1</ns0:v>
      </ns0:c>
      <ns0:c r="EG39" t="n">
        <ns0:f>IF($A39="",1,IF(EF39=1,1,--AND(IF($AC39&gt;0,INDEX(EF$7:EF$106,$AC39),1),IF($AD39&gt;0,INDEX(EF$7:EF$106,$AD39),1),IF($AE39&gt;0,INDEX(EF$7:EF$106,$AE39),1),IF($AF39&gt;0,INDEX(EF$7:EF$106,$AF39),1),IF($AG39&gt;0,INDEX(EF$7:EF$106,$AG39),1),IF($AH39&gt;0,INDEX(EF$7:EF$106,$AH39),1),IF($AI39&gt;0,INDEX(EF$7:EF$106,$AI39),1),IF($AJ39&gt;0,INDEX(EF$7:EF$106,$AJ39),1))))</ns0:f>
        <ns0:v>1</ns0:v>
      </ns0:c>
      <ns0:c r="EH39" t="n">
        <ns0:f>IF($A39="",1,IF(EG39=1,1,--AND(IF($AC39&gt;0,INDEX(EG$7:EG$106,$AC39),1),IF($AD39&gt;0,INDEX(EG$7:EG$106,$AD39),1),IF($AE39&gt;0,INDEX(EG$7:EG$106,$AE39),1),IF($AF39&gt;0,INDEX(EG$7:EG$106,$AF39),1),IF($AG39&gt;0,INDEX(EG$7:EG$106,$AG39),1),IF($AH39&gt;0,INDEX(EG$7:EG$106,$AH39),1),IF($AI39&gt;0,INDEX(EG$7:EG$106,$AI39),1),IF($AJ39&gt;0,INDEX(EG$7:EG$106,$AJ39),1))))</ns0:f>
        <ns0:v>1</ns0:v>
      </ns0:c>
      <ns0:c r="EI39" t="n">
        <ns0:f>IF($A39="",1,IF(EH39=1,1,--AND(IF($AC39&gt;0,INDEX(EH$7:EH$106,$AC39),1),IF($AD39&gt;0,INDEX(EH$7:EH$106,$AD39),1),IF($AE39&gt;0,INDEX(EH$7:EH$106,$AE39),1),IF($AF39&gt;0,INDEX(EH$7:EH$106,$AF39),1),IF($AG39&gt;0,INDEX(EH$7:EH$106,$AG39),1),IF($AH39&gt;0,INDEX(EH$7:EH$106,$AH39),1),IF($AI39&gt;0,INDEX(EH$7:EH$106,$AI39),1),IF($AJ39&gt;0,INDEX(EH$7:EH$106,$AJ39),1))))</ns0:f>
        <ns0:v>1</ns0:v>
      </ns0:c>
      <ns0:c r="EJ39" t="n">
        <ns0:f>IF($A39="",1,IF(EI39=1,1,--AND(IF($AC39&gt;0,INDEX(EI$7:EI$106,$AC39),1),IF($AD39&gt;0,INDEX(EI$7:EI$106,$AD39),1),IF($AE39&gt;0,INDEX(EI$7:EI$106,$AE39),1),IF($AF39&gt;0,INDEX(EI$7:EI$106,$AF39),1),IF($AG39&gt;0,INDEX(EI$7:EI$106,$AG39),1),IF($AH39&gt;0,INDEX(EI$7:EI$106,$AH39),1),IF($AI39&gt;0,INDEX(EI$7:EI$106,$AI39),1),IF($AJ39&gt;0,INDEX(EI$7:EI$106,$AJ39),1))))</ns0:f>
        <ns0:v>1</ns0:v>
      </ns0:c>
      <ns0:c r="EK39" t="n">
        <ns0:f>IF($A39="",1,IF(EJ39=1,1,--AND(IF($AC39&gt;0,INDEX(EJ$7:EJ$106,$AC39),1),IF($AD39&gt;0,INDEX(EJ$7:EJ$106,$AD39),1),IF($AE39&gt;0,INDEX(EJ$7:EJ$106,$AE39),1),IF($AF39&gt;0,INDEX(EJ$7:EJ$106,$AF39),1),IF($AG39&gt;0,INDEX(EJ$7:EJ$106,$AG39),1),IF($AH39&gt;0,INDEX(EJ$7:EJ$106,$AH39),1),IF($AI39&gt;0,INDEX(EJ$7:EJ$106,$AI39),1),IF($AJ39&gt;0,INDEX(EJ$7:EJ$106,$AJ39),1))))</ns0:f>
        <ns0:v>1</ns0:v>
      </ns0:c>
      <ns0:c r="EL39" t="n">
        <ns0:f>IF($A39="",1,IF(EK39=1,1,--AND(IF($AC39&gt;0,INDEX(EK$7:EK$106,$AC39),1),IF($AD39&gt;0,INDEX(EK$7:EK$106,$AD39),1),IF($AE39&gt;0,INDEX(EK$7:EK$106,$AE39),1),IF($AF39&gt;0,INDEX(EK$7:EK$106,$AF39),1),IF($AG39&gt;0,INDEX(EK$7:EK$106,$AG39),1),IF($AH39&gt;0,INDEX(EK$7:EK$106,$AH39),1),IF($AI39&gt;0,INDEX(EK$7:EK$106,$AI39),1),IF($AJ39&gt;0,INDEX(EK$7:EK$106,$AJ39),1))))</ns0:f>
        <ns0:v>1</ns0:v>
      </ns0:c>
      <ns0:c r="EM39" t="n">
        <ns0:f>IF($A39="",1,IF(EL39=1,1,--AND(IF($AC39&gt;0,INDEX(EL$7:EL$106,$AC39),1),IF($AD39&gt;0,INDEX(EL$7:EL$106,$AD39),1),IF($AE39&gt;0,INDEX(EL$7:EL$106,$AE39),1),IF($AF39&gt;0,INDEX(EL$7:EL$106,$AF39),1),IF($AG39&gt;0,INDEX(EL$7:EL$106,$AG39),1),IF($AH39&gt;0,INDEX(EL$7:EL$106,$AH39),1),IF($AI39&gt;0,INDEX(EL$7:EL$106,$AI39),1),IF($AJ39&gt;0,INDEX(EL$7:EL$106,$AJ39),1))))</ns0:f>
        <ns0:v>1</ns0:v>
      </ns0:c>
      <ns0:c r="EN39" t="n">
        <ns0:f>IF($A39="",1,IF(EM39=1,1,--AND(IF($AC39&gt;0,INDEX(EM$7:EM$106,$AC39),1),IF($AD39&gt;0,INDEX(EM$7:EM$106,$AD39),1),IF($AE39&gt;0,INDEX(EM$7:EM$106,$AE39),1),IF($AF39&gt;0,INDEX(EM$7:EM$106,$AF39),1),IF($AG39&gt;0,INDEX(EM$7:EM$106,$AG39),1),IF($AH39&gt;0,INDEX(EM$7:EM$106,$AH39),1),IF($AI39&gt;0,INDEX(EM$7:EM$106,$AI39),1),IF($AJ39&gt;0,INDEX(EM$7:EM$106,$AJ39),1))))</ns0:f>
        <ns0:v>1</ns0:v>
      </ns0:c>
      <ns0:c r="EO39" t="n">
        <ns0:f>IF($A39="",1,IF(EN39=1,1,--AND(IF($AC39&gt;0,INDEX(EN$7:EN$106,$AC39),1),IF($AD39&gt;0,INDEX(EN$7:EN$106,$AD39),1),IF($AE39&gt;0,INDEX(EN$7:EN$106,$AE39),1),IF($AF39&gt;0,INDEX(EN$7:EN$106,$AF39),1),IF($AG39&gt;0,INDEX(EN$7:EN$106,$AG39),1),IF($AH39&gt;0,INDEX(EN$7:EN$106,$AH39),1),IF($AI39&gt;0,INDEX(EN$7:EN$106,$AI39),1),IF($AJ39&gt;0,INDEX(EN$7:EN$106,$AJ39),1))))</ns0:f>
        <ns0:v>1</ns0:v>
      </ns0:c>
      <ns0:c r="EP39" t="n">
        <ns0:f>IF($A39="",1,IF(EO39=1,1,--AND(IF($AC39&gt;0,INDEX(EO$7:EO$106,$AC39),1),IF($AD39&gt;0,INDEX(EO$7:EO$106,$AD39),1),IF($AE39&gt;0,INDEX(EO$7:EO$106,$AE39),1),IF($AF39&gt;0,INDEX(EO$7:EO$106,$AF39),1),IF($AG39&gt;0,INDEX(EO$7:EO$106,$AG39),1),IF($AH39&gt;0,INDEX(EO$7:EO$106,$AH39),1),IF($AI39&gt;0,INDEX(EO$7:EO$106,$AI39),1),IF($AJ39&gt;0,INDEX(EO$7:EO$106,$AJ39),1))))</ns0:f>
        <ns0:v>1</ns0:v>
      </ns0:c>
      <ns0:c r="EQ39" t="n">
        <ns0:f>IF(OR(A39="",NOT(ISNUMBER(G39))),0,G39*N39)</ns0:f>
        <ns0:v>0</ns0:v>
      </ns0:c>
    </ns0:row>
    <ns0:row r="40" ht="62" customHeight="1">
      <ns0:c r="A40" s="48" t="str">
        <ns0:v>T29</ns0:v>
      </ns0:c>
      <ns0:c r="B40" s="48" t="str">
        <ns0:v>Launch &amp; telemetry</ns0:v>
      </ns0:c>
      <ns0:c r="C40" s="48" t="str">
        <ns0:v>Connect Omnichannel Telemetry Engine webhooks, pixel events &amp; logs</ns0:v>
      </ns0:c>
      <ns0:c r="D40" s="48" t="str">
        <ns0:v>Attach webhooks, event streams, conversions and error-log collectors.</ns0:v>
      </ns0:c>
      <ns0:c r="E40" s="49" t="n">
        <ns0:v>46301</ns0:v>
      </ns0:c>
      <ns0:c r="F40" s="49" t="n">
        <ns0:v>46302</ns0:v>
      </ns0:c>
      <ns0:c r="G40" s="13" t="n">
        <ns0:f>IF(A40="","",IF(OR(NOT(ISNUMBER(E40)),NOT(ISNUMBER(F40)),F40&lt;E40),"",IF(J40="Yes",0,F40-E40+1)))</ns0:f>
        <ns0:v>2</ns0:v>
      </ns0:c>
      <ns0:c r="H40" s="48" t="str">
        <ns0:v>T26,T27,T28</ns0:v>
      </ns0:c>
      <ns0:c r="I40" s="48" t="str">
        <ns0:v>FS</ns0:v>
      </ns0:c>
      <ns0:c r="J40" s="48" t="str">
        <ns0:v>No</ns0:v>
      </ns0:c>
      <ns0:c r="K40" s="48" t="str">
        <ns0:v>Omnichannel Telemetry Engine</ns0:v>
      </ns0:c>
      <ns0:c r="L40" s="48" t="str"/>
      <ns0:c r="M40" s="50" t="str">
        <ns0:f>IF(A40="","",IF(N40=1,"Completed",IF(N40&gt;0,"In Progress","Not Started")))</ns0:f>
        <ns0:v>Not Started</ns0:v>
      </ns0:c>
      <ns0:c r="N40" s="51" t="n">
        <ns0:v>0</ns0:v>
      </ns0:c>
      <ns0:c r="O40" s="13" t="str">
        <ns0:f>IF(A40="","",IF(R40&lt;&gt;"","[CONFLICT] "&amp;R40,IF(S40&lt;&gt;"","[CONFLICT] "&amp;S40,IF(OR(NOT(ISNUMBER(N40)),N40&lt;0,N40&gt;1),"[CONFLICT] Invalid progress",IF(AK40&gt;0,"[DEPENDENCY ISSUE] Missing ID / &gt;8 links",IF(AM40&gt;0,"[DEPENDENCY ISSUE] Cycle or blocked by cycle",IF(AND(H40&lt;&gt;"",ISNA(MATCH(I40,{"FS","SS","FF","SF"},0))),"[DEPENDENCY ISSUE] Invalid type",IF(AL40&gt;0,"[DEPENDENCY ISSUE] Timing conflict",IF(OR(E40&lt;ProjectStart,F40&gt;ProjectEnd),"[OUTSIDE WINDOW]",IF(AND(N40&lt;1,F40&lt;AsOfDate),"Overdue",IF(AND(M40&lt;&gt;Q40,M40&lt;&gt;""),"[CONFLICT] Status / progress","On track")))))))))))</ns0:f>
        <ns0:v>On track</ns0:v>
      </ns0:c>
      <ns0:c r="P40" s="52" t="str">
        <ns0:v>Source: Project Plan Essentials (2).md §1, §2, §4. Original 2026-10-09 to 2026-10-10, 2d; original progress 0% [INFERRED]. [INFERRED] Rescheduled to fit 34d with FS. Original resource/tools: Omnichannel Telemetry Engine.</ns0:v>
      </ns0:c>
      <ns0:c r="Q40" t="str">
        <ns0:f>IF(A40="","",IF(OR(M40="On Hold",M40="Delayed"),M40,IF(N40=1,"Completed",IF(N40&gt;0,"In Progress","Not Started"))))</ns0:f>
        <ns0:v>Not Started</ns0:v>
      </ns0:c>
      <ns0:c r="R40" t="str">
        <ns0:f>IF(A40="","",IF(COUNTIFS(Tasks[Task ID],A40)&lt;&gt;1,"Duplicate ID",""))</ns0:f>
      </ns0:c>
      <ns0:c r="S40" t="str">
        <ns0:f>IF(A40="","",IF(OR(NOT(ISNUMBER(E40)),NOT(ISNUMBER(F40))),"Invalid / missing date",IF(OR(E40&lt;&gt;INT(E40),F40&lt;&gt;INT(F40),E40&lt;1,F40&gt;2958465),"Invalid date",IF(F40&lt;E40,"End before start",IF(AND(J40="Yes",E40&lt;&gt;F40),"Milestone needs one date","")))))</ns0:f>
      </ns0:c>
      <ns0:c r="T40" t="n">
        <ns0:f>IF(H40="",0,LEN(H40)-LEN(SUBSTITUTE(H40,",",""))+1)</ns0:f>
        <ns0:v>3</ns0:v>
      </ns0:c>
      <ns0:c r="U40" t="str">
        <ns0:f>TRIM(MID(SUBSTITUTE($H40,",",REPT(" ",100)),1,100))</ns0:f>
        <ns0:v>T26</ns0:v>
      </ns0:c>
      <ns0:c r="V40" t="str">
        <ns0:f>TRIM(MID(SUBSTITUTE($H40,",",REPT(" ",100)),101,100))</ns0:f>
        <ns0:v>T27</ns0:v>
      </ns0:c>
      <ns0:c r="W40" t="str">
        <ns0:f>TRIM(MID(SUBSTITUTE($H40,",",REPT(" ",100)),201,100))</ns0:f>
        <ns0:v>T28</ns0:v>
      </ns0:c>
      <ns0:c r="X40" t="str">
        <ns0:f>TRIM(MID(SUBSTITUTE($H40,",",REPT(" ",100)),301,100))</ns0:f>
      </ns0:c>
      <ns0:c r="Y40" t="str">
        <ns0:f>TRIM(MID(SUBSTITUTE($H40,",",REPT(" ",100)),401,100))</ns0:f>
      </ns0:c>
      <ns0:c r="Z40" t="str">
        <ns0:f>TRIM(MID(SUBSTITUTE($H40,",",REPT(" ",100)),501,100))</ns0:f>
      </ns0:c>
      <ns0:c r="AA40" t="str">
        <ns0:f>TRIM(MID(SUBSTITUTE($H40,",",REPT(" ",100)),601,100))</ns0:f>
      </ns0:c>
      <ns0:c r="AB40" t="str">
        <ns0:f>TRIM(MID(SUBSTITUTE($H40,",",REPT(" ",100)),701,100))</ns0:f>
      </ns0:c>
      <ns0:c r="AC40" t="n">
        <ns0:f>IF(U40="",0,IF(COUNTIFS(Tasks[Task ID],U40)=1,MATCH(U40,Tasks[Task ID],0),-1))</ns0:f>
        <ns0:v>31</ns0:v>
      </ns0:c>
      <ns0:c r="AD40" t="n">
        <ns0:f>IF(V40="",0,IF(COUNTIFS(Tasks[Task ID],V40)=1,MATCH(V40,Tasks[Task ID],0),-1))</ns0:f>
        <ns0:v>32</ns0:v>
      </ns0:c>
      <ns0:c r="AE40" t="n">
        <ns0:f>IF(W40="",0,IF(COUNTIFS(Tasks[Task ID],W40)=1,MATCH(W40,Tasks[Task ID],0),-1))</ns0:f>
        <ns0:v>33</ns0:v>
      </ns0:c>
      <ns0:c r="AF40" t="n">
        <ns0:f>IF(X40="",0,IF(COUNTIFS(Tasks[Task ID],X40)=1,MATCH(X40,Tasks[Task ID],0),-1))</ns0:f>
        <ns0:v>0</ns0:v>
      </ns0:c>
      <ns0:c r="AG40" t="n">
        <ns0:f>IF(Y40="",0,IF(COUNTIFS(Tasks[Task ID],Y40)=1,MATCH(Y40,Tasks[Task ID],0),-1))</ns0:f>
        <ns0:v>0</ns0:v>
      </ns0:c>
      <ns0:c r="AH40" t="n">
        <ns0:f>IF(Z40="",0,IF(COUNTIFS(Tasks[Task ID],Z40)=1,MATCH(Z40,Tasks[Task ID],0),-1))</ns0:f>
        <ns0:v>0</ns0:v>
      </ns0:c>
      <ns0:c r="AI40" t="n">
        <ns0:f>IF(AA40="",0,IF(COUNTIFS(Tasks[Task ID],AA40)=1,MATCH(AA40,Tasks[Task ID],0),-1))</ns0:f>
        <ns0:v>0</ns0:v>
      </ns0:c>
      <ns0:c r="AJ40" t="n">
        <ns0:f>IF(AB40="",0,IF(COUNTIFS(Tasks[Task ID],AB40)=1,MATCH(AB40,Tasks[Task ID],0),-1))</ns0:f>
        <ns0:v>0</ns0:v>
      </ns0:c>
      <ns0:c r="AK40" t="n">
        <ns0:f>COUNTIFS(AC40:AJ40,-1)+IF(T40&gt;8,1,0)</ns0:f>
        <ns0:v>0</ns0:v>
      </ns0:c>
      <ns0:c r="AL40" t="n">
        <ns0:f>IF(OR(A40="",S40&lt;&gt;""),0,SUM(IF(AC40&gt;0,IF($I40="FS",--($E40&lt;INDEX(Tasks[End Date],AC40)+IF(INDEX(Tasks[Milestone],AC40)="Yes",0,1)),IF($I40="SS",--($E40&lt;INDEX(Tasks[Start Date],AC40)),IF($I40="FF",--($F40&lt;INDEX(Tasks[End Date],AC40)),IF($I40="SF",--($F40&lt;INDEX(Tasks[Start Date],AC40)),0)))),0),IF(AD40&gt;0,IF($I40="FS",--($E40&lt;INDEX(Tasks[End Date],AD40)+IF(INDEX(Tasks[Milestone],AD40)="Yes",0,1)),IF($I40="SS",--($E40&lt;INDEX(Tasks[Start Date],AD40)),IF($I40="FF",--($F40&lt;INDEX(Tasks[End Date],AD40)),IF($I40="SF",--($F40&lt;INDEX(Tasks[Start Date],AD40)),0)))),0),IF(AE40&gt;0,IF($I40="FS",--($E40&lt;INDEX(Tasks[End Date],AE40)+IF(INDEX(Tasks[Milestone],AE40)="Yes",0,1)),IF($I40="SS",--($E40&lt;INDEX(Tasks[Start Date],AE40)),IF($I40="FF",--($F40&lt;INDEX(Tasks[End Date],AE40)),IF($I40="SF",--($F40&lt;INDEX(Tasks[Start Date],AE40)),0)))),0),IF(AF40&gt;0,IF($I40="FS",--($E40&lt;INDEX(Tasks[End Date],AF40)+IF(INDEX(Tasks[Milestone],AF40)="Yes",0,1)),IF($I40="SS",--($E40&lt;INDEX(Tasks[Start Date],AF40)),IF($I40="FF",--($F40&lt;INDEX(Tasks[End Date],AF40)),IF($I40="SF",--($F40&lt;INDEX(Tasks[Start Date],AF40)),0)))),0),IF(AG40&gt;0,IF($I40="FS",--($E40&lt;INDEX(Tasks[End Date],AG40)+IF(INDEX(Tasks[Milestone],AG40)="Yes",0,1)),IF($I40="SS",--($E40&lt;INDEX(Tasks[Start Date],AG40)),IF($I40="FF",--($F40&lt;INDEX(Tasks[End Date],AG40)),IF($I40="SF",--($F40&lt;INDEX(Tasks[Start Date],AG40)),0)))),0),IF(AH40&gt;0,IF($I40="FS",--($E40&lt;INDEX(Tasks[End Date],AH40)+IF(INDEX(Tasks[Milestone],AH40)="Yes",0,1)),IF($I40="SS",--($E40&lt;INDEX(Tasks[Start Date],AH40)),IF($I40="FF",--($F40&lt;INDEX(Tasks[End Date],AH40)),IF($I40="SF",--($F40&lt;INDEX(Tasks[Start Date],AH40)),0)))),0),IF(AI40&gt;0,IF($I40="FS",--($E40&lt;INDEX(Tasks[End Date],AI40)+IF(INDEX(Tasks[Milestone],AI40)="Yes",0,1)),IF($I40="SS",--($E40&lt;INDEX(Tasks[Start Date],AI40)),IF($I40="FF",--($F40&lt;INDEX(Tasks[End Date],AI40)),IF($I40="SF",--($F40&lt;INDEX(Tasks[Start Date],AI40)),0)))),0),IF(AJ40&gt;0,IF($I40="FS",--($E40&lt;INDEX(Tasks[End Date],AJ40)+IF(INDEX(Tasks[Milestone],AJ40)="Yes",0,1)),IF($I40="SS",--($E40&lt;INDEX(Tasks[Start Date],AJ40)),IF($I40="FF",--($F40&lt;INDEX(Tasks[End Date],AJ40)),IF($I40="SF",--($F40&lt;INDEX(Tasks[Start Date],AJ40)),0)))),0)))</ns0:f>
        <ns0:v>0</ns0:v>
      </ns0:c>
      <ns0:c r="AM40" t="n">
        <ns0:f>IF(AND(A40&lt;&gt;"",AK40=0,EP40=0),1,0)</ns0:f>
        <ns0:v>0</ns0:v>
      </ns0:c>
      <ns0:c r="AN40" t="str">
        <ns0:f>IF(OR(A40="",B40=""),"",IF(COUNTIFS($B$7:B40,B40)=1,MAX($AN$6:AN39)+1,""))</ns0:f>
      </ns0:c>
      <ns0:c r="AO40" t="n">
        <ns0:f>IF(AND(A40&lt;&gt;"",J40="No",N40&lt;1,E40&gt;=AsOfDate),E40+ROW()/10000,1E+9)</ns0:f>
        <ns0:v>46301.004</ns0:v>
      </ns0:c>
      <ns0:c r="AP40" t="n">
        <ns0:f>IF(AND(A40&lt;&gt;"",J40="Yes",N40&lt;1,E40&gt;=AsOfDate),E40+ROW()/10000,1E+9)</ns0:f>
        <ns0:v>1000000000</ns0:v>
      </ns0:c>
      <ns0:c r="AQ40" t="n">
        <ns0:f>IF(AND(A40&lt;&gt;"",J40="No",N40&lt;1,F40&gt;=AsOfDate,F40&lt;=AsOfDate+7),F40+ROW()/10000,1E+9)</ns0:f>
        <ns0:v>1000000000</ns0:v>
      </ns0:c>
      <ns0:c r="AR40" t="n">
        <ns0:f>IF(AND(A40&lt;&gt;"",OR(O40&lt;&gt;"On track",Q40="Delayed")),ROW(),1E+9)</ns0:f>
        <ns0:v>1000000000</ns0:v>
      </ns0:c>
      <ns0:c r="AS40" t="str">
        <ns0:f>IF(A40="","",";"&amp;K40&amp;";")</ns0:f>
        <ns0:v>;Omnichannel Telemetry Engine;</ns0:v>
      </ns0:c>
      <ns0:c r="AT40" t="n">
        <ns0:f>IF(A40="",1,--(T40=0))</ns0:f>
        <ns0:v>0</ns0:v>
      </ns0:c>
      <ns0:c r="AU40" t="n">
        <ns0:f>IF($A40="",1,IF(AT40=1,1,--AND(IF($AC40&gt;0,INDEX(AT$7:AT$106,$AC40),1),IF($AD40&gt;0,INDEX(AT$7:AT$106,$AD40),1),IF($AE40&gt;0,INDEX(AT$7:AT$106,$AE40),1),IF($AF40&gt;0,INDEX(AT$7:AT$106,$AF40),1),IF($AG40&gt;0,INDEX(AT$7:AT$106,$AG40),1),IF($AH40&gt;0,INDEX(AT$7:AT$106,$AH40),1),IF($AI40&gt;0,INDEX(AT$7:AT$106,$AI40),1),IF($AJ40&gt;0,INDEX(AT$7:AT$106,$AJ40),1))))</ns0:f>
        <ns0:v>0</ns0:v>
      </ns0:c>
      <ns0:c r="AV40" t="n">
        <ns0:f>IF($A40="",1,IF(AU40=1,1,--AND(IF($AC40&gt;0,INDEX(AU$7:AU$106,$AC40),1),IF($AD40&gt;0,INDEX(AU$7:AU$106,$AD40),1),IF($AE40&gt;0,INDEX(AU$7:AU$106,$AE40),1),IF($AF40&gt;0,INDEX(AU$7:AU$106,$AF40),1),IF($AG40&gt;0,INDEX(AU$7:AU$106,$AG40),1),IF($AH40&gt;0,INDEX(AU$7:AU$106,$AH40),1),IF($AI40&gt;0,INDEX(AU$7:AU$106,$AI40),1),IF($AJ40&gt;0,INDEX(AU$7:AU$106,$AJ40),1))))</ns0:f>
        <ns0:v>0</ns0:v>
      </ns0:c>
      <ns0:c r="AW40" t="n">
        <ns0:f>IF($A40="",1,IF(AV40=1,1,--AND(IF($AC40&gt;0,INDEX(AV$7:AV$106,$AC40),1),IF($AD40&gt;0,INDEX(AV$7:AV$106,$AD40),1),IF($AE40&gt;0,INDEX(AV$7:AV$106,$AE40),1),IF($AF40&gt;0,INDEX(AV$7:AV$106,$AF40),1),IF($AG40&gt;0,INDEX(AV$7:AV$106,$AG40),1),IF($AH40&gt;0,INDEX(AV$7:AV$106,$AH40),1),IF($AI40&gt;0,INDEX(AV$7:AV$106,$AI40),1),IF($AJ40&gt;0,INDEX(AV$7:AV$106,$AJ40),1))))</ns0:f>
        <ns0:v>0</ns0:v>
      </ns0:c>
      <ns0:c r="AX40" t="n">
        <ns0:f>IF($A40="",1,IF(AW40=1,1,--AND(IF($AC40&gt;0,INDEX(AW$7:AW$106,$AC40),1),IF($AD40&gt;0,INDEX(AW$7:AW$106,$AD40),1),IF($AE40&gt;0,INDEX(AW$7:AW$106,$AE40),1),IF($AF40&gt;0,INDEX(AW$7:AW$106,$AF40),1),IF($AG40&gt;0,INDEX(AW$7:AW$106,$AG40),1),IF($AH40&gt;0,INDEX(AW$7:AW$106,$AH40),1),IF($AI40&gt;0,INDEX(AW$7:AW$106,$AI40),1),IF($AJ40&gt;0,INDEX(AW$7:AW$106,$AJ40),1))))</ns0:f>
        <ns0:v>0</ns0:v>
      </ns0:c>
      <ns0:c r="AY40" t="n">
        <ns0:f>IF($A40="",1,IF(AX40=1,1,--AND(IF($AC40&gt;0,INDEX(AX$7:AX$106,$AC40),1),IF($AD40&gt;0,INDEX(AX$7:AX$106,$AD40),1),IF($AE40&gt;0,INDEX(AX$7:AX$106,$AE40),1),IF($AF40&gt;0,INDEX(AX$7:AX$106,$AF40),1),IF($AG40&gt;0,INDEX(AX$7:AX$106,$AG40),1),IF($AH40&gt;0,INDEX(AX$7:AX$106,$AH40),1),IF($AI40&gt;0,INDEX(AX$7:AX$106,$AI40),1),IF($AJ40&gt;0,INDEX(AX$7:AX$106,$AJ40),1))))</ns0:f>
        <ns0:v>0</ns0:v>
      </ns0:c>
      <ns0:c r="AZ40" t="n">
        <ns0:f>IF($A40="",1,IF(AY40=1,1,--AND(IF($AC40&gt;0,INDEX(AY$7:AY$106,$AC40),1),IF($AD40&gt;0,INDEX(AY$7:AY$106,$AD40),1),IF($AE40&gt;0,INDEX(AY$7:AY$106,$AE40),1),IF($AF40&gt;0,INDEX(AY$7:AY$106,$AF40),1),IF($AG40&gt;0,INDEX(AY$7:AY$106,$AG40),1),IF($AH40&gt;0,INDEX(AY$7:AY$106,$AH40),1),IF($AI40&gt;0,INDEX(AY$7:AY$106,$AI40),1),IF($AJ40&gt;0,INDEX(AY$7:AY$106,$AJ40),1))))</ns0:f>
        <ns0:v>0</ns0:v>
      </ns0:c>
      <ns0:c r="BA40" t="n">
        <ns0:f>IF($A40="",1,IF(AZ40=1,1,--AND(IF($AC40&gt;0,INDEX(AZ$7:AZ$106,$AC40),1),IF($AD40&gt;0,INDEX(AZ$7:AZ$106,$AD40),1),IF($AE40&gt;0,INDEX(AZ$7:AZ$106,$AE40),1),IF($AF40&gt;0,INDEX(AZ$7:AZ$106,$AF40),1),IF($AG40&gt;0,INDEX(AZ$7:AZ$106,$AG40),1),IF($AH40&gt;0,INDEX(AZ$7:AZ$106,$AH40),1),IF($AI40&gt;0,INDEX(AZ$7:AZ$106,$AI40),1),IF($AJ40&gt;0,INDEX(AZ$7:AZ$106,$AJ40),1))))</ns0:f>
        <ns0:v>0</ns0:v>
      </ns0:c>
      <ns0:c r="BB40" t="n">
        <ns0:f>IF($A40="",1,IF(BA40=1,1,--AND(IF($AC40&gt;0,INDEX(BA$7:BA$106,$AC40),1),IF($AD40&gt;0,INDEX(BA$7:BA$106,$AD40),1),IF($AE40&gt;0,INDEX(BA$7:BA$106,$AE40),1),IF($AF40&gt;0,INDEX(BA$7:BA$106,$AF40),1),IF($AG40&gt;0,INDEX(BA$7:BA$106,$AG40),1),IF($AH40&gt;0,INDEX(BA$7:BA$106,$AH40),1),IF($AI40&gt;0,INDEX(BA$7:BA$106,$AI40),1),IF($AJ40&gt;0,INDEX(BA$7:BA$106,$AJ40),1))))</ns0:f>
        <ns0:v>0</ns0:v>
      </ns0:c>
      <ns0:c r="BC40" t="n">
        <ns0:f>IF($A40="",1,IF(BB40=1,1,--AND(IF($AC40&gt;0,INDEX(BB$7:BB$106,$AC40),1),IF($AD40&gt;0,INDEX(BB$7:BB$106,$AD40),1),IF($AE40&gt;0,INDEX(BB$7:BB$106,$AE40),1),IF($AF40&gt;0,INDEX(BB$7:BB$106,$AF40),1),IF($AG40&gt;0,INDEX(BB$7:BB$106,$AG40),1),IF($AH40&gt;0,INDEX(BB$7:BB$106,$AH40),1),IF($AI40&gt;0,INDEX(BB$7:BB$106,$AI40),1),IF($AJ40&gt;0,INDEX(BB$7:BB$106,$AJ40),1))))</ns0:f>
        <ns0:v>0</ns0:v>
      </ns0:c>
      <ns0:c r="BD40" t="n">
        <ns0:f>IF($A40="",1,IF(BC40=1,1,--AND(IF($AC40&gt;0,INDEX(BC$7:BC$106,$AC40),1),IF($AD40&gt;0,INDEX(BC$7:BC$106,$AD40),1),IF($AE40&gt;0,INDEX(BC$7:BC$106,$AE40),1),IF($AF40&gt;0,INDEX(BC$7:BC$106,$AF40),1),IF($AG40&gt;0,INDEX(BC$7:BC$106,$AG40),1),IF($AH40&gt;0,INDEX(BC$7:BC$106,$AH40),1),IF($AI40&gt;0,INDEX(BC$7:BC$106,$AI40),1),IF($AJ40&gt;0,INDEX(BC$7:BC$106,$AJ40),1))))</ns0:f>
        <ns0:v>0</ns0:v>
      </ns0:c>
      <ns0:c r="BE40" t="n">
        <ns0:f>IF($A40="",1,IF(BD40=1,1,--AND(IF($AC40&gt;0,INDEX(BD$7:BD$106,$AC40),1),IF($AD40&gt;0,INDEX(BD$7:BD$106,$AD40),1),IF($AE40&gt;0,INDEX(BD$7:BD$106,$AE40),1),IF($AF40&gt;0,INDEX(BD$7:BD$106,$AF40),1),IF($AG40&gt;0,INDEX(BD$7:BD$106,$AG40),1),IF($AH40&gt;0,INDEX(BD$7:BD$106,$AH40),1),IF($AI40&gt;0,INDEX(BD$7:BD$106,$AI40),1),IF($AJ40&gt;0,INDEX(BD$7:BD$106,$AJ40),1))))</ns0:f>
        <ns0:v>0</ns0:v>
      </ns0:c>
      <ns0:c r="BF40" t="n">
        <ns0:f>IF($A40="",1,IF(BE40=1,1,--AND(IF($AC40&gt;0,INDEX(BE$7:BE$106,$AC40),1),IF($AD40&gt;0,INDEX(BE$7:BE$106,$AD40),1),IF($AE40&gt;0,INDEX(BE$7:BE$106,$AE40),1),IF($AF40&gt;0,INDEX(BE$7:BE$106,$AF40),1),IF($AG40&gt;0,INDEX(BE$7:BE$106,$AG40),1),IF($AH40&gt;0,INDEX(BE$7:BE$106,$AH40),1),IF($AI40&gt;0,INDEX(BE$7:BE$106,$AI40),1),IF($AJ40&gt;0,INDEX(BE$7:BE$106,$AJ40),1))))</ns0:f>
        <ns0:v>0</ns0:v>
      </ns0:c>
      <ns0:c r="BG40" t="n">
        <ns0:f>IF($A40="",1,IF(BF40=1,1,--AND(IF($AC40&gt;0,INDEX(BF$7:BF$106,$AC40),1),IF($AD40&gt;0,INDEX(BF$7:BF$106,$AD40),1),IF($AE40&gt;0,INDEX(BF$7:BF$106,$AE40),1),IF($AF40&gt;0,INDEX(BF$7:BF$106,$AF40),1),IF($AG40&gt;0,INDEX(BF$7:BF$106,$AG40),1),IF($AH40&gt;0,INDEX(BF$7:BF$106,$AH40),1),IF($AI40&gt;0,INDEX(BF$7:BF$106,$AI40),1),IF($AJ40&gt;0,INDEX(BF$7:BF$106,$AJ40),1))))</ns0:f>
        <ns0:v>0</ns0:v>
      </ns0:c>
      <ns0:c r="BH40" t="n">
        <ns0:f>IF($A40="",1,IF(BG40=1,1,--AND(IF($AC40&gt;0,INDEX(BG$7:BG$106,$AC40),1),IF($AD40&gt;0,INDEX(BG$7:BG$106,$AD40),1),IF($AE40&gt;0,INDEX(BG$7:BG$106,$AE40),1),IF($AF40&gt;0,INDEX(BG$7:BG$106,$AF40),1),IF($AG40&gt;0,INDEX(BG$7:BG$106,$AG40),1),IF($AH40&gt;0,INDEX(BG$7:BG$106,$AH40),1),IF($AI40&gt;0,INDEX(BG$7:BG$106,$AI40),1),IF($AJ40&gt;0,INDEX(BG$7:BG$106,$AJ40),1))))</ns0:f>
        <ns0:v>1</ns0:v>
      </ns0:c>
      <ns0:c r="BI40" t="n">
        <ns0:f>IF($A40="",1,IF(BH40=1,1,--AND(IF($AC40&gt;0,INDEX(BH$7:BH$106,$AC40),1),IF($AD40&gt;0,INDEX(BH$7:BH$106,$AD40),1),IF($AE40&gt;0,INDEX(BH$7:BH$106,$AE40),1),IF($AF40&gt;0,INDEX(BH$7:BH$106,$AF40),1),IF($AG40&gt;0,INDEX(BH$7:BH$106,$AG40),1),IF($AH40&gt;0,INDEX(BH$7:BH$106,$AH40),1),IF($AI40&gt;0,INDEX(BH$7:BH$106,$AI40),1),IF($AJ40&gt;0,INDEX(BH$7:BH$106,$AJ40),1))))</ns0:f>
        <ns0:v>1</ns0:v>
      </ns0:c>
      <ns0:c r="BJ40" t="n">
        <ns0:f>IF($A40="",1,IF(BI40=1,1,--AND(IF($AC40&gt;0,INDEX(BI$7:BI$106,$AC40),1),IF($AD40&gt;0,INDEX(BI$7:BI$106,$AD40),1),IF($AE40&gt;0,INDEX(BI$7:BI$106,$AE40),1),IF($AF40&gt;0,INDEX(BI$7:BI$106,$AF40),1),IF($AG40&gt;0,INDEX(BI$7:BI$106,$AG40),1),IF($AH40&gt;0,INDEX(BI$7:BI$106,$AH40),1),IF($AI40&gt;0,INDEX(BI$7:BI$106,$AI40),1),IF($AJ40&gt;0,INDEX(BI$7:BI$106,$AJ40),1))))</ns0:f>
        <ns0:v>1</ns0:v>
      </ns0:c>
      <ns0:c r="BK40" t="n">
        <ns0:f>IF($A40="",1,IF(BJ40=1,1,--AND(IF($AC40&gt;0,INDEX(BJ$7:BJ$106,$AC40),1),IF($AD40&gt;0,INDEX(BJ$7:BJ$106,$AD40),1),IF($AE40&gt;0,INDEX(BJ$7:BJ$106,$AE40),1),IF($AF40&gt;0,INDEX(BJ$7:BJ$106,$AF40),1),IF($AG40&gt;0,INDEX(BJ$7:BJ$106,$AG40),1),IF($AH40&gt;0,INDEX(BJ$7:BJ$106,$AH40),1),IF($AI40&gt;0,INDEX(BJ$7:BJ$106,$AI40),1),IF($AJ40&gt;0,INDEX(BJ$7:BJ$106,$AJ40),1))))</ns0:f>
        <ns0:v>1</ns0:v>
      </ns0:c>
      <ns0:c r="BL40" t="n">
        <ns0:f>IF($A40="",1,IF(BK40=1,1,--AND(IF($AC40&gt;0,INDEX(BK$7:BK$106,$AC40),1),IF($AD40&gt;0,INDEX(BK$7:BK$106,$AD40),1),IF($AE40&gt;0,INDEX(BK$7:BK$106,$AE40),1),IF($AF40&gt;0,INDEX(BK$7:BK$106,$AF40),1),IF($AG40&gt;0,INDEX(BK$7:BK$106,$AG40),1),IF($AH40&gt;0,INDEX(BK$7:BK$106,$AH40),1),IF($AI40&gt;0,INDEX(BK$7:BK$106,$AI40),1),IF($AJ40&gt;0,INDEX(BK$7:BK$106,$AJ40),1))))</ns0:f>
        <ns0:v>1</ns0:v>
      </ns0:c>
      <ns0:c r="BM40" t="n">
        <ns0:f>IF($A40="",1,IF(BL40=1,1,--AND(IF($AC40&gt;0,INDEX(BL$7:BL$106,$AC40),1),IF($AD40&gt;0,INDEX(BL$7:BL$106,$AD40),1),IF($AE40&gt;0,INDEX(BL$7:BL$106,$AE40),1),IF($AF40&gt;0,INDEX(BL$7:BL$106,$AF40),1),IF($AG40&gt;0,INDEX(BL$7:BL$106,$AG40),1),IF($AH40&gt;0,INDEX(BL$7:BL$106,$AH40),1),IF($AI40&gt;0,INDEX(BL$7:BL$106,$AI40),1),IF($AJ40&gt;0,INDEX(BL$7:BL$106,$AJ40),1))))</ns0:f>
        <ns0:v>1</ns0:v>
      </ns0:c>
      <ns0:c r="BN40" t="n">
        <ns0:f>IF($A40="",1,IF(BM40=1,1,--AND(IF($AC40&gt;0,INDEX(BM$7:BM$106,$AC40),1),IF($AD40&gt;0,INDEX(BM$7:BM$106,$AD40),1),IF($AE40&gt;0,INDEX(BM$7:BM$106,$AE40),1),IF($AF40&gt;0,INDEX(BM$7:BM$106,$AF40),1),IF($AG40&gt;0,INDEX(BM$7:BM$106,$AG40),1),IF($AH40&gt;0,INDEX(BM$7:BM$106,$AH40),1),IF($AI40&gt;0,INDEX(BM$7:BM$106,$AI40),1),IF($AJ40&gt;0,INDEX(BM$7:BM$106,$AJ40),1))))</ns0:f>
        <ns0:v>1</ns0:v>
      </ns0:c>
      <ns0:c r="BO40" t="n">
        <ns0:f>IF($A40="",1,IF(BN40=1,1,--AND(IF($AC40&gt;0,INDEX(BN$7:BN$106,$AC40),1),IF($AD40&gt;0,INDEX(BN$7:BN$106,$AD40),1),IF($AE40&gt;0,INDEX(BN$7:BN$106,$AE40),1),IF($AF40&gt;0,INDEX(BN$7:BN$106,$AF40),1),IF($AG40&gt;0,INDEX(BN$7:BN$106,$AG40),1),IF($AH40&gt;0,INDEX(BN$7:BN$106,$AH40),1),IF($AI40&gt;0,INDEX(BN$7:BN$106,$AI40),1),IF($AJ40&gt;0,INDEX(BN$7:BN$106,$AJ40),1))))</ns0:f>
        <ns0:v>1</ns0:v>
      </ns0:c>
      <ns0:c r="BP40" t="n">
        <ns0:f>IF($A40="",1,IF(BO40=1,1,--AND(IF($AC40&gt;0,INDEX(BO$7:BO$106,$AC40),1),IF($AD40&gt;0,INDEX(BO$7:BO$106,$AD40),1),IF($AE40&gt;0,INDEX(BO$7:BO$106,$AE40),1),IF($AF40&gt;0,INDEX(BO$7:BO$106,$AF40),1),IF($AG40&gt;0,INDEX(BO$7:BO$106,$AG40),1),IF($AH40&gt;0,INDEX(BO$7:BO$106,$AH40),1),IF($AI40&gt;0,INDEX(BO$7:BO$106,$AI40),1),IF($AJ40&gt;0,INDEX(BO$7:BO$106,$AJ40),1))))</ns0:f>
        <ns0:v>1</ns0:v>
      </ns0:c>
      <ns0:c r="BQ40" t="n">
        <ns0:f>IF($A40="",1,IF(BP40=1,1,--AND(IF($AC40&gt;0,INDEX(BP$7:BP$106,$AC40),1),IF($AD40&gt;0,INDEX(BP$7:BP$106,$AD40),1),IF($AE40&gt;0,INDEX(BP$7:BP$106,$AE40),1),IF($AF40&gt;0,INDEX(BP$7:BP$106,$AF40),1),IF($AG40&gt;0,INDEX(BP$7:BP$106,$AG40),1),IF($AH40&gt;0,INDEX(BP$7:BP$106,$AH40),1),IF($AI40&gt;0,INDEX(BP$7:BP$106,$AI40),1),IF($AJ40&gt;0,INDEX(BP$7:BP$106,$AJ40),1))))</ns0:f>
        <ns0:v>1</ns0:v>
      </ns0:c>
      <ns0:c r="BR40" t="n">
        <ns0:f>IF($A40="",1,IF(BQ40=1,1,--AND(IF($AC40&gt;0,INDEX(BQ$7:BQ$106,$AC40),1),IF($AD40&gt;0,INDEX(BQ$7:BQ$106,$AD40),1),IF($AE40&gt;0,INDEX(BQ$7:BQ$106,$AE40),1),IF($AF40&gt;0,INDEX(BQ$7:BQ$106,$AF40),1),IF($AG40&gt;0,INDEX(BQ$7:BQ$106,$AG40),1),IF($AH40&gt;0,INDEX(BQ$7:BQ$106,$AH40),1),IF($AI40&gt;0,INDEX(BQ$7:BQ$106,$AI40),1),IF($AJ40&gt;0,INDEX(BQ$7:BQ$106,$AJ40),1))))</ns0:f>
        <ns0:v>1</ns0:v>
      </ns0:c>
      <ns0:c r="BS40" t="n">
        <ns0:f>IF($A40="",1,IF(BR40=1,1,--AND(IF($AC40&gt;0,INDEX(BR$7:BR$106,$AC40),1),IF($AD40&gt;0,INDEX(BR$7:BR$106,$AD40),1),IF($AE40&gt;0,INDEX(BR$7:BR$106,$AE40),1),IF($AF40&gt;0,INDEX(BR$7:BR$106,$AF40),1),IF($AG40&gt;0,INDEX(BR$7:BR$106,$AG40),1),IF($AH40&gt;0,INDEX(BR$7:BR$106,$AH40),1),IF($AI40&gt;0,INDEX(BR$7:BR$106,$AI40),1),IF($AJ40&gt;0,INDEX(BR$7:BR$106,$AJ40),1))))</ns0:f>
        <ns0:v>1</ns0:v>
      </ns0:c>
      <ns0:c r="BT40" t="n">
        <ns0:f>IF($A40="",1,IF(BS40=1,1,--AND(IF($AC40&gt;0,INDEX(BS$7:BS$106,$AC40),1),IF($AD40&gt;0,INDEX(BS$7:BS$106,$AD40),1),IF($AE40&gt;0,INDEX(BS$7:BS$106,$AE40),1),IF($AF40&gt;0,INDEX(BS$7:BS$106,$AF40),1),IF($AG40&gt;0,INDEX(BS$7:BS$106,$AG40),1),IF($AH40&gt;0,INDEX(BS$7:BS$106,$AH40),1),IF($AI40&gt;0,INDEX(BS$7:BS$106,$AI40),1),IF($AJ40&gt;0,INDEX(BS$7:BS$106,$AJ40),1))))</ns0:f>
        <ns0:v>1</ns0:v>
      </ns0:c>
      <ns0:c r="BU40" t="n">
        <ns0:f>IF($A40="",1,IF(BT40=1,1,--AND(IF($AC40&gt;0,INDEX(BT$7:BT$106,$AC40),1),IF($AD40&gt;0,INDEX(BT$7:BT$106,$AD40),1),IF($AE40&gt;0,INDEX(BT$7:BT$106,$AE40),1),IF($AF40&gt;0,INDEX(BT$7:BT$106,$AF40),1),IF($AG40&gt;0,INDEX(BT$7:BT$106,$AG40),1),IF($AH40&gt;0,INDEX(BT$7:BT$106,$AH40),1),IF($AI40&gt;0,INDEX(BT$7:BT$106,$AI40),1),IF($AJ40&gt;0,INDEX(BT$7:BT$106,$AJ40),1))))</ns0:f>
        <ns0:v>1</ns0:v>
      </ns0:c>
      <ns0:c r="BV40" t="n">
        <ns0:f>IF($A40="",1,IF(BU40=1,1,--AND(IF($AC40&gt;0,INDEX(BU$7:BU$106,$AC40),1),IF($AD40&gt;0,INDEX(BU$7:BU$106,$AD40),1),IF($AE40&gt;0,INDEX(BU$7:BU$106,$AE40),1),IF($AF40&gt;0,INDEX(BU$7:BU$106,$AF40),1),IF($AG40&gt;0,INDEX(BU$7:BU$106,$AG40),1),IF($AH40&gt;0,INDEX(BU$7:BU$106,$AH40),1),IF($AI40&gt;0,INDEX(BU$7:BU$106,$AI40),1),IF($AJ40&gt;0,INDEX(BU$7:BU$106,$AJ40),1))))</ns0:f>
        <ns0:v>1</ns0:v>
      </ns0:c>
      <ns0:c r="BW40" t="n">
        <ns0:f>IF($A40="",1,IF(BV40=1,1,--AND(IF($AC40&gt;0,INDEX(BV$7:BV$106,$AC40),1),IF($AD40&gt;0,INDEX(BV$7:BV$106,$AD40),1),IF($AE40&gt;0,INDEX(BV$7:BV$106,$AE40),1),IF($AF40&gt;0,INDEX(BV$7:BV$106,$AF40),1),IF($AG40&gt;0,INDEX(BV$7:BV$106,$AG40),1),IF($AH40&gt;0,INDEX(BV$7:BV$106,$AH40),1),IF($AI40&gt;0,INDEX(BV$7:BV$106,$AI40),1),IF($AJ40&gt;0,INDEX(BV$7:BV$106,$AJ40),1))))</ns0:f>
        <ns0:v>1</ns0:v>
      </ns0:c>
      <ns0:c r="BX40" t="n">
        <ns0:f>IF($A40="",1,IF(BW40=1,1,--AND(IF($AC40&gt;0,INDEX(BW$7:BW$106,$AC40),1),IF($AD40&gt;0,INDEX(BW$7:BW$106,$AD40),1),IF($AE40&gt;0,INDEX(BW$7:BW$106,$AE40),1),IF($AF40&gt;0,INDEX(BW$7:BW$106,$AF40),1),IF($AG40&gt;0,INDEX(BW$7:BW$106,$AG40),1),IF($AH40&gt;0,INDEX(BW$7:BW$106,$AH40),1),IF($AI40&gt;0,INDEX(BW$7:BW$106,$AI40),1),IF($AJ40&gt;0,INDEX(BW$7:BW$106,$AJ40),1))))</ns0:f>
        <ns0:v>1</ns0:v>
      </ns0:c>
      <ns0:c r="BY40" t="n">
        <ns0:f>IF($A40="",1,IF(BX40=1,1,--AND(IF($AC40&gt;0,INDEX(BX$7:BX$106,$AC40),1),IF($AD40&gt;0,INDEX(BX$7:BX$106,$AD40),1),IF($AE40&gt;0,INDEX(BX$7:BX$106,$AE40),1),IF($AF40&gt;0,INDEX(BX$7:BX$106,$AF40),1),IF($AG40&gt;0,INDEX(BX$7:BX$106,$AG40),1),IF($AH40&gt;0,INDEX(BX$7:BX$106,$AH40),1),IF($AI40&gt;0,INDEX(BX$7:BX$106,$AI40),1),IF($AJ40&gt;0,INDEX(BX$7:BX$106,$AJ40),1))))</ns0:f>
        <ns0:v>1</ns0:v>
      </ns0:c>
      <ns0:c r="BZ40" t="n">
        <ns0:f>IF($A40="",1,IF(BY40=1,1,--AND(IF($AC40&gt;0,INDEX(BY$7:BY$106,$AC40),1),IF($AD40&gt;0,INDEX(BY$7:BY$106,$AD40),1),IF($AE40&gt;0,INDEX(BY$7:BY$106,$AE40),1),IF($AF40&gt;0,INDEX(BY$7:BY$106,$AF40),1),IF($AG40&gt;0,INDEX(BY$7:BY$106,$AG40),1),IF($AH40&gt;0,INDEX(BY$7:BY$106,$AH40),1),IF($AI40&gt;0,INDEX(BY$7:BY$106,$AI40),1),IF($AJ40&gt;0,INDEX(BY$7:BY$106,$AJ40),1))))</ns0:f>
        <ns0:v>1</ns0:v>
      </ns0:c>
      <ns0:c r="CA40" t="n">
        <ns0:f>IF($A40="",1,IF(BZ40=1,1,--AND(IF($AC40&gt;0,INDEX(BZ$7:BZ$106,$AC40),1),IF($AD40&gt;0,INDEX(BZ$7:BZ$106,$AD40),1),IF($AE40&gt;0,INDEX(BZ$7:BZ$106,$AE40),1),IF($AF40&gt;0,INDEX(BZ$7:BZ$106,$AF40),1),IF($AG40&gt;0,INDEX(BZ$7:BZ$106,$AG40),1),IF($AH40&gt;0,INDEX(BZ$7:BZ$106,$AH40),1),IF($AI40&gt;0,INDEX(BZ$7:BZ$106,$AI40),1),IF($AJ40&gt;0,INDEX(BZ$7:BZ$106,$AJ40),1))))</ns0:f>
        <ns0:v>1</ns0:v>
      </ns0:c>
      <ns0:c r="CB40" t="n">
        <ns0:f>IF($A40="",1,IF(CA40=1,1,--AND(IF($AC40&gt;0,INDEX(CA$7:CA$106,$AC40),1),IF($AD40&gt;0,INDEX(CA$7:CA$106,$AD40),1),IF($AE40&gt;0,INDEX(CA$7:CA$106,$AE40),1),IF($AF40&gt;0,INDEX(CA$7:CA$106,$AF40),1),IF($AG40&gt;0,INDEX(CA$7:CA$106,$AG40),1),IF($AH40&gt;0,INDEX(CA$7:CA$106,$AH40),1),IF($AI40&gt;0,INDEX(CA$7:CA$106,$AI40),1),IF($AJ40&gt;0,INDEX(CA$7:CA$106,$AJ40),1))))</ns0:f>
        <ns0:v>1</ns0:v>
      </ns0:c>
      <ns0:c r="CC40" t="n">
        <ns0:f>IF($A40="",1,IF(CB40=1,1,--AND(IF($AC40&gt;0,INDEX(CB$7:CB$106,$AC40),1),IF($AD40&gt;0,INDEX(CB$7:CB$106,$AD40),1),IF($AE40&gt;0,INDEX(CB$7:CB$106,$AE40),1),IF($AF40&gt;0,INDEX(CB$7:CB$106,$AF40),1),IF($AG40&gt;0,INDEX(CB$7:CB$106,$AG40),1),IF($AH40&gt;0,INDEX(CB$7:CB$106,$AH40),1),IF($AI40&gt;0,INDEX(CB$7:CB$106,$AI40),1),IF($AJ40&gt;0,INDEX(CB$7:CB$106,$AJ40),1))))</ns0:f>
        <ns0:v>1</ns0:v>
      </ns0:c>
      <ns0:c r="CD40" t="n">
        <ns0:f>IF($A40="",1,IF(CC40=1,1,--AND(IF($AC40&gt;0,INDEX(CC$7:CC$106,$AC40),1),IF($AD40&gt;0,INDEX(CC$7:CC$106,$AD40),1),IF($AE40&gt;0,INDEX(CC$7:CC$106,$AE40),1),IF($AF40&gt;0,INDEX(CC$7:CC$106,$AF40),1),IF($AG40&gt;0,INDEX(CC$7:CC$106,$AG40),1),IF($AH40&gt;0,INDEX(CC$7:CC$106,$AH40),1),IF($AI40&gt;0,INDEX(CC$7:CC$106,$AI40),1),IF($AJ40&gt;0,INDEX(CC$7:CC$106,$AJ40),1))))</ns0:f>
        <ns0:v>1</ns0:v>
      </ns0:c>
      <ns0:c r="CE40" t="n">
        <ns0:f>IF($A40="",1,IF(CD40=1,1,--AND(IF($AC40&gt;0,INDEX(CD$7:CD$106,$AC40),1),IF($AD40&gt;0,INDEX(CD$7:CD$106,$AD40),1),IF($AE40&gt;0,INDEX(CD$7:CD$106,$AE40),1),IF($AF40&gt;0,INDEX(CD$7:CD$106,$AF40),1),IF($AG40&gt;0,INDEX(CD$7:CD$106,$AG40),1),IF($AH40&gt;0,INDEX(CD$7:CD$106,$AH40),1),IF($AI40&gt;0,INDEX(CD$7:CD$106,$AI40),1),IF($AJ40&gt;0,INDEX(CD$7:CD$106,$AJ40),1))))</ns0:f>
        <ns0:v>1</ns0:v>
      </ns0:c>
      <ns0:c r="CF40" t="n">
        <ns0:f>IF($A40="",1,IF(CE40=1,1,--AND(IF($AC40&gt;0,INDEX(CE$7:CE$106,$AC40),1),IF($AD40&gt;0,INDEX(CE$7:CE$106,$AD40),1),IF($AE40&gt;0,INDEX(CE$7:CE$106,$AE40),1),IF($AF40&gt;0,INDEX(CE$7:CE$106,$AF40),1),IF($AG40&gt;0,INDEX(CE$7:CE$106,$AG40),1),IF($AH40&gt;0,INDEX(CE$7:CE$106,$AH40),1),IF($AI40&gt;0,INDEX(CE$7:CE$106,$AI40),1),IF($AJ40&gt;0,INDEX(CE$7:CE$106,$AJ40),1))))</ns0:f>
        <ns0:v>1</ns0:v>
      </ns0:c>
      <ns0:c r="CG40" t="n">
        <ns0:f>IF($A40="",1,IF(CF40=1,1,--AND(IF($AC40&gt;0,INDEX(CF$7:CF$106,$AC40),1),IF($AD40&gt;0,INDEX(CF$7:CF$106,$AD40),1),IF($AE40&gt;0,INDEX(CF$7:CF$106,$AE40),1),IF($AF40&gt;0,INDEX(CF$7:CF$106,$AF40),1),IF($AG40&gt;0,INDEX(CF$7:CF$106,$AG40),1),IF($AH40&gt;0,INDEX(CF$7:CF$106,$AH40),1),IF($AI40&gt;0,INDEX(CF$7:CF$106,$AI40),1),IF($AJ40&gt;0,INDEX(CF$7:CF$106,$AJ40),1))))</ns0:f>
        <ns0:v>1</ns0:v>
      </ns0:c>
      <ns0:c r="CH40" t="n">
        <ns0:f>IF($A40="",1,IF(CG40=1,1,--AND(IF($AC40&gt;0,INDEX(CG$7:CG$106,$AC40),1),IF($AD40&gt;0,INDEX(CG$7:CG$106,$AD40),1),IF($AE40&gt;0,INDEX(CG$7:CG$106,$AE40),1),IF($AF40&gt;0,INDEX(CG$7:CG$106,$AF40),1),IF($AG40&gt;0,INDEX(CG$7:CG$106,$AG40),1),IF($AH40&gt;0,INDEX(CG$7:CG$106,$AH40),1),IF($AI40&gt;0,INDEX(CG$7:CG$106,$AI40),1),IF($AJ40&gt;0,INDEX(CG$7:CG$106,$AJ40),1))))</ns0:f>
        <ns0:v>1</ns0:v>
      </ns0:c>
      <ns0:c r="CI40" t="n">
        <ns0:f>IF($A40="",1,IF(CH40=1,1,--AND(IF($AC40&gt;0,INDEX(CH$7:CH$106,$AC40),1),IF($AD40&gt;0,INDEX(CH$7:CH$106,$AD40),1),IF($AE40&gt;0,INDEX(CH$7:CH$106,$AE40),1),IF($AF40&gt;0,INDEX(CH$7:CH$106,$AF40),1),IF($AG40&gt;0,INDEX(CH$7:CH$106,$AG40),1),IF($AH40&gt;0,INDEX(CH$7:CH$106,$AH40),1),IF($AI40&gt;0,INDEX(CH$7:CH$106,$AI40),1),IF($AJ40&gt;0,INDEX(CH$7:CH$106,$AJ40),1))))</ns0:f>
        <ns0:v>1</ns0:v>
      </ns0:c>
      <ns0:c r="CJ40" t="n">
        <ns0:f>IF($A40="",1,IF(CI40=1,1,--AND(IF($AC40&gt;0,INDEX(CI$7:CI$106,$AC40),1),IF($AD40&gt;0,INDEX(CI$7:CI$106,$AD40),1),IF($AE40&gt;0,INDEX(CI$7:CI$106,$AE40),1),IF($AF40&gt;0,INDEX(CI$7:CI$106,$AF40),1),IF($AG40&gt;0,INDEX(CI$7:CI$106,$AG40),1),IF($AH40&gt;0,INDEX(CI$7:CI$106,$AH40),1),IF($AI40&gt;0,INDEX(CI$7:CI$106,$AI40),1),IF($AJ40&gt;0,INDEX(CI$7:CI$106,$AJ40),1))))</ns0:f>
        <ns0:v>1</ns0:v>
      </ns0:c>
      <ns0:c r="CK40" t="n">
        <ns0:f>IF($A40="",1,IF(CJ40=1,1,--AND(IF($AC40&gt;0,INDEX(CJ$7:CJ$106,$AC40),1),IF($AD40&gt;0,INDEX(CJ$7:CJ$106,$AD40),1),IF($AE40&gt;0,INDEX(CJ$7:CJ$106,$AE40),1),IF($AF40&gt;0,INDEX(CJ$7:CJ$106,$AF40),1),IF($AG40&gt;0,INDEX(CJ$7:CJ$106,$AG40),1),IF($AH40&gt;0,INDEX(CJ$7:CJ$106,$AH40),1),IF($AI40&gt;0,INDEX(CJ$7:CJ$106,$AI40),1),IF($AJ40&gt;0,INDEX(CJ$7:CJ$106,$AJ40),1))))</ns0:f>
        <ns0:v>1</ns0:v>
      </ns0:c>
      <ns0:c r="CL40" t="n">
        <ns0:f>IF($A40="",1,IF(CK40=1,1,--AND(IF($AC40&gt;0,INDEX(CK$7:CK$106,$AC40),1),IF($AD40&gt;0,INDEX(CK$7:CK$106,$AD40),1),IF($AE40&gt;0,INDEX(CK$7:CK$106,$AE40),1),IF($AF40&gt;0,INDEX(CK$7:CK$106,$AF40),1),IF($AG40&gt;0,INDEX(CK$7:CK$106,$AG40),1),IF($AH40&gt;0,INDEX(CK$7:CK$106,$AH40),1),IF($AI40&gt;0,INDEX(CK$7:CK$106,$AI40),1),IF($AJ40&gt;0,INDEX(CK$7:CK$106,$AJ40),1))))</ns0:f>
        <ns0:v>1</ns0:v>
      </ns0:c>
      <ns0:c r="CM40" t="n">
        <ns0:f>IF($A40="",1,IF(CL40=1,1,--AND(IF($AC40&gt;0,INDEX(CL$7:CL$106,$AC40),1),IF($AD40&gt;0,INDEX(CL$7:CL$106,$AD40),1),IF($AE40&gt;0,INDEX(CL$7:CL$106,$AE40),1),IF($AF40&gt;0,INDEX(CL$7:CL$106,$AF40),1),IF($AG40&gt;0,INDEX(CL$7:CL$106,$AG40),1),IF($AH40&gt;0,INDEX(CL$7:CL$106,$AH40),1),IF($AI40&gt;0,INDEX(CL$7:CL$106,$AI40),1),IF($AJ40&gt;0,INDEX(CL$7:CL$106,$AJ40),1))))</ns0:f>
        <ns0:v>1</ns0:v>
      </ns0:c>
      <ns0:c r="CN40" t="n">
        <ns0:f>IF($A40="",1,IF(CM40=1,1,--AND(IF($AC40&gt;0,INDEX(CM$7:CM$106,$AC40),1),IF($AD40&gt;0,INDEX(CM$7:CM$106,$AD40),1),IF($AE40&gt;0,INDEX(CM$7:CM$106,$AE40),1),IF($AF40&gt;0,INDEX(CM$7:CM$106,$AF40),1),IF($AG40&gt;0,INDEX(CM$7:CM$106,$AG40),1),IF($AH40&gt;0,INDEX(CM$7:CM$106,$AH40),1),IF($AI40&gt;0,INDEX(CM$7:CM$106,$AI40),1),IF($AJ40&gt;0,INDEX(CM$7:CM$106,$AJ40),1))))</ns0:f>
        <ns0:v>1</ns0:v>
      </ns0:c>
      <ns0:c r="CO40" t="n">
        <ns0:f>IF($A40="",1,IF(CN40=1,1,--AND(IF($AC40&gt;0,INDEX(CN$7:CN$106,$AC40),1),IF($AD40&gt;0,INDEX(CN$7:CN$106,$AD40),1),IF($AE40&gt;0,INDEX(CN$7:CN$106,$AE40),1),IF($AF40&gt;0,INDEX(CN$7:CN$106,$AF40),1),IF($AG40&gt;0,INDEX(CN$7:CN$106,$AG40),1),IF($AH40&gt;0,INDEX(CN$7:CN$106,$AH40),1),IF($AI40&gt;0,INDEX(CN$7:CN$106,$AI40),1),IF($AJ40&gt;0,INDEX(CN$7:CN$106,$AJ40),1))))</ns0:f>
        <ns0:v>1</ns0:v>
      </ns0:c>
      <ns0:c r="CP40" t="n">
        <ns0:f>IF($A40="",1,IF(CO40=1,1,--AND(IF($AC40&gt;0,INDEX(CO$7:CO$106,$AC40),1),IF($AD40&gt;0,INDEX(CO$7:CO$106,$AD40),1),IF($AE40&gt;0,INDEX(CO$7:CO$106,$AE40),1),IF($AF40&gt;0,INDEX(CO$7:CO$106,$AF40),1),IF($AG40&gt;0,INDEX(CO$7:CO$106,$AG40),1),IF($AH40&gt;0,INDEX(CO$7:CO$106,$AH40),1),IF($AI40&gt;0,INDEX(CO$7:CO$106,$AI40),1),IF($AJ40&gt;0,INDEX(CO$7:CO$106,$AJ40),1))))</ns0:f>
        <ns0:v>1</ns0:v>
      </ns0:c>
      <ns0:c r="CQ40" t="n">
        <ns0:f>IF($A40="",1,IF(CP40=1,1,--AND(IF($AC40&gt;0,INDEX(CP$7:CP$106,$AC40),1),IF($AD40&gt;0,INDEX(CP$7:CP$106,$AD40),1),IF($AE40&gt;0,INDEX(CP$7:CP$106,$AE40),1),IF($AF40&gt;0,INDEX(CP$7:CP$106,$AF40),1),IF($AG40&gt;0,INDEX(CP$7:CP$106,$AG40),1),IF($AH40&gt;0,INDEX(CP$7:CP$106,$AH40),1),IF($AI40&gt;0,INDEX(CP$7:CP$106,$AI40),1),IF($AJ40&gt;0,INDEX(CP$7:CP$106,$AJ40),1))))</ns0:f>
        <ns0:v>1</ns0:v>
      </ns0:c>
      <ns0:c r="CR40" t="n">
        <ns0:f>IF($A40="",1,IF(CQ40=1,1,--AND(IF($AC40&gt;0,INDEX(CQ$7:CQ$106,$AC40),1),IF($AD40&gt;0,INDEX(CQ$7:CQ$106,$AD40),1),IF($AE40&gt;0,INDEX(CQ$7:CQ$106,$AE40),1),IF($AF40&gt;0,INDEX(CQ$7:CQ$106,$AF40),1),IF($AG40&gt;0,INDEX(CQ$7:CQ$106,$AG40),1),IF($AH40&gt;0,INDEX(CQ$7:CQ$106,$AH40),1),IF($AI40&gt;0,INDEX(CQ$7:CQ$106,$AI40),1),IF($AJ40&gt;0,INDEX(CQ$7:CQ$106,$AJ40),1))))</ns0:f>
        <ns0:v>1</ns0:v>
      </ns0:c>
      <ns0:c r="CS40" t="n">
        <ns0:f>IF($A40="",1,IF(CR40=1,1,--AND(IF($AC40&gt;0,INDEX(CR$7:CR$106,$AC40),1),IF($AD40&gt;0,INDEX(CR$7:CR$106,$AD40),1),IF($AE40&gt;0,INDEX(CR$7:CR$106,$AE40),1),IF($AF40&gt;0,INDEX(CR$7:CR$106,$AF40),1),IF($AG40&gt;0,INDEX(CR$7:CR$106,$AG40),1),IF($AH40&gt;0,INDEX(CR$7:CR$106,$AH40),1),IF($AI40&gt;0,INDEX(CR$7:CR$106,$AI40),1),IF($AJ40&gt;0,INDEX(CR$7:CR$106,$AJ40),1))))</ns0:f>
        <ns0:v>1</ns0:v>
      </ns0:c>
      <ns0:c r="CT40" t="n">
        <ns0:f>IF($A40="",1,IF(CS40=1,1,--AND(IF($AC40&gt;0,INDEX(CS$7:CS$106,$AC40),1),IF($AD40&gt;0,INDEX(CS$7:CS$106,$AD40),1),IF($AE40&gt;0,INDEX(CS$7:CS$106,$AE40),1),IF($AF40&gt;0,INDEX(CS$7:CS$106,$AF40),1),IF($AG40&gt;0,INDEX(CS$7:CS$106,$AG40),1),IF($AH40&gt;0,INDEX(CS$7:CS$106,$AH40),1),IF($AI40&gt;0,INDEX(CS$7:CS$106,$AI40),1),IF($AJ40&gt;0,INDEX(CS$7:CS$106,$AJ40),1))))</ns0:f>
        <ns0:v>1</ns0:v>
      </ns0:c>
      <ns0:c r="CU40" t="n">
        <ns0:f>IF($A40="",1,IF(CT40=1,1,--AND(IF($AC40&gt;0,INDEX(CT$7:CT$106,$AC40),1),IF($AD40&gt;0,INDEX(CT$7:CT$106,$AD40),1),IF($AE40&gt;0,INDEX(CT$7:CT$106,$AE40),1),IF($AF40&gt;0,INDEX(CT$7:CT$106,$AF40),1),IF($AG40&gt;0,INDEX(CT$7:CT$106,$AG40),1),IF($AH40&gt;0,INDEX(CT$7:CT$106,$AH40),1),IF($AI40&gt;0,INDEX(CT$7:CT$106,$AI40),1),IF($AJ40&gt;0,INDEX(CT$7:CT$106,$AJ40),1))))</ns0:f>
        <ns0:v>1</ns0:v>
      </ns0:c>
      <ns0:c r="CV40" t="n">
        <ns0:f>IF($A40="",1,IF(CU40=1,1,--AND(IF($AC40&gt;0,INDEX(CU$7:CU$106,$AC40),1),IF($AD40&gt;0,INDEX(CU$7:CU$106,$AD40),1),IF($AE40&gt;0,INDEX(CU$7:CU$106,$AE40),1),IF($AF40&gt;0,INDEX(CU$7:CU$106,$AF40),1),IF($AG40&gt;0,INDEX(CU$7:CU$106,$AG40),1),IF($AH40&gt;0,INDEX(CU$7:CU$106,$AH40),1),IF($AI40&gt;0,INDEX(CU$7:CU$106,$AI40),1),IF($AJ40&gt;0,INDEX(CU$7:CU$106,$AJ40),1))))</ns0:f>
        <ns0:v>1</ns0:v>
      </ns0:c>
      <ns0:c r="CW40" t="n">
        <ns0:f>IF($A40="",1,IF(CV40=1,1,--AND(IF($AC40&gt;0,INDEX(CV$7:CV$106,$AC40),1),IF($AD40&gt;0,INDEX(CV$7:CV$106,$AD40),1),IF($AE40&gt;0,INDEX(CV$7:CV$106,$AE40),1),IF($AF40&gt;0,INDEX(CV$7:CV$106,$AF40),1),IF($AG40&gt;0,INDEX(CV$7:CV$106,$AG40),1),IF($AH40&gt;0,INDEX(CV$7:CV$106,$AH40),1),IF($AI40&gt;0,INDEX(CV$7:CV$106,$AI40),1),IF($AJ40&gt;0,INDEX(CV$7:CV$106,$AJ40),1))))</ns0:f>
        <ns0:v>1</ns0:v>
      </ns0:c>
      <ns0:c r="CX40" t="n">
        <ns0:f>IF($A40="",1,IF(CW40=1,1,--AND(IF($AC40&gt;0,INDEX(CW$7:CW$106,$AC40),1),IF($AD40&gt;0,INDEX(CW$7:CW$106,$AD40),1),IF($AE40&gt;0,INDEX(CW$7:CW$106,$AE40),1),IF($AF40&gt;0,INDEX(CW$7:CW$106,$AF40),1),IF($AG40&gt;0,INDEX(CW$7:CW$106,$AG40),1),IF($AH40&gt;0,INDEX(CW$7:CW$106,$AH40),1),IF($AI40&gt;0,INDEX(CW$7:CW$106,$AI40),1),IF($AJ40&gt;0,INDEX(CW$7:CW$106,$AJ40),1))))</ns0:f>
        <ns0:v>1</ns0:v>
      </ns0:c>
      <ns0:c r="CY40" t="n">
        <ns0:f>IF($A40="",1,IF(CX40=1,1,--AND(IF($AC40&gt;0,INDEX(CX$7:CX$106,$AC40),1),IF($AD40&gt;0,INDEX(CX$7:CX$106,$AD40),1),IF($AE40&gt;0,INDEX(CX$7:CX$106,$AE40),1),IF($AF40&gt;0,INDEX(CX$7:CX$106,$AF40),1),IF($AG40&gt;0,INDEX(CX$7:CX$106,$AG40),1),IF($AH40&gt;0,INDEX(CX$7:CX$106,$AH40),1),IF($AI40&gt;0,INDEX(CX$7:CX$106,$AI40),1),IF($AJ40&gt;0,INDEX(CX$7:CX$106,$AJ40),1))))</ns0:f>
        <ns0:v>1</ns0:v>
      </ns0:c>
      <ns0:c r="CZ40" t="n">
        <ns0:f>IF($A40="",1,IF(CY40=1,1,--AND(IF($AC40&gt;0,INDEX(CY$7:CY$106,$AC40),1),IF($AD40&gt;0,INDEX(CY$7:CY$106,$AD40),1),IF($AE40&gt;0,INDEX(CY$7:CY$106,$AE40),1),IF($AF40&gt;0,INDEX(CY$7:CY$106,$AF40),1),IF($AG40&gt;0,INDEX(CY$7:CY$106,$AG40),1),IF($AH40&gt;0,INDEX(CY$7:CY$106,$AH40),1),IF($AI40&gt;0,INDEX(CY$7:CY$106,$AI40),1),IF($AJ40&gt;0,INDEX(CY$7:CY$106,$AJ40),1))))</ns0:f>
        <ns0:v>1</ns0:v>
      </ns0:c>
      <ns0:c r="DA40" t="n">
        <ns0:f>IF($A40="",1,IF(CZ40=1,1,--AND(IF($AC40&gt;0,INDEX(CZ$7:CZ$106,$AC40),1),IF($AD40&gt;0,INDEX(CZ$7:CZ$106,$AD40),1),IF($AE40&gt;0,INDEX(CZ$7:CZ$106,$AE40),1),IF($AF40&gt;0,INDEX(CZ$7:CZ$106,$AF40),1),IF($AG40&gt;0,INDEX(CZ$7:CZ$106,$AG40),1),IF($AH40&gt;0,INDEX(CZ$7:CZ$106,$AH40),1),IF($AI40&gt;0,INDEX(CZ$7:CZ$106,$AI40),1),IF($AJ40&gt;0,INDEX(CZ$7:CZ$106,$AJ40),1))))</ns0:f>
        <ns0:v>1</ns0:v>
      </ns0:c>
      <ns0:c r="DB40" t="n">
        <ns0:f>IF($A40="",1,IF(DA40=1,1,--AND(IF($AC40&gt;0,INDEX(DA$7:DA$106,$AC40),1),IF($AD40&gt;0,INDEX(DA$7:DA$106,$AD40),1),IF($AE40&gt;0,INDEX(DA$7:DA$106,$AE40),1),IF($AF40&gt;0,INDEX(DA$7:DA$106,$AF40),1),IF($AG40&gt;0,INDEX(DA$7:DA$106,$AG40),1),IF($AH40&gt;0,INDEX(DA$7:DA$106,$AH40),1),IF($AI40&gt;0,INDEX(DA$7:DA$106,$AI40),1),IF($AJ40&gt;0,INDEX(DA$7:DA$106,$AJ40),1))))</ns0:f>
        <ns0:v>1</ns0:v>
      </ns0:c>
      <ns0:c r="DC40" t="n">
        <ns0:f>IF($A40="",1,IF(DB40=1,1,--AND(IF($AC40&gt;0,INDEX(DB$7:DB$106,$AC40),1),IF($AD40&gt;0,INDEX(DB$7:DB$106,$AD40),1),IF($AE40&gt;0,INDEX(DB$7:DB$106,$AE40),1),IF($AF40&gt;0,INDEX(DB$7:DB$106,$AF40),1),IF($AG40&gt;0,INDEX(DB$7:DB$106,$AG40),1),IF($AH40&gt;0,INDEX(DB$7:DB$106,$AH40),1),IF($AI40&gt;0,INDEX(DB$7:DB$106,$AI40),1),IF($AJ40&gt;0,INDEX(DB$7:DB$106,$AJ40),1))))</ns0:f>
        <ns0:v>1</ns0:v>
      </ns0:c>
      <ns0:c r="DD40" t="n">
        <ns0:f>IF($A40="",1,IF(DC40=1,1,--AND(IF($AC40&gt;0,INDEX(DC$7:DC$106,$AC40),1),IF($AD40&gt;0,INDEX(DC$7:DC$106,$AD40),1),IF($AE40&gt;0,INDEX(DC$7:DC$106,$AE40),1),IF($AF40&gt;0,INDEX(DC$7:DC$106,$AF40),1),IF($AG40&gt;0,INDEX(DC$7:DC$106,$AG40),1),IF($AH40&gt;0,INDEX(DC$7:DC$106,$AH40),1),IF($AI40&gt;0,INDEX(DC$7:DC$106,$AI40),1),IF($AJ40&gt;0,INDEX(DC$7:DC$106,$AJ40),1))))</ns0:f>
        <ns0:v>1</ns0:v>
      </ns0:c>
      <ns0:c r="DE40" t="n">
        <ns0:f>IF($A40="",1,IF(DD40=1,1,--AND(IF($AC40&gt;0,INDEX(DD$7:DD$106,$AC40),1),IF($AD40&gt;0,INDEX(DD$7:DD$106,$AD40),1),IF($AE40&gt;0,INDEX(DD$7:DD$106,$AE40),1),IF($AF40&gt;0,INDEX(DD$7:DD$106,$AF40),1),IF($AG40&gt;0,INDEX(DD$7:DD$106,$AG40),1),IF($AH40&gt;0,INDEX(DD$7:DD$106,$AH40),1),IF($AI40&gt;0,INDEX(DD$7:DD$106,$AI40),1),IF($AJ40&gt;0,INDEX(DD$7:DD$106,$AJ40),1))))</ns0:f>
        <ns0:v>1</ns0:v>
      </ns0:c>
      <ns0:c r="DF40" t="n">
        <ns0:f>IF($A40="",1,IF(DE40=1,1,--AND(IF($AC40&gt;0,INDEX(DE$7:DE$106,$AC40),1),IF($AD40&gt;0,INDEX(DE$7:DE$106,$AD40),1),IF($AE40&gt;0,INDEX(DE$7:DE$106,$AE40),1),IF($AF40&gt;0,INDEX(DE$7:DE$106,$AF40),1),IF($AG40&gt;0,INDEX(DE$7:DE$106,$AG40),1),IF($AH40&gt;0,INDEX(DE$7:DE$106,$AH40),1),IF($AI40&gt;0,INDEX(DE$7:DE$106,$AI40),1),IF($AJ40&gt;0,INDEX(DE$7:DE$106,$AJ40),1))))</ns0:f>
        <ns0:v>1</ns0:v>
      </ns0:c>
      <ns0:c r="DG40" t="n">
        <ns0:f>IF($A40="",1,IF(DF40=1,1,--AND(IF($AC40&gt;0,INDEX(DF$7:DF$106,$AC40),1),IF($AD40&gt;0,INDEX(DF$7:DF$106,$AD40),1),IF($AE40&gt;0,INDEX(DF$7:DF$106,$AE40),1),IF($AF40&gt;0,INDEX(DF$7:DF$106,$AF40),1),IF($AG40&gt;0,INDEX(DF$7:DF$106,$AG40),1),IF($AH40&gt;0,INDEX(DF$7:DF$106,$AH40),1),IF($AI40&gt;0,INDEX(DF$7:DF$106,$AI40),1),IF($AJ40&gt;0,INDEX(DF$7:DF$106,$AJ40),1))))</ns0:f>
        <ns0:v>1</ns0:v>
      </ns0:c>
      <ns0:c r="DH40" t="n">
        <ns0:f>IF($A40="",1,IF(DG40=1,1,--AND(IF($AC40&gt;0,INDEX(DG$7:DG$106,$AC40),1),IF($AD40&gt;0,INDEX(DG$7:DG$106,$AD40),1),IF($AE40&gt;0,INDEX(DG$7:DG$106,$AE40),1),IF($AF40&gt;0,INDEX(DG$7:DG$106,$AF40),1),IF($AG40&gt;0,INDEX(DG$7:DG$106,$AG40),1),IF($AH40&gt;0,INDEX(DG$7:DG$106,$AH40),1),IF($AI40&gt;0,INDEX(DG$7:DG$106,$AI40),1),IF($AJ40&gt;0,INDEX(DG$7:DG$106,$AJ40),1))))</ns0:f>
        <ns0:v>1</ns0:v>
      </ns0:c>
      <ns0:c r="DI40" t="n">
        <ns0:f>IF($A40="",1,IF(DH40=1,1,--AND(IF($AC40&gt;0,INDEX(DH$7:DH$106,$AC40),1),IF($AD40&gt;0,INDEX(DH$7:DH$106,$AD40),1),IF($AE40&gt;0,INDEX(DH$7:DH$106,$AE40),1),IF($AF40&gt;0,INDEX(DH$7:DH$106,$AF40),1),IF($AG40&gt;0,INDEX(DH$7:DH$106,$AG40),1),IF($AH40&gt;0,INDEX(DH$7:DH$106,$AH40),1),IF($AI40&gt;0,INDEX(DH$7:DH$106,$AI40),1),IF($AJ40&gt;0,INDEX(DH$7:DH$106,$AJ40),1))))</ns0:f>
        <ns0:v>1</ns0:v>
      </ns0:c>
      <ns0:c r="DJ40" t="n">
        <ns0:f>IF($A40="",1,IF(DI40=1,1,--AND(IF($AC40&gt;0,INDEX(DI$7:DI$106,$AC40),1),IF($AD40&gt;0,INDEX(DI$7:DI$106,$AD40),1),IF($AE40&gt;0,INDEX(DI$7:DI$106,$AE40),1),IF($AF40&gt;0,INDEX(DI$7:DI$106,$AF40),1),IF($AG40&gt;0,INDEX(DI$7:DI$106,$AG40),1),IF($AH40&gt;0,INDEX(DI$7:DI$106,$AH40),1),IF($AI40&gt;0,INDEX(DI$7:DI$106,$AI40),1),IF($AJ40&gt;0,INDEX(DI$7:DI$106,$AJ40),1))))</ns0:f>
        <ns0:v>1</ns0:v>
      </ns0:c>
      <ns0:c r="DK40" t="n">
        <ns0:f>IF($A40="",1,IF(DJ40=1,1,--AND(IF($AC40&gt;0,INDEX(DJ$7:DJ$106,$AC40),1),IF($AD40&gt;0,INDEX(DJ$7:DJ$106,$AD40),1),IF($AE40&gt;0,INDEX(DJ$7:DJ$106,$AE40),1),IF($AF40&gt;0,INDEX(DJ$7:DJ$106,$AF40),1),IF($AG40&gt;0,INDEX(DJ$7:DJ$106,$AG40),1),IF($AH40&gt;0,INDEX(DJ$7:DJ$106,$AH40),1),IF($AI40&gt;0,INDEX(DJ$7:DJ$106,$AI40),1),IF($AJ40&gt;0,INDEX(DJ$7:DJ$106,$AJ40),1))))</ns0:f>
        <ns0:v>1</ns0:v>
      </ns0:c>
      <ns0:c r="DL40" t="n">
        <ns0:f>IF($A40="",1,IF(DK40=1,1,--AND(IF($AC40&gt;0,INDEX(DK$7:DK$106,$AC40),1),IF($AD40&gt;0,INDEX(DK$7:DK$106,$AD40),1),IF($AE40&gt;0,INDEX(DK$7:DK$106,$AE40),1),IF($AF40&gt;0,INDEX(DK$7:DK$106,$AF40),1),IF($AG40&gt;0,INDEX(DK$7:DK$106,$AG40),1),IF($AH40&gt;0,INDEX(DK$7:DK$106,$AH40),1),IF($AI40&gt;0,INDEX(DK$7:DK$106,$AI40),1),IF($AJ40&gt;0,INDEX(DK$7:DK$106,$AJ40),1))))</ns0:f>
        <ns0:v>1</ns0:v>
      </ns0:c>
      <ns0:c r="DM40" t="n">
        <ns0:f>IF($A40="",1,IF(DL40=1,1,--AND(IF($AC40&gt;0,INDEX(DL$7:DL$106,$AC40),1),IF($AD40&gt;0,INDEX(DL$7:DL$106,$AD40),1),IF($AE40&gt;0,INDEX(DL$7:DL$106,$AE40),1),IF($AF40&gt;0,INDEX(DL$7:DL$106,$AF40),1),IF($AG40&gt;0,INDEX(DL$7:DL$106,$AG40),1),IF($AH40&gt;0,INDEX(DL$7:DL$106,$AH40),1),IF($AI40&gt;0,INDEX(DL$7:DL$106,$AI40),1),IF($AJ40&gt;0,INDEX(DL$7:DL$106,$AJ40),1))))</ns0:f>
        <ns0:v>1</ns0:v>
      </ns0:c>
      <ns0:c r="DN40" t="n">
        <ns0:f>IF($A40="",1,IF(DM40=1,1,--AND(IF($AC40&gt;0,INDEX(DM$7:DM$106,$AC40),1),IF($AD40&gt;0,INDEX(DM$7:DM$106,$AD40),1),IF($AE40&gt;0,INDEX(DM$7:DM$106,$AE40),1),IF($AF40&gt;0,INDEX(DM$7:DM$106,$AF40),1),IF($AG40&gt;0,INDEX(DM$7:DM$106,$AG40),1),IF($AH40&gt;0,INDEX(DM$7:DM$106,$AH40),1),IF($AI40&gt;0,INDEX(DM$7:DM$106,$AI40),1),IF($AJ40&gt;0,INDEX(DM$7:DM$106,$AJ40),1))))</ns0:f>
        <ns0:v>1</ns0:v>
      </ns0:c>
      <ns0:c r="DO40" t="n">
        <ns0:f>IF($A40="",1,IF(DN40=1,1,--AND(IF($AC40&gt;0,INDEX(DN$7:DN$106,$AC40),1),IF($AD40&gt;0,INDEX(DN$7:DN$106,$AD40),1),IF($AE40&gt;0,INDEX(DN$7:DN$106,$AE40),1),IF($AF40&gt;0,INDEX(DN$7:DN$106,$AF40),1),IF($AG40&gt;0,INDEX(DN$7:DN$106,$AG40),1),IF($AH40&gt;0,INDEX(DN$7:DN$106,$AH40),1),IF($AI40&gt;0,INDEX(DN$7:DN$106,$AI40),1),IF($AJ40&gt;0,INDEX(DN$7:DN$106,$AJ40),1))))</ns0:f>
        <ns0:v>1</ns0:v>
      </ns0:c>
      <ns0:c r="DP40" t="n">
        <ns0:f>IF($A40="",1,IF(DO40=1,1,--AND(IF($AC40&gt;0,INDEX(DO$7:DO$106,$AC40),1),IF($AD40&gt;0,INDEX(DO$7:DO$106,$AD40),1),IF($AE40&gt;0,INDEX(DO$7:DO$106,$AE40),1),IF($AF40&gt;0,INDEX(DO$7:DO$106,$AF40),1),IF($AG40&gt;0,INDEX(DO$7:DO$106,$AG40),1),IF($AH40&gt;0,INDEX(DO$7:DO$106,$AH40),1),IF($AI40&gt;0,INDEX(DO$7:DO$106,$AI40),1),IF($AJ40&gt;0,INDEX(DO$7:DO$106,$AJ40),1))))</ns0:f>
        <ns0:v>1</ns0:v>
      </ns0:c>
      <ns0:c r="DQ40" t="n">
        <ns0:f>IF($A40="",1,IF(DP40=1,1,--AND(IF($AC40&gt;0,INDEX(DP$7:DP$106,$AC40),1),IF($AD40&gt;0,INDEX(DP$7:DP$106,$AD40),1),IF($AE40&gt;0,INDEX(DP$7:DP$106,$AE40),1),IF($AF40&gt;0,INDEX(DP$7:DP$106,$AF40),1),IF($AG40&gt;0,INDEX(DP$7:DP$106,$AG40),1),IF($AH40&gt;0,INDEX(DP$7:DP$106,$AH40),1),IF($AI40&gt;0,INDEX(DP$7:DP$106,$AI40),1),IF($AJ40&gt;0,INDEX(DP$7:DP$106,$AJ40),1))))</ns0:f>
        <ns0:v>1</ns0:v>
      </ns0:c>
      <ns0:c r="DR40" t="n">
        <ns0:f>IF($A40="",1,IF(DQ40=1,1,--AND(IF($AC40&gt;0,INDEX(DQ$7:DQ$106,$AC40),1),IF($AD40&gt;0,INDEX(DQ$7:DQ$106,$AD40),1),IF($AE40&gt;0,INDEX(DQ$7:DQ$106,$AE40),1),IF($AF40&gt;0,INDEX(DQ$7:DQ$106,$AF40),1),IF($AG40&gt;0,INDEX(DQ$7:DQ$106,$AG40),1),IF($AH40&gt;0,INDEX(DQ$7:DQ$106,$AH40),1),IF($AI40&gt;0,INDEX(DQ$7:DQ$106,$AI40),1),IF($AJ40&gt;0,INDEX(DQ$7:DQ$106,$AJ40),1))))</ns0:f>
        <ns0:v>1</ns0:v>
      </ns0:c>
      <ns0:c r="DS40" t="n">
        <ns0:f>IF($A40="",1,IF(DR40=1,1,--AND(IF($AC40&gt;0,INDEX(DR$7:DR$106,$AC40),1),IF($AD40&gt;0,INDEX(DR$7:DR$106,$AD40),1),IF($AE40&gt;0,INDEX(DR$7:DR$106,$AE40),1),IF($AF40&gt;0,INDEX(DR$7:DR$106,$AF40),1),IF($AG40&gt;0,INDEX(DR$7:DR$106,$AG40),1),IF($AH40&gt;0,INDEX(DR$7:DR$106,$AH40),1),IF($AI40&gt;0,INDEX(DR$7:DR$106,$AI40),1),IF($AJ40&gt;0,INDEX(DR$7:DR$106,$AJ40),1))))</ns0:f>
        <ns0:v>1</ns0:v>
      </ns0:c>
      <ns0:c r="DT40" t="n">
        <ns0:f>IF($A40="",1,IF(DS40=1,1,--AND(IF($AC40&gt;0,INDEX(DS$7:DS$106,$AC40),1),IF($AD40&gt;0,INDEX(DS$7:DS$106,$AD40),1),IF($AE40&gt;0,INDEX(DS$7:DS$106,$AE40),1),IF($AF40&gt;0,INDEX(DS$7:DS$106,$AF40),1),IF($AG40&gt;0,INDEX(DS$7:DS$106,$AG40),1),IF($AH40&gt;0,INDEX(DS$7:DS$106,$AH40),1),IF($AI40&gt;0,INDEX(DS$7:DS$106,$AI40),1),IF($AJ40&gt;0,INDEX(DS$7:DS$106,$AJ40),1))))</ns0:f>
        <ns0:v>1</ns0:v>
      </ns0:c>
      <ns0:c r="DU40" t="n">
        <ns0:f>IF($A40="",1,IF(DT40=1,1,--AND(IF($AC40&gt;0,INDEX(DT$7:DT$106,$AC40),1),IF($AD40&gt;0,INDEX(DT$7:DT$106,$AD40),1),IF($AE40&gt;0,INDEX(DT$7:DT$106,$AE40),1),IF($AF40&gt;0,INDEX(DT$7:DT$106,$AF40),1),IF($AG40&gt;0,INDEX(DT$7:DT$106,$AG40),1),IF($AH40&gt;0,INDEX(DT$7:DT$106,$AH40),1),IF($AI40&gt;0,INDEX(DT$7:DT$106,$AI40),1),IF($AJ40&gt;0,INDEX(DT$7:DT$106,$AJ40),1))))</ns0:f>
        <ns0:v>1</ns0:v>
      </ns0:c>
      <ns0:c r="DV40" t="n">
        <ns0:f>IF($A40="",1,IF(DU40=1,1,--AND(IF($AC40&gt;0,INDEX(DU$7:DU$106,$AC40),1),IF($AD40&gt;0,INDEX(DU$7:DU$106,$AD40),1),IF($AE40&gt;0,INDEX(DU$7:DU$106,$AE40),1),IF($AF40&gt;0,INDEX(DU$7:DU$106,$AF40),1),IF($AG40&gt;0,INDEX(DU$7:DU$106,$AG40),1),IF($AH40&gt;0,INDEX(DU$7:DU$106,$AH40),1),IF($AI40&gt;0,INDEX(DU$7:DU$106,$AI40),1),IF($AJ40&gt;0,INDEX(DU$7:DU$106,$AJ40),1))))</ns0:f>
        <ns0:v>1</ns0:v>
      </ns0:c>
      <ns0:c r="DW40" t="n">
        <ns0:f>IF($A40="",1,IF(DV40=1,1,--AND(IF($AC40&gt;0,INDEX(DV$7:DV$106,$AC40),1),IF($AD40&gt;0,INDEX(DV$7:DV$106,$AD40),1),IF($AE40&gt;0,INDEX(DV$7:DV$106,$AE40),1),IF($AF40&gt;0,INDEX(DV$7:DV$106,$AF40),1),IF($AG40&gt;0,INDEX(DV$7:DV$106,$AG40),1),IF($AH40&gt;0,INDEX(DV$7:DV$106,$AH40),1),IF($AI40&gt;0,INDEX(DV$7:DV$106,$AI40),1),IF($AJ40&gt;0,INDEX(DV$7:DV$106,$AJ40),1))))</ns0:f>
        <ns0:v>1</ns0:v>
      </ns0:c>
      <ns0:c r="DX40" t="n">
        <ns0:f>IF($A40="",1,IF(DW40=1,1,--AND(IF($AC40&gt;0,INDEX(DW$7:DW$106,$AC40),1),IF($AD40&gt;0,INDEX(DW$7:DW$106,$AD40),1),IF($AE40&gt;0,INDEX(DW$7:DW$106,$AE40),1),IF($AF40&gt;0,INDEX(DW$7:DW$106,$AF40),1),IF($AG40&gt;0,INDEX(DW$7:DW$106,$AG40),1),IF($AH40&gt;0,INDEX(DW$7:DW$106,$AH40),1),IF($AI40&gt;0,INDEX(DW$7:DW$106,$AI40),1),IF($AJ40&gt;0,INDEX(DW$7:DW$106,$AJ40),1))))</ns0:f>
        <ns0:v>1</ns0:v>
      </ns0:c>
      <ns0:c r="DY40" t="n">
        <ns0:f>IF($A40="",1,IF(DX40=1,1,--AND(IF($AC40&gt;0,INDEX(DX$7:DX$106,$AC40),1),IF($AD40&gt;0,INDEX(DX$7:DX$106,$AD40),1),IF($AE40&gt;0,INDEX(DX$7:DX$106,$AE40),1),IF($AF40&gt;0,INDEX(DX$7:DX$106,$AF40),1),IF($AG40&gt;0,INDEX(DX$7:DX$106,$AG40),1),IF($AH40&gt;0,INDEX(DX$7:DX$106,$AH40),1),IF($AI40&gt;0,INDEX(DX$7:DX$106,$AI40),1),IF($AJ40&gt;0,INDEX(DX$7:DX$106,$AJ40),1))))</ns0:f>
        <ns0:v>1</ns0:v>
      </ns0:c>
      <ns0:c r="DZ40" t="n">
        <ns0:f>IF($A40="",1,IF(DY40=1,1,--AND(IF($AC40&gt;0,INDEX(DY$7:DY$106,$AC40),1),IF($AD40&gt;0,INDEX(DY$7:DY$106,$AD40),1),IF($AE40&gt;0,INDEX(DY$7:DY$106,$AE40),1),IF($AF40&gt;0,INDEX(DY$7:DY$106,$AF40),1),IF($AG40&gt;0,INDEX(DY$7:DY$106,$AG40),1),IF($AH40&gt;0,INDEX(DY$7:DY$106,$AH40),1),IF($AI40&gt;0,INDEX(DY$7:DY$106,$AI40),1),IF($AJ40&gt;0,INDEX(DY$7:DY$106,$AJ40),1))))</ns0:f>
        <ns0:v>1</ns0:v>
      </ns0:c>
      <ns0:c r="EA40" t="n">
        <ns0:f>IF($A40="",1,IF(DZ40=1,1,--AND(IF($AC40&gt;0,INDEX(DZ$7:DZ$106,$AC40),1),IF($AD40&gt;0,INDEX(DZ$7:DZ$106,$AD40),1),IF($AE40&gt;0,INDEX(DZ$7:DZ$106,$AE40),1),IF($AF40&gt;0,INDEX(DZ$7:DZ$106,$AF40),1),IF($AG40&gt;0,INDEX(DZ$7:DZ$106,$AG40),1),IF($AH40&gt;0,INDEX(DZ$7:DZ$106,$AH40),1),IF($AI40&gt;0,INDEX(DZ$7:DZ$106,$AI40),1),IF($AJ40&gt;0,INDEX(DZ$7:DZ$106,$AJ40),1))))</ns0:f>
        <ns0:v>1</ns0:v>
      </ns0:c>
      <ns0:c r="EB40" t="n">
        <ns0:f>IF($A40="",1,IF(EA40=1,1,--AND(IF($AC40&gt;0,INDEX(EA$7:EA$106,$AC40),1),IF($AD40&gt;0,INDEX(EA$7:EA$106,$AD40),1),IF($AE40&gt;0,INDEX(EA$7:EA$106,$AE40),1),IF($AF40&gt;0,INDEX(EA$7:EA$106,$AF40),1),IF($AG40&gt;0,INDEX(EA$7:EA$106,$AG40),1),IF($AH40&gt;0,INDEX(EA$7:EA$106,$AH40),1),IF($AI40&gt;0,INDEX(EA$7:EA$106,$AI40),1),IF($AJ40&gt;0,INDEX(EA$7:EA$106,$AJ40),1))))</ns0:f>
        <ns0:v>1</ns0:v>
      </ns0:c>
      <ns0:c r="EC40" t="n">
        <ns0:f>IF($A40="",1,IF(EB40=1,1,--AND(IF($AC40&gt;0,INDEX(EB$7:EB$106,$AC40),1),IF($AD40&gt;0,INDEX(EB$7:EB$106,$AD40),1),IF($AE40&gt;0,INDEX(EB$7:EB$106,$AE40),1),IF($AF40&gt;0,INDEX(EB$7:EB$106,$AF40),1),IF($AG40&gt;0,INDEX(EB$7:EB$106,$AG40),1),IF($AH40&gt;0,INDEX(EB$7:EB$106,$AH40),1),IF($AI40&gt;0,INDEX(EB$7:EB$106,$AI40),1),IF($AJ40&gt;0,INDEX(EB$7:EB$106,$AJ40),1))))</ns0:f>
        <ns0:v>1</ns0:v>
      </ns0:c>
      <ns0:c r="ED40" t="n">
        <ns0:f>IF($A40="",1,IF(EC40=1,1,--AND(IF($AC40&gt;0,INDEX(EC$7:EC$106,$AC40),1),IF($AD40&gt;0,INDEX(EC$7:EC$106,$AD40),1),IF($AE40&gt;0,INDEX(EC$7:EC$106,$AE40),1),IF($AF40&gt;0,INDEX(EC$7:EC$106,$AF40),1),IF($AG40&gt;0,INDEX(EC$7:EC$106,$AG40),1),IF($AH40&gt;0,INDEX(EC$7:EC$106,$AH40),1),IF($AI40&gt;0,INDEX(EC$7:EC$106,$AI40),1),IF($AJ40&gt;0,INDEX(EC$7:EC$106,$AJ40),1))))</ns0:f>
        <ns0:v>1</ns0:v>
      </ns0:c>
      <ns0:c r="EE40" t="n">
        <ns0:f>IF($A40="",1,IF(ED40=1,1,--AND(IF($AC40&gt;0,INDEX(ED$7:ED$106,$AC40),1),IF($AD40&gt;0,INDEX(ED$7:ED$106,$AD40),1),IF($AE40&gt;0,INDEX(ED$7:ED$106,$AE40),1),IF($AF40&gt;0,INDEX(ED$7:ED$106,$AF40),1),IF($AG40&gt;0,INDEX(ED$7:ED$106,$AG40),1),IF($AH40&gt;0,INDEX(ED$7:ED$106,$AH40),1),IF($AI40&gt;0,INDEX(ED$7:ED$106,$AI40),1),IF($AJ40&gt;0,INDEX(ED$7:ED$106,$AJ40),1))))</ns0:f>
        <ns0:v>1</ns0:v>
      </ns0:c>
      <ns0:c r="EF40" t="n">
        <ns0:f>IF($A40="",1,IF(EE40=1,1,--AND(IF($AC40&gt;0,INDEX(EE$7:EE$106,$AC40),1),IF($AD40&gt;0,INDEX(EE$7:EE$106,$AD40),1),IF($AE40&gt;0,INDEX(EE$7:EE$106,$AE40),1),IF($AF40&gt;0,INDEX(EE$7:EE$106,$AF40),1),IF($AG40&gt;0,INDEX(EE$7:EE$106,$AG40),1),IF($AH40&gt;0,INDEX(EE$7:EE$106,$AH40),1),IF($AI40&gt;0,INDEX(EE$7:EE$106,$AI40),1),IF($AJ40&gt;0,INDEX(EE$7:EE$106,$AJ40),1))))</ns0:f>
        <ns0:v>1</ns0:v>
      </ns0:c>
      <ns0:c r="EG40" t="n">
        <ns0:f>IF($A40="",1,IF(EF40=1,1,--AND(IF($AC40&gt;0,INDEX(EF$7:EF$106,$AC40),1),IF($AD40&gt;0,INDEX(EF$7:EF$106,$AD40),1),IF($AE40&gt;0,INDEX(EF$7:EF$106,$AE40),1),IF($AF40&gt;0,INDEX(EF$7:EF$106,$AF40),1),IF($AG40&gt;0,INDEX(EF$7:EF$106,$AG40),1),IF($AH40&gt;0,INDEX(EF$7:EF$106,$AH40),1),IF($AI40&gt;0,INDEX(EF$7:EF$106,$AI40),1),IF($AJ40&gt;0,INDEX(EF$7:EF$106,$AJ40),1))))</ns0:f>
        <ns0:v>1</ns0:v>
      </ns0:c>
      <ns0:c r="EH40" t="n">
        <ns0:f>IF($A40="",1,IF(EG40=1,1,--AND(IF($AC40&gt;0,INDEX(EG$7:EG$106,$AC40),1),IF($AD40&gt;0,INDEX(EG$7:EG$106,$AD40),1),IF($AE40&gt;0,INDEX(EG$7:EG$106,$AE40),1),IF($AF40&gt;0,INDEX(EG$7:EG$106,$AF40),1),IF($AG40&gt;0,INDEX(EG$7:EG$106,$AG40),1),IF($AH40&gt;0,INDEX(EG$7:EG$106,$AH40),1),IF($AI40&gt;0,INDEX(EG$7:EG$106,$AI40),1),IF($AJ40&gt;0,INDEX(EG$7:EG$106,$AJ40),1))))</ns0:f>
        <ns0:v>1</ns0:v>
      </ns0:c>
      <ns0:c r="EI40" t="n">
        <ns0:f>IF($A40="",1,IF(EH40=1,1,--AND(IF($AC40&gt;0,INDEX(EH$7:EH$106,$AC40),1),IF($AD40&gt;0,INDEX(EH$7:EH$106,$AD40),1),IF($AE40&gt;0,INDEX(EH$7:EH$106,$AE40),1),IF($AF40&gt;0,INDEX(EH$7:EH$106,$AF40),1),IF($AG40&gt;0,INDEX(EH$7:EH$106,$AG40),1),IF($AH40&gt;0,INDEX(EH$7:EH$106,$AH40),1),IF($AI40&gt;0,INDEX(EH$7:EH$106,$AI40),1),IF($AJ40&gt;0,INDEX(EH$7:EH$106,$AJ40),1))))</ns0:f>
        <ns0:v>1</ns0:v>
      </ns0:c>
      <ns0:c r="EJ40" t="n">
        <ns0:f>IF($A40="",1,IF(EI40=1,1,--AND(IF($AC40&gt;0,INDEX(EI$7:EI$106,$AC40),1),IF($AD40&gt;0,INDEX(EI$7:EI$106,$AD40),1),IF($AE40&gt;0,INDEX(EI$7:EI$106,$AE40),1),IF($AF40&gt;0,INDEX(EI$7:EI$106,$AF40),1),IF($AG40&gt;0,INDEX(EI$7:EI$106,$AG40),1),IF($AH40&gt;0,INDEX(EI$7:EI$106,$AH40),1),IF($AI40&gt;0,INDEX(EI$7:EI$106,$AI40),1),IF($AJ40&gt;0,INDEX(EI$7:EI$106,$AJ40),1))))</ns0:f>
        <ns0:v>1</ns0:v>
      </ns0:c>
      <ns0:c r="EK40" t="n">
        <ns0:f>IF($A40="",1,IF(EJ40=1,1,--AND(IF($AC40&gt;0,INDEX(EJ$7:EJ$106,$AC40),1),IF($AD40&gt;0,INDEX(EJ$7:EJ$106,$AD40),1),IF($AE40&gt;0,INDEX(EJ$7:EJ$106,$AE40),1),IF($AF40&gt;0,INDEX(EJ$7:EJ$106,$AF40),1),IF($AG40&gt;0,INDEX(EJ$7:EJ$106,$AG40),1),IF($AH40&gt;0,INDEX(EJ$7:EJ$106,$AH40),1),IF($AI40&gt;0,INDEX(EJ$7:EJ$106,$AI40),1),IF($AJ40&gt;0,INDEX(EJ$7:EJ$106,$AJ40),1))))</ns0:f>
        <ns0:v>1</ns0:v>
      </ns0:c>
      <ns0:c r="EL40" t="n">
        <ns0:f>IF($A40="",1,IF(EK40=1,1,--AND(IF($AC40&gt;0,INDEX(EK$7:EK$106,$AC40),1),IF($AD40&gt;0,INDEX(EK$7:EK$106,$AD40),1),IF($AE40&gt;0,INDEX(EK$7:EK$106,$AE40),1),IF($AF40&gt;0,INDEX(EK$7:EK$106,$AF40),1),IF($AG40&gt;0,INDEX(EK$7:EK$106,$AG40),1),IF($AH40&gt;0,INDEX(EK$7:EK$106,$AH40),1),IF($AI40&gt;0,INDEX(EK$7:EK$106,$AI40),1),IF($AJ40&gt;0,INDEX(EK$7:EK$106,$AJ40),1))))</ns0:f>
        <ns0:v>1</ns0:v>
      </ns0:c>
      <ns0:c r="EM40" t="n">
        <ns0:f>IF($A40="",1,IF(EL40=1,1,--AND(IF($AC40&gt;0,INDEX(EL$7:EL$106,$AC40),1),IF($AD40&gt;0,INDEX(EL$7:EL$106,$AD40),1),IF($AE40&gt;0,INDEX(EL$7:EL$106,$AE40),1),IF($AF40&gt;0,INDEX(EL$7:EL$106,$AF40),1),IF($AG40&gt;0,INDEX(EL$7:EL$106,$AG40),1),IF($AH40&gt;0,INDEX(EL$7:EL$106,$AH40),1),IF($AI40&gt;0,INDEX(EL$7:EL$106,$AI40),1),IF($AJ40&gt;0,INDEX(EL$7:EL$106,$AJ40),1))))</ns0:f>
        <ns0:v>1</ns0:v>
      </ns0:c>
      <ns0:c r="EN40" t="n">
        <ns0:f>IF($A40="",1,IF(EM40=1,1,--AND(IF($AC40&gt;0,INDEX(EM$7:EM$106,$AC40),1),IF($AD40&gt;0,INDEX(EM$7:EM$106,$AD40),1),IF($AE40&gt;0,INDEX(EM$7:EM$106,$AE40),1),IF($AF40&gt;0,INDEX(EM$7:EM$106,$AF40),1),IF($AG40&gt;0,INDEX(EM$7:EM$106,$AG40),1),IF($AH40&gt;0,INDEX(EM$7:EM$106,$AH40),1),IF($AI40&gt;0,INDEX(EM$7:EM$106,$AI40),1),IF($AJ40&gt;0,INDEX(EM$7:EM$106,$AJ40),1))))</ns0:f>
        <ns0:v>1</ns0:v>
      </ns0:c>
      <ns0:c r="EO40" t="n">
        <ns0:f>IF($A40="",1,IF(EN40=1,1,--AND(IF($AC40&gt;0,INDEX(EN$7:EN$106,$AC40),1),IF($AD40&gt;0,INDEX(EN$7:EN$106,$AD40),1),IF($AE40&gt;0,INDEX(EN$7:EN$106,$AE40),1),IF($AF40&gt;0,INDEX(EN$7:EN$106,$AF40),1),IF($AG40&gt;0,INDEX(EN$7:EN$106,$AG40),1),IF($AH40&gt;0,INDEX(EN$7:EN$106,$AH40),1),IF($AI40&gt;0,INDEX(EN$7:EN$106,$AI40),1),IF($AJ40&gt;0,INDEX(EN$7:EN$106,$AJ40),1))))</ns0:f>
        <ns0:v>1</ns0:v>
      </ns0:c>
      <ns0:c r="EP40" t="n">
        <ns0:f>IF($A40="",1,IF(EO40=1,1,--AND(IF($AC40&gt;0,INDEX(EO$7:EO$106,$AC40),1),IF($AD40&gt;0,INDEX(EO$7:EO$106,$AD40),1),IF($AE40&gt;0,INDEX(EO$7:EO$106,$AE40),1),IF($AF40&gt;0,INDEX(EO$7:EO$106,$AF40),1),IF($AG40&gt;0,INDEX(EO$7:EO$106,$AG40),1),IF($AH40&gt;0,INDEX(EO$7:EO$106,$AH40),1),IF($AI40&gt;0,INDEX(EO$7:EO$106,$AI40),1),IF($AJ40&gt;0,INDEX(EO$7:EO$106,$AJ40),1))))</ns0:f>
        <ns0:v>1</ns0:v>
      </ns0:c>
      <ns0:c r="EQ40" t="n">
        <ns0:f>IF(OR(A40="",NOT(ISNUMBER(G40))),0,G40*N40)</ns0:f>
        <ns0:v>0</ns0:v>
      </ns0:c>
    </ns0:row>
    <ns0:row r="41" ht="62" customHeight="1">
      <ns0:c r="A41" s="48" t="str">
        <ns0:v>M6</ns0:v>
      </ns0:c>
      <ns0:c r="B41" s="48" t="str">
        <ns0:v>Launch &amp; telemetry</ns0:v>
      </ns0:c>
      <ns0:c r="C41" s="48" t="str">
        <ns0:v>Outbound Actuation, Telemetry &amp; Omnichannel Go-Live</ns0:v>
      </ns0:c>
      <ns0:c r="D41" s="48" t="str">
        <ns0:v>Explicit project checkpoint. Mark complete only after linked work is accepted.</ns0:v>
      </ns0:c>
      <ns0:c r="E41" s="49" t="n">
        <ns0:v>46305</ns0:v>
      </ns0:c>
      <ns0:c r="F41" s="49" t="n">
        <ns0:v>46305</ns0:v>
      </ns0:c>
      <ns0:c r="G41" s="13" t="n">
        <ns0:f>IF(A41="","",IF(OR(NOT(ISNUMBER(E41)),NOT(ISNUMBER(F41)),F41&lt;E41),"",IF(J41="Yes",0,F41-E41+1)))</ns0:f>
        <ns0:v>0</ns0:v>
      </ns0:c>
      <ns0:c r="H41" s="48" t="str">
        <ns0:v>T25,T26,T27,T28,T29</ns0:v>
      </ns0:c>
      <ns0:c r="I41" s="48" t="str">
        <ns0:v>FF</ns0:v>
      </ns0:c>
      <ns0:c r="J41" s="48" t="str">
        <ns0:v>Yes</ns0:v>
      </ns0:c>
      <ns0:c r="K41" s="48" t="str">
        <ns0:v>Unassigned</ns0:v>
      </ns0:c>
      <ns0:c r="L41" s="48" t="str"/>
      <ns0:c r="M41" s="50" t="str">
        <ns0:f>IF(A41="","",IF(N41=1,"Completed",IF(N41&gt;0,"In Progress","Not Started")))</ns0:f>
        <ns0:v>Not Started</ns0:v>
      </ns0:c>
      <ns0:c r="N41" s="51" t="n">
        <ns0:v>0</ns0:v>
      </ns0:c>
      <ns0:c r="O41" s="13" t="str">
        <ns0:f>IF(A41="","",IF(R41&lt;&gt;"","[CONFLICT] "&amp;R41,IF(S41&lt;&gt;"","[CONFLICT] "&amp;S41,IF(OR(NOT(ISNUMBER(N41)),N41&lt;0,N41&gt;1),"[CONFLICT] Invalid progress",IF(AK41&gt;0,"[DEPENDENCY ISSUE] Missing ID / &gt;8 links",IF(AM41&gt;0,"[DEPENDENCY ISSUE] Cycle or blocked by cycle",IF(AND(H41&lt;&gt;"",ISNA(MATCH(I41,{"FS","SS","FF","SF"},0))),"[DEPENDENCY ISSUE] Invalid type",IF(AL41&gt;0,"[DEPENDENCY ISSUE] Timing conflict",IF(OR(E41&lt;ProjectStart,F41&gt;ProjectEnd),"[OUTSIDE WINDOW]",IF(AND(N41&lt;1,F41&lt;AsOfDate),"Overdue",IF(AND(M41&lt;&gt;Q41,M41&lt;&gt;""),"[CONFLICT] Status / progress","On track")))))))))))</ns0:f>
        <ns0:v>On track</ns0:v>
      </ns0:c>
      <ns0:c r="P41" s="52" t="str">
        <ns0:v>Source: Project Plan Essentials (2).md §3. Source checkpoint date retained (source labels all dates [INFERRED]). [INFERRED] FF link permits completion-day checkpoint. Owner missing.</ns0:v>
      </ns0:c>
      <ns0:c r="Q41" t="str">
        <ns0:f>IF(A41="","",IF(OR(M41="On Hold",M41="Delayed"),M41,IF(N41=1,"Completed",IF(N41&gt;0,"In Progress","Not Started"))))</ns0:f>
        <ns0:v>Not Started</ns0:v>
      </ns0:c>
      <ns0:c r="R41" t="str">
        <ns0:f>IF(A41="","",IF(COUNTIFS(Tasks[Task ID],A41)&lt;&gt;1,"Duplicate ID",""))</ns0:f>
      </ns0:c>
      <ns0:c r="S41" t="str">
        <ns0:f>IF(A41="","",IF(OR(NOT(ISNUMBER(E41)),NOT(ISNUMBER(F41))),"Invalid / missing date",IF(OR(E41&lt;&gt;INT(E41),F41&lt;&gt;INT(F41),E41&lt;1,F41&gt;2958465),"Invalid date",IF(F41&lt;E41,"End before start",IF(AND(J41="Yes",E41&lt;&gt;F41),"Milestone needs one date","")))))</ns0:f>
      </ns0:c>
      <ns0:c r="T41" t="n">
        <ns0:f>IF(H41="",0,LEN(H41)-LEN(SUBSTITUTE(H41,",",""))+1)</ns0:f>
        <ns0:v>5</ns0:v>
      </ns0:c>
      <ns0:c r="U41" t="str">
        <ns0:f>TRIM(MID(SUBSTITUTE($H41,",",REPT(" ",100)),1,100))</ns0:f>
        <ns0:v>T25</ns0:v>
      </ns0:c>
      <ns0:c r="V41" t="str">
        <ns0:f>TRIM(MID(SUBSTITUTE($H41,",",REPT(" ",100)),101,100))</ns0:f>
        <ns0:v>T26</ns0:v>
      </ns0:c>
      <ns0:c r="W41" t="str">
        <ns0:f>TRIM(MID(SUBSTITUTE($H41,",",REPT(" ",100)),201,100))</ns0:f>
        <ns0:v>T27</ns0:v>
      </ns0:c>
      <ns0:c r="X41" t="str">
        <ns0:f>TRIM(MID(SUBSTITUTE($H41,",",REPT(" ",100)),301,100))</ns0:f>
        <ns0:v>T28</ns0:v>
      </ns0:c>
      <ns0:c r="Y41" t="str">
        <ns0:f>TRIM(MID(SUBSTITUTE($H41,",",REPT(" ",100)),401,100))</ns0:f>
        <ns0:v>T29</ns0:v>
      </ns0:c>
      <ns0:c r="Z41" t="str">
        <ns0:f>TRIM(MID(SUBSTITUTE($H41,",",REPT(" ",100)),501,100))</ns0:f>
      </ns0:c>
      <ns0:c r="AA41" t="str">
        <ns0:f>TRIM(MID(SUBSTITUTE($H41,",",REPT(" ",100)),601,100))</ns0:f>
      </ns0:c>
      <ns0:c r="AB41" t="str">
        <ns0:f>TRIM(MID(SUBSTITUTE($H41,",",REPT(" ",100)),701,100))</ns0:f>
      </ns0:c>
      <ns0:c r="AC41" t="n">
        <ns0:f>IF(U41="",0,IF(COUNTIFS(Tasks[Task ID],U41)=1,MATCH(U41,Tasks[Task ID],0),-1))</ns0:f>
        <ns0:v>30</ns0:v>
      </ns0:c>
      <ns0:c r="AD41" t="n">
        <ns0:f>IF(V41="",0,IF(COUNTIFS(Tasks[Task ID],V41)=1,MATCH(V41,Tasks[Task ID],0),-1))</ns0:f>
        <ns0:v>31</ns0:v>
      </ns0:c>
      <ns0:c r="AE41" t="n">
        <ns0:f>IF(W41="",0,IF(COUNTIFS(Tasks[Task ID],W41)=1,MATCH(W41,Tasks[Task ID],0),-1))</ns0:f>
        <ns0:v>32</ns0:v>
      </ns0:c>
      <ns0:c r="AF41" t="n">
        <ns0:f>IF(X41="",0,IF(COUNTIFS(Tasks[Task ID],X41)=1,MATCH(X41,Tasks[Task ID],0),-1))</ns0:f>
        <ns0:v>33</ns0:v>
      </ns0:c>
      <ns0:c r="AG41" t="n">
        <ns0:f>IF(Y41="",0,IF(COUNTIFS(Tasks[Task ID],Y41)=1,MATCH(Y41,Tasks[Task ID],0),-1))</ns0:f>
        <ns0:v>34</ns0:v>
      </ns0:c>
      <ns0:c r="AH41" t="n">
        <ns0:f>IF(Z41="",0,IF(COUNTIFS(Tasks[Task ID],Z41)=1,MATCH(Z41,Tasks[Task ID],0),-1))</ns0:f>
        <ns0:v>0</ns0:v>
      </ns0:c>
      <ns0:c r="AI41" t="n">
        <ns0:f>IF(AA41="",0,IF(COUNTIFS(Tasks[Task ID],AA41)=1,MATCH(AA41,Tasks[Task ID],0),-1))</ns0:f>
        <ns0:v>0</ns0:v>
      </ns0:c>
      <ns0:c r="AJ41" t="n">
        <ns0:f>IF(AB41="",0,IF(COUNTIFS(Tasks[Task ID],AB41)=1,MATCH(AB41,Tasks[Task ID],0),-1))</ns0:f>
        <ns0:v>0</ns0:v>
      </ns0:c>
      <ns0:c r="AK41" t="n">
        <ns0:f>COUNTIFS(AC41:AJ41,-1)+IF(T41&gt;8,1,0)</ns0:f>
        <ns0:v>0</ns0:v>
      </ns0:c>
      <ns0:c r="AL41" t="n">
        <ns0:f>IF(OR(A41="",S41&lt;&gt;""),0,SUM(IF(AC41&gt;0,IF($I41="FS",--($E41&lt;INDEX(Tasks[End Date],AC41)+IF(INDEX(Tasks[Milestone],AC41)="Yes",0,1)),IF($I41="SS",--($E41&lt;INDEX(Tasks[Start Date],AC41)),IF($I41="FF",--($F41&lt;INDEX(Tasks[End Date],AC41)),IF($I41="SF",--($F41&lt;INDEX(Tasks[Start Date],AC41)),0)))),0),IF(AD41&gt;0,IF($I41="FS",--($E41&lt;INDEX(Tasks[End Date],AD41)+IF(INDEX(Tasks[Milestone],AD41)="Yes",0,1)),IF($I41="SS",--($E41&lt;INDEX(Tasks[Start Date],AD41)),IF($I41="FF",--($F41&lt;INDEX(Tasks[End Date],AD41)),IF($I41="SF",--($F41&lt;INDEX(Tasks[Start Date],AD41)),0)))),0),IF(AE41&gt;0,IF($I41="FS",--($E41&lt;INDEX(Tasks[End Date],AE41)+IF(INDEX(Tasks[Milestone],AE41)="Yes",0,1)),IF($I41="SS",--($E41&lt;INDEX(Tasks[Start Date],AE41)),IF($I41="FF",--($F41&lt;INDEX(Tasks[End Date],AE41)),IF($I41="SF",--($F41&lt;INDEX(Tasks[Start Date],AE41)),0)))),0),IF(AF41&gt;0,IF($I41="FS",--($E41&lt;INDEX(Tasks[End Date],AF41)+IF(INDEX(Tasks[Milestone],AF41)="Yes",0,1)),IF($I41="SS",--($E41&lt;INDEX(Tasks[Start Date],AF41)),IF($I41="FF",--($F41&lt;INDEX(Tasks[End Date],AF41)),IF($I41="SF",--($F41&lt;INDEX(Tasks[Start Date],AF41)),0)))),0),IF(AG41&gt;0,IF($I41="FS",--($E41&lt;INDEX(Tasks[End Date],AG41)+IF(INDEX(Tasks[Milestone],AG41)="Yes",0,1)),IF($I41="SS",--($E41&lt;INDEX(Tasks[Start Date],AG41)),IF($I41="FF",--($F41&lt;INDEX(Tasks[End Date],AG41)),IF($I41="SF",--($F41&lt;INDEX(Tasks[Start Date],AG41)),0)))),0),IF(AH41&gt;0,IF($I41="FS",--($E41&lt;INDEX(Tasks[End Date],AH41)+IF(INDEX(Tasks[Milestone],AH41)="Yes",0,1)),IF($I41="SS",--($E41&lt;INDEX(Tasks[Start Date],AH41)),IF($I41="FF",--($F41&lt;INDEX(Tasks[End Date],AH41)),IF($I41="SF",--($F41&lt;INDEX(Tasks[Start Date],AH41)),0)))),0),IF(AI41&gt;0,IF($I41="FS",--($E41&lt;INDEX(Tasks[End Date],AI41)+IF(INDEX(Tasks[Milestone],AI41)="Yes",0,1)),IF($I41="SS",--($E41&lt;INDEX(Tasks[Start Date],AI41)),IF($I41="FF",--($F41&lt;INDEX(Tasks[End Date],AI41)),IF($I41="SF",--($F41&lt;INDEX(Tasks[Start Date],AI41)),0)))),0),IF(AJ41&gt;0,IF($I41="FS",--($E41&lt;INDEX(Tasks[End Date],AJ41)+IF(INDEX(Tasks[Milestone],AJ41)="Yes",0,1)),IF($I41="SS",--($E41&lt;INDEX(Tasks[Start Date],AJ41)),IF($I41="FF",--($F41&lt;INDEX(Tasks[End Date],AJ41)),IF($I41="SF",--($F41&lt;INDEX(Tasks[Start Date],AJ41)),0)))),0)))</ns0:f>
        <ns0:v>0</ns0:v>
      </ns0:c>
      <ns0:c r="AM41" t="n">
        <ns0:f>IF(AND(A41&lt;&gt;"",AK41=0,EP41=0),1,0)</ns0:f>
        <ns0:v>0</ns0:v>
      </ns0:c>
      <ns0:c r="AN41" t="str">
        <ns0:f>IF(OR(A41="",B41=""),"",IF(COUNTIFS($B$7:B41,B41)=1,MAX($AN$6:AN40)+1,""))</ns0:f>
      </ns0:c>
      <ns0:c r="AO41" t="n">
        <ns0:f>IF(AND(A41&lt;&gt;"",J41="No",N41&lt;1,E41&gt;=AsOfDate),E41+ROW()/10000,1E+9)</ns0:f>
        <ns0:v>1000000000</ns0:v>
      </ns0:c>
      <ns0:c r="AP41" t="n">
        <ns0:f>IF(AND(A41&lt;&gt;"",J41="Yes",N41&lt;1,E41&gt;=AsOfDate),E41+ROW()/10000,1E+9)</ns0:f>
        <ns0:v>46305.0041</ns0:v>
      </ns0:c>
      <ns0:c r="AQ41" t="n">
        <ns0:f>IF(AND(A41&lt;&gt;"",J41="No",N41&lt;1,F41&gt;=AsOfDate,F41&lt;=AsOfDate+7),F41+ROW()/10000,1E+9)</ns0:f>
        <ns0:v>1000000000</ns0:v>
      </ns0:c>
      <ns0:c r="AR41" t="n">
        <ns0:f>IF(AND(A41&lt;&gt;"",OR(O41&lt;&gt;"On track",Q41="Delayed")),ROW(),1E+9)</ns0:f>
        <ns0:v>1000000000</ns0:v>
      </ns0:c>
      <ns0:c r="AS41" t="str">
        <ns0:f>IF(A41="","",";"&amp;K41&amp;";")</ns0:f>
        <ns0:v>;Unassigned;</ns0:v>
      </ns0:c>
      <ns0:c r="AT41" t="n">
        <ns0:f>IF(A41="",1,--(T41=0))</ns0:f>
        <ns0:v>0</ns0:v>
      </ns0:c>
      <ns0:c r="AU41" t="n">
        <ns0:f>IF($A41="",1,IF(AT41=1,1,--AND(IF($AC41&gt;0,INDEX(AT$7:AT$106,$AC41),1),IF($AD41&gt;0,INDEX(AT$7:AT$106,$AD41),1),IF($AE41&gt;0,INDEX(AT$7:AT$106,$AE41),1),IF($AF41&gt;0,INDEX(AT$7:AT$106,$AF41),1),IF($AG41&gt;0,INDEX(AT$7:AT$106,$AG41),1),IF($AH41&gt;0,INDEX(AT$7:AT$106,$AH41),1),IF($AI41&gt;0,INDEX(AT$7:AT$106,$AI41),1),IF($AJ41&gt;0,INDEX(AT$7:AT$106,$AJ41),1))))</ns0:f>
        <ns0:v>0</ns0:v>
      </ns0:c>
      <ns0:c r="AV41" t="n">
        <ns0:f>IF($A41="",1,IF(AU41=1,1,--AND(IF($AC41&gt;0,INDEX(AU$7:AU$106,$AC41),1),IF($AD41&gt;0,INDEX(AU$7:AU$106,$AD41),1),IF($AE41&gt;0,INDEX(AU$7:AU$106,$AE41),1),IF($AF41&gt;0,INDEX(AU$7:AU$106,$AF41),1),IF($AG41&gt;0,INDEX(AU$7:AU$106,$AG41),1),IF($AH41&gt;0,INDEX(AU$7:AU$106,$AH41),1),IF($AI41&gt;0,INDEX(AU$7:AU$106,$AI41),1),IF($AJ41&gt;0,INDEX(AU$7:AU$106,$AJ41),1))))</ns0:f>
        <ns0:v>0</ns0:v>
      </ns0:c>
      <ns0:c r="AW41" t="n">
        <ns0:f>IF($A41="",1,IF(AV41=1,1,--AND(IF($AC41&gt;0,INDEX(AV$7:AV$106,$AC41),1),IF($AD41&gt;0,INDEX(AV$7:AV$106,$AD41),1),IF($AE41&gt;0,INDEX(AV$7:AV$106,$AE41),1),IF($AF41&gt;0,INDEX(AV$7:AV$106,$AF41),1),IF($AG41&gt;0,INDEX(AV$7:AV$106,$AG41),1),IF($AH41&gt;0,INDEX(AV$7:AV$106,$AH41),1),IF($AI41&gt;0,INDEX(AV$7:AV$106,$AI41),1),IF($AJ41&gt;0,INDEX(AV$7:AV$106,$AJ41),1))))</ns0:f>
        <ns0:v>0</ns0:v>
      </ns0:c>
      <ns0:c r="AX41" t="n">
        <ns0:f>IF($A41="",1,IF(AW41=1,1,--AND(IF($AC41&gt;0,INDEX(AW$7:AW$106,$AC41),1),IF($AD41&gt;0,INDEX(AW$7:AW$106,$AD41),1),IF($AE41&gt;0,INDEX(AW$7:AW$106,$AE41),1),IF($AF41&gt;0,INDEX(AW$7:AW$106,$AF41),1),IF($AG41&gt;0,INDEX(AW$7:AW$106,$AG41),1),IF($AH41&gt;0,INDEX(AW$7:AW$106,$AH41),1),IF($AI41&gt;0,INDEX(AW$7:AW$106,$AI41),1),IF($AJ41&gt;0,INDEX(AW$7:AW$106,$AJ41),1))))</ns0:f>
        <ns0:v>0</ns0:v>
      </ns0:c>
      <ns0:c r="AY41" t="n">
        <ns0:f>IF($A41="",1,IF(AX41=1,1,--AND(IF($AC41&gt;0,INDEX(AX$7:AX$106,$AC41),1),IF($AD41&gt;0,INDEX(AX$7:AX$106,$AD41),1),IF($AE41&gt;0,INDEX(AX$7:AX$106,$AE41),1),IF($AF41&gt;0,INDEX(AX$7:AX$106,$AF41),1),IF($AG41&gt;0,INDEX(AX$7:AX$106,$AG41),1),IF($AH41&gt;0,INDEX(AX$7:AX$106,$AH41),1),IF($AI41&gt;0,INDEX(AX$7:AX$106,$AI41),1),IF($AJ41&gt;0,INDEX(AX$7:AX$106,$AJ41),1))))</ns0:f>
        <ns0:v>0</ns0:v>
      </ns0:c>
      <ns0:c r="AZ41" t="n">
        <ns0:f>IF($A41="",1,IF(AY41=1,1,--AND(IF($AC41&gt;0,INDEX(AY$7:AY$106,$AC41),1),IF($AD41&gt;0,INDEX(AY$7:AY$106,$AD41),1),IF($AE41&gt;0,INDEX(AY$7:AY$106,$AE41),1),IF($AF41&gt;0,INDEX(AY$7:AY$106,$AF41),1),IF($AG41&gt;0,INDEX(AY$7:AY$106,$AG41),1),IF($AH41&gt;0,INDEX(AY$7:AY$106,$AH41),1),IF($AI41&gt;0,INDEX(AY$7:AY$106,$AI41),1),IF($AJ41&gt;0,INDEX(AY$7:AY$106,$AJ41),1))))</ns0:f>
        <ns0:v>0</ns0:v>
      </ns0:c>
      <ns0:c r="BA41" t="n">
        <ns0:f>IF($A41="",1,IF(AZ41=1,1,--AND(IF($AC41&gt;0,INDEX(AZ$7:AZ$106,$AC41),1),IF($AD41&gt;0,INDEX(AZ$7:AZ$106,$AD41),1),IF($AE41&gt;0,INDEX(AZ$7:AZ$106,$AE41),1),IF($AF41&gt;0,INDEX(AZ$7:AZ$106,$AF41),1),IF($AG41&gt;0,INDEX(AZ$7:AZ$106,$AG41),1),IF($AH41&gt;0,INDEX(AZ$7:AZ$106,$AH41),1),IF($AI41&gt;0,INDEX(AZ$7:AZ$106,$AI41),1),IF($AJ41&gt;0,INDEX(AZ$7:AZ$106,$AJ41),1))))</ns0:f>
        <ns0:v>0</ns0:v>
      </ns0:c>
      <ns0:c r="BB41" t="n">
        <ns0:f>IF($A41="",1,IF(BA41=1,1,--AND(IF($AC41&gt;0,INDEX(BA$7:BA$106,$AC41),1),IF($AD41&gt;0,INDEX(BA$7:BA$106,$AD41),1),IF($AE41&gt;0,INDEX(BA$7:BA$106,$AE41),1),IF($AF41&gt;0,INDEX(BA$7:BA$106,$AF41),1),IF($AG41&gt;0,INDEX(BA$7:BA$106,$AG41),1),IF($AH41&gt;0,INDEX(BA$7:BA$106,$AH41),1),IF($AI41&gt;0,INDEX(BA$7:BA$106,$AI41),1),IF($AJ41&gt;0,INDEX(BA$7:BA$106,$AJ41),1))))</ns0:f>
        <ns0:v>0</ns0:v>
      </ns0:c>
      <ns0:c r="BC41" t="n">
        <ns0:f>IF($A41="",1,IF(BB41=1,1,--AND(IF($AC41&gt;0,INDEX(BB$7:BB$106,$AC41),1),IF($AD41&gt;0,INDEX(BB$7:BB$106,$AD41),1),IF($AE41&gt;0,INDEX(BB$7:BB$106,$AE41),1),IF($AF41&gt;0,INDEX(BB$7:BB$106,$AF41),1),IF($AG41&gt;0,INDEX(BB$7:BB$106,$AG41),1),IF($AH41&gt;0,INDEX(BB$7:BB$106,$AH41),1),IF($AI41&gt;0,INDEX(BB$7:BB$106,$AI41),1),IF($AJ41&gt;0,INDEX(BB$7:BB$106,$AJ41),1))))</ns0:f>
        <ns0:v>0</ns0:v>
      </ns0:c>
      <ns0:c r="BD41" t="n">
        <ns0:f>IF($A41="",1,IF(BC41=1,1,--AND(IF($AC41&gt;0,INDEX(BC$7:BC$106,$AC41),1),IF($AD41&gt;0,INDEX(BC$7:BC$106,$AD41),1),IF($AE41&gt;0,INDEX(BC$7:BC$106,$AE41),1),IF($AF41&gt;0,INDEX(BC$7:BC$106,$AF41),1),IF($AG41&gt;0,INDEX(BC$7:BC$106,$AG41),1),IF($AH41&gt;0,INDEX(BC$7:BC$106,$AH41),1),IF($AI41&gt;0,INDEX(BC$7:BC$106,$AI41),1),IF($AJ41&gt;0,INDEX(BC$7:BC$106,$AJ41),1))))</ns0:f>
        <ns0:v>0</ns0:v>
      </ns0:c>
      <ns0:c r="BE41" t="n">
        <ns0:f>IF($A41="",1,IF(BD41=1,1,--AND(IF($AC41&gt;0,INDEX(BD$7:BD$106,$AC41),1),IF($AD41&gt;0,INDEX(BD$7:BD$106,$AD41),1),IF($AE41&gt;0,INDEX(BD$7:BD$106,$AE41),1),IF($AF41&gt;0,INDEX(BD$7:BD$106,$AF41),1),IF($AG41&gt;0,INDEX(BD$7:BD$106,$AG41),1),IF($AH41&gt;0,INDEX(BD$7:BD$106,$AH41),1),IF($AI41&gt;0,INDEX(BD$7:BD$106,$AI41),1),IF($AJ41&gt;0,INDEX(BD$7:BD$106,$AJ41),1))))</ns0:f>
        <ns0:v>0</ns0:v>
      </ns0:c>
      <ns0:c r="BF41" t="n">
        <ns0:f>IF($A41="",1,IF(BE41=1,1,--AND(IF($AC41&gt;0,INDEX(BE$7:BE$106,$AC41),1),IF($AD41&gt;0,INDEX(BE$7:BE$106,$AD41),1),IF($AE41&gt;0,INDEX(BE$7:BE$106,$AE41),1),IF($AF41&gt;0,INDEX(BE$7:BE$106,$AF41),1),IF($AG41&gt;0,INDEX(BE$7:BE$106,$AG41),1),IF($AH41&gt;0,INDEX(BE$7:BE$106,$AH41),1),IF($AI41&gt;0,INDEX(BE$7:BE$106,$AI41),1),IF($AJ41&gt;0,INDEX(BE$7:BE$106,$AJ41),1))))</ns0:f>
        <ns0:v>0</ns0:v>
      </ns0:c>
      <ns0:c r="BG41" t="n">
        <ns0:f>IF($A41="",1,IF(BF41=1,1,--AND(IF($AC41&gt;0,INDEX(BF$7:BF$106,$AC41),1),IF($AD41&gt;0,INDEX(BF$7:BF$106,$AD41),1),IF($AE41&gt;0,INDEX(BF$7:BF$106,$AE41),1),IF($AF41&gt;0,INDEX(BF$7:BF$106,$AF41),1),IF($AG41&gt;0,INDEX(BF$7:BF$106,$AG41),1),IF($AH41&gt;0,INDEX(BF$7:BF$106,$AH41),1),IF($AI41&gt;0,INDEX(BF$7:BF$106,$AI41),1),IF($AJ41&gt;0,INDEX(BF$7:BF$106,$AJ41),1))))</ns0:f>
        <ns0:v>0</ns0:v>
      </ns0:c>
      <ns0:c r="BH41" t="n">
        <ns0:f>IF($A41="",1,IF(BG41=1,1,--AND(IF($AC41&gt;0,INDEX(BG$7:BG$106,$AC41),1),IF($AD41&gt;0,INDEX(BG$7:BG$106,$AD41),1),IF($AE41&gt;0,INDEX(BG$7:BG$106,$AE41),1),IF($AF41&gt;0,INDEX(BG$7:BG$106,$AF41),1),IF($AG41&gt;0,INDEX(BG$7:BG$106,$AG41),1),IF($AH41&gt;0,INDEX(BG$7:BG$106,$AH41),1),IF($AI41&gt;0,INDEX(BG$7:BG$106,$AI41),1),IF($AJ41&gt;0,INDEX(BG$7:BG$106,$AJ41),1))))</ns0:f>
        <ns0:v>0</ns0:v>
      </ns0:c>
      <ns0:c r="BI41" t="n">
        <ns0:f>IF($A41="",1,IF(BH41=1,1,--AND(IF($AC41&gt;0,INDEX(BH$7:BH$106,$AC41),1),IF($AD41&gt;0,INDEX(BH$7:BH$106,$AD41),1),IF($AE41&gt;0,INDEX(BH$7:BH$106,$AE41),1),IF($AF41&gt;0,INDEX(BH$7:BH$106,$AF41),1),IF($AG41&gt;0,INDEX(BH$7:BH$106,$AG41),1),IF($AH41&gt;0,INDEX(BH$7:BH$106,$AH41),1),IF($AI41&gt;0,INDEX(BH$7:BH$106,$AI41),1),IF($AJ41&gt;0,INDEX(BH$7:BH$106,$AJ41),1))))</ns0:f>
        <ns0:v>1</ns0:v>
      </ns0:c>
      <ns0:c r="BJ41" t="n">
        <ns0:f>IF($A41="",1,IF(BI41=1,1,--AND(IF($AC41&gt;0,INDEX(BI$7:BI$106,$AC41),1),IF($AD41&gt;0,INDEX(BI$7:BI$106,$AD41),1),IF($AE41&gt;0,INDEX(BI$7:BI$106,$AE41),1),IF($AF41&gt;0,INDEX(BI$7:BI$106,$AF41),1),IF($AG41&gt;0,INDEX(BI$7:BI$106,$AG41),1),IF($AH41&gt;0,INDEX(BI$7:BI$106,$AH41),1),IF($AI41&gt;0,INDEX(BI$7:BI$106,$AI41),1),IF($AJ41&gt;0,INDEX(BI$7:BI$106,$AJ41),1))))</ns0:f>
        <ns0:v>1</ns0:v>
      </ns0:c>
      <ns0:c r="BK41" t="n">
        <ns0:f>IF($A41="",1,IF(BJ41=1,1,--AND(IF($AC41&gt;0,INDEX(BJ$7:BJ$106,$AC41),1),IF($AD41&gt;0,INDEX(BJ$7:BJ$106,$AD41),1),IF($AE41&gt;0,INDEX(BJ$7:BJ$106,$AE41),1),IF($AF41&gt;0,INDEX(BJ$7:BJ$106,$AF41),1),IF($AG41&gt;0,INDEX(BJ$7:BJ$106,$AG41),1),IF($AH41&gt;0,INDEX(BJ$7:BJ$106,$AH41),1),IF($AI41&gt;0,INDEX(BJ$7:BJ$106,$AI41),1),IF($AJ41&gt;0,INDEX(BJ$7:BJ$106,$AJ41),1))))</ns0:f>
        <ns0:v>1</ns0:v>
      </ns0:c>
      <ns0:c r="BL41" t="n">
        <ns0:f>IF($A41="",1,IF(BK41=1,1,--AND(IF($AC41&gt;0,INDEX(BK$7:BK$106,$AC41),1),IF($AD41&gt;0,INDEX(BK$7:BK$106,$AD41),1),IF($AE41&gt;0,INDEX(BK$7:BK$106,$AE41),1),IF($AF41&gt;0,INDEX(BK$7:BK$106,$AF41),1),IF($AG41&gt;0,INDEX(BK$7:BK$106,$AG41),1),IF($AH41&gt;0,INDEX(BK$7:BK$106,$AH41),1),IF($AI41&gt;0,INDEX(BK$7:BK$106,$AI41),1),IF($AJ41&gt;0,INDEX(BK$7:BK$106,$AJ41),1))))</ns0:f>
        <ns0:v>1</ns0:v>
      </ns0:c>
      <ns0:c r="BM41" t="n">
        <ns0:f>IF($A41="",1,IF(BL41=1,1,--AND(IF($AC41&gt;0,INDEX(BL$7:BL$106,$AC41),1),IF($AD41&gt;0,INDEX(BL$7:BL$106,$AD41),1),IF($AE41&gt;0,INDEX(BL$7:BL$106,$AE41),1),IF($AF41&gt;0,INDEX(BL$7:BL$106,$AF41),1),IF($AG41&gt;0,INDEX(BL$7:BL$106,$AG41),1),IF($AH41&gt;0,INDEX(BL$7:BL$106,$AH41),1),IF($AI41&gt;0,INDEX(BL$7:BL$106,$AI41),1),IF($AJ41&gt;0,INDEX(BL$7:BL$106,$AJ41),1))))</ns0:f>
        <ns0:v>1</ns0:v>
      </ns0:c>
      <ns0:c r="BN41" t="n">
        <ns0:f>IF($A41="",1,IF(BM41=1,1,--AND(IF($AC41&gt;0,INDEX(BM$7:BM$106,$AC41),1),IF($AD41&gt;0,INDEX(BM$7:BM$106,$AD41),1),IF($AE41&gt;0,INDEX(BM$7:BM$106,$AE41),1),IF($AF41&gt;0,INDEX(BM$7:BM$106,$AF41),1),IF($AG41&gt;0,INDEX(BM$7:BM$106,$AG41),1),IF($AH41&gt;0,INDEX(BM$7:BM$106,$AH41),1),IF($AI41&gt;0,INDEX(BM$7:BM$106,$AI41),1),IF($AJ41&gt;0,INDEX(BM$7:BM$106,$AJ41),1))))</ns0:f>
        <ns0:v>1</ns0:v>
      </ns0:c>
      <ns0:c r="BO41" t="n">
        <ns0:f>IF($A41="",1,IF(BN41=1,1,--AND(IF($AC41&gt;0,INDEX(BN$7:BN$106,$AC41),1),IF($AD41&gt;0,INDEX(BN$7:BN$106,$AD41),1),IF($AE41&gt;0,INDEX(BN$7:BN$106,$AE41),1),IF($AF41&gt;0,INDEX(BN$7:BN$106,$AF41),1),IF($AG41&gt;0,INDEX(BN$7:BN$106,$AG41),1),IF($AH41&gt;0,INDEX(BN$7:BN$106,$AH41),1),IF($AI41&gt;0,INDEX(BN$7:BN$106,$AI41),1),IF($AJ41&gt;0,INDEX(BN$7:BN$106,$AJ41),1))))</ns0:f>
        <ns0:v>1</ns0:v>
      </ns0:c>
      <ns0:c r="BP41" t="n">
        <ns0:f>IF($A41="",1,IF(BO41=1,1,--AND(IF($AC41&gt;0,INDEX(BO$7:BO$106,$AC41),1),IF($AD41&gt;0,INDEX(BO$7:BO$106,$AD41),1),IF($AE41&gt;0,INDEX(BO$7:BO$106,$AE41),1),IF($AF41&gt;0,INDEX(BO$7:BO$106,$AF41),1),IF($AG41&gt;0,INDEX(BO$7:BO$106,$AG41),1),IF($AH41&gt;0,INDEX(BO$7:BO$106,$AH41),1),IF($AI41&gt;0,INDEX(BO$7:BO$106,$AI41),1),IF($AJ41&gt;0,INDEX(BO$7:BO$106,$AJ41),1))))</ns0:f>
        <ns0:v>1</ns0:v>
      </ns0:c>
      <ns0:c r="BQ41" t="n">
        <ns0:f>IF($A41="",1,IF(BP41=1,1,--AND(IF($AC41&gt;0,INDEX(BP$7:BP$106,$AC41),1),IF($AD41&gt;0,INDEX(BP$7:BP$106,$AD41),1),IF($AE41&gt;0,INDEX(BP$7:BP$106,$AE41),1),IF($AF41&gt;0,INDEX(BP$7:BP$106,$AF41),1),IF($AG41&gt;0,INDEX(BP$7:BP$106,$AG41),1),IF($AH41&gt;0,INDEX(BP$7:BP$106,$AH41),1),IF($AI41&gt;0,INDEX(BP$7:BP$106,$AI41),1),IF($AJ41&gt;0,INDEX(BP$7:BP$106,$AJ41),1))))</ns0:f>
        <ns0:v>1</ns0:v>
      </ns0:c>
      <ns0:c r="BR41" t="n">
        <ns0:f>IF($A41="",1,IF(BQ41=1,1,--AND(IF($AC41&gt;0,INDEX(BQ$7:BQ$106,$AC41),1),IF($AD41&gt;0,INDEX(BQ$7:BQ$106,$AD41),1),IF($AE41&gt;0,INDEX(BQ$7:BQ$106,$AE41),1),IF($AF41&gt;0,INDEX(BQ$7:BQ$106,$AF41),1),IF($AG41&gt;0,INDEX(BQ$7:BQ$106,$AG41),1),IF($AH41&gt;0,INDEX(BQ$7:BQ$106,$AH41),1),IF($AI41&gt;0,INDEX(BQ$7:BQ$106,$AI41),1),IF($AJ41&gt;0,INDEX(BQ$7:BQ$106,$AJ41),1))))</ns0:f>
        <ns0:v>1</ns0:v>
      </ns0:c>
      <ns0:c r="BS41" t="n">
        <ns0:f>IF($A41="",1,IF(BR41=1,1,--AND(IF($AC41&gt;0,INDEX(BR$7:BR$106,$AC41),1),IF($AD41&gt;0,INDEX(BR$7:BR$106,$AD41),1),IF($AE41&gt;0,INDEX(BR$7:BR$106,$AE41),1),IF($AF41&gt;0,INDEX(BR$7:BR$106,$AF41),1),IF($AG41&gt;0,INDEX(BR$7:BR$106,$AG41),1),IF($AH41&gt;0,INDEX(BR$7:BR$106,$AH41),1),IF($AI41&gt;0,INDEX(BR$7:BR$106,$AI41),1),IF($AJ41&gt;0,INDEX(BR$7:BR$106,$AJ41),1))))</ns0:f>
        <ns0:v>1</ns0:v>
      </ns0:c>
      <ns0:c r="BT41" t="n">
        <ns0:f>IF($A41="",1,IF(BS41=1,1,--AND(IF($AC41&gt;0,INDEX(BS$7:BS$106,$AC41),1),IF($AD41&gt;0,INDEX(BS$7:BS$106,$AD41),1),IF($AE41&gt;0,INDEX(BS$7:BS$106,$AE41),1),IF($AF41&gt;0,INDEX(BS$7:BS$106,$AF41),1),IF($AG41&gt;0,INDEX(BS$7:BS$106,$AG41),1),IF($AH41&gt;0,INDEX(BS$7:BS$106,$AH41),1),IF($AI41&gt;0,INDEX(BS$7:BS$106,$AI41),1),IF($AJ41&gt;0,INDEX(BS$7:BS$106,$AJ41),1))))</ns0:f>
        <ns0:v>1</ns0:v>
      </ns0:c>
      <ns0:c r="BU41" t="n">
        <ns0:f>IF($A41="",1,IF(BT41=1,1,--AND(IF($AC41&gt;0,INDEX(BT$7:BT$106,$AC41),1),IF($AD41&gt;0,INDEX(BT$7:BT$106,$AD41),1),IF($AE41&gt;0,INDEX(BT$7:BT$106,$AE41),1),IF($AF41&gt;0,INDEX(BT$7:BT$106,$AF41),1),IF($AG41&gt;0,INDEX(BT$7:BT$106,$AG41),1),IF($AH41&gt;0,INDEX(BT$7:BT$106,$AH41),1),IF($AI41&gt;0,INDEX(BT$7:BT$106,$AI41),1),IF($AJ41&gt;0,INDEX(BT$7:BT$106,$AJ41),1))))</ns0:f>
        <ns0:v>1</ns0:v>
      </ns0:c>
      <ns0:c r="BV41" t="n">
        <ns0:f>IF($A41="",1,IF(BU41=1,1,--AND(IF($AC41&gt;0,INDEX(BU$7:BU$106,$AC41),1),IF($AD41&gt;0,INDEX(BU$7:BU$106,$AD41),1),IF($AE41&gt;0,INDEX(BU$7:BU$106,$AE41),1),IF($AF41&gt;0,INDEX(BU$7:BU$106,$AF41),1),IF($AG41&gt;0,INDEX(BU$7:BU$106,$AG41),1),IF($AH41&gt;0,INDEX(BU$7:BU$106,$AH41),1),IF($AI41&gt;0,INDEX(BU$7:BU$106,$AI41),1),IF($AJ41&gt;0,INDEX(BU$7:BU$106,$AJ41),1))))</ns0:f>
        <ns0:v>1</ns0:v>
      </ns0:c>
      <ns0:c r="BW41" t="n">
        <ns0:f>IF($A41="",1,IF(BV41=1,1,--AND(IF($AC41&gt;0,INDEX(BV$7:BV$106,$AC41),1),IF($AD41&gt;0,INDEX(BV$7:BV$106,$AD41),1),IF($AE41&gt;0,INDEX(BV$7:BV$106,$AE41),1),IF($AF41&gt;0,INDEX(BV$7:BV$106,$AF41),1),IF($AG41&gt;0,INDEX(BV$7:BV$106,$AG41),1),IF($AH41&gt;0,INDEX(BV$7:BV$106,$AH41),1),IF($AI41&gt;0,INDEX(BV$7:BV$106,$AI41),1),IF($AJ41&gt;0,INDEX(BV$7:BV$106,$AJ41),1))))</ns0:f>
        <ns0:v>1</ns0:v>
      </ns0:c>
      <ns0:c r="BX41" t="n">
        <ns0:f>IF($A41="",1,IF(BW41=1,1,--AND(IF($AC41&gt;0,INDEX(BW$7:BW$106,$AC41),1),IF($AD41&gt;0,INDEX(BW$7:BW$106,$AD41),1),IF($AE41&gt;0,INDEX(BW$7:BW$106,$AE41),1),IF($AF41&gt;0,INDEX(BW$7:BW$106,$AF41),1),IF($AG41&gt;0,INDEX(BW$7:BW$106,$AG41),1),IF($AH41&gt;0,INDEX(BW$7:BW$106,$AH41),1),IF($AI41&gt;0,INDEX(BW$7:BW$106,$AI41),1),IF($AJ41&gt;0,INDEX(BW$7:BW$106,$AJ41),1))))</ns0:f>
        <ns0:v>1</ns0:v>
      </ns0:c>
      <ns0:c r="BY41" t="n">
        <ns0:f>IF($A41="",1,IF(BX41=1,1,--AND(IF($AC41&gt;0,INDEX(BX$7:BX$106,$AC41),1),IF($AD41&gt;0,INDEX(BX$7:BX$106,$AD41),1),IF($AE41&gt;0,INDEX(BX$7:BX$106,$AE41),1),IF($AF41&gt;0,INDEX(BX$7:BX$106,$AF41),1),IF($AG41&gt;0,INDEX(BX$7:BX$106,$AG41),1),IF($AH41&gt;0,INDEX(BX$7:BX$106,$AH41),1),IF($AI41&gt;0,INDEX(BX$7:BX$106,$AI41),1),IF($AJ41&gt;0,INDEX(BX$7:BX$106,$AJ41),1))))</ns0:f>
        <ns0:v>1</ns0:v>
      </ns0:c>
      <ns0:c r="BZ41" t="n">
        <ns0:f>IF($A41="",1,IF(BY41=1,1,--AND(IF($AC41&gt;0,INDEX(BY$7:BY$106,$AC41),1),IF($AD41&gt;0,INDEX(BY$7:BY$106,$AD41),1),IF($AE41&gt;0,INDEX(BY$7:BY$106,$AE41),1),IF($AF41&gt;0,INDEX(BY$7:BY$106,$AF41),1),IF($AG41&gt;0,INDEX(BY$7:BY$106,$AG41),1),IF($AH41&gt;0,INDEX(BY$7:BY$106,$AH41),1),IF($AI41&gt;0,INDEX(BY$7:BY$106,$AI41),1),IF($AJ41&gt;0,INDEX(BY$7:BY$106,$AJ41),1))))</ns0:f>
        <ns0:v>1</ns0:v>
      </ns0:c>
      <ns0:c r="CA41" t="n">
        <ns0:f>IF($A41="",1,IF(BZ41=1,1,--AND(IF($AC41&gt;0,INDEX(BZ$7:BZ$106,$AC41),1),IF($AD41&gt;0,INDEX(BZ$7:BZ$106,$AD41),1),IF($AE41&gt;0,INDEX(BZ$7:BZ$106,$AE41),1),IF($AF41&gt;0,INDEX(BZ$7:BZ$106,$AF41),1),IF($AG41&gt;0,INDEX(BZ$7:BZ$106,$AG41),1),IF($AH41&gt;0,INDEX(BZ$7:BZ$106,$AH41),1),IF($AI41&gt;0,INDEX(BZ$7:BZ$106,$AI41),1),IF($AJ41&gt;0,INDEX(BZ$7:BZ$106,$AJ41),1))))</ns0:f>
        <ns0:v>1</ns0:v>
      </ns0:c>
      <ns0:c r="CB41" t="n">
        <ns0:f>IF($A41="",1,IF(CA41=1,1,--AND(IF($AC41&gt;0,INDEX(CA$7:CA$106,$AC41),1),IF($AD41&gt;0,INDEX(CA$7:CA$106,$AD41),1),IF($AE41&gt;0,INDEX(CA$7:CA$106,$AE41),1),IF($AF41&gt;0,INDEX(CA$7:CA$106,$AF41),1),IF($AG41&gt;0,INDEX(CA$7:CA$106,$AG41),1),IF($AH41&gt;0,INDEX(CA$7:CA$106,$AH41),1),IF($AI41&gt;0,INDEX(CA$7:CA$106,$AI41),1),IF($AJ41&gt;0,INDEX(CA$7:CA$106,$AJ41),1))))</ns0:f>
        <ns0:v>1</ns0:v>
      </ns0:c>
      <ns0:c r="CC41" t="n">
        <ns0:f>IF($A41="",1,IF(CB41=1,1,--AND(IF($AC41&gt;0,INDEX(CB$7:CB$106,$AC41),1),IF($AD41&gt;0,INDEX(CB$7:CB$106,$AD41),1),IF($AE41&gt;0,INDEX(CB$7:CB$106,$AE41),1),IF($AF41&gt;0,INDEX(CB$7:CB$106,$AF41),1),IF($AG41&gt;0,INDEX(CB$7:CB$106,$AG41),1),IF($AH41&gt;0,INDEX(CB$7:CB$106,$AH41),1),IF($AI41&gt;0,INDEX(CB$7:CB$106,$AI41),1),IF($AJ41&gt;0,INDEX(CB$7:CB$106,$AJ41),1))))</ns0:f>
        <ns0:v>1</ns0:v>
      </ns0:c>
      <ns0:c r="CD41" t="n">
        <ns0:f>IF($A41="",1,IF(CC41=1,1,--AND(IF($AC41&gt;0,INDEX(CC$7:CC$106,$AC41),1),IF($AD41&gt;0,INDEX(CC$7:CC$106,$AD41),1),IF($AE41&gt;0,INDEX(CC$7:CC$106,$AE41),1),IF($AF41&gt;0,INDEX(CC$7:CC$106,$AF41),1),IF($AG41&gt;0,INDEX(CC$7:CC$106,$AG41),1),IF($AH41&gt;0,INDEX(CC$7:CC$106,$AH41),1),IF($AI41&gt;0,INDEX(CC$7:CC$106,$AI41),1),IF($AJ41&gt;0,INDEX(CC$7:CC$106,$AJ41),1))))</ns0:f>
        <ns0:v>1</ns0:v>
      </ns0:c>
      <ns0:c r="CE41" t="n">
        <ns0:f>IF($A41="",1,IF(CD41=1,1,--AND(IF($AC41&gt;0,INDEX(CD$7:CD$106,$AC41),1),IF($AD41&gt;0,INDEX(CD$7:CD$106,$AD41),1),IF($AE41&gt;0,INDEX(CD$7:CD$106,$AE41),1),IF($AF41&gt;0,INDEX(CD$7:CD$106,$AF41),1),IF($AG41&gt;0,INDEX(CD$7:CD$106,$AG41),1),IF($AH41&gt;0,INDEX(CD$7:CD$106,$AH41),1),IF($AI41&gt;0,INDEX(CD$7:CD$106,$AI41),1),IF($AJ41&gt;0,INDEX(CD$7:CD$106,$AJ41),1))))</ns0:f>
        <ns0:v>1</ns0:v>
      </ns0:c>
      <ns0:c r="CF41" t="n">
        <ns0:f>IF($A41="",1,IF(CE41=1,1,--AND(IF($AC41&gt;0,INDEX(CE$7:CE$106,$AC41),1),IF($AD41&gt;0,INDEX(CE$7:CE$106,$AD41),1),IF($AE41&gt;0,INDEX(CE$7:CE$106,$AE41),1),IF($AF41&gt;0,INDEX(CE$7:CE$106,$AF41),1),IF($AG41&gt;0,INDEX(CE$7:CE$106,$AG41),1),IF($AH41&gt;0,INDEX(CE$7:CE$106,$AH41),1),IF($AI41&gt;0,INDEX(CE$7:CE$106,$AI41),1),IF($AJ41&gt;0,INDEX(CE$7:CE$106,$AJ41),1))))</ns0:f>
        <ns0:v>1</ns0:v>
      </ns0:c>
      <ns0:c r="CG41" t="n">
        <ns0:f>IF($A41="",1,IF(CF41=1,1,--AND(IF($AC41&gt;0,INDEX(CF$7:CF$106,$AC41),1),IF($AD41&gt;0,INDEX(CF$7:CF$106,$AD41),1),IF($AE41&gt;0,INDEX(CF$7:CF$106,$AE41),1),IF($AF41&gt;0,INDEX(CF$7:CF$106,$AF41),1),IF($AG41&gt;0,INDEX(CF$7:CF$106,$AG41),1),IF($AH41&gt;0,INDEX(CF$7:CF$106,$AH41),1),IF($AI41&gt;0,INDEX(CF$7:CF$106,$AI41),1),IF($AJ41&gt;0,INDEX(CF$7:CF$106,$AJ41),1))))</ns0:f>
        <ns0:v>1</ns0:v>
      </ns0:c>
      <ns0:c r="CH41" t="n">
        <ns0:f>IF($A41="",1,IF(CG41=1,1,--AND(IF($AC41&gt;0,INDEX(CG$7:CG$106,$AC41),1),IF($AD41&gt;0,INDEX(CG$7:CG$106,$AD41),1),IF($AE41&gt;0,INDEX(CG$7:CG$106,$AE41),1),IF($AF41&gt;0,INDEX(CG$7:CG$106,$AF41),1),IF($AG41&gt;0,INDEX(CG$7:CG$106,$AG41),1),IF($AH41&gt;0,INDEX(CG$7:CG$106,$AH41),1),IF($AI41&gt;0,INDEX(CG$7:CG$106,$AI41),1),IF($AJ41&gt;0,INDEX(CG$7:CG$106,$AJ41),1))))</ns0:f>
        <ns0:v>1</ns0:v>
      </ns0:c>
      <ns0:c r="CI41" t="n">
        <ns0:f>IF($A41="",1,IF(CH41=1,1,--AND(IF($AC41&gt;0,INDEX(CH$7:CH$106,$AC41),1),IF($AD41&gt;0,INDEX(CH$7:CH$106,$AD41),1),IF($AE41&gt;0,INDEX(CH$7:CH$106,$AE41),1),IF($AF41&gt;0,INDEX(CH$7:CH$106,$AF41),1),IF($AG41&gt;0,INDEX(CH$7:CH$106,$AG41),1),IF($AH41&gt;0,INDEX(CH$7:CH$106,$AH41),1),IF($AI41&gt;0,INDEX(CH$7:CH$106,$AI41),1),IF($AJ41&gt;0,INDEX(CH$7:CH$106,$AJ41),1))))</ns0:f>
        <ns0:v>1</ns0:v>
      </ns0:c>
      <ns0:c r="CJ41" t="n">
        <ns0:f>IF($A41="",1,IF(CI41=1,1,--AND(IF($AC41&gt;0,INDEX(CI$7:CI$106,$AC41),1),IF($AD41&gt;0,INDEX(CI$7:CI$106,$AD41),1),IF($AE41&gt;0,INDEX(CI$7:CI$106,$AE41),1),IF($AF41&gt;0,INDEX(CI$7:CI$106,$AF41),1),IF($AG41&gt;0,INDEX(CI$7:CI$106,$AG41),1),IF($AH41&gt;0,INDEX(CI$7:CI$106,$AH41),1),IF($AI41&gt;0,INDEX(CI$7:CI$106,$AI41),1),IF($AJ41&gt;0,INDEX(CI$7:CI$106,$AJ41),1))))</ns0:f>
        <ns0:v>1</ns0:v>
      </ns0:c>
      <ns0:c r="CK41" t="n">
        <ns0:f>IF($A41="",1,IF(CJ41=1,1,--AND(IF($AC41&gt;0,INDEX(CJ$7:CJ$106,$AC41),1),IF($AD41&gt;0,INDEX(CJ$7:CJ$106,$AD41),1),IF($AE41&gt;0,INDEX(CJ$7:CJ$106,$AE41),1),IF($AF41&gt;0,INDEX(CJ$7:CJ$106,$AF41),1),IF($AG41&gt;0,INDEX(CJ$7:CJ$106,$AG41),1),IF($AH41&gt;0,INDEX(CJ$7:CJ$106,$AH41),1),IF($AI41&gt;0,INDEX(CJ$7:CJ$106,$AI41),1),IF($AJ41&gt;0,INDEX(CJ$7:CJ$106,$AJ41),1))))</ns0:f>
        <ns0:v>1</ns0:v>
      </ns0:c>
      <ns0:c r="CL41" t="n">
        <ns0:f>IF($A41="",1,IF(CK41=1,1,--AND(IF($AC41&gt;0,INDEX(CK$7:CK$106,$AC41),1),IF($AD41&gt;0,INDEX(CK$7:CK$106,$AD41),1),IF($AE41&gt;0,INDEX(CK$7:CK$106,$AE41),1),IF($AF41&gt;0,INDEX(CK$7:CK$106,$AF41),1),IF($AG41&gt;0,INDEX(CK$7:CK$106,$AG41),1),IF($AH41&gt;0,INDEX(CK$7:CK$106,$AH41),1),IF($AI41&gt;0,INDEX(CK$7:CK$106,$AI41),1),IF($AJ41&gt;0,INDEX(CK$7:CK$106,$AJ41),1))))</ns0:f>
        <ns0:v>1</ns0:v>
      </ns0:c>
      <ns0:c r="CM41" t="n">
        <ns0:f>IF($A41="",1,IF(CL41=1,1,--AND(IF($AC41&gt;0,INDEX(CL$7:CL$106,$AC41),1),IF($AD41&gt;0,INDEX(CL$7:CL$106,$AD41),1),IF($AE41&gt;0,INDEX(CL$7:CL$106,$AE41),1),IF($AF41&gt;0,INDEX(CL$7:CL$106,$AF41),1),IF($AG41&gt;0,INDEX(CL$7:CL$106,$AG41),1),IF($AH41&gt;0,INDEX(CL$7:CL$106,$AH41),1),IF($AI41&gt;0,INDEX(CL$7:CL$106,$AI41),1),IF($AJ41&gt;0,INDEX(CL$7:CL$106,$AJ41),1))))</ns0:f>
        <ns0:v>1</ns0:v>
      </ns0:c>
      <ns0:c r="CN41" t="n">
        <ns0:f>IF($A41="",1,IF(CM41=1,1,--AND(IF($AC41&gt;0,INDEX(CM$7:CM$106,$AC41),1),IF($AD41&gt;0,INDEX(CM$7:CM$106,$AD41),1),IF($AE41&gt;0,INDEX(CM$7:CM$106,$AE41),1),IF($AF41&gt;0,INDEX(CM$7:CM$106,$AF41),1),IF($AG41&gt;0,INDEX(CM$7:CM$106,$AG41),1),IF($AH41&gt;0,INDEX(CM$7:CM$106,$AH41),1),IF($AI41&gt;0,INDEX(CM$7:CM$106,$AI41),1),IF($AJ41&gt;0,INDEX(CM$7:CM$106,$AJ41),1))))</ns0:f>
        <ns0:v>1</ns0:v>
      </ns0:c>
      <ns0:c r="CO41" t="n">
        <ns0:f>IF($A41="",1,IF(CN41=1,1,--AND(IF($AC41&gt;0,INDEX(CN$7:CN$106,$AC41),1),IF($AD41&gt;0,INDEX(CN$7:CN$106,$AD41),1),IF($AE41&gt;0,INDEX(CN$7:CN$106,$AE41),1),IF($AF41&gt;0,INDEX(CN$7:CN$106,$AF41),1),IF($AG41&gt;0,INDEX(CN$7:CN$106,$AG41),1),IF($AH41&gt;0,INDEX(CN$7:CN$106,$AH41),1),IF($AI41&gt;0,INDEX(CN$7:CN$106,$AI41),1),IF($AJ41&gt;0,INDEX(CN$7:CN$106,$AJ41),1))))</ns0:f>
        <ns0:v>1</ns0:v>
      </ns0:c>
      <ns0:c r="CP41" t="n">
        <ns0:f>IF($A41="",1,IF(CO41=1,1,--AND(IF($AC41&gt;0,INDEX(CO$7:CO$106,$AC41),1),IF($AD41&gt;0,INDEX(CO$7:CO$106,$AD41),1),IF($AE41&gt;0,INDEX(CO$7:CO$106,$AE41),1),IF($AF41&gt;0,INDEX(CO$7:CO$106,$AF41),1),IF($AG41&gt;0,INDEX(CO$7:CO$106,$AG41),1),IF($AH41&gt;0,INDEX(CO$7:CO$106,$AH41),1),IF($AI41&gt;0,INDEX(CO$7:CO$106,$AI41),1),IF($AJ41&gt;0,INDEX(CO$7:CO$106,$AJ41),1))))</ns0:f>
        <ns0:v>1</ns0:v>
      </ns0:c>
      <ns0:c r="CQ41" t="n">
        <ns0:f>IF($A41="",1,IF(CP41=1,1,--AND(IF($AC41&gt;0,INDEX(CP$7:CP$106,$AC41),1),IF($AD41&gt;0,INDEX(CP$7:CP$106,$AD41),1),IF($AE41&gt;0,INDEX(CP$7:CP$106,$AE41),1),IF($AF41&gt;0,INDEX(CP$7:CP$106,$AF41),1),IF($AG41&gt;0,INDEX(CP$7:CP$106,$AG41),1),IF($AH41&gt;0,INDEX(CP$7:CP$106,$AH41),1),IF($AI41&gt;0,INDEX(CP$7:CP$106,$AI41),1),IF($AJ41&gt;0,INDEX(CP$7:CP$106,$AJ41),1))))</ns0:f>
        <ns0:v>1</ns0:v>
      </ns0:c>
      <ns0:c r="CR41" t="n">
        <ns0:f>IF($A41="",1,IF(CQ41=1,1,--AND(IF($AC41&gt;0,INDEX(CQ$7:CQ$106,$AC41),1),IF($AD41&gt;0,INDEX(CQ$7:CQ$106,$AD41),1),IF($AE41&gt;0,INDEX(CQ$7:CQ$106,$AE41),1),IF($AF41&gt;0,INDEX(CQ$7:CQ$106,$AF41),1),IF($AG41&gt;0,INDEX(CQ$7:CQ$106,$AG41),1),IF($AH41&gt;0,INDEX(CQ$7:CQ$106,$AH41),1),IF($AI41&gt;0,INDEX(CQ$7:CQ$106,$AI41),1),IF($AJ41&gt;0,INDEX(CQ$7:CQ$106,$AJ41),1))))</ns0:f>
        <ns0:v>1</ns0:v>
      </ns0:c>
      <ns0:c r="CS41" t="n">
        <ns0:f>IF($A41="",1,IF(CR41=1,1,--AND(IF($AC41&gt;0,INDEX(CR$7:CR$106,$AC41),1),IF($AD41&gt;0,INDEX(CR$7:CR$106,$AD41),1),IF($AE41&gt;0,INDEX(CR$7:CR$106,$AE41),1),IF($AF41&gt;0,INDEX(CR$7:CR$106,$AF41),1),IF($AG41&gt;0,INDEX(CR$7:CR$106,$AG41),1),IF($AH41&gt;0,INDEX(CR$7:CR$106,$AH41),1),IF($AI41&gt;0,INDEX(CR$7:CR$106,$AI41),1),IF($AJ41&gt;0,INDEX(CR$7:CR$106,$AJ41),1))))</ns0:f>
        <ns0:v>1</ns0:v>
      </ns0:c>
      <ns0:c r="CT41" t="n">
        <ns0:f>IF($A41="",1,IF(CS41=1,1,--AND(IF($AC41&gt;0,INDEX(CS$7:CS$106,$AC41),1),IF($AD41&gt;0,INDEX(CS$7:CS$106,$AD41),1),IF($AE41&gt;0,INDEX(CS$7:CS$106,$AE41),1),IF($AF41&gt;0,INDEX(CS$7:CS$106,$AF41),1),IF($AG41&gt;0,INDEX(CS$7:CS$106,$AG41),1),IF($AH41&gt;0,INDEX(CS$7:CS$106,$AH41),1),IF($AI41&gt;0,INDEX(CS$7:CS$106,$AI41),1),IF($AJ41&gt;0,INDEX(CS$7:CS$106,$AJ41),1))))</ns0:f>
        <ns0:v>1</ns0:v>
      </ns0:c>
      <ns0:c r="CU41" t="n">
        <ns0:f>IF($A41="",1,IF(CT41=1,1,--AND(IF($AC41&gt;0,INDEX(CT$7:CT$106,$AC41),1),IF($AD41&gt;0,INDEX(CT$7:CT$106,$AD41),1),IF($AE41&gt;0,INDEX(CT$7:CT$106,$AE41),1),IF($AF41&gt;0,INDEX(CT$7:CT$106,$AF41),1),IF($AG41&gt;0,INDEX(CT$7:CT$106,$AG41),1),IF($AH41&gt;0,INDEX(CT$7:CT$106,$AH41),1),IF($AI41&gt;0,INDEX(CT$7:CT$106,$AI41),1),IF($AJ41&gt;0,INDEX(CT$7:CT$106,$AJ41),1))))</ns0:f>
        <ns0:v>1</ns0:v>
      </ns0:c>
      <ns0:c r="CV41" t="n">
        <ns0:f>IF($A41="",1,IF(CU41=1,1,--AND(IF($AC41&gt;0,INDEX(CU$7:CU$106,$AC41),1),IF($AD41&gt;0,INDEX(CU$7:CU$106,$AD41),1),IF($AE41&gt;0,INDEX(CU$7:CU$106,$AE41),1),IF($AF41&gt;0,INDEX(CU$7:CU$106,$AF41),1),IF($AG41&gt;0,INDEX(CU$7:CU$106,$AG41),1),IF($AH41&gt;0,INDEX(CU$7:CU$106,$AH41),1),IF($AI41&gt;0,INDEX(CU$7:CU$106,$AI41),1),IF($AJ41&gt;0,INDEX(CU$7:CU$106,$AJ41),1))))</ns0:f>
        <ns0:v>1</ns0:v>
      </ns0:c>
      <ns0:c r="CW41" t="n">
        <ns0:f>IF($A41="",1,IF(CV41=1,1,--AND(IF($AC41&gt;0,INDEX(CV$7:CV$106,$AC41),1),IF($AD41&gt;0,INDEX(CV$7:CV$106,$AD41),1),IF($AE41&gt;0,INDEX(CV$7:CV$106,$AE41),1),IF($AF41&gt;0,INDEX(CV$7:CV$106,$AF41),1),IF($AG41&gt;0,INDEX(CV$7:CV$106,$AG41),1),IF($AH41&gt;0,INDEX(CV$7:CV$106,$AH41),1),IF($AI41&gt;0,INDEX(CV$7:CV$106,$AI41),1),IF($AJ41&gt;0,INDEX(CV$7:CV$106,$AJ41),1))))</ns0:f>
        <ns0:v>1</ns0:v>
      </ns0:c>
      <ns0:c r="CX41" t="n">
        <ns0:f>IF($A41="",1,IF(CW41=1,1,--AND(IF($AC41&gt;0,INDEX(CW$7:CW$106,$AC41),1),IF($AD41&gt;0,INDEX(CW$7:CW$106,$AD41),1),IF($AE41&gt;0,INDEX(CW$7:CW$106,$AE41),1),IF($AF41&gt;0,INDEX(CW$7:CW$106,$AF41),1),IF($AG41&gt;0,INDEX(CW$7:CW$106,$AG41),1),IF($AH41&gt;0,INDEX(CW$7:CW$106,$AH41),1),IF($AI41&gt;0,INDEX(CW$7:CW$106,$AI41),1),IF($AJ41&gt;0,INDEX(CW$7:CW$106,$AJ41),1))))</ns0:f>
        <ns0:v>1</ns0:v>
      </ns0:c>
      <ns0:c r="CY41" t="n">
        <ns0:f>IF($A41="",1,IF(CX41=1,1,--AND(IF($AC41&gt;0,INDEX(CX$7:CX$106,$AC41),1),IF($AD41&gt;0,INDEX(CX$7:CX$106,$AD41),1),IF($AE41&gt;0,INDEX(CX$7:CX$106,$AE41),1),IF($AF41&gt;0,INDEX(CX$7:CX$106,$AF41),1),IF($AG41&gt;0,INDEX(CX$7:CX$106,$AG41),1),IF($AH41&gt;0,INDEX(CX$7:CX$106,$AH41),1),IF($AI41&gt;0,INDEX(CX$7:CX$106,$AI41),1),IF($AJ41&gt;0,INDEX(CX$7:CX$106,$AJ41),1))))</ns0:f>
        <ns0:v>1</ns0:v>
      </ns0:c>
      <ns0:c r="CZ41" t="n">
        <ns0:f>IF($A41="",1,IF(CY41=1,1,--AND(IF($AC41&gt;0,INDEX(CY$7:CY$106,$AC41),1),IF($AD41&gt;0,INDEX(CY$7:CY$106,$AD41),1),IF($AE41&gt;0,INDEX(CY$7:CY$106,$AE41),1),IF($AF41&gt;0,INDEX(CY$7:CY$106,$AF41),1),IF($AG41&gt;0,INDEX(CY$7:CY$106,$AG41),1),IF($AH41&gt;0,INDEX(CY$7:CY$106,$AH41),1),IF($AI41&gt;0,INDEX(CY$7:CY$106,$AI41),1),IF($AJ41&gt;0,INDEX(CY$7:CY$106,$AJ41),1))))</ns0:f>
        <ns0:v>1</ns0:v>
      </ns0:c>
      <ns0:c r="DA41" t="n">
        <ns0:f>IF($A41="",1,IF(CZ41=1,1,--AND(IF($AC41&gt;0,INDEX(CZ$7:CZ$106,$AC41),1),IF($AD41&gt;0,INDEX(CZ$7:CZ$106,$AD41),1),IF($AE41&gt;0,INDEX(CZ$7:CZ$106,$AE41),1),IF($AF41&gt;0,INDEX(CZ$7:CZ$106,$AF41),1),IF($AG41&gt;0,INDEX(CZ$7:CZ$106,$AG41),1),IF($AH41&gt;0,INDEX(CZ$7:CZ$106,$AH41),1),IF($AI41&gt;0,INDEX(CZ$7:CZ$106,$AI41),1),IF($AJ41&gt;0,INDEX(CZ$7:CZ$106,$AJ41),1))))</ns0:f>
        <ns0:v>1</ns0:v>
      </ns0:c>
      <ns0:c r="DB41" t="n">
        <ns0:f>IF($A41="",1,IF(DA41=1,1,--AND(IF($AC41&gt;0,INDEX(DA$7:DA$106,$AC41),1),IF($AD41&gt;0,INDEX(DA$7:DA$106,$AD41),1),IF($AE41&gt;0,INDEX(DA$7:DA$106,$AE41),1),IF($AF41&gt;0,INDEX(DA$7:DA$106,$AF41),1),IF($AG41&gt;0,INDEX(DA$7:DA$106,$AG41),1),IF($AH41&gt;0,INDEX(DA$7:DA$106,$AH41),1),IF($AI41&gt;0,INDEX(DA$7:DA$106,$AI41),1),IF($AJ41&gt;0,INDEX(DA$7:DA$106,$AJ41),1))))</ns0:f>
        <ns0:v>1</ns0:v>
      </ns0:c>
      <ns0:c r="DC41" t="n">
        <ns0:f>IF($A41="",1,IF(DB41=1,1,--AND(IF($AC41&gt;0,INDEX(DB$7:DB$106,$AC41),1),IF($AD41&gt;0,INDEX(DB$7:DB$106,$AD41),1),IF($AE41&gt;0,INDEX(DB$7:DB$106,$AE41),1),IF($AF41&gt;0,INDEX(DB$7:DB$106,$AF41),1),IF($AG41&gt;0,INDEX(DB$7:DB$106,$AG41),1),IF($AH41&gt;0,INDEX(DB$7:DB$106,$AH41),1),IF($AI41&gt;0,INDEX(DB$7:DB$106,$AI41),1),IF($AJ41&gt;0,INDEX(DB$7:DB$106,$AJ41),1))))</ns0:f>
        <ns0:v>1</ns0:v>
      </ns0:c>
      <ns0:c r="DD41" t="n">
        <ns0:f>IF($A41="",1,IF(DC41=1,1,--AND(IF($AC41&gt;0,INDEX(DC$7:DC$106,$AC41),1),IF($AD41&gt;0,INDEX(DC$7:DC$106,$AD41),1),IF($AE41&gt;0,INDEX(DC$7:DC$106,$AE41),1),IF($AF41&gt;0,INDEX(DC$7:DC$106,$AF41),1),IF($AG41&gt;0,INDEX(DC$7:DC$106,$AG41),1),IF($AH41&gt;0,INDEX(DC$7:DC$106,$AH41),1),IF($AI41&gt;0,INDEX(DC$7:DC$106,$AI41),1),IF($AJ41&gt;0,INDEX(DC$7:DC$106,$AJ41),1))))</ns0:f>
        <ns0:v>1</ns0:v>
      </ns0:c>
      <ns0:c r="DE41" t="n">
        <ns0:f>IF($A41="",1,IF(DD41=1,1,--AND(IF($AC41&gt;0,INDEX(DD$7:DD$106,$AC41),1),IF($AD41&gt;0,INDEX(DD$7:DD$106,$AD41),1),IF($AE41&gt;0,INDEX(DD$7:DD$106,$AE41),1),IF($AF41&gt;0,INDEX(DD$7:DD$106,$AF41),1),IF($AG41&gt;0,INDEX(DD$7:DD$106,$AG41),1),IF($AH41&gt;0,INDEX(DD$7:DD$106,$AH41),1),IF($AI41&gt;0,INDEX(DD$7:DD$106,$AI41),1),IF($AJ41&gt;0,INDEX(DD$7:DD$106,$AJ41),1))))</ns0:f>
        <ns0:v>1</ns0:v>
      </ns0:c>
      <ns0:c r="DF41" t="n">
        <ns0:f>IF($A41="",1,IF(DE41=1,1,--AND(IF($AC41&gt;0,INDEX(DE$7:DE$106,$AC41),1),IF($AD41&gt;0,INDEX(DE$7:DE$106,$AD41),1),IF($AE41&gt;0,INDEX(DE$7:DE$106,$AE41),1),IF($AF41&gt;0,INDEX(DE$7:DE$106,$AF41),1),IF($AG41&gt;0,INDEX(DE$7:DE$106,$AG41),1),IF($AH41&gt;0,INDEX(DE$7:DE$106,$AH41),1),IF($AI41&gt;0,INDEX(DE$7:DE$106,$AI41),1),IF($AJ41&gt;0,INDEX(DE$7:DE$106,$AJ41),1))))</ns0:f>
        <ns0:v>1</ns0:v>
      </ns0:c>
      <ns0:c r="DG41" t="n">
        <ns0:f>IF($A41="",1,IF(DF41=1,1,--AND(IF($AC41&gt;0,INDEX(DF$7:DF$106,$AC41),1),IF($AD41&gt;0,INDEX(DF$7:DF$106,$AD41),1),IF($AE41&gt;0,INDEX(DF$7:DF$106,$AE41),1),IF($AF41&gt;0,INDEX(DF$7:DF$106,$AF41),1),IF($AG41&gt;0,INDEX(DF$7:DF$106,$AG41),1),IF($AH41&gt;0,INDEX(DF$7:DF$106,$AH41),1),IF($AI41&gt;0,INDEX(DF$7:DF$106,$AI41),1),IF($AJ41&gt;0,INDEX(DF$7:DF$106,$AJ41),1))))</ns0:f>
        <ns0:v>1</ns0:v>
      </ns0:c>
      <ns0:c r="DH41" t="n">
        <ns0:f>IF($A41="",1,IF(DG41=1,1,--AND(IF($AC41&gt;0,INDEX(DG$7:DG$106,$AC41),1),IF($AD41&gt;0,INDEX(DG$7:DG$106,$AD41),1),IF($AE41&gt;0,INDEX(DG$7:DG$106,$AE41),1),IF($AF41&gt;0,INDEX(DG$7:DG$106,$AF41),1),IF($AG41&gt;0,INDEX(DG$7:DG$106,$AG41),1),IF($AH41&gt;0,INDEX(DG$7:DG$106,$AH41),1),IF($AI41&gt;0,INDEX(DG$7:DG$106,$AI41),1),IF($AJ41&gt;0,INDEX(DG$7:DG$106,$AJ41),1))))</ns0:f>
        <ns0:v>1</ns0:v>
      </ns0:c>
      <ns0:c r="DI41" t="n">
        <ns0:f>IF($A41="",1,IF(DH41=1,1,--AND(IF($AC41&gt;0,INDEX(DH$7:DH$106,$AC41),1),IF($AD41&gt;0,INDEX(DH$7:DH$106,$AD41),1),IF($AE41&gt;0,INDEX(DH$7:DH$106,$AE41),1),IF($AF41&gt;0,INDEX(DH$7:DH$106,$AF41),1),IF($AG41&gt;0,INDEX(DH$7:DH$106,$AG41),1),IF($AH41&gt;0,INDEX(DH$7:DH$106,$AH41),1),IF($AI41&gt;0,INDEX(DH$7:DH$106,$AI41),1),IF($AJ41&gt;0,INDEX(DH$7:DH$106,$AJ41),1))))</ns0:f>
        <ns0:v>1</ns0:v>
      </ns0:c>
      <ns0:c r="DJ41" t="n">
        <ns0:f>IF($A41="",1,IF(DI41=1,1,--AND(IF($AC41&gt;0,INDEX(DI$7:DI$106,$AC41),1),IF($AD41&gt;0,INDEX(DI$7:DI$106,$AD41),1),IF($AE41&gt;0,INDEX(DI$7:DI$106,$AE41),1),IF($AF41&gt;0,INDEX(DI$7:DI$106,$AF41),1),IF($AG41&gt;0,INDEX(DI$7:DI$106,$AG41),1),IF($AH41&gt;0,INDEX(DI$7:DI$106,$AH41),1),IF($AI41&gt;0,INDEX(DI$7:DI$106,$AI41),1),IF($AJ41&gt;0,INDEX(DI$7:DI$106,$AJ41),1))))</ns0:f>
        <ns0:v>1</ns0:v>
      </ns0:c>
      <ns0:c r="DK41" t="n">
        <ns0:f>IF($A41="",1,IF(DJ41=1,1,--AND(IF($AC41&gt;0,INDEX(DJ$7:DJ$106,$AC41),1),IF($AD41&gt;0,INDEX(DJ$7:DJ$106,$AD41),1),IF($AE41&gt;0,INDEX(DJ$7:DJ$106,$AE41),1),IF($AF41&gt;0,INDEX(DJ$7:DJ$106,$AF41),1),IF($AG41&gt;0,INDEX(DJ$7:DJ$106,$AG41),1),IF($AH41&gt;0,INDEX(DJ$7:DJ$106,$AH41),1),IF($AI41&gt;0,INDEX(DJ$7:DJ$106,$AI41),1),IF($AJ41&gt;0,INDEX(DJ$7:DJ$106,$AJ41),1))))</ns0:f>
        <ns0:v>1</ns0:v>
      </ns0:c>
      <ns0:c r="DL41" t="n">
        <ns0:f>IF($A41="",1,IF(DK41=1,1,--AND(IF($AC41&gt;0,INDEX(DK$7:DK$106,$AC41),1),IF($AD41&gt;0,INDEX(DK$7:DK$106,$AD41),1),IF($AE41&gt;0,INDEX(DK$7:DK$106,$AE41),1),IF($AF41&gt;0,INDEX(DK$7:DK$106,$AF41),1),IF($AG41&gt;0,INDEX(DK$7:DK$106,$AG41),1),IF($AH41&gt;0,INDEX(DK$7:DK$106,$AH41),1),IF($AI41&gt;0,INDEX(DK$7:DK$106,$AI41),1),IF($AJ41&gt;0,INDEX(DK$7:DK$106,$AJ41),1))))</ns0:f>
        <ns0:v>1</ns0:v>
      </ns0:c>
      <ns0:c r="DM41" t="n">
        <ns0:f>IF($A41="",1,IF(DL41=1,1,--AND(IF($AC41&gt;0,INDEX(DL$7:DL$106,$AC41),1),IF($AD41&gt;0,INDEX(DL$7:DL$106,$AD41),1),IF($AE41&gt;0,INDEX(DL$7:DL$106,$AE41),1),IF($AF41&gt;0,INDEX(DL$7:DL$106,$AF41),1),IF($AG41&gt;0,INDEX(DL$7:DL$106,$AG41),1),IF($AH41&gt;0,INDEX(DL$7:DL$106,$AH41),1),IF($AI41&gt;0,INDEX(DL$7:DL$106,$AI41),1),IF($AJ41&gt;0,INDEX(DL$7:DL$106,$AJ41),1))))</ns0:f>
        <ns0:v>1</ns0:v>
      </ns0:c>
      <ns0:c r="DN41" t="n">
        <ns0:f>IF($A41="",1,IF(DM41=1,1,--AND(IF($AC41&gt;0,INDEX(DM$7:DM$106,$AC41),1),IF($AD41&gt;0,INDEX(DM$7:DM$106,$AD41),1),IF($AE41&gt;0,INDEX(DM$7:DM$106,$AE41),1),IF($AF41&gt;0,INDEX(DM$7:DM$106,$AF41),1),IF($AG41&gt;0,INDEX(DM$7:DM$106,$AG41),1),IF($AH41&gt;0,INDEX(DM$7:DM$106,$AH41),1),IF($AI41&gt;0,INDEX(DM$7:DM$106,$AI41),1),IF($AJ41&gt;0,INDEX(DM$7:DM$106,$AJ41),1))))</ns0:f>
        <ns0:v>1</ns0:v>
      </ns0:c>
      <ns0:c r="DO41" t="n">
        <ns0:f>IF($A41="",1,IF(DN41=1,1,--AND(IF($AC41&gt;0,INDEX(DN$7:DN$106,$AC41),1),IF($AD41&gt;0,INDEX(DN$7:DN$106,$AD41),1),IF($AE41&gt;0,INDEX(DN$7:DN$106,$AE41),1),IF($AF41&gt;0,INDEX(DN$7:DN$106,$AF41),1),IF($AG41&gt;0,INDEX(DN$7:DN$106,$AG41),1),IF($AH41&gt;0,INDEX(DN$7:DN$106,$AH41),1),IF($AI41&gt;0,INDEX(DN$7:DN$106,$AI41),1),IF($AJ41&gt;0,INDEX(DN$7:DN$106,$AJ41),1))))</ns0:f>
        <ns0:v>1</ns0:v>
      </ns0:c>
      <ns0:c r="DP41" t="n">
        <ns0:f>IF($A41="",1,IF(DO41=1,1,--AND(IF($AC41&gt;0,INDEX(DO$7:DO$106,$AC41),1),IF($AD41&gt;0,INDEX(DO$7:DO$106,$AD41),1),IF($AE41&gt;0,INDEX(DO$7:DO$106,$AE41),1),IF($AF41&gt;0,INDEX(DO$7:DO$106,$AF41),1),IF($AG41&gt;0,INDEX(DO$7:DO$106,$AG41),1),IF($AH41&gt;0,INDEX(DO$7:DO$106,$AH41),1),IF($AI41&gt;0,INDEX(DO$7:DO$106,$AI41),1),IF($AJ41&gt;0,INDEX(DO$7:DO$106,$AJ41),1))))</ns0:f>
        <ns0:v>1</ns0:v>
      </ns0:c>
      <ns0:c r="DQ41" t="n">
        <ns0:f>IF($A41="",1,IF(DP41=1,1,--AND(IF($AC41&gt;0,INDEX(DP$7:DP$106,$AC41),1),IF($AD41&gt;0,INDEX(DP$7:DP$106,$AD41),1),IF($AE41&gt;0,INDEX(DP$7:DP$106,$AE41),1),IF($AF41&gt;0,INDEX(DP$7:DP$106,$AF41),1),IF($AG41&gt;0,INDEX(DP$7:DP$106,$AG41),1),IF($AH41&gt;0,INDEX(DP$7:DP$106,$AH41),1),IF($AI41&gt;0,INDEX(DP$7:DP$106,$AI41),1),IF($AJ41&gt;0,INDEX(DP$7:DP$106,$AJ41),1))))</ns0:f>
        <ns0:v>1</ns0:v>
      </ns0:c>
      <ns0:c r="DR41" t="n">
        <ns0:f>IF($A41="",1,IF(DQ41=1,1,--AND(IF($AC41&gt;0,INDEX(DQ$7:DQ$106,$AC41),1),IF($AD41&gt;0,INDEX(DQ$7:DQ$106,$AD41),1),IF($AE41&gt;0,INDEX(DQ$7:DQ$106,$AE41),1),IF($AF41&gt;0,INDEX(DQ$7:DQ$106,$AF41),1),IF($AG41&gt;0,INDEX(DQ$7:DQ$106,$AG41),1),IF($AH41&gt;0,INDEX(DQ$7:DQ$106,$AH41),1),IF($AI41&gt;0,INDEX(DQ$7:DQ$106,$AI41),1),IF($AJ41&gt;0,INDEX(DQ$7:DQ$106,$AJ41),1))))</ns0:f>
        <ns0:v>1</ns0:v>
      </ns0:c>
      <ns0:c r="DS41" t="n">
        <ns0:f>IF($A41="",1,IF(DR41=1,1,--AND(IF($AC41&gt;0,INDEX(DR$7:DR$106,$AC41),1),IF($AD41&gt;0,INDEX(DR$7:DR$106,$AD41),1),IF($AE41&gt;0,INDEX(DR$7:DR$106,$AE41),1),IF($AF41&gt;0,INDEX(DR$7:DR$106,$AF41),1),IF($AG41&gt;0,INDEX(DR$7:DR$106,$AG41),1),IF($AH41&gt;0,INDEX(DR$7:DR$106,$AH41),1),IF($AI41&gt;0,INDEX(DR$7:DR$106,$AI41),1),IF($AJ41&gt;0,INDEX(DR$7:DR$106,$AJ41),1))))</ns0:f>
        <ns0:v>1</ns0:v>
      </ns0:c>
      <ns0:c r="DT41" t="n">
        <ns0:f>IF($A41="",1,IF(DS41=1,1,--AND(IF($AC41&gt;0,INDEX(DS$7:DS$106,$AC41),1),IF($AD41&gt;0,INDEX(DS$7:DS$106,$AD41),1),IF($AE41&gt;0,INDEX(DS$7:DS$106,$AE41),1),IF($AF41&gt;0,INDEX(DS$7:DS$106,$AF41),1),IF($AG41&gt;0,INDEX(DS$7:DS$106,$AG41),1),IF($AH41&gt;0,INDEX(DS$7:DS$106,$AH41),1),IF($AI41&gt;0,INDEX(DS$7:DS$106,$AI41),1),IF($AJ41&gt;0,INDEX(DS$7:DS$106,$AJ41),1))))</ns0:f>
        <ns0:v>1</ns0:v>
      </ns0:c>
      <ns0:c r="DU41" t="n">
        <ns0:f>IF($A41="",1,IF(DT41=1,1,--AND(IF($AC41&gt;0,INDEX(DT$7:DT$106,$AC41),1),IF($AD41&gt;0,INDEX(DT$7:DT$106,$AD41),1),IF($AE41&gt;0,INDEX(DT$7:DT$106,$AE41),1),IF($AF41&gt;0,INDEX(DT$7:DT$106,$AF41),1),IF($AG41&gt;0,INDEX(DT$7:DT$106,$AG41),1),IF($AH41&gt;0,INDEX(DT$7:DT$106,$AH41),1),IF($AI41&gt;0,INDEX(DT$7:DT$106,$AI41),1),IF($AJ41&gt;0,INDEX(DT$7:DT$106,$AJ41),1))))</ns0:f>
        <ns0:v>1</ns0:v>
      </ns0:c>
      <ns0:c r="DV41" t="n">
        <ns0:f>IF($A41="",1,IF(DU41=1,1,--AND(IF($AC41&gt;0,INDEX(DU$7:DU$106,$AC41),1),IF($AD41&gt;0,INDEX(DU$7:DU$106,$AD41),1),IF($AE41&gt;0,INDEX(DU$7:DU$106,$AE41),1),IF($AF41&gt;0,INDEX(DU$7:DU$106,$AF41),1),IF($AG41&gt;0,INDEX(DU$7:DU$106,$AG41),1),IF($AH41&gt;0,INDEX(DU$7:DU$106,$AH41),1),IF($AI41&gt;0,INDEX(DU$7:DU$106,$AI41),1),IF($AJ41&gt;0,INDEX(DU$7:DU$106,$AJ41),1))))</ns0:f>
        <ns0:v>1</ns0:v>
      </ns0:c>
      <ns0:c r="DW41" t="n">
        <ns0:f>IF($A41="",1,IF(DV41=1,1,--AND(IF($AC41&gt;0,INDEX(DV$7:DV$106,$AC41),1),IF($AD41&gt;0,INDEX(DV$7:DV$106,$AD41),1),IF($AE41&gt;0,INDEX(DV$7:DV$106,$AE41),1),IF($AF41&gt;0,INDEX(DV$7:DV$106,$AF41),1),IF($AG41&gt;0,INDEX(DV$7:DV$106,$AG41),1),IF($AH41&gt;0,INDEX(DV$7:DV$106,$AH41),1),IF($AI41&gt;0,INDEX(DV$7:DV$106,$AI41),1),IF($AJ41&gt;0,INDEX(DV$7:DV$106,$AJ41),1))))</ns0:f>
        <ns0:v>1</ns0:v>
      </ns0:c>
      <ns0:c r="DX41" t="n">
        <ns0:f>IF($A41="",1,IF(DW41=1,1,--AND(IF($AC41&gt;0,INDEX(DW$7:DW$106,$AC41),1),IF($AD41&gt;0,INDEX(DW$7:DW$106,$AD41),1),IF($AE41&gt;0,INDEX(DW$7:DW$106,$AE41),1),IF($AF41&gt;0,INDEX(DW$7:DW$106,$AF41),1),IF($AG41&gt;0,INDEX(DW$7:DW$106,$AG41),1),IF($AH41&gt;0,INDEX(DW$7:DW$106,$AH41),1),IF($AI41&gt;0,INDEX(DW$7:DW$106,$AI41),1),IF($AJ41&gt;0,INDEX(DW$7:DW$106,$AJ41),1))))</ns0:f>
        <ns0:v>1</ns0:v>
      </ns0:c>
      <ns0:c r="DY41" t="n">
        <ns0:f>IF($A41="",1,IF(DX41=1,1,--AND(IF($AC41&gt;0,INDEX(DX$7:DX$106,$AC41),1),IF($AD41&gt;0,INDEX(DX$7:DX$106,$AD41),1),IF($AE41&gt;0,INDEX(DX$7:DX$106,$AE41),1),IF($AF41&gt;0,INDEX(DX$7:DX$106,$AF41),1),IF($AG41&gt;0,INDEX(DX$7:DX$106,$AG41),1),IF($AH41&gt;0,INDEX(DX$7:DX$106,$AH41),1),IF($AI41&gt;0,INDEX(DX$7:DX$106,$AI41),1),IF($AJ41&gt;0,INDEX(DX$7:DX$106,$AJ41),1))))</ns0:f>
        <ns0:v>1</ns0:v>
      </ns0:c>
      <ns0:c r="DZ41" t="n">
        <ns0:f>IF($A41="",1,IF(DY41=1,1,--AND(IF($AC41&gt;0,INDEX(DY$7:DY$106,$AC41),1),IF($AD41&gt;0,INDEX(DY$7:DY$106,$AD41),1),IF($AE41&gt;0,INDEX(DY$7:DY$106,$AE41),1),IF($AF41&gt;0,INDEX(DY$7:DY$106,$AF41),1),IF($AG41&gt;0,INDEX(DY$7:DY$106,$AG41),1),IF($AH41&gt;0,INDEX(DY$7:DY$106,$AH41),1),IF($AI41&gt;0,INDEX(DY$7:DY$106,$AI41),1),IF($AJ41&gt;0,INDEX(DY$7:DY$106,$AJ41),1))))</ns0:f>
        <ns0:v>1</ns0:v>
      </ns0:c>
      <ns0:c r="EA41" t="n">
        <ns0:f>IF($A41="",1,IF(DZ41=1,1,--AND(IF($AC41&gt;0,INDEX(DZ$7:DZ$106,$AC41),1),IF($AD41&gt;0,INDEX(DZ$7:DZ$106,$AD41),1),IF($AE41&gt;0,INDEX(DZ$7:DZ$106,$AE41),1),IF($AF41&gt;0,INDEX(DZ$7:DZ$106,$AF41),1),IF($AG41&gt;0,INDEX(DZ$7:DZ$106,$AG41),1),IF($AH41&gt;0,INDEX(DZ$7:DZ$106,$AH41),1),IF($AI41&gt;0,INDEX(DZ$7:DZ$106,$AI41),1),IF($AJ41&gt;0,INDEX(DZ$7:DZ$106,$AJ41),1))))</ns0:f>
        <ns0:v>1</ns0:v>
      </ns0:c>
      <ns0:c r="EB41" t="n">
        <ns0:f>IF($A41="",1,IF(EA41=1,1,--AND(IF($AC41&gt;0,INDEX(EA$7:EA$106,$AC41),1),IF($AD41&gt;0,INDEX(EA$7:EA$106,$AD41),1),IF($AE41&gt;0,INDEX(EA$7:EA$106,$AE41),1),IF($AF41&gt;0,INDEX(EA$7:EA$106,$AF41),1),IF($AG41&gt;0,INDEX(EA$7:EA$106,$AG41),1),IF($AH41&gt;0,INDEX(EA$7:EA$106,$AH41),1),IF($AI41&gt;0,INDEX(EA$7:EA$106,$AI41),1),IF($AJ41&gt;0,INDEX(EA$7:EA$106,$AJ41),1))))</ns0:f>
        <ns0:v>1</ns0:v>
      </ns0:c>
      <ns0:c r="EC41" t="n">
        <ns0:f>IF($A41="",1,IF(EB41=1,1,--AND(IF($AC41&gt;0,INDEX(EB$7:EB$106,$AC41),1),IF($AD41&gt;0,INDEX(EB$7:EB$106,$AD41),1),IF($AE41&gt;0,INDEX(EB$7:EB$106,$AE41),1),IF($AF41&gt;0,INDEX(EB$7:EB$106,$AF41),1),IF($AG41&gt;0,INDEX(EB$7:EB$106,$AG41),1),IF($AH41&gt;0,INDEX(EB$7:EB$106,$AH41),1),IF($AI41&gt;0,INDEX(EB$7:EB$106,$AI41),1),IF($AJ41&gt;0,INDEX(EB$7:EB$106,$AJ41),1))))</ns0:f>
        <ns0:v>1</ns0:v>
      </ns0:c>
      <ns0:c r="ED41" t="n">
        <ns0:f>IF($A41="",1,IF(EC41=1,1,--AND(IF($AC41&gt;0,INDEX(EC$7:EC$106,$AC41),1),IF($AD41&gt;0,INDEX(EC$7:EC$106,$AD41),1),IF($AE41&gt;0,INDEX(EC$7:EC$106,$AE41),1),IF($AF41&gt;0,INDEX(EC$7:EC$106,$AF41),1),IF($AG41&gt;0,INDEX(EC$7:EC$106,$AG41),1),IF($AH41&gt;0,INDEX(EC$7:EC$106,$AH41),1),IF($AI41&gt;0,INDEX(EC$7:EC$106,$AI41),1),IF($AJ41&gt;0,INDEX(EC$7:EC$106,$AJ41),1))))</ns0:f>
        <ns0:v>1</ns0:v>
      </ns0:c>
      <ns0:c r="EE41" t="n">
        <ns0:f>IF($A41="",1,IF(ED41=1,1,--AND(IF($AC41&gt;0,INDEX(ED$7:ED$106,$AC41),1),IF($AD41&gt;0,INDEX(ED$7:ED$106,$AD41),1),IF($AE41&gt;0,INDEX(ED$7:ED$106,$AE41),1),IF($AF41&gt;0,INDEX(ED$7:ED$106,$AF41),1),IF($AG41&gt;0,INDEX(ED$7:ED$106,$AG41),1),IF($AH41&gt;0,INDEX(ED$7:ED$106,$AH41),1),IF($AI41&gt;0,INDEX(ED$7:ED$106,$AI41),1),IF($AJ41&gt;0,INDEX(ED$7:ED$106,$AJ41),1))))</ns0:f>
        <ns0:v>1</ns0:v>
      </ns0:c>
      <ns0:c r="EF41" t="n">
        <ns0:f>IF($A41="",1,IF(EE41=1,1,--AND(IF($AC41&gt;0,INDEX(EE$7:EE$106,$AC41),1),IF($AD41&gt;0,INDEX(EE$7:EE$106,$AD41),1),IF($AE41&gt;0,INDEX(EE$7:EE$106,$AE41),1),IF($AF41&gt;0,INDEX(EE$7:EE$106,$AF41),1),IF($AG41&gt;0,INDEX(EE$7:EE$106,$AG41),1),IF($AH41&gt;0,INDEX(EE$7:EE$106,$AH41),1),IF($AI41&gt;0,INDEX(EE$7:EE$106,$AI41),1),IF($AJ41&gt;0,INDEX(EE$7:EE$106,$AJ41),1))))</ns0:f>
        <ns0:v>1</ns0:v>
      </ns0:c>
      <ns0:c r="EG41" t="n">
        <ns0:f>IF($A41="",1,IF(EF41=1,1,--AND(IF($AC41&gt;0,INDEX(EF$7:EF$106,$AC41),1),IF($AD41&gt;0,INDEX(EF$7:EF$106,$AD41),1),IF($AE41&gt;0,INDEX(EF$7:EF$106,$AE41),1),IF($AF41&gt;0,INDEX(EF$7:EF$106,$AF41),1),IF($AG41&gt;0,INDEX(EF$7:EF$106,$AG41),1),IF($AH41&gt;0,INDEX(EF$7:EF$106,$AH41),1),IF($AI41&gt;0,INDEX(EF$7:EF$106,$AI41),1),IF($AJ41&gt;0,INDEX(EF$7:EF$106,$AJ41),1))))</ns0:f>
        <ns0:v>1</ns0:v>
      </ns0:c>
      <ns0:c r="EH41" t="n">
        <ns0:f>IF($A41="",1,IF(EG41=1,1,--AND(IF($AC41&gt;0,INDEX(EG$7:EG$106,$AC41),1),IF($AD41&gt;0,INDEX(EG$7:EG$106,$AD41),1),IF($AE41&gt;0,INDEX(EG$7:EG$106,$AE41),1),IF($AF41&gt;0,INDEX(EG$7:EG$106,$AF41),1),IF($AG41&gt;0,INDEX(EG$7:EG$106,$AG41),1),IF($AH41&gt;0,INDEX(EG$7:EG$106,$AH41),1),IF($AI41&gt;0,INDEX(EG$7:EG$106,$AI41),1),IF($AJ41&gt;0,INDEX(EG$7:EG$106,$AJ41),1))))</ns0:f>
        <ns0:v>1</ns0:v>
      </ns0:c>
      <ns0:c r="EI41" t="n">
        <ns0:f>IF($A41="",1,IF(EH41=1,1,--AND(IF($AC41&gt;0,INDEX(EH$7:EH$106,$AC41),1),IF($AD41&gt;0,INDEX(EH$7:EH$106,$AD41),1),IF($AE41&gt;0,INDEX(EH$7:EH$106,$AE41),1),IF($AF41&gt;0,INDEX(EH$7:EH$106,$AF41),1),IF($AG41&gt;0,INDEX(EH$7:EH$106,$AG41),1),IF($AH41&gt;0,INDEX(EH$7:EH$106,$AH41),1),IF($AI41&gt;0,INDEX(EH$7:EH$106,$AI41),1),IF($AJ41&gt;0,INDEX(EH$7:EH$106,$AJ41),1))))</ns0:f>
        <ns0:v>1</ns0:v>
      </ns0:c>
      <ns0:c r="EJ41" t="n">
        <ns0:f>IF($A41="",1,IF(EI41=1,1,--AND(IF($AC41&gt;0,INDEX(EI$7:EI$106,$AC41),1),IF($AD41&gt;0,INDEX(EI$7:EI$106,$AD41),1),IF($AE41&gt;0,INDEX(EI$7:EI$106,$AE41),1),IF($AF41&gt;0,INDEX(EI$7:EI$106,$AF41),1),IF($AG41&gt;0,INDEX(EI$7:EI$106,$AG41),1),IF($AH41&gt;0,INDEX(EI$7:EI$106,$AH41),1),IF($AI41&gt;0,INDEX(EI$7:EI$106,$AI41),1),IF($AJ41&gt;0,INDEX(EI$7:EI$106,$AJ41),1))))</ns0:f>
        <ns0:v>1</ns0:v>
      </ns0:c>
      <ns0:c r="EK41" t="n">
        <ns0:f>IF($A41="",1,IF(EJ41=1,1,--AND(IF($AC41&gt;0,INDEX(EJ$7:EJ$106,$AC41),1),IF($AD41&gt;0,INDEX(EJ$7:EJ$106,$AD41),1),IF($AE41&gt;0,INDEX(EJ$7:EJ$106,$AE41),1),IF($AF41&gt;0,INDEX(EJ$7:EJ$106,$AF41),1),IF($AG41&gt;0,INDEX(EJ$7:EJ$106,$AG41),1),IF($AH41&gt;0,INDEX(EJ$7:EJ$106,$AH41),1),IF($AI41&gt;0,INDEX(EJ$7:EJ$106,$AI41),1),IF($AJ41&gt;0,INDEX(EJ$7:EJ$106,$AJ41),1))))</ns0:f>
        <ns0:v>1</ns0:v>
      </ns0:c>
      <ns0:c r="EL41" t="n">
        <ns0:f>IF($A41="",1,IF(EK41=1,1,--AND(IF($AC41&gt;0,INDEX(EK$7:EK$106,$AC41),1),IF($AD41&gt;0,INDEX(EK$7:EK$106,$AD41),1),IF($AE41&gt;0,INDEX(EK$7:EK$106,$AE41),1),IF($AF41&gt;0,INDEX(EK$7:EK$106,$AF41),1),IF($AG41&gt;0,INDEX(EK$7:EK$106,$AG41),1),IF($AH41&gt;0,INDEX(EK$7:EK$106,$AH41),1),IF($AI41&gt;0,INDEX(EK$7:EK$106,$AI41),1),IF($AJ41&gt;0,INDEX(EK$7:EK$106,$AJ41),1))))</ns0:f>
        <ns0:v>1</ns0:v>
      </ns0:c>
      <ns0:c r="EM41" t="n">
        <ns0:f>IF($A41="",1,IF(EL41=1,1,--AND(IF($AC41&gt;0,INDEX(EL$7:EL$106,$AC41),1),IF($AD41&gt;0,INDEX(EL$7:EL$106,$AD41),1),IF($AE41&gt;0,INDEX(EL$7:EL$106,$AE41),1),IF($AF41&gt;0,INDEX(EL$7:EL$106,$AF41),1),IF($AG41&gt;0,INDEX(EL$7:EL$106,$AG41),1),IF($AH41&gt;0,INDEX(EL$7:EL$106,$AH41),1),IF($AI41&gt;0,INDEX(EL$7:EL$106,$AI41),1),IF($AJ41&gt;0,INDEX(EL$7:EL$106,$AJ41),1))))</ns0:f>
        <ns0:v>1</ns0:v>
      </ns0:c>
      <ns0:c r="EN41" t="n">
        <ns0:f>IF($A41="",1,IF(EM41=1,1,--AND(IF($AC41&gt;0,INDEX(EM$7:EM$106,$AC41),1),IF($AD41&gt;0,INDEX(EM$7:EM$106,$AD41),1),IF($AE41&gt;0,INDEX(EM$7:EM$106,$AE41),1),IF($AF41&gt;0,INDEX(EM$7:EM$106,$AF41),1),IF($AG41&gt;0,INDEX(EM$7:EM$106,$AG41),1),IF($AH41&gt;0,INDEX(EM$7:EM$106,$AH41),1),IF($AI41&gt;0,INDEX(EM$7:EM$106,$AI41),1),IF($AJ41&gt;0,INDEX(EM$7:EM$106,$AJ41),1))))</ns0:f>
        <ns0:v>1</ns0:v>
      </ns0:c>
      <ns0:c r="EO41" t="n">
        <ns0:f>IF($A41="",1,IF(EN41=1,1,--AND(IF($AC41&gt;0,INDEX(EN$7:EN$106,$AC41),1),IF($AD41&gt;0,INDEX(EN$7:EN$106,$AD41),1),IF($AE41&gt;0,INDEX(EN$7:EN$106,$AE41),1),IF($AF41&gt;0,INDEX(EN$7:EN$106,$AF41),1),IF($AG41&gt;0,INDEX(EN$7:EN$106,$AG41),1),IF($AH41&gt;0,INDEX(EN$7:EN$106,$AH41),1),IF($AI41&gt;0,INDEX(EN$7:EN$106,$AI41),1),IF($AJ41&gt;0,INDEX(EN$7:EN$106,$AJ41),1))))</ns0:f>
        <ns0:v>1</ns0:v>
      </ns0:c>
      <ns0:c r="EP41" t="n">
        <ns0:f>IF($A41="",1,IF(EO41=1,1,--AND(IF($AC41&gt;0,INDEX(EO$7:EO$106,$AC41),1),IF($AD41&gt;0,INDEX(EO$7:EO$106,$AD41),1),IF($AE41&gt;0,INDEX(EO$7:EO$106,$AE41),1),IF($AF41&gt;0,INDEX(EO$7:EO$106,$AF41),1),IF($AG41&gt;0,INDEX(EO$7:EO$106,$AG41),1),IF($AH41&gt;0,INDEX(EO$7:EO$106,$AH41),1),IF($AI41&gt;0,INDEX(EO$7:EO$106,$AI41),1),IF($AJ41&gt;0,INDEX(EO$7:EO$106,$AJ41),1))))</ns0:f>
        <ns0:v>1</ns0:v>
      </ns0:c>
      <ns0:c r="EQ41" t="n">
        <ns0:f>IF(OR(A41="",NOT(ISNUMBER(G41))),0,G41*N41)</ns0:f>
        <ns0:v>0</ns0:v>
      </ns0:c>
    </ns0:row>
    <ns0:row r="42" ht="62" customHeight="1">
      <ns0:c r="A42" s="48" t="str">
        <ns0:v>T30</ns0:v>
      </ns0:c>
      <ns0:c r="B42" s="48" t="str">
        <ns0:v>Learning &amp; closeout</ns0:v>
      </ns0:c>
      <ns0:c r="C42" s="48" t="str">
        <ns0:v>Ingest live store traffic, checkout transactions &amp; conversion logs into CDB</ns0:v>
      </ns0:c>
      <ns0:c r="D42" s="48" t="str">
        <ns0:v>Persist transaction, checkout, traffic and conversion events.</ns0:v>
      </ns0:c>
      <ns0:c r="E42" s="49" t="n">
        <ns0:v>46303</ns0:v>
      </ns0:c>
      <ns0:c r="F42" s="49" t="n">
        <ns0:v>46304</ns0:v>
      </ns0:c>
      <ns0:c r="G42" s="13" t="n">
        <ns0:f>IF(A42="","",IF(OR(NOT(ISNUMBER(E42)),NOT(ISNUMBER(F42)),F42&lt;E42),"",IF(J42="Yes",0,F42-E42+1)))</ns0:f>
        <ns0:v>2</ns0:v>
      </ns0:c>
      <ns0:c r="H42" s="48" t="str">
        <ns0:v>T29</ns0:v>
      </ns0:c>
      <ns0:c r="I42" s="48" t="str">
        <ns0:v>FS</ns0:v>
      </ns0:c>
      <ns0:c r="J42" s="48" t="str">
        <ns0:v>No</ns0:v>
      </ns0:c>
      <ns0:c r="K42" s="48" t="str">
        <ns0:v>Central Enterprise Database (CDB);Omnichannel Telemetry Engine</ns0:v>
      </ns0:c>
      <ns0:c r="L42" s="48" t="str"/>
      <ns0:c r="M42" s="50" t="str">
        <ns0:f>IF(A42="","",IF(N42=1,"Completed",IF(N42&gt;0,"In Progress","Not Started")))</ns0:f>
        <ns0:v>Not Started</ns0:v>
      </ns0:c>
      <ns0:c r="N42" s="51" t="n">
        <ns0:v>0</ns0:v>
      </ns0:c>
      <ns0:c r="O42" s="13" t="str">
        <ns0:f>IF(A42="","",IF(R42&lt;&gt;"","[CONFLICT] "&amp;R42,IF(S42&lt;&gt;"","[CONFLICT] "&amp;S42,IF(OR(NOT(ISNUMBER(N42)),N42&lt;0,N42&gt;1),"[CONFLICT] Invalid progress",IF(AK42&gt;0,"[DEPENDENCY ISSUE] Missing ID / &gt;8 links",IF(AM42&gt;0,"[DEPENDENCY ISSUE] Cycle or blocked by cycle",IF(AND(H42&lt;&gt;"",ISNA(MATCH(I42,{"FS","SS","FF","SF"},0))),"[DEPENDENCY ISSUE] Invalid type",IF(AL42&gt;0,"[DEPENDENCY ISSUE] Timing conflict",IF(OR(E42&lt;ProjectStart,F42&gt;ProjectEnd),"[OUTSIDE WINDOW]",IF(AND(N42&lt;1,F42&lt;AsOfDate),"Overdue",IF(AND(M42&lt;&gt;Q42,M42&lt;&gt;""),"[CONFLICT] Status / progress","On track")))))))))))</ns0:f>
        <ns0:v>On track</ns0:v>
      </ns0:c>
      <ns0:c r="P42" s="52" t="str">
        <ns0:v>Source: Project Plan Essentials (2).md §1, §2, §4. Original 2026-10-10 to 2026-10-11, 2d; original progress 0% [INFERRED]. [INFERRED] Rescheduled to fit 34d with FS. Original resource/tools: Telemetry Engine &amp; Central Database.</ns0:v>
      </ns0:c>
      <ns0:c r="Q42" t="str">
        <ns0:f>IF(A42="","",IF(OR(M42="On Hold",M42="Delayed"),M42,IF(N42=1,"Completed",IF(N42&gt;0,"In Progress","Not Started"))))</ns0:f>
        <ns0:v>Not Started</ns0:v>
      </ns0:c>
      <ns0:c r="R42" t="str">
        <ns0:f>IF(A42="","",IF(COUNTIFS(Tasks[Task ID],A42)&lt;&gt;1,"Duplicate ID",""))</ns0:f>
      </ns0:c>
      <ns0:c r="S42" t="str">
        <ns0:f>IF(A42="","",IF(OR(NOT(ISNUMBER(E42)),NOT(ISNUMBER(F42))),"Invalid / missing date",IF(OR(E42&lt;&gt;INT(E42),F42&lt;&gt;INT(F42),E42&lt;1,F42&gt;2958465),"Invalid date",IF(F42&lt;E42,"End before start",IF(AND(J42="Yes",E42&lt;&gt;F42),"Milestone needs one date","")))))</ns0:f>
      </ns0:c>
      <ns0:c r="T42" t="n">
        <ns0:f>IF(H42="",0,LEN(H42)-LEN(SUBSTITUTE(H42,",",""))+1)</ns0:f>
        <ns0:v>1</ns0:v>
      </ns0:c>
      <ns0:c r="U42" t="str">
        <ns0:f>TRIM(MID(SUBSTITUTE($H42,",",REPT(" ",100)),1,100))</ns0:f>
        <ns0:v>T29</ns0:v>
      </ns0:c>
      <ns0:c r="V42" t="str">
        <ns0:f>TRIM(MID(SUBSTITUTE($H42,",",REPT(" ",100)),101,100))</ns0:f>
      </ns0:c>
      <ns0:c r="W42" t="str">
        <ns0:f>TRIM(MID(SUBSTITUTE($H42,",",REPT(" ",100)),201,100))</ns0:f>
      </ns0:c>
      <ns0:c r="X42" t="str">
        <ns0:f>TRIM(MID(SUBSTITUTE($H42,",",REPT(" ",100)),301,100))</ns0:f>
      </ns0:c>
      <ns0:c r="Y42" t="str">
        <ns0:f>TRIM(MID(SUBSTITUTE($H42,",",REPT(" ",100)),401,100))</ns0:f>
      </ns0:c>
      <ns0:c r="Z42" t="str">
        <ns0:f>TRIM(MID(SUBSTITUTE($H42,",",REPT(" ",100)),501,100))</ns0:f>
      </ns0:c>
      <ns0:c r="AA42" t="str">
        <ns0:f>TRIM(MID(SUBSTITUTE($H42,",",REPT(" ",100)),601,100))</ns0:f>
      </ns0:c>
      <ns0:c r="AB42" t="str">
        <ns0:f>TRIM(MID(SUBSTITUTE($H42,",",REPT(" ",100)),701,100))</ns0:f>
      </ns0:c>
      <ns0:c r="AC42" t="n">
        <ns0:f>IF(U42="",0,IF(COUNTIFS(Tasks[Task ID],U42)=1,MATCH(U42,Tasks[Task ID],0),-1))</ns0:f>
        <ns0:v>34</ns0:v>
      </ns0:c>
      <ns0:c r="AD42" t="n">
        <ns0:f>IF(V42="",0,IF(COUNTIFS(Tasks[Task ID],V42)=1,MATCH(V42,Tasks[Task ID],0),-1))</ns0:f>
        <ns0:v>0</ns0:v>
      </ns0:c>
      <ns0:c r="AE42" t="n">
        <ns0:f>IF(W42="",0,IF(COUNTIFS(Tasks[Task ID],W42)=1,MATCH(W42,Tasks[Task ID],0),-1))</ns0:f>
        <ns0:v>0</ns0:v>
      </ns0:c>
      <ns0:c r="AF42" t="n">
        <ns0:f>IF(X42="",0,IF(COUNTIFS(Tasks[Task ID],X42)=1,MATCH(X42,Tasks[Task ID],0),-1))</ns0:f>
        <ns0:v>0</ns0:v>
      </ns0:c>
      <ns0:c r="AG42" t="n">
        <ns0:f>IF(Y42="",0,IF(COUNTIFS(Tasks[Task ID],Y42)=1,MATCH(Y42,Tasks[Task ID],0),-1))</ns0:f>
        <ns0:v>0</ns0:v>
      </ns0:c>
      <ns0:c r="AH42" t="n">
        <ns0:f>IF(Z42="",0,IF(COUNTIFS(Tasks[Task ID],Z42)=1,MATCH(Z42,Tasks[Task ID],0),-1))</ns0:f>
        <ns0:v>0</ns0:v>
      </ns0:c>
      <ns0:c r="AI42" t="n">
        <ns0:f>IF(AA42="",0,IF(COUNTIFS(Tasks[Task ID],AA42)=1,MATCH(AA42,Tasks[Task ID],0),-1))</ns0:f>
        <ns0:v>0</ns0:v>
      </ns0:c>
      <ns0:c r="AJ42" t="n">
        <ns0:f>IF(AB42="",0,IF(COUNTIFS(Tasks[Task ID],AB42)=1,MATCH(AB42,Tasks[Task ID],0),-1))</ns0:f>
        <ns0:v>0</ns0:v>
      </ns0:c>
      <ns0:c r="AK42" t="n">
        <ns0:f>COUNTIFS(AC42:AJ42,-1)+IF(T42&gt;8,1,0)</ns0:f>
        <ns0:v>0</ns0:v>
      </ns0:c>
      <ns0:c r="AL42" t="n">
        <ns0:f>IF(OR(A42="",S42&lt;&gt;""),0,SUM(IF(AC42&gt;0,IF($I42="FS",--($E42&lt;INDEX(Tasks[End Date],AC42)+IF(INDEX(Tasks[Milestone],AC42)="Yes",0,1)),IF($I42="SS",--($E42&lt;INDEX(Tasks[Start Date],AC42)),IF($I42="FF",--($F42&lt;INDEX(Tasks[End Date],AC42)),IF($I42="SF",--($F42&lt;INDEX(Tasks[Start Date],AC42)),0)))),0),IF(AD42&gt;0,IF($I42="FS",--($E42&lt;INDEX(Tasks[End Date],AD42)+IF(INDEX(Tasks[Milestone],AD42)="Yes",0,1)),IF($I42="SS",--($E42&lt;INDEX(Tasks[Start Date],AD42)),IF($I42="FF",--($F42&lt;INDEX(Tasks[End Date],AD42)),IF($I42="SF",--($F42&lt;INDEX(Tasks[Start Date],AD42)),0)))),0),IF(AE42&gt;0,IF($I42="FS",--($E42&lt;INDEX(Tasks[End Date],AE42)+IF(INDEX(Tasks[Milestone],AE42)="Yes",0,1)),IF($I42="SS",--($E42&lt;INDEX(Tasks[Start Date],AE42)),IF($I42="FF",--($F42&lt;INDEX(Tasks[End Date],AE42)),IF($I42="SF",--($F42&lt;INDEX(Tasks[Start Date],AE42)),0)))),0),IF(AF42&gt;0,IF($I42="FS",--($E42&lt;INDEX(Tasks[End Date],AF42)+IF(INDEX(Tasks[Milestone],AF42)="Yes",0,1)),IF($I42="SS",--($E42&lt;INDEX(Tasks[Start Date],AF42)),IF($I42="FF",--($F42&lt;INDEX(Tasks[End Date],AF42)),IF($I42="SF",--($F42&lt;INDEX(Tasks[Start Date],AF42)),0)))),0),IF(AG42&gt;0,IF($I42="FS",--($E42&lt;INDEX(Tasks[End Date],AG42)+IF(INDEX(Tasks[Milestone],AG42)="Yes",0,1)),IF($I42="SS",--($E42&lt;INDEX(Tasks[Start Date],AG42)),IF($I42="FF",--($F42&lt;INDEX(Tasks[End Date],AG42)),IF($I42="SF",--($F42&lt;INDEX(Tasks[Start Date],AG42)),0)))),0),IF(AH42&gt;0,IF($I42="FS",--($E42&lt;INDEX(Tasks[End Date],AH42)+IF(INDEX(Tasks[Milestone],AH42)="Yes",0,1)),IF($I42="SS",--($E42&lt;INDEX(Tasks[Start Date],AH42)),IF($I42="FF",--($F42&lt;INDEX(Tasks[End Date],AH42)),IF($I42="SF",--($F42&lt;INDEX(Tasks[Start Date],AH42)),0)))),0),IF(AI42&gt;0,IF($I42="FS",--($E42&lt;INDEX(Tasks[End Date],AI42)+IF(INDEX(Tasks[Milestone],AI42)="Yes",0,1)),IF($I42="SS",--($E42&lt;INDEX(Tasks[Start Date],AI42)),IF($I42="FF",--($F42&lt;INDEX(Tasks[End Date],AI42)),IF($I42="SF",--($F42&lt;INDEX(Tasks[Start Date],AI42)),0)))),0),IF(AJ42&gt;0,IF($I42="FS",--($E42&lt;INDEX(Tasks[End Date],AJ42)+IF(INDEX(Tasks[Milestone],AJ42)="Yes",0,1)),IF($I42="SS",--($E42&lt;INDEX(Tasks[Start Date],AJ42)),IF($I42="FF",--($F42&lt;INDEX(Tasks[End Date],AJ42)),IF($I42="SF",--($F42&lt;INDEX(Tasks[Start Date],AJ42)),0)))),0)))</ns0:f>
        <ns0:v>0</ns0:v>
      </ns0:c>
      <ns0:c r="AM42" t="n">
        <ns0:f>IF(AND(A42&lt;&gt;"",AK42=0,EP42=0),1,0)</ns0:f>
        <ns0:v>0</ns0:v>
      </ns0:c>
      <ns0:c r="AN42" t="n">
        <ns0:f>IF(OR(A42="",B42=""),"",IF(COUNTIFS($B$7:B42,B42)=1,MAX($AN$6:AN41)+1,""))</ns0:f>
        <ns0:v>7</ns0:v>
      </ns0:c>
      <ns0:c r="AO42" t="n">
        <ns0:f>IF(AND(A42&lt;&gt;"",J42="No",N42&lt;1,E42&gt;=AsOfDate),E42+ROW()/10000,1E+9)</ns0:f>
        <ns0:v>46303.0042</ns0:v>
      </ns0:c>
      <ns0:c r="AP42" t="n">
        <ns0:f>IF(AND(A42&lt;&gt;"",J42="Yes",N42&lt;1,E42&gt;=AsOfDate),E42+ROW()/10000,1E+9)</ns0:f>
        <ns0:v>1000000000</ns0:v>
      </ns0:c>
      <ns0:c r="AQ42" t="n">
        <ns0:f>IF(AND(A42&lt;&gt;"",J42="No",N42&lt;1,F42&gt;=AsOfDate,F42&lt;=AsOfDate+7),F42+ROW()/10000,1E+9)</ns0:f>
        <ns0:v>1000000000</ns0:v>
      </ns0:c>
      <ns0:c r="AR42" t="n">
        <ns0:f>IF(AND(A42&lt;&gt;"",OR(O42&lt;&gt;"On track",Q42="Delayed")),ROW(),1E+9)</ns0:f>
        <ns0:v>1000000000</ns0:v>
      </ns0:c>
      <ns0:c r="AS42" t="str">
        <ns0:f>IF(A42="","",";"&amp;K42&amp;";")</ns0:f>
        <ns0:v>;Central Enterprise Database (CDB);Omnichannel Telemetry Engine;</ns0:v>
      </ns0:c>
      <ns0:c r="AT42" t="n">
        <ns0:f>IF(A42="",1,--(T42=0))</ns0:f>
        <ns0:v>0</ns0:v>
      </ns0:c>
      <ns0:c r="AU42" t="n">
        <ns0:f>IF($A42="",1,IF(AT42=1,1,--AND(IF($AC42&gt;0,INDEX(AT$7:AT$106,$AC42),1),IF($AD42&gt;0,INDEX(AT$7:AT$106,$AD42),1),IF($AE42&gt;0,INDEX(AT$7:AT$106,$AE42),1),IF($AF42&gt;0,INDEX(AT$7:AT$106,$AF42),1),IF($AG42&gt;0,INDEX(AT$7:AT$106,$AG42),1),IF($AH42&gt;0,INDEX(AT$7:AT$106,$AH42),1),IF($AI42&gt;0,INDEX(AT$7:AT$106,$AI42),1),IF($AJ42&gt;0,INDEX(AT$7:AT$106,$AJ42),1))))</ns0:f>
        <ns0:v>0</ns0:v>
      </ns0:c>
      <ns0:c r="AV42" t="n">
        <ns0:f>IF($A42="",1,IF(AU42=1,1,--AND(IF($AC42&gt;0,INDEX(AU$7:AU$106,$AC42),1),IF($AD42&gt;0,INDEX(AU$7:AU$106,$AD42),1),IF($AE42&gt;0,INDEX(AU$7:AU$106,$AE42),1),IF($AF42&gt;0,INDEX(AU$7:AU$106,$AF42),1),IF($AG42&gt;0,INDEX(AU$7:AU$106,$AG42),1),IF($AH42&gt;0,INDEX(AU$7:AU$106,$AH42),1),IF($AI42&gt;0,INDEX(AU$7:AU$106,$AI42),1),IF($AJ42&gt;0,INDEX(AU$7:AU$106,$AJ42),1))))</ns0:f>
        <ns0:v>0</ns0:v>
      </ns0:c>
      <ns0:c r="AW42" t="n">
        <ns0:f>IF($A42="",1,IF(AV42=1,1,--AND(IF($AC42&gt;0,INDEX(AV$7:AV$106,$AC42),1),IF($AD42&gt;0,INDEX(AV$7:AV$106,$AD42),1),IF($AE42&gt;0,INDEX(AV$7:AV$106,$AE42),1),IF($AF42&gt;0,INDEX(AV$7:AV$106,$AF42),1),IF($AG42&gt;0,INDEX(AV$7:AV$106,$AG42),1),IF($AH42&gt;0,INDEX(AV$7:AV$106,$AH42),1),IF($AI42&gt;0,INDEX(AV$7:AV$106,$AI42),1),IF($AJ42&gt;0,INDEX(AV$7:AV$106,$AJ42),1))))</ns0:f>
        <ns0:v>0</ns0:v>
      </ns0:c>
      <ns0:c r="AX42" t="n">
        <ns0:f>IF($A42="",1,IF(AW42=1,1,--AND(IF($AC42&gt;0,INDEX(AW$7:AW$106,$AC42),1),IF($AD42&gt;0,INDEX(AW$7:AW$106,$AD42),1),IF($AE42&gt;0,INDEX(AW$7:AW$106,$AE42),1),IF($AF42&gt;0,INDEX(AW$7:AW$106,$AF42),1),IF($AG42&gt;0,INDEX(AW$7:AW$106,$AG42),1),IF($AH42&gt;0,INDEX(AW$7:AW$106,$AH42),1),IF($AI42&gt;0,INDEX(AW$7:AW$106,$AI42),1),IF($AJ42&gt;0,INDEX(AW$7:AW$106,$AJ42),1))))</ns0:f>
        <ns0:v>0</ns0:v>
      </ns0:c>
      <ns0:c r="AY42" t="n">
        <ns0:f>IF($A42="",1,IF(AX42=1,1,--AND(IF($AC42&gt;0,INDEX(AX$7:AX$106,$AC42),1),IF($AD42&gt;0,INDEX(AX$7:AX$106,$AD42),1),IF($AE42&gt;0,INDEX(AX$7:AX$106,$AE42),1),IF($AF42&gt;0,INDEX(AX$7:AX$106,$AF42),1),IF($AG42&gt;0,INDEX(AX$7:AX$106,$AG42),1),IF($AH42&gt;0,INDEX(AX$7:AX$106,$AH42),1),IF($AI42&gt;0,INDEX(AX$7:AX$106,$AI42),1),IF($AJ42&gt;0,INDEX(AX$7:AX$106,$AJ42),1))))</ns0:f>
        <ns0:v>0</ns0:v>
      </ns0:c>
      <ns0:c r="AZ42" t="n">
        <ns0:f>IF($A42="",1,IF(AY42=1,1,--AND(IF($AC42&gt;0,INDEX(AY$7:AY$106,$AC42),1),IF($AD42&gt;0,INDEX(AY$7:AY$106,$AD42),1),IF($AE42&gt;0,INDEX(AY$7:AY$106,$AE42),1),IF($AF42&gt;0,INDEX(AY$7:AY$106,$AF42),1),IF($AG42&gt;0,INDEX(AY$7:AY$106,$AG42),1),IF($AH42&gt;0,INDEX(AY$7:AY$106,$AH42),1),IF($AI42&gt;0,INDEX(AY$7:AY$106,$AI42),1),IF($AJ42&gt;0,INDEX(AY$7:AY$106,$AJ42),1))))</ns0:f>
        <ns0:v>0</ns0:v>
      </ns0:c>
      <ns0:c r="BA42" t="n">
        <ns0:f>IF($A42="",1,IF(AZ42=1,1,--AND(IF($AC42&gt;0,INDEX(AZ$7:AZ$106,$AC42),1),IF($AD42&gt;0,INDEX(AZ$7:AZ$106,$AD42),1),IF($AE42&gt;0,INDEX(AZ$7:AZ$106,$AE42),1),IF($AF42&gt;0,INDEX(AZ$7:AZ$106,$AF42),1),IF($AG42&gt;0,INDEX(AZ$7:AZ$106,$AG42),1),IF($AH42&gt;0,INDEX(AZ$7:AZ$106,$AH42),1),IF($AI42&gt;0,INDEX(AZ$7:AZ$106,$AI42),1),IF($AJ42&gt;0,INDEX(AZ$7:AZ$106,$AJ42),1))))</ns0:f>
        <ns0:v>0</ns0:v>
      </ns0:c>
      <ns0:c r="BB42" t="n">
        <ns0:f>IF($A42="",1,IF(BA42=1,1,--AND(IF($AC42&gt;0,INDEX(BA$7:BA$106,$AC42),1),IF($AD42&gt;0,INDEX(BA$7:BA$106,$AD42),1),IF($AE42&gt;0,INDEX(BA$7:BA$106,$AE42),1),IF($AF42&gt;0,INDEX(BA$7:BA$106,$AF42),1),IF($AG42&gt;0,INDEX(BA$7:BA$106,$AG42),1),IF($AH42&gt;0,INDEX(BA$7:BA$106,$AH42),1),IF($AI42&gt;0,INDEX(BA$7:BA$106,$AI42),1),IF($AJ42&gt;0,INDEX(BA$7:BA$106,$AJ42),1))))</ns0:f>
        <ns0:v>0</ns0:v>
      </ns0:c>
      <ns0:c r="BC42" t="n">
        <ns0:f>IF($A42="",1,IF(BB42=1,1,--AND(IF($AC42&gt;0,INDEX(BB$7:BB$106,$AC42),1),IF($AD42&gt;0,INDEX(BB$7:BB$106,$AD42),1),IF($AE42&gt;0,INDEX(BB$7:BB$106,$AE42),1),IF($AF42&gt;0,INDEX(BB$7:BB$106,$AF42),1),IF($AG42&gt;0,INDEX(BB$7:BB$106,$AG42),1),IF($AH42&gt;0,INDEX(BB$7:BB$106,$AH42),1),IF($AI42&gt;0,INDEX(BB$7:BB$106,$AI42),1),IF($AJ42&gt;0,INDEX(BB$7:BB$106,$AJ42),1))))</ns0:f>
        <ns0:v>0</ns0:v>
      </ns0:c>
      <ns0:c r="BD42" t="n">
        <ns0:f>IF($A42="",1,IF(BC42=1,1,--AND(IF($AC42&gt;0,INDEX(BC$7:BC$106,$AC42),1),IF($AD42&gt;0,INDEX(BC$7:BC$106,$AD42),1),IF($AE42&gt;0,INDEX(BC$7:BC$106,$AE42),1),IF($AF42&gt;0,INDEX(BC$7:BC$106,$AF42),1),IF($AG42&gt;0,INDEX(BC$7:BC$106,$AG42),1),IF($AH42&gt;0,INDEX(BC$7:BC$106,$AH42),1),IF($AI42&gt;0,INDEX(BC$7:BC$106,$AI42),1),IF($AJ42&gt;0,INDEX(BC$7:BC$106,$AJ42),1))))</ns0:f>
        <ns0:v>0</ns0:v>
      </ns0:c>
      <ns0:c r="BE42" t="n">
        <ns0:f>IF($A42="",1,IF(BD42=1,1,--AND(IF($AC42&gt;0,INDEX(BD$7:BD$106,$AC42),1),IF($AD42&gt;0,INDEX(BD$7:BD$106,$AD42),1),IF($AE42&gt;0,INDEX(BD$7:BD$106,$AE42),1),IF($AF42&gt;0,INDEX(BD$7:BD$106,$AF42),1),IF($AG42&gt;0,INDEX(BD$7:BD$106,$AG42),1),IF($AH42&gt;0,INDEX(BD$7:BD$106,$AH42),1),IF($AI42&gt;0,INDEX(BD$7:BD$106,$AI42),1),IF($AJ42&gt;0,INDEX(BD$7:BD$106,$AJ42),1))))</ns0:f>
        <ns0:v>0</ns0:v>
      </ns0:c>
      <ns0:c r="BF42" t="n">
        <ns0:f>IF($A42="",1,IF(BE42=1,1,--AND(IF($AC42&gt;0,INDEX(BE$7:BE$106,$AC42),1),IF($AD42&gt;0,INDEX(BE$7:BE$106,$AD42),1),IF($AE42&gt;0,INDEX(BE$7:BE$106,$AE42),1),IF($AF42&gt;0,INDEX(BE$7:BE$106,$AF42),1),IF($AG42&gt;0,INDEX(BE$7:BE$106,$AG42),1),IF($AH42&gt;0,INDEX(BE$7:BE$106,$AH42),1),IF($AI42&gt;0,INDEX(BE$7:BE$106,$AI42),1),IF($AJ42&gt;0,INDEX(BE$7:BE$106,$AJ42),1))))</ns0:f>
        <ns0:v>0</ns0:v>
      </ns0:c>
      <ns0:c r="BG42" t="n">
        <ns0:f>IF($A42="",1,IF(BF42=1,1,--AND(IF($AC42&gt;0,INDEX(BF$7:BF$106,$AC42),1),IF($AD42&gt;0,INDEX(BF$7:BF$106,$AD42),1),IF($AE42&gt;0,INDEX(BF$7:BF$106,$AE42),1),IF($AF42&gt;0,INDEX(BF$7:BF$106,$AF42),1),IF($AG42&gt;0,INDEX(BF$7:BF$106,$AG42),1),IF($AH42&gt;0,INDEX(BF$7:BF$106,$AH42),1),IF($AI42&gt;0,INDEX(BF$7:BF$106,$AI42),1),IF($AJ42&gt;0,INDEX(BF$7:BF$106,$AJ42),1))))</ns0:f>
        <ns0:v>0</ns0:v>
      </ns0:c>
      <ns0:c r="BH42" t="n">
        <ns0:f>IF($A42="",1,IF(BG42=1,1,--AND(IF($AC42&gt;0,INDEX(BG$7:BG$106,$AC42),1),IF($AD42&gt;0,INDEX(BG$7:BG$106,$AD42),1),IF($AE42&gt;0,INDEX(BG$7:BG$106,$AE42),1),IF($AF42&gt;0,INDEX(BG$7:BG$106,$AF42),1),IF($AG42&gt;0,INDEX(BG$7:BG$106,$AG42),1),IF($AH42&gt;0,INDEX(BG$7:BG$106,$AH42),1),IF($AI42&gt;0,INDEX(BG$7:BG$106,$AI42),1),IF($AJ42&gt;0,INDEX(BG$7:BG$106,$AJ42),1))))</ns0:f>
        <ns0:v>0</ns0:v>
      </ns0:c>
      <ns0:c r="BI42" t="n">
        <ns0:f>IF($A42="",1,IF(BH42=1,1,--AND(IF($AC42&gt;0,INDEX(BH$7:BH$106,$AC42),1),IF($AD42&gt;0,INDEX(BH$7:BH$106,$AD42),1),IF($AE42&gt;0,INDEX(BH$7:BH$106,$AE42),1),IF($AF42&gt;0,INDEX(BH$7:BH$106,$AF42),1),IF($AG42&gt;0,INDEX(BH$7:BH$106,$AG42),1),IF($AH42&gt;0,INDEX(BH$7:BH$106,$AH42),1),IF($AI42&gt;0,INDEX(BH$7:BH$106,$AI42),1),IF($AJ42&gt;0,INDEX(BH$7:BH$106,$AJ42),1))))</ns0:f>
        <ns0:v>1</ns0:v>
      </ns0:c>
      <ns0:c r="BJ42" t="n">
        <ns0:f>IF($A42="",1,IF(BI42=1,1,--AND(IF($AC42&gt;0,INDEX(BI$7:BI$106,$AC42),1),IF($AD42&gt;0,INDEX(BI$7:BI$106,$AD42),1),IF($AE42&gt;0,INDEX(BI$7:BI$106,$AE42),1),IF($AF42&gt;0,INDEX(BI$7:BI$106,$AF42),1),IF($AG42&gt;0,INDEX(BI$7:BI$106,$AG42),1),IF($AH42&gt;0,INDEX(BI$7:BI$106,$AH42),1),IF($AI42&gt;0,INDEX(BI$7:BI$106,$AI42),1),IF($AJ42&gt;0,INDEX(BI$7:BI$106,$AJ42),1))))</ns0:f>
        <ns0:v>1</ns0:v>
      </ns0:c>
      <ns0:c r="BK42" t="n">
        <ns0:f>IF($A42="",1,IF(BJ42=1,1,--AND(IF($AC42&gt;0,INDEX(BJ$7:BJ$106,$AC42),1),IF($AD42&gt;0,INDEX(BJ$7:BJ$106,$AD42),1),IF($AE42&gt;0,INDEX(BJ$7:BJ$106,$AE42),1),IF($AF42&gt;0,INDEX(BJ$7:BJ$106,$AF42),1),IF($AG42&gt;0,INDEX(BJ$7:BJ$106,$AG42),1),IF($AH42&gt;0,INDEX(BJ$7:BJ$106,$AH42),1),IF($AI42&gt;0,INDEX(BJ$7:BJ$106,$AI42),1),IF($AJ42&gt;0,INDEX(BJ$7:BJ$106,$AJ42),1))))</ns0:f>
        <ns0:v>1</ns0:v>
      </ns0:c>
      <ns0:c r="BL42" t="n">
        <ns0:f>IF($A42="",1,IF(BK42=1,1,--AND(IF($AC42&gt;0,INDEX(BK$7:BK$106,$AC42),1),IF($AD42&gt;0,INDEX(BK$7:BK$106,$AD42),1),IF($AE42&gt;0,INDEX(BK$7:BK$106,$AE42),1),IF($AF42&gt;0,INDEX(BK$7:BK$106,$AF42),1),IF($AG42&gt;0,INDEX(BK$7:BK$106,$AG42),1),IF($AH42&gt;0,INDEX(BK$7:BK$106,$AH42),1),IF($AI42&gt;0,INDEX(BK$7:BK$106,$AI42),1),IF($AJ42&gt;0,INDEX(BK$7:BK$106,$AJ42),1))))</ns0:f>
        <ns0:v>1</ns0:v>
      </ns0:c>
      <ns0:c r="BM42" t="n">
        <ns0:f>IF($A42="",1,IF(BL42=1,1,--AND(IF($AC42&gt;0,INDEX(BL$7:BL$106,$AC42),1),IF($AD42&gt;0,INDEX(BL$7:BL$106,$AD42),1),IF($AE42&gt;0,INDEX(BL$7:BL$106,$AE42),1),IF($AF42&gt;0,INDEX(BL$7:BL$106,$AF42),1),IF($AG42&gt;0,INDEX(BL$7:BL$106,$AG42),1),IF($AH42&gt;0,INDEX(BL$7:BL$106,$AH42),1),IF($AI42&gt;0,INDEX(BL$7:BL$106,$AI42),1),IF($AJ42&gt;0,INDEX(BL$7:BL$106,$AJ42),1))))</ns0:f>
        <ns0:v>1</ns0:v>
      </ns0:c>
      <ns0:c r="BN42" t="n">
        <ns0:f>IF($A42="",1,IF(BM42=1,1,--AND(IF($AC42&gt;0,INDEX(BM$7:BM$106,$AC42),1),IF($AD42&gt;0,INDEX(BM$7:BM$106,$AD42),1),IF($AE42&gt;0,INDEX(BM$7:BM$106,$AE42),1),IF($AF42&gt;0,INDEX(BM$7:BM$106,$AF42),1),IF($AG42&gt;0,INDEX(BM$7:BM$106,$AG42),1),IF($AH42&gt;0,INDEX(BM$7:BM$106,$AH42),1),IF($AI42&gt;0,INDEX(BM$7:BM$106,$AI42),1),IF($AJ42&gt;0,INDEX(BM$7:BM$106,$AJ42),1))))</ns0:f>
        <ns0:v>1</ns0:v>
      </ns0:c>
      <ns0:c r="BO42" t="n">
        <ns0:f>IF($A42="",1,IF(BN42=1,1,--AND(IF($AC42&gt;0,INDEX(BN$7:BN$106,$AC42),1),IF($AD42&gt;0,INDEX(BN$7:BN$106,$AD42),1),IF($AE42&gt;0,INDEX(BN$7:BN$106,$AE42),1),IF($AF42&gt;0,INDEX(BN$7:BN$106,$AF42),1),IF($AG42&gt;0,INDEX(BN$7:BN$106,$AG42),1),IF($AH42&gt;0,INDEX(BN$7:BN$106,$AH42),1),IF($AI42&gt;0,INDEX(BN$7:BN$106,$AI42),1),IF($AJ42&gt;0,INDEX(BN$7:BN$106,$AJ42),1))))</ns0:f>
        <ns0:v>1</ns0:v>
      </ns0:c>
      <ns0:c r="BP42" t="n">
        <ns0:f>IF($A42="",1,IF(BO42=1,1,--AND(IF($AC42&gt;0,INDEX(BO$7:BO$106,$AC42),1),IF($AD42&gt;0,INDEX(BO$7:BO$106,$AD42),1),IF($AE42&gt;0,INDEX(BO$7:BO$106,$AE42),1),IF($AF42&gt;0,INDEX(BO$7:BO$106,$AF42),1),IF($AG42&gt;0,INDEX(BO$7:BO$106,$AG42),1),IF($AH42&gt;0,INDEX(BO$7:BO$106,$AH42),1),IF($AI42&gt;0,INDEX(BO$7:BO$106,$AI42),1),IF($AJ42&gt;0,INDEX(BO$7:BO$106,$AJ42),1))))</ns0:f>
        <ns0:v>1</ns0:v>
      </ns0:c>
      <ns0:c r="BQ42" t="n">
        <ns0:f>IF($A42="",1,IF(BP42=1,1,--AND(IF($AC42&gt;0,INDEX(BP$7:BP$106,$AC42),1),IF($AD42&gt;0,INDEX(BP$7:BP$106,$AD42),1),IF($AE42&gt;0,INDEX(BP$7:BP$106,$AE42),1),IF($AF42&gt;0,INDEX(BP$7:BP$106,$AF42),1),IF($AG42&gt;0,INDEX(BP$7:BP$106,$AG42),1),IF($AH42&gt;0,INDEX(BP$7:BP$106,$AH42),1),IF($AI42&gt;0,INDEX(BP$7:BP$106,$AI42),1),IF($AJ42&gt;0,INDEX(BP$7:BP$106,$AJ42),1))))</ns0:f>
        <ns0:v>1</ns0:v>
      </ns0:c>
      <ns0:c r="BR42" t="n">
        <ns0:f>IF($A42="",1,IF(BQ42=1,1,--AND(IF($AC42&gt;0,INDEX(BQ$7:BQ$106,$AC42),1),IF($AD42&gt;0,INDEX(BQ$7:BQ$106,$AD42),1),IF($AE42&gt;0,INDEX(BQ$7:BQ$106,$AE42),1),IF($AF42&gt;0,INDEX(BQ$7:BQ$106,$AF42),1),IF($AG42&gt;0,INDEX(BQ$7:BQ$106,$AG42),1),IF($AH42&gt;0,INDEX(BQ$7:BQ$106,$AH42),1),IF($AI42&gt;0,INDEX(BQ$7:BQ$106,$AI42),1),IF($AJ42&gt;0,INDEX(BQ$7:BQ$106,$AJ42),1))))</ns0:f>
        <ns0:v>1</ns0:v>
      </ns0:c>
      <ns0:c r="BS42" t="n">
        <ns0:f>IF($A42="",1,IF(BR42=1,1,--AND(IF($AC42&gt;0,INDEX(BR$7:BR$106,$AC42),1),IF($AD42&gt;0,INDEX(BR$7:BR$106,$AD42),1),IF($AE42&gt;0,INDEX(BR$7:BR$106,$AE42),1),IF($AF42&gt;0,INDEX(BR$7:BR$106,$AF42),1),IF($AG42&gt;0,INDEX(BR$7:BR$106,$AG42),1),IF($AH42&gt;0,INDEX(BR$7:BR$106,$AH42),1),IF($AI42&gt;0,INDEX(BR$7:BR$106,$AI42),1),IF($AJ42&gt;0,INDEX(BR$7:BR$106,$AJ42),1))))</ns0:f>
        <ns0:v>1</ns0:v>
      </ns0:c>
      <ns0:c r="BT42" t="n">
        <ns0:f>IF($A42="",1,IF(BS42=1,1,--AND(IF($AC42&gt;0,INDEX(BS$7:BS$106,$AC42),1),IF($AD42&gt;0,INDEX(BS$7:BS$106,$AD42),1),IF($AE42&gt;0,INDEX(BS$7:BS$106,$AE42),1),IF($AF42&gt;0,INDEX(BS$7:BS$106,$AF42),1),IF($AG42&gt;0,INDEX(BS$7:BS$106,$AG42),1),IF($AH42&gt;0,INDEX(BS$7:BS$106,$AH42),1),IF($AI42&gt;0,INDEX(BS$7:BS$106,$AI42),1),IF($AJ42&gt;0,INDEX(BS$7:BS$106,$AJ42),1))))</ns0:f>
        <ns0:v>1</ns0:v>
      </ns0:c>
      <ns0:c r="BU42" t="n">
        <ns0:f>IF($A42="",1,IF(BT42=1,1,--AND(IF($AC42&gt;0,INDEX(BT$7:BT$106,$AC42),1),IF($AD42&gt;0,INDEX(BT$7:BT$106,$AD42),1),IF($AE42&gt;0,INDEX(BT$7:BT$106,$AE42),1),IF($AF42&gt;0,INDEX(BT$7:BT$106,$AF42),1),IF($AG42&gt;0,INDEX(BT$7:BT$106,$AG42),1),IF($AH42&gt;0,INDEX(BT$7:BT$106,$AH42),1),IF($AI42&gt;0,INDEX(BT$7:BT$106,$AI42),1),IF($AJ42&gt;0,INDEX(BT$7:BT$106,$AJ42),1))))</ns0:f>
        <ns0:v>1</ns0:v>
      </ns0:c>
      <ns0:c r="BV42" t="n">
        <ns0:f>IF($A42="",1,IF(BU42=1,1,--AND(IF($AC42&gt;0,INDEX(BU$7:BU$106,$AC42),1),IF($AD42&gt;0,INDEX(BU$7:BU$106,$AD42),1),IF($AE42&gt;0,INDEX(BU$7:BU$106,$AE42),1),IF($AF42&gt;0,INDEX(BU$7:BU$106,$AF42),1),IF($AG42&gt;0,INDEX(BU$7:BU$106,$AG42),1),IF($AH42&gt;0,INDEX(BU$7:BU$106,$AH42),1),IF($AI42&gt;0,INDEX(BU$7:BU$106,$AI42),1),IF($AJ42&gt;0,INDEX(BU$7:BU$106,$AJ42),1))))</ns0:f>
        <ns0:v>1</ns0:v>
      </ns0:c>
      <ns0:c r="BW42" t="n">
        <ns0:f>IF($A42="",1,IF(BV42=1,1,--AND(IF($AC42&gt;0,INDEX(BV$7:BV$106,$AC42),1),IF($AD42&gt;0,INDEX(BV$7:BV$106,$AD42),1),IF($AE42&gt;0,INDEX(BV$7:BV$106,$AE42),1),IF($AF42&gt;0,INDEX(BV$7:BV$106,$AF42),1),IF($AG42&gt;0,INDEX(BV$7:BV$106,$AG42),1),IF($AH42&gt;0,INDEX(BV$7:BV$106,$AH42),1),IF($AI42&gt;0,INDEX(BV$7:BV$106,$AI42),1),IF($AJ42&gt;0,INDEX(BV$7:BV$106,$AJ42),1))))</ns0:f>
        <ns0:v>1</ns0:v>
      </ns0:c>
      <ns0:c r="BX42" t="n">
        <ns0:f>IF($A42="",1,IF(BW42=1,1,--AND(IF($AC42&gt;0,INDEX(BW$7:BW$106,$AC42),1),IF($AD42&gt;0,INDEX(BW$7:BW$106,$AD42),1),IF($AE42&gt;0,INDEX(BW$7:BW$106,$AE42),1),IF($AF42&gt;0,INDEX(BW$7:BW$106,$AF42),1),IF($AG42&gt;0,INDEX(BW$7:BW$106,$AG42),1),IF($AH42&gt;0,INDEX(BW$7:BW$106,$AH42),1),IF($AI42&gt;0,INDEX(BW$7:BW$106,$AI42),1),IF($AJ42&gt;0,INDEX(BW$7:BW$106,$AJ42),1))))</ns0:f>
        <ns0:v>1</ns0:v>
      </ns0:c>
      <ns0:c r="BY42" t="n">
        <ns0:f>IF($A42="",1,IF(BX42=1,1,--AND(IF($AC42&gt;0,INDEX(BX$7:BX$106,$AC42),1),IF($AD42&gt;0,INDEX(BX$7:BX$106,$AD42),1),IF($AE42&gt;0,INDEX(BX$7:BX$106,$AE42),1),IF($AF42&gt;0,INDEX(BX$7:BX$106,$AF42),1),IF($AG42&gt;0,INDEX(BX$7:BX$106,$AG42),1),IF($AH42&gt;0,INDEX(BX$7:BX$106,$AH42),1),IF($AI42&gt;0,INDEX(BX$7:BX$106,$AI42),1),IF($AJ42&gt;0,INDEX(BX$7:BX$106,$AJ42),1))))</ns0:f>
        <ns0:v>1</ns0:v>
      </ns0:c>
      <ns0:c r="BZ42" t="n">
        <ns0:f>IF($A42="",1,IF(BY42=1,1,--AND(IF($AC42&gt;0,INDEX(BY$7:BY$106,$AC42),1),IF($AD42&gt;0,INDEX(BY$7:BY$106,$AD42),1),IF($AE42&gt;0,INDEX(BY$7:BY$106,$AE42),1),IF($AF42&gt;0,INDEX(BY$7:BY$106,$AF42),1),IF($AG42&gt;0,INDEX(BY$7:BY$106,$AG42),1),IF($AH42&gt;0,INDEX(BY$7:BY$106,$AH42),1),IF($AI42&gt;0,INDEX(BY$7:BY$106,$AI42),1),IF($AJ42&gt;0,INDEX(BY$7:BY$106,$AJ42),1))))</ns0:f>
        <ns0:v>1</ns0:v>
      </ns0:c>
      <ns0:c r="CA42" t="n">
        <ns0:f>IF($A42="",1,IF(BZ42=1,1,--AND(IF($AC42&gt;0,INDEX(BZ$7:BZ$106,$AC42),1),IF($AD42&gt;0,INDEX(BZ$7:BZ$106,$AD42),1),IF($AE42&gt;0,INDEX(BZ$7:BZ$106,$AE42),1),IF($AF42&gt;0,INDEX(BZ$7:BZ$106,$AF42),1),IF($AG42&gt;0,INDEX(BZ$7:BZ$106,$AG42),1),IF($AH42&gt;0,INDEX(BZ$7:BZ$106,$AH42),1),IF($AI42&gt;0,INDEX(BZ$7:BZ$106,$AI42),1),IF($AJ42&gt;0,INDEX(BZ$7:BZ$106,$AJ42),1))))</ns0:f>
        <ns0:v>1</ns0:v>
      </ns0:c>
      <ns0:c r="CB42" t="n">
        <ns0:f>IF($A42="",1,IF(CA42=1,1,--AND(IF($AC42&gt;0,INDEX(CA$7:CA$106,$AC42),1),IF($AD42&gt;0,INDEX(CA$7:CA$106,$AD42),1),IF($AE42&gt;0,INDEX(CA$7:CA$106,$AE42),1),IF($AF42&gt;0,INDEX(CA$7:CA$106,$AF42),1),IF($AG42&gt;0,INDEX(CA$7:CA$106,$AG42),1),IF($AH42&gt;0,INDEX(CA$7:CA$106,$AH42),1),IF($AI42&gt;0,INDEX(CA$7:CA$106,$AI42),1),IF($AJ42&gt;0,INDEX(CA$7:CA$106,$AJ42),1))))</ns0:f>
        <ns0:v>1</ns0:v>
      </ns0:c>
      <ns0:c r="CC42" t="n">
        <ns0:f>IF($A42="",1,IF(CB42=1,1,--AND(IF($AC42&gt;0,INDEX(CB$7:CB$106,$AC42),1),IF($AD42&gt;0,INDEX(CB$7:CB$106,$AD42),1),IF($AE42&gt;0,INDEX(CB$7:CB$106,$AE42),1),IF($AF42&gt;0,INDEX(CB$7:CB$106,$AF42),1),IF($AG42&gt;0,INDEX(CB$7:CB$106,$AG42),1),IF($AH42&gt;0,INDEX(CB$7:CB$106,$AH42),1),IF($AI42&gt;0,INDEX(CB$7:CB$106,$AI42),1),IF($AJ42&gt;0,INDEX(CB$7:CB$106,$AJ42),1))))</ns0:f>
        <ns0:v>1</ns0:v>
      </ns0:c>
      <ns0:c r="CD42" t="n">
        <ns0:f>IF($A42="",1,IF(CC42=1,1,--AND(IF($AC42&gt;0,INDEX(CC$7:CC$106,$AC42),1),IF($AD42&gt;0,INDEX(CC$7:CC$106,$AD42),1),IF($AE42&gt;0,INDEX(CC$7:CC$106,$AE42),1),IF($AF42&gt;0,INDEX(CC$7:CC$106,$AF42),1),IF($AG42&gt;0,INDEX(CC$7:CC$106,$AG42),1),IF($AH42&gt;0,INDEX(CC$7:CC$106,$AH42),1),IF($AI42&gt;0,INDEX(CC$7:CC$106,$AI42),1),IF($AJ42&gt;0,INDEX(CC$7:CC$106,$AJ42),1))))</ns0:f>
        <ns0:v>1</ns0:v>
      </ns0:c>
      <ns0:c r="CE42" t="n">
        <ns0:f>IF($A42="",1,IF(CD42=1,1,--AND(IF($AC42&gt;0,INDEX(CD$7:CD$106,$AC42),1),IF($AD42&gt;0,INDEX(CD$7:CD$106,$AD42),1),IF($AE42&gt;0,INDEX(CD$7:CD$106,$AE42),1),IF($AF42&gt;0,INDEX(CD$7:CD$106,$AF42),1),IF($AG42&gt;0,INDEX(CD$7:CD$106,$AG42),1),IF($AH42&gt;0,INDEX(CD$7:CD$106,$AH42),1),IF($AI42&gt;0,INDEX(CD$7:CD$106,$AI42),1),IF($AJ42&gt;0,INDEX(CD$7:CD$106,$AJ42),1))))</ns0:f>
        <ns0:v>1</ns0:v>
      </ns0:c>
      <ns0:c r="CF42" t="n">
        <ns0:f>IF($A42="",1,IF(CE42=1,1,--AND(IF($AC42&gt;0,INDEX(CE$7:CE$106,$AC42),1),IF($AD42&gt;0,INDEX(CE$7:CE$106,$AD42),1),IF($AE42&gt;0,INDEX(CE$7:CE$106,$AE42),1),IF($AF42&gt;0,INDEX(CE$7:CE$106,$AF42),1),IF($AG42&gt;0,INDEX(CE$7:CE$106,$AG42),1),IF($AH42&gt;0,INDEX(CE$7:CE$106,$AH42),1),IF($AI42&gt;0,INDEX(CE$7:CE$106,$AI42),1),IF($AJ42&gt;0,INDEX(CE$7:CE$106,$AJ42),1))))</ns0:f>
        <ns0:v>1</ns0:v>
      </ns0:c>
      <ns0:c r="CG42" t="n">
        <ns0:f>IF($A42="",1,IF(CF42=1,1,--AND(IF($AC42&gt;0,INDEX(CF$7:CF$106,$AC42),1),IF($AD42&gt;0,INDEX(CF$7:CF$106,$AD42),1),IF($AE42&gt;0,INDEX(CF$7:CF$106,$AE42),1),IF($AF42&gt;0,INDEX(CF$7:CF$106,$AF42),1),IF($AG42&gt;0,INDEX(CF$7:CF$106,$AG42),1),IF($AH42&gt;0,INDEX(CF$7:CF$106,$AH42),1),IF($AI42&gt;0,INDEX(CF$7:CF$106,$AI42),1),IF($AJ42&gt;0,INDEX(CF$7:CF$106,$AJ42),1))))</ns0:f>
        <ns0:v>1</ns0:v>
      </ns0:c>
      <ns0:c r="CH42" t="n">
        <ns0:f>IF($A42="",1,IF(CG42=1,1,--AND(IF($AC42&gt;0,INDEX(CG$7:CG$106,$AC42),1),IF($AD42&gt;0,INDEX(CG$7:CG$106,$AD42),1),IF($AE42&gt;0,INDEX(CG$7:CG$106,$AE42),1),IF($AF42&gt;0,INDEX(CG$7:CG$106,$AF42),1),IF($AG42&gt;0,INDEX(CG$7:CG$106,$AG42),1),IF($AH42&gt;0,INDEX(CG$7:CG$106,$AH42),1),IF($AI42&gt;0,INDEX(CG$7:CG$106,$AI42),1),IF($AJ42&gt;0,INDEX(CG$7:CG$106,$AJ42),1))))</ns0:f>
        <ns0:v>1</ns0:v>
      </ns0:c>
      <ns0:c r="CI42" t="n">
        <ns0:f>IF($A42="",1,IF(CH42=1,1,--AND(IF($AC42&gt;0,INDEX(CH$7:CH$106,$AC42),1),IF($AD42&gt;0,INDEX(CH$7:CH$106,$AD42),1),IF($AE42&gt;0,INDEX(CH$7:CH$106,$AE42),1),IF($AF42&gt;0,INDEX(CH$7:CH$106,$AF42),1),IF($AG42&gt;0,INDEX(CH$7:CH$106,$AG42),1),IF($AH42&gt;0,INDEX(CH$7:CH$106,$AH42),1),IF($AI42&gt;0,INDEX(CH$7:CH$106,$AI42),1),IF($AJ42&gt;0,INDEX(CH$7:CH$106,$AJ42),1))))</ns0:f>
        <ns0:v>1</ns0:v>
      </ns0:c>
      <ns0:c r="CJ42" t="n">
        <ns0:f>IF($A42="",1,IF(CI42=1,1,--AND(IF($AC42&gt;0,INDEX(CI$7:CI$106,$AC42),1),IF($AD42&gt;0,INDEX(CI$7:CI$106,$AD42),1),IF($AE42&gt;0,INDEX(CI$7:CI$106,$AE42),1),IF($AF42&gt;0,INDEX(CI$7:CI$106,$AF42),1),IF($AG42&gt;0,INDEX(CI$7:CI$106,$AG42),1),IF($AH42&gt;0,INDEX(CI$7:CI$106,$AH42),1),IF($AI42&gt;0,INDEX(CI$7:CI$106,$AI42),1),IF($AJ42&gt;0,INDEX(CI$7:CI$106,$AJ42),1))))</ns0:f>
        <ns0:v>1</ns0:v>
      </ns0:c>
      <ns0:c r="CK42" t="n">
        <ns0:f>IF($A42="",1,IF(CJ42=1,1,--AND(IF($AC42&gt;0,INDEX(CJ$7:CJ$106,$AC42),1),IF($AD42&gt;0,INDEX(CJ$7:CJ$106,$AD42),1),IF($AE42&gt;0,INDEX(CJ$7:CJ$106,$AE42),1),IF($AF42&gt;0,INDEX(CJ$7:CJ$106,$AF42),1),IF($AG42&gt;0,INDEX(CJ$7:CJ$106,$AG42),1),IF($AH42&gt;0,INDEX(CJ$7:CJ$106,$AH42),1),IF($AI42&gt;0,INDEX(CJ$7:CJ$106,$AI42),1),IF($AJ42&gt;0,INDEX(CJ$7:CJ$106,$AJ42),1))))</ns0:f>
        <ns0:v>1</ns0:v>
      </ns0:c>
      <ns0:c r="CL42" t="n">
        <ns0:f>IF($A42="",1,IF(CK42=1,1,--AND(IF($AC42&gt;0,INDEX(CK$7:CK$106,$AC42),1),IF($AD42&gt;0,INDEX(CK$7:CK$106,$AD42),1),IF($AE42&gt;0,INDEX(CK$7:CK$106,$AE42),1),IF($AF42&gt;0,INDEX(CK$7:CK$106,$AF42),1),IF($AG42&gt;0,INDEX(CK$7:CK$106,$AG42),1),IF($AH42&gt;0,INDEX(CK$7:CK$106,$AH42),1),IF($AI42&gt;0,INDEX(CK$7:CK$106,$AI42),1),IF($AJ42&gt;0,INDEX(CK$7:CK$106,$AJ42),1))))</ns0:f>
        <ns0:v>1</ns0:v>
      </ns0:c>
      <ns0:c r="CM42" t="n">
        <ns0:f>IF($A42="",1,IF(CL42=1,1,--AND(IF($AC42&gt;0,INDEX(CL$7:CL$106,$AC42),1),IF($AD42&gt;0,INDEX(CL$7:CL$106,$AD42),1),IF($AE42&gt;0,INDEX(CL$7:CL$106,$AE42),1),IF($AF42&gt;0,INDEX(CL$7:CL$106,$AF42),1),IF($AG42&gt;0,INDEX(CL$7:CL$106,$AG42),1),IF($AH42&gt;0,INDEX(CL$7:CL$106,$AH42),1),IF($AI42&gt;0,INDEX(CL$7:CL$106,$AI42),1),IF($AJ42&gt;0,INDEX(CL$7:CL$106,$AJ42),1))))</ns0:f>
        <ns0:v>1</ns0:v>
      </ns0:c>
      <ns0:c r="CN42" t="n">
        <ns0:f>IF($A42="",1,IF(CM42=1,1,--AND(IF($AC42&gt;0,INDEX(CM$7:CM$106,$AC42),1),IF($AD42&gt;0,INDEX(CM$7:CM$106,$AD42),1),IF($AE42&gt;0,INDEX(CM$7:CM$106,$AE42),1),IF($AF42&gt;0,INDEX(CM$7:CM$106,$AF42),1),IF($AG42&gt;0,INDEX(CM$7:CM$106,$AG42),1),IF($AH42&gt;0,INDEX(CM$7:CM$106,$AH42),1),IF($AI42&gt;0,INDEX(CM$7:CM$106,$AI42),1),IF($AJ42&gt;0,INDEX(CM$7:CM$106,$AJ42),1))))</ns0:f>
        <ns0:v>1</ns0:v>
      </ns0:c>
      <ns0:c r="CO42" t="n">
        <ns0:f>IF($A42="",1,IF(CN42=1,1,--AND(IF($AC42&gt;0,INDEX(CN$7:CN$106,$AC42),1),IF($AD42&gt;0,INDEX(CN$7:CN$106,$AD42),1),IF($AE42&gt;0,INDEX(CN$7:CN$106,$AE42),1),IF($AF42&gt;0,INDEX(CN$7:CN$106,$AF42),1),IF($AG42&gt;0,INDEX(CN$7:CN$106,$AG42),1),IF($AH42&gt;0,INDEX(CN$7:CN$106,$AH42),1),IF($AI42&gt;0,INDEX(CN$7:CN$106,$AI42),1),IF($AJ42&gt;0,INDEX(CN$7:CN$106,$AJ42),1))))</ns0:f>
        <ns0:v>1</ns0:v>
      </ns0:c>
      <ns0:c r="CP42" t="n">
        <ns0:f>IF($A42="",1,IF(CO42=1,1,--AND(IF($AC42&gt;0,INDEX(CO$7:CO$106,$AC42),1),IF($AD42&gt;0,INDEX(CO$7:CO$106,$AD42),1),IF($AE42&gt;0,INDEX(CO$7:CO$106,$AE42),1),IF($AF42&gt;0,INDEX(CO$7:CO$106,$AF42),1),IF($AG42&gt;0,INDEX(CO$7:CO$106,$AG42),1),IF($AH42&gt;0,INDEX(CO$7:CO$106,$AH42),1),IF($AI42&gt;0,INDEX(CO$7:CO$106,$AI42),1),IF($AJ42&gt;0,INDEX(CO$7:CO$106,$AJ42),1))))</ns0:f>
        <ns0:v>1</ns0:v>
      </ns0:c>
      <ns0:c r="CQ42" t="n">
        <ns0:f>IF($A42="",1,IF(CP42=1,1,--AND(IF($AC42&gt;0,INDEX(CP$7:CP$106,$AC42),1),IF($AD42&gt;0,INDEX(CP$7:CP$106,$AD42),1),IF($AE42&gt;0,INDEX(CP$7:CP$106,$AE42),1),IF($AF42&gt;0,INDEX(CP$7:CP$106,$AF42),1),IF($AG42&gt;0,INDEX(CP$7:CP$106,$AG42),1),IF($AH42&gt;0,INDEX(CP$7:CP$106,$AH42),1),IF($AI42&gt;0,INDEX(CP$7:CP$106,$AI42),1),IF($AJ42&gt;0,INDEX(CP$7:CP$106,$AJ42),1))))</ns0:f>
        <ns0:v>1</ns0:v>
      </ns0:c>
      <ns0:c r="CR42" t="n">
        <ns0:f>IF($A42="",1,IF(CQ42=1,1,--AND(IF($AC42&gt;0,INDEX(CQ$7:CQ$106,$AC42),1),IF($AD42&gt;0,INDEX(CQ$7:CQ$106,$AD42),1),IF($AE42&gt;0,INDEX(CQ$7:CQ$106,$AE42),1),IF($AF42&gt;0,INDEX(CQ$7:CQ$106,$AF42),1),IF($AG42&gt;0,INDEX(CQ$7:CQ$106,$AG42),1),IF($AH42&gt;0,INDEX(CQ$7:CQ$106,$AH42),1),IF($AI42&gt;0,INDEX(CQ$7:CQ$106,$AI42),1),IF($AJ42&gt;0,INDEX(CQ$7:CQ$106,$AJ42),1))))</ns0:f>
        <ns0:v>1</ns0:v>
      </ns0:c>
      <ns0:c r="CS42" t="n">
        <ns0:f>IF($A42="",1,IF(CR42=1,1,--AND(IF($AC42&gt;0,INDEX(CR$7:CR$106,$AC42),1),IF($AD42&gt;0,INDEX(CR$7:CR$106,$AD42),1),IF($AE42&gt;0,INDEX(CR$7:CR$106,$AE42),1),IF($AF42&gt;0,INDEX(CR$7:CR$106,$AF42),1),IF($AG42&gt;0,INDEX(CR$7:CR$106,$AG42),1),IF($AH42&gt;0,INDEX(CR$7:CR$106,$AH42),1),IF($AI42&gt;0,INDEX(CR$7:CR$106,$AI42),1),IF($AJ42&gt;0,INDEX(CR$7:CR$106,$AJ42),1))))</ns0:f>
        <ns0:v>1</ns0:v>
      </ns0:c>
      <ns0:c r="CT42" t="n">
        <ns0:f>IF($A42="",1,IF(CS42=1,1,--AND(IF($AC42&gt;0,INDEX(CS$7:CS$106,$AC42),1),IF($AD42&gt;0,INDEX(CS$7:CS$106,$AD42),1),IF($AE42&gt;0,INDEX(CS$7:CS$106,$AE42),1),IF($AF42&gt;0,INDEX(CS$7:CS$106,$AF42),1),IF($AG42&gt;0,INDEX(CS$7:CS$106,$AG42),1),IF($AH42&gt;0,INDEX(CS$7:CS$106,$AH42),1),IF($AI42&gt;0,INDEX(CS$7:CS$106,$AI42),1),IF($AJ42&gt;0,INDEX(CS$7:CS$106,$AJ42),1))))</ns0:f>
        <ns0:v>1</ns0:v>
      </ns0:c>
      <ns0:c r="CU42" t="n">
        <ns0:f>IF($A42="",1,IF(CT42=1,1,--AND(IF($AC42&gt;0,INDEX(CT$7:CT$106,$AC42),1),IF($AD42&gt;0,INDEX(CT$7:CT$106,$AD42),1),IF($AE42&gt;0,INDEX(CT$7:CT$106,$AE42),1),IF($AF42&gt;0,INDEX(CT$7:CT$106,$AF42),1),IF($AG42&gt;0,INDEX(CT$7:CT$106,$AG42),1),IF($AH42&gt;0,INDEX(CT$7:CT$106,$AH42),1),IF($AI42&gt;0,INDEX(CT$7:CT$106,$AI42),1),IF($AJ42&gt;0,INDEX(CT$7:CT$106,$AJ42),1))))</ns0:f>
        <ns0:v>1</ns0:v>
      </ns0:c>
      <ns0:c r="CV42" t="n">
        <ns0:f>IF($A42="",1,IF(CU42=1,1,--AND(IF($AC42&gt;0,INDEX(CU$7:CU$106,$AC42),1),IF($AD42&gt;0,INDEX(CU$7:CU$106,$AD42),1),IF($AE42&gt;0,INDEX(CU$7:CU$106,$AE42),1),IF($AF42&gt;0,INDEX(CU$7:CU$106,$AF42),1),IF($AG42&gt;0,INDEX(CU$7:CU$106,$AG42),1),IF($AH42&gt;0,INDEX(CU$7:CU$106,$AH42),1),IF($AI42&gt;0,INDEX(CU$7:CU$106,$AI42),1),IF($AJ42&gt;0,INDEX(CU$7:CU$106,$AJ42),1))))</ns0:f>
        <ns0:v>1</ns0:v>
      </ns0:c>
      <ns0:c r="CW42" t="n">
        <ns0:f>IF($A42="",1,IF(CV42=1,1,--AND(IF($AC42&gt;0,INDEX(CV$7:CV$106,$AC42),1),IF($AD42&gt;0,INDEX(CV$7:CV$106,$AD42),1),IF($AE42&gt;0,INDEX(CV$7:CV$106,$AE42),1),IF($AF42&gt;0,INDEX(CV$7:CV$106,$AF42),1),IF($AG42&gt;0,INDEX(CV$7:CV$106,$AG42),1),IF($AH42&gt;0,INDEX(CV$7:CV$106,$AH42),1),IF($AI42&gt;0,INDEX(CV$7:CV$106,$AI42),1),IF($AJ42&gt;0,INDEX(CV$7:CV$106,$AJ42),1))))</ns0:f>
        <ns0:v>1</ns0:v>
      </ns0:c>
      <ns0:c r="CX42" t="n">
        <ns0:f>IF($A42="",1,IF(CW42=1,1,--AND(IF($AC42&gt;0,INDEX(CW$7:CW$106,$AC42),1),IF($AD42&gt;0,INDEX(CW$7:CW$106,$AD42),1),IF($AE42&gt;0,INDEX(CW$7:CW$106,$AE42),1),IF($AF42&gt;0,INDEX(CW$7:CW$106,$AF42),1),IF($AG42&gt;0,INDEX(CW$7:CW$106,$AG42),1),IF($AH42&gt;0,INDEX(CW$7:CW$106,$AH42),1),IF($AI42&gt;0,INDEX(CW$7:CW$106,$AI42),1),IF($AJ42&gt;0,INDEX(CW$7:CW$106,$AJ42),1))))</ns0:f>
        <ns0:v>1</ns0:v>
      </ns0:c>
      <ns0:c r="CY42" t="n">
        <ns0:f>IF($A42="",1,IF(CX42=1,1,--AND(IF($AC42&gt;0,INDEX(CX$7:CX$106,$AC42),1),IF($AD42&gt;0,INDEX(CX$7:CX$106,$AD42),1),IF($AE42&gt;0,INDEX(CX$7:CX$106,$AE42),1),IF($AF42&gt;0,INDEX(CX$7:CX$106,$AF42),1),IF($AG42&gt;0,INDEX(CX$7:CX$106,$AG42),1),IF($AH42&gt;0,INDEX(CX$7:CX$106,$AH42),1),IF($AI42&gt;0,INDEX(CX$7:CX$106,$AI42),1),IF($AJ42&gt;0,INDEX(CX$7:CX$106,$AJ42),1))))</ns0:f>
        <ns0:v>1</ns0:v>
      </ns0:c>
      <ns0:c r="CZ42" t="n">
        <ns0:f>IF($A42="",1,IF(CY42=1,1,--AND(IF($AC42&gt;0,INDEX(CY$7:CY$106,$AC42),1),IF($AD42&gt;0,INDEX(CY$7:CY$106,$AD42),1),IF($AE42&gt;0,INDEX(CY$7:CY$106,$AE42),1),IF($AF42&gt;0,INDEX(CY$7:CY$106,$AF42),1),IF($AG42&gt;0,INDEX(CY$7:CY$106,$AG42),1),IF($AH42&gt;0,INDEX(CY$7:CY$106,$AH42),1),IF($AI42&gt;0,INDEX(CY$7:CY$106,$AI42),1),IF($AJ42&gt;0,INDEX(CY$7:CY$106,$AJ42),1))))</ns0:f>
        <ns0:v>1</ns0:v>
      </ns0:c>
      <ns0:c r="DA42" t="n">
        <ns0:f>IF($A42="",1,IF(CZ42=1,1,--AND(IF($AC42&gt;0,INDEX(CZ$7:CZ$106,$AC42),1),IF($AD42&gt;0,INDEX(CZ$7:CZ$106,$AD42),1),IF($AE42&gt;0,INDEX(CZ$7:CZ$106,$AE42),1),IF($AF42&gt;0,INDEX(CZ$7:CZ$106,$AF42),1),IF($AG42&gt;0,INDEX(CZ$7:CZ$106,$AG42),1),IF($AH42&gt;0,INDEX(CZ$7:CZ$106,$AH42),1),IF($AI42&gt;0,INDEX(CZ$7:CZ$106,$AI42),1),IF($AJ42&gt;0,INDEX(CZ$7:CZ$106,$AJ42),1))))</ns0:f>
        <ns0:v>1</ns0:v>
      </ns0:c>
      <ns0:c r="DB42" t="n">
        <ns0:f>IF($A42="",1,IF(DA42=1,1,--AND(IF($AC42&gt;0,INDEX(DA$7:DA$106,$AC42),1),IF($AD42&gt;0,INDEX(DA$7:DA$106,$AD42),1),IF($AE42&gt;0,INDEX(DA$7:DA$106,$AE42),1),IF($AF42&gt;0,INDEX(DA$7:DA$106,$AF42),1),IF($AG42&gt;0,INDEX(DA$7:DA$106,$AG42),1),IF($AH42&gt;0,INDEX(DA$7:DA$106,$AH42),1),IF($AI42&gt;0,INDEX(DA$7:DA$106,$AI42),1),IF($AJ42&gt;0,INDEX(DA$7:DA$106,$AJ42),1))))</ns0:f>
        <ns0:v>1</ns0:v>
      </ns0:c>
      <ns0:c r="DC42" t="n">
        <ns0:f>IF($A42="",1,IF(DB42=1,1,--AND(IF($AC42&gt;0,INDEX(DB$7:DB$106,$AC42),1),IF($AD42&gt;0,INDEX(DB$7:DB$106,$AD42),1),IF($AE42&gt;0,INDEX(DB$7:DB$106,$AE42),1),IF($AF42&gt;0,INDEX(DB$7:DB$106,$AF42),1),IF($AG42&gt;0,INDEX(DB$7:DB$106,$AG42),1),IF($AH42&gt;0,INDEX(DB$7:DB$106,$AH42),1),IF($AI42&gt;0,INDEX(DB$7:DB$106,$AI42),1),IF($AJ42&gt;0,INDEX(DB$7:DB$106,$AJ42),1))))</ns0:f>
        <ns0:v>1</ns0:v>
      </ns0:c>
      <ns0:c r="DD42" t="n">
        <ns0:f>IF($A42="",1,IF(DC42=1,1,--AND(IF($AC42&gt;0,INDEX(DC$7:DC$106,$AC42),1),IF($AD42&gt;0,INDEX(DC$7:DC$106,$AD42),1),IF($AE42&gt;0,INDEX(DC$7:DC$106,$AE42),1),IF($AF42&gt;0,INDEX(DC$7:DC$106,$AF42),1),IF($AG42&gt;0,INDEX(DC$7:DC$106,$AG42),1),IF($AH42&gt;0,INDEX(DC$7:DC$106,$AH42),1),IF($AI42&gt;0,INDEX(DC$7:DC$106,$AI42),1),IF($AJ42&gt;0,INDEX(DC$7:DC$106,$AJ42),1))))</ns0:f>
        <ns0:v>1</ns0:v>
      </ns0:c>
      <ns0:c r="DE42" t="n">
        <ns0:f>IF($A42="",1,IF(DD42=1,1,--AND(IF($AC42&gt;0,INDEX(DD$7:DD$106,$AC42),1),IF($AD42&gt;0,INDEX(DD$7:DD$106,$AD42),1),IF($AE42&gt;0,INDEX(DD$7:DD$106,$AE42),1),IF($AF42&gt;0,INDEX(DD$7:DD$106,$AF42),1),IF($AG42&gt;0,INDEX(DD$7:DD$106,$AG42),1),IF($AH42&gt;0,INDEX(DD$7:DD$106,$AH42),1),IF($AI42&gt;0,INDEX(DD$7:DD$106,$AI42),1),IF($AJ42&gt;0,INDEX(DD$7:DD$106,$AJ42),1))))</ns0:f>
        <ns0:v>1</ns0:v>
      </ns0:c>
      <ns0:c r="DF42" t="n">
        <ns0:f>IF($A42="",1,IF(DE42=1,1,--AND(IF($AC42&gt;0,INDEX(DE$7:DE$106,$AC42),1),IF($AD42&gt;0,INDEX(DE$7:DE$106,$AD42),1),IF($AE42&gt;0,INDEX(DE$7:DE$106,$AE42),1),IF($AF42&gt;0,INDEX(DE$7:DE$106,$AF42),1),IF($AG42&gt;0,INDEX(DE$7:DE$106,$AG42),1),IF($AH42&gt;0,INDEX(DE$7:DE$106,$AH42),1),IF($AI42&gt;0,INDEX(DE$7:DE$106,$AI42),1),IF($AJ42&gt;0,INDEX(DE$7:DE$106,$AJ42),1))))</ns0:f>
        <ns0:v>1</ns0:v>
      </ns0:c>
      <ns0:c r="DG42" t="n">
        <ns0:f>IF($A42="",1,IF(DF42=1,1,--AND(IF($AC42&gt;0,INDEX(DF$7:DF$106,$AC42),1),IF($AD42&gt;0,INDEX(DF$7:DF$106,$AD42),1),IF($AE42&gt;0,INDEX(DF$7:DF$106,$AE42),1),IF($AF42&gt;0,INDEX(DF$7:DF$106,$AF42),1),IF($AG42&gt;0,INDEX(DF$7:DF$106,$AG42),1),IF($AH42&gt;0,INDEX(DF$7:DF$106,$AH42),1),IF($AI42&gt;0,INDEX(DF$7:DF$106,$AI42),1),IF($AJ42&gt;0,INDEX(DF$7:DF$106,$AJ42),1))))</ns0:f>
        <ns0:v>1</ns0:v>
      </ns0:c>
      <ns0:c r="DH42" t="n">
        <ns0:f>IF($A42="",1,IF(DG42=1,1,--AND(IF($AC42&gt;0,INDEX(DG$7:DG$106,$AC42),1),IF($AD42&gt;0,INDEX(DG$7:DG$106,$AD42),1),IF($AE42&gt;0,INDEX(DG$7:DG$106,$AE42),1),IF($AF42&gt;0,INDEX(DG$7:DG$106,$AF42),1),IF($AG42&gt;0,INDEX(DG$7:DG$106,$AG42),1),IF($AH42&gt;0,INDEX(DG$7:DG$106,$AH42),1),IF($AI42&gt;0,INDEX(DG$7:DG$106,$AI42),1),IF($AJ42&gt;0,INDEX(DG$7:DG$106,$AJ42),1))))</ns0:f>
        <ns0:v>1</ns0:v>
      </ns0:c>
      <ns0:c r="DI42" t="n">
        <ns0:f>IF($A42="",1,IF(DH42=1,1,--AND(IF($AC42&gt;0,INDEX(DH$7:DH$106,$AC42),1),IF($AD42&gt;0,INDEX(DH$7:DH$106,$AD42),1),IF($AE42&gt;0,INDEX(DH$7:DH$106,$AE42),1),IF($AF42&gt;0,INDEX(DH$7:DH$106,$AF42),1),IF($AG42&gt;0,INDEX(DH$7:DH$106,$AG42),1),IF($AH42&gt;0,INDEX(DH$7:DH$106,$AH42),1),IF($AI42&gt;0,INDEX(DH$7:DH$106,$AI42),1),IF($AJ42&gt;0,INDEX(DH$7:DH$106,$AJ42),1))))</ns0:f>
        <ns0:v>1</ns0:v>
      </ns0:c>
      <ns0:c r="DJ42" t="n">
        <ns0:f>IF($A42="",1,IF(DI42=1,1,--AND(IF($AC42&gt;0,INDEX(DI$7:DI$106,$AC42),1),IF($AD42&gt;0,INDEX(DI$7:DI$106,$AD42),1),IF($AE42&gt;0,INDEX(DI$7:DI$106,$AE42),1),IF($AF42&gt;0,INDEX(DI$7:DI$106,$AF42),1),IF($AG42&gt;0,INDEX(DI$7:DI$106,$AG42),1),IF($AH42&gt;0,INDEX(DI$7:DI$106,$AH42),1),IF($AI42&gt;0,INDEX(DI$7:DI$106,$AI42),1),IF($AJ42&gt;0,INDEX(DI$7:DI$106,$AJ42),1))))</ns0:f>
        <ns0:v>1</ns0:v>
      </ns0:c>
      <ns0:c r="DK42" t="n">
        <ns0:f>IF($A42="",1,IF(DJ42=1,1,--AND(IF($AC42&gt;0,INDEX(DJ$7:DJ$106,$AC42),1),IF($AD42&gt;0,INDEX(DJ$7:DJ$106,$AD42),1),IF($AE42&gt;0,INDEX(DJ$7:DJ$106,$AE42),1),IF($AF42&gt;0,INDEX(DJ$7:DJ$106,$AF42),1),IF($AG42&gt;0,INDEX(DJ$7:DJ$106,$AG42),1),IF($AH42&gt;0,INDEX(DJ$7:DJ$106,$AH42),1),IF($AI42&gt;0,INDEX(DJ$7:DJ$106,$AI42),1),IF($AJ42&gt;0,INDEX(DJ$7:DJ$106,$AJ42),1))))</ns0:f>
        <ns0:v>1</ns0:v>
      </ns0:c>
      <ns0:c r="DL42" t="n">
        <ns0:f>IF($A42="",1,IF(DK42=1,1,--AND(IF($AC42&gt;0,INDEX(DK$7:DK$106,$AC42),1),IF($AD42&gt;0,INDEX(DK$7:DK$106,$AD42),1),IF($AE42&gt;0,INDEX(DK$7:DK$106,$AE42),1),IF($AF42&gt;0,INDEX(DK$7:DK$106,$AF42),1),IF($AG42&gt;0,INDEX(DK$7:DK$106,$AG42),1),IF($AH42&gt;0,INDEX(DK$7:DK$106,$AH42),1),IF($AI42&gt;0,INDEX(DK$7:DK$106,$AI42),1),IF($AJ42&gt;0,INDEX(DK$7:DK$106,$AJ42),1))))</ns0:f>
        <ns0:v>1</ns0:v>
      </ns0:c>
      <ns0:c r="DM42" t="n">
        <ns0:f>IF($A42="",1,IF(DL42=1,1,--AND(IF($AC42&gt;0,INDEX(DL$7:DL$106,$AC42),1),IF($AD42&gt;0,INDEX(DL$7:DL$106,$AD42),1),IF($AE42&gt;0,INDEX(DL$7:DL$106,$AE42),1),IF($AF42&gt;0,INDEX(DL$7:DL$106,$AF42),1),IF($AG42&gt;0,INDEX(DL$7:DL$106,$AG42),1),IF($AH42&gt;0,INDEX(DL$7:DL$106,$AH42),1),IF($AI42&gt;0,INDEX(DL$7:DL$106,$AI42),1),IF($AJ42&gt;0,INDEX(DL$7:DL$106,$AJ42),1))))</ns0:f>
        <ns0:v>1</ns0:v>
      </ns0:c>
      <ns0:c r="DN42" t="n">
        <ns0:f>IF($A42="",1,IF(DM42=1,1,--AND(IF($AC42&gt;0,INDEX(DM$7:DM$106,$AC42),1),IF($AD42&gt;0,INDEX(DM$7:DM$106,$AD42),1),IF($AE42&gt;0,INDEX(DM$7:DM$106,$AE42),1),IF($AF42&gt;0,INDEX(DM$7:DM$106,$AF42),1),IF($AG42&gt;0,INDEX(DM$7:DM$106,$AG42),1),IF($AH42&gt;0,INDEX(DM$7:DM$106,$AH42),1),IF($AI42&gt;0,INDEX(DM$7:DM$106,$AI42),1),IF($AJ42&gt;0,INDEX(DM$7:DM$106,$AJ42),1))))</ns0:f>
        <ns0:v>1</ns0:v>
      </ns0:c>
      <ns0:c r="DO42" t="n">
        <ns0:f>IF($A42="",1,IF(DN42=1,1,--AND(IF($AC42&gt;0,INDEX(DN$7:DN$106,$AC42),1),IF($AD42&gt;0,INDEX(DN$7:DN$106,$AD42),1),IF($AE42&gt;0,INDEX(DN$7:DN$106,$AE42),1),IF($AF42&gt;0,INDEX(DN$7:DN$106,$AF42),1),IF($AG42&gt;0,INDEX(DN$7:DN$106,$AG42),1),IF($AH42&gt;0,INDEX(DN$7:DN$106,$AH42),1),IF($AI42&gt;0,INDEX(DN$7:DN$106,$AI42),1),IF($AJ42&gt;0,INDEX(DN$7:DN$106,$AJ42),1))))</ns0:f>
        <ns0:v>1</ns0:v>
      </ns0:c>
      <ns0:c r="DP42" t="n">
        <ns0:f>IF($A42="",1,IF(DO42=1,1,--AND(IF($AC42&gt;0,INDEX(DO$7:DO$106,$AC42),1),IF($AD42&gt;0,INDEX(DO$7:DO$106,$AD42),1),IF($AE42&gt;0,INDEX(DO$7:DO$106,$AE42),1),IF($AF42&gt;0,INDEX(DO$7:DO$106,$AF42),1),IF($AG42&gt;0,INDEX(DO$7:DO$106,$AG42),1),IF($AH42&gt;0,INDEX(DO$7:DO$106,$AH42),1),IF($AI42&gt;0,INDEX(DO$7:DO$106,$AI42),1),IF($AJ42&gt;0,INDEX(DO$7:DO$106,$AJ42),1))))</ns0:f>
        <ns0:v>1</ns0:v>
      </ns0:c>
      <ns0:c r="DQ42" t="n">
        <ns0:f>IF($A42="",1,IF(DP42=1,1,--AND(IF($AC42&gt;0,INDEX(DP$7:DP$106,$AC42),1),IF($AD42&gt;0,INDEX(DP$7:DP$106,$AD42),1),IF($AE42&gt;0,INDEX(DP$7:DP$106,$AE42),1),IF($AF42&gt;0,INDEX(DP$7:DP$106,$AF42),1),IF($AG42&gt;0,INDEX(DP$7:DP$106,$AG42),1),IF($AH42&gt;0,INDEX(DP$7:DP$106,$AH42),1),IF($AI42&gt;0,INDEX(DP$7:DP$106,$AI42),1),IF($AJ42&gt;0,INDEX(DP$7:DP$106,$AJ42),1))))</ns0:f>
        <ns0:v>1</ns0:v>
      </ns0:c>
      <ns0:c r="DR42" t="n">
        <ns0:f>IF($A42="",1,IF(DQ42=1,1,--AND(IF($AC42&gt;0,INDEX(DQ$7:DQ$106,$AC42),1),IF($AD42&gt;0,INDEX(DQ$7:DQ$106,$AD42),1),IF($AE42&gt;0,INDEX(DQ$7:DQ$106,$AE42),1),IF($AF42&gt;0,INDEX(DQ$7:DQ$106,$AF42),1),IF($AG42&gt;0,INDEX(DQ$7:DQ$106,$AG42),1),IF($AH42&gt;0,INDEX(DQ$7:DQ$106,$AH42),1),IF($AI42&gt;0,INDEX(DQ$7:DQ$106,$AI42),1),IF($AJ42&gt;0,INDEX(DQ$7:DQ$106,$AJ42),1))))</ns0:f>
        <ns0:v>1</ns0:v>
      </ns0:c>
      <ns0:c r="DS42" t="n">
        <ns0:f>IF($A42="",1,IF(DR42=1,1,--AND(IF($AC42&gt;0,INDEX(DR$7:DR$106,$AC42),1),IF($AD42&gt;0,INDEX(DR$7:DR$106,$AD42),1),IF($AE42&gt;0,INDEX(DR$7:DR$106,$AE42),1),IF($AF42&gt;0,INDEX(DR$7:DR$106,$AF42),1),IF($AG42&gt;0,INDEX(DR$7:DR$106,$AG42),1),IF($AH42&gt;0,INDEX(DR$7:DR$106,$AH42),1),IF($AI42&gt;0,INDEX(DR$7:DR$106,$AI42),1),IF($AJ42&gt;0,INDEX(DR$7:DR$106,$AJ42),1))))</ns0:f>
        <ns0:v>1</ns0:v>
      </ns0:c>
      <ns0:c r="DT42" t="n">
        <ns0:f>IF($A42="",1,IF(DS42=1,1,--AND(IF($AC42&gt;0,INDEX(DS$7:DS$106,$AC42),1),IF($AD42&gt;0,INDEX(DS$7:DS$106,$AD42),1),IF($AE42&gt;0,INDEX(DS$7:DS$106,$AE42),1),IF($AF42&gt;0,INDEX(DS$7:DS$106,$AF42),1),IF($AG42&gt;0,INDEX(DS$7:DS$106,$AG42),1),IF($AH42&gt;0,INDEX(DS$7:DS$106,$AH42),1),IF($AI42&gt;0,INDEX(DS$7:DS$106,$AI42),1),IF($AJ42&gt;0,INDEX(DS$7:DS$106,$AJ42),1))))</ns0:f>
        <ns0:v>1</ns0:v>
      </ns0:c>
      <ns0:c r="DU42" t="n">
        <ns0:f>IF($A42="",1,IF(DT42=1,1,--AND(IF($AC42&gt;0,INDEX(DT$7:DT$106,$AC42),1),IF($AD42&gt;0,INDEX(DT$7:DT$106,$AD42),1),IF($AE42&gt;0,INDEX(DT$7:DT$106,$AE42),1),IF($AF42&gt;0,INDEX(DT$7:DT$106,$AF42),1),IF($AG42&gt;0,INDEX(DT$7:DT$106,$AG42),1),IF($AH42&gt;0,INDEX(DT$7:DT$106,$AH42),1),IF($AI42&gt;0,INDEX(DT$7:DT$106,$AI42),1),IF($AJ42&gt;0,INDEX(DT$7:DT$106,$AJ42),1))))</ns0:f>
        <ns0:v>1</ns0:v>
      </ns0:c>
      <ns0:c r="DV42" t="n">
        <ns0:f>IF($A42="",1,IF(DU42=1,1,--AND(IF($AC42&gt;0,INDEX(DU$7:DU$106,$AC42),1),IF($AD42&gt;0,INDEX(DU$7:DU$106,$AD42),1),IF($AE42&gt;0,INDEX(DU$7:DU$106,$AE42),1),IF($AF42&gt;0,INDEX(DU$7:DU$106,$AF42),1),IF($AG42&gt;0,INDEX(DU$7:DU$106,$AG42),1),IF($AH42&gt;0,INDEX(DU$7:DU$106,$AH42),1),IF($AI42&gt;0,INDEX(DU$7:DU$106,$AI42),1),IF($AJ42&gt;0,INDEX(DU$7:DU$106,$AJ42),1))))</ns0:f>
        <ns0:v>1</ns0:v>
      </ns0:c>
      <ns0:c r="DW42" t="n">
        <ns0:f>IF($A42="",1,IF(DV42=1,1,--AND(IF($AC42&gt;0,INDEX(DV$7:DV$106,$AC42),1),IF($AD42&gt;0,INDEX(DV$7:DV$106,$AD42),1),IF($AE42&gt;0,INDEX(DV$7:DV$106,$AE42),1),IF($AF42&gt;0,INDEX(DV$7:DV$106,$AF42),1),IF($AG42&gt;0,INDEX(DV$7:DV$106,$AG42),1),IF($AH42&gt;0,INDEX(DV$7:DV$106,$AH42),1),IF($AI42&gt;0,INDEX(DV$7:DV$106,$AI42),1),IF($AJ42&gt;0,INDEX(DV$7:DV$106,$AJ42),1))))</ns0:f>
        <ns0:v>1</ns0:v>
      </ns0:c>
      <ns0:c r="DX42" t="n">
        <ns0:f>IF($A42="",1,IF(DW42=1,1,--AND(IF($AC42&gt;0,INDEX(DW$7:DW$106,$AC42),1),IF($AD42&gt;0,INDEX(DW$7:DW$106,$AD42),1),IF($AE42&gt;0,INDEX(DW$7:DW$106,$AE42),1),IF($AF42&gt;0,INDEX(DW$7:DW$106,$AF42),1),IF($AG42&gt;0,INDEX(DW$7:DW$106,$AG42),1),IF($AH42&gt;0,INDEX(DW$7:DW$106,$AH42),1),IF($AI42&gt;0,INDEX(DW$7:DW$106,$AI42),1),IF($AJ42&gt;0,INDEX(DW$7:DW$106,$AJ42),1))))</ns0:f>
        <ns0:v>1</ns0:v>
      </ns0:c>
      <ns0:c r="DY42" t="n">
        <ns0:f>IF($A42="",1,IF(DX42=1,1,--AND(IF($AC42&gt;0,INDEX(DX$7:DX$106,$AC42),1),IF($AD42&gt;0,INDEX(DX$7:DX$106,$AD42),1),IF($AE42&gt;0,INDEX(DX$7:DX$106,$AE42),1),IF($AF42&gt;0,INDEX(DX$7:DX$106,$AF42),1),IF($AG42&gt;0,INDEX(DX$7:DX$106,$AG42),1),IF($AH42&gt;0,INDEX(DX$7:DX$106,$AH42),1),IF($AI42&gt;0,INDEX(DX$7:DX$106,$AI42),1),IF($AJ42&gt;0,INDEX(DX$7:DX$106,$AJ42),1))))</ns0:f>
        <ns0:v>1</ns0:v>
      </ns0:c>
      <ns0:c r="DZ42" t="n">
        <ns0:f>IF($A42="",1,IF(DY42=1,1,--AND(IF($AC42&gt;0,INDEX(DY$7:DY$106,$AC42),1),IF($AD42&gt;0,INDEX(DY$7:DY$106,$AD42),1),IF($AE42&gt;0,INDEX(DY$7:DY$106,$AE42),1),IF($AF42&gt;0,INDEX(DY$7:DY$106,$AF42),1),IF($AG42&gt;0,INDEX(DY$7:DY$106,$AG42),1),IF($AH42&gt;0,INDEX(DY$7:DY$106,$AH42),1),IF($AI42&gt;0,INDEX(DY$7:DY$106,$AI42),1),IF($AJ42&gt;0,INDEX(DY$7:DY$106,$AJ42),1))))</ns0:f>
        <ns0:v>1</ns0:v>
      </ns0:c>
      <ns0:c r="EA42" t="n">
        <ns0:f>IF($A42="",1,IF(DZ42=1,1,--AND(IF($AC42&gt;0,INDEX(DZ$7:DZ$106,$AC42),1),IF($AD42&gt;0,INDEX(DZ$7:DZ$106,$AD42),1),IF($AE42&gt;0,INDEX(DZ$7:DZ$106,$AE42),1),IF($AF42&gt;0,INDEX(DZ$7:DZ$106,$AF42),1),IF($AG42&gt;0,INDEX(DZ$7:DZ$106,$AG42),1),IF($AH42&gt;0,INDEX(DZ$7:DZ$106,$AH42),1),IF($AI42&gt;0,INDEX(DZ$7:DZ$106,$AI42),1),IF($AJ42&gt;0,INDEX(DZ$7:DZ$106,$AJ42),1))))</ns0:f>
        <ns0:v>1</ns0:v>
      </ns0:c>
      <ns0:c r="EB42" t="n">
        <ns0:f>IF($A42="",1,IF(EA42=1,1,--AND(IF($AC42&gt;0,INDEX(EA$7:EA$106,$AC42),1),IF($AD42&gt;0,INDEX(EA$7:EA$106,$AD42),1),IF($AE42&gt;0,INDEX(EA$7:EA$106,$AE42),1),IF($AF42&gt;0,INDEX(EA$7:EA$106,$AF42),1),IF($AG42&gt;0,INDEX(EA$7:EA$106,$AG42),1),IF($AH42&gt;0,INDEX(EA$7:EA$106,$AH42),1),IF($AI42&gt;0,INDEX(EA$7:EA$106,$AI42),1),IF($AJ42&gt;0,INDEX(EA$7:EA$106,$AJ42),1))))</ns0:f>
        <ns0:v>1</ns0:v>
      </ns0:c>
      <ns0:c r="EC42" t="n">
        <ns0:f>IF($A42="",1,IF(EB42=1,1,--AND(IF($AC42&gt;0,INDEX(EB$7:EB$106,$AC42),1),IF($AD42&gt;0,INDEX(EB$7:EB$106,$AD42),1),IF($AE42&gt;0,INDEX(EB$7:EB$106,$AE42),1),IF($AF42&gt;0,INDEX(EB$7:EB$106,$AF42),1),IF($AG42&gt;0,INDEX(EB$7:EB$106,$AG42),1),IF($AH42&gt;0,INDEX(EB$7:EB$106,$AH42),1),IF($AI42&gt;0,INDEX(EB$7:EB$106,$AI42),1),IF($AJ42&gt;0,INDEX(EB$7:EB$106,$AJ42),1))))</ns0:f>
        <ns0:v>1</ns0:v>
      </ns0:c>
      <ns0:c r="ED42" t="n">
        <ns0:f>IF($A42="",1,IF(EC42=1,1,--AND(IF($AC42&gt;0,INDEX(EC$7:EC$106,$AC42),1),IF($AD42&gt;0,INDEX(EC$7:EC$106,$AD42),1),IF($AE42&gt;0,INDEX(EC$7:EC$106,$AE42),1),IF($AF42&gt;0,INDEX(EC$7:EC$106,$AF42),1),IF($AG42&gt;0,INDEX(EC$7:EC$106,$AG42),1),IF($AH42&gt;0,INDEX(EC$7:EC$106,$AH42),1),IF($AI42&gt;0,INDEX(EC$7:EC$106,$AI42),1),IF($AJ42&gt;0,INDEX(EC$7:EC$106,$AJ42),1))))</ns0:f>
        <ns0:v>1</ns0:v>
      </ns0:c>
      <ns0:c r="EE42" t="n">
        <ns0:f>IF($A42="",1,IF(ED42=1,1,--AND(IF($AC42&gt;0,INDEX(ED$7:ED$106,$AC42),1),IF($AD42&gt;0,INDEX(ED$7:ED$106,$AD42),1),IF($AE42&gt;0,INDEX(ED$7:ED$106,$AE42),1),IF($AF42&gt;0,INDEX(ED$7:ED$106,$AF42),1),IF($AG42&gt;0,INDEX(ED$7:ED$106,$AG42),1),IF($AH42&gt;0,INDEX(ED$7:ED$106,$AH42),1),IF($AI42&gt;0,INDEX(ED$7:ED$106,$AI42),1),IF($AJ42&gt;0,INDEX(ED$7:ED$106,$AJ42),1))))</ns0:f>
        <ns0:v>1</ns0:v>
      </ns0:c>
      <ns0:c r="EF42" t="n">
        <ns0:f>IF($A42="",1,IF(EE42=1,1,--AND(IF($AC42&gt;0,INDEX(EE$7:EE$106,$AC42),1),IF($AD42&gt;0,INDEX(EE$7:EE$106,$AD42),1),IF($AE42&gt;0,INDEX(EE$7:EE$106,$AE42),1),IF($AF42&gt;0,INDEX(EE$7:EE$106,$AF42),1),IF($AG42&gt;0,INDEX(EE$7:EE$106,$AG42),1),IF($AH42&gt;0,INDEX(EE$7:EE$106,$AH42),1),IF($AI42&gt;0,INDEX(EE$7:EE$106,$AI42),1),IF($AJ42&gt;0,INDEX(EE$7:EE$106,$AJ42),1))))</ns0:f>
        <ns0:v>1</ns0:v>
      </ns0:c>
      <ns0:c r="EG42" t="n">
        <ns0:f>IF($A42="",1,IF(EF42=1,1,--AND(IF($AC42&gt;0,INDEX(EF$7:EF$106,$AC42),1),IF($AD42&gt;0,INDEX(EF$7:EF$106,$AD42),1),IF($AE42&gt;0,INDEX(EF$7:EF$106,$AE42),1),IF($AF42&gt;0,INDEX(EF$7:EF$106,$AF42),1),IF($AG42&gt;0,INDEX(EF$7:EF$106,$AG42),1),IF($AH42&gt;0,INDEX(EF$7:EF$106,$AH42),1),IF($AI42&gt;0,INDEX(EF$7:EF$106,$AI42),1),IF($AJ42&gt;0,INDEX(EF$7:EF$106,$AJ42),1))))</ns0:f>
        <ns0:v>1</ns0:v>
      </ns0:c>
      <ns0:c r="EH42" t="n">
        <ns0:f>IF($A42="",1,IF(EG42=1,1,--AND(IF($AC42&gt;0,INDEX(EG$7:EG$106,$AC42),1),IF($AD42&gt;0,INDEX(EG$7:EG$106,$AD42),1),IF($AE42&gt;0,INDEX(EG$7:EG$106,$AE42),1),IF($AF42&gt;0,INDEX(EG$7:EG$106,$AF42),1),IF($AG42&gt;0,INDEX(EG$7:EG$106,$AG42),1),IF($AH42&gt;0,INDEX(EG$7:EG$106,$AH42),1),IF($AI42&gt;0,INDEX(EG$7:EG$106,$AI42),1),IF($AJ42&gt;0,INDEX(EG$7:EG$106,$AJ42),1))))</ns0:f>
        <ns0:v>1</ns0:v>
      </ns0:c>
      <ns0:c r="EI42" t="n">
        <ns0:f>IF($A42="",1,IF(EH42=1,1,--AND(IF($AC42&gt;0,INDEX(EH$7:EH$106,$AC42),1),IF($AD42&gt;0,INDEX(EH$7:EH$106,$AD42),1),IF($AE42&gt;0,INDEX(EH$7:EH$106,$AE42),1),IF($AF42&gt;0,INDEX(EH$7:EH$106,$AF42),1),IF($AG42&gt;0,INDEX(EH$7:EH$106,$AG42),1),IF($AH42&gt;0,INDEX(EH$7:EH$106,$AH42),1),IF($AI42&gt;0,INDEX(EH$7:EH$106,$AI42),1),IF($AJ42&gt;0,INDEX(EH$7:EH$106,$AJ42),1))))</ns0:f>
        <ns0:v>1</ns0:v>
      </ns0:c>
      <ns0:c r="EJ42" t="n">
        <ns0:f>IF($A42="",1,IF(EI42=1,1,--AND(IF($AC42&gt;0,INDEX(EI$7:EI$106,$AC42),1),IF($AD42&gt;0,INDEX(EI$7:EI$106,$AD42),1),IF($AE42&gt;0,INDEX(EI$7:EI$106,$AE42),1),IF($AF42&gt;0,INDEX(EI$7:EI$106,$AF42),1),IF($AG42&gt;0,INDEX(EI$7:EI$106,$AG42),1),IF($AH42&gt;0,INDEX(EI$7:EI$106,$AH42),1),IF($AI42&gt;0,INDEX(EI$7:EI$106,$AI42),1),IF($AJ42&gt;0,INDEX(EI$7:EI$106,$AJ42),1))))</ns0:f>
        <ns0:v>1</ns0:v>
      </ns0:c>
      <ns0:c r="EK42" t="n">
        <ns0:f>IF($A42="",1,IF(EJ42=1,1,--AND(IF($AC42&gt;0,INDEX(EJ$7:EJ$106,$AC42),1),IF($AD42&gt;0,INDEX(EJ$7:EJ$106,$AD42),1),IF($AE42&gt;0,INDEX(EJ$7:EJ$106,$AE42),1),IF($AF42&gt;0,INDEX(EJ$7:EJ$106,$AF42),1),IF($AG42&gt;0,INDEX(EJ$7:EJ$106,$AG42),1),IF($AH42&gt;0,INDEX(EJ$7:EJ$106,$AH42),1),IF($AI42&gt;0,INDEX(EJ$7:EJ$106,$AI42),1),IF($AJ42&gt;0,INDEX(EJ$7:EJ$106,$AJ42),1))))</ns0:f>
        <ns0:v>1</ns0:v>
      </ns0:c>
      <ns0:c r="EL42" t="n">
        <ns0:f>IF($A42="",1,IF(EK42=1,1,--AND(IF($AC42&gt;0,INDEX(EK$7:EK$106,$AC42),1),IF($AD42&gt;0,INDEX(EK$7:EK$106,$AD42),1),IF($AE42&gt;0,INDEX(EK$7:EK$106,$AE42),1),IF($AF42&gt;0,INDEX(EK$7:EK$106,$AF42),1),IF($AG42&gt;0,INDEX(EK$7:EK$106,$AG42),1),IF($AH42&gt;0,INDEX(EK$7:EK$106,$AH42),1),IF($AI42&gt;0,INDEX(EK$7:EK$106,$AI42),1),IF($AJ42&gt;0,INDEX(EK$7:EK$106,$AJ42),1))))</ns0:f>
        <ns0:v>1</ns0:v>
      </ns0:c>
      <ns0:c r="EM42" t="n">
        <ns0:f>IF($A42="",1,IF(EL42=1,1,--AND(IF($AC42&gt;0,INDEX(EL$7:EL$106,$AC42),1),IF($AD42&gt;0,INDEX(EL$7:EL$106,$AD42),1),IF($AE42&gt;0,INDEX(EL$7:EL$106,$AE42),1),IF($AF42&gt;0,INDEX(EL$7:EL$106,$AF42),1),IF($AG42&gt;0,INDEX(EL$7:EL$106,$AG42),1),IF($AH42&gt;0,INDEX(EL$7:EL$106,$AH42),1),IF($AI42&gt;0,INDEX(EL$7:EL$106,$AI42),1),IF($AJ42&gt;0,INDEX(EL$7:EL$106,$AJ42),1))))</ns0:f>
        <ns0:v>1</ns0:v>
      </ns0:c>
      <ns0:c r="EN42" t="n">
        <ns0:f>IF($A42="",1,IF(EM42=1,1,--AND(IF($AC42&gt;0,INDEX(EM$7:EM$106,$AC42),1),IF($AD42&gt;0,INDEX(EM$7:EM$106,$AD42),1),IF($AE42&gt;0,INDEX(EM$7:EM$106,$AE42),1),IF($AF42&gt;0,INDEX(EM$7:EM$106,$AF42),1),IF($AG42&gt;0,INDEX(EM$7:EM$106,$AG42),1),IF($AH42&gt;0,INDEX(EM$7:EM$106,$AH42),1),IF($AI42&gt;0,INDEX(EM$7:EM$106,$AI42),1),IF($AJ42&gt;0,INDEX(EM$7:EM$106,$AJ42),1))))</ns0:f>
        <ns0:v>1</ns0:v>
      </ns0:c>
      <ns0:c r="EO42" t="n">
        <ns0:f>IF($A42="",1,IF(EN42=1,1,--AND(IF($AC42&gt;0,INDEX(EN$7:EN$106,$AC42),1),IF($AD42&gt;0,INDEX(EN$7:EN$106,$AD42),1),IF($AE42&gt;0,INDEX(EN$7:EN$106,$AE42),1),IF($AF42&gt;0,INDEX(EN$7:EN$106,$AF42),1),IF($AG42&gt;0,INDEX(EN$7:EN$106,$AG42),1),IF($AH42&gt;0,INDEX(EN$7:EN$106,$AH42),1),IF($AI42&gt;0,INDEX(EN$7:EN$106,$AI42),1),IF($AJ42&gt;0,INDEX(EN$7:EN$106,$AJ42),1))))</ns0:f>
        <ns0:v>1</ns0:v>
      </ns0:c>
      <ns0:c r="EP42" t="n">
        <ns0:f>IF($A42="",1,IF(EO42=1,1,--AND(IF($AC42&gt;0,INDEX(EO$7:EO$106,$AC42),1),IF($AD42&gt;0,INDEX(EO$7:EO$106,$AD42),1),IF($AE42&gt;0,INDEX(EO$7:EO$106,$AE42),1),IF($AF42&gt;0,INDEX(EO$7:EO$106,$AF42),1),IF($AG42&gt;0,INDEX(EO$7:EO$106,$AG42),1),IF($AH42&gt;0,INDEX(EO$7:EO$106,$AH42),1),IF($AI42&gt;0,INDEX(EO$7:EO$106,$AI42),1),IF($AJ42&gt;0,INDEX(EO$7:EO$106,$AJ42),1))))</ns0:f>
        <ns0:v>1</ns0:v>
      </ns0:c>
      <ns0:c r="EQ42" t="n">
        <ns0:f>IF(OR(A42="",NOT(ISNUMBER(G42))),0,G42*N42)</ns0:f>
        <ns0:v>0</ns0:v>
      </ns0:c>
    </ns0:row>
    <ns0:row r="43" ht="62" customHeight="1">
      <ns0:c r="A43" s="48" t="str">
        <ns0:v>T31</ns0:v>
      </ns0:c>
      <ns0:c r="B43" s="48" t="str">
        <ns0:v>Learning &amp; closeout</ns0:v>
      </ns0:c>
      <ns0:c r="C43" s="48" t="str">
        <ns0:v>Calculate multi-touch attribution, creative decay &amp; ROAS (W_LEARN)</ns0:v>
      </ns0:c>
      <ns0:c r="D43" s="48" t="str">
        <ns0:v>Estimate attribution weights, creative fatigue and ROAS with S_ATTR.</ns0:v>
      </ns0:c>
      <ns0:c r="E43" s="49" t="n">
        <ns0:v>46305</ns0:v>
      </ns0:c>
      <ns0:c r="F43" s="49" t="n">
        <ns0:v>46306</ns0:v>
      </ns0:c>
      <ns0:c r="G43" s="13" t="n">
        <ns0:f>IF(A43="","",IF(OR(NOT(ISNUMBER(E43)),NOT(ISNUMBER(F43)),F43&lt;E43),"",IF(J43="Yes",0,F43-E43+1)))</ns0:f>
        <ns0:v>2</ns0:v>
      </ns0:c>
      <ns0:c r="H43" s="48" t="str">
        <ns0:v>T30</ns0:v>
      </ns0:c>
      <ns0:c r="I43" s="48" t="str">
        <ns0:v>FS</ns0:v>
      </ns0:c>
      <ns0:c r="J43" s="48" t="str">
        <ns0:v>No</ns0:v>
      </ns0:c>
      <ns0:c r="K43" s="48" t="str">
        <ns0:v>Specialist Sub-Agents (L4_SUBS);Learning &amp; Performance Engine (W_LEARN)</ns0:v>
      </ns0:c>
      <ns0:c r="L43" s="48" t="str"/>
      <ns0:c r="M43" s="50" t="str">
        <ns0:f>IF(A43="","",IF(N43=1,"Completed",IF(N43&gt;0,"In Progress","Not Started")))</ns0:f>
        <ns0:v>Not Started</ns0:v>
      </ns0:c>
      <ns0:c r="N43" s="51" t="n">
        <ns0:v>0</ns0:v>
      </ns0:c>
      <ns0:c r="O43" s="13" t="str">
        <ns0:f>IF(A43="","",IF(R43&lt;&gt;"","[CONFLICT] "&amp;R43,IF(S43&lt;&gt;"","[CONFLICT] "&amp;S43,IF(OR(NOT(ISNUMBER(N43)),N43&lt;0,N43&gt;1),"[CONFLICT] Invalid progress",IF(AK43&gt;0,"[DEPENDENCY ISSUE] Missing ID / &gt;8 links",IF(AM43&gt;0,"[DEPENDENCY ISSUE] Cycle or blocked by cycle",IF(AND(H43&lt;&gt;"",ISNA(MATCH(I43,{"FS","SS","FF","SF"},0))),"[DEPENDENCY ISSUE] Invalid type",IF(AL43&gt;0,"[DEPENDENCY ISSUE] Timing conflict",IF(OR(E43&lt;ProjectStart,F43&gt;ProjectEnd),"[OUTSIDE WINDOW]",IF(AND(N43&lt;1,F43&lt;AsOfDate),"Overdue",IF(AND(M43&lt;&gt;Q43,M43&lt;&gt;""),"[CONFLICT] Status / progress","On track")))))))))))</ns0:f>
        <ns0:v>On track</ns0:v>
      </ns0:c>
      <ns0:c r="P43" s="52" t="str">
        <ns0:v>Source: Project Plan Essentials (2).md §1, §2, §4. Original 2026-10-11 to 2026-10-13, 3d; original progress 0% [INFERRED]. [INFERRED] Rescheduled to fit 34d with FS. Duration reduced to 2d. Original resource/tools: Learning Engine &amp; S_ATTR.</ns0:v>
      </ns0:c>
      <ns0:c r="Q43" t="str">
        <ns0:f>IF(A43="","",IF(OR(M43="On Hold",M43="Delayed"),M43,IF(N43=1,"Completed",IF(N43&gt;0,"In Progress","Not Started"))))</ns0:f>
        <ns0:v>Not Started</ns0:v>
      </ns0:c>
      <ns0:c r="R43" t="str">
        <ns0:f>IF(A43="","",IF(COUNTIFS(Tasks[Task ID],A43)&lt;&gt;1,"Duplicate ID",""))</ns0:f>
      </ns0:c>
      <ns0:c r="S43" t="str">
        <ns0:f>IF(A43="","",IF(OR(NOT(ISNUMBER(E43)),NOT(ISNUMBER(F43))),"Invalid / missing date",IF(OR(E43&lt;&gt;INT(E43),F43&lt;&gt;INT(F43),E43&lt;1,F43&gt;2958465),"Invalid date",IF(F43&lt;E43,"End before start",IF(AND(J43="Yes",E43&lt;&gt;F43),"Milestone needs one date","")))))</ns0:f>
      </ns0:c>
      <ns0:c r="T43" t="n">
        <ns0:f>IF(H43="",0,LEN(H43)-LEN(SUBSTITUTE(H43,",",""))+1)</ns0:f>
        <ns0:v>1</ns0:v>
      </ns0:c>
      <ns0:c r="U43" t="str">
        <ns0:f>TRIM(MID(SUBSTITUTE($H43,",",REPT(" ",100)),1,100))</ns0:f>
        <ns0:v>T30</ns0:v>
      </ns0:c>
      <ns0:c r="V43" t="str">
        <ns0:f>TRIM(MID(SUBSTITUTE($H43,",",REPT(" ",100)),101,100))</ns0:f>
      </ns0:c>
      <ns0:c r="W43" t="str">
        <ns0:f>TRIM(MID(SUBSTITUTE($H43,",",REPT(" ",100)),201,100))</ns0:f>
      </ns0:c>
      <ns0:c r="X43" t="str">
        <ns0:f>TRIM(MID(SUBSTITUTE($H43,",",REPT(" ",100)),301,100))</ns0:f>
      </ns0:c>
      <ns0:c r="Y43" t="str">
        <ns0:f>TRIM(MID(SUBSTITUTE($H43,",",REPT(" ",100)),401,100))</ns0:f>
      </ns0:c>
      <ns0:c r="Z43" t="str">
        <ns0:f>TRIM(MID(SUBSTITUTE($H43,",",REPT(" ",100)),501,100))</ns0:f>
      </ns0:c>
      <ns0:c r="AA43" t="str">
        <ns0:f>TRIM(MID(SUBSTITUTE($H43,",",REPT(" ",100)),601,100))</ns0:f>
      </ns0:c>
      <ns0:c r="AB43" t="str">
        <ns0:f>TRIM(MID(SUBSTITUTE($H43,",",REPT(" ",100)),701,100))</ns0:f>
      </ns0:c>
      <ns0:c r="AC43" t="n">
        <ns0:f>IF(U43="",0,IF(COUNTIFS(Tasks[Task ID],U43)=1,MATCH(U43,Tasks[Task ID],0),-1))</ns0:f>
        <ns0:v>36</ns0:v>
      </ns0:c>
      <ns0:c r="AD43" t="n">
        <ns0:f>IF(V43="",0,IF(COUNTIFS(Tasks[Task ID],V43)=1,MATCH(V43,Tasks[Task ID],0),-1))</ns0:f>
        <ns0:v>0</ns0:v>
      </ns0:c>
      <ns0:c r="AE43" t="n">
        <ns0:f>IF(W43="",0,IF(COUNTIFS(Tasks[Task ID],W43)=1,MATCH(W43,Tasks[Task ID],0),-1))</ns0:f>
        <ns0:v>0</ns0:v>
      </ns0:c>
      <ns0:c r="AF43" t="n">
        <ns0:f>IF(X43="",0,IF(COUNTIFS(Tasks[Task ID],X43)=1,MATCH(X43,Tasks[Task ID],0),-1))</ns0:f>
        <ns0:v>0</ns0:v>
      </ns0:c>
      <ns0:c r="AG43" t="n">
        <ns0:f>IF(Y43="",0,IF(COUNTIFS(Tasks[Task ID],Y43)=1,MATCH(Y43,Tasks[Task ID],0),-1))</ns0:f>
        <ns0:v>0</ns0:v>
      </ns0:c>
      <ns0:c r="AH43" t="n">
        <ns0:f>IF(Z43="",0,IF(COUNTIFS(Tasks[Task ID],Z43)=1,MATCH(Z43,Tasks[Task ID],0),-1))</ns0:f>
        <ns0:v>0</ns0:v>
      </ns0:c>
      <ns0:c r="AI43" t="n">
        <ns0:f>IF(AA43="",0,IF(COUNTIFS(Tasks[Task ID],AA43)=1,MATCH(AA43,Tasks[Task ID],0),-1))</ns0:f>
        <ns0:v>0</ns0:v>
      </ns0:c>
      <ns0:c r="AJ43" t="n">
        <ns0:f>IF(AB43="",0,IF(COUNTIFS(Tasks[Task ID],AB43)=1,MATCH(AB43,Tasks[Task ID],0),-1))</ns0:f>
        <ns0:v>0</ns0:v>
      </ns0:c>
      <ns0:c r="AK43" t="n">
        <ns0:f>COUNTIFS(AC43:AJ43,-1)+IF(T43&gt;8,1,0)</ns0:f>
        <ns0:v>0</ns0:v>
      </ns0:c>
      <ns0:c r="AL43" t="n">
        <ns0:f>IF(OR(A43="",S43&lt;&gt;""),0,SUM(IF(AC43&gt;0,IF($I43="FS",--($E43&lt;INDEX(Tasks[End Date],AC43)+IF(INDEX(Tasks[Milestone],AC43)="Yes",0,1)),IF($I43="SS",--($E43&lt;INDEX(Tasks[Start Date],AC43)),IF($I43="FF",--($F43&lt;INDEX(Tasks[End Date],AC43)),IF($I43="SF",--($F43&lt;INDEX(Tasks[Start Date],AC43)),0)))),0),IF(AD43&gt;0,IF($I43="FS",--($E43&lt;INDEX(Tasks[End Date],AD43)+IF(INDEX(Tasks[Milestone],AD43)="Yes",0,1)),IF($I43="SS",--($E43&lt;INDEX(Tasks[Start Date],AD43)),IF($I43="FF",--($F43&lt;INDEX(Tasks[End Date],AD43)),IF($I43="SF",--($F43&lt;INDEX(Tasks[Start Date],AD43)),0)))),0),IF(AE43&gt;0,IF($I43="FS",--($E43&lt;INDEX(Tasks[End Date],AE43)+IF(INDEX(Tasks[Milestone],AE43)="Yes",0,1)),IF($I43="SS",--($E43&lt;INDEX(Tasks[Start Date],AE43)),IF($I43="FF",--($F43&lt;INDEX(Tasks[End Date],AE43)),IF($I43="SF",--($F43&lt;INDEX(Tasks[Start Date],AE43)),0)))),0),IF(AF43&gt;0,IF($I43="FS",--($E43&lt;INDEX(Tasks[End Date],AF43)+IF(INDEX(Tasks[Milestone],AF43)="Yes",0,1)),IF($I43="SS",--($E43&lt;INDEX(Tasks[Start Date],AF43)),IF($I43="FF",--($F43&lt;INDEX(Tasks[End Date],AF43)),IF($I43="SF",--($F43&lt;INDEX(Tasks[Start Date],AF43)),0)))),0),IF(AG43&gt;0,IF($I43="FS",--($E43&lt;INDEX(Tasks[End Date],AG43)+IF(INDEX(Tasks[Milestone],AG43)="Yes",0,1)),IF($I43="SS",--($E43&lt;INDEX(Tasks[Start Date],AG43)),IF($I43="FF",--($F43&lt;INDEX(Tasks[End Date],AG43)),IF($I43="SF",--($F43&lt;INDEX(Tasks[Start Date],AG43)),0)))),0),IF(AH43&gt;0,IF($I43="FS",--($E43&lt;INDEX(Tasks[End Date],AH43)+IF(INDEX(Tasks[Milestone],AH43)="Yes",0,1)),IF($I43="SS",--($E43&lt;INDEX(Tasks[Start Date],AH43)),IF($I43="FF",--($F43&lt;INDEX(Tasks[End Date],AH43)),IF($I43="SF",--($F43&lt;INDEX(Tasks[Start Date],AH43)),0)))),0),IF(AI43&gt;0,IF($I43="FS",--($E43&lt;INDEX(Tasks[End Date],AI43)+IF(INDEX(Tasks[Milestone],AI43)="Yes",0,1)),IF($I43="SS",--($E43&lt;INDEX(Tasks[Start Date],AI43)),IF($I43="FF",--($F43&lt;INDEX(Tasks[End Date],AI43)),IF($I43="SF",--($F43&lt;INDEX(Tasks[Start Date],AI43)),0)))),0),IF(AJ43&gt;0,IF($I43="FS",--($E43&lt;INDEX(Tasks[End Date],AJ43)+IF(INDEX(Tasks[Milestone],AJ43)="Yes",0,1)),IF($I43="SS",--($E43&lt;INDEX(Tasks[Start Date],AJ43)),IF($I43="FF",--($F43&lt;INDEX(Tasks[End Date],AJ43)),IF($I43="SF",--($F43&lt;INDEX(Tasks[Start Date],AJ43)),0)))),0)))</ns0:f>
        <ns0:v>0</ns0:v>
      </ns0:c>
      <ns0:c r="AM43" t="n">
        <ns0:f>IF(AND(A43&lt;&gt;"",AK43=0,EP43=0),1,0)</ns0:f>
        <ns0:v>0</ns0:v>
      </ns0:c>
      <ns0:c r="AN43" t="str">
        <ns0:f>IF(OR(A43="",B43=""),"",IF(COUNTIFS($B$7:B43,B43)=1,MAX($AN$6:AN42)+1,""))</ns0:f>
      </ns0:c>
      <ns0:c r="AO43" t="n">
        <ns0:f>IF(AND(A43&lt;&gt;"",J43="No",N43&lt;1,E43&gt;=AsOfDate),E43+ROW()/10000,1E+9)</ns0:f>
        <ns0:v>46305.0043</ns0:v>
      </ns0:c>
      <ns0:c r="AP43" t="n">
        <ns0:f>IF(AND(A43&lt;&gt;"",J43="Yes",N43&lt;1,E43&gt;=AsOfDate),E43+ROW()/10000,1E+9)</ns0:f>
        <ns0:v>1000000000</ns0:v>
      </ns0:c>
      <ns0:c r="AQ43" t="n">
        <ns0:f>IF(AND(A43&lt;&gt;"",J43="No",N43&lt;1,F43&gt;=AsOfDate,F43&lt;=AsOfDate+7),F43+ROW()/10000,1E+9)</ns0:f>
        <ns0:v>1000000000</ns0:v>
      </ns0:c>
      <ns0:c r="AR43" t="n">
        <ns0:f>IF(AND(A43&lt;&gt;"",OR(O43&lt;&gt;"On track",Q43="Delayed")),ROW(),1E+9)</ns0:f>
        <ns0:v>1000000000</ns0:v>
      </ns0:c>
      <ns0:c r="AS43" t="str">
        <ns0:f>IF(A43="","",";"&amp;K43&amp;";")</ns0:f>
        <ns0:v>;Specialist Sub-Agents (L4_SUBS);Learning &amp; Performance Engine (W_LEARN);</ns0:v>
      </ns0:c>
      <ns0:c r="AT43" t="n">
        <ns0:f>IF(A43="",1,--(T43=0))</ns0:f>
        <ns0:v>0</ns0:v>
      </ns0:c>
      <ns0:c r="AU43" t="n">
        <ns0:f>IF($A43="",1,IF(AT43=1,1,--AND(IF($AC43&gt;0,INDEX(AT$7:AT$106,$AC43),1),IF($AD43&gt;0,INDEX(AT$7:AT$106,$AD43),1),IF($AE43&gt;0,INDEX(AT$7:AT$106,$AE43),1),IF($AF43&gt;0,INDEX(AT$7:AT$106,$AF43),1),IF($AG43&gt;0,INDEX(AT$7:AT$106,$AG43),1),IF($AH43&gt;0,INDEX(AT$7:AT$106,$AH43),1),IF($AI43&gt;0,INDEX(AT$7:AT$106,$AI43),1),IF($AJ43&gt;0,INDEX(AT$7:AT$106,$AJ43),1))))</ns0:f>
        <ns0:v>0</ns0:v>
      </ns0:c>
      <ns0:c r="AV43" t="n">
        <ns0:f>IF($A43="",1,IF(AU43=1,1,--AND(IF($AC43&gt;0,INDEX(AU$7:AU$106,$AC43),1),IF($AD43&gt;0,INDEX(AU$7:AU$106,$AD43),1),IF($AE43&gt;0,INDEX(AU$7:AU$106,$AE43),1),IF($AF43&gt;0,INDEX(AU$7:AU$106,$AF43),1),IF($AG43&gt;0,INDEX(AU$7:AU$106,$AG43),1),IF($AH43&gt;0,INDEX(AU$7:AU$106,$AH43),1),IF($AI43&gt;0,INDEX(AU$7:AU$106,$AI43),1),IF($AJ43&gt;0,INDEX(AU$7:AU$106,$AJ43),1))))</ns0:f>
        <ns0:v>0</ns0:v>
      </ns0:c>
      <ns0:c r="AW43" t="n">
        <ns0:f>IF($A43="",1,IF(AV43=1,1,--AND(IF($AC43&gt;0,INDEX(AV$7:AV$106,$AC43),1),IF($AD43&gt;0,INDEX(AV$7:AV$106,$AD43),1),IF($AE43&gt;0,INDEX(AV$7:AV$106,$AE43),1),IF($AF43&gt;0,INDEX(AV$7:AV$106,$AF43),1),IF($AG43&gt;0,INDEX(AV$7:AV$106,$AG43),1),IF($AH43&gt;0,INDEX(AV$7:AV$106,$AH43),1),IF($AI43&gt;0,INDEX(AV$7:AV$106,$AI43),1),IF($AJ43&gt;0,INDEX(AV$7:AV$106,$AJ43),1))))</ns0:f>
        <ns0:v>0</ns0:v>
      </ns0:c>
      <ns0:c r="AX43" t="n">
        <ns0:f>IF($A43="",1,IF(AW43=1,1,--AND(IF($AC43&gt;0,INDEX(AW$7:AW$106,$AC43),1),IF($AD43&gt;0,INDEX(AW$7:AW$106,$AD43),1),IF($AE43&gt;0,INDEX(AW$7:AW$106,$AE43),1),IF($AF43&gt;0,INDEX(AW$7:AW$106,$AF43),1),IF($AG43&gt;0,INDEX(AW$7:AW$106,$AG43),1),IF($AH43&gt;0,INDEX(AW$7:AW$106,$AH43),1),IF($AI43&gt;0,INDEX(AW$7:AW$106,$AI43),1),IF($AJ43&gt;0,INDEX(AW$7:AW$106,$AJ43),1))))</ns0:f>
        <ns0:v>0</ns0:v>
      </ns0:c>
      <ns0:c r="AY43" t="n">
        <ns0:f>IF($A43="",1,IF(AX43=1,1,--AND(IF($AC43&gt;0,INDEX(AX$7:AX$106,$AC43),1),IF($AD43&gt;0,INDEX(AX$7:AX$106,$AD43),1),IF($AE43&gt;0,INDEX(AX$7:AX$106,$AE43),1),IF($AF43&gt;0,INDEX(AX$7:AX$106,$AF43),1),IF($AG43&gt;0,INDEX(AX$7:AX$106,$AG43),1),IF($AH43&gt;0,INDEX(AX$7:AX$106,$AH43),1),IF($AI43&gt;0,INDEX(AX$7:AX$106,$AI43),1),IF($AJ43&gt;0,INDEX(AX$7:AX$106,$AJ43),1))))</ns0:f>
        <ns0:v>0</ns0:v>
      </ns0:c>
      <ns0:c r="AZ43" t="n">
        <ns0:f>IF($A43="",1,IF(AY43=1,1,--AND(IF($AC43&gt;0,INDEX(AY$7:AY$106,$AC43),1),IF($AD43&gt;0,INDEX(AY$7:AY$106,$AD43),1),IF($AE43&gt;0,INDEX(AY$7:AY$106,$AE43),1),IF($AF43&gt;0,INDEX(AY$7:AY$106,$AF43),1),IF($AG43&gt;0,INDEX(AY$7:AY$106,$AG43),1),IF($AH43&gt;0,INDEX(AY$7:AY$106,$AH43),1),IF($AI43&gt;0,INDEX(AY$7:AY$106,$AI43),1),IF($AJ43&gt;0,INDEX(AY$7:AY$106,$AJ43),1))))</ns0:f>
        <ns0:v>0</ns0:v>
      </ns0:c>
      <ns0:c r="BA43" t="n">
        <ns0:f>IF($A43="",1,IF(AZ43=1,1,--AND(IF($AC43&gt;0,INDEX(AZ$7:AZ$106,$AC43),1),IF($AD43&gt;0,INDEX(AZ$7:AZ$106,$AD43),1),IF($AE43&gt;0,INDEX(AZ$7:AZ$106,$AE43),1),IF($AF43&gt;0,INDEX(AZ$7:AZ$106,$AF43),1),IF($AG43&gt;0,INDEX(AZ$7:AZ$106,$AG43),1),IF($AH43&gt;0,INDEX(AZ$7:AZ$106,$AH43),1),IF($AI43&gt;0,INDEX(AZ$7:AZ$106,$AI43),1),IF($AJ43&gt;0,INDEX(AZ$7:AZ$106,$AJ43),1))))</ns0:f>
        <ns0:v>0</ns0:v>
      </ns0:c>
      <ns0:c r="BB43" t="n">
        <ns0:f>IF($A43="",1,IF(BA43=1,1,--AND(IF($AC43&gt;0,INDEX(BA$7:BA$106,$AC43),1),IF($AD43&gt;0,INDEX(BA$7:BA$106,$AD43),1),IF($AE43&gt;0,INDEX(BA$7:BA$106,$AE43),1),IF($AF43&gt;0,INDEX(BA$7:BA$106,$AF43),1),IF($AG43&gt;0,INDEX(BA$7:BA$106,$AG43),1),IF($AH43&gt;0,INDEX(BA$7:BA$106,$AH43),1),IF($AI43&gt;0,INDEX(BA$7:BA$106,$AI43),1),IF($AJ43&gt;0,INDEX(BA$7:BA$106,$AJ43),1))))</ns0:f>
        <ns0:v>0</ns0:v>
      </ns0:c>
      <ns0:c r="BC43" t="n">
        <ns0:f>IF($A43="",1,IF(BB43=1,1,--AND(IF($AC43&gt;0,INDEX(BB$7:BB$106,$AC43),1),IF($AD43&gt;0,INDEX(BB$7:BB$106,$AD43),1),IF($AE43&gt;0,INDEX(BB$7:BB$106,$AE43),1),IF($AF43&gt;0,INDEX(BB$7:BB$106,$AF43),1),IF($AG43&gt;0,INDEX(BB$7:BB$106,$AG43),1),IF($AH43&gt;0,INDEX(BB$7:BB$106,$AH43),1),IF($AI43&gt;0,INDEX(BB$7:BB$106,$AI43),1),IF($AJ43&gt;0,INDEX(BB$7:BB$106,$AJ43),1))))</ns0:f>
        <ns0:v>0</ns0:v>
      </ns0:c>
      <ns0:c r="BD43" t="n">
        <ns0:f>IF($A43="",1,IF(BC43=1,1,--AND(IF($AC43&gt;0,INDEX(BC$7:BC$106,$AC43),1),IF($AD43&gt;0,INDEX(BC$7:BC$106,$AD43),1),IF($AE43&gt;0,INDEX(BC$7:BC$106,$AE43),1),IF($AF43&gt;0,INDEX(BC$7:BC$106,$AF43),1),IF($AG43&gt;0,INDEX(BC$7:BC$106,$AG43),1),IF($AH43&gt;0,INDEX(BC$7:BC$106,$AH43),1),IF($AI43&gt;0,INDEX(BC$7:BC$106,$AI43),1),IF($AJ43&gt;0,INDEX(BC$7:BC$106,$AJ43),1))))</ns0:f>
        <ns0:v>0</ns0:v>
      </ns0:c>
      <ns0:c r="BE43" t="n">
        <ns0:f>IF($A43="",1,IF(BD43=1,1,--AND(IF($AC43&gt;0,INDEX(BD$7:BD$106,$AC43),1),IF($AD43&gt;0,INDEX(BD$7:BD$106,$AD43),1),IF($AE43&gt;0,INDEX(BD$7:BD$106,$AE43),1),IF($AF43&gt;0,INDEX(BD$7:BD$106,$AF43),1),IF($AG43&gt;0,INDEX(BD$7:BD$106,$AG43),1),IF($AH43&gt;0,INDEX(BD$7:BD$106,$AH43),1),IF($AI43&gt;0,INDEX(BD$7:BD$106,$AI43),1),IF($AJ43&gt;0,INDEX(BD$7:BD$106,$AJ43),1))))</ns0:f>
        <ns0:v>0</ns0:v>
      </ns0:c>
      <ns0:c r="BF43" t="n">
        <ns0:f>IF($A43="",1,IF(BE43=1,1,--AND(IF($AC43&gt;0,INDEX(BE$7:BE$106,$AC43),1),IF($AD43&gt;0,INDEX(BE$7:BE$106,$AD43),1),IF($AE43&gt;0,INDEX(BE$7:BE$106,$AE43),1),IF($AF43&gt;0,INDEX(BE$7:BE$106,$AF43),1),IF($AG43&gt;0,INDEX(BE$7:BE$106,$AG43),1),IF($AH43&gt;0,INDEX(BE$7:BE$106,$AH43),1),IF($AI43&gt;0,INDEX(BE$7:BE$106,$AI43),1),IF($AJ43&gt;0,INDEX(BE$7:BE$106,$AJ43),1))))</ns0:f>
        <ns0:v>0</ns0:v>
      </ns0:c>
      <ns0:c r="BG43" t="n">
        <ns0:f>IF($A43="",1,IF(BF43=1,1,--AND(IF($AC43&gt;0,INDEX(BF$7:BF$106,$AC43),1),IF($AD43&gt;0,INDEX(BF$7:BF$106,$AD43),1),IF($AE43&gt;0,INDEX(BF$7:BF$106,$AE43),1),IF($AF43&gt;0,INDEX(BF$7:BF$106,$AF43),1),IF($AG43&gt;0,INDEX(BF$7:BF$106,$AG43),1),IF($AH43&gt;0,INDEX(BF$7:BF$106,$AH43),1),IF($AI43&gt;0,INDEX(BF$7:BF$106,$AI43),1),IF($AJ43&gt;0,INDEX(BF$7:BF$106,$AJ43),1))))</ns0:f>
        <ns0:v>0</ns0:v>
      </ns0:c>
      <ns0:c r="BH43" t="n">
        <ns0:f>IF($A43="",1,IF(BG43=1,1,--AND(IF($AC43&gt;0,INDEX(BG$7:BG$106,$AC43),1),IF($AD43&gt;0,INDEX(BG$7:BG$106,$AD43),1),IF($AE43&gt;0,INDEX(BG$7:BG$106,$AE43),1),IF($AF43&gt;0,INDEX(BG$7:BG$106,$AF43),1),IF($AG43&gt;0,INDEX(BG$7:BG$106,$AG43),1),IF($AH43&gt;0,INDEX(BG$7:BG$106,$AH43),1),IF($AI43&gt;0,INDEX(BG$7:BG$106,$AI43),1),IF($AJ43&gt;0,INDEX(BG$7:BG$106,$AJ43),1))))</ns0:f>
        <ns0:v>0</ns0:v>
      </ns0:c>
      <ns0:c r="BI43" t="n">
        <ns0:f>IF($A43="",1,IF(BH43=1,1,--AND(IF($AC43&gt;0,INDEX(BH$7:BH$106,$AC43),1),IF($AD43&gt;0,INDEX(BH$7:BH$106,$AD43),1),IF($AE43&gt;0,INDEX(BH$7:BH$106,$AE43),1),IF($AF43&gt;0,INDEX(BH$7:BH$106,$AF43),1),IF($AG43&gt;0,INDEX(BH$7:BH$106,$AG43),1),IF($AH43&gt;0,INDEX(BH$7:BH$106,$AH43),1),IF($AI43&gt;0,INDEX(BH$7:BH$106,$AI43),1),IF($AJ43&gt;0,INDEX(BH$7:BH$106,$AJ43),1))))</ns0:f>
        <ns0:v>0</ns0:v>
      </ns0:c>
      <ns0:c r="BJ43" t="n">
        <ns0:f>IF($A43="",1,IF(BI43=1,1,--AND(IF($AC43&gt;0,INDEX(BI$7:BI$106,$AC43),1),IF($AD43&gt;0,INDEX(BI$7:BI$106,$AD43),1),IF($AE43&gt;0,INDEX(BI$7:BI$106,$AE43),1),IF($AF43&gt;0,INDEX(BI$7:BI$106,$AF43),1),IF($AG43&gt;0,INDEX(BI$7:BI$106,$AG43),1),IF($AH43&gt;0,INDEX(BI$7:BI$106,$AH43),1),IF($AI43&gt;0,INDEX(BI$7:BI$106,$AI43),1),IF($AJ43&gt;0,INDEX(BI$7:BI$106,$AJ43),1))))</ns0:f>
        <ns0:v>1</ns0:v>
      </ns0:c>
      <ns0:c r="BK43" t="n">
        <ns0:f>IF($A43="",1,IF(BJ43=1,1,--AND(IF($AC43&gt;0,INDEX(BJ$7:BJ$106,$AC43),1),IF($AD43&gt;0,INDEX(BJ$7:BJ$106,$AD43),1),IF($AE43&gt;0,INDEX(BJ$7:BJ$106,$AE43),1),IF($AF43&gt;0,INDEX(BJ$7:BJ$106,$AF43),1),IF($AG43&gt;0,INDEX(BJ$7:BJ$106,$AG43),1),IF($AH43&gt;0,INDEX(BJ$7:BJ$106,$AH43),1),IF($AI43&gt;0,INDEX(BJ$7:BJ$106,$AI43),1),IF($AJ43&gt;0,INDEX(BJ$7:BJ$106,$AJ43),1))))</ns0:f>
        <ns0:v>1</ns0:v>
      </ns0:c>
      <ns0:c r="BL43" t="n">
        <ns0:f>IF($A43="",1,IF(BK43=1,1,--AND(IF($AC43&gt;0,INDEX(BK$7:BK$106,$AC43),1),IF($AD43&gt;0,INDEX(BK$7:BK$106,$AD43),1),IF($AE43&gt;0,INDEX(BK$7:BK$106,$AE43),1),IF($AF43&gt;0,INDEX(BK$7:BK$106,$AF43),1),IF($AG43&gt;0,INDEX(BK$7:BK$106,$AG43),1),IF($AH43&gt;0,INDEX(BK$7:BK$106,$AH43),1),IF($AI43&gt;0,INDEX(BK$7:BK$106,$AI43),1),IF($AJ43&gt;0,INDEX(BK$7:BK$106,$AJ43),1))))</ns0:f>
        <ns0:v>1</ns0:v>
      </ns0:c>
      <ns0:c r="BM43" t="n">
        <ns0:f>IF($A43="",1,IF(BL43=1,1,--AND(IF($AC43&gt;0,INDEX(BL$7:BL$106,$AC43),1),IF($AD43&gt;0,INDEX(BL$7:BL$106,$AD43),1),IF($AE43&gt;0,INDEX(BL$7:BL$106,$AE43),1),IF($AF43&gt;0,INDEX(BL$7:BL$106,$AF43),1),IF($AG43&gt;0,INDEX(BL$7:BL$106,$AG43),1),IF($AH43&gt;0,INDEX(BL$7:BL$106,$AH43),1),IF($AI43&gt;0,INDEX(BL$7:BL$106,$AI43),1),IF($AJ43&gt;0,INDEX(BL$7:BL$106,$AJ43),1))))</ns0:f>
        <ns0:v>1</ns0:v>
      </ns0:c>
      <ns0:c r="BN43" t="n">
        <ns0:f>IF($A43="",1,IF(BM43=1,1,--AND(IF($AC43&gt;0,INDEX(BM$7:BM$106,$AC43),1),IF($AD43&gt;0,INDEX(BM$7:BM$106,$AD43),1),IF($AE43&gt;0,INDEX(BM$7:BM$106,$AE43),1),IF($AF43&gt;0,INDEX(BM$7:BM$106,$AF43),1),IF($AG43&gt;0,INDEX(BM$7:BM$106,$AG43),1),IF($AH43&gt;0,INDEX(BM$7:BM$106,$AH43),1),IF($AI43&gt;0,INDEX(BM$7:BM$106,$AI43),1),IF($AJ43&gt;0,INDEX(BM$7:BM$106,$AJ43),1))))</ns0:f>
        <ns0:v>1</ns0:v>
      </ns0:c>
      <ns0:c r="BO43" t="n">
        <ns0:f>IF($A43="",1,IF(BN43=1,1,--AND(IF($AC43&gt;0,INDEX(BN$7:BN$106,$AC43),1),IF($AD43&gt;0,INDEX(BN$7:BN$106,$AD43),1),IF($AE43&gt;0,INDEX(BN$7:BN$106,$AE43),1),IF($AF43&gt;0,INDEX(BN$7:BN$106,$AF43),1),IF($AG43&gt;0,INDEX(BN$7:BN$106,$AG43),1),IF($AH43&gt;0,INDEX(BN$7:BN$106,$AH43),1),IF($AI43&gt;0,INDEX(BN$7:BN$106,$AI43),1),IF($AJ43&gt;0,INDEX(BN$7:BN$106,$AJ43),1))))</ns0:f>
        <ns0:v>1</ns0:v>
      </ns0:c>
      <ns0:c r="BP43" t="n">
        <ns0:f>IF($A43="",1,IF(BO43=1,1,--AND(IF($AC43&gt;0,INDEX(BO$7:BO$106,$AC43),1),IF($AD43&gt;0,INDEX(BO$7:BO$106,$AD43),1),IF($AE43&gt;0,INDEX(BO$7:BO$106,$AE43),1),IF($AF43&gt;0,INDEX(BO$7:BO$106,$AF43),1),IF($AG43&gt;0,INDEX(BO$7:BO$106,$AG43),1),IF($AH43&gt;0,INDEX(BO$7:BO$106,$AH43),1),IF($AI43&gt;0,INDEX(BO$7:BO$106,$AI43),1),IF($AJ43&gt;0,INDEX(BO$7:BO$106,$AJ43),1))))</ns0:f>
        <ns0:v>1</ns0:v>
      </ns0:c>
      <ns0:c r="BQ43" t="n">
        <ns0:f>IF($A43="",1,IF(BP43=1,1,--AND(IF($AC43&gt;0,INDEX(BP$7:BP$106,$AC43),1),IF($AD43&gt;0,INDEX(BP$7:BP$106,$AD43),1),IF($AE43&gt;0,INDEX(BP$7:BP$106,$AE43),1),IF($AF43&gt;0,INDEX(BP$7:BP$106,$AF43),1),IF($AG43&gt;0,INDEX(BP$7:BP$106,$AG43),1),IF($AH43&gt;0,INDEX(BP$7:BP$106,$AH43),1),IF($AI43&gt;0,INDEX(BP$7:BP$106,$AI43),1),IF($AJ43&gt;0,INDEX(BP$7:BP$106,$AJ43),1))))</ns0:f>
        <ns0:v>1</ns0:v>
      </ns0:c>
      <ns0:c r="BR43" t="n">
        <ns0:f>IF($A43="",1,IF(BQ43=1,1,--AND(IF($AC43&gt;0,INDEX(BQ$7:BQ$106,$AC43),1),IF($AD43&gt;0,INDEX(BQ$7:BQ$106,$AD43),1),IF($AE43&gt;0,INDEX(BQ$7:BQ$106,$AE43),1),IF($AF43&gt;0,INDEX(BQ$7:BQ$106,$AF43),1),IF($AG43&gt;0,INDEX(BQ$7:BQ$106,$AG43),1),IF($AH43&gt;0,INDEX(BQ$7:BQ$106,$AH43),1),IF($AI43&gt;0,INDEX(BQ$7:BQ$106,$AI43),1),IF($AJ43&gt;0,INDEX(BQ$7:BQ$106,$AJ43),1))))</ns0:f>
        <ns0:v>1</ns0:v>
      </ns0:c>
      <ns0:c r="BS43" t="n">
        <ns0:f>IF($A43="",1,IF(BR43=1,1,--AND(IF($AC43&gt;0,INDEX(BR$7:BR$106,$AC43),1),IF($AD43&gt;0,INDEX(BR$7:BR$106,$AD43),1),IF($AE43&gt;0,INDEX(BR$7:BR$106,$AE43),1),IF($AF43&gt;0,INDEX(BR$7:BR$106,$AF43),1),IF($AG43&gt;0,INDEX(BR$7:BR$106,$AG43),1),IF($AH43&gt;0,INDEX(BR$7:BR$106,$AH43),1),IF($AI43&gt;0,INDEX(BR$7:BR$106,$AI43),1),IF($AJ43&gt;0,INDEX(BR$7:BR$106,$AJ43),1))))</ns0:f>
        <ns0:v>1</ns0:v>
      </ns0:c>
      <ns0:c r="BT43" t="n">
        <ns0:f>IF($A43="",1,IF(BS43=1,1,--AND(IF($AC43&gt;0,INDEX(BS$7:BS$106,$AC43),1),IF($AD43&gt;0,INDEX(BS$7:BS$106,$AD43),1),IF($AE43&gt;0,INDEX(BS$7:BS$106,$AE43),1),IF($AF43&gt;0,INDEX(BS$7:BS$106,$AF43),1),IF($AG43&gt;0,INDEX(BS$7:BS$106,$AG43),1),IF($AH43&gt;0,INDEX(BS$7:BS$106,$AH43),1),IF($AI43&gt;0,INDEX(BS$7:BS$106,$AI43),1),IF($AJ43&gt;0,INDEX(BS$7:BS$106,$AJ43),1))))</ns0:f>
        <ns0:v>1</ns0:v>
      </ns0:c>
      <ns0:c r="BU43" t="n">
        <ns0:f>IF($A43="",1,IF(BT43=1,1,--AND(IF($AC43&gt;0,INDEX(BT$7:BT$106,$AC43),1),IF($AD43&gt;0,INDEX(BT$7:BT$106,$AD43),1),IF($AE43&gt;0,INDEX(BT$7:BT$106,$AE43),1),IF($AF43&gt;0,INDEX(BT$7:BT$106,$AF43),1),IF($AG43&gt;0,INDEX(BT$7:BT$106,$AG43),1),IF($AH43&gt;0,INDEX(BT$7:BT$106,$AH43),1),IF($AI43&gt;0,INDEX(BT$7:BT$106,$AI43),1),IF($AJ43&gt;0,INDEX(BT$7:BT$106,$AJ43),1))))</ns0:f>
        <ns0:v>1</ns0:v>
      </ns0:c>
      <ns0:c r="BV43" t="n">
        <ns0:f>IF($A43="",1,IF(BU43=1,1,--AND(IF($AC43&gt;0,INDEX(BU$7:BU$106,$AC43),1),IF($AD43&gt;0,INDEX(BU$7:BU$106,$AD43),1),IF($AE43&gt;0,INDEX(BU$7:BU$106,$AE43),1),IF($AF43&gt;0,INDEX(BU$7:BU$106,$AF43),1),IF($AG43&gt;0,INDEX(BU$7:BU$106,$AG43),1),IF($AH43&gt;0,INDEX(BU$7:BU$106,$AH43),1),IF($AI43&gt;0,INDEX(BU$7:BU$106,$AI43),1),IF($AJ43&gt;0,INDEX(BU$7:BU$106,$AJ43),1))))</ns0:f>
        <ns0:v>1</ns0:v>
      </ns0:c>
      <ns0:c r="BW43" t="n">
        <ns0:f>IF($A43="",1,IF(BV43=1,1,--AND(IF($AC43&gt;0,INDEX(BV$7:BV$106,$AC43),1),IF($AD43&gt;0,INDEX(BV$7:BV$106,$AD43),1),IF($AE43&gt;0,INDEX(BV$7:BV$106,$AE43),1),IF($AF43&gt;0,INDEX(BV$7:BV$106,$AF43),1),IF($AG43&gt;0,INDEX(BV$7:BV$106,$AG43),1),IF($AH43&gt;0,INDEX(BV$7:BV$106,$AH43),1),IF($AI43&gt;0,INDEX(BV$7:BV$106,$AI43),1),IF($AJ43&gt;0,INDEX(BV$7:BV$106,$AJ43),1))))</ns0:f>
        <ns0:v>1</ns0:v>
      </ns0:c>
      <ns0:c r="BX43" t="n">
        <ns0:f>IF($A43="",1,IF(BW43=1,1,--AND(IF($AC43&gt;0,INDEX(BW$7:BW$106,$AC43),1),IF($AD43&gt;0,INDEX(BW$7:BW$106,$AD43),1),IF($AE43&gt;0,INDEX(BW$7:BW$106,$AE43),1),IF($AF43&gt;0,INDEX(BW$7:BW$106,$AF43),1),IF($AG43&gt;0,INDEX(BW$7:BW$106,$AG43),1),IF($AH43&gt;0,INDEX(BW$7:BW$106,$AH43),1),IF($AI43&gt;0,INDEX(BW$7:BW$106,$AI43),1),IF($AJ43&gt;0,INDEX(BW$7:BW$106,$AJ43),1))))</ns0:f>
        <ns0:v>1</ns0:v>
      </ns0:c>
      <ns0:c r="BY43" t="n">
        <ns0:f>IF($A43="",1,IF(BX43=1,1,--AND(IF($AC43&gt;0,INDEX(BX$7:BX$106,$AC43),1),IF($AD43&gt;0,INDEX(BX$7:BX$106,$AD43),1),IF($AE43&gt;0,INDEX(BX$7:BX$106,$AE43),1),IF($AF43&gt;0,INDEX(BX$7:BX$106,$AF43),1),IF($AG43&gt;0,INDEX(BX$7:BX$106,$AG43),1),IF($AH43&gt;0,INDEX(BX$7:BX$106,$AH43),1),IF($AI43&gt;0,INDEX(BX$7:BX$106,$AI43),1),IF($AJ43&gt;0,INDEX(BX$7:BX$106,$AJ43),1))))</ns0:f>
        <ns0:v>1</ns0:v>
      </ns0:c>
      <ns0:c r="BZ43" t="n">
        <ns0:f>IF($A43="",1,IF(BY43=1,1,--AND(IF($AC43&gt;0,INDEX(BY$7:BY$106,$AC43),1),IF($AD43&gt;0,INDEX(BY$7:BY$106,$AD43),1),IF($AE43&gt;0,INDEX(BY$7:BY$106,$AE43),1),IF($AF43&gt;0,INDEX(BY$7:BY$106,$AF43),1),IF($AG43&gt;0,INDEX(BY$7:BY$106,$AG43),1),IF($AH43&gt;0,INDEX(BY$7:BY$106,$AH43),1),IF($AI43&gt;0,INDEX(BY$7:BY$106,$AI43),1),IF($AJ43&gt;0,INDEX(BY$7:BY$106,$AJ43),1))))</ns0:f>
        <ns0:v>1</ns0:v>
      </ns0:c>
      <ns0:c r="CA43" t="n">
        <ns0:f>IF($A43="",1,IF(BZ43=1,1,--AND(IF($AC43&gt;0,INDEX(BZ$7:BZ$106,$AC43),1),IF($AD43&gt;0,INDEX(BZ$7:BZ$106,$AD43),1),IF($AE43&gt;0,INDEX(BZ$7:BZ$106,$AE43),1),IF($AF43&gt;0,INDEX(BZ$7:BZ$106,$AF43),1),IF($AG43&gt;0,INDEX(BZ$7:BZ$106,$AG43),1),IF($AH43&gt;0,INDEX(BZ$7:BZ$106,$AH43),1),IF($AI43&gt;0,INDEX(BZ$7:BZ$106,$AI43),1),IF($AJ43&gt;0,INDEX(BZ$7:BZ$106,$AJ43),1))))</ns0:f>
        <ns0:v>1</ns0:v>
      </ns0:c>
      <ns0:c r="CB43" t="n">
        <ns0:f>IF($A43="",1,IF(CA43=1,1,--AND(IF($AC43&gt;0,INDEX(CA$7:CA$106,$AC43),1),IF($AD43&gt;0,INDEX(CA$7:CA$106,$AD43),1),IF($AE43&gt;0,INDEX(CA$7:CA$106,$AE43),1),IF($AF43&gt;0,INDEX(CA$7:CA$106,$AF43),1),IF($AG43&gt;0,INDEX(CA$7:CA$106,$AG43),1),IF($AH43&gt;0,INDEX(CA$7:CA$106,$AH43),1),IF($AI43&gt;0,INDEX(CA$7:CA$106,$AI43),1),IF($AJ43&gt;0,INDEX(CA$7:CA$106,$AJ43),1))))</ns0:f>
        <ns0:v>1</ns0:v>
      </ns0:c>
      <ns0:c r="CC43" t="n">
        <ns0:f>IF($A43="",1,IF(CB43=1,1,--AND(IF($AC43&gt;0,INDEX(CB$7:CB$106,$AC43),1),IF($AD43&gt;0,INDEX(CB$7:CB$106,$AD43),1),IF($AE43&gt;0,INDEX(CB$7:CB$106,$AE43),1),IF($AF43&gt;0,INDEX(CB$7:CB$106,$AF43),1),IF($AG43&gt;0,INDEX(CB$7:CB$106,$AG43),1),IF($AH43&gt;0,INDEX(CB$7:CB$106,$AH43),1),IF($AI43&gt;0,INDEX(CB$7:CB$106,$AI43),1),IF($AJ43&gt;0,INDEX(CB$7:CB$106,$AJ43),1))))</ns0:f>
        <ns0:v>1</ns0:v>
      </ns0:c>
      <ns0:c r="CD43" t="n">
        <ns0:f>IF($A43="",1,IF(CC43=1,1,--AND(IF($AC43&gt;0,INDEX(CC$7:CC$106,$AC43),1),IF($AD43&gt;0,INDEX(CC$7:CC$106,$AD43),1),IF($AE43&gt;0,INDEX(CC$7:CC$106,$AE43),1),IF($AF43&gt;0,INDEX(CC$7:CC$106,$AF43),1),IF($AG43&gt;0,INDEX(CC$7:CC$106,$AG43),1),IF($AH43&gt;0,INDEX(CC$7:CC$106,$AH43),1),IF($AI43&gt;0,INDEX(CC$7:CC$106,$AI43),1),IF($AJ43&gt;0,INDEX(CC$7:CC$106,$AJ43),1))))</ns0:f>
        <ns0:v>1</ns0:v>
      </ns0:c>
      <ns0:c r="CE43" t="n">
        <ns0:f>IF($A43="",1,IF(CD43=1,1,--AND(IF($AC43&gt;0,INDEX(CD$7:CD$106,$AC43),1),IF($AD43&gt;0,INDEX(CD$7:CD$106,$AD43),1),IF($AE43&gt;0,INDEX(CD$7:CD$106,$AE43),1),IF($AF43&gt;0,INDEX(CD$7:CD$106,$AF43),1),IF($AG43&gt;0,INDEX(CD$7:CD$106,$AG43),1),IF($AH43&gt;0,INDEX(CD$7:CD$106,$AH43),1),IF($AI43&gt;0,INDEX(CD$7:CD$106,$AI43),1),IF($AJ43&gt;0,INDEX(CD$7:CD$106,$AJ43),1))))</ns0:f>
        <ns0:v>1</ns0:v>
      </ns0:c>
      <ns0:c r="CF43" t="n">
        <ns0:f>IF($A43="",1,IF(CE43=1,1,--AND(IF($AC43&gt;0,INDEX(CE$7:CE$106,$AC43),1),IF($AD43&gt;0,INDEX(CE$7:CE$106,$AD43),1),IF($AE43&gt;0,INDEX(CE$7:CE$106,$AE43),1),IF($AF43&gt;0,INDEX(CE$7:CE$106,$AF43),1),IF($AG43&gt;0,INDEX(CE$7:CE$106,$AG43),1),IF($AH43&gt;0,INDEX(CE$7:CE$106,$AH43),1),IF($AI43&gt;0,INDEX(CE$7:CE$106,$AI43),1),IF($AJ43&gt;0,INDEX(CE$7:CE$106,$AJ43),1))))</ns0:f>
        <ns0:v>1</ns0:v>
      </ns0:c>
      <ns0:c r="CG43" t="n">
        <ns0:f>IF($A43="",1,IF(CF43=1,1,--AND(IF($AC43&gt;0,INDEX(CF$7:CF$106,$AC43),1),IF($AD43&gt;0,INDEX(CF$7:CF$106,$AD43),1),IF($AE43&gt;0,INDEX(CF$7:CF$106,$AE43),1),IF($AF43&gt;0,INDEX(CF$7:CF$106,$AF43),1),IF($AG43&gt;0,INDEX(CF$7:CF$106,$AG43),1),IF($AH43&gt;0,INDEX(CF$7:CF$106,$AH43),1),IF($AI43&gt;0,INDEX(CF$7:CF$106,$AI43),1),IF($AJ43&gt;0,INDEX(CF$7:CF$106,$AJ43),1))))</ns0:f>
        <ns0:v>1</ns0:v>
      </ns0:c>
      <ns0:c r="CH43" t="n">
        <ns0:f>IF($A43="",1,IF(CG43=1,1,--AND(IF($AC43&gt;0,INDEX(CG$7:CG$106,$AC43),1),IF($AD43&gt;0,INDEX(CG$7:CG$106,$AD43),1),IF($AE43&gt;0,INDEX(CG$7:CG$106,$AE43),1),IF($AF43&gt;0,INDEX(CG$7:CG$106,$AF43),1),IF($AG43&gt;0,INDEX(CG$7:CG$106,$AG43),1),IF($AH43&gt;0,INDEX(CG$7:CG$106,$AH43),1),IF($AI43&gt;0,INDEX(CG$7:CG$106,$AI43),1),IF($AJ43&gt;0,INDEX(CG$7:CG$106,$AJ43),1))))</ns0:f>
        <ns0:v>1</ns0:v>
      </ns0:c>
      <ns0:c r="CI43" t="n">
        <ns0:f>IF($A43="",1,IF(CH43=1,1,--AND(IF($AC43&gt;0,INDEX(CH$7:CH$106,$AC43),1),IF($AD43&gt;0,INDEX(CH$7:CH$106,$AD43),1),IF($AE43&gt;0,INDEX(CH$7:CH$106,$AE43),1),IF($AF43&gt;0,INDEX(CH$7:CH$106,$AF43),1),IF($AG43&gt;0,INDEX(CH$7:CH$106,$AG43),1),IF($AH43&gt;0,INDEX(CH$7:CH$106,$AH43),1),IF($AI43&gt;0,INDEX(CH$7:CH$106,$AI43),1),IF($AJ43&gt;0,INDEX(CH$7:CH$106,$AJ43),1))))</ns0:f>
        <ns0:v>1</ns0:v>
      </ns0:c>
      <ns0:c r="CJ43" t="n">
        <ns0:f>IF($A43="",1,IF(CI43=1,1,--AND(IF($AC43&gt;0,INDEX(CI$7:CI$106,$AC43),1),IF($AD43&gt;0,INDEX(CI$7:CI$106,$AD43),1),IF($AE43&gt;0,INDEX(CI$7:CI$106,$AE43),1),IF($AF43&gt;0,INDEX(CI$7:CI$106,$AF43),1),IF($AG43&gt;0,INDEX(CI$7:CI$106,$AG43),1),IF($AH43&gt;0,INDEX(CI$7:CI$106,$AH43),1),IF($AI43&gt;0,INDEX(CI$7:CI$106,$AI43),1),IF($AJ43&gt;0,INDEX(CI$7:CI$106,$AJ43),1))))</ns0:f>
        <ns0:v>1</ns0:v>
      </ns0:c>
      <ns0:c r="CK43" t="n">
        <ns0:f>IF($A43="",1,IF(CJ43=1,1,--AND(IF($AC43&gt;0,INDEX(CJ$7:CJ$106,$AC43),1),IF($AD43&gt;0,INDEX(CJ$7:CJ$106,$AD43),1),IF($AE43&gt;0,INDEX(CJ$7:CJ$106,$AE43),1),IF($AF43&gt;0,INDEX(CJ$7:CJ$106,$AF43),1),IF($AG43&gt;0,INDEX(CJ$7:CJ$106,$AG43),1),IF($AH43&gt;0,INDEX(CJ$7:CJ$106,$AH43),1),IF($AI43&gt;0,INDEX(CJ$7:CJ$106,$AI43),1),IF($AJ43&gt;0,INDEX(CJ$7:CJ$106,$AJ43),1))))</ns0:f>
        <ns0:v>1</ns0:v>
      </ns0:c>
      <ns0:c r="CL43" t="n">
        <ns0:f>IF($A43="",1,IF(CK43=1,1,--AND(IF($AC43&gt;0,INDEX(CK$7:CK$106,$AC43),1),IF($AD43&gt;0,INDEX(CK$7:CK$106,$AD43),1),IF($AE43&gt;0,INDEX(CK$7:CK$106,$AE43),1),IF($AF43&gt;0,INDEX(CK$7:CK$106,$AF43),1),IF($AG43&gt;0,INDEX(CK$7:CK$106,$AG43),1),IF($AH43&gt;0,INDEX(CK$7:CK$106,$AH43),1),IF($AI43&gt;0,INDEX(CK$7:CK$106,$AI43),1),IF($AJ43&gt;0,INDEX(CK$7:CK$106,$AJ43),1))))</ns0:f>
        <ns0:v>1</ns0:v>
      </ns0:c>
      <ns0:c r="CM43" t="n">
        <ns0:f>IF($A43="",1,IF(CL43=1,1,--AND(IF($AC43&gt;0,INDEX(CL$7:CL$106,$AC43),1),IF($AD43&gt;0,INDEX(CL$7:CL$106,$AD43),1),IF($AE43&gt;0,INDEX(CL$7:CL$106,$AE43),1),IF($AF43&gt;0,INDEX(CL$7:CL$106,$AF43),1),IF($AG43&gt;0,INDEX(CL$7:CL$106,$AG43),1),IF($AH43&gt;0,INDEX(CL$7:CL$106,$AH43),1),IF($AI43&gt;0,INDEX(CL$7:CL$106,$AI43),1),IF($AJ43&gt;0,INDEX(CL$7:CL$106,$AJ43),1))))</ns0:f>
        <ns0:v>1</ns0:v>
      </ns0:c>
      <ns0:c r="CN43" t="n">
        <ns0:f>IF($A43="",1,IF(CM43=1,1,--AND(IF($AC43&gt;0,INDEX(CM$7:CM$106,$AC43),1),IF($AD43&gt;0,INDEX(CM$7:CM$106,$AD43),1),IF($AE43&gt;0,INDEX(CM$7:CM$106,$AE43),1),IF($AF43&gt;0,INDEX(CM$7:CM$106,$AF43),1),IF($AG43&gt;0,INDEX(CM$7:CM$106,$AG43),1),IF($AH43&gt;0,INDEX(CM$7:CM$106,$AH43),1),IF($AI43&gt;0,INDEX(CM$7:CM$106,$AI43),1),IF($AJ43&gt;0,INDEX(CM$7:CM$106,$AJ43),1))))</ns0:f>
        <ns0:v>1</ns0:v>
      </ns0:c>
      <ns0:c r="CO43" t="n">
        <ns0:f>IF($A43="",1,IF(CN43=1,1,--AND(IF($AC43&gt;0,INDEX(CN$7:CN$106,$AC43),1),IF($AD43&gt;0,INDEX(CN$7:CN$106,$AD43),1),IF($AE43&gt;0,INDEX(CN$7:CN$106,$AE43),1),IF($AF43&gt;0,INDEX(CN$7:CN$106,$AF43),1),IF($AG43&gt;0,INDEX(CN$7:CN$106,$AG43),1),IF($AH43&gt;0,INDEX(CN$7:CN$106,$AH43),1),IF($AI43&gt;0,INDEX(CN$7:CN$106,$AI43),1),IF($AJ43&gt;0,INDEX(CN$7:CN$106,$AJ43),1))))</ns0:f>
        <ns0:v>1</ns0:v>
      </ns0:c>
      <ns0:c r="CP43" t="n">
        <ns0:f>IF($A43="",1,IF(CO43=1,1,--AND(IF($AC43&gt;0,INDEX(CO$7:CO$106,$AC43),1),IF($AD43&gt;0,INDEX(CO$7:CO$106,$AD43),1),IF($AE43&gt;0,INDEX(CO$7:CO$106,$AE43),1),IF($AF43&gt;0,INDEX(CO$7:CO$106,$AF43),1),IF($AG43&gt;0,INDEX(CO$7:CO$106,$AG43),1),IF($AH43&gt;0,INDEX(CO$7:CO$106,$AH43),1),IF($AI43&gt;0,INDEX(CO$7:CO$106,$AI43),1),IF($AJ43&gt;0,INDEX(CO$7:CO$106,$AJ43),1))))</ns0:f>
        <ns0:v>1</ns0:v>
      </ns0:c>
      <ns0:c r="CQ43" t="n">
        <ns0:f>IF($A43="",1,IF(CP43=1,1,--AND(IF($AC43&gt;0,INDEX(CP$7:CP$106,$AC43),1),IF($AD43&gt;0,INDEX(CP$7:CP$106,$AD43),1),IF($AE43&gt;0,INDEX(CP$7:CP$106,$AE43),1),IF($AF43&gt;0,INDEX(CP$7:CP$106,$AF43),1),IF($AG43&gt;0,INDEX(CP$7:CP$106,$AG43),1),IF($AH43&gt;0,INDEX(CP$7:CP$106,$AH43),1),IF($AI43&gt;0,INDEX(CP$7:CP$106,$AI43),1),IF($AJ43&gt;0,INDEX(CP$7:CP$106,$AJ43),1))))</ns0:f>
        <ns0:v>1</ns0:v>
      </ns0:c>
      <ns0:c r="CR43" t="n">
        <ns0:f>IF($A43="",1,IF(CQ43=1,1,--AND(IF($AC43&gt;0,INDEX(CQ$7:CQ$106,$AC43),1),IF($AD43&gt;0,INDEX(CQ$7:CQ$106,$AD43),1),IF($AE43&gt;0,INDEX(CQ$7:CQ$106,$AE43),1),IF($AF43&gt;0,INDEX(CQ$7:CQ$106,$AF43),1),IF($AG43&gt;0,INDEX(CQ$7:CQ$106,$AG43),1),IF($AH43&gt;0,INDEX(CQ$7:CQ$106,$AH43),1),IF($AI43&gt;0,INDEX(CQ$7:CQ$106,$AI43),1),IF($AJ43&gt;0,INDEX(CQ$7:CQ$106,$AJ43),1))))</ns0:f>
        <ns0:v>1</ns0:v>
      </ns0:c>
      <ns0:c r="CS43" t="n">
        <ns0:f>IF($A43="",1,IF(CR43=1,1,--AND(IF($AC43&gt;0,INDEX(CR$7:CR$106,$AC43),1),IF($AD43&gt;0,INDEX(CR$7:CR$106,$AD43),1),IF($AE43&gt;0,INDEX(CR$7:CR$106,$AE43),1),IF($AF43&gt;0,INDEX(CR$7:CR$106,$AF43),1),IF($AG43&gt;0,INDEX(CR$7:CR$106,$AG43),1),IF($AH43&gt;0,INDEX(CR$7:CR$106,$AH43),1),IF($AI43&gt;0,INDEX(CR$7:CR$106,$AI43),1),IF($AJ43&gt;0,INDEX(CR$7:CR$106,$AJ43),1))))</ns0:f>
        <ns0:v>1</ns0:v>
      </ns0:c>
      <ns0:c r="CT43" t="n">
        <ns0:f>IF($A43="",1,IF(CS43=1,1,--AND(IF($AC43&gt;0,INDEX(CS$7:CS$106,$AC43),1),IF($AD43&gt;0,INDEX(CS$7:CS$106,$AD43),1),IF($AE43&gt;0,INDEX(CS$7:CS$106,$AE43),1),IF($AF43&gt;0,INDEX(CS$7:CS$106,$AF43),1),IF($AG43&gt;0,INDEX(CS$7:CS$106,$AG43),1),IF($AH43&gt;0,INDEX(CS$7:CS$106,$AH43),1),IF($AI43&gt;0,INDEX(CS$7:CS$106,$AI43),1),IF($AJ43&gt;0,INDEX(CS$7:CS$106,$AJ43),1))))</ns0:f>
        <ns0:v>1</ns0:v>
      </ns0:c>
      <ns0:c r="CU43" t="n">
        <ns0:f>IF($A43="",1,IF(CT43=1,1,--AND(IF($AC43&gt;0,INDEX(CT$7:CT$106,$AC43),1),IF($AD43&gt;0,INDEX(CT$7:CT$106,$AD43),1),IF($AE43&gt;0,INDEX(CT$7:CT$106,$AE43),1),IF($AF43&gt;0,INDEX(CT$7:CT$106,$AF43),1),IF($AG43&gt;0,INDEX(CT$7:CT$106,$AG43),1),IF($AH43&gt;0,INDEX(CT$7:CT$106,$AH43),1),IF($AI43&gt;0,INDEX(CT$7:CT$106,$AI43),1),IF($AJ43&gt;0,INDEX(CT$7:CT$106,$AJ43),1))))</ns0:f>
        <ns0:v>1</ns0:v>
      </ns0:c>
      <ns0:c r="CV43" t="n">
        <ns0:f>IF($A43="",1,IF(CU43=1,1,--AND(IF($AC43&gt;0,INDEX(CU$7:CU$106,$AC43),1),IF($AD43&gt;0,INDEX(CU$7:CU$106,$AD43),1),IF($AE43&gt;0,INDEX(CU$7:CU$106,$AE43),1),IF($AF43&gt;0,INDEX(CU$7:CU$106,$AF43),1),IF($AG43&gt;0,INDEX(CU$7:CU$106,$AG43),1),IF($AH43&gt;0,INDEX(CU$7:CU$106,$AH43),1),IF($AI43&gt;0,INDEX(CU$7:CU$106,$AI43),1),IF($AJ43&gt;0,INDEX(CU$7:CU$106,$AJ43),1))))</ns0:f>
        <ns0:v>1</ns0:v>
      </ns0:c>
      <ns0:c r="CW43" t="n">
        <ns0:f>IF($A43="",1,IF(CV43=1,1,--AND(IF($AC43&gt;0,INDEX(CV$7:CV$106,$AC43),1),IF($AD43&gt;0,INDEX(CV$7:CV$106,$AD43),1),IF($AE43&gt;0,INDEX(CV$7:CV$106,$AE43),1),IF($AF43&gt;0,INDEX(CV$7:CV$106,$AF43),1),IF($AG43&gt;0,INDEX(CV$7:CV$106,$AG43),1),IF($AH43&gt;0,INDEX(CV$7:CV$106,$AH43),1),IF($AI43&gt;0,INDEX(CV$7:CV$106,$AI43),1),IF($AJ43&gt;0,INDEX(CV$7:CV$106,$AJ43),1))))</ns0:f>
        <ns0:v>1</ns0:v>
      </ns0:c>
      <ns0:c r="CX43" t="n">
        <ns0:f>IF($A43="",1,IF(CW43=1,1,--AND(IF($AC43&gt;0,INDEX(CW$7:CW$106,$AC43),1),IF($AD43&gt;0,INDEX(CW$7:CW$106,$AD43),1),IF($AE43&gt;0,INDEX(CW$7:CW$106,$AE43),1),IF($AF43&gt;0,INDEX(CW$7:CW$106,$AF43),1),IF($AG43&gt;0,INDEX(CW$7:CW$106,$AG43),1),IF($AH43&gt;0,INDEX(CW$7:CW$106,$AH43),1),IF($AI43&gt;0,INDEX(CW$7:CW$106,$AI43),1),IF($AJ43&gt;0,INDEX(CW$7:CW$106,$AJ43),1))))</ns0:f>
        <ns0:v>1</ns0:v>
      </ns0:c>
      <ns0:c r="CY43" t="n">
        <ns0:f>IF($A43="",1,IF(CX43=1,1,--AND(IF($AC43&gt;0,INDEX(CX$7:CX$106,$AC43),1),IF($AD43&gt;0,INDEX(CX$7:CX$106,$AD43),1),IF($AE43&gt;0,INDEX(CX$7:CX$106,$AE43),1),IF($AF43&gt;0,INDEX(CX$7:CX$106,$AF43),1),IF($AG43&gt;0,INDEX(CX$7:CX$106,$AG43),1),IF($AH43&gt;0,INDEX(CX$7:CX$106,$AH43),1),IF($AI43&gt;0,INDEX(CX$7:CX$106,$AI43),1),IF($AJ43&gt;0,INDEX(CX$7:CX$106,$AJ43),1))))</ns0:f>
        <ns0:v>1</ns0:v>
      </ns0:c>
      <ns0:c r="CZ43" t="n">
        <ns0:f>IF($A43="",1,IF(CY43=1,1,--AND(IF($AC43&gt;0,INDEX(CY$7:CY$106,$AC43),1),IF($AD43&gt;0,INDEX(CY$7:CY$106,$AD43),1),IF($AE43&gt;0,INDEX(CY$7:CY$106,$AE43),1),IF($AF43&gt;0,INDEX(CY$7:CY$106,$AF43),1),IF($AG43&gt;0,INDEX(CY$7:CY$106,$AG43),1),IF($AH43&gt;0,INDEX(CY$7:CY$106,$AH43),1),IF($AI43&gt;0,INDEX(CY$7:CY$106,$AI43),1),IF($AJ43&gt;0,INDEX(CY$7:CY$106,$AJ43),1))))</ns0:f>
        <ns0:v>1</ns0:v>
      </ns0:c>
      <ns0:c r="DA43" t="n">
        <ns0:f>IF($A43="",1,IF(CZ43=1,1,--AND(IF($AC43&gt;0,INDEX(CZ$7:CZ$106,$AC43),1),IF($AD43&gt;0,INDEX(CZ$7:CZ$106,$AD43),1),IF($AE43&gt;0,INDEX(CZ$7:CZ$106,$AE43),1),IF($AF43&gt;0,INDEX(CZ$7:CZ$106,$AF43),1),IF($AG43&gt;0,INDEX(CZ$7:CZ$106,$AG43),1),IF($AH43&gt;0,INDEX(CZ$7:CZ$106,$AH43),1),IF($AI43&gt;0,INDEX(CZ$7:CZ$106,$AI43),1),IF($AJ43&gt;0,INDEX(CZ$7:CZ$106,$AJ43),1))))</ns0:f>
        <ns0:v>1</ns0:v>
      </ns0:c>
      <ns0:c r="DB43" t="n">
        <ns0:f>IF($A43="",1,IF(DA43=1,1,--AND(IF($AC43&gt;0,INDEX(DA$7:DA$106,$AC43),1),IF($AD43&gt;0,INDEX(DA$7:DA$106,$AD43),1),IF($AE43&gt;0,INDEX(DA$7:DA$106,$AE43),1),IF($AF43&gt;0,INDEX(DA$7:DA$106,$AF43),1),IF($AG43&gt;0,INDEX(DA$7:DA$106,$AG43),1),IF($AH43&gt;0,INDEX(DA$7:DA$106,$AH43),1),IF($AI43&gt;0,INDEX(DA$7:DA$106,$AI43),1),IF($AJ43&gt;0,INDEX(DA$7:DA$106,$AJ43),1))))</ns0:f>
        <ns0:v>1</ns0:v>
      </ns0:c>
      <ns0:c r="DC43" t="n">
        <ns0:f>IF($A43="",1,IF(DB43=1,1,--AND(IF($AC43&gt;0,INDEX(DB$7:DB$106,$AC43),1),IF($AD43&gt;0,INDEX(DB$7:DB$106,$AD43),1),IF($AE43&gt;0,INDEX(DB$7:DB$106,$AE43),1),IF($AF43&gt;0,INDEX(DB$7:DB$106,$AF43),1),IF($AG43&gt;0,INDEX(DB$7:DB$106,$AG43),1),IF($AH43&gt;0,INDEX(DB$7:DB$106,$AH43),1),IF($AI43&gt;0,INDEX(DB$7:DB$106,$AI43),1),IF($AJ43&gt;0,INDEX(DB$7:DB$106,$AJ43),1))))</ns0:f>
        <ns0:v>1</ns0:v>
      </ns0:c>
      <ns0:c r="DD43" t="n">
        <ns0:f>IF($A43="",1,IF(DC43=1,1,--AND(IF($AC43&gt;0,INDEX(DC$7:DC$106,$AC43),1),IF($AD43&gt;0,INDEX(DC$7:DC$106,$AD43),1),IF($AE43&gt;0,INDEX(DC$7:DC$106,$AE43),1),IF($AF43&gt;0,INDEX(DC$7:DC$106,$AF43),1),IF($AG43&gt;0,INDEX(DC$7:DC$106,$AG43),1),IF($AH43&gt;0,INDEX(DC$7:DC$106,$AH43),1),IF($AI43&gt;0,INDEX(DC$7:DC$106,$AI43),1),IF($AJ43&gt;0,INDEX(DC$7:DC$106,$AJ43),1))))</ns0:f>
        <ns0:v>1</ns0:v>
      </ns0:c>
      <ns0:c r="DE43" t="n">
        <ns0:f>IF($A43="",1,IF(DD43=1,1,--AND(IF($AC43&gt;0,INDEX(DD$7:DD$106,$AC43),1),IF($AD43&gt;0,INDEX(DD$7:DD$106,$AD43),1),IF($AE43&gt;0,INDEX(DD$7:DD$106,$AE43),1),IF($AF43&gt;0,INDEX(DD$7:DD$106,$AF43),1),IF($AG43&gt;0,INDEX(DD$7:DD$106,$AG43),1),IF($AH43&gt;0,INDEX(DD$7:DD$106,$AH43),1),IF($AI43&gt;0,INDEX(DD$7:DD$106,$AI43),1),IF($AJ43&gt;0,INDEX(DD$7:DD$106,$AJ43),1))))</ns0:f>
        <ns0:v>1</ns0:v>
      </ns0:c>
      <ns0:c r="DF43" t="n">
        <ns0:f>IF($A43="",1,IF(DE43=1,1,--AND(IF($AC43&gt;0,INDEX(DE$7:DE$106,$AC43),1),IF($AD43&gt;0,INDEX(DE$7:DE$106,$AD43),1),IF($AE43&gt;0,INDEX(DE$7:DE$106,$AE43),1),IF($AF43&gt;0,INDEX(DE$7:DE$106,$AF43),1),IF($AG43&gt;0,INDEX(DE$7:DE$106,$AG43),1),IF($AH43&gt;0,INDEX(DE$7:DE$106,$AH43),1),IF($AI43&gt;0,INDEX(DE$7:DE$106,$AI43),1),IF($AJ43&gt;0,INDEX(DE$7:DE$106,$AJ43),1))))</ns0:f>
        <ns0:v>1</ns0:v>
      </ns0:c>
      <ns0:c r="DG43" t="n">
        <ns0:f>IF($A43="",1,IF(DF43=1,1,--AND(IF($AC43&gt;0,INDEX(DF$7:DF$106,$AC43),1),IF($AD43&gt;0,INDEX(DF$7:DF$106,$AD43),1),IF($AE43&gt;0,INDEX(DF$7:DF$106,$AE43),1),IF($AF43&gt;0,INDEX(DF$7:DF$106,$AF43),1),IF($AG43&gt;0,INDEX(DF$7:DF$106,$AG43),1),IF($AH43&gt;0,INDEX(DF$7:DF$106,$AH43),1),IF($AI43&gt;0,INDEX(DF$7:DF$106,$AI43),1),IF($AJ43&gt;0,INDEX(DF$7:DF$106,$AJ43),1))))</ns0:f>
        <ns0:v>1</ns0:v>
      </ns0:c>
      <ns0:c r="DH43" t="n">
        <ns0:f>IF($A43="",1,IF(DG43=1,1,--AND(IF($AC43&gt;0,INDEX(DG$7:DG$106,$AC43),1),IF($AD43&gt;0,INDEX(DG$7:DG$106,$AD43),1),IF($AE43&gt;0,INDEX(DG$7:DG$106,$AE43),1),IF($AF43&gt;0,INDEX(DG$7:DG$106,$AF43),1),IF($AG43&gt;0,INDEX(DG$7:DG$106,$AG43),1),IF($AH43&gt;0,INDEX(DG$7:DG$106,$AH43),1),IF($AI43&gt;0,INDEX(DG$7:DG$106,$AI43),1),IF($AJ43&gt;0,INDEX(DG$7:DG$106,$AJ43),1))))</ns0:f>
        <ns0:v>1</ns0:v>
      </ns0:c>
      <ns0:c r="DI43" t="n">
        <ns0:f>IF($A43="",1,IF(DH43=1,1,--AND(IF($AC43&gt;0,INDEX(DH$7:DH$106,$AC43),1),IF($AD43&gt;0,INDEX(DH$7:DH$106,$AD43),1),IF($AE43&gt;0,INDEX(DH$7:DH$106,$AE43),1),IF($AF43&gt;0,INDEX(DH$7:DH$106,$AF43),1),IF($AG43&gt;0,INDEX(DH$7:DH$106,$AG43),1),IF($AH43&gt;0,INDEX(DH$7:DH$106,$AH43),1),IF($AI43&gt;0,INDEX(DH$7:DH$106,$AI43),1),IF($AJ43&gt;0,INDEX(DH$7:DH$106,$AJ43),1))))</ns0:f>
        <ns0:v>1</ns0:v>
      </ns0:c>
      <ns0:c r="DJ43" t="n">
        <ns0:f>IF($A43="",1,IF(DI43=1,1,--AND(IF($AC43&gt;0,INDEX(DI$7:DI$106,$AC43),1),IF($AD43&gt;0,INDEX(DI$7:DI$106,$AD43),1),IF($AE43&gt;0,INDEX(DI$7:DI$106,$AE43),1),IF($AF43&gt;0,INDEX(DI$7:DI$106,$AF43),1),IF($AG43&gt;0,INDEX(DI$7:DI$106,$AG43),1),IF($AH43&gt;0,INDEX(DI$7:DI$106,$AH43),1),IF($AI43&gt;0,INDEX(DI$7:DI$106,$AI43),1),IF($AJ43&gt;0,INDEX(DI$7:DI$106,$AJ43),1))))</ns0:f>
        <ns0:v>1</ns0:v>
      </ns0:c>
      <ns0:c r="DK43" t="n">
        <ns0:f>IF($A43="",1,IF(DJ43=1,1,--AND(IF($AC43&gt;0,INDEX(DJ$7:DJ$106,$AC43),1),IF($AD43&gt;0,INDEX(DJ$7:DJ$106,$AD43),1),IF($AE43&gt;0,INDEX(DJ$7:DJ$106,$AE43),1),IF($AF43&gt;0,INDEX(DJ$7:DJ$106,$AF43),1),IF($AG43&gt;0,INDEX(DJ$7:DJ$106,$AG43),1),IF($AH43&gt;0,INDEX(DJ$7:DJ$106,$AH43),1),IF($AI43&gt;0,INDEX(DJ$7:DJ$106,$AI43),1),IF($AJ43&gt;0,INDEX(DJ$7:DJ$106,$AJ43),1))))</ns0:f>
        <ns0:v>1</ns0:v>
      </ns0:c>
      <ns0:c r="DL43" t="n">
        <ns0:f>IF($A43="",1,IF(DK43=1,1,--AND(IF($AC43&gt;0,INDEX(DK$7:DK$106,$AC43),1),IF($AD43&gt;0,INDEX(DK$7:DK$106,$AD43),1),IF($AE43&gt;0,INDEX(DK$7:DK$106,$AE43),1),IF($AF43&gt;0,INDEX(DK$7:DK$106,$AF43),1),IF($AG43&gt;0,INDEX(DK$7:DK$106,$AG43),1),IF($AH43&gt;0,INDEX(DK$7:DK$106,$AH43),1),IF($AI43&gt;0,INDEX(DK$7:DK$106,$AI43),1),IF($AJ43&gt;0,INDEX(DK$7:DK$106,$AJ43),1))))</ns0:f>
        <ns0:v>1</ns0:v>
      </ns0:c>
      <ns0:c r="DM43" t="n">
        <ns0:f>IF($A43="",1,IF(DL43=1,1,--AND(IF($AC43&gt;0,INDEX(DL$7:DL$106,$AC43),1),IF($AD43&gt;0,INDEX(DL$7:DL$106,$AD43),1),IF($AE43&gt;0,INDEX(DL$7:DL$106,$AE43),1),IF($AF43&gt;0,INDEX(DL$7:DL$106,$AF43),1),IF($AG43&gt;0,INDEX(DL$7:DL$106,$AG43),1),IF($AH43&gt;0,INDEX(DL$7:DL$106,$AH43),1),IF($AI43&gt;0,INDEX(DL$7:DL$106,$AI43),1),IF($AJ43&gt;0,INDEX(DL$7:DL$106,$AJ43),1))))</ns0:f>
        <ns0:v>1</ns0:v>
      </ns0:c>
      <ns0:c r="DN43" t="n">
        <ns0:f>IF($A43="",1,IF(DM43=1,1,--AND(IF($AC43&gt;0,INDEX(DM$7:DM$106,$AC43),1),IF($AD43&gt;0,INDEX(DM$7:DM$106,$AD43),1),IF($AE43&gt;0,INDEX(DM$7:DM$106,$AE43),1),IF($AF43&gt;0,INDEX(DM$7:DM$106,$AF43),1),IF($AG43&gt;0,INDEX(DM$7:DM$106,$AG43),1),IF($AH43&gt;0,INDEX(DM$7:DM$106,$AH43),1),IF($AI43&gt;0,INDEX(DM$7:DM$106,$AI43),1),IF($AJ43&gt;0,INDEX(DM$7:DM$106,$AJ43),1))))</ns0:f>
        <ns0:v>1</ns0:v>
      </ns0:c>
      <ns0:c r="DO43" t="n">
        <ns0:f>IF($A43="",1,IF(DN43=1,1,--AND(IF($AC43&gt;0,INDEX(DN$7:DN$106,$AC43),1),IF($AD43&gt;0,INDEX(DN$7:DN$106,$AD43),1),IF($AE43&gt;0,INDEX(DN$7:DN$106,$AE43),1),IF($AF43&gt;0,INDEX(DN$7:DN$106,$AF43),1),IF($AG43&gt;0,INDEX(DN$7:DN$106,$AG43),1),IF($AH43&gt;0,INDEX(DN$7:DN$106,$AH43),1),IF($AI43&gt;0,INDEX(DN$7:DN$106,$AI43),1),IF($AJ43&gt;0,INDEX(DN$7:DN$106,$AJ43),1))))</ns0:f>
        <ns0:v>1</ns0:v>
      </ns0:c>
      <ns0:c r="DP43" t="n">
        <ns0:f>IF($A43="",1,IF(DO43=1,1,--AND(IF($AC43&gt;0,INDEX(DO$7:DO$106,$AC43),1),IF($AD43&gt;0,INDEX(DO$7:DO$106,$AD43),1),IF($AE43&gt;0,INDEX(DO$7:DO$106,$AE43),1),IF($AF43&gt;0,INDEX(DO$7:DO$106,$AF43),1),IF($AG43&gt;0,INDEX(DO$7:DO$106,$AG43),1),IF($AH43&gt;0,INDEX(DO$7:DO$106,$AH43),1),IF($AI43&gt;0,INDEX(DO$7:DO$106,$AI43),1),IF($AJ43&gt;0,INDEX(DO$7:DO$106,$AJ43),1))))</ns0:f>
        <ns0:v>1</ns0:v>
      </ns0:c>
      <ns0:c r="DQ43" t="n">
        <ns0:f>IF($A43="",1,IF(DP43=1,1,--AND(IF($AC43&gt;0,INDEX(DP$7:DP$106,$AC43),1),IF($AD43&gt;0,INDEX(DP$7:DP$106,$AD43),1),IF($AE43&gt;0,INDEX(DP$7:DP$106,$AE43),1),IF($AF43&gt;0,INDEX(DP$7:DP$106,$AF43),1),IF($AG43&gt;0,INDEX(DP$7:DP$106,$AG43),1),IF($AH43&gt;0,INDEX(DP$7:DP$106,$AH43),1),IF($AI43&gt;0,INDEX(DP$7:DP$106,$AI43),1),IF($AJ43&gt;0,INDEX(DP$7:DP$106,$AJ43),1))))</ns0:f>
        <ns0:v>1</ns0:v>
      </ns0:c>
      <ns0:c r="DR43" t="n">
        <ns0:f>IF($A43="",1,IF(DQ43=1,1,--AND(IF($AC43&gt;0,INDEX(DQ$7:DQ$106,$AC43),1),IF($AD43&gt;0,INDEX(DQ$7:DQ$106,$AD43),1),IF($AE43&gt;0,INDEX(DQ$7:DQ$106,$AE43),1),IF($AF43&gt;0,INDEX(DQ$7:DQ$106,$AF43),1),IF($AG43&gt;0,INDEX(DQ$7:DQ$106,$AG43),1),IF($AH43&gt;0,INDEX(DQ$7:DQ$106,$AH43),1),IF($AI43&gt;0,INDEX(DQ$7:DQ$106,$AI43),1),IF($AJ43&gt;0,INDEX(DQ$7:DQ$106,$AJ43),1))))</ns0:f>
        <ns0:v>1</ns0:v>
      </ns0:c>
      <ns0:c r="DS43" t="n">
        <ns0:f>IF($A43="",1,IF(DR43=1,1,--AND(IF($AC43&gt;0,INDEX(DR$7:DR$106,$AC43),1),IF($AD43&gt;0,INDEX(DR$7:DR$106,$AD43),1),IF($AE43&gt;0,INDEX(DR$7:DR$106,$AE43),1),IF($AF43&gt;0,INDEX(DR$7:DR$106,$AF43),1),IF($AG43&gt;0,INDEX(DR$7:DR$106,$AG43),1),IF($AH43&gt;0,INDEX(DR$7:DR$106,$AH43),1),IF($AI43&gt;0,INDEX(DR$7:DR$106,$AI43),1),IF($AJ43&gt;0,INDEX(DR$7:DR$106,$AJ43),1))))</ns0:f>
        <ns0:v>1</ns0:v>
      </ns0:c>
      <ns0:c r="DT43" t="n">
        <ns0:f>IF($A43="",1,IF(DS43=1,1,--AND(IF($AC43&gt;0,INDEX(DS$7:DS$106,$AC43),1),IF($AD43&gt;0,INDEX(DS$7:DS$106,$AD43),1),IF($AE43&gt;0,INDEX(DS$7:DS$106,$AE43),1),IF($AF43&gt;0,INDEX(DS$7:DS$106,$AF43),1),IF($AG43&gt;0,INDEX(DS$7:DS$106,$AG43),1),IF($AH43&gt;0,INDEX(DS$7:DS$106,$AH43),1),IF($AI43&gt;0,INDEX(DS$7:DS$106,$AI43),1),IF($AJ43&gt;0,INDEX(DS$7:DS$106,$AJ43),1))))</ns0:f>
        <ns0:v>1</ns0:v>
      </ns0:c>
      <ns0:c r="DU43" t="n">
        <ns0:f>IF($A43="",1,IF(DT43=1,1,--AND(IF($AC43&gt;0,INDEX(DT$7:DT$106,$AC43),1),IF($AD43&gt;0,INDEX(DT$7:DT$106,$AD43),1),IF($AE43&gt;0,INDEX(DT$7:DT$106,$AE43),1),IF($AF43&gt;0,INDEX(DT$7:DT$106,$AF43),1),IF($AG43&gt;0,INDEX(DT$7:DT$106,$AG43),1),IF($AH43&gt;0,INDEX(DT$7:DT$106,$AH43),1),IF($AI43&gt;0,INDEX(DT$7:DT$106,$AI43),1),IF($AJ43&gt;0,INDEX(DT$7:DT$106,$AJ43),1))))</ns0:f>
        <ns0:v>1</ns0:v>
      </ns0:c>
      <ns0:c r="DV43" t="n">
        <ns0:f>IF($A43="",1,IF(DU43=1,1,--AND(IF($AC43&gt;0,INDEX(DU$7:DU$106,$AC43),1),IF($AD43&gt;0,INDEX(DU$7:DU$106,$AD43),1),IF($AE43&gt;0,INDEX(DU$7:DU$106,$AE43),1),IF($AF43&gt;0,INDEX(DU$7:DU$106,$AF43),1),IF($AG43&gt;0,INDEX(DU$7:DU$106,$AG43),1),IF($AH43&gt;0,INDEX(DU$7:DU$106,$AH43),1),IF($AI43&gt;0,INDEX(DU$7:DU$106,$AI43),1),IF($AJ43&gt;0,INDEX(DU$7:DU$106,$AJ43),1))))</ns0:f>
        <ns0:v>1</ns0:v>
      </ns0:c>
      <ns0:c r="DW43" t="n">
        <ns0:f>IF($A43="",1,IF(DV43=1,1,--AND(IF($AC43&gt;0,INDEX(DV$7:DV$106,$AC43),1),IF($AD43&gt;0,INDEX(DV$7:DV$106,$AD43),1),IF($AE43&gt;0,INDEX(DV$7:DV$106,$AE43),1),IF($AF43&gt;0,INDEX(DV$7:DV$106,$AF43),1),IF($AG43&gt;0,INDEX(DV$7:DV$106,$AG43),1),IF($AH43&gt;0,INDEX(DV$7:DV$106,$AH43),1),IF($AI43&gt;0,INDEX(DV$7:DV$106,$AI43),1),IF($AJ43&gt;0,INDEX(DV$7:DV$106,$AJ43),1))))</ns0:f>
        <ns0:v>1</ns0:v>
      </ns0:c>
      <ns0:c r="DX43" t="n">
        <ns0:f>IF($A43="",1,IF(DW43=1,1,--AND(IF($AC43&gt;0,INDEX(DW$7:DW$106,$AC43),1),IF($AD43&gt;0,INDEX(DW$7:DW$106,$AD43),1),IF($AE43&gt;0,INDEX(DW$7:DW$106,$AE43),1),IF($AF43&gt;0,INDEX(DW$7:DW$106,$AF43),1),IF($AG43&gt;0,INDEX(DW$7:DW$106,$AG43),1),IF($AH43&gt;0,INDEX(DW$7:DW$106,$AH43),1),IF($AI43&gt;0,INDEX(DW$7:DW$106,$AI43),1),IF($AJ43&gt;0,INDEX(DW$7:DW$106,$AJ43),1))))</ns0:f>
        <ns0:v>1</ns0:v>
      </ns0:c>
      <ns0:c r="DY43" t="n">
        <ns0:f>IF($A43="",1,IF(DX43=1,1,--AND(IF($AC43&gt;0,INDEX(DX$7:DX$106,$AC43),1),IF($AD43&gt;0,INDEX(DX$7:DX$106,$AD43),1),IF($AE43&gt;0,INDEX(DX$7:DX$106,$AE43),1),IF($AF43&gt;0,INDEX(DX$7:DX$106,$AF43),1),IF($AG43&gt;0,INDEX(DX$7:DX$106,$AG43),1),IF($AH43&gt;0,INDEX(DX$7:DX$106,$AH43),1),IF($AI43&gt;0,INDEX(DX$7:DX$106,$AI43),1),IF($AJ43&gt;0,INDEX(DX$7:DX$106,$AJ43),1))))</ns0:f>
        <ns0:v>1</ns0:v>
      </ns0:c>
      <ns0:c r="DZ43" t="n">
        <ns0:f>IF($A43="",1,IF(DY43=1,1,--AND(IF($AC43&gt;0,INDEX(DY$7:DY$106,$AC43),1),IF($AD43&gt;0,INDEX(DY$7:DY$106,$AD43),1),IF($AE43&gt;0,INDEX(DY$7:DY$106,$AE43),1),IF($AF43&gt;0,INDEX(DY$7:DY$106,$AF43),1),IF($AG43&gt;0,INDEX(DY$7:DY$106,$AG43),1),IF($AH43&gt;0,INDEX(DY$7:DY$106,$AH43),1),IF($AI43&gt;0,INDEX(DY$7:DY$106,$AI43),1),IF($AJ43&gt;0,INDEX(DY$7:DY$106,$AJ43),1))))</ns0:f>
        <ns0:v>1</ns0:v>
      </ns0:c>
      <ns0:c r="EA43" t="n">
        <ns0:f>IF($A43="",1,IF(DZ43=1,1,--AND(IF($AC43&gt;0,INDEX(DZ$7:DZ$106,$AC43),1),IF($AD43&gt;0,INDEX(DZ$7:DZ$106,$AD43),1),IF($AE43&gt;0,INDEX(DZ$7:DZ$106,$AE43),1),IF($AF43&gt;0,INDEX(DZ$7:DZ$106,$AF43),1),IF($AG43&gt;0,INDEX(DZ$7:DZ$106,$AG43),1),IF($AH43&gt;0,INDEX(DZ$7:DZ$106,$AH43),1),IF($AI43&gt;0,INDEX(DZ$7:DZ$106,$AI43),1),IF($AJ43&gt;0,INDEX(DZ$7:DZ$106,$AJ43),1))))</ns0:f>
        <ns0:v>1</ns0:v>
      </ns0:c>
      <ns0:c r="EB43" t="n">
        <ns0:f>IF($A43="",1,IF(EA43=1,1,--AND(IF($AC43&gt;0,INDEX(EA$7:EA$106,$AC43),1),IF($AD43&gt;0,INDEX(EA$7:EA$106,$AD43),1),IF($AE43&gt;0,INDEX(EA$7:EA$106,$AE43),1),IF($AF43&gt;0,INDEX(EA$7:EA$106,$AF43),1),IF($AG43&gt;0,INDEX(EA$7:EA$106,$AG43),1),IF($AH43&gt;0,INDEX(EA$7:EA$106,$AH43),1),IF($AI43&gt;0,INDEX(EA$7:EA$106,$AI43),1),IF($AJ43&gt;0,INDEX(EA$7:EA$106,$AJ43),1))))</ns0:f>
        <ns0:v>1</ns0:v>
      </ns0:c>
      <ns0:c r="EC43" t="n">
        <ns0:f>IF($A43="",1,IF(EB43=1,1,--AND(IF($AC43&gt;0,INDEX(EB$7:EB$106,$AC43),1),IF($AD43&gt;0,INDEX(EB$7:EB$106,$AD43),1),IF($AE43&gt;0,INDEX(EB$7:EB$106,$AE43),1),IF($AF43&gt;0,INDEX(EB$7:EB$106,$AF43),1),IF($AG43&gt;0,INDEX(EB$7:EB$106,$AG43),1),IF($AH43&gt;0,INDEX(EB$7:EB$106,$AH43),1),IF($AI43&gt;0,INDEX(EB$7:EB$106,$AI43),1),IF($AJ43&gt;0,INDEX(EB$7:EB$106,$AJ43),1))))</ns0:f>
        <ns0:v>1</ns0:v>
      </ns0:c>
      <ns0:c r="ED43" t="n">
        <ns0:f>IF($A43="",1,IF(EC43=1,1,--AND(IF($AC43&gt;0,INDEX(EC$7:EC$106,$AC43),1),IF($AD43&gt;0,INDEX(EC$7:EC$106,$AD43),1),IF($AE43&gt;0,INDEX(EC$7:EC$106,$AE43),1),IF($AF43&gt;0,INDEX(EC$7:EC$106,$AF43),1),IF($AG43&gt;0,INDEX(EC$7:EC$106,$AG43),1),IF($AH43&gt;0,INDEX(EC$7:EC$106,$AH43),1),IF($AI43&gt;0,INDEX(EC$7:EC$106,$AI43),1),IF($AJ43&gt;0,INDEX(EC$7:EC$106,$AJ43),1))))</ns0:f>
        <ns0:v>1</ns0:v>
      </ns0:c>
      <ns0:c r="EE43" t="n">
        <ns0:f>IF($A43="",1,IF(ED43=1,1,--AND(IF($AC43&gt;0,INDEX(ED$7:ED$106,$AC43),1),IF($AD43&gt;0,INDEX(ED$7:ED$106,$AD43),1),IF($AE43&gt;0,INDEX(ED$7:ED$106,$AE43),1),IF($AF43&gt;0,INDEX(ED$7:ED$106,$AF43),1),IF($AG43&gt;0,INDEX(ED$7:ED$106,$AG43),1),IF($AH43&gt;0,INDEX(ED$7:ED$106,$AH43),1),IF($AI43&gt;0,INDEX(ED$7:ED$106,$AI43),1),IF($AJ43&gt;0,INDEX(ED$7:ED$106,$AJ43),1))))</ns0:f>
        <ns0:v>1</ns0:v>
      </ns0:c>
      <ns0:c r="EF43" t="n">
        <ns0:f>IF($A43="",1,IF(EE43=1,1,--AND(IF($AC43&gt;0,INDEX(EE$7:EE$106,$AC43),1),IF($AD43&gt;0,INDEX(EE$7:EE$106,$AD43),1),IF($AE43&gt;0,INDEX(EE$7:EE$106,$AE43),1),IF($AF43&gt;0,INDEX(EE$7:EE$106,$AF43),1),IF($AG43&gt;0,INDEX(EE$7:EE$106,$AG43),1),IF($AH43&gt;0,INDEX(EE$7:EE$106,$AH43),1),IF($AI43&gt;0,INDEX(EE$7:EE$106,$AI43),1),IF($AJ43&gt;0,INDEX(EE$7:EE$106,$AJ43),1))))</ns0:f>
        <ns0:v>1</ns0:v>
      </ns0:c>
      <ns0:c r="EG43" t="n">
        <ns0:f>IF($A43="",1,IF(EF43=1,1,--AND(IF($AC43&gt;0,INDEX(EF$7:EF$106,$AC43),1),IF($AD43&gt;0,INDEX(EF$7:EF$106,$AD43),1),IF($AE43&gt;0,INDEX(EF$7:EF$106,$AE43),1),IF($AF43&gt;0,INDEX(EF$7:EF$106,$AF43),1),IF($AG43&gt;0,INDEX(EF$7:EF$106,$AG43),1),IF($AH43&gt;0,INDEX(EF$7:EF$106,$AH43),1),IF($AI43&gt;0,INDEX(EF$7:EF$106,$AI43),1),IF($AJ43&gt;0,INDEX(EF$7:EF$106,$AJ43),1))))</ns0:f>
        <ns0:v>1</ns0:v>
      </ns0:c>
      <ns0:c r="EH43" t="n">
        <ns0:f>IF($A43="",1,IF(EG43=1,1,--AND(IF($AC43&gt;0,INDEX(EG$7:EG$106,$AC43),1),IF($AD43&gt;0,INDEX(EG$7:EG$106,$AD43),1),IF($AE43&gt;0,INDEX(EG$7:EG$106,$AE43),1),IF($AF43&gt;0,INDEX(EG$7:EG$106,$AF43),1),IF($AG43&gt;0,INDEX(EG$7:EG$106,$AG43),1),IF($AH43&gt;0,INDEX(EG$7:EG$106,$AH43),1),IF($AI43&gt;0,INDEX(EG$7:EG$106,$AI43),1),IF($AJ43&gt;0,INDEX(EG$7:EG$106,$AJ43),1))))</ns0:f>
        <ns0:v>1</ns0:v>
      </ns0:c>
      <ns0:c r="EI43" t="n">
        <ns0:f>IF($A43="",1,IF(EH43=1,1,--AND(IF($AC43&gt;0,INDEX(EH$7:EH$106,$AC43),1),IF($AD43&gt;0,INDEX(EH$7:EH$106,$AD43),1),IF($AE43&gt;0,INDEX(EH$7:EH$106,$AE43),1),IF($AF43&gt;0,INDEX(EH$7:EH$106,$AF43),1),IF($AG43&gt;0,INDEX(EH$7:EH$106,$AG43),1),IF($AH43&gt;0,INDEX(EH$7:EH$106,$AH43),1),IF($AI43&gt;0,INDEX(EH$7:EH$106,$AI43),1),IF($AJ43&gt;0,INDEX(EH$7:EH$106,$AJ43),1))))</ns0:f>
        <ns0:v>1</ns0:v>
      </ns0:c>
      <ns0:c r="EJ43" t="n">
        <ns0:f>IF($A43="",1,IF(EI43=1,1,--AND(IF($AC43&gt;0,INDEX(EI$7:EI$106,$AC43),1),IF($AD43&gt;0,INDEX(EI$7:EI$106,$AD43),1),IF($AE43&gt;0,INDEX(EI$7:EI$106,$AE43),1),IF($AF43&gt;0,INDEX(EI$7:EI$106,$AF43),1),IF($AG43&gt;0,INDEX(EI$7:EI$106,$AG43),1),IF($AH43&gt;0,INDEX(EI$7:EI$106,$AH43),1),IF($AI43&gt;0,INDEX(EI$7:EI$106,$AI43),1),IF($AJ43&gt;0,INDEX(EI$7:EI$106,$AJ43),1))))</ns0:f>
        <ns0:v>1</ns0:v>
      </ns0:c>
      <ns0:c r="EK43" t="n">
        <ns0:f>IF($A43="",1,IF(EJ43=1,1,--AND(IF($AC43&gt;0,INDEX(EJ$7:EJ$106,$AC43),1),IF($AD43&gt;0,INDEX(EJ$7:EJ$106,$AD43),1),IF($AE43&gt;0,INDEX(EJ$7:EJ$106,$AE43),1),IF($AF43&gt;0,INDEX(EJ$7:EJ$106,$AF43),1),IF($AG43&gt;0,INDEX(EJ$7:EJ$106,$AG43),1),IF($AH43&gt;0,INDEX(EJ$7:EJ$106,$AH43),1),IF($AI43&gt;0,INDEX(EJ$7:EJ$106,$AI43),1),IF($AJ43&gt;0,INDEX(EJ$7:EJ$106,$AJ43),1))))</ns0:f>
        <ns0:v>1</ns0:v>
      </ns0:c>
      <ns0:c r="EL43" t="n">
        <ns0:f>IF($A43="",1,IF(EK43=1,1,--AND(IF($AC43&gt;0,INDEX(EK$7:EK$106,$AC43),1),IF($AD43&gt;0,INDEX(EK$7:EK$106,$AD43),1),IF($AE43&gt;0,INDEX(EK$7:EK$106,$AE43),1),IF($AF43&gt;0,INDEX(EK$7:EK$106,$AF43),1),IF($AG43&gt;0,INDEX(EK$7:EK$106,$AG43),1),IF($AH43&gt;0,INDEX(EK$7:EK$106,$AH43),1),IF($AI43&gt;0,INDEX(EK$7:EK$106,$AI43),1),IF($AJ43&gt;0,INDEX(EK$7:EK$106,$AJ43),1))))</ns0:f>
        <ns0:v>1</ns0:v>
      </ns0:c>
      <ns0:c r="EM43" t="n">
        <ns0:f>IF($A43="",1,IF(EL43=1,1,--AND(IF($AC43&gt;0,INDEX(EL$7:EL$106,$AC43),1),IF($AD43&gt;0,INDEX(EL$7:EL$106,$AD43),1),IF($AE43&gt;0,INDEX(EL$7:EL$106,$AE43),1),IF($AF43&gt;0,INDEX(EL$7:EL$106,$AF43),1),IF($AG43&gt;0,INDEX(EL$7:EL$106,$AG43),1),IF($AH43&gt;0,INDEX(EL$7:EL$106,$AH43),1),IF($AI43&gt;0,INDEX(EL$7:EL$106,$AI43),1),IF($AJ43&gt;0,INDEX(EL$7:EL$106,$AJ43),1))))</ns0:f>
        <ns0:v>1</ns0:v>
      </ns0:c>
      <ns0:c r="EN43" t="n">
        <ns0:f>IF($A43="",1,IF(EM43=1,1,--AND(IF($AC43&gt;0,INDEX(EM$7:EM$106,$AC43),1),IF($AD43&gt;0,INDEX(EM$7:EM$106,$AD43),1),IF($AE43&gt;0,INDEX(EM$7:EM$106,$AE43),1),IF($AF43&gt;0,INDEX(EM$7:EM$106,$AF43),1),IF($AG43&gt;0,INDEX(EM$7:EM$106,$AG43),1),IF($AH43&gt;0,INDEX(EM$7:EM$106,$AH43),1),IF($AI43&gt;0,INDEX(EM$7:EM$106,$AI43),1),IF($AJ43&gt;0,INDEX(EM$7:EM$106,$AJ43),1))))</ns0:f>
        <ns0:v>1</ns0:v>
      </ns0:c>
      <ns0:c r="EO43" t="n">
        <ns0:f>IF($A43="",1,IF(EN43=1,1,--AND(IF($AC43&gt;0,INDEX(EN$7:EN$106,$AC43),1),IF($AD43&gt;0,INDEX(EN$7:EN$106,$AD43),1),IF($AE43&gt;0,INDEX(EN$7:EN$106,$AE43),1),IF($AF43&gt;0,INDEX(EN$7:EN$106,$AF43),1),IF($AG43&gt;0,INDEX(EN$7:EN$106,$AG43),1),IF($AH43&gt;0,INDEX(EN$7:EN$106,$AH43),1),IF($AI43&gt;0,INDEX(EN$7:EN$106,$AI43),1),IF($AJ43&gt;0,INDEX(EN$7:EN$106,$AJ43),1))))</ns0:f>
        <ns0:v>1</ns0:v>
      </ns0:c>
      <ns0:c r="EP43" t="n">
        <ns0:f>IF($A43="",1,IF(EO43=1,1,--AND(IF($AC43&gt;0,INDEX(EO$7:EO$106,$AC43),1),IF($AD43&gt;0,INDEX(EO$7:EO$106,$AD43),1),IF($AE43&gt;0,INDEX(EO$7:EO$106,$AE43),1),IF($AF43&gt;0,INDEX(EO$7:EO$106,$AF43),1),IF($AG43&gt;0,INDEX(EO$7:EO$106,$AG43),1),IF($AH43&gt;0,INDEX(EO$7:EO$106,$AH43),1),IF($AI43&gt;0,INDEX(EO$7:EO$106,$AI43),1),IF($AJ43&gt;0,INDEX(EO$7:EO$106,$AJ43),1))))</ns0:f>
        <ns0:v>1</ns0:v>
      </ns0:c>
      <ns0:c r="EQ43" t="n">
        <ns0:f>IF(OR(A43="",NOT(ISNUMBER(G43))),0,G43*N43)</ns0:f>
        <ns0:v>0</ns0:v>
      </ns0:c>
    </ns0:row>
    <ns0:row r="44" ht="62" customHeight="1">
      <ns0:c r="A44" s="48" t="str">
        <ns0:v>T32</ns0:v>
      </ns0:c>
      <ns0:c r="B44" s="48" t="str">
        <ns0:v>Learning &amp; closeout</ns0:v>
      </ns0:c>
      <ns0:c r="C44" s="48" t="str">
        <ns0:v>Promote validated memory deltas into Institutional Memory and IE</ns0:v>
      </ns0:c>
      <ns0:c r="D44" s="48" t="str">
        <ns0:v>Promote validated memory deltas through IE and governed data access.</ns0:v>
      </ns0:c>
      <ns0:c r="E44" s="49" t="n">
        <ns0:v>46307</ns0:v>
      </ns0:c>
      <ns0:c r="F44" s="49" t="n">
        <ns0:v>46308</ns0:v>
      </ns0:c>
      <ns0:c r="G44" s="13" t="n">
        <ns0:f>IF(A44="","",IF(OR(NOT(ISNUMBER(E44)),NOT(ISNUMBER(F44)),F44&lt;E44),"",IF(J44="Yes",0,F44-E44+1)))</ns0:f>
        <ns0:v>2</ns0:v>
      </ns0:c>
      <ns0:c r="H44" s="48" t="str">
        <ns0:v>T31</ns0:v>
      </ns0:c>
      <ns0:c r="I44" s="48" t="str">
        <ns0:v>FS</ns0:v>
      </ns0:c>
      <ns0:c r="J44" s="48" t="str">
        <ns0:v>No</ns0:v>
      </ns0:c>
      <ns0:c r="K44" s="48" t="str">
        <ns0:v>Institutional Memory Store (MEM);Intelligence Engine (IE / Orchestrator);Learning &amp; Performance Engine (W_LEARN)</ns0:v>
      </ns0:c>
      <ns0:c r="L44" s="48" t="str"/>
      <ns0:c r="M44" s="50" t="str">
        <ns0:f>IF(A44="","",IF(N44=1,"Completed",IF(N44&gt;0,"In Progress","Not Started")))</ns0:f>
        <ns0:v>Not Started</ns0:v>
      </ns0:c>
      <ns0:c r="N44" s="51" t="n">
        <ns0:v>0</ns0:v>
      </ns0:c>
      <ns0:c r="O44" s="13" t="str">
        <ns0:f>IF(A44="","",IF(R44&lt;&gt;"","[CONFLICT] "&amp;R44,IF(S44&lt;&gt;"","[CONFLICT] "&amp;S44,IF(OR(NOT(ISNUMBER(N44)),N44&lt;0,N44&gt;1),"[CONFLICT] Invalid progress",IF(AK44&gt;0,"[DEPENDENCY ISSUE] Missing ID / &gt;8 links",IF(AM44&gt;0,"[DEPENDENCY ISSUE] Cycle or blocked by cycle",IF(AND(H44&lt;&gt;"",ISNA(MATCH(I44,{"FS","SS","FF","SF"},0))),"[DEPENDENCY ISSUE] Invalid type",IF(AL44&gt;0,"[DEPENDENCY ISSUE] Timing conflict",IF(OR(E44&lt;ProjectStart,F44&gt;ProjectEnd),"[OUTSIDE WINDOW]",IF(AND(N44&lt;1,F44&lt;AsOfDate),"Overdue",IF(AND(M44&lt;&gt;Q44,M44&lt;&gt;""),"[CONFLICT] Status / progress","On track")))))))))))</ns0:f>
        <ns0:v>On track</ns0:v>
      </ns0:c>
      <ns0:c r="P44" s="52" t="str">
        <ns0:v>Source: Project Plan Essentials (2).md §1, §2, §4. Original 2026-10-13 to 2026-10-14, 2d; original progress 0% [INFERRED]. [INFERRED] Rescheduled to fit 34d with FS. Original resource/tools: Learning Engine, Memory Store &amp; IE.</ns0:v>
      </ns0:c>
      <ns0:c r="Q44" t="str">
        <ns0:f>IF(A44="","",IF(OR(M44="On Hold",M44="Delayed"),M44,IF(N44=1,"Completed",IF(N44&gt;0,"In Progress","Not Started"))))</ns0:f>
        <ns0:v>Not Started</ns0:v>
      </ns0:c>
      <ns0:c r="R44" t="str">
        <ns0:f>IF(A44="","",IF(COUNTIFS(Tasks[Task ID],A44)&lt;&gt;1,"Duplicate ID",""))</ns0:f>
      </ns0:c>
      <ns0:c r="S44" t="str">
        <ns0:f>IF(A44="","",IF(OR(NOT(ISNUMBER(E44)),NOT(ISNUMBER(F44))),"Invalid / missing date",IF(OR(E44&lt;&gt;INT(E44),F44&lt;&gt;INT(F44),E44&lt;1,F44&gt;2958465),"Invalid date",IF(F44&lt;E44,"End before start",IF(AND(J44="Yes",E44&lt;&gt;F44),"Milestone needs one date","")))))</ns0:f>
      </ns0:c>
      <ns0:c r="T44" t="n">
        <ns0:f>IF(H44="",0,LEN(H44)-LEN(SUBSTITUTE(H44,",",""))+1)</ns0:f>
        <ns0:v>1</ns0:v>
      </ns0:c>
      <ns0:c r="U44" t="str">
        <ns0:f>TRIM(MID(SUBSTITUTE($H44,",",REPT(" ",100)),1,100))</ns0:f>
        <ns0:v>T31</ns0:v>
      </ns0:c>
      <ns0:c r="V44" t="str">
        <ns0:f>TRIM(MID(SUBSTITUTE($H44,",",REPT(" ",100)),101,100))</ns0:f>
      </ns0:c>
      <ns0:c r="W44" t="str">
        <ns0:f>TRIM(MID(SUBSTITUTE($H44,",",REPT(" ",100)),201,100))</ns0:f>
      </ns0:c>
      <ns0:c r="X44" t="str">
        <ns0:f>TRIM(MID(SUBSTITUTE($H44,",",REPT(" ",100)),301,100))</ns0:f>
      </ns0:c>
      <ns0:c r="Y44" t="str">
        <ns0:f>TRIM(MID(SUBSTITUTE($H44,",",REPT(" ",100)),401,100))</ns0:f>
      </ns0:c>
      <ns0:c r="Z44" t="str">
        <ns0:f>TRIM(MID(SUBSTITUTE($H44,",",REPT(" ",100)),501,100))</ns0:f>
      </ns0:c>
      <ns0:c r="AA44" t="str">
        <ns0:f>TRIM(MID(SUBSTITUTE($H44,",",REPT(" ",100)),601,100))</ns0:f>
      </ns0:c>
      <ns0:c r="AB44" t="str">
        <ns0:f>TRIM(MID(SUBSTITUTE($H44,",",REPT(" ",100)),701,100))</ns0:f>
      </ns0:c>
      <ns0:c r="AC44" t="n">
        <ns0:f>IF(U44="",0,IF(COUNTIFS(Tasks[Task ID],U44)=1,MATCH(U44,Tasks[Task ID],0),-1))</ns0:f>
        <ns0:v>37</ns0:v>
      </ns0:c>
      <ns0:c r="AD44" t="n">
        <ns0:f>IF(V44="",0,IF(COUNTIFS(Tasks[Task ID],V44)=1,MATCH(V44,Tasks[Task ID],0),-1))</ns0:f>
        <ns0:v>0</ns0:v>
      </ns0:c>
      <ns0:c r="AE44" t="n">
        <ns0:f>IF(W44="",0,IF(COUNTIFS(Tasks[Task ID],W44)=1,MATCH(W44,Tasks[Task ID],0),-1))</ns0:f>
        <ns0:v>0</ns0:v>
      </ns0:c>
      <ns0:c r="AF44" t="n">
        <ns0:f>IF(X44="",0,IF(COUNTIFS(Tasks[Task ID],X44)=1,MATCH(X44,Tasks[Task ID],0),-1))</ns0:f>
        <ns0:v>0</ns0:v>
      </ns0:c>
      <ns0:c r="AG44" t="n">
        <ns0:f>IF(Y44="",0,IF(COUNTIFS(Tasks[Task ID],Y44)=1,MATCH(Y44,Tasks[Task ID],0),-1))</ns0:f>
        <ns0:v>0</ns0:v>
      </ns0:c>
      <ns0:c r="AH44" t="n">
        <ns0:f>IF(Z44="",0,IF(COUNTIFS(Tasks[Task ID],Z44)=1,MATCH(Z44,Tasks[Task ID],0),-1))</ns0:f>
        <ns0:v>0</ns0:v>
      </ns0:c>
      <ns0:c r="AI44" t="n">
        <ns0:f>IF(AA44="",0,IF(COUNTIFS(Tasks[Task ID],AA44)=1,MATCH(AA44,Tasks[Task ID],0),-1))</ns0:f>
        <ns0:v>0</ns0:v>
      </ns0:c>
      <ns0:c r="AJ44" t="n">
        <ns0:f>IF(AB44="",0,IF(COUNTIFS(Tasks[Task ID],AB44)=1,MATCH(AB44,Tasks[Task ID],0),-1))</ns0:f>
        <ns0:v>0</ns0:v>
      </ns0:c>
      <ns0:c r="AK44" t="n">
        <ns0:f>COUNTIFS(AC44:AJ44,-1)+IF(T44&gt;8,1,0)</ns0:f>
        <ns0:v>0</ns0:v>
      </ns0:c>
      <ns0:c r="AL44" t="n">
        <ns0:f>IF(OR(A44="",S44&lt;&gt;""),0,SUM(IF(AC44&gt;0,IF($I44="FS",--($E44&lt;INDEX(Tasks[End Date],AC44)+IF(INDEX(Tasks[Milestone],AC44)="Yes",0,1)),IF($I44="SS",--($E44&lt;INDEX(Tasks[Start Date],AC44)),IF($I44="FF",--($F44&lt;INDEX(Tasks[End Date],AC44)),IF($I44="SF",--($F44&lt;INDEX(Tasks[Start Date],AC44)),0)))),0),IF(AD44&gt;0,IF($I44="FS",--($E44&lt;INDEX(Tasks[End Date],AD44)+IF(INDEX(Tasks[Milestone],AD44)="Yes",0,1)),IF($I44="SS",--($E44&lt;INDEX(Tasks[Start Date],AD44)),IF($I44="FF",--($F44&lt;INDEX(Tasks[End Date],AD44)),IF($I44="SF",--($F44&lt;INDEX(Tasks[Start Date],AD44)),0)))),0),IF(AE44&gt;0,IF($I44="FS",--($E44&lt;INDEX(Tasks[End Date],AE44)+IF(INDEX(Tasks[Milestone],AE44)="Yes",0,1)),IF($I44="SS",--($E44&lt;INDEX(Tasks[Start Date],AE44)),IF($I44="FF",--($F44&lt;INDEX(Tasks[End Date],AE44)),IF($I44="SF",--($F44&lt;INDEX(Tasks[Start Date],AE44)),0)))),0),IF(AF44&gt;0,IF($I44="FS",--($E44&lt;INDEX(Tasks[End Date],AF44)+IF(INDEX(Tasks[Milestone],AF44)="Yes",0,1)),IF($I44="SS",--($E44&lt;INDEX(Tasks[Start Date],AF44)),IF($I44="FF",--($F44&lt;INDEX(Tasks[End Date],AF44)),IF($I44="SF",--($F44&lt;INDEX(Tasks[Start Date],AF44)),0)))),0),IF(AG44&gt;0,IF($I44="FS",--($E44&lt;INDEX(Tasks[End Date],AG44)+IF(INDEX(Tasks[Milestone],AG44)="Yes",0,1)),IF($I44="SS",--($E44&lt;INDEX(Tasks[Start Date],AG44)),IF($I44="FF",--($F44&lt;INDEX(Tasks[End Date],AG44)),IF($I44="SF",--($F44&lt;INDEX(Tasks[Start Date],AG44)),0)))),0),IF(AH44&gt;0,IF($I44="FS",--($E44&lt;INDEX(Tasks[End Date],AH44)+IF(INDEX(Tasks[Milestone],AH44)="Yes",0,1)),IF($I44="SS",--($E44&lt;INDEX(Tasks[Start Date],AH44)),IF($I44="FF",--($F44&lt;INDEX(Tasks[End Date],AH44)),IF($I44="SF",--($F44&lt;INDEX(Tasks[Start Date],AH44)),0)))),0),IF(AI44&gt;0,IF($I44="FS",--($E44&lt;INDEX(Tasks[End Date],AI44)+IF(INDEX(Tasks[Milestone],AI44)="Yes",0,1)),IF($I44="SS",--($E44&lt;INDEX(Tasks[Start Date],AI44)),IF($I44="FF",--($F44&lt;INDEX(Tasks[End Date],AI44)),IF($I44="SF",--($F44&lt;INDEX(Tasks[Start Date],AI44)),0)))),0),IF(AJ44&gt;0,IF($I44="FS",--($E44&lt;INDEX(Tasks[End Date],AJ44)+IF(INDEX(Tasks[Milestone],AJ44)="Yes",0,1)),IF($I44="SS",--($E44&lt;INDEX(Tasks[Start Date],AJ44)),IF($I44="FF",--($F44&lt;INDEX(Tasks[End Date],AJ44)),IF($I44="SF",--($F44&lt;INDEX(Tasks[Start Date],AJ44)),0)))),0)))</ns0:f>
        <ns0:v>0</ns0:v>
      </ns0:c>
      <ns0:c r="AM44" t="n">
        <ns0:f>IF(AND(A44&lt;&gt;"",AK44=0,EP44=0),1,0)</ns0:f>
        <ns0:v>0</ns0:v>
      </ns0:c>
      <ns0:c r="AN44" t="str">
        <ns0:f>IF(OR(A44="",B44=""),"",IF(COUNTIFS($B$7:B44,B44)=1,MAX($AN$6:AN43)+1,""))</ns0:f>
      </ns0:c>
      <ns0:c r="AO44" t="n">
        <ns0:f>IF(AND(A44&lt;&gt;"",J44="No",N44&lt;1,E44&gt;=AsOfDate),E44+ROW()/10000,1E+9)</ns0:f>
        <ns0:v>46307.0044</ns0:v>
      </ns0:c>
      <ns0:c r="AP44" t="n">
        <ns0:f>IF(AND(A44&lt;&gt;"",J44="Yes",N44&lt;1,E44&gt;=AsOfDate),E44+ROW()/10000,1E+9)</ns0:f>
        <ns0:v>1000000000</ns0:v>
      </ns0:c>
      <ns0:c r="AQ44" t="n">
        <ns0:f>IF(AND(A44&lt;&gt;"",J44="No",N44&lt;1,F44&gt;=AsOfDate,F44&lt;=AsOfDate+7),F44+ROW()/10000,1E+9)</ns0:f>
        <ns0:v>1000000000</ns0:v>
      </ns0:c>
      <ns0:c r="AR44" t="n">
        <ns0:f>IF(AND(A44&lt;&gt;"",OR(O44&lt;&gt;"On track",Q44="Delayed")),ROW(),1E+9)</ns0:f>
        <ns0:v>1000000000</ns0:v>
      </ns0:c>
      <ns0:c r="AS44" t="str">
        <ns0:f>IF(A44="","",";"&amp;K44&amp;";")</ns0:f>
        <ns0:v>;Institutional Memory Store (MEM);Intelligence Engine (IE / Orchestrator);Learning &amp; Performance Engine (W_LEARN);</ns0:v>
      </ns0:c>
      <ns0:c r="AT44" t="n">
        <ns0:f>IF(A44="",1,--(T44=0))</ns0:f>
        <ns0:v>0</ns0:v>
      </ns0:c>
      <ns0:c r="AU44" t="n">
        <ns0:f>IF($A44="",1,IF(AT44=1,1,--AND(IF($AC44&gt;0,INDEX(AT$7:AT$106,$AC44),1),IF($AD44&gt;0,INDEX(AT$7:AT$106,$AD44),1),IF($AE44&gt;0,INDEX(AT$7:AT$106,$AE44),1),IF($AF44&gt;0,INDEX(AT$7:AT$106,$AF44),1),IF($AG44&gt;0,INDEX(AT$7:AT$106,$AG44),1),IF($AH44&gt;0,INDEX(AT$7:AT$106,$AH44),1),IF($AI44&gt;0,INDEX(AT$7:AT$106,$AI44),1),IF($AJ44&gt;0,INDEX(AT$7:AT$106,$AJ44),1))))</ns0:f>
        <ns0:v>0</ns0:v>
      </ns0:c>
      <ns0:c r="AV44" t="n">
        <ns0:f>IF($A44="",1,IF(AU44=1,1,--AND(IF($AC44&gt;0,INDEX(AU$7:AU$106,$AC44),1),IF($AD44&gt;0,INDEX(AU$7:AU$106,$AD44),1),IF($AE44&gt;0,INDEX(AU$7:AU$106,$AE44),1),IF($AF44&gt;0,INDEX(AU$7:AU$106,$AF44),1),IF($AG44&gt;0,INDEX(AU$7:AU$106,$AG44),1),IF($AH44&gt;0,INDEX(AU$7:AU$106,$AH44),1),IF($AI44&gt;0,INDEX(AU$7:AU$106,$AI44),1),IF($AJ44&gt;0,INDEX(AU$7:AU$106,$AJ44),1))))</ns0:f>
        <ns0:v>0</ns0:v>
      </ns0:c>
      <ns0:c r="AW44" t="n">
        <ns0:f>IF($A44="",1,IF(AV44=1,1,--AND(IF($AC44&gt;0,INDEX(AV$7:AV$106,$AC44),1),IF($AD44&gt;0,INDEX(AV$7:AV$106,$AD44),1),IF($AE44&gt;0,INDEX(AV$7:AV$106,$AE44),1),IF($AF44&gt;0,INDEX(AV$7:AV$106,$AF44),1),IF($AG44&gt;0,INDEX(AV$7:AV$106,$AG44),1),IF($AH44&gt;0,INDEX(AV$7:AV$106,$AH44),1),IF($AI44&gt;0,INDEX(AV$7:AV$106,$AI44),1),IF($AJ44&gt;0,INDEX(AV$7:AV$106,$AJ44),1))))</ns0:f>
        <ns0:v>0</ns0:v>
      </ns0:c>
      <ns0:c r="AX44" t="n">
        <ns0:f>IF($A44="",1,IF(AW44=1,1,--AND(IF($AC44&gt;0,INDEX(AW$7:AW$106,$AC44),1),IF($AD44&gt;0,INDEX(AW$7:AW$106,$AD44),1),IF($AE44&gt;0,INDEX(AW$7:AW$106,$AE44),1),IF($AF44&gt;0,INDEX(AW$7:AW$106,$AF44),1),IF($AG44&gt;0,INDEX(AW$7:AW$106,$AG44),1),IF($AH44&gt;0,INDEX(AW$7:AW$106,$AH44),1),IF($AI44&gt;0,INDEX(AW$7:AW$106,$AI44),1),IF($AJ44&gt;0,INDEX(AW$7:AW$106,$AJ44),1))))</ns0:f>
        <ns0:v>0</ns0:v>
      </ns0:c>
      <ns0:c r="AY44" t="n">
        <ns0:f>IF($A44="",1,IF(AX44=1,1,--AND(IF($AC44&gt;0,INDEX(AX$7:AX$106,$AC44),1),IF($AD44&gt;0,INDEX(AX$7:AX$106,$AD44),1),IF($AE44&gt;0,INDEX(AX$7:AX$106,$AE44),1),IF($AF44&gt;0,INDEX(AX$7:AX$106,$AF44),1),IF($AG44&gt;0,INDEX(AX$7:AX$106,$AG44),1),IF($AH44&gt;0,INDEX(AX$7:AX$106,$AH44),1),IF($AI44&gt;0,INDEX(AX$7:AX$106,$AI44),1),IF($AJ44&gt;0,INDEX(AX$7:AX$106,$AJ44),1))))</ns0:f>
        <ns0:v>0</ns0:v>
      </ns0:c>
      <ns0:c r="AZ44" t="n">
        <ns0:f>IF($A44="",1,IF(AY44=1,1,--AND(IF($AC44&gt;0,INDEX(AY$7:AY$106,$AC44),1),IF($AD44&gt;0,INDEX(AY$7:AY$106,$AD44),1),IF($AE44&gt;0,INDEX(AY$7:AY$106,$AE44),1),IF($AF44&gt;0,INDEX(AY$7:AY$106,$AF44),1),IF($AG44&gt;0,INDEX(AY$7:AY$106,$AG44),1),IF($AH44&gt;0,INDEX(AY$7:AY$106,$AH44),1),IF($AI44&gt;0,INDEX(AY$7:AY$106,$AI44),1),IF($AJ44&gt;0,INDEX(AY$7:AY$106,$AJ44),1))))</ns0:f>
        <ns0:v>0</ns0:v>
      </ns0:c>
      <ns0:c r="BA44" t="n">
        <ns0:f>IF($A44="",1,IF(AZ44=1,1,--AND(IF($AC44&gt;0,INDEX(AZ$7:AZ$106,$AC44),1),IF($AD44&gt;0,INDEX(AZ$7:AZ$106,$AD44),1),IF($AE44&gt;0,INDEX(AZ$7:AZ$106,$AE44),1),IF($AF44&gt;0,INDEX(AZ$7:AZ$106,$AF44),1),IF($AG44&gt;0,INDEX(AZ$7:AZ$106,$AG44),1),IF($AH44&gt;0,INDEX(AZ$7:AZ$106,$AH44),1),IF($AI44&gt;0,INDEX(AZ$7:AZ$106,$AI44),1),IF($AJ44&gt;0,INDEX(AZ$7:AZ$106,$AJ44),1))))</ns0:f>
        <ns0:v>0</ns0:v>
      </ns0:c>
      <ns0:c r="BB44" t="n">
        <ns0:f>IF($A44="",1,IF(BA44=1,1,--AND(IF($AC44&gt;0,INDEX(BA$7:BA$106,$AC44),1),IF($AD44&gt;0,INDEX(BA$7:BA$106,$AD44),1),IF($AE44&gt;0,INDEX(BA$7:BA$106,$AE44),1),IF($AF44&gt;0,INDEX(BA$7:BA$106,$AF44),1),IF($AG44&gt;0,INDEX(BA$7:BA$106,$AG44),1),IF($AH44&gt;0,INDEX(BA$7:BA$106,$AH44),1),IF($AI44&gt;0,INDEX(BA$7:BA$106,$AI44),1),IF($AJ44&gt;0,INDEX(BA$7:BA$106,$AJ44),1))))</ns0:f>
        <ns0:v>0</ns0:v>
      </ns0:c>
      <ns0:c r="BC44" t="n">
        <ns0:f>IF($A44="",1,IF(BB44=1,1,--AND(IF($AC44&gt;0,INDEX(BB$7:BB$106,$AC44),1),IF($AD44&gt;0,INDEX(BB$7:BB$106,$AD44),1),IF($AE44&gt;0,INDEX(BB$7:BB$106,$AE44),1),IF($AF44&gt;0,INDEX(BB$7:BB$106,$AF44),1),IF($AG44&gt;0,INDEX(BB$7:BB$106,$AG44),1),IF($AH44&gt;0,INDEX(BB$7:BB$106,$AH44),1),IF($AI44&gt;0,INDEX(BB$7:BB$106,$AI44),1),IF($AJ44&gt;0,INDEX(BB$7:BB$106,$AJ44),1))))</ns0:f>
        <ns0:v>0</ns0:v>
      </ns0:c>
      <ns0:c r="BD44" t="n">
        <ns0:f>IF($A44="",1,IF(BC44=1,1,--AND(IF($AC44&gt;0,INDEX(BC$7:BC$106,$AC44),1),IF($AD44&gt;0,INDEX(BC$7:BC$106,$AD44),1),IF($AE44&gt;0,INDEX(BC$7:BC$106,$AE44),1),IF($AF44&gt;0,INDEX(BC$7:BC$106,$AF44),1),IF($AG44&gt;0,INDEX(BC$7:BC$106,$AG44),1),IF($AH44&gt;0,INDEX(BC$7:BC$106,$AH44),1),IF($AI44&gt;0,INDEX(BC$7:BC$106,$AI44),1),IF($AJ44&gt;0,INDEX(BC$7:BC$106,$AJ44),1))))</ns0:f>
        <ns0:v>0</ns0:v>
      </ns0:c>
      <ns0:c r="BE44" t="n">
        <ns0:f>IF($A44="",1,IF(BD44=1,1,--AND(IF($AC44&gt;0,INDEX(BD$7:BD$106,$AC44),1),IF($AD44&gt;0,INDEX(BD$7:BD$106,$AD44),1),IF($AE44&gt;0,INDEX(BD$7:BD$106,$AE44),1),IF($AF44&gt;0,INDEX(BD$7:BD$106,$AF44),1),IF($AG44&gt;0,INDEX(BD$7:BD$106,$AG44),1),IF($AH44&gt;0,INDEX(BD$7:BD$106,$AH44),1),IF($AI44&gt;0,INDEX(BD$7:BD$106,$AI44),1),IF($AJ44&gt;0,INDEX(BD$7:BD$106,$AJ44),1))))</ns0:f>
        <ns0:v>0</ns0:v>
      </ns0:c>
      <ns0:c r="BF44" t="n">
        <ns0:f>IF($A44="",1,IF(BE44=1,1,--AND(IF($AC44&gt;0,INDEX(BE$7:BE$106,$AC44),1),IF($AD44&gt;0,INDEX(BE$7:BE$106,$AD44),1),IF($AE44&gt;0,INDEX(BE$7:BE$106,$AE44),1),IF($AF44&gt;0,INDEX(BE$7:BE$106,$AF44),1),IF($AG44&gt;0,INDEX(BE$7:BE$106,$AG44),1),IF($AH44&gt;0,INDEX(BE$7:BE$106,$AH44),1),IF($AI44&gt;0,INDEX(BE$7:BE$106,$AI44),1),IF($AJ44&gt;0,INDEX(BE$7:BE$106,$AJ44),1))))</ns0:f>
        <ns0:v>0</ns0:v>
      </ns0:c>
      <ns0:c r="BG44" t="n">
        <ns0:f>IF($A44="",1,IF(BF44=1,1,--AND(IF($AC44&gt;0,INDEX(BF$7:BF$106,$AC44),1),IF($AD44&gt;0,INDEX(BF$7:BF$106,$AD44),1),IF($AE44&gt;0,INDEX(BF$7:BF$106,$AE44),1),IF($AF44&gt;0,INDEX(BF$7:BF$106,$AF44),1),IF($AG44&gt;0,INDEX(BF$7:BF$106,$AG44),1),IF($AH44&gt;0,INDEX(BF$7:BF$106,$AH44),1),IF($AI44&gt;0,INDEX(BF$7:BF$106,$AI44),1),IF($AJ44&gt;0,INDEX(BF$7:BF$106,$AJ44),1))))</ns0:f>
        <ns0:v>0</ns0:v>
      </ns0:c>
      <ns0:c r="BH44" t="n">
        <ns0:f>IF($A44="",1,IF(BG44=1,1,--AND(IF($AC44&gt;0,INDEX(BG$7:BG$106,$AC44),1),IF($AD44&gt;0,INDEX(BG$7:BG$106,$AD44),1),IF($AE44&gt;0,INDEX(BG$7:BG$106,$AE44),1),IF($AF44&gt;0,INDEX(BG$7:BG$106,$AF44),1),IF($AG44&gt;0,INDEX(BG$7:BG$106,$AG44),1),IF($AH44&gt;0,INDEX(BG$7:BG$106,$AH44),1),IF($AI44&gt;0,INDEX(BG$7:BG$106,$AI44),1),IF($AJ44&gt;0,INDEX(BG$7:BG$106,$AJ44),1))))</ns0:f>
        <ns0:v>0</ns0:v>
      </ns0:c>
      <ns0:c r="BI44" t="n">
        <ns0:f>IF($A44="",1,IF(BH44=1,1,--AND(IF($AC44&gt;0,INDEX(BH$7:BH$106,$AC44),1),IF($AD44&gt;0,INDEX(BH$7:BH$106,$AD44),1),IF($AE44&gt;0,INDEX(BH$7:BH$106,$AE44),1),IF($AF44&gt;0,INDEX(BH$7:BH$106,$AF44),1),IF($AG44&gt;0,INDEX(BH$7:BH$106,$AG44),1),IF($AH44&gt;0,INDEX(BH$7:BH$106,$AH44),1),IF($AI44&gt;0,INDEX(BH$7:BH$106,$AI44),1),IF($AJ44&gt;0,INDEX(BH$7:BH$106,$AJ44),1))))</ns0:f>
        <ns0:v>0</ns0:v>
      </ns0:c>
      <ns0:c r="BJ44" t="n">
        <ns0:f>IF($A44="",1,IF(BI44=1,1,--AND(IF($AC44&gt;0,INDEX(BI$7:BI$106,$AC44),1),IF($AD44&gt;0,INDEX(BI$7:BI$106,$AD44),1),IF($AE44&gt;0,INDEX(BI$7:BI$106,$AE44),1),IF($AF44&gt;0,INDEX(BI$7:BI$106,$AF44),1),IF($AG44&gt;0,INDEX(BI$7:BI$106,$AG44),1),IF($AH44&gt;0,INDEX(BI$7:BI$106,$AH44),1),IF($AI44&gt;0,INDEX(BI$7:BI$106,$AI44),1),IF($AJ44&gt;0,INDEX(BI$7:BI$106,$AJ44),1))))</ns0:f>
        <ns0:v>0</ns0:v>
      </ns0:c>
      <ns0:c r="BK44" t="n">
        <ns0:f>IF($A44="",1,IF(BJ44=1,1,--AND(IF($AC44&gt;0,INDEX(BJ$7:BJ$106,$AC44),1),IF($AD44&gt;0,INDEX(BJ$7:BJ$106,$AD44),1),IF($AE44&gt;0,INDEX(BJ$7:BJ$106,$AE44),1),IF($AF44&gt;0,INDEX(BJ$7:BJ$106,$AF44),1),IF($AG44&gt;0,INDEX(BJ$7:BJ$106,$AG44),1),IF($AH44&gt;0,INDEX(BJ$7:BJ$106,$AH44),1),IF($AI44&gt;0,INDEX(BJ$7:BJ$106,$AI44),1),IF($AJ44&gt;0,INDEX(BJ$7:BJ$106,$AJ44),1))))</ns0:f>
        <ns0:v>1</ns0:v>
      </ns0:c>
      <ns0:c r="BL44" t="n">
        <ns0:f>IF($A44="",1,IF(BK44=1,1,--AND(IF($AC44&gt;0,INDEX(BK$7:BK$106,$AC44),1),IF($AD44&gt;0,INDEX(BK$7:BK$106,$AD44),1),IF($AE44&gt;0,INDEX(BK$7:BK$106,$AE44),1),IF($AF44&gt;0,INDEX(BK$7:BK$106,$AF44),1),IF($AG44&gt;0,INDEX(BK$7:BK$106,$AG44),1),IF($AH44&gt;0,INDEX(BK$7:BK$106,$AH44),1),IF($AI44&gt;0,INDEX(BK$7:BK$106,$AI44),1),IF($AJ44&gt;0,INDEX(BK$7:BK$106,$AJ44),1))))</ns0:f>
        <ns0:v>1</ns0:v>
      </ns0:c>
      <ns0:c r="BM44" t="n">
        <ns0:f>IF($A44="",1,IF(BL44=1,1,--AND(IF($AC44&gt;0,INDEX(BL$7:BL$106,$AC44),1),IF($AD44&gt;0,INDEX(BL$7:BL$106,$AD44),1),IF($AE44&gt;0,INDEX(BL$7:BL$106,$AE44),1),IF($AF44&gt;0,INDEX(BL$7:BL$106,$AF44),1),IF($AG44&gt;0,INDEX(BL$7:BL$106,$AG44),1),IF($AH44&gt;0,INDEX(BL$7:BL$106,$AH44),1),IF($AI44&gt;0,INDEX(BL$7:BL$106,$AI44),1),IF($AJ44&gt;0,INDEX(BL$7:BL$106,$AJ44),1))))</ns0:f>
        <ns0:v>1</ns0:v>
      </ns0:c>
      <ns0:c r="BN44" t="n">
        <ns0:f>IF($A44="",1,IF(BM44=1,1,--AND(IF($AC44&gt;0,INDEX(BM$7:BM$106,$AC44),1),IF($AD44&gt;0,INDEX(BM$7:BM$106,$AD44),1),IF($AE44&gt;0,INDEX(BM$7:BM$106,$AE44),1),IF($AF44&gt;0,INDEX(BM$7:BM$106,$AF44),1),IF($AG44&gt;0,INDEX(BM$7:BM$106,$AG44),1),IF($AH44&gt;0,INDEX(BM$7:BM$106,$AH44),1),IF($AI44&gt;0,INDEX(BM$7:BM$106,$AI44),1),IF($AJ44&gt;0,INDEX(BM$7:BM$106,$AJ44),1))))</ns0:f>
        <ns0:v>1</ns0:v>
      </ns0:c>
      <ns0:c r="BO44" t="n">
        <ns0:f>IF($A44="",1,IF(BN44=1,1,--AND(IF($AC44&gt;0,INDEX(BN$7:BN$106,$AC44),1),IF($AD44&gt;0,INDEX(BN$7:BN$106,$AD44),1),IF($AE44&gt;0,INDEX(BN$7:BN$106,$AE44),1),IF($AF44&gt;0,INDEX(BN$7:BN$106,$AF44),1),IF($AG44&gt;0,INDEX(BN$7:BN$106,$AG44),1),IF($AH44&gt;0,INDEX(BN$7:BN$106,$AH44),1),IF($AI44&gt;0,INDEX(BN$7:BN$106,$AI44),1),IF($AJ44&gt;0,INDEX(BN$7:BN$106,$AJ44),1))))</ns0:f>
        <ns0:v>1</ns0:v>
      </ns0:c>
      <ns0:c r="BP44" t="n">
        <ns0:f>IF($A44="",1,IF(BO44=1,1,--AND(IF($AC44&gt;0,INDEX(BO$7:BO$106,$AC44),1),IF($AD44&gt;0,INDEX(BO$7:BO$106,$AD44),1),IF($AE44&gt;0,INDEX(BO$7:BO$106,$AE44),1),IF($AF44&gt;0,INDEX(BO$7:BO$106,$AF44),1),IF($AG44&gt;0,INDEX(BO$7:BO$106,$AG44),1),IF($AH44&gt;0,INDEX(BO$7:BO$106,$AH44),1),IF($AI44&gt;0,INDEX(BO$7:BO$106,$AI44),1),IF($AJ44&gt;0,INDEX(BO$7:BO$106,$AJ44),1))))</ns0:f>
        <ns0:v>1</ns0:v>
      </ns0:c>
      <ns0:c r="BQ44" t="n">
        <ns0:f>IF($A44="",1,IF(BP44=1,1,--AND(IF($AC44&gt;0,INDEX(BP$7:BP$106,$AC44),1),IF($AD44&gt;0,INDEX(BP$7:BP$106,$AD44),1),IF($AE44&gt;0,INDEX(BP$7:BP$106,$AE44),1),IF($AF44&gt;0,INDEX(BP$7:BP$106,$AF44),1),IF($AG44&gt;0,INDEX(BP$7:BP$106,$AG44),1),IF($AH44&gt;0,INDEX(BP$7:BP$106,$AH44),1),IF($AI44&gt;0,INDEX(BP$7:BP$106,$AI44),1),IF($AJ44&gt;0,INDEX(BP$7:BP$106,$AJ44),1))))</ns0:f>
        <ns0:v>1</ns0:v>
      </ns0:c>
      <ns0:c r="BR44" t="n">
        <ns0:f>IF($A44="",1,IF(BQ44=1,1,--AND(IF($AC44&gt;0,INDEX(BQ$7:BQ$106,$AC44),1),IF($AD44&gt;0,INDEX(BQ$7:BQ$106,$AD44),1),IF($AE44&gt;0,INDEX(BQ$7:BQ$106,$AE44),1),IF($AF44&gt;0,INDEX(BQ$7:BQ$106,$AF44),1),IF($AG44&gt;0,INDEX(BQ$7:BQ$106,$AG44),1),IF($AH44&gt;0,INDEX(BQ$7:BQ$106,$AH44),1),IF($AI44&gt;0,INDEX(BQ$7:BQ$106,$AI44),1),IF($AJ44&gt;0,INDEX(BQ$7:BQ$106,$AJ44),1))))</ns0:f>
        <ns0:v>1</ns0:v>
      </ns0:c>
      <ns0:c r="BS44" t="n">
        <ns0:f>IF($A44="",1,IF(BR44=1,1,--AND(IF($AC44&gt;0,INDEX(BR$7:BR$106,$AC44),1),IF($AD44&gt;0,INDEX(BR$7:BR$106,$AD44),1),IF($AE44&gt;0,INDEX(BR$7:BR$106,$AE44),1),IF($AF44&gt;0,INDEX(BR$7:BR$106,$AF44),1),IF($AG44&gt;0,INDEX(BR$7:BR$106,$AG44),1),IF($AH44&gt;0,INDEX(BR$7:BR$106,$AH44),1),IF($AI44&gt;0,INDEX(BR$7:BR$106,$AI44),1),IF($AJ44&gt;0,INDEX(BR$7:BR$106,$AJ44),1))))</ns0:f>
        <ns0:v>1</ns0:v>
      </ns0:c>
      <ns0:c r="BT44" t="n">
        <ns0:f>IF($A44="",1,IF(BS44=1,1,--AND(IF($AC44&gt;0,INDEX(BS$7:BS$106,$AC44),1),IF($AD44&gt;0,INDEX(BS$7:BS$106,$AD44),1),IF($AE44&gt;0,INDEX(BS$7:BS$106,$AE44),1),IF($AF44&gt;0,INDEX(BS$7:BS$106,$AF44),1),IF($AG44&gt;0,INDEX(BS$7:BS$106,$AG44),1),IF($AH44&gt;0,INDEX(BS$7:BS$106,$AH44),1),IF($AI44&gt;0,INDEX(BS$7:BS$106,$AI44),1),IF($AJ44&gt;0,INDEX(BS$7:BS$106,$AJ44),1))))</ns0:f>
        <ns0:v>1</ns0:v>
      </ns0:c>
      <ns0:c r="BU44" t="n">
        <ns0:f>IF($A44="",1,IF(BT44=1,1,--AND(IF($AC44&gt;0,INDEX(BT$7:BT$106,$AC44),1),IF($AD44&gt;0,INDEX(BT$7:BT$106,$AD44),1),IF($AE44&gt;0,INDEX(BT$7:BT$106,$AE44),1),IF($AF44&gt;0,INDEX(BT$7:BT$106,$AF44),1),IF($AG44&gt;0,INDEX(BT$7:BT$106,$AG44),1),IF($AH44&gt;0,INDEX(BT$7:BT$106,$AH44),1),IF($AI44&gt;0,INDEX(BT$7:BT$106,$AI44),1),IF($AJ44&gt;0,INDEX(BT$7:BT$106,$AJ44),1))))</ns0:f>
        <ns0:v>1</ns0:v>
      </ns0:c>
      <ns0:c r="BV44" t="n">
        <ns0:f>IF($A44="",1,IF(BU44=1,1,--AND(IF($AC44&gt;0,INDEX(BU$7:BU$106,$AC44),1),IF($AD44&gt;0,INDEX(BU$7:BU$106,$AD44),1),IF($AE44&gt;0,INDEX(BU$7:BU$106,$AE44),1),IF($AF44&gt;0,INDEX(BU$7:BU$106,$AF44),1),IF($AG44&gt;0,INDEX(BU$7:BU$106,$AG44),1),IF($AH44&gt;0,INDEX(BU$7:BU$106,$AH44),1),IF($AI44&gt;0,INDEX(BU$7:BU$106,$AI44),1),IF($AJ44&gt;0,INDEX(BU$7:BU$106,$AJ44),1))))</ns0:f>
        <ns0:v>1</ns0:v>
      </ns0:c>
      <ns0:c r="BW44" t="n">
        <ns0:f>IF($A44="",1,IF(BV44=1,1,--AND(IF($AC44&gt;0,INDEX(BV$7:BV$106,$AC44),1),IF($AD44&gt;0,INDEX(BV$7:BV$106,$AD44),1),IF($AE44&gt;0,INDEX(BV$7:BV$106,$AE44),1),IF($AF44&gt;0,INDEX(BV$7:BV$106,$AF44),1),IF($AG44&gt;0,INDEX(BV$7:BV$106,$AG44),1),IF($AH44&gt;0,INDEX(BV$7:BV$106,$AH44),1),IF($AI44&gt;0,INDEX(BV$7:BV$106,$AI44),1),IF($AJ44&gt;0,INDEX(BV$7:BV$106,$AJ44),1))))</ns0:f>
        <ns0:v>1</ns0:v>
      </ns0:c>
      <ns0:c r="BX44" t="n">
        <ns0:f>IF($A44="",1,IF(BW44=1,1,--AND(IF($AC44&gt;0,INDEX(BW$7:BW$106,$AC44),1),IF($AD44&gt;0,INDEX(BW$7:BW$106,$AD44),1),IF($AE44&gt;0,INDEX(BW$7:BW$106,$AE44),1),IF($AF44&gt;0,INDEX(BW$7:BW$106,$AF44),1),IF($AG44&gt;0,INDEX(BW$7:BW$106,$AG44),1),IF($AH44&gt;0,INDEX(BW$7:BW$106,$AH44),1),IF($AI44&gt;0,INDEX(BW$7:BW$106,$AI44),1),IF($AJ44&gt;0,INDEX(BW$7:BW$106,$AJ44),1))))</ns0:f>
        <ns0:v>1</ns0:v>
      </ns0:c>
      <ns0:c r="BY44" t="n">
        <ns0:f>IF($A44="",1,IF(BX44=1,1,--AND(IF($AC44&gt;0,INDEX(BX$7:BX$106,$AC44),1),IF($AD44&gt;0,INDEX(BX$7:BX$106,$AD44),1),IF($AE44&gt;0,INDEX(BX$7:BX$106,$AE44),1),IF($AF44&gt;0,INDEX(BX$7:BX$106,$AF44),1),IF($AG44&gt;0,INDEX(BX$7:BX$106,$AG44),1),IF($AH44&gt;0,INDEX(BX$7:BX$106,$AH44),1),IF($AI44&gt;0,INDEX(BX$7:BX$106,$AI44),1),IF($AJ44&gt;0,INDEX(BX$7:BX$106,$AJ44),1))))</ns0:f>
        <ns0:v>1</ns0:v>
      </ns0:c>
      <ns0:c r="BZ44" t="n">
        <ns0:f>IF($A44="",1,IF(BY44=1,1,--AND(IF($AC44&gt;0,INDEX(BY$7:BY$106,$AC44),1),IF($AD44&gt;0,INDEX(BY$7:BY$106,$AD44),1),IF($AE44&gt;0,INDEX(BY$7:BY$106,$AE44),1),IF($AF44&gt;0,INDEX(BY$7:BY$106,$AF44),1),IF($AG44&gt;0,INDEX(BY$7:BY$106,$AG44),1),IF($AH44&gt;0,INDEX(BY$7:BY$106,$AH44),1),IF($AI44&gt;0,INDEX(BY$7:BY$106,$AI44),1),IF($AJ44&gt;0,INDEX(BY$7:BY$106,$AJ44),1))))</ns0:f>
        <ns0:v>1</ns0:v>
      </ns0:c>
      <ns0:c r="CA44" t="n">
        <ns0:f>IF($A44="",1,IF(BZ44=1,1,--AND(IF($AC44&gt;0,INDEX(BZ$7:BZ$106,$AC44),1),IF($AD44&gt;0,INDEX(BZ$7:BZ$106,$AD44),1),IF($AE44&gt;0,INDEX(BZ$7:BZ$106,$AE44),1),IF($AF44&gt;0,INDEX(BZ$7:BZ$106,$AF44),1),IF($AG44&gt;0,INDEX(BZ$7:BZ$106,$AG44),1),IF($AH44&gt;0,INDEX(BZ$7:BZ$106,$AH44),1),IF($AI44&gt;0,INDEX(BZ$7:BZ$106,$AI44),1),IF($AJ44&gt;0,INDEX(BZ$7:BZ$106,$AJ44),1))))</ns0:f>
        <ns0:v>1</ns0:v>
      </ns0:c>
      <ns0:c r="CB44" t="n">
        <ns0:f>IF($A44="",1,IF(CA44=1,1,--AND(IF($AC44&gt;0,INDEX(CA$7:CA$106,$AC44),1),IF($AD44&gt;0,INDEX(CA$7:CA$106,$AD44),1),IF($AE44&gt;0,INDEX(CA$7:CA$106,$AE44),1),IF($AF44&gt;0,INDEX(CA$7:CA$106,$AF44),1),IF($AG44&gt;0,INDEX(CA$7:CA$106,$AG44),1),IF($AH44&gt;0,INDEX(CA$7:CA$106,$AH44),1),IF($AI44&gt;0,INDEX(CA$7:CA$106,$AI44),1),IF($AJ44&gt;0,INDEX(CA$7:CA$106,$AJ44),1))))</ns0:f>
        <ns0:v>1</ns0:v>
      </ns0:c>
      <ns0:c r="CC44" t="n">
        <ns0:f>IF($A44="",1,IF(CB44=1,1,--AND(IF($AC44&gt;0,INDEX(CB$7:CB$106,$AC44),1),IF($AD44&gt;0,INDEX(CB$7:CB$106,$AD44),1),IF($AE44&gt;0,INDEX(CB$7:CB$106,$AE44),1),IF($AF44&gt;0,INDEX(CB$7:CB$106,$AF44),1),IF($AG44&gt;0,INDEX(CB$7:CB$106,$AG44),1),IF($AH44&gt;0,INDEX(CB$7:CB$106,$AH44),1),IF($AI44&gt;0,INDEX(CB$7:CB$106,$AI44),1),IF($AJ44&gt;0,INDEX(CB$7:CB$106,$AJ44),1))))</ns0:f>
        <ns0:v>1</ns0:v>
      </ns0:c>
      <ns0:c r="CD44" t="n">
        <ns0:f>IF($A44="",1,IF(CC44=1,1,--AND(IF($AC44&gt;0,INDEX(CC$7:CC$106,$AC44),1),IF($AD44&gt;0,INDEX(CC$7:CC$106,$AD44),1),IF($AE44&gt;0,INDEX(CC$7:CC$106,$AE44),1),IF($AF44&gt;0,INDEX(CC$7:CC$106,$AF44),1),IF($AG44&gt;0,INDEX(CC$7:CC$106,$AG44),1),IF($AH44&gt;0,INDEX(CC$7:CC$106,$AH44),1),IF($AI44&gt;0,INDEX(CC$7:CC$106,$AI44),1),IF($AJ44&gt;0,INDEX(CC$7:CC$106,$AJ44),1))))</ns0:f>
        <ns0:v>1</ns0:v>
      </ns0:c>
      <ns0:c r="CE44" t="n">
        <ns0:f>IF($A44="",1,IF(CD44=1,1,--AND(IF($AC44&gt;0,INDEX(CD$7:CD$106,$AC44),1),IF($AD44&gt;0,INDEX(CD$7:CD$106,$AD44),1),IF($AE44&gt;0,INDEX(CD$7:CD$106,$AE44),1),IF($AF44&gt;0,INDEX(CD$7:CD$106,$AF44),1),IF($AG44&gt;0,INDEX(CD$7:CD$106,$AG44),1),IF($AH44&gt;0,INDEX(CD$7:CD$106,$AH44),1),IF($AI44&gt;0,INDEX(CD$7:CD$106,$AI44),1),IF($AJ44&gt;0,INDEX(CD$7:CD$106,$AJ44),1))))</ns0:f>
        <ns0:v>1</ns0:v>
      </ns0:c>
      <ns0:c r="CF44" t="n">
        <ns0:f>IF($A44="",1,IF(CE44=1,1,--AND(IF($AC44&gt;0,INDEX(CE$7:CE$106,$AC44),1),IF($AD44&gt;0,INDEX(CE$7:CE$106,$AD44),1),IF($AE44&gt;0,INDEX(CE$7:CE$106,$AE44),1),IF($AF44&gt;0,INDEX(CE$7:CE$106,$AF44),1),IF($AG44&gt;0,INDEX(CE$7:CE$106,$AG44),1),IF($AH44&gt;0,INDEX(CE$7:CE$106,$AH44),1),IF($AI44&gt;0,INDEX(CE$7:CE$106,$AI44),1),IF($AJ44&gt;0,INDEX(CE$7:CE$106,$AJ44),1))))</ns0:f>
        <ns0:v>1</ns0:v>
      </ns0:c>
      <ns0:c r="CG44" t="n">
        <ns0:f>IF($A44="",1,IF(CF44=1,1,--AND(IF($AC44&gt;0,INDEX(CF$7:CF$106,$AC44),1),IF($AD44&gt;0,INDEX(CF$7:CF$106,$AD44),1),IF($AE44&gt;0,INDEX(CF$7:CF$106,$AE44),1),IF($AF44&gt;0,INDEX(CF$7:CF$106,$AF44),1),IF($AG44&gt;0,INDEX(CF$7:CF$106,$AG44),1),IF($AH44&gt;0,INDEX(CF$7:CF$106,$AH44),1),IF($AI44&gt;0,INDEX(CF$7:CF$106,$AI44),1),IF($AJ44&gt;0,INDEX(CF$7:CF$106,$AJ44),1))))</ns0:f>
        <ns0:v>1</ns0:v>
      </ns0:c>
      <ns0:c r="CH44" t="n">
        <ns0:f>IF($A44="",1,IF(CG44=1,1,--AND(IF($AC44&gt;0,INDEX(CG$7:CG$106,$AC44),1),IF($AD44&gt;0,INDEX(CG$7:CG$106,$AD44),1),IF($AE44&gt;0,INDEX(CG$7:CG$106,$AE44),1),IF($AF44&gt;0,INDEX(CG$7:CG$106,$AF44),1),IF($AG44&gt;0,INDEX(CG$7:CG$106,$AG44),1),IF($AH44&gt;0,INDEX(CG$7:CG$106,$AH44),1),IF($AI44&gt;0,INDEX(CG$7:CG$106,$AI44),1),IF($AJ44&gt;0,INDEX(CG$7:CG$106,$AJ44),1))))</ns0:f>
        <ns0:v>1</ns0:v>
      </ns0:c>
      <ns0:c r="CI44" t="n">
        <ns0:f>IF($A44="",1,IF(CH44=1,1,--AND(IF($AC44&gt;0,INDEX(CH$7:CH$106,$AC44),1),IF($AD44&gt;0,INDEX(CH$7:CH$106,$AD44),1),IF($AE44&gt;0,INDEX(CH$7:CH$106,$AE44),1),IF($AF44&gt;0,INDEX(CH$7:CH$106,$AF44),1),IF($AG44&gt;0,INDEX(CH$7:CH$106,$AG44),1),IF($AH44&gt;0,INDEX(CH$7:CH$106,$AH44),1),IF($AI44&gt;0,INDEX(CH$7:CH$106,$AI44),1),IF($AJ44&gt;0,INDEX(CH$7:CH$106,$AJ44),1))))</ns0:f>
        <ns0:v>1</ns0:v>
      </ns0:c>
      <ns0:c r="CJ44" t="n">
        <ns0:f>IF($A44="",1,IF(CI44=1,1,--AND(IF($AC44&gt;0,INDEX(CI$7:CI$106,$AC44),1),IF($AD44&gt;0,INDEX(CI$7:CI$106,$AD44),1),IF($AE44&gt;0,INDEX(CI$7:CI$106,$AE44),1),IF($AF44&gt;0,INDEX(CI$7:CI$106,$AF44),1),IF($AG44&gt;0,INDEX(CI$7:CI$106,$AG44),1),IF($AH44&gt;0,INDEX(CI$7:CI$106,$AH44),1),IF($AI44&gt;0,INDEX(CI$7:CI$106,$AI44),1),IF($AJ44&gt;0,INDEX(CI$7:CI$106,$AJ44),1))))</ns0:f>
        <ns0:v>1</ns0:v>
      </ns0:c>
      <ns0:c r="CK44" t="n">
        <ns0:f>IF($A44="",1,IF(CJ44=1,1,--AND(IF($AC44&gt;0,INDEX(CJ$7:CJ$106,$AC44),1),IF($AD44&gt;0,INDEX(CJ$7:CJ$106,$AD44),1),IF($AE44&gt;0,INDEX(CJ$7:CJ$106,$AE44),1),IF($AF44&gt;0,INDEX(CJ$7:CJ$106,$AF44),1),IF($AG44&gt;0,INDEX(CJ$7:CJ$106,$AG44),1),IF($AH44&gt;0,INDEX(CJ$7:CJ$106,$AH44),1),IF($AI44&gt;0,INDEX(CJ$7:CJ$106,$AI44),1),IF($AJ44&gt;0,INDEX(CJ$7:CJ$106,$AJ44),1))))</ns0:f>
        <ns0:v>1</ns0:v>
      </ns0:c>
      <ns0:c r="CL44" t="n">
        <ns0:f>IF($A44="",1,IF(CK44=1,1,--AND(IF($AC44&gt;0,INDEX(CK$7:CK$106,$AC44),1),IF($AD44&gt;0,INDEX(CK$7:CK$106,$AD44),1),IF($AE44&gt;0,INDEX(CK$7:CK$106,$AE44),1),IF($AF44&gt;0,INDEX(CK$7:CK$106,$AF44),1),IF($AG44&gt;0,INDEX(CK$7:CK$106,$AG44),1),IF($AH44&gt;0,INDEX(CK$7:CK$106,$AH44),1),IF($AI44&gt;0,INDEX(CK$7:CK$106,$AI44),1),IF($AJ44&gt;0,INDEX(CK$7:CK$106,$AJ44),1))))</ns0:f>
        <ns0:v>1</ns0:v>
      </ns0:c>
      <ns0:c r="CM44" t="n">
        <ns0:f>IF($A44="",1,IF(CL44=1,1,--AND(IF($AC44&gt;0,INDEX(CL$7:CL$106,$AC44),1),IF($AD44&gt;0,INDEX(CL$7:CL$106,$AD44),1),IF($AE44&gt;0,INDEX(CL$7:CL$106,$AE44),1),IF($AF44&gt;0,INDEX(CL$7:CL$106,$AF44),1),IF($AG44&gt;0,INDEX(CL$7:CL$106,$AG44),1),IF($AH44&gt;0,INDEX(CL$7:CL$106,$AH44),1),IF($AI44&gt;0,INDEX(CL$7:CL$106,$AI44),1),IF($AJ44&gt;0,INDEX(CL$7:CL$106,$AJ44),1))))</ns0:f>
        <ns0:v>1</ns0:v>
      </ns0:c>
      <ns0:c r="CN44" t="n">
        <ns0:f>IF($A44="",1,IF(CM44=1,1,--AND(IF($AC44&gt;0,INDEX(CM$7:CM$106,$AC44),1),IF($AD44&gt;0,INDEX(CM$7:CM$106,$AD44),1),IF($AE44&gt;0,INDEX(CM$7:CM$106,$AE44),1),IF($AF44&gt;0,INDEX(CM$7:CM$106,$AF44),1),IF($AG44&gt;0,INDEX(CM$7:CM$106,$AG44),1),IF($AH44&gt;0,INDEX(CM$7:CM$106,$AH44),1),IF($AI44&gt;0,INDEX(CM$7:CM$106,$AI44),1),IF($AJ44&gt;0,INDEX(CM$7:CM$106,$AJ44),1))))</ns0:f>
        <ns0:v>1</ns0:v>
      </ns0:c>
      <ns0:c r="CO44" t="n">
        <ns0:f>IF($A44="",1,IF(CN44=1,1,--AND(IF($AC44&gt;0,INDEX(CN$7:CN$106,$AC44),1),IF($AD44&gt;0,INDEX(CN$7:CN$106,$AD44),1),IF($AE44&gt;0,INDEX(CN$7:CN$106,$AE44),1),IF($AF44&gt;0,INDEX(CN$7:CN$106,$AF44),1),IF($AG44&gt;0,INDEX(CN$7:CN$106,$AG44),1),IF($AH44&gt;0,INDEX(CN$7:CN$106,$AH44),1),IF($AI44&gt;0,INDEX(CN$7:CN$106,$AI44),1),IF($AJ44&gt;0,INDEX(CN$7:CN$106,$AJ44),1))))</ns0:f>
        <ns0:v>1</ns0:v>
      </ns0:c>
      <ns0:c r="CP44" t="n">
        <ns0:f>IF($A44="",1,IF(CO44=1,1,--AND(IF($AC44&gt;0,INDEX(CO$7:CO$106,$AC44),1),IF($AD44&gt;0,INDEX(CO$7:CO$106,$AD44),1),IF($AE44&gt;0,INDEX(CO$7:CO$106,$AE44),1),IF($AF44&gt;0,INDEX(CO$7:CO$106,$AF44),1),IF($AG44&gt;0,INDEX(CO$7:CO$106,$AG44),1),IF($AH44&gt;0,INDEX(CO$7:CO$106,$AH44),1),IF($AI44&gt;0,INDEX(CO$7:CO$106,$AI44),1),IF($AJ44&gt;0,INDEX(CO$7:CO$106,$AJ44),1))))</ns0:f>
        <ns0:v>1</ns0:v>
      </ns0:c>
      <ns0:c r="CQ44" t="n">
        <ns0:f>IF($A44="",1,IF(CP44=1,1,--AND(IF($AC44&gt;0,INDEX(CP$7:CP$106,$AC44),1),IF($AD44&gt;0,INDEX(CP$7:CP$106,$AD44),1),IF($AE44&gt;0,INDEX(CP$7:CP$106,$AE44),1),IF($AF44&gt;0,INDEX(CP$7:CP$106,$AF44),1),IF($AG44&gt;0,INDEX(CP$7:CP$106,$AG44),1),IF($AH44&gt;0,INDEX(CP$7:CP$106,$AH44),1),IF($AI44&gt;0,INDEX(CP$7:CP$106,$AI44),1),IF($AJ44&gt;0,INDEX(CP$7:CP$106,$AJ44),1))))</ns0:f>
        <ns0:v>1</ns0:v>
      </ns0:c>
      <ns0:c r="CR44" t="n">
        <ns0:f>IF($A44="",1,IF(CQ44=1,1,--AND(IF($AC44&gt;0,INDEX(CQ$7:CQ$106,$AC44),1),IF($AD44&gt;0,INDEX(CQ$7:CQ$106,$AD44),1),IF($AE44&gt;0,INDEX(CQ$7:CQ$106,$AE44),1),IF($AF44&gt;0,INDEX(CQ$7:CQ$106,$AF44),1),IF($AG44&gt;0,INDEX(CQ$7:CQ$106,$AG44),1),IF($AH44&gt;0,INDEX(CQ$7:CQ$106,$AH44),1),IF($AI44&gt;0,INDEX(CQ$7:CQ$106,$AI44),1),IF($AJ44&gt;0,INDEX(CQ$7:CQ$106,$AJ44),1))))</ns0:f>
        <ns0:v>1</ns0:v>
      </ns0:c>
      <ns0:c r="CS44" t="n">
        <ns0:f>IF($A44="",1,IF(CR44=1,1,--AND(IF($AC44&gt;0,INDEX(CR$7:CR$106,$AC44),1),IF($AD44&gt;0,INDEX(CR$7:CR$106,$AD44),1),IF($AE44&gt;0,INDEX(CR$7:CR$106,$AE44),1),IF($AF44&gt;0,INDEX(CR$7:CR$106,$AF44),1),IF($AG44&gt;0,INDEX(CR$7:CR$106,$AG44),1),IF($AH44&gt;0,INDEX(CR$7:CR$106,$AH44),1),IF($AI44&gt;0,INDEX(CR$7:CR$106,$AI44),1),IF($AJ44&gt;0,INDEX(CR$7:CR$106,$AJ44),1))))</ns0:f>
        <ns0:v>1</ns0:v>
      </ns0:c>
      <ns0:c r="CT44" t="n">
        <ns0:f>IF($A44="",1,IF(CS44=1,1,--AND(IF($AC44&gt;0,INDEX(CS$7:CS$106,$AC44),1),IF($AD44&gt;0,INDEX(CS$7:CS$106,$AD44),1),IF($AE44&gt;0,INDEX(CS$7:CS$106,$AE44),1),IF($AF44&gt;0,INDEX(CS$7:CS$106,$AF44),1),IF($AG44&gt;0,INDEX(CS$7:CS$106,$AG44),1),IF($AH44&gt;0,INDEX(CS$7:CS$106,$AH44),1),IF($AI44&gt;0,INDEX(CS$7:CS$106,$AI44),1),IF($AJ44&gt;0,INDEX(CS$7:CS$106,$AJ44),1))))</ns0:f>
        <ns0:v>1</ns0:v>
      </ns0:c>
      <ns0:c r="CU44" t="n">
        <ns0:f>IF($A44="",1,IF(CT44=1,1,--AND(IF($AC44&gt;0,INDEX(CT$7:CT$106,$AC44),1),IF($AD44&gt;0,INDEX(CT$7:CT$106,$AD44),1),IF($AE44&gt;0,INDEX(CT$7:CT$106,$AE44),1),IF($AF44&gt;0,INDEX(CT$7:CT$106,$AF44),1),IF($AG44&gt;0,INDEX(CT$7:CT$106,$AG44),1),IF($AH44&gt;0,INDEX(CT$7:CT$106,$AH44),1),IF($AI44&gt;0,INDEX(CT$7:CT$106,$AI44),1),IF($AJ44&gt;0,INDEX(CT$7:CT$106,$AJ44),1))))</ns0:f>
        <ns0:v>1</ns0:v>
      </ns0:c>
      <ns0:c r="CV44" t="n">
        <ns0:f>IF($A44="",1,IF(CU44=1,1,--AND(IF($AC44&gt;0,INDEX(CU$7:CU$106,$AC44),1),IF($AD44&gt;0,INDEX(CU$7:CU$106,$AD44),1),IF($AE44&gt;0,INDEX(CU$7:CU$106,$AE44),1),IF($AF44&gt;0,INDEX(CU$7:CU$106,$AF44),1),IF($AG44&gt;0,INDEX(CU$7:CU$106,$AG44),1),IF($AH44&gt;0,INDEX(CU$7:CU$106,$AH44),1),IF($AI44&gt;0,INDEX(CU$7:CU$106,$AI44),1),IF($AJ44&gt;0,INDEX(CU$7:CU$106,$AJ44),1))))</ns0:f>
        <ns0:v>1</ns0:v>
      </ns0:c>
      <ns0:c r="CW44" t="n">
        <ns0:f>IF($A44="",1,IF(CV44=1,1,--AND(IF($AC44&gt;0,INDEX(CV$7:CV$106,$AC44),1),IF($AD44&gt;0,INDEX(CV$7:CV$106,$AD44),1),IF($AE44&gt;0,INDEX(CV$7:CV$106,$AE44),1),IF($AF44&gt;0,INDEX(CV$7:CV$106,$AF44),1),IF($AG44&gt;0,INDEX(CV$7:CV$106,$AG44),1),IF($AH44&gt;0,INDEX(CV$7:CV$106,$AH44),1),IF($AI44&gt;0,INDEX(CV$7:CV$106,$AI44),1),IF($AJ44&gt;0,INDEX(CV$7:CV$106,$AJ44),1))))</ns0:f>
        <ns0:v>1</ns0:v>
      </ns0:c>
      <ns0:c r="CX44" t="n">
        <ns0:f>IF($A44="",1,IF(CW44=1,1,--AND(IF($AC44&gt;0,INDEX(CW$7:CW$106,$AC44),1),IF($AD44&gt;0,INDEX(CW$7:CW$106,$AD44),1),IF($AE44&gt;0,INDEX(CW$7:CW$106,$AE44),1),IF($AF44&gt;0,INDEX(CW$7:CW$106,$AF44),1),IF($AG44&gt;0,INDEX(CW$7:CW$106,$AG44),1),IF($AH44&gt;0,INDEX(CW$7:CW$106,$AH44),1),IF($AI44&gt;0,INDEX(CW$7:CW$106,$AI44),1),IF($AJ44&gt;0,INDEX(CW$7:CW$106,$AJ44),1))))</ns0:f>
        <ns0:v>1</ns0:v>
      </ns0:c>
      <ns0:c r="CY44" t="n">
        <ns0:f>IF($A44="",1,IF(CX44=1,1,--AND(IF($AC44&gt;0,INDEX(CX$7:CX$106,$AC44),1),IF($AD44&gt;0,INDEX(CX$7:CX$106,$AD44),1),IF($AE44&gt;0,INDEX(CX$7:CX$106,$AE44),1),IF($AF44&gt;0,INDEX(CX$7:CX$106,$AF44),1),IF($AG44&gt;0,INDEX(CX$7:CX$106,$AG44),1),IF($AH44&gt;0,INDEX(CX$7:CX$106,$AH44),1),IF($AI44&gt;0,INDEX(CX$7:CX$106,$AI44),1),IF($AJ44&gt;0,INDEX(CX$7:CX$106,$AJ44),1))))</ns0:f>
        <ns0:v>1</ns0:v>
      </ns0:c>
      <ns0:c r="CZ44" t="n">
        <ns0:f>IF($A44="",1,IF(CY44=1,1,--AND(IF($AC44&gt;0,INDEX(CY$7:CY$106,$AC44),1),IF($AD44&gt;0,INDEX(CY$7:CY$106,$AD44),1),IF($AE44&gt;0,INDEX(CY$7:CY$106,$AE44),1),IF($AF44&gt;0,INDEX(CY$7:CY$106,$AF44),1),IF($AG44&gt;0,INDEX(CY$7:CY$106,$AG44),1),IF($AH44&gt;0,INDEX(CY$7:CY$106,$AH44),1),IF($AI44&gt;0,INDEX(CY$7:CY$106,$AI44),1),IF($AJ44&gt;0,INDEX(CY$7:CY$106,$AJ44),1))))</ns0:f>
        <ns0:v>1</ns0:v>
      </ns0:c>
      <ns0:c r="DA44" t="n">
        <ns0:f>IF($A44="",1,IF(CZ44=1,1,--AND(IF($AC44&gt;0,INDEX(CZ$7:CZ$106,$AC44),1),IF($AD44&gt;0,INDEX(CZ$7:CZ$106,$AD44),1),IF($AE44&gt;0,INDEX(CZ$7:CZ$106,$AE44),1),IF($AF44&gt;0,INDEX(CZ$7:CZ$106,$AF44),1),IF($AG44&gt;0,INDEX(CZ$7:CZ$106,$AG44),1),IF($AH44&gt;0,INDEX(CZ$7:CZ$106,$AH44),1),IF($AI44&gt;0,INDEX(CZ$7:CZ$106,$AI44),1),IF($AJ44&gt;0,INDEX(CZ$7:CZ$106,$AJ44),1))))</ns0:f>
        <ns0:v>1</ns0:v>
      </ns0:c>
      <ns0:c r="DB44" t="n">
        <ns0:f>IF($A44="",1,IF(DA44=1,1,--AND(IF($AC44&gt;0,INDEX(DA$7:DA$106,$AC44),1),IF($AD44&gt;0,INDEX(DA$7:DA$106,$AD44),1),IF($AE44&gt;0,INDEX(DA$7:DA$106,$AE44),1),IF($AF44&gt;0,INDEX(DA$7:DA$106,$AF44),1),IF($AG44&gt;0,INDEX(DA$7:DA$106,$AG44),1),IF($AH44&gt;0,INDEX(DA$7:DA$106,$AH44),1),IF($AI44&gt;0,INDEX(DA$7:DA$106,$AI44),1),IF($AJ44&gt;0,INDEX(DA$7:DA$106,$AJ44),1))))</ns0:f>
        <ns0:v>1</ns0:v>
      </ns0:c>
      <ns0:c r="DC44" t="n">
        <ns0:f>IF($A44="",1,IF(DB44=1,1,--AND(IF($AC44&gt;0,INDEX(DB$7:DB$106,$AC44),1),IF($AD44&gt;0,INDEX(DB$7:DB$106,$AD44),1),IF($AE44&gt;0,INDEX(DB$7:DB$106,$AE44),1),IF($AF44&gt;0,INDEX(DB$7:DB$106,$AF44),1),IF($AG44&gt;0,INDEX(DB$7:DB$106,$AG44),1),IF($AH44&gt;0,INDEX(DB$7:DB$106,$AH44),1),IF($AI44&gt;0,INDEX(DB$7:DB$106,$AI44),1),IF($AJ44&gt;0,INDEX(DB$7:DB$106,$AJ44),1))))</ns0:f>
        <ns0:v>1</ns0:v>
      </ns0:c>
      <ns0:c r="DD44" t="n">
        <ns0:f>IF($A44="",1,IF(DC44=1,1,--AND(IF($AC44&gt;0,INDEX(DC$7:DC$106,$AC44),1),IF($AD44&gt;0,INDEX(DC$7:DC$106,$AD44),1),IF($AE44&gt;0,INDEX(DC$7:DC$106,$AE44),1),IF($AF44&gt;0,INDEX(DC$7:DC$106,$AF44),1),IF($AG44&gt;0,INDEX(DC$7:DC$106,$AG44),1),IF($AH44&gt;0,INDEX(DC$7:DC$106,$AH44),1),IF($AI44&gt;0,INDEX(DC$7:DC$106,$AI44),1),IF($AJ44&gt;0,INDEX(DC$7:DC$106,$AJ44),1))))</ns0:f>
        <ns0:v>1</ns0:v>
      </ns0:c>
      <ns0:c r="DE44" t="n">
        <ns0:f>IF($A44="",1,IF(DD44=1,1,--AND(IF($AC44&gt;0,INDEX(DD$7:DD$106,$AC44),1),IF($AD44&gt;0,INDEX(DD$7:DD$106,$AD44),1),IF($AE44&gt;0,INDEX(DD$7:DD$106,$AE44),1),IF($AF44&gt;0,INDEX(DD$7:DD$106,$AF44),1),IF($AG44&gt;0,INDEX(DD$7:DD$106,$AG44),1),IF($AH44&gt;0,INDEX(DD$7:DD$106,$AH44),1),IF($AI44&gt;0,INDEX(DD$7:DD$106,$AI44),1),IF($AJ44&gt;0,INDEX(DD$7:DD$106,$AJ44),1))))</ns0:f>
        <ns0:v>1</ns0:v>
      </ns0:c>
      <ns0:c r="DF44" t="n">
        <ns0:f>IF($A44="",1,IF(DE44=1,1,--AND(IF($AC44&gt;0,INDEX(DE$7:DE$106,$AC44),1),IF($AD44&gt;0,INDEX(DE$7:DE$106,$AD44),1),IF($AE44&gt;0,INDEX(DE$7:DE$106,$AE44),1),IF($AF44&gt;0,INDEX(DE$7:DE$106,$AF44),1),IF($AG44&gt;0,INDEX(DE$7:DE$106,$AG44),1),IF($AH44&gt;0,INDEX(DE$7:DE$106,$AH44),1),IF($AI44&gt;0,INDEX(DE$7:DE$106,$AI44),1),IF($AJ44&gt;0,INDEX(DE$7:DE$106,$AJ44),1))))</ns0:f>
        <ns0:v>1</ns0:v>
      </ns0:c>
      <ns0:c r="DG44" t="n">
        <ns0:f>IF($A44="",1,IF(DF44=1,1,--AND(IF($AC44&gt;0,INDEX(DF$7:DF$106,$AC44),1),IF($AD44&gt;0,INDEX(DF$7:DF$106,$AD44),1),IF($AE44&gt;0,INDEX(DF$7:DF$106,$AE44),1),IF($AF44&gt;0,INDEX(DF$7:DF$106,$AF44),1),IF($AG44&gt;0,INDEX(DF$7:DF$106,$AG44),1),IF($AH44&gt;0,INDEX(DF$7:DF$106,$AH44),1),IF($AI44&gt;0,INDEX(DF$7:DF$106,$AI44),1),IF($AJ44&gt;0,INDEX(DF$7:DF$106,$AJ44),1))))</ns0:f>
        <ns0:v>1</ns0:v>
      </ns0:c>
      <ns0:c r="DH44" t="n">
        <ns0:f>IF($A44="",1,IF(DG44=1,1,--AND(IF($AC44&gt;0,INDEX(DG$7:DG$106,$AC44),1),IF($AD44&gt;0,INDEX(DG$7:DG$106,$AD44),1),IF($AE44&gt;0,INDEX(DG$7:DG$106,$AE44),1),IF($AF44&gt;0,INDEX(DG$7:DG$106,$AF44),1),IF($AG44&gt;0,INDEX(DG$7:DG$106,$AG44),1),IF($AH44&gt;0,INDEX(DG$7:DG$106,$AH44),1),IF($AI44&gt;0,INDEX(DG$7:DG$106,$AI44),1),IF($AJ44&gt;0,INDEX(DG$7:DG$106,$AJ44),1))))</ns0:f>
        <ns0:v>1</ns0:v>
      </ns0:c>
      <ns0:c r="DI44" t="n">
        <ns0:f>IF($A44="",1,IF(DH44=1,1,--AND(IF($AC44&gt;0,INDEX(DH$7:DH$106,$AC44),1),IF($AD44&gt;0,INDEX(DH$7:DH$106,$AD44),1),IF($AE44&gt;0,INDEX(DH$7:DH$106,$AE44),1),IF($AF44&gt;0,INDEX(DH$7:DH$106,$AF44),1),IF($AG44&gt;0,INDEX(DH$7:DH$106,$AG44),1),IF($AH44&gt;0,INDEX(DH$7:DH$106,$AH44),1),IF($AI44&gt;0,INDEX(DH$7:DH$106,$AI44),1),IF($AJ44&gt;0,INDEX(DH$7:DH$106,$AJ44),1))))</ns0:f>
        <ns0:v>1</ns0:v>
      </ns0:c>
      <ns0:c r="DJ44" t="n">
        <ns0:f>IF($A44="",1,IF(DI44=1,1,--AND(IF($AC44&gt;0,INDEX(DI$7:DI$106,$AC44),1),IF($AD44&gt;0,INDEX(DI$7:DI$106,$AD44),1),IF($AE44&gt;0,INDEX(DI$7:DI$106,$AE44),1),IF($AF44&gt;0,INDEX(DI$7:DI$106,$AF44),1),IF($AG44&gt;0,INDEX(DI$7:DI$106,$AG44),1),IF($AH44&gt;0,INDEX(DI$7:DI$106,$AH44),1),IF($AI44&gt;0,INDEX(DI$7:DI$106,$AI44),1),IF($AJ44&gt;0,INDEX(DI$7:DI$106,$AJ44),1))))</ns0:f>
        <ns0:v>1</ns0:v>
      </ns0:c>
      <ns0:c r="DK44" t="n">
        <ns0:f>IF($A44="",1,IF(DJ44=1,1,--AND(IF($AC44&gt;0,INDEX(DJ$7:DJ$106,$AC44),1),IF($AD44&gt;0,INDEX(DJ$7:DJ$106,$AD44),1),IF($AE44&gt;0,INDEX(DJ$7:DJ$106,$AE44),1),IF($AF44&gt;0,INDEX(DJ$7:DJ$106,$AF44),1),IF($AG44&gt;0,INDEX(DJ$7:DJ$106,$AG44),1),IF($AH44&gt;0,INDEX(DJ$7:DJ$106,$AH44),1),IF($AI44&gt;0,INDEX(DJ$7:DJ$106,$AI44),1),IF($AJ44&gt;0,INDEX(DJ$7:DJ$106,$AJ44),1))))</ns0:f>
        <ns0:v>1</ns0:v>
      </ns0:c>
      <ns0:c r="DL44" t="n">
        <ns0:f>IF($A44="",1,IF(DK44=1,1,--AND(IF($AC44&gt;0,INDEX(DK$7:DK$106,$AC44),1),IF($AD44&gt;0,INDEX(DK$7:DK$106,$AD44),1),IF($AE44&gt;0,INDEX(DK$7:DK$106,$AE44),1),IF($AF44&gt;0,INDEX(DK$7:DK$106,$AF44),1),IF($AG44&gt;0,INDEX(DK$7:DK$106,$AG44),1),IF($AH44&gt;0,INDEX(DK$7:DK$106,$AH44),1),IF($AI44&gt;0,INDEX(DK$7:DK$106,$AI44),1),IF($AJ44&gt;0,INDEX(DK$7:DK$106,$AJ44),1))))</ns0:f>
        <ns0:v>1</ns0:v>
      </ns0:c>
      <ns0:c r="DM44" t="n">
        <ns0:f>IF($A44="",1,IF(DL44=1,1,--AND(IF($AC44&gt;0,INDEX(DL$7:DL$106,$AC44),1),IF($AD44&gt;0,INDEX(DL$7:DL$106,$AD44),1),IF($AE44&gt;0,INDEX(DL$7:DL$106,$AE44),1),IF($AF44&gt;0,INDEX(DL$7:DL$106,$AF44),1),IF($AG44&gt;0,INDEX(DL$7:DL$106,$AG44),1),IF($AH44&gt;0,INDEX(DL$7:DL$106,$AH44),1),IF($AI44&gt;0,INDEX(DL$7:DL$106,$AI44),1),IF($AJ44&gt;0,INDEX(DL$7:DL$106,$AJ44),1))))</ns0:f>
        <ns0:v>1</ns0:v>
      </ns0:c>
      <ns0:c r="DN44" t="n">
        <ns0:f>IF($A44="",1,IF(DM44=1,1,--AND(IF($AC44&gt;0,INDEX(DM$7:DM$106,$AC44),1),IF($AD44&gt;0,INDEX(DM$7:DM$106,$AD44),1),IF($AE44&gt;0,INDEX(DM$7:DM$106,$AE44),1),IF($AF44&gt;0,INDEX(DM$7:DM$106,$AF44),1),IF($AG44&gt;0,INDEX(DM$7:DM$106,$AG44),1),IF($AH44&gt;0,INDEX(DM$7:DM$106,$AH44),1),IF($AI44&gt;0,INDEX(DM$7:DM$106,$AI44),1),IF($AJ44&gt;0,INDEX(DM$7:DM$106,$AJ44),1))))</ns0:f>
        <ns0:v>1</ns0:v>
      </ns0:c>
      <ns0:c r="DO44" t="n">
        <ns0:f>IF($A44="",1,IF(DN44=1,1,--AND(IF($AC44&gt;0,INDEX(DN$7:DN$106,$AC44),1),IF($AD44&gt;0,INDEX(DN$7:DN$106,$AD44),1),IF($AE44&gt;0,INDEX(DN$7:DN$106,$AE44),1),IF($AF44&gt;0,INDEX(DN$7:DN$106,$AF44),1),IF($AG44&gt;0,INDEX(DN$7:DN$106,$AG44),1),IF($AH44&gt;0,INDEX(DN$7:DN$106,$AH44),1),IF($AI44&gt;0,INDEX(DN$7:DN$106,$AI44),1),IF($AJ44&gt;0,INDEX(DN$7:DN$106,$AJ44),1))))</ns0:f>
        <ns0:v>1</ns0:v>
      </ns0:c>
      <ns0:c r="DP44" t="n">
        <ns0:f>IF($A44="",1,IF(DO44=1,1,--AND(IF($AC44&gt;0,INDEX(DO$7:DO$106,$AC44),1),IF($AD44&gt;0,INDEX(DO$7:DO$106,$AD44),1),IF($AE44&gt;0,INDEX(DO$7:DO$106,$AE44),1),IF($AF44&gt;0,INDEX(DO$7:DO$106,$AF44),1),IF($AG44&gt;0,INDEX(DO$7:DO$106,$AG44),1),IF($AH44&gt;0,INDEX(DO$7:DO$106,$AH44),1),IF($AI44&gt;0,INDEX(DO$7:DO$106,$AI44),1),IF($AJ44&gt;0,INDEX(DO$7:DO$106,$AJ44),1))))</ns0:f>
        <ns0:v>1</ns0:v>
      </ns0:c>
      <ns0:c r="DQ44" t="n">
        <ns0:f>IF($A44="",1,IF(DP44=1,1,--AND(IF($AC44&gt;0,INDEX(DP$7:DP$106,$AC44),1),IF($AD44&gt;0,INDEX(DP$7:DP$106,$AD44),1),IF($AE44&gt;0,INDEX(DP$7:DP$106,$AE44),1),IF($AF44&gt;0,INDEX(DP$7:DP$106,$AF44),1),IF($AG44&gt;0,INDEX(DP$7:DP$106,$AG44),1),IF($AH44&gt;0,INDEX(DP$7:DP$106,$AH44),1),IF($AI44&gt;0,INDEX(DP$7:DP$106,$AI44),1),IF($AJ44&gt;0,INDEX(DP$7:DP$106,$AJ44),1))))</ns0:f>
        <ns0:v>1</ns0:v>
      </ns0:c>
      <ns0:c r="DR44" t="n">
        <ns0:f>IF($A44="",1,IF(DQ44=1,1,--AND(IF($AC44&gt;0,INDEX(DQ$7:DQ$106,$AC44),1),IF($AD44&gt;0,INDEX(DQ$7:DQ$106,$AD44),1),IF($AE44&gt;0,INDEX(DQ$7:DQ$106,$AE44),1),IF($AF44&gt;0,INDEX(DQ$7:DQ$106,$AF44),1),IF($AG44&gt;0,INDEX(DQ$7:DQ$106,$AG44),1),IF($AH44&gt;0,INDEX(DQ$7:DQ$106,$AH44),1),IF($AI44&gt;0,INDEX(DQ$7:DQ$106,$AI44),1),IF($AJ44&gt;0,INDEX(DQ$7:DQ$106,$AJ44),1))))</ns0:f>
        <ns0:v>1</ns0:v>
      </ns0:c>
      <ns0:c r="DS44" t="n">
        <ns0:f>IF($A44="",1,IF(DR44=1,1,--AND(IF($AC44&gt;0,INDEX(DR$7:DR$106,$AC44),1),IF($AD44&gt;0,INDEX(DR$7:DR$106,$AD44),1),IF($AE44&gt;0,INDEX(DR$7:DR$106,$AE44),1),IF($AF44&gt;0,INDEX(DR$7:DR$106,$AF44),1),IF($AG44&gt;0,INDEX(DR$7:DR$106,$AG44),1),IF($AH44&gt;0,INDEX(DR$7:DR$106,$AH44),1),IF($AI44&gt;0,INDEX(DR$7:DR$106,$AI44),1),IF($AJ44&gt;0,INDEX(DR$7:DR$106,$AJ44),1))))</ns0:f>
        <ns0:v>1</ns0:v>
      </ns0:c>
      <ns0:c r="DT44" t="n">
        <ns0:f>IF($A44="",1,IF(DS44=1,1,--AND(IF($AC44&gt;0,INDEX(DS$7:DS$106,$AC44),1),IF($AD44&gt;0,INDEX(DS$7:DS$106,$AD44),1),IF($AE44&gt;0,INDEX(DS$7:DS$106,$AE44),1),IF($AF44&gt;0,INDEX(DS$7:DS$106,$AF44),1),IF($AG44&gt;0,INDEX(DS$7:DS$106,$AG44),1),IF($AH44&gt;0,INDEX(DS$7:DS$106,$AH44),1),IF($AI44&gt;0,INDEX(DS$7:DS$106,$AI44),1),IF($AJ44&gt;0,INDEX(DS$7:DS$106,$AJ44),1))))</ns0:f>
        <ns0:v>1</ns0:v>
      </ns0:c>
      <ns0:c r="DU44" t="n">
        <ns0:f>IF($A44="",1,IF(DT44=1,1,--AND(IF($AC44&gt;0,INDEX(DT$7:DT$106,$AC44),1),IF($AD44&gt;0,INDEX(DT$7:DT$106,$AD44),1),IF($AE44&gt;0,INDEX(DT$7:DT$106,$AE44),1),IF($AF44&gt;0,INDEX(DT$7:DT$106,$AF44),1),IF($AG44&gt;0,INDEX(DT$7:DT$106,$AG44),1),IF($AH44&gt;0,INDEX(DT$7:DT$106,$AH44),1),IF($AI44&gt;0,INDEX(DT$7:DT$106,$AI44),1),IF($AJ44&gt;0,INDEX(DT$7:DT$106,$AJ44),1))))</ns0:f>
        <ns0:v>1</ns0:v>
      </ns0:c>
      <ns0:c r="DV44" t="n">
        <ns0:f>IF($A44="",1,IF(DU44=1,1,--AND(IF($AC44&gt;0,INDEX(DU$7:DU$106,$AC44),1),IF($AD44&gt;0,INDEX(DU$7:DU$106,$AD44),1),IF($AE44&gt;0,INDEX(DU$7:DU$106,$AE44),1),IF($AF44&gt;0,INDEX(DU$7:DU$106,$AF44),1),IF($AG44&gt;0,INDEX(DU$7:DU$106,$AG44),1),IF($AH44&gt;0,INDEX(DU$7:DU$106,$AH44),1),IF($AI44&gt;0,INDEX(DU$7:DU$106,$AI44),1),IF($AJ44&gt;0,INDEX(DU$7:DU$106,$AJ44),1))))</ns0:f>
        <ns0:v>1</ns0:v>
      </ns0:c>
      <ns0:c r="DW44" t="n">
        <ns0:f>IF($A44="",1,IF(DV44=1,1,--AND(IF($AC44&gt;0,INDEX(DV$7:DV$106,$AC44),1),IF($AD44&gt;0,INDEX(DV$7:DV$106,$AD44),1),IF($AE44&gt;0,INDEX(DV$7:DV$106,$AE44),1),IF($AF44&gt;0,INDEX(DV$7:DV$106,$AF44),1),IF($AG44&gt;0,INDEX(DV$7:DV$106,$AG44),1),IF($AH44&gt;0,INDEX(DV$7:DV$106,$AH44),1),IF($AI44&gt;0,INDEX(DV$7:DV$106,$AI44),1),IF($AJ44&gt;0,INDEX(DV$7:DV$106,$AJ44),1))))</ns0:f>
        <ns0:v>1</ns0:v>
      </ns0:c>
      <ns0:c r="DX44" t="n">
        <ns0:f>IF($A44="",1,IF(DW44=1,1,--AND(IF($AC44&gt;0,INDEX(DW$7:DW$106,$AC44),1),IF($AD44&gt;0,INDEX(DW$7:DW$106,$AD44),1),IF($AE44&gt;0,INDEX(DW$7:DW$106,$AE44),1),IF($AF44&gt;0,INDEX(DW$7:DW$106,$AF44),1),IF($AG44&gt;0,INDEX(DW$7:DW$106,$AG44),1),IF($AH44&gt;0,INDEX(DW$7:DW$106,$AH44),1),IF($AI44&gt;0,INDEX(DW$7:DW$106,$AI44),1),IF($AJ44&gt;0,INDEX(DW$7:DW$106,$AJ44),1))))</ns0:f>
        <ns0:v>1</ns0:v>
      </ns0:c>
      <ns0:c r="DY44" t="n">
        <ns0:f>IF($A44="",1,IF(DX44=1,1,--AND(IF($AC44&gt;0,INDEX(DX$7:DX$106,$AC44),1),IF($AD44&gt;0,INDEX(DX$7:DX$106,$AD44),1),IF($AE44&gt;0,INDEX(DX$7:DX$106,$AE44),1),IF($AF44&gt;0,INDEX(DX$7:DX$106,$AF44),1),IF($AG44&gt;0,INDEX(DX$7:DX$106,$AG44),1),IF($AH44&gt;0,INDEX(DX$7:DX$106,$AH44),1),IF($AI44&gt;0,INDEX(DX$7:DX$106,$AI44),1),IF($AJ44&gt;0,INDEX(DX$7:DX$106,$AJ44),1))))</ns0:f>
        <ns0:v>1</ns0:v>
      </ns0:c>
      <ns0:c r="DZ44" t="n">
        <ns0:f>IF($A44="",1,IF(DY44=1,1,--AND(IF($AC44&gt;0,INDEX(DY$7:DY$106,$AC44),1),IF($AD44&gt;0,INDEX(DY$7:DY$106,$AD44),1),IF($AE44&gt;0,INDEX(DY$7:DY$106,$AE44),1),IF($AF44&gt;0,INDEX(DY$7:DY$106,$AF44),1),IF($AG44&gt;0,INDEX(DY$7:DY$106,$AG44),1),IF($AH44&gt;0,INDEX(DY$7:DY$106,$AH44),1),IF($AI44&gt;0,INDEX(DY$7:DY$106,$AI44),1),IF($AJ44&gt;0,INDEX(DY$7:DY$106,$AJ44),1))))</ns0:f>
        <ns0:v>1</ns0:v>
      </ns0:c>
      <ns0:c r="EA44" t="n">
        <ns0:f>IF($A44="",1,IF(DZ44=1,1,--AND(IF($AC44&gt;0,INDEX(DZ$7:DZ$106,$AC44),1),IF($AD44&gt;0,INDEX(DZ$7:DZ$106,$AD44),1),IF($AE44&gt;0,INDEX(DZ$7:DZ$106,$AE44),1),IF($AF44&gt;0,INDEX(DZ$7:DZ$106,$AF44),1),IF($AG44&gt;0,INDEX(DZ$7:DZ$106,$AG44),1),IF($AH44&gt;0,INDEX(DZ$7:DZ$106,$AH44),1),IF($AI44&gt;0,INDEX(DZ$7:DZ$106,$AI44),1),IF($AJ44&gt;0,INDEX(DZ$7:DZ$106,$AJ44),1))))</ns0:f>
        <ns0:v>1</ns0:v>
      </ns0:c>
      <ns0:c r="EB44" t="n">
        <ns0:f>IF($A44="",1,IF(EA44=1,1,--AND(IF($AC44&gt;0,INDEX(EA$7:EA$106,$AC44),1),IF($AD44&gt;0,INDEX(EA$7:EA$106,$AD44),1),IF($AE44&gt;0,INDEX(EA$7:EA$106,$AE44),1),IF($AF44&gt;0,INDEX(EA$7:EA$106,$AF44),1),IF($AG44&gt;0,INDEX(EA$7:EA$106,$AG44),1),IF($AH44&gt;0,INDEX(EA$7:EA$106,$AH44),1),IF($AI44&gt;0,INDEX(EA$7:EA$106,$AI44),1),IF($AJ44&gt;0,INDEX(EA$7:EA$106,$AJ44),1))))</ns0:f>
        <ns0:v>1</ns0:v>
      </ns0:c>
      <ns0:c r="EC44" t="n">
        <ns0:f>IF($A44="",1,IF(EB44=1,1,--AND(IF($AC44&gt;0,INDEX(EB$7:EB$106,$AC44),1),IF($AD44&gt;0,INDEX(EB$7:EB$106,$AD44),1),IF($AE44&gt;0,INDEX(EB$7:EB$106,$AE44),1),IF($AF44&gt;0,INDEX(EB$7:EB$106,$AF44),1),IF($AG44&gt;0,INDEX(EB$7:EB$106,$AG44),1),IF($AH44&gt;0,INDEX(EB$7:EB$106,$AH44),1),IF($AI44&gt;0,INDEX(EB$7:EB$106,$AI44),1),IF($AJ44&gt;0,INDEX(EB$7:EB$106,$AJ44),1))))</ns0:f>
        <ns0:v>1</ns0:v>
      </ns0:c>
      <ns0:c r="ED44" t="n">
        <ns0:f>IF($A44="",1,IF(EC44=1,1,--AND(IF($AC44&gt;0,INDEX(EC$7:EC$106,$AC44),1),IF($AD44&gt;0,INDEX(EC$7:EC$106,$AD44),1),IF($AE44&gt;0,INDEX(EC$7:EC$106,$AE44),1),IF($AF44&gt;0,INDEX(EC$7:EC$106,$AF44),1),IF($AG44&gt;0,INDEX(EC$7:EC$106,$AG44),1),IF($AH44&gt;0,INDEX(EC$7:EC$106,$AH44),1),IF($AI44&gt;0,INDEX(EC$7:EC$106,$AI44),1),IF($AJ44&gt;0,INDEX(EC$7:EC$106,$AJ44),1))))</ns0:f>
        <ns0:v>1</ns0:v>
      </ns0:c>
      <ns0:c r="EE44" t="n">
        <ns0:f>IF($A44="",1,IF(ED44=1,1,--AND(IF($AC44&gt;0,INDEX(ED$7:ED$106,$AC44),1),IF($AD44&gt;0,INDEX(ED$7:ED$106,$AD44),1),IF($AE44&gt;0,INDEX(ED$7:ED$106,$AE44),1),IF($AF44&gt;0,INDEX(ED$7:ED$106,$AF44),1),IF($AG44&gt;0,INDEX(ED$7:ED$106,$AG44),1),IF($AH44&gt;0,INDEX(ED$7:ED$106,$AH44),1),IF($AI44&gt;0,INDEX(ED$7:ED$106,$AI44),1),IF($AJ44&gt;0,INDEX(ED$7:ED$106,$AJ44),1))))</ns0:f>
        <ns0:v>1</ns0:v>
      </ns0:c>
      <ns0:c r="EF44" t="n">
        <ns0:f>IF($A44="",1,IF(EE44=1,1,--AND(IF($AC44&gt;0,INDEX(EE$7:EE$106,$AC44),1),IF($AD44&gt;0,INDEX(EE$7:EE$106,$AD44),1),IF($AE44&gt;0,INDEX(EE$7:EE$106,$AE44),1),IF($AF44&gt;0,INDEX(EE$7:EE$106,$AF44),1),IF($AG44&gt;0,INDEX(EE$7:EE$106,$AG44),1),IF($AH44&gt;0,INDEX(EE$7:EE$106,$AH44),1),IF($AI44&gt;0,INDEX(EE$7:EE$106,$AI44),1),IF($AJ44&gt;0,INDEX(EE$7:EE$106,$AJ44),1))))</ns0:f>
        <ns0:v>1</ns0:v>
      </ns0:c>
      <ns0:c r="EG44" t="n">
        <ns0:f>IF($A44="",1,IF(EF44=1,1,--AND(IF($AC44&gt;0,INDEX(EF$7:EF$106,$AC44),1),IF($AD44&gt;0,INDEX(EF$7:EF$106,$AD44),1),IF($AE44&gt;0,INDEX(EF$7:EF$106,$AE44),1),IF($AF44&gt;0,INDEX(EF$7:EF$106,$AF44),1),IF($AG44&gt;0,INDEX(EF$7:EF$106,$AG44),1),IF($AH44&gt;0,INDEX(EF$7:EF$106,$AH44),1),IF($AI44&gt;0,INDEX(EF$7:EF$106,$AI44),1),IF($AJ44&gt;0,INDEX(EF$7:EF$106,$AJ44),1))))</ns0:f>
        <ns0:v>1</ns0:v>
      </ns0:c>
      <ns0:c r="EH44" t="n">
        <ns0:f>IF($A44="",1,IF(EG44=1,1,--AND(IF($AC44&gt;0,INDEX(EG$7:EG$106,$AC44),1),IF($AD44&gt;0,INDEX(EG$7:EG$106,$AD44),1),IF($AE44&gt;0,INDEX(EG$7:EG$106,$AE44),1),IF($AF44&gt;0,INDEX(EG$7:EG$106,$AF44),1),IF($AG44&gt;0,INDEX(EG$7:EG$106,$AG44),1),IF($AH44&gt;0,INDEX(EG$7:EG$106,$AH44),1),IF($AI44&gt;0,INDEX(EG$7:EG$106,$AI44),1),IF($AJ44&gt;0,INDEX(EG$7:EG$106,$AJ44),1))))</ns0:f>
        <ns0:v>1</ns0:v>
      </ns0:c>
      <ns0:c r="EI44" t="n">
        <ns0:f>IF($A44="",1,IF(EH44=1,1,--AND(IF($AC44&gt;0,INDEX(EH$7:EH$106,$AC44),1),IF($AD44&gt;0,INDEX(EH$7:EH$106,$AD44),1),IF($AE44&gt;0,INDEX(EH$7:EH$106,$AE44),1),IF($AF44&gt;0,INDEX(EH$7:EH$106,$AF44),1),IF($AG44&gt;0,INDEX(EH$7:EH$106,$AG44),1),IF($AH44&gt;0,INDEX(EH$7:EH$106,$AH44),1),IF($AI44&gt;0,INDEX(EH$7:EH$106,$AI44),1),IF($AJ44&gt;0,INDEX(EH$7:EH$106,$AJ44),1))))</ns0:f>
        <ns0:v>1</ns0:v>
      </ns0:c>
      <ns0:c r="EJ44" t="n">
        <ns0:f>IF($A44="",1,IF(EI44=1,1,--AND(IF($AC44&gt;0,INDEX(EI$7:EI$106,$AC44),1),IF($AD44&gt;0,INDEX(EI$7:EI$106,$AD44),1),IF($AE44&gt;0,INDEX(EI$7:EI$106,$AE44),1),IF($AF44&gt;0,INDEX(EI$7:EI$106,$AF44),1),IF($AG44&gt;0,INDEX(EI$7:EI$106,$AG44),1),IF($AH44&gt;0,INDEX(EI$7:EI$106,$AH44),1),IF($AI44&gt;0,INDEX(EI$7:EI$106,$AI44),1),IF($AJ44&gt;0,INDEX(EI$7:EI$106,$AJ44),1))))</ns0:f>
        <ns0:v>1</ns0:v>
      </ns0:c>
      <ns0:c r="EK44" t="n">
        <ns0:f>IF($A44="",1,IF(EJ44=1,1,--AND(IF($AC44&gt;0,INDEX(EJ$7:EJ$106,$AC44),1),IF($AD44&gt;0,INDEX(EJ$7:EJ$106,$AD44),1),IF($AE44&gt;0,INDEX(EJ$7:EJ$106,$AE44),1),IF($AF44&gt;0,INDEX(EJ$7:EJ$106,$AF44),1),IF($AG44&gt;0,INDEX(EJ$7:EJ$106,$AG44),1),IF($AH44&gt;0,INDEX(EJ$7:EJ$106,$AH44),1),IF($AI44&gt;0,INDEX(EJ$7:EJ$106,$AI44),1),IF($AJ44&gt;0,INDEX(EJ$7:EJ$106,$AJ44),1))))</ns0:f>
        <ns0:v>1</ns0:v>
      </ns0:c>
      <ns0:c r="EL44" t="n">
        <ns0:f>IF($A44="",1,IF(EK44=1,1,--AND(IF($AC44&gt;0,INDEX(EK$7:EK$106,$AC44),1),IF($AD44&gt;0,INDEX(EK$7:EK$106,$AD44),1),IF($AE44&gt;0,INDEX(EK$7:EK$106,$AE44),1),IF($AF44&gt;0,INDEX(EK$7:EK$106,$AF44),1),IF($AG44&gt;0,INDEX(EK$7:EK$106,$AG44),1),IF($AH44&gt;0,INDEX(EK$7:EK$106,$AH44),1),IF($AI44&gt;0,INDEX(EK$7:EK$106,$AI44),1),IF($AJ44&gt;0,INDEX(EK$7:EK$106,$AJ44),1))))</ns0:f>
        <ns0:v>1</ns0:v>
      </ns0:c>
      <ns0:c r="EM44" t="n">
        <ns0:f>IF($A44="",1,IF(EL44=1,1,--AND(IF($AC44&gt;0,INDEX(EL$7:EL$106,$AC44),1),IF($AD44&gt;0,INDEX(EL$7:EL$106,$AD44),1),IF($AE44&gt;0,INDEX(EL$7:EL$106,$AE44),1),IF($AF44&gt;0,INDEX(EL$7:EL$106,$AF44),1),IF($AG44&gt;0,INDEX(EL$7:EL$106,$AG44),1),IF($AH44&gt;0,INDEX(EL$7:EL$106,$AH44),1),IF($AI44&gt;0,INDEX(EL$7:EL$106,$AI44),1),IF($AJ44&gt;0,INDEX(EL$7:EL$106,$AJ44),1))))</ns0:f>
        <ns0:v>1</ns0:v>
      </ns0:c>
      <ns0:c r="EN44" t="n">
        <ns0:f>IF($A44="",1,IF(EM44=1,1,--AND(IF($AC44&gt;0,INDEX(EM$7:EM$106,$AC44),1),IF($AD44&gt;0,INDEX(EM$7:EM$106,$AD44),1),IF($AE44&gt;0,INDEX(EM$7:EM$106,$AE44),1),IF($AF44&gt;0,INDEX(EM$7:EM$106,$AF44),1),IF($AG44&gt;0,INDEX(EM$7:EM$106,$AG44),1),IF($AH44&gt;0,INDEX(EM$7:EM$106,$AH44),1),IF($AI44&gt;0,INDEX(EM$7:EM$106,$AI44),1),IF($AJ44&gt;0,INDEX(EM$7:EM$106,$AJ44),1))))</ns0:f>
        <ns0:v>1</ns0:v>
      </ns0:c>
      <ns0:c r="EO44" t="n">
        <ns0:f>IF($A44="",1,IF(EN44=1,1,--AND(IF($AC44&gt;0,INDEX(EN$7:EN$106,$AC44),1),IF($AD44&gt;0,INDEX(EN$7:EN$106,$AD44),1),IF($AE44&gt;0,INDEX(EN$7:EN$106,$AE44),1),IF($AF44&gt;0,INDEX(EN$7:EN$106,$AF44),1),IF($AG44&gt;0,INDEX(EN$7:EN$106,$AG44),1),IF($AH44&gt;0,INDEX(EN$7:EN$106,$AH44),1),IF($AI44&gt;0,INDEX(EN$7:EN$106,$AI44),1),IF($AJ44&gt;0,INDEX(EN$7:EN$106,$AJ44),1))))</ns0:f>
        <ns0:v>1</ns0:v>
      </ns0:c>
      <ns0:c r="EP44" t="n">
        <ns0:f>IF($A44="",1,IF(EO44=1,1,--AND(IF($AC44&gt;0,INDEX(EO$7:EO$106,$AC44),1),IF($AD44&gt;0,INDEX(EO$7:EO$106,$AD44),1),IF($AE44&gt;0,INDEX(EO$7:EO$106,$AE44),1),IF($AF44&gt;0,INDEX(EO$7:EO$106,$AF44),1),IF($AG44&gt;0,INDEX(EO$7:EO$106,$AG44),1),IF($AH44&gt;0,INDEX(EO$7:EO$106,$AH44),1),IF($AI44&gt;0,INDEX(EO$7:EO$106,$AI44),1),IF($AJ44&gt;0,INDEX(EO$7:EO$106,$AJ44),1))))</ns0:f>
        <ns0:v>1</ns0:v>
      </ns0:c>
      <ns0:c r="EQ44" t="n">
        <ns0:f>IF(OR(A44="",NOT(ISNUMBER(G44))),0,G44*N44)</ns0:f>
        <ns0:v>0</ns0:v>
      </ns0:c>
    </ns0:row>
    <ns0:row r="45" ht="62" customHeight="1">
      <ns0:c r="A45" s="48" t="str">
        <ns0:v>T33</ns0:v>
      </ns0:c>
      <ns0:c r="B45" s="48" t="str">
        <ns0:v>Learning &amp; closeout</ns0:v>
      </ns0:c>
      <ns0:c r="C45" s="48" t="str">
        <ns0:v>Validate end-to-end W3C PROV audit lineage, state integrity &amp; logs</ns0:v>
      </ns0:c>
      <ns0:c r="D45" s="48" t="str">
        <ns0:v>Verify entity–activity–agent lineage, signatures, state and execution records.</ns0:v>
      </ns0:c>
      <ns0:c r="E45" s="49" t="n">
        <ns0:v>46307</ns0:v>
      </ns0:c>
      <ns0:c r="F45" s="49" t="n">
        <ns0:v>46308</ns0:v>
      </ns0:c>
      <ns0:c r="G45" s="13" t="n">
        <ns0:f>IF(A45="","",IF(OR(NOT(ISNUMBER(E45)),NOT(ISNUMBER(F45)),F45&lt;E45),"",IF(J45="Yes",0,F45-E45+1)))</ns0:f>
        <ns0:v>2</ns0:v>
      </ns0:c>
      <ns0:c r="H45" s="48" t="str">
        <ns0:v>T30,T31</ns0:v>
      </ns0:c>
      <ns0:c r="I45" s="48" t="str">
        <ns0:v>FS</ns0:v>
      </ns0:c>
      <ns0:c r="J45" s="48" t="str">
        <ns0:v>No</ns0:v>
      </ns0:c>
      <ns0:c r="K45" s="48" t="str">
        <ns0:v>W3C PROV Immutable Ledger</ns0:v>
      </ns0:c>
      <ns0:c r="L45" s="48" t="str"/>
      <ns0:c r="M45" s="50" t="str">
        <ns0:f>IF(A45="","",IF(N45=1,"Completed",IF(N45&gt;0,"In Progress","Not Started")))</ns0:f>
        <ns0:v>Not Started</ns0:v>
      </ns0:c>
      <ns0:c r="N45" s="51" t="n">
        <ns0:v>0</ns0:v>
      </ns0:c>
      <ns0:c r="O45" s="13" t="str">
        <ns0:f>IF(A45="","",IF(R45&lt;&gt;"","[CONFLICT] "&amp;R45,IF(S45&lt;&gt;"","[CONFLICT] "&amp;S45,IF(OR(NOT(ISNUMBER(N45)),N45&lt;0,N45&gt;1),"[CONFLICT] Invalid progress",IF(AK45&gt;0,"[DEPENDENCY ISSUE] Missing ID / &gt;8 links",IF(AM45&gt;0,"[DEPENDENCY ISSUE] Cycle or blocked by cycle",IF(AND(H45&lt;&gt;"",ISNA(MATCH(I45,{"FS","SS","FF","SF"},0))),"[DEPENDENCY ISSUE] Invalid type",IF(AL45&gt;0,"[DEPENDENCY ISSUE] Timing conflict",IF(OR(E45&lt;ProjectStart,F45&gt;ProjectEnd),"[OUTSIDE WINDOW]",IF(AND(N45&lt;1,F45&lt;AsOfDate),"Overdue",IF(AND(M45&lt;&gt;Q45,M45&lt;&gt;""),"[CONFLICT] Status / progress","On track")))))))))))</ns0:f>
        <ns0:v>On track</ns0:v>
      </ns0:c>
      <ns0:c r="P45" s="52" t="str">
        <ns0:v>Source: Project Plan Essentials (2).md §1, §2, §4. Original 2026-10-13 to 2026-10-14, 2d; original progress 0% [INFERRED]. [INFERRED] Rescheduled to fit 34d with FS. Original resource/tools: W3C PROV Immutable Ledger.</ns0:v>
      </ns0:c>
      <ns0:c r="Q45" t="str">
        <ns0:f>IF(A45="","",IF(OR(M45="On Hold",M45="Delayed"),M45,IF(N45=1,"Completed",IF(N45&gt;0,"In Progress","Not Started"))))</ns0:f>
        <ns0:v>Not Started</ns0:v>
      </ns0:c>
      <ns0:c r="R45" t="str">
        <ns0:f>IF(A45="","",IF(COUNTIFS(Tasks[Task ID],A45)&lt;&gt;1,"Duplicate ID",""))</ns0:f>
      </ns0:c>
      <ns0:c r="S45" t="str">
        <ns0:f>IF(A45="","",IF(OR(NOT(ISNUMBER(E45)),NOT(ISNUMBER(F45))),"Invalid / missing date",IF(OR(E45&lt;&gt;INT(E45),F45&lt;&gt;INT(F45),E45&lt;1,F45&gt;2958465),"Invalid date",IF(F45&lt;E45,"End before start",IF(AND(J45="Yes",E45&lt;&gt;F45),"Milestone needs one date","")))))</ns0:f>
      </ns0:c>
      <ns0:c r="T45" t="n">
        <ns0:f>IF(H45="",0,LEN(H45)-LEN(SUBSTITUTE(H45,",",""))+1)</ns0:f>
        <ns0:v>2</ns0:v>
      </ns0:c>
      <ns0:c r="U45" t="str">
        <ns0:f>TRIM(MID(SUBSTITUTE($H45,",",REPT(" ",100)),1,100))</ns0:f>
        <ns0:v>T30</ns0:v>
      </ns0:c>
      <ns0:c r="V45" t="str">
        <ns0:f>TRIM(MID(SUBSTITUTE($H45,",",REPT(" ",100)),101,100))</ns0:f>
        <ns0:v>T31</ns0:v>
      </ns0:c>
      <ns0:c r="W45" t="str">
        <ns0:f>TRIM(MID(SUBSTITUTE($H45,",",REPT(" ",100)),201,100))</ns0:f>
      </ns0:c>
      <ns0:c r="X45" t="str">
        <ns0:f>TRIM(MID(SUBSTITUTE($H45,",",REPT(" ",100)),301,100))</ns0:f>
      </ns0:c>
      <ns0:c r="Y45" t="str">
        <ns0:f>TRIM(MID(SUBSTITUTE($H45,",",REPT(" ",100)),401,100))</ns0:f>
      </ns0:c>
      <ns0:c r="Z45" t="str">
        <ns0:f>TRIM(MID(SUBSTITUTE($H45,",",REPT(" ",100)),501,100))</ns0:f>
      </ns0:c>
      <ns0:c r="AA45" t="str">
        <ns0:f>TRIM(MID(SUBSTITUTE($H45,",",REPT(" ",100)),601,100))</ns0:f>
      </ns0:c>
      <ns0:c r="AB45" t="str">
        <ns0:f>TRIM(MID(SUBSTITUTE($H45,",",REPT(" ",100)),701,100))</ns0:f>
      </ns0:c>
      <ns0:c r="AC45" t="n">
        <ns0:f>IF(U45="",0,IF(COUNTIFS(Tasks[Task ID],U45)=1,MATCH(U45,Tasks[Task ID],0),-1))</ns0:f>
        <ns0:v>36</ns0:v>
      </ns0:c>
      <ns0:c r="AD45" t="n">
        <ns0:f>IF(V45="",0,IF(COUNTIFS(Tasks[Task ID],V45)=1,MATCH(V45,Tasks[Task ID],0),-1))</ns0:f>
        <ns0:v>37</ns0:v>
      </ns0:c>
      <ns0:c r="AE45" t="n">
        <ns0:f>IF(W45="",0,IF(COUNTIFS(Tasks[Task ID],W45)=1,MATCH(W45,Tasks[Task ID],0),-1))</ns0:f>
        <ns0:v>0</ns0:v>
      </ns0:c>
      <ns0:c r="AF45" t="n">
        <ns0:f>IF(X45="",0,IF(COUNTIFS(Tasks[Task ID],X45)=1,MATCH(X45,Tasks[Task ID],0),-1))</ns0:f>
        <ns0:v>0</ns0:v>
      </ns0:c>
      <ns0:c r="AG45" t="n">
        <ns0:f>IF(Y45="",0,IF(COUNTIFS(Tasks[Task ID],Y45)=1,MATCH(Y45,Tasks[Task ID],0),-1))</ns0:f>
        <ns0:v>0</ns0:v>
      </ns0:c>
      <ns0:c r="AH45" t="n">
        <ns0:f>IF(Z45="",0,IF(COUNTIFS(Tasks[Task ID],Z45)=1,MATCH(Z45,Tasks[Task ID],0),-1))</ns0:f>
        <ns0:v>0</ns0:v>
      </ns0:c>
      <ns0:c r="AI45" t="n">
        <ns0:f>IF(AA45="",0,IF(COUNTIFS(Tasks[Task ID],AA45)=1,MATCH(AA45,Tasks[Task ID],0),-1))</ns0:f>
        <ns0:v>0</ns0:v>
      </ns0:c>
      <ns0:c r="AJ45" t="n">
        <ns0:f>IF(AB45="",0,IF(COUNTIFS(Tasks[Task ID],AB45)=1,MATCH(AB45,Tasks[Task ID],0),-1))</ns0:f>
        <ns0:v>0</ns0:v>
      </ns0:c>
      <ns0:c r="AK45" t="n">
        <ns0:f>COUNTIFS(AC45:AJ45,-1)+IF(T45&gt;8,1,0)</ns0:f>
        <ns0:v>0</ns0:v>
      </ns0:c>
      <ns0:c r="AL45" t="n">
        <ns0:f>IF(OR(A45="",S45&lt;&gt;""),0,SUM(IF(AC45&gt;0,IF($I45="FS",--($E45&lt;INDEX(Tasks[End Date],AC45)+IF(INDEX(Tasks[Milestone],AC45)="Yes",0,1)),IF($I45="SS",--($E45&lt;INDEX(Tasks[Start Date],AC45)),IF($I45="FF",--($F45&lt;INDEX(Tasks[End Date],AC45)),IF($I45="SF",--($F45&lt;INDEX(Tasks[Start Date],AC45)),0)))),0),IF(AD45&gt;0,IF($I45="FS",--($E45&lt;INDEX(Tasks[End Date],AD45)+IF(INDEX(Tasks[Milestone],AD45)="Yes",0,1)),IF($I45="SS",--($E45&lt;INDEX(Tasks[Start Date],AD45)),IF($I45="FF",--($F45&lt;INDEX(Tasks[End Date],AD45)),IF($I45="SF",--($F45&lt;INDEX(Tasks[Start Date],AD45)),0)))),0),IF(AE45&gt;0,IF($I45="FS",--($E45&lt;INDEX(Tasks[End Date],AE45)+IF(INDEX(Tasks[Milestone],AE45)="Yes",0,1)),IF($I45="SS",--($E45&lt;INDEX(Tasks[Start Date],AE45)),IF($I45="FF",--($F45&lt;INDEX(Tasks[End Date],AE45)),IF($I45="SF",--($F45&lt;INDEX(Tasks[Start Date],AE45)),0)))),0),IF(AF45&gt;0,IF($I45="FS",--($E45&lt;INDEX(Tasks[End Date],AF45)+IF(INDEX(Tasks[Milestone],AF45)="Yes",0,1)),IF($I45="SS",--($E45&lt;INDEX(Tasks[Start Date],AF45)),IF($I45="FF",--($F45&lt;INDEX(Tasks[End Date],AF45)),IF($I45="SF",--($F45&lt;INDEX(Tasks[Start Date],AF45)),0)))),0),IF(AG45&gt;0,IF($I45="FS",--($E45&lt;INDEX(Tasks[End Date],AG45)+IF(INDEX(Tasks[Milestone],AG45)="Yes",0,1)),IF($I45="SS",--($E45&lt;INDEX(Tasks[Start Date],AG45)),IF($I45="FF",--($F45&lt;INDEX(Tasks[End Date],AG45)),IF($I45="SF",--($F45&lt;INDEX(Tasks[Start Date],AG45)),0)))),0),IF(AH45&gt;0,IF($I45="FS",--($E45&lt;INDEX(Tasks[End Date],AH45)+IF(INDEX(Tasks[Milestone],AH45)="Yes",0,1)),IF($I45="SS",--($E45&lt;INDEX(Tasks[Start Date],AH45)),IF($I45="FF",--($F45&lt;INDEX(Tasks[End Date],AH45)),IF($I45="SF",--($F45&lt;INDEX(Tasks[Start Date],AH45)),0)))),0),IF(AI45&gt;0,IF($I45="FS",--($E45&lt;INDEX(Tasks[End Date],AI45)+IF(INDEX(Tasks[Milestone],AI45)="Yes",0,1)),IF($I45="SS",--($E45&lt;INDEX(Tasks[Start Date],AI45)),IF($I45="FF",--($F45&lt;INDEX(Tasks[End Date],AI45)),IF($I45="SF",--($F45&lt;INDEX(Tasks[Start Date],AI45)),0)))),0),IF(AJ45&gt;0,IF($I45="FS",--($E45&lt;INDEX(Tasks[End Date],AJ45)+IF(INDEX(Tasks[Milestone],AJ45)="Yes",0,1)),IF($I45="SS",--($E45&lt;INDEX(Tasks[Start Date],AJ45)),IF($I45="FF",--($F45&lt;INDEX(Tasks[End Date],AJ45)),IF($I45="SF",--($F45&lt;INDEX(Tasks[Start Date],AJ45)),0)))),0)))</ns0:f>
        <ns0:v>0</ns0:v>
      </ns0:c>
      <ns0:c r="AM45" t="n">
        <ns0:f>IF(AND(A45&lt;&gt;"",AK45=0,EP45=0),1,0)</ns0:f>
        <ns0:v>0</ns0:v>
      </ns0:c>
      <ns0:c r="AN45" t="str">
        <ns0:f>IF(OR(A45="",B45=""),"",IF(COUNTIFS($B$7:B45,B45)=1,MAX($AN$6:AN44)+1,""))</ns0:f>
      </ns0:c>
      <ns0:c r="AO45" t="n">
        <ns0:f>IF(AND(A45&lt;&gt;"",J45="No",N45&lt;1,E45&gt;=AsOfDate),E45+ROW()/10000,1E+9)</ns0:f>
        <ns0:v>46307.0045</ns0:v>
      </ns0:c>
      <ns0:c r="AP45" t="n">
        <ns0:f>IF(AND(A45&lt;&gt;"",J45="Yes",N45&lt;1,E45&gt;=AsOfDate),E45+ROW()/10000,1E+9)</ns0:f>
        <ns0:v>1000000000</ns0:v>
      </ns0:c>
      <ns0:c r="AQ45" t="n">
        <ns0:f>IF(AND(A45&lt;&gt;"",J45="No",N45&lt;1,F45&gt;=AsOfDate,F45&lt;=AsOfDate+7),F45+ROW()/10000,1E+9)</ns0:f>
        <ns0:v>1000000000</ns0:v>
      </ns0:c>
      <ns0:c r="AR45" t="n">
        <ns0:f>IF(AND(A45&lt;&gt;"",OR(O45&lt;&gt;"On track",Q45="Delayed")),ROW(),1E+9)</ns0:f>
        <ns0:v>1000000000</ns0:v>
      </ns0:c>
      <ns0:c r="AS45" t="str">
        <ns0:f>IF(A45="","",";"&amp;K45&amp;";")</ns0:f>
        <ns0:v>;W3C PROV Immutable Ledger;</ns0:v>
      </ns0:c>
      <ns0:c r="AT45" t="n">
        <ns0:f>IF(A45="",1,--(T45=0))</ns0:f>
        <ns0:v>0</ns0:v>
      </ns0:c>
      <ns0:c r="AU45" t="n">
        <ns0:f>IF($A45="",1,IF(AT45=1,1,--AND(IF($AC45&gt;0,INDEX(AT$7:AT$106,$AC45),1),IF($AD45&gt;0,INDEX(AT$7:AT$106,$AD45),1),IF($AE45&gt;0,INDEX(AT$7:AT$106,$AE45),1),IF($AF45&gt;0,INDEX(AT$7:AT$106,$AF45),1),IF($AG45&gt;0,INDEX(AT$7:AT$106,$AG45),1),IF($AH45&gt;0,INDEX(AT$7:AT$106,$AH45),1),IF($AI45&gt;0,INDEX(AT$7:AT$106,$AI45),1),IF($AJ45&gt;0,INDEX(AT$7:AT$106,$AJ45),1))))</ns0:f>
        <ns0:v>0</ns0:v>
      </ns0:c>
      <ns0:c r="AV45" t="n">
        <ns0:f>IF($A45="",1,IF(AU45=1,1,--AND(IF($AC45&gt;0,INDEX(AU$7:AU$106,$AC45),1),IF($AD45&gt;0,INDEX(AU$7:AU$106,$AD45),1),IF($AE45&gt;0,INDEX(AU$7:AU$106,$AE45),1),IF($AF45&gt;0,INDEX(AU$7:AU$106,$AF45),1),IF($AG45&gt;0,INDEX(AU$7:AU$106,$AG45),1),IF($AH45&gt;0,INDEX(AU$7:AU$106,$AH45),1),IF($AI45&gt;0,INDEX(AU$7:AU$106,$AI45),1),IF($AJ45&gt;0,INDEX(AU$7:AU$106,$AJ45),1))))</ns0:f>
        <ns0:v>0</ns0:v>
      </ns0:c>
      <ns0:c r="AW45" t="n">
        <ns0:f>IF($A45="",1,IF(AV45=1,1,--AND(IF($AC45&gt;0,INDEX(AV$7:AV$106,$AC45),1),IF($AD45&gt;0,INDEX(AV$7:AV$106,$AD45),1),IF($AE45&gt;0,INDEX(AV$7:AV$106,$AE45),1),IF($AF45&gt;0,INDEX(AV$7:AV$106,$AF45),1),IF($AG45&gt;0,INDEX(AV$7:AV$106,$AG45),1),IF($AH45&gt;0,INDEX(AV$7:AV$106,$AH45),1),IF($AI45&gt;0,INDEX(AV$7:AV$106,$AI45),1),IF($AJ45&gt;0,INDEX(AV$7:AV$106,$AJ45),1))))</ns0:f>
        <ns0:v>0</ns0:v>
      </ns0:c>
      <ns0:c r="AX45" t="n">
        <ns0:f>IF($A45="",1,IF(AW45=1,1,--AND(IF($AC45&gt;0,INDEX(AW$7:AW$106,$AC45),1),IF($AD45&gt;0,INDEX(AW$7:AW$106,$AD45),1),IF($AE45&gt;0,INDEX(AW$7:AW$106,$AE45),1),IF($AF45&gt;0,INDEX(AW$7:AW$106,$AF45),1),IF($AG45&gt;0,INDEX(AW$7:AW$106,$AG45),1),IF($AH45&gt;0,INDEX(AW$7:AW$106,$AH45),1),IF($AI45&gt;0,INDEX(AW$7:AW$106,$AI45),1),IF($AJ45&gt;0,INDEX(AW$7:AW$106,$AJ45),1))))</ns0:f>
        <ns0:v>0</ns0:v>
      </ns0:c>
      <ns0:c r="AY45" t="n">
        <ns0:f>IF($A45="",1,IF(AX45=1,1,--AND(IF($AC45&gt;0,INDEX(AX$7:AX$106,$AC45),1),IF($AD45&gt;0,INDEX(AX$7:AX$106,$AD45),1),IF($AE45&gt;0,INDEX(AX$7:AX$106,$AE45),1),IF($AF45&gt;0,INDEX(AX$7:AX$106,$AF45),1),IF($AG45&gt;0,INDEX(AX$7:AX$106,$AG45),1),IF($AH45&gt;0,INDEX(AX$7:AX$106,$AH45),1),IF($AI45&gt;0,INDEX(AX$7:AX$106,$AI45),1),IF($AJ45&gt;0,INDEX(AX$7:AX$106,$AJ45),1))))</ns0:f>
        <ns0:v>0</ns0:v>
      </ns0:c>
      <ns0:c r="AZ45" t="n">
        <ns0:f>IF($A45="",1,IF(AY45=1,1,--AND(IF($AC45&gt;0,INDEX(AY$7:AY$106,$AC45),1),IF($AD45&gt;0,INDEX(AY$7:AY$106,$AD45),1),IF($AE45&gt;0,INDEX(AY$7:AY$106,$AE45),1),IF($AF45&gt;0,INDEX(AY$7:AY$106,$AF45),1),IF($AG45&gt;0,INDEX(AY$7:AY$106,$AG45),1),IF($AH45&gt;0,INDEX(AY$7:AY$106,$AH45),1),IF($AI45&gt;0,INDEX(AY$7:AY$106,$AI45),1),IF($AJ45&gt;0,INDEX(AY$7:AY$106,$AJ45),1))))</ns0:f>
        <ns0:v>0</ns0:v>
      </ns0:c>
      <ns0:c r="BA45" t="n">
        <ns0:f>IF($A45="",1,IF(AZ45=1,1,--AND(IF($AC45&gt;0,INDEX(AZ$7:AZ$106,$AC45),1),IF($AD45&gt;0,INDEX(AZ$7:AZ$106,$AD45),1),IF($AE45&gt;0,INDEX(AZ$7:AZ$106,$AE45),1),IF($AF45&gt;0,INDEX(AZ$7:AZ$106,$AF45),1),IF($AG45&gt;0,INDEX(AZ$7:AZ$106,$AG45),1),IF($AH45&gt;0,INDEX(AZ$7:AZ$106,$AH45),1),IF($AI45&gt;0,INDEX(AZ$7:AZ$106,$AI45),1),IF($AJ45&gt;0,INDEX(AZ$7:AZ$106,$AJ45),1))))</ns0:f>
        <ns0:v>0</ns0:v>
      </ns0:c>
      <ns0:c r="BB45" t="n">
        <ns0:f>IF($A45="",1,IF(BA45=1,1,--AND(IF($AC45&gt;0,INDEX(BA$7:BA$106,$AC45),1),IF($AD45&gt;0,INDEX(BA$7:BA$106,$AD45),1),IF($AE45&gt;0,INDEX(BA$7:BA$106,$AE45),1),IF($AF45&gt;0,INDEX(BA$7:BA$106,$AF45),1),IF($AG45&gt;0,INDEX(BA$7:BA$106,$AG45),1),IF($AH45&gt;0,INDEX(BA$7:BA$106,$AH45),1),IF($AI45&gt;0,INDEX(BA$7:BA$106,$AI45),1),IF($AJ45&gt;0,INDEX(BA$7:BA$106,$AJ45),1))))</ns0:f>
        <ns0:v>0</ns0:v>
      </ns0:c>
      <ns0:c r="BC45" t="n">
        <ns0:f>IF($A45="",1,IF(BB45=1,1,--AND(IF($AC45&gt;0,INDEX(BB$7:BB$106,$AC45),1),IF($AD45&gt;0,INDEX(BB$7:BB$106,$AD45),1),IF($AE45&gt;0,INDEX(BB$7:BB$106,$AE45),1),IF($AF45&gt;0,INDEX(BB$7:BB$106,$AF45),1),IF($AG45&gt;0,INDEX(BB$7:BB$106,$AG45),1),IF($AH45&gt;0,INDEX(BB$7:BB$106,$AH45),1),IF($AI45&gt;0,INDEX(BB$7:BB$106,$AI45),1),IF($AJ45&gt;0,INDEX(BB$7:BB$106,$AJ45),1))))</ns0:f>
        <ns0:v>0</ns0:v>
      </ns0:c>
      <ns0:c r="BD45" t="n">
        <ns0:f>IF($A45="",1,IF(BC45=1,1,--AND(IF($AC45&gt;0,INDEX(BC$7:BC$106,$AC45),1),IF($AD45&gt;0,INDEX(BC$7:BC$106,$AD45),1),IF($AE45&gt;0,INDEX(BC$7:BC$106,$AE45),1),IF($AF45&gt;0,INDEX(BC$7:BC$106,$AF45),1),IF($AG45&gt;0,INDEX(BC$7:BC$106,$AG45),1),IF($AH45&gt;0,INDEX(BC$7:BC$106,$AH45),1),IF($AI45&gt;0,INDEX(BC$7:BC$106,$AI45),1),IF($AJ45&gt;0,INDEX(BC$7:BC$106,$AJ45),1))))</ns0:f>
        <ns0:v>0</ns0:v>
      </ns0:c>
      <ns0:c r="BE45" t="n">
        <ns0:f>IF($A45="",1,IF(BD45=1,1,--AND(IF($AC45&gt;0,INDEX(BD$7:BD$106,$AC45),1),IF($AD45&gt;0,INDEX(BD$7:BD$106,$AD45),1),IF($AE45&gt;0,INDEX(BD$7:BD$106,$AE45),1),IF($AF45&gt;0,INDEX(BD$7:BD$106,$AF45),1),IF($AG45&gt;0,INDEX(BD$7:BD$106,$AG45),1),IF($AH45&gt;0,INDEX(BD$7:BD$106,$AH45),1),IF($AI45&gt;0,INDEX(BD$7:BD$106,$AI45),1),IF($AJ45&gt;0,INDEX(BD$7:BD$106,$AJ45),1))))</ns0:f>
        <ns0:v>0</ns0:v>
      </ns0:c>
      <ns0:c r="BF45" t="n">
        <ns0:f>IF($A45="",1,IF(BE45=1,1,--AND(IF($AC45&gt;0,INDEX(BE$7:BE$106,$AC45),1),IF($AD45&gt;0,INDEX(BE$7:BE$106,$AD45),1),IF($AE45&gt;0,INDEX(BE$7:BE$106,$AE45),1),IF($AF45&gt;0,INDEX(BE$7:BE$106,$AF45),1),IF($AG45&gt;0,INDEX(BE$7:BE$106,$AG45),1),IF($AH45&gt;0,INDEX(BE$7:BE$106,$AH45),1),IF($AI45&gt;0,INDEX(BE$7:BE$106,$AI45),1),IF($AJ45&gt;0,INDEX(BE$7:BE$106,$AJ45),1))))</ns0:f>
        <ns0:v>0</ns0:v>
      </ns0:c>
      <ns0:c r="BG45" t="n">
        <ns0:f>IF($A45="",1,IF(BF45=1,1,--AND(IF($AC45&gt;0,INDEX(BF$7:BF$106,$AC45),1),IF($AD45&gt;0,INDEX(BF$7:BF$106,$AD45),1),IF($AE45&gt;0,INDEX(BF$7:BF$106,$AE45),1),IF($AF45&gt;0,INDEX(BF$7:BF$106,$AF45),1),IF($AG45&gt;0,INDEX(BF$7:BF$106,$AG45),1),IF($AH45&gt;0,INDEX(BF$7:BF$106,$AH45),1),IF($AI45&gt;0,INDEX(BF$7:BF$106,$AI45),1),IF($AJ45&gt;0,INDEX(BF$7:BF$106,$AJ45),1))))</ns0:f>
        <ns0:v>0</ns0:v>
      </ns0:c>
      <ns0:c r="BH45" t="n">
        <ns0:f>IF($A45="",1,IF(BG45=1,1,--AND(IF($AC45&gt;0,INDEX(BG$7:BG$106,$AC45),1),IF($AD45&gt;0,INDEX(BG$7:BG$106,$AD45),1),IF($AE45&gt;0,INDEX(BG$7:BG$106,$AE45),1),IF($AF45&gt;0,INDEX(BG$7:BG$106,$AF45),1),IF($AG45&gt;0,INDEX(BG$7:BG$106,$AG45),1),IF($AH45&gt;0,INDEX(BG$7:BG$106,$AH45),1),IF($AI45&gt;0,INDEX(BG$7:BG$106,$AI45),1),IF($AJ45&gt;0,INDEX(BG$7:BG$106,$AJ45),1))))</ns0:f>
        <ns0:v>0</ns0:v>
      </ns0:c>
      <ns0:c r="BI45" t="n">
        <ns0:f>IF($A45="",1,IF(BH45=1,1,--AND(IF($AC45&gt;0,INDEX(BH$7:BH$106,$AC45),1),IF($AD45&gt;0,INDEX(BH$7:BH$106,$AD45),1),IF($AE45&gt;0,INDEX(BH$7:BH$106,$AE45),1),IF($AF45&gt;0,INDEX(BH$7:BH$106,$AF45),1),IF($AG45&gt;0,INDEX(BH$7:BH$106,$AG45),1),IF($AH45&gt;0,INDEX(BH$7:BH$106,$AH45),1),IF($AI45&gt;0,INDEX(BH$7:BH$106,$AI45),1),IF($AJ45&gt;0,INDEX(BH$7:BH$106,$AJ45),1))))</ns0:f>
        <ns0:v>0</ns0:v>
      </ns0:c>
      <ns0:c r="BJ45" t="n">
        <ns0:f>IF($A45="",1,IF(BI45=1,1,--AND(IF($AC45&gt;0,INDEX(BI$7:BI$106,$AC45),1),IF($AD45&gt;0,INDEX(BI$7:BI$106,$AD45),1),IF($AE45&gt;0,INDEX(BI$7:BI$106,$AE45),1),IF($AF45&gt;0,INDEX(BI$7:BI$106,$AF45),1),IF($AG45&gt;0,INDEX(BI$7:BI$106,$AG45),1),IF($AH45&gt;0,INDEX(BI$7:BI$106,$AH45),1),IF($AI45&gt;0,INDEX(BI$7:BI$106,$AI45),1),IF($AJ45&gt;0,INDEX(BI$7:BI$106,$AJ45),1))))</ns0:f>
        <ns0:v>0</ns0:v>
      </ns0:c>
      <ns0:c r="BK45" t="n">
        <ns0:f>IF($A45="",1,IF(BJ45=1,1,--AND(IF($AC45&gt;0,INDEX(BJ$7:BJ$106,$AC45),1),IF($AD45&gt;0,INDEX(BJ$7:BJ$106,$AD45),1),IF($AE45&gt;0,INDEX(BJ$7:BJ$106,$AE45),1),IF($AF45&gt;0,INDEX(BJ$7:BJ$106,$AF45),1),IF($AG45&gt;0,INDEX(BJ$7:BJ$106,$AG45),1),IF($AH45&gt;0,INDEX(BJ$7:BJ$106,$AH45),1),IF($AI45&gt;0,INDEX(BJ$7:BJ$106,$AI45),1),IF($AJ45&gt;0,INDEX(BJ$7:BJ$106,$AJ45),1))))</ns0:f>
        <ns0:v>1</ns0:v>
      </ns0:c>
      <ns0:c r="BL45" t="n">
        <ns0:f>IF($A45="",1,IF(BK45=1,1,--AND(IF($AC45&gt;0,INDEX(BK$7:BK$106,$AC45),1),IF($AD45&gt;0,INDEX(BK$7:BK$106,$AD45),1),IF($AE45&gt;0,INDEX(BK$7:BK$106,$AE45),1),IF($AF45&gt;0,INDEX(BK$7:BK$106,$AF45),1),IF($AG45&gt;0,INDEX(BK$7:BK$106,$AG45),1),IF($AH45&gt;0,INDEX(BK$7:BK$106,$AH45),1),IF($AI45&gt;0,INDEX(BK$7:BK$106,$AI45),1),IF($AJ45&gt;0,INDEX(BK$7:BK$106,$AJ45),1))))</ns0:f>
        <ns0:v>1</ns0:v>
      </ns0:c>
      <ns0:c r="BM45" t="n">
        <ns0:f>IF($A45="",1,IF(BL45=1,1,--AND(IF($AC45&gt;0,INDEX(BL$7:BL$106,$AC45),1),IF($AD45&gt;0,INDEX(BL$7:BL$106,$AD45),1),IF($AE45&gt;0,INDEX(BL$7:BL$106,$AE45),1),IF($AF45&gt;0,INDEX(BL$7:BL$106,$AF45),1),IF($AG45&gt;0,INDEX(BL$7:BL$106,$AG45),1),IF($AH45&gt;0,INDEX(BL$7:BL$106,$AH45),1),IF($AI45&gt;0,INDEX(BL$7:BL$106,$AI45),1),IF($AJ45&gt;0,INDEX(BL$7:BL$106,$AJ45),1))))</ns0:f>
        <ns0:v>1</ns0:v>
      </ns0:c>
      <ns0:c r="BN45" t="n">
        <ns0:f>IF($A45="",1,IF(BM45=1,1,--AND(IF($AC45&gt;0,INDEX(BM$7:BM$106,$AC45),1),IF($AD45&gt;0,INDEX(BM$7:BM$106,$AD45),1),IF($AE45&gt;0,INDEX(BM$7:BM$106,$AE45),1),IF($AF45&gt;0,INDEX(BM$7:BM$106,$AF45),1),IF($AG45&gt;0,INDEX(BM$7:BM$106,$AG45),1),IF($AH45&gt;0,INDEX(BM$7:BM$106,$AH45),1),IF($AI45&gt;0,INDEX(BM$7:BM$106,$AI45),1),IF($AJ45&gt;0,INDEX(BM$7:BM$106,$AJ45),1))))</ns0:f>
        <ns0:v>1</ns0:v>
      </ns0:c>
      <ns0:c r="BO45" t="n">
        <ns0:f>IF($A45="",1,IF(BN45=1,1,--AND(IF($AC45&gt;0,INDEX(BN$7:BN$106,$AC45),1),IF($AD45&gt;0,INDEX(BN$7:BN$106,$AD45),1),IF($AE45&gt;0,INDEX(BN$7:BN$106,$AE45),1),IF($AF45&gt;0,INDEX(BN$7:BN$106,$AF45),1),IF($AG45&gt;0,INDEX(BN$7:BN$106,$AG45),1),IF($AH45&gt;0,INDEX(BN$7:BN$106,$AH45),1),IF($AI45&gt;0,INDEX(BN$7:BN$106,$AI45),1),IF($AJ45&gt;0,INDEX(BN$7:BN$106,$AJ45),1))))</ns0:f>
        <ns0:v>1</ns0:v>
      </ns0:c>
      <ns0:c r="BP45" t="n">
        <ns0:f>IF($A45="",1,IF(BO45=1,1,--AND(IF($AC45&gt;0,INDEX(BO$7:BO$106,$AC45),1),IF($AD45&gt;0,INDEX(BO$7:BO$106,$AD45),1),IF($AE45&gt;0,INDEX(BO$7:BO$106,$AE45),1),IF($AF45&gt;0,INDEX(BO$7:BO$106,$AF45),1),IF($AG45&gt;0,INDEX(BO$7:BO$106,$AG45),1),IF($AH45&gt;0,INDEX(BO$7:BO$106,$AH45),1),IF($AI45&gt;0,INDEX(BO$7:BO$106,$AI45),1),IF($AJ45&gt;0,INDEX(BO$7:BO$106,$AJ45),1))))</ns0:f>
        <ns0:v>1</ns0:v>
      </ns0:c>
      <ns0:c r="BQ45" t="n">
        <ns0:f>IF($A45="",1,IF(BP45=1,1,--AND(IF($AC45&gt;0,INDEX(BP$7:BP$106,$AC45),1),IF($AD45&gt;0,INDEX(BP$7:BP$106,$AD45),1),IF($AE45&gt;0,INDEX(BP$7:BP$106,$AE45),1),IF($AF45&gt;0,INDEX(BP$7:BP$106,$AF45),1),IF($AG45&gt;0,INDEX(BP$7:BP$106,$AG45),1),IF($AH45&gt;0,INDEX(BP$7:BP$106,$AH45),1),IF($AI45&gt;0,INDEX(BP$7:BP$106,$AI45),1),IF($AJ45&gt;0,INDEX(BP$7:BP$106,$AJ45),1))))</ns0:f>
        <ns0:v>1</ns0:v>
      </ns0:c>
      <ns0:c r="BR45" t="n">
        <ns0:f>IF($A45="",1,IF(BQ45=1,1,--AND(IF($AC45&gt;0,INDEX(BQ$7:BQ$106,$AC45),1),IF($AD45&gt;0,INDEX(BQ$7:BQ$106,$AD45),1),IF($AE45&gt;0,INDEX(BQ$7:BQ$106,$AE45),1),IF($AF45&gt;0,INDEX(BQ$7:BQ$106,$AF45),1),IF($AG45&gt;0,INDEX(BQ$7:BQ$106,$AG45),1),IF($AH45&gt;0,INDEX(BQ$7:BQ$106,$AH45),1),IF($AI45&gt;0,INDEX(BQ$7:BQ$106,$AI45),1),IF($AJ45&gt;0,INDEX(BQ$7:BQ$106,$AJ45),1))))</ns0:f>
        <ns0:v>1</ns0:v>
      </ns0:c>
      <ns0:c r="BS45" t="n">
        <ns0:f>IF($A45="",1,IF(BR45=1,1,--AND(IF($AC45&gt;0,INDEX(BR$7:BR$106,$AC45),1),IF($AD45&gt;0,INDEX(BR$7:BR$106,$AD45),1),IF($AE45&gt;0,INDEX(BR$7:BR$106,$AE45),1),IF($AF45&gt;0,INDEX(BR$7:BR$106,$AF45),1),IF($AG45&gt;0,INDEX(BR$7:BR$106,$AG45),1),IF($AH45&gt;0,INDEX(BR$7:BR$106,$AH45),1),IF($AI45&gt;0,INDEX(BR$7:BR$106,$AI45),1),IF($AJ45&gt;0,INDEX(BR$7:BR$106,$AJ45),1))))</ns0:f>
        <ns0:v>1</ns0:v>
      </ns0:c>
      <ns0:c r="BT45" t="n">
        <ns0:f>IF($A45="",1,IF(BS45=1,1,--AND(IF($AC45&gt;0,INDEX(BS$7:BS$106,$AC45),1),IF($AD45&gt;0,INDEX(BS$7:BS$106,$AD45),1),IF($AE45&gt;0,INDEX(BS$7:BS$106,$AE45),1),IF($AF45&gt;0,INDEX(BS$7:BS$106,$AF45),1),IF($AG45&gt;0,INDEX(BS$7:BS$106,$AG45),1),IF($AH45&gt;0,INDEX(BS$7:BS$106,$AH45),1),IF($AI45&gt;0,INDEX(BS$7:BS$106,$AI45),1),IF($AJ45&gt;0,INDEX(BS$7:BS$106,$AJ45),1))))</ns0:f>
        <ns0:v>1</ns0:v>
      </ns0:c>
      <ns0:c r="BU45" t="n">
        <ns0:f>IF($A45="",1,IF(BT45=1,1,--AND(IF($AC45&gt;0,INDEX(BT$7:BT$106,$AC45),1),IF($AD45&gt;0,INDEX(BT$7:BT$106,$AD45),1),IF($AE45&gt;0,INDEX(BT$7:BT$106,$AE45),1),IF($AF45&gt;0,INDEX(BT$7:BT$106,$AF45),1),IF($AG45&gt;0,INDEX(BT$7:BT$106,$AG45),1),IF($AH45&gt;0,INDEX(BT$7:BT$106,$AH45),1),IF($AI45&gt;0,INDEX(BT$7:BT$106,$AI45),1),IF($AJ45&gt;0,INDEX(BT$7:BT$106,$AJ45),1))))</ns0:f>
        <ns0:v>1</ns0:v>
      </ns0:c>
      <ns0:c r="BV45" t="n">
        <ns0:f>IF($A45="",1,IF(BU45=1,1,--AND(IF($AC45&gt;0,INDEX(BU$7:BU$106,$AC45),1),IF($AD45&gt;0,INDEX(BU$7:BU$106,$AD45),1),IF($AE45&gt;0,INDEX(BU$7:BU$106,$AE45),1),IF($AF45&gt;0,INDEX(BU$7:BU$106,$AF45),1),IF($AG45&gt;0,INDEX(BU$7:BU$106,$AG45),1),IF($AH45&gt;0,INDEX(BU$7:BU$106,$AH45),1),IF($AI45&gt;0,INDEX(BU$7:BU$106,$AI45),1),IF($AJ45&gt;0,INDEX(BU$7:BU$106,$AJ45),1))))</ns0:f>
        <ns0:v>1</ns0:v>
      </ns0:c>
      <ns0:c r="BW45" t="n">
        <ns0:f>IF($A45="",1,IF(BV45=1,1,--AND(IF($AC45&gt;0,INDEX(BV$7:BV$106,$AC45),1),IF($AD45&gt;0,INDEX(BV$7:BV$106,$AD45),1),IF($AE45&gt;0,INDEX(BV$7:BV$106,$AE45),1),IF($AF45&gt;0,INDEX(BV$7:BV$106,$AF45),1),IF($AG45&gt;0,INDEX(BV$7:BV$106,$AG45),1),IF($AH45&gt;0,INDEX(BV$7:BV$106,$AH45),1),IF($AI45&gt;0,INDEX(BV$7:BV$106,$AI45),1),IF($AJ45&gt;0,INDEX(BV$7:BV$106,$AJ45),1))))</ns0:f>
        <ns0:v>1</ns0:v>
      </ns0:c>
      <ns0:c r="BX45" t="n">
        <ns0:f>IF($A45="",1,IF(BW45=1,1,--AND(IF($AC45&gt;0,INDEX(BW$7:BW$106,$AC45),1),IF($AD45&gt;0,INDEX(BW$7:BW$106,$AD45),1),IF($AE45&gt;0,INDEX(BW$7:BW$106,$AE45),1),IF($AF45&gt;0,INDEX(BW$7:BW$106,$AF45),1),IF($AG45&gt;0,INDEX(BW$7:BW$106,$AG45),1),IF($AH45&gt;0,INDEX(BW$7:BW$106,$AH45),1),IF($AI45&gt;0,INDEX(BW$7:BW$106,$AI45),1),IF($AJ45&gt;0,INDEX(BW$7:BW$106,$AJ45),1))))</ns0:f>
        <ns0:v>1</ns0:v>
      </ns0:c>
      <ns0:c r="BY45" t="n">
        <ns0:f>IF($A45="",1,IF(BX45=1,1,--AND(IF($AC45&gt;0,INDEX(BX$7:BX$106,$AC45),1),IF($AD45&gt;0,INDEX(BX$7:BX$106,$AD45),1),IF($AE45&gt;0,INDEX(BX$7:BX$106,$AE45),1),IF($AF45&gt;0,INDEX(BX$7:BX$106,$AF45),1),IF($AG45&gt;0,INDEX(BX$7:BX$106,$AG45),1),IF($AH45&gt;0,INDEX(BX$7:BX$106,$AH45),1),IF($AI45&gt;0,INDEX(BX$7:BX$106,$AI45),1),IF($AJ45&gt;0,INDEX(BX$7:BX$106,$AJ45),1))))</ns0:f>
        <ns0:v>1</ns0:v>
      </ns0:c>
      <ns0:c r="BZ45" t="n">
        <ns0:f>IF($A45="",1,IF(BY45=1,1,--AND(IF($AC45&gt;0,INDEX(BY$7:BY$106,$AC45),1),IF($AD45&gt;0,INDEX(BY$7:BY$106,$AD45),1),IF($AE45&gt;0,INDEX(BY$7:BY$106,$AE45),1),IF($AF45&gt;0,INDEX(BY$7:BY$106,$AF45),1),IF($AG45&gt;0,INDEX(BY$7:BY$106,$AG45),1),IF($AH45&gt;0,INDEX(BY$7:BY$106,$AH45),1),IF($AI45&gt;0,INDEX(BY$7:BY$106,$AI45),1),IF($AJ45&gt;0,INDEX(BY$7:BY$106,$AJ45),1))))</ns0:f>
        <ns0:v>1</ns0:v>
      </ns0:c>
      <ns0:c r="CA45" t="n">
        <ns0:f>IF($A45="",1,IF(BZ45=1,1,--AND(IF($AC45&gt;0,INDEX(BZ$7:BZ$106,$AC45),1),IF($AD45&gt;0,INDEX(BZ$7:BZ$106,$AD45),1),IF($AE45&gt;0,INDEX(BZ$7:BZ$106,$AE45),1),IF($AF45&gt;0,INDEX(BZ$7:BZ$106,$AF45),1),IF($AG45&gt;0,INDEX(BZ$7:BZ$106,$AG45),1),IF($AH45&gt;0,INDEX(BZ$7:BZ$106,$AH45),1),IF($AI45&gt;0,INDEX(BZ$7:BZ$106,$AI45),1),IF($AJ45&gt;0,INDEX(BZ$7:BZ$106,$AJ45),1))))</ns0:f>
        <ns0:v>1</ns0:v>
      </ns0:c>
      <ns0:c r="CB45" t="n">
        <ns0:f>IF($A45="",1,IF(CA45=1,1,--AND(IF($AC45&gt;0,INDEX(CA$7:CA$106,$AC45),1),IF($AD45&gt;0,INDEX(CA$7:CA$106,$AD45),1),IF($AE45&gt;0,INDEX(CA$7:CA$106,$AE45),1),IF($AF45&gt;0,INDEX(CA$7:CA$106,$AF45),1),IF($AG45&gt;0,INDEX(CA$7:CA$106,$AG45),1),IF($AH45&gt;0,INDEX(CA$7:CA$106,$AH45),1),IF($AI45&gt;0,INDEX(CA$7:CA$106,$AI45),1),IF($AJ45&gt;0,INDEX(CA$7:CA$106,$AJ45),1))))</ns0:f>
        <ns0:v>1</ns0:v>
      </ns0:c>
      <ns0:c r="CC45" t="n">
        <ns0:f>IF($A45="",1,IF(CB45=1,1,--AND(IF($AC45&gt;0,INDEX(CB$7:CB$106,$AC45),1),IF($AD45&gt;0,INDEX(CB$7:CB$106,$AD45),1),IF($AE45&gt;0,INDEX(CB$7:CB$106,$AE45),1),IF($AF45&gt;0,INDEX(CB$7:CB$106,$AF45),1),IF($AG45&gt;0,INDEX(CB$7:CB$106,$AG45),1),IF($AH45&gt;0,INDEX(CB$7:CB$106,$AH45),1),IF($AI45&gt;0,INDEX(CB$7:CB$106,$AI45),1),IF($AJ45&gt;0,INDEX(CB$7:CB$106,$AJ45),1))))</ns0:f>
        <ns0:v>1</ns0:v>
      </ns0:c>
      <ns0:c r="CD45" t="n">
        <ns0:f>IF($A45="",1,IF(CC45=1,1,--AND(IF($AC45&gt;0,INDEX(CC$7:CC$106,$AC45),1),IF($AD45&gt;0,INDEX(CC$7:CC$106,$AD45),1),IF($AE45&gt;0,INDEX(CC$7:CC$106,$AE45),1),IF($AF45&gt;0,INDEX(CC$7:CC$106,$AF45),1),IF($AG45&gt;0,INDEX(CC$7:CC$106,$AG45),1),IF($AH45&gt;0,INDEX(CC$7:CC$106,$AH45),1),IF($AI45&gt;0,INDEX(CC$7:CC$106,$AI45),1),IF($AJ45&gt;0,INDEX(CC$7:CC$106,$AJ45),1))))</ns0:f>
        <ns0:v>1</ns0:v>
      </ns0:c>
      <ns0:c r="CE45" t="n">
        <ns0:f>IF($A45="",1,IF(CD45=1,1,--AND(IF($AC45&gt;0,INDEX(CD$7:CD$106,$AC45),1),IF($AD45&gt;0,INDEX(CD$7:CD$106,$AD45),1),IF($AE45&gt;0,INDEX(CD$7:CD$106,$AE45),1),IF($AF45&gt;0,INDEX(CD$7:CD$106,$AF45),1),IF($AG45&gt;0,INDEX(CD$7:CD$106,$AG45),1),IF($AH45&gt;0,INDEX(CD$7:CD$106,$AH45),1),IF($AI45&gt;0,INDEX(CD$7:CD$106,$AI45),1),IF($AJ45&gt;0,INDEX(CD$7:CD$106,$AJ45),1))))</ns0:f>
        <ns0:v>1</ns0:v>
      </ns0:c>
      <ns0:c r="CF45" t="n">
        <ns0:f>IF($A45="",1,IF(CE45=1,1,--AND(IF($AC45&gt;0,INDEX(CE$7:CE$106,$AC45),1),IF($AD45&gt;0,INDEX(CE$7:CE$106,$AD45),1),IF($AE45&gt;0,INDEX(CE$7:CE$106,$AE45),1),IF($AF45&gt;0,INDEX(CE$7:CE$106,$AF45),1),IF($AG45&gt;0,INDEX(CE$7:CE$106,$AG45),1),IF($AH45&gt;0,INDEX(CE$7:CE$106,$AH45),1),IF($AI45&gt;0,INDEX(CE$7:CE$106,$AI45),1),IF($AJ45&gt;0,INDEX(CE$7:CE$106,$AJ45),1))))</ns0:f>
        <ns0:v>1</ns0:v>
      </ns0:c>
      <ns0:c r="CG45" t="n">
        <ns0:f>IF($A45="",1,IF(CF45=1,1,--AND(IF($AC45&gt;0,INDEX(CF$7:CF$106,$AC45),1),IF($AD45&gt;0,INDEX(CF$7:CF$106,$AD45),1),IF($AE45&gt;0,INDEX(CF$7:CF$106,$AE45),1),IF($AF45&gt;0,INDEX(CF$7:CF$106,$AF45),1),IF($AG45&gt;0,INDEX(CF$7:CF$106,$AG45),1),IF($AH45&gt;0,INDEX(CF$7:CF$106,$AH45),1),IF($AI45&gt;0,INDEX(CF$7:CF$106,$AI45),1),IF($AJ45&gt;0,INDEX(CF$7:CF$106,$AJ45),1))))</ns0:f>
        <ns0:v>1</ns0:v>
      </ns0:c>
      <ns0:c r="CH45" t="n">
        <ns0:f>IF($A45="",1,IF(CG45=1,1,--AND(IF($AC45&gt;0,INDEX(CG$7:CG$106,$AC45),1),IF($AD45&gt;0,INDEX(CG$7:CG$106,$AD45),1),IF($AE45&gt;0,INDEX(CG$7:CG$106,$AE45),1),IF($AF45&gt;0,INDEX(CG$7:CG$106,$AF45),1),IF($AG45&gt;0,INDEX(CG$7:CG$106,$AG45),1),IF($AH45&gt;0,INDEX(CG$7:CG$106,$AH45),1),IF($AI45&gt;0,INDEX(CG$7:CG$106,$AI45),1),IF($AJ45&gt;0,INDEX(CG$7:CG$106,$AJ45),1))))</ns0:f>
        <ns0:v>1</ns0:v>
      </ns0:c>
      <ns0:c r="CI45" t="n">
        <ns0:f>IF($A45="",1,IF(CH45=1,1,--AND(IF($AC45&gt;0,INDEX(CH$7:CH$106,$AC45),1),IF($AD45&gt;0,INDEX(CH$7:CH$106,$AD45),1),IF($AE45&gt;0,INDEX(CH$7:CH$106,$AE45),1),IF($AF45&gt;0,INDEX(CH$7:CH$106,$AF45),1),IF($AG45&gt;0,INDEX(CH$7:CH$106,$AG45),1),IF($AH45&gt;0,INDEX(CH$7:CH$106,$AH45),1),IF($AI45&gt;0,INDEX(CH$7:CH$106,$AI45),1),IF($AJ45&gt;0,INDEX(CH$7:CH$106,$AJ45),1))))</ns0:f>
        <ns0:v>1</ns0:v>
      </ns0:c>
      <ns0:c r="CJ45" t="n">
        <ns0:f>IF($A45="",1,IF(CI45=1,1,--AND(IF($AC45&gt;0,INDEX(CI$7:CI$106,$AC45),1),IF($AD45&gt;0,INDEX(CI$7:CI$106,$AD45),1),IF($AE45&gt;0,INDEX(CI$7:CI$106,$AE45),1),IF($AF45&gt;0,INDEX(CI$7:CI$106,$AF45),1),IF($AG45&gt;0,INDEX(CI$7:CI$106,$AG45),1),IF($AH45&gt;0,INDEX(CI$7:CI$106,$AH45),1),IF($AI45&gt;0,INDEX(CI$7:CI$106,$AI45),1),IF($AJ45&gt;0,INDEX(CI$7:CI$106,$AJ45),1))))</ns0:f>
        <ns0:v>1</ns0:v>
      </ns0:c>
      <ns0:c r="CK45" t="n">
        <ns0:f>IF($A45="",1,IF(CJ45=1,1,--AND(IF($AC45&gt;0,INDEX(CJ$7:CJ$106,$AC45),1),IF($AD45&gt;0,INDEX(CJ$7:CJ$106,$AD45),1),IF($AE45&gt;0,INDEX(CJ$7:CJ$106,$AE45),1),IF($AF45&gt;0,INDEX(CJ$7:CJ$106,$AF45),1),IF($AG45&gt;0,INDEX(CJ$7:CJ$106,$AG45),1),IF($AH45&gt;0,INDEX(CJ$7:CJ$106,$AH45),1),IF($AI45&gt;0,INDEX(CJ$7:CJ$106,$AI45),1),IF($AJ45&gt;0,INDEX(CJ$7:CJ$106,$AJ45),1))))</ns0:f>
        <ns0:v>1</ns0:v>
      </ns0:c>
      <ns0:c r="CL45" t="n">
        <ns0:f>IF($A45="",1,IF(CK45=1,1,--AND(IF($AC45&gt;0,INDEX(CK$7:CK$106,$AC45),1),IF($AD45&gt;0,INDEX(CK$7:CK$106,$AD45),1),IF($AE45&gt;0,INDEX(CK$7:CK$106,$AE45),1),IF($AF45&gt;0,INDEX(CK$7:CK$106,$AF45),1),IF($AG45&gt;0,INDEX(CK$7:CK$106,$AG45),1),IF($AH45&gt;0,INDEX(CK$7:CK$106,$AH45),1),IF($AI45&gt;0,INDEX(CK$7:CK$106,$AI45),1),IF($AJ45&gt;0,INDEX(CK$7:CK$106,$AJ45),1))))</ns0:f>
        <ns0:v>1</ns0:v>
      </ns0:c>
      <ns0:c r="CM45" t="n">
        <ns0:f>IF($A45="",1,IF(CL45=1,1,--AND(IF($AC45&gt;0,INDEX(CL$7:CL$106,$AC45),1),IF($AD45&gt;0,INDEX(CL$7:CL$106,$AD45),1),IF($AE45&gt;0,INDEX(CL$7:CL$106,$AE45),1),IF($AF45&gt;0,INDEX(CL$7:CL$106,$AF45),1),IF($AG45&gt;0,INDEX(CL$7:CL$106,$AG45),1),IF($AH45&gt;0,INDEX(CL$7:CL$106,$AH45),1),IF($AI45&gt;0,INDEX(CL$7:CL$106,$AI45),1),IF($AJ45&gt;0,INDEX(CL$7:CL$106,$AJ45),1))))</ns0:f>
        <ns0:v>1</ns0:v>
      </ns0:c>
      <ns0:c r="CN45" t="n">
        <ns0:f>IF($A45="",1,IF(CM45=1,1,--AND(IF($AC45&gt;0,INDEX(CM$7:CM$106,$AC45),1),IF($AD45&gt;0,INDEX(CM$7:CM$106,$AD45),1),IF($AE45&gt;0,INDEX(CM$7:CM$106,$AE45),1),IF($AF45&gt;0,INDEX(CM$7:CM$106,$AF45),1),IF($AG45&gt;0,INDEX(CM$7:CM$106,$AG45),1),IF($AH45&gt;0,INDEX(CM$7:CM$106,$AH45),1),IF($AI45&gt;0,INDEX(CM$7:CM$106,$AI45),1),IF($AJ45&gt;0,INDEX(CM$7:CM$106,$AJ45),1))))</ns0:f>
        <ns0:v>1</ns0:v>
      </ns0:c>
      <ns0:c r="CO45" t="n">
        <ns0:f>IF($A45="",1,IF(CN45=1,1,--AND(IF($AC45&gt;0,INDEX(CN$7:CN$106,$AC45),1),IF($AD45&gt;0,INDEX(CN$7:CN$106,$AD45),1),IF($AE45&gt;0,INDEX(CN$7:CN$106,$AE45),1),IF($AF45&gt;0,INDEX(CN$7:CN$106,$AF45),1),IF($AG45&gt;0,INDEX(CN$7:CN$106,$AG45),1),IF($AH45&gt;0,INDEX(CN$7:CN$106,$AH45),1),IF($AI45&gt;0,INDEX(CN$7:CN$106,$AI45),1),IF($AJ45&gt;0,INDEX(CN$7:CN$106,$AJ45),1))))</ns0:f>
        <ns0:v>1</ns0:v>
      </ns0:c>
      <ns0:c r="CP45" t="n">
        <ns0:f>IF($A45="",1,IF(CO45=1,1,--AND(IF($AC45&gt;0,INDEX(CO$7:CO$106,$AC45),1),IF($AD45&gt;0,INDEX(CO$7:CO$106,$AD45),1),IF($AE45&gt;0,INDEX(CO$7:CO$106,$AE45),1),IF($AF45&gt;0,INDEX(CO$7:CO$106,$AF45),1),IF($AG45&gt;0,INDEX(CO$7:CO$106,$AG45),1),IF($AH45&gt;0,INDEX(CO$7:CO$106,$AH45),1),IF($AI45&gt;0,INDEX(CO$7:CO$106,$AI45),1),IF($AJ45&gt;0,INDEX(CO$7:CO$106,$AJ45),1))))</ns0:f>
        <ns0:v>1</ns0:v>
      </ns0:c>
      <ns0:c r="CQ45" t="n">
        <ns0:f>IF($A45="",1,IF(CP45=1,1,--AND(IF($AC45&gt;0,INDEX(CP$7:CP$106,$AC45),1),IF($AD45&gt;0,INDEX(CP$7:CP$106,$AD45),1),IF($AE45&gt;0,INDEX(CP$7:CP$106,$AE45),1),IF($AF45&gt;0,INDEX(CP$7:CP$106,$AF45),1),IF($AG45&gt;0,INDEX(CP$7:CP$106,$AG45),1),IF($AH45&gt;0,INDEX(CP$7:CP$106,$AH45),1),IF($AI45&gt;0,INDEX(CP$7:CP$106,$AI45),1),IF($AJ45&gt;0,INDEX(CP$7:CP$106,$AJ45),1))))</ns0:f>
        <ns0:v>1</ns0:v>
      </ns0:c>
      <ns0:c r="CR45" t="n">
        <ns0:f>IF($A45="",1,IF(CQ45=1,1,--AND(IF($AC45&gt;0,INDEX(CQ$7:CQ$106,$AC45),1),IF($AD45&gt;0,INDEX(CQ$7:CQ$106,$AD45),1),IF($AE45&gt;0,INDEX(CQ$7:CQ$106,$AE45),1),IF($AF45&gt;0,INDEX(CQ$7:CQ$106,$AF45),1),IF($AG45&gt;0,INDEX(CQ$7:CQ$106,$AG45),1),IF($AH45&gt;0,INDEX(CQ$7:CQ$106,$AH45),1),IF($AI45&gt;0,INDEX(CQ$7:CQ$106,$AI45),1),IF($AJ45&gt;0,INDEX(CQ$7:CQ$106,$AJ45),1))))</ns0:f>
        <ns0:v>1</ns0:v>
      </ns0:c>
      <ns0:c r="CS45" t="n">
        <ns0:f>IF($A45="",1,IF(CR45=1,1,--AND(IF($AC45&gt;0,INDEX(CR$7:CR$106,$AC45),1),IF($AD45&gt;0,INDEX(CR$7:CR$106,$AD45),1),IF($AE45&gt;0,INDEX(CR$7:CR$106,$AE45),1),IF($AF45&gt;0,INDEX(CR$7:CR$106,$AF45),1),IF($AG45&gt;0,INDEX(CR$7:CR$106,$AG45),1),IF($AH45&gt;0,INDEX(CR$7:CR$106,$AH45),1),IF($AI45&gt;0,INDEX(CR$7:CR$106,$AI45),1),IF($AJ45&gt;0,INDEX(CR$7:CR$106,$AJ45),1))))</ns0:f>
        <ns0:v>1</ns0:v>
      </ns0:c>
      <ns0:c r="CT45" t="n">
        <ns0:f>IF($A45="",1,IF(CS45=1,1,--AND(IF($AC45&gt;0,INDEX(CS$7:CS$106,$AC45),1),IF($AD45&gt;0,INDEX(CS$7:CS$106,$AD45),1),IF($AE45&gt;0,INDEX(CS$7:CS$106,$AE45),1),IF($AF45&gt;0,INDEX(CS$7:CS$106,$AF45),1),IF($AG45&gt;0,INDEX(CS$7:CS$106,$AG45),1),IF($AH45&gt;0,INDEX(CS$7:CS$106,$AH45),1),IF($AI45&gt;0,INDEX(CS$7:CS$106,$AI45),1),IF($AJ45&gt;0,INDEX(CS$7:CS$106,$AJ45),1))))</ns0:f>
        <ns0:v>1</ns0:v>
      </ns0:c>
      <ns0:c r="CU45" t="n">
        <ns0:f>IF($A45="",1,IF(CT45=1,1,--AND(IF($AC45&gt;0,INDEX(CT$7:CT$106,$AC45),1),IF($AD45&gt;0,INDEX(CT$7:CT$106,$AD45),1),IF($AE45&gt;0,INDEX(CT$7:CT$106,$AE45),1),IF($AF45&gt;0,INDEX(CT$7:CT$106,$AF45),1),IF($AG45&gt;0,INDEX(CT$7:CT$106,$AG45),1),IF($AH45&gt;0,INDEX(CT$7:CT$106,$AH45),1),IF($AI45&gt;0,INDEX(CT$7:CT$106,$AI45),1),IF($AJ45&gt;0,INDEX(CT$7:CT$106,$AJ45),1))))</ns0:f>
        <ns0:v>1</ns0:v>
      </ns0:c>
      <ns0:c r="CV45" t="n">
        <ns0:f>IF($A45="",1,IF(CU45=1,1,--AND(IF($AC45&gt;0,INDEX(CU$7:CU$106,$AC45),1),IF($AD45&gt;0,INDEX(CU$7:CU$106,$AD45),1),IF($AE45&gt;0,INDEX(CU$7:CU$106,$AE45),1),IF($AF45&gt;0,INDEX(CU$7:CU$106,$AF45),1),IF($AG45&gt;0,INDEX(CU$7:CU$106,$AG45),1),IF($AH45&gt;0,INDEX(CU$7:CU$106,$AH45),1),IF($AI45&gt;0,INDEX(CU$7:CU$106,$AI45),1),IF($AJ45&gt;0,INDEX(CU$7:CU$106,$AJ45),1))))</ns0:f>
        <ns0:v>1</ns0:v>
      </ns0:c>
      <ns0:c r="CW45" t="n">
        <ns0:f>IF($A45="",1,IF(CV45=1,1,--AND(IF($AC45&gt;0,INDEX(CV$7:CV$106,$AC45),1),IF($AD45&gt;0,INDEX(CV$7:CV$106,$AD45),1),IF($AE45&gt;0,INDEX(CV$7:CV$106,$AE45),1),IF($AF45&gt;0,INDEX(CV$7:CV$106,$AF45),1),IF($AG45&gt;0,INDEX(CV$7:CV$106,$AG45),1),IF($AH45&gt;0,INDEX(CV$7:CV$106,$AH45),1),IF($AI45&gt;0,INDEX(CV$7:CV$106,$AI45),1),IF($AJ45&gt;0,INDEX(CV$7:CV$106,$AJ45),1))))</ns0:f>
        <ns0:v>1</ns0:v>
      </ns0:c>
      <ns0:c r="CX45" t="n">
        <ns0:f>IF($A45="",1,IF(CW45=1,1,--AND(IF($AC45&gt;0,INDEX(CW$7:CW$106,$AC45),1),IF($AD45&gt;0,INDEX(CW$7:CW$106,$AD45),1),IF($AE45&gt;0,INDEX(CW$7:CW$106,$AE45),1),IF($AF45&gt;0,INDEX(CW$7:CW$106,$AF45),1),IF($AG45&gt;0,INDEX(CW$7:CW$106,$AG45),1),IF($AH45&gt;0,INDEX(CW$7:CW$106,$AH45),1),IF($AI45&gt;0,INDEX(CW$7:CW$106,$AI45),1),IF($AJ45&gt;0,INDEX(CW$7:CW$106,$AJ45),1))))</ns0:f>
        <ns0:v>1</ns0:v>
      </ns0:c>
      <ns0:c r="CY45" t="n">
        <ns0:f>IF($A45="",1,IF(CX45=1,1,--AND(IF($AC45&gt;0,INDEX(CX$7:CX$106,$AC45),1),IF($AD45&gt;0,INDEX(CX$7:CX$106,$AD45),1),IF($AE45&gt;0,INDEX(CX$7:CX$106,$AE45),1),IF($AF45&gt;0,INDEX(CX$7:CX$106,$AF45),1),IF($AG45&gt;0,INDEX(CX$7:CX$106,$AG45),1),IF($AH45&gt;0,INDEX(CX$7:CX$106,$AH45),1),IF($AI45&gt;0,INDEX(CX$7:CX$106,$AI45),1),IF($AJ45&gt;0,INDEX(CX$7:CX$106,$AJ45),1))))</ns0:f>
        <ns0:v>1</ns0:v>
      </ns0:c>
      <ns0:c r="CZ45" t="n">
        <ns0:f>IF($A45="",1,IF(CY45=1,1,--AND(IF($AC45&gt;0,INDEX(CY$7:CY$106,$AC45),1),IF($AD45&gt;0,INDEX(CY$7:CY$106,$AD45),1),IF($AE45&gt;0,INDEX(CY$7:CY$106,$AE45),1),IF($AF45&gt;0,INDEX(CY$7:CY$106,$AF45),1),IF($AG45&gt;0,INDEX(CY$7:CY$106,$AG45),1),IF($AH45&gt;0,INDEX(CY$7:CY$106,$AH45),1),IF($AI45&gt;0,INDEX(CY$7:CY$106,$AI45),1),IF($AJ45&gt;0,INDEX(CY$7:CY$106,$AJ45),1))))</ns0:f>
        <ns0:v>1</ns0:v>
      </ns0:c>
      <ns0:c r="DA45" t="n">
        <ns0:f>IF($A45="",1,IF(CZ45=1,1,--AND(IF($AC45&gt;0,INDEX(CZ$7:CZ$106,$AC45),1),IF($AD45&gt;0,INDEX(CZ$7:CZ$106,$AD45),1),IF($AE45&gt;0,INDEX(CZ$7:CZ$106,$AE45),1),IF($AF45&gt;0,INDEX(CZ$7:CZ$106,$AF45),1),IF($AG45&gt;0,INDEX(CZ$7:CZ$106,$AG45),1),IF($AH45&gt;0,INDEX(CZ$7:CZ$106,$AH45),1),IF($AI45&gt;0,INDEX(CZ$7:CZ$106,$AI45),1),IF($AJ45&gt;0,INDEX(CZ$7:CZ$106,$AJ45),1))))</ns0:f>
        <ns0:v>1</ns0:v>
      </ns0:c>
      <ns0:c r="DB45" t="n">
        <ns0:f>IF($A45="",1,IF(DA45=1,1,--AND(IF($AC45&gt;0,INDEX(DA$7:DA$106,$AC45),1),IF($AD45&gt;0,INDEX(DA$7:DA$106,$AD45),1),IF($AE45&gt;0,INDEX(DA$7:DA$106,$AE45),1),IF($AF45&gt;0,INDEX(DA$7:DA$106,$AF45),1),IF($AG45&gt;0,INDEX(DA$7:DA$106,$AG45),1),IF($AH45&gt;0,INDEX(DA$7:DA$106,$AH45),1),IF($AI45&gt;0,INDEX(DA$7:DA$106,$AI45),1),IF($AJ45&gt;0,INDEX(DA$7:DA$106,$AJ45),1))))</ns0:f>
        <ns0:v>1</ns0:v>
      </ns0:c>
      <ns0:c r="DC45" t="n">
        <ns0:f>IF($A45="",1,IF(DB45=1,1,--AND(IF($AC45&gt;0,INDEX(DB$7:DB$106,$AC45),1),IF($AD45&gt;0,INDEX(DB$7:DB$106,$AD45),1),IF($AE45&gt;0,INDEX(DB$7:DB$106,$AE45),1),IF($AF45&gt;0,INDEX(DB$7:DB$106,$AF45),1),IF($AG45&gt;0,INDEX(DB$7:DB$106,$AG45),1),IF($AH45&gt;0,INDEX(DB$7:DB$106,$AH45),1),IF($AI45&gt;0,INDEX(DB$7:DB$106,$AI45),1),IF($AJ45&gt;0,INDEX(DB$7:DB$106,$AJ45),1))))</ns0:f>
        <ns0:v>1</ns0:v>
      </ns0:c>
      <ns0:c r="DD45" t="n">
        <ns0:f>IF($A45="",1,IF(DC45=1,1,--AND(IF($AC45&gt;0,INDEX(DC$7:DC$106,$AC45),1),IF($AD45&gt;0,INDEX(DC$7:DC$106,$AD45),1),IF($AE45&gt;0,INDEX(DC$7:DC$106,$AE45),1),IF($AF45&gt;0,INDEX(DC$7:DC$106,$AF45),1),IF($AG45&gt;0,INDEX(DC$7:DC$106,$AG45),1),IF($AH45&gt;0,INDEX(DC$7:DC$106,$AH45),1),IF($AI45&gt;0,INDEX(DC$7:DC$106,$AI45),1),IF($AJ45&gt;0,INDEX(DC$7:DC$106,$AJ45),1))))</ns0:f>
        <ns0:v>1</ns0:v>
      </ns0:c>
      <ns0:c r="DE45" t="n">
        <ns0:f>IF($A45="",1,IF(DD45=1,1,--AND(IF($AC45&gt;0,INDEX(DD$7:DD$106,$AC45),1),IF($AD45&gt;0,INDEX(DD$7:DD$106,$AD45),1),IF($AE45&gt;0,INDEX(DD$7:DD$106,$AE45),1),IF($AF45&gt;0,INDEX(DD$7:DD$106,$AF45),1),IF($AG45&gt;0,INDEX(DD$7:DD$106,$AG45),1),IF($AH45&gt;0,INDEX(DD$7:DD$106,$AH45),1),IF($AI45&gt;0,INDEX(DD$7:DD$106,$AI45),1),IF($AJ45&gt;0,INDEX(DD$7:DD$106,$AJ45),1))))</ns0:f>
        <ns0:v>1</ns0:v>
      </ns0:c>
      <ns0:c r="DF45" t="n">
        <ns0:f>IF($A45="",1,IF(DE45=1,1,--AND(IF($AC45&gt;0,INDEX(DE$7:DE$106,$AC45),1),IF($AD45&gt;0,INDEX(DE$7:DE$106,$AD45),1),IF($AE45&gt;0,INDEX(DE$7:DE$106,$AE45),1),IF($AF45&gt;0,INDEX(DE$7:DE$106,$AF45),1),IF($AG45&gt;0,INDEX(DE$7:DE$106,$AG45),1),IF($AH45&gt;0,INDEX(DE$7:DE$106,$AH45),1),IF($AI45&gt;0,INDEX(DE$7:DE$106,$AI45),1),IF($AJ45&gt;0,INDEX(DE$7:DE$106,$AJ45),1))))</ns0:f>
        <ns0:v>1</ns0:v>
      </ns0:c>
      <ns0:c r="DG45" t="n">
        <ns0:f>IF($A45="",1,IF(DF45=1,1,--AND(IF($AC45&gt;0,INDEX(DF$7:DF$106,$AC45),1),IF($AD45&gt;0,INDEX(DF$7:DF$106,$AD45),1),IF($AE45&gt;0,INDEX(DF$7:DF$106,$AE45),1),IF($AF45&gt;0,INDEX(DF$7:DF$106,$AF45),1),IF($AG45&gt;0,INDEX(DF$7:DF$106,$AG45),1),IF($AH45&gt;0,INDEX(DF$7:DF$106,$AH45),1),IF($AI45&gt;0,INDEX(DF$7:DF$106,$AI45),1),IF($AJ45&gt;0,INDEX(DF$7:DF$106,$AJ45),1))))</ns0:f>
        <ns0:v>1</ns0:v>
      </ns0:c>
      <ns0:c r="DH45" t="n">
        <ns0:f>IF($A45="",1,IF(DG45=1,1,--AND(IF($AC45&gt;0,INDEX(DG$7:DG$106,$AC45),1),IF($AD45&gt;0,INDEX(DG$7:DG$106,$AD45),1),IF($AE45&gt;0,INDEX(DG$7:DG$106,$AE45),1),IF($AF45&gt;0,INDEX(DG$7:DG$106,$AF45),1),IF($AG45&gt;0,INDEX(DG$7:DG$106,$AG45),1),IF($AH45&gt;0,INDEX(DG$7:DG$106,$AH45),1),IF($AI45&gt;0,INDEX(DG$7:DG$106,$AI45),1),IF($AJ45&gt;0,INDEX(DG$7:DG$106,$AJ45),1))))</ns0:f>
        <ns0:v>1</ns0:v>
      </ns0:c>
      <ns0:c r="DI45" t="n">
        <ns0:f>IF($A45="",1,IF(DH45=1,1,--AND(IF($AC45&gt;0,INDEX(DH$7:DH$106,$AC45),1),IF($AD45&gt;0,INDEX(DH$7:DH$106,$AD45),1),IF($AE45&gt;0,INDEX(DH$7:DH$106,$AE45),1),IF($AF45&gt;0,INDEX(DH$7:DH$106,$AF45),1),IF($AG45&gt;0,INDEX(DH$7:DH$106,$AG45),1),IF($AH45&gt;0,INDEX(DH$7:DH$106,$AH45),1),IF($AI45&gt;0,INDEX(DH$7:DH$106,$AI45),1),IF($AJ45&gt;0,INDEX(DH$7:DH$106,$AJ45),1))))</ns0:f>
        <ns0:v>1</ns0:v>
      </ns0:c>
      <ns0:c r="DJ45" t="n">
        <ns0:f>IF($A45="",1,IF(DI45=1,1,--AND(IF($AC45&gt;0,INDEX(DI$7:DI$106,$AC45),1),IF($AD45&gt;0,INDEX(DI$7:DI$106,$AD45),1),IF($AE45&gt;0,INDEX(DI$7:DI$106,$AE45),1),IF($AF45&gt;0,INDEX(DI$7:DI$106,$AF45),1),IF($AG45&gt;0,INDEX(DI$7:DI$106,$AG45),1),IF($AH45&gt;0,INDEX(DI$7:DI$106,$AH45),1),IF($AI45&gt;0,INDEX(DI$7:DI$106,$AI45),1),IF($AJ45&gt;0,INDEX(DI$7:DI$106,$AJ45),1))))</ns0:f>
        <ns0:v>1</ns0:v>
      </ns0:c>
      <ns0:c r="DK45" t="n">
        <ns0:f>IF($A45="",1,IF(DJ45=1,1,--AND(IF($AC45&gt;0,INDEX(DJ$7:DJ$106,$AC45),1),IF($AD45&gt;0,INDEX(DJ$7:DJ$106,$AD45),1),IF($AE45&gt;0,INDEX(DJ$7:DJ$106,$AE45),1),IF($AF45&gt;0,INDEX(DJ$7:DJ$106,$AF45),1),IF($AG45&gt;0,INDEX(DJ$7:DJ$106,$AG45),1),IF($AH45&gt;0,INDEX(DJ$7:DJ$106,$AH45),1),IF($AI45&gt;0,INDEX(DJ$7:DJ$106,$AI45),1),IF($AJ45&gt;0,INDEX(DJ$7:DJ$106,$AJ45),1))))</ns0:f>
        <ns0:v>1</ns0:v>
      </ns0:c>
      <ns0:c r="DL45" t="n">
        <ns0:f>IF($A45="",1,IF(DK45=1,1,--AND(IF($AC45&gt;0,INDEX(DK$7:DK$106,$AC45),1),IF($AD45&gt;0,INDEX(DK$7:DK$106,$AD45),1),IF($AE45&gt;0,INDEX(DK$7:DK$106,$AE45),1),IF($AF45&gt;0,INDEX(DK$7:DK$106,$AF45),1),IF($AG45&gt;0,INDEX(DK$7:DK$106,$AG45),1),IF($AH45&gt;0,INDEX(DK$7:DK$106,$AH45),1),IF($AI45&gt;0,INDEX(DK$7:DK$106,$AI45),1),IF($AJ45&gt;0,INDEX(DK$7:DK$106,$AJ45),1))))</ns0:f>
        <ns0:v>1</ns0:v>
      </ns0:c>
      <ns0:c r="DM45" t="n">
        <ns0:f>IF($A45="",1,IF(DL45=1,1,--AND(IF($AC45&gt;0,INDEX(DL$7:DL$106,$AC45),1),IF($AD45&gt;0,INDEX(DL$7:DL$106,$AD45),1),IF($AE45&gt;0,INDEX(DL$7:DL$106,$AE45),1),IF($AF45&gt;0,INDEX(DL$7:DL$106,$AF45),1),IF($AG45&gt;0,INDEX(DL$7:DL$106,$AG45),1),IF($AH45&gt;0,INDEX(DL$7:DL$106,$AH45),1),IF($AI45&gt;0,INDEX(DL$7:DL$106,$AI45),1),IF($AJ45&gt;0,INDEX(DL$7:DL$106,$AJ45),1))))</ns0:f>
        <ns0:v>1</ns0:v>
      </ns0:c>
      <ns0:c r="DN45" t="n">
        <ns0:f>IF($A45="",1,IF(DM45=1,1,--AND(IF($AC45&gt;0,INDEX(DM$7:DM$106,$AC45),1),IF($AD45&gt;0,INDEX(DM$7:DM$106,$AD45),1),IF($AE45&gt;0,INDEX(DM$7:DM$106,$AE45),1),IF($AF45&gt;0,INDEX(DM$7:DM$106,$AF45),1),IF($AG45&gt;0,INDEX(DM$7:DM$106,$AG45),1),IF($AH45&gt;0,INDEX(DM$7:DM$106,$AH45),1),IF($AI45&gt;0,INDEX(DM$7:DM$106,$AI45),1),IF($AJ45&gt;0,INDEX(DM$7:DM$106,$AJ45),1))))</ns0:f>
        <ns0:v>1</ns0:v>
      </ns0:c>
      <ns0:c r="DO45" t="n">
        <ns0:f>IF($A45="",1,IF(DN45=1,1,--AND(IF($AC45&gt;0,INDEX(DN$7:DN$106,$AC45),1),IF($AD45&gt;0,INDEX(DN$7:DN$106,$AD45),1),IF($AE45&gt;0,INDEX(DN$7:DN$106,$AE45),1),IF($AF45&gt;0,INDEX(DN$7:DN$106,$AF45),1),IF($AG45&gt;0,INDEX(DN$7:DN$106,$AG45),1),IF($AH45&gt;0,INDEX(DN$7:DN$106,$AH45),1),IF($AI45&gt;0,INDEX(DN$7:DN$106,$AI45),1),IF($AJ45&gt;0,INDEX(DN$7:DN$106,$AJ45),1))))</ns0:f>
        <ns0:v>1</ns0:v>
      </ns0:c>
      <ns0:c r="DP45" t="n">
        <ns0:f>IF($A45="",1,IF(DO45=1,1,--AND(IF($AC45&gt;0,INDEX(DO$7:DO$106,$AC45),1),IF($AD45&gt;0,INDEX(DO$7:DO$106,$AD45),1),IF($AE45&gt;0,INDEX(DO$7:DO$106,$AE45),1),IF($AF45&gt;0,INDEX(DO$7:DO$106,$AF45),1),IF($AG45&gt;0,INDEX(DO$7:DO$106,$AG45),1),IF($AH45&gt;0,INDEX(DO$7:DO$106,$AH45),1),IF($AI45&gt;0,INDEX(DO$7:DO$106,$AI45),1),IF($AJ45&gt;0,INDEX(DO$7:DO$106,$AJ45),1))))</ns0:f>
        <ns0:v>1</ns0:v>
      </ns0:c>
      <ns0:c r="DQ45" t="n">
        <ns0:f>IF($A45="",1,IF(DP45=1,1,--AND(IF($AC45&gt;0,INDEX(DP$7:DP$106,$AC45),1),IF($AD45&gt;0,INDEX(DP$7:DP$106,$AD45),1),IF($AE45&gt;0,INDEX(DP$7:DP$106,$AE45),1),IF($AF45&gt;0,INDEX(DP$7:DP$106,$AF45),1),IF($AG45&gt;0,INDEX(DP$7:DP$106,$AG45),1),IF($AH45&gt;0,INDEX(DP$7:DP$106,$AH45),1),IF($AI45&gt;0,INDEX(DP$7:DP$106,$AI45),1),IF($AJ45&gt;0,INDEX(DP$7:DP$106,$AJ45),1))))</ns0:f>
        <ns0:v>1</ns0:v>
      </ns0:c>
      <ns0:c r="DR45" t="n">
        <ns0:f>IF($A45="",1,IF(DQ45=1,1,--AND(IF($AC45&gt;0,INDEX(DQ$7:DQ$106,$AC45),1),IF($AD45&gt;0,INDEX(DQ$7:DQ$106,$AD45),1),IF($AE45&gt;0,INDEX(DQ$7:DQ$106,$AE45),1),IF($AF45&gt;0,INDEX(DQ$7:DQ$106,$AF45),1),IF($AG45&gt;0,INDEX(DQ$7:DQ$106,$AG45),1),IF($AH45&gt;0,INDEX(DQ$7:DQ$106,$AH45),1),IF($AI45&gt;0,INDEX(DQ$7:DQ$106,$AI45),1),IF($AJ45&gt;0,INDEX(DQ$7:DQ$106,$AJ45),1))))</ns0:f>
        <ns0:v>1</ns0:v>
      </ns0:c>
      <ns0:c r="DS45" t="n">
        <ns0:f>IF($A45="",1,IF(DR45=1,1,--AND(IF($AC45&gt;0,INDEX(DR$7:DR$106,$AC45),1),IF($AD45&gt;0,INDEX(DR$7:DR$106,$AD45),1),IF($AE45&gt;0,INDEX(DR$7:DR$106,$AE45),1),IF($AF45&gt;0,INDEX(DR$7:DR$106,$AF45),1),IF($AG45&gt;0,INDEX(DR$7:DR$106,$AG45),1),IF($AH45&gt;0,INDEX(DR$7:DR$106,$AH45),1),IF($AI45&gt;0,INDEX(DR$7:DR$106,$AI45),1),IF($AJ45&gt;0,INDEX(DR$7:DR$106,$AJ45),1))))</ns0:f>
        <ns0:v>1</ns0:v>
      </ns0:c>
      <ns0:c r="DT45" t="n">
        <ns0:f>IF($A45="",1,IF(DS45=1,1,--AND(IF($AC45&gt;0,INDEX(DS$7:DS$106,$AC45),1),IF($AD45&gt;0,INDEX(DS$7:DS$106,$AD45),1),IF($AE45&gt;0,INDEX(DS$7:DS$106,$AE45),1),IF($AF45&gt;0,INDEX(DS$7:DS$106,$AF45),1),IF($AG45&gt;0,INDEX(DS$7:DS$106,$AG45),1),IF($AH45&gt;0,INDEX(DS$7:DS$106,$AH45),1),IF($AI45&gt;0,INDEX(DS$7:DS$106,$AI45),1),IF($AJ45&gt;0,INDEX(DS$7:DS$106,$AJ45),1))))</ns0:f>
        <ns0:v>1</ns0:v>
      </ns0:c>
      <ns0:c r="DU45" t="n">
        <ns0:f>IF($A45="",1,IF(DT45=1,1,--AND(IF($AC45&gt;0,INDEX(DT$7:DT$106,$AC45),1),IF($AD45&gt;0,INDEX(DT$7:DT$106,$AD45),1),IF($AE45&gt;0,INDEX(DT$7:DT$106,$AE45),1),IF($AF45&gt;0,INDEX(DT$7:DT$106,$AF45),1),IF($AG45&gt;0,INDEX(DT$7:DT$106,$AG45),1),IF($AH45&gt;0,INDEX(DT$7:DT$106,$AH45),1),IF($AI45&gt;0,INDEX(DT$7:DT$106,$AI45),1),IF($AJ45&gt;0,INDEX(DT$7:DT$106,$AJ45),1))))</ns0:f>
        <ns0:v>1</ns0:v>
      </ns0:c>
      <ns0:c r="DV45" t="n">
        <ns0:f>IF($A45="",1,IF(DU45=1,1,--AND(IF($AC45&gt;0,INDEX(DU$7:DU$106,$AC45),1),IF($AD45&gt;0,INDEX(DU$7:DU$106,$AD45),1),IF($AE45&gt;0,INDEX(DU$7:DU$106,$AE45),1),IF($AF45&gt;0,INDEX(DU$7:DU$106,$AF45),1),IF($AG45&gt;0,INDEX(DU$7:DU$106,$AG45),1),IF($AH45&gt;0,INDEX(DU$7:DU$106,$AH45),1),IF($AI45&gt;0,INDEX(DU$7:DU$106,$AI45),1),IF($AJ45&gt;0,INDEX(DU$7:DU$106,$AJ45),1))))</ns0:f>
        <ns0:v>1</ns0:v>
      </ns0:c>
      <ns0:c r="DW45" t="n">
        <ns0:f>IF($A45="",1,IF(DV45=1,1,--AND(IF($AC45&gt;0,INDEX(DV$7:DV$106,$AC45),1),IF($AD45&gt;0,INDEX(DV$7:DV$106,$AD45),1),IF($AE45&gt;0,INDEX(DV$7:DV$106,$AE45),1),IF($AF45&gt;0,INDEX(DV$7:DV$106,$AF45),1),IF($AG45&gt;0,INDEX(DV$7:DV$106,$AG45),1),IF($AH45&gt;0,INDEX(DV$7:DV$106,$AH45),1),IF($AI45&gt;0,INDEX(DV$7:DV$106,$AI45),1),IF($AJ45&gt;0,INDEX(DV$7:DV$106,$AJ45),1))))</ns0:f>
        <ns0:v>1</ns0:v>
      </ns0:c>
      <ns0:c r="DX45" t="n">
        <ns0:f>IF($A45="",1,IF(DW45=1,1,--AND(IF($AC45&gt;0,INDEX(DW$7:DW$106,$AC45),1),IF($AD45&gt;0,INDEX(DW$7:DW$106,$AD45),1),IF($AE45&gt;0,INDEX(DW$7:DW$106,$AE45),1),IF($AF45&gt;0,INDEX(DW$7:DW$106,$AF45),1),IF($AG45&gt;0,INDEX(DW$7:DW$106,$AG45),1),IF($AH45&gt;0,INDEX(DW$7:DW$106,$AH45),1),IF($AI45&gt;0,INDEX(DW$7:DW$106,$AI45),1),IF($AJ45&gt;0,INDEX(DW$7:DW$106,$AJ45),1))))</ns0:f>
        <ns0:v>1</ns0:v>
      </ns0:c>
      <ns0:c r="DY45" t="n">
        <ns0:f>IF($A45="",1,IF(DX45=1,1,--AND(IF($AC45&gt;0,INDEX(DX$7:DX$106,$AC45),1),IF($AD45&gt;0,INDEX(DX$7:DX$106,$AD45),1),IF($AE45&gt;0,INDEX(DX$7:DX$106,$AE45),1),IF($AF45&gt;0,INDEX(DX$7:DX$106,$AF45),1),IF($AG45&gt;0,INDEX(DX$7:DX$106,$AG45),1),IF($AH45&gt;0,INDEX(DX$7:DX$106,$AH45),1),IF($AI45&gt;0,INDEX(DX$7:DX$106,$AI45),1),IF($AJ45&gt;0,INDEX(DX$7:DX$106,$AJ45),1))))</ns0:f>
        <ns0:v>1</ns0:v>
      </ns0:c>
      <ns0:c r="DZ45" t="n">
        <ns0:f>IF($A45="",1,IF(DY45=1,1,--AND(IF($AC45&gt;0,INDEX(DY$7:DY$106,$AC45),1),IF($AD45&gt;0,INDEX(DY$7:DY$106,$AD45),1),IF($AE45&gt;0,INDEX(DY$7:DY$106,$AE45),1),IF($AF45&gt;0,INDEX(DY$7:DY$106,$AF45),1),IF($AG45&gt;0,INDEX(DY$7:DY$106,$AG45),1),IF($AH45&gt;0,INDEX(DY$7:DY$106,$AH45),1),IF($AI45&gt;0,INDEX(DY$7:DY$106,$AI45),1),IF($AJ45&gt;0,INDEX(DY$7:DY$106,$AJ45),1))))</ns0:f>
        <ns0:v>1</ns0:v>
      </ns0:c>
      <ns0:c r="EA45" t="n">
        <ns0:f>IF($A45="",1,IF(DZ45=1,1,--AND(IF($AC45&gt;0,INDEX(DZ$7:DZ$106,$AC45),1),IF($AD45&gt;0,INDEX(DZ$7:DZ$106,$AD45),1),IF($AE45&gt;0,INDEX(DZ$7:DZ$106,$AE45),1),IF($AF45&gt;0,INDEX(DZ$7:DZ$106,$AF45),1),IF($AG45&gt;0,INDEX(DZ$7:DZ$106,$AG45),1),IF($AH45&gt;0,INDEX(DZ$7:DZ$106,$AH45),1),IF($AI45&gt;0,INDEX(DZ$7:DZ$106,$AI45),1),IF($AJ45&gt;0,INDEX(DZ$7:DZ$106,$AJ45),1))))</ns0:f>
        <ns0:v>1</ns0:v>
      </ns0:c>
      <ns0:c r="EB45" t="n">
        <ns0:f>IF($A45="",1,IF(EA45=1,1,--AND(IF($AC45&gt;0,INDEX(EA$7:EA$106,$AC45),1),IF($AD45&gt;0,INDEX(EA$7:EA$106,$AD45),1),IF($AE45&gt;0,INDEX(EA$7:EA$106,$AE45),1),IF($AF45&gt;0,INDEX(EA$7:EA$106,$AF45),1),IF($AG45&gt;0,INDEX(EA$7:EA$106,$AG45),1),IF($AH45&gt;0,INDEX(EA$7:EA$106,$AH45),1),IF($AI45&gt;0,INDEX(EA$7:EA$106,$AI45),1),IF($AJ45&gt;0,INDEX(EA$7:EA$106,$AJ45),1))))</ns0:f>
        <ns0:v>1</ns0:v>
      </ns0:c>
      <ns0:c r="EC45" t="n">
        <ns0:f>IF($A45="",1,IF(EB45=1,1,--AND(IF($AC45&gt;0,INDEX(EB$7:EB$106,$AC45),1),IF($AD45&gt;0,INDEX(EB$7:EB$106,$AD45),1),IF($AE45&gt;0,INDEX(EB$7:EB$106,$AE45),1),IF($AF45&gt;0,INDEX(EB$7:EB$106,$AF45),1),IF($AG45&gt;0,INDEX(EB$7:EB$106,$AG45),1),IF($AH45&gt;0,INDEX(EB$7:EB$106,$AH45),1),IF($AI45&gt;0,INDEX(EB$7:EB$106,$AI45),1),IF($AJ45&gt;0,INDEX(EB$7:EB$106,$AJ45),1))))</ns0:f>
        <ns0:v>1</ns0:v>
      </ns0:c>
      <ns0:c r="ED45" t="n">
        <ns0:f>IF($A45="",1,IF(EC45=1,1,--AND(IF($AC45&gt;0,INDEX(EC$7:EC$106,$AC45),1),IF($AD45&gt;0,INDEX(EC$7:EC$106,$AD45),1),IF($AE45&gt;0,INDEX(EC$7:EC$106,$AE45),1),IF($AF45&gt;0,INDEX(EC$7:EC$106,$AF45),1),IF($AG45&gt;0,INDEX(EC$7:EC$106,$AG45),1),IF($AH45&gt;0,INDEX(EC$7:EC$106,$AH45),1),IF($AI45&gt;0,INDEX(EC$7:EC$106,$AI45),1),IF($AJ45&gt;0,INDEX(EC$7:EC$106,$AJ45),1))))</ns0:f>
        <ns0:v>1</ns0:v>
      </ns0:c>
      <ns0:c r="EE45" t="n">
        <ns0:f>IF($A45="",1,IF(ED45=1,1,--AND(IF($AC45&gt;0,INDEX(ED$7:ED$106,$AC45),1),IF($AD45&gt;0,INDEX(ED$7:ED$106,$AD45),1),IF($AE45&gt;0,INDEX(ED$7:ED$106,$AE45),1),IF($AF45&gt;0,INDEX(ED$7:ED$106,$AF45),1),IF($AG45&gt;0,INDEX(ED$7:ED$106,$AG45),1),IF($AH45&gt;0,INDEX(ED$7:ED$106,$AH45),1),IF($AI45&gt;0,INDEX(ED$7:ED$106,$AI45),1),IF($AJ45&gt;0,INDEX(ED$7:ED$106,$AJ45),1))))</ns0:f>
        <ns0:v>1</ns0:v>
      </ns0:c>
      <ns0:c r="EF45" t="n">
        <ns0:f>IF($A45="",1,IF(EE45=1,1,--AND(IF($AC45&gt;0,INDEX(EE$7:EE$106,$AC45),1),IF($AD45&gt;0,INDEX(EE$7:EE$106,$AD45),1),IF($AE45&gt;0,INDEX(EE$7:EE$106,$AE45),1),IF($AF45&gt;0,INDEX(EE$7:EE$106,$AF45),1),IF($AG45&gt;0,INDEX(EE$7:EE$106,$AG45),1),IF($AH45&gt;0,INDEX(EE$7:EE$106,$AH45),1),IF($AI45&gt;0,INDEX(EE$7:EE$106,$AI45),1),IF($AJ45&gt;0,INDEX(EE$7:EE$106,$AJ45),1))))</ns0:f>
        <ns0:v>1</ns0:v>
      </ns0:c>
      <ns0:c r="EG45" t="n">
        <ns0:f>IF($A45="",1,IF(EF45=1,1,--AND(IF($AC45&gt;0,INDEX(EF$7:EF$106,$AC45),1),IF($AD45&gt;0,INDEX(EF$7:EF$106,$AD45),1),IF($AE45&gt;0,INDEX(EF$7:EF$106,$AE45),1),IF($AF45&gt;0,INDEX(EF$7:EF$106,$AF45),1),IF($AG45&gt;0,INDEX(EF$7:EF$106,$AG45),1),IF($AH45&gt;0,INDEX(EF$7:EF$106,$AH45),1),IF($AI45&gt;0,INDEX(EF$7:EF$106,$AI45),1),IF($AJ45&gt;0,INDEX(EF$7:EF$106,$AJ45),1))))</ns0:f>
        <ns0:v>1</ns0:v>
      </ns0:c>
      <ns0:c r="EH45" t="n">
        <ns0:f>IF($A45="",1,IF(EG45=1,1,--AND(IF($AC45&gt;0,INDEX(EG$7:EG$106,$AC45),1),IF($AD45&gt;0,INDEX(EG$7:EG$106,$AD45),1),IF($AE45&gt;0,INDEX(EG$7:EG$106,$AE45),1),IF($AF45&gt;0,INDEX(EG$7:EG$106,$AF45),1),IF($AG45&gt;0,INDEX(EG$7:EG$106,$AG45),1),IF($AH45&gt;0,INDEX(EG$7:EG$106,$AH45),1),IF($AI45&gt;0,INDEX(EG$7:EG$106,$AI45),1),IF($AJ45&gt;0,INDEX(EG$7:EG$106,$AJ45),1))))</ns0:f>
        <ns0:v>1</ns0:v>
      </ns0:c>
      <ns0:c r="EI45" t="n">
        <ns0:f>IF($A45="",1,IF(EH45=1,1,--AND(IF($AC45&gt;0,INDEX(EH$7:EH$106,$AC45),1),IF($AD45&gt;0,INDEX(EH$7:EH$106,$AD45),1),IF($AE45&gt;0,INDEX(EH$7:EH$106,$AE45),1),IF($AF45&gt;0,INDEX(EH$7:EH$106,$AF45),1),IF($AG45&gt;0,INDEX(EH$7:EH$106,$AG45),1),IF($AH45&gt;0,INDEX(EH$7:EH$106,$AH45),1),IF($AI45&gt;0,INDEX(EH$7:EH$106,$AI45),1),IF($AJ45&gt;0,INDEX(EH$7:EH$106,$AJ45),1))))</ns0:f>
        <ns0:v>1</ns0:v>
      </ns0:c>
      <ns0:c r="EJ45" t="n">
        <ns0:f>IF($A45="",1,IF(EI45=1,1,--AND(IF($AC45&gt;0,INDEX(EI$7:EI$106,$AC45),1),IF($AD45&gt;0,INDEX(EI$7:EI$106,$AD45),1),IF($AE45&gt;0,INDEX(EI$7:EI$106,$AE45),1),IF($AF45&gt;0,INDEX(EI$7:EI$106,$AF45),1),IF($AG45&gt;0,INDEX(EI$7:EI$106,$AG45),1),IF($AH45&gt;0,INDEX(EI$7:EI$106,$AH45),1),IF($AI45&gt;0,INDEX(EI$7:EI$106,$AI45),1),IF($AJ45&gt;0,INDEX(EI$7:EI$106,$AJ45),1))))</ns0:f>
        <ns0:v>1</ns0:v>
      </ns0:c>
      <ns0:c r="EK45" t="n">
        <ns0:f>IF($A45="",1,IF(EJ45=1,1,--AND(IF($AC45&gt;0,INDEX(EJ$7:EJ$106,$AC45),1),IF($AD45&gt;0,INDEX(EJ$7:EJ$106,$AD45),1),IF($AE45&gt;0,INDEX(EJ$7:EJ$106,$AE45),1),IF($AF45&gt;0,INDEX(EJ$7:EJ$106,$AF45),1),IF($AG45&gt;0,INDEX(EJ$7:EJ$106,$AG45),1),IF($AH45&gt;0,INDEX(EJ$7:EJ$106,$AH45),1),IF($AI45&gt;0,INDEX(EJ$7:EJ$106,$AI45),1),IF($AJ45&gt;0,INDEX(EJ$7:EJ$106,$AJ45),1))))</ns0:f>
        <ns0:v>1</ns0:v>
      </ns0:c>
      <ns0:c r="EL45" t="n">
        <ns0:f>IF($A45="",1,IF(EK45=1,1,--AND(IF($AC45&gt;0,INDEX(EK$7:EK$106,$AC45),1),IF($AD45&gt;0,INDEX(EK$7:EK$106,$AD45),1),IF($AE45&gt;0,INDEX(EK$7:EK$106,$AE45),1),IF($AF45&gt;0,INDEX(EK$7:EK$106,$AF45),1),IF($AG45&gt;0,INDEX(EK$7:EK$106,$AG45),1),IF($AH45&gt;0,INDEX(EK$7:EK$106,$AH45),1),IF($AI45&gt;0,INDEX(EK$7:EK$106,$AI45),1),IF($AJ45&gt;0,INDEX(EK$7:EK$106,$AJ45),1))))</ns0:f>
        <ns0:v>1</ns0:v>
      </ns0:c>
      <ns0:c r="EM45" t="n">
        <ns0:f>IF($A45="",1,IF(EL45=1,1,--AND(IF($AC45&gt;0,INDEX(EL$7:EL$106,$AC45),1),IF($AD45&gt;0,INDEX(EL$7:EL$106,$AD45),1),IF($AE45&gt;0,INDEX(EL$7:EL$106,$AE45),1),IF($AF45&gt;0,INDEX(EL$7:EL$106,$AF45),1),IF($AG45&gt;0,INDEX(EL$7:EL$106,$AG45),1),IF($AH45&gt;0,INDEX(EL$7:EL$106,$AH45),1),IF($AI45&gt;0,INDEX(EL$7:EL$106,$AI45),1),IF($AJ45&gt;0,INDEX(EL$7:EL$106,$AJ45),1))))</ns0:f>
        <ns0:v>1</ns0:v>
      </ns0:c>
      <ns0:c r="EN45" t="n">
        <ns0:f>IF($A45="",1,IF(EM45=1,1,--AND(IF($AC45&gt;0,INDEX(EM$7:EM$106,$AC45),1),IF($AD45&gt;0,INDEX(EM$7:EM$106,$AD45),1),IF($AE45&gt;0,INDEX(EM$7:EM$106,$AE45),1),IF($AF45&gt;0,INDEX(EM$7:EM$106,$AF45),1),IF($AG45&gt;0,INDEX(EM$7:EM$106,$AG45),1),IF($AH45&gt;0,INDEX(EM$7:EM$106,$AH45),1),IF($AI45&gt;0,INDEX(EM$7:EM$106,$AI45),1),IF($AJ45&gt;0,INDEX(EM$7:EM$106,$AJ45),1))))</ns0:f>
        <ns0:v>1</ns0:v>
      </ns0:c>
      <ns0:c r="EO45" t="n">
        <ns0:f>IF($A45="",1,IF(EN45=1,1,--AND(IF($AC45&gt;0,INDEX(EN$7:EN$106,$AC45),1),IF($AD45&gt;0,INDEX(EN$7:EN$106,$AD45),1),IF($AE45&gt;0,INDEX(EN$7:EN$106,$AE45),1),IF($AF45&gt;0,INDEX(EN$7:EN$106,$AF45),1),IF($AG45&gt;0,INDEX(EN$7:EN$106,$AG45),1),IF($AH45&gt;0,INDEX(EN$7:EN$106,$AH45),1),IF($AI45&gt;0,INDEX(EN$7:EN$106,$AI45),1),IF($AJ45&gt;0,INDEX(EN$7:EN$106,$AJ45),1))))</ns0:f>
        <ns0:v>1</ns0:v>
      </ns0:c>
      <ns0:c r="EP45" t="n">
        <ns0:f>IF($A45="",1,IF(EO45=1,1,--AND(IF($AC45&gt;0,INDEX(EO$7:EO$106,$AC45),1),IF($AD45&gt;0,INDEX(EO$7:EO$106,$AD45),1),IF($AE45&gt;0,INDEX(EO$7:EO$106,$AE45),1),IF($AF45&gt;0,INDEX(EO$7:EO$106,$AF45),1),IF($AG45&gt;0,INDEX(EO$7:EO$106,$AG45),1),IF($AH45&gt;0,INDEX(EO$7:EO$106,$AH45),1),IF($AI45&gt;0,INDEX(EO$7:EO$106,$AI45),1),IF($AJ45&gt;0,INDEX(EO$7:EO$106,$AJ45),1))))</ns0:f>
        <ns0:v>1</ns0:v>
      </ns0:c>
      <ns0:c r="EQ45" t="n">
        <ns0:f>IF(OR(A45="",NOT(ISNUMBER(G45))),0,G45*N45)</ns0:f>
        <ns0:v>0</ns0:v>
      </ns0:c>
    </ns0:row>
    <ns0:row r="46" ht="62" customHeight="1">
      <ns0:c r="A46" s="48" t="str">
        <ns0:v>T34</ns0:v>
      </ns0:c>
      <ns0:c r="B46" s="48" t="str">
        <ns0:v>Learning &amp; closeout</ns0:v>
      </ns0:c>
      <ns0:c r="C46" s="48" t="str">
        <ns0:v>Perform final project verification against acceptance criteria &amp; close</ns0:v>
      </ns0:c>
      <ns0:c r="D46" s="48" t="str">
        <ns0:v>Verify universal persistence, sandbox coverage and Model A compliance.</ns0:v>
      </ns0:c>
      <ns0:c r="E46" s="49" t="n">
        <ns0:v>46309</ns0:v>
      </ns0:c>
      <ns0:c r="F46" s="49" t="n">
        <ns0:v>46309</ns0:v>
      </ns0:c>
      <ns0:c r="G46" s="13" t="n">
        <ns0:f>IF(A46="","",IF(OR(NOT(ISNUMBER(E46)),NOT(ISNUMBER(F46)),F46&lt;E46),"",IF(J46="Yes",0,F46-E46+1)))</ns0:f>
        <ns0:v>1</ns0:v>
      </ns0:c>
      <ns0:c r="H46" s="48" t="str">
        <ns0:v>T32,T33</ns0:v>
      </ns0:c>
      <ns0:c r="I46" s="48" t="str">
        <ns0:v>FS</ns0:v>
      </ns0:c>
      <ns0:c r="J46" s="48" t="str">
        <ns0:v>No</ns0:v>
      </ns0:c>
      <ns0:c r="K46" s="48" t="str">
        <ns0:v>Brand Stakeholder / Portfolio Owner;Intelligence Engine (IE / Orchestrator)</ns0:v>
      </ns0:c>
      <ns0:c r="L46" s="48" t="str"/>
      <ns0:c r="M46" s="50" t="str">
        <ns0:f>IF(A46="","",IF(N46=1,"Completed",IF(N46&gt;0,"In Progress","Not Started")))</ns0:f>
        <ns0:v>Not Started</ns0:v>
      </ns0:c>
      <ns0:c r="N46" s="51" t="n">
        <ns0:v>0</ns0:v>
      </ns0:c>
      <ns0:c r="O46" s="13" t="str">
        <ns0:f>IF(A46="","",IF(R46&lt;&gt;"","[CONFLICT] "&amp;R46,IF(S46&lt;&gt;"","[CONFLICT] "&amp;S46,IF(OR(NOT(ISNUMBER(N46)),N46&lt;0,N46&gt;1),"[CONFLICT] Invalid progress",IF(AK46&gt;0,"[DEPENDENCY ISSUE] Missing ID / &gt;8 links",IF(AM46&gt;0,"[DEPENDENCY ISSUE] Cycle or blocked by cycle",IF(AND(H46&lt;&gt;"",ISNA(MATCH(I46,{"FS","SS","FF","SF"},0))),"[DEPENDENCY ISSUE] Invalid type",IF(AL46&gt;0,"[DEPENDENCY ISSUE] Timing conflict",IF(OR(E46&lt;ProjectStart,F46&gt;ProjectEnd),"[OUTSIDE WINDOW]",IF(AND(N46&lt;1,F46&lt;AsOfDate),"Overdue",IF(AND(M46&lt;&gt;Q46,M46&lt;&gt;""),"[CONFLICT] Status / progress","On track")))))))))))</ns0:f>
        <ns0:v>On track</ns0:v>
      </ns0:c>
      <ns0:c r="P46" s="52" t="str">
        <ns0:v>Source: Project Plan Essentials (2).md §1, §2, §4. Original 2026-10-14 to 2026-10-14, 1d; original progress 0% [INFERRED]. [INFERRED] Rescheduled to fit 34d with FS. Original resource/tools: Intelligence Engine &amp; Brand Owner.</ns0:v>
      </ns0:c>
      <ns0:c r="Q46" t="str">
        <ns0:f>IF(A46="","",IF(OR(M46="On Hold",M46="Delayed"),M46,IF(N46=1,"Completed",IF(N46&gt;0,"In Progress","Not Started"))))</ns0:f>
        <ns0:v>Not Started</ns0:v>
      </ns0:c>
      <ns0:c r="R46" t="str">
        <ns0:f>IF(A46="","",IF(COUNTIFS(Tasks[Task ID],A46)&lt;&gt;1,"Duplicate ID",""))</ns0:f>
      </ns0:c>
      <ns0:c r="S46" t="str">
        <ns0:f>IF(A46="","",IF(OR(NOT(ISNUMBER(E46)),NOT(ISNUMBER(F46))),"Invalid / missing date",IF(OR(E46&lt;&gt;INT(E46),F46&lt;&gt;INT(F46),E46&lt;1,F46&gt;2958465),"Invalid date",IF(F46&lt;E46,"End before start",IF(AND(J46="Yes",E46&lt;&gt;F46),"Milestone needs one date","")))))</ns0:f>
      </ns0:c>
      <ns0:c r="T46" t="n">
        <ns0:f>IF(H46="",0,LEN(H46)-LEN(SUBSTITUTE(H46,",",""))+1)</ns0:f>
        <ns0:v>2</ns0:v>
      </ns0:c>
      <ns0:c r="U46" t="str">
        <ns0:f>TRIM(MID(SUBSTITUTE($H46,",",REPT(" ",100)),1,100))</ns0:f>
        <ns0:v>T32</ns0:v>
      </ns0:c>
      <ns0:c r="V46" t="str">
        <ns0:f>TRIM(MID(SUBSTITUTE($H46,",",REPT(" ",100)),101,100))</ns0:f>
        <ns0:v>T33</ns0:v>
      </ns0:c>
      <ns0:c r="W46" t="str">
        <ns0:f>TRIM(MID(SUBSTITUTE($H46,",",REPT(" ",100)),201,100))</ns0:f>
      </ns0:c>
      <ns0:c r="X46" t="str">
        <ns0:f>TRIM(MID(SUBSTITUTE($H46,",",REPT(" ",100)),301,100))</ns0:f>
      </ns0:c>
      <ns0:c r="Y46" t="str">
        <ns0:f>TRIM(MID(SUBSTITUTE($H46,",",REPT(" ",100)),401,100))</ns0:f>
      </ns0:c>
      <ns0:c r="Z46" t="str">
        <ns0:f>TRIM(MID(SUBSTITUTE($H46,",",REPT(" ",100)),501,100))</ns0:f>
      </ns0:c>
      <ns0:c r="AA46" t="str">
        <ns0:f>TRIM(MID(SUBSTITUTE($H46,",",REPT(" ",100)),601,100))</ns0:f>
      </ns0:c>
      <ns0:c r="AB46" t="str">
        <ns0:f>TRIM(MID(SUBSTITUTE($H46,",",REPT(" ",100)),701,100))</ns0:f>
      </ns0:c>
      <ns0:c r="AC46" t="n">
        <ns0:f>IF(U46="",0,IF(COUNTIFS(Tasks[Task ID],U46)=1,MATCH(U46,Tasks[Task ID],0),-1))</ns0:f>
        <ns0:v>38</ns0:v>
      </ns0:c>
      <ns0:c r="AD46" t="n">
        <ns0:f>IF(V46="",0,IF(COUNTIFS(Tasks[Task ID],V46)=1,MATCH(V46,Tasks[Task ID],0),-1))</ns0:f>
        <ns0:v>39</ns0:v>
      </ns0:c>
      <ns0:c r="AE46" t="n">
        <ns0:f>IF(W46="",0,IF(COUNTIFS(Tasks[Task ID],W46)=1,MATCH(W46,Tasks[Task ID],0),-1))</ns0:f>
        <ns0:v>0</ns0:v>
      </ns0:c>
      <ns0:c r="AF46" t="n">
        <ns0:f>IF(X46="",0,IF(COUNTIFS(Tasks[Task ID],X46)=1,MATCH(X46,Tasks[Task ID],0),-1))</ns0:f>
        <ns0:v>0</ns0:v>
      </ns0:c>
      <ns0:c r="AG46" t="n">
        <ns0:f>IF(Y46="",0,IF(COUNTIFS(Tasks[Task ID],Y46)=1,MATCH(Y46,Tasks[Task ID],0),-1))</ns0:f>
        <ns0:v>0</ns0:v>
      </ns0:c>
      <ns0:c r="AH46" t="n">
        <ns0:f>IF(Z46="",0,IF(COUNTIFS(Tasks[Task ID],Z46)=1,MATCH(Z46,Tasks[Task ID],0),-1))</ns0:f>
        <ns0:v>0</ns0:v>
      </ns0:c>
      <ns0:c r="AI46" t="n">
        <ns0:f>IF(AA46="",0,IF(COUNTIFS(Tasks[Task ID],AA46)=1,MATCH(AA46,Tasks[Task ID],0),-1))</ns0:f>
        <ns0:v>0</ns0:v>
      </ns0:c>
      <ns0:c r="AJ46" t="n">
        <ns0:f>IF(AB46="",0,IF(COUNTIFS(Tasks[Task ID],AB46)=1,MATCH(AB46,Tasks[Task ID],0),-1))</ns0:f>
        <ns0:v>0</ns0:v>
      </ns0:c>
      <ns0:c r="AK46" t="n">
        <ns0:f>COUNTIFS(AC46:AJ46,-1)+IF(T46&gt;8,1,0)</ns0:f>
        <ns0:v>0</ns0:v>
      </ns0:c>
      <ns0:c r="AL46" t="n">
        <ns0:f>IF(OR(A46="",S46&lt;&gt;""),0,SUM(IF(AC46&gt;0,IF($I46="FS",--($E46&lt;INDEX(Tasks[End Date],AC46)+IF(INDEX(Tasks[Milestone],AC46)="Yes",0,1)),IF($I46="SS",--($E46&lt;INDEX(Tasks[Start Date],AC46)),IF($I46="FF",--($F46&lt;INDEX(Tasks[End Date],AC46)),IF($I46="SF",--($F46&lt;INDEX(Tasks[Start Date],AC46)),0)))),0),IF(AD46&gt;0,IF($I46="FS",--($E46&lt;INDEX(Tasks[End Date],AD46)+IF(INDEX(Tasks[Milestone],AD46)="Yes",0,1)),IF($I46="SS",--($E46&lt;INDEX(Tasks[Start Date],AD46)),IF($I46="FF",--($F46&lt;INDEX(Tasks[End Date],AD46)),IF($I46="SF",--($F46&lt;INDEX(Tasks[Start Date],AD46)),0)))),0),IF(AE46&gt;0,IF($I46="FS",--($E46&lt;INDEX(Tasks[End Date],AE46)+IF(INDEX(Tasks[Milestone],AE46)="Yes",0,1)),IF($I46="SS",--($E46&lt;INDEX(Tasks[Start Date],AE46)),IF($I46="FF",--($F46&lt;INDEX(Tasks[End Date],AE46)),IF($I46="SF",--($F46&lt;INDEX(Tasks[Start Date],AE46)),0)))),0),IF(AF46&gt;0,IF($I46="FS",--($E46&lt;INDEX(Tasks[End Date],AF46)+IF(INDEX(Tasks[Milestone],AF46)="Yes",0,1)),IF($I46="SS",--($E46&lt;INDEX(Tasks[Start Date],AF46)),IF($I46="FF",--($F46&lt;INDEX(Tasks[End Date],AF46)),IF($I46="SF",--($F46&lt;INDEX(Tasks[Start Date],AF46)),0)))),0),IF(AG46&gt;0,IF($I46="FS",--($E46&lt;INDEX(Tasks[End Date],AG46)+IF(INDEX(Tasks[Milestone],AG46)="Yes",0,1)),IF($I46="SS",--($E46&lt;INDEX(Tasks[Start Date],AG46)),IF($I46="FF",--($F46&lt;INDEX(Tasks[End Date],AG46)),IF($I46="SF",--($F46&lt;INDEX(Tasks[Start Date],AG46)),0)))),0),IF(AH46&gt;0,IF($I46="FS",--($E46&lt;INDEX(Tasks[End Date],AH46)+IF(INDEX(Tasks[Milestone],AH46)="Yes",0,1)),IF($I46="SS",--($E46&lt;INDEX(Tasks[Start Date],AH46)),IF($I46="FF",--($F46&lt;INDEX(Tasks[End Date],AH46)),IF($I46="SF",--($F46&lt;INDEX(Tasks[Start Date],AH46)),0)))),0),IF(AI46&gt;0,IF($I46="FS",--($E46&lt;INDEX(Tasks[End Date],AI46)+IF(INDEX(Tasks[Milestone],AI46)="Yes",0,1)),IF($I46="SS",--($E46&lt;INDEX(Tasks[Start Date],AI46)),IF($I46="FF",--($F46&lt;INDEX(Tasks[End Date],AI46)),IF($I46="SF",--($F46&lt;INDEX(Tasks[Start Date],AI46)),0)))),0),IF(AJ46&gt;0,IF($I46="FS",--($E46&lt;INDEX(Tasks[End Date],AJ46)+IF(INDEX(Tasks[Milestone],AJ46)="Yes",0,1)),IF($I46="SS",--($E46&lt;INDEX(Tasks[Start Date],AJ46)),IF($I46="FF",--($F46&lt;INDEX(Tasks[End Date],AJ46)),IF($I46="SF",--($F46&lt;INDEX(Tasks[Start Date],AJ46)),0)))),0)))</ns0:f>
        <ns0:v>0</ns0:v>
      </ns0:c>
      <ns0:c r="AM46" t="n">
        <ns0:f>IF(AND(A46&lt;&gt;"",AK46=0,EP46=0),1,0)</ns0:f>
        <ns0:v>0</ns0:v>
      </ns0:c>
      <ns0:c r="AN46" t="str">
        <ns0:f>IF(OR(A46="",B46=""),"",IF(COUNTIFS($B$7:B46,B46)=1,MAX($AN$6:AN45)+1,""))</ns0:f>
      </ns0:c>
      <ns0:c r="AO46" t="n">
        <ns0:f>IF(AND(A46&lt;&gt;"",J46="No",N46&lt;1,E46&gt;=AsOfDate),E46+ROW()/10000,1E+9)</ns0:f>
        <ns0:v>46309.0046</ns0:v>
      </ns0:c>
      <ns0:c r="AP46" t="n">
        <ns0:f>IF(AND(A46&lt;&gt;"",J46="Yes",N46&lt;1,E46&gt;=AsOfDate),E46+ROW()/10000,1E+9)</ns0:f>
        <ns0:v>1000000000</ns0:v>
      </ns0:c>
      <ns0:c r="AQ46" t="n">
        <ns0:f>IF(AND(A46&lt;&gt;"",J46="No",N46&lt;1,F46&gt;=AsOfDate,F46&lt;=AsOfDate+7),F46+ROW()/10000,1E+9)</ns0:f>
        <ns0:v>1000000000</ns0:v>
      </ns0:c>
      <ns0:c r="AR46" t="n">
        <ns0:f>IF(AND(A46&lt;&gt;"",OR(O46&lt;&gt;"On track",Q46="Delayed")),ROW(),1E+9)</ns0:f>
        <ns0:v>1000000000</ns0:v>
      </ns0:c>
      <ns0:c r="AS46" t="str">
        <ns0:f>IF(A46="","",";"&amp;K46&amp;";")</ns0:f>
        <ns0:v>;Brand Stakeholder / Portfolio Owner;Intelligence Engine (IE / Orchestrator);</ns0:v>
      </ns0:c>
      <ns0:c r="AT46" t="n">
        <ns0:f>IF(A46="",1,--(T46=0))</ns0:f>
        <ns0:v>0</ns0:v>
      </ns0:c>
      <ns0:c r="AU46" t="n">
        <ns0:f>IF($A46="",1,IF(AT46=1,1,--AND(IF($AC46&gt;0,INDEX(AT$7:AT$106,$AC46),1),IF($AD46&gt;0,INDEX(AT$7:AT$106,$AD46),1),IF($AE46&gt;0,INDEX(AT$7:AT$106,$AE46),1),IF($AF46&gt;0,INDEX(AT$7:AT$106,$AF46),1),IF($AG46&gt;0,INDEX(AT$7:AT$106,$AG46),1),IF($AH46&gt;0,INDEX(AT$7:AT$106,$AH46),1),IF($AI46&gt;0,INDEX(AT$7:AT$106,$AI46),1),IF($AJ46&gt;0,INDEX(AT$7:AT$106,$AJ46),1))))</ns0:f>
        <ns0:v>0</ns0:v>
      </ns0:c>
      <ns0:c r="AV46" t="n">
        <ns0:f>IF($A46="",1,IF(AU46=1,1,--AND(IF($AC46&gt;0,INDEX(AU$7:AU$106,$AC46),1),IF($AD46&gt;0,INDEX(AU$7:AU$106,$AD46),1),IF($AE46&gt;0,INDEX(AU$7:AU$106,$AE46),1),IF($AF46&gt;0,INDEX(AU$7:AU$106,$AF46),1),IF($AG46&gt;0,INDEX(AU$7:AU$106,$AG46),1),IF($AH46&gt;0,INDEX(AU$7:AU$106,$AH46),1),IF($AI46&gt;0,INDEX(AU$7:AU$106,$AI46),1),IF($AJ46&gt;0,INDEX(AU$7:AU$106,$AJ46),1))))</ns0:f>
        <ns0:v>0</ns0:v>
      </ns0:c>
      <ns0:c r="AW46" t="n">
        <ns0:f>IF($A46="",1,IF(AV46=1,1,--AND(IF($AC46&gt;0,INDEX(AV$7:AV$106,$AC46),1),IF($AD46&gt;0,INDEX(AV$7:AV$106,$AD46),1),IF($AE46&gt;0,INDEX(AV$7:AV$106,$AE46),1),IF($AF46&gt;0,INDEX(AV$7:AV$106,$AF46),1),IF($AG46&gt;0,INDEX(AV$7:AV$106,$AG46),1),IF($AH46&gt;0,INDEX(AV$7:AV$106,$AH46),1),IF($AI46&gt;0,INDEX(AV$7:AV$106,$AI46),1),IF($AJ46&gt;0,INDEX(AV$7:AV$106,$AJ46),1))))</ns0:f>
        <ns0:v>0</ns0:v>
      </ns0:c>
      <ns0:c r="AX46" t="n">
        <ns0:f>IF($A46="",1,IF(AW46=1,1,--AND(IF($AC46&gt;0,INDEX(AW$7:AW$106,$AC46),1),IF($AD46&gt;0,INDEX(AW$7:AW$106,$AD46),1),IF($AE46&gt;0,INDEX(AW$7:AW$106,$AE46),1),IF($AF46&gt;0,INDEX(AW$7:AW$106,$AF46),1),IF($AG46&gt;0,INDEX(AW$7:AW$106,$AG46),1),IF($AH46&gt;0,INDEX(AW$7:AW$106,$AH46),1),IF($AI46&gt;0,INDEX(AW$7:AW$106,$AI46),1),IF($AJ46&gt;0,INDEX(AW$7:AW$106,$AJ46),1))))</ns0:f>
        <ns0:v>0</ns0:v>
      </ns0:c>
      <ns0:c r="AY46" t="n">
        <ns0:f>IF($A46="",1,IF(AX46=1,1,--AND(IF($AC46&gt;0,INDEX(AX$7:AX$106,$AC46),1),IF($AD46&gt;0,INDEX(AX$7:AX$106,$AD46),1),IF($AE46&gt;0,INDEX(AX$7:AX$106,$AE46),1),IF($AF46&gt;0,INDEX(AX$7:AX$106,$AF46),1),IF($AG46&gt;0,INDEX(AX$7:AX$106,$AG46),1),IF($AH46&gt;0,INDEX(AX$7:AX$106,$AH46),1),IF($AI46&gt;0,INDEX(AX$7:AX$106,$AI46),1),IF($AJ46&gt;0,INDEX(AX$7:AX$106,$AJ46),1))))</ns0:f>
        <ns0:v>0</ns0:v>
      </ns0:c>
      <ns0:c r="AZ46" t="n">
        <ns0:f>IF($A46="",1,IF(AY46=1,1,--AND(IF($AC46&gt;0,INDEX(AY$7:AY$106,$AC46),1),IF($AD46&gt;0,INDEX(AY$7:AY$106,$AD46),1),IF($AE46&gt;0,INDEX(AY$7:AY$106,$AE46),1),IF($AF46&gt;0,INDEX(AY$7:AY$106,$AF46),1),IF($AG46&gt;0,INDEX(AY$7:AY$106,$AG46),1),IF($AH46&gt;0,INDEX(AY$7:AY$106,$AH46),1),IF($AI46&gt;0,INDEX(AY$7:AY$106,$AI46),1),IF($AJ46&gt;0,INDEX(AY$7:AY$106,$AJ46),1))))</ns0:f>
        <ns0:v>0</ns0:v>
      </ns0:c>
      <ns0:c r="BA46" t="n">
        <ns0:f>IF($A46="",1,IF(AZ46=1,1,--AND(IF($AC46&gt;0,INDEX(AZ$7:AZ$106,$AC46),1),IF($AD46&gt;0,INDEX(AZ$7:AZ$106,$AD46),1),IF($AE46&gt;0,INDEX(AZ$7:AZ$106,$AE46),1),IF($AF46&gt;0,INDEX(AZ$7:AZ$106,$AF46),1),IF($AG46&gt;0,INDEX(AZ$7:AZ$106,$AG46),1),IF($AH46&gt;0,INDEX(AZ$7:AZ$106,$AH46),1),IF($AI46&gt;0,INDEX(AZ$7:AZ$106,$AI46),1),IF($AJ46&gt;0,INDEX(AZ$7:AZ$106,$AJ46),1))))</ns0:f>
        <ns0:v>0</ns0:v>
      </ns0:c>
      <ns0:c r="BB46" t="n">
        <ns0:f>IF($A46="",1,IF(BA46=1,1,--AND(IF($AC46&gt;0,INDEX(BA$7:BA$106,$AC46),1),IF($AD46&gt;0,INDEX(BA$7:BA$106,$AD46),1),IF($AE46&gt;0,INDEX(BA$7:BA$106,$AE46),1),IF($AF46&gt;0,INDEX(BA$7:BA$106,$AF46),1),IF($AG46&gt;0,INDEX(BA$7:BA$106,$AG46),1),IF($AH46&gt;0,INDEX(BA$7:BA$106,$AH46),1),IF($AI46&gt;0,INDEX(BA$7:BA$106,$AI46),1),IF($AJ46&gt;0,INDEX(BA$7:BA$106,$AJ46),1))))</ns0:f>
        <ns0:v>0</ns0:v>
      </ns0:c>
      <ns0:c r="BC46" t="n">
        <ns0:f>IF($A46="",1,IF(BB46=1,1,--AND(IF($AC46&gt;0,INDEX(BB$7:BB$106,$AC46),1),IF($AD46&gt;0,INDEX(BB$7:BB$106,$AD46),1),IF($AE46&gt;0,INDEX(BB$7:BB$106,$AE46),1),IF($AF46&gt;0,INDEX(BB$7:BB$106,$AF46),1),IF($AG46&gt;0,INDEX(BB$7:BB$106,$AG46),1),IF($AH46&gt;0,INDEX(BB$7:BB$106,$AH46),1),IF($AI46&gt;0,INDEX(BB$7:BB$106,$AI46),1),IF($AJ46&gt;0,INDEX(BB$7:BB$106,$AJ46),1))))</ns0:f>
        <ns0:v>0</ns0:v>
      </ns0:c>
      <ns0:c r="BD46" t="n">
        <ns0:f>IF($A46="",1,IF(BC46=1,1,--AND(IF($AC46&gt;0,INDEX(BC$7:BC$106,$AC46),1),IF($AD46&gt;0,INDEX(BC$7:BC$106,$AD46),1),IF($AE46&gt;0,INDEX(BC$7:BC$106,$AE46),1),IF($AF46&gt;0,INDEX(BC$7:BC$106,$AF46),1),IF($AG46&gt;0,INDEX(BC$7:BC$106,$AG46),1),IF($AH46&gt;0,INDEX(BC$7:BC$106,$AH46),1),IF($AI46&gt;0,INDEX(BC$7:BC$106,$AI46),1),IF($AJ46&gt;0,INDEX(BC$7:BC$106,$AJ46),1))))</ns0:f>
        <ns0:v>0</ns0:v>
      </ns0:c>
      <ns0:c r="BE46" t="n">
        <ns0:f>IF($A46="",1,IF(BD46=1,1,--AND(IF($AC46&gt;0,INDEX(BD$7:BD$106,$AC46),1),IF($AD46&gt;0,INDEX(BD$7:BD$106,$AD46),1),IF($AE46&gt;0,INDEX(BD$7:BD$106,$AE46),1),IF($AF46&gt;0,INDEX(BD$7:BD$106,$AF46),1),IF($AG46&gt;0,INDEX(BD$7:BD$106,$AG46),1),IF($AH46&gt;0,INDEX(BD$7:BD$106,$AH46),1),IF($AI46&gt;0,INDEX(BD$7:BD$106,$AI46),1),IF($AJ46&gt;0,INDEX(BD$7:BD$106,$AJ46),1))))</ns0:f>
        <ns0:v>0</ns0:v>
      </ns0:c>
      <ns0:c r="BF46" t="n">
        <ns0:f>IF($A46="",1,IF(BE46=1,1,--AND(IF($AC46&gt;0,INDEX(BE$7:BE$106,$AC46),1),IF($AD46&gt;0,INDEX(BE$7:BE$106,$AD46),1),IF($AE46&gt;0,INDEX(BE$7:BE$106,$AE46),1),IF($AF46&gt;0,INDEX(BE$7:BE$106,$AF46),1),IF($AG46&gt;0,INDEX(BE$7:BE$106,$AG46),1),IF($AH46&gt;0,INDEX(BE$7:BE$106,$AH46),1),IF($AI46&gt;0,INDEX(BE$7:BE$106,$AI46),1),IF($AJ46&gt;0,INDEX(BE$7:BE$106,$AJ46),1))))</ns0:f>
        <ns0:v>0</ns0:v>
      </ns0:c>
      <ns0:c r="BG46" t="n">
        <ns0:f>IF($A46="",1,IF(BF46=1,1,--AND(IF($AC46&gt;0,INDEX(BF$7:BF$106,$AC46),1),IF($AD46&gt;0,INDEX(BF$7:BF$106,$AD46),1),IF($AE46&gt;0,INDEX(BF$7:BF$106,$AE46),1),IF($AF46&gt;0,INDEX(BF$7:BF$106,$AF46),1),IF($AG46&gt;0,INDEX(BF$7:BF$106,$AG46),1),IF($AH46&gt;0,INDEX(BF$7:BF$106,$AH46),1),IF($AI46&gt;0,INDEX(BF$7:BF$106,$AI46),1),IF($AJ46&gt;0,INDEX(BF$7:BF$106,$AJ46),1))))</ns0:f>
        <ns0:v>0</ns0:v>
      </ns0:c>
      <ns0:c r="BH46" t="n">
        <ns0:f>IF($A46="",1,IF(BG46=1,1,--AND(IF($AC46&gt;0,INDEX(BG$7:BG$106,$AC46),1),IF($AD46&gt;0,INDEX(BG$7:BG$106,$AD46),1),IF($AE46&gt;0,INDEX(BG$7:BG$106,$AE46),1),IF($AF46&gt;0,INDEX(BG$7:BG$106,$AF46),1),IF($AG46&gt;0,INDEX(BG$7:BG$106,$AG46),1),IF($AH46&gt;0,INDEX(BG$7:BG$106,$AH46),1),IF($AI46&gt;0,INDEX(BG$7:BG$106,$AI46),1),IF($AJ46&gt;0,INDEX(BG$7:BG$106,$AJ46),1))))</ns0:f>
        <ns0:v>0</ns0:v>
      </ns0:c>
      <ns0:c r="BI46" t="n">
        <ns0:f>IF($A46="",1,IF(BH46=1,1,--AND(IF($AC46&gt;0,INDEX(BH$7:BH$106,$AC46),1),IF($AD46&gt;0,INDEX(BH$7:BH$106,$AD46),1),IF($AE46&gt;0,INDEX(BH$7:BH$106,$AE46),1),IF($AF46&gt;0,INDEX(BH$7:BH$106,$AF46),1),IF($AG46&gt;0,INDEX(BH$7:BH$106,$AG46),1),IF($AH46&gt;0,INDEX(BH$7:BH$106,$AH46),1),IF($AI46&gt;0,INDEX(BH$7:BH$106,$AI46),1),IF($AJ46&gt;0,INDEX(BH$7:BH$106,$AJ46),1))))</ns0:f>
        <ns0:v>0</ns0:v>
      </ns0:c>
      <ns0:c r="BJ46" t="n">
        <ns0:f>IF($A46="",1,IF(BI46=1,1,--AND(IF($AC46&gt;0,INDEX(BI$7:BI$106,$AC46),1),IF($AD46&gt;0,INDEX(BI$7:BI$106,$AD46),1),IF($AE46&gt;0,INDEX(BI$7:BI$106,$AE46),1),IF($AF46&gt;0,INDEX(BI$7:BI$106,$AF46),1),IF($AG46&gt;0,INDEX(BI$7:BI$106,$AG46),1),IF($AH46&gt;0,INDEX(BI$7:BI$106,$AH46),1),IF($AI46&gt;0,INDEX(BI$7:BI$106,$AI46),1),IF($AJ46&gt;0,INDEX(BI$7:BI$106,$AJ46),1))))</ns0:f>
        <ns0:v>0</ns0:v>
      </ns0:c>
      <ns0:c r="BK46" t="n">
        <ns0:f>IF($A46="",1,IF(BJ46=1,1,--AND(IF($AC46&gt;0,INDEX(BJ$7:BJ$106,$AC46),1),IF($AD46&gt;0,INDEX(BJ$7:BJ$106,$AD46),1),IF($AE46&gt;0,INDEX(BJ$7:BJ$106,$AE46),1),IF($AF46&gt;0,INDEX(BJ$7:BJ$106,$AF46),1),IF($AG46&gt;0,INDEX(BJ$7:BJ$106,$AG46),1),IF($AH46&gt;0,INDEX(BJ$7:BJ$106,$AH46),1),IF($AI46&gt;0,INDEX(BJ$7:BJ$106,$AI46),1),IF($AJ46&gt;0,INDEX(BJ$7:BJ$106,$AJ46),1))))</ns0:f>
        <ns0:v>0</ns0:v>
      </ns0:c>
      <ns0:c r="BL46" t="n">
        <ns0:f>IF($A46="",1,IF(BK46=1,1,--AND(IF($AC46&gt;0,INDEX(BK$7:BK$106,$AC46),1),IF($AD46&gt;0,INDEX(BK$7:BK$106,$AD46),1),IF($AE46&gt;0,INDEX(BK$7:BK$106,$AE46),1),IF($AF46&gt;0,INDEX(BK$7:BK$106,$AF46),1),IF($AG46&gt;0,INDEX(BK$7:BK$106,$AG46),1),IF($AH46&gt;0,INDEX(BK$7:BK$106,$AH46),1),IF($AI46&gt;0,INDEX(BK$7:BK$106,$AI46),1),IF($AJ46&gt;0,INDEX(BK$7:BK$106,$AJ46),1))))</ns0:f>
        <ns0:v>1</ns0:v>
      </ns0:c>
      <ns0:c r="BM46" t="n">
        <ns0:f>IF($A46="",1,IF(BL46=1,1,--AND(IF($AC46&gt;0,INDEX(BL$7:BL$106,$AC46),1),IF($AD46&gt;0,INDEX(BL$7:BL$106,$AD46),1),IF($AE46&gt;0,INDEX(BL$7:BL$106,$AE46),1),IF($AF46&gt;0,INDEX(BL$7:BL$106,$AF46),1),IF($AG46&gt;0,INDEX(BL$7:BL$106,$AG46),1),IF($AH46&gt;0,INDEX(BL$7:BL$106,$AH46),1),IF($AI46&gt;0,INDEX(BL$7:BL$106,$AI46),1),IF($AJ46&gt;0,INDEX(BL$7:BL$106,$AJ46),1))))</ns0:f>
        <ns0:v>1</ns0:v>
      </ns0:c>
      <ns0:c r="BN46" t="n">
        <ns0:f>IF($A46="",1,IF(BM46=1,1,--AND(IF($AC46&gt;0,INDEX(BM$7:BM$106,$AC46),1),IF($AD46&gt;0,INDEX(BM$7:BM$106,$AD46),1),IF($AE46&gt;0,INDEX(BM$7:BM$106,$AE46),1),IF($AF46&gt;0,INDEX(BM$7:BM$106,$AF46),1),IF($AG46&gt;0,INDEX(BM$7:BM$106,$AG46),1),IF($AH46&gt;0,INDEX(BM$7:BM$106,$AH46),1),IF($AI46&gt;0,INDEX(BM$7:BM$106,$AI46),1),IF($AJ46&gt;0,INDEX(BM$7:BM$106,$AJ46),1))))</ns0:f>
        <ns0:v>1</ns0:v>
      </ns0:c>
      <ns0:c r="BO46" t="n">
        <ns0:f>IF($A46="",1,IF(BN46=1,1,--AND(IF($AC46&gt;0,INDEX(BN$7:BN$106,$AC46),1),IF($AD46&gt;0,INDEX(BN$7:BN$106,$AD46),1),IF($AE46&gt;0,INDEX(BN$7:BN$106,$AE46),1),IF($AF46&gt;0,INDEX(BN$7:BN$106,$AF46),1),IF($AG46&gt;0,INDEX(BN$7:BN$106,$AG46),1),IF($AH46&gt;0,INDEX(BN$7:BN$106,$AH46),1),IF($AI46&gt;0,INDEX(BN$7:BN$106,$AI46),1),IF($AJ46&gt;0,INDEX(BN$7:BN$106,$AJ46),1))))</ns0:f>
        <ns0:v>1</ns0:v>
      </ns0:c>
      <ns0:c r="BP46" t="n">
        <ns0:f>IF($A46="",1,IF(BO46=1,1,--AND(IF($AC46&gt;0,INDEX(BO$7:BO$106,$AC46),1),IF($AD46&gt;0,INDEX(BO$7:BO$106,$AD46),1),IF($AE46&gt;0,INDEX(BO$7:BO$106,$AE46),1),IF($AF46&gt;0,INDEX(BO$7:BO$106,$AF46),1),IF($AG46&gt;0,INDEX(BO$7:BO$106,$AG46),1),IF($AH46&gt;0,INDEX(BO$7:BO$106,$AH46),1),IF($AI46&gt;0,INDEX(BO$7:BO$106,$AI46),1),IF($AJ46&gt;0,INDEX(BO$7:BO$106,$AJ46),1))))</ns0:f>
        <ns0:v>1</ns0:v>
      </ns0:c>
      <ns0:c r="BQ46" t="n">
        <ns0:f>IF($A46="",1,IF(BP46=1,1,--AND(IF($AC46&gt;0,INDEX(BP$7:BP$106,$AC46),1),IF($AD46&gt;0,INDEX(BP$7:BP$106,$AD46),1),IF($AE46&gt;0,INDEX(BP$7:BP$106,$AE46),1),IF($AF46&gt;0,INDEX(BP$7:BP$106,$AF46),1),IF($AG46&gt;0,INDEX(BP$7:BP$106,$AG46),1),IF($AH46&gt;0,INDEX(BP$7:BP$106,$AH46),1),IF($AI46&gt;0,INDEX(BP$7:BP$106,$AI46),1),IF($AJ46&gt;0,INDEX(BP$7:BP$106,$AJ46),1))))</ns0:f>
        <ns0:v>1</ns0:v>
      </ns0:c>
      <ns0:c r="BR46" t="n">
        <ns0:f>IF($A46="",1,IF(BQ46=1,1,--AND(IF($AC46&gt;0,INDEX(BQ$7:BQ$106,$AC46),1),IF($AD46&gt;0,INDEX(BQ$7:BQ$106,$AD46),1),IF($AE46&gt;0,INDEX(BQ$7:BQ$106,$AE46),1),IF($AF46&gt;0,INDEX(BQ$7:BQ$106,$AF46),1),IF($AG46&gt;0,INDEX(BQ$7:BQ$106,$AG46),1),IF($AH46&gt;0,INDEX(BQ$7:BQ$106,$AH46),1),IF($AI46&gt;0,INDEX(BQ$7:BQ$106,$AI46),1),IF($AJ46&gt;0,INDEX(BQ$7:BQ$106,$AJ46),1))))</ns0:f>
        <ns0:v>1</ns0:v>
      </ns0:c>
      <ns0:c r="BS46" t="n">
        <ns0:f>IF($A46="",1,IF(BR46=1,1,--AND(IF($AC46&gt;0,INDEX(BR$7:BR$106,$AC46),1),IF($AD46&gt;0,INDEX(BR$7:BR$106,$AD46),1),IF($AE46&gt;0,INDEX(BR$7:BR$106,$AE46),1),IF($AF46&gt;0,INDEX(BR$7:BR$106,$AF46),1),IF($AG46&gt;0,INDEX(BR$7:BR$106,$AG46),1),IF($AH46&gt;0,INDEX(BR$7:BR$106,$AH46),1),IF($AI46&gt;0,INDEX(BR$7:BR$106,$AI46),1),IF($AJ46&gt;0,INDEX(BR$7:BR$106,$AJ46),1))))</ns0:f>
        <ns0:v>1</ns0:v>
      </ns0:c>
      <ns0:c r="BT46" t="n">
        <ns0:f>IF($A46="",1,IF(BS46=1,1,--AND(IF($AC46&gt;0,INDEX(BS$7:BS$106,$AC46),1),IF($AD46&gt;0,INDEX(BS$7:BS$106,$AD46),1),IF($AE46&gt;0,INDEX(BS$7:BS$106,$AE46),1),IF($AF46&gt;0,INDEX(BS$7:BS$106,$AF46),1),IF($AG46&gt;0,INDEX(BS$7:BS$106,$AG46),1),IF($AH46&gt;0,INDEX(BS$7:BS$106,$AH46),1),IF($AI46&gt;0,INDEX(BS$7:BS$106,$AI46),1),IF($AJ46&gt;0,INDEX(BS$7:BS$106,$AJ46),1))))</ns0:f>
        <ns0:v>1</ns0:v>
      </ns0:c>
      <ns0:c r="BU46" t="n">
        <ns0:f>IF($A46="",1,IF(BT46=1,1,--AND(IF($AC46&gt;0,INDEX(BT$7:BT$106,$AC46),1),IF($AD46&gt;0,INDEX(BT$7:BT$106,$AD46),1),IF($AE46&gt;0,INDEX(BT$7:BT$106,$AE46),1),IF($AF46&gt;0,INDEX(BT$7:BT$106,$AF46),1),IF($AG46&gt;0,INDEX(BT$7:BT$106,$AG46),1),IF($AH46&gt;0,INDEX(BT$7:BT$106,$AH46),1),IF($AI46&gt;0,INDEX(BT$7:BT$106,$AI46),1),IF($AJ46&gt;0,INDEX(BT$7:BT$106,$AJ46),1))))</ns0:f>
        <ns0:v>1</ns0:v>
      </ns0:c>
      <ns0:c r="BV46" t="n">
        <ns0:f>IF($A46="",1,IF(BU46=1,1,--AND(IF($AC46&gt;0,INDEX(BU$7:BU$106,$AC46),1),IF($AD46&gt;0,INDEX(BU$7:BU$106,$AD46),1),IF($AE46&gt;0,INDEX(BU$7:BU$106,$AE46),1),IF($AF46&gt;0,INDEX(BU$7:BU$106,$AF46),1),IF($AG46&gt;0,INDEX(BU$7:BU$106,$AG46),1),IF($AH46&gt;0,INDEX(BU$7:BU$106,$AH46),1),IF($AI46&gt;0,INDEX(BU$7:BU$106,$AI46),1),IF($AJ46&gt;0,INDEX(BU$7:BU$106,$AJ46),1))))</ns0:f>
        <ns0:v>1</ns0:v>
      </ns0:c>
      <ns0:c r="BW46" t="n">
        <ns0:f>IF($A46="",1,IF(BV46=1,1,--AND(IF($AC46&gt;0,INDEX(BV$7:BV$106,$AC46),1),IF($AD46&gt;0,INDEX(BV$7:BV$106,$AD46),1),IF($AE46&gt;0,INDEX(BV$7:BV$106,$AE46),1),IF($AF46&gt;0,INDEX(BV$7:BV$106,$AF46),1),IF($AG46&gt;0,INDEX(BV$7:BV$106,$AG46),1),IF($AH46&gt;0,INDEX(BV$7:BV$106,$AH46),1),IF($AI46&gt;0,INDEX(BV$7:BV$106,$AI46),1),IF($AJ46&gt;0,INDEX(BV$7:BV$106,$AJ46),1))))</ns0:f>
        <ns0:v>1</ns0:v>
      </ns0:c>
      <ns0:c r="BX46" t="n">
        <ns0:f>IF($A46="",1,IF(BW46=1,1,--AND(IF($AC46&gt;0,INDEX(BW$7:BW$106,$AC46),1),IF($AD46&gt;0,INDEX(BW$7:BW$106,$AD46),1),IF($AE46&gt;0,INDEX(BW$7:BW$106,$AE46),1),IF($AF46&gt;0,INDEX(BW$7:BW$106,$AF46),1),IF($AG46&gt;0,INDEX(BW$7:BW$106,$AG46),1),IF($AH46&gt;0,INDEX(BW$7:BW$106,$AH46),1),IF($AI46&gt;0,INDEX(BW$7:BW$106,$AI46),1),IF($AJ46&gt;0,INDEX(BW$7:BW$106,$AJ46),1))))</ns0:f>
        <ns0:v>1</ns0:v>
      </ns0:c>
      <ns0:c r="BY46" t="n">
        <ns0:f>IF($A46="",1,IF(BX46=1,1,--AND(IF($AC46&gt;0,INDEX(BX$7:BX$106,$AC46),1),IF($AD46&gt;0,INDEX(BX$7:BX$106,$AD46),1),IF($AE46&gt;0,INDEX(BX$7:BX$106,$AE46),1),IF($AF46&gt;0,INDEX(BX$7:BX$106,$AF46),1),IF($AG46&gt;0,INDEX(BX$7:BX$106,$AG46),1),IF($AH46&gt;0,INDEX(BX$7:BX$106,$AH46),1),IF($AI46&gt;0,INDEX(BX$7:BX$106,$AI46),1),IF($AJ46&gt;0,INDEX(BX$7:BX$106,$AJ46),1))))</ns0:f>
        <ns0:v>1</ns0:v>
      </ns0:c>
      <ns0:c r="BZ46" t="n">
        <ns0:f>IF($A46="",1,IF(BY46=1,1,--AND(IF($AC46&gt;0,INDEX(BY$7:BY$106,$AC46),1),IF($AD46&gt;0,INDEX(BY$7:BY$106,$AD46),1),IF($AE46&gt;0,INDEX(BY$7:BY$106,$AE46),1),IF($AF46&gt;0,INDEX(BY$7:BY$106,$AF46),1),IF($AG46&gt;0,INDEX(BY$7:BY$106,$AG46),1),IF($AH46&gt;0,INDEX(BY$7:BY$106,$AH46),1),IF($AI46&gt;0,INDEX(BY$7:BY$106,$AI46),1),IF($AJ46&gt;0,INDEX(BY$7:BY$106,$AJ46),1))))</ns0:f>
        <ns0:v>1</ns0:v>
      </ns0:c>
      <ns0:c r="CA46" t="n">
        <ns0:f>IF($A46="",1,IF(BZ46=1,1,--AND(IF($AC46&gt;0,INDEX(BZ$7:BZ$106,$AC46),1),IF($AD46&gt;0,INDEX(BZ$7:BZ$106,$AD46),1),IF($AE46&gt;0,INDEX(BZ$7:BZ$106,$AE46),1),IF($AF46&gt;0,INDEX(BZ$7:BZ$106,$AF46),1),IF($AG46&gt;0,INDEX(BZ$7:BZ$106,$AG46),1),IF($AH46&gt;0,INDEX(BZ$7:BZ$106,$AH46),1),IF($AI46&gt;0,INDEX(BZ$7:BZ$106,$AI46),1),IF($AJ46&gt;0,INDEX(BZ$7:BZ$106,$AJ46),1))))</ns0:f>
        <ns0:v>1</ns0:v>
      </ns0:c>
      <ns0:c r="CB46" t="n">
        <ns0:f>IF($A46="",1,IF(CA46=1,1,--AND(IF($AC46&gt;0,INDEX(CA$7:CA$106,$AC46),1),IF($AD46&gt;0,INDEX(CA$7:CA$106,$AD46),1),IF($AE46&gt;0,INDEX(CA$7:CA$106,$AE46),1),IF($AF46&gt;0,INDEX(CA$7:CA$106,$AF46),1),IF($AG46&gt;0,INDEX(CA$7:CA$106,$AG46),1),IF($AH46&gt;0,INDEX(CA$7:CA$106,$AH46),1),IF($AI46&gt;0,INDEX(CA$7:CA$106,$AI46),1),IF($AJ46&gt;0,INDEX(CA$7:CA$106,$AJ46),1))))</ns0:f>
        <ns0:v>1</ns0:v>
      </ns0:c>
      <ns0:c r="CC46" t="n">
        <ns0:f>IF($A46="",1,IF(CB46=1,1,--AND(IF($AC46&gt;0,INDEX(CB$7:CB$106,$AC46),1),IF($AD46&gt;0,INDEX(CB$7:CB$106,$AD46),1),IF($AE46&gt;0,INDEX(CB$7:CB$106,$AE46),1),IF($AF46&gt;0,INDEX(CB$7:CB$106,$AF46),1),IF($AG46&gt;0,INDEX(CB$7:CB$106,$AG46),1),IF($AH46&gt;0,INDEX(CB$7:CB$106,$AH46),1),IF($AI46&gt;0,INDEX(CB$7:CB$106,$AI46),1),IF($AJ46&gt;0,INDEX(CB$7:CB$106,$AJ46),1))))</ns0:f>
        <ns0:v>1</ns0:v>
      </ns0:c>
      <ns0:c r="CD46" t="n">
        <ns0:f>IF($A46="",1,IF(CC46=1,1,--AND(IF($AC46&gt;0,INDEX(CC$7:CC$106,$AC46),1),IF($AD46&gt;0,INDEX(CC$7:CC$106,$AD46),1),IF($AE46&gt;0,INDEX(CC$7:CC$106,$AE46),1),IF($AF46&gt;0,INDEX(CC$7:CC$106,$AF46),1),IF($AG46&gt;0,INDEX(CC$7:CC$106,$AG46),1),IF($AH46&gt;0,INDEX(CC$7:CC$106,$AH46),1),IF($AI46&gt;0,INDEX(CC$7:CC$106,$AI46),1),IF($AJ46&gt;0,INDEX(CC$7:CC$106,$AJ46),1))))</ns0:f>
        <ns0:v>1</ns0:v>
      </ns0:c>
      <ns0:c r="CE46" t="n">
        <ns0:f>IF($A46="",1,IF(CD46=1,1,--AND(IF($AC46&gt;0,INDEX(CD$7:CD$106,$AC46),1),IF($AD46&gt;0,INDEX(CD$7:CD$106,$AD46),1),IF($AE46&gt;0,INDEX(CD$7:CD$106,$AE46),1),IF($AF46&gt;0,INDEX(CD$7:CD$106,$AF46),1),IF($AG46&gt;0,INDEX(CD$7:CD$106,$AG46),1),IF($AH46&gt;0,INDEX(CD$7:CD$106,$AH46),1),IF($AI46&gt;0,INDEX(CD$7:CD$106,$AI46),1),IF($AJ46&gt;0,INDEX(CD$7:CD$106,$AJ46),1))))</ns0:f>
        <ns0:v>1</ns0:v>
      </ns0:c>
      <ns0:c r="CF46" t="n">
        <ns0:f>IF($A46="",1,IF(CE46=1,1,--AND(IF($AC46&gt;0,INDEX(CE$7:CE$106,$AC46),1),IF($AD46&gt;0,INDEX(CE$7:CE$106,$AD46),1),IF($AE46&gt;0,INDEX(CE$7:CE$106,$AE46),1),IF($AF46&gt;0,INDEX(CE$7:CE$106,$AF46),1),IF($AG46&gt;0,INDEX(CE$7:CE$106,$AG46),1),IF($AH46&gt;0,INDEX(CE$7:CE$106,$AH46),1),IF($AI46&gt;0,INDEX(CE$7:CE$106,$AI46),1),IF($AJ46&gt;0,INDEX(CE$7:CE$106,$AJ46),1))))</ns0:f>
        <ns0:v>1</ns0:v>
      </ns0:c>
      <ns0:c r="CG46" t="n">
        <ns0:f>IF($A46="",1,IF(CF46=1,1,--AND(IF($AC46&gt;0,INDEX(CF$7:CF$106,$AC46),1),IF($AD46&gt;0,INDEX(CF$7:CF$106,$AD46),1),IF($AE46&gt;0,INDEX(CF$7:CF$106,$AE46),1),IF($AF46&gt;0,INDEX(CF$7:CF$106,$AF46),1),IF($AG46&gt;0,INDEX(CF$7:CF$106,$AG46),1),IF($AH46&gt;0,INDEX(CF$7:CF$106,$AH46),1),IF($AI46&gt;0,INDEX(CF$7:CF$106,$AI46),1),IF($AJ46&gt;0,INDEX(CF$7:CF$106,$AJ46),1))))</ns0:f>
        <ns0:v>1</ns0:v>
      </ns0:c>
      <ns0:c r="CH46" t="n">
        <ns0:f>IF($A46="",1,IF(CG46=1,1,--AND(IF($AC46&gt;0,INDEX(CG$7:CG$106,$AC46),1),IF($AD46&gt;0,INDEX(CG$7:CG$106,$AD46),1),IF($AE46&gt;0,INDEX(CG$7:CG$106,$AE46),1),IF($AF46&gt;0,INDEX(CG$7:CG$106,$AF46),1),IF($AG46&gt;0,INDEX(CG$7:CG$106,$AG46),1),IF($AH46&gt;0,INDEX(CG$7:CG$106,$AH46),1),IF($AI46&gt;0,INDEX(CG$7:CG$106,$AI46),1),IF($AJ46&gt;0,INDEX(CG$7:CG$106,$AJ46),1))))</ns0:f>
        <ns0:v>1</ns0:v>
      </ns0:c>
      <ns0:c r="CI46" t="n">
        <ns0:f>IF($A46="",1,IF(CH46=1,1,--AND(IF($AC46&gt;0,INDEX(CH$7:CH$106,$AC46),1),IF($AD46&gt;0,INDEX(CH$7:CH$106,$AD46),1),IF($AE46&gt;0,INDEX(CH$7:CH$106,$AE46),1),IF($AF46&gt;0,INDEX(CH$7:CH$106,$AF46),1),IF($AG46&gt;0,INDEX(CH$7:CH$106,$AG46),1),IF($AH46&gt;0,INDEX(CH$7:CH$106,$AH46),1),IF($AI46&gt;0,INDEX(CH$7:CH$106,$AI46),1),IF($AJ46&gt;0,INDEX(CH$7:CH$106,$AJ46),1))))</ns0:f>
        <ns0:v>1</ns0:v>
      </ns0:c>
      <ns0:c r="CJ46" t="n">
        <ns0:f>IF($A46="",1,IF(CI46=1,1,--AND(IF($AC46&gt;0,INDEX(CI$7:CI$106,$AC46),1),IF($AD46&gt;0,INDEX(CI$7:CI$106,$AD46),1),IF($AE46&gt;0,INDEX(CI$7:CI$106,$AE46),1),IF($AF46&gt;0,INDEX(CI$7:CI$106,$AF46),1),IF($AG46&gt;0,INDEX(CI$7:CI$106,$AG46),1),IF($AH46&gt;0,INDEX(CI$7:CI$106,$AH46),1),IF($AI46&gt;0,INDEX(CI$7:CI$106,$AI46),1),IF($AJ46&gt;0,INDEX(CI$7:CI$106,$AJ46),1))))</ns0:f>
        <ns0:v>1</ns0:v>
      </ns0:c>
      <ns0:c r="CK46" t="n">
        <ns0:f>IF($A46="",1,IF(CJ46=1,1,--AND(IF($AC46&gt;0,INDEX(CJ$7:CJ$106,$AC46),1),IF($AD46&gt;0,INDEX(CJ$7:CJ$106,$AD46),1),IF($AE46&gt;0,INDEX(CJ$7:CJ$106,$AE46),1),IF($AF46&gt;0,INDEX(CJ$7:CJ$106,$AF46),1),IF($AG46&gt;0,INDEX(CJ$7:CJ$106,$AG46),1),IF($AH46&gt;0,INDEX(CJ$7:CJ$106,$AH46),1),IF($AI46&gt;0,INDEX(CJ$7:CJ$106,$AI46),1),IF($AJ46&gt;0,INDEX(CJ$7:CJ$106,$AJ46),1))))</ns0:f>
        <ns0:v>1</ns0:v>
      </ns0:c>
      <ns0:c r="CL46" t="n">
        <ns0:f>IF($A46="",1,IF(CK46=1,1,--AND(IF($AC46&gt;0,INDEX(CK$7:CK$106,$AC46),1),IF($AD46&gt;0,INDEX(CK$7:CK$106,$AD46),1),IF($AE46&gt;0,INDEX(CK$7:CK$106,$AE46),1),IF($AF46&gt;0,INDEX(CK$7:CK$106,$AF46),1),IF($AG46&gt;0,INDEX(CK$7:CK$106,$AG46),1),IF($AH46&gt;0,INDEX(CK$7:CK$106,$AH46),1),IF($AI46&gt;0,INDEX(CK$7:CK$106,$AI46),1),IF($AJ46&gt;0,INDEX(CK$7:CK$106,$AJ46),1))))</ns0:f>
        <ns0:v>1</ns0:v>
      </ns0:c>
      <ns0:c r="CM46" t="n">
        <ns0:f>IF($A46="",1,IF(CL46=1,1,--AND(IF($AC46&gt;0,INDEX(CL$7:CL$106,$AC46),1),IF($AD46&gt;0,INDEX(CL$7:CL$106,$AD46),1),IF($AE46&gt;0,INDEX(CL$7:CL$106,$AE46),1),IF($AF46&gt;0,INDEX(CL$7:CL$106,$AF46),1),IF($AG46&gt;0,INDEX(CL$7:CL$106,$AG46),1),IF($AH46&gt;0,INDEX(CL$7:CL$106,$AH46),1),IF($AI46&gt;0,INDEX(CL$7:CL$106,$AI46),1),IF($AJ46&gt;0,INDEX(CL$7:CL$106,$AJ46),1))))</ns0:f>
        <ns0:v>1</ns0:v>
      </ns0:c>
      <ns0:c r="CN46" t="n">
        <ns0:f>IF($A46="",1,IF(CM46=1,1,--AND(IF($AC46&gt;0,INDEX(CM$7:CM$106,$AC46),1),IF($AD46&gt;0,INDEX(CM$7:CM$106,$AD46),1),IF($AE46&gt;0,INDEX(CM$7:CM$106,$AE46),1),IF($AF46&gt;0,INDEX(CM$7:CM$106,$AF46),1),IF($AG46&gt;0,INDEX(CM$7:CM$106,$AG46),1),IF($AH46&gt;0,INDEX(CM$7:CM$106,$AH46),1),IF($AI46&gt;0,INDEX(CM$7:CM$106,$AI46),1),IF($AJ46&gt;0,INDEX(CM$7:CM$106,$AJ46),1))))</ns0:f>
        <ns0:v>1</ns0:v>
      </ns0:c>
      <ns0:c r="CO46" t="n">
        <ns0:f>IF($A46="",1,IF(CN46=1,1,--AND(IF($AC46&gt;0,INDEX(CN$7:CN$106,$AC46),1),IF($AD46&gt;0,INDEX(CN$7:CN$106,$AD46),1),IF($AE46&gt;0,INDEX(CN$7:CN$106,$AE46),1),IF($AF46&gt;0,INDEX(CN$7:CN$106,$AF46),1),IF($AG46&gt;0,INDEX(CN$7:CN$106,$AG46),1),IF($AH46&gt;0,INDEX(CN$7:CN$106,$AH46),1),IF($AI46&gt;0,INDEX(CN$7:CN$106,$AI46),1),IF($AJ46&gt;0,INDEX(CN$7:CN$106,$AJ46),1))))</ns0:f>
        <ns0:v>1</ns0:v>
      </ns0:c>
      <ns0:c r="CP46" t="n">
        <ns0:f>IF($A46="",1,IF(CO46=1,1,--AND(IF($AC46&gt;0,INDEX(CO$7:CO$106,$AC46),1),IF($AD46&gt;0,INDEX(CO$7:CO$106,$AD46),1),IF($AE46&gt;0,INDEX(CO$7:CO$106,$AE46),1),IF($AF46&gt;0,INDEX(CO$7:CO$106,$AF46),1),IF($AG46&gt;0,INDEX(CO$7:CO$106,$AG46),1),IF($AH46&gt;0,INDEX(CO$7:CO$106,$AH46),1),IF($AI46&gt;0,INDEX(CO$7:CO$106,$AI46),1),IF($AJ46&gt;0,INDEX(CO$7:CO$106,$AJ46),1))))</ns0:f>
        <ns0:v>1</ns0:v>
      </ns0:c>
      <ns0:c r="CQ46" t="n">
        <ns0:f>IF($A46="",1,IF(CP46=1,1,--AND(IF($AC46&gt;0,INDEX(CP$7:CP$106,$AC46),1),IF($AD46&gt;0,INDEX(CP$7:CP$106,$AD46),1),IF($AE46&gt;0,INDEX(CP$7:CP$106,$AE46),1),IF($AF46&gt;0,INDEX(CP$7:CP$106,$AF46),1),IF($AG46&gt;0,INDEX(CP$7:CP$106,$AG46),1),IF($AH46&gt;0,INDEX(CP$7:CP$106,$AH46),1),IF($AI46&gt;0,INDEX(CP$7:CP$106,$AI46),1),IF($AJ46&gt;0,INDEX(CP$7:CP$106,$AJ46),1))))</ns0:f>
        <ns0:v>1</ns0:v>
      </ns0:c>
      <ns0:c r="CR46" t="n">
        <ns0:f>IF($A46="",1,IF(CQ46=1,1,--AND(IF($AC46&gt;0,INDEX(CQ$7:CQ$106,$AC46),1),IF($AD46&gt;0,INDEX(CQ$7:CQ$106,$AD46),1),IF($AE46&gt;0,INDEX(CQ$7:CQ$106,$AE46),1),IF($AF46&gt;0,INDEX(CQ$7:CQ$106,$AF46),1),IF($AG46&gt;0,INDEX(CQ$7:CQ$106,$AG46),1),IF($AH46&gt;0,INDEX(CQ$7:CQ$106,$AH46),1),IF($AI46&gt;0,INDEX(CQ$7:CQ$106,$AI46),1),IF($AJ46&gt;0,INDEX(CQ$7:CQ$106,$AJ46),1))))</ns0:f>
        <ns0:v>1</ns0:v>
      </ns0:c>
      <ns0:c r="CS46" t="n">
        <ns0:f>IF($A46="",1,IF(CR46=1,1,--AND(IF($AC46&gt;0,INDEX(CR$7:CR$106,$AC46),1),IF($AD46&gt;0,INDEX(CR$7:CR$106,$AD46),1),IF($AE46&gt;0,INDEX(CR$7:CR$106,$AE46),1),IF($AF46&gt;0,INDEX(CR$7:CR$106,$AF46),1),IF($AG46&gt;0,INDEX(CR$7:CR$106,$AG46),1),IF($AH46&gt;0,INDEX(CR$7:CR$106,$AH46),1),IF($AI46&gt;0,INDEX(CR$7:CR$106,$AI46),1),IF($AJ46&gt;0,INDEX(CR$7:CR$106,$AJ46),1))))</ns0:f>
        <ns0:v>1</ns0:v>
      </ns0:c>
      <ns0:c r="CT46" t="n">
        <ns0:f>IF($A46="",1,IF(CS46=1,1,--AND(IF($AC46&gt;0,INDEX(CS$7:CS$106,$AC46),1),IF($AD46&gt;0,INDEX(CS$7:CS$106,$AD46),1),IF($AE46&gt;0,INDEX(CS$7:CS$106,$AE46),1),IF($AF46&gt;0,INDEX(CS$7:CS$106,$AF46),1),IF($AG46&gt;0,INDEX(CS$7:CS$106,$AG46),1),IF($AH46&gt;0,INDEX(CS$7:CS$106,$AH46),1),IF($AI46&gt;0,INDEX(CS$7:CS$106,$AI46),1),IF($AJ46&gt;0,INDEX(CS$7:CS$106,$AJ46),1))))</ns0:f>
        <ns0:v>1</ns0:v>
      </ns0:c>
      <ns0:c r="CU46" t="n">
        <ns0:f>IF($A46="",1,IF(CT46=1,1,--AND(IF($AC46&gt;0,INDEX(CT$7:CT$106,$AC46),1),IF($AD46&gt;0,INDEX(CT$7:CT$106,$AD46),1),IF($AE46&gt;0,INDEX(CT$7:CT$106,$AE46),1),IF($AF46&gt;0,INDEX(CT$7:CT$106,$AF46),1),IF($AG46&gt;0,INDEX(CT$7:CT$106,$AG46),1),IF($AH46&gt;0,INDEX(CT$7:CT$106,$AH46),1),IF($AI46&gt;0,INDEX(CT$7:CT$106,$AI46),1),IF($AJ46&gt;0,INDEX(CT$7:CT$106,$AJ46),1))))</ns0:f>
        <ns0:v>1</ns0:v>
      </ns0:c>
      <ns0:c r="CV46" t="n">
        <ns0:f>IF($A46="",1,IF(CU46=1,1,--AND(IF($AC46&gt;0,INDEX(CU$7:CU$106,$AC46),1),IF($AD46&gt;0,INDEX(CU$7:CU$106,$AD46),1),IF($AE46&gt;0,INDEX(CU$7:CU$106,$AE46),1),IF($AF46&gt;0,INDEX(CU$7:CU$106,$AF46),1),IF($AG46&gt;0,INDEX(CU$7:CU$106,$AG46),1),IF($AH46&gt;0,INDEX(CU$7:CU$106,$AH46),1),IF($AI46&gt;0,INDEX(CU$7:CU$106,$AI46),1),IF($AJ46&gt;0,INDEX(CU$7:CU$106,$AJ46),1))))</ns0:f>
        <ns0:v>1</ns0:v>
      </ns0:c>
      <ns0:c r="CW46" t="n">
        <ns0:f>IF($A46="",1,IF(CV46=1,1,--AND(IF($AC46&gt;0,INDEX(CV$7:CV$106,$AC46),1),IF($AD46&gt;0,INDEX(CV$7:CV$106,$AD46),1),IF($AE46&gt;0,INDEX(CV$7:CV$106,$AE46),1),IF($AF46&gt;0,INDEX(CV$7:CV$106,$AF46),1),IF($AG46&gt;0,INDEX(CV$7:CV$106,$AG46),1),IF($AH46&gt;0,INDEX(CV$7:CV$106,$AH46),1),IF($AI46&gt;0,INDEX(CV$7:CV$106,$AI46),1),IF($AJ46&gt;0,INDEX(CV$7:CV$106,$AJ46),1))))</ns0:f>
        <ns0:v>1</ns0:v>
      </ns0:c>
      <ns0:c r="CX46" t="n">
        <ns0:f>IF($A46="",1,IF(CW46=1,1,--AND(IF($AC46&gt;0,INDEX(CW$7:CW$106,$AC46),1),IF($AD46&gt;0,INDEX(CW$7:CW$106,$AD46),1),IF($AE46&gt;0,INDEX(CW$7:CW$106,$AE46),1),IF($AF46&gt;0,INDEX(CW$7:CW$106,$AF46),1),IF($AG46&gt;0,INDEX(CW$7:CW$106,$AG46),1),IF($AH46&gt;0,INDEX(CW$7:CW$106,$AH46),1),IF($AI46&gt;0,INDEX(CW$7:CW$106,$AI46),1),IF($AJ46&gt;0,INDEX(CW$7:CW$106,$AJ46),1))))</ns0:f>
        <ns0:v>1</ns0:v>
      </ns0:c>
      <ns0:c r="CY46" t="n">
        <ns0:f>IF($A46="",1,IF(CX46=1,1,--AND(IF($AC46&gt;0,INDEX(CX$7:CX$106,$AC46),1),IF($AD46&gt;0,INDEX(CX$7:CX$106,$AD46),1),IF($AE46&gt;0,INDEX(CX$7:CX$106,$AE46),1),IF($AF46&gt;0,INDEX(CX$7:CX$106,$AF46),1),IF($AG46&gt;0,INDEX(CX$7:CX$106,$AG46),1),IF($AH46&gt;0,INDEX(CX$7:CX$106,$AH46),1),IF($AI46&gt;0,INDEX(CX$7:CX$106,$AI46),1),IF($AJ46&gt;0,INDEX(CX$7:CX$106,$AJ46),1))))</ns0:f>
        <ns0:v>1</ns0:v>
      </ns0:c>
      <ns0:c r="CZ46" t="n">
        <ns0:f>IF($A46="",1,IF(CY46=1,1,--AND(IF($AC46&gt;0,INDEX(CY$7:CY$106,$AC46),1),IF($AD46&gt;0,INDEX(CY$7:CY$106,$AD46),1),IF($AE46&gt;0,INDEX(CY$7:CY$106,$AE46),1),IF($AF46&gt;0,INDEX(CY$7:CY$106,$AF46),1),IF($AG46&gt;0,INDEX(CY$7:CY$106,$AG46),1),IF($AH46&gt;0,INDEX(CY$7:CY$106,$AH46),1),IF($AI46&gt;0,INDEX(CY$7:CY$106,$AI46),1),IF($AJ46&gt;0,INDEX(CY$7:CY$106,$AJ46),1))))</ns0:f>
        <ns0:v>1</ns0:v>
      </ns0:c>
      <ns0:c r="DA46" t="n">
        <ns0:f>IF($A46="",1,IF(CZ46=1,1,--AND(IF($AC46&gt;0,INDEX(CZ$7:CZ$106,$AC46),1),IF($AD46&gt;0,INDEX(CZ$7:CZ$106,$AD46),1),IF($AE46&gt;0,INDEX(CZ$7:CZ$106,$AE46),1),IF($AF46&gt;0,INDEX(CZ$7:CZ$106,$AF46),1),IF($AG46&gt;0,INDEX(CZ$7:CZ$106,$AG46),1),IF($AH46&gt;0,INDEX(CZ$7:CZ$106,$AH46),1),IF($AI46&gt;0,INDEX(CZ$7:CZ$106,$AI46),1),IF($AJ46&gt;0,INDEX(CZ$7:CZ$106,$AJ46),1))))</ns0:f>
        <ns0:v>1</ns0:v>
      </ns0:c>
      <ns0:c r="DB46" t="n">
        <ns0:f>IF($A46="",1,IF(DA46=1,1,--AND(IF($AC46&gt;0,INDEX(DA$7:DA$106,$AC46),1),IF($AD46&gt;0,INDEX(DA$7:DA$106,$AD46),1),IF($AE46&gt;0,INDEX(DA$7:DA$106,$AE46),1),IF($AF46&gt;0,INDEX(DA$7:DA$106,$AF46),1),IF($AG46&gt;0,INDEX(DA$7:DA$106,$AG46),1),IF($AH46&gt;0,INDEX(DA$7:DA$106,$AH46),1),IF($AI46&gt;0,INDEX(DA$7:DA$106,$AI46),1),IF($AJ46&gt;0,INDEX(DA$7:DA$106,$AJ46),1))))</ns0:f>
        <ns0:v>1</ns0:v>
      </ns0:c>
      <ns0:c r="DC46" t="n">
        <ns0:f>IF($A46="",1,IF(DB46=1,1,--AND(IF($AC46&gt;0,INDEX(DB$7:DB$106,$AC46),1),IF($AD46&gt;0,INDEX(DB$7:DB$106,$AD46),1),IF($AE46&gt;0,INDEX(DB$7:DB$106,$AE46),1),IF($AF46&gt;0,INDEX(DB$7:DB$106,$AF46),1),IF($AG46&gt;0,INDEX(DB$7:DB$106,$AG46),1),IF($AH46&gt;0,INDEX(DB$7:DB$106,$AH46),1),IF($AI46&gt;0,INDEX(DB$7:DB$106,$AI46),1),IF($AJ46&gt;0,INDEX(DB$7:DB$106,$AJ46),1))))</ns0:f>
        <ns0:v>1</ns0:v>
      </ns0:c>
      <ns0:c r="DD46" t="n">
        <ns0:f>IF($A46="",1,IF(DC46=1,1,--AND(IF($AC46&gt;0,INDEX(DC$7:DC$106,$AC46),1),IF($AD46&gt;0,INDEX(DC$7:DC$106,$AD46),1),IF($AE46&gt;0,INDEX(DC$7:DC$106,$AE46),1),IF($AF46&gt;0,INDEX(DC$7:DC$106,$AF46),1),IF($AG46&gt;0,INDEX(DC$7:DC$106,$AG46),1),IF($AH46&gt;0,INDEX(DC$7:DC$106,$AH46),1),IF($AI46&gt;0,INDEX(DC$7:DC$106,$AI46),1),IF($AJ46&gt;0,INDEX(DC$7:DC$106,$AJ46),1))))</ns0:f>
        <ns0:v>1</ns0:v>
      </ns0:c>
      <ns0:c r="DE46" t="n">
        <ns0:f>IF($A46="",1,IF(DD46=1,1,--AND(IF($AC46&gt;0,INDEX(DD$7:DD$106,$AC46),1),IF($AD46&gt;0,INDEX(DD$7:DD$106,$AD46),1),IF($AE46&gt;0,INDEX(DD$7:DD$106,$AE46),1),IF($AF46&gt;0,INDEX(DD$7:DD$106,$AF46),1),IF($AG46&gt;0,INDEX(DD$7:DD$106,$AG46),1),IF($AH46&gt;0,INDEX(DD$7:DD$106,$AH46),1),IF($AI46&gt;0,INDEX(DD$7:DD$106,$AI46),1),IF($AJ46&gt;0,INDEX(DD$7:DD$106,$AJ46),1))))</ns0:f>
        <ns0:v>1</ns0:v>
      </ns0:c>
      <ns0:c r="DF46" t="n">
        <ns0:f>IF($A46="",1,IF(DE46=1,1,--AND(IF($AC46&gt;0,INDEX(DE$7:DE$106,$AC46),1),IF($AD46&gt;0,INDEX(DE$7:DE$106,$AD46),1),IF($AE46&gt;0,INDEX(DE$7:DE$106,$AE46),1),IF($AF46&gt;0,INDEX(DE$7:DE$106,$AF46),1),IF($AG46&gt;0,INDEX(DE$7:DE$106,$AG46),1),IF($AH46&gt;0,INDEX(DE$7:DE$106,$AH46),1),IF($AI46&gt;0,INDEX(DE$7:DE$106,$AI46),1),IF($AJ46&gt;0,INDEX(DE$7:DE$106,$AJ46),1))))</ns0:f>
        <ns0:v>1</ns0:v>
      </ns0:c>
      <ns0:c r="DG46" t="n">
        <ns0:f>IF($A46="",1,IF(DF46=1,1,--AND(IF($AC46&gt;0,INDEX(DF$7:DF$106,$AC46),1),IF($AD46&gt;0,INDEX(DF$7:DF$106,$AD46),1),IF($AE46&gt;0,INDEX(DF$7:DF$106,$AE46),1),IF($AF46&gt;0,INDEX(DF$7:DF$106,$AF46),1),IF($AG46&gt;0,INDEX(DF$7:DF$106,$AG46),1),IF($AH46&gt;0,INDEX(DF$7:DF$106,$AH46),1),IF($AI46&gt;0,INDEX(DF$7:DF$106,$AI46),1),IF($AJ46&gt;0,INDEX(DF$7:DF$106,$AJ46),1))))</ns0:f>
        <ns0:v>1</ns0:v>
      </ns0:c>
      <ns0:c r="DH46" t="n">
        <ns0:f>IF($A46="",1,IF(DG46=1,1,--AND(IF($AC46&gt;0,INDEX(DG$7:DG$106,$AC46),1),IF($AD46&gt;0,INDEX(DG$7:DG$106,$AD46),1),IF($AE46&gt;0,INDEX(DG$7:DG$106,$AE46),1),IF($AF46&gt;0,INDEX(DG$7:DG$106,$AF46),1),IF($AG46&gt;0,INDEX(DG$7:DG$106,$AG46),1),IF($AH46&gt;0,INDEX(DG$7:DG$106,$AH46),1),IF($AI46&gt;0,INDEX(DG$7:DG$106,$AI46),1),IF($AJ46&gt;0,INDEX(DG$7:DG$106,$AJ46),1))))</ns0:f>
        <ns0:v>1</ns0:v>
      </ns0:c>
      <ns0:c r="DI46" t="n">
        <ns0:f>IF($A46="",1,IF(DH46=1,1,--AND(IF($AC46&gt;0,INDEX(DH$7:DH$106,$AC46),1),IF($AD46&gt;0,INDEX(DH$7:DH$106,$AD46),1),IF($AE46&gt;0,INDEX(DH$7:DH$106,$AE46),1),IF($AF46&gt;0,INDEX(DH$7:DH$106,$AF46),1),IF($AG46&gt;0,INDEX(DH$7:DH$106,$AG46),1),IF($AH46&gt;0,INDEX(DH$7:DH$106,$AH46),1),IF($AI46&gt;0,INDEX(DH$7:DH$106,$AI46),1),IF($AJ46&gt;0,INDEX(DH$7:DH$106,$AJ46),1))))</ns0:f>
        <ns0:v>1</ns0:v>
      </ns0:c>
      <ns0:c r="DJ46" t="n">
        <ns0:f>IF($A46="",1,IF(DI46=1,1,--AND(IF($AC46&gt;0,INDEX(DI$7:DI$106,$AC46),1),IF($AD46&gt;0,INDEX(DI$7:DI$106,$AD46),1),IF($AE46&gt;0,INDEX(DI$7:DI$106,$AE46),1),IF($AF46&gt;0,INDEX(DI$7:DI$106,$AF46),1),IF($AG46&gt;0,INDEX(DI$7:DI$106,$AG46),1),IF($AH46&gt;0,INDEX(DI$7:DI$106,$AH46),1),IF($AI46&gt;0,INDEX(DI$7:DI$106,$AI46),1),IF($AJ46&gt;0,INDEX(DI$7:DI$106,$AJ46),1))))</ns0:f>
        <ns0:v>1</ns0:v>
      </ns0:c>
      <ns0:c r="DK46" t="n">
        <ns0:f>IF($A46="",1,IF(DJ46=1,1,--AND(IF($AC46&gt;0,INDEX(DJ$7:DJ$106,$AC46),1),IF($AD46&gt;0,INDEX(DJ$7:DJ$106,$AD46),1),IF($AE46&gt;0,INDEX(DJ$7:DJ$106,$AE46),1),IF($AF46&gt;0,INDEX(DJ$7:DJ$106,$AF46),1),IF($AG46&gt;0,INDEX(DJ$7:DJ$106,$AG46),1),IF($AH46&gt;0,INDEX(DJ$7:DJ$106,$AH46),1),IF($AI46&gt;0,INDEX(DJ$7:DJ$106,$AI46),1),IF($AJ46&gt;0,INDEX(DJ$7:DJ$106,$AJ46),1))))</ns0:f>
        <ns0:v>1</ns0:v>
      </ns0:c>
      <ns0:c r="DL46" t="n">
        <ns0:f>IF($A46="",1,IF(DK46=1,1,--AND(IF($AC46&gt;0,INDEX(DK$7:DK$106,$AC46),1),IF($AD46&gt;0,INDEX(DK$7:DK$106,$AD46),1),IF($AE46&gt;0,INDEX(DK$7:DK$106,$AE46),1),IF($AF46&gt;0,INDEX(DK$7:DK$106,$AF46),1),IF($AG46&gt;0,INDEX(DK$7:DK$106,$AG46),1),IF($AH46&gt;0,INDEX(DK$7:DK$106,$AH46),1),IF($AI46&gt;0,INDEX(DK$7:DK$106,$AI46),1),IF($AJ46&gt;0,INDEX(DK$7:DK$106,$AJ46),1))))</ns0:f>
        <ns0:v>1</ns0:v>
      </ns0:c>
      <ns0:c r="DM46" t="n">
        <ns0:f>IF($A46="",1,IF(DL46=1,1,--AND(IF($AC46&gt;0,INDEX(DL$7:DL$106,$AC46),1),IF($AD46&gt;0,INDEX(DL$7:DL$106,$AD46),1),IF($AE46&gt;0,INDEX(DL$7:DL$106,$AE46),1),IF($AF46&gt;0,INDEX(DL$7:DL$106,$AF46),1),IF($AG46&gt;0,INDEX(DL$7:DL$106,$AG46),1),IF($AH46&gt;0,INDEX(DL$7:DL$106,$AH46),1),IF($AI46&gt;0,INDEX(DL$7:DL$106,$AI46),1),IF($AJ46&gt;0,INDEX(DL$7:DL$106,$AJ46),1))))</ns0:f>
        <ns0:v>1</ns0:v>
      </ns0:c>
      <ns0:c r="DN46" t="n">
        <ns0:f>IF($A46="",1,IF(DM46=1,1,--AND(IF($AC46&gt;0,INDEX(DM$7:DM$106,$AC46),1),IF($AD46&gt;0,INDEX(DM$7:DM$106,$AD46),1),IF($AE46&gt;0,INDEX(DM$7:DM$106,$AE46),1),IF($AF46&gt;0,INDEX(DM$7:DM$106,$AF46),1),IF($AG46&gt;0,INDEX(DM$7:DM$106,$AG46),1),IF($AH46&gt;0,INDEX(DM$7:DM$106,$AH46),1),IF($AI46&gt;0,INDEX(DM$7:DM$106,$AI46),1),IF($AJ46&gt;0,INDEX(DM$7:DM$106,$AJ46),1))))</ns0:f>
        <ns0:v>1</ns0:v>
      </ns0:c>
      <ns0:c r="DO46" t="n">
        <ns0:f>IF($A46="",1,IF(DN46=1,1,--AND(IF($AC46&gt;0,INDEX(DN$7:DN$106,$AC46),1),IF($AD46&gt;0,INDEX(DN$7:DN$106,$AD46),1),IF($AE46&gt;0,INDEX(DN$7:DN$106,$AE46),1),IF($AF46&gt;0,INDEX(DN$7:DN$106,$AF46),1),IF($AG46&gt;0,INDEX(DN$7:DN$106,$AG46),1),IF($AH46&gt;0,INDEX(DN$7:DN$106,$AH46),1),IF($AI46&gt;0,INDEX(DN$7:DN$106,$AI46),1),IF($AJ46&gt;0,INDEX(DN$7:DN$106,$AJ46),1))))</ns0:f>
        <ns0:v>1</ns0:v>
      </ns0:c>
      <ns0:c r="DP46" t="n">
        <ns0:f>IF($A46="",1,IF(DO46=1,1,--AND(IF($AC46&gt;0,INDEX(DO$7:DO$106,$AC46),1),IF($AD46&gt;0,INDEX(DO$7:DO$106,$AD46),1),IF($AE46&gt;0,INDEX(DO$7:DO$106,$AE46),1),IF($AF46&gt;0,INDEX(DO$7:DO$106,$AF46),1),IF($AG46&gt;0,INDEX(DO$7:DO$106,$AG46),1),IF($AH46&gt;0,INDEX(DO$7:DO$106,$AH46),1),IF($AI46&gt;0,INDEX(DO$7:DO$106,$AI46),1),IF($AJ46&gt;0,INDEX(DO$7:DO$106,$AJ46),1))))</ns0:f>
        <ns0:v>1</ns0:v>
      </ns0:c>
      <ns0:c r="DQ46" t="n">
        <ns0:f>IF($A46="",1,IF(DP46=1,1,--AND(IF($AC46&gt;0,INDEX(DP$7:DP$106,$AC46),1),IF($AD46&gt;0,INDEX(DP$7:DP$106,$AD46),1),IF($AE46&gt;0,INDEX(DP$7:DP$106,$AE46),1),IF($AF46&gt;0,INDEX(DP$7:DP$106,$AF46),1),IF($AG46&gt;0,INDEX(DP$7:DP$106,$AG46),1),IF($AH46&gt;0,INDEX(DP$7:DP$106,$AH46),1),IF($AI46&gt;0,INDEX(DP$7:DP$106,$AI46),1),IF($AJ46&gt;0,INDEX(DP$7:DP$106,$AJ46),1))))</ns0:f>
        <ns0:v>1</ns0:v>
      </ns0:c>
      <ns0:c r="DR46" t="n">
        <ns0:f>IF($A46="",1,IF(DQ46=1,1,--AND(IF($AC46&gt;0,INDEX(DQ$7:DQ$106,$AC46),1),IF($AD46&gt;0,INDEX(DQ$7:DQ$106,$AD46),1),IF($AE46&gt;0,INDEX(DQ$7:DQ$106,$AE46),1),IF($AF46&gt;0,INDEX(DQ$7:DQ$106,$AF46),1),IF($AG46&gt;0,INDEX(DQ$7:DQ$106,$AG46),1),IF($AH46&gt;0,INDEX(DQ$7:DQ$106,$AH46),1),IF($AI46&gt;0,INDEX(DQ$7:DQ$106,$AI46),1),IF($AJ46&gt;0,INDEX(DQ$7:DQ$106,$AJ46),1))))</ns0:f>
        <ns0:v>1</ns0:v>
      </ns0:c>
      <ns0:c r="DS46" t="n">
        <ns0:f>IF($A46="",1,IF(DR46=1,1,--AND(IF($AC46&gt;0,INDEX(DR$7:DR$106,$AC46),1),IF($AD46&gt;0,INDEX(DR$7:DR$106,$AD46),1),IF($AE46&gt;0,INDEX(DR$7:DR$106,$AE46),1),IF($AF46&gt;0,INDEX(DR$7:DR$106,$AF46),1),IF($AG46&gt;0,INDEX(DR$7:DR$106,$AG46),1),IF($AH46&gt;0,INDEX(DR$7:DR$106,$AH46),1),IF($AI46&gt;0,INDEX(DR$7:DR$106,$AI46),1),IF($AJ46&gt;0,INDEX(DR$7:DR$106,$AJ46),1))))</ns0:f>
        <ns0:v>1</ns0:v>
      </ns0:c>
      <ns0:c r="DT46" t="n">
        <ns0:f>IF($A46="",1,IF(DS46=1,1,--AND(IF($AC46&gt;0,INDEX(DS$7:DS$106,$AC46),1),IF($AD46&gt;0,INDEX(DS$7:DS$106,$AD46),1),IF($AE46&gt;0,INDEX(DS$7:DS$106,$AE46),1),IF($AF46&gt;0,INDEX(DS$7:DS$106,$AF46),1),IF($AG46&gt;0,INDEX(DS$7:DS$106,$AG46),1),IF($AH46&gt;0,INDEX(DS$7:DS$106,$AH46),1),IF($AI46&gt;0,INDEX(DS$7:DS$106,$AI46),1),IF($AJ46&gt;0,INDEX(DS$7:DS$106,$AJ46),1))))</ns0:f>
        <ns0:v>1</ns0:v>
      </ns0:c>
      <ns0:c r="DU46" t="n">
        <ns0:f>IF($A46="",1,IF(DT46=1,1,--AND(IF($AC46&gt;0,INDEX(DT$7:DT$106,$AC46),1),IF($AD46&gt;0,INDEX(DT$7:DT$106,$AD46),1),IF($AE46&gt;0,INDEX(DT$7:DT$106,$AE46),1),IF($AF46&gt;0,INDEX(DT$7:DT$106,$AF46),1),IF($AG46&gt;0,INDEX(DT$7:DT$106,$AG46),1),IF($AH46&gt;0,INDEX(DT$7:DT$106,$AH46),1),IF($AI46&gt;0,INDEX(DT$7:DT$106,$AI46),1),IF($AJ46&gt;0,INDEX(DT$7:DT$106,$AJ46),1))))</ns0:f>
        <ns0:v>1</ns0:v>
      </ns0:c>
      <ns0:c r="DV46" t="n">
        <ns0:f>IF($A46="",1,IF(DU46=1,1,--AND(IF($AC46&gt;0,INDEX(DU$7:DU$106,$AC46),1),IF($AD46&gt;0,INDEX(DU$7:DU$106,$AD46),1),IF($AE46&gt;0,INDEX(DU$7:DU$106,$AE46),1),IF($AF46&gt;0,INDEX(DU$7:DU$106,$AF46),1),IF($AG46&gt;0,INDEX(DU$7:DU$106,$AG46),1),IF($AH46&gt;0,INDEX(DU$7:DU$106,$AH46),1),IF($AI46&gt;0,INDEX(DU$7:DU$106,$AI46),1),IF($AJ46&gt;0,INDEX(DU$7:DU$106,$AJ46),1))))</ns0:f>
        <ns0:v>1</ns0:v>
      </ns0:c>
      <ns0:c r="DW46" t="n">
        <ns0:f>IF($A46="",1,IF(DV46=1,1,--AND(IF($AC46&gt;0,INDEX(DV$7:DV$106,$AC46),1),IF($AD46&gt;0,INDEX(DV$7:DV$106,$AD46),1),IF($AE46&gt;0,INDEX(DV$7:DV$106,$AE46),1),IF($AF46&gt;0,INDEX(DV$7:DV$106,$AF46),1),IF($AG46&gt;0,INDEX(DV$7:DV$106,$AG46),1),IF($AH46&gt;0,INDEX(DV$7:DV$106,$AH46),1),IF($AI46&gt;0,INDEX(DV$7:DV$106,$AI46),1),IF($AJ46&gt;0,INDEX(DV$7:DV$106,$AJ46),1))))</ns0:f>
        <ns0:v>1</ns0:v>
      </ns0:c>
      <ns0:c r="DX46" t="n">
        <ns0:f>IF($A46="",1,IF(DW46=1,1,--AND(IF($AC46&gt;0,INDEX(DW$7:DW$106,$AC46),1),IF($AD46&gt;0,INDEX(DW$7:DW$106,$AD46),1),IF($AE46&gt;0,INDEX(DW$7:DW$106,$AE46),1),IF($AF46&gt;0,INDEX(DW$7:DW$106,$AF46),1),IF($AG46&gt;0,INDEX(DW$7:DW$106,$AG46),1),IF($AH46&gt;0,INDEX(DW$7:DW$106,$AH46),1),IF($AI46&gt;0,INDEX(DW$7:DW$106,$AI46),1),IF($AJ46&gt;0,INDEX(DW$7:DW$106,$AJ46),1))))</ns0:f>
        <ns0:v>1</ns0:v>
      </ns0:c>
      <ns0:c r="DY46" t="n">
        <ns0:f>IF($A46="",1,IF(DX46=1,1,--AND(IF($AC46&gt;0,INDEX(DX$7:DX$106,$AC46),1),IF($AD46&gt;0,INDEX(DX$7:DX$106,$AD46),1),IF($AE46&gt;0,INDEX(DX$7:DX$106,$AE46),1),IF($AF46&gt;0,INDEX(DX$7:DX$106,$AF46),1),IF($AG46&gt;0,INDEX(DX$7:DX$106,$AG46),1),IF($AH46&gt;0,INDEX(DX$7:DX$106,$AH46),1),IF($AI46&gt;0,INDEX(DX$7:DX$106,$AI46),1),IF($AJ46&gt;0,INDEX(DX$7:DX$106,$AJ46),1))))</ns0:f>
        <ns0:v>1</ns0:v>
      </ns0:c>
      <ns0:c r="DZ46" t="n">
        <ns0:f>IF($A46="",1,IF(DY46=1,1,--AND(IF($AC46&gt;0,INDEX(DY$7:DY$106,$AC46),1),IF($AD46&gt;0,INDEX(DY$7:DY$106,$AD46),1),IF($AE46&gt;0,INDEX(DY$7:DY$106,$AE46),1),IF($AF46&gt;0,INDEX(DY$7:DY$106,$AF46),1),IF($AG46&gt;0,INDEX(DY$7:DY$106,$AG46),1),IF($AH46&gt;0,INDEX(DY$7:DY$106,$AH46),1),IF($AI46&gt;0,INDEX(DY$7:DY$106,$AI46),1),IF($AJ46&gt;0,INDEX(DY$7:DY$106,$AJ46),1))))</ns0:f>
        <ns0:v>1</ns0:v>
      </ns0:c>
      <ns0:c r="EA46" t="n">
        <ns0:f>IF($A46="",1,IF(DZ46=1,1,--AND(IF($AC46&gt;0,INDEX(DZ$7:DZ$106,$AC46),1),IF($AD46&gt;0,INDEX(DZ$7:DZ$106,$AD46),1),IF($AE46&gt;0,INDEX(DZ$7:DZ$106,$AE46),1),IF($AF46&gt;0,INDEX(DZ$7:DZ$106,$AF46),1),IF($AG46&gt;0,INDEX(DZ$7:DZ$106,$AG46),1),IF($AH46&gt;0,INDEX(DZ$7:DZ$106,$AH46),1),IF($AI46&gt;0,INDEX(DZ$7:DZ$106,$AI46),1),IF($AJ46&gt;0,INDEX(DZ$7:DZ$106,$AJ46),1))))</ns0:f>
        <ns0:v>1</ns0:v>
      </ns0:c>
      <ns0:c r="EB46" t="n">
        <ns0:f>IF($A46="",1,IF(EA46=1,1,--AND(IF($AC46&gt;0,INDEX(EA$7:EA$106,$AC46),1),IF($AD46&gt;0,INDEX(EA$7:EA$106,$AD46),1),IF($AE46&gt;0,INDEX(EA$7:EA$106,$AE46),1),IF($AF46&gt;0,INDEX(EA$7:EA$106,$AF46),1),IF($AG46&gt;0,INDEX(EA$7:EA$106,$AG46),1),IF($AH46&gt;0,INDEX(EA$7:EA$106,$AH46),1),IF($AI46&gt;0,INDEX(EA$7:EA$106,$AI46),1),IF($AJ46&gt;0,INDEX(EA$7:EA$106,$AJ46),1))))</ns0:f>
        <ns0:v>1</ns0:v>
      </ns0:c>
      <ns0:c r="EC46" t="n">
        <ns0:f>IF($A46="",1,IF(EB46=1,1,--AND(IF($AC46&gt;0,INDEX(EB$7:EB$106,$AC46),1),IF($AD46&gt;0,INDEX(EB$7:EB$106,$AD46),1),IF($AE46&gt;0,INDEX(EB$7:EB$106,$AE46),1),IF($AF46&gt;0,INDEX(EB$7:EB$106,$AF46),1),IF($AG46&gt;0,INDEX(EB$7:EB$106,$AG46),1),IF($AH46&gt;0,INDEX(EB$7:EB$106,$AH46),1),IF($AI46&gt;0,INDEX(EB$7:EB$106,$AI46),1),IF($AJ46&gt;0,INDEX(EB$7:EB$106,$AJ46),1))))</ns0:f>
        <ns0:v>1</ns0:v>
      </ns0:c>
      <ns0:c r="ED46" t="n">
        <ns0:f>IF($A46="",1,IF(EC46=1,1,--AND(IF($AC46&gt;0,INDEX(EC$7:EC$106,$AC46),1),IF($AD46&gt;0,INDEX(EC$7:EC$106,$AD46),1),IF($AE46&gt;0,INDEX(EC$7:EC$106,$AE46),1),IF($AF46&gt;0,INDEX(EC$7:EC$106,$AF46),1),IF($AG46&gt;0,INDEX(EC$7:EC$106,$AG46),1),IF($AH46&gt;0,INDEX(EC$7:EC$106,$AH46),1),IF($AI46&gt;0,INDEX(EC$7:EC$106,$AI46),1),IF($AJ46&gt;0,INDEX(EC$7:EC$106,$AJ46),1))))</ns0:f>
        <ns0:v>1</ns0:v>
      </ns0:c>
      <ns0:c r="EE46" t="n">
        <ns0:f>IF($A46="",1,IF(ED46=1,1,--AND(IF($AC46&gt;0,INDEX(ED$7:ED$106,$AC46),1),IF($AD46&gt;0,INDEX(ED$7:ED$106,$AD46),1),IF($AE46&gt;0,INDEX(ED$7:ED$106,$AE46),1),IF($AF46&gt;0,INDEX(ED$7:ED$106,$AF46),1),IF($AG46&gt;0,INDEX(ED$7:ED$106,$AG46),1),IF($AH46&gt;0,INDEX(ED$7:ED$106,$AH46),1),IF($AI46&gt;0,INDEX(ED$7:ED$106,$AI46),1),IF($AJ46&gt;0,INDEX(ED$7:ED$106,$AJ46),1))))</ns0:f>
        <ns0:v>1</ns0:v>
      </ns0:c>
      <ns0:c r="EF46" t="n">
        <ns0:f>IF($A46="",1,IF(EE46=1,1,--AND(IF($AC46&gt;0,INDEX(EE$7:EE$106,$AC46),1),IF($AD46&gt;0,INDEX(EE$7:EE$106,$AD46),1),IF($AE46&gt;0,INDEX(EE$7:EE$106,$AE46),1),IF($AF46&gt;0,INDEX(EE$7:EE$106,$AF46),1),IF($AG46&gt;0,INDEX(EE$7:EE$106,$AG46),1),IF($AH46&gt;0,INDEX(EE$7:EE$106,$AH46),1),IF($AI46&gt;0,INDEX(EE$7:EE$106,$AI46),1),IF($AJ46&gt;0,INDEX(EE$7:EE$106,$AJ46),1))))</ns0:f>
        <ns0:v>1</ns0:v>
      </ns0:c>
      <ns0:c r="EG46" t="n">
        <ns0:f>IF($A46="",1,IF(EF46=1,1,--AND(IF($AC46&gt;0,INDEX(EF$7:EF$106,$AC46),1),IF($AD46&gt;0,INDEX(EF$7:EF$106,$AD46),1),IF($AE46&gt;0,INDEX(EF$7:EF$106,$AE46),1),IF($AF46&gt;0,INDEX(EF$7:EF$106,$AF46),1),IF($AG46&gt;0,INDEX(EF$7:EF$106,$AG46),1),IF($AH46&gt;0,INDEX(EF$7:EF$106,$AH46),1),IF($AI46&gt;0,INDEX(EF$7:EF$106,$AI46),1),IF($AJ46&gt;0,INDEX(EF$7:EF$106,$AJ46),1))))</ns0:f>
        <ns0:v>1</ns0:v>
      </ns0:c>
      <ns0:c r="EH46" t="n">
        <ns0:f>IF($A46="",1,IF(EG46=1,1,--AND(IF($AC46&gt;0,INDEX(EG$7:EG$106,$AC46),1),IF($AD46&gt;0,INDEX(EG$7:EG$106,$AD46),1),IF($AE46&gt;0,INDEX(EG$7:EG$106,$AE46),1),IF($AF46&gt;0,INDEX(EG$7:EG$106,$AF46),1),IF($AG46&gt;0,INDEX(EG$7:EG$106,$AG46),1),IF($AH46&gt;0,INDEX(EG$7:EG$106,$AH46),1),IF($AI46&gt;0,INDEX(EG$7:EG$106,$AI46),1),IF($AJ46&gt;0,INDEX(EG$7:EG$106,$AJ46),1))))</ns0:f>
        <ns0:v>1</ns0:v>
      </ns0:c>
      <ns0:c r="EI46" t="n">
        <ns0:f>IF($A46="",1,IF(EH46=1,1,--AND(IF($AC46&gt;0,INDEX(EH$7:EH$106,$AC46),1),IF($AD46&gt;0,INDEX(EH$7:EH$106,$AD46),1),IF($AE46&gt;0,INDEX(EH$7:EH$106,$AE46),1),IF($AF46&gt;0,INDEX(EH$7:EH$106,$AF46),1),IF($AG46&gt;0,INDEX(EH$7:EH$106,$AG46),1),IF($AH46&gt;0,INDEX(EH$7:EH$106,$AH46),1),IF($AI46&gt;0,INDEX(EH$7:EH$106,$AI46),1),IF($AJ46&gt;0,INDEX(EH$7:EH$106,$AJ46),1))))</ns0:f>
        <ns0:v>1</ns0:v>
      </ns0:c>
      <ns0:c r="EJ46" t="n">
        <ns0:f>IF($A46="",1,IF(EI46=1,1,--AND(IF($AC46&gt;0,INDEX(EI$7:EI$106,$AC46),1),IF($AD46&gt;0,INDEX(EI$7:EI$106,$AD46),1),IF($AE46&gt;0,INDEX(EI$7:EI$106,$AE46),1),IF($AF46&gt;0,INDEX(EI$7:EI$106,$AF46),1),IF($AG46&gt;0,INDEX(EI$7:EI$106,$AG46),1),IF($AH46&gt;0,INDEX(EI$7:EI$106,$AH46),1),IF($AI46&gt;0,INDEX(EI$7:EI$106,$AI46),1),IF($AJ46&gt;0,INDEX(EI$7:EI$106,$AJ46),1))))</ns0:f>
        <ns0:v>1</ns0:v>
      </ns0:c>
      <ns0:c r="EK46" t="n">
        <ns0:f>IF($A46="",1,IF(EJ46=1,1,--AND(IF($AC46&gt;0,INDEX(EJ$7:EJ$106,$AC46),1),IF($AD46&gt;0,INDEX(EJ$7:EJ$106,$AD46),1),IF($AE46&gt;0,INDEX(EJ$7:EJ$106,$AE46),1),IF($AF46&gt;0,INDEX(EJ$7:EJ$106,$AF46),1),IF($AG46&gt;0,INDEX(EJ$7:EJ$106,$AG46),1),IF($AH46&gt;0,INDEX(EJ$7:EJ$106,$AH46),1),IF($AI46&gt;0,INDEX(EJ$7:EJ$106,$AI46),1),IF($AJ46&gt;0,INDEX(EJ$7:EJ$106,$AJ46),1))))</ns0:f>
        <ns0:v>1</ns0:v>
      </ns0:c>
      <ns0:c r="EL46" t="n">
        <ns0:f>IF($A46="",1,IF(EK46=1,1,--AND(IF($AC46&gt;0,INDEX(EK$7:EK$106,$AC46),1),IF($AD46&gt;0,INDEX(EK$7:EK$106,$AD46),1),IF($AE46&gt;0,INDEX(EK$7:EK$106,$AE46),1),IF($AF46&gt;0,INDEX(EK$7:EK$106,$AF46),1),IF($AG46&gt;0,INDEX(EK$7:EK$106,$AG46),1),IF($AH46&gt;0,INDEX(EK$7:EK$106,$AH46),1),IF($AI46&gt;0,INDEX(EK$7:EK$106,$AI46),1),IF($AJ46&gt;0,INDEX(EK$7:EK$106,$AJ46),1))))</ns0:f>
        <ns0:v>1</ns0:v>
      </ns0:c>
      <ns0:c r="EM46" t="n">
        <ns0:f>IF($A46="",1,IF(EL46=1,1,--AND(IF($AC46&gt;0,INDEX(EL$7:EL$106,$AC46),1),IF($AD46&gt;0,INDEX(EL$7:EL$106,$AD46),1),IF($AE46&gt;0,INDEX(EL$7:EL$106,$AE46),1),IF($AF46&gt;0,INDEX(EL$7:EL$106,$AF46),1),IF($AG46&gt;0,INDEX(EL$7:EL$106,$AG46),1),IF($AH46&gt;0,INDEX(EL$7:EL$106,$AH46),1),IF($AI46&gt;0,INDEX(EL$7:EL$106,$AI46),1),IF($AJ46&gt;0,INDEX(EL$7:EL$106,$AJ46),1))))</ns0:f>
        <ns0:v>1</ns0:v>
      </ns0:c>
      <ns0:c r="EN46" t="n">
        <ns0:f>IF($A46="",1,IF(EM46=1,1,--AND(IF($AC46&gt;0,INDEX(EM$7:EM$106,$AC46),1),IF($AD46&gt;0,INDEX(EM$7:EM$106,$AD46),1),IF($AE46&gt;0,INDEX(EM$7:EM$106,$AE46),1),IF($AF46&gt;0,INDEX(EM$7:EM$106,$AF46),1),IF($AG46&gt;0,INDEX(EM$7:EM$106,$AG46),1),IF($AH46&gt;0,INDEX(EM$7:EM$106,$AH46),1),IF($AI46&gt;0,INDEX(EM$7:EM$106,$AI46),1),IF($AJ46&gt;0,INDEX(EM$7:EM$106,$AJ46),1))))</ns0:f>
        <ns0:v>1</ns0:v>
      </ns0:c>
      <ns0:c r="EO46" t="n">
        <ns0:f>IF($A46="",1,IF(EN46=1,1,--AND(IF($AC46&gt;0,INDEX(EN$7:EN$106,$AC46),1),IF($AD46&gt;0,INDEX(EN$7:EN$106,$AD46),1),IF($AE46&gt;0,INDEX(EN$7:EN$106,$AE46),1),IF($AF46&gt;0,INDEX(EN$7:EN$106,$AF46),1),IF($AG46&gt;0,INDEX(EN$7:EN$106,$AG46),1),IF($AH46&gt;0,INDEX(EN$7:EN$106,$AH46),1),IF($AI46&gt;0,INDEX(EN$7:EN$106,$AI46),1),IF($AJ46&gt;0,INDEX(EN$7:EN$106,$AJ46),1))))</ns0:f>
        <ns0:v>1</ns0:v>
      </ns0:c>
      <ns0:c r="EP46" t="n">
        <ns0:f>IF($A46="",1,IF(EO46=1,1,--AND(IF($AC46&gt;0,INDEX(EO$7:EO$106,$AC46),1),IF($AD46&gt;0,INDEX(EO$7:EO$106,$AD46),1),IF($AE46&gt;0,INDEX(EO$7:EO$106,$AE46),1),IF($AF46&gt;0,INDEX(EO$7:EO$106,$AF46),1),IF($AG46&gt;0,INDEX(EO$7:EO$106,$AG46),1),IF($AH46&gt;0,INDEX(EO$7:EO$106,$AH46),1),IF($AI46&gt;0,INDEX(EO$7:EO$106,$AI46),1),IF($AJ46&gt;0,INDEX(EO$7:EO$106,$AJ46),1))))</ns0:f>
        <ns0:v>1</ns0:v>
      </ns0:c>
      <ns0:c r="EQ46" t="n">
        <ns0:f>IF(OR(A46="",NOT(ISNUMBER(G46))),0,G46*N46)</ns0:f>
        <ns0:v>0</ns0:v>
      </ns0:c>
    </ns0:row>
    <ns0:row r="47" ht="62" customHeight="1">
      <ns0:c r="A47" s="48" t="str">
        <ns0:v>M7</ns0:v>
      </ns0:c>
      <ns0:c r="B47" s="48" t="str">
        <ns0:v>Learning &amp; closeout</ns0:v>
      </ns0:c>
      <ns0:c r="C47" s="48" t="str">
        <ns0:v>Closed-Loop Telemetry Optimization &amp; Final Project Closeout</ns0:v>
      </ns0:c>
      <ns0:c r="D47" s="48" t="str">
        <ns0:v>Explicit project checkpoint. Mark complete only after linked work is accepted.</ns0:v>
      </ns0:c>
      <ns0:c r="E47" s="49" t="n">
        <ns0:v>46309</ns0:v>
      </ns0:c>
      <ns0:c r="F47" s="49" t="n">
        <ns0:v>46309</ns0:v>
      </ns0:c>
      <ns0:c r="G47" s="13" t="n">
        <ns0:f>IF(A47="","",IF(OR(NOT(ISNUMBER(E47)),NOT(ISNUMBER(F47)),F47&lt;E47),"",IF(J47="Yes",0,F47-E47+1)))</ns0:f>
        <ns0:v>0</ns0:v>
      </ns0:c>
      <ns0:c r="H47" s="48" t="str">
        <ns0:v>T30,T31,T32,T33,T34</ns0:v>
      </ns0:c>
      <ns0:c r="I47" s="48" t="str">
        <ns0:v>FF</ns0:v>
      </ns0:c>
      <ns0:c r="J47" s="48" t="str">
        <ns0:v>Yes</ns0:v>
      </ns0:c>
      <ns0:c r="K47" s="48" t="str">
        <ns0:v>Unassigned</ns0:v>
      </ns0:c>
      <ns0:c r="L47" s="48" t="str"/>
      <ns0:c r="M47" s="50" t="str">
        <ns0:f>IF(A47="","",IF(N47=1,"Completed",IF(N47&gt;0,"In Progress","Not Started")))</ns0:f>
        <ns0:v>Not Started</ns0:v>
      </ns0:c>
      <ns0:c r="N47" s="51" t="n">
        <ns0:v>0</ns0:v>
      </ns0:c>
      <ns0:c r="O47" s="13" t="str">
        <ns0:f>IF(A47="","",IF(R47&lt;&gt;"","[CONFLICT] "&amp;R47,IF(S47&lt;&gt;"","[CONFLICT] "&amp;S47,IF(OR(NOT(ISNUMBER(N47)),N47&lt;0,N47&gt;1),"[CONFLICT] Invalid progress",IF(AK47&gt;0,"[DEPENDENCY ISSUE] Missing ID / &gt;8 links",IF(AM47&gt;0,"[DEPENDENCY ISSUE] Cycle or blocked by cycle",IF(AND(H47&lt;&gt;"",ISNA(MATCH(I47,{"FS","SS","FF","SF"},0))),"[DEPENDENCY ISSUE] Invalid type",IF(AL47&gt;0,"[DEPENDENCY ISSUE] Timing conflict",IF(OR(E47&lt;ProjectStart,F47&gt;ProjectEnd),"[OUTSIDE WINDOW]",IF(AND(N47&lt;1,F47&lt;AsOfDate),"Overdue",IF(AND(M47&lt;&gt;Q47,M47&lt;&gt;""),"[CONFLICT] Status / progress","On track")))))))))))</ns0:f>
        <ns0:v>On track</ns0:v>
      </ns0:c>
      <ns0:c r="P47" s="52" t="str">
        <ns0:v>Source: Project Plan Essentials (2).md §3. Source checkpoint date retained (source labels all dates [INFERRED]). [INFERRED] FF link permits completion-day checkpoint. Owner missing.</ns0:v>
      </ns0:c>
      <ns0:c r="Q47" t="str">
        <ns0:f>IF(A47="","",IF(OR(M47="On Hold",M47="Delayed"),M47,IF(N47=1,"Completed",IF(N47&gt;0,"In Progress","Not Started"))))</ns0:f>
        <ns0:v>Not Started</ns0:v>
      </ns0:c>
      <ns0:c r="R47" t="str">
        <ns0:f>IF(A47="","",IF(COUNTIFS(Tasks[Task ID],A47)&lt;&gt;1,"Duplicate ID",""))</ns0:f>
      </ns0:c>
      <ns0:c r="S47" t="str">
        <ns0:f>IF(A47="","",IF(OR(NOT(ISNUMBER(E47)),NOT(ISNUMBER(F47))),"Invalid / missing date",IF(OR(E47&lt;&gt;INT(E47),F47&lt;&gt;INT(F47),E47&lt;1,F47&gt;2958465),"Invalid date",IF(F47&lt;E47,"End before start",IF(AND(J47="Yes",E47&lt;&gt;F47),"Milestone needs one date","")))))</ns0:f>
      </ns0:c>
      <ns0:c r="T47" t="n">
        <ns0:f>IF(H47="",0,LEN(H47)-LEN(SUBSTITUTE(H47,",",""))+1)</ns0:f>
        <ns0:v>5</ns0:v>
      </ns0:c>
      <ns0:c r="U47" t="str">
        <ns0:f>TRIM(MID(SUBSTITUTE($H47,",",REPT(" ",100)),1,100))</ns0:f>
        <ns0:v>T30</ns0:v>
      </ns0:c>
      <ns0:c r="V47" t="str">
        <ns0:f>TRIM(MID(SUBSTITUTE($H47,",",REPT(" ",100)),101,100))</ns0:f>
        <ns0:v>T31</ns0:v>
      </ns0:c>
      <ns0:c r="W47" t="str">
        <ns0:f>TRIM(MID(SUBSTITUTE($H47,",",REPT(" ",100)),201,100))</ns0:f>
        <ns0:v>T32</ns0:v>
      </ns0:c>
      <ns0:c r="X47" t="str">
        <ns0:f>TRIM(MID(SUBSTITUTE($H47,",",REPT(" ",100)),301,100))</ns0:f>
        <ns0:v>T33</ns0:v>
      </ns0:c>
      <ns0:c r="Y47" t="str">
        <ns0:f>TRIM(MID(SUBSTITUTE($H47,",",REPT(" ",100)),401,100))</ns0:f>
        <ns0:v>T34</ns0:v>
      </ns0:c>
      <ns0:c r="Z47" t="str">
        <ns0:f>TRIM(MID(SUBSTITUTE($H47,",",REPT(" ",100)),501,100))</ns0:f>
      </ns0:c>
      <ns0:c r="AA47" t="str">
        <ns0:f>TRIM(MID(SUBSTITUTE($H47,",",REPT(" ",100)),601,100))</ns0:f>
      </ns0:c>
      <ns0:c r="AB47" t="str">
        <ns0:f>TRIM(MID(SUBSTITUTE($H47,",",REPT(" ",100)),701,100))</ns0:f>
      </ns0:c>
      <ns0:c r="AC47" t="n">
        <ns0:f>IF(U47="",0,IF(COUNTIFS(Tasks[Task ID],U47)=1,MATCH(U47,Tasks[Task ID],0),-1))</ns0:f>
        <ns0:v>36</ns0:v>
      </ns0:c>
      <ns0:c r="AD47" t="n">
        <ns0:f>IF(V47="",0,IF(COUNTIFS(Tasks[Task ID],V47)=1,MATCH(V47,Tasks[Task ID],0),-1))</ns0:f>
        <ns0:v>37</ns0:v>
      </ns0:c>
      <ns0:c r="AE47" t="n">
        <ns0:f>IF(W47="",0,IF(COUNTIFS(Tasks[Task ID],W47)=1,MATCH(W47,Tasks[Task ID],0),-1))</ns0:f>
        <ns0:v>38</ns0:v>
      </ns0:c>
      <ns0:c r="AF47" t="n">
        <ns0:f>IF(X47="",0,IF(COUNTIFS(Tasks[Task ID],X47)=1,MATCH(X47,Tasks[Task ID],0),-1))</ns0:f>
        <ns0:v>39</ns0:v>
      </ns0:c>
      <ns0:c r="AG47" t="n">
        <ns0:f>IF(Y47="",0,IF(COUNTIFS(Tasks[Task ID],Y47)=1,MATCH(Y47,Tasks[Task ID],0),-1))</ns0:f>
        <ns0:v>40</ns0:v>
      </ns0:c>
      <ns0:c r="AH47" t="n">
        <ns0:f>IF(Z47="",0,IF(COUNTIFS(Tasks[Task ID],Z47)=1,MATCH(Z47,Tasks[Task ID],0),-1))</ns0:f>
        <ns0:v>0</ns0:v>
      </ns0:c>
      <ns0:c r="AI47" t="n">
        <ns0:f>IF(AA47="",0,IF(COUNTIFS(Tasks[Task ID],AA47)=1,MATCH(AA47,Tasks[Task ID],0),-1))</ns0:f>
        <ns0:v>0</ns0:v>
      </ns0:c>
      <ns0:c r="AJ47" t="n">
        <ns0:f>IF(AB47="",0,IF(COUNTIFS(Tasks[Task ID],AB47)=1,MATCH(AB47,Tasks[Task ID],0),-1))</ns0:f>
        <ns0:v>0</ns0:v>
      </ns0:c>
      <ns0:c r="AK47" t="n">
        <ns0:f>COUNTIFS(AC47:AJ47,-1)+IF(T47&gt;8,1,0)</ns0:f>
        <ns0:v>0</ns0:v>
      </ns0:c>
      <ns0:c r="AL47" t="n">
        <ns0:f>IF(OR(A47="",S47&lt;&gt;""),0,SUM(IF(AC47&gt;0,IF($I47="FS",--($E47&lt;INDEX(Tasks[End Date],AC47)+IF(INDEX(Tasks[Milestone],AC47)="Yes",0,1)),IF($I47="SS",--($E47&lt;INDEX(Tasks[Start Date],AC47)),IF($I47="FF",--($F47&lt;INDEX(Tasks[End Date],AC47)),IF($I47="SF",--($F47&lt;INDEX(Tasks[Start Date],AC47)),0)))),0),IF(AD47&gt;0,IF($I47="FS",--($E47&lt;INDEX(Tasks[End Date],AD47)+IF(INDEX(Tasks[Milestone],AD47)="Yes",0,1)),IF($I47="SS",--($E47&lt;INDEX(Tasks[Start Date],AD47)),IF($I47="FF",--($F47&lt;INDEX(Tasks[End Date],AD47)),IF($I47="SF",--($F47&lt;INDEX(Tasks[Start Date],AD47)),0)))),0),IF(AE47&gt;0,IF($I47="FS",--($E47&lt;INDEX(Tasks[End Date],AE47)+IF(INDEX(Tasks[Milestone],AE47)="Yes",0,1)),IF($I47="SS",--($E47&lt;INDEX(Tasks[Start Date],AE47)),IF($I47="FF",--($F47&lt;INDEX(Tasks[End Date],AE47)),IF($I47="SF",--($F47&lt;INDEX(Tasks[Start Date],AE47)),0)))),0),IF(AF47&gt;0,IF($I47="FS",--($E47&lt;INDEX(Tasks[End Date],AF47)+IF(INDEX(Tasks[Milestone],AF47)="Yes",0,1)),IF($I47="SS",--($E47&lt;INDEX(Tasks[Start Date],AF47)),IF($I47="FF",--($F47&lt;INDEX(Tasks[End Date],AF47)),IF($I47="SF",--($F47&lt;INDEX(Tasks[Start Date],AF47)),0)))),0),IF(AG47&gt;0,IF($I47="FS",--($E47&lt;INDEX(Tasks[End Date],AG47)+IF(INDEX(Tasks[Milestone],AG47)="Yes",0,1)),IF($I47="SS",--($E47&lt;INDEX(Tasks[Start Date],AG47)),IF($I47="FF",--($F47&lt;INDEX(Tasks[End Date],AG47)),IF($I47="SF",--($F47&lt;INDEX(Tasks[Start Date],AG47)),0)))),0),IF(AH47&gt;0,IF($I47="FS",--($E47&lt;INDEX(Tasks[End Date],AH47)+IF(INDEX(Tasks[Milestone],AH47)="Yes",0,1)),IF($I47="SS",--($E47&lt;INDEX(Tasks[Start Date],AH47)),IF($I47="FF",--($F47&lt;INDEX(Tasks[End Date],AH47)),IF($I47="SF",--($F47&lt;INDEX(Tasks[Start Date],AH47)),0)))),0),IF(AI47&gt;0,IF($I47="FS",--($E47&lt;INDEX(Tasks[End Date],AI47)+IF(INDEX(Tasks[Milestone],AI47)="Yes",0,1)),IF($I47="SS",--($E47&lt;INDEX(Tasks[Start Date],AI47)),IF($I47="FF",--($F47&lt;INDEX(Tasks[End Date],AI47)),IF($I47="SF",--($F47&lt;INDEX(Tasks[Start Date],AI47)),0)))),0),IF(AJ47&gt;0,IF($I47="FS",--($E47&lt;INDEX(Tasks[End Date],AJ47)+IF(INDEX(Tasks[Milestone],AJ47)="Yes",0,1)),IF($I47="SS",--($E47&lt;INDEX(Tasks[Start Date],AJ47)),IF($I47="FF",--($F47&lt;INDEX(Tasks[End Date],AJ47)),IF($I47="SF",--($F47&lt;INDEX(Tasks[Start Date],AJ47)),0)))),0)))</ns0:f>
        <ns0:v>0</ns0:v>
      </ns0:c>
      <ns0:c r="AM47" t="n">
        <ns0:f>IF(AND(A47&lt;&gt;"",AK47=0,EP47=0),1,0)</ns0:f>
        <ns0:v>0</ns0:v>
      </ns0:c>
      <ns0:c r="AN47" t="str">
        <ns0:f>IF(OR(A47="",B47=""),"",IF(COUNTIFS($B$7:B47,B47)=1,MAX($AN$6:AN46)+1,""))</ns0:f>
      </ns0:c>
      <ns0:c r="AO47" t="n">
        <ns0:f>IF(AND(A47&lt;&gt;"",J47="No",N47&lt;1,E47&gt;=AsOfDate),E47+ROW()/10000,1E+9)</ns0:f>
        <ns0:v>1000000000</ns0:v>
      </ns0:c>
      <ns0:c r="AP47" t="n">
        <ns0:f>IF(AND(A47&lt;&gt;"",J47="Yes",N47&lt;1,E47&gt;=AsOfDate),E47+ROW()/10000,1E+9)</ns0:f>
        <ns0:v>46309.0047</ns0:v>
      </ns0:c>
      <ns0:c r="AQ47" t="n">
        <ns0:f>IF(AND(A47&lt;&gt;"",J47="No",N47&lt;1,F47&gt;=AsOfDate,F47&lt;=AsOfDate+7),F47+ROW()/10000,1E+9)</ns0:f>
        <ns0:v>1000000000</ns0:v>
      </ns0:c>
      <ns0:c r="AR47" t="n">
        <ns0:f>IF(AND(A47&lt;&gt;"",OR(O47&lt;&gt;"On track",Q47="Delayed")),ROW(),1E+9)</ns0:f>
        <ns0:v>1000000000</ns0:v>
      </ns0:c>
      <ns0:c r="AS47" t="str">
        <ns0:f>IF(A47="","",";"&amp;K47&amp;";")</ns0:f>
        <ns0:v>;Unassigned;</ns0:v>
      </ns0:c>
      <ns0:c r="AT47" t="n">
        <ns0:f>IF(A47="",1,--(T47=0))</ns0:f>
        <ns0:v>0</ns0:v>
      </ns0:c>
      <ns0:c r="AU47" t="n">
        <ns0:f>IF($A47="",1,IF(AT47=1,1,--AND(IF($AC47&gt;0,INDEX(AT$7:AT$106,$AC47),1),IF($AD47&gt;0,INDEX(AT$7:AT$106,$AD47),1),IF($AE47&gt;0,INDEX(AT$7:AT$106,$AE47),1),IF($AF47&gt;0,INDEX(AT$7:AT$106,$AF47),1),IF($AG47&gt;0,INDEX(AT$7:AT$106,$AG47),1),IF($AH47&gt;0,INDEX(AT$7:AT$106,$AH47),1),IF($AI47&gt;0,INDEX(AT$7:AT$106,$AI47),1),IF($AJ47&gt;0,INDEX(AT$7:AT$106,$AJ47),1))))</ns0:f>
        <ns0:v>0</ns0:v>
      </ns0:c>
      <ns0:c r="AV47" t="n">
        <ns0:f>IF($A47="",1,IF(AU47=1,1,--AND(IF($AC47&gt;0,INDEX(AU$7:AU$106,$AC47),1),IF($AD47&gt;0,INDEX(AU$7:AU$106,$AD47),1),IF($AE47&gt;0,INDEX(AU$7:AU$106,$AE47),1),IF($AF47&gt;0,INDEX(AU$7:AU$106,$AF47),1),IF($AG47&gt;0,INDEX(AU$7:AU$106,$AG47),1),IF($AH47&gt;0,INDEX(AU$7:AU$106,$AH47),1),IF($AI47&gt;0,INDEX(AU$7:AU$106,$AI47),1),IF($AJ47&gt;0,INDEX(AU$7:AU$106,$AJ47),1))))</ns0:f>
        <ns0:v>0</ns0:v>
      </ns0:c>
      <ns0:c r="AW47" t="n">
        <ns0:f>IF($A47="",1,IF(AV47=1,1,--AND(IF($AC47&gt;0,INDEX(AV$7:AV$106,$AC47),1),IF($AD47&gt;0,INDEX(AV$7:AV$106,$AD47),1),IF($AE47&gt;0,INDEX(AV$7:AV$106,$AE47),1),IF($AF47&gt;0,INDEX(AV$7:AV$106,$AF47),1),IF($AG47&gt;0,INDEX(AV$7:AV$106,$AG47),1),IF($AH47&gt;0,INDEX(AV$7:AV$106,$AH47),1),IF($AI47&gt;0,INDEX(AV$7:AV$106,$AI47),1),IF($AJ47&gt;0,INDEX(AV$7:AV$106,$AJ47),1))))</ns0:f>
        <ns0:v>0</ns0:v>
      </ns0:c>
      <ns0:c r="AX47" t="n">
        <ns0:f>IF($A47="",1,IF(AW47=1,1,--AND(IF($AC47&gt;0,INDEX(AW$7:AW$106,$AC47),1),IF($AD47&gt;0,INDEX(AW$7:AW$106,$AD47),1),IF($AE47&gt;0,INDEX(AW$7:AW$106,$AE47),1),IF($AF47&gt;0,INDEX(AW$7:AW$106,$AF47),1),IF($AG47&gt;0,INDEX(AW$7:AW$106,$AG47),1),IF($AH47&gt;0,INDEX(AW$7:AW$106,$AH47),1),IF($AI47&gt;0,INDEX(AW$7:AW$106,$AI47),1),IF($AJ47&gt;0,INDEX(AW$7:AW$106,$AJ47),1))))</ns0:f>
        <ns0:v>0</ns0:v>
      </ns0:c>
      <ns0:c r="AY47" t="n">
        <ns0:f>IF($A47="",1,IF(AX47=1,1,--AND(IF($AC47&gt;0,INDEX(AX$7:AX$106,$AC47),1),IF($AD47&gt;0,INDEX(AX$7:AX$106,$AD47),1),IF($AE47&gt;0,INDEX(AX$7:AX$106,$AE47),1),IF($AF47&gt;0,INDEX(AX$7:AX$106,$AF47),1),IF($AG47&gt;0,INDEX(AX$7:AX$106,$AG47),1),IF($AH47&gt;0,INDEX(AX$7:AX$106,$AH47),1),IF($AI47&gt;0,INDEX(AX$7:AX$106,$AI47),1),IF($AJ47&gt;0,INDEX(AX$7:AX$106,$AJ47),1))))</ns0:f>
        <ns0:v>0</ns0:v>
      </ns0:c>
      <ns0:c r="AZ47" t="n">
        <ns0:f>IF($A47="",1,IF(AY47=1,1,--AND(IF($AC47&gt;0,INDEX(AY$7:AY$106,$AC47),1),IF($AD47&gt;0,INDEX(AY$7:AY$106,$AD47),1),IF($AE47&gt;0,INDEX(AY$7:AY$106,$AE47),1),IF($AF47&gt;0,INDEX(AY$7:AY$106,$AF47),1),IF($AG47&gt;0,INDEX(AY$7:AY$106,$AG47),1),IF($AH47&gt;0,INDEX(AY$7:AY$106,$AH47),1),IF($AI47&gt;0,INDEX(AY$7:AY$106,$AI47),1),IF($AJ47&gt;0,INDEX(AY$7:AY$106,$AJ47),1))))</ns0:f>
        <ns0:v>0</ns0:v>
      </ns0:c>
      <ns0:c r="BA47" t="n">
        <ns0:f>IF($A47="",1,IF(AZ47=1,1,--AND(IF($AC47&gt;0,INDEX(AZ$7:AZ$106,$AC47),1),IF($AD47&gt;0,INDEX(AZ$7:AZ$106,$AD47),1),IF($AE47&gt;0,INDEX(AZ$7:AZ$106,$AE47),1),IF($AF47&gt;0,INDEX(AZ$7:AZ$106,$AF47),1),IF($AG47&gt;0,INDEX(AZ$7:AZ$106,$AG47),1),IF($AH47&gt;0,INDEX(AZ$7:AZ$106,$AH47),1),IF($AI47&gt;0,INDEX(AZ$7:AZ$106,$AI47),1),IF($AJ47&gt;0,INDEX(AZ$7:AZ$106,$AJ47),1))))</ns0:f>
        <ns0:v>0</ns0:v>
      </ns0:c>
      <ns0:c r="BB47" t="n">
        <ns0:f>IF($A47="",1,IF(BA47=1,1,--AND(IF($AC47&gt;0,INDEX(BA$7:BA$106,$AC47),1),IF($AD47&gt;0,INDEX(BA$7:BA$106,$AD47),1),IF($AE47&gt;0,INDEX(BA$7:BA$106,$AE47),1),IF($AF47&gt;0,INDEX(BA$7:BA$106,$AF47),1),IF($AG47&gt;0,INDEX(BA$7:BA$106,$AG47),1),IF($AH47&gt;0,INDEX(BA$7:BA$106,$AH47),1),IF($AI47&gt;0,INDEX(BA$7:BA$106,$AI47),1),IF($AJ47&gt;0,INDEX(BA$7:BA$106,$AJ47),1))))</ns0:f>
        <ns0:v>0</ns0:v>
      </ns0:c>
      <ns0:c r="BC47" t="n">
        <ns0:f>IF($A47="",1,IF(BB47=1,1,--AND(IF($AC47&gt;0,INDEX(BB$7:BB$106,$AC47),1),IF($AD47&gt;0,INDEX(BB$7:BB$106,$AD47),1),IF($AE47&gt;0,INDEX(BB$7:BB$106,$AE47),1),IF($AF47&gt;0,INDEX(BB$7:BB$106,$AF47),1),IF($AG47&gt;0,INDEX(BB$7:BB$106,$AG47),1),IF($AH47&gt;0,INDEX(BB$7:BB$106,$AH47),1),IF($AI47&gt;0,INDEX(BB$7:BB$106,$AI47),1),IF($AJ47&gt;0,INDEX(BB$7:BB$106,$AJ47),1))))</ns0:f>
        <ns0:v>0</ns0:v>
      </ns0:c>
      <ns0:c r="BD47" t="n">
        <ns0:f>IF($A47="",1,IF(BC47=1,1,--AND(IF($AC47&gt;0,INDEX(BC$7:BC$106,$AC47),1),IF($AD47&gt;0,INDEX(BC$7:BC$106,$AD47),1),IF($AE47&gt;0,INDEX(BC$7:BC$106,$AE47),1),IF($AF47&gt;0,INDEX(BC$7:BC$106,$AF47),1),IF($AG47&gt;0,INDEX(BC$7:BC$106,$AG47),1),IF($AH47&gt;0,INDEX(BC$7:BC$106,$AH47),1),IF($AI47&gt;0,INDEX(BC$7:BC$106,$AI47),1),IF($AJ47&gt;0,INDEX(BC$7:BC$106,$AJ47),1))))</ns0:f>
        <ns0:v>0</ns0:v>
      </ns0:c>
      <ns0:c r="BE47" t="n">
        <ns0:f>IF($A47="",1,IF(BD47=1,1,--AND(IF($AC47&gt;0,INDEX(BD$7:BD$106,$AC47),1),IF($AD47&gt;0,INDEX(BD$7:BD$106,$AD47),1),IF($AE47&gt;0,INDEX(BD$7:BD$106,$AE47),1),IF($AF47&gt;0,INDEX(BD$7:BD$106,$AF47),1),IF($AG47&gt;0,INDEX(BD$7:BD$106,$AG47),1),IF($AH47&gt;0,INDEX(BD$7:BD$106,$AH47),1),IF($AI47&gt;0,INDEX(BD$7:BD$106,$AI47),1),IF($AJ47&gt;0,INDEX(BD$7:BD$106,$AJ47),1))))</ns0:f>
        <ns0:v>0</ns0:v>
      </ns0:c>
      <ns0:c r="BF47" t="n">
        <ns0:f>IF($A47="",1,IF(BE47=1,1,--AND(IF($AC47&gt;0,INDEX(BE$7:BE$106,$AC47),1),IF($AD47&gt;0,INDEX(BE$7:BE$106,$AD47),1),IF($AE47&gt;0,INDEX(BE$7:BE$106,$AE47),1),IF($AF47&gt;0,INDEX(BE$7:BE$106,$AF47),1),IF($AG47&gt;0,INDEX(BE$7:BE$106,$AG47),1),IF($AH47&gt;0,INDEX(BE$7:BE$106,$AH47),1),IF($AI47&gt;0,INDEX(BE$7:BE$106,$AI47),1),IF($AJ47&gt;0,INDEX(BE$7:BE$106,$AJ47),1))))</ns0:f>
        <ns0:v>0</ns0:v>
      </ns0:c>
      <ns0:c r="BG47" t="n">
        <ns0:f>IF($A47="",1,IF(BF47=1,1,--AND(IF($AC47&gt;0,INDEX(BF$7:BF$106,$AC47),1),IF($AD47&gt;0,INDEX(BF$7:BF$106,$AD47),1),IF($AE47&gt;0,INDEX(BF$7:BF$106,$AE47),1),IF($AF47&gt;0,INDEX(BF$7:BF$106,$AF47),1),IF($AG47&gt;0,INDEX(BF$7:BF$106,$AG47),1),IF($AH47&gt;0,INDEX(BF$7:BF$106,$AH47),1),IF($AI47&gt;0,INDEX(BF$7:BF$106,$AI47),1),IF($AJ47&gt;0,INDEX(BF$7:BF$106,$AJ47),1))))</ns0:f>
        <ns0:v>0</ns0:v>
      </ns0:c>
      <ns0:c r="BH47" t="n">
        <ns0:f>IF($A47="",1,IF(BG47=1,1,--AND(IF($AC47&gt;0,INDEX(BG$7:BG$106,$AC47),1),IF($AD47&gt;0,INDEX(BG$7:BG$106,$AD47),1),IF($AE47&gt;0,INDEX(BG$7:BG$106,$AE47),1),IF($AF47&gt;0,INDEX(BG$7:BG$106,$AF47),1),IF($AG47&gt;0,INDEX(BG$7:BG$106,$AG47),1),IF($AH47&gt;0,INDEX(BG$7:BG$106,$AH47),1),IF($AI47&gt;0,INDEX(BG$7:BG$106,$AI47),1),IF($AJ47&gt;0,INDEX(BG$7:BG$106,$AJ47),1))))</ns0:f>
        <ns0:v>0</ns0:v>
      </ns0:c>
      <ns0:c r="BI47" t="n">
        <ns0:f>IF($A47="",1,IF(BH47=1,1,--AND(IF($AC47&gt;0,INDEX(BH$7:BH$106,$AC47),1),IF($AD47&gt;0,INDEX(BH$7:BH$106,$AD47),1),IF($AE47&gt;0,INDEX(BH$7:BH$106,$AE47),1),IF($AF47&gt;0,INDEX(BH$7:BH$106,$AF47),1),IF($AG47&gt;0,INDEX(BH$7:BH$106,$AG47),1),IF($AH47&gt;0,INDEX(BH$7:BH$106,$AH47),1),IF($AI47&gt;0,INDEX(BH$7:BH$106,$AI47),1),IF($AJ47&gt;0,INDEX(BH$7:BH$106,$AJ47),1))))</ns0:f>
        <ns0:v>0</ns0:v>
      </ns0:c>
      <ns0:c r="BJ47" t="n">
        <ns0:f>IF($A47="",1,IF(BI47=1,1,--AND(IF($AC47&gt;0,INDEX(BI$7:BI$106,$AC47),1),IF($AD47&gt;0,INDEX(BI$7:BI$106,$AD47),1),IF($AE47&gt;0,INDEX(BI$7:BI$106,$AE47),1),IF($AF47&gt;0,INDEX(BI$7:BI$106,$AF47),1),IF($AG47&gt;0,INDEX(BI$7:BI$106,$AG47),1),IF($AH47&gt;0,INDEX(BI$7:BI$106,$AH47),1),IF($AI47&gt;0,INDEX(BI$7:BI$106,$AI47),1),IF($AJ47&gt;0,INDEX(BI$7:BI$106,$AJ47),1))))</ns0:f>
        <ns0:v>0</ns0:v>
      </ns0:c>
      <ns0:c r="BK47" t="n">
        <ns0:f>IF($A47="",1,IF(BJ47=1,1,--AND(IF($AC47&gt;0,INDEX(BJ$7:BJ$106,$AC47),1),IF($AD47&gt;0,INDEX(BJ$7:BJ$106,$AD47),1),IF($AE47&gt;0,INDEX(BJ$7:BJ$106,$AE47),1),IF($AF47&gt;0,INDEX(BJ$7:BJ$106,$AF47),1),IF($AG47&gt;0,INDEX(BJ$7:BJ$106,$AG47),1),IF($AH47&gt;0,INDEX(BJ$7:BJ$106,$AH47),1),IF($AI47&gt;0,INDEX(BJ$7:BJ$106,$AI47),1),IF($AJ47&gt;0,INDEX(BJ$7:BJ$106,$AJ47),1))))</ns0:f>
        <ns0:v>0</ns0:v>
      </ns0:c>
      <ns0:c r="BL47" t="n">
        <ns0:f>IF($A47="",1,IF(BK47=1,1,--AND(IF($AC47&gt;0,INDEX(BK$7:BK$106,$AC47),1),IF($AD47&gt;0,INDEX(BK$7:BK$106,$AD47),1),IF($AE47&gt;0,INDEX(BK$7:BK$106,$AE47),1),IF($AF47&gt;0,INDEX(BK$7:BK$106,$AF47),1),IF($AG47&gt;0,INDEX(BK$7:BK$106,$AG47),1),IF($AH47&gt;0,INDEX(BK$7:BK$106,$AH47),1),IF($AI47&gt;0,INDEX(BK$7:BK$106,$AI47),1),IF($AJ47&gt;0,INDEX(BK$7:BK$106,$AJ47),1))))</ns0:f>
        <ns0:v>0</ns0:v>
      </ns0:c>
      <ns0:c r="BM47" t="n">
        <ns0:f>IF($A47="",1,IF(BL47=1,1,--AND(IF($AC47&gt;0,INDEX(BL$7:BL$106,$AC47),1),IF($AD47&gt;0,INDEX(BL$7:BL$106,$AD47),1),IF($AE47&gt;0,INDEX(BL$7:BL$106,$AE47),1),IF($AF47&gt;0,INDEX(BL$7:BL$106,$AF47),1),IF($AG47&gt;0,INDEX(BL$7:BL$106,$AG47),1),IF($AH47&gt;0,INDEX(BL$7:BL$106,$AH47),1),IF($AI47&gt;0,INDEX(BL$7:BL$106,$AI47),1),IF($AJ47&gt;0,INDEX(BL$7:BL$106,$AJ47),1))))</ns0:f>
        <ns0:v>1</ns0:v>
      </ns0:c>
      <ns0:c r="BN47" t="n">
        <ns0:f>IF($A47="",1,IF(BM47=1,1,--AND(IF($AC47&gt;0,INDEX(BM$7:BM$106,$AC47),1),IF($AD47&gt;0,INDEX(BM$7:BM$106,$AD47),1),IF($AE47&gt;0,INDEX(BM$7:BM$106,$AE47),1),IF($AF47&gt;0,INDEX(BM$7:BM$106,$AF47),1),IF($AG47&gt;0,INDEX(BM$7:BM$106,$AG47),1),IF($AH47&gt;0,INDEX(BM$7:BM$106,$AH47),1),IF($AI47&gt;0,INDEX(BM$7:BM$106,$AI47),1),IF($AJ47&gt;0,INDEX(BM$7:BM$106,$AJ47),1))))</ns0:f>
        <ns0:v>1</ns0:v>
      </ns0:c>
      <ns0:c r="BO47" t="n">
        <ns0:f>IF($A47="",1,IF(BN47=1,1,--AND(IF($AC47&gt;0,INDEX(BN$7:BN$106,$AC47),1),IF($AD47&gt;0,INDEX(BN$7:BN$106,$AD47),1),IF($AE47&gt;0,INDEX(BN$7:BN$106,$AE47),1),IF($AF47&gt;0,INDEX(BN$7:BN$106,$AF47),1),IF($AG47&gt;0,INDEX(BN$7:BN$106,$AG47),1),IF($AH47&gt;0,INDEX(BN$7:BN$106,$AH47),1),IF($AI47&gt;0,INDEX(BN$7:BN$106,$AI47),1),IF($AJ47&gt;0,INDEX(BN$7:BN$106,$AJ47),1))))</ns0:f>
        <ns0:v>1</ns0:v>
      </ns0:c>
      <ns0:c r="BP47" t="n">
        <ns0:f>IF($A47="",1,IF(BO47=1,1,--AND(IF($AC47&gt;0,INDEX(BO$7:BO$106,$AC47),1),IF($AD47&gt;0,INDEX(BO$7:BO$106,$AD47),1),IF($AE47&gt;0,INDEX(BO$7:BO$106,$AE47),1),IF($AF47&gt;0,INDEX(BO$7:BO$106,$AF47),1),IF($AG47&gt;0,INDEX(BO$7:BO$106,$AG47),1),IF($AH47&gt;0,INDEX(BO$7:BO$106,$AH47),1),IF($AI47&gt;0,INDEX(BO$7:BO$106,$AI47),1),IF($AJ47&gt;0,INDEX(BO$7:BO$106,$AJ47),1))))</ns0:f>
        <ns0:v>1</ns0:v>
      </ns0:c>
      <ns0:c r="BQ47" t="n">
        <ns0:f>IF($A47="",1,IF(BP47=1,1,--AND(IF($AC47&gt;0,INDEX(BP$7:BP$106,$AC47),1),IF($AD47&gt;0,INDEX(BP$7:BP$106,$AD47),1),IF($AE47&gt;0,INDEX(BP$7:BP$106,$AE47),1),IF($AF47&gt;0,INDEX(BP$7:BP$106,$AF47),1),IF($AG47&gt;0,INDEX(BP$7:BP$106,$AG47),1),IF($AH47&gt;0,INDEX(BP$7:BP$106,$AH47),1),IF($AI47&gt;0,INDEX(BP$7:BP$106,$AI47),1),IF($AJ47&gt;0,INDEX(BP$7:BP$106,$AJ47),1))))</ns0:f>
        <ns0:v>1</ns0:v>
      </ns0:c>
      <ns0:c r="BR47" t="n">
        <ns0:f>IF($A47="",1,IF(BQ47=1,1,--AND(IF($AC47&gt;0,INDEX(BQ$7:BQ$106,$AC47),1),IF($AD47&gt;0,INDEX(BQ$7:BQ$106,$AD47),1),IF($AE47&gt;0,INDEX(BQ$7:BQ$106,$AE47),1),IF($AF47&gt;0,INDEX(BQ$7:BQ$106,$AF47),1),IF($AG47&gt;0,INDEX(BQ$7:BQ$106,$AG47),1),IF($AH47&gt;0,INDEX(BQ$7:BQ$106,$AH47),1),IF($AI47&gt;0,INDEX(BQ$7:BQ$106,$AI47),1),IF($AJ47&gt;0,INDEX(BQ$7:BQ$106,$AJ47),1))))</ns0:f>
        <ns0:v>1</ns0:v>
      </ns0:c>
      <ns0:c r="BS47" t="n">
        <ns0:f>IF($A47="",1,IF(BR47=1,1,--AND(IF($AC47&gt;0,INDEX(BR$7:BR$106,$AC47),1),IF($AD47&gt;0,INDEX(BR$7:BR$106,$AD47),1),IF($AE47&gt;0,INDEX(BR$7:BR$106,$AE47),1),IF($AF47&gt;0,INDEX(BR$7:BR$106,$AF47),1),IF($AG47&gt;0,INDEX(BR$7:BR$106,$AG47),1),IF($AH47&gt;0,INDEX(BR$7:BR$106,$AH47),1),IF($AI47&gt;0,INDEX(BR$7:BR$106,$AI47),1),IF($AJ47&gt;0,INDEX(BR$7:BR$106,$AJ47),1))))</ns0:f>
        <ns0:v>1</ns0:v>
      </ns0:c>
      <ns0:c r="BT47" t="n">
        <ns0:f>IF($A47="",1,IF(BS47=1,1,--AND(IF($AC47&gt;0,INDEX(BS$7:BS$106,$AC47),1),IF($AD47&gt;0,INDEX(BS$7:BS$106,$AD47),1),IF($AE47&gt;0,INDEX(BS$7:BS$106,$AE47),1),IF($AF47&gt;0,INDEX(BS$7:BS$106,$AF47),1),IF($AG47&gt;0,INDEX(BS$7:BS$106,$AG47),1),IF($AH47&gt;0,INDEX(BS$7:BS$106,$AH47),1),IF($AI47&gt;0,INDEX(BS$7:BS$106,$AI47),1),IF($AJ47&gt;0,INDEX(BS$7:BS$106,$AJ47),1))))</ns0:f>
        <ns0:v>1</ns0:v>
      </ns0:c>
      <ns0:c r="BU47" t="n">
        <ns0:f>IF($A47="",1,IF(BT47=1,1,--AND(IF($AC47&gt;0,INDEX(BT$7:BT$106,$AC47),1),IF($AD47&gt;0,INDEX(BT$7:BT$106,$AD47),1),IF($AE47&gt;0,INDEX(BT$7:BT$106,$AE47),1),IF($AF47&gt;0,INDEX(BT$7:BT$106,$AF47),1),IF($AG47&gt;0,INDEX(BT$7:BT$106,$AG47),1),IF($AH47&gt;0,INDEX(BT$7:BT$106,$AH47),1),IF($AI47&gt;0,INDEX(BT$7:BT$106,$AI47),1),IF($AJ47&gt;0,INDEX(BT$7:BT$106,$AJ47),1))))</ns0:f>
        <ns0:v>1</ns0:v>
      </ns0:c>
      <ns0:c r="BV47" t="n">
        <ns0:f>IF($A47="",1,IF(BU47=1,1,--AND(IF($AC47&gt;0,INDEX(BU$7:BU$106,$AC47),1),IF($AD47&gt;0,INDEX(BU$7:BU$106,$AD47),1),IF($AE47&gt;0,INDEX(BU$7:BU$106,$AE47),1),IF($AF47&gt;0,INDEX(BU$7:BU$106,$AF47),1),IF($AG47&gt;0,INDEX(BU$7:BU$106,$AG47),1),IF($AH47&gt;0,INDEX(BU$7:BU$106,$AH47),1),IF($AI47&gt;0,INDEX(BU$7:BU$106,$AI47),1),IF($AJ47&gt;0,INDEX(BU$7:BU$106,$AJ47),1))))</ns0:f>
        <ns0:v>1</ns0:v>
      </ns0:c>
      <ns0:c r="BW47" t="n">
        <ns0:f>IF($A47="",1,IF(BV47=1,1,--AND(IF($AC47&gt;0,INDEX(BV$7:BV$106,$AC47),1),IF($AD47&gt;0,INDEX(BV$7:BV$106,$AD47),1),IF($AE47&gt;0,INDEX(BV$7:BV$106,$AE47),1),IF($AF47&gt;0,INDEX(BV$7:BV$106,$AF47),1),IF($AG47&gt;0,INDEX(BV$7:BV$106,$AG47),1),IF($AH47&gt;0,INDEX(BV$7:BV$106,$AH47),1),IF($AI47&gt;0,INDEX(BV$7:BV$106,$AI47),1),IF($AJ47&gt;0,INDEX(BV$7:BV$106,$AJ47),1))))</ns0:f>
        <ns0:v>1</ns0:v>
      </ns0:c>
      <ns0:c r="BX47" t="n">
        <ns0:f>IF($A47="",1,IF(BW47=1,1,--AND(IF($AC47&gt;0,INDEX(BW$7:BW$106,$AC47),1),IF($AD47&gt;0,INDEX(BW$7:BW$106,$AD47),1),IF($AE47&gt;0,INDEX(BW$7:BW$106,$AE47),1),IF($AF47&gt;0,INDEX(BW$7:BW$106,$AF47),1),IF($AG47&gt;0,INDEX(BW$7:BW$106,$AG47),1),IF($AH47&gt;0,INDEX(BW$7:BW$106,$AH47),1),IF($AI47&gt;0,INDEX(BW$7:BW$106,$AI47),1),IF($AJ47&gt;0,INDEX(BW$7:BW$106,$AJ47),1))))</ns0:f>
        <ns0:v>1</ns0:v>
      </ns0:c>
      <ns0:c r="BY47" t="n">
        <ns0:f>IF($A47="",1,IF(BX47=1,1,--AND(IF($AC47&gt;0,INDEX(BX$7:BX$106,$AC47),1),IF($AD47&gt;0,INDEX(BX$7:BX$106,$AD47),1),IF($AE47&gt;0,INDEX(BX$7:BX$106,$AE47),1),IF($AF47&gt;0,INDEX(BX$7:BX$106,$AF47),1),IF($AG47&gt;0,INDEX(BX$7:BX$106,$AG47),1),IF($AH47&gt;0,INDEX(BX$7:BX$106,$AH47),1),IF($AI47&gt;0,INDEX(BX$7:BX$106,$AI47),1),IF($AJ47&gt;0,INDEX(BX$7:BX$106,$AJ47),1))))</ns0:f>
        <ns0:v>1</ns0:v>
      </ns0:c>
      <ns0:c r="BZ47" t="n">
        <ns0:f>IF($A47="",1,IF(BY47=1,1,--AND(IF($AC47&gt;0,INDEX(BY$7:BY$106,$AC47),1),IF($AD47&gt;0,INDEX(BY$7:BY$106,$AD47),1),IF($AE47&gt;0,INDEX(BY$7:BY$106,$AE47),1),IF($AF47&gt;0,INDEX(BY$7:BY$106,$AF47),1),IF($AG47&gt;0,INDEX(BY$7:BY$106,$AG47),1),IF($AH47&gt;0,INDEX(BY$7:BY$106,$AH47),1),IF($AI47&gt;0,INDEX(BY$7:BY$106,$AI47),1),IF($AJ47&gt;0,INDEX(BY$7:BY$106,$AJ47),1))))</ns0:f>
        <ns0:v>1</ns0:v>
      </ns0:c>
      <ns0:c r="CA47" t="n">
        <ns0:f>IF($A47="",1,IF(BZ47=1,1,--AND(IF($AC47&gt;0,INDEX(BZ$7:BZ$106,$AC47),1),IF($AD47&gt;0,INDEX(BZ$7:BZ$106,$AD47),1),IF($AE47&gt;0,INDEX(BZ$7:BZ$106,$AE47),1),IF($AF47&gt;0,INDEX(BZ$7:BZ$106,$AF47),1),IF($AG47&gt;0,INDEX(BZ$7:BZ$106,$AG47),1),IF($AH47&gt;0,INDEX(BZ$7:BZ$106,$AH47),1),IF($AI47&gt;0,INDEX(BZ$7:BZ$106,$AI47),1),IF($AJ47&gt;0,INDEX(BZ$7:BZ$106,$AJ47),1))))</ns0:f>
        <ns0:v>1</ns0:v>
      </ns0:c>
      <ns0:c r="CB47" t="n">
        <ns0:f>IF($A47="",1,IF(CA47=1,1,--AND(IF($AC47&gt;0,INDEX(CA$7:CA$106,$AC47),1),IF($AD47&gt;0,INDEX(CA$7:CA$106,$AD47),1),IF($AE47&gt;0,INDEX(CA$7:CA$106,$AE47),1),IF($AF47&gt;0,INDEX(CA$7:CA$106,$AF47),1),IF($AG47&gt;0,INDEX(CA$7:CA$106,$AG47),1),IF($AH47&gt;0,INDEX(CA$7:CA$106,$AH47),1),IF($AI47&gt;0,INDEX(CA$7:CA$106,$AI47),1),IF($AJ47&gt;0,INDEX(CA$7:CA$106,$AJ47),1))))</ns0:f>
        <ns0:v>1</ns0:v>
      </ns0:c>
      <ns0:c r="CC47" t="n">
        <ns0:f>IF($A47="",1,IF(CB47=1,1,--AND(IF($AC47&gt;0,INDEX(CB$7:CB$106,$AC47),1),IF($AD47&gt;0,INDEX(CB$7:CB$106,$AD47),1),IF($AE47&gt;0,INDEX(CB$7:CB$106,$AE47),1),IF($AF47&gt;0,INDEX(CB$7:CB$106,$AF47),1),IF($AG47&gt;0,INDEX(CB$7:CB$106,$AG47),1),IF($AH47&gt;0,INDEX(CB$7:CB$106,$AH47),1),IF($AI47&gt;0,INDEX(CB$7:CB$106,$AI47),1),IF($AJ47&gt;0,INDEX(CB$7:CB$106,$AJ47),1))))</ns0:f>
        <ns0:v>1</ns0:v>
      </ns0:c>
      <ns0:c r="CD47" t="n">
        <ns0:f>IF($A47="",1,IF(CC47=1,1,--AND(IF($AC47&gt;0,INDEX(CC$7:CC$106,$AC47),1),IF($AD47&gt;0,INDEX(CC$7:CC$106,$AD47),1),IF($AE47&gt;0,INDEX(CC$7:CC$106,$AE47),1),IF($AF47&gt;0,INDEX(CC$7:CC$106,$AF47),1),IF($AG47&gt;0,INDEX(CC$7:CC$106,$AG47),1),IF($AH47&gt;0,INDEX(CC$7:CC$106,$AH47),1),IF($AI47&gt;0,INDEX(CC$7:CC$106,$AI47),1),IF($AJ47&gt;0,INDEX(CC$7:CC$106,$AJ47),1))))</ns0:f>
        <ns0:v>1</ns0:v>
      </ns0:c>
      <ns0:c r="CE47" t="n">
        <ns0:f>IF($A47="",1,IF(CD47=1,1,--AND(IF($AC47&gt;0,INDEX(CD$7:CD$106,$AC47),1),IF($AD47&gt;0,INDEX(CD$7:CD$106,$AD47),1),IF($AE47&gt;0,INDEX(CD$7:CD$106,$AE47),1),IF($AF47&gt;0,INDEX(CD$7:CD$106,$AF47),1),IF($AG47&gt;0,INDEX(CD$7:CD$106,$AG47),1),IF($AH47&gt;0,INDEX(CD$7:CD$106,$AH47),1),IF($AI47&gt;0,INDEX(CD$7:CD$106,$AI47),1),IF($AJ47&gt;0,INDEX(CD$7:CD$106,$AJ47),1))))</ns0:f>
        <ns0:v>1</ns0:v>
      </ns0:c>
      <ns0:c r="CF47" t="n">
        <ns0:f>IF($A47="",1,IF(CE47=1,1,--AND(IF($AC47&gt;0,INDEX(CE$7:CE$106,$AC47),1),IF($AD47&gt;0,INDEX(CE$7:CE$106,$AD47),1),IF($AE47&gt;0,INDEX(CE$7:CE$106,$AE47),1),IF($AF47&gt;0,INDEX(CE$7:CE$106,$AF47),1),IF($AG47&gt;0,INDEX(CE$7:CE$106,$AG47),1),IF($AH47&gt;0,INDEX(CE$7:CE$106,$AH47),1),IF($AI47&gt;0,INDEX(CE$7:CE$106,$AI47),1),IF($AJ47&gt;0,INDEX(CE$7:CE$106,$AJ47),1))))</ns0:f>
        <ns0:v>1</ns0:v>
      </ns0:c>
      <ns0:c r="CG47" t="n">
        <ns0:f>IF($A47="",1,IF(CF47=1,1,--AND(IF($AC47&gt;0,INDEX(CF$7:CF$106,$AC47),1),IF($AD47&gt;0,INDEX(CF$7:CF$106,$AD47),1),IF($AE47&gt;0,INDEX(CF$7:CF$106,$AE47),1),IF($AF47&gt;0,INDEX(CF$7:CF$106,$AF47),1),IF($AG47&gt;0,INDEX(CF$7:CF$106,$AG47),1),IF($AH47&gt;0,INDEX(CF$7:CF$106,$AH47),1),IF($AI47&gt;0,INDEX(CF$7:CF$106,$AI47),1),IF($AJ47&gt;0,INDEX(CF$7:CF$106,$AJ47),1))))</ns0:f>
        <ns0:v>1</ns0:v>
      </ns0:c>
      <ns0:c r="CH47" t="n">
        <ns0:f>IF($A47="",1,IF(CG47=1,1,--AND(IF($AC47&gt;0,INDEX(CG$7:CG$106,$AC47),1),IF($AD47&gt;0,INDEX(CG$7:CG$106,$AD47),1),IF($AE47&gt;0,INDEX(CG$7:CG$106,$AE47),1),IF($AF47&gt;0,INDEX(CG$7:CG$106,$AF47),1),IF($AG47&gt;0,INDEX(CG$7:CG$106,$AG47),1),IF($AH47&gt;0,INDEX(CG$7:CG$106,$AH47),1),IF($AI47&gt;0,INDEX(CG$7:CG$106,$AI47),1),IF($AJ47&gt;0,INDEX(CG$7:CG$106,$AJ47),1))))</ns0:f>
        <ns0:v>1</ns0:v>
      </ns0:c>
      <ns0:c r="CI47" t="n">
        <ns0:f>IF($A47="",1,IF(CH47=1,1,--AND(IF($AC47&gt;0,INDEX(CH$7:CH$106,$AC47),1),IF($AD47&gt;0,INDEX(CH$7:CH$106,$AD47),1),IF($AE47&gt;0,INDEX(CH$7:CH$106,$AE47),1),IF($AF47&gt;0,INDEX(CH$7:CH$106,$AF47),1),IF($AG47&gt;0,INDEX(CH$7:CH$106,$AG47),1),IF($AH47&gt;0,INDEX(CH$7:CH$106,$AH47),1),IF($AI47&gt;0,INDEX(CH$7:CH$106,$AI47),1),IF($AJ47&gt;0,INDEX(CH$7:CH$106,$AJ47),1))))</ns0:f>
        <ns0:v>1</ns0:v>
      </ns0:c>
      <ns0:c r="CJ47" t="n">
        <ns0:f>IF($A47="",1,IF(CI47=1,1,--AND(IF($AC47&gt;0,INDEX(CI$7:CI$106,$AC47),1),IF($AD47&gt;0,INDEX(CI$7:CI$106,$AD47),1),IF($AE47&gt;0,INDEX(CI$7:CI$106,$AE47),1),IF($AF47&gt;0,INDEX(CI$7:CI$106,$AF47),1),IF($AG47&gt;0,INDEX(CI$7:CI$106,$AG47),1),IF($AH47&gt;0,INDEX(CI$7:CI$106,$AH47),1),IF($AI47&gt;0,INDEX(CI$7:CI$106,$AI47),1),IF($AJ47&gt;0,INDEX(CI$7:CI$106,$AJ47),1))))</ns0:f>
        <ns0:v>1</ns0:v>
      </ns0:c>
      <ns0:c r="CK47" t="n">
        <ns0:f>IF($A47="",1,IF(CJ47=1,1,--AND(IF($AC47&gt;0,INDEX(CJ$7:CJ$106,$AC47),1),IF($AD47&gt;0,INDEX(CJ$7:CJ$106,$AD47),1),IF($AE47&gt;0,INDEX(CJ$7:CJ$106,$AE47),1),IF($AF47&gt;0,INDEX(CJ$7:CJ$106,$AF47),1),IF($AG47&gt;0,INDEX(CJ$7:CJ$106,$AG47),1),IF($AH47&gt;0,INDEX(CJ$7:CJ$106,$AH47),1),IF($AI47&gt;0,INDEX(CJ$7:CJ$106,$AI47),1),IF($AJ47&gt;0,INDEX(CJ$7:CJ$106,$AJ47),1))))</ns0:f>
        <ns0:v>1</ns0:v>
      </ns0:c>
      <ns0:c r="CL47" t="n">
        <ns0:f>IF($A47="",1,IF(CK47=1,1,--AND(IF($AC47&gt;0,INDEX(CK$7:CK$106,$AC47),1),IF($AD47&gt;0,INDEX(CK$7:CK$106,$AD47),1),IF($AE47&gt;0,INDEX(CK$7:CK$106,$AE47),1),IF($AF47&gt;0,INDEX(CK$7:CK$106,$AF47),1),IF($AG47&gt;0,INDEX(CK$7:CK$106,$AG47),1),IF($AH47&gt;0,INDEX(CK$7:CK$106,$AH47),1),IF($AI47&gt;0,INDEX(CK$7:CK$106,$AI47),1),IF($AJ47&gt;0,INDEX(CK$7:CK$106,$AJ47),1))))</ns0:f>
        <ns0:v>1</ns0:v>
      </ns0:c>
      <ns0:c r="CM47" t="n">
        <ns0:f>IF($A47="",1,IF(CL47=1,1,--AND(IF($AC47&gt;0,INDEX(CL$7:CL$106,$AC47),1),IF($AD47&gt;0,INDEX(CL$7:CL$106,$AD47),1),IF($AE47&gt;0,INDEX(CL$7:CL$106,$AE47),1),IF($AF47&gt;0,INDEX(CL$7:CL$106,$AF47),1),IF($AG47&gt;0,INDEX(CL$7:CL$106,$AG47),1),IF($AH47&gt;0,INDEX(CL$7:CL$106,$AH47),1),IF($AI47&gt;0,INDEX(CL$7:CL$106,$AI47),1),IF($AJ47&gt;0,INDEX(CL$7:CL$106,$AJ47),1))))</ns0:f>
        <ns0:v>1</ns0:v>
      </ns0:c>
      <ns0:c r="CN47" t="n">
        <ns0:f>IF($A47="",1,IF(CM47=1,1,--AND(IF($AC47&gt;0,INDEX(CM$7:CM$106,$AC47),1),IF($AD47&gt;0,INDEX(CM$7:CM$106,$AD47),1),IF($AE47&gt;0,INDEX(CM$7:CM$106,$AE47),1),IF($AF47&gt;0,INDEX(CM$7:CM$106,$AF47),1),IF($AG47&gt;0,INDEX(CM$7:CM$106,$AG47),1),IF($AH47&gt;0,INDEX(CM$7:CM$106,$AH47),1),IF($AI47&gt;0,INDEX(CM$7:CM$106,$AI47),1),IF($AJ47&gt;0,INDEX(CM$7:CM$106,$AJ47),1))))</ns0:f>
        <ns0:v>1</ns0:v>
      </ns0:c>
      <ns0:c r="CO47" t="n">
        <ns0:f>IF($A47="",1,IF(CN47=1,1,--AND(IF($AC47&gt;0,INDEX(CN$7:CN$106,$AC47),1),IF($AD47&gt;0,INDEX(CN$7:CN$106,$AD47),1),IF($AE47&gt;0,INDEX(CN$7:CN$106,$AE47),1),IF($AF47&gt;0,INDEX(CN$7:CN$106,$AF47),1),IF($AG47&gt;0,INDEX(CN$7:CN$106,$AG47),1),IF($AH47&gt;0,INDEX(CN$7:CN$106,$AH47),1),IF($AI47&gt;0,INDEX(CN$7:CN$106,$AI47),1),IF($AJ47&gt;0,INDEX(CN$7:CN$106,$AJ47),1))))</ns0:f>
        <ns0:v>1</ns0:v>
      </ns0:c>
      <ns0:c r="CP47" t="n">
        <ns0:f>IF($A47="",1,IF(CO47=1,1,--AND(IF($AC47&gt;0,INDEX(CO$7:CO$106,$AC47),1),IF($AD47&gt;0,INDEX(CO$7:CO$106,$AD47),1),IF($AE47&gt;0,INDEX(CO$7:CO$106,$AE47),1),IF($AF47&gt;0,INDEX(CO$7:CO$106,$AF47),1),IF($AG47&gt;0,INDEX(CO$7:CO$106,$AG47),1),IF($AH47&gt;0,INDEX(CO$7:CO$106,$AH47),1),IF($AI47&gt;0,INDEX(CO$7:CO$106,$AI47),1),IF($AJ47&gt;0,INDEX(CO$7:CO$106,$AJ47),1))))</ns0:f>
        <ns0:v>1</ns0:v>
      </ns0:c>
      <ns0:c r="CQ47" t="n">
        <ns0:f>IF($A47="",1,IF(CP47=1,1,--AND(IF($AC47&gt;0,INDEX(CP$7:CP$106,$AC47),1),IF($AD47&gt;0,INDEX(CP$7:CP$106,$AD47),1),IF($AE47&gt;0,INDEX(CP$7:CP$106,$AE47),1),IF($AF47&gt;0,INDEX(CP$7:CP$106,$AF47),1),IF($AG47&gt;0,INDEX(CP$7:CP$106,$AG47),1),IF($AH47&gt;0,INDEX(CP$7:CP$106,$AH47),1),IF($AI47&gt;0,INDEX(CP$7:CP$106,$AI47),1),IF($AJ47&gt;0,INDEX(CP$7:CP$106,$AJ47),1))))</ns0:f>
        <ns0:v>1</ns0:v>
      </ns0:c>
      <ns0:c r="CR47" t="n">
        <ns0:f>IF($A47="",1,IF(CQ47=1,1,--AND(IF($AC47&gt;0,INDEX(CQ$7:CQ$106,$AC47),1),IF($AD47&gt;0,INDEX(CQ$7:CQ$106,$AD47),1),IF($AE47&gt;0,INDEX(CQ$7:CQ$106,$AE47),1),IF($AF47&gt;0,INDEX(CQ$7:CQ$106,$AF47),1),IF($AG47&gt;0,INDEX(CQ$7:CQ$106,$AG47),1),IF($AH47&gt;0,INDEX(CQ$7:CQ$106,$AH47),1),IF($AI47&gt;0,INDEX(CQ$7:CQ$106,$AI47),1),IF($AJ47&gt;0,INDEX(CQ$7:CQ$106,$AJ47),1))))</ns0:f>
        <ns0:v>1</ns0:v>
      </ns0:c>
      <ns0:c r="CS47" t="n">
        <ns0:f>IF($A47="",1,IF(CR47=1,1,--AND(IF($AC47&gt;0,INDEX(CR$7:CR$106,$AC47),1),IF($AD47&gt;0,INDEX(CR$7:CR$106,$AD47),1),IF($AE47&gt;0,INDEX(CR$7:CR$106,$AE47),1),IF($AF47&gt;0,INDEX(CR$7:CR$106,$AF47),1),IF($AG47&gt;0,INDEX(CR$7:CR$106,$AG47),1),IF($AH47&gt;0,INDEX(CR$7:CR$106,$AH47),1),IF($AI47&gt;0,INDEX(CR$7:CR$106,$AI47),1),IF($AJ47&gt;0,INDEX(CR$7:CR$106,$AJ47),1))))</ns0:f>
        <ns0:v>1</ns0:v>
      </ns0:c>
      <ns0:c r="CT47" t="n">
        <ns0:f>IF($A47="",1,IF(CS47=1,1,--AND(IF($AC47&gt;0,INDEX(CS$7:CS$106,$AC47),1),IF($AD47&gt;0,INDEX(CS$7:CS$106,$AD47),1),IF($AE47&gt;0,INDEX(CS$7:CS$106,$AE47),1),IF($AF47&gt;0,INDEX(CS$7:CS$106,$AF47),1),IF($AG47&gt;0,INDEX(CS$7:CS$106,$AG47),1),IF($AH47&gt;0,INDEX(CS$7:CS$106,$AH47),1),IF($AI47&gt;0,INDEX(CS$7:CS$106,$AI47),1),IF($AJ47&gt;0,INDEX(CS$7:CS$106,$AJ47),1))))</ns0:f>
        <ns0:v>1</ns0:v>
      </ns0:c>
      <ns0:c r="CU47" t="n">
        <ns0:f>IF($A47="",1,IF(CT47=1,1,--AND(IF($AC47&gt;0,INDEX(CT$7:CT$106,$AC47),1),IF($AD47&gt;0,INDEX(CT$7:CT$106,$AD47),1),IF($AE47&gt;0,INDEX(CT$7:CT$106,$AE47),1),IF($AF47&gt;0,INDEX(CT$7:CT$106,$AF47),1),IF($AG47&gt;0,INDEX(CT$7:CT$106,$AG47),1),IF($AH47&gt;0,INDEX(CT$7:CT$106,$AH47),1),IF($AI47&gt;0,INDEX(CT$7:CT$106,$AI47),1),IF($AJ47&gt;0,INDEX(CT$7:CT$106,$AJ47),1))))</ns0:f>
        <ns0:v>1</ns0:v>
      </ns0:c>
      <ns0:c r="CV47" t="n">
        <ns0:f>IF($A47="",1,IF(CU47=1,1,--AND(IF($AC47&gt;0,INDEX(CU$7:CU$106,$AC47),1),IF($AD47&gt;0,INDEX(CU$7:CU$106,$AD47),1),IF($AE47&gt;0,INDEX(CU$7:CU$106,$AE47),1),IF($AF47&gt;0,INDEX(CU$7:CU$106,$AF47),1),IF($AG47&gt;0,INDEX(CU$7:CU$106,$AG47),1),IF($AH47&gt;0,INDEX(CU$7:CU$106,$AH47),1),IF($AI47&gt;0,INDEX(CU$7:CU$106,$AI47),1),IF($AJ47&gt;0,INDEX(CU$7:CU$106,$AJ47),1))))</ns0:f>
        <ns0:v>1</ns0:v>
      </ns0:c>
      <ns0:c r="CW47" t="n">
        <ns0:f>IF($A47="",1,IF(CV47=1,1,--AND(IF($AC47&gt;0,INDEX(CV$7:CV$106,$AC47),1),IF($AD47&gt;0,INDEX(CV$7:CV$106,$AD47),1),IF($AE47&gt;0,INDEX(CV$7:CV$106,$AE47),1),IF($AF47&gt;0,INDEX(CV$7:CV$106,$AF47),1),IF($AG47&gt;0,INDEX(CV$7:CV$106,$AG47),1),IF($AH47&gt;0,INDEX(CV$7:CV$106,$AH47),1),IF($AI47&gt;0,INDEX(CV$7:CV$106,$AI47),1),IF($AJ47&gt;0,INDEX(CV$7:CV$106,$AJ47),1))))</ns0:f>
        <ns0:v>1</ns0:v>
      </ns0:c>
      <ns0:c r="CX47" t="n">
        <ns0:f>IF($A47="",1,IF(CW47=1,1,--AND(IF($AC47&gt;0,INDEX(CW$7:CW$106,$AC47),1),IF($AD47&gt;0,INDEX(CW$7:CW$106,$AD47),1),IF($AE47&gt;0,INDEX(CW$7:CW$106,$AE47),1),IF($AF47&gt;0,INDEX(CW$7:CW$106,$AF47),1),IF($AG47&gt;0,INDEX(CW$7:CW$106,$AG47),1),IF($AH47&gt;0,INDEX(CW$7:CW$106,$AH47),1),IF($AI47&gt;0,INDEX(CW$7:CW$106,$AI47),1),IF($AJ47&gt;0,INDEX(CW$7:CW$106,$AJ47),1))))</ns0:f>
        <ns0:v>1</ns0:v>
      </ns0:c>
      <ns0:c r="CY47" t="n">
        <ns0:f>IF($A47="",1,IF(CX47=1,1,--AND(IF($AC47&gt;0,INDEX(CX$7:CX$106,$AC47),1),IF($AD47&gt;0,INDEX(CX$7:CX$106,$AD47),1),IF($AE47&gt;0,INDEX(CX$7:CX$106,$AE47),1),IF($AF47&gt;0,INDEX(CX$7:CX$106,$AF47),1),IF($AG47&gt;0,INDEX(CX$7:CX$106,$AG47),1),IF($AH47&gt;0,INDEX(CX$7:CX$106,$AH47),1),IF($AI47&gt;0,INDEX(CX$7:CX$106,$AI47),1),IF($AJ47&gt;0,INDEX(CX$7:CX$106,$AJ47),1))))</ns0:f>
        <ns0:v>1</ns0:v>
      </ns0:c>
      <ns0:c r="CZ47" t="n">
        <ns0:f>IF($A47="",1,IF(CY47=1,1,--AND(IF($AC47&gt;0,INDEX(CY$7:CY$106,$AC47),1),IF($AD47&gt;0,INDEX(CY$7:CY$106,$AD47),1),IF($AE47&gt;0,INDEX(CY$7:CY$106,$AE47),1),IF($AF47&gt;0,INDEX(CY$7:CY$106,$AF47),1),IF($AG47&gt;0,INDEX(CY$7:CY$106,$AG47),1),IF($AH47&gt;0,INDEX(CY$7:CY$106,$AH47),1),IF($AI47&gt;0,INDEX(CY$7:CY$106,$AI47),1),IF($AJ47&gt;0,INDEX(CY$7:CY$106,$AJ47),1))))</ns0:f>
        <ns0:v>1</ns0:v>
      </ns0:c>
      <ns0:c r="DA47" t="n">
        <ns0:f>IF($A47="",1,IF(CZ47=1,1,--AND(IF($AC47&gt;0,INDEX(CZ$7:CZ$106,$AC47),1),IF($AD47&gt;0,INDEX(CZ$7:CZ$106,$AD47),1),IF($AE47&gt;0,INDEX(CZ$7:CZ$106,$AE47),1),IF($AF47&gt;0,INDEX(CZ$7:CZ$106,$AF47),1),IF($AG47&gt;0,INDEX(CZ$7:CZ$106,$AG47),1),IF($AH47&gt;0,INDEX(CZ$7:CZ$106,$AH47),1),IF($AI47&gt;0,INDEX(CZ$7:CZ$106,$AI47),1),IF($AJ47&gt;0,INDEX(CZ$7:CZ$106,$AJ47),1))))</ns0:f>
        <ns0:v>1</ns0:v>
      </ns0:c>
      <ns0:c r="DB47" t="n">
        <ns0:f>IF($A47="",1,IF(DA47=1,1,--AND(IF($AC47&gt;0,INDEX(DA$7:DA$106,$AC47),1),IF($AD47&gt;0,INDEX(DA$7:DA$106,$AD47),1),IF($AE47&gt;0,INDEX(DA$7:DA$106,$AE47),1),IF($AF47&gt;0,INDEX(DA$7:DA$106,$AF47),1),IF($AG47&gt;0,INDEX(DA$7:DA$106,$AG47),1),IF($AH47&gt;0,INDEX(DA$7:DA$106,$AH47),1),IF($AI47&gt;0,INDEX(DA$7:DA$106,$AI47),1),IF($AJ47&gt;0,INDEX(DA$7:DA$106,$AJ47),1))))</ns0:f>
        <ns0:v>1</ns0:v>
      </ns0:c>
      <ns0:c r="DC47" t="n">
        <ns0:f>IF($A47="",1,IF(DB47=1,1,--AND(IF($AC47&gt;0,INDEX(DB$7:DB$106,$AC47),1),IF($AD47&gt;0,INDEX(DB$7:DB$106,$AD47),1),IF($AE47&gt;0,INDEX(DB$7:DB$106,$AE47),1),IF($AF47&gt;0,INDEX(DB$7:DB$106,$AF47),1),IF($AG47&gt;0,INDEX(DB$7:DB$106,$AG47),1),IF($AH47&gt;0,INDEX(DB$7:DB$106,$AH47),1),IF($AI47&gt;0,INDEX(DB$7:DB$106,$AI47),1),IF($AJ47&gt;0,INDEX(DB$7:DB$106,$AJ47),1))))</ns0:f>
        <ns0:v>1</ns0:v>
      </ns0:c>
      <ns0:c r="DD47" t="n">
        <ns0:f>IF($A47="",1,IF(DC47=1,1,--AND(IF($AC47&gt;0,INDEX(DC$7:DC$106,$AC47),1),IF($AD47&gt;0,INDEX(DC$7:DC$106,$AD47),1),IF($AE47&gt;0,INDEX(DC$7:DC$106,$AE47),1),IF($AF47&gt;0,INDEX(DC$7:DC$106,$AF47),1),IF($AG47&gt;0,INDEX(DC$7:DC$106,$AG47),1),IF($AH47&gt;0,INDEX(DC$7:DC$106,$AH47),1),IF($AI47&gt;0,INDEX(DC$7:DC$106,$AI47),1),IF($AJ47&gt;0,INDEX(DC$7:DC$106,$AJ47),1))))</ns0:f>
        <ns0:v>1</ns0:v>
      </ns0:c>
      <ns0:c r="DE47" t="n">
        <ns0:f>IF($A47="",1,IF(DD47=1,1,--AND(IF($AC47&gt;0,INDEX(DD$7:DD$106,$AC47),1),IF($AD47&gt;0,INDEX(DD$7:DD$106,$AD47),1),IF($AE47&gt;0,INDEX(DD$7:DD$106,$AE47),1),IF($AF47&gt;0,INDEX(DD$7:DD$106,$AF47),1),IF($AG47&gt;0,INDEX(DD$7:DD$106,$AG47),1),IF($AH47&gt;0,INDEX(DD$7:DD$106,$AH47),1),IF($AI47&gt;0,INDEX(DD$7:DD$106,$AI47),1),IF($AJ47&gt;0,INDEX(DD$7:DD$106,$AJ47),1))))</ns0:f>
        <ns0:v>1</ns0:v>
      </ns0:c>
      <ns0:c r="DF47" t="n">
        <ns0:f>IF($A47="",1,IF(DE47=1,1,--AND(IF($AC47&gt;0,INDEX(DE$7:DE$106,$AC47),1),IF($AD47&gt;0,INDEX(DE$7:DE$106,$AD47),1),IF($AE47&gt;0,INDEX(DE$7:DE$106,$AE47),1),IF($AF47&gt;0,INDEX(DE$7:DE$106,$AF47),1),IF($AG47&gt;0,INDEX(DE$7:DE$106,$AG47),1),IF($AH47&gt;0,INDEX(DE$7:DE$106,$AH47),1),IF($AI47&gt;0,INDEX(DE$7:DE$106,$AI47),1),IF($AJ47&gt;0,INDEX(DE$7:DE$106,$AJ47),1))))</ns0:f>
        <ns0:v>1</ns0:v>
      </ns0:c>
      <ns0:c r="DG47" t="n">
        <ns0:f>IF($A47="",1,IF(DF47=1,1,--AND(IF($AC47&gt;0,INDEX(DF$7:DF$106,$AC47),1),IF($AD47&gt;0,INDEX(DF$7:DF$106,$AD47),1),IF($AE47&gt;0,INDEX(DF$7:DF$106,$AE47),1),IF($AF47&gt;0,INDEX(DF$7:DF$106,$AF47),1),IF($AG47&gt;0,INDEX(DF$7:DF$106,$AG47),1),IF($AH47&gt;0,INDEX(DF$7:DF$106,$AH47),1),IF($AI47&gt;0,INDEX(DF$7:DF$106,$AI47),1),IF($AJ47&gt;0,INDEX(DF$7:DF$106,$AJ47),1))))</ns0:f>
        <ns0:v>1</ns0:v>
      </ns0:c>
      <ns0:c r="DH47" t="n">
        <ns0:f>IF($A47="",1,IF(DG47=1,1,--AND(IF($AC47&gt;0,INDEX(DG$7:DG$106,$AC47),1),IF($AD47&gt;0,INDEX(DG$7:DG$106,$AD47),1),IF($AE47&gt;0,INDEX(DG$7:DG$106,$AE47),1),IF($AF47&gt;0,INDEX(DG$7:DG$106,$AF47),1),IF($AG47&gt;0,INDEX(DG$7:DG$106,$AG47),1),IF($AH47&gt;0,INDEX(DG$7:DG$106,$AH47),1),IF($AI47&gt;0,INDEX(DG$7:DG$106,$AI47),1),IF($AJ47&gt;0,INDEX(DG$7:DG$106,$AJ47),1))))</ns0:f>
        <ns0:v>1</ns0:v>
      </ns0:c>
      <ns0:c r="DI47" t="n">
        <ns0:f>IF($A47="",1,IF(DH47=1,1,--AND(IF($AC47&gt;0,INDEX(DH$7:DH$106,$AC47),1),IF($AD47&gt;0,INDEX(DH$7:DH$106,$AD47),1),IF($AE47&gt;0,INDEX(DH$7:DH$106,$AE47),1),IF($AF47&gt;0,INDEX(DH$7:DH$106,$AF47),1),IF($AG47&gt;0,INDEX(DH$7:DH$106,$AG47),1),IF($AH47&gt;0,INDEX(DH$7:DH$106,$AH47),1),IF($AI47&gt;0,INDEX(DH$7:DH$106,$AI47),1),IF($AJ47&gt;0,INDEX(DH$7:DH$106,$AJ47),1))))</ns0:f>
        <ns0:v>1</ns0:v>
      </ns0:c>
      <ns0:c r="DJ47" t="n">
        <ns0:f>IF($A47="",1,IF(DI47=1,1,--AND(IF($AC47&gt;0,INDEX(DI$7:DI$106,$AC47),1),IF($AD47&gt;0,INDEX(DI$7:DI$106,$AD47),1),IF($AE47&gt;0,INDEX(DI$7:DI$106,$AE47),1),IF($AF47&gt;0,INDEX(DI$7:DI$106,$AF47),1),IF($AG47&gt;0,INDEX(DI$7:DI$106,$AG47),1),IF($AH47&gt;0,INDEX(DI$7:DI$106,$AH47),1),IF($AI47&gt;0,INDEX(DI$7:DI$106,$AI47),1),IF($AJ47&gt;0,INDEX(DI$7:DI$106,$AJ47),1))))</ns0:f>
        <ns0:v>1</ns0:v>
      </ns0:c>
      <ns0:c r="DK47" t="n">
        <ns0:f>IF($A47="",1,IF(DJ47=1,1,--AND(IF($AC47&gt;0,INDEX(DJ$7:DJ$106,$AC47),1),IF($AD47&gt;0,INDEX(DJ$7:DJ$106,$AD47),1),IF($AE47&gt;0,INDEX(DJ$7:DJ$106,$AE47),1),IF($AF47&gt;0,INDEX(DJ$7:DJ$106,$AF47),1),IF($AG47&gt;0,INDEX(DJ$7:DJ$106,$AG47),1),IF($AH47&gt;0,INDEX(DJ$7:DJ$106,$AH47),1),IF($AI47&gt;0,INDEX(DJ$7:DJ$106,$AI47),1),IF($AJ47&gt;0,INDEX(DJ$7:DJ$106,$AJ47),1))))</ns0:f>
        <ns0:v>1</ns0:v>
      </ns0:c>
      <ns0:c r="DL47" t="n">
        <ns0:f>IF($A47="",1,IF(DK47=1,1,--AND(IF($AC47&gt;0,INDEX(DK$7:DK$106,$AC47),1),IF($AD47&gt;0,INDEX(DK$7:DK$106,$AD47),1),IF($AE47&gt;0,INDEX(DK$7:DK$106,$AE47),1),IF($AF47&gt;0,INDEX(DK$7:DK$106,$AF47),1),IF($AG47&gt;0,INDEX(DK$7:DK$106,$AG47),1),IF($AH47&gt;0,INDEX(DK$7:DK$106,$AH47),1),IF($AI47&gt;0,INDEX(DK$7:DK$106,$AI47),1),IF($AJ47&gt;0,INDEX(DK$7:DK$106,$AJ47),1))))</ns0:f>
        <ns0:v>1</ns0:v>
      </ns0:c>
      <ns0:c r="DM47" t="n">
        <ns0:f>IF($A47="",1,IF(DL47=1,1,--AND(IF($AC47&gt;0,INDEX(DL$7:DL$106,$AC47),1),IF($AD47&gt;0,INDEX(DL$7:DL$106,$AD47),1),IF($AE47&gt;0,INDEX(DL$7:DL$106,$AE47),1),IF($AF47&gt;0,INDEX(DL$7:DL$106,$AF47),1),IF($AG47&gt;0,INDEX(DL$7:DL$106,$AG47),1),IF($AH47&gt;0,INDEX(DL$7:DL$106,$AH47),1),IF($AI47&gt;0,INDEX(DL$7:DL$106,$AI47),1),IF($AJ47&gt;0,INDEX(DL$7:DL$106,$AJ47),1))))</ns0:f>
        <ns0:v>1</ns0:v>
      </ns0:c>
      <ns0:c r="DN47" t="n">
        <ns0:f>IF($A47="",1,IF(DM47=1,1,--AND(IF($AC47&gt;0,INDEX(DM$7:DM$106,$AC47),1),IF($AD47&gt;0,INDEX(DM$7:DM$106,$AD47),1),IF($AE47&gt;0,INDEX(DM$7:DM$106,$AE47),1),IF($AF47&gt;0,INDEX(DM$7:DM$106,$AF47),1),IF($AG47&gt;0,INDEX(DM$7:DM$106,$AG47),1),IF($AH47&gt;0,INDEX(DM$7:DM$106,$AH47),1),IF($AI47&gt;0,INDEX(DM$7:DM$106,$AI47),1),IF($AJ47&gt;0,INDEX(DM$7:DM$106,$AJ47),1))))</ns0:f>
        <ns0:v>1</ns0:v>
      </ns0:c>
      <ns0:c r="DO47" t="n">
        <ns0:f>IF($A47="",1,IF(DN47=1,1,--AND(IF($AC47&gt;0,INDEX(DN$7:DN$106,$AC47),1),IF($AD47&gt;0,INDEX(DN$7:DN$106,$AD47),1),IF($AE47&gt;0,INDEX(DN$7:DN$106,$AE47),1),IF($AF47&gt;0,INDEX(DN$7:DN$106,$AF47),1),IF($AG47&gt;0,INDEX(DN$7:DN$106,$AG47),1),IF($AH47&gt;0,INDEX(DN$7:DN$106,$AH47),1),IF($AI47&gt;0,INDEX(DN$7:DN$106,$AI47),1),IF($AJ47&gt;0,INDEX(DN$7:DN$106,$AJ47),1))))</ns0:f>
        <ns0:v>1</ns0:v>
      </ns0:c>
      <ns0:c r="DP47" t="n">
        <ns0:f>IF($A47="",1,IF(DO47=1,1,--AND(IF($AC47&gt;0,INDEX(DO$7:DO$106,$AC47),1),IF($AD47&gt;0,INDEX(DO$7:DO$106,$AD47),1),IF($AE47&gt;0,INDEX(DO$7:DO$106,$AE47),1),IF($AF47&gt;0,INDEX(DO$7:DO$106,$AF47),1),IF($AG47&gt;0,INDEX(DO$7:DO$106,$AG47),1),IF($AH47&gt;0,INDEX(DO$7:DO$106,$AH47),1),IF($AI47&gt;0,INDEX(DO$7:DO$106,$AI47),1),IF($AJ47&gt;0,INDEX(DO$7:DO$106,$AJ47),1))))</ns0:f>
        <ns0:v>1</ns0:v>
      </ns0:c>
      <ns0:c r="DQ47" t="n">
        <ns0:f>IF($A47="",1,IF(DP47=1,1,--AND(IF($AC47&gt;0,INDEX(DP$7:DP$106,$AC47),1),IF($AD47&gt;0,INDEX(DP$7:DP$106,$AD47),1),IF($AE47&gt;0,INDEX(DP$7:DP$106,$AE47),1),IF($AF47&gt;0,INDEX(DP$7:DP$106,$AF47),1),IF($AG47&gt;0,INDEX(DP$7:DP$106,$AG47),1),IF($AH47&gt;0,INDEX(DP$7:DP$106,$AH47),1),IF($AI47&gt;0,INDEX(DP$7:DP$106,$AI47),1),IF($AJ47&gt;0,INDEX(DP$7:DP$106,$AJ47),1))))</ns0:f>
        <ns0:v>1</ns0:v>
      </ns0:c>
      <ns0:c r="DR47" t="n">
        <ns0:f>IF($A47="",1,IF(DQ47=1,1,--AND(IF($AC47&gt;0,INDEX(DQ$7:DQ$106,$AC47),1),IF($AD47&gt;0,INDEX(DQ$7:DQ$106,$AD47),1),IF($AE47&gt;0,INDEX(DQ$7:DQ$106,$AE47),1),IF($AF47&gt;0,INDEX(DQ$7:DQ$106,$AF47),1),IF($AG47&gt;0,INDEX(DQ$7:DQ$106,$AG47),1),IF($AH47&gt;0,INDEX(DQ$7:DQ$106,$AH47),1),IF($AI47&gt;0,INDEX(DQ$7:DQ$106,$AI47),1),IF($AJ47&gt;0,INDEX(DQ$7:DQ$106,$AJ47),1))))</ns0:f>
        <ns0:v>1</ns0:v>
      </ns0:c>
      <ns0:c r="DS47" t="n">
        <ns0:f>IF($A47="",1,IF(DR47=1,1,--AND(IF($AC47&gt;0,INDEX(DR$7:DR$106,$AC47),1),IF($AD47&gt;0,INDEX(DR$7:DR$106,$AD47),1),IF($AE47&gt;0,INDEX(DR$7:DR$106,$AE47),1),IF($AF47&gt;0,INDEX(DR$7:DR$106,$AF47),1),IF($AG47&gt;0,INDEX(DR$7:DR$106,$AG47),1),IF($AH47&gt;0,INDEX(DR$7:DR$106,$AH47),1),IF($AI47&gt;0,INDEX(DR$7:DR$106,$AI47),1),IF($AJ47&gt;0,INDEX(DR$7:DR$106,$AJ47),1))))</ns0:f>
        <ns0:v>1</ns0:v>
      </ns0:c>
      <ns0:c r="DT47" t="n">
        <ns0:f>IF($A47="",1,IF(DS47=1,1,--AND(IF($AC47&gt;0,INDEX(DS$7:DS$106,$AC47),1),IF($AD47&gt;0,INDEX(DS$7:DS$106,$AD47),1),IF($AE47&gt;0,INDEX(DS$7:DS$106,$AE47),1),IF($AF47&gt;0,INDEX(DS$7:DS$106,$AF47),1),IF($AG47&gt;0,INDEX(DS$7:DS$106,$AG47),1),IF($AH47&gt;0,INDEX(DS$7:DS$106,$AH47),1),IF($AI47&gt;0,INDEX(DS$7:DS$106,$AI47),1),IF($AJ47&gt;0,INDEX(DS$7:DS$106,$AJ47),1))))</ns0:f>
        <ns0:v>1</ns0:v>
      </ns0:c>
      <ns0:c r="DU47" t="n">
        <ns0:f>IF($A47="",1,IF(DT47=1,1,--AND(IF($AC47&gt;0,INDEX(DT$7:DT$106,$AC47),1),IF($AD47&gt;0,INDEX(DT$7:DT$106,$AD47),1),IF($AE47&gt;0,INDEX(DT$7:DT$106,$AE47),1),IF($AF47&gt;0,INDEX(DT$7:DT$106,$AF47),1),IF($AG47&gt;0,INDEX(DT$7:DT$106,$AG47),1),IF($AH47&gt;0,INDEX(DT$7:DT$106,$AH47),1),IF($AI47&gt;0,INDEX(DT$7:DT$106,$AI47),1),IF($AJ47&gt;0,INDEX(DT$7:DT$106,$AJ47),1))))</ns0:f>
        <ns0:v>1</ns0:v>
      </ns0:c>
      <ns0:c r="DV47" t="n">
        <ns0:f>IF($A47="",1,IF(DU47=1,1,--AND(IF($AC47&gt;0,INDEX(DU$7:DU$106,$AC47),1),IF($AD47&gt;0,INDEX(DU$7:DU$106,$AD47),1),IF($AE47&gt;0,INDEX(DU$7:DU$106,$AE47),1),IF($AF47&gt;0,INDEX(DU$7:DU$106,$AF47),1),IF($AG47&gt;0,INDEX(DU$7:DU$106,$AG47),1),IF($AH47&gt;0,INDEX(DU$7:DU$106,$AH47),1),IF($AI47&gt;0,INDEX(DU$7:DU$106,$AI47),1),IF($AJ47&gt;0,INDEX(DU$7:DU$106,$AJ47),1))))</ns0:f>
        <ns0:v>1</ns0:v>
      </ns0:c>
      <ns0:c r="DW47" t="n">
        <ns0:f>IF($A47="",1,IF(DV47=1,1,--AND(IF($AC47&gt;0,INDEX(DV$7:DV$106,$AC47),1),IF($AD47&gt;0,INDEX(DV$7:DV$106,$AD47),1),IF($AE47&gt;0,INDEX(DV$7:DV$106,$AE47),1),IF($AF47&gt;0,INDEX(DV$7:DV$106,$AF47),1),IF($AG47&gt;0,INDEX(DV$7:DV$106,$AG47),1),IF($AH47&gt;0,INDEX(DV$7:DV$106,$AH47),1),IF($AI47&gt;0,INDEX(DV$7:DV$106,$AI47),1),IF($AJ47&gt;0,INDEX(DV$7:DV$106,$AJ47),1))))</ns0:f>
        <ns0:v>1</ns0:v>
      </ns0:c>
      <ns0:c r="DX47" t="n">
        <ns0:f>IF($A47="",1,IF(DW47=1,1,--AND(IF($AC47&gt;0,INDEX(DW$7:DW$106,$AC47),1),IF($AD47&gt;0,INDEX(DW$7:DW$106,$AD47),1),IF($AE47&gt;0,INDEX(DW$7:DW$106,$AE47),1),IF($AF47&gt;0,INDEX(DW$7:DW$106,$AF47),1),IF($AG47&gt;0,INDEX(DW$7:DW$106,$AG47),1),IF($AH47&gt;0,INDEX(DW$7:DW$106,$AH47),1),IF($AI47&gt;0,INDEX(DW$7:DW$106,$AI47),1),IF($AJ47&gt;0,INDEX(DW$7:DW$106,$AJ47),1))))</ns0:f>
        <ns0:v>1</ns0:v>
      </ns0:c>
      <ns0:c r="DY47" t="n">
        <ns0:f>IF($A47="",1,IF(DX47=1,1,--AND(IF($AC47&gt;0,INDEX(DX$7:DX$106,$AC47),1),IF($AD47&gt;0,INDEX(DX$7:DX$106,$AD47),1),IF($AE47&gt;0,INDEX(DX$7:DX$106,$AE47),1),IF($AF47&gt;0,INDEX(DX$7:DX$106,$AF47),1),IF($AG47&gt;0,INDEX(DX$7:DX$106,$AG47),1),IF($AH47&gt;0,INDEX(DX$7:DX$106,$AH47),1),IF($AI47&gt;0,INDEX(DX$7:DX$106,$AI47),1),IF($AJ47&gt;0,INDEX(DX$7:DX$106,$AJ47),1))))</ns0:f>
        <ns0:v>1</ns0:v>
      </ns0:c>
      <ns0:c r="DZ47" t="n">
        <ns0:f>IF($A47="",1,IF(DY47=1,1,--AND(IF($AC47&gt;0,INDEX(DY$7:DY$106,$AC47),1),IF($AD47&gt;0,INDEX(DY$7:DY$106,$AD47),1),IF($AE47&gt;0,INDEX(DY$7:DY$106,$AE47),1),IF($AF47&gt;0,INDEX(DY$7:DY$106,$AF47),1),IF($AG47&gt;0,INDEX(DY$7:DY$106,$AG47),1),IF($AH47&gt;0,INDEX(DY$7:DY$106,$AH47),1),IF($AI47&gt;0,INDEX(DY$7:DY$106,$AI47),1),IF($AJ47&gt;0,INDEX(DY$7:DY$106,$AJ47),1))))</ns0:f>
        <ns0:v>1</ns0:v>
      </ns0:c>
      <ns0:c r="EA47" t="n">
        <ns0:f>IF($A47="",1,IF(DZ47=1,1,--AND(IF($AC47&gt;0,INDEX(DZ$7:DZ$106,$AC47),1),IF($AD47&gt;0,INDEX(DZ$7:DZ$106,$AD47),1),IF($AE47&gt;0,INDEX(DZ$7:DZ$106,$AE47),1),IF($AF47&gt;0,INDEX(DZ$7:DZ$106,$AF47),1),IF($AG47&gt;0,INDEX(DZ$7:DZ$106,$AG47),1),IF($AH47&gt;0,INDEX(DZ$7:DZ$106,$AH47),1),IF($AI47&gt;0,INDEX(DZ$7:DZ$106,$AI47),1),IF($AJ47&gt;0,INDEX(DZ$7:DZ$106,$AJ47),1))))</ns0:f>
        <ns0:v>1</ns0:v>
      </ns0:c>
      <ns0:c r="EB47" t="n">
        <ns0:f>IF($A47="",1,IF(EA47=1,1,--AND(IF($AC47&gt;0,INDEX(EA$7:EA$106,$AC47),1),IF($AD47&gt;0,INDEX(EA$7:EA$106,$AD47),1),IF($AE47&gt;0,INDEX(EA$7:EA$106,$AE47),1),IF($AF47&gt;0,INDEX(EA$7:EA$106,$AF47),1),IF($AG47&gt;0,INDEX(EA$7:EA$106,$AG47),1),IF($AH47&gt;0,INDEX(EA$7:EA$106,$AH47),1),IF($AI47&gt;0,INDEX(EA$7:EA$106,$AI47),1),IF($AJ47&gt;0,INDEX(EA$7:EA$106,$AJ47),1))))</ns0:f>
        <ns0:v>1</ns0:v>
      </ns0:c>
      <ns0:c r="EC47" t="n">
        <ns0:f>IF($A47="",1,IF(EB47=1,1,--AND(IF($AC47&gt;0,INDEX(EB$7:EB$106,$AC47),1),IF($AD47&gt;0,INDEX(EB$7:EB$106,$AD47),1),IF($AE47&gt;0,INDEX(EB$7:EB$106,$AE47),1),IF($AF47&gt;0,INDEX(EB$7:EB$106,$AF47),1),IF($AG47&gt;0,INDEX(EB$7:EB$106,$AG47),1),IF($AH47&gt;0,INDEX(EB$7:EB$106,$AH47),1),IF($AI47&gt;0,INDEX(EB$7:EB$106,$AI47),1),IF($AJ47&gt;0,INDEX(EB$7:EB$106,$AJ47),1))))</ns0:f>
        <ns0:v>1</ns0:v>
      </ns0:c>
      <ns0:c r="ED47" t="n">
        <ns0:f>IF($A47="",1,IF(EC47=1,1,--AND(IF($AC47&gt;0,INDEX(EC$7:EC$106,$AC47),1),IF($AD47&gt;0,INDEX(EC$7:EC$106,$AD47),1),IF($AE47&gt;0,INDEX(EC$7:EC$106,$AE47),1),IF($AF47&gt;0,INDEX(EC$7:EC$106,$AF47),1),IF($AG47&gt;0,INDEX(EC$7:EC$106,$AG47),1),IF($AH47&gt;0,INDEX(EC$7:EC$106,$AH47),1),IF($AI47&gt;0,INDEX(EC$7:EC$106,$AI47),1),IF($AJ47&gt;0,INDEX(EC$7:EC$106,$AJ47),1))))</ns0:f>
        <ns0:v>1</ns0:v>
      </ns0:c>
      <ns0:c r="EE47" t="n">
        <ns0:f>IF($A47="",1,IF(ED47=1,1,--AND(IF($AC47&gt;0,INDEX(ED$7:ED$106,$AC47),1),IF($AD47&gt;0,INDEX(ED$7:ED$106,$AD47),1),IF($AE47&gt;0,INDEX(ED$7:ED$106,$AE47),1),IF($AF47&gt;0,INDEX(ED$7:ED$106,$AF47),1),IF($AG47&gt;0,INDEX(ED$7:ED$106,$AG47),1),IF($AH47&gt;0,INDEX(ED$7:ED$106,$AH47),1),IF($AI47&gt;0,INDEX(ED$7:ED$106,$AI47),1),IF($AJ47&gt;0,INDEX(ED$7:ED$106,$AJ47),1))))</ns0:f>
        <ns0:v>1</ns0:v>
      </ns0:c>
      <ns0:c r="EF47" t="n">
        <ns0:f>IF($A47="",1,IF(EE47=1,1,--AND(IF($AC47&gt;0,INDEX(EE$7:EE$106,$AC47),1),IF($AD47&gt;0,INDEX(EE$7:EE$106,$AD47),1),IF($AE47&gt;0,INDEX(EE$7:EE$106,$AE47),1),IF($AF47&gt;0,INDEX(EE$7:EE$106,$AF47),1),IF($AG47&gt;0,INDEX(EE$7:EE$106,$AG47),1),IF($AH47&gt;0,INDEX(EE$7:EE$106,$AH47),1),IF($AI47&gt;0,INDEX(EE$7:EE$106,$AI47),1),IF($AJ47&gt;0,INDEX(EE$7:EE$106,$AJ47),1))))</ns0:f>
        <ns0:v>1</ns0:v>
      </ns0:c>
      <ns0:c r="EG47" t="n">
        <ns0:f>IF($A47="",1,IF(EF47=1,1,--AND(IF($AC47&gt;0,INDEX(EF$7:EF$106,$AC47),1),IF($AD47&gt;0,INDEX(EF$7:EF$106,$AD47),1),IF($AE47&gt;0,INDEX(EF$7:EF$106,$AE47),1),IF($AF47&gt;0,INDEX(EF$7:EF$106,$AF47),1),IF($AG47&gt;0,INDEX(EF$7:EF$106,$AG47),1),IF($AH47&gt;0,INDEX(EF$7:EF$106,$AH47),1),IF($AI47&gt;0,INDEX(EF$7:EF$106,$AI47),1),IF($AJ47&gt;0,INDEX(EF$7:EF$106,$AJ47),1))))</ns0:f>
        <ns0:v>1</ns0:v>
      </ns0:c>
      <ns0:c r="EH47" t="n">
        <ns0:f>IF($A47="",1,IF(EG47=1,1,--AND(IF($AC47&gt;0,INDEX(EG$7:EG$106,$AC47),1),IF($AD47&gt;0,INDEX(EG$7:EG$106,$AD47),1),IF($AE47&gt;0,INDEX(EG$7:EG$106,$AE47),1),IF($AF47&gt;0,INDEX(EG$7:EG$106,$AF47),1),IF($AG47&gt;0,INDEX(EG$7:EG$106,$AG47),1),IF($AH47&gt;0,INDEX(EG$7:EG$106,$AH47),1),IF($AI47&gt;0,INDEX(EG$7:EG$106,$AI47),1),IF($AJ47&gt;0,INDEX(EG$7:EG$106,$AJ47),1))))</ns0:f>
        <ns0:v>1</ns0:v>
      </ns0:c>
      <ns0:c r="EI47" t="n">
        <ns0:f>IF($A47="",1,IF(EH47=1,1,--AND(IF($AC47&gt;0,INDEX(EH$7:EH$106,$AC47),1),IF($AD47&gt;0,INDEX(EH$7:EH$106,$AD47),1),IF($AE47&gt;0,INDEX(EH$7:EH$106,$AE47),1),IF($AF47&gt;0,INDEX(EH$7:EH$106,$AF47),1),IF($AG47&gt;0,INDEX(EH$7:EH$106,$AG47),1),IF($AH47&gt;0,INDEX(EH$7:EH$106,$AH47),1),IF($AI47&gt;0,INDEX(EH$7:EH$106,$AI47),1),IF($AJ47&gt;0,INDEX(EH$7:EH$106,$AJ47),1))))</ns0:f>
        <ns0:v>1</ns0:v>
      </ns0:c>
      <ns0:c r="EJ47" t="n">
        <ns0:f>IF($A47="",1,IF(EI47=1,1,--AND(IF($AC47&gt;0,INDEX(EI$7:EI$106,$AC47),1),IF($AD47&gt;0,INDEX(EI$7:EI$106,$AD47),1),IF($AE47&gt;0,INDEX(EI$7:EI$106,$AE47),1),IF($AF47&gt;0,INDEX(EI$7:EI$106,$AF47),1),IF($AG47&gt;0,INDEX(EI$7:EI$106,$AG47),1),IF($AH47&gt;0,INDEX(EI$7:EI$106,$AH47),1),IF($AI47&gt;0,INDEX(EI$7:EI$106,$AI47),1),IF($AJ47&gt;0,INDEX(EI$7:EI$106,$AJ47),1))))</ns0:f>
        <ns0:v>1</ns0:v>
      </ns0:c>
      <ns0:c r="EK47" t="n">
        <ns0:f>IF($A47="",1,IF(EJ47=1,1,--AND(IF($AC47&gt;0,INDEX(EJ$7:EJ$106,$AC47),1),IF($AD47&gt;0,INDEX(EJ$7:EJ$106,$AD47),1),IF($AE47&gt;0,INDEX(EJ$7:EJ$106,$AE47),1),IF($AF47&gt;0,INDEX(EJ$7:EJ$106,$AF47),1),IF($AG47&gt;0,INDEX(EJ$7:EJ$106,$AG47),1),IF($AH47&gt;0,INDEX(EJ$7:EJ$106,$AH47),1),IF($AI47&gt;0,INDEX(EJ$7:EJ$106,$AI47),1),IF($AJ47&gt;0,INDEX(EJ$7:EJ$106,$AJ47),1))))</ns0:f>
        <ns0:v>1</ns0:v>
      </ns0:c>
      <ns0:c r="EL47" t="n">
        <ns0:f>IF($A47="",1,IF(EK47=1,1,--AND(IF($AC47&gt;0,INDEX(EK$7:EK$106,$AC47),1),IF($AD47&gt;0,INDEX(EK$7:EK$106,$AD47),1),IF($AE47&gt;0,INDEX(EK$7:EK$106,$AE47),1),IF($AF47&gt;0,INDEX(EK$7:EK$106,$AF47),1),IF($AG47&gt;0,INDEX(EK$7:EK$106,$AG47),1),IF($AH47&gt;0,INDEX(EK$7:EK$106,$AH47),1),IF($AI47&gt;0,INDEX(EK$7:EK$106,$AI47),1),IF($AJ47&gt;0,INDEX(EK$7:EK$106,$AJ47),1))))</ns0:f>
        <ns0:v>1</ns0:v>
      </ns0:c>
      <ns0:c r="EM47" t="n">
        <ns0:f>IF($A47="",1,IF(EL47=1,1,--AND(IF($AC47&gt;0,INDEX(EL$7:EL$106,$AC47),1),IF($AD47&gt;0,INDEX(EL$7:EL$106,$AD47),1),IF($AE47&gt;0,INDEX(EL$7:EL$106,$AE47),1),IF($AF47&gt;0,INDEX(EL$7:EL$106,$AF47),1),IF($AG47&gt;0,INDEX(EL$7:EL$106,$AG47),1),IF($AH47&gt;0,INDEX(EL$7:EL$106,$AH47),1),IF($AI47&gt;0,INDEX(EL$7:EL$106,$AI47),1),IF($AJ47&gt;0,INDEX(EL$7:EL$106,$AJ47),1))))</ns0:f>
        <ns0:v>1</ns0:v>
      </ns0:c>
      <ns0:c r="EN47" t="n">
        <ns0:f>IF($A47="",1,IF(EM47=1,1,--AND(IF($AC47&gt;0,INDEX(EM$7:EM$106,$AC47),1),IF($AD47&gt;0,INDEX(EM$7:EM$106,$AD47),1),IF($AE47&gt;0,INDEX(EM$7:EM$106,$AE47),1),IF($AF47&gt;0,INDEX(EM$7:EM$106,$AF47),1),IF($AG47&gt;0,INDEX(EM$7:EM$106,$AG47),1),IF($AH47&gt;0,INDEX(EM$7:EM$106,$AH47),1),IF($AI47&gt;0,INDEX(EM$7:EM$106,$AI47),1),IF($AJ47&gt;0,INDEX(EM$7:EM$106,$AJ47),1))))</ns0:f>
        <ns0:v>1</ns0:v>
      </ns0:c>
      <ns0:c r="EO47" t="n">
        <ns0:f>IF($A47="",1,IF(EN47=1,1,--AND(IF($AC47&gt;0,INDEX(EN$7:EN$106,$AC47),1),IF($AD47&gt;0,INDEX(EN$7:EN$106,$AD47),1),IF($AE47&gt;0,INDEX(EN$7:EN$106,$AE47),1),IF($AF47&gt;0,INDEX(EN$7:EN$106,$AF47),1),IF($AG47&gt;0,INDEX(EN$7:EN$106,$AG47),1),IF($AH47&gt;0,INDEX(EN$7:EN$106,$AH47),1),IF($AI47&gt;0,INDEX(EN$7:EN$106,$AI47),1),IF($AJ47&gt;0,INDEX(EN$7:EN$106,$AJ47),1))))</ns0:f>
        <ns0:v>1</ns0:v>
      </ns0:c>
      <ns0:c r="EP47" t="n">
        <ns0:f>IF($A47="",1,IF(EO47=1,1,--AND(IF($AC47&gt;0,INDEX(EO$7:EO$106,$AC47),1),IF($AD47&gt;0,INDEX(EO$7:EO$106,$AD47),1),IF($AE47&gt;0,INDEX(EO$7:EO$106,$AE47),1),IF($AF47&gt;0,INDEX(EO$7:EO$106,$AF47),1),IF($AG47&gt;0,INDEX(EO$7:EO$106,$AG47),1),IF($AH47&gt;0,INDEX(EO$7:EO$106,$AH47),1),IF($AI47&gt;0,INDEX(EO$7:EO$106,$AI47),1),IF($AJ47&gt;0,INDEX(EO$7:EO$106,$AJ47),1))))</ns0:f>
        <ns0:v>1</ns0:v>
      </ns0:c>
      <ns0:c r="EQ47" t="n">
        <ns0:f>IF(OR(A47="",NOT(ISNUMBER(G47))),0,G47*N47)</ns0:f>
        <ns0:v>0</ns0:v>
      </ns0:c>
    </ns0:row>
    <ns0:row r="48" ht="62" customHeight="1">
      <ns0:c r="A48" s="48"/>
      <ns0:c r="B48" s="48"/>
      <ns0:c r="C48" s="48"/>
      <ns0:c r="D48" s="48"/>
      <ns0:c r="E48" s="49"/>
      <ns0:c r="F48" s="49"/>
      <ns0:c r="G48" s="13" t="str">
        <ns0:f>IF(A48="","",IF(OR(NOT(ISNUMBER(E48)),NOT(ISNUMBER(F48)),F48&lt;E48),"",IF(J48="Yes",0,F48-E48+1)))</ns0:f>
      </ns0:c>
      <ns0:c r="H48" s="48"/>
      <ns0:c r="I48" s="48"/>
      <ns0:c r="J48" s="48"/>
      <ns0:c r="K48" s="48"/>
      <ns0:c r="L48" s="48"/>
      <ns0:c r="M48" s="50" t="str">
        <ns0:f>IF(A48="","",IF(N48=1,"Completed",IF(N48&gt;0,"In Progress","Not Started")))</ns0:f>
      </ns0:c>
      <ns0:c r="N48" s="51"/>
      <ns0:c r="O48" s="13" t="str">
        <ns0:f>IF(A48="","",IF(R48&lt;&gt;"","[CONFLICT] "&amp;R48,IF(S48&lt;&gt;"","[CONFLICT] "&amp;S48,IF(OR(NOT(ISNUMBER(N48)),N48&lt;0,N48&gt;1),"[CONFLICT] Invalid progress",IF(AK48&gt;0,"[DEPENDENCY ISSUE] Missing ID / &gt;8 links",IF(AM48&gt;0,"[DEPENDENCY ISSUE] Cycle or blocked by cycle",IF(AND(H48&lt;&gt;"",ISNA(MATCH(I48,{"FS","SS","FF","SF"},0))),"[DEPENDENCY ISSUE] Invalid type",IF(AL48&gt;0,"[DEPENDENCY ISSUE] Timing conflict",IF(OR(E48&lt;ProjectStart,F48&gt;ProjectEnd),"[OUTSIDE WINDOW]",IF(AND(N48&lt;1,F48&lt;AsOfDate),"Overdue",IF(AND(M48&lt;&gt;Q48,M48&lt;&gt;""),"[CONFLICT] Status / progress","On track")))))))))))</ns0:f>
      </ns0:c>
      <ns0:c r="P48" s="52"/>
      <ns0:c r="Q48" t="str">
        <ns0:f>IF(A48="","",IF(OR(M48="On Hold",M48="Delayed"),M48,IF(N48=1,"Completed",IF(N48&gt;0,"In Progress","Not Started"))))</ns0:f>
      </ns0:c>
      <ns0:c r="R48" t="str">
        <ns0:f>IF(A48="","",IF(COUNTIFS(Tasks[Task ID],A48)&lt;&gt;1,"Duplicate ID",""))</ns0:f>
      </ns0:c>
      <ns0:c r="S48" t="str">
        <ns0:f>IF(A48="","",IF(OR(NOT(ISNUMBER(E48)),NOT(ISNUMBER(F48))),"Invalid / missing date",IF(OR(E48&lt;&gt;INT(E48),F48&lt;&gt;INT(F48),E48&lt;1,F48&gt;2958465),"Invalid date",IF(F48&lt;E48,"End before start",IF(AND(J48="Yes",E48&lt;&gt;F48),"Milestone needs one date","")))))</ns0:f>
      </ns0:c>
      <ns0:c r="T48" t="n">
        <ns0:f>IF(H48="",0,LEN(H48)-LEN(SUBSTITUTE(H48,",",""))+1)</ns0:f>
        <ns0:v>0</ns0:v>
      </ns0:c>
      <ns0:c r="U48" t="str">
        <ns0:f>TRIM(MID(SUBSTITUTE($H48,",",REPT(" ",100)),1,100))</ns0:f>
      </ns0:c>
      <ns0:c r="V48" t="str">
        <ns0:f>TRIM(MID(SUBSTITUTE($H48,",",REPT(" ",100)),101,100))</ns0:f>
      </ns0:c>
      <ns0:c r="W48" t="str">
        <ns0:f>TRIM(MID(SUBSTITUTE($H48,",",REPT(" ",100)),201,100))</ns0:f>
      </ns0:c>
      <ns0:c r="X48" t="str">
        <ns0:f>TRIM(MID(SUBSTITUTE($H48,",",REPT(" ",100)),301,100))</ns0:f>
      </ns0:c>
      <ns0:c r="Y48" t="str">
        <ns0:f>TRIM(MID(SUBSTITUTE($H48,",",REPT(" ",100)),401,100))</ns0:f>
      </ns0:c>
      <ns0:c r="Z48" t="str">
        <ns0:f>TRIM(MID(SUBSTITUTE($H48,",",REPT(" ",100)),501,100))</ns0:f>
      </ns0:c>
      <ns0:c r="AA48" t="str">
        <ns0:f>TRIM(MID(SUBSTITUTE($H48,",",REPT(" ",100)),601,100))</ns0:f>
      </ns0:c>
      <ns0:c r="AB48" t="str">
        <ns0:f>TRIM(MID(SUBSTITUTE($H48,",",REPT(" ",100)),701,100))</ns0:f>
      </ns0:c>
      <ns0:c r="AC48" t="n">
        <ns0:f>IF(U48="",0,IF(COUNTIFS(Tasks[Task ID],U48)=1,MATCH(U48,Tasks[Task ID],0),-1))</ns0:f>
        <ns0:v>0</ns0:v>
      </ns0:c>
      <ns0:c r="AD48" t="n">
        <ns0:f>IF(V48="",0,IF(COUNTIFS(Tasks[Task ID],V48)=1,MATCH(V48,Tasks[Task ID],0),-1))</ns0:f>
        <ns0:v>0</ns0:v>
      </ns0:c>
      <ns0:c r="AE48" t="n">
        <ns0:f>IF(W48="",0,IF(COUNTIFS(Tasks[Task ID],W48)=1,MATCH(W48,Tasks[Task ID],0),-1))</ns0:f>
        <ns0:v>0</ns0:v>
      </ns0:c>
      <ns0:c r="AF48" t="n">
        <ns0:f>IF(X48="",0,IF(COUNTIFS(Tasks[Task ID],X48)=1,MATCH(X48,Tasks[Task ID],0),-1))</ns0:f>
        <ns0:v>0</ns0:v>
      </ns0:c>
      <ns0:c r="AG48" t="n">
        <ns0:f>IF(Y48="",0,IF(COUNTIFS(Tasks[Task ID],Y48)=1,MATCH(Y48,Tasks[Task ID],0),-1))</ns0:f>
        <ns0:v>0</ns0:v>
      </ns0:c>
      <ns0:c r="AH48" t="n">
        <ns0:f>IF(Z48="",0,IF(COUNTIFS(Tasks[Task ID],Z48)=1,MATCH(Z48,Tasks[Task ID],0),-1))</ns0:f>
        <ns0:v>0</ns0:v>
      </ns0:c>
      <ns0:c r="AI48" t="n">
        <ns0:f>IF(AA48="",0,IF(COUNTIFS(Tasks[Task ID],AA48)=1,MATCH(AA48,Tasks[Task ID],0),-1))</ns0:f>
        <ns0:v>0</ns0:v>
      </ns0:c>
      <ns0:c r="AJ48" t="n">
        <ns0:f>IF(AB48="",0,IF(COUNTIFS(Tasks[Task ID],AB48)=1,MATCH(AB48,Tasks[Task ID],0),-1))</ns0:f>
        <ns0:v>0</ns0:v>
      </ns0:c>
      <ns0:c r="AK48" t="n">
        <ns0:f>COUNTIFS(AC48:AJ48,-1)+IF(T48&gt;8,1,0)</ns0:f>
        <ns0:v>0</ns0:v>
      </ns0:c>
      <ns0:c r="AL48" t="n">
        <ns0:f>IF(OR(A48="",S48&lt;&gt;""),0,SUM(IF(AC48&gt;0,IF($I48="FS",--($E48&lt;INDEX(Tasks[End Date],AC48)+IF(INDEX(Tasks[Milestone],AC48)="Yes",0,1)),IF($I48="SS",--($E48&lt;INDEX(Tasks[Start Date],AC48)),IF($I48="FF",--($F48&lt;INDEX(Tasks[End Date],AC48)),IF($I48="SF",--($F48&lt;INDEX(Tasks[Start Date],AC48)),0)))),0),IF(AD48&gt;0,IF($I48="FS",--($E48&lt;INDEX(Tasks[End Date],AD48)+IF(INDEX(Tasks[Milestone],AD48)="Yes",0,1)),IF($I48="SS",--($E48&lt;INDEX(Tasks[Start Date],AD48)),IF($I48="FF",--($F48&lt;INDEX(Tasks[End Date],AD48)),IF($I48="SF",--($F48&lt;INDEX(Tasks[Start Date],AD48)),0)))),0),IF(AE48&gt;0,IF($I48="FS",--($E48&lt;INDEX(Tasks[End Date],AE48)+IF(INDEX(Tasks[Milestone],AE48)="Yes",0,1)),IF($I48="SS",--($E48&lt;INDEX(Tasks[Start Date],AE48)),IF($I48="FF",--($F48&lt;INDEX(Tasks[End Date],AE48)),IF($I48="SF",--($F48&lt;INDEX(Tasks[Start Date],AE48)),0)))),0),IF(AF48&gt;0,IF($I48="FS",--($E48&lt;INDEX(Tasks[End Date],AF48)+IF(INDEX(Tasks[Milestone],AF48)="Yes",0,1)),IF($I48="SS",--($E48&lt;INDEX(Tasks[Start Date],AF48)),IF($I48="FF",--($F48&lt;INDEX(Tasks[End Date],AF48)),IF($I48="SF",--($F48&lt;INDEX(Tasks[Start Date],AF48)),0)))),0),IF(AG48&gt;0,IF($I48="FS",--($E48&lt;INDEX(Tasks[End Date],AG48)+IF(INDEX(Tasks[Milestone],AG48)="Yes",0,1)),IF($I48="SS",--($E48&lt;INDEX(Tasks[Start Date],AG48)),IF($I48="FF",--($F48&lt;INDEX(Tasks[End Date],AG48)),IF($I48="SF",--($F48&lt;INDEX(Tasks[Start Date],AG48)),0)))),0),IF(AH48&gt;0,IF($I48="FS",--($E48&lt;INDEX(Tasks[End Date],AH48)+IF(INDEX(Tasks[Milestone],AH48)="Yes",0,1)),IF($I48="SS",--($E48&lt;INDEX(Tasks[Start Date],AH48)),IF($I48="FF",--($F48&lt;INDEX(Tasks[End Date],AH48)),IF($I48="SF",--($F48&lt;INDEX(Tasks[Start Date],AH48)),0)))),0),IF(AI48&gt;0,IF($I48="FS",--($E48&lt;INDEX(Tasks[End Date],AI48)+IF(INDEX(Tasks[Milestone],AI48)="Yes",0,1)),IF($I48="SS",--($E48&lt;INDEX(Tasks[Start Date],AI48)),IF($I48="FF",--($F48&lt;INDEX(Tasks[End Date],AI48)),IF($I48="SF",--($F48&lt;INDEX(Tasks[Start Date],AI48)),0)))),0),IF(AJ48&gt;0,IF($I48="FS",--($E48&lt;INDEX(Tasks[End Date],AJ48)+IF(INDEX(Tasks[Milestone],AJ48)="Yes",0,1)),IF($I48="SS",--($E48&lt;INDEX(Tasks[Start Date],AJ48)),IF($I48="FF",--($F48&lt;INDEX(Tasks[End Date],AJ48)),IF($I48="SF",--($F48&lt;INDEX(Tasks[Start Date],AJ48)),0)))),0)))</ns0:f>
        <ns0:v>0</ns0:v>
      </ns0:c>
      <ns0:c r="AM48" t="n">
        <ns0:f>IF(AND(A48&lt;&gt;"",AK48=0,EP48=0),1,0)</ns0:f>
        <ns0:v>0</ns0:v>
      </ns0:c>
      <ns0:c r="AN48" t="str">
        <ns0:f>IF(OR(A48="",B48=""),"",IF(COUNTIFS($B$7:B48,B48)=1,MAX($AN$6:AN47)+1,""))</ns0:f>
      </ns0:c>
      <ns0:c r="AO48" t="n">
        <ns0:f>IF(AND(A48&lt;&gt;"",J48="No",N48&lt;1,E48&gt;=AsOfDate),E48+ROW()/10000,1E+9)</ns0:f>
        <ns0:v>1000000000</ns0:v>
      </ns0:c>
      <ns0:c r="AP48" t="n">
        <ns0:f>IF(AND(A48&lt;&gt;"",J48="Yes",N48&lt;1,E48&gt;=AsOfDate),E48+ROW()/10000,1E+9)</ns0:f>
        <ns0:v>1000000000</ns0:v>
      </ns0:c>
      <ns0:c r="AQ48" t="n">
        <ns0:f>IF(AND(A48&lt;&gt;"",J48="No",N48&lt;1,F48&gt;=AsOfDate,F48&lt;=AsOfDate+7),F48+ROW()/10000,1E+9)</ns0:f>
        <ns0:v>1000000000</ns0:v>
      </ns0:c>
      <ns0:c r="AR48" t="n">
        <ns0:f>IF(AND(A48&lt;&gt;"",OR(O48&lt;&gt;"On track",Q48="Delayed")),ROW(),1E+9)</ns0:f>
        <ns0:v>1000000000</ns0:v>
      </ns0:c>
      <ns0:c r="AS48" t="str">
        <ns0:f>IF(A48="","",";"&amp;K48&amp;";")</ns0:f>
      </ns0:c>
      <ns0:c r="AT48" t="n">
        <ns0:f>IF(A48="",1,--(T48=0))</ns0:f>
        <ns0:v>1</ns0:v>
      </ns0:c>
      <ns0:c r="AU48" t="n">
        <ns0:f>IF($A48="",1,IF(AT48=1,1,--AND(IF($AC48&gt;0,INDEX(AT$7:AT$106,$AC48),1),IF($AD48&gt;0,INDEX(AT$7:AT$106,$AD48),1),IF($AE48&gt;0,INDEX(AT$7:AT$106,$AE48),1),IF($AF48&gt;0,INDEX(AT$7:AT$106,$AF48),1),IF($AG48&gt;0,INDEX(AT$7:AT$106,$AG48),1),IF($AH48&gt;0,INDEX(AT$7:AT$106,$AH48),1),IF($AI48&gt;0,INDEX(AT$7:AT$106,$AI48),1),IF($AJ48&gt;0,INDEX(AT$7:AT$106,$AJ48),1))))</ns0:f>
        <ns0:v>1</ns0:v>
      </ns0:c>
      <ns0:c r="AV48" t="n">
        <ns0:f>IF($A48="",1,IF(AU48=1,1,--AND(IF($AC48&gt;0,INDEX(AU$7:AU$106,$AC48),1),IF($AD48&gt;0,INDEX(AU$7:AU$106,$AD48),1),IF($AE48&gt;0,INDEX(AU$7:AU$106,$AE48),1),IF($AF48&gt;0,INDEX(AU$7:AU$106,$AF48),1),IF($AG48&gt;0,INDEX(AU$7:AU$106,$AG48),1),IF($AH48&gt;0,INDEX(AU$7:AU$106,$AH48),1),IF($AI48&gt;0,INDEX(AU$7:AU$106,$AI48),1),IF($AJ48&gt;0,INDEX(AU$7:AU$106,$AJ48),1))))</ns0:f>
        <ns0:v>1</ns0:v>
      </ns0:c>
      <ns0:c r="AW48" t="n">
        <ns0:f>IF($A48="",1,IF(AV48=1,1,--AND(IF($AC48&gt;0,INDEX(AV$7:AV$106,$AC48),1),IF($AD48&gt;0,INDEX(AV$7:AV$106,$AD48),1),IF($AE48&gt;0,INDEX(AV$7:AV$106,$AE48),1),IF($AF48&gt;0,INDEX(AV$7:AV$106,$AF48),1),IF($AG48&gt;0,INDEX(AV$7:AV$106,$AG48),1),IF($AH48&gt;0,INDEX(AV$7:AV$106,$AH48),1),IF($AI48&gt;0,INDEX(AV$7:AV$106,$AI48),1),IF($AJ48&gt;0,INDEX(AV$7:AV$106,$AJ48),1))))</ns0:f>
        <ns0:v>1</ns0:v>
      </ns0:c>
      <ns0:c r="AX48" t="n">
        <ns0:f>IF($A48="",1,IF(AW48=1,1,--AND(IF($AC48&gt;0,INDEX(AW$7:AW$106,$AC48),1),IF($AD48&gt;0,INDEX(AW$7:AW$106,$AD48),1),IF($AE48&gt;0,INDEX(AW$7:AW$106,$AE48),1),IF($AF48&gt;0,INDEX(AW$7:AW$106,$AF48),1),IF($AG48&gt;0,INDEX(AW$7:AW$106,$AG48),1),IF($AH48&gt;0,INDEX(AW$7:AW$106,$AH48),1),IF($AI48&gt;0,INDEX(AW$7:AW$106,$AI48),1),IF($AJ48&gt;0,INDEX(AW$7:AW$106,$AJ48),1))))</ns0:f>
        <ns0:v>1</ns0:v>
      </ns0:c>
      <ns0:c r="AY48" t="n">
        <ns0:f>IF($A48="",1,IF(AX48=1,1,--AND(IF($AC48&gt;0,INDEX(AX$7:AX$106,$AC48),1),IF($AD48&gt;0,INDEX(AX$7:AX$106,$AD48),1),IF($AE48&gt;0,INDEX(AX$7:AX$106,$AE48),1),IF($AF48&gt;0,INDEX(AX$7:AX$106,$AF48),1),IF($AG48&gt;0,INDEX(AX$7:AX$106,$AG48),1),IF($AH48&gt;0,INDEX(AX$7:AX$106,$AH48),1),IF($AI48&gt;0,INDEX(AX$7:AX$106,$AI48),1),IF($AJ48&gt;0,INDEX(AX$7:AX$106,$AJ48),1))))</ns0:f>
        <ns0:v>1</ns0:v>
      </ns0:c>
      <ns0:c r="AZ48" t="n">
        <ns0:f>IF($A48="",1,IF(AY48=1,1,--AND(IF($AC48&gt;0,INDEX(AY$7:AY$106,$AC48),1),IF($AD48&gt;0,INDEX(AY$7:AY$106,$AD48),1),IF($AE48&gt;0,INDEX(AY$7:AY$106,$AE48),1),IF($AF48&gt;0,INDEX(AY$7:AY$106,$AF48),1),IF($AG48&gt;0,INDEX(AY$7:AY$106,$AG48),1),IF($AH48&gt;0,INDEX(AY$7:AY$106,$AH48),1),IF($AI48&gt;0,INDEX(AY$7:AY$106,$AI48),1),IF($AJ48&gt;0,INDEX(AY$7:AY$106,$AJ48),1))))</ns0:f>
        <ns0:v>1</ns0:v>
      </ns0:c>
      <ns0:c r="BA48" t="n">
        <ns0:f>IF($A48="",1,IF(AZ48=1,1,--AND(IF($AC48&gt;0,INDEX(AZ$7:AZ$106,$AC48),1),IF($AD48&gt;0,INDEX(AZ$7:AZ$106,$AD48),1),IF($AE48&gt;0,INDEX(AZ$7:AZ$106,$AE48),1),IF($AF48&gt;0,INDEX(AZ$7:AZ$106,$AF48),1),IF($AG48&gt;0,INDEX(AZ$7:AZ$106,$AG48),1),IF($AH48&gt;0,INDEX(AZ$7:AZ$106,$AH48),1),IF($AI48&gt;0,INDEX(AZ$7:AZ$106,$AI48),1),IF($AJ48&gt;0,INDEX(AZ$7:AZ$106,$AJ48),1))))</ns0:f>
        <ns0:v>1</ns0:v>
      </ns0:c>
      <ns0:c r="BB48" t="n">
        <ns0:f>IF($A48="",1,IF(BA48=1,1,--AND(IF($AC48&gt;0,INDEX(BA$7:BA$106,$AC48),1),IF($AD48&gt;0,INDEX(BA$7:BA$106,$AD48),1),IF($AE48&gt;0,INDEX(BA$7:BA$106,$AE48),1),IF($AF48&gt;0,INDEX(BA$7:BA$106,$AF48),1),IF($AG48&gt;0,INDEX(BA$7:BA$106,$AG48),1),IF($AH48&gt;0,INDEX(BA$7:BA$106,$AH48),1),IF($AI48&gt;0,INDEX(BA$7:BA$106,$AI48),1),IF($AJ48&gt;0,INDEX(BA$7:BA$106,$AJ48),1))))</ns0:f>
        <ns0:v>1</ns0:v>
      </ns0:c>
      <ns0:c r="BC48" t="n">
        <ns0:f>IF($A48="",1,IF(BB48=1,1,--AND(IF($AC48&gt;0,INDEX(BB$7:BB$106,$AC48),1),IF($AD48&gt;0,INDEX(BB$7:BB$106,$AD48),1),IF($AE48&gt;0,INDEX(BB$7:BB$106,$AE48),1),IF($AF48&gt;0,INDEX(BB$7:BB$106,$AF48),1),IF($AG48&gt;0,INDEX(BB$7:BB$106,$AG48),1),IF($AH48&gt;0,INDEX(BB$7:BB$106,$AH48),1),IF($AI48&gt;0,INDEX(BB$7:BB$106,$AI48),1),IF($AJ48&gt;0,INDEX(BB$7:BB$106,$AJ48),1))))</ns0:f>
        <ns0:v>1</ns0:v>
      </ns0:c>
      <ns0:c r="BD48" t="n">
        <ns0:f>IF($A48="",1,IF(BC48=1,1,--AND(IF($AC48&gt;0,INDEX(BC$7:BC$106,$AC48),1),IF($AD48&gt;0,INDEX(BC$7:BC$106,$AD48),1),IF($AE48&gt;0,INDEX(BC$7:BC$106,$AE48),1),IF($AF48&gt;0,INDEX(BC$7:BC$106,$AF48),1),IF($AG48&gt;0,INDEX(BC$7:BC$106,$AG48),1),IF($AH48&gt;0,INDEX(BC$7:BC$106,$AH48),1),IF($AI48&gt;0,INDEX(BC$7:BC$106,$AI48),1),IF($AJ48&gt;0,INDEX(BC$7:BC$106,$AJ48),1))))</ns0:f>
        <ns0:v>1</ns0:v>
      </ns0:c>
      <ns0:c r="BE48" t="n">
        <ns0:f>IF($A48="",1,IF(BD48=1,1,--AND(IF($AC48&gt;0,INDEX(BD$7:BD$106,$AC48),1),IF($AD48&gt;0,INDEX(BD$7:BD$106,$AD48),1),IF($AE48&gt;0,INDEX(BD$7:BD$106,$AE48),1),IF($AF48&gt;0,INDEX(BD$7:BD$106,$AF48),1),IF($AG48&gt;0,INDEX(BD$7:BD$106,$AG48),1),IF($AH48&gt;0,INDEX(BD$7:BD$106,$AH48),1),IF($AI48&gt;0,INDEX(BD$7:BD$106,$AI48),1),IF($AJ48&gt;0,INDEX(BD$7:BD$106,$AJ48),1))))</ns0:f>
        <ns0:v>1</ns0:v>
      </ns0:c>
      <ns0:c r="BF48" t="n">
        <ns0:f>IF($A48="",1,IF(BE48=1,1,--AND(IF($AC48&gt;0,INDEX(BE$7:BE$106,$AC48),1),IF($AD48&gt;0,INDEX(BE$7:BE$106,$AD48),1),IF($AE48&gt;0,INDEX(BE$7:BE$106,$AE48),1),IF($AF48&gt;0,INDEX(BE$7:BE$106,$AF48),1),IF($AG48&gt;0,INDEX(BE$7:BE$106,$AG48),1),IF($AH48&gt;0,INDEX(BE$7:BE$106,$AH48),1),IF($AI48&gt;0,INDEX(BE$7:BE$106,$AI48),1),IF($AJ48&gt;0,INDEX(BE$7:BE$106,$AJ48),1))))</ns0:f>
        <ns0:v>1</ns0:v>
      </ns0:c>
      <ns0:c r="BG48" t="n">
        <ns0:f>IF($A48="",1,IF(BF48=1,1,--AND(IF($AC48&gt;0,INDEX(BF$7:BF$106,$AC48),1),IF($AD48&gt;0,INDEX(BF$7:BF$106,$AD48),1),IF($AE48&gt;0,INDEX(BF$7:BF$106,$AE48),1),IF($AF48&gt;0,INDEX(BF$7:BF$106,$AF48),1),IF($AG48&gt;0,INDEX(BF$7:BF$106,$AG48),1),IF($AH48&gt;0,INDEX(BF$7:BF$106,$AH48),1),IF($AI48&gt;0,INDEX(BF$7:BF$106,$AI48),1),IF($AJ48&gt;0,INDEX(BF$7:BF$106,$AJ48),1))))</ns0:f>
        <ns0:v>1</ns0:v>
      </ns0:c>
      <ns0:c r="BH48" t="n">
        <ns0:f>IF($A48="",1,IF(BG48=1,1,--AND(IF($AC48&gt;0,INDEX(BG$7:BG$106,$AC48),1),IF($AD48&gt;0,INDEX(BG$7:BG$106,$AD48),1),IF($AE48&gt;0,INDEX(BG$7:BG$106,$AE48),1),IF($AF48&gt;0,INDEX(BG$7:BG$106,$AF48),1),IF($AG48&gt;0,INDEX(BG$7:BG$106,$AG48),1),IF($AH48&gt;0,INDEX(BG$7:BG$106,$AH48),1),IF($AI48&gt;0,INDEX(BG$7:BG$106,$AI48),1),IF($AJ48&gt;0,INDEX(BG$7:BG$106,$AJ48),1))))</ns0:f>
        <ns0:v>1</ns0:v>
      </ns0:c>
      <ns0:c r="BI48" t="n">
        <ns0:f>IF($A48="",1,IF(BH48=1,1,--AND(IF($AC48&gt;0,INDEX(BH$7:BH$106,$AC48),1),IF($AD48&gt;0,INDEX(BH$7:BH$106,$AD48),1),IF($AE48&gt;0,INDEX(BH$7:BH$106,$AE48),1),IF($AF48&gt;0,INDEX(BH$7:BH$106,$AF48),1),IF($AG48&gt;0,INDEX(BH$7:BH$106,$AG48),1),IF($AH48&gt;0,INDEX(BH$7:BH$106,$AH48),1),IF($AI48&gt;0,INDEX(BH$7:BH$106,$AI48),1),IF($AJ48&gt;0,INDEX(BH$7:BH$106,$AJ48),1))))</ns0:f>
        <ns0:v>1</ns0:v>
      </ns0:c>
      <ns0:c r="BJ48" t="n">
        <ns0:f>IF($A48="",1,IF(BI48=1,1,--AND(IF($AC48&gt;0,INDEX(BI$7:BI$106,$AC48),1),IF($AD48&gt;0,INDEX(BI$7:BI$106,$AD48),1),IF($AE48&gt;0,INDEX(BI$7:BI$106,$AE48),1),IF($AF48&gt;0,INDEX(BI$7:BI$106,$AF48),1),IF($AG48&gt;0,INDEX(BI$7:BI$106,$AG48),1),IF($AH48&gt;0,INDEX(BI$7:BI$106,$AH48),1),IF($AI48&gt;0,INDEX(BI$7:BI$106,$AI48),1),IF($AJ48&gt;0,INDEX(BI$7:BI$106,$AJ48),1))))</ns0:f>
        <ns0:v>1</ns0:v>
      </ns0:c>
      <ns0:c r="BK48" t="n">
        <ns0:f>IF($A48="",1,IF(BJ48=1,1,--AND(IF($AC48&gt;0,INDEX(BJ$7:BJ$106,$AC48),1),IF($AD48&gt;0,INDEX(BJ$7:BJ$106,$AD48),1),IF($AE48&gt;0,INDEX(BJ$7:BJ$106,$AE48),1),IF($AF48&gt;0,INDEX(BJ$7:BJ$106,$AF48),1),IF($AG48&gt;0,INDEX(BJ$7:BJ$106,$AG48),1),IF($AH48&gt;0,INDEX(BJ$7:BJ$106,$AH48),1),IF($AI48&gt;0,INDEX(BJ$7:BJ$106,$AI48),1),IF($AJ48&gt;0,INDEX(BJ$7:BJ$106,$AJ48),1))))</ns0:f>
        <ns0:v>1</ns0:v>
      </ns0:c>
      <ns0:c r="BL48" t="n">
        <ns0:f>IF($A48="",1,IF(BK48=1,1,--AND(IF($AC48&gt;0,INDEX(BK$7:BK$106,$AC48),1),IF($AD48&gt;0,INDEX(BK$7:BK$106,$AD48),1),IF($AE48&gt;0,INDEX(BK$7:BK$106,$AE48),1),IF($AF48&gt;0,INDEX(BK$7:BK$106,$AF48),1),IF($AG48&gt;0,INDEX(BK$7:BK$106,$AG48),1),IF($AH48&gt;0,INDEX(BK$7:BK$106,$AH48),1),IF($AI48&gt;0,INDEX(BK$7:BK$106,$AI48),1),IF($AJ48&gt;0,INDEX(BK$7:BK$106,$AJ48),1))))</ns0:f>
        <ns0:v>1</ns0:v>
      </ns0:c>
      <ns0:c r="BM48" t="n">
        <ns0:f>IF($A48="",1,IF(BL48=1,1,--AND(IF($AC48&gt;0,INDEX(BL$7:BL$106,$AC48),1),IF($AD48&gt;0,INDEX(BL$7:BL$106,$AD48),1),IF($AE48&gt;0,INDEX(BL$7:BL$106,$AE48),1),IF($AF48&gt;0,INDEX(BL$7:BL$106,$AF48),1),IF($AG48&gt;0,INDEX(BL$7:BL$106,$AG48),1),IF($AH48&gt;0,INDEX(BL$7:BL$106,$AH48),1),IF($AI48&gt;0,INDEX(BL$7:BL$106,$AI48),1),IF($AJ48&gt;0,INDEX(BL$7:BL$106,$AJ48),1))))</ns0:f>
        <ns0:v>1</ns0:v>
      </ns0:c>
      <ns0:c r="BN48" t="n">
        <ns0:f>IF($A48="",1,IF(BM48=1,1,--AND(IF($AC48&gt;0,INDEX(BM$7:BM$106,$AC48),1),IF($AD48&gt;0,INDEX(BM$7:BM$106,$AD48),1),IF($AE48&gt;0,INDEX(BM$7:BM$106,$AE48),1),IF($AF48&gt;0,INDEX(BM$7:BM$106,$AF48),1),IF($AG48&gt;0,INDEX(BM$7:BM$106,$AG48),1),IF($AH48&gt;0,INDEX(BM$7:BM$106,$AH48),1),IF($AI48&gt;0,INDEX(BM$7:BM$106,$AI48),1),IF($AJ48&gt;0,INDEX(BM$7:BM$106,$AJ48),1))))</ns0:f>
        <ns0:v>1</ns0:v>
      </ns0:c>
      <ns0:c r="BO48" t="n">
        <ns0:f>IF($A48="",1,IF(BN48=1,1,--AND(IF($AC48&gt;0,INDEX(BN$7:BN$106,$AC48),1),IF($AD48&gt;0,INDEX(BN$7:BN$106,$AD48),1),IF($AE48&gt;0,INDEX(BN$7:BN$106,$AE48),1),IF($AF48&gt;0,INDEX(BN$7:BN$106,$AF48),1),IF($AG48&gt;0,INDEX(BN$7:BN$106,$AG48),1),IF($AH48&gt;0,INDEX(BN$7:BN$106,$AH48),1),IF($AI48&gt;0,INDEX(BN$7:BN$106,$AI48),1),IF($AJ48&gt;0,INDEX(BN$7:BN$106,$AJ48),1))))</ns0:f>
        <ns0:v>1</ns0:v>
      </ns0:c>
      <ns0:c r="BP48" t="n">
        <ns0:f>IF($A48="",1,IF(BO48=1,1,--AND(IF($AC48&gt;0,INDEX(BO$7:BO$106,$AC48),1),IF($AD48&gt;0,INDEX(BO$7:BO$106,$AD48),1),IF($AE48&gt;0,INDEX(BO$7:BO$106,$AE48),1),IF($AF48&gt;0,INDEX(BO$7:BO$106,$AF48),1),IF($AG48&gt;0,INDEX(BO$7:BO$106,$AG48),1),IF($AH48&gt;0,INDEX(BO$7:BO$106,$AH48),1),IF($AI48&gt;0,INDEX(BO$7:BO$106,$AI48),1),IF($AJ48&gt;0,INDEX(BO$7:BO$106,$AJ48),1))))</ns0:f>
        <ns0:v>1</ns0:v>
      </ns0:c>
      <ns0:c r="BQ48" t="n">
        <ns0:f>IF($A48="",1,IF(BP48=1,1,--AND(IF($AC48&gt;0,INDEX(BP$7:BP$106,$AC48),1),IF($AD48&gt;0,INDEX(BP$7:BP$106,$AD48),1),IF($AE48&gt;0,INDEX(BP$7:BP$106,$AE48),1),IF($AF48&gt;0,INDEX(BP$7:BP$106,$AF48),1),IF($AG48&gt;0,INDEX(BP$7:BP$106,$AG48),1),IF($AH48&gt;0,INDEX(BP$7:BP$106,$AH48),1),IF($AI48&gt;0,INDEX(BP$7:BP$106,$AI48),1),IF($AJ48&gt;0,INDEX(BP$7:BP$106,$AJ48),1))))</ns0:f>
        <ns0:v>1</ns0:v>
      </ns0:c>
      <ns0:c r="BR48" t="n">
        <ns0:f>IF($A48="",1,IF(BQ48=1,1,--AND(IF($AC48&gt;0,INDEX(BQ$7:BQ$106,$AC48),1),IF($AD48&gt;0,INDEX(BQ$7:BQ$106,$AD48),1),IF($AE48&gt;0,INDEX(BQ$7:BQ$106,$AE48),1),IF($AF48&gt;0,INDEX(BQ$7:BQ$106,$AF48),1),IF($AG48&gt;0,INDEX(BQ$7:BQ$106,$AG48),1),IF($AH48&gt;0,INDEX(BQ$7:BQ$106,$AH48),1),IF($AI48&gt;0,INDEX(BQ$7:BQ$106,$AI48),1),IF($AJ48&gt;0,INDEX(BQ$7:BQ$106,$AJ48),1))))</ns0:f>
        <ns0:v>1</ns0:v>
      </ns0:c>
      <ns0:c r="BS48" t="n">
        <ns0:f>IF($A48="",1,IF(BR48=1,1,--AND(IF($AC48&gt;0,INDEX(BR$7:BR$106,$AC48),1),IF($AD48&gt;0,INDEX(BR$7:BR$106,$AD48),1),IF($AE48&gt;0,INDEX(BR$7:BR$106,$AE48),1),IF($AF48&gt;0,INDEX(BR$7:BR$106,$AF48),1),IF($AG48&gt;0,INDEX(BR$7:BR$106,$AG48),1),IF($AH48&gt;0,INDEX(BR$7:BR$106,$AH48),1),IF($AI48&gt;0,INDEX(BR$7:BR$106,$AI48),1),IF($AJ48&gt;0,INDEX(BR$7:BR$106,$AJ48),1))))</ns0:f>
        <ns0:v>1</ns0:v>
      </ns0:c>
      <ns0:c r="BT48" t="n">
        <ns0:f>IF($A48="",1,IF(BS48=1,1,--AND(IF($AC48&gt;0,INDEX(BS$7:BS$106,$AC48),1),IF($AD48&gt;0,INDEX(BS$7:BS$106,$AD48),1),IF($AE48&gt;0,INDEX(BS$7:BS$106,$AE48),1),IF($AF48&gt;0,INDEX(BS$7:BS$106,$AF48),1),IF($AG48&gt;0,INDEX(BS$7:BS$106,$AG48),1),IF($AH48&gt;0,INDEX(BS$7:BS$106,$AH48),1),IF($AI48&gt;0,INDEX(BS$7:BS$106,$AI48),1),IF($AJ48&gt;0,INDEX(BS$7:BS$106,$AJ48),1))))</ns0:f>
        <ns0:v>1</ns0:v>
      </ns0:c>
      <ns0:c r="BU48" t="n">
        <ns0:f>IF($A48="",1,IF(BT48=1,1,--AND(IF($AC48&gt;0,INDEX(BT$7:BT$106,$AC48),1),IF($AD48&gt;0,INDEX(BT$7:BT$106,$AD48),1),IF($AE48&gt;0,INDEX(BT$7:BT$106,$AE48),1),IF($AF48&gt;0,INDEX(BT$7:BT$106,$AF48),1),IF($AG48&gt;0,INDEX(BT$7:BT$106,$AG48),1),IF($AH48&gt;0,INDEX(BT$7:BT$106,$AH48),1),IF($AI48&gt;0,INDEX(BT$7:BT$106,$AI48),1),IF($AJ48&gt;0,INDEX(BT$7:BT$106,$AJ48),1))))</ns0:f>
        <ns0:v>1</ns0:v>
      </ns0:c>
      <ns0:c r="BV48" t="n">
        <ns0:f>IF($A48="",1,IF(BU48=1,1,--AND(IF($AC48&gt;0,INDEX(BU$7:BU$106,$AC48),1),IF($AD48&gt;0,INDEX(BU$7:BU$106,$AD48),1),IF($AE48&gt;0,INDEX(BU$7:BU$106,$AE48),1),IF($AF48&gt;0,INDEX(BU$7:BU$106,$AF48),1),IF($AG48&gt;0,INDEX(BU$7:BU$106,$AG48),1),IF($AH48&gt;0,INDEX(BU$7:BU$106,$AH48),1),IF($AI48&gt;0,INDEX(BU$7:BU$106,$AI48),1),IF($AJ48&gt;0,INDEX(BU$7:BU$106,$AJ48),1))))</ns0:f>
        <ns0:v>1</ns0:v>
      </ns0:c>
      <ns0:c r="BW48" t="n">
        <ns0:f>IF($A48="",1,IF(BV48=1,1,--AND(IF($AC48&gt;0,INDEX(BV$7:BV$106,$AC48),1),IF($AD48&gt;0,INDEX(BV$7:BV$106,$AD48),1),IF($AE48&gt;0,INDEX(BV$7:BV$106,$AE48),1),IF($AF48&gt;0,INDEX(BV$7:BV$106,$AF48),1),IF($AG48&gt;0,INDEX(BV$7:BV$106,$AG48),1),IF($AH48&gt;0,INDEX(BV$7:BV$106,$AH48),1),IF($AI48&gt;0,INDEX(BV$7:BV$106,$AI48),1),IF($AJ48&gt;0,INDEX(BV$7:BV$106,$AJ48),1))))</ns0:f>
        <ns0:v>1</ns0:v>
      </ns0:c>
      <ns0:c r="BX48" t="n">
        <ns0:f>IF($A48="",1,IF(BW48=1,1,--AND(IF($AC48&gt;0,INDEX(BW$7:BW$106,$AC48),1),IF($AD48&gt;0,INDEX(BW$7:BW$106,$AD48),1),IF($AE48&gt;0,INDEX(BW$7:BW$106,$AE48),1),IF($AF48&gt;0,INDEX(BW$7:BW$106,$AF48),1),IF($AG48&gt;0,INDEX(BW$7:BW$106,$AG48),1),IF($AH48&gt;0,INDEX(BW$7:BW$106,$AH48),1),IF($AI48&gt;0,INDEX(BW$7:BW$106,$AI48),1),IF($AJ48&gt;0,INDEX(BW$7:BW$106,$AJ48),1))))</ns0:f>
        <ns0:v>1</ns0:v>
      </ns0:c>
      <ns0:c r="BY48" t="n">
        <ns0:f>IF($A48="",1,IF(BX48=1,1,--AND(IF($AC48&gt;0,INDEX(BX$7:BX$106,$AC48),1),IF($AD48&gt;0,INDEX(BX$7:BX$106,$AD48),1),IF($AE48&gt;0,INDEX(BX$7:BX$106,$AE48),1),IF($AF48&gt;0,INDEX(BX$7:BX$106,$AF48),1),IF($AG48&gt;0,INDEX(BX$7:BX$106,$AG48),1),IF($AH48&gt;0,INDEX(BX$7:BX$106,$AH48),1),IF($AI48&gt;0,INDEX(BX$7:BX$106,$AI48),1),IF($AJ48&gt;0,INDEX(BX$7:BX$106,$AJ48),1))))</ns0:f>
        <ns0:v>1</ns0:v>
      </ns0:c>
      <ns0:c r="BZ48" t="n">
        <ns0:f>IF($A48="",1,IF(BY48=1,1,--AND(IF($AC48&gt;0,INDEX(BY$7:BY$106,$AC48),1),IF($AD48&gt;0,INDEX(BY$7:BY$106,$AD48),1),IF($AE48&gt;0,INDEX(BY$7:BY$106,$AE48),1),IF($AF48&gt;0,INDEX(BY$7:BY$106,$AF48),1),IF($AG48&gt;0,INDEX(BY$7:BY$106,$AG48),1),IF($AH48&gt;0,INDEX(BY$7:BY$106,$AH48),1),IF($AI48&gt;0,INDEX(BY$7:BY$106,$AI48),1),IF($AJ48&gt;0,INDEX(BY$7:BY$106,$AJ48),1))))</ns0:f>
        <ns0:v>1</ns0:v>
      </ns0:c>
      <ns0:c r="CA48" t="n">
        <ns0:f>IF($A48="",1,IF(BZ48=1,1,--AND(IF($AC48&gt;0,INDEX(BZ$7:BZ$106,$AC48),1),IF($AD48&gt;0,INDEX(BZ$7:BZ$106,$AD48),1),IF($AE48&gt;0,INDEX(BZ$7:BZ$106,$AE48),1),IF($AF48&gt;0,INDEX(BZ$7:BZ$106,$AF48),1),IF($AG48&gt;0,INDEX(BZ$7:BZ$106,$AG48),1),IF($AH48&gt;0,INDEX(BZ$7:BZ$106,$AH48),1),IF($AI48&gt;0,INDEX(BZ$7:BZ$106,$AI48),1),IF($AJ48&gt;0,INDEX(BZ$7:BZ$106,$AJ48),1))))</ns0:f>
        <ns0:v>1</ns0:v>
      </ns0:c>
      <ns0:c r="CB48" t="n">
        <ns0:f>IF($A48="",1,IF(CA48=1,1,--AND(IF($AC48&gt;0,INDEX(CA$7:CA$106,$AC48),1),IF($AD48&gt;0,INDEX(CA$7:CA$106,$AD48),1),IF($AE48&gt;0,INDEX(CA$7:CA$106,$AE48),1),IF($AF48&gt;0,INDEX(CA$7:CA$106,$AF48),1),IF($AG48&gt;0,INDEX(CA$7:CA$106,$AG48),1),IF($AH48&gt;0,INDEX(CA$7:CA$106,$AH48),1),IF($AI48&gt;0,INDEX(CA$7:CA$106,$AI48),1),IF($AJ48&gt;0,INDEX(CA$7:CA$106,$AJ48),1))))</ns0:f>
        <ns0:v>1</ns0:v>
      </ns0:c>
      <ns0:c r="CC48" t="n">
        <ns0:f>IF($A48="",1,IF(CB48=1,1,--AND(IF($AC48&gt;0,INDEX(CB$7:CB$106,$AC48),1),IF($AD48&gt;0,INDEX(CB$7:CB$106,$AD48),1),IF($AE48&gt;0,INDEX(CB$7:CB$106,$AE48),1),IF($AF48&gt;0,INDEX(CB$7:CB$106,$AF48),1),IF($AG48&gt;0,INDEX(CB$7:CB$106,$AG48),1),IF($AH48&gt;0,INDEX(CB$7:CB$106,$AH48),1),IF($AI48&gt;0,INDEX(CB$7:CB$106,$AI48),1),IF($AJ48&gt;0,INDEX(CB$7:CB$106,$AJ48),1))))</ns0:f>
        <ns0:v>1</ns0:v>
      </ns0:c>
      <ns0:c r="CD48" t="n">
        <ns0:f>IF($A48="",1,IF(CC48=1,1,--AND(IF($AC48&gt;0,INDEX(CC$7:CC$106,$AC48),1),IF($AD48&gt;0,INDEX(CC$7:CC$106,$AD48),1),IF($AE48&gt;0,INDEX(CC$7:CC$106,$AE48),1),IF($AF48&gt;0,INDEX(CC$7:CC$106,$AF48),1),IF($AG48&gt;0,INDEX(CC$7:CC$106,$AG48),1),IF($AH48&gt;0,INDEX(CC$7:CC$106,$AH48),1),IF($AI48&gt;0,INDEX(CC$7:CC$106,$AI48),1),IF($AJ48&gt;0,INDEX(CC$7:CC$106,$AJ48),1))))</ns0:f>
        <ns0:v>1</ns0:v>
      </ns0:c>
      <ns0:c r="CE48" t="n">
        <ns0:f>IF($A48="",1,IF(CD48=1,1,--AND(IF($AC48&gt;0,INDEX(CD$7:CD$106,$AC48),1),IF($AD48&gt;0,INDEX(CD$7:CD$106,$AD48),1),IF($AE48&gt;0,INDEX(CD$7:CD$106,$AE48),1),IF($AF48&gt;0,INDEX(CD$7:CD$106,$AF48),1),IF($AG48&gt;0,INDEX(CD$7:CD$106,$AG48),1),IF($AH48&gt;0,INDEX(CD$7:CD$106,$AH48),1),IF($AI48&gt;0,INDEX(CD$7:CD$106,$AI48),1),IF($AJ48&gt;0,INDEX(CD$7:CD$106,$AJ48),1))))</ns0:f>
        <ns0:v>1</ns0:v>
      </ns0:c>
      <ns0:c r="CF48" t="n">
        <ns0:f>IF($A48="",1,IF(CE48=1,1,--AND(IF($AC48&gt;0,INDEX(CE$7:CE$106,$AC48),1),IF($AD48&gt;0,INDEX(CE$7:CE$106,$AD48),1),IF($AE48&gt;0,INDEX(CE$7:CE$106,$AE48),1),IF($AF48&gt;0,INDEX(CE$7:CE$106,$AF48),1),IF($AG48&gt;0,INDEX(CE$7:CE$106,$AG48),1),IF($AH48&gt;0,INDEX(CE$7:CE$106,$AH48),1),IF($AI48&gt;0,INDEX(CE$7:CE$106,$AI48),1),IF($AJ48&gt;0,INDEX(CE$7:CE$106,$AJ48),1))))</ns0:f>
        <ns0:v>1</ns0:v>
      </ns0:c>
      <ns0:c r="CG48" t="n">
        <ns0:f>IF($A48="",1,IF(CF48=1,1,--AND(IF($AC48&gt;0,INDEX(CF$7:CF$106,$AC48),1),IF($AD48&gt;0,INDEX(CF$7:CF$106,$AD48),1),IF($AE48&gt;0,INDEX(CF$7:CF$106,$AE48),1),IF($AF48&gt;0,INDEX(CF$7:CF$106,$AF48),1),IF($AG48&gt;0,INDEX(CF$7:CF$106,$AG48),1),IF($AH48&gt;0,INDEX(CF$7:CF$106,$AH48),1),IF($AI48&gt;0,INDEX(CF$7:CF$106,$AI48),1),IF($AJ48&gt;0,INDEX(CF$7:CF$106,$AJ48),1))))</ns0:f>
        <ns0:v>1</ns0:v>
      </ns0:c>
      <ns0:c r="CH48" t="n">
        <ns0:f>IF($A48="",1,IF(CG48=1,1,--AND(IF($AC48&gt;0,INDEX(CG$7:CG$106,$AC48),1),IF($AD48&gt;0,INDEX(CG$7:CG$106,$AD48),1),IF($AE48&gt;0,INDEX(CG$7:CG$106,$AE48),1),IF($AF48&gt;0,INDEX(CG$7:CG$106,$AF48),1),IF($AG48&gt;0,INDEX(CG$7:CG$106,$AG48),1),IF($AH48&gt;0,INDEX(CG$7:CG$106,$AH48),1),IF($AI48&gt;0,INDEX(CG$7:CG$106,$AI48),1),IF($AJ48&gt;0,INDEX(CG$7:CG$106,$AJ48),1))))</ns0:f>
        <ns0:v>1</ns0:v>
      </ns0:c>
      <ns0:c r="CI48" t="n">
        <ns0:f>IF($A48="",1,IF(CH48=1,1,--AND(IF($AC48&gt;0,INDEX(CH$7:CH$106,$AC48),1),IF($AD48&gt;0,INDEX(CH$7:CH$106,$AD48),1),IF($AE48&gt;0,INDEX(CH$7:CH$106,$AE48),1),IF($AF48&gt;0,INDEX(CH$7:CH$106,$AF48),1),IF($AG48&gt;0,INDEX(CH$7:CH$106,$AG48),1),IF($AH48&gt;0,INDEX(CH$7:CH$106,$AH48),1),IF($AI48&gt;0,INDEX(CH$7:CH$106,$AI48),1),IF($AJ48&gt;0,INDEX(CH$7:CH$106,$AJ48),1))))</ns0:f>
        <ns0:v>1</ns0:v>
      </ns0:c>
      <ns0:c r="CJ48" t="n">
        <ns0:f>IF($A48="",1,IF(CI48=1,1,--AND(IF($AC48&gt;0,INDEX(CI$7:CI$106,$AC48),1),IF($AD48&gt;0,INDEX(CI$7:CI$106,$AD48),1),IF($AE48&gt;0,INDEX(CI$7:CI$106,$AE48),1),IF($AF48&gt;0,INDEX(CI$7:CI$106,$AF48),1),IF($AG48&gt;0,INDEX(CI$7:CI$106,$AG48),1),IF($AH48&gt;0,INDEX(CI$7:CI$106,$AH48),1),IF($AI48&gt;0,INDEX(CI$7:CI$106,$AI48),1),IF($AJ48&gt;0,INDEX(CI$7:CI$106,$AJ48),1))))</ns0:f>
        <ns0:v>1</ns0:v>
      </ns0:c>
      <ns0:c r="CK48" t="n">
        <ns0:f>IF($A48="",1,IF(CJ48=1,1,--AND(IF($AC48&gt;0,INDEX(CJ$7:CJ$106,$AC48),1),IF($AD48&gt;0,INDEX(CJ$7:CJ$106,$AD48),1),IF($AE48&gt;0,INDEX(CJ$7:CJ$106,$AE48),1),IF($AF48&gt;0,INDEX(CJ$7:CJ$106,$AF48),1),IF($AG48&gt;0,INDEX(CJ$7:CJ$106,$AG48),1),IF($AH48&gt;0,INDEX(CJ$7:CJ$106,$AH48),1),IF($AI48&gt;0,INDEX(CJ$7:CJ$106,$AI48),1),IF($AJ48&gt;0,INDEX(CJ$7:CJ$106,$AJ48),1))))</ns0:f>
        <ns0:v>1</ns0:v>
      </ns0:c>
      <ns0:c r="CL48" t="n">
        <ns0:f>IF($A48="",1,IF(CK48=1,1,--AND(IF($AC48&gt;0,INDEX(CK$7:CK$106,$AC48),1),IF($AD48&gt;0,INDEX(CK$7:CK$106,$AD48),1),IF($AE48&gt;0,INDEX(CK$7:CK$106,$AE48),1),IF($AF48&gt;0,INDEX(CK$7:CK$106,$AF48),1),IF($AG48&gt;0,INDEX(CK$7:CK$106,$AG48),1),IF($AH48&gt;0,INDEX(CK$7:CK$106,$AH48),1),IF($AI48&gt;0,INDEX(CK$7:CK$106,$AI48),1),IF($AJ48&gt;0,INDEX(CK$7:CK$106,$AJ48),1))))</ns0:f>
        <ns0:v>1</ns0:v>
      </ns0:c>
      <ns0:c r="CM48" t="n">
        <ns0:f>IF($A48="",1,IF(CL48=1,1,--AND(IF($AC48&gt;0,INDEX(CL$7:CL$106,$AC48),1),IF($AD48&gt;0,INDEX(CL$7:CL$106,$AD48),1),IF($AE48&gt;0,INDEX(CL$7:CL$106,$AE48),1),IF($AF48&gt;0,INDEX(CL$7:CL$106,$AF48),1),IF($AG48&gt;0,INDEX(CL$7:CL$106,$AG48),1),IF($AH48&gt;0,INDEX(CL$7:CL$106,$AH48),1),IF($AI48&gt;0,INDEX(CL$7:CL$106,$AI48),1),IF($AJ48&gt;0,INDEX(CL$7:CL$106,$AJ48),1))))</ns0:f>
        <ns0:v>1</ns0:v>
      </ns0:c>
      <ns0:c r="CN48" t="n">
        <ns0:f>IF($A48="",1,IF(CM48=1,1,--AND(IF($AC48&gt;0,INDEX(CM$7:CM$106,$AC48),1),IF($AD48&gt;0,INDEX(CM$7:CM$106,$AD48),1),IF($AE48&gt;0,INDEX(CM$7:CM$106,$AE48),1),IF($AF48&gt;0,INDEX(CM$7:CM$106,$AF48),1),IF($AG48&gt;0,INDEX(CM$7:CM$106,$AG48),1),IF($AH48&gt;0,INDEX(CM$7:CM$106,$AH48),1),IF($AI48&gt;0,INDEX(CM$7:CM$106,$AI48),1),IF($AJ48&gt;0,INDEX(CM$7:CM$106,$AJ48),1))))</ns0:f>
        <ns0:v>1</ns0:v>
      </ns0:c>
      <ns0:c r="CO48" t="n">
        <ns0:f>IF($A48="",1,IF(CN48=1,1,--AND(IF($AC48&gt;0,INDEX(CN$7:CN$106,$AC48),1),IF($AD48&gt;0,INDEX(CN$7:CN$106,$AD48),1),IF($AE48&gt;0,INDEX(CN$7:CN$106,$AE48),1),IF($AF48&gt;0,INDEX(CN$7:CN$106,$AF48),1),IF($AG48&gt;0,INDEX(CN$7:CN$106,$AG48),1),IF($AH48&gt;0,INDEX(CN$7:CN$106,$AH48),1),IF($AI48&gt;0,INDEX(CN$7:CN$106,$AI48),1),IF($AJ48&gt;0,INDEX(CN$7:CN$106,$AJ48),1))))</ns0:f>
        <ns0:v>1</ns0:v>
      </ns0:c>
      <ns0:c r="CP48" t="n">
        <ns0:f>IF($A48="",1,IF(CO48=1,1,--AND(IF($AC48&gt;0,INDEX(CO$7:CO$106,$AC48),1),IF($AD48&gt;0,INDEX(CO$7:CO$106,$AD48),1),IF($AE48&gt;0,INDEX(CO$7:CO$106,$AE48),1),IF($AF48&gt;0,INDEX(CO$7:CO$106,$AF48),1),IF($AG48&gt;0,INDEX(CO$7:CO$106,$AG48),1),IF($AH48&gt;0,INDEX(CO$7:CO$106,$AH48),1),IF($AI48&gt;0,INDEX(CO$7:CO$106,$AI48),1),IF($AJ48&gt;0,INDEX(CO$7:CO$106,$AJ48),1))))</ns0:f>
        <ns0:v>1</ns0:v>
      </ns0:c>
      <ns0:c r="CQ48" t="n">
        <ns0:f>IF($A48="",1,IF(CP48=1,1,--AND(IF($AC48&gt;0,INDEX(CP$7:CP$106,$AC48),1),IF($AD48&gt;0,INDEX(CP$7:CP$106,$AD48),1),IF($AE48&gt;0,INDEX(CP$7:CP$106,$AE48),1),IF($AF48&gt;0,INDEX(CP$7:CP$106,$AF48),1),IF($AG48&gt;0,INDEX(CP$7:CP$106,$AG48),1),IF($AH48&gt;0,INDEX(CP$7:CP$106,$AH48),1),IF($AI48&gt;0,INDEX(CP$7:CP$106,$AI48),1),IF($AJ48&gt;0,INDEX(CP$7:CP$106,$AJ48),1))))</ns0:f>
        <ns0:v>1</ns0:v>
      </ns0:c>
      <ns0:c r="CR48" t="n">
        <ns0:f>IF($A48="",1,IF(CQ48=1,1,--AND(IF($AC48&gt;0,INDEX(CQ$7:CQ$106,$AC48),1),IF($AD48&gt;0,INDEX(CQ$7:CQ$106,$AD48),1),IF($AE48&gt;0,INDEX(CQ$7:CQ$106,$AE48),1),IF($AF48&gt;0,INDEX(CQ$7:CQ$106,$AF48),1),IF($AG48&gt;0,INDEX(CQ$7:CQ$106,$AG48),1),IF($AH48&gt;0,INDEX(CQ$7:CQ$106,$AH48),1),IF($AI48&gt;0,INDEX(CQ$7:CQ$106,$AI48),1),IF($AJ48&gt;0,INDEX(CQ$7:CQ$106,$AJ48),1))))</ns0:f>
        <ns0:v>1</ns0:v>
      </ns0:c>
      <ns0:c r="CS48" t="n">
        <ns0:f>IF($A48="",1,IF(CR48=1,1,--AND(IF($AC48&gt;0,INDEX(CR$7:CR$106,$AC48),1),IF($AD48&gt;0,INDEX(CR$7:CR$106,$AD48),1),IF($AE48&gt;0,INDEX(CR$7:CR$106,$AE48),1),IF($AF48&gt;0,INDEX(CR$7:CR$106,$AF48),1),IF($AG48&gt;0,INDEX(CR$7:CR$106,$AG48),1),IF($AH48&gt;0,INDEX(CR$7:CR$106,$AH48),1),IF($AI48&gt;0,INDEX(CR$7:CR$106,$AI48),1),IF($AJ48&gt;0,INDEX(CR$7:CR$106,$AJ48),1))))</ns0:f>
        <ns0:v>1</ns0:v>
      </ns0:c>
      <ns0:c r="CT48" t="n">
        <ns0:f>IF($A48="",1,IF(CS48=1,1,--AND(IF($AC48&gt;0,INDEX(CS$7:CS$106,$AC48),1),IF($AD48&gt;0,INDEX(CS$7:CS$106,$AD48),1),IF($AE48&gt;0,INDEX(CS$7:CS$106,$AE48),1),IF($AF48&gt;0,INDEX(CS$7:CS$106,$AF48),1),IF($AG48&gt;0,INDEX(CS$7:CS$106,$AG48),1),IF($AH48&gt;0,INDEX(CS$7:CS$106,$AH48),1),IF($AI48&gt;0,INDEX(CS$7:CS$106,$AI48),1),IF($AJ48&gt;0,INDEX(CS$7:CS$106,$AJ48),1))))</ns0:f>
        <ns0:v>1</ns0:v>
      </ns0:c>
      <ns0:c r="CU48" t="n">
        <ns0:f>IF($A48="",1,IF(CT48=1,1,--AND(IF($AC48&gt;0,INDEX(CT$7:CT$106,$AC48),1),IF($AD48&gt;0,INDEX(CT$7:CT$106,$AD48),1),IF($AE48&gt;0,INDEX(CT$7:CT$106,$AE48),1),IF($AF48&gt;0,INDEX(CT$7:CT$106,$AF48),1),IF($AG48&gt;0,INDEX(CT$7:CT$106,$AG48),1),IF($AH48&gt;0,INDEX(CT$7:CT$106,$AH48),1),IF($AI48&gt;0,INDEX(CT$7:CT$106,$AI48),1),IF($AJ48&gt;0,INDEX(CT$7:CT$106,$AJ48),1))))</ns0:f>
        <ns0:v>1</ns0:v>
      </ns0:c>
      <ns0:c r="CV48" t="n">
        <ns0:f>IF($A48="",1,IF(CU48=1,1,--AND(IF($AC48&gt;0,INDEX(CU$7:CU$106,$AC48),1),IF($AD48&gt;0,INDEX(CU$7:CU$106,$AD48),1),IF($AE48&gt;0,INDEX(CU$7:CU$106,$AE48),1),IF($AF48&gt;0,INDEX(CU$7:CU$106,$AF48),1),IF($AG48&gt;0,INDEX(CU$7:CU$106,$AG48),1),IF($AH48&gt;0,INDEX(CU$7:CU$106,$AH48),1),IF($AI48&gt;0,INDEX(CU$7:CU$106,$AI48),1),IF($AJ48&gt;0,INDEX(CU$7:CU$106,$AJ48),1))))</ns0:f>
        <ns0:v>1</ns0:v>
      </ns0:c>
      <ns0:c r="CW48" t="n">
        <ns0:f>IF($A48="",1,IF(CV48=1,1,--AND(IF($AC48&gt;0,INDEX(CV$7:CV$106,$AC48),1),IF($AD48&gt;0,INDEX(CV$7:CV$106,$AD48),1),IF($AE48&gt;0,INDEX(CV$7:CV$106,$AE48),1),IF($AF48&gt;0,INDEX(CV$7:CV$106,$AF48),1),IF($AG48&gt;0,INDEX(CV$7:CV$106,$AG48),1),IF($AH48&gt;0,INDEX(CV$7:CV$106,$AH48),1),IF($AI48&gt;0,INDEX(CV$7:CV$106,$AI48),1),IF($AJ48&gt;0,INDEX(CV$7:CV$106,$AJ48),1))))</ns0:f>
        <ns0:v>1</ns0:v>
      </ns0:c>
      <ns0:c r="CX48" t="n">
        <ns0:f>IF($A48="",1,IF(CW48=1,1,--AND(IF($AC48&gt;0,INDEX(CW$7:CW$106,$AC48),1),IF($AD48&gt;0,INDEX(CW$7:CW$106,$AD48),1),IF($AE48&gt;0,INDEX(CW$7:CW$106,$AE48),1),IF($AF48&gt;0,INDEX(CW$7:CW$106,$AF48),1),IF($AG48&gt;0,INDEX(CW$7:CW$106,$AG48),1),IF($AH48&gt;0,INDEX(CW$7:CW$106,$AH48),1),IF($AI48&gt;0,INDEX(CW$7:CW$106,$AI48),1),IF($AJ48&gt;0,INDEX(CW$7:CW$106,$AJ48),1))))</ns0:f>
        <ns0:v>1</ns0:v>
      </ns0:c>
      <ns0:c r="CY48" t="n">
        <ns0:f>IF($A48="",1,IF(CX48=1,1,--AND(IF($AC48&gt;0,INDEX(CX$7:CX$106,$AC48),1),IF($AD48&gt;0,INDEX(CX$7:CX$106,$AD48),1),IF($AE48&gt;0,INDEX(CX$7:CX$106,$AE48),1),IF($AF48&gt;0,INDEX(CX$7:CX$106,$AF48),1),IF($AG48&gt;0,INDEX(CX$7:CX$106,$AG48),1),IF($AH48&gt;0,INDEX(CX$7:CX$106,$AH48),1),IF($AI48&gt;0,INDEX(CX$7:CX$106,$AI48),1),IF($AJ48&gt;0,INDEX(CX$7:CX$106,$AJ48),1))))</ns0:f>
        <ns0:v>1</ns0:v>
      </ns0:c>
      <ns0:c r="CZ48" t="n">
        <ns0:f>IF($A48="",1,IF(CY48=1,1,--AND(IF($AC48&gt;0,INDEX(CY$7:CY$106,$AC48),1),IF($AD48&gt;0,INDEX(CY$7:CY$106,$AD48),1),IF($AE48&gt;0,INDEX(CY$7:CY$106,$AE48),1),IF($AF48&gt;0,INDEX(CY$7:CY$106,$AF48),1),IF($AG48&gt;0,INDEX(CY$7:CY$106,$AG48),1),IF($AH48&gt;0,INDEX(CY$7:CY$106,$AH48),1),IF($AI48&gt;0,INDEX(CY$7:CY$106,$AI48),1),IF($AJ48&gt;0,INDEX(CY$7:CY$106,$AJ48),1))))</ns0:f>
        <ns0:v>1</ns0:v>
      </ns0:c>
      <ns0:c r="DA48" t="n">
        <ns0:f>IF($A48="",1,IF(CZ48=1,1,--AND(IF($AC48&gt;0,INDEX(CZ$7:CZ$106,$AC48),1),IF($AD48&gt;0,INDEX(CZ$7:CZ$106,$AD48),1),IF($AE48&gt;0,INDEX(CZ$7:CZ$106,$AE48),1),IF($AF48&gt;0,INDEX(CZ$7:CZ$106,$AF48),1),IF($AG48&gt;0,INDEX(CZ$7:CZ$106,$AG48),1),IF($AH48&gt;0,INDEX(CZ$7:CZ$106,$AH48),1),IF($AI48&gt;0,INDEX(CZ$7:CZ$106,$AI48),1),IF($AJ48&gt;0,INDEX(CZ$7:CZ$106,$AJ48),1))))</ns0:f>
        <ns0:v>1</ns0:v>
      </ns0:c>
      <ns0:c r="DB48" t="n">
        <ns0:f>IF($A48="",1,IF(DA48=1,1,--AND(IF($AC48&gt;0,INDEX(DA$7:DA$106,$AC48),1),IF($AD48&gt;0,INDEX(DA$7:DA$106,$AD48),1),IF($AE48&gt;0,INDEX(DA$7:DA$106,$AE48),1),IF($AF48&gt;0,INDEX(DA$7:DA$106,$AF48),1),IF($AG48&gt;0,INDEX(DA$7:DA$106,$AG48),1),IF($AH48&gt;0,INDEX(DA$7:DA$106,$AH48),1),IF($AI48&gt;0,INDEX(DA$7:DA$106,$AI48),1),IF($AJ48&gt;0,INDEX(DA$7:DA$106,$AJ48),1))))</ns0:f>
        <ns0:v>1</ns0:v>
      </ns0:c>
      <ns0:c r="DC48" t="n">
        <ns0:f>IF($A48="",1,IF(DB48=1,1,--AND(IF($AC48&gt;0,INDEX(DB$7:DB$106,$AC48),1),IF($AD48&gt;0,INDEX(DB$7:DB$106,$AD48),1),IF($AE48&gt;0,INDEX(DB$7:DB$106,$AE48),1),IF($AF48&gt;0,INDEX(DB$7:DB$106,$AF48),1),IF($AG48&gt;0,INDEX(DB$7:DB$106,$AG48),1),IF($AH48&gt;0,INDEX(DB$7:DB$106,$AH48),1),IF($AI48&gt;0,INDEX(DB$7:DB$106,$AI48),1),IF($AJ48&gt;0,INDEX(DB$7:DB$106,$AJ48),1))))</ns0:f>
        <ns0:v>1</ns0:v>
      </ns0:c>
      <ns0:c r="DD48" t="n">
        <ns0:f>IF($A48="",1,IF(DC48=1,1,--AND(IF($AC48&gt;0,INDEX(DC$7:DC$106,$AC48),1),IF($AD48&gt;0,INDEX(DC$7:DC$106,$AD48),1),IF($AE48&gt;0,INDEX(DC$7:DC$106,$AE48),1),IF($AF48&gt;0,INDEX(DC$7:DC$106,$AF48),1),IF($AG48&gt;0,INDEX(DC$7:DC$106,$AG48),1),IF($AH48&gt;0,INDEX(DC$7:DC$106,$AH48),1),IF($AI48&gt;0,INDEX(DC$7:DC$106,$AI48),1),IF($AJ48&gt;0,INDEX(DC$7:DC$106,$AJ48),1))))</ns0:f>
        <ns0:v>1</ns0:v>
      </ns0:c>
      <ns0:c r="DE48" t="n">
        <ns0:f>IF($A48="",1,IF(DD48=1,1,--AND(IF($AC48&gt;0,INDEX(DD$7:DD$106,$AC48),1),IF($AD48&gt;0,INDEX(DD$7:DD$106,$AD48),1),IF($AE48&gt;0,INDEX(DD$7:DD$106,$AE48),1),IF($AF48&gt;0,INDEX(DD$7:DD$106,$AF48),1),IF($AG48&gt;0,INDEX(DD$7:DD$106,$AG48),1),IF($AH48&gt;0,INDEX(DD$7:DD$106,$AH48),1),IF($AI48&gt;0,INDEX(DD$7:DD$106,$AI48),1),IF($AJ48&gt;0,INDEX(DD$7:DD$106,$AJ48),1))))</ns0:f>
        <ns0:v>1</ns0:v>
      </ns0:c>
      <ns0:c r="DF48" t="n">
        <ns0:f>IF($A48="",1,IF(DE48=1,1,--AND(IF($AC48&gt;0,INDEX(DE$7:DE$106,$AC48),1),IF($AD48&gt;0,INDEX(DE$7:DE$106,$AD48),1),IF($AE48&gt;0,INDEX(DE$7:DE$106,$AE48),1),IF($AF48&gt;0,INDEX(DE$7:DE$106,$AF48),1),IF($AG48&gt;0,INDEX(DE$7:DE$106,$AG48),1),IF($AH48&gt;0,INDEX(DE$7:DE$106,$AH48),1),IF($AI48&gt;0,INDEX(DE$7:DE$106,$AI48),1),IF($AJ48&gt;0,INDEX(DE$7:DE$106,$AJ48),1))))</ns0:f>
        <ns0:v>1</ns0:v>
      </ns0:c>
      <ns0:c r="DG48" t="n">
        <ns0:f>IF($A48="",1,IF(DF48=1,1,--AND(IF($AC48&gt;0,INDEX(DF$7:DF$106,$AC48),1),IF($AD48&gt;0,INDEX(DF$7:DF$106,$AD48),1),IF($AE48&gt;0,INDEX(DF$7:DF$106,$AE48),1),IF($AF48&gt;0,INDEX(DF$7:DF$106,$AF48),1),IF($AG48&gt;0,INDEX(DF$7:DF$106,$AG48),1),IF($AH48&gt;0,INDEX(DF$7:DF$106,$AH48),1),IF($AI48&gt;0,INDEX(DF$7:DF$106,$AI48),1),IF($AJ48&gt;0,INDEX(DF$7:DF$106,$AJ48),1))))</ns0:f>
        <ns0:v>1</ns0:v>
      </ns0:c>
      <ns0:c r="DH48" t="n">
        <ns0:f>IF($A48="",1,IF(DG48=1,1,--AND(IF($AC48&gt;0,INDEX(DG$7:DG$106,$AC48),1),IF($AD48&gt;0,INDEX(DG$7:DG$106,$AD48),1),IF($AE48&gt;0,INDEX(DG$7:DG$106,$AE48),1),IF($AF48&gt;0,INDEX(DG$7:DG$106,$AF48),1),IF($AG48&gt;0,INDEX(DG$7:DG$106,$AG48),1),IF($AH48&gt;0,INDEX(DG$7:DG$106,$AH48),1),IF($AI48&gt;0,INDEX(DG$7:DG$106,$AI48),1),IF($AJ48&gt;0,INDEX(DG$7:DG$106,$AJ48),1))))</ns0:f>
        <ns0:v>1</ns0:v>
      </ns0:c>
      <ns0:c r="DI48" t="n">
        <ns0:f>IF($A48="",1,IF(DH48=1,1,--AND(IF($AC48&gt;0,INDEX(DH$7:DH$106,$AC48),1),IF($AD48&gt;0,INDEX(DH$7:DH$106,$AD48),1),IF($AE48&gt;0,INDEX(DH$7:DH$106,$AE48),1),IF($AF48&gt;0,INDEX(DH$7:DH$106,$AF48),1),IF($AG48&gt;0,INDEX(DH$7:DH$106,$AG48),1),IF($AH48&gt;0,INDEX(DH$7:DH$106,$AH48),1),IF($AI48&gt;0,INDEX(DH$7:DH$106,$AI48),1),IF($AJ48&gt;0,INDEX(DH$7:DH$106,$AJ48),1))))</ns0:f>
        <ns0:v>1</ns0:v>
      </ns0:c>
      <ns0:c r="DJ48" t="n">
        <ns0:f>IF($A48="",1,IF(DI48=1,1,--AND(IF($AC48&gt;0,INDEX(DI$7:DI$106,$AC48),1),IF($AD48&gt;0,INDEX(DI$7:DI$106,$AD48),1),IF($AE48&gt;0,INDEX(DI$7:DI$106,$AE48),1),IF($AF48&gt;0,INDEX(DI$7:DI$106,$AF48),1),IF($AG48&gt;0,INDEX(DI$7:DI$106,$AG48),1),IF($AH48&gt;0,INDEX(DI$7:DI$106,$AH48),1),IF($AI48&gt;0,INDEX(DI$7:DI$106,$AI48),1),IF($AJ48&gt;0,INDEX(DI$7:DI$106,$AJ48),1))))</ns0:f>
        <ns0:v>1</ns0:v>
      </ns0:c>
      <ns0:c r="DK48" t="n">
        <ns0:f>IF($A48="",1,IF(DJ48=1,1,--AND(IF($AC48&gt;0,INDEX(DJ$7:DJ$106,$AC48),1),IF($AD48&gt;0,INDEX(DJ$7:DJ$106,$AD48),1),IF($AE48&gt;0,INDEX(DJ$7:DJ$106,$AE48),1),IF($AF48&gt;0,INDEX(DJ$7:DJ$106,$AF48),1),IF($AG48&gt;0,INDEX(DJ$7:DJ$106,$AG48),1),IF($AH48&gt;0,INDEX(DJ$7:DJ$106,$AH48),1),IF($AI48&gt;0,INDEX(DJ$7:DJ$106,$AI48),1),IF($AJ48&gt;0,INDEX(DJ$7:DJ$106,$AJ48),1))))</ns0:f>
        <ns0:v>1</ns0:v>
      </ns0:c>
      <ns0:c r="DL48" t="n">
        <ns0:f>IF($A48="",1,IF(DK48=1,1,--AND(IF($AC48&gt;0,INDEX(DK$7:DK$106,$AC48),1),IF($AD48&gt;0,INDEX(DK$7:DK$106,$AD48),1),IF($AE48&gt;0,INDEX(DK$7:DK$106,$AE48),1),IF($AF48&gt;0,INDEX(DK$7:DK$106,$AF48),1),IF($AG48&gt;0,INDEX(DK$7:DK$106,$AG48),1),IF($AH48&gt;0,INDEX(DK$7:DK$106,$AH48),1),IF($AI48&gt;0,INDEX(DK$7:DK$106,$AI48),1),IF($AJ48&gt;0,INDEX(DK$7:DK$106,$AJ48),1))))</ns0:f>
        <ns0:v>1</ns0:v>
      </ns0:c>
      <ns0:c r="DM48" t="n">
        <ns0:f>IF($A48="",1,IF(DL48=1,1,--AND(IF($AC48&gt;0,INDEX(DL$7:DL$106,$AC48),1),IF($AD48&gt;0,INDEX(DL$7:DL$106,$AD48),1),IF($AE48&gt;0,INDEX(DL$7:DL$106,$AE48),1),IF($AF48&gt;0,INDEX(DL$7:DL$106,$AF48),1),IF($AG48&gt;0,INDEX(DL$7:DL$106,$AG48),1),IF($AH48&gt;0,INDEX(DL$7:DL$106,$AH48),1),IF($AI48&gt;0,INDEX(DL$7:DL$106,$AI48),1),IF($AJ48&gt;0,INDEX(DL$7:DL$106,$AJ48),1))))</ns0:f>
        <ns0:v>1</ns0:v>
      </ns0:c>
      <ns0:c r="DN48" t="n">
        <ns0:f>IF($A48="",1,IF(DM48=1,1,--AND(IF($AC48&gt;0,INDEX(DM$7:DM$106,$AC48),1),IF($AD48&gt;0,INDEX(DM$7:DM$106,$AD48),1),IF($AE48&gt;0,INDEX(DM$7:DM$106,$AE48),1),IF($AF48&gt;0,INDEX(DM$7:DM$106,$AF48),1),IF($AG48&gt;0,INDEX(DM$7:DM$106,$AG48),1),IF($AH48&gt;0,INDEX(DM$7:DM$106,$AH48),1),IF($AI48&gt;0,INDEX(DM$7:DM$106,$AI48),1),IF($AJ48&gt;0,INDEX(DM$7:DM$106,$AJ48),1))))</ns0:f>
        <ns0:v>1</ns0:v>
      </ns0:c>
      <ns0:c r="DO48" t="n">
        <ns0:f>IF($A48="",1,IF(DN48=1,1,--AND(IF($AC48&gt;0,INDEX(DN$7:DN$106,$AC48),1),IF($AD48&gt;0,INDEX(DN$7:DN$106,$AD48),1),IF($AE48&gt;0,INDEX(DN$7:DN$106,$AE48),1),IF($AF48&gt;0,INDEX(DN$7:DN$106,$AF48),1),IF($AG48&gt;0,INDEX(DN$7:DN$106,$AG48),1),IF($AH48&gt;0,INDEX(DN$7:DN$106,$AH48),1),IF($AI48&gt;0,INDEX(DN$7:DN$106,$AI48),1),IF($AJ48&gt;0,INDEX(DN$7:DN$106,$AJ48),1))))</ns0:f>
        <ns0:v>1</ns0:v>
      </ns0:c>
      <ns0:c r="DP48" t="n">
        <ns0:f>IF($A48="",1,IF(DO48=1,1,--AND(IF($AC48&gt;0,INDEX(DO$7:DO$106,$AC48),1),IF($AD48&gt;0,INDEX(DO$7:DO$106,$AD48),1),IF($AE48&gt;0,INDEX(DO$7:DO$106,$AE48),1),IF($AF48&gt;0,INDEX(DO$7:DO$106,$AF48),1),IF($AG48&gt;0,INDEX(DO$7:DO$106,$AG48),1),IF($AH48&gt;0,INDEX(DO$7:DO$106,$AH48),1),IF($AI48&gt;0,INDEX(DO$7:DO$106,$AI48),1),IF($AJ48&gt;0,INDEX(DO$7:DO$106,$AJ48),1))))</ns0:f>
        <ns0:v>1</ns0:v>
      </ns0:c>
      <ns0:c r="DQ48" t="n">
        <ns0:f>IF($A48="",1,IF(DP48=1,1,--AND(IF($AC48&gt;0,INDEX(DP$7:DP$106,$AC48),1),IF($AD48&gt;0,INDEX(DP$7:DP$106,$AD48),1),IF($AE48&gt;0,INDEX(DP$7:DP$106,$AE48),1),IF($AF48&gt;0,INDEX(DP$7:DP$106,$AF48),1),IF($AG48&gt;0,INDEX(DP$7:DP$106,$AG48),1),IF($AH48&gt;0,INDEX(DP$7:DP$106,$AH48),1),IF($AI48&gt;0,INDEX(DP$7:DP$106,$AI48),1),IF($AJ48&gt;0,INDEX(DP$7:DP$106,$AJ48),1))))</ns0:f>
        <ns0:v>1</ns0:v>
      </ns0:c>
      <ns0:c r="DR48" t="n">
        <ns0:f>IF($A48="",1,IF(DQ48=1,1,--AND(IF($AC48&gt;0,INDEX(DQ$7:DQ$106,$AC48),1),IF($AD48&gt;0,INDEX(DQ$7:DQ$106,$AD48),1),IF($AE48&gt;0,INDEX(DQ$7:DQ$106,$AE48),1),IF($AF48&gt;0,INDEX(DQ$7:DQ$106,$AF48),1),IF($AG48&gt;0,INDEX(DQ$7:DQ$106,$AG48),1),IF($AH48&gt;0,INDEX(DQ$7:DQ$106,$AH48),1),IF($AI48&gt;0,INDEX(DQ$7:DQ$106,$AI48),1),IF($AJ48&gt;0,INDEX(DQ$7:DQ$106,$AJ48),1))))</ns0:f>
        <ns0:v>1</ns0:v>
      </ns0:c>
      <ns0:c r="DS48" t="n">
        <ns0:f>IF($A48="",1,IF(DR48=1,1,--AND(IF($AC48&gt;0,INDEX(DR$7:DR$106,$AC48),1),IF($AD48&gt;0,INDEX(DR$7:DR$106,$AD48),1),IF($AE48&gt;0,INDEX(DR$7:DR$106,$AE48),1),IF($AF48&gt;0,INDEX(DR$7:DR$106,$AF48),1),IF($AG48&gt;0,INDEX(DR$7:DR$106,$AG48),1),IF($AH48&gt;0,INDEX(DR$7:DR$106,$AH48),1),IF($AI48&gt;0,INDEX(DR$7:DR$106,$AI48),1),IF($AJ48&gt;0,INDEX(DR$7:DR$106,$AJ48),1))))</ns0:f>
        <ns0:v>1</ns0:v>
      </ns0:c>
      <ns0:c r="DT48" t="n">
        <ns0:f>IF($A48="",1,IF(DS48=1,1,--AND(IF($AC48&gt;0,INDEX(DS$7:DS$106,$AC48),1),IF($AD48&gt;0,INDEX(DS$7:DS$106,$AD48),1),IF($AE48&gt;0,INDEX(DS$7:DS$106,$AE48),1),IF($AF48&gt;0,INDEX(DS$7:DS$106,$AF48),1),IF($AG48&gt;0,INDEX(DS$7:DS$106,$AG48),1),IF($AH48&gt;0,INDEX(DS$7:DS$106,$AH48),1),IF($AI48&gt;0,INDEX(DS$7:DS$106,$AI48),1),IF($AJ48&gt;0,INDEX(DS$7:DS$106,$AJ48),1))))</ns0:f>
        <ns0:v>1</ns0:v>
      </ns0:c>
      <ns0:c r="DU48" t="n">
        <ns0:f>IF($A48="",1,IF(DT48=1,1,--AND(IF($AC48&gt;0,INDEX(DT$7:DT$106,$AC48),1),IF($AD48&gt;0,INDEX(DT$7:DT$106,$AD48),1),IF($AE48&gt;0,INDEX(DT$7:DT$106,$AE48),1),IF($AF48&gt;0,INDEX(DT$7:DT$106,$AF48),1),IF($AG48&gt;0,INDEX(DT$7:DT$106,$AG48),1),IF($AH48&gt;0,INDEX(DT$7:DT$106,$AH48),1),IF($AI48&gt;0,INDEX(DT$7:DT$106,$AI48),1),IF($AJ48&gt;0,INDEX(DT$7:DT$106,$AJ48),1))))</ns0:f>
        <ns0:v>1</ns0:v>
      </ns0:c>
      <ns0:c r="DV48" t="n">
        <ns0:f>IF($A48="",1,IF(DU48=1,1,--AND(IF($AC48&gt;0,INDEX(DU$7:DU$106,$AC48),1),IF($AD48&gt;0,INDEX(DU$7:DU$106,$AD48),1),IF($AE48&gt;0,INDEX(DU$7:DU$106,$AE48),1),IF($AF48&gt;0,INDEX(DU$7:DU$106,$AF48),1),IF($AG48&gt;0,INDEX(DU$7:DU$106,$AG48),1),IF($AH48&gt;0,INDEX(DU$7:DU$106,$AH48),1),IF($AI48&gt;0,INDEX(DU$7:DU$106,$AI48),1),IF($AJ48&gt;0,INDEX(DU$7:DU$106,$AJ48),1))))</ns0:f>
        <ns0:v>1</ns0:v>
      </ns0:c>
      <ns0:c r="DW48" t="n">
        <ns0:f>IF($A48="",1,IF(DV48=1,1,--AND(IF($AC48&gt;0,INDEX(DV$7:DV$106,$AC48),1),IF($AD48&gt;0,INDEX(DV$7:DV$106,$AD48),1),IF($AE48&gt;0,INDEX(DV$7:DV$106,$AE48),1),IF($AF48&gt;0,INDEX(DV$7:DV$106,$AF48),1),IF($AG48&gt;0,INDEX(DV$7:DV$106,$AG48),1),IF($AH48&gt;0,INDEX(DV$7:DV$106,$AH48),1),IF($AI48&gt;0,INDEX(DV$7:DV$106,$AI48),1),IF($AJ48&gt;0,INDEX(DV$7:DV$106,$AJ48),1))))</ns0:f>
        <ns0:v>1</ns0:v>
      </ns0:c>
      <ns0:c r="DX48" t="n">
        <ns0:f>IF($A48="",1,IF(DW48=1,1,--AND(IF($AC48&gt;0,INDEX(DW$7:DW$106,$AC48),1),IF($AD48&gt;0,INDEX(DW$7:DW$106,$AD48),1),IF($AE48&gt;0,INDEX(DW$7:DW$106,$AE48),1),IF($AF48&gt;0,INDEX(DW$7:DW$106,$AF48),1),IF($AG48&gt;0,INDEX(DW$7:DW$106,$AG48),1),IF($AH48&gt;0,INDEX(DW$7:DW$106,$AH48),1),IF($AI48&gt;0,INDEX(DW$7:DW$106,$AI48),1),IF($AJ48&gt;0,INDEX(DW$7:DW$106,$AJ48),1))))</ns0:f>
        <ns0:v>1</ns0:v>
      </ns0:c>
      <ns0:c r="DY48" t="n">
        <ns0:f>IF($A48="",1,IF(DX48=1,1,--AND(IF($AC48&gt;0,INDEX(DX$7:DX$106,$AC48),1),IF($AD48&gt;0,INDEX(DX$7:DX$106,$AD48),1),IF($AE48&gt;0,INDEX(DX$7:DX$106,$AE48),1),IF($AF48&gt;0,INDEX(DX$7:DX$106,$AF48),1),IF($AG48&gt;0,INDEX(DX$7:DX$106,$AG48),1),IF($AH48&gt;0,INDEX(DX$7:DX$106,$AH48),1),IF($AI48&gt;0,INDEX(DX$7:DX$106,$AI48),1),IF($AJ48&gt;0,INDEX(DX$7:DX$106,$AJ48),1))))</ns0:f>
        <ns0:v>1</ns0:v>
      </ns0:c>
      <ns0:c r="DZ48" t="n">
        <ns0:f>IF($A48="",1,IF(DY48=1,1,--AND(IF($AC48&gt;0,INDEX(DY$7:DY$106,$AC48),1),IF($AD48&gt;0,INDEX(DY$7:DY$106,$AD48),1),IF($AE48&gt;0,INDEX(DY$7:DY$106,$AE48),1),IF($AF48&gt;0,INDEX(DY$7:DY$106,$AF48),1),IF($AG48&gt;0,INDEX(DY$7:DY$106,$AG48),1),IF($AH48&gt;0,INDEX(DY$7:DY$106,$AH48),1),IF($AI48&gt;0,INDEX(DY$7:DY$106,$AI48),1),IF($AJ48&gt;0,INDEX(DY$7:DY$106,$AJ48),1))))</ns0:f>
        <ns0:v>1</ns0:v>
      </ns0:c>
      <ns0:c r="EA48" t="n">
        <ns0:f>IF($A48="",1,IF(DZ48=1,1,--AND(IF($AC48&gt;0,INDEX(DZ$7:DZ$106,$AC48),1),IF($AD48&gt;0,INDEX(DZ$7:DZ$106,$AD48),1),IF($AE48&gt;0,INDEX(DZ$7:DZ$106,$AE48),1),IF($AF48&gt;0,INDEX(DZ$7:DZ$106,$AF48),1),IF($AG48&gt;0,INDEX(DZ$7:DZ$106,$AG48),1),IF($AH48&gt;0,INDEX(DZ$7:DZ$106,$AH48),1),IF($AI48&gt;0,INDEX(DZ$7:DZ$106,$AI48),1),IF($AJ48&gt;0,INDEX(DZ$7:DZ$106,$AJ48),1))))</ns0:f>
        <ns0:v>1</ns0:v>
      </ns0:c>
      <ns0:c r="EB48" t="n">
        <ns0:f>IF($A48="",1,IF(EA48=1,1,--AND(IF($AC48&gt;0,INDEX(EA$7:EA$106,$AC48),1),IF($AD48&gt;0,INDEX(EA$7:EA$106,$AD48),1),IF($AE48&gt;0,INDEX(EA$7:EA$106,$AE48),1),IF($AF48&gt;0,INDEX(EA$7:EA$106,$AF48),1),IF($AG48&gt;0,INDEX(EA$7:EA$106,$AG48),1),IF($AH48&gt;0,INDEX(EA$7:EA$106,$AH48),1),IF($AI48&gt;0,INDEX(EA$7:EA$106,$AI48),1),IF($AJ48&gt;0,INDEX(EA$7:EA$106,$AJ48),1))))</ns0:f>
        <ns0:v>1</ns0:v>
      </ns0:c>
      <ns0:c r="EC48" t="n">
        <ns0:f>IF($A48="",1,IF(EB48=1,1,--AND(IF($AC48&gt;0,INDEX(EB$7:EB$106,$AC48),1),IF($AD48&gt;0,INDEX(EB$7:EB$106,$AD48),1),IF($AE48&gt;0,INDEX(EB$7:EB$106,$AE48),1),IF($AF48&gt;0,INDEX(EB$7:EB$106,$AF48),1),IF($AG48&gt;0,INDEX(EB$7:EB$106,$AG48),1),IF($AH48&gt;0,INDEX(EB$7:EB$106,$AH48),1),IF($AI48&gt;0,INDEX(EB$7:EB$106,$AI48),1),IF($AJ48&gt;0,INDEX(EB$7:EB$106,$AJ48),1))))</ns0:f>
        <ns0:v>1</ns0:v>
      </ns0:c>
      <ns0:c r="ED48" t="n">
        <ns0:f>IF($A48="",1,IF(EC48=1,1,--AND(IF($AC48&gt;0,INDEX(EC$7:EC$106,$AC48),1),IF($AD48&gt;0,INDEX(EC$7:EC$106,$AD48),1),IF($AE48&gt;0,INDEX(EC$7:EC$106,$AE48),1),IF($AF48&gt;0,INDEX(EC$7:EC$106,$AF48),1),IF($AG48&gt;0,INDEX(EC$7:EC$106,$AG48),1),IF($AH48&gt;0,INDEX(EC$7:EC$106,$AH48),1),IF($AI48&gt;0,INDEX(EC$7:EC$106,$AI48),1),IF($AJ48&gt;0,INDEX(EC$7:EC$106,$AJ48),1))))</ns0:f>
        <ns0:v>1</ns0:v>
      </ns0:c>
      <ns0:c r="EE48" t="n">
        <ns0:f>IF($A48="",1,IF(ED48=1,1,--AND(IF($AC48&gt;0,INDEX(ED$7:ED$106,$AC48),1),IF($AD48&gt;0,INDEX(ED$7:ED$106,$AD48),1),IF($AE48&gt;0,INDEX(ED$7:ED$106,$AE48),1),IF($AF48&gt;0,INDEX(ED$7:ED$106,$AF48),1),IF($AG48&gt;0,INDEX(ED$7:ED$106,$AG48),1),IF($AH48&gt;0,INDEX(ED$7:ED$106,$AH48),1),IF($AI48&gt;0,INDEX(ED$7:ED$106,$AI48),1),IF($AJ48&gt;0,INDEX(ED$7:ED$106,$AJ48),1))))</ns0:f>
        <ns0:v>1</ns0:v>
      </ns0:c>
      <ns0:c r="EF48" t="n">
        <ns0:f>IF($A48="",1,IF(EE48=1,1,--AND(IF($AC48&gt;0,INDEX(EE$7:EE$106,$AC48),1),IF($AD48&gt;0,INDEX(EE$7:EE$106,$AD48),1),IF($AE48&gt;0,INDEX(EE$7:EE$106,$AE48),1),IF($AF48&gt;0,INDEX(EE$7:EE$106,$AF48),1),IF($AG48&gt;0,INDEX(EE$7:EE$106,$AG48),1),IF($AH48&gt;0,INDEX(EE$7:EE$106,$AH48),1),IF($AI48&gt;0,INDEX(EE$7:EE$106,$AI48),1),IF($AJ48&gt;0,INDEX(EE$7:EE$106,$AJ48),1))))</ns0:f>
        <ns0:v>1</ns0:v>
      </ns0:c>
      <ns0:c r="EG48" t="n">
        <ns0:f>IF($A48="",1,IF(EF48=1,1,--AND(IF($AC48&gt;0,INDEX(EF$7:EF$106,$AC48),1),IF($AD48&gt;0,INDEX(EF$7:EF$106,$AD48),1),IF($AE48&gt;0,INDEX(EF$7:EF$106,$AE48),1),IF($AF48&gt;0,INDEX(EF$7:EF$106,$AF48),1),IF($AG48&gt;0,INDEX(EF$7:EF$106,$AG48),1),IF($AH48&gt;0,INDEX(EF$7:EF$106,$AH48),1),IF($AI48&gt;0,INDEX(EF$7:EF$106,$AI48),1),IF($AJ48&gt;0,INDEX(EF$7:EF$106,$AJ48),1))))</ns0:f>
        <ns0:v>1</ns0:v>
      </ns0:c>
      <ns0:c r="EH48" t="n">
        <ns0:f>IF($A48="",1,IF(EG48=1,1,--AND(IF($AC48&gt;0,INDEX(EG$7:EG$106,$AC48),1),IF($AD48&gt;0,INDEX(EG$7:EG$106,$AD48),1),IF($AE48&gt;0,INDEX(EG$7:EG$106,$AE48),1),IF($AF48&gt;0,INDEX(EG$7:EG$106,$AF48),1),IF($AG48&gt;0,INDEX(EG$7:EG$106,$AG48),1),IF($AH48&gt;0,INDEX(EG$7:EG$106,$AH48),1),IF($AI48&gt;0,INDEX(EG$7:EG$106,$AI48),1),IF($AJ48&gt;0,INDEX(EG$7:EG$106,$AJ48),1))))</ns0:f>
        <ns0:v>1</ns0:v>
      </ns0:c>
      <ns0:c r="EI48" t="n">
        <ns0:f>IF($A48="",1,IF(EH48=1,1,--AND(IF($AC48&gt;0,INDEX(EH$7:EH$106,$AC48),1),IF($AD48&gt;0,INDEX(EH$7:EH$106,$AD48),1),IF($AE48&gt;0,INDEX(EH$7:EH$106,$AE48),1),IF($AF48&gt;0,INDEX(EH$7:EH$106,$AF48),1),IF($AG48&gt;0,INDEX(EH$7:EH$106,$AG48),1),IF($AH48&gt;0,INDEX(EH$7:EH$106,$AH48),1),IF($AI48&gt;0,INDEX(EH$7:EH$106,$AI48),1),IF($AJ48&gt;0,INDEX(EH$7:EH$106,$AJ48),1))))</ns0:f>
        <ns0:v>1</ns0:v>
      </ns0:c>
      <ns0:c r="EJ48" t="n">
        <ns0:f>IF($A48="",1,IF(EI48=1,1,--AND(IF($AC48&gt;0,INDEX(EI$7:EI$106,$AC48),1),IF($AD48&gt;0,INDEX(EI$7:EI$106,$AD48),1),IF($AE48&gt;0,INDEX(EI$7:EI$106,$AE48),1),IF($AF48&gt;0,INDEX(EI$7:EI$106,$AF48),1),IF($AG48&gt;0,INDEX(EI$7:EI$106,$AG48),1),IF($AH48&gt;0,INDEX(EI$7:EI$106,$AH48),1),IF($AI48&gt;0,INDEX(EI$7:EI$106,$AI48),1),IF($AJ48&gt;0,INDEX(EI$7:EI$106,$AJ48),1))))</ns0:f>
        <ns0:v>1</ns0:v>
      </ns0:c>
      <ns0:c r="EK48" t="n">
        <ns0:f>IF($A48="",1,IF(EJ48=1,1,--AND(IF($AC48&gt;0,INDEX(EJ$7:EJ$106,$AC48),1),IF($AD48&gt;0,INDEX(EJ$7:EJ$106,$AD48),1),IF($AE48&gt;0,INDEX(EJ$7:EJ$106,$AE48),1),IF($AF48&gt;0,INDEX(EJ$7:EJ$106,$AF48),1),IF($AG48&gt;0,INDEX(EJ$7:EJ$106,$AG48),1),IF($AH48&gt;0,INDEX(EJ$7:EJ$106,$AH48),1),IF($AI48&gt;0,INDEX(EJ$7:EJ$106,$AI48),1),IF($AJ48&gt;0,INDEX(EJ$7:EJ$106,$AJ48),1))))</ns0:f>
        <ns0:v>1</ns0:v>
      </ns0:c>
      <ns0:c r="EL48" t="n">
        <ns0:f>IF($A48="",1,IF(EK48=1,1,--AND(IF($AC48&gt;0,INDEX(EK$7:EK$106,$AC48),1),IF($AD48&gt;0,INDEX(EK$7:EK$106,$AD48),1),IF($AE48&gt;0,INDEX(EK$7:EK$106,$AE48),1),IF($AF48&gt;0,INDEX(EK$7:EK$106,$AF48),1),IF($AG48&gt;0,INDEX(EK$7:EK$106,$AG48),1),IF($AH48&gt;0,INDEX(EK$7:EK$106,$AH48),1),IF($AI48&gt;0,INDEX(EK$7:EK$106,$AI48),1),IF($AJ48&gt;0,INDEX(EK$7:EK$106,$AJ48),1))))</ns0:f>
        <ns0:v>1</ns0:v>
      </ns0:c>
      <ns0:c r="EM48" t="n">
        <ns0:f>IF($A48="",1,IF(EL48=1,1,--AND(IF($AC48&gt;0,INDEX(EL$7:EL$106,$AC48),1),IF($AD48&gt;0,INDEX(EL$7:EL$106,$AD48),1),IF($AE48&gt;0,INDEX(EL$7:EL$106,$AE48),1),IF($AF48&gt;0,INDEX(EL$7:EL$106,$AF48),1),IF($AG48&gt;0,INDEX(EL$7:EL$106,$AG48),1),IF($AH48&gt;0,INDEX(EL$7:EL$106,$AH48),1),IF($AI48&gt;0,INDEX(EL$7:EL$106,$AI48),1),IF($AJ48&gt;0,INDEX(EL$7:EL$106,$AJ48),1))))</ns0:f>
        <ns0:v>1</ns0:v>
      </ns0:c>
      <ns0:c r="EN48" t="n">
        <ns0:f>IF($A48="",1,IF(EM48=1,1,--AND(IF($AC48&gt;0,INDEX(EM$7:EM$106,$AC48),1),IF($AD48&gt;0,INDEX(EM$7:EM$106,$AD48),1),IF($AE48&gt;0,INDEX(EM$7:EM$106,$AE48),1),IF($AF48&gt;0,INDEX(EM$7:EM$106,$AF48),1),IF($AG48&gt;0,INDEX(EM$7:EM$106,$AG48),1),IF($AH48&gt;0,INDEX(EM$7:EM$106,$AH48),1),IF($AI48&gt;0,INDEX(EM$7:EM$106,$AI48),1),IF($AJ48&gt;0,INDEX(EM$7:EM$106,$AJ48),1))))</ns0:f>
        <ns0:v>1</ns0:v>
      </ns0:c>
      <ns0:c r="EO48" t="n">
        <ns0:f>IF($A48="",1,IF(EN48=1,1,--AND(IF($AC48&gt;0,INDEX(EN$7:EN$106,$AC48),1),IF($AD48&gt;0,INDEX(EN$7:EN$106,$AD48),1),IF($AE48&gt;0,INDEX(EN$7:EN$106,$AE48),1),IF($AF48&gt;0,INDEX(EN$7:EN$106,$AF48),1),IF($AG48&gt;0,INDEX(EN$7:EN$106,$AG48),1),IF($AH48&gt;0,INDEX(EN$7:EN$106,$AH48),1),IF($AI48&gt;0,INDEX(EN$7:EN$106,$AI48),1),IF($AJ48&gt;0,INDEX(EN$7:EN$106,$AJ48),1))))</ns0:f>
        <ns0:v>1</ns0:v>
      </ns0:c>
      <ns0:c r="EP48" t="n">
        <ns0:f>IF($A48="",1,IF(EO48=1,1,--AND(IF($AC48&gt;0,INDEX(EO$7:EO$106,$AC48),1),IF($AD48&gt;0,INDEX(EO$7:EO$106,$AD48),1),IF($AE48&gt;0,INDEX(EO$7:EO$106,$AE48),1),IF($AF48&gt;0,INDEX(EO$7:EO$106,$AF48),1),IF($AG48&gt;0,INDEX(EO$7:EO$106,$AG48),1),IF($AH48&gt;0,INDEX(EO$7:EO$106,$AH48),1),IF($AI48&gt;0,INDEX(EO$7:EO$106,$AI48),1),IF($AJ48&gt;0,INDEX(EO$7:EO$106,$AJ48),1))))</ns0:f>
        <ns0:v>1</ns0:v>
      </ns0:c>
      <ns0:c r="EQ48" t="n">
        <ns0:f>IF(OR(A48="",NOT(ISNUMBER(G48))),0,G48*N48)</ns0:f>
        <ns0:v>0</ns0:v>
      </ns0:c>
    </ns0:row>
    <ns0:row r="49" ht="62" customHeight="1">
      <ns0:c r="A49" s="48"/>
      <ns0:c r="B49" s="48"/>
      <ns0:c r="C49" s="48"/>
      <ns0:c r="D49" s="48"/>
      <ns0:c r="E49" s="49"/>
      <ns0:c r="F49" s="49"/>
      <ns0:c r="G49" s="13" t="str">
        <ns0:f>IF(A49="","",IF(OR(NOT(ISNUMBER(E49)),NOT(ISNUMBER(F49)),F49&lt;E49),"",IF(J49="Yes",0,F49-E49+1)))</ns0:f>
      </ns0:c>
      <ns0:c r="H49" s="48"/>
      <ns0:c r="I49" s="48"/>
      <ns0:c r="J49" s="48"/>
      <ns0:c r="K49" s="48"/>
      <ns0:c r="L49" s="48"/>
      <ns0:c r="M49" s="50" t="str">
        <ns0:f>IF(A49="","",IF(N49=1,"Completed",IF(N49&gt;0,"In Progress","Not Started")))</ns0:f>
      </ns0:c>
      <ns0:c r="N49" s="51"/>
      <ns0:c r="O49" s="13" t="str">
        <ns0:f>IF(A49="","",IF(R49&lt;&gt;"","[CONFLICT] "&amp;R49,IF(S49&lt;&gt;"","[CONFLICT] "&amp;S49,IF(OR(NOT(ISNUMBER(N49)),N49&lt;0,N49&gt;1),"[CONFLICT] Invalid progress",IF(AK49&gt;0,"[DEPENDENCY ISSUE] Missing ID / &gt;8 links",IF(AM49&gt;0,"[DEPENDENCY ISSUE] Cycle or blocked by cycle",IF(AND(H49&lt;&gt;"",ISNA(MATCH(I49,{"FS","SS","FF","SF"},0))),"[DEPENDENCY ISSUE] Invalid type",IF(AL49&gt;0,"[DEPENDENCY ISSUE] Timing conflict",IF(OR(E49&lt;ProjectStart,F49&gt;ProjectEnd),"[OUTSIDE WINDOW]",IF(AND(N49&lt;1,F49&lt;AsOfDate),"Overdue",IF(AND(M49&lt;&gt;Q49,M49&lt;&gt;""),"[CONFLICT] Status / progress","On track")))))))))))</ns0:f>
      </ns0:c>
      <ns0:c r="P49" s="52"/>
      <ns0:c r="Q49" t="str">
        <ns0:f>IF(A49="","",IF(OR(M49="On Hold",M49="Delayed"),M49,IF(N49=1,"Completed",IF(N49&gt;0,"In Progress","Not Started"))))</ns0:f>
      </ns0:c>
      <ns0:c r="R49" t="str">
        <ns0:f>IF(A49="","",IF(COUNTIFS(Tasks[Task ID],A49)&lt;&gt;1,"Duplicate ID",""))</ns0:f>
      </ns0:c>
      <ns0:c r="S49" t="str">
        <ns0:f>IF(A49="","",IF(OR(NOT(ISNUMBER(E49)),NOT(ISNUMBER(F49))),"Invalid / missing date",IF(OR(E49&lt;&gt;INT(E49),F49&lt;&gt;INT(F49),E49&lt;1,F49&gt;2958465),"Invalid date",IF(F49&lt;E49,"End before start",IF(AND(J49="Yes",E49&lt;&gt;F49),"Milestone needs one date","")))))</ns0:f>
      </ns0:c>
      <ns0:c r="T49" t="n">
        <ns0:f>IF(H49="",0,LEN(H49)-LEN(SUBSTITUTE(H49,",",""))+1)</ns0:f>
        <ns0:v>0</ns0:v>
      </ns0:c>
      <ns0:c r="U49" t="str">
        <ns0:f>TRIM(MID(SUBSTITUTE($H49,",",REPT(" ",100)),1,100))</ns0:f>
      </ns0:c>
      <ns0:c r="V49" t="str">
        <ns0:f>TRIM(MID(SUBSTITUTE($H49,",",REPT(" ",100)),101,100))</ns0:f>
      </ns0:c>
      <ns0:c r="W49" t="str">
        <ns0:f>TRIM(MID(SUBSTITUTE($H49,",",REPT(" ",100)),201,100))</ns0:f>
      </ns0:c>
      <ns0:c r="X49" t="str">
        <ns0:f>TRIM(MID(SUBSTITUTE($H49,",",REPT(" ",100)),301,100))</ns0:f>
      </ns0:c>
      <ns0:c r="Y49" t="str">
        <ns0:f>TRIM(MID(SUBSTITUTE($H49,",",REPT(" ",100)),401,100))</ns0:f>
      </ns0:c>
      <ns0:c r="Z49" t="str">
        <ns0:f>TRIM(MID(SUBSTITUTE($H49,",",REPT(" ",100)),501,100))</ns0:f>
      </ns0:c>
      <ns0:c r="AA49" t="str">
        <ns0:f>TRIM(MID(SUBSTITUTE($H49,",",REPT(" ",100)),601,100))</ns0:f>
      </ns0:c>
      <ns0:c r="AB49" t="str">
        <ns0:f>TRIM(MID(SUBSTITUTE($H49,",",REPT(" ",100)),701,100))</ns0:f>
      </ns0:c>
      <ns0:c r="AC49" t="n">
        <ns0:f>IF(U49="",0,IF(COUNTIFS(Tasks[Task ID],U49)=1,MATCH(U49,Tasks[Task ID],0),-1))</ns0:f>
        <ns0:v>0</ns0:v>
      </ns0:c>
      <ns0:c r="AD49" t="n">
        <ns0:f>IF(V49="",0,IF(COUNTIFS(Tasks[Task ID],V49)=1,MATCH(V49,Tasks[Task ID],0),-1))</ns0:f>
        <ns0:v>0</ns0:v>
      </ns0:c>
      <ns0:c r="AE49" t="n">
        <ns0:f>IF(W49="",0,IF(COUNTIFS(Tasks[Task ID],W49)=1,MATCH(W49,Tasks[Task ID],0),-1))</ns0:f>
        <ns0:v>0</ns0:v>
      </ns0:c>
      <ns0:c r="AF49" t="n">
        <ns0:f>IF(X49="",0,IF(COUNTIFS(Tasks[Task ID],X49)=1,MATCH(X49,Tasks[Task ID],0),-1))</ns0:f>
        <ns0:v>0</ns0:v>
      </ns0:c>
      <ns0:c r="AG49" t="n">
        <ns0:f>IF(Y49="",0,IF(COUNTIFS(Tasks[Task ID],Y49)=1,MATCH(Y49,Tasks[Task ID],0),-1))</ns0:f>
        <ns0:v>0</ns0:v>
      </ns0:c>
      <ns0:c r="AH49" t="n">
        <ns0:f>IF(Z49="",0,IF(COUNTIFS(Tasks[Task ID],Z49)=1,MATCH(Z49,Tasks[Task ID],0),-1))</ns0:f>
        <ns0:v>0</ns0:v>
      </ns0:c>
      <ns0:c r="AI49" t="n">
        <ns0:f>IF(AA49="",0,IF(COUNTIFS(Tasks[Task ID],AA49)=1,MATCH(AA49,Tasks[Task ID],0),-1))</ns0:f>
        <ns0:v>0</ns0:v>
      </ns0:c>
      <ns0:c r="AJ49" t="n">
        <ns0:f>IF(AB49="",0,IF(COUNTIFS(Tasks[Task ID],AB49)=1,MATCH(AB49,Tasks[Task ID],0),-1))</ns0:f>
        <ns0:v>0</ns0:v>
      </ns0:c>
      <ns0:c r="AK49" t="n">
        <ns0:f>COUNTIFS(AC49:AJ49,-1)+IF(T49&gt;8,1,0)</ns0:f>
        <ns0:v>0</ns0:v>
      </ns0:c>
      <ns0:c r="AL49" t="n">
        <ns0:f>IF(OR(A49="",S49&lt;&gt;""),0,SUM(IF(AC49&gt;0,IF($I49="FS",--($E49&lt;INDEX(Tasks[End Date],AC49)+IF(INDEX(Tasks[Milestone],AC49)="Yes",0,1)),IF($I49="SS",--($E49&lt;INDEX(Tasks[Start Date],AC49)),IF($I49="FF",--($F49&lt;INDEX(Tasks[End Date],AC49)),IF($I49="SF",--($F49&lt;INDEX(Tasks[Start Date],AC49)),0)))),0),IF(AD49&gt;0,IF($I49="FS",--($E49&lt;INDEX(Tasks[End Date],AD49)+IF(INDEX(Tasks[Milestone],AD49)="Yes",0,1)),IF($I49="SS",--($E49&lt;INDEX(Tasks[Start Date],AD49)),IF($I49="FF",--($F49&lt;INDEX(Tasks[End Date],AD49)),IF($I49="SF",--($F49&lt;INDEX(Tasks[Start Date],AD49)),0)))),0),IF(AE49&gt;0,IF($I49="FS",--($E49&lt;INDEX(Tasks[End Date],AE49)+IF(INDEX(Tasks[Milestone],AE49)="Yes",0,1)),IF($I49="SS",--($E49&lt;INDEX(Tasks[Start Date],AE49)),IF($I49="FF",--($F49&lt;INDEX(Tasks[End Date],AE49)),IF($I49="SF",--($F49&lt;INDEX(Tasks[Start Date],AE49)),0)))),0),IF(AF49&gt;0,IF($I49="FS",--($E49&lt;INDEX(Tasks[End Date],AF49)+IF(INDEX(Tasks[Milestone],AF49)="Yes",0,1)),IF($I49="SS",--($E49&lt;INDEX(Tasks[Start Date],AF49)),IF($I49="FF",--($F49&lt;INDEX(Tasks[End Date],AF49)),IF($I49="SF",--($F49&lt;INDEX(Tasks[Start Date],AF49)),0)))),0),IF(AG49&gt;0,IF($I49="FS",--($E49&lt;INDEX(Tasks[End Date],AG49)+IF(INDEX(Tasks[Milestone],AG49)="Yes",0,1)),IF($I49="SS",--($E49&lt;INDEX(Tasks[Start Date],AG49)),IF($I49="FF",--($F49&lt;INDEX(Tasks[End Date],AG49)),IF($I49="SF",--($F49&lt;INDEX(Tasks[Start Date],AG49)),0)))),0),IF(AH49&gt;0,IF($I49="FS",--($E49&lt;INDEX(Tasks[End Date],AH49)+IF(INDEX(Tasks[Milestone],AH49)="Yes",0,1)),IF($I49="SS",--($E49&lt;INDEX(Tasks[Start Date],AH49)),IF($I49="FF",--($F49&lt;INDEX(Tasks[End Date],AH49)),IF($I49="SF",--($F49&lt;INDEX(Tasks[Start Date],AH49)),0)))),0),IF(AI49&gt;0,IF($I49="FS",--($E49&lt;INDEX(Tasks[End Date],AI49)+IF(INDEX(Tasks[Milestone],AI49)="Yes",0,1)),IF($I49="SS",--($E49&lt;INDEX(Tasks[Start Date],AI49)),IF($I49="FF",--($F49&lt;INDEX(Tasks[End Date],AI49)),IF($I49="SF",--($F49&lt;INDEX(Tasks[Start Date],AI49)),0)))),0),IF(AJ49&gt;0,IF($I49="FS",--($E49&lt;INDEX(Tasks[End Date],AJ49)+IF(INDEX(Tasks[Milestone],AJ49)="Yes",0,1)),IF($I49="SS",--($E49&lt;INDEX(Tasks[Start Date],AJ49)),IF($I49="FF",--($F49&lt;INDEX(Tasks[End Date],AJ49)),IF($I49="SF",--($F49&lt;INDEX(Tasks[Start Date],AJ49)),0)))),0)))</ns0:f>
        <ns0:v>0</ns0:v>
      </ns0:c>
      <ns0:c r="AM49" t="n">
        <ns0:f>IF(AND(A49&lt;&gt;"",AK49=0,EP49=0),1,0)</ns0:f>
        <ns0:v>0</ns0:v>
      </ns0:c>
      <ns0:c r="AN49" t="str">
        <ns0:f>IF(OR(A49="",B49=""),"",IF(COUNTIFS($B$7:B49,B49)=1,MAX($AN$6:AN48)+1,""))</ns0:f>
      </ns0:c>
      <ns0:c r="AO49" t="n">
        <ns0:f>IF(AND(A49&lt;&gt;"",J49="No",N49&lt;1,E49&gt;=AsOfDate),E49+ROW()/10000,1E+9)</ns0:f>
        <ns0:v>1000000000</ns0:v>
      </ns0:c>
      <ns0:c r="AP49" t="n">
        <ns0:f>IF(AND(A49&lt;&gt;"",J49="Yes",N49&lt;1,E49&gt;=AsOfDate),E49+ROW()/10000,1E+9)</ns0:f>
        <ns0:v>1000000000</ns0:v>
      </ns0:c>
      <ns0:c r="AQ49" t="n">
        <ns0:f>IF(AND(A49&lt;&gt;"",J49="No",N49&lt;1,F49&gt;=AsOfDate,F49&lt;=AsOfDate+7),F49+ROW()/10000,1E+9)</ns0:f>
        <ns0:v>1000000000</ns0:v>
      </ns0:c>
      <ns0:c r="AR49" t="n">
        <ns0:f>IF(AND(A49&lt;&gt;"",OR(O49&lt;&gt;"On track",Q49="Delayed")),ROW(),1E+9)</ns0:f>
        <ns0:v>1000000000</ns0:v>
      </ns0:c>
      <ns0:c r="AS49" t="str">
        <ns0:f>IF(A49="","",";"&amp;K49&amp;";")</ns0:f>
      </ns0:c>
      <ns0:c r="AT49" t="n">
        <ns0:f>IF(A49="",1,--(T49=0))</ns0:f>
        <ns0:v>1</ns0:v>
      </ns0:c>
      <ns0:c r="AU49" t="n">
        <ns0:f>IF($A49="",1,IF(AT49=1,1,--AND(IF($AC49&gt;0,INDEX(AT$7:AT$106,$AC49),1),IF($AD49&gt;0,INDEX(AT$7:AT$106,$AD49),1),IF($AE49&gt;0,INDEX(AT$7:AT$106,$AE49),1),IF($AF49&gt;0,INDEX(AT$7:AT$106,$AF49),1),IF($AG49&gt;0,INDEX(AT$7:AT$106,$AG49),1),IF($AH49&gt;0,INDEX(AT$7:AT$106,$AH49),1),IF($AI49&gt;0,INDEX(AT$7:AT$106,$AI49),1),IF($AJ49&gt;0,INDEX(AT$7:AT$106,$AJ49),1))))</ns0:f>
        <ns0:v>1</ns0:v>
      </ns0:c>
      <ns0:c r="AV49" t="n">
        <ns0:f>IF($A49="",1,IF(AU49=1,1,--AND(IF($AC49&gt;0,INDEX(AU$7:AU$106,$AC49),1),IF($AD49&gt;0,INDEX(AU$7:AU$106,$AD49),1),IF($AE49&gt;0,INDEX(AU$7:AU$106,$AE49),1),IF($AF49&gt;0,INDEX(AU$7:AU$106,$AF49),1),IF($AG49&gt;0,INDEX(AU$7:AU$106,$AG49),1),IF($AH49&gt;0,INDEX(AU$7:AU$106,$AH49),1),IF($AI49&gt;0,INDEX(AU$7:AU$106,$AI49),1),IF($AJ49&gt;0,INDEX(AU$7:AU$106,$AJ49),1))))</ns0:f>
        <ns0:v>1</ns0:v>
      </ns0:c>
      <ns0:c r="AW49" t="n">
        <ns0:f>IF($A49="",1,IF(AV49=1,1,--AND(IF($AC49&gt;0,INDEX(AV$7:AV$106,$AC49),1),IF($AD49&gt;0,INDEX(AV$7:AV$106,$AD49),1),IF($AE49&gt;0,INDEX(AV$7:AV$106,$AE49),1),IF($AF49&gt;0,INDEX(AV$7:AV$106,$AF49),1),IF($AG49&gt;0,INDEX(AV$7:AV$106,$AG49),1),IF($AH49&gt;0,INDEX(AV$7:AV$106,$AH49),1),IF($AI49&gt;0,INDEX(AV$7:AV$106,$AI49),1),IF($AJ49&gt;0,INDEX(AV$7:AV$106,$AJ49),1))))</ns0:f>
        <ns0:v>1</ns0:v>
      </ns0:c>
      <ns0:c r="AX49" t="n">
        <ns0:f>IF($A49="",1,IF(AW49=1,1,--AND(IF($AC49&gt;0,INDEX(AW$7:AW$106,$AC49),1),IF($AD49&gt;0,INDEX(AW$7:AW$106,$AD49),1),IF($AE49&gt;0,INDEX(AW$7:AW$106,$AE49),1),IF($AF49&gt;0,INDEX(AW$7:AW$106,$AF49),1),IF($AG49&gt;0,INDEX(AW$7:AW$106,$AG49),1),IF($AH49&gt;0,INDEX(AW$7:AW$106,$AH49),1),IF($AI49&gt;0,INDEX(AW$7:AW$106,$AI49),1),IF($AJ49&gt;0,INDEX(AW$7:AW$106,$AJ49),1))))</ns0:f>
        <ns0:v>1</ns0:v>
      </ns0:c>
      <ns0:c r="AY49" t="n">
        <ns0:f>IF($A49="",1,IF(AX49=1,1,--AND(IF($AC49&gt;0,INDEX(AX$7:AX$106,$AC49),1),IF($AD49&gt;0,INDEX(AX$7:AX$106,$AD49),1),IF($AE49&gt;0,INDEX(AX$7:AX$106,$AE49),1),IF($AF49&gt;0,INDEX(AX$7:AX$106,$AF49),1),IF($AG49&gt;0,INDEX(AX$7:AX$106,$AG49),1),IF($AH49&gt;0,INDEX(AX$7:AX$106,$AH49),1),IF($AI49&gt;0,INDEX(AX$7:AX$106,$AI49),1),IF($AJ49&gt;0,INDEX(AX$7:AX$106,$AJ49),1))))</ns0:f>
        <ns0:v>1</ns0:v>
      </ns0:c>
      <ns0:c r="AZ49" t="n">
        <ns0:f>IF($A49="",1,IF(AY49=1,1,--AND(IF($AC49&gt;0,INDEX(AY$7:AY$106,$AC49),1),IF($AD49&gt;0,INDEX(AY$7:AY$106,$AD49),1),IF($AE49&gt;0,INDEX(AY$7:AY$106,$AE49),1),IF($AF49&gt;0,INDEX(AY$7:AY$106,$AF49),1),IF($AG49&gt;0,INDEX(AY$7:AY$106,$AG49),1),IF($AH49&gt;0,INDEX(AY$7:AY$106,$AH49),1),IF($AI49&gt;0,INDEX(AY$7:AY$106,$AI49),1),IF($AJ49&gt;0,INDEX(AY$7:AY$106,$AJ49),1))))</ns0:f>
        <ns0:v>1</ns0:v>
      </ns0:c>
      <ns0:c r="BA49" t="n">
        <ns0:f>IF($A49="",1,IF(AZ49=1,1,--AND(IF($AC49&gt;0,INDEX(AZ$7:AZ$106,$AC49),1),IF($AD49&gt;0,INDEX(AZ$7:AZ$106,$AD49),1),IF($AE49&gt;0,INDEX(AZ$7:AZ$106,$AE49),1),IF($AF49&gt;0,INDEX(AZ$7:AZ$106,$AF49),1),IF($AG49&gt;0,INDEX(AZ$7:AZ$106,$AG49),1),IF($AH49&gt;0,INDEX(AZ$7:AZ$106,$AH49),1),IF($AI49&gt;0,INDEX(AZ$7:AZ$106,$AI49),1),IF($AJ49&gt;0,INDEX(AZ$7:AZ$106,$AJ49),1))))</ns0:f>
        <ns0:v>1</ns0:v>
      </ns0:c>
      <ns0:c r="BB49" t="n">
        <ns0:f>IF($A49="",1,IF(BA49=1,1,--AND(IF($AC49&gt;0,INDEX(BA$7:BA$106,$AC49),1),IF($AD49&gt;0,INDEX(BA$7:BA$106,$AD49),1),IF($AE49&gt;0,INDEX(BA$7:BA$106,$AE49),1),IF($AF49&gt;0,INDEX(BA$7:BA$106,$AF49),1),IF($AG49&gt;0,INDEX(BA$7:BA$106,$AG49),1),IF($AH49&gt;0,INDEX(BA$7:BA$106,$AH49),1),IF($AI49&gt;0,INDEX(BA$7:BA$106,$AI49),1),IF($AJ49&gt;0,INDEX(BA$7:BA$106,$AJ49),1))))</ns0:f>
        <ns0:v>1</ns0:v>
      </ns0:c>
      <ns0:c r="BC49" t="n">
        <ns0:f>IF($A49="",1,IF(BB49=1,1,--AND(IF($AC49&gt;0,INDEX(BB$7:BB$106,$AC49),1),IF($AD49&gt;0,INDEX(BB$7:BB$106,$AD49),1),IF($AE49&gt;0,INDEX(BB$7:BB$106,$AE49),1),IF($AF49&gt;0,INDEX(BB$7:BB$106,$AF49),1),IF($AG49&gt;0,INDEX(BB$7:BB$106,$AG49),1),IF($AH49&gt;0,INDEX(BB$7:BB$106,$AH49),1),IF($AI49&gt;0,INDEX(BB$7:BB$106,$AI49),1),IF($AJ49&gt;0,INDEX(BB$7:BB$106,$AJ49),1))))</ns0:f>
        <ns0:v>1</ns0:v>
      </ns0:c>
      <ns0:c r="BD49" t="n">
        <ns0:f>IF($A49="",1,IF(BC49=1,1,--AND(IF($AC49&gt;0,INDEX(BC$7:BC$106,$AC49),1),IF($AD49&gt;0,INDEX(BC$7:BC$106,$AD49),1),IF($AE49&gt;0,INDEX(BC$7:BC$106,$AE49),1),IF($AF49&gt;0,INDEX(BC$7:BC$106,$AF49),1),IF($AG49&gt;0,INDEX(BC$7:BC$106,$AG49),1),IF($AH49&gt;0,INDEX(BC$7:BC$106,$AH49),1),IF($AI49&gt;0,INDEX(BC$7:BC$106,$AI49),1),IF($AJ49&gt;0,INDEX(BC$7:BC$106,$AJ49),1))))</ns0:f>
        <ns0:v>1</ns0:v>
      </ns0:c>
      <ns0:c r="BE49" t="n">
        <ns0:f>IF($A49="",1,IF(BD49=1,1,--AND(IF($AC49&gt;0,INDEX(BD$7:BD$106,$AC49),1),IF($AD49&gt;0,INDEX(BD$7:BD$106,$AD49),1),IF($AE49&gt;0,INDEX(BD$7:BD$106,$AE49),1),IF($AF49&gt;0,INDEX(BD$7:BD$106,$AF49),1),IF($AG49&gt;0,INDEX(BD$7:BD$106,$AG49),1),IF($AH49&gt;0,INDEX(BD$7:BD$106,$AH49),1),IF($AI49&gt;0,INDEX(BD$7:BD$106,$AI49),1),IF($AJ49&gt;0,INDEX(BD$7:BD$106,$AJ49),1))))</ns0:f>
        <ns0:v>1</ns0:v>
      </ns0:c>
      <ns0:c r="BF49" t="n">
        <ns0:f>IF($A49="",1,IF(BE49=1,1,--AND(IF($AC49&gt;0,INDEX(BE$7:BE$106,$AC49),1),IF($AD49&gt;0,INDEX(BE$7:BE$106,$AD49),1),IF($AE49&gt;0,INDEX(BE$7:BE$106,$AE49),1),IF($AF49&gt;0,INDEX(BE$7:BE$106,$AF49),1),IF($AG49&gt;0,INDEX(BE$7:BE$106,$AG49),1),IF($AH49&gt;0,INDEX(BE$7:BE$106,$AH49),1),IF($AI49&gt;0,INDEX(BE$7:BE$106,$AI49),1),IF($AJ49&gt;0,INDEX(BE$7:BE$106,$AJ49),1))))</ns0:f>
        <ns0:v>1</ns0:v>
      </ns0:c>
      <ns0:c r="BG49" t="n">
        <ns0:f>IF($A49="",1,IF(BF49=1,1,--AND(IF($AC49&gt;0,INDEX(BF$7:BF$106,$AC49),1),IF($AD49&gt;0,INDEX(BF$7:BF$106,$AD49),1),IF($AE49&gt;0,INDEX(BF$7:BF$106,$AE49),1),IF($AF49&gt;0,INDEX(BF$7:BF$106,$AF49),1),IF($AG49&gt;0,INDEX(BF$7:BF$106,$AG49),1),IF($AH49&gt;0,INDEX(BF$7:BF$106,$AH49),1),IF($AI49&gt;0,INDEX(BF$7:BF$106,$AI49),1),IF($AJ49&gt;0,INDEX(BF$7:BF$106,$AJ49),1))))</ns0:f>
        <ns0:v>1</ns0:v>
      </ns0:c>
      <ns0:c r="BH49" t="n">
        <ns0:f>IF($A49="",1,IF(BG49=1,1,--AND(IF($AC49&gt;0,INDEX(BG$7:BG$106,$AC49),1),IF($AD49&gt;0,INDEX(BG$7:BG$106,$AD49),1),IF($AE49&gt;0,INDEX(BG$7:BG$106,$AE49),1),IF($AF49&gt;0,INDEX(BG$7:BG$106,$AF49),1),IF($AG49&gt;0,INDEX(BG$7:BG$106,$AG49),1),IF($AH49&gt;0,INDEX(BG$7:BG$106,$AH49),1),IF($AI49&gt;0,INDEX(BG$7:BG$106,$AI49),1),IF($AJ49&gt;0,INDEX(BG$7:BG$106,$AJ49),1))))</ns0:f>
        <ns0:v>1</ns0:v>
      </ns0:c>
      <ns0:c r="BI49" t="n">
        <ns0:f>IF($A49="",1,IF(BH49=1,1,--AND(IF($AC49&gt;0,INDEX(BH$7:BH$106,$AC49),1),IF($AD49&gt;0,INDEX(BH$7:BH$106,$AD49),1),IF($AE49&gt;0,INDEX(BH$7:BH$106,$AE49),1),IF($AF49&gt;0,INDEX(BH$7:BH$106,$AF49),1),IF($AG49&gt;0,INDEX(BH$7:BH$106,$AG49),1),IF($AH49&gt;0,INDEX(BH$7:BH$106,$AH49),1),IF($AI49&gt;0,INDEX(BH$7:BH$106,$AI49),1),IF($AJ49&gt;0,INDEX(BH$7:BH$106,$AJ49),1))))</ns0:f>
        <ns0:v>1</ns0:v>
      </ns0:c>
      <ns0:c r="BJ49" t="n">
        <ns0:f>IF($A49="",1,IF(BI49=1,1,--AND(IF($AC49&gt;0,INDEX(BI$7:BI$106,$AC49),1),IF($AD49&gt;0,INDEX(BI$7:BI$106,$AD49),1),IF($AE49&gt;0,INDEX(BI$7:BI$106,$AE49),1),IF($AF49&gt;0,INDEX(BI$7:BI$106,$AF49),1),IF($AG49&gt;0,INDEX(BI$7:BI$106,$AG49),1),IF($AH49&gt;0,INDEX(BI$7:BI$106,$AH49),1),IF($AI49&gt;0,INDEX(BI$7:BI$106,$AI49),1),IF($AJ49&gt;0,INDEX(BI$7:BI$106,$AJ49),1))))</ns0:f>
        <ns0:v>1</ns0:v>
      </ns0:c>
      <ns0:c r="BK49" t="n">
        <ns0:f>IF($A49="",1,IF(BJ49=1,1,--AND(IF($AC49&gt;0,INDEX(BJ$7:BJ$106,$AC49),1),IF($AD49&gt;0,INDEX(BJ$7:BJ$106,$AD49),1),IF($AE49&gt;0,INDEX(BJ$7:BJ$106,$AE49),1),IF($AF49&gt;0,INDEX(BJ$7:BJ$106,$AF49),1),IF($AG49&gt;0,INDEX(BJ$7:BJ$106,$AG49),1),IF($AH49&gt;0,INDEX(BJ$7:BJ$106,$AH49),1),IF($AI49&gt;0,INDEX(BJ$7:BJ$106,$AI49),1),IF($AJ49&gt;0,INDEX(BJ$7:BJ$106,$AJ49),1))))</ns0:f>
        <ns0:v>1</ns0:v>
      </ns0:c>
      <ns0:c r="BL49" t="n">
        <ns0:f>IF($A49="",1,IF(BK49=1,1,--AND(IF($AC49&gt;0,INDEX(BK$7:BK$106,$AC49),1),IF($AD49&gt;0,INDEX(BK$7:BK$106,$AD49),1),IF($AE49&gt;0,INDEX(BK$7:BK$106,$AE49),1),IF($AF49&gt;0,INDEX(BK$7:BK$106,$AF49),1),IF($AG49&gt;0,INDEX(BK$7:BK$106,$AG49),1),IF($AH49&gt;0,INDEX(BK$7:BK$106,$AH49),1),IF($AI49&gt;0,INDEX(BK$7:BK$106,$AI49),1),IF($AJ49&gt;0,INDEX(BK$7:BK$106,$AJ49),1))))</ns0:f>
        <ns0:v>1</ns0:v>
      </ns0:c>
      <ns0:c r="BM49" t="n">
        <ns0:f>IF($A49="",1,IF(BL49=1,1,--AND(IF($AC49&gt;0,INDEX(BL$7:BL$106,$AC49),1),IF($AD49&gt;0,INDEX(BL$7:BL$106,$AD49),1),IF($AE49&gt;0,INDEX(BL$7:BL$106,$AE49),1),IF($AF49&gt;0,INDEX(BL$7:BL$106,$AF49),1),IF($AG49&gt;0,INDEX(BL$7:BL$106,$AG49),1),IF($AH49&gt;0,INDEX(BL$7:BL$106,$AH49),1),IF($AI49&gt;0,INDEX(BL$7:BL$106,$AI49),1),IF($AJ49&gt;0,INDEX(BL$7:BL$106,$AJ49),1))))</ns0:f>
        <ns0:v>1</ns0:v>
      </ns0:c>
      <ns0:c r="BN49" t="n">
        <ns0:f>IF($A49="",1,IF(BM49=1,1,--AND(IF($AC49&gt;0,INDEX(BM$7:BM$106,$AC49),1),IF($AD49&gt;0,INDEX(BM$7:BM$106,$AD49),1),IF($AE49&gt;0,INDEX(BM$7:BM$106,$AE49),1),IF($AF49&gt;0,INDEX(BM$7:BM$106,$AF49),1),IF($AG49&gt;0,INDEX(BM$7:BM$106,$AG49),1),IF($AH49&gt;0,INDEX(BM$7:BM$106,$AH49),1),IF($AI49&gt;0,INDEX(BM$7:BM$106,$AI49),1),IF($AJ49&gt;0,INDEX(BM$7:BM$106,$AJ49),1))))</ns0:f>
        <ns0:v>1</ns0:v>
      </ns0:c>
      <ns0:c r="BO49" t="n">
        <ns0:f>IF($A49="",1,IF(BN49=1,1,--AND(IF($AC49&gt;0,INDEX(BN$7:BN$106,$AC49),1),IF($AD49&gt;0,INDEX(BN$7:BN$106,$AD49),1),IF($AE49&gt;0,INDEX(BN$7:BN$106,$AE49),1),IF($AF49&gt;0,INDEX(BN$7:BN$106,$AF49),1),IF($AG49&gt;0,INDEX(BN$7:BN$106,$AG49),1),IF($AH49&gt;0,INDEX(BN$7:BN$106,$AH49),1),IF($AI49&gt;0,INDEX(BN$7:BN$106,$AI49),1),IF($AJ49&gt;0,INDEX(BN$7:BN$106,$AJ49),1))))</ns0:f>
        <ns0:v>1</ns0:v>
      </ns0:c>
      <ns0:c r="BP49" t="n">
        <ns0:f>IF($A49="",1,IF(BO49=1,1,--AND(IF($AC49&gt;0,INDEX(BO$7:BO$106,$AC49),1),IF($AD49&gt;0,INDEX(BO$7:BO$106,$AD49),1),IF($AE49&gt;0,INDEX(BO$7:BO$106,$AE49),1),IF($AF49&gt;0,INDEX(BO$7:BO$106,$AF49),1),IF($AG49&gt;0,INDEX(BO$7:BO$106,$AG49),1),IF($AH49&gt;0,INDEX(BO$7:BO$106,$AH49),1),IF($AI49&gt;0,INDEX(BO$7:BO$106,$AI49),1),IF($AJ49&gt;0,INDEX(BO$7:BO$106,$AJ49),1))))</ns0:f>
        <ns0:v>1</ns0:v>
      </ns0:c>
      <ns0:c r="BQ49" t="n">
        <ns0:f>IF($A49="",1,IF(BP49=1,1,--AND(IF($AC49&gt;0,INDEX(BP$7:BP$106,$AC49),1),IF($AD49&gt;0,INDEX(BP$7:BP$106,$AD49),1),IF($AE49&gt;0,INDEX(BP$7:BP$106,$AE49),1),IF($AF49&gt;0,INDEX(BP$7:BP$106,$AF49),1),IF($AG49&gt;0,INDEX(BP$7:BP$106,$AG49),1),IF($AH49&gt;0,INDEX(BP$7:BP$106,$AH49),1),IF($AI49&gt;0,INDEX(BP$7:BP$106,$AI49),1),IF($AJ49&gt;0,INDEX(BP$7:BP$106,$AJ49),1))))</ns0:f>
        <ns0:v>1</ns0:v>
      </ns0:c>
      <ns0:c r="BR49" t="n">
        <ns0:f>IF($A49="",1,IF(BQ49=1,1,--AND(IF($AC49&gt;0,INDEX(BQ$7:BQ$106,$AC49),1),IF($AD49&gt;0,INDEX(BQ$7:BQ$106,$AD49),1),IF($AE49&gt;0,INDEX(BQ$7:BQ$106,$AE49),1),IF($AF49&gt;0,INDEX(BQ$7:BQ$106,$AF49),1),IF($AG49&gt;0,INDEX(BQ$7:BQ$106,$AG49),1),IF($AH49&gt;0,INDEX(BQ$7:BQ$106,$AH49),1),IF($AI49&gt;0,INDEX(BQ$7:BQ$106,$AI49),1),IF($AJ49&gt;0,INDEX(BQ$7:BQ$106,$AJ49),1))))</ns0:f>
        <ns0:v>1</ns0:v>
      </ns0:c>
      <ns0:c r="BS49" t="n">
        <ns0:f>IF($A49="",1,IF(BR49=1,1,--AND(IF($AC49&gt;0,INDEX(BR$7:BR$106,$AC49),1),IF($AD49&gt;0,INDEX(BR$7:BR$106,$AD49),1),IF($AE49&gt;0,INDEX(BR$7:BR$106,$AE49),1),IF($AF49&gt;0,INDEX(BR$7:BR$106,$AF49),1),IF($AG49&gt;0,INDEX(BR$7:BR$106,$AG49),1),IF($AH49&gt;0,INDEX(BR$7:BR$106,$AH49),1),IF($AI49&gt;0,INDEX(BR$7:BR$106,$AI49),1),IF($AJ49&gt;0,INDEX(BR$7:BR$106,$AJ49),1))))</ns0:f>
        <ns0:v>1</ns0:v>
      </ns0:c>
      <ns0:c r="BT49" t="n">
        <ns0:f>IF($A49="",1,IF(BS49=1,1,--AND(IF($AC49&gt;0,INDEX(BS$7:BS$106,$AC49),1),IF($AD49&gt;0,INDEX(BS$7:BS$106,$AD49),1),IF($AE49&gt;0,INDEX(BS$7:BS$106,$AE49),1),IF($AF49&gt;0,INDEX(BS$7:BS$106,$AF49),1),IF($AG49&gt;0,INDEX(BS$7:BS$106,$AG49),1),IF($AH49&gt;0,INDEX(BS$7:BS$106,$AH49),1),IF($AI49&gt;0,INDEX(BS$7:BS$106,$AI49),1),IF($AJ49&gt;0,INDEX(BS$7:BS$106,$AJ49),1))))</ns0:f>
        <ns0:v>1</ns0:v>
      </ns0:c>
      <ns0:c r="BU49" t="n">
        <ns0:f>IF($A49="",1,IF(BT49=1,1,--AND(IF($AC49&gt;0,INDEX(BT$7:BT$106,$AC49),1),IF($AD49&gt;0,INDEX(BT$7:BT$106,$AD49),1),IF($AE49&gt;0,INDEX(BT$7:BT$106,$AE49),1),IF($AF49&gt;0,INDEX(BT$7:BT$106,$AF49),1),IF($AG49&gt;0,INDEX(BT$7:BT$106,$AG49),1),IF($AH49&gt;0,INDEX(BT$7:BT$106,$AH49),1),IF($AI49&gt;0,INDEX(BT$7:BT$106,$AI49),1),IF($AJ49&gt;0,INDEX(BT$7:BT$106,$AJ49),1))))</ns0:f>
        <ns0:v>1</ns0:v>
      </ns0:c>
      <ns0:c r="BV49" t="n">
        <ns0:f>IF($A49="",1,IF(BU49=1,1,--AND(IF($AC49&gt;0,INDEX(BU$7:BU$106,$AC49),1),IF($AD49&gt;0,INDEX(BU$7:BU$106,$AD49),1),IF($AE49&gt;0,INDEX(BU$7:BU$106,$AE49),1),IF($AF49&gt;0,INDEX(BU$7:BU$106,$AF49),1),IF($AG49&gt;0,INDEX(BU$7:BU$106,$AG49),1),IF($AH49&gt;0,INDEX(BU$7:BU$106,$AH49),1),IF($AI49&gt;0,INDEX(BU$7:BU$106,$AI49),1),IF($AJ49&gt;0,INDEX(BU$7:BU$106,$AJ49),1))))</ns0:f>
        <ns0:v>1</ns0:v>
      </ns0:c>
      <ns0:c r="BW49" t="n">
        <ns0:f>IF($A49="",1,IF(BV49=1,1,--AND(IF($AC49&gt;0,INDEX(BV$7:BV$106,$AC49),1),IF($AD49&gt;0,INDEX(BV$7:BV$106,$AD49),1),IF($AE49&gt;0,INDEX(BV$7:BV$106,$AE49),1),IF($AF49&gt;0,INDEX(BV$7:BV$106,$AF49),1),IF($AG49&gt;0,INDEX(BV$7:BV$106,$AG49),1),IF($AH49&gt;0,INDEX(BV$7:BV$106,$AH49),1),IF($AI49&gt;0,INDEX(BV$7:BV$106,$AI49),1),IF($AJ49&gt;0,INDEX(BV$7:BV$106,$AJ49),1))))</ns0:f>
        <ns0:v>1</ns0:v>
      </ns0:c>
      <ns0:c r="BX49" t="n">
        <ns0:f>IF($A49="",1,IF(BW49=1,1,--AND(IF($AC49&gt;0,INDEX(BW$7:BW$106,$AC49),1),IF($AD49&gt;0,INDEX(BW$7:BW$106,$AD49),1),IF($AE49&gt;0,INDEX(BW$7:BW$106,$AE49),1),IF($AF49&gt;0,INDEX(BW$7:BW$106,$AF49),1),IF($AG49&gt;0,INDEX(BW$7:BW$106,$AG49),1),IF($AH49&gt;0,INDEX(BW$7:BW$106,$AH49),1),IF($AI49&gt;0,INDEX(BW$7:BW$106,$AI49),1),IF($AJ49&gt;0,INDEX(BW$7:BW$106,$AJ49),1))))</ns0:f>
        <ns0:v>1</ns0:v>
      </ns0:c>
      <ns0:c r="BY49" t="n">
        <ns0:f>IF($A49="",1,IF(BX49=1,1,--AND(IF($AC49&gt;0,INDEX(BX$7:BX$106,$AC49),1),IF($AD49&gt;0,INDEX(BX$7:BX$106,$AD49),1),IF($AE49&gt;0,INDEX(BX$7:BX$106,$AE49),1),IF($AF49&gt;0,INDEX(BX$7:BX$106,$AF49),1),IF($AG49&gt;0,INDEX(BX$7:BX$106,$AG49),1),IF($AH49&gt;0,INDEX(BX$7:BX$106,$AH49),1),IF($AI49&gt;0,INDEX(BX$7:BX$106,$AI49),1),IF($AJ49&gt;0,INDEX(BX$7:BX$106,$AJ49),1))))</ns0:f>
        <ns0:v>1</ns0:v>
      </ns0:c>
      <ns0:c r="BZ49" t="n">
        <ns0:f>IF($A49="",1,IF(BY49=1,1,--AND(IF($AC49&gt;0,INDEX(BY$7:BY$106,$AC49),1),IF($AD49&gt;0,INDEX(BY$7:BY$106,$AD49),1),IF($AE49&gt;0,INDEX(BY$7:BY$106,$AE49),1),IF($AF49&gt;0,INDEX(BY$7:BY$106,$AF49),1),IF($AG49&gt;0,INDEX(BY$7:BY$106,$AG49),1),IF($AH49&gt;0,INDEX(BY$7:BY$106,$AH49),1),IF($AI49&gt;0,INDEX(BY$7:BY$106,$AI49),1),IF($AJ49&gt;0,INDEX(BY$7:BY$106,$AJ49),1))))</ns0:f>
        <ns0:v>1</ns0:v>
      </ns0:c>
      <ns0:c r="CA49" t="n">
        <ns0:f>IF($A49="",1,IF(BZ49=1,1,--AND(IF($AC49&gt;0,INDEX(BZ$7:BZ$106,$AC49),1),IF($AD49&gt;0,INDEX(BZ$7:BZ$106,$AD49),1),IF($AE49&gt;0,INDEX(BZ$7:BZ$106,$AE49),1),IF($AF49&gt;0,INDEX(BZ$7:BZ$106,$AF49),1),IF($AG49&gt;0,INDEX(BZ$7:BZ$106,$AG49),1),IF($AH49&gt;0,INDEX(BZ$7:BZ$106,$AH49),1),IF($AI49&gt;0,INDEX(BZ$7:BZ$106,$AI49),1),IF($AJ49&gt;0,INDEX(BZ$7:BZ$106,$AJ49),1))))</ns0:f>
        <ns0:v>1</ns0:v>
      </ns0:c>
      <ns0:c r="CB49" t="n">
        <ns0:f>IF($A49="",1,IF(CA49=1,1,--AND(IF($AC49&gt;0,INDEX(CA$7:CA$106,$AC49),1),IF($AD49&gt;0,INDEX(CA$7:CA$106,$AD49),1),IF($AE49&gt;0,INDEX(CA$7:CA$106,$AE49),1),IF($AF49&gt;0,INDEX(CA$7:CA$106,$AF49),1),IF($AG49&gt;0,INDEX(CA$7:CA$106,$AG49),1),IF($AH49&gt;0,INDEX(CA$7:CA$106,$AH49),1),IF($AI49&gt;0,INDEX(CA$7:CA$106,$AI49),1),IF($AJ49&gt;0,INDEX(CA$7:CA$106,$AJ49),1))))</ns0:f>
        <ns0:v>1</ns0:v>
      </ns0:c>
      <ns0:c r="CC49" t="n">
        <ns0:f>IF($A49="",1,IF(CB49=1,1,--AND(IF($AC49&gt;0,INDEX(CB$7:CB$106,$AC49),1),IF($AD49&gt;0,INDEX(CB$7:CB$106,$AD49),1),IF($AE49&gt;0,INDEX(CB$7:CB$106,$AE49),1),IF($AF49&gt;0,INDEX(CB$7:CB$106,$AF49),1),IF($AG49&gt;0,INDEX(CB$7:CB$106,$AG49),1),IF($AH49&gt;0,INDEX(CB$7:CB$106,$AH49),1),IF($AI49&gt;0,INDEX(CB$7:CB$106,$AI49),1),IF($AJ49&gt;0,INDEX(CB$7:CB$106,$AJ49),1))))</ns0:f>
        <ns0:v>1</ns0:v>
      </ns0:c>
      <ns0:c r="CD49" t="n">
        <ns0:f>IF($A49="",1,IF(CC49=1,1,--AND(IF($AC49&gt;0,INDEX(CC$7:CC$106,$AC49),1),IF($AD49&gt;0,INDEX(CC$7:CC$106,$AD49),1),IF($AE49&gt;0,INDEX(CC$7:CC$106,$AE49),1),IF($AF49&gt;0,INDEX(CC$7:CC$106,$AF49),1),IF($AG49&gt;0,INDEX(CC$7:CC$106,$AG49),1),IF($AH49&gt;0,INDEX(CC$7:CC$106,$AH49),1),IF($AI49&gt;0,INDEX(CC$7:CC$106,$AI49),1),IF($AJ49&gt;0,INDEX(CC$7:CC$106,$AJ49),1))))</ns0:f>
        <ns0:v>1</ns0:v>
      </ns0:c>
      <ns0:c r="CE49" t="n">
        <ns0:f>IF($A49="",1,IF(CD49=1,1,--AND(IF($AC49&gt;0,INDEX(CD$7:CD$106,$AC49),1),IF($AD49&gt;0,INDEX(CD$7:CD$106,$AD49),1),IF($AE49&gt;0,INDEX(CD$7:CD$106,$AE49),1),IF($AF49&gt;0,INDEX(CD$7:CD$106,$AF49),1),IF($AG49&gt;0,INDEX(CD$7:CD$106,$AG49),1),IF($AH49&gt;0,INDEX(CD$7:CD$106,$AH49),1),IF($AI49&gt;0,INDEX(CD$7:CD$106,$AI49),1),IF($AJ49&gt;0,INDEX(CD$7:CD$106,$AJ49),1))))</ns0:f>
        <ns0:v>1</ns0:v>
      </ns0:c>
      <ns0:c r="CF49" t="n">
        <ns0:f>IF($A49="",1,IF(CE49=1,1,--AND(IF($AC49&gt;0,INDEX(CE$7:CE$106,$AC49),1),IF($AD49&gt;0,INDEX(CE$7:CE$106,$AD49),1),IF($AE49&gt;0,INDEX(CE$7:CE$106,$AE49),1),IF($AF49&gt;0,INDEX(CE$7:CE$106,$AF49),1),IF($AG49&gt;0,INDEX(CE$7:CE$106,$AG49),1),IF($AH49&gt;0,INDEX(CE$7:CE$106,$AH49),1),IF($AI49&gt;0,INDEX(CE$7:CE$106,$AI49),1),IF($AJ49&gt;0,INDEX(CE$7:CE$106,$AJ49),1))))</ns0:f>
        <ns0:v>1</ns0:v>
      </ns0:c>
      <ns0:c r="CG49" t="n">
        <ns0:f>IF($A49="",1,IF(CF49=1,1,--AND(IF($AC49&gt;0,INDEX(CF$7:CF$106,$AC49),1),IF($AD49&gt;0,INDEX(CF$7:CF$106,$AD49),1),IF($AE49&gt;0,INDEX(CF$7:CF$106,$AE49),1),IF($AF49&gt;0,INDEX(CF$7:CF$106,$AF49),1),IF($AG49&gt;0,INDEX(CF$7:CF$106,$AG49),1),IF($AH49&gt;0,INDEX(CF$7:CF$106,$AH49),1),IF($AI49&gt;0,INDEX(CF$7:CF$106,$AI49),1),IF($AJ49&gt;0,INDEX(CF$7:CF$106,$AJ49),1))))</ns0:f>
        <ns0:v>1</ns0:v>
      </ns0:c>
      <ns0:c r="CH49" t="n">
        <ns0:f>IF($A49="",1,IF(CG49=1,1,--AND(IF($AC49&gt;0,INDEX(CG$7:CG$106,$AC49),1),IF($AD49&gt;0,INDEX(CG$7:CG$106,$AD49),1),IF($AE49&gt;0,INDEX(CG$7:CG$106,$AE49),1),IF($AF49&gt;0,INDEX(CG$7:CG$106,$AF49),1),IF($AG49&gt;0,INDEX(CG$7:CG$106,$AG49),1),IF($AH49&gt;0,INDEX(CG$7:CG$106,$AH49),1),IF($AI49&gt;0,INDEX(CG$7:CG$106,$AI49),1),IF($AJ49&gt;0,INDEX(CG$7:CG$106,$AJ49),1))))</ns0:f>
        <ns0:v>1</ns0:v>
      </ns0:c>
      <ns0:c r="CI49" t="n">
        <ns0:f>IF($A49="",1,IF(CH49=1,1,--AND(IF($AC49&gt;0,INDEX(CH$7:CH$106,$AC49),1),IF($AD49&gt;0,INDEX(CH$7:CH$106,$AD49),1),IF($AE49&gt;0,INDEX(CH$7:CH$106,$AE49),1),IF($AF49&gt;0,INDEX(CH$7:CH$106,$AF49),1),IF($AG49&gt;0,INDEX(CH$7:CH$106,$AG49),1),IF($AH49&gt;0,INDEX(CH$7:CH$106,$AH49),1),IF($AI49&gt;0,INDEX(CH$7:CH$106,$AI49),1),IF($AJ49&gt;0,INDEX(CH$7:CH$106,$AJ49),1))))</ns0:f>
        <ns0:v>1</ns0:v>
      </ns0:c>
      <ns0:c r="CJ49" t="n">
        <ns0:f>IF($A49="",1,IF(CI49=1,1,--AND(IF($AC49&gt;0,INDEX(CI$7:CI$106,$AC49),1),IF($AD49&gt;0,INDEX(CI$7:CI$106,$AD49),1),IF($AE49&gt;0,INDEX(CI$7:CI$106,$AE49),1),IF($AF49&gt;0,INDEX(CI$7:CI$106,$AF49),1),IF($AG49&gt;0,INDEX(CI$7:CI$106,$AG49),1),IF($AH49&gt;0,INDEX(CI$7:CI$106,$AH49),1),IF($AI49&gt;0,INDEX(CI$7:CI$106,$AI49),1),IF($AJ49&gt;0,INDEX(CI$7:CI$106,$AJ49),1))))</ns0:f>
        <ns0:v>1</ns0:v>
      </ns0:c>
      <ns0:c r="CK49" t="n">
        <ns0:f>IF($A49="",1,IF(CJ49=1,1,--AND(IF($AC49&gt;0,INDEX(CJ$7:CJ$106,$AC49),1),IF($AD49&gt;0,INDEX(CJ$7:CJ$106,$AD49),1),IF($AE49&gt;0,INDEX(CJ$7:CJ$106,$AE49),1),IF($AF49&gt;0,INDEX(CJ$7:CJ$106,$AF49),1),IF($AG49&gt;0,INDEX(CJ$7:CJ$106,$AG49),1),IF($AH49&gt;0,INDEX(CJ$7:CJ$106,$AH49),1),IF($AI49&gt;0,INDEX(CJ$7:CJ$106,$AI49),1),IF($AJ49&gt;0,INDEX(CJ$7:CJ$106,$AJ49),1))))</ns0:f>
        <ns0:v>1</ns0:v>
      </ns0:c>
      <ns0:c r="CL49" t="n">
        <ns0:f>IF($A49="",1,IF(CK49=1,1,--AND(IF($AC49&gt;0,INDEX(CK$7:CK$106,$AC49),1),IF($AD49&gt;0,INDEX(CK$7:CK$106,$AD49),1),IF($AE49&gt;0,INDEX(CK$7:CK$106,$AE49),1),IF($AF49&gt;0,INDEX(CK$7:CK$106,$AF49),1),IF($AG49&gt;0,INDEX(CK$7:CK$106,$AG49),1),IF($AH49&gt;0,INDEX(CK$7:CK$106,$AH49),1),IF($AI49&gt;0,INDEX(CK$7:CK$106,$AI49),1),IF($AJ49&gt;0,INDEX(CK$7:CK$106,$AJ49),1))))</ns0:f>
        <ns0:v>1</ns0:v>
      </ns0:c>
      <ns0:c r="CM49" t="n">
        <ns0:f>IF($A49="",1,IF(CL49=1,1,--AND(IF($AC49&gt;0,INDEX(CL$7:CL$106,$AC49),1),IF($AD49&gt;0,INDEX(CL$7:CL$106,$AD49),1),IF($AE49&gt;0,INDEX(CL$7:CL$106,$AE49),1),IF($AF49&gt;0,INDEX(CL$7:CL$106,$AF49),1),IF($AG49&gt;0,INDEX(CL$7:CL$106,$AG49),1),IF($AH49&gt;0,INDEX(CL$7:CL$106,$AH49),1),IF($AI49&gt;0,INDEX(CL$7:CL$106,$AI49),1),IF($AJ49&gt;0,INDEX(CL$7:CL$106,$AJ49),1))))</ns0:f>
        <ns0:v>1</ns0:v>
      </ns0:c>
      <ns0:c r="CN49" t="n">
        <ns0:f>IF($A49="",1,IF(CM49=1,1,--AND(IF($AC49&gt;0,INDEX(CM$7:CM$106,$AC49),1),IF($AD49&gt;0,INDEX(CM$7:CM$106,$AD49),1),IF($AE49&gt;0,INDEX(CM$7:CM$106,$AE49),1),IF($AF49&gt;0,INDEX(CM$7:CM$106,$AF49),1),IF($AG49&gt;0,INDEX(CM$7:CM$106,$AG49),1),IF($AH49&gt;0,INDEX(CM$7:CM$106,$AH49),1),IF($AI49&gt;0,INDEX(CM$7:CM$106,$AI49),1),IF($AJ49&gt;0,INDEX(CM$7:CM$106,$AJ49),1))))</ns0:f>
        <ns0:v>1</ns0:v>
      </ns0:c>
      <ns0:c r="CO49" t="n">
        <ns0:f>IF($A49="",1,IF(CN49=1,1,--AND(IF($AC49&gt;0,INDEX(CN$7:CN$106,$AC49),1),IF($AD49&gt;0,INDEX(CN$7:CN$106,$AD49),1),IF($AE49&gt;0,INDEX(CN$7:CN$106,$AE49),1),IF($AF49&gt;0,INDEX(CN$7:CN$106,$AF49),1),IF($AG49&gt;0,INDEX(CN$7:CN$106,$AG49),1),IF($AH49&gt;0,INDEX(CN$7:CN$106,$AH49),1),IF($AI49&gt;0,INDEX(CN$7:CN$106,$AI49),1),IF($AJ49&gt;0,INDEX(CN$7:CN$106,$AJ49),1))))</ns0:f>
        <ns0:v>1</ns0:v>
      </ns0:c>
      <ns0:c r="CP49" t="n">
        <ns0:f>IF($A49="",1,IF(CO49=1,1,--AND(IF($AC49&gt;0,INDEX(CO$7:CO$106,$AC49),1),IF($AD49&gt;0,INDEX(CO$7:CO$106,$AD49),1),IF($AE49&gt;0,INDEX(CO$7:CO$106,$AE49),1),IF($AF49&gt;0,INDEX(CO$7:CO$106,$AF49),1),IF($AG49&gt;0,INDEX(CO$7:CO$106,$AG49),1),IF($AH49&gt;0,INDEX(CO$7:CO$106,$AH49),1),IF($AI49&gt;0,INDEX(CO$7:CO$106,$AI49),1),IF($AJ49&gt;0,INDEX(CO$7:CO$106,$AJ49),1))))</ns0:f>
        <ns0:v>1</ns0:v>
      </ns0:c>
      <ns0:c r="CQ49" t="n">
        <ns0:f>IF($A49="",1,IF(CP49=1,1,--AND(IF($AC49&gt;0,INDEX(CP$7:CP$106,$AC49),1),IF($AD49&gt;0,INDEX(CP$7:CP$106,$AD49),1),IF($AE49&gt;0,INDEX(CP$7:CP$106,$AE49),1),IF($AF49&gt;0,INDEX(CP$7:CP$106,$AF49),1),IF($AG49&gt;0,INDEX(CP$7:CP$106,$AG49),1),IF($AH49&gt;0,INDEX(CP$7:CP$106,$AH49),1),IF($AI49&gt;0,INDEX(CP$7:CP$106,$AI49),1),IF($AJ49&gt;0,INDEX(CP$7:CP$106,$AJ49),1))))</ns0:f>
        <ns0:v>1</ns0:v>
      </ns0:c>
      <ns0:c r="CR49" t="n">
        <ns0:f>IF($A49="",1,IF(CQ49=1,1,--AND(IF($AC49&gt;0,INDEX(CQ$7:CQ$106,$AC49),1),IF($AD49&gt;0,INDEX(CQ$7:CQ$106,$AD49),1),IF($AE49&gt;0,INDEX(CQ$7:CQ$106,$AE49),1),IF($AF49&gt;0,INDEX(CQ$7:CQ$106,$AF49),1),IF($AG49&gt;0,INDEX(CQ$7:CQ$106,$AG49),1),IF($AH49&gt;0,INDEX(CQ$7:CQ$106,$AH49),1),IF($AI49&gt;0,INDEX(CQ$7:CQ$106,$AI49),1),IF($AJ49&gt;0,INDEX(CQ$7:CQ$106,$AJ49),1))))</ns0:f>
        <ns0:v>1</ns0:v>
      </ns0:c>
      <ns0:c r="CS49" t="n">
        <ns0:f>IF($A49="",1,IF(CR49=1,1,--AND(IF($AC49&gt;0,INDEX(CR$7:CR$106,$AC49),1),IF($AD49&gt;0,INDEX(CR$7:CR$106,$AD49),1),IF($AE49&gt;0,INDEX(CR$7:CR$106,$AE49),1),IF($AF49&gt;0,INDEX(CR$7:CR$106,$AF49),1),IF($AG49&gt;0,INDEX(CR$7:CR$106,$AG49),1),IF($AH49&gt;0,INDEX(CR$7:CR$106,$AH49),1),IF($AI49&gt;0,INDEX(CR$7:CR$106,$AI49),1),IF($AJ49&gt;0,INDEX(CR$7:CR$106,$AJ49),1))))</ns0:f>
        <ns0:v>1</ns0:v>
      </ns0:c>
      <ns0:c r="CT49" t="n">
        <ns0:f>IF($A49="",1,IF(CS49=1,1,--AND(IF($AC49&gt;0,INDEX(CS$7:CS$106,$AC49),1),IF($AD49&gt;0,INDEX(CS$7:CS$106,$AD49),1),IF($AE49&gt;0,INDEX(CS$7:CS$106,$AE49),1),IF($AF49&gt;0,INDEX(CS$7:CS$106,$AF49),1),IF($AG49&gt;0,INDEX(CS$7:CS$106,$AG49),1),IF($AH49&gt;0,INDEX(CS$7:CS$106,$AH49),1),IF($AI49&gt;0,INDEX(CS$7:CS$106,$AI49),1),IF($AJ49&gt;0,INDEX(CS$7:CS$106,$AJ49),1))))</ns0:f>
        <ns0:v>1</ns0:v>
      </ns0:c>
      <ns0:c r="CU49" t="n">
        <ns0:f>IF($A49="",1,IF(CT49=1,1,--AND(IF($AC49&gt;0,INDEX(CT$7:CT$106,$AC49),1),IF($AD49&gt;0,INDEX(CT$7:CT$106,$AD49),1),IF($AE49&gt;0,INDEX(CT$7:CT$106,$AE49),1),IF($AF49&gt;0,INDEX(CT$7:CT$106,$AF49),1),IF($AG49&gt;0,INDEX(CT$7:CT$106,$AG49),1),IF($AH49&gt;0,INDEX(CT$7:CT$106,$AH49),1),IF($AI49&gt;0,INDEX(CT$7:CT$106,$AI49),1),IF($AJ49&gt;0,INDEX(CT$7:CT$106,$AJ49),1))))</ns0:f>
        <ns0:v>1</ns0:v>
      </ns0:c>
      <ns0:c r="CV49" t="n">
        <ns0:f>IF($A49="",1,IF(CU49=1,1,--AND(IF($AC49&gt;0,INDEX(CU$7:CU$106,$AC49),1),IF($AD49&gt;0,INDEX(CU$7:CU$106,$AD49),1),IF($AE49&gt;0,INDEX(CU$7:CU$106,$AE49),1),IF($AF49&gt;0,INDEX(CU$7:CU$106,$AF49),1),IF($AG49&gt;0,INDEX(CU$7:CU$106,$AG49),1),IF($AH49&gt;0,INDEX(CU$7:CU$106,$AH49),1),IF($AI49&gt;0,INDEX(CU$7:CU$106,$AI49),1),IF($AJ49&gt;0,INDEX(CU$7:CU$106,$AJ49),1))))</ns0:f>
        <ns0:v>1</ns0:v>
      </ns0:c>
      <ns0:c r="CW49" t="n">
        <ns0:f>IF($A49="",1,IF(CV49=1,1,--AND(IF($AC49&gt;0,INDEX(CV$7:CV$106,$AC49),1),IF($AD49&gt;0,INDEX(CV$7:CV$106,$AD49),1),IF($AE49&gt;0,INDEX(CV$7:CV$106,$AE49),1),IF($AF49&gt;0,INDEX(CV$7:CV$106,$AF49),1),IF($AG49&gt;0,INDEX(CV$7:CV$106,$AG49),1),IF($AH49&gt;0,INDEX(CV$7:CV$106,$AH49),1),IF($AI49&gt;0,INDEX(CV$7:CV$106,$AI49),1),IF($AJ49&gt;0,INDEX(CV$7:CV$106,$AJ49),1))))</ns0:f>
        <ns0:v>1</ns0:v>
      </ns0:c>
      <ns0:c r="CX49" t="n">
        <ns0:f>IF($A49="",1,IF(CW49=1,1,--AND(IF($AC49&gt;0,INDEX(CW$7:CW$106,$AC49),1),IF($AD49&gt;0,INDEX(CW$7:CW$106,$AD49),1),IF($AE49&gt;0,INDEX(CW$7:CW$106,$AE49),1),IF($AF49&gt;0,INDEX(CW$7:CW$106,$AF49),1),IF($AG49&gt;0,INDEX(CW$7:CW$106,$AG49),1),IF($AH49&gt;0,INDEX(CW$7:CW$106,$AH49),1),IF($AI49&gt;0,INDEX(CW$7:CW$106,$AI49),1),IF($AJ49&gt;0,INDEX(CW$7:CW$106,$AJ49),1))))</ns0:f>
        <ns0:v>1</ns0:v>
      </ns0:c>
      <ns0:c r="CY49" t="n">
        <ns0:f>IF($A49="",1,IF(CX49=1,1,--AND(IF($AC49&gt;0,INDEX(CX$7:CX$106,$AC49),1),IF($AD49&gt;0,INDEX(CX$7:CX$106,$AD49),1),IF($AE49&gt;0,INDEX(CX$7:CX$106,$AE49),1),IF($AF49&gt;0,INDEX(CX$7:CX$106,$AF49),1),IF($AG49&gt;0,INDEX(CX$7:CX$106,$AG49),1),IF($AH49&gt;0,INDEX(CX$7:CX$106,$AH49),1),IF($AI49&gt;0,INDEX(CX$7:CX$106,$AI49),1),IF($AJ49&gt;0,INDEX(CX$7:CX$106,$AJ49),1))))</ns0:f>
        <ns0:v>1</ns0:v>
      </ns0:c>
      <ns0:c r="CZ49" t="n">
        <ns0:f>IF($A49="",1,IF(CY49=1,1,--AND(IF($AC49&gt;0,INDEX(CY$7:CY$106,$AC49),1),IF($AD49&gt;0,INDEX(CY$7:CY$106,$AD49),1),IF($AE49&gt;0,INDEX(CY$7:CY$106,$AE49),1),IF($AF49&gt;0,INDEX(CY$7:CY$106,$AF49),1),IF($AG49&gt;0,INDEX(CY$7:CY$106,$AG49),1),IF($AH49&gt;0,INDEX(CY$7:CY$106,$AH49),1),IF($AI49&gt;0,INDEX(CY$7:CY$106,$AI49),1),IF($AJ49&gt;0,INDEX(CY$7:CY$106,$AJ49),1))))</ns0:f>
        <ns0:v>1</ns0:v>
      </ns0:c>
      <ns0:c r="DA49" t="n">
        <ns0:f>IF($A49="",1,IF(CZ49=1,1,--AND(IF($AC49&gt;0,INDEX(CZ$7:CZ$106,$AC49),1),IF($AD49&gt;0,INDEX(CZ$7:CZ$106,$AD49),1),IF($AE49&gt;0,INDEX(CZ$7:CZ$106,$AE49),1),IF($AF49&gt;0,INDEX(CZ$7:CZ$106,$AF49),1),IF($AG49&gt;0,INDEX(CZ$7:CZ$106,$AG49),1),IF($AH49&gt;0,INDEX(CZ$7:CZ$106,$AH49),1),IF($AI49&gt;0,INDEX(CZ$7:CZ$106,$AI49),1),IF($AJ49&gt;0,INDEX(CZ$7:CZ$106,$AJ49),1))))</ns0:f>
        <ns0:v>1</ns0:v>
      </ns0:c>
      <ns0:c r="DB49" t="n">
        <ns0:f>IF($A49="",1,IF(DA49=1,1,--AND(IF($AC49&gt;0,INDEX(DA$7:DA$106,$AC49),1),IF($AD49&gt;0,INDEX(DA$7:DA$106,$AD49),1),IF($AE49&gt;0,INDEX(DA$7:DA$106,$AE49),1),IF($AF49&gt;0,INDEX(DA$7:DA$106,$AF49),1),IF($AG49&gt;0,INDEX(DA$7:DA$106,$AG49),1),IF($AH49&gt;0,INDEX(DA$7:DA$106,$AH49),1),IF($AI49&gt;0,INDEX(DA$7:DA$106,$AI49),1),IF($AJ49&gt;0,INDEX(DA$7:DA$106,$AJ49),1))))</ns0:f>
        <ns0:v>1</ns0:v>
      </ns0:c>
      <ns0:c r="DC49" t="n">
        <ns0:f>IF($A49="",1,IF(DB49=1,1,--AND(IF($AC49&gt;0,INDEX(DB$7:DB$106,$AC49),1),IF($AD49&gt;0,INDEX(DB$7:DB$106,$AD49),1),IF($AE49&gt;0,INDEX(DB$7:DB$106,$AE49),1),IF($AF49&gt;0,INDEX(DB$7:DB$106,$AF49),1),IF($AG49&gt;0,INDEX(DB$7:DB$106,$AG49),1),IF($AH49&gt;0,INDEX(DB$7:DB$106,$AH49),1),IF($AI49&gt;0,INDEX(DB$7:DB$106,$AI49),1),IF($AJ49&gt;0,INDEX(DB$7:DB$106,$AJ49),1))))</ns0:f>
        <ns0:v>1</ns0:v>
      </ns0:c>
      <ns0:c r="DD49" t="n">
        <ns0:f>IF($A49="",1,IF(DC49=1,1,--AND(IF($AC49&gt;0,INDEX(DC$7:DC$106,$AC49),1),IF($AD49&gt;0,INDEX(DC$7:DC$106,$AD49),1),IF($AE49&gt;0,INDEX(DC$7:DC$106,$AE49),1),IF($AF49&gt;0,INDEX(DC$7:DC$106,$AF49),1),IF($AG49&gt;0,INDEX(DC$7:DC$106,$AG49),1),IF($AH49&gt;0,INDEX(DC$7:DC$106,$AH49),1),IF($AI49&gt;0,INDEX(DC$7:DC$106,$AI49),1),IF($AJ49&gt;0,INDEX(DC$7:DC$106,$AJ49),1))))</ns0:f>
        <ns0:v>1</ns0:v>
      </ns0:c>
      <ns0:c r="DE49" t="n">
        <ns0:f>IF($A49="",1,IF(DD49=1,1,--AND(IF($AC49&gt;0,INDEX(DD$7:DD$106,$AC49),1),IF($AD49&gt;0,INDEX(DD$7:DD$106,$AD49),1),IF($AE49&gt;0,INDEX(DD$7:DD$106,$AE49),1),IF($AF49&gt;0,INDEX(DD$7:DD$106,$AF49),1),IF($AG49&gt;0,INDEX(DD$7:DD$106,$AG49),1),IF($AH49&gt;0,INDEX(DD$7:DD$106,$AH49),1),IF($AI49&gt;0,INDEX(DD$7:DD$106,$AI49),1),IF($AJ49&gt;0,INDEX(DD$7:DD$106,$AJ49),1))))</ns0:f>
        <ns0:v>1</ns0:v>
      </ns0:c>
      <ns0:c r="DF49" t="n">
        <ns0:f>IF($A49="",1,IF(DE49=1,1,--AND(IF($AC49&gt;0,INDEX(DE$7:DE$106,$AC49),1),IF($AD49&gt;0,INDEX(DE$7:DE$106,$AD49),1),IF($AE49&gt;0,INDEX(DE$7:DE$106,$AE49),1),IF($AF49&gt;0,INDEX(DE$7:DE$106,$AF49),1),IF($AG49&gt;0,INDEX(DE$7:DE$106,$AG49),1),IF($AH49&gt;0,INDEX(DE$7:DE$106,$AH49),1),IF($AI49&gt;0,INDEX(DE$7:DE$106,$AI49),1),IF($AJ49&gt;0,INDEX(DE$7:DE$106,$AJ49),1))))</ns0:f>
        <ns0:v>1</ns0:v>
      </ns0:c>
      <ns0:c r="DG49" t="n">
        <ns0:f>IF($A49="",1,IF(DF49=1,1,--AND(IF($AC49&gt;0,INDEX(DF$7:DF$106,$AC49),1),IF($AD49&gt;0,INDEX(DF$7:DF$106,$AD49),1),IF($AE49&gt;0,INDEX(DF$7:DF$106,$AE49),1),IF($AF49&gt;0,INDEX(DF$7:DF$106,$AF49),1),IF($AG49&gt;0,INDEX(DF$7:DF$106,$AG49),1),IF($AH49&gt;0,INDEX(DF$7:DF$106,$AH49),1),IF($AI49&gt;0,INDEX(DF$7:DF$106,$AI49),1),IF($AJ49&gt;0,INDEX(DF$7:DF$106,$AJ49),1))))</ns0:f>
        <ns0:v>1</ns0:v>
      </ns0:c>
      <ns0:c r="DH49" t="n">
        <ns0:f>IF($A49="",1,IF(DG49=1,1,--AND(IF($AC49&gt;0,INDEX(DG$7:DG$106,$AC49),1),IF($AD49&gt;0,INDEX(DG$7:DG$106,$AD49),1),IF($AE49&gt;0,INDEX(DG$7:DG$106,$AE49),1),IF($AF49&gt;0,INDEX(DG$7:DG$106,$AF49),1),IF($AG49&gt;0,INDEX(DG$7:DG$106,$AG49),1),IF($AH49&gt;0,INDEX(DG$7:DG$106,$AH49),1),IF($AI49&gt;0,INDEX(DG$7:DG$106,$AI49),1),IF($AJ49&gt;0,INDEX(DG$7:DG$106,$AJ49),1))))</ns0:f>
        <ns0:v>1</ns0:v>
      </ns0:c>
      <ns0:c r="DI49" t="n">
        <ns0:f>IF($A49="",1,IF(DH49=1,1,--AND(IF($AC49&gt;0,INDEX(DH$7:DH$106,$AC49),1),IF($AD49&gt;0,INDEX(DH$7:DH$106,$AD49),1),IF($AE49&gt;0,INDEX(DH$7:DH$106,$AE49),1),IF($AF49&gt;0,INDEX(DH$7:DH$106,$AF49),1),IF($AG49&gt;0,INDEX(DH$7:DH$106,$AG49),1),IF($AH49&gt;0,INDEX(DH$7:DH$106,$AH49),1),IF($AI49&gt;0,INDEX(DH$7:DH$106,$AI49),1),IF($AJ49&gt;0,INDEX(DH$7:DH$106,$AJ49),1))))</ns0:f>
        <ns0:v>1</ns0:v>
      </ns0:c>
      <ns0:c r="DJ49" t="n">
        <ns0:f>IF($A49="",1,IF(DI49=1,1,--AND(IF($AC49&gt;0,INDEX(DI$7:DI$106,$AC49),1),IF($AD49&gt;0,INDEX(DI$7:DI$106,$AD49),1),IF($AE49&gt;0,INDEX(DI$7:DI$106,$AE49),1),IF($AF49&gt;0,INDEX(DI$7:DI$106,$AF49),1),IF($AG49&gt;0,INDEX(DI$7:DI$106,$AG49),1),IF($AH49&gt;0,INDEX(DI$7:DI$106,$AH49),1),IF($AI49&gt;0,INDEX(DI$7:DI$106,$AI49),1),IF($AJ49&gt;0,INDEX(DI$7:DI$106,$AJ49),1))))</ns0:f>
        <ns0:v>1</ns0:v>
      </ns0:c>
      <ns0:c r="DK49" t="n">
        <ns0:f>IF($A49="",1,IF(DJ49=1,1,--AND(IF($AC49&gt;0,INDEX(DJ$7:DJ$106,$AC49),1),IF($AD49&gt;0,INDEX(DJ$7:DJ$106,$AD49),1),IF($AE49&gt;0,INDEX(DJ$7:DJ$106,$AE49),1),IF($AF49&gt;0,INDEX(DJ$7:DJ$106,$AF49),1),IF($AG49&gt;0,INDEX(DJ$7:DJ$106,$AG49),1),IF($AH49&gt;0,INDEX(DJ$7:DJ$106,$AH49),1),IF($AI49&gt;0,INDEX(DJ$7:DJ$106,$AI49),1),IF($AJ49&gt;0,INDEX(DJ$7:DJ$106,$AJ49),1))))</ns0:f>
        <ns0:v>1</ns0:v>
      </ns0:c>
      <ns0:c r="DL49" t="n">
        <ns0:f>IF($A49="",1,IF(DK49=1,1,--AND(IF($AC49&gt;0,INDEX(DK$7:DK$106,$AC49),1),IF($AD49&gt;0,INDEX(DK$7:DK$106,$AD49),1),IF($AE49&gt;0,INDEX(DK$7:DK$106,$AE49),1),IF($AF49&gt;0,INDEX(DK$7:DK$106,$AF49),1),IF($AG49&gt;0,INDEX(DK$7:DK$106,$AG49),1),IF($AH49&gt;0,INDEX(DK$7:DK$106,$AH49),1),IF($AI49&gt;0,INDEX(DK$7:DK$106,$AI49),1),IF($AJ49&gt;0,INDEX(DK$7:DK$106,$AJ49),1))))</ns0:f>
        <ns0:v>1</ns0:v>
      </ns0:c>
      <ns0:c r="DM49" t="n">
        <ns0:f>IF($A49="",1,IF(DL49=1,1,--AND(IF($AC49&gt;0,INDEX(DL$7:DL$106,$AC49),1),IF($AD49&gt;0,INDEX(DL$7:DL$106,$AD49),1),IF($AE49&gt;0,INDEX(DL$7:DL$106,$AE49),1),IF($AF49&gt;0,INDEX(DL$7:DL$106,$AF49),1),IF($AG49&gt;0,INDEX(DL$7:DL$106,$AG49),1),IF($AH49&gt;0,INDEX(DL$7:DL$106,$AH49),1),IF($AI49&gt;0,INDEX(DL$7:DL$106,$AI49),1),IF($AJ49&gt;0,INDEX(DL$7:DL$106,$AJ49),1))))</ns0:f>
        <ns0:v>1</ns0:v>
      </ns0:c>
      <ns0:c r="DN49" t="n">
        <ns0:f>IF($A49="",1,IF(DM49=1,1,--AND(IF($AC49&gt;0,INDEX(DM$7:DM$106,$AC49),1),IF($AD49&gt;0,INDEX(DM$7:DM$106,$AD49),1),IF($AE49&gt;0,INDEX(DM$7:DM$106,$AE49),1),IF($AF49&gt;0,INDEX(DM$7:DM$106,$AF49),1),IF($AG49&gt;0,INDEX(DM$7:DM$106,$AG49),1),IF($AH49&gt;0,INDEX(DM$7:DM$106,$AH49),1),IF($AI49&gt;0,INDEX(DM$7:DM$106,$AI49),1),IF($AJ49&gt;0,INDEX(DM$7:DM$106,$AJ49),1))))</ns0:f>
        <ns0:v>1</ns0:v>
      </ns0:c>
      <ns0:c r="DO49" t="n">
        <ns0:f>IF($A49="",1,IF(DN49=1,1,--AND(IF($AC49&gt;0,INDEX(DN$7:DN$106,$AC49),1),IF($AD49&gt;0,INDEX(DN$7:DN$106,$AD49),1),IF($AE49&gt;0,INDEX(DN$7:DN$106,$AE49),1),IF($AF49&gt;0,INDEX(DN$7:DN$106,$AF49),1),IF($AG49&gt;0,INDEX(DN$7:DN$106,$AG49),1),IF($AH49&gt;0,INDEX(DN$7:DN$106,$AH49),1),IF($AI49&gt;0,INDEX(DN$7:DN$106,$AI49),1),IF($AJ49&gt;0,INDEX(DN$7:DN$106,$AJ49),1))))</ns0:f>
        <ns0:v>1</ns0:v>
      </ns0:c>
      <ns0:c r="DP49" t="n">
        <ns0:f>IF($A49="",1,IF(DO49=1,1,--AND(IF($AC49&gt;0,INDEX(DO$7:DO$106,$AC49),1),IF($AD49&gt;0,INDEX(DO$7:DO$106,$AD49),1),IF($AE49&gt;0,INDEX(DO$7:DO$106,$AE49),1),IF($AF49&gt;0,INDEX(DO$7:DO$106,$AF49),1),IF($AG49&gt;0,INDEX(DO$7:DO$106,$AG49),1),IF($AH49&gt;0,INDEX(DO$7:DO$106,$AH49),1),IF($AI49&gt;0,INDEX(DO$7:DO$106,$AI49),1),IF($AJ49&gt;0,INDEX(DO$7:DO$106,$AJ49),1))))</ns0:f>
        <ns0:v>1</ns0:v>
      </ns0:c>
      <ns0:c r="DQ49" t="n">
        <ns0:f>IF($A49="",1,IF(DP49=1,1,--AND(IF($AC49&gt;0,INDEX(DP$7:DP$106,$AC49),1),IF($AD49&gt;0,INDEX(DP$7:DP$106,$AD49),1),IF($AE49&gt;0,INDEX(DP$7:DP$106,$AE49),1),IF($AF49&gt;0,INDEX(DP$7:DP$106,$AF49),1),IF($AG49&gt;0,INDEX(DP$7:DP$106,$AG49),1),IF($AH49&gt;0,INDEX(DP$7:DP$106,$AH49),1),IF($AI49&gt;0,INDEX(DP$7:DP$106,$AI49),1),IF($AJ49&gt;0,INDEX(DP$7:DP$106,$AJ49),1))))</ns0:f>
        <ns0:v>1</ns0:v>
      </ns0:c>
      <ns0:c r="DR49" t="n">
        <ns0:f>IF($A49="",1,IF(DQ49=1,1,--AND(IF($AC49&gt;0,INDEX(DQ$7:DQ$106,$AC49),1),IF($AD49&gt;0,INDEX(DQ$7:DQ$106,$AD49),1),IF($AE49&gt;0,INDEX(DQ$7:DQ$106,$AE49),1),IF($AF49&gt;0,INDEX(DQ$7:DQ$106,$AF49),1),IF($AG49&gt;0,INDEX(DQ$7:DQ$106,$AG49),1),IF($AH49&gt;0,INDEX(DQ$7:DQ$106,$AH49),1),IF($AI49&gt;0,INDEX(DQ$7:DQ$106,$AI49),1),IF($AJ49&gt;0,INDEX(DQ$7:DQ$106,$AJ49),1))))</ns0:f>
        <ns0:v>1</ns0:v>
      </ns0:c>
      <ns0:c r="DS49" t="n">
        <ns0:f>IF($A49="",1,IF(DR49=1,1,--AND(IF($AC49&gt;0,INDEX(DR$7:DR$106,$AC49),1),IF($AD49&gt;0,INDEX(DR$7:DR$106,$AD49),1),IF($AE49&gt;0,INDEX(DR$7:DR$106,$AE49),1),IF($AF49&gt;0,INDEX(DR$7:DR$106,$AF49),1),IF($AG49&gt;0,INDEX(DR$7:DR$106,$AG49),1),IF($AH49&gt;0,INDEX(DR$7:DR$106,$AH49),1),IF($AI49&gt;0,INDEX(DR$7:DR$106,$AI49),1),IF($AJ49&gt;0,INDEX(DR$7:DR$106,$AJ49),1))))</ns0:f>
        <ns0:v>1</ns0:v>
      </ns0:c>
      <ns0:c r="DT49" t="n">
        <ns0:f>IF($A49="",1,IF(DS49=1,1,--AND(IF($AC49&gt;0,INDEX(DS$7:DS$106,$AC49),1),IF($AD49&gt;0,INDEX(DS$7:DS$106,$AD49),1),IF($AE49&gt;0,INDEX(DS$7:DS$106,$AE49),1),IF($AF49&gt;0,INDEX(DS$7:DS$106,$AF49),1),IF($AG49&gt;0,INDEX(DS$7:DS$106,$AG49),1),IF($AH49&gt;0,INDEX(DS$7:DS$106,$AH49),1),IF($AI49&gt;0,INDEX(DS$7:DS$106,$AI49),1),IF($AJ49&gt;0,INDEX(DS$7:DS$106,$AJ49),1))))</ns0:f>
        <ns0:v>1</ns0:v>
      </ns0:c>
      <ns0:c r="DU49" t="n">
        <ns0:f>IF($A49="",1,IF(DT49=1,1,--AND(IF($AC49&gt;0,INDEX(DT$7:DT$106,$AC49),1),IF($AD49&gt;0,INDEX(DT$7:DT$106,$AD49),1),IF($AE49&gt;0,INDEX(DT$7:DT$106,$AE49),1),IF($AF49&gt;0,INDEX(DT$7:DT$106,$AF49),1),IF($AG49&gt;0,INDEX(DT$7:DT$106,$AG49),1),IF($AH49&gt;0,INDEX(DT$7:DT$106,$AH49),1),IF($AI49&gt;0,INDEX(DT$7:DT$106,$AI49),1),IF($AJ49&gt;0,INDEX(DT$7:DT$106,$AJ49),1))))</ns0:f>
        <ns0:v>1</ns0:v>
      </ns0:c>
      <ns0:c r="DV49" t="n">
        <ns0:f>IF($A49="",1,IF(DU49=1,1,--AND(IF($AC49&gt;0,INDEX(DU$7:DU$106,$AC49),1),IF($AD49&gt;0,INDEX(DU$7:DU$106,$AD49),1),IF($AE49&gt;0,INDEX(DU$7:DU$106,$AE49),1),IF($AF49&gt;0,INDEX(DU$7:DU$106,$AF49),1),IF($AG49&gt;0,INDEX(DU$7:DU$106,$AG49),1),IF($AH49&gt;0,INDEX(DU$7:DU$106,$AH49),1),IF($AI49&gt;0,INDEX(DU$7:DU$106,$AI49),1),IF($AJ49&gt;0,INDEX(DU$7:DU$106,$AJ49),1))))</ns0:f>
        <ns0:v>1</ns0:v>
      </ns0:c>
      <ns0:c r="DW49" t="n">
        <ns0:f>IF($A49="",1,IF(DV49=1,1,--AND(IF($AC49&gt;0,INDEX(DV$7:DV$106,$AC49),1),IF($AD49&gt;0,INDEX(DV$7:DV$106,$AD49),1),IF($AE49&gt;0,INDEX(DV$7:DV$106,$AE49),1),IF($AF49&gt;0,INDEX(DV$7:DV$106,$AF49),1),IF($AG49&gt;0,INDEX(DV$7:DV$106,$AG49),1),IF($AH49&gt;0,INDEX(DV$7:DV$106,$AH49),1),IF($AI49&gt;0,INDEX(DV$7:DV$106,$AI49),1),IF($AJ49&gt;0,INDEX(DV$7:DV$106,$AJ49),1))))</ns0:f>
        <ns0:v>1</ns0:v>
      </ns0:c>
      <ns0:c r="DX49" t="n">
        <ns0:f>IF($A49="",1,IF(DW49=1,1,--AND(IF($AC49&gt;0,INDEX(DW$7:DW$106,$AC49),1),IF($AD49&gt;0,INDEX(DW$7:DW$106,$AD49),1),IF($AE49&gt;0,INDEX(DW$7:DW$106,$AE49),1),IF($AF49&gt;0,INDEX(DW$7:DW$106,$AF49),1),IF($AG49&gt;0,INDEX(DW$7:DW$106,$AG49),1),IF($AH49&gt;0,INDEX(DW$7:DW$106,$AH49),1),IF($AI49&gt;0,INDEX(DW$7:DW$106,$AI49),1),IF($AJ49&gt;0,INDEX(DW$7:DW$106,$AJ49),1))))</ns0:f>
        <ns0:v>1</ns0:v>
      </ns0:c>
      <ns0:c r="DY49" t="n">
        <ns0:f>IF($A49="",1,IF(DX49=1,1,--AND(IF($AC49&gt;0,INDEX(DX$7:DX$106,$AC49),1),IF($AD49&gt;0,INDEX(DX$7:DX$106,$AD49),1),IF($AE49&gt;0,INDEX(DX$7:DX$106,$AE49),1),IF($AF49&gt;0,INDEX(DX$7:DX$106,$AF49),1),IF($AG49&gt;0,INDEX(DX$7:DX$106,$AG49),1),IF($AH49&gt;0,INDEX(DX$7:DX$106,$AH49),1),IF($AI49&gt;0,INDEX(DX$7:DX$106,$AI49),1),IF($AJ49&gt;0,INDEX(DX$7:DX$106,$AJ49),1))))</ns0:f>
        <ns0:v>1</ns0:v>
      </ns0:c>
      <ns0:c r="DZ49" t="n">
        <ns0:f>IF($A49="",1,IF(DY49=1,1,--AND(IF($AC49&gt;0,INDEX(DY$7:DY$106,$AC49),1),IF($AD49&gt;0,INDEX(DY$7:DY$106,$AD49),1),IF($AE49&gt;0,INDEX(DY$7:DY$106,$AE49),1),IF($AF49&gt;0,INDEX(DY$7:DY$106,$AF49),1),IF($AG49&gt;0,INDEX(DY$7:DY$106,$AG49),1),IF($AH49&gt;0,INDEX(DY$7:DY$106,$AH49),1),IF($AI49&gt;0,INDEX(DY$7:DY$106,$AI49),1),IF($AJ49&gt;0,INDEX(DY$7:DY$106,$AJ49),1))))</ns0:f>
        <ns0:v>1</ns0:v>
      </ns0:c>
      <ns0:c r="EA49" t="n">
        <ns0:f>IF($A49="",1,IF(DZ49=1,1,--AND(IF($AC49&gt;0,INDEX(DZ$7:DZ$106,$AC49),1),IF($AD49&gt;0,INDEX(DZ$7:DZ$106,$AD49),1),IF($AE49&gt;0,INDEX(DZ$7:DZ$106,$AE49),1),IF($AF49&gt;0,INDEX(DZ$7:DZ$106,$AF49),1),IF($AG49&gt;0,INDEX(DZ$7:DZ$106,$AG49),1),IF($AH49&gt;0,INDEX(DZ$7:DZ$106,$AH49),1),IF($AI49&gt;0,INDEX(DZ$7:DZ$106,$AI49),1),IF($AJ49&gt;0,INDEX(DZ$7:DZ$106,$AJ49),1))))</ns0:f>
        <ns0:v>1</ns0:v>
      </ns0:c>
      <ns0:c r="EB49" t="n">
        <ns0:f>IF($A49="",1,IF(EA49=1,1,--AND(IF($AC49&gt;0,INDEX(EA$7:EA$106,$AC49),1),IF($AD49&gt;0,INDEX(EA$7:EA$106,$AD49),1),IF($AE49&gt;0,INDEX(EA$7:EA$106,$AE49),1),IF($AF49&gt;0,INDEX(EA$7:EA$106,$AF49),1),IF($AG49&gt;0,INDEX(EA$7:EA$106,$AG49),1),IF($AH49&gt;0,INDEX(EA$7:EA$106,$AH49),1),IF($AI49&gt;0,INDEX(EA$7:EA$106,$AI49),1),IF($AJ49&gt;0,INDEX(EA$7:EA$106,$AJ49),1))))</ns0:f>
        <ns0:v>1</ns0:v>
      </ns0:c>
      <ns0:c r="EC49" t="n">
        <ns0:f>IF($A49="",1,IF(EB49=1,1,--AND(IF($AC49&gt;0,INDEX(EB$7:EB$106,$AC49),1),IF($AD49&gt;0,INDEX(EB$7:EB$106,$AD49),1),IF($AE49&gt;0,INDEX(EB$7:EB$106,$AE49),1),IF($AF49&gt;0,INDEX(EB$7:EB$106,$AF49),1),IF($AG49&gt;0,INDEX(EB$7:EB$106,$AG49),1),IF($AH49&gt;0,INDEX(EB$7:EB$106,$AH49),1),IF($AI49&gt;0,INDEX(EB$7:EB$106,$AI49),1),IF($AJ49&gt;0,INDEX(EB$7:EB$106,$AJ49),1))))</ns0:f>
        <ns0:v>1</ns0:v>
      </ns0:c>
      <ns0:c r="ED49" t="n">
        <ns0:f>IF($A49="",1,IF(EC49=1,1,--AND(IF($AC49&gt;0,INDEX(EC$7:EC$106,$AC49),1),IF($AD49&gt;0,INDEX(EC$7:EC$106,$AD49),1),IF($AE49&gt;0,INDEX(EC$7:EC$106,$AE49),1),IF($AF49&gt;0,INDEX(EC$7:EC$106,$AF49),1),IF($AG49&gt;0,INDEX(EC$7:EC$106,$AG49),1),IF($AH49&gt;0,INDEX(EC$7:EC$106,$AH49),1),IF($AI49&gt;0,INDEX(EC$7:EC$106,$AI49),1),IF($AJ49&gt;0,INDEX(EC$7:EC$106,$AJ49),1))))</ns0:f>
        <ns0:v>1</ns0:v>
      </ns0:c>
      <ns0:c r="EE49" t="n">
        <ns0:f>IF($A49="",1,IF(ED49=1,1,--AND(IF($AC49&gt;0,INDEX(ED$7:ED$106,$AC49),1),IF($AD49&gt;0,INDEX(ED$7:ED$106,$AD49),1),IF($AE49&gt;0,INDEX(ED$7:ED$106,$AE49),1),IF($AF49&gt;0,INDEX(ED$7:ED$106,$AF49),1),IF($AG49&gt;0,INDEX(ED$7:ED$106,$AG49),1),IF($AH49&gt;0,INDEX(ED$7:ED$106,$AH49),1),IF($AI49&gt;0,INDEX(ED$7:ED$106,$AI49),1),IF($AJ49&gt;0,INDEX(ED$7:ED$106,$AJ49),1))))</ns0:f>
        <ns0:v>1</ns0:v>
      </ns0:c>
      <ns0:c r="EF49" t="n">
        <ns0:f>IF($A49="",1,IF(EE49=1,1,--AND(IF($AC49&gt;0,INDEX(EE$7:EE$106,$AC49),1),IF($AD49&gt;0,INDEX(EE$7:EE$106,$AD49),1),IF($AE49&gt;0,INDEX(EE$7:EE$106,$AE49),1),IF($AF49&gt;0,INDEX(EE$7:EE$106,$AF49),1),IF($AG49&gt;0,INDEX(EE$7:EE$106,$AG49),1),IF($AH49&gt;0,INDEX(EE$7:EE$106,$AH49),1),IF($AI49&gt;0,INDEX(EE$7:EE$106,$AI49),1),IF($AJ49&gt;0,INDEX(EE$7:EE$106,$AJ49),1))))</ns0:f>
        <ns0:v>1</ns0:v>
      </ns0:c>
      <ns0:c r="EG49" t="n">
        <ns0:f>IF($A49="",1,IF(EF49=1,1,--AND(IF($AC49&gt;0,INDEX(EF$7:EF$106,$AC49),1),IF($AD49&gt;0,INDEX(EF$7:EF$106,$AD49),1),IF($AE49&gt;0,INDEX(EF$7:EF$106,$AE49),1),IF($AF49&gt;0,INDEX(EF$7:EF$106,$AF49),1),IF($AG49&gt;0,INDEX(EF$7:EF$106,$AG49),1),IF($AH49&gt;0,INDEX(EF$7:EF$106,$AH49),1),IF($AI49&gt;0,INDEX(EF$7:EF$106,$AI49),1),IF($AJ49&gt;0,INDEX(EF$7:EF$106,$AJ49),1))))</ns0:f>
        <ns0:v>1</ns0:v>
      </ns0:c>
      <ns0:c r="EH49" t="n">
        <ns0:f>IF($A49="",1,IF(EG49=1,1,--AND(IF($AC49&gt;0,INDEX(EG$7:EG$106,$AC49),1),IF($AD49&gt;0,INDEX(EG$7:EG$106,$AD49),1),IF($AE49&gt;0,INDEX(EG$7:EG$106,$AE49),1),IF($AF49&gt;0,INDEX(EG$7:EG$106,$AF49),1),IF($AG49&gt;0,INDEX(EG$7:EG$106,$AG49),1),IF($AH49&gt;0,INDEX(EG$7:EG$106,$AH49),1),IF($AI49&gt;0,INDEX(EG$7:EG$106,$AI49),1),IF($AJ49&gt;0,INDEX(EG$7:EG$106,$AJ49),1))))</ns0:f>
        <ns0:v>1</ns0:v>
      </ns0:c>
      <ns0:c r="EI49" t="n">
        <ns0:f>IF($A49="",1,IF(EH49=1,1,--AND(IF($AC49&gt;0,INDEX(EH$7:EH$106,$AC49),1),IF($AD49&gt;0,INDEX(EH$7:EH$106,$AD49),1),IF($AE49&gt;0,INDEX(EH$7:EH$106,$AE49),1),IF($AF49&gt;0,INDEX(EH$7:EH$106,$AF49),1),IF($AG49&gt;0,INDEX(EH$7:EH$106,$AG49),1),IF($AH49&gt;0,INDEX(EH$7:EH$106,$AH49),1),IF($AI49&gt;0,INDEX(EH$7:EH$106,$AI49),1),IF($AJ49&gt;0,INDEX(EH$7:EH$106,$AJ49),1))))</ns0:f>
        <ns0:v>1</ns0:v>
      </ns0:c>
      <ns0:c r="EJ49" t="n">
        <ns0:f>IF($A49="",1,IF(EI49=1,1,--AND(IF($AC49&gt;0,INDEX(EI$7:EI$106,$AC49),1),IF($AD49&gt;0,INDEX(EI$7:EI$106,$AD49),1),IF($AE49&gt;0,INDEX(EI$7:EI$106,$AE49),1),IF($AF49&gt;0,INDEX(EI$7:EI$106,$AF49),1),IF($AG49&gt;0,INDEX(EI$7:EI$106,$AG49),1),IF($AH49&gt;0,INDEX(EI$7:EI$106,$AH49),1),IF($AI49&gt;0,INDEX(EI$7:EI$106,$AI49),1),IF($AJ49&gt;0,INDEX(EI$7:EI$106,$AJ49),1))))</ns0:f>
        <ns0:v>1</ns0:v>
      </ns0:c>
      <ns0:c r="EK49" t="n">
        <ns0:f>IF($A49="",1,IF(EJ49=1,1,--AND(IF($AC49&gt;0,INDEX(EJ$7:EJ$106,$AC49),1),IF($AD49&gt;0,INDEX(EJ$7:EJ$106,$AD49),1),IF($AE49&gt;0,INDEX(EJ$7:EJ$106,$AE49),1),IF($AF49&gt;0,INDEX(EJ$7:EJ$106,$AF49),1),IF($AG49&gt;0,INDEX(EJ$7:EJ$106,$AG49),1),IF($AH49&gt;0,INDEX(EJ$7:EJ$106,$AH49),1),IF($AI49&gt;0,INDEX(EJ$7:EJ$106,$AI49),1),IF($AJ49&gt;0,INDEX(EJ$7:EJ$106,$AJ49),1))))</ns0:f>
        <ns0:v>1</ns0:v>
      </ns0:c>
      <ns0:c r="EL49" t="n">
        <ns0:f>IF($A49="",1,IF(EK49=1,1,--AND(IF($AC49&gt;0,INDEX(EK$7:EK$106,$AC49),1),IF($AD49&gt;0,INDEX(EK$7:EK$106,$AD49),1),IF($AE49&gt;0,INDEX(EK$7:EK$106,$AE49),1),IF($AF49&gt;0,INDEX(EK$7:EK$106,$AF49),1),IF($AG49&gt;0,INDEX(EK$7:EK$106,$AG49),1),IF($AH49&gt;0,INDEX(EK$7:EK$106,$AH49),1),IF($AI49&gt;0,INDEX(EK$7:EK$106,$AI49),1),IF($AJ49&gt;0,INDEX(EK$7:EK$106,$AJ49),1))))</ns0:f>
        <ns0:v>1</ns0:v>
      </ns0:c>
      <ns0:c r="EM49" t="n">
        <ns0:f>IF($A49="",1,IF(EL49=1,1,--AND(IF($AC49&gt;0,INDEX(EL$7:EL$106,$AC49),1),IF($AD49&gt;0,INDEX(EL$7:EL$106,$AD49),1),IF($AE49&gt;0,INDEX(EL$7:EL$106,$AE49),1),IF($AF49&gt;0,INDEX(EL$7:EL$106,$AF49),1),IF($AG49&gt;0,INDEX(EL$7:EL$106,$AG49),1),IF($AH49&gt;0,INDEX(EL$7:EL$106,$AH49),1),IF($AI49&gt;0,INDEX(EL$7:EL$106,$AI49),1),IF($AJ49&gt;0,INDEX(EL$7:EL$106,$AJ49),1))))</ns0:f>
        <ns0:v>1</ns0:v>
      </ns0:c>
      <ns0:c r="EN49" t="n">
        <ns0:f>IF($A49="",1,IF(EM49=1,1,--AND(IF($AC49&gt;0,INDEX(EM$7:EM$106,$AC49),1),IF($AD49&gt;0,INDEX(EM$7:EM$106,$AD49),1),IF($AE49&gt;0,INDEX(EM$7:EM$106,$AE49),1),IF($AF49&gt;0,INDEX(EM$7:EM$106,$AF49),1),IF($AG49&gt;0,INDEX(EM$7:EM$106,$AG49),1),IF($AH49&gt;0,INDEX(EM$7:EM$106,$AH49),1),IF($AI49&gt;0,INDEX(EM$7:EM$106,$AI49),1),IF($AJ49&gt;0,INDEX(EM$7:EM$106,$AJ49),1))))</ns0:f>
        <ns0:v>1</ns0:v>
      </ns0:c>
      <ns0:c r="EO49" t="n">
        <ns0:f>IF($A49="",1,IF(EN49=1,1,--AND(IF($AC49&gt;0,INDEX(EN$7:EN$106,$AC49),1),IF($AD49&gt;0,INDEX(EN$7:EN$106,$AD49),1),IF($AE49&gt;0,INDEX(EN$7:EN$106,$AE49),1),IF($AF49&gt;0,INDEX(EN$7:EN$106,$AF49),1),IF($AG49&gt;0,INDEX(EN$7:EN$106,$AG49),1),IF($AH49&gt;0,INDEX(EN$7:EN$106,$AH49),1),IF($AI49&gt;0,INDEX(EN$7:EN$106,$AI49),1),IF($AJ49&gt;0,INDEX(EN$7:EN$106,$AJ49),1))))</ns0:f>
        <ns0:v>1</ns0:v>
      </ns0:c>
      <ns0:c r="EP49" t="n">
        <ns0:f>IF($A49="",1,IF(EO49=1,1,--AND(IF($AC49&gt;0,INDEX(EO$7:EO$106,$AC49),1),IF($AD49&gt;0,INDEX(EO$7:EO$106,$AD49),1),IF($AE49&gt;0,INDEX(EO$7:EO$106,$AE49),1),IF($AF49&gt;0,INDEX(EO$7:EO$106,$AF49),1),IF($AG49&gt;0,INDEX(EO$7:EO$106,$AG49),1),IF($AH49&gt;0,INDEX(EO$7:EO$106,$AH49),1),IF($AI49&gt;0,INDEX(EO$7:EO$106,$AI49),1),IF($AJ49&gt;0,INDEX(EO$7:EO$106,$AJ49),1))))</ns0:f>
        <ns0:v>1</ns0:v>
      </ns0:c>
      <ns0:c r="EQ49" t="n">
        <ns0:f>IF(OR(A49="",NOT(ISNUMBER(G49))),0,G49*N49)</ns0:f>
        <ns0:v>0</ns0:v>
      </ns0:c>
    </ns0:row>
    <ns0:row r="50" ht="62" customHeight="1">
      <ns0:c r="A50" s="48"/>
      <ns0:c r="B50" s="48"/>
      <ns0:c r="C50" s="48"/>
      <ns0:c r="D50" s="48"/>
      <ns0:c r="E50" s="49"/>
      <ns0:c r="F50" s="49"/>
      <ns0:c r="G50" s="13" t="str">
        <ns0:f>IF(A50="","",IF(OR(NOT(ISNUMBER(E50)),NOT(ISNUMBER(F50)),F50&lt;E50),"",IF(J50="Yes",0,F50-E50+1)))</ns0:f>
      </ns0:c>
      <ns0:c r="H50" s="48"/>
      <ns0:c r="I50" s="48"/>
      <ns0:c r="J50" s="48"/>
      <ns0:c r="K50" s="48"/>
      <ns0:c r="L50" s="48"/>
      <ns0:c r="M50" s="50" t="str">
        <ns0:f>IF(A50="","",IF(N50=1,"Completed",IF(N50&gt;0,"In Progress","Not Started")))</ns0:f>
      </ns0:c>
      <ns0:c r="N50" s="51"/>
      <ns0:c r="O50" s="13" t="str">
        <ns0:f>IF(A50="","",IF(R50&lt;&gt;"","[CONFLICT] "&amp;R50,IF(S50&lt;&gt;"","[CONFLICT] "&amp;S50,IF(OR(NOT(ISNUMBER(N50)),N50&lt;0,N50&gt;1),"[CONFLICT] Invalid progress",IF(AK50&gt;0,"[DEPENDENCY ISSUE] Missing ID / &gt;8 links",IF(AM50&gt;0,"[DEPENDENCY ISSUE] Cycle or blocked by cycle",IF(AND(H50&lt;&gt;"",ISNA(MATCH(I50,{"FS","SS","FF","SF"},0))),"[DEPENDENCY ISSUE] Invalid type",IF(AL50&gt;0,"[DEPENDENCY ISSUE] Timing conflict",IF(OR(E50&lt;ProjectStart,F50&gt;ProjectEnd),"[OUTSIDE WINDOW]",IF(AND(N50&lt;1,F50&lt;AsOfDate),"Overdue",IF(AND(M50&lt;&gt;Q50,M50&lt;&gt;""),"[CONFLICT] Status / progress","On track")))))))))))</ns0:f>
      </ns0:c>
      <ns0:c r="P50" s="52"/>
      <ns0:c r="Q50" t="str">
        <ns0:f>IF(A50="","",IF(OR(M50="On Hold",M50="Delayed"),M50,IF(N50=1,"Completed",IF(N50&gt;0,"In Progress","Not Started"))))</ns0:f>
      </ns0:c>
      <ns0:c r="R50" t="str">
        <ns0:f>IF(A50="","",IF(COUNTIFS(Tasks[Task ID],A50)&lt;&gt;1,"Duplicate ID",""))</ns0:f>
      </ns0:c>
      <ns0:c r="S50" t="str">
        <ns0:f>IF(A50="","",IF(OR(NOT(ISNUMBER(E50)),NOT(ISNUMBER(F50))),"Invalid / missing date",IF(OR(E50&lt;&gt;INT(E50),F50&lt;&gt;INT(F50),E50&lt;1,F50&gt;2958465),"Invalid date",IF(F50&lt;E50,"End before start",IF(AND(J50="Yes",E50&lt;&gt;F50),"Milestone needs one date","")))))</ns0:f>
      </ns0:c>
      <ns0:c r="T50" t="n">
        <ns0:f>IF(H50="",0,LEN(H50)-LEN(SUBSTITUTE(H50,",",""))+1)</ns0:f>
        <ns0:v>0</ns0:v>
      </ns0:c>
      <ns0:c r="U50" t="str">
        <ns0:f>TRIM(MID(SUBSTITUTE($H50,",",REPT(" ",100)),1,100))</ns0:f>
      </ns0:c>
      <ns0:c r="V50" t="str">
        <ns0:f>TRIM(MID(SUBSTITUTE($H50,",",REPT(" ",100)),101,100))</ns0:f>
      </ns0:c>
      <ns0:c r="W50" t="str">
        <ns0:f>TRIM(MID(SUBSTITUTE($H50,",",REPT(" ",100)),201,100))</ns0:f>
      </ns0:c>
      <ns0:c r="X50" t="str">
        <ns0:f>TRIM(MID(SUBSTITUTE($H50,",",REPT(" ",100)),301,100))</ns0:f>
      </ns0:c>
      <ns0:c r="Y50" t="str">
        <ns0:f>TRIM(MID(SUBSTITUTE($H50,",",REPT(" ",100)),401,100))</ns0:f>
      </ns0:c>
      <ns0:c r="Z50" t="str">
        <ns0:f>TRIM(MID(SUBSTITUTE($H50,",",REPT(" ",100)),501,100))</ns0:f>
      </ns0:c>
      <ns0:c r="AA50" t="str">
        <ns0:f>TRIM(MID(SUBSTITUTE($H50,",",REPT(" ",100)),601,100))</ns0:f>
      </ns0:c>
      <ns0:c r="AB50" t="str">
        <ns0:f>TRIM(MID(SUBSTITUTE($H50,",",REPT(" ",100)),701,100))</ns0:f>
      </ns0:c>
      <ns0:c r="AC50" t="n">
        <ns0:f>IF(U50="",0,IF(COUNTIFS(Tasks[Task ID],U50)=1,MATCH(U50,Tasks[Task ID],0),-1))</ns0:f>
        <ns0:v>0</ns0:v>
      </ns0:c>
      <ns0:c r="AD50" t="n">
        <ns0:f>IF(V50="",0,IF(COUNTIFS(Tasks[Task ID],V50)=1,MATCH(V50,Tasks[Task ID],0),-1))</ns0:f>
        <ns0:v>0</ns0:v>
      </ns0:c>
      <ns0:c r="AE50" t="n">
        <ns0:f>IF(W50="",0,IF(COUNTIFS(Tasks[Task ID],W50)=1,MATCH(W50,Tasks[Task ID],0),-1))</ns0:f>
        <ns0:v>0</ns0:v>
      </ns0:c>
      <ns0:c r="AF50" t="n">
        <ns0:f>IF(X50="",0,IF(COUNTIFS(Tasks[Task ID],X50)=1,MATCH(X50,Tasks[Task ID],0),-1))</ns0:f>
        <ns0:v>0</ns0:v>
      </ns0:c>
      <ns0:c r="AG50" t="n">
        <ns0:f>IF(Y50="",0,IF(COUNTIFS(Tasks[Task ID],Y50)=1,MATCH(Y50,Tasks[Task ID],0),-1))</ns0:f>
        <ns0:v>0</ns0:v>
      </ns0:c>
      <ns0:c r="AH50" t="n">
        <ns0:f>IF(Z50="",0,IF(COUNTIFS(Tasks[Task ID],Z50)=1,MATCH(Z50,Tasks[Task ID],0),-1))</ns0:f>
        <ns0:v>0</ns0:v>
      </ns0:c>
      <ns0:c r="AI50" t="n">
        <ns0:f>IF(AA50="",0,IF(COUNTIFS(Tasks[Task ID],AA50)=1,MATCH(AA50,Tasks[Task ID],0),-1))</ns0:f>
        <ns0:v>0</ns0:v>
      </ns0:c>
      <ns0:c r="AJ50" t="n">
        <ns0:f>IF(AB50="",0,IF(COUNTIFS(Tasks[Task ID],AB50)=1,MATCH(AB50,Tasks[Task ID],0),-1))</ns0:f>
        <ns0:v>0</ns0:v>
      </ns0:c>
      <ns0:c r="AK50" t="n">
        <ns0:f>COUNTIFS(AC50:AJ50,-1)+IF(T50&gt;8,1,0)</ns0:f>
        <ns0:v>0</ns0:v>
      </ns0:c>
      <ns0:c r="AL50" t="n">
        <ns0:f>IF(OR(A50="",S50&lt;&gt;""),0,SUM(IF(AC50&gt;0,IF($I50="FS",--($E50&lt;INDEX(Tasks[End Date],AC50)+IF(INDEX(Tasks[Milestone],AC50)="Yes",0,1)),IF($I50="SS",--($E50&lt;INDEX(Tasks[Start Date],AC50)),IF($I50="FF",--($F50&lt;INDEX(Tasks[End Date],AC50)),IF($I50="SF",--($F50&lt;INDEX(Tasks[Start Date],AC50)),0)))),0),IF(AD50&gt;0,IF($I50="FS",--($E50&lt;INDEX(Tasks[End Date],AD50)+IF(INDEX(Tasks[Milestone],AD50)="Yes",0,1)),IF($I50="SS",--($E50&lt;INDEX(Tasks[Start Date],AD50)),IF($I50="FF",--($F50&lt;INDEX(Tasks[End Date],AD50)),IF($I50="SF",--($F50&lt;INDEX(Tasks[Start Date],AD50)),0)))),0),IF(AE50&gt;0,IF($I50="FS",--($E50&lt;INDEX(Tasks[End Date],AE50)+IF(INDEX(Tasks[Milestone],AE50)="Yes",0,1)),IF($I50="SS",--($E50&lt;INDEX(Tasks[Start Date],AE50)),IF($I50="FF",--($F50&lt;INDEX(Tasks[End Date],AE50)),IF($I50="SF",--($F50&lt;INDEX(Tasks[Start Date],AE50)),0)))),0),IF(AF50&gt;0,IF($I50="FS",--($E50&lt;INDEX(Tasks[End Date],AF50)+IF(INDEX(Tasks[Milestone],AF50)="Yes",0,1)),IF($I50="SS",--($E50&lt;INDEX(Tasks[Start Date],AF50)),IF($I50="FF",--($F50&lt;INDEX(Tasks[End Date],AF50)),IF($I50="SF",--($F50&lt;INDEX(Tasks[Start Date],AF50)),0)))),0),IF(AG50&gt;0,IF($I50="FS",--($E50&lt;INDEX(Tasks[End Date],AG50)+IF(INDEX(Tasks[Milestone],AG50)="Yes",0,1)),IF($I50="SS",--($E50&lt;INDEX(Tasks[Start Date],AG50)),IF($I50="FF",--($F50&lt;INDEX(Tasks[End Date],AG50)),IF($I50="SF",--($F50&lt;INDEX(Tasks[Start Date],AG50)),0)))),0),IF(AH50&gt;0,IF($I50="FS",--($E50&lt;INDEX(Tasks[End Date],AH50)+IF(INDEX(Tasks[Milestone],AH50)="Yes",0,1)),IF($I50="SS",--($E50&lt;INDEX(Tasks[Start Date],AH50)),IF($I50="FF",--($F50&lt;INDEX(Tasks[End Date],AH50)),IF($I50="SF",--($F50&lt;INDEX(Tasks[Start Date],AH50)),0)))),0),IF(AI50&gt;0,IF($I50="FS",--($E50&lt;INDEX(Tasks[End Date],AI50)+IF(INDEX(Tasks[Milestone],AI50)="Yes",0,1)),IF($I50="SS",--($E50&lt;INDEX(Tasks[Start Date],AI50)),IF($I50="FF",--($F50&lt;INDEX(Tasks[End Date],AI50)),IF($I50="SF",--($F50&lt;INDEX(Tasks[Start Date],AI50)),0)))),0),IF(AJ50&gt;0,IF($I50="FS",--($E50&lt;INDEX(Tasks[End Date],AJ50)+IF(INDEX(Tasks[Milestone],AJ50)="Yes",0,1)),IF($I50="SS",--($E50&lt;INDEX(Tasks[Start Date],AJ50)),IF($I50="FF",--($F50&lt;INDEX(Tasks[End Date],AJ50)),IF($I50="SF",--($F50&lt;INDEX(Tasks[Start Date],AJ50)),0)))),0)))</ns0:f>
        <ns0:v>0</ns0:v>
      </ns0:c>
      <ns0:c r="AM50" t="n">
        <ns0:f>IF(AND(A50&lt;&gt;"",AK50=0,EP50=0),1,0)</ns0:f>
        <ns0:v>0</ns0:v>
      </ns0:c>
      <ns0:c r="AN50" t="str">
        <ns0:f>IF(OR(A50="",B50=""),"",IF(COUNTIFS($B$7:B50,B50)=1,MAX($AN$6:AN49)+1,""))</ns0:f>
      </ns0:c>
      <ns0:c r="AO50" t="n">
        <ns0:f>IF(AND(A50&lt;&gt;"",J50="No",N50&lt;1,E50&gt;=AsOfDate),E50+ROW()/10000,1E+9)</ns0:f>
        <ns0:v>1000000000</ns0:v>
      </ns0:c>
      <ns0:c r="AP50" t="n">
        <ns0:f>IF(AND(A50&lt;&gt;"",J50="Yes",N50&lt;1,E50&gt;=AsOfDate),E50+ROW()/10000,1E+9)</ns0:f>
        <ns0:v>1000000000</ns0:v>
      </ns0:c>
      <ns0:c r="AQ50" t="n">
        <ns0:f>IF(AND(A50&lt;&gt;"",J50="No",N50&lt;1,F50&gt;=AsOfDate,F50&lt;=AsOfDate+7),F50+ROW()/10000,1E+9)</ns0:f>
        <ns0:v>1000000000</ns0:v>
      </ns0:c>
      <ns0:c r="AR50" t="n">
        <ns0:f>IF(AND(A50&lt;&gt;"",OR(O50&lt;&gt;"On track",Q50="Delayed")),ROW(),1E+9)</ns0:f>
        <ns0:v>1000000000</ns0:v>
      </ns0:c>
      <ns0:c r="AS50" t="str">
        <ns0:f>IF(A50="","",";"&amp;K50&amp;";")</ns0:f>
      </ns0:c>
      <ns0:c r="AT50" t="n">
        <ns0:f>IF(A50="",1,--(T50=0))</ns0:f>
        <ns0:v>1</ns0:v>
      </ns0:c>
      <ns0:c r="AU50" t="n">
        <ns0:f>IF($A50="",1,IF(AT50=1,1,--AND(IF($AC50&gt;0,INDEX(AT$7:AT$106,$AC50),1),IF($AD50&gt;0,INDEX(AT$7:AT$106,$AD50),1),IF($AE50&gt;0,INDEX(AT$7:AT$106,$AE50),1),IF($AF50&gt;0,INDEX(AT$7:AT$106,$AF50),1),IF($AG50&gt;0,INDEX(AT$7:AT$106,$AG50),1),IF($AH50&gt;0,INDEX(AT$7:AT$106,$AH50),1),IF($AI50&gt;0,INDEX(AT$7:AT$106,$AI50),1),IF($AJ50&gt;0,INDEX(AT$7:AT$106,$AJ50),1))))</ns0:f>
        <ns0:v>1</ns0:v>
      </ns0:c>
      <ns0:c r="AV50" t="n">
        <ns0:f>IF($A50="",1,IF(AU50=1,1,--AND(IF($AC50&gt;0,INDEX(AU$7:AU$106,$AC50),1),IF($AD50&gt;0,INDEX(AU$7:AU$106,$AD50),1),IF($AE50&gt;0,INDEX(AU$7:AU$106,$AE50),1),IF($AF50&gt;0,INDEX(AU$7:AU$106,$AF50),1),IF($AG50&gt;0,INDEX(AU$7:AU$106,$AG50),1),IF($AH50&gt;0,INDEX(AU$7:AU$106,$AH50),1),IF($AI50&gt;0,INDEX(AU$7:AU$106,$AI50),1),IF($AJ50&gt;0,INDEX(AU$7:AU$106,$AJ50),1))))</ns0:f>
        <ns0:v>1</ns0:v>
      </ns0:c>
      <ns0:c r="AW50" t="n">
        <ns0:f>IF($A50="",1,IF(AV50=1,1,--AND(IF($AC50&gt;0,INDEX(AV$7:AV$106,$AC50),1),IF($AD50&gt;0,INDEX(AV$7:AV$106,$AD50),1),IF($AE50&gt;0,INDEX(AV$7:AV$106,$AE50),1),IF($AF50&gt;0,INDEX(AV$7:AV$106,$AF50),1),IF($AG50&gt;0,INDEX(AV$7:AV$106,$AG50),1),IF($AH50&gt;0,INDEX(AV$7:AV$106,$AH50),1),IF($AI50&gt;0,INDEX(AV$7:AV$106,$AI50),1),IF($AJ50&gt;0,INDEX(AV$7:AV$106,$AJ50),1))))</ns0:f>
        <ns0:v>1</ns0:v>
      </ns0:c>
      <ns0:c r="AX50" t="n">
        <ns0:f>IF($A50="",1,IF(AW50=1,1,--AND(IF($AC50&gt;0,INDEX(AW$7:AW$106,$AC50),1),IF($AD50&gt;0,INDEX(AW$7:AW$106,$AD50),1),IF($AE50&gt;0,INDEX(AW$7:AW$106,$AE50),1),IF($AF50&gt;0,INDEX(AW$7:AW$106,$AF50),1),IF($AG50&gt;0,INDEX(AW$7:AW$106,$AG50),1),IF($AH50&gt;0,INDEX(AW$7:AW$106,$AH50),1),IF($AI50&gt;0,INDEX(AW$7:AW$106,$AI50),1),IF($AJ50&gt;0,INDEX(AW$7:AW$106,$AJ50),1))))</ns0:f>
        <ns0:v>1</ns0:v>
      </ns0:c>
      <ns0:c r="AY50" t="n">
        <ns0:f>IF($A50="",1,IF(AX50=1,1,--AND(IF($AC50&gt;0,INDEX(AX$7:AX$106,$AC50),1),IF($AD50&gt;0,INDEX(AX$7:AX$106,$AD50),1),IF($AE50&gt;0,INDEX(AX$7:AX$106,$AE50),1),IF($AF50&gt;0,INDEX(AX$7:AX$106,$AF50),1),IF($AG50&gt;0,INDEX(AX$7:AX$106,$AG50),1),IF($AH50&gt;0,INDEX(AX$7:AX$106,$AH50),1),IF($AI50&gt;0,INDEX(AX$7:AX$106,$AI50),1),IF($AJ50&gt;0,INDEX(AX$7:AX$106,$AJ50),1))))</ns0:f>
        <ns0:v>1</ns0:v>
      </ns0:c>
      <ns0:c r="AZ50" t="n">
        <ns0:f>IF($A50="",1,IF(AY50=1,1,--AND(IF($AC50&gt;0,INDEX(AY$7:AY$106,$AC50),1),IF($AD50&gt;0,INDEX(AY$7:AY$106,$AD50),1),IF($AE50&gt;0,INDEX(AY$7:AY$106,$AE50),1),IF($AF50&gt;0,INDEX(AY$7:AY$106,$AF50),1),IF($AG50&gt;0,INDEX(AY$7:AY$106,$AG50),1),IF($AH50&gt;0,INDEX(AY$7:AY$106,$AH50),1),IF($AI50&gt;0,INDEX(AY$7:AY$106,$AI50),1),IF($AJ50&gt;0,INDEX(AY$7:AY$106,$AJ50),1))))</ns0:f>
        <ns0:v>1</ns0:v>
      </ns0:c>
      <ns0:c r="BA50" t="n">
        <ns0:f>IF($A50="",1,IF(AZ50=1,1,--AND(IF($AC50&gt;0,INDEX(AZ$7:AZ$106,$AC50),1),IF($AD50&gt;0,INDEX(AZ$7:AZ$106,$AD50),1),IF($AE50&gt;0,INDEX(AZ$7:AZ$106,$AE50),1),IF($AF50&gt;0,INDEX(AZ$7:AZ$106,$AF50),1),IF($AG50&gt;0,INDEX(AZ$7:AZ$106,$AG50),1),IF($AH50&gt;0,INDEX(AZ$7:AZ$106,$AH50),1),IF($AI50&gt;0,INDEX(AZ$7:AZ$106,$AI50),1),IF($AJ50&gt;0,INDEX(AZ$7:AZ$106,$AJ50),1))))</ns0:f>
        <ns0:v>1</ns0:v>
      </ns0:c>
      <ns0:c r="BB50" t="n">
        <ns0:f>IF($A50="",1,IF(BA50=1,1,--AND(IF($AC50&gt;0,INDEX(BA$7:BA$106,$AC50),1),IF($AD50&gt;0,INDEX(BA$7:BA$106,$AD50),1),IF($AE50&gt;0,INDEX(BA$7:BA$106,$AE50),1),IF($AF50&gt;0,INDEX(BA$7:BA$106,$AF50),1),IF($AG50&gt;0,INDEX(BA$7:BA$106,$AG50),1),IF($AH50&gt;0,INDEX(BA$7:BA$106,$AH50),1),IF($AI50&gt;0,INDEX(BA$7:BA$106,$AI50),1),IF($AJ50&gt;0,INDEX(BA$7:BA$106,$AJ50),1))))</ns0:f>
        <ns0:v>1</ns0:v>
      </ns0:c>
      <ns0:c r="BC50" t="n">
        <ns0:f>IF($A50="",1,IF(BB50=1,1,--AND(IF($AC50&gt;0,INDEX(BB$7:BB$106,$AC50),1),IF($AD50&gt;0,INDEX(BB$7:BB$106,$AD50),1),IF($AE50&gt;0,INDEX(BB$7:BB$106,$AE50),1),IF($AF50&gt;0,INDEX(BB$7:BB$106,$AF50),1),IF($AG50&gt;0,INDEX(BB$7:BB$106,$AG50),1),IF($AH50&gt;0,INDEX(BB$7:BB$106,$AH50),1),IF($AI50&gt;0,INDEX(BB$7:BB$106,$AI50),1),IF($AJ50&gt;0,INDEX(BB$7:BB$106,$AJ50),1))))</ns0:f>
        <ns0:v>1</ns0:v>
      </ns0:c>
      <ns0:c r="BD50" t="n">
        <ns0:f>IF($A50="",1,IF(BC50=1,1,--AND(IF($AC50&gt;0,INDEX(BC$7:BC$106,$AC50),1),IF($AD50&gt;0,INDEX(BC$7:BC$106,$AD50),1),IF($AE50&gt;0,INDEX(BC$7:BC$106,$AE50),1),IF($AF50&gt;0,INDEX(BC$7:BC$106,$AF50),1),IF($AG50&gt;0,INDEX(BC$7:BC$106,$AG50),1),IF($AH50&gt;0,INDEX(BC$7:BC$106,$AH50),1),IF($AI50&gt;0,INDEX(BC$7:BC$106,$AI50),1),IF($AJ50&gt;0,INDEX(BC$7:BC$106,$AJ50),1))))</ns0:f>
        <ns0:v>1</ns0:v>
      </ns0:c>
      <ns0:c r="BE50" t="n">
        <ns0:f>IF($A50="",1,IF(BD50=1,1,--AND(IF($AC50&gt;0,INDEX(BD$7:BD$106,$AC50),1),IF($AD50&gt;0,INDEX(BD$7:BD$106,$AD50),1),IF($AE50&gt;0,INDEX(BD$7:BD$106,$AE50),1),IF($AF50&gt;0,INDEX(BD$7:BD$106,$AF50),1),IF($AG50&gt;0,INDEX(BD$7:BD$106,$AG50),1),IF($AH50&gt;0,INDEX(BD$7:BD$106,$AH50),1),IF($AI50&gt;0,INDEX(BD$7:BD$106,$AI50),1),IF($AJ50&gt;0,INDEX(BD$7:BD$106,$AJ50),1))))</ns0:f>
        <ns0:v>1</ns0:v>
      </ns0:c>
      <ns0:c r="BF50" t="n">
        <ns0:f>IF($A50="",1,IF(BE50=1,1,--AND(IF($AC50&gt;0,INDEX(BE$7:BE$106,$AC50),1),IF($AD50&gt;0,INDEX(BE$7:BE$106,$AD50),1),IF($AE50&gt;0,INDEX(BE$7:BE$106,$AE50),1),IF($AF50&gt;0,INDEX(BE$7:BE$106,$AF50),1),IF($AG50&gt;0,INDEX(BE$7:BE$106,$AG50),1),IF($AH50&gt;0,INDEX(BE$7:BE$106,$AH50),1),IF($AI50&gt;0,INDEX(BE$7:BE$106,$AI50),1),IF($AJ50&gt;0,INDEX(BE$7:BE$106,$AJ50),1))))</ns0:f>
        <ns0:v>1</ns0:v>
      </ns0:c>
      <ns0:c r="BG50" t="n">
        <ns0:f>IF($A50="",1,IF(BF50=1,1,--AND(IF($AC50&gt;0,INDEX(BF$7:BF$106,$AC50),1),IF($AD50&gt;0,INDEX(BF$7:BF$106,$AD50),1),IF($AE50&gt;0,INDEX(BF$7:BF$106,$AE50),1),IF($AF50&gt;0,INDEX(BF$7:BF$106,$AF50),1),IF($AG50&gt;0,INDEX(BF$7:BF$106,$AG50),1),IF($AH50&gt;0,INDEX(BF$7:BF$106,$AH50),1),IF($AI50&gt;0,INDEX(BF$7:BF$106,$AI50),1),IF($AJ50&gt;0,INDEX(BF$7:BF$106,$AJ50),1))))</ns0:f>
        <ns0:v>1</ns0:v>
      </ns0:c>
      <ns0:c r="BH50" t="n">
        <ns0:f>IF($A50="",1,IF(BG50=1,1,--AND(IF($AC50&gt;0,INDEX(BG$7:BG$106,$AC50),1),IF($AD50&gt;0,INDEX(BG$7:BG$106,$AD50),1),IF($AE50&gt;0,INDEX(BG$7:BG$106,$AE50),1),IF($AF50&gt;0,INDEX(BG$7:BG$106,$AF50),1),IF($AG50&gt;0,INDEX(BG$7:BG$106,$AG50),1),IF($AH50&gt;0,INDEX(BG$7:BG$106,$AH50),1),IF($AI50&gt;0,INDEX(BG$7:BG$106,$AI50),1),IF($AJ50&gt;0,INDEX(BG$7:BG$106,$AJ50),1))))</ns0:f>
        <ns0:v>1</ns0:v>
      </ns0:c>
      <ns0:c r="BI50" t="n">
        <ns0:f>IF($A50="",1,IF(BH50=1,1,--AND(IF($AC50&gt;0,INDEX(BH$7:BH$106,$AC50),1),IF($AD50&gt;0,INDEX(BH$7:BH$106,$AD50),1),IF($AE50&gt;0,INDEX(BH$7:BH$106,$AE50),1),IF($AF50&gt;0,INDEX(BH$7:BH$106,$AF50),1),IF($AG50&gt;0,INDEX(BH$7:BH$106,$AG50),1),IF($AH50&gt;0,INDEX(BH$7:BH$106,$AH50),1),IF($AI50&gt;0,INDEX(BH$7:BH$106,$AI50),1),IF($AJ50&gt;0,INDEX(BH$7:BH$106,$AJ50),1))))</ns0:f>
        <ns0:v>1</ns0:v>
      </ns0:c>
      <ns0:c r="BJ50" t="n">
        <ns0:f>IF($A50="",1,IF(BI50=1,1,--AND(IF($AC50&gt;0,INDEX(BI$7:BI$106,$AC50),1),IF($AD50&gt;0,INDEX(BI$7:BI$106,$AD50),1),IF($AE50&gt;0,INDEX(BI$7:BI$106,$AE50),1),IF($AF50&gt;0,INDEX(BI$7:BI$106,$AF50),1),IF($AG50&gt;0,INDEX(BI$7:BI$106,$AG50),1),IF($AH50&gt;0,INDEX(BI$7:BI$106,$AH50),1),IF($AI50&gt;0,INDEX(BI$7:BI$106,$AI50),1),IF($AJ50&gt;0,INDEX(BI$7:BI$106,$AJ50),1))))</ns0:f>
        <ns0:v>1</ns0:v>
      </ns0:c>
      <ns0:c r="BK50" t="n">
        <ns0:f>IF($A50="",1,IF(BJ50=1,1,--AND(IF($AC50&gt;0,INDEX(BJ$7:BJ$106,$AC50),1),IF($AD50&gt;0,INDEX(BJ$7:BJ$106,$AD50),1),IF($AE50&gt;0,INDEX(BJ$7:BJ$106,$AE50),1),IF($AF50&gt;0,INDEX(BJ$7:BJ$106,$AF50),1),IF($AG50&gt;0,INDEX(BJ$7:BJ$106,$AG50),1),IF($AH50&gt;0,INDEX(BJ$7:BJ$106,$AH50),1),IF($AI50&gt;0,INDEX(BJ$7:BJ$106,$AI50),1),IF($AJ50&gt;0,INDEX(BJ$7:BJ$106,$AJ50),1))))</ns0:f>
        <ns0:v>1</ns0:v>
      </ns0:c>
      <ns0:c r="BL50" t="n">
        <ns0:f>IF($A50="",1,IF(BK50=1,1,--AND(IF($AC50&gt;0,INDEX(BK$7:BK$106,$AC50),1),IF($AD50&gt;0,INDEX(BK$7:BK$106,$AD50),1),IF($AE50&gt;0,INDEX(BK$7:BK$106,$AE50),1),IF($AF50&gt;0,INDEX(BK$7:BK$106,$AF50),1),IF($AG50&gt;0,INDEX(BK$7:BK$106,$AG50),1),IF($AH50&gt;0,INDEX(BK$7:BK$106,$AH50),1),IF($AI50&gt;0,INDEX(BK$7:BK$106,$AI50),1),IF($AJ50&gt;0,INDEX(BK$7:BK$106,$AJ50),1))))</ns0:f>
        <ns0:v>1</ns0:v>
      </ns0:c>
      <ns0:c r="BM50" t="n">
        <ns0:f>IF($A50="",1,IF(BL50=1,1,--AND(IF($AC50&gt;0,INDEX(BL$7:BL$106,$AC50),1),IF($AD50&gt;0,INDEX(BL$7:BL$106,$AD50),1),IF($AE50&gt;0,INDEX(BL$7:BL$106,$AE50),1),IF($AF50&gt;0,INDEX(BL$7:BL$106,$AF50),1),IF($AG50&gt;0,INDEX(BL$7:BL$106,$AG50),1),IF($AH50&gt;0,INDEX(BL$7:BL$106,$AH50),1),IF($AI50&gt;0,INDEX(BL$7:BL$106,$AI50),1),IF($AJ50&gt;0,INDEX(BL$7:BL$106,$AJ50),1))))</ns0:f>
        <ns0:v>1</ns0:v>
      </ns0:c>
      <ns0:c r="BN50" t="n">
        <ns0:f>IF($A50="",1,IF(BM50=1,1,--AND(IF($AC50&gt;0,INDEX(BM$7:BM$106,$AC50),1),IF($AD50&gt;0,INDEX(BM$7:BM$106,$AD50),1),IF($AE50&gt;0,INDEX(BM$7:BM$106,$AE50),1),IF($AF50&gt;0,INDEX(BM$7:BM$106,$AF50),1),IF($AG50&gt;0,INDEX(BM$7:BM$106,$AG50),1),IF($AH50&gt;0,INDEX(BM$7:BM$106,$AH50),1),IF($AI50&gt;0,INDEX(BM$7:BM$106,$AI50),1),IF($AJ50&gt;0,INDEX(BM$7:BM$106,$AJ50),1))))</ns0:f>
        <ns0:v>1</ns0:v>
      </ns0:c>
      <ns0:c r="BO50" t="n">
        <ns0:f>IF($A50="",1,IF(BN50=1,1,--AND(IF($AC50&gt;0,INDEX(BN$7:BN$106,$AC50),1),IF($AD50&gt;0,INDEX(BN$7:BN$106,$AD50),1),IF($AE50&gt;0,INDEX(BN$7:BN$106,$AE50),1),IF($AF50&gt;0,INDEX(BN$7:BN$106,$AF50),1),IF($AG50&gt;0,INDEX(BN$7:BN$106,$AG50),1),IF($AH50&gt;0,INDEX(BN$7:BN$106,$AH50),1),IF($AI50&gt;0,INDEX(BN$7:BN$106,$AI50),1),IF($AJ50&gt;0,INDEX(BN$7:BN$106,$AJ50),1))))</ns0:f>
        <ns0:v>1</ns0:v>
      </ns0:c>
      <ns0:c r="BP50" t="n">
        <ns0:f>IF($A50="",1,IF(BO50=1,1,--AND(IF($AC50&gt;0,INDEX(BO$7:BO$106,$AC50),1),IF($AD50&gt;0,INDEX(BO$7:BO$106,$AD50),1),IF($AE50&gt;0,INDEX(BO$7:BO$106,$AE50),1),IF($AF50&gt;0,INDEX(BO$7:BO$106,$AF50),1),IF($AG50&gt;0,INDEX(BO$7:BO$106,$AG50),1),IF($AH50&gt;0,INDEX(BO$7:BO$106,$AH50),1),IF($AI50&gt;0,INDEX(BO$7:BO$106,$AI50),1),IF($AJ50&gt;0,INDEX(BO$7:BO$106,$AJ50),1))))</ns0:f>
        <ns0:v>1</ns0:v>
      </ns0:c>
      <ns0:c r="BQ50" t="n">
        <ns0:f>IF($A50="",1,IF(BP50=1,1,--AND(IF($AC50&gt;0,INDEX(BP$7:BP$106,$AC50),1),IF($AD50&gt;0,INDEX(BP$7:BP$106,$AD50),1),IF($AE50&gt;0,INDEX(BP$7:BP$106,$AE50),1),IF($AF50&gt;0,INDEX(BP$7:BP$106,$AF50),1),IF($AG50&gt;0,INDEX(BP$7:BP$106,$AG50),1),IF($AH50&gt;0,INDEX(BP$7:BP$106,$AH50),1),IF($AI50&gt;0,INDEX(BP$7:BP$106,$AI50),1),IF($AJ50&gt;0,INDEX(BP$7:BP$106,$AJ50),1))))</ns0:f>
        <ns0:v>1</ns0:v>
      </ns0:c>
      <ns0:c r="BR50" t="n">
        <ns0:f>IF($A50="",1,IF(BQ50=1,1,--AND(IF($AC50&gt;0,INDEX(BQ$7:BQ$106,$AC50),1),IF($AD50&gt;0,INDEX(BQ$7:BQ$106,$AD50),1),IF($AE50&gt;0,INDEX(BQ$7:BQ$106,$AE50),1),IF($AF50&gt;0,INDEX(BQ$7:BQ$106,$AF50),1),IF($AG50&gt;0,INDEX(BQ$7:BQ$106,$AG50),1),IF($AH50&gt;0,INDEX(BQ$7:BQ$106,$AH50),1),IF($AI50&gt;0,INDEX(BQ$7:BQ$106,$AI50),1),IF($AJ50&gt;0,INDEX(BQ$7:BQ$106,$AJ50),1))))</ns0:f>
        <ns0:v>1</ns0:v>
      </ns0:c>
      <ns0:c r="BS50" t="n">
        <ns0:f>IF($A50="",1,IF(BR50=1,1,--AND(IF($AC50&gt;0,INDEX(BR$7:BR$106,$AC50),1),IF($AD50&gt;0,INDEX(BR$7:BR$106,$AD50),1),IF($AE50&gt;0,INDEX(BR$7:BR$106,$AE50),1),IF($AF50&gt;0,INDEX(BR$7:BR$106,$AF50),1),IF($AG50&gt;0,INDEX(BR$7:BR$106,$AG50),1),IF($AH50&gt;0,INDEX(BR$7:BR$106,$AH50),1),IF($AI50&gt;0,INDEX(BR$7:BR$106,$AI50),1),IF($AJ50&gt;0,INDEX(BR$7:BR$106,$AJ50),1))))</ns0:f>
        <ns0:v>1</ns0:v>
      </ns0:c>
      <ns0:c r="BT50" t="n">
        <ns0:f>IF($A50="",1,IF(BS50=1,1,--AND(IF($AC50&gt;0,INDEX(BS$7:BS$106,$AC50),1),IF($AD50&gt;0,INDEX(BS$7:BS$106,$AD50),1),IF($AE50&gt;0,INDEX(BS$7:BS$106,$AE50),1),IF($AF50&gt;0,INDEX(BS$7:BS$106,$AF50),1),IF($AG50&gt;0,INDEX(BS$7:BS$106,$AG50),1),IF($AH50&gt;0,INDEX(BS$7:BS$106,$AH50),1),IF($AI50&gt;0,INDEX(BS$7:BS$106,$AI50),1),IF($AJ50&gt;0,INDEX(BS$7:BS$106,$AJ50),1))))</ns0:f>
        <ns0:v>1</ns0:v>
      </ns0:c>
      <ns0:c r="BU50" t="n">
        <ns0:f>IF($A50="",1,IF(BT50=1,1,--AND(IF($AC50&gt;0,INDEX(BT$7:BT$106,$AC50),1),IF($AD50&gt;0,INDEX(BT$7:BT$106,$AD50),1),IF($AE50&gt;0,INDEX(BT$7:BT$106,$AE50),1),IF($AF50&gt;0,INDEX(BT$7:BT$106,$AF50),1),IF($AG50&gt;0,INDEX(BT$7:BT$106,$AG50),1),IF($AH50&gt;0,INDEX(BT$7:BT$106,$AH50),1),IF($AI50&gt;0,INDEX(BT$7:BT$106,$AI50),1),IF($AJ50&gt;0,INDEX(BT$7:BT$106,$AJ50),1))))</ns0:f>
        <ns0:v>1</ns0:v>
      </ns0:c>
      <ns0:c r="BV50" t="n">
        <ns0:f>IF($A50="",1,IF(BU50=1,1,--AND(IF($AC50&gt;0,INDEX(BU$7:BU$106,$AC50),1),IF($AD50&gt;0,INDEX(BU$7:BU$106,$AD50),1),IF($AE50&gt;0,INDEX(BU$7:BU$106,$AE50),1),IF($AF50&gt;0,INDEX(BU$7:BU$106,$AF50),1),IF($AG50&gt;0,INDEX(BU$7:BU$106,$AG50),1),IF($AH50&gt;0,INDEX(BU$7:BU$106,$AH50),1),IF($AI50&gt;0,INDEX(BU$7:BU$106,$AI50),1),IF($AJ50&gt;0,INDEX(BU$7:BU$106,$AJ50),1))))</ns0:f>
        <ns0:v>1</ns0:v>
      </ns0:c>
      <ns0:c r="BW50" t="n">
        <ns0:f>IF($A50="",1,IF(BV50=1,1,--AND(IF($AC50&gt;0,INDEX(BV$7:BV$106,$AC50),1),IF($AD50&gt;0,INDEX(BV$7:BV$106,$AD50),1),IF($AE50&gt;0,INDEX(BV$7:BV$106,$AE50),1),IF($AF50&gt;0,INDEX(BV$7:BV$106,$AF50),1),IF($AG50&gt;0,INDEX(BV$7:BV$106,$AG50),1),IF($AH50&gt;0,INDEX(BV$7:BV$106,$AH50),1),IF($AI50&gt;0,INDEX(BV$7:BV$106,$AI50),1),IF($AJ50&gt;0,INDEX(BV$7:BV$106,$AJ50),1))))</ns0:f>
        <ns0:v>1</ns0:v>
      </ns0:c>
      <ns0:c r="BX50" t="n">
        <ns0:f>IF($A50="",1,IF(BW50=1,1,--AND(IF($AC50&gt;0,INDEX(BW$7:BW$106,$AC50),1),IF($AD50&gt;0,INDEX(BW$7:BW$106,$AD50),1),IF($AE50&gt;0,INDEX(BW$7:BW$106,$AE50),1),IF($AF50&gt;0,INDEX(BW$7:BW$106,$AF50),1),IF($AG50&gt;0,INDEX(BW$7:BW$106,$AG50),1),IF($AH50&gt;0,INDEX(BW$7:BW$106,$AH50),1),IF($AI50&gt;0,INDEX(BW$7:BW$106,$AI50),1),IF($AJ50&gt;0,INDEX(BW$7:BW$106,$AJ50),1))))</ns0:f>
        <ns0:v>1</ns0:v>
      </ns0:c>
      <ns0:c r="BY50" t="n">
        <ns0:f>IF($A50="",1,IF(BX50=1,1,--AND(IF($AC50&gt;0,INDEX(BX$7:BX$106,$AC50),1),IF($AD50&gt;0,INDEX(BX$7:BX$106,$AD50),1),IF($AE50&gt;0,INDEX(BX$7:BX$106,$AE50),1),IF($AF50&gt;0,INDEX(BX$7:BX$106,$AF50),1),IF($AG50&gt;0,INDEX(BX$7:BX$106,$AG50),1),IF($AH50&gt;0,INDEX(BX$7:BX$106,$AH50),1),IF($AI50&gt;0,INDEX(BX$7:BX$106,$AI50),1),IF($AJ50&gt;0,INDEX(BX$7:BX$106,$AJ50),1))))</ns0:f>
        <ns0:v>1</ns0:v>
      </ns0:c>
      <ns0:c r="BZ50" t="n">
        <ns0:f>IF($A50="",1,IF(BY50=1,1,--AND(IF($AC50&gt;0,INDEX(BY$7:BY$106,$AC50),1),IF($AD50&gt;0,INDEX(BY$7:BY$106,$AD50),1),IF($AE50&gt;0,INDEX(BY$7:BY$106,$AE50),1),IF($AF50&gt;0,INDEX(BY$7:BY$106,$AF50),1),IF($AG50&gt;0,INDEX(BY$7:BY$106,$AG50),1),IF($AH50&gt;0,INDEX(BY$7:BY$106,$AH50),1),IF($AI50&gt;0,INDEX(BY$7:BY$106,$AI50),1),IF($AJ50&gt;0,INDEX(BY$7:BY$106,$AJ50),1))))</ns0:f>
        <ns0:v>1</ns0:v>
      </ns0:c>
      <ns0:c r="CA50" t="n">
        <ns0:f>IF($A50="",1,IF(BZ50=1,1,--AND(IF($AC50&gt;0,INDEX(BZ$7:BZ$106,$AC50),1),IF($AD50&gt;0,INDEX(BZ$7:BZ$106,$AD50),1),IF($AE50&gt;0,INDEX(BZ$7:BZ$106,$AE50),1),IF($AF50&gt;0,INDEX(BZ$7:BZ$106,$AF50),1),IF($AG50&gt;0,INDEX(BZ$7:BZ$106,$AG50),1),IF($AH50&gt;0,INDEX(BZ$7:BZ$106,$AH50),1),IF($AI50&gt;0,INDEX(BZ$7:BZ$106,$AI50),1),IF($AJ50&gt;0,INDEX(BZ$7:BZ$106,$AJ50),1))))</ns0:f>
        <ns0:v>1</ns0:v>
      </ns0:c>
      <ns0:c r="CB50" t="n">
        <ns0:f>IF($A50="",1,IF(CA50=1,1,--AND(IF($AC50&gt;0,INDEX(CA$7:CA$106,$AC50),1),IF($AD50&gt;0,INDEX(CA$7:CA$106,$AD50),1),IF($AE50&gt;0,INDEX(CA$7:CA$106,$AE50),1),IF($AF50&gt;0,INDEX(CA$7:CA$106,$AF50),1),IF($AG50&gt;0,INDEX(CA$7:CA$106,$AG50),1),IF($AH50&gt;0,INDEX(CA$7:CA$106,$AH50),1),IF($AI50&gt;0,INDEX(CA$7:CA$106,$AI50),1),IF($AJ50&gt;0,INDEX(CA$7:CA$106,$AJ50),1))))</ns0:f>
        <ns0:v>1</ns0:v>
      </ns0:c>
      <ns0:c r="CC50" t="n">
        <ns0:f>IF($A50="",1,IF(CB50=1,1,--AND(IF($AC50&gt;0,INDEX(CB$7:CB$106,$AC50),1),IF($AD50&gt;0,INDEX(CB$7:CB$106,$AD50),1),IF($AE50&gt;0,INDEX(CB$7:CB$106,$AE50),1),IF($AF50&gt;0,INDEX(CB$7:CB$106,$AF50),1),IF($AG50&gt;0,INDEX(CB$7:CB$106,$AG50),1),IF($AH50&gt;0,INDEX(CB$7:CB$106,$AH50),1),IF($AI50&gt;0,INDEX(CB$7:CB$106,$AI50),1),IF($AJ50&gt;0,INDEX(CB$7:CB$106,$AJ50),1))))</ns0:f>
        <ns0:v>1</ns0:v>
      </ns0:c>
      <ns0:c r="CD50" t="n">
        <ns0:f>IF($A50="",1,IF(CC50=1,1,--AND(IF($AC50&gt;0,INDEX(CC$7:CC$106,$AC50),1),IF($AD50&gt;0,INDEX(CC$7:CC$106,$AD50),1),IF($AE50&gt;0,INDEX(CC$7:CC$106,$AE50),1),IF($AF50&gt;0,INDEX(CC$7:CC$106,$AF50),1),IF($AG50&gt;0,INDEX(CC$7:CC$106,$AG50),1),IF($AH50&gt;0,INDEX(CC$7:CC$106,$AH50),1),IF($AI50&gt;0,INDEX(CC$7:CC$106,$AI50),1),IF($AJ50&gt;0,INDEX(CC$7:CC$106,$AJ50),1))))</ns0:f>
        <ns0:v>1</ns0:v>
      </ns0:c>
      <ns0:c r="CE50" t="n">
        <ns0:f>IF($A50="",1,IF(CD50=1,1,--AND(IF($AC50&gt;0,INDEX(CD$7:CD$106,$AC50),1),IF($AD50&gt;0,INDEX(CD$7:CD$106,$AD50),1),IF($AE50&gt;0,INDEX(CD$7:CD$106,$AE50),1),IF($AF50&gt;0,INDEX(CD$7:CD$106,$AF50),1),IF($AG50&gt;0,INDEX(CD$7:CD$106,$AG50),1),IF($AH50&gt;0,INDEX(CD$7:CD$106,$AH50),1),IF($AI50&gt;0,INDEX(CD$7:CD$106,$AI50),1),IF($AJ50&gt;0,INDEX(CD$7:CD$106,$AJ50),1))))</ns0:f>
        <ns0:v>1</ns0:v>
      </ns0:c>
      <ns0:c r="CF50" t="n">
        <ns0:f>IF($A50="",1,IF(CE50=1,1,--AND(IF($AC50&gt;0,INDEX(CE$7:CE$106,$AC50),1),IF($AD50&gt;0,INDEX(CE$7:CE$106,$AD50),1),IF($AE50&gt;0,INDEX(CE$7:CE$106,$AE50),1),IF($AF50&gt;0,INDEX(CE$7:CE$106,$AF50),1),IF($AG50&gt;0,INDEX(CE$7:CE$106,$AG50),1),IF($AH50&gt;0,INDEX(CE$7:CE$106,$AH50),1),IF($AI50&gt;0,INDEX(CE$7:CE$106,$AI50),1),IF($AJ50&gt;0,INDEX(CE$7:CE$106,$AJ50),1))))</ns0:f>
        <ns0:v>1</ns0:v>
      </ns0:c>
      <ns0:c r="CG50" t="n">
        <ns0:f>IF($A50="",1,IF(CF50=1,1,--AND(IF($AC50&gt;0,INDEX(CF$7:CF$106,$AC50),1),IF($AD50&gt;0,INDEX(CF$7:CF$106,$AD50),1),IF($AE50&gt;0,INDEX(CF$7:CF$106,$AE50),1),IF($AF50&gt;0,INDEX(CF$7:CF$106,$AF50),1),IF($AG50&gt;0,INDEX(CF$7:CF$106,$AG50),1),IF($AH50&gt;0,INDEX(CF$7:CF$106,$AH50),1),IF($AI50&gt;0,INDEX(CF$7:CF$106,$AI50),1),IF($AJ50&gt;0,INDEX(CF$7:CF$106,$AJ50),1))))</ns0:f>
        <ns0:v>1</ns0:v>
      </ns0:c>
      <ns0:c r="CH50" t="n">
        <ns0:f>IF($A50="",1,IF(CG50=1,1,--AND(IF($AC50&gt;0,INDEX(CG$7:CG$106,$AC50),1),IF($AD50&gt;0,INDEX(CG$7:CG$106,$AD50),1),IF($AE50&gt;0,INDEX(CG$7:CG$106,$AE50),1),IF($AF50&gt;0,INDEX(CG$7:CG$106,$AF50),1),IF($AG50&gt;0,INDEX(CG$7:CG$106,$AG50),1),IF($AH50&gt;0,INDEX(CG$7:CG$106,$AH50),1),IF($AI50&gt;0,INDEX(CG$7:CG$106,$AI50),1),IF($AJ50&gt;0,INDEX(CG$7:CG$106,$AJ50),1))))</ns0:f>
        <ns0:v>1</ns0:v>
      </ns0:c>
      <ns0:c r="CI50" t="n">
        <ns0:f>IF($A50="",1,IF(CH50=1,1,--AND(IF($AC50&gt;0,INDEX(CH$7:CH$106,$AC50),1),IF($AD50&gt;0,INDEX(CH$7:CH$106,$AD50),1),IF($AE50&gt;0,INDEX(CH$7:CH$106,$AE50),1),IF($AF50&gt;0,INDEX(CH$7:CH$106,$AF50),1),IF($AG50&gt;0,INDEX(CH$7:CH$106,$AG50),1),IF($AH50&gt;0,INDEX(CH$7:CH$106,$AH50),1),IF($AI50&gt;0,INDEX(CH$7:CH$106,$AI50),1),IF($AJ50&gt;0,INDEX(CH$7:CH$106,$AJ50),1))))</ns0:f>
        <ns0:v>1</ns0:v>
      </ns0:c>
      <ns0:c r="CJ50" t="n">
        <ns0:f>IF($A50="",1,IF(CI50=1,1,--AND(IF($AC50&gt;0,INDEX(CI$7:CI$106,$AC50),1),IF($AD50&gt;0,INDEX(CI$7:CI$106,$AD50),1),IF($AE50&gt;0,INDEX(CI$7:CI$106,$AE50),1),IF($AF50&gt;0,INDEX(CI$7:CI$106,$AF50),1),IF($AG50&gt;0,INDEX(CI$7:CI$106,$AG50),1),IF($AH50&gt;0,INDEX(CI$7:CI$106,$AH50),1),IF($AI50&gt;0,INDEX(CI$7:CI$106,$AI50),1),IF($AJ50&gt;0,INDEX(CI$7:CI$106,$AJ50),1))))</ns0:f>
        <ns0:v>1</ns0:v>
      </ns0:c>
      <ns0:c r="CK50" t="n">
        <ns0:f>IF($A50="",1,IF(CJ50=1,1,--AND(IF($AC50&gt;0,INDEX(CJ$7:CJ$106,$AC50),1),IF($AD50&gt;0,INDEX(CJ$7:CJ$106,$AD50),1),IF($AE50&gt;0,INDEX(CJ$7:CJ$106,$AE50),1),IF($AF50&gt;0,INDEX(CJ$7:CJ$106,$AF50),1),IF($AG50&gt;0,INDEX(CJ$7:CJ$106,$AG50),1),IF($AH50&gt;0,INDEX(CJ$7:CJ$106,$AH50),1),IF($AI50&gt;0,INDEX(CJ$7:CJ$106,$AI50),1),IF($AJ50&gt;0,INDEX(CJ$7:CJ$106,$AJ50),1))))</ns0:f>
        <ns0:v>1</ns0:v>
      </ns0:c>
      <ns0:c r="CL50" t="n">
        <ns0:f>IF($A50="",1,IF(CK50=1,1,--AND(IF($AC50&gt;0,INDEX(CK$7:CK$106,$AC50),1),IF($AD50&gt;0,INDEX(CK$7:CK$106,$AD50),1),IF($AE50&gt;0,INDEX(CK$7:CK$106,$AE50),1),IF($AF50&gt;0,INDEX(CK$7:CK$106,$AF50),1),IF($AG50&gt;0,INDEX(CK$7:CK$106,$AG50),1),IF($AH50&gt;0,INDEX(CK$7:CK$106,$AH50),1),IF($AI50&gt;0,INDEX(CK$7:CK$106,$AI50),1),IF($AJ50&gt;0,INDEX(CK$7:CK$106,$AJ50),1))))</ns0:f>
        <ns0:v>1</ns0:v>
      </ns0:c>
      <ns0:c r="CM50" t="n">
        <ns0:f>IF($A50="",1,IF(CL50=1,1,--AND(IF($AC50&gt;0,INDEX(CL$7:CL$106,$AC50),1),IF($AD50&gt;0,INDEX(CL$7:CL$106,$AD50),1),IF($AE50&gt;0,INDEX(CL$7:CL$106,$AE50),1),IF($AF50&gt;0,INDEX(CL$7:CL$106,$AF50),1),IF($AG50&gt;0,INDEX(CL$7:CL$106,$AG50),1),IF($AH50&gt;0,INDEX(CL$7:CL$106,$AH50),1),IF($AI50&gt;0,INDEX(CL$7:CL$106,$AI50),1),IF($AJ50&gt;0,INDEX(CL$7:CL$106,$AJ50),1))))</ns0:f>
        <ns0:v>1</ns0:v>
      </ns0:c>
      <ns0:c r="CN50" t="n">
        <ns0:f>IF($A50="",1,IF(CM50=1,1,--AND(IF($AC50&gt;0,INDEX(CM$7:CM$106,$AC50),1),IF($AD50&gt;0,INDEX(CM$7:CM$106,$AD50),1),IF($AE50&gt;0,INDEX(CM$7:CM$106,$AE50),1),IF($AF50&gt;0,INDEX(CM$7:CM$106,$AF50),1),IF($AG50&gt;0,INDEX(CM$7:CM$106,$AG50),1),IF($AH50&gt;0,INDEX(CM$7:CM$106,$AH50),1),IF($AI50&gt;0,INDEX(CM$7:CM$106,$AI50),1),IF($AJ50&gt;0,INDEX(CM$7:CM$106,$AJ50),1))))</ns0:f>
        <ns0:v>1</ns0:v>
      </ns0:c>
      <ns0:c r="CO50" t="n">
        <ns0:f>IF($A50="",1,IF(CN50=1,1,--AND(IF($AC50&gt;0,INDEX(CN$7:CN$106,$AC50),1),IF($AD50&gt;0,INDEX(CN$7:CN$106,$AD50),1),IF($AE50&gt;0,INDEX(CN$7:CN$106,$AE50),1),IF($AF50&gt;0,INDEX(CN$7:CN$106,$AF50),1),IF($AG50&gt;0,INDEX(CN$7:CN$106,$AG50),1),IF($AH50&gt;0,INDEX(CN$7:CN$106,$AH50),1),IF($AI50&gt;0,INDEX(CN$7:CN$106,$AI50),1),IF($AJ50&gt;0,INDEX(CN$7:CN$106,$AJ50),1))))</ns0:f>
        <ns0:v>1</ns0:v>
      </ns0:c>
      <ns0:c r="CP50" t="n">
        <ns0:f>IF($A50="",1,IF(CO50=1,1,--AND(IF($AC50&gt;0,INDEX(CO$7:CO$106,$AC50),1),IF($AD50&gt;0,INDEX(CO$7:CO$106,$AD50),1),IF($AE50&gt;0,INDEX(CO$7:CO$106,$AE50),1),IF($AF50&gt;0,INDEX(CO$7:CO$106,$AF50),1),IF($AG50&gt;0,INDEX(CO$7:CO$106,$AG50),1),IF($AH50&gt;0,INDEX(CO$7:CO$106,$AH50),1),IF($AI50&gt;0,INDEX(CO$7:CO$106,$AI50),1),IF($AJ50&gt;0,INDEX(CO$7:CO$106,$AJ50),1))))</ns0:f>
        <ns0:v>1</ns0:v>
      </ns0:c>
      <ns0:c r="CQ50" t="n">
        <ns0:f>IF($A50="",1,IF(CP50=1,1,--AND(IF($AC50&gt;0,INDEX(CP$7:CP$106,$AC50),1),IF($AD50&gt;0,INDEX(CP$7:CP$106,$AD50),1),IF($AE50&gt;0,INDEX(CP$7:CP$106,$AE50),1),IF($AF50&gt;0,INDEX(CP$7:CP$106,$AF50),1),IF($AG50&gt;0,INDEX(CP$7:CP$106,$AG50),1),IF($AH50&gt;0,INDEX(CP$7:CP$106,$AH50),1),IF($AI50&gt;0,INDEX(CP$7:CP$106,$AI50),1),IF($AJ50&gt;0,INDEX(CP$7:CP$106,$AJ50),1))))</ns0:f>
        <ns0:v>1</ns0:v>
      </ns0:c>
      <ns0:c r="CR50" t="n">
        <ns0:f>IF($A50="",1,IF(CQ50=1,1,--AND(IF($AC50&gt;0,INDEX(CQ$7:CQ$106,$AC50),1),IF($AD50&gt;0,INDEX(CQ$7:CQ$106,$AD50),1),IF($AE50&gt;0,INDEX(CQ$7:CQ$106,$AE50),1),IF($AF50&gt;0,INDEX(CQ$7:CQ$106,$AF50),1),IF($AG50&gt;0,INDEX(CQ$7:CQ$106,$AG50),1),IF($AH50&gt;0,INDEX(CQ$7:CQ$106,$AH50),1),IF($AI50&gt;0,INDEX(CQ$7:CQ$106,$AI50),1),IF($AJ50&gt;0,INDEX(CQ$7:CQ$106,$AJ50),1))))</ns0:f>
        <ns0:v>1</ns0:v>
      </ns0:c>
      <ns0:c r="CS50" t="n">
        <ns0:f>IF($A50="",1,IF(CR50=1,1,--AND(IF($AC50&gt;0,INDEX(CR$7:CR$106,$AC50),1),IF($AD50&gt;0,INDEX(CR$7:CR$106,$AD50),1),IF($AE50&gt;0,INDEX(CR$7:CR$106,$AE50),1),IF($AF50&gt;0,INDEX(CR$7:CR$106,$AF50),1),IF($AG50&gt;0,INDEX(CR$7:CR$106,$AG50),1),IF($AH50&gt;0,INDEX(CR$7:CR$106,$AH50),1),IF($AI50&gt;0,INDEX(CR$7:CR$106,$AI50),1),IF($AJ50&gt;0,INDEX(CR$7:CR$106,$AJ50),1))))</ns0:f>
        <ns0:v>1</ns0:v>
      </ns0:c>
      <ns0:c r="CT50" t="n">
        <ns0:f>IF($A50="",1,IF(CS50=1,1,--AND(IF($AC50&gt;0,INDEX(CS$7:CS$106,$AC50),1),IF($AD50&gt;0,INDEX(CS$7:CS$106,$AD50),1),IF($AE50&gt;0,INDEX(CS$7:CS$106,$AE50),1),IF($AF50&gt;0,INDEX(CS$7:CS$106,$AF50),1),IF($AG50&gt;0,INDEX(CS$7:CS$106,$AG50),1),IF($AH50&gt;0,INDEX(CS$7:CS$106,$AH50),1),IF($AI50&gt;0,INDEX(CS$7:CS$106,$AI50),1),IF($AJ50&gt;0,INDEX(CS$7:CS$106,$AJ50),1))))</ns0:f>
        <ns0:v>1</ns0:v>
      </ns0:c>
      <ns0:c r="CU50" t="n">
        <ns0:f>IF($A50="",1,IF(CT50=1,1,--AND(IF($AC50&gt;0,INDEX(CT$7:CT$106,$AC50),1),IF($AD50&gt;0,INDEX(CT$7:CT$106,$AD50),1),IF($AE50&gt;0,INDEX(CT$7:CT$106,$AE50),1),IF($AF50&gt;0,INDEX(CT$7:CT$106,$AF50),1),IF($AG50&gt;0,INDEX(CT$7:CT$106,$AG50),1),IF($AH50&gt;0,INDEX(CT$7:CT$106,$AH50),1),IF($AI50&gt;0,INDEX(CT$7:CT$106,$AI50),1),IF($AJ50&gt;0,INDEX(CT$7:CT$106,$AJ50),1))))</ns0:f>
        <ns0:v>1</ns0:v>
      </ns0:c>
      <ns0:c r="CV50" t="n">
        <ns0:f>IF($A50="",1,IF(CU50=1,1,--AND(IF($AC50&gt;0,INDEX(CU$7:CU$106,$AC50),1),IF($AD50&gt;0,INDEX(CU$7:CU$106,$AD50),1),IF($AE50&gt;0,INDEX(CU$7:CU$106,$AE50),1),IF($AF50&gt;0,INDEX(CU$7:CU$106,$AF50),1),IF($AG50&gt;0,INDEX(CU$7:CU$106,$AG50),1),IF($AH50&gt;0,INDEX(CU$7:CU$106,$AH50),1),IF($AI50&gt;0,INDEX(CU$7:CU$106,$AI50),1),IF($AJ50&gt;0,INDEX(CU$7:CU$106,$AJ50),1))))</ns0:f>
        <ns0:v>1</ns0:v>
      </ns0:c>
      <ns0:c r="CW50" t="n">
        <ns0:f>IF($A50="",1,IF(CV50=1,1,--AND(IF($AC50&gt;0,INDEX(CV$7:CV$106,$AC50),1),IF($AD50&gt;0,INDEX(CV$7:CV$106,$AD50),1),IF($AE50&gt;0,INDEX(CV$7:CV$106,$AE50),1),IF($AF50&gt;0,INDEX(CV$7:CV$106,$AF50),1),IF($AG50&gt;0,INDEX(CV$7:CV$106,$AG50),1),IF($AH50&gt;0,INDEX(CV$7:CV$106,$AH50),1),IF($AI50&gt;0,INDEX(CV$7:CV$106,$AI50),1),IF($AJ50&gt;0,INDEX(CV$7:CV$106,$AJ50),1))))</ns0:f>
        <ns0:v>1</ns0:v>
      </ns0:c>
      <ns0:c r="CX50" t="n">
        <ns0:f>IF($A50="",1,IF(CW50=1,1,--AND(IF($AC50&gt;0,INDEX(CW$7:CW$106,$AC50),1),IF($AD50&gt;0,INDEX(CW$7:CW$106,$AD50),1),IF($AE50&gt;0,INDEX(CW$7:CW$106,$AE50),1),IF($AF50&gt;0,INDEX(CW$7:CW$106,$AF50),1),IF($AG50&gt;0,INDEX(CW$7:CW$106,$AG50),1),IF($AH50&gt;0,INDEX(CW$7:CW$106,$AH50),1),IF($AI50&gt;0,INDEX(CW$7:CW$106,$AI50),1),IF($AJ50&gt;0,INDEX(CW$7:CW$106,$AJ50),1))))</ns0:f>
        <ns0:v>1</ns0:v>
      </ns0:c>
      <ns0:c r="CY50" t="n">
        <ns0:f>IF($A50="",1,IF(CX50=1,1,--AND(IF($AC50&gt;0,INDEX(CX$7:CX$106,$AC50),1),IF($AD50&gt;0,INDEX(CX$7:CX$106,$AD50),1),IF($AE50&gt;0,INDEX(CX$7:CX$106,$AE50),1),IF($AF50&gt;0,INDEX(CX$7:CX$106,$AF50),1),IF($AG50&gt;0,INDEX(CX$7:CX$106,$AG50),1),IF($AH50&gt;0,INDEX(CX$7:CX$106,$AH50),1),IF($AI50&gt;0,INDEX(CX$7:CX$106,$AI50),1),IF($AJ50&gt;0,INDEX(CX$7:CX$106,$AJ50),1))))</ns0:f>
        <ns0:v>1</ns0:v>
      </ns0:c>
      <ns0:c r="CZ50" t="n">
        <ns0:f>IF($A50="",1,IF(CY50=1,1,--AND(IF($AC50&gt;0,INDEX(CY$7:CY$106,$AC50),1),IF($AD50&gt;0,INDEX(CY$7:CY$106,$AD50),1),IF($AE50&gt;0,INDEX(CY$7:CY$106,$AE50),1),IF($AF50&gt;0,INDEX(CY$7:CY$106,$AF50),1),IF($AG50&gt;0,INDEX(CY$7:CY$106,$AG50),1),IF($AH50&gt;0,INDEX(CY$7:CY$106,$AH50),1),IF($AI50&gt;0,INDEX(CY$7:CY$106,$AI50),1),IF($AJ50&gt;0,INDEX(CY$7:CY$106,$AJ50),1))))</ns0:f>
        <ns0:v>1</ns0:v>
      </ns0:c>
      <ns0:c r="DA50" t="n">
        <ns0:f>IF($A50="",1,IF(CZ50=1,1,--AND(IF($AC50&gt;0,INDEX(CZ$7:CZ$106,$AC50),1),IF($AD50&gt;0,INDEX(CZ$7:CZ$106,$AD50),1),IF($AE50&gt;0,INDEX(CZ$7:CZ$106,$AE50),1),IF($AF50&gt;0,INDEX(CZ$7:CZ$106,$AF50),1),IF($AG50&gt;0,INDEX(CZ$7:CZ$106,$AG50),1),IF($AH50&gt;0,INDEX(CZ$7:CZ$106,$AH50),1),IF($AI50&gt;0,INDEX(CZ$7:CZ$106,$AI50),1),IF($AJ50&gt;0,INDEX(CZ$7:CZ$106,$AJ50),1))))</ns0:f>
        <ns0:v>1</ns0:v>
      </ns0:c>
      <ns0:c r="DB50" t="n">
        <ns0:f>IF($A50="",1,IF(DA50=1,1,--AND(IF($AC50&gt;0,INDEX(DA$7:DA$106,$AC50),1),IF($AD50&gt;0,INDEX(DA$7:DA$106,$AD50),1),IF($AE50&gt;0,INDEX(DA$7:DA$106,$AE50),1),IF($AF50&gt;0,INDEX(DA$7:DA$106,$AF50),1),IF($AG50&gt;0,INDEX(DA$7:DA$106,$AG50),1),IF($AH50&gt;0,INDEX(DA$7:DA$106,$AH50),1),IF($AI50&gt;0,INDEX(DA$7:DA$106,$AI50),1),IF($AJ50&gt;0,INDEX(DA$7:DA$106,$AJ50),1))))</ns0:f>
        <ns0:v>1</ns0:v>
      </ns0:c>
      <ns0:c r="DC50" t="n">
        <ns0:f>IF($A50="",1,IF(DB50=1,1,--AND(IF($AC50&gt;0,INDEX(DB$7:DB$106,$AC50),1),IF($AD50&gt;0,INDEX(DB$7:DB$106,$AD50),1),IF($AE50&gt;0,INDEX(DB$7:DB$106,$AE50),1),IF($AF50&gt;0,INDEX(DB$7:DB$106,$AF50),1),IF($AG50&gt;0,INDEX(DB$7:DB$106,$AG50),1),IF($AH50&gt;0,INDEX(DB$7:DB$106,$AH50),1),IF($AI50&gt;0,INDEX(DB$7:DB$106,$AI50),1),IF($AJ50&gt;0,INDEX(DB$7:DB$106,$AJ50),1))))</ns0:f>
        <ns0:v>1</ns0:v>
      </ns0:c>
      <ns0:c r="DD50" t="n">
        <ns0:f>IF($A50="",1,IF(DC50=1,1,--AND(IF($AC50&gt;0,INDEX(DC$7:DC$106,$AC50),1),IF($AD50&gt;0,INDEX(DC$7:DC$106,$AD50),1),IF($AE50&gt;0,INDEX(DC$7:DC$106,$AE50),1),IF($AF50&gt;0,INDEX(DC$7:DC$106,$AF50),1),IF($AG50&gt;0,INDEX(DC$7:DC$106,$AG50),1),IF($AH50&gt;0,INDEX(DC$7:DC$106,$AH50),1),IF($AI50&gt;0,INDEX(DC$7:DC$106,$AI50),1),IF($AJ50&gt;0,INDEX(DC$7:DC$106,$AJ50),1))))</ns0:f>
        <ns0:v>1</ns0:v>
      </ns0:c>
      <ns0:c r="DE50" t="n">
        <ns0:f>IF($A50="",1,IF(DD50=1,1,--AND(IF($AC50&gt;0,INDEX(DD$7:DD$106,$AC50),1),IF($AD50&gt;0,INDEX(DD$7:DD$106,$AD50),1),IF($AE50&gt;0,INDEX(DD$7:DD$106,$AE50),1),IF($AF50&gt;0,INDEX(DD$7:DD$106,$AF50),1),IF($AG50&gt;0,INDEX(DD$7:DD$106,$AG50),1),IF($AH50&gt;0,INDEX(DD$7:DD$106,$AH50),1),IF($AI50&gt;0,INDEX(DD$7:DD$106,$AI50),1),IF($AJ50&gt;0,INDEX(DD$7:DD$106,$AJ50),1))))</ns0:f>
        <ns0:v>1</ns0:v>
      </ns0:c>
      <ns0:c r="DF50" t="n">
        <ns0:f>IF($A50="",1,IF(DE50=1,1,--AND(IF($AC50&gt;0,INDEX(DE$7:DE$106,$AC50),1),IF($AD50&gt;0,INDEX(DE$7:DE$106,$AD50),1),IF($AE50&gt;0,INDEX(DE$7:DE$106,$AE50),1),IF($AF50&gt;0,INDEX(DE$7:DE$106,$AF50),1),IF($AG50&gt;0,INDEX(DE$7:DE$106,$AG50),1),IF($AH50&gt;0,INDEX(DE$7:DE$106,$AH50),1),IF($AI50&gt;0,INDEX(DE$7:DE$106,$AI50),1),IF($AJ50&gt;0,INDEX(DE$7:DE$106,$AJ50),1))))</ns0:f>
        <ns0:v>1</ns0:v>
      </ns0:c>
      <ns0:c r="DG50" t="n">
        <ns0:f>IF($A50="",1,IF(DF50=1,1,--AND(IF($AC50&gt;0,INDEX(DF$7:DF$106,$AC50),1),IF($AD50&gt;0,INDEX(DF$7:DF$106,$AD50),1),IF($AE50&gt;0,INDEX(DF$7:DF$106,$AE50),1),IF($AF50&gt;0,INDEX(DF$7:DF$106,$AF50),1),IF($AG50&gt;0,INDEX(DF$7:DF$106,$AG50),1),IF($AH50&gt;0,INDEX(DF$7:DF$106,$AH50),1),IF($AI50&gt;0,INDEX(DF$7:DF$106,$AI50),1),IF($AJ50&gt;0,INDEX(DF$7:DF$106,$AJ50),1))))</ns0:f>
        <ns0:v>1</ns0:v>
      </ns0:c>
      <ns0:c r="DH50" t="n">
        <ns0:f>IF($A50="",1,IF(DG50=1,1,--AND(IF($AC50&gt;0,INDEX(DG$7:DG$106,$AC50),1),IF($AD50&gt;0,INDEX(DG$7:DG$106,$AD50),1),IF($AE50&gt;0,INDEX(DG$7:DG$106,$AE50),1),IF($AF50&gt;0,INDEX(DG$7:DG$106,$AF50),1),IF($AG50&gt;0,INDEX(DG$7:DG$106,$AG50),1),IF($AH50&gt;0,INDEX(DG$7:DG$106,$AH50),1),IF($AI50&gt;0,INDEX(DG$7:DG$106,$AI50),1),IF($AJ50&gt;0,INDEX(DG$7:DG$106,$AJ50),1))))</ns0:f>
        <ns0:v>1</ns0:v>
      </ns0:c>
      <ns0:c r="DI50" t="n">
        <ns0:f>IF($A50="",1,IF(DH50=1,1,--AND(IF($AC50&gt;0,INDEX(DH$7:DH$106,$AC50),1),IF($AD50&gt;0,INDEX(DH$7:DH$106,$AD50),1),IF($AE50&gt;0,INDEX(DH$7:DH$106,$AE50),1),IF($AF50&gt;0,INDEX(DH$7:DH$106,$AF50),1),IF($AG50&gt;0,INDEX(DH$7:DH$106,$AG50),1),IF($AH50&gt;0,INDEX(DH$7:DH$106,$AH50),1),IF($AI50&gt;0,INDEX(DH$7:DH$106,$AI50),1),IF($AJ50&gt;0,INDEX(DH$7:DH$106,$AJ50),1))))</ns0:f>
        <ns0:v>1</ns0:v>
      </ns0:c>
      <ns0:c r="DJ50" t="n">
        <ns0:f>IF($A50="",1,IF(DI50=1,1,--AND(IF($AC50&gt;0,INDEX(DI$7:DI$106,$AC50),1),IF($AD50&gt;0,INDEX(DI$7:DI$106,$AD50),1),IF($AE50&gt;0,INDEX(DI$7:DI$106,$AE50),1),IF($AF50&gt;0,INDEX(DI$7:DI$106,$AF50),1),IF($AG50&gt;0,INDEX(DI$7:DI$106,$AG50),1),IF($AH50&gt;0,INDEX(DI$7:DI$106,$AH50),1),IF($AI50&gt;0,INDEX(DI$7:DI$106,$AI50),1),IF($AJ50&gt;0,INDEX(DI$7:DI$106,$AJ50),1))))</ns0:f>
        <ns0:v>1</ns0:v>
      </ns0:c>
      <ns0:c r="DK50" t="n">
        <ns0:f>IF($A50="",1,IF(DJ50=1,1,--AND(IF($AC50&gt;0,INDEX(DJ$7:DJ$106,$AC50),1),IF($AD50&gt;0,INDEX(DJ$7:DJ$106,$AD50),1),IF($AE50&gt;0,INDEX(DJ$7:DJ$106,$AE50),1),IF($AF50&gt;0,INDEX(DJ$7:DJ$106,$AF50),1),IF($AG50&gt;0,INDEX(DJ$7:DJ$106,$AG50),1),IF($AH50&gt;0,INDEX(DJ$7:DJ$106,$AH50),1),IF($AI50&gt;0,INDEX(DJ$7:DJ$106,$AI50),1),IF($AJ50&gt;0,INDEX(DJ$7:DJ$106,$AJ50),1))))</ns0:f>
        <ns0:v>1</ns0:v>
      </ns0:c>
      <ns0:c r="DL50" t="n">
        <ns0:f>IF($A50="",1,IF(DK50=1,1,--AND(IF($AC50&gt;0,INDEX(DK$7:DK$106,$AC50),1),IF($AD50&gt;0,INDEX(DK$7:DK$106,$AD50),1),IF($AE50&gt;0,INDEX(DK$7:DK$106,$AE50),1),IF($AF50&gt;0,INDEX(DK$7:DK$106,$AF50),1),IF($AG50&gt;0,INDEX(DK$7:DK$106,$AG50),1),IF($AH50&gt;0,INDEX(DK$7:DK$106,$AH50),1),IF($AI50&gt;0,INDEX(DK$7:DK$106,$AI50),1),IF($AJ50&gt;0,INDEX(DK$7:DK$106,$AJ50),1))))</ns0:f>
        <ns0:v>1</ns0:v>
      </ns0:c>
      <ns0:c r="DM50" t="n">
        <ns0:f>IF($A50="",1,IF(DL50=1,1,--AND(IF($AC50&gt;0,INDEX(DL$7:DL$106,$AC50),1),IF($AD50&gt;0,INDEX(DL$7:DL$106,$AD50),1),IF($AE50&gt;0,INDEX(DL$7:DL$106,$AE50),1),IF($AF50&gt;0,INDEX(DL$7:DL$106,$AF50),1),IF($AG50&gt;0,INDEX(DL$7:DL$106,$AG50),1),IF($AH50&gt;0,INDEX(DL$7:DL$106,$AH50),1),IF($AI50&gt;0,INDEX(DL$7:DL$106,$AI50),1),IF($AJ50&gt;0,INDEX(DL$7:DL$106,$AJ50),1))))</ns0:f>
        <ns0:v>1</ns0:v>
      </ns0:c>
      <ns0:c r="DN50" t="n">
        <ns0:f>IF($A50="",1,IF(DM50=1,1,--AND(IF($AC50&gt;0,INDEX(DM$7:DM$106,$AC50),1),IF($AD50&gt;0,INDEX(DM$7:DM$106,$AD50),1),IF($AE50&gt;0,INDEX(DM$7:DM$106,$AE50),1),IF($AF50&gt;0,INDEX(DM$7:DM$106,$AF50),1),IF($AG50&gt;0,INDEX(DM$7:DM$106,$AG50),1),IF($AH50&gt;0,INDEX(DM$7:DM$106,$AH50),1),IF($AI50&gt;0,INDEX(DM$7:DM$106,$AI50),1),IF($AJ50&gt;0,INDEX(DM$7:DM$106,$AJ50),1))))</ns0:f>
        <ns0:v>1</ns0:v>
      </ns0:c>
      <ns0:c r="DO50" t="n">
        <ns0:f>IF($A50="",1,IF(DN50=1,1,--AND(IF($AC50&gt;0,INDEX(DN$7:DN$106,$AC50),1),IF($AD50&gt;0,INDEX(DN$7:DN$106,$AD50),1),IF($AE50&gt;0,INDEX(DN$7:DN$106,$AE50),1),IF($AF50&gt;0,INDEX(DN$7:DN$106,$AF50),1),IF($AG50&gt;0,INDEX(DN$7:DN$106,$AG50),1),IF($AH50&gt;0,INDEX(DN$7:DN$106,$AH50),1),IF($AI50&gt;0,INDEX(DN$7:DN$106,$AI50),1),IF($AJ50&gt;0,INDEX(DN$7:DN$106,$AJ50),1))))</ns0:f>
        <ns0:v>1</ns0:v>
      </ns0:c>
      <ns0:c r="DP50" t="n">
        <ns0:f>IF($A50="",1,IF(DO50=1,1,--AND(IF($AC50&gt;0,INDEX(DO$7:DO$106,$AC50),1),IF($AD50&gt;0,INDEX(DO$7:DO$106,$AD50),1),IF($AE50&gt;0,INDEX(DO$7:DO$106,$AE50),1),IF($AF50&gt;0,INDEX(DO$7:DO$106,$AF50),1),IF($AG50&gt;0,INDEX(DO$7:DO$106,$AG50),1),IF($AH50&gt;0,INDEX(DO$7:DO$106,$AH50),1),IF($AI50&gt;0,INDEX(DO$7:DO$106,$AI50),1),IF($AJ50&gt;0,INDEX(DO$7:DO$106,$AJ50),1))))</ns0:f>
        <ns0:v>1</ns0:v>
      </ns0:c>
      <ns0:c r="DQ50" t="n">
        <ns0:f>IF($A50="",1,IF(DP50=1,1,--AND(IF($AC50&gt;0,INDEX(DP$7:DP$106,$AC50),1),IF($AD50&gt;0,INDEX(DP$7:DP$106,$AD50),1),IF($AE50&gt;0,INDEX(DP$7:DP$106,$AE50),1),IF($AF50&gt;0,INDEX(DP$7:DP$106,$AF50),1),IF($AG50&gt;0,INDEX(DP$7:DP$106,$AG50),1),IF($AH50&gt;0,INDEX(DP$7:DP$106,$AH50),1),IF($AI50&gt;0,INDEX(DP$7:DP$106,$AI50),1),IF($AJ50&gt;0,INDEX(DP$7:DP$106,$AJ50),1))))</ns0:f>
        <ns0:v>1</ns0:v>
      </ns0:c>
      <ns0:c r="DR50" t="n">
        <ns0:f>IF($A50="",1,IF(DQ50=1,1,--AND(IF($AC50&gt;0,INDEX(DQ$7:DQ$106,$AC50),1),IF($AD50&gt;0,INDEX(DQ$7:DQ$106,$AD50),1),IF($AE50&gt;0,INDEX(DQ$7:DQ$106,$AE50),1),IF($AF50&gt;0,INDEX(DQ$7:DQ$106,$AF50),1),IF($AG50&gt;0,INDEX(DQ$7:DQ$106,$AG50),1),IF($AH50&gt;0,INDEX(DQ$7:DQ$106,$AH50),1),IF($AI50&gt;0,INDEX(DQ$7:DQ$106,$AI50),1),IF($AJ50&gt;0,INDEX(DQ$7:DQ$106,$AJ50),1))))</ns0:f>
        <ns0:v>1</ns0:v>
      </ns0:c>
      <ns0:c r="DS50" t="n">
        <ns0:f>IF($A50="",1,IF(DR50=1,1,--AND(IF($AC50&gt;0,INDEX(DR$7:DR$106,$AC50),1),IF($AD50&gt;0,INDEX(DR$7:DR$106,$AD50),1),IF($AE50&gt;0,INDEX(DR$7:DR$106,$AE50),1),IF($AF50&gt;0,INDEX(DR$7:DR$106,$AF50),1),IF($AG50&gt;0,INDEX(DR$7:DR$106,$AG50),1),IF($AH50&gt;0,INDEX(DR$7:DR$106,$AH50),1),IF($AI50&gt;0,INDEX(DR$7:DR$106,$AI50),1),IF($AJ50&gt;0,INDEX(DR$7:DR$106,$AJ50),1))))</ns0:f>
        <ns0:v>1</ns0:v>
      </ns0:c>
      <ns0:c r="DT50" t="n">
        <ns0:f>IF($A50="",1,IF(DS50=1,1,--AND(IF($AC50&gt;0,INDEX(DS$7:DS$106,$AC50),1),IF($AD50&gt;0,INDEX(DS$7:DS$106,$AD50),1),IF($AE50&gt;0,INDEX(DS$7:DS$106,$AE50),1),IF($AF50&gt;0,INDEX(DS$7:DS$106,$AF50),1),IF($AG50&gt;0,INDEX(DS$7:DS$106,$AG50),1),IF($AH50&gt;0,INDEX(DS$7:DS$106,$AH50),1),IF($AI50&gt;0,INDEX(DS$7:DS$106,$AI50),1),IF($AJ50&gt;0,INDEX(DS$7:DS$106,$AJ50),1))))</ns0:f>
        <ns0:v>1</ns0:v>
      </ns0:c>
      <ns0:c r="DU50" t="n">
        <ns0:f>IF($A50="",1,IF(DT50=1,1,--AND(IF($AC50&gt;0,INDEX(DT$7:DT$106,$AC50),1),IF($AD50&gt;0,INDEX(DT$7:DT$106,$AD50),1),IF($AE50&gt;0,INDEX(DT$7:DT$106,$AE50),1),IF($AF50&gt;0,INDEX(DT$7:DT$106,$AF50),1),IF($AG50&gt;0,INDEX(DT$7:DT$106,$AG50),1),IF($AH50&gt;0,INDEX(DT$7:DT$106,$AH50),1),IF($AI50&gt;0,INDEX(DT$7:DT$106,$AI50),1),IF($AJ50&gt;0,INDEX(DT$7:DT$106,$AJ50),1))))</ns0:f>
        <ns0:v>1</ns0:v>
      </ns0:c>
      <ns0:c r="DV50" t="n">
        <ns0:f>IF($A50="",1,IF(DU50=1,1,--AND(IF($AC50&gt;0,INDEX(DU$7:DU$106,$AC50),1),IF($AD50&gt;0,INDEX(DU$7:DU$106,$AD50),1),IF($AE50&gt;0,INDEX(DU$7:DU$106,$AE50),1),IF($AF50&gt;0,INDEX(DU$7:DU$106,$AF50),1),IF($AG50&gt;0,INDEX(DU$7:DU$106,$AG50),1),IF($AH50&gt;0,INDEX(DU$7:DU$106,$AH50),1),IF($AI50&gt;0,INDEX(DU$7:DU$106,$AI50),1),IF($AJ50&gt;0,INDEX(DU$7:DU$106,$AJ50),1))))</ns0:f>
        <ns0:v>1</ns0:v>
      </ns0:c>
      <ns0:c r="DW50" t="n">
        <ns0:f>IF($A50="",1,IF(DV50=1,1,--AND(IF($AC50&gt;0,INDEX(DV$7:DV$106,$AC50),1),IF($AD50&gt;0,INDEX(DV$7:DV$106,$AD50),1),IF($AE50&gt;0,INDEX(DV$7:DV$106,$AE50),1),IF($AF50&gt;0,INDEX(DV$7:DV$106,$AF50),1),IF($AG50&gt;0,INDEX(DV$7:DV$106,$AG50),1),IF($AH50&gt;0,INDEX(DV$7:DV$106,$AH50),1),IF($AI50&gt;0,INDEX(DV$7:DV$106,$AI50),1),IF($AJ50&gt;0,INDEX(DV$7:DV$106,$AJ50),1))))</ns0:f>
        <ns0:v>1</ns0:v>
      </ns0:c>
      <ns0:c r="DX50" t="n">
        <ns0:f>IF($A50="",1,IF(DW50=1,1,--AND(IF($AC50&gt;0,INDEX(DW$7:DW$106,$AC50),1),IF($AD50&gt;0,INDEX(DW$7:DW$106,$AD50),1),IF($AE50&gt;0,INDEX(DW$7:DW$106,$AE50),1),IF($AF50&gt;0,INDEX(DW$7:DW$106,$AF50),1),IF($AG50&gt;0,INDEX(DW$7:DW$106,$AG50),1),IF($AH50&gt;0,INDEX(DW$7:DW$106,$AH50),1),IF($AI50&gt;0,INDEX(DW$7:DW$106,$AI50),1),IF($AJ50&gt;0,INDEX(DW$7:DW$106,$AJ50),1))))</ns0:f>
        <ns0:v>1</ns0:v>
      </ns0:c>
      <ns0:c r="DY50" t="n">
        <ns0:f>IF($A50="",1,IF(DX50=1,1,--AND(IF($AC50&gt;0,INDEX(DX$7:DX$106,$AC50),1),IF($AD50&gt;0,INDEX(DX$7:DX$106,$AD50),1),IF($AE50&gt;0,INDEX(DX$7:DX$106,$AE50),1),IF($AF50&gt;0,INDEX(DX$7:DX$106,$AF50),1),IF($AG50&gt;0,INDEX(DX$7:DX$106,$AG50),1),IF($AH50&gt;0,INDEX(DX$7:DX$106,$AH50),1),IF($AI50&gt;0,INDEX(DX$7:DX$106,$AI50),1),IF($AJ50&gt;0,INDEX(DX$7:DX$106,$AJ50),1))))</ns0:f>
        <ns0:v>1</ns0:v>
      </ns0:c>
      <ns0:c r="DZ50" t="n">
        <ns0:f>IF($A50="",1,IF(DY50=1,1,--AND(IF($AC50&gt;0,INDEX(DY$7:DY$106,$AC50),1),IF($AD50&gt;0,INDEX(DY$7:DY$106,$AD50),1),IF($AE50&gt;0,INDEX(DY$7:DY$106,$AE50),1),IF($AF50&gt;0,INDEX(DY$7:DY$106,$AF50),1),IF($AG50&gt;0,INDEX(DY$7:DY$106,$AG50),1),IF($AH50&gt;0,INDEX(DY$7:DY$106,$AH50),1),IF($AI50&gt;0,INDEX(DY$7:DY$106,$AI50),1),IF($AJ50&gt;0,INDEX(DY$7:DY$106,$AJ50),1))))</ns0:f>
        <ns0:v>1</ns0:v>
      </ns0:c>
      <ns0:c r="EA50" t="n">
        <ns0:f>IF($A50="",1,IF(DZ50=1,1,--AND(IF($AC50&gt;0,INDEX(DZ$7:DZ$106,$AC50),1),IF($AD50&gt;0,INDEX(DZ$7:DZ$106,$AD50),1),IF($AE50&gt;0,INDEX(DZ$7:DZ$106,$AE50),1),IF($AF50&gt;0,INDEX(DZ$7:DZ$106,$AF50),1),IF($AG50&gt;0,INDEX(DZ$7:DZ$106,$AG50),1),IF($AH50&gt;0,INDEX(DZ$7:DZ$106,$AH50),1),IF($AI50&gt;0,INDEX(DZ$7:DZ$106,$AI50),1),IF($AJ50&gt;0,INDEX(DZ$7:DZ$106,$AJ50),1))))</ns0:f>
        <ns0:v>1</ns0:v>
      </ns0:c>
      <ns0:c r="EB50" t="n">
        <ns0:f>IF($A50="",1,IF(EA50=1,1,--AND(IF($AC50&gt;0,INDEX(EA$7:EA$106,$AC50),1),IF($AD50&gt;0,INDEX(EA$7:EA$106,$AD50),1),IF($AE50&gt;0,INDEX(EA$7:EA$106,$AE50),1),IF($AF50&gt;0,INDEX(EA$7:EA$106,$AF50),1),IF($AG50&gt;0,INDEX(EA$7:EA$106,$AG50),1),IF($AH50&gt;0,INDEX(EA$7:EA$106,$AH50),1),IF($AI50&gt;0,INDEX(EA$7:EA$106,$AI50),1),IF($AJ50&gt;0,INDEX(EA$7:EA$106,$AJ50),1))))</ns0:f>
        <ns0:v>1</ns0:v>
      </ns0:c>
      <ns0:c r="EC50" t="n">
        <ns0:f>IF($A50="",1,IF(EB50=1,1,--AND(IF($AC50&gt;0,INDEX(EB$7:EB$106,$AC50),1),IF($AD50&gt;0,INDEX(EB$7:EB$106,$AD50),1),IF($AE50&gt;0,INDEX(EB$7:EB$106,$AE50),1),IF($AF50&gt;0,INDEX(EB$7:EB$106,$AF50),1),IF($AG50&gt;0,INDEX(EB$7:EB$106,$AG50),1),IF($AH50&gt;0,INDEX(EB$7:EB$106,$AH50),1),IF($AI50&gt;0,INDEX(EB$7:EB$106,$AI50),1),IF($AJ50&gt;0,INDEX(EB$7:EB$106,$AJ50),1))))</ns0:f>
        <ns0:v>1</ns0:v>
      </ns0:c>
      <ns0:c r="ED50" t="n">
        <ns0:f>IF($A50="",1,IF(EC50=1,1,--AND(IF($AC50&gt;0,INDEX(EC$7:EC$106,$AC50),1),IF($AD50&gt;0,INDEX(EC$7:EC$106,$AD50),1),IF($AE50&gt;0,INDEX(EC$7:EC$106,$AE50),1),IF($AF50&gt;0,INDEX(EC$7:EC$106,$AF50),1),IF($AG50&gt;0,INDEX(EC$7:EC$106,$AG50),1),IF($AH50&gt;0,INDEX(EC$7:EC$106,$AH50),1),IF($AI50&gt;0,INDEX(EC$7:EC$106,$AI50),1),IF($AJ50&gt;0,INDEX(EC$7:EC$106,$AJ50),1))))</ns0:f>
        <ns0:v>1</ns0:v>
      </ns0:c>
      <ns0:c r="EE50" t="n">
        <ns0:f>IF($A50="",1,IF(ED50=1,1,--AND(IF($AC50&gt;0,INDEX(ED$7:ED$106,$AC50),1),IF($AD50&gt;0,INDEX(ED$7:ED$106,$AD50),1),IF($AE50&gt;0,INDEX(ED$7:ED$106,$AE50),1),IF($AF50&gt;0,INDEX(ED$7:ED$106,$AF50),1),IF($AG50&gt;0,INDEX(ED$7:ED$106,$AG50),1),IF($AH50&gt;0,INDEX(ED$7:ED$106,$AH50),1),IF($AI50&gt;0,INDEX(ED$7:ED$106,$AI50),1),IF($AJ50&gt;0,INDEX(ED$7:ED$106,$AJ50),1))))</ns0:f>
        <ns0:v>1</ns0:v>
      </ns0:c>
      <ns0:c r="EF50" t="n">
        <ns0:f>IF($A50="",1,IF(EE50=1,1,--AND(IF($AC50&gt;0,INDEX(EE$7:EE$106,$AC50),1),IF($AD50&gt;0,INDEX(EE$7:EE$106,$AD50),1),IF($AE50&gt;0,INDEX(EE$7:EE$106,$AE50),1),IF($AF50&gt;0,INDEX(EE$7:EE$106,$AF50),1),IF($AG50&gt;0,INDEX(EE$7:EE$106,$AG50),1),IF($AH50&gt;0,INDEX(EE$7:EE$106,$AH50),1),IF($AI50&gt;0,INDEX(EE$7:EE$106,$AI50),1),IF($AJ50&gt;0,INDEX(EE$7:EE$106,$AJ50),1))))</ns0:f>
        <ns0:v>1</ns0:v>
      </ns0:c>
      <ns0:c r="EG50" t="n">
        <ns0:f>IF($A50="",1,IF(EF50=1,1,--AND(IF($AC50&gt;0,INDEX(EF$7:EF$106,$AC50),1),IF($AD50&gt;0,INDEX(EF$7:EF$106,$AD50),1),IF($AE50&gt;0,INDEX(EF$7:EF$106,$AE50),1),IF($AF50&gt;0,INDEX(EF$7:EF$106,$AF50),1),IF($AG50&gt;0,INDEX(EF$7:EF$106,$AG50),1),IF($AH50&gt;0,INDEX(EF$7:EF$106,$AH50),1),IF($AI50&gt;0,INDEX(EF$7:EF$106,$AI50),1),IF($AJ50&gt;0,INDEX(EF$7:EF$106,$AJ50),1))))</ns0:f>
        <ns0:v>1</ns0:v>
      </ns0:c>
      <ns0:c r="EH50" t="n">
        <ns0:f>IF($A50="",1,IF(EG50=1,1,--AND(IF($AC50&gt;0,INDEX(EG$7:EG$106,$AC50),1),IF($AD50&gt;0,INDEX(EG$7:EG$106,$AD50),1),IF($AE50&gt;0,INDEX(EG$7:EG$106,$AE50),1),IF($AF50&gt;0,INDEX(EG$7:EG$106,$AF50),1),IF($AG50&gt;0,INDEX(EG$7:EG$106,$AG50),1),IF($AH50&gt;0,INDEX(EG$7:EG$106,$AH50),1),IF($AI50&gt;0,INDEX(EG$7:EG$106,$AI50),1),IF($AJ50&gt;0,INDEX(EG$7:EG$106,$AJ50),1))))</ns0:f>
        <ns0:v>1</ns0:v>
      </ns0:c>
      <ns0:c r="EI50" t="n">
        <ns0:f>IF($A50="",1,IF(EH50=1,1,--AND(IF($AC50&gt;0,INDEX(EH$7:EH$106,$AC50),1),IF($AD50&gt;0,INDEX(EH$7:EH$106,$AD50),1),IF($AE50&gt;0,INDEX(EH$7:EH$106,$AE50),1),IF($AF50&gt;0,INDEX(EH$7:EH$106,$AF50),1),IF($AG50&gt;0,INDEX(EH$7:EH$106,$AG50),1),IF($AH50&gt;0,INDEX(EH$7:EH$106,$AH50),1),IF($AI50&gt;0,INDEX(EH$7:EH$106,$AI50),1),IF($AJ50&gt;0,INDEX(EH$7:EH$106,$AJ50),1))))</ns0:f>
        <ns0:v>1</ns0:v>
      </ns0:c>
      <ns0:c r="EJ50" t="n">
        <ns0:f>IF($A50="",1,IF(EI50=1,1,--AND(IF($AC50&gt;0,INDEX(EI$7:EI$106,$AC50),1),IF($AD50&gt;0,INDEX(EI$7:EI$106,$AD50),1),IF($AE50&gt;0,INDEX(EI$7:EI$106,$AE50),1),IF($AF50&gt;0,INDEX(EI$7:EI$106,$AF50),1),IF($AG50&gt;0,INDEX(EI$7:EI$106,$AG50),1),IF($AH50&gt;0,INDEX(EI$7:EI$106,$AH50),1),IF($AI50&gt;0,INDEX(EI$7:EI$106,$AI50),1),IF($AJ50&gt;0,INDEX(EI$7:EI$106,$AJ50),1))))</ns0:f>
        <ns0:v>1</ns0:v>
      </ns0:c>
      <ns0:c r="EK50" t="n">
        <ns0:f>IF($A50="",1,IF(EJ50=1,1,--AND(IF($AC50&gt;0,INDEX(EJ$7:EJ$106,$AC50),1),IF($AD50&gt;0,INDEX(EJ$7:EJ$106,$AD50),1),IF($AE50&gt;0,INDEX(EJ$7:EJ$106,$AE50),1),IF($AF50&gt;0,INDEX(EJ$7:EJ$106,$AF50),1),IF($AG50&gt;0,INDEX(EJ$7:EJ$106,$AG50),1),IF($AH50&gt;0,INDEX(EJ$7:EJ$106,$AH50),1),IF($AI50&gt;0,INDEX(EJ$7:EJ$106,$AI50),1),IF($AJ50&gt;0,INDEX(EJ$7:EJ$106,$AJ50),1))))</ns0:f>
        <ns0:v>1</ns0:v>
      </ns0:c>
      <ns0:c r="EL50" t="n">
        <ns0:f>IF($A50="",1,IF(EK50=1,1,--AND(IF($AC50&gt;0,INDEX(EK$7:EK$106,$AC50),1),IF($AD50&gt;0,INDEX(EK$7:EK$106,$AD50),1),IF($AE50&gt;0,INDEX(EK$7:EK$106,$AE50),1),IF($AF50&gt;0,INDEX(EK$7:EK$106,$AF50),1),IF($AG50&gt;0,INDEX(EK$7:EK$106,$AG50),1),IF($AH50&gt;0,INDEX(EK$7:EK$106,$AH50),1),IF($AI50&gt;0,INDEX(EK$7:EK$106,$AI50),1),IF($AJ50&gt;0,INDEX(EK$7:EK$106,$AJ50),1))))</ns0:f>
        <ns0:v>1</ns0:v>
      </ns0:c>
      <ns0:c r="EM50" t="n">
        <ns0:f>IF($A50="",1,IF(EL50=1,1,--AND(IF($AC50&gt;0,INDEX(EL$7:EL$106,$AC50),1),IF($AD50&gt;0,INDEX(EL$7:EL$106,$AD50),1),IF($AE50&gt;0,INDEX(EL$7:EL$106,$AE50),1),IF($AF50&gt;0,INDEX(EL$7:EL$106,$AF50),1),IF($AG50&gt;0,INDEX(EL$7:EL$106,$AG50),1),IF($AH50&gt;0,INDEX(EL$7:EL$106,$AH50),1),IF($AI50&gt;0,INDEX(EL$7:EL$106,$AI50),1),IF($AJ50&gt;0,INDEX(EL$7:EL$106,$AJ50),1))))</ns0:f>
        <ns0:v>1</ns0:v>
      </ns0:c>
      <ns0:c r="EN50" t="n">
        <ns0:f>IF($A50="",1,IF(EM50=1,1,--AND(IF($AC50&gt;0,INDEX(EM$7:EM$106,$AC50),1),IF($AD50&gt;0,INDEX(EM$7:EM$106,$AD50),1),IF($AE50&gt;0,INDEX(EM$7:EM$106,$AE50),1),IF($AF50&gt;0,INDEX(EM$7:EM$106,$AF50),1),IF($AG50&gt;0,INDEX(EM$7:EM$106,$AG50),1),IF($AH50&gt;0,INDEX(EM$7:EM$106,$AH50),1),IF($AI50&gt;0,INDEX(EM$7:EM$106,$AI50),1),IF($AJ50&gt;0,INDEX(EM$7:EM$106,$AJ50),1))))</ns0:f>
        <ns0:v>1</ns0:v>
      </ns0:c>
      <ns0:c r="EO50" t="n">
        <ns0:f>IF($A50="",1,IF(EN50=1,1,--AND(IF($AC50&gt;0,INDEX(EN$7:EN$106,$AC50),1),IF($AD50&gt;0,INDEX(EN$7:EN$106,$AD50),1),IF($AE50&gt;0,INDEX(EN$7:EN$106,$AE50),1),IF($AF50&gt;0,INDEX(EN$7:EN$106,$AF50),1),IF($AG50&gt;0,INDEX(EN$7:EN$106,$AG50),1),IF($AH50&gt;0,INDEX(EN$7:EN$106,$AH50),1),IF($AI50&gt;0,INDEX(EN$7:EN$106,$AI50),1),IF($AJ50&gt;0,INDEX(EN$7:EN$106,$AJ50),1))))</ns0:f>
        <ns0:v>1</ns0:v>
      </ns0:c>
      <ns0:c r="EP50" t="n">
        <ns0:f>IF($A50="",1,IF(EO50=1,1,--AND(IF($AC50&gt;0,INDEX(EO$7:EO$106,$AC50),1),IF($AD50&gt;0,INDEX(EO$7:EO$106,$AD50),1),IF($AE50&gt;0,INDEX(EO$7:EO$106,$AE50),1),IF($AF50&gt;0,INDEX(EO$7:EO$106,$AF50),1),IF($AG50&gt;0,INDEX(EO$7:EO$106,$AG50),1),IF($AH50&gt;0,INDEX(EO$7:EO$106,$AH50),1),IF($AI50&gt;0,INDEX(EO$7:EO$106,$AI50),1),IF($AJ50&gt;0,INDEX(EO$7:EO$106,$AJ50),1))))</ns0:f>
        <ns0:v>1</ns0:v>
      </ns0:c>
      <ns0:c r="EQ50" t="n">
        <ns0:f>IF(OR(A50="",NOT(ISNUMBER(G50))),0,G50*N50)</ns0:f>
        <ns0:v>0</ns0:v>
      </ns0:c>
    </ns0:row>
    <ns0:row r="51" ht="62" customHeight="1">
      <ns0:c r="A51" s="48"/>
      <ns0:c r="B51" s="48"/>
      <ns0:c r="C51" s="48"/>
      <ns0:c r="D51" s="48"/>
      <ns0:c r="E51" s="49"/>
      <ns0:c r="F51" s="49"/>
      <ns0:c r="G51" s="13" t="str">
        <ns0:f>IF(A51="","",IF(OR(NOT(ISNUMBER(E51)),NOT(ISNUMBER(F51)),F51&lt;E51),"",IF(J51="Yes",0,F51-E51+1)))</ns0:f>
      </ns0:c>
      <ns0:c r="H51" s="48"/>
      <ns0:c r="I51" s="48"/>
      <ns0:c r="J51" s="48"/>
      <ns0:c r="K51" s="48"/>
      <ns0:c r="L51" s="48"/>
      <ns0:c r="M51" s="50" t="str">
        <ns0:f>IF(A51="","",IF(N51=1,"Completed",IF(N51&gt;0,"In Progress","Not Started")))</ns0:f>
      </ns0:c>
      <ns0:c r="N51" s="51"/>
      <ns0:c r="O51" s="13" t="str">
        <ns0:f>IF(A51="","",IF(R51&lt;&gt;"","[CONFLICT] "&amp;R51,IF(S51&lt;&gt;"","[CONFLICT] "&amp;S51,IF(OR(NOT(ISNUMBER(N51)),N51&lt;0,N51&gt;1),"[CONFLICT] Invalid progress",IF(AK51&gt;0,"[DEPENDENCY ISSUE] Missing ID / &gt;8 links",IF(AM51&gt;0,"[DEPENDENCY ISSUE] Cycle or blocked by cycle",IF(AND(H51&lt;&gt;"",ISNA(MATCH(I51,{"FS","SS","FF","SF"},0))),"[DEPENDENCY ISSUE] Invalid type",IF(AL51&gt;0,"[DEPENDENCY ISSUE] Timing conflict",IF(OR(E51&lt;ProjectStart,F51&gt;ProjectEnd),"[OUTSIDE WINDOW]",IF(AND(N51&lt;1,F51&lt;AsOfDate),"Overdue",IF(AND(M51&lt;&gt;Q51,M51&lt;&gt;""),"[CONFLICT] Status / progress","On track")))))))))))</ns0:f>
      </ns0:c>
      <ns0:c r="P51" s="52"/>
      <ns0:c r="Q51" t="str">
        <ns0:f>IF(A51="","",IF(OR(M51="On Hold",M51="Delayed"),M51,IF(N51=1,"Completed",IF(N51&gt;0,"In Progress","Not Started"))))</ns0:f>
      </ns0:c>
      <ns0:c r="R51" t="str">
        <ns0:f>IF(A51="","",IF(COUNTIFS(Tasks[Task ID],A51)&lt;&gt;1,"Duplicate ID",""))</ns0:f>
      </ns0:c>
      <ns0:c r="S51" t="str">
        <ns0:f>IF(A51="","",IF(OR(NOT(ISNUMBER(E51)),NOT(ISNUMBER(F51))),"Invalid / missing date",IF(OR(E51&lt;&gt;INT(E51),F51&lt;&gt;INT(F51),E51&lt;1,F51&gt;2958465),"Invalid date",IF(F51&lt;E51,"End before start",IF(AND(J51="Yes",E51&lt;&gt;F51),"Milestone needs one date","")))))</ns0:f>
      </ns0:c>
      <ns0:c r="T51" t="n">
        <ns0:f>IF(H51="",0,LEN(H51)-LEN(SUBSTITUTE(H51,",",""))+1)</ns0:f>
        <ns0:v>0</ns0:v>
      </ns0:c>
      <ns0:c r="U51" t="str">
        <ns0:f>TRIM(MID(SUBSTITUTE($H51,",",REPT(" ",100)),1,100))</ns0:f>
      </ns0:c>
      <ns0:c r="V51" t="str">
        <ns0:f>TRIM(MID(SUBSTITUTE($H51,",",REPT(" ",100)),101,100))</ns0:f>
      </ns0:c>
      <ns0:c r="W51" t="str">
        <ns0:f>TRIM(MID(SUBSTITUTE($H51,",",REPT(" ",100)),201,100))</ns0:f>
      </ns0:c>
      <ns0:c r="X51" t="str">
        <ns0:f>TRIM(MID(SUBSTITUTE($H51,",",REPT(" ",100)),301,100))</ns0:f>
      </ns0:c>
      <ns0:c r="Y51" t="str">
        <ns0:f>TRIM(MID(SUBSTITUTE($H51,",",REPT(" ",100)),401,100))</ns0:f>
      </ns0:c>
      <ns0:c r="Z51" t="str">
        <ns0:f>TRIM(MID(SUBSTITUTE($H51,",",REPT(" ",100)),501,100))</ns0:f>
      </ns0:c>
      <ns0:c r="AA51" t="str">
        <ns0:f>TRIM(MID(SUBSTITUTE($H51,",",REPT(" ",100)),601,100))</ns0:f>
      </ns0:c>
      <ns0:c r="AB51" t="str">
        <ns0:f>TRIM(MID(SUBSTITUTE($H51,",",REPT(" ",100)),701,100))</ns0:f>
      </ns0:c>
      <ns0:c r="AC51" t="n">
        <ns0:f>IF(U51="",0,IF(COUNTIFS(Tasks[Task ID],U51)=1,MATCH(U51,Tasks[Task ID],0),-1))</ns0:f>
        <ns0:v>0</ns0:v>
      </ns0:c>
      <ns0:c r="AD51" t="n">
        <ns0:f>IF(V51="",0,IF(COUNTIFS(Tasks[Task ID],V51)=1,MATCH(V51,Tasks[Task ID],0),-1))</ns0:f>
        <ns0:v>0</ns0:v>
      </ns0:c>
      <ns0:c r="AE51" t="n">
        <ns0:f>IF(W51="",0,IF(COUNTIFS(Tasks[Task ID],W51)=1,MATCH(W51,Tasks[Task ID],0),-1))</ns0:f>
        <ns0:v>0</ns0:v>
      </ns0:c>
      <ns0:c r="AF51" t="n">
        <ns0:f>IF(X51="",0,IF(COUNTIFS(Tasks[Task ID],X51)=1,MATCH(X51,Tasks[Task ID],0),-1))</ns0:f>
        <ns0:v>0</ns0:v>
      </ns0:c>
      <ns0:c r="AG51" t="n">
        <ns0:f>IF(Y51="",0,IF(COUNTIFS(Tasks[Task ID],Y51)=1,MATCH(Y51,Tasks[Task ID],0),-1))</ns0:f>
        <ns0:v>0</ns0:v>
      </ns0:c>
      <ns0:c r="AH51" t="n">
        <ns0:f>IF(Z51="",0,IF(COUNTIFS(Tasks[Task ID],Z51)=1,MATCH(Z51,Tasks[Task ID],0),-1))</ns0:f>
        <ns0:v>0</ns0:v>
      </ns0:c>
      <ns0:c r="AI51" t="n">
        <ns0:f>IF(AA51="",0,IF(COUNTIFS(Tasks[Task ID],AA51)=1,MATCH(AA51,Tasks[Task ID],0),-1))</ns0:f>
        <ns0:v>0</ns0:v>
      </ns0:c>
      <ns0:c r="AJ51" t="n">
        <ns0:f>IF(AB51="",0,IF(COUNTIFS(Tasks[Task ID],AB51)=1,MATCH(AB51,Tasks[Task ID],0),-1))</ns0:f>
        <ns0:v>0</ns0:v>
      </ns0:c>
      <ns0:c r="AK51" t="n">
        <ns0:f>COUNTIFS(AC51:AJ51,-1)+IF(T51&gt;8,1,0)</ns0:f>
        <ns0:v>0</ns0:v>
      </ns0:c>
      <ns0:c r="AL51" t="n">
        <ns0:f>IF(OR(A51="",S51&lt;&gt;""),0,SUM(IF(AC51&gt;0,IF($I51="FS",--($E51&lt;INDEX(Tasks[End Date],AC51)+IF(INDEX(Tasks[Milestone],AC51)="Yes",0,1)),IF($I51="SS",--($E51&lt;INDEX(Tasks[Start Date],AC51)),IF($I51="FF",--($F51&lt;INDEX(Tasks[End Date],AC51)),IF($I51="SF",--($F51&lt;INDEX(Tasks[Start Date],AC51)),0)))),0),IF(AD51&gt;0,IF($I51="FS",--($E51&lt;INDEX(Tasks[End Date],AD51)+IF(INDEX(Tasks[Milestone],AD51)="Yes",0,1)),IF($I51="SS",--($E51&lt;INDEX(Tasks[Start Date],AD51)),IF($I51="FF",--($F51&lt;INDEX(Tasks[End Date],AD51)),IF($I51="SF",--($F51&lt;INDEX(Tasks[Start Date],AD51)),0)))),0),IF(AE51&gt;0,IF($I51="FS",--($E51&lt;INDEX(Tasks[End Date],AE51)+IF(INDEX(Tasks[Milestone],AE51)="Yes",0,1)),IF($I51="SS",--($E51&lt;INDEX(Tasks[Start Date],AE51)),IF($I51="FF",--($F51&lt;INDEX(Tasks[End Date],AE51)),IF($I51="SF",--($F51&lt;INDEX(Tasks[Start Date],AE51)),0)))),0),IF(AF51&gt;0,IF($I51="FS",--($E51&lt;INDEX(Tasks[End Date],AF51)+IF(INDEX(Tasks[Milestone],AF51)="Yes",0,1)),IF($I51="SS",--($E51&lt;INDEX(Tasks[Start Date],AF51)),IF($I51="FF",--($F51&lt;INDEX(Tasks[End Date],AF51)),IF($I51="SF",--($F51&lt;INDEX(Tasks[Start Date],AF51)),0)))),0),IF(AG51&gt;0,IF($I51="FS",--($E51&lt;INDEX(Tasks[End Date],AG51)+IF(INDEX(Tasks[Milestone],AG51)="Yes",0,1)),IF($I51="SS",--($E51&lt;INDEX(Tasks[Start Date],AG51)),IF($I51="FF",--($F51&lt;INDEX(Tasks[End Date],AG51)),IF($I51="SF",--($F51&lt;INDEX(Tasks[Start Date],AG51)),0)))),0),IF(AH51&gt;0,IF($I51="FS",--($E51&lt;INDEX(Tasks[End Date],AH51)+IF(INDEX(Tasks[Milestone],AH51)="Yes",0,1)),IF($I51="SS",--($E51&lt;INDEX(Tasks[Start Date],AH51)),IF($I51="FF",--($F51&lt;INDEX(Tasks[End Date],AH51)),IF($I51="SF",--($F51&lt;INDEX(Tasks[Start Date],AH51)),0)))),0),IF(AI51&gt;0,IF($I51="FS",--($E51&lt;INDEX(Tasks[End Date],AI51)+IF(INDEX(Tasks[Milestone],AI51)="Yes",0,1)),IF($I51="SS",--($E51&lt;INDEX(Tasks[Start Date],AI51)),IF($I51="FF",--($F51&lt;INDEX(Tasks[End Date],AI51)),IF($I51="SF",--($F51&lt;INDEX(Tasks[Start Date],AI51)),0)))),0),IF(AJ51&gt;0,IF($I51="FS",--($E51&lt;INDEX(Tasks[End Date],AJ51)+IF(INDEX(Tasks[Milestone],AJ51)="Yes",0,1)),IF($I51="SS",--($E51&lt;INDEX(Tasks[Start Date],AJ51)),IF($I51="FF",--($F51&lt;INDEX(Tasks[End Date],AJ51)),IF($I51="SF",--($F51&lt;INDEX(Tasks[Start Date],AJ51)),0)))),0)))</ns0:f>
        <ns0:v>0</ns0:v>
      </ns0:c>
      <ns0:c r="AM51" t="n">
        <ns0:f>IF(AND(A51&lt;&gt;"",AK51=0,EP51=0),1,0)</ns0:f>
        <ns0:v>0</ns0:v>
      </ns0:c>
      <ns0:c r="AN51" t="str">
        <ns0:f>IF(OR(A51="",B51=""),"",IF(COUNTIFS($B$7:B51,B51)=1,MAX($AN$6:AN50)+1,""))</ns0:f>
      </ns0:c>
      <ns0:c r="AO51" t="n">
        <ns0:f>IF(AND(A51&lt;&gt;"",J51="No",N51&lt;1,E51&gt;=AsOfDate),E51+ROW()/10000,1E+9)</ns0:f>
        <ns0:v>1000000000</ns0:v>
      </ns0:c>
      <ns0:c r="AP51" t="n">
        <ns0:f>IF(AND(A51&lt;&gt;"",J51="Yes",N51&lt;1,E51&gt;=AsOfDate),E51+ROW()/10000,1E+9)</ns0:f>
        <ns0:v>1000000000</ns0:v>
      </ns0:c>
      <ns0:c r="AQ51" t="n">
        <ns0:f>IF(AND(A51&lt;&gt;"",J51="No",N51&lt;1,F51&gt;=AsOfDate,F51&lt;=AsOfDate+7),F51+ROW()/10000,1E+9)</ns0:f>
        <ns0:v>1000000000</ns0:v>
      </ns0:c>
      <ns0:c r="AR51" t="n">
        <ns0:f>IF(AND(A51&lt;&gt;"",OR(O51&lt;&gt;"On track",Q51="Delayed")),ROW(),1E+9)</ns0:f>
        <ns0:v>1000000000</ns0:v>
      </ns0:c>
      <ns0:c r="AS51" t="str">
        <ns0:f>IF(A51="","",";"&amp;K51&amp;";")</ns0:f>
      </ns0:c>
      <ns0:c r="AT51" t="n">
        <ns0:f>IF(A51="",1,--(T51=0))</ns0:f>
        <ns0:v>1</ns0:v>
      </ns0:c>
      <ns0:c r="AU51" t="n">
        <ns0:f>IF($A51="",1,IF(AT51=1,1,--AND(IF($AC51&gt;0,INDEX(AT$7:AT$106,$AC51),1),IF($AD51&gt;0,INDEX(AT$7:AT$106,$AD51),1),IF($AE51&gt;0,INDEX(AT$7:AT$106,$AE51),1),IF($AF51&gt;0,INDEX(AT$7:AT$106,$AF51),1),IF($AG51&gt;0,INDEX(AT$7:AT$106,$AG51),1),IF($AH51&gt;0,INDEX(AT$7:AT$106,$AH51),1),IF($AI51&gt;0,INDEX(AT$7:AT$106,$AI51),1),IF($AJ51&gt;0,INDEX(AT$7:AT$106,$AJ51),1))))</ns0:f>
        <ns0:v>1</ns0:v>
      </ns0:c>
      <ns0:c r="AV51" t="n">
        <ns0:f>IF($A51="",1,IF(AU51=1,1,--AND(IF($AC51&gt;0,INDEX(AU$7:AU$106,$AC51),1),IF($AD51&gt;0,INDEX(AU$7:AU$106,$AD51),1),IF($AE51&gt;0,INDEX(AU$7:AU$106,$AE51),1),IF($AF51&gt;0,INDEX(AU$7:AU$106,$AF51),1),IF($AG51&gt;0,INDEX(AU$7:AU$106,$AG51),1),IF($AH51&gt;0,INDEX(AU$7:AU$106,$AH51),1),IF($AI51&gt;0,INDEX(AU$7:AU$106,$AI51),1),IF($AJ51&gt;0,INDEX(AU$7:AU$106,$AJ51),1))))</ns0:f>
        <ns0:v>1</ns0:v>
      </ns0:c>
      <ns0:c r="AW51" t="n">
        <ns0:f>IF($A51="",1,IF(AV51=1,1,--AND(IF($AC51&gt;0,INDEX(AV$7:AV$106,$AC51),1),IF($AD51&gt;0,INDEX(AV$7:AV$106,$AD51),1),IF($AE51&gt;0,INDEX(AV$7:AV$106,$AE51),1),IF($AF51&gt;0,INDEX(AV$7:AV$106,$AF51),1),IF($AG51&gt;0,INDEX(AV$7:AV$106,$AG51),1),IF($AH51&gt;0,INDEX(AV$7:AV$106,$AH51),1),IF($AI51&gt;0,INDEX(AV$7:AV$106,$AI51),1),IF($AJ51&gt;0,INDEX(AV$7:AV$106,$AJ51),1))))</ns0:f>
        <ns0:v>1</ns0:v>
      </ns0:c>
      <ns0:c r="AX51" t="n">
        <ns0:f>IF($A51="",1,IF(AW51=1,1,--AND(IF($AC51&gt;0,INDEX(AW$7:AW$106,$AC51),1),IF($AD51&gt;0,INDEX(AW$7:AW$106,$AD51),1),IF($AE51&gt;0,INDEX(AW$7:AW$106,$AE51),1),IF($AF51&gt;0,INDEX(AW$7:AW$106,$AF51),1),IF($AG51&gt;0,INDEX(AW$7:AW$106,$AG51),1),IF($AH51&gt;0,INDEX(AW$7:AW$106,$AH51),1),IF($AI51&gt;0,INDEX(AW$7:AW$106,$AI51),1),IF($AJ51&gt;0,INDEX(AW$7:AW$106,$AJ51),1))))</ns0:f>
        <ns0:v>1</ns0:v>
      </ns0:c>
      <ns0:c r="AY51" t="n">
        <ns0:f>IF($A51="",1,IF(AX51=1,1,--AND(IF($AC51&gt;0,INDEX(AX$7:AX$106,$AC51),1),IF($AD51&gt;0,INDEX(AX$7:AX$106,$AD51),1),IF($AE51&gt;0,INDEX(AX$7:AX$106,$AE51),1),IF($AF51&gt;0,INDEX(AX$7:AX$106,$AF51),1),IF($AG51&gt;0,INDEX(AX$7:AX$106,$AG51),1),IF($AH51&gt;0,INDEX(AX$7:AX$106,$AH51),1),IF($AI51&gt;0,INDEX(AX$7:AX$106,$AI51),1),IF($AJ51&gt;0,INDEX(AX$7:AX$106,$AJ51),1))))</ns0:f>
        <ns0:v>1</ns0:v>
      </ns0:c>
      <ns0:c r="AZ51" t="n">
        <ns0:f>IF($A51="",1,IF(AY51=1,1,--AND(IF($AC51&gt;0,INDEX(AY$7:AY$106,$AC51),1),IF($AD51&gt;0,INDEX(AY$7:AY$106,$AD51),1),IF($AE51&gt;0,INDEX(AY$7:AY$106,$AE51),1),IF($AF51&gt;0,INDEX(AY$7:AY$106,$AF51),1),IF($AG51&gt;0,INDEX(AY$7:AY$106,$AG51),1),IF($AH51&gt;0,INDEX(AY$7:AY$106,$AH51),1),IF($AI51&gt;0,INDEX(AY$7:AY$106,$AI51),1),IF($AJ51&gt;0,INDEX(AY$7:AY$106,$AJ51),1))))</ns0:f>
        <ns0:v>1</ns0:v>
      </ns0:c>
      <ns0:c r="BA51" t="n">
        <ns0:f>IF($A51="",1,IF(AZ51=1,1,--AND(IF($AC51&gt;0,INDEX(AZ$7:AZ$106,$AC51),1),IF($AD51&gt;0,INDEX(AZ$7:AZ$106,$AD51),1),IF($AE51&gt;0,INDEX(AZ$7:AZ$106,$AE51),1),IF($AF51&gt;0,INDEX(AZ$7:AZ$106,$AF51),1),IF($AG51&gt;0,INDEX(AZ$7:AZ$106,$AG51),1),IF($AH51&gt;0,INDEX(AZ$7:AZ$106,$AH51),1),IF($AI51&gt;0,INDEX(AZ$7:AZ$106,$AI51),1),IF($AJ51&gt;0,INDEX(AZ$7:AZ$106,$AJ51),1))))</ns0:f>
        <ns0:v>1</ns0:v>
      </ns0:c>
      <ns0:c r="BB51" t="n">
        <ns0:f>IF($A51="",1,IF(BA51=1,1,--AND(IF($AC51&gt;0,INDEX(BA$7:BA$106,$AC51),1),IF($AD51&gt;0,INDEX(BA$7:BA$106,$AD51),1),IF($AE51&gt;0,INDEX(BA$7:BA$106,$AE51),1),IF($AF51&gt;0,INDEX(BA$7:BA$106,$AF51),1),IF($AG51&gt;0,INDEX(BA$7:BA$106,$AG51),1),IF($AH51&gt;0,INDEX(BA$7:BA$106,$AH51),1),IF($AI51&gt;0,INDEX(BA$7:BA$106,$AI51),1),IF($AJ51&gt;0,INDEX(BA$7:BA$106,$AJ51),1))))</ns0:f>
        <ns0:v>1</ns0:v>
      </ns0:c>
      <ns0:c r="BC51" t="n">
        <ns0:f>IF($A51="",1,IF(BB51=1,1,--AND(IF($AC51&gt;0,INDEX(BB$7:BB$106,$AC51),1),IF($AD51&gt;0,INDEX(BB$7:BB$106,$AD51),1),IF($AE51&gt;0,INDEX(BB$7:BB$106,$AE51),1),IF($AF51&gt;0,INDEX(BB$7:BB$106,$AF51),1),IF($AG51&gt;0,INDEX(BB$7:BB$106,$AG51),1),IF($AH51&gt;0,INDEX(BB$7:BB$106,$AH51),1),IF($AI51&gt;0,INDEX(BB$7:BB$106,$AI51),1),IF($AJ51&gt;0,INDEX(BB$7:BB$106,$AJ51),1))))</ns0:f>
        <ns0:v>1</ns0:v>
      </ns0:c>
      <ns0:c r="BD51" t="n">
        <ns0:f>IF($A51="",1,IF(BC51=1,1,--AND(IF($AC51&gt;0,INDEX(BC$7:BC$106,$AC51),1),IF($AD51&gt;0,INDEX(BC$7:BC$106,$AD51),1),IF($AE51&gt;0,INDEX(BC$7:BC$106,$AE51),1),IF($AF51&gt;0,INDEX(BC$7:BC$106,$AF51),1),IF($AG51&gt;0,INDEX(BC$7:BC$106,$AG51),1),IF($AH51&gt;0,INDEX(BC$7:BC$106,$AH51),1),IF($AI51&gt;0,INDEX(BC$7:BC$106,$AI51),1),IF($AJ51&gt;0,INDEX(BC$7:BC$106,$AJ51),1))))</ns0:f>
        <ns0:v>1</ns0:v>
      </ns0:c>
      <ns0:c r="BE51" t="n">
        <ns0:f>IF($A51="",1,IF(BD51=1,1,--AND(IF($AC51&gt;0,INDEX(BD$7:BD$106,$AC51),1),IF($AD51&gt;0,INDEX(BD$7:BD$106,$AD51),1),IF($AE51&gt;0,INDEX(BD$7:BD$106,$AE51),1),IF($AF51&gt;0,INDEX(BD$7:BD$106,$AF51),1),IF($AG51&gt;0,INDEX(BD$7:BD$106,$AG51),1),IF($AH51&gt;0,INDEX(BD$7:BD$106,$AH51),1),IF($AI51&gt;0,INDEX(BD$7:BD$106,$AI51),1),IF($AJ51&gt;0,INDEX(BD$7:BD$106,$AJ51),1))))</ns0:f>
        <ns0:v>1</ns0:v>
      </ns0:c>
      <ns0:c r="BF51" t="n">
        <ns0:f>IF($A51="",1,IF(BE51=1,1,--AND(IF($AC51&gt;0,INDEX(BE$7:BE$106,$AC51),1),IF($AD51&gt;0,INDEX(BE$7:BE$106,$AD51),1),IF($AE51&gt;0,INDEX(BE$7:BE$106,$AE51),1),IF($AF51&gt;0,INDEX(BE$7:BE$106,$AF51),1),IF($AG51&gt;0,INDEX(BE$7:BE$106,$AG51),1),IF($AH51&gt;0,INDEX(BE$7:BE$106,$AH51),1),IF($AI51&gt;0,INDEX(BE$7:BE$106,$AI51),1),IF($AJ51&gt;0,INDEX(BE$7:BE$106,$AJ51),1))))</ns0:f>
        <ns0:v>1</ns0:v>
      </ns0:c>
      <ns0:c r="BG51" t="n">
        <ns0:f>IF($A51="",1,IF(BF51=1,1,--AND(IF($AC51&gt;0,INDEX(BF$7:BF$106,$AC51),1),IF($AD51&gt;0,INDEX(BF$7:BF$106,$AD51),1),IF($AE51&gt;0,INDEX(BF$7:BF$106,$AE51),1),IF($AF51&gt;0,INDEX(BF$7:BF$106,$AF51),1),IF($AG51&gt;0,INDEX(BF$7:BF$106,$AG51),1),IF($AH51&gt;0,INDEX(BF$7:BF$106,$AH51),1),IF($AI51&gt;0,INDEX(BF$7:BF$106,$AI51),1),IF($AJ51&gt;0,INDEX(BF$7:BF$106,$AJ51),1))))</ns0:f>
        <ns0:v>1</ns0:v>
      </ns0:c>
      <ns0:c r="BH51" t="n">
        <ns0:f>IF($A51="",1,IF(BG51=1,1,--AND(IF($AC51&gt;0,INDEX(BG$7:BG$106,$AC51),1),IF($AD51&gt;0,INDEX(BG$7:BG$106,$AD51),1),IF($AE51&gt;0,INDEX(BG$7:BG$106,$AE51),1),IF($AF51&gt;0,INDEX(BG$7:BG$106,$AF51),1),IF($AG51&gt;0,INDEX(BG$7:BG$106,$AG51),1),IF($AH51&gt;0,INDEX(BG$7:BG$106,$AH51),1),IF($AI51&gt;0,INDEX(BG$7:BG$106,$AI51),1),IF($AJ51&gt;0,INDEX(BG$7:BG$106,$AJ51),1))))</ns0:f>
        <ns0:v>1</ns0:v>
      </ns0:c>
      <ns0:c r="BI51" t="n">
        <ns0:f>IF($A51="",1,IF(BH51=1,1,--AND(IF($AC51&gt;0,INDEX(BH$7:BH$106,$AC51),1),IF($AD51&gt;0,INDEX(BH$7:BH$106,$AD51),1),IF($AE51&gt;0,INDEX(BH$7:BH$106,$AE51),1),IF($AF51&gt;0,INDEX(BH$7:BH$106,$AF51),1),IF($AG51&gt;0,INDEX(BH$7:BH$106,$AG51),1),IF($AH51&gt;0,INDEX(BH$7:BH$106,$AH51),1),IF($AI51&gt;0,INDEX(BH$7:BH$106,$AI51),1),IF($AJ51&gt;0,INDEX(BH$7:BH$106,$AJ51),1))))</ns0:f>
        <ns0:v>1</ns0:v>
      </ns0:c>
      <ns0:c r="BJ51" t="n">
        <ns0:f>IF($A51="",1,IF(BI51=1,1,--AND(IF($AC51&gt;0,INDEX(BI$7:BI$106,$AC51),1),IF($AD51&gt;0,INDEX(BI$7:BI$106,$AD51),1),IF($AE51&gt;0,INDEX(BI$7:BI$106,$AE51),1),IF($AF51&gt;0,INDEX(BI$7:BI$106,$AF51),1),IF($AG51&gt;0,INDEX(BI$7:BI$106,$AG51),1),IF($AH51&gt;0,INDEX(BI$7:BI$106,$AH51),1),IF($AI51&gt;0,INDEX(BI$7:BI$106,$AI51),1),IF($AJ51&gt;0,INDEX(BI$7:BI$106,$AJ51),1))))</ns0:f>
        <ns0:v>1</ns0:v>
      </ns0:c>
      <ns0:c r="BK51" t="n">
        <ns0:f>IF($A51="",1,IF(BJ51=1,1,--AND(IF($AC51&gt;0,INDEX(BJ$7:BJ$106,$AC51),1),IF($AD51&gt;0,INDEX(BJ$7:BJ$106,$AD51),1),IF($AE51&gt;0,INDEX(BJ$7:BJ$106,$AE51),1),IF($AF51&gt;0,INDEX(BJ$7:BJ$106,$AF51),1),IF($AG51&gt;0,INDEX(BJ$7:BJ$106,$AG51),1),IF($AH51&gt;0,INDEX(BJ$7:BJ$106,$AH51),1),IF($AI51&gt;0,INDEX(BJ$7:BJ$106,$AI51),1),IF($AJ51&gt;0,INDEX(BJ$7:BJ$106,$AJ51),1))))</ns0:f>
        <ns0:v>1</ns0:v>
      </ns0:c>
      <ns0:c r="BL51" t="n">
        <ns0:f>IF($A51="",1,IF(BK51=1,1,--AND(IF($AC51&gt;0,INDEX(BK$7:BK$106,$AC51),1),IF($AD51&gt;0,INDEX(BK$7:BK$106,$AD51),1),IF($AE51&gt;0,INDEX(BK$7:BK$106,$AE51),1),IF($AF51&gt;0,INDEX(BK$7:BK$106,$AF51),1),IF($AG51&gt;0,INDEX(BK$7:BK$106,$AG51),1),IF($AH51&gt;0,INDEX(BK$7:BK$106,$AH51),1),IF($AI51&gt;0,INDEX(BK$7:BK$106,$AI51),1),IF($AJ51&gt;0,INDEX(BK$7:BK$106,$AJ51),1))))</ns0:f>
        <ns0:v>1</ns0:v>
      </ns0:c>
      <ns0:c r="BM51" t="n">
        <ns0:f>IF($A51="",1,IF(BL51=1,1,--AND(IF($AC51&gt;0,INDEX(BL$7:BL$106,$AC51),1),IF($AD51&gt;0,INDEX(BL$7:BL$106,$AD51),1),IF($AE51&gt;0,INDEX(BL$7:BL$106,$AE51),1),IF($AF51&gt;0,INDEX(BL$7:BL$106,$AF51),1),IF($AG51&gt;0,INDEX(BL$7:BL$106,$AG51),1),IF($AH51&gt;0,INDEX(BL$7:BL$106,$AH51),1),IF($AI51&gt;0,INDEX(BL$7:BL$106,$AI51),1),IF($AJ51&gt;0,INDEX(BL$7:BL$106,$AJ51),1))))</ns0:f>
        <ns0:v>1</ns0:v>
      </ns0:c>
      <ns0:c r="BN51" t="n">
        <ns0:f>IF($A51="",1,IF(BM51=1,1,--AND(IF($AC51&gt;0,INDEX(BM$7:BM$106,$AC51),1),IF($AD51&gt;0,INDEX(BM$7:BM$106,$AD51),1),IF($AE51&gt;0,INDEX(BM$7:BM$106,$AE51),1),IF($AF51&gt;0,INDEX(BM$7:BM$106,$AF51),1),IF($AG51&gt;0,INDEX(BM$7:BM$106,$AG51),1),IF($AH51&gt;0,INDEX(BM$7:BM$106,$AH51),1),IF($AI51&gt;0,INDEX(BM$7:BM$106,$AI51),1),IF($AJ51&gt;0,INDEX(BM$7:BM$106,$AJ51),1))))</ns0:f>
        <ns0:v>1</ns0:v>
      </ns0:c>
      <ns0:c r="BO51" t="n">
        <ns0:f>IF($A51="",1,IF(BN51=1,1,--AND(IF($AC51&gt;0,INDEX(BN$7:BN$106,$AC51),1),IF($AD51&gt;0,INDEX(BN$7:BN$106,$AD51),1),IF($AE51&gt;0,INDEX(BN$7:BN$106,$AE51),1),IF($AF51&gt;0,INDEX(BN$7:BN$106,$AF51),1),IF($AG51&gt;0,INDEX(BN$7:BN$106,$AG51),1),IF($AH51&gt;0,INDEX(BN$7:BN$106,$AH51),1),IF($AI51&gt;0,INDEX(BN$7:BN$106,$AI51),1),IF($AJ51&gt;0,INDEX(BN$7:BN$106,$AJ51),1))))</ns0:f>
        <ns0:v>1</ns0:v>
      </ns0:c>
      <ns0:c r="BP51" t="n">
        <ns0:f>IF($A51="",1,IF(BO51=1,1,--AND(IF($AC51&gt;0,INDEX(BO$7:BO$106,$AC51),1),IF($AD51&gt;0,INDEX(BO$7:BO$106,$AD51),1),IF($AE51&gt;0,INDEX(BO$7:BO$106,$AE51),1),IF($AF51&gt;0,INDEX(BO$7:BO$106,$AF51),1),IF($AG51&gt;0,INDEX(BO$7:BO$106,$AG51),1),IF($AH51&gt;0,INDEX(BO$7:BO$106,$AH51),1),IF($AI51&gt;0,INDEX(BO$7:BO$106,$AI51),1),IF($AJ51&gt;0,INDEX(BO$7:BO$106,$AJ51),1))))</ns0:f>
        <ns0:v>1</ns0:v>
      </ns0:c>
      <ns0:c r="BQ51" t="n">
        <ns0:f>IF($A51="",1,IF(BP51=1,1,--AND(IF($AC51&gt;0,INDEX(BP$7:BP$106,$AC51),1),IF($AD51&gt;0,INDEX(BP$7:BP$106,$AD51),1),IF($AE51&gt;0,INDEX(BP$7:BP$106,$AE51),1),IF($AF51&gt;0,INDEX(BP$7:BP$106,$AF51),1),IF($AG51&gt;0,INDEX(BP$7:BP$106,$AG51),1),IF($AH51&gt;0,INDEX(BP$7:BP$106,$AH51),1),IF($AI51&gt;0,INDEX(BP$7:BP$106,$AI51),1),IF($AJ51&gt;0,INDEX(BP$7:BP$106,$AJ51),1))))</ns0:f>
        <ns0:v>1</ns0:v>
      </ns0:c>
      <ns0:c r="BR51" t="n">
        <ns0:f>IF($A51="",1,IF(BQ51=1,1,--AND(IF($AC51&gt;0,INDEX(BQ$7:BQ$106,$AC51),1),IF($AD51&gt;0,INDEX(BQ$7:BQ$106,$AD51),1),IF($AE51&gt;0,INDEX(BQ$7:BQ$106,$AE51),1),IF($AF51&gt;0,INDEX(BQ$7:BQ$106,$AF51),1),IF($AG51&gt;0,INDEX(BQ$7:BQ$106,$AG51),1),IF($AH51&gt;0,INDEX(BQ$7:BQ$106,$AH51),1),IF($AI51&gt;0,INDEX(BQ$7:BQ$106,$AI51),1),IF($AJ51&gt;0,INDEX(BQ$7:BQ$106,$AJ51),1))))</ns0:f>
        <ns0:v>1</ns0:v>
      </ns0:c>
      <ns0:c r="BS51" t="n">
        <ns0:f>IF($A51="",1,IF(BR51=1,1,--AND(IF($AC51&gt;0,INDEX(BR$7:BR$106,$AC51),1),IF($AD51&gt;0,INDEX(BR$7:BR$106,$AD51),1),IF($AE51&gt;0,INDEX(BR$7:BR$106,$AE51),1),IF($AF51&gt;0,INDEX(BR$7:BR$106,$AF51),1),IF($AG51&gt;0,INDEX(BR$7:BR$106,$AG51),1),IF($AH51&gt;0,INDEX(BR$7:BR$106,$AH51),1),IF($AI51&gt;0,INDEX(BR$7:BR$106,$AI51),1),IF($AJ51&gt;0,INDEX(BR$7:BR$106,$AJ51),1))))</ns0:f>
        <ns0:v>1</ns0:v>
      </ns0:c>
      <ns0:c r="BT51" t="n">
        <ns0:f>IF($A51="",1,IF(BS51=1,1,--AND(IF($AC51&gt;0,INDEX(BS$7:BS$106,$AC51),1),IF($AD51&gt;0,INDEX(BS$7:BS$106,$AD51),1),IF($AE51&gt;0,INDEX(BS$7:BS$106,$AE51),1),IF($AF51&gt;0,INDEX(BS$7:BS$106,$AF51),1),IF($AG51&gt;0,INDEX(BS$7:BS$106,$AG51),1),IF($AH51&gt;0,INDEX(BS$7:BS$106,$AH51),1),IF($AI51&gt;0,INDEX(BS$7:BS$106,$AI51),1),IF($AJ51&gt;0,INDEX(BS$7:BS$106,$AJ51),1))))</ns0:f>
        <ns0:v>1</ns0:v>
      </ns0:c>
      <ns0:c r="BU51" t="n">
        <ns0:f>IF($A51="",1,IF(BT51=1,1,--AND(IF($AC51&gt;0,INDEX(BT$7:BT$106,$AC51),1),IF($AD51&gt;0,INDEX(BT$7:BT$106,$AD51),1),IF($AE51&gt;0,INDEX(BT$7:BT$106,$AE51),1),IF($AF51&gt;0,INDEX(BT$7:BT$106,$AF51),1),IF($AG51&gt;0,INDEX(BT$7:BT$106,$AG51),1),IF($AH51&gt;0,INDEX(BT$7:BT$106,$AH51),1),IF($AI51&gt;0,INDEX(BT$7:BT$106,$AI51),1),IF($AJ51&gt;0,INDEX(BT$7:BT$106,$AJ51),1))))</ns0:f>
        <ns0:v>1</ns0:v>
      </ns0:c>
      <ns0:c r="BV51" t="n">
        <ns0:f>IF($A51="",1,IF(BU51=1,1,--AND(IF($AC51&gt;0,INDEX(BU$7:BU$106,$AC51),1),IF($AD51&gt;0,INDEX(BU$7:BU$106,$AD51),1),IF($AE51&gt;0,INDEX(BU$7:BU$106,$AE51),1),IF($AF51&gt;0,INDEX(BU$7:BU$106,$AF51),1),IF($AG51&gt;0,INDEX(BU$7:BU$106,$AG51),1),IF($AH51&gt;0,INDEX(BU$7:BU$106,$AH51),1),IF($AI51&gt;0,INDEX(BU$7:BU$106,$AI51),1),IF($AJ51&gt;0,INDEX(BU$7:BU$106,$AJ51),1))))</ns0:f>
        <ns0:v>1</ns0:v>
      </ns0:c>
      <ns0:c r="BW51" t="n">
        <ns0:f>IF($A51="",1,IF(BV51=1,1,--AND(IF($AC51&gt;0,INDEX(BV$7:BV$106,$AC51),1),IF($AD51&gt;0,INDEX(BV$7:BV$106,$AD51),1),IF($AE51&gt;0,INDEX(BV$7:BV$106,$AE51),1),IF($AF51&gt;0,INDEX(BV$7:BV$106,$AF51),1),IF($AG51&gt;0,INDEX(BV$7:BV$106,$AG51),1),IF($AH51&gt;0,INDEX(BV$7:BV$106,$AH51),1),IF($AI51&gt;0,INDEX(BV$7:BV$106,$AI51),1),IF($AJ51&gt;0,INDEX(BV$7:BV$106,$AJ51),1))))</ns0:f>
        <ns0:v>1</ns0:v>
      </ns0:c>
      <ns0:c r="BX51" t="n">
        <ns0:f>IF($A51="",1,IF(BW51=1,1,--AND(IF($AC51&gt;0,INDEX(BW$7:BW$106,$AC51),1),IF($AD51&gt;0,INDEX(BW$7:BW$106,$AD51),1),IF($AE51&gt;0,INDEX(BW$7:BW$106,$AE51),1),IF($AF51&gt;0,INDEX(BW$7:BW$106,$AF51),1),IF($AG51&gt;0,INDEX(BW$7:BW$106,$AG51),1),IF($AH51&gt;0,INDEX(BW$7:BW$106,$AH51),1),IF($AI51&gt;0,INDEX(BW$7:BW$106,$AI51),1),IF($AJ51&gt;0,INDEX(BW$7:BW$106,$AJ51),1))))</ns0:f>
        <ns0:v>1</ns0:v>
      </ns0:c>
      <ns0:c r="BY51" t="n">
        <ns0:f>IF($A51="",1,IF(BX51=1,1,--AND(IF($AC51&gt;0,INDEX(BX$7:BX$106,$AC51),1),IF($AD51&gt;0,INDEX(BX$7:BX$106,$AD51),1),IF($AE51&gt;0,INDEX(BX$7:BX$106,$AE51),1),IF($AF51&gt;0,INDEX(BX$7:BX$106,$AF51),1),IF($AG51&gt;0,INDEX(BX$7:BX$106,$AG51),1),IF($AH51&gt;0,INDEX(BX$7:BX$106,$AH51),1),IF($AI51&gt;0,INDEX(BX$7:BX$106,$AI51),1),IF($AJ51&gt;0,INDEX(BX$7:BX$106,$AJ51),1))))</ns0:f>
        <ns0:v>1</ns0:v>
      </ns0:c>
      <ns0:c r="BZ51" t="n">
        <ns0:f>IF($A51="",1,IF(BY51=1,1,--AND(IF($AC51&gt;0,INDEX(BY$7:BY$106,$AC51),1),IF($AD51&gt;0,INDEX(BY$7:BY$106,$AD51),1),IF($AE51&gt;0,INDEX(BY$7:BY$106,$AE51),1),IF($AF51&gt;0,INDEX(BY$7:BY$106,$AF51),1),IF($AG51&gt;0,INDEX(BY$7:BY$106,$AG51),1),IF($AH51&gt;0,INDEX(BY$7:BY$106,$AH51),1),IF($AI51&gt;0,INDEX(BY$7:BY$106,$AI51),1),IF($AJ51&gt;0,INDEX(BY$7:BY$106,$AJ51),1))))</ns0:f>
        <ns0:v>1</ns0:v>
      </ns0:c>
      <ns0:c r="CA51" t="n">
        <ns0:f>IF($A51="",1,IF(BZ51=1,1,--AND(IF($AC51&gt;0,INDEX(BZ$7:BZ$106,$AC51),1),IF($AD51&gt;0,INDEX(BZ$7:BZ$106,$AD51),1),IF($AE51&gt;0,INDEX(BZ$7:BZ$106,$AE51),1),IF($AF51&gt;0,INDEX(BZ$7:BZ$106,$AF51),1),IF($AG51&gt;0,INDEX(BZ$7:BZ$106,$AG51),1),IF($AH51&gt;0,INDEX(BZ$7:BZ$106,$AH51),1),IF($AI51&gt;0,INDEX(BZ$7:BZ$106,$AI51),1),IF($AJ51&gt;0,INDEX(BZ$7:BZ$106,$AJ51),1))))</ns0:f>
        <ns0:v>1</ns0:v>
      </ns0:c>
      <ns0:c r="CB51" t="n">
        <ns0:f>IF($A51="",1,IF(CA51=1,1,--AND(IF($AC51&gt;0,INDEX(CA$7:CA$106,$AC51),1),IF($AD51&gt;0,INDEX(CA$7:CA$106,$AD51),1),IF($AE51&gt;0,INDEX(CA$7:CA$106,$AE51),1),IF($AF51&gt;0,INDEX(CA$7:CA$106,$AF51),1),IF($AG51&gt;0,INDEX(CA$7:CA$106,$AG51),1),IF($AH51&gt;0,INDEX(CA$7:CA$106,$AH51),1),IF($AI51&gt;0,INDEX(CA$7:CA$106,$AI51),1),IF($AJ51&gt;0,INDEX(CA$7:CA$106,$AJ51),1))))</ns0:f>
        <ns0:v>1</ns0:v>
      </ns0:c>
      <ns0:c r="CC51" t="n">
        <ns0:f>IF($A51="",1,IF(CB51=1,1,--AND(IF($AC51&gt;0,INDEX(CB$7:CB$106,$AC51),1),IF($AD51&gt;0,INDEX(CB$7:CB$106,$AD51),1),IF($AE51&gt;0,INDEX(CB$7:CB$106,$AE51),1),IF($AF51&gt;0,INDEX(CB$7:CB$106,$AF51),1),IF($AG51&gt;0,INDEX(CB$7:CB$106,$AG51),1),IF($AH51&gt;0,INDEX(CB$7:CB$106,$AH51),1),IF($AI51&gt;0,INDEX(CB$7:CB$106,$AI51),1),IF($AJ51&gt;0,INDEX(CB$7:CB$106,$AJ51),1))))</ns0:f>
        <ns0:v>1</ns0:v>
      </ns0:c>
      <ns0:c r="CD51" t="n">
        <ns0:f>IF($A51="",1,IF(CC51=1,1,--AND(IF($AC51&gt;0,INDEX(CC$7:CC$106,$AC51),1),IF($AD51&gt;0,INDEX(CC$7:CC$106,$AD51),1),IF($AE51&gt;0,INDEX(CC$7:CC$106,$AE51),1),IF($AF51&gt;0,INDEX(CC$7:CC$106,$AF51),1),IF($AG51&gt;0,INDEX(CC$7:CC$106,$AG51),1),IF($AH51&gt;0,INDEX(CC$7:CC$106,$AH51),1),IF($AI51&gt;0,INDEX(CC$7:CC$106,$AI51),1),IF($AJ51&gt;0,INDEX(CC$7:CC$106,$AJ51),1))))</ns0:f>
        <ns0:v>1</ns0:v>
      </ns0:c>
      <ns0:c r="CE51" t="n">
        <ns0:f>IF($A51="",1,IF(CD51=1,1,--AND(IF($AC51&gt;0,INDEX(CD$7:CD$106,$AC51),1),IF($AD51&gt;0,INDEX(CD$7:CD$106,$AD51),1),IF($AE51&gt;0,INDEX(CD$7:CD$106,$AE51),1),IF($AF51&gt;0,INDEX(CD$7:CD$106,$AF51),1),IF($AG51&gt;0,INDEX(CD$7:CD$106,$AG51),1),IF($AH51&gt;0,INDEX(CD$7:CD$106,$AH51),1),IF($AI51&gt;0,INDEX(CD$7:CD$106,$AI51),1),IF($AJ51&gt;0,INDEX(CD$7:CD$106,$AJ51),1))))</ns0:f>
        <ns0:v>1</ns0:v>
      </ns0:c>
      <ns0:c r="CF51" t="n">
        <ns0:f>IF($A51="",1,IF(CE51=1,1,--AND(IF($AC51&gt;0,INDEX(CE$7:CE$106,$AC51),1),IF($AD51&gt;0,INDEX(CE$7:CE$106,$AD51),1),IF($AE51&gt;0,INDEX(CE$7:CE$106,$AE51),1),IF($AF51&gt;0,INDEX(CE$7:CE$106,$AF51),1),IF($AG51&gt;0,INDEX(CE$7:CE$106,$AG51),1),IF($AH51&gt;0,INDEX(CE$7:CE$106,$AH51),1),IF($AI51&gt;0,INDEX(CE$7:CE$106,$AI51),1),IF($AJ51&gt;0,INDEX(CE$7:CE$106,$AJ51),1))))</ns0:f>
        <ns0:v>1</ns0:v>
      </ns0:c>
      <ns0:c r="CG51" t="n">
        <ns0:f>IF($A51="",1,IF(CF51=1,1,--AND(IF($AC51&gt;0,INDEX(CF$7:CF$106,$AC51),1),IF($AD51&gt;0,INDEX(CF$7:CF$106,$AD51),1),IF($AE51&gt;0,INDEX(CF$7:CF$106,$AE51),1),IF($AF51&gt;0,INDEX(CF$7:CF$106,$AF51),1),IF($AG51&gt;0,INDEX(CF$7:CF$106,$AG51),1),IF($AH51&gt;0,INDEX(CF$7:CF$106,$AH51),1),IF($AI51&gt;0,INDEX(CF$7:CF$106,$AI51),1),IF($AJ51&gt;0,INDEX(CF$7:CF$106,$AJ51),1))))</ns0:f>
        <ns0:v>1</ns0:v>
      </ns0:c>
      <ns0:c r="CH51" t="n">
        <ns0:f>IF($A51="",1,IF(CG51=1,1,--AND(IF($AC51&gt;0,INDEX(CG$7:CG$106,$AC51),1),IF($AD51&gt;0,INDEX(CG$7:CG$106,$AD51),1),IF($AE51&gt;0,INDEX(CG$7:CG$106,$AE51),1),IF($AF51&gt;0,INDEX(CG$7:CG$106,$AF51),1),IF($AG51&gt;0,INDEX(CG$7:CG$106,$AG51),1),IF($AH51&gt;0,INDEX(CG$7:CG$106,$AH51),1),IF($AI51&gt;0,INDEX(CG$7:CG$106,$AI51),1),IF($AJ51&gt;0,INDEX(CG$7:CG$106,$AJ51),1))))</ns0:f>
        <ns0:v>1</ns0:v>
      </ns0:c>
      <ns0:c r="CI51" t="n">
        <ns0:f>IF($A51="",1,IF(CH51=1,1,--AND(IF($AC51&gt;0,INDEX(CH$7:CH$106,$AC51),1),IF($AD51&gt;0,INDEX(CH$7:CH$106,$AD51),1),IF($AE51&gt;0,INDEX(CH$7:CH$106,$AE51),1),IF($AF51&gt;0,INDEX(CH$7:CH$106,$AF51),1),IF($AG51&gt;0,INDEX(CH$7:CH$106,$AG51),1),IF($AH51&gt;0,INDEX(CH$7:CH$106,$AH51),1),IF($AI51&gt;0,INDEX(CH$7:CH$106,$AI51),1),IF($AJ51&gt;0,INDEX(CH$7:CH$106,$AJ51),1))))</ns0:f>
        <ns0:v>1</ns0:v>
      </ns0:c>
      <ns0:c r="CJ51" t="n">
        <ns0:f>IF($A51="",1,IF(CI51=1,1,--AND(IF($AC51&gt;0,INDEX(CI$7:CI$106,$AC51),1),IF($AD51&gt;0,INDEX(CI$7:CI$106,$AD51),1),IF($AE51&gt;0,INDEX(CI$7:CI$106,$AE51),1),IF($AF51&gt;0,INDEX(CI$7:CI$106,$AF51),1),IF($AG51&gt;0,INDEX(CI$7:CI$106,$AG51),1),IF($AH51&gt;0,INDEX(CI$7:CI$106,$AH51),1),IF($AI51&gt;0,INDEX(CI$7:CI$106,$AI51),1),IF($AJ51&gt;0,INDEX(CI$7:CI$106,$AJ51),1))))</ns0:f>
        <ns0:v>1</ns0:v>
      </ns0:c>
      <ns0:c r="CK51" t="n">
        <ns0:f>IF($A51="",1,IF(CJ51=1,1,--AND(IF($AC51&gt;0,INDEX(CJ$7:CJ$106,$AC51),1),IF($AD51&gt;0,INDEX(CJ$7:CJ$106,$AD51),1),IF($AE51&gt;0,INDEX(CJ$7:CJ$106,$AE51),1),IF($AF51&gt;0,INDEX(CJ$7:CJ$106,$AF51),1),IF($AG51&gt;0,INDEX(CJ$7:CJ$106,$AG51),1),IF($AH51&gt;0,INDEX(CJ$7:CJ$106,$AH51),1),IF($AI51&gt;0,INDEX(CJ$7:CJ$106,$AI51),1),IF($AJ51&gt;0,INDEX(CJ$7:CJ$106,$AJ51),1))))</ns0:f>
        <ns0:v>1</ns0:v>
      </ns0:c>
      <ns0:c r="CL51" t="n">
        <ns0:f>IF($A51="",1,IF(CK51=1,1,--AND(IF($AC51&gt;0,INDEX(CK$7:CK$106,$AC51),1),IF($AD51&gt;0,INDEX(CK$7:CK$106,$AD51),1),IF($AE51&gt;0,INDEX(CK$7:CK$106,$AE51),1),IF($AF51&gt;0,INDEX(CK$7:CK$106,$AF51),1),IF($AG51&gt;0,INDEX(CK$7:CK$106,$AG51),1),IF($AH51&gt;0,INDEX(CK$7:CK$106,$AH51),1),IF($AI51&gt;0,INDEX(CK$7:CK$106,$AI51),1),IF($AJ51&gt;0,INDEX(CK$7:CK$106,$AJ51),1))))</ns0:f>
        <ns0:v>1</ns0:v>
      </ns0:c>
      <ns0:c r="CM51" t="n">
        <ns0:f>IF($A51="",1,IF(CL51=1,1,--AND(IF($AC51&gt;0,INDEX(CL$7:CL$106,$AC51),1),IF($AD51&gt;0,INDEX(CL$7:CL$106,$AD51),1),IF($AE51&gt;0,INDEX(CL$7:CL$106,$AE51),1),IF($AF51&gt;0,INDEX(CL$7:CL$106,$AF51),1),IF($AG51&gt;0,INDEX(CL$7:CL$106,$AG51),1),IF($AH51&gt;0,INDEX(CL$7:CL$106,$AH51),1),IF($AI51&gt;0,INDEX(CL$7:CL$106,$AI51),1),IF($AJ51&gt;0,INDEX(CL$7:CL$106,$AJ51),1))))</ns0:f>
        <ns0:v>1</ns0:v>
      </ns0:c>
      <ns0:c r="CN51" t="n">
        <ns0:f>IF($A51="",1,IF(CM51=1,1,--AND(IF($AC51&gt;0,INDEX(CM$7:CM$106,$AC51),1),IF($AD51&gt;0,INDEX(CM$7:CM$106,$AD51),1),IF($AE51&gt;0,INDEX(CM$7:CM$106,$AE51),1),IF($AF51&gt;0,INDEX(CM$7:CM$106,$AF51),1),IF($AG51&gt;0,INDEX(CM$7:CM$106,$AG51),1),IF($AH51&gt;0,INDEX(CM$7:CM$106,$AH51),1),IF($AI51&gt;0,INDEX(CM$7:CM$106,$AI51),1),IF($AJ51&gt;0,INDEX(CM$7:CM$106,$AJ51),1))))</ns0:f>
        <ns0:v>1</ns0:v>
      </ns0:c>
      <ns0:c r="CO51" t="n">
        <ns0:f>IF($A51="",1,IF(CN51=1,1,--AND(IF($AC51&gt;0,INDEX(CN$7:CN$106,$AC51),1),IF($AD51&gt;0,INDEX(CN$7:CN$106,$AD51),1),IF($AE51&gt;0,INDEX(CN$7:CN$106,$AE51),1),IF($AF51&gt;0,INDEX(CN$7:CN$106,$AF51),1),IF($AG51&gt;0,INDEX(CN$7:CN$106,$AG51),1),IF($AH51&gt;0,INDEX(CN$7:CN$106,$AH51),1),IF($AI51&gt;0,INDEX(CN$7:CN$106,$AI51),1),IF($AJ51&gt;0,INDEX(CN$7:CN$106,$AJ51),1))))</ns0:f>
        <ns0:v>1</ns0:v>
      </ns0:c>
      <ns0:c r="CP51" t="n">
        <ns0:f>IF($A51="",1,IF(CO51=1,1,--AND(IF($AC51&gt;0,INDEX(CO$7:CO$106,$AC51),1),IF($AD51&gt;0,INDEX(CO$7:CO$106,$AD51),1),IF($AE51&gt;0,INDEX(CO$7:CO$106,$AE51),1),IF($AF51&gt;0,INDEX(CO$7:CO$106,$AF51),1),IF($AG51&gt;0,INDEX(CO$7:CO$106,$AG51),1),IF($AH51&gt;0,INDEX(CO$7:CO$106,$AH51),1),IF($AI51&gt;0,INDEX(CO$7:CO$106,$AI51),1),IF($AJ51&gt;0,INDEX(CO$7:CO$106,$AJ51),1))))</ns0:f>
        <ns0:v>1</ns0:v>
      </ns0:c>
      <ns0:c r="CQ51" t="n">
        <ns0:f>IF($A51="",1,IF(CP51=1,1,--AND(IF($AC51&gt;0,INDEX(CP$7:CP$106,$AC51),1),IF($AD51&gt;0,INDEX(CP$7:CP$106,$AD51),1),IF($AE51&gt;0,INDEX(CP$7:CP$106,$AE51),1),IF($AF51&gt;0,INDEX(CP$7:CP$106,$AF51),1),IF($AG51&gt;0,INDEX(CP$7:CP$106,$AG51),1),IF($AH51&gt;0,INDEX(CP$7:CP$106,$AH51),1),IF($AI51&gt;0,INDEX(CP$7:CP$106,$AI51),1),IF($AJ51&gt;0,INDEX(CP$7:CP$106,$AJ51),1))))</ns0:f>
        <ns0:v>1</ns0:v>
      </ns0:c>
      <ns0:c r="CR51" t="n">
        <ns0:f>IF($A51="",1,IF(CQ51=1,1,--AND(IF($AC51&gt;0,INDEX(CQ$7:CQ$106,$AC51),1),IF($AD51&gt;0,INDEX(CQ$7:CQ$106,$AD51),1),IF($AE51&gt;0,INDEX(CQ$7:CQ$106,$AE51),1),IF($AF51&gt;0,INDEX(CQ$7:CQ$106,$AF51),1),IF($AG51&gt;0,INDEX(CQ$7:CQ$106,$AG51),1),IF($AH51&gt;0,INDEX(CQ$7:CQ$106,$AH51),1),IF($AI51&gt;0,INDEX(CQ$7:CQ$106,$AI51),1),IF($AJ51&gt;0,INDEX(CQ$7:CQ$106,$AJ51),1))))</ns0:f>
        <ns0:v>1</ns0:v>
      </ns0:c>
      <ns0:c r="CS51" t="n">
        <ns0:f>IF($A51="",1,IF(CR51=1,1,--AND(IF($AC51&gt;0,INDEX(CR$7:CR$106,$AC51),1),IF($AD51&gt;0,INDEX(CR$7:CR$106,$AD51),1),IF($AE51&gt;0,INDEX(CR$7:CR$106,$AE51),1),IF($AF51&gt;0,INDEX(CR$7:CR$106,$AF51),1),IF($AG51&gt;0,INDEX(CR$7:CR$106,$AG51),1),IF($AH51&gt;0,INDEX(CR$7:CR$106,$AH51),1),IF($AI51&gt;0,INDEX(CR$7:CR$106,$AI51),1),IF($AJ51&gt;0,INDEX(CR$7:CR$106,$AJ51),1))))</ns0:f>
        <ns0:v>1</ns0:v>
      </ns0:c>
      <ns0:c r="CT51" t="n">
        <ns0:f>IF($A51="",1,IF(CS51=1,1,--AND(IF($AC51&gt;0,INDEX(CS$7:CS$106,$AC51),1),IF($AD51&gt;0,INDEX(CS$7:CS$106,$AD51),1),IF($AE51&gt;0,INDEX(CS$7:CS$106,$AE51),1),IF($AF51&gt;0,INDEX(CS$7:CS$106,$AF51),1),IF($AG51&gt;0,INDEX(CS$7:CS$106,$AG51),1),IF($AH51&gt;0,INDEX(CS$7:CS$106,$AH51),1),IF($AI51&gt;0,INDEX(CS$7:CS$106,$AI51),1),IF($AJ51&gt;0,INDEX(CS$7:CS$106,$AJ51),1))))</ns0:f>
        <ns0:v>1</ns0:v>
      </ns0:c>
      <ns0:c r="CU51" t="n">
        <ns0:f>IF($A51="",1,IF(CT51=1,1,--AND(IF($AC51&gt;0,INDEX(CT$7:CT$106,$AC51),1),IF($AD51&gt;0,INDEX(CT$7:CT$106,$AD51),1),IF($AE51&gt;0,INDEX(CT$7:CT$106,$AE51),1),IF($AF51&gt;0,INDEX(CT$7:CT$106,$AF51),1),IF($AG51&gt;0,INDEX(CT$7:CT$106,$AG51),1),IF($AH51&gt;0,INDEX(CT$7:CT$106,$AH51),1),IF($AI51&gt;0,INDEX(CT$7:CT$106,$AI51),1),IF($AJ51&gt;0,INDEX(CT$7:CT$106,$AJ51),1))))</ns0:f>
        <ns0:v>1</ns0:v>
      </ns0:c>
      <ns0:c r="CV51" t="n">
        <ns0:f>IF($A51="",1,IF(CU51=1,1,--AND(IF($AC51&gt;0,INDEX(CU$7:CU$106,$AC51),1),IF($AD51&gt;0,INDEX(CU$7:CU$106,$AD51),1),IF($AE51&gt;0,INDEX(CU$7:CU$106,$AE51),1),IF($AF51&gt;0,INDEX(CU$7:CU$106,$AF51),1),IF($AG51&gt;0,INDEX(CU$7:CU$106,$AG51),1),IF($AH51&gt;0,INDEX(CU$7:CU$106,$AH51),1),IF($AI51&gt;0,INDEX(CU$7:CU$106,$AI51),1),IF($AJ51&gt;0,INDEX(CU$7:CU$106,$AJ51),1))))</ns0:f>
        <ns0:v>1</ns0:v>
      </ns0:c>
      <ns0:c r="CW51" t="n">
        <ns0:f>IF($A51="",1,IF(CV51=1,1,--AND(IF($AC51&gt;0,INDEX(CV$7:CV$106,$AC51),1),IF($AD51&gt;0,INDEX(CV$7:CV$106,$AD51),1),IF($AE51&gt;0,INDEX(CV$7:CV$106,$AE51),1),IF($AF51&gt;0,INDEX(CV$7:CV$106,$AF51),1),IF($AG51&gt;0,INDEX(CV$7:CV$106,$AG51),1),IF($AH51&gt;0,INDEX(CV$7:CV$106,$AH51),1),IF($AI51&gt;0,INDEX(CV$7:CV$106,$AI51),1),IF($AJ51&gt;0,INDEX(CV$7:CV$106,$AJ51),1))))</ns0:f>
        <ns0:v>1</ns0:v>
      </ns0:c>
      <ns0:c r="CX51" t="n">
        <ns0:f>IF($A51="",1,IF(CW51=1,1,--AND(IF($AC51&gt;0,INDEX(CW$7:CW$106,$AC51),1),IF($AD51&gt;0,INDEX(CW$7:CW$106,$AD51),1),IF($AE51&gt;0,INDEX(CW$7:CW$106,$AE51),1),IF($AF51&gt;0,INDEX(CW$7:CW$106,$AF51),1),IF($AG51&gt;0,INDEX(CW$7:CW$106,$AG51),1),IF($AH51&gt;0,INDEX(CW$7:CW$106,$AH51),1),IF($AI51&gt;0,INDEX(CW$7:CW$106,$AI51),1),IF($AJ51&gt;0,INDEX(CW$7:CW$106,$AJ51),1))))</ns0:f>
        <ns0:v>1</ns0:v>
      </ns0:c>
      <ns0:c r="CY51" t="n">
        <ns0:f>IF($A51="",1,IF(CX51=1,1,--AND(IF($AC51&gt;0,INDEX(CX$7:CX$106,$AC51),1),IF($AD51&gt;0,INDEX(CX$7:CX$106,$AD51),1),IF($AE51&gt;0,INDEX(CX$7:CX$106,$AE51),1),IF($AF51&gt;0,INDEX(CX$7:CX$106,$AF51),1),IF($AG51&gt;0,INDEX(CX$7:CX$106,$AG51),1),IF($AH51&gt;0,INDEX(CX$7:CX$106,$AH51),1),IF($AI51&gt;0,INDEX(CX$7:CX$106,$AI51),1),IF($AJ51&gt;0,INDEX(CX$7:CX$106,$AJ51),1))))</ns0:f>
        <ns0:v>1</ns0:v>
      </ns0:c>
      <ns0:c r="CZ51" t="n">
        <ns0:f>IF($A51="",1,IF(CY51=1,1,--AND(IF($AC51&gt;0,INDEX(CY$7:CY$106,$AC51),1),IF($AD51&gt;0,INDEX(CY$7:CY$106,$AD51),1),IF($AE51&gt;0,INDEX(CY$7:CY$106,$AE51),1),IF($AF51&gt;0,INDEX(CY$7:CY$106,$AF51),1),IF($AG51&gt;0,INDEX(CY$7:CY$106,$AG51),1),IF($AH51&gt;0,INDEX(CY$7:CY$106,$AH51),1),IF($AI51&gt;0,INDEX(CY$7:CY$106,$AI51),1),IF($AJ51&gt;0,INDEX(CY$7:CY$106,$AJ51),1))))</ns0:f>
        <ns0:v>1</ns0:v>
      </ns0:c>
      <ns0:c r="DA51" t="n">
        <ns0:f>IF($A51="",1,IF(CZ51=1,1,--AND(IF($AC51&gt;0,INDEX(CZ$7:CZ$106,$AC51),1),IF($AD51&gt;0,INDEX(CZ$7:CZ$106,$AD51),1),IF($AE51&gt;0,INDEX(CZ$7:CZ$106,$AE51),1),IF($AF51&gt;0,INDEX(CZ$7:CZ$106,$AF51),1),IF($AG51&gt;0,INDEX(CZ$7:CZ$106,$AG51),1),IF($AH51&gt;0,INDEX(CZ$7:CZ$106,$AH51),1),IF($AI51&gt;0,INDEX(CZ$7:CZ$106,$AI51),1),IF($AJ51&gt;0,INDEX(CZ$7:CZ$106,$AJ51),1))))</ns0:f>
        <ns0:v>1</ns0:v>
      </ns0:c>
      <ns0:c r="DB51" t="n">
        <ns0:f>IF($A51="",1,IF(DA51=1,1,--AND(IF($AC51&gt;0,INDEX(DA$7:DA$106,$AC51),1),IF($AD51&gt;0,INDEX(DA$7:DA$106,$AD51),1),IF($AE51&gt;0,INDEX(DA$7:DA$106,$AE51),1),IF($AF51&gt;0,INDEX(DA$7:DA$106,$AF51),1),IF($AG51&gt;0,INDEX(DA$7:DA$106,$AG51),1),IF($AH51&gt;0,INDEX(DA$7:DA$106,$AH51),1),IF($AI51&gt;0,INDEX(DA$7:DA$106,$AI51),1),IF($AJ51&gt;0,INDEX(DA$7:DA$106,$AJ51),1))))</ns0:f>
        <ns0:v>1</ns0:v>
      </ns0:c>
      <ns0:c r="DC51" t="n">
        <ns0:f>IF($A51="",1,IF(DB51=1,1,--AND(IF($AC51&gt;0,INDEX(DB$7:DB$106,$AC51),1),IF($AD51&gt;0,INDEX(DB$7:DB$106,$AD51),1),IF($AE51&gt;0,INDEX(DB$7:DB$106,$AE51),1),IF($AF51&gt;0,INDEX(DB$7:DB$106,$AF51),1),IF($AG51&gt;0,INDEX(DB$7:DB$106,$AG51),1),IF($AH51&gt;0,INDEX(DB$7:DB$106,$AH51),1),IF($AI51&gt;0,INDEX(DB$7:DB$106,$AI51),1),IF($AJ51&gt;0,INDEX(DB$7:DB$106,$AJ51),1))))</ns0:f>
        <ns0:v>1</ns0:v>
      </ns0:c>
      <ns0:c r="DD51" t="n">
        <ns0:f>IF($A51="",1,IF(DC51=1,1,--AND(IF($AC51&gt;0,INDEX(DC$7:DC$106,$AC51),1),IF($AD51&gt;0,INDEX(DC$7:DC$106,$AD51),1),IF($AE51&gt;0,INDEX(DC$7:DC$106,$AE51),1),IF($AF51&gt;0,INDEX(DC$7:DC$106,$AF51),1),IF($AG51&gt;0,INDEX(DC$7:DC$106,$AG51),1),IF($AH51&gt;0,INDEX(DC$7:DC$106,$AH51),1),IF($AI51&gt;0,INDEX(DC$7:DC$106,$AI51),1),IF($AJ51&gt;0,INDEX(DC$7:DC$106,$AJ51),1))))</ns0:f>
        <ns0:v>1</ns0:v>
      </ns0:c>
      <ns0:c r="DE51" t="n">
        <ns0:f>IF($A51="",1,IF(DD51=1,1,--AND(IF($AC51&gt;0,INDEX(DD$7:DD$106,$AC51),1),IF($AD51&gt;0,INDEX(DD$7:DD$106,$AD51),1),IF($AE51&gt;0,INDEX(DD$7:DD$106,$AE51),1),IF($AF51&gt;0,INDEX(DD$7:DD$106,$AF51),1),IF($AG51&gt;0,INDEX(DD$7:DD$106,$AG51),1),IF($AH51&gt;0,INDEX(DD$7:DD$106,$AH51),1),IF($AI51&gt;0,INDEX(DD$7:DD$106,$AI51),1),IF($AJ51&gt;0,INDEX(DD$7:DD$106,$AJ51),1))))</ns0:f>
        <ns0:v>1</ns0:v>
      </ns0:c>
      <ns0:c r="DF51" t="n">
        <ns0:f>IF($A51="",1,IF(DE51=1,1,--AND(IF($AC51&gt;0,INDEX(DE$7:DE$106,$AC51),1),IF($AD51&gt;0,INDEX(DE$7:DE$106,$AD51),1),IF($AE51&gt;0,INDEX(DE$7:DE$106,$AE51),1),IF($AF51&gt;0,INDEX(DE$7:DE$106,$AF51),1),IF($AG51&gt;0,INDEX(DE$7:DE$106,$AG51),1),IF($AH51&gt;0,INDEX(DE$7:DE$106,$AH51),1),IF($AI51&gt;0,INDEX(DE$7:DE$106,$AI51),1),IF($AJ51&gt;0,INDEX(DE$7:DE$106,$AJ51),1))))</ns0:f>
        <ns0:v>1</ns0:v>
      </ns0:c>
      <ns0:c r="DG51" t="n">
        <ns0:f>IF($A51="",1,IF(DF51=1,1,--AND(IF($AC51&gt;0,INDEX(DF$7:DF$106,$AC51),1),IF($AD51&gt;0,INDEX(DF$7:DF$106,$AD51),1),IF($AE51&gt;0,INDEX(DF$7:DF$106,$AE51),1),IF($AF51&gt;0,INDEX(DF$7:DF$106,$AF51),1),IF($AG51&gt;0,INDEX(DF$7:DF$106,$AG51),1),IF($AH51&gt;0,INDEX(DF$7:DF$106,$AH51),1),IF($AI51&gt;0,INDEX(DF$7:DF$106,$AI51),1),IF($AJ51&gt;0,INDEX(DF$7:DF$106,$AJ51),1))))</ns0:f>
        <ns0:v>1</ns0:v>
      </ns0:c>
      <ns0:c r="DH51" t="n">
        <ns0:f>IF($A51="",1,IF(DG51=1,1,--AND(IF($AC51&gt;0,INDEX(DG$7:DG$106,$AC51),1),IF($AD51&gt;0,INDEX(DG$7:DG$106,$AD51),1),IF($AE51&gt;0,INDEX(DG$7:DG$106,$AE51),1),IF($AF51&gt;0,INDEX(DG$7:DG$106,$AF51),1),IF($AG51&gt;0,INDEX(DG$7:DG$106,$AG51),1),IF($AH51&gt;0,INDEX(DG$7:DG$106,$AH51),1),IF($AI51&gt;0,INDEX(DG$7:DG$106,$AI51),1),IF($AJ51&gt;0,INDEX(DG$7:DG$106,$AJ51),1))))</ns0:f>
        <ns0:v>1</ns0:v>
      </ns0:c>
      <ns0:c r="DI51" t="n">
        <ns0:f>IF($A51="",1,IF(DH51=1,1,--AND(IF($AC51&gt;0,INDEX(DH$7:DH$106,$AC51),1),IF($AD51&gt;0,INDEX(DH$7:DH$106,$AD51),1),IF($AE51&gt;0,INDEX(DH$7:DH$106,$AE51),1),IF($AF51&gt;0,INDEX(DH$7:DH$106,$AF51),1),IF($AG51&gt;0,INDEX(DH$7:DH$106,$AG51),1),IF($AH51&gt;0,INDEX(DH$7:DH$106,$AH51),1),IF($AI51&gt;0,INDEX(DH$7:DH$106,$AI51),1),IF($AJ51&gt;0,INDEX(DH$7:DH$106,$AJ51),1))))</ns0:f>
        <ns0:v>1</ns0:v>
      </ns0:c>
      <ns0:c r="DJ51" t="n">
        <ns0:f>IF($A51="",1,IF(DI51=1,1,--AND(IF($AC51&gt;0,INDEX(DI$7:DI$106,$AC51),1),IF($AD51&gt;0,INDEX(DI$7:DI$106,$AD51),1),IF($AE51&gt;0,INDEX(DI$7:DI$106,$AE51),1),IF($AF51&gt;0,INDEX(DI$7:DI$106,$AF51),1),IF($AG51&gt;0,INDEX(DI$7:DI$106,$AG51),1),IF($AH51&gt;0,INDEX(DI$7:DI$106,$AH51),1),IF($AI51&gt;0,INDEX(DI$7:DI$106,$AI51),1),IF($AJ51&gt;0,INDEX(DI$7:DI$106,$AJ51),1))))</ns0:f>
        <ns0:v>1</ns0:v>
      </ns0:c>
      <ns0:c r="DK51" t="n">
        <ns0:f>IF($A51="",1,IF(DJ51=1,1,--AND(IF($AC51&gt;0,INDEX(DJ$7:DJ$106,$AC51),1),IF($AD51&gt;0,INDEX(DJ$7:DJ$106,$AD51),1),IF($AE51&gt;0,INDEX(DJ$7:DJ$106,$AE51),1),IF($AF51&gt;0,INDEX(DJ$7:DJ$106,$AF51),1),IF($AG51&gt;0,INDEX(DJ$7:DJ$106,$AG51),1),IF($AH51&gt;0,INDEX(DJ$7:DJ$106,$AH51),1),IF($AI51&gt;0,INDEX(DJ$7:DJ$106,$AI51),1),IF($AJ51&gt;0,INDEX(DJ$7:DJ$106,$AJ51),1))))</ns0:f>
        <ns0:v>1</ns0:v>
      </ns0:c>
      <ns0:c r="DL51" t="n">
        <ns0:f>IF($A51="",1,IF(DK51=1,1,--AND(IF($AC51&gt;0,INDEX(DK$7:DK$106,$AC51),1),IF($AD51&gt;0,INDEX(DK$7:DK$106,$AD51),1),IF($AE51&gt;0,INDEX(DK$7:DK$106,$AE51),1),IF($AF51&gt;0,INDEX(DK$7:DK$106,$AF51),1),IF($AG51&gt;0,INDEX(DK$7:DK$106,$AG51),1),IF($AH51&gt;0,INDEX(DK$7:DK$106,$AH51),1),IF($AI51&gt;0,INDEX(DK$7:DK$106,$AI51),1),IF($AJ51&gt;0,INDEX(DK$7:DK$106,$AJ51),1))))</ns0:f>
        <ns0:v>1</ns0:v>
      </ns0:c>
      <ns0:c r="DM51" t="n">
        <ns0:f>IF($A51="",1,IF(DL51=1,1,--AND(IF($AC51&gt;0,INDEX(DL$7:DL$106,$AC51),1),IF($AD51&gt;0,INDEX(DL$7:DL$106,$AD51),1),IF($AE51&gt;0,INDEX(DL$7:DL$106,$AE51),1),IF($AF51&gt;0,INDEX(DL$7:DL$106,$AF51),1),IF($AG51&gt;0,INDEX(DL$7:DL$106,$AG51),1),IF($AH51&gt;0,INDEX(DL$7:DL$106,$AH51),1),IF($AI51&gt;0,INDEX(DL$7:DL$106,$AI51),1),IF($AJ51&gt;0,INDEX(DL$7:DL$106,$AJ51),1))))</ns0:f>
        <ns0:v>1</ns0:v>
      </ns0:c>
      <ns0:c r="DN51" t="n">
        <ns0:f>IF($A51="",1,IF(DM51=1,1,--AND(IF($AC51&gt;0,INDEX(DM$7:DM$106,$AC51),1),IF($AD51&gt;0,INDEX(DM$7:DM$106,$AD51),1),IF($AE51&gt;0,INDEX(DM$7:DM$106,$AE51),1),IF($AF51&gt;0,INDEX(DM$7:DM$106,$AF51),1),IF($AG51&gt;0,INDEX(DM$7:DM$106,$AG51),1),IF($AH51&gt;0,INDEX(DM$7:DM$106,$AH51),1),IF($AI51&gt;0,INDEX(DM$7:DM$106,$AI51),1),IF($AJ51&gt;0,INDEX(DM$7:DM$106,$AJ51),1))))</ns0:f>
        <ns0:v>1</ns0:v>
      </ns0:c>
      <ns0:c r="DO51" t="n">
        <ns0:f>IF($A51="",1,IF(DN51=1,1,--AND(IF($AC51&gt;0,INDEX(DN$7:DN$106,$AC51),1),IF($AD51&gt;0,INDEX(DN$7:DN$106,$AD51),1),IF($AE51&gt;0,INDEX(DN$7:DN$106,$AE51),1),IF($AF51&gt;0,INDEX(DN$7:DN$106,$AF51),1),IF($AG51&gt;0,INDEX(DN$7:DN$106,$AG51),1),IF($AH51&gt;0,INDEX(DN$7:DN$106,$AH51),1),IF($AI51&gt;0,INDEX(DN$7:DN$106,$AI51),1),IF($AJ51&gt;0,INDEX(DN$7:DN$106,$AJ51),1))))</ns0:f>
        <ns0:v>1</ns0:v>
      </ns0:c>
      <ns0:c r="DP51" t="n">
        <ns0:f>IF($A51="",1,IF(DO51=1,1,--AND(IF($AC51&gt;0,INDEX(DO$7:DO$106,$AC51),1),IF($AD51&gt;0,INDEX(DO$7:DO$106,$AD51),1),IF($AE51&gt;0,INDEX(DO$7:DO$106,$AE51),1),IF($AF51&gt;0,INDEX(DO$7:DO$106,$AF51),1),IF($AG51&gt;0,INDEX(DO$7:DO$106,$AG51),1),IF($AH51&gt;0,INDEX(DO$7:DO$106,$AH51),1),IF($AI51&gt;0,INDEX(DO$7:DO$106,$AI51),1),IF($AJ51&gt;0,INDEX(DO$7:DO$106,$AJ51),1))))</ns0:f>
        <ns0:v>1</ns0:v>
      </ns0:c>
      <ns0:c r="DQ51" t="n">
        <ns0:f>IF($A51="",1,IF(DP51=1,1,--AND(IF($AC51&gt;0,INDEX(DP$7:DP$106,$AC51),1),IF($AD51&gt;0,INDEX(DP$7:DP$106,$AD51),1),IF($AE51&gt;0,INDEX(DP$7:DP$106,$AE51),1),IF($AF51&gt;0,INDEX(DP$7:DP$106,$AF51),1),IF($AG51&gt;0,INDEX(DP$7:DP$106,$AG51),1),IF($AH51&gt;0,INDEX(DP$7:DP$106,$AH51),1),IF($AI51&gt;0,INDEX(DP$7:DP$106,$AI51),1),IF($AJ51&gt;0,INDEX(DP$7:DP$106,$AJ51),1))))</ns0:f>
        <ns0:v>1</ns0:v>
      </ns0:c>
      <ns0:c r="DR51" t="n">
        <ns0:f>IF($A51="",1,IF(DQ51=1,1,--AND(IF($AC51&gt;0,INDEX(DQ$7:DQ$106,$AC51),1),IF($AD51&gt;0,INDEX(DQ$7:DQ$106,$AD51),1),IF($AE51&gt;0,INDEX(DQ$7:DQ$106,$AE51),1),IF($AF51&gt;0,INDEX(DQ$7:DQ$106,$AF51),1),IF($AG51&gt;0,INDEX(DQ$7:DQ$106,$AG51),1),IF($AH51&gt;0,INDEX(DQ$7:DQ$106,$AH51),1),IF($AI51&gt;0,INDEX(DQ$7:DQ$106,$AI51),1),IF($AJ51&gt;0,INDEX(DQ$7:DQ$106,$AJ51),1))))</ns0:f>
        <ns0:v>1</ns0:v>
      </ns0:c>
      <ns0:c r="DS51" t="n">
        <ns0:f>IF($A51="",1,IF(DR51=1,1,--AND(IF($AC51&gt;0,INDEX(DR$7:DR$106,$AC51),1),IF($AD51&gt;0,INDEX(DR$7:DR$106,$AD51),1),IF($AE51&gt;0,INDEX(DR$7:DR$106,$AE51),1),IF($AF51&gt;0,INDEX(DR$7:DR$106,$AF51),1),IF($AG51&gt;0,INDEX(DR$7:DR$106,$AG51),1),IF($AH51&gt;0,INDEX(DR$7:DR$106,$AH51),1),IF($AI51&gt;0,INDEX(DR$7:DR$106,$AI51),1),IF($AJ51&gt;0,INDEX(DR$7:DR$106,$AJ51),1))))</ns0:f>
        <ns0:v>1</ns0:v>
      </ns0:c>
      <ns0:c r="DT51" t="n">
        <ns0:f>IF($A51="",1,IF(DS51=1,1,--AND(IF($AC51&gt;0,INDEX(DS$7:DS$106,$AC51),1),IF($AD51&gt;0,INDEX(DS$7:DS$106,$AD51),1),IF($AE51&gt;0,INDEX(DS$7:DS$106,$AE51),1),IF($AF51&gt;0,INDEX(DS$7:DS$106,$AF51),1),IF($AG51&gt;0,INDEX(DS$7:DS$106,$AG51),1),IF($AH51&gt;0,INDEX(DS$7:DS$106,$AH51),1),IF($AI51&gt;0,INDEX(DS$7:DS$106,$AI51),1),IF($AJ51&gt;0,INDEX(DS$7:DS$106,$AJ51),1))))</ns0:f>
        <ns0:v>1</ns0:v>
      </ns0:c>
      <ns0:c r="DU51" t="n">
        <ns0:f>IF($A51="",1,IF(DT51=1,1,--AND(IF($AC51&gt;0,INDEX(DT$7:DT$106,$AC51),1),IF($AD51&gt;0,INDEX(DT$7:DT$106,$AD51),1),IF($AE51&gt;0,INDEX(DT$7:DT$106,$AE51),1),IF($AF51&gt;0,INDEX(DT$7:DT$106,$AF51),1),IF($AG51&gt;0,INDEX(DT$7:DT$106,$AG51),1),IF($AH51&gt;0,INDEX(DT$7:DT$106,$AH51),1),IF($AI51&gt;0,INDEX(DT$7:DT$106,$AI51),1),IF($AJ51&gt;0,INDEX(DT$7:DT$106,$AJ51),1))))</ns0:f>
        <ns0:v>1</ns0:v>
      </ns0:c>
      <ns0:c r="DV51" t="n">
        <ns0:f>IF($A51="",1,IF(DU51=1,1,--AND(IF($AC51&gt;0,INDEX(DU$7:DU$106,$AC51),1),IF($AD51&gt;0,INDEX(DU$7:DU$106,$AD51),1),IF($AE51&gt;0,INDEX(DU$7:DU$106,$AE51),1),IF($AF51&gt;0,INDEX(DU$7:DU$106,$AF51),1),IF($AG51&gt;0,INDEX(DU$7:DU$106,$AG51),1),IF($AH51&gt;0,INDEX(DU$7:DU$106,$AH51),1),IF($AI51&gt;0,INDEX(DU$7:DU$106,$AI51),1),IF($AJ51&gt;0,INDEX(DU$7:DU$106,$AJ51),1))))</ns0:f>
        <ns0:v>1</ns0:v>
      </ns0:c>
      <ns0:c r="DW51" t="n">
        <ns0:f>IF($A51="",1,IF(DV51=1,1,--AND(IF($AC51&gt;0,INDEX(DV$7:DV$106,$AC51),1),IF($AD51&gt;0,INDEX(DV$7:DV$106,$AD51),1),IF($AE51&gt;0,INDEX(DV$7:DV$106,$AE51),1),IF($AF51&gt;0,INDEX(DV$7:DV$106,$AF51),1),IF($AG51&gt;0,INDEX(DV$7:DV$106,$AG51),1),IF($AH51&gt;0,INDEX(DV$7:DV$106,$AH51),1),IF($AI51&gt;0,INDEX(DV$7:DV$106,$AI51),1),IF($AJ51&gt;0,INDEX(DV$7:DV$106,$AJ51),1))))</ns0:f>
        <ns0:v>1</ns0:v>
      </ns0:c>
      <ns0:c r="DX51" t="n">
        <ns0:f>IF($A51="",1,IF(DW51=1,1,--AND(IF($AC51&gt;0,INDEX(DW$7:DW$106,$AC51),1),IF($AD51&gt;0,INDEX(DW$7:DW$106,$AD51),1),IF($AE51&gt;0,INDEX(DW$7:DW$106,$AE51),1),IF($AF51&gt;0,INDEX(DW$7:DW$106,$AF51),1),IF($AG51&gt;0,INDEX(DW$7:DW$106,$AG51),1),IF($AH51&gt;0,INDEX(DW$7:DW$106,$AH51),1),IF($AI51&gt;0,INDEX(DW$7:DW$106,$AI51),1),IF($AJ51&gt;0,INDEX(DW$7:DW$106,$AJ51),1))))</ns0:f>
        <ns0:v>1</ns0:v>
      </ns0:c>
      <ns0:c r="DY51" t="n">
        <ns0:f>IF($A51="",1,IF(DX51=1,1,--AND(IF($AC51&gt;0,INDEX(DX$7:DX$106,$AC51),1),IF($AD51&gt;0,INDEX(DX$7:DX$106,$AD51),1),IF($AE51&gt;0,INDEX(DX$7:DX$106,$AE51),1),IF($AF51&gt;0,INDEX(DX$7:DX$106,$AF51),1),IF($AG51&gt;0,INDEX(DX$7:DX$106,$AG51),1),IF($AH51&gt;0,INDEX(DX$7:DX$106,$AH51),1),IF($AI51&gt;0,INDEX(DX$7:DX$106,$AI51),1),IF($AJ51&gt;0,INDEX(DX$7:DX$106,$AJ51),1))))</ns0:f>
        <ns0:v>1</ns0:v>
      </ns0:c>
      <ns0:c r="DZ51" t="n">
        <ns0:f>IF($A51="",1,IF(DY51=1,1,--AND(IF($AC51&gt;0,INDEX(DY$7:DY$106,$AC51),1),IF($AD51&gt;0,INDEX(DY$7:DY$106,$AD51),1),IF($AE51&gt;0,INDEX(DY$7:DY$106,$AE51),1),IF($AF51&gt;0,INDEX(DY$7:DY$106,$AF51),1),IF($AG51&gt;0,INDEX(DY$7:DY$106,$AG51),1),IF($AH51&gt;0,INDEX(DY$7:DY$106,$AH51),1),IF($AI51&gt;0,INDEX(DY$7:DY$106,$AI51),1),IF($AJ51&gt;0,INDEX(DY$7:DY$106,$AJ51),1))))</ns0:f>
        <ns0:v>1</ns0:v>
      </ns0:c>
      <ns0:c r="EA51" t="n">
        <ns0:f>IF($A51="",1,IF(DZ51=1,1,--AND(IF($AC51&gt;0,INDEX(DZ$7:DZ$106,$AC51),1),IF($AD51&gt;0,INDEX(DZ$7:DZ$106,$AD51),1),IF($AE51&gt;0,INDEX(DZ$7:DZ$106,$AE51),1),IF($AF51&gt;0,INDEX(DZ$7:DZ$106,$AF51),1),IF($AG51&gt;0,INDEX(DZ$7:DZ$106,$AG51),1),IF($AH51&gt;0,INDEX(DZ$7:DZ$106,$AH51),1),IF($AI51&gt;0,INDEX(DZ$7:DZ$106,$AI51),1),IF($AJ51&gt;0,INDEX(DZ$7:DZ$106,$AJ51),1))))</ns0:f>
        <ns0:v>1</ns0:v>
      </ns0:c>
      <ns0:c r="EB51" t="n">
        <ns0:f>IF($A51="",1,IF(EA51=1,1,--AND(IF($AC51&gt;0,INDEX(EA$7:EA$106,$AC51),1),IF($AD51&gt;0,INDEX(EA$7:EA$106,$AD51),1),IF($AE51&gt;0,INDEX(EA$7:EA$106,$AE51),1),IF($AF51&gt;0,INDEX(EA$7:EA$106,$AF51),1),IF($AG51&gt;0,INDEX(EA$7:EA$106,$AG51),1),IF($AH51&gt;0,INDEX(EA$7:EA$106,$AH51),1),IF($AI51&gt;0,INDEX(EA$7:EA$106,$AI51),1),IF($AJ51&gt;0,INDEX(EA$7:EA$106,$AJ51),1))))</ns0:f>
        <ns0:v>1</ns0:v>
      </ns0:c>
      <ns0:c r="EC51" t="n">
        <ns0:f>IF($A51="",1,IF(EB51=1,1,--AND(IF($AC51&gt;0,INDEX(EB$7:EB$106,$AC51),1),IF($AD51&gt;0,INDEX(EB$7:EB$106,$AD51),1),IF($AE51&gt;0,INDEX(EB$7:EB$106,$AE51),1),IF($AF51&gt;0,INDEX(EB$7:EB$106,$AF51),1),IF($AG51&gt;0,INDEX(EB$7:EB$106,$AG51),1),IF($AH51&gt;0,INDEX(EB$7:EB$106,$AH51),1),IF($AI51&gt;0,INDEX(EB$7:EB$106,$AI51),1),IF($AJ51&gt;0,INDEX(EB$7:EB$106,$AJ51),1))))</ns0:f>
        <ns0:v>1</ns0:v>
      </ns0:c>
      <ns0:c r="ED51" t="n">
        <ns0:f>IF($A51="",1,IF(EC51=1,1,--AND(IF($AC51&gt;0,INDEX(EC$7:EC$106,$AC51),1),IF($AD51&gt;0,INDEX(EC$7:EC$106,$AD51),1),IF($AE51&gt;0,INDEX(EC$7:EC$106,$AE51),1),IF($AF51&gt;0,INDEX(EC$7:EC$106,$AF51),1),IF($AG51&gt;0,INDEX(EC$7:EC$106,$AG51),1),IF($AH51&gt;0,INDEX(EC$7:EC$106,$AH51),1),IF($AI51&gt;0,INDEX(EC$7:EC$106,$AI51),1),IF($AJ51&gt;0,INDEX(EC$7:EC$106,$AJ51),1))))</ns0:f>
        <ns0:v>1</ns0:v>
      </ns0:c>
      <ns0:c r="EE51" t="n">
        <ns0:f>IF($A51="",1,IF(ED51=1,1,--AND(IF($AC51&gt;0,INDEX(ED$7:ED$106,$AC51),1),IF($AD51&gt;0,INDEX(ED$7:ED$106,$AD51),1),IF($AE51&gt;0,INDEX(ED$7:ED$106,$AE51),1),IF($AF51&gt;0,INDEX(ED$7:ED$106,$AF51),1),IF($AG51&gt;0,INDEX(ED$7:ED$106,$AG51),1),IF($AH51&gt;0,INDEX(ED$7:ED$106,$AH51),1),IF($AI51&gt;0,INDEX(ED$7:ED$106,$AI51),1),IF($AJ51&gt;0,INDEX(ED$7:ED$106,$AJ51),1))))</ns0:f>
        <ns0:v>1</ns0:v>
      </ns0:c>
      <ns0:c r="EF51" t="n">
        <ns0:f>IF($A51="",1,IF(EE51=1,1,--AND(IF($AC51&gt;0,INDEX(EE$7:EE$106,$AC51),1),IF($AD51&gt;0,INDEX(EE$7:EE$106,$AD51),1),IF($AE51&gt;0,INDEX(EE$7:EE$106,$AE51),1),IF($AF51&gt;0,INDEX(EE$7:EE$106,$AF51),1),IF($AG51&gt;0,INDEX(EE$7:EE$106,$AG51),1),IF($AH51&gt;0,INDEX(EE$7:EE$106,$AH51),1),IF($AI51&gt;0,INDEX(EE$7:EE$106,$AI51),1),IF($AJ51&gt;0,INDEX(EE$7:EE$106,$AJ51),1))))</ns0:f>
        <ns0:v>1</ns0:v>
      </ns0:c>
      <ns0:c r="EG51" t="n">
        <ns0:f>IF($A51="",1,IF(EF51=1,1,--AND(IF($AC51&gt;0,INDEX(EF$7:EF$106,$AC51),1),IF($AD51&gt;0,INDEX(EF$7:EF$106,$AD51),1),IF($AE51&gt;0,INDEX(EF$7:EF$106,$AE51),1),IF($AF51&gt;0,INDEX(EF$7:EF$106,$AF51),1),IF($AG51&gt;0,INDEX(EF$7:EF$106,$AG51),1),IF($AH51&gt;0,INDEX(EF$7:EF$106,$AH51),1),IF($AI51&gt;0,INDEX(EF$7:EF$106,$AI51),1),IF($AJ51&gt;0,INDEX(EF$7:EF$106,$AJ51),1))))</ns0:f>
        <ns0:v>1</ns0:v>
      </ns0:c>
      <ns0:c r="EH51" t="n">
        <ns0:f>IF($A51="",1,IF(EG51=1,1,--AND(IF($AC51&gt;0,INDEX(EG$7:EG$106,$AC51),1),IF($AD51&gt;0,INDEX(EG$7:EG$106,$AD51),1),IF($AE51&gt;0,INDEX(EG$7:EG$106,$AE51),1),IF($AF51&gt;0,INDEX(EG$7:EG$106,$AF51),1),IF($AG51&gt;0,INDEX(EG$7:EG$106,$AG51),1),IF($AH51&gt;0,INDEX(EG$7:EG$106,$AH51),1),IF($AI51&gt;0,INDEX(EG$7:EG$106,$AI51),1),IF($AJ51&gt;0,INDEX(EG$7:EG$106,$AJ51),1))))</ns0:f>
        <ns0:v>1</ns0:v>
      </ns0:c>
      <ns0:c r="EI51" t="n">
        <ns0:f>IF($A51="",1,IF(EH51=1,1,--AND(IF($AC51&gt;0,INDEX(EH$7:EH$106,$AC51),1),IF($AD51&gt;0,INDEX(EH$7:EH$106,$AD51),1),IF($AE51&gt;0,INDEX(EH$7:EH$106,$AE51),1),IF($AF51&gt;0,INDEX(EH$7:EH$106,$AF51),1),IF($AG51&gt;0,INDEX(EH$7:EH$106,$AG51),1),IF($AH51&gt;0,INDEX(EH$7:EH$106,$AH51),1),IF($AI51&gt;0,INDEX(EH$7:EH$106,$AI51),1),IF($AJ51&gt;0,INDEX(EH$7:EH$106,$AJ51),1))))</ns0:f>
        <ns0:v>1</ns0:v>
      </ns0:c>
      <ns0:c r="EJ51" t="n">
        <ns0:f>IF($A51="",1,IF(EI51=1,1,--AND(IF($AC51&gt;0,INDEX(EI$7:EI$106,$AC51),1),IF($AD51&gt;0,INDEX(EI$7:EI$106,$AD51),1),IF($AE51&gt;0,INDEX(EI$7:EI$106,$AE51),1),IF($AF51&gt;0,INDEX(EI$7:EI$106,$AF51),1),IF($AG51&gt;0,INDEX(EI$7:EI$106,$AG51),1),IF($AH51&gt;0,INDEX(EI$7:EI$106,$AH51),1),IF($AI51&gt;0,INDEX(EI$7:EI$106,$AI51),1),IF($AJ51&gt;0,INDEX(EI$7:EI$106,$AJ51),1))))</ns0:f>
        <ns0:v>1</ns0:v>
      </ns0:c>
      <ns0:c r="EK51" t="n">
        <ns0:f>IF($A51="",1,IF(EJ51=1,1,--AND(IF($AC51&gt;0,INDEX(EJ$7:EJ$106,$AC51),1),IF($AD51&gt;0,INDEX(EJ$7:EJ$106,$AD51),1),IF($AE51&gt;0,INDEX(EJ$7:EJ$106,$AE51),1),IF($AF51&gt;0,INDEX(EJ$7:EJ$106,$AF51),1),IF($AG51&gt;0,INDEX(EJ$7:EJ$106,$AG51),1),IF($AH51&gt;0,INDEX(EJ$7:EJ$106,$AH51),1),IF($AI51&gt;0,INDEX(EJ$7:EJ$106,$AI51),1),IF($AJ51&gt;0,INDEX(EJ$7:EJ$106,$AJ51),1))))</ns0:f>
        <ns0:v>1</ns0:v>
      </ns0:c>
      <ns0:c r="EL51" t="n">
        <ns0:f>IF($A51="",1,IF(EK51=1,1,--AND(IF($AC51&gt;0,INDEX(EK$7:EK$106,$AC51),1),IF($AD51&gt;0,INDEX(EK$7:EK$106,$AD51),1),IF($AE51&gt;0,INDEX(EK$7:EK$106,$AE51),1),IF($AF51&gt;0,INDEX(EK$7:EK$106,$AF51),1),IF($AG51&gt;0,INDEX(EK$7:EK$106,$AG51),1),IF($AH51&gt;0,INDEX(EK$7:EK$106,$AH51),1),IF($AI51&gt;0,INDEX(EK$7:EK$106,$AI51),1),IF($AJ51&gt;0,INDEX(EK$7:EK$106,$AJ51),1))))</ns0:f>
        <ns0:v>1</ns0:v>
      </ns0:c>
      <ns0:c r="EM51" t="n">
        <ns0:f>IF($A51="",1,IF(EL51=1,1,--AND(IF($AC51&gt;0,INDEX(EL$7:EL$106,$AC51),1),IF($AD51&gt;0,INDEX(EL$7:EL$106,$AD51),1),IF($AE51&gt;0,INDEX(EL$7:EL$106,$AE51),1),IF($AF51&gt;0,INDEX(EL$7:EL$106,$AF51),1),IF($AG51&gt;0,INDEX(EL$7:EL$106,$AG51),1),IF($AH51&gt;0,INDEX(EL$7:EL$106,$AH51),1),IF($AI51&gt;0,INDEX(EL$7:EL$106,$AI51),1),IF($AJ51&gt;0,INDEX(EL$7:EL$106,$AJ51),1))))</ns0:f>
        <ns0:v>1</ns0:v>
      </ns0:c>
      <ns0:c r="EN51" t="n">
        <ns0:f>IF($A51="",1,IF(EM51=1,1,--AND(IF($AC51&gt;0,INDEX(EM$7:EM$106,$AC51),1),IF($AD51&gt;0,INDEX(EM$7:EM$106,$AD51),1),IF($AE51&gt;0,INDEX(EM$7:EM$106,$AE51),1),IF($AF51&gt;0,INDEX(EM$7:EM$106,$AF51),1),IF($AG51&gt;0,INDEX(EM$7:EM$106,$AG51),1),IF($AH51&gt;0,INDEX(EM$7:EM$106,$AH51),1),IF($AI51&gt;0,INDEX(EM$7:EM$106,$AI51),1),IF($AJ51&gt;0,INDEX(EM$7:EM$106,$AJ51),1))))</ns0:f>
        <ns0:v>1</ns0:v>
      </ns0:c>
      <ns0:c r="EO51" t="n">
        <ns0:f>IF($A51="",1,IF(EN51=1,1,--AND(IF($AC51&gt;0,INDEX(EN$7:EN$106,$AC51),1),IF($AD51&gt;0,INDEX(EN$7:EN$106,$AD51),1),IF($AE51&gt;0,INDEX(EN$7:EN$106,$AE51),1),IF($AF51&gt;0,INDEX(EN$7:EN$106,$AF51),1),IF($AG51&gt;0,INDEX(EN$7:EN$106,$AG51),1),IF($AH51&gt;0,INDEX(EN$7:EN$106,$AH51),1),IF($AI51&gt;0,INDEX(EN$7:EN$106,$AI51),1),IF($AJ51&gt;0,INDEX(EN$7:EN$106,$AJ51),1))))</ns0:f>
        <ns0:v>1</ns0:v>
      </ns0:c>
      <ns0:c r="EP51" t="n">
        <ns0:f>IF($A51="",1,IF(EO51=1,1,--AND(IF($AC51&gt;0,INDEX(EO$7:EO$106,$AC51),1),IF($AD51&gt;0,INDEX(EO$7:EO$106,$AD51),1),IF($AE51&gt;0,INDEX(EO$7:EO$106,$AE51),1),IF($AF51&gt;0,INDEX(EO$7:EO$106,$AF51),1),IF($AG51&gt;0,INDEX(EO$7:EO$106,$AG51),1),IF($AH51&gt;0,INDEX(EO$7:EO$106,$AH51),1),IF($AI51&gt;0,INDEX(EO$7:EO$106,$AI51),1),IF($AJ51&gt;0,INDEX(EO$7:EO$106,$AJ51),1))))</ns0:f>
        <ns0:v>1</ns0:v>
      </ns0:c>
      <ns0:c r="EQ51" t="n">
        <ns0:f>IF(OR(A51="",NOT(ISNUMBER(G51))),0,G51*N51)</ns0:f>
        <ns0:v>0</ns0:v>
      </ns0:c>
    </ns0:row>
    <ns0:row r="52" ht="62" customHeight="1">
      <ns0:c r="A52" s="48"/>
      <ns0:c r="B52" s="48"/>
      <ns0:c r="C52" s="48"/>
      <ns0:c r="D52" s="48"/>
      <ns0:c r="E52" s="49"/>
      <ns0:c r="F52" s="49"/>
      <ns0:c r="G52" s="13" t="str">
        <ns0:f>IF(A52="","",IF(OR(NOT(ISNUMBER(E52)),NOT(ISNUMBER(F52)),F52&lt;E52),"",IF(J52="Yes",0,F52-E52+1)))</ns0:f>
      </ns0:c>
      <ns0:c r="H52" s="48"/>
      <ns0:c r="I52" s="48"/>
      <ns0:c r="J52" s="48"/>
      <ns0:c r="K52" s="48"/>
      <ns0:c r="L52" s="48"/>
      <ns0:c r="M52" s="50" t="str">
        <ns0:f>IF(A52="","",IF(N52=1,"Completed",IF(N52&gt;0,"In Progress","Not Started")))</ns0:f>
      </ns0:c>
      <ns0:c r="N52" s="51"/>
      <ns0:c r="O52" s="13" t="str">
        <ns0:f>IF(A52="","",IF(R52&lt;&gt;"","[CONFLICT] "&amp;R52,IF(S52&lt;&gt;"","[CONFLICT] "&amp;S52,IF(OR(NOT(ISNUMBER(N52)),N52&lt;0,N52&gt;1),"[CONFLICT] Invalid progress",IF(AK52&gt;0,"[DEPENDENCY ISSUE] Missing ID / &gt;8 links",IF(AM52&gt;0,"[DEPENDENCY ISSUE] Cycle or blocked by cycle",IF(AND(H52&lt;&gt;"",ISNA(MATCH(I52,{"FS","SS","FF","SF"},0))),"[DEPENDENCY ISSUE] Invalid type",IF(AL52&gt;0,"[DEPENDENCY ISSUE] Timing conflict",IF(OR(E52&lt;ProjectStart,F52&gt;ProjectEnd),"[OUTSIDE WINDOW]",IF(AND(N52&lt;1,F52&lt;AsOfDate),"Overdue",IF(AND(M52&lt;&gt;Q52,M52&lt;&gt;""),"[CONFLICT] Status / progress","On track")))))))))))</ns0:f>
      </ns0:c>
      <ns0:c r="P52" s="52"/>
      <ns0:c r="Q52" t="str">
        <ns0:f>IF(A52="","",IF(OR(M52="On Hold",M52="Delayed"),M52,IF(N52=1,"Completed",IF(N52&gt;0,"In Progress","Not Started"))))</ns0:f>
      </ns0:c>
      <ns0:c r="R52" t="str">
        <ns0:f>IF(A52="","",IF(COUNTIFS(Tasks[Task ID],A52)&lt;&gt;1,"Duplicate ID",""))</ns0:f>
      </ns0:c>
      <ns0:c r="S52" t="str">
        <ns0:f>IF(A52="","",IF(OR(NOT(ISNUMBER(E52)),NOT(ISNUMBER(F52))),"Invalid / missing date",IF(OR(E52&lt;&gt;INT(E52),F52&lt;&gt;INT(F52),E52&lt;1,F52&gt;2958465),"Invalid date",IF(F52&lt;E52,"End before start",IF(AND(J52="Yes",E52&lt;&gt;F52),"Milestone needs one date","")))))</ns0:f>
      </ns0:c>
      <ns0:c r="T52" t="n">
        <ns0:f>IF(H52="",0,LEN(H52)-LEN(SUBSTITUTE(H52,",",""))+1)</ns0:f>
        <ns0:v>0</ns0:v>
      </ns0:c>
      <ns0:c r="U52" t="str">
        <ns0:f>TRIM(MID(SUBSTITUTE($H52,",",REPT(" ",100)),1,100))</ns0:f>
      </ns0:c>
      <ns0:c r="V52" t="str">
        <ns0:f>TRIM(MID(SUBSTITUTE($H52,",",REPT(" ",100)),101,100))</ns0:f>
      </ns0:c>
      <ns0:c r="W52" t="str">
        <ns0:f>TRIM(MID(SUBSTITUTE($H52,",",REPT(" ",100)),201,100))</ns0:f>
      </ns0:c>
      <ns0:c r="X52" t="str">
        <ns0:f>TRIM(MID(SUBSTITUTE($H52,",",REPT(" ",100)),301,100))</ns0:f>
      </ns0:c>
      <ns0:c r="Y52" t="str">
        <ns0:f>TRIM(MID(SUBSTITUTE($H52,",",REPT(" ",100)),401,100))</ns0:f>
      </ns0:c>
      <ns0:c r="Z52" t="str">
        <ns0:f>TRIM(MID(SUBSTITUTE($H52,",",REPT(" ",100)),501,100))</ns0:f>
      </ns0:c>
      <ns0:c r="AA52" t="str">
        <ns0:f>TRIM(MID(SUBSTITUTE($H52,",",REPT(" ",100)),601,100))</ns0:f>
      </ns0:c>
      <ns0:c r="AB52" t="str">
        <ns0:f>TRIM(MID(SUBSTITUTE($H52,",",REPT(" ",100)),701,100))</ns0:f>
      </ns0:c>
      <ns0:c r="AC52" t="n">
        <ns0:f>IF(U52="",0,IF(COUNTIFS(Tasks[Task ID],U52)=1,MATCH(U52,Tasks[Task ID],0),-1))</ns0:f>
        <ns0:v>0</ns0:v>
      </ns0:c>
      <ns0:c r="AD52" t="n">
        <ns0:f>IF(V52="",0,IF(COUNTIFS(Tasks[Task ID],V52)=1,MATCH(V52,Tasks[Task ID],0),-1))</ns0:f>
        <ns0:v>0</ns0:v>
      </ns0:c>
      <ns0:c r="AE52" t="n">
        <ns0:f>IF(W52="",0,IF(COUNTIFS(Tasks[Task ID],W52)=1,MATCH(W52,Tasks[Task ID],0),-1))</ns0:f>
        <ns0:v>0</ns0:v>
      </ns0:c>
      <ns0:c r="AF52" t="n">
        <ns0:f>IF(X52="",0,IF(COUNTIFS(Tasks[Task ID],X52)=1,MATCH(X52,Tasks[Task ID],0),-1))</ns0:f>
        <ns0:v>0</ns0:v>
      </ns0:c>
      <ns0:c r="AG52" t="n">
        <ns0:f>IF(Y52="",0,IF(COUNTIFS(Tasks[Task ID],Y52)=1,MATCH(Y52,Tasks[Task ID],0),-1))</ns0:f>
        <ns0:v>0</ns0:v>
      </ns0:c>
      <ns0:c r="AH52" t="n">
        <ns0:f>IF(Z52="",0,IF(COUNTIFS(Tasks[Task ID],Z52)=1,MATCH(Z52,Tasks[Task ID],0),-1))</ns0:f>
        <ns0:v>0</ns0:v>
      </ns0:c>
      <ns0:c r="AI52" t="n">
        <ns0:f>IF(AA52="",0,IF(COUNTIFS(Tasks[Task ID],AA52)=1,MATCH(AA52,Tasks[Task ID],0),-1))</ns0:f>
        <ns0:v>0</ns0:v>
      </ns0:c>
      <ns0:c r="AJ52" t="n">
        <ns0:f>IF(AB52="",0,IF(COUNTIFS(Tasks[Task ID],AB52)=1,MATCH(AB52,Tasks[Task ID],0),-1))</ns0:f>
        <ns0:v>0</ns0:v>
      </ns0:c>
      <ns0:c r="AK52" t="n">
        <ns0:f>COUNTIFS(AC52:AJ52,-1)+IF(T52&gt;8,1,0)</ns0:f>
        <ns0:v>0</ns0:v>
      </ns0:c>
      <ns0:c r="AL52" t="n">
        <ns0:f>IF(OR(A52="",S52&lt;&gt;""),0,SUM(IF(AC52&gt;0,IF($I52="FS",--($E52&lt;INDEX(Tasks[End Date],AC52)+IF(INDEX(Tasks[Milestone],AC52)="Yes",0,1)),IF($I52="SS",--($E52&lt;INDEX(Tasks[Start Date],AC52)),IF($I52="FF",--($F52&lt;INDEX(Tasks[End Date],AC52)),IF($I52="SF",--($F52&lt;INDEX(Tasks[Start Date],AC52)),0)))),0),IF(AD52&gt;0,IF($I52="FS",--($E52&lt;INDEX(Tasks[End Date],AD52)+IF(INDEX(Tasks[Milestone],AD52)="Yes",0,1)),IF($I52="SS",--($E52&lt;INDEX(Tasks[Start Date],AD52)),IF($I52="FF",--($F52&lt;INDEX(Tasks[End Date],AD52)),IF($I52="SF",--($F52&lt;INDEX(Tasks[Start Date],AD52)),0)))),0),IF(AE52&gt;0,IF($I52="FS",--($E52&lt;INDEX(Tasks[End Date],AE52)+IF(INDEX(Tasks[Milestone],AE52)="Yes",0,1)),IF($I52="SS",--($E52&lt;INDEX(Tasks[Start Date],AE52)),IF($I52="FF",--($F52&lt;INDEX(Tasks[End Date],AE52)),IF($I52="SF",--($F52&lt;INDEX(Tasks[Start Date],AE52)),0)))),0),IF(AF52&gt;0,IF($I52="FS",--($E52&lt;INDEX(Tasks[End Date],AF52)+IF(INDEX(Tasks[Milestone],AF52)="Yes",0,1)),IF($I52="SS",--($E52&lt;INDEX(Tasks[Start Date],AF52)),IF($I52="FF",--($F52&lt;INDEX(Tasks[End Date],AF52)),IF($I52="SF",--($F52&lt;INDEX(Tasks[Start Date],AF52)),0)))),0),IF(AG52&gt;0,IF($I52="FS",--($E52&lt;INDEX(Tasks[End Date],AG52)+IF(INDEX(Tasks[Milestone],AG52)="Yes",0,1)),IF($I52="SS",--($E52&lt;INDEX(Tasks[Start Date],AG52)),IF($I52="FF",--($F52&lt;INDEX(Tasks[End Date],AG52)),IF($I52="SF",--($F52&lt;INDEX(Tasks[Start Date],AG52)),0)))),0),IF(AH52&gt;0,IF($I52="FS",--($E52&lt;INDEX(Tasks[End Date],AH52)+IF(INDEX(Tasks[Milestone],AH52)="Yes",0,1)),IF($I52="SS",--($E52&lt;INDEX(Tasks[Start Date],AH52)),IF($I52="FF",--($F52&lt;INDEX(Tasks[End Date],AH52)),IF($I52="SF",--($F52&lt;INDEX(Tasks[Start Date],AH52)),0)))),0),IF(AI52&gt;0,IF($I52="FS",--($E52&lt;INDEX(Tasks[End Date],AI52)+IF(INDEX(Tasks[Milestone],AI52)="Yes",0,1)),IF($I52="SS",--($E52&lt;INDEX(Tasks[Start Date],AI52)),IF($I52="FF",--($F52&lt;INDEX(Tasks[End Date],AI52)),IF($I52="SF",--($F52&lt;INDEX(Tasks[Start Date],AI52)),0)))),0),IF(AJ52&gt;0,IF($I52="FS",--($E52&lt;INDEX(Tasks[End Date],AJ52)+IF(INDEX(Tasks[Milestone],AJ52)="Yes",0,1)),IF($I52="SS",--($E52&lt;INDEX(Tasks[Start Date],AJ52)),IF($I52="FF",--($F52&lt;INDEX(Tasks[End Date],AJ52)),IF($I52="SF",--($F52&lt;INDEX(Tasks[Start Date],AJ52)),0)))),0)))</ns0:f>
        <ns0:v>0</ns0:v>
      </ns0:c>
      <ns0:c r="AM52" t="n">
        <ns0:f>IF(AND(A52&lt;&gt;"",AK52=0,EP52=0),1,0)</ns0:f>
        <ns0:v>0</ns0:v>
      </ns0:c>
      <ns0:c r="AN52" t="str">
        <ns0:f>IF(OR(A52="",B52=""),"",IF(COUNTIFS($B$7:B52,B52)=1,MAX($AN$6:AN51)+1,""))</ns0:f>
      </ns0:c>
      <ns0:c r="AO52" t="n">
        <ns0:f>IF(AND(A52&lt;&gt;"",J52="No",N52&lt;1,E52&gt;=AsOfDate),E52+ROW()/10000,1E+9)</ns0:f>
        <ns0:v>1000000000</ns0:v>
      </ns0:c>
      <ns0:c r="AP52" t="n">
        <ns0:f>IF(AND(A52&lt;&gt;"",J52="Yes",N52&lt;1,E52&gt;=AsOfDate),E52+ROW()/10000,1E+9)</ns0:f>
        <ns0:v>1000000000</ns0:v>
      </ns0:c>
      <ns0:c r="AQ52" t="n">
        <ns0:f>IF(AND(A52&lt;&gt;"",J52="No",N52&lt;1,F52&gt;=AsOfDate,F52&lt;=AsOfDate+7),F52+ROW()/10000,1E+9)</ns0:f>
        <ns0:v>1000000000</ns0:v>
      </ns0:c>
      <ns0:c r="AR52" t="n">
        <ns0:f>IF(AND(A52&lt;&gt;"",OR(O52&lt;&gt;"On track",Q52="Delayed")),ROW(),1E+9)</ns0:f>
        <ns0:v>1000000000</ns0:v>
      </ns0:c>
      <ns0:c r="AS52" t="str">
        <ns0:f>IF(A52="","",";"&amp;K52&amp;";")</ns0:f>
      </ns0:c>
      <ns0:c r="AT52" t="n">
        <ns0:f>IF(A52="",1,--(T52=0))</ns0:f>
        <ns0:v>1</ns0:v>
      </ns0:c>
      <ns0:c r="AU52" t="n">
        <ns0:f>IF($A52="",1,IF(AT52=1,1,--AND(IF($AC52&gt;0,INDEX(AT$7:AT$106,$AC52),1),IF($AD52&gt;0,INDEX(AT$7:AT$106,$AD52),1),IF($AE52&gt;0,INDEX(AT$7:AT$106,$AE52),1),IF($AF52&gt;0,INDEX(AT$7:AT$106,$AF52),1),IF($AG52&gt;0,INDEX(AT$7:AT$106,$AG52),1),IF($AH52&gt;0,INDEX(AT$7:AT$106,$AH52),1),IF($AI52&gt;0,INDEX(AT$7:AT$106,$AI52),1),IF($AJ52&gt;0,INDEX(AT$7:AT$106,$AJ52),1))))</ns0:f>
        <ns0:v>1</ns0:v>
      </ns0:c>
      <ns0:c r="AV52" t="n">
        <ns0:f>IF($A52="",1,IF(AU52=1,1,--AND(IF($AC52&gt;0,INDEX(AU$7:AU$106,$AC52),1),IF($AD52&gt;0,INDEX(AU$7:AU$106,$AD52),1),IF($AE52&gt;0,INDEX(AU$7:AU$106,$AE52),1),IF($AF52&gt;0,INDEX(AU$7:AU$106,$AF52),1),IF($AG52&gt;0,INDEX(AU$7:AU$106,$AG52),1),IF($AH52&gt;0,INDEX(AU$7:AU$106,$AH52),1),IF($AI52&gt;0,INDEX(AU$7:AU$106,$AI52),1),IF($AJ52&gt;0,INDEX(AU$7:AU$106,$AJ52),1))))</ns0:f>
        <ns0:v>1</ns0:v>
      </ns0:c>
      <ns0:c r="AW52" t="n">
        <ns0:f>IF($A52="",1,IF(AV52=1,1,--AND(IF($AC52&gt;0,INDEX(AV$7:AV$106,$AC52),1),IF($AD52&gt;0,INDEX(AV$7:AV$106,$AD52),1),IF($AE52&gt;0,INDEX(AV$7:AV$106,$AE52),1),IF($AF52&gt;0,INDEX(AV$7:AV$106,$AF52),1),IF($AG52&gt;0,INDEX(AV$7:AV$106,$AG52),1),IF($AH52&gt;0,INDEX(AV$7:AV$106,$AH52),1),IF($AI52&gt;0,INDEX(AV$7:AV$106,$AI52),1),IF($AJ52&gt;0,INDEX(AV$7:AV$106,$AJ52),1))))</ns0:f>
        <ns0:v>1</ns0:v>
      </ns0:c>
      <ns0:c r="AX52" t="n">
        <ns0:f>IF($A52="",1,IF(AW52=1,1,--AND(IF($AC52&gt;0,INDEX(AW$7:AW$106,$AC52),1),IF($AD52&gt;0,INDEX(AW$7:AW$106,$AD52),1),IF($AE52&gt;0,INDEX(AW$7:AW$106,$AE52),1),IF($AF52&gt;0,INDEX(AW$7:AW$106,$AF52),1),IF($AG52&gt;0,INDEX(AW$7:AW$106,$AG52),1),IF($AH52&gt;0,INDEX(AW$7:AW$106,$AH52),1),IF($AI52&gt;0,INDEX(AW$7:AW$106,$AI52),1),IF($AJ52&gt;0,INDEX(AW$7:AW$106,$AJ52),1))))</ns0:f>
        <ns0:v>1</ns0:v>
      </ns0:c>
      <ns0:c r="AY52" t="n">
        <ns0:f>IF($A52="",1,IF(AX52=1,1,--AND(IF($AC52&gt;0,INDEX(AX$7:AX$106,$AC52),1),IF($AD52&gt;0,INDEX(AX$7:AX$106,$AD52),1),IF($AE52&gt;0,INDEX(AX$7:AX$106,$AE52),1),IF($AF52&gt;0,INDEX(AX$7:AX$106,$AF52),1),IF($AG52&gt;0,INDEX(AX$7:AX$106,$AG52),1),IF($AH52&gt;0,INDEX(AX$7:AX$106,$AH52),1),IF($AI52&gt;0,INDEX(AX$7:AX$106,$AI52),1),IF($AJ52&gt;0,INDEX(AX$7:AX$106,$AJ52),1))))</ns0:f>
        <ns0:v>1</ns0:v>
      </ns0:c>
      <ns0:c r="AZ52" t="n">
        <ns0:f>IF($A52="",1,IF(AY52=1,1,--AND(IF($AC52&gt;0,INDEX(AY$7:AY$106,$AC52),1),IF($AD52&gt;0,INDEX(AY$7:AY$106,$AD52),1),IF($AE52&gt;0,INDEX(AY$7:AY$106,$AE52),1),IF($AF52&gt;0,INDEX(AY$7:AY$106,$AF52),1),IF($AG52&gt;0,INDEX(AY$7:AY$106,$AG52),1),IF($AH52&gt;0,INDEX(AY$7:AY$106,$AH52),1),IF($AI52&gt;0,INDEX(AY$7:AY$106,$AI52),1),IF($AJ52&gt;0,INDEX(AY$7:AY$106,$AJ52),1))))</ns0:f>
        <ns0:v>1</ns0:v>
      </ns0:c>
      <ns0:c r="BA52" t="n">
        <ns0:f>IF($A52="",1,IF(AZ52=1,1,--AND(IF($AC52&gt;0,INDEX(AZ$7:AZ$106,$AC52),1),IF($AD52&gt;0,INDEX(AZ$7:AZ$106,$AD52),1),IF($AE52&gt;0,INDEX(AZ$7:AZ$106,$AE52),1),IF($AF52&gt;0,INDEX(AZ$7:AZ$106,$AF52),1),IF($AG52&gt;0,INDEX(AZ$7:AZ$106,$AG52),1),IF($AH52&gt;0,INDEX(AZ$7:AZ$106,$AH52),1),IF($AI52&gt;0,INDEX(AZ$7:AZ$106,$AI52),1),IF($AJ52&gt;0,INDEX(AZ$7:AZ$106,$AJ52),1))))</ns0:f>
        <ns0:v>1</ns0:v>
      </ns0:c>
      <ns0:c r="BB52" t="n">
        <ns0:f>IF($A52="",1,IF(BA52=1,1,--AND(IF($AC52&gt;0,INDEX(BA$7:BA$106,$AC52),1),IF($AD52&gt;0,INDEX(BA$7:BA$106,$AD52),1),IF($AE52&gt;0,INDEX(BA$7:BA$106,$AE52),1),IF($AF52&gt;0,INDEX(BA$7:BA$106,$AF52),1),IF($AG52&gt;0,INDEX(BA$7:BA$106,$AG52),1),IF($AH52&gt;0,INDEX(BA$7:BA$106,$AH52),1),IF($AI52&gt;0,INDEX(BA$7:BA$106,$AI52),1),IF($AJ52&gt;0,INDEX(BA$7:BA$106,$AJ52),1))))</ns0:f>
        <ns0:v>1</ns0:v>
      </ns0:c>
      <ns0:c r="BC52" t="n">
        <ns0:f>IF($A52="",1,IF(BB52=1,1,--AND(IF($AC52&gt;0,INDEX(BB$7:BB$106,$AC52),1),IF($AD52&gt;0,INDEX(BB$7:BB$106,$AD52),1),IF($AE52&gt;0,INDEX(BB$7:BB$106,$AE52),1),IF($AF52&gt;0,INDEX(BB$7:BB$106,$AF52),1),IF($AG52&gt;0,INDEX(BB$7:BB$106,$AG52),1),IF($AH52&gt;0,INDEX(BB$7:BB$106,$AH52),1),IF($AI52&gt;0,INDEX(BB$7:BB$106,$AI52),1),IF($AJ52&gt;0,INDEX(BB$7:BB$106,$AJ52),1))))</ns0:f>
        <ns0:v>1</ns0:v>
      </ns0:c>
      <ns0:c r="BD52" t="n">
        <ns0:f>IF($A52="",1,IF(BC52=1,1,--AND(IF($AC52&gt;0,INDEX(BC$7:BC$106,$AC52),1),IF($AD52&gt;0,INDEX(BC$7:BC$106,$AD52),1),IF($AE52&gt;0,INDEX(BC$7:BC$106,$AE52),1),IF($AF52&gt;0,INDEX(BC$7:BC$106,$AF52),1),IF($AG52&gt;0,INDEX(BC$7:BC$106,$AG52),1),IF($AH52&gt;0,INDEX(BC$7:BC$106,$AH52),1),IF($AI52&gt;0,INDEX(BC$7:BC$106,$AI52),1),IF($AJ52&gt;0,INDEX(BC$7:BC$106,$AJ52),1))))</ns0:f>
        <ns0:v>1</ns0:v>
      </ns0:c>
      <ns0:c r="BE52" t="n">
        <ns0:f>IF($A52="",1,IF(BD52=1,1,--AND(IF($AC52&gt;0,INDEX(BD$7:BD$106,$AC52),1),IF($AD52&gt;0,INDEX(BD$7:BD$106,$AD52),1),IF($AE52&gt;0,INDEX(BD$7:BD$106,$AE52),1),IF($AF52&gt;0,INDEX(BD$7:BD$106,$AF52),1),IF($AG52&gt;0,INDEX(BD$7:BD$106,$AG52),1),IF($AH52&gt;0,INDEX(BD$7:BD$106,$AH52),1),IF($AI52&gt;0,INDEX(BD$7:BD$106,$AI52),1),IF($AJ52&gt;0,INDEX(BD$7:BD$106,$AJ52),1))))</ns0:f>
        <ns0:v>1</ns0:v>
      </ns0:c>
      <ns0:c r="BF52" t="n">
        <ns0:f>IF($A52="",1,IF(BE52=1,1,--AND(IF($AC52&gt;0,INDEX(BE$7:BE$106,$AC52),1),IF($AD52&gt;0,INDEX(BE$7:BE$106,$AD52),1),IF($AE52&gt;0,INDEX(BE$7:BE$106,$AE52),1),IF($AF52&gt;0,INDEX(BE$7:BE$106,$AF52),1),IF($AG52&gt;0,INDEX(BE$7:BE$106,$AG52),1),IF($AH52&gt;0,INDEX(BE$7:BE$106,$AH52),1),IF($AI52&gt;0,INDEX(BE$7:BE$106,$AI52),1),IF($AJ52&gt;0,INDEX(BE$7:BE$106,$AJ52),1))))</ns0:f>
        <ns0:v>1</ns0:v>
      </ns0:c>
      <ns0:c r="BG52" t="n">
        <ns0:f>IF($A52="",1,IF(BF52=1,1,--AND(IF($AC52&gt;0,INDEX(BF$7:BF$106,$AC52),1),IF($AD52&gt;0,INDEX(BF$7:BF$106,$AD52),1),IF($AE52&gt;0,INDEX(BF$7:BF$106,$AE52),1),IF($AF52&gt;0,INDEX(BF$7:BF$106,$AF52),1),IF($AG52&gt;0,INDEX(BF$7:BF$106,$AG52),1),IF($AH52&gt;0,INDEX(BF$7:BF$106,$AH52),1),IF($AI52&gt;0,INDEX(BF$7:BF$106,$AI52),1),IF($AJ52&gt;0,INDEX(BF$7:BF$106,$AJ52),1))))</ns0:f>
        <ns0:v>1</ns0:v>
      </ns0:c>
      <ns0:c r="BH52" t="n">
        <ns0:f>IF($A52="",1,IF(BG52=1,1,--AND(IF($AC52&gt;0,INDEX(BG$7:BG$106,$AC52),1),IF($AD52&gt;0,INDEX(BG$7:BG$106,$AD52),1),IF($AE52&gt;0,INDEX(BG$7:BG$106,$AE52),1),IF($AF52&gt;0,INDEX(BG$7:BG$106,$AF52),1),IF($AG52&gt;0,INDEX(BG$7:BG$106,$AG52),1),IF($AH52&gt;0,INDEX(BG$7:BG$106,$AH52),1),IF($AI52&gt;0,INDEX(BG$7:BG$106,$AI52),1),IF($AJ52&gt;0,INDEX(BG$7:BG$106,$AJ52),1))))</ns0:f>
        <ns0:v>1</ns0:v>
      </ns0:c>
      <ns0:c r="BI52" t="n">
        <ns0:f>IF($A52="",1,IF(BH52=1,1,--AND(IF($AC52&gt;0,INDEX(BH$7:BH$106,$AC52),1),IF($AD52&gt;0,INDEX(BH$7:BH$106,$AD52),1),IF($AE52&gt;0,INDEX(BH$7:BH$106,$AE52),1),IF($AF52&gt;0,INDEX(BH$7:BH$106,$AF52),1),IF($AG52&gt;0,INDEX(BH$7:BH$106,$AG52),1),IF($AH52&gt;0,INDEX(BH$7:BH$106,$AH52),1),IF($AI52&gt;0,INDEX(BH$7:BH$106,$AI52),1),IF($AJ52&gt;0,INDEX(BH$7:BH$106,$AJ52),1))))</ns0:f>
        <ns0:v>1</ns0:v>
      </ns0:c>
      <ns0:c r="BJ52" t="n">
        <ns0:f>IF($A52="",1,IF(BI52=1,1,--AND(IF($AC52&gt;0,INDEX(BI$7:BI$106,$AC52),1),IF($AD52&gt;0,INDEX(BI$7:BI$106,$AD52),1),IF($AE52&gt;0,INDEX(BI$7:BI$106,$AE52),1),IF($AF52&gt;0,INDEX(BI$7:BI$106,$AF52),1),IF($AG52&gt;0,INDEX(BI$7:BI$106,$AG52),1),IF($AH52&gt;0,INDEX(BI$7:BI$106,$AH52),1),IF($AI52&gt;0,INDEX(BI$7:BI$106,$AI52),1),IF($AJ52&gt;0,INDEX(BI$7:BI$106,$AJ52),1))))</ns0:f>
        <ns0:v>1</ns0:v>
      </ns0:c>
      <ns0:c r="BK52" t="n">
        <ns0:f>IF($A52="",1,IF(BJ52=1,1,--AND(IF($AC52&gt;0,INDEX(BJ$7:BJ$106,$AC52),1),IF($AD52&gt;0,INDEX(BJ$7:BJ$106,$AD52),1),IF($AE52&gt;0,INDEX(BJ$7:BJ$106,$AE52),1),IF($AF52&gt;0,INDEX(BJ$7:BJ$106,$AF52),1),IF($AG52&gt;0,INDEX(BJ$7:BJ$106,$AG52),1),IF($AH52&gt;0,INDEX(BJ$7:BJ$106,$AH52),1),IF($AI52&gt;0,INDEX(BJ$7:BJ$106,$AI52),1),IF($AJ52&gt;0,INDEX(BJ$7:BJ$106,$AJ52),1))))</ns0:f>
        <ns0:v>1</ns0:v>
      </ns0:c>
      <ns0:c r="BL52" t="n">
        <ns0:f>IF($A52="",1,IF(BK52=1,1,--AND(IF($AC52&gt;0,INDEX(BK$7:BK$106,$AC52),1),IF($AD52&gt;0,INDEX(BK$7:BK$106,$AD52),1),IF($AE52&gt;0,INDEX(BK$7:BK$106,$AE52),1),IF($AF52&gt;0,INDEX(BK$7:BK$106,$AF52),1),IF($AG52&gt;0,INDEX(BK$7:BK$106,$AG52),1),IF($AH52&gt;0,INDEX(BK$7:BK$106,$AH52),1),IF($AI52&gt;0,INDEX(BK$7:BK$106,$AI52),1),IF($AJ52&gt;0,INDEX(BK$7:BK$106,$AJ52),1))))</ns0:f>
        <ns0:v>1</ns0:v>
      </ns0:c>
      <ns0:c r="BM52" t="n">
        <ns0:f>IF($A52="",1,IF(BL52=1,1,--AND(IF($AC52&gt;0,INDEX(BL$7:BL$106,$AC52),1),IF($AD52&gt;0,INDEX(BL$7:BL$106,$AD52),1),IF($AE52&gt;0,INDEX(BL$7:BL$106,$AE52),1),IF($AF52&gt;0,INDEX(BL$7:BL$106,$AF52),1),IF($AG52&gt;0,INDEX(BL$7:BL$106,$AG52),1),IF($AH52&gt;0,INDEX(BL$7:BL$106,$AH52),1),IF($AI52&gt;0,INDEX(BL$7:BL$106,$AI52),1),IF($AJ52&gt;0,INDEX(BL$7:BL$106,$AJ52),1))))</ns0:f>
        <ns0:v>1</ns0:v>
      </ns0:c>
      <ns0:c r="BN52" t="n">
        <ns0:f>IF($A52="",1,IF(BM52=1,1,--AND(IF($AC52&gt;0,INDEX(BM$7:BM$106,$AC52),1),IF($AD52&gt;0,INDEX(BM$7:BM$106,$AD52),1),IF($AE52&gt;0,INDEX(BM$7:BM$106,$AE52),1),IF($AF52&gt;0,INDEX(BM$7:BM$106,$AF52),1),IF($AG52&gt;0,INDEX(BM$7:BM$106,$AG52),1),IF($AH52&gt;0,INDEX(BM$7:BM$106,$AH52),1),IF($AI52&gt;0,INDEX(BM$7:BM$106,$AI52),1),IF($AJ52&gt;0,INDEX(BM$7:BM$106,$AJ52),1))))</ns0:f>
        <ns0:v>1</ns0:v>
      </ns0:c>
      <ns0:c r="BO52" t="n">
        <ns0:f>IF($A52="",1,IF(BN52=1,1,--AND(IF($AC52&gt;0,INDEX(BN$7:BN$106,$AC52),1),IF($AD52&gt;0,INDEX(BN$7:BN$106,$AD52),1),IF($AE52&gt;0,INDEX(BN$7:BN$106,$AE52),1),IF($AF52&gt;0,INDEX(BN$7:BN$106,$AF52),1),IF($AG52&gt;0,INDEX(BN$7:BN$106,$AG52),1),IF($AH52&gt;0,INDEX(BN$7:BN$106,$AH52),1),IF($AI52&gt;0,INDEX(BN$7:BN$106,$AI52),1),IF($AJ52&gt;0,INDEX(BN$7:BN$106,$AJ52),1))))</ns0:f>
        <ns0:v>1</ns0:v>
      </ns0:c>
      <ns0:c r="BP52" t="n">
        <ns0:f>IF($A52="",1,IF(BO52=1,1,--AND(IF($AC52&gt;0,INDEX(BO$7:BO$106,$AC52),1),IF($AD52&gt;0,INDEX(BO$7:BO$106,$AD52),1),IF($AE52&gt;0,INDEX(BO$7:BO$106,$AE52),1),IF($AF52&gt;0,INDEX(BO$7:BO$106,$AF52),1),IF($AG52&gt;0,INDEX(BO$7:BO$106,$AG52),1),IF($AH52&gt;0,INDEX(BO$7:BO$106,$AH52),1),IF($AI52&gt;0,INDEX(BO$7:BO$106,$AI52),1),IF($AJ52&gt;0,INDEX(BO$7:BO$106,$AJ52),1))))</ns0:f>
        <ns0:v>1</ns0:v>
      </ns0:c>
      <ns0:c r="BQ52" t="n">
        <ns0:f>IF($A52="",1,IF(BP52=1,1,--AND(IF($AC52&gt;0,INDEX(BP$7:BP$106,$AC52),1),IF($AD52&gt;0,INDEX(BP$7:BP$106,$AD52),1),IF($AE52&gt;0,INDEX(BP$7:BP$106,$AE52),1),IF($AF52&gt;0,INDEX(BP$7:BP$106,$AF52),1),IF($AG52&gt;0,INDEX(BP$7:BP$106,$AG52),1),IF($AH52&gt;0,INDEX(BP$7:BP$106,$AH52),1),IF($AI52&gt;0,INDEX(BP$7:BP$106,$AI52),1),IF($AJ52&gt;0,INDEX(BP$7:BP$106,$AJ52),1))))</ns0:f>
        <ns0:v>1</ns0:v>
      </ns0:c>
      <ns0:c r="BR52" t="n">
        <ns0:f>IF($A52="",1,IF(BQ52=1,1,--AND(IF($AC52&gt;0,INDEX(BQ$7:BQ$106,$AC52),1),IF($AD52&gt;0,INDEX(BQ$7:BQ$106,$AD52),1),IF($AE52&gt;0,INDEX(BQ$7:BQ$106,$AE52),1),IF($AF52&gt;0,INDEX(BQ$7:BQ$106,$AF52),1),IF($AG52&gt;0,INDEX(BQ$7:BQ$106,$AG52),1),IF($AH52&gt;0,INDEX(BQ$7:BQ$106,$AH52),1),IF($AI52&gt;0,INDEX(BQ$7:BQ$106,$AI52),1),IF($AJ52&gt;0,INDEX(BQ$7:BQ$106,$AJ52),1))))</ns0:f>
        <ns0:v>1</ns0:v>
      </ns0:c>
      <ns0:c r="BS52" t="n">
        <ns0:f>IF($A52="",1,IF(BR52=1,1,--AND(IF($AC52&gt;0,INDEX(BR$7:BR$106,$AC52),1),IF($AD52&gt;0,INDEX(BR$7:BR$106,$AD52),1),IF($AE52&gt;0,INDEX(BR$7:BR$106,$AE52),1),IF($AF52&gt;0,INDEX(BR$7:BR$106,$AF52),1),IF($AG52&gt;0,INDEX(BR$7:BR$106,$AG52),1),IF($AH52&gt;0,INDEX(BR$7:BR$106,$AH52),1),IF($AI52&gt;0,INDEX(BR$7:BR$106,$AI52),1),IF($AJ52&gt;0,INDEX(BR$7:BR$106,$AJ52),1))))</ns0:f>
        <ns0:v>1</ns0:v>
      </ns0:c>
      <ns0:c r="BT52" t="n">
        <ns0:f>IF($A52="",1,IF(BS52=1,1,--AND(IF($AC52&gt;0,INDEX(BS$7:BS$106,$AC52),1),IF($AD52&gt;0,INDEX(BS$7:BS$106,$AD52),1),IF($AE52&gt;0,INDEX(BS$7:BS$106,$AE52),1),IF($AF52&gt;0,INDEX(BS$7:BS$106,$AF52),1),IF($AG52&gt;0,INDEX(BS$7:BS$106,$AG52),1),IF($AH52&gt;0,INDEX(BS$7:BS$106,$AH52),1),IF($AI52&gt;0,INDEX(BS$7:BS$106,$AI52),1),IF($AJ52&gt;0,INDEX(BS$7:BS$106,$AJ52),1))))</ns0:f>
        <ns0:v>1</ns0:v>
      </ns0:c>
      <ns0:c r="BU52" t="n">
        <ns0:f>IF($A52="",1,IF(BT52=1,1,--AND(IF($AC52&gt;0,INDEX(BT$7:BT$106,$AC52),1),IF($AD52&gt;0,INDEX(BT$7:BT$106,$AD52),1),IF($AE52&gt;0,INDEX(BT$7:BT$106,$AE52),1),IF($AF52&gt;0,INDEX(BT$7:BT$106,$AF52),1),IF($AG52&gt;0,INDEX(BT$7:BT$106,$AG52),1),IF($AH52&gt;0,INDEX(BT$7:BT$106,$AH52),1),IF($AI52&gt;0,INDEX(BT$7:BT$106,$AI52),1),IF($AJ52&gt;0,INDEX(BT$7:BT$106,$AJ52),1))))</ns0:f>
        <ns0:v>1</ns0:v>
      </ns0:c>
      <ns0:c r="BV52" t="n">
        <ns0:f>IF($A52="",1,IF(BU52=1,1,--AND(IF($AC52&gt;0,INDEX(BU$7:BU$106,$AC52),1),IF($AD52&gt;0,INDEX(BU$7:BU$106,$AD52),1),IF($AE52&gt;0,INDEX(BU$7:BU$106,$AE52),1),IF($AF52&gt;0,INDEX(BU$7:BU$106,$AF52),1),IF($AG52&gt;0,INDEX(BU$7:BU$106,$AG52),1),IF($AH52&gt;0,INDEX(BU$7:BU$106,$AH52),1),IF($AI52&gt;0,INDEX(BU$7:BU$106,$AI52),1),IF($AJ52&gt;0,INDEX(BU$7:BU$106,$AJ52),1))))</ns0:f>
        <ns0:v>1</ns0:v>
      </ns0:c>
      <ns0:c r="BW52" t="n">
        <ns0:f>IF($A52="",1,IF(BV52=1,1,--AND(IF($AC52&gt;0,INDEX(BV$7:BV$106,$AC52),1),IF($AD52&gt;0,INDEX(BV$7:BV$106,$AD52),1),IF($AE52&gt;0,INDEX(BV$7:BV$106,$AE52),1),IF($AF52&gt;0,INDEX(BV$7:BV$106,$AF52),1),IF($AG52&gt;0,INDEX(BV$7:BV$106,$AG52),1),IF($AH52&gt;0,INDEX(BV$7:BV$106,$AH52),1),IF($AI52&gt;0,INDEX(BV$7:BV$106,$AI52),1),IF($AJ52&gt;0,INDEX(BV$7:BV$106,$AJ52),1))))</ns0:f>
        <ns0:v>1</ns0:v>
      </ns0:c>
      <ns0:c r="BX52" t="n">
        <ns0:f>IF($A52="",1,IF(BW52=1,1,--AND(IF($AC52&gt;0,INDEX(BW$7:BW$106,$AC52),1),IF($AD52&gt;0,INDEX(BW$7:BW$106,$AD52),1),IF($AE52&gt;0,INDEX(BW$7:BW$106,$AE52),1),IF($AF52&gt;0,INDEX(BW$7:BW$106,$AF52),1),IF($AG52&gt;0,INDEX(BW$7:BW$106,$AG52),1),IF($AH52&gt;0,INDEX(BW$7:BW$106,$AH52),1),IF($AI52&gt;0,INDEX(BW$7:BW$106,$AI52),1),IF($AJ52&gt;0,INDEX(BW$7:BW$106,$AJ52),1))))</ns0:f>
        <ns0:v>1</ns0:v>
      </ns0:c>
      <ns0:c r="BY52" t="n">
        <ns0:f>IF($A52="",1,IF(BX52=1,1,--AND(IF($AC52&gt;0,INDEX(BX$7:BX$106,$AC52),1),IF($AD52&gt;0,INDEX(BX$7:BX$106,$AD52),1),IF($AE52&gt;0,INDEX(BX$7:BX$106,$AE52),1),IF($AF52&gt;0,INDEX(BX$7:BX$106,$AF52),1),IF($AG52&gt;0,INDEX(BX$7:BX$106,$AG52),1),IF($AH52&gt;0,INDEX(BX$7:BX$106,$AH52),1),IF($AI52&gt;0,INDEX(BX$7:BX$106,$AI52),1),IF($AJ52&gt;0,INDEX(BX$7:BX$106,$AJ52),1))))</ns0:f>
        <ns0:v>1</ns0:v>
      </ns0:c>
      <ns0:c r="BZ52" t="n">
        <ns0:f>IF($A52="",1,IF(BY52=1,1,--AND(IF($AC52&gt;0,INDEX(BY$7:BY$106,$AC52),1),IF($AD52&gt;0,INDEX(BY$7:BY$106,$AD52),1),IF($AE52&gt;0,INDEX(BY$7:BY$106,$AE52),1),IF($AF52&gt;0,INDEX(BY$7:BY$106,$AF52),1),IF($AG52&gt;0,INDEX(BY$7:BY$106,$AG52),1),IF($AH52&gt;0,INDEX(BY$7:BY$106,$AH52),1),IF($AI52&gt;0,INDEX(BY$7:BY$106,$AI52),1),IF($AJ52&gt;0,INDEX(BY$7:BY$106,$AJ52),1))))</ns0:f>
        <ns0:v>1</ns0:v>
      </ns0:c>
      <ns0:c r="CA52" t="n">
        <ns0:f>IF($A52="",1,IF(BZ52=1,1,--AND(IF($AC52&gt;0,INDEX(BZ$7:BZ$106,$AC52),1),IF($AD52&gt;0,INDEX(BZ$7:BZ$106,$AD52),1),IF($AE52&gt;0,INDEX(BZ$7:BZ$106,$AE52),1),IF($AF52&gt;0,INDEX(BZ$7:BZ$106,$AF52),1),IF($AG52&gt;0,INDEX(BZ$7:BZ$106,$AG52),1),IF($AH52&gt;0,INDEX(BZ$7:BZ$106,$AH52),1),IF($AI52&gt;0,INDEX(BZ$7:BZ$106,$AI52),1),IF($AJ52&gt;0,INDEX(BZ$7:BZ$106,$AJ52),1))))</ns0:f>
        <ns0:v>1</ns0:v>
      </ns0:c>
      <ns0:c r="CB52" t="n">
        <ns0:f>IF($A52="",1,IF(CA52=1,1,--AND(IF($AC52&gt;0,INDEX(CA$7:CA$106,$AC52),1),IF($AD52&gt;0,INDEX(CA$7:CA$106,$AD52),1),IF($AE52&gt;0,INDEX(CA$7:CA$106,$AE52),1),IF($AF52&gt;0,INDEX(CA$7:CA$106,$AF52),1),IF($AG52&gt;0,INDEX(CA$7:CA$106,$AG52),1),IF($AH52&gt;0,INDEX(CA$7:CA$106,$AH52),1),IF($AI52&gt;0,INDEX(CA$7:CA$106,$AI52),1),IF($AJ52&gt;0,INDEX(CA$7:CA$106,$AJ52),1))))</ns0:f>
        <ns0:v>1</ns0:v>
      </ns0:c>
      <ns0:c r="CC52" t="n">
        <ns0:f>IF($A52="",1,IF(CB52=1,1,--AND(IF($AC52&gt;0,INDEX(CB$7:CB$106,$AC52),1),IF($AD52&gt;0,INDEX(CB$7:CB$106,$AD52),1),IF($AE52&gt;0,INDEX(CB$7:CB$106,$AE52),1),IF($AF52&gt;0,INDEX(CB$7:CB$106,$AF52),1),IF($AG52&gt;0,INDEX(CB$7:CB$106,$AG52),1),IF($AH52&gt;0,INDEX(CB$7:CB$106,$AH52),1),IF($AI52&gt;0,INDEX(CB$7:CB$106,$AI52),1),IF($AJ52&gt;0,INDEX(CB$7:CB$106,$AJ52),1))))</ns0:f>
        <ns0:v>1</ns0:v>
      </ns0:c>
      <ns0:c r="CD52" t="n">
        <ns0:f>IF($A52="",1,IF(CC52=1,1,--AND(IF($AC52&gt;0,INDEX(CC$7:CC$106,$AC52),1),IF($AD52&gt;0,INDEX(CC$7:CC$106,$AD52),1),IF($AE52&gt;0,INDEX(CC$7:CC$106,$AE52),1),IF($AF52&gt;0,INDEX(CC$7:CC$106,$AF52),1),IF($AG52&gt;0,INDEX(CC$7:CC$106,$AG52),1),IF($AH52&gt;0,INDEX(CC$7:CC$106,$AH52),1),IF($AI52&gt;0,INDEX(CC$7:CC$106,$AI52),1),IF($AJ52&gt;0,INDEX(CC$7:CC$106,$AJ52),1))))</ns0:f>
        <ns0:v>1</ns0:v>
      </ns0:c>
      <ns0:c r="CE52" t="n">
        <ns0:f>IF($A52="",1,IF(CD52=1,1,--AND(IF($AC52&gt;0,INDEX(CD$7:CD$106,$AC52),1),IF($AD52&gt;0,INDEX(CD$7:CD$106,$AD52),1),IF($AE52&gt;0,INDEX(CD$7:CD$106,$AE52),1),IF($AF52&gt;0,INDEX(CD$7:CD$106,$AF52),1),IF($AG52&gt;0,INDEX(CD$7:CD$106,$AG52),1),IF($AH52&gt;0,INDEX(CD$7:CD$106,$AH52),1),IF($AI52&gt;0,INDEX(CD$7:CD$106,$AI52),1),IF($AJ52&gt;0,INDEX(CD$7:CD$106,$AJ52),1))))</ns0:f>
        <ns0:v>1</ns0:v>
      </ns0:c>
      <ns0:c r="CF52" t="n">
        <ns0:f>IF($A52="",1,IF(CE52=1,1,--AND(IF($AC52&gt;0,INDEX(CE$7:CE$106,$AC52),1),IF($AD52&gt;0,INDEX(CE$7:CE$106,$AD52),1),IF($AE52&gt;0,INDEX(CE$7:CE$106,$AE52),1),IF($AF52&gt;0,INDEX(CE$7:CE$106,$AF52),1),IF($AG52&gt;0,INDEX(CE$7:CE$106,$AG52),1),IF($AH52&gt;0,INDEX(CE$7:CE$106,$AH52),1),IF($AI52&gt;0,INDEX(CE$7:CE$106,$AI52),1),IF($AJ52&gt;0,INDEX(CE$7:CE$106,$AJ52),1))))</ns0:f>
        <ns0:v>1</ns0:v>
      </ns0:c>
      <ns0:c r="CG52" t="n">
        <ns0:f>IF($A52="",1,IF(CF52=1,1,--AND(IF($AC52&gt;0,INDEX(CF$7:CF$106,$AC52),1),IF($AD52&gt;0,INDEX(CF$7:CF$106,$AD52),1),IF($AE52&gt;0,INDEX(CF$7:CF$106,$AE52),1),IF($AF52&gt;0,INDEX(CF$7:CF$106,$AF52),1),IF($AG52&gt;0,INDEX(CF$7:CF$106,$AG52),1),IF($AH52&gt;0,INDEX(CF$7:CF$106,$AH52),1),IF($AI52&gt;0,INDEX(CF$7:CF$106,$AI52),1),IF($AJ52&gt;0,INDEX(CF$7:CF$106,$AJ52),1))))</ns0:f>
        <ns0:v>1</ns0:v>
      </ns0:c>
      <ns0:c r="CH52" t="n">
        <ns0:f>IF($A52="",1,IF(CG52=1,1,--AND(IF($AC52&gt;0,INDEX(CG$7:CG$106,$AC52),1),IF($AD52&gt;0,INDEX(CG$7:CG$106,$AD52),1),IF($AE52&gt;0,INDEX(CG$7:CG$106,$AE52),1),IF($AF52&gt;0,INDEX(CG$7:CG$106,$AF52),1),IF($AG52&gt;0,INDEX(CG$7:CG$106,$AG52),1),IF($AH52&gt;0,INDEX(CG$7:CG$106,$AH52),1),IF($AI52&gt;0,INDEX(CG$7:CG$106,$AI52),1),IF($AJ52&gt;0,INDEX(CG$7:CG$106,$AJ52),1))))</ns0:f>
        <ns0:v>1</ns0:v>
      </ns0:c>
      <ns0:c r="CI52" t="n">
        <ns0:f>IF($A52="",1,IF(CH52=1,1,--AND(IF($AC52&gt;0,INDEX(CH$7:CH$106,$AC52),1),IF($AD52&gt;0,INDEX(CH$7:CH$106,$AD52),1),IF($AE52&gt;0,INDEX(CH$7:CH$106,$AE52),1),IF($AF52&gt;0,INDEX(CH$7:CH$106,$AF52),1),IF($AG52&gt;0,INDEX(CH$7:CH$106,$AG52),1),IF($AH52&gt;0,INDEX(CH$7:CH$106,$AH52),1),IF($AI52&gt;0,INDEX(CH$7:CH$106,$AI52),1),IF($AJ52&gt;0,INDEX(CH$7:CH$106,$AJ52),1))))</ns0:f>
        <ns0:v>1</ns0:v>
      </ns0:c>
      <ns0:c r="CJ52" t="n">
        <ns0:f>IF($A52="",1,IF(CI52=1,1,--AND(IF($AC52&gt;0,INDEX(CI$7:CI$106,$AC52),1),IF($AD52&gt;0,INDEX(CI$7:CI$106,$AD52),1),IF($AE52&gt;0,INDEX(CI$7:CI$106,$AE52),1),IF($AF52&gt;0,INDEX(CI$7:CI$106,$AF52),1),IF($AG52&gt;0,INDEX(CI$7:CI$106,$AG52),1),IF($AH52&gt;0,INDEX(CI$7:CI$106,$AH52),1),IF($AI52&gt;0,INDEX(CI$7:CI$106,$AI52),1),IF($AJ52&gt;0,INDEX(CI$7:CI$106,$AJ52),1))))</ns0:f>
        <ns0:v>1</ns0:v>
      </ns0:c>
      <ns0:c r="CK52" t="n">
        <ns0:f>IF($A52="",1,IF(CJ52=1,1,--AND(IF($AC52&gt;0,INDEX(CJ$7:CJ$106,$AC52),1),IF($AD52&gt;0,INDEX(CJ$7:CJ$106,$AD52),1),IF($AE52&gt;0,INDEX(CJ$7:CJ$106,$AE52),1),IF($AF52&gt;0,INDEX(CJ$7:CJ$106,$AF52),1),IF($AG52&gt;0,INDEX(CJ$7:CJ$106,$AG52),1),IF($AH52&gt;0,INDEX(CJ$7:CJ$106,$AH52),1),IF($AI52&gt;0,INDEX(CJ$7:CJ$106,$AI52),1),IF($AJ52&gt;0,INDEX(CJ$7:CJ$106,$AJ52),1))))</ns0:f>
        <ns0:v>1</ns0:v>
      </ns0:c>
      <ns0:c r="CL52" t="n">
        <ns0:f>IF($A52="",1,IF(CK52=1,1,--AND(IF($AC52&gt;0,INDEX(CK$7:CK$106,$AC52),1),IF($AD52&gt;0,INDEX(CK$7:CK$106,$AD52),1),IF($AE52&gt;0,INDEX(CK$7:CK$106,$AE52),1),IF($AF52&gt;0,INDEX(CK$7:CK$106,$AF52),1),IF($AG52&gt;0,INDEX(CK$7:CK$106,$AG52),1),IF($AH52&gt;0,INDEX(CK$7:CK$106,$AH52),1),IF($AI52&gt;0,INDEX(CK$7:CK$106,$AI52),1),IF($AJ52&gt;0,INDEX(CK$7:CK$106,$AJ52),1))))</ns0:f>
        <ns0:v>1</ns0:v>
      </ns0:c>
      <ns0:c r="CM52" t="n">
        <ns0:f>IF($A52="",1,IF(CL52=1,1,--AND(IF($AC52&gt;0,INDEX(CL$7:CL$106,$AC52),1),IF($AD52&gt;0,INDEX(CL$7:CL$106,$AD52),1),IF($AE52&gt;0,INDEX(CL$7:CL$106,$AE52),1),IF($AF52&gt;0,INDEX(CL$7:CL$106,$AF52),1),IF($AG52&gt;0,INDEX(CL$7:CL$106,$AG52),1),IF($AH52&gt;0,INDEX(CL$7:CL$106,$AH52),1),IF($AI52&gt;0,INDEX(CL$7:CL$106,$AI52),1),IF($AJ52&gt;0,INDEX(CL$7:CL$106,$AJ52),1))))</ns0:f>
        <ns0:v>1</ns0:v>
      </ns0:c>
      <ns0:c r="CN52" t="n">
        <ns0:f>IF($A52="",1,IF(CM52=1,1,--AND(IF($AC52&gt;0,INDEX(CM$7:CM$106,$AC52),1),IF($AD52&gt;0,INDEX(CM$7:CM$106,$AD52),1),IF($AE52&gt;0,INDEX(CM$7:CM$106,$AE52),1),IF($AF52&gt;0,INDEX(CM$7:CM$106,$AF52),1),IF($AG52&gt;0,INDEX(CM$7:CM$106,$AG52),1),IF($AH52&gt;0,INDEX(CM$7:CM$106,$AH52),1),IF($AI52&gt;0,INDEX(CM$7:CM$106,$AI52),1),IF($AJ52&gt;0,INDEX(CM$7:CM$106,$AJ52),1))))</ns0:f>
        <ns0:v>1</ns0:v>
      </ns0:c>
      <ns0:c r="CO52" t="n">
        <ns0:f>IF($A52="",1,IF(CN52=1,1,--AND(IF($AC52&gt;0,INDEX(CN$7:CN$106,$AC52),1),IF($AD52&gt;0,INDEX(CN$7:CN$106,$AD52),1),IF($AE52&gt;0,INDEX(CN$7:CN$106,$AE52),1),IF($AF52&gt;0,INDEX(CN$7:CN$106,$AF52),1),IF($AG52&gt;0,INDEX(CN$7:CN$106,$AG52),1),IF($AH52&gt;0,INDEX(CN$7:CN$106,$AH52),1),IF($AI52&gt;0,INDEX(CN$7:CN$106,$AI52),1),IF($AJ52&gt;0,INDEX(CN$7:CN$106,$AJ52),1))))</ns0:f>
        <ns0:v>1</ns0:v>
      </ns0:c>
      <ns0:c r="CP52" t="n">
        <ns0:f>IF($A52="",1,IF(CO52=1,1,--AND(IF($AC52&gt;0,INDEX(CO$7:CO$106,$AC52),1),IF($AD52&gt;0,INDEX(CO$7:CO$106,$AD52),1),IF($AE52&gt;0,INDEX(CO$7:CO$106,$AE52),1),IF($AF52&gt;0,INDEX(CO$7:CO$106,$AF52),1),IF($AG52&gt;0,INDEX(CO$7:CO$106,$AG52),1),IF($AH52&gt;0,INDEX(CO$7:CO$106,$AH52),1),IF($AI52&gt;0,INDEX(CO$7:CO$106,$AI52),1),IF($AJ52&gt;0,INDEX(CO$7:CO$106,$AJ52),1))))</ns0:f>
        <ns0:v>1</ns0:v>
      </ns0:c>
      <ns0:c r="CQ52" t="n">
        <ns0:f>IF($A52="",1,IF(CP52=1,1,--AND(IF($AC52&gt;0,INDEX(CP$7:CP$106,$AC52),1),IF($AD52&gt;0,INDEX(CP$7:CP$106,$AD52),1),IF($AE52&gt;0,INDEX(CP$7:CP$106,$AE52),1),IF($AF52&gt;0,INDEX(CP$7:CP$106,$AF52),1),IF($AG52&gt;0,INDEX(CP$7:CP$106,$AG52),1),IF($AH52&gt;0,INDEX(CP$7:CP$106,$AH52),1),IF($AI52&gt;0,INDEX(CP$7:CP$106,$AI52),1),IF($AJ52&gt;0,INDEX(CP$7:CP$106,$AJ52),1))))</ns0:f>
        <ns0:v>1</ns0:v>
      </ns0:c>
      <ns0:c r="CR52" t="n">
        <ns0:f>IF($A52="",1,IF(CQ52=1,1,--AND(IF($AC52&gt;0,INDEX(CQ$7:CQ$106,$AC52),1),IF($AD52&gt;0,INDEX(CQ$7:CQ$106,$AD52),1),IF($AE52&gt;0,INDEX(CQ$7:CQ$106,$AE52),1),IF($AF52&gt;0,INDEX(CQ$7:CQ$106,$AF52),1),IF($AG52&gt;0,INDEX(CQ$7:CQ$106,$AG52),1),IF($AH52&gt;0,INDEX(CQ$7:CQ$106,$AH52),1),IF($AI52&gt;0,INDEX(CQ$7:CQ$106,$AI52),1),IF($AJ52&gt;0,INDEX(CQ$7:CQ$106,$AJ52),1))))</ns0:f>
        <ns0:v>1</ns0:v>
      </ns0:c>
      <ns0:c r="CS52" t="n">
        <ns0:f>IF($A52="",1,IF(CR52=1,1,--AND(IF($AC52&gt;0,INDEX(CR$7:CR$106,$AC52),1),IF($AD52&gt;0,INDEX(CR$7:CR$106,$AD52),1),IF($AE52&gt;0,INDEX(CR$7:CR$106,$AE52),1),IF($AF52&gt;0,INDEX(CR$7:CR$106,$AF52),1),IF($AG52&gt;0,INDEX(CR$7:CR$106,$AG52),1),IF($AH52&gt;0,INDEX(CR$7:CR$106,$AH52),1),IF($AI52&gt;0,INDEX(CR$7:CR$106,$AI52),1),IF($AJ52&gt;0,INDEX(CR$7:CR$106,$AJ52),1))))</ns0:f>
        <ns0:v>1</ns0:v>
      </ns0:c>
      <ns0:c r="CT52" t="n">
        <ns0:f>IF($A52="",1,IF(CS52=1,1,--AND(IF($AC52&gt;0,INDEX(CS$7:CS$106,$AC52),1),IF($AD52&gt;0,INDEX(CS$7:CS$106,$AD52),1),IF($AE52&gt;0,INDEX(CS$7:CS$106,$AE52),1),IF($AF52&gt;0,INDEX(CS$7:CS$106,$AF52),1),IF($AG52&gt;0,INDEX(CS$7:CS$106,$AG52),1),IF($AH52&gt;0,INDEX(CS$7:CS$106,$AH52),1),IF($AI52&gt;0,INDEX(CS$7:CS$106,$AI52),1),IF($AJ52&gt;0,INDEX(CS$7:CS$106,$AJ52),1))))</ns0:f>
        <ns0:v>1</ns0:v>
      </ns0:c>
      <ns0:c r="CU52" t="n">
        <ns0:f>IF($A52="",1,IF(CT52=1,1,--AND(IF($AC52&gt;0,INDEX(CT$7:CT$106,$AC52),1),IF($AD52&gt;0,INDEX(CT$7:CT$106,$AD52),1),IF($AE52&gt;0,INDEX(CT$7:CT$106,$AE52),1),IF($AF52&gt;0,INDEX(CT$7:CT$106,$AF52),1),IF($AG52&gt;0,INDEX(CT$7:CT$106,$AG52),1),IF($AH52&gt;0,INDEX(CT$7:CT$106,$AH52),1),IF($AI52&gt;0,INDEX(CT$7:CT$106,$AI52),1),IF($AJ52&gt;0,INDEX(CT$7:CT$106,$AJ52),1))))</ns0:f>
        <ns0:v>1</ns0:v>
      </ns0:c>
      <ns0:c r="CV52" t="n">
        <ns0:f>IF($A52="",1,IF(CU52=1,1,--AND(IF($AC52&gt;0,INDEX(CU$7:CU$106,$AC52),1),IF($AD52&gt;0,INDEX(CU$7:CU$106,$AD52),1),IF($AE52&gt;0,INDEX(CU$7:CU$106,$AE52),1),IF($AF52&gt;0,INDEX(CU$7:CU$106,$AF52),1),IF($AG52&gt;0,INDEX(CU$7:CU$106,$AG52),1),IF($AH52&gt;0,INDEX(CU$7:CU$106,$AH52),1),IF($AI52&gt;0,INDEX(CU$7:CU$106,$AI52),1),IF($AJ52&gt;0,INDEX(CU$7:CU$106,$AJ52),1))))</ns0:f>
        <ns0:v>1</ns0:v>
      </ns0:c>
      <ns0:c r="CW52" t="n">
        <ns0:f>IF($A52="",1,IF(CV52=1,1,--AND(IF($AC52&gt;0,INDEX(CV$7:CV$106,$AC52),1),IF($AD52&gt;0,INDEX(CV$7:CV$106,$AD52),1),IF($AE52&gt;0,INDEX(CV$7:CV$106,$AE52),1),IF($AF52&gt;0,INDEX(CV$7:CV$106,$AF52),1),IF($AG52&gt;0,INDEX(CV$7:CV$106,$AG52),1),IF($AH52&gt;0,INDEX(CV$7:CV$106,$AH52),1),IF($AI52&gt;0,INDEX(CV$7:CV$106,$AI52),1),IF($AJ52&gt;0,INDEX(CV$7:CV$106,$AJ52),1))))</ns0:f>
        <ns0:v>1</ns0:v>
      </ns0:c>
      <ns0:c r="CX52" t="n">
        <ns0:f>IF($A52="",1,IF(CW52=1,1,--AND(IF($AC52&gt;0,INDEX(CW$7:CW$106,$AC52),1),IF($AD52&gt;0,INDEX(CW$7:CW$106,$AD52),1),IF($AE52&gt;0,INDEX(CW$7:CW$106,$AE52),1),IF($AF52&gt;0,INDEX(CW$7:CW$106,$AF52),1),IF($AG52&gt;0,INDEX(CW$7:CW$106,$AG52),1),IF($AH52&gt;0,INDEX(CW$7:CW$106,$AH52),1),IF($AI52&gt;0,INDEX(CW$7:CW$106,$AI52),1),IF($AJ52&gt;0,INDEX(CW$7:CW$106,$AJ52),1))))</ns0:f>
        <ns0:v>1</ns0:v>
      </ns0:c>
      <ns0:c r="CY52" t="n">
        <ns0:f>IF($A52="",1,IF(CX52=1,1,--AND(IF($AC52&gt;0,INDEX(CX$7:CX$106,$AC52),1),IF($AD52&gt;0,INDEX(CX$7:CX$106,$AD52),1),IF($AE52&gt;0,INDEX(CX$7:CX$106,$AE52),1),IF($AF52&gt;0,INDEX(CX$7:CX$106,$AF52),1),IF($AG52&gt;0,INDEX(CX$7:CX$106,$AG52),1),IF($AH52&gt;0,INDEX(CX$7:CX$106,$AH52),1),IF($AI52&gt;0,INDEX(CX$7:CX$106,$AI52),1),IF($AJ52&gt;0,INDEX(CX$7:CX$106,$AJ52),1))))</ns0:f>
        <ns0:v>1</ns0:v>
      </ns0:c>
      <ns0:c r="CZ52" t="n">
        <ns0:f>IF($A52="",1,IF(CY52=1,1,--AND(IF($AC52&gt;0,INDEX(CY$7:CY$106,$AC52),1),IF($AD52&gt;0,INDEX(CY$7:CY$106,$AD52),1),IF($AE52&gt;0,INDEX(CY$7:CY$106,$AE52),1),IF($AF52&gt;0,INDEX(CY$7:CY$106,$AF52),1),IF($AG52&gt;0,INDEX(CY$7:CY$106,$AG52),1),IF($AH52&gt;0,INDEX(CY$7:CY$106,$AH52),1),IF($AI52&gt;0,INDEX(CY$7:CY$106,$AI52),1),IF($AJ52&gt;0,INDEX(CY$7:CY$106,$AJ52),1))))</ns0:f>
        <ns0:v>1</ns0:v>
      </ns0:c>
      <ns0:c r="DA52" t="n">
        <ns0:f>IF($A52="",1,IF(CZ52=1,1,--AND(IF($AC52&gt;0,INDEX(CZ$7:CZ$106,$AC52),1),IF($AD52&gt;0,INDEX(CZ$7:CZ$106,$AD52),1),IF($AE52&gt;0,INDEX(CZ$7:CZ$106,$AE52),1),IF($AF52&gt;0,INDEX(CZ$7:CZ$106,$AF52),1),IF($AG52&gt;0,INDEX(CZ$7:CZ$106,$AG52),1),IF($AH52&gt;0,INDEX(CZ$7:CZ$106,$AH52),1),IF($AI52&gt;0,INDEX(CZ$7:CZ$106,$AI52),1),IF($AJ52&gt;0,INDEX(CZ$7:CZ$106,$AJ52),1))))</ns0:f>
        <ns0:v>1</ns0:v>
      </ns0:c>
      <ns0:c r="DB52" t="n">
        <ns0:f>IF($A52="",1,IF(DA52=1,1,--AND(IF($AC52&gt;0,INDEX(DA$7:DA$106,$AC52),1),IF($AD52&gt;0,INDEX(DA$7:DA$106,$AD52),1),IF($AE52&gt;0,INDEX(DA$7:DA$106,$AE52),1),IF($AF52&gt;0,INDEX(DA$7:DA$106,$AF52),1),IF($AG52&gt;0,INDEX(DA$7:DA$106,$AG52),1),IF($AH52&gt;0,INDEX(DA$7:DA$106,$AH52),1),IF($AI52&gt;0,INDEX(DA$7:DA$106,$AI52),1),IF($AJ52&gt;0,INDEX(DA$7:DA$106,$AJ52),1))))</ns0:f>
        <ns0:v>1</ns0:v>
      </ns0:c>
      <ns0:c r="DC52" t="n">
        <ns0:f>IF($A52="",1,IF(DB52=1,1,--AND(IF($AC52&gt;0,INDEX(DB$7:DB$106,$AC52),1),IF($AD52&gt;0,INDEX(DB$7:DB$106,$AD52),1),IF($AE52&gt;0,INDEX(DB$7:DB$106,$AE52),1),IF($AF52&gt;0,INDEX(DB$7:DB$106,$AF52),1),IF($AG52&gt;0,INDEX(DB$7:DB$106,$AG52),1),IF($AH52&gt;0,INDEX(DB$7:DB$106,$AH52),1),IF($AI52&gt;0,INDEX(DB$7:DB$106,$AI52),1),IF($AJ52&gt;0,INDEX(DB$7:DB$106,$AJ52),1))))</ns0:f>
        <ns0:v>1</ns0:v>
      </ns0:c>
      <ns0:c r="DD52" t="n">
        <ns0:f>IF($A52="",1,IF(DC52=1,1,--AND(IF($AC52&gt;0,INDEX(DC$7:DC$106,$AC52),1),IF($AD52&gt;0,INDEX(DC$7:DC$106,$AD52),1),IF($AE52&gt;0,INDEX(DC$7:DC$106,$AE52),1),IF($AF52&gt;0,INDEX(DC$7:DC$106,$AF52),1),IF($AG52&gt;0,INDEX(DC$7:DC$106,$AG52),1),IF($AH52&gt;0,INDEX(DC$7:DC$106,$AH52),1),IF($AI52&gt;0,INDEX(DC$7:DC$106,$AI52),1),IF($AJ52&gt;0,INDEX(DC$7:DC$106,$AJ52),1))))</ns0:f>
        <ns0:v>1</ns0:v>
      </ns0:c>
      <ns0:c r="DE52" t="n">
        <ns0:f>IF($A52="",1,IF(DD52=1,1,--AND(IF($AC52&gt;0,INDEX(DD$7:DD$106,$AC52),1),IF($AD52&gt;0,INDEX(DD$7:DD$106,$AD52),1),IF($AE52&gt;0,INDEX(DD$7:DD$106,$AE52),1),IF($AF52&gt;0,INDEX(DD$7:DD$106,$AF52),1),IF($AG52&gt;0,INDEX(DD$7:DD$106,$AG52),1),IF($AH52&gt;0,INDEX(DD$7:DD$106,$AH52),1),IF($AI52&gt;0,INDEX(DD$7:DD$106,$AI52),1),IF($AJ52&gt;0,INDEX(DD$7:DD$106,$AJ52),1))))</ns0:f>
        <ns0:v>1</ns0:v>
      </ns0:c>
      <ns0:c r="DF52" t="n">
        <ns0:f>IF($A52="",1,IF(DE52=1,1,--AND(IF($AC52&gt;0,INDEX(DE$7:DE$106,$AC52),1),IF($AD52&gt;0,INDEX(DE$7:DE$106,$AD52),1),IF($AE52&gt;0,INDEX(DE$7:DE$106,$AE52),1),IF($AF52&gt;0,INDEX(DE$7:DE$106,$AF52),1),IF($AG52&gt;0,INDEX(DE$7:DE$106,$AG52),1),IF($AH52&gt;0,INDEX(DE$7:DE$106,$AH52),1),IF($AI52&gt;0,INDEX(DE$7:DE$106,$AI52),1),IF($AJ52&gt;0,INDEX(DE$7:DE$106,$AJ52),1))))</ns0:f>
        <ns0:v>1</ns0:v>
      </ns0:c>
      <ns0:c r="DG52" t="n">
        <ns0:f>IF($A52="",1,IF(DF52=1,1,--AND(IF($AC52&gt;0,INDEX(DF$7:DF$106,$AC52),1),IF($AD52&gt;0,INDEX(DF$7:DF$106,$AD52),1),IF($AE52&gt;0,INDEX(DF$7:DF$106,$AE52),1),IF($AF52&gt;0,INDEX(DF$7:DF$106,$AF52),1),IF($AG52&gt;0,INDEX(DF$7:DF$106,$AG52),1),IF($AH52&gt;0,INDEX(DF$7:DF$106,$AH52),1),IF($AI52&gt;0,INDEX(DF$7:DF$106,$AI52),1),IF($AJ52&gt;0,INDEX(DF$7:DF$106,$AJ52),1))))</ns0:f>
        <ns0:v>1</ns0:v>
      </ns0:c>
      <ns0:c r="DH52" t="n">
        <ns0:f>IF($A52="",1,IF(DG52=1,1,--AND(IF($AC52&gt;0,INDEX(DG$7:DG$106,$AC52),1),IF($AD52&gt;0,INDEX(DG$7:DG$106,$AD52),1),IF($AE52&gt;0,INDEX(DG$7:DG$106,$AE52),1),IF($AF52&gt;0,INDEX(DG$7:DG$106,$AF52),1),IF($AG52&gt;0,INDEX(DG$7:DG$106,$AG52),1),IF($AH52&gt;0,INDEX(DG$7:DG$106,$AH52),1),IF($AI52&gt;0,INDEX(DG$7:DG$106,$AI52),1),IF($AJ52&gt;0,INDEX(DG$7:DG$106,$AJ52),1))))</ns0:f>
        <ns0:v>1</ns0:v>
      </ns0:c>
      <ns0:c r="DI52" t="n">
        <ns0:f>IF($A52="",1,IF(DH52=1,1,--AND(IF($AC52&gt;0,INDEX(DH$7:DH$106,$AC52),1),IF($AD52&gt;0,INDEX(DH$7:DH$106,$AD52),1),IF($AE52&gt;0,INDEX(DH$7:DH$106,$AE52),1),IF($AF52&gt;0,INDEX(DH$7:DH$106,$AF52),1),IF($AG52&gt;0,INDEX(DH$7:DH$106,$AG52),1),IF($AH52&gt;0,INDEX(DH$7:DH$106,$AH52),1),IF($AI52&gt;0,INDEX(DH$7:DH$106,$AI52),1),IF($AJ52&gt;0,INDEX(DH$7:DH$106,$AJ52),1))))</ns0:f>
        <ns0:v>1</ns0:v>
      </ns0:c>
      <ns0:c r="DJ52" t="n">
        <ns0:f>IF($A52="",1,IF(DI52=1,1,--AND(IF($AC52&gt;0,INDEX(DI$7:DI$106,$AC52),1),IF($AD52&gt;0,INDEX(DI$7:DI$106,$AD52),1),IF($AE52&gt;0,INDEX(DI$7:DI$106,$AE52),1),IF($AF52&gt;0,INDEX(DI$7:DI$106,$AF52),1),IF($AG52&gt;0,INDEX(DI$7:DI$106,$AG52),1),IF($AH52&gt;0,INDEX(DI$7:DI$106,$AH52),1),IF($AI52&gt;0,INDEX(DI$7:DI$106,$AI52),1),IF($AJ52&gt;0,INDEX(DI$7:DI$106,$AJ52),1))))</ns0:f>
        <ns0:v>1</ns0:v>
      </ns0:c>
      <ns0:c r="DK52" t="n">
        <ns0:f>IF($A52="",1,IF(DJ52=1,1,--AND(IF($AC52&gt;0,INDEX(DJ$7:DJ$106,$AC52),1),IF($AD52&gt;0,INDEX(DJ$7:DJ$106,$AD52),1),IF($AE52&gt;0,INDEX(DJ$7:DJ$106,$AE52),1),IF($AF52&gt;0,INDEX(DJ$7:DJ$106,$AF52),1),IF($AG52&gt;0,INDEX(DJ$7:DJ$106,$AG52),1),IF($AH52&gt;0,INDEX(DJ$7:DJ$106,$AH52),1),IF($AI52&gt;0,INDEX(DJ$7:DJ$106,$AI52),1),IF($AJ52&gt;0,INDEX(DJ$7:DJ$106,$AJ52),1))))</ns0:f>
        <ns0:v>1</ns0:v>
      </ns0:c>
      <ns0:c r="DL52" t="n">
        <ns0:f>IF($A52="",1,IF(DK52=1,1,--AND(IF($AC52&gt;0,INDEX(DK$7:DK$106,$AC52),1),IF($AD52&gt;0,INDEX(DK$7:DK$106,$AD52),1),IF($AE52&gt;0,INDEX(DK$7:DK$106,$AE52),1),IF($AF52&gt;0,INDEX(DK$7:DK$106,$AF52),1),IF($AG52&gt;0,INDEX(DK$7:DK$106,$AG52),1),IF($AH52&gt;0,INDEX(DK$7:DK$106,$AH52),1),IF($AI52&gt;0,INDEX(DK$7:DK$106,$AI52),1),IF($AJ52&gt;0,INDEX(DK$7:DK$106,$AJ52),1))))</ns0:f>
        <ns0:v>1</ns0:v>
      </ns0:c>
      <ns0:c r="DM52" t="n">
        <ns0:f>IF($A52="",1,IF(DL52=1,1,--AND(IF($AC52&gt;0,INDEX(DL$7:DL$106,$AC52),1),IF($AD52&gt;0,INDEX(DL$7:DL$106,$AD52),1),IF($AE52&gt;0,INDEX(DL$7:DL$106,$AE52),1),IF($AF52&gt;0,INDEX(DL$7:DL$106,$AF52),1),IF($AG52&gt;0,INDEX(DL$7:DL$106,$AG52),1),IF($AH52&gt;0,INDEX(DL$7:DL$106,$AH52),1),IF($AI52&gt;0,INDEX(DL$7:DL$106,$AI52),1),IF($AJ52&gt;0,INDEX(DL$7:DL$106,$AJ52),1))))</ns0:f>
        <ns0:v>1</ns0:v>
      </ns0:c>
      <ns0:c r="DN52" t="n">
        <ns0:f>IF($A52="",1,IF(DM52=1,1,--AND(IF($AC52&gt;0,INDEX(DM$7:DM$106,$AC52),1),IF($AD52&gt;0,INDEX(DM$7:DM$106,$AD52),1),IF($AE52&gt;0,INDEX(DM$7:DM$106,$AE52),1),IF($AF52&gt;0,INDEX(DM$7:DM$106,$AF52),1),IF($AG52&gt;0,INDEX(DM$7:DM$106,$AG52),1),IF($AH52&gt;0,INDEX(DM$7:DM$106,$AH52),1),IF($AI52&gt;0,INDEX(DM$7:DM$106,$AI52),1),IF($AJ52&gt;0,INDEX(DM$7:DM$106,$AJ52),1))))</ns0:f>
        <ns0:v>1</ns0:v>
      </ns0:c>
      <ns0:c r="DO52" t="n">
        <ns0:f>IF($A52="",1,IF(DN52=1,1,--AND(IF($AC52&gt;0,INDEX(DN$7:DN$106,$AC52),1),IF($AD52&gt;0,INDEX(DN$7:DN$106,$AD52),1),IF($AE52&gt;0,INDEX(DN$7:DN$106,$AE52),1),IF($AF52&gt;0,INDEX(DN$7:DN$106,$AF52),1),IF($AG52&gt;0,INDEX(DN$7:DN$106,$AG52),1),IF($AH52&gt;0,INDEX(DN$7:DN$106,$AH52),1),IF($AI52&gt;0,INDEX(DN$7:DN$106,$AI52),1),IF($AJ52&gt;0,INDEX(DN$7:DN$106,$AJ52),1))))</ns0:f>
        <ns0:v>1</ns0:v>
      </ns0:c>
      <ns0:c r="DP52" t="n">
        <ns0:f>IF($A52="",1,IF(DO52=1,1,--AND(IF($AC52&gt;0,INDEX(DO$7:DO$106,$AC52),1),IF($AD52&gt;0,INDEX(DO$7:DO$106,$AD52),1),IF($AE52&gt;0,INDEX(DO$7:DO$106,$AE52),1),IF($AF52&gt;0,INDEX(DO$7:DO$106,$AF52),1),IF($AG52&gt;0,INDEX(DO$7:DO$106,$AG52),1),IF($AH52&gt;0,INDEX(DO$7:DO$106,$AH52),1),IF($AI52&gt;0,INDEX(DO$7:DO$106,$AI52),1),IF($AJ52&gt;0,INDEX(DO$7:DO$106,$AJ52),1))))</ns0:f>
        <ns0:v>1</ns0:v>
      </ns0:c>
      <ns0:c r="DQ52" t="n">
        <ns0:f>IF($A52="",1,IF(DP52=1,1,--AND(IF($AC52&gt;0,INDEX(DP$7:DP$106,$AC52),1),IF($AD52&gt;0,INDEX(DP$7:DP$106,$AD52),1),IF($AE52&gt;0,INDEX(DP$7:DP$106,$AE52),1),IF($AF52&gt;0,INDEX(DP$7:DP$106,$AF52),1),IF($AG52&gt;0,INDEX(DP$7:DP$106,$AG52),1),IF($AH52&gt;0,INDEX(DP$7:DP$106,$AH52),1),IF($AI52&gt;0,INDEX(DP$7:DP$106,$AI52),1),IF($AJ52&gt;0,INDEX(DP$7:DP$106,$AJ52),1))))</ns0:f>
        <ns0:v>1</ns0:v>
      </ns0:c>
      <ns0:c r="DR52" t="n">
        <ns0:f>IF($A52="",1,IF(DQ52=1,1,--AND(IF($AC52&gt;0,INDEX(DQ$7:DQ$106,$AC52),1),IF($AD52&gt;0,INDEX(DQ$7:DQ$106,$AD52),1),IF($AE52&gt;0,INDEX(DQ$7:DQ$106,$AE52),1),IF($AF52&gt;0,INDEX(DQ$7:DQ$106,$AF52),1),IF($AG52&gt;0,INDEX(DQ$7:DQ$106,$AG52),1),IF($AH52&gt;0,INDEX(DQ$7:DQ$106,$AH52),1),IF($AI52&gt;0,INDEX(DQ$7:DQ$106,$AI52),1),IF($AJ52&gt;0,INDEX(DQ$7:DQ$106,$AJ52),1))))</ns0:f>
        <ns0:v>1</ns0:v>
      </ns0:c>
      <ns0:c r="DS52" t="n">
        <ns0:f>IF($A52="",1,IF(DR52=1,1,--AND(IF($AC52&gt;0,INDEX(DR$7:DR$106,$AC52),1),IF($AD52&gt;0,INDEX(DR$7:DR$106,$AD52),1),IF($AE52&gt;0,INDEX(DR$7:DR$106,$AE52),1),IF($AF52&gt;0,INDEX(DR$7:DR$106,$AF52),1),IF($AG52&gt;0,INDEX(DR$7:DR$106,$AG52),1),IF($AH52&gt;0,INDEX(DR$7:DR$106,$AH52),1),IF($AI52&gt;0,INDEX(DR$7:DR$106,$AI52),1),IF($AJ52&gt;0,INDEX(DR$7:DR$106,$AJ52),1))))</ns0:f>
        <ns0:v>1</ns0:v>
      </ns0:c>
      <ns0:c r="DT52" t="n">
        <ns0:f>IF($A52="",1,IF(DS52=1,1,--AND(IF($AC52&gt;0,INDEX(DS$7:DS$106,$AC52),1),IF($AD52&gt;0,INDEX(DS$7:DS$106,$AD52),1),IF($AE52&gt;0,INDEX(DS$7:DS$106,$AE52),1),IF($AF52&gt;0,INDEX(DS$7:DS$106,$AF52),1),IF($AG52&gt;0,INDEX(DS$7:DS$106,$AG52),1),IF($AH52&gt;0,INDEX(DS$7:DS$106,$AH52),1),IF($AI52&gt;0,INDEX(DS$7:DS$106,$AI52),1),IF($AJ52&gt;0,INDEX(DS$7:DS$106,$AJ52),1))))</ns0:f>
        <ns0:v>1</ns0:v>
      </ns0:c>
      <ns0:c r="DU52" t="n">
        <ns0:f>IF($A52="",1,IF(DT52=1,1,--AND(IF($AC52&gt;0,INDEX(DT$7:DT$106,$AC52),1),IF($AD52&gt;0,INDEX(DT$7:DT$106,$AD52),1),IF($AE52&gt;0,INDEX(DT$7:DT$106,$AE52),1),IF($AF52&gt;0,INDEX(DT$7:DT$106,$AF52),1),IF($AG52&gt;0,INDEX(DT$7:DT$106,$AG52),1),IF($AH52&gt;0,INDEX(DT$7:DT$106,$AH52),1),IF($AI52&gt;0,INDEX(DT$7:DT$106,$AI52),1),IF($AJ52&gt;0,INDEX(DT$7:DT$106,$AJ52),1))))</ns0:f>
        <ns0:v>1</ns0:v>
      </ns0:c>
      <ns0:c r="DV52" t="n">
        <ns0:f>IF($A52="",1,IF(DU52=1,1,--AND(IF($AC52&gt;0,INDEX(DU$7:DU$106,$AC52),1),IF($AD52&gt;0,INDEX(DU$7:DU$106,$AD52),1),IF($AE52&gt;0,INDEX(DU$7:DU$106,$AE52),1),IF($AF52&gt;0,INDEX(DU$7:DU$106,$AF52),1),IF($AG52&gt;0,INDEX(DU$7:DU$106,$AG52),1),IF($AH52&gt;0,INDEX(DU$7:DU$106,$AH52),1),IF($AI52&gt;0,INDEX(DU$7:DU$106,$AI52),1),IF($AJ52&gt;0,INDEX(DU$7:DU$106,$AJ52),1))))</ns0:f>
        <ns0:v>1</ns0:v>
      </ns0:c>
      <ns0:c r="DW52" t="n">
        <ns0:f>IF($A52="",1,IF(DV52=1,1,--AND(IF($AC52&gt;0,INDEX(DV$7:DV$106,$AC52),1),IF($AD52&gt;0,INDEX(DV$7:DV$106,$AD52),1),IF($AE52&gt;0,INDEX(DV$7:DV$106,$AE52),1),IF($AF52&gt;0,INDEX(DV$7:DV$106,$AF52),1),IF($AG52&gt;0,INDEX(DV$7:DV$106,$AG52),1),IF($AH52&gt;0,INDEX(DV$7:DV$106,$AH52),1),IF($AI52&gt;0,INDEX(DV$7:DV$106,$AI52),1),IF($AJ52&gt;0,INDEX(DV$7:DV$106,$AJ52),1))))</ns0:f>
        <ns0:v>1</ns0:v>
      </ns0:c>
      <ns0:c r="DX52" t="n">
        <ns0:f>IF($A52="",1,IF(DW52=1,1,--AND(IF($AC52&gt;0,INDEX(DW$7:DW$106,$AC52),1),IF($AD52&gt;0,INDEX(DW$7:DW$106,$AD52),1),IF($AE52&gt;0,INDEX(DW$7:DW$106,$AE52),1),IF($AF52&gt;0,INDEX(DW$7:DW$106,$AF52),1),IF($AG52&gt;0,INDEX(DW$7:DW$106,$AG52),1),IF($AH52&gt;0,INDEX(DW$7:DW$106,$AH52),1),IF($AI52&gt;0,INDEX(DW$7:DW$106,$AI52),1),IF($AJ52&gt;0,INDEX(DW$7:DW$106,$AJ52),1))))</ns0:f>
        <ns0:v>1</ns0:v>
      </ns0:c>
      <ns0:c r="DY52" t="n">
        <ns0:f>IF($A52="",1,IF(DX52=1,1,--AND(IF($AC52&gt;0,INDEX(DX$7:DX$106,$AC52),1),IF($AD52&gt;0,INDEX(DX$7:DX$106,$AD52),1),IF($AE52&gt;0,INDEX(DX$7:DX$106,$AE52),1),IF($AF52&gt;0,INDEX(DX$7:DX$106,$AF52),1),IF($AG52&gt;0,INDEX(DX$7:DX$106,$AG52),1),IF($AH52&gt;0,INDEX(DX$7:DX$106,$AH52),1),IF($AI52&gt;0,INDEX(DX$7:DX$106,$AI52),1),IF($AJ52&gt;0,INDEX(DX$7:DX$106,$AJ52),1))))</ns0:f>
        <ns0:v>1</ns0:v>
      </ns0:c>
      <ns0:c r="DZ52" t="n">
        <ns0:f>IF($A52="",1,IF(DY52=1,1,--AND(IF($AC52&gt;0,INDEX(DY$7:DY$106,$AC52),1),IF($AD52&gt;0,INDEX(DY$7:DY$106,$AD52),1),IF($AE52&gt;0,INDEX(DY$7:DY$106,$AE52),1),IF($AF52&gt;0,INDEX(DY$7:DY$106,$AF52),1),IF($AG52&gt;0,INDEX(DY$7:DY$106,$AG52),1),IF($AH52&gt;0,INDEX(DY$7:DY$106,$AH52),1),IF($AI52&gt;0,INDEX(DY$7:DY$106,$AI52),1),IF($AJ52&gt;0,INDEX(DY$7:DY$106,$AJ52),1))))</ns0:f>
        <ns0:v>1</ns0:v>
      </ns0:c>
      <ns0:c r="EA52" t="n">
        <ns0:f>IF($A52="",1,IF(DZ52=1,1,--AND(IF($AC52&gt;0,INDEX(DZ$7:DZ$106,$AC52),1),IF($AD52&gt;0,INDEX(DZ$7:DZ$106,$AD52),1),IF($AE52&gt;0,INDEX(DZ$7:DZ$106,$AE52),1),IF($AF52&gt;0,INDEX(DZ$7:DZ$106,$AF52),1),IF($AG52&gt;0,INDEX(DZ$7:DZ$106,$AG52),1),IF($AH52&gt;0,INDEX(DZ$7:DZ$106,$AH52),1),IF($AI52&gt;0,INDEX(DZ$7:DZ$106,$AI52),1),IF($AJ52&gt;0,INDEX(DZ$7:DZ$106,$AJ52),1))))</ns0:f>
        <ns0:v>1</ns0:v>
      </ns0:c>
      <ns0:c r="EB52" t="n">
        <ns0:f>IF($A52="",1,IF(EA52=1,1,--AND(IF($AC52&gt;0,INDEX(EA$7:EA$106,$AC52),1),IF($AD52&gt;0,INDEX(EA$7:EA$106,$AD52),1),IF($AE52&gt;0,INDEX(EA$7:EA$106,$AE52),1),IF($AF52&gt;0,INDEX(EA$7:EA$106,$AF52),1),IF($AG52&gt;0,INDEX(EA$7:EA$106,$AG52),1),IF($AH52&gt;0,INDEX(EA$7:EA$106,$AH52),1),IF($AI52&gt;0,INDEX(EA$7:EA$106,$AI52),1),IF($AJ52&gt;0,INDEX(EA$7:EA$106,$AJ52),1))))</ns0:f>
        <ns0:v>1</ns0:v>
      </ns0:c>
      <ns0:c r="EC52" t="n">
        <ns0:f>IF($A52="",1,IF(EB52=1,1,--AND(IF($AC52&gt;0,INDEX(EB$7:EB$106,$AC52),1),IF($AD52&gt;0,INDEX(EB$7:EB$106,$AD52),1),IF($AE52&gt;0,INDEX(EB$7:EB$106,$AE52),1),IF($AF52&gt;0,INDEX(EB$7:EB$106,$AF52),1),IF($AG52&gt;0,INDEX(EB$7:EB$106,$AG52),1),IF($AH52&gt;0,INDEX(EB$7:EB$106,$AH52),1),IF($AI52&gt;0,INDEX(EB$7:EB$106,$AI52),1),IF($AJ52&gt;0,INDEX(EB$7:EB$106,$AJ52),1))))</ns0:f>
        <ns0:v>1</ns0:v>
      </ns0:c>
      <ns0:c r="ED52" t="n">
        <ns0:f>IF($A52="",1,IF(EC52=1,1,--AND(IF($AC52&gt;0,INDEX(EC$7:EC$106,$AC52),1),IF($AD52&gt;0,INDEX(EC$7:EC$106,$AD52),1),IF($AE52&gt;0,INDEX(EC$7:EC$106,$AE52),1),IF($AF52&gt;0,INDEX(EC$7:EC$106,$AF52),1),IF($AG52&gt;0,INDEX(EC$7:EC$106,$AG52),1),IF($AH52&gt;0,INDEX(EC$7:EC$106,$AH52),1),IF($AI52&gt;0,INDEX(EC$7:EC$106,$AI52),1),IF($AJ52&gt;0,INDEX(EC$7:EC$106,$AJ52),1))))</ns0:f>
        <ns0:v>1</ns0:v>
      </ns0:c>
      <ns0:c r="EE52" t="n">
        <ns0:f>IF($A52="",1,IF(ED52=1,1,--AND(IF($AC52&gt;0,INDEX(ED$7:ED$106,$AC52),1),IF($AD52&gt;0,INDEX(ED$7:ED$106,$AD52),1),IF($AE52&gt;0,INDEX(ED$7:ED$106,$AE52),1),IF($AF52&gt;0,INDEX(ED$7:ED$106,$AF52),1),IF($AG52&gt;0,INDEX(ED$7:ED$106,$AG52),1),IF($AH52&gt;0,INDEX(ED$7:ED$106,$AH52),1),IF($AI52&gt;0,INDEX(ED$7:ED$106,$AI52),1),IF($AJ52&gt;0,INDEX(ED$7:ED$106,$AJ52),1))))</ns0:f>
        <ns0:v>1</ns0:v>
      </ns0:c>
      <ns0:c r="EF52" t="n">
        <ns0:f>IF($A52="",1,IF(EE52=1,1,--AND(IF($AC52&gt;0,INDEX(EE$7:EE$106,$AC52),1),IF($AD52&gt;0,INDEX(EE$7:EE$106,$AD52),1),IF($AE52&gt;0,INDEX(EE$7:EE$106,$AE52),1),IF($AF52&gt;0,INDEX(EE$7:EE$106,$AF52),1),IF($AG52&gt;0,INDEX(EE$7:EE$106,$AG52),1),IF($AH52&gt;0,INDEX(EE$7:EE$106,$AH52),1),IF($AI52&gt;0,INDEX(EE$7:EE$106,$AI52),1),IF($AJ52&gt;0,INDEX(EE$7:EE$106,$AJ52),1))))</ns0:f>
        <ns0:v>1</ns0:v>
      </ns0:c>
      <ns0:c r="EG52" t="n">
        <ns0:f>IF($A52="",1,IF(EF52=1,1,--AND(IF($AC52&gt;0,INDEX(EF$7:EF$106,$AC52),1),IF($AD52&gt;0,INDEX(EF$7:EF$106,$AD52),1),IF($AE52&gt;0,INDEX(EF$7:EF$106,$AE52),1),IF($AF52&gt;0,INDEX(EF$7:EF$106,$AF52),1),IF($AG52&gt;0,INDEX(EF$7:EF$106,$AG52),1),IF($AH52&gt;0,INDEX(EF$7:EF$106,$AH52),1),IF($AI52&gt;0,INDEX(EF$7:EF$106,$AI52),1),IF($AJ52&gt;0,INDEX(EF$7:EF$106,$AJ52),1))))</ns0:f>
        <ns0:v>1</ns0:v>
      </ns0:c>
      <ns0:c r="EH52" t="n">
        <ns0:f>IF($A52="",1,IF(EG52=1,1,--AND(IF($AC52&gt;0,INDEX(EG$7:EG$106,$AC52),1),IF($AD52&gt;0,INDEX(EG$7:EG$106,$AD52),1),IF($AE52&gt;0,INDEX(EG$7:EG$106,$AE52),1),IF($AF52&gt;0,INDEX(EG$7:EG$106,$AF52),1),IF($AG52&gt;0,INDEX(EG$7:EG$106,$AG52),1),IF($AH52&gt;0,INDEX(EG$7:EG$106,$AH52),1),IF($AI52&gt;0,INDEX(EG$7:EG$106,$AI52),1),IF($AJ52&gt;0,INDEX(EG$7:EG$106,$AJ52),1))))</ns0:f>
        <ns0:v>1</ns0:v>
      </ns0:c>
      <ns0:c r="EI52" t="n">
        <ns0:f>IF($A52="",1,IF(EH52=1,1,--AND(IF($AC52&gt;0,INDEX(EH$7:EH$106,$AC52),1),IF($AD52&gt;0,INDEX(EH$7:EH$106,$AD52),1),IF($AE52&gt;0,INDEX(EH$7:EH$106,$AE52),1),IF($AF52&gt;0,INDEX(EH$7:EH$106,$AF52),1),IF($AG52&gt;0,INDEX(EH$7:EH$106,$AG52),1),IF($AH52&gt;0,INDEX(EH$7:EH$106,$AH52),1),IF($AI52&gt;0,INDEX(EH$7:EH$106,$AI52),1),IF($AJ52&gt;0,INDEX(EH$7:EH$106,$AJ52),1))))</ns0:f>
        <ns0:v>1</ns0:v>
      </ns0:c>
      <ns0:c r="EJ52" t="n">
        <ns0:f>IF($A52="",1,IF(EI52=1,1,--AND(IF($AC52&gt;0,INDEX(EI$7:EI$106,$AC52),1),IF($AD52&gt;0,INDEX(EI$7:EI$106,$AD52),1),IF($AE52&gt;0,INDEX(EI$7:EI$106,$AE52),1),IF($AF52&gt;0,INDEX(EI$7:EI$106,$AF52),1),IF($AG52&gt;0,INDEX(EI$7:EI$106,$AG52),1),IF($AH52&gt;0,INDEX(EI$7:EI$106,$AH52),1),IF($AI52&gt;0,INDEX(EI$7:EI$106,$AI52),1),IF($AJ52&gt;0,INDEX(EI$7:EI$106,$AJ52),1))))</ns0:f>
        <ns0:v>1</ns0:v>
      </ns0:c>
      <ns0:c r="EK52" t="n">
        <ns0:f>IF($A52="",1,IF(EJ52=1,1,--AND(IF($AC52&gt;0,INDEX(EJ$7:EJ$106,$AC52),1),IF($AD52&gt;0,INDEX(EJ$7:EJ$106,$AD52),1),IF($AE52&gt;0,INDEX(EJ$7:EJ$106,$AE52),1),IF($AF52&gt;0,INDEX(EJ$7:EJ$106,$AF52),1),IF($AG52&gt;0,INDEX(EJ$7:EJ$106,$AG52),1),IF($AH52&gt;0,INDEX(EJ$7:EJ$106,$AH52),1),IF($AI52&gt;0,INDEX(EJ$7:EJ$106,$AI52),1),IF($AJ52&gt;0,INDEX(EJ$7:EJ$106,$AJ52),1))))</ns0:f>
        <ns0:v>1</ns0:v>
      </ns0:c>
      <ns0:c r="EL52" t="n">
        <ns0:f>IF($A52="",1,IF(EK52=1,1,--AND(IF($AC52&gt;0,INDEX(EK$7:EK$106,$AC52),1),IF($AD52&gt;0,INDEX(EK$7:EK$106,$AD52),1),IF($AE52&gt;0,INDEX(EK$7:EK$106,$AE52),1),IF($AF52&gt;0,INDEX(EK$7:EK$106,$AF52),1),IF($AG52&gt;0,INDEX(EK$7:EK$106,$AG52),1),IF($AH52&gt;0,INDEX(EK$7:EK$106,$AH52),1),IF($AI52&gt;0,INDEX(EK$7:EK$106,$AI52),1),IF($AJ52&gt;0,INDEX(EK$7:EK$106,$AJ52),1))))</ns0:f>
        <ns0:v>1</ns0:v>
      </ns0:c>
      <ns0:c r="EM52" t="n">
        <ns0:f>IF($A52="",1,IF(EL52=1,1,--AND(IF($AC52&gt;0,INDEX(EL$7:EL$106,$AC52),1),IF($AD52&gt;0,INDEX(EL$7:EL$106,$AD52),1),IF($AE52&gt;0,INDEX(EL$7:EL$106,$AE52),1),IF($AF52&gt;0,INDEX(EL$7:EL$106,$AF52),1),IF($AG52&gt;0,INDEX(EL$7:EL$106,$AG52),1),IF($AH52&gt;0,INDEX(EL$7:EL$106,$AH52),1),IF($AI52&gt;0,INDEX(EL$7:EL$106,$AI52),1),IF($AJ52&gt;0,INDEX(EL$7:EL$106,$AJ52),1))))</ns0:f>
        <ns0:v>1</ns0:v>
      </ns0:c>
      <ns0:c r="EN52" t="n">
        <ns0:f>IF($A52="",1,IF(EM52=1,1,--AND(IF($AC52&gt;0,INDEX(EM$7:EM$106,$AC52),1),IF($AD52&gt;0,INDEX(EM$7:EM$106,$AD52),1),IF($AE52&gt;0,INDEX(EM$7:EM$106,$AE52),1),IF($AF52&gt;0,INDEX(EM$7:EM$106,$AF52),1),IF($AG52&gt;0,INDEX(EM$7:EM$106,$AG52),1),IF($AH52&gt;0,INDEX(EM$7:EM$106,$AH52),1),IF($AI52&gt;0,INDEX(EM$7:EM$106,$AI52),1),IF($AJ52&gt;0,INDEX(EM$7:EM$106,$AJ52),1))))</ns0:f>
        <ns0:v>1</ns0:v>
      </ns0:c>
      <ns0:c r="EO52" t="n">
        <ns0:f>IF($A52="",1,IF(EN52=1,1,--AND(IF($AC52&gt;0,INDEX(EN$7:EN$106,$AC52),1),IF($AD52&gt;0,INDEX(EN$7:EN$106,$AD52),1),IF($AE52&gt;0,INDEX(EN$7:EN$106,$AE52),1),IF($AF52&gt;0,INDEX(EN$7:EN$106,$AF52),1),IF($AG52&gt;0,INDEX(EN$7:EN$106,$AG52),1),IF($AH52&gt;0,INDEX(EN$7:EN$106,$AH52),1),IF($AI52&gt;0,INDEX(EN$7:EN$106,$AI52),1),IF($AJ52&gt;0,INDEX(EN$7:EN$106,$AJ52),1))))</ns0:f>
        <ns0:v>1</ns0:v>
      </ns0:c>
      <ns0:c r="EP52" t="n">
        <ns0:f>IF($A52="",1,IF(EO52=1,1,--AND(IF($AC52&gt;0,INDEX(EO$7:EO$106,$AC52),1),IF($AD52&gt;0,INDEX(EO$7:EO$106,$AD52),1),IF($AE52&gt;0,INDEX(EO$7:EO$106,$AE52),1),IF($AF52&gt;0,INDEX(EO$7:EO$106,$AF52),1),IF($AG52&gt;0,INDEX(EO$7:EO$106,$AG52),1),IF($AH52&gt;0,INDEX(EO$7:EO$106,$AH52),1),IF($AI52&gt;0,INDEX(EO$7:EO$106,$AI52),1),IF($AJ52&gt;0,INDEX(EO$7:EO$106,$AJ52),1))))</ns0:f>
        <ns0:v>1</ns0:v>
      </ns0:c>
      <ns0:c r="EQ52" t="n">
        <ns0:f>IF(OR(A52="",NOT(ISNUMBER(G52))),0,G52*N52)</ns0:f>
        <ns0:v>0</ns0:v>
      </ns0:c>
    </ns0:row>
    <ns0:row r="53" ht="62" customHeight="1">
      <ns0:c r="A53" s="48"/>
      <ns0:c r="B53" s="48"/>
      <ns0:c r="C53" s="48"/>
      <ns0:c r="D53" s="48"/>
      <ns0:c r="E53" s="49"/>
      <ns0:c r="F53" s="49"/>
      <ns0:c r="G53" s="13" t="str">
        <ns0:f>IF(A53="","",IF(OR(NOT(ISNUMBER(E53)),NOT(ISNUMBER(F53)),F53&lt;E53),"",IF(J53="Yes",0,F53-E53+1)))</ns0:f>
      </ns0:c>
      <ns0:c r="H53" s="48"/>
      <ns0:c r="I53" s="48"/>
      <ns0:c r="J53" s="48"/>
      <ns0:c r="K53" s="48"/>
      <ns0:c r="L53" s="48"/>
      <ns0:c r="M53" s="50" t="str">
        <ns0:f>IF(A53="","",IF(N53=1,"Completed",IF(N53&gt;0,"In Progress","Not Started")))</ns0:f>
      </ns0:c>
      <ns0:c r="N53" s="51"/>
      <ns0:c r="O53" s="13" t="str">
        <ns0:f>IF(A53="","",IF(R53&lt;&gt;"","[CONFLICT] "&amp;R53,IF(S53&lt;&gt;"","[CONFLICT] "&amp;S53,IF(OR(NOT(ISNUMBER(N53)),N53&lt;0,N53&gt;1),"[CONFLICT] Invalid progress",IF(AK53&gt;0,"[DEPENDENCY ISSUE] Missing ID / &gt;8 links",IF(AM53&gt;0,"[DEPENDENCY ISSUE] Cycle or blocked by cycle",IF(AND(H53&lt;&gt;"",ISNA(MATCH(I53,{"FS","SS","FF","SF"},0))),"[DEPENDENCY ISSUE] Invalid type",IF(AL53&gt;0,"[DEPENDENCY ISSUE] Timing conflict",IF(OR(E53&lt;ProjectStart,F53&gt;ProjectEnd),"[OUTSIDE WINDOW]",IF(AND(N53&lt;1,F53&lt;AsOfDate),"Overdue",IF(AND(M53&lt;&gt;Q53,M53&lt;&gt;""),"[CONFLICT] Status / progress","On track")))))))))))</ns0:f>
      </ns0:c>
      <ns0:c r="P53" s="52"/>
      <ns0:c r="Q53" t="str">
        <ns0:f>IF(A53="","",IF(OR(M53="On Hold",M53="Delayed"),M53,IF(N53=1,"Completed",IF(N53&gt;0,"In Progress","Not Started"))))</ns0:f>
      </ns0:c>
      <ns0:c r="R53" t="str">
        <ns0:f>IF(A53="","",IF(COUNTIFS(Tasks[Task ID],A53)&lt;&gt;1,"Duplicate ID",""))</ns0:f>
      </ns0:c>
      <ns0:c r="S53" t="str">
        <ns0:f>IF(A53="","",IF(OR(NOT(ISNUMBER(E53)),NOT(ISNUMBER(F53))),"Invalid / missing date",IF(OR(E53&lt;&gt;INT(E53),F53&lt;&gt;INT(F53),E53&lt;1,F53&gt;2958465),"Invalid date",IF(F53&lt;E53,"End before start",IF(AND(J53="Yes",E53&lt;&gt;F53),"Milestone needs one date","")))))</ns0:f>
      </ns0:c>
      <ns0:c r="T53" t="n">
        <ns0:f>IF(H53="",0,LEN(H53)-LEN(SUBSTITUTE(H53,",",""))+1)</ns0:f>
        <ns0:v>0</ns0:v>
      </ns0:c>
      <ns0:c r="U53" t="str">
        <ns0:f>TRIM(MID(SUBSTITUTE($H53,",",REPT(" ",100)),1,100))</ns0:f>
      </ns0:c>
      <ns0:c r="V53" t="str">
        <ns0:f>TRIM(MID(SUBSTITUTE($H53,",",REPT(" ",100)),101,100))</ns0:f>
      </ns0:c>
      <ns0:c r="W53" t="str">
        <ns0:f>TRIM(MID(SUBSTITUTE($H53,",",REPT(" ",100)),201,100))</ns0:f>
      </ns0:c>
      <ns0:c r="X53" t="str">
        <ns0:f>TRIM(MID(SUBSTITUTE($H53,",",REPT(" ",100)),301,100))</ns0:f>
      </ns0:c>
      <ns0:c r="Y53" t="str">
        <ns0:f>TRIM(MID(SUBSTITUTE($H53,",",REPT(" ",100)),401,100))</ns0:f>
      </ns0:c>
      <ns0:c r="Z53" t="str">
        <ns0:f>TRIM(MID(SUBSTITUTE($H53,",",REPT(" ",100)),501,100))</ns0:f>
      </ns0:c>
      <ns0:c r="AA53" t="str">
        <ns0:f>TRIM(MID(SUBSTITUTE($H53,",",REPT(" ",100)),601,100))</ns0:f>
      </ns0:c>
      <ns0:c r="AB53" t="str">
        <ns0:f>TRIM(MID(SUBSTITUTE($H53,",",REPT(" ",100)),701,100))</ns0:f>
      </ns0:c>
      <ns0:c r="AC53" t="n">
        <ns0:f>IF(U53="",0,IF(COUNTIFS(Tasks[Task ID],U53)=1,MATCH(U53,Tasks[Task ID],0),-1))</ns0:f>
        <ns0:v>0</ns0:v>
      </ns0:c>
      <ns0:c r="AD53" t="n">
        <ns0:f>IF(V53="",0,IF(COUNTIFS(Tasks[Task ID],V53)=1,MATCH(V53,Tasks[Task ID],0),-1))</ns0:f>
        <ns0:v>0</ns0:v>
      </ns0:c>
      <ns0:c r="AE53" t="n">
        <ns0:f>IF(W53="",0,IF(COUNTIFS(Tasks[Task ID],W53)=1,MATCH(W53,Tasks[Task ID],0),-1))</ns0:f>
        <ns0:v>0</ns0:v>
      </ns0:c>
      <ns0:c r="AF53" t="n">
        <ns0:f>IF(X53="",0,IF(COUNTIFS(Tasks[Task ID],X53)=1,MATCH(X53,Tasks[Task ID],0),-1))</ns0:f>
        <ns0:v>0</ns0:v>
      </ns0:c>
      <ns0:c r="AG53" t="n">
        <ns0:f>IF(Y53="",0,IF(COUNTIFS(Tasks[Task ID],Y53)=1,MATCH(Y53,Tasks[Task ID],0),-1))</ns0:f>
        <ns0:v>0</ns0:v>
      </ns0:c>
      <ns0:c r="AH53" t="n">
        <ns0:f>IF(Z53="",0,IF(COUNTIFS(Tasks[Task ID],Z53)=1,MATCH(Z53,Tasks[Task ID],0),-1))</ns0:f>
        <ns0:v>0</ns0:v>
      </ns0:c>
      <ns0:c r="AI53" t="n">
        <ns0:f>IF(AA53="",0,IF(COUNTIFS(Tasks[Task ID],AA53)=1,MATCH(AA53,Tasks[Task ID],0),-1))</ns0:f>
        <ns0:v>0</ns0:v>
      </ns0:c>
      <ns0:c r="AJ53" t="n">
        <ns0:f>IF(AB53="",0,IF(COUNTIFS(Tasks[Task ID],AB53)=1,MATCH(AB53,Tasks[Task ID],0),-1))</ns0:f>
        <ns0:v>0</ns0:v>
      </ns0:c>
      <ns0:c r="AK53" t="n">
        <ns0:f>COUNTIFS(AC53:AJ53,-1)+IF(T53&gt;8,1,0)</ns0:f>
        <ns0:v>0</ns0:v>
      </ns0:c>
      <ns0:c r="AL53" t="n">
        <ns0:f>IF(OR(A53="",S53&lt;&gt;""),0,SUM(IF(AC53&gt;0,IF($I53="FS",--($E53&lt;INDEX(Tasks[End Date],AC53)+IF(INDEX(Tasks[Milestone],AC53)="Yes",0,1)),IF($I53="SS",--($E53&lt;INDEX(Tasks[Start Date],AC53)),IF($I53="FF",--($F53&lt;INDEX(Tasks[End Date],AC53)),IF($I53="SF",--($F53&lt;INDEX(Tasks[Start Date],AC53)),0)))),0),IF(AD53&gt;0,IF($I53="FS",--($E53&lt;INDEX(Tasks[End Date],AD53)+IF(INDEX(Tasks[Milestone],AD53)="Yes",0,1)),IF($I53="SS",--($E53&lt;INDEX(Tasks[Start Date],AD53)),IF($I53="FF",--($F53&lt;INDEX(Tasks[End Date],AD53)),IF($I53="SF",--($F53&lt;INDEX(Tasks[Start Date],AD53)),0)))),0),IF(AE53&gt;0,IF($I53="FS",--($E53&lt;INDEX(Tasks[End Date],AE53)+IF(INDEX(Tasks[Milestone],AE53)="Yes",0,1)),IF($I53="SS",--($E53&lt;INDEX(Tasks[Start Date],AE53)),IF($I53="FF",--($F53&lt;INDEX(Tasks[End Date],AE53)),IF($I53="SF",--($F53&lt;INDEX(Tasks[Start Date],AE53)),0)))),0),IF(AF53&gt;0,IF($I53="FS",--($E53&lt;INDEX(Tasks[End Date],AF53)+IF(INDEX(Tasks[Milestone],AF53)="Yes",0,1)),IF($I53="SS",--($E53&lt;INDEX(Tasks[Start Date],AF53)),IF($I53="FF",--($F53&lt;INDEX(Tasks[End Date],AF53)),IF($I53="SF",--($F53&lt;INDEX(Tasks[Start Date],AF53)),0)))),0),IF(AG53&gt;0,IF($I53="FS",--($E53&lt;INDEX(Tasks[End Date],AG53)+IF(INDEX(Tasks[Milestone],AG53)="Yes",0,1)),IF($I53="SS",--($E53&lt;INDEX(Tasks[Start Date],AG53)),IF($I53="FF",--($F53&lt;INDEX(Tasks[End Date],AG53)),IF($I53="SF",--($F53&lt;INDEX(Tasks[Start Date],AG53)),0)))),0),IF(AH53&gt;0,IF($I53="FS",--($E53&lt;INDEX(Tasks[End Date],AH53)+IF(INDEX(Tasks[Milestone],AH53)="Yes",0,1)),IF($I53="SS",--($E53&lt;INDEX(Tasks[Start Date],AH53)),IF($I53="FF",--($F53&lt;INDEX(Tasks[End Date],AH53)),IF($I53="SF",--($F53&lt;INDEX(Tasks[Start Date],AH53)),0)))),0),IF(AI53&gt;0,IF($I53="FS",--($E53&lt;INDEX(Tasks[End Date],AI53)+IF(INDEX(Tasks[Milestone],AI53)="Yes",0,1)),IF($I53="SS",--($E53&lt;INDEX(Tasks[Start Date],AI53)),IF($I53="FF",--($F53&lt;INDEX(Tasks[End Date],AI53)),IF($I53="SF",--($F53&lt;INDEX(Tasks[Start Date],AI53)),0)))),0),IF(AJ53&gt;0,IF($I53="FS",--($E53&lt;INDEX(Tasks[End Date],AJ53)+IF(INDEX(Tasks[Milestone],AJ53)="Yes",0,1)),IF($I53="SS",--($E53&lt;INDEX(Tasks[Start Date],AJ53)),IF($I53="FF",--($F53&lt;INDEX(Tasks[End Date],AJ53)),IF($I53="SF",--($F53&lt;INDEX(Tasks[Start Date],AJ53)),0)))),0)))</ns0:f>
        <ns0:v>0</ns0:v>
      </ns0:c>
      <ns0:c r="AM53" t="n">
        <ns0:f>IF(AND(A53&lt;&gt;"",AK53=0,EP53=0),1,0)</ns0:f>
        <ns0:v>0</ns0:v>
      </ns0:c>
      <ns0:c r="AN53" t="str">
        <ns0:f>IF(OR(A53="",B53=""),"",IF(COUNTIFS($B$7:B53,B53)=1,MAX($AN$6:AN52)+1,""))</ns0:f>
      </ns0:c>
      <ns0:c r="AO53" t="n">
        <ns0:f>IF(AND(A53&lt;&gt;"",J53="No",N53&lt;1,E53&gt;=AsOfDate),E53+ROW()/10000,1E+9)</ns0:f>
        <ns0:v>1000000000</ns0:v>
      </ns0:c>
      <ns0:c r="AP53" t="n">
        <ns0:f>IF(AND(A53&lt;&gt;"",J53="Yes",N53&lt;1,E53&gt;=AsOfDate),E53+ROW()/10000,1E+9)</ns0:f>
        <ns0:v>1000000000</ns0:v>
      </ns0:c>
      <ns0:c r="AQ53" t="n">
        <ns0:f>IF(AND(A53&lt;&gt;"",J53="No",N53&lt;1,F53&gt;=AsOfDate,F53&lt;=AsOfDate+7),F53+ROW()/10000,1E+9)</ns0:f>
        <ns0:v>1000000000</ns0:v>
      </ns0:c>
      <ns0:c r="AR53" t="n">
        <ns0:f>IF(AND(A53&lt;&gt;"",OR(O53&lt;&gt;"On track",Q53="Delayed")),ROW(),1E+9)</ns0:f>
        <ns0:v>1000000000</ns0:v>
      </ns0:c>
      <ns0:c r="AS53" t="str">
        <ns0:f>IF(A53="","",";"&amp;K53&amp;";")</ns0:f>
      </ns0:c>
      <ns0:c r="AT53" t="n">
        <ns0:f>IF(A53="",1,--(T53=0))</ns0:f>
        <ns0:v>1</ns0:v>
      </ns0:c>
      <ns0:c r="AU53" t="n">
        <ns0:f>IF($A53="",1,IF(AT53=1,1,--AND(IF($AC53&gt;0,INDEX(AT$7:AT$106,$AC53),1),IF($AD53&gt;0,INDEX(AT$7:AT$106,$AD53),1),IF($AE53&gt;0,INDEX(AT$7:AT$106,$AE53),1),IF($AF53&gt;0,INDEX(AT$7:AT$106,$AF53),1),IF($AG53&gt;0,INDEX(AT$7:AT$106,$AG53),1),IF($AH53&gt;0,INDEX(AT$7:AT$106,$AH53),1),IF($AI53&gt;0,INDEX(AT$7:AT$106,$AI53),1),IF($AJ53&gt;0,INDEX(AT$7:AT$106,$AJ53),1))))</ns0:f>
        <ns0:v>1</ns0:v>
      </ns0:c>
      <ns0:c r="AV53" t="n">
        <ns0:f>IF($A53="",1,IF(AU53=1,1,--AND(IF($AC53&gt;0,INDEX(AU$7:AU$106,$AC53),1),IF($AD53&gt;0,INDEX(AU$7:AU$106,$AD53),1),IF($AE53&gt;0,INDEX(AU$7:AU$106,$AE53),1),IF($AF53&gt;0,INDEX(AU$7:AU$106,$AF53),1),IF($AG53&gt;0,INDEX(AU$7:AU$106,$AG53),1),IF($AH53&gt;0,INDEX(AU$7:AU$106,$AH53),1),IF($AI53&gt;0,INDEX(AU$7:AU$106,$AI53),1),IF($AJ53&gt;0,INDEX(AU$7:AU$106,$AJ53),1))))</ns0:f>
        <ns0:v>1</ns0:v>
      </ns0:c>
      <ns0:c r="AW53" t="n">
        <ns0:f>IF($A53="",1,IF(AV53=1,1,--AND(IF($AC53&gt;0,INDEX(AV$7:AV$106,$AC53),1),IF($AD53&gt;0,INDEX(AV$7:AV$106,$AD53),1),IF($AE53&gt;0,INDEX(AV$7:AV$106,$AE53),1),IF($AF53&gt;0,INDEX(AV$7:AV$106,$AF53),1),IF($AG53&gt;0,INDEX(AV$7:AV$106,$AG53),1),IF($AH53&gt;0,INDEX(AV$7:AV$106,$AH53),1),IF($AI53&gt;0,INDEX(AV$7:AV$106,$AI53),1),IF($AJ53&gt;0,INDEX(AV$7:AV$106,$AJ53),1))))</ns0:f>
        <ns0:v>1</ns0:v>
      </ns0:c>
      <ns0:c r="AX53" t="n">
        <ns0:f>IF($A53="",1,IF(AW53=1,1,--AND(IF($AC53&gt;0,INDEX(AW$7:AW$106,$AC53),1),IF($AD53&gt;0,INDEX(AW$7:AW$106,$AD53),1),IF($AE53&gt;0,INDEX(AW$7:AW$106,$AE53),1),IF($AF53&gt;0,INDEX(AW$7:AW$106,$AF53),1),IF($AG53&gt;0,INDEX(AW$7:AW$106,$AG53),1),IF($AH53&gt;0,INDEX(AW$7:AW$106,$AH53),1),IF($AI53&gt;0,INDEX(AW$7:AW$106,$AI53),1),IF($AJ53&gt;0,INDEX(AW$7:AW$106,$AJ53),1))))</ns0:f>
        <ns0:v>1</ns0:v>
      </ns0:c>
      <ns0:c r="AY53" t="n">
        <ns0:f>IF($A53="",1,IF(AX53=1,1,--AND(IF($AC53&gt;0,INDEX(AX$7:AX$106,$AC53),1),IF($AD53&gt;0,INDEX(AX$7:AX$106,$AD53),1),IF($AE53&gt;0,INDEX(AX$7:AX$106,$AE53),1),IF($AF53&gt;0,INDEX(AX$7:AX$106,$AF53),1),IF($AG53&gt;0,INDEX(AX$7:AX$106,$AG53),1),IF($AH53&gt;0,INDEX(AX$7:AX$106,$AH53),1),IF($AI53&gt;0,INDEX(AX$7:AX$106,$AI53),1),IF($AJ53&gt;0,INDEX(AX$7:AX$106,$AJ53),1))))</ns0:f>
        <ns0:v>1</ns0:v>
      </ns0:c>
      <ns0:c r="AZ53" t="n">
        <ns0:f>IF($A53="",1,IF(AY53=1,1,--AND(IF($AC53&gt;0,INDEX(AY$7:AY$106,$AC53),1),IF($AD53&gt;0,INDEX(AY$7:AY$106,$AD53),1),IF($AE53&gt;0,INDEX(AY$7:AY$106,$AE53),1),IF($AF53&gt;0,INDEX(AY$7:AY$106,$AF53),1),IF($AG53&gt;0,INDEX(AY$7:AY$106,$AG53),1),IF($AH53&gt;0,INDEX(AY$7:AY$106,$AH53),1),IF($AI53&gt;0,INDEX(AY$7:AY$106,$AI53),1),IF($AJ53&gt;0,INDEX(AY$7:AY$106,$AJ53),1))))</ns0:f>
        <ns0:v>1</ns0:v>
      </ns0:c>
      <ns0:c r="BA53" t="n">
        <ns0:f>IF($A53="",1,IF(AZ53=1,1,--AND(IF($AC53&gt;0,INDEX(AZ$7:AZ$106,$AC53),1),IF($AD53&gt;0,INDEX(AZ$7:AZ$106,$AD53),1),IF($AE53&gt;0,INDEX(AZ$7:AZ$106,$AE53),1),IF($AF53&gt;0,INDEX(AZ$7:AZ$106,$AF53),1),IF($AG53&gt;0,INDEX(AZ$7:AZ$106,$AG53),1),IF($AH53&gt;0,INDEX(AZ$7:AZ$106,$AH53),1),IF($AI53&gt;0,INDEX(AZ$7:AZ$106,$AI53),1),IF($AJ53&gt;0,INDEX(AZ$7:AZ$106,$AJ53),1))))</ns0:f>
        <ns0:v>1</ns0:v>
      </ns0:c>
      <ns0:c r="BB53" t="n">
        <ns0:f>IF($A53="",1,IF(BA53=1,1,--AND(IF($AC53&gt;0,INDEX(BA$7:BA$106,$AC53),1),IF($AD53&gt;0,INDEX(BA$7:BA$106,$AD53),1),IF($AE53&gt;0,INDEX(BA$7:BA$106,$AE53),1),IF($AF53&gt;0,INDEX(BA$7:BA$106,$AF53),1),IF($AG53&gt;0,INDEX(BA$7:BA$106,$AG53),1),IF($AH53&gt;0,INDEX(BA$7:BA$106,$AH53),1),IF($AI53&gt;0,INDEX(BA$7:BA$106,$AI53),1),IF($AJ53&gt;0,INDEX(BA$7:BA$106,$AJ53),1))))</ns0:f>
        <ns0:v>1</ns0:v>
      </ns0:c>
      <ns0:c r="BC53" t="n">
        <ns0:f>IF($A53="",1,IF(BB53=1,1,--AND(IF($AC53&gt;0,INDEX(BB$7:BB$106,$AC53),1),IF($AD53&gt;0,INDEX(BB$7:BB$106,$AD53),1),IF($AE53&gt;0,INDEX(BB$7:BB$106,$AE53),1),IF($AF53&gt;0,INDEX(BB$7:BB$106,$AF53),1),IF($AG53&gt;0,INDEX(BB$7:BB$106,$AG53),1),IF($AH53&gt;0,INDEX(BB$7:BB$106,$AH53),1),IF($AI53&gt;0,INDEX(BB$7:BB$106,$AI53),1),IF($AJ53&gt;0,INDEX(BB$7:BB$106,$AJ53),1))))</ns0:f>
        <ns0:v>1</ns0:v>
      </ns0:c>
      <ns0:c r="BD53" t="n">
        <ns0:f>IF($A53="",1,IF(BC53=1,1,--AND(IF($AC53&gt;0,INDEX(BC$7:BC$106,$AC53),1),IF($AD53&gt;0,INDEX(BC$7:BC$106,$AD53),1),IF($AE53&gt;0,INDEX(BC$7:BC$106,$AE53),1),IF($AF53&gt;0,INDEX(BC$7:BC$106,$AF53),1),IF($AG53&gt;0,INDEX(BC$7:BC$106,$AG53),1),IF($AH53&gt;0,INDEX(BC$7:BC$106,$AH53),1),IF($AI53&gt;0,INDEX(BC$7:BC$106,$AI53),1),IF($AJ53&gt;0,INDEX(BC$7:BC$106,$AJ53),1))))</ns0:f>
        <ns0:v>1</ns0:v>
      </ns0:c>
      <ns0:c r="BE53" t="n">
        <ns0:f>IF($A53="",1,IF(BD53=1,1,--AND(IF($AC53&gt;0,INDEX(BD$7:BD$106,$AC53),1),IF($AD53&gt;0,INDEX(BD$7:BD$106,$AD53),1),IF($AE53&gt;0,INDEX(BD$7:BD$106,$AE53),1),IF($AF53&gt;0,INDEX(BD$7:BD$106,$AF53),1),IF($AG53&gt;0,INDEX(BD$7:BD$106,$AG53),1),IF($AH53&gt;0,INDEX(BD$7:BD$106,$AH53),1),IF($AI53&gt;0,INDEX(BD$7:BD$106,$AI53),1),IF($AJ53&gt;0,INDEX(BD$7:BD$106,$AJ53),1))))</ns0:f>
        <ns0:v>1</ns0:v>
      </ns0:c>
      <ns0:c r="BF53" t="n">
        <ns0:f>IF($A53="",1,IF(BE53=1,1,--AND(IF($AC53&gt;0,INDEX(BE$7:BE$106,$AC53),1),IF($AD53&gt;0,INDEX(BE$7:BE$106,$AD53),1),IF($AE53&gt;0,INDEX(BE$7:BE$106,$AE53),1),IF($AF53&gt;0,INDEX(BE$7:BE$106,$AF53),1),IF($AG53&gt;0,INDEX(BE$7:BE$106,$AG53),1),IF($AH53&gt;0,INDEX(BE$7:BE$106,$AH53),1),IF($AI53&gt;0,INDEX(BE$7:BE$106,$AI53),1),IF($AJ53&gt;0,INDEX(BE$7:BE$106,$AJ53),1))))</ns0:f>
        <ns0:v>1</ns0:v>
      </ns0:c>
      <ns0:c r="BG53" t="n">
        <ns0:f>IF($A53="",1,IF(BF53=1,1,--AND(IF($AC53&gt;0,INDEX(BF$7:BF$106,$AC53),1),IF($AD53&gt;0,INDEX(BF$7:BF$106,$AD53),1),IF($AE53&gt;0,INDEX(BF$7:BF$106,$AE53),1),IF($AF53&gt;0,INDEX(BF$7:BF$106,$AF53),1),IF($AG53&gt;0,INDEX(BF$7:BF$106,$AG53),1),IF($AH53&gt;0,INDEX(BF$7:BF$106,$AH53),1),IF($AI53&gt;0,INDEX(BF$7:BF$106,$AI53),1),IF($AJ53&gt;0,INDEX(BF$7:BF$106,$AJ53),1))))</ns0:f>
        <ns0:v>1</ns0:v>
      </ns0:c>
      <ns0:c r="BH53" t="n">
        <ns0:f>IF($A53="",1,IF(BG53=1,1,--AND(IF($AC53&gt;0,INDEX(BG$7:BG$106,$AC53),1),IF($AD53&gt;0,INDEX(BG$7:BG$106,$AD53),1),IF($AE53&gt;0,INDEX(BG$7:BG$106,$AE53),1),IF($AF53&gt;0,INDEX(BG$7:BG$106,$AF53),1),IF($AG53&gt;0,INDEX(BG$7:BG$106,$AG53),1),IF($AH53&gt;0,INDEX(BG$7:BG$106,$AH53),1),IF($AI53&gt;0,INDEX(BG$7:BG$106,$AI53),1),IF($AJ53&gt;0,INDEX(BG$7:BG$106,$AJ53),1))))</ns0:f>
        <ns0:v>1</ns0:v>
      </ns0:c>
      <ns0:c r="BI53" t="n">
        <ns0:f>IF($A53="",1,IF(BH53=1,1,--AND(IF($AC53&gt;0,INDEX(BH$7:BH$106,$AC53),1),IF($AD53&gt;0,INDEX(BH$7:BH$106,$AD53),1),IF($AE53&gt;0,INDEX(BH$7:BH$106,$AE53),1),IF($AF53&gt;0,INDEX(BH$7:BH$106,$AF53),1),IF($AG53&gt;0,INDEX(BH$7:BH$106,$AG53),1),IF($AH53&gt;0,INDEX(BH$7:BH$106,$AH53),1),IF($AI53&gt;0,INDEX(BH$7:BH$106,$AI53),1),IF($AJ53&gt;0,INDEX(BH$7:BH$106,$AJ53),1))))</ns0:f>
        <ns0:v>1</ns0:v>
      </ns0:c>
      <ns0:c r="BJ53" t="n">
        <ns0:f>IF($A53="",1,IF(BI53=1,1,--AND(IF($AC53&gt;0,INDEX(BI$7:BI$106,$AC53),1),IF($AD53&gt;0,INDEX(BI$7:BI$106,$AD53),1),IF($AE53&gt;0,INDEX(BI$7:BI$106,$AE53),1),IF($AF53&gt;0,INDEX(BI$7:BI$106,$AF53),1),IF($AG53&gt;0,INDEX(BI$7:BI$106,$AG53),1),IF($AH53&gt;0,INDEX(BI$7:BI$106,$AH53),1),IF($AI53&gt;0,INDEX(BI$7:BI$106,$AI53),1),IF($AJ53&gt;0,INDEX(BI$7:BI$106,$AJ53),1))))</ns0:f>
        <ns0:v>1</ns0:v>
      </ns0:c>
      <ns0:c r="BK53" t="n">
        <ns0:f>IF($A53="",1,IF(BJ53=1,1,--AND(IF($AC53&gt;0,INDEX(BJ$7:BJ$106,$AC53),1),IF($AD53&gt;0,INDEX(BJ$7:BJ$106,$AD53),1),IF($AE53&gt;0,INDEX(BJ$7:BJ$106,$AE53),1),IF($AF53&gt;0,INDEX(BJ$7:BJ$106,$AF53),1),IF($AG53&gt;0,INDEX(BJ$7:BJ$106,$AG53),1),IF($AH53&gt;0,INDEX(BJ$7:BJ$106,$AH53),1),IF($AI53&gt;0,INDEX(BJ$7:BJ$106,$AI53),1),IF($AJ53&gt;0,INDEX(BJ$7:BJ$106,$AJ53),1))))</ns0:f>
        <ns0:v>1</ns0:v>
      </ns0:c>
      <ns0:c r="BL53" t="n">
        <ns0:f>IF($A53="",1,IF(BK53=1,1,--AND(IF($AC53&gt;0,INDEX(BK$7:BK$106,$AC53),1),IF($AD53&gt;0,INDEX(BK$7:BK$106,$AD53),1),IF($AE53&gt;0,INDEX(BK$7:BK$106,$AE53),1),IF($AF53&gt;0,INDEX(BK$7:BK$106,$AF53),1),IF($AG53&gt;0,INDEX(BK$7:BK$106,$AG53),1),IF($AH53&gt;0,INDEX(BK$7:BK$106,$AH53),1),IF($AI53&gt;0,INDEX(BK$7:BK$106,$AI53),1),IF($AJ53&gt;0,INDEX(BK$7:BK$106,$AJ53),1))))</ns0:f>
        <ns0:v>1</ns0:v>
      </ns0:c>
      <ns0:c r="BM53" t="n">
        <ns0:f>IF($A53="",1,IF(BL53=1,1,--AND(IF($AC53&gt;0,INDEX(BL$7:BL$106,$AC53),1),IF($AD53&gt;0,INDEX(BL$7:BL$106,$AD53),1),IF($AE53&gt;0,INDEX(BL$7:BL$106,$AE53),1),IF($AF53&gt;0,INDEX(BL$7:BL$106,$AF53),1),IF($AG53&gt;0,INDEX(BL$7:BL$106,$AG53),1),IF($AH53&gt;0,INDEX(BL$7:BL$106,$AH53),1),IF($AI53&gt;0,INDEX(BL$7:BL$106,$AI53),1),IF($AJ53&gt;0,INDEX(BL$7:BL$106,$AJ53),1))))</ns0:f>
        <ns0:v>1</ns0:v>
      </ns0:c>
      <ns0:c r="BN53" t="n">
        <ns0:f>IF($A53="",1,IF(BM53=1,1,--AND(IF($AC53&gt;0,INDEX(BM$7:BM$106,$AC53),1),IF($AD53&gt;0,INDEX(BM$7:BM$106,$AD53),1),IF($AE53&gt;0,INDEX(BM$7:BM$106,$AE53),1),IF($AF53&gt;0,INDEX(BM$7:BM$106,$AF53),1),IF($AG53&gt;0,INDEX(BM$7:BM$106,$AG53),1),IF($AH53&gt;0,INDEX(BM$7:BM$106,$AH53),1),IF($AI53&gt;0,INDEX(BM$7:BM$106,$AI53),1),IF($AJ53&gt;0,INDEX(BM$7:BM$106,$AJ53),1))))</ns0:f>
        <ns0:v>1</ns0:v>
      </ns0:c>
      <ns0:c r="BO53" t="n">
        <ns0:f>IF($A53="",1,IF(BN53=1,1,--AND(IF($AC53&gt;0,INDEX(BN$7:BN$106,$AC53),1),IF($AD53&gt;0,INDEX(BN$7:BN$106,$AD53),1),IF($AE53&gt;0,INDEX(BN$7:BN$106,$AE53),1),IF($AF53&gt;0,INDEX(BN$7:BN$106,$AF53),1),IF($AG53&gt;0,INDEX(BN$7:BN$106,$AG53),1),IF($AH53&gt;0,INDEX(BN$7:BN$106,$AH53),1),IF($AI53&gt;0,INDEX(BN$7:BN$106,$AI53),1),IF($AJ53&gt;0,INDEX(BN$7:BN$106,$AJ53),1))))</ns0:f>
        <ns0:v>1</ns0:v>
      </ns0:c>
      <ns0:c r="BP53" t="n">
        <ns0:f>IF($A53="",1,IF(BO53=1,1,--AND(IF($AC53&gt;0,INDEX(BO$7:BO$106,$AC53),1),IF($AD53&gt;0,INDEX(BO$7:BO$106,$AD53),1),IF($AE53&gt;0,INDEX(BO$7:BO$106,$AE53),1),IF($AF53&gt;0,INDEX(BO$7:BO$106,$AF53),1),IF($AG53&gt;0,INDEX(BO$7:BO$106,$AG53),1),IF($AH53&gt;0,INDEX(BO$7:BO$106,$AH53),1),IF($AI53&gt;0,INDEX(BO$7:BO$106,$AI53),1),IF($AJ53&gt;0,INDEX(BO$7:BO$106,$AJ53),1))))</ns0:f>
        <ns0:v>1</ns0:v>
      </ns0:c>
      <ns0:c r="BQ53" t="n">
        <ns0:f>IF($A53="",1,IF(BP53=1,1,--AND(IF($AC53&gt;0,INDEX(BP$7:BP$106,$AC53),1),IF($AD53&gt;0,INDEX(BP$7:BP$106,$AD53),1),IF($AE53&gt;0,INDEX(BP$7:BP$106,$AE53),1),IF($AF53&gt;0,INDEX(BP$7:BP$106,$AF53),1),IF($AG53&gt;0,INDEX(BP$7:BP$106,$AG53),1),IF($AH53&gt;0,INDEX(BP$7:BP$106,$AH53),1),IF($AI53&gt;0,INDEX(BP$7:BP$106,$AI53),1),IF($AJ53&gt;0,INDEX(BP$7:BP$106,$AJ53),1))))</ns0:f>
        <ns0:v>1</ns0:v>
      </ns0:c>
      <ns0:c r="BR53" t="n">
        <ns0:f>IF($A53="",1,IF(BQ53=1,1,--AND(IF($AC53&gt;0,INDEX(BQ$7:BQ$106,$AC53),1),IF($AD53&gt;0,INDEX(BQ$7:BQ$106,$AD53),1),IF($AE53&gt;0,INDEX(BQ$7:BQ$106,$AE53),1),IF($AF53&gt;0,INDEX(BQ$7:BQ$106,$AF53),1),IF($AG53&gt;0,INDEX(BQ$7:BQ$106,$AG53),1),IF($AH53&gt;0,INDEX(BQ$7:BQ$106,$AH53),1),IF($AI53&gt;0,INDEX(BQ$7:BQ$106,$AI53),1),IF($AJ53&gt;0,INDEX(BQ$7:BQ$106,$AJ53),1))))</ns0:f>
        <ns0:v>1</ns0:v>
      </ns0:c>
      <ns0:c r="BS53" t="n">
        <ns0:f>IF($A53="",1,IF(BR53=1,1,--AND(IF($AC53&gt;0,INDEX(BR$7:BR$106,$AC53),1),IF($AD53&gt;0,INDEX(BR$7:BR$106,$AD53),1),IF($AE53&gt;0,INDEX(BR$7:BR$106,$AE53),1),IF($AF53&gt;0,INDEX(BR$7:BR$106,$AF53),1),IF($AG53&gt;0,INDEX(BR$7:BR$106,$AG53),1),IF($AH53&gt;0,INDEX(BR$7:BR$106,$AH53),1),IF($AI53&gt;0,INDEX(BR$7:BR$106,$AI53),1),IF($AJ53&gt;0,INDEX(BR$7:BR$106,$AJ53),1))))</ns0:f>
        <ns0:v>1</ns0:v>
      </ns0:c>
      <ns0:c r="BT53" t="n">
        <ns0:f>IF($A53="",1,IF(BS53=1,1,--AND(IF($AC53&gt;0,INDEX(BS$7:BS$106,$AC53),1),IF($AD53&gt;0,INDEX(BS$7:BS$106,$AD53),1),IF($AE53&gt;0,INDEX(BS$7:BS$106,$AE53),1),IF($AF53&gt;0,INDEX(BS$7:BS$106,$AF53),1),IF($AG53&gt;0,INDEX(BS$7:BS$106,$AG53),1),IF($AH53&gt;0,INDEX(BS$7:BS$106,$AH53),1),IF($AI53&gt;0,INDEX(BS$7:BS$106,$AI53),1),IF($AJ53&gt;0,INDEX(BS$7:BS$106,$AJ53),1))))</ns0:f>
        <ns0:v>1</ns0:v>
      </ns0:c>
      <ns0:c r="BU53" t="n">
        <ns0:f>IF($A53="",1,IF(BT53=1,1,--AND(IF($AC53&gt;0,INDEX(BT$7:BT$106,$AC53),1),IF($AD53&gt;0,INDEX(BT$7:BT$106,$AD53),1),IF($AE53&gt;0,INDEX(BT$7:BT$106,$AE53),1),IF($AF53&gt;0,INDEX(BT$7:BT$106,$AF53),1),IF($AG53&gt;0,INDEX(BT$7:BT$106,$AG53),1),IF($AH53&gt;0,INDEX(BT$7:BT$106,$AH53),1),IF($AI53&gt;0,INDEX(BT$7:BT$106,$AI53),1),IF($AJ53&gt;0,INDEX(BT$7:BT$106,$AJ53),1))))</ns0:f>
        <ns0:v>1</ns0:v>
      </ns0:c>
      <ns0:c r="BV53" t="n">
        <ns0:f>IF($A53="",1,IF(BU53=1,1,--AND(IF($AC53&gt;0,INDEX(BU$7:BU$106,$AC53),1),IF($AD53&gt;0,INDEX(BU$7:BU$106,$AD53),1),IF($AE53&gt;0,INDEX(BU$7:BU$106,$AE53),1),IF($AF53&gt;0,INDEX(BU$7:BU$106,$AF53),1),IF($AG53&gt;0,INDEX(BU$7:BU$106,$AG53),1),IF($AH53&gt;0,INDEX(BU$7:BU$106,$AH53),1),IF($AI53&gt;0,INDEX(BU$7:BU$106,$AI53),1),IF($AJ53&gt;0,INDEX(BU$7:BU$106,$AJ53),1))))</ns0:f>
        <ns0:v>1</ns0:v>
      </ns0:c>
      <ns0:c r="BW53" t="n">
        <ns0:f>IF($A53="",1,IF(BV53=1,1,--AND(IF($AC53&gt;0,INDEX(BV$7:BV$106,$AC53),1),IF($AD53&gt;0,INDEX(BV$7:BV$106,$AD53),1),IF($AE53&gt;0,INDEX(BV$7:BV$106,$AE53),1),IF($AF53&gt;0,INDEX(BV$7:BV$106,$AF53),1),IF($AG53&gt;0,INDEX(BV$7:BV$106,$AG53),1),IF($AH53&gt;0,INDEX(BV$7:BV$106,$AH53),1),IF($AI53&gt;0,INDEX(BV$7:BV$106,$AI53),1),IF($AJ53&gt;0,INDEX(BV$7:BV$106,$AJ53),1))))</ns0:f>
        <ns0:v>1</ns0:v>
      </ns0:c>
      <ns0:c r="BX53" t="n">
        <ns0:f>IF($A53="",1,IF(BW53=1,1,--AND(IF($AC53&gt;0,INDEX(BW$7:BW$106,$AC53),1),IF($AD53&gt;0,INDEX(BW$7:BW$106,$AD53),1),IF($AE53&gt;0,INDEX(BW$7:BW$106,$AE53),1),IF($AF53&gt;0,INDEX(BW$7:BW$106,$AF53),1),IF($AG53&gt;0,INDEX(BW$7:BW$106,$AG53),1),IF($AH53&gt;0,INDEX(BW$7:BW$106,$AH53),1),IF($AI53&gt;0,INDEX(BW$7:BW$106,$AI53),1),IF($AJ53&gt;0,INDEX(BW$7:BW$106,$AJ53),1))))</ns0:f>
        <ns0:v>1</ns0:v>
      </ns0:c>
      <ns0:c r="BY53" t="n">
        <ns0:f>IF($A53="",1,IF(BX53=1,1,--AND(IF($AC53&gt;0,INDEX(BX$7:BX$106,$AC53),1),IF($AD53&gt;0,INDEX(BX$7:BX$106,$AD53),1),IF($AE53&gt;0,INDEX(BX$7:BX$106,$AE53),1),IF($AF53&gt;0,INDEX(BX$7:BX$106,$AF53),1),IF($AG53&gt;0,INDEX(BX$7:BX$106,$AG53),1),IF($AH53&gt;0,INDEX(BX$7:BX$106,$AH53),1),IF($AI53&gt;0,INDEX(BX$7:BX$106,$AI53),1),IF($AJ53&gt;0,INDEX(BX$7:BX$106,$AJ53),1))))</ns0:f>
        <ns0:v>1</ns0:v>
      </ns0:c>
      <ns0:c r="BZ53" t="n">
        <ns0:f>IF($A53="",1,IF(BY53=1,1,--AND(IF($AC53&gt;0,INDEX(BY$7:BY$106,$AC53),1),IF($AD53&gt;0,INDEX(BY$7:BY$106,$AD53),1),IF($AE53&gt;0,INDEX(BY$7:BY$106,$AE53),1),IF($AF53&gt;0,INDEX(BY$7:BY$106,$AF53),1),IF($AG53&gt;0,INDEX(BY$7:BY$106,$AG53),1),IF($AH53&gt;0,INDEX(BY$7:BY$106,$AH53),1),IF($AI53&gt;0,INDEX(BY$7:BY$106,$AI53),1),IF($AJ53&gt;0,INDEX(BY$7:BY$106,$AJ53),1))))</ns0:f>
        <ns0:v>1</ns0:v>
      </ns0:c>
      <ns0:c r="CA53" t="n">
        <ns0:f>IF($A53="",1,IF(BZ53=1,1,--AND(IF($AC53&gt;0,INDEX(BZ$7:BZ$106,$AC53),1),IF($AD53&gt;0,INDEX(BZ$7:BZ$106,$AD53),1),IF($AE53&gt;0,INDEX(BZ$7:BZ$106,$AE53),1),IF($AF53&gt;0,INDEX(BZ$7:BZ$106,$AF53),1),IF($AG53&gt;0,INDEX(BZ$7:BZ$106,$AG53),1),IF($AH53&gt;0,INDEX(BZ$7:BZ$106,$AH53),1),IF($AI53&gt;0,INDEX(BZ$7:BZ$106,$AI53),1),IF($AJ53&gt;0,INDEX(BZ$7:BZ$106,$AJ53),1))))</ns0:f>
        <ns0:v>1</ns0:v>
      </ns0:c>
      <ns0:c r="CB53" t="n">
        <ns0:f>IF($A53="",1,IF(CA53=1,1,--AND(IF($AC53&gt;0,INDEX(CA$7:CA$106,$AC53),1),IF($AD53&gt;0,INDEX(CA$7:CA$106,$AD53),1),IF($AE53&gt;0,INDEX(CA$7:CA$106,$AE53),1),IF($AF53&gt;0,INDEX(CA$7:CA$106,$AF53),1),IF($AG53&gt;0,INDEX(CA$7:CA$106,$AG53),1),IF($AH53&gt;0,INDEX(CA$7:CA$106,$AH53),1),IF($AI53&gt;0,INDEX(CA$7:CA$106,$AI53),1),IF($AJ53&gt;0,INDEX(CA$7:CA$106,$AJ53),1))))</ns0:f>
        <ns0:v>1</ns0:v>
      </ns0:c>
      <ns0:c r="CC53" t="n">
        <ns0:f>IF($A53="",1,IF(CB53=1,1,--AND(IF($AC53&gt;0,INDEX(CB$7:CB$106,$AC53),1),IF($AD53&gt;0,INDEX(CB$7:CB$106,$AD53),1),IF($AE53&gt;0,INDEX(CB$7:CB$106,$AE53),1),IF($AF53&gt;0,INDEX(CB$7:CB$106,$AF53),1),IF($AG53&gt;0,INDEX(CB$7:CB$106,$AG53),1),IF($AH53&gt;0,INDEX(CB$7:CB$106,$AH53),1),IF($AI53&gt;0,INDEX(CB$7:CB$106,$AI53),1),IF($AJ53&gt;0,INDEX(CB$7:CB$106,$AJ53),1))))</ns0:f>
        <ns0:v>1</ns0:v>
      </ns0:c>
      <ns0:c r="CD53" t="n">
        <ns0:f>IF($A53="",1,IF(CC53=1,1,--AND(IF($AC53&gt;0,INDEX(CC$7:CC$106,$AC53),1),IF($AD53&gt;0,INDEX(CC$7:CC$106,$AD53),1),IF($AE53&gt;0,INDEX(CC$7:CC$106,$AE53),1),IF($AF53&gt;0,INDEX(CC$7:CC$106,$AF53),1),IF($AG53&gt;0,INDEX(CC$7:CC$106,$AG53),1),IF($AH53&gt;0,INDEX(CC$7:CC$106,$AH53),1),IF($AI53&gt;0,INDEX(CC$7:CC$106,$AI53),1),IF($AJ53&gt;0,INDEX(CC$7:CC$106,$AJ53),1))))</ns0:f>
        <ns0:v>1</ns0:v>
      </ns0:c>
      <ns0:c r="CE53" t="n">
        <ns0:f>IF($A53="",1,IF(CD53=1,1,--AND(IF($AC53&gt;0,INDEX(CD$7:CD$106,$AC53),1),IF($AD53&gt;0,INDEX(CD$7:CD$106,$AD53),1),IF($AE53&gt;0,INDEX(CD$7:CD$106,$AE53),1),IF($AF53&gt;0,INDEX(CD$7:CD$106,$AF53),1),IF($AG53&gt;0,INDEX(CD$7:CD$106,$AG53),1),IF($AH53&gt;0,INDEX(CD$7:CD$106,$AH53),1),IF($AI53&gt;0,INDEX(CD$7:CD$106,$AI53),1),IF($AJ53&gt;0,INDEX(CD$7:CD$106,$AJ53),1))))</ns0:f>
        <ns0:v>1</ns0:v>
      </ns0:c>
      <ns0:c r="CF53" t="n">
        <ns0:f>IF($A53="",1,IF(CE53=1,1,--AND(IF($AC53&gt;0,INDEX(CE$7:CE$106,$AC53),1),IF($AD53&gt;0,INDEX(CE$7:CE$106,$AD53),1),IF($AE53&gt;0,INDEX(CE$7:CE$106,$AE53),1),IF($AF53&gt;0,INDEX(CE$7:CE$106,$AF53),1),IF($AG53&gt;0,INDEX(CE$7:CE$106,$AG53),1),IF($AH53&gt;0,INDEX(CE$7:CE$106,$AH53),1),IF($AI53&gt;0,INDEX(CE$7:CE$106,$AI53),1),IF($AJ53&gt;0,INDEX(CE$7:CE$106,$AJ53),1))))</ns0:f>
        <ns0:v>1</ns0:v>
      </ns0:c>
      <ns0:c r="CG53" t="n">
        <ns0:f>IF($A53="",1,IF(CF53=1,1,--AND(IF($AC53&gt;0,INDEX(CF$7:CF$106,$AC53),1),IF($AD53&gt;0,INDEX(CF$7:CF$106,$AD53),1),IF($AE53&gt;0,INDEX(CF$7:CF$106,$AE53),1),IF($AF53&gt;0,INDEX(CF$7:CF$106,$AF53),1),IF($AG53&gt;0,INDEX(CF$7:CF$106,$AG53),1),IF($AH53&gt;0,INDEX(CF$7:CF$106,$AH53),1),IF($AI53&gt;0,INDEX(CF$7:CF$106,$AI53),1),IF($AJ53&gt;0,INDEX(CF$7:CF$106,$AJ53),1))))</ns0:f>
        <ns0:v>1</ns0:v>
      </ns0:c>
      <ns0:c r="CH53" t="n">
        <ns0:f>IF($A53="",1,IF(CG53=1,1,--AND(IF($AC53&gt;0,INDEX(CG$7:CG$106,$AC53),1),IF($AD53&gt;0,INDEX(CG$7:CG$106,$AD53),1),IF($AE53&gt;0,INDEX(CG$7:CG$106,$AE53),1),IF($AF53&gt;0,INDEX(CG$7:CG$106,$AF53),1),IF($AG53&gt;0,INDEX(CG$7:CG$106,$AG53),1),IF($AH53&gt;0,INDEX(CG$7:CG$106,$AH53),1),IF($AI53&gt;0,INDEX(CG$7:CG$106,$AI53),1),IF($AJ53&gt;0,INDEX(CG$7:CG$106,$AJ53),1))))</ns0:f>
        <ns0:v>1</ns0:v>
      </ns0:c>
      <ns0:c r="CI53" t="n">
        <ns0:f>IF($A53="",1,IF(CH53=1,1,--AND(IF($AC53&gt;0,INDEX(CH$7:CH$106,$AC53),1),IF($AD53&gt;0,INDEX(CH$7:CH$106,$AD53),1),IF($AE53&gt;0,INDEX(CH$7:CH$106,$AE53),1),IF($AF53&gt;0,INDEX(CH$7:CH$106,$AF53),1),IF($AG53&gt;0,INDEX(CH$7:CH$106,$AG53),1),IF($AH53&gt;0,INDEX(CH$7:CH$106,$AH53),1),IF($AI53&gt;0,INDEX(CH$7:CH$106,$AI53),1),IF($AJ53&gt;0,INDEX(CH$7:CH$106,$AJ53),1))))</ns0:f>
        <ns0:v>1</ns0:v>
      </ns0:c>
      <ns0:c r="CJ53" t="n">
        <ns0:f>IF($A53="",1,IF(CI53=1,1,--AND(IF($AC53&gt;0,INDEX(CI$7:CI$106,$AC53),1),IF($AD53&gt;0,INDEX(CI$7:CI$106,$AD53),1),IF($AE53&gt;0,INDEX(CI$7:CI$106,$AE53),1),IF($AF53&gt;0,INDEX(CI$7:CI$106,$AF53),1),IF($AG53&gt;0,INDEX(CI$7:CI$106,$AG53),1),IF($AH53&gt;0,INDEX(CI$7:CI$106,$AH53),1),IF($AI53&gt;0,INDEX(CI$7:CI$106,$AI53),1),IF($AJ53&gt;0,INDEX(CI$7:CI$106,$AJ53),1))))</ns0:f>
        <ns0:v>1</ns0:v>
      </ns0:c>
      <ns0:c r="CK53" t="n">
        <ns0:f>IF($A53="",1,IF(CJ53=1,1,--AND(IF($AC53&gt;0,INDEX(CJ$7:CJ$106,$AC53),1),IF($AD53&gt;0,INDEX(CJ$7:CJ$106,$AD53),1),IF($AE53&gt;0,INDEX(CJ$7:CJ$106,$AE53),1),IF($AF53&gt;0,INDEX(CJ$7:CJ$106,$AF53),1),IF($AG53&gt;0,INDEX(CJ$7:CJ$106,$AG53),1),IF($AH53&gt;0,INDEX(CJ$7:CJ$106,$AH53),1),IF($AI53&gt;0,INDEX(CJ$7:CJ$106,$AI53),1),IF($AJ53&gt;0,INDEX(CJ$7:CJ$106,$AJ53),1))))</ns0:f>
        <ns0:v>1</ns0:v>
      </ns0:c>
      <ns0:c r="CL53" t="n">
        <ns0:f>IF($A53="",1,IF(CK53=1,1,--AND(IF($AC53&gt;0,INDEX(CK$7:CK$106,$AC53),1),IF($AD53&gt;0,INDEX(CK$7:CK$106,$AD53),1),IF($AE53&gt;0,INDEX(CK$7:CK$106,$AE53),1),IF($AF53&gt;0,INDEX(CK$7:CK$106,$AF53),1),IF($AG53&gt;0,INDEX(CK$7:CK$106,$AG53),1),IF($AH53&gt;0,INDEX(CK$7:CK$106,$AH53),1),IF($AI53&gt;0,INDEX(CK$7:CK$106,$AI53),1),IF($AJ53&gt;0,INDEX(CK$7:CK$106,$AJ53),1))))</ns0:f>
        <ns0:v>1</ns0:v>
      </ns0:c>
      <ns0:c r="CM53" t="n">
        <ns0:f>IF($A53="",1,IF(CL53=1,1,--AND(IF($AC53&gt;0,INDEX(CL$7:CL$106,$AC53),1),IF($AD53&gt;0,INDEX(CL$7:CL$106,$AD53),1),IF($AE53&gt;0,INDEX(CL$7:CL$106,$AE53),1),IF($AF53&gt;0,INDEX(CL$7:CL$106,$AF53),1),IF($AG53&gt;0,INDEX(CL$7:CL$106,$AG53),1),IF($AH53&gt;0,INDEX(CL$7:CL$106,$AH53),1),IF($AI53&gt;0,INDEX(CL$7:CL$106,$AI53),1),IF($AJ53&gt;0,INDEX(CL$7:CL$106,$AJ53),1))))</ns0:f>
        <ns0:v>1</ns0:v>
      </ns0:c>
      <ns0:c r="CN53" t="n">
        <ns0:f>IF($A53="",1,IF(CM53=1,1,--AND(IF($AC53&gt;0,INDEX(CM$7:CM$106,$AC53),1),IF($AD53&gt;0,INDEX(CM$7:CM$106,$AD53),1),IF($AE53&gt;0,INDEX(CM$7:CM$106,$AE53),1),IF($AF53&gt;0,INDEX(CM$7:CM$106,$AF53),1),IF($AG53&gt;0,INDEX(CM$7:CM$106,$AG53),1),IF($AH53&gt;0,INDEX(CM$7:CM$106,$AH53),1),IF($AI53&gt;0,INDEX(CM$7:CM$106,$AI53),1),IF($AJ53&gt;0,INDEX(CM$7:CM$106,$AJ53),1))))</ns0:f>
        <ns0:v>1</ns0:v>
      </ns0:c>
      <ns0:c r="CO53" t="n">
        <ns0:f>IF($A53="",1,IF(CN53=1,1,--AND(IF($AC53&gt;0,INDEX(CN$7:CN$106,$AC53),1),IF($AD53&gt;0,INDEX(CN$7:CN$106,$AD53),1),IF($AE53&gt;0,INDEX(CN$7:CN$106,$AE53),1),IF($AF53&gt;0,INDEX(CN$7:CN$106,$AF53),1),IF($AG53&gt;0,INDEX(CN$7:CN$106,$AG53),1),IF($AH53&gt;0,INDEX(CN$7:CN$106,$AH53),1),IF($AI53&gt;0,INDEX(CN$7:CN$106,$AI53),1),IF($AJ53&gt;0,INDEX(CN$7:CN$106,$AJ53),1))))</ns0:f>
        <ns0:v>1</ns0:v>
      </ns0:c>
      <ns0:c r="CP53" t="n">
        <ns0:f>IF($A53="",1,IF(CO53=1,1,--AND(IF($AC53&gt;0,INDEX(CO$7:CO$106,$AC53),1),IF($AD53&gt;0,INDEX(CO$7:CO$106,$AD53),1),IF($AE53&gt;0,INDEX(CO$7:CO$106,$AE53),1),IF($AF53&gt;0,INDEX(CO$7:CO$106,$AF53),1),IF($AG53&gt;0,INDEX(CO$7:CO$106,$AG53),1),IF($AH53&gt;0,INDEX(CO$7:CO$106,$AH53),1),IF($AI53&gt;0,INDEX(CO$7:CO$106,$AI53),1),IF($AJ53&gt;0,INDEX(CO$7:CO$106,$AJ53),1))))</ns0:f>
        <ns0:v>1</ns0:v>
      </ns0:c>
      <ns0:c r="CQ53" t="n">
        <ns0:f>IF($A53="",1,IF(CP53=1,1,--AND(IF($AC53&gt;0,INDEX(CP$7:CP$106,$AC53),1),IF($AD53&gt;0,INDEX(CP$7:CP$106,$AD53),1),IF($AE53&gt;0,INDEX(CP$7:CP$106,$AE53),1),IF($AF53&gt;0,INDEX(CP$7:CP$106,$AF53),1),IF($AG53&gt;0,INDEX(CP$7:CP$106,$AG53),1),IF($AH53&gt;0,INDEX(CP$7:CP$106,$AH53),1),IF($AI53&gt;0,INDEX(CP$7:CP$106,$AI53),1),IF($AJ53&gt;0,INDEX(CP$7:CP$106,$AJ53),1))))</ns0:f>
        <ns0:v>1</ns0:v>
      </ns0:c>
      <ns0:c r="CR53" t="n">
        <ns0:f>IF($A53="",1,IF(CQ53=1,1,--AND(IF($AC53&gt;0,INDEX(CQ$7:CQ$106,$AC53),1),IF($AD53&gt;0,INDEX(CQ$7:CQ$106,$AD53),1),IF($AE53&gt;0,INDEX(CQ$7:CQ$106,$AE53),1),IF($AF53&gt;0,INDEX(CQ$7:CQ$106,$AF53),1),IF($AG53&gt;0,INDEX(CQ$7:CQ$106,$AG53),1),IF($AH53&gt;0,INDEX(CQ$7:CQ$106,$AH53),1),IF($AI53&gt;0,INDEX(CQ$7:CQ$106,$AI53),1),IF($AJ53&gt;0,INDEX(CQ$7:CQ$106,$AJ53),1))))</ns0:f>
        <ns0:v>1</ns0:v>
      </ns0:c>
      <ns0:c r="CS53" t="n">
        <ns0:f>IF($A53="",1,IF(CR53=1,1,--AND(IF($AC53&gt;0,INDEX(CR$7:CR$106,$AC53),1),IF($AD53&gt;0,INDEX(CR$7:CR$106,$AD53),1),IF($AE53&gt;0,INDEX(CR$7:CR$106,$AE53),1),IF($AF53&gt;0,INDEX(CR$7:CR$106,$AF53),1),IF($AG53&gt;0,INDEX(CR$7:CR$106,$AG53),1),IF($AH53&gt;0,INDEX(CR$7:CR$106,$AH53),1),IF($AI53&gt;0,INDEX(CR$7:CR$106,$AI53),1),IF($AJ53&gt;0,INDEX(CR$7:CR$106,$AJ53),1))))</ns0:f>
        <ns0:v>1</ns0:v>
      </ns0:c>
      <ns0:c r="CT53" t="n">
        <ns0:f>IF($A53="",1,IF(CS53=1,1,--AND(IF($AC53&gt;0,INDEX(CS$7:CS$106,$AC53),1),IF($AD53&gt;0,INDEX(CS$7:CS$106,$AD53),1),IF($AE53&gt;0,INDEX(CS$7:CS$106,$AE53),1),IF($AF53&gt;0,INDEX(CS$7:CS$106,$AF53),1),IF($AG53&gt;0,INDEX(CS$7:CS$106,$AG53),1),IF($AH53&gt;0,INDEX(CS$7:CS$106,$AH53),1),IF($AI53&gt;0,INDEX(CS$7:CS$106,$AI53),1),IF($AJ53&gt;0,INDEX(CS$7:CS$106,$AJ53),1))))</ns0:f>
        <ns0:v>1</ns0:v>
      </ns0:c>
      <ns0:c r="CU53" t="n">
        <ns0:f>IF($A53="",1,IF(CT53=1,1,--AND(IF($AC53&gt;0,INDEX(CT$7:CT$106,$AC53),1),IF($AD53&gt;0,INDEX(CT$7:CT$106,$AD53),1),IF($AE53&gt;0,INDEX(CT$7:CT$106,$AE53),1),IF($AF53&gt;0,INDEX(CT$7:CT$106,$AF53),1),IF($AG53&gt;0,INDEX(CT$7:CT$106,$AG53),1),IF($AH53&gt;0,INDEX(CT$7:CT$106,$AH53),1),IF($AI53&gt;0,INDEX(CT$7:CT$106,$AI53),1),IF($AJ53&gt;0,INDEX(CT$7:CT$106,$AJ53),1))))</ns0:f>
        <ns0:v>1</ns0:v>
      </ns0:c>
      <ns0:c r="CV53" t="n">
        <ns0:f>IF($A53="",1,IF(CU53=1,1,--AND(IF($AC53&gt;0,INDEX(CU$7:CU$106,$AC53),1),IF($AD53&gt;0,INDEX(CU$7:CU$106,$AD53),1),IF($AE53&gt;0,INDEX(CU$7:CU$106,$AE53),1),IF($AF53&gt;0,INDEX(CU$7:CU$106,$AF53),1),IF($AG53&gt;0,INDEX(CU$7:CU$106,$AG53),1),IF($AH53&gt;0,INDEX(CU$7:CU$106,$AH53),1),IF($AI53&gt;0,INDEX(CU$7:CU$106,$AI53),1),IF($AJ53&gt;0,INDEX(CU$7:CU$106,$AJ53),1))))</ns0:f>
        <ns0:v>1</ns0:v>
      </ns0:c>
      <ns0:c r="CW53" t="n">
        <ns0:f>IF($A53="",1,IF(CV53=1,1,--AND(IF($AC53&gt;0,INDEX(CV$7:CV$106,$AC53),1),IF($AD53&gt;0,INDEX(CV$7:CV$106,$AD53),1),IF($AE53&gt;0,INDEX(CV$7:CV$106,$AE53),1),IF($AF53&gt;0,INDEX(CV$7:CV$106,$AF53),1),IF($AG53&gt;0,INDEX(CV$7:CV$106,$AG53),1),IF($AH53&gt;0,INDEX(CV$7:CV$106,$AH53),1),IF($AI53&gt;0,INDEX(CV$7:CV$106,$AI53),1),IF($AJ53&gt;0,INDEX(CV$7:CV$106,$AJ53),1))))</ns0:f>
        <ns0:v>1</ns0:v>
      </ns0:c>
      <ns0:c r="CX53" t="n">
        <ns0:f>IF($A53="",1,IF(CW53=1,1,--AND(IF($AC53&gt;0,INDEX(CW$7:CW$106,$AC53),1),IF($AD53&gt;0,INDEX(CW$7:CW$106,$AD53),1),IF($AE53&gt;0,INDEX(CW$7:CW$106,$AE53),1),IF($AF53&gt;0,INDEX(CW$7:CW$106,$AF53),1),IF($AG53&gt;0,INDEX(CW$7:CW$106,$AG53),1),IF($AH53&gt;0,INDEX(CW$7:CW$106,$AH53),1),IF($AI53&gt;0,INDEX(CW$7:CW$106,$AI53),1),IF($AJ53&gt;0,INDEX(CW$7:CW$106,$AJ53),1))))</ns0:f>
        <ns0:v>1</ns0:v>
      </ns0:c>
      <ns0:c r="CY53" t="n">
        <ns0:f>IF($A53="",1,IF(CX53=1,1,--AND(IF($AC53&gt;0,INDEX(CX$7:CX$106,$AC53),1),IF($AD53&gt;0,INDEX(CX$7:CX$106,$AD53),1),IF($AE53&gt;0,INDEX(CX$7:CX$106,$AE53),1),IF($AF53&gt;0,INDEX(CX$7:CX$106,$AF53),1),IF($AG53&gt;0,INDEX(CX$7:CX$106,$AG53),1),IF($AH53&gt;0,INDEX(CX$7:CX$106,$AH53),1),IF($AI53&gt;0,INDEX(CX$7:CX$106,$AI53),1),IF($AJ53&gt;0,INDEX(CX$7:CX$106,$AJ53),1))))</ns0:f>
        <ns0:v>1</ns0:v>
      </ns0:c>
      <ns0:c r="CZ53" t="n">
        <ns0:f>IF($A53="",1,IF(CY53=1,1,--AND(IF($AC53&gt;0,INDEX(CY$7:CY$106,$AC53),1),IF($AD53&gt;0,INDEX(CY$7:CY$106,$AD53),1),IF($AE53&gt;0,INDEX(CY$7:CY$106,$AE53),1),IF($AF53&gt;0,INDEX(CY$7:CY$106,$AF53),1),IF($AG53&gt;0,INDEX(CY$7:CY$106,$AG53),1),IF($AH53&gt;0,INDEX(CY$7:CY$106,$AH53),1),IF($AI53&gt;0,INDEX(CY$7:CY$106,$AI53),1),IF($AJ53&gt;0,INDEX(CY$7:CY$106,$AJ53),1))))</ns0:f>
        <ns0:v>1</ns0:v>
      </ns0:c>
      <ns0:c r="DA53" t="n">
        <ns0:f>IF($A53="",1,IF(CZ53=1,1,--AND(IF($AC53&gt;0,INDEX(CZ$7:CZ$106,$AC53),1),IF($AD53&gt;0,INDEX(CZ$7:CZ$106,$AD53),1),IF($AE53&gt;0,INDEX(CZ$7:CZ$106,$AE53),1),IF($AF53&gt;0,INDEX(CZ$7:CZ$106,$AF53),1),IF($AG53&gt;0,INDEX(CZ$7:CZ$106,$AG53),1),IF($AH53&gt;0,INDEX(CZ$7:CZ$106,$AH53),1),IF($AI53&gt;0,INDEX(CZ$7:CZ$106,$AI53),1),IF($AJ53&gt;0,INDEX(CZ$7:CZ$106,$AJ53),1))))</ns0:f>
        <ns0:v>1</ns0:v>
      </ns0:c>
      <ns0:c r="DB53" t="n">
        <ns0:f>IF($A53="",1,IF(DA53=1,1,--AND(IF($AC53&gt;0,INDEX(DA$7:DA$106,$AC53),1),IF($AD53&gt;0,INDEX(DA$7:DA$106,$AD53),1),IF($AE53&gt;0,INDEX(DA$7:DA$106,$AE53),1),IF($AF53&gt;0,INDEX(DA$7:DA$106,$AF53),1),IF($AG53&gt;0,INDEX(DA$7:DA$106,$AG53),1),IF($AH53&gt;0,INDEX(DA$7:DA$106,$AH53),1),IF($AI53&gt;0,INDEX(DA$7:DA$106,$AI53),1),IF($AJ53&gt;0,INDEX(DA$7:DA$106,$AJ53),1))))</ns0:f>
        <ns0:v>1</ns0:v>
      </ns0:c>
      <ns0:c r="DC53" t="n">
        <ns0:f>IF($A53="",1,IF(DB53=1,1,--AND(IF($AC53&gt;0,INDEX(DB$7:DB$106,$AC53),1),IF($AD53&gt;0,INDEX(DB$7:DB$106,$AD53),1),IF($AE53&gt;0,INDEX(DB$7:DB$106,$AE53),1),IF($AF53&gt;0,INDEX(DB$7:DB$106,$AF53),1),IF($AG53&gt;0,INDEX(DB$7:DB$106,$AG53),1),IF($AH53&gt;0,INDEX(DB$7:DB$106,$AH53),1),IF($AI53&gt;0,INDEX(DB$7:DB$106,$AI53),1),IF($AJ53&gt;0,INDEX(DB$7:DB$106,$AJ53),1))))</ns0:f>
        <ns0:v>1</ns0:v>
      </ns0:c>
      <ns0:c r="DD53" t="n">
        <ns0:f>IF($A53="",1,IF(DC53=1,1,--AND(IF($AC53&gt;0,INDEX(DC$7:DC$106,$AC53),1),IF($AD53&gt;0,INDEX(DC$7:DC$106,$AD53),1),IF($AE53&gt;0,INDEX(DC$7:DC$106,$AE53),1),IF($AF53&gt;0,INDEX(DC$7:DC$106,$AF53),1),IF($AG53&gt;0,INDEX(DC$7:DC$106,$AG53),1),IF($AH53&gt;0,INDEX(DC$7:DC$106,$AH53),1),IF($AI53&gt;0,INDEX(DC$7:DC$106,$AI53),1),IF($AJ53&gt;0,INDEX(DC$7:DC$106,$AJ53),1))))</ns0:f>
        <ns0:v>1</ns0:v>
      </ns0:c>
      <ns0:c r="DE53" t="n">
        <ns0:f>IF($A53="",1,IF(DD53=1,1,--AND(IF($AC53&gt;0,INDEX(DD$7:DD$106,$AC53),1),IF($AD53&gt;0,INDEX(DD$7:DD$106,$AD53),1),IF($AE53&gt;0,INDEX(DD$7:DD$106,$AE53),1),IF($AF53&gt;0,INDEX(DD$7:DD$106,$AF53),1),IF($AG53&gt;0,INDEX(DD$7:DD$106,$AG53),1),IF($AH53&gt;0,INDEX(DD$7:DD$106,$AH53),1),IF($AI53&gt;0,INDEX(DD$7:DD$106,$AI53),1),IF($AJ53&gt;0,INDEX(DD$7:DD$106,$AJ53),1))))</ns0:f>
        <ns0:v>1</ns0:v>
      </ns0:c>
      <ns0:c r="DF53" t="n">
        <ns0:f>IF($A53="",1,IF(DE53=1,1,--AND(IF($AC53&gt;0,INDEX(DE$7:DE$106,$AC53),1),IF($AD53&gt;0,INDEX(DE$7:DE$106,$AD53),1),IF($AE53&gt;0,INDEX(DE$7:DE$106,$AE53),1),IF($AF53&gt;0,INDEX(DE$7:DE$106,$AF53),1),IF($AG53&gt;0,INDEX(DE$7:DE$106,$AG53),1),IF($AH53&gt;0,INDEX(DE$7:DE$106,$AH53),1),IF($AI53&gt;0,INDEX(DE$7:DE$106,$AI53),1),IF($AJ53&gt;0,INDEX(DE$7:DE$106,$AJ53),1))))</ns0:f>
        <ns0:v>1</ns0:v>
      </ns0:c>
      <ns0:c r="DG53" t="n">
        <ns0:f>IF($A53="",1,IF(DF53=1,1,--AND(IF($AC53&gt;0,INDEX(DF$7:DF$106,$AC53),1),IF($AD53&gt;0,INDEX(DF$7:DF$106,$AD53),1),IF($AE53&gt;0,INDEX(DF$7:DF$106,$AE53),1),IF($AF53&gt;0,INDEX(DF$7:DF$106,$AF53),1),IF($AG53&gt;0,INDEX(DF$7:DF$106,$AG53),1),IF($AH53&gt;0,INDEX(DF$7:DF$106,$AH53),1),IF($AI53&gt;0,INDEX(DF$7:DF$106,$AI53),1),IF($AJ53&gt;0,INDEX(DF$7:DF$106,$AJ53),1))))</ns0:f>
        <ns0:v>1</ns0:v>
      </ns0:c>
      <ns0:c r="DH53" t="n">
        <ns0:f>IF($A53="",1,IF(DG53=1,1,--AND(IF($AC53&gt;0,INDEX(DG$7:DG$106,$AC53),1),IF($AD53&gt;0,INDEX(DG$7:DG$106,$AD53),1),IF($AE53&gt;0,INDEX(DG$7:DG$106,$AE53),1),IF($AF53&gt;0,INDEX(DG$7:DG$106,$AF53),1),IF($AG53&gt;0,INDEX(DG$7:DG$106,$AG53),1),IF($AH53&gt;0,INDEX(DG$7:DG$106,$AH53),1),IF($AI53&gt;0,INDEX(DG$7:DG$106,$AI53),1),IF($AJ53&gt;0,INDEX(DG$7:DG$106,$AJ53),1))))</ns0:f>
        <ns0:v>1</ns0:v>
      </ns0:c>
      <ns0:c r="DI53" t="n">
        <ns0:f>IF($A53="",1,IF(DH53=1,1,--AND(IF($AC53&gt;0,INDEX(DH$7:DH$106,$AC53),1),IF($AD53&gt;0,INDEX(DH$7:DH$106,$AD53),1),IF($AE53&gt;0,INDEX(DH$7:DH$106,$AE53),1),IF($AF53&gt;0,INDEX(DH$7:DH$106,$AF53),1),IF($AG53&gt;0,INDEX(DH$7:DH$106,$AG53),1),IF($AH53&gt;0,INDEX(DH$7:DH$106,$AH53),1),IF($AI53&gt;0,INDEX(DH$7:DH$106,$AI53),1),IF($AJ53&gt;0,INDEX(DH$7:DH$106,$AJ53),1))))</ns0:f>
        <ns0:v>1</ns0:v>
      </ns0:c>
      <ns0:c r="DJ53" t="n">
        <ns0:f>IF($A53="",1,IF(DI53=1,1,--AND(IF($AC53&gt;0,INDEX(DI$7:DI$106,$AC53),1),IF($AD53&gt;0,INDEX(DI$7:DI$106,$AD53),1),IF($AE53&gt;0,INDEX(DI$7:DI$106,$AE53),1),IF($AF53&gt;0,INDEX(DI$7:DI$106,$AF53),1),IF($AG53&gt;0,INDEX(DI$7:DI$106,$AG53),1),IF($AH53&gt;0,INDEX(DI$7:DI$106,$AH53),1),IF($AI53&gt;0,INDEX(DI$7:DI$106,$AI53),1),IF($AJ53&gt;0,INDEX(DI$7:DI$106,$AJ53),1))))</ns0:f>
        <ns0:v>1</ns0:v>
      </ns0:c>
      <ns0:c r="DK53" t="n">
        <ns0:f>IF($A53="",1,IF(DJ53=1,1,--AND(IF($AC53&gt;0,INDEX(DJ$7:DJ$106,$AC53),1),IF($AD53&gt;0,INDEX(DJ$7:DJ$106,$AD53),1),IF($AE53&gt;0,INDEX(DJ$7:DJ$106,$AE53),1),IF($AF53&gt;0,INDEX(DJ$7:DJ$106,$AF53),1),IF($AG53&gt;0,INDEX(DJ$7:DJ$106,$AG53),1),IF($AH53&gt;0,INDEX(DJ$7:DJ$106,$AH53),1),IF($AI53&gt;0,INDEX(DJ$7:DJ$106,$AI53),1),IF($AJ53&gt;0,INDEX(DJ$7:DJ$106,$AJ53),1))))</ns0:f>
        <ns0:v>1</ns0:v>
      </ns0:c>
      <ns0:c r="DL53" t="n">
        <ns0:f>IF($A53="",1,IF(DK53=1,1,--AND(IF($AC53&gt;0,INDEX(DK$7:DK$106,$AC53),1),IF($AD53&gt;0,INDEX(DK$7:DK$106,$AD53),1),IF($AE53&gt;0,INDEX(DK$7:DK$106,$AE53),1),IF($AF53&gt;0,INDEX(DK$7:DK$106,$AF53),1),IF($AG53&gt;0,INDEX(DK$7:DK$106,$AG53),1),IF($AH53&gt;0,INDEX(DK$7:DK$106,$AH53),1),IF($AI53&gt;0,INDEX(DK$7:DK$106,$AI53),1),IF($AJ53&gt;0,INDEX(DK$7:DK$106,$AJ53),1))))</ns0:f>
        <ns0:v>1</ns0:v>
      </ns0:c>
      <ns0:c r="DM53" t="n">
        <ns0:f>IF($A53="",1,IF(DL53=1,1,--AND(IF($AC53&gt;0,INDEX(DL$7:DL$106,$AC53),1),IF($AD53&gt;0,INDEX(DL$7:DL$106,$AD53),1),IF($AE53&gt;0,INDEX(DL$7:DL$106,$AE53),1),IF($AF53&gt;0,INDEX(DL$7:DL$106,$AF53),1),IF($AG53&gt;0,INDEX(DL$7:DL$106,$AG53),1),IF($AH53&gt;0,INDEX(DL$7:DL$106,$AH53),1),IF($AI53&gt;0,INDEX(DL$7:DL$106,$AI53),1),IF($AJ53&gt;0,INDEX(DL$7:DL$106,$AJ53),1))))</ns0:f>
        <ns0:v>1</ns0:v>
      </ns0:c>
      <ns0:c r="DN53" t="n">
        <ns0:f>IF($A53="",1,IF(DM53=1,1,--AND(IF($AC53&gt;0,INDEX(DM$7:DM$106,$AC53),1),IF($AD53&gt;0,INDEX(DM$7:DM$106,$AD53),1),IF($AE53&gt;0,INDEX(DM$7:DM$106,$AE53),1),IF($AF53&gt;0,INDEX(DM$7:DM$106,$AF53),1),IF($AG53&gt;0,INDEX(DM$7:DM$106,$AG53),1),IF($AH53&gt;0,INDEX(DM$7:DM$106,$AH53),1),IF($AI53&gt;0,INDEX(DM$7:DM$106,$AI53),1),IF($AJ53&gt;0,INDEX(DM$7:DM$106,$AJ53),1))))</ns0:f>
        <ns0:v>1</ns0:v>
      </ns0:c>
      <ns0:c r="DO53" t="n">
        <ns0:f>IF($A53="",1,IF(DN53=1,1,--AND(IF($AC53&gt;0,INDEX(DN$7:DN$106,$AC53),1),IF($AD53&gt;0,INDEX(DN$7:DN$106,$AD53),1),IF($AE53&gt;0,INDEX(DN$7:DN$106,$AE53),1),IF($AF53&gt;0,INDEX(DN$7:DN$106,$AF53),1),IF($AG53&gt;0,INDEX(DN$7:DN$106,$AG53),1),IF($AH53&gt;0,INDEX(DN$7:DN$106,$AH53),1),IF($AI53&gt;0,INDEX(DN$7:DN$106,$AI53),1),IF($AJ53&gt;0,INDEX(DN$7:DN$106,$AJ53),1))))</ns0:f>
        <ns0:v>1</ns0:v>
      </ns0:c>
      <ns0:c r="DP53" t="n">
        <ns0:f>IF($A53="",1,IF(DO53=1,1,--AND(IF($AC53&gt;0,INDEX(DO$7:DO$106,$AC53),1),IF($AD53&gt;0,INDEX(DO$7:DO$106,$AD53),1),IF($AE53&gt;0,INDEX(DO$7:DO$106,$AE53),1),IF($AF53&gt;0,INDEX(DO$7:DO$106,$AF53),1),IF($AG53&gt;0,INDEX(DO$7:DO$106,$AG53),1),IF($AH53&gt;0,INDEX(DO$7:DO$106,$AH53),1),IF($AI53&gt;0,INDEX(DO$7:DO$106,$AI53),1),IF($AJ53&gt;0,INDEX(DO$7:DO$106,$AJ53),1))))</ns0:f>
        <ns0:v>1</ns0:v>
      </ns0:c>
      <ns0:c r="DQ53" t="n">
        <ns0:f>IF($A53="",1,IF(DP53=1,1,--AND(IF($AC53&gt;0,INDEX(DP$7:DP$106,$AC53),1),IF($AD53&gt;0,INDEX(DP$7:DP$106,$AD53),1),IF($AE53&gt;0,INDEX(DP$7:DP$106,$AE53),1),IF($AF53&gt;0,INDEX(DP$7:DP$106,$AF53),1),IF($AG53&gt;0,INDEX(DP$7:DP$106,$AG53),1),IF($AH53&gt;0,INDEX(DP$7:DP$106,$AH53),1),IF($AI53&gt;0,INDEX(DP$7:DP$106,$AI53),1),IF($AJ53&gt;0,INDEX(DP$7:DP$106,$AJ53),1))))</ns0:f>
        <ns0:v>1</ns0:v>
      </ns0:c>
      <ns0:c r="DR53" t="n">
        <ns0:f>IF($A53="",1,IF(DQ53=1,1,--AND(IF($AC53&gt;0,INDEX(DQ$7:DQ$106,$AC53),1),IF($AD53&gt;0,INDEX(DQ$7:DQ$106,$AD53),1),IF($AE53&gt;0,INDEX(DQ$7:DQ$106,$AE53),1),IF($AF53&gt;0,INDEX(DQ$7:DQ$106,$AF53),1),IF($AG53&gt;0,INDEX(DQ$7:DQ$106,$AG53),1),IF($AH53&gt;0,INDEX(DQ$7:DQ$106,$AH53),1),IF($AI53&gt;0,INDEX(DQ$7:DQ$106,$AI53),1),IF($AJ53&gt;0,INDEX(DQ$7:DQ$106,$AJ53),1))))</ns0:f>
        <ns0:v>1</ns0:v>
      </ns0:c>
      <ns0:c r="DS53" t="n">
        <ns0:f>IF($A53="",1,IF(DR53=1,1,--AND(IF($AC53&gt;0,INDEX(DR$7:DR$106,$AC53),1),IF($AD53&gt;0,INDEX(DR$7:DR$106,$AD53),1),IF($AE53&gt;0,INDEX(DR$7:DR$106,$AE53),1),IF($AF53&gt;0,INDEX(DR$7:DR$106,$AF53),1),IF($AG53&gt;0,INDEX(DR$7:DR$106,$AG53),1),IF($AH53&gt;0,INDEX(DR$7:DR$106,$AH53),1),IF($AI53&gt;0,INDEX(DR$7:DR$106,$AI53),1),IF($AJ53&gt;0,INDEX(DR$7:DR$106,$AJ53),1))))</ns0:f>
        <ns0:v>1</ns0:v>
      </ns0:c>
      <ns0:c r="DT53" t="n">
        <ns0:f>IF($A53="",1,IF(DS53=1,1,--AND(IF($AC53&gt;0,INDEX(DS$7:DS$106,$AC53),1),IF($AD53&gt;0,INDEX(DS$7:DS$106,$AD53),1),IF($AE53&gt;0,INDEX(DS$7:DS$106,$AE53),1),IF($AF53&gt;0,INDEX(DS$7:DS$106,$AF53),1),IF($AG53&gt;0,INDEX(DS$7:DS$106,$AG53),1),IF($AH53&gt;0,INDEX(DS$7:DS$106,$AH53),1),IF($AI53&gt;0,INDEX(DS$7:DS$106,$AI53),1),IF($AJ53&gt;0,INDEX(DS$7:DS$106,$AJ53),1))))</ns0:f>
        <ns0:v>1</ns0:v>
      </ns0:c>
      <ns0:c r="DU53" t="n">
        <ns0:f>IF($A53="",1,IF(DT53=1,1,--AND(IF($AC53&gt;0,INDEX(DT$7:DT$106,$AC53),1),IF($AD53&gt;0,INDEX(DT$7:DT$106,$AD53),1),IF($AE53&gt;0,INDEX(DT$7:DT$106,$AE53),1),IF($AF53&gt;0,INDEX(DT$7:DT$106,$AF53),1),IF($AG53&gt;0,INDEX(DT$7:DT$106,$AG53),1),IF($AH53&gt;0,INDEX(DT$7:DT$106,$AH53),1),IF($AI53&gt;0,INDEX(DT$7:DT$106,$AI53),1),IF($AJ53&gt;0,INDEX(DT$7:DT$106,$AJ53),1))))</ns0:f>
        <ns0:v>1</ns0:v>
      </ns0:c>
      <ns0:c r="DV53" t="n">
        <ns0:f>IF($A53="",1,IF(DU53=1,1,--AND(IF($AC53&gt;0,INDEX(DU$7:DU$106,$AC53),1),IF($AD53&gt;0,INDEX(DU$7:DU$106,$AD53),1),IF($AE53&gt;0,INDEX(DU$7:DU$106,$AE53),1),IF($AF53&gt;0,INDEX(DU$7:DU$106,$AF53),1),IF($AG53&gt;0,INDEX(DU$7:DU$106,$AG53),1),IF($AH53&gt;0,INDEX(DU$7:DU$106,$AH53),1),IF($AI53&gt;0,INDEX(DU$7:DU$106,$AI53),1),IF($AJ53&gt;0,INDEX(DU$7:DU$106,$AJ53),1))))</ns0:f>
        <ns0:v>1</ns0:v>
      </ns0:c>
      <ns0:c r="DW53" t="n">
        <ns0:f>IF($A53="",1,IF(DV53=1,1,--AND(IF($AC53&gt;0,INDEX(DV$7:DV$106,$AC53),1),IF($AD53&gt;0,INDEX(DV$7:DV$106,$AD53),1),IF($AE53&gt;0,INDEX(DV$7:DV$106,$AE53),1),IF($AF53&gt;0,INDEX(DV$7:DV$106,$AF53),1),IF($AG53&gt;0,INDEX(DV$7:DV$106,$AG53),1),IF($AH53&gt;0,INDEX(DV$7:DV$106,$AH53),1),IF($AI53&gt;0,INDEX(DV$7:DV$106,$AI53),1),IF($AJ53&gt;0,INDEX(DV$7:DV$106,$AJ53),1))))</ns0:f>
        <ns0:v>1</ns0:v>
      </ns0:c>
      <ns0:c r="DX53" t="n">
        <ns0:f>IF($A53="",1,IF(DW53=1,1,--AND(IF($AC53&gt;0,INDEX(DW$7:DW$106,$AC53),1),IF($AD53&gt;0,INDEX(DW$7:DW$106,$AD53),1),IF($AE53&gt;0,INDEX(DW$7:DW$106,$AE53),1),IF($AF53&gt;0,INDEX(DW$7:DW$106,$AF53),1),IF($AG53&gt;0,INDEX(DW$7:DW$106,$AG53),1),IF($AH53&gt;0,INDEX(DW$7:DW$106,$AH53),1),IF($AI53&gt;0,INDEX(DW$7:DW$106,$AI53),1),IF($AJ53&gt;0,INDEX(DW$7:DW$106,$AJ53),1))))</ns0:f>
        <ns0:v>1</ns0:v>
      </ns0:c>
      <ns0:c r="DY53" t="n">
        <ns0:f>IF($A53="",1,IF(DX53=1,1,--AND(IF($AC53&gt;0,INDEX(DX$7:DX$106,$AC53),1),IF($AD53&gt;0,INDEX(DX$7:DX$106,$AD53),1),IF($AE53&gt;0,INDEX(DX$7:DX$106,$AE53),1),IF($AF53&gt;0,INDEX(DX$7:DX$106,$AF53),1),IF($AG53&gt;0,INDEX(DX$7:DX$106,$AG53),1),IF($AH53&gt;0,INDEX(DX$7:DX$106,$AH53),1),IF($AI53&gt;0,INDEX(DX$7:DX$106,$AI53),1),IF($AJ53&gt;0,INDEX(DX$7:DX$106,$AJ53),1))))</ns0:f>
        <ns0:v>1</ns0:v>
      </ns0:c>
      <ns0:c r="DZ53" t="n">
        <ns0:f>IF($A53="",1,IF(DY53=1,1,--AND(IF($AC53&gt;0,INDEX(DY$7:DY$106,$AC53),1),IF($AD53&gt;0,INDEX(DY$7:DY$106,$AD53),1),IF($AE53&gt;0,INDEX(DY$7:DY$106,$AE53),1),IF($AF53&gt;0,INDEX(DY$7:DY$106,$AF53),1),IF($AG53&gt;0,INDEX(DY$7:DY$106,$AG53),1),IF($AH53&gt;0,INDEX(DY$7:DY$106,$AH53),1),IF($AI53&gt;0,INDEX(DY$7:DY$106,$AI53),1),IF($AJ53&gt;0,INDEX(DY$7:DY$106,$AJ53),1))))</ns0:f>
        <ns0:v>1</ns0:v>
      </ns0:c>
      <ns0:c r="EA53" t="n">
        <ns0:f>IF($A53="",1,IF(DZ53=1,1,--AND(IF($AC53&gt;0,INDEX(DZ$7:DZ$106,$AC53),1),IF($AD53&gt;0,INDEX(DZ$7:DZ$106,$AD53),1),IF($AE53&gt;0,INDEX(DZ$7:DZ$106,$AE53),1),IF($AF53&gt;0,INDEX(DZ$7:DZ$106,$AF53),1),IF($AG53&gt;0,INDEX(DZ$7:DZ$106,$AG53),1),IF($AH53&gt;0,INDEX(DZ$7:DZ$106,$AH53),1),IF($AI53&gt;0,INDEX(DZ$7:DZ$106,$AI53),1),IF($AJ53&gt;0,INDEX(DZ$7:DZ$106,$AJ53),1))))</ns0:f>
        <ns0:v>1</ns0:v>
      </ns0:c>
      <ns0:c r="EB53" t="n">
        <ns0:f>IF($A53="",1,IF(EA53=1,1,--AND(IF($AC53&gt;0,INDEX(EA$7:EA$106,$AC53),1),IF($AD53&gt;0,INDEX(EA$7:EA$106,$AD53),1),IF($AE53&gt;0,INDEX(EA$7:EA$106,$AE53),1),IF($AF53&gt;0,INDEX(EA$7:EA$106,$AF53),1),IF($AG53&gt;0,INDEX(EA$7:EA$106,$AG53),1),IF($AH53&gt;0,INDEX(EA$7:EA$106,$AH53),1),IF($AI53&gt;0,INDEX(EA$7:EA$106,$AI53),1),IF($AJ53&gt;0,INDEX(EA$7:EA$106,$AJ53),1))))</ns0:f>
        <ns0:v>1</ns0:v>
      </ns0:c>
      <ns0:c r="EC53" t="n">
        <ns0:f>IF($A53="",1,IF(EB53=1,1,--AND(IF($AC53&gt;0,INDEX(EB$7:EB$106,$AC53),1),IF($AD53&gt;0,INDEX(EB$7:EB$106,$AD53),1),IF($AE53&gt;0,INDEX(EB$7:EB$106,$AE53),1),IF($AF53&gt;0,INDEX(EB$7:EB$106,$AF53),1),IF($AG53&gt;0,INDEX(EB$7:EB$106,$AG53),1),IF($AH53&gt;0,INDEX(EB$7:EB$106,$AH53),1),IF($AI53&gt;0,INDEX(EB$7:EB$106,$AI53),1),IF($AJ53&gt;0,INDEX(EB$7:EB$106,$AJ53),1))))</ns0:f>
        <ns0:v>1</ns0:v>
      </ns0:c>
      <ns0:c r="ED53" t="n">
        <ns0:f>IF($A53="",1,IF(EC53=1,1,--AND(IF($AC53&gt;0,INDEX(EC$7:EC$106,$AC53),1),IF($AD53&gt;0,INDEX(EC$7:EC$106,$AD53),1),IF($AE53&gt;0,INDEX(EC$7:EC$106,$AE53),1),IF($AF53&gt;0,INDEX(EC$7:EC$106,$AF53),1),IF($AG53&gt;0,INDEX(EC$7:EC$106,$AG53),1),IF($AH53&gt;0,INDEX(EC$7:EC$106,$AH53),1),IF($AI53&gt;0,INDEX(EC$7:EC$106,$AI53),1),IF($AJ53&gt;0,INDEX(EC$7:EC$106,$AJ53),1))))</ns0:f>
        <ns0:v>1</ns0:v>
      </ns0:c>
      <ns0:c r="EE53" t="n">
        <ns0:f>IF($A53="",1,IF(ED53=1,1,--AND(IF($AC53&gt;0,INDEX(ED$7:ED$106,$AC53),1),IF($AD53&gt;0,INDEX(ED$7:ED$106,$AD53),1),IF($AE53&gt;0,INDEX(ED$7:ED$106,$AE53),1),IF($AF53&gt;0,INDEX(ED$7:ED$106,$AF53),1),IF($AG53&gt;0,INDEX(ED$7:ED$106,$AG53),1),IF($AH53&gt;0,INDEX(ED$7:ED$106,$AH53),1),IF($AI53&gt;0,INDEX(ED$7:ED$106,$AI53),1),IF($AJ53&gt;0,INDEX(ED$7:ED$106,$AJ53),1))))</ns0:f>
        <ns0:v>1</ns0:v>
      </ns0:c>
      <ns0:c r="EF53" t="n">
        <ns0:f>IF($A53="",1,IF(EE53=1,1,--AND(IF($AC53&gt;0,INDEX(EE$7:EE$106,$AC53),1),IF($AD53&gt;0,INDEX(EE$7:EE$106,$AD53),1),IF($AE53&gt;0,INDEX(EE$7:EE$106,$AE53),1),IF($AF53&gt;0,INDEX(EE$7:EE$106,$AF53),1),IF($AG53&gt;0,INDEX(EE$7:EE$106,$AG53),1),IF($AH53&gt;0,INDEX(EE$7:EE$106,$AH53),1),IF($AI53&gt;0,INDEX(EE$7:EE$106,$AI53),1),IF($AJ53&gt;0,INDEX(EE$7:EE$106,$AJ53),1))))</ns0:f>
        <ns0:v>1</ns0:v>
      </ns0:c>
      <ns0:c r="EG53" t="n">
        <ns0:f>IF($A53="",1,IF(EF53=1,1,--AND(IF($AC53&gt;0,INDEX(EF$7:EF$106,$AC53),1),IF($AD53&gt;0,INDEX(EF$7:EF$106,$AD53),1),IF($AE53&gt;0,INDEX(EF$7:EF$106,$AE53),1),IF($AF53&gt;0,INDEX(EF$7:EF$106,$AF53),1),IF($AG53&gt;0,INDEX(EF$7:EF$106,$AG53),1),IF($AH53&gt;0,INDEX(EF$7:EF$106,$AH53),1),IF($AI53&gt;0,INDEX(EF$7:EF$106,$AI53),1),IF($AJ53&gt;0,INDEX(EF$7:EF$106,$AJ53),1))))</ns0:f>
        <ns0:v>1</ns0:v>
      </ns0:c>
      <ns0:c r="EH53" t="n">
        <ns0:f>IF($A53="",1,IF(EG53=1,1,--AND(IF($AC53&gt;0,INDEX(EG$7:EG$106,$AC53),1),IF($AD53&gt;0,INDEX(EG$7:EG$106,$AD53),1),IF($AE53&gt;0,INDEX(EG$7:EG$106,$AE53),1),IF($AF53&gt;0,INDEX(EG$7:EG$106,$AF53),1),IF($AG53&gt;0,INDEX(EG$7:EG$106,$AG53),1),IF($AH53&gt;0,INDEX(EG$7:EG$106,$AH53),1),IF($AI53&gt;0,INDEX(EG$7:EG$106,$AI53),1),IF($AJ53&gt;0,INDEX(EG$7:EG$106,$AJ53),1))))</ns0:f>
        <ns0:v>1</ns0:v>
      </ns0:c>
      <ns0:c r="EI53" t="n">
        <ns0:f>IF($A53="",1,IF(EH53=1,1,--AND(IF($AC53&gt;0,INDEX(EH$7:EH$106,$AC53),1),IF($AD53&gt;0,INDEX(EH$7:EH$106,$AD53),1),IF($AE53&gt;0,INDEX(EH$7:EH$106,$AE53),1),IF($AF53&gt;0,INDEX(EH$7:EH$106,$AF53),1),IF($AG53&gt;0,INDEX(EH$7:EH$106,$AG53),1),IF($AH53&gt;0,INDEX(EH$7:EH$106,$AH53),1),IF($AI53&gt;0,INDEX(EH$7:EH$106,$AI53),1),IF($AJ53&gt;0,INDEX(EH$7:EH$106,$AJ53),1))))</ns0:f>
        <ns0:v>1</ns0:v>
      </ns0:c>
      <ns0:c r="EJ53" t="n">
        <ns0:f>IF($A53="",1,IF(EI53=1,1,--AND(IF($AC53&gt;0,INDEX(EI$7:EI$106,$AC53),1),IF($AD53&gt;0,INDEX(EI$7:EI$106,$AD53),1),IF($AE53&gt;0,INDEX(EI$7:EI$106,$AE53),1),IF($AF53&gt;0,INDEX(EI$7:EI$106,$AF53),1),IF($AG53&gt;0,INDEX(EI$7:EI$106,$AG53),1),IF($AH53&gt;0,INDEX(EI$7:EI$106,$AH53),1),IF($AI53&gt;0,INDEX(EI$7:EI$106,$AI53),1),IF($AJ53&gt;0,INDEX(EI$7:EI$106,$AJ53),1))))</ns0:f>
        <ns0:v>1</ns0:v>
      </ns0:c>
      <ns0:c r="EK53" t="n">
        <ns0:f>IF($A53="",1,IF(EJ53=1,1,--AND(IF($AC53&gt;0,INDEX(EJ$7:EJ$106,$AC53),1),IF($AD53&gt;0,INDEX(EJ$7:EJ$106,$AD53),1),IF($AE53&gt;0,INDEX(EJ$7:EJ$106,$AE53),1),IF($AF53&gt;0,INDEX(EJ$7:EJ$106,$AF53),1),IF($AG53&gt;0,INDEX(EJ$7:EJ$106,$AG53),1),IF($AH53&gt;0,INDEX(EJ$7:EJ$106,$AH53),1),IF($AI53&gt;0,INDEX(EJ$7:EJ$106,$AI53),1),IF($AJ53&gt;0,INDEX(EJ$7:EJ$106,$AJ53),1))))</ns0:f>
        <ns0:v>1</ns0:v>
      </ns0:c>
      <ns0:c r="EL53" t="n">
        <ns0:f>IF($A53="",1,IF(EK53=1,1,--AND(IF($AC53&gt;0,INDEX(EK$7:EK$106,$AC53),1),IF($AD53&gt;0,INDEX(EK$7:EK$106,$AD53),1),IF($AE53&gt;0,INDEX(EK$7:EK$106,$AE53),1),IF($AF53&gt;0,INDEX(EK$7:EK$106,$AF53),1),IF($AG53&gt;0,INDEX(EK$7:EK$106,$AG53),1),IF($AH53&gt;0,INDEX(EK$7:EK$106,$AH53),1),IF($AI53&gt;0,INDEX(EK$7:EK$106,$AI53),1),IF($AJ53&gt;0,INDEX(EK$7:EK$106,$AJ53),1))))</ns0:f>
        <ns0:v>1</ns0:v>
      </ns0:c>
      <ns0:c r="EM53" t="n">
        <ns0:f>IF($A53="",1,IF(EL53=1,1,--AND(IF($AC53&gt;0,INDEX(EL$7:EL$106,$AC53),1),IF($AD53&gt;0,INDEX(EL$7:EL$106,$AD53),1),IF($AE53&gt;0,INDEX(EL$7:EL$106,$AE53),1),IF($AF53&gt;0,INDEX(EL$7:EL$106,$AF53),1),IF($AG53&gt;0,INDEX(EL$7:EL$106,$AG53),1),IF($AH53&gt;0,INDEX(EL$7:EL$106,$AH53),1),IF($AI53&gt;0,INDEX(EL$7:EL$106,$AI53),1),IF($AJ53&gt;0,INDEX(EL$7:EL$106,$AJ53),1))))</ns0:f>
        <ns0:v>1</ns0:v>
      </ns0:c>
      <ns0:c r="EN53" t="n">
        <ns0:f>IF($A53="",1,IF(EM53=1,1,--AND(IF($AC53&gt;0,INDEX(EM$7:EM$106,$AC53),1),IF($AD53&gt;0,INDEX(EM$7:EM$106,$AD53),1),IF($AE53&gt;0,INDEX(EM$7:EM$106,$AE53),1),IF($AF53&gt;0,INDEX(EM$7:EM$106,$AF53),1),IF($AG53&gt;0,INDEX(EM$7:EM$106,$AG53),1),IF($AH53&gt;0,INDEX(EM$7:EM$106,$AH53),1),IF($AI53&gt;0,INDEX(EM$7:EM$106,$AI53),1),IF($AJ53&gt;0,INDEX(EM$7:EM$106,$AJ53),1))))</ns0:f>
        <ns0:v>1</ns0:v>
      </ns0:c>
      <ns0:c r="EO53" t="n">
        <ns0:f>IF($A53="",1,IF(EN53=1,1,--AND(IF($AC53&gt;0,INDEX(EN$7:EN$106,$AC53),1),IF($AD53&gt;0,INDEX(EN$7:EN$106,$AD53),1),IF($AE53&gt;0,INDEX(EN$7:EN$106,$AE53),1),IF($AF53&gt;0,INDEX(EN$7:EN$106,$AF53),1),IF($AG53&gt;0,INDEX(EN$7:EN$106,$AG53),1),IF($AH53&gt;0,INDEX(EN$7:EN$106,$AH53),1),IF($AI53&gt;0,INDEX(EN$7:EN$106,$AI53),1),IF($AJ53&gt;0,INDEX(EN$7:EN$106,$AJ53),1))))</ns0:f>
        <ns0:v>1</ns0:v>
      </ns0:c>
      <ns0:c r="EP53" t="n">
        <ns0:f>IF($A53="",1,IF(EO53=1,1,--AND(IF($AC53&gt;0,INDEX(EO$7:EO$106,$AC53),1),IF($AD53&gt;0,INDEX(EO$7:EO$106,$AD53),1),IF($AE53&gt;0,INDEX(EO$7:EO$106,$AE53),1),IF($AF53&gt;0,INDEX(EO$7:EO$106,$AF53),1),IF($AG53&gt;0,INDEX(EO$7:EO$106,$AG53),1),IF($AH53&gt;0,INDEX(EO$7:EO$106,$AH53),1),IF($AI53&gt;0,INDEX(EO$7:EO$106,$AI53),1),IF($AJ53&gt;0,INDEX(EO$7:EO$106,$AJ53),1))))</ns0:f>
        <ns0:v>1</ns0:v>
      </ns0:c>
      <ns0:c r="EQ53" t="n">
        <ns0:f>IF(OR(A53="",NOT(ISNUMBER(G53))),0,G53*N53)</ns0:f>
        <ns0:v>0</ns0:v>
      </ns0:c>
    </ns0:row>
    <ns0:row r="54" ht="62" customHeight="1">
      <ns0:c r="A54" s="48"/>
      <ns0:c r="B54" s="48"/>
      <ns0:c r="C54" s="48"/>
      <ns0:c r="D54" s="48"/>
      <ns0:c r="E54" s="49"/>
      <ns0:c r="F54" s="49"/>
      <ns0:c r="G54" s="13" t="str">
        <ns0:f>IF(A54="","",IF(OR(NOT(ISNUMBER(E54)),NOT(ISNUMBER(F54)),F54&lt;E54),"",IF(J54="Yes",0,F54-E54+1)))</ns0:f>
      </ns0:c>
      <ns0:c r="H54" s="48"/>
      <ns0:c r="I54" s="48"/>
      <ns0:c r="J54" s="48"/>
      <ns0:c r="K54" s="48"/>
      <ns0:c r="L54" s="48"/>
      <ns0:c r="M54" s="50" t="str">
        <ns0:f>IF(A54="","",IF(N54=1,"Completed",IF(N54&gt;0,"In Progress","Not Started")))</ns0:f>
      </ns0:c>
      <ns0:c r="N54" s="51"/>
      <ns0:c r="O54" s="13" t="str">
        <ns0:f>IF(A54="","",IF(R54&lt;&gt;"","[CONFLICT] "&amp;R54,IF(S54&lt;&gt;"","[CONFLICT] "&amp;S54,IF(OR(NOT(ISNUMBER(N54)),N54&lt;0,N54&gt;1),"[CONFLICT] Invalid progress",IF(AK54&gt;0,"[DEPENDENCY ISSUE] Missing ID / &gt;8 links",IF(AM54&gt;0,"[DEPENDENCY ISSUE] Cycle or blocked by cycle",IF(AND(H54&lt;&gt;"",ISNA(MATCH(I54,{"FS","SS","FF","SF"},0))),"[DEPENDENCY ISSUE] Invalid type",IF(AL54&gt;0,"[DEPENDENCY ISSUE] Timing conflict",IF(OR(E54&lt;ProjectStart,F54&gt;ProjectEnd),"[OUTSIDE WINDOW]",IF(AND(N54&lt;1,F54&lt;AsOfDate),"Overdue",IF(AND(M54&lt;&gt;Q54,M54&lt;&gt;""),"[CONFLICT] Status / progress","On track")))))))))))</ns0:f>
      </ns0:c>
      <ns0:c r="P54" s="52"/>
      <ns0:c r="Q54" t="str">
        <ns0:f>IF(A54="","",IF(OR(M54="On Hold",M54="Delayed"),M54,IF(N54=1,"Completed",IF(N54&gt;0,"In Progress","Not Started"))))</ns0:f>
      </ns0:c>
      <ns0:c r="R54" t="str">
        <ns0:f>IF(A54="","",IF(COUNTIFS(Tasks[Task ID],A54)&lt;&gt;1,"Duplicate ID",""))</ns0:f>
      </ns0:c>
      <ns0:c r="S54" t="str">
        <ns0:f>IF(A54="","",IF(OR(NOT(ISNUMBER(E54)),NOT(ISNUMBER(F54))),"Invalid / missing date",IF(OR(E54&lt;&gt;INT(E54),F54&lt;&gt;INT(F54),E54&lt;1,F54&gt;2958465),"Invalid date",IF(F54&lt;E54,"End before start",IF(AND(J54="Yes",E54&lt;&gt;F54),"Milestone needs one date","")))))</ns0:f>
      </ns0:c>
      <ns0:c r="T54" t="n">
        <ns0:f>IF(H54="",0,LEN(H54)-LEN(SUBSTITUTE(H54,",",""))+1)</ns0:f>
        <ns0:v>0</ns0:v>
      </ns0:c>
      <ns0:c r="U54" t="str">
        <ns0:f>TRIM(MID(SUBSTITUTE($H54,",",REPT(" ",100)),1,100))</ns0:f>
      </ns0:c>
      <ns0:c r="V54" t="str">
        <ns0:f>TRIM(MID(SUBSTITUTE($H54,",",REPT(" ",100)),101,100))</ns0:f>
      </ns0:c>
      <ns0:c r="W54" t="str">
        <ns0:f>TRIM(MID(SUBSTITUTE($H54,",",REPT(" ",100)),201,100))</ns0:f>
      </ns0:c>
      <ns0:c r="X54" t="str">
        <ns0:f>TRIM(MID(SUBSTITUTE($H54,",",REPT(" ",100)),301,100))</ns0:f>
      </ns0:c>
      <ns0:c r="Y54" t="str">
        <ns0:f>TRIM(MID(SUBSTITUTE($H54,",",REPT(" ",100)),401,100))</ns0:f>
      </ns0:c>
      <ns0:c r="Z54" t="str">
        <ns0:f>TRIM(MID(SUBSTITUTE($H54,",",REPT(" ",100)),501,100))</ns0:f>
      </ns0:c>
      <ns0:c r="AA54" t="str">
        <ns0:f>TRIM(MID(SUBSTITUTE($H54,",",REPT(" ",100)),601,100))</ns0:f>
      </ns0:c>
      <ns0:c r="AB54" t="str">
        <ns0:f>TRIM(MID(SUBSTITUTE($H54,",",REPT(" ",100)),701,100))</ns0:f>
      </ns0:c>
      <ns0:c r="AC54" t="n">
        <ns0:f>IF(U54="",0,IF(COUNTIFS(Tasks[Task ID],U54)=1,MATCH(U54,Tasks[Task ID],0),-1))</ns0:f>
        <ns0:v>0</ns0:v>
      </ns0:c>
      <ns0:c r="AD54" t="n">
        <ns0:f>IF(V54="",0,IF(COUNTIFS(Tasks[Task ID],V54)=1,MATCH(V54,Tasks[Task ID],0),-1))</ns0:f>
        <ns0:v>0</ns0:v>
      </ns0:c>
      <ns0:c r="AE54" t="n">
        <ns0:f>IF(W54="",0,IF(COUNTIFS(Tasks[Task ID],W54)=1,MATCH(W54,Tasks[Task ID],0),-1))</ns0:f>
        <ns0:v>0</ns0:v>
      </ns0:c>
      <ns0:c r="AF54" t="n">
        <ns0:f>IF(X54="",0,IF(COUNTIFS(Tasks[Task ID],X54)=1,MATCH(X54,Tasks[Task ID],0),-1))</ns0:f>
        <ns0:v>0</ns0:v>
      </ns0:c>
      <ns0:c r="AG54" t="n">
        <ns0:f>IF(Y54="",0,IF(COUNTIFS(Tasks[Task ID],Y54)=1,MATCH(Y54,Tasks[Task ID],0),-1))</ns0:f>
        <ns0:v>0</ns0:v>
      </ns0:c>
      <ns0:c r="AH54" t="n">
        <ns0:f>IF(Z54="",0,IF(COUNTIFS(Tasks[Task ID],Z54)=1,MATCH(Z54,Tasks[Task ID],0),-1))</ns0:f>
        <ns0:v>0</ns0:v>
      </ns0:c>
      <ns0:c r="AI54" t="n">
        <ns0:f>IF(AA54="",0,IF(COUNTIFS(Tasks[Task ID],AA54)=1,MATCH(AA54,Tasks[Task ID],0),-1))</ns0:f>
        <ns0:v>0</ns0:v>
      </ns0:c>
      <ns0:c r="AJ54" t="n">
        <ns0:f>IF(AB54="",0,IF(COUNTIFS(Tasks[Task ID],AB54)=1,MATCH(AB54,Tasks[Task ID],0),-1))</ns0:f>
        <ns0:v>0</ns0:v>
      </ns0:c>
      <ns0:c r="AK54" t="n">
        <ns0:f>COUNTIFS(AC54:AJ54,-1)+IF(T54&gt;8,1,0)</ns0:f>
        <ns0:v>0</ns0:v>
      </ns0:c>
      <ns0:c r="AL54" t="n">
        <ns0:f>IF(OR(A54="",S54&lt;&gt;""),0,SUM(IF(AC54&gt;0,IF($I54="FS",--($E54&lt;INDEX(Tasks[End Date],AC54)+IF(INDEX(Tasks[Milestone],AC54)="Yes",0,1)),IF($I54="SS",--($E54&lt;INDEX(Tasks[Start Date],AC54)),IF($I54="FF",--($F54&lt;INDEX(Tasks[End Date],AC54)),IF($I54="SF",--($F54&lt;INDEX(Tasks[Start Date],AC54)),0)))),0),IF(AD54&gt;0,IF($I54="FS",--($E54&lt;INDEX(Tasks[End Date],AD54)+IF(INDEX(Tasks[Milestone],AD54)="Yes",0,1)),IF($I54="SS",--($E54&lt;INDEX(Tasks[Start Date],AD54)),IF($I54="FF",--($F54&lt;INDEX(Tasks[End Date],AD54)),IF($I54="SF",--($F54&lt;INDEX(Tasks[Start Date],AD54)),0)))),0),IF(AE54&gt;0,IF($I54="FS",--($E54&lt;INDEX(Tasks[End Date],AE54)+IF(INDEX(Tasks[Milestone],AE54)="Yes",0,1)),IF($I54="SS",--($E54&lt;INDEX(Tasks[Start Date],AE54)),IF($I54="FF",--($F54&lt;INDEX(Tasks[End Date],AE54)),IF($I54="SF",--($F54&lt;INDEX(Tasks[Start Date],AE54)),0)))),0),IF(AF54&gt;0,IF($I54="FS",--($E54&lt;INDEX(Tasks[End Date],AF54)+IF(INDEX(Tasks[Milestone],AF54)="Yes",0,1)),IF($I54="SS",--($E54&lt;INDEX(Tasks[Start Date],AF54)),IF($I54="FF",--($F54&lt;INDEX(Tasks[End Date],AF54)),IF($I54="SF",--($F54&lt;INDEX(Tasks[Start Date],AF54)),0)))),0),IF(AG54&gt;0,IF($I54="FS",--($E54&lt;INDEX(Tasks[End Date],AG54)+IF(INDEX(Tasks[Milestone],AG54)="Yes",0,1)),IF($I54="SS",--($E54&lt;INDEX(Tasks[Start Date],AG54)),IF($I54="FF",--($F54&lt;INDEX(Tasks[End Date],AG54)),IF($I54="SF",--($F54&lt;INDEX(Tasks[Start Date],AG54)),0)))),0),IF(AH54&gt;0,IF($I54="FS",--($E54&lt;INDEX(Tasks[End Date],AH54)+IF(INDEX(Tasks[Milestone],AH54)="Yes",0,1)),IF($I54="SS",--($E54&lt;INDEX(Tasks[Start Date],AH54)),IF($I54="FF",--($F54&lt;INDEX(Tasks[End Date],AH54)),IF($I54="SF",--($F54&lt;INDEX(Tasks[Start Date],AH54)),0)))),0),IF(AI54&gt;0,IF($I54="FS",--($E54&lt;INDEX(Tasks[End Date],AI54)+IF(INDEX(Tasks[Milestone],AI54)="Yes",0,1)),IF($I54="SS",--($E54&lt;INDEX(Tasks[Start Date],AI54)),IF($I54="FF",--($F54&lt;INDEX(Tasks[End Date],AI54)),IF($I54="SF",--($F54&lt;INDEX(Tasks[Start Date],AI54)),0)))),0),IF(AJ54&gt;0,IF($I54="FS",--($E54&lt;INDEX(Tasks[End Date],AJ54)+IF(INDEX(Tasks[Milestone],AJ54)="Yes",0,1)),IF($I54="SS",--($E54&lt;INDEX(Tasks[Start Date],AJ54)),IF($I54="FF",--($F54&lt;INDEX(Tasks[End Date],AJ54)),IF($I54="SF",--($F54&lt;INDEX(Tasks[Start Date],AJ54)),0)))),0)))</ns0:f>
        <ns0:v>0</ns0:v>
      </ns0:c>
      <ns0:c r="AM54" t="n">
        <ns0:f>IF(AND(A54&lt;&gt;"",AK54=0,EP54=0),1,0)</ns0:f>
        <ns0:v>0</ns0:v>
      </ns0:c>
      <ns0:c r="AN54" t="str">
        <ns0:f>IF(OR(A54="",B54=""),"",IF(COUNTIFS($B$7:B54,B54)=1,MAX($AN$6:AN53)+1,""))</ns0:f>
      </ns0:c>
      <ns0:c r="AO54" t="n">
        <ns0:f>IF(AND(A54&lt;&gt;"",J54="No",N54&lt;1,E54&gt;=AsOfDate),E54+ROW()/10000,1E+9)</ns0:f>
        <ns0:v>1000000000</ns0:v>
      </ns0:c>
      <ns0:c r="AP54" t="n">
        <ns0:f>IF(AND(A54&lt;&gt;"",J54="Yes",N54&lt;1,E54&gt;=AsOfDate),E54+ROW()/10000,1E+9)</ns0:f>
        <ns0:v>1000000000</ns0:v>
      </ns0:c>
      <ns0:c r="AQ54" t="n">
        <ns0:f>IF(AND(A54&lt;&gt;"",J54="No",N54&lt;1,F54&gt;=AsOfDate,F54&lt;=AsOfDate+7),F54+ROW()/10000,1E+9)</ns0:f>
        <ns0:v>1000000000</ns0:v>
      </ns0:c>
      <ns0:c r="AR54" t="n">
        <ns0:f>IF(AND(A54&lt;&gt;"",OR(O54&lt;&gt;"On track",Q54="Delayed")),ROW(),1E+9)</ns0:f>
        <ns0:v>1000000000</ns0:v>
      </ns0:c>
      <ns0:c r="AS54" t="str">
        <ns0:f>IF(A54="","",";"&amp;K54&amp;";")</ns0:f>
      </ns0:c>
      <ns0:c r="AT54" t="n">
        <ns0:f>IF(A54="",1,--(T54=0))</ns0:f>
        <ns0:v>1</ns0:v>
      </ns0:c>
      <ns0:c r="AU54" t="n">
        <ns0:f>IF($A54="",1,IF(AT54=1,1,--AND(IF($AC54&gt;0,INDEX(AT$7:AT$106,$AC54),1),IF($AD54&gt;0,INDEX(AT$7:AT$106,$AD54),1),IF($AE54&gt;0,INDEX(AT$7:AT$106,$AE54),1),IF($AF54&gt;0,INDEX(AT$7:AT$106,$AF54),1),IF($AG54&gt;0,INDEX(AT$7:AT$106,$AG54),1),IF($AH54&gt;0,INDEX(AT$7:AT$106,$AH54),1),IF($AI54&gt;0,INDEX(AT$7:AT$106,$AI54),1),IF($AJ54&gt;0,INDEX(AT$7:AT$106,$AJ54),1))))</ns0:f>
        <ns0:v>1</ns0:v>
      </ns0:c>
      <ns0:c r="AV54" t="n">
        <ns0:f>IF($A54="",1,IF(AU54=1,1,--AND(IF($AC54&gt;0,INDEX(AU$7:AU$106,$AC54),1),IF($AD54&gt;0,INDEX(AU$7:AU$106,$AD54),1),IF($AE54&gt;0,INDEX(AU$7:AU$106,$AE54),1),IF($AF54&gt;0,INDEX(AU$7:AU$106,$AF54),1),IF($AG54&gt;0,INDEX(AU$7:AU$106,$AG54),1),IF($AH54&gt;0,INDEX(AU$7:AU$106,$AH54),1),IF($AI54&gt;0,INDEX(AU$7:AU$106,$AI54),1),IF($AJ54&gt;0,INDEX(AU$7:AU$106,$AJ54),1))))</ns0:f>
        <ns0:v>1</ns0:v>
      </ns0:c>
      <ns0:c r="AW54" t="n">
        <ns0:f>IF($A54="",1,IF(AV54=1,1,--AND(IF($AC54&gt;0,INDEX(AV$7:AV$106,$AC54),1),IF($AD54&gt;0,INDEX(AV$7:AV$106,$AD54),1),IF($AE54&gt;0,INDEX(AV$7:AV$106,$AE54),1),IF($AF54&gt;0,INDEX(AV$7:AV$106,$AF54),1),IF($AG54&gt;0,INDEX(AV$7:AV$106,$AG54),1),IF($AH54&gt;0,INDEX(AV$7:AV$106,$AH54),1),IF($AI54&gt;0,INDEX(AV$7:AV$106,$AI54),1),IF($AJ54&gt;0,INDEX(AV$7:AV$106,$AJ54),1))))</ns0:f>
        <ns0:v>1</ns0:v>
      </ns0:c>
      <ns0:c r="AX54" t="n">
        <ns0:f>IF($A54="",1,IF(AW54=1,1,--AND(IF($AC54&gt;0,INDEX(AW$7:AW$106,$AC54),1),IF($AD54&gt;0,INDEX(AW$7:AW$106,$AD54),1),IF($AE54&gt;0,INDEX(AW$7:AW$106,$AE54),1),IF($AF54&gt;0,INDEX(AW$7:AW$106,$AF54),1),IF($AG54&gt;0,INDEX(AW$7:AW$106,$AG54),1),IF($AH54&gt;0,INDEX(AW$7:AW$106,$AH54),1),IF($AI54&gt;0,INDEX(AW$7:AW$106,$AI54),1),IF($AJ54&gt;0,INDEX(AW$7:AW$106,$AJ54),1))))</ns0:f>
        <ns0:v>1</ns0:v>
      </ns0:c>
      <ns0:c r="AY54" t="n">
        <ns0:f>IF($A54="",1,IF(AX54=1,1,--AND(IF($AC54&gt;0,INDEX(AX$7:AX$106,$AC54),1),IF($AD54&gt;0,INDEX(AX$7:AX$106,$AD54),1),IF($AE54&gt;0,INDEX(AX$7:AX$106,$AE54),1),IF($AF54&gt;0,INDEX(AX$7:AX$106,$AF54),1),IF($AG54&gt;0,INDEX(AX$7:AX$106,$AG54),1),IF($AH54&gt;0,INDEX(AX$7:AX$106,$AH54),1),IF($AI54&gt;0,INDEX(AX$7:AX$106,$AI54),1),IF($AJ54&gt;0,INDEX(AX$7:AX$106,$AJ54),1))))</ns0:f>
        <ns0:v>1</ns0:v>
      </ns0:c>
      <ns0:c r="AZ54" t="n">
        <ns0:f>IF($A54="",1,IF(AY54=1,1,--AND(IF($AC54&gt;0,INDEX(AY$7:AY$106,$AC54),1),IF($AD54&gt;0,INDEX(AY$7:AY$106,$AD54),1),IF($AE54&gt;0,INDEX(AY$7:AY$106,$AE54),1),IF($AF54&gt;0,INDEX(AY$7:AY$106,$AF54),1),IF($AG54&gt;0,INDEX(AY$7:AY$106,$AG54),1),IF($AH54&gt;0,INDEX(AY$7:AY$106,$AH54),1),IF($AI54&gt;0,INDEX(AY$7:AY$106,$AI54),1),IF($AJ54&gt;0,INDEX(AY$7:AY$106,$AJ54),1))))</ns0:f>
        <ns0:v>1</ns0:v>
      </ns0:c>
      <ns0:c r="BA54" t="n">
        <ns0:f>IF($A54="",1,IF(AZ54=1,1,--AND(IF($AC54&gt;0,INDEX(AZ$7:AZ$106,$AC54),1),IF($AD54&gt;0,INDEX(AZ$7:AZ$106,$AD54),1),IF($AE54&gt;0,INDEX(AZ$7:AZ$106,$AE54),1),IF($AF54&gt;0,INDEX(AZ$7:AZ$106,$AF54),1),IF($AG54&gt;0,INDEX(AZ$7:AZ$106,$AG54),1),IF($AH54&gt;0,INDEX(AZ$7:AZ$106,$AH54),1),IF($AI54&gt;0,INDEX(AZ$7:AZ$106,$AI54),1),IF($AJ54&gt;0,INDEX(AZ$7:AZ$106,$AJ54),1))))</ns0:f>
        <ns0:v>1</ns0:v>
      </ns0:c>
      <ns0:c r="BB54" t="n">
        <ns0:f>IF($A54="",1,IF(BA54=1,1,--AND(IF($AC54&gt;0,INDEX(BA$7:BA$106,$AC54),1),IF($AD54&gt;0,INDEX(BA$7:BA$106,$AD54),1),IF($AE54&gt;0,INDEX(BA$7:BA$106,$AE54),1),IF($AF54&gt;0,INDEX(BA$7:BA$106,$AF54),1),IF($AG54&gt;0,INDEX(BA$7:BA$106,$AG54),1),IF($AH54&gt;0,INDEX(BA$7:BA$106,$AH54),1),IF($AI54&gt;0,INDEX(BA$7:BA$106,$AI54),1),IF($AJ54&gt;0,INDEX(BA$7:BA$106,$AJ54),1))))</ns0:f>
        <ns0:v>1</ns0:v>
      </ns0:c>
      <ns0:c r="BC54" t="n">
        <ns0:f>IF($A54="",1,IF(BB54=1,1,--AND(IF($AC54&gt;0,INDEX(BB$7:BB$106,$AC54),1),IF($AD54&gt;0,INDEX(BB$7:BB$106,$AD54),1),IF($AE54&gt;0,INDEX(BB$7:BB$106,$AE54),1),IF($AF54&gt;0,INDEX(BB$7:BB$106,$AF54),1),IF($AG54&gt;0,INDEX(BB$7:BB$106,$AG54),1),IF($AH54&gt;0,INDEX(BB$7:BB$106,$AH54),1),IF($AI54&gt;0,INDEX(BB$7:BB$106,$AI54),1),IF($AJ54&gt;0,INDEX(BB$7:BB$106,$AJ54),1))))</ns0:f>
        <ns0:v>1</ns0:v>
      </ns0:c>
      <ns0:c r="BD54" t="n">
        <ns0:f>IF($A54="",1,IF(BC54=1,1,--AND(IF($AC54&gt;0,INDEX(BC$7:BC$106,$AC54),1),IF($AD54&gt;0,INDEX(BC$7:BC$106,$AD54),1),IF($AE54&gt;0,INDEX(BC$7:BC$106,$AE54),1),IF($AF54&gt;0,INDEX(BC$7:BC$106,$AF54),1),IF($AG54&gt;0,INDEX(BC$7:BC$106,$AG54),1),IF($AH54&gt;0,INDEX(BC$7:BC$106,$AH54),1),IF($AI54&gt;0,INDEX(BC$7:BC$106,$AI54),1),IF($AJ54&gt;0,INDEX(BC$7:BC$106,$AJ54),1))))</ns0:f>
        <ns0:v>1</ns0:v>
      </ns0:c>
      <ns0:c r="BE54" t="n">
        <ns0:f>IF($A54="",1,IF(BD54=1,1,--AND(IF($AC54&gt;0,INDEX(BD$7:BD$106,$AC54),1),IF($AD54&gt;0,INDEX(BD$7:BD$106,$AD54),1),IF($AE54&gt;0,INDEX(BD$7:BD$106,$AE54),1),IF($AF54&gt;0,INDEX(BD$7:BD$106,$AF54),1),IF($AG54&gt;0,INDEX(BD$7:BD$106,$AG54),1),IF($AH54&gt;0,INDEX(BD$7:BD$106,$AH54),1),IF($AI54&gt;0,INDEX(BD$7:BD$106,$AI54),1),IF($AJ54&gt;0,INDEX(BD$7:BD$106,$AJ54),1))))</ns0:f>
        <ns0:v>1</ns0:v>
      </ns0:c>
      <ns0:c r="BF54" t="n">
        <ns0:f>IF($A54="",1,IF(BE54=1,1,--AND(IF($AC54&gt;0,INDEX(BE$7:BE$106,$AC54),1),IF($AD54&gt;0,INDEX(BE$7:BE$106,$AD54),1),IF($AE54&gt;0,INDEX(BE$7:BE$106,$AE54),1),IF($AF54&gt;0,INDEX(BE$7:BE$106,$AF54),1),IF($AG54&gt;0,INDEX(BE$7:BE$106,$AG54),1),IF($AH54&gt;0,INDEX(BE$7:BE$106,$AH54),1),IF($AI54&gt;0,INDEX(BE$7:BE$106,$AI54),1),IF($AJ54&gt;0,INDEX(BE$7:BE$106,$AJ54),1))))</ns0:f>
        <ns0:v>1</ns0:v>
      </ns0:c>
      <ns0:c r="BG54" t="n">
        <ns0:f>IF($A54="",1,IF(BF54=1,1,--AND(IF($AC54&gt;0,INDEX(BF$7:BF$106,$AC54),1),IF($AD54&gt;0,INDEX(BF$7:BF$106,$AD54),1),IF($AE54&gt;0,INDEX(BF$7:BF$106,$AE54),1),IF($AF54&gt;0,INDEX(BF$7:BF$106,$AF54),1),IF($AG54&gt;0,INDEX(BF$7:BF$106,$AG54),1),IF($AH54&gt;0,INDEX(BF$7:BF$106,$AH54),1),IF($AI54&gt;0,INDEX(BF$7:BF$106,$AI54),1),IF($AJ54&gt;0,INDEX(BF$7:BF$106,$AJ54),1))))</ns0:f>
        <ns0:v>1</ns0:v>
      </ns0:c>
      <ns0:c r="BH54" t="n">
        <ns0:f>IF($A54="",1,IF(BG54=1,1,--AND(IF($AC54&gt;0,INDEX(BG$7:BG$106,$AC54),1),IF($AD54&gt;0,INDEX(BG$7:BG$106,$AD54),1),IF($AE54&gt;0,INDEX(BG$7:BG$106,$AE54),1),IF($AF54&gt;0,INDEX(BG$7:BG$106,$AF54),1),IF($AG54&gt;0,INDEX(BG$7:BG$106,$AG54),1),IF($AH54&gt;0,INDEX(BG$7:BG$106,$AH54),1),IF($AI54&gt;0,INDEX(BG$7:BG$106,$AI54),1),IF($AJ54&gt;0,INDEX(BG$7:BG$106,$AJ54),1))))</ns0:f>
        <ns0:v>1</ns0:v>
      </ns0:c>
      <ns0:c r="BI54" t="n">
        <ns0:f>IF($A54="",1,IF(BH54=1,1,--AND(IF($AC54&gt;0,INDEX(BH$7:BH$106,$AC54),1),IF($AD54&gt;0,INDEX(BH$7:BH$106,$AD54),1),IF($AE54&gt;0,INDEX(BH$7:BH$106,$AE54),1),IF($AF54&gt;0,INDEX(BH$7:BH$106,$AF54),1),IF($AG54&gt;0,INDEX(BH$7:BH$106,$AG54),1),IF($AH54&gt;0,INDEX(BH$7:BH$106,$AH54),1),IF($AI54&gt;0,INDEX(BH$7:BH$106,$AI54),1),IF($AJ54&gt;0,INDEX(BH$7:BH$106,$AJ54),1))))</ns0:f>
        <ns0:v>1</ns0:v>
      </ns0:c>
      <ns0:c r="BJ54" t="n">
        <ns0:f>IF($A54="",1,IF(BI54=1,1,--AND(IF($AC54&gt;0,INDEX(BI$7:BI$106,$AC54),1),IF($AD54&gt;0,INDEX(BI$7:BI$106,$AD54),1),IF($AE54&gt;0,INDEX(BI$7:BI$106,$AE54),1),IF($AF54&gt;0,INDEX(BI$7:BI$106,$AF54),1),IF($AG54&gt;0,INDEX(BI$7:BI$106,$AG54),1),IF($AH54&gt;0,INDEX(BI$7:BI$106,$AH54),1),IF($AI54&gt;0,INDEX(BI$7:BI$106,$AI54),1),IF($AJ54&gt;0,INDEX(BI$7:BI$106,$AJ54),1))))</ns0:f>
        <ns0:v>1</ns0:v>
      </ns0:c>
      <ns0:c r="BK54" t="n">
        <ns0:f>IF($A54="",1,IF(BJ54=1,1,--AND(IF($AC54&gt;0,INDEX(BJ$7:BJ$106,$AC54),1),IF($AD54&gt;0,INDEX(BJ$7:BJ$106,$AD54),1),IF($AE54&gt;0,INDEX(BJ$7:BJ$106,$AE54),1),IF($AF54&gt;0,INDEX(BJ$7:BJ$106,$AF54),1),IF($AG54&gt;0,INDEX(BJ$7:BJ$106,$AG54),1),IF($AH54&gt;0,INDEX(BJ$7:BJ$106,$AH54),1),IF($AI54&gt;0,INDEX(BJ$7:BJ$106,$AI54),1),IF($AJ54&gt;0,INDEX(BJ$7:BJ$106,$AJ54),1))))</ns0:f>
        <ns0:v>1</ns0:v>
      </ns0:c>
      <ns0:c r="BL54" t="n">
        <ns0:f>IF($A54="",1,IF(BK54=1,1,--AND(IF($AC54&gt;0,INDEX(BK$7:BK$106,$AC54),1),IF($AD54&gt;0,INDEX(BK$7:BK$106,$AD54),1),IF($AE54&gt;0,INDEX(BK$7:BK$106,$AE54),1),IF($AF54&gt;0,INDEX(BK$7:BK$106,$AF54),1),IF($AG54&gt;0,INDEX(BK$7:BK$106,$AG54),1),IF($AH54&gt;0,INDEX(BK$7:BK$106,$AH54),1),IF($AI54&gt;0,INDEX(BK$7:BK$106,$AI54),1),IF($AJ54&gt;0,INDEX(BK$7:BK$106,$AJ54),1))))</ns0:f>
        <ns0:v>1</ns0:v>
      </ns0:c>
      <ns0:c r="BM54" t="n">
        <ns0:f>IF($A54="",1,IF(BL54=1,1,--AND(IF($AC54&gt;0,INDEX(BL$7:BL$106,$AC54),1),IF($AD54&gt;0,INDEX(BL$7:BL$106,$AD54),1),IF($AE54&gt;0,INDEX(BL$7:BL$106,$AE54),1),IF($AF54&gt;0,INDEX(BL$7:BL$106,$AF54),1),IF($AG54&gt;0,INDEX(BL$7:BL$106,$AG54),1),IF($AH54&gt;0,INDEX(BL$7:BL$106,$AH54),1),IF($AI54&gt;0,INDEX(BL$7:BL$106,$AI54),1),IF($AJ54&gt;0,INDEX(BL$7:BL$106,$AJ54),1))))</ns0:f>
        <ns0:v>1</ns0:v>
      </ns0:c>
      <ns0:c r="BN54" t="n">
        <ns0:f>IF($A54="",1,IF(BM54=1,1,--AND(IF($AC54&gt;0,INDEX(BM$7:BM$106,$AC54),1),IF($AD54&gt;0,INDEX(BM$7:BM$106,$AD54),1),IF($AE54&gt;0,INDEX(BM$7:BM$106,$AE54),1),IF($AF54&gt;0,INDEX(BM$7:BM$106,$AF54),1),IF($AG54&gt;0,INDEX(BM$7:BM$106,$AG54),1),IF($AH54&gt;0,INDEX(BM$7:BM$106,$AH54),1),IF($AI54&gt;0,INDEX(BM$7:BM$106,$AI54),1),IF($AJ54&gt;0,INDEX(BM$7:BM$106,$AJ54),1))))</ns0:f>
        <ns0:v>1</ns0:v>
      </ns0:c>
      <ns0:c r="BO54" t="n">
        <ns0:f>IF($A54="",1,IF(BN54=1,1,--AND(IF($AC54&gt;0,INDEX(BN$7:BN$106,$AC54),1),IF($AD54&gt;0,INDEX(BN$7:BN$106,$AD54),1),IF($AE54&gt;0,INDEX(BN$7:BN$106,$AE54),1),IF($AF54&gt;0,INDEX(BN$7:BN$106,$AF54),1),IF($AG54&gt;0,INDEX(BN$7:BN$106,$AG54),1),IF($AH54&gt;0,INDEX(BN$7:BN$106,$AH54),1),IF($AI54&gt;0,INDEX(BN$7:BN$106,$AI54),1),IF($AJ54&gt;0,INDEX(BN$7:BN$106,$AJ54),1))))</ns0:f>
        <ns0:v>1</ns0:v>
      </ns0:c>
      <ns0:c r="BP54" t="n">
        <ns0:f>IF($A54="",1,IF(BO54=1,1,--AND(IF($AC54&gt;0,INDEX(BO$7:BO$106,$AC54),1),IF($AD54&gt;0,INDEX(BO$7:BO$106,$AD54),1),IF($AE54&gt;0,INDEX(BO$7:BO$106,$AE54),1),IF($AF54&gt;0,INDEX(BO$7:BO$106,$AF54),1),IF($AG54&gt;0,INDEX(BO$7:BO$106,$AG54),1),IF($AH54&gt;0,INDEX(BO$7:BO$106,$AH54),1),IF($AI54&gt;0,INDEX(BO$7:BO$106,$AI54),1),IF($AJ54&gt;0,INDEX(BO$7:BO$106,$AJ54),1))))</ns0:f>
        <ns0:v>1</ns0:v>
      </ns0:c>
      <ns0:c r="BQ54" t="n">
        <ns0:f>IF($A54="",1,IF(BP54=1,1,--AND(IF($AC54&gt;0,INDEX(BP$7:BP$106,$AC54),1),IF($AD54&gt;0,INDEX(BP$7:BP$106,$AD54),1),IF($AE54&gt;0,INDEX(BP$7:BP$106,$AE54),1),IF($AF54&gt;0,INDEX(BP$7:BP$106,$AF54),1),IF($AG54&gt;0,INDEX(BP$7:BP$106,$AG54),1),IF($AH54&gt;0,INDEX(BP$7:BP$106,$AH54),1),IF($AI54&gt;0,INDEX(BP$7:BP$106,$AI54),1),IF($AJ54&gt;0,INDEX(BP$7:BP$106,$AJ54),1))))</ns0:f>
        <ns0:v>1</ns0:v>
      </ns0:c>
      <ns0:c r="BR54" t="n">
        <ns0:f>IF($A54="",1,IF(BQ54=1,1,--AND(IF($AC54&gt;0,INDEX(BQ$7:BQ$106,$AC54),1),IF($AD54&gt;0,INDEX(BQ$7:BQ$106,$AD54),1),IF($AE54&gt;0,INDEX(BQ$7:BQ$106,$AE54),1),IF($AF54&gt;0,INDEX(BQ$7:BQ$106,$AF54),1),IF($AG54&gt;0,INDEX(BQ$7:BQ$106,$AG54),1),IF($AH54&gt;0,INDEX(BQ$7:BQ$106,$AH54),1),IF($AI54&gt;0,INDEX(BQ$7:BQ$106,$AI54),1),IF($AJ54&gt;0,INDEX(BQ$7:BQ$106,$AJ54),1))))</ns0:f>
        <ns0:v>1</ns0:v>
      </ns0:c>
      <ns0:c r="BS54" t="n">
        <ns0:f>IF($A54="",1,IF(BR54=1,1,--AND(IF($AC54&gt;0,INDEX(BR$7:BR$106,$AC54),1),IF($AD54&gt;0,INDEX(BR$7:BR$106,$AD54),1),IF($AE54&gt;0,INDEX(BR$7:BR$106,$AE54),1),IF($AF54&gt;0,INDEX(BR$7:BR$106,$AF54),1),IF($AG54&gt;0,INDEX(BR$7:BR$106,$AG54),1),IF($AH54&gt;0,INDEX(BR$7:BR$106,$AH54),1),IF($AI54&gt;0,INDEX(BR$7:BR$106,$AI54),1),IF($AJ54&gt;0,INDEX(BR$7:BR$106,$AJ54),1))))</ns0:f>
        <ns0:v>1</ns0:v>
      </ns0:c>
      <ns0:c r="BT54" t="n">
        <ns0:f>IF($A54="",1,IF(BS54=1,1,--AND(IF($AC54&gt;0,INDEX(BS$7:BS$106,$AC54),1),IF($AD54&gt;0,INDEX(BS$7:BS$106,$AD54),1),IF($AE54&gt;0,INDEX(BS$7:BS$106,$AE54),1),IF($AF54&gt;0,INDEX(BS$7:BS$106,$AF54),1),IF($AG54&gt;0,INDEX(BS$7:BS$106,$AG54),1),IF($AH54&gt;0,INDEX(BS$7:BS$106,$AH54),1),IF($AI54&gt;0,INDEX(BS$7:BS$106,$AI54),1),IF($AJ54&gt;0,INDEX(BS$7:BS$106,$AJ54),1))))</ns0:f>
        <ns0:v>1</ns0:v>
      </ns0:c>
      <ns0:c r="BU54" t="n">
        <ns0:f>IF($A54="",1,IF(BT54=1,1,--AND(IF($AC54&gt;0,INDEX(BT$7:BT$106,$AC54),1),IF($AD54&gt;0,INDEX(BT$7:BT$106,$AD54),1),IF($AE54&gt;0,INDEX(BT$7:BT$106,$AE54),1),IF($AF54&gt;0,INDEX(BT$7:BT$106,$AF54),1),IF($AG54&gt;0,INDEX(BT$7:BT$106,$AG54),1),IF($AH54&gt;0,INDEX(BT$7:BT$106,$AH54),1),IF($AI54&gt;0,INDEX(BT$7:BT$106,$AI54),1),IF($AJ54&gt;0,INDEX(BT$7:BT$106,$AJ54),1))))</ns0:f>
        <ns0:v>1</ns0:v>
      </ns0:c>
      <ns0:c r="BV54" t="n">
        <ns0:f>IF($A54="",1,IF(BU54=1,1,--AND(IF($AC54&gt;0,INDEX(BU$7:BU$106,$AC54),1),IF($AD54&gt;0,INDEX(BU$7:BU$106,$AD54),1),IF($AE54&gt;0,INDEX(BU$7:BU$106,$AE54),1),IF($AF54&gt;0,INDEX(BU$7:BU$106,$AF54),1),IF($AG54&gt;0,INDEX(BU$7:BU$106,$AG54),1),IF($AH54&gt;0,INDEX(BU$7:BU$106,$AH54),1),IF($AI54&gt;0,INDEX(BU$7:BU$106,$AI54),1),IF($AJ54&gt;0,INDEX(BU$7:BU$106,$AJ54),1))))</ns0:f>
        <ns0:v>1</ns0:v>
      </ns0:c>
      <ns0:c r="BW54" t="n">
        <ns0:f>IF($A54="",1,IF(BV54=1,1,--AND(IF($AC54&gt;0,INDEX(BV$7:BV$106,$AC54),1),IF($AD54&gt;0,INDEX(BV$7:BV$106,$AD54),1),IF($AE54&gt;0,INDEX(BV$7:BV$106,$AE54),1),IF($AF54&gt;0,INDEX(BV$7:BV$106,$AF54),1),IF($AG54&gt;0,INDEX(BV$7:BV$106,$AG54),1),IF($AH54&gt;0,INDEX(BV$7:BV$106,$AH54),1),IF($AI54&gt;0,INDEX(BV$7:BV$106,$AI54),1),IF($AJ54&gt;0,INDEX(BV$7:BV$106,$AJ54),1))))</ns0:f>
        <ns0:v>1</ns0:v>
      </ns0:c>
      <ns0:c r="BX54" t="n">
        <ns0:f>IF($A54="",1,IF(BW54=1,1,--AND(IF($AC54&gt;0,INDEX(BW$7:BW$106,$AC54),1),IF($AD54&gt;0,INDEX(BW$7:BW$106,$AD54),1),IF($AE54&gt;0,INDEX(BW$7:BW$106,$AE54),1),IF($AF54&gt;0,INDEX(BW$7:BW$106,$AF54),1),IF($AG54&gt;0,INDEX(BW$7:BW$106,$AG54),1),IF($AH54&gt;0,INDEX(BW$7:BW$106,$AH54),1),IF($AI54&gt;0,INDEX(BW$7:BW$106,$AI54),1),IF($AJ54&gt;0,INDEX(BW$7:BW$106,$AJ54),1))))</ns0:f>
        <ns0:v>1</ns0:v>
      </ns0:c>
      <ns0:c r="BY54" t="n">
        <ns0:f>IF($A54="",1,IF(BX54=1,1,--AND(IF($AC54&gt;0,INDEX(BX$7:BX$106,$AC54),1),IF($AD54&gt;0,INDEX(BX$7:BX$106,$AD54),1),IF($AE54&gt;0,INDEX(BX$7:BX$106,$AE54),1),IF($AF54&gt;0,INDEX(BX$7:BX$106,$AF54),1),IF($AG54&gt;0,INDEX(BX$7:BX$106,$AG54),1),IF($AH54&gt;0,INDEX(BX$7:BX$106,$AH54),1),IF($AI54&gt;0,INDEX(BX$7:BX$106,$AI54),1),IF($AJ54&gt;0,INDEX(BX$7:BX$106,$AJ54),1))))</ns0:f>
        <ns0:v>1</ns0:v>
      </ns0:c>
      <ns0:c r="BZ54" t="n">
        <ns0:f>IF($A54="",1,IF(BY54=1,1,--AND(IF($AC54&gt;0,INDEX(BY$7:BY$106,$AC54),1),IF($AD54&gt;0,INDEX(BY$7:BY$106,$AD54),1),IF($AE54&gt;0,INDEX(BY$7:BY$106,$AE54),1),IF($AF54&gt;0,INDEX(BY$7:BY$106,$AF54),1),IF($AG54&gt;0,INDEX(BY$7:BY$106,$AG54),1),IF($AH54&gt;0,INDEX(BY$7:BY$106,$AH54),1),IF($AI54&gt;0,INDEX(BY$7:BY$106,$AI54),1),IF($AJ54&gt;0,INDEX(BY$7:BY$106,$AJ54),1))))</ns0:f>
        <ns0:v>1</ns0:v>
      </ns0:c>
      <ns0:c r="CA54" t="n">
        <ns0:f>IF($A54="",1,IF(BZ54=1,1,--AND(IF($AC54&gt;0,INDEX(BZ$7:BZ$106,$AC54),1),IF($AD54&gt;0,INDEX(BZ$7:BZ$106,$AD54),1),IF($AE54&gt;0,INDEX(BZ$7:BZ$106,$AE54),1),IF($AF54&gt;0,INDEX(BZ$7:BZ$106,$AF54),1),IF($AG54&gt;0,INDEX(BZ$7:BZ$106,$AG54),1),IF($AH54&gt;0,INDEX(BZ$7:BZ$106,$AH54),1),IF($AI54&gt;0,INDEX(BZ$7:BZ$106,$AI54),1),IF($AJ54&gt;0,INDEX(BZ$7:BZ$106,$AJ54),1))))</ns0:f>
        <ns0:v>1</ns0:v>
      </ns0:c>
      <ns0:c r="CB54" t="n">
        <ns0:f>IF($A54="",1,IF(CA54=1,1,--AND(IF($AC54&gt;0,INDEX(CA$7:CA$106,$AC54),1),IF($AD54&gt;0,INDEX(CA$7:CA$106,$AD54),1),IF($AE54&gt;0,INDEX(CA$7:CA$106,$AE54),1),IF($AF54&gt;0,INDEX(CA$7:CA$106,$AF54),1),IF($AG54&gt;0,INDEX(CA$7:CA$106,$AG54),1),IF($AH54&gt;0,INDEX(CA$7:CA$106,$AH54),1),IF($AI54&gt;0,INDEX(CA$7:CA$106,$AI54),1),IF($AJ54&gt;0,INDEX(CA$7:CA$106,$AJ54),1))))</ns0:f>
        <ns0:v>1</ns0:v>
      </ns0:c>
      <ns0:c r="CC54" t="n">
        <ns0:f>IF($A54="",1,IF(CB54=1,1,--AND(IF($AC54&gt;0,INDEX(CB$7:CB$106,$AC54),1),IF($AD54&gt;0,INDEX(CB$7:CB$106,$AD54),1),IF($AE54&gt;0,INDEX(CB$7:CB$106,$AE54),1),IF($AF54&gt;0,INDEX(CB$7:CB$106,$AF54),1),IF($AG54&gt;0,INDEX(CB$7:CB$106,$AG54),1),IF($AH54&gt;0,INDEX(CB$7:CB$106,$AH54),1),IF($AI54&gt;0,INDEX(CB$7:CB$106,$AI54),1),IF($AJ54&gt;0,INDEX(CB$7:CB$106,$AJ54),1))))</ns0:f>
        <ns0:v>1</ns0:v>
      </ns0:c>
      <ns0:c r="CD54" t="n">
        <ns0:f>IF($A54="",1,IF(CC54=1,1,--AND(IF($AC54&gt;0,INDEX(CC$7:CC$106,$AC54),1),IF($AD54&gt;0,INDEX(CC$7:CC$106,$AD54),1),IF($AE54&gt;0,INDEX(CC$7:CC$106,$AE54),1),IF($AF54&gt;0,INDEX(CC$7:CC$106,$AF54),1),IF($AG54&gt;0,INDEX(CC$7:CC$106,$AG54),1),IF($AH54&gt;0,INDEX(CC$7:CC$106,$AH54),1),IF($AI54&gt;0,INDEX(CC$7:CC$106,$AI54),1),IF($AJ54&gt;0,INDEX(CC$7:CC$106,$AJ54),1))))</ns0:f>
        <ns0:v>1</ns0:v>
      </ns0:c>
      <ns0:c r="CE54" t="n">
        <ns0:f>IF($A54="",1,IF(CD54=1,1,--AND(IF($AC54&gt;0,INDEX(CD$7:CD$106,$AC54),1),IF($AD54&gt;0,INDEX(CD$7:CD$106,$AD54),1),IF($AE54&gt;0,INDEX(CD$7:CD$106,$AE54),1),IF($AF54&gt;0,INDEX(CD$7:CD$106,$AF54),1),IF($AG54&gt;0,INDEX(CD$7:CD$106,$AG54),1),IF($AH54&gt;0,INDEX(CD$7:CD$106,$AH54),1),IF($AI54&gt;0,INDEX(CD$7:CD$106,$AI54),1),IF($AJ54&gt;0,INDEX(CD$7:CD$106,$AJ54),1))))</ns0:f>
        <ns0:v>1</ns0:v>
      </ns0:c>
      <ns0:c r="CF54" t="n">
        <ns0:f>IF($A54="",1,IF(CE54=1,1,--AND(IF($AC54&gt;0,INDEX(CE$7:CE$106,$AC54),1),IF($AD54&gt;0,INDEX(CE$7:CE$106,$AD54),1),IF($AE54&gt;0,INDEX(CE$7:CE$106,$AE54),1),IF($AF54&gt;0,INDEX(CE$7:CE$106,$AF54),1),IF($AG54&gt;0,INDEX(CE$7:CE$106,$AG54),1),IF($AH54&gt;0,INDEX(CE$7:CE$106,$AH54),1),IF($AI54&gt;0,INDEX(CE$7:CE$106,$AI54),1),IF($AJ54&gt;0,INDEX(CE$7:CE$106,$AJ54),1))))</ns0:f>
        <ns0:v>1</ns0:v>
      </ns0:c>
      <ns0:c r="CG54" t="n">
        <ns0:f>IF($A54="",1,IF(CF54=1,1,--AND(IF($AC54&gt;0,INDEX(CF$7:CF$106,$AC54),1),IF($AD54&gt;0,INDEX(CF$7:CF$106,$AD54),1),IF($AE54&gt;0,INDEX(CF$7:CF$106,$AE54),1),IF($AF54&gt;0,INDEX(CF$7:CF$106,$AF54),1),IF($AG54&gt;0,INDEX(CF$7:CF$106,$AG54),1),IF($AH54&gt;0,INDEX(CF$7:CF$106,$AH54),1),IF($AI54&gt;0,INDEX(CF$7:CF$106,$AI54),1),IF($AJ54&gt;0,INDEX(CF$7:CF$106,$AJ54),1))))</ns0:f>
        <ns0:v>1</ns0:v>
      </ns0:c>
      <ns0:c r="CH54" t="n">
        <ns0:f>IF($A54="",1,IF(CG54=1,1,--AND(IF($AC54&gt;0,INDEX(CG$7:CG$106,$AC54),1),IF($AD54&gt;0,INDEX(CG$7:CG$106,$AD54),1),IF($AE54&gt;0,INDEX(CG$7:CG$106,$AE54),1),IF($AF54&gt;0,INDEX(CG$7:CG$106,$AF54),1),IF($AG54&gt;0,INDEX(CG$7:CG$106,$AG54),1),IF($AH54&gt;0,INDEX(CG$7:CG$106,$AH54),1),IF($AI54&gt;0,INDEX(CG$7:CG$106,$AI54),1),IF($AJ54&gt;0,INDEX(CG$7:CG$106,$AJ54),1))))</ns0:f>
        <ns0:v>1</ns0:v>
      </ns0:c>
      <ns0:c r="CI54" t="n">
        <ns0:f>IF($A54="",1,IF(CH54=1,1,--AND(IF($AC54&gt;0,INDEX(CH$7:CH$106,$AC54),1),IF($AD54&gt;0,INDEX(CH$7:CH$106,$AD54),1),IF($AE54&gt;0,INDEX(CH$7:CH$106,$AE54),1),IF($AF54&gt;0,INDEX(CH$7:CH$106,$AF54),1),IF($AG54&gt;0,INDEX(CH$7:CH$106,$AG54),1),IF($AH54&gt;0,INDEX(CH$7:CH$106,$AH54),1),IF($AI54&gt;0,INDEX(CH$7:CH$106,$AI54),1),IF($AJ54&gt;0,INDEX(CH$7:CH$106,$AJ54),1))))</ns0:f>
        <ns0:v>1</ns0:v>
      </ns0:c>
      <ns0:c r="CJ54" t="n">
        <ns0:f>IF($A54="",1,IF(CI54=1,1,--AND(IF($AC54&gt;0,INDEX(CI$7:CI$106,$AC54),1),IF($AD54&gt;0,INDEX(CI$7:CI$106,$AD54),1),IF($AE54&gt;0,INDEX(CI$7:CI$106,$AE54),1),IF($AF54&gt;0,INDEX(CI$7:CI$106,$AF54),1),IF($AG54&gt;0,INDEX(CI$7:CI$106,$AG54),1),IF($AH54&gt;0,INDEX(CI$7:CI$106,$AH54),1),IF($AI54&gt;0,INDEX(CI$7:CI$106,$AI54),1),IF($AJ54&gt;0,INDEX(CI$7:CI$106,$AJ54),1))))</ns0:f>
        <ns0:v>1</ns0:v>
      </ns0:c>
      <ns0:c r="CK54" t="n">
        <ns0:f>IF($A54="",1,IF(CJ54=1,1,--AND(IF($AC54&gt;0,INDEX(CJ$7:CJ$106,$AC54),1),IF($AD54&gt;0,INDEX(CJ$7:CJ$106,$AD54),1),IF($AE54&gt;0,INDEX(CJ$7:CJ$106,$AE54),1),IF($AF54&gt;0,INDEX(CJ$7:CJ$106,$AF54),1),IF($AG54&gt;0,INDEX(CJ$7:CJ$106,$AG54),1),IF($AH54&gt;0,INDEX(CJ$7:CJ$106,$AH54),1),IF($AI54&gt;0,INDEX(CJ$7:CJ$106,$AI54),1),IF($AJ54&gt;0,INDEX(CJ$7:CJ$106,$AJ54),1))))</ns0:f>
        <ns0:v>1</ns0:v>
      </ns0:c>
      <ns0:c r="CL54" t="n">
        <ns0:f>IF($A54="",1,IF(CK54=1,1,--AND(IF($AC54&gt;0,INDEX(CK$7:CK$106,$AC54),1),IF($AD54&gt;0,INDEX(CK$7:CK$106,$AD54),1),IF($AE54&gt;0,INDEX(CK$7:CK$106,$AE54),1),IF($AF54&gt;0,INDEX(CK$7:CK$106,$AF54),1),IF($AG54&gt;0,INDEX(CK$7:CK$106,$AG54),1),IF($AH54&gt;0,INDEX(CK$7:CK$106,$AH54),1),IF($AI54&gt;0,INDEX(CK$7:CK$106,$AI54),1),IF($AJ54&gt;0,INDEX(CK$7:CK$106,$AJ54),1))))</ns0:f>
        <ns0:v>1</ns0:v>
      </ns0:c>
      <ns0:c r="CM54" t="n">
        <ns0:f>IF($A54="",1,IF(CL54=1,1,--AND(IF($AC54&gt;0,INDEX(CL$7:CL$106,$AC54),1),IF($AD54&gt;0,INDEX(CL$7:CL$106,$AD54),1),IF($AE54&gt;0,INDEX(CL$7:CL$106,$AE54),1),IF($AF54&gt;0,INDEX(CL$7:CL$106,$AF54),1),IF($AG54&gt;0,INDEX(CL$7:CL$106,$AG54),1),IF($AH54&gt;0,INDEX(CL$7:CL$106,$AH54),1),IF($AI54&gt;0,INDEX(CL$7:CL$106,$AI54),1),IF($AJ54&gt;0,INDEX(CL$7:CL$106,$AJ54),1))))</ns0:f>
        <ns0:v>1</ns0:v>
      </ns0:c>
      <ns0:c r="CN54" t="n">
        <ns0:f>IF($A54="",1,IF(CM54=1,1,--AND(IF($AC54&gt;0,INDEX(CM$7:CM$106,$AC54),1),IF($AD54&gt;0,INDEX(CM$7:CM$106,$AD54),1),IF($AE54&gt;0,INDEX(CM$7:CM$106,$AE54),1),IF($AF54&gt;0,INDEX(CM$7:CM$106,$AF54),1),IF($AG54&gt;0,INDEX(CM$7:CM$106,$AG54),1),IF($AH54&gt;0,INDEX(CM$7:CM$106,$AH54),1),IF($AI54&gt;0,INDEX(CM$7:CM$106,$AI54),1),IF($AJ54&gt;0,INDEX(CM$7:CM$106,$AJ54),1))))</ns0:f>
        <ns0:v>1</ns0:v>
      </ns0:c>
      <ns0:c r="CO54" t="n">
        <ns0:f>IF($A54="",1,IF(CN54=1,1,--AND(IF($AC54&gt;0,INDEX(CN$7:CN$106,$AC54),1),IF($AD54&gt;0,INDEX(CN$7:CN$106,$AD54),1),IF($AE54&gt;0,INDEX(CN$7:CN$106,$AE54),1),IF($AF54&gt;0,INDEX(CN$7:CN$106,$AF54),1),IF($AG54&gt;0,INDEX(CN$7:CN$106,$AG54),1),IF($AH54&gt;0,INDEX(CN$7:CN$106,$AH54),1),IF($AI54&gt;0,INDEX(CN$7:CN$106,$AI54),1),IF($AJ54&gt;0,INDEX(CN$7:CN$106,$AJ54),1))))</ns0:f>
        <ns0:v>1</ns0:v>
      </ns0:c>
      <ns0:c r="CP54" t="n">
        <ns0:f>IF($A54="",1,IF(CO54=1,1,--AND(IF($AC54&gt;0,INDEX(CO$7:CO$106,$AC54),1),IF($AD54&gt;0,INDEX(CO$7:CO$106,$AD54),1),IF($AE54&gt;0,INDEX(CO$7:CO$106,$AE54),1),IF($AF54&gt;0,INDEX(CO$7:CO$106,$AF54),1),IF($AG54&gt;0,INDEX(CO$7:CO$106,$AG54),1),IF($AH54&gt;0,INDEX(CO$7:CO$106,$AH54),1),IF($AI54&gt;0,INDEX(CO$7:CO$106,$AI54),1),IF($AJ54&gt;0,INDEX(CO$7:CO$106,$AJ54),1))))</ns0:f>
        <ns0:v>1</ns0:v>
      </ns0:c>
      <ns0:c r="CQ54" t="n">
        <ns0:f>IF($A54="",1,IF(CP54=1,1,--AND(IF($AC54&gt;0,INDEX(CP$7:CP$106,$AC54),1),IF($AD54&gt;0,INDEX(CP$7:CP$106,$AD54),1),IF($AE54&gt;0,INDEX(CP$7:CP$106,$AE54),1),IF($AF54&gt;0,INDEX(CP$7:CP$106,$AF54),1),IF($AG54&gt;0,INDEX(CP$7:CP$106,$AG54),1),IF($AH54&gt;0,INDEX(CP$7:CP$106,$AH54),1),IF($AI54&gt;0,INDEX(CP$7:CP$106,$AI54),1),IF($AJ54&gt;0,INDEX(CP$7:CP$106,$AJ54),1))))</ns0:f>
        <ns0:v>1</ns0:v>
      </ns0:c>
      <ns0:c r="CR54" t="n">
        <ns0:f>IF($A54="",1,IF(CQ54=1,1,--AND(IF($AC54&gt;0,INDEX(CQ$7:CQ$106,$AC54),1),IF($AD54&gt;0,INDEX(CQ$7:CQ$106,$AD54),1),IF($AE54&gt;0,INDEX(CQ$7:CQ$106,$AE54),1),IF($AF54&gt;0,INDEX(CQ$7:CQ$106,$AF54),1),IF($AG54&gt;0,INDEX(CQ$7:CQ$106,$AG54),1),IF($AH54&gt;0,INDEX(CQ$7:CQ$106,$AH54),1),IF($AI54&gt;0,INDEX(CQ$7:CQ$106,$AI54),1),IF($AJ54&gt;0,INDEX(CQ$7:CQ$106,$AJ54),1))))</ns0:f>
        <ns0:v>1</ns0:v>
      </ns0:c>
      <ns0:c r="CS54" t="n">
        <ns0:f>IF($A54="",1,IF(CR54=1,1,--AND(IF($AC54&gt;0,INDEX(CR$7:CR$106,$AC54),1),IF($AD54&gt;0,INDEX(CR$7:CR$106,$AD54),1),IF($AE54&gt;0,INDEX(CR$7:CR$106,$AE54),1),IF($AF54&gt;0,INDEX(CR$7:CR$106,$AF54),1),IF($AG54&gt;0,INDEX(CR$7:CR$106,$AG54),1),IF($AH54&gt;0,INDEX(CR$7:CR$106,$AH54),1),IF($AI54&gt;0,INDEX(CR$7:CR$106,$AI54),1),IF($AJ54&gt;0,INDEX(CR$7:CR$106,$AJ54),1))))</ns0:f>
        <ns0:v>1</ns0:v>
      </ns0:c>
      <ns0:c r="CT54" t="n">
        <ns0:f>IF($A54="",1,IF(CS54=1,1,--AND(IF($AC54&gt;0,INDEX(CS$7:CS$106,$AC54),1),IF($AD54&gt;0,INDEX(CS$7:CS$106,$AD54),1),IF($AE54&gt;0,INDEX(CS$7:CS$106,$AE54),1),IF($AF54&gt;0,INDEX(CS$7:CS$106,$AF54),1),IF($AG54&gt;0,INDEX(CS$7:CS$106,$AG54),1),IF($AH54&gt;0,INDEX(CS$7:CS$106,$AH54),1),IF($AI54&gt;0,INDEX(CS$7:CS$106,$AI54),1),IF($AJ54&gt;0,INDEX(CS$7:CS$106,$AJ54),1))))</ns0:f>
        <ns0:v>1</ns0:v>
      </ns0:c>
      <ns0:c r="CU54" t="n">
        <ns0:f>IF($A54="",1,IF(CT54=1,1,--AND(IF($AC54&gt;0,INDEX(CT$7:CT$106,$AC54),1),IF($AD54&gt;0,INDEX(CT$7:CT$106,$AD54),1),IF($AE54&gt;0,INDEX(CT$7:CT$106,$AE54),1),IF($AF54&gt;0,INDEX(CT$7:CT$106,$AF54),1),IF($AG54&gt;0,INDEX(CT$7:CT$106,$AG54),1),IF($AH54&gt;0,INDEX(CT$7:CT$106,$AH54),1),IF($AI54&gt;0,INDEX(CT$7:CT$106,$AI54),1),IF($AJ54&gt;0,INDEX(CT$7:CT$106,$AJ54),1))))</ns0:f>
        <ns0:v>1</ns0:v>
      </ns0:c>
      <ns0:c r="CV54" t="n">
        <ns0:f>IF($A54="",1,IF(CU54=1,1,--AND(IF($AC54&gt;0,INDEX(CU$7:CU$106,$AC54),1),IF($AD54&gt;0,INDEX(CU$7:CU$106,$AD54),1),IF($AE54&gt;0,INDEX(CU$7:CU$106,$AE54),1),IF($AF54&gt;0,INDEX(CU$7:CU$106,$AF54),1),IF($AG54&gt;0,INDEX(CU$7:CU$106,$AG54),1),IF($AH54&gt;0,INDEX(CU$7:CU$106,$AH54),1),IF($AI54&gt;0,INDEX(CU$7:CU$106,$AI54),1),IF($AJ54&gt;0,INDEX(CU$7:CU$106,$AJ54),1))))</ns0:f>
        <ns0:v>1</ns0:v>
      </ns0:c>
      <ns0:c r="CW54" t="n">
        <ns0:f>IF($A54="",1,IF(CV54=1,1,--AND(IF($AC54&gt;0,INDEX(CV$7:CV$106,$AC54),1),IF($AD54&gt;0,INDEX(CV$7:CV$106,$AD54),1),IF($AE54&gt;0,INDEX(CV$7:CV$106,$AE54),1),IF($AF54&gt;0,INDEX(CV$7:CV$106,$AF54),1),IF($AG54&gt;0,INDEX(CV$7:CV$106,$AG54),1),IF($AH54&gt;0,INDEX(CV$7:CV$106,$AH54),1),IF($AI54&gt;0,INDEX(CV$7:CV$106,$AI54),1),IF($AJ54&gt;0,INDEX(CV$7:CV$106,$AJ54),1))))</ns0:f>
        <ns0:v>1</ns0:v>
      </ns0:c>
      <ns0:c r="CX54" t="n">
        <ns0:f>IF($A54="",1,IF(CW54=1,1,--AND(IF($AC54&gt;0,INDEX(CW$7:CW$106,$AC54),1),IF($AD54&gt;0,INDEX(CW$7:CW$106,$AD54),1),IF($AE54&gt;0,INDEX(CW$7:CW$106,$AE54),1),IF($AF54&gt;0,INDEX(CW$7:CW$106,$AF54),1),IF($AG54&gt;0,INDEX(CW$7:CW$106,$AG54),1),IF($AH54&gt;0,INDEX(CW$7:CW$106,$AH54),1),IF($AI54&gt;0,INDEX(CW$7:CW$106,$AI54),1),IF($AJ54&gt;0,INDEX(CW$7:CW$106,$AJ54),1))))</ns0:f>
        <ns0:v>1</ns0:v>
      </ns0:c>
      <ns0:c r="CY54" t="n">
        <ns0:f>IF($A54="",1,IF(CX54=1,1,--AND(IF($AC54&gt;0,INDEX(CX$7:CX$106,$AC54),1),IF($AD54&gt;0,INDEX(CX$7:CX$106,$AD54),1),IF($AE54&gt;0,INDEX(CX$7:CX$106,$AE54),1),IF($AF54&gt;0,INDEX(CX$7:CX$106,$AF54),1),IF($AG54&gt;0,INDEX(CX$7:CX$106,$AG54),1),IF($AH54&gt;0,INDEX(CX$7:CX$106,$AH54),1),IF($AI54&gt;0,INDEX(CX$7:CX$106,$AI54),1),IF($AJ54&gt;0,INDEX(CX$7:CX$106,$AJ54),1))))</ns0:f>
        <ns0:v>1</ns0:v>
      </ns0:c>
      <ns0:c r="CZ54" t="n">
        <ns0:f>IF($A54="",1,IF(CY54=1,1,--AND(IF($AC54&gt;0,INDEX(CY$7:CY$106,$AC54),1),IF($AD54&gt;0,INDEX(CY$7:CY$106,$AD54),1),IF($AE54&gt;0,INDEX(CY$7:CY$106,$AE54),1),IF($AF54&gt;0,INDEX(CY$7:CY$106,$AF54),1),IF($AG54&gt;0,INDEX(CY$7:CY$106,$AG54),1),IF($AH54&gt;0,INDEX(CY$7:CY$106,$AH54),1),IF($AI54&gt;0,INDEX(CY$7:CY$106,$AI54),1),IF($AJ54&gt;0,INDEX(CY$7:CY$106,$AJ54),1))))</ns0:f>
        <ns0:v>1</ns0:v>
      </ns0:c>
      <ns0:c r="DA54" t="n">
        <ns0:f>IF($A54="",1,IF(CZ54=1,1,--AND(IF($AC54&gt;0,INDEX(CZ$7:CZ$106,$AC54),1),IF($AD54&gt;0,INDEX(CZ$7:CZ$106,$AD54),1),IF($AE54&gt;0,INDEX(CZ$7:CZ$106,$AE54),1),IF($AF54&gt;0,INDEX(CZ$7:CZ$106,$AF54),1),IF($AG54&gt;0,INDEX(CZ$7:CZ$106,$AG54),1),IF($AH54&gt;0,INDEX(CZ$7:CZ$106,$AH54),1),IF($AI54&gt;0,INDEX(CZ$7:CZ$106,$AI54),1),IF($AJ54&gt;0,INDEX(CZ$7:CZ$106,$AJ54),1))))</ns0:f>
        <ns0:v>1</ns0:v>
      </ns0:c>
      <ns0:c r="DB54" t="n">
        <ns0:f>IF($A54="",1,IF(DA54=1,1,--AND(IF($AC54&gt;0,INDEX(DA$7:DA$106,$AC54),1),IF($AD54&gt;0,INDEX(DA$7:DA$106,$AD54),1),IF($AE54&gt;0,INDEX(DA$7:DA$106,$AE54),1),IF($AF54&gt;0,INDEX(DA$7:DA$106,$AF54),1),IF($AG54&gt;0,INDEX(DA$7:DA$106,$AG54),1),IF($AH54&gt;0,INDEX(DA$7:DA$106,$AH54),1),IF($AI54&gt;0,INDEX(DA$7:DA$106,$AI54),1),IF($AJ54&gt;0,INDEX(DA$7:DA$106,$AJ54),1))))</ns0:f>
        <ns0:v>1</ns0:v>
      </ns0:c>
      <ns0:c r="DC54" t="n">
        <ns0:f>IF($A54="",1,IF(DB54=1,1,--AND(IF($AC54&gt;0,INDEX(DB$7:DB$106,$AC54),1),IF($AD54&gt;0,INDEX(DB$7:DB$106,$AD54),1),IF($AE54&gt;0,INDEX(DB$7:DB$106,$AE54),1),IF($AF54&gt;0,INDEX(DB$7:DB$106,$AF54),1),IF($AG54&gt;0,INDEX(DB$7:DB$106,$AG54),1),IF($AH54&gt;0,INDEX(DB$7:DB$106,$AH54),1),IF($AI54&gt;0,INDEX(DB$7:DB$106,$AI54),1),IF($AJ54&gt;0,INDEX(DB$7:DB$106,$AJ54),1))))</ns0:f>
        <ns0:v>1</ns0:v>
      </ns0:c>
      <ns0:c r="DD54" t="n">
        <ns0:f>IF($A54="",1,IF(DC54=1,1,--AND(IF($AC54&gt;0,INDEX(DC$7:DC$106,$AC54),1),IF($AD54&gt;0,INDEX(DC$7:DC$106,$AD54),1),IF($AE54&gt;0,INDEX(DC$7:DC$106,$AE54),1),IF($AF54&gt;0,INDEX(DC$7:DC$106,$AF54),1),IF($AG54&gt;0,INDEX(DC$7:DC$106,$AG54),1),IF($AH54&gt;0,INDEX(DC$7:DC$106,$AH54),1),IF($AI54&gt;0,INDEX(DC$7:DC$106,$AI54),1),IF($AJ54&gt;0,INDEX(DC$7:DC$106,$AJ54),1))))</ns0:f>
        <ns0:v>1</ns0:v>
      </ns0:c>
      <ns0:c r="DE54" t="n">
        <ns0:f>IF($A54="",1,IF(DD54=1,1,--AND(IF($AC54&gt;0,INDEX(DD$7:DD$106,$AC54),1),IF($AD54&gt;0,INDEX(DD$7:DD$106,$AD54),1),IF($AE54&gt;0,INDEX(DD$7:DD$106,$AE54),1),IF($AF54&gt;0,INDEX(DD$7:DD$106,$AF54),1),IF($AG54&gt;0,INDEX(DD$7:DD$106,$AG54),1),IF($AH54&gt;0,INDEX(DD$7:DD$106,$AH54),1),IF($AI54&gt;0,INDEX(DD$7:DD$106,$AI54),1),IF($AJ54&gt;0,INDEX(DD$7:DD$106,$AJ54),1))))</ns0:f>
        <ns0:v>1</ns0:v>
      </ns0:c>
      <ns0:c r="DF54" t="n">
        <ns0:f>IF($A54="",1,IF(DE54=1,1,--AND(IF($AC54&gt;0,INDEX(DE$7:DE$106,$AC54),1),IF($AD54&gt;0,INDEX(DE$7:DE$106,$AD54),1),IF($AE54&gt;0,INDEX(DE$7:DE$106,$AE54),1),IF($AF54&gt;0,INDEX(DE$7:DE$106,$AF54),1),IF($AG54&gt;0,INDEX(DE$7:DE$106,$AG54),1),IF($AH54&gt;0,INDEX(DE$7:DE$106,$AH54),1),IF($AI54&gt;0,INDEX(DE$7:DE$106,$AI54),1),IF($AJ54&gt;0,INDEX(DE$7:DE$106,$AJ54),1))))</ns0:f>
        <ns0:v>1</ns0:v>
      </ns0:c>
      <ns0:c r="DG54" t="n">
        <ns0:f>IF($A54="",1,IF(DF54=1,1,--AND(IF($AC54&gt;0,INDEX(DF$7:DF$106,$AC54),1),IF($AD54&gt;0,INDEX(DF$7:DF$106,$AD54),1),IF($AE54&gt;0,INDEX(DF$7:DF$106,$AE54),1),IF($AF54&gt;0,INDEX(DF$7:DF$106,$AF54),1),IF($AG54&gt;0,INDEX(DF$7:DF$106,$AG54),1),IF($AH54&gt;0,INDEX(DF$7:DF$106,$AH54),1),IF($AI54&gt;0,INDEX(DF$7:DF$106,$AI54),1),IF($AJ54&gt;0,INDEX(DF$7:DF$106,$AJ54),1))))</ns0:f>
        <ns0:v>1</ns0:v>
      </ns0:c>
      <ns0:c r="DH54" t="n">
        <ns0:f>IF($A54="",1,IF(DG54=1,1,--AND(IF($AC54&gt;0,INDEX(DG$7:DG$106,$AC54),1),IF($AD54&gt;0,INDEX(DG$7:DG$106,$AD54),1),IF($AE54&gt;0,INDEX(DG$7:DG$106,$AE54),1),IF($AF54&gt;0,INDEX(DG$7:DG$106,$AF54),1),IF($AG54&gt;0,INDEX(DG$7:DG$106,$AG54),1),IF($AH54&gt;0,INDEX(DG$7:DG$106,$AH54),1),IF($AI54&gt;0,INDEX(DG$7:DG$106,$AI54),1),IF($AJ54&gt;0,INDEX(DG$7:DG$106,$AJ54),1))))</ns0:f>
        <ns0:v>1</ns0:v>
      </ns0:c>
      <ns0:c r="DI54" t="n">
        <ns0:f>IF($A54="",1,IF(DH54=1,1,--AND(IF($AC54&gt;0,INDEX(DH$7:DH$106,$AC54),1),IF($AD54&gt;0,INDEX(DH$7:DH$106,$AD54),1),IF($AE54&gt;0,INDEX(DH$7:DH$106,$AE54),1),IF($AF54&gt;0,INDEX(DH$7:DH$106,$AF54),1),IF($AG54&gt;0,INDEX(DH$7:DH$106,$AG54),1),IF($AH54&gt;0,INDEX(DH$7:DH$106,$AH54),1),IF($AI54&gt;0,INDEX(DH$7:DH$106,$AI54),1),IF($AJ54&gt;0,INDEX(DH$7:DH$106,$AJ54),1))))</ns0:f>
        <ns0:v>1</ns0:v>
      </ns0:c>
      <ns0:c r="DJ54" t="n">
        <ns0:f>IF($A54="",1,IF(DI54=1,1,--AND(IF($AC54&gt;0,INDEX(DI$7:DI$106,$AC54),1),IF($AD54&gt;0,INDEX(DI$7:DI$106,$AD54),1),IF($AE54&gt;0,INDEX(DI$7:DI$106,$AE54),1),IF($AF54&gt;0,INDEX(DI$7:DI$106,$AF54),1),IF($AG54&gt;0,INDEX(DI$7:DI$106,$AG54),1),IF($AH54&gt;0,INDEX(DI$7:DI$106,$AH54),1),IF($AI54&gt;0,INDEX(DI$7:DI$106,$AI54),1),IF($AJ54&gt;0,INDEX(DI$7:DI$106,$AJ54),1))))</ns0:f>
        <ns0:v>1</ns0:v>
      </ns0:c>
      <ns0:c r="DK54" t="n">
        <ns0:f>IF($A54="",1,IF(DJ54=1,1,--AND(IF($AC54&gt;0,INDEX(DJ$7:DJ$106,$AC54),1),IF($AD54&gt;0,INDEX(DJ$7:DJ$106,$AD54),1),IF($AE54&gt;0,INDEX(DJ$7:DJ$106,$AE54),1),IF($AF54&gt;0,INDEX(DJ$7:DJ$106,$AF54),1),IF($AG54&gt;0,INDEX(DJ$7:DJ$106,$AG54),1),IF($AH54&gt;0,INDEX(DJ$7:DJ$106,$AH54),1),IF($AI54&gt;0,INDEX(DJ$7:DJ$106,$AI54),1),IF($AJ54&gt;0,INDEX(DJ$7:DJ$106,$AJ54),1))))</ns0:f>
        <ns0:v>1</ns0:v>
      </ns0:c>
      <ns0:c r="DL54" t="n">
        <ns0:f>IF($A54="",1,IF(DK54=1,1,--AND(IF($AC54&gt;0,INDEX(DK$7:DK$106,$AC54),1),IF($AD54&gt;0,INDEX(DK$7:DK$106,$AD54),1),IF($AE54&gt;0,INDEX(DK$7:DK$106,$AE54),1),IF($AF54&gt;0,INDEX(DK$7:DK$106,$AF54),1),IF($AG54&gt;0,INDEX(DK$7:DK$106,$AG54),1),IF($AH54&gt;0,INDEX(DK$7:DK$106,$AH54),1),IF($AI54&gt;0,INDEX(DK$7:DK$106,$AI54),1),IF($AJ54&gt;0,INDEX(DK$7:DK$106,$AJ54),1))))</ns0:f>
        <ns0:v>1</ns0:v>
      </ns0:c>
      <ns0:c r="DM54" t="n">
        <ns0:f>IF($A54="",1,IF(DL54=1,1,--AND(IF($AC54&gt;0,INDEX(DL$7:DL$106,$AC54),1),IF($AD54&gt;0,INDEX(DL$7:DL$106,$AD54),1),IF($AE54&gt;0,INDEX(DL$7:DL$106,$AE54),1),IF($AF54&gt;0,INDEX(DL$7:DL$106,$AF54),1),IF($AG54&gt;0,INDEX(DL$7:DL$106,$AG54),1),IF($AH54&gt;0,INDEX(DL$7:DL$106,$AH54),1),IF($AI54&gt;0,INDEX(DL$7:DL$106,$AI54),1),IF($AJ54&gt;0,INDEX(DL$7:DL$106,$AJ54),1))))</ns0:f>
        <ns0:v>1</ns0:v>
      </ns0:c>
      <ns0:c r="DN54" t="n">
        <ns0:f>IF($A54="",1,IF(DM54=1,1,--AND(IF($AC54&gt;0,INDEX(DM$7:DM$106,$AC54),1),IF($AD54&gt;0,INDEX(DM$7:DM$106,$AD54),1),IF($AE54&gt;0,INDEX(DM$7:DM$106,$AE54),1),IF($AF54&gt;0,INDEX(DM$7:DM$106,$AF54),1),IF($AG54&gt;0,INDEX(DM$7:DM$106,$AG54),1),IF($AH54&gt;0,INDEX(DM$7:DM$106,$AH54),1),IF($AI54&gt;0,INDEX(DM$7:DM$106,$AI54),1),IF($AJ54&gt;0,INDEX(DM$7:DM$106,$AJ54),1))))</ns0:f>
        <ns0:v>1</ns0:v>
      </ns0:c>
      <ns0:c r="DO54" t="n">
        <ns0:f>IF($A54="",1,IF(DN54=1,1,--AND(IF($AC54&gt;0,INDEX(DN$7:DN$106,$AC54),1),IF($AD54&gt;0,INDEX(DN$7:DN$106,$AD54),1),IF($AE54&gt;0,INDEX(DN$7:DN$106,$AE54),1),IF($AF54&gt;0,INDEX(DN$7:DN$106,$AF54),1),IF($AG54&gt;0,INDEX(DN$7:DN$106,$AG54),1),IF($AH54&gt;0,INDEX(DN$7:DN$106,$AH54),1),IF($AI54&gt;0,INDEX(DN$7:DN$106,$AI54),1),IF($AJ54&gt;0,INDEX(DN$7:DN$106,$AJ54),1))))</ns0:f>
        <ns0:v>1</ns0:v>
      </ns0:c>
      <ns0:c r="DP54" t="n">
        <ns0:f>IF($A54="",1,IF(DO54=1,1,--AND(IF($AC54&gt;0,INDEX(DO$7:DO$106,$AC54),1),IF($AD54&gt;0,INDEX(DO$7:DO$106,$AD54),1),IF($AE54&gt;0,INDEX(DO$7:DO$106,$AE54),1),IF($AF54&gt;0,INDEX(DO$7:DO$106,$AF54),1),IF($AG54&gt;0,INDEX(DO$7:DO$106,$AG54),1),IF($AH54&gt;0,INDEX(DO$7:DO$106,$AH54),1),IF($AI54&gt;0,INDEX(DO$7:DO$106,$AI54),1),IF($AJ54&gt;0,INDEX(DO$7:DO$106,$AJ54),1))))</ns0:f>
        <ns0:v>1</ns0:v>
      </ns0:c>
      <ns0:c r="DQ54" t="n">
        <ns0:f>IF($A54="",1,IF(DP54=1,1,--AND(IF($AC54&gt;0,INDEX(DP$7:DP$106,$AC54),1),IF($AD54&gt;0,INDEX(DP$7:DP$106,$AD54),1),IF($AE54&gt;0,INDEX(DP$7:DP$106,$AE54),1),IF($AF54&gt;0,INDEX(DP$7:DP$106,$AF54),1),IF($AG54&gt;0,INDEX(DP$7:DP$106,$AG54),1),IF($AH54&gt;0,INDEX(DP$7:DP$106,$AH54),1),IF($AI54&gt;0,INDEX(DP$7:DP$106,$AI54),1),IF($AJ54&gt;0,INDEX(DP$7:DP$106,$AJ54),1))))</ns0:f>
        <ns0:v>1</ns0:v>
      </ns0:c>
      <ns0:c r="DR54" t="n">
        <ns0:f>IF($A54="",1,IF(DQ54=1,1,--AND(IF($AC54&gt;0,INDEX(DQ$7:DQ$106,$AC54),1),IF($AD54&gt;0,INDEX(DQ$7:DQ$106,$AD54),1),IF($AE54&gt;0,INDEX(DQ$7:DQ$106,$AE54),1),IF($AF54&gt;0,INDEX(DQ$7:DQ$106,$AF54),1),IF($AG54&gt;0,INDEX(DQ$7:DQ$106,$AG54),1),IF($AH54&gt;0,INDEX(DQ$7:DQ$106,$AH54),1),IF($AI54&gt;0,INDEX(DQ$7:DQ$106,$AI54),1),IF($AJ54&gt;0,INDEX(DQ$7:DQ$106,$AJ54),1))))</ns0:f>
        <ns0:v>1</ns0:v>
      </ns0:c>
      <ns0:c r="DS54" t="n">
        <ns0:f>IF($A54="",1,IF(DR54=1,1,--AND(IF($AC54&gt;0,INDEX(DR$7:DR$106,$AC54),1),IF($AD54&gt;0,INDEX(DR$7:DR$106,$AD54),1),IF($AE54&gt;0,INDEX(DR$7:DR$106,$AE54),1),IF($AF54&gt;0,INDEX(DR$7:DR$106,$AF54),1),IF($AG54&gt;0,INDEX(DR$7:DR$106,$AG54),1),IF($AH54&gt;0,INDEX(DR$7:DR$106,$AH54),1),IF($AI54&gt;0,INDEX(DR$7:DR$106,$AI54),1),IF($AJ54&gt;0,INDEX(DR$7:DR$106,$AJ54),1))))</ns0:f>
        <ns0:v>1</ns0:v>
      </ns0:c>
      <ns0:c r="DT54" t="n">
        <ns0:f>IF($A54="",1,IF(DS54=1,1,--AND(IF($AC54&gt;0,INDEX(DS$7:DS$106,$AC54),1),IF($AD54&gt;0,INDEX(DS$7:DS$106,$AD54),1),IF($AE54&gt;0,INDEX(DS$7:DS$106,$AE54),1),IF($AF54&gt;0,INDEX(DS$7:DS$106,$AF54),1),IF($AG54&gt;0,INDEX(DS$7:DS$106,$AG54),1),IF($AH54&gt;0,INDEX(DS$7:DS$106,$AH54),1),IF($AI54&gt;0,INDEX(DS$7:DS$106,$AI54),1),IF($AJ54&gt;0,INDEX(DS$7:DS$106,$AJ54),1))))</ns0:f>
        <ns0:v>1</ns0:v>
      </ns0:c>
      <ns0:c r="DU54" t="n">
        <ns0:f>IF($A54="",1,IF(DT54=1,1,--AND(IF($AC54&gt;0,INDEX(DT$7:DT$106,$AC54),1),IF($AD54&gt;0,INDEX(DT$7:DT$106,$AD54),1),IF($AE54&gt;0,INDEX(DT$7:DT$106,$AE54),1),IF($AF54&gt;0,INDEX(DT$7:DT$106,$AF54),1),IF($AG54&gt;0,INDEX(DT$7:DT$106,$AG54),1),IF($AH54&gt;0,INDEX(DT$7:DT$106,$AH54),1),IF($AI54&gt;0,INDEX(DT$7:DT$106,$AI54),1),IF($AJ54&gt;0,INDEX(DT$7:DT$106,$AJ54),1))))</ns0:f>
        <ns0:v>1</ns0:v>
      </ns0:c>
      <ns0:c r="DV54" t="n">
        <ns0:f>IF($A54="",1,IF(DU54=1,1,--AND(IF($AC54&gt;0,INDEX(DU$7:DU$106,$AC54),1),IF($AD54&gt;0,INDEX(DU$7:DU$106,$AD54),1),IF($AE54&gt;0,INDEX(DU$7:DU$106,$AE54),1),IF($AF54&gt;0,INDEX(DU$7:DU$106,$AF54),1),IF($AG54&gt;0,INDEX(DU$7:DU$106,$AG54),1),IF($AH54&gt;0,INDEX(DU$7:DU$106,$AH54),1),IF($AI54&gt;0,INDEX(DU$7:DU$106,$AI54),1),IF($AJ54&gt;0,INDEX(DU$7:DU$106,$AJ54),1))))</ns0:f>
        <ns0:v>1</ns0:v>
      </ns0:c>
      <ns0:c r="DW54" t="n">
        <ns0:f>IF($A54="",1,IF(DV54=1,1,--AND(IF($AC54&gt;0,INDEX(DV$7:DV$106,$AC54),1),IF($AD54&gt;0,INDEX(DV$7:DV$106,$AD54),1),IF($AE54&gt;0,INDEX(DV$7:DV$106,$AE54),1),IF($AF54&gt;0,INDEX(DV$7:DV$106,$AF54),1),IF($AG54&gt;0,INDEX(DV$7:DV$106,$AG54),1),IF($AH54&gt;0,INDEX(DV$7:DV$106,$AH54),1),IF($AI54&gt;0,INDEX(DV$7:DV$106,$AI54),1),IF($AJ54&gt;0,INDEX(DV$7:DV$106,$AJ54),1))))</ns0:f>
        <ns0:v>1</ns0:v>
      </ns0:c>
      <ns0:c r="DX54" t="n">
        <ns0:f>IF($A54="",1,IF(DW54=1,1,--AND(IF($AC54&gt;0,INDEX(DW$7:DW$106,$AC54),1),IF($AD54&gt;0,INDEX(DW$7:DW$106,$AD54),1),IF($AE54&gt;0,INDEX(DW$7:DW$106,$AE54),1),IF($AF54&gt;0,INDEX(DW$7:DW$106,$AF54),1),IF($AG54&gt;0,INDEX(DW$7:DW$106,$AG54),1),IF($AH54&gt;0,INDEX(DW$7:DW$106,$AH54),1),IF($AI54&gt;0,INDEX(DW$7:DW$106,$AI54),1),IF($AJ54&gt;0,INDEX(DW$7:DW$106,$AJ54),1))))</ns0:f>
        <ns0:v>1</ns0:v>
      </ns0:c>
      <ns0:c r="DY54" t="n">
        <ns0:f>IF($A54="",1,IF(DX54=1,1,--AND(IF($AC54&gt;0,INDEX(DX$7:DX$106,$AC54),1),IF($AD54&gt;0,INDEX(DX$7:DX$106,$AD54),1),IF($AE54&gt;0,INDEX(DX$7:DX$106,$AE54),1),IF($AF54&gt;0,INDEX(DX$7:DX$106,$AF54),1),IF($AG54&gt;0,INDEX(DX$7:DX$106,$AG54),1),IF($AH54&gt;0,INDEX(DX$7:DX$106,$AH54),1),IF($AI54&gt;0,INDEX(DX$7:DX$106,$AI54),1),IF($AJ54&gt;0,INDEX(DX$7:DX$106,$AJ54),1))))</ns0:f>
        <ns0:v>1</ns0:v>
      </ns0:c>
      <ns0:c r="DZ54" t="n">
        <ns0:f>IF($A54="",1,IF(DY54=1,1,--AND(IF($AC54&gt;0,INDEX(DY$7:DY$106,$AC54),1),IF($AD54&gt;0,INDEX(DY$7:DY$106,$AD54),1),IF($AE54&gt;0,INDEX(DY$7:DY$106,$AE54),1),IF($AF54&gt;0,INDEX(DY$7:DY$106,$AF54),1),IF($AG54&gt;0,INDEX(DY$7:DY$106,$AG54),1),IF($AH54&gt;0,INDEX(DY$7:DY$106,$AH54),1),IF($AI54&gt;0,INDEX(DY$7:DY$106,$AI54),1),IF($AJ54&gt;0,INDEX(DY$7:DY$106,$AJ54),1))))</ns0:f>
        <ns0:v>1</ns0:v>
      </ns0:c>
      <ns0:c r="EA54" t="n">
        <ns0:f>IF($A54="",1,IF(DZ54=1,1,--AND(IF($AC54&gt;0,INDEX(DZ$7:DZ$106,$AC54),1),IF($AD54&gt;0,INDEX(DZ$7:DZ$106,$AD54),1),IF($AE54&gt;0,INDEX(DZ$7:DZ$106,$AE54),1),IF($AF54&gt;0,INDEX(DZ$7:DZ$106,$AF54),1),IF($AG54&gt;0,INDEX(DZ$7:DZ$106,$AG54),1),IF($AH54&gt;0,INDEX(DZ$7:DZ$106,$AH54),1),IF($AI54&gt;0,INDEX(DZ$7:DZ$106,$AI54),1),IF($AJ54&gt;0,INDEX(DZ$7:DZ$106,$AJ54),1))))</ns0:f>
        <ns0:v>1</ns0:v>
      </ns0:c>
      <ns0:c r="EB54" t="n">
        <ns0:f>IF($A54="",1,IF(EA54=1,1,--AND(IF($AC54&gt;0,INDEX(EA$7:EA$106,$AC54),1),IF($AD54&gt;0,INDEX(EA$7:EA$106,$AD54),1),IF($AE54&gt;0,INDEX(EA$7:EA$106,$AE54),1),IF($AF54&gt;0,INDEX(EA$7:EA$106,$AF54),1),IF($AG54&gt;0,INDEX(EA$7:EA$106,$AG54),1),IF($AH54&gt;0,INDEX(EA$7:EA$106,$AH54),1),IF($AI54&gt;0,INDEX(EA$7:EA$106,$AI54),1),IF($AJ54&gt;0,INDEX(EA$7:EA$106,$AJ54),1))))</ns0:f>
        <ns0:v>1</ns0:v>
      </ns0:c>
      <ns0:c r="EC54" t="n">
        <ns0:f>IF($A54="",1,IF(EB54=1,1,--AND(IF($AC54&gt;0,INDEX(EB$7:EB$106,$AC54),1),IF($AD54&gt;0,INDEX(EB$7:EB$106,$AD54),1),IF($AE54&gt;0,INDEX(EB$7:EB$106,$AE54),1),IF($AF54&gt;0,INDEX(EB$7:EB$106,$AF54),1),IF($AG54&gt;0,INDEX(EB$7:EB$106,$AG54),1),IF($AH54&gt;0,INDEX(EB$7:EB$106,$AH54),1),IF($AI54&gt;0,INDEX(EB$7:EB$106,$AI54),1),IF($AJ54&gt;0,INDEX(EB$7:EB$106,$AJ54),1))))</ns0:f>
        <ns0:v>1</ns0:v>
      </ns0:c>
      <ns0:c r="ED54" t="n">
        <ns0:f>IF($A54="",1,IF(EC54=1,1,--AND(IF($AC54&gt;0,INDEX(EC$7:EC$106,$AC54),1),IF($AD54&gt;0,INDEX(EC$7:EC$106,$AD54),1),IF($AE54&gt;0,INDEX(EC$7:EC$106,$AE54),1),IF($AF54&gt;0,INDEX(EC$7:EC$106,$AF54),1),IF($AG54&gt;0,INDEX(EC$7:EC$106,$AG54),1),IF($AH54&gt;0,INDEX(EC$7:EC$106,$AH54),1),IF($AI54&gt;0,INDEX(EC$7:EC$106,$AI54),1),IF($AJ54&gt;0,INDEX(EC$7:EC$106,$AJ54),1))))</ns0:f>
        <ns0:v>1</ns0:v>
      </ns0:c>
      <ns0:c r="EE54" t="n">
        <ns0:f>IF($A54="",1,IF(ED54=1,1,--AND(IF($AC54&gt;0,INDEX(ED$7:ED$106,$AC54),1),IF($AD54&gt;0,INDEX(ED$7:ED$106,$AD54),1),IF($AE54&gt;0,INDEX(ED$7:ED$106,$AE54),1),IF($AF54&gt;0,INDEX(ED$7:ED$106,$AF54),1),IF($AG54&gt;0,INDEX(ED$7:ED$106,$AG54),1),IF($AH54&gt;0,INDEX(ED$7:ED$106,$AH54),1),IF($AI54&gt;0,INDEX(ED$7:ED$106,$AI54),1),IF($AJ54&gt;0,INDEX(ED$7:ED$106,$AJ54),1))))</ns0:f>
        <ns0:v>1</ns0:v>
      </ns0:c>
      <ns0:c r="EF54" t="n">
        <ns0:f>IF($A54="",1,IF(EE54=1,1,--AND(IF($AC54&gt;0,INDEX(EE$7:EE$106,$AC54),1),IF($AD54&gt;0,INDEX(EE$7:EE$106,$AD54),1),IF($AE54&gt;0,INDEX(EE$7:EE$106,$AE54),1),IF($AF54&gt;0,INDEX(EE$7:EE$106,$AF54),1),IF($AG54&gt;0,INDEX(EE$7:EE$106,$AG54),1),IF($AH54&gt;0,INDEX(EE$7:EE$106,$AH54),1),IF($AI54&gt;0,INDEX(EE$7:EE$106,$AI54),1),IF($AJ54&gt;0,INDEX(EE$7:EE$106,$AJ54),1))))</ns0:f>
        <ns0:v>1</ns0:v>
      </ns0:c>
      <ns0:c r="EG54" t="n">
        <ns0:f>IF($A54="",1,IF(EF54=1,1,--AND(IF($AC54&gt;0,INDEX(EF$7:EF$106,$AC54),1),IF($AD54&gt;0,INDEX(EF$7:EF$106,$AD54),1),IF($AE54&gt;0,INDEX(EF$7:EF$106,$AE54),1),IF($AF54&gt;0,INDEX(EF$7:EF$106,$AF54),1),IF($AG54&gt;0,INDEX(EF$7:EF$106,$AG54),1),IF($AH54&gt;0,INDEX(EF$7:EF$106,$AH54),1),IF($AI54&gt;0,INDEX(EF$7:EF$106,$AI54),1),IF($AJ54&gt;0,INDEX(EF$7:EF$106,$AJ54),1))))</ns0:f>
        <ns0:v>1</ns0:v>
      </ns0:c>
      <ns0:c r="EH54" t="n">
        <ns0:f>IF($A54="",1,IF(EG54=1,1,--AND(IF($AC54&gt;0,INDEX(EG$7:EG$106,$AC54),1),IF($AD54&gt;0,INDEX(EG$7:EG$106,$AD54),1),IF($AE54&gt;0,INDEX(EG$7:EG$106,$AE54),1),IF($AF54&gt;0,INDEX(EG$7:EG$106,$AF54),1),IF($AG54&gt;0,INDEX(EG$7:EG$106,$AG54),1),IF($AH54&gt;0,INDEX(EG$7:EG$106,$AH54),1),IF($AI54&gt;0,INDEX(EG$7:EG$106,$AI54),1),IF($AJ54&gt;0,INDEX(EG$7:EG$106,$AJ54),1))))</ns0:f>
        <ns0:v>1</ns0:v>
      </ns0:c>
      <ns0:c r="EI54" t="n">
        <ns0:f>IF($A54="",1,IF(EH54=1,1,--AND(IF($AC54&gt;0,INDEX(EH$7:EH$106,$AC54),1),IF($AD54&gt;0,INDEX(EH$7:EH$106,$AD54),1),IF($AE54&gt;0,INDEX(EH$7:EH$106,$AE54),1),IF($AF54&gt;0,INDEX(EH$7:EH$106,$AF54),1),IF($AG54&gt;0,INDEX(EH$7:EH$106,$AG54),1),IF($AH54&gt;0,INDEX(EH$7:EH$106,$AH54),1),IF($AI54&gt;0,INDEX(EH$7:EH$106,$AI54),1),IF($AJ54&gt;0,INDEX(EH$7:EH$106,$AJ54),1))))</ns0:f>
        <ns0:v>1</ns0:v>
      </ns0:c>
      <ns0:c r="EJ54" t="n">
        <ns0:f>IF($A54="",1,IF(EI54=1,1,--AND(IF($AC54&gt;0,INDEX(EI$7:EI$106,$AC54),1),IF($AD54&gt;0,INDEX(EI$7:EI$106,$AD54),1),IF($AE54&gt;0,INDEX(EI$7:EI$106,$AE54),1),IF($AF54&gt;0,INDEX(EI$7:EI$106,$AF54),1),IF($AG54&gt;0,INDEX(EI$7:EI$106,$AG54),1),IF($AH54&gt;0,INDEX(EI$7:EI$106,$AH54),1),IF($AI54&gt;0,INDEX(EI$7:EI$106,$AI54),1),IF($AJ54&gt;0,INDEX(EI$7:EI$106,$AJ54),1))))</ns0:f>
        <ns0:v>1</ns0:v>
      </ns0:c>
      <ns0:c r="EK54" t="n">
        <ns0:f>IF($A54="",1,IF(EJ54=1,1,--AND(IF($AC54&gt;0,INDEX(EJ$7:EJ$106,$AC54),1),IF($AD54&gt;0,INDEX(EJ$7:EJ$106,$AD54),1),IF($AE54&gt;0,INDEX(EJ$7:EJ$106,$AE54),1),IF($AF54&gt;0,INDEX(EJ$7:EJ$106,$AF54),1),IF($AG54&gt;0,INDEX(EJ$7:EJ$106,$AG54),1),IF($AH54&gt;0,INDEX(EJ$7:EJ$106,$AH54),1),IF($AI54&gt;0,INDEX(EJ$7:EJ$106,$AI54),1),IF($AJ54&gt;0,INDEX(EJ$7:EJ$106,$AJ54),1))))</ns0:f>
        <ns0:v>1</ns0:v>
      </ns0:c>
      <ns0:c r="EL54" t="n">
        <ns0:f>IF($A54="",1,IF(EK54=1,1,--AND(IF($AC54&gt;0,INDEX(EK$7:EK$106,$AC54),1),IF($AD54&gt;0,INDEX(EK$7:EK$106,$AD54),1),IF($AE54&gt;0,INDEX(EK$7:EK$106,$AE54),1),IF($AF54&gt;0,INDEX(EK$7:EK$106,$AF54),1),IF($AG54&gt;0,INDEX(EK$7:EK$106,$AG54),1),IF($AH54&gt;0,INDEX(EK$7:EK$106,$AH54),1),IF($AI54&gt;0,INDEX(EK$7:EK$106,$AI54),1),IF($AJ54&gt;0,INDEX(EK$7:EK$106,$AJ54),1))))</ns0:f>
        <ns0:v>1</ns0:v>
      </ns0:c>
      <ns0:c r="EM54" t="n">
        <ns0:f>IF($A54="",1,IF(EL54=1,1,--AND(IF($AC54&gt;0,INDEX(EL$7:EL$106,$AC54),1),IF($AD54&gt;0,INDEX(EL$7:EL$106,$AD54),1),IF($AE54&gt;0,INDEX(EL$7:EL$106,$AE54),1),IF($AF54&gt;0,INDEX(EL$7:EL$106,$AF54),1),IF($AG54&gt;0,INDEX(EL$7:EL$106,$AG54),1),IF($AH54&gt;0,INDEX(EL$7:EL$106,$AH54),1),IF($AI54&gt;0,INDEX(EL$7:EL$106,$AI54),1),IF($AJ54&gt;0,INDEX(EL$7:EL$106,$AJ54),1))))</ns0:f>
        <ns0:v>1</ns0:v>
      </ns0:c>
      <ns0:c r="EN54" t="n">
        <ns0:f>IF($A54="",1,IF(EM54=1,1,--AND(IF($AC54&gt;0,INDEX(EM$7:EM$106,$AC54),1),IF($AD54&gt;0,INDEX(EM$7:EM$106,$AD54),1),IF($AE54&gt;0,INDEX(EM$7:EM$106,$AE54),1),IF($AF54&gt;0,INDEX(EM$7:EM$106,$AF54),1),IF($AG54&gt;0,INDEX(EM$7:EM$106,$AG54),1),IF($AH54&gt;0,INDEX(EM$7:EM$106,$AH54),1),IF($AI54&gt;0,INDEX(EM$7:EM$106,$AI54),1),IF($AJ54&gt;0,INDEX(EM$7:EM$106,$AJ54),1))))</ns0:f>
        <ns0:v>1</ns0:v>
      </ns0:c>
      <ns0:c r="EO54" t="n">
        <ns0:f>IF($A54="",1,IF(EN54=1,1,--AND(IF($AC54&gt;0,INDEX(EN$7:EN$106,$AC54),1),IF($AD54&gt;0,INDEX(EN$7:EN$106,$AD54),1),IF($AE54&gt;0,INDEX(EN$7:EN$106,$AE54),1),IF($AF54&gt;0,INDEX(EN$7:EN$106,$AF54),1),IF($AG54&gt;0,INDEX(EN$7:EN$106,$AG54),1),IF($AH54&gt;0,INDEX(EN$7:EN$106,$AH54),1),IF($AI54&gt;0,INDEX(EN$7:EN$106,$AI54),1),IF($AJ54&gt;0,INDEX(EN$7:EN$106,$AJ54),1))))</ns0:f>
        <ns0:v>1</ns0:v>
      </ns0:c>
      <ns0:c r="EP54" t="n">
        <ns0:f>IF($A54="",1,IF(EO54=1,1,--AND(IF($AC54&gt;0,INDEX(EO$7:EO$106,$AC54),1),IF($AD54&gt;0,INDEX(EO$7:EO$106,$AD54),1),IF($AE54&gt;0,INDEX(EO$7:EO$106,$AE54),1),IF($AF54&gt;0,INDEX(EO$7:EO$106,$AF54),1),IF($AG54&gt;0,INDEX(EO$7:EO$106,$AG54),1),IF($AH54&gt;0,INDEX(EO$7:EO$106,$AH54),1),IF($AI54&gt;0,INDEX(EO$7:EO$106,$AI54),1),IF($AJ54&gt;0,INDEX(EO$7:EO$106,$AJ54),1))))</ns0:f>
        <ns0:v>1</ns0:v>
      </ns0:c>
      <ns0:c r="EQ54" t="n">
        <ns0:f>IF(OR(A54="",NOT(ISNUMBER(G54))),0,G54*N54)</ns0:f>
        <ns0:v>0</ns0:v>
      </ns0:c>
    </ns0:row>
    <ns0:row r="55" ht="62" customHeight="1">
      <ns0:c r="A55" s="48"/>
      <ns0:c r="B55" s="48"/>
      <ns0:c r="C55" s="48"/>
      <ns0:c r="D55" s="48"/>
      <ns0:c r="E55" s="49"/>
      <ns0:c r="F55" s="49"/>
      <ns0:c r="G55" s="13" t="str">
        <ns0:f>IF(A55="","",IF(OR(NOT(ISNUMBER(E55)),NOT(ISNUMBER(F55)),F55&lt;E55),"",IF(J55="Yes",0,F55-E55+1)))</ns0:f>
      </ns0:c>
      <ns0:c r="H55" s="48"/>
      <ns0:c r="I55" s="48"/>
      <ns0:c r="J55" s="48"/>
      <ns0:c r="K55" s="48"/>
      <ns0:c r="L55" s="48"/>
      <ns0:c r="M55" s="50" t="str">
        <ns0:f>IF(A55="","",IF(N55=1,"Completed",IF(N55&gt;0,"In Progress","Not Started")))</ns0:f>
      </ns0:c>
      <ns0:c r="N55" s="51"/>
      <ns0:c r="O55" s="13" t="str">
        <ns0:f>IF(A55="","",IF(R55&lt;&gt;"","[CONFLICT] "&amp;R55,IF(S55&lt;&gt;"","[CONFLICT] "&amp;S55,IF(OR(NOT(ISNUMBER(N55)),N55&lt;0,N55&gt;1),"[CONFLICT] Invalid progress",IF(AK55&gt;0,"[DEPENDENCY ISSUE] Missing ID / &gt;8 links",IF(AM55&gt;0,"[DEPENDENCY ISSUE] Cycle or blocked by cycle",IF(AND(H55&lt;&gt;"",ISNA(MATCH(I55,{"FS","SS","FF","SF"},0))),"[DEPENDENCY ISSUE] Invalid type",IF(AL55&gt;0,"[DEPENDENCY ISSUE] Timing conflict",IF(OR(E55&lt;ProjectStart,F55&gt;ProjectEnd),"[OUTSIDE WINDOW]",IF(AND(N55&lt;1,F55&lt;AsOfDate),"Overdue",IF(AND(M55&lt;&gt;Q55,M55&lt;&gt;""),"[CONFLICT] Status / progress","On track")))))))))))</ns0:f>
      </ns0:c>
      <ns0:c r="P55" s="52"/>
      <ns0:c r="Q55" t="str">
        <ns0:f>IF(A55="","",IF(OR(M55="On Hold",M55="Delayed"),M55,IF(N55=1,"Completed",IF(N55&gt;0,"In Progress","Not Started"))))</ns0:f>
      </ns0:c>
      <ns0:c r="R55" t="str">
        <ns0:f>IF(A55="","",IF(COUNTIFS(Tasks[Task ID],A55)&lt;&gt;1,"Duplicate ID",""))</ns0:f>
      </ns0:c>
      <ns0:c r="S55" t="str">
        <ns0:f>IF(A55="","",IF(OR(NOT(ISNUMBER(E55)),NOT(ISNUMBER(F55))),"Invalid / missing date",IF(OR(E55&lt;&gt;INT(E55),F55&lt;&gt;INT(F55),E55&lt;1,F55&gt;2958465),"Invalid date",IF(F55&lt;E55,"End before start",IF(AND(J55="Yes",E55&lt;&gt;F55),"Milestone needs one date","")))))</ns0:f>
      </ns0:c>
      <ns0:c r="T55" t="n">
        <ns0:f>IF(H55="",0,LEN(H55)-LEN(SUBSTITUTE(H55,",",""))+1)</ns0:f>
        <ns0:v>0</ns0:v>
      </ns0:c>
      <ns0:c r="U55" t="str">
        <ns0:f>TRIM(MID(SUBSTITUTE($H55,",",REPT(" ",100)),1,100))</ns0:f>
      </ns0:c>
      <ns0:c r="V55" t="str">
        <ns0:f>TRIM(MID(SUBSTITUTE($H55,",",REPT(" ",100)),101,100))</ns0:f>
      </ns0:c>
      <ns0:c r="W55" t="str">
        <ns0:f>TRIM(MID(SUBSTITUTE($H55,",",REPT(" ",100)),201,100))</ns0:f>
      </ns0:c>
      <ns0:c r="X55" t="str">
        <ns0:f>TRIM(MID(SUBSTITUTE($H55,",",REPT(" ",100)),301,100))</ns0:f>
      </ns0:c>
      <ns0:c r="Y55" t="str">
        <ns0:f>TRIM(MID(SUBSTITUTE($H55,",",REPT(" ",100)),401,100))</ns0:f>
      </ns0:c>
      <ns0:c r="Z55" t="str">
        <ns0:f>TRIM(MID(SUBSTITUTE($H55,",",REPT(" ",100)),501,100))</ns0:f>
      </ns0:c>
      <ns0:c r="AA55" t="str">
        <ns0:f>TRIM(MID(SUBSTITUTE($H55,",",REPT(" ",100)),601,100))</ns0:f>
      </ns0:c>
      <ns0:c r="AB55" t="str">
        <ns0:f>TRIM(MID(SUBSTITUTE($H55,",",REPT(" ",100)),701,100))</ns0:f>
      </ns0:c>
      <ns0:c r="AC55" t="n">
        <ns0:f>IF(U55="",0,IF(COUNTIFS(Tasks[Task ID],U55)=1,MATCH(U55,Tasks[Task ID],0),-1))</ns0:f>
        <ns0:v>0</ns0:v>
      </ns0:c>
      <ns0:c r="AD55" t="n">
        <ns0:f>IF(V55="",0,IF(COUNTIFS(Tasks[Task ID],V55)=1,MATCH(V55,Tasks[Task ID],0),-1))</ns0:f>
        <ns0:v>0</ns0:v>
      </ns0:c>
      <ns0:c r="AE55" t="n">
        <ns0:f>IF(W55="",0,IF(COUNTIFS(Tasks[Task ID],W55)=1,MATCH(W55,Tasks[Task ID],0),-1))</ns0:f>
        <ns0:v>0</ns0:v>
      </ns0:c>
      <ns0:c r="AF55" t="n">
        <ns0:f>IF(X55="",0,IF(COUNTIFS(Tasks[Task ID],X55)=1,MATCH(X55,Tasks[Task ID],0),-1))</ns0:f>
        <ns0:v>0</ns0:v>
      </ns0:c>
      <ns0:c r="AG55" t="n">
        <ns0:f>IF(Y55="",0,IF(COUNTIFS(Tasks[Task ID],Y55)=1,MATCH(Y55,Tasks[Task ID],0),-1))</ns0:f>
        <ns0:v>0</ns0:v>
      </ns0:c>
      <ns0:c r="AH55" t="n">
        <ns0:f>IF(Z55="",0,IF(COUNTIFS(Tasks[Task ID],Z55)=1,MATCH(Z55,Tasks[Task ID],0),-1))</ns0:f>
        <ns0:v>0</ns0:v>
      </ns0:c>
      <ns0:c r="AI55" t="n">
        <ns0:f>IF(AA55="",0,IF(COUNTIFS(Tasks[Task ID],AA55)=1,MATCH(AA55,Tasks[Task ID],0),-1))</ns0:f>
        <ns0:v>0</ns0:v>
      </ns0:c>
      <ns0:c r="AJ55" t="n">
        <ns0:f>IF(AB55="",0,IF(COUNTIFS(Tasks[Task ID],AB55)=1,MATCH(AB55,Tasks[Task ID],0),-1))</ns0:f>
        <ns0:v>0</ns0:v>
      </ns0:c>
      <ns0:c r="AK55" t="n">
        <ns0:f>COUNTIFS(AC55:AJ55,-1)+IF(T55&gt;8,1,0)</ns0:f>
        <ns0:v>0</ns0:v>
      </ns0:c>
      <ns0:c r="AL55" t="n">
        <ns0:f>IF(OR(A55="",S55&lt;&gt;""),0,SUM(IF(AC55&gt;0,IF($I55="FS",--($E55&lt;INDEX(Tasks[End Date],AC55)+IF(INDEX(Tasks[Milestone],AC55)="Yes",0,1)),IF($I55="SS",--($E55&lt;INDEX(Tasks[Start Date],AC55)),IF($I55="FF",--($F55&lt;INDEX(Tasks[End Date],AC55)),IF($I55="SF",--($F55&lt;INDEX(Tasks[Start Date],AC55)),0)))),0),IF(AD55&gt;0,IF($I55="FS",--($E55&lt;INDEX(Tasks[End Date],AD55)+IF(INDEX(Tasks[Milestone],AD55)="Yes",0,1)),IF($I55="SS",--($E55&lt;INDEX(Tasks[Start Date],AD55)),IF($I55="FF",--($F55&lt;INDEX(Tasks[End Date],AD55)),IF($I55="SF",--($F55&lt;INDEX(Tasks[Start Date],AD55)),0)))),0),IF(AE55&gt;0,IF($I55="FS",--($E55&lt;INDEX(Tasks[End Date],AE55)+IF(INDEX(Tasks[Milestone],AE55)="Yes",0,1)),IF($I55="SS",--($E55&lt;INDEX(Tasks[Start Date],AE55)),IF($I55="FF",--($F55&lt;INDEX(Tasks[End Date],AE55)),IF($I55="SF",--($F55&lt;INDEX(Tasks[Start Date],AE55)),0)))),0),IF(AF55&gt;0,IF($I55="FS",--($E55&lt;INDEX(Tasks[End Date],AF55)+IF(INDEX(Tasks[Milestone],AF55)="Yes",0,1)),IF($I55="SS",--($E55&lt;INDEX(Tasks[Start Date],AF55)),IF($I55="FF",--($F55&lt;INDEX(Tasks[End Date],AF55)),IF($I55="SF",--($F55&lt;INDEX(Tasks[Start Date],AF55)),0)))),0),IF(AG55&gt;0,IF($I55="FS",--($E55&lt;INDEX(Tasks[End Date],AG55)+IF(INDEX(Tasks[Milestone],AG55)="Yes",0,1)),IF($I55="SS",--($E55&lt;INDEX(Tasks[Start Date],AG55)),IF($I55="FF",--($F55&lt;INDEX(Tasks[End Date],AG55)),IF($I55="SF",--($F55&lt;INDEX(Tasks[Start Date],AG55)),0)))),0),IF(AH55&gt;0,IF($I55="FS",--($E55&lt;INDEX(Tasks[End Date],AH55)+IF(INDEX(Tasks[Milestone],AH55)="Yes",0,1)),IF($I55="SS",--($E55&lt;INDEX(Tasks[Start Date],AH55)),IF($I55="FF",--($F55&lt;INDEX(Tasks[End Date],AH55)),IF($I55="SF",--($F55&lt;INDEX(Tasks[Start Date],AH55)),0)))),0),IF(AI55&gt;0,IF($I55="FS",--($E55&lt;INDEX(Tasks[End Date],AI55)+IF(INDEX(Tasks[Milestone],AI55)="Yes",0,1)),IF($I55="SS",--($E55&lt;INDEX(Tasks[Start Date],AI55)),IF($I55="FF",--($F55&lt;INDEX(Tasks[End Date],AI55)),IF($I55="SF",--($F55&lt;INDEX(Tasks[Start Date],AI55)),0)))),0),IF(AJ55&gt;0,IF($I55="FS",--($E55&lt;INDEX(Tasks[End Date],AJ55)+IF(INDEX(Tasks[Milestone],AJ55)="Yes",0,1)),IF($I55="SS",--($E55&lt;INDEX(Tasks[Start Date],AJ55)),IF($I55="FF",--($F55&lt;INDEX(Tasks[End Date],AJ55)),IF($I55="SF",--($F55&lt;INDEX(Tasks[Start Date],AJ55)),0)))),0)))</ns0:f>
        <ns0:v>0</ns0:v>
      </ns0:c>
      <ns0:c r="AM55" t="n">
        <ns0:f>IF(AND(A55&lt;&gt;"",AK55=0,EP55=0),1,0)</ns0:f>
        <ns0:v>0</ns0:v>
      </ns0:c>
      <ns0:c r="AN55" t="str">
        <ns0:f>IF(OR(A55="",B55=""),"",IF(COUNTIFS($B$7:B55,B55)=1,MAX($AN$6:AN54)+1,""))</ns0:f>
      </ns0:c>
      <ns0:c r="AO55" t="n">
        <ns0:f>IF(AND(A55&lt;&gt;"",J55="No",N55&lt;1,E55&gt;=AsOfDate),E55+ROW()/10000,1E+9)</ns0:f>
        <ns0:v>1000000000</ns0:v>
      </ns0:c>
      <ns0:c r="AP55" t="n">
        <ns0:f>IF(AND(A55&lt;&gt;"",J55="Yes",N55&lt;1,E55&gt;=AsOfDate),E55+ROW()/10000,1E+9)</ns0:f>
        <ns0:v>1000000000</ns0:v>
      </ns0:c>
      <ns0:c r="AQ55" t="n">
        <ns0:f>IF(AND(A55&lt;&gt;"",J55="No",N55&lt;1,F55&gt;=AsOfDate,F55&lt;=AsOfDate+7),F55+ROW()/10000,1E+9)</ns0:f>
        <ns0:v>1000000000</ns0:v>
      </ns0:c>
      <ns0:c r="AR55" t="n">
        <ns0:f>IF(AND(A55&lt;&gt;"",OR(O55&lt;&gt;"On track",Q55="Delayed")),ROW(),1E+9)</ns0:f>
        <ns0:v>1000000000</ns0:v>
      </ns0:c>
      <ns0:c r="AS55" t="str">
        <ns0:f>IF(A55="","",";"&amp;K55&amp;";")</ns0:f>
      </ns0:c>
      <ns0:c r="AT55" t="n">
        <ns0:f>IF(A55="",1,--(T55=0))</ns0:f>
        <ns0:v>1</ns0:v>
      </ns0:c>
      <ns0:c r="AU55" t="n">
        <ns0:f>IF($A55="",1,IF(AT55=1,1,--AND(IF($AC55&gt;0,INDEX(AT$7:AT$106,$AC55),1),IF($AD55&gt;0,INDEX(AT$7:AT$106,$AD55),1),IF($AE55&gt;0,INDEX(AT$7:AT$106,$AE55),1),IF($AF55&gt;0,INDEX(AT$7:AT$106,$AF55),1),IF($AG55&gt;0,INDEX(AT$7:AT$106,$AG55),1),IF($AH55&gt;0,INDEX(AT$7:AT$106,$AH55),1),IF($AI55&gt;0,INDEX(AT$7:AT$106,$AI55),1),IF($AJ55&gt;0,INDEX(AT$7:AT$106,$AJ55),1))))</ns0:f>
        <ns0:v>1</ns0:v>
      </ns0:c>
      <ns0:c r="AV55" t="n">
        <ns0:f>IF($A55="",1,IF(AU55=1,1,--AND(IF($AC55&gt;0,INDEX(AU$7:AU$106,$AC55),1),IF($AD55&gt;0,INDEX(AU$7:AU$106,$AD55),1),IF($AE55&gt;0,INDEX(AU$7:AU$106,$AE55),1),IF($AF55&gt;0,INDEX(AU$7:AU$106,$AF55),1),IF($AG55&gt;0,INDEX(AU$7:AU$106,$AG55),1),IF($AH55&gt;0,INDEX(AU$7:AU$106,$AH55),1),IF($AI55&gt;0,INDEX(AU$7:AU$106,$AI55),1),IF($AJ55&gt;0,INDEX(AU$7:AU$106,$AJ55),1))))</ns0:f>
        <ns0:v>1</ns0:v>
      </ns0:c>
      <ns0:c r="AW55" t="n">
        <ns0:f>IF($A55="",1,IF(AV55=1,1,--AND(IF($AC55&gt;0,INDEX(AV$7:AV$106,$AC55),1),IF($AD55&gt;0,INDEX(AV$7:AV$106,$AD55),1),IF($AE55&gt;0,INDEX(AV$7:AV$106,$AE55),1),IF($AF55&gt;0,INDEX(AV$7:AV$106,$AF55),1),IF($AG55&gt;0,INDEX(AV$7:AV$106,$AG55),1),IF($AH55&gt;0,INDEX(AV$7:AV$106,$AH55),1),IF($AI55&gt;0,INDEX(AV$7:AV$106,$AI55),1),IF($AJ55&gt;0,INDEX(AV$7:AV$106,$AJ55),1))))</ns0:f>
        <ns0:v>1</ns0:v>
      </ns0:c>
      <ns0:c r="AX55" t="n">
        <ns0:f>IF($A55="",1,IF(AW55=1,1,--AND(IF($AC55&gt;0,INDEX(AW$7:AW$106,$AC55),1),IF($AD55&gt;0,INDEX(AW$7:AW$106,$AD55),1),IF($AE55&gt;0,INDEX(AW$7:AW$106,$AE55),1),IF($AF55&gt;0,INDEX(AW$7:AW$106,$AF55),1),IF($AG55&gt;0,INDEX(AW$7:AW$106,$AG55),1),IF($AH55&gt;0,INDEX(AW$7:AW$106,$AH55),1),IF($AI55&gt;0,INDEX(AW$7:AW$106,$AI55),1),IF($AJ55&gt;0,INDEX(AW$7:AW$106,$AJ55),1))))</ns0:f>
        <ns0:v>1</ns0:v>
      </ns0:c>
      <ns0:c r="AY55" t="n">
        <ns0:f>IF($A55="",1,IF(AX55=1,1,--AND(IF($AC55&gt;0,INDEX(AX$7:AX$106,$AC55),1),IF($AD55&gt;0,INDEX(AX$7:AX$106,$AD55),1),IF($AE55&gt;0,INDEX(AX$7:AX$106,$AE55),1),IF($AF55&gt;0,INDEX(AX$7:AX$106,$AF55),1),IF($AG55&gt;0,INDEX(AX$7:AX$106,$AG55),1),IF($AH55&gt;0,INDEX(AX$7:AX$106,$AH55),1),IF($AI55&gt;0,INDEX(AX$7:AX$106,$AI55),1),IF($AJ55&gt;0,INDEX(AX$7:AX$106,$AJ55),1))))</ns0:f>
        <ns0:v>1</ns0:v>
      </ns0:c>
      <ns0:c r="AZ55" t="n">
        <ns0:f>IF($A55="",1,IF(AY55=1,1,--AND(IF($AC55&gt;0,INDEX(AY$7:AY$106,$AC55),1),IF($AD55&gt;0,INDEX(AY$7:AY$106,$AD55),1),IF($AE55&gt;0,INDEX(AY$7:AY$106,$AE55),1),IF($AF55&gt;0,INDEX(AY$7:AY$106,$AF55),1),IF($AG55&gt;0,INDEX(AY$7:AY$106,$AG55),1),IF($AH55&gt;0,INDEX(AY$7:AY$106,$AH55),1),IF($AI55&gt;0,INDEX(AY$7:AY$106,$AI55),1),IF($AJ55&gt;0,INDEX(AY$7:AY$106,$AJ55),1))))</ns0:f>
        <ns0:v>1</ns0:v>
      </ns0:c>
      <ns0:c r="BA55" t="n">
        <ns0:f>IF($A55="",1,IF(AZ55=1,1,--AND(IF($AC55&gt;0,INDEX(AZ$7:AZ$106,$AC55),1),IF($AD55&gt;0,INDEX(AZ$7:AZ$106,$AD55),1),IF($AE55&gt;0,INDEX(AZ$7:AZ$106,$AE55),1),IF($AF55&gt;0,INDEX(AZ$7:AZ$106,$AF55),1),IF($AG55&gt;0,INDEX(AZ$7:AZ$106,$AG55),1),IF($AH55&gt;0,INDEX(AZ$7:AZ$106,$AH55),1),IF($AI55&gt;0,INDEX(AZ$7:AZ$106,$AI55),1),IF($AJ55&gt;0,INDEX(AZ$7:AZ$106,$AJ55),1))))</ns0:f>
        <ns0:v>1</ns0:v>
      </ns0:c>
      <ns0:c r="BB55" t="n">
        <ns0:f>IF($A55="",1,IF(BA55=1,1,--AND(IF($AC55&gt;0,INDEX(BA$7:BA$106,$AC55),1),IF($AD55&gt;0,INDEX(BA$7:BA$106,$AD55),1),IF($AE55&gt;0,INDEX(BA$7:BA$106,$AE55),1),IF($AF55&gt;0,INDEX(BA$7:BA$106,$AF55),1),IF($AG55&gt;0,INDEX(BA$7:BA$106,$AG55),1),IF($AH55&gt;0,INDEX(BA$7:BA$106,$AH55),1),IF($AI55&gt;0,INDEX(BA$7:BA$106,$AI55),1),IF($AJ55&gt;0,INDEX(BA$7:BA$106,$AJ55),1))))</ns0:f>
        <ns0:v>1</ns0:v>
      </ns0:c>
      <ns0:c r="BC55" t="n">
        <ns0:f>IF($A55="",1,IF(BB55=1,1,--AND(IF($AC55&gt;0,INDEX(BB$7:BB$106,$AC55),1),IF($AD55&gt;0,INDEX(BB$7:BB$106,$AD55),1),IF($AE55&gt;0,INDEX(BB$7:BB$106,$AE55),1),IF($AF55&gt;0,INDEX(BB$7:BB$106,$AF55),1),IF($AG55&gt;0,INDEX(BB$7:BB$106,$AG55),1),IF($AH55&gt;0,INDEX(BB$7:BB$106,$AH55),1),IF($AI55&gt;0,INDEX(BB$7:BB$106,$AI55),1),IF($AJ55&gt;0,INDEX(BB$7:BB$106,$AJ55),1))))</ns0:f>
        <ns0:v>1</ns0:v>
      </ns0:c>
      <ns0:c r="BD55" t="n">
        <ns0:f>IF($A55="",1,IF(BC55=1,1,--AND(IF($AC55&gt;0,INDEX(BC$7:BC$106,$AC55),1),IF($AD55&gt;0,INDEX(BC$7:BC$106,$AD55),1),IF($AE55&gt;0,INDEX(BC$7:BC$106,$AE55),1),IF($AF55&gt;0,INDEX(BC$7:BC$106,$AF55),1),IF($AG55&gt;0,INDEX(BC$7:BC$106,$AG55),1),IF($AH55&gt;0,INDEX(BC$7:BC$106,$AH55),1),IF($AI55&gt;0,INDEX(BC$7:BC$106,$AI55),1),IF($AJ55&gt;0,INDEX(BC$7:BC$106,$AJ55),1))))</ns0:f>
        <ns0:v>1</ns0:v>
      </ns0:c>
      <ns0:c r="BE55" t="n">
        <ns0:f>IF($A55="",1,IF(BD55=1,1,--AND(IF($AC55&gt;0,INDEX(BD$7:BD$106,$AC55),1),IF($AD55&gt;0,INDEX(BD$7:BD$106,$AD55),1),IF($AE55&gt;0,INDEX(BD$7:BD$106,$AE55),1),IF($AF55&gt;0,INDEX(BD$7:BD$106,$AF55),1),IF($AG55&gt;0,INDEX(BD$7:BD$106,$AG55),1),IF($AH55&gt;0,INDEX(BD$7:BD$106,$AH55),1),IF($AI55&gt;0,INDEX(BD$7:BD$106,$AI55),1),IF($AJ55&gt;0,INDEX(BD$7:BD$106,$AJ55),1))))</ns0:f>
        <ns0:v>1</ns0:v>
      </ns0:c>
      <ns0:c r="BF55" t="n">
        <ns0:f>IF($A55="",1,IF(BE55=1,1,--AND(IF($AC55&gt;0,INDEX(BE$7:BE$106,$AC55),1),IF($AD55&gt;0,INDEX(BE$7:BE$106,$AD55),1),IF($AE55&gt;0,INDEX(BE$7:BE$106,$AE55),1),IF($AF55&gt;0,INDEX(BE$7:BE$106,$AF55),1),IF($AG55&gt;0,INDEX(BE$7:BE$106,$AG55),1),IF($AH55&gt;0,INDEX(BE$7:BE$106,$AH55),1),IF($AI55&gt;0,INDEX(BE$7:BE$106,$AI55),1),IF($AJ55&gt;0,INDEX(BE$7:BE$106,$AJ55),1))))</ns0:f>
        <ns0:v>1</ns0:v>
      </ns0:c>
      <ns0:c r="BG55" t="n">
        <ns0:f>IF($A55="",1,IF(BF55=1,1,--AND(IF($AC55&gt;0,INDEX(BF$7:BF$106,$AC55),1),IF($AD55&gt;0,INDEX(BF$7:BF$106,$AD55),1),IF($AE55&gt;0,INDEX(BF$7:BF$106,$AE55),1),IF($AF55&gt;0,INDEX(BF$7:BF$106,$AF55),1),IF($AG55&gt;0,INDEX(BF$7:BF$106,$AG55),1),IF($AH55&gt;0,INDEX(BF$7:BF$106,$AH55),1),IF($AI55&gt;0,INDEX(BF$7:BF$106,$AI55),1),IF($AJ55&gt;0,INDEX(BF$7:BF$106,$AJ55),1))))</ns0:f>
        <ns0:v>1</ns0:v>
      </ns0:c>
      <ns0:c r="BH55" t="n">
        <ns0:f>IF($A55="",1,IF(BG55=1,1,--AND(IF($AC55&gt;0,INDEX(BG$7:BG$106,$AC55),1),IF($AD55&gt;0,INDEX(BG$7:BG$106,$AD55),1),IF($AE55&gt;0,INDEX(BG$7:BG$106,$AE55),1),IF($AF55&gt;0,INDEX(BG$7:BG$106,$AF55),1),IF($AG55&gt;0,INDEX(BG$7:BG$106,$AG55),1),IF($AH55&gt;0,INDEX(BG$7:BG$106,$AH55),1),IF($AI55&gt;0,INDEX(BG$7:BG$106,$AI55),1),IF($AJ55&gt;0,INDEX(BG$7:BG$106,$AJ55),1))))</ns0:f>
        <ns0:v>1</ns0:v>
      </ns0:c>
      <ns0:c r="BI55" t="n">
        <ns0:f>IF($A55="",1,IF(BH55=1,1,--AND(IF($AC55&gt;0,INDEX(BH$7:BH$106,$AC55),1),IF($AD55&gt;0,INDEX(BH$7:BH$106,$AD55),1),IF($AE55&gt;0,INDEX(BH$7:BH$106,$AE55),1),IF($AF55&gt;0,INDEX(BH$7:BH$106,$AF55),1),IF($AG55&gt;0,INDEX(BH$7:BH$106,$AG55),1),IF($AH55&gt;0,INDEX(BH$7:BH$106,$AH55),1),IF($AI55&gt;0,INDEX(BH$7:BH$106,$AI55),1),IF($AJ55&gt;0,INDEX(BH$7:BH$106,$AJ55),1))))</ns0:f>
        <ns0:v>1</ns0:v>
      </ns0:c>
      <ns0:c r="BJ55" t="n">
        <ns0:f>IF($A55="",1,IF(BI55=1,1,--AND(IF($AC55&gt;0,INDEX(BI$7:BI$106,$AC55),1),IF($AD55&gt;0,INDEX(BI$7:BI$106,$AD55),1),IF($AE55&gt;0,INDEX(BI$7:BI$106,$AE55),1),IF($AF55&gt;0,INDEX(BI$7:BI$106,$AF55),1),IF($AG55&gt;0,INDEX(BI$7:BI$106,$AG55),1),IF($AH55&gt;0,INDEX(BI$7:BI$106,$AH55),1),IF($AI55&gt;0,INDEX(BI$7:BI$106,$AI55),1),IF($AJ55&gt;0,INDEX(BI$7:BI$106,$AJ55),1))))</ns0:f>
        <ns0:v>1</ns0:v>
      </ns0:c>
      <ns0:c r="BK55" t="n">
        <ns0:f>IF($A55="",1,IF(BJ55=1,1,--AND(IF($AC55&gt;0,INDEX(BJ$7:BJ$106,$AC55),1),IF($AD55&gt;0,INDEX(BJ$7:BJ$106,$AD55),1),IF($AE55&gt;0,INDEX(BJ$7:BJ$106,$AE55),1),IF($AF55&gt;0,INDEX(BJ$7:BJ$106,$AF55),1),IF($AG55&gt;0,INDEX(BJ$7:BJ$106,$AG55),1),IF($AH55&gt;0,INDEX(BJ$7:BJ$106,$AH55),1),IF($AI55&gt;0,INDEX(BJ$7:BJ$106,$AI55),1),IF($AJ55&gt;0,INDEX(BJ$7:BJ$106,$AJ55),1))))</ns0:f>
        <ns0:v>1</ns0:v>
      </ns0:c>
      <ns0:c r="BL55" t="n">
        <ns0:f>IF($A55="",1,IF(BK55=1,1,--AND(IF($AC55&gt;0,INDEX(BK$7:BK$106,$AC55),1),IF($AD55&gt;0,INDEX(BK$7:BK$106,$AD55),1),IF($AE55&gt;0,INDEX(BK$7:BK$106,$AE55),1),IF($AF55&gt;0,INDEX(BK$7:BK$106,$AF55),1),IF($AG55&gt;0,INDEX(BK$7:BK$106,$AG55),1),IF($AH55&gt;0,INDEX(BK$7:BK$106,$AH55),1),IF($AI55&gt;0,INDEX(BK$7:BK$106,$AI55),1),IF($AJ55&gt;0,INDEX(BK$7:BK$106,$AJ55),1))))</ns0:f>
        <ns0:v>1</ns0:v>
      </ns0:c>
      <ns0:c r="BM55" t="n">
        <ns0:f>IF($A55="",1,IF(BL55=1,1,--AND(IF($AC55&gt;0,INDEX(BL$7:BL$106,$AC55),1),IF($AD55&gt;0,INDEX(BL$7:BL$106,$AD55),1),IF($AE55&gt;0,INDEX(BL$7:BL$106,$AE55),1),IF($AF55&gt;0,INDEX(BL$7:BL$106,$AF55),1),IF($AG55&gt;0,INDEX(BL$7:BL$106,$AG55),1),IF($AH55&gt;0,INDEX(BL$7:BL$106,$AH55),1),IF($AI55&gt;0,INDEX(BL$7:BL$106,$AI55),1),IF($AJ55&gt;0,INDEX(BL$7:BL$106,$AJ55),1))))</ns0:f>
        <ns0:v>1</ns0:v>
      </ns0:c>
      <ns0:c r="BN55" t="n">
        <ns0:f>IF($A55="",1,IF(BM55=1,1,--AND(IF($AC55&gt;0,INDEX(BM$7:BM$106,$AC55),1),IF($AD55&gt;0,INDEX(BM$7:BM$106,$AD55),1),IF($AE55&gt;0,INDEX(BM$7:BM$106,$AE55),1),IF($AF55&gt;0,INDEX(BM$7:BM$106,$AF55),1),IF($AG55&gt;0,INDEX(BM$7:BM$106,$AG55),1),IF($AH55&gt;0,INDEX(BM$7:BM$106,$AH55),1),IF($AI55&gt;0,INDEX(BM$7:BM$106,$AI55),1),IF($AJ55&gt;0,INDEX(BM$7:BM$106,$AJ55),1))))</ns0:f>
        <ns0:v>1</ns0:v>
      </ns0:c>
      <ns0:c r="BO55" t="n">
        <ns0:f>IF($A55="",1,IF(BN55=1,1,--AND(IF($AC55&gt;0,INDEX(BN$7:BN$106,$AC55),1),IF($AD55&gt;0,INDEX(BN$7:BN$106,$AD55),1),IF($AE55&gt;0,INDEX(BN$7:BN$106,$AE55),1),IF($AF55&gt;0,INDEX(BN$7:BN$106,$AF55),1),IF($AG55&gt;0,INDEX(BN$7:BN$106,$AG55),1),IF($AH55&gt;0,INDEX(BN$7:BN$106,$AH55),1),IF($AI55&gt;0,INDEX(BN$7:BN$106,$AI55),1),IF($AJ55&gt;0,INDEX(BN$7:BN$106,$AJ55),1))))</ns0:f>
        <ns0:v>1</ns0:v>
      </ns0:c>
      <ns0:c r="BP55" t="n">
        <ns0:f>IF($A55="",1,IF(BO55=1,1,--AND(IF($AC55&gt;0,INDEX(BO$7:BO$106,$AC55),1),IF($AD55&gt;0,INDEX(BO$7:BO$106,$AD55),1),IF($AE55&gt;0,INDEX(BO$7:BO$106,$AE55),1),IF($AF55&gt;0,INDEX(BO$7:BO$106,$AF55),1),IF($AG55&gt;0,INDEX(BO$7:BO$106,$AG55),1),IF($AH55&gt;0,INDEX(BO$7:BO$106,$AH55),1),IF($AI55&gt;0,INDEX(BO$7:BO$106,$AI55),1),IF($AJ55&gt;0,INDEX(BO$7:BO$106,$AJ55),1))))</ns0:f>
        <ns0:v>1</ns0:v>
      </ns0:c>
      <ns0:c r="BQ55" t="n">
        <ns0:f>IF($A55="",1,IF(BP55=1,1,--AND(IF($AC55&gt;0,INDEX(BP$7:BP$106,$AC55),1),IF($AD55&gt;0,INDEX(BP$7:BP$106,$AD55),1),IF($AE55&gt;0,INDEX(BP$7:BP$106,$AE55),1),IF($AF55&gt;0,INDEX(BP$7:BP$106,$AF55),1),IF($AG55&gt;0,INDEX(BP$7:BP$106,$AG55),1),IF($AH55&gt;0,INDEX(BP$7:BP$106,$AH55),1),IF($AI55&gt;0,INDEX(BP$7:BP$106,$AI55),1),IF($AJ55&gt;0,INDEX(BP$7:BP$106,$AJ55),1))))</ns0:f>
        <ns0:v>1</ns0:v>
      </ns0:c>
      <ns0:c r="BR55" t="n">
        <ns0:f>IF($A55="",1,IF(BQ55=1,1,--AND(IF($AC55&gt;0,INDEX(BQ$7:BQ$106,$AC55),1),IF($AD55&gt;0,INDEX(BQ$7:BQ$106,$AD55),1),IF($AE55&gt;0,INDEX(BQ$7:BQ$106,$AE55),1),IF($AF55&gt;0,INDEX(BQ$7:BQ$106,$AF55),1),IF($AG55&gt;0,INDEX(BQ$7:BQ$106,$AG55),1),IF($AH55&gt;0,INDEX(BQ$7:BQ$106,$AH55),1),IF($AI55&gt;0,INDEX(BQ$7:BQ$106,$AI55),1),IF($AJ55&gt;0,INDEX(BQ$7:BQ$106,$AJ55),1))))</ns0:f>
        <ns0:v>1</ns0:v>
      </ns0:c>
      <ns0:c r="BS55" t="n">
        <ns0:f>IF($A55="",1,IF(BR55=1,1,--AND(IF($AC55&gt;0,INDEX(BR$7:BR$106,$AC55),1),IF($AD55&gt;0,INDEX(BR$7:BR$106,$AD55),1),IF($AE55&gt;0,INDEX(BR$7:BR$106,$AE55),1),IF($AF55&gt;0,INDEX(BR$7:BR$106,$AF55),1),IF($AG55&gt;0,INDEX(BR$7:BR$106,$AG55),1),IF($AH55&gt;0,INDEX(BR$7:BR$106,$AH55),1),IF($AI55&gt;0,INDEX(BR$7:BR$106,$AI55),1),IF($AJ55&gt;0,INDEX(BR$7:BR$106,$AJ55),1))))</ns0:f>
        <ns0:v>1</ns0:v>
      </ns0:c>
      <ns0:c r="BT55" t="n">
        <ns0:f>IF($A55="",1,IF(BS55=1,1,--AND(IF($AC55&gt;0,INDEX(BS$7:BS$106,$AC55),1),IF($AD55&gt;0,INDEX(BS$7:BS$106,$AD55),1),IF($AE55&gt;0,INDEX(BS$7:BS$106,$AE55),1),IF($AF55&gt;0,INDEX(BS$7:BS$106,$AF55),1),IF($AG55&gt;0,INDEX(BS$7:BS$106,$AG55),1),IF($AH55&gt;0,INDEX(BS$7:BS$106,$AH55),1),IF($AI55&gt;0,INDEX(BS$7:BS$106,$AI55),1),IF($AJ55&gt;0,INDEX(BS$7:BS$106,$AJ55),1))))</ns0:f>
        <ns0:v>1</ns0:v>
      </ns0:c>
      <ns0:c r="BU55" t="n">
        <ns0:f>IF($A55="",1,IF(BT55=1,1,--AND(IF($AC55&gt;0,INDEX(BT$7:BT$106,$AC55),1),IF($AD55&gt;0,INDEX(BT$7:BT$106,$AD55),1),IF($AE55&gt;0,INDEX(BT$7:BT$106,$AE55),1),IF($AF55&gt;0,INDEX(BT$7:BT$106,$AF55),1),IF($AG55&gt;0,INDEX(BT$7:BT$106,$AG55),1),IF($AH55&gt;0,INDEX(BT$7:BT$106,$AH55),1),IF($AI55&gt;0,INDEX(BT$7:BT$106,$AI55),1),IF($AJ55&gt;0,INDEX(BT$7:BT$106,$AJ55),1))))</ns0:f>
        <ns0:v>1</ns0:v>
      </ns0:c>
      <ns0:c r="BV55" t="n">
        <ns0:f>IF($A55="",1,IF(BU55=1,1,--AND(IF($AC55&gt;0,INDEX(BU$7:BU$106,$AC55),1),IF($AD55&gt;0,INDEX(BU$7:BU$106,$AD55),1),IF($AE55&gt;0,INDEX(BU$7:BU$106,$AE55),1),IF($AF55&gt;0,INDEX(BU$7:BU$106,$AF55),1),IF($AG55&gt;0,INDEX(BU$7:BU$106,$AG55),1),IF($AH55&gt;0,INDEX(BU$7:BU$106,$AH55),1),IF($AI55&gt;0,INDEX(BU$7:BU$106,$AI55),1),IF($AJ55&gt;0,INDEX(BU$7:BU$106,$AJ55),1))))</ns0:f>
        <ns0:v>1</ns0:v>
      </ns0:c>
      <ns0:c r="BW55" t="n">
        <ns0:f>IF($A55="",1,IF(BV55=1,1,--AND(IF($AC55&gt;0,INDEX(BV$7:BV$106,$AC55),1),IF($AD55&gt;0,INDEX(BV$7:BV$106,$AD55),1),IF($AE55&gt;0,INDEX(BV$7:BV$106,$AE55),1),IF($AF55&gt;0,INDEX(BV$7:BV$106,$AF55),1),IF($AG55&gt;0,INDEX(BV$7:BV$106,$AG55),1),IF($AH55&gt;0,INDEX(BV$7:BV$106,$AH55),1),IF($AI55&gt;0,INDEX(BV$7:BV$106,$AI55),1),IF($AJ55&gt;0,INDEX(BV$7:BV$106,$AJ55),1))))</ns0:f>
        <ns0:v>1</ns0:v>
      </ns0:c>
      <ns0:c r="BX55" t="n">
        <ns0:f>IF($A55="",1,IF(BW55=1,1,--AND(IF($AC55&gt;0,INDEX(BW$7:BW$106,$AC55),1),IF($AD55&gt;0,INDEX(BW$7:BW$106,$AD55),1),IF($AE55&gt;0,INDEX(BW$7:BW$106,$AE55),1),IF($AF55&gt;0,INDEX(BW$7:BW$106,$AF55),1),IF($AG55&gt;0,INDEX(BW$7:BW$106,$AG55),1),IF($AH55&gt;0,INDEX(BW$7:BW$106,$AH55),1),IF($AI55&gt;0,INDEX(BW$7:BW$106,$AI55),1),IF($AJ55&gt;0,INDEX(BW$7:BW$106,$AJ55),1))))</ns0:f>
        <ns0:v>1</ns0:v>
      </ns0:c>
      <ns0:c r="BY55" t="n">
        <ns0:f>IF($A55="",1,IF(BX55=1,1,--AND(IF($AC55&gt;0,INDEX(BX$7:BX$106,$AC55),1),IF($AD55&gt;0,INDEX(BX$7:BX$106,$AD55),1),IF($AE55&gt;0,INDEX(BX$7:BX$106,$AE55),1),IF($AF55&gt;0,INDEX(BX$7:BX$106,$AF55),1),IF($AG55&gt;0,INDEX(BX$7:BX$106,$AG55),1),IF($AH55&gt;0,INDEX(BX$7:BX$106,$AH55),1),IF($AI55&gt;0,INDEX(BX$7:BX$106,$AI55),1),IF($AJ55&gt;0,INDEX(BX$7:BX$106,$AJ55),1))))</ns0:f>
        <ns0:v>1</ns0:v>
      </ns0:c>
      <ns0:c r="BZ55" t="n">
        <ns0:f>IF($A55="",1,IF(BY55=1,1,--AND(IF($AC55&gt;0,INDEX(BY$7:BY$106,$AC55),1),IF($AD55&gt;0,INDEX(BY$7:BY$106,$AD55),1),IF($AE55&gt;0,INDEX(BY$7:BY$106,$AE55),1),IF($AF55&gt;0,INDEX(BY$7:BY$106,$AF55),1),IF($AG55&gt;0,INDEX(BY$7:BY$106,$AG55),1),IF($AH55&gt;0,INDEX(BY$7:BY$106,$AH55),1),IF($AI55&gt;0,INDEX(BY$7:BY$106,$AI55),1),IF($AJ55&gt;0,INDEX(BY$7:BY$106,$AJ55),1))))</ns0:f>
        <ns0:v>1</ns0:v>
      </ns0:c>
      <ns0:c r="CA55" t="n">
        <ns0:f>IF($A55="",1,IF(BZ55=1,1,--AND(IF($AC55&gt;0,INDEX(BZ$7:BZ$106,$AC55),1),IF($AD55&gt;0,INDEX(BZ$7:BZ$106,$AD55),1),IF($AE55&gt;0,INDEX(BZ$7:BZ$106,$AE55),1),IF($AF55&gt;0,INDEX(BZ$7:BZ$106,$AF55),1),IF($AG55&gt;0,INDEX(BZ$7:BZ$106,$AG55),1),IF($AH55&gt;0,INDEX(BZ$7:BZ$106,$AH55),1),IF($AI55&gt;0,INDEX(BZ$7:BZ$106,$AI55),1),IF($AJ55&gt;0,INDEX(BZ$7:BZ$106,$AJ55),1))))</ns0:f>
        <ns0:v>1</ns0:v>
      </ns0:c>
      <ns0:c r="CB55" t="n">
        <ns0:f>IF($A55="",1,IF(CA55=1,1,--AND(IF($AC55&gt;0,INDEX(CA$7:CA$106,$AC55),1),IF($AD55&gt;0,INDEX(CA$7:CA$106,$AD55),1),IF($AE55&gt;0,INDEX(CA$7:CA$106,$AE55),1),IF($AF55&gt;0,INDEX(CA$7:CA$106,$AF55),1),IF($AG55&gt;0,INDEX(CA$7:CA$106,$AG55),1),IF($AH55&gt;0,INDEX(CA$7:CA$106,$AH55),1),IF($AI55&gt;0,INDEX(CA$7:CA$106,$AI55),1),IF($AJ55&gt;0,INDEX(CA$7:CA$106,$AJ55),1))))</ns0:f>
        <ns0:v>1</ns0:v>
      </ns0:c>
      <ns0:c r="CC55" t="n">
        <ns0:f>IF($A55="",1,IF(CB55=1,1,--AND(IF($AC55&gt;0,INDEX(CB$7:CB$106,$AC55),1),IF($AD55&gt;0,INDEX(CB$7:CB$106,$AD55),1),IF($AE55&gt;0,INDEX(CB$7:CB$106,$AE55),1),IF($AF55&gt;0,INDEX(CB$7:CB$106,$AF55),1),IF($AG55&gt;0,INDEX(CB$7:CB$106,$AG55),1),IF($AH55&gt;0,INDEX(CB$7:CB$106,$AH55),1),IF($AI55&gt;0,INDEX(CB$7:CB$106,$AI55),1),IF($AJ55&gt;0,INDEX(CB$7:CB$106,$AJ55),1))))</ns0:f>
        <ns0:v>1</ns0:v>
      </ns0:c>
      <ns0:c r="CD55" t="n">
        <ns0:f>IF($A55="",1,IF(CC55=1,1,--AND(IF($AC55&gt;0,INDEX(CC$7:CC$106,$AC55),1),IF($AD55&gt;0,INDEX(CC$7:CC$106,$AD55),1),IF($AE55&gt;0,INDEX(CC$7:CC$106,$AE55),1),IF($AF55&gt;0,INDEX(CC$7:CC$106,$AF55),1),IF($AG55&gt;0,INDEX(CC$7:CC$106,$AG55),1),IF($AH55&gt;0,INDEX(CC$7:CC$106,$AH55),1),IF($AI55&gt;0,INDEX(CC$7:CC$106,$AI55),1),IF($AJ55&gt;0,INDEX(CC$7:CC$106,$AJ55),1))))</ns0:f>
        <ns0:v>1</ns0:v>
      </ns0:c>
      <ns0:c r="CE55" t="n">
        <ns0:f>IF($A55="",1,IF(CD55=1,1,--AND(IF($AC55&gt;0,INDEX(CD$7:CD$106,$AC55),1),IF($AD55&gt;0,INDEX(CD$7:CD$106,$AD55),1),IF($AE55&gt;0,INDEX(CD$7:CD$106,$AE55),1),IF($AF55&gt;0,INDEX(CD$7:CD$106,$AF55),1),IF($AG55&gt;0,INDEX(CD$7:CD$106,$AG55),1),IF($AH55&gt;0,INDEX(CD$7:CD$106,$AH55),1),IF($AI55&gt;0,INDEX(CD$7:CD$106,$AI55),1),IF($AJ55&gt;0,INDEX(CD$7:CD$106,$AJ55),1))))</ns0:f>
        <ns0:v>1</ns0:v>
      </ns0:c>
      <ns0:c r="CF55" t="n">
        <ns0:f>IF($A55="",1,IF(CE55=1,1,--AND(IF($AC55&gt;0,INDEX(CE$7:CE$106,$AC55),1),IF($AD55&gt;0,INDEX(CE$7:CE$106,$AD55),1),IF($AE55&gt;0,INDEX(CE$7:CE$106,$AE55),1),IF($AF55&gt;0,INDEX(CE$7:CE$106,$AF55),1),IF($AG55&gt;0,INDEX(CE$7:CE$106,$AG55),1),IF($AH55&gt;0,INDEX(CE$7:CE$106,$AH55),1),IF($AI55&gt;0,INDEX(CE$7:CE$106,$AI55),1),IF($AJ55&gt;0,INDEX(CE$7:CE$106,$AJ55),1))))</ns0:f>
        <ns0:v>1</ns0:v>
      </ns0:c>
      <ns0:c r="CG55" t="n">
        <ns0:f>IF($A55="",1,IF(CF55=1,1,--AND(IF($AC55&gt;0,INDEX(CF$7:CF$106,$AC55),1),IF($AD55&gt;0,INDEX(CF$7:CF$106,$AD55),1),IF($AE55&gt;0,INDEX(CF$7:CF$106,$AE55),1),IF($AF55&gt;0,INDEX(CF$7:CF$106,$AF55),1),IF($AG55&gt;0,INDEX(CF$7:CF$106,$AG55),1),IF($AH55&gt;0,INDEX(CF$7:CF$106,$AH55),1),IF($AI55&gt;0,INDEX(CF$7:CF$106,$AI55),1),IF($AJ55&gt;0,INDEX(CF$7:CF$106,$AJ55),1))))</ns0:f>
        <ns0:v>1</ns0:v>
      </ns0:c>
      <ns0:c r="CH55" t="n">
        <ns0:f>IF($A55="",1,IF(CG55=1,1,--AND(IF($AC55&gt;0,INDEX(CG$7:CG$106,$AC55),1),IF($AD55&gt;0,INDEX(CG$7:CG$106,$AD55),1),IF($AE55&gt;0,INDEX(CG$7:CG$106,$AE55),1),IF($AF55&gt;0,INDEX(CG$7:CG$106,$AF55),1),IF($AG55&gt;0,INDEX(CG$7:CG$106,$AG55),1),IF($AH55&gt;0,INDEX(CG$7:CG$106,$AH55),1),IF($AI55&gt;0,INDEX(CG$7:CG$106,$AI55),1),IF($AJ55&gt;0,INDEX(CG$7:CG$106,$AJ55),1))))</ns0:f>
        <ns0:v>1</ns0:v>
      </ns0:c>
      <ns0:c r="CI55" t="n">
        <ns0:f>IF($A55="",1,IF(CH55=1,1,--AND(IF($AC55&gt;0,INDEX(CH$7:CH$106,$AC55),1),IF($AD55&gt;0,INDEX(CH$7:CH$106,$AD55),1),IF($AE55&gt;0,INDEX(CH$7:CH$106,$AE55),1),IF($AF55&gt;0,INDEX(CH$7:CH$106,$AF55),1),IF($AG55&gt;0,INDEX(CH$7:CH$106,$AG55),1),IF($AH55&gt;0,INDEX(CH$7:CH$106,$AH55),1),IF($AI55&gt;0,INDEX(CH$7:CH$106,$AI55),1),IF($AJ55&gt;0,INDEX(CH$7:CH$106,$AJ55),1))))</ns0:f>
        <ns0:v>1</ns0:v>
      </ns0:c>
      <ns0:c r="CJ55" t="n">
        <ns0:f>IF($A55="",1,IF(CI55=1,1,--AND(IF($AC55&gt;0,INDEX(CI$7:CI$106,$AC55),1),IF($AD55&gt;0,INDEX(CI$7:CI$106,$AD55),1),IF($AE55&gt;0,INDEX(CI$7:CI$106,$AE55),1),IF($AF55&gt;0,INDEX(CI$7:CI$106,$AF55),1),IF($AG55&gt;0,INDEX(CI$7:CI$106,$AG55),1),IF($AH55&gt;0,INDEX(CI$7:CI$106,$AH55),1),IF($AI55&gt;0,INDEX(CI$7:CI$106,$AI55),1),IF($AJ55&gt;0,INDEX(CI$7:CI$106,$AJ55),1))))</ns0:f>
        <ns0:v>1</ns0:v>
      </ns0:c>
      <ns0:c r="CK55" t="n">
        <ns0:f>IF($A55="",1,IF(CJ55=1,1,--AND(IF($AC55&gt;0,INDEX(CJ$7:CJ$106,$AC55),1),IF($AD55&gt;0,INDEX(CJ$7:CJ$106,$AD55),1),IF($AE55&gt;0,INDEX(CJ$7:CJ$106,$AE55),1),IF($AF55&gt;0,INDEX(CJ$7:CJ$106,$AF55),1),IF($AG55&gt;0,INDEX(CJ$7:CJ$106,$AG55),1),IF($AH55&gt;0,INDEX(CJ$7:CJ$106,$AH55),1),IF($AI55&gt;0,INDEX(CJ$7:CJ$106,$AI55),1),IF($AJ55&gt;0,INDEX(CJ$7:CJ$106,$AJ55),1))))</ns0:f>
        <ns0:v>1</ns0:v>
      </ns0:c>
      <ns0:c r="CL55" t="n">
        <ns0:f>IF($A55="",1,IF(CK55=1,1,--AND(IF($AC55&gt;0,INDEX(CK$7:CK$106,$AC55),1),IF($AD55&gt;0,INDEX(CK$7:CK$106,$AD55),1),IF($AE55&gt;0,INDEX(CK$7:CK$106,$AE55),1),IF($AF55&gt;0,INDEX(CK$7:CK$106,$AF55),1),IF($AG55&gt;0,INDEX(CK$7:CK$106,$AG55),1),IF($AH55&gt;0,INDEX(CK$7:CK$106,$AH55),1),IF($AI55&gt;0,INDEX(CK$7:CK$106,$AI55),1),IF($AJ55&gt;0,INDEX(CK$7:CK$106,$AJ55),1))))</ns0:f>
        <ns0:v>1</ns0:v>
      </ns0:c>
      <ns0:c r="CM55" t="n">
        <ns0:f>IF($A55="",1,IF(CL55=1,1,--AND(IF($AC55&gt;0,INDEX(CL$7:CL$106,$AC55),1),IF($AD55&gt;0,INDEX(CL$7:CL$106,$AD55),1),IF($AE55&gt;0,INDEX(CL$7:CL$106,$AE55),1),IF($AF55&gt;0,INDEX(CL$7:CL$106,$AF55),1),IF($AG55&gt;0,INDEX(CL$7:CL$106,$AG55),1),IF($AH55&gt;0,INDEX(CL$7:CL$106,$AH55),1),IF($AI55&gt;0,INDEX(CL$7:CL$106,$AI55),1),IF($AJ55&gt;0,INDEX(CL$7:CL$106,$AJ55),1))))</ns0:f>
        <ns0:v>1</ns0:v>
      </ns0:c>
      <ns0:c r="CN55" t="n">
        <ns0:f>IF($A55="",1,IF(CM55=1,1,--AND(IF($AC55&gt;0,INDEX(CM$7:CM$106,$AC55),1),IF($AD55&gt;0,INDEX(CM$7:CM$106,$AD55),1),IF($AE55&gt;0,INDEX(CM$7:CM$106,$AE55),1),IF($AF55&gt;0,INDEX(CM$7:CM$106,$AF55),1),IF($AG55&gt;0,INDEX(CM$7:CM$106,$AG55),1),IF($AH55&gt;0,INDEX(CM$7:CM$106,$AH55),1),IF($AI55&gt;0,INDEX(CM$7:CM$106,$AI55),1),IF($AJ55&gt;0,INDEX(CM$7:CM$106,$AJ55),1))))</ns0:f>
        <ns0:v>1</ns0:v>
      </ns0:c>
      <ns0:c r="CO55" t="n">
        <ns0:f>IF($A55="",1,IF(CN55=1,1,--AND(IF($AC55&gt;0,INDEX(CN$7:CN$106,$AC55),1),IF($AD55&gt;0,INDEX(CN$7:CN$106,$AD55),1),IF($AE55&gt;0,INDEX(CN$7:CN$106,$AE55),1),IF($AF55&gt;0,INDEX(CN$7:CN$106,$AF55),1),IF($AG55&gt;0,INDEX(CN$7:CN$106,$AG55),1),IF($AH55&gt;0,INDEX(CN$7:CN$106,$AH55),1),IF($AI55&gt;0,INDEX(CN$7:CN$106,$AI55),1),IF($AJ55&gt;0,INDEX(CN$7:CN$106,$AJ55),1))))</ns0:f>
        <ns0:v>1</ns0:v>
      </ns0:c>
      <ns0:c r="CP55" t="n">
        <ns0:f>IF($A55="",1,IF(CO55=1,1,--AND(IF($AC55&gt;0,INDEX(CO$7:CO$106,$AC55),1),IF($AD55&gt;0,INDEX(CO$7:CO$106,$AD55),1),IF($AE55&gt;0,INDEX(CO$7:CO$106,$AE55),1),IF($AF55&gt;0,INDEX(CO$7:CO$106,$AF55),1),IF($AG55&gt;0,INDEX(CO$7:CO$106,$AG55),1),IF($AH55&gt;0,INDEX(CO$7:CO$106,$AH55),1),IF($AI55&gt;0,INDEX(CO$7:CO$106,$AI55),1),IF($AJ55&gt;0,INDEX(CO$7:CO$106,$AJ55),1))))</ns0:f>
        <ns0:v>1</ns0:v>
      </ns0:c>
      <ns0:c r="CQ55" t="n">
        <ns0:f>IF($A55="",1,IF(CP55=1,1,--AND(IF($AC55&gt;0,INDEX(CP$7:CP$106,$AC55),1),IF($AD55&gt;0,INDEX(CP$7:CP$106,$AD55),1),IF($AE55&gt;0,INDEX(CP$7:CP$106,$AE55),1),IF($AF55&gt;0,INDEX(CP$7:CP$106,$AF55),1),IF($AG55&gt;0,INDEX(CP$7:CP$106,$AG55),1),IF($AH55&gt;0,INDEX(CP$7:CP$106,$AH55),1),IF($AI55&gt;0,INDEX(CP$7:CP$106,$AI55),1),IF($AJ55&gt;0,INDEX(CP$7:CP$106,$AJ55),1))))</ns0:f>
        <ns0:v>1</ns0:v>
      </ns0:c>
      <ns0:c r="CR55" t="n">
        <ns0:f>IF($A55="",1,IF(CQ55=1,1,--AND(IF($AC55&gt;0,INDEX(CQ$7:CQ$106,$AC55),1),IF($AD55&gt;0,INDEX(CQ$7:CQ$106,$AD55),1),IF($AE55&gt;0,INDEX(CQ$7:CQ$106,$AE55),1),IF($AF55&gt;0,INDEX(CQ$7:CQ$106,$AF55),1),IF($AG55&gt;0,INDEX(CQ$7:CQ$106,$AG55),1),IF($AH55&gt;0,INDEX(CQ$7:CQ$106,$AH55),1),IF($AI55&gt;0,INDEX(CQ$7:CQ$106,$AI55),1),IF($AJ55&gt;0,INDEX(CQ$7:CQ$106,$AJ55),1))))</ns0:f>
        <ns0:v>1</ns0:v>
      </ns0:c>
      <ns0:c r="CS55" t="n">
        <ns0:f>IF($A55="",1,IF(CR55=1,1,--AND(IF($AC55&gt;0,INDEX(CR$7:CR$106,$AC55),1),IF($AD55&gt;0,INDEX(CR$7:CR$106,$AD55),1),IF($AE55&gt;0,INDEX(CR$7:CR$106,$AE55),1),IF($AF55&gt;0,INDEX(CR$7:CR$106,$AF55),1),IF($AG55&gt;0,INDEX(CR$7:CR$106,$AG55),1),IF($AH55&gt;0,INDEX(CR$7:CR$106,$AH55),1),IF($AI55&gt;0,INDEX(CR$7:CR$106,$AI55),1),IF($AJ55&gt;0,INDEX(CR$7:CR$106,$AJ55),1))))</ns0:f>
        <ns0:v>1</ns0:v>
      </ns0:c>
      <ns0:c r="CT55" t="n">
        <ns0:f>IF($A55="",1,IF(CS55=1,1,--AND(IF($AC55&gt;0,INDEX(CS$7:CS$106,$AC55),1),IF($AD55&gt;0,INDEX(CS$7:CS$106,$AD55),1),IF($AE55&gt;0,INDEX(CS$7:CS$106,$AE55),1),IF($AF55&gt;0,INDEX(CS$7:CS$106,$AF55),1),IF($AG55&gt;0,INDEX(CS$7:CS$106,$AG55),1),IF($AH55&gt;0,INDEX(CS$7:CS$106,$AH55),1),IF($AI55&gt;0,INDEX(CS$7:CS$106,$AI55),1),IF($AJ55&gt;0,INDEX(CS$7:CS$106,$AJ55),1))))</ns0:f>
        <ns0:v>1</ns0:v>
      </ns0:c>
      <ns0:c r="CU55" t="n">
        <ns0:f>IF($A55="",1,IF(CT55=1,1,--AND(IF($AC55&gt;0,INDEX(CT$7:CT$106,$AC55),1),IF($AD55&gt;0,INDEX(CT$7:CT$106,$AD55),1),IF($AE55&gt;0,INDEX(CT$7:CT$106,$AE55),1),IF($AF55&gt;0,INDEX(CT$7:CT$106,$AF55),1),IF($AG55&gt;0,INDEX(CT$7:CT$106,$AG55),1),IF($AH55&gt;0,INDEX(CT$7:CT$106,$AH55),1),IF($AI55&gt;0,INDEX(CT$7:CT$106,$AI55),1),IF($AJ55&gt;0,INDEX(CT$7:CT$106,$AJ55),1))))</ns0:f>
        <ns0:v>1</ns0:v>
      </ns0:c>
      <ns0:c r="CV55" t="n">
        <ns0:f>IF($A55="",1,IF(CU55=1,1,--AND(IF($AC55&gt;0,INDEX(CU$7:CU$106,$AC55),1),IF($AD55&gt;0,INDEX(CU$7:CU$106,$AD55),1),IF($AE55&gt;0,INDEX(CU$7:CU$106,$AE55),1),IF($AF55&gt;0,INDEX(CU$7:CU$106,$AF55),1),IF($AG55&gt;0,INDEX(CU$7:CU$106,$AG55),1),IF($AH55&gt;0,INDEX(CU$7:CU$106,$AH55),1),IF($AI55&gt;0,INDEX(CU$7:CU$106,$AI55),1),IF($AJ55&gt;0,INDEX(CU$7:CU$106,$AJ55),1))))</ns0:f>
        <ns0:v>1</ns0:v>
      </ns0:c>
      <ns0:c r="CW55" t="n">
        <ns0:f>IF($A55="",1,IF(CV55=1,1,--AND(IF($AC55&gt;0,INDEX(CV$7:CV$106,$AC55),1),IF($AD55&gt;0,INDEX(CV$7:CV$106,$AD55),1),IF($AE55&gt;0,INDEX(CV$7:CV$106,$AE55),1),IF($AF55&gt;0,INDEX(CV$7:CV$106,$AF55),1),IF($AG55&gt;0,INDEX(CV$7:CV$106,$AG55),1),IF($AH55&gt;0,INDEX(CV$7:CV$106,$AH55),1),IF($AI55&gt;0,INDEX(CV$7:CV$106,$AI55),1),IF($AJ55&gt;0,INDEX(CV$7:CV$106,$AJ55),1))))</ns0:f>
        <ns0:v>1</ns0:v>
      </ns0:c>
      <ns0:c r="CX55" t="n">
        <ns0:f>IF($A55="",1,IF(CW55=1,1,--AND(IF($AC55&gt;0,INDEX(CW$7:CW$106,$AC55),1),IF($AD55&gt;0,INDEX(CW$7:CW$106,$AD55),1),IF($AE55&gt;0,INDEX(CW$7:CW$106,$AE55),1),IF($AF55&gt;0,INDEX(CW$7:CW$106,$AF55),1),IF($AG55&gt;0,INDEX(CW$7:CW$106,$AG55),1),IF($AH55&gt;0,INDEX(CW$7:CW$106,$AH55),1),IF($AI55&gt;0,INDEX(CW$7:CW$106,$AI55),1),IF($AJ55&gt;0,INDEX(CW$7:CW$106,$AJ55),1))))</ns0:f>
        <ns0:v>1</ns0:v>
      </ns0:c>
      <ns0:c r="CY55" t="n">
        <ns0:f>IF($A55="",1,IF(CX55=1,1,--AND(IF($AC55&gt;0,INDEX(CX$7:CX$106,$AC55),1),IF($AD55&gt;0,INDEX(CX$7:CX$106,$AD55),1),IF($AE55&gt;0,INDEX(CX$7:CX$106,$AE55),1),IF($AF55&gt;0,INDEX(CX$7:CX$106,$AF55),1),IF($AG55&gt;0,INDEX(CX$7:CX$106,$AG55),1),IF($AH55&gt;0,INDEX(CX$7:CX$106,$AH55),1),IF($AI55&gt;0,INDEX(CX$7:CX$106,$AI55),1),IF($AJ55&gt;0,INDEX(CX$7:CX$106,$AJ55),1))))</ns0:f>
        <ns0:v>1</ns0:v>
      </ns0:c>
      <ns0:c r="CZ55" t="n">
        <ns0:f>IF($A55="",1,IF(CY55=1,1,--AND(IF($AC55&gt;0,INDEX(CY$7:CY$106,$AC55),1),IF($AD55&gt;0,INDEX(CY$7:CY$106,$AD55),1),IF($AE55&gt;0,INDEX(CY$7:CY$106,$AE55),1),IF($AF55&gt;0,INDEX(CY$7:CY$106,$AF55),1),IF($AG55&gt;0,INDEX(CY$7:CY$106,$AG55),1),IF($AH55&gt;0,INDEX(CY$7:CY$106,$AH55),1),IF($AI55&gt;0,INDEX(CY$7:CY$106,$AI55),1),IF($AJ55&gt;0,INDEX(CY$7:CY$106,$AJ55),1))))</ns0:f>
        <ns0:v>1</ns0:v>
      </ns0:c>
      <ns0:c r="DA55" t="n">
        <ns0:f>IF($A55="",1,IF(CZ55=1,1,--AND(IF($AC55&gt;0,INDEX(CZ$7:CZ$106,$AC55),1),IF($AD55&gt;0,INDEX(CZ$7:CZ$106,$AD55),1),IF($AE55&gt;0,INDEX(CZ$7:CZ$106,$AE55),1),IF($AF55&gt;0,INDEX(CZ$7:CZ$106,$AF55),1),IF($AG55&gt;0,INDEX(CZ$7:CZ$106,$AG55),1),IF($AH55&gt;0,INDEX(CZ$7:CZ$106,$AH55),1),IF($AI55&gt;0,INDEX(CZ$7:CZ$106,$AI55),1),IF($AJ55&gt;0,INDEX(CZ$7:CZ$106,$AJ55),1))))</ns0:f>
        <ns0:v>1</ns0:v>
      </ns0:c>
      <ns0:c r="DB55" t="n">
        <ns0:f>IF($A55="",1,IF(DA55=1,1,--AND(IF($AC55&gt;0,INDEX(DA$7:DA$106,$AC55),1),IF($AD55&gt;0,INDEX(DA$7:DA$106,$AD55),1),IF($AE55&gt;0,INDEX(DA$7:DA$106,$AE55),1),IF($AF55&gt;0,INDEX(DA$7:DA$106,$AF55),1),IF($AG55&gt;0,INDEX(DA$7:DA$106,$AG55),1),IF($AH55&gt;0,INDEX(DA$7:DA$106,$AH55),1),IF($AI55&gt;0,INDEX(DA$7:DA$106,$AI55),1),IF($AJ55&gt;0,INDEX(DA$7:DA$106,$AJ55),1))))</ns0:f>
        <ns0:v>1</ns0:v>
      </ns0:c>
      <ns0:c r="DC55" t="n">
        <ns0:f>IF($A55="",1,IF(DB55=1,1,--AND(IF($AC55&gt;0,INDEX(DB$7:DB$106,$AC55),1),IF($AD55&gt;0,INDEX(DB$7:DB$106,$AD55),1),IF($AE55&gt;0,INDEX(DB$7:DB$106,$AE55),1),IF($AF55&gt;0,INDEX(DB$7:DB$106,$AF55),1),IF($AG55&gt;0,INDEX(DB$7:DB$106,$AG55),1),IF($AH55&gt;0,INDEX(DB$7:DB$106,$AH55),1),IF($AI55&gt;0,INDEX(DB$7:DB$106,$AI55),1),IF($AJ55&gt;0,INDEX(DB$7:DB$106,$AJ55),1))))</ns0:f>
        <ns0:v>1</ns0:v>
      </ns0:c>
      <ns0:c r="DD55" t="n">
        <ns0:f>IF($A55="",1,IF(DC55=1,1,--AND(IF($AC55&gt;0,INDEX(DC$7:DC$106,$AC55),1),IF($AD55&gt;0,INDEX(DC$7:DC$106,$AD55),1),IF($AE55&gt;0,INDEX(DC$7:DC$106,$AE55),1),IF($AF55&gt;0,INDEX(DC$7:DC$106,$AF55),1),IF($AG55&gt;0,INDEX(DC$7:DC$106,$AG55),1),IF($AH55&gt;0,INDEX(DC$7:DC$106,$AH55),1),IF($AI55&gt;0,INDEX(DC$7:DC$106,$AI55),1),IF($AJ55&gt;0,INDEX(DC$7:DC$106,$AJ55),1))))</ns0:f>
        <ns0:v>1</ns0:v>
      </ns0:c>
      <ns0:c r="DE55" t="n">
        <ns0:f>IF($A55="",1,IF(DD55=1,1,--AND(IF($AC55&gt;0,INDEX(DD$7:DD$106,$AC55),1),IF($AD55&gt;0,INDEX(DD$7:DD$106,$AD55),1),IF($AE55&gt;0,INDEX(DD$7:DD$106,$AE55),1),IF($AF55&gt;0,INDEX(DD$7:DD$106,$AF55),1),IF($AG55&gt;0,INDEX(DD$7:DD$106,$AG55),1),IF($AH55&gt;0,INDEX(DD$7:DD$106,$AH55),1),IF($AI55&gt;0,INDEX(DD$7:DD$106,$AI55),1),IF($AJ55&gt;0,INDEX(DD$7:DD$106,$AJ55),1))))</ns0:f>
        <ns0:v>1</ns0:v>
      </ns0:c>
      <ns0:c r="DF55" t="n">
        <ns0:f>IF($A55="",1,IF(DE55=1,1,--AND(IF($AC55&gt;0,INDEX(DE$7:DE$106,$AC55),1),IF($AD55&gt;0,INDEX(DE$7:DE$106,$AD55),1),IF($AE55&gt;0,INDEX(DE$7:DE$106,$AE55),1),IF($AF55&gt;0,INDEX(DE$7:DE$106,$AF55),1),IF($AG55&gt;0,INDEX(DE$7:DE$106,$AG55),1),IF($AH55&gt;0,INDEX(DE$7:DE$106,$AH55),1),IF($AI55&gt;0,INDEX(DE$7:DE$106,$AI55),1),IF($AJ55&gt;0,INDEX(DE$7:DE$106,$AJ55),1))))</ns0:f>
        <ns0:v>1</ns0:v>
      </ns0:c>
      <ns0:c r="DG55" t="n">
        <ns0:f>IF($A55="",1,IF(DF55=1,1,--AND(IF($AC55&gt;0,INDEX(DF$7:DF$106,$AC55),1),IF($AD55&gt;0,INDEX(DF$7:DF$106,$AD55),1),IF($AE55&gt;0,INDEX(DF$7:DF$106,$AE55),1),IF($AF55&gt;0,INDEX(DF$7:DF$106,$AF55),1),IF($AG55&gt;0,INDEX(DF$7:DF$106,$AG55),1),IF($AH55&gt;0,INDEX(DF$7:DF$106,$AH55),1),IF($AI55&gt;0,INDEX(DF$7:DF$106,$AI55),1),IF($AJ55&gt;0,INDEX(DF$7:DF$106,$AJ55),1))))</ns0:f>
        <ns0:v>1</ns0:v>
      </ns0:c>
      <ns0:c r="DH55" t="n">
        <ns0:f>IF($A55="",1,IF(DG55=1,1,--AND(IF($AC55&gt;0,INDEX(DG$7:DG$106,$AC55),1),IF($AD55&gt;0,INDEX(DG$7:DG$106,$AD55),1),IF($AE55&gt;0,INDEX(DG$7:DG$106,$AE55),1),IF($AF55&gt;0,INDEX(DG$7:DG$106,$AF55),1),IF($AG55&gt;0,INDEX(DG$7:DG$106,$AG55),1),IF($AH55&gt;0,INDEX(DG$7:DG$106,$AH55),1),IF($AI55&gt;0,INDEX(DG$7:DG$106,$AI55),1),IF($AJ55&gt;0,INDEX(DG$7:DG$106,$AJ55),1))))</ns0:f>
        <ns0:v>1</ns0:v>
      </ns0:c>
      <ns0:c r="DI55" t="n">
        <ns0:f>IF($A55="",1,IF(DH55=1,1,--AND(IF($AC55&gt;0,INDEX(DH$7:DH$106,$AC55),1),IF($AD55&gt;0,INDEX(DH$7:DH$106,$AD55),1),IF($AE55&gt;0,INDEX(DH$7:DH$106,$AE55),1),IF($AF55&gt;0,INDEX(DH$7:DH$106,$AF55),1),IF($AG55&gt;0,INDEX(DH$7:DH$106,$AG55),1),IF($AH55&gt;0,INDEX(DH$7:DH$106,$AH55),1),IF($AI55&gt;0,INDEX(DH$7:DH$106,$AI55),1),IF($AJ55&gt;0,INDEX(DH$7:DH$106,$AJ55),1))))</ns0:f>
        <ns0:v>1</ns0:v>
      </ns0:c>
      <ns0:c r="DJ55" t="n">
        <ns0:f>IF($A55="",1,IF(DI55=1,1,--AND(IF($AC55&gt;0,INDEX(DI$7:DI$106,$AC55),1),IF($AD55&gt;0,INDEX(DI$7:DI$106,$AD55),1),IF($AE55&gt;0,INDEX(DI$7:DI$106,$AE55),1),IF($AF55&gt;0,INDEX(DI$7:DI$106,$AF55),1),IF($AG55&gt;0,INDEX(DI$7:DI$106,$AG55),1),IF($AH55&gt;0,INDEX(DI$7:DI$106,$AH55),1),IF($AI55&gt;0,INDEX(DI$7:DI$106,$AI55),1),IF($AJ55&gt;0,INDEX(DI$7:DI$106,$AJ55),1))))</ns0:f>
        <ns0:v>1</ns0:v>
      </ns0:c>
      <ns0:c r="DK55" t="n">
        <ns0:f>IF($A55="",1,IF(DJ55=1,1,--AND(IF($AC55&gt;0,INDEX(DJ$7:DJ$106,$AC55),1),IF($AD55&gt;0,INDEX(DJ$7:DJ$106,$AD55),1),IF($AE55&gt;0,INDEX(DJ$7:DJ$106,$AE55),1),IF($AF55&gt;0,INDEX(DJ$7:DJ$106,$AF55),1),IF($AG55&gt;0,INDEX(DJ$7:DJ$106,$AG55),1),IF($AH55&gt;0,INDEX(DJ$7:DJ$106,$AH55),1),IF($AI55&gt;0,INDEX(DJ$7:DJ$106,$AI55),1),IF($AJ55&gt;0,INDEX(DJ$7:DJ$106,$AJ55),1))))</ns0:f>
        <ns0:v>1</ns0:v>
      </ns0:c>
      <ns0:c r="DL55" t="n">
        <ns0:f>IF($A55="",1,IF(DK55=1,1,--AND(IF($AC55&gt;0,INDEX(DK$7:DK$106,$AC55),1),IF($AD55&gt;0,INDEX(DK$7:DK$106,$AD55),1),IF($AE55&gt;0,INDEX(DK$7:DK$106,$AE55),1),IF($AF55&gt;0,INDEX(DK$7:DK$106,$AF55),1),IF($AG55&gt;0,INDEX(DK$7:DK$106,$AG55),1),IF($AH55&gt;0,INDEX(DK$7:DK$106,$AH55),1),IF($AI55&gt;0,INDEX(DK$7:DK$106,$AI55),1),IF($AJ55&gt;0,INDEX(DK$7:DK$106,$AJ55),1))))</ns0:f>
        <ns0:v>1</ns0:v>
      </ns0:c>
      <ns0:c r="DM55" t="n">
        <ns0:f>IF($A55="",1,IF(DL55=1,1,--AND(IF($AC55&gt;0,INDEX(DL$7:DL$106,$AC55),1),IF($AD55&gt;0,INDEX(DL$7:DL$106,$AD55),1),IF($AE55&gt;0,INDEX(DL$7:DL$106,$AE55),1),IF($AF55&gt;0,INDEX(DL$7:DL$106,$AF55),1),IF($AG55&gt;0,INDEX(DL$7:DL$106,$AG55),1),IF($AH55&gt;0,INDEX(DL$7:DL$106,$AH55),1),IF($AI55&gt;0,INDEX(DL$7:DL$106,$AI55),1),IF($AJ55&gt;0,INDEX(DL$7:DL$106,$AJ55),1))))</ns0:f>
        <ns0:v>1</ns0:v>
      </ns0:c>
      <ns0:c r="DN55" t="n">
        <ns0:f>IF($A55="",1,IF(DM55=1,1,--AND(IF($AC55&gt;0,INDEX(DM$7:DM$106,$AC55),1),IF($AD55&gt;0,INDEX(DM$7:DM$106,$AD55),1),IF($AE55&gt;0,INDEX(DM$7:DM$106,$AE55),1),IF($AF55&gt;0,INDEX(DM$7:DM$106,$AF55),1),IF($AG55&gt;0,INDEX(DM$7:DM$106,$AG55),1),IF($AH55&gt;0,INDEX(DM$7:DM$106,$AH55),1),IF($AI55&gt;0,INDEX(DM$7:DM$106,$AI55),1),IF($AJ55&gt;0,INDEX(DM$7:DM$106,$AJ55),1))))</ns0:f>
        <ns0:v>1</ns0:v>
      </ns0:c>
      <ns0:c r="DO55" t="n">
        <ns0:f>IF($A55="",1,IF(DN55=1,1,--AND(IF($AC55&gt;0,INDEX(DN$7:DN$106,$AC55),1),IF($AD55&gt;0,INDEX(DN$7:DN$106,$AD55),1),IF($AE55&gt;0,INDEX(DN$7:DN$106,$AE55),1),IF($AF55&gt;0,INDEX(DN$7:DN$106,$AF55),1),IF($AG55&gt;0,INDEX(DN$7:DN$106,$AG55),1),IF($AH55&gt;0,INDEX(DN$7:DN$106,$AH55),1),IF($AI55&gt;0,INDEX(DN$7:DN$106,$AI55),1),IF($AJ55&gt;0,INDEX(DN$7:DN$106,$AJ55),1))))</ns0:f>
        <ns0:v>1</ns0:v>
      </ns0:c>
      <ns0:c r="DP55" t="n">
        <ns0:f>IF($A55="",1,IF(DO55=1,1,--AND(IF($AC55&gt;0,INDEX(DO$7:DO$106,$AC55),1),IF($AD55&gt;0,INDEX(DO$7:DO$106,$AD55),1),IF($AE55&gt;0,INDEX(DO$7:DO$106,$AE55),1),IF($AF55&gt;0,INDEX(DO$7:DO$106,$AF55),1),IF($AG55&gt;0,INDEX(DO$7:DO$106,$AG55),1),IF($AH55&gt;0,INDEX(DO$7:DO$106,$AH55),1),IF($AI55&gt;0,INDEX(DO$7:DO$106,$AI55),1),IF($AJ55&gt;0,INDEX(DO$7:DO$106,$AJ55),1))))</ns0:f>
        <ns0:v>1</ns0:v>
      </ns0:c>
      <ns0:c r="DQ55" t="n">
        <ns0:f>IF($A55="",1,IF(DP55=1,1,--AND(IF($AC55&gt;0,INDEX(DP$7:DP$106,$AC55),1),IF($AD55&gt;0,INDEX(DP$7:DP$106,$AD55),1),IF($AE55&gt;0,INDEX(DP$7:DP$106,$AE55),1),IF($AF55&gt;0,INDEX(DP$7:DP$106,$AF55),1),IF($AG55&gt;0,INDEX(DP$7:DP$106,$AG55),1),IF($AH55&gt;0,INDEX(DP$7:DP$106,$AH55),1),IF($AI55&gt;0,INDEX(DP$7:DP$106,$AI55),1),IF($AJ55&gt;0,INDEX(DP$7:DP$106,$AJ55),1))))</ns0:f>
        <ns0:v>1</ns0:v>
      </ns0:c>
      <ns0:c r="DR55" t="n">
        <ns0:f>IF($A55="",1,IF(DQ55=1,1,--AND(IF($AC55&gt;0,INDEX(DQ$7:DQ$106,$AC55),1),IF($AD55&gt;0,INDEX(DQ$7:DQ$106,$AD55),1),IF($AE55&gt;0,INDEX(DQ$7:DQ$106,$AE55),1),IF($AF55&gt;0,INDEX(DQ$7:DQ$106,$AF55),1),IF($AG55&gt;0,INDEX(DQ$7:DQ$106,$AG55),1),IF($AH55&gt;0,INDEX(DQ$7:DQ$106,$AH55),1),IF($AI55&gt;0,INDEX(DQ$7:DQ$106,$AI55),1),IF($AJ55&gt;0,INDEX(DQ$7:DQ$106,$AJ55),1))))</ns0:f>
        <ns0:v>1</ns0:v>
      </ns0:c>
      <ns0:c r="DS55" t="n">
        <ns0:f>IF($A55="",1,IF(DR55=1,1,--AND(IF($AC55&gt;0,INDEX(DR$7:DR$106,$AC55),1),IF($AD55&gt;0,INDEX(DR$7:DR$106,$AD55),1),IF($AE55&gt;0,INDEX(DR$7:DR$106,$AE55),1),IF($AF55&gt;0,INDEX(DR$7:DR$106,$AF55),1),IF($AG55&gt;0,INDEX(DR$7:DR$106,$AG55),1),IF($AH55&gt;0,INDEX(DR$7:DR$106,$AH55),1),IF($AI55&gt;0,INDEX(DR$7:DR$106,$AI55),1),IF($AJ55&gt;0,INDEX(DR$7:DR$106,$AJ55),1))))</ns0:f>
        <ns0:v>1</ns0:v>
      </ns0:c>
      <ns0:c r="DT55" t="n">
        <ns0:f>IF($A55="",1,IF(DS55=1,1,--AND(IF($AC55&gt;0,INDEX(DS$7:DS$106,$AC55),1),IF($AD55&gt;0,INDEX(DS$7:DS$106,$AD55),1),IF($AE55&gt;0,INDEX(DS$7:DS$106,$AE55),1),IF($AF55&gt;0,INDEX(DS$7:DS$106,$AF55),1),IF($AG55&gt;0,INDEX(DS$7:DS$106,$AG55),1),IF($AH55&gt;0,INDEX(DS$7:DS$106,$AH55),1),IF($AI55&gt;0,INDEX(DS$7:DS$106,$AI55),1),IF($AJ55&gt;0,INDEX(DS$7:DS$106,$AJ55),1))))</ns0:f>
        <ns0:v>1</ns0:v>
      </ns0:c>
      <ns0:c r="DU55" t="n">
        <ns0:f>IF($A55="",1,IF(DT55=1,1,--AND(IF($AC55&gt;0,INDEX(DT$7:DT$106,$AC55),1),IF($AD55&gt;0,INDEX(DT$7:DT$106,$AD55),1),IF($AE55&gt;0,INDEX(DT$7:DT$106,$AE55),1),IF($AF55&gt;0,INDEX(DT$7:DT$106,$AF55),1),IF($AG55&gt;0,INDEX(DT$7:DT$106,$AG55),1),IF($AH55&gt;0,INDEX(DT$7:DT$106,$AH55),1),IF($AI55&gt;0,INDEX(DT$7:DT$106,$AI55),1),IF($AJ55&gt;0,INDEX(DT$7:DT$106,$AJ55),1))))</ns0:f>
        <ns0:v>1</ns0:v>
      </ns0:c>
      <ns0:c r="DV55" t="n">
        <ns0:f>IF($A55="",1,IF(DU55=1,1,--AND(IF($AC55&gt;0,INDEX(DU$7:DU$106,$AC55),1),IF($AD55&gt;0,INDEX(DU$7:DU$106,$AD55),1),IF($AE55&gt;0,INDEX(DU$7:DU$106,$AE55),1),IF($AF55&gt;0,INDEX(DU$7:DU$106,$AF55),1),IF($AG55&gt;0,INDEX(DU$7:DU$106,$AG55),1),IF($AH55&gt;0,INDEX(DU$7:DU$106,$AH55),1),IF($AI55&gt;0,INDEX(DU$7:DU$106,$AI55),1),IF($AJ55&gt;0,INDEX(DU$7:DU$106,$AJ55),1))))</ns0:f>
        <ns0:v>1</ns0:v>
      </ns0:c>
      <ns0:c r="DW55" t="n">
        <ns0:f>IF($A55="",1,IF(DV55=1,1,--AND(IF($AC55&gt;0,INDEX(DV$7:DV$106,$AC55),1),IF($AD55&gt;0,INDEX(DV$7:DV$106,$AD55),1),IF($AE55&gt;0,INDEX(DV$7:DV$106,$AE55),1),IF($AF55&gt;0,INDEX(DV$7:DV$106,$AF55),1),IF($AG55&gt;0,INDEX(DV$7:DV$106,$AG55),1),IF($AH55&gt;0,INDEX(DV$7:DV$106,$AH55),1),IF($AI55&gt;0,INDEX(DV$7:DV$106,$AI55),1),IF($AJ55&gt;0,INDEX(DV$7:DV$106,$AJ55),1))))</ns0:f>
        <ns0:v>1</ns0:v>
      </ns0:c>
      <ns0:c r="DX55" t="n">
        <ns0:f>IF($A55="",1,IF(DW55=1,1,--AND(IF($AC55&gt;0,INDEX(DW$7:DW$106,$AC55),1),IF($AD55&gt;0,INDEX(DW$7:DW$106,$AD55),1),IF($AE55&gt;0,INDEX(DW$7:DW$106,$AE55),1),IF($AF55&gt;0,INDEX(DW$7:DW$106,$AF55),1),IF($AG55&gt;0,INDEX(DW$7:DW$106,$AG55),1),IF($AH55&gt;0,INDEX(DW$7:DW$106,$AH55),1),IF($AI55&gt;0,INDEX(DW$7:DW$106,$AI55),1),IF($AJ55&gt;0,INDEX(DW$7:DW$106,$AJ55),1))))</ns0:f>
        <ns0:v>1</ns0:v>
      </ns0:c>
      <ns0:c r="DY55" t="n">
        <ns0:f>IF($A55="",1,IF(DX55=1,1,--AND(IF($AC55&gt;0,INDEX(DX$7:DX$106,$AC55),1),IF($AD55&gt;0,INDEX(DX$7:DX$106,$AD55),1),IF($AE55&gt;0,INDEX(DX$7:DX$106,$AE55),1),IF($AF55&gt;0,INDEX(DX$7:DX$106,$AF55),1),IF($AG55&gt;0,INDEX(DX$7:DX$106,$AG55),1),IF($AH55&gt;0,INDEX(DX$7:DX$106,$AH55),1),IF($AI55&gt;0,INDEX(DX$7:DX$106,$AI55),1),IF($AJ55&gt;0,INDEX(DX$7:DX$106,$AJ55),1))))</ns0:f>
        <ns0:v>1</ns0:v>
      </ns0:c>
      <ns0:c r="DZ55" t="n">
        <ns0:f>IF($A55="",1,IF(DY55=1,1,--AND(IF($AC55&gt;0,INDEX(DY$7:DY$106,$AC55),1),IF($AD55&gt;0,INDEX(DY$7:DY$106,$AD55),1),IF($AE55&gt;0,INDEX(DY$7:DY$106,$AE55),1),IF($AF55&gt;0,INDEX(DY$7:DY$106,$AF55),1),IF($AG55&gt;0,INDEX(DY$7:DY$106,$AG55),1),IF($AH55&gt;0,INDEX(DY$7:DY$106,$AH55),1),IF($AI55&gt;0,INDEX(DY$7:DY$106,$AI55),1),IF($AJ55&gt;0,INDEX(DY$7:DY$106,$AJ55),1))))</ns0:f>
        <ns0:v>1</ns0:v>
      </ns0:c>
      <ns0:c r="EA55" t="n">
        <ns0:f>IF($A55="",1,IF(DZ55=1,1,--AND(IF($AC55&gt;0,INDEX(DZ$7:DZ$106,$AC55),1),IF($AD55&gt;0,INDEX(DZ$7:DZ$106,$AD55),1),IF($AE55&gt;0,INDEX(DZ$7:DZ$106,$AE55),1),IF($AF55&gt;0,INDEX(DZ$7:DZ$106,$AF55),1),IF($AG55&gt;0,INDEX(DZ$7:DZ$106,$AG55),1),IF($AH55&gt;0,INDEX(DZ$7:DZ$106,$AH55),1),IF($AI55&gt;0,INDEX(DZ$7:DZ$106,$AI55),1),IF($AJ55&gt;0,INDEX(DZ$7:DZ$106,$AJ55),1))))</ns0:f>
        <ns0:v>1</ns0:v>
      </ns0:c>
      <ns0:c r="EB55" t="n">
        <ns0:f>IF($A55="",1,IF(EA55=1,1,--AND(IF($AC55&gt;0,INDEX(EA$7:EA$106,$AC55),1),IF($AD55&gt;0,INDEX(EA$7:EA$106,$AD55),1),IF($AE55&gt;0,INDEX(EA$7:EA$106,$AE55),1),IF($AF55&gt;0,INDEX(EA$7:EA$106,$AF55),1),IF($AG55&gt;0,INDEX(EA$7:EA$106,$AG55),1),IF($AH55&gt;0,INDEX(EA$7:EA$106,$AH55),1),IF($AI55&gt;0,INDEX(EA$7:EA$106,$AI55),1),IF($AJ55&gt;0,INDEX(EA$7:EA$106,$AJ55),1))))</ns0:f>
        <ns0:v>1</ns0:v>
      </ns0:c>
      <ns0:c r="EC55" t="n">
        <ns0:f>IF($A55="",1,IF(EB55=1,1,--AND(IF($AC55&gt;0,INDEX(EB$7:EB$106,$AC55),1),IF($AD55&gt;0,INDEX(EB$7:EB$106,$AD55),1),IF($AE55&gt;0,INDEX(EB$7:EB$106,$AE55),1),IF($AF55&gt;0,INDEX(EB$7:EB$106,$AF55),1),IF($AG55&gt;0,INDEX(EB$7:EB$106,$AG55),1),IF($AH55&gt;0,INDEX(EB$7:EB$106,$AH55),1),IF($AI55&gt;0,INDEX(EB$7:EB$106,$AI55),1),IF($AJ55&gt;0,INDEX(EB$7:EB$106,$AJ55),1))))</ns0:f>
        <ns0:v>1</ns0:v>
      </ns0:c>
      <ns0:c r="ED55" t="n">
        <ns0:f>IF($A55="",1,IF(EC55=1,1,--AND(IF($AC55&gt;0,INDEX(EC$7:EC$106,$AC55),1),IF($AD55&gt;0,INDEX(EC$7:EC$106,$AD55),1),IF($AE55&gt;0,INDEX(EC$7:EC$106,$AE55),1),IF($AF55&gt;0,INDEX(EC$7:EC$106,$AF55),1),IF($AG55&gt;0,INDEX(EC$7:EC$106,$AG55),1),IF($AH55&gt;0,INDEX(EC$7:EC$106,$AH55),1),IF($AI55&gt;0,INDEX(EC$7:EC$106,$AI55),1),IF($AJ55&gt;0,INDEX(EC$7:EC$106,$AJ55),1))))</ns0:f>
        <ns0:v>1</ns0:v>
      </ns0:c>
      <ns0:c r="EE55" t="n">
        <ns0:f>IF($A55="",1,IF(ED55=1,1,--AND(IF($AC55&gt;0,INDEX(ED$7:ED$106,$AC55),1),IF($AD55&gt;0,INDEX(ED$7:ED$106,$AD55),1),IF($AE55&gt;0,INDEX(ED$7:ED$106,$AE55),1),IF($AF55&gt;0,INDEX(ED$7:ED$106,$AF55),1),IF($AG55&gt;0,INDEX(ED$7:ED$106,$AG55),1),IF($AH55&gt;0,INDEX(ED$7:ED$106,$AH55),1),IF($AI55&gt;0,INDEX(ED$7:ED$106,$AI55),1),IF($AJ55&gt;0,INDEX(ED$7:ED$106,$AJ55),1))))</ns0:f>
        <ns0:v>1</ns0:v>
      </ns0:c>
      <ns0:c r="EF55" t="n">
        <ns0:f>IF($A55="",1,IF(EE55=1,1,--AND(IF($AC55&gt;0,INDEX(EE$7:EE$106,$AC55),1),IF($AD55&gt;0,INDEX(EE$7:EE$106,$AD55),1),IF($AE55&gt;0,INDEX(EE$7:EE$106,$AE55),1),IF($AF55&gt;0,INDEX(EE$7:EE$106,$AF55),1),IF($AG55&gt;0,INDEX(EE$7:EE$106,$AG55),1),IF($AH55&gt;0,INDEX(EE$7:EE$106,$AH55),1),IF($AI55&gt;0,INDEX(EE$7:EE$106,$AI55),1),IF($AJ55&gt;0,INDEX(EE$7:EE$106,$AJ55),1))))</ns0:f>
        <ns0:v>1</ns0:v>
      </ns0:c>
      <ns0:c r="EG55" t="n">
        <ns0:f>IF($A55="",1,IF(EF55=1,1,--AND(IF($AC55&gt;0,INDEX(EF$7:EF$106,$AC55),1),IF($AD55&gt;0,INDEX(EF$7:EF$106,$AD55),1),IF($AE55&gt;0,INDEX(EF$7:EF$106,$AE55),1),IF($AF55&gt;0,INDEX(EF$7:EF$106,$AF55),1),IF($AG55&gt;0,INDEX(EF$7:EF$106,$AG55),1),IF($AH55&gt;0,INDEX(EF$7:EF$106,$AH55),1),IF($AI55&gt;0,INDEX(EF$7:EF$106,$AI55),1),IF($AJ55&gt;0,INDEX(EF$7:EF$106,$AJ55),1))))</ns0:f>
        <ns0:v>1</ns0:v>
      </ns0:c>
      <ns0:c r="EH55" t="n">
        <ns0:f>IF($A55="",1,IF(EG55=1,1,--AND(IF($AC55&gt;0,INDEX(EG$7:EG$106,$AC55),1),IF($AD55&gt;0,INDEX(EG$7:EG$106,$AD55),1),IF($AE55&gt;0,INDEX(EG$7:EG$106,$AE55),1),IF($AF55&gt;0,INDEX(EG$7:EG$106,$AF55),1),IF($AG55&gt;0,INDEX(EG$7:EG$106,$AG55),1),IF($AH55&gt;0,INDEX(EG$7:EG$106,$AH55),1),IF($AI55&gt;0,INDEX(EG$7:EG$106,$AI55),1),IF($AJ55&gt;0,INDEX(EG$7:EG$106,$AJ55),1))))</ns0:f>
        <ns0:v>1</ns0:v>
      </ns0:c>
      <ns0:c r="EI55" t="n">
        <ns0:f>IF($A55="",1,IF(EH55=1,1,--AND(IF($AC55&gt;0,INDEX(EH$7:EH$106,$AC55),1),IF($AD55&gt;0,INDEX(EH$7:EH$106,$AD55),1),IF($AE55&gt;0,INDEX(EH$7:EH$106,$AE55),1),IF($AF55&gt;0,INDEX(EH$7:EH$106,$AF55),1),IF($AG55&gt;0,INDEX(EH$7:EH$106,$AG55),1),IF($AH55&gt;0,INDEX(EH$7:EH$106,$AH55),1),IF($AI55&gt;0,INDEX(EH$7:EH$106,$AI55),1),IF($AJ55&gt;0,INDEX(EH$7:EH$106,$AJ55),1))))</ns0:f>
        <ns0:v>1</ns0:v>
      </ns0:c>
      <ns0:c r="EJ55" t="n">
        <ns0:f>IF($A55="",1,IF(EI55=1,1,--AND(IF($AC55&gt;0,INDEX(EI$7:EI$106,$AC55),1),IF($AD55&gt;0,INDEX(EI$7:EI$106,$AD55),1),IF($AE55&gt;0,INDEX(EI$7:EI$106,$AE55),1),IF($AF55&gt;0,INDEX(EI$7:EI$106,$AF55),1),IF($AG55&gt;0,INDEX(EI$7:EI$106,$AG55),1),IF($AH55&gt;0,INDEX(EI$7:EI$106,$AH55),1),IF($AI55&gt;0,INDEX(EI$7:EI$106,$AI55),1),IF($AJ55&gt;0,INDEX(EI$7:EI$106,$AJ55),1))))</ns0:f>
        <ns0:v>1</ns0:v>
      </ns0:c>
      <ns0:c r="EK55" t="n">
        <ns0:f>IF($A55="",1,IF(EJ55=1,1,--AND(IF($AC55&gt;0,INDEX(EJ$7:EJ$106,$AC55),1),IF($AD55&gt;0,INDEX(EJ$7:EJ$106,$AD55),1),IF($AE55&gt;0,INDEX(EJ$7:EJ$106,$AE55),1),IF($AF55&gt;0,INDEX(EJ$7:EJ$106,$AF55),1),IF($AG55&gt;0,INDEX(EJ$7:EJ$106,$AG55),1),IF($AH55&gt;0,INDEX(EJ$7:EJ$106,$AH55),1),IF($AI55&gt;0,INDEX(EJ$7:EJ$106,$AI55),1),IF($AJ55&gt;0,INDEX(EJ$7:EJ$106,$AJ55),1))))</ns0:f>
        <ns0:v>1</ns0:v>
      </ns0:c>
      <ns0:c r="EL55" t="n">
        <ns0:f>IF($A55="",1,IF(EK55=1,1,--AND(IF($AC55&gt;0,INDEX(EK$7:EK$106,$AC55),1),IF($AD55&gt;0,INDEX(EK$7:EK$106,$AD55),1),IF($AE55&gt;0,INDEX(EK$7:EK$106,$AE55),1),IF($AF55&gt;0,INDEX(EK$7:EK$106,$AF55),1),IF($AG55&gt;0,INDEX(EK$7:EK$106,$AG55),1),IF($AH55&gt;0,INDEX(EK$7:EK$106,$AH55),1),IF($AI55&gt;0,INDEX(EK$7:EK$106,$AI55),1),IF($AJ55&gt;0,INDEX(EK$7:EK$106,$AJ55),1))))</ns0:f>
        <ns0:v>1</ns0:v>
      </ns0:c>
      <ns0:c r="EM55" t="n">
        <ns0:f>IF($A55="",1,IF(EL55=1,1,--AND(IF($AC55&gt;0,INDEX(EL$7:EL$106,$AC55),1),IF($AD55&gt;0,INDEX(EL$7:EL$106,$AD55),1),IF($AE55&gt;0,INDEX(EL$7:EL$106,$AE55),1),IF($AF55&gt;0,INDEX(EL$7:EL$106,$AF55),1),IF($AG55&gt;0,INDEX(EL$7:EL$106,$AG55),1),IF($AH55&gt;0,INDEX(EL$7:EL$106,$AH55),1),IF($AI55&gt;0,INDEX(EL$7:EL$106,$AI55),1),IF($AJ55&gt;0,INDEX(EL$7:EL$106,$AJ55),1))))</ns0:f>
        <ns0:v>1</ns0:v>
      </ns0:c>
      <ns0:c r="EN55" t="n">
        <ns0:f>IF($A55="",1,IF(EM55=1,1,--AND(IF($AC55&gt;0,INDEX(EM$7:EM$106,$AC55),1),IF($AD55&gt;0,INDEX(EM$7:EM$106,$AD55),1),IF($AE55&gt;0,INDEX(EM$7:EM$106,$AE55),1),IF($AF55&gt;0,INDEX(EM$7:EM$106,$AF55),1),IF($AG55&gt;0,INDEX(EM$7:EM$106,$AG55),1),IF($AH55&gt;0,INDEX(EM$7:EM$106,$AH55),1),IF($AI55&gt;0,INDEX(EM$7:EM$106,$AI55),1),IF($AJ55&gt;0,INDEX(EM$7:EM$106,$AJ55),1))))</ns0:f>
        <ns0:v>1</ns0:v>
      </ns0:c>
      <ns0:c r="EO55" t="n">
        <ns0:f>IF($A55="",1,IF(EN55=1,1,--AND(IF($AC55&gt;0,INDEX(EN$7:EN$106,$AC55),1),IF($AD55&gt;0,INDEX(EN$7:EN$106,$AD55),1),IF($AE55&gt;0,INDEX(EN$7:EN$106,$AE55),1),IF($AF55&gt;0,INDEX(EN$7:EN$106,$AF55),1),IF($AG55&gt;0,INDEX(EN$7:EN$106,$AG55),1),IF($AH55&gt;0,INDEX(EN$7:EN$106,$AH55),1),IF($AI55&gt;0,INDEX(EN$7:EN$106,$AI55),1),IF($AJ55&gt;0,INDEX(EN$7:EN$106,$AJ55),1))))</ns0:f>
        <ns0:v>1</ns0:v>
      </ns0:c>
      <ns0:c r="EP55" t="n">
        <ns0:f>IF($A55="",1,IF(EO55=1,1,--AND(IF($AC55&gt;0,INDEX(EO$7:EO$106,$AC55),1),IF($AD55&gt;0,INDEX(EO$7:EO$106,$AD55),1),IF($AE55&gt;0,INDEX(EO$7:EO$106,$AE55),1),IF($AF55&gt;0,INDEX(EO$7:EO$106,$AF55),1),IF($AG55&gt;0,INDEX(EO$7:EO$106,$AG55),1),IF($AH55&gt;0,INDEX(EO$7:EO$106,$AH55),1),IF($AI55&gt;0,INDEX(EO$7:EO$106,$AI55),1),IF($AJ55&gt;0,INDEX(EO$7:EO$106,$AJ55),1))))</ns0:f>
        <ns0:v>1</ns0:v>
      </ns0:c>
      <ns0:c r="EQ55" t="n">
        <ns0:f>IF(OR(A55="",NOT(ISNUMBER(G55))),0,G55*N55)</ns0:f>
        <ns0:v>0</ns0:v>
      </ns0:c>
    </ns0:row>
    <ns0:row r="56" ht="62" customHeight="1">
      <ns0:c r="A56" s="48"/>
      <ns0:c r="B56" s="48"/>
      <ns0:c r="C56" s="48"/>
      <ns0:c r="D56" s="48"/>
      <ns0:c r="E56" s="49"/>
      <ns0:c r="F56" s="49"/>
      <ns0:c r="G56" s="13" t="str">
        <ns0:f>IF(A56="","",IF(OR(NOT(ISNUMBER(E56)),NOT(ISNUMBER(F56)),F56&lt;E56),"",IF(J56="Yes",0,F56-E56+1)))</ns0:f>
      </ns0:c>
      <ns0:c r="H56" s="48"/>
      <ns0:c r="I56" s="48"/>
      <ns0:c r="J56" s="48"/>
      <ns0:c r="K56" s="48"/>
      <ns0:c r="L56" s="48"/>
      <ns0:c r="M56" s="50" t="str">
        <ns0:f>IF(A56="","",IF(N56=1,"Completed",IF(N56&gt;0,"In Progress","Not Started")))</ns0:f>
      </ns0:c>
      <ns0:c r="N56" s="51"/>
      <ns0:c r="O56" s="13" t="str">
        <ns0:f>IF(A56="","",IF(R56&lt;&gt;"","[CONFLICT] "&amp;R56,IF(S56&lt;&gt;"","[CONFLICT] "&amp;S56,IF(OR(NOT(ISNUMBER(N56)),N56&lt;0,N56&gt;1),"[CONFLICT] Invalid progress",IF(AK56&gt;0,"[DEPENDENCY ISSUE] Missing ID / &gt;8 links",IF(AM56&gt;0,"[DEPENDENCY ISSUE] Cycle or blocked by cycle",IF(AND(H56&lt;&gt;"",ISNA(MATCH(I56,{"FS","SS","FF","SF"},0))),"[DEPENDENCY ISSUE] Invalid type",IF(AL56&gt;0,"[DEPENDENCY ISSUE] Timing conflict",IF(OR(E56&lt;ProjectStart,F56&gt;ProjectEnd),"[OUTSIDE WINDOW]",IF(AND(N56&lt;1,F56&lt;AsOfDate),"Overdue",IF(AND(M56&lt;&gt;Q56,M56&lt;&gt;""),"[CONFLICT] Status / progress","On track")))))))))))</ns0:f>
      </ns0:c>
      <ns0:c r="P56" s="52"/>
      <ns0:c r="Q56" t="str">
        <ns0:f>IF(A56="","",IF(OR(M56="On Hold",M56="Delayed"),M56,IF(N56=1,"Completed",IF(N56&gt;0,"In Progress","Not Started"))))</ns0:f>
      </ns0:c>
      <ns0:c r="R56" t="str">
        <ns0:f>IF(A56="","",IF(COUNTIFS(Tasks[Task ID],A56)&lt;&gt;1,"Duplicate ID",""))</ns0:f>
      </ns0:c>
      <ns0:c r="S56" t="str">
        <ns0:f>IF(A56="","",IF(OR(NOT(ISNUMBER(E56)),NOT(ISNUMBER(F56))),"Invalid / missing date",IF(OR(E56&lt;&gt;INT(E56),F56&lt;&gt;INT(F56),E56&lt;1,F56&gt;2958465),"Invalid date",IF(F56&lt;E56,"End before start",IF(AND(J56="Yes",E56&lt;&gt;F56),"Milestone needs one date","")))))</ns0:f>
      </ns0:c>
      <ns0:c r="T56" t="n">
        <ns0:f>IF(H56="",0,LEN(H56)-LEN(SUBSTITUTE(H56,",",""))+1)</ns0:f>
        <ns0:v>0</ns0:v>
      </ns0:c>
      <ns0:c r="U56" t="str">
        <ns0:f>TRIM(MID(SUBSTITUTE($H56,",",REPT(" ",100)),1,100))</ns0:f>
      </ns0:c>
      <ns0:c r="V56" t="str">
        <ns0:f>TRIM(MID(SUBSTITUTE($H56,",",REPT(" ",100)),101,100))</ns0:f>
      </ns0:c>
      <ns0:c r="W56" t="str">
        <ns0:f>TRIM(MID(SUBSTITUTE($H56,",",REPT(" ",100)),201,100))</ns0:f>
      </ns0:c>
      <ns0:c r="X56" t="str">
        <ns0:f>TRIM(MID(SUBSTITUTE($H56,",",REPT(" ",100)),301,100))</ns0:f>
      </ns0:c>
      <ns0:c r="Y56" t="str">
        <ns0:f>TRIM(MID(SUBSTITUTE($H56,",",REPT(" ",100)),401,100))</ns0:f>
      </ns0:c>
      <ns0:c r="Z56" t="str">
        <ns0:f>TRIM(MID(SUBSTITUTE($H56,",",REPT(" ",100)),501,100))</ns0:f>
      </ns0:c>
      <ns0:c r="AA56" t="str">
        <ns0:f>TRIM(MID(SUBSTITUTE($H56,",",REPT(" ",100)),601,100))</ns0:f>
      </ns0:c>
      <ns0:c r="AB56" t="str">
        <ns0:f>TRIM(MID(SUBSTITUTE($H56,",",REPT(" ",100)),701,100))</ns0:f>
      </ns0:c>
      <ns0:c r="AC56" t="n">
        <ns0:f>IF(U56="",0,IF(COUNTIFS(Tasks[Task ID],U56)=1,MATCH(U56,Tasks[Task ID],0),-1))</ns0:f>
        <ns0:v>0</ns0:v>
      </ns0:c>
      <ns0:c r="AD56" t="n">
        <ns0:f>IF(V56="",0,IF(COUNTIFS(Tasks[Task ID],V56)=1,MATCH(V56,Tasks[Task ID],0),-1))</ns0:f>
        <ns0:v>0</ns0:v>
      </ns0:c>
      <ns0:c r="AE56" t="n">
        <ns0:f>IF(W56="",0,IF(COUNTIFS(Tasks[Task ID],W56)=1,MATCH(W56,Tasks[Task ID],0),-1))</ns0:f>
        <ns0:v>0</ns0:v>
      </ns0:c>
      <ns0:c r="AF56" t="n">
        <ns0:f>IF(X56="",0,IF(COUNTIFS(Tasks[Task ID],X56)=1,MATCH(X56,Tasks[Task ID],0),-1))</ns0:f>
        <ns0:v>0</ns0:v>
      </ns0:c>
      <ns0:c r="AG56" t="n">
        <ns0:f>IF(Y56="",0,IF(COUNTIFS(Tasks[Task ID],Y56)=1,MATCH(Y56,Tasks[Task ID],0),-1))</ns0:f>
        <ns0:v>0</ns0:v>
      </ns0:c>
      <ns0:c r="AH56" t="n">
        <ns0:f>IF(Z56="",0,IF(COUNTIFS(Tasks[Task ID],Z56)=1,MATCH(Z56,Tasks[Task ID],0),-1))</ns0:f>
        <ns0:v>0</ns0:v>
      </ns0:c>
      <ns0:c r="AI56" t="n">
        <ns0:f>IF(AA56="",0,IF(COUNTIFS(Tasks[Task ID],AA56)=1,MATCH(AA56,Tasks[Task ID],0),-1))</ns0:f>
        <ns0:v>0</ns0:v>
      </ns0:c>
      <ns0:c r="AJ56" t="n">
        <ns0:f>IF(AB56="",0,IF(COUNTIFS(Tasks[Task ID],AB56)=1,MATCH(AB56,Tasks[Task ID],0),-1))</ns0:f>
        <ns0:v>0</ns0:v>
      </ns0:c>
      <ns0:c r="AK56" t="n">
        <ns0:f>COUNTIFS(AC56:AJ56,-1)+IF(T56&gt;8,1,0)</ns0:f>
        <ns0:v>0</ns0:v>
      </ns0:c>
      <ns0:c r="AL56" t="n">
        <ns0:f>IF(OR(A56="",S56&lt;&gt;""),0,SUM(IF(AC56&gt;0,IF($I56="FS",--($E56&lt;INDEX(Tasks[End Date],AC56)+IF(INDEX(Tasks[Milestone],AC56)="Yes",0,1)),IF($I56="SS",--($E56&lt;INDEX(Tasks[Start Date],AC56)),IF($I56="FF",--($F56&lt;INDEX(Tasks[End Date],AC56)),IF($I56="SF",--($F56&lt;INDEX(Tasks[Start Date],AC56)),0)))),0),IF(AD56&gt;0,IF($I56="FS",--($E56&lt;INDEX(Tasks[End Date],AD56)+IF(INDEX(Tasks[Milestone],AD56)="Yes",0,1)),IF($I56="SS",--($E56&lt;INDEX(Tasks[Start Date],AD56)),IF($I56="FF",--($F56&lt;INDEX(Tasks[End Date],AD56)),IF($I56="SF",--($F56&lt;INDEX(Tasks[Start Date],AD56)),0)))),0),IF(AE56&gt;0,IF($I56="FS",--($E56&lt;INDEX(Tasks[End Date],AE56)+IF(INDEX(Tasks[Milestone],AE56)="Yes",0,1)),IF($I56="SS",--($E56&lt;INDEX(Tasks[Start Date],AE56)),IF($I56="FF",--($F56&lt;INDEX(Tasks[End Date],AE56)),IF($I56="SF",--($F56&lt;INDEX(Tasks[Start Date],AE56)),0)))),0),IF(AF56&gt;0,IF($I56="FS",--($E56&lt;INDEX(Tasks[End Date],AF56)+IF(INDEX(Tasks[Milestone],AF56)="Yes",0,1)),IF($I56="SS",--($E56&lt;INDEX(Tasks[Start Date],AF56)),IF($I56="FF",--($F56&lt;INDEX(Tasks[End Date],AF56)),IF($I56="SF",--($F56&lt;INDEX(Tasks[Start Date],AF56)),0)))),0),IF(AG56&gt;0,IF($I56="FS",--($E56&lt;INDEX(Tasks[End Date],AG56)+IF(INDEX(Tasks[Milestone],AG56)="Yes",0,1)),IF($I56="SS",--($E56&lt;INDEX(Tasks[Start Date],AG56)),IF($I56="FF",--($F56&lt;INDEX(Tasks[End Date],AG56)),IF($I56="SF",--($F56&lt;INDEX(Tasks[Start Date],AG56)),0)))),0),IF(AH56&gt;0,IF($I56="FS",--($E56&lt;INDEX(Tasks[End Date],AH56)+IF(INDEX(Tasks[Milestone],AH56)="Yes",0,1)),IF($I56="SS",--($E56&lt;INDEX(Tasks[Start Date],AH56)),IF($I56="FF",--($F56&lt;INDEX(Tasks[End Date],AH56)),IF($I56="SF",--($F56&lt;INDEX(Tasks[Start Date],AH56)),0)))),0),IF(AI56&gt;0,IF($I56="FS",--($E56&lt;INDEX(Tasks[End Date],AI56)+IF(INDEX(Tasks[Milestone],AI56)="Yes",0,1)),IF($I56="SS",--($E56&lt;INDEX(Tasks[Start Date],AI56)),IF($I56="FF",--($F56&lt;INDEX(Tasks[End Date],AI56)),IF($I56="SF",--($F56&lt;INDEX(Tasks[Start Date],AI56)),0)))),0),IF(AJ56&gt;0,IF($I56="FS",--($E56&lt;INDEX(Tasks[End Date],AJ56)+IF(INDEX(Tasks[Milestone],AJ56)="Yes",0,1)),IF($I56="SS",--($E56&lt;INDEX(Tasks[Start Date],AJ56)),IF($I56="FF",--($F56&lt;INDEX(Tasks[End Date],AJ56)),IF($I56="SF",--($F56&lt;INDEX(Tasks[Start Date],AJ56)),0)))),0)))</ns0:f>
        <ns0:v>0</ns0:v>
      </ns0:c>
      <ns0:c r="AM56" t="n">
        <ns0:f>IF(AND(A56&lt;&gt;"",AK56=0,EP56=0),1,0)</ns0:f>
        <ns0:v>0</ns0:v>
      </ns0:c>
      <ns0:c r="AN56" t="str">
        <ns0:f>IF(OR(A56="",B56=""),"",IF(COUNTIFS($B$7:B56,B56)=1,MAX($AN$6:AN55)+1,""))</ns0:f>
      </ns0:c>
      <ns0:c r="AO56" t="n">
        <ns0:f>IF(AND(A56&lt;&gt;"",J56="No",N56&lt;1,E56&gt;=AsOfDate),E56+ROW()/10000,1E+9)</ns0:f>
        <ns0:v>1000000000</ns0:v>
      </ns0:c>
      <ns0:c r="AP56" t="n">
        <ns0:f>IF(AND(A56&lt;&gt;"",J56="Yes",N56&lt;1,E56&gt;=AsOfDate),E56+ROW()/10000,1E+9)</ns0:f>
        <ns0:v>1000000000</ns0:v>
      </ns0:c>
      <ns0:c r="AQ56" t="n">
        <ns0:f>IF(AND(A56&lt;&gt;"",J56="No",N56&lt;1,F56&gt;=AsOfDate,F56&lt;=AsOfDate+7),F56+ROW()/10000,1E+9)</ns0:f>
        <ns0:v>1000000000</ns0:v>
      </ns0:c>
      <ns0:c r="AR56" t="n">
        <ns0:f>IF(AND(A56&lt;&gt;"",OR(O56&lt;&gt;"On track",Q56="Delayed")),ROW(),1E+9)</ns0:f>
        <ns0:v>1000000000</ns0:v>
      </ns0:c>
      <ns0:c r="AS56" t="str">
        <ns0:f>IF(A56="","",";"&amp;K56&amp;";")</ns0:f>
      </ns0:c>
      <ns0:c r="AT56" t="n">
        <ns0:f>IF(A56="",1,--(T56=0))</ns0:f>
        <ns0:v>1</ns0:v>
      </ns0:c>
      <ns0:c r="AU56" t="n">
        <ns0:f>IF($A56="",1,IF(AT56=1,1,--AND(IF($AC56&gt;0,INDEX(AT$7:AT$106,$AC56),1),IF($AD56&gt;0,INDEX(AT$7:AT$106,$AD56),1),IF($AE56&gt;0,INDEX(AT$7:AT$106,$AE56),1),IF($AF56&gt;0,INDEX(AT$7:AT$106,$AF56),1),IF($AG56&gt;0,INDEX(AT$7:AT$106,$AG56),1),IF($AH56&gt;0,INDEX(AT$7:AT$106,$AH56),1),IF($AI56&gt;0,INDEX(AT$7:AT$106,$AI56),1),IF($AJ56&gt;0,INDEX(AT$7:AT$106,$AJ56),1))))</ns0:f>
        <ns0:v>1</ns0:v>
      </ns0:c>
      <ns0:c r="AV56" t="n">
        <ns0:f>IF($A56="",1,IF(AU56=1,1,--AND(IF($AC56&gt;0,INDEX(AU$7:AU$106,$AC56),1),IF($AD56&gt;0,INDEX(AU$7:AU$106,$AD56),1),IF($AE56&gt;0,INDEX(AU$7:AU$106,$AE56),1),IF($AF56&gt;0,INDEX(AU$7:AU$106,$AF56),1),IF($AG56&gt;0,INDEX(AU$7:AU$106,$AG56),1),IF($AH56&gt;0,INDEX(AU$7:AU$106,$AH56),1),IF($AI56&gt;0,INDEX(AU$7:AU$106,$AI56),1),IF($AJ56&gt;0,INDEX(AU$7:AU$106,$AJ56),1))))</ns0:f>
        <ns0:v>1</ns0:v>
      </ns0:c>
      <ns0:c r="AW56" t="n">
        <ns0:f>IF($A56="",1,IF(AV56=1,1,--AND(IF($AC56&gt;0,INDEX(AV$7:AV$106,$AC56),1),IF($AD56&gt;0,INDEX(AV$7:AV$106,$AD56),1),IF($AE56&gt;0,INDEX(AV$7:AV$106,$AE56),1),IF($AF56&gt;0,INDEX(AV$7:AV$106,$AF56),1),IF($AG56&gt;0,INDEX(AV$7:AV$106,$AG56),1),IF($AH56&gt;0,INDEX(AV$7:AV$106,$AH56),1),IF($AI56&gt;0,INDEX(AV$7:AV$106,$AI56),1),IF($AJ56&gt;0,INDEX(AV$7:AV$106,$AJ56),1))))</ns0:f>
        <ns0:v>1</ns0:v>
      </ns0:c>
      <ns0:c r="AX56" t="n">
        <ns0:f>IF($A56="",1,IF(AW56=1,1,--AND(IF($AC56&gt;0,INDEX(AW$7:AW$106,$AC56),1),IF($AD56&gt;0,INDEX(AW$7:AW$106,$AD56),1),IF($AE56&gt;0,INDEX(AW$7:AW$106,$AE56),1),IF($AF56&gt;0,INDEX(AW$7:AW$106,$AF56),1),IF($AG56&gt;0,INDEX(AW$7:AW$106,$AG56),1),IF($AH56&gt;0,INDEX(AW$7:AW$106,$AH56),1),IF($AI56&gt;0,INDEX(AW$7:AW$106,$AI56),1),IF($AJ56&gt;0,INDEX(AW$7:AW$106,$AJ56),1))))</ns0:f>
        <ns0:v>1</ns0:v>
      </ns0:c>
      <ns0:c r="AY56" t="n">
        <ns0:f>IF($A56="",1,IF(AX56=1,1,--AND(IF($AC56&gt;0,INDEX(AX$7:AX$106,$AC56),1),IF($AD56&gt;0,INDEX(AX$7:AX$106,$AD56),1),IF($AE56&gt;0,INDEX(AX$7:AX$106,$AE56),1),IF($AF56&gt;0,INDEX(AX$7:AX$106,$AF56),1),IF($AG56&gt;0,INDEX(AX$7:AX$106,$AG56),1),IF($AH56&gt;0,INDEX(AX$7:AX$106,$AH56),1),IF($AI56&gt;0,INDEX(AX$7:AX$106,$AI56),1),IF($AJ56&gt;0,INDEX(AX$7:AX$106,$AJ56),1))))</ns0:f>
        <ns0:v>1</ns0:v>
      </ns0:c>
      <ns0:c r="AZ56" t="n">
        <ns0:f>IF($A56="",1,IF(AY56=1,1,--AND(IF($AC56&gt;0,INDEX(AY$7:AY$106,$AC56),1),IF($AD56&gt;0,INDEX(AY$7:AY$106,$AD56),1),IF($AE56&gt;0,INDEX(AY$7:AY$106,$AE56),1),IF($AF56&gt;0,INDEX(AY$7:AY$106,$AF56),1),IF($AG56&gt;0,INDEX(AY$7:AY$106,$AG56),1),IF($AH56&gt;0,INDEX(AY$7:AY$106,$AH56),1),IF($AI56&gt;0,INDEX(AY$7:AY$106,$AI56),1),IF($AJ56&gt;0,INDEX(AY$7:AY$106,$AJ56),1))))</ns0:f>
        <ns0:v>1</ns0:v>
      </ns0:c>
      <ns0:c r="BA56" t="n">
        <ns0:f>IF($A56="",1,IF(AZ56=1,1,--AND(IF($AC56&gt;0,INDEX(AZ$7:AZ$106,$AC56),1),IF($AD56&gt;0,INDEX(AZ$7:AZ$106,$AD56),1),IF($AE56&gt;0,INDEX(AZ$7:AZ$106,$AE56),1),IF($AF56&gt;0,INDEX(AZ$7:AZ$106,$AF56),1),IF($AG56&gt;0,INDEX(AZ$7:AZ$106,$AG56),1),IF($AH56&gt;0,INDEX(AZ$7:AZ$106,$AH56),1),IF($AI56&gt;0,INDEX(AZ$7:AZ$106,$AI56),1),IF($AJ56&gt;0,INDEX(AZ$7:AZ$106,$AJ56),1))))</ns0:f>
        <ns0:v>1</ns0:v>
      </ns0:c>
      <ns0:c r="BB56" t="n">
        <ns0:f>IF($A56="",1,IF(BA56=1,1,--AND(IF($AC56&gt;0,INDEX(BA$7:BA$106,$AC56),1),IF($AD56&gt;0,INDEX(BA$7:BA$106,$AD56),1),IF($AE56&gt;0,INDEX(BA$7:BA$106,$AE56),1),IF($AF56&gt;0,INDEX(BA$7:BA$106,$AF56),1),IF($AG56&gt;0,INDEX(BA$7:BA$106,$AG56),1),IF($AH56&gt;0,INDEX(BA$7:BA$106,$AH56),1),IF($AI56&gt;0,INDEX(BA$7:BA$106,$AI56),1),IF($AJ56&gt;0,INDEX(BA$7:BA$106,$AJ56),1))))</ns0:f>
        <ns0:v>1</ns0:v>
      </ns0:c>
      <ns0:c r="BC56" t="n">
        <ns0:f>IF($A56="",1,IF(BB56=1,1,--AND(IF($AC56&gt;0,INDEX(BB$7:BB$106,$AC56),1),IF($AD56&gt;0,INDEX(BB$7:BB$106,$AD56),1),IF($AE56&gt;0,INDEX(BB$7:BB$106,$AE56),1),IF($AF56&gt;0,INDEX(BB$7:BB$106,$AF56),1),IF($AG56&gt;0,INDEX(BB$7:BB$106,$AG56),1),IF($AH56&gt;0,INDEX(BB$7:BB$106,$AH56),1),IF($AI56&gt;0,INDEX(BB$7:BB$106,$AI56),1),IF($AJ56&gt;0,INDEX(BB$7:BB$106,$AJ56),1))))</ns0:f>
        <ns0:v>1</ns0:v>
      </ns0:c>
      <ns0:c r="BD56" t="n">
        <ns0:f>IF($A56="",1,IF(BC56=1,1,--AND(IF($AC56&gt;0,INDEX(BC$7:BC$106,$AC56),1),IF($AD56&gt;0,INDEX(BC$7:BC$106,$AD56),1),IF($AE56&gt;0,INDEX(BC$7:BC$106,$AE56),1),IF($AF56&gt;0,INDEX(BC$7:BC$106,$AF56),1),IF($AG56&gt;0,INDEX(BC$7:BC$106,$AG56),1),IF($AH56&gt;0,INDEX(BC$7:BC$106,$AH56),1),IF($AI56&gt;0,INDEX(BC$7:BC$106,$AI56),1),IF($AJ56&gt;0,INDEX(BC$7:BC$106,$AJ56),1))))</ns0:f>
        <ns0:v>1</ns0:v>
      </ns0:c>
      <ns0:c r="BE56" t="n">
        <ns0:f>IF($A56="",1,IF(BD56=1,1,--AND(IF($AC56&gt;0,INDEX(BD$7:BD$106,$AC56),1),IF($AD56&gt;0,INDEX(BD$7:BD$106,$AD56),1),IF($AE56&gt;0,INDEX(BD$7:BD$106,$AE56),1),IF($AF56&gt;0,INDEX(BD$7:BD$106,$AF56),1),IF($AG56&gt;0,INDEX(BD$7:BD$106,$AG56),1),IF($AH56&gt;0,INDEX(BD$7:BD$106,$AH56),1),IF($AI56&gt;0,INDEX(BD$7:BD$106,$AI56),1),IF($AJ56&gt;0,INDEX(BD$7:BD$106,$AJ56),1))))</ns0:f>
        <ns0:v>1</ns0:v>
      </ns0:c>
      <ns0:c r="BF56" t="n">
        <ns0:f>IF($A56="",1,IF(BE56=1,1,--AND(IF($AC56&gt;0,INDEX(BE$7:BE$106,$AC56),1),IF($AD56&gt;0,INDEX(BE$7:BE$106,$AD56),1),IF($AE56&gt;0,INDEX(BE$7:BE$106,$AE56),1),IF($AF56&gt;0,INDEX(BE$7:BE$106,$AF56),1),IF($AG56&gt;0,INDEX(BE$7:BE$106,$AG56),1),IF($AH56&gt;0,INDEX(BE$7:BE$106,$AH56),1),IF($AI56&gt;0,INDEX(BE$7:BE$106,$AI56),1),IF($AJ56&gt;0,INDEX(BE$7:BE$106,$AJ56),1))))</ns0:f>
        <ns0:v>1</ns0:v>
      </ns0:c>
      <ns0:c r="BG56" t="n">
        <ns0:f>IF($A56="",1,IF(BF56=1,1,--AND(IF($AC56&gt;0,INDEX(BF$7:BF$106,$AC56),1),IF($AD56&gt;0,INDEX(BF$7:BF$106,$AD56),1),IF($AE56&gt;0,INDEX(BF$7:BF$106,$AE56),1),IF($AF56&gt;0,INDEX(BF$7:BF$106,$AF56),1),IF($AG56&gt;0,INDEX(BF$7:BF$106,$AG56),1),IF($AH56&gt;0,INDEX(BF$7:BF$106,$AH56),1),IF($AI56&gt;0,INDEX(BF$7:BF$106,$AI56),1),IF($AJ56&gt;0,INDEX(BF$7:BF$106,$AJ56),1))))</ns0:f>
        <ns0:v>1</ns0:v>
      </ns0:c>
      <ns0:c r="BH56" t="n">
        <ns0:f>IF($A56="",1,IF(BG56=1,1,--AND(IF($AC56&gt;0,INDEX(BG$7:BG$106,$AC56),1),IF($AD56&gt;0,INDEX(BG$7:BG$106,$AD56),1),IF($AE56&gt;0,INDEX(BG$7:BG$106,$AE56),1),IF($AF56&gt;0,INDEX(BG$7:BG$106,$AF56),1),IF($AG56&gt;0,INDEX(BG$7:BG$106,$AG56),1),IF($AH56&gt;0,INDEX(BG$7:BG$106,$AH56),1),IF($AI56&gt;0,INDEX(BG$7:BG$106,$AI56),1),IF($AJ56&gt;0,INDEX(BG$7:BG$106,$AJ56),1))))</ns0:f>
        <ns0:v>1</ns0:v>
      </ns0:c>
      <ns0:c r="BI56" t="n">
        <ns0:f>IF($A56="",1,IF(BH56=1,1,--AND(IF($AC56&gt;0,INDEX(BH$7:BH$106,$AC56),1),IF($AD56&gt;0,INDEX(BH$7:BH$106,$AD56),1),IF($AE56&gt;0,INDEX(BH$7:BH$106,$AE56),1),IF($AF56&gt;0,INDEX(BH$7:BH$106,$AF56),1),IF($AG56&gt;0,INDEX(BH$7:BH$106,$AG56),1),IF($AH56&gt;0,INDEX(BH$7:BH$106,$AH56),1),IF($AI56&gt;0,INDEX(BH$7:BH$106,$AI56),1),IF($AJ56&gt;0,INDEX(BH$7:BH$106,$AJ56),1))))</ns0:f>
        <ns0:v>1</ns0:v>
      </ns0:c>
      <ns0:c r="BJ56" t="n">
        <ns0:f>IF($A56="",1,IF(BI56=1,1,--AND(IF($AC56&gt;0,INDEX(BI$7:BI$106,$AC56),1),IF($AD56&gt;0,INDEX(BI$7:BI$106,$AD56),1),IF($AE56&gt;0,INDEX(BI$7:BI$106,$AE56),1),IF($AF56&gt;0,INDEX(BI$7:BI$106,$AF56),1),IF($AG56&gt;0,INDEX(BI$7:BI$106,$AG56),1),IF($AH56&gt;0,INDEX(BI$7:BI$106,$AH56),1),IF($AI56&gt;0,INDEX(BI$7:BI$106,$AI56),1),IF($AJ56&gt;0,INDEX(BI$7:BI$106,$AJ56),1))))</ns0:f>
        <ns0:v>1</ns0:v>
      </ns0:c>
      <ns0:c r="BK56" t="n">
        <ns0:f>IF($A56="",1,IF(BJ56=1,1,--AND(IF($AC56&gt;0,INDEX(BJ$7:BJ$106,$AC56),1),IF($AD56&gt;0,INDEX(BJ$7:BJ$106,$AD56),1),IF($AE56&gt;0,INDEX(BJ$7:BJ$106,$AE56),1),IF($AF56&gt;0,INDEX(BJ$7:BJ$106,$AF56),1),IF($AG56&gt;0,INDEX(BJ$7:BJ$106,$AG56),1),IF($AH56&gt;0,INDEX(BJ$7:BJ$106,$AH56),1),IF($AI56&gt;0,INDEX(BJ$7:BJ$106,$AI56),1),IF($AJ56&gt;0,INDEX(BJ$7:BJ$106,$AJ56),1))))</ns0:f>
        <ns0:v>1</ns0:v>
      </ns0:c>
      <ns0:c r="BL56" t="n">
        <ns0:f>IF($A56="",1,IF(BK56=1,1,--AND(IF($AC56&gt;0,INDEX(BK$7:BK$106,$AC56),1),IF($AD56&gt;0,INDEX(BK$7:BK$106,$AD56),1),IF($AE56&gt;0,INDEX(BK$7:BK$106,$AE56),1),IF($AF56&gt;0,INDEX(BK$7:BK$106,$AF56),1),IF($AG56&gt;0,INDEX(BK$7:BK$106,$AG56),1),IF($AH56&gt;0,INDEX(BK$7:BK$106,$AH56),1),IF($AI56&gt;0,INDEX(BK$7:BK$106,$AI56),1),IF($AJ56&gt;0,INDEX(BK$7:BK$106,$AJ56),1))))</ns0:f>
        <ns0:v>1</ns0:v>
      </ns0:c>
      <ns0:c r="BM56" t="n">
        <ns0:f>IF($A56="",1,IF(BL56=1,1,--AND(IF($AC56&gt;0,INDEX(BL$7:BL$106,$AC56),1),IF($AD56&gt;0,INDEX(BL$7:BL$106,$AD56),1),IF($AE56&gt;0,INDEX(BL$7:BL$106,$AE56),1),IF($AF56&gt;0,INDEX(BL$7:BL$106,$AF56),1),IF($AG56&gt;0,INDEX(BL$7:BL$106,$AG56),1),IF($AH56&gt;0,INDEX(BL$7:BL$106,$AH56),1),IF($AI56&gt;0,INDEX(BL$7:BL$106,$AI56),1),IF($AJ56&gt;0,INDEX(BL$7:BL$106,$AJ56),1))))</ns0:f>
        <ns0:v>1</ns0:v>
      </ns0:c>
      <ns0:c r="BN56" t="n">
        <ns0:f>IF($A56="",1,IF(BM56=1,1,--AND(IF($AC56&gt;0,INDEX(BM$7:BM$106,$AC56),1),IF($AD56&gt;0,INDEX(BM$7:BM$106,$AD56),1),IF($AE56&gt;0,INDEX(BM$7:BM$106,$AE56),1),IF($AF56&gt;0,INDEX(BM$7:BM$106,$AF56),1),IF($AG56&gt;0,INDEX(BM$7:BM$106,$AG56),1),IF($AH56&gt;0,INDEX(BM$7:BM$106,$AH56),1),IF($AI56&gt;0,INDEX(BM$7:BM$106,$AI56),1),IF($AJ56&gt;0,INDEX(BM$7:BM$106,$AJ56),1))))</ns0:f>
        <ns0:v>1</ns0:v>
      </ns0:c>
      <ns0:c r="BO56" t="n">
        <ns0:f>IF($A56="",1,IF(BN56=1,1,--AND(IF($AC56&gt;0,INDEX(BN$7:BN$106,$AC56),1),IF($AD56&gt;0,INDEX(BN$7:BN$106,$AD56),1),IF($AE56&gt;0,INDEX(BN$7:BN$106,$AE56),1),IF($AF56&gt;0,INDEX(BN$7:BN$106,$AF56),1),IF($AG56&gt;0,INDEX(BN$7:BN$106,$AG56),1),IF($AH56&gt;0,INDEX(BN$7:BN$106,$AH56),1),IF($AI56&gt;0,INDEX(BN$7:BN$106,$AI56),1),IF($AJ56&gt;0,INDEX(BN$7:BN$106,$AJ56),1))))</ns0:f>
        <ns0:v>1</ns0:v>
      </ns0:c>
      <ns0:c r="BP56" t="n">
        <ns0:f>IF($A56="",1,IF(BO56=1,1,--AND(IF($AC56&gt;0,INDEX(BO$7:BO$106,$AC56),1),IF($AD56&gt;0,INDEX(BO$7:BO$106,$AD56),1),IF($AE56&gt;0,INDEX(BO$7:BO$106,$AE56),1),IF($AF56&gt;0,INDEX(BO$7:BO$106,$AF56),1),IF($AG56&gt;0,INDEX(BO$7:BO$106,$AG56),1),IF($AH56&gt;0,INDEX(BO$7:BO$106,$AH56),1),IF($AI56&gt;0,INDEX(BO$7:BO$106,$AI56),1),IF($AJ56&gt;0,INDEX(BO$7:BO$106,$AJ56),1))))</ns0:f>
        <ns0:v>1</ns0:v>
      </ns0:c>
      <ns0:c r="BQ56" t="n">
        <ns0:f>IF($A56="",1,IF(BP56=1,1,--AND(IF($AC56&gt;0,INDEX(BP$7:BP$106,$AC56),1),IF($AD56&gt;0,INDEX(BP$7:BP$106,$AD56),1),IF($AE56&gt;0,INDEX(BP$7:BP$106,$AE56),1),IF($AF56&gt;0,INDEX(BP$7:BP$106,$AF56),1),IF($AG56&gt;0,INDEX(BP$7:BP$106,$AG56),1),IF($AH56&gt;0,INDEX(BP$7:BP$106,$AH56),1),IF($AI56&gt;0,INDEX(BP$7:BP$106,$AI56),1),IF($AJ56&gt;0,INDEX(BP$7:BP$106,$AJ56),1))))</ns0:f>
        <ns0:v>1</ns0:v>
      </ns0:c>
      <ns0:c r="BR56" t="n">
        <ns0:f>IF($A56="",1,IF(BQ56=1,1,--AND(IF($AC56&gt;0,INDEX(BQ$7:BQ$106,$AC56),1),IF($AD56&gt;0,INDEX(BQ$7:BQ$106,$AD56),1),IF($AE56&gt;0,INDEX(BQ$7:BQ$106,$AE56),1),IF($AF56&gt;0,INDEX(BQ$7:BQ$106,$AF56),1),IF($AG56&gt;0,INDEX(BQ$7:BQ$106,$AG56),1),IF($AH56&gt;0,INDEX(BQ$7:BQ$106,$AH56),1),IF($AI56&gt;0,INDEX(BQ$7:BQ$106,$AI56),1),IF($AJ56&gt;0,INDEX(BQ$7:BQ$106,$AJ56),1))))</ns0:f>
        <ns0:v>1</ns0:v>
      </ns0:c>
      <ns0:c r="BS56" t="n">
        <ns0:f>IF($A56="",1,IF(BR56=1,1,--AND(IF($AC56&gt;0,INDEX(BR$7:BR$106,$AC56),1),IF($AD56&gt;0,INDEX(BR$7:BR$106,$AD56),1),IF($AE56&gt;0,INDEX(BR$7:BR$106,$AE56),1),IF($AF56&gt;0,INDEX(BR$7:BR$106,$AF56),1),IF($AG56&gt;0,INDEX(BR$7:BR$106,$AG56),1),IF($AH56&gt;0,INDEX(BR$7:BR$106,$AH56),1),IF($AI56&gt;0,INDEX(BR$7:BR$106,$AI56),1),IF($AJ56&gt;0,INDEX(BR$7:BR$106,$AJ56),1))))</ns0:f>
        <ns0:v>1</ns0:v>
      </ns0:c>
      <ns0:c r="BT56" t="n">
        <ns0:f>IF($A56="",1,IF(BS56=1,1,--AND(IF($AC56&gt;0,INDEX(BS$7:BS$106,$AC56),1),IF($AD56&gt;0,INDEX(BS$7:BS$106,$AD56),1),IF($AE56&gt;0,INDEX(BS$7:BS$106,$AE56),1),IF($AF56&gt;0,INDEX(BS$7:BS$106,$AF56),1),IF($AG56&gt;0,INDEX(BS$7:BS$106,$AG56),1),IF($AH56&gt;0,INDEX(BS$7:BS$106,$AH56),1),IF($AI56&gt;0,INDEX(BS$7:BS$106,$AI56),1),IF($AJ56&gt;0,INDEX(BS$7:BS$106,$AJ56),1))))</ns0:f>
        <ns0:v>1</ns0:v>
      </ns0:c>
      <ns0:c r="BU56" t="n">
        <ns0:f>IF($A56="",1,IF(BT56=1,1,--AND(IF($AC56&gt;0,INDEX(BT$7:BT$106,$AC56),1),IF($AD56&gt;0,INDEX(BT$7:BT$106,$AD56),1),IF($AE56&gt;0,INDEX(BT$7:BT$106,$AE56),1),IF($AF56&gt;0,INDEX(BT$7:BT$106,$AF56),1),IF($AG56&gt;0,INDEX(BT$7:BT$106,$AG56),1),IF($AH56&gt;0,INDEX(BT$7:BT$106,$AH56),1),IF($AI56&gt;0,INDEX(BT$7:BT$106,$AI56),1),IF($AJ56&gt;0,INDEX(BT$7:BT$106,$AJ56),1))))</ns0:f>
        <ns0:v>1</ns0:v>
      </ns0:c>
      <ns0:c r="BV56" t="n">
        <ns0:f>IF($A56="",1,IF(BU56=1,1,--AND(IF($AC56&gt;0,INDEX(BU$7:BU$106,$AC56),1),IF($AD56&gt;0,INDEX(BU$7:BU$106,$AD56),1),IF($AE56&gt;0,INDEX(BU$7:BU$106,$AE56),1),IF($AF56&gt;0,INDEX(BU$7:BU$106,$AF56),1),IF($AG56&gt;0,INDEX(BU$7:BU$106,$AG56),1),IF($AH56&gt;0,INDEX(BU$7:BU$106,$AH56),1),IF($AI56&gt;0,INDEX(BU$7:BU$106,$AI56),1),IF($AJ56&gt;0,INDEX(BU$7:BU$106,$AJ56),1))))</ns0:f>
        <ns0:v>1</ns0:v>
      </ns0:c>
      <ns0:c r="BW56" t="n">
        <ns0:f>IF($A56="",1,IF(BV56=1,1,--AND(IF($AC56&gt;0,INDEX(BV$7:BV$106,$AC56),1),IF($AD56&gt;0,INDEX(BV$7:BV$106,$AD56),1),IF($AE56&gt;0,INDEX(BV$7:BV$106,$AE56),1),IF($AF56&gt;0,INDEX(BV$7:BV$106,$AF56),1),IF($AG56&gt;0,INDEX(BV$7:BV$106,$AG56),1),IF($AH56&gt;0,INDEX(BV$7:BV$106,$AH56),1),IF($AI56&gt;0,INDEX(BV$7:BV$106,$AI56),1),IF($AJ56&gt;0,INDEX(BV$7:BV$106,$AJ56),1))))</ns0:f>
        <ns0:v>1</ns0:v>
      </ns0:c>
      <ns0:c r="BX56" t="n">
        <ns0:f>IF($A56="",1,IF(BW56=1,1,--AND(IF($AC56&gt;0,INDEX(BW$7:BW$106,$AC56),1),IF($AD56&gt;0,INDEX(BW$7:BW$106,$AD56),1),IF($AE56&gt;0,INDEX(BW$7:BW$106,$AE56),1),IF($AF56&gt;0,INDEX(BW$7:BW$106,$AF56),1),IF($AG56&gt;0,INDEX(BW$7:BW$106,$AG56),1),IF($AH56&gt;0,INDEX(BW$7:BW$106,$AH56),1),IF($AI56&gt;0,INDEX(BW$7:BW$106,$AI56),1),IF($AJ56&gt;0,INDEX(BW$7:BW$106,$AJ56),1))))</ns0:f>
        <ns0:v>1</ns0:v>
      </ns0:c>
      <ns0:c r="BY56" t="n">
        <ns0:f>IF($A56="",1,IF(BX56=1,1,--AND(IF($AC56&gt;0,INDEX(BX$7:BX$106,$AC56),1),IF($AD56&gt;0,INDEX(BX$7:BX$106,$AD56),1),IF($AE56&gt;0,INDEX(BX$7:BX$106,$AE56),1),IF($AF56&gt;0,INDEX(BX$7:BX$106,$AF56),1),IF($AG56&gt;0,INDEX(BX$7:BX$106,$AG56),1),IF($AH56&gt;0,INDEX(BX$7:BX$106,$AH56),1),IF($AI56&gt;0,INDEX(BX$7:BX$106,$AI56),1),IF($AJ56&gt;0,INDEX(BX$7:BX$106,$AJ56),1))))</ns0:f>
        <ns0:v>1</ns0:v>
      </ns0:c>
      <ns0:c r="BZ56" t="n">
        <ns0:f>IF($A56="",1,IF(BY56=1,1,--AND(IF($AC56&gt;0,INDEX(BY$7:BY$106,$AC56),1),IF($AD56&gt;0,INDEX(BY$7:BY$106,$AD56),1),IF($AE56&gt;0,INDEX(BY$7:BY$106,$AE56),1),IF($AF56&gt;0,INDEX(BY$7:BY$106,$AF56),1),IF($AG56&gt;0,INDEX(BY$7:BY$106,$AG56),1),IF($AH56&gt;0,INDEX(BY$7:BY$106,$AH56),1),IF($AI56&gt;0,INDEX(BY$7:BY$106,$AI56),1),IF($AJ56&gt;0,INDEX(BY$7:BY$106,$AJ56),1))))</ns0:f>
        <ns0:v>1</ns0:v>
      </ns0:c>
      <ns0:c r="CA56" t="n">
        <ns0:f>IF($A56="",1,IF(BZ56=1,1,--AND(IF($AC56&gt;0,INDEX(BZ$7:BZ$106,$AC56),1),IF($AD56&gt;0,INDEX(BZ$7:BZ$106,$AD56),1),IF($AE56&gt;0,INDEX(BZ$7:BZ$106,$AE56),1),IF($AF56&gt;0,INDEX(BZ$7:BZ$106,$AF56),1),IF($AG56&gt;0,INDEX(BZ$7:BZ$106,$AG56),1),IF($AH56&gt;0,INDEX(BZ$7:BZ$106,$AH56),1),IF($AI56&gt;0,INDEX(BZ$7:BZ$106,$AI56),1),IF($AJ56&gt;0,INDEX(BZ$7:BZ$106,$AJ56),1))))</ns0:f>
        <ns0:v>1</ns0:v>
      </ns0:c>
      <ns0:c r="CB56" t="n">
        <ns0:f>IF($A56="",1,IF(CA56=1,1,--AND(IF($AC56&gt;0,INDEX(CA$7:CA$106,$AC56),1),IF($AD56&gt;0,INDEX(CA$7:CA$106,$AD56),1),IF($AE56&gt;0,INDEX(CA$7:CA$106,$AE56),1),IF($AF56&gt;0,INDEX(CA$7:CA$106,$AF56),1),IF($AG56&gt;0,INDEX(CA$7:CA$106,$AG56),1),IF($AH56&gt;0,INDEX(CA$7:CA$106,$AH56),1),IF($AI56&gt;0,INDEX(CA$7:CA$106,$AI56),1),IF($AJ56&gt;0,INDEX(CA$7:CA$106,$AJ56),1))))</ns0:f>
        <ns0:v>1</ns0:v>
      </ns0:c>
      <ns0:c r="CC56" t="n">
        <ns0:f>IF($A56="",1,IF(CB56=1,1,--AND(IF($AC56&gt;0,INDEX(CB$7:CB$106,$AC56),1),IF($AD56&gt;0,INDEX(CB$7:CB$106,$AD56),1),IF($AE56&gt;0,INDEX(CB$7:CB$106,$AE56),1),IF($AF56&gt;0,INDEX(CB$7:CB$106,$AF56),1),IF($AG56&gt;0,INDEX(CB$7:CB$106,$AG56),1),IF($AH56&gt;0,INDEX(CB$7:CB$106,$AH56),1),IF($AI56&gt;0,INDEX(CB$7:CB$106,$AI56),1),IF($AJ56&gt;0,INDEX(CB$7:CB$106,$AJ56),1))))</ns0:f>
        <ns0:v>1</ns0:v>
      </ns0:c>
      <ns0:c r="CD56" t="n">
        <ns0:f>IF($A56="",1,IF(CC56=1,1,--AND(IF($AC56&gt;0,INDEX(CC$7:CC$106,$AC56),1),IF($AD56&gt;0,INDEX(CC$7:CC$106,$AD56),1),IF($AE56&gt;0,INDEX(CC$7:CC$106,$AE56),1),IF($AF56&gt;0,INDEX(CC$7:CC$106,$AF56),1),IF($AG56&gt;0,INDEX(CC$7:CC$106,$AG56),1),IF($AH56&gt;0,INDEX(CC$7:CC$106,$AH56),1),IF($AI56&gt;0,INDEX(CC$7:CC$106,$AI56),1),IF($AJ56&gt;0,INDEX(CC$7:CC$106,$AJ56),1))))</ns0:f>
        <ns0:v>1</ns0:v>
      </ns0:c>
      <ns0:c r="CE56" t="n">
        <ns0:f>IF($A56="",1,IF(CD56=1,1,--AND(IF($AC56&gt;0,INDEX(CD$7:CD$106,$AC56),1),IF($AD56&gt;0,INDEX(CD$7:CD$106,$AD56),1),IF($AE56&gt;0,INDEX(CD$7:CD$106,$AE56),1),IF($AF56&gt;0,INDEX(CD$7:CD$106,$AF56),1),IF($AG56&gt;0,INDEX(CD$7:CD$106,$AG56),1),IF($AH56&gt;0,INDEX(CD$7:CD$106,$AH56),1),IF($AI56&gt;0,INDEX(CD$7:CD$106,$AI56),1),IF($AJ56&gt;0,INDEX(CD$7:CD$106,$AJ56),1))))</ns0:f>
        <ns0:v>1</ns0:v>
      </ns0:c>
      <ns0:c r="CF56" t="n">
        <ns0:f>IF($A56="",1,IF(CE56=1,1,--AND(IF($AC56&gt;0,INDEX(CE$7:CE$106,$AC56),1),IF($AD56&gt;0,INDEX(CE$7:CE$106,$AD56),1),IF($AE56&gt;0,INDEX(CE$7:CE$106,$AE56),1),IF($AF56&gt;0,INDEX(CE$7:CE$106,$AF56),1),IF($AG56&gt;0,INDEX(CE$7:CE$106,$AG56),1),IF($AH56&gt;0,INDEX(CE$7:CE$106,$AH56),1),IF($AI56&gt;0,INDEX(CE$7:CE$106,$AI56),1),IF($AJ56&gt;0,INDEX(CE$7:CE$106,$AJ56),1))))</ns0:f>
        <ns0:v>1</ns0:v>
      </ns0:c>
      <ns0:c r="CG56" t="n">
        <ns0:f>IF($A56="",1,IF(CF56=1,1,--AND(IF($AC56&gt;0,INDEX(CF$7:CF$106,$AC56),1),IF($AD56&gt;0,INDEX(CF$7:CF$106,$AD56),1),IF($AE56&gt;0,INDEX(CF$7:CF$106,$AE56),1),IF($AF56&gt;0,INDEX(CF$7:CF$106,$AF56),1),IF($AG56&gt;0,INDEX(CF$7:CF$106,$AG56),1),IF($AH56&gt;0,INDEX(CF$7:CF$106,$AH56),1),IF($AI56&gt;0,INDEX(CF$7:CF$106,$AI56),1),IF($AJ56&gt;0,INDEX(CF$7:CF$106,$AJ56),1))))</ns0:f>
        <ns0:v>1</ns0:v>
      </ns0:c>
      <ns0:c r="CH56" t="n">
        <ns0:f>IF($A56="",1,IF(CG56=1,1,--AND(IF($AC56&gt;0,INDEX(CG$7:CG$106,$AC56),1),IF($AD56&gt;0,INDEX(CG$7:CG$106,$AD56),1),IF($AE56&gt;0,INDEX(CG$7:CG$106,$AE56),1),IF($AF56&gt;0,INDEX(CG$7:CG$106,$AF56),1),IF($AG56&gt;0,INDEX(CG$7:CG$106,$AG56),1),IF($AH56&gt;0,INDEX(CG$7:CG$106,$AH56),1),IF($AI56&gt;0,INDEX(CG$7:CG$106,$AI56),1),IF($AJ56&gt;0,INDEX(CG$7:CG$106,$AJ56),1))))</ns0:f>
        <ns0:v>1</ns0:v>
      </ns0:c>
      <ns0:c r="CI56" t="n">
        <ns0:f>IF($A56="",1,IF(CH56=1,1,--AND(IF($AC56&gt;0,INDEX(CH$7:CH$106,$AC56),1),IF($AD56&gt;0,INDEX(CH$7:CH$106,$AD56),1),IF($AE56&gt;0,INDEX(CH$7:CH$106,$AE56),1),IF($AF56&gt;0,INDEX(CH$7:CH$106,$AF56),1),IF($AG56&gt;0,INDEX(CH$7:CH$106,$AG56),1),IF($AH56&gt;0,INDEX(CH$7:CH$106,$AH56),1),IF($AI56&gt;0,INDEX(CH$7:CH$106,$AI56),1),IF($AJ56&gt;0,INDEX(CH$7:CH$106,$AJ56),1))))</ns0:f>
        <ns0:v>1</ns0:v>
      </ns0:c>
      <ns0:c r="CJ56" t="n">
        <ns0:f>IF($A56="",1,IF(CI56=1,1,--AND(IF($AC56&gt;0,INDEX(CI$7:CI$106,$AC56),1),IF($AD56&gt;0,INDEX(CI$7:CI$106,$AD56),1),IF($AE56&gt;0,INDEX(CI$7:CI$106,$AE56),1),IF($AF56&gt;0,INDEX(CI$7:CI$106,$AF56),1),IF($AG56&gt;0,INDEX(CI$7:CI$106,$AG56),1),IF($AH56&gt;0,INDEX(CI$7:CI$106,$AH56),1),IF($AI56&gt;0,INDEX(CI$7:CI$106,$AI56),1),IF($AJ56&gt;0,INDEX(CI$7:CI$106,$AJ56),1))))</ns0:f>
        <ns0:v>1</ns0:v>
      </ns0:c>
      <ns0:c r="CK56" t="n">
        <ns0:f>IF($A56="",1,IF(CJ56=1,1,--AND(IF($AC56&gt;0,INDEX(CJ$7:CJ$106,$AC56),1),IF($AD56&gt;0,INDEX(CJ$7:CJ$106,$AD56),1),IF($AE56&gt;0,INDEX(CJ$7:CJ$106,$AE56),1),IF($AF56&gt;0,INDEX(CJ$7:CJ$106,$AF56),1),IF($AG56&gt;0,INDEX(CJ$7:CJ$106,$AG56),1),IF($AH56&gt;0,INDEX(CJ$7:CJ$106,$AH56),1),IF($AI56&gt;0,INDEX(CJ$7:CJ$106,$AI56),1),IF($AJ56&gt;0,INDEX(CJ$7:CJ$106,$AJ56),1))))</ns0:f>
        <ns0:v>1</ns0:v>
      </ns0:c>
      <ns0:c r="CL56" t="n">
        <ns0:f>IF($A56="",1,IF(CK56=1,1,--AND(IF($AC56&gt;0,INDEX(CK$7:CK$106,$AC56),1),IF($AD56&gt;0,INDEX(CK$7:CK$106,$AD56),1),IF($AE56&gt;0,INDEX(CK$7:CK$106,$AE56),1),IF($AF56&gt;0,INDEX(CK$7:CK$106,$AF56),1),IF($AG56&gt;0,INDEX(CK$7:CK$106,$AG56),1),IF($AH56&gt;0,INDEX(CK$7:CK$106,$AH56),1),IF($AI56&gt;0,INDEX(CK$7:CK$106,$AI56),1),IF($AJ56&gt;0,INDEX(CK$7:CK$106,$AJ56),1))))</ns0:f>
        <ns0:v>1</ns0:v>
      </ns0:c>
      <ns0:c r="CM56" t="n">
        <ns0:f>IF($A56="",1,IF(CL56=1,1,--AND(IF($AC56&gt;0,INDEX(CL$7:CL$106,$AC56),1),IF($AD56&gt;0,INDEX(CL$7:CL$106,$AD56),1),IF($AE56&gt;0,INDEX(CL$7:CL$106,$AE56),1),IF($AF56&gt;0,INDEX(CL$7:CL$106,$AF56),1),IF($AG56&gt;0,INDEX(CL$7:CL$106,$AG56),1),IF($AH56&gt;0,INDEX(CL$7:CL$106,$AH56),1),IF($AI56&gt;0,INDEX(CL$7:CL$106,$AI56),1),IF($AJ56&gt;0,INDEX(CL$7:CL$106,$AJ56),1))))</ns0:f>
        <ns0:v>1</ns0:v>
      </ns0:c>
      <ns0:c r="CN56" t="n">
        <ns0:f>IF($A56="",1,IF(CM56=1,1,--AND(IF($AC56&gt;0,INDEX(CM$7:CM$106,$AC56),1),IF($AD56&gt;0,INDEX(CM$7:CM$106,$AD56),1),IF($AE56&gt;0,INDEX(CM$7:CM$106,$AE56),1),IF($AF56&gt;0,INDEX(CM$7:CM$106,$AF56),1),IF($AG56&gt;0,INDEX(CM$7:CM$106,$AG56),1),IF($AH56&gt;0,INDEX(CM$7:CM$106,$AH56),1),IF($AI56&gt;0,INDEX(CM$7:CM$106,$AI56),1),IF($AJ56&gt;0,INDEX(CM$7:CM$106,$AJ56),1))))</ns0:f>
        <ns0:v>1</ns0:v>
      </ns0:c>
      <ns0:c r="CO56" t="n">
        <ns0:f>IF($A56="",1,IF(CN56=1,1,--AND(IF($AC56&gt;0,INDEX(CN$7:CN$106,$AC56),1),IF($AD56&gt;0,INDEX(CN$7:CN$106,$AD56),1),IF($AE56&gt;0,INDEX(CN$7:CN$106,$AE56),1),IF($AF56&gt;0,INDEX(CN$7:CN$106,$AF56),1),IF($AG56&gt;0,INDEX(CN$7:CN$106,$AG56),1),IF($AH56&gt;0,INDEX(CN$7:CN$106,$AH56),1),IF($AI56&gt;0,INDEX(CN$7:CN$106,$AI56),1),IF($AJ56&gt;0,INDEX(CN$7:CN$106,$AJ56),1))))</ns0:f>
        <ns0:v>1</ns0:v>
      </ns0:c>
      <ns0:c r="CP56" t="n">
        <ns0:f>IF($A56="",1,IF(CO56=1,1,--AND(IF($AC56&gt;0,INDEX(CO$7:CO$106,$AC56),1),IF($AD56&gt;0,INDEX(CO$7:CO$106,$AD56),1),IF($AE56&gt;0,INDEX(CO$7:CO$106,$AE56),1),IF($AF56&gt;0,INDEX(CO$7:CO$106,$AF56),1),IF($AG56&gt;0,INDEX(CO$7:CO$106,$AG56),1),IF($AH56&gt;0,INDEX(CO$7:CO$106,$AH56),1),IF($AI56&gt;0,INDEX(CO$7:CO$106,$AI56),1),IF($AJ56&gt;0,INDEX(CO$7:CO$106,$AJ56),1))))</ns0:f>
        <ns0:v>1</ns0:v>
      </ns0:c>
      <ns0:c r="CQ56" t="n">
        <ns0:f>IF($A56="",1,IF(CP56=1,1,--AND(IF($AC56&gt;0,INDEX(CP$7:CP$106,$AC56),1),IF($AD56&gt;0,INDEX(CP$7:CP$106,$AD56),1),IF($AE56&gt;0,INDEX(CP$7:CP$106,$AE56),1),IF($AF56&gt;0,INDEX(CP$7:CP$106,$AF56),1),IF($AG56&gt;0,INDEX(CP$7:CP$106,$AG56),1),IF($AH56&gt;0,INDEX(CP$7:CP$106,$AH56),1),IF($AI56&gt;0,INDEX(CP$7:CP$106,$AI56),1),IF($AJ56&gt;0,INDEX(CP$7:CP$106,$AJ56),1))))</ns0:f>
        <ns0:v>1</ns0:v>
      </ns0:c>
      <ns0:c r="CR56" t="n">
        <ns0:f>IF($A56="",1,IF(CQ56=1,1,--AND(IF($AC56&gt;0,INDEX(CQ$7:CQ$106,$AC56),1),IF($AD56&gt;0,INDEX(CQ$7:CQ$106,$AD56),1),IF($AE56&gt;0,INDEX(CQ$7:CQ$106,$AE56),1),IF($AF56&gt;0,INDEX(CQ$7:CQ$106,$AF56),1),IF($AG56&gt;0,INDEX(CQ$7:CQ$106,$AG56),1),IF($AH56&gt;0,INDEX(CQ$7:CQ$106,$AH56),1),IF($AI56&gt;0,INDEX(CQ$7:CQ$106,$AI56),1),IF($AJ56&gt;0,INDEX(CQ$7:CQ$106,$AJ56),1))))</ns0:f>
        <ns0:v>1</ns0:v>
      </ns0:c>
      <ns0:c r="CS56" t="n">
        <ns0:f>IF($A56="",1,IF(CR56=1,1,--AND(IF($AC56&gt;0,INDEX(CR$7:CR$106,$AC56),1),IF($AD56&gt;0,INDEX(CR$7:CR$106,$AD56),1),IF($AE56&gt;0,INDEX(CR$7:CR$106,$AE56),1),IF($AF56&gt;0,INDEX(CR$7:CR$106,$AF56),1),IF($AG56&gt;0,INDEX(CR$7:CR$106,$AG56),1),IF($AH56&gt;0,INDEX(CR$7:CR$106,$AH56),1),IF($AI56&gt;0,INDEX(CR$7:CR$106,$AI56),1),IF($AJ56&gt;0,INDEX(CR$7:CR$106,$AJ56),1))))</ns0:f>
        <ns0:v>1</ns0:v>
      </ns0:c>
      <ns0:c r="CT56" t="n">
        <ns0:f>IF($A56="",1,IF(CS56=1,1,--AND(IF($AC56&gt;0,INDEX(CS$7:CS$106,$AC56),1),IF($AD56&gt;0,INDEX(CS$7:CS$106,$AD56),1),IF($AE56&gt;0,INDEX(CS$7:CS$106,$AE56),1),IF($AF56&gt;0,INDEX(CS$7:CS$106,$AF56),1),IF($AG56&gt;0,INDEX(CS$7:CS$106,$AG56),1),IF($AH56&gt;0,INDEX(CS$7:CS$106,$AH56),1),IF($AI56&gt;0,INDEX(CS$7:CS$106,$AI56),1),IF($AJ56&gt;0,INDEX(CS$7:CS$106,$AJ56),1))))</ns0:f>
        <ns0:v>1</ns0:v>
      </ns0:c>
      <ns0:c r="CU56" t="n">
        <ns0:f>IF($A56="",1,IF(CT56=1,1,--AND(IF($AC56&gt;0,INDEX(CT$7:CT$106,$AC56),1),IF($AD56&gt;0,INDEX(CT$7:CT$106,$AD56),1),IF($AE56&gt;0,INDEX(CT$7:CT$106,$AE56),1),IF($AF56&gt;0,INDEX(CT$7:CT$106,$AF56),1),IF($AG56&gt;0,INDEX(CT$7:CT$106,$AG56),1),IF($AH56&gt;0,INDEX(CT$7:CT$106,$AH56),1),IF($AI56&gt;0,INDEX(CT$7:CT$106,$AI56),1),IF($AJ56&gt;0,INDEX(CT$7:CT$106,$AJ56),1))))</ns0:f>
        <ns0:v>1</ns0:v>
      </ns0:c>
      <ns0:c r="CV56" t="n">
        <ns0:f>IF($A56="",1,IF(CU56=1,1,--AND(IF($AC56&gt;0,INDEX(CU$7:CU$106,$AC56),1),IF($AD56&gt;0,INDEX(CU$7:CU$106,$AD56),1),IF($AE56&gt;0,INDEX(CU$7:CU$106,$AE56),1),IF($AF56&gt;0,INDEX(CU$7:CU$106,$AF56),1),IF($AG56&gt;0,INDEX(CU$7:CU$106,$AG56),1),IF($AH56&gt;0,INDEX(CU$7:CU$106,$AH56),1),IF($AI56&gt;0,INDEX(CU$7:CU$106,$AI56),1),IF($AJ56&gt;0,INDEX(CU$7:CU$106,$AJ56),1))))</ns0:f>
        <ns0:v>1</ns0:v>
      </ns0:c>
      <ns0:c r="CW56" t="n">
        <ns0:f>IF($A56="",1,IF(CV56=1,1,--AND(IF($AC56&gt;0,INDEX(CV$7:CV$106,$AC56),1),IF($AD56&gt;0,INDEX(CV$7:CV$106,$AD56),1),IF($AE56&gt;0,INDEX(CV$7:CV$106,$AE56),1),IF($AF56&gt;0,INDEX(CV$7:CV$106,$AF56),1),IF($AG56&gt;0,INDEX(CV$7:CV$106,$AG56),1),IF($AH56&gt;0,INDEX(CV$7:CV$106,$AH56),1),IF($AI56&gt;0,INDEX(CV$7:CV$106,$AI56),1),IF($AJ56&gt;0,INDEX(CV$7:CV$106,$AJ56),1))))</ns0:f>
        <ns0:v>1</ns0:v>
      </ns0:c>
      <ns0:c r="CX56" t="n">
        <ns0:f>IF($A56="",1,IF(CW56=1,1,--AND(IF($AC56&gt;0,INDEX(CW$7:CW$106,$AC56),1),IF($AD56&gt;0,INDEX(CW$7:CW$106,$AD56),1),IF($AE56&gt;0,INDEX(CW$7:CW$106,$AE56),1),IF($AF56&gt;0,INDEX(CW$7:CW$106,$AF56),1),IF($AG56&gt;0,INDEX(CW$7:CW$106,$AG56),1),IF($AH56&gt;0,INDEX(CW$7:CW$106,$AH56),1),IF($AI56&gt;0,INDEX(CW$7:CW$106,$AI56),1),IF($AJ56&gt;0,INDEX(CW$7:CW$106,$AJ56),1))))</ns0:f>
        <ns0:v>1</ns0:v>
      </ns0:c>
      <ns0:c r="CY56" t="n">
        <ns0:f>IF($A56="",1,IF(CX56=1,1,--AND(IF($AC56&gt;0,INDEX(CX$7:CX$106,$AC56),1),IF($AD56&gt;0,INDEX(CX$7:CX$106,$AD56),1),IF($AE56&gt;0,INDEX(CX$7:CX$106,$AE56),1),IF($AF56&gt;0,INDEX(CX$7:CX$106,$AF56),1),IF($AG56&gt;0,INDEX(CX$7:CX$106,$AG56),1),IF($AH56&gt;0,INDEX(CX$7:CX$106,$AH56),1),IF($AI56&gt;0,INDEX(CX$7:CX$106,$AI56),1),IF($AJ56&gt;0,INDEX(CX$7:CX$106,$AJ56),1))))</ns0:f>
        <ns0:v>1</ns0:v>
      </ns0:c>
      <ns0:c r="CZ56" t="n">
        <ns0:f>IF($A56="",1,IF(CY56=1,1,--AND(IF($AC56&gt;0,INDEX(CY$7:CY$106,$AC56),1),IF($AD56&gt;0,INDEX(CY$7:CY$106,$AD56),1),IF($AE56&gt;0,INDEX(CY$7:CY$106,$AE56),1),IF($AF56&gt;0,INDEX(CY$7:CY$106,$AF56),1),IF($AG56&gt;0,INDEX(CY$7:CY$106,$AG56),1),IF($AH56&gt;0,INDEX(CY$7:CY$106,$AH56),1),IF($AI56&gt;0,INDEX(CY$7:CY$106,$AI56),1),IF($AJ56&gt;0,INDEX(CY$7:CY$106,$AJ56),1))))</ns0:f>
        <ns0:v>1</ns0:v>
      </ns0:c>
      <ns0:c r="DA56" t="n">
        <ns0:f>IF($A56="",1,IF(CZ56=1,1,--AND(IF($AC56&gt;0,INDEX(CZ$7:CZ$106,$AC56),1),IF($AD56&gt;0,INDEX(CZ$7:CZ$106,$AD56),1),IF($AE56&gt;0,INDEX(CZ$7:CZ$106,$AE56),1),IF($AF56&gt;0,INDEX(CZ$7:CZ$106,$AF56),1),IF($AG56&gt;0,INDEX(CZ$7:CZ$106,$AG56),1),IF($AH56&gt;0,INDEX(CZ$7:CZ$106,$AH56),1),IF($AI56&gt;0,INDEX(CZ$7:CZ$106,$AI56),1),IF($AJ56&gt;0,INDEX(CZ$7:CZ$106,$AJ56),1))))</ns0:f>
        <ns0:v>1</ns0:v>
      </ns0:c>
      <ns0:c r="DB56" t="n">
        <ns0:f>IF($A56="",1,IF(DA56=1,1,--AND(IF($AC56&gt;0,INDEX(DA$7:DA$106,$AC56),1),IF($AD56&gt;0,INDEX(DA$7:DA$106,$AD56),1),IF($AE56&gt;0,INDEX(DA$7:DA$106,$AE56),1),IF($AF56&gt;0,INDEX(DA$7:DA$106,$AF56),1),IF($AG56&gt;0,INDEX(DA$7:DA$106,$AG56),1),IF($AH56&gt;0,INDEX(DA$7:DA$106,$AH56),1),IF($AI56&gt;0,INDEX(DA$7:DA$106,$AI56),1),IF($AJ56&gt;0,INDEX(DA$7:DA$106,$AJ56),1))))</ns0:f>
        <ns0:v>1</ns0:v>
      </ns0:c>
      <ns0:c r="DC56" t="n">
        <ns0:f>IF($A56="",1,IF(DB56=1,1,--AND(IF($AC56&gt;0,INDEX(DB$7:DB$106,$AC56),1),IF($AD56&gt;0,INDEX(DB$7:DB$106,$AD56),1),IF($AE56&gt;0,INDEX(DB$7:DB$106,$AE56),1),IF($AF56&gt;0,INDEX(DB$7:DB$106,$AF56),1),IF($AG56&gt;0,INDEX(DB$7:DB$106,$AG56),1),IF($AH56&gt;0,INDEX(DB$7:DB$106,$AH56),1),IF($AI56&gt;0,INDEX(DB$7:DB$106,$AI56),1),IF($AJ56&gt;0,INDEX(DB$7:DB$106,$AJ56),1))))</ns0:f>
        <ns0:v>1</ns0:v>
      </ns0:c>
      <ns0:c r="DD56" t="n">
        <ns0:f>IF($A56="",1,IF(DC56=1,1,--AND(IF($AC56&gt;0,INDEX(DC$7:DC$106,$AC56),1),IF($AD56&gt;0,INDEX(DC$7:DC$106,$AD56),1),IF($AE56&gt;0,INDEX(DC$7:DC$106,$AE56),1),IF($AF56&gt;0,INDEX(DC$7:DC$106,$AF56),1),IF($AG56&gt;0,INDEX(DC$7:DC$106,$AG56),1),IF($AH56&gt;0,INDEX(DC$7:DC$106,$AH56),1),IF($AI56&gt;0,INDEX(DC$7:DC$106,$AI56),1),IF($AJ56&gt;0,INDEX(DC$7:DC$106,$AJ56),1))))</ns0:f>
        <ns0:v>1</ns0:v>
      </ns0:c>
      <ns0:c r="DE56" t="n">
        <ns0:f>IF($A56="",1,IF(DD56=1,1,--AND(IF($AC56&gt;0,INDEX(DD$7:DD$106,$AC56),1),IF($AD56&gt;0,INDEX(DD$7:DD$106,$AD56),1),IF($AE56&gt;0,INDEX(DD$7:DD$106,$AE56),1),IF($AF56&gt;0,INDEX(DD$7:DD$106,$AF56),1),IF($AG56&gt;0,INDEX(DD$7:DD$106,$AG56),1),IF($AH56&gt;0,INDEX(DD$7:DD$106,$AH56),1),IF($AI56&gt;0,INDEX(DD$7:DD$106,$AI56),1),IF($AJ56&gt;0,INDEX(DD$7:DD$106,$AJ56),1))))</ns0:f>
        <ns0:v>1</ns0:v>
      </ns0:c>
      <ns0:c r="DF56" t="n">
        <ns0:f>IF($A56="",1,IF(DE56=1,1,--AND(IF($AC56&gt;0,INDEX(DE$7:DE$106,$AC56),1),IF($AD56&gt;0,INDEX(DE$7:DE$106,$AD56),1),IF($AE56&gt;0,INDEX(DE$7:DE$106,$AE56),1),IF($AF56&gt;0,INDEX(DE$7:DE$106,$AF56),1),IF($AG56&gt;0,INDEX(DE$7:DE$106,$AG56),1),IF($AH56&gt;0,INDEX(DE$7:DE$106,$AH56),1),IF($AI56&gt;0,INDEX(DE$7:DE$106,$AI56),1),IF($AJ56&gt;0,INDEX(DE$7:DE$106,$AJ56),1))))</ns0:f>
        <ns0:v>1</ns0:v>
      </ns0:c>
      <ns0:c r="DG56" t="n">
        <ns0:f>IF($A56="",1,IF(DF56=1,1,--AND(IF($AC56&gt;0,INDEX(DF$7:DF$106,$AC56),1),IF($AD56&gt;0,INDEX(DF$7:DF$106,$AD56),1),IF($AE56&gt;0,INDEX(DF$7:DF$106,$AE56),1),IF($AF56&gt;0,INDEX(DF$7:DF$106,$AF56),1),IF($AG56&gt;0,INDEX(DF$7:DF$106,$AG56),1),IF($AH56&gt;0,INDEX(DF$7:DF$106,$AH56),1),IF($AI56&gt;0,INDEX(DF$7:DF$106,$AI56),1),IF($AJ56&gt;0,INDEX(DF$7:DF$106,$AJ56),1))))</ns0:f>
        <ns0:v>1</ns0:v>
      </ns0:c>
      <ns0:c r="DH56" t="n">
        <ns0:f>IF($A56="",1,IF(DG56=1,1,--AND(IF($AC56&gt;0,INDEX(DG$7:DG$106,$AC56),1),IF($AD56&gt;0,INDEX(DG$7:DG$106,$AD56),1),IF($AE56&gt;0,INDEX(DG$7:DG$106,$AE56),1),IF($AF56&gt;0,INDEX(DG$7:DG$106,$AF56),1),IF($AG56&gt;0,INDEX(DG$7:DG$106,$AG56),1),IF($AH56&gt;0,INDEX(DG$7:DG$106,$AH56),1),IF($AI56&gt;0,INDEX(DG$7:DG$106,$AI56),1),IF($AJ56&gt;0,INDEX(DG$7:DG$106,$AJ56),1))))</ns0:f>
        <ns0:v>1</ns0:v>
      </ns0:c>
      <ns0:c r="DI56" t="n">
        <ns0:f>IF($A56="",1,IF(DH56=1,1,--AND(IF($AC56&gt;0,INDEX(DH$7:DH$106,$AC56),1),IF($AD56&gt;0,INDEX(DH$7:DH$106,$AD56),1),IF($AE56&gt;0,INDEX(DH$7:DH$106,$AE56),1),IF($AF56&gt;0,INDEX(DH$7:DH$106,$AF56),1),IF($AG56&gt;0,INDEX(DH$7:DH$106,$AG56),1),IF($AH56&gt;0,INDEX(DH$7:DH$106,$AH56),1),IF($AI56&gt;0,INDEX(DH$7:DH$106,$AI56),1),IF($AJ56&gt;0,INDEX(DH$7:DH$106,$AJ56),1))))</ns0:f>
        <ns0:v>1</ns0:v>
      </ns0:c>
      <ns0:c r="DJ56" t="n">
        <ns0:f>IF($A56="",1,IF(DI56=1,1,--AND(IF($AC56&gt;0,INDEX(DI$7:DI$106,$AC56),1),IF($AD56&gt;0,INDEX(DI$7:DI$106,$AD56),1),IF($AE56&gt;0,INDEX(DI$7:DI$106,$AE56),1),IF($AF56&gt;0,INDEX(DI$7:DI$106,$AF56),1),IF($AG56&gt;0,INDEX(DI$7:DI$106,$AG56),1),IF($AH56&gt;0,INDEX(DI$7:DI$106,$AH56),1),IF($AI56&gt;0,INDEX(DI$7:DI$106,$AI56),1),IF($AJ56&gt;0,INDEX(DI$7:DI$106,$AJ56),1))))</ns0:f>
        <ns0:v>1</ns0:v>
      </ns0:c>
      <ns0:c r="DK56" t="n">
        <ns0:f>IF($A56="",1,IF(DJ56=1,1,--AND(IF($AC56&gt;0,INDEX(DJ$7:DJ$106,$AC56),1),IF($AD56&gt;0,INDEX(DJ$7:DJ$106,$AD56),1),IF($AE56&gt;0,INDEX(DJ$7:DJ$106,$AE56),1),IF($AF56&gt;0,INDEX(DJ$7:DJ$106,$AF56),1),IF($AG56&gt;0,INDEX(DJ$7:DJ$106,$AG56),1),IF($AH56&gt;0,INDEX(DJ$7:DJ$106,$AH56),1),IF($AI56&gt;0,INDEX(DJ$7:DJ$106,$AI56),1),IF($AJ56&gt;0,INDEX(DJ$7:DJ$106,$AJ56),1))))</ns0:f>
        <ns0:v>1</ns0:v>
      </ns0:c>
      <ns0:c r="DL56" t="n">
        <ns0:f>IF($A56="",1,IF(DK56=1,1,--AND(IF($AC56&gt;0,INDEX(DK$7:DK$106,$AC56),1),IF($AD56&gt;0,INDEX(DK$7:DK$106,$AD56),1),IF($AE56&gt;0,INDEX(DK$7:DK$106,$AE56),1),IF($AF56&gt;0,INDEX(DK$7:DK$106,$AF56),1),IF($AG56&gt;0,INDEX(DK$7:DK$106,$AG56),1),IF($AH56&gt;0,INDEX(DK$7:DK$106,$AH56),1),IF($AI56&gt;0,INDEX(DK$7:DK$106,$AI56),1),IF($AJ56&gt;0,INDEX(DK$7:DK$106,$AJ56),1))))</ns0:f>
        <ns0:v>1</ns0:v>
      </ns0:c>
      <ns0:c r="DM56" t="n">
        <ns0:f>IF($A56="",1,IF(DL56=1,1,--AND(IF($AC56&gt;0,INDEX(DL$7:DL$106,$AC56),1),IF($AD56&gt;0,INDEX(DL$7:DL$106,$AD56),1),IF($AE56&gt;0,INDEX(DL$7:DL$106,$AE56),1),IF($AF56&gt;0,INDEX(DL$7:DL$106,$AF56),1),IF($AG56&gt;0,INDEX(DL$7:DL$106,$AG56),1),IF($AH56&gt;0,INDEX(DL$7:DL$106,$AH56),1),IF($AI56&gt;0,INDEX(DL$7:DL$106,$AI56),1),IF($AJ56&gt;0,INDEX(DL$7:DL$106,$AJ56),1))))</ns0:f>
        <ns0:v>1</ns0:v>
      </ns0:c>
      <ns0:c r="DN56" t="n">
        <ns0:f>IF($A56="",1,IF(DM56=1,1,--AND(IF($AC56&gt;0,INDEX(DM$7:DM$106,$AC56),1),IF($AD56&gt;0,INDEX(DM$7:DM$106,$AD56),1),IF($AE56&gt;0,INDEX(DM$7:DM$106,$AE56),1),IF($AF56&gt;0,INDEX(DM$7:DM$106,$AF56),1),IF($AG56&gt;0,INDEX(DM$7:DM$106,$AG56),1),IF($AH56&gt;0,INDEX(DM$7:DM$106,$AH56),1),IF($AI56&gt;0,INDEX(DM$7:DM$106,$AI56),1),IF($AJ56&gt;0,INDEX(DM$7:DM$106,$AJ56),1))))</ns0:f>
        <ns0:v>1</ns0:v>
      </ns0:c>
      <ns0:c r="DO56" t="n">
        <ns0:f>IF($A56="",1,IF(DN56=1,1,--AND(IF($AC56&gt;0,INDEX(DN$7:DN$106,$AC56),1),IF($AD56&gt;0,INDEX(DN$7:DN$106,$AD56),1),IF($AE56&gt;0,INDEX(DN$7:DN$106,$AE56),1),IF($AF56&gt;0,INDEX(DN$7:DN$106,$AF56),1),IF($AG56&gt;0,INDEX(DN$7:DN$106,$AG56),1),IF($AH56&gt;0,INDEX(DN$7:DN$106,$AH56),1),IF($AI56&gt;0,INDEX(DN$7:DN$106,$AI56),1),IF($AJ56&gt;0,INDEX(DN$7:DN$106,$AJ56),1))))</ns0:f>
        <ns0:v>1</ns0:v>
      </ns0:c>
      <ns0:c r="DP56" t="n">
        <ns0:f>IF($A56="",1,IF(DO56=1,1,--AND(IF($AC56&gt;0,INDEX(DO$7:DO$106,$AC56),1),IF($AD56&gt;0,INDEX(DO$7:DO$106,$AD56),1),IF($AE56&gt;0,INDEX(DO$7:DO$106,$AE56),1),IF($AF56&gt;0,INDEX(DO$7:DO$106,$AF56),1),IF($AG56&gt;0,INDEX(DO$7:DO$106,$AG56),1),IF($AH56&gt;0,INDEX(DO$7:DO$106,$AH56),1),IF($AI56&gt;0,INDEX(DO$7:DO$106,$AI56),1),IF($AJ56&gt;0,INDEX(DO$7:DO$106,$AJ56),1))))</ns0:f>
        <ns0:v>1</ns0:v>
      </ns0:c>
      <ns0:c r="DQ56" t="n">
        <ns0:f>IF($A56="",1,IF(DP56=1,1,--AND(IF($AC56&gt;0,INDEX(DP$7:DP$106,$AC56),1),IF($AD56&gt;0,INDEX(DP$7:DP$106,$AD56),1),IF($AE56&gt;0,INDEX(DP$7:DP$106,$AE56),1),IF($AF56&gt;0,INDEX(DP$7:DP$106,$AF56),1),IF($AG56&gt;0,INDEX(DP$7:DP$106,$AG56),1),IF($AH56&gt;0,INDEX(DP$7:DP$106,$AH56),1),IF($AI56&gt;0,INDEX(DP$7:DP$106,$AI56),1),IF($AJ56&gt;0,INDEX(DP$7:DP$106,$AJ56),1))))</ns0:f>
        <ns0:v>1</ns0:v>
      </ns0:c>
      <ns0:c r="DR56" t="n">
        <ns0:f>IF($A56="",1,IF(DQ56=1,1,--AND(IF($AC56&gt;0,INDEX(DQ$7:DQ$106,$AC56),1),IF($AD56&gt;0,INDEX(DQ$7:DQ$106,$AD56),1),IF($AE56&gt;0,INDEX(DQ$7:DQ$106,$AE56),1),IF($AF56&gt;0,INDEX(DQ$7:DQ$106,$AF56),1),IF($AG56&gt;0,INDEX(DQ$7:DQ$106,$AG56),1),IF($AH56&gt;0,INDEX(DQ$7:DQ$106,$AH56),1),IF($AI56&gt;0,INDEX(DQ$7:DQ$106,$AI56),1),IF($AJ56&gt;0,INDEX(DQ$7:DQ$106,$AJ56),1))))</ns0:f>
        <ns0:v>1</ns0:v>
      </ns0:c>
      <ns0:c r="DS56" t="n">
        <ns0:f>IF($A56="",1,IF(DR56=1,1,--AND(IF($AC56&gt;0,INDEX(DR$7:DR$106,$AC56),1),IF($AD56&gt;0,INDEX(DR$7:DR$106,$AD56),1),IF($AE56&gt;0,INDEX(DR$7:DR$106,$AE56),1),IF($AF56&gt;0,INDEX(DR$7:DR$106,$AF56),1),IF($AG56&gt;0,INDEX(DR$7:DR$106,$AG56),1),IF($AH56&gt;0,INDEX(DR$7:DR$106,$AH56),1),IF($AI56&gt;0,INDEX(DR$7:DR$106,$AI56),1),IF($AJ56&gt;0,INDEX(DR$7:DR$106,$AJ56),1))))</ns0:f>
        <ns0:v>1</ns0:v>
      </ns0:c>
      <ns0:c r="DT56" t="n">
        <ns0:f>IF($A56="",1,IF(DS56=1,1,--AND(IF($AC56&gt;0,INDEX(DS$7:DS$106,$AC56),1),IF($AD56&gt;0,INDEX(DS$7:DS$106,$AD56),1),IF($AE56&gt;0,INDEX(DS$7:DS$106,$AE56),1),IF($AF56&gt;0,INDEX(DS$7:DS$106,$AF56),1),IF($AG56&gt;0,INDEX(DS$7:DS$106,$AG56),1),IF($AH56&gt;0,INDEX(DS$7:DS$106,$AH56),1),IF($AI56&gt;0,INDEX(DS$7:DS$106,$AI56),1),IF($AJ56&gt;0,INDEX(DS$7:DS$106,$AJ56),1))))</ns0:f>
        <ns0:v>1</ns0:v>
      </ns0:c>
      <ns0:c r="DU56" t="n">
        <ns0:f>IF($A56="",1,IF(DT56=1,1,--AND(IF($AC56&gt;0,INDEX(DT$7:DT$106,$AC56),1),IF($AD56&gt;0,INDEX(DT$7:DT$106,$AD56),1),IF($AE56&gt;0,INDEX(DT$7:DT$106,$AE56),1),IF($AF56&gt;0,INDEX(DT$7:DT$106,$AF56),1),IF($AG56&gt;0,INDEX(DT$7:DT$106,$AG56),1),IF($AH56&gt;0,INDEX(DT$7:DT$106,$AH56),1),IF($AI56&gt;0,INDEX(DT$7:DT$106,$AI56),1),IF($AJ56&gt;0,INDEX(DT$7:DT$106,$AJ56),1))))</ns0:f>
        <ns0:v>1</ns0:v>
      </ns0:c>
      <ns0:c r="DV56" t="n">
        <ns0:f>IF($A56="",1,IF(DU56=1,1,--AND(IF($AC56&gt;0,INDEX(DU$7:DU$106,$AC56),1),IF($AD56&gt;0,INDEX(DU$7:DU$106,$AD56),1),IF($AE56&gt;0,INDEX(DU$7:DU$106,$AE56),1),IF($AF56&gt;0,INDEX(DU$7:DU$106,$AF56),1),IF($AG56&gt;0,INDEX(DU$7:DU$106,$AG56),1),IF($AH56&gt;0,INDEX(DU$7:DU$106,$AH56),1),IF($AI56&gt;0,INDEX(DU$7:DU$106,$AI56),1),IF($AJ56&gt;0,INDEX(DU$7:DU$106,$AJ56),1))))</ns0:f>
        <ns0:v>1</ns0:v>
      </ns0:c>
      <ns0:c r="DW56" t="n">
        <ns0:f>IF($A56="",1,IF(DV56=1,1,--AND(IF($AC56&gt;0,INDEX(DV$7:DV$106,$AC56),1),IF($AD56&gt;0,INDEX(DV$7:DV$106,$AD56),1),IF($AE56&gt;0,INDEX(DV$7:DV$106,$AE56),1),IF($AF56&gt;0,INDEX(DV$7:DV$106,$AF56),1),IF($AG56&gt;0,INDEX(DV$7:DV$106,$AG56),1),IF($AH56&gt;0,INDEX(DV$7:DV$106,$AH56),1),IF($AI56&gt;0,INDEX(DV$7:DV$106,$AI56),1),IF($AJ56&gt;0,INDEX(DV$7:DV$106,$AJ56),1))))</ns0:f>
        <ns0:v>1</ns0:v>
      </ns0:c>
      <ns0:c r="DX56" t="n">
        <ns0:f>IF($A56="",1,IF(DW56=1,1,--AND(IF($AC56&gt;0,INDEX(DW$7:DW$106,$AC56),1),IF($AD56&gt;0,INDEX(DW$7:DW$106,$AD56),1),IF($AE56&gt;0,INDEX(DW$7:DW$106,$AE56),1),IF($AF56&gt;0,INDEX(DW$7:DW$106,$AF56),1),IF($AG56&gt;0,INDEX(DW$7:DW$106,$AG56),1),IF($AH56&gt;0,INDEX(DW$7:DW$106,$AH56),1),IF($AI56&gt;0,INDEX(DW$7:DW$106,$AI56),1),IF($AJ56&gt;0,INDEX(DW$7:DW$106,$AJ56),1))))</ns0:f>
        <ns0:v>1</ns0:v>
      </ns0:c>
      <ns0:c r="DY56" t="n">
        <ns0:f>IF($A56="",1,IF(DX56=1,1,--AND(IF($AC56&gt;0,INDEX(DX$7:DX$106,$AC56),1),IF($AD56&gt;0,INDEX(DX$7:DX$106,$AD56),1),IF($AE56&gt;0,INDEX(DX$7:DX$106,$AE56),1),IF($AF56&gt;0,INDEX(DX$7:DX$106,$AF56),1),IF($AG56&gt;0,INDEX(DX$7:DX$106,$AG56),1),IF($AH56&gt;0,INDEX(DX$7:DX$106,$AH56),1),IF($AI56&gt;0,INDEX(DX$7:DX$106,$AI56),1),IF($AJ56&gt;0,INDEX(DX$7:DX$106,$AJ56),1))))</ns0:f>
        <ns0:v>1</ns0:v>
      </ns0:c>
      <ns0:c r="DZ56" t="n">
        <ns0:f>IF($A56="",1,IF(DY56=1,1,--AND(IF($AC56&gt;0,INDEX(DY$7:DY$106,$AC56),1),IF($AD56&gt;0,INDEX(DY$7:DY$106,$AD56),1),IF($AE56&gt;0,INDEX(DY$7:DY$106,$AE56),1),IF($AF56&gt;0,INDEX(DY$7:DY$106,$AF56),1),IF($AG56&gt;0,INDEX(DY$7:DY$106,$AG56),1),IF($AH56&gt;0,INDEX(DY$7:DY$106,$AH56),1),IF($AI56&gt;0,INDEX(DY$7:DY$106,$AI56),1),IF($AJ56&gt;0,INDEX(DY$7:DY$106,$AJ56),1))))</ns0:f>
        <ns0:v>1</ns0:v>
      </ns0:c>
      <ns0:c r="EA56" t="n">
        <ns0:f>IF($A56="",1,IF(DZ56=1,1,--AND(IF($AC56&gt;0,INDEX(DZ$7:DZ$106,$AC56),1),IF($AD56&gt;0,INDEX(DZ$7:DZ$106,$AD56),1),IF($AE56&gt;0,INDEX(DZ$7:DZ$106,$AE56),1),IF($AF56&gt;0,INDEX(DZ$7:DZ$106,$AF56),1),IF($AG56&gt;0,INDEX(DZ$7:DZ$106,$AG56),1),IF($AH56&gt;0,INDEX(DZ$7:DZ$106,$AH56),1),IF($AI56&gt;0,INDEX(DZ$7:DZ$106,$AI56),1),IF($AJ56&gt;0,INDEX(DZ$7:DZ$106,$AJ56),1))))</ns0:f>
        <ns0:v>1</ns0:v>
      </ns0:c>
      <ns0:c r="EB56" t="n">
        <ns0:f>IF($A56="",1,IF(EA56=1,1,--AND(IF($AC56&gt;0,INDEX(EA$7:EA$106,$AC56),1),IF($AD56&gt;0,INDEX(EA$7:EA$106,$AD56),1),IF($AE56&gt;0,INDEX(EA$7:EA$106,$AE56),1),IF($AF56&gt;0,INDEX(EA$7:EA$106,$AF56),1),IF($AG56&gt;0,INDEX(EA$7:EA$106,$AG56),1),IF($AH56&gt;0,INDEX(EA$7:EA$106,$AH56),1),IF($AI56&gt;0,INDEX(EA$7:EA$106,$AI56),1),IF($AJ56&gt;0,INDEX(EA$7:EA$106,$AJ56),1))))</ns0:f>
        <ns0:v>1</ns0:v>
      </ns0:c>
      <ns0:c r="EC56" t="n">
        <ns0:f>IF($A56="",1,IF(EB56=1,1,--AND(IF($AC56&gt;0,INDEX(EB$7:EB$106,$AC56),1),IF($AD56&gt;0,INDEX(EB$7:EB$106,$AD56),1),IF($AE56&gt;0,INDEX(EB$7:EB$106,$AE56),1),IF($AF56&gt;0,INDEX(EB$7:EB$106,$AF56),1),IF($AG56&gt;0,INDEX(EB$7:EB$106,$AG56),1),IF($AH56&gt;0,INDEX(EB$7:EB$106,$AH56),1),IF($AI56&gt;0,INDEX(EB$7:EB$106,$AI56),1),IF($AJ56&gt;0,INDEX(EB$7:EB$106,$AJ56),1))))</ns0:f>
        <ns0:v>1</ns0:v>
      </ns0:c>
      <ns0:c r="ED56" t="n">
        <ns0:f>IF($A56="",1,IF(EC56=1,1,--AND(IF($AC56&gt;0,INDEX(EC$7:EC$106,$AC56),1),IF($AD56&gt;0,INDEX(EC$7:EC$106,$AD56),1),IF($AE56&gt;0,INDEX(EC$7:EC$106,$AE56),1),IF($AF56&gt;0,INDEX(EC$7:EC$106,$AF56),1),IF($AG56&gt;0,INDEX(EC$7:EC$106,$AG56),1),IF($AH56&gt;0,INDEX(EC$7:EC$106,$AH56),1),IF($AI56&gt;0,INDEX(EC$7:EC$106,$AI56),1),IF($AJ56&gt;0,INDEX(EC$7:EC$106,$AJ56),1))))</ns0:f>
        <ns0:v>1</ns0:v>
      </ns0:c>
      <ns0:c r="EE56" t="n">
        <ns0:f>IF($A56="",1,IF(ED56=1,1,--AND(IF($AC56&gt;0,INDEX(ED$7:ED$106,$AC56),1),IF($AD56&gt;0,INDEX(ED$7:ED$106,$AD56),1),IF($AE56&gt;0,INDEX(ED$7:ED$106,$AE56),1),IF($AF56&gt;0,INDEX(ED$7:ED$106,$AF56),1),IF($AG56&gt;0,INDEX(ED$7:ED$106,$AG56),1),IF($AH56&gt;0,INDEX(ED$7:ED$106,$AH56),1),IF($AI56&gt;0,INDEX(ED$7:ED$106,$AI56),1),IF($AJ56&gt;0,INDEX(ED$7:ED$106,$AJ56),1))))</ns0:f>
        <ns0:v>1</ns0:v>
      </ns0:c>
      <ns0:c r="EF56" t="n">
        <ns0:f>IF($A56="",1,IF(EE56=1,1,--AND(IF($AC56&gt;0,INDEX(EE$7:EE$106,$AC56),1),IF($AD56&gt;0,INDEX(EE$7:EE$106,$AD56),1),IF($AE56&gt;0,INDEX(EE$7:EE$106,$AE56),1),IF($AF56&gt;0,INDEX(EE$7:EE$106,$AF56),1),IF($AG56&gt;0,INDEX(EE$7:EE$106,$AG56),1),IF($AH56&gt;0,INDEX(EE$7:EE$106,$AH56),1),IF($AI56&gt;0,INDEX(EE$7:EE$106,$AI56),1),IF($AJ56&gt;0,INDEX(EE$7:EE$106,$AJ56),1))))</ns0:f>
        <ns0:v>1</ns0:v>
      </ns0:c>
      <ns0:c r="EG56" t="n">
        <ns0:f>IF($A56="",1,IF(EF56=1,1,--AND(IF($AC56&gt;0,INDEX(EF$7:EF$106,$AC56),1),IF($AD56&gt;0,INDEX(EF$7:EF$106,$AD56),1),IF($AE56&gt;0,INDEX(EF$7:EF$106,$AE56),1),IF($AF56&gt;0,INDEX(EF$7:EF$106,$AF56),1),IF($AG56&gt;0,INDEX(EF$7:EF$106,$AG56),1),IF($AH56&gt;0,INDEX(EF$7:EF$106,$AH56),1),IF($AI56&gt;0,INDEX(EF$7:EF$106,$AI56),1),IF($AJ56&gt;0,INDEX(EF$7:EF$106,$AJ56),1))))</ns0:f>
        <ns0:v>1</ns0:v>
      </ns0:c>
      <ns0:c r="EH56" t="n">
        <ns0:f>IF($A56="",1,IF(EG56=1,1,--AND(IF($AC56&gt;0,INDEX(EG$7:EG$106,$AC56),1),IF($AD56&gt;0,INDEX(EG$7:EG$106,$AD56),1),IF($AE56&gt;0,INDEX(EG$7:EG$106,$AE56),1),IF($AF56&gt;0,INDEX(EG$7:EG$106,$AF56),1),IF($AG56&gt;0,INDEX(EG$7:EG$106,$AG56),1),IF($AH56&gt;0,INDEX(EG$7:EG$106,$AH56),1),IF($AI56&gt;0,INDEX(EG$7:EG$106,$AI56),1),IF($AJ56&gt;0,INDEX(EG$7:EG$106,$AJ56),1))))</ns0:f>
        <ns0:v>1</ns0:v>
      </ns0:c>
      <ns0:c r="EI56" t="n">
        <ns0:f>IF($A56="",1,IF(EH56=1,1,--AND(IF($AC56&gt;0,INDEX(EH$7:EH$106,$AC56),1),IF($AD56&gt;0,INDEX(EH$7:EH$106,$AD56),1),IF($AE56&gt;0,INDEX(EH$7:EH$106,$AE56),1),IF($AF56&gt;0,INDEX(EH$7:EH$106,$AF56),1),IF($AG56&gt;0,INDEX(EH$7:EH$106,$AG56),1),IF($AH56&gt;0,INDEX(EH$7:EH$106,$AH56),1),IF($AI56&gt;0,INDEX(EH$7:EH$106,$AI56),1),IF($AJ56&gt;0,INDEX(EH$7:EH$106,$AJ56),1))))</ns0:f>
        <ns0:v>1</ns0:v>
      </ns0:c>
      <ns0:c r="EJ56" t="n">
        <ns0:f>IF($A56="",1,IF(EI56=1,1,--AND(IF($AC56&gt;0,INDEX(EI$7:EI$106,$AC56),1),IF($AD56&gt;0,INDEX(EI$7:EI$106,$AD56),1),IF($AE56&gt;0,INDEX(EI$7:EI$106,$AE56),1),IF($AF56&gt;0,INDEX(EI$7:EI$106,$AF56),1),IF($AG56&gt;0,INDEX(EI$7:EI$106,$AG56),1),IF($AH56&gt;0,INDEX(EI$7:EI$106,$AH56),1),IF($AI56&gt;0,INDEX(EI$7:EI$106,$AI56),1),IF($AJ56&gt;0,INDEX(EI$7:EI$106,$AJ56),1))))</ns0:f>
        <ns0:v>1</ns0:v>
      </ns0:c>
      <ns0:c r="EK56" t="n">
        <ns0:f>IF($A56="",1,IF(EJ56=1,1,--AND(IF($AC56&gt;0,INDEX(EJ$7:EJ$106,$AC56),1),IF($AD56&gt;0,INDEX(EJ$7:EJ$106,$AD56),1),IF($AE56&gt;0,INDEX(EJ$7:EJ$106,$AE56),1),IF($AF56&gt;0,INDEX(EJ$7:EJ$106,$AF56),1),IF($AG56&gt;0,INDEX(EJ$7:EJ$106,$AG56),1),IF($AH56&gt;0,INDEX(EJ$7:EJ$106,$AH56),1),IF($AI56&gt;0,INDEX(EJ$7:EJ$106,$AI56),1),IF($AJ56&gt;0,INDEX(EJ$7:EJ$106,$AJ56),1))))</ns0:f>
        <ns0:v>1</ns0:v>
      </ns0:c>
      <ns0:c r="EL56" t="n">
        <ns0:f>IF($A56="",1,IF(EK56=1,1,--AND(IF($AC56&gt;0,INDEX(EK$7:EK$106,$AC56),1),IF($AD56&gt;0,INDEX(EK$7:EK$106,$AD56),1),IF($AE56&gt;0,INDEX(EK$7:EK$106,$AE56),1),IF($AF56&gt;0,INDEX(EK$7:EK$106,$AF56),1),IF($AG56&gt;0,INDEX(EK$7:EK$106,$AG56),1),IF($AH56&gt;0,INDEX(EK$7:EK$106,$AH56),1),IF($AI56&gt;0,INDEX(EK$7:EK$106,$AI56),1),IF($AJ56&gt;0,INDEX(EK$7:EK$106,$AJ56),1))))</ns0:f>
        <ns0:v>1</ns0:v>
      </ns0:c>
      <ns0:c r="EM56" t="n">
        <ns0:f>IF($A56="",1,IF(EL56=1,1,--AND(IF($AC56&gt;0,INDEX(EL$7:EL$106,$AC56),1),IF($AD56&gt;0,INDEX(EL$7:EL$106,$AD56),1),IF($AE56&gt;0,INDEX(EL$7:EL$106,$AE56),1),IF($AF56&gt;0,INDEX(EL$7:EL$106,$AF56),1),IF($AG56&gt;0,INDEX(EL$7:EL$106,$AG56),1),IF($AH56&gt;0,INDEX(EL$7:EL$106,$AH56),1),IF($AI56&gt;0,INDEX(EL$7:EL$106,$AI56),1),IF($AJ56&gt;0,INDEX(EL$7:EL$106,$AJ56),1))))</ns0:f>
        <ns0:v>1</ns0:v>
      </ns0:c>
      <ns0:c r="EN56" t="n">
        <ns0:f>IF($A56="",1,IF(EM56=1,1,--AND(IF($AC56&gt;0,INDEX(EM$7:EM$106,$AC56),1),IF($AD56&gt;0,INDEX(EM$7:EM$106,$AD56),1),IF($AE56&gt;0,INDEX(EM$7:EM$106,$AE56),1),IF($AF56&gt;0,INDEX(EM$7:EM$106,$AF56),1),IF($AG56&gt;0,INDEX(EM$7:EM$106,$AG56),1),IF($AH56&gt;0,INDEX(EM$7:EM$106,$AH56),1),IF($AI56&gt;0,INDEX(EM$7:EM$106,$AI56),1),IF($AJ56&gt;0,INDEX(EM$7:EM$106,$AJ56),1))))</ns0:f>
        <ns0:v>1</ns0:v>
      </ns0:c>
      <ns0:c r="EO56" t="n">
        <ns0:f>IF($A56="",1,IF(EN56=1,1,--AND(IF($AC56&gt;0,INDEX(EN$7:EN$106,$AC56),1),IF($AD56&gt;0,INDEX(EN$7:EN$106,$AD56),1),IF($AE56&gt;0,INDEX(EN$7:EN$106,$AE56),1),IF($AF56&gt;0,INDEX(EN$7:EN$106,$AF56),1),IF($AG56&gt;0,INDEX(EN$7:EN$106,$AG56),1),IF($AH56&gt;0,INDEX(EN$7:EN$106,$AH56),1),IF($AI56&gt;0,INDEX(EN$7:EN$106,$AI56),1),IF($AJ56&gt;0,INDEX(EN$7:EN$106,$AJ56),1))))</ns0:f>
        <ns0:v>1</ns0:v>
      </ns0:c>
      <ns0:c r="EP56" t="n">
        <ns0:f>IF($A56="",1,IF(EO56=1,1,--AND(IF($AC56&gt;0,INDEX(EO$7:EO$106,$AC56),1),IF($AD56&gt;0,INDEX(EO$7:EO$106,$AD56),1),IF($AE56&gt;0,INDEX(EO$7:EO$106,$AE56),1),IF($AF56&gt;0,INDEX(EO$7:EO$106,$AF56),1),IF($AG56&gt;0,INDEX(EO$7:EO$106,$AG56),1),IF($AH56&gt;0,INDEX(EO$7:EO$106,$AH56),1),IF($AI56&gt;0,INDEX(EO$7:EO$106,$AI56),1),IF($AJ56&gt;0,INDEX(EO$7:EO$106,$AJ56),1))))</ns0:f>
        <ns0:v>1</ns0:v>
      </ns0:c>
      <ns0:c r="EQ56" t="n">
        <ns0:f>IF(OR(A56="",NOT(ISNUMBER(G56))),0,G56*N56)</ns0:f>
        <ns0:v>0</ns0:v>
      </ns0:c>
    </ns0:row>
    <ns0:row r="57" ht="62" customHeight="1">
      <ns0:c r="A57" s="48"/>
      <ns0:c r="B57" s="48"/>
      <ns0:c r="C57" s="48"/>
      <ns0:c r="D57" s="48"/>
      <ns0:c r="E57" s="49"/>
      <ns0:c r="F57" s="49"/>
      <ns0:c r="G57" s="13" t="str">
        <ns0:f>IF(A57="","",IF(OR(NOT(ISNUMBER(E57)),NOT(ISNUMBER(F57)),F57&lt;E57),"",IF(J57="Yes",0,F57-E57+1)))</ns0:f>
      </ns0:c>
      <ns0:c r="H57" s="48"/>
      <ns0:c r="I57" s="48"/>
      <ns0:c r="J57" s="48"/>
      <ns0:c r="K57" s="48"/>
      <ns0:c r="L57" s="48"/>
      <ns0:c r="M57" s="50" t="str">
        <ns0:f>IF(A57="","",IF(N57=1,"Completed",IF(N57&gt;0,"In Progress","Not Started")))</ns0:f>
      </ns0:c>
      <ns0:c r="N57" s="51"/>
      <ns0:c r="O57" s="13" t="str">
        <ns0:f>IF(A57="","",IF(R57&lt;&gt;"","[CONFLICT] "&amp;R57,IF(S57&lt;&gt;"","[CONFLICT] "&amp;S57,IF(OR(NOT(ISNUMBER(N57)),N57&lt;0,N57&gt;1),"[CONFLICT] Invalid progress",IF(AK57&gt;0,"[DEPENDENCY ISSUE] Missing ID / &gt;8 links",IF(AM57&gt;0,"[DEPENDENCY ISSUE] Cycle or blocked by cycle",IF(AND(H57&lt;&gt;"",ISNA(MATCH(I57,{"FS","SS","FF","SF"},0))),"[DEPENDENCY ISSUE] Invalid type",IF(AL57&gt;0,"[DEPENDENCY ISSUE] Timing conflict",IF(OR(E57&lt;ProjectStart,F57&gt;ProjectEnd),"[OUTSIDE WINDOW]",IF(AND(N57&lt;1,F57&lt;AsOfDate),"Overdue",IF(AND(M57&lt;&gt;Q57,M57&lt;&gt;""),"[CONFLICT] Status / progress","On track")))))))))))</ns0:f>
      </ns0:c>
      <ns0:c r="P57" s="52"/>
      <ns0:c r="Q57" t="str">
        <ns0:f>IF(A57="","",IF(OR(M57="On Hold",M57="Delayed"),M57,IF(N57=1,"Completed",IF(N57&gt;0,"In Progress","Not Started"))))</ns0:f>
      </ns0:c>
      <ns0:c r="R57" t="str">
        <ns0:f>IF(A57="","",IF(COUNTIFS(Tasks[Task ID],A57)&lt;&gt;1,"Duplicate ID",""))</ns0:f>
      </ns0:c>
      <ns0:c r="S57" t="str">
        <ns0:f>IF(A57="","",IF(OR(NOT(ISNUMBER(E57)),NOT(ISNUMBER(F57))),"Invalid / missing date",IF(OR(E57&lt;&gt;INT(E57),F57&lt;&gt;INT(F57),E57&lt;1,F57&gt;2958465),"Invalid date",IF(F57&lt;E57,"End before start",IF(AND(J57="Yes",E57&lt;&gt;F57),"Milestone needs one date","")))))</ns0:f>
      </ns0:c>
      <ns0:c r="T57" t="n">
        <ns0:f>IF(H57="",0,LEN(H57)-LEN(SUBSTITUTE(H57,",",""))+1)</ns0:f>
        <ns0:v>0</ns0:v>
      </ns0:c>
      <ns0:c r="U57" t="str">
        <ns0:f>TRIM(MID(SUBSTITUTE($H57,",",REPT(" ",100)),1,100))</ns0:f>
      </ns0:c>
      <ns0:c r="V57" t="str">
        <ns0:f>TRIM(MID(SUBSTITUTE($H57,",",REPT(" ",100)),101,100))</ns0:f>
      </ns0:c>
      <ns0:c r="W57" t="str">
        <ns0:f>TRIM(MID(SUBSTITUTE($H57,",",REPT(" ",100)),201,100))</ns0:f>
      </ns0:c>
      <ns0:c r="X57" t="str">
        <ns0:f>TRIM(MID(SUBSTITUTE($H57,",",REPT(" ",100)),301,100))</ns0:f>
      </ns0:c>
      <ns0:c r="Y57" t="str">
        <ns0:f>TRIM(MID(SUBSTITUTE($H57,",",REPT(" ",100)),401,100))</ns0:f>
      </ns0:c>
      <ns0:c r="Z57" t="str">
        <ns0:f>TRIM(MID(SUBSTITUTE($H57,",",REPT(" ",100)),501,100))</ns0:f>
      </ns0:c>
      <ns0:c r="AA57" t="str">
        <ns0:f>TRIM(MID(SUBSTITUTE($H57,",",REPT(" ",100)),601,100))</ns0:f>
      </ns0:c>
      <ns0:c r="AB57" t="str">
        <ns0:f>TRIM(MID(SUBSTITUTE($H57,",",REPT(" ",100)),701,100))</ns0:f>
      </ns0:c>
      <ns0:c r="AC57" t="n">
        <ns0:f>IF(U57="",0,IF(COUNTIFS(Tasks[Task ID],U57)=1,MATCH(U57,Tasks[Task ID],0),-1))</ns0:f>
        <ns0:v>0</ns0:v>
      </ns0:c>
      <ns0:c r="AD57" t="n">
        <ns0:f>IF(V57="",0,IF(COUNTIFS(Tasks[Task ID],V57)=1,MATCH(V57,Tasks[Task ID],0),-1))</ns0:f>
        <ns0:v>0</ns0:v>
      </ns0:c>
      <ns0:c r="AE57" t="n">
        <ns0:f>IF(W57="",0,IF(COUNTIFS(Tasks[Task ID],W57)=1,MATCH(W57,Tasks[Task ID],0),-1))</ns0:f>
        <ns0:v>0</ns0:v>
      </ns0:c>
      <ns0:c r="AF57" t="n">
        <ns0:f>IF(X57="",0,IF(COUNTIFS(Tasks[Task ID],X57)=1,MATCH(X57,Tasks[Task ID],0),-1))</ns0:f>
        <ns0:v>0</ns0:v>
      </ns0:c>
      <ns0:c r="AG57" t="n">
        <ns0:f>IF(Y57="",0,IF(COUNTIFS(Tasks[Task ID],Y57)=1,MATCH(Y57,Tasks[Task ID],0),-1))</ns0:f>
        <ns0:v>0</ns0:v>
      </ns0:c>
      <ns0:c r="AH57" t="n">
        <ns0:f>IF(Z57="",0,IF(COUNTIFS(Tasks[Task ID],Z57)=1,MATCH(Z57,Tasks[Task ID],0),-1))</ns0:f>
        <ns0:v>0</ns0:v>
      </ns0:c>
      <ns0:c r="AI57" t="n">
        <ns0:f>IF(AA57="",0,IF(COUNTIFS(Tasks[Task ID],AA57)=1,MATCH(AA57,Tasks[Task ID],0),-1))</ns0:f>
        <ns0:v>0</ns0:v>
      </ns0:c>
      <ns0:c r="AJ57" t="n">
        <ns0:f>IF(AB57="",0,IF(COUNTIFS(Tasks[Task ID],AB57)=1,MATCH(AB57,Tasks[Task ID],0),-1))</ns0:f>
        <ns0:v>0</ns0:v>
      </ns0:c>
      <ns0:c r="AK57" t="n">
        <ns0:f>COUNTIFS(AC57:AJ57,-1)+IF(T57&gt;8,1,0)</ns0:f>
        <ns0:v>0</ns0:v>
      </ns0:c>
      <ns0:c r="AL57" t="n">
        <ns0:f>IF(OR(A57="",S57&lt;&gt;""),0,SUM(IF(AC57&gt;0,IF($I57="FS",--($E57&lt;INDEX(Tasks[End Date],AC57)+IF(INDEX(Tasks[Milestone],AC57)="Yes",0,1)),IF($I57="SS",--($E57&lt;INDEX(Tasks[Start Date],AC57)),IF($I57="FF",--($F57&lt;INDEX(Tasks[End Date],AC57)),IF($I57="SF",--($F57&lt;INDEX(Tasks[Start Date],AC57)),0)))),0),IF(AD57&gt;0,IF($I57="FS",--($E57&lt;INDEX(Tasks[End Date],AD57)+IF(INDEX(Tasks[Milestone],AD57)="Yes",0,1)),IF($I57="SS",--($E57&lt;INDEX(Tasks[Start Date],AD57)),IF($I57="FF",--($F57&lt;INDEX(Tasks[End Date],AD57)),IF($I57="SF",--($F57&lt;INDEX(Tasks[Start Date],AD57)),0)))),0),IF(AE57&gt;0,IF($I57="FS",--($E57&lt;INDEX(Tasks[End Date],AE57)+IF(INDEX(Tasks[Milestone],AE57)="Yes",0,1)),IF($I57="SS",--($E57&lt;INDEX(Tasks[Start Date],AE57)),IF($I57="FF",--($F57&lt;INDEX(Tasks[End Date],AE57)),IF($I57="SF",--($F57&lt;INDEX(Tasks[Start Date],AE57)),0)))),0),IF(AF57&gt;0,IF($I57="FS",--($E57&lt;INDEX(Tasks[End Date],AF57)+IF(INDEX(Tasks[Milestone],AF57)="Yes",0,1)),IF($I57="SS",--($E57&lt;INDEX(Tasks[Start Date],AF57)),IF($I57="FF",--($F57&lt;INDEX(Tasks[End Date],AF57)),IF($I57="SF",--($F57&lt;INDEX(Tasks[Start Date],AF57)),0)))),0),IF(AG57&gt;0,IF($I57="FS",--($E57&lt;INDEX(Tasks[End Date],AG57)+IF(INDEX(Tasks[Milestone],AG57)="Yes",0,1)),IF($I57="SS",--($E57&lt;INDEX(Tasks[Start Date],AG57)),IF($I57="FF",--($F57&lt;INDEX(Tasks[End Date],AG57)),IF($I57="SF",--($F57&lt;INDEX(Tasks[Start Date],AG57)),0)))),0),IF(AH57&gt;0,IF($I57="FS",--($E57&lt;INDEX(Tasks[End Date],AH57)+IF(INDEX(Tasks[Milestone],AH57)="Yes",0,1)),IF($I57="SS",--($E57&lt;INDEX(Tasks[Start Date],AH57)),IF($I57="FF",--($F57&lt;INDEX(Tasks[End Date],AH57)),IF($I57="SF",--($F57&lt;INDEX(Tasks[Start Date],AH57)),0)))),0),IF(AI57&gt;0,IF($I57="FS",--($E57&lt;INDEX(Tasks[End Date],AI57)+IF(INDEX(Tasks[Milestone],AI57)="Yes",0,1)),IF($I57="SS",--($E57&lt;INDEX(Tasks[Start Date],AI57)),IF($I57="FF",--($F57&lt;INDEX(Tasks[End Date],AI57)),IF($I57="SF",--($F57&lt;INDEX(Tasks[Start Date],AI57)),0)))),0),IF(AJ57&gt;0,IF($I57="FS",--($E57&lt;INDEX(Tasks[End Date],AJ57)+IF(INDEX(Tasks[Milestone],AJ57)="Yes",0,1)),IF($I57="SS",--($E57&lt;INDEX(Tasks[Start Date],AJ57)),IF($I57="FF",--($F57&lt;INDEX(Tasks[End Date],AJ57)),IF($I57="SF",--($F57&lt;INDEX(Tasks[Start Date],AJ57)),0)))),0)))</ns0:f>
        <ns0:v>0</ns0:v>
      </ns0:c>
      <ns0:c r="AM57" t="n">
        <ns0:f>IF(AND(A57&lt;&gt;"",AK57=0,EP57=0),1,0)</ns0:f>
        <ns0:v>0</ns0:v>
      </ns0:c>
      <ns0:c r="AN57" t="str">
        <ns0:f>IF(OR(A57="",B57=""),"",IF(COUNTIFS($B$7:B57,B57)=1,MAX($AN$6:AN56)+1,""))</ns0:f>
      </ns0:c>
      <ns0:c r="AO57" t="n">
        <ns0:f>IF(AND(A57&lt;&gt;"",J57="No",N57&lt;1,E57&gt;=AsOfDate),E57+ROW()/10000,1E+9)</ns0:f>
        <ns0:v>1000000000</ns0:v>
      </ns0:c>
      <ns0:c r="AP57" t="n">
        <ns0:f>IF(AND(A57&lt;&gt;"",J57="Yes",N57&lt;1,E57&gt;=AsOfDate),E57+ROW()/10000,1E+9)</ns0:f>
        <ns0:v>1000000000</ns0:v>
      </ns0:c>
      <ns0:c r="AQ57" t="n">
        <ns0:f>IF(AND(A57&lt;&gt;"",J57="No",N57&lt;1,F57&gt;=AsOfDate,F57&lt;=AsOfDate+7),F57+ROW()/10000,1E+9)</ns0:f>
        <ns0:v>1000000000</ns0:v>
      </ns0:c>
      <ns0:c r="AR57" t="n">
        <ns0:f>IF(AND(A57&lt;&gt;"",OR(O57&lt;&gt;"On track",Q57="Delayed")),ROW(),1E+9)</ns0:f>
        <ns0:v>1000000000</ns0:v>
      </ns0:c>
      <ns0:c r="AS57" t="str">
        <ns0:f>IF(A57="","",";"&amp;K57&amp;";")</ns0:f>
      </ns0:c>
      <ns0:c r="AT57" t="n">
        <ns0:f>IF(A57="",1,--(T57=0))</ns0:f>
        <ns0:v>1</ns0:v>
      </ns0:c>
      <ns0:c r="AU57" t="n">
        <ns0:f>IF($A57="",1,IF(AT57=1,1,--AND(IF($AC57&gt;0,INDEX(AT$7:AT$106,$AC57),1),IF($AD57&gt;0,INDEX(AT$7:AT$106,$AD57),1),IF($AE57&gt;0,INDEX(AT$7:AT$106,$AE57),1),IF($AF57&gt;0,INDEX(AT$7:AT$106,$AF57),1),IF($AG57&gt;0,INDEX(AT$7:AT$106,$AG57),1),IF($AH57&gt;0,INDEX(AT$7:AT$106,$AH57),1),IF($AI57&gt;0,INDEX(AT$7:AT$106,$AI57),1),IF($AJ57&gt;0,INDEX(AT$7:AT$106,$AJ57),1))))</ns0:f>
        <ns0:v>1</ns0:v>
      </ns0:c>
      <ns0:c r="AV57" t="n">
        <ns0:f>IF($A57="",1,IF(AU57=1,1,--AND(IF($AC57&gt;0,INDEX(AU$7:AU$106,$AC57),1),IF($AD57&gt;0,INDEX(AU$7:AU$106,$AD57),1),IF($AE57&gt;0,INDEX(AU$7:AU$106,$AE57),1),IF($AF57&gt;0,INDEX(AU$7:AU$106,$AF57),1),IF($AG57&gt;0,INDEX(AU$7:AU$106,$AG57),1),IF($AH57&gt;0,INDEX(AU$7:AU$106,$AH57),1),IF($AI57&gt;0,INDEX(AU$7:AU$106,$AI57),1),IF($AJ57&gt;0,INDEX(AU$7:AU$106,$AJ57),1))))</ns0:f>
        <ns0:v>1</ns0:v>
      </ns0:c>
      <ns0:c r="AW57" t="n">
        <ns0:f>IF($A57="",1,IF(AV57=1,1,--AND(IF($AC57&gt;0,INDEX(AV$7:AV$106,$AC57),1),IF($AD57&gt;0,INDEX(AV$7:AV$106,$AD57),1),IF($AE57&gt;0,INDEX(AV$7:AV$106,$AE57),1),IF($AF57&gt;0,INDEX(AV$7:AV$106,$AF57),1),IF($AG57&gt;0,INDEX(AV$7:AV$106,$AG57),1),IF($AH57&gt;0,INDEX(AV$7:AV$106,$AH57),1),IF($AI57&gt;0,INDEX(AV$7:AV$106,$AI57),1),IF($AJ57&gt;0,INDEX(AV$7:AV$106,$AJ57),1))))</ns0:f>
        <ns0:v>1</ns0:v>
      </ns0:c>
      <ns0:c r="AX57" t="n">
        <ns0:f>IF($A57="",1,IF(AW57=1,1,--AND(IF($AC57&gt;0,INDEX(AW$7:AW$106,$AC57),1),IF($AD57&gt;0,INDEX(AW$7:AW$106,$AD57),1),IF($AE57&gt;0,INDEX(AW$7:AW$106,$AE57),1),IF($AF57&gt;0,INDEX(AW$7:AW$106,$AF57),1),IF($AG57&gt;0,INDEX(AW$7:AW$106,$AG57),1),IF($AH57&gt;0,INDEX(AW$7:AW$106,$AH57),1),IF($AI57&gt;0,INDEX(AW$7:AW$106,$AI57),1),IF($AJ57&gt;0,INDEX(AW$7:AW$106,$AJ57),1))))</ns0:f>
        <ns0:v>1</ns0:v>
      </ns0:c>
      <ns0:c r="AY57" t="n">
        <ns0:f>IF($A57="",1,IF(AX57=1,1,--AND(IF($AC57&gt;0,INDEX(AX$7:AX$106,$AC57),1),IF($AD57&gt;0,INDEX(AX$7:AX$106,$AD57),1),IF($AE57&gt;0,INDEX(AX$7:AX$106,$AE57),1),IF($AF57&gt;0,INDEX(AX$7:AX$106,$AF57),1),IF($AG57&gt;0,INDEX(AX$7:AX$106,$AG57),1),IF($AH57&gt;0,INDEX(AX$7:AX$106,$AH57),1),IF($AI57&gt;0,INDEX(AX$7:AX$106,$AI57),1),IF($AJ57&gt;0,INDEX(AX$7:AX$106,$AJ57),1))))</ns0:f>
        <ns0:v>1</ns0:v>
      </ns0:c>
      <ns0:c r="AZ57" t="n">
        <ns0:f>IF($A57="",1,IF(AY57=1,1,--AND(IF($AC57&gt;0,INDEX(AY$7:AY$106,$AC57),1),IF($AD57&gt;0,INDEX(AY$7:AY$106,$AD57),1),IF($AE57&gt;0,INDEX(AY$7:AY$106,$AE57),1),IF($AF57&gt;0,INDEX(AY$7:AY$106,$AF57),1),IF($AG57&gt;0,INDEX(AY$7:AY$106,$AG57),1),IF($AH57&gt;0,INDEX(AY$7:AY$106,$AH57),1),IF($AI57&gt;0,INDEX(AY$7:AY$106,$AI57),1),IF($AJ57&gt;0,INDEX(AY$7:AY$106,$AJ57),1))))</ns0:f>
        <ns0:v>1</ns0:v>
      </ns0:c>
      <ns0:c r="BA57" t="n">
        <ns0:f>IF($A57="",1,IF(AZ57=1,1,--AND(IF($AC57&gt;0,INDEX(AZ$7:AZ$106,$AC57),1),IF($AD57&gt;0,INDEX(AZ$7:AZ$106,$AD57),1),IF($AE57&gt;0,INDEX(AZ$7:AZ$106,$AE57),1),IF($AF57&gt;0,INDEX(AZ$7:AZ$106,$AF57),1),IF($AG57&gt;0,INDEX(AZ$7:AZ$106,$AG57),1),IF($AH57&gt;0,INDEX(AZ$7:AZ$106,$AH57),1),IF($AI57&gt;0,INDEX(AZ$7:AZ$106,$AI57),1),IF($AJ57&gt;0,INDEX(AZ$7:AZ$106,$AJ57),1))))</ns0:f>
        <ns0:v>1</ns0:v>
      </ns0:c>
      <ns0:c r="BB57" t="n">
        <ns0:f>IF($A57="",1,IF(BA57=1,1,--AND(IF($AC57&gt;0,INDEX(BA$7:BA$106,$AC57),1),IF($AD57&gt;0,INDEX(BA$7:BA$106,$AD57),1),IF($AE57&gt;0,INDEX(BA$7:BA$106,$AE57),1),IF($AF57&gt;0,INDEX(BA$7:BA$106,$AF57),1),IF($AG57&gt;0,INDEX(BA$7:BA$106,$AG57),1),IF($AH57&gt;0,INDEX(BA$7:BA$106,$AH57),1),IF($AI57&gt;0,INDEX(BA$7:BA$106,$AI57),1),IF($AJ57&gt;0,INDEX(BA$7:BA$106,$AJ57),1))))</ns0:f>
        <ns0:v>1</ns0:v>
      </ns0:c>
      <ns0:c r="BC57" t="n">
        <ns0:f>IF($A57="",1,IF(BB57=1,1,--AND(IF($AC57&gt;0,INDEX(BB$7:BB$106,$AC57),1),IF($AD57&gt;0,INDEX(BB$7:BB$106,$AD57),1),IF($AE57&gt;0,INDEX(BB$7:BB$106,$AE57),1),IF($AF57&gt;0,INDEX(BB$7:BB$106,$AF57),1),IF($AG57&gt;0,INDEX(BB$7:BB$106,$AG57),1),IF($AH57&gt;0,INDEX(BB$7:BB$106,$AH57),1),IF($AI57&gt;0,INDEX(BB$7:BB$106,$AI57),1),IF($AJ57&gt;0,INDEX(BB$7:BB$106,$AJ57),1))))</ns0:f>
        <ns0:v>1</ns0:v>
      </ns0:c>
      <ns0:c r="BD57" t="n">
        <ns0:f>IF($A57="",1,IF(BC57=1,1,--AND(IF($AC57&gt;0,INDEX(BC$7:BC$106,$AC57),1),IF($AD57&gt;0,INDEX(BC$7:BC$106,$AD57),1),IF($AE57&gt;0,INDEX(BC$7:BC$106,$AE57),1),IF($AF57&gt;0,INDEX(BC$7:BC$106,$AF57),1),IF($AG57&gt;0,INDEX(BC$7:BC$106,$AG57),1),IF($AH57&gt;0,INDEX(BC$7:BC$106,$AH57),1),IF($AI57&gt;0,INDEX(BC$7:BC$106,$AI57),1),IF($AJ57&gt;0,INDEX(BC$7:BC$106,$AJ57),1))))</ns0:f>
        <ns0:v>1</ns0:v>
      </ns0:c>
      <ns0:c r="BE57" t="n">
        <ns0:f>IF($A57="",1,IF(BD57=1,1,--AND(IF($AC57&gt;0,INDEX(BD$7:BD$106,$AC57),1),IF($AD57&gt;0,INDEX(BD$7:BD$106,$AD57),1),IF($AE57&gt;0,INDEX(BD$7:BD$106,$AE57),1),IF($AF57&gt;0,INDEX(BD$7:BD$106,$AF57),1),IF($AG57&gt;0,INDEX(BD$7:BD$106,$AG57),1),IF($AH57&gt;0,INDEX(BD$7:BD$106,$AH57),1),IF($AI57&gt;0,INDEX(BD$7:BD$106,$AI57),1),IF($AJ57&gt;0,INDEX(BD$7:BD$106,$AJ57),1))))</ns0:f>
        <ns0:v>1</ns0:v>
      </ns0:c>
      <ns0:c r="BF57" t="n">
        <ns0:f>IF($A57="",1,IF(BE57=1,1,--AND(IF($AC57&gt;0,INDEX(BE$7:BE$106,$AC57),1),IF($AD57&gt;0,INDEX(BE$7:BE$106,$AD57),1),IF($AE57&gt;0,INDEX(BE$7:BE$106,$AE57),1),IF($AF57&gt;0,INDEX(BE$7:BE$106,$AF57),1),IF($AG57&gt;0,INDEX(BE$7:BE$106,$AG57),1),IF($AH57&gt;0,INDEX(BE$7:BE$106,$AH57),1),IF($AI57&gt;0,INDEX(BE$7:BE$106,$AI57),1),IF($AJ57&gt;0,INDEX(BE$7:BE$106,$AJ57),1))))</ns0:f>
        <ns0:v>1</ns0:v>
      </ns0:c>
      <ns0:c r="BG57" t="n">
        <ns0:f>IF($A57="",1,IF(BF57=1,1,--AND(IF($AC57&gt;0,INDEX(BF$7:BF$106,$AC57),1),IF($AD57&gt;0,INDEX(BF$7:BF$106,$AD57),1),IF($AE57&gt;0,INDEX(BF$7:BF$106,$AE57),1),IF($AF57&gt;0,INDEX(BF$7:BF$106,$AF57),1),IF($AG57&gt;0,INDEX(BF$7:BF$106,$AG57),1),IF($AH57&gt;0,INDEX(BF$7:BF$106,$AH57),1),IF($AI57&gt;0,INDEX(BF$7:BF$106,$AI57),1),IF($AJ57&gt;0,INDEX(BF$7:BF$106,$AJ57),1))))</ns0:f>
        <ns0:v>1</ns0:v>
      </ns0:c>
      <ns0:c r="BH57" t="n">
        <ns0:f>IF($A57="",1,IF(BG57=1,1,--AND(IF($AC57&gt;0,INDEX(BG$7:BG$106,$AC57),1),IF($AD57&gt;0,INDEX(BG$7:BG$106,$AD57),1),IF($AE57&gt;0,INDEX(BG$7:BG$106,$AE57),1),IF($AF57&gt;0,INDEX(BG$7:BG$106,$AF57),1),IF($AG57&gt;0,INDEX(BG$7:BG$106,$AG57),1),IF($AH57&gt;0,INDEX(BG$7:BG$106,$AH57),1),IF($AI57&gt;0,INDEX(BG$7:BG$106,$AI57),1),IF($AJ57&gt;0,INDEX(BG$7:BG$106,$AJ57),1))))</ns0:f>
        <ns0:v>1</ns0:v>
      </ns0:c>
      <ns0:c r="BI57" t="n">
        <ns0:f>IF($A57="",1,IF(BH57=1,1,--AND(IF($AC57&gt;0,INDEX(BH$7:BH$106,$AC57),1),IF($AD57&gt;0,INDEX(BH$7:BH$106,$AD57),1),IF($AE57&gt;0,INDEX(BH$7:BH$106,$AE57),1),IF($AF57&gt;0,INDEX(BH$7:BH$106,$AF57),1),IF($AG57&gt;0,INDEX(BH$7:BH$106,$AG57),1),IF($AH57&gt;0,INDEX(BH$7:BH$106,$AH57),1),IF($AI57&gt;0,INDEX(BH$7:BH$106,$AI57),1),IF($AJ57&gt;0,INDEX(BH$7:BH$106,$AJ57),1))))</ns0:f>
        <ns0:v>1</ns0:v>
      </ns0:c>
      <ns0:c r="BJ57" t="n">
        <ns0:f>IF($A57="",1,IF(BI57=1,1,--AND(IF($AC57&gt;0,INDEX(BI$7:BI$106,$AC57),1),IF($AD57&gt;0,INDEX(BI$7:BI$106,$AD57),1),IF($AE57&gt;0,INDEX(BI$7:BI$106,$AE57),1),IF($AF57&gt;0,INDEX(BI$7:BI$106,$AF57),1),IF($AG57&gt;0,INDEX(BI$7:BI$106,$AG57),1),IF($AH57&gt;0,INDEX(BI$7:BI$106,$AH57),1),IF($AI57&gt;0,INDEX(BI$7:BI$106,$AI57),1),IF($AJ57&gt;0,INDEX(BI$7:BI$106,$AJ57),1))))</ns0:f>
        <ns0:v>1</ns0:v>
      </ns0:c>
      <ns0:c r="BK57" t="n">
        <ns0:f>IF($A57="",1,IF(BJ57=1,1,--AND(IF($AC57&gt;0,INDEX(BJ$7:BJ$106,$AC57),1),IF($AD57&gt;0,INDEX(BJ$7:BJ$106,$AD57),1),IF($AE57&gt;0,INDEX(BJ$7:BJ$106,$AE57),1),IF($AF57&gt;0,INDEX(BJ$7:BJ$106,$AF57),1),IF($AG57&gt;0,INDEX(BJ$7:BJ$106,$AG57),1),IF($AH57&gt;0,INDEX(BJ$7:BJ$106,$AH57),1),IF($AI57&gt;0,INDEX(BJ$7:BJ$106,$AI57),1),IF($AJ57&gt;0,INDEX(BJ$7:BJ$106,$AJ57),1))))</ns0:f>
        <ns0:v>1</ns0:v>
      </ns0:c>
      <ns0:c r="BL57" t="n">
        <ns0:f>IF($A57="",1,IF(BK57=1,1,--AND(IF($AC57&gt;0,INDEX(BK$7:BK$106,$AC57),1),IF($AD57&gt;0,INDEX(BK$7:BK$106,$AD57),1),IF($AE57&gt;0,INDEX(BK$7:BK$106,$AE57),1),IF($AF57&gt;0,INDEX(BK$7:BK$106,$AF57),1),IF($AG57&gt;0,INDEX(BK$7:BK$106,$AG57),1),IF($AH57&gt;0,INDEX(BK$7:BK$106,$AH57),1),IF($AI57&gt;0,INDEX(BK$7:BK$106,$AI57),1),IF($AJ57&gt;0,INDEX(BK$7:BK$106,$AJ57),1))))</ns0:f>
        <ns0:v>1</ns0:v>
      </ns0:c>
      <ns0:c r="BM57" t="n">
        <ns0:f>IF($A57="",1,IF(BL57=1,1,--AND(IF($AC57&gt;0,INDEX(BL$7:BL$106,$AC57),1),IF($AD57&gt;0,INDEX(BL$7:BL$106,$AD57),1),IF($AE57&gt;0,INDEX(BL$7:BL$106,$AE57),1),IF($AF57&gt;0,INDEX(BL$7:BL$106,$AF57),1),IF($AG57&gt;0,INDEX(BL$7:BL$106,$AG57),1),IF($AH57&gt;0,INDEX(BL$7:BL$106,$AH57),1),IF($AI57&gt;0,INDEX(BL$7:BL$106,$AI57),1),IF($AJ57&gt;0,INDEX(BL$7:BL$106,$AJ57),1))))</ns0:f>
        <ns0:v>1</ns0:v>
      </ns0:c>
      <ns0:c r="BN57" t="n">
        <ns0:f>IF($A57="",1,IF(BM57=1,1,--AND(IF($AC57&gt;0,INDEX(BM$7:BM$106,$AC57),1),IF($AD57&gt;0,INDEX(BM$7:BM$106,$AD57),1),IF($AE57&gt;0,INDEX(BM$7:BM$106,$AE57),1),IF($AF57&gt;0,INDEX(BM$7:BM$106,$AF57),1),IF($AG57&gt;0,INDEX(BM$7:BM$106,$AG57),1),IF($AH57&gt;0,INDEX(BM$7:BM$106,$AH57),1),IF($AI57&gt;0,INDEX(BM$7:BM$106,$AI57),1),IF($AJ57&gt;0,INDEX(BM$7:BM$106,$AJ57),1))))</ns0:f>
        <ns0:v>1</ns0:v>
      </ns0:c>
      <ns0:c r="BO57" t="n">
        <ns0:f>IF($A57="",1,IF(BN57=1,1,--AND(IF($AC57&gt;0,INDEX(BN$7:BN$106,$AC57),1),IF($AD57&gt;0,INDEX(BN$7:BN$106,$AD57),1),IF($AE57&gt;0,INDEX(BN$7:BN$106,$AE57),1),IF($AF57&gt;0,INDEX(BN$7:BN$106,$AF57),1),IF($AG57&gt;0,INDEX(BN$7:BN$106,$AG57),1),IF($AH57&gt;0,INDEX(BN$7:BN$106,$AH57),1),IF($AI57&gt;0,INDEX(BN$7:BN$106,$AI57),1),IF($AJ57&gt;0,INDEX(BN$7:BN$106,$AJ57),1))))</ns0:f>
        <ns0:v>1</ns0:v>
      </ns0:c>
      <ns0:c r="BP57" t="n">
        <ns0:f>IF($A57="",1,IF(BO57=1,1,--AND(IF($AC57&gt;0,INDEX(BO$7:BO$106,$AC57),1),IF($AD57&gt;0,INDEX(BO$7:BO$106,$AD57),1),IF($AE57&gt;0,INDEX(BO$7:BO$106,$AE57),1),IF($AF57&gt;0,INDEX(BO$7:BO$106,$AF57),1),IF($AG57&gt;0,INDEX(BO$7:BO$106,$AG57),1),IF($AH57&gt;0,INDEX(BO$7:BO$106,$AH57),1),IF($AI57&gt;0,INDEX(BO$7:BO$106,$AI57),1),IF($AJ57&gt;0,INDEX(BO$7:BO$106,$AJ57),1))))</ns0:f>
        <ns0:v>1</ns0:v>
      </ns0:c>
      <ns0:c r="BQ57" t="n">
        <ns0:f>IF($A57="",1,IF(BP57=1,1,--AND(IF($AC57&gt;0,INDEX(BP$7:BP$106,$AC57),1),IF($AD57&gt;0,INDEX(BP$7:BP$106,$AD57),1),IF($AE57&gt;0,INDEX(BP$7:BP$106,$AE57),1),IF($AF57&gt;0,INDEX(BP$7:BP$106,$AF57),1),IF($AG57&gt;0,INDEX(BP$7:BP$106,$AG57),1),IF($AH57&gt;0,INDEX(BP$7:BP$106,$AH57),1),IF($AI57&gt;0,INDEX(BP$7:BP$106,$AI57),1),IF($AJ57&gt;0,INDEX(BP$7:BP$106,$AJ57),1))))</ns0:f>
        <ns0:v>1</ns0:v>
      </ns0:c>
      <ns0:c r="BR57" t="n">
        <ns0:f>IF($A57="",1,IF(BQ57=1,1,--AND(IF($AC57&gt;0,INDEX(BQ$7:BQ$106,$AC57),1),IF($AD57&gt;0,INDEX(BQ$7:BQ$106,$AD57),1),IF($AE57&gt;0,INDEX(BQ$7:BQ$106,$AE57),1),IF($AF57&gt;0,INDEX(BQ$7:BQ$106,$AF57),1),IF($AG57&gt;0,INDEX(BQ$7:BQ$106,$AG57),1),IF($AH57&gt;0,INDEX(BQ$7:BQ$106,$AH57),1),IF($AI57&gt;0,INDEX(BQ$7:BQ$106,$AI57),1),IF($AJ57&gt;0,INDEX(BQ$7:BQ$106,$AJ57),1))))</ns0:f>
        <ns0:v>1</ns0:v>
      </ns0:c>
      <ns0:c r="BS57" t="n">
        <ns0:f>IF($A57="",1,IF(BR57=1,1,--AND(IF($AC57&gt;0,INDEX(BR$7:BR$106,$AC57),1),IF($AD57&gt;0,INDEX(BR$7:BR$106,$AD57),1),IF($AE57&gt;0,INDEX(BR$7:BR$106,$AE57),1),IF($AF57&gt;0,INDEX(BR$7:BR$106,$AF57),1),IF($AG57&gt;0,INDEX(BR$7:BR$106,$AG57),1),IF($AH57&gt;0,INDEX(BR$7:BR$106,$AH57),1),IF($AI57&gt;0,INDEX(BR$7:BR$106,$AI57),1),IF($AJ57&gt;0,INDEX(BR$7:BR$106,$AJ57),1))))</ns0:f>
        <ns0:v>1</ns0:v>
      </ns0:c>
      <ns0:c r="BT57" t="n">
        <ns0:f>IF($A57="",1,IF(BS57=1,1,--AND(IF($AC57&gt;0,INDEX(BS$7:BS$106,$AC57),1),IF($AD57&gt;0,INDEX(BS$7:BS$106,$AD57),1),IF($AE57&gt;0,INDEX(BS$7:BS$106,$AE57),1),IF($AF57&gt;0,INDEX(BS$7:BS$106,$AF57),1),IF($AG57&gt;0,INDEX(BS$7:BS$106,$AG57),1),IF($AH57&gt;0,INDEX(BS$7:BS$106,$AH57),1),IF($AI57&gt;0,INDEX(BS$7:BS$106,$AI57),1),IF($AJ57&gt;0,INDEX(BS$7:BS$106,$AJ57),1))))</ns0:f>
        <ns0:v>1</ns0:v>
      </ns0:c>
      <ns0:c r="BU57" t="n">
        <ns0:f>IF($A57="",1,IF(BT57=1,1,--AND(IF($AC57&gt;0,INDEX(BT$7:BT$106,$AC57),1),IF($AD57&gt;0,INDEX(BT$7:BT$106,$AD57),1),IF($AE57&gt;0,INDEX(BT$7:BT$106,$AE57),1),IF($AF57&gt;0,INDEX(BT$7:BT$106,$AF57),1),IF($AG57&gt;0,INDEX(BT$7:BT$106,$AG57),1),IF($AH57&gt;0,INDEX(BT$7:BT$106,$AH57),1),IF($AI57&gt;0,INDEX(BT$7:BT$106,$AI57),1),IF($AJ57&gt;0,INDEX(BT$7:BT$106,$AJ57),1))))</ns0:f>
        <ns0:v>1</ns0:v>
      </ns0:c>
      <ns0:c r="BV57" t="n">
        <ns0:f>IF($A57="",1,IF(BU57=1,1,--AND(IF($AC57&gt;0,INDEX(BU$7:BU$106,$AC57),1),IF($AD57&gt;0,INDEX(BU$7:BU$106,$AD57),1),IF($AE57&gt;0,INDEX(BU$7:BU$106,$AE57),1),IF($AF57&gt;0,INDEX(BU$7:BU$106,$AF57),1),IF($AG57&gt;0,INDEX(BU$7:BU$106,$AG57),1),IF($AH57&gt;0,INDEX(BU$7:BU$106,$AH57),1),IF($AI57&gt;0,INDEX(BU$7:BU$106,$AI57),1),IF($AJ57&gt;0,INDEX(BU$7:BU$106,$AJ57),1))))</ns0:f>
        <ns0:v>1</ns0:v>
      </ns0:c>
      <ns0:c r="BW57" t="n">
        <ns0:f>IF($A57="",1,IF(BV57=1,1,--AND(IF($AC57&gt;0,INDEX(BV$7:BV$106,$AC57),1),IF($AD57&gt;0,INDEX(BV$7:BV$106,$AD57),1),IF($AE57&gt;0,INDEX(BV$7:BV$106,$AE57),1),IF($AF57&gt;0,INDEX(BV$7:BV$106,$AF57),1),IF($AG57&gt;0,INDEX(BV$7:BV$106,$AG57),1),IF($AH57&gt;0,INDEX(BV$7:BV$106,$AH57),1),IF($AI57&gt;0,INDEX(BV$7:BV$106,$AI57),1),IF($AJ57&gt;0,INDEX(BV$7:BV$106,$AJ57),1))))</ns0:f>
        <ns0:v>1</ns0:v>
      </ns0:c>
      <ns0:c r="BX57" t="n">
        <ns0:f>IF($A57="",1,IF(BW57=1,1,--AND(IF($AC57&gt;0,INDEX(BW$7:BW$106,$AC57),1),IF($AD57&gt;0,INDEX(BW$7:BW$106,$AD57),1),IF($AE57&gt;0,INDEX(BW$7:BW$106,$AE57),1),IF($AF57&gt;0,INDEX(BW$7:BW$106,$AF57),1),IF($AG57&gt;0,INDEX(BW$7:BW$106,$AG57),1),IF($AH57&gt;0,INDEX(BW$7:BW$106,$AH57),1),IF($AI57&gt;0,INDEX(BW$7:BW$106,$AI57),1),IF($AJ57&gt;0,INDEX(BW$7:BW$106,$AJ57),1))))</ns0:f>
        <ns0:v>1</ns0:v>
      </ns0:c>
      <ns0:c r="BY57" t="n">
        <ns0:f>IF($A57="",1,IF(BX57=1,1,--AND(IF($AC57&gt;0,INDEX(BX$7:BX$106,$AC57),1),IF($AD57&gt;0,INDEX(BX$7:BX$106,$AD57),1),IF($AE57&gt;0,INDEX(BX$7:BX$106,$AE57),1),IF($AF57&gt;0,INDEX(BX$7:BX$106,$AF57),1),IF($AG57&gt;0,INDEX(BX$7:BX$106,$AG57),1),IF($AH57&gt;0,INDEX(BX$7:BX$106,$AH57),1),IF($AI57&gt;0,INDEX(BX$7:BX$106,$AI57),1),IF($AJ57&gt;0,INDEX(BX$7:BX$106,$AJ57),1))))</ns0:f>
        <ns0:v>1</ns0:v>
      </ns0:c>
      <ns0:c r="BZ57" t="n">
        <ns0:f>IF($A57="",1,IF(BY57=1,1,--AND(IF($AC57&gt;0,INDEX(BY$7:BY$106,$AC57),1),IF($AD57&gt;0,INDEX(BY$7:BY$106,$AD57),1),IF($AE57&gt;0,INDEX(BY$7:BY$106,$AE57),1),IF($AF57&gt;0,INDEX(BY$7:BY$106,$AF57),1),IF($AG57&gt;0,INDEX(BY$7:BY$106,$AG57),1),IF($AH57&gt;0,INDEX(BY$7:BY$106,$AH57),1),IF($AI57&gt;0,INDEX(BY$7:BY$106,$AI57),1),IF($AJ57&gt;0,INDEX(BY$7:BY$106,$AJ57),1))))</ns0:f>
        <ns0:v>1</ns0:v>
      </ns0:c>
      <ns0:c r="CA57" t="n">
        <ns0:f>IF($A57="",1,IF(BZ57=1,1,--AND(IF($AC57&gt;0,INDEX(BZ$7:BZ$106,$AC57),1),IF($AD57&gt;0,INDEX(BZ$7:BZ$106,$AD57),1),IF($AE57&gt;0,INDEX(BZ$7:BZ$106,$AE57),1),IF($AF57&gt;0,INDEX(BZ$7:BZ$106,$AF57),1),IF($AG57&gt;0,INDEX(BZ$7:BZ$106,$AG57),1),IF($AH57&gt;0,INDEX(BZ$7:BZ$106,$AH57),1),IF($AI57&gt;0,INDEX(BZ$7:BZ$106,$AI57),1),IF($AJ57&gt;0,INDEX(BZ$7:BZ$106,$AJ57),1))))</ns0:f>
        <ns0:v>1</ns0:v>
      </ns0:c>
      <ns0:c r="CB57" t="n">
        <ns0:f>IF($A57="",1,IF(CA57=1,1,--AND(IF($AC57&gt;0,INDEX(CA$7:CA$106,$AC57),1),IF($AD57&gt;0,INDEX(CA$7:CA$106,$AD57),1),IF($AE57&gt;0,INDEX(CA$7:CA$106,$AE57),1),IF($AF57&gt;0,INDEX(CA$7:CA$106,$AF57),1),IF($AG57&gt;0,INDEX(CA$7:CA$106,$AG57),1),IF($AH57&gt;0,INDEX(CA$7:CA$106,$AH57),1),IF($AI57&gt;0,INDEX(CA$7:CA$106,$AI57),1),IF($AJ57&gt;0,INDEX(CA$7:CA$106,$AJ57),1))))</ns0:f>
        <ns0:v>1</ns0:v>
      </ns0:c>
      <ns0:c r="CC57" t="n">
        <ns0:f>IF($A57="",1,IF(CB57=1,1,--AND(IF($AC57&gt;0,INDEX(CB$7:CB$106,$AC57),1),IF($AD57&gt;0,INDEX(CB$7:CB$106,$AD57),1),IF($AE57&gt;0,INDEX(CB$7:CB$106,$AE57),1),IF($AF57&gt;0,INDEX(CB$7:CB$106,$AF57),1),IF($AG57&gt;0,INDEX(CB$7:CB$106,$AG57),1),IF($AH57&gt;0,INDEX(CB$7:CB$106,$AH57),1),IF($AI57&gt;0,INDEX(CB$7:CB$106,$AI57),1),IF($AJ57&gt;0,INDEX(CB$7:CB$106,$AJ57),1))))</ns0:f>
        <ns0:v>1</ns0:v>
      </ns0:c>
      <ns0:c r="CD57" t="n">
        <ns0:f>IF($A57="",1,IF(CC57=1,1,--AND(IF($AC57&gt;0,INDEX(CC$7:CC$106,$AC57),1),IF($AD57&gt;0,INDEX(CC$7:CC$106,$AD57),1),IF($AE57&gt;0,INDEX(CC$7:CC$106,$AE57),1),IF($AF57&gt;0,INDEX(CC$7:CC$106,$AF57),1),IF($AG57&gt;0,INDEX(CC$7:CC$106,$AG57),1),IF($AH57&gt;0,INDEX(CC$7:CC$106,$AH57),1),IF($AI57&gt;0,INDEX(CC$7:CC$106,$AI57),1),IF($AJ57&gt;0,INDEX(CC$7:CC$106,$AJ57),1))))</ns0:f>
        <ns0:v>1</ns0:v>
      </ns0:c>
      <ns0:c r="CE57" t="n">
        <ns0:f>IF($A57="",1,IF(CD57=1,1,--AND(IF($AC57&gt;0,INDEX(CD$7:CD$106,$AC57),1),IF($AD57&gt;0,INDEX(CD$7:CD$106,$AD57),1),IF($AE57&gt;0,INDEX(CD$7:CD$106,$AE57),1),IF($AF57&gt;0,INDEX(CD$7:CD$106,$AF57),1),IF($AG57&gt;0,INDEX(CD$7:CD$106,$AG57),1),IF($AH57&gt;0,INDEX(CD$7:CD$106,$AH57),1),IF($AI57&gt;0,INDEX(CD$7:CD$106,$AI57),1),IF($AJ57&gt;0,INDEX(CD$7:CD$106,$AJ57),1))))</ns0:f>
        <ns0:v>1</ns0:v>
      </ns0:c>
      <ns0:c r="CF57" t="n">
        <ns0:f>IF($A57="",1,IF(CE57=1,1,--AND(IF($AC57&gt;0,INDEX(CE$7:CE$106,$AC57),1),IF($AD57&gt;0,INDEX(CE$7:CE$106,$AD57),1),IF($AE57&gt;0,INDEX(CE$7:CE$106,$AE57),1),IF($AF57&gt;0,INDEX(CE$7:CE$106,$AF57),1),IF($AG57&gt;0,INDEX(CE$7:CE$106,$AG57),1),IF($AH57&gt;0,INDEX(CE$7:CE$106,$AH57),1),IF($AI57&gt;0,INDEX(CE$7:CE$106,$AI57),1),IF($AJ57&gt;0,INDEX(CE$7:CE$106,$AJ57),1))))</ns0:f>
        <ns0:v>1</ns0:v>
      </ns0:c>
      <ns0:c r="CG57" t="n">
        <ns0:f>IF($A57="",1,IF(CF57=1,1,--AND(IF($AC57&gt;0,INDEX(CF$7:CF$106,$AC57),1),IF($AD57&gt;0,INDEX(CF$7:CF$106,$AD57),1),IF($AE57&gt;0,INDEX(CF$7:CF$106,$AE57),1),IF($AF57&gt;0,INDEX(CF$7:CF$106,$AF57),1),IF($AG57&gt;0,INDEX(CF$7:CF$106,$AG57),1),IF($AH57&gt;0,INDEX(CF$7:CF$106,$AH57),1),IF($AI57&gt;0,INDEX(CF$7:CF$106,$AI57),1),IF($AJ57&gt;0,INDEX(CF$7:CF$106,$AJ57),1))))</ns0:f>
        <ns0:v>1</ns0:v>
      </ns0:c>
      <ns0:c r="CH57" t="n">
        <ns0:f>IF($A57="",1,IF(CG57=1,1,--AND(IF($AC57&gt;0,INDEX(CG$7:CG$106,$AC57),1),IF($AD57&gt;0,INDEX(CG$7:CG$106,$AD57),1),IF($AE57&gt;0,INDEX(CG$7:CG$106,$AE57),1),IF($AF57&gt;0,INDEX(CG$7:CG$106,$AF57),1),IF($AG57&gt;0,INDEX(CG$7:CG$106,$AG57),1),IF($AH57&gt;0,INDEX(CG$7:CG$106,$AH57),1),IF($AI57&gt;0,INDEX(CG$7:CG$106,$AI57),1),IF($AJ57&gt;0,INDEX(CG$7:CG$106,$AJ57),1))))</ns0:f>
        <ns0:v>1</ns0:v>
      </ns0:c>
      <ns0:c r="CI57" t="n">
        <ns0:f>IF($A57="",1,IF(CH57=1,1,--AND(IF($AC57&gt;0,INDEX(CH$7:CH$106,$AC57),1),IF($AD57&gt;0,INDEX(CH$7:CH$106,$AD57),1),IF($AE57&gt;0,INDEX(CH$7:CH$106,$AE57),1),IF($AF57&gt;0,INDEX(CH$7:CH$106,$AF57),1),IF($AG57&gt;0,INDEX(CH$7:CH$106,$AG57),1),IF($AH57&gt;0,INDEX(CH$7:CH$106,$AH57),1),IF($AI57&gt;0,INDEX(CH$7:CH$106,$AI57),1),IF($AJ57&gt;0,INDEX(CH$7:CH$106,$AJ57),1))))</ns0:f>
        <ns0:v>1</ns0:v>
      </ns0:c>
      <ns0:c r="CJ57" t="n">
        <ns0:f>IF($A57="",1,IF(CI57=1,1,--AND(IF($AC57&gt;0,INDEX(CI$7:CI$106,$AC57),1),IF($AD57&gt;0,INDEX(CI$7:CI$106,$AD57),1),IF($AE57&gt;0,INDEX(CI$7:CI$106,$AE57),1),IF($AF57&gt;0,INDEX(CI$7:CI$106,$AF57),1),IF($AG57&gt;0,INDEX(CI$7:CI$106,$AG57),1),IF($AH57&gt;0,INDEX(CI$7:CI$106,$AH57),1),IF($AI57&gt;0,INDEX(CI$7:CI$106,$AI57),1),IF($AJ57&gt;0,INDEX(CI$7:CI$106,$AJ57),1))))</ns0:f>
        <ns0:v>1</ns0:v>
      </ns0:c>
      <ns0:c r="CK57" t="n">
        <ns0:f>IF($A57="",1,IF(CJ57=1,1,--AND(IF($AC57&gt;0,INDEX(CJ$7:CJ$106,$AC57),1),IF($AD57&gt;0,INDEX(CJ$7:CJ$106,$AD57),1),IF($AE57&gt;0,INDEX(CJ$7:CJ$106,$AE57),1),IF($AF57&gt;0,INDEX(CJ$7:CJ$106,$AF57),1),IF($AG57&gt;0,INDEX(CJ$7:CJ$106,$AG57),1),IF($AH57&gt;0,INDEX(CJ$7:CJ$106,$AH57),1),IF($AI57&gt;0,INDEX(CJ$7:CJ$106,$AI57),1),IF($AJ57&gt;0,INDEX(CJ$7:CJ$106,$AJ57),1))))</ns0:f>
        <ns0:v>1</ns0:v>
      </ns0:c>
      <ns0:c r="CL57" t="n">
        <ns0:f>IF($A57="",1,IF(CK57=1,1,--AND(IF($AC57&gt;0,INDEX(CK$7:CK$106,$AC57),1),IF($AD57&gt;0,INDEX(CK$7:CK$106,$AD57),1),IF($AE57&gt;0,INDEX(CK$7:CK$106,$AE57),1),IF($AF57&gt;0,INDEX(CK$7:CK$106,$AF57),1),IF($AG57&gt;0,INDEX(CK$7:CK$106,$AG57),1),IF($AH57&gt;0,INDEX(CK$7:CK$106,$AH57),1),IF($AI57&gt;0,INDEX(CK$7:CK$106,$AI57),1),IF($AJ57&gt;0,INDEX(CK$7:CK$106,$AJ57),1))))</ns0:f>
        <ns0:v>1</ns0:v>
      </ns0:c>
      <ns0:c r="CM57" t="n">
        <ns0:f>IF($A57="",1,IF(CL57=1,1,--AND(IF($AC57&gt;0,INDEX(CL$7:CL$106,$AC57),1),IF($AD57&gt;0,INDEX(CL$7:CL$106,$AD57),1),IF($AE57&gt;0,INDEX(CL$7:CL$106,$AE57),1),IF($AF57&gt;0,INDEX(CL$7:CL$106,$AF57),1),IF($AG57&gt;0,INDEX(CL$7:CL$106,$AG57),1),IF($AH57&gt;0,INDEX(CL$7:CL$106,$AH57),1),IF($AI57&gt;0,INDEX(CL$7:CL$106,$AI57),1),IF($AJ57&gt;0,INDEX(CL$7:CL$106,$AJ57),1))))</ns0:f>
        <ns0:v>1</ns0:v>
      </ns0:c>
      <ns0:c r="CN57" t="n">
        <ns0:f>IF($A57="",1,IF(CM57=1,1,--AND(IF($AC57&gt;0,INDEX(CM$7:CM$106,$AC57),1),IF($AD57&gt;0,INDEX(CM$7:CM$106,$AD57),1),IF($AE57&gt;0,INDEX(CM$7:CM$106,$AE57),1),IF($AF57&gt;0,INDEX(CM$7:CM$106,$AF57),1),IF($AG57&gt;0,INDEX(CM$7:CM$106,$AG57),1),IF($AH57&gt;0,INDEX(CM$7:CM$106,$AH57),1),IF($AI57&gt;0,INDEX(CM$7:CM$106,$AI57),1),IF($AJ57&gt;0,INDEX(CM$7:CM$106,$AJ57),1))))</ns0:f>
        <ns0:v>1</ns0:v>
      </ns0:c>
      <ns0:c r="CO57" t="n">
        <ns0:f>IF($A57="",1,IF(CN57=1,1,--AND(IF($AC57&gt;0,INDEX(CN$7:CN$106,$AC57),1),IF($AD57&gt;0,INDEX(CN$7:CN$106,$AD57),1),IF($AE57&gt;0,INDEX(CN$7:CN$106,$AE57),1),IF($AF57&gt;0,INDEX(CN$7:CN$106,$AF57),1),IF($AG57&gt;0,INDEX(CN$7:CN$106,$AG57),1),IF($AH57&gt;0,INDEX(CN$7:CN$106,$AH57),1),IF($AI57&gt;0,INDEX(CN$7:CN$106,$AI57),1),IF($AJ57&gt;0,INDEX(CN$7:CN$106,$AJ57),1))))</ns0:f>
        <ns0:v>1</ns0:v>
      </ns0:c>
      <ns0:c r="CP57" t="n">
        <ns0:f>IF($A57="",1,IF(CO57=1,1,--AND(IF($AC57&gt;0,INDEX(CO$7:CO$106,$AC57),1),IF($AD57&gt;0,INDEX(CO$7:CO$106,$AD57),1),IF($AE57&gt;0,INDEX(CO$7:CO$106,$AE57),1),IF($AF57&gt;0,INDEX(CO$7:CO$106,$AF57),1),IF($AG57&gt;0,INDEX(CO$7:CO$106,$AG57),1),IF($AH57&gt;0,INDEX(CO$7:CO$106,$AH57),1),IF($AI57&gt;0,INDEX(CO$7:CO$106,$AI57),1),IF($AJ57&gt;0,INDEX(CO$7:CO$106,$AJ57),1))))</ns0:f>
        <ns0:v>1</ns0:v>
      </ns0:c>
      <ns0:c r="CQ57" t="n">
        <ns0:f>IF($A57="",1,IF(CP57=1,1,--AND(IF($AC57&gt;0,INDEX(CP$7:CP$106,$AC57),1),IF($AD57&gt;0,INDEX(CP$7:CP$106,$AD57),1),IF($AE57&gt;0,INDEX(CP$7:CP$106,$AE57),1),IF($AF57&gt;0,INDEX(CP$7:CP$106,$AF57),1),IF($AG57&gt;0,INDEX(CP$7:CP$106,$AG57),1),IF($AH57&gt;0,INDEX(CP$7:CP$106,$AH57),1),IF($AI57&gt;0,INDEX(CP$7:CP$106,$AI57),1),IF($AJ57&gt;0,INDEX(CP$7:CP$106,$AJ57),1))))</ns0:f>
        <ns0:v>1</ns0:v>
      </ns0:c>
      <ns0:c r="CR57" t="n">
        <ns0:f>IF($A57="",1,IF(CQ57=1,1,--AND(IF($AC57&gt;0,INDEX(CQ$7:CQ$106,$AC57),1),IF($AD57&gt;0,INDEX(CQ$7:CQ$106,$AD57),1),IF($AE57&gt;0,INDEX(CQ$7:CQ$106,$AE57),1),IF($AF57&gt;0,INDEX(CQ$7:CQ$106,$AF57),1),IF($AG57&gt;0,INDEX(CQ$7:CQ$106,$AG57),1),IF($AH57&gt;0,INDEX(CQ$7:CQ$106,$AH57),1),IF($AI57&gt;0,INDEX(CQ$7:CQ$106,$AI57),1),IF($AJ57&gt;0,INDEX(CQ$7:CQ$106,$AJ57),1))))</ns0:f>
        <ns0:v>1</ns0:v>
      </ns0:c>
      <ns0:c r="CS57" t="n">
        <ns0:f>IF($A57="",1,IF(CR57=1,1,--AND(IF($AC57&gt;0,INDEX(CR$7:CR$106,$AC57),1),IF($AD57&gt;0,INDEX(CR$7:CR$106,$AD57),1),IF($AE57&gt;0,INDEX(CR$7:CR$106,$AE57),1),IF($AF57&gt;0,INDEX(CR$7:CR$106,$AF57),1),IF($AG57&gt;0,INDEX(CR$7:CR$106,$AG57),1),IF($AH57&gt;0,INDEX(CR$7:CR$106,$AH57),1),IF($AI57&gt;0,INDEX(CR$7:CR$106,$AI57),1),IF($AJ57&gt;0,INDEX(CR$7:CR$106,$AJ57),1))))</ns0:f>
        <ns0:v>1</ns0:v>
      </ns0:c>
      <ns0:c r="CT57" t="n">
        <ns0:f>IF($A57="",1,IF(CS57=1,1,--AND(IF($AC57&gt;0,INDEX(CS$7:CS$106,$AC57),1),IF($AD57&gt;0,INDEX(CS$7:CS$106,$AD57),1),IF($AE57&gt;0,INDEX(CS$7:CS$106,$AE57),1),IF($AF57&gt;0,INDEX(CS$7:CS$106,$AF57),1),IF($AG57&gt;0,INDEX(CS$7:CS$106,$AG57),1),IF($AH57&gt;0,INDEX(CS$7:CS$106,$AH57),1),IF($AI57&gt;0,INDEX(CS$7:CS$106,$AI57),1),IF($AJ57&gt;0,INDEX(CS$7:CS$106,$AJ57),1))))</ns0:f>
        <ns0:v>1</ns0:v>
      </ns0:c>
      <ns0:c r="CU57" t="n">
        <ns0:f>IF($A57="",1,IF(CT57=1,1,--AND(IF($AC57&gt;0,INDEX(CT$7:CT$106,$AC57),1),IF($AD57&gt;0,INDEX(CT$7:CT$106,$AD57),1),IF($AE57&gt;0,INDEX(CT$7:CT$106,$AE57),1),IF($AF57&gt;0,INDEX(CT$7:CT$106,$AF57),1),IF($AG57&gt;0,INDEX(CT$7:CT$106,$AG57),1),IF($AH57&gt;0,INDEX(CT$7:CT$106,$AH57),1),IF($AI57&gt;0,INDEX(CT$7:CT$106,$AI57),1),IF($AJ57&gt;0,INDEX(CT$7:CT$106,$AJ57),1))))</ns0:f>
        <ns0:v>1</ns0:v>
      </ns0:c>
      <ns0:c r="CV57" t="n">
        <ns0:f>IF($A57="",1,IF(CU57=1,1,--AND(IF($AC57&gt;0,INDEX(CU$7:CU$106,$AC57),1),IF($AD57&gt;0,INDEX(CU$7:CU$106,$AD57),1),IF($AE57&gt;0,INDEX(CU$7:CU$106,$AE57),1),IF($AF57&gt;0,INDEX(CU$7:CU$106,$AF57),1),IF($AG57&gt;0,INDEX(CU$7:CU$106,$AG57),1),IF($AH57&gt;0,INDEX(CU$7:CU$106,$AH57),1),IF($AI57&gt;0,INDEX(CU$7:CU$106,$AI57),1),IF($AJ57&gt;0,INDEX(CU$7:CU$106,$AJ57),1))))</ns0:f>
        <ns0:v>1</ns0:v>
      </ns0:c>
      <ns0:c r="CW57" t="n">
        <ns0:f>IF($A57="",1,IF(CV57=1,1,--AND(IF($AC57&gt;0,INDEX(CV$7:CV$106,$AC57),1),IF($AD57&gt;0,INDEX(CV$7:CV$106,$AD57),1),IF($AE57&gt;0,INDEX(CV$7:CV$106,$AE57),1),IF($AF57&gt;0,INDEX(CV$7:CV$106,$AF57),1),IF($AG57&gt;0,INDEX(CV$7:CV$106,$AG57),1),IF($AH57&gt;0,INDEX(CV$7:CV$106,$AH57),1),IF($AI57&gt;0,INDEX(CV$7:CV$106,$AI57),1),IF($AJ57&gt;0,INDEX(CV$7:CV$106,$AJ57),1))))</ns0:f>
        <ns0:v>1</ns0:v>
      </ns0:c>
      <ns0:c r="CX57" t="n">
        <ns0:f>IF($A57="",1,IF(CW57=1,1,--AND(IF($AC57&gt;0,INDEX(CW$7:CW$106,$AC57),1),IF($AD57&gt;0,INDEX(CW$7:CW$106,$AD57),1),IF($AE57&gt;0,INDEX(CW$7:CW$106,$AE57),1),IF($AF57&gt;0,INDEX(CW$7:CW$106,$AF57),1),IF($AG57&gt;0,INDEX(CW$7:CW$106,$AG57),1),IF($AH57&gt;0,INDEX(CW$7:CW$106,$AH57),1),IF($AI57&gt;0,INDEX(CW$7:CW$106,$AI57),1),IF($AJ57&gt;0,INDEX(CW$7:CW$106,$AJ57),1))))</ns0:f>
        <ns0:v>1</ns0:v>
      </ns0:c>
      <ns0:c r="CY57" t="n">
        <ns0:f>IF($A57="",1,IF(CX57=1,1,--AND(IF($AC57&gt;0,INDEX(CX$7:CX$106,$AC57),1),IF($AD57&gt;0,INDEX(CX$7:CX$106,$AD57),1),IF($AE57&gt;0,INDEX(CX$7:CX$106,$AE57),1),IF($AF57&gt;0,INDEX(CX$7:CX$106,$AF57),1),IF($AG57&gt;0,INDEX(CX$7:CX$106,$AG57),1),IF($AH57&gt;0,INDEX(CX$7:CX$106,$AH57),1),IF($AI57&gt;0,INDEX(CX$7:CX$106,$AI57),1),IF($AJ57&gt;0,INDEX(CX$7:CX$106,$AJ57),1))))</ns0:f>
        <ns0:v>1</ns0:v>
      </ns0:c>
      <ns0:c r="CZ57" t="n">
        <ns0:f>IF($A57="",1,IF(CY57=1,1,--AND(IF($AC57&gt;0,INDEX(CY$7:CY$106,$AC57),1),IF($AD57&gt;0,INDEX(CY$7:CY$106,$AD57),1),IF($AE57&gt;0,INDEX(CY$7:CY$106,$AE57),1),IF($AF57&gt;0,INDEX(CY$7:CY$106,$AF57),1),IF($AG57&gt;0,INDEX(CY$7:CY$106,$AG57),1),IF($AH57&gt;0,INDEX(CY$7:CY$106,$AH57),1),IF($AI57&gt;0,INDEX(CY$7:CY$106,$AI57),1),IF($AJ57&gt;0,INDEX(CY$7:CY$106,$AJ57),1))))</ns0:f>
        <ns0:v>1</ns0:v>
      </ns0:c>
      <ns0:c r="DA57" t="n">
        <ns0:f>IF($A57="",1,IF(CZ57=1,1,--AND(IF($AC57&gt;0,INDEX(CZ$7:CZ$106,$AC57),1),IF($AD57&gt;0,INDEX(CZ$7:CZ$106,$AD57),1),IF($AE57&gt;0,INDEX(CZ$7:CZ$106,$AE57),1),IF($AF57&gt;0,INDEX(CZ$7:CZ$106,$AF57),1),IF($AG57&gt;0,INDEX(CZ$7:CZ$106,$AG57),1),IF($AH57&gt;0,INDEX(CZ$7:CZ$106,$AH57),1),IF($AI57&gt;0,INDEX(CZ$7:CZ$106,$AI57),1),IF($AJ57&gt;0,INDEX(CZ$7:CZ$106,$AJ57),1))))</ns0:f>
        <ns0:v>1</ns0:v>
      </ns0:c>
      <ns0:c r="DB57" t="n">
        <ns0:f>IF($A57="",1,IF(DA57=1,1,--AND(IF($AC57&gt;0,INDEX(DA$7:DA$106,$AC57),1),IF($AD57&gt;0,INDEX(DA$7:DA$106,$AD57),1),IF($AE57&gt;0,INDEX(DA$7:DA$106,$AE57),1),IF($AF57&gt;0,INDEX(DA$7:DA$106,$AF57),1),IF($AG57&gt;0,INDEX(DA$7:DA$106,$AG57),1),IF($AH57&gt;0,INDEX(DA$7:DA$106,$AH57),1),IF($AI57&gt;0,INDEX(DA$7:DA$106,$AI57),1),IF($AJ57&gt;0,INDEX(DA$7:DA$106,$AJ57),1))))</ns0:f>
        <ns0:v>1</ns0:v>
      </ns0:c>
      <ns0:c r="DC57" t="n">
        <ns0:f>IF($A57="",1,IF(DB57=1,1,--AND(IF($AC57&gt;0,INDEX(DB$7:DB$106,$AC57),1),IF($AD57&gt;0,INDEX(DB$7:DB$106,$AD57),1),IF($AE57&gt;0,INDEX(DB$7:DB$106,$AE57),1),IF($AF57&gt;0,INDEX(DB$7:DB$106,$AF57),1),IF($AG57&gt;0,INDEX(DB$7:DB$106,$AG57),1),IF($AH57&gt;0,INDEX(DB$7:DB$106,$AH57),1),IF($AI57&gt;0,INDEX(DB$7:DB$106,$AI57),1),IF($AJ57&gt;0,INDEX(DB$7:DB$106,$AJ57),1))))</ns0:f>
        <ns0:v>1</ns0:v>
      </ns0:c>
      <ns0:c r="DD57" t="n">
        <ns0:f>IF($A57="",1,IF(DC57=1,1,--AND(IF($AC57&gt;0,INDEX(DC$7:DC$106,$AC57),1),IF($AD57&gt;0,INDEX(DC$7:DC$106,$AD57),1),IF($AE57&gt;0,INDEX(DC$7:DC$106,$AE57),1),IF($AF57&gt;0,INDEX(DC$7:DC$106,$AF57),1),IF($AG57&gt;0,INDEX(DC$7:DC$106,$AG57),1),IF($AH57&gt;0,INDEX(DC$7:DC$106,$AH57),1),IF($AI57&gt;0,INDEX(DC$7:DC$106,$AI57),1),IF($AJ57&gt;0,INDEX(DC$7:DC$106,$AJ57),1))))</ns0:f>
        <ns0:v>1</ns0:v>
      </ns0:c>
      <ns0:c r="DE57" t="n">
        <ns0:f>IF($A57="",1,IF(DD57=1,1,--AND(IF($AC57&gt;0,INDEX(DD$7:DD$106,$AC57),1),IF($AD57&gt;0,INDEX(DD$7:DD$106,$AD57),1),IF($AE57&gt;0,INDEX(DD$7:DD$106,$AE57),1),IF($AF57&gt;0,INDEX(DD$7:DD$106,$AF57),1),IF($AG57&gt;0,INDEX(DD$7:DD$106,$AG57),1),IF($AH57&gt;0,INDEX(DD$7:DD$106,$AH57),1),IF($AI57&gt;0,INDEX(DD$7:DD$106,$AI57),1),IF($AJ57&gt;0,INDEX(DD$7:DD$106,$AJ57),1))))</ns0:f>
        <ns0:v>1</ns0:v>
      </ns0:c>
      <ns0:c r="DF57" t="n">
        <ns0:f>IF($A57="",1,IF(DE57=1,1,--AND(IF($AC57&gt;0,INDEX(DE$7:DE$106,$AC57),1),IF($AD57&gt;0,INDEX(DE$7:DE$106,$AD57),1),IF($AE57&gt;0,INDEX(DE$7:DE$106,$AE57),1),IF($AF57&gt;0,INDEX(DE$7:DE$106,$AF57),1),IF($AG57&gt;0,INDEX(DE$7:DE$106,$AG57),1),IF($AH57&gt;0,INDEX(DE$7:DE$106,$AH57),1),IF($AI57&gt;0,INDEX(DE$7:DE$106,$AI57),1),IF($AJ57&gt;0,INDEX(DE$7:DE$106,$AJ57),1))))</ns0:f>
        <ns0:v>1</ns0:v>
      </ns0:c>
      <ns0:c r="DG57" t="n">
        <ns0:f>IF($A57="",1,IF(DF57=1,1,--AND(IF($AC57&gt;0,INDEX(DF$7:DF$106,$AC57),1),IF($AD57&gt;0,INDEX(DF$7:DF$106,$AD57),1),IF($AE57&gt;0,INDEX(DF$7:DF$106,$AE57),1),IF($AF57&gt;0,INDEX(DF$7:DF$106,$AF57),1),IF($AG57&gt;0,INDEX(DF$7:DF$106,$AG57),1),IF($AH57&gt;0,INDEX(DF$7:DF$106,$AH57),1),IF($AI57&gt;0,INDEX(DF$7:DF$106,$AI57),1),IF($AJ57&gt;0,INDEX(DF$7:DF$106,$AJ57),1))))</ns0:f>
        <ns0:v>1</ns0:v>
      </ns0:c>
      <ns0:c r="DH57" t="n">
        <ns0:f>IF($A57="",1,IF(DG57=1,1,--AND(IF($AC57&gt;0,INDEX(DG$7:DG$106,$AC57),1),IF($AD57&gt;0,INDEX(DG$7:DG$106,$AD57),1),IF($AE57&gt;0,INDEX(DG$7:DG$106,$AE57),1),IF($AF57&gt;0,INDEX(DG$7:DG$106,$AF57),1),IF($AG57&gt;0,INDEX(DG$7:DG$106,$AG57),1),IF($AH57&gt;0,INDEX(DG$7:DG$106,$AH57),1),IF($AI57&gt;0,INDEX(DG$7:DG$106,$AI57),1),IF($AJ57&gt;0,INDEX(DG$7:DG$106,$AJ57),1))))</ns0:f>
        <ns0:v>1</ns0:v>
      </ns0:c>
      <ns0:c r="DI57" t="n">
        <ns0:f>IF($A57="",1,IF(DH57=1,1,--AND(IF($AC57&gt;0,INDEX(DH$7:DH$106,$AC57),1),IF($AD57&gt;0,INDEX(DH$7:DH$106,$AD57),1),IF($AE57&gt;0,INDEX(DH$7:DH$106,$AE57),1),IF($AF57&gt;0,INDEX(DH$7:DH$106,$AF57),1),IF($AG57&gt;0,INDEX(DH$7:DH$106,$AG57),1),IF($AH57&gt;0,INDEX(DH$7:DH$106,$AH57),1),IF($AI57&gt;0,INDEX(DH$7:DH$106,$AI57),1),IF($AJ57&gt;0,INDEX(DH$7:DH$106,$AJ57),1))))</ns0:f>
        <ns0:v>1</ns0:v>
      </ns0:c>
      <ns0:c r="DJ57" t="n">
        <ns0:f>IF($A57="",1,IF(DI57=1,1,--AND(IF($AC57&gt;0,INDEX(DI$7:DI$106,$AC57),1),IF($AD57&gt;0,INDEX(DI$7:DI$106,$AD57),1),IF($AE57&gt;0,INDEX(DI$7:DI$106,$AE57),1),IF($AF57&gt;0,INDEX(DI$7:DI$106,$AF57),1),IF($AG57&gt;0,INDEX(DI$7:DI$106,$AG57),1),IF($AH57&gt;0,INDEX(DI$7:DI$106,$AH57),1),IF($AI57&gt;0,INDEX(DI$7:DI$106,$AI57),1),IF($AJ57&gt;0,INDEX(DI$7:DI$106,$AJ57),1))))</ns0:f>
        <ns0:v>1</ns0:v>
      </ns0:c>
      <ns0:c r="DK57" t="n">
        <ns0:f>IF($A57="",1,IF(DJ57=1,1,--AND(IF($AC57&gt;0,INDEX(DJ$7:DJ$106,$AC57),1),IF($AD57&gt;0,INDEX(DJ$7:DJ$106,$AD57),1),IF($AE57&gt;0,INDEX(DJ$7:DJ$106,$AE57),1),IF($AF57&gt;0,INDEX(DJ$7:DJ$106,$AF57),1),IF($AG57&gt;0,INDEX(DJ$7:DJ$106,$AG57),1),IF($AH57&gt;0,INDEX(DJ$7:DJ$106,$AH57),1),IF($AI57&gt;0,INDEX(DJ$7:DJ$106,$AI57),1),IF($AJ57&gt;0,INDEX(DJ$7:DJ$106,$AJ57),1))))</ns0:f>
        <ns0:v>1</ns0:v>
      </ns0:c>
      <ns0:c r="DL57" t="n">
        <ns0:f>IF($A57="",1,IF(DK57=1,1,--AND(IF($AC57&gt;0,INDEX(DK$7:DK$106,$AC57),1),IF($AD57&gt;0,INDEX(DK$7:DK$106,$AD57),1),IF($AE57&gt;0,INDEX(DK$7:DK$106,$AE57),1),IF($AF57&gt;0,INDEX(DK$7:DK$106,$AF57),1),IF($AG57&gt;0,INDEX(DK$7:DK$106,$AG57),1),IF($AH57&gt;0,INDEX(DK$7:DK$106,$AH57),1),IF($AI57&gt;0,INDEX(DK$7:DK$106,$AI57),1),IF($AJ57&gt;0,INDEX(DK$7:DK$106,$AJ57),1))))</ns0:f>
        <ns0:v>1</ns0:v>
      </ns0:c>
      <ns0:c r="DM57" t="n">
        <ns0:f>IF($A57="",1,IF(DL57=1,1,--AND(IF($AC57&gt;0,INDEX(DL$7:DL$106,$AC57),1),IF($AD57&gt;0,INDEX(DL$7:DL$106,$AD57),1),IF($AE57&gt;0,INDEX(DL$7:DL$106,$AE57),1),IF($AF57&gt;0,INDEX(DL$7:DL$106,$AF57),1),IF($AG57&gt;0,INDEX(DL$7:DL$106,$AG57),1),IF($AH57&gt;0,INDEX(DL$7:DL$106,$AH57),1),IF($AI57&gt;0,INDEX(DL$7:DL$106,$AI57),1),IF($AJ57&gt;0,INDEX(DL$7:DL$106,$AJ57),1))))</ns0:f>
        <ns0:v>1</ns0:v>
      </ns0:c>
      <ns0:c r="DN57" t="n">
        <ns0:f>IF($A57="",1,IF(DM57=1,1,--AND(IF($AC57&gt;0,INDEX(DM$7:DM$106,$AC57),1),IF($AD57&gt;0,INDEX(DM$7:DM$106,$AD57),1),IF($AE57&gt;0,INDEX(DM$7:DM$106,$AE57),1),IF($AF57&gt;0,INDEX(DM$7:DM$106,$AF57),1),IF($AG57&gt;0,INDEX(DM$7:DM$106,$AG57),1),IF($AH57&gt;0,INDEX(DM$7:DM$106,$AH57),1),IF($AI57&gt;0,INDEX(DM$7:DM$106,$AI57),1),IF($AJ57&gt;0,INDEX(DM$7:DM$106,$AJ57),1))))</ns0:f>
        <ns0:v>1</ns0:v>
      </ns0:c>
      <ns0:c r="DO57" t="n">
        <ns0:f>IF($A57="",1,IF(DN57=1,1,--AND(IF($AC57&gt;0,INDEX(DN$7:DN$106,$AC57),1),IF($AD57&gt;0,INDEX(DN$7:DN$106,$AD57),1),IF($AE57&gt;0,INDEX(DN$7:DN$106,$AE57),1),IF($AF57&gt;0,INDEX(DN$7:DN$106,$AF57),1),IF($AG57&gt;0,INDEX(DN$7:DN$106,$AG57),1),IF($AH57&gt;0,INDEX(DN$7:DN$106,$AH57),1),IF($AI57&gt;0,INDEX(DN$7:DN$106,$AI57),1),IF($AJ57&gt;0,INDEX(DN$7:DN$106,$AJ57),1))))</ns0:f>
        <ns0:v>1</ns0:v>
      </ns0:c>
      <ns0:c r="DP57" t="n">
        <ns0:f>IF($A57="",1,IF(DO57=1,1,--AND(IF($AC57&gt;0,INDEX(DO$7:DO$106,$AC57),1),IF($AD57&gt;0,INDEX(DO$7:DO$106,$AD57),1),IF($AE57&gt;0,INDEX(DO$7:DO$106,$AE57),1),IF($AF57&gt;0,INDEX(DO$7:DO$106,$AF57),1),IF($AG57&gt;0,INDEX(DO$7:DO$106,$AG57),1),IF($AH57&gt;0,INDEX(DO$7:DO$106,$AH57),1),IF($AI57&gt;0,INDEX(DO$7:DO$106,$AI57),1),IF($AJ57&gt;0,INDEX(DO$7:DO$106,$AJ57),1))))</ns0:f>
        <ns0:v>1</ns0:v>
      </ns0:c>
      <ns0:c r="DQ57" t="n">
        <ns0:f>IF($A57="",1,IF(DP57=1,1,--AND(IF($AC57&gt;0,INDEX(DP$7:DP$106,$AC57),1),IF($AD57&gt;0,INDEX(DP$7:DP$106,$AD57),1),IF($AE57&gt;0,INDEX(DP$7:DP$106,$AE57),1),IF($AF57&gt;0,INDEX(DP$7:DP$106,$AF57),1),IF($AG57&gt;0,INDEX(DP$7:DP$106,$AG57),1),IF($AH57&gt;0,INDEX(DP$7:DP$106,$AH57),1),IF($AI57&gt;0,INDEX(DP$7:DP$106,$AI57),1),IF($AJ57&gt;0,INDEX(DP$7:DP$106,$AJ57),1))))</ns0:f>
        <ns0:v>1</ns0:v>
      </ns0:c>
      <ns0:c r="DR57" t="n">
        <ns0:f>IF($A57="",1,IF(DQ57=1,1,--AND(IF($AC57&gt;0,INDEX(DQ$7:DQ$106,$AC57),1),IF($AD57&gt;0,INDEX(DQ$7:DQ$106,$AD57),1),IF($AE57&gt;0,INDEX(DQ$7:DQ$106,$AE57),1),IF($AF57&gt;0,INDEX(DQ$7:DQ$106,$AF57),1),IF($AG57&gt;0,INDEX(DQ$7:DQ$106,$AG57),1),IF($AH57&gt;0,INDEX(DQ$7:DQ$106,$AH57),1),IF($AI57&gt;0,INDEX(DQ$7:DQ$106,$AI57),1),IF($AJ57&gt;0,INDEX(DQ$7:DQ$106,$AJ57),1))))</ns0:f>
        <ns0:v>1</ns0:v>
      </ns0:c>
      <ns0:c r="DS57" t="n">
        <ns0:f>IF($A57="",1,IF(DR57=1,1,--AND(IF($AC57&gt;0,INDEX(DR$7:DR$106,$AC57),1),IF($AD57&gt;0,INDEX(DR$7:DR$106,$AD57),1),IF($AE57&gt;0,INDEX(DR$7:DR$106,$AE57),1),IF($AF57&gt;0,INDEX(DR$7:DR$106,$AF57),1),IF($AG57&gt;0,INDEX(DR$7:DR$106,$AG57),1),IF($AH57&gt;0,INDEX(DR$7:DR$106,$AH57),1),IF($AI57&gt;0,INDEX(DR$7:DR$106,$AI57),1),IF($AJ57&gt;0,INDEX(DR$7:DR$106,$AJ57),1))))</ns0:f>
        <ns0:v>1</ns0:v>
      </ns0:c>
      <ns0:c r="DT57" t="n">
        <ns0:f>IF($A57="",1,IF(DS57=1,1,--AND(IF($AC57&gt;0,INDEX(DS$7:DS$106,$AC57),1),IF($AD57&gt;0,INDEX(DS$7:DS$106,$AD57),1),IF($AE57&gt;0,INDEX(DS$7:DS$106,$AE57),1),IF($AF57&gt;0,INDEX(DS$7:DS$106,$AF57),1),IF($AG57&gt;0,INDEX(DS$7:DS$106,$AG57),1),IF($AH57&gt;0,INDEX(DS$7:DS$106,$AH57),1),IF($AI57&gt;0,INDEX(DS$7:DS$106,$AI57),1),IF($AJ57&gt;0,INDEX(DS$7:DS$106,$AJ57),1))))</ns0:f>
        <ns0:v>1</ns0:v>
      </ns0:c>
      <ns0:c r="DU57" t="n">
        <ns0:f>IF($A57="",1,IF(DT57=1,1,--AND(IF($AC57&gt;0,INDEX(DT$7:DT$106,$AC57),1),IF($AD57&gt;0,INDEX(DT$7:DT$106,$AD57),1),IF($AE57&gt;0,INDEX(DT$7:DT$106,$AE57),1),IF($AF57&gt;0,INDEX(DT$7:DT$106,$AF57),1),IF($AG57&gt;0,INDEX(DT$7:DT$106,$AG57),1),IF($AH57&gt;0,INDEX(DT$7:DT$106,$AH57),1),IF($AI57&gt;0,INDEX(DT$7:DT$106,$AI57),1),IF($AJ57&gt;0,INDEX(DT$7:DT$106,$AJ57),1))))</ns0:f>
        <ns0:v>1</ns0:v>
      </ns0:c>
      <ns0:c r="DV57" t="n">
        <ns0:f>IF($A57="",1,IF(DU57=1,1,--AND(IF($AC57&gt;0,INDEX(DU$7:DU$106,$AC57),1),IF($AD57&gt;0,INDEX(DU$7:DU$106,$AD57),1),IF($AE57&gt;0,INDEX(DU$7:DU$106,$AE57),1),IF($AF57&gt;0,INDEX(DU$7:DU$106,$AF57),1),IF($AG57&gt;0,INDEX(DU$7:DU$106,$AG57),1),IF($AH57&gt;0,INDEX(DU$7:DU$106,$AH57),1),IF($AI57&gt;0,INDEX(DU$7:DU$106,$AI57),1),IF($AJ57&gt;0,INDEX(DU$7:DU$106,$AJ57),1))))</ns0:f>
        <ns0:v>1</ns0:v>
      </ns0:c>
      <ns0:c r="DW57" t="n">
        <ns0:f>IF($A57="",1,IF(DV57=1,1,--AND(IF($AC57&gt;0,INDEX(DV$7:DV$106,$AC57),1),IF($AD57&gt;0,INDEX(DV$7:DV$106,$AD57),1),IF($AE57&gt;0,INDEX(DV$7:DV$106,$AE57),1),IF($AF57&gt;0,INDEX(DV$7:DV$106,$AF57),1),IF($AG57&gt;0,INDEX(DV$7:DV$106,$AG57),1),IF($AH57&gt;0,INDEX(DV$7:DV$106,$AH57),1),IF($AI57&gt;0,INDEX(DV$7:DV$106,$AI57),1),IF($AJ57&gt;0,INDEX(DV$7:DV$106,$AJ57),1))))</ns0:f>
        <ns0:v>1</ns0:v>
      </ns0:c>
      <ns0:c r="DX57" t="n">
        <ns0:f>IF($A57="",1,IF(DW57=1,1,--AND(IF($AC57&gt;0,INDEX(DW$7:DW$106,$AC57),1),IF($AD57&gt;0,INDEX(DW$7:DW$106,$AD57),1),IF($AE57&gt;0,INDEX(DW$7:DW$106,$AE57),1),IF($AF57&gt;0,INDEX(DW$7:DW$106,$AF57),1),IF($AG57&gt;0,INDEX(DW$7:DW$106,$AG57),1),IF($AH57&gt;0,INDEX(DW$7:DW$106,$AH57),1),IF($AI57&gt;0,INDEX(DW$7:DW$106,$AI57),1),IF($AJ57&gt;0,INDEX(DW$7:DW$106,$AJ57),1))))</ns0:f>
        <ns0:v>1</ns0:v>
      </ns0:c>
      <ns0:c r="DY57" t="n">
        <ns0:f>IF($A57="",1,IF(DX57=1,1,--AND(IF($AC57&gt;0,INDEX(DX$7:DX$106,$AC57),1),IF($AD57&gt;0,INDEX(DX$7:DX$106,$AD57),1),IF($AE57&gt;0,INDEX(DX$7:DX$106,$AE57),1),IF($AF57&gt;0,INDEX(DX$7:DX$106,$AF57),1),IF($AG57&gt;0,INDEX(DX$7:DX$106,$AG57),1),IF($AH57&gt;0,INDEX(DX$7:DX$106,$AH57),1),IF($AI57&gt;0,INDEX(DX$7:DX$106,$AI57),1),IF($AJ57&gt;0,INDEX(DX$7:DX$106,$AJ57),1))))</ns0:f>
        <ns0:v>1</ns0:v>
      </ns0:c>
      <ns0:c r="DZ57" t="n">
        <ns0:f>IF($A57="",1,IF(DY57=1,1,--AND(IF($AC57&gt;0,INDEX(DY$7:DY$106,$AC57),1),IF($AD57&gt;0,INDEX(DY$7:DY$106,$AD57),1),IF($AE57&gt;0,INDEX(DY$7:DY$106,$AE57),1),IF($AF57&gt;0,INDEX(DY$7:DY$106,$AF57),1),IF($AG57&gt;0,INDEX(DY$7:DY$106,$AG57),1),IF($AH57&gt;0,INDEX(DY$7:DY$106,$AH57),1),IF($AI57&gt;0,INDEX(DY$7:DY$106,$AI57),1),IF($AJ57&gt;0,INDEX(DY$7:DY$106,$AJ57),1))))</ns0:f>
        <ns0:v>1</ns0:v>
      </ns0:c>
      <ns0:c r="EA57" t="n">
        <ns0:f>IF($A57="",1,IF(DZ57=1,1,--AND(IF($AC57&gt;0,INDEX(DZ$7:DZ$106,$AC57),1),IF($AD57&gt;0,INDEX(DZ$7:DZ$106,$AD57),1),IF($AE57&gt;0,INDEX(DZ$7:DZ$106,$AE57),1),IF($AF57&gt;0,INDEX(DZ$7:DZ$106,$AF57),1),IF($AG57&gt;0,INDEX(DZ$7:DZ$106,$AG57),1),IF($AH57&gt;0,INDEX(DZ$7:DZ$106,$AH57),1),IF($AI57&gt;0,INDEX(DZ$7:DZ$106,$AI57),1),IF($AJ57&gt;0,INDEX(DZ$7:DZ$106,$AJ57),1))))</ns0:f>
        <ns0:v>1</ns0:v>
      </ns0:c>
      <ns0:c r="EB57" t="n">
        <ns0:f>IF($A57="",1,IF(EA57=1,1,--AND(IF($AC57&gt;0,INDEX(EA$7:EA$106,$AC57),1),IF($AD57&gt;0,INDEX(EA$7:EA$106,$AD57),1),IF($AE57&gt;0,INDEX(EA$7:EA$106,$AE57),1),IF($AF57&gt;0,INDEX(EA$7:EA$106,$AF57),1),IF($AG57&gt;0,INDEX(EA$7:EA$106,$AG57),1),IF($AH57&gt;0,INDEX(EA$7:EA$106,$AH57),1),IF($AI57&gt;0,INDEX(EA$7:EA$106,$AI57),1),IF($AJ57&gt;0,INDEX(EA$7:EA$106,$AJ57),1))))</ns0:f>
        <ns0:v>1</ns0:v>
      </ns0:c>
      <ns0:c r="EC57" t="n">
        <ns0:f>IF($A57="",1,IF(EB57=1,1,--AND(IF($AC57&gt;0,INDEX(EB$7:EB$106,$AC57),1),IF($AD57&gt;0,INDEX(EB$7:EB$106,$AD57),1),IF($AE57&gt;0,INDEX(EB$7:EB$106,$AE57),1),IF($AF57&gt;0,INDEX(EB$7:EB$106,$AF57),1),IF($AG57&gt;0,INDEX(EB$7:EB$106,$AG57),1),IF($AH57&gt;0,INDEX(EB$7:EB$106,$AH57),1),IF($AI57&gt;0,INDEX(EB$7:EB$106,$AI57),1),IF($AJ57&gt;0,INDEX(EB$7:EB$106,$AJ57),1))))</ns0:f>
        <ns0:v>1</ns0:v>
      </ns0:c>
      <ns0:c r="ED57" t="n">
        <ns0:f>IF($A57="",1,IF(EC57=1,1,--AND(IF($AC57&gt;0,INDEX(EC$7:EC$106,$AC57),1),IF($AD57&gt;0,INDEX(EC$7:EC$106,$AD57),1),IF($AE57&gt;0,INDEX(EC$7:EC$106,$AE57),1),IF($AF57&gt;0,INDEX(EC$7:EC$106,$AF57),1),IF($AG57&gt;0,INDEX(EC$7:EC$106,$AG57),1),IF($AH57&gt;0,INDEX(EC$7:EC$106,$AH57),1),IF($AI57&gt;0,INDEX(EC$7:EC$106,$AI57),1),IF($AJ57&gt;0,INDEX(EC$7:EC$106,$AJ57),1))))</ns0:f>
        <ns0:v>1</ns0:v>
      </ns0:c>
      <ns0:c r="EE57" t="n">
        <ns0:f>IF($A57="",1,IF(ED57=1,1,--AND(IF($AC57&gt;0,INDEX(ED$7:ED$106,$AC57),1),IF($AD57&gt;0,INDEX(ED$7:ED$106,$AD57),1),IF($AE57&gt;0,INDEX(ED$7:ED$106,$AE57),1),IF($AF57&gt;0,INDEX(ED$7:ED$106,$AF57),1),IF($AG57&gt;0,INDEX(ED$7:ED$106,$AG57),1),IF($AH57&gt;0,INDEX(ED$7:ED$106,$AH57),1),IF($AI57&gt;0,INDEX(ED$7:ED$106,$AI57),1),IF($AJ57&gt;0,INDEX(ED$7:ED$106,$AJ57),1))))</ns0:f>
        <ns0:v>1</ns0:v>
      </ns0:c>
      <ns0:c r="EF57" t="n">
        <ns0:f>IF($A57="",1,IF(EE57=1,1,--AND(IF($AC57&gt;0,INDEX(EE$7:EE$106,$AC57),1),IF($AD57&gt;0,INDEX(EE$7:EE$106,$AD57),1),IF($AE57&gt;0,INDEX(EE$7:EE$106,$AE57),1),IF($AF57&gt;0,INDEX(EE$7:EE$106,$AF57),1),IF($AG57&gt;0,INDEX(EE$7:EE$106,$AG57),1),IF($AH57&gt;0,INDEX(EE$7:EE$106,$AH57),1),IF($AI57&gt;0,INDEX(EE$7:EE$106,$AI57),1),IF($AJ57&gt;0,INDEX(EE$7:EE$106,$AJ57),1))))</ns0:f>
        <ns0:v>1</ns0:v>
      </ns0:c>
      <ns0:c r="EG57" t="n">
        <ns0:f>IF($A57="",1,IF(EF57=1,1,--AND(IF($AC57&gt;0,INDEX(EF$7:EF$106,$AC57),1),IF($AD57&gt;0,INDEX(EF$7:EF$106,$AD57),1),IF($AE57&gt;0,INDEX(EF$7:EF$106,$AE57),1),IF($AF57&gt;0,INDEX(EF$7:EF$106,$AF57),1),IF($AG57&gt;0,INDEX(EF$7:EF$106,$AG57),1),IF($AH57&gt;0,INDEX(EF$7:EF$106,$AH57),1),IF($AI57&gt;0,INDEX(EF$7:EF$106,$AI57),1),IF($AJ57&gt;0,INDEX(EF$7:EF$106,$AJ57),1))))</ns0:f>
        <ns0:v>1</ns0:v>
      </ns0:c>
      <ns0:c r="EH57" t="n">
        <ns0:f>IF($A57="",1,IF(EG57=1,1,--AND(IF($AC57&gt;0,INDEX(EG$7:EG$106,$AC57),1),IF($AD57&gt;0,INDEX(EG$7:EG$106,$AD57),1),IF($AE57&gt;0,INDEX(EG$7:EG$106,$AE57),1),IF($AF57&gt;0,INDEX(EG$7:EG$106,$AF57),1),IF($AG57&gt;0,INDEX(EG$7:EG$106,$AG57),1),IF($AH57&gt;0,INDEX(EG$7:EG$106,$AH57),1),IF($AI57&gt;0,INDEX(EG$7:EG$106,$AI57),1),IF($AJ57&gt;0,INDEX(EG$7:EG$106,$AJ57),1))))</ns0:f>
        <ns0:v>1</ns0:v>
      </ns0:c>
      <ns0:c r="EI57" t="n">
        <ns0:f>IF($A57="",1,IF(EH57=1,1,--AND(IF($AC57&gt;0,INDEX(EH$7:EH$106,$AC57),1),IF($AD57&gt;0,INDEX(EH$7:EH$106,$AD57),1),IF($AE57&gt;0,INDEX(EH$7:EH$106,$AE57),1),IF($AF57&gt;0,INDEX(EH$7:EH$106,$AF57),1),IF($AG57&gt;0,INDEX(EH$7:EH$106,$AG57),1),IF($AH57&gt;0,INDEX(EH$7:EH$106,$AH57),1),IF($AI57&gt;0,INDEX(EH$7:EH$106,$AI57),1),IF($AJ57&gt;0,INDEX(EH$7:EH$106,$AJ57),1))))</ns0:f>
        <ns0:v>1</ns0:v>
      </ns0:c>
      <ns0:c r="EJ57" t="n">
        <ns0:f>IF($A57="",1,IF(EI57=1,1,--AND(IF($AC57&gt;0,INDEX(EI$7:EI$106,$AC57),1),IF($AD57&gt;0,INDEX(EI$7:EI$106,$AD57),1),IF($AE57&gt;0,INDEX(EI$7:EI$106,$AE57),1),IF($AF57&gt;0,INDEX(EI$7:EI$106,$AF57),1),IF($AG57&gt;0,INDEX(EI$7:EI$106,$AG57),1),IF($AH57&gt;0,INDEX(EI$7:EI$106,$AH57),1),IF($AI57&gt;0,INDEX(EI$7:EI$106,$AI57),1),IF($AJ57&gt;0,INDEX(EI$7:EI$106,$AJ57),1))))</ns0:f>
        <ns0:v>1</ns0:v>
      </ns0:c>
      <ns0:c r="EK57" t="n">
        <ns0:f>IF($A57="",1,IF(EJ57=1,1,--AND(IF($AC57&gt;0,INDEX(EJ$7:EJ$106,$AC57),1),IF($AD57&gt;0,INDEX(EJ$7:EJ$106,$AD57),1),IF($AE57&gt;0,INDEX(EJ$7:EJ$106,$AE57),1),IF($AF57&gt;0,INDEX(EJ$7:EJ$106,$AF57),1),IF($AG57&gt;0,INDEX(EJ$7:EJ$106,$AG57),1),IF($AH57&gt;0,INDEX(EJ$7:EJ$106,$AH57),1),IF($AI57&gt;0,INDEX(EJ$7:EJ$106,$AI57),1),IF($AJ57&gt;0,INDEX(EJ$7:EJ$106,$AJ57),1))))</ns0:f>
        <ns0:v>1</ns0:v>
      </ns0:c>
      <ns0:c r="EL57" t="n">
        <ns0:f>IF($A57="",1,IF(EK57=1,1,--AND(IF($AC57&gt;0,INDEX(EK$7:EK$106,$AC57),1),IF($AD57&gt;0,INDEX(EK$7:EK$106,$AD57),1),IF($AE57&gt;0,INDEX(EK$7:EK$106,$AE57),1),IF($AF57&gt;0,INDEX(EK$7:EK$106,$AF57),1),IF($AG57&gt;0,INDEX(EK$7:EK$106,$AG57),1),IF($AH57&gt;0,INDEX(EK$7:EK$106,$AH57),1),IF($AI57&gt;0,INDEX(EK$7:EK$106,$AI57),1),IF($AJ57&gt;0,INDEX(EK$7:EK$106,$AJ57),1))))</ns0:f>
        <ns0:v>1</ns0:v>
      </ns0:c>
      <ns0:c r="EM57" t="n">
        <ns0:f>IF($A57="",1,IF(EL57=1,1,--AND(IF($AC57&gt;0,INDEX(EL$7:EL$106,$AC57),1),IF($AD57&gt;0,INDEX(EL$7:EL$106,$AD57),1),IF($AE57&gt;0,INDEX(EL$7:EL$106,$AE57),1),IF($AF57&gt;0,INDEX(EL$7:EL$106,$AF57),1),IF($AG57&gt;0,INDEX(EL$7:EL$106,$AG57),1),IF($AH57&gt;0,INDEX(EL$7:EL$106,$AH57),1),IF($AI57&gt;0,INDEX(EL$7:EL$106,$AI57),1),IF($AJ57&gt;0,INDEX(EL$7:EL$106,$AJ57),1))))</ns0:f>
        <ns0:v>1</ns0:v>
      </ns0:c>
      <ns0:c r="EN57" t="n">
        <ns0:f>IF($A57="",1,IF(EM57=1,1,--AND(IF($AC57&gt;0,INDEX(EM$7:EM$106,$AC57),1),IF($AD57&gt;0,INDEX(EM$7:EM$106,$AD57),1),IF($AE57&gt;0,INDEX(EM$7:EM$106,$AE57),1),IF($AF57&gt;0,INDEX(EM$7:EM$106,$AF57),1),IF($AG57&gt;0,INDEX(EM$7:EM$106,$AG57),1),IF($AH57&gt;0,INDEX(EM$7:EM$106,$AH57),1),IF($AI57&gt;0,INDEX(EM$7:EM$106,$AI57),1),IF($AJ57&gt;0,INDEX(EM$7:EM$106,$AJ57),1))))</ns0:f>
        <ns0:v>1</ns0:v>
      </ns0:c>
      <ns0:c r="EO57" t="n">
        <ns0:f>IF($A57="",1,IF(EN57=1,1,--AND(IF($AC57&gt;0,INDEX(EN$7:EN$106,$AC57),1),IF($AD57&gt;0,INDEX(EN$7:EN$106,$AD57),1),IF($AE57&gt;0,INDEX(EN$7:EN$106,$AE57),1),IF($AF57&gt;0,INDEX(EN$7:EN$106,$AF57),1),IF($AG57&gt;0,INDEX(EN$7:EN$106,$AG57),1),IF($AH57&gt;0,INDEX(EN$7:EN$106,$AH57),1),IF($AI57&gt;0,INDEX(EN$7:EN$106,$AI57),1),IF($AJ57&gt;0,INDEX(EN$7:EN$106,$AJ57),1))))</ns0:f>
        <ns0:v>1</ns0:v>
      </ns0:c>
      <ns0:c r="EP57" t="n">
        <ns0:f>IF($A57="",1,IF(EO57=1,1,--AND(IF($AC57&gt;0,INDEX(EO$7:EO$106,$AC57),1),IF($AD57&gt;0,INDEX(EO$7:EO$106,$AD57),1),IF($AE57&gt;0,INDEX(EO$7:EO$106,$AE57),1),IF($AF57&gt;0,INDEX(EO$7:EO$106,$AF57),1),IF($AG57&gt;0,INDEX(EO$7:EO$106,$AG57),1),IF($AH57&gt;0,INDEX(EO$7:EO$106,$AH57),1),IF($AI57&gt;0,INDEX(EO$7:EO$106,$AI57),1),IF($AJ57&gt;0,INDEX(EO$7:EO$106,$AJ57),1))))</ns0:f>
        <ns0:v>1</ns0:v>
      </ns0:c>
      <ns0:c r="EQ57" t="n">
        <ns0:f>IF(OR(A57="",NOT(ISNUMBER(G57))),0,G57*N57)</ns0:f>
        <ns0:v>0</ns0:v>
      </ns0:c>
    </ns0:row>
    <ns0:row r="58" ht="62" customHeight="1">
      <ns0:c r="A58" s="48"/>
      <ns0:c r="B58" s="48"/>
      <ns0:c r="C58" s="48"/>
      <ns0:c r="D58" s="48"/>
      <ns0:c r="E58" s="49"/>
      <ns0:c r="F58" s="49"/>
      <ns0:c r="G58" s="13" t="str">
        <ns0:f>IF(A58="","",IF(OR(NOT(ISNUMBER(E58)),NOT(ISNUMBER(F58)),F58&lt;E58),"",IF(J58="Yes",0,F58-E58+1)))</ns0:f>
      </ns0:c>
      <ns0:c r="H58" s="48"/>
      <ns0:c r="I58" s="48"/>
      <ns0:c r="J58" s="48"/>
      <ns0:c r="K58" s="48"/>
      <ns0:c r="L58" s="48"/>
      <ns0:c r="M58" s="50" t="str">
        <ns0:f>IF(A58="","",IF(N58=1,"Completed",IF(N58&gt;0,"In Progress","Not Started")))</ns0:f>
      </ns0:c>
      <ns0:c r="N58" s="51"/>
      <ns0:c r="O58" s="13" t="str">
        <ns0:f>IF(A58="","",IF(R58&lt;&gt;"","[CONFLICT] "&amp;R58,IF(S58&lt;&gt;"","[CONFLICT] "&amp;S58,IF(OR(NOT(ISNUMBER(N58)),N58&lt;0,N58&gt;1),"[CONFLICT] Invalid progress",IF(AK58&gt;0,"[DEPENDENCY ISSUE] Missing ID / &gt;8 links",IF(AM58&gt;0,"[DEPENDENCY ISSUE] Cycle or blocked by cycle",IF(AND(H58&lt;&gt;"",ISNA(MATCH(I58,{"FS","SS","FF","SF"},0))),"[DEPENDENCY ISSUE] Invalid type",IF(AL58&gt;0,"[DEPENDENCY ISSUE] Timing conflict",IF(OR(E58&lt;ProjectStart,F58&gt;ProjectEnd),"[OUTSIDE WINDOW]",IF(AND(N58&lt;1,F58&lt;AsOfDate),"Overdue",IF(AND(M58&lt;&gt;Q58,M58&lt;&gt;""),"[CONFLICT] Status / progress","On track")))))))))))</ns0:f>
      </ns0:c>
      <ns0:c r="P58" s="52"/>
      <ns0:c r="Q58" t="str">
        <ns0:f>IF(A58="","",IF(OR(M58="On Hold",M58="Delayed"),M58,IF(N58=1,"Completed",IF(N58&gt;0,"In Progress","Not Started"))))</ns0:f>
      </ns0:c>
      <ns0:c r="R58" t="str">
        <ns0:f>IF(A58="","",IF(COUNTIFS(Tasks[Task ID],A58)&lt;&gt;1,"Duplicate ID",""))</ns0:f>
      </ns0:c>
      <ns0:c r="S58" t="str">
        <ns0:f>IF(A58="","",IF(OR(NOT(ISNUMBER(E58)),NOT(ISNUMBER(F58))),"Invalid / missing date",IF(OR(E58&lt;&gt;INT(E58),F58&lt;&gt;INT(F58),E58&lt;1,F58&gt;2958465),"Invalid date",IF(F58&lt;E58,"End before start",IF(AND(J58="Yes",E58&lt;&gt;F58),"Milestone needs one date","")))))</ns0:f>
      </ns0:c>
      <ns0:c r="T58" t="n">
        <ns0:f>IF(H58="",0,LEN(H58)-LEN(SUBSTITUTE(H58,",",""))+1)</ns0:f>
        <ns0:v>0</ns0:v>
      </ns0:c>
      <ns0:c r="U58" t="str">
        <ns0:f>TRIM(MID(SUBSTITUTE($H58,",",REPT(" ",100)),1,100))</ns0:f>
      </ns0:c>
      <ns0:c r="V58" t="str">
        <ns0:f>TRIM(MID(SUBSTITUTE($H58,",",REPT(" ",100)),101,100))</ns0:f>
      </ns0:c>
      <ns0:c r="W58" t="str">
        <ns0:f>TRIM(MID(SUBSTITUTE($H58,",",REPT(" ",100)),201,100))</ns0:f>
      </ns0:c>
      <ns0:c r="X58" t="str">
        <ns0:f>TRIM(MID(SUBSTITUTE($H58,",",REPT(" ",100)),301,100))</ns0:f>
      </ns0:c>
      <ns0:c r="Y58" t="str">
        <ns0:f>TRIM(MID(SUBSTITUTE($H58,",",REPT(" ",100)),401,100))</ns0:f>
      </ns0:c>
      <ns0:c r="Z58" t="str">
        <ns0:f>TRIM(MID(SUBSTITUTE($H58,",",REPT(" ",100)),501,100))</ns0:f>
      </ns0:c>
      <ns0:c r="AA58" t="str">
        <ns0:f>TRIM(MID(SUBSTITUTE($H58,",",REPT(" ",100)),601,100))</ns0:f>
      </ns0:c>
      <ns0:c r="AB58" t="str">
        <ns0:f>TRIM(MID(SUBSTITUTE($H58,",",REPT(" ",100)),701,100))</ns0:f>
      </ns0:c>
      <ns0:c r="AC58" t="n">
        <ns0:f>IF(U58="",0,IF(COUNTIFS(Tasks[Task ID],U58)=1,MATCH(U58,Tasks[Task ID],0),-1))</ns0:f>
        <ns0:v>0</ns0:v>
      </ns0:c>
      <ns0:c r="AD58" t="n">
        <ns0:f>IF(V58="",0,IF(COUNTIFS(Tasks[Task ID],V58)=1,MATCH(V58,Tasks[Task ID],0),-1))</ns0:f>
        <ns0:v>0</ns0:v>
      </ns0:c>
      <ns0:c r="AE58" t="n">
        <ns0:f>IF(W58="",0,IF(COUNTIFS(Tasks[Task ID],W58)=1,MATCH(W58,Tasks[Task ID],0),-1))</ns0:f>
        <ns0:v>0</ns0:v>
      </ns0:c>
      <ns0:c r="AF58" t="n">
        <ns0:f>IF(X58="",0,IF(COUNTIFS(Tasks[Task ID],X58)=1,MATCH(X58,Tasks[Task ID],0),-1))</ns0:f>
        <ns0:v>0</ns0:v>
      </ns0:c>
      <ns0:c r="AG58" t="n">
        <ns0:f>IF(Y58="",0,IF(COUNTIFS(Tasks[Task ID],Y58)=1,MATCH(Y58,Tasks[Task ID],0),-1))</ns0:f>
        <ns0:v>0</ns0:v>
      </ns0:c>
      <ns0:c r="AH58" t="n">
        <ns0:f>IF(Z58="",0,IF(COUNTIFS(Tasks[Task ID],Z58)=1,MATCH(Z58,Tasks[Task ID],0),-1))</ns0:f>
        <ns0:v>0</ns0:v>
      </ns0:c>
      <ns0:c r="AI58" t="n">
        <ns0:f>IF(AA58="",0,IF(COUNTIFS(Tasks[Task ID],AA58)=1,MATCH(AA58,Tasks[Task ID],0),-1))</ns0:f>
        <ns0:v>0</ns0:v>
      </ns0:c>
      <ns0:c r="AJ58" t="n">
        <ns0:f>IF(AB58="",0,IF(COUNTIFS(Tasks[Task ID],AB58)=1,MATCH(AB58,Tasks[Task ID],0),-1))</ns0:f>
        <ns0:v>0</ns0:v>
      </ns0:c>
      <ns0:c r="AK58" t="n">
        <ns0:f>COUNTIFS(AC58:AJ58,-1)+IF(T58&gt;8,1,0)</ns0:f>
        <ns0:v>0</ns0:v>
      </ns0:c>
      <ns0:c r="AL58" t="n">
        <ns0:f>IF(OR(A58="",S58&lt;&gt;""),0,SUM(IF(AC58&gt;0,IF($I58="FS",--($E58&lt;INDEX(Tasks[End Date],AC58)+IF(INDEX(Tasks[Milestone],AC58)="Yes",0,1)),IF($I58="SS",--($E58&lt;INDEX(Tasks[Start Date],AC58)),IF($I58="FF",--($F58&lt;INDEX(Tasks[End Date],AC58)),IF($I58="SF",--($F58&lt;INDEX(Tasks[Start Date],AC58)),0)))),0),IF(AD58&gt;0,IF($I58="FS",--($E58&lt;INDEX(Tasks[End Date],AD58)+IF(INDEX(Tasks[Milestone],AD58)="Yes",0,1)),IF($I58="SS",--($E58&lt;INDEX(Tasks[Start Date],AD58)),IF($I58="FF",--($F58&lt;INDEX(Tasks[End Date],AD58)),IF($I58="SF",--($F58&lt;INDEX(Tasks[Start Date],AD58)),0)))),0),IF(AE58&gt;0,IF($I58="FS",--($E58&lt;INDEX(Tasks[End Date],AE58)+IF(INDEX(Tasks[Milestone],AE58)="Yes",0,1)),IF($I58="SS",--($E58&lt;INDEX(Tasks[Start Date],AE58)),IF($I58="FF",--($F58&lt;INDEX(Tasks[End Date],AE58)),IF($I58="SF",--($F58&lt;INDEX(Tasks[Start Date],AE58)),0)))),0),IF(AF58&gt;0,IF($I58="FS",--($E58&lt;INDEX(Tasks[End Date],AF58)+IF(INDEX(Tasks[Milestone],AF58)="Yes",0,1)),IF($I58="SS",--($E58&lt;INDEX(Tasks[Start Date],AF58)),IF($I58="FF",--($F58&lt;INDEX(Tasks[End Date],AF58)),IF($I58="SF",--($F58&lt;INDEX(Tasks[Start Date],AF58)),0)))),0),IF(AG58&gt;0,IF($I58="FS",--($E58&lt;INDEX(Tasks[End Date],AG58)+IF(INDEX(Tasks[Milestone],AG58)="Yes",0,1)),IF($I58="SS",--($E58&lt;INDEX(Tasks[Start Date],AG58)),IF($I58="FF",--($F58&lt;INDEX(Tasks[End Date],AG58)),IF($I58="SF",--($F58&lt;INDEX(Tasks[Start Date],AG58)),0)))),0),IF(AH58&gt;0,IF($I58="FS",--($E58&lt;INDEX(Tasks[End Date],AH58)+IF(INDEX(Tasks[Milestone],AH58)="Yes",0,1)),IF($I58="SS",--($E58&lt;INDEX(Tasks[Start Date],AH58)),IF($I58="FF",--($F58&lt;INDEX(Tasks[End Date],AH58)),IF($I58="SF",--($F58&lt;INDEX(Tasks[Start Date],AH58)),0)))),0),IF(AI58&gt;0,IF($I58="FS",--($E58&lt;INDEX(Tasks[End Date],AI58)+IF(INDEX(Tasks[Milestone],AI58)="Yes",0,1)),IF($I58="SS",--($E58&lt;INDEX(Tasks[Start Date],AI58)),IF($I58="FF",--($F58&lt;INDEX(Tasks[End Date],AI58)),IF($I58="SF",--($F58&lt;INDEX(Tasks[Start Date],AI58)),0)))),0),IF(AJ58&gt;0,IF($I58="FS",--($E58&lt;INDEX(Tasks[End Date],AJ58)+IF(INDEX(Tasks[Milestone],AJ58)="Yes",0,1)),IF($I58="SS",--($E58&lt;INDEX(Tasks[Start Date],AJ58)),IF($I58="FF",--($F58&lt;INDEX(Tasks[End Date],AJ58)),IF($I58="SF",--($F58&lt;INDEX(Tasks[Start Date],AJ58)),0)))),0)))</ns0:f>
        <ns0:v>0</ns0:v>
      </ns0:c>
      <ns0:c r="AM58" t="n">
        <ns0:f>IF(AND(A58&lt;&gt;"",AK58=0,EP58=0),1,0)</ns0:f>
        <ns0:v>0</ns0:v>
      </ns0:c>
      <ns0:c r="AN58" t="str">
        <ns0:f>IF(OR(A58="",B58=""),"",IF(COUNTIFS($B$7:B58,B58)=1,MAX($AN$6:AN57)+1,""))</ns0:f>
      </ns0:c>
      <ns0:c r="AO58" t="n">
        <ns0:f>IF(AND(A58&lt;&gt;"",J58="No",N58&lt;1,E58&gt;=AsOfDate),E58+ROW()/10000,1E+9)</ns0:f>
        <ns0:v>1000000000</ns0:v>
      </ns0:c>
      <ns0:c r="AP58" t="n">
        <ns0:f>IF(AND(A58&lt;&gt;"",J58="Yes",N58&lt;1,E58&gt;=AsOfDate),E58+ROW()/10000,1E+9)</ns0:f>
        <ns0:v>1000000000</ns0:v>
      </ns0:c>
      <ns0:c r="AQ58" t="n">
        <ns0:f>IF(AND(A58&lt;&gt;"",J58="No",N58&lt;1,F58&gt;=AsOfDate,F58&lt;=AsOfDate+7),F58+ROW()/10000,1E+9)</ns0:f>
        <ns0:v>1000000000</ns0:v>
      </ns0:c>
      <ns0:c r="AR58" t="n">
        <ns0:f>IF(AND(A58&lt;&gt;"",OR(O58&lt;&gt;"On track",Q58="Delayed")),ROW(),1E+9)</ns0:f>
        <ns0:v>1000000000</ns0:v>
      </ns0:c>
      <ns0:c r="AS58" t="str">
        <ns0:f>IF(A58="","",";"&amp;K58&amp;";")</ns0:f>
      </ns0:c>
      <ns0:c r="AT58" t="n">
        <ns0:f>IF(A58="",1,--(T58=0))</ns0:f>
        <ns0:v>1</ns0:v>
      </ns0:c>
      <ns0:c r="AU58" t="n">
        <ns0:f>IF($A58="",1,IF(AT58=1,1,--AND(IF($AC58&gt;0,INDEX(AT$7:AT$106,$AC58),1),IF($AD58&gt;0,INDEX(AT$7:AT$106,$AD58),1),IF($AE58&gt;0,INDEX(AT$7:AT$106,$AE58),1),IF($AF58&gt;0,INDEX(AT$7:AT$106,$AF58),1),IF($AG58&gt;0,INDEX(AT$7:AT$106,$AG58),1),IF($AH58&gt;0,INDEX(AT$7:AT$106,$AH58),1),IF($AI58&gt;0,INDEX(AT$7:AT$106,$AI58),1),IF($AJ58&gt;0,INDEX(AT$7:AT$106,$AJ58),1))))</ns0:f>
        <ns0:v>1</ns0:v>
      </ns0:c>
      <ns0:c r="AV58" t="n">
        <ns0:f>IF($A58="",1,IF(AU58=1,1,--AND(IF($AC58&gt;0,INDEX(AU$7:AU$106,$AC58),1),IF($AD58&gt;0,INDEX(AU$7:AU$106,$AD58),1),IF($AE58&gt;0,INDEX(AU$7:AU$106,$AE58),1),IF($AF58&gt;0,INDEX(AU$7:AU$106,$AF58),1),IF($AG58&gt;0,INDEX(AU$7:AU$106,$AG58),1),IF($AH58&gt;0,INDEX(AU$7:AU$106,$AH58),1),IF($AI58&gt;0,INDEX(AU$7:AU$106,$AI58),1),IF($AJ58&gt;0,INDEX(AU$7:AU$106,$AJ58),1))))</ns0:f>
        <ns0:v>1</ns0:v>
      </ns0:c>
      <ns0:c r="AW58" t="n">
        <ns0:f>IF($A58="",1,IF(AV58=1,1,--AND(IF($AC58&gt;0,INDEX(AV$7:AV$106,$AC58),1),IF($AD58&gt;0,INDEX(AV$7:AV$106,$AD58),1),IF($AE58&gt;0,INDEX(AV$7:AV$106,$AE58),1),IF($AF58&gt;0,INDEX(AV$7:AV$106,$AF58),1),IF($AG58&gt;0,INDEX(AV$7:AV$106,$AG58),1),IF($AH58&gt;0,INDEX(AV$7:AV$106,$AH58),1),IF($AI58&gt;0,INDEX(AV$7:AV$106,$AI58),1),IF($AJ58&gt;0,INDEX(AV$7:AV$106,$AJ58),1))))</ns0:f>
        <ns0:v>1</ns0:v>
      </ns0:c>
      <ns0:c r="AX58" t="n">
        <ns0:f>IF($A58="",1,IF(AW58=1,1,--AND(IF($AC58&gt;0,INDEX(AW$7:AW$106,$AC58),1),IF($AD58&gt;0,INDEX(AW$7:AW$106,$AD58),1),IF($AE58&gt;0,INDEX(AW$7:AW$106,$AE58),1),IF($AF58&gt;0,INDEX(AW$7:AW$106,$AF58),1),IF($AG58&gt;0,INDEX(AW$7:AW$106,$AG58),1),IF($AH58&gt;0,INDEX(AW$7:AW$106,$AH58),1),IF($AI58&gt;0,INDEX(AW$7:AW$106,$AI58),1),IF($AJ58&gt;0,INDEX(AW$7:AW$106,$AJ58),1))))</ns0:f>
        <ns0:v>1</ns0:v>
      </ns0:c>
      <ns0:c r="AY58" t="n">
        <ns0:f>IF($A58="",1,IF(AX58=1,1,--AND(IF($AC58&gt;0,INDEX(AX$7:AX$106,$AC58),1),IF($AD58&gt;0,INDEX(AX$7:AX$106,$AD58),1),IF($AE58&gt;0,INDEX(AX$7:AX$106,$AE58),1),IF($AF58&gt;0,INDEX(AX$7:AX$106,$AF58),1),IF($AG58&gt;0,INDEX(AX$7:AX$106,$AG58),1),IF($AH58&gt;0,INDEX(AX$7:AX$106,$AH58),1),IF($AI58&gt;0,INDEX(AX$7:AX$106,$AI58),1),IF($AJ58&gt;0,INDEX(AX$7:AX$106,$AJ58),1))))</ns0:f>
        <ns0:v>1</ns0:v>
      </ns0:c>
      <ns0:c r="AZ58" t="n">
        <ns0:f>IF($A58="",1,IF(AY58=1,1,--AND(IF($AC58&gt;0,INDEX(AY$7:AY$106,$AC58),1),IF($AD58&gt;0,INDEX(AY$7:AY$106,$AD58),1),IF($AE58&gt;0,INDEX(AY$7:AY$106,$AE58),1),IF($AF58&gt;0,INDEX(AY$7:AY$106,$AF58),1),IF($AG58&gt;0,INDEX(AY$7:AY$106,$AG58),1),IF($AH58&gt;0,INDEX(AY$7:AY$106,$AH58),1),IF($AI58&gt;0,INDEX(AY$7:AY$106,$AI58),1),IF($AJ58&gt;0,INDEX(AY$7:AY$106,$AJ58),1))))</ns0:f>
        <ns0:v>1</ns0:v>
      </ns0:c>
      <ns0:c r="BA58" t="n">
        <ns0:f>IF($A58="",1,IF(AZ58=1,1,--AND(IF($AC58&gt;0,INDEX(AZ$7:AZ$106,$AC58),1),IF($AD58&gt;0,INDEX(AZ$7:AZ$106,$AD58),1),IF($AE58&gt;0,INDEX(AZ$7:AZ$106,$AE58),1),IF($AF58&gt;0,INDEX(AZ$7:AZ$106,$AF58),1),IF($AG58&gt;0,INDEX(AZ$7:AZ$106,$AG58),1),IF($AH58&gt;0,INDEX(AZ$7:AZ$106,$AH58),1),IF($AI58&gt;0,INDEX(AZ$7:AZ$106,$AI58),1),IF($AJ58&gt;0,INDEX(AZ$7:AZ$106,$AJ58),1))))</ns0:f>
        <ns0:v>1</ns0:v>
      </ns0:c>
      <ns0:c r="BB58" t="n">
        <ns0:f>IF($A58="",1,IF(BA58=1,1,--AND(IF($AC58&gt;0,INDEX(BA$7:BA$106,$AC58),1),IF($AD58&gt;0,INDEX(BA$7:BA$106,$AD58),1),IF($AE58&gt;0,INDEX(BA$7:BA$106,$AE58),1),IF($AF58&gt;0,INDEX(BA$7:BA$106,$AF58),1),IF($AG58&gt;0,INDEX(BA$7:BA$106,$AG58),1),IF($AH58&gt;0,INDEX(BA$7:BA$106,$AH58),1),IF($AI58&gt;0,INDEX(BA$7:BA$106,$AI58),1),IF($AJ58&gt;0,INDEX(BA$7:BA$106,$AJ58),1))))</ns0:f>
        <ns0:v>1</ns0:v>
      </ns0:c>
      <ns0:c r="BC58" t="n">
        <ns0:f>IF($A58="",1,IF(BB58=1,1,--AND(IF($AC58&gt;0,INDEX(BB$7:BB$106,$AC58),1),IF($AD58&gt;0,INDEX(BB$7:BB$106,$AD58),1),IF($AE58&gt;0,INDEX(BB$7:BB$106,$AE58),1),IF($AF58&gt;0,INDEX(BB$7:BB$106,$AF58),1),IF($AG58&gt;0,INDEX(BB$7:BB$106,$AG58),1),IF($AH58&gt;0,INDEX(BB$7:BB$106,$AH58),1),IF($AI58&gt;0,INDEX(BB$7:BB$106,$AI58),1),IF($AJ58&gt;0,INDEX(BB$7:BB$106,$AJ58),1))))</ns0:f>
        <ns0:v>1</ns0:v>
      </ns0:c>
      <ns0:c r="BD58" t="n">
        <ns0:f>IF($A58="",1,IF(BC58=1,1,--AND(IF($AC58&gt;0,INDEX(BC$7:BC$106,$AC58),1),IF($AD58&gt;0,INDEX(BC$7:BC$106,$AD58),1),IF($AE58&gt;0,INDEX(BC$7:BC$106,$AE58),1),IF($AF58&gt;0,INDEX(BC$7:BC$106,$AF58),1),IF($AG58&gt;0,INDEX(BC$7:BC$106,$AG58),1),IF($AH58&gt;0,INDEX(BC$7:BC$106,$AH58),1),IF($AI58&gt;0,INDEX(BC$7:BC$106,$AI58),1),IF($AJ58&gt;0,INDEX(BC$7:BC$106,$AJ58),1))))</ns0:f>
        <ns0:v>1</ns0:v>
      </ns0:c>
      <ns0:c r="BE58" t="n">
        <ns0:f>IF($A58="",1,IF(BD58=1,1,--AND(IF($AC58&gt;0,INDEX(BD$7:BD$106,$AC58),1),IF($AD58&gt;0,INDEX(BD$7:BD$106,$AD58),1),IF($AE58&gt;0,INDEX(BD$7:BD$106,$AE58),1),IF($AF58&gt;0,INDEX(BD$7:BD$106,$AF58),1),IF($AG58&gt;0,INDEX(BD$7:BD$106,$AG58),1),IF($AH58&gt;0,INDEX(BD$7:BD$106,$AH58),1),IF($AI58&gt;0,INDEX(BD$7:BD$106,$AI58),1),IF($AJ58&gt;0,INDEX(BD$7:BD$106,$AJ58),1))))</ns0:f>
        <ns0:v>1</ns0:v>
      </ns0:c>
      <ns0:c r="BF58" t="n">
        <ns0:f>IF($A58="",1,IF(BE58=1,1,--AND(IF($AC58&gt;0,INDEX(BE$7:BE$106,$AC58),1),IF($AD58&gt;0,INDEX(BE$7:BE$106,$AD58),1),IF($AE58&gt;0,INDEX(BE$7:BE$106,$AE58),1),IF($AF58&gt;0,INDEX(BE$7:BE$106,$AF58),1),IF($AG58&gt;0,INDEX(BE$7:BE$106,$AG58),1),IF($AH58&gt;0,INDEX(BE$7:BE$106,$AH58),1),IF($AI58&gt;0,INDEX(BE$7:BE$106,$AI58),1),IF($AJ58&gt;0,INDEX(BE$7:BE$106,$AJ58),1))))</ns0:f>
        <ns0:v>1</ns0:v>
      </ns0:c>
      <ns0:c r="BG58" t="n">
        <ns0:f>IF($A58="",1,IF(BF58=1,1,--AND(IF($AC58&gt;0,INDEX(BF$7:BF$106,$AC58),1),IF($AD58&gt;0,INDEX(BF$7:BF$106,$AD58),1),IF($AE58&gt;0,INDEX(BF$7:BF$106,$AE58),1),IF($AF58&gt;0,INDEX(BF$7:BF$106,$AF58),1),IF($AG58&gt;0,INDEX(BF$7:BF$106,$AG58),1),IF($AH58&gt;0,INDEX(BF$7:BF$106,$AH58),1),IF($AI58&gt;0,INDEX(BF$7:BF$106,$AI58),1),IF($AJ58&gt;0,INDEX(BF$7:BF$106,$AJ58),1))))</ns0:f>
        <ns0:v>1</ns0:v>
      </ns0:c>
      <ns0:c r="BH58" t="n">
        <ns0:f>IF($A58="",1,IF(BG58=1,1,--AND(IF($AC58&gt;0,INDEX(BG$7:BG$106,$AC58),1),IF($AD58&gt;0,INDEX(BG$7:BG$106,$AD58),1),IF($AE58&gt;0,INDEX(BG$7:BG$106,$AE58),1),IF($AF58&gt;0,INDEX(BG$7:BG$106,$AF58),1),IF($AG58&gt;0,INDEX(BG$7:BG$106,$AG58),1),IF($AH58&gt;0,INDEX(BG$7:BG$106,$AH58),1),IF($AI58&gt;0,INDEX(BG$7:BG$106,$AI58),1),IF($AJ58&gt;0,INDEX(BG$7:BG$106,$AJ58),1))))</ns0:f>
        <ns0:v>1</ns0:v>
      </ns0:c>
      <ns0:c r="BI58" t="n">
        <ns0:f>IF($A58="",1,IF(BH58=1,1,--AND(IF($AC58&gt;0,INDEX(BH$7:BH$106,$AC58),1),IF($AD58&gt;0,INDEX(BH$7:BH$106,$AD58),1),IF($AE58&gt;0,INDEX(BH$7:BH$106,$AE58),1),IF($AF58&gt;0,INDEX(BH$7:BH$106,$AF58),1),IF($AG58&gt;0,INDEX(BH$7:BH$106,$AG58),1),IF($AH58&gt;0,INDEX(BH$7:BH$106,$AH58),1),IF($AI58&gt;0,INDEX(BH$7:BH$106,$AI58),1),IF($AJ58&gt;0,INDEX(BH$7:BH$106,$AJ58),1))))</ns0:f>
        <ns0:v>1</ns0:v>
      </ns0:c>
      <ns0:c r="BJ58" t="n">
        <ns0:f>IF($A58="",1,IF(BI58=1,1,--AND(IF($AC58&gt;0,INDEX(BI$7:BI$106,$AC58),1),IF($AD58&gt;0,INDEX(BI$7:BI$106,$AD58),1),IF($AE58&gt;0,INDEX(BI$7:BI$106,$AE58),1),IF($AF58&gt;0,INDEX(BI$7:BI$106,$AF58),1),IF($AG58&gt;0,INDEX(BI$7:BI$106,$AG58),1),IF($AH58&gt;0,INDEX(BI$7:BI$106,$AH58),1),IF($AI58&gt;0,INDEX(BI$7:BI$106,$AI58),1),IF($AJ58&gt;0,INDEX(BI$7:BI$106,$AJ58),1))))</ns0:f>
        <ns0:v>1</ns0:v>
      </ns0:c>
      <ns0:c r="BK58" t="n">
        <ns0:f>IF($A58="",1,IF(BJ58=1,1,--AND(IF($AC58&gt;0,INDEX(BJ$7:BJ$106,$AC58),1),IF($AD58&gt;0,INDEX(BJ$7:BJ$106,$AD58),1),IF($AE58&gt;0,INDEX(BJ$7:BJ$106,$AE58),1),IF($AF58&gt;0,INDEX(BJ$7:BJ$106,$AF58),1),IF($AG58&gt;0,INDEX(BJ$7:BJ$106,$AG58),1),IF($AH58&gt;0,INDEX(BJ$7:BJ$106,$AH58),1),IF($AI58&gt;0,INDEX(BJ$7:BJ$106,$AI58),1),IF($AJ58&gt;0,INDEX(BJ$7:BJ$106,$AJ58),1))))</ns0:f>
        <ns0:v>1</ns0:v>
      </ns0:c>
      <ns0:c r="BL58" t="n">
        <ns0:f>IF($A58="",1,IF(BK58=1,1,--AND(IF($AC58&gt;0,INDEX(BK$7:BK$106,$AC58),1),IF($AD58&gt;0,INDEX(BK$7:BK$106,$AD58),1),IF($AE58&gt;0,INDEX(BK$7:BK$106,$AE58),1),IF($AF58&gt;0,INDEX(BK$7:BK$106,$AF58),1),IF($AG58&gt;0,INDEX(BK$7:BK$106,$AG58),1),IF($AH58&gt;0,INDEX(BK$7:BK$106,$AH58),1),IF($AI58&gt;0,INDEX(BK$7:BK$106,$AI58),1),IF($AJ58&gt;0,INDEX(BK$7:BK$106,$AJ58),1))))</ns0:f>
        <ns0:v>1</ns0:v>
      </ns0:c>
      <ns0:c r="BM58" t="n">
        <ns0:f>IF($A58="",1,IF(BL58=1,1,--AND(IF($AC58&gt;0,INDEX(BL$7:BL$106,$AC58),1),IF($AD58&gt;0,INDEX(BL$7:BL$106,$AD58),1),IF($AE58&gt;0,INDEX(BL$7:BL$106,$AE58),1),IF($AF58&gt;0,INDEX(BL$7:BL$106,$AF58),1),IF($AG58&gt;0,INDEX(BL$7:BL$106,$AG58),1),IF($AH58&gt;0,INDEX(BL$7:BL$106,$AH58),1),IF($AI58&gt;0,INDEX(BL$7:BL$106,$AI58),1),IF($AJ58&gt;0,INDEX(BL$7:BL$106,$AJ58),1))))</ns0:f>
        <ns0:v>1</ns0:v>
      </ns0:c>
      <ns0:c r="BN58" t="n">
        <ns0:f>IF($A58="",1,IF(BM58=1,1,--AND(IF($AC58&gt;0,INDEX(BM$7:BM$106,$AC58),1),IF($AD58&gt;0,INDEX(BM$7:BM$106,$AD58),1),IF($AE58&gt;0,INDEX(BM$7:BM$106,$AE58),1),IF($AF58&gt;0,INDEX(BM$7:BM$106,$AF58),1),IF($AG58&gt;0,INDEX(BM$7:BM$106,$AG58),1),IF($AH58&gt;0,INDEX(BM$7:BM$106,$AH58),1),IF($AI58&gt;0,INDEX(BM$7:BM$106,$AI58),1),IF($AJ58&gt;0,INDEX(BM$7:BM$106,$AJ58),1))))</ns0:f>
        <ns0:v>1</ns0:v>
      </ns0:c>
      <ns0:c r="BO58" t="n">
        <ns0:f>IF($A58="",1,IF(BN58=1,1,--AND(IF($AC58&gt;0,INDEX(BN$7:BN$106,$AC58),1),IF($AD58&gt;0,INDEX(BN$7:BN$106,$AD58),1),IF($AE58&gt;0,INDEX(BN$7:BN$106,$AE58),1),IF($AF58&gt;0,INDEX(BN$7:BN$106,$AF58),1),IF($AG58&gt;0,INDEX(BN$7:BN$106,$AG58),1),IF($AH58&gt;0,INDEX(BN$7:BN$106,$AH58),1),IF($AI58&gt;0,INDEX(BN$7:BN$106,$AI58),1),IF($AJ58&gt;0,INDEX(BN$7:BN$106,$AJ58),1))))</ns0:f>
        <ns0:v>1</ns0:v>
      </ns0:c>
      <ns0:c r="BP58" t="n">
        <ns0:f>IF($A58="",1,IF(BO58=1,1,--AND(IF($AC58&gt;0,INDEX(BO$7:BO$106,$AC58),1),IF($AD58&gt;0,INDEX(BO$7:BO$106,$AD58),1),IF($AE58&gt;0,INDEX(BO$7:BO$106,$AE58),1),IF($AF58&gt;0,INDEX(BO$7:BO$106,$AF58),1),IF($AG58&gt;0,INDEX(BO$7:BO$106,$AG58),1),IF($AH58&gt;0,INDEX(BO$7:BO$106,$AH58),1),IF($AI58&gt;0,INDEX(BO$7:BO$106,$AI58),1),IF($AJ58&gt;0,INDEX(BO$7:BO$106,$AJ58),1))))</ns0:f>
        <ns0:v>1</ns0:v>
      </ns0:c>
      <ns0:c r="BQ58" t="n">
        <ns0:f>IF($A58="",1,IF(BP58=1,1,--AND(IF($AC58&gt;0,INDEX(BP$7:BP$106,$AC58),1),IF($AD58&gt;0,INDEX(BP$7:BP$106,$AD58),1),IF($AE58&gt;0,INDEX(BP$7:BP$106,$AE58),1),IF($AF58&gt;0,INDEX(BP$7:BP$106,$AF58),1),IF($AG58&gt;0,INDEX(BP$7:BP$106,$AG58),1),IF($AH58&gt;0,INDEX(BP$7:BP$106,$AH58),1),IF($AI58&gt;0,INDEX(BP$7:BP$106,$AI58),1),IF($AJ58&gt;0,INDEX(BP$7:BP$106,$AJ58),1))))</ns0:f>
        <ns0:v>1</ns0:v>
      </ns0:c>
      <ns0:c r="BR58" t="n">
        <ns0:f>IF($A58="",1,IF(BQ58=1,1,--AND(IF($AC58&gt;0,INDEX(BQ$7:BQ$106,$AC58),1),IF($AD58&gt;0,INDEX(BQ$7:BQ$106,$AD58),1),IF($AE58&gt;0,INDEX(BQ$7:BQ$106,$AE58),1),IF($AF58&gt;0,INDEX(BQ$7:BQ$106,$AF58),1),IF($AG58&gt;0,INDEX(BQ$7:BQ$106,$AG58),1),IF($AH58&gt;0,INDEX(BQ$7:BQ$106,$AH58),1),IF($AI58&gt;0,INDEX(BQ$7:BQ$106,$AI58),1),IF($AJ58&gt;0,INDEX(BQ$7:BQ$106,$AJ58),1))))</ns0:f>
        <ns0:v>1</ns0:v>
      </ns0:c>
      <ns0:c r="BS58" t="n">
        <ns0:f>IF($A58="",1,IF(BR58=1,1,--AND(IF($AC58&gt;0,INDEX(BR$7:BR$106,$AC58),1),IF($AD58&gt;0,INDEX(BR$7:BR$106,$AD58),1),IF($AE58&gt;0,INDEX(BR$7:BR$106,$AE58),1),IF($AF58&gt;0,INDEX(BR$7:BR$106,$AF58),1),IF($AG58&gt;0,INDEX(BR$7:BR$106,$AG58),1),IF($AH58&gt;0,INDEX(BR$7:BR$106,$AH58),1),IF($AI58&gt;0,INDEX(BR$7:BR$106,$AI58),1),IF($AJ58&gt;0,INDEX(BR$7:BR$106,$AJ58),1))))</ns0:f>
        <ns0:v>1</ns0:v>
      </ns0:c>
      <ns0:c r="BT58" t="n">
        <ns0:f>IF($A58="",1,IF(BS58=1,1,--AND(IF($AC58&gt;0,INDEX(BS$7:BS$106,$AC58),1),IF($AD58&gt;0,INDEX(BS$7:BS$106,$AD58),1),IF($AE58&gt;0,INDEX(BS$7:BS$106,$AE58),1),IF($AF58&gt;0,INDEX(BS$7:BS$106,$AF58),1),IF($AG58&gt;0,INDEX(BS$7:BS$106,$AG58),1),IF($AH58&gt;0,INDEX(BS$7:BS$106,$AH58),1),IF($AI58&gt;0,INDEX(BS$7:BS$106,$AI58),1),IF($AJ58&gt;0,INDEX(BS$7:BS$106,$AJ58),1))))</ns0:f>
        <ns0:v>1</ns0:v>
      </ns0:c>
      <ns0:c r="BU58" t="n">
        <ns0:f>IF($A58="",1,IF(BT58=1,1,--AND(IF($AC58&gt;0,INDEX(BT$7:BT$106,$AC58),1),IF($AD58&gt;0,INDEX(BT$7:BT$106,$AD58),1),IF($AE58&gt;0,INDEX(BT$7:BT$106,$AE58),1),IF($AF58&gt;0,INDEX(BT$7:BT$106,$AF58),1),IF($AG58&gt;0,INDEX(BT$7:BT$106,$AG58),1),IF($AH58&gt;0,INDEX(BT$7:BT$106,$AH58),1),IF($AI58&gt;0,INDEX(BT$7:BT$106,$AI58),1),IF($AJ58&gt;0,INDEX(BT$7:BT$106,$AJ58),1))))</ns0:f>
        <ns0:v>1</ns0:v>
      </ns0:c>
      <ns0:c r="BV58" t="n">
        <ns0:f>IF($A58="",1,IF(BU58=1,1,--AND(IF($AC58&gt;0,INDEX(BU$7:BU$106,$AC58),1),IF($AD58&gt;0,INDEX(BU$7:BU$106,$AD58),1),IF($AE58&gt;0,INDEX(BU$7:BU$106,$AE58),1),IF($AF58&gt;0,INDEX(BU$7:BU$106,$AF58),1),IF($AG58&gt;0,INDEX(BU$7:BU$106,$AG58),1),IF($AH58&gt;0,INDEX(BU$7:BU$106,$AH58),1),IF($AI58&gt;0,INDEX(BU$7:BU$106,$AI58),1),IF($AJ58&gt;0,INDEX(BU$7:BU$106,$AJ58),1))))</ns0:f>
        <ns0:v>1</ns0:v>
      </ns0:c>
      <ns0:c r="BW58" t="n">
        <ns0:f>IF($A58="",1,IF(BV58=1,1,--AND(IF($AC58&gt;0,INDEX(BV$7:BV$106,$AC58),1),IF($AD58&gt;0,INDEX(BV$7:BV$106,$AD58),1),IF($AE58&gt;0,INDEX(BV$7:BV$106,$AE58),1),IF($AF58&gt;0,INDEX(BV$7:BV$106,$AF58),1),IF($AG58&gt;0,INDEX(BV$7:BV$106,$AG58),1),IF($AH58&gt;0,INDEX(BV$7:BV$106,$AH58),1),IF($AI58&gt;0,INDEX(BV$7:BV$106,$AI58),1),IF($AJ58&gt;0,INDEX(BV$7:BV$106,$AJ58),1))))</ns0:f>
        <ns0:v>1</ns0:v>
      </ns0:c>
      <ns0:c r="BX58" t="n">
        <ns0:f>IF($A58="",1,IF(BW58=1,1,--AND(IF($AC58&gt;0,INDEX(BW$7:BW$106,$AC58),1),IF($AD58&gt;0,INDEX(BW$7:BW$106,$AD58),1),IF($AE58&gt;0,INDEX(BW$7:BW$106,$AE58),1),IF($AF58&gt;0,INDEX(BW$7:BW$106,$AF58),1),IF($AG58&gt;0,INDEX(BW$7:BW$106,$AG58),1),IF($AH58&gt;0,INDEX(BW$7:BW$106,$AH58),1),IF($AI58&gt;0,INDEX(BW$7:BW$106,$AI58),1),IF($AJ58&gt;0,INDEX(BW$7:BW$106,$AJ58),1))))</ns0:f>
        <ns0:v>1</ns0:v>
      </ns0:c>
      <ns0:c r="BY58" t="n">
        <ns0:f>IF($A58="",1,IF(BX58=1,1,--AND(IF($AC58&gt;0,INDEX(BX$7:BX$106,$AC58),1),IF($AD58&gt;0,INDEX(BX$7:BX$106,$AD58),1),IF($AE58&gt;0,INDEX(BX$7:BX$106,$AE58),1),IF($AF58&gt;0,INDEX(BX$7:BX$106,$AF58),1),IF($AG58&gt;0,INDEX(BX$7:BX$106,$AG58),1),IF($AH58&gt;0,INDEX(BX$7:BX$106,$AH58),1),IF($AI58&gt;0,INDEX(BX$7:BX$106,$AI58),1),IF($AJ58&gt;0,INDEX(BX$7:BX$106,$AJ58),1))))</ns0:f>
        <ns0:v>1</ns0:v>
      </ns0:c>
      <ns0:c r="BZ58" t="n">
        <ns0:f>IF($A58="",1,IF(BY58=1,1,--AND(IF($AC58&gt;0,INDEX(BY$7:BY$106,$AC58),1),IF($AD58&gt;0,INDEX(BY$7:BY$106,$AD58),1),IF($AE58&gt;0,INDEX(BY$7:BY$106,$AE58),1),IF($AF58&gt;0,INDEX(BY$7:BY$106,$AF58),1),IF($AG58&gt;0,INDEX(BY$7:BY$106,$AG58),1),IF($AH58&gt;0,INDEX(BY$7:BY$106,$AH58),1),IF($AI58&gt;0,INDEX(BY$7:BY$106,$AI58),1),IF($AJ58&gt;0,INDEX(BY$7:BY$106,$AJ58),1))))</ns0:f>
        <ns0:v>1</ns0:v>
      </ns0:c>
      <ns0:c r="CA58" t="n">
        <ns0:f>IF($A58="",1,IF(BZ58=1,1,--AND(IF($AC58&gt;0,INDEX(BZ$7:BZ$106,$AC58),1),IF($AD58&gt;0,INDEX(BZ$7:BZ$106,$AD58),1),IF($AE58&gt;0,INDEX(BZ$7:BZ$106,$AE58),1),IF($AF58&gt;0,INDEX(BZ$7:BZ$106,$AF58),1),IF($AG58&gt;0,INDEX(BZ$7:BZ$106,$AG58),1),IF($AH58&gt;0,INDEX(BZ$7:BZ$106,$AH58),1),IF($AI58&gt;0,INDEX(BZ$7:BZ$106,$AI58),1),IF($AJ58&gt;0,INDEX(BZ$7:BZ$106,$AJ58),1))))</ns0:f>
        <ns0:v>1</ns0:v>
      </ns0:c>
      <ns0:c r="CB58" t="n">
        <ns0:f>IF($A58="",1,IF(CA58=1,1,--AND(IF($AC58&gt;0,INDEX(CA$7:CA$106,$AC58),1),IF($AD58&gt;0,INDEX(CA$7:CA$106,$AD58),1),IF($AE58&gt;0,INDEX(CA$7:CA$106,$AE58),1),IF($AF58&gt;0,INDEX(CA$7:CA$106,$AF58),1),IF($AG58&gt;0,INDEX(CA$7:CA$106,$AG58),1),IF($AH58&gt;0,INDEX(CA$7:CA$106,$AH58),1),IF($AI58&gt;0,INDEX(CA$7:CA$106,$AI58),1),IF($AJ58&gt;0,INDEX(CA$7:CA$106,$AJ58),1))))</ns0:f>
        <ns0:v>1</ns0:v>
      </ns0:c>
      <ns0:c r="CC58" t="n">
        <ns0:f>IF($A58="",1,IF(CB58=1,1,--AND(IF($AC58&gt;0,INDEX(CB$7:CB$106,$AC58),1),IF($AD58&gt;0,INDEX(CB$7:CB$106,$AD58),1),IF($AE58&gt;0,INDEX(CB$7:CB$106,$AE58),1),IF($AF58&gt;0,INDEX(CB$7:CB$106,$AF58),1),IF($AG58&gt;0,INDEX(CB$7:CB$106,$AG58),1),IF($AH58&gt;0,INDEX(CB$7:CB$106,$AH58),1),IF($AI58&gt;0,INDEX(CB$7:CB$106,$AI58),1),IF($AJ58&gt;0,INDEX(CB$7:CB$106,$AJ58),1))))</ns0:f>
        <ns0:v>1</ns0:v>
      </ns0:c>
      <ns0:c r="CD58" t="n">
        <ns0:f>IF($A58="",1,IF(CC58=1,1,--AND(IF($AC58&gt;0,INDEX(CC$7:CC$106,$AC58),1),IF($AD58&gt;0,INDEX(CC$7:CC$106,$AD58),1),IF($AE58&gt;0,INDEX(CC$7:CC$106,$AE58),1),IF($AF58&gt;0,INDEX(CC$7:CC$106,$AF58),1),IF($AG58&gt;0,INDEX(CC$7:CC$106,$AG58),1),IF($AH58&gt;0,INDEX(CC$7:CC$106,$AH58),1),IF($AI58&gt;0,INDEX(CC$7:CC$106,$AI58),1),IF($AJ58&gt;0,INDEX(CC$7:CC$106,$AJ58),1))))</ns0:f>
        <ns0:v>1</ns0:v>
      </ns0:c>
      <ns0:c r="CE58" t="n">
        <ns0:f>IF($A58="",1,IF(CD58=1,1,--AND(IF($AC58&gt;0,INDEX(CD$7:CD$106,$AC58),1),IF($AD58&gt;0,INDEX(CD$7:CD$106,$AD58),1),IF($AE58&gt;0,INDEX(CD$7:CD$106,$AE58),1),IF($AF58&gt;0,INDEX(CD$7:CD$106,$AF58),1),IF($AG58&gt;0,INDEX(CD$7:CD$106,$AG58),1),IF($AH58&gt;0,INDEX(CD$7:CD$106,$AH58),1),IF($AI58&gt;0,INDEX(CD$7:CD$106,$AI58),1),IF($AJ58&gt;0,INDEX(CD$7:CD$106,$AJ58),1))))</ns0:f>
        <ns0:v>1</ns0:v>
      </ns0:c>
      <ns0:c r="CF58" t="n">
        <ns0:f>IF($A58="",1,IF(CE58=1,1,--AND(IF($AC58&gt;0,INDEX(CE$7:CE$106,$AC58),1),IF($AD58&gt;0,INDEX(CE$7:CE$106,$AD58),1),IF($AE58&gt;0,INDEX(CE$7:CE$106,$AE58),1),IF($AF58&gt;0,INDEX(CE$7:CE$106,$AF58),1),IF($AG58&gt;0,INDEX(CE$7:CE$106,$AG58),1),IF($AH58&gt;0,INDEX(CE$7:CE$106,$AH58),1),IF($AI58&gt;0,INDEX(CE$7:CE$106,$AI58),1),IF($AJ58&gt;0,INDEX(CE$7:CE$106,$AJ58),1))))</ns0:f>
        <ns0:v>1</ns0:v>
      </ns0:c>
      <ns0:c r="CG58" t="n">
        <ns0:f>IF($A58="",1,IF(CF58=1,1,--AND(IF($AC58&gt;0,INDEX(CF$7:CF$106,$AC58),1),IF($AD58&gt;0,INDEX(CF$7:CF$106,$AD58),1),IF($AE58&gt;0,INDEX(CF$7:CF$106,$AE58),1),IF($AF58&gt;0,INDEX(CF$7:CF$106,$AF58),1),IF($AG58&gt;0,INDEX(CF$7:CF$106,$AG58),1),IF($AH58&gt;0,INDEX(CF$7:CF$106,$AH58),1),IF($AI58&gt;0,INDEX(CF$7:CF$106,$AI58),1),IF($AJ58&gt;0,INDEX(CF$7:CF$106,$AJ58),1))))</ns0:f>
        <ns0:v>1</ns0:v>
      </ns0:c>
      <ns0:c r="CH58" t="n">
        <ns0:f>IF($A58="",1,IF(CG58=1,1,--AND(IF($AC58&gt;0,INDEX(CG$7:CG$106,$AC58),1),IF($AD58&gt;0,INDEX(CG$7:CG$106,$AD58),1),IF($AE58&gt;0,INDEX(CG$7:CG$106,$AE58),1),IF($AF58&gt;0,INDEX(CG$7:CG$106,$AF58),1),IF($AG58&gt;0,INDEX(CG$7:CG$106,$AG58),1),IF($AH58&gt;0,INDEX(CG$7:CG$106,$AH58),1),IF($AI58&gt;0,INDEX(CG$7:CG$106,$AI58),1),IF($AJ58&gt;0,INDEX(CG$7:CG$106,$AJ58),1))))</ns0:f>
        <ns0:v>1</ns0:v>
      </ns0:c>
      <ns0:c r="CI58" t="n">
        <ns0:f>IF($A58="",1,IF(CH58=1,1,--AND(IF($AC58&gt;0,INDEX(CH$7:CH$106,$AC58),1),IF($AD58&gt;0,INDEX(CH$7:CH$106,$AD58),1),IF($AE58&gt;0,INDEX(CH$7:CH$106,$AE58),1),IF($AF58&gt;0,INDEX(CH$7:CH$106,$AF58),1),IF($AG58&gt;0,INDEX(CH$7:CH$106,$AG58),1),IF($AH58&gt;0,INDEX(CH$7:CH$106,$AH58),1),IF($AI58&gt;0,INDEX(CH$7:CH$106,$AI58),1),IF($AJ58&gt;0,INDEX(CH$7:CH$106,$AJ58),1))))</ns0:f>
        <ns0:v>1</ns0:v>
      </ns0:c>
      <ns0:c r="CJ58" t="n">
        <ns0:f>IF($A58="",1,IF(CI58=1,1,--AND(IF($AC58&gt;0,INDEX(CI$7:CI$106,$AC58),1),IF($AD58&gt;0,INDEX(CI$7:CI$106,$AD58),1),IF($AE58&gt;0,INDEX(CI$7:CI$106,$AE58),1),IF($AF58&gt;0,INDEX(CI$7:CI$106,$AF58),1),IF($AG58&gt;0,INDEX(CI$7:CI$106,$AG58),1),IF($AH58&gt;0,INDEX(CI$7:CI$106,$AH58),1),IF($AI58&gt;0,INDEX(CI$7:CI$106,$AI58),1),IF($AJ58&gt;0,INDEX(CI$7:CI$106,$AJ58),1))))</ns0:f>
        <ns0:v>1</ns0:v>
      </ns0:c>
      <ns0:c r="CK58" t="n">
        <ns0:f>IF($A58="",1,IF(CJ58=1,1,--AND(IF($AC58&gt;0,INDEX(CJ$7:CJ$106,$AC58),1),IF($AD58&gt;0,INDEX(CJ$7:CJ$106,$AD58),1),IF($AE58&gt;0,INDEX(CJ$7:CJ$106,$AE58),1),IF($AF58&gt;0,INDEX(CJ$7:CJ$106,$AF58),1),IF($AG58&gt;0,INDEX(CJ$7:CJ$106,$AG58),1),IF($AH58&gt;0,INDEX(CJ$7:CJ$106,$AH58),1),IF($AI58&gt;0,INDEX(CJ$7:CJ$106,$AI58),1),IF($AJ58&gt;0,INDEX(CJ$7:CJ$106,$AJ58),1))))</ns0:f>
        <ns0:v>1</ns0:v>
      </ns0:c>
      <ns0:c r="CL58" t="n">
        <ns0:f>IF($A58="",1,IF(CK58=1,1,--AND(IF($AC58&gt;0,INDEX(CK$7:CK$106,$AC58),1),IF($AD58&gt;0,INDEX(CK$7:CK$106,$AD58),1),IF($AE58&gt;0,INDEX(CK$7:CK$106,$AE58),1),IF($AF58&gt;0,INDEX(CK$7:CK$106,$AF58),1),IF($AG58&gt;0,INDEX(CK$7:CK$106,$AG58),1),IF($AH58&gt;0,INDEX(CK$7:CK$106,$AH58),1),IF($AI58&gt;0,INDEX(CK$7:CK$106,$AI58),1),IF($AJ58&gt;0,INDEX(CK$7:CK$106,$AJ58),1))))</ns0:f>
        <ns0:v>1</ns0:v>
      </ns0:c>
      <ns0:c r="CM58" t="n">
        <ns0:f>IF($A58="",1,IF(CL58=1,1,--AND(IF($AC58&gt;0,INDEX(CL$7:CL$106,$AC58),1),IF($AD58&gt;0,INDEX(CL$7:CL$106,$AD58),1),IF($AE58&gt;0,INDEX(CL$7:CL$106,$AE58),1),IF($AF58&gt;0,INDEX(CL$7:CL$106,$AF58),1),IF($AG58&gt;0,INDEX(CL$7:CL$106,$AG58),1),IF($AH58&gt;0,INDEX(CL$7:CL$106,$AH58),1),IF($AI58&gt;0,INDEX(CL$7:CL$106,$AI58),1),IF($AJ58&gt;0,INDEX(CL$7:CL$106,$AJ58),1))))</ns0:f>
        <ns0:v>1</ns0:v>
      </ns0:c>
      <ns0:c r="CN58" t="n">
        <ns0:f>IF($A58="",1,IF(CM58=1,1,--AND(IF($AC58&gt;0,INDEX(CM$7:CM$106,$AC58),1),IF($AD58&gt;0,INDEX(CM$7:CM$106,$AD58),1),IF($AE58&gt;0,INDEX(CM$7:CM$106,$AE58),1),IF($AF58&gt;0,INDEX(CM$7:CM$106,$AF58),1),IF($AG58&gt;0,INDEX(CM$7:CM$106,$AG58),1),IF($AH58&gt;0,INDEX(CM$7:CM$106,$AH58),1),IF($AI58&gt;0,INDEX(CM$7:CM$106,$AI58),1),IF($AJ58&gt;0,INDEX(CM$7:CM$106,$AJ58),1))))</ns0:f>
        <ns0:v>1</ns0:v>
      </ns0:c>
      <ns0:c r="CO58" t="n">
        <ns0:f>IF($A58="",1,IF(CN58=1,1,--AND(IF($AC58&gt;0,INDEX(CN$7:CN$106,$AC58),1),IF($AD58&gt;0,INDEX(CN$7:CN$106,$AD58),1),IF($AE58&gt;0,INDEX(CN$7:CN$106,$AE58),1),IF($AF58&gt;0,INDEX(CN$7:CN$106,$AF58),1),IF($AG58&gt;0,INDEX(CN$7:CN$106,$AG58),1),IF($AH58&gt;0,INDEX(CN$7:CN$106,$AH58),1),IF($AI58&gt;0,INDEX(CN$7:CN$106,$AI58),1),IF($AJ58&gt;0,INDEX(CN$7:CN$106,$AJ58),1))))</ns0:f>
        <ns0:v>1</ns0:v>
      </ns0:c>
      <ns0:c r="CP58" t="n">
        <ns0:f>IF($A58="",1,IF(CO58=1,1,--AND(IF($AC58&gt;0,INDEX(CO$7:CO$106,$AC58),1),IF($AD58&gt;0,INDEX(CO$7:CO$106,$AD58),1),IF($AE58&gt;0,INDEX(CO$7:CO$106,$AE58),1),IF($AF58&gt;0,INDEX(CO$7:CO$106,$AF58),1),IF($AG58&gt;0,INDEX(CO$7:CO$106,$AG58),1),IF($AH58&gt;0,INDEX(CO$7:CO$106,$AH58),1),IF($AI58&gt;0,INDEX(CO$7:CO$106,$AI58),1),IF($AJ58&gt;0,INDEX(CO$7:CO$106,$AJ58),1))))</ns0:f>
        <ns0:v>1</ns0:v>
      </ns0:c>
      <ns0:c r="CQ58" t="n">
        <ns0:f>IF($A58="",1,IF(CP58=1,1,--AND(IF($AC58&gt;0,INDEX(CP$7:CP$106,$AC58),1),IF($AD58&gt;0,INDEX(CP$7:CP$106,$AD58),1),IF($AE58&gt;0,INDEX(CP$7:CP$106,$AE58),1),IF($AF58&gt;0,INDEX(CP$7:CP$106,$AF58),1),IF($AG58&gt;0,INDEX(CP$7:CP$106,$AG58),1),IF($AH58&gt;0,INDEX(CP$7:CP$106,$AH58),1),IF($AI58&gt;0,INDEX(CP$7:CP$106,$AI58),1),IF($AJ58&gt;0,INDEX(CP$7:CP$106,$AJ58),1))))</ns0:f>
        <ns0:v>1</ns0:v>
      </ns0:c>
      <ns0:c r="CR58" t="n">
        <ns0:f>IF($A58="",1,IF(CQ58=1,1,--AND(IF($AC58&gt;0,INDEX(CQ$7:CQ$106,$AC58),1),IF($AD58&gt;0,INDEX(CQ$7:CQ$106,$AD58),1),IF($AE58&gt;0,INDEX(CQ$7:CQ$106,$AE58),1),IF($AF58&gt;0,INDEX(CQ$7:CQ$106,$AF58),1),IF($AG58&gt;0,INDEX(CQ$7:CQ$106,$AG58),1),IF($AH58&gt;0,INDEX(CQ$7:CQ$106,$AH58),1),IF($AI58&gt;0,INDEX(CQ$7:CQ$106,$AI58),1),IF($AJ58&gt;0,INDEX(CQ$7:CQ$106,$AJ58),1))))</ns0:f>
        <ns0:v>1</ns0:v>
      </ns0:c>
      <ns0:c r="CS58" t="n">
        <ns0:f>IF($A58="",1,IF(CR58=1,1,--AND(IF($AC58&gt;0,INDEX(CR$7:CR$106,$AC58),1),IF($AD58&gt;0,INDEX(CR$7:CR$106,$AD58),1),IF($AE58&gt;0,INDEX(CR$7:CR$106,$AE58),1),IF($AF58&gt;0,INDEX(CR$7:CR$106,$AF58),1),IF($AG58&gt;0,INDEX(CR$7:CR$106,$AG58),1),IF($AH58&gt;0,INDEX(CR$7:CR$106,$AH58),1),IF($AI58&gt;0,INDEX(CR$7:CR$106,$AI58),1),IF($AJ58&gt;0,INDEX(CR$7:CR$106,$AJ58),1))))</ns0:f>
        <ns0:v>1</ns0:v>
      </ns0:c>
      <ns0:c r="CT58" t="n">
        <ns0:f>IF($A58="",1,IF(CS58=1,1,--AND(IF($AC58&gt;0,INDEX(CS$7:CS$106,$AC58),1),IF($AD58&gt;0,INDEX(CS$7:CS$106,$AD58),1),IF($AE58&gt;0,INDEX(CS$7:CS$106,$AE58),1),IF($AF58&gt;0,INDEX(CS$7:CS$106,$AF58),1),IF($AG58&gt;0,INDEX(CS$7:CS$106,$AG58),1),IF($AH58&gt;0,INDEX(CS$7:CS$106,$AH58),1),IF($AI58&gt;0,INDEX(CS$7:CS$106,$AI58),1),IF($AJ58&gt;0,INDEX(CS$7:CS$106,$AJ58),1))))</ns0:f>
        <ns0:v>1</ns0:v>
      </ns0:c>
      <ns0:c r="CU58" t="n">
        <ns0:f>IF($A58="",1,IF(CT58=1,1,--AND(IF($AC58&gt;0,INDEX(CT$7:CT$106,$AC58),1),IF($AD58&gt;0,INDEX(CT$7:CT$106,$AD58),1),IF($AE58&gt;0,INDEX(CT$7:CT$106,$AE58),1),IF($AF58&gt;0,INDEX(CT$7:CT$106,$AF58),1),IF($AG58&gt;0,INDEX(CT$7:CT$106,$AG58),1),IF($AH58&gt;0,INDEX(CT$7:CT$106,$AH58),1),IF($AI58&gt;0,INDEX(CT$7:CT$106,$AI58),1),IF($AJ58&gt;0,INDEX(CT$7:CT$106,$AJ58),1))))</ns0:f>
        <ns0:v>1</ns0:v>
      </ns0:c>
      <ns0:c r="CV58" t="n">
        <ns0:f>IF($A58="",1,IF(CU58=1,1,--AND(IF($AC58&gt;0,INDEX(CU$7:CU$106,$AC58),1),IF($AD58&gt;0,INDEX(CU$7:CU$106,$AD58),1),IF($AE58&gt;0,INDEX(CU$7:CU$106,$AE58),1),IF($AF58&gt;0,INDEX(CU$7:CU$106,$AF58),1),IF($AG58&gt;0,INDEX(CU$7:CU$106,$AG58),1),IF($AH58&gt;0,INDEX(CU$7:CU$106,$AH58),1),IF($AI58&gt;0,INDEX(CU$7:CU$106,$AI58),1),IF($AJ58&gt;0,INDEX(CU$7:CU$106,$AJ58),1))))</ns0:f>
        <ns0:v>1</ns0:v>
      </ns0:c>
      <ns0:c r="CW58" t="n">
        <ns0:f>IF($A58="",1,IF(CV58=1,1,--AND(IF($AC58&gt;0,INDEX(CV$7:CV$106,$AC58),1),IF($AD58&gt;0,INDEX(CV$7:CV$106,$AD58),1),IF($AE58&gt;0,INDEX(CV$7:CV$106,$AE58),1),IF($AF58&gt;0,INDEX(CV$7:CV$106,$AF58),1),IF($AG58&gt;0,INDEX(CV$7:CV$106,$AG58),1),IF($AH58&gt;0,INDEX(CV$7:CV$106,$AH58),1),IF($AI58&gt;0,INDEX(CV$7:CV$106,$AI58),1),IF($AJ58&gt;0,INDEX(CV$7:CV$106,$AJ58),1))))</ns0:f>
        <ns0:v>1</ns0:v>
      </ns0:c>
      <ns0:c r="CX58" t="n">
        <ns0:f>IF($A58="",1,IF(CW58=1,1,--AND(IF($AC58&gt;0,INDEX(CW$7:CW$106,$AC58),1),IF($AD58&gt;0,INDEX(CW$7:CW$106,$AD58),1),IF($AE58&gt;0,INDEX(CW$7:CW$106,$AE58),1),IF($AF58&gt;0,INDEX(CW$7:CW$106,$AF58),1),IF($AG58&gt;0,INDEX(CW$7:CW$106,$AG58),1),IF($AH58&gt;0,INDEX(CW$7:CW$106,$AH58),1),IF($AI58&gt;0,INDEX(CW$7:CW$106,$AI58),1),IF($AJ58&gt;0,INDEX(CW$7:CW$106,$AJ58),1))))</ns0:f>
        <ns0:v>1</ns0:v>
      </ns0:c>
      <ns0:c r="CY58" t="n">
        <ns0:f>IF($A58="",1,IF(CX58=1,1,--AND(IF($AC58&gt;0,INDEX(CX$7:CX$106,$AC58),1),IF($AD58&gt;0,INDEX(CX$7:CX$106,$AD58),1),IF($AE58&gt;0,INDEX(CX$7:CX$106,$AE58),1),IF($AF58&gt;0,INDEX(CX$7:CX$106,$AF58),1),IF($AG58&gt;0,INDEX(CX$7:CX$106,$AG58),1),IF($AH58&gt;0,INDEX(CX$7:CX$106,$AH58),1),IF($AI58&gt;0,INDEX(CX$7:CX$106,$AI58),1),IF($AJ58&gt;0,INDEX(CX$7:CX$106,$AJ58),1))))</ns0:f>
        <ns0:v>1</ns0:v>
      </ns0:c>
      <ns0:c r="CZ58" t="n">
        <ns0:f>IF($A58="",1,IF(CY58=1,1,--AND(IF($AC58&gt;0,INDEX(CY$7:CY$106,$AC58),1),IF($AD58&gt;0,INDEX(CY$7:CY$106,$AD58),1),IF($AE58&gt;0,INDEX(CY$7:CY$106,$AE58),1),IF($AF58&gt;0,INDEX(CY$7:CY$106,$AF58),1),IF($AG58&gt;0,INDEX(CY$7:CY$106,$AG58),1),IF($AH58&gt;0,INDEX(CY$7:CY$106,$AH58),1),IF($AI58&gt;0,INDEX(CY$7:CY$106,$AI58),1),IF($AJ58&gt;0,INDEX(CY$7:CY$106,$AJ58),1))))</ns0:f>
        <ns0:v>1</ns0:v>
      </ns0:c>
      <ns0:c r="DA58" t="n">
        <ns0:f>IF($A58="",1,IF(CZ58=1,1,--AND(IF($AC58&gt;0,INDEX(CZ$7:CZ$106,$AC58),1),IF($AD58&gt;0,INDEX(CZ$7:CZ$106,$AD58),1),IF($AE58&gt;0,INDEX(CZ$7:CZ$106,$AE58),1),IF($AF58&gt;0,INDEX(CZ$7:CZ$106,$AF58),1),IF($AG58&gt;0,INDEX(CZ$7:CZ$106,$AG58),1),IF($AH58&gt;0,INDEX(CZ$7:CZ$106,$AH58),1),IF($AI58&gt;0,INDEX(CZ$7:CZ$106,$AI58),1),IF($AJ58&gt;0,INDEX(CZ$7:CZ$106,$AJ58),1))))</ns0:f>
        <ns0:v>1</ns0:v>
      </ns0:c>
      <ns0:c r="DB58" t="n">
        <ns0:f>IF($A58="",1,IF(DA58=1,1,--AND(IF($AC58&gt;0,INDEX(DA$7:DA$106,$AC58),1),IF($AD58&gt;0,INDEX(DA$7:DA$106,$AD58),1),IF($AE58&gt;0,INDEX(DA$7:DA$106,$AE58),1),IF($AF58&gt;0,INDEX(DA$7:DA$106,$AF58),1),IF($AG58&gt;0,INDEX(DA$7:DA$106,$AG58),1),IF($AH58&gt;0,INDEX(DA$7:DA$106,$AH58),1),IF($AI58&gt;0,INDEX(DA$7:DA$106,$AI58),1),IF($AJ58&gt;0,INDEX(DA$7:DA$106,$AJ58),1))))</ns0:f>
        <ns0:v>1</ns0:v>
      </ns0:c>
      <ns0:c r="DC58" t="n">
        <ns0:f>IF($A58="",1,IF(DB58=1,1,--AND(IF($AC58&gt;0,INDEX(DB$7:DB$106,$AC58),1),IF($AD58&gt;0,INDEX(DB$7:DB$106,$AD58),1),IF($AE58&gt;0,INDEX(DB$7:DB$106,$AE58),1),IF($AF58&gt;0,INDEX(DB$7:DB$106,$AF58),1),IF($AG58&gt;0,INDEX(DB$7:DB$106,$AG58),1),IF($AH58&gt;0,INDEX(DB$7:DB$106,$AH58),1),IF($AI58&gt;0,INDEX(DB$7:DB$106,$AI58),1),IF($AJ58&gt;0,INDEX(DB$7:DB$106,$AJ58),1))))</ns0:f>
        <ns0:v>1</ns0:v>
      </ns0:c>
      <ns0:c r="DD58" t="n">
        <ns0:f>IF($A58="",1,IF(DC58=1,1,--AND(IF($AC58&gt;0,INDEX(DC$7:DC$106,$AC58),1),IF($AD58&gt;0,INDEX(DC$7:DC$106,$AD58),1),IF($AE58&gt;0,INDEX(DC$7:DC$106,$AE58),1),IF($AF58&gt;0,INDEX(DC$7:DC$106,$AF58),1),IF($AG58&gt;0,INDEX(DC$7:DC$106,$AG58),1),IF($AH58&gt;0,INDEX(DC$7:DC$106,$AH58),1),IF($AI58&gt;0,INDEX(DC$7:DC$106,$AI58),1),IF($AJ58&gt;0,INDEX(DC$7:DC$106,$AJ58),1))))</ns0:f>
        <ns0:v>1</ns0:v>
      </ns0:c>
      <ns0:c r="DE58" t="n">
        <ns0:f>IF($A58="",1,IF(DD58=1,1,--AND(IF($AC58&gt;0,INDEX(DD$7:DD$106,$AC58),1),IF($AD58&gt;0,INDEX(DD$7:DD$106,$AD58),1),IF($AE58&gt;0,INDEX(DD$7:DD$106,$AE58),1),IF($AF58&gt;0,INDEX(DD$7:DD$106,$AF58),1),IF($AG58&gt;0,INDEX(DD$7:DD$106,$AG58),1),IF($AH58&gt;0,INDEX(DD$7:DD$106,$AH58),1),IF($AI58&gt;0,INDEX(DD$7:DD$106,$AI58),1),IF($AJ58&gt;0,INDEX(DD$7:DD$106,$AJ58),1))))</ns0:f>
        <ns0:v>1</ns0:v>
      </ns0:c>
      <ns0:c r="DF58" t="n">
        <ns0:f>IF($A58="",1,IF(DE58=1,1,--AND(IF($AC58&gt;0,INDEX(DE$7:DE$106,$AC58),1),IF($AD58&gt;0,INDEX(DE$7:DE$106,$AD58),1),IF($AE58&gt;0,INDEX(DE$7:DE$106,$AE58),1),IF($AF58&gt;0,INDEX(DE$7:DE$106,$AF58),1),IF($AG58&gt;0,INDEX(DE$7:DE$106,$AG58),1),IF($AH58&gt;0,INDEX(DE$7:DE$106,$AH58),1),IF($AI58&gt;0,INDEX(DE$7:DE$106,$AI58),1),IF($AJ58&gt;0,INDEX(DE$7:DE$106,$AJ58),1))))</ns0:f>
        <ns0:v>1</ns0:v>
      </ns0:c>
      <ns0:c r="DG58" t="n">
        <ns0:f>IF($A58="",1,IF(DF58=1,1,--AND(IF($AC58&gt;0,INDEX(DF$7:DF$106,$AC58),1),IF($AD58&gt;0,INDEX(DF$7:DF$106,$AD58),1),IF($AE58&gt;0,INDEX(DF$7:DF$106,$AE58),1),IF($AF58&gt;0,INDEX(DF$7:DF$106,$AF58),1),IF($AG58&gt;0,INDEX(DF$7:DF$106,$AG58),1),IF($AH58&gt;0,INDEX(DF$7:DF$106,$AH58),1),IF($AI58&gt;0,INDEX(DF$7:DF$106,$AI58),1),IF($AJ58&gt;0,INDEX(DF$7:DF$106,$AJ58),1))))</ns0:f>
        <ns0:v>1</ns0:v>
      </ns0:c>
      <ns0:c r="DH58" t="n">
        <ns0:f>IF($A58="",1,IF(DG58=1,1,--AND(IF($AC58&gt;0,INDEX(DG$7:DG$106,$AC58),1),IF($AD58&gt;0,INDEX(DG$7:DG$106,$AD58),1),IF($AE58&gt;0,INDEX(DG$7:DG$106,$AE58),1),IF($AF58&gt;0,INDEX(DG$7:DG$106,$AF58),1),IF($AG58&gt;0,INDEX(DG$7:DG$106,$AG58),1),IF($AH58&gt;0,INDEX(DG$7:DG$106,$AH58),1),IF($AI58&gt;0,INDEX(DG$7:DG$106,$AI58),1),IF($AJ58&gt;0,INDEX(DG$7:DG$106,$AJ58),1))))</ns0:f>
        <ns0:v>1</ns0:v>
      </ns0:c>
      <ns0:c r="DI58" t="n">
        <ns0:f>IF($A58="",1,IF(DH58=1,1,--AND(IF($AC58&gt;0,INDEX(DH$7:DH$106,$AC58),1),IF($AD58&gt;0,INDEX(DH$7:DH$106,$AD58),1),IF($AE58&gt;0,INDEX(DH$7:DH$106,$AE58),1),IF($AF58&gt;0,INDEX(DH$7:DH$106,$AF58),1),IF($AG58&gt;0,INDEX(DH$7:DH$106,$AG58),1),IF($AH58&gt;0,INDEX(DH$7:DH$106,$AH58),1),IF($AI58&gt;0,INDEX(DH$7:DH$106,$AI58),1),IF($AJ58&gt;0,INDEX(DH$7:DH$106,$AJ58),1))))</ns0:f>
        <ns0:v>1</ns0:v>
      </ns0:c>
      <ns0:c r="DJ58" t="n">
        <ns0:f>IF($A58="",1,IF(DI58=1,1,--AND(IF($AC58&gt;0,INDEX(DI$7:DI$106,$AC58),1),IF($AD58&gt;0,INDEX(DI$7:DI$106,$AD58),1),IF($AE58&gt;0,INDEX(DI$7:DI$106,$AE58),1),IF($AF58&gt;0,INDEX(DI$7:DI$106,$AF58),1),IF($AG58&gt;0,INDEX(DI$7:DI$106,$AG58),1),IF($AH58&gt;0,INDEX(DI$7:DI$106,$AH58),1),IF($AI58&gt;0,INDEX(DI$7:DI$106,$AI58),1),IF($AJ58&gt;0,INDEX(DI$7:DI$106,$AJ58),1))))</ns0:f>
        <ns0:v>1</ns0:v>
      </ns0:c>
      <ns0:c r="DK58" t="n">
        <ns0:f>IF($A58="",1,IF(DJ58=1,1,--AND(IF($AC58&gt;0,INDEX(DJ$7:DJ$106,$AC58),1),IF($AD58&gt;0,INDEX(DJ$7:DJ$106,$AD58),1),IF($AE58&gt;0,INDEX(DJ$7:DJ$106,$AE58),1),IF($AF58&gt;0,INDEX(DJ$7:DJ$106,$AF58),1),IF($AG58&gt;0,INDEX(DJ$7:DJ$106,$AG58),1),IF($AH58&gt;0,INDEX(DJ$7:DJ$106,$AH58),1),IF($AI58&gt;0,INDEX(DJ$7:DJ$106,$AI58),1),IF($AJ58&gt;0,INDEX(DJ$7:DJ$106,$AJ58),1))))</ns0:f>
        <ns0:v>1</ns0:v>
      </ns0:c>
      <ns0:c r="DL58" t="n">
        <ns0:f>IF($A58="",1,IF(DK58=1,1,--AND(IF($AC58&gt;0,INDEX(DK$7:DK$106,$AC58),1),IF($AD58&gt;0,INDEX(DK$7:DK$106,$AD58),1),IF($AE58&gt;0,INDEX(DK$7:DK$106,$AE58),1),IF($AF58&gt;0,INDEX(DK$7:DK$106,$AF58),1),IF($AG58&gt;0,INDEX(DK$7:DK$106,$AG58),1),IF($AH58&gt;0,INDEX(DK$7:DK$106,$AH58),1),IF($AI58&gt;0,INDEX(DK$7:DK$106,$AI58),1),IF($AJ58&gt;0,INDEX(DK$7:DK$106,$AJ58),1))))</ns0:f>
        <ns0:v>1</ns0:v>
      </ns0:c>
      <ns0:c r="DM58" t="n">
        <ns0:f>IF($A58="",1,IF(DL58=1,1,--AND(IF($AC58&gt;0,INDEX(DL$7:DL$106,$AC58),1),IF($AD58&gt;0,INDEX(DL$7:DL$106,$AD58),1),IF($AE58&gt;0,INDEX(DL$7:DL$106,$AE58),1),IF($AF58&gt;0,INDEX(DL$7:DL$106,$AF58),1),IF($AG58&gt;0,INDEX(DL$7:DL$106,$AG58),1),IF($AH58&gt;0,INDEX(DL$7:DL$106,$AH58),1),IF($AI58&gt;0,INDEX(DL$7:DL$106,$AI58),1),IF($AJ58&gt;0,INDEX(DL$7:DL$106,$AJ58),1))))</ns0:f>
        <ns0:v>1</ns0:v>
      </ns0:c>
      <ns0:c r="DN58" t="n">
        <ns0:f>IF($A58="",1,IF(DM58=1,1,--AND(IF($AC58&gt;0,INDEX(DM$7:DM$106,$AC58),1),IF($AD58&gt;0,INDEX(DM$7:DM$106,$AD58),1),IF($AE58&gt;0,INDEX(DM$7:DM$106,$AE58),1),IF($AF58&gt;0,INDEX(DM$7:DM$106,$AF58),1),IF($AG58&gt;0,INDEX(DM$7:DM$106,$AG58),1),IF($AH58&gt;0,INDEX(DM$7:DM$106,$AH58),1),IF($AI58&gt;0,INDEX(DM$7:DM$106,$AI58),1),IF($AJ58&gt;0,INDEX(DM$7:DM$106,$AJ58),1))))</ns0:f>
        <ns0:v>1</ns0:v>
      </ns0:c>
      <ns0:c r="DO58" t="n">
        <ns0:f>IF($A58="",1,IF(DN58=1,1,--AND(IF($AC58&gt;0,INDEX(DN$7:DN$106,$AC58),1),IF($AD58&gt;0,INDEX(DN$7:DN$106,$AD58),1),IF($AE58&gt;0,INDEX(DN$7:DN$106,$AE58),1),IF($AF58&gt;0,INDEX(DN$7:DN$106,$AF58),1),IF($AG58&gt;0,INDEX(DN$7:DN$106,$AG58),1),IF($AH58&gt;0,INDEX(DN$7:DN$106,$AH58),1),IF($AI58&gt;0,INDEX(DN$7:DN$106,$AI58),1),IF($AJ58&gt;0,INDEX(DN$7:DN$106,$AJ58),1))))</ns0:f>
        <ns0:v>1</ns0:v>
      </ns0:c>
      <ns0:c r="DP58" t="n">
        <ns0:f>IF($A58="",1,IF(DO58=1,1,--AND(IF($AC58&gt;0,INDEX(DO$7:DO$106,$AC58),1),IF($AD58&gt;0,INDEX(DO$7:DO$106,$AD58),1),IF($AE58&gt;0,INDEX(DO$7:DO$106,$AE58),1),IF($AF58&gt;0,INDEX(DO$7:DO$106,$AF58),1),IF($AG58&gt;0,INDEX(DO$7:DO$106,$AG58),1),IF($AH58&gt;0,INDEX(DO$7:DO$106,$AH58),1),IF($AI58&gt;0,INDEX(DO$7:DO$106,$AI58),1),IF($AJ58&gt;0,INDEX(DO$7:DO$106,$AJ58),1))))</ns0:f>
        <ns0:v>1</ns0:v>
      </ns0:c>
      <ns0:c r="DQ58" t="n">
        <ns0:f>IF($A58="",1,IF(DP58=1,1,--AND(IF($AC58&gt;0,INDEX(DP$7:DP$106,$AC58),1),IF($AD58&gt;0,INDEX(DP$7:DP$106,$AD58),1),IF($AE58&gt;0,INDEX(DP$7:DP$106,$AE58),1),IF($AF58&gt;0,INDEX(DP$7:DP$106,$AF58),1),IF($AG58&gt;0,INDEX(DP$7:DP$106,$AG58),1),IF($AH58&gt;0,INDEX(DP$7:DP$106,$AH58),1),IF($AI58&gt;0,INDEX(DP$7:DP$106,$AI58),1),IF($AJ58&gt;0,INDEX(DP$7:DP$106,$AJ58),1))))</ns0:f>
        <ns0:v>1</ns0:v>
      </ns0:c>
      <ns0:c r="DR58" t="n">
        <ns0:f>IF($A58="",1,IF(DQ58=1,1,--AND(IF($AC58&gt;0,INDEX(DQ$7:DQ$106,$AC58),1),IF($AD58&gt;0,INDEX(DQ$7:DQ$106,$AD58),1),IF($AE58&gt;0,INDEX(DQ$7:DQ$106,$AE58),1),IF($AF58&gt;0,INDEX(DQ$7:DQ$106,$AF58),1),IF($AG58&gt;0,INDEX(DQ$7:DQ$106,$AG58),1),IF($AH58&gt;0,INDEX(DQ$7:DQ$106,$AH58),1),IF($AI58&gt;0,INDEX(DQ$7:DQ$106,$AI58),1),IF($AJ58&gt;0,INDEX(DQ$7:DQ$106,$AJ58),1))))</ns0:f>
        <ns0:v>1</ns0:v>
      </ns0:c>
      <ns0:c r="DS58" t="n">
        <ns0:f>IF($A58="",1,IF(DR58=1,1,--AND(IF($AC58&gt;0,INDEX(DR$7:DR$106,$AC58),1),IF($AD58&gt;0,INDEX(DR$7:DR$106,$AD58),1),IF($AE58&gt;0,INDEX(DR$7:DR$106,$AE58),1),IF($AF58&gt;0,INDEX(DR$7:DR$106,$AF58),1),IF($AG58&gt;0,INDEX(DR$7:DR$106,$AG58),1),IF($AH58&gt;0,INDEX(DR$7:DR$106,$AH58),1),IF($AI58&gt;0,INDEX(DR$7:DR$106,$AI58),1),IF($AJ58&gt;0,INDEX(DR$7:DR$106,$AJ58),1))))</ns0:f>
        <ns0:v>1</ns0:v>
      </ns0:c>
      <ns0:c r="DT58" t="n">
        <ns0:f>IF($A58="",1,IF(DS58=1,1,--AND(IF($AC58&gt;0,INDEX(DS$7:DS$106,$AC58),1),IF($AD58&gt;0,INDEX(DS$7:DS$106,$AD58),1),IF($AE58&gt;0,INDEX(DS$7:DS$106,$AE58),1),IF($AF58&gt;0,INDEX(DS$7:DS$106,$AF58),1),IF($AG58&gt;0,INDEX(DS$7:DS$106,$AG58),1),IF($AH58&gt;0,INDEX(DS$7:DS$106,$AH58),1),IF($AI58&gt;0,INDEX(DS$7:DS$106,$AI58),1),IF($AJ58&gt;0,INDEX(DS$7:DS$106,$AJ58),1))))</ns0:f>
        <ns0:v>1</ns0:v>
      </ns0:c>
      <ns0:c r="DU58" t="n">
        <ns0:f>IF($A58="",1,IF(DT58=1,1,--AND(IF($AC58&gt;0,INDEX(DT$7:DT$106,$AC58),1),IF($AD58&gt;0,INDEX(DT$7:DT$106,$AD58),1),IF($AE58&gt;0,INDEX(DT$7:DT$106,$AE58),1),IF($AF58&gt;0,INDEX(DT$7:DT$106,$AF58),1),IF($AG58&gt;0,INDEX(DT$7:DT$106,$AG58),1),IF($AH58&gt;0,INDEX(DT$7:DT$106,$AH58),1),IF($AI58&gt;0,INDEX(DT$7:DT$106,$AI58),1),IF($AJ58&gt;0,INDEX(DT$7:DT$106,$AJ58),1))))</ns0:f>
        <ns0:v>1</ns0:v>
      </ns0:c>
      <ns0:c r="DV58" t="n">
        <ns0:f>IF($A58="",1,IF(DU58=1,1,--AND(IF($AC58&gt;0,INDEX(DU$7:DU$106,$AC58),1),IF($AD58&gt;0,INDEX(DU$7:DU$106,$AD58),1),IF($AE58&gt;0,INDEX(DU$7:DU$106,$AE58),1),IF($AF58&gt;0,INDEX(DU$7:DU$106,$AF58),1),IF($AG58&gt;0,INDEX(DU$7:DU$106,$AG58),1),IF($AH58&gt;0,INDEX(DU$7:DU$106,$AH58),1),IF($AI58&gt;0,INDEX(DU$7:DU$106,$AI58),1),IF($AJ58&gt;0,INDEX(DU$7:DU$106,$AJ58),1))))</ns0:f>
        <ns0:v>1</ns0:v>
      </ns0:c>
      <ns0:c r="DW58" t="n">
        <ns0:f>IF($A58="",1,IF(DV58=1,1,--AND(IF($AC58&gt;0,INDEX(DV$7:DV$106,$AC58),1),IF($AD58&gt;0,INDEX(DV$7:DV$106,$AD58),1),IF($AE58&gt;0,INDEX(DV$7:DV$106,$AE58),1),IF($AF58&gt;0,INDEX(DV$7:DV$106,$AF58),1),IF($AG58&gt;0,INDEX(DV$7:DV$106,$AG58),1),IF($AH58&gt;0,INDEX(DV$7:DV$106,$AH58),1),IF($AI58&gt;0,INDEX(DV$7:DV$106,$AI58),1),IF($AJ58&gt;0,INDEX(DV$7:DV$106,$AJ58),1))))</ns0:f>
        <ns0:v>1</ns0:v>
      </ns0:c>
      <ns0:c r="DX58" t="n">
        <ns0:f>IF($A58="",1,IF(DW58=1,1,--AND(IF($AC58&gt;0,INDEX(DW$7:DW$106,$AC58),1),IF($AD58&gt;0,INDEX(DW$7:DW$106,$AD58),1),IF($AE58&gt;0,INDEX(DW$7:DW$106,$AE58),1),IF($AF58&gt;0,INDEX(DW$7:DW$106,$AF58),1),IF($AG58&gt;0,INDEX(DW$7:DW$106,$AG58),1),IF($AH58&gt;0,INDEX(DW$7:DW$106,$AH58),1),IF($AI58&gt;0,INDEX(DW$7:DW$106,$AI58),1),IF($AJ58&gt;0,INDEX(DW$7:DW$106,$AJ58),1))))</ns0:f>
        <ns0:v>1</ns0:v>
      </ns0:c>
      <ns0:c r="DY58" t="n">
        <ns0:f>IF($A58="",1,IF(DX58=1,1,--AND(IF($AC58&gt;0,INDEX(DX$7:DX$106,$AC58),1),IF($AD58&gt;0,INDEX(DX$7:DX$106,$AD58),1),IF($AE58&gt;0,INDEX(DX$7:DX$106,$AE58),1),IF($AF58&gt;0,INDEX(DX$7:DX$106,$AF58),1),IF($AG58&gt;0,INDEX(DX$7:DX$106,$AG58),1),IF($AH58&gt;0,INDEX(DX$7:DX$106,$AH58),1),IF($AI58&gt;0,INDEX(DX$7:DX$106,$AI58),1),IF($AJ58&gt;0,INDEX(DX$7:DX$106,$AJ58),1))))</ns0:f>
        <ns0:v>1</ns0:v>
      </ns0:c>
      <ns0:c r="DZ58" t="n">
        <ns0:f>IF($A58="",1,IF(DY58=1,1,--AND(IF($AC58&gt;0,INDEX(DY$7:DY$106,$AC58),1),IF($AD58&gt;0,INDEX(DY$7:DY$106,$AD58),1),IF($AE58&gt;0,INDEX(DY$7:DY$106,$AE58),1),IF($AF58&gt;0,INDEX(DY$7:DY$106,$AF58),1),IF($AG58&gt;0,INDEX(DY$7:DY$106,$AG58),1),IF($AH58&gt;0,INDEX(DY$7:DY$106,$AH58),1),IF($AI58&gt;0,INDEX(DY$7:DY$106,$AI58),1),IF($AJ58&gt;0,INDEX(DY$7:DY$106,$AJ58),1))))</ns0:f>
        <ns0:v>1</ns0:v>
      </ns0:c>
      <ns0:c r="EA58" t="n">
        <ns0:f>IF($A58="",1,IF(DZ58=1,1,--AND(IF($AC58&gt;0,INDEX(DZ$7:DZ$106,$AC58),1),IF($AD58&gt;0,INDEX(DZ$7:DZ$106,$AD58),1),IF($AE58&gt;0,INDEX(DZ$7:DZ$106,$AE58),1),IF($AF58&gt;0,INDEX(DZ$7:DZ$106,$AF58),1),IF($AG58&gt;0,INDEX(DZ$7:DZ$106,$AG58),1),IF($AH58&gt;0,INDEX(DZ$7:DZ$106,$AH58),1),IF($AI58&gt;0,INDEX(DZ$7:DZ$106,$AI58),1),IF($AJ58&gt;0,INDEX(DZ$7:DZ$106,$AJ58),1))))</ns0:f>
        <ns0:v>1</ns0:v>
      </ns0:c>
      <ns0:c r="EB58" t="n">
        <ns0:f>IF($A58="",1,IF(EA58=1,1,--AND(IF($AC58&gt;0,INDEX(EA$7:EA$106,$AC58),1),IF($AD58&gt;0,INDEX(EA$7:EA$106,$AD58),1),IF($AE58&gt;0,INDEX(EA$7:EA$106,$AE58),1),IF($AF58&gt;0,INDEX(EA$7:EA$106,$AF58),1),IF($AG58&gt;0,INDEX(EA$7:EA$106,$AG58),1),IF($AH58&gt;0,INDEX(EA$7:EA$106,$AH58),1),IF($AI58&gt;0,INDEX(EA$7:EA$106,$AI58),1),IF($AJ58&gt;0,INDEX(EA$7:EA$106,$AJ58),1))))</ns0:f>
        <ns0:v>1</ns0:v>
      </ns0:c>
      <ns0:c r="EC58" t="n">
        <ns0:f>IF($A58="",1,IF(EB58=1,1,--AND(IF($AC58&gt;0,INDEX(EB$7:EB$106,$AC58),1),IF($AD58&gt;0,INDEX(EB$7:EB$106,$AD58),1),IF($AE58&gt;0,INDEX(EB$7:EB$106,$AE58),1),IF($AF58&gt;0,INDEX(EB$7:EB$106,$AF58),1),IF($AG58&gt;0,INDEX(EB$7:EB$106,$AG58),1),IF($AH58&gt;0,INDEX(EB$7:EB$106,$AH58),1),IF($AI58&gt;0,INDEX(EB$7:EB$106,$AI58),1),IF($AJ58&gt;0,INDEX(EB$7:EB$106,$AJ58),1))))</ns0:f>
        <ns0:v>1</ns0:v>
      </ns0:c>
      <ns0:c r="ED58" t="n">
        <ns0:f>IF($A58="",1,IF(EC58=1,1,--AND(IF($AC58&gt;0,INDEX(EC$7:EC$106,$AC58),1),IF($AD58&gt;0,INDEX(EC$7:EC$106,$AD58),1),IF($AE58&gt;0,INDEX(EC$7:EC$106,$AE58),1),IF($AF58&gt;0,INDEX(EC$7:EC$106,$AF58),1),IF($AG58&gt;0,INDEX(EC$7:EC$106,$AG58),1),IF($AH58&gt;0,INDEX(EC$7:EC$106,$AH58),1),IF($AI58&gt;0,INDEX(EC$7:EC$106,$AI58),1),IF($AJ58&gt;0,INDEX(EC$7:EC$106,$AJ58),1))))</ns0:f>
        <ns0:v>1</ns0:v>
      </ns0:c>
      <ns0:c r="EE58" t="n">
        <ns0:f>IF($A58="",1,IF(ED58=1,1,--AND(IF($AC58&gt;0,INDEX(ED$7:ED$106,$AC58),1),IF($AD58&gt;0,INDEX(ED$7:ED$106,$AD58),1),IF($AE58&gt;0,INDEX(ED$7:ED$106,$AE58),1),IF($AF58&gt;0,INDEX(ED$7:ED$106,$AF58),1),IF($AG58&gt;0,INDEX(ED$7:ED$106,$AG58),1),IF($AH58&gt;0,INDEX(ED$7:ED$106,$AH58),1),IF($AI58&gt;0,INDEX(ED$7:ED$106,$AI58),1),IF($AJ58&gt;0,INDEX(ED$7:ED$106,$AJ58),1))))</ns0:f>
        <ns0:v>1</ns0:v>
      </ns0:c>
      <ns0:c r="EF58" t="n">
        <ns0:f>IF($A58="",1,IF(EE58=1,1,--AND(IF($AC58&gt;0,INDEX(EE$7:EE$106,$AC58),1),IF($AD58&gt;0,INDEX(EE$7:EE$106,$AD58),1),IF($AE58&gt;0,INDEX(EE$7:EE$106,$AE58),1),IF($AF58&gt;0,INDEX(EE$7:EE$106,$AF58),1),IF($AG58&gt;0,INDEX(EE$7:EE$106,$AG58),1),IF($AH58&gt;0,INDEX(EE$7:EE$106,$AH58),1),IF($AI58&gt;0,INDEX(EE$7:EE$106,$AI58),1),IF($AJ58&gt;0,INDEX(EE$7:EE$106,$AJ58),1))))</ns0:f>
        <ns0:v>1</ns0:v>
      </ns0:c>
      <ns0:c r="EG58" t="n">
        <ns0:f>IF($A58="",1,IF(EF58=1,1,--AND(IF($AC58&gt;0,INDEX(EF$7:EF$106,$AC58),1),IF($AD58&gt;0,INDEX(EF$7:EF$106,$AD58),1),IF($AE58&gt;0,INDEX(EF$7:EF$106,$AE58),1),IF($AF58&gt;0,INDEX(EF$7:EF$106,$AF58),1),IF($AG58&gt;0,INDEX(EF$7:EF$106,$AG58),1),IF($AH58&gt;0,INDEX(EF$7:EF$106,$AH58),1),IF($AI58&gt;0,INDEX(EF$7:EF$106,$AI58),1),IF($AJ58&gt;0,INDEX(EF$7:EF$106,$AJ58),1))))</ns0:f>
        <ns0:v>1</ns0:v>
      </ns0:c>
      <ns0:c r="EH58" t="n">
        <ns0:f>IF($A58="",1,IF(EG58=1,1,--AND(IF($AC58&gt;0,INDEX(EG$7:EG$106,$AC58),1),IF($AD58&gt;0,INDEX(EG$7:EG$106,$AD58),1),IF($AE58&gt;0,INDEX(EG$7:EG$106,$AE58),1),IF($AF58&gt;0,INDEX(EG$7:EG$106,$AF58),1),IF($AG58&gt;0,INDEX(EG$7:EG$106,$AG58),1),IF($AH58&gt;0,INDEX(EG$7:EG$106,$AH58),1),IF($AI58&gt;0,INDEX(EG$7:EG$106,$AI58),1),IF($AJ58&gt;0,INDEX(EG$7:EG$106,$AJ58),1))))</ns0:f>
        <ns0:v>1</ns0:v>
      </ns0:c>
      <ns0:c r="EI58" t="n">
        <ns0:f>IF($A58="",1,IF(EH58=1,1,--AND(IF($AC58&gt;0,INDEX(EH$7:EH$106,$AC58),1),IF($AD58&gt;0,INDEX(EH$7:EH$106,$AD58),1),IF($AE58&gt;0,INDEX(EH$7:EH$106,$AE58),1),IF($AF58&gt;0,INDEX(EH$7:EH$106,$AF58),1),IF($AG58&gt;0,INDEX(EH$7:EH$106,$AG58),1),IF($AH58&gt;0,INDEX(EH$7:EH$106,$AH58),1),IF($AI58&gt;0,INDEX(EH$7:EH$106,$AI58),1),IF($AJ58&gt;0,INDEX(EH$7:EH$106,$AJ58),1))))</ns0:f>
        <ns0:v>1</ns0:v>
      </ns0:c>
      <ns0:c r="EJ58" t="n">
        <ns0:f>IF($A58="",1,IF(EI58=1,1,--AND(IF($AC58&gt;0,INDEX(EI$7:EI$106,$AC58),1),IF($AD58&gt;0,INDEX(EI$7:EI$106,$AD58),1),IF($AE58&gt;0,INDEX(EI$7:EI$106,$AE58),1),IF($AF58&gt;0,INDEX(EI$7:EI$106,$AF58),1),IF($AG58&gt;0,INDEX(EI$7:EI$106,$AG58),1),IF($AH58&gt;0,INDEX(EI$7:EI$106,$AH58),1),IF($AI58&gt;0,INDEX(EI$7:EI$106,$AI58),1),IF($AJ58&gt;0,INDEX(EI$7:EI$106,$AJ58),1))))</ns0:f>
        <ns0:v>1</ns0:v>
      </ns0:c>
      <ns0:c r="EK58" t="n">
        <ns0:f>IF($A58="",1,IF(EJ58=1,1,--AND(IF($AC58&gt;0,INDEX(EJ$7:EJ$106,$AC58),1),IF($AD58&gt;0,INDEX(EJ$7:EJ$106,$AD58),1),IF($AE58&gt;0,INDEX(EJ$7:EJ$106,$AE58),1),IF($AF58&gt;0,INDEX(EJ$7:EJ$106,$AF58),1),IF($AG58&gt;0,INDEX(EJ$7:EJ$106,$AG58),1),IF($AH58&gt;0,INDEX(EJ$7:EJ$106,$AH58),1),IF($AI58&gt;0,INDEX(EJ$7:EJ$106,$AI58),1),IF($AJ58&gt;0,INDEX(EJ$7:EJ$106,$AJ58),1))))</ns0:f>
        <ns0:v>1</ns0:v>
      </ns0:c>
      <ns0:c r="EL58" t="n">
        <ns0:f>IF($A58="",1,IF(EK58=1,1,--AND(IF($AC58&gt;0,INDEX(EK$7:EK$106,$AC58),1),IF($AD58&gt;0,INDEX(EK$7:EK$106,$AD58),1),IF($AE58&gt;0,INDEX(EK$7:EK$106,$AE58),1),IF($AF58&gt;0,INDEX(EK$7:EK$106,$AF58),1),IF($AG58&gt;0,INDEX(EK$7:EK$106,$AG58),1),IF($AH58&gt;0,INDEX(EK$7:EK$106,$AH58),1),IF($AI58&gt;0,INDEX(EK$7:EK$106,$AI58),1),IF($AJ58&gt;0,INDEX(EK$7:EK$106,$AJ58),1))))</ns0:f>
        <ns0:v>1</ns0:v>
      </ns0:c>
      <ns0:c r="EM58" t="n">
        <ns0:f>IF($A58="",1,IF(EL58=1,1,--AND(IF($AC58&gt;0,INDEX(EL$7:EL$106,$AC58),1),IF($AD58&gt;0,INDEX(EL$7:EL$106,$AD58),1),IF($AE58&gt;0,INDEX(EL$7:EL$106,$AE58),1),IF($AF58&gt;0,INDEX(EL$7:EL$106,$AF58),1),IF($AG58&gt;0,INDEX(EL$7:EL$106,$AG58),1),IF($AH58&gt;0,INDEX(EL$7:EL$106,$AH58),1),IF($AI58&gt;0,INDEX(EL$7:EL$106,$AI58),1),IF($AJ58&gt;0,INDEX(EL$7:EL$106,$AJ58),1))))</ns0:f>
        <ns0:v>1</ns0:v>
      </ns0:c>
      <ns0:c r="EN58" t="n">
        <ns0:f>IF($A58="",1,IF(EM58=1,1,--AND(IF($AC58&gt;0,INDEX(EM$7:EM$106,$AC58),1),IF($AD58&gt;0,INDEX(EM$7:EM$106,$AD58),1),IF($AE58&gt;0,INDEX(EM$7:EM$106,$AE58),1),IF($AF58&gt;0,INDEX(EM$7:EM$106,$AF58),1),IF($AG58&gt;0,INDEX(EM$7:EM$106,$AG58),1),IF($AH58&gt;0,INDEX(EM$7:EM$106,$AH58),1),IF($AI58&gt;0,INDEX(EM$7:EM$106,$AI58),1),IF($AJ58&gt;0,INDEX(EM$7:EM$106,$AJ58),1))))</ns0:f>
        <ns0:v>1</ns0:v>
      </ns0:c>
      <ns0:c r="EO58" t="n">
        <ns0:f>IF($A58="",1,IF(EN58=1,1,--AND(IF($AC58&gt;0,INDEX(EN$7:EN$106,$AC58),1),IF($AD58&gt;0,INDEX(EN$7:EN$106,$AD58),1),IF($AE58&gt;0,INDEX(EN$7:EN$106,$AE58),1),IF($AF58&gt;0,INDEX(EN$7:EN$106,$AF58),1),IF($AG58&gt;0,INDEX(EN$7:EN$106,$AG58),1),IF($AH58&gt;0,INDEX(EN$7:EN$106,$AH58),1),IF($AI58&gt;0,INDEX(EN$7:EN$106,$AI58),1),IF($AJ58&gt;0,INDEX(EN$7:EN$106,$AJ58),1))))</ns0:f>
        <ns0:v>1</ns0:v>
      </ns0:c>
      <ns0:c r="EP58" t="n">
        <ns0:f>IF($A58="",1,IF(EO58=1,1,--AND(IF($AC58&gt;0,INDEX(EO$7:EO$106,$AC58),1),IF($AD58&gt;0,INDEX(EO$7:EO$106,$AD58),1),IF($AE58&gt;0,INDEX(EO$7:EO$106,$AE58),1),IF($AF58&gt;0,INDEX(EO$7:EO$106,$AF58),1),IF($AG58&gt;0,INDEX(EO$7:EO$106,$AG58),1),IF($AH58&gt;0,INDEX(EO$7:EO$106,$AH58),1),IF($AI58&gt;0,INDEX(EO$7:EO$106,$AI58),1),IF($AJ58&gt;0,INDEX(EO$7:EO$106,$AJ58),1))))</ns0:f>
        <ns0:v>1</ns0:v>
      </ns0:c>
      <ns0:c r="EQ58" t="n">
        <ns0:f>IF(OR(A58="",NOT(ISNUMBER(G58))),0,G58*N58)</ns0:f>
        <ns0:v>0</ns0:v>
      </ns0:c>
    </ns0:row>
    <ns0:row r="59" ht="62" customHeight="1">
      <ns0:c r="A59" s="48"/>
      <ns0:c r="B59" s="48"/>
      <ns0:c r="C59" s="48"/>
      <ns0:c r="D59" s="48"/>
      <ns0:c r="E59" s="49"/>
      <ns0:c r="F59" s="49"/>
      <ns0:c r="G59" s="13" t="str">
        <ns0:f>IF(A59="","",IF(OR(NOT(ISNUMBER(E59)),NOT(ISNUMBER(F59)),F59&lt;E59),"",IF(J59="Yes",0,F59-E59+1)))</ns0:f>
      </ns0:c>
      <ns0:c r="H59" s="48"/>
      <ns0:c r="I59" s="48"/>
      <ns0:c r="J59" s="48"/>
      <ns0:c r="K59" s="48"/>
      <ns0:c r="L59" s="48"/>
      <ns0:c r="M59" s="50" t="str">
        <ns0:f>IF(A59="","",IF(N59=1,"Completed",IF(N59&gt;0,"In Progress","Not Started")))</ns0:f>
      </ns0:c>
      <ns0:c r="N59" s="51"/>
      <ns0:c r="O59" s="13" t="str">
        <ns0:f>IF(A59="","",IF(R59&lt;&gt;"","[CONFLICT] "&amp;R59,IF(S59&lt;&gt;"","[CONFLICT] "&amp;S59,IF(OR(NOT(ISNUMBER(N59)),N59&lt;0,N59&gt;1),"[CONFLICT] Invalid progress",IF(AK59&gt;0,"[DEPENDENCY ISSUE] Missing ID / &gt;8 links",IF(AM59&gt;0,"[DEPENDENCY ISSUE] Cycle or blocked by cycle",IF(AND(H59&lt;&gt;"",ISNA(MATCH(I59,{"FS","SS","FF","SF"},0))),"[DEPENDENCY ISSUE] Invalid type",IF(AL59&gt;0,"[DEPENDENCY ISSUE] Timing conflict",IF(OR(E59&lt;ProjectStart,F59&gt;ProjectEnd),"[OUTSIDE WINDOW]",IF(AND(N59&lt;1,F59&lt;AsOfDate),"Overdue",IF(AND(M59&lt;&gt;Q59,M59&lt;&gt;""),"[CONFLICT] Status / progress","On track")))))))))))</ns0:f>
      </ns0:c>
      <ns0:c r="P59" s="52"/>
      <ns0:c r="Q59" t="str">
        <ns0:f>IF(A59="","",IF(OR(M59="On Hold",M59="Delayed"),M59,IF(N59=1,"Completed",IF(N59&gt;0,"In Progress","Not Started"))))</ns0:f>
      </ns0:c>
      <ns0:c r="R59" t="str">
        <ns0:f>IF(A59="","",IF(COUNTIFS(Tasks[Task ID],A59)&lt;&gt;1,"Duplicate ID",""))</ns0:f>
      </ns0:c>
      <ns0:c r="S59" t="str">
        <ns0:f>IF(A59="","",IF(OR(NOT(ISNUMBER(E59)),NOT(ISNUMBER(F59))),"Invalid / missing date",IF(OR(E59&lt;&gt;INT(E59),F59&lt;&gt;INT(F59),E59&lt;1,F59&gt;2958465),"Invalid date",IF(F59&lt;E59,"End before start",IF(AND(J59="Yes",E59&lt;&gt;F59),"Milestone needs one date","")))))</ns0:f>
      </ns0:c>
      <ns0:c r="T59" t="n">
        <ns0:f>IF(H59="",0,LEN(H59)-LEN(SUBSTITUTE(H59,",",""))+1)</ns0:f>
        <ns0:v>0</ns0:v>
      </ns0:c>
      <ns0:c r="U59" t="str">
        <ns0:f>TRIM(MID(SUBSTITUTE($H59,",",REPT(" ",100)),1,100))</ns0:f>
      </ns0:c>
      <ns0:c r="V59" t="str">
        <ns0:f>TRIM(MID(SUBSTITUTE($H59,",",REPT(" ",100)),101,100))</ns0:f>
      </ns0:c>
      <ns0:c r="W59" t="str">
        <ns0:f>TRIM(MID(SUBSTITUTE($H59,",",REPT(" ",100)),201,100))</ns0:f>
      </ns0:c>
      <ns0:c r="X59" t="str">
        <ns0:f>TRIM(MID(SUBSTITUTE($H59,",",REPT(" ",100)),301,100))</ns0:f>
      </ns0:c>
      <ns0:c r="Y59" t="str">
        <ns0:f>TRIM(MID(SUBSTITUTE($H59,",",REPT(" ",100)),401,100))</ns0:f>
      </ns0:c>
      <ns0:c r="Z59" t="str">
        <ns0:f>TRIM(MID(SUBSTITUTE($H59,",",REPT(" ",100)),501,100))</ns0:f>
      </ns0:c>
      <ns0:c r="AA59" t="str">
        <ns0:f>TRIM(MID(SUBSTITUTE($H59,",",REPT(" ",100)),601,100))</ns0:f>
      </ns0:c>
      <ns0:c r="AB59" t="str">
        <ns0:f>TRIM(MID(SUBSTITUTE($H59,",",REPT(" ",100)),701,100))</ns0:f>
      </ns0:c>
      <ns0:c r="AC59" t="n">
        <ns0:f>IF(U59="",0,IF(COUNTIFS(Tasks[Task ID],U59)=1,MATCH(U59,Tasks[Task ID],0),-1))</ns0:f>
        <ns0:v>0</ns0:v>
      </ns0:c>
      <ns0:c r="AD59" t="n">
        <ns0:f>IF(V59="",0,IF(COUNTIFS(Tasks[Task ID],V59)=1,MATCH(V59,Tasks[Task ID],0),-1))</ns0:f>
        <ns0:v>0</ns0:v>
      </ns0:c>
      <ns0:c r="AE59" t="n">
        <ns0:f>IF(W59="",0,IF(COUNTIFS(Tasks[Task ID],W59)=1,MATCH(W59,Tasks[Task ID],0),-1))</ns0:f>
        <ns0:v>0</ns0:v>
      </ns0:c>
      <ns0:c r="AF59" t="n">
        <ns0:f>IF(X59="",0,IF(COUNTIFS(Tasks[Task ID],X59)=1,MATCH(X59,Tasks[Task ID],0),-1))</ns0:f>
        <ns0:v>0</ns0:v>
      </ns0:c>
      <ns0:c r="AG59" t="n">
        <ns0:f>IF(Y59="",0,IF(COUNTIFS(Tasks[Task ID],Y59)=1,MATCH(Y59,Tasks[Task ID],0),-1))</ns0:f>
        <ns0:v>0</ns0:v>
      </ns0:c>
      <ns0:c r="AH59" t="n">
        <ns0:f>IF(Z59="",0,IF(COUNTIFS(Tasks[Task ID],Z59)=1,MATCH(Z59,Tasks[Task ID],0),-1))</ns0:f>
        <ns0:v>0</ns0:v>
      </ns0:c>
      <ns0:c r="AI59" t="n">
        <ns0:f>IF(AA59="",0,IF(COUNTIFS(Tasks[Task ID],AA59)=1,MATCH(AA59,Tasks[Task ID],0),-1))</ns0:f>
        <ns0:v>0</ns0:v>
      </ns0:c>
      <ns0:c r="AJ59" t="n">
        <ns0:f>IF(AB59="",0,IF(COUNTIFS(Tasks[Task ID],AB59)=1,MATCH(AB59,Tasks[Task ID],0),-1))</ns0:f>
        <ns0:v>0</ns0:v>
      </ns0:c>
      <ns0:c r="AK59" t="n">
        <ns0:f>COUNTIFS(AC59:AJ59,-1)+IF(T59&gt;8,1,0)</ns0:f>
        <ns0:v>0</ns0:v>
      </ns0:c>
      <ns0:c r="AL59" t="n">
        <ns0:f>IF(OR(A59="",S59&lt;&gt;""),0,SUM(IF(AC59&gt;0,IF($I59="FS",--($E59&lt;INDEX(Tasks[End Date],AC59)+IF(INDEX(Tasks[Milestone],AC59)="Yes",0,1)),IF($I59="SS",--($E59&lt;INDEX(Tasks[Start Date],AC59)),IF($I59="FF",--($F59&lt;INDEX(Tasks[End Date],AC59)),IF($I59="SF",--($F59&lt;INDEX(Tasks[Start Date],AC59)),0)))),0),IF(AD59&gt;0,IF($I59="FS",--($E59&lt;INDEX(Tasks[End Date],AD59)+IF(INDEX(Tasks[Milestone],AD59)="Yes",0,1)),IF($I59="SS",--($E59&lt;INDEX(Tasks[Start Date],AD59)),IF($I59="FF",--($F59&lt;INDEX(Tasks[End Date],AD59)),IF($I59="SF",--($F59&lt;INDEX(Tasks[Start Date],AD59)),0)))),0),IF(AE59&gt;0,IF($I59="FS",--($E59&lt;INDEX(Tasks[End Date],AE59)+IF(INDEX(Tasks[Milestone],AE59)="Yes",0,1)),IF($I59="SS",--($E59&lt;INDEX(Tasks[Start Date],AE59)),IF($I59="FF",--($F59&lt;INDEX(Tasks[End Date],AE59)),IF($I59="SF",--($F59&lt;INDEX(Tasks[Start Date],AE59)),0)))),0),IF(AF59&gt;0,IF($I59="FS",--($E59&lt;INDEX(Tasks[End Date],AF59)+IF(INDEX(Tasks[Milestone],AF59)="Yes",0,1)),IF($I59="SS",--($E59&lt;INDEX(Tasks[Start Date],AF59)),IF($I59="FF",--($F59&lt;INDEX(Tasks[End Date],AF59)),IF($I59="SF",--($F59&lt;INDEX(Tasks[Start Date],AF59)),0)))),0),IF(AG59&gt;0,IF($I59="FS",--($E59&lt;INDEX(Tasks[End Date],AG59)+IF(INDEX(Tasks[Milestone],AG59)="Yes",0,1)),IF($I59="SS",--($E59&lt;INDEX(Tasks[Start Date],AG59)),IF($I59="FF",--($F59&lt;INDEX(Tasks[End Date],AG59)),IF($I59="SF",--($F59&lt;INDEX(Tasks[Start Date],AG59)),0)))),0),IF(AH59&gt;0,IF($I59="FS",--($E59&lt;INDEX(Tasks[End Date],AH59)+IF(INDEX(Tasks[Milestone],AH59)="Yes",0,1)),IF($I59="SS",--($E59&lt;INDEX(Tasks[Start Date],AH59)),IF($I59="FF",--($F59&lt;INDEX(Tasks[End Date],AH59)),IF($I59="SF",--($F59&lt;INDEX(Tasks[Start Date],AH59)),0)))),0),IF(AI59&gt;0,IF($I59="FS",--($E59&lt;INDEX(Tasks[End Date],AI59)+IF(INDEX(Tasks[Milestone],AI59)="Yes",0,1)),IF($I59="SS",--($E59&lt;INDEX(Tasks[Start Date],AI59)),IF($I59="FF",--($F59&lt;INDEX(Tasks[End Date],AI59)),IF($I59="SF",--($F59&lt;INDEX(Tasks[Start Date],AI59)),0)))),0),IF(AJ59&gt;0,IF($I59="FS",--($E59&lt;INDEX(Tasks[End Date],AJ59)+IF(INDEX(Tasks[Milestone],AJ59)="Yes",0,1)),IF($I59="SS",--($E59&lt;INDEX(Tasks[Start Date],AJ59)),IF($I59="FF",--($F59&lt;INDEX(Tasks[End Date],AJ59)),IF($I59="SF",--($F59&lt;INDEX(Tasks[Start Date],AJ59)),0)))),0)))</ns0:f>
        <ns0:v>0</ns0:v>
      </ns0:c>
      <ns0:c r="AM59" t="n">
        <ns0:f>IF(AND(A59&lt;&gt;"",AK59=0,EP59=0),1,0)</ns0:f>
        <ns0:v>0</ns0:v>
      </ns0:c>
      <ns0:c r="AN59" t="str">
        <ns0:f>IF(OR(A59="",B59=""),"",IF(COUNTIFS($B$7:B59,B59)=1,MAX($AN$6:AN58)+1,""))</ns0:f>
      </ns0:c>
      <ns0:c r="AO59" t="n">
        <ns0:f>IF(AND(A59&lt;&gt;"",J59="No",N59&lt;1,E59&gt;=AsOfDate),E59+ROW()/10000,1E+9)</ns0:f>
        <ns0:v>1000000000</ns0:v>
      </ns0:c>
      <ns0:c r="AP59" t="n">
        <ns0:f>IF(AND(A59&lt;&gt;"",J59="Yes",N59&lt;1,E59&gt;=AsOfDate),E59+ROW()/10000,1E+9)</ns0:f>
        <ns0:v>1000000000</ns0:v>
      </ns0:c>
      <ns0:c r="AQ59" t="n">
        <ns0:f>IF(AND(A59&lt;&gt;"",J59="No",N59&lt;1,F59&gt;=AsOfDate,F59&lt;=AsOfDate+7),F59+ROW()/10000,1E+9)</ns0:f>
        <ns0:v>1000000000</ns0:v>
      </ns0:c>
      <ns0:c r="AR59" t="n">
        <ns0:f>IF(AND(A59&lt;&gt;"",OR(O59&lt;&gt;"On track",Q59="Delayed")),ROW(),1E+9)</ns0:f>
        <ns0:v>1000000000</ns0:v>
      </ns0:c>
      <ns0:c r="AS59" t="str">
        <ns0:f>IF(A59="","",";"&amp;K59&amp;";")</ns0:f>
      </ns0:c>
      <ns0:c r="AT59" t="n">
        <ns0:f>IF(A59="",1,--(T59=0))</ns0:f>
        <ns0:v>1</ns0:v>
      </ns0:c>
      <ns0:c r="AU59" t="n">
        <ns0:f>IF($A59="",1,IF(AT59=1,1,--AND(IF($AC59&gt;0,INDEX(AT$7:AT$106,$AC59),1),IF($AD59&gt;0,INDEX(AT$7:AT$106,$AD59),1),IF($AE59&gt;0,INDEX(AT$7:AT$106,$AE59),1),IF($AF59&gt;0,INDEX(AT$7:AT$106,$AF59),1),IF($AG59&gt;0,INDEX(AT$7:AT$106,$AG59),1),IF($AH59&gt;0,INDEX(AT$7:AT$106,$AH59),1),IF($AI59&gt;0,INDEX(AT$7:AT$106,$AI59),1),IF($AJ59&gt;0,INDEX(AT$7:AT$106,$AJ59),1))))</ns0:f>
        <ns0:v>1</ns0:v>
      </ns0:c>
      <ns0:c r="AV59" t="n">
        <ns0:f>IF($A59="",1,IF(AU59=1,1,--AND(IF($AC59&gt;0,INDEX(AU$7:AU$106,$AC59),1),IF($AD59&gt;0,INDEX(AU$7:AU$106,$AD59),1),IF($AE59&gt;0,INDEX(AU$7:AU$106,$AE59),1),IF($AF59&gt;0,INDEX(AU$7:AU$106,$AF59),1),IF($AG59&gt;0,INDEX(AU$7:AU$106,$AG59),1),IF($AH59&gt;0,INDEX(AU$7:AU$106,$AH59),1),IF($AI59&gt;0,INDEX(AU$7:AU$106,$AI59),1),IF($AJ59&gt;0,INDEX(AU$7:AU$106,$AJ59),1))))</ns0:f>
        <ns0:v>1</ns0:v>
      </ns0:c>
      <ns0:c r="AW59" t="n">
        <ns0:f>IF($A59="",1,IF(AV59=1,1,--AND(IF($AC59&gt;0,INDEX(AV$7:AV$106,$AC59),1),IF($AD59&gt;0,INDEX(AV$7:AV$106,$AD59),1),IF($AE59&gt;0,INDEX(AV$7:AV$106,$AE59),1),IF($AF59&gt;0,INDEX(AV$7:AV$106,$AF59),1),IF($AG59&gt;0,INDEX(AV$7:AV$106,$AG59),1),IF($AH59&gt;0,INDEX(AV$7:AV$106,$AH59),1),IF($AI59&gt;0,INDEX(AV$7:AV$106,$AI59),1),IF($AJ59&gt;0,INDEX(AV$7:AV$106,$AJ59),1))))</ns0:f>
        <ns0:v>1</ns0:v>
      </ns0:c>
      <ns0:c r="AX59" t="n">
        <ns0:f>IF($A59="",1,IF(AW59=1,1,--AND(IF($AC59&gt;0,INDEX(AW$7:AW$106,$AC59),1),IF($AD59&gt;0,INDEX(AW$7:AW$106,$AD59),1),IF($AE59&gt;0,INDEX(AW$7:AW$106,$AE59),1),IF($AF59&gt;0,INDEX(AW$7:AW$106,$AF59),1),IF($AG59&gt;0,INDEX(AW$7:AW$106,$AG59),1),IF($AH59&gt;0,INDEX(AW$7:AW$106,$AH59),1),IF($AI59&gt;0,INDEX(AW$7:AW$106,$AI59),1),IF($AJ59&gt;0,INDEX(AW$7:AW$106,$AJ59),1))))</ns0:f>
        <ns0:v>1</ns0:v>
      </ns0:c>
      <ns0:c r="AY59" t="n">
        <ns0:f>IF($A59="",1,IF(AX59=1,1,--AND(IF($AC59&gt;0,INDEX(AX$7:AX$106,$AC59),1),IF($AD59&gt;0,INDEX(AX$7:AX$106,$AD59),1),IF($AE59&gt;0,INDEX(AX$7:AX$106,$AE59),1),IF($AF59&gt;0,INDEX(AX$7:AX$106,$AF59),1),IF($AG59&gt;0,INDEX(AX$7:AX$106,$AG59),1),IF($AH59&gt;0,INDEX(AX$7:AX$106,$AH59),1),IF($AI59&gt;0,INDEX(AX$7:AX$106,$AI59),1),IF($AJ59&gt;0,INDEX(AX$7:AX$106,$AJ59),1))))</ns0:f>
        <ns0:v>1</ns0:v>
      </ns0:c>
      <ns0:c r="AZ59" t="n">
        <ns0:f>IF($A59="",1,IF(AY59=1,1,--AND(IF($AC59&gt;0,INDEX(AY$7:AY$106,$AC59),1),IF($AD59&gt;0,INDEX(AY$7:AY$106,$AD59),1),IF($AE59&gt;0,INDEX(AY$7:AY$106,$AE59),1),IF($AF59&gt;0,INDEX(AY$7:AY$106,$AF59),1),IF($AG59&gt;0,INDEX(AY$7:AY$106,$AG59),1),IF($AH59&gt;0,INDEX(AY$7:AY$106,$AH59),1),IF($AI59&gt;0,INDEX(AY$7:AY$106,$AI59),1),IF($AJ59&gt;0,INDEX(AY$7:AY$106,$AJ59),1))))</ns0:f>
        <ns0:v>1</ns0:v>
      </ns0:c>
      <ns0:c r="BA59" t="n">
        <ns0:f>IF($A59="",1,IF(AZ59=1,1,--AND(IF($AC59&gt;0,INDEX(AZ$7:AZ$106,$AC59),1),IF($AD59&gt;0,INDEX(AZ$7:AZ$106,$AD59),1),IF($AE59&gt;0,INDEX(AZ$7:AZ$106,$AE59),1),IF($AF59&gt;0,INDEX(AZ$7:AZ$106,$AF59),1),IF($AG59&gt;0,INDEX(AZ$7:AZ$106,$AG59),1),IF($AH59&gt;0,INDEX(AZ$7:AZ$106,$AH59),1),IF($AI59&gt;0,INDEX(AZ$7:AZ$106,$AI59),1),IF($AJ59&gt;0,INDEX(AZ$7:AZ$106,$AJ59),1))))</ns0:f>
        <ns0:v>1</ns0:v>
      </ns0:c>
      <ns0:c r="BB59" t="n">
        <ns0:f>IF($A59="",1,IF(BA59=1,1,--AND(IF($AC59&gt;0,INDEX(BA$7:BA$106,$AC59),1),IF($AD59&gt;0,INDEX(BA$7:BA$106,$AD59),1),IF($AE59&gt;0,INDEX(BA$7:BA$106,$AE59),1),IF($AF59&gt;0,INDEX(BA$7:BA$106,$AF59),1),IF($AG59&gt;0,INDEX(BA$7:BA$106,$AG59),1),IF($AH59&gt;0,INDEX(BA$7:BA$106,$AH59),1),IF($AI59&gt;0,INDEX(BA$7:BA$106,$AI59),1),IF($AJ59&gt;0,INDEX(BA$7:BA$106,$AJ59),1))))</ns0:f>
        <ns0:v>1</ns0:v>
      </ns0:c>
      <ns0:c r="BC59" t="n">
        <ns0:f>IF($A59="",1,IF(BB59=1,1,--AND(IF($AC59&gt;0,INDEX(BB$7:BB$106,$AC59),1),IF($AD59&gt;0,INDEX(BB$7:BB$106,$AD59),1),IF($AE59&gt;0,INDEX(BB$7:BB$106,$AE59),1),IF($AF59&gt;0,INDEX(BB$7:BB$106,$AF59),1),IF($AG59&gt;0,INDEX(BB$7:BB$106,$AG59),1),IF($AH59&gt;0,INDEX(BB$7:BB$106,$AH59),1),IF($AI59&gt;0,INDEX(BB$7:BB$106,$AI59),1),IF($AJ59&gt;0,INDEX(BB$7:BB$106,$AJ59),1))))</ns0:f>
        <ns0:v>1</ns0:v>
      </ns0:c>
      <ns0:c r="BD59" t="n">
        <ns0:f>IF($A59="",1,IF(BC59=1,1,--AND(IF($AC59&gt;0,INDEX(BC$7:BC$106,$AC59),1),IF($AD59&gt;0,INDEX(BC$7:BC$106,$AD59),1),IF($AE59&gt;0,INDEX(BC$7:BC$106,$AE59),1),IF($AF59&gt;0,INDEX(BC$7:BC$106,$AF59),1),IF($AG59&gt;0,INDEX(BC$7:BC$106,$AG59),1),IF($AH59&gt;0,INDEX(BC$7:BC$106,$AH59),1),IF($AI59&gt;0,INDEX(BC$7:BC$106,$AI59),1),IF($AJ59&gt;0,INDEX(BC$7:BC$106,$AJ59),1))))</ns0:f>
        <ns0:v>1</ns0:v>
      </ns0:c>
      <ns0:c r="BE59" t="n">
        <ns0:f>IF($A59="",1,IF(BD59=1,1,--AND(IF($AC59&gt;0,INDEX(BD$7:BD$106,$AC59),1),IF($AD59&gt;0,INDEX(BD$7:BD$106,$AD59),1),IF($AE59&gt;0,INDEX(BD$7:BD$106,$AE59),1),IF($AF59&gt;0,INDEX(BD$7:BD$106,$AF59),1),IF($AG59&gt;0,INDEX(BD$7:BD$106,$AG59),1),IF($AH59&gt;0,INDEX(BD$7:BD$106,$AH59),1),IF($AI59&gt;0,INDEX(BD$7:BD$106,$AI59),1),IF($AJ59&gt;0,INDEX(BD$7:BD$106,$AJ59),1))))</ns0:f>
        <ns0:v>1</ns0:v>
      </ns0:c>
      <ns0:c r="BF59" t="n">
        <ns0:f>IF($A59="",1,IF(BE59=1,1,--AND(IF($AC59&gt;0,INDEX(BE$7:BE$106,$AC59),1),IF($AD59&gt;0,INDEX(BE$7:BE$106,$AD59),1),IF($AE59&gt;0,INDEX(BE$7:BE$106,$AE59),1),IF($AF59&gt;0,INDEX(BE$7:BE$106,$AF59),1),IF($AG59&gt;0,INDEX(BE$7:BE$106,$AG59),1),IF($AH59&gt;0,INDEX(BE$7:BE$106,$AH59),1),IF($AI59&gt;0,INDEX(BE$7:BE$106,$AI59),1),IF($AJ59&gt;0,INDEX(BE$7:BE$106,$AJ59),1))))</ns0:f>
        <ns0:v>1</ns0:v>
      </ns0:c>
      <ns0:c r="BG59" t="n">
        <ns0:f>IF($A59="",1,IF(BF59=1,1,--AND(IF($AC59&gt;0,INDEX(BF$7:BF$106,$AC59),1),IF($AD59&gt;0,INDEX(BF$7:BF$106,$AD59),1),IF($AE59&gt;0,INDEX(BF$7:BF$106,$AE59),1),IF($AF59&gt;0,INDEX(BF$7:BF$106,$AF59),1),IF($AG59&gt;0,INDEX(BF$7:BF$106,$AG59),1),IF($AH59&gt;0,INDEX(BF$7:BF$106,$AH59),1),IF($AI59&gt;0,INDEX(BF$7:BF$106,$AI59),1),IF($AJ59&gt;0,INDEX(BF$7:BF$106,$AJ59),1))))</ns0:f>
        <ns0:v>1</ns0:v>
      </ns0:c>
      <ns0:c r="BH59" t="n">
        <ns0:f>IF($A59="",1,IF(BG59=1,1,--AND(IF($AC59&gt;0,INDEX(BG$7:BG$106,$AC59),1),IF($AD59&gt;0,INDEX(BG$7:BG$106,$AD59),1),IF($AE59&gt;0,INDEX(BG$7:BG$106,$AE59),1),IF($AF59&gt;0,INDEX(BG$7:BG$106,$AF59),1),IF($AG59&gt;0,INDEX(BG$7:BG$106,$AG59),1),IF($AH59&gt;0,INDEX(BG$7:BG$106,$AH59),1),IF($AI59&gt;0,INDEX(BG$7:BG$106,$AI59),1),IF($AJ59&gt;0,INDEX(BG$7:BG$106,$AJ59),1))))</ns0:f>
        <ns0:v>1</ns0:v>
      </ns0:c>
      <ns0:c r="BI59" t="n">
        <ns0:f>IF($A59="",1,IF(BH59=1,1,--AND(IF($AC59&gt;0,INDEX(BH$7:BH$106,$AC59),1),IF($AD59&gt;0,INDEX(BH$7:BH$106,$AD59),1),IF($AE59&gt;0,INDEX(BH$7:BH$106,$AE59),1),IF($AF59&gt;0,INDEX(BH$7:BH$106,$AF59),1),IF($AG59&gt;0,INDEX(BH$7:BH$106,$AG59),1),IF($AH59&gt;0,INDEX(BH$7:BH$106,$AH59),1),IF($AI59&gt;0,INDEX(BH$7:BH$106,$AI59),1),IF($AJ59&gt;0,INDEX(BH$7:BH$106,$AJ59),1))))</ns0:f>
        <ns0:v>1</ns0:v>
      </ns0:c>
      <ns0:c r="BJ59" t="n">
        <ns0:f>IF($A59="",1,IF(BI59=1,1,--AND(IF($AC59&gt;0,INDEX(BI$7:BI$106,$AC59),1),IF($AD59&gt;0,INDEX(BI$7:BI$106,$AD59),1),IF($AE59&gt;0,INDEX(BI$7:BI$106,$AE59),1),IF($AF59&gt;0,INDEX(BI$7:BI$106,$AF59),1),IF($AG59&gt;0,INDEX(BI$7:BI$106,$AG59),1),IF($AH59&gt;0,INDEX(BI$7:BI$106,$AH59),1),IF($AI59&gt;0,INDEX(BI$7:BI$106,$AI59),1),IF($AJ59&gt;0,INDEX(BI$7:BI$106,$AJ59),1))))</ns0:f>
        <ns0:v>1</ns0:v>
      </ns0:c>
      <ns0:c r="BK59" t="n">
        <ns0:f>IF($A59="",1,IF(BJ59=1,1,--AND(IF($AC59&gt;0,INDEX(BJ$7:BJ$106,$AC59),1),IF($AD59&gt;0,INDEX(BJ$7:BJ$106,$AD59),1),IF($AE59&gt;0,INDEX(BJ$7:BJ$106,$AE59),1),IF($AF59&gt;0,INDEX(BJ$7:BJ$106,$AF59),1),IF($AG59&gt;0,INDEX(BJ$7:BJ$106,$AG59),1),IF($AH59&gt;0,INDEX(BJ$7:BJ$106,$AH59),1),IF($AI59&gt;0,INDEX(BJ$7:BJ$106,$AI59),1),IF($AJ59&gt;0,INDEX(BJ$7:BJ$106,$AJ59),1))))</ns0:f>
        <ns0:v>1</ns0:v>
      </ns0:c>
      <ns0:c r="BL59" t="n">
        <ns0:f>IF($A59="",1,IF(BK59=1,1,--AND(IF($AC59&gt;0,INDEX(BK$7:BK$106,$AC59),1),IF($AD59&gt;0,INDEX(BK$7:BK$106,$AD59),1),IF($AE59&gt;0,INDEX(BK$7:BK$106,$AE59),1),IF($AF59&gt;0,INDEX(BK$7:BK$106,$AF59),1),IF($AG59&gt;0,INDEX(BK$7:BK$106,$AG59),1),IF($AH59&gt;0,INDEX(BK$7:BK$106,$AH59),1),IF($AI59&gt;0,INDEX(BK$7:BK$106,$AI59),1),IF($AJ59&gt;0,INDEX(BK$7:BK$106,$AJ59),1))))</ns0:f>
        <ns0:v>1</ns0:v>
      </ns0:c>
      <ns0:c r="BM59" t="n">
        <ns0:f>IF($A59="",1,IF(BL59=1,1,--AND(IF($AC59&gt;0,INDEX(BL$7:BL$106,$AC59),1),IF($AD59&gt;0,INDEX(BL$7:BL$106,$AD59),1),IF($AE59&gt;0,INDEX(BL$7:BL$106,$AE59),1),IF($AF59&gt;0,INDEX(BL$7:BL$106,$AF59),1),IF($AG59&gt;0,INDEX(BL$7:BL$106,$AG59),1),IF($AH59&gt;0,INDEX(BL$7:BL$106,$AH59),1),IF($AI59&gt;0,INDEX(BL$7:BL$106,$AI59),1),IF($AJ59&gt;0,INDEX(BL$7:BL$106,$AJ59),1))))</ns0:f>
        <ns0:v>1</ns0:v>
      </ns0:c>
      <ns0:c r="BN59" t="n">
        <ns0:f>IF($A59="",1,IF(BM59=1,1,--AND(IF($AC59&gt;0,INDEX(BM$7:BM$106,$AC59),1),IF($AD59&gt;0,INDEX(BM$7:BM$106,$AD59),1),IF($AE59&gt;0,INDEX(BM$7:BM$106,$AE59),1),IF($AF59&gt;0,INDEX(BM$7:BM$106,$AF59),1),IF($AG59&gt;0,INDEX(BM$7:BM$106,$AG59),1),IF($AH59&gt;0,INDEX(BM$7:BM$106,$AH59),1),IF($AI59&gt;0,INDEX(BM$7:BM$106,$AI59),1),IF($AJ59&gt;0,INDEX(BM$7:BM$106,$AJ59),1))))</ns0:f>
        <ns0:v>1</ns0:v>
      </ns0:c>
      <ns0:c r="BO59" t="n">
        <ns0:f>IF($A59="",1,IF(BN59=1,1,--AND(IF($AC59&gt;0,INDEX(BN$7:BN$106,$AC59),1),IF($AD59&gt;0,INDEX(BN$7:BN$106,$AD59),1),IF($AE59&gt;0,INDEX(BN$7:BN$106,$AE59),1),IF($AF59&gt;0,INDEX(BN$7:BN$106,$AF59),1),IF($AG59&gt;0,INDEX(BN$7:BN$106,$AG59),1),IF($AH59&gt;0,INDEX(BN$7:BN$106,$AH59),1),IF($AI59&gt;0,INDEX(BN$7:BN$106,$AI59),1),IF($AJ59&gt;0,INDEX(BN$7:BN$106,$AJ59),1))))</ns0:f>
        <ns0:v>1</ns0:v>
      </ns0:c>
      <ns0:c r="BP59" t="n">
        <ns0:f>IF($A59="",1,IF(BO59=1,1,--AND(IF($AC59&gt;0,INDEX(BO$7:BO$106,$AC59),1),IF($AD59&gt;0,INDEX(BO$7:BO$106,$AD59),1),IF($AE59&gt;0,INDEX(BO$7:BO$106,$AE59),1),IF($AF59&gt;0,INDEX(BO$7:BO$106,$AF59),1),IF($AG59&gt;0,INDEX(BO$7:BO$106,$AG59),1),IF($AH59&gt;0,INDEX(BO$7:BO$106,$AH59),1),IF($AI59&gt;0,INDEX(BO$7:BO$106,$AI59),1),IF($AJ59&gt;0,INDEX(BO$7:BO$106,$AJ59),1))))</ns0:f>
        <ns0:v>1</ns0:v>
      </ns0:c>
      <ns0:c r="BQ59" t="n">
        <ns0:f>IF($A59="",1,IF(BP59=1,1,--AND(IF($AC59&gt;0,INDEX(BP$7:BP$106,$AC59),1),IF($AD59&gt;0,INDEX(BP$7:BP$106,$AD59),1),IF($AE59&gt;0,INDEX(BP$7:BP$106,$AE59),1),IF($AF59&gt;0,INDEX(BP$7:BP$106,$AF59),1),IF($AG59&gt;0,INDEX(BP$7:BP$106,$AG59),1),IF($AH59&gt;0,INDEX(BP$7:BP$106,$AH59),1),IF($AI59&gt;0,INDEX(BP$7:BP$106,$AI59),1),IF($AJ59&gt;0,INDEX(BP$7:BP$106,$AJ59),1))))</ns0:f>
        <ns0:v>1</ns0:v>
      </ns0:c>
      <ns0:c r="BR59" t="n">
        <ns0:f>IF($A59="",1,IF(BQ59=1,1,--AND(IF($AC59&gt;0,INDEX(BQ$7:BQ$106,$AC59),1),IF($AD59&gt;0,INDEX(BQ$7:BQ$106,$AD59),1),IF($AE59&gt;0,INDEX(BQ$7:BQ$106,$AE59),1),IF($AF59&gt;0,INDEX(BQ$7:BQ$106,$AF59),1),IF($AG59&gt;0,INDEX(BQ$7:BQ$106,$AG59),1),IF($AH59&gt;0,INDEX(BQ$7:BQ$106,$AH59),1),IF($AI59&gt;0,INDEX(BQ$7:BQ$106,$AI59),1),IF($AJ59&gt;0,INDEX(BQ$7:BQ$106,$AJ59),1))))</ns0:f>
        <ns0:v>1</ns0:v>
      </ns0:c>
      <ns0:c r="BS59" t="n">
        <ns0:f>IF($A59="",1,IF(BR59=1,1,--AND(IF($AC59&gt;0,INDEX(BR$7:BR$106,$AC59),1),IF($AD59&gt;0,INDEX(BR$7:BR$106,$AD59),1),IF($AE59&gt;0,INDEX(BR$7:BR$106,$AE59),1),IF($AF59&gt;0,INDEX(BR$7:BR$106,$AF59),1),IF($AG59&gt;0,INDEX(BR$7:BR$106,$AG59),1),IF($AH59&gt;0,INDEX(BR$7:BR$106,$AH59),1),IF($AI59&gt;0,INDEX(BR$7:BR$106,$AI59),1),IF($AJ59&gt;0,INDEX(BR$7:BR$106,$AJ59),1))))</ns0:f>
        <ns0:v>1</ns0:v>
      </ns0:c>
      <ns0:c r="BT59" t="n">
        <ns0:f>IF($A59="",1,IF(BS59=1,1,--AND(IF($AC59&gt;0,INDEX(BS$7:BS$106,$AC59),1),IF($AD59&gt;0,INDEX(BS$7:BS$106,$AD59),1),IF($AE59&gt;0,INDEX(BS$7:BS$106,$AE59),1),IF($AF59&gt;0,INDEX(BS$7:BS$106,$AF59),1),IF($AG59&gt;0,INDEX(BS$7:BS$106,$AG59),1),IF($AH59&gt;0,INDEX(BS$7:BS$106,$AH59),1),IF($AI59&gt;0,INDEX(BS$7:BS$106,$AI59),1),IF($AJ59&gt;0,INDEX(BS$7:BS$106,$AJ59),1))))</ns0:f>
        <ns0:v>1</ns0:v>
      </ns0:c>
      <ns0:c r="BU59" t="n">
        <ns0:f>IF($A59="",1,IF(BT59=1,1,--AND(IF($AC59&gt;0,INDEX(BT$7:BT$106,$AC59),1),IF($AD59&gt;0,INDEX(BT$7:BT$106,$AD59),1),IF($AE59&gt;0,INDEX(BT$7:BT$106,$AE59),1),IF($AF59&gt;0,INDEX(BT$7:BT$106,$AF59),1),IF($AG59&gt;0,INDEX(BT$7:BT$106,$AG59),1),IF($AH59&gt;0,INDEX(BT$7:BT$106,$AH59),1),IF($AI59&gt;0,INDEX(BT$7:BT$106,$AI59),1),IF($AJ59&gt;0,INDEX(BT$7:BT$106,$AJ59),1))))</ns0:f>
        <ns0:v>1</ns0:v>
      </ns0:c>
      <ns0:c r="BV59" t="n">
        <ns0:f>IF($A59="",1,IF(BU59=1,1,--AND(IF($AC59&gt;0,INDEX(BU$7:BU$106,$AC59),1),IF($AD59&gt;0,INDEX(BU$7:BU$106,$AD59),1),IF($AE59&gt;0,INDEX(BU$7:BU$106,$AE59),1),IF($AF59&gt;0,INDEX(BU$7:BU$106,$AF59),1),IF($AG59&gt;0,INDEX(BU$7:BU$106,$AG59),1),IF($AH59&gt;0,INDEX(BU$7:BU$106,$AH59),1),IF($AI59&gt;0,INDEX(BU$7:BU$106,$AI59),1),IF($AJ59&gt;0,INDEX(BU$7:BU$106,$AJ59),1))))</ns0:f>
        <ns0:v>1</ns0:v>
      </ns0:c>
      <ns0:c r="BW59" t="n">
        <ns0:f>IF($A59="",1,IF(BV59=1,1,--AND(IF($AC59&gt;0,INDEX(BV$7:BV$106,$AC59),1),IF($AD59&gt;0,INDEX(BV$7:BV$106,$AD59),1),IF($AE59&gt;0,INDEX(BV$7:BV$106,$AE59),1),IF($AF59&gt;0,INDEX(BV$7:BV$106,$AF59),1),IF($AG59&gt;0,INDEX(BV$7:BV$106,$AG59),1),IF($AH59&gt;0,INDEX(BV$7:BV$106,$AH59),1),IF($AI59&gt;0,INDEX(BV$7:BV$106,$AI59),1),IF($AJ59&gt;0,INDEX(BV$7:BV$106,$AJ59),1))))</ns0:f>
        <ns0:v>1</ns0:v>
      </ns0:c>
      <ns0:c r="BX59" t="n">
        <ns0:f>IF($A59="",1,IF(BW59=1,1,--AND(IF($AC59&gt;0,INDEX(BW$7:BW$106,$AC59),1),IF($AD59&gt;0,INDEX(BW$7:BW$106,$AD59),1),IF($AE59&gt;0,INDEX(BW$7:BW$106,$AE59),1),IF($AF59&gt;0,INDEX(BW$7:BW$106,$AF59),1),IF($AG59&gt;0,INDEX(BW$7:BW$106,$AG59),1),IF($AH59&gt;0,INDEX(BW$7:BW$106,$AH59),1),IF($AI59&gt;0,INDEX(BW$7:BW$106,$AI59),1),IF($AJ59&gt;0,INDEX(BW$7:BW$106,$AJ59),1))))</ns0:f>
        <ns0:v>1</ns0:v>
      </ns0:c>
      <ns0:c r="BY59" t="n">
        <ns0:f>IF($A59="",1,IF(BX59=1,1,--AND(IF($AC59&gt;0,INDEX(BX$7:BX$106,$AC59),1),IF($AD59&gt;0,INDEX(BX$7:BX$106,$AD59),1),IF($AE59&gt;0,INDEX(BX$7:BX$106,$AE59),1),IF($AF59&gt;0,INDEX(BX$7:BX$106,$AF59),1),IF($AG59&gt;0,INDEX(BX$7:BX$106,$AG59),1),IF($AH59&gt;0,INDEX(BX$7:BX$106,$AH59),1),IF($AI59&gt;0,INDEX(BX$7:BX$106,$AI59),1),IF($AJ59&gt;0,INDEX(BX$7:BX$106,$AJ59),1))))</ns0:f>
        <ns0:v>1</ns0:v>
      </ns0:c>
      <ns0:c r="BZ59" t="n">
        <ns0:f>IF($A59="",1,IF(BY59=1,1,--AND(IF($AC59&gt;0,INDEX(BY$7:BY$106,$AC59),1),IF($AD59&gt;0,INDEX(BY$7:BY$106,$AD59),1),IF($AE59&gt;0,INDEX(BY$7:BY$106,$AE59),1),IF($AF59&gt;0,INDEX(BY$7:BY$106,$AF59),1),IF($AG59&gt;0,INDEX(BY$7:BY$106,$AG59),1),IF($AH59&gt;0,INDEX(BY$7:BY$106,$AH59),1),IF($AI59&gt;0,INDEX(BY$7:BY$106,$AI59),1),IF($AJ59&gt;0,INDEX(BY$7:BY$106,$AJ59),1))))</ns0:f>
        <ns0:v>1</ns0:v>
      </ns0:c>
      <ns0:c r="CA59" t="n">
        <ns0:f>IF($A59="",1,IF(BZ59=1,1,--AND(IF($AC59&gt;0,INDEX(BZ$7:BZ$106,$AC59),1),IF($AD59&gt;0,INDEX(BZ$7:BZ$106,$AD59),1),IF($AE59&gt;0,INDEX(BZ$7:BZ$106,$AE59),1),IF($AF59&gt;0,INDEX(BZ$7:BZ$106,$AF59),1),IF($AG59&gt;0,INDEX(BZ$7:BZ$106,$AG59),1),IF($AH59&gt;0,INDEX(BZ$7:BZ$106,$AH59),1),IF($AI59&gt;0,INDEX(BZ$7:BZ$106,$AI59),1),IF($AJ59&gt;0,INDEX(BZ$7:BZ$106,$AJ59),1))))</ns0:f>
        <ns0:v>1</ns0:v>
      </ns0:c>
      <ns0:c r="CB59" t="n">
        <ns0:f>IF($A59="",1,IF(CA59=1,1,--AND(IF($AC59&gt;0,INDEX(CA$7:CA$106,$AC59),1),IF($AD59&gt;0,INDEX(CA$7:CA$106,$AD59),1),IF($AE59&gt;0,INDEX(CA$7:CA$106,$AE59),1),IF($AF59&gt;0,INDEX(CA$7:CA$106,$AF59),1),IF($AG59&gt;0,INDEX(CA$7:CA$106,$AG59),1),IF($AH59&gt;0,INDEX(CA$7:CA$106,$AH59),1),IF($AI59&gt;0,INDEX(CA$7:CA$106,$AI59),1),IF($AJ59&gt;0,INDEX(CA$7:CA$106,$AJ59),1))))</ns0:f>
        <ns0:v>1</ns0:v>
      </ns0:c>
      <ns0:c r="CC59" t="n">
        <ns0:f>IF($A59="",1,IF(CB59=1,1,--AND(IF($AC59&gt;0,INDEX(CB$7:CB$106,$AC59),1),IF($AD59&gt;0,INDEX(CB$7:CB$106,$AD59),1),IF($AE59&gt;0,INDEX(CB$7:CB$106,$AE59),1),IF($AF59&gt;0,INDEX(CB$7:CB$106,$AF59),1),IF($AG59&gt;0,INDEX(CB$7:CB$106,$AG59),1),IF($AH59&gt;0,INDEX(CB$7:CB$106,$AH59),1),IF($AI59&gt;0,INDEX(CB$7:CB$106,$AI59),1),IF($AJ59&gt;0,INDEX(CB$7:CB$106,$AJ59),1))))</ns0:f>
        <ns0:v>1</ns0:v>
      </ns0:c>
      <ns0:c r="CD59" t="n">
        <ns0:f>IF($A59="",1,IF(CC59=1,1,--AND(IF($AC59&gt;0,INDEX(CC$7:CC$106,$AC59),1),IF($AD59&gt;0,INDEX(CC$7:CC$106,$AD59),1),IF($AE59&gt;0,INDEX(CC$7:CC$106,$AE59),1),IF($AF59&gt;0,INDEX(CC$7:CC$106,$AF59),1),IF($AG59&gt;0,INDEX(CC$7:CC$106,$AG59),1),IF($AH59&gt;0,INDEX(CC$7:CC$106,$AH59),1),IF($AI59&gt;0,INDEX(CC$7:CC$106,$AI59),1),IF($AJ59&gt;0,INDEX(CC$7:CC$106,$AJ59),1))))</ns0:f>
        <ns0:v>1</ns0:v>
      </ns0:c>
      <ns0:c r="CE59" t="n">
        <ns0:f>IF($A59="",1,IF(CD59=1,1,--AND(IF($AC59&gt;0,INDEX(CD$7:CD$106,$AC59),1),IF($AD59&gt;0,INDEX(CD$7:CD$106,$AD59),1),IF($AE59&gt;0,INDEX(CD$7:CD$106,$AE59),1),IF($AF59&gt;0,INDEX(CD$7:CD$106,$AF59),1),IF($AG59&gt;0,INDEX(CD$7:CD$106,$AG59),1),IF($AH59&gt;0,INDEX(CD$7:CD$106,$AH59),1),IF($AI59&gt;0,INDEX(CD$7:CD$106,$AI59),1),IF($AJ59&gt;0,INDEX(CD$7:CD$106,$AJ59),1))))</ns0:f>
        <ns0:v>1</ns0:v>
      </ns0:c>
      <ns0:c r="CF59" t="n">
        <ns0:f>IF($A59="",1,IF(CE59=1,1,--AND(IF($AC59&gt;0,INDEX(CE$7:CE$106,$AC59),1),IF($AD59&gt;0,INDEX(CE$7:CE$106,$AD59),1),IF($AE59&gt;0,INDEX(CE$7:CE$106,$AE59),1),IF($AF59&gt;0,INDEX(CE$7:CE$106,$AF59),1),IF($AG59&gt;0,INDEX(CE$7:CE$106,$AG59),1),IF($AH59&gt;0,INDEX(CE$7:CE$106,$AH59),1),IF($AI59&gt;0,INDEX(CE$7:CE$106,$AI59),1),IF($AJ59&gt;0,INDEX(CE$7:CE$106,$AJ59),1))))</ns0:f>
        <ns0:v>1</ns0:v>
      </ns0:c>
      <ns0:c r="CG59" t="n">
        <ns0:f>IF($A59="",1,IF(CF59=1,1,--AND(IF($AC59&gt;0,INDEX(CF$7:CF$106,$AC59),1),IF($AD59&gt;0,INDEX(CF$7:CF$106,$AD59),1),IF($AE59&gt;0,INDEX(CF$7:CF$106,$AE59),1),IF($AF59&gt;0,INDEX(CF$7:CF$106,$AF59),1),IF($AG59&gt;0,INDEX(CF$7:CF$106,$AG59),1),IF($AH59&gt;0,INDEX(CF$7:CF$106,$AH59),1),IF($AI59&gt;0,INDEX(CF$7:CF$106,$AI59),1),IF($AJ59&gt;0,INDEX(CF$7:CF$106,$AJ59),1))))</ns0:f>
        <ns0:v>1</ns0:v>
      </ns0:c>
      <ns0:c r="CH59" t="n">
        <ns0:f>IF($A59="",1,IF(CG59=1,1,--AND(IF($AC59&gt;0,INDEX(CG$7:CG$106,$AC59),1),IF($AD59&gt;0,INDEX(CG$7:CG$106,$AD59),1),IF($AE59&gt;0,INDEX(CG$7:CG$106,$AE59),1),IF($AF59&gt;0,INDEX(CG$7:CG$106,$AF59),1),IF($AG59&gt;0,INDEX(CG$7:CG$106,$AG59),1),IF($AH59&gt;0,INDEX(CG$7:CG$106,$AH59),1),IF($AI59&gt;0,INDEX(CG$7:CG$106,$AI59),1),IF($AJ59&gt;0,INDEX(CG$7:CG$106,$AJ59),1))))</ns0:f>
        <ns0:v>1</ns0:v>
      </ns0:c>
      <ns0:c r="CI59" t="n">
        <ns0:f>IF($A59="",1,IF(CH59=1,1,--AND(IF($AC59&gt;0,INDEX(CH$7:CH$106,$AC59),1),IF($AD59&gt;0,INDEX(CH$7:CH$106,$AD59),1),IF($AE59&gt;0,INDEX(CH$7:CH$106,$AE59),1),IF($AF59&gt;0,INDEX(CH$7:CH$106,$AF59),1),IF($AG59&gt;0,INDEX(CH$7:CH$106,$AG59),1),IF($AH59&gt;0,INDEX(CH$7:CH$106,$AH59),1),IF($AI59&gt;0,INDEX(CH$7:CH$106,$AI59),1),IF($AJ59&gt;0,INDEX(CH$7:CH$106,$AJ59),1))))</ns0:f>
        <ns0:v>1</ns0:v>
      </ns0:c>
      <ns0:c r="CJ59" t="n">
        <ns0:f>IF($A59="",1,IF(CI59=1,1,--AND(IF($AC59&gt;0,INDEX(CI$7:CI$106,$AC59),1),IF($AD59&gt;0,INDEX(CI$7:CI$106,$AD59),1),IF($AE59&gt;0,INDEX(CI$7:CI$106,$AE59),1),IF($AF59&gt;0,INDEX(CI$7:CI$106,$AF59),1),IF($AG59&gt;0,INDEX(CI$7:CI$106,$AG59),1),IF($AH59&gt;0,INDEX(CI$7:CI$106,$AH59),1),IF($AI59&gt;0,INDEX(CI$7:CI$106,$AI59),1),IF($AJ59&gt;0,INDEX(CI$7:CI$106,$AJ59),1))))</ns0:f>
        <ns0:v>1</ns0:v>
      </ns0:c>
      <ns0:c r="CK59" t="n">
        <ns0:f>IF($A59="",1,IF(CJ59=1,1,--AND(IF($AC59&gt;0,INDEX(CJ$7:CJ$106,$AC59),1),IF($AD59&gt;0,INDEX(CJ$7:CJ$106,$AD59),1),IF($AE59&gt;0,INDEX(CJ$7:CJ$106,$AE59),1),IF($AF59&gt;0,INDEX(CJ$7:CJ$106,$AF59),1),IF($AG59&gt;0,INDEX(CJ$7:CJ$106,$AG59),1),IF($AH59&gt;0,INDEX(CJ$7:CJ$106,$AH59),1),IF($AI59&gt;0,INDEX(CJ$7:CJ$106,$AI59),1),IF($AJ59&gt;0,INDEX(CJ$7:CJ$106,$AJ59),1))))</ns0:f>
        <ns0:v>1</ns0:v>
      </ns0:c>
      <ns0:c r="CL59" t="n">
        <ns0:f>IF($A59="",1,IF(CK59=1,1,--AND(IF($AC59&gt;0,INDEX(CK$7:CK$106,$AC59),1),IF($AD59&gt;0,INDEX(CK$7:CK$106,$AD59),1),IF($AE59&gt;0,INDEX(CK$7:CK$106,$AE59),1),IF($AF59&gt;0,INDEX(CK$7:CK$106,$AF59),1),IF($AG59&gt;0,INDEX(CK$7:CK$106,$AG59),1),IF($AH59&gt;0,INDEX(CK$7:CK$106,$AH59),1),IF($AI59&gt;0,INDEX(CK$7:CK$106,$AI59),1),IF($AJ59&gt;0,INDEX(CK$7:CK$106,$AJ59),1))))</ns0:f>
        <ns0:v>1</ns0:v>
      </ns0:c>
      <ns0:c r="CM59" t="n">
        <ns0:f>IF($A59="",1,IF(CL59=1,1,--AND(IF($AC59&gt;0,INDEX(CL$7:CL$106,$AC59),1),IF($AD59&gt;0,INDEX(CL$7:CL$106,$AD59),1),IF($AE59&gt;0,INDEX(CL$7:CL$106,$AE59),1),IF($AF59&gt;0,INDEX(CL$7:CL$106,$AF59),1),IF($AG59&gt;0,INDEX(CL$7:CL$106,$AG59),1),IF($AH59&gt;0,INDEX(CL$7:CL$106,$AH59),1),IF($AI59&gt;0,INDEX(CL$7:CL$106,$AI59),1),IF($AJ59&gt;0,INDEX(CL$7:CL$106,$AJ59),1))))</ns0:f>
        <ns0:v>1</ns0:v>
      </ns0:c>
      <ns0:c r="CN59" t="n">
        <ns0:f>IF($A59="",1,IF(CM59=1,1,--AND(IF($AC59&gt;0,INDEX(CM$7:CM$106,$AC59),1),IF($AD59&gt;0,INDEX(CM$7:CM$106,$AD59),1),IF($AE59&gt;0,INDEX(CM$7:CM$106,$AE59),1),IF($AF59&gt;0,INDEX(CM$7:CM$106,$AF59),1),IF($AG59&gt;0,INDEX(CM$7:CM$106,$AG59),1),IF($AH59&gt;0,INDEX(CM$7:CM$106,$AH59),1),IF($AI59&gt;0,INDEX(CM$7:CM$106,$AI59),1),IF($AJ59&gt;0,INDEX(CM$7:CM$106,$AJ59),1))))</ns0:f>
        <ns0:v>1</ns0:v>
      </ns0:c>
      <ns0:c r="CO59" t="n">
        <ns0:f>IF($A59="",1,IF(CN59=1,1,--AND(IF($AC59&gt;0,INDEX(CN$7:CN$106,$AC59),1),IF($AD59&gt;0,INDEX(CN$7:CN$106,$AD59),1),IF($AE59&gt;0,INDEX(CN$7:CN$106,$AE59),1),IF($AF59&gt;0,INDEX(CN$7:CN$106,$AF59),1),IF($AG59&gt;0,INDEX(CN$7:CN$106,$AG59),1),IF($AH59&gt;0,INDEX(CN$7:CN$106,$AH59),1),IF($AI59&gt;0,INDEX(CN$7:CN$106,$AI59),1),IF($AJ59&gt;0,INDEX(CN$7:CN$106,$AJ59),1))))</ns0:f>
        <ns0:v>1</ns0:v>
      </ns0:c>
      <ns0:c r="CP59" t="n">
        <ns0:f>IF($A59="",1,IF(CO59=1,1,--AND(IF($AC59&gt;0,INDEX(CO$7:CO$106,$AC59),1),IF($AD59&gt;0,INDEX(CO$7:CO$106,$AD59),1),IF($AE59&gt;0,INDEX(CO$7:CO$106,$AE59),1),IF($AF59&gt;0,INDEX(CO$7:CO$106,$AF59),1),IF($AG59&gt;0,INDEX(CO$7:CO$106,$AG59),1),IF($AH59&gt;0,INDEX(CO$7:CO$106,$AH59),1),IF($AI59&gt;0,INDEX(CO$7:CO$106,$AI59),1),IF($AJ59&gt;0,INDEX(CO$7:CO$106,$AJ59),1))))</ns0:f>
        <ns0:v>1</ns0:v>
      </ns0:c>
      <ns0:c r="CQ59" t="n">
        <ns0:f>IF($A59="",1,IF(CP59=1,1,--AND(IF($AC59&gt;0,INDEX(CP$7:CP$106,$AC59),1),IF($AD59&gt;0,INDEX(CP$7:CP$106,$AD59),1),IF($AE59&gt;0,INDEX(CP$7:CP$106,$AE59),1),IF($AF59&gt;0,INDEX(CP$7:CP$106,$AF59),1),IF($AG59&gt;0,INDEX(CP$7:CP$106,$AG59),1),IF($AH59&gt;0,INDEX(CP$7:CP$106,$AH59),1),IF($AI59&gt;0,INDEX(CP$7:CP$106,$AI59),1),IF($AJ59&gt;0,INDEX(CP$7:CP$106,$AJ59),1))))</ns0:f>
        <ns0:v>1</ns0:v>
      </ns0:c>
      <ns0:c r="CR59" t="n">
        <ns0:f>IF($A59="",1,IF(CQ59=1,1,--AND(IF($AC59&gt;0,INDEX(CQ$7:CQ$106,$AC59),1),IF($AD59&gt;0,INDEX(CQ$7:CQ$106,$AD59),1),IF($AE59&gt;0,INDEX(CQ$7:CQ$106,$AE59),1),IF($AF59&gt;0,INDEX(CQ$7:CQ$106,$AF59),1),IF($AG59&gt;0,INDEX(CQ$7:CQ$106,$AG59),1),IF($AH59&gt;0,INDEX(CQ$7:CQ$106,$AH59),1),IF($AI59&gt;0,INDEX(CQ$7:CQ$106,$AI59),1),IF($AJ59&gt;0,INDEX(CQ$7:CQ$106,$AJ59),1))))</ns0:f>
        <ns0:v>1</ns0:v>
      </ns0:c>
      <ns0:c r="CS59" t="n">
        <ns0:f>IF($A59="",1,IF(CR59=1,1,--AND(IF($AC59&gt;0,INDEX(CR$7:CR$106,$AC59),1),IF($AD59&gt;0,INDEX(CR$7:CR$106,$AD59),1),IF($AE59&gt;0,INDEX(CR$7:CR$106,$AE59),1),IF($AF59&gt;0,INDEX(CR$7:CR$106,$AF59),1),IF($AG59&gt;0,INDEX(CR$7:CR$106,$AG59),1),IF($AH59&gt;0,INDEX(CR$7:CR$106,$AH59),1),IF($AI59&gt;0,INDEX(CR$7:CR$106,$AI59),1),IF($AJ59&gt;0,INDEX(CR$7:CR$106,$AJ59),1))))</ns0:f>
        <ns0:v>1</ns0:v>
      </ns0:c>
      <ns0:c r="CT59" t="n">
        <ns0:f>IF($A59="",1,IF(CS59=1,1,--AND(IF($AC59&gt;0,INDEX(CS$7:CS$106,$AC59),1),IF($AD59&gt;0,INDEX(CS$7:CS$106,$AD59),1),IF($AE59&gt;0,INDEX(CS$7:CS$106,$AE59),1),IF($AF59&gt;0,INDEX(CS$7:CS$106,$AF59),1),IF($AG59&gt;0,INDEX(CS$7:CS$106,$AG59),1),IF($AH59&gt;0,INDEX(CS$7:CS$106,$AH59),1),IF($AI59&gt;0,INDEX(CS$7:CS$106,$AI59),1),IF($AJ59&gt;0,INDEX(CS$7:CS$106,$AJ59),1))))</ns0:f>
        <ns0:v>1</ns0:v>
      </ns0:c>
      <ns0:c r="CU59" t="n">
        <ns0:f>IF($A59="",1,IF(CT59=1,1,--AND(IF($AC59&gt;0,INDEX(CT$7:CT$106,$AC59),1),IF($AD59&gt;0,INDEX(CT$7:CT$106,$AD59),1),IF($AE59&gt;0,INDEX(CT$7:CT$106,$AE59),1),IF($AF59&gt;0,INDEX(CT$7:CT$106,$AF59),1),IF($AG59&gt;0,INDEX(CT$7:CT$106,$AG59),1),IF($AH59&gt;0,INDEX(CT$7:CT$106,$AH59),1),IF($AI59&gt;0,INDEX(CT$7:CT$106,$AI59),1),IF($AJ59&gt;0,INDEX(CT$7:CT$106,$AJ59),1))))</ns0:f>
        <ns0:v>1</ns0:v>
      </ns0:c>
      <ns0:c r="CV59" t="n">
        <ns0:f>IF($A59="",1,IF(CU59=1,1,--AND(IF($AC59&gt;0,INDEX(CU$7:CU$106,$AC59),1),IF($AD59&gt;0,INDEX(CU$7:CU$106,$AD59),1),IF($AE59&gt;0,INDEX(CU$7:CU$106,$AE59),1),IF($AF59&gt;0,INDEX(CU$7:CU$106,$AF59),1),IF($AG59&gt;0,INDEX(CU$7:CU$106,$AG59),1),IF($AH59&gt;0,INDEX(CU$7:CU$106,$AH59),1),IF($AI59&gt;0,INDEX(CU$7:CU$106,$AI59),1),IF($AJ59&gt;0,INDEX(CU$7:CU$106,$AJ59),1))))</ns0:f>
        <ns0:v>1</ns0:v>
      </ns0:c>
      <ns0:c r="CW59" t="n">
        <ns0:f>IF($A59="",1,IF(CV59=1,1,--AND(IF($AC59&gt;0,INDEX(CV$7:CV$106,$AC59),1),IF($AD59&gt;0,INDEX(CV$7:CV$106,$AD59),1),IF($AE59&gt;0,INDEX(CV$7:CV$106,$AE59),1),IF($AF59&gt;0,INDEX(CV$7:CV$106,$AF59),1),IF($AG59&gt;0,INDEX(CV$7:CV$106,$AG59),1),IF($AH59&gt;0,INDEX(CV$7:CV$106,$AH59),1),IF($AI59&gt;0,INDEX(CV$7:CV$106,$AI59),1),IF($AJ59&gt;0,INDEX(CV$7:CV$106,$AJ59),1))))</ns0:f>
        <ns0:v>1</ns0:v>
      </ns0:c>
      <ns0:c r="CX59" t="n">
        <ns0:f>IF($A59="",1,IF(CW59=1,1,--AND(IF($AC59&gt;0,INDEX(CW$7:CW$106,$AC59),1),IF($AD59&gt;0,INDEX(CW$7:CW$106,$AD59),1),IF($AE59&gt;0,INDEX(CW$7:CW$106,$AE59),1),IF($AF59&gt;0,INDEX(CW$7:CW$106,$AF59),1),IF($AG59&gt;0,INDEX(CW$7:CW$106,$AG59),1),IF($AH59&gt;0,INDEX(CW$7:CW$106,$AH59),1),IF($AI59&gt;0,INDEX(CW$7:CW$106,$AI59),1),IF($AJ59&gt;0,INDEX(CW$7:CW$106,$AJ59),1))))</ns0:f>
        <ns0:v>1</ns0:v>
      </ns0:c>
      <ns0:c r="CY59" t="n">
        <ns0:f>IF($A59="",1,IF(CX59=1,1,--AND(IF($AC59&gt;0,INDEX(CX$7:CX$106,$AC59),1),IF($AD59&gt;0,INDEX(CX$7:CX$106,$AD59),1),IF($AE59&gt;0,INDEX(CX$7:CX$106,$AE59),1),IF($AF59&gt;0,INDEX(CX$7:CX$106,$AF59),1),IF($AG59&gt;0,INDEX(CX$7:CX$106,$AG59),1),IF($AH59&gt;0,INDEX(CX$7:CX$106,$AH59),1),IF($AI59&gt;0,INDEX(CX$7:CX$106,$AI59),1),IF($AJ59&gt;0,INDEX(CX$7:CX$106,$AJ59),1))))</ns0:f>
        <ns0:v>1</ns0:v>
      </ns0:c>
      <ns0:c r="CZ59" t="n">
        <ns0:f>IF($A59="",1,IF(CY59=1,1,--AND(IF($AC59&gt;0,INDEX(CY$7:CY$106,$AC59),1),IF($AD59&gt;0,INDEX(CY$7:CY$106,$AD59),1),IF($AE59&gt;0,INDEX(CY$7:CY$106,$AE59),1),IF($AF59&gt;0,INDEX(CY$7:CY$106,$AF59),1),IF($AG59&gt;0,INDEX(CY$7:CY$106,$AG59),1),IF($AH59&gt;0,INDEX(CY$7:CY$106,$AH59),1),IF($AI59&gt;0,INDEX(CY$7:CY$106,$AI59),1),IF($AJ59&gt;0,INDEX(CY$7:CY$106,$AJ59),1))))</ns0:f>
        <ns0:v>1</ns0:v>
      </ns0:c>
      <ns0:c r="DA59" t="n">
        <ns0:f>IF($A59="",1,IF(CZ59=1,1,--AND(IF($AC59&gt;0,INDEX(CZ$7:CZ$106,$AC59),1),IF($AD59&gt;0,INDEX(CZ$7:CZ$106,$AD59),1),IF($AE59&gt;0,INDEX(CZ$7:CZ$106,$AE59),1),IF($AF59&gt;0,INDEX(CZ$7:CZ$106,$AF59),1),IF($AG59&gt;0,INDEX(CZ$7:CZ$106,$AG59),1),IF($AH59&gt;0,INDEX(CZ$7:CZ$106,$AH59),1),IF($AI59&gt;0,INDEX(CZ$7:CZ$106,$AI59),1),IF($AJ59&gt;0,INDEX(CZ$7:CZ$106,$AJ59),1))))</ns0:f>
        <ns0:v>1</ns0:v>
      </ns0:c>
      <ns0:c r="DB59" t="n">
        <ns0:f>IF($A59="",1,IF(DA59=1,1,--AND(IF($AC59&gt;0,INDEX(DA$7:DA$106,$AC59),1),IF($AD59&gt;0,INDEX(DA$7:DA$106,$AD59),1),IF($AE59&gt;0,INDEX(DA$7:DA$106,$AE59),1),IF($AF59&gt;0,INDEX(DA$7:DA$106,$AF59),1),IF($AG59&gt;0,INDEX(DA$7:DA$106,$AG59),1),IF($AH59&gt;0,INDEX(DA$7:DA$106,$AH59),1),IF($AI59&gt;0,INDEX(DA$7:DA$106,$AI59),1),IF($AJ59&gt;0,INDEX(DA$7:DA$106,$AJ59),1))))</ns0:f>
        <ns0:v>1</ns0:v>
      </ns0:c>
      <ns0:c r="DC59" t="n">
        <ns0:f>IF($A59="",1,IF(DB59=1,1,--AND(IF($AC59&gt;0,INDEX(DB$7:DB$106,$AC59),1),IF($AD59&gt;0,INDEX(DB$7:DB$106,$AD59),1),IF($AE59&gt;0,INDEX(DB$7:DB$106,$AE59),1),IF($AF59&gt;0,INDEX(DB$7:DB$106,$AF59),1),IF($AG59&gt;0,INDEX(DB$7:DB$106,$AG59),1),IF($AH59&gt;0,INDEX(DB$7:DB$106,$AH59),1),IF($AI59&gt;0,INDEX(DB$7:DB$106,$AI59),1),IF($AJ59&gt;0,INDEX(DB$7:DB$106,$AJ59),1))))</ns0:f>
        <ns0:v>1</ns0:v>
      </ns0:c>
      <ns0:c r="DD59" t="n">
        <ns0:f>IF($A59="",1,IF(DC59=1,1,--AND(IF($AC59&gt;0,INDEX(DC$7:DC$106,$AC59),1),IF($AD59&gt;0,INDEX(DC$7:DC$106,$AD59),1),IF($AE59&gt;0,INDEX(DC$7:DC$106,$AE59),1),IF($AF59&gt;0,INDEX(DC$7:DC$106,$AF59),1),IF($AG59&gt;0,INDEX(DC$7:DC$106,$AG59),1),IF($AH59&gt;0,INDEX(DC$7:DC$106,$AH59),1),IF($AI59&gt;0,INDEX(DC$7:DC$106,$AI59),1),IF($AJ59&gt;0,INDEX(DC$7:DC$106,$AJ59),1))))</ns0:f>
        <ns0:v>1</ns0:v>
      </ns0:c>
      <ns0:c r="DE59" t="n">
        <ns0:f>IF($A59="",1,IF(DD59=1,1,--AND(IF($AC59&gt;0,INDEX(DD$7:DD$106,$AC59),1),IF($AD59&gt;0,INDEX(DD$7:DD$106,$AD59),1),IF($AE59&gt;0,INDEX(DD$7:DD$106,$AE59),1),IF($AF59&gt;0,INDEX(DD$7:DD$106,$AF59),1),IF($AG59&gt;0,INDEX(DD$7:DD$106,$AG59),1),IF($AH59&gt;0,INDEX(DD$7:DD$106,$AH59),1),IF($AI59&gt;0,INDEX(DD$7:DD$106,$AI59),1),IF($AJ59&gt;0,INDEX(DD$7:DD$106,$AJ59),1))))</ns0:f>
        <ns0:v>1</ns0:v>
      </ns0:c>
      <ns0:c r="DF59" t="n">
        <ns0:f>IF($A59="",1,IF(DE59=1,1,--AND(IF($AC59&gt;0,INDEX(DE$7:DE$106,$AC59),1),IF($AD59&gt;0,INDEX(DE$7:DE$106,$AD59),1),IF($AE59&gt;0,INDEX(DE$7:DE$106,$AE59),1),IF($AF59&gt;0,INDEX(DE$7:DE$106,$AF59),1),IF($AG59&gt;0,INDEX(DE$7:DE$106,$AG59),1),IF($AH59&gt;0,INDEX(DE$7:DE$106,$AH59),1),IF($AI59&gt;0,INDEX(DE$7:DE$106,$AI59),1),IF($AJ59&gt;0,INDEX(DE$7:DE$106,$AJ59),1))))</ns0:f>
        <ns0:v>1</ns0:v>
      </ns0:c>
      <ns0:c r="DG59" t="n">
        <ns0:f>IF($A59="",1,IF(DF59=1,1,--AND(IF($AC59&gt;0,INDEX(DF$7:DF$106,$AC59),1),IF($AD59&gt;0,INDEX(DF$7:DF$106,$AD59),1),IF($AE59&gt;0,INDEX(DF$7:DF$106,$AE59),1),IF($AF59&gt;0,INDEX(DF$7:DF$106,$AF59),1),IF($AG59&gt;0,INDEX(DF$7:DF$106,$AG59),1),IF($AH59&gt;0,INDEX(DF$7:DF$106,$AH59),1),IF($AI59&gt;0,INDEX(DF$7:DF$106,$AI59),1),IF($AJ59&gt;0,INDEX(DF$7:DF$106,$AJ59),1))))</ns0:f>
        <ns0:v>1</ns0:v>
      </ns0:c>
      <ns0:c r="DH59" t="n">
        <ns0:f>IF($A59="",1,IF(DG59=1,1,--AND(IF($AC59&gt;0,INDEX(DG$7:DG$106,$AC59),1),IF($AD59&gt;0,INDEX(DG$7:DG$106,$AD59),1),IF($AE59&gt;0,INDEX(DG$7:DG$106,$AE59),1),IF($AF59&gt;0,INDEX(DG$7:DG$106,$AF59),1),IF($AG59&gt;0,INDEX(DG$7:DG$106,$AG59),1),IF($AH59&gt;0,INDEX(DG$7:DG$106,$AH59),1),IF($AI59&gt;0,INDEX(DG$7:DG$106,$AI59),1),IF($AJ59&gt;0,INDEX(DG$7:DG$106,$AJ59),1))))</ns0:f>
        <ns0:v>1</ns0:v>
      </ns0:c>
      <ns0:c r="DI59" t="n">
        <ns0:f>IF($A59="",1,IF(DH59=1,1,--AND(IF($AC59&gt;0,INDEX(DH$7:DH$106,$AC59),1),IF($AD59&gt;0,INDEX(DH$7:DH$106,$AD59),1),IF($AE59&gt;0,INDEX(DH$7:DH$106,$AE59),1),IF($AF59&gt;0,INDEX(DH$7:DH$106,$AF59),1),IF($AG59&gt;0,INDEX(DH$7:DH$106,$AG59),1),IF($AH59&gt;0,INDEX(DH$7:DH$106,$AH59),1),IF($AI59&gt;0,INDEX(DH$7:DH$106,$AI59),1),IF($AJ59&gt;0,INDEX(DH$7:DH$106,$AJ59),1))))</ns0:f>
        <ns0:v>1</ns0:v>
      </ns0:c>
      <ns0:c r="DJ59" t="n">
        <ns0:f>IF($A59="",1,IF(DI59=1,1,--AND(IF($AC59&gt;0,INDEX(DI$7:DI$106,$AC59),1),IF($AD59&gt;0,INDEX(DI$7:DI$106,$AD59),1),IF($AE59&gt;0,INDEX(DI$7:DI$106,$AE59),1),IF($AF59&gt;0,INDEX(DI$7:DI$106,$AF59),1),IF($AG59&gt;0,INDEX(DI$7:DI$106,$AG59),1),IF($AH59&gt;0,INDEX(DI$7:DI$106,$AH59),1),IF($AI59&gt;0,INDEX(DI$7:DI$106,$AI59),1),IF($AJ59&gt;0,INDEX(DI$7:DI$106,$AJ59),1))))</ns0:f>
        <ns0:v>1</ns0:v>
      </ns0:c>
      <ns0:c r="DK59" t="n">
        <ns0:f>IF($A59="",1,IF(DJ59=1,1,--AND(IF($AC59&gt;0,INDEX(DJ$7:DJ$106,$AC59),1),IF($AD59&gt;0,INDEX(DJ$7:DJ$106,$AD59),1),IF($AE59&gt;0,INDEX(DJ$7:DJ$106,$AE59),1),IF($AF59&gt;0,INDEX(DJ$7:DJ$106,$AF59),1),IF($AG59&gt;0,INDEX(DJ$7:DJ$106,$AG59),1),IF($AH59&gt;0,INDEX(DJ$7:DJ$106,$AH59),1),IF($AI59&gt;0,INDEX(DJ$7:DJ$106,$AI59),1),IF($AJ59&gt;0,INDEX(DJ$7:DJ$106,$AJ59),1))))</ns0:f>
        <ns0:v>1</ns0:v>
      </ns0:c>
      <ns0:c r="DL59" t="n">
        <ns0:f>IF($A59="",1,IF(DK59=1,1,--AND(IF($AC59&gt;0,INDEX(DK$7:DK$106,$AC59),1),IF($AD59&gt;0,INDEX(DK$7:DK$106,$AD59),1),IF($AE59&gt;0,INDEX(DK$7:DK$106,$AE59),1),IF($AF59&gt;0,INDEX(DK$7:DK$106,$AF59),1),IF($AG59&gt;0,INDEX(DK$7:DK$106,$AG59),1),IF($AH59&gt;0,INDEX(DK$7:DK$106,$AH59),1),IF($AI59&gt;0,INDEX(DK$7:DK$106,$AI59),1),IF($AJ59&gt;0,INDEX(DK$7:DK$106,$AJ59),1))))</ns0:f>
        <ns0:v>1</ns0:v>
      </ns0:c>
      <ns0:c r="DM59" t="n">
        <ns0:f>IF($A59="",1,IF(DL59=1,1,--AND(IF($AC59&gt;0,INDEX(DL$7:DL$106,$AC59),1),IF($AD59&gt;0,INDEX(DL$7:DL$106,$AD59),1),IF($AE59&gt;0,INDEX(DL$7:DL$106,$AE59),1),IF($AF59&gt;0,INDEX(DL$7:DL$106,$AF59),1),IF($AG59&gt;0,INDEX(DL$7:DL$106,$AG59),1),IF($AH59&gt;0,INDEX(DL$7:DL$106,$AH59),1),IF($AI59&gt;0,INDEX(DL$7:DL$106,$AI59),1),IF($AJ59&gt;0,INDEX(DL$7:DL$106,$AJ59),1))))</ns0:f>
        <ns0:v>1</ns0:v>
      </ns0:c>
      <ns0:c r="DN59" t="n">
        <ns0:f>IF($A59="",1,IF(DM59=1,1,--AND(IF($AC59&gt;0,INDEX(DM$7:DM$106,$AC59),1),IF($AD59&gt;0,INDEX(DM$7:DM$106,$AD59),1),IF($AE59&gt;0,INDEX(DM$7:DM$106,$AE59),1),IF($AF59&gt;0,INDEX(DM$7:DM$106,$AF59),1),IF($AG59&gt;0,INDEX(DM$7:DM$106,$AG59),1),IF($AH59&gt;0,INDEX(DM$7:DM$106,$AH59),1),IF($AI59&gt;0,INDEX(DM$7:DM$106,$AI59),1),IF($AJ59&gt;0,INDEX(DM$7:DM$106,$AJ59),1))))</ns0:f>
        <ns0:v>1</ns0:v>
      </ns0:c>
      <ns0:c r="DO59" t="n">
        <ns0:f>IF($A59="",1,IF(DN59=1,1,--AND(IF($AC59&gt;0,INDEX(DN$7:DN$106,$AC59),1),IF($AD59&gt;0,INDEX(DN$7:DN$106,$AD59),1),IF($AE59&gt;0,INDEX(DN$7:DN$106,$AE59),1),IF($AF59&gt;0,INDEX(DN$7:DN$106,$AF59),1),IF($AG59&gt;0,INDEX(DN$7:DN$106,$AG59),1),IF($AH59&gt;0,INDEX(DN$7:DN$106,$AH59),1),IF($AI59&gt;0,INDEX(DN$7:DN$106,$AI59),1),IF($AJ59&gt;0,INDEX(DN$7:DN$106,$AJ59),1))))</ns0:f>
        <ns0:v>1</ns0:v>
      </ns0:c>
      <ns0:c r="DP59" t="n">
        <ns0:f>IF($A59="",1,IF(DO59=1,1,--AND(IF($AC59&gt;0,INDEX(DO$7:DO$106,$AC59),1),IF($AD59&gt;0,INDEX(DO$7:DO$106,$AD59),1),IF($AE59&gt;0,INDEX(DO$7:DO$106,$AE59),1),IF($AF59&gt;0,INDEX(DO$7:DO$106,$AF59),1),IF($AG59&gt;0,INDEX(DO$7:DO$106,$AG59),1),IF($AH59&gt;0,INDEX(DO$7:DO$106,$AH59),1),IF($AI59&gt;0,INDEX(DO$7:DO$106,$AI59),1),IF($AJ59&gt;0,INDEX(DO$7:DO$106,$AJ59),1))))</ns0:f>
        <ns0:v>1</ns0:v>
      </ns0:c>
      <ns0:c r="DQ59" t="n">
        <ns0:f>IF($A59="",1,IF(DP59=1,1,--AND(IF($AC59&gt;0,INDEX(DP$7:DP$106,$AC59),1),IF($AD59&gt;0,INDEX(DP$7:DP$106,$AD59),1),IF($AE59&gt;0,INDEX(DP$7:DP$106,$AE59),1),IF($AF59&gt;0,INDEX(DP$7:DP$106,$AF59),1),IF($AG59&gt;0,INDEX(DP$7:DP$106,$AG59),1),IF($AH59&gt;0,INDEX(DP$7:DP$106,$AH59),1),IF($AI59&gt;0,INDEX(DP$7:DP$106,$AI59),1),IF($AJ59&gt;0,INDEX(DP$7:DP$106,$AJ59),1))))</ns0:f>
        <ns0:v>1</ns0:v>
      </ns0:c>
      <ns0:c r="DR59" t="n">
        <ns0:f>IF($A59="",1,IF(DQ59=1,1,--AND(IF($AC59&gt;0,INDEX(DQ$7:DQ$106,$AC59),1),IF($AD59&gt;0,INDEX(DQ$7:DQ$106,$AD59),1),IF($AE59&gt;0,INDEX(DQ$7:DQ$106,$AE59),1),IF($AF59&gt;0,INDEX(DQ$7:DQ$106,$AF59),1),IF($AG59&gt;0,INDEX(DQ$7:DQ$106,$AG59),1),IF($AH59&gt;0,INDEX(DQ$7:DQ$106,$AH59),1),IF($AI59&gt;0,INDEX(DQ$7:DQ$106,$AI59),1),IF($AJ59&gt;0,INDEX(DQ$7:DQ$106,$AJ59),1))))</ns0:f>
        <ns0:v>1</ns0:v>
      </ns0:c>
      <ns0:c r="DS59" t="n">
        <ns0:f>IF($A59="",1,IF(DR59=1,1,--AND(IF($AC59&gt;0,INDEX(DR$7:DR$106,$AC59),1),IF($AD59&gt;0,INDEX(DR$7:DR$106,$AD59),1),IF($AE59&gt;0,INDEX(DR$7:DR$106,$AE59),1),IF($AF59&gt;0,INDEX(DR$7:DR$106,$AF59),1),IF($AG59&gt;0,INDEX(DR$7:DR$106,$AG59),1),IF($AH59&gt;0,INDEX(DR$7:DR$106,$AH59),1),IF($AI59&gt;0,INDEX(DR$7:DR$106,$AI59),1),IF($AJ59&gt;0,INDEX(DR$7:DR$106,$AJ59),1))))</ns0:f>
        <ns0:v>1</ns0:v>
      </ns0:c>
      <ns0:c r="DT59" t="n">
        <ns0:f>IF($A59="",1,IF(DS59=1,1,--AND(IF($AC59&gt;0,INDEX(DS$7:DS$106,$AC59),1),IF($AD59&gt;0,INDEX(DS$7:DS$106,$AD59),1),IF($AE59&gt;0,INDEX(DS$7:DS$106,$AE59),1),IF($AF59&gt;0,INDEX(DS$7:DS$106,$AF59),1),IF($AG59&gt;0,INDEX(DS$7:DS$106,$AG59),1),IF($AH59&gt;0,INDEX(DS$7:DS$106,$AH59),1),IF($AI59&gt;0,INDEX(DS$7:DS$106,$AI59),1),IF($AJ59&gt;0,INDEX(DS$7:DS$106,$AJ59),1))))</ns0:f>
        <ns0:v>1</ns0:v>
      </ns0:c>
      <ns0:c r="DU59" t="n">
        <ns0:f>IF($A59="",1,IF(DT59=1,1,--AND(IF($AC59&gt;0,INDEX(DT$7:DT$106,$AC59),1),IF($AD59&gt;0,INDEX(DT$7:DT$106,$AD59),1),IF($AE59&gt;0,INDEX(DT$7:DT$106,$AE59),1),IF($AF59&gt;0,INDEX(DT$7:DT$106,$AF59),1),IF($AG59&gt;0,INDEX(DT$7:DT$106,$AG59),1),IF($AH59&gt;0,INDEX(DT$7:DT$106,$AH59),1),IF($AI59&gt;0,INDEX(DT$7:DT$106,$AI59),1),IF($AJ59&gt;0,INDEX(DT$7:DT$106,$AJ59),1))))</ns0:f>
        <ns0:v>1</ns0:v>
      </ns0:c>
      <ns0:c r="DV59" t="n">
        <ns0:f>IF($A59="",1,IF(DU59=1,1,--AND(IF($AC59&gt;0,INDEX(DU$7:DU$106,$AC59),1),IF($AD59&gt;0,INDEX(DU$7:DU$106,$AD59),1),IF($AE59&gt;0,INDEX(DU$7:DU$106,$AE59),1),IF($AF59&gt;0,INDEX(DU$7:DU$106,$AF59),1),IF($AG59&gt;0,INDEX(DU$7:DU$106,$AG59),1),IF($AH59&gt;0,INDEX(DU$7:DU$106,$AH59),1),IF($AI59&gt;0,INDEX(DU$7:DU$106,$AI59),1),IF($AJ59&gt;0,INDEX(DU$7:DU$106,$AJ59),1))))</ns0:f>
        <ns0:v>1</ns0:v>
      </ns0:c>
      <ns0:c r="DW59" t="n">
        <ns0:f>IF($A59="",1,IF(DV59=1,1,--AND(IF($AC59&gt;0,INDEX(DV$7:DV$106,$AC59),1),IF($AD59&gt;0,INDEX(DV$7:DV$106,$AD59),1),IF($AE59&gt;0,INDEX(DV$7:DV$106,$AE59),1),IF($AF59&gt;0,INDEX(DV$7:DV$106,$AF59),1),IF($AG59&gt;0,INDEX(DV$7:DV$106,$AG59),1),IF($AH59&gt;0,INDEX(DV$7:DV$106,$AH59),1),IF($AI59&gt;0,INDEX(DV$7:DV$106,$AI59),1),IF($AJ59&gt;0,INDEX(DV$7:DV$106,$AJ59),1))))</ns0:f>
        <ns0:v>1</ns0:v>
      </ns0:c>
      <ns0:c r="DX59" t="n">
        <ns0:f>IF($A59="",1,IF(DW59=1,1,--AND(IF($AC59&gt;0,INDEX(DW$7:DW$106,$AC59),1),IF($AD59&gt;0,INDEX(DW$7:DW$106,$AD59),1),IF($AE59&gt;0,INDEX(DW$7:DW$106,$AE59),1),IF($AF59&gt;0,INDEX(DW$7:DW$106,$AF59),1),IF($AG59&gt;0,INDEX(DW$7:DW$106,$AG59),1),IF($AH59&gt;0,INDEX(DW$7:DW$106,$AH59),1),IF($AI59&gt;0,INDEX(DW$7:DW$106,$AI59),1),IF($AJ59&gt;0,INDEX(DW$7:DW$106,$AJ59),1))))</ns0:f>
        <ns0:v>1</ns0:v>
      </ns0:c>
      <ns0:c r="DY59" t="n">
        <ns0:f>IF($A59="",1,IF(DX59=1,1,--AND(IF($AC59&gt;0,INDEX(DX$7:DX$106,$AC59),1),IF($AD59&gt;0,INDEX(DX$7:DX$106,$AD59),1),IF($AE59&gt;0,INDEX(DX$7:DX$106,$AE59),1),IF($AF59&gt;0,INDEX(DX$7:DX$106,$AF59),1),IF($AG59&gt;0,INDEX(DX$7:DX$106,$AG59),1),IF($AH59&gt;0,INDEX(DX$7:DX$106,$AH59),1),IF($AI59&gt;0,INDEX(DX$7:DX$106,$AI59),1),IF($AJ59&gt;0,INDEX(DX$7:DX$106,$AJ59),1))))</ns0:f>
        <ns0:v>1</ns0:v>
      </ns0:c>
      <ns0:c r="DZ59" t="n">
        <ns0:f>IF($A59="",1,IF(DY59=1,1,--AND(IF($AC59&gt;0,INDEX(DY$7:DY$106,$AC59),1),IF($AD59&gt;0,INDEX(DY$7:DY$106,$AD59),1),IF($AE59&gt;0,INDEX(DY$7:DY$106,$AE59),1),IF($AF59&gt;0,INDEX(DY$7:DY$106,$AF59),1),IF($AG59&gt;0,INDEX(DY$7:DY$106,$AG59),1),IF($AH59&gt;0,INDEX(DY$7:DY$106,$AH59),1),IF($AI59&gt;0,INDEX(DY$7:DY$106,$AI59),1),IF($AJ59&gt;0,INDEX(DY$7:DY$106,$AJ59),1))))</ns0:f>
        <ns0:v>1</ns0:v>
      </ns0:c>
      <ns0:c r="EA59" t="n">
        <ns0:f>IF($A59="",1,IF(DZ59=1,1,--AND(IF($AC59&gt;0,INDEX(DZ$7:DZ$106,$AC59),1),IF($AD59&gt;0,INDEX(DZ$7:DZ$106,$AD59),1),IF($AE59&gt;0,INDEX(DZ$7:DZ$106,$AE59),1),IF($AF59&gt;0,INDEX(DZ$7:DZ$106,$AF59),1),IF($AG59&gt;0,INDEX(DZ$7:DZ$106,$AG59),1),IF($AH59&gt;0,INDEX(DZ$7:DZ$106,$AH59),1),IF($AI59&gt;0,INDEX(DZ$7:DZ$106,$AI59),1),IF($AJ59&gt;0,INDEX(DZ$7:DZ$106,$AJ59),1))))</ns0:f>
        <ns0:v>1</ns0:v>
      </ns0:c>
      <ns0:c r="EB59" t="n">
        <ns0:f>IF($A59="",1,IF(EA59=1,1,--AND(IF($AC59&gt;0,INDEX(EA$7:EA$106,$AC59),1),IF($AD59&gt;0,INDEX(EA$7:EA$106,$AD59),1),IF($AE59&gt;0,INDEX(EA$7:EA$106,$AE59),1),IF($AF59&gt;0,INDEX(EA$7:EA$106,$AF59),1),IF($AG59&gt;0,INDEX(EA$7:EA$106,$AG59),1),IF($AH59&gt;0,INDEX(EA$7:EA$106,$AH59),1),IF($AI59&gt;0,INDEX(EA$7:EA$106,$AI59),1),IF($AJ59&gt;0,INDEX(EA$7:EA$106,$AJ59),1))))</ns0:f>
        <ns0:v>1</ns0:v>
      </ns0:c>
      <ns0:c r="EC59" t="n">
        <ns0:f>IF($A59="",1,IF(EB59=1,1,--AND(IF($AC59&gt;0,INDEX(EB$7:EB$106,$AC59),1),IF($AD59&gt;0,INDEX(EB$7:EB$106,$AD59),1),IF($AE59&gt;0,INDEX(EB$7:EB$106,$AE59),1),IF($AF59&gt;0,INDEX(EB$7:EB$106,$AF59),1),IF($AG59&gt;0,INDEX(EB$7:EB$106,$AG59),1),IF($AH59&gt;0,INDEX(EB$7:EB$106,$AH59),1),IF($AI59&gt;0,INDEX(EB$7:EB$106,$AI59),1),IF($AJ59&gt;0,INDEX(EB$7:EB$106,$AJ59),1))))</ns0:f>
        <ns0:v>1</ns0:v>
      </ns0:c>
      <ns0:c r="ED59" t="n">
        <ns0:f>IF($A59="",1,IF(EC59=1,1,--AND(IF($AC59&gt;0,INDEX(EC$7:EC$106,$AC59),1),IF($AD59&gt;0,INDEX(EC$7:EC$106,$AD59),1),IF($AE59&gt;0,INDEX(EC$7:EC$106,$AE59),1),IF($AF59&gt;0,INDEX(EC$7:EC$106,$AF59),1),IF($AG59&gt;0,INDEX(EC$7:EC$106,$AG59),1),IF($AH59&gt;0,INDEX(EC$7:EC$106,$AH59),1),IF($AI59&gt;0,INDEX(EC$7:EC$106,$AI59),1),IF($AJ59&gt;0,INDEX(EC$7:EC$106,$AJ59),1))))</ns0:f>
        <ns0:v>1</ns0:v>
      </ns0:c>
      <ns0:c r="EE59" t="n">
        <ns0:f>IF($A59="",1,IF(ED59=1,1,--AND(IF($AC59&gt;0,INDEX(ED$7:ED$106,$AC59),1),IF($AD59&gt;0,INDEX(ED$7:ED$106,$AD59),1),IF($AE59&gt;0,INDEX(ED$7:ED$106,$AE59),1),IF($AF59&gt;0,INDEX(ED$7:ED$106,$AF59),1),IF($AG59&gt;0,INDEX(ED$7:ED$106,$AG59),1),IF($AH59&gt;0,INDEX(ED$7:ED$106,$AH59),1),IF($AI59&gt;0,INDEX(ED$7:ED$106,$AI59),1),IF($AJ59&gt;0,INDEX(ED$7:ED$106,$AJ59),1))))</ns0:f>
        <ns0:v>1</ns0:v>
      </ns0:c>
      <ns0:c r="EF59" t="n">
        <ns0:f>IF($A59="",1,IF(EE59=1,1,--AND(IF($AC59&gt;0,INDEX(EE$7:EE$106,$AC59),1),IF($AD59&gt;0,INDEX(EE$7:EE$106,$AD59),1),IF($AE59&gt;0,INDEX(EE$7:EE$106,$AE59),1),IF($AF59&gt;0,INDEX(EE$7:EE$106,$AF59),1),IF($AG59&gt;0,INDEX(EE$7:EE$106,$AG59),1),IF($AH59&gt;0,INDEX(EE$7:EE$106,$AH59),1),IF($AI59&gt;0,INDEX(EE$7:EE$106,$AI59),1),IF($AJ59&gt;0,INDEX(EE$7:EE$106,$AJ59),1))))</ns0:f>
        <ns0:v>1</ns0:v>
      </ns0:c>
      <ns0:c r="EG59" t="n">
        <ns0:f>IF($A59="",1,IF(EF59=1,1,--AND(IF($AC59&gt;0,INDEX(EF$7:EF$106,$AC59),1),IF($AD59&gt;0,INDEX(EF$7:EF$106,$AD59),1),IF($AE59&gt;0,INDEX(EF$7:EF$106,$AE59),1),IF($AF59&gt;0,INDEX(EF$7:EF$106,$AF59),1),IF($AG59&gt;0,INDEX(EF$7:EF$106,$AG59),1),IF($AH59&gt;0,INDEX(EF$7:EF$106,$AH59),1),IF($AI59&gt;0,INDEX(EF$7:EF$106,$AI59),1),IF($AJ59&gt;0,INDEX(EF$7:EF$106,$AJ59),1))))</ns0:f>
        <ns0:v>1</ns0:v>
      </ns0:c>
      <ns0:c r="EH59" t="n">
        <ns0:f>IF($A59="",1,IF(EG59=1,1,--AND(IF($AC59&gt;0,INDEX(EG$7:EG$106,$AC59),1),IF($AD59&gt;0,INDEX(EG$7:EG$106,$AD59),1),IF($AE59&gt;0,INDEX(EG$7:EG$106,$AE59),1),IF($AF59&gt;0,INDEX(EG$7:EG$106,$AF59),1),IF($AG59&gt;0,INDEX(EG$7:EG$106,$AG59),1),IF($AH59&gt;0,INDEX(EG$7:EG$106,$AH59),1),IF($AI59&gt;0,INDEX(EG$7:EG$106,$AI59),1),IF($AJ59&gt;0,INDEX(EG$7:EG$106,$AJ59),1))))</ns0:f>
        <ns0:v>1</ns0:v>
      </ns0:c>
      <ns0:c r="EI59" t="n">
        <ns0:f>IF($A59="",1,IF(EH59=1,1,--AND(IF($AC59&gt;0,INDEX(EH$7:EH$106,$AC59),1),IF($AD59&gt;0,INDEX(EH$7:EH$106,$AD59),1),IF($AE59&gt;0,INDEX(EH$7:EH$106,$AE59),1),IF($AF59&gt;0,INDEX(EH$7:EH$106,$AF59),1),IF($AG59&gt;0,INDEX(EH$7:EH$106,$AG59),1),IF($AH59&gt;0,INDEX(EH$7:EH$106,$AH59),1),IF($AI59&gt;0,INDEX(EH$7:EH$106,$AI59),1),IF($AJ59&gt;0,INDEX(EH$7:EH$106,$AJ59),1))))</ns0:f>
        <ns0:v>1</ns0:v>
      </ns0:c>
      <ns0:c r="EJ59" t="n">
        <ns0:f>IF($A59="",1,IF(EI59=1,1,--AND(IF($AC59&gt;0,INDEX(EI$7:EI$106,$AC59),1),IF($AD59&gt;0,INDEX(EI$7:EI$106,$AD59),1),IF($AE59&gt;0,INDEX(EI$7:EI$106,$AE59),1),IF($AF59&gt;0,INDEX(EI$7:EI$106,$AF59),1),IF($AG59&gt;0,INDEX(EI$7:EI$106,$AG59),1),IF($AH59&gt;0,INDEX(EI$7:EI$106,$AH59),1),IF($AI59&gt;0,INDEX(EI$7:EI$106,$AI59),1),IF($AJ59&gt;0,INDEX(EI$7:EI$106,$AJ59),1))))</ns0:f>
        <ns0:v>1</ns0:v>
      </ns0:c>
      <ns0:c r="EK59" t="n">
        <ns0:f>IF($A59="",1,IF(EJ59=1,1,--AND(IF($AC59&gt;0,INDEX(EJ$7:EJ$106,$AC59),1),IF($AD59&gt;0,INDEX(EJ$7:EJ$106,$AD59),1),IF($AE59&gt;0,INDEX(EJ$7:EJ$106,$AE59),1),IF($AF59&gt;0,INDEX(EJ$7:EJ$106,$AF59),1),IF($AG59&gt;0,INDEX(EJ$7:EJ$106,$AG59),1),IF($AH59&gt;0,INDEX(EJ$7:EJ$106,$AH59),1),IF($AI59&gt;0,INDEX(EJ$7:EJ$106,$AI59),1),IF($AJ59&gt;0,INDEX(EJ$7:EJ$106,$AJ59),1))))</ns0:f>
        <ns0:v>1</ns0:v>
      </ns0:c>
      <ns0:c r="EL59" t="n">
        <ns0:f>IF($A59="",1,IF(EK59=1,1,--AND(IF($AC59&gt;0,INDEX(EK$7:EK$106,$AC59),1),IF($AD59&gt;0,INDEX(EK$7:EK$106,$AD59),1),IF($AE59&gt;0,INDEX(EK$7:EK$106,$AE59),1),IF($AF59&gt;0,INDEX(EK$7:EK$106,$AF59),1),IF($AG59&gt;0,INDEX(EK$7:EK$106,$AG59),1),IF($AH59&gt;0,INDEX(EK$7:EK$106,$AH59),1),IF($AI59&gt;0,INDEX(EK$7:EK$106,$AI59),1),IF($AJ59&gt;0,INDEX(EK$7:EK$106,$AJ59),1))))</ns0:f>
        <ns0:v>1</ns0:v>
      </ns0:c>
      <ns0:c r="EM59" t="n">
        <ns0:f>IF($A59="",1,IF(EL59=1,1,--AND(IF($AC59&gt;0,INDEX(EL$7:EL$106,$AC59),1),IF($AD59&gt;0,INDEX(EL$7:EL$106,$AD59),1),IF($AE59&gt;0,INDEX(EL$7:EL$106,$AE59),1),IF($AF59&gt;0,INDEX(EL$7:EL$106,$AF59),1),IF($AG59&gt;0,INDEX(EL$7:EL$106,$AG59),1),IF($AH59&gt;0,INDEX(EL$7:EL$106,$AH59),1),IF($AI59&gt;0,INDEX(EL$7:EL$106,$AI59),1),IF($AJ59&gt;0,INDEX(EL$7:EL$106,$AJ59),1))))</ns0:f>
        <ns0:v>1</ns0:v>
      </ns0:c>
      <ns0:c r="EN59" t="n">
        <ns0:f>IF($A59="",1,IF(EM59=1,1,--AND(IF($AC59&gt;0,INDEX(EM$7:EM$106,$AC59),1),IF($AD59&gt;0,INDEX(EM$7:EM$106,$AD59),1),IF($AE59&gt;0,INDEX(EM$7:EM$106,$AE59),1),IF($AF59&gt;0,INDEX(EM$7:EM$106,$AF59),1),IF($AG59&gt;0,INDEX(EM$7:EM$106,$AG59),1),IF($AH59&gt;0,INDEX(EM$7:EM$106,$AH59),1),IF($AI59&gt;0,INDEX(EM$7:EM$106,$AI59),1),IF($AJ59&gt;0,INDEX(EM$7:EM$106,$AJ59),1))))</ns0:f>
        <ns0:v>1</ns0:v>
      </ns0:c>
      <ns0:c r="EO59" t="n">
        <ns0:f>IF($A59="",1,IF(EN59=1,1,--AND(IF($AC59&gt;0,INDEX(EN$7:EN$106,$AC59),1),IF($AD59&gt;0,INDEX(EN$7:EN$106,$AD59),1),IF($AE59&gt;0,INDEX(EN$7:EN$106,$AE59),1),IF($AF59&gt;0,INDEX(EN$7:EN$106,$AF59),1),IF($AG59&gt;0,INDEX(EN$7:EN$106,$AG59),1),IF($AH59&gt;0,INDEX(EN$7:EN$106,$AH59),1),IF($AI59&gt;0,INDEX(EN$7:EN$106,$AI59),1),IF($AJ59&gt;0,INDEX(EN$7:EN$106,$AJ59),1))))</ns0:f>
        <ns0:v>1</ns0:v>
      </ns0:c>
      <ns0:c r="EP59" t="n">
        <ns0:f>IF($A59="",1,IF(EO59=1,1,--AND(IF($AC59&gt;0,INDEX(EO$7:EO$106,$AC59),1),IF($AD59&gt;0,INDEX(EO$7:EO$106,$AD59),1),IF($AE59&gt;0,INDEX(EO$7:EO$106,$AE59),1),IF($AF59&gt;0,INDEX(EO$7:EO$106,$AF59),1),IF($AG59&gt;0,INDEX(EO$7:EO$106,$AG59),1),IF($AH59&gt;0,INDEX(EO$7:EO$106,$AH59),1),IF($AI59&gt;0,INDEX(EO$7:EO$106,$AI59),1),IF($AJ59&gt;0,INDEX(EO$7:EO$106,$AJ59),1))))</ns0:f>
        <ns0:v>1</ns0:v>
      </ns0:c>
      <ns0:c r="EQ59" t="n">
        <ns0:f>IF(OR(A59="",NOT(ISNUMBER(G59))),0,G59*N59)</ns0:f>
        <ns0:v>0</ns0:v>
      </ns0:c>
    </ns0:row>
    <ns0:row r="60" ht="62" customHeight="1">
      <ns0:c r="A60" s="48"/>
      <ns0:c r="B60" s="48"/>
      <ns0:c r="C60" s="48"/>
      <ns0:c r="D60" s="48"/>
      <ns0:c r="E60" s="49"/>
      <ns0:c r="F60" s="49"/>
      <ns0:c r="G60" s="13" t="str">
        <ns0:f>IF(A60="","",IF(OR(NOT(ISNUMBER(E60)),NOT(ISNUMBER(F60)),F60&lt;E60),"",IF(J60="Yes",0,F60-E60+1)))</ns0:f>
      </ns0:c>
      <ns0:c r="H60" s="48"/>
      <ns0:c r="I60" s="48"/>
      <ns0:c r="J60" s="48"/>
      <ns0:c r="K60" s="48"/>
      <ns0:c r="L60" s="48"/>
      <ns0:c r="M60" s="50" t="str">
        <ns0:f>IF(A60="","",IF(N60=1,"Completed",IF(N60&gt;0,"In Progress","Not Started")))</ns0:f>
      </ns0:c>
      <ns0:c r="N60" s="51"/>
      <ns0:c r="O60" s="13" t="str">
        <ns0:f>IF(A60="","",IF(R60&lt;&gt;"","[CONFLICT] "&amp;R60,IF(S60&lt;&gt;"","[CONFLICT] "&amp;S60,IF(OR(NOT(ISNUMBER(N60)),N60&lt;0,N60&gt;1),"[CONFLICT] Invalid progress",IF(AK60&gt;0,"[DEPENDENCY ISSUE] Missing ID / &gt;8 links",IF(AM60&gt;0,"[DEPENDENCY ISSUE] Cycle or blocked by cycle",IF(AND(H60&lt;&gt;"",ISNA(MATCH(I60,{"FS","SS","FF","SF"},0))),"[DEPENDENCY ISSUE] Invalid type",IF(AL60&gt;0,"[DEPENDENCY ISSUE] Timing conflict",IF(OR(E60&lt;ProjectStart,F60&gt;ProjectEnd),"[OUTSIDE WINDOW]",IF(AND(N60&lt;1,F60&lt;AsOfDate),"Overdue",IF(AND(M60&lt;&gt;Q60,M60&lt;&gt;""),"[CONFLICT] Status / progress","On track")))))))))))</ns0:f>
      </ns0:c>
      <ns0:c r="P60" s="52"/>
      <ns0:c r="Q60" t="str">
        <ns0:f>IF(A60="","",IF(OR(M60="On Hold",M60="Delayed"),M60,IF(N60=1,"Completed",IF(N60&gt;0,"In Progress","Not Started"))))</ns0:f>
      </ns0:c>
      <ns0:c r="R60" t="str">
        <ns0:f>IF(A60="","",IF(COUNTIFS(Tasks[Task ID],A60)&lt;&gt;1,"Duplicate ID",""))</ns0:f>
      </ns0:c>
      <ns0:c r="S60" t="str">
        <ns0:f>IF(A60="","",IF(OR(NOT(ISNUMBER(E60)),NOT(ISNUMBER(F60))),"Invalid / missing date",IF(OR(E60&lt;&gt;INT(E60),F60&lt;&gt;INT(F60),E60&lt;1,F60&gt;2958465),"Invalid date",IF(F60&lt;E60,"End before start",IF(AND(J60="Yes",E60&lt;&gt;F60),"Milestone needs one date","")))))</ns0:f>
      </ns0:c>
      <ns0:c r="T60" t="n">
        <ns0:f>IF(H60="",0,LEN(H60)-LEN(SUBSTITUTE(H60,",",""))+1)</ns0:f>
        <ns0:v>0</ns0:v>
      </ns0:c>
      <ns0:c r="U60" t="str">
        <ns0:f>TRIM(MID(SUBSTITUTE($H60,",",REPT(" ",100)),1,100))</ns0:f>
      </ns0:c>
      <ns0:c r="V60" t="str">
        <ns0:f>TRIM(MID(SUBSTITUTE($H60,",",REPT(" ",100)),101,100))</ns0:f>
      </ns0:c>
      <ns0:c r="W60" t="str">
        <ns0:f>TRIM(MID(SUBSTITUTE($H60,",",REPT(" ",100)),201,100))</ns0:f>
      </ns0:c>
      <ns0:c r="X60" t="str">
        <ns0:f>TRIM(MID(SUBSTITUTE($H60,",",REPT(" ",100)),301,100))</ns0:f>
      </ns0:c>
      <ns0:c r="Y60" t="str">
        <ns0:f>TRIM(MID(SUBSTITUTE($H60,",",REPT(" ",100)),401,100))</ns0:f>
      </ns0:c>
      <ns0:c r="Z60" t="str">
        <ns0:f>TRIM(MID(SUBSTITUTE($H60,",",REPT(" ",100)),501,100))</ns0:f>
      </ns0:c>
      <ns0:c r="AA60" t="str">
        <ns0:f>TRIM(MID(SUBSTITUTE($H60,",",REPT(" ",100)),601,100))</ns0:f>
      </ns0:c>
      <ns0:c r="AB60" t="str">
        <ns0:f>TRIM(MID(SUBSTITUTE($H60,",",REPT(" ",100)),701,100))</ns0:f>
      </ns0:c>
      <ns0:c r="AC60" t="n">
        <ns0:f>IF(U60="",0,IF(COUNTIFS(Tasks[Task ID],U60)=1,MATCH(U60,Tasks[Task ID],0),-1))</ns0:f>
        <ns0:v>0</ns0:v>
      </ns0:c>
      <ns0:c r="AD60" t="n">
        <ns0:f>IF(V60="",0,IF(COUNTIFS(Tasks[Task ID],V60)=1,MATCH(V60,Tasks[Task ID],0),-1))</ns0:f>
        <ns0:v>0</ns0:v>
      </ns0:c>
      <ns0:c r="AE60" t="n">
        <ns0:f>IF(W60="",0,IF(COUNTIFS(Tasks[Task ID],W60)=1,MATCH(W60,Tasks[Task ID],0),-1))</ns0:f>
        <ns0:v>0</ns0:v>
      </ns0:c>
      <ns0:c r="AF60" t="n">
        <ns0:f>IF(X60="",0,IF(COUNTIFS(Tasks[Task ID],X60)=1,MATCH(X60,Tasks[Task ID],0),-1))</ns0:f>
        <ns0:v>0</ns0:v>
      </ns0:c>
      <ns0:c r="AG60" t="n">
        <ns0:f>IF(Y60="",0,IF(COUNTIFS(Tasks[Task ID],Y60)=1,MATCH(Y60,Tasks[Task ID],0),-1))</ns0:f>
        <ns0:v>0</ns0:v>
      </ns0:c>
      <ns0:c r="AH60" t="n">
        <ns0:f>IF(Z60="",0,IF(COUNTIFS(Tasks[Task ID],Z60)=1,MATCH(Z60,Tasks[Task ID],0),-1))</ns0:f>
        <ns0:v>0</ns0:v>
      </ns0:c>
      <ns0:c r="AI60" t="n">
        <ns0:f>IF(AA60="",0,IF(COUNTIFS(Tasks[Task ID],AA60)=1,MATCH(AA60,Tasks[Task ID],0),-1))</ns0:f>
        <ns0:v>0</ns0:v>
      </ns0:c>
      <ns0:c r="AJ60" t="n">
        <ns0:f>IF(AB60="",0,IF(COUNTIFS(Tasks[Task ID],AB60)=1,MATCH(AB60,Tasks[Task ID],0),-1))</ns0:f>
        <ns0:v>0</ns0:v>
      </ns0:c>
      <ns0:c r="AK60" t="n">
        <ns0:f>COUNTIFS(AC60:AJ60,-1)+IF(T60&gt;8,1,0)</ns0:f>
        <ns0:v>0</ns0:v>
      </ns0:c>
      <ns0:c r="AL60" t="n">
        <ns0:f>IF(OR(A60="",S60&lt;&gt;""),0,SUM(IF(AC60&gt;0,IF($I60="FS",--($E60&lt;INDEX(Tasks[End Date],AC60)+IF(INDEX(Tasks[Milestone],AC60)="Yes",0,1)),IF($I60="SS",--($E60&lt;INDEX(Tasks[Start Date],AC60)),IF($I60="FF",--($F60&lt;INDEX(Tasks[End Date],AC60)),IF($I60="SF",--($F60&lt;INDEX(Tasks[Start Date],AC60)),0)))),0),IF(AD60&gt;0,IF($I60="FS",--($E60&lt;INDEX(Tasks[End Date],AD60)+IF(INDEX(Tasks[Milestone],AD60)="Yes",0,1)),IF($I60="SS",--($E60&lt;INDEX(Tasks[Start Date],AD60)),IF($I60="FF",--($F60&lt;INDEX(Tasks[End Date],AD60)),IF($I60="SF",--($F60&lt;INDEX(Tasks[Start Date],AD60)),0)))),0),IF(AE60&gt;0,IF($I60="FS",--($E60&lt;INDEX(Tasks[End Date],AE60)+IF(INDEX(Tasks[Milestone],AE60)="Yes",0,1)),IF($I60="SS",--($E60&lt;INDEX(Tasks[Start Date],AE60)),IF($I60="FF",--($F60&lt;INDEX(Tasks[End Date],AE60)),IF($I60="SF",--($F60&lt;INDEX(Tasks[Start Date],AE60)),0)))),0),IF(AF60&gt;0,IF($I60="FS",--($E60&lt;INDEX(Tasks[End Date],AF60)+IF(INDEX(Tasks[Milestone],AF60)="Yes",0,1)),IF($I60="SS",--($E60&lt;INDEX(Tasks[Start Date],AF60)),IF($I60="FF",--($F60&lt;INDEX(Tasks[End Date],AF60)),IF($I60="SF",--($F60&lt;INDEX(Tasks[Start Date],AF60)),0)))),0),IF(AG60&gt;0,IF($I60="FS",--($E60&lt;INDEX(Tasks[End Date],AG60)+IF(INDEX(Tasks[Milestone],AG60)="Yes",0,1)),IF($I60="SS",--($E60&lt;INDEX(Tasks[Start Date],AG60)),IF($I60="FF",--($F60&lt;INDEX(Tasks[End Date],AG60)),IF($I60="SF",--($F60&lt;INDEX(Tasks[Start Date],AG60)),0)))),0),IF(AH60&gt;0,IF($I60="FS",--($E60&lt;INDEX(Tasks[End Date],AH60)+IF(INDEX(Tasks[Milestone],AH60)="Yes",0,1)),IF($I60="SS",--($E60&lt;INDEX(Tasks[Start Date],AH60)),IF($I60="FF",--($F60&lt;INDEX(Tasks[End Date],AH60)),IF($I60="SF",--($F60&lt;INDEX(Tasks[Start Date],AH60)),0)))),0),IF(AI60&gt;0,IF($I60="FS",--($E60&lt;INDEX(Tasks[End Date],AI60)+IF(INDEX(Tasks[Milestone],AI60)="Yes",0,1)),IF($I60="SS",--($E60&lt;INDEX(Tasks[Start Date],AI60)),IF($I60="FF",--($F60&lt;INDEX(Tasks[End Date],AI60)),IF($I60="SF",--($F60&lt;INDEX(Tasks[Start Date],AI60)),0)))),0),IF(AJ60&gt;0,IF($I60="FS",--($E60&lt;INDEX(Tasks[End Date],AJ60)+IF(INDEX(Tasks[Milestone],AJ60)="Yes",0,1)),IF($I60="SS",--($E60&lt;INDEX(Tasks[Start Date],AJ60)),IF($I60="FF",--($F60&lt;INDEX(Tasks[End Date],AJ60)),IF($I60="SF",--($F60&lt;INDEX(Tasks[Start Date],AJ60)),0)))),0)))</ns0:f>
        <ns0:v>0</ns0:v>
      </ns0:c>
      <ns0:c r="AM60" t="n">
        <ns0:f>IF(AND(A60&lt;&gt;"",AK60=0,EP60=0),1,0)</ns0:f>
        <ns0:v>0</ns0:v>
      </ns0:c>
      <ns0:c r="AN60" t="str">
        <ns0:f>IF(OR(A60="",B60=""),"",IF(COUNTIFS($B$7:B60,B60)=1,MAX($AN$6:AN59)+1,""))</ns0:f>
      </ns0:c>
      <ns0:c r="AO60" t="n">
        <ns0:f>IF(AND(A60&lt;&gt;"",J60="No",N60&lt;1,E60&gt;=AsOfDate),E60+ROW()/10000,1E+9)</ns0:f>
        <ns0:v>1000000000</ns0:v>
      </ns0:c>
      <ns0:c r="AP60" t="n">
        <ns0:f>IF(AND(A60&lt;&gt;"",J60="Yes",N60&lt;1,E60&gt;=AsOfDate),E60+ROW()/10000,1E+9)</ns0:f>
        <ns0:v>1000000000</ns0:v>
      </ns0:c>
      <ns0:c r="AQ60" t="n">
        <ns0:f>IF(AND(A60&lt;&gt;"",J60="No",N60&lt;1,F60&gt;=AsOfDate,F60&lt;=AsOfDate+7),F60+ROW()/10000,1E+9)</ns0:f>
        <ns0:v>1000000000</ns0:v>
      </ns0:c>
      <ns0:c r="AR60" t="n">
        <ns0:f>IF(AND(A60&lt;&gt;"",OR(O60&lt;&gt;"On track",Q60="Delayed")),ROW(),1E+9)</ns0:f>
        <ns0:v>1000000000</ns0:v>
      </ns0:c>
      <ns0:c r="AS60" t="str">
        <ns0:f>IF(A60="","",";"&amp;K60&amp;";")</ns0:f>
      </ns0:c>
      <ns0:c r="AT60" t="n">
        <ns0:f>IF(A60="",1,--(T60=0))</ns0:f>
        <ns0:v>1</ns0:v>
      </ns0:c>
      <ns0:c r="AU60" t="n">
        <ns0:f>IF($A60="",1,IF(AT60=1,1,--AND(IF($AC60&gt;0,INDEX(AT$7:AT$106,$AC60),1),IF($AD60&gt;0,INDEX(AT$7:AT$106,$AD60),1),IF($AE60&gt;0,INDEX(AT$7:AT$106,$AE60),1),IF($AF60&gt;0,INDEX(AT$7:AT$106,$AF60),1),IF($AG60&gt;0,INDEX(AT$7:AT$106,$AG60),1),IF($AH60&gt;0,INDEX(AT$7:AT$106,$AH60),1),IF($AI60&gt;0,INDEX(AT$7:AT$106,$AI60),1),IF($AJ60&gt;0,INDEX(AT$7:AT$106,$AJ60),1))))</ns0:f>
        <ns0:v>1</ns0:v>
      </ns0:c>
      <ns0:c r="AV60" t="n">
        <ns0:f>IF($A60="",1,IF(AU60=1,1,--AND(IF($AC60&gt;0,INDEX(AU$7:AU$106,$AC60),1),IF($AD60&gt;0,INDEX(AU$7:AU$106,$AD60),1),IF($AE60&gt;0,INDEX(AU$7:AU$106,$AE60),1),IF($AF60&gt;0,INDEX(AU$7:AU$106,$AF60),1),IF($AG60&gt;0,INDEX(AU$7:AU$106,$AG60),1),IF($AH60&gt;0,INDEX(AU$7:AU$106,$AH60),1),IF($AI60&gt;0,INDEX(AU$7:AU$106,$AI60),1),IF($AJ60&gt;0,INDEX(AU$7:AU$106,$AJ60),1))))</ns0:f>
        <ns0:v>1</ns0:v>
      </ns0:c>
      <ns0:c r="AW60" t="n">
        <ns0:f>IF($A60="",1,IF(AV60=1,1,--AND(IF($AC60&gt;0,INDEX(AV$7:AV$106,$AC60),1),IF($AD60&gt;0,INDEX(AV$7:AV$106,$AD60),1),IF($AE60&gt;0,INDEX(AV$7:AV$106,$AE60),1),IF($AF60&gt;0,INDEX(AV$7:AV$106,$AF60),1),IF($AG60&gt;0,INDEX(AV$7:AV$106,$AG60),1),IF($AH60&gt;0,INDEX(AV$7:AV$106,$AH60),1),IF($AI60&gt;0,INDEX(AV$7:AV$106,$AI60),1),IF($AJ60&gt;0,INDEX(AV$7:AV$106,$AJ60),1))))</ns0:f>
        <ns0:v>1</ns0:v>
      </ns0:c>
      <ns0:c r="AX60" t="n">
        <ns0:f>IF($A60="",1,IF(AW60=1,1,--AND(IF($AC60&gt;0,INDEX(AW$7:AW$106,$AC60),1),IF($AD60&gt;0,INDEX(AW$7:AW$106,$AD60),1),IF($AE60&gt;0,INDEX(AW$7:AW$106,$AE60),1),IF($AF60&gt;0,INDEX(AW$7:AW$106,$AF60),1),IF($AG60&gt;0,INDEX(AW$7:AW$106,$AG60),1),IF($AH60&gt;0,INDEX(AW$7:AW$106,$AH60),1),IF($AI60&gt;0,INDEX(AW$7:AW$106,$AI60),1),IF($AJ60&gt;0,INDEX(AW$7:AW$106,$AJ60),1))))</ns0:f>
        <ns0:v>1</ns0:v>
      </ns0:c>
      <ns0:c r="AY60" t="n">
        <ns0:f>IF($A60="",1,IF(AX60=1,1,--AND(IF($AC60&gt;0,INDEX(AX$7:AX$106,$AC60),1),IF($AD60&gt;0,INDEX(AX$7:AX$106,$AD60),1),IF($AE60&gt;0,INDEX(AX$7:AX$106,$AE60),1),IF($AF60&gt;0,INDEX(AX$7:AX$106,$AF60),1),IF($AG60&gt;0,INDEX(AX$7:AX$106,$AG60),1),IF($AH60&gt;0,INDEX(AX$7:AX$106,$AH60),1),IF($AI60&gt;0,INDEX(AX$7:AX$106,$AI60),1),IF($AJ60&gt;0,INDEX(AX$7:AX$106,$AJ60),1))))</ns0:f>
        <ns0:v>1</ns0:v>
      </ns0:c>
      <ns0:c r="AZ60" t="n">
        <ns0:f>IF($A60="",1,IF(AY60=1,1,--AND(IF($AC60&gt;0,INDEX(AY$7:AY$106,$AC60),1),IF($AD60&gt;0,INDEX(AY$7:AY$106,$AD60),1),IF($AE60&gt;0,INDEX(AY$7:AY$106,$AE60),1),IF($AF60&gt;0,INDEX(AY$7:AY$106,$AF60),1),IF($AG60&gt;0,INDEX(AY$7:AY$106,$AG60),1),IF($AH60&gt;0,INDEX(AY$7:AY$106,$AH60),1),IF($AI60&gt;0,INDEX(AY$7:AY$106,$AI60),1),IF($AJ60&gt;0,INDEX(AY$7:AY$106,$AJ60),1))))</ns0:f>
        <ns0:v>1</ns0:v>
      </ns0:c>
      <ns0:c r="BA60" t="n">
        <ns0:f>IF($A60="",1,IF(AZ60=1,1,--AND(IF($AC60&gt;0,INDEX(AZ$7:AZ$106,$AC60),1),IF($AD60&gt;0,INDEX(AZ$7:AZ$106,$AD60),1),IF($AE60&gt;0,INDEX(AZ$7:AZ$106,$AE60),1),IF($AF60&gt;0,INDEX(AZ$7:AZ$106,$AF60),1),IF($AG60&gt;0,INDEX(AZ$7:AZ$106,$AG60),1),IF($AH60&gt;0,INDEX(AZ$7:AZ$106,$AH60),1),IF($AI60&gt;0,INDEX(AZ$7:AZ$106,$AI60),1),IF($AJ60&gt;0,INDEX(AZ$7:AZ$106,$AJ60),1))))</ns0:f>
        <ns0:v>1</ns0:v>
      </ns0:c>
      <ns0:c r="BB60" t="n">
        <ns0:f>IF($A60="",1,IF(BA60=1,1,--AND(IF($AC60&gt;0,INDEX(BA$7:BA$106,$AC60),1),IF($AD60&gt;0,INDEX(BA$7:BA$106,$AD60),1),IF($AE60&gt;0,INDEX(BA$7:BA$106,$AE60),1),IF($AF60&gt;0,INDEX(BA$7:BA$106,$AF60),1),IF($AG60&gt;0,INDEX(BA$7:BA$106,$AG60),1),IF($AH60&gt;0,INDEX(BA$7:BA$106,$AH60),1),IF($AI60&gt;0,INDEX(BA$7:BA$106,$AI60),1),IF($AJ60&gt;0,INDEX(BA$7:BA$106,$AJ60),1))))</ns0:f>
        <ns0:v>1</ns0:v>
      </ns0:c>
      <ns0:c r="BC60" t="n">
        <ns0:f>IF($A60="",1,IF(BB60=1,1,--AND(IF($AC60&gt;0,INDEX(BB$7:BB$106,$AC60),1),IF($AD60&gt;0,INDEX(BB$7:BB$106,$AD60),1),IF($AE60&gt;0,INDEX(BB$7:BB$106,$AE60),1),IF($AF60&gt;0,INDEX(BB$7:BB$106,$AF60),1),IF($AG60&gt;0,INDEX(BB$7:BB$106,$AG60),1),IF($AH60&gt;0,INDEX(BB$7:BB$106,$AH60),1),IF($AI60&gt;0,INDEX(BB$7:BB$106,$AI60),1),IF($AJ60&gt;0,INDEX(BB$7:BB$106,$AJ60),1))))</ns0:f>
        <ns0:v>1</ns0:v>
      </ns0:c>
      <ns0:c r="BD60" t="n">
        <ns0:f>IF($A60="",1,IF(BC60=1,1,--AND(IF($AC60&gt;0,INDEX(BC$7:BC$106,$AC60),1),IF($AD60&gt;0,INDEX(BC$7:BC$106,$AD60),1),IF($AE60&gt;0,INDEX(BC$7:BC$106,$AE60),1),IF($AF60&gt;0,INDEX(BC$7:BC$106,$AF60),1),IF($AG60&gt;0,INDEX(BC$7:BC$106,$AG60),1),IF($AH60&gt;0,INDEX(BC$7:BC$106,$AH60),1),IF($AI60&gt;0,INDEX(BC$7:BC$106,$AI60),1),IF($AJ60&gt;0,INDEX(BC$7:BC$106,$AJ60),1))))</ns0:f>
        <ns0:v>1</ns0:v>
      </ns0:c>
      <ns0:c r="BE60" t="n">
        <ns0:f>IF($A60="",1,IF(BD60=1,1,--AND(IF($AC60&gt;0,INDEX(BD$7:BD$106,$AC60),1),IF($AD60&gt;0,INDEX(BD$7:BD$106,$AD60),1),IF($AE60&gt;0,INDEX(BD$7:BD$106,$AE60),1),IF($AF60&gt;0,INDEX(BD$7:BD$106,$AF60),1),IF($AG60&gt;0,INDEX(BD$7:BD$106,$AG60),1),IF($AH60&gt;0,INDEX(BD$7:BD$106,$AH60),1),IF($AI60&gt;0,INDEX(BD$7:BD$106,$AI60),1),IF($AJ60&gt;0,INDEX(BD$7:BD$106,$AJ60),1))))</ns0:f>
        <ns0:v>1</ns0:v>
      </ns0:c>
      <ns0:c r="BF60" t="n">
        <ns0:f>IF($A60="",1,IF(BE60=1,1,--AND(IF($AC60&gt;0,INDEX(BE$7:BE$106,$AC60),1),IF($AD60&gt;0,INDEX(BE$7:BE$106,$AD60),1),IF($AE60&gt;0,INDEX(BE$7:BE$106,$AE60),1),IF($AF60&gt;0,INDEX(BE$7:BE$106,$AF60),1),IF($AG60&gt;0,INDEX(BE$7:BE$106,$AG60),1),IF($AH60&gt;0,INDEX(BE$7:BE$106,$AH60),1),IF($AI60&gt;0,INDEX(BE$7:BE$106,$AI60),1),IF($AJ60&gt;0,INDEX(BE$7:BE$106,$AJ60),1))))</ns0:f>
        <ns0:v>1</ns0:v>
      </ns0:c>
      <ns0:c r="BG60" t="n">
        <ns0:f>IF($A60="",1,IF(BF60=1,1,--AND(IF($AC60&gt;0,INDEX(BF$7:BF$106,$AC60),1),IF($AD60&gt;0,INDEX(BF$7:BF$106,$AD60),1),IF($AE60&gt;0,INDEX(BF$7:BF$106,$AE60),1),IF($AF60&gt;0,INDEX(BF$7:BF$106,$AF60),1),IF($AG60&gt;0,INDEX(BF$7:BF$106,$AG60),1),IF($AH60&gt;0,INDEX(BF$7:BF$106,$AH60),1),IF($AI60&gt;0,INDEX(BF$7:BF$106,$AI60),1),IF($AJ60&gt;0,INDEX(BF$7:BF$106,$AJ60),1))))</ns0:f>
        <ns0:v>1</ns0:v>
      </ns0:c>
      <ns0:c r="BH60" t="n">
        <ns0:f>IF($A60="",1,IF(BG60=1,1,--AND(IF($AC60&gt;0,INDEX(BG$7:BG$106,$AC60),1),IF($AD60&gt;0,INDEX(BG$7:BG$106,$AD60),1),IF($AE60&gt;0,INDEX(BG$7:BG$106,$AE60),1),IF($AF60&gt;0,INDEX(BG$7:BG$106,$AF60),1),IF($AG60&gt;0,INDEX(BG$7:BG$106,$AG60),1),IF($AH60&gt;0,INDEX(BG$7:BG$106,$AH60),1),IF($AI60&gt;0,INDEX(BG$7:BG$106,$AI60),1),IF($AJ60&gt;0,INDEX(BG$7:BG$106,$AJ60),1))))</ns0:f>
        <ns0:v>1</ns0:v>
      </ns0:c>
      <ns0:c r="BI60" t="n">
        <ns0:f>IF($A60="",1,IF(BH60=1,1,--AND(IF($AC60&gt;0,INDEX(BH$7:BH$106,$AC60),1),IF($AD60&gt;0,INDEX(BH$7:BH$106,$AD60),1),IF($AE60&gt;0,INDEX(BH$7:BH$106,$AE60),1),IF($AF60&gt;0,INDEX(BH$7:BH$106,$AF60),1),IF($AG60&gt;0,INDEX(BH$7:BH$106,$AG60),1),IF($AH60&gt;0,INDEX(BH$7:BH$106,$AH60),1),IF($AI60&gt;0,INDEX(BH$7:BH$106,$AI60),1),IF($AJ60&gt;0,INDEX(BH$7:BH$106,$AJ60),1))))</ns0:f>
        <ns0:v>1</ns0:v>
      </ns0:c>
      <ns0:c r="BJ60" t="n">
        <ns0:f>IF($A60="",1,IF(BI60=1,1,--AND(IF($AC60&gt;0,INDEX(BI$7:BI$106,$AC60),1),IF($AD60&gt;0,INDEX(BI$7:BI$106,$AD60),1),IF($AE60&gt;0,INDEX(BI$7:BI$106,$AE60),1),IF($AF60&gt;0,INDEX(BI$7:BI$106,$AF60),1),IF($AG60&gt;0,INDEX(BI$7:BI$106,$AG60),1),IF($AH60&gt;0,INDEX(BI$7:BI$106,$AH60),1),IF($AI60&gt;0,INDEX(BI$7:BI$106,$AI60),1),IF($AJ60&gt;0,INDEX(BI$7:BI$106,$AJ60),1))))</ns0:f>
        <ns0:v>1</ns0:v>
      </ns0:c>
      <ns0:c r="BK60" t="n">
        <ns0:f>IF($A60="",1,IF(BJ60=1,1,--AND(IF($AC60&gt;0,INDEX(BJ$7:BJ$106,$AC60),1),IF($AD60&gt;0,INDEX(BJ$7:BJ$106,$AD60),1),IF($AE60&gt;0,INDEX(BJ$7:BJ$106,$AE60),1),IF($AF60&gt;0,INDEX(BJ$7:BJ$106,$AF60),1),IF($AG60&gt;0,INDEX(BJ$7:BJ$106,$AG60),1),IF($AH60&gt;0,INDEX(BJ$7:BJ$106,$AH60),1),IF($AI60&gt;0,INDEX(BJ$7:BJ$106,$AI60),1),IF($AJ60&gt;0,INDEX(BJ$7:BJ$106,$AJ60),1))))</ns0:f>
        <ns0:v>1</ns0:v>
      </ns0:c>
      <ns0:c r="BL60" t="n">
        <ns0:f>IF($A60="",1,IF(BK60=1,1,--AND(IF($AC60&gt;0,INDEX(BK$7:BK$106,$AC60),1),IF($AD60&gt;0,INDEX(BK$7:BK$106,$AD60),1),IF($AE60&gt;0,INDEX(BK$7:BK$106,$AE60),1),IF($AF60&gt;0,INDEX(BK$7:BK$106,$AF60),1),IF($AG60&gt;0,INDEX(BK$7:BK$106,$AG60),1),IF($AH60&gt;0,INDEX(BK$7:BK$106,$AH60),1),IF($AI60&gt;0,INDEX(BK$7:BK$106,$AI60),1),IF($AJ60&gt;0,INDEX(BK$7:BK$106,$AJ60),1))))</ns0:f>
        <ns0:v>1</ns0:v>
      </ns0:c>
      <ns0:c r="BM60" t="n">
        <ns0:f>IF($A60="",1,IF(BL60=1,1,--AND(IF($AC60&gt;0,INDEX(BL$7:BL$106,$AC60),1),IF($AD60&gt;0,INDEX(BL$7:BL$106,$AD60),1),IF($AE60&gt;0,INDEX(BL$7:BL$106,$AE60),1),IF($AF60&gt;0,INDEX(BL$7:BL$106,$AF60),1),IF($AG60&gt;0,INDEX(BL$7:BL$106,$AG60),1),IF($AH60&gt;0,INDEX(BL$7:BL$106,$AH60),1),IF($AI60&gt;0,INDEX(BL$7:BL$106,$AI60),1),IF($AJ60&gt;0,INDEX(BL$7:BL$106,$AJ60),1))))</ns0:f>
        <ns0:v>1</ns0:v>
      </ns0:c>
      <ns0:c r="BN60" t="n">
        <ns0:f>IF($A60="",1,IF(BM60=1,1,--AND(IF($AC60&gt;0,INDEX(BM$7:BM$106,$AC60),1),IF($AD60&gt;0,INDEX(BM$7:BM$106,$AD60),1),IF($AE60&gt;0,INDEX(BM$7:BM$106,$AE60),1),IF($AF60&gt;0,INDEX(BM$7:BM$106,$AF60),1),IF($AG60&gt;0,INDEX(BM$7:BM$106,$AG60),1),IF($AH60&gt;0,INDEX(BM$7:BM$106,$AH60),1),IF($AI60&gt;0,INDEX(BM$7:BM$106,$AI60),1),IF($AJ60&gt;0,INDEX(BM$7:BM$106,$AJ60),1))))</ns0:f>
        <ns0:v>1</ns0:v>
      </ns0:c>
      <ns0:c r="BO60" t="n">
        <ns0:f>IF($A60="",1,IF(BN60=1,1,--AND(IF($AC60&gt;0,INDEX(BN$7:BN$106,$AC60),1),IF($AD60&gt;0,INDEX(BN$7:BN$106,$AD60),1),IF($AE60&gt;0,INDEX(BN$7:BN$106,$AE60),1),IF($AF60&gt;0,INDEX(BN$7:BN$106,$AF60),1),IF($AG60&gt;0,INDEX(BN$7:BN$106,$AG60),1),IF($AH60&gt;0,INDEX(BN$7:BN$106,$AH60),1),IF($AI60&gt;0,INDEX(BN$7:BN$106,$AI60),1),IF($AJ60&gt;0,INDEX(BN$7:BN$106,$AJ60),1))))</ns0:f>
        <ns0:v>1</ns0:v>
      </ns0:c>
      <ns0:c r="BP60" t="n">
        <ns0:f>IF($A60="",1,IF(BO60=1,1,--AND(IF($AC60&gt;0,INDEX(BO$7:BO$106,$AC60),1),IF($AD60&gt;0,INDEX(BO$7:BO$106,$AD60),1),IF($AE60&gt;0,INDEX(BO$7:BO$106,$AE60),1),IF($AF60&gt;0,INDEX(BO$7:BO$106,$AF60),1),IF($AG60&gt;0,INDEX(BO$7:BO$106,$AG60),1),IF($AH60&gt;0,INDEX(BO$7:BO$106,$AH60),1),IF($AI60&gt;0,INDEX(BO$7:BO$106,$AI60),1),IF($AJ60&gt;0,INDEX(BO$7:BO$106,$AJ60),1))))</ns0:f>
        <ns0:v>1</ns0:v>
      </ns0:c>
      <ns0:c r="BQ60" t="n">
        <ns0:f>IF($A60="",1,IF(BP60=1,1,--AND(IF($AC60&gt;0,INDEX(BP$7:BP$106,$AC60),1),IF($AD60&gt;0,INDEX(BP$7:BP$106,$AD60),1),IF($AE60&gt;0,INDEX(BP$7:BP$106,$AE60),1),IF($AF60&gt;0,INDEX(BP$7:BP$106,$AF60),1),IF($AG60&gt;0,INDEX(BP$7:BP$106,$AG60),1),IF($AH60&gt;0,INDEX(BP$7:BP$106,$AH60),1),IF($AI60&gt;0,INDEX(BP$7:BP$106,$AI60),1),IF($AJ60&gt;0,INDEX(BP$7:BP$106,$AJ60),1))))</ns0:f>
        <ns0:v>1</ns0:v>
      </ns0:c>
      <ns0:c r="BR60" t="n">
        <ns0:f>IF($A60="",1,IF(BQ60=1,1,--AND(IF($AC60&gt;0,INDEX(BQ$7:BQ$106,$AC60),1),IF($AD60&gt;0,INDEX(BQ$7:BQ$106,$AD60),1),IF($AE60&gt;0,INDEX(BQ$7:BQ$106,$AE60),1),IF($AF60&gt;0,INDEX(BQ$7:BQ$106,$AF60),1),IF($AG60&gt;0,INDEX(BQ$7:BQ$106,$AG60),1),IF($AH60&gt;0,INDEX(BQ$7:BQ$106,$AH60),1),IF($AI60&gt;0,INDEX(BQ$7:BQ$106,$AI60),1),IF($AJ60&gt;0,INDEX(BQ$7:BQ$106,$AJ60),1))))</ns0:f>
        <ns0:v>1</ns0:v>
      </ns0:c>
      <ns0:c r="BS60" t="n">
        <ns0:f>IF($A60="",1,IF(BR60=1,1,--AND(IF($AC60&gt;0,INDEX(BR$7:BR$106,$AC60),1),IF($AD60&gt;0,INDEX(BR$7:BR$106,$AD60),1),IF($AE60&gt;0,INDEX(BR$7:BR$106,$AE60),1),IF($AF60&gt;0,INDEX(BR$7:BR$106,$AF60),1),IF($AG60&gt;0,INDEX(BR$7:BR$106,$AG60),1),IF($AH60&gt;0,INDEX(BR$7:BR$106,$AH60),1),IF($AI60&gt;0,INDEX(BR$7:BR$106,$AI60),1),IF($AJ60&gt;0,INDEX(BR$7:BR$106,$AJ60),1))))</ns0:f>
        <ns0:v>1</ns0:v>
      </ns0:c>
      <ns0:c r="BT60" t="n">
        <ns0:f>IF($A60="",1,IF(BS60=1,1,--AND(IF($AC60&gt;0,INDEX(BS$7:BS$106,$AC60),1),IF($AD60&gt;0,INDEX(BS$7:BS$106,$AD60),1),IF($AE60&gt;0,INDEX(BS$7:BS$106,$AE60),1),IF($AF60&gt;0,INDEX(BS$7:BS$106,$AF60),1),IF($AG60&gt;0,INDEX(BS$7:BS$106,$AG60),1),IF($AH60&gt;0,INDEX(BS$7:BS$106,$AH60),1),IF($AI60&gt;0,INDEX(BS$7:BS$106,$AI60),1),IF($AJ60&gt;0,INDEX(BS$7:BS$106,$AJ60),1))))</ns0:f>
        <ns0:v>1</ns0:v>
      </ns0:c>
      <ns0:c r="BU60" t="n">
        <ns0:f>IF($A60="",1,IF(BT60=1,1,--AND(IF($AC60&gt;0,INDEX(BT$7:BT$106,$AC60),1),IF($AD60&gt;0,INDEX(BT$7:BT$106,$AD60),1),IF($AE60&gt;0,INDEX(BT$7:BT$106,$AE60),1),IF($AF60&gt;0,INDEX(BT$7:BT$106,$AF60),1),IF($AG60&gt;0,INDEX(BT$7:BT$106,$AG60),1),IF($AH60&gt;0,INDEX(BT$7:BT$106,$AH60),1),IF($AI60&gt;0,INDEX(BT$7:BT$106,$AI60),1),IF($AJ60&gt;0,INDEX(BT$7:BT$106,$AJ60),1))))</ns0:f>
        <ns0:v>1</ns0:v>
      </ns0:c>
      <ns0:c r="BV60" t="n">
        <ns0:f>IF($A60="",1,IF(BU60=1,1,--AND(IF($AC60&gt;0,INDEX(BU$7:BU$106,$AC60),1),IF($AD60&gt;0,INDEX(BU$7:BU$106,$AD60),1),IF($AE60&gt;0,INDEX(BU$7:BU$106,$AE60),1),IF($AF60&gt;0,INDEX(BU$7:BU$106,$AF60),1),IF($AG60&gt;0,INDEX(BU$7:BU$106,$AG60),1),IF($AH60&gt;0,INDEX(BU$7:BU$106,$AH60),1),IF($AI60&gt;0,INDEX(BU$7:BU$106,$AI60),1),IF($AJ60&gt;0,INDEX(BU$7:BU$106,$AJ60),1))))</ns0:f>
        <ns0:v>1</ns0:v>
      </ns0:c>
      <ns0:c r="BW60" t="n">
        <ns0:f>IF($A60="",1,IF(BV60=1,1,--AND(IF($AC60&gt;0,INDEX(BV$7:BV$106,$AC60),1),IF($AD60&gt;0,INDEX(BV$7:BV$106,$AD60),1),IF($AE60&gt;0,INDEX(BV$7:BV$106,$AE60),1),IF($AF60&gt;0,INDEX(BV$7:BV$106,$AF60),1),IF($AG60&gt;0,INDEX(BV$7:BV$106,$AG60),1),IF($AH60&gt;0,INDEX(BV$7:BV$106,$AH60),1),IF($AI60&gt;0,INDEX(BV$7:BV$106,$AI60),1),IF($AJ60&gt;0,INDEX(BV$7:BV$106,$AJ60),1))))</ns0:f>
        <ns0:v>1</ns0:v>
      </ns0:c>
      <ns0:c r="BX60" t="n">
        <ns0:f>IF($A60="",1,IF(BW60=1,1,--AND(IF($AC60&gt;0,INDEX(BW$7:BW$106,$AC60),1),IF($AD60&gt;0,INDEX(BW$7:BW$106,$AD60),1),IF($AE60&gt;0,INDEX(BW$7:BW$106,$AE60),1),IF($AF60&gt;0,INDEX(BW$7:BW$106,$AF60),1),IF($AG60&gt;0,INDEX(BW$7:BW$106,$AG60),1),IF($AH60&gt;0,INDEX(BW$7:BW$106,$AH60),1),IF($AI60&gt;0,INDEX(BW$7:BW$106,$AI60),1),IF($AJ60&gt;0,INDEX(BW$7:BW$106,$AJ60),1))))</ns0:f>
        <ns0:v>1</ns0:v>
      </ns0:c>
      <ns0:c r="BY60" t="n">
        <ns0:f>IF($A60="",1,IF(BX60=1,1,--AND(IF($AC60&gt;0,INDEX(BX$7:BX$106,$AC60),1),IF($AD60&gt;0,INDEX(BX$7:BX$106,$AD60),1),IF($AE60&gt;0,INDEX(BX$7:BX$106,$AE60),1),IF($AF60&gt;0,INDEX(BX$7:BX$106,$AF60),1),IF($AG60&gt;0,INDEX(BX$7:BX$106,$AG60),1),IF($AH60&gt;0,INDEX(BX$7:BX$106,$AH60),1),IF($AI60&gt;0,INDEX(BX$7:BX$106,$AI60),1),IF($AJ60&gt;0,INDEX(BX$7:BX$106,$AJ60),1))))</ns0:f>
        <ns0:v>1</ns0:v>
      </ns0:c>
      <ns0:c r="BZ60" t="n">
        <ns0:f>IF($A60="",1,IF(BY60=1,1,--AND(IF($AC60&gt;0,INDEX(BY$7:BY$106,$AC60),1),IF($AD60&gt;0,INDEX(BY$7:BY$106,$AD60),1),IF($AE60&gt;0,INDEX(BY$7:BY$106,$AE60),1),IF($AF60&gt;0,INDEX(BY$7:BY$106,$AF60),1),IF($AG60&gt;0,INDEX(BY$7:BY$106,$AG60),1),IF($AH60&gt;0,INDEX(BY$7:BY$106,$AH60),1),IF($AI60&gt;0,INDEX(BY$7:BY$106,$AI60),1),IF($AJ60&gt;0,INDEX(BY$7:BY$106,$AJ60),1))))</ns0:f>
        <ns0:v>1</ns0:v>
      </ns0:c>
      <ns0:c r="CA60" t="n">
        <ns0:f>IF($A60="",1,IF(BZ60=1,1,--AND(IF($AC60&gt;0,INDEX(BZ$7:BZ$106,$AC60),1),IF($AD60&gt;0,INDEX(BZ$7:BZ$106,$AD60),1),IF($AE60&gt;0,INDEX(BZ$7:BZ$106,$AE60),1),IF($AF60&gt;0,INDEX(BZ$7:BZ$106,$AF60),1),IF($AG60&gt;0,INDEX(BZ$7:BZ$106,$AG60),1),IF($AH60&gt;0,INDEX(BZ$7:BZ$106,$AH60),1),IF($AI60&gt;0,INDEX(BZ$7:BZ$106,$AI60),1),IF($AJ60&gt;0,INDEX(BZ$7:BZ$106,$AJ60),1))))</ns0:f>
        <ns0:v>1</ns0:v>
      </ns0:c>
      <ns0:c r="CB60" t="n">
        <ns0:f>IF($A60="",1,IF(CA60=1,1,--AND(IF($AC60&gt;0,INDEX(CA$7:CA$106,$AC60),1),IF($AD60&gt;0,INDEX(CA$7:CA$106,$AD60),1),IF($AE60&gt;0,INDEX(CA$7:CA$106,$AE60),1),IF($AF60&gt;0,INDEX(CA$7:CA$106,$AF60),1),IF($AG60&gt;0,INDEX(CA$7:CA$106,$AG60),1),IF($AH60&gt;0,INDEX(CA$7:CA$106,$AH60),1),IF($AI60&gt;0,INDEX(CA$7:CA$106,$AI60),1),IF($AJ60&gt;0,INDEX(CA$7:CA$106,$AJ60),1))))</ns0:f>
        <ns0:v>1</ns0:v>
      </ns0:c>
      <ns0:c r="CC60" t="n">
        <ns0:f>IF($A60="",1,IF(CB60=1,1,--AND(IF($AC60&gt;0,INDEX(CB$7:CB$106,$AC60),1),IF($AD60&gt;0,INDEX(CB$7:CB$106,$AD60),1),IF($AE60&gt;0,INDEX(CB$7:CB$106,$AE60),1),IF($AF60&gt;0,INDEX(CB$7:CB$106,$AF60),1),IF($AG60&gt;0,INDEX(CB$7:CB$106,$AG60),1),IF($AH60&gt;0,INDEX(CB$7:CB$106,$AH60),1),IF($AI60&gt;0,INDEX(CB$7:CB$106,$AI60),1),IF($AJ60&gt;0,INDEX(CB$7:CB$106,$AJ60),1))))</ns0:f>
        <ns0:v>1</ns0:v>
      </ns0:c>
      <ns0:c r="CD60" t="n">
        <ns0:f>IF($A60="",1,IF(CC60=1,1,--AND(IF($AC60&gt;0,INDEX(CC$7:CC$106,$AC60),1),IF($AD60&gt;0,INDEX(CC$7:CC$106,$AD60),1),IF($AE60&gt;0,INDEX(CC$7:CC$106,$AE60),1),IF($AF60&gt;0,INDEX(CC$7:CC$106,$AF60),1),IF($AG60&gt;0,INDEX(CC$7:CC$106,$AG60),1),IF($AH60&gt;0,INDEX(CC$7:CC$106,$AH60),1),IF($AI60&gt;0,INDEX(CC$7:CC$106,$AI60),1),IF($AJ60&gt;0,INDEX(CC$7:CC$106,$AJ60),1))))</ns0:f>
        <ns0:v>1</ns0:v>
      </ns0:c>
      <ns0:c r="CE60" t="n">
        <ns0:f>IF($A60="",1,IF(CD60=1,1,--AND(IF($AC60&gt;0,INDEX(CD$7:CD$106,$AC60),1),IF($AD60&gt;0,INDEX(CD$7:CD$106,$AD60),1),IF($AE60&gt;0,INDEX(CD$7:CD$106,$AE60),1),IF($AF60&gt;0,INDEX(CD$7:CD$106,$AF60),1),IF($AG60&gt;0,INDEX(CD$7:CD$106,$AG60),1),IF($AH60&gt;0,INDEX(CD$7:CD$106,$AH60),1),IF($AI60&gt;0,INDEX(CD$7:CD$106,$AI60),1),IF($AJ60&gt;0,INDEX(CD$7:CD$106,$AJ60),1))))</ns0:f>
        <ns0:v>1</ns0:v>
      </ns0:c>
      <ns0:c r="CF60" t="n">
        <ns0:f>IF($A60="",1,IF(CE60=1,1,--AND(IF($AC60&gt;0,INDEX(CE$7:CE$106,$AC60),1),IF($AD60&gt;0,INDEX(CE$7:CE$106,$AD60),1),IF($AE60&gt;0,INDEX(CE$7:CE$106,$AE60),1),IF($AF60&gt;0,INDEX(CE$7:CE$106,$AF60),1),IF($AG60&gt;0,INDEX(CE$7:CE$106,$AG60),1),IF($AH60&gt;0,INDEX(CE$7:CE$106,$AH60),1),IF($AI60&gt;0,INDEX(CE$7:CE$106,$AI60),1),IF($AJ60&gt;0,INDEX(CE$7:CE$106,$AJ60),1))))</ns0:f>
        <ns0:v>1</ns0:v>
      </ns0:c>
      <ns0:c r="CG60" t="n">
        <ns0:f>IF($A60="",1,IF(CF60=1,1,--AND(IF($AC60&gt;0,INDEX(CF$7:CF$106,$AC60),1),IF($AD60&gt;0,INDEX(CF$7:CF$106,$AD60),1),IF($AE60&gt;0,INDEX(CF$7:CF$106,$AE60),1),IF($AF60&gt;0,INDEX(CF$7:CF$106,$AF60),1),IF($AG60&gt;0,INDEX(CF$7:CF$106,$AG60),1),IF($AH60&gt;0,INDEX(CF$7:CF$106,$AH60),1),IF($AI60&gt;0,INDEX(CF$7:CF$106,$AI60),1),IF($AJ60&gt;0,INDEX(CF$7:CF$106,$AJ60),1))))</ns0:f>
        <ns0:v>1</ns0:v>
      </ns0:c>
      <ns0:c r="CH60" t="n">
        <ns0:f>IF($A60="",1,IF(CG60=1,1,--AND(IF($AC60&gt;0,INDEX(CG$7:CG$106,$AC60),1),IF($AD60&gt;0,INDEX(CG$7:CG$106,$AD60),1),IF($AE60&gt;0,INDEX(CG$7:CG$106,$AE60),1),IF($AF60&gt;0,INDEX(CG$7:CG$106,$AF60),1),IF($AG60&gt;0,INDEX(CG$7:CG$106,$AG60),1),IF($AH60&gt;0,INDEX(CG$7:CG$106,$AH60),1),IF($AI60&gt;0,INDEX(CG$7:CG$106,$AI60),1),IF($AJ60&gt;0,INDEX(CG$7:CG$106,$AJ60),1))))</ns0:f>
        <ns0:v>1</ns0:v>
      </ns0:c>
      <ns0:c r="CI60" t="n">
        <ns0:f>IF($A60="",1,IF(CH60=1,1,--AND(IF($AC60&gt;0,INDEX(CH$7:CH$106,$AC60),1),IF($AD60&gt;0,INDEX(CH$7:CH$106,$AD60),1),IF($AE60&gt;0,INDEX(CH$7:CH$106,$AE60),1),IF($AF60&gt;0,INDEX(CH$7:CH$106,$AF60),1),IF($AG60&gt;0,INDEX(CH$7:CH$106,$AG60),1),IF($AH60&gt;0,INDEX(CH$7:CH$106,$AH60),1),IF($AI60&gt;0,INDEX(CH$7:CH$106,$AI60),1),IF($AJ60&gt;0,INDEX(CH$7:CH$106,$AJ60),1))))</ns0:f>
        <ns0:v>1</ns0:v>
      </ns0:c>
      <ns0:c r="CJ60" t="n">
        <ns0:f>IF($A60="",1,IF(CI60=1,1,--AND(IF($AC60&gt;0,INDEX(CI$7:CI$106,$AC60),1),IF($AD60&gt;0,INDEX(CI$7:CI$106,$AD60),1),IF($AE60&gt;0,INDEX(CI$7:CI$106,$AE60),1),IF($AF60&gt;0,INDEX(CI$7:CI$106,$AF60),1),IF($AG60&gt;0,INDEX(CI$7:CI$106,$AG60),1),IF($AH60&gt;0,INDEX(CI$7:CI$106,$AH60),1),IF($AI60&gt;0,INDEX(CI$7:CI$106,$AI60),1),IF($AJ60&gt;0,INDEX(CI$7:CI$106,$AJ60),1))))</ns0:f>
        <ns0:v>1</ns0:v>
      </ns0:c>
      <ns0:c r="CK60" t="n">
        <ns0:f>IF($A60="",1,IF(CJ60=1,1,--AND(IF($AC60&gt;0,INDEX(CJ$7:CJ$106,$AC60),1),IF($AD60&gt;0,INDEX(CJ$7:CJ$106,$AD60),1),IF($AE60&gt;0,INDEX(CJ$7:CJ$106,$AE60),1),IF($AF60&gt;0,INDEX(CJ$7:CJ$106,$AF60),1),IF($AG60&gt;0,INDEX(CJ$7:CJ$106,$AG60),1),IF($AH60&gt;0,INDEX(CJ$7:CJ$106,$AH60),1),IF($AI60&gt;0,INDEX(CJ$7:CJ$106,$AI60),1),IF($AJ60&gt;0,INDEX(CJ$7:CJ$106,$AJ60),1))))</ns0:f>
        <ns0:v>1</ns0:v>
      </ns0:c>
      <ns0:c r="CL60" t="n">
        <ns0:f>IF($A60="",1,IF(CK60=1,1,--AND(IF($AC60&gt;0,INDEX(CK$7:CK$106,$AC60),1),IF($AD60&gt;0,INDEX(CK$7:CK$106,$AD60),1),IF($AE60&gt;0,INDEX(CK$7:CK$106,$AE60),1),IF($AF60&gt;0,INDEX(CK$7:CK$106,$AF60),1),IF($AG60&gt;0,INDEX(CK$7:CK$106,$AG60),1),IF($AH60&gt;0,INDEX(CK$7:CK$106,$AH60),1),IF($AI60&gt;0,INDEX(CK$7:CK$106,$AI60),1),IF($AJ60&gt;0,INDEX(CK$7:CK$106,$AJ60),1))))</ns0:f>
        <ns0:v>1</ns0:v>
      </ns0:c>
      <ns0:c r="CM60" t="n">
        <ns0:f>IF($A60="",1,IF(CL60=1,1,--AND(IF($AC60&gt;0,INDEX(CL$7:CL$106,$AC60),1),IF($AD60&gt;0,INDEX(CL$7:CL$106,$AD60),1),IF($AE60&gt;0,INDEX(CL$7:CL$106,$AE60),1),IF($AF60&gt;0,INDEX(CL$7:CL$106,$AF60),1),IF($AG60&gt;0,INDEX(CL$7:CL$106,$AG60),1),IF($AH60&gt;0,INDEX(CL$7:CL$106,$AH60),1),IF($AI60&gt;0,INDEX(CL$7:CL$106,$AI60),1),IF($AJ60&gt;0,INDEX(CL$7:CL$106,$AJ60),1))))</ns0:f>
        <ns0:v>1</ns0:v>
      </ns0:c>
      <ns0:c r="CN60" t="n">
        <ns0:f>IF($A60="",1,IF(CM60=1,1,--AND(IF($AC60&gt;0,INDEX(CM$7:CM$106,$AC60),1),IF($AD60&gt;0,INDEX(CM$7:CM$106,$AD60),1),IF($AE60&gt;0,INDEX(CM$7:CM$106,$AE60),1),IF($AF60&gt;0,INDEX(CM$7:CM$106,$AF60),1),IF($AG60&gt;0,INDEX(CM$7:CM$106,$AG60),1),IF($AH60&gt;0,INDEX(CM$7:CM$106,$AH60),1),IF($AI60&gt;0,INDEX(CM$7:CM$106,$AI60),1),IF($AJ60&gt;0,INDEX(CM$7:CM$106,$AJ60),1))))</ns0:f>
        <ns0:v>1</ns0:v>
      </ns0:c>
      <ns0:c r="CO60" t="n">
        <ns0:f>IF($A60="",1,IF(CN60=1,1,--AND(IF($AC60&gt;0,INDEX(CN$7:CN$106,$AC60),1),IF($AD60&gt;0,INDEX(CN$7:CN$106,$AD60),1),IF($AE60&gt;0,INDEX(CN$7:CN$106,$AE60),1),IF($AF60&gt;0,INDEX(CN$7:CN$106,$AF60),1),IF($AG60&gt;0,INDEX(CN$7:CN$106,$AG60),1),IF($AH60&gt;0,INDEX(CN$7:CN$106,$AH60),1),IF($AI60&gt;0,INDEX(CN$7:CN$106,$AI60),1),IF($AJ60&gt;0,INDEX(CN$7:CN$106,$AJ60),1))))</ns0:f>
        <ns0:v>1</ns0:v>
      </ns0:c>
      <ns0:c r="CP60" t="n">
        <ns0:f>IF($A60="",1,IF(CO60=1,1,--AND(IF($AC60&gt;0,INDEX(CO$7:CO$106,$AC60),1),IF($AD60&gt;0,INDEX(CO$7:CO$106,$AD60),1),IF($AE60&gt;0,INDEX(CO$7:CO$106,$AE60),1),IF($AF60&gt;0,INDEX(CO$7:CO$106,$AF60),1),IF($AG60&gt;0,INDEX(CO$7:CO$106,$AG60),1),IF($AH60&gt;0,INDEX(CO$7:CO$106,$AH60),1),IF($AI60&gt;0,INDEX(CO$7:CO$106,$AI60),1),IF($AJ60&gt;0,INDEX(CO$7:CO$106,$AJ60),1))))</ns0:f>
        <ns0:v>1</ns0:v>
      </ns0:c>
      <ns0:c r="CQ60" t="n">
        <ns0:f>IF($A60="",1,IF(CP60=1,1,--AND(IF($AC60&gt;0,INDEX(CP$7:CP$106,$AC60),1),IF($AD60&gt;0,INDEX(CP$7:CP$106,$AD60),1),IF($AE60&gt;0,INDEX(CP$7:CP$106,$AE60),1),IF($AF60&gt;0,INDEX(CP$7:CP$106,$AF60),1),IF($AG60&gt;0,INDEX(CP$7:CP$106,$AG60),1),IF($AH60&gt;0,INDEX(CP$7:CP$106,$AH60),1),IF($AI60&gt;0,INDEX(CP$7:CP$106,$AI60),1),IF($AJ60&gt;0,INDEX(CP$7:CP$106,$AJ60),1))))</ns0:f>
        <ns0:v>1</ns0:v>
      </ns0:c>
      <ns0:c r="CR60" t="n">
        <ns0:f>IF($A60="",1,IF(CQ60=1,1,--AND(IF($AC60&gt;0,INDEX(CQ$7:CQ$106,$AC60),1),IF($AD60&gt;0,INDEX(CQ$7:CQ$106,$AD60),1),IF($AE60&gt;0,INDEX(CQ$7:CQ$106,$AE60),1),IF($AF60&gt;0,INDEX(CQ$7:CQ$106,$AF60),1),IF($AG60&gt;0,INDEX(CQ$7:CQ$106,$AG60),1),IF($AH60&gt;0,INDEX(CQ$7:CQ$106,$AH60),1),IF($AI60&gt;0,INDEX(CQ$7:CQ$106,$AI60),1),IF($AJ60&gt;0,INDEX(CQ$7:CQ$106,$AJ60),1))))</ns0:f>
        <ns0:v>1</ns0:v>
      </ns0:c>
      <ns0:c r="CS60" t="n">
        <ns0:f>IF($A60="",1,IF(CR60=1,1,--AND(IF($AC60&gt;0,INDEX(CR$7:CR$106,$AC60),1),IF($AD60&gt;0,INDEX(CR$7:CR$106,$AD60),1),IF($AE60&gt;0,INDEX(CR$7:CR$106,$AE60),1),IF($AF60&gt;0,INDEX(CR$7:CR$106,$AF60),1),IF($AG60&gt;0,INDEX(CR$7:CR$106,$AG60),1),IF($AH60&gt;0,INDEX(CR$7:CR$106,$AH60),1),IF($AI60&gt;0,INDEX(CR$7:CR$106,$AI60),1),IF($AJ60&gt;0,INDEX(CR$7:CR$106,$AJ60),1))))</ns0:f>
        <ns0:v>1</ns0:v>
      </ns0:c>
      <ns0:c r="CT60" t="n">
        <ns0:f>IF($A60="",1,IF(CS60=1,1,--AND(IF($AC60&gt;0,INDEX(CS$7:CS$106,$AC60),1),IF($AD60&gt;0,INDEX(CS$7:CS$106,$AD60),1),IF($AE60&gt;0,INDEX(CS$7:CS$106,$AE60),1),IF($AF60&gt;0,INDEX(CS$7:CS$106,$AF60),1),IF($AG60&gt;0,INDEX(CS$7:CS$106,$AG60),1),IF($AH60&gt;0,INDEX(CS$7:CS$106,$AH60),1),IF($AI60&gt;0,INDEX(CS$7:CS$106,$AI60),1),IF($AJ60&gt;0,INDEX(CS$7:CS$106,$AJ60),1))))</ns0:f>
        <ns0:v>1</ns0:v>
      </ns0:c>
      <ns0:c r="CU60" t="n">
        <ns0:f>IF($A60="",1,IF(CT60=1,1,--AND(IF($AC60&gt;0,INDEX(CT$7:CT$106,$AC60),1),IF($AD60&gt;0,INDEX(CT$7:CT$106,$AD60),1),IF($AE60&gt;0,INDEX(CT$7:CT$106,$AE60),1),IF($AF60&gt;0,INDEX(CT$7:CT$106,$AF60),1),IF($AG60&gt;0,INDEX(CT$7:CT$106,$AG60),1),IF($AH60&gt;0,INDEX(CT$7:CT$106,$AH60),1),IF($AI60&gt;0,INDEX(CT$7:CT$106,$AI60),1),IF($AJ60&gt;0,INDEX(CT$7:CT$106,$AJ60),1))))</ns0:f>
        <ns0:v>1</ns0:v>
      </ns0:c>
      <ns0:c r="CV60" t="n">
        <ns0:f>IF($A60="",1,IF(CU60=1,1,--AND(IF($AC60&gt;0,INDEX(CU$7:CU$106,$AC60),1),IF($AD60&gt;0,INDEX(CU$7:CU$106,$AD60),1),IF($AE60&gt;0,INDEX(CU$7:CU$106,$AE60),1),IF($AF60&gt;0,INDEX(CU$7:CU$106,$AF60),1),IF($AG60&gt;0,INDEX(CU$7:CU$106,$AG60),1),IF($AH60&gt;0,INDEX(CU$7:CU$106,$AH60),1),IF($AI60&gt;0,INDEX(CU$7:CU$106,$AI60),1),IF($AJ60&gt;0,INDEX(CU$7:CU$106,$AJ60),1))))</ns0:f>
        <ns0:v>1</ns0:v>
      </ns0:c>
      <ns0:c r="CW60" t="n">
        <ns0:f>IF($A60="",1,IF(CV60=1,1,--AND(IF($AC60&gt;0,INDEX(CV$7:CV$106,$AC60),1),IF($AD60&gt;0,INDEX(CV$7:CV$106,$AD60),1),IF($AE60&gt;0,INDEX(CV$7:CV$106,$AE60),1),IF($AF60&gt;0,INDEX(CV$7:CV$106,$AF60),1),IF($AG60&gt;0,INDEX(CV$7:CV$106,$AG60),1),IF($AH60&gt;0,INDEX(CV$7:CV$106,$AH60),1),IF($AI60&gt;0,INDEX(CV$7:CV$106,$AI60),1),IF($AJ60&gt;0,INDEX(CV$7:CV$106,$AJ60),1))))</ns0:f>
        <ns0:v>1</ns0:v>
      </ns0:c>
      <ns0:c r="CX60" t="n">
        <ns0:f>IF($A60="",1,IF(CW60=1,1,--AND(IF($AC60&gt;0,INDEX(CW$7:CW$106,$AC60),1),IF($AD60&gt;0,INDEX(CW$7:CW$106,$AD60),1),IF($AE60&gt;0,INDEX(CW$7:CW$106,$AE60),1),IF($AF60&gt;0,INDEX(CW$7:CW$106,$AF60),1),IF($AG60&gt;0,INDEX(CW$7:CW$106,$AG60),1),IF($AH60&gt;0,INDEX(CW$7:CW$106,$AH60),1),IF($AI60&gt;0,INDEX(CW$7:CW$106,$AI60),1),IF($AJ60&gt;0,INDEX(CW$7:CW$106,$AJ60),1))))</ns0:f>
        <ns0:v>1</ns0:v>
      </ns0:c>
      <ns0:c r="CY60" t="n">
        <ns0:f>IF($A60="",1,IF(CX60=1,1,--AND(IF($AC60&gt;0,INDEX(CX$7:CX$106,$AC60),1),IF($AD60&gt;0,INDEX(CX$7:CX$106,$AD60),1),IF($AE60&gt;0,INDEX(CX$7:CX$106,$AE60),1),IF($AF60&gt;0,INDEX(CX$7:CX$106,$AF60),1),IF($AG60&gt;0,INDEX(CX$7:CX$106,$AG60),1),IF($AH60&gt;0,INDEX(CX$7:CX$106,$AH60),1),IF($AI60&gt;0,INDEX(CX$7:CX$106,$AI60),1),IF($AJ60&gt;0,INDEX(CX$7:CX$106,$AJ60),1))))</ns0:f>
        <ns0:v>1</ns0:v>
      </ns0:c>
      <ns0:c r="CZ60" t="n">
        <ns0:f>IF($A60="",1,IF(CY60=1,1,--AND(IF($AC60&gt;0,INDEX(CY$7:CY$106,$AC60),1),IF($AD60&gt;0,INDEX(CY$7:CY$106,$AD60),1),IF($AE60&gt;0,INDEX(CY$7:CY$106,$AE60),1),IF($AF60&gt;0,INDEX(CY$7:CY$106,$AF60),1),IF($AG60&gt;0,INDEX(CY$7:CY$106,$AG60),1),IF($AH60&gt;0,INDEX(CY$7:CY$106,$AH60),1),IF($AI60&gt;0,INDEX(CY$7:CY$106,$AI60),1),IF($AJ60&gt;0,INDEX(CY$7:CY$106,$AJ60),1))))</ns0:f>
        <ns0:v>1</ns0:v>
      </ns0:c>
      <ns0:c r="DA60" t="n">
        <ns0:f>IF($A60="",1,IF(CZ60=1,1,--AND(IF($AC60&gt;0,INDEX(CZ$7:CZ$106,$AC60),1),IF($AD60&gt;0,INDEX(CZ$7:CZ$106,$AD60),1),IF($AE60&gt;0,INDEX(CZ$7:CZ$106,$AE60),1),IF($AF60&gt;0,INDEX(CZ$7:CZ$106,$AF60),1),IF($AG60&gt;0,INDEX(CZ$7:CZ$106,$AG60),1),IF($AH60&gt;0,INDEX(CZ$7:CZ$106,$AH60),1),IF($AI60&gt;0,INDEX(CZ$7:CZ$106,$AI60),1),IF($AJ60&gt;0,INDEX(CZ$7:CZ$106,$AJ60),1))))</ns0:f>
        <ns0:v>1</ns0:v>
      </ns0:c>
      <ns0:c r="DB60" t="n">
        <ns0:f>IF($A60="",1,IF(DA60=1,1,--AND(IF($AC60&gt;0,INDEX(DA$7:DA$106,$AC60),1),IF($AD60&gt;0,INDEX(DA$7:DA$106,$AD60),1),IF($AE60&gt;0,INDEX(DA$7:DA$106,$AE60),1),IF($AF60&gt;0,INDEX(DA$7:DA$106,$AF60),1),IF($AG60&gt;0,INDEX(DA$7:DA$106,$AG60),1),IF($AH60&gt;0,INDEX(DA$7:DA$106,$AH60),1),IF($AI60&gt;0,INDEX(DA$7:DA$106,$AI60),1),IF($AJ60&gt;0,INDEX(DA$7:DA$106,$AJ60),1))))</ns0:f>
        <ns0:v>1</ns0:v>
      </ns0:c>
      <ns0:c r="DC60" t="n">
        <ns0:f>IF($A60="",1,IF(DB60=1,1,--AND(IF($AC60&gt;0,INDEX(DB$7:DB$106,$AC60),1),IF($AD60&gt;0,INDEX(DB$7:DB$106,$AD60),1),IF($AE60&gt;0,INDEX(DB$7:DB$106,$AE60),1),IF($AF60&gt;0,INDEX(DB$7:DB$106,$AF60),1),IF($AG60&gt;0,INDEX(DB$7:DB$106,$AG60),1),IF($AH60&gt;0,INDEX(DB$7:DB$106,$AH60),1),IF($AI60&gt;0,INDEX(DB$7:DB$106,$AI60),1),IF($AJ60&gt;0,INDEX(DB$7:DB$106,$AJ60),1))))</ns0:f>
        <ns0:v>1</ns0:v>
      </ns0:c>
      <ns0:c r="DD60" t="n">
        <ns0:f>IF($A60="",1,IF(DC60=1,1,--AND(IF($AC60&gt;0,INDEX(DC$7:DC$106,$AC60),1),IF($AD60&gt;0,INDEX(DC$7:DC$106,$AD60),1),IF($AE60&gt;0,INDEX(DC$7:DC$106,$AE60),1),IF($AF60&gt;0,INDEX(DC$7:DC$106,$AF60),1),IF($AG60&gt;0,INDEX(DC$7:DC$106,$AG60),1),IF($AH60&gt;0,INDEX(DC$7:DC$106,$AH60),1),IF($AI60&gt;0,INDEX(DC$7:DC$106,$AI60),1),IF($AJ60&gt;0,INDEX(DC$7:DC$106,$AJ60),1))))</ns0:f>
        <ns0:v>1</ns0:v>
      </ns0:c>
      <ns0:c r="DE60" t="n">
        <ns0:f>IF($A60="",1,IF(DD60=1,1,--AND(IF($AC60&gt;0,INDEX(DD$7:DD$106,$AC60),1),IF($AD60&gt;0,INDEX(DD$7:DD$106,$AD60),1),IF($AE60&gt;0,INDEX(DD$7:DD$106,$AE60),1),IF($AF60&gt;0,INDEX(DD$7:DD$106,$AF60),1),IF($AG60&gt;0,INDEX(DD$7:DD$106,$AG60),1),IF($AH60&gt;0,INDEX(DD$7:DD$106,$AH60),1),IF($AI60&gt;0,INDEX(DD$7:DD$106,$AI60),1),IF($AJ60&gt;0,INDEX(DD$7:DD$106,$AJ60),1))))</ns0:f>
        <ns0:v>1</ns0:v>
      </ns0:c>
      <ns0:c r="DF60" t="n">
        <ns0:f>IF($A60="",1,IF(DE60=1,1,--AND(IF($AC60&gt;0,INDEX(DE$7:DE$106,$AC60),1),IF($AD60&gt;0,INDEX(DE$7:DE$106,$AD60),1),IF($AE60&gt;0,INDEX(DE$7:DE$106,$AE60),1),IF($AF60&gt;0,INDEX(DE$7:DE$106,$AF60),1),IF($AG60&gt;0,INDEX(DE$7:DE$106,$AG60),1),IF($AH60&gt;0,INDEX(DE$7:DE$106,$AH60),1),IF($AI60&gt;0,INDEX(DE$7:DE$106,$AI60),1),IF($AJ60&gt;0,INDEX(DE$7:DE$106,$AJ60),1))))</ns0:f>
        <ns0:v>1</ns0:v>
      </ns0:c>
      <ns0:c r="DG60" t="n">
        <ns0:f>IF($A60="",1,IF(DF60=1,1,--AND(IF($AC60&gt;0,INDEX(DF$7:DF$106,$AC60),1),IF($AD60&gt;0,INDEX(DF$7:DF$106,$AD60),1),IF($AE60&gt;0,INDEX(DF$7:DF$106,$AE60),1),IF($AF60&gt;0,INDEX(DF$7:DF$106,$AF60),1),IF($AG60&gt;0,INDEX(DF$7:DF$106,$AG60),1),IF($AH60&gt;0,INDEX(DF$7:DF$106,$AH60),1),IF($AI60&gt;0,INDEX(DF$7:DF$106,$AI60),1),IF($AJ60&gt;0,INDEX(DF$7:DF$106,$AJ60),1))))</ns0:f>
        <ns0:v>1</ns0:v>
      </ns0:c>
      <ns0:c r="DH60" t="n">
        <ns0:f>IF($A60="",1,IF(DG60=1,1,--AND(IF($AC60&gt;0,INDEX(DG$7:DG$106,$AC60),1),IF($AD60&gt;0,INDEX(DG$7:DG$106,$AD60),1),IF($AE60&gt;0,INDEX(DG$7:DG$106,$AE60),1),IF($AF60&gt;0,INDEX(DG$7:DG$106,$AF60),1),IF($AG60&gt;0,INDEX(DG$7:DG$106,$AG60),1),IF($AH60&gt;0,INDEX(DG$7:DG$106,$AH60),1),IF($AI60&gt;0,INDEX(DG$7:DG$106,$AI60),1),IF($AJ60&gt;0,INDEX(DG$7:DG$106,$AJ60),1))))</ns0:f>
        <ns0:v>1</ns0:v>
      </ns0:c>
      <ns0:c r="DI60" t="n">
        <ns0:f>IF($A60="",1,IF(DH60=1,1,--AND(IF($AC60&gt;0,INDEX(DH$7:DH$106,$AC60),1),IF($AD60&gt;0,INDEX(DH$7:DH$106,$AD60),1),IF($AE60&gt;0,INDEX(DH$7:DH$106,$AE60),1),IF($AF60&gt;0,INDEX(DH$7:DH$106,$AF60),1),IF($AG60&gt;0,INDEX(DH$7:DH$106,$AG60),1),IF($AH60&gt;0,INDEX(DH$7:DH$106,$AH60),1),IF($AI60&gt;0,INDEX(DH$7:DH$106,$AI60),1),IF($AJ60&gt;0,INDEX(DH$7:DH$106,$AJ60),1))))</ns0:f>
        <ns0:v>1</ns0:v>
      </ns0:c>
      <ns0:c r="DJ60" t="n">
        <ns0:f>IF($A60="",1,IF(DI60=1,1,--AND(IF($AC60&gt;0,INDEX(DI$7:DI$106,$AC60),1),IF($AD60&gt;0,INDEX(DI$7:DI$106,$AD60),1),IF($AE60&gt;0,INDEX(DI$7:DI$106,$AE60),1),IF($AF60&gt;0,INDEX(DI$7:DI$106,$AF60),1),IF($AG60&gt;0,INDEX(DI$7:DI$106,$AG60),1),IF($AH60&gt;0,INDEX(DI$7:DI$106,$AH60),1),IF($AI60&gt;0,INDEX(DI$7:DI$106,$AI60),1),IF($AJ60&gt;0,INDEX(DI$7:DI$106,$AJ60),1))))</ns0:f>
        <ns0:v>1</ns0:v>
      </ns0:c>
      <ns0:c r="DK60" t="n">
        <ns0:f>IF($A60="",1,IF(DJ60=1,1,--AND(IF($AC60&gt;0,INDEX(DJ$7:DJ$106,$AC60),1),IF($AD60&gt;0,INDEX(DJ$7:DJ$106,$AD60),1),IF($AE60&gt;0,INDEX(DJ$7:DJ$106,$AE60),1),IF($AF60&gt;0,INDEX(DJ$7:DJ$106,$AF60),1),IF($AG60&gt;0,INDEX(DJ$7:DJ$106,$AG60),1),IF($AH60&gt;0,INDEX(DJ$7:DJ$106,$AH60),1),IF($AI60&gt;0,INDEX(DJ$7:DJ$106,$AI60),1),IF($AJ60&gt;0,INDEX(DJ$7:DJ$106,$AJ60),1))))</ns0:f>
        <ns0:v>1</ns0:v>
      </ns0:c>
      <ns0:c r="DL60" t="n">
        <ns0:f>IF($A60="",1,IF(DK60=1,1,--AND(IF($AC60&gt;0,INDEX(DK$7:DK$106,$AC60),1),IF($AD60&gt;0,INDEX(DK$7:DK$106,$AD60),1),IF($AE60&gt;0,INDEX(DK$7:DK$106,$AE60),1),IF($AF60&gt;0,INDEX(DK$7:DK$106,$AF60),1),IF($AG60&gt;0,INDEX(DK$7:DK$106,$AG60),1),IF($AH60&gt;0,INDEX(DK$7:DK$106,$AH60),1),IF($AI60&gt;0,INDEX(DK$7:DK$106,$AI60),1),IF($AJ60&gt;0,INDEX(DK$7:DK$106,$AJ60),1))))</ns0:f>
        <ns0:v>1</ns0:v>
      </ns0:c>
      <ns0:c r="DM60" t="n">
        <ns0:f>IF($A60="",1,IF(DL60=1,1,--AND(IF($AC60&gt;0,INDEX(DL$7:DL$106,$AC60),1),IF($AD60&gt;0,INDEX(DL$7:DL$106,$AD60),1),IF($AE60&gt;0,INDEX(DL$7:DL$106,$AE60),1),IF($AF60&gt;0,INDEX(DL$7:DL$106,$AF60),1),IF($AG60&gt;0,INDEX(DL$7:DL$106,$AG60),1),IF($AH60&gt;0,INDEX(DL$7:DL$106,$AH60),1),IF($AI60&gt;0,INDEX(DL$7:DL$106,$AI60),1),IF($AJ60&gt;0,INDEX(DL$7:DL$106,$AJ60),1))))</ns0:f>
        <ns0:v>1</ns0:v>
      </ns0:c>
      <ns0:c r="DN60" t="n">
        <ns0:f>IF($A60="",1,IF(DM60=1,1,--AND(IF($AC60&gt;0,INDEX(DM$7:DM$106,$AC60),1),IF($AD60&gt;0,INDEX(DM$7:DM$106,$AD60),1),IF($AE60&gt;0,INDEX(DM$7:DM$106,$AE60),1),IF($AF60&gt;0,INDEX(DM$7:DM$106,$AF60),1),IF($AG60&gt;0,INDEX(DM$7:DM$106,$AG60),1),IF($AH60&gt;0,INDEX(DM$7:DM$106,$AH60),1),IF($AI60&gt;0,INDEX(DM$7:DM$106,$AI60),1),IF($AJ60&gt;0,INDEX(DM$7:DM$106,$AJ60),1))))</ns0:f>
        <ns0:v>1</ns0:v>
      </ns0:c>
      <ns0:c r="DO60" t="n">
        <ns0:f>IF($A60="",1,IF(DN60=1,1,--AND(IF($AC60&gt;0,INDEX(DN$7:DN$106,$AC60),1),IF($AD60&gt;0,INDEX(DN$7:DN$106,$AD60),1),IF($AE60&gt;0,INDEX(DN$7:DN$106,$AE60),1),IF($AF60&gt;0,INDEX(DN$7:DN$106,$AF60),1),IF($AG60&gt;0,INDEX(DN$7:DN$106,$AG60),1),IF($AH60&gt;0,INDEX(DN$7:DN$106,$AH60),1),IF($AI60&gt;0,INDEX(DN$7:DN$106,$AI60),1),IF($AJ60&gt;0,INDEX(DN$7:DN$106,$AJ60),1))))</ns0:f>
        <ns0:v>1</ns0:v>
      </ns0:c>
      <ns0:c r="DP60" t="n">
        <ns0:f>IF($A60="",1,IF(DO60=1,1,--AND(IF($AC60&gt;0,INDEX(DO$7:DO$106,$AC60),1),IF($AD60&gt;0,INDEX(DO$7:DO$106,$AD60),1),IF($AE60&gt;0,INDEX(DO$7:DO$106,$AE60),1),IF($AF60&gt;0,INDEX(DO$7:DO$106,$AF60),1),IF($AG60&gt;0,INDEX(DO$7:DO$106,$AG60),1),IF($AH60&gt;0,INDEX(DO$7:DO$106,$AH60),1),IF($AI60&gt;0,INDEX(DO$7:DO$106,$AI60),1),IF($AJ60&gt;0,INDEX(DO$7:DO$106,$AJ60),1))))</ns0:f>
        <ns0:v>1</ns0:v>
      </ns0:c>
      <ns0:c r="DQ60" t="n">
        <ns0:f>IF($A60="",1,IF(DP60=1,1,--AND(IF($AC60&gt;0,INDEX(DP$7:DP$106,$AC60),1),IF($AD60&gt;0,INDEX(DP$7:DP$106,$AD60),1),IF($AE60&gt;0,INDEX(DP$7:DP$106,$AE60),1),IF($AF60&gt;0,INDEX(DP$7:DP$106,$AF60),1),IF($AG60&gt;0,INDEX(DP$7:DP$106,$AG60),1),IF($AH60&gt;0,INDEX(DP$7:DP$106,$AH60),1),IF($AI60&gt;0,INDEX(DP$7:DP$106,$AI60),1),IF($AJ60&gt;0,INDEX(DP$7:DP$106,$AJ60),1))))</ns0:f>
        <ns0:v>1</ns0:v>
      </ns0:c>
      <ns0:c r="DR60" t="n">
        <ns0:f>IF($A60="",1,IF(DQ60=1,1,--AND(IF($AC60&gt;0,INDEX(DQ$7:DQ$106,$AC60),1),IF($AD60&gt;0,INDEX(DQ$7:DQ$106,$AD60),1),IF($AE60&gt;0,INDEX(DQ$7:DQ$106,$AE60),1),IF($AF60&gt;0,INDEX(DQ$7:DQ$106,$AF60),1),IF($AG60&gt;0,INDEX(DQ$7:DQ$106,$AG60),1),IF($AH60&gt;0,INDEX(DQ$7:DQ$106,$AH60),1),IF($AI60&gt;0,INDEX(DQ$7:DQ$106,$AI60),1),IF($AJ60&gt;0,INDEX(DQ$7:DQ$106,$AJ60),1))))</ns0:f>
        <ns0:v>1</ns0:v>
      </ns0:c>
      <ns0:c r="DS60" t="n">
        <ns0:f>IF($A60="",1,IF(DR60=1,1,--AND(IF($AC60&gt;0,INDEX(DR$7:DR$106,$AC60),1),IF($AD60&gt;0,INDEX(DR$7:DR$106,$AD60),1),IF($AE60&gt;0,INDEX(DR$7:DR$106,$AE60),1),IF($AF60&gt;0,INDEX(DR$7:DR$106,$AF60),1),IF($AG60&gt;0,INDEX(DR$7:DR$106,$AG60),1),IF($AH60&gt;0,INDEX(DR$7:DR$106,$AH60),1),IF($AI60&gt;0,INDEX(DR$7:DR$106,$AI60),1),IF($AJ60&gt;0,INDEX(DR$7:DR$106,$AJ60),1))))</ns0:f>
        <ns0:v>1</ns0:v>
      </ns0:c>
      <ns0:c r="DT60" t="n">
        <ns0:f>IF($A60="",1,IF(DS60=1,1,--AND(IF($AC60&gt;0,INDEX(DS$7:DS$106,$AC60),1),IF($AD60&gt;0,INDEX(DS$7:DS$106,$AD60),1),IF($AE60&gt;0,INDEX(DS$7:DS$106,$AE60),1),IF($AF60&gt;0,INDEX(DS$7:DS$106,$AF60),1),IF($AG60&gt;0,INDEX(DS$7:DS$106,$AG60),1),IF($AH60&gt;0,INDEX(DS$7:DS$106,$AH60),1),IF($AI60&gt;0,INDEX(DS$7:DS$106,$AI60),1),IF($AJ60&gt;0,INDEX(DS$7:DS$106,$AJ60),1))))</ns0:f>
        <ns0:v>1</ns0:v>
      </ns0:c>
      <ns0:c r="DU60" t="n">
        <ns0:f>IF($A60="",1,IF(DT60=1,1,--AND(IF($AC60&gt;0,INDEX(DT$7:DT$106,$AC60),1),IF($AD60&gt;0,INDEX(DT$7:DT$106,$AD60),1),IF($AE60&gt;0,INDEX(DT$7:DT$106,$AE60),1),IF($AF60&gt;0,INDEX(DT$7:DT$106,$AF60),1),IF($AG60&gt;0,INDEX(DT$7:DT$106,$AG60),1),IF($AH60&gt;0,INDEX(DT$7:DT$106,$AH60),1),IF($AI60&gt;0,INDEX(DT$7:DT$106,$AI60),1),IF($AJ60&gt;0,INDEX(DT$7:DT$106,$AJ60),1))))</ns0:f>
        <ns0:v>1</ns0:v>
      </ns0:c>
      <ns0:c r="DV60" t="n">
        <ns0:f>IF($A60="",1,IF(DU60=1,1,--AND(IF($AC60&gt;0,INDEX(DU$7:DU$106,$AC60),1),IF($AD60&gt;0,INDEX(DU$7:DU$106,$AD60),1),IF($AE60&gt;0,INDEX(DU$7:DU$106,$AE60),1),IF($AF60&gt;0,INDEX(DU$7:DU$106,$AF60),1),IF($AG60&gt;0,INDEX(DU$7:DU$106,$AG60),1),IF($AH60&gt;0,INDEX(DU$7:DU$106,$AH60),1),IF($AI60&gt;0,INDEX(DU$7:DU$106,$AI60),1),IF($AJ60&gt;0,INDEX(DU$7:DU$106,$AJ60),1))))</ns0:f>
        <ns0:v>1</ns0:v>
      </ns0:c>
      <ns0:c r="DW60" t="n">
        <ns0:f>IF($A60="",1,IF(DV60=1,1,--AND(IF($AC60&gt;0,INDEX(DV$7:DV$106,$AC60),1),IF($AD60&gt;0,INDEX(DV$7:DV$106,$AD60),1),IF($AE60&gt;0,INDEX(DV$7:DV$106,$AE60),1),IF($AF60&gt;0,INDEX(DV$7:DV$106,$AF60),1),IF($AG60&gt;0,INDEX(DV$7:DV$106,$AG60),1),IF($AH60&gt;0,INDEX(DV$7:DV$106,$AH60),1),IF($AI60&gt;0,INDEX(DV$7:DV$106,$AI60),1),IF($AJ60&gt;0,INDEX(DV$7:DV$106,$AJ60),1))))</ns0:f>
        <ns0:v>1</ns0:v>
      </ns0:c>
      <ns0:c r="DX60" t="n">
        <ns0:f>IF($A60="",1,IF(DW60=1,1,--AND(IF($AC60&gt;0,INDEX(DW$7:DW$106,$AC60),1),IF($AD60&gt;0,INDEX(DW$7:DW$106,$AD60),1),IF($AE60&gt;0,INDEX(DW$7:DW$106,$AE60),1),IF($AF60&gt;0,INDEX(DW$7:DW$106,$AF60),1),IF($AG60&gt;0,INDEX(DW$7:DW$106,$AG60),1),IF($AH60&gt;0,INDEX(DW$7:DW$106,$AH60),1),IF($AI60&gt;0,INDEX(DW$7:DW$106,$AI60),1),IF($AJ60&gt;0,INDEX(DW$7:DW$106,$AJ60),1))))</ns0:f>
        <ns0:v>1</ns0:v>
      </ns0:c>
      <ns0:c r="DY60" t="n">
        <ns0:f>IF($A60="",1,IF(DX60=1,1,--AND(IF($AC60&gt;0,INDEX(DX$7:DX$106,$AC60),1),IF($AD60&gt;0,INDEX(DX$7:DX$106,$AD60),1),IF($AE60&gt;0,INDEX(DX$7:DX$106,$AE60),1),IF($AF60&gt;0,INDEX(DX$7:DX$106,$AF60),1),IF($AG60&gt;0,INDEX(DX$7:DX$106,$AG60),1),IF($AH60&gt;0,INDEX(DX$7:DX$106,$AH60),1),IF($AI60&gt;0,INDEX(DX$7:DX$106,$AI60),1),IF($AJ60&gt;0,INDEX(DX$7:DX$106,$AJ60),1))))</ns0:f>
        <ns0:v>1</ns0:v>
      </ns0:c>
      <ns0:c r="DZ60" t="n">
        <ns0:f>IF($A60="",1,IF(DY60=1,1,--AND(IF($AC60&gt;0,INDEX(DY$7:DY$106,$AC60),1),IF($AD60&gt;0,INDEX(DY$7:DY$106,$AD60),1),IF($AE60&gt;0,INDEX(DY$7:DY$106,$AE60),1),IF($AF60&gt;0,INDEX(DY$7:DY$106,$AF60),1),IF($AG60&gt;0,INDEX(DY$7:DY$106,$AG60),1),IF($AH60&gt;0,INDEX(DY$7:DY$106,$AH60),1),IF($AI60&gt;0,INDEX(DY$7:DY$106,$AI60),1),IF($AJ60&gt;0,INDEX(DY$7:DY$106,$AJ60),1))))</ns0:f>
        <ns0:v>1</ns0:v>
      </ns0:c>
      <ns0:c r="EA60" t="n">
        <ns0:f>IF($A60="",1,IF(DZ60=1,1,--AND(IF($AC60&gt;0,INDEX(DZ$7:DZ$106,$AC60),1),IF($AD60&gt;0,INDEX(DZ$7:DZ$106,$AD60),1),IF($AE60&gt;0,INDEX(DZ$7:DZ$106,$AE60),1),IF($AF60&gt;0,INDEX(DZ$7:DZ$106,$AF60),1),IF($AG60&gt;0,INDEX(DZ$7:DZ$106,$AG60),1),IF($AH60&gt;0,INDEX(DZ$7:DZ$106,$AH60),1),IF($AI60&gt;0,INDEX(DZ$7:DZ$106,$AI60),1),IF($AJ60&gt;0,INDEX(DZ$7:DZ$106,$AJ60),1))))</ns0:f>
        <ns0:v>1</ns0:v>
      </ns0:c>
      <ns0:c r="EB60" t="n">
        <ns0:f>IF($A60="",1,IF(EA60=1,1,--AND(IF($AC60&gt;0,INDEX(EA$7:EA$106,$AC60),1),IF($AD60&gt;0,INDEX(EA$7:EA$106,$AD60),1),IF($AE60&gt;0,INDEX(EA$7:EA$106,$AE60),1),IF($AF60&gt;0,INDEX(EA$7:EA$106,$AF60),1),IF($AG60&gt;0,INDEX(EA$7:EA$106,$AG60),1),IF($AH60&gt;0,INDEX(EA$7:EA$106,$AH60),1),IF($AI60&gt;0,INDEX(EA$7:EA$106,$AI60),1),IF($AJ60&gt;0,INDEX(EA$7:EA$106,$AJ60),1))))</ns0:f>
        <ns0:v>1</ns0:v>
      </ns0:c>
      <ns0:c r="EC60" t="n">
        <ns0:f>IF($A60="",1,IF(EB60=1,1,--AND(IF($AC60&gt;0,INDEX(EB$7:EB$106,$AC60),1),IF($AD60&gt;0,INDEX(EB$7:EB$106,$AD60),1),IF($AE60&gt;0,INDEX(EB$7:EB$106,$AE60),1),IF($AF60&gt;0,INDEX(EB$7:EB$106,$AF60),1),IF($AG60&gt;0,INDEX(EB$7:EB$106,$AG60),1),IF($AH60&gt;0,INDEX(EB$7:EB$106,$AH60),1),IF($AI60&gt;0,INDEX(EB$7:EB$106,$AI60),1),IF($AJ60&gt;0,INDEX(EB$7:EB$106,$AJ60),1))))</ns0:f>
        <ns0:v>1</ns0:v>
      </ns0:c>
      <ns0:c r="ED60" t="n">
        <ns0:f>IF($A60="",1,IF(EC60=1,1,--AND(IF($AC60&gt;0,INDEX(EC$7:EC$106,$AC60),1),IF($AD60&gt;0,INDEX(EC$7:EC$106,$AD60),1),IF($AE60&gt;0,INDEX(EC$7:EC$106,$AE60),1),IF($AF60&gt;0,INDEX(EC$7:EC$106,$AF60),1),IF($AG60&gt;0,INDEX(EC$7:EC$106,$AG60),1),IF($AH60&gt;0,INDEX(EC$7:EC$106,$AH60),1),IF($AI60&gt;0,INDEX(EC$7:EC$106,$AI60),1),IF($AJ60&gt;0,INDEX(EC$7:EC$106,$AJ60),1))))</ns0:f>
        <ns0:v>1</ns0:v>
      </ns0:c>
      <ns0:c r="EE60" t="n">
        <ns0:f>IF($A60="",1,IF(ED60=1,1,--AND(IF($AC60&gt;0,INDEX(ED$7:ED$106,$AC60),1),IF($AD60&gt;0,INDEX(ED$7:ED$106,$AD60),1),IF($AE60&gt;0,INDEX(ED$7:ED$106,$AE60),1),IF($AF60&gt;0,INDEX(ED$7:ED$106,$AF60),1),IF($AG60&gt;0,INDEX(ED$7:ED$106,$AG60),1),IF($AH60&gt;0,INDEX(ED$7:ED$106,$AH60),1),IF($AI60&gt;0,INDEX(ED$7:ED$106,$AI60),1),IF($AJ60&gt;0,INDEX(ED$7:ED$106,$AJ60),1))))</ns0:f>
        <ns0:v>1</ns0:v>
      </ns0:c>
      <ns0:c r="EF60" t="n">
        <ns0:f>IF($A60="",1,IF(EE60=1,1,--AND(IF($AC60&gt;0,INDEX(EE$7:EE$106,$AC60),1),IF($AD60&gt;0,INDEX(EE$7:EE$106,$AD60),1),IF($AE60&gt;0,INDEX(EE$7:EE$106,$AE60),1),IF($AF60&gt;0,INDEX(EE$7:EE$106,$AF60),1),IF($AG60&gt;0,INDEX(EE$7:EE$106,$AG60),1),IF($AH60&gt;0,INDEX(EE$7:EE$106,$AH60),1),IF($AI60&gt;0,INDEX(EE$7:EE$106,$AI60),1),IF($AJ60&gt;0,INDEX(EE$7:EE$106,$AJ60),1))))</ns0:f>
        <ns0:v>1</ns0:v>
      </ns0:c>
      <ns0:c r="EG60" t="n">
        <ns0:f>IF($A60="",1,IF(EF60=1,1,--AND(IF($AC60&gt;0,INDEX(EF$7:EF$106,$AC60),1),IF($AD60&gt;0,INDEX(EF$7:EF$106,$AD60),1),IF($AE60&gt;0,INDEX(EF$7:EF$106,$AE60),1),IF($AF60&gt;0,INDEX(EF$7:EF$106,$AF60),1),IF($AG60&gt;0,INDEX(EF$7:EF$106,$AG60),1),IF($AH60&gt;0,INDEX(EF$7:EF$106,$AH60),1),IF($AI60&gt;0,INDEX(EF$7:EF$106,$AI60),1),IF($AJ60&gt;0,INDEX(EF$7:EF$106,$AJ60),1))))</ns0:f>
        <ns0:v>1</ns0:v>
      </ns0:c>
      <ns0:c r="EH60" t="n">
        <ns0:f>IF($A60="",1,IF(EG60=1,1,--AND(IF($AC60&gt;0,INDEX(EG$7:EG$106,$AC60),1),IF($AD60&gt;0,INDEX(EG$7:EG$106,$AD60),1),IF($AE60&gt;0,INDEX(EG$7:EG$106,$AE60),1),IF($AF60&gt;0,INDEX(EG$7:EG$106,$AF60),1),IF($AG60&gt;0,INDEX(EG$7:EG$106,$AG60),1),IF($AH60&gt;0,INDEX(EG$7:EG$106,$AH60),1),IF($AI60&gt;0,INDEX(EG$7:EG$106,$AI60),1),IF($AJ60&gt;0,INDEX(EG$7:EG$106,$AJ60),1))))</ns0:f>
        <ns0:v>1</ns0:v>
      </ns0:c>
      <ns0:c r="EI60" t="n">
        <ns0:f>IF($A60="",1,IF(EH60=1,1,--AND(IF($AC60&gt;0,INDEX(EH$7:EH$106,$AC60),1),IF($AD60&gt;0,INDEX(EH$7:EH$106,$AD60),1),IF($AE60&gt;0,INDEX(EH$7:EH$106,$AE60),1),IF($AF60&gt;0,INDEX(EH$7:EH$106,$AF60),1),IF($AG60&gt;0,INDEX(EH$7:EH$106,$AG60),1),IF($AH60&gt;0,INDEX(EH$7:EH$106,$AH60),1),IF($AI60&gt;0,INDEX(EH$7:EH$106,$AI60),1),IF($AJ60&gt;0,INDEX(EH$7:EH$106,$AJ60),1))))</ns0:f>
        <ns0:v>1</ns0:v>
      </ns0:c>
      <ns0:c r="EJ60" t="n">
        <ns0:f>IF($A60="",1,IF(EI60=1,1,--AND(IF($AC60&gt;0,INDEX(EI$7:EI$106,$AC60),1),IF($AD60&gt;0,INDEX(EI$7:EI$106,$AD60),1),IF($AE60&gt;0,INDEX(EI$7:EI$106,$AE60),1),IF($AF60&gt;0,INDEX(EI$7:EI$106,$AF60),1),IF($AG60&gt;0,INDEX(EI$7:EI$106,$AG60),1),IF($AH60&gt;0,INDEX(EI$7:EI$106,$AH60),1),IF($AI60&gt;0,INDEX(EI$7:EI$106,$AI60),1),IF($AJ60&gt;0,INDEX(EI$7:EI$106,$AJ60),1))))</ns0:f>
        <ns0:v>1</ns0:v>
      </ns0:c>
      <ns0:c r="EK60" t="n">
        <ns0:f>IF($A60="",1,IF(EJ60=1,1,--AND(IF($AC60&gt;0,INDEX(EJ$7:EJ$106,$AC60),1),IF($AD60&gt;0,INDEX(EJ$7:EJ$106,$AD60),1),IF($AE60&gt;0,INDEX(EJ$7:EJ$106,$AE60),1),IF($AF60&gt;0,INDEX(EJ$7:EJ$106,$AF60),1),IF($AG60&gt;0,INDEX(EJ$7:EJ$106,$AG60),1),IF($AH60&gt;0,INDEX(EJ$7:EJ$106,$AH60),1),IF($AI60&gt;0,INDEX(EJ$7:EJ$106,$AI60),1),IF($AJ60&gt;0,INDEX(EJ$7:EJ$106,$AJ60),1))))</ns0:f>
        <ns0:v>1</ns0:v>
      </ns0:c>
      <ns0:c r="EL60" t="n">
        <ns0:f>IF($A60="",1,IF(EK60=1,1,--AND(IF($AC60&gt;0,INDEX(EK$7:EK$106,$AC60),1),IF($AD60&gt;0,INDEX(EK$7:EK$106,$AD60),1),IF($AE60&gt;0,INDEX(EK$7:EK$106,$AE60),1),IF($AF60&gt;0,INDEX(EK$7:EK$106,$AF60),1),IF($AG60&gt;0,INDEX(EK$7:EK$106,$AG60),1),IF($AH60&gt;0,INDEX(EK$7:EK$106,$AH60),1),IF($AI60&gt;0,INDEX(EK$7:EK$106,$AI60),1),IF($AJ60&gt;0,INDEX(EK$7:EK$106,$AJ60),1))))</ns0:f>
        <ns0:v>1</ns0:v>
      </ns0:c>
      <ns0:c r="EM60" t="n">
        <ns0:f>IF($A60="",1,IF(EL60=1,1,--AND(IF($AC60&gt;0,INDEX(EL$7:EL$106,$AC60),1),IF($AD60&gt;0,INDEX(EL$7:EL$106,$AD60),1),IF($AE60&gt;0,INDEX(EL$7:EL$106,$AE60),1),IF($AF60&gt;0,INDEX(EL$7:EL$106,$AF60),1),IF($AG60&gt;0,INDEX(EL$7:EL$106,$AG60),1),IF($AH60&gt;0,INDEX(EL$7:EL$106,$AH60),1),IF($AI60&gt;0,INDEX(EL$7:EL$106,$AI60),1),IF($AJ60&gt;0,INDEX(EL$7:EL$106,$AJ60),1))))</ns0:f>
        <ns0:v>1</ns0:v>
      </ns0:c>
      <ns0:c r="EN60" t="n">
        <ns0:f>IF($A60="",1,IF(EM60=1,1,--AND(IF($AC60&gt;0,INDEX(EM$7:EM$106,$AC60),1),IF($AD60&gt;0,INDEX(EM$7:EM$106,$AD60),1),IF($AE60&gt;0,INDEX(EM$7:EM$106,$AE60),1),IF($AF60&gt;0,INDEX(EM$7:EM$106,$AF60),1),IF($AG60&gt;0,INDEX(EM$7:EM$106,$AG60),1),IF($AH60&gt;0,INDEX(EM$7:EM$106,$AH60),1),IF($AI60&gt;0,INDEX(EM$7:EM$106,$AI60),1),IF($AJ60&gt;0,INDEX(EM$7:EM$106,$AJ60),1))))</ns0:f>
        <ns0:v>1</ns0:v>
      </ns0:c>
      <ns0:c r="EO60" t="n">
        <ns0:f>IF($A60="",1,IF(EN60=1,1,--AND(IF($AC60&gt;0,INDEX(EN$7:EN$106,$AC60),1),IF($AD60&gt;0,INDEX(EN$7:EN$106,$AD60),1),IF($AE60&gt;0,INDEX(EN$7:EN$106,$AE60),1),IF($AF60&gt;0,INDEX(EN$7:EN$106,$AF60),1),IF($AG60&gt;0,INDEX(EN$7:EN$106,$AG60),1),IF($AH60&gt;0,INDEX(EN$7:EN$106,$AH60),1),IF($AI60&gt;0,INDEX(EN$7:EN$106,$AI60),1),IF($AJ60&gt;0,INDEX(EN$7:EN$106,$AJ60),1))))</ns0:f>
        <ns0:v>1</ns0:v>
      </ns0:c>
      <ns0:c r="EP60" t="n">
        <ns0:f>IF($A60="",1,IF(EO60=1,1,--AND(IF($AC60&gt;0,INDEX(EO$7:EO$106,$AC60),1),IF($AD60&gt;0,INDEX(EO$7:EO$106,$AD60),1),IF($AE60&gt;0,INDEX(EO$7:EO$106,$AE60),1),IF($AF60&gt;0,INDEX(EO$7:EO$106,$AF60),1),IF($AG60&gt;0,INDEX(EO$7:EO$106,$AG60),1),IF($AH60&gt;0,INDEX(EO$7:EO$106,$AH60),1),IF($AI60&gt;0,INDEX(EO$7:EO$106,$AI60),1),IF($AJ60&gt;0,INDEX(EO$7:EO$106,$AJ60),1))))</ns0:f>
        <ns0:v>1</ns0:v>
      </ns0:c>
      <ns0:c r="EQ60" t="n">
        <ns0:f>IF(OR(A60="",NOT(ISNUMBER(G60))),0,G60*N60)</ns0:f>
        <ns0:v>0</ns0:v>
      </ns0:c>
    </ns0:row>
    <ns0:row r="61" ht="62" customHeight="1">
      <ns0:c r="A61" s="48"/>
      <ns0:c r="B61" s="48"/>
      <ns0:c r="C61" s="48"/>
      <ns0:c r="D61" s="48"/>
      <ns0:c r="E61" s="49"/>
      <ns0:c r="F61" s="49"/>
      <ns0:c r="G61" s="13" t="str">
        <ns0:f>IF(A61="","",IF(OR(NOT(ISNUMBER(E61)),NOT(ISNUMBER(F61)),F61&lt;E61),"",IF(J61="Yes",0,F61-E61+1)))</ns0:f>
      </ns0:c>
      <ns0:c r="H61" s="48"/>
      <ns0:c r="I61" s="48"/>
      <ns0:c r="J61" s="48"/>
      <ns0:c r="K61" s="48"/>
      <ns0:c r="L61" s="48"/>
      <ns0:c r="M61" s="50" t="str">
        <ns0:f>IF(A61="","",IF(N61=1,"Completed",IF(N61&gt;0,"In Progress","Not Started")))</ns0:f>
      </ns0:c>
      <ns0:c r="N61" s="51"/>
      <ns0:c r="O61" s="13" t="str">
        <ns0:f>IF(A61="","",IF(R61&lt;&gt;"","[CONFLICT] "&amp;R61,IF(S61&lt;&gt;"","[CONFLICT] "&amp;S61,IF(OR(NOT(ISNUMBER(N61)),N61&lt;0,N61&gt;1),"[CONFLICT] Invalid progress",IF(AK61&gt;0,"[DEPENDENCY ISSUE] Missing ID / &gt;8 links",IF(AM61&gt;0,"[DEPENDENCY ISSUE] Cycle or blocked by cycle",IF(AND(H61&lt;&gt;"",ISNA(MATCH(I61,{"FS","SS","FF","SF"},0))),"[DEPENDENCY ISSUE] Invalid type",IF(AL61&gt;0,"[DEPENDENCY ISSUE] Timing conflict",IF(OR(E61&lt;ProjectStart,F61&gt;ProjectEnd),"[OUTSIDE WINDOW]",IF(AND(N61&lt;1,F61&lt;AsOfDate),"Overdue",IF(AND(M61&lt;&gt;Q61,M61&lt;&gt;""),"[CONFLICT] Status / progress","On track")))))))))))</ns0:f>
      </ns0:c>
      <ns0:c r="P61" s="52"/>
      <ns0:c r="Q61" t="str">
        <ns0:f>IF(A61="","",IF(OR(M61="On Hold",M61="Delayed"),M61,IF(N61=1,"Completed",IF(N61&gt;0,"In Progress","Not Started"))))</ns0:f>
      </ns0:c>
      <ns0:c r="R61" t="str">
        <ns0:f>IF(A61="","",IF(COUNTIFS(Tasks[Task ID],A61)&lt;&gt;1,"Duplicate ID",""))</ns0:f>
      </ns0:c>
      <ns0:c r="S61" t="str">
        <ns0:f>IF(A61="","",IF(OR(NOT(ISNUMBER(E61)),NOT(ISNUMBER(F61))),"Invalid / missing date",IF(OR(E61&lt;&gt;INT(E61),F61&lt;&gt;INT(F61),E61&lt;1,F61&gt;2958465),"Invalid date",IF(F61&lt;E61,"End before start",IF(AND(J61="Yes",E61&lt;&gt;F61),"Milestone needs one date","")))))</ns0:f>
      </ns0:c>
      <ns0:c r="T61" t="n">
        <ns0:f>IF(H61="",0,LEN(H61)-LEN(SUBSTITUTE(H61,",",""))+1)</ns0:f>
        <ns0:v>0</ns0:v>
      </ns0:c>
      <ns0:c r="U61" t="str">
        <ns0:f>TRIM(MID(SUBSTITUTE($H61,",",REPT(" ",100)),1,100))</ns0:f>
      </ns0:c>
      <ns0:c r="V61" t="str">
        <ns0:f>TRIM(MID(SUBSTITUTE($H61,",",REPT(" ",100)),101,100))</ns0:f>
      </ns0:c>
      <ns0:c r="W61" t="str">
        <ns0:f>TRIM(MID(SUBSTITUTE($H61,",",REPT(" ",100)),201,100))</ns0:f>
      </ns0:c>
      <ns0:c r="X61" t="str">
        <ns0:f>TRIM(MID(SUBSTITUTE($H61,",",REPT(" ",100)),301,100))</ns0:f>
      </ns0:c>
      <ns0:c r="Y61" t="str">
        <ns0:f>TRIM(MID(SUBSTITUTE($H61,",",REPT(" ",100)),401,100))</ns0:f>
      </ns0:c>
      <ns0:c r="Z61" t="str">
        <ns0:f>TRIM(MID(SUBSTITUTE($H61,",",REPT(" ",100)),501,100))</ns0:f>
      </ns0:c>
      <ns0:c r="AA61" t="str">
        <ns0:f>TRIM(MID(SUBSTITUTE($H61,",",REPT(" ",100)),601,100))</ns0:f>
      </ns0:c>
      <ns0:c r="AB61" t="str">
        <ns0:f>TRIM(MID(SUBSTITUTE($H61,",",REPT(" ",100)),701,100))</ns0:f>
      </ns0:c>
      <ns0:c r="AC61" t="n">
        <ns0:f>IF(U61="",0,IF(COUNTIFS(Tasks[Task ID],U61)=1,MATCH(U61,Tasks[Task ID],0),-1))</ns0:f>
        <ns0:v>0</ns0:v>
      </ns0:c>
      <ns0:c r="AD61" t="n">
        <ns0:f>IF(V61="",0,IF(COUNTIFS(Tasks[Task ID],V61)=1,MATCH(V61,Tasks[Task ID],0),-1))</ns0:f>
        <ns0:v>0</ns0:v>
      </ns0:c>
      <ns0:c r="AE61" t="n">
        <ns0:f>IF(W61="",0,IF(COUNTIFS(Tasks[Task ID],W61)=1,MATCH(W61,Tasks[Task ID],0),-1))</ns0:f>
        <ns0:v>0</ns0:v>
      </ns0:c>
      <ns0:c r="AF61" t="n">
        <ns0:f>IF(X61="",0,IF(COUNTIFS(Tasks[Task ID],X61)=1,MATCH(X61,Tasks[Task ID],0),-1))</ns0:f>
        <ns0:v>0</ns0:v>
      </ns0:c>
      <ns0:c r="AG61" t="n">
        <ns0:f>IF(Y61="",0,IF(COUNTIFS(Tasks[Task ID],Y61)=1,MATCH(Y61,Tasks[Task ID],0),-1))</ns0:f>
        <ns0:v>0</ns0:v>
      </ns0:c>
      <ns0:c r="AH61" t="n">
        <ns0:f>IF(Z61="",0,IF(COUNTIFS(Tasks[Task ID],Z61)=1,MATCH(Z61,Tasks[Task ID],0),-1))</ns0:f>
        <ns0:v>0</ns0:v>
      </ns0:c>
      <ns0:c r="AI61" t="n">
        <ns0:f>IF(AA61="",0,IF(COUNTIFS(Tasks[Task ID],AA61)=1,MATCH(AA61,Tasks[Task ID],0),-1))</ns0:f>
        <ns0:v>0</ns0:v>
      </ns0:c>
      <ns0:c r="AJ61" t="n">
        <ns0:f>IF(AB61="",0,IF(COUNTIFS(Tasks[Task ID],AB61)=1,MATCH(AB61,Tasks[Task ID],0),-1))</ns0:f>
        <ns0:v>0</ns0:v>
      </ns0:c>
      <ns0:c r="AK61" t="n">
        <ns0:f>COUNTIFS(AC61:AJ61,-1)+IF(T61&gt;8,1,0)</ns0:f>
        <ns0:v>0</ns0:v>
      </ns0:c>
      <ns0:c r="AL61" t="n">
        <ns0:f>IF(OR(A61="",S61&lt;&gt;""),0,SUM(IF(AC61&gt;0,IF($I61="FS",--($E61&lt;INDEX(Tasks[End Date],AC61)+IF(INDEX(Tasks[Milestone],AC61)="Yes",0,1)),IF($I61="SS",--($E61&lt;INDEX(Tasks[Start Date],AC61)),IF($I61="FF",--($F61&lt;INDEX(Tasks[End Date],AC61)),IF($I61="SF",--($F61&lt;INDEX(Tasks[Start Date],AC61)),0)))),0),IF(AD61&gt;0,IF($I61="FS",--($E61&lt;INDEX(Tasks[End Date],AD61)+IF(INDEX(Tasks[Milestone],AD61)="Yes",0,1)),IF($I61="SS",--($E61&lt;INDEX(Tasks[Start Date],AD61)),IF($I61="FF",--($F61&lt;INDEX(Tasks[End Date],AD61)),IF($I61="SF",--($F61&lt;INDEX(Tasks[Start Date],AD61)),0)))),0),IF(AE61&gt;0,IF($I61="FS",--($E61&lt;INDEX(Tasks[End Date],AE61)+IF(INDEX(Tasks[Milestone],AE61)="Yes",0,1)),IF($I61="SS",--($E61&lt;INDEX(Tasks[Start Date],AE61)),IF($I61="FF",--($F61&lt;INDEX(Tasks[End Date],AE61)),IF($I61="SF",--($F61&lt;INDEX(Tasks[Start Date],AE61)),0)))),0),IF(AF61&gt;0,IF($I61="FS",--($E61&lt;INDEX(Tasks[End Date],AF61)+IF(INDEX(Tasks[Milestone],AF61)="Yes",0,1)),IF($I61="SS",--($E61&lt;INDEX(Tasks[Start Date],AF61)),IF($I61="FF",--($F61&lt;INDEX(Tasks[End Date],AF61)),IF($I61="SF",--($F61&lt;INDEX(Tasks[Start Date],AF61)),0)))),0),IF(AG61&gt;0,IF($I61="FS",--($E61&lt;INDEX(Tasks[End Date],AG61)+IF(INDEX(Tasks[Milestone],AG61)="Yes",0,1)),IF($I61="SS",--($E61&lt;INDEX(Tasks[Start Date],AG61)),IF($I61="FF",--($F61&lt;INDEX(Tasks[End Date],AG61)),IF($I61="SF",--($F61&lt;INDEX(Tasks[Start Date],AG61)),0)))),0),IF(AH61&gt;0,IF($I61="FS",--($E61&lt;INDEX(Tasks[End Date],AH61)+IF(INDEX(Tasks[Milestone],AH61)="Yes",0,1)),IF($I61="SS",--($E61&lt;INDEX(Tasks[Start Date],AH61)),IF($I61="FF",--($F61&lt;INDEX(Tasks[End Date],AH61)),IF($I61="SF",--($F61&lt;INDEX(Tasks[Start Date],AH61)),0)))),0),IF(AI61&gt;0,IF($I61="FS",--($E61&lt;INDEX(Tasks[End Date],AI61)+IF(INDEX(Tasks[Milestone],AI61)="Yes",0,1)),IF($I61="SS",--($E61&lt;INDEX(Tasks[Start Date],AI61)),IF($I61="FF",--($F61&lt;INDEX(Tasks[End Date],AI61)),IF($I61="SF",--($F61&lt;INDEX(Tasks[Start Date],AI61)),0)))),0),IF(AJ61&gt;0,IF($I61="FS",--($E61&lt;INDEX(Tasks[End Date],AJ61)+IF(INDEX(Tasks[Milestone],AJ61)="Yes",0,1)),IF($I61="SS",--($E61&lt;INDEX(Tasks[Start Date],AJ61)),IF($I61="FF",--($F61&lt;INDEX(Tasks[End Date],AJ61)),IF($I61="SF",--($F61&lt;INDEX(Tasks[Start Date],AJ61)),0)))),0)))</ns0:f>
        <ns0:v>0</ns0:v>
      </ns0:c>
      <ns0:c r="AM61" t="n">
        <ns0:f>IF(AND(A61&lt;&gt;"",AK61=0,EP61=0),1,0)</ns0:f>
        <ns0:v>0</ns0:v>
      </ns0:c>
      <ns0:c r="AN61" t="str">
        <ns0:f>IF(OR(A61="",B61=""),"",IF(COUNTIFS($B$7:B61,B61)=1,MAX($AN$6:AN60)+1,""))</ns0:f>
      </ns0:c>
      <ns0:c r="AO61" t="n">
        <ns0:f>IF(AND(A61&lt;&gt;"",J61="No",N61&lt;1,E61&gt;=AsOfDate),E61+ROW()/10000,1E+9)</ns0:f>
        <ns0:v>1000000000</ns0:v>
      </ns0:c>
      <ns0:c r="AP61" t="n">
        <ns0:f>IF(AND(A61&lt;&gt;"",J61="Yes",N61&lt;1,E61&gt;=AsOfDate),E61+ROW()/10000,1E+9)</ns0:f>
        <ns0:v>1000000000</ns0:v>
      </ns0:c>
      <ns0:c r="AQ61" t="n">
        <ns0:f>IF(AND(A61&lt;&gt;"",J61="No",N61&lt;1,F61&gt;=AsOfDate,F61&lt;=AsOfDate+7),F61+ROW()/10000,1E+9)</ns0:f>
        <ns0:v>1000000000</ns0:v>
      </ns0:c>
      <ns0:c r="AR61" t="n">
        <ns0:f>IF(AND(A61&lt;&gt;"",OR(O61&lt;&gt;"On track",Q61="Delayed")),ROW(),1E+9)</ns0:f>
        <ns0:v>1000000000</ns0:v>
      </ns0:c>
      <ns0:c r="AS61" t="str">
        <ns0:f>IF(A61="","",";"&amp;K61&amp;";")</ns0:f>
      </ns0:c>
      <ns0:c r="AT61" t="n">
        <ns0:f>IF(A61="",1,--(T61=0))</ns0:f>
        <ns0:v>1</ns0:v>
      </ns0:c>
      <ns0:c r="AU61" t="n">
        <ns0:f>IF($A61="",1,IF(AT61=1,1,--AND(IF($AC61&gt;0,INDEX(AT$7:AT$106,$AC61),1),IF($AD61&gt;0,INDEX(AT$7:AT$106,$AD61),1),IF($AE61&gt;0,INDEX(AT$7:AT$106,$AE61),1),IF($AF61&gt;0,INDEX(AT$7:AT$106,$AF61),1),IF($AG61&gt;0,INDEX(AT$7:AT$106,$AG61),1),IF($AH61&gt;0,INDEX(AT$7:AT$106,$AH61),1),IF($AI61&gt;0,INDEX(AT$7:AT$106,$AI61),1),IF($AJ61&gt;0,INDEX(AT$7:AT$106,$AJ61),1))))</ns0:f>
        <ns0:v>1</ns0:v>
      </ns0:c>
      <ns0:c r="AV61" t="n">
        <ns0:f>IF($A61="",1,IF(AU61=1,1,--AND(IF($AC61&gt;0,INDEX(AU$7:AU$106,$AC61),1),IF($AD61&gt;0,INDEX(AU$7:AU$106,$AD61),1),IF($AE61&gt;0,INDEX(AU$7:AU$106,$AE61),1),IF($AF61&gt;0,INDEX(AU$7:AU$106,$AF61),1),IF($AG61&gt;0,INDEX(AU$7:AU$106,$AG61),1),IF($AH61&gt;0,INDEX(AU$7:AU$106,$AH61),1),IF($AI61&gt;0,INDEX(AU$7:AU$106,$AI61),1),IF($AJ61&gt;0,INDEX(AU$7:AU$106,$AJ61),1))))</ns0:f>
        <ns0:v>1</ns0:v>
      </ns0:c>
      <ns0:c r="AW61" t="n">
        <ns0:f>IF($A61="",1,IF(AV61=1,1,--AND(IF($AC61&gt;0,INDEX(AV$7:AV$106,$AC61),1),IF($AD61&gt;0,INDEX(AV$7:AV$106,$AD61),1),IF($AE61&gt;0,INDEX(AV$7:AV$106,$AE61),1),IF($AF61&gt;0,INDEX(AV$7:AV$106,$AF61),1),IF($AG61&gt;0,INDEX(AV$7:AV$106,$AG61),1),IF($AH61&gt;0,INDEX(AV$7:AV$106,$AH61),1),IF($AI61&gt;0,INDEX(AV$7:AV$106,$AI61),1),IF($AJ61&gt;0,INDEX(AV$7:AV$106,$AJ61),1))))</ns0:f>
        <ns0:v>1</ns0:v>
      </ns0:c>
      <ns0:c r="AX61" t="n">
        <ns0:f>IF($A61="",1,IF(AW61=1,1,--AND(IF($AC61&gt;0,INDEX(AW$7:AW$106,$AC61),1),IF($AD61&gt;0,INDEX(AW$7:AW$106,$AD61),1),IF($AE61&gt;0,INDEX(AW$7:AW$106,$AE61),1),IF($AF61&gt;0,INDEX(AW$7:AW$106,$AF61),1),IF($AG61&gt;0,INDEX(AW$7:AW$106,$AG61),1),IF($AH61&gt;0,INDEX(AW$7:AW$106,$AH61),1),IF($AI61&gt;0,INDEX(AW$7:AW$106,$AI61),1),IF($AJ61&gt;0,INDEX(AW$7:AW$106,$AJ61),1))))</ns0:f>
        <ns0:v>1</ns0:v>
      </ns0:c>
      <ns0:c r="AY61" t="n">
        <ns0:f>IF($A61="",1,IF(AX61=1,1,--AND(IF($AC61&gt;0,INDEX(AX$7:AX$106,$AC61),1),IF($AD61&gt;0,INDEX(AX$7:AX$106,$AD61),1),IF($AE61&gt;0,INDEX(AX$7:AX$106,$AE61),1),IF($AF61&gt;0,INDEX(AX$7:AX$106,$AF61),1),IF($AG61&gt;0,INDEX(AX$7:AX$106,$AG61),1),IF($AH61&gt;0,INDEX(AX$7:AX$106,$AH61),1),IF($AI61&gt;0,INDEX(AX$7:AX$106,$AI61),1),IF($AJ61&gt;0,INDEX(AX$7:AX$106,$AJ61),1))))</ns0:f>
        <ns0:v>1</ns0:v>
      </ns0:c>
      <ns0:c r="AZ61" t="n">
        <ns0:f>IF($A61="",1,IF(AY61=1,1,--AND(IF($AC61&gt;0,INDEX(AY$7:AY$106,$AC61),1),IF($AD61&gt;0,INDEX(AY$7:AY$106,$AD61),1),IF($AE61&gt;0,INDEX(AY$7:AY$106,$AE61),1),IF($AF61&gt;0,INDEX(AY$7:AY$106,$AF61),1),IF($AG61&gt;0,INDEX(AY$7:AY$106,$AG61),1),IF($AH61&gt;0,INDEX(AY$7:AY$106,$AH61),1),IF($AI61&gt;0,INDEX(AY$7:AY$106,$AI61),1),IF($AJ61&gt;0,INDEX(AY$7:AY$106,$AJ61),1))))</ns0:f>
        <ns0:v>1</ns0:v>
      </ns0:c>
      <ns0:c r="BA61" t="n">
        <ns0:f>IF($A61="",1,IF(AZ61=1,1,--AND(IF($AC61&gt;0,INDEX(AZ$7:AZ$106,$AC61),1),IF($AD61&gt;0,INDEX(AZ$7:AZ$106,$AD61),1),IF($AE61&gt;0,INDEX(AZ$7:AZ$106,$AE61),1),IF($AF61&gt;0,INDEX(AZ$7:AZ$106,$AF61),1),IF($AG61&gt;0,INDEX(AZ$7:AZ$106,$AG61),1),IF($AH61&gt;0,INDEX(AZ$7:AZ$106,$AH61),1),IF($AI61&gt;0,INDEX(AZ$7:AZ$106,$AI61),1),IF($AJ61&gt;0,INDEX(AZ$7:AZ$106,$AJ61),1))))</ns0:f>
        <ns0:v>1</ns0:v>
      </ns0:c>
      <ns0:c r="BB61" t="n">
        <ns0:f>IF($A61="",1,IF(BA61=1,1,--AND(IF($AC61&gt;0,INDEX(BA$7:BA$106,$AC61),1),IF($AD61&gt;0,INDEX(BA$7:BA$106,$AD61),1),IF($AE61&gt;0,INDEX(BA$7:BA$106,$AE61),1),IF($AF61&gt;0,INDEX(BA$7:BA$106,$AF61),1),IF($AG61&gt;0,INDEX(BA$7:BA$106,$AG61),1),IF($AH61&gt;0,INDEX(BA$7:BA$106,$AH61),1),IF($AI61&gt;0,INDEX(BA$7:BA$106,$AI61),1),IF($AJ61&gt;0,INDEX(BA$7:BA$106,$AJ61),1))))</ns0:f>
        <ns0:v>1</ns0:v>
      </ns0:c>
      <ns0:c r="BC61" t="n">
        <ns0:f>IF($A61="",1,IF(BB61=1,1,--AND(IF($AC61&gt;0,INDEX(BB$7:BB$106,$AC61),1),IF($AD61&gt;0,INDEX(BB$7:BB$106,$AD61),1),IF($AE61&gt;0,INDEX(BB$7:BB$106,$AE61),1),IF($AF61&gt;0,INDEX(BB$7:BB$106,$AF61),1),IF($AG61&gt;0,INDEX(BB$7:BB$106,$AG61),1),IF($AH61&gt;0,INDEX(BB$7:BB$106,$AH61),1),IF($AI61&gt;0,INDEX(BB$7:BB$106,$AI61),1),IF($AJ61&gt;0,INDEX(BB$7:BB$106,$AJ61),1))))</ns0:f>
        <ns0:v>1</ns0:v>
      </ns0:c>
      <ns0:c r="BD61" t="n">
        <ns0:f>IF($A61="",1,IF(BC61=1,1,--AND(IF($AC61&gt;0,INDEX(BC$7:BC$106,$AC61),1),IF($AD61&gt;0,INDEX(BC$7:BC$106,$AD61),1),IF($AE61&gt;0,INDEX(BC$7:BC$106,$AE61),1),IF($AF61&gt;0,INDEX(BC$7:BC$106,$AF61),1),IF($AG61&gt;0,INDEX(BC$7:BC$106,$AG61),1),IF($AH61&gt;0,INDEX(BC$7:BC$106,$AH61),1),IF($AI61&gt;0,INDEX(BC$7:BC$106,$AI61),1),IF($AJ61&gt;0,INDEX(BC$7:BC$106,$AJ61),1))))</ns0:f>
        <ns0:v>1</ns0:v>
      </ns0:c>
      <ns0:c r="BE61" t="n">
        <ns0:f>IF($A61="",1,IF(BD61=1,1,--AND(IF($AC61&gt;0,INDEX(BD$7:BD$106,$AC61),1),IF($AD61&gt;0,INDEX(BD$7:BD$106,$AD61),1),IF($AE61&gt;0,INDEX(BD$7:BD$106,$AE61),1),IF($AF61&gt;0,INDEX(BD$7:BD$106,$AF61),1),IF($AG61&gt;0,INDEX(BD$7:BD$106,$AG61),1),IF($AH61&gt;0,INDEX(BD$7:BD$106,$AH61),1),IF($AI61&gt;0,INDEX(BD$7:BD$106,$AI61),1),IF($AJ61&gt;0,INDEX(BD$7:BD$106,$AJ61),1))))</ns0:f>
        <ns0:v>1</ns0:v>
      </ns0:c>
      <ns0:c r="BF61" t="n">
        <ns0:f>IF($A61="",1,IF(BE61=1,1,--AND(IF($AC61&gt;0,INDEX(BE$7:BE$106,$AC61),1),IF($AD61&gt;0,INDEX(BE$7:BE$106,$AD61),1),IF($AE61&gt;0,INDEX(BE$7:BE$106,$AE61),1),IF($AF61&gt;0,INDEX(BE$7:BE$106,$AF61),1),IF($AG61&gt;0,INDEX(BE$7:BE$106,$AG61),1),IF($AH61&gt;0,INDEX(BE$7:BE$106,$AH61),1),IF($AI61&gt;0,INDEX(BE$7:BE$106,$AI61),1),IF($AJ61&gt;0,INDEX(BE$7:BE$106,$AJ61),1))))</ns0:f>
        <ns0:v>1</ns0:v>
      </ns0:c>
      <ns0:c r="BG61" t="n">
        <ns0:f>IF($A61="",1,IF(BF61=1,1,--AND(IF($AC61&gt;0,INDEX(BF$7:BF$106,$AC61),1),IF($AD61&gt;0,INDEX(BF$7:BF$106,$AD61),1),IF($AE61&gt;0,INDEX(BF$7:BF$106,$AE61),1),IF($AF61&gt;0,INDEX(BF$7:BF$106,$AF61),1),IF($AG61&gt;0,INDEX(BF$7:BF$106,$AG61),1),IF($AH61&gt;0,INDEX(BF$7:BF$106,$AH61),1),IF($AI61&gt;0,INDEX(BF$7:BF$106,$AI61),1),IF($AJ61&gt;0,INDEX(BF$7:BF$106,$AJ61),1))))</ns0:f>
        <ns0:v>1</ns0:v>
      </ns0:c>
      <ns0:c r="BH61" t="n">
        <ns0:f>IF($A61="",1,IF(BG61=1,1,--AND(IF($AC61&gt;0,INDEX(BG$7:BG$106,$AC61),1),IF($AD61&gt;0,INDEX(BG$7:BG$106,$AD61),1),IF($AE61&gt;0,INDEX(BG$7:BG$106,$AE61),1),IF($AF61&gt;0,INDEX(BG$7:BG$106,$AF61),1),IF($AG61&gt;0,INDEX(BG$7:BG$106,$AG61),1),IF($AH61&gt;0,INDEX(BG$7:BG$106,$AH61),1),IF($AI61&gt;0,INDEX(BG$7:BG$106,$AI61),1),IF($AJ61&gt;0,INDEX(BG$7:BG$106,$AJ61),1))))</ns0:f>
        <ns0:v>1</ns0:v>
      </ns0:c>
      <ns0:c r="BI61" t="n">
        <ns0:f>IF($A61="",1,IF(BH61=1,1,--AND(IF($AC61&gt;0,INDEX(BH$7:BH$106,$AC61),1),IF($AD61&gt;0,INDEX(BH$7:BH$106,$AD61),1),IF($AE61&gt;0,INDEX(BH$7:BH$106,$AE61),1),IF($AF61&gt;0,INDEX(BH$7:BH$106,$AF61),1),IF($AG61&gt;0,INDEX(BH$7:BH$106,$AG61),1),IF($AH61&gt;0,INDEX(BH$7:BH$106,$AH61),1),IF($AI61&gt;0,INDEX(BH$7:BH$106,$AI61),1),IF($AJ61&gt;0,INDEX(BH$7:BH$106,$AJ61),1))))</ns0:f>
        <ns0:v>1</ns0:v>
      </ns0:c>
      <ns0:c r="BJ61" t="n">
        <ns0:f>IF($A61="",1,IF(BI61=1,1,--AND(IF($AC61&gt;0,INDEX(BI$7:BI$106,$AC61),1),IF($AD61&gt;0,INDEX(BI$7:BI$106,$AD61),1),IF($AE61&gt;0,INDEX(BI$7:BI$106,$AE61),1),IF($AF61&gt;0,INDEX(BI$7:BI$106,$AF61),1),IF($AG61&gt;0,INDEX(BI$7:BI$106,$AG61),1),IF($AH61&gt;0,INDEX(BI$7:BI$106,$AH61),1),IF($AI61&gt;0,INDEX(BI$7:BI$106,$AI61),1),IF($AJ61&gt;0,INDEX(BI$7:BI$106,$AJ61),1))))</ns0:f>
        <ns0:v>1</ns0:v>
      </ns0:c>
      <ns0:c r="BK61" t="n">
        <ns0:f>IF($A61="",1,IF(BJ61=1,1,--AND(IF($AC61&gt;0,INDEX(BJ$7:BJ$106,$AC61),1),IF($AD61&gt;0,INDEX(BJ$7:BJ$106,$AD61),1),IF($AE61&gt;0,INDEX(BJ$7:BJ$106,$AE61),1),IF($AF61&gt;0,INDEX(BJ$7:BJ$106,$AF61),1),IF($AG61&gt;0,INDEX(BJ$7:BJ$106,$AG61),1),IF($AH61&gt;0,INDEX(BJ$7:BJ$106,$AH61),1),IF($AI61&gt;0,INDEX(BJ$7:BJ$106,$AI61),1),IF($AJ61&gt;0,INDEX(BJ$7:BJ$106,$AJ61),1))))</ns0:f>
        <ns0:v>1</ns0:v>
      </ns0:c>
      <ns0:c r="BL61" t="n">
        <ns0:f>IF($A61="",1,IF(BK61=1,1,--AND(IF($AC61&gt;0,INDEX(BK$7:BK$106,$AC61),1),IF($AD61&gt;0,INDEX(BK$7:BK$106,$AD61),1),IF($AE61&gt;0,INDEX(BK$7:BK$106,$AE61),1),IF($AF61&gt;0,INDEX(BK$7:BK$106,$AF61),1),IF($AG61&gt;0,INDEX(BK$7:BK$106,$AG61),1),IF($AH61&gt;0,INDEX(BK$7:BK$106,$AH61),1),IF($AI61&gt;0,INDEX(BK$7:BK$106,$AI61),1),IF($AJ61&gt;0,INDEX(BK$7:BK$106,$AJ61),1))))</ns0:f>
        <ns0:v>1</ns0:v>
      </ns0:c>
      <ns0:c r="BM61" t="n">
        <ns0:f>IF($A61="",1,IF(BL61=1,1,--AND(IF($AC61&gt;0,INDEX(BL$7:BL$106,$AC61),1),IF($AD61&gt;0,INDEX(BL$7:BL$106,$AD61),1),IF($AE61&gt;0,INDEX(BL$7:BL$106,$AE61),1),IF($AF61&gt;0,INDEX(BL$7:BL$106,$AF61),1),IF($AG61&gt;0,INDEX(BL$7:BL$106,$AG61),1),IF($AH61&gt;0,INDEX(BL$7:BL$106,$AH61),1),IF($AI61&gt;0,INDEX(BL$7:BL$106,$AI61),1),IF($AJ61&gt;0,INDEX(BL$7:BL$106,$AJ61),1))))</ns0:f>
        <ns0:v>1</ns0:v>
      </ns0:c>
      <ns0:c r="BN61" t="n">
        <ns0:f>IF($A61="",1,IF(BM61=1,1,--AND(IF($AC61&gt;0,INDEX(BM$7:BM$106,$AC61),1),IF($AD61&gt;0,INDEX(BM$7:BM$106,$AD61),1),IF($AE61&gt;0,INDEX(BM$7:BM$106,$AE61),1),IF($AF61&gt;0,INDEX(BM$7:BM$106,$AF61),1),IF($AG61&gt;0,INDEX(BM$7:BM$106,$AG61),1),IF($AH61&gt;0,INDEX(BM$7:BM$106,$AH61),1),IF($AI61&gt;0,INDEX(BM$7:BM$106,$AI61),1),IF($AJ61&gt;0,INDEX(BM$7:BM$106,$AJ61),1))))</ns0:f>
        <ns0:v>1</ns0:v>
      </ns0:c>
      <ns0:c r="BO61" t="n">
        <ns0:f>IF($A61="",1,IF(BN61=1,1,--AND(IF($AC61&gt;0,INDEX(BN$7:BN$106,$AC61),1),IF($AD61&gt;0,INDEX(BN$7:BN$106,$AD61),1),IF($AE61&gt;0,INDEX(BN$7:BN$106,$AE61),1),IF($AF61&gt;0,INDEX(BN$7:BN$106,$AF61),1),IF($AG61&gt;0,INDEX(BN$7:BN$106,$AG61),1),IF($AH61&gt;0,INDEX(BN$7:BN$106,$AH61),1),IF($AI61&gt;0,INDEX(BN$7:BN$106,$AI61),1),IF($AJ61&gt;0,INDEX(BN$7:BN$106,$AJ61),1))))</ns0:f>
        <ns0:v>1</ns0:v>
      </ns0:c>
      <ns0:c r="BP61" t="n">
        <ns0:f>IF($A61="",1,IF(BO61=1,1,--AND(IF($AC61&gt;0,INDEX(BO$7:BO$106,$AC61),1),IF($AD61&gt;0,INDEX(BO$7:BO$106,$AD61),1),IF($AE61&gt;0,INDEX(BO$7:BO$106,$AE61),1),IF($AF61&gt;0,INDEX(BO$7:BO$106,$AF61),1),IF($AG61&gt;0,INDEX(BO$7:BO$106,$AG61),1),IF($AH61&gt;0,INDEX(BO$7:BO$106,$AH61),1),IF($AI61&gt;0,INDEX(BO$7:BO$106,$AI61),1),IF($AJ61&gt;0,INDEX(BO$7:BO$106,$AJ61),1))))</ns0:f>
        <ns0:v>1</ns0:v>
      </ns0:c>
      <ns0:c r="BQ61" t="n">
        <ns0:f>IF($A61="",1,IF(BP61=1,1,--AND(IF($AC61&gt;0,INDEX(BP$7:BP$106,$AC61),1),IF($AD61&gt;0,INDEX(BP$7:BP$106,$AD61),1),IF($AE61&gt;0,INDEX(BP$7:BP$106,$AE61),1),IF($AF61&gt;0,INDEX(BP$7:BP$106,$AF61),1),IF($AG61&gt;0,INDEX(BP$7:BP$106,$AG61),1),IF($AH61&gt;0,INDEX(BP$7:BP$106,$AH61),1),IF($AI61&gt;0,INDEX(BP$7:BP$106,$AI61),1),IF($AJ61&gt;0,INDEX(BP$7:BP$106,$AJ61),1))))</ns0:f>
        <ns0:v>1</ns0:v>
      </ns0:c>
      <ns0:c r="BR61" t="n">
        <ns0:f>IF($A61="",1,IF(BQ61=1,1,--AND(IF($AC61&gt;0,INDEX(BQ$7:BQ$106,$AC61),1),IF($AD61&gt;0,INDEX(BQ$7:BQ$106,$AD61),1),IF($AE61&gt;0,INDEX(BQ$7:BQ$106,$AE61),1),IF($AF61&gt;0,INDEX(BQ$7:BQ$106,$AF61),1),IF($AG61&gt;0,INDEX(BQ$7:BQ$106,$AG61),1),IF($AH61&gt;0,INDEX(BQ$7:BQ$106,$AH61),1),IF($AI61&gt;0,INDEX(BQ$7:BQ$106,$AI61),1),IF($AJ61&gt;0,INDEX(BQ$7:BQ$106,$AJ61),1))))</ns0:f>
        <ns0:v>1</ns0:v>
      </ns0:c>
      <ns0:c r="BS61" t="n">
        <ns0:f>IF($A61="",1,IF(BR61=1,1,--AND(IF($AC61&gt;0,INDEX(BR$7:BR$106,$AC61),1),IF($AD61&gt;0,INDEX(BR$7:BR$106,$AD61),1),IF($AE61&gt;0,INDEX(BR$7:BR$106,$AE61),1),IF($AF61&gt;0,INDEX(BR$7:BR$106,$AF61),1),IF($AG61&gt;0,INDEX(BR$7:BR$106,$AG61),1),IF($AH61&gt;0,INDEX(BR$7:BR$106,$AH61),1),IF($AI61&gt;0,INDEX(BR$7:BR$106,$AI61),1),IF($AJ61&gt;0,INDEX(BR$7:BR$106,$AJ61),1))))</ns0:f>
        <ns0:v>1</ns0:v>
      </ns0:c>
      <ns0:c r="BT61" t="n">
        <ns0:f>IF($A61="",1,IF(BS61=1,1,--AND(IF($AC61&gt;0,INDEX(BS$7:BS$106,$AC61),1),IF($AD61&gt;0,INDEX(BS$7:BS$106,$AD61),1),IF($AE61&gt;0,INDEX(BS$7:BS$106,$AE61),1),IF($AF61&gt;0,INDEX(BS$7:BS$106,$AF61),1),IF($AG61&gt;0,INDEX(BS$7:BS$106,$AG61),1),IF($AH61&gt;0,INDEX(BS$7:BS$106,$AH61),1),IF($AI61&gt;0,INDEX(BS$7:BS$106,$AI61),1),IF($AJ61&gt;0,INDEX(BS$7:BS$106,$AJ61),1))))</ns0:f>
        <ns0:v>1</ns0:v>
      </ns0:c>
      <ns0:c r="BU61" t="n">
        <ns0:f>IF($A61="",1,IF(BT61=1,1,--AND(IF($AC61&gt;0,INDEX(BT$7:BT$106,$AC61),1),IF($AD61&gt;0,INDEX(BT$7:BT$106,$AD61),1),IF($AE61&gt;0,INDEX(BT$7:BT$106,$AE61),1),IF($AF61&gt;0,INDEX(BT$7:BT$106,$AF61),1),IF($AG61&gt;0,INDEX(BT$7:BT$106,$AG61),1),IF($AH61&gt;0,INDEX(BT$7:BT$106,$AH61),1),IF($AI61&gt;0,INDEX(BT$7:BT$106,$AI61),1),IF($AJ61&gt;0,INDEX(BT$7:BT$106,$AJ61),1))))</ns0:f>
        <ns0:v>1</ns0:v>
      </ns0:c>
      <ns0:c r="BV61" t="n">
        <ns0:f>IF($A61="",1,IF(BU61=1,1,--AND(IF($AC61&gt;0,INDEX(BU$7:BU$106,$AC61),1),IF($AD61&gt;0,INDEX(BU$7:BU$106,$AD61),1),IF($AE61&gt;0,INDEX(BU$7:BU$106,$AE61),1),IF($AF61&gt;0,INDEX(BU$7:BU$106,$AF61),1),IF($AG61&gt;0,INDEX(BU$7:BU$106,$AG61),1),IF($AH61&gt;0,INDEX(BU$7:BU$106,$AH61),1),IF($AI61&gt;0,INDEX(BU$7:BU$106,$AI61),1),IF($AJ61&gt;0,INDEX(BU$7:BU$106,$AJ61),1))))</ns0:f>
        <ns0:v>1</ns0:v>
      </ns0:c>
      <ns0:c r="BW61" t="n">
        <ns0:f>IF($A61="",1,IF(BV61=1,1,--AND(IF($AC61&gt;0,INDEX(BV$7:BV$106,$AC61),1),IF($AD61&gt;0,INDEX(BV$7:BV$106,$AD61),1),IF($AE61&gt;0,INDEX(BV$7:BV$106,$AE61),1),IF($AF61&gt;0,INDEX(BV$7:BV$106,$AF61),1),IF($AG61&gt;0,INDEX(BV$7:BV$106,$AG61),1),IF($AH61&gt;0,INDEX(BV$7:BV$106,$AH61),1),IF($AI61&gt;0,INDEX(BV$7:BV$106,$AI61),1),IF($AJ61&gt;0,INDEX(BV$7:BV$106,$AJ61),1))))</ns0:f>
        <ns0:v>1</ns0:v>
      </ns0:c>
      <ns0:c r="BX61" t="n">
        <ns0:f>IF($A61="",1,IF(BW61=1,1,--AND(IF($AC61&gt;0,INDEX(BW$7:BW$106,$AC61),1),IF($AD61&gt;0,INDEX(BW$7:BW$106,$AD61),1),IF($AE61&gt;0,INDEX(BW$7:BW$106,$AE61),1),IF($AF61&gt;0,INDEX(BW$7:BW$106,$AF61),1),IF($AG61&gt;0,INDEX(BW$7:BW$106,$AG61),1),IF($AH61&gt;0,INDEX(BW$7:BW$106,$AH61),1),IF($AI61&gt;0,INDEX(BW$7:BW$106,$AI61),1),IF($AJ61&gt;0,INDEX(BW$7:BW$106,$AJ61),1))))</ns0:f>
        <ns0:v>1</ns0:v>
      </ns0:c>
      <ns0:c r="BY61" t="n">
        <ns0:f>IF($A61="",1,IF(BX61=1,1,--AND(IF($AC61&gt;0,INDEX(BX$7:BX$106,$AC61),1),IF($AD61&gt;0,INDEX(BX$7:BX$106,$AD61),1),IF($AE61&gt;0,INDEX(BX$7:BX$106,$AE61),1),IF($AF61&gt;0,INDEX(BX$7:BX$106,$AF61),1),IF($AG61&gt;0,INDEX(BX$7:BX$106,$AG61),1),IF($AH61&gt;0,INDEX(BX$7:BX$106,$AH61),1),IF($AI61&gt;0,INDEX(BX$7:BX$106,$AI61),1),IF($AJ61&gt;0,INDEX(BX$7:BX$106,$AJ61),1))))</ns0:f>
        <ns0:v>1</ns0:v>
      </ns0:c>
      <ns0:c r="BZ61" t="n">
        <ns0:f>IF($A61="",1,IF(BY61=1,1,--AND(IF($AC61&gt;0,INDEX(BY$7:BY$106,$AC61),1),IF($AD61&gt;0,INDEX(BY$7:BY$106,$AD61),1),IF($AE61&gt;0,INDEX(BY$7:BY$106,$AE61),1),IF($AF61&gt;0,INDEX(BY$7:BY$106,$AF61),1),IF($AG61&gt;0,INDEX(BY$7:BY$106,$AG61),1),IF($AH61&gt;0,INDEX(BY$7:BY$106,$AH61),1),IF($AI61&gt;0,INDEX(BY$7:BY$106,$AI61),1),IF($AJ61&gt;0,INDEX(BY$7:BY$106,$AJ61),1))))</ns0:f>
        <ns0:v>1</ns0:v>
      </ns0:c>
      <ns0:c r="CA61" t="n">
        <ns0:f>IF($A61="",1,IF(BZ61=1,1,--AND(IF($AC61&gt;0,INDEX(BZ$7:BZ$106,$AC61),1),IF($AD61&gt;0,INDEX(BZ$7:BZ$106,$AD61),1),IF($AE61&gt;0,INDEX(BZ$7:BZ$106,$AE61),1),IF($AF61&gt;0,INDEX(BZ$7:BZ$106,$AF61),1),IF($AG61&gt;0,INDEX(BZ$7:BZ$106,$AG61),1),IF($AH61&gt;0,INDEX(BZ$7:BZ$106,$AH61),1),IF($AI61&gt;0,INDEX(BZ$7:BZ$106,$AI61),1),IF($AJ61&gt;0,INDEX(BZ$7:BZ$106,$AJ61),1))))</ns0:f>
        <ns0:v>1</ns0:v>
      </ns0:c>
      <ns0:c r="CB61" t="n">
        <ns0:f>IF($A61="",1,IF(CA61=1,1,--AND(IF($AC61&gt;0,INDEX(CA$7:CA$106,$AC61),1),IF($AD61&gt;0,INDEX(CA$7:CA$106,$AD61),1),IF($AE61&gt;0,INDEX(CA$7:CA$106,$AE61),1),IF($AF61&gt;0,INDEX(CA$7:CA$106,$AF61),1),IF($AG61&gt;0,INDEX(CA$7:CA$106,$AG61),1),IF($AH61&gt;0,INDEX(CA$7:CA$106,$AH61),1),IF($AI61&gt;0,INDEX(CA$7:CA$106,$AI61),1),IF($AJ61&gt;0,INDEX(CA$7:CA$106,$AJ61),1))))</ns0:f>
        <ns0:v>1</ns0:v>
      </ns0:c>
      <ns0:c r="CC61" t="n">
        <ns0:f>IF($A61="",1,IF(CB61=1,1,--AND(IF($AC61&gt;0,INDEX(CB$7:CB$106,$AC61),1),IF($AD61&gt;0,INDEX(CB$7:CB$106,$AD61),1),IF($AE61&gt;0,INDEX(CB$7:CB$106,$AE61),1),IF($AF61&gt;0,INDEX(CB$7:CB$106,$AF61),1),IF($AG61&gt;0,INDEX(CB$7:CB$106,$AG61),1),IF($AH61&gt;0,INDEX(CB$7:CB$106,$AH61),1),IF($AI61&gt;0,INDEX(CB$7:CB$106,$AI61),1),IF($AJ61&gt;0,INDEX(CB$7:CB$106,$AJ61),1))))</ns0:f>
        <ns0:v>1</ns0:v>
      </ns0:c>
      <ns0:c r="CD61" t="n">
        <ns0:f>IF($A61="",1,IF(CC61=1,1,--AND(IF($AC61&gt;0,INDEX(CC$7:CC$106,$AC61),1),IF($AD61&gt;0,INDEX(CC$7:CC$106,$AD61),1),IF($AE61&gt;0,INDEX(CC$7:CC$106,$AE61),1),IF($AF61&gt;0,INDEX(CC$7:CC$106,$AF61),1),IF($AG61&gt;0,INDEX(CC$7:CC$106,$AG61),1),IF($AH61&gt;0,INDEX(CC$7:CC$106,$AH61),1),IF($AI61&gt;0,INDEX(CC$7:CC$106,$AI61),1),IF($AJ61&gt;0,INDEX(CC$7:CC$106,$AJ61),1))))</ns0:f>
        <ns0:v>1</ns0:v>
      </ns0:c>
      <ns0:c r="CE61" t="n">
        <ns0:f>IF($A61="",1,IF(CD61=1,1,--AND(IF($AC61&gt;0,INDEX(CD$7:CD$106,$AC61),1),IF($AD61&gt;0,INDEX(CD$7:CD$106,$AD61),1),IF($AE61&gt;0,INDEX(CD$7:CD$106,$AE61),1),IF($AF61&gt;0,INDEX(CD$7:CD$106,$AF61),1),IF($AG61&gt;0,INDEX(CD$7:CD$106,$AG61),1),IF($AH61&gt;0,INDEX(CD$7:CD$106,$AH61),1),IF($AI61&gt;0,INDEX(CD$7:CD$106,$AI61),1),IF($AJ61&gt;0,INDEX(CD$7:CD$106,$AJ61),1))))</ns0:f>
        <ns0:v>1</ns0:v>
      </ns0:c>
      <ns0:c r="CF61" t="n">
        <ns0:f>IF($A61="",1,IF(CE61=1,1,--AND(IF($AC61&gt;0,INDEX(CE$7:CE$106,$AC61),1),IF($AD61&gt;0,INDEX(CE$7:CE$106,$AD61),1),IF($AE61&gt;0,INDEX(CE$7:CE$106,$AE61),1),IF($AF61&gt;0,INDEX(CE$7:CE$106,$AF61),1),IF($AG61&gt;0,INDEX(CE$7:CE$106,$AG61),1),IF($AH61&gt;0,INDEX(CE$7:CE$106,$AH61),1),IF($AI61&gt;0,INDEX(CE$7:CE$106,$AI61),1),IF($AJ61&gt;0,INDEX(CE$7:CE$106,$AJ61),1))))</ns0:f>
        <ns0:v>1</ns0:v>
      </ns0:c>
      <ns0:c r="CG61" t="n">
        <ns0:f>IF($A61="",1,IF(CF61=1,1,--AND(IF($AC61&gt;0,INDEX(CF$7:CF$106,$AC61),1),IF($AD61&gt;0,INDEX(CF$7:CF$106,$AD61),1),IF($AE61&gt;0,INDEX(CF$7:CF$106,$AE61),1),IF($AF61&gt;0,INDEX(CF$7:CF$106,$AF61),1),IF($AG61&gt;0,INDEX(CF$7:CF$106,$AG61),1),IF($AH61&gt;0,INDEX(CF$7:CF$106,$AH61),1),IF($AI61&gt;0,INDEX(CF$7:CF$106,$AI61),1),IF($AJ61&gt;0,INDEX(CF$7:CF$106,$AJ61),1))))</ns0:f>
        <ns0:v>1</ns0:v>
      </ns0:c>
      <ns0:c r="CH61" t="n">
        <ns0:f>IF($A61="",1,IF(CG61=1,1,--AND(IF($AC61&gt;0,INDEX(CG$7:CG$106,$AC61),1),IF($AD61&gt;0,INDEX(CG$7:CG$106,$AD61),1),IF($AE61&gt;0,INDEX(CG$7:CG$106,$AE61),1),IF($AF61&gt;0,INDEX(CG$7:CG$106,$AF61),1),IF($AG61&gt;0,INDEX(CG$7:CG$106,$AG61),1),IF($AH61&gt;0,INDEX(CG$7:CG$106,$AH61),1),IF($AI61&gt;0,INDEX(CG$7:CG$106,$AI61),1),IF($AJ61&gt;0,INDEX(CG$7:CG$106,$AJ61),1))))</ns0:f>
        <ns0:v>1</ns0:v>
      </ns0:c>
      <ns0:c r="CI61" t="n">
        <ns0:f>IF($A61="",1,IF(CH61=1,1,--AND(IF($AC61&gt;0,INDEX(CH$7:CH$106,$AC61),1),IF($AD61&gt;0,INDEX(CH$7:CH$106,$AD61),1),IF($AE61&gt;0,INDEX(CH$7:CH$106,$AE61),1),IF($AF61&gt;0,INDEX(CH$7:CH$106,$AF61),1),IF($AG61&gt;0,INDEX(CH$7:CH$106,$AG61),1),IF($AH61&gt;0,INDEX(CH$7:CH$106,$AH61),1),IF($AI61&gt;0,INDEX(CH$7:CH$106,$AI61),1),IF($AJ61&gt;0,INDEX(CH$7:CH$106,$AJ61),1))))</ns0:f>
        <ns0:v>1</ns0:v>
      </ns0:c>
      <ns0:c r="CJ61" t="n">
        <ns0:f>IF($A61="",1,IF(CI61=1,1,--AND(IF($AC61&gt;0,INDEX(CI$7:CI$106,$AC61),1),IF($AD61&gt;0,INDEX(CI$7:CI$106,$AD61),1),IF($AE61&gt;0,INDEX(CI$7:CI$106,$AE61),1),IF($AF61&gt;0,INDEX(CI$7:CI$106,$AF61),1),IF($AG61&gt;0,INDEX(CI$7:CI$106,$AG61),1),IF($AH61&gt;0,INDEX(CI$7:CI$106,$AH61),1),IF($AI61&gt;0,INDEX(CI$7:CI$106,$AI61),1),IF($AJ61&gt;0,INDEX(CI$7:CI$106,$AJ61),1))))</ns0:f>
        <ns0:v>1</ns0:v>
      </ns0:c>
      <ns0:c r="CK61" t="n">
        <ns0:f>IF($A61="",1,IF(CJ61=1,1,--AND(IF($AC61&gt;0,INDEX(CJ$7:CJ$106,$AC61),1),IF($AD61&gt;0,INDEX(CJ$7:CJ$106,$AD61),1),IF($AE61&gt;0,INDEX(CJ$7:CJ$106,$AE61),1),IF($AF61&gt;0,INDEX(CJ$7:CJ$106,$AF61),1),IF($AG61&gt;0,INDEX(CJ$7:CJ$106,$AG61),1),IF($AH61&gt;0,INDEX(CJ$7:CJ$106,$AH61),1),IF($AI61&gt;0,INDEX(CJ$7:CJ$106,$AI61),1),IF($AJ61&gt;0,INDEX(CJ$7:CJ$106,$AJ61),1))))</ns0:f>
        <ns0:v>1</ns0:v>
      </ns0:c>
      <ns0:c r="CL61" t="n">
        <ns0:f>IF($A61="",1,IF(CK61=1,1,--AND(IF($AC61&gt;0,INDEX(CK$7:CK$106,$AC61),1),IF($AD61&gt;0,INDEX(CK$7:CK$106,$AD61),1),IF($AE61&gt;0,INDEX(CK$7:CK$106,$AE61),1),IF($AF61&gt;0,INDEX(CK$7:CK$106,$AF61),1),IF($AG61&gt;0,INDEX(CK$7:CK$106,$AG61),1),IF($AH61&gt;0,INDEX(CK$7:CK$106,$AH61),1),IF($AI61&gt;0,INDEX(CK$7:CK$106,$AI61),1),IF($AJ61&gt;0,INDEX(CK$7:CK$106,$AJ61),1))))</ns0:f>
        <ns0:v>1</ns0:v>
      </ns0:c>
      <ns0:c r="CM61" t="n">
        <ns0:f>IF($A61="",1,IF(CL61=1,1,--AND(IF($AC61&gt;0,INDEX(CL$7:CL$106,$AC61),1),IF($AD61&gt;0,INDEX(CL$7:CL$106,$AD61),1),IF($AE61&gt;0,INDEX(CL$7:CL$106,$AE61),1),IF($AF61&gt;0,INDEX(CL$7:CL$106,$AF61),1),IF($AG61&gt;0,INDEX(CL$7:CL$106,$AG61),1),IF($AH61&gt;0,INDEX(CL$7:CL$106,$AH61),1),IF($AI61&gt;0,INDEX(CL$7:CL$106,$AI61),1),IF($AJ61&gt;0,INDEX(CL$7:CL$106,$AJ61),1))))</ns0:f>
        <ns0:v>1</ns0:v>
      </ns0:c>
      <ns0:c r="CN61" t="n">
        <ns0:f>IF($A61="",1,IF(CM61=1,1,--AND(IF($AC61&gt;0,INDEX(CM$7:CM$106,$AC61),1),IF($AD61&gt;0,INDEX(CM$7:CM$106,$AD61),1),IF($AE61&gt;0,INDEX(CM$7:CM$106,$AE61),1),IF($AF61&gt;0,INDEX(CM$7:CM$106,$AF61),1),IF($AG61&gt;0,INDEX(CM$7:CM$106,$AG61),1),IF($AH61&gt;0,INDEX(CM$7:CM$106,$AH61),1),IF($AI61&gt;0,INDEX(CM$7:CM$106,$AI61),1),IF($AJ61&gt;0,INDEX(CM$7:CM$106,$AJ61),1))))</ns0:f>
        <ns0:v>1</ns0:v>
      </ns0:c>
      <ns0:c r="CO61" t="n">
        <ns0:f>IF($A61="",1,IF(CN61=1,1,--AND(IF($AC61&gt;0,INDEX(CN$7:CN$106,$AC61),1),IF($AD61&gt;0,INDEX(CN$7:CN$106,$AD61),1),IF($AE61&gt;0,INDEX(CN$7:CN$106,$AE61),1),IF($AF61&gt;0,INDEX(CN$7:CN$106,$AF61),1),IF($AG61&gt;0,INDEX(CN$7:CN$106,$AG61),1),IF($AH61&gt;0,INDEX(CN$7:CN$106,$AH61),1),IF($AI61&gt;0,INDEX(CN$7:CN$106,$AI61),1),IF($AJ61&gt;0,INDEX(CN$7:CN$106,$AJ61),1))))</ns0:f>
        <ns0:v>1</ns0:v>
      </ns0:c>
      <ns0:c r="CP61" t="n">
        <ns0:f>IF($A61="",1,IF(CO61=1,1,--AND(IF($AC61&gt;0,INDEX(CO$7:CO$106,$AC61),1),IF($AD61&gt;0,INDEX(CO$7:CO$106,$AD61),1),IF($AE61&gt;0,INDEX(CO$7:CO$106,$AE61),1),IF($AF61&gt;0,INDEX(CO$7:CO$106,$AF61),1),IF($AG61&gt;0,INDEX(CO$7:CO$106,$AG61),1),IF($AH61&gt;0,INDEX(CO$7:CO$106,$AH61),1),IF($AI61&gt;0,INDEX(CO$7:CO$106,$AI61),1),IF($AJ61&gt;0,INDEX(CO$7:CO$106,$AJ61),1))))</ns0:f>
        <ns0:v>1</ns0:v>
      </ns0:c>
      <ns0:c r="CQ61" t="n">
        <ns0:f>IF($A61="",1,IF(CP61=1,1,--AND(IF($AC61&gt;0,INDEX(CP$7:CP$106,$AC61),1),IF($AD61&gt;0,INDEX(CP$7:CP$106,$AD61),1),IF($AE61&gt;0,INDEX(CP$7:CP$106,$AE61),1),IF($AF61&gt;0,INDEX(CP$7:CP$106,$AF61),1),IF($AG61&gt;0,INDEX(CP$7:CP$106,$AG61),1),IF($AH61&gt;0,INDEX(CP$7:CP$106,$AH61),1),IF($AI61&gt;0,INDEX(CP$7:CP$106,$AI61),1),IF($AJ61&gt;0,INDEX(CP$7:CP$106,$AJ61),1))))</ns0:f>
        <ns0:v>1</ns0:v>
      </ns0:c>
      <ns0:c r="CR61" t="n">
        <ns0:f>IF($A61="",1,IF(CQ61=1,1,--AND(IF($AC61&gt;0,INDEX(CQ$7:CQ$106,$AC61),1),IF($AD61&gt;0,INDEX(CQ$7:CQ$106,$AD61),1),IF($AE61&gt;0,INDEX(CQ$7:CQ$106,$AE61),1),IF($AF61&gt;0,INDEX(CQ$7:CQ$106,$AF61),1),IF($AG61&gt;0,INDEX(CQ$7:CQ$106,$AG61),1),IF($AH61&gt;0,INDEX(CQ$7:CQ$106,$AH61),1),IF($AI61&gt;0,INDEX(CQ$7:CQ$106,$AI61),1),IF($AJ61&gt;0,INDEX(CQ$7:CQ$106,$AJ61),1))))</ns0:f>
        <ns0:v>1</ns0:v>
      </ns0:c>
      <ns0:c r="CS61" t="n">
        <ns0:f>IF($A61="",1,IF(CR61=1,1,--AND(IF($AC61&gt;0,INDEX(CR$7:CR$106,$AC61),1),IF($AD61&gt;0,INDEX(CR$7:CR$106,$AD61),1),IF($AE61&gt;0,INDEX(CR$7:CR$106,$AE61),1),IF($AF61&gt;0,INDEX(CR$7:CR$106,$AF61),1),IF($AG61&gt;0,INDEX(CR$7:CR$106,$AG61),1),IF($AH61&gt;0,INDEX(CR$7:CR$106,$AH61),1),IF($AI61&gt;0,INDEX(CR$7:CR$106,$AI61),1),IF($AJ61&gt;0,INDEX(CR$7:CR$106,$AJ61),1))))</ns0:f>
        <ns0:v>1</ns0:v>
      </ns0:c>
      <ns0:c r="CT61" t="n">
        <ns0:f>IF($A61="",1,IF(CS61=1,1,--AND(IF($AC61&gt;0,INDEX(CS$7:CS$106,$AC61),1),IF($AD61&gt;0,INDEX(CS$7:CS$106,$AD61),1),IF($AE61&gt;0,INDEX(CS$7:CS$106,$AE61),1),IF($AF61&gt;0,INDEX(CS$7:CS$106,$AF61),1),IF($AG61&gt;0,INDEX(CS$7:CS$106,$AG61),1),IF($AH61&gt;0,INDEX(CS$7:CS$106,$AH61),1),IF($AI61&gt;0,INDEX(CS$7:CS$106,$AI61),1),IF($AJ61&gt;0,INDEX(CS$7:CS$106,$AJ61),1))))</ns0:f>
        <ns0:v>1</ns0:v>
      </ns0:c>
      <ns0:c r="CU61" t="n">
        <ns0:f>IF($A61="",1,IF(CT61=1,1,--AND(IF($AC61&gt;0,INDEX(CT$7:CT$106,$AC61),1),IF($AD61&gt;0,INDEX(CT$7:CT$106,$AD61),1),IF($AE61&gt;0,INDEX(CT$7:CT$106,$AE61),1),IF($AF61&gt;0,INDEX(CT$7:CT$106,$AF61),1),IF($AG61&gt;0,INDEX(CT$7:CT$106,$AG61),1),IF($AH61&gt;0,INDEX(CT$7:CT$106,$AH61),1),IF($AI61&gt;0,INDEX(CT$7:CT$106,$AI61),1),IF($AJ61&gt;0,INDEX(CT$7:CT$106,$AJ61),1))))</ns0:f>
        <ns0:v>1</ns0:v>
      </ns0:c>
      <ns0:c r="CV61" t="n">
        <ns0:f>IF($A61="",1,IF(CU61=1,1,--AND(IF($AC61&gt;0,INDEX(CU$7:CU$106,$AC61),1),IF($AD61&gt;0,INDEX(CU$7:CU$106,$AD61),1),IF($AE61&gt;0,INDEX(CU$7:CU$106,$AE61),1),IF($AF61&gt;0,INDEX(CU$7:CU$106,$AF61),1),IF($AG61&gt;0,INDEX(CU$7:CU$106,$AG61),1),IF($AH61&gt;0,INDEX(CU$7:CU$106,$AH61),1),IF($AI61&gt;0,INDEX(CU$7:CU$106,$AI61),1),IF($AJ61&gt;0,INDEX(CU$7:CU$106,$AJ61),1))))</ns0:f>
        <ns0:v>1</ns0:v>
      </ns0:c>
      <ns0:c r="CW61" t="n">
        <ns0:f>IF($A61="",1,IF(CV61=1,1,--AND(IF($AC61&gt;0,INDEX(CV$7:CV$106,$AC61),1),IF($AD61&gt;0,INDEX(CV$7:CV$106,$AD61),1),IF($AE61&gt;0,INDEX(CV$7:CV$106,$AE61),1),IF($AF61&gt;0,INDEX(CV$7:CV$106,$AF61),1),IF($AG61&gt;0,INDEX(CV$7:CV$106,$AG61),1),IF($AH61&gt;0,INDEX(CV$7:CV$106,$AH61),1),IF($AI61&gt;0,INDEX(CV$7:CV$106,$AI61),1),IF($AJ61&gt;0,INDEX(CV$7:CV$106,$AJ61),1))))</ns0:f>
        <ns0:v>1</ns0:v>
      </ns0:c>
      <ns0:c r="CX61" t="n">
        <ns0:f>IF($A61="",1,IF(CW61=1,1,--AND(IF($AC61&gt;0,INDEX(CW$7:CW$106,$AC61),1),IF($AD61&gt;0,INDEX(CW$7:CW$106,$AD61),1),IF($AE61&gt;0,INDEX(CW$7:CW$106,$AE61),1),IF($AF61&gt;0,INDEX(CW$7:CW$106,$AF61),1),IF($AG61&gt;0,INDEX(CW$7:CW$106,$AG61),1),IF($AH61&gt;0,INDEX(CW$7:CW$106,$AH61),1),IF($AI61&gt;0,INDEX(CW$7:CW$106,$AI61),1),IF($AJ61&gt;0,INDEX(CW$7:CW$106,$AJ61),1))))</ns0:f>
        <ns0:v>1</ns0:v>
      </ns0:c>
      <ns0:c r="CY61" t="n">
        <ns0:f>IF($A61="",1,IF(CX61=1,1,--AND(IF($AC61&gt;0,INDEX(CX$7:CX$106,$AC61),1),IF($AD61&gt;0,INDEX(CX$7:CX$106,$AD61),1),IF($AE61&gt;0,INDEX(CX$7:CX$106,$AE61),1),IF($AF61&gt;0,INDEX(CX$7:CX$106,$AF61),1),IF($AG61&gt;0,INDEX(CX$7:CX$106,$AG61),1),IF($AH61&gt;0,INDEX(CX$7:CX$106,$AH61),1),IF($AI61&gt;0,INDEX(CX$7:CX$106,$AI61),1),IF($AJ61&gt;0,INDEX(CX$7:CX$106,$AJ61),1))))</ns0:f>
        <ns0:v>1</ns0:v>
      </ns0:c>
      <ns0:c r="CZ61" t="n">
        <ns0:f>IF($A61="",1,IF(CY61=1,1,--AND(IF($AC61&gt;0,INDEX(CY$7:CY$106,$AC61),1),IF($AD61&gt;0,INDEX(CY$7:CY$106,$AD61),1),IF($AE61&gt;0,INDEX(CY$7:CY$106,$AE61),1),IF($AF61&gt;0,INDEX(CY$7:CY$106,$AF61),1),IF($AG61&gt;0,INDEX(CY$7:CY$106,$AG61),1),IF($AH61&gt;0,INDEX(CY$7:CY$106,$AH61),1),IF($AI61&gt;0,INDEX(CY$7:CY$106,$AI61),1),IF($AJ61&gt;0,INDEX(CY$7:CY$106,$AJ61),1))))</ns0:f>
        <ns0:v>1</ns0:v>
      </ns0:c>
      <ns0:c r="DA61" t="n">
        <ns0:f>IF($A61="",1,IF(CZ61=1,1,--AND(IF($AC61&gt;0,INDEX(CZ$7:CZ$106,$AC61),1),IF($AD61&gt;0,INDEX(CZ$7:CZ$106,$AD61),1),IF($AE61&gt;0,INDEX(CZ$7:CZ$106,$AE61),1),IF($AF61&gt;0,INDEX(CZ$7:CZ$106,$AF61),1),IF($AG61&gt;0,INDEX(CZ$7:CZ$106,$AG61),1),IF($AH61&gt;0,INDEX(CZ$7:CZ$106,$AH61),1),IF($AI61&gt;0,INDEX(CZ$7:CZ$106,$AI61),1),IF($AJ61&gt;0,INDEX(CZ$7:CZ$106,$AJ61),1))))</ns0:f>
        <ns0:v>1</ns0:v>
      </ns0:c>
      <ns0:c r="DB61" t="n">
        <ns0:f>IF($A61="",1,IF(DA61=1,1,--AND(IF($AC61&gt;0,INDEX(DA$7:DA$106,$AC61),1),IF($AD61&gt;0,INDEX(DA$7:DA$106,$AD61),1),IF($AE61&gt;0,INDEX(DA$7:DA$106,$AE61),1),IF($AF61&gt;0,INDEX(DA$7:DA$106,$AF61),1),IF($AG61&gt;0,INDEX(DA$7:DA$106,$AG61),1),IF($AH61&gt;0,INDEX(DA$7:DA$106,$AH61),1),IF($AI61&gt;0,INDEX(DA$7:DA$106,$AI61),1),IF($AJ61&gt;0,INDEX(DA$7:DA$106,$AJ61),1))))</ns0:f>
        <ns0:v>1</ns0:v>
      </ns0:c>
      <ns0:c r="DC61" t="n">
        <ns0:f>IF($A61="",1,IF(DB61=1,1,--AND(IF($AC61&gt;0,INDEX(DB$7:DB$106,$AC61),1),IF($AD61&gt;0,INDEX(DB$7:DB$106,$AD61),1),IF($AE61&gt;0,INDEX(DB$7:DB$106,$AE61),1),IF($AF61&gt;0,INDEX(DB$7:DB$106,$AF61),1),IF($AG61&gt;0,INDEX(DB$7:DB$106,$AG61),1),IF($AH61&gt;0,INDEX(DB$7:DB$106,$AH61),1),IF($AI61&gt;0,INDEX(DB$7:DB$106,$AI61),1),IF($AJ61&gt;0,INDEX(DB$7:DB$106,$AJ61),1))))</ns0:f>
        <ns0:v>1</ns0:v>
      </ns0:c>
      <ns0:c r="DD61" t="n">
        <ns0:f>IF($A61="",1,IF(DC61=1,1,--AND(IF($AC61&gt;0,INDEX(DC$7:DC$106,$AC61),1),IF($AD61&gt;0,INDEX(DC$7:DC$106,$AD61),1),IF($AE61&gt;0,INDEX(DC$7:DC$106,$AE61),1),IF($AF61&gt;0,INDEX(DC$7:DC$106,$AF61),1),IF($AG61&gt;0,INDEX(DC$7:DC$106,$AG61),1),IF($AH61&gt;0,INDEX(DC$7:DC$106,$AH61),1),IF($AI61&gt;0,INDEX(DC$7:DC$106,$AI61),1),IF($AJ61&gt;0,INDEX(DC$7:DC$106,$AJ61),1))))</ns0:f>
        <ns0:v>1</ns0:v>
      </ns0:c>
      <ns0:c r="DE61" t="n">
        <ns0:f>IF($A61="",1,IF(DD61=1,1,--AND(IF($AC61&gt;0,INDEX(DD$7:DD$106,$AC61),1),IF($AD61&gt;0,INDEX(DD$7:DD$106,$AD61),1),IF($AE61&gt;0,INDEX(DD$7:DD$106,$AE61),1),IF($AF61&gt;0,INDEX(DD$7:DD$106,$AF61),1),IF($AG61&gt;0,INDEX(DD$7:DD$106,$AG61),1),IF($AH61&gt;0,INDEX(DD$7:DD$106,$AH61),1),IF($AI61&gt;0,INDEX(DD$7:DD$106,$AI61),1),IF($AJ61&gt;0,INDEX(DD$7:DD$106,$AJ61),1))))</ns0:f>
        <ns0:v>1</ns0:v>
      </ns0:c>
      <ns0:c r="DF61" t="n">
        <ns0:f>IF($A61="",1,IF(DE61=1,1,--AND(IF($AC61&gt;0,INDEX(DE$7:DE$106,$AC61),1),IF($AD61&gt;0,INDEX(DE$7:DE$106,$AD61),1),IF($AE61&gt;0,INDEX(DE$7:DE$106,$AE61),1),IF($AF61&gt;0,INDEX(DE$7:DE$106,$AF61),1),IF($AG61&gt;0,INDEX(DE$7:DE$106,$AG61),1),IF($AH61&gt;0,INDEX(DE$7:DE$106,$AH61),1),IF($AI61&gt;0,INDEX(DE$7:DE$106,$AI61),1),IF($AJ61&gt;0,INDEX(DE$7:DE$106,$AJ61),1))))</ns0:f>
        <ns0:v>1</ns0:v>
      </ns0:c>
      <ns0:c r="DG61" t="n">
        <ns0:f>IF($A61="",1,IF(DF61=1,1,--AND(IF($AC61&gt;0,INDEX(DF$7:DF$106,$AC61),1),IF($AD61&gt;0,INDEX(DF$7:DF$106,$AD61),1),IF($AE61&gt;0,INDEX(DF$7:DF$106,$AE61),1),IF($AF61&gt;0,INDEX(DF$7:DF$106,$AF61),1),IF($AG61&gt;0,INDEX(DF$7:DF$106,$AG61),1),IF($AH61&gt;0,INDEX(DF$7:DF$106,$AH61),1),IF($AI61&gt;0,INDEX(DF$7:DF$106,$AI61),1),IF($AJ61&gt;0,INDEX(DF$7:DF$106,$AJ61),1))))</ns0:f>
        <ns0:v>1</ns0:v>
      </ns0:c>
      <ns0:c r="DH61" t="n">
        <ns0:f>IF($A61="",1,IF(DG61=1,1,--AND(IF($AC61&gt;0,INDEX(DG$7:DG$106,$AC61),1),IF($AD61&gt;0,INDEX(DG$7:DG$106,$AD61),1),IF($AE61&gt;0,INDEX(DG$7:DG$106,$AE61),1),IF($AF61&gt;0,INDEX(DG$7:DG$106,$AF61),1),IF($AG61&gt;0,INDEX(DG$7:DG$106,$AG61),1),IF($AH61&gt;0,INDEX(DG$7:DG$106,$AH61),1),IF($AI61&gt;0,INDEX(DG$7:DG$106,$AI61),1),IF($AJ61&gt;0,INDEX(DG$7:DG$106,$AJ61),1))))</ns0:f>
        <ns0:v>1</ns0:v>
      </ns0:c>
      <ns0:c r="DI61" t="n">
        <ns0:f>IF($A61="",1,IF(DH61=1,1,--AND(IF($AC61&gt;0,INDEX(DH$7:DH$106,$AC61),1),IF($AD61&gt;0,INDEX(DH$7:DH$106,$AD61),1),IF($AE61&gt;0,INDEX(DH$7:DH$106,$AE61),1),IF($AF61&gt;0,INDEX(DH$7:DH$106,$AF61),1),IF($AG61&gt;0,INDEX(DH$7:DH$106,$AG61),1),IF($AH61&gt;0,INDEX(DH$7:DH$106,$AH61),1),IF($AI61&gt;0,INDEX(DH$7:DH$106,$AI61),1),IF($AJ61&gt;0,INDEX(DH$7:DH$106,$AJ61),1))))</ns0:f>
        <ns0:v>1</ns0:v>
      </ns0:c>
      <ns0:c r="DJ61" t="n">
        <ns0:f>IF($A61="",1,IF(DI61=1,1,--AND(IF($AC61&gt;0,INDEX(DI$7:DI$106,$AC61),1),IF($AD61&gt;0,INDEX(DI$7:DI$106,$AD61),1),IF($AE61&gt;0,INDEX(DI$7:DI$106,$AE61),1),IF($AF61&gt;0,INDEX(DI$7:DI$106,$AF61),1),IF($AG61&gt;0,INDEX(DI$7:DI$106,$AG61),1),IF($AH61&gt;0,INDEX(DI$7:DI$106,$AH61),1),IF($AI61&gt;0,INDEX(DI$7:DI$106,$AI61),1),IF($AJ61&gt;0,INDEX(DI$7:DI$106,$AJ61),1))))</ns0:f>
        <ns0:v>1</ns0:v>
      </ns0:c>
      <ns0:c r="DK61" t="n">
        <ns0:f>IF($A61="",1,IF(DJ61=1,1,--AND(IF($AC61&gt;0,INDEX(DJ$7:DJ$106,$AC61),1),IF($AD61&gt;0,INDEX(DJ$7:DJ$106,$AD61),1),IF($AE61&gt;0,INDEX(DJ$7:DJ$106,$AE61),1),IF($AF61&gt;0,INDEX(DJ$7:DJ$106,$AF61),1),IF($AG61&gt;0,INDEX(DJ$7:DJ$106,$AG61),1),IF($AH61&gt;0,INDEX(DJ$7:DJ$106,$AH61),1),IF($AI61&gt;0,INDEX(DJ$7:DJ$106,$AI61),1),IF($AJ61&gt;0,INDEX(DJ$7:DJ$106,$AJ61),1))))</ns0:f>
        <ns0:v>1</ns0:v>
      </ns0:c>
      <ns0:c r="DL61" t="n">
        <ns0:f>IF($A61="",1,IF(DK61=1,1,--AND(IF($AC61&gt;0,INDEX(DK$7:DK$106,$AC61),1),IF($AD61&gt;0,INDEX(DK$7:DK$106,$AD61),1),IF($AE61&gt;0,INDEX(DK$7:DK$106,$AE61),1),IF($AF61&gt;0,INDEX(DK$7:DK$106,$AF61),1),IF($AG61&gt;0,INDEX(DK$7:DK$106,$AG61),1),IF($AH61&gt;0,INDEX(DK$7:DK$106,$AH61),1),IF($AI61&gt;0,INDEX(DK$7:DK$106,$AI61),1),IF($AJ61&gt;0,INDEX(DK$7:DK$106,$AJ61),1))))</ns0:f>
        <ns0:v>1</ns0:v>
      </ns0:c>
      <ns0:c r="DM61" t="n">
        <ns0:f>IF($A61="",1,IF(DL61=1,1,--AND(IF($AC61&gt;0,INDEX(DL$7:DL$106,$AC61),1),IF($AD61&gt;0,INDEX(DL$7:DL$106,$AD61),1),IF($AE61&gt;0,INDEX(DL$7:DL$106,$AE61),1),IF($AF61&gt;0,INDEX(DL$7:DL$106,$AF61),1),IF($AG61&gt;0,INDEX(DL$7:DL$106,$AG61),1),IF($AH61&gt;0,INDEX(DL$7:DL$106,$AH61),1),IF($AI61&gt;0,INDEX(DL$7:DL$106,$AI61),1),IF($AJ61&gt;0,INDEX(DL$7:DL$106,$AJ61),1))))</ns0:f>
        <ns0:v>1</ns0:v>
      </ns0:c>
      <ns0:c r="DN61" t="n">
        <ns0:f>IF($A61="",1,IF(DM61=1,1,--AND(IF($AC61&gt;0,INDEX(DM$7:DM$106,$AC61),1),IF($AD61&gt;0,INDEX(DM$7:DM$106,$AD61),1),IF($AE61&gt;0,INDEX(DM$7:DM$106,$AE61),1),IF($AF61&gt;0,INDEX(DM$7:DM$106,$AF61),1),IF($AG61&gt;0,INDEX(DM$7:DM$106,$AG61),1),IF($AH61&gt;0,INDEX(DM$7:DM$106,$AH61),1),IF($AI61&gt;0,INDEX(DM$7:DM$106,$AI61),1),IF($AJ61&gt;0,INDEX(DM$7:DM$106,$AJ61),1))))</ns0:f>
        <ns0:v>1</ns0:v>
      </ns0:c>
      <ns0:c r="DO61" t="n">
        <ns0:f>IF($A61="",1,IF(DN61=1,1,--AND(IF($AC61&gt;0,INDEX(DN$7:DN$106,$AC61),1),IF($AD61&gt;0,INDEX(DN$7:DN$106,$AD61),1),IF($AE61&gt;0,INDEX(DN$7:DN$106,$AE61),1),IF($AF61&gt;0,INDEX(DN$7:DN$106,$AF61),1),IF($AG61&gt;0,INDEX(DN$7:DN$106,$AG61),1),IF($AH61&gt;0,INDEX(DN$7:DN$106,$AH61),1),IF($AI61&gt;0,INDEX(DN$7:DN$106,$AI61),1),IF($AJ61&gt;0,INDEX(DN$7:DN$106,$AJ61),1))))</ns0:f>
        <ns0:v>1</ns0:v>
      </ns0:c>
      <ns0:c r="DP61" t="n">
        <ns0:f>IF($A61="",1,IF(DO61=1,1,--AND(IF($AC61&gt;0,INDEX(DO$7:DO$106,$AC61),1),IF($AD61&gt;0,INDEX(DO$7:DO$106,$AD61),1),IF($AE61&gt;0,INDEX(DO$7:DO$106,$AE61),1),IF($AF61&gt;0,INDEX(DO$7:DO$106,$AF61),1),IF($AG61&gt;0,INDEX(DO$7:DO$106,$AG61),1),IF($AH61&gt;0,INDEX(DO$7:DO$106,$AH61),1),IF($AI61&gt;0,INDEX(DO$7:DO$106,$AI61),1),IF($AJ61&gt;0,INDEX(DO$7:DO$106,$AJ61),1))))</ns0:f>
        <ns0:v>1</ns0:v>
      </ns0:c>
      <ns0:c r="DQ61" t="n">
        <ns0:f>IF($A61="",1,IF(DP61=1,1,--AND(IF($AC61&gt;0,INDEX(DP$7:DP$106,$AC61),1),IF($AD61&gt;0,INDEX(DP$7:DP$106,$AD61),1),IF($AE61&gt;0,INDEX(DP$7:DP$106,$AE61),1),IF($AF61&gt;0,INDEX(DP$7:DP$106,$AF61),1),IF($AG61&gt;0,INDEX(DP$7:DP$106,$AG61),1),IF($AH61&gt;0,INDEX(DP$7:DP$106,$AH61),1),IF($AI61&gt;0,INDEX(DP$7:DP$106,$AI61),1),IF($AJ61&gt;0,INDEX(DP$7:DP$106,$AJ61),1))))</ns0:f>
        <ns0:v>1</ns0:v>
      </ns0:c>
      <ns0:c r="DR61" t="n">
        <ns0:f>IF($A61="",1,IF(DQ61=1,1,--AND(IF($AC61&gt;0,INDEX(DQ$7:DQ$106,$AC61),1),IF($AD61&gt;0,INDEX(DQ$7:DQ$106,$AD61),1),IF($AE61&gt;0,INDEX(DQ$7:DQ$106,$AE61),1),IF($AF61&gt;0,INDEX(DQ$7:DQ$106,$AF61),1),IF($AG61&gt;0,INDEX(DQ$7:DQ$106,$AG61),1),IF($AH61&gt;0,INDEX(DQ$7:DQ$106,$AH61),1),IF($AI61&gt;0,INDEX(DQ$7:DQ$106,$AI61),1),IF($AJ61&gt;0,INDEX(DQ$7:DQ$106,$AJ61),1))))</ns0:f>
        <ns0:v>1</ns0:v>
      </ns0:c>
      <ns0:c r="DS61" t="n">
        <ns0:f>IF($A61="",1,IF(DR61=1,1,--AND(IF($AC61&gt;0,INDEX(DR$7:DR$106,$AC61),1),IF($AD61&gt;0,INDEX(DR$7:DR$106,$AD61),1),IF($AE61&gt;0,INDEX(DR$7:DR$106,$AE61),1),IF($AF61&gt;0,INDEX(DR$7:DR$106,$AF61),1),IF($AG61&gt;0,INDEX(DR$7:DR$106,$AG61),1),IF($AH61&gt;0,INDEX(DR$7:DR$106,$AH61),1),IF($AI61&gt;0,INDEX(DR$7:DR$106,$AI61),1),IF($AJ61&gt;0,INDEX(DR$7:DR$106,$AJ61),1))))</ns0:f>
        <ns0:v>1</ns0:v>
      </ns0:c>
      <ns0:c r="DT61" t="n">
        <ns0:f>IF($A61="",1,IF(DS61=1,1,--AND(IF($AC61&gt;0,INDEX(DS$7:DS$106,$AC61),1),IF($AD61&gt;0,INDEX(DS$7:DS$106,$AD61),1),IF($AE61&gt;0,INDEX(DS$7:DS$106,$AE61),1),IF($AF61&gt;0,INDEX(DS$7:DS$106,$AF61),1),IF($AG61&gt;0,INDEX(DS$7:DS$106,$AG61),1),IF($AH61&gt;0,INDEX(DS$7:DS$106,$AH61),1),IF($AI61&gt;0,INDEX(DS$7:DS$106,$AI61),1),IF($AJ61&gt;0,INDEX(DS$7:DS$106,$AJ61),1))))</ns0:f>
        <ns0:v>1</ns0:v>
      </ns0:c>
      <ns0:c r="DU61" t="n">
        <ns0:f>IF($A61="",1,IF(DT61=1,1,--AND(IF($AC61&gt;0,INDEX(DT$7:DT$106,$AC61),1),IF($AD61&gt;0,INDEX(DT$7:DT$106,$AD61),1),IF($AE61&gt;0,INDEX(DT$7:DT$106,$AE61),1),IF($AF61&gt;0,INDEX(DT$7:DT$106,$AF61),1),IF($AG61&gt;0,INDEX(DT$7:DT$106,$AG61),1),IF($AH61&gt;0,INDEX(DT$7:DT$106,$AH61),1),IF($AI61&gt;0,INDEX(DT$7:DT$106,$AI61),1),IF($AJ61&gt;0,INDEX(DT$7:DT$106,$AJ61),1))))</ns0:f>
        <ns0:v>1</ns0:v>
      </ns0:c>
      <ns0:c r="DV61" t="n">
        <ns0:f>IF($A61="",1,IF(DU61=1,1,--AND(IF($AC61&gt;0,INDEX(DU$7:DU$106,$AC61),1),IF($AD61&gt;0,INDEX(DU$7:DU$106,$AD61),1),IF($AE61&gt;0,INDEX(DU$7:DU$106,$AE61),1),IF($AF61&gt;0,INDEX(DU$7:DU$106,$AF61),1),IF($AG61&gt;0,INDEX(DU$7:DU$106,$AG61),1),IF($AH61&gt;0,INDEX(DU$7:DU$106,$AH61),1),IF($AI61&gt;0,INDEX(DU$7:DU$106,$AI61),1),IF($AJ61&gt;0,INDEX(DU$7:DU$106,$AJ61),1))))</ns0:f>
        <ns0:v>1</ns0:v>
      </ns0:c>
      <ns0:c r="DW61" t="n">
        <ns0:f>IF($A61="",1,IF(DV61=1,1,--AND(IF($AC61&gt;0,INDEX(DV$7:DV$106,$AC61),1),IF($AD61&gt;0,INDEX(DV$7:DV$106,$AD61),1),IF($AE61&gt;0,INDEX(DV$7:DV$106,$AE61),1),IF($AF61&gt;0,INDEX(DV$7:DV$106,$AF61),1),IF($AG61&gt;0,INDEX(DV$7:DV$106,$AG61),1),IF($AH61&gt;0,INDEX(DV$7:DV$106,$AH61),1),IF($AI61&gt;0,INDEX(DV$7:DV$106,$AI61),1),IF($AJ61&gt;0,INDEX(DV$7:DV$106,$AJ61),1))))</ns0:f>
        <ns0:v>1</ns0:v>
      </ns0:c>
      <ns0:c r="DX61" t="n">
        <ns0:f>IF($A61="",1,IF(DW61=1,1,--AND(IF($AC61&gt;0,INDEX(DW$7:DW$106,$AC61),1),IF($AD61&gt;0,INDEX(DW$7:DW$106,$AD61),1),IF($AE61&gt;0,INDEX(DW$7:DW$106,$AE61),1),IF($AF61&gt;0,INDEX(DW$7:DW$106,$AF61),1),IF($AG61&gt;0,INDEX(DW$7:DW$106,$AG61),1),IF($AH61&gt;0,INDEX(DW$7:DW$106,$AH61),1),IF($AI61&gt;0,INDEX(DW$7:DW$106,$AI61),1),IF($AJ61&gt;0,INDEX(DW$7:DW$106,$AJ61),1))))</ns0:f>
        <ns0:v>1</ns0:v>
      </ns0:c>
      <ns0:c r="DY61" t="n">
        <ns0:f>IF($A61="",1,IF(DX61=1,1,--AND(IF($AC61&gt;0,INDEX(DX$7:DX$106,$AC61),1),IF($AD61&gt;0,INDEX(DX$7:DX$106,$AD61),1),IF($AE61&gt;0,INDEX(DX$7:DX$106,$AE61),1),IF($AF61&gt;0,INDEX(DX$7:DX$106,$AF61),1),IF($AG61&gt;0,INDEX(DX$7:DX$106,$AG61),1),IF($AH61&gt;0,INDEX(DX$7:DX$106,$AH61),1),IF($AI61&gt;0,INDEX(DX$7:DX$106,$AI61),1),IF($AJ61&gt;0,INDEX(DX$7:DX$106,$AJ61),1))))</ns0:f>
        <ns0:v>1</ns0:v>
      </ns0:c>
      <ns0:c r="DZ61" t="n">
        <ns0:f>IF($A61="",1,IF(DY61=1,1,--AND(IF($AC61&gt;0,INDEX(DY$7:DY$106,$AC61),1),IF($AD61&gt;0,INDEX(DY$7:DY$106,$AD61),1),IF($AE61&gt;0,INDEX(DY$7:DY$106,$AE61),1),IF($AF61&gt;0,INDEX(DY$7:DY$106,$AF61),1),IF($AG61&gt;0,INDEX(DY$7:DY$106,$AG61),1),IF($AH61&gt;0,INDEX(DY$7:DY$106,$AH61),1),IF($AI61&gt;0,INDEX(DY$7:DY$106,$AI61),1),IF($AJ61&gt;0,INDEX(DY$7:DY$106,$AJ61),1))))</ns0:f>
        <ns0:v>1</ns0:v>
      </ns0:c>
      <ns0:c r="EA61" t="n">
        <ns0:f>IF($A61="",1,IF(DZ61=1,1,--AND(IF($AC61&gt;0,INDEX(DZ$7:DZ$106,$AC61),1),IF($AD61&gt;0,INDEX(DZ$7:DZ$106,$AD61),1),IF($AE61&gt;0,INDEX(DZ$7:DZ$106,$AE61),1),IF($AF61&gt;0,INDEX(DZ$7:DZ$106,$AF61),1),IF($AG61&gt;0,INDEX(DZ$7:DZ$106,$AG61),1),IF($AH61&gt;0,INDEX(DZ$7:DZ$106,$AH61),1),IF($AI61&gt;0,INDEX(DZ$7:DZ$106,$AI61),1),IF($AJ61&gt;0,INDEX(DZ$7:DZ$106,$AJ61),1))))</ns0:f>
        <ns0:v>1</ns0:v>
      </ns0:c>
      <ns0:c r="EB61" t="n">
        <ns0:f>IF($A61="",1,IF(EA61=1,1,--AND(IF($AC61&gt;0,INDEX(EA$7:EA$106,$AC61),1),IF($AD61&gt;0,INDEX(EA$7:EA$106,$AD61),1),IF($AE61&gt;0,INDEX(EA$7:EA$106,$AE61),1),IF($AF61&gt;0,INDEX(EA$7:EA$106,$AF61),1),IF($AG61&gt;0,INDEX(EA$7:EA$106,$AG61),1),IF($AH61&gt;0,INDEX(EA$7:EA$106,$AH61),1),IF($AI61&gt;0,INDEX(EA$7:EA$106,$AI61),1),IF($AJ61&gt;0,INDEX(EA$7:EA$106,$AJ61),1))))</ns0:f>
        <ns0:v>1</ns0:v>
      </ns0:c>
      <ns0:c r="EC61" t="n">
        <ns0:f>IF($A61="",1,IF(EB61=1,1,--AND(IF($AC61&gt;0,INDEX(EB$7:EB$106,$AC61),1),IF($AD61&gt;0,INDEX(EB$7:EB$106,$AD61),1),IF($AE61&gt;0,INDEX(EB$7:EB$106,$AE61),1),IF($AF61&gt;0,INDEX(EB$7:EB$106,$AF61),1),IF($AG61&gt;0,INDEX(EB$7:EB$106,$AG61),1),IF($AH61&gt;0,INDEX(EB$7:EB$106,$AH61),1),IF($AI61&gt;0,INDEX(EB$7:EB$106,$AI61),1),IF($AJ61&gt;0,INDEX(EB$7:EB$106,$AJ61),1))))</ns0:f>
        <ns0:v>1</ns0:v>
      </ns0:c>
      <ns0:c r="ED61" t="n">
        <ns0:f>IF($A61="",1,IF(EC61=1,1,--AND(IF($AC61&gt;0,INDEX(EC$7:EC$106,$AC61),1),IF($AD61&gt;0,INDEX(EC$7:EC$106,$AD61),1),IF($AE61&gt;0,INDEX(EC$7:EC$106,$AE61),1),IF($AF61&gt;0,INDEX(EC$7:EC$106,$AF61),1),IF($AG61&gt;0,INDEX(EC$7:EC$106,$AG61),1),IF($AH61&gt;0,INDEX(EC$7:EC$106,$AH61),1),IF($AI61&gt;0,INDEX(EC$7:EC$106,$AI61),1),IF($AJ61&gt;0,INDEX(EC$7:EC$106,$AJ61),1))))</ns0:f>
        <ns0:v>1</ns0:v>
      </ns0:c>
      <ns0:c r="EE61" t="n">
        <ns0:f>IF($A61="",1,IF(ED61=1,1,--AND(IF($AC61&gt;0,INDEX(ED$7:ED$106,$AC61),1),IF($AD61&gt;0,INDEX(ED$7:ED$106,$AD61),1),IF($AE61&gt;0,INDEX(ED$7:ED$106,$AE61),1),IF($AF61&gt;0,INDEX(ED$7:ED$106,$AF61),1),IF($AG61&gt;0,INDEX(ED$7:ED$106,$AG61),1),IF($AH61&gt;0,INDEX(ED$7:ED$106,$AH61),1),IF($AI61&gt;0,INDEX(ED$7:ED$106,$AI61),1),IF($AJ61&gt;0,INDEX(ED$7:ED$106,$AJ61),1))))</ns0:f>
        <ns0:v>1</ns0:v>
      </ns0:c>
      <ns0:c r="EF61" t="n">
        <ns0:f>IF($A61="",1,IF(EE61=1,1,--AND(IF($AC61&gt;0,INDEX(EE$7:EE$106,$AC61),1),IF($AD61&gt;0,INDEX(EE$7:EE$106,$AD61),1),IF($AE61&gt;0,INDEX(EE$7:EE$106,$AE61),1),IF($AF61&gt;0,INDEX(EE$7:EE$106,$AF61),1),IF($AG61&gt;0,INDEX(EE$7:EE$106,$AG61),1),IF($AH61&gt;0,INDEX(EE$7:EE$106,$AH61),1),IF($AI61&gt;0,INDEX(EE$7:EE$106,$AI61),1),IF($AJ61&gt;0,INDEX(EE$7:EE$106,$AJ61),1))))</ns0:f>
        <ns0:v>1</ns0:v>
      </ns0:c>
      <ns0:c r="EG61" t="n">
        <ns0:f>IF($A61="",1,IF(EF61=1,1,--AND(IF($AC61&gt;0,INDEX(EF$7:EF$106,$AC61),1),IF($AD61&gt;0,INDEX(EF$7:EF$106,$AD61),1),IF($AE61&gt;0,INDEX(EF$7:EF$106,$AE61),1),IF($AF61&gt;0,INDEX(EF$7:EF$106,$AF61),1),IF($AG61&gt;0,INDEX(EF$7:EF$106,$AG61),1),IF($AH61&gt;0,INDEX(EF$7:EF$106,$AH61),1),IF($AI61&gt;0,INDEX(EF$7:EF$106,$AI61),1),IF($AJ61&gt;0,INDEX(EF$7:EF$106,$AJ61),1))))</ns0:f>
        <ns0:v>1</ns0:v>
      </ns0:c>
      <ns0:c r="EH61" t="n">
        <ns0:f>IF($A61="",1,IF(EG61=1,1,--AND(IF($AC61&gt;0,INDEX(EG$7:EG$106,$AC61),1),IF($AD61&gt;0,INDEX(EG$7:EG$106,$AD61),1),IF($AE61&gt;0,INDEX(EG$7:EG$106,$AE61),1),IF($AF61&gt;0,INDEX(EG$7:EG$106,$AF61),1),IF($AG61&gt;0,INDEX(EG$7:EG$106,$AG61),1),IF($AH61&gt;0,INDEX(EG$7:EG$106,$AH61),1),IF($AI61&gt;0,INDEX(EG$7:EG$106,$AI61),1),IF($AJ61&gt;0,INDEX(EG$7:EG$106,$AJ61),1))))</ns0:f>
        <ns0:v>1</ns0:v>
      </ns0:c>
      <ns0:c r="EI61" t="n">
        <ns0:f>IF($A61="",1,IF(EH61=1,1,--AND(IF($AC61&gt;0,INDEX(EH$7:EH$106,$AC61),1),IF($AD61&gt;0,INDEX(EH$7:EH$106,$AD61),1),IF($AE61&gt;0,INDEX(EH$7:EH$106,$AE61),1),IF($AF61&gt;0,INDEX(EH$7:EH$106,$AF61),1),IF($AG61&gt;0,INDEX(EH$7:EH$106,$AG61),1),IF($AH61&gt;0,INDEX(EH$7:EH$106,$AH61),1),IF($AI61&gt;0,INDEX(EH$7:EH$106,$AI61),1),IF($AJ61&gt;0,INDEX(EH$7:EH$106,$AJ61),1))))</ns0:f>
        <ns0:v>1</ns0:v>
      </ns0:c>
      <ns0:c r="EJ61" t="n">
        <ns0:f>IF($A61="",1,IF(EI61=1,1,--AND(IF($AC61&gt;0,INDEX(EI$7:EI$106,$AC61),1),IF($AD61&gt;0,INDEX(EI$7:EI$106,$AD61),1),IF($AE61&gt;0,INDEX(EI$7:EI$106,$AE61),1),IF($AF61&gt;0,INDEX(EI$7:EI$106,$AF61),1),IF($AG61&gt;0,INDEX(EI$7:EI$106,$AG61),1),IF($AH61&gt;0,INDEX(EI$7:EI$106,$AH61),1),IF($AI61&gt;0,INDEX(EI$7:EI$106,$AI61),1),IF($AJ61&gt;0,INDEX(EI$7:EI$106,$AJ61),1))))</ns0:f>
        <ns0:v>1</ns0:v>
      </ns0:c>
      <ns0:c r="EK61" t="n">
        <ns0:f>IF($A61="",1,IF(EJ61=1,1,--AND(IF($AC61&gt;0,INDEX(EJ$7:EJ$106,$AC61),1),IF($AD61&gt;0,INDEX(EJ$7:EJ$106,$AD61),1),IF($AE61&gt;0,INDEX(EJ$7:EJ$106,$AE61),1),IF($AF61&gt;0,INDEX(EJ$7:EJ$106,$AF61),1),IF($AG61&gt;0,INDEX(EJ$7:EJ$106,$AG61),1),IF($AH61&gt;0,INDEX(EJ$7:EJ$106,$AH61),1),IF($AI61&gt;0,INDEX(EJ$7:EJ$106,$AI61),1),IF($AJ61&gt;0,INDEX(EJ$7:EJ$106,$AJ61),1))))</ns0:f>
        <ns0:v>1</ns0:v>
      </ns0:c>
      <ns0:c r="EL61" t="n">
        <ns0:f>IF($A61="",1,IF(EK61=1,1,--AND(IF($AC61&gt;0,INDEX(EK$7:EK$106,$AC61),1),IF($AD61&gt;0,INDEX(EK$7:EK$106,$AD61),1),IF($AE61&gt;0,INDEX(EK$7:EK$106,$AE61),1),IF($AF61&gt;0,INDEX(EK$7:EK$106,$AF61),1),IF($AG61&gt;0,INDEX(EK$7:EK$106,$AG61),1),IF($AH61&gt;0,INDEX(EK$7:EK$106,$AH61),1),IF($AI61&gt;0,INDEX(EK$7:EK$106,$AI61),1),IF($AJ61&gt;0,INDEX(EK$7:EK$106,$AJ61),1))))</ns0:f>
        <ns0:v>1</ns0:v>
      </ns0:c>
      <ns0:c r="EM61" t="n">
        <ns0:f>IF($A61="",1,IF(EL61=1,1,--AND(IF($AC61&gt;0,INDEX(EL$7:EL$106,$AC61),1),IF($AD61&gt;0,INDEX(EL$7:EL$106,$AD61),1),IF($AE61&gt;0,INDEX(EL$7:EL$106,$AE61),1),IF($AF61&gt;0,INDEX(EL$7:EL$106,$AF61),1),IF($AG61&gt;0,INDEX(EL$7:EL$106,$AG61),1),IF($AH61&gt;0,INDEX(EL$7:EL$106,$AH61),1),IF($AI61&gt;0,INDEX(EL$7:EL$106,$AI61),1),IF($AJ61&gt;0,INDEX(EL$7:EL$106,$AJ61),1))))</ns0:f>
        <ns0:v>1</ns0:v>
      </ns0:c>
      <ns0:c r="EN61" t="n">
        <ns0:f>IF($A61="",1,IF(EM61=1,1,--AND(IF($AC61&gt;0,INDEX(EM$7:EM$106,$AC61),1),IF($AD61&gt;0,INDEX(EM$7:EM$106,$AD61),1),IF($AE61&gt;0,INDEX(EM$7:EM$106,$AE61),1),IF($AF61&gt;0,INDEX(EM$7:EM$106,$AF61),1),IF($AG61&gt;0,INDEX(EM$7:EM$106,$AG61),1),IF($AH61&gt;0,INDEX(EM$7:EM$106,$AH61),1),IF($AI61&gt;0,INDEX(EM$7:EM$106,$AI61),1),IF($AJ61&gt;0,INDEX(EM$7:EM$106,$AJ61),1))))</ns0:f>
        <ns0:v>1</ns0:v>
      </ns0:c>
      <ns0:c r="EO61" t="n">
        <ns0:f>IF($A61="",1,IF(EN61=1,1,--AND(IF($AC61&gt;0,INDEX(EN$7:EN$106,$AC61),1),IF($AD61&gt;0,INDEX(EN$7:EN$106,$AD61),1),IF($AE61&gt;0,INDEX(EN$7:EN$106,$AE61),1),IF($AF61&gt;0,INDEX(EN$7:EN$106,$AF61),1),IF($AG61&gt;0,INDEX(EN$7:EN$106,$AG61),1),IF($AH61&gt;0,INDEX(EN$7:EN$106,$AH61),1),IF($AI61&gt;0,INDEX(EN$7:EN$106,$AI61),1),IF($AJ61&gt;0,INDEX(EN$7:EN$106,$AJ61),1))))</ns0:f>
        <ns0:v>1</ns0:v>
      </ns0:c>
      <ns0:c r="EP61" t="n">
        <ns0:f>IF($A61="",1,IF(EO61=1,1,--AND(IF($AC61&gt;0,INDEX(EO$7:EO$106,$AC61),1),IF($AD61&gt;0,INDEX(EO$7:EO$106,$AD61),1),IF($AE61&gt;0,INDEX(EO$7:EO$106,$AE61),1),IF($AF61&gt;0,INDEX(EO$7:EO$106,$AF61),1),IF($AG61&gt;0,INDEX(EO$7:EO$106,$AG61),1),IF($AH61&gt;0,INDEX(EO$7:EO$106,$AH61),1),IF($AI61&gt;0,INDEX(EO$7:EO$106,$AI61),1),IF($AJ61&gt;0,INDEX(EO$7:EO$106,$AJ61),1))))</ns0:f>
        <ns0:v>1</ns0:v>
      </ns0:c>
      <ns0:c r="EQ61" t="n">
        <ns0:f>IF(OR(A61="",NOT(ISNUMBER(G61))),0,G61*N61)</ns0:f>
        <ns0:v>0</ns0:v>
      </ns0:c>
    </ns0:row>
    <ns0:row r="62" ht="62" customHeight="1">
      <ns0:c r="A62" s="48"/>
      <ns0:c r="B62" s="48"/>
      <ns0:c r="C62" s="48"/>
      <ns0:c r="D62" s="48"/>
      <ns0:c r="E62" s="49"/>
      <ns0:c r="F62" s="49"/>
      <ns0:c r="G62" s="13" t="str">
        <ns0:f>IF(A62="","",IF(OR(NOT(ISNUMBER(E62)),NOT(ISNUMBER(F62)),F62&lt;E62),"",IF(J62="Yes",0,F62-E62+1)))</ns0:f>
      </ns0:c>
      <ns0:c r="H62" s="48"/>
      <ns0:c r="I62" s="48"/>
      <ns0:c r="J62" s="48"/>
      <ns0:c r="K62" s="48"/>
      <ns0:c r="L62" s="48"/>
      <ns0:c r="M62" s="50" t="str">
        <ns0:f>IF(A62="","",IF(N62=1,"Completed",IF(N62&gt;0,"In Progress","Not Started")))</ns0:f>
      </ns0:c>
      <ns0:c r="N62" s="51"/>
      <ns0:c r="O62" s="13" t="str">
        <ns0:f>IF(A62="","",IF(R62&lt;&gt;"","[CONFLICT] "&amp;R62,IF(S62&lt;&gt;"","[CONFLICT] "&amp;S62,IF(OR(NOT(ISNUMBER(N62)),N62&lt;0,N62&gt;1),"[CONFLICT] Invalid progress",IF(AK62&gt;0,"[DEPENDENCY ISSUE] Missing ID / &gt;8 links",IF(AM62&gt;0,"[DEPENDENCY ISSUE] Cycle or blocked by cycle",IF(AND(H62&lt;&gt;"",ISNA(MATCH(I62,{"FS","SS","FF","SF"},0))),"[DEPENDENCY ISSUE] Invalid type",IF(AL62&gt;0,"[DEPENDENCY ISSUE] Timing conflict",IF(OR(E62&lt;ProjectStart,F62&gt;ProjectEnd),"[OUTSIDE WINDOW]",IF(AND(N62&lt;1,F62&lt;AsOfDate),"Overdue",IF(AND(M62&lt;&gt;Q62,M62&lt;&gt;""),"[CONFLICT] Status / progress","On track")))))))))))</ns0:f>
      </ns0:c>
      <ns0:c r="P62" s="52"/>
      <ns0:c r="Q62" t="str">
        <ns0:f>IF(A62="","",IF(OR(M62="On Hold",M62="Delayed"),M62,IF(N62=1,"Completed",IF(N62&gt;0,"In Progress","Not Started"))))</ns0:f>
      </ns0:c>
      <ns0:c r="R62" t="str">
        <ns0:f>IF(A62="","",IF(COUNTIFS(Tasks[Task ID],A62)&lt;&gt;1,"Duplicate ID",""))</ns0:f>
      </ns0:c>
      <ns0:c r="S62" t="str">
        <ns0:f>IF(A62="","",IF(OR(NOT(ISNUMBER(E62)),NOT(ISNUMBER(F62))),"Invalid / missing date",IF(OR(E62&lt;&gt;INT(E62),F62&lt;&gt;INT(F62),E62&lt;1,F62&gt;2958465),"Invalid date",IF(F62&lt;E62,"End before start",IF(AND(J62="Yes",E62&lt;&gt;F62),"Milestone needs one date","")))))</ns0:f>
      </ns0:c>
      <ns0:c r="T62" t="n">
        <ns0:f>IF(H62="",0,LEN(H62)-LEN(SUBSTITUTE(H62,",",""))+1)</ns0:f>
        <ns0:v>0</ns0:v>
      </ns0:c>
      <ns0:c r="U62" t="str">
        <ns0:f>TRIM(MID(SUBSTITUTE($H62,",",REPT(" ",100)),1,100))</ns0:f>
      </ns0:c>
      <ns0:c r="V62" t="str">
        <ns0:f>TRIM(MID(SUBSTITUTE($H62,",",REPT(" ",100)),101,100))</ns0:f>
      </ns0:c>
      <ns0:c r="W62" t="str">
        <ns0:f>TRIM(MID(SUBSTITUTE($H62,",",REPT(" ",100)),201,100))</ns0:f>
      </ns0:c>
      <ns0:c r="X62" t="str">
        <ns0:f>TRIM(MID(SUBSTITUTE($H62,",",REPT(" ",100)),301,100))</ns0:f>
      </ns0:c>
      <ns0:c r="Y62" t="str">
        <ns0:f>TRIM(MID(SUBSTITUTE($H62,",",REPT(" ",100)),401,100))</ns0:f>
      </ns0:c>
      <ns0:c r="Z62" t="str">
        <ns0:f>TRIM(MID(SUBSTITUTE($H62,",",REPT(" ",100)),501,100))</ns0:f>
      </ns0:c>
      <ns0:c r="AA62" t="str">
        <ns0:f>TRIM(MID(SUBSTITUTE($H62,",",REPT(" ",100)),601,100))</ns0:f>
      </ns0:c>
      <ns0:c r="AB62" t="str">
        <ns0:f>TRIM(MID(SUBSTITUTE($H62,",",REPT(" ",100)),701,100))</ns0:f>
      </ns0:c>
      <ns0:c r="AC62" t="n">
        <ns0:f>IF(U62="",0,IF(COUNTIFS(Tasks[Task ID],U62)=1,MATCH(U62,Tasks[Task ID],0),-1))</ns0:f>
        <ns0:v>0</ns0:v>
      </ns0:c>
      <ns0:c r="AD62" t="n">
        <ns0:f>IF(V62="",0,IF(COUNTIFS(Tasks[Task ID],V62)=1,MATCH(V62,Tasks[Task ID],0),-1))</ns0:f>
        <ns0:v>0</ns0:v>
      </ns0:c>
      <ns0:c r="AE62" t="n">
        <ns0:f>IF(W62="",0,IF(COUNTIFS(Tasks[Task ID],W62)=1,MATCH(W62,Tasks[Task ID],0),-1))</ns0:f>
        <ns0:v>0</ns0:v>
      </ns0:c>
      <ns0:c r="AF62" t="n">
        <ns0:f>IF(X62="",0,IF(COUNTIFS(Tasks[Task ID],X62)=1,MATCH(X62,Tasks[Task ID],0),-1))</ns0:f>
        <ns0:v>0</ns0:v>
      </ns0:c>
      <ns0:c r="AG62" t="n">
        <ns0:f>IF(Y62="",0,IF(COUNTIFS(Tasks[Task ID],Y62)=1,MATCH(Y62,Tasks[Task ID],0),-1))</ns0:f>
        <ns0:v>0</ns0:v>
      </ns0:c>
      <ns0:c r="AH62" t="n">
        <ns0:f>IF(Z62="",0,IF(COUNTIFS(Tasks[Task ID],Z62)=1,MATCH(Z62,Tasks[Task ID],0),-1))</ns0:f>
        <ns0:v>0</ns0:v>
      </ns0:c>
      <ns0:c r="AI62" t="n">
        <ns0:f>IF(AA62="",0,IF(COUNTIFS(Tasks[Task ID],AA62)=1,MATCH(AA62,Tasks[Task ID],0),-1))</ns0:f>
        <ns0:v>0</ns0:v>
      </ns0:c>
      <ns0:c r="AJ62" t="n">
        <ns0:f>IF(AB62="",0,IF(COUNTIFS(Tasks[Task ID],AB62)=1,MATCH(AB62,Tasks[Task ID],0),-1))</ns0:f>
        <ns0:v>0</ns0:v>
      </ns0:c>
      <ns0:c r="AK62" t="n">
        <ns0:f>COUNTIFS(AC62:AJ62,-1)+IF(T62&gt;8,1,0)</ns0:f>
        <ns0:v>0</ns0:v>
      </ns0:c>
      <ns0:c r="AL62" t="n">
        <ns0:f>IF(OR(A62="",S62&lt;&gt;""),0,SUM(IF(AC62&gt;0,IF($I62="FS",--($E62&lt;INDEX(Tasks[End Date],AC62)+IF(INDEX(Tasks[Milestone],AC62)="Yes",0,1)),IF($I62="SS",--($E62&lt;INDEX(Tasks[Start Date],AC62)),IF($I62="FF",--($F62&lt;INDEX(Tasks[End Date],AC62)),IF($I62="SF",--($F62&lt;INDEX(Tasks[Start Date],AC62)),0)))),0),IF(AD62&gt;0,IF($I62="FS",--($E62&lt;INDEX(Tasks[End Date],AD62)+IF(INDEX(Tasks[Milestone],AD62)="Yes",0,1)),IF($I62="SS",--($E62&lt;INDEX(Tasks[Start Date],AD62)),IF($I62="FF",--($F62&lt;INDEX(Tasks[End Date],AD62)),IF($I62="SF",--($F62&lt;INDEX(Tasks[Start Date],AD62)),0)))),0),IF(AE62&gt;0,IF($I62="FS",--($E62&lt;INDEX(Tasks[End Date],AE62)+IF(INDEX(Tasks[Milestone],AE62)="Yes",0,1)),IF($I62="SS",--($E62&lt;INDEX(Tasks[Start Date],AE62)),IF($I62="FF",--($F62&lt;INDEX(Tasks[End Date],AE62)),IF($I62="SF",--($F62&lt;INDEX(Tasks[Start Date],AE62)),0)))),0),IF(AF62&gt;0,IF($I62="FS",--($E62&lt;INDEX(Tasks[End Date],AF62)+IF(INDEX(Tasks[Milestone],AF62)="Yes",0,1)),IF($I62="SS",--($E62&lt;INDEX(Tasks[Start Date],AF62)),IF($I62="FF",--($F62&lt;INDEX(Tasks[End Date],AF62)),IF($I62="SF",--($F62&lt;INDEX(Tasks[Start Date],AF62)),0)))),0),IF(AG62&gt;0,IF($I62="FS",--($E62&lt;INDEX(Tasks[End Date],AG62)+IF(INDEX(Tasks[Milestone],AG62)="Yes",0,1)),IF($I62="SS",--($E62&lt;INDEX(Tasks[Start Date],AG62)),IF($I62="FF",--($F62&lt;INDEX(Tasks[End Date],AG62)),IF($I62="SF",--($F62&lt;INDEX(Tasks[Start Date],AG62)),0)))),0),IF(AH62&gt;0,IF($I62="FS",--($E62&lt;INDEX(Tasks[End Date],AH62)+IF(INDEX(Tasks[Milestone],AH62)="Yes",0,1)),IF($I62="SS",--($E62&lt;INDEX(Tasks[Start Date],AH62)),IF($I62="FF",--($F62&lt;INDEX(Tasks[End Date],AH62)),IF($I62="SF",--($F62&lt;INDEX(Tasks[Start Date],AH62)),0)))),0),IF(AI62&gt;0,IF($I62="FS",--($E62&lt;INDEX(Tasks[End Date],AI62)+IF(INDEX(Tasks[Milestone],AI62)="Yes",0,1)),IF($I62="SS",--($E62&lt;INDEX(Tasks[Start Date],AI62)),IF($I62="FF",--($F62&lt;INDEX(Tasks[End Date],AI62)),IF($I62="SF",--($F62&lt;INDEX(Tasks[Start Date],AI62)),0)))),0),IF(AJ62&gt;0,IF($I62="FS",--($E62&lt;INDEX(Tasks[End Date],AJ62)+IF(INDEX(Tasks[Milestone],AJ62)="Yes",0,1)),IF($I62="SS",--($E62&lt;INDEX(Tasks[Start Date],AJ62)),IF($I62="FF",--($F62&lt;INDEX(Tasks[End Date],AJ62)),IF($I62="SF",--($F62&lt;INDEX(Tasks[Start Date],AJ62)),0)))),0)))</ns0:f>
        <ns0:v>0</ns0:v>
      </ns0:c>
      <ns0:c r="AM62" t="n">
        <ns0:f>IF(AND(A62&lt;&gt;"",AK62=0,EP62=0),1,0)</ns0:f>
        <ns0:v>0</ns0:v>
      </ns0:c>
      <ns0:c r="AN62" t="str">
        <ns0:f>IF(OR(A62="",B62=""),"",IF(COUNTIFS($B$7:B62,B62)=1,MAX($AN$6:AN61)+1,""))</ns0:f>
      </ns0:c>
      <ns0:c r="AO62" t="n">
        <ns0:f>IF(AND(A62&lt;&gt;"",J62="No",N62&lt;1,E62&gt;=AsOfDate),E62+ROW()/10000,1E+9)</ns0:f>
        <ns0:v>1000000000</ns0:v>
      </ns0:c>
      <ns0:c r="AP62" t="n">
        <ns0:f>IF(AND(A62&lt;&gt;"",J62="Yes",N62&lt;1,E62&gt;=AsOfDate),E62+ROW()/10000,1E+9)</ns0:f>
        <ns0:v>1000000000</ns0:v>
      </ns0:c>
      <ns0:c r="AQ62" t="n">
        <ns0:f>IF(AND(A62&lt;&gt;"",J62="No",N62&lt;1,F62&gt;=AsOfDate,F62&lt;=AsOfDate+7),F62+ROW()/10000,1E+9)</ns0:f>
        <ns0:v>1000000000</ns0:v>
      </ns0:c>
      <ns0:c r="AR62" t="n">
        <ns0:f>IF(AND(A62&lt;&gt;"",OR(O62&lt;&gt;"On track",Q62="Delayed")),ROW(),1E+9)</ns0:f>
        <ns0:v>1000000000</ns0:v>
      </ns0:c>
      <ns0:c r="AS62" t="str">
        <ns0:f>IF(A62="","",";"&amp;K62&amp;";")</ns0:f>
      </ns0:c>
      <ns0:c r="AT62" t="n">
        <ns0:f>IF(A62="",1,--(T62=0))</ns0:f>
        <ns0:v>1</ns0:v>
      </ns0:c>
      <ns0:c r="AU62" t="n">
        <ns0:f>IF($A62="",1,IF(AT62=1,1,--AND(IF($AC62&gt;0,INDEX(AT$7:AT$106,$AC62),1),IF($AD62&gt;0,INDEX(AT$7:AT$106,$AD62),1),IF($AE62&gt;0,INDEX(AT$7:AT$106,$AE62),1),IF($AF62&gt;0,INDEX(AT$7:AT$106,$AF62),1),IF($AG62&gt;0,INDEX(AT$7:AT$106,$AG62),1),IF($AH62&gt;0,INDEX(AT$7:AT$106,$AH62),1),IF($AI62&gt;0,INDEX(AT$7:AT$106,$AI62),1),IF($AJ62&gt;0,INDEX(AT$7:AT$106,$AJ62),1))))</ns0:f>
        <ns0:v>1</ns0:v>
      </ns0:c>
      <ns0:c r="AV62" t="n">
        <ns0:f>IF($A62="",1,IF(AU62=1,1,--AND(IF($AC62&gt;0,INDEX(AU$7:AU$106,$AC62),1),IF($AD62&gt;0,INDEX(AU$7:AU$106,$AD62),1),IF($AE62&gt;0,INDEX(AU$7:AU$106,$AE62),1),IF($AF62&gt;0,INDEX(AU$7:AU$106,$AF62),1),IF($AG62&gt;0,INDEX(AU$7:AU$106,$AG62),1),IF($AH62&gt;0,INDEX(AU$7:AU$106,$AH62),1),IF($AI62&gt;0,INDEX(AU$7:AU$106,$AI62),1),IF($AJ62&gt;0,INDEX(AU$7:AU$106,$AJ62),1))))</ns0:f>
        <ns0:v>1</ns0:v>
      </ns0:c>
      <ns0:c r="AW62" t="n">
        <ns0:f>IF($A62="",1,IF(AV62=1,1,--AND(IF($AC62&gt;0,INDEX(AV$7:AV$106,$AC62),1),IF($AD62&gt;0,INDEX(AV$7:AV$106,$AD62),1),IF($AE62&gt;0,INDEX(AV$7:AV$106,$AE62),1),IF($AF62&gt;0,INDEX(AV$7:AV$106,$AF62),1),IF($AG62&gt;0,INDEX(AV$7:AV$106,$AG62),1),IF($AH62&gt;0,INDEX(AV$7:AV$106,$AH62),1),IF($AI62&gt;0,INDEX(AV$7:AV$106,$AI62),1),IF($AJ62&gt;0,INDEX(AV$7:AV$106,$AJ62),1))))</ns0:f>
        <ns0:v>1</ns0:v>
      </ns0:c>
      <ns0:c r="AX62" t="n">
        <ns0:f>IF($A62="",1,IF(AW62=1,1,--AND(IF($AC62&gt;0,INDEX(AW$7:AW$106,$AC62),1),IF($AD62&gt;0,INDEX(AW$7:AW$106,$AD62),1),IF($AE62&gt;0,INDEX(AW$7:AW$106,$AE62),1),IF($AF62&gt;0,INDEX(AW$7:AW$106,$AF62),1),IF($AG62&gt;0,INDEX(AW$7:AW$106,$AG62),1),IF($AH62&gt;0,INDEX(AW$7:AW$106,$AH62),1),IF($AI62&gt;0,INDEX(AW$7:AW$106,$AI62),1),IF($AJ62&gt;0,INDEX(AW$7:AW$106,$AJ62),1))))</ns0:f>
        <ns0:v>1</ns0:v>
      </ns0:c>
      <ns0:c r="AY62" t="n">
        <ns0:f>IF($A62="",1,IF(AX62=1,1,--AND(IF($AC62&gt;0,INDEX(AX$7:AX$106,$AC62),1),IF($AD62&gt;0,INDEX(AX$7:AX$106,$AD62),1),IF($AE62&gt;0,INDEX(AX$7:AX$106,$AE62),1),IF($AF62&gt;0,INDEX(AX$7:AX$106,$AF62),1),IF($AG62&gt;0,INDEX(AX$7:AX$106,$AG62),1),IF($AH62&gt;0,INDEX(AX$7:AX$106,$AH62),1),IF($AI62&gt;0,INDEX(AX$7:AX$106,$AI62),1),IF($AJ62&gt;0,INDEX(AX$7:AX$106,$AJ62),1))))</ns0:f>
        <ns0:v>1</ns0:v>
      </ns0:c>
      <ns0:c r="AZ62" t="n">
        <ns0:f>IF($A62="",1,IF(AY62=1,1,--AND(IF($AC62&gt;0,INDEX(AY$7:AY$106,$AC62),1),IF($AD62&gt;0,INDEX(AY$7:AY$106,$AD62),1),IF($AE62&gt;0,INDEX(AY$7:AY$106,$AE62),1),IF($AF62&gt;0,INDEX(AY$7:AY$106,$AF62),1),IF($AG62&gt;0,INDEX(AY$7:AY$106,$AG62),1),IF($AH62&gt;0,INDEX(AY$7:AY$106,$AH62),1),IF($AI62&gt;0,INDEX(AY$7:AY$106,$AI62),1),IF($AJ62&gt;0,INDEX(AY$7:AY$106,$AJ62),1))))</ns0:f>
        <ns0:v>1</ns0:v>
      </ns0:c>
      <ns0:c r="BA62" t="n">
        <ns0:f>IF($A62="",1,IF(AZ62=1,1,--AND(IF($AC62&gt;0,INDEX(AZ$7:AZ$106,$AC62),1),IF($AD62&gt;0,INDEX(AZ$7:AZ$106,$AD62),1),IF($AE62&gt;0,INDEX(AZ$7:AZ$106,$AE62),1),IF($AF62&gt;0,INDEX(AZ$7:AZ$106,$AF62),1),IF($AG62&gt;0,INDEX(AZ$7:AZ$106,$AG62),1),IF($AH62&gt;0,INDEX(AZ$7:AZ$106,$AH62),1),IF($AI62&gt;0,INDEX(AZ$7:AZ$106,$AI62),1),IF($AJ62&gt;0,INDEX(AZ$7:AZ$106,$AJ62),1))))</ns0:f>
        <ns0:v>1</ns0:v>
      </ns0:c>
      <ns0:c r="BB62" t="n">
        <ns0:f>IF($A62="",1,IF(BA62=1,1,--AND(IF($AC62&gt;0,INDEX(BA$7:BA$106,$AC62),1),IF($AD62&gt;0,INDEX(BA$7:BA$106,$AD62),1),IF($AE62&gt;0,INDEX(BA$7:BA$106,$AE62),1),IF($AF62&gt;0,INDEX(BA$7:BA$106,$AF62),1),IF($AG62&gt;0,INDEX(BA$7:BA$106,$AG62),1),IF($AH62&gt;0,INDEX(BA$7:BA$106,$AH62),1),IF($AI62&gt;0,INDEX(BA$7:BA$106,$AI62),1),IF($AJ62&gt;0,INDEX(BA$7:BA$106,$AJ62),1))))</ns0:f>
        <ns0:v>1</ns0:v>
      </ns0:c>
      <ns0:c r="BC62" t="n">
        <ns0:f>IF($A62="",1,IF(BB62=1,1,--AND(IF($AC62&gt;0,INDEX(BB$7:BB$106,$AC62),1),IF($AD62&gt;0,INDEX(BB$7:BB$106,$AD62),1),IF($AE62&gt;0,INDEX(BB$7:BB$106,$AE62),1),IF($AF62&gt;0,INDEX(BB$7:BB$106,$AF62),1),IF($AG62&gt;0,INDEX(BB$7:BB$106,$AG62),1),IF($AH62&gt;0,INDEX(BB$7:BB$106,$AH62),1),IF($AI62&gt;0,INDEX(BB$7:BB$106,$AI62),1),IF($AJ62&gt;0,INDEX(BB$7:BB$106,$AJ62),1))))</ns0:f>
        <ns0:v>1</ns0:v>
      </ns0:c>
      <ns0:c r="BD62" t="n">
        <ns0:f>IF($A62="",1,IF(BC62=1,1,--AND(IF($AC62&gt;0,INDEX(BC$7:BC$106,$AC62),1),IF($AD62&gt;0,INDEX(BC$7:BC$106,$AD62),1),IF($AE62&gt;0,INDEX(BC$7:BC$106,$AE62),1),IF($AF62&gt;0,INDEX(BC$7:BC$106,$AF62),1),IF($AG62&gt;0,INDEX(BC$7:BC$106,$AG62),1),IF($AH62&gt;0,INDEX(BC$7:BC$106,$AH62),1),IF($AI62&gt;0,INDEX(BC$7:BC$106,$AI62),1),IF($AJ62&gt;0,INDEX(BC$7:BC$106,$AJ62),1))))</ns0:f>
        <ns0:v>1</ns0:v>
      </ns0:c>
      <ns0:c r="BE62" t="n">
        <ns0:f>IF($A62="",1,IF(BD62=1,1,--AND(IF($AC62&gt;0,INDEX(BD$7:BD$106,$AC62),1),IF($AD62&gt;0,INDEX(BD$7:BD$106,$AD62),1),IF($AE62&gt;0,INDEX(BD$7:BD$106,$AE62),1),IF($AF62&gt;0,INDEX(BD$7:BD$106,$AF62),1),IF($AG62&gt;0,INDEX(BD$7:BD$106,$AG62),1),IF($AH62&gt;0,INDEX(BD$7:BD$106,$AH62),1),IF($AI62&gt;0,INDEX(BD$7:BD$106,$AI62),1),IF($AJ62&gt;0,INDEX(BD$7:BD$106,$AJ62),1))))</ns0:f>
        <ns0:v>1</ns0:v>
      </ns0:c>
      <ns0:c r="BF62" t="n">
        <ns0:f>IF($A62="",1,IF(BE62=1,1,--AND(IF($AC62&gt;0,INDEX(BE$7:BE$106,$AC62),1),IF($AD62&gt;0,INDEX(BE$7:BE$106,$AD62),1),IF($AE62&gt;0,INDEX(BE$7:BE$106,$AE62),1),IF($AF62&gt;0,INDEX(BE$7:BE$106,$AF62),1),IF($AG62&gt;0,INDEX(BE$7:BE$106,$AG62),1),IF($AH62&gt;0,INDEX(BE$7:BE$106,$AH62),1),IF($AI62&gt;0,INDEX(BE$7:BE$106,$AI62),1),IF($AJ62&gt;0,INDEX(BE$7:BE$106,$AJ62),1))))</ns0:f>
        <ns0:v>1</ns0:v>
      </ns0:c>
      <ns0:c r="BG62" t="n">
        <ns0:f>IF($A62="",1,IF(BF62=1,1,--AND(IF($AC62&gt;0,INDEX(BF$7:BF$106,$AC62),1),IF($AD62&gt;0,INDEX(BF$7:BF$106,$AD62),1),IF($AE62&gt;0,INDEX(BF$7:BF$106,$AE62),1),IF($AF62&gt;0,INDEX(BF$7:BF$106,$AF62),1),IF($AG62&gt;0,INDEX(BF$7:BF$106,$AG62),1),IF($AH62&gt;0,INDEX(BF$7:BF$106,$AH62),1),IF($AI62&gt;0,INDEX(BF$7:BF$106,$AI62),1),IF($AJ62&gt;0,INDEX(BF$7:BF$106,$AJ62),1))))</ns0:f>
        <ns0:v>1</ns0:v>
      </ns0:c>
      <ns0:c r="BH62" t="n">
        <ns0:f>IF($A62="",1,IF(BG62=1,1,--AND(IF($AC62&gt;0,INDEX(BG$7:BG$106,$AC62),1),IF($AD62&gt;0,INDEX(BG$7:BG$106,$AD62),1),IF($AE62&gt;0,INDEX(BG$7:BG$106,$AE62),1),IF($AF62&gt;0,INDEX(BG$7:BG$106,$AF62),1),IF($AG62&gt;0,INDEX(BG$7:BG$106,$AG62),1),IF($AH62&gt;0,INDEX(BG$7:BG$106,$AH62),1),IF($AI62&gt;0,INDEX(BG$7:BG$106,$AI62),1),IF($AJ62&gt;0,INDEX(BG$7:BG$106,$AJ62),1))))</ns0:f>
        <ns0:v>1</ns0:v>
      </ns0:c>
      <ns0:c r="BI62" t="n">
        <ns0:f>IF($A62="",1,IF(BH62=1,1,--AND(IF($AC62&gt;0,INDEX(BH$7:BH$106,$AC62),1),IF($AD62&gt;0,INDEX(BH$7:BH$106,$AD62),1),IF($AE62&gt;0,INDEX(BH$7:BH$106,$AE62),1),IF($AF62&gt;0,INDEX(BH$7:BH$106,$AF62),1),IF($AG62&gt;0,INDEX(BH$7:BH$106,$AG62),1),IF($AH62&gt;0,INDEX(BH$7:BH$106,$AH62),1),IF($AI62&gt;0,INDEX(BH$7:BH$106,$AI62),1),IF($AJ62&gt;0,INDEX(BH$7:BH$106,$AJ62),1))))</ns0:f>
        <ns0:v>1</ns0:v>
      </ns0:c>
      <ns0:c r="BJ62" t="n">
        <ns0:f>IF($A62="",1,IF(BI62=1,1,--AND(IF($AC62&gt;0,INDEX(BI$7:BI$106,$AC62),1),IF($AD62&gt;0,INDEX(BI$7:BI$106,$AD62),1),IF($AE62&gt;0,INDEX(BI$7:BI$106,$AE62),1),IF($AF62&gt;0,INDEX(BI$7:BI$106,$AF62),1),IF($AG62&gt;0,INDEX(BI$7:BI$106,$AG62),1),IF($AH62&gt;0,INDEX(BI$7:BI$106,$AH62),1),IF($AI62&gt;0,INDEX(BI$7:BI$106,$AI62),1),IF($AJ62&gt;0,INDEX(BI$7:BI$106,$AJ62),1))))</ns0:f>
        <ns0:v>1</ns0:v>
      </ns0:c>
      <ns0:c r="BK62" t="n">
        <ns0:f>IF($A62="",1,IF(BJ62=1,1,--AND(IF($AC62&gt;0,INDEX(BJ$7:BJ$106,$AC62),1),IF($AD62&gt;0,INDEX(BJ$7:BJ$106,$AD62),1),IF($AE62&gt;0,INDEX(BJ$7:BJ$106,$AE62),1),IF($AF62&gt;0,INDEX(BJ$7:BJ$106,$AF62),1),IF($AG62&gt;0,INDEX(BJ$7:BJ$106,$AG62),1),IF($AH62&gt;0,INDEX(BJ$7:BJ$106,$AH62),1),IF($AI62&gt;0,INDEX(BJ$7:BJ$106,$AI62),1),IF($AJ62&gt;0,INDEX(BJ$7:BJ$106,$AJ62),1))))</ns0:f>
        <ns0:v>1</ns0:v>
      </ns0:c>
      <ns0:c r="BL62" t="n">
        <ns0:f>IF($A62="",1,IF(BK62=1,1,--AND(IF($AC62&gt;0,INDEX(BK$7:BK$106,$AC62),1),IF($AD62&gt;0,INDEX(BK$7:BK$106,$AD62),1),IF($AE62&gt;0,INDEX(BK$7:BK$106,$AE62),1),IF($AF62&gt;0,INDEX(BK$7:BK$106,$AF62),1),IF($AG62&gt;0,INDEX(BK$7:BK$106,$AG62),1),IF($AH62&gt;0,INDEX(BK$7:BK$106,$AH62),1),IF($AI62&gt;0,INDEX(BK$7:BK$106,$AI62),1),IF($AJ62&gt;0,INDEX(BK$7:BK$106,$AJ62),1))))</ns0:f>
        <ns0:v>1</ns0:v>
      </ns0:c>
      <ns0:c r="BM62" t="n">
        <ns0:f>IF($A62="",1,IF(BL62=1,1,--AND(IF($AC62&gt;0,INDEX(BL$7:BL$106,$AC62),1),IF($AD62&gt;0,INDEX(BL$7:BL$106,$AD62),1),IF($AE62&gt;0,INDEX(BL$7:BL$106,$AE62),1),IF($AF62&gt;0,INDEX(BL$7:BL$106,$AF62),1),IF($AG62&gt;0,INDEX(BL$7:BL$106,$AG62),1),IF($AH62&gt;0,INDEX(BL$7:BL$106,$AH62),1),IF($AI62&gt;0,INDEX(BL$7:BL$106,$AI62),1),IF($AJ62&gt;0,INDEX(BL$7:BL$106,$AJ62),1))))</ns0:f>
        <ns0:v>1</ns0:v>
      </ns0:c>
      <ns0:c r="BN62" t="n">
        <ns0:f>IF($A62="",1,IF(BM62=1,1,--AND(IF($AC62&gt;0,INDEX(BM$7:BM$106,$AC62),1),IF($AD62&gt;0,INDEX(BM$7:BM$106,$AD62),1),IF($AE62&gt;0,INDEX(BM$7:BM$106,$AE62),1),IF($AF62&gt;0,INDEX(BM$7:BM$106,$AF62),1),IF($AG62&gt;0,INDEX(BM$7:BM$106,$AG62),1),IF($AH62&gt;0,INDEX(BM$7:BM$106,$AH62),1),IF($AI62&gt;0,INDEX(BM$7:BM$106,$AI62),1),IF($AJ62&gt;0,INDEX(BM$7:BM$106,$AJ62),1))))</ns0:f>
        <ns0:v>1</ns0:v>
      </ns0:c>
      <ns0:c r="BO62" t="n">
        <ns0:f>IF($A62="",1,IF(BN62=1,1,--AND(IF($AC62&gt;0,INDEX(BN$7:BN$106,$AC62),1),IF($AD62&gt;0,INDEX(BN$7:BN$106,$AD62),1),IF($AE62&gt;0,INDEX(BN$7:BN$106,$AE62),1),IF($AF62&gt;0,INDEX(BN$7:BN$106,$AF62),1),IF($AG62&gt;0,INDEX(BN$7:BN$106,$AG62),1),IF($AH62&gt;0,INDEX(BN$7:BN$106,$AH62),1),IF($AI62&gt;0,INDEX(BN$7:BN$106,$AI62),1),IF($AJ62&gt;0,INDEX(BN$7:BN$106,$AJ62),1))))</ns0:f>
        <ns0:v>1</ns0:v>
      </ns0:c>
      <ns0:c r="BP62" t="n">
        <ns0:f>IF($A62="",1,IF(BO62=1,1,--AND(IF($AC62&gt;0,INDEX(BO$7:BO$106,$AC62),1),IF($AD62&gt;0,INDEX(BO$7:BO$106,$AD62),1),IF($AE62&gt;0,INDEX(BO$7:BO$106,$AE62),1),IF($AF62&gt;0,INDEX(BO$7:BO$106,$AF62),1),IF($AG62&gt;0,INDEX(BO$7:BO$106,$AG62),1),IF($AH62&gt;0,INDEX(BO$7:BO$106,$AH62),1),IF($AI62&gt;0,INDEX(BO$7:BO$106,$AI62),1),IF($AJ62&gt;0,INDEX(BO$7:BO$106,$AJ62),1))))</ns0:f>
        <ns0:v>1</ns0:v>
      </ns0:c>
      <ns0:c r="BQ62" t="n">
        <ns0:f>IF($A62="",1,IF(BP62=1,1,--AND(IF($AC62&gt;0,INDEX(BP$7:BP$106,$AC62),1),IF($AD62&gt;0,INDEX(BP$7:BP$106,$AD62),1),IF($AE62&gt;0,INDEX(BP$7:BP$106,$AE62),1),IF($AF62&gt;0,INDEX(BP$7:BP$106,$AF62),1),IF($AG62&gt;0,INDEX(BP$7:BP$106,$AG62),1),IF($AH62&gt;0,INDEX(BP$7:BP$106,$AH62),1),IF($AI62&gt;0,INDEX(BP$7:BP$106,$AI62),1),IF($AJ62&gt;0,INDEX(BP$7:BP$106,$AJ62),1))))</ns0:f>
        <ns0:v>1</ns0:v>
      </ns0:c>
      <ns0:c r="BR62" t="n">
        <ns0:f>IF($A62="",1,IF(BQ62=1,1,--AND(IF($AC62&gt;0,INDEX(BQ$7:BQ$106,$AC62),1),IF($AD62&gt;0,INDEX(BQ$7:BQ$106,$AD62),1),IF($AE62&gt;0,INDEX(BQ$7:BQ$106,$AE62),1),IF($AF62&gt;0,INDEX(BQ$7:BQ$106,$AF62),1),IF($AG62&gt;0,INDEX(BQ$7:BQ$106,$AG62),1),IF($AH62&gt;0,INDEX(BQ$7:BQ$106,$AH62),1),IF($AI62&gt;0,INDEX(BQ$7:BQ$106,$AI62),1),IF($AJ62&gt;0,INDEX(BQ$7:BQ$106,$AJ62),1))))</ns0:f>
        <ns0:v>1</ns0:v>
      </ns0:c>
      <ns0:c r="BS62" t="n">
        <ns0:f>IF($A62="",1,IF(BR62=1,1,--AND(IF($AC62&gt;0,INDEX(BR$7:BR$106,$AC62),1),IF($AD62&gt;0,INDEX(BR$7:BR$106,$AD62),1),IF($AE62&gt;0,INDEX(BR$7:BR$106,$AE62),1),IF($AF62&gt;0,INDEX(BR$7:BR$106,$AF62),1),IF($AG62&gt;0,INDEX(BR$7:BR$106,$AG62),1),IF($AH62&gt;0,INDEX(BR$7:BR$106,$AH62),1),IF($AI62&gt;0,INDEX(BR$7:BR$106,$AI62),1),IF($AJ62&gt;0,INDEX(BR$7:BR$106,$AJ62),1))))</ns0:f>
        <ns0:v>1</ns0:v>
      </ns0:c>
      <ns0:c r="BT62" t="n">
        <ns0:f>IF($A62="",1,IF(BS62=1,1,--AND(IF($AC62&gt;0,INDEX(BS$7:BS$106,$AC62),1),IF($AD62&gt;0,INDEX(BS$7:BS$106,$AD62),1),IF($AE62&gt;0,INDEX(BS$7:BS$106,$AE62),1),IF($AF62&gt;0,INDEX(BS$7:BS$106,$AF62),1),IF($AG62&gt;0,INDEX(BS$7:BS$106,$AG62),1),IF($AH62&gt;0,INDEX(BS$7:BS$106,$AH62),1),IF($AI62&gt;0,INDEX(BS$7:BS$106,$AI62),1),IF($AJ62&gt;0,INDEX(BS$7:BS$106,$AJ62),1))))</ns0:f>
        <ns0:v>1</ns0:v>
      </ns0:c>
      <ns0:c r="BU62" t="n">
        <ns0:f>IF($A62="",1,IF(BT62=1,1,--AND(IF($AC62&gt;0,INDEX(BT$7:BT$106,$AC62),1),IF($AD62&gt;0,INDEX(BT$7:BT$106,$AD62),1),IF($AE62&gt;0,INDEX(BT$7:BT$106,$AE62),1),IF($AF62&gt;0,INDEX(BT$7:BT$106,$AF62),1),IF($AG62&gt;0,INDEX(BT$7:BT$106,$AG62),1),IF($AH62&gt;0,INDEX(BT$7:BT$106,$AH62),1),IF($AI62&gt;0,INDEX(BT$7:BT$106,$AI62),1),IF($AJ62&gt;0,INDEX(BT$7:BT$106,$AJ62),1))))</ns0:f>
        <ns0:v>1</ns0:v>
      </ns0:c>
      <ns0:c r="BV62" t="n">
        <ns0:f>IF($A62="",1,IF(BU62=1,1,--AND(IF($AC62&gt;0,INDEX(BU$7:BU$106,$AC62),1),IF($AD62&gt;0,INDEX(BU$7:BU$106,$AD62),1),IF($AE62&gt;0,INDEX(BU$7:BU$106,$AE62),1),IF($AF62&gt;0,INDEX(BU$7:BU$106,$AF62),1),IF($AG62&gt;0,INDEX(BU$7:BU$106,$AG62),1),IF($AH62&gt;0,INDEX(BU$7:BU$106,$AH62),1),IF($AI62&gt;0,INDEX(BU$7:BU$106,$AI62),1),IF($AJ62&gt;0,INDEX(BU$7:BU$106,$AJ62),1))))</ns0:f>
        <ns0:v>1</ns0:v>
      </ns0:c>
      <ns0:c r="BW62" t="n">
        <ns0:f>IF($A62="",1,IF(BV62=1,1,--AND(IF($AC62&gt;0,INDEX(BV$7:BV$106,$AC62),1),IF($AD62&gt;0,INDEX(BV$7:BV$106,$AD62),1),IF($AE62&gt;0,INDEX(BV$7:BV$106,$AE62),1),IF($AF62&gt;0,INDEX(BV$7:BV$106,$AF62),1),IF($AG62&gt;0,INDEX(BV$7:BV$106,$AG62),1),IF($AH62&gt;0,INDEX(BV$7:BV$106,$AH62),1),IF($AI62&gt;0,INDEX(BV$7:BV$106,$AI62),1),IF($AJ62&gt;0,INDEX(BV$7:BV$106,$AJ62),1))))</ns0:f>
        <ns0:v>1</ns0:v>
      </ns0:c>
      <ns0:c r="BX62" t="n">
        <ns0:f>IF($A62="",1,IF(BW62=1,1,--AND(IF($AC62&gt;0,INDEX(BW$7:BW$106,$AC62),1),IF($AD62&gt;0,INDEX(BW$7:BW$106,$AD62),1),IF($AE62&gt;0,INDEX(BW$7:BW$106,$AE62),1),IF($AF62&gt;0,INDEX(BW$7:BW$106,$AF62),1),IF($AG62&gt;0,INDEX(BW$7:BW$106,$AG62),1),IF($AH62&gt;0,INDEX(BW$7:BW$106,$AH62),1),IF($AI62&gt;0,INDEX(BW$7:BW$106,$AI62),1),IF($AJ62&gt;0,INDEX(BW$7:BW$106,$AJ62),1))))</ns0:f>
        <ns0:v>1</ns0:v>
      </ns0:c>
      <ns0:c r="BY62" t="n">
        <ns0:f>IF($A62="",1,IF(BX62=1,1,--AND(IF($AC62&gt;0,INDEX(BX$7:BX$106,$AC62),1),IF($AD62&gt;0,INDEX(BX$7:BX$106,$AD62),1),IF($AE62&gt;0,INDEX(BX$7:BX$106,$AE62),1),IF($AF62&gt;0,INDEX(BX$7:BX$106,$AF62),1),IF($AG62&gt;0,INDEX(BX$7:BX$106,$AG62),1),IF($AH62&gt;0,INDEX(BX$7:BX$106,$AH62),1),IF($AI62&gt;0,INDEX(BX$7:BX$106,$AI62),1),IF($AJ62&gt;0,INDEX(BX$7:BX$106,$AJ62),1))))</ns0:f>
        <ns0:v>1</ns0:v>
      </ns0:c>
      <ns0:c r="BZ62" t="n">
        <ns0:f>IF($A62="",1,IF(BY62=1,1,--AND(IF($AC62&gt;0,INDEX(BY$7:BY$106,$AC62),1),IF($AD62&gt;0,INDEX(BY$7:BY$106,$AD62),1),IF($AE62&gt;0,INDEX(BY$7:BY$106,$AE62),1),IF($AF62&gt;0,INDEX(BY$7:BY$106,$AF62),1),IF($AG62&gt;0,INDEX(BY$7:BY$106,$AG62),1),IF($AH62&gt;0,INDEX(BY$7:BY$106,$AH62),1),IF($AI62&gt;0,INDEX(BY$7:BY$106,$AI62),1),IF($AJ62&gt;0,INDEX(BY$7:BY$106,$AJ62),1))))</ns0:f>
        <ns0:v>1</ns0:v>
      </ns0:c>
      <ns0:c r="CA62" t="n">
        <ns0:f>IF($A62="",1,IF(BZ62=1,1,--AND(IF($AC62&gt;0,INDEX(BZ$7:BZ$106,$AC62),1),IF($AD62&gt;0,INDEX(BZ$7:BZ$106,$AD62),1),IF($AE62&gt;0,INDEX(BZ$7:BZ$106,$AE62),1),IF($AF62&gt;0,INDEX(BZ$7:BZ$106,$AF62),1),IF($AG62&gt;0,INDEX(BZ$7:BZ$106,$AG62),1),IF($AH62&gt;0,INDEX(BZ$7:BZ$106,$AH62),1),IF($AI62&gt;0,INDEX(BZ$7:BZ$106,$AI62),1),IF($AJ62&gt;0,INDEX(BZ$7:BZ$106,$AJ62),1))))</ns0:f>
        <ns0:v>1</ns0:v>
      </ns0:c>
      <ns0:c r="CB62" t="n">
        <ns0:f>IF($A62="",1,IF(CA62=1,1,--AND(IF($AC62&gt;0,INDEX(CA$7:CA$106,$AC62),1),IF($AD62&gt;0,INDEX(CA$7:CA$106,$AD62),1),IF($AE62&gt;0,INDEX(CA$7:CA$106,$AE62),1),IF($AF62&gt;0,INDEX(CA$7:CA$106,$AF62),1),IF($AG62&gt;0,INDEX(CA$7:CA$106,$AG62),1),IF($AH62&gt;0,INDEX(CA$7:CA$106,$AH62),1),IF($AI62&gt;0,INDEX(CA$7:CA$106,$AI62),1),IF($AJ62&gt;0,INDEX(CA$7:CA$106,$AJ62),1))))</ns0:f>
        <ns0:v>1</ns0:v>
      </ns0:c>
      <ns0:c r="CC62" t="n">
        <ns0:f>IF($A62="",1,IF(CB62=1,1,--AND(IF($AC62&gt;0,INDEX(CB$7:CB$106,$AC62),1),IF($AD62&gt;0,INDEX(CB$7:CB$106,$AD62),1),IF($AE62&gt;0,INDEX(CB$7:CB$106,$AE62),1),IF($AF62&gt;0,INDEX(CB$7:CB$106,$AF62),1),IF($AG62&gt;0,INDEX(CB$7:CB$106,$AG62),1),IF($AH62&gt;0,INDEX(CB$7:CB$106,$AH62),1),IF($AI62&gt;0,INDEX(CB$7:CB$106,$AI62),1),IF($AJ62&gt;0,INDEX(CB$7:CB$106,$AJ62),1))))</ns0:f>
        <ns0:v>1</ns0:v>
      </ns0:c>
      <ns0:c r="CD62" t="n">
        <ns0:f>IF($A62="",1,IF(CC62=1,1,--AND(IF($AC62&gt;0,INDEX(CC$7:CC$106,$AC62),1),IF($AD62&gt;0,INDEX(CC$7:CC$106,$AD62),1),IF($AE62&gt;0,INDEX(CC$7:CC$106,$AE62),1),IF($AF62&gt;0,INDEX(CC$7:CC$106,$AF62),1),IF($AG62&gt;0,INDEX(CC$7:CC$106,$AG62),1),IF($AH62&gt;0,INDEX(CC$7:CC$106,$AH62),1),IF($AI62&gt;0,INDEX(CC$7:CC$106,$AI62),1),IF($AJ62&gt;0,INDEX(CC$7:CC$106,$AJ62),1))))</ns0:f>
        <ns0:v>1</ns0:v>
      </ns0:c>
      <ns0:c r="CE62" t="n">
        <ns0:f>IF($A62="",1,IF(CD62=1,1,--AND(IF($AC62&gt;0,INDEX(CD$7:CD$106,$AC62),1),IF($AD62&gt;0,INDEX(CD$7:CD$106,$AD62),1),IF($AE62&gt;0,INDEX(CD$7:CD$106,$AE62),1),IF($AF62&gt;0,INDEX(CD$7:CD$106,$AF62),1),IF($AG62&gt;0,INDEX(CD$7:CD$106,$AG62),1),IF($AH62&gt;0,INDEX(CD$7:CD$106,$AH62),1),IF($AI62&gt;0,INDEX(CD$7:CD$106,$AI62),1),IF($AJ62&gt;0,INDEX(CD$7:CD$106,$AJ62),1))))</ns0:f>
        <ns0:v>1</ns0:v>
      </ns0:c>
      <ns0:c r="CF62" t="n">
        <ns0:f>IF($A62="",1,IF(CE62=1,1,--AND(IF($AC62&gt;0,INDEX(CE$7:CE$106,$AC62),1),IF($AD62&gt;0,INDEX(CE$7:CE$106,$AD62),1),IF($AE62&gt;0,INDEX(CE$7:CE$106,$AE62),1),IF($AF62&gt;0,INDEX(CE$7:CE$106,$AF62),1),IF($AG62&gt;0,INDEX(CE$7:CE$106,$AG62),1),IF($AH62&gt;0,INDEX(CE$7:CE$106,$AH62),1),IF($AI62&gt;0,INDEX(CE$7:CE$106,$AI62),1),IF($AJ62&gt;0,INDEX(CE$7:CE$106,$AJ62),1))))</ns0:f>
        <ns0:v>1</ns0:v>
      </ns0:c>
      <ns0:c r="CG62" t="n">
        <ns0:f>IF($A62="",1,IF(CF62=1,1,--AND(IF($AC62&gt;0,INDEX(CF$7:CF$106,$AC62),1),IF($AD62&gt;0,INDEX(CF$7:CF$106,$AD62),1),IF($AE62&gt;0,INDEX(CF$7:CF$106,$AE62),1),IF($AF62&gt;0,INDEX(CF$7:CF$106,$AF62),1),IF($AG62&gt;0,INDEX(CF$7:CF$106,$AG62),1),IF($AH62&gt;0,INDEX(CF$7:CF$106,$AH62),1),IF($AI62&gt;0,INDEX(CF$7:CF$106,$AI62),1),IF($AJ62&gt;0,INDEX(CF$7:CF$106,$AJ62),1))))</ns0:f>
        <ns0:v>1</ns0:v>
      </ns0:c>
      <ns0:c r="CH62" t="n">
        <ns0:f>IF($A62="",1,IF(CG62=1,1,--AND(IF($AC62&gt;0,INDEX(CG$7:CG$106,$AC62),1),IF($AD62&gt;0,INDEX(CG$7:CG$106,$AD62),1),IF($AE62&gt;0,INDEX(CG$7:CG$106,$AE62),1),IF($AF62&gt;0,INDEX(CG$7:CG$106,$AF62),1),IF($AG62&gt;0,INDEX(CG$7:CG$106,$AG62),1),IF($AH62&gt;0,INDEX(CG$7:CG$106,$AH62),1),IF($AI62&gt;0,INDEX(CG$7:CG$106,$AI62),1),IF($AJ62&gt;0,INDEX(CG$7:CG$106,$AJ62),1))))</ns0:f>
        <ns0:v>1</ns0:v>
      </ns0:c>
      <ns0:c r="CI62" t="n">
        <ns0:f>IF($A62="",1,IF(CH62=1,1,--AND(IF($AC62&gt;0,INDEX(CH$7:CH$106,$AC62),1),IF($AD62&gt;0,INDEX(CH$7:CH$106,$AD62),1),IF($AE62&gt;0,INDEX(CH$7:CH$106,$AE62),1),IF($AF62&gt;0,INDEX(CH$7:CH$106,$AF62),1),IF($AG62&gt;0,INDEX(CH$7:CH$106,$AG62),1),IF($AH62&gt;0,INDEX(CH$7:CH$106,$AH62),1),IF($AI62&gt;0,INDEX(CH$7:CH$106,$AI62),1),IF($AJ62&gt;0,INDEX(CH$7:CH$106,$AJ62),1))))</ns0:f>
        <ns0:v>1</ns0:v>
      </ns0:c>
      <ns0:c r="CJ62" t="n">
        <ns0:f>IF($A62="",1,IF(CI62=1,1,--AND(IF($AC62&gt;0,INDEX(CI$7:CI$106,$AC62),1),IF($AD62&gt;0,INDEX(CI$7:CI$106,$AD62),1),IF($AE62&gt;0,INDEX(CI$7:CI$106,$AE62),1),IF($AF62&gt;0,INDEX(CI$7:CI$106,$AF62),1),IF($AG62&gt;0,INDEX(CI$7:CI$106,$AG62),1),IF($AH62&gt;0,INDEX(CI$7:CI$106,$AH62),1),IF($AI62&gt;0,INDEX(CI$7:CI$106,$AI62),1),IF($AJ62&gt;0,INDEX(CI$7:CI$106,$AJ62),1))))</ns0:f>
        <ns0:v>1</ns0:v>
      </ns0:c>
      <ns0:c r="CK62" t="n">
        <ns0:f>IF($A62="",1,IF(CJ62=1,1,--AND(IF($AC62&gt;0,INDEX(CJ$7:CJ$106,$AC62),1),IF($AD62&gt;0,INDEX(CJ$7:CJ$106,$AD62),1),IF($AE62&gt;0,INDEX(CJ$7:CJ$106,$AE62),1),IF($AF62&gt;0,INDEX(CJ$7:CJ$106,$AF62),1),IF($AG62&gt;0,INDEX(CJ$7:CJ$106,$AG62),1),IF($AH62&gt;0,INDEX(CJ$7:CJ$106,$AH62),1),IF($AI62&gt;0,INDEX(CJ$7:CJ$106,$AI62),1),IF($AJ62&gt;0,INDEX(CJ$7:CJ$106,$AJ62),1))))</ns0:f>
        <ns0:v>1</ns0:v>
      </ns0:c>
      <ns0:c r="CL62" t="n">
        <ns0:f>IF($A62="",1,IF(CK62=1,1,--AND(IF($AC62&gt;0,INDEX(CK$7:CK$106,$AC62),1),IF($AD62&gt;0,INDEX(CK$7:CK$106,$AD62),1),IF($AE62&gt;0,INDEX(CK$7:CK$106,$AE62),1),IF($AF62&gt;0,INDEX(CK$7:CK$106,$AF62),1),IF($AG62&gt;0,INDEX(CK$7:CK$106,$AG62),1),IF($AH62&gt;0,INDEX(CK$7:CK$106,$AH62),1),IF($AI62&gt;0,INDEX(CK$7:CK$106,$AI62),1),IF($AJ62&gt;0,INDEX(CK$7:CK$106,$AJ62),1))))</ns0:f>
        <ns0:v>1</ns0:v>
      </ns0:c>
      <ns0:c r="CM62" t="n">
        <ns0:f>IF($A62="",1,IF(CL62=1,1,--AND(IF($AC62&gt;0,INDEX(CL$7:CL$106,$AC62),1),IF($AD62&gt;0,INDEX(CL$7:CL$106,$AD62),1),IF($AE62&gt;0,INDEX(CL$7:CL$106,$AE62),1),IF($AF62&gt;0,INDEX(CL$7:CL$106,$AF62),1),IF($AG62&gt;0,INDEX(CL$7:CL$106,$AG62),1),IF($AH62&gt;0,INDEX(CL$7:CL$106,$AH62),1),IF($AI62&gt;0,INDEX(CL$7:CL$106,$AI62),1),IF($AJ62&gt;0,INDEX(CL$7:CL$106,$AJ62),1))))</ns0:f>
        <ns0:v>1</ns0:v>
      </ns0:c>
      <ns0:c r="CN62" t="n">
        <ns0:f>IF($A62="",1,IF(CM62=1,1,--AND(IF($AC62&gt;0,INDEX(CM$7:CM$106,$AC62),1),IF($AD62&gt;0,INDEX(CM$7:CM$106,$AD62),1),IF($AE62&gt;0,INDEX(CM$7:CM$106,$AE62),1),IF($AF62&gt;0,INDEX(CM$7:CM$106,$AF62),1),IF($AG62&gt;0,INDEX(CM$7:CM$106,$AG62),1),IF($AH62&gt;0,INDEX(CM$7:CM$106,$AH62),1),IF($AI62&gt;0,INDEX(CM$7:CM$106,$AI62),1),IF($AJ62&gt;0,INDEX(CM$7:CM$106,$AJ62),1))))</ns0:f>
        <ns0:v>1</ns0:v>
      </ns0:c>
      <ns0:c r="CO62" t="n">
        <ns0:f>IF($A62="",1,IF(CN62=1,1,--AND(IF($AC62&gt;0,INDEX(CN$7:CN$106,$AC62),1),IF($AD62&gt;0,INDEX(CN$7:CN$106,$AD62),1),IF($AE62&gt;0,INDEX(CN$7:CN$106,$AE62),1),IF($AF62&gt;0,INDEX(CN$7:CN$106,$AF62),1),IF($AG62&gt;0,INDEX(CN$7:CN$106,$AG62),1),IF($AH62&gt;0,INDEX(CN$7:CN$106,$AH62),1),IF($AI62&gt;0,INDEX(CN$7:CN$106,$AI62),1),IF($AJ62&gt;0,INDEX(CN$7:CN$106,$AJ62),1))))</ns0:f>
        <ns0:v>1</ns0:v>
      </ns0:c>
      <ns0:c r="CP62" t="n">
        <ns0:f>IF($A62="",1,IF(CO62=1,1,--AND(IF($AC62&gt;0,INDEX(CO$7:CO$106,$AC62),1),IF($AD62&gt;0,INDEX(CO$7:CO$106,$AD62),1),IF($AE62&gt;0,INDEX(CO$7:CO$106,$AE62),1),IF($AF62&gt;0,INDEX(CO$7:CO$106,$AF62),1),IF($AG62&gt;0,INDEX(CO$7:CO$106,$AG62),1),IF($AH62&gt;0,INDEX(CO$7:CO$106,$AH62),1),IF($AI62&gt;0,INDEX(CO$7:CO$106,$AI62),1),IF($AJ62&gt;0,INDEX(CO$7:CO$106,$AJ62),1))))</ns0:f>
        <ns0:v>1</ns0:v>
      </ns0:c>
      <ns0:c r="CQ62" t="n">
        <ns0:f>IF($A62="",1,IF(CP62=1,1,--AND(IF($AC62&gt;0,INDEX(CP$7:CP$106,$AC62),1),IF($AD62&gt;0,INDEX(CP$7:CP$106,$AD62),1),IF($AE62&gt;0,INDEX(CP$7:CP$106,$AE62),1),IF($AF62&gt;0,INDEX(CP$7:CP$106,$AF62),1),IF($AG62&gt;0,INDEX(CP$7:CP$106,$AG62),1),IF($AH62&gt;0,INDEX(CP$7:CP$106,$AH62),1),IF($AI62&gt;0,INDEX(CP$7:CP$106,$AI62),1),IF($AJ62&gt;0,INDEX(CP$7:CP$106,$AJ62),1))))</ns0:f>
        <ns0:v>1</ns0:v>
      </ns0:c>
      <ns0:c r="CR62" t="n">
        <ns0:f>IF($A62="",1,IF(CQ62=1,1,--AND(IF($AC62&gt;0,INDEX(CQ$7:CQ$106,$AC62),1),IF($AD62&gt;0,INDEX(CQ$7:CQ$106,$AD62),1),IF($AE62&gt;0,INDEX(CQ$7:CQ$106,$AE62),1),IF($AF62&gt;0,INDEX(CQ$7:CQ$106,$AF62),1),IF($AG62&gt;0,INDEX(CQ$7:CQ$106,$AG62),1),IF($AH62&gt;0,INDEX(CQ$7:CQ$106,$AH62),1),IF($AI62&gt;0,INDEX(CQ$7:CQ$106,$AI62),1),IF($AJ62&gt;0,INDEX(CQ$7:CQ$106,$AJ62),1))))</ns0:f>
        <ns0:v>1</ns0:v>
      </ns0:c>
      <ns0:c r="CS62" t="n">
        <ns0:f>IF($A62="",1,IF(CR62=1,1,--AND(IF($AC62&gt;0,INDEX(CR$7:CR$106,$AC62),1),IF($AD62&gt;0,INDEX(CR$7:CR$106,$AD62),1),IF($AE62&gt;0,INDEX(CR$7:CR$106,$AE62),1),IF($AF62&gt;0,INDEX(CR$7:CR$106,$AF62),1),IF($AG62&gt;0,INDEX(CR$7:CR$106,$AG62),1),IF($AH62&gt;0,INDEX(CR$7:CR$106,$AH62),1),IF($AI62&gt;0,INDEX(CR$7:CR$106,$AI62),1),IF($AJ62&gt;0,INDEX(CR$7:CR$106,$AJ62),1))))</ns0:f>
        <ns0:v>1</ns0:v>
      </ns0:c>
      <ns0:c r="CT62" t="n">
        <ns0:f>IF($A62="",1,IF(CS62=1,1,--AND(IF($AC62&gt;0,INDEX(CS$7:CS$106,$AC62),1),IF($AD62&gt;0,INDEX(CS$7:CS$106,$AD62),1),IF($AE62&gt;0,INDEX(CS$7:CS$106,$AE62),1),IF($AF62&gt;0,INDEX(CS$7:CS$106,$AF62),1),IF($AG62&gt;0,INDEX(CS$7:CS$106,$AG62),1),IF($AH62&gt;0,INDEX(CS$7:CS$106,$AH62),1),IF($AI62&gt;0,INDEX(CS$7:CS$106,$AI62),1),IF($AJ62&gt;0,INDEX(CS$7:CS$106,$AJ62),1))))</ns0:f>
        <ns0:v>1</ns0:v>
      </ns0:c>
      <ns0:c r="CU62" t="n">
        <ns0:f>IF($A62="",1,IF(CT62=1,1,--AND(IF($AC62&gt;0,INDEX(CT$7:CT$106,$AC62),1),IF($AD62&gt;0,INDEX(CT$7:CT$106,$AD62),1),IF($AE62&gt;0,INDEX(CT$7:CT$106,$AE62),1),IF($AF62&gt;0,INDEX(CT$7:CT$106,$AF62),1),IF($AG62&gt;0,INDEX(CT$7:CT$106,$AG62),1),IF($AH62&gt;0,INDEX(CT$7:CT$106,$AH62),1),IF($AI62&gt;0,INDEX(CT$7:CT$106,$AI62),1),IF($AJ62&gt;0,INDEX(CT$7:CT$106,$AJ62),1))))</ns0:f>
        <ns0:v>1</ns0:v>
      </ns0:c>
      <ns0:c r="CV62" t="n">
        <ns0:f>IF($A62="",1,IF(CU62=1,1,--AND(IF($AC62&gt;0,INDEX(CU$7:CU$106,$AC62),1),IF($AD62&gt;0,INDEX(CU$7:CU$106,$AD62),1),IF($AE62&gt;0,INDEX(CU$7:CU$106,$AE62),1),IF($AF62&gt;0,INDEX(CU$7:CU$106,$AF62),1),IF($AG62&gt;0,INDEX(CU$7:CU$106,$AG62),1),IF($AH62&gt;0,INDEX(CU$7:CU$106,$AH62),1),IF($AI62&gt;0,INDEX(CU$7:CU$106,$AI62),1),IF($AJ62&gt;0,INDEX(CU$7:CU$106,$AJ62),1))))</ns0:f>
        <ns0:v>1</ns0:v>
      </ns0:c>
      <ns0:c r="CW62" t="n">
        <ns0:f>IF($A62="",1,IF(CV62=1,1,--AND(IF($AC62&gt;0,INDEX(CV$7:CV$106,$AC62),1),IF($AD62&gt;0,INDEX(CV$7:CV$106,$AD62),1),IF($AE62&gt;0,INDEX(CV$7:CV$106,$AE62),1),IF($AF62&gt;0,INDEX(CV$7:CV$106,$AF62),1),IF($AG62&gt;0,INDEX(CV$7:CV$106,$AG62),1),IF($AH62&gt;0,INDEX(CV$7:CV$106,$AH62),1),IF($AI62&gt;0,INDEX(CV$7:CV$106,$AI62),1),IF($AJ62&gt;0,INDEX(CV$7:CV$106,$AJ62),1))))</ns0:f>
        <ns0:v>1</ns0:v>
      </ns0:c>
      <ns0:c r="CX62" t="n">
        <ns0:f>IF($A62="",1,IF(CW62=1,1,--AND(IF($AC62&gt;0,INDEX(CW$7:CW$106,$AC62),1),IF($AD62&gt;0,INDEX(CW$7:CW$106,$AD62),1),IF($AE62&gt;0,INDEX(CW$7:CW$106,$AE62),1),IF($AF62&gt;0,INDEX(CW$7:CW$106,$AF62),1),IF($AG62&gt;0,INDEX(CW$7:CW$106,$AG62),1),IF($AH62&gt;0,INDEX(CW$7:CW$106,$AH62),1),IF($AI62&gt;0,INDEX(CW$7:CW$106,$AI62),1),IF($AJ62&gt;0,INDEX(CW$7:CW$106,$AJ62),1))))</ns0:f>
        <ns0:v>1</ns0:v>
      </ns0:c>
      <ns0:c r="CY62" t="n">
        <ns0:f>IF($A62="",1,IF(CX62=1,1,--AND(IF($AC62&gt;0,INDEX(CX$7:CX$106,$AC62),1),IF($AD62&gt;0,INDEX(CX$7:CX$106,$AD62),1),IF($AE62&gt;0,INDEX(CX$7:CX$106,$AE62),1),IF($AF62&gt;0,INDEX(CX$7:CX$106,$AF62),1),IF($AG62&gt;0,INDEX(CX$7:CX$106,$AG62),1),IF($AH62&gt;0,INDEX(CX$7:CX$106,$AH62),1),IF($AI62&gt;0,INDEX(CX$7:CX$106,$AI62),1),IF($AJ62&gt;0,INDEX(CX$7:CX$106,$AJ62),1))))</ns0:f>
        <ns0:v>1</ns0:v>
      </ns0:c>
      <ns0:c r="CZ62" t="n">
        <ns0:f>IF($A62="",1,IF(CY62=1,1,--AND(IF($AC62&gt;0,INDEX(CY$7:CY$106,$AC62),1),IF($AD62&gt;0,INDEX(CY$7:CY$106,$AD62),1),IF($AE62&gt;0,INDEX(CY$7:CY$106,$AE62),1),IF($AF62&gt;0,INDEX(CY$7:CY$106,$AF62),1),IF($AG62&gt;0,INDEX(CY$7:CY$106,$AG62),1),IF($AH62&gt;0,INDEX(CY$7:CY$106,$AH62),1),IF($AI62&gt;0,INDEX(CY$7:CY$106,$AI62),1),IF($AJ62&gt;0,INDEX(CY$7:CY$106,$AJ62),1))))</ns0:f>
        <ns0:v>1</ns0:v>
      </ns0:c>
      <ns0:c r="DA62" t="n">
        <ns0:f>IF($A62="",1,IF(CZ62=1,1,--AND(IF($AC62&gt;0,INDEX(CZ$7:CZ$106,$AC62),1),IF($AD62&gt;0,INDEX(CZ$7:CZ$106,$AD62),1),IF($AE62&gt;0,INDEX(CZ$7:CZ$106,$AE62),1),IF($AF62&gt;0,INDEX(CZ$7:CZ$106,$AF62),1),IF($AG62&gt;0,INDEX(CZ$7:CZ$106,$AG62),1),IF($AH62&gt;0,INDEX(CZ$7:CZ$106,$AH62),1),IF($AI62&gt;0,INDEX(CZ$7:CZ$106,$AI62),1),IF($AJ62&gt;0,INDEX(CZ$7:CZ$106,$AJ62),1))))</ns0:f>
        <ns0:v>1</ns0:v>
      </ns0:c>
      <ns0:c r="DB62" t="n">
        <ns0:f>IF($A62="",1,IF(DA62=1,1,--AND(IF($AC62&gt;0,INDEX(DA$7:DA$106,$AC62),1),IF($AD62&gt;0,INDEX(DA$7:DA$106,$AD62),1),IF($AE62&gt;0,INDEX(DA$7:DA$106,$AE62),1),IF($AF62&gt;0,INDEX(DA$7:DA$106,$AF62),1),IF($AG62&gt;0,INDEX(DA$7:DA$106,$AG62),1),IF($AH62&gt;0,INDEX(DA$7:DA$106,$AH62),1),IF($AI62&gt;0,INDEX(DA$7:DA$106,$AI62),1),IF($AJ62&gt;0,INDEX(DA$7:DA$106,$AJ62),1))))</ns0:f>
        <ns0:v>1</ns0:v>
      </ns0:c>
      <ns0:c r="DC62" t="n">
        <ns0:f>IF($A62="",1,IF(DB62=1,1,--AND(IF($AC62&gt;0,INDEX(DB$7:DB$106,$AC62),1),IF($AD62&gt;0,INDEX(DB$7:DB$106,$AD62),1),IF($AE62&gt;0,INDEX(DB$7:DB$106,$AE62),1),IF($AF62&gt;0,INDEX(DB$7:DB$106,$AF62),1),IF($AG62&gt;0,INDEX(DB$7:DB$106,$AG62),1),IF($AH62&gt;0,INDEX(DB$7:DB$106,$AH62),1),IF($AI62&gt;0,INDEX(DB$7:DB$106,$AI62),1),IF($AJ62&gt;0,INDEX(DB$7:DB$106,$AJ62),1))))</ns0:f>
        <ns0:v>1</ns0:v>
      </ns0:c>
      <ns0:c r="DD62" t="n">
        <ns0:f>IF($A62="",1,IF(DC62=1,1,--AND(IF($AC62&gt;0,INDEX(DC$7:DC$106,$AC62),1),IF($AD62&gt;0,INDEX(DC$7:DC$106,$AD62),1),IF($AE62&gt;0,INDEX(DC$7:DC$106,$AE62),1),IF($AF62&gt;0,INDEX(DC$7:DC$106,$AF62),1),IF($AG62&gt;0,INDEX(DC$7:DC$106,$AG62),1),IF($AH62&gt;0,INDEX(DC$7:DC$106,$AH62),1),IF($AI62&gt;0,INDEX(DC$7:DC$106,$AI62),1),IF($AJ62&gt;0,INDEX(DC$7:DC$106,$AJ62),1))))</ns0:f>
        <ns0:v>1</ns0:v>
      </ns0:c>
      <ns0:c r="DE62" t="n">
        <ns0:f>IF($A62="",1,IF(DD62=1,1,--AND(IF($AC62&gt;0,INDEX(DD$7:DD$106,$AC62),1),IF($AD62&gt;0,INDEX(DD$7:DD$106,$AD62),1),IF($AE62&gt;0,INDEX(DD$7:DD$106,$AE62),1),IF($AF62&gt;0,INDEX(DD$7:DD$106,$AF62),1),IF($AG62&gt;0,INDEX(DD$7:DD$106,$AG62),1),IF($AH62&gt;0,INDEX(DD$7:DD$106,$AH62),1),IF($AI62&gt;0,INDEX(DD$7:DD$106,$AI62),1),IF($AJ62&gt;0,INDEX(DD$7:DD$106,$AJ62),1))))</ns0:f>
        <ns0:v>1</ns0:v>
      </ns0:c>
      <ns0:c r="DF62" t="n">
        <ns0:f>IF($A62="",1,IF(DE62=1,1,--AND(IF($AC62&gt;0,INDEX(DE$7:DE$106,$AC62),1),IF($AD62&gt;0,INDEX(DE$7:DE$106,$AD62),1),IF($AE62&gt;0,INDEX(DE$7:DE$106,$AE62),1),IF($AF62&gt;0,INDEX(DE$7:DE$106,$AF62),1),IF($AG62&gt;0,INDEX(DE$7:DE$106,$AG62),1),IF($AH62&gt;0,INDEX(DE$7:DE$106,$AH62),1),IF($AI62&gt;0,INDEX(DE$7:DE$106,$AI62),1),IF($AJ62&gt;0,INDEX(DE$7:DE$106,$AJ62),1))))</ns0:f>
        <ns0:v>1</ns0:v>
      </ns0:c>
      <ns0:c r="DG62" t="n">
        <ns0:f>IF($A62="",1,IF(DF62=1,1,--AND(IF($AC62&gt;0,INDEX(DF$7:DF$106,$AC62),1),IF($AD62&gt;0,INDEX(DF$7:DF$106,$AD62),1),IF($AE62&gt;0,INDEX(DF$7:DF$106,$AE62),1),IF($AF62&gt;0,INDEX(DF$7:DF$106,$AF62),1),IF($AG62&gt;0,INDEX(DF$7:DF$106,$AG62),1),IF($AH62&gt;0,INDEX(DF$7:DF$106,$AH62),1),IF($AI62&gt;0,INDEX(DF$7:DF$106,$AI62),1),IF($AJ62&gt;0,INDEX(DF$7:DF$106,$AJ62),1))))</ns0:f>
        <ns0:v>1</ns0:v>
      </ns0:c>
      <ns0:c r="DH62" t="n">
        <ns0:f>IF($A62="",1,IF(DG62=1,1,--AND(IF($AC62&gt;0,INDEX(DG$7:DG$106,$AC62),1),IF($AD62&gt;0,INDEX(DG$7:DG$106,$AD62),1),IF($AE62&gt;0,INDEX(DG$7:DG$106,$AE62),1),IF($AF62&gt;0,INDEX(DG$7:DG$106,$AF62),1),IF($AG62&gt;0,INDEX(DG$7:DG$106,$AG62),1),IF($AH62&gt;0,INDEX(DG$7:DG$106,$AH62),1),IF($AI62&gt;0,INDEX(DG$7:DG$106,$AI62),1),IF($AJ62&gt;0,INDEX(DG$7:DG$106,$AJ62),1))))</ns0:f>
        <ns0:v>1</ns0:v>
      </ns0:c>
      <ns0:c r="DI62" t="n">
        <ns0:f>IF($A62="",1,IF(DH62=1,1,--AND(IF($AC62&gt;0,INDEX(DH$7:DH$106,$AC62),1),IF($AD62&gt;0,INDEX(DH$7:DH$106,$AD62),1),IF($AE62&gt;0,INDEX(DH$7:DH$106,$AE62),1),IF($AF62&gt;0,INDEX(DH$7:DH$106,$AF62),1),IF($AG62&gt;0,INDEX(DH$7:DH$106,$AG62),1),IF($AH62&gt;0,INDEX(DH$7:DH$106,$AH62),1),IF($AI62&gt;0,INDEX(DH$7:DH$106,$AI62),1),IF($AJ62&gt;0,INDEX(DH$7:DH$106,$AJ62),1))))</ns0:f>
        <ns0:v>1</ns0:v>
      </ns0:c>
      <ns0:c r="DJ62" t="n">
        <ns0:f>IF($A62="",1,IF(DI62=1,1,--AND(IF($AC62&gt;0,INDEX(DI$7:DI$106,$AC62),1),IF($AD62&gt;0,INDEX(DI$7:DI$106,$AD62),1),IF($AE62&gt;0,INDEX(DI$7:DI$106,$AE62),1),IF($AF62&gt;0,INDEX(DI$7:DI$106,$AF62),1),IF($AG62&gt;0,INDEX(DI$7:DI$106,$AG62),1),IF($AH62&gt;0,INDEX(DI$7:DI$106,$AH62),1),IF($AI62&gt;0,INDEX(DI$7:DI$106,$AI62),1),IF($AJ62&gt;0,INDEX(DI$7:DI$106,$AJ62),1))))</ns0:f>
        <ns0:v>1</ns0:v>
      </ns0:c>
      <ns0:c r="DK62" t="n">
        <ns0:f>IF($A62="",1,IF(DJ62=1,1,--AND(IF($AC62&gt;0,INDEX(DJ$7:DJ$106,$AC62),1),IF($AD62&gt;0,INDEX(DJ$7:DJ$106,$AD62),1),IF($AE62&gt;0,INDEX(DJ$7:DJ$106,$AE62),1),IF($AF62&gt;0,INDEX(DJ$7:DJ$106,$AF62),1),IF($AG62&gt;0,INDEX(DJ$7:DJ$106,$AG62),1),IF($AH62&gt;0,INDEX(DJ$7:DJ$106,$AH62),1),IF($AI62&gt;0,INDEX(DJ$7:DJ$106,$AI62),1),IF($AJ62&gt;0,INDEX(DJ$7:DJ$106,$AJ62),1))))</ns0:f>
        <ns0:v>1</ns0:v>
      </ns0:c>
      <ns0:c r="DL62" t="n">
        <ns0:f>IF($A62="",1,IF(DK62=1,1,--AND(IF($AC62&gt;0,INDEX(DK$7:DK$106,$AC62),1),IF($AD62&gt;0,INDEX(DK$7:DK$106,$AD62),1),IF($AE62&gt;0,INDEX(DK$7:DK$106,$AE62),1),IF($AF62&gt;0,INDEX(DK$7:DK$106,$AF62),1),IF($AG62&gt;0,INDEX(DK$7:DK$106,$AG62),1),IF($AH62&gt;0,INDEX(DK$7:DK$106,$AH62),1),IF($AI62&gt;0,INDEX(DK$7:DK$106,$AI62),1),IF($AJ62&gt;0,INDEX(DK$7:DK$106,$AJ62),1))))</ns0:f>
        <ns0:v>1</ns0:v>
      </ns0:c>
      <ns0:c r="DM62" t="n">
        <ns0:f>IF($A62="",1,IF(DL62=1,1,--AND(IF($AC62&gt;0,INDEX(DL$7:DL$106,$AC62),1),IF($AD62&gt;0,INDEX(DL$7:DL$106,$AD62),1),IF($AE62&gt;0,INDEX(DL$7:DL$106,$AE62),1),IF($AF62&gt;0,INDEX(DL$7:DL$106,$AF62),1),IF($AG62&gt;0,INDEX(DL$7:DL$106,$AG62),1),IF($AH62&gt;0,INDEX(DL$7:DL$106,$AH62),1),IF($AI62&gt;0,INDEX(DL$7:DL$106,$AI62),1),IF($AJ62&gt;0,INDEX(DL$7:DL$106,$AJ62),1))))</ns0:f>
        <ns0:v>1</ns0:v>
      </ns0:c>
      <ns0:c r="DN62" t="n">
        <ns0:f>IF($A62="",1,IF(DM62=1,1,--AND(IF($AC62&gt;0,INDEX(DM$7:DM$106,$AC62),1),IF($AD62&gt;0,INDEX(DM$7:DM$106,$AD62),1),IF($AE62&gt;0,INDEX(DM$7:DM$106,$AE62),1),IF($AF62&gt;0,INDEX(DM$7:DM$106,$AF62),1),IF($AG62&gt;0,INDEX(DM$7:DM$106,$AG62),1),IF($AH62&gt;0,INDEX(DM$7:DM$106,$AH62),1),IF($AI62&gt;0,INDEX(DM$7:DM$106,$AI62),1),IF($AJ62&gt;0,INDEX(DM$7:DM$106,$AJ62),1))))</ns0:f>
        <ns0:v>1</ns0:v>
      </ns0:c>
      <ns0:c r="DO62" t="n">
        <ns0:f>IF($A62="",1,IF(DN62=1,1,--AND(IF($AC62&gt;0,INDEX(DN$7:DN$106,$AC62),1),IF($AD62&gt;0,INDEX(DN$7:DN$106,$AD62),1),IF($AE62&gt;0,INDEX(DN$7:DN$106,$AE62),1),IF($AF62&gt;0,INDEX(DN$7:DN$106,$AF62),1),IF($AG62&gt;0,INDEX(DN$7:DN$106,$AG62),1),IF($AH62&gt;0,INDEX(DN$7:DN$106,$AH62),1),IF($AI62&gt;0,INDEX(DN$7:DN$106,$AI62),1),IF($AJ62&gt;0,INDEX(DN$7:DN$106,$AJ62),1))))</ns0:f>
        <ns0:v>1</ns0:v>
      </ns0:c>
      <ns0:c r="DP62" t="n">
        <ns0:f>IF($A62="",1,IF(DO62=1,1,--AND(IF($AC62&gt;0,INDEX(DO$7:DO$106,$AC62),1),IF($AD62&gt;0,INDEX(DO$7:DO$106,$AD62),1),IF($AE62&gt;0,INDEX(DO$7:DO$106,$AE62),1),IF($AF62&gt;0,INDEX(DO$7:DO$106,$AF62),1),IF($AG62&gt;0,INDEX(DO$7:DO$106,$AG62),1),IF($AH62&gt;0,INDEX(DO$7:DO$106,$AH62),1),IF($AI62&gt;0,INDEX(DO$7:DO$106,$AI62),1),IF($AJ62&gt;0,INDEX(DO$7:DO$106,$AJ62),1))))</ns0:f>
        <ns0:v>1</ns0:v>
      </ns0:c>
      <ns0:c r="DQ62" t="n">
        <ns0:f>IF($A62="",1,IF(DP62=1,1,--AND(IF($AC62&gt;0,INDEX(DP$7:DP$106,$AC62),1),IF($AD62&gt;0,INDEX(DP$7:DP$106,$AD62),1),IF($AE62&gt;0,INDEX(DP$7:DP$106,$AE62),1),IF($AF62&gt;0,INDEX(DP$7:DP$106,$AF62),1),IF($AG62&gt;0,INDEX(DP$7:DP$106,$AG62),1),IF($AH62&gt;0,INDEX(DP$7:DP$106,$AH62),1),IF($AI62&gt;0,INDEX(DP$7:DP$106,$AI62),1),IF($AJ62&gt;0,INDEX(DP$7:DP$106,$AJ62),1))))</ns0:f>
        <ns0:v>1</ns0:v>
      </ns0:c>
      <ns0:c r="DR62" t="n">
        <ns0:f>IF($A62="",1,IF(DQ62=1,1,--AND(IF($AC62&gt;0,INDEX(DQ$7:DQ$106,$AC62),1),IF($AD62&gt;0,INDEX(DQ$7:DQ$106,$AD62),1),IF($AE62&gt;0,INDEX(DQ$7:DQ$106,$AE62),1),IF($AF62&gt;0,INDEX(DQ$7:DQ$106,$AF62),1),IF($AG62&gt;0,INDEX(DQ$7:DQ$106,$AG62),1),IF($AH62&gt;0,INDEX(DQ$7:DQ$106,$AH62),1),IF($AI62&gt;0,INDEX(DQ$7:DQ$106,$AI62),1),IF($AJ62&gt;0,INDEX(DQ$7:DQ$106,$AJ62),1))))</ns0:f>
        <ns0:v>1</ns0:v>
      </ns0:c>
      <ns0:c r="DS62" t="n">
        <ns0:f>IF($A62="",1,IF(DR62=1,1,--AND(IF($AC62&gt;0,INDEX(DR$7:DR$106,$AC62),1),IF($AD62&gt;0,INDEX(DR$7:DR$106,$AD62),1),IF($AE62&gt;0,INDEX(DR$7:DR$106,$AE62),1),IF($AF62&gt;0,INDEX(DR$7:DR$106,$AF62),1),IF($AG62&gt;0,INDEX(DR$7:DR$106,$AG62),1),IF($AH62&gt;0,INDEX(DR$7:DR$106,$AH62),1),IF($AI62&gt;0,INDEX(DR$7:DR$106,$AI62),1),IF($AJ62&gt;0,INDEX(DR$7:DR$106,$AJ62),1))))</ns0:f>
        <ns0:v>1</ns0:v>
      </ns0:c>
      <ns0:c r="DT62" t="n">
        <ns0:f>IF($A62="",1,IF(DS62=1,1,--AND(IF($AC62&gt;0,INDEX(DS$7:DS$106,$AC62),1),IF($AD62&gt;0,INDEX(DS$7:DS$106,$AD62),1),IF($AE62&gt;0,INDEX(DS$7:DS$106,$AE62),1),IF($AF62&gt;0,INDEX(DS$7:DS$106,$AF62),1),IF($AG62&gt;0,INDEX(DS$7:DS$106,$AG62),1),IF($AH62&gt;0,INDEX(DS$7:DS$106,$AH62),1),IF($AI62&gt;0,INDEX(DS$7:DS$106,$AI62),1),IF($AJ62&gt;0,INDEX(DS$7:DS$106,$AJ62),1))))</ns0:f>
        <ns0:v>1</ns0:v>
      </ns0:c>
      <ns0:c r="DU62" t="n">
        <ns0:f>IF($A62="",1,IF(DT62=1,1,--AND(IF($AC62&gt;0,INDEX(DT$7:DT$106,$AC62),1),IF($AD62&gt;0,INDEX(DT$7:DT$106,$AD62),1),IF($AE62&gt;0,INDEX(DT$7:DT$106,$AE62),1),IF($AF62&gt;0,INDEX(DT$7:DT$106,$AF62),1),IF($AG62&gt;0,INDEX(DT$7:DT$106,$AG62),1),IF($AH62&gt;0,INDEX(DT$7:DT$106,$AH62),1),IF($AI62&gt;0,INDEX(DT$7:DT$106,$AI62),1),IF($AJ62&gt;0,INDEX(DT$7:DT$106,$AJ62),1))))</ns0:f>
        <ns0:v>1</ns0:v>
      </ns0:c>
      <ns0:c r="DV62" t="n">
        <ns0:f>IF($A62="",1,IF(DU62=1,1,--AND(IF($AC62&gt;0,INDEX(DU$7:DU$106,$AC62),1),IF($AD62&gt;0,INDEX(DU$7:DU$106,$AD62),1),IF($AE62&gt;0,INDEX(DU$7:DU$106,$AE62),1),IF($AF62&gt;0,INDEX(DU$7:DU$106,$AF62),1),IF($AG62&gt;0,INDEX(DU$7:DU$106,$AG62),1),IF($AH62&gt;0,INDEX(DU$7:DU$106,$AH62),1),IF($AI62&gt;0,INDEX(DU$7:DU$106,$AI62),1),IF($AJ62&gt;0,INDEX(DU$7:DU$106,$AJ62),1))))</ns0:f>
        <ns0:v>1</ns0:v>
      </ns0:c>
      <ns0:c r="DW62" t="n">
        <ns0:f>IF($A62="",1,IF(DV62=1,1,--AND(IF($AC62&gt;0,INDEX(DV$7:DV$106,$AC62),1),IF($AD62&gt;0,INDEX(DV$7:DV$106,$AD62),1),IF($AE62&gt;0,INDEX(DV$7:DV$106,$AE62),1),IF($AF62&gt;0,INDEX(DV$7:DV$106,$AF62),1),IF($AG62&gt;0,INDEX(DV$7:DV$106,$AG62),1),IF($AH62&gt;0,INDEX(DV$7:DV$106,$AH62),1),IF($AI62&gt;0,INDEX(DV$7:DV$106,$AI62),1),IF($AJ62&gt;0,INDEX(DV$7:DV$106,$AJ62),1))))</ns0:f>
        <ns0:v>1</ns0:v>
      </ns0:c>
      <ns0:c r="DX62" t="n">
        <ns0:f>IF($A62="",1,IF(DW62=1,1,--AND(IF($AC62&gt;0,INDEX(DW$7:DW$106,$AC62),1),IF($AD62&gt;0,INDEX(DW$7:DW$106,$AD62),1),IF($AE62&gt;0,INDEX(DW$7:DW$106,$AE62),1),IF($AF62&gt;0,INDEX(DW$7:DW$106,$AF62),1),IF($AG62&gt;0,INDEX(DW$7:DW$106,$AG62),1),IF($AH62&gt;0,INDEX(DW$7:DW$106,$AH62),1),IF($AI62&gt;0,INDEX(DW$7:DW$106,$AI62),1),IF($AJ62&gt;0,INDEX(DW$7:DW$106,$AJ62),1))))</ns0:f>
        <ns0:v>1</ns0:v>
      </ns0:c>
      <ns0:c r="DY62" t="n">
        <ns0:f>IF($A62="",1,IF(DX62=1,1,--AND(IF($AC62&gt;0,INDEX(DX$7:DX$106,$AC62),1),IF($AD62&gt;0,INDEX(DX$7:DX$106,$AD62),1),IF($AE62&gt;0,INDEX(DX$7:DX$106,$AE62),1),IF($AF62&gt;0,INDEX(DX$7:DX$106,$AF62),1),IF($AG62&gt;0,INDEX(DX$7:DX$106,$AG62),1),IF($AH62&gt;0,INDEX(DX$7:DX$106,$AH62),1),IF($AI62&gt;0,INDEX(DX$7:DX$106,$AI62),1),IF($AJ62&gt;0,INDEX(DX$7:DX$106,$AJ62),1))))</ns0:f>
        <ns0:v>1</ns0:v>
      </ns0:c>
      <ns0:c r="DZ62" t="n">
        <ns0:f>IF($A62="",1,IF(DY62=1,1,--AND(IF($AC62&gt;0,INDEX(DY$7:DY$106,$AC62),1),IF($AD62&gt;0,INDEX(DY$7:DY$106,$AD62),1),IF($AE62&gt;0,INDEX(DY$7:DY$106,$AE62),1),IF($AF62&gt;0,INDEX(DY$7:DY$106,$AF62),1),IF($AG62&gt;0,INDEX(DY$7:DY$106,$AG62),1),IF($AH62&gt;0,INDEX(DY$7:DY$106,$AH62),1),IF($AI62&gt;0,INDEX(DY$7:DY$106,$AI62),1),IF($AJ62&gt;0,INDEX(DY$7:DY$106,$AJ62),1))))</ns0:f>
        <ns0:v>1</ns0:v>
      </ns0:c>
      <ns0:c r="EA62" t="n">
        <ns0:f>IF($A62="",1,IF(DZ62=1,1,--AND(IF($AC62&gt;0,INDEX(DZ$7:DZ$106,$AC62),1),IF($AD62&gt;0,INDEX(DZ$7:DZ$106,$AD62),1),IF($AE62&gt;0,INDEX(DZ$7:DZ$106,$AE62),1),IF($AF62&gt;0,INDEX(DZ$7:DZ$106,$AF62),1),IF($AG62&gt;0,INDEX(DZ$7:DZ$106,$AG62),1),IF($AH62&gt;0,INDEX(DZ$7:DZ$106,$AH62),1),IF($AI62&gt;0,INDEX(DZ$7:DZ$106,$AI62),1),IF($AJ62&gt;0,INDEX(DZ$7:DZ$106,$AJ62),1))))</ns0:f>
        <ns0:v>1</ns0:v>
      </ns0:c>
      <ns0:c r="EB62" t="n">
        <ns0:f>IF($A62="",1,IF(EA62=1,1,--AND(IF($AC62&gt;0,INDEX(EA$7:EA$106,$AC62),1),IF($AD62&gt;0,INDEX(EA$7:EA$106,$AD62),1),IF($AE62&gt;0,INDEX(EA$7:EA$106,$AE62),1),IF($AF62&gt;0,INDEX(EA$7:EA$106,$AF62),1),IF($AG62&gt;0,INDEX(EA$7:EA$106,$AG62),1),IF($AH62&gt;0,INDEX(EA$7:EA$106,$AH62),1),IF($AI62&gt;0,INDEX(EA$7:EA$106,$AI62),1),IF($AJ62&gt;0,INDEX(EA$7:EA$106,$AJ62),1))))</ns0:f>
        <ns0:v>1</ns0:v>
      </ns0:c>
      <ns0:c r="EC62" t="n">
        <ns0:f>IF($A62="",1,IF(EB62=1,1,--AND(IF($AC62&gt;0,INDEX(EB$7:EB$106,$AC62),1),IF($AD62&gt;0,INDEX(EB$7:EB$106,$AD62),1),IF($AE62&gt;0,INDEX(EB$7:EB$106,$AE62),1),IF($AF62&gt;0,INDEX(EB$7:EB$106,$AF62),1),IF($AG62&gt;0,INDEX(EB$7:EB$106,$AG62),1),IF($AH62&gt;0,INDEX(EB$7:EB$106,$AH62),1),IF($AI62&gt;0,INDEX(EB$7:EB$106,$AI62),1),IF($AJ62&gt;0,INDEX(EB$7:EB$106,$AJ62),1))))</ns0:f>
        <ns0:v>1</ns0:v>
      </ns0:c>
      <ns0:c r="ED62" t="n">
        <ns0:f>IF($A62="",1,IF(EC62=1,1,--AND(IF($AC62&gt;0,INDEX(EC$7:EC$106,$AC62),1),IF($AD62&gt;0,INDEX(EC$7:EC$106,$AD62),1),IF($AE62&gt;0,INDEX(EC$7:EC$106,$AE62),1),IF($AF62&gt;0,INDEX(EC$7:EC$106,$AF62),1),IF($AG62&gt;0,INDEX(EC$7:EC$106,$AG62),1),IF($AH62&gt;0,INDEX(EC$7:EC$106,$AH62),1),IF($AI62&gt;0,INDEX(EC$7:EC$106,$AI62),1),IF($AJ62&gt;0,INDEX(EC$7:EC$106,$AJ62),1))))</ns0:f>
        <ns0:v>1</ns0:v>
      </ns0:c>
      <ns0:c r="EE62" t="n">
        <ns0:f>IF($A62="",1,IF(ED62=1,1,--AND(IF($AC62&gt;0,INDEX(ED$7:ED$106,$AC62),1),IF($AD62&gt;0,INDEX(ED$7:ED$106,$AD62),1),IF($AE62&gt;0,INDEX(ED$7:ED$106,$AE62),1),IF($AF62&gt;0,INDEX(ED$7:ED$106,$AF62),1),IF($AG62&gt;0,INDEX(ED$7:ED$106,$AG62),1),IF($AH62&gt;0,INDEX(ED$7:ED$106,$AH62),1),IF($AI62&gt;0,INDEX(ED$7:ED$106,$AI62),1),IF($AJ62&gt;0,INDEX(ED$7:ED$106,$AJ62),1))))</ns0:f>
        <ns0:v>1</ns0:v>
      </ns0:c>
      <ns0:c r="EF62" t="n">
        <ns0:f>IF($A62="",1,IF(EE62=1,1,--AND(IF($AC62&gt;0,INDEX(EE$7:EE$106,$AC62),1),IF($AD62&gt;0,INDEX(EE$7:EE$106,$AD62),1),IF($AE62&gt;0,INDEX(EE$7:EE$106,$AE62),1),IF($AF62&gt;0,INDEX(EE$7:EE$106,$AF62),1),IF($AG62&gt;0,INDEX(EE$7:EE$106,$AG62),1),IF($AH62&gt;0,INDEX(EE$7:EE$106,$AH62),1),IF($AI62&gt;0,INDEX(EE$7:EE$106,$AI62),1),IF($AJ62&gt;0,INDEX(EE$7:EE$106,$AJ62),1))))</ns0:f>
        <ns0:v>1</ns0:v>
      </ns0:c>
      <ns0:c r="EG62" t="n">
        <ns0:f>IF($A62="",1,IF(EF62=1,1,--AND(IF($AC62&gt;0,INDEX(EF$7:EF$106,$AC62),1),IF($AD62&gt;0,INDEX(EF$7:EF$106,$AD62),1),IF($AE62&gt;0,INDEX(EF$7:EF$106,$AE62),1),IF($AF62&gt;0,INDEX(EF$7:EF$106,$AF62),1),IF($AG62&gt;0,INDEX(EF$7:EF$106,$AG62),1),IF($AH62&gt;0,INDEX(EF$7:EF$106,$AH62),1),IF($AI62&gt;0,INDEX(EF$7:EF$106,$AI62),1),IF($AJ62&gt;0,INDEX(EF$7:EF$106,$AJ62),1))))</ns0:f>
        <ns0:v>1</ns0:v>
      </ns0:c>
      <ns0:c r="EH62" t="n">
        <ns0:f>IF($A62="",1,IF(EG62=1,1,--AND(IF($AC62&gt;0,INDEX(EG$7:EG$106,$AC62),1),IF($AD62&gt;0,INDEX(EG$7:EG$106,$AD62),1),IF($AE62&gt;0,INDEX(EG$7:EG$106,$AE62),1),IF($AF62&gt;0,INDEX(EG$7:EG$106,$AF62),1),IF($AG62&gt;0,INDEX(EG$7:EG$106,$AG62),1),IF($AH62&gt;0,INDEX(EG$7:EG$106,$AH62),1),IF($AI62&gt;0,INDEX(EG$7:EG$106,$AI62),1),IF($AJ62&gt;0,INDEX(EG$7:EG$106,$AJ62),1))))</ns0:f>
        <ns0:v>1</ns0:v>
      </ns0:c>
      <ns0:c r="EI62" t="n">
        <ns0:f>IF($A62="",1,IF(EH62=1,1,--AND(IF($AC62&gt;0,INDEX(EH$7:EH$106,$AC62),1),IF($AD62&gt;0,INDEX(EH$7:EH$106,$AD62),1),IF($AE62&gt;0,INDEX(EH$7:EH$106,$AE62),1),IF($AF62&gt;0,INDEX(EH$7:EH$106,$AF62),1),IF($AG62&gt;0,INDEX(EH$7:EH$106,$AG62),1),IF($AH62&gt;0,INDEX(EH$7:EH$106,$AH62),1),IF($AI62&gt;0,INDEX(EH$7:EH$106,$AI62),1),IF($AJ62&gt;0,INDEX(EH$7:EH$106,$AJ62),1))))</ns0:f>
        <ns0:v>1</ns0:v>
      </ns0:c>
      <ns0:c r="EJ62" t="n">
        <ns0:f>IF($A62="",1,IF(EI62=1,1,--AND(IF($AC62&gt;0,INDEX(EI$7:EI$106,$AC62),1),IF($AD62&gt;0,INDEX(EI$7:EI$106,$AD62),1),IF($AE62&gt;0,INDEX(EI$7:EI$106,$AE62),1),IF($AF62&gt;0,INDEX(EI$7:EI$106,$AF62),1),IF($AG62&gt;0,INDEX(EI$7:EI$106,$AG62),1),IF($AH62&gt;0,INDEX(EI$7:EI$106,$AH62),1),IF($AI62&gt;0,INDEX(EI$7:EI$106,$AI62),1),IF($AJ62&gt;0,INDEX(EI$7:EI$106,$AJ62),1))))</ns0:f>
        <ns0:v>1</ns0:v>
      </ns0:c>
      <ns0:c r="EK62" t="n">
        <ns0:f>IF($A62="",1,IF(EJ62=1,1,--AND(IF($AC62&gt;0,INDEX(EJ$7:EJ$106,$AC62),1),IF($AD62&gt;0,INDEX(EJ$7:EJ$106,$AD62),1),IF($AE62&gt;0,INDEX(EJ$7:EJ$106,$AE62),1),IF($AF62&gt;0,INDEX(EJ$7:EJ$106,$AF62),1),IF($AG62&gt;0,INDEX(EJ$7:EJ$106,$AG62),1),IF($AH62&gt;0,INDEX(EJ$7:EJ$106,$AH62),1),IF($AI62&gt;0,INDEX(EJ$7:EJ$106,$AI62),1),IF($AJ62&gt;0,INDEX(EJ$7:EJ$106,$AJ62),1))))</ns0:f>
        <ns0:v>1</ns0:v>
      </ns0:c>
      <ns0:c r="EL62" t="n">
        <ns0:f>IF($A62="",1,IF(EK62=1,1,--AND(IF($AC62&gt;0,INDEX(EK$7:EK$106,$AC62),1),IF($AD62&gt;0,INDEX(EK$7:EK$106,$AD62),1),IF($AE62&gt;0,INDEX(EK$7:EK$106,$AE62),1),IF($AF62&gt;0,INDEX(EK$7:EK$106,$AF62),1),IF($AG62&gt;0,INDEX(EK$7:EK$106,$AG62),1),IF($AH62&gt;0,INDEX(EK$7:EK$106,$AH62),1),IF($AI62&gt;0,INDEX(EK$7:EK$106,$AI62),1),IF($AJ62&gt;0,INDEX(EK$7:EK$106,$AJ62),1))))</ns0:f>
        <ns0:v>1</ns0:v>
      </ns0:c>
      <ns0:c r="EM62" t="n">
        <ns0:f>IF($A62="",1,IF(EL62=1,1,--AND(IF($AC62&gt;0,INDEX(EL$7:EL$106,$AC62),1),IF($AD62&gt;0,INDEX(EL$7:EL$106,$AD62),1),IF($AE62&gt;0,INDEX(EL$7:EL$106,$AE62),1),IF($AF62&gt;0,INDEX(EL$7:EL$106,$AF62),1),IF($AG62&gt;0,INDEX(EL$7:EL$106,$AG62),1),IF($AH62&gt;0,INDEX(EL$7:EL$106,$AH62),1),IF($AI62&gt;0,INDEX(EL$7:EL$106,$AI62),1),IF($AJ62&gt;0,INDEX(EL$7:EL$106,$AJ62),1))))</ns0:f>
        <ns0:v>1</ns0:v>
      </ns0:c>
      <ns0:c r="EN62" t="n">
        <ns0:f>IF($A62="",1,IF(EM62=1,1,--AND(IF($AC62&gt;0,INDEX(EM$7:EM$106,$AC62),1),IF($AD62&gt;0,INDEX(EM$7:EM$106,$AD62),1),IF($AE62&gt;0,INDEX(EM$7:EM$106,$AE62),1),IF($AF62&gt;0,INDEX(EM$7:EM$106,$AF62),1),IF($AG62&gt;0,INDEX(EM$7:EM$106,$AG62),1),IF($AH62&gt;0,INDEX(EM$7:EM$106,$AH62),1),IF($AI62&gt;0,INDEX(EM$7:EM$106,$AI62),1),IF($AJ62&gt;0,INDEX(EM$7:EM$106,$AJ62),1))))</ns0:f>
        <ns0:v>1</ns0:v>
      </ns0:c>
      <ns0:c r="EO62" t="n">
        <ns0:f>IF($A62="",1,IF(EN62=1,1,--AND(IF($AC62&gt;0,INDEX(EN$7:EN$106,$AC62),1),IF($AD62&gt;0,INDEX(EN$7:EN$106,$AD62),1),IF($AE62&gt;0,INDEX(EN$7:EN$106,$AE62),1),IF($AF62&gt;0,INDEX(EN$7:EN$106,$AF62),1),IF($AG62&gt;0,INDEX(EN$7:EN$106,$AG62),1),IF($AH62&gt;0,INDEX(EN$7:EN$106,$AH62),1),IF($AI62&gt;0,INDEX(EN$7:EN$106,$AI62),1),IF($AJ62&gt;0,INDEX(EN$7:EN$106,$AJ62),1))))</ns0:f>
        <ns0:v>1</ns0:v>
      </ns0:c>
      <ns0:c r="EP62" t="n">
        <ns0:f>IF($A62="",1,IF(EO62=1,1,--AND(IF($AC62&gt;0,INDEX(EO$7:EO$106,$AC62),1),IF($AD62&gt;0,INDEX(EO$7:EO$106,$AD62),1),IF($AE62&gt;0,INDEX(EO$7:EO$106,$AE62),1),IF($AF62&gt;0,INDEX(EO$7:EO$106,$AF62),1),IF($AG62&gt;0,INDEX(EO$7:EO$106,$AG62),1),IF($AH62&gt;0,INDEX(EO$7:EO$106,$AH62),1),IF($AI62&gt;0,INDEX(EO$7:EO$106,$AI62),1),IF($AJ62&gt;0,INDEX(EO$7:EO$106,$AJ62),1))))</ns0:f>
        <ns0:v>1</ns0:v>
      </ns0:c>
      <ns0:c r="EQ62" t="n">
        <ns0:f>IF(OR(A62="",NOT(ISNUMBER(G62))),0,G62*N62)</ns0:f>
        <ns0:v>0</ns0:v>
      </ns0:c>
    </ns0:row>
    <ns0:row r="63" ht="62" customHeight="1">
      <ns0:c r="A63" s="48"/>
      <ns0:c r="B63" s="48"/>
      <ns0:c r="C63" s="48"/>
      <ns0:c r="D63" s="48"/>
      <ns0:c r="E63" s="49"/>
      <ns0:c r="F63" s="49"/>
      <ns0:c r="G63" s="13" t="str">
        <ns0:f>IF(A63="","",IF(OR(NOT(ISNUMBER(E63)),NOT(ISNUMBER(F63)),F63&lt;E63),"",IF(J63="Yes",0,F63-E63+1)))</ns0:f>
      </ns0:c>
      <ns0:c r="H63" s="48"/>
      <ns0:c r="I63" s="48"/>
      <ns0:c r="J63" s="48"/>
      <ns0:c r="K63" s="48"/>
      <ns0:c r="L63" s="48"/>
      <ns0:c r="M63" s="50" t="str">
        <ns0:f>IF(A63="","",IF(N63=1,"Completed",IF(N63&gt;0,"In Progress","Not Started")))</ns0:f>
      </ns0:c>
      <ns0:c r="N63" s="51"/>
      <ns0:c r="O63" s="13" t="str">
        <ns0:f>IF(A63="","",IF(R63&lt;&gt;"","[CONFLICT] "&amp;R63,IF(S63&lt;&gt;"","[CONFLICT] "&amp;S63,IF(OR(NOT(ISNUMBER(N63)),N63&lt;0,N63&gt;1),"[CONFLICT] Invalid progress",IF(AK63&gt;0,"[DEPENDENCY ISSUE] Missing ID / &gt;8 links",IF(AM63&gt;0,"[DEPENDENCY ISSUE] Cycle or blocked by cycle",IF(AND(H63&lt;&gt;"",ISNA(MATCH(I63,{"FS","SS","FF","SF"},0))),"[DEPENDENCY ISSUE] Invalid type",IF(AL63&gt;0,"[DEPENDENCY ISSUE] Timing conflict",IF(OR(E63&lt;ProjectStart,F63&gt;ProjectEnd),"[OUTSIDE WINDOW]",IF(AND(N63&lt;1,F63&lt;AsOfDate),"Overdue",IF(AND(M63&lt;&gt;Q63,M63&lt;&gt;""),"[CONFLICT] Status / progress","On track")))))))))))</ns0:f>
      </ns0:c>
      <ns0:c r="P63" s="52"/>
      <ns0:c r="Q63" t="str">
        <ns0:f>IF(A63="","",IF(OR(M63="On Hold",M63="Delayed"),M63,IF(N63=1,"Completed",IF(N63&gt;0,"In Progress","Not Started"))))</ns0:f>
      </ns0:c>
      <ns0:c r="R63" t="str">
        <ns0:f>IF(A63="","",IF(COUNTIFS(Tasks[Task ID],A63)&lt;&gt;1,"Duplicate ID",""))</ns0:f>
      </ns0:c>
      <ns0:c r="S63" t="str">
        <ns0:f>IF(A63="","",IF(OR(NOT(ISNUMBER(E63)),NOT(ISNUMBER(F63))),"Invalid / missing date",IF(OR(E63&lt;&gt;INT(E63),F63&lt;&gt;INT(F63),E63&lt;1,F63&gt;2958465),"Invalid date",IF(F63&lt;E63,"End before start",IF(AND(J63="Yes",E63&lt;&gt;F63),"Milestone needs one date","")))))</ns0:f>
      </ns0:c>
      <ns0:c r="T63" t="n">
        <ns0:f>IF(H63="",0,LEN(H63)-LEN(SUBSTITUTE(H63,",",""))+1)</ns0:f>
        <ns0:v>0</ns0:v>
      </ns0:c>
      <ns0:c r="U63" t="str">
        <ns0:f>TRIM(MID(SUBSTITUTE($H63,",",REPT(" ",100)),1,100))</ns0:f>
      </ns0:c>
      <ns0:c r="V63" t="str">
        <ns0:f>TRIM(MID(SUBSTITUTE($H63,",",REPT(" ",100)),101,100))</ns0:f>
      </ns0:c>
      <ns0:c r="W63" t="str">
        <ns0:f>TRIM(MID(SUBSTITUTE($H63,",",REPT(" ",100)),201,100))</ns0:f>
      </ns0:c>
      <ns0:c r="X63" t="str">
        <ns0:f>TRIM(MID(SUBSTITUTE($H63,",",REPT(" ",100)),301,100))</ns0:f>
      </ns0:c>
      <ns0:c r="Y63" t="str">
        <ns0:f>TRIM(MID(SUBSTITUTE($H63,",",REPT(" ",100)),401,100))</ns0:f>
      </ns0:c>
      <ns0:c r="Z63" t="str">
        <ns0:f>TRIM(MID(SUBSTITUTE($H63,",",REPT(" ",100)),501,100))</ns0:f>
      </ns0:c>
      <ns0:c r="AA63" t="str">
        <ns0:f>TRIM(MID(SUBSTITUTE($H63,",",REPT(" ",100)),601,100))</ns0:f>
      </ns0:c>
      <ns0:c r="AB63" t="str">
        <ns0:f>TRIM(MID(SUBSTITUTE($H63,",",REPT(" ",100)),701,100))</ns0:f>
      </ns0:c>
      <ns0:c r="AC63" t="n">
        <ns0:f>IF(U63="",0,IF(COUNTIFS(Tasks[Task ID],U63)=1,MATCH(U63,Tasks[Task ID],0),-1))</ns0:f>
        <ns0:v>0</ns0:v>
      </ns0:c>
      <ns0:c r="AD63" t="n">
        <ns0:f>IF(V63="",0,IF(COUNTIFS(Tasks[Task ID],V63)=1,MATCH(V63,Tasks[Task ID],0),-1))</ns0:f>
        <ns0:v>0</ns0:v>
      </ns0:c>
      <ns0:c r="AE63" t="n">
        <ns0:f>IF(W63="",0,IF(COUNTIFS(Tasks[Task ID],W63)=1,MATCH(W63,Tasks[Task ID],0),-1))</ns0:f>
        <ns0:v>0</ns0:v>
      </ns0:c>
      <ns0:c r="AF63" t="n">
        <ns0:f>IF(X63="",0,IF(COUNTIFS(Tasks[Task ID],X63)=1,MATCH(X63,Tasks[Task ID],0),-1))</ns0:f>
        <ns0:v>0</ns0:v>
      </ns0:c>
      <ns0:c r="AG63" t="n">
        <ns0:f>IF(Y63="",0,IF(COUNTIFS(Tasks[Task ID],Y63)=1,MATCH(Y63,Tasks[Task ID],0),-1))</ns0:f>
        <ns0:v>0</ns0:v>
      </ns0:c>
      <ns0:c r="AH63" t="n">
        <ns0:f>IF(Z63="",0,IF(COUNTIFS(Tasks[Task ID],Z63)=1,MATCH(Z63,Tasks[Task ID],0),-1))</ns0:f>
        <ns0:v>0</ns0:v>
      </ns0:c>
      <ns0:c r="AI63" t="n">
        <ns0:f>IF(AA63="",0,IF(COUNTIFS(Tasks[Task ID],AA63)=1,MATCH(AA63,Tasks[Task ID],0),-1))</ns0:f>
        <ns0:v>0</ns0:v>
      </ns0:c>
      <ns0:c r="AJ63" t="n">
        <ns0:f>IF(AB63="",0,IF(COUNTIFS(Tasks[Task ID],AB63)=1,MATCH(AB63,Tasks[Task ID],0),-1))</ns0:f>
        <ns0:v>0</ns0:v>
      </ns0:c>
      <ns0:c r="AK63" t="n">
        <ns0:f>COUNTIFS(AC63:AJ63,-1)+IF(T63&gt;8,1,0)</ns0:f>
        <ns0:v>0</ns0:v>
      </ns0:c>
      <ns0:c r="AL63" t="n">
        <ns0:f>IF(OR(A63="",S63&lt;&gt;""),0,SUM(IF(AC63&gt;0,IF($I63="FS",--($E63&lt;INDEX(Tasks[End Date],AC63)+IF(INDEX(Tasks[Milestone],AC63)="Yes",0,1)),IF($I63="SS",--($E63&lt;INDEX(Tasks[Start Date],AC63)),IF($I63="FF",--($F63&lt;INDEX(Tasks[End Date],AC63)),IF($I63="SF",--($F63&lt;INDEX(Tasks[Start Date],AC63)),0)))),0),IF(AD63&gt;0,IF($I63="FS",--($E63&lt;INDEX(Tasks[End Date],AD63)+IF(INDEX(Tasks[Milestone],AD63)="Yes",0,1)),IF($I63="SS",--($E63&lt;INDEX(Tasks[Start Date],AD63)),IF($I63="FF",--($F63&lt;INDEX(Tasks[End Date],AD63)),IF($I63="SF",--($F63&lt;INDEX(Tasks[Start Date],AD63)),0)))),0),IF(AE63&gt;0,IF($I63="FS",--($E63&lt;INDEX(Tasks[End Date],AE63)+IF(INDEX(Tasks[Milestone],AE63)="Yes",0,1)),IF($I63="SS",--($E63&lt;INDEX(Tasks[Start Date],AE63)),IF($I63="FF",--($F63&lt;INDEX(Tasks[End Date],AE63)),IF($I63="SF",--($F63&lt;INDEX(Tasks[Start Date],AE63)),0)))),0),IF(AF63&gt;0,IF($I63="FS",--($E63&lt;INDEX(Tasks[End Date],AF63)+IF(INDEX(Tasks[Milestone],AF63)="Yes",0,1)),IF($I63="SS",--($E63&lt;INDEX(Tasks[Start Date],AF63)),IF($I63="FF",--($F63&lt;INDEX(Tasks[End Date],AF63)),IF($I63="SF",--($F63&lt;INDEX(Tasks[Start Date],AF63)),0)))),0),IF(AG63&gt;0,IF($I63="FS",--($E63&lt;INDEX(Tasks[End Date],AG63)+IF(INDEX(Tasks[Milestone],AG63)="Yes",0,1)),IF($I63="SS",--($E63&lt;INDEX(Tasks[Start Date],AG63)),IF($I63="FF",--($F63&lt;INDEX(Tasks[End Date],AG63)),IF($I63="SF",--($F63&lt;INDEX(Tasks[Start Date],AG63)),0)))),0),IF(AH63&gt;0,IF($I63="FS",--($E63&lt;INDEX(Tasks[End Date],AH63)+IF(INDEX(Tasks[Milestone],AH63)="Yes",0,1)),IF($I63="SS",--($E63&lt;INDEX(Tasks[Start Date],AH63)),IF($I63="FF",--($F63&lt;INDEX(Tasks[End Date],AH63)),IF($I63="SF",--($F63&lt;INDEX(Tasks[Start Date],AH63)),0)))),0),IF(AI63&gt;0,IF($I63="FS",--($E63&lt;INDEX(Tasks[End Date],AI63)+IF(INDEX(Tasks[Milestone],AI63)="Yes",0,1)),IF($I63="SS",--($E63&lt;INDEX(Tasks[Start Date],AI63)),IF($I63="FF",--($F63&lt;INDEX(Tasks[End Date],AI63)),IF($I63="SF",--($F63&lt;INDEX(Tasks[Start Date],AI63)),0)))),0),IF(AJ63&gt;0,IF($I63="FS",--($E63&lt;INDEX(Tasks[End Date],AJ63)+IF(INDEX(Tasks[Milestone],AJ63)="Yes",0,1)),IF($I63="SS",--($E63&lt;INDEX(Tasks[Start Date],AJ63)),IF($I63="FF",--($F63&lt;INDEX(Tasks[End Date],AJ63)),IF($I63="SF",--($F63&lt;INDEX(Tasks[Start Date],AJ63)),0)))),0)))</ns0:f>
        <ns0:v>0</ns0:v>
      </ns0:c>
      <ns0:c r="AM63" t="n">
        <ns0:f>IF(AND(A63&lt;&gt;"",AK63=0,EP63=0),1,0)</ns0:f>
        <ns0:v>0</ns0:v>
      </ns0:c>
      <ns0:c r="AN63" t="str">
        <ns0:f>IF(OR(A63="",B63=""),"",IF(COUNTIFS($B$7:B63,B63)=1,MAX($AN$6:AN62)+1,""))</ns0:f>
      </ns0:c>
      <ns0:c r="AO63" t="n">
        <ns0:f>IF(AND(A63&lt;&gt;"",J63="No",N63&lt;1,E63&gt;=AsOfDate),E63+ROW()/10000,1E+9)</ns0:f>
        <ns0:v>1000000000</ns0:v>
      </ns0:c>
      <ns0:c r="AP63" t="n">
        <ns0:f>IF(AND(A63&lt;&gt;"",J63="Yes",N63&lt;1,E63&gt;=AsOfDate),E63+ROW()/10000,1E+9)</ns0:f>
        <ns0:v>1000000000</ns0:v>
      </ns0:c>
      <ns0:c r="AQ63" t="n">
        <ns0:f>IF(AND(A63&lt;&gt;"",J63="No",N63&lt;1,F63&gt;=AsOfDate,F63&lt;=AsOfDate+7),F63+ROW()/10000,1E+9)</ns0:f>
        <ns0:v>1000000000</ns0:v>
      </ns0:c>
      <ns0:c r="AR63" t="n">
        <ns0:f>IF(AND(A63&lt;&gt;"",OR(O63&lt;&gt;"On track",Q63="Delayed")),ROW(),1E+9)</ns0:f>
        <ns0:v>1000000000</ns0:v>
      </ns0:c>
      <ns0:c r="AS63" t="str">
        <ns0:f>IF(A63="","",";"&amp;K63&amp;";")</ns0:f>
      </ns0:c>
      <ns0:c r="AT63" t="n">
        <ns0:f>IF(A63="",1,--(T63=0))</ns0:f>
        <ns0:v>1</ns0:v>
      </ns0:c>
      <ns0:c r="AU63" t="n">
        <ns0:f>IF($A63="",1,IF(AT63=1,1,--AND(IF($AC63&gt;0,INDEX(AT$7:AT$106,$AC63),1),IF($AD63&gt;0,INDEX(AT$7:AT$106,$AD63),1),IF($AE63&gt;0,INDEX(AT$7:AT$106,$AE63),1),IF($AF63&gt;0,INDEX(AT$7:AT$106,$AF63),1),IF($AG63&gt;0,INDEX(AT$7:AT$106,$AG63),1),IF($AH63&gt;0,INDEX(AT$7:AT$106,$AH63),1),IF($AI63&gt;0,INDEX(AT$7:AT$106,$AI63),1),IF($AJ63&gt;0,INDEX(AT$7:AT$106,$AJ63),1))))</ns0:f>
        <ns0:v>1</ns0:v>
      </ns0:c>
      <ns0:c r="AV63" t="n">
        <ns0:f>IF($A63="",1,IF(AU63=1,1,--AND(IF($AC63&gt;0,INDEX(AU$7:AU$106,$AC63),1),IF($AD63&gt;0,INDEX(AU$7:AU$106,$AD63),1),IF($AE63&gt;0,INDEX(AU$7:AU$106,$AE63),1),IF($AF63&gt;0,INDEX(AU$7:AU$106,$AF63),1),IF($AG63&gt;0,INDEX(AU$7:AU$106,$AG63),1),IF($AH63&gt;0,INDEX(AU$7:AU$106,$AH63),1),IF($AI63&gt;0,INDEX(AU$7:AU$106,$AI63),1),IF($AJ63&gt;0,INDEX(AU$7:AU$106,$AJ63),1))))</ns0:f>
        <ns0:v>1</ns0:v>
      </ns0:c>
      <ns0:c r="AW63" t="n">
        <ns0:f>IF($A63="",1,IF(AV63=1,1,--AND(IF($AC63&gt;0,INDEX(AV$7:AV$106,$AC63),1),IF($AD63&gt;0,INDEX(AV$7:AV$106,$AD63),1),IF($AE63&gt;0,INDEX(AV$7:AV$106,$AE63),1),IF($AF63&gt;0,INDEX(AV$7:AV$106,$AF63),1),IF($AG63&gt;0,INDEX(AV$7:AV$106,$AG63),1),IF($AH63&gt;0,INDEX(AV$7:AV$106,$AH63),1),IF($AI63&gt;0,INDEX(AV$7:AV$106,$AI63),1),IF($AJ63&gt;0,INDEX(AV$7:AV$106,$AJ63),1))))</ns0:f>
        <ns0:v>1</ns0:v>
      </ns0:c>
      <ns0:c r="AX63" t="n">
        <ns0:f>IF($A63="",1,IF(AW63=1,1,--AND(IF($AC63&gt;0,INDEX(AW$7:AW$106,$AC63),1),IF($AD63&gt;0,INDEX(AW$7:AW$106,$AD63),1),IF($AE63&gt;0,INDEX(AW$7:AW$106,$AE63),1),IF($AF63&gt;0,INDEX(AW$7:AW$106,$AF63),1),IF($AG63&gt;0,INDEX(AW$7:AW$106,$AG63),1),IF($AH63&gt;0,INDEX(AW$7:AW$106,$AH63),1),IF($AI63&gt;0,INDEX(AW$7:AW$106,$AI63),1),IF($AJ63&gt;0,INDEX(AW$7:AW$106,$AJ63),1))))</ns0:f>
        <ns0:v>1</ns0:v>
      </ns0:c>
      <ns0:c r="AY63" t="n">
        <ns0:f>IF($A63="",1,IF(AX63=1,1,--AND(IF($AC63&gt;0,INDEX(AX$7:AX$106,$AC63),1),IF($AD63&gt;0,INDEX(AX$7:AX$106,$AD63),1),IF($AE63&gt;0,INDEX(AX$7:AX$106,$AE63),1),IF($AF63&gt;0,INDEX(AX$7:AX$106,$AF63),1),IF($AG63&gt;0,INDEX(AX$7:AX$106,$AG63),1),IF($AH63&gt;0,INDEX(AX$7:AX$106,$AH63),1),IF($AI63&gt;0,INDEX(AX$7:AX$106,$AI63),1),IF($AJ63&gt;0,INDEX(AX$7:AX$106,$AJ63),1))))</ns0:f>
        <ns0:v>1</ns0:v>
      </ns0:c>
      <ns0:c r="AZ63" t="n">
        <ns0:f>IF($A63="",1,IF(AY63=1,1,--AND(IF($AC63&gt;0,INDEX(AY$7:AY$106,$AC63),1),IF($AD63&gt;0,INDEX(AY$7:AY$106,$AD63),1),IF($AE63&gt;0,INDEX(AY$7:AY$106,$AE63),1),IF($AF63&gt;0,INDEX(AY$7:AY$106,$AF63),1),IF($AG63&gt;0,INDEX(AY$7:AY$106,$AG63),1),IF($AH63&gt;0,INDEX(AY$7:AY$106,$AH63),1),IF($AI63&gt;0,INDEX(AY$7:AY$106,$AI63),1),IF($AJ63&gt;0,INDEX(AY$7:AY$106,$AJ63),1))))</ns0:f>
        <ns0:v>1</ns0:v>
      </ns0:c>
      <ns0:c r="BA63" t="n">
        <ns0:f>IF($A63="",1,IF(AZ63=1,1,--AND(IF($AC63&gt;0,INDEX(AZ$7:AZ$106,$AC63),1),IF($AD63&gt;0,INDEX(AZ$7:AZ$106,$AD63),1),IF($AE63&gt;0,INDEX(AZ$7:AZ$106,$AE63),1),IF($AF63&gt;0,INDEX(AZ$7:AZ$106,$AF63),1),IF($AG63&gt;0,INDEX(AZ$7:AZ$106,$AG63),1),IF($AH63&gt;0,INDEX(AZ$7:AZ$106,$AH63),1),IF($AI63&gt;0,INDEX(AZ$7:AZ$106,$AI63),1),IF($AJ63&gt;0,INDEX(AZ$7:AZ$106,$AJ63),1))))</ns0:f>
        <ns0:v>1</ns0:v>
      </ns0:c>
      <ns0:c r="BB63" t="n">
        <ns0:f>IF($A63="",1,IF(BA63=1,1,--AND(IF($AC63&gt;0,INDEX(BA$7:BA$106,$AC63),1),IF($AD63&gt;0,INDEX(BA$7:BA$106,$AD63),1),IF($AE63&gt;0,INDEX(BA$7:BA$106,$AE63),1),IF($AF63&gt;0,INDEX(BA$7:BA$106,$AF63),1),IF($AG63&gt;0,INDEX(BA$7:BA$106,$AG63),1),IF($AH63&gt;0,INDEX(BA$7:BA$106,$AH63),1),IF($AI63&gt;0,INDEX(BA$7:BA$106,$AI63),1),IF($AJ63&gt;0,INDEX(BA$7:BA$106,$AJ63),1))))</ns0:f>
        <ns0:v>1</ns0:v>
      </ns0:c>
      <ns0:c r="BC63" t="n">
        <ns0:f>IF($A63="",1,IF(BB63=1,1,--AND(IF($AC63&gt;0,INDEX(BB$7:BB$106,$AC63),1),IF($AD63&gt;0,INDEX(BB$7:BB$106,$AD63),1),IF($AE63&gt;0,INDEX(BB$7:BB$106,$AE63),1),IF($AF63&gt;0,INDEX(BB$7:BB$106,$AF63),1),IF($AG63&gt;0,INDEX(BB$7:BB$106,$AG63),1),IF($AH63&gt;0,INDEX(BB$7:BB$106,$AH63),1),IF($AI63&gt;0,INDEX(BB$7:BB$106,$AI63),1),IF($AJ63&gt;0,INDEX(BB$7:BB$106,$AJ63),1))))</ns0:f>
        <ns0:v>1</ns0:v>
      </ns0:c>
      <ns0:c r="BD63" t="n">
        <ns0:f>IF($A63="",1,IF(BC63=1,1,--AND(IF($AC63&gt;0,INDEX(BC$7:BC$106,$AC63),1),IF($AD63&gt;0,INDEX(BC$7:BC$106,$AD63),1),IF($AE63&gt;0,INDEX(BC$7:BC$106,$AE63),1),IF($AF63&gt;0,INDEX(BC$7:BC$106,$AF63),1),IF($AG63&gt;0,INDEX(BC$7:BC$106,$AG63),1),IF($AH63&gt;0,INDEX(BC$7:BC$106,$AH63),1),IF($AI63&gt;0,INDEX(BC$7:BC$106,$AI63),1),IF($AJ63&gt;0,INDEX(BC$7:BC$106,$AJ63),1))))</ns0:f>
        <ns0:v>1</ns0:v>
      </ns0:c>
      <ns0:c r="BE63" t="n">
        <ns0:f>IF($A63="",1,IF(BD63=1,1,--AND(IF($AC63&gt;0,INDEX(BD$7:BD$106,$AC63),1),IF($AD63&gt;0,INDEX(BD$7:BD$106,$AD63),1),IF($AE63&gt;0,INDEX(BD$7:BD$106,$AE63),1),IF($AF63&gt;0,INDEX(BD$7:BD$106,$AF63),1),IF($AG63&gt;0,INDEX(BD$7:BD$106,$AG63),1),IF($AH63&gt;0,INDEX(BD$7:BD$106,$AH63),1),IF($AI63&gt;0,INDEX(BD$7:BD$106,$AI63),1),IF($AJ63&gt;0,INDEX(BD$7:BD$106,$AJ63),1))))</ns0:f>
        <ns0:v>1</ns0:v>
      </ns0:c>
      <ns0:c r="BF63" t="n">
        <ns0:f>IF($A63="",1,IF(BE63=1,1,--AND(IF($AC63&gt;0,INDEX(BE$7:BE$106,$AC63),1),IF($AD63&gt;0,INDEX(BE$7:BE$106,$AD63),1),IF($AE63&gt;0,INDEX(BE$7:BE$106,$AE63),1),IF($AF63&gt;0,INDEX(BE$7:BE$106,$AF63),1),IF($AG63&gt;0,INDEX(BE$7:BE$106,$AG63),1),IF($AH63&gt;0,INDEX(BE$7:BE$106,$AH63),1),IF($AI63&gt;0,INDEX(BE$7:BE$106,$AI63),1),IF($AJ63&gt;0,INDEX(BE$7:BE$106,$AJ63),1))))</ns0:f>
        <ns0:v>1</ns0:v>
      </ns0:c>
      <ns0:c r="BG63" t="n">
        <ns0:f>IF($A63="",1,IF(BF63=1,1,--AND(IF($AC63&gt;0,INDEX(BF$7:BF$106,$AC63),1),IF($AD63&gt;0,INDEX(BF$7:BF$106,$AD63),1),IF($AE63&gt;0,INDEX(BF$7:BF$106,$AE63),1),IF($AF63&gt;0,INDEX(BF$7:BF$106,$AF63),1),IF($AG63&gt;0,INDEX(BF$7:BF$106,$AG63),1),IF($AH63&gt;0,INDEX(BF$7:BF$106,$AH63),1),IF($AI63&gt;0,INDEX(BF$7:BF$106,$AI63),1),IF($AJ63&gt;0,INDEX(BF$7:BF$106,$AJ63),1))))</ns0:f>
        <ns0:v>1</ns0:v>
      </ns0:c>
      <ns0:c r="BH63" t="n">
        <ns0:f>IF($A63="",1,IF(BG63=1,1,--AND(IF($AC63&gt;0,INDEX(BG$7:BG$106,$AC63),1),IF($AD63&gt;0,INDEX(BG$7:BG$106,$AD63),1),IF($AE63&gt;0,INDEX(BG$7:BG$106,$AE63),1),IF($AF63&gt;0,INDEX(BG$7:BG$106,$AF63),1),IF($AG63&gt;0,INDEX(BG$7:BG$106,$AG63),1),IF($AH63&gt;0,INDEX(BG$7:BG$106,$AH63),1),IF($AI63&gt;0,INDEX(BG$7:BG$106,$AI63),1),IF($AJ63&gt;0,INDEX(BG$7:BG$106,$AJ63),1))))</ns0:f>
        <ns0:v>1</ns0:v>
      </ns0:c>
      <ns0:c r="BI63" t="n">
        <ns0:f>IF($A63="",1,IF(BH63=1,1,--AND(IF($AC63&gt;0,INDEX(BH$7:BH$106,$AC63),1),IF($AD63&gt;0,INDEX(BH$7:BH$106,$AD63),1),IF($AE63&gt;0,INDEX(BH$7:BH$106,$AE63),1),IF($AF63&gt;0,INDEX(BH$7:BH$106,$AF63),1),IF($AG63&gt;0,INDEX(BH$7:BH$106,$AG63),1),IF($AH63&gt;0,INDEX(BH$7:BH$106,$AH63),1),IF($AI63&gt;0,INDEX(BH$7:BH$106,$AI63),1),IF($AJ63&gt;0,INDEX(BH$7:BH$106,$AJ63),1))))</ns0:f>
        <ns0:v>1</ns0:v>
      </ns0:c>
      <ns0:c r="BJ63" t="n">
        <ns0:f>IF($A63="",1,IF(BI63=1,1,--AND(IF($AC63&gt;0,INDEX(BI$7:BI$106,$AC63),1),IF($AD63&gt;0,INDEX(BI$7:BI$106,$AD63),1),IF($AE63&gt;0,INDEX(BI$7:BI$106,$AE63),1),IF($AF63&gt;0,INDEX(BI$7:BI$106,$AF63),1),IF($AG63&gt;0,INDEX(BI$7:BI$106,$AG63),1),IF($AH63&gt;0,INDEX(BI$7:BI$106,$AH63),1),IF($AI63&gt;0,INDEX(BI$7:BI$106,$AI63),1),IF($AJ63&gt;0,INDEX(BI$7:BI$106,$AJ63),1))))</ns0:f>
        <ns0:v>1</ns0:v>
      </ns0:c>
      <ns0:c r="BK63" t="n">
        <ns0:f>IF($A63="",1,IF(BJ63=1,1,--AND(IF($AC63&gt;0,INDEX(BJ$7:BJ$106,$AC63),1),IF($AD63&gt;0,INDEX(BJ$7:BJ$106,$AD63),1),IF($AE63&gt;0,INDEX(BJ$7:BJ$106,$AE63),1),IF($AF63&gt;0,INDEX(BJ$7:BJ$106,$AF63),1),IF($AG63&gt;0,INDEX(BJ$7:BJ$106,$AG63),1),IF($AH63&gt;0,INDEX(BJ$7:BJ$106,$AH63),1),IF($AI63&gt;0,INDEX(BJ$7:BJ$106,$AI63),1),IF($AJ63&gt;0,INDEX(BJ$7:BJ$106,$AJ63),1))))</ns0:f>
        <ns0:v>1</ns0:v>
      </ns0:c>
      <ns0:c r="BL63" t="n">
        <ns0:f>IF($A63="",1,IF(BK63=1,1,--AND(IF($AC63&gt;0,INDEX(BK$7:BK$106,$AC63),1),IF($AD63&gt;0,INDEX(BK$7:BK$106,$AD63),1),IF($AE63&gt;0,INDEX(BK$7:BK$106,$AE63),1),IF($AF63&gt;0,INDEX(BK$7:BK$106,$AF63),1),IF($AG63&gt;0,INDEX(BK$7:BK$106,$AG63),1),IF($AH63&gt;0,INDEX(BK$7:BK$106,$AH63),1),IF($AI63&gt;0,INDEX(BK$7:BK$106,$AI63),1),IF($AJ63&gt;0,INDEX(BK$7:BK$106,$AJ63),1))))</ns0:f>
        <ns0:v>1</ns0:v>
      </ns0:c>
      <ns0:c r="BM63" t="n">
        <ns0:f>IF($A63="",1,IF(BL63=1,1,--AND(IF($AC63&gt;0,INDEX(BL$7:BL$106,$AC63),1),IF($AD63&gt;0,INDEX(BL$7:BL$106,$AD63),1),IF($AE63&gt;0,INDEX(BL$7:BL$106,$AE63),1),IF($AF63&gt;0,INDEX(BL$7:BL$106,$AF63),1),IF($AG63&gt;0,INDEX(BL$7:BL$106,$AG63),1),IF($AH63&gt;0,INDEX(BL$7:BL$106,$AH63),1),IF($AI63&gt;0,INDEX(BL$7:BL$106,$AI63),1),IF($AJ63&gt;0,INDEX(BL$7:BL$106,$AJ63),1))))</ns0:f>
        <ns0:v>1</ns0:v>
      </ns0:c>
      <ns0:c r="BN63" t="n">
        <ns0:f>IF($A63="",1,IF(BM63=1,1,--AND(IF($AC63&gt;0,INDEX(BM$7:BM$106,$AC63),1),IF($AD63&gt;0,INDEX(BM$7:BM$106,$AD63),1),IF($AE63&gt;0,INDEX(BM$7:BM$106,$AE63),1),IF($AF63&gt;0,INDEX(BM$7:BM$106,$AF63),1),IF($AG63&gt;0,INDEX(BM$7:BM$106,$AG63),1),IF($AH63&gt;0,INDEX(BM$7:BM$106,$AH63),1),IF($AI63&gt;0,INDEX(BM$7:BM$106,$AI63),1),IF($AJ63&gt;0,INDEX(BM$7:BM$106,$AJ63),1))))</ns0:f>
        <ns0:v>1</ns0:v>
      </ns0:c>
      <ns0:c r="BO63" t="n">
        <ns0:f>IF($A63="",1,IF(BN63=1,1,--AND(IF($AC63&gt;0,INDEX(BN$7:BN$106,$AC63),1),IF($AD63&gt;0,INDEX(BN$7:BN$106,$AD63),1),IF($AE63&gt;0,INDEX(BN$7:BN$106,$AE63),1),IF($AF63&gt;0,INDEX(BN$7:BN$106,$AF63),1),IF($AG63&gt;0,INDEX(BN$7:BN$106,$AG63),1),IF($AH63&gt;0,INDEX(BN$7:BN$106,$AH63),1),IF($AI63&gt;0,INDEX(BN$7:BN$106,$AI63),1),IF($AJ63&gt;0,INDEX(BN$7:BN$106,$AJ63),1))))</ns0:f>
        <ns0:v>1</ns0:v>
      </ns0:c>
      <ns0:c r="BP63" t="n">
        <ns0:f>IF($A63="",1,IF(BO63=1,1,--AND(IF($AC63&gt;0,INDEX(BO$7:BO$106,$AC63),1),IF($AD63&gt;0,INDEX(BO$7:BO$106,$AD63),1),IF($AE63&gt;0,INDEX(BO$7:BO$106,$AE63),1),IF($AF63&gt;0,INDEX(BO$7:BO$106,$AF63),1),IF($AG63&gt;0,INDEX(BO$7:BO$106,$AG63),1),IF($AH63&gt;0,INDEX(BO$7:BO$106,$AH63),1),IF($AI63&gt;0,INDEX(BO$7:BO$106,$AI63),1),IF($AJ63&gt;0,INDEX(BO$7:BO$106,$AJ63),1))))</ns0:f>
        <ns0:v>1</ns0:v>
      </ns0:c>
      <ns0:c r="BQ63" t="n">
        <ns0:f>IF($A63="",1,IF(BP63=1,1,--AND(IF($AC63&gt;0,INDEX(BP$7:BP$106,$AC63),1),IF($AD63&gt;0,INDEX(BP$7:BP$106,$AD63),1),IF($AE63&gt;0,INDEX(BP$7:BP$106,$AE63),1),IF($AF63&gt;0,INDEX(BP$7:BP$106,$AF63),1),IF($AG63&gt;0,INDEX(BP$7:BP$106,$AG63),1),IF($AH63&gt;0,INDEX(BP$7:BP$106,$AH63),1),IF($AI63&gt;0,INDEX(BP$7:BP$106,$AI63),1),IF($AJ63&gt;0,INDEX(BP$7:BP$106,$AJ63),1))))</ns0:f>
        <ns0:v>1</ns0:v>
      </ns0:c>
      <ns0:c r="BR63" t="n">
        <ns0:f>IF($A63="",1,IF(BQ63=1,1,--AND(IF($AC63&gt;0,INDEX(BQ$7:BQ$106,$AC63),1),IF($AD63&gt;0,INDEX(BQ$7:BQ$106,$AD63),1),IF($AE63&gt;0,INDEX(BQ$7:BQ$106,$AE63),1),IF($AF63&gt;0,INDEX(BQ$7:BQ$106,$AF63),1),IF($AG63&gt;0,INDEX(BQ$7:BQ$106,$AG63),1),IF($AH63&gt;0,INDEX(BQ$7:BQ$106,$AH63),1),IF($AI63&gt;0,INDEX(BQ$7:BQ$106,$AI63),1),IF($AJ63&gt;0,INDEX(BQ$7:BQ$106,$AJ63),1))))</ns0:f>
        <ns0:v>1</ns0:v>
      </ns0:c>
      <ns0:c r="BS63" t="n">
        <ns0:f>IF($A63="",1,IF(BR63=1,1,--AND(IF($AC63&gt;0,INDEX(BR$7:BR$106,$AC63),1),IF($AD63&gt;0,INDEX(BR$7:BR$106,$AD63),1),IF($AE63&gt;0,INDEX(BR$7:BR$106,$AE63),1),IF($AF63&gt;0,INDEX(BR$7:BR$106,$AF63),1),IF($AG63&gt;0,INDEX(BR$7:BR$106,$AG63),1),IF($AH63&gt;0,INDEX(BR$7:BR$106,$AH63),1),IF($AI63&gt;0,INDEX(BR$7:BR$106,$AI63),1),IF($AJ63&gt;0,INDEX(BR$7:BR$106,$AJ63),1))))</ns0:f>
        <ns0:v>1</ns0:v>
      </ns0:c>
      <ns0:c r="BT63" t="n">
        <ns0:f>IF($A63="",1,IF(BS63=1,1,--AND(IF($AC63&gt;0,INDEX(BS$7:BS$106,$AC63),1),IF($AD63&gt;0,INDEX(BS$7:BS$106,$AD63),1),IF($AE63&gt;0,INDEX(BS$7:BS$106,$AE63),1),IF($AF63&gt;0,INDEX(BS$7:BS$106,$AF63),1),IF($AG63&gt;0,INDEX(BS$7:BS$106,$AG63),1),IF($AH63&gt;0,INDEX(BS$7:BS$106,$AH63),1),IF($AI63&gt;0,INDEX(BS$7:BS$106,$AI63),1),IF($AJ63&gt;0,INDEX(BS$7:BS$106,$AJ63),1))))</ns0:f>
        <ns0:v>1</ns0:v>
      </ns0:c>
      <ns0:c r="BU63" t="n">
        <ns0:f>IF($A63="",1,IF(BT63=1,1,--AND(IF($AC63&gt;0,INDEX(BT$7:BT$106,$AC63),1),IF($AD63&gt;0,INDEX(BT$7:BT$106,$AD63),1),IF($AE63&gt;0,INDEX(BT$7:BT$106,$AE63),1),IF($AF63&gt;0,INDEX(BT$7:BT$106,$AF63),1),IF($AG63&gt;0,INDEX(BT$7:BT$106,$AG63),1),IF($AH63&gt;0,INDEX(BT$7:BT$106,$AH63),1),IF($AI63&gt;0,INDEX(BT$7:BT$106,$AI63),1),IF($AJ63&gt;0,INDEX(BT$7:BT$106,$AJ63),1))))</ns0:f>
        <ns0:v>1</ns0:v>
      </ns0:c>
      <ns0:c r="BV63" t="n">
        <ns0:f>IF($A63="",1,IF(BU63=1,1,--AND(IF($AC63&gt;0,INDEX(BU$7:BU$106,$AC63),1),IF($AD63&gt;0,INDEX(BU$7:BU$106,$AD63),1),IF($AE63&gt;0,INDEX(BU$7:BU$106,$AE63),1),IF($AF63&gt;0,INDEX(BU$7:BU$106,$AF63),1),IF($AG63&gt;0,INDEX(BU$7:BU$106,$AG63),1),IF($AH63&gt;0,INDEX(BU$7:BU$106,$AH63),1),IF($AI63&gt;0,INDEX(BU$7:BU$106,$AI63),1),IF($AJ63&gt;0,INDEX(BU$7:BU$106,$AJ63),1))))</ns0:f>
        <ns0:v>1</ns0:v>
      </ns0:c>
      <ns0:c r="BW63" t="n">
        <ns0:f>IF($A63="",1,IF(BV63=1,1,--AND(IF($AC63&gt;0,INDEX(BV$7:BV$106,$AC63),1),IF($AD63&gt;0,INDEX(BV$7:BV$106,$AD63),1),IF($AE63&gt;0,INDEX(BV$7:BV$106,$AE63),1),IF($AF63&gt;0,INDEX(BV$7:BV$106,$AF63),1),IF($AG63&gt;0,INDEX(BV$7:BV$106,$AG63),1),IF($AH63&gt;0,INDEX(BV$7:BV$106,$AH63),1),IF($AI63&gt;0,INDEX(BV$7:BV$106,$AI63),1),IF($AJ63&gt;0,INDEX(BV$7:BV$106,$AJ63),1))))</ns0:f>
        <ns0:v>1</ns0:v>
      </ns0:c>
      <ns0:c r="BX63" t="n">
        <ns0:f>IF($A63="",1,IF(BW63=1,1,--AND(IF($AC63&gt;0,INDEX(BW$7:BW$106,$AC63),1),IF($AD63&gt;0,INDEX(BW$7:BW$106,$AD63),1),IF($AE63&gt;0,INDEX(BW$7:BW$106,$AE63),1),IF($AF63&gt;0,INDEX(BW$7:BW$106,$AF63),1),IF($AG63&gt;0,INDEX(BW$7:BW$106,$AG63),1),IF($AH63&gt;0,INDEX(BW$7:BW$106,$AH63),1),IF($AI63&gt;0,INDEX(BW$7:BW$106,$AI63),1),IF($AJ63&gt;0,INDEX(BW$7:BW$106,$AJ63),1))))</ns0:f>
        <ns0:v>1</ns0:v>
      </ns0:c>
      <ns0:c r="BY63" t="n">
        <ns0:f>IF($A63="",1,IF(BX63=1,1,--AND(IF($AC63&gt;0,INDEX(BX$7:BX$106,$AC63),1),IF($AD63&gt;0,INDEX(BX$7:BX$106,$AD63),1),IF($AE63&gt;0,INDEX(BX$7:BX$106,$AE63),1),IF($AF63&gt;0,INDEX(BX$7:BX$106,$AF63),1),IF($AG63&gt;0,INDEX(BX$7:BX$106,$AG63),1),IF($AH63&gt;0,INDEX(BX$7:BX$106,$AH63),1),IF($AI63&gt;0,INDEX(BX$7:BX$106,$AI63),1),IF($AJ63&gt;0,INDEX(BX$7:BX$106,$AJ63),1))))</ns0:f>
        <ns0:v>1</ns0:v>
      </ns0:c>
      <ns0:c r="BZ63" t="n">
        <ns0:f>IF($A63="",1,IF(BY63=1,1,--AND(IF($AC63&gt;0,INDEX(BY$7:BY$106,$AC63),1),IF($AD63&gt;0,INDEX(BY$7:BY$106,$AD63),1),IF($AE63&gt;0,INDEX(BY$7:BY$106,$AE63),1),IF($AF63&gt;0,INDEX(BY$7:BY$106,$AF63),1),IF($AG63&gt;0,INDEX(BY$7:BY$106,$AG63),1),IF($AH63&gt;0,INDEX(BY$7:BY$106,$AH63),1),IF($AI63&gt;0,INDEX(BY$7:BY$106,$AI63),1),IF($AJ63&gt;0,INDEX(BY$7:BY$106,$AJ63),1))))</ns0:f>
        <ns0:v>1</ns0:v>
      </ns0:c>
      <ns0:c r="CA63" t="n">
        <ns0:f>IF($A63="",1,IF(BZ63=1,1,--AND(IF($AC63&gt;0,INDEX(BZ$7:BZ$106,$AC63),1),IF($AD63&gt;0,INDEX(BZ$7:BZ$106,$AD63),1),IF($AE63&gt;0,INDEX(BZ$7:BZ$106,$AE63),1),IF($AF63&gt;0,INDEX(BZ$7:BZ$106,$AF63),1),IF($AG63&gt;0,INDEX(BZ$7:BZ$106,$AG63),1),IF($AH63&gt;0,INDEX(BZ$7:BZ$106,$AH63),1),IF($AI63&gt;0,INDEX(BZ$7:BZ$106,$AI63),1),IF($AJ63&gt;0,INDEX(BZ$7:BZ$106,$AJ63),1))))</ns0:f>
        <ns0:v>1</ns0:v>
      </ns0:c>
      <ns0:c r="CB63" t="n">
        <ns0:f>IF($A63="",1,IF(CA63=1,1,--AND(IF($AC63&gt;0,INDEX(CA$7:CA$106,$AC63),1),IF($AD63&gt;0,INDEX(CA$7:CA$106,$AD63),1),IF($AE63&gt;0,INDEX(CA$7:CA$106,$AE63),1),IF($AF63&gt;0,INDEX(CA$7:CA$106,$AF63),1),IF($AG63&gt;0,INDEX(CA$7:CA$106,$AG63),1),IF($AH63&gt;0,INDEX(CA$7:CA$106,$AH63),1),IF($AI63&gt;0,INDEX(CA$7:CA$106,$AI63),1),IF($AJ63&gt;0,INDEX(CA$7:CA$106,$AJ63),1))))</ns0:f>
        <ns0:v>1</ns0:v>
      </ns0:c>
      <ns0:c r="CC63" t="n">
        <ns0:f>IF($A63="",1,IF(CB63=1,1,--AND(IF($AC63&gt;0,INDEX(CB$7:CB$106,$AC63),1),IF($AD63&gt;0,INDEX(CB$7:CB$106,$AD63),1),IF($AE63&gt;0,INDEX(CB$7:CB$106,$AE63),1),IF($AF63&gt;0,INDEX(CB$7:CB$106,$AF63),1),IF($AG63&gt;0,INDEX(CB$7:CB$106,$AG63),1),IF($AH63&gt;0,INDEX(CB$7:CB$106,$AH63),1),IF($AI63&gt;0,INDEX(CB$7:CB$106,$AI63),1),IF($AJ63&gt;0,INDEX(CB$7:CB$106,$AJ63),1))))</ns0:f>
        <ns0:v>1</ns0:v>
      </ns0:c>
      <ns0:c r="CD63" t="n">
        <ns0:f>IF($A63="",1,IF(CC63=1,1,--AND(IF($AC63&gt;0,INDEX(CC$7:CC$106,$AC63),1),IF($AD63&gt;0,INDEX(CC$7:CC$106,$AD63),1),IF($AE63&gt;0,INDEX(CC$7:CC$106,$AE63),1),IF($AF63&gt;0,INDEX(CC$7:CC$106,$AF63),1),IF($AG63&gt;0,INDEX(CC$7:CC$106,$AG63),1),IF($AH63&gt;0,INDEX(CC$7:CC$106,$AH63),1),IF($AI63&gt;0,INDEX(CC$7:CC$106,$AI63),1),IF($AJ63&gt;0,INDEX(CC$7:CC$106,$AJ63),1))))</ns0:f>
        <ns0:v>1</ns0:v>
      </ns0:c>
      <ns0:c r="CE63" t="n">
        <ns0:f>IF($A63="",1,IF(CD63=1,1,--AND(IF($AC63&gt;0,INDEX(CD$7:CD$106,$AC63),1),IF($AD63&gt;0,INDEX(CD$7:CD$106,$AD63),1),IF($AE63&gt;0,INDEX(CD$7:CD$106,$AE63),1),IF($AF63&gt;0,INDEX(CD$7:CD$106,$AF63),1),IF($AG63&gt;0,INDEX(CD$7:CD$106,$AG63),1),IF($AH63&gt;0,INDEX(CD$7:CD$106,$AH63),1),IF($AI63&gt;0,INDEX(CD$7:CD$106,$AI63),1),IF($AJ63&gt;0,INDEX(CD$7:CD$106,$AJ63),1))))</ns0:f>
        <ns0:v>1</ns0:v>
      </ns0:c>
      <ns0:c r="CF63" t="n">
        <ns0:f>IF($A63="",1,IF(CE63=1,1,--AND(IF($AC63&gt;0,INDEX(CE$7:CE$106,$AC63),1),IF($AD63&gt;0,INDEX(CE$7:CE$106,$AD63),1),IF($AE63&gt;0,INDEX(CE$7:CE$106,$AE63),1),IF($AF63&gt;0,INDEX(CE$7:CE$106,$AF63),1),IF($AG63&gt;0,INDEX(CE$7:CE$106,$AG63),1),IF($AH63&gt;0,INDEX(CE$7:CE$106,$AH63),1),IF($AI63&gt;0,INDEX(CE$7:CE$106,$AI63),1),IF($AJ63&gt;0,INDEX(CE$7:CE$106,$AJ63),1))))</ns0:f>
        <ns0:v>1</ns0:v>
      </ns0:c>
      <ns0:c r="CG63" t="n">
        <ns0:f>IF($A63="",1,IF(CF63=1,1,--AND(IF($AC63&gt;0,INDEX(CF$7:CF$106,$AC63),1),IF($AD63&gt;0,INDEX(CF$7:CF$106,$AD63),1),IF($AE63&gt;0,INDEX(CF$7:CF$106,$AE63),1),IF($AF63&gt;0,INDEX(CF$7:CF$106,$AF63),1),IF($AG63&gt;0,INDEX(CF$7:CF$106,$AG63),1),IF($AH63&gt;0,INDEX(CF$7:CF$106,$AH63),1),IF($AI63&gt;0,INDEX(CF$7:CF$106,$AI63),1),IF($AJ63&gt;0,INDEX(CF$7:CF$106,$AJ63),1))))</ns0:f>
        <ns0:v>1</ns0:v>
      </ns0:c>
      <ns0:c r="CH63" t="n">
        <ns0:f>IF($A63="",1,IF(CG63=1,1,--AND(IF($AC63&gt;0,INDEX(CG$7:CG$106,$AC63),1),IF($AD63&gt;0,INDEX(CG$7:CG$106,$AD63),1),IF($AE63&gt;0,INDEX(CG$7:CG$106,$AE63),1),IF($AF63&gt;0,INDEX(CG$7:CG$106,$AF63),1),IF($AG63&gt;0,INDEX(CG$7:CG$106,$AG63),1),IF($AH63&gt;0,INDEX(CG$7:CG$106,$AH63),1),IF($AI63&gt;0,INDEX(CG$7:CG$106,$AI63),1),IF($AJ63&gt;0,INDEX(CG$7:CG$106,$AJ63),1))))</ns0:f>
        <ns0:v>1</ns0:v>
      </ns0:c>
      <ns0:c r="CI63" t="n">
        <ns0:f>IF($A63="",1,IF(CH63=1,1,--AND(IF($AC63&gt;0,INDEX(CH$7:CH$106,$AC63),1),IF($AD63&gt;0,INDEX(CH$7:CH$106,$AD63),1),IF($AE63&gt;0,INDEX(CH$7:CH$106,$AE63),1),IF($AF63&gt;0,INDEX(CH$7:CH$106,$AF63),1),IF($AG63&gt;0,INDEX(CH$7:CH$106,$AG63),1),IF($AH63&gt;0,INDEX(CH$7:CH$106,$AH63),1),IF($AI63&gt;0,INDEX(CH$7:CH$106,$AI63),1),IF($AJ63&gt;0,INDEX(CH$7:CH$106,$AJ63),1))))</ns0:f>
        <ns0:v>1</ns0:v>
      </ns0:c>
      <ns0:c r="CJ63" t="n">
        <ns0:f>IF($A63="",1,IF(CI63=1,1,--AND(IF($AC63&gt;0,INDEX(CI$7:CI$106,$AC63),1),IF($AD63&gt;0,INDEX(CI$7:CI$106,$AD63),1),IF($AE63&gt;0,INDEX(CI$7:CI$106,$AE63),1),IF($AF63&gt;0,INDEX(CI$7:CI$106,$AF63),1),IF($AG63&gt;0,INDEX(CI$7:CI$106,$AG63),1),IF($AH63&gt;0,INDEX(CI$7:CI$106,$AH63),1),IF($AI63&gt;0,INDEX(CI$7:CI$106,$AI63),1),IF($AJ63&gt;0,INDEX(CI$7:CI$106,$AJ63),1))))</ns0:f>
        <ns0:v>1</ns0:v>
      </ns0:c>
      <ns0:c r="CK63" t="n">
        <ns0:f>IF($A63="",1,IF(CJ63=1,1,--AND(IF($AC63&gt;0,INDEX(CJ$7:CJ$106,$AC63),1),IF($AD63&gt;0,INDEX(CJ$7:CJ$106,$AD63),1),IF($AE63&gt;0,INDEX(CJ$7:CJ$106,$AE63),1),IF($AF63&gt;0,INDEX(CJ$7:CJ$106,$AF63),1),IF($AG63&gt;0,INDEX(CJ$7:CJ$106,$AG63),1),IF($AH63&gt;0,INDEX(CJ$7:CJ$106,$AH63),1),IF($AI63&gt;0,INDEX(CJ$7:CJ$106,$AI63),1),IF($AJ63&gt;0,INDEX(CJ$7:CJ$106,$AJ63),1))))</ns0:f>
        <ns0:v>1</ns0:v>
      </ns0:c>
      <ns0:c r="CL63" t="n">
        <ns0:f>IF($A63="",1,IF(CK63=1,1,--AND(IF($AC63&gt;0,INDEX(CK$7:CK$106,$AC63),1),IF($AD63&gt;0,INDEX(CK$7:CK$106,$AD63),1),IF($AE63&gt;0,INDEX(CK$7:CK$106,$AE63),1),IF($AF63&gt;0,INDEX(CK$7:CK$106,$AF63),1),IF($AG63&gt;0,INDEX(CK$7:CK$106,$AG63),1),IF($AH63&gt;0,INDEX(CK$7:CK$106,$AH63),1),IF($AI63&gt;0,INDEX(CK$7:CK$106,$AI63),1),IF($AJ63&gt;0,INDEX(CK$7:CK$106,$AJ63),1))))</ns0:f>
        <ns0:v>1</ns0:v>
      </ns0:c>
      <ns0:c r="CM63" t="n">
        <ns0:f>IF($A63="",1,IF(CL63=1,1,--AND(IF($AC63&gt;0,INDEX(CL$7:CL$106,$AC63),1),IF($AD63&gt;0,INDEX(CL$7:CL$106,$AD63),1),IF($AE63&gt;0,INDEX(CL$7:CL$106,$AE63),1),IF($AF63&gt;0,INDEX(CL$7:CL$106,$AF63),1),IF($AG63&gt;0,INDEX(CL$7:CL$106,$AG63),1),IF($AH63&gt;0,INDEX(CL$7:CL$106,$AH63),1),IF($AI63&gt;0,INDEX(CL$7:CL$106,$AI63),1),IF($AJ63&gt;0,INDEX(CL$7:CL$106,$AJ63),1))))</ns0:f>
        <ns0:v>1</ns0:v>
      </ns0:c>
      <ns0:c r="CN63" t="n">
        <ns0:f>IF($A63="",1,IF(CM63=1,1,--AND(IF($AC63&gt;0,INDEX(CM$7:CM$106,$AC63),1),IF($AD63&gt;0,INDEX(CM$7:CM$106,$AD63),1),IF($AE63&gt;0,INDEX(CM$7:CM$106,$AE63),1),IF($AF63&gt;0,INDEX(CM$7:CM$106,$AF63),1),IF($AG63&gt;0,INDEX(CM$7:CM$106,$AG63),1),IF($AH63&gt;0,INDEX(CM$7:CM$106,$AH63),1),IF($AI63&gt;0,INDEX(CM$7:CM$106,$AI63),1),IF($AJ63&gt;0,INDEX(CM$7:CM$106,$AJ63),1))))</ns0:f>
        <ns0:v>1</ns0:v>
      </ns0:c>
      <ns0:c r="CO63" t="n">
        <ns0:f>IF($A63="",1,IF(CN63=1,1,--AND(IF($AC63&gt;0,INDEX(CN$7:CN$106,$AC63),1),IF($AD63&gt;0,INDEX(CN$7:CN$106,$AD63),1),IF($AE63&gt;0,INDEX(CN$7:CN$106,$AE63),1),IF($AF63&gt;0,INDEX(CN$7:CN$106,$AF63),1),IF($AG63&gt;0,INDEX(CN$7:CN$106,$AG63),1),IF($AH63&gt;0,INDEX(CN$7:CN$106,$AH63),1),IF($AI63&gt;0,INDEX(CN$7:CN$106,$AI63),1),IF($AJ63&gt;0,INDEX(CN$7:CN$106,$AJ63),1))))</ns0:f>
        <ns0:v>1</ns0:v>
      </ns0:c>
      <ns0:c r="CP63" t="n">
        <ns0:f>IF($A63="",1,IF(CO63=1,1,--AND(IF($AC63&gt;0,INDEX(CO$7:CO$106,$AC63),1),IF($AD63&gt;0,INDEX(CO$7:CO$106,$AD63),1),IF($AE63&gt;0,INDEX(CO$7:CO$106,$AE63),1),IF($AF63&gt;0,INDEX(CO$7:CO$106,$AF63),1),IF($AG63&gt;0,INDEX(CO$7:CO$106,$AG63),1),IF($AH63&gt;0,INDEX(CO$7:CO$106,$AH63),1),IF($AI63&gt;0,INDEX(CO$7:CO$106,$AI63),1),IF($AJ63&gt;0,INDEX(CO$7:CO$106,$AJ63),1))))</ns0:f>
        <ns0:v>1</ns0:v>
      </ns0:c>
      <ns0:c r="CQ63" t="n">
        <ns0:f>IF($A63="",1,IF(CP63=1,1,--AND(IF($AC63&gt;0,INDEX(CP$7:CP$106,$AC63),1),IF($AD63&gt;0,INDEX(CP$7:CP$106,$AD63),1),IF($AE63&gt;0,INDEX(CP$7:CP$106,$AE63),1),IF($AF63&gt;0,INDEX(CP$7:CP$106,$AF63),1),IF($AG63&gt;0,INDEX(CP$7:CP$106,$AG63),1),IF($AH63&gt;0,INDEX(CP$7:CP$106,$AH63),1),IF($AI63&gt;0,INDEX(CP$7:CP$106,$AI63),1),IF($AJ63&gt;0,INDEX(CP$7:CP$106,$AJ63),1))))</ns0:f>
        <ns0:v>1</ns0:v>
      </ns0:c>
      <ns0:c r="CR63" t="n">
        <ns0:f>IF($A63="",1,IF(CQ63=1,1,--AND(IF($AC63&gt;0,INDEX(CQ$7:CQ$106,$AC63),1),IF($AD63&gt;0,INDEX(CQ$7:CQ$106,$AD63),1),IF($AE63&gt;0,INDEX(CQ$7:CQ$106,$AE63),1),IF($AF63&gt;0,INDEX(CQ$7:CQ$106,$AF63),1),IF($AG63&gt;0,INDEX(CQ$7:CQ$106,$AG63),1),IF($AH63&gt;0,INDEX(CQ$7:CQ$106,$AH63),1),IF($AI63&gt;0,INDEX(CQ$7:CQ$106,$AI63),1),IF($AJ63&gt;0,INDEX(CQ$7:CQ$106,$AJ63),1))))</ns0:f>
        <ns0:v>1</ns0:v>
      </ns0:c>
      <ns0:c r="CS63" t="n">
        <ns0:f>IF($A63="",1,IF(CR63=1,1,--AND(IF($AC63&gt;0,INDEX(CR$7:CR$106,$AC63),1),IF($AD63&gt;0,INDEX(CR$7:CR$106,$AD63),1),IF($AE63&gt;0,INDEX(CR$7:CR$106,$AE63),1),IF($AF63&gt;0,INDEX(CR$7:CR$106,$AF63),1),IF($AG63&gt;0,INDEX(CR$7:CR$106,$AG63),1),IF($AH63&gt;0,INDEX(CR$7:CR$106,$AH63),1),IF($AI63&gt;0,INDEX(CR$7:CR$106,$AI63),1),IF($AJ63&gt;0,INDEX(CR$7:CR$106,$AJ63),1))))</ns0:f>
        <ns0:v>1</ns0:v>
      </ns0:c>
      <ns0:c r="CT63" t="n">
        <ns0:f>IF($A63="",1,IF(CS63=1,1,--AND(IF($AC63&gt;0,INDEX(CS$7:CS$106,$AC63),1),IF($AD63&gt;0,INDEX(CS$7:CS$106,$AD63),1),IF($AE63&gt;0,INDEX(CS$7:CS$106,$AE63),1),IF($AF63&gt;0,INDEX(CS$7:CS$106,$AF63),1),IF($AG63&gt;0,INDEX(CS$7:CS$106,$AG63),1),IF($AH63&gt;0,INDEX(CS$7:CS$106,$AH63),1),IF($AI63&gt;0,INDEX(CS$7:CS$106,$AI63),1),IF($AJ63&gt;0,INDEX(CS$7:CS$106,$AJ63),1))))</ns0:f>
        <ns0:v>1</ns0:v>
      </ns0:c>
      <ns0:c r="CU63" t="n">
        <ns0:f>IF($A63="",1,IF(CT63=1,1,--AND(IF($AC63&gt;0,INDEX(CT$7:CT$106,$AC63),1),IF($AD63&gt;0,INDEX(CT$7:CT$106,$AD63),1),IF($AE63&gt;0,INDEX(CT$7:CT$106,$AE63),1),IF($AF63&gt;0,INDEX(CT$7:CT$106,$AF63),1),IF($AG63&gt;0,INDEX(CT$7:CT$106,$AG63),1),IF($AH63&gt;0,INDEX(CT$7:CT$106,$AH63),1),IF($AI63&gt;0,INDEX(CT$7:CT$106,$AI63),1),IF($AJ63&gt;0,INDEX(CT$7:CT$106,$AJ63),1))))</ns0:f>
        <ns0:v>1</ns0:v>
      </ns0:c>
      <ns0:c r="CV63" t="n">
        <ns0:f>IF($A63="",1,IF(CU63=1,1,--AND(IF($AC63&gt;0,INDEX(CU$7:CU$106,$AC63),1),IF($AD63&gt;0,INDEX(CU$7:CU$106,$AD63),1),IF($AE63&gt;0,INDEX(CU$7:CU$106,$AE63),1),IF($AF63&gt;0,INDEX(CU$7:CU$106,$AF63),1),IF($AG63&gt;0,INDEX(CU$7:CU$106,$AG63),1),IF($AH63&gt;0,INDEX(CU$7:CU$106,$AH63),1),IF($AI63&gt;0,INDEX(CU$7:CU$106,$AI63),1),IF($AJ63&gt;0,INDEX(CU$7:CU$106,$AJ63),1))))</ns0:f>
        <ns0:v>1</ns0:v>
      </ns0:c>
      <ns0:c r="CW63" t="n">
        <ns0:f>IF($A63="",1,IF(CV63=1,1,--AND(IF($AC63&gt;0,INDEX(CV$7:CV$106,$AC63),1),IF($AD63&gt;0,INDEX(CV$7:CV$106,$AD63),1),IF($AE63&gt;0,INDEX(CV$7:CV$106,$AE63),1),IF($AF63&gt;0,INDEX(CV$7:CV$106,$AF63),1),IF($AG63&gt;0,INDEX(CV$7:CV$106,$AG63),1),IF($AH63&gt;0,INDEX(CV$7:CV$106,$AH63),1),IF($AI63&gt;0,INDEX(CV$7:CV$106,$AI63),1),IF($AJ63&gt;0,INDEX(CV$7:CV$106,$AJ63),1))))</ns0:f>
        <ns0:v>1</ns0:v>
      </ns0:c>
      <ns0:c r="CX63" t="n">
        <ns0:f>IF($A63="",1,IF(CW63=1,1,--AND(IF($AC63&gt;0,INDEX(CW$7:CW$106,$AC63),1),IF($AD63&gt;0,INDEX(CW$7:CW$106,$AD63),1),IF($AE63&gt;0,INDEX(CW$7:CW$106,$AE63),1),IF($AF63&gt;0,INDEX(CW$7:CW$106,$AF63),1),IF($AG63&gt;0,INDEX(CW$7:CW$106,$AG63),1),IF($AH63&gt;0,INDEX(CW$7:CW$106,$AH63),1),IF($AI63&gt;0,INDEX(CW$7:CW$106,$AI63),1),IF($AJ63&gt;0,INDEX(CW$7:CW$106,$AJ63),1))))</ns0:f>
        <ns0:v>1</ns0:v>
      </ns0:c>
      <ns0:c r="CY63" t="n">
        <ns0:f>IF($A63="",1,IF(CX63=1,1,--AND(IF($AC63&gt;0,INDEX(CX$7:CX$106,$AC63),1),IF($AD63&gt;0,INDEX(CX$7:CX$106,$AD63),1),IF($AE63&gt;0,INDEX(CX$7:CX$106,$AE63),1),IF($AF63&gt;0,INDEX(CX$7:CX$106,$AF63),1),IF($AG63&gt;0,INDEX(CX$7:CX$106,$AG63),1),IF($AH63&gt;0,INDEX(CX$7:CX$106,$AH63),1),IF($AI63&gt;0,INDEX(CX$7:CX$106,$AI63),1),IF($AJ63&gt;0,INDEX(CX$7:CX$106,$AJ63),1))))</ns0:f>
        <ns0:v>1</ns0:v>
      </ns0:c>
      <ns0:c r="CZ63" t="n">
        <ns0:f>IF($A63="",1,IF(CY63=1,1,--AND(IF($AC63&gt;0,INDEX(CY$7:CY$106,$AC63),1),IF($AD63&gt;0,INDEX(CY$7:CY$106,$AD63),1),IF($AE63&gt;0,INDEX(CY$7:CY$106,$AE63),1),IF($AF63&gt;0,INDEX(CY$7:CY$106,$AF63),1),IF($AG63&gt;0,INDEX(CY$7:CY$106,$AG63),1),IF($AH63&gt;0,INDEX(CY$7:CY$106,$AH63),1),IF($AI63&gt;0,INDEX(CY$7:CY$106,$AI63),1),IF($AJ63&gt;0,INDEX(CY$7:CY$106,$AJ63),1))))</ns0:f>
        <ns0:v>1</ns0:v>
      </ns0:c>
      <ns0:c r="DA63" t="n">
        <ns0:f>IF($A63="",1,IF(CZ63=1,1,--AND(IF($AC63&gt;0,INDEX(CZ$7:CZ$106,$AC63),1),IF($AD63&gt;0,INDEX(CZ$7:CZ$106,$AD63),1),IF($AE63&gt;0,INDEX(CZ$7:CZ$106,$AE63),1),IF($AF63&gt;0,INDEX(CZ$7:CZ$106,$AF63),1),IF($AG63&gt;0,INDEX(CZ$7:CZ$106,$AG63),1),IF($AH63&gt;0,INDEX(CZ$7:CZ$106,$AH63),1),IF($AI63&gt;0,INDEX(CZ$7:CZ$106,$AI63),1),IF($AJ63&gt;0,INDEX(CZ$7:CZ$106,$AJ63),1))))</ns0:f>
        <ns0:v>1</ns0:v>
      </ns0:c>
      <ns0:c r="DB63" t="n">
        <ns0:f>IF($A63="",1,IF(DA63=1,1,--AND(IF($AC63&gt;0,INDEX(DA$7:DA$106,$AC63),1),IF($AD63&gt;0,INDEX(DA$7:DA$106,$AD63),1),IF($AE63&gt;0,INDEX(DA$7:DA$106,$AE63),1),IF($AF63&gt;0,INDEX(DA$7:DA$106,$AF63),1),IF($AG63&gt;0,INDEX(DA$7:DA$106,$AG63),1),IF($AH63&gt;0,INDEX(DA$7:DA$106,$AH63),1),IF($AI63&gt;0,INDEX(DA$7:DA$106,$AI63),1),IF($AJ63&gt;0,INDEX(DA$7:DA$106,$AJ63),1))))</ns0:f>
        <ns0:v>1</ns0:v>
      </ns0:c>
      <ns0:c r="DC63" t="n">
        <ns0:f>IF($A63="",1,IF(DB63=1,1,--AND(IF($AC63&gt;0,INDEX(DB$7:DB$106,$AC63),1),IF($AD63&gt;0,INDEX(DB$7:DB$106,$AD63),1),IF($AE63&gt;0,INDEX(DB$7:DB$106,$AE63),1),IF($AF63&gt;0,INDEX(DB$7:DB$106,$AF63),1),IF($AG63&gt;0,INDEX(DB$7:DB$106,$AG63),1),IF($AH63&gt;0,INDEX(DB$7:DB$106,$AH63),1),IF($AI63&gt;0,INDEX(DB$7:DB$106,$AI63),1),IF($AJ63&gt;0,INDEX(DB$7:DB$106,$AJ63),1))))</ns0:f>
        <ns0:v>1</ns0:v>
      </ns0:c>
      <ns0:c r="DD63" t="n">
        <ns0:f>IF($A63="",1,IF(DC63=1,1,--AND(IF($AC63&gt;0,INDEX(DC$7:DC$106,$AC63),1),IF($AD63&gt;0,INDEX(DC$7:DC$106,$AD63),1),IF($AE63&gt;0,INDEX(DC$7:DC$106,$AE63),1),IF($AF63&gt;0,INDEX(DC$7:DC$106,$AF63),1),IF($AG63&gt;0,INDEX(DC$7:DC$106,$AG63),1),IF($AH63&gt;0,INDEX(DC$7:DC$106,$AH63),1),IF($AI63&gt;0,INDEX(DC$7:DC$106,$AI63),1),IF($AJ63&gt;0,INDEX(DC$7:DC$106,$AJ63),1))))</ns0:f>
        <ns0:v>1</ns0:v>
      </ns0:c>
      <ns0:c r="DE63" t="n">
        <ns0:f>IF($A63="",1,IF(DD63=1,1,--AND(IF($AC63&gt;0,INDEX(DD$7:DD$106,$AC63),1),IF($AD63&gt;0,INDEX(DD$7:DD$106,$AD63),1),IF($AE63&gt;0,INDEX(DD$7:DD$106,$AE63),1),IF($AF63&gt;0,INDEX(DD$7:DD$106,$AF63),1),IF($AG63&gt;0,INDEX(DD$7:DD$106,$AG63),1),IF($AH63&gt;0,INDEX(DD$7:DD$106,$AH63),1),IF($AI63&gt;0,INDEX(DD$7:DD$106,$AI63),1),IF($AJ63&gt;0,INDEX(DD$7:DD$106,$AJ63),1))))</ns0:f>
        <ns0:v>1</ns0:v>
      </ns0:c>
      <ns0:c r="DF63" t="n">
        <ns0:f>IF($A63="",1,IF(DE63=1,1,--AND(IF($AC63&gt;0,INDEX(DE$7:DE$106,$AC63),1),IF($AD63&gt;0,INDEX(DE$7:DE$106,$AD63),1),IF($AE63&gt;0,INDEX(DE$7:DE$106,$AE63),1),IF($AF63&gt;0,INDEX(DE$7:DE$106,$AF63),1),IF($AG63&gt;0,INDEX(DE$7:DE$106,$AG63),1),IF($AH63&gt;0,INDEX(DE$7:DE$106,$AH63),1),IF($AI63&gt;0,INDEX(DE$7:DE$106,$AI63),1),IF($AJ63&gt;0,INDEX(DE$7:DE$106,$AJ63),1))))</ns0:f>
        <ns0:v>1</ns0:v>
      </ns0:c>
      <ns0:c r="DG63" t="n">
        <ns0:f>IF($A63="",1,IF(DF63=1,1,--AND(IF($AC63&gt;0,INDEX(DF$7:DF$106,$AC63),1),IF($AD63&gt;0,INDEX(DF$7:DF$106,$AD63),1),IF($AE63&gt;0,INDEX(DF$7:DF$106,$AE63),1),IF($AF63&gt;0,INDEX(DF$7:DF$106,$AF63),1),IF($AG63&gt;0,INDEX(DF$7:DF$106,$AG63),1),IF($AH63&gt;0,INDEX(DF$7:DF$106,$AH63),1),IF($AI63&gt;0,INDEX(DF$7:DF$106,$AI63),1),IF($AJ63&gt;0,INDEX(DF$7:DF$106,$AJ63),1))))</ns0:f>
        <ns0:v>1</ns0:v>
      </ns0:c>
      <ns0:c r="DH63" t="n">
        <ns0:f>IF($A63="",1,IF(DG63=1,1,--AND(IF($AC63&gt;0,INDEX(DG$7:DG$106,$AC63),1),IF($AD63&gt;0,INDEX(DG$7:DG$106,$AD63),1),IF($AE63&gt;0,INDEX(DG$7:DG$106,$AE63),1),IF($AF63&gt;0,INDEX(DG$7:DG$106,$AF63),1),IF($AG63&gt;0,INDEX(DG$7:DG$106,$AG63),1),IF($AH63&gt;0,INDEX(DG$7:DG$106,$AH63),1),IF($AI63&gt;0,INDEX(DG$7:DG$106,$AI63),1),IF($AJ63&gt;0,INDEX(DG$7:DG$106,$AJ63),1))))</ns0:f>
        <ns0:v>1</ns0:v>
      </ns0:c>
      <ns0:c r="DI63" t="n">
        <ns0:f>IF($A63="",1,IF(DH63=1,1,--AND(IF($AC63&gt;0,INDEX(DH$7:DH$106,$AC63),1),IF($AD63&gt;0,INDEX(DH$7:DH$106,$AD63),1),IF($AE63&gt;0,INDEX(DH$7:DH$106,$AE63),1),IF($AF63&gt;0,INDEX(DH$7:DH$106,$AF63),1),IF($AG63&gt;0,INDEX(DH$7:DH$106,$AG63),1),IF($AH63&gt;0,INDEX(DH$7:DH$106,$AH63),1),IF($AI63&gt;0,INDEX(DH$7:DH$106,$AI63),1),IF($AJ63&gt;0,INDEX(DH$7:DH$106,$AJ63),1))))</ns0:f>
        <ns0:v>1</ns0:v>
      </ns0:c>
      <ns0:c r="DJ63" t="n">
        <ns0:f>IF($A63="",1,IF(DI63=1,1,--AND(IF($AC63&gt;0,INDEX(DI$7:DI$106,$AC63),1),IF($AD63&gt;0,INDEX(DI$7:DI$106,$AD63),1),IF($AE63&gt;0,INDEX(DI$7:DI$106,$AE63),1),IF($AF63&gt;0,INDEX(DI$7:DI$106,$AF63),1),IF($AG63&gt;0,INDEX(DI$7:DI$106,$AG63),1),IF($AH63&gt;0,INDEX(DI$7:DI$106,$AH63),1),IF($AI63&gt;0,INDEX(DI$7:DI$106,$AI63),1),IF($AJ63&gt;0,INDEX(DI$7:DI$106,$AJ63),1))))</ns0:f>
        <ns0:v>1</ns0:v>
      </ns0:c>
      <ns0:c r="DK63" t="n">
        <ns0:f>IF($A63="",1,IF(DJ63=1,1,--AND(IF($AC63&gt;0,INDEX(DJ$7:DJ$106,$AC63),1),IF($AD63&gt;0,INDEX(DJ$7:DJ$106,$AD63),1),IF($AE63&gt;0,INDEX(DJ$7:DJ$106,$AE63),1),IF($AF63&gt;0,INDEX(DJ$7:DJ$106,$AF63),1),IF($AG63&gt;0,INDEX(DJ$7:DJ$106,$AG63),1),IF($AH63&gt;0,INDEX(DJ$7:DJ$106,$AH63),1),IF($AI63&gt;0,INDEX(DJ$7:DJ$106,$AI63),1),IF($AJ63&gt;0,INDEX(DJ$7:DJ$106,$AJ63),1))))</ns0:f>
        <ns0:v>1</ns0:v>
      </ns0:c>
      <ns0:c r="DL63" t="n">
        <ns0:f>IF($A63="",1,IF(DK63=1,1,--AND(IF($AC63&gt;0,INDEX(DK$7:DK$106,$AC63),1),IF($AD63&gt;0,INDEX(DK$7:DK$106,$AD63),1),IF($AE63&gt;0,INDEX(DK$7:DK$106,$AE63),1),IF($AF63&gt;0,INDEX(DK$7:DK$106,$AF63),1),IF($AG63&gt;0,INDEX(DK$7:DK$106,$AG63),1),IF($AH63&gt;0,INDEX(DK$7:DK$106,$AH63),1),IF($AI63&gt;0,INDEX(DK$7:DK$106,$AI63),1),IF($AJ63&gt;0,INDEX(DK$7:DK$106,$AJ63),1))))</ns0:f>
        <ns0:v>1</ns0:v>
      </ns0:c>
      <ns0:c r="DM63" t="n">
        <ns0:f>IF($A63="",1,IF(DL63=1,1,--AND(IF($AC63&gt;0,INDEX(DL$7:DL$106,$AC63),1),IF($AD63&gt;0,INDEX(DL$7:DL$106,$AD63),1),IF($AE63&gt;0,INDEX(DL$7:DL$106,$AE63),1),IF($AF63&gt;0,INDEX(DL$7:DL$106,$AF63),1),IF($AG63&gt;0,INDEX(DL$7:DL$106,$AG63),1),IF($AH63&gt;0,INDEX(DL$7:DL$106,$AH63),1),IF($AI63&gt;0,INDEX(DL$7:DL$106,$AI63),1),IF($AJ63&gt;0,INDEX(DL$7:DL$106,$AJ63),1))))</ns0:f>
        <ns0:v>1</ns0:v>
      </ns0:c>
      <ns0:c r="DN63" t="n">
        <ns0:f>IF($A63="",1,IF(DM63=1,1,--AND(IF($AC63&gt;0,INDEX(DM$7:DM$106,$AC63),1),IF($AD63&gt;0,INDEX(DM$7:DM$106,$AD63),1),IF($AE63&gt;0,INDEX(DM$7:DM$106,$AE63),1),IF($AF63&gt;0,INDEX(DM$7:DM$106,$AF63),1),IF($AG63&gt;0,INDEX(DM$7:DM$106,$AG63),1),IF($AH63&gt;0,INDEX(DM$7:DM$106,$AH63),1),IF($AI63&gt;0,INDEX(DM$7:DM$106,$AI63),1),IF($AJ63&gt;0,INDEX(DM$7:DM$106,$AJ63),1))))</ns0:f>
        <ns0:v>1</ns0:v>
      </ns0:c>
      <ns0:c r="DO63" t="n">
        <ns0:f>IF($A63="",1,IF(DN63=1,1,--AND(IF($AC63&gt;0,INDEX(DN$7:DN$106,$AC63),1),IF($AD63&gt;0,INDEX(DN$7:DN$106,$AD63),1),IF($AE63&gt;0,INDEX(DN$7:DN$106,$AE63),1),IF($AF63&gt;0,INDEX(DN$7:DN$106,$AF63),1),IF($AG63&gt;0,INDEX(DN$7:DN$106,$AG63),1),IF($AH63&gt;0,INDEX(DN$7:DN$106,$AH63),1),IF($AI63&gt;0,INDEX(DN$7:DN$106,$AI63),1),IF($AJ63&gt;0,INDEX(DN$7:DN$106,$AJ63),1))))</ns0:f>
        <ns0:v>1</ns0:v>
      </ns0:c>
      <ns0:c r="DP63" t="n">
        <ns0:f>IF($A63="",1,IF(DO63=1,1,--AND(IF($AC63&gt;0,INDEX(DO$7:DO$106,$AC63),1),IF($AD63&gt;0,INDEX(DO$7:DO$106,$AD63),1),IF($AE63&gt;0,INDEX(DO$7:DO$106,$AE63),1),IF($AF63&gt;0,INDEX(DO$7:DO$106,$AF63),1),IF($AG63&gt;0,INDEX(DO$7:DO$106,$AG63),1),IF($AH63&gt;0,INDEX(DO$7:DO$106,$AH63),1),IF($AI63&gt;0,INDEX(DO$7:DO$106,$AI63),1),IF($AJ63&gt;0,INDEX(DO$7:DO$106,$AJ63),1))))</ns0:f>
        <ns0:v>1</ns0:v>
      </ns0:c>
      <ns0:c r="DQ63" t="n">
        <ns0:f>IF($A63="",1,IF(DP63=1,1,--AND(IF($AC63&gt;0,INDEX(DP$7:DP$106,$AC63),1),IF($AD63&gt;0,INDEX(DP$7:DP$106,$AD63),1),IF($AE63&gt;0,INDEX(DP$7:DP$106,$AE63),1),IF($AF63&gt;0,INDEX(DP$7:DP$106,$AF63),1),IF($AG63&gt;0,INDEX(DP$7:DP$106,$AG63),1),IF($AH63&gt;0,INDEX(DP$7:DP$106,$AH63),1),IF($AI63&gt;0,INDEX(DP$7:DP$106,$AI63),1),IF($AJ63&gt;0,INDEX(DP$7:DP$106,$AJ63),1))))</ns0:f>
        <ns0:v>1</ns0:v>
      </ns0:c>
      <ns0:c r="DR63" t="n">
        <ns0:f>IF($A63="",1,IF(DQ63=1,1,--AND(IF($AC63&gt;0,INDEX(DQ$7:DQ$106,$AC63),1),IF($AD63&gt;0,INDEX(DQ$7:DQ$106,$AD63),1),IF($AE63&gt;0,INDEX(DQ$7:DQ$106,$AE63),1),IF($AF63&gt;0,INDEX(DQ$7:DQ$106,$AF63),1),IF($AG63&gt;0,INDEX(DQ$7:DQ$106,$AG63),1),IF($AH63&gt;0,INDEX(DQ$7:DQ$106,$AH63),1),IF($AI63&gt;0,INDEX(DQ$7:DQ$106,$AI63),1),IF($AJ63&gt;0,INDEX(DQ$7:DQ$106,$AJ63),1))))</ns0:f>
        <ns0:v>1</ns0:v>
      </ns0:c>
      <ns0:c r="DS63" t="n">
        <ns0:f>IF($A63="",1,IF(DR63=1,1,--AND(IF($AC63&gt;0,INDEX(DR$7:DR$106,$AC63),1),IF($AD63&gt;0,INDEX(DR$7:DR$106,$AD63),1),IF($AE63&gt;0,INDEX(DR$7:DR$106,$AE63),1),IF($AF63&gt;0,INDEX(DR$7:DR$106,$AF63),1),IF($AG63&gt;0,INDEX(DR$7:DR$106,$AG63),1),IF($AH63&gt;0,INDEX(DR$7:DR$106,$AH63),1),IF($AI63&gt;0,INDEX(DR$7:DR$106,$AI63),1),IF($AJ63&gt;0,INDEX(DR$7:DR$106,$AJ63),1))))</ns0:f>
        <ns0:v>1</ns0:v>
      </ns0:c>
      <ns0:c r="DT63" t="n">
        <ns0:f>IF($A63="",1,IF(DS63=1,1,--AND(IF($AC63&gt;0,INDEX(DS$7:DS$106,$AC63),1),IF($AD63&gt;0,INDEX(DS$7:DS$106,$AD63),1),IF($AE63&gt;0,INDEX(DS$7:DS$106,$AE63),1),IF($AF63&gt;0,INDEX(DS$7:DS$106,$AF63),1),IF($AG63&gt;0,INDEX(DS$7:DS$106,$AG63),1),IF($AH63&gt;0,INDEX(DS$7:DS$106,$AH63),1),IF($AI63&gt;0,INDEX(DS$7:DS$106,$AI63),1),IF($AJ63&gt;0,INDEX(DS$7:DS$106,$AJ63),1))))</ns0:f>
        <ns0:v>1</ns0:v>
      </ns0:c>
      <ns0:c r="DU63" t="n">
        <ns0:f>IF($A63="",1,IF(DT63=1,1,--AND(IF($AC63&gt;0,INDEX(DT$7:DT$106,$AC63),1),IF($AD63&gt;0,INDEX(DT$7:DT$106,$AD63),1),IF($AE63&gt;0,INDEX(DT$7:DT$106,$AE63),1),IF($AF63&gt;0,INDEX(DT$7:DT$106,$AF63),1),IF($AG63&gt;0,INDEX(DT$7:DT$106,$AG63),1),IF($AH63&gt;0,INDEX(DT$7:DT$106,$AH63),1),IF($AI63&gt;0,INDEX(DT$7:DT$106,$AI63),1),IF($AJ63&gt;0,INDEX(DT$7:DT$106,$AJ63),1))))</ns0:f>
        <ns0:v>1</ns0:v>
      </ns0:c>
      <ns0:c r="DV63" t="n">
        <ns0:f>IF($A63="",1,IF(DU63=1,1,--AND(IF($AC63&gt;0,INDEX(DU$7:DU$106,$AC63),1),IF($AD63&gt;0,INDEX(DU$7:DU$106,$AD63),1),IF($AE63&gt;0,INDEX(DU$7:DU$106,$AE63),1),IF($AF63&gt;0,INDEX(DU$7:DU$106,$AF63),1),IF($AG63&gt;0,INDEX(DU$7:DU$106,$AG63),1),IF($AH63&gt;0,INDEX(DU$7:DU$106,$AH63),1),IF($AI63&gt;0,INDEX(DU$7:DU$106,$AI63),1),IF($AJ63&gt;0,INDEX(DU$7:DU$106,$AJ63),1))))</ns0:f>
        <ns0:v>1</ns0:v>
      </ns0:c>
      <ns0:c r="DW63" t="n">
        <ns0:f>IF($A63="",1,IF(DV63=1,1,--AND(IF($AC63&gt;0,INDEX(DV$7:DV$106,$AC63),1),IF($AD63&gt;0,INDEX(DV$7:DV$106,$AD63),1),IF($AE63&gt;0,INDEX(DV$7:DV$106,$AE63),1),IF($AF63&gt;0,INDEX(DV$7:DV$106,$AF63),1),IF($AG63&gt;0,INDEX(DV$7:DV$106,$AG63),1),IF($AH63&gt;0,INDEX(DV$7:DV$106,$AH63),1),IF($AI63&gt;0,INDEX(DV$7:DV$106,$AI63),1),IF($AJ63&gt;0,INDEX(DV$7:DV$106,$AJ63),1))))</ns0:f>
        <ns0:v>1</ns0:v>
      </ns0:c>
      <ns0:c r="DX63" t="n">
        <ns0:f>IF($A63="",1,IF(DW63=1,1,--AND(IF($AC63&gt;0,INDEX(DW$7:DW$106,$AC63),1),IF($AD63&gt;0,INDEX(DW$7:DW$106,$AD63),1),IF($AE63&gt;0,INDEX(DW$7:DW$106,$AE63),1),IF($AF63&gt;0,INDEX(DW$7:DW$106,$AF63),1),IF($AG63&gt;0,INDEX(DW$7:DW$106,$AG63),1),IF($AH63&gt;0,INDEX(DW$7:DW$106,$AH63),1),IF($AI63&gt;0,INDEX(DW$7:DW$106,$AI63),1),IF($AJ63&gt;0,INDEX(DW$7:DW$106,$AJ63),1))))</ns0:f>
        <ns0:v>1</ns0:v>
      </ns0:c>
      <ns0:c r="DY63" t="n">
        <ns0:f>IF($A63="",1,IF(DX63=1,1,--AND(IF($AC63&gt;0,INDEX(DX$7:DX$106,$AC63),1),IF($AD63&gt;0,INDEX(DX$7:DX$106,$AD63),1),IF($AE63&gt;0,INDEX(DX$7:DX$106,$AE63),1),IF($AF63&gt;0,INDEX(DX$7:DX$106,$AF63),1),IF($AG63&gt;0,INDEX(DX$7:DX$106,$AG63),1),IF($AH63&gt;0,INDEX(DX$7:DX$106,$AH63),1),IF($AI63&gt;0,INDEX(DX$7:DX$106,$AI63),1),IF($AJ63&gt;0,INDEX(DX$7:DX$106,$AJ63),1))))</ns0:f>
        <ns0:v>1</ns0:v>
      </ns0:c>
      <ns0:c r="DZ63" t="n">
        <ns0:f>IF($A63="",1,IF(DY63=1,1,--AND(IF($AC63&gt;0,INDEX(DY$7:DY$106,$AC63),1),IF($AD63&gt;0,INDEX(DY$7:DY$106,$AD63),1),IF($AE63&gt;0,INDEX(DY$7:DY$106,$AE63),1),IF($AF63&gt;0,INDEX(DY$7:DY$106,$AF63),1),IF($AG63&gt;0,INDEX(DY$7:DY$106,$AG63),1),IF($AH63&gt;0,INDEX(DY$7:DY$106,$AH63),1),IF($AI63&gt;0,INDEX(DY$7:DY$106,$AI63),1),IF($AJ63&gt;0,INDEX(DY$7:DY$106,$AJ63),1))))</ns0:f>
        <ns0:v>1</ns0:v>
      </ns0:c>
      <ns0:c r="EA63" t="n">
        <ns0:f>IF($A63="",1,IF(DZ63=1,1,--AND(IF($AC63&gt;0,INDEX(DZ$7:DZ$106,$AC63),1),IF($AD63&gt;0,INDEX(DZ$7:DZ$106,$AD63),1),IF($AE63&gt;0,INDEX(DZ$7:DZ$106,$AE63),1),IF($AF63&gt;0,INDEX(DZ$7:DZ$106,$AF63),1),IF($AG63&gt;0,INDEX(DZ$7:DZ$106,$AG63),1),IF($AH63&gt;0,INDEX(DZ$7:DZ$106,$AH63),1),IF($AI63&gt;0,INDEX(DZ$7:DZ$106,$AI63),1),IF($AJ63&gt;0,INDEX(DZ$7:DZ$106,$AJ63),1))))</ns0:f>
        <ns0:v>1</ns0:v>
      </ns0:c>
      <ns0:c r="EB63" t="n">
        <ns0:f>IF($A63="",1,IF(EA63=1,1,--AND(IF($AC63&gt;0,INDEX(EA$7:EA$106,$AC63),1),IF($AD63&gt;0,INDEX(EA$7:EA$106,$AD63),1),IF($AE63&gt;0,INDEX(EA$7:EA$106,$AE63),1),IF($AF63&gt;0,INDEX(EA$7:EA$106,$AF63),1),IF($AG63&gt;0,INDEX(EA$7:EA$106,$AG63),1),IF($AH63&gt;0,INDEX(EA$7:EA$106,$AH63),1),IF($AI63&gt;0,INDEX(EA$7:EA$106,$AI63),1),IF($AJ63&gt;0,INDEX(EA$7:EA$106,$AJ63),1))))</ns0:f>
        <ns0:v>1</ns0:v>
      </ns0:c>
      <ns0:c r="EC63" t="n">
        <ns0:f>IF($A63="",1,IF(EB63=1,1,--AND(IF($AC63&gt;0,INDEX(EB$7:EB$106,$AC63),1),IF($AD63&gt;0,INDEX(EB$7:EB$106,$AD63),1),IF($AE63&gt;0,INDEX(EB$7:EB$106,$AE63),1),IF($AF63&gt;0,INDEX(EB$7:EB$106,$AF63),1),IF($AG63&gt;0,INDEX(EB$7:EB$106,$AG63),1),IF($AH63&gt;0,INDEX(EB$7:EB$106,$AH63),1),IF($AI63&gt;0,INDEX(EB$7:EB$106,$AI63),1),IF($AJ63&gt;0,INDEX(EB$7:EB$106,$AJ63),1))))</ns0:f>
        <ns0:v>1</ns0:v>
      </ns0:c>
      <ns0:c r="ED63" t="n">
        <ns0:f>IF($A63="",1,IF(EC63=1,1,--AND(IF($AC63&gt;0,INDEX(EC$7:EC$106,$AC63),1),IF($AD63&gt;0,INDEX(EC$7:EC$106,$AD63),1),IF($AE63&gt;0,INDEX(EC$7:EC$106,$AE63),1),IF($AF63&gt;0,INDEX(EC$7:EC$106,$AF63),1),IF($AG63&gt;0,INDEX(EC$7:EC$106,$AG63),1),IF($AH63&gt;0,INDEX(EC$7:EC$106,$AH63),1),IF($AI63&gt;0,INDEX(EC$7:EC$106,$AI63),1),IF($AJ63&gt;0,INDEX(EC$7:EC$106,$AJ63),1))))</ns0:f>
        <ns0:v>1</ns0:v>
      </ns0:c>
      <ns0:c r="EE63" t="n">
        <ns0:f>IF($A63="",1,IF(ED63=1,1,--AND(IF($AC63&gt;0,INDEX(ED$7:ED$106,$AC63),1),IF($AD63&gt;0,INDEX(ED$7:ED$106,$AD63),1),IF($AE63&gt;0,INDEX(ED$7:ED$106,$AE63),1),IF($AF63&gt;0,INDEX(ED$7:ED$106,$AF63),1),IF($AG63&gt;0,INDEX(ED$7:ED$106,$AG63),1),IF($AH63&gt;0,INDEX(ED$7:ED$106,$AH63),1),IF($AI63&gt;0,INDEX(ED$7:ED$106,$AI63),1),IF($AJ63&gt;0,INDEX(ED$7:ED$106,$AJ63),1))))</ns0:f>
        <ns0:v>1</ns0:v>
      </ns0:c>
      <ns0:c r="EF63" t="n">
        <ns0:f>IF($A63="",1,IF(EE63=1,1,--AND(IF($AC63&gt;0,INDEX(EE$7:EE$106,$AC63),1),IF($AD63&gt;0,INDEX(EE$7:EE$106,$AD63),1),IF($AE63&gt;0,INDEX(EE$7:EE$106,$AE63),1),IF($AF63&gt;0,INDEX(EE$7:EE$106,$AF63),1),IF($AG63&gt;0,INDEX(EE$7:EE$106,$AG63),1),IF($AH63&gt;0,INDEX(EE$7:EE$106,$AH63),1),IF($AI63&gt;0,INDEX(EE$7:EE$106,$AI63),1),IF($AJ63&gt;0,INDEX(EE$7:EE$106,$AJ63),1))))</ns0:f>
        <ns0:v>1</ns0:v>
      </ns0:c>
      <ns0:c r="EG63" t="n">
        <ns0:f>IF($A63="",1,IF(EF63=1,1,--AND(IF($AC63&gt;0,INDEX(EF$7:EF$106,$AC63),1),IF($AD63&gt;0,INDEX(EF$7:EF$106,$AD63),1),IF($AE63&gt;0,INDEX(EF$7:EF$106,$AE63),1),IF($AF63&gt;0,INDEX(EF$7:EF$106,$AF63),1),IF($AG63&gt;0,INDEX(EF$7:EF$106,$AG63),1),IF($AH63&gt;0,INDEX(EF$7:EF$106,$AH63),1),IF($AI63&gt;0,INDEX(EF$7:EF$106,$AI63),1),IF($AJ63&gt;0,INDEX(EF$7:EF$106,$AJ63),1))))</ns0:f>
        <ns0:v>1</ns0:v>
      </ns0:c>
      <ns0:c r="EH63" t="n">
        <ns0:f>IF($A63="",1,IF(EG63=1,1,--AND(IF($AC63&gt;0,INDEX(EG$7:EG$106,$AC63),1),IF($AD63&gt;0,INDEX(EG$7:EG$106,$AD63),1),IF($AE63&gt;0,INDEX(EG$7:EG$106,$AE63),1),IF($AF63&gt;0,INDEX(EG$7:EG$106,$AF63),1),IF($AG63&gt;0,INDEX(EG$7:EG$106,$AG63),1),IF($AH63&gt;0,INDEX(EG$7:EG$106,$AH63),1),IF($AI63&gt;0,INDEX(EG$7:EG$106,$AI63),1),IF($AJ63&gt;0,INDEX(EG$7:EG$106,$AJ63),1))))</ns0:f>
        <ns0:v>1</ns0:v>
      </ns0:c>
      <ns0:c r="EI63" t="n">
        <ns0:f>IF($A63="",1,IF(EH63=1,1,--AND(IF($AC63&gt;0,INDEX(EH$7:EH$106,$AC63),1),IF($AD63&gt;0,INDEX(EH$7:EH$106,$AD63),1),IF($AE63&gt;0,INDEX(EH$7:EH$106,$AE63),1),IF($AF63&gt;0,INDEX(EH$7:EH$106,$AF63),1),IF($AG63&gt;0,INDEX(EH$7:EH$106,$AG63),1),IF($AH63&gt;0,INDEX(EH$7:EH$106,$AH63),1),IF($AI63&gt;0,INDEX(EH$7:EH$106,$AI63),1),IF($AJ63&gt;0,INDEX(EH$7:EH$106,$AJ63),1))))</ns0:f>
        <ns0:v>1</ns0:v>
      </ns0:c>
      <ns0:c r="EJ63" t="n">
        <ns0:f>IF($A63="",1,IF(EI63=1,1,--AND(IF($AC63&gt;0,INDEX(EI$7:EI$106,$AC63),1),IF($AD63&gt;0,INDEX(EI$7:EI$106,$AD63),1),IF($AE63&gt;0,INDEX(EI$7:EI$106,$AE63),1),IF($AF63&gt;0,INDEX(EI$7:EI$106,$AF63),1),IF($AG63&gt;0,INDEX(EI$7:EI$106,$AG63),1),IF($AH63&gt;0,INDEX(EI$7:EI$106,$AH63),1),IF($AI63&gt;0,INDEX(EI$7:EI$106,$AI63),1),IF($AJ63&gt;0,INDEX(EI$7:EI$106,$AJ63),1))))</ns0:f>
        <ns0:v>1</ns0:v>
      </ns0:c>
      <ns0:c r="EK63" t="n">
        <ns0:f>IF($A63="",1,IF(EJ63=1,1,--AND(IF($AC63&gt;0,INDEX(EJ$7:EJ$106,$AC63),1),IF($AD63&gt;0,INDEX(EJ$7:EJ$106,$AD63),1),IF($AE63&gt;0,INDEX(EJ$7:EJ$106,$AE63),1),IF($AF63&gt;0,INDEX(EJ$7:EJ$106,$AF63),1),IF($AG63&gt;0,INDEX(EJ$7:EJ$106,$AG63),1),IF($AH63&gt;0,INDEX(EJ$7:EJ$106,$AH63),1),IF($AI63&gt;0,INDEX(EJ$7:EJ$106,$AI63),1),IF($AJ63&gt;0,INDEX(EJ$7:EJ$106,$AJ63),1))))</ns0:f>
        <ns0:v>1</ns0:v>
      </ns0:c>
      <ns0:c r="EL63" t="n">
        <ns0:f>IF($A63="",1,IF(EK63=1,1,--AND(IF($AC63&gt;0,INDEX(EK$7:EK$106,$AC63),1),IF($AD63&gt;0,INDEX(EK$7:EK$106,$AD63),1),IF($AE63&gt;0,INDEX(EK$7:EK$106,$AE63),1),IF($AF63&gt;0,INDEX(EK$7:EK$106,$AF63),1),IF($AG63&gt;0,INDEX(EK$7:EK$106,$AG63),1),IF($AH63&gt;0,INDEX(EK$7:EK$106,$AH63),1),IF($AI63&gt;0,INDEX(EK$7:EK$106,$AI63),1),IF($AJ63&gt;0,INDEX(EK$7:EK$106,$AJ63),1))))</ns0:f>
        <ns0:v>1</ns0:v>
      </ns0:c>
      <ns0:c r="EM63" t="n">
        <ns0:f>IF($A63="",1,IF(EL63=1,1,--AND(IF($AC63&gt;0,INDEX(EL$7:EL$106,$AC63),1),IF($AD63&gt;0,INDEX(EL$7:EL$106,$AD63),1),IF($AE63&gt;0,INDEX(EL$7:EL$106,$AE63),1),IF($AF63&gt;0,INDEX(EL$7:EL$106,$AF63),1),IF($AG63&gt;0,INDEX(EL$7:EL$106,$AG63),1),IF($AH63&gt;0,INDEX(EL$7:EL$106,$AH63),1),IF($AI63&gt;0,INDEX(EL$7:EL$106,$AI63),1),IF($AJ63&gt;0,INDEX(EL$7:EL$106,$AJ63),1))))</ns0:f>
        <ns0:v>1</ns0:v>
      </ns0:c>
      <ns0:c r="EN63" t="n">
        <ns0:f>IF($A63="",1,IF(EM63=1,1,--AND(IF($AC63&gt;0,INDEX(EM$7:EM$106,$AC63),1),IF($AD63&gt;0,INDEX(EM$7:EM$106,$AD63),1),IF($AE63&gt;0,INDEX(EM$7:EM$106,$AE63),1),IF($AF63&gt;0,INDEX(EM$7:EM$106,$AF63),1),IF($AG63&gt;0,INDEX(EM$7:EM$106,$AG63),1),IF($AH63&gt;0,INDEX(EM$7:EM$106,$AH63),1),IF($AI63&gt;0,INDEX(EM$7:EM$106,$AI63),1),IF($AJ63&gt;0,INDEX(EM$7:EM$106,$AJ63),1))))</ns0:f>
        <ns0:v>1</ns0:v>
      </ns0:c>
      <ns0:c r="EO63" t="n">
        <ns0:f>IF($A63="",1,IF(EN63=1,1,--AND(IF($AC63&gt;0,INDEX(EN$7:EN$106,$AC63),1),IF($AD63&gt;0,INDEX(EN$7:EN$106,$AD63),1),IF($AE63&gt;0,INDEX(EN$7:EN$106,$AE63),1),IF($AF63&gt;0,INDEX(EN$7:EN$106,$AF63),1),IF($AG63&gt;0,INDEX(EN$7:EN$106,$AG63),1),IF($AH63&gt;0,INDEX(EN$7:EN$106,$AH63),1),IF($AI63&gt;0,INDEX(EN$7:EN$106,$AI63),1),IF($AJ63&gt;0,INDEX(EN$7:EN$106,$AJ63),1))))</ns0:f>
        <ns0:v>1</ns0:v>
      </ns0:c>
      <ns0:c r="EP63" t="n">
        <ns0:f>IF($A63="",1,IF(EO63=1,1,--AND(IF($AC63&gt;0,INDEX(EO$7:EO$106,$AC63),1),IF($AD63&gt;0,INDEX(EO$7:EO$106,$AD63),1),IF($AE63&gt;0,INDEX(EO$7:EO$106,$AE63),1),IF($AF63&gt;0,INDEX(EO$7:EO$106,$AF63),1),IF($AG63&gt;0,INDEX(EO$7:EO$106,$AG63),1),IF($AH63&gt;0,INDEX(EO$7:EO$106,$AH63),1),IF($AI63&gt;0,INDEX(EO$7:EO$106,$AI63),1),IF($AJ63&gt;0,INDEX(EO$7:EO$106,$AJ63),1))))</ns0:f>
        <ns0:v>1</ns0:v>
      </ns0:c>
      <ns0:c r="EQ63" t="n">
        <ns0:f>IF(OR(A63="",NOT(ISNUMBER(G63))),0,G63*N63)</ns0:f>
        <ns0:v>0</ns0:v>
      </ns0:c>
    </ns0:row>
    <ns0:row r="64" ht="62" customHeight="1">
      <ns0:c r="A64" s="48"/>
      <ns0:c r="B64" s="48"/>
      <ns0:c r="C64" s="48"/>
      <ns0:c r="D64" s="48"/>
      <ns0:c r="E64" s="49"/>
      <ns0:c r="F64" s="49"/>
      <ns0:c r="G64" s="13" t="str">
        <ns0:f>IF(A64="","",IF(OR(NOT(ISNUMBER(E64)),NOT(ISNUMBER(F64)),F64&lt;E64),"",IF(J64="Yes",0,F64-E64+1)))</ns0:f>
      </ns0:c>
      <ns0:c r="H64" s="48"/>
      <ns0:c r="I64" s="48"/>
      <ns0:c r="J64" s="48"/>
      <ns0:c r="K64" s="48"/>
      <ns0:c r="L64" s="48"/>
      <ns0:c r="M64" s="50" t="str">
        <ns0:f>IF(A64="","",IF(N64=1,"Completed",IF(N64&gt;0,"In Progress","Not Started")))</ns0:f>
      </ns0:c>
      <ns0:c r="N64" s="51"/>
      <ns0:c r="O64" s="13" t="str">
        <ns0:f>IF(A64="","",IF(R64&lt;&gt;"","[CONFLICT] "&amp;R64,IF(S64&lt;&gt;"","[CONFLICT] "&amp;S64,IF(OR(NOT(ISNUMBER(N64)),N64&lt;0,N64&gt;1),"[CONFLICT] Invalid progress",IF(AK64&gt;0,"[DEPENDENCY ISSUE] Missing ID / &gt;8 links",IF(AM64&gt;0,"[DEPENDENCY ISSUE] Cycle or blocked by cycle",IF(AND(H64&lt;&gt;"",ISNA(MATCH(I64,{"FS","SS","FF","SF"},0))),"[DEPENDENCY ISSUE] Invalid type",IF(AL64&gt;0,"[DEPENDENCY ISSUE] Timing conflict",IF(OR(E64&lt;ProjectStart,F64&gt;ProjectEnd),"[OUTSIDE WINDOW]",IF(AND(N64&lt;1,F64&lt;AsOfDate),"Overdue",IF(AND(M64&lt;&gt;Q64,M64&lt;&gt;""),"[CONFLICT] Status / progress","On track")))))))))))</ns0:f>
      </ns0:c>
      <ns0:c r="P64" s="52"/>
      <ns0:c r="Q64" t="str">
        <ns0:f>IF(A64="","",IF(OR(M64="On Hold",M64="Delayed"),M64,IF(N64=1,"Completed",IF(N64&gt;0,"In Progress","Not Started"))))</ns0:f>
      </ns0:c>
      <ns0:c r="R64" t="str">
        <ns0:f>IF(A64="","",IF(COUNTIFS(Tasks[Task ID],A64)&lt;&gt;1,"Duplicate ID",""))</ns0:f>
      </ns0:c>
      <ns0:c r="S64" t="str">
        <ns0:f>IF(A64="","",IF(OR(NOT(ISNUMBER(E64)),NOT(ISNUMBER(F64))),"Invalid / missing date",IF(OR(E64&lt;&gt;INT(E64),F64&lt;&gt;INT(F64),E64&lt;1,F64&gt;2958465),"Invalid date",IF(F64&lt;E64,"End before start",IF(AND(J64="Yes",E64&lt;&gt;F64),"Milestone needs one date","")))))</ns0:f>
      </ns0:c>
      <ns0:c r="T64" t="n">
        <ns0:f>IF(H64="",0,LEN(H64)-LEN(SUBSTITUTE(H64,",",""))+1)</ns0:f>
        <ns0:v>0</ns0:v>
      </ns0:c>
      <ns0:c r="U64" t="str">
        <ns0:f>TRIM(MID(SUBSTITUTE($H64,",",REPT(" ",100)),1,100))</ns0:f>
      </ns0:c>
      <ns0:c r="V64" t="str">
        <ns0:f>TRIM(MID(SUBSTITUTE($H64,",",REPT(" ",100)),101,100))</ns0:f>
      </ns0:c>
      <ns0:c r="W64" t="str">
        <ns0:f>TRIM(MID(SUBSTITUTE($H64,",",REPT(" ",100)),201,100))</ns0:f>
      </ns0:c>
      <ns0:c r="X64" t="str">
        <ns0:f>TRIM(MID(SUBSTITUTE($H64,",",REPT(" ",100)),301,100))</ns0:f>
      </ns0:c>
      <ns0:c r="Y64" t="str">
        <ns0:f>TRIM(MID(SUBSTITUTE($H64,",",REPT(" ",100)),401,100))</ns0:f>
      </ns0:c>
      <ns0:c r="Z64" t="str">
        <ns0:f>TRIM(MID(SUBSTITUTE($H64,",",REPT(" ",100)),501,100))</ns0:f>
      </ns0:c>
      <ns0:c r="AA64" t="str">
        <ns0:f>TRIM(MID(SUBSTITUTE($H64,",",REPT(" ",100)),601,100))</ns0:f>
      </ns0:c>
      <ns0:c r="AB64" t="str">
        <ns0:f>TRIM(MID(SUBSTITUTE($H64,",",REPT(" ",100)),701,100))</ns0:f>
      </ns0:c>
      <ns0:c r="AC64" t="n">
        <ns0:f>IF(U64="",0,IF(COUNTIFS(Tasks[Task ID],U64)=1,MATCH(U64,Tasks[Task ID],0),-1))</ns0:f>
        <ns0:v>0</ns0:v>
      </ns0:c>
      <ns0:c r="AD64" t="n">
        <ns0:f>IF(V64="",0,IF(COUNTIFS(Tasks[Task ID],V64)=1,MATCH(V64,Tasks[Task ID],0),-1))</ns0:f>
        <ns0:v>0</ns0:v>
      </ns0:c>
      <ns0:c r="AE64" t="n">
        <ns0:f>IF(W64="",0,IF(COUNTIFS(Tasks[Task ID],W64)=1,MATCH(W64,Tasks[Task ID],0),-1))</ns0:f>
        <ns0:v>0</ns0:v>
      </ns0:c>
      <ns0:c r="AF64" t="n">
        <ns0:f>IF(X64="",0,IF(COUNTIFS(Tasks[Task ID],X64)=1,MATCH(X64,Tasks[Task ID],0),-1))</ns0:f>
        <ns0:v>0</ns0:v>
      </ns0:c>
      <ns0:c r="AG64" t="n">
        <ns0:f>IF(Y64="",0,IF(COUNTIFS(Tasks[Task ID],Y64)=1,MATCH(Y64,Tasks[Task ID],0),-1))</ns0:f>
        <ns0:v>0</ns0:v>
      </ns0:c>
      <ns0:c r="AH64" t="n">
        <ns0:f>IF(Z64="",0,IF(COUNTIFS(Tasks[Task ID],Z64)=1,MATCH(Z64,Tasks[Task ID],0),-1))</ns0:f>
        <ns0:v>0</ns0:v>
      </ns0:c>
      <ns0:c r="AI64" t="n">
        <ns0:f>IF(AA64="",0,IF(COUNTIFS(Tasks[Task ID],AA64)=1,MATCH(AA64,Tasks[Task ID],0),-1))</ns0:f>
        <ns0:v>0</ns0:v>
      </ns0:c>
      <ns0:c r="AJ64" t="n">
        <ns0:f>IF(AB64="",0,IF(COUNTIFS(Tasks[Task ID],AB64)=1,MATCH(AB64,Tasks[Task ID],0),-1))</ns0:f>
        <ns0:v>0</ns0:v>
      </ns0:c>
      <ns0:c r="AK64" t="n">
        <ns0:f>COUNTIFS(AC64:AJ64,-1)+IF(T64&gt;8,1,0)</ns0:f>
        <ns0:v>0</ns0:v>
      </ns0:c>
      <ns0:c r="AL64" t="n">
        <ns0:f>IF(OR(A64="",S64&lt;&gt;""),0,SUM(IF(AC64&gt;0,IF($I64="FS",--($E64&lt;INDEX(Tasks[End Date],AC64)+IF(INDEX(Tasks[Milestone],AC64)="Yes",0,1)),IF($I64="SS",--($E64&lt;INDEX(Tasks[Start Date],AC64)),IF($I64="FF",--($F64&lt;INDEX(Tasks[End Date],AC64)),IF($I64="SF",--($F64&lt;INDEX(Tasks[Start Date],AC64)),0)))),0),IF(AD64&gt;0,IF($I64="FS",--($E64&lt;INDEX(Tasks[End Date],AD64)+IF(INDEX(Tasks[Milestone],AD64)="Yes",0,1)),IF($I64="SS",--($E64&lt;INDEX(Tasks[Start Date],AD64)),IF($I64="FF",--($F64&lt;INDEX(Tasks[End Date],AD64)),IF($I64="SF",--($F64&lt;INDEX(Tasks[Start Date],AD64)),0)))),0),IF(AE64&gt;0,IF($I64="FS",--($E64&lt;INDEX(Tasks[End Date],AE64)+IF(INDEX(Tasks[Milestone],AE64)="Yes",0,1)),IF($I64="SS",--($E64&lt;INDEX(Tasks[Start Date],AE64)),IF($I64="FF",--($F64&lt;INDEX(Tasks[End Date],AE64)),IF($I64="SF",--($F64&lt;INDEX(Tasks[Start Date],AE64)),0)))),0),IF(AF64&gt;0,IF($I64="FS",--($E64&lt;INDEX(Tasks[End Date],AF64)+IF(INDEX(Tasks[Milestone],AF64)="Yes",0,1)),IF($I64="SS",--($E64&lt;INDEX(Tasks[Start Date],AF64)),IF($I64="FF",--($F64&lt;INDEX(Tasks[End Date],AF64)),IF($I64="SF",--($F64&lt;INDEX(Tasks[Start Date],AF64)),0)))),0),IF(AG64&gt;0,IF($I64="FS",--($E64&lt;INDEX(Tasks[End Date],AG64)+IF(INDEX(Tasks[Milestone],AG64)="Yes",0,1)),IF($I64="SS",--($E64&lt;INDEX(Tasks[Start Date],AG64)),IF($I64="FF",--($F64&lt;INDEX(Tasks[End Date],AG64)),IF($I64="SF",--($F64&lt;INDEX(Tasks[Start Date],AG64)),0)))),0),IF(AH64&gt;0,IF($I64="FS",--($E64&lt;INDEX(Tasks[End Date],AH64)+IF(INDEX(Tasks[Milestone],AH64)="Yes",0,1)),IF($I64="SS",--($E64&lt;INDEX(Tasks[Start Date],AH64)),IF($I64="FF",--($F64&lt;INDEX(Tasks[End Date],AH64)),IF($I64="SF",--($F64&lt;INDEX(Tasks[Start Date],AH64)),0)))),0),IF(AI64&gt;0,IF($I64="FS",--($E64&lt;INDEX(Tasks[End Date],AI64)+IF(INDEX(Tasks[Milestone],AI64)="Yes",0,1)),IF($I64="SS",--($E64&lt;INDEX(Tasks[Start Date],AI64)),IF($I64="FF",--($F64&lt;INDEX(Tasks[End Date],AI64)),IF($I64="SF",--($F64&lt;INDEX(Tasks[Start Date],AI64)),0)))),0),IF(AJ64&gt;0,IF($I64="FS",--($E64&lt;INDEX(Tasks[End Date],AJ64)+IF(INDEX(Tasks[Milestone],AJ64)="Yes",0,1)),IF($I64="SS",--($E64&lt;INDEX(Tasks[Start Date],AJ64)),IF($I64="FF",--($F64&lt;INDEX(Tasks[End Date],AJ64)),IF($I64="SF",--($F64&lt;INDEX(Tasks[Start Date],AJ64)),0)))),0)))</ns0:f>
        <ns0:v>0</ns0:v>
      </ns0:c>
      <ns0:c r="AM64" t="n">
        <ns0:f>IF(AND(A64&lt;&gt;"",AK64=0,EP64=0),1,0)</ns0:f>
        <ns0:v>0</ns0:v>
      </ns0:c>
      <ns0:c r="AN64" t="str">
        <ns0:f>IF(OR(A64="",B64=""),"",IF(COUNTIFS($B$7:B64,B64)=1,MAX($AN$6:AN63)+1,""))</ns0:f>
      </ns0:c>
      <ns0:c r="AO64" t="n">
        <ns0:f>IF(AND(A64&lt;&gt;"",J64="No",N64&lt;1,E64&gt;=AsOfDate),E64+ROW()/10000,1E+9)</ns0:f>
        <ns0:v>1000000000</ns0:v>
      </ns0:c>
      <ns0:c r="AP64" t="n">
        <ns0:f>IF(AND(A64&lt;&gt;"",J64="Yes",N64&lt;1,E64&gt;=AsOfDate),E64+ROW()/10000,1E+9)</ns0:f>
        <ns0:v>1000000000</ns0:v>
      </ns0:c>
      <ns0:c r="AQ64" t="n">
        <ns0:f>IF(AND(A64&lt;&gt;"",J64="No",N64&lt;1,F64&gt;=AsOfDate,F64&lt;=AsOfDate+7),F64+ROW()/10000,1E+9)</ns0:f>
        <ns0:v>1000000000</ns0:v>
      </ns0:c>
      <ns0:c r="AR64" t="n">
        <ns0:f>IF(AND(A64&lt;&gt;"",OR(O64&lt;&gt;"On track",Q64="Delayed")),ROW(),1E+9)</ns0:f>
        <ns0:v>1000000000</ns0:v>
      </ns0:c>
      <ns0:c r="AS64" t="str">
        <ns0:f>IF(A64="","",";"&amp;K64&amp;";")</ns0:f>
      </ns0:c>
      <ns0:c r="AT64" t="n">
        <ns0:f>IF(A64="",1,--(T64=0))</ns0:f>
        <ns0:v>1</ns0:v>
      </ns0:c>
      <ns0:c r="AU64" t="n">
        <ns0:f>IF($A64="",1,IF(AT64=1,1,--AND(IF($AC64&gt;0,INDEX(AT$7:AT$106,$AC64),1),IF($AD64&gt;0,INDEX(AT$7:AT$106,$AD64),1),IF($AE64&gt;0,INDEX(AT$7:AT$106,$AE64),1),IF($AF64&gt;0,INDEX(AT$7:AT$106,$AF64),1),IF($AG64&gt;0,INDEX(AT$7:AT$106,$AG64),1),IF($AH64&gt;0,INDEX(AT$7:AT$106,$AH64),1),IF($AI64&gt;0,INDEX(AT$7:AT$106,$AI64),1),IF($AJ64&gt;0,INDEX(AT$7:AT$106,$AJ64),1))))</ns0:f>
        <ns0:v>1</ns0:v>
      </ns0:c>
      <ns0:c r="AV64" t="n">
        <ns0:f>IF($A64="",1,IF(AU64=1,1,--AND(IF($AC64&gt;0,INDEX(AU$7:AU$106,$AC64),1),IF($AD64&gt;0,INDEX(AU$7:AU$106,$AD64),1),IF($AE64&gt;0,INDEX(AU$7:AU$106,$AE64),1),IF($AF64&gt;0,INDEX(AU$7:AU$106,$AF64),1),IF($AG64&gt;0,INDEX(AU$7:AU$106,$AG64),1),IF($AH64&gt;0,INDEX(AU$7:AU$106,$AH64),1),IF($AI64&gt;0,INDEX(AU$7:AU$106,$AI64),1),IF($AJ64&gt;0,INDEX(AU$7:AU$106,$AJ64),1))))</ns0:f>
        <ns0:v>1</ns0:v>
      </ns0:c>
      <ns0:c r="AW64" t="n">
        <ns0:f>IF($A64="",1,IF(AV64=1,1,--AND(IF($AC64&gt;0,INDEX(AV$7:AV$106,$AC64),1),IF($AD64&gt;0,INDEX(AV$7:AV$106,$AD64),1),IF($AE64&gt;0,INDEX(AV$7:AV$106,$AE64),1),IF($AF64&gt;0,INDEX(AV$7:AV$106,$AF64),1),IF($AG64&gt;0,INDEX(AV$7:AV$106,$AG64),1),IF($AH64&gt;0,INDEX(AV$7:AV$106,$AH64),1),IF($AI64&gt;0,INDEX(AV$7:AV$106,$AI64),1),IF($AJ64&gt;0,INDEX(AV$7:AV$106,$AJ64),1))))</ns0:f>
        <ns0:v>1</ns0:v>
      </ns0:c>
      <ns0:c r="AX64" t="n">
        <ns0:f>IF($A64="",1,IF(AW64=1,1,--AND(IF($AC64&gt;0,INDEX(AW$7:AW$106,$AC64),1),IF($AD64&gt;0,INDEX(AW$7:AW$106,$AD64),1),IF($AE64&gt;0,INDEX(AW$7:AW$106,$AE64),1),IF($AF64&gt;0,INDEX(AW$7:AW$106,$AF64),1),IF($AG64&gt;0,INDEX(AW$7:AW$106,$AG64),1),IF($AH64&gt;0,INDEX(AW$7:AW$106,$AH64),1),IF($AI64&gt;0,INDEX(AW$7:AW$106,$AI64),1),IF($AJ64&gt;0,INDEX(AW$7:AW$106,$AJ64),1))))</ns0:f>
        <ns0:v>1</ns0:v>
      </ns0:c>
      <ns0:c r="AY64" t="n">
        <ns0:f>IF($A64="",1,IF(AX64=1,1,--AND(IF($AC64&gt;0,INDEX(AX$7:AX$106,$AC64),1),IF($AD64&gt;0,INDEX(AX$7:AX$106,$AD64),1),IF($AE64&gt;0,INDEX(AX$7:AX$106,$AE64),1),IF($AF64&gt;0,INDEX(AX$7:AX$106,$AF64),1),IF($AG64&gt;0,INDEX(AX$7:AX$106,$AG64),1),IF($AH64&gt;0,INDEX(AX$7:AX$106,$AH64),1),IF($AI64&gt;0,INDEX(AX$7:AX$106,$AI64),1),IF($AJ64&gt;0,INDEX(AX$7:AX$106,$AJ64),1))))</ns0:f>
        <ns0:v>1</ns0:v>
      </ns0:c>
      <ns0:c r="AZ64" t="n">
        <ns0:f>IF($A64="",1,IF(AY64=1,1,--AND(IF($AC64&gt;0,INDEX(AY$7:AY$106,$AC64),1),IF($AD64&gt;0,INDEX(AY$7:AY$106,$AD64),1),IF($AE64&gt;0,INDEX(AY$7:AY$106,$AE64),1),IF($AF64&gt;0,INDEX(AY$7:AY$106,$AF64),1),IF($AG64&gt;0,INDEX(AY$7:AY$106,$AG64),1),IF($AH64&gt;0,INDEX(AY$7:AY$106,$AH64),1),IF($AI64&gt;0,INDEX(AY$7:AY$106,$AI64),1),IF($AJ64&gt;0,INDEX(AY$7:AY$106,$AJ64),1))))</ns0:f>
        <ns0:v>1</ns0:v>
      </ns0:c>
      <ns0:c r="BA64" t="n">
        <ns0:f>IF($A64="",1,IF(AZ64=1,1,--AND(IF($AC64&gt;0,INDEX(AZ$7:AZ$106,$AC64),1),IF($AD64&gt;0,INDEX(AZ$7:AZ$106,$AD64),1),IF($AE64&gt;0,INDEX(AZ$7:AZ$106,$AE64),1),IF($AF64&gt;0,INDEX(AZ$7:AZ$106,$AF64),1),IF($AG64&gt;0,INDEX(AZ$7:AZ$106,$AG64),1),IF($AH64&gt;0,INDEX(AZ$7:AZ$106,$AH64),1),IF($AI64&gt;0,INDEX(AZ$7:AZ$106,$AI64),1),IF($AJ64&gt;0,INDEX(AZ$7:AZ$106,$AJ64),1))))</ns0:f>
        <ns0:v>1</ns0:v>
      </ns0:c>
      <ns0:c r="BB64" t="n">
        <ns0:f>IF($A64="",1,IF(BA64=1,1,--AND(IF($AC64&gt;0,INDEX(BA$7:BA$106,$AC64),1),IF($AD64&gt;0,INDEX(BA$7:BA$106,$AD64),1),IF($AE64&gt;0,INDEX(BA$7:BA$106,$AE64),1),IF($AF64&gt;0,INDEX(BA$7:BA$106,$AF64),1),IF($AG64&gt;0,INDEX(BA$7:BA$106,$AG64),1),IF($AH64&gt;0,INDEX(BA$7:BA$106,$AH64),1),IF($AI64&gt;0,INDEX(BA$7:BA$106,$AI64),1),IF($AJ64&gt;0,INDEX(BA$7:BA$106,$AJ64),1))))</ns0:f>
        <ns0:v>1</ns0:v>
      </ns0:c>
      <ns0:c r="BC64" t="n">
        <ns0:f>IF($A64="",1,IF(BB64=1,1,--AND(IF($AC64&gt;0,INDEX(BB$7:BB$106,$AC64),1),IF($AD64&gt;0,INDEX(BB$7:BB$106,$AD64),1),IF($AE64&gt;0,INDEX(BB$7:BB$106,$AE64),1),IF($AF64&gt;0,INDEX(BB$7:BB$106,$AF64),1),IF($AG64&gt;0,INDEX(BB$7:BB$106,$AG64),1),IF($AH64&gt;0,INDEX(BB$7:BB$106,$AH64),1),IF($AI64&gt;0,INDEX(BB$7:BB$106,$AI64),1),IF($AJ64&gt;0,INDEX(BB$7:BB$106,$AJ64),1))))</ns0:f>
        <ns0:v>1</ns0:v>
      </ns0:c>
      <ns0:c r="BD64" t="n">
        <ns0:f>IF($A64="",1,IF(BC64=1,1,--AND(IF($AC64&gt;0,INDEX(BC$7:BC$106,$AC64),1),IF($AD64&gt;0,INDEX(BC$7:BC$106,$AD64),1),IF($AE64&gt;0,INDEX(BC$7:BC$106,$AE64),1),IF($AF64&gt;0,INDEX(BC$7:BC$106,$AF64),1),IF($AG64&gt;0,INDEX(BC$7:BC$106,$AG64),1),IF($AH64&gt;0,INDEX(BC$7:BC$106,$AH64),1),IF($AI64&gt;0,INDEX(BC$7:BC$106,$AI64),1),IF($AJ64&gt;0,INDEX(BC$7:BC$106,$AJ64),1))))</ns0:f>
        <ns0:v>1</ns0:v>
      </ns0:c>
      <ns0:c r="BE64" t="n">
        <ns0:f>IF($A64="",1,IF(BD64=1,1,--AND(IF($AC64&gt;0,INDEX(BD$7:BD$106,$AC64),1),IF($AD64&gt;0,INDEX(BD$7:BD$106,$AD64),1),IF($AE64&gt;0,INDEX(BD$7:BD$106,$AE64),1),IF($AF64&gt;0,INDEX(BD$7:BD$106,$AF64),1),IF($AG64&gt;0,INDEX(BD$7:BD$106,$AG64),1),IF($AH64&gt;0,INDEX(BD$7:BD$106,$AH64),1),IF($AI64&gt;0,INDEX(BD$7:BD$106,$AI64),1),IF($AJ64&gt;0,INDEX(BD$7:BD$106,$AJ64),1))))</ns0:f>
        <ns0:v>1</ns0:v>
      </ns0:c>
      <ns0:c r="BF64" t="n">
        <ns0:f>IF($A64="",1,IF(BE64=1,1,--AND(IF($AC64&gt;0,INDEX(BE$7:BE$106,$AC64),1),IF($AD64&gt;0,INDEX(BE$7:BE$106,$AD64),1),IF($AE64&gt;0,INDEX(BE$7:BE$106,$AE64),1),IF($AF64&gt;0,INDEX(BE$7:BE$106,$AF64),1),IF($AG64&gt;0,INDEX(BE$7:BE$106,$AG64),1),IF($AH64&gt;0,INDEX(BE$7:BE$106,$AH64),1),IF($AI64&gt;0,INDEX(BE$7:BE$106,$AI64),1),IF($AJ64&gt;0,INDEX(BE$7:BE$106,$AJ64),1))))</ns0:f>
        <ns0:v>1</ns0:v>
      </ns0:c>
      <ns0:c r="BG64" t="n">
        <ns0:f>IF($A64="",1,IF(BF64=1,1,--AND(IF($AC64&gt;0,INDEX(BF$7:BF$106,$AC64),1),IF($AD64&gt;0,INDEX(BF$7:BF$106,$AD64),1),IF($AE64&gt;0,INDEX(BF$7:BF$106,$AE64),1),IF($AF64&gt;0,INDEX(BF$7:BF$106,$AF64),1),IF($AG64&gt;0,INDEX(BF$7:BF$106,$AG64),1),IF($AH64&gt;0,INDEX(BF$7:BF$106,$AH64),1),IF($AI64&gt;0,INDEX(BF$7:BF$106,$AI64),1),IF($AJ64&gt;0,INDEX(BF$7:BF$106,$AJ64),1))))</ns0:f>
        <ns0:v>1</ns0:v>
      </ns0:c>
      <ns0:c r="BH64" t="n">
        <ns0:f>IF($A64="",1,IF(BG64=1,1,--AND(IF($AC64&gt;0,INDEX(BG$7:BG$106,$AC64),1),IF($AD64&gt;0,INDEX(BG$7:BG$106,$AD64),1),IF($AE64&gt;0,INDEX(BG$7:BG$106,$AE64),1),IF($AF64&gt;0,INDEX(BG$7:BG$106,$AF64),1),IF($AG64&gt;0,INDEX(BG$7:BG$106,$AG64),1),IF($AH64&gt;0,INDEX(BG$7:BG$106,$AH64),1),IF($AI64&gt;0,INDEX(BG$7:BG$106,$AI64),1),IF($AJ64&gt;0,INDEX(BG$7:BG$106,$AJ64),1))))</ns0:f>
        <ns0:v>1</ns0:v>
      </ns0:c>
      <ns0:c r="BI64" t="n">
        <ns0:f>IF($A64="",1,IF(BH64=1,1,--AND(IF($AC64&gt;0,INDEX(BH$7:BH$106,$AC64),1),IF($AD64&gt;0,INDEX(BH$7:BH$106,$AD64),1),IF($AE64&gt;0,INDEX(BH$7:BH$106,$AE64),1),IF($AF64&gt;0,INDEX(BH$7:BH$106,$AF64),1),IF($AG64&gt;0,INDEX(BH$7:BH$106,$AG64),1),IF($AH64&gt;0,INDEX(BH$7:BH$106,$AH64),1),IF($AI64&gt;0,INDEX(BH$7:BH$106,$AI64),1),IF($AJ64&gt;0,INDEX(BH$7:BH$106,$AJ64),1))))</ns0:f>
        <ns0:v>1</ns0:v>
      </ns0:c>
      <ns0:c r="BJ64" t="n">
        <ns0:f>IF($A64="",1,IF(BI64=1,1,--AND(IF($AC64&gt;0,INDEX(BI$7:BI$106,$AC64),1),IF($AD64&gt;0,INDEX(BI$7:BI$106,$AD64),1),IF($AE64&gt;0,INDEX(BI$7:BI$106,$AE64),1),IF($AF64&gt;0,INDEX(BI$7:BI$106,$AF64),1),IF($AG64&gt;0,INDEX(BI$7:BI$106,$AG64),1),IF($AH64&gt;0,INDEX(BI$7:BI$106,$AH64),1),IF($AI64&gt;0,INDEX(BI$7:BI$106,$AI64),1),IF($AJ64&gt;0,INDEX(BI$7:BI$106,$AJ64),1))))</ns0:f>
        <ns0:v>1</ns0:v>
      </ns0:c>
      <ns0:c r="BK64" t="n">
        <ns0:f>IF($A64="",1,IF(BJ64=1,1,--AND(IF($AC64&gt;0,INDEX(BJ$7:BJ$106,$AC64),1),IF($AD64&gt;0,INDEX(BJ$7:BJ$106,$AD64),1),IF($AE64&gt;0,INDEX(BJ$7:BJ$106,$AE64),1),IF($AF64&gt;0,INDEX(BJ$7:BJ$106,$AF64),1),IF($AG64&gt;0,INDEX(BJ$7:BJ$106,$AG64),1),IF($AH64&gt;0,INDEX(BJ$7:BJ$106,$AH64),1),IF($AI64&gt;0,INDEX(BJ$7:BJ$106,$AI64),1),IF($AJ64&gt;0,INDEX(BJ$7:BJ$106,$AJ64),1))))</ns0:f>
        <ns0:v>1</ns0:v>
      </ns0:c>
      <ns0:c r="BL64" t="n">
        <ns0:f>IF($A64="",1,IF(BK64=1,1,--AND(IF($AC64&gt;0,INDEX(BK$7:BK$106,$AC64),1),IF($AD64&gt;0,INDEX(BK$7:BK$106,$AD64),1),IF($AE64&gt;0,INDEX(BK$7:BK$106,$AE64),1),IF($AF64&gt;0,INDEX(BK$7:BK$106,$AF64),1),IF($AG64&gt;0,INDEX(BK$7:BK$106,$AG64),1),IF($AH64&gt;0,INDEX(BK$7:BK$106,$AH64),1),IF($AI64&gt;0,INDEX(BK$7:BK$106,$AI64),1),IF($AJ64&gt;0,INDEX(BK$7:BK$106,$AJ64),1))))</ns0:f>
        <ns0:v>1</ns0:v>
      </ns0:c>
      <ns0:c r="BM64" t="n">
        <ns0:f>IF($A64="",1,IF(BL64=1,1,--AND(IF($AC64&gt;0,INDEX(BL$7:BL$106,$AC64),1),IF($AD64&gt;0,INDEX(BL$7:BL$106,$AD64),1),IF($AE64&gt;0,INDEX(BL$7:BL$106,$AE64),1),IF($AF64&gt;0,INDEX(BL$7:BL$106,$AF64),1),IF($AG64&gt;0,INDEX(BL$7:BL$106,$AG64),1),IF($AH64&gt;0,INDEX(BL$7:BL$106,$AH64),1),IF($AI64&gt;0,INDEX(BL$7:BL$106,$AI64),1),IF($AJ64&gt;0,INDEX(BL$7:BL$106,$AJ64),1))))</ns0:f>
        <ns0:v>1</ns0:v>
      </ns0:c>
      <ns0:c r="BN64" t="n">
        <ns0:f>IF($A64="",1,IF(BM64=1,1,--AND(IF($AC64&gt;0,INDEX(BM$7:BM$106,$AC64),1),IF($AD64&gt;0,INDEX(BM$7:BM$106,$AD64),1),IF($AE64&gt;0,INDEX(BM$7:BM$106,$AE64),1),IF($AF64&gt;0,INDEX(BM$7:BM$106,$AF64),1),IF($AG64&gt;0,INDEX(BM$7:BM$106,$AG64),1),IF($AH64&gt;0,INDEX(BM$7:BM$106,$AH64),1),IF($AI64&gt;0,INDEX(BM$7:BM$106,$AI64),1),IF($AJ64&gt;0,INDEX(BM$7:BM$106,$AJ64),1))))</ns0:f>
        <ns0:v>1</ns0:v>
      </ns0:c>
      <ns0:c r="BO64" t="n">
        <ns0:f>IF($A64="",1,IF(BN64=1,1,--AND(IF($AC64&gt;0,INDEX(BN$7:BN$106,$AC64),1),IF($AD64&gt;0,INDEX(BN$7:BN$106,$AD64),1),IF($AE64&gt;0,INDEX(BN$7:BN$106,$AE64),1),IF($AF64&gt;0,INDEX(BN$7:BN$106,$AF64),1),IF($AG64&gt;0,INDEX(BN$7:BN$106,$AG64),1),IF($AH64&gt;0,INDEX(BN$7:BN$106,$AH64),1),IF($AI64&gt;0,INDEX(BN$7:BN$106,$AI64),1),IF($AJ64&gt;0,INDEX(BN$7:BN$106,$AJ64),1))))</ns0:f>
        <ns0:v>1</ns0:v>
      </ns0:c>
      <ns0:c r="BP64" t="n">
        <ns0:f>IF($A64="",1,IF(BO64=1,1,--AND(IF($AC64&gt;0,INDEX(BO$7:BO$106,$AC64),1),IF($AD64&gt;0,INDEX(BO$7:BO$106,$AD64),1),IF($AE64&gt;0,INDEX(BO$7:BO$106,$AE64),1),IF($AF64&gt;0,INDEX(BO$7:BO$106,$AF64),1),IF($AG64&gt;0,INDEX(BO$7:BO$106,$AG64),1),IF($AH64&gt;0,INDEX(BO$7:BO$106,$AH64),1),IF($AI64&gt;0,INDEX(BO$7:BO$106,$AI64),1),IF($AJ64&gt;0,INDEX(BO$7:BO$106,$AJ64),1))))</ns0:f>
        <ns0:v>1</ns0:v>
      </ns0:c>
      <ns0:c r="BQ64" t="n">
        <ns0:f>IF($A64="",1,IF(BP64=1,1,--AND(IF($AC64&gt;0,INDEX(BP$7:BP$106,$AC64),1),IF($AD64&gt;0,INDEX(BP$7:BP$106,$AD64),1),IF($AE64&gt;0,INDEX(BP$7:BP$106,$AE64),1),IF($AF64&gt;0,INDEX(BP$7:BP$106,$AF64),1),IF($AG64&gt;0,INDEX(BP$7:BP$106,$AG64),1),IF($AH64&gt;0,INDEX(BP$7:BP$106,$AH64),1),IF($AI64&gt;0,INDEX(BP$7:BP$106,$AI64),1),IF($AJ64&gt;0,INDEX(BP$7:BP$106,$AJ64),1))))</ns0:f>
        <ns0:v>1</ns0:v>
      </ns0:c>
      <ns0:c r="BR64" t="n">
        <ns0:f>IF($A64="",1,IF(BQ64=1,1,--AND(IF($AC64&gt;0,INDEX(BQ$7:BQ$106,$AC64),1),IF($AD64&gt;0,INDEX(BQ$7:BQ$106,$AD64),1),IF($AE64&gt;0,INDEX(BQ$7:BQ$106,$AE64),1),IF($AF64&gt;0,INDEX(BQ$7:BQ$106,$AF64),1),IF($AG64&gt;0,INDEX(BQ$7:BQ$106,$AG64),1),IF($AH64&gt;0,INDEX(BQ$7:BQ$106,$AH64),1),IF($AI64&gt;0,INDEX(BQ$7:BQ$106,$AI64),1),IF($AJ64&gt;0,INDEX(BQ$7:BQ$106,$AJ64),1))))</ns0:f>
        <ns0:v>1</ns0:v>
      </ns0:c>
      <ns0:c r="BS64" t="n">
        <ns0:f>IF($A64="",1,IF(BR64=1,1,--AND(IF($AC64&gt;0,INDEX(BR$7:BR$106,$AC64),1),IF($AD64&gt;0,INDEX(BR$7:BR$106,$AD64),1),IF($AE64&gt;0,INDEX(BR$7:BR$106,$AE64),1),IF($AF64&gt;0,INDEX(BR$7:BR$106,$AF64),1),IF($AG64&gt;0,INDEX(BR$7:BR$106,$AG64),1),IF($AH64&gt;0,INDEX(BR$7:BR$106,$AH64),1),IF($AI64&gt;0,INDEX(BR$7:BR$106,$AI64),1),IF($AJ64&gt;0,INDEX(BR$7:BR$106,$AJ64),1))))</ns0:f>
        <ns0:v>1</ns0:v>
      </ns0:c>
      <ns0:c r="BT64" t="n">
        <ns0:f>IF($A64="",1,IF(BS64=1,1,--AND(IF($AC64&gt;0,INDEX(BS$7:BS$106,$AC64),1),IF($AD64&gt;0,INDEX(BS$7:BS$106,$AD64),1),IF($AE64&gt;0,INDEX(BS$7:BS$106,$AE64),1),IF($AF64&gt;0,INDEX(BS$7:BS$106,$AF64),1),IF($AG64&gt;0,INDEX(BS$7:BS$106,$AG64),1),IF($AH64&gt;0,INDEX(BS$7:BS$106,$AH64),1),IF($AI64&gt;0,INDEX(BS$7:BS$106,$AI64),1),IF($AJ64&gt;0,INDEX(BS$7:BS$106,$AJ64),1))))</ns0:f>
        <ns0:v>1</ns0:v>
      </ns0:c>
      <ns0:c r="BU64" t="n">
        <ns0:f>IF($A64="",1,IF(BT64=1,1,--AND(IF($AC64&gt;0,INDEX(BT$7:BT$106,$AC64),1),IF($AD64&gt;0,INDEX(BT$7:BT$106,$AD64),1),IF($AE64&gt;0,INDEX(BT$7:BT$106,$AE64),1),IF($AF64&gt;0,INDEX(BT$7:BT$106,$AF64),1),IF($AG64&gt;0,INDEX(BT$7:BT$106,$AG64),1),IF($AH64&gt;0,INDEX(BT$7:BT$106,$AH64),1),IF($AI64&gt;0,INDEX(BT$7:BT$106,$AI64),1),IF($AJ64&gt;0,INDEX(BT$7:BT$106,$AJ64),1))))</ns0:f>
        <ns0:v>1</ns0:v>
      </ns0:c>
      <ns0:c r="BV64" t="n">
        <ns0:f>IF($A64="",1,IF(BU64=1,1,--AND(IF($AC64&gt;0,INDEX(BU$7:BU$106,$AC64),1),IF($AD64&gt;0,INDEX(BU$7:BU$106,$AD64),1),IF($AE64&gt;0,INDEX(BU$7:BU$106,$AE64),1),IF($AF64&gt;0,INDEX(BU$7:BU$106,$AF64),1),IF($AG64&gt;0,INDEX(BU$7:BU$106,$AG64),1),IF($AH64&gt;0,INDEX(BU$7:BU$106,$AH64),1),IF($AI64&gt;0,INDEX(BU$7:BU$106,$AI64),1),IF($AJ64&gt;0,INDEX(BU$7:BU$106,$AJ64),1))))</ns0:f>
        <ns0:v>1</ns0:v>
      </ns0:c>
      <ns0:c r="BW64" t="n">
        <ns0:f>IF($A64="",1,IF(BV64=1,1,--AND(IF($AC64&gt;0,INDEX(BV$7:BV$106,$AC64),1),IF($AD64&gt;0,INDEX(BV$7:BV$106,$AD64),1),IF($AE64&gt;0,INDEX(BV$7:BV$106,$AE64),1),IF($AF64&gt;0,INDEX(BV$7:BV$106,$AF64),1),IF($AG64&gt;0,INDEX(BV$7:BV$106,$AG64),1),IF($AH64&gt;0,INDEX(BV$7:BV$106,$AH64),1),IF($AI64&gt;0,INDEX(BV$7:BV$106,$AI64),1),IF($AJ64&gt;0,INDEX(BV$7:BV$106,$AJ64),1))))</ns0:f>
        <ns0:v>1</ns0:v>
      </ns0:c>
      <ns0:c r="BX64" t="n">
        <ns0:f>IF($A64="",1,IF(BW64=1,1,--AND(IF($AC64&gt;0,INDEX(BW$7:BW$106,$AC64),1),IF($AD64&gt;0,INDEX(BW$7:BW$106,$AD64),1),IF($AE64&gt;0,INDEX(BW$7:BW$106,$AE64),1),IF($AF64&gt;0,INDEX(BW$7:BW$106,$AF64),1),IF($AG64&gt;0,INDEX(BW$7:BW$106,$AG64),1),IF($AH64&gt;0,INDEX(BW$7:BW$106,$AH64),1),IF($AI64&gt;0,INDEX(BW$7:BW$106,$AI64),1),IF($AJ64&gt;0,INDEX(BW$7:BW$106,$AJ64),1))))</ns0:f>
        <ns0:v>1</ns0:v>
      </ns0:c>
      <ns0:c r="BY64" t="n">
        <ns0:f>IF($A64="",1,IF(BX64=1,1,--AND(IF($AC64&gt;0,INDEX(BX$7:BX$106,$AC64),1),IF($AD64&gt;0,INDEX(BX$7:BX$106,$AD64),1),IF($AE64&gt;0,INDEX(BX$7:BX$106,$AE64),1),IF($AF64&gt;0,INDEX(BX$7:BX$106,$AF64),1),IF($AG64&gt;0,INDEX(BX$7:BX$106,$AG64),1),IF($AH64&gt;0,INDEX(BX$7:BX$106,$AH64),1),IF($AI64&gt;0,INDEX(BX$7:BX$106,$AI64),1),IF($AJ64&gt;0,INDEX(BX$7:BX$106,$AJ64),1))))</ns0:f>
        <ns0:v>1</ns0:v>
      </ns0:c>
      <ns0:c r="BZ64" t="n">
        <ns0:f>IF($A64="",1,IF(BY64=1,1,--AND(IF($AC64&gt;0,INDEX(BY$7:BY$106,$AC64),1),IF($AD64&gt;0,INDEX(BY$7:BY$106,$AD64),1),IF($AE64&gt;0,INDEX(BY$7:BY$106,$AE64),1),IF($AF64&gt;0,INDEX(BY$7:BY$106,$AF64),1),IF($AG64&gt;0,INDEX(BY$7:BY$106,$AG64),1),IF($AH64&gt;0,INDEX(BY$7:BY$106,$AH64),1),IF($AI64&gt;0,INDEX(BY$7:BY$106,$AI64),1),IF($AJ64&gt;0,INDEX(BY$7:BY$106,$AJ64),1))))</ns0:f>
        <ns0:v>1</ns0:v>
      </ns0:c>
      <ns0:c r="CA64" t="n">
        <ns0:f>IF($A64="",1,IF(BZ64=1,1,--AND(IF($AC64&gt;0,INDEX(BZ$7:BZ$106,$AC64),1),IF($AD64&gt;0,INDEX(BZ$7:BZ$106,$AD64),1),IF($AE64&gt;0,INDEX(BZ$7:BZ$106,$AE64),1),IF($AF64&gt;0,INDEX(BZ$7:BZ$106,$AF64),1),IF($AG64&gt;0,INDEX(BZ$7:BZ$106,$AG64),1),IF($AH64&gt;0,INDEX(BZ$7:BZ$106,$AH64),1),IF($AI64&gt;0,INDEX(BZ$7:BZ$106,$AI64),1),IF($AJ64&gt;0,INDEX(BZ$7:BZ$106,$AJ64),1))))</ns0:f>
        <ns0:v>1</ns0:v>
      </ns0:c>
      <ns0:c r="CB64" t="n">
        <ns0:f>IF($A64="",1,IF(CA64=1,1,--AND(IF($AC64&gt;0,INDEX(CA$7:CA$106,$AC64),1),IF($AD64&gt;0,INDEX(CA$7:CA$106,$AD64),1),IF($AE64&gt;0,INDEX(CA$7:CA$106,$AE64),1),IF($AF64&gt;0,INDEX(CA$7:CA$106,$AF64),1),IF($AG64&gt;0,INDEX(CA$7:CA$106,$AG64),1),IF($AH64&gt;0,INDEX(CA$7:CA$106,$AH64),1),IF($AI64&gt;0,INDEX(CA$7:CA$106,$AI64),1),IF($AJ64&gt;0,INDEX(CA$7:CA$106,$AJ64),1))))</ns0:f>
        <ns0:v>1</ns0:v>
      </ns0:c>
      <ns0:c r="CC64" t="n">
        <ns0:f>IF($A64="",1,IF(CB64=1,1,--AND(IF($AC64&gt;0,INDEX(CB$7:CB$106,$AC64),1),IF($AD64&gt;0,INDEX(CB$7:CB$106,$AD64),1),IF($AE64&gt;0,INDEX(CB$7:CB$106,$AE64),1),IF($AF64&gt;0,INDEX(CB$7:CB$106,$AF64),1),IF($AG64&gt;0,INDEX(CB$7:CB$106,$AG64),1),IF($AH64&gt;0,INDEX(CB$7:CB$106,$AH64),1),IF($AI64&gt;0,INDEX(CB$7:CB$106,$AI64),1),IF($AJ64&gt;0,INDEX(CB$7:CB$106,$AJ64),1))))</ns0:f>
        <ns0:v>1</ns0:v>
      </ns0:c>
      <ns0:c r="CD64" t="n">
        <ns0:f>IF($A64="",1,IF(CC64=1,1,--AND(IF($AC64&gt;0,INDEX(CC$7:CC$106,$AC64),1),IF($AD64&gt;0,INDEX(CC$7:CC$106,$AD64),1),IF($AE64&gt;0,INDEX(CC$7:CC$106,$AE64),1),IF($AF64&gt;0,INDEX(CC$7:CC$106,$AF64),1),IF($AG64&gt;0,INDEX(CC$7:CC$106,$AG64),1),IF($AH64&gt;0,INDEX(CC$7:CC$106,$AH64),1),IF($AI64&gt;0,INDEX(CC$7:CC$106,$AI64),1),IF($AJ64&gt;0,INDEX(CC$7:CC$106,$AJ64),1))))</ns0:f>
        <ns0:v>1</ns0:v>
      </ns0:c>
      <ns0:c r="CE64" t="n">
        <ns0:f>IF($A64="",1,IF(CD64=1,1,--AND(IF($AC64&gt;0,INDEX(CD$7:CD$106,$AC64),1),IF($AD64&gt;0,INDEX(CD$7:CD$106,$AD64),1),IF($AE64&gt;0,INDEX(CD$7:CD$106,$AE64),1),IF($AF64&gt;0,INDEX(CD$7:CD$106,$AF64),1),IF($AG64&gt;0,INDEX(CD$7:CD$106,$AG64),1),IF($AH64&gt;0,INDEX(CD$7:CD$106,$AH64),1),IF($AI64&gt;0,INDEX(CD$7:CD$106,$AI64),1),IF($AJ64&gt;0,INDEX(CD$7:CD$106,$AJ64),1))))</ns0:f>
        <ns0:v>1</ns0:v>
      </ns0:c>
      <ns0:c r="CF64" t="n">
        <ns0:f>IF($A64="",1,IF(CE64=1,1,--AND(IF($AC64&gt;0,INDEX(CE$7:CE$106,$AC64),1),IF($AD64&gt;0,INDEX(CE$7:CE$106,$AD64),1),IF($AE64&gt;0,INDEX(CE$7:CE$106,$AE64),1),IF($AF64&gt;0,INDEX(CE$7:CE$106,$AF64),1),IF($AG64&gt;0,INDEX(CE$7:CE$106,$AG64),1),IF($AH64&gt;0,INDEX(CE$7:CE$106,$AH64),1),IF($AI64&gt;0,INDEX(CE$7:CE$106,$AI64),1),IF($AJ64&gt;0,INDEX(CE$7:CE$106,$AJ64),1))))</ns0:f>
        <ns0:v>1</ns0:v>
      </ns0:c>
      <ns0:c r="CG64" t="n">
        <ns0:f>IF($A64="",1,IF(CF64=1,1,--AND(IF($AC64&gt;0,INDEX(CF$7:CF$106,$AC64),1),IF($AD64&gt;0,INDEX(CF$7:CF$106,$AD64),1),IF($AE64&gt;0,INDEX(CF$7:CF$106,$AE64),1),IF($AF64&gt;0,INDEX(CF$7:CF$106,$AF64),1),IF($AG64&gt;0,INDEX(CF$7:CF$106,$AG64),1),IF($AH64&gt;0,INDEX(CF$7:CF$106,$AH64),1),IF($AI64&gt;0,INDEX(CF$7:CF$106,$AI64),1),IF($AJ64&gt;0,INDEX(CF$7:CF$106,$AJ64),1))))</ns0:f>
        <ns0:v>1</ns0:v>
      </ns0:c>
      <ns0:c r="CH64" t="n">
        <ns0:f>IF($A64="",1,IF(CG64=1,1,--AND(IF($AC64&gt;0,INDEX(CG$7:CG$106,$AC64),1),IF($AD64&gt;0,INDEX(CG$7:CG$106,$AD64),1),IF($AE64&gt;0,INDEX(CG$7:CG$106,$AE64),1),IF($AF64&gt;0,INDEX(CG$7:CG$106,$AF64),1),IF($AG64&gt;0,INDEX(CG$7:CG$106,$AG64),1),IF($AH64&gt;0,INDEX(CG$7:CG$106,$AH64),1),IF($AI64&gt;0,INDEX(CG$7:CG$106,$AI64),1),IF($AJ64&gt;0,INDEX(CG$7:CG$106,$AJ64),1))))</ns0:f>
        <ns0:v>1</ns0:v>
      </ns0:c>
      <ns0:c r="CI64" t="n">
        <ns0:f>IF($A64="",1,IF(CH64=1,1,--AND(IF($AC64&gt;0,INDEX(CH$7:CH$106,$AC64),1),IF($AD64&gt;0,INDEX(CH$7:CH$106,$AD64),1),IF($AE64&gt;0,INDEX(CH$7:CH$106,$AE64),1),IF($AF64&gt;0,INDEX(CH$7:CH$106,$AF64),1),IF($AG64&gt;0,INDEX(CH$7:CH$106,$AG64),1),IF($AH64&gt;0,INDEX(CH$7:CH$106,$AH64),1),IF($AI64&gt;0,INDEX(CH$7:CH$106,$AI64),1),IF($AJ64&gt;0,INDEX(CH$7:CH$106,$AJ64),1))))</ns0:f>
        <ns0:v>1</ns0:v>
      </ns0:c>
      <ns0:c r="CJ64" t="n">
        <ns0:f>IF($A64="",1,IF(CI64=1,1,--AND(IF($AC64&gt;0,INDEX(CI$7:CI$106,$AC64),1),IF($AD64&gt;0,INDEX(CI$7:CI$106,$AD64),1),IF($AE64&gt;0,INDEX(CI$7:CI$106,$AE64),1),IF($AF64&gt;0,INDEX(CI$7:CI$106,$AF64),1),IF($AG64&gt;0,INDEX(CI$7:CI$106,$AG64),1),IF($AH64&gt;0,INDEX(CI$7:CI$106,$AH64),1),IF($AI64&gt;0,INDEX(CI$7:CI$106,$AI64),1),IF($AJ64&gt;0,INDEX(CI$7:CI$106,$AJ64),1))))</ns0:f>
        <ns0:v>1</ns0:v>
      </ns0:c>
      <ns0:c r="CK64" t="n">
        <ns0:f>IF($A64="",1,IF(CJ64=1,1,--AND(IF($AC64&gt;0,INDEX(CJ$7:CJ$106,$AC64),1),IF($AD64&gt;0,INDEX(CJ$7:CJ$106,$AD64),1),IF($AE64&gt;0,INDEX(CJ$7:CJ$106,$AE64),1),IF($AF64&gt;0,INDEX(CJ$7:CJ$106,$AF64),1),IF($AG64&gt;0,INDEX(CJ$7:CJ$106,$AG64),1),IF($AH64&gt;0,INDEX(CJ$7:CJ$106,$AH64),1),IF($AI64&gt;0,INDEX(CJ$7:CJ$106,$AI64),1),IF($AJ64&gt;0,INDEX(CJ$7:CJ$106,$AJ64),1))))</ns0:f>
        <ns0:v>1</ns0:v>
      </ns0:c>
      <ns0:c r="CL64" t="n">
        <ns0:f>IF($A64="",1,IF(CK64=1,1,--AND(IF($AC64&gt;0,INDEX(CK$7:CK$106,$AC64),1),IF($AD64&gt;0,INDEX(CK$7:CK$106,$AD64),1),IF($AE64&gt;0,INDEX(CK$7:CK$106,$AE64),1),IF($AF64&gt;0,INDEX(CK$7:CK$106,$AF64),1),IF($AG64&gt;0,INDEX(CK$7:CK$106,$AG64),1),IF($AH64&gt;0,INDEX(CK$7:CK$106,$AH64),1),IF($AI64&gt;0,INDEX(CK$7:CK$106,$AI64),1),IF($AJ64&gt;0,INDEX(CK$7:CK$106,$AJ64),1))))</ns0:f>
        <ns0:v>1</ns0:v>
      </ns0:c>
      <ns0:c r="CM64" t="n">
        <ns0:f>IF($A64="",1,IF(CL64=1,1,--AND(IF($AC64&gt;0,INDEX(CL$7:CL$106,$AC64),1),IF($AD64&gt;0,INDEX(CL$7:CL$106,$AD64),1),IF($AE64&gt;0,INDEX(CL$7:CL$106,$AE64),1),IF($AF64&gt;0,INDEX(CL$7:CL$106,$AF64),1),IF($AG64&gt;0,INDEX(CL$7:CL$106,$AG64),1),IF($AH64&gt;0,INDEX(CL$7:CL$106,$AH64),1),IF($AI64&gt;0,INDEX(CL$7:CL$106,$AI64),1),IF($AJ64&gt;0,INDEX(CL$7:CL$106,$AJ64),1))))</ns0:f>
        <ns0:v>1</ns0:v>
      </ns0:c>
      <ns0:c r="CN64" t="n">
        <ns0:f>IF($A64="",1,IF(CM64=1,1,--AND(IF($AC64&gt;0,INDEX(CM$7:CM$106,$AC64),1),IF($AD64&gt;0,INDEX(CM$7:CM$106,$AD64),1),IF($AE64&gt;0,INDEX(CM$7:CM$106,$AE64),1),IF($AF64&gt;0,INDEX(CM$7:CM$106,$AF64),1),IF($AG64&gt;0,INDEX(CM$7:CM$106,$AG64),1),IF($AH64&gt;0,INDEX(CM$7:CM$106,$AH64),1),IF($AI64&gt;0,INDEX(CM$7:CM$106,$AI64),1),IF($AJ64&gt;0,INDEX(CM$7:CM$106,$AJ64),1))))</ns0:f>
        <ns0:v>1</ns0:v>
      </ns0:c>
      <ns0:c r="CO64" t="n">
        <ns0:f>IF($A64="",1,IF(CN64=1,1,--AND(IF($AC64&gt;0,INDEX(CN$7:CN$106,$AC64),1),IF($AD64&gt;0,INDEX(CN$7:CN$106,$AD64),1),IF($AE64&gt;0,INDEX(CN$7:CN$106,$AE64),1),IF($AF64&gt;0,INDEX(CN$7:CN$106,$AF64),1),IF($AG64&gt;0,INDEX(CN$7:CN$106,$AG64),1),IF($AH64&gt;0,INDEX(CN$7:CN$106,$AH64),1),IF($AI64&gt;0,INDEX(CN$7:CN$106,$AI64),1),IF($AJ64&gt;0,INDEX(CN$7:CN$106,$AJ64),1))))</ns0:f>
        <ns0:v>1</ns0:v>
      </ns0:c>
      <ns0:c r="CP64" t="n">
        <ns0:f>IF($A64="",1,IF(CO64=1,1,--AND(IF($AC64&gt;0,INDEX(CO$7:CO$106,$AC64),1),IF($AD64&gt;0,INDEX(CO$7:CO$106,$AD64),1),IF($AE64&gt;0,INDEX(CO$7:CO$106,$AE64),1),IF($AF64&gt;0,INDEX(CO$7:CO$106,$AF64),1),IF($AG64&gt;0,INDEX(CO$7:CO$106,$AG64),1),IF($AH64&gt;0,INDEX(CO$7:CO$106,$AH64),1),IF($AI64&gt;0,INDEX(CO$7:CO$106,$AI64),1),IF($AJ64&gt;0,INDEX(CO$7:CO$106,$AJ64),1))))</ns0:f>
        <ns0:v>1</ns0:v>
      </ns0:c>
      <ns0:c r="CQ64" t="n">
        <ns0:f>IF($A64="",1,IF(CP64=1,1,--AND(IF($AC64&gt;0,INDEX(CP$7:CP$106,$AC64),1),IF($AD64&gt;0,INDEX(CP$7:CP$106,$AD64),1),IF($AE64&gt;0,INDEX(CP$7:CP$106,$AE64),1),IF($AF64&gt;0,INDEX(CP$7:CP$106,$AF64),1),IF($AG64&gt;0,INDEX(CP$7:CP$106,$AG64),1),IF($AH64&gt;0,INDEX(CP$7:CP$106,$AH64),1),IF($AI64&gt;0,INDEX(CP$7:CP$106,$AI64),1),IF($AJ64&gt;0,INDEX(CP$7:CP$106,$AJ64),1))))</ns0:f>
        <ns0:v>1</ns0:v>
      </ns0:c>
      <ns0:c r="CR64" t="n">
        <ns0:f>IF($A64="",1,IF(CQ64=1,1,--AND(IF($AC64&gt;0,INDEX(CQ$7:CQ$106,$AC64),1),IF($AD64&gt;0,INDEX(CQ$7:CQ$106,$AD64),1),IF($AE64&gt;0,INDEX(CQ$7:CQ$106,$AE64),1),IF($AF64&gt;0,INDEX(CQ$7:CQ$106,$AF64),1),IF($AG64&gt;0,INDEX(CQ$7:CQ$106,$AG64),1),IF($AH64&gt;0,INDEX(CQ$7:CQ$106,$AH64),1),IF($AI64&gt;0,INDEX(CQ$7:CQ$106,$AI64),1),IF($AJ64&gt;0,INDEX(CQ$7:CQ$106,$AJ64),1))))</ns0:f>
        <ns0:v>1</ns0:v>
      </ns0:c>
      <ns0:c r="CS64" t="n">
        <ns0:f>IF($A64="",1,IF(CR64=1,1,--AND(IF($AC64&gt;0,INDEX(CR$7:CR$106,$AC64),1),IF($AD64&gt;0,INDEX(CR$7:CR$106,$AD64),1),IF($AE64&gt;0,INDEX(CR$7:CR$106,$AE64),1),IF($AF64&gt;0,INDEX(CR$7:CR$106,$AF64),1),IF($AG64&gt;0,INDEX(CR$7:CR$106,$AG64),1),IF($AH64&gt;0,INDEX(CR$7:CR$106,$AH64),1),IF($AI64&gt;0,INDEX(CR$7:CR$106,$AI64),1),IF($AJ64&gt;0,INDEX(CR$7:CR$106,$AJ64),1))))</ns0:f>
        <ns0:v>1</ns0:v>
      </ns0:c>
      <ns0:c r="CT64" t="n">
        <ns0:f>IF($A64="",1,IF(CS64=1,1,--AND(IF($AC64&gt;0,INDEX(CS$7:CS$106,$AC64),1),IF($AD64&gt;0,INDEX(CS$7:CS$106,$AD64),1),IF($AE64&gt;0,INDEX(CS$7:CS$106,$AE64),1),IF($AF64&gt;0,INDEX(CS$7:CS$106,$AF64),1),IF($AG64&gt;0,INDEX(CS$7:CS$106,$AG64),1),IF($AH64&gt;0,INDEX(CS$7:CS$106,$AH64),1),IF($AI64&gt;0,INDEX(CS$7:CS$106,$AI64),1),IF($AJ64&gt;0,INDEX(CS$7:CS$106,$AJ64),1))))</ns0:f>
        <ns0:v>1</ns0:v>
      </ns0:c>
      <ns0:c r="CU64" t="n">
        <ns0:f>IF($A64="",1,IF(CT64=1,1,--AND(IF($AC64&gt;0,INDEX(CT$7:CT$106,$AC64),1),IF($AD64&gt;0,INDEX(CT$7:CT$106,$AD64),1),IF($AE64&gt;0,INDEX(CT$7:CT$106,$AE64),1),IF($AF64&gt;0,INDEX(CT$7:CT$106,$AF64),1),IF($AG64&gt;0,INDEX(CT$7:CT$106,$AG64),1),IF($AH64&gt;0,INDEX(CT$7:CT$106,$AH64),1),IF($AI64&gt;0,INDEX(CT$7:CT$106,$AI64),1),IF($AJ64&gt;0,INDEX(CT$7:CT$106,$AJ64),1))))</ns0:f>
        <ns0:v>1</ns0:v>
      </ns0:c>
      <ns0:c r="CV64" t="n">
        <ns0:f>IF($A64="",1,IF(CU64=1,1,--AND(IF($AC64&gt;0,INDEX(CU$7:CU$106,$AC64),1),IF($AD64&gt;0,INDEX(CU$7:CU$106,$AD64),1),IF($AE64&gt;0,INDEX(CU$7:CU$106,$AE64),1),IF($AF64&gt;0,INDEX(CU$7:CU$106,$AF64),1),IF($AG64&gt;0,INDEX(CU$7:CU$106,$AG64),1),IF($AH64&gt;0,INDEX(CU$7:CU$106,$AH64),1),IF($AI64&gt;0,INDEX(CU$7:CU$106,$AI64),1),IF($AJ64&gt;0,INDEX(CU$7:CU$106,$AJ64),1))))</ns0:f>
        <ns0:v>1</ns0:v>
      </ns0:c>
      <ns0:c r="CW64" t="n">
        <ns0:f>IF($A64="",1,IF(CV64=1,1,--AND(IF($AC64&gt;0,INDEX(CV$7:CV$106,$AC64),1),IF($AD64&gt;0,INDEX(CV$7:CV$106,$AD64),1),IF($AE64&gt;0,INDEX(CV$7:CV$106,$AE64),1),IF($AF64&gt;0,INDEX(CV$7:CV$106,$AF64),1),IF($AG64&gt;0,INDEX(CV$7:CV$106,$AG64),1),IF($AH64&gt;0,INDEX(CV$7:CV$106,$AH64),1),IF($AI64&gt;0,INDEX(CV$7:CV$106,$AI64),1),IF($AJ64&gt;0,INDEX(CV$7:CV$106,$AJ64),1))))</ns0:f>
        <ns0:v>1</ns0:v>
      </ns0:c>
      <ns0:c r="CX64" t="n">
        <ns0:f>IF($A64="",1,IF(CW64=1,1,--AND(IF($AC64&gt;0,INDEX(CW$7:CW$106,$AC64),1),IF($AD64&gt;0,INDEX(CW$7:CW$106,$AD64),1),IF($AE64&gt;0,INDEX(CW$7:CW$106,$AE64),1),IF($AF64&gt;0,INDEX(CW$7:CW$106,$AF64),1),IF($AG64&gt;0,INDEX(CW$7:CW$106,$AG64),1),IF($AH64&gt;0,INDEX(CW$7:CW$106,$AH64),1),IF($AI64&gt;0,INDEX(CW$7:CW$106,$AI64),1),IF($AJ64&gt;0,INDEX(CW$7:CW$106,$AJ64),1))))</ns0:f>
        <ns0:v>1</ns0:v>
      </ns0:c>
      <ns0:c r="CY64" t="n">
        <ns0:f>IF($A64="",1,IF(CX64=1,1,--AND(IF($AC64&gt;0,INDEX(CX$7:CX$106,$AC64),1),IF($AD64&gt;0,INDEX(CX$7:CX$106,$AD64),1),IF($AE64&gt;0,INDEX(CX$7:CX$106,$AE64),1),IF($AF64&gt;0,INDEX(CX$7:CX$106,$AF64),1),IF($AG64&gt;0,INDEX(CX$7:CX$106,$AG64),1),IF($AH64&gt;0,INDEX(CX$7:CX$106,$AH64),1),IF($AI64&gt;0,INDEX(CX$7:CX$106,$AI64),1),IF($AJ64&gt;0,INDEX(CX$7:CX$106,$AJ64),1))))</ns0:f>
        <ns0:v>1</ns0:v>
      </ns0:c>
      <ns0:c r="CZ64" t="n">
        <ns0:f>IF($A64="",1,IF(CY64=1,1,--AND(IF($AC64&gt;0,INDEX(CY$7:CY$106,$AC64),1),IF($AD64&gt;0,INDEX(CY$7:CY$106,$AD64),1),IF($AE64&gt;0,INDEX(CY$7:CY$106,$AE64),1),IF($AF64&gt;0,INDEX(CY$7:CY$106,$AF64),1),IF($AG64&gt;0,INDEX(CY$7:CY$106,$AG64),1),IF($AH64&gt;0,INDEX(CY$7:CY$106,$AH64),1),IF($AI64&gt;0,INDEX(CY$7:CY$106,$AI64),1),IF($AJ64&gt;0,INDEX(CY$7:CY$106,$AJ64),1))))</ns0:f>
        <ns0:v>1</ns0:v>
      </ns0:c>
      <ns0:c r="DA64" t="n">
        <ns0:f>IF($A64="",1,IF(CZ64=1,1,--AND(IF($AC64&gt;0,INDEX(CZ$7:CZ$106,$AC64),1),IF($AD64&gt;0,INDEX(CZ$7:CZ$106,$AD64),1),IF($AE64&gt;0,INDEX(CZ$7:CZ$106,$AE64),1),IF($AF64&gt;0,INDEX(CZ$7:CZ$106,$AF64),1),IF($AG64&gt;0,INDEX(CZ$7:CZ$106,$AG64),1),IF($AH64&gt;0,INDEX(CZ$7:CZ$106,$AH64),1),IF($AI64&gt;0,INDEX(CZ$7:CZ$106,$AI64),1),IF($AJ64&gt;0,INDEX(CZ$7:CZ$106,$AJ64),1))))</ns0:f>
        <ns0:v>1</ns0:v>
      </ns0:c>
      <ns0:c r="DB64" t="n">
        <ns0:f>IF($A64="",1,IF(DA64=1,1,--AND(IF($AC64&gt;0,INDEX(DA$7:DA$106,$AC64),1),IF($AD64&gt;0,INDEX(DA$7:DA$106,$AD64),1),IF($AE64&gt;0,INDEX(DA$7:DA$106,$AE64),1),IF($AF64&gt;0,INDEX(DA$7:DA$106,$AF64),1),IF($AG64&gt;0,INDEX(DA$7:DA$106,$AG64),1),IF($AH64&gt;0,INDEX(DA$7:DA$106,$AH64),1),IF($AI64&gt;0,INDEX(DA$7:DA$106,$AI64),1),IF($AJ64&gt;0,INDEX(DA$7:DA$106,$AJ64),1))))</ns0:f>
        <ns0:v>1</ns0:v>
      </ns0:c>
      <ns0:c r="DC64" t="n">
        <ns0:f>IF($A64="",1,IF(DB64=1,1,--AND(IF($AC64&gt;0,INDEX(DB$7:DB$106,$AC64),1),IF($AD64&gt;0,INDEX(DB$7:DB$106,$AD64),1),IF($AE64&gt;0,INDEX(DB$7:DB$106,$AE64),1),IF($AF64&gt;0,INDEX(DB$7:DB$106,$AF64),1),IF($AG64&gt;0,INDEX(DB$7:DB$106,$AG64),1),IF($AH64&gt;0,INDEX(DB$7:DB$106,$AH64),1),IF($AI64&gt;0,INDEX(DB$7:DB$106,$AI64),1),IF($AJ64&gt;0,INDEX(DB$7:DB$106,$AJ64),1))))</ns0:f>
        <ns0:v>1</ns0:v>
      </ns0:c>
      <ns0:c r="DD64" t="n">
        <ns0:f>IF($A64="",1,IF(DC64=1,1,--AND(IF($AC64&gt;0,INDEX(DC$7:DC$106,$AC64),1),IF($AD64&gt;0,INDEX(DC$7:DC$106,$AD64),1),IF($AE64&gt;0,INDEX(DC$7:DC$106,$AE64),1),IF($AF64&gt;0,INDEX(DC$7:DC$106,$AF64),1),IF($AG64&gt;0,INDEX(DC$7:DC$106,$AG64),1),IF($AH64&gt;0,INDEX(DC$7:DC$106,$AH64),1),IF($AI64&gt;0,INDEX(DC$7:DC$106,$AI64),1),IF($AJ64&gt;0,INDEX(DC$7:DC$106,$AJ64),1))))</ns0:f>
        <ns0:v>1</ns0:v>
      </ns0:c>
      <ns0:c r="DE64" t="n">
        <ns0:f>IF($A64="",1,IF(DD64=1,1,--AND(IF($AC64&gt;0,INDEX(DD$7:DD$106,$AC64),1),IF($AD64&gt;0,INDEX(DD$7:DD$106,$AD64),1),IF($AE64&gt;0,INDEX(DD$7:DD$106,$AE64),1),IF($AF64&gt;0,INDEX(DD$7:DD$106,$AF64),1),IF($AG64&gt;0,INDEX(DD$7:DD$106,$AG64),1),IF($AH64&gt;0,INDEX(DD$7:DD$106,$AH64),1),IF($AI64&gt;0,INDEX(DD$7:DD$106,$AI64),1),IF($AJ64&gt;0,INDEX(DD$7:DD$106,$AJ64),1))))</ns0:f>
        <ns0:v>1</ns0:v>
      </ns0:c>
      <ns0:c r="DF64" t="n">
        <ns0:f>IF($A64="",1,IF(DE64=1,1,--AND(IF($AC64&gt;0,INDEX(DE$7:DE$106,$AC64),1),IF($AD64&gt;0,INDEX(DE$7:DE$106,$AD64),1),IF($AE64&gt;0,INDEX(DE$7:DE$106,$AE64),1),IF($AF64&gt;0,INDEX(DE$7:DE$106,$AF64),1),IF($AG64&gt;0,INDEX(DE$7:DE$106,$AG64),1),IF($AH64&gt;0,INDEX(DE$7:DE$106,$AH64),1),IF($AI64&gt;0,INDEX(DE$7:DE$106,$AI64),1),IF($AJ64&gt;0,INDEX(DE$7:DE$106,$AJ64),1))))</ns0:f>
        <ns0:v>1</ns0:v>
      </ns0:c>
      <ns0:c r="DG64" t="n">
        <ns0:f>IF($A64="",1,IF(DF64=1,1,--AND(IF($AC64&gt;0,INDEX(DF$7:DF$106,$AC64),1),IF($AD64&gt;0,INDEX(DF$7:DF$106,$AD64),1),IF($AE64&gt;0,INDEX(DF$7:DF$106,$AE64),1),IF($AF64&gt;0,INDEX(DF$7:DF$106,$AF64),1),IF($AG64&gt;0,INDEX(DF$7:DF$106,$AG64),1),IF($AH64&gt;0,INDEX(DF$7:DF$106,$AH64),1),IF($AI64&gt;0,INDEX(DF$7:DF$106,$AI64),1),IF($AJ64&gt;0,INDEX(DF$7:DF$106,$AJ64),1))))</ns0:f>
        <ns0:v>1</ns0:v>
      </ns0:c>
      <ns0:c r="DH64" t="n">
        <ns0:f>IF($A64="",1,IF(DG64=1,1,--AND(IF($AC64&gt;0,INDEX(DG$7:DG$106,$AC64),1),IF($AD64&gt;0,INDEX(DG$7:DG$106,$AD64),1),IF($AE64&gt;0,INDEX(DG$7:DG$106,$AE64),1),IF($AF64&gt;0,INDEX(DG$7:DG$106,$AF64),1),IF($AG64&gt;0,INDEX(DG$7:DG$106,$AG64),1),IF($AH64&gt;0,INDEX(DG$7:DG$106,$AH64),1),IF($AI64&gt;0,INDEX(DG$7:DG$106,$AI64),1),IF($AJ64&gt;0,INDEX(DG$7:DG$106,$AJ64),1))))</ns0:f>
        <ns0:v>1</ns0:v>
      </ns0:c>
      <ns0:c r="DI64" t="n">
        <ns0:f>IF($A64="",1,IF(DH64=1,1,--AND(IF($AC64&gt;0,INDEX(DH$7:DH$106,$AC64),1),IF($AD64&gt;0,INDEX(DH$7:DH$106,$AD64),1),IF($AE64&gt;0,INDEX(DH$7:DH$106,$AE64),1),IF($AF64&gt;0,INDEX(DH$7:DH$106,$AF64),1),IF($AG64&gt;0,INDEX(DH$7:DH$106,$AG64),1),IF($AH64&gt;0,INDEX(DH$7:DH$106,$AH64),1),IF($AI64&gt;0,INDEX(DH$7:DH$106,$AI64),1),IF($AJ64&gt;0,INDEX(DH$7:DH$106,$AJ64),1))))</ns0:f>
        <ns0:v>1</ns0:v>
      </ns0:c>
      <ns0:c r="DJ64" t="n">
        <ns0:f>IF($A64="",1,IF(DI64=1,1,--AND(IF($AC64&gt;0,INDEX(DI$7:DI$106,$AC64),1),IF($AD64&gt;0,INDEX(DI$7:DI$106,$AD64),1),IF($AE64&gt;0,INDEX(DI$7:DI$106,$AE64),1),IF($AF64&gt;0,INDEX(DI$7:DI$106,$AF64),1),IF($AG64&gt;0,INDEX(DI$7:DI$106,$AG64),1),IF($AH64&gt;0,INDEX(DI$7:DI$106,$AH64),1),IF($AI64&gt;0,INDEX(DI$7:DI$106,$AI64),1),IF($AJ64&gt;0,INDEX(DI$7:DI$106,$AJ64),1))))</ns0:f>
        <ns0:v>1</ns0:v>
      </ns0:c>
      <ns0:c r="DK64" t="n">
        <ns0:f>IF($A64="",1,IF(DJ64=1,1,--AND(IF($AC64&gt;0,INDEX(DJ$7:DJ$106,$AC64),1),IF($AD64&gt;0,INDEX(DJ$7:DJ$106,$AD64),1),IF($AE64&gt;0,INDEX(DJ$7:DJ$106,$AE64),1),IF($AF64&gt;0,INDEX(DJ$7:DJ$106,$AF64),1),IF($AG64&gt;0,INDEX(DJ$7:DJ$106,$AG64),1),IF($AH64&gt;0,INDEX(DJ$7:DJ$106,$AH64),1),IF($AI64&gt;0,INDEX(DJ$7:DJ$106,$AI64),1),IF($AJ64&gt;0,INDEX(DJ$7:DJ$106,$AJ64),1))))</ns0:f>
        <ns0:v>1</ns0:v>
      </ns0:c>
      <ns0:c r="DL64" t="n">
        <ns0:f>IF($A64="",1,IF(DK64=1,1,--AND(IF($AC64&gt;0,INDEX(DK$7:DK$106,$AC64),1),IF($AD64&gt;0,INDEX(DK$7:DK$106,$AD64),1),IF($AE64&gt;0,INDEX(DK$7:DK$106,$AE64),1),IF($AF64&gt;0,INDEX(DK$7:DK$106,$AF64),1),IF($AG64&gt;0,INDEX(DK$7:DK$106,$AG64),1),IF($AH64&gt;0,INDEX(DK$7:DK$106,$AH64),1),IF($AI64&gt;0,INDEX(DK$7:DK$106,$AI64),1),IF($AJ64&gt;0,INDEX(DK$7:DK$106,$AJ64),1))))</ns0:f>
        <ns0:v>1</ns0:v>
      </ns0:c>
      <ns0:c r="DM64" t="n">
        <ns0:f>IF($A64="",1,IF(DL64=1,1,--AND(IF($AC64&gt;0,INDEX(DL$7:DL$106,$AC64),1),IF($AD64&gt;0,INDEX(DL$7:DL$106,$AD64),1),IF($AE64&gt;0,INDEX(DL$7:DL$106,$AE64),1),IF($AF64&gt;0,INDEX(DL$7:DL$106,$AF64),1),IF($AG64&gt;0,INDEX(DL$7:DL$106,$AG64),1),IF($AH64&gt;0,INDEX(DL$7:DL$106,$AH64),1),IF($AI64&gt;0,INDEX(DL$7:DL$106,$AI64),1),IF($AJ64&gt;0,INDEX(DL$7:DL$106,$AJ64),1))))</ns0:f>
        <ns0:v>1</ns0:v>
      </ns0:c>
      <ns0:c r="DN64" t="n">
        <ns0:f>IF($A64="",1,IF(DM64=1,1,--AND(IF($AC64&gt;0,INDEX(DM$7:DM$106,$AC64),1),IF($AD64&gt;0,INDEX(DM$7:DM$106,$AD64),1),IF($AE64&gt;0,INDEX(DM$7:DM$106,$AE64),1),IF($AF64&gt;0,INDEX(DM$7:DM$106,$AF64),1),IF($AG64&gt;0,INDEX(DM$7:DM$106,$AG64),1),IF($AH64&gt;0,INDEX(DM$7:DM$106,$AH64),1),IF($AI64&gt;0,INDEX(DM$7:DM$106,$AI64),1),IF($AJ64&gt;0,INDEX(DM$7:DM$106,$AJ64),1))))</ns0:f>
        <ns0:v>1</ns0:v>
      </ns0:c>
      <ns0:c r="DO64" t="n">
        <ns0:f>IF($A64="",1,IF(DN64=1,1,--AND(IF($AC64&gt;0,INDEX(DN$7:DN$106,$AC64),1),IF($AD64&gt;0,INDEX(DN$7:DN$106,$AD64),1),IF($AE64&gt;0,INDEX(DN$7:DN$106,$AE64),1),IF($AF64&gt;0,INDEX(DN$7:DN$106,$AF64),1),IF($AG64&gt;0,INDEX(DN$7:DN$106,$AG64),1),IF($AH64&gt;0,INDEX(DN$7:DN$106,$AH64),1),IF($AI64&gt;0,INDEX(DN$7:DN$106,$AI64),1),IF($AJ64&gt;0,INDEX(DN$7:DN$106,$AJ64),1))))</ns0:f>
        <ns0:v>1</ns0:v>
      </ns0:c>
      <ns0:c r="DP64" t="n">
        <ns0:f>IF($A64="",1,IF(DO64=1,1,--AND(IF($AC64&gt;0,INDEX(DO$7:DO$106,$AC64),1),IF($AD64&gt;0,INDEX(DO$7:DO$106,$AD64),1),IF($AE64&gt;0,INDEX(DO$7:DO$106,$AE64),1),IF($AF64&gt;0,INDEX(DO$7:DO$106,$AF64),1),IF($AG64&gt;0,INDEX(DO$7:DO$106,$AG64),1),IF($AH64&gt;0,INDEX(DO$7:DO$106,$AH64),1),IF($AI64&gt;0,INDEX(DO$7:DO$106,$AI64),1),IF($AJ64&gt;0,INDEX(DO$7:DO$106,$AJ64),1))))</ns0:f>
        <ns0:v>1</ns0:v>
      </ns0:c>
      <ns0:c r="DQ64" t="n">
        <ns0:f>IF($A64="",1,IF(DP64=1,1,--AND(IF($AC64&gt;0,INDEX(DP$7:DP$106,$AC64),1),IF($AD64&gt;0,INDEX(DP$7:DP$106,$AD64),1),IF($AE64&gt;0,INDEX(DP$7:DP$106,$AE64),1),IF($AF64&gt;0,INDEX(DP$7:DP$106,$AF64),1),IF($AG64&gt;0,INDEX(DP$7:DP$106,$AG64),1),IF($AH64&gt;0,INDEX(DP$7:DP$106,$AH64),1),IF($AI64&gt;0,INDEX(DP$7:DP$106,$AI64),1),IF($AJ64&gt;0,INDEX(DP$7:DP$106,$AJ64),1))))</ns0:f>
        <ns0:v>1</ns0:v>
      </ns0:c>
      <ns0:c r="DR64" t="n">
        <ns0:f>IF($A64="",1,IF(DQ64=1,1,--AND(IF($AC64&gt;0,INDEX(DQ$7:DQ$106,$AC64),1),IF($AD64&gt;0,INDEX(DQ$7:DQ$106,$AD64),1),IF($AE64&gt;0,INDEX(DQ$7:DQ$106,$AE64),1),IF($AF64&gt;0,INDEX(DQ$7:DQ$106,$AF64),1),IF($AG64&gt;0,INDEX(DQ$7:DQ$106,$AG64),1),IF($AH64&gt;0,INDEX(DQ$7:DQ$106,$AH64),1),IF($AI64&gt;0,INDEX(DQ$7:DQ$106,$AI64),1),IF($AJ64&gt;0,INDEX(DQ$7:DQ$106,$AJ64),1))))</ns0:f>
        <ns0:v>1</ns0:v>
      </ns0:c>
      <ns0:c r="DS64" t="n">
        <ns0:f>IF($A64="",1,IF(DR64=1,1,--AND(IF($AC64&gt;0,INDEX(DR$7:DR$106,$AC64),1),IF($AD64&gt;0,INDEX(DR$7:DR$106,$AD64),1),IF($AE64&gt;0,INDEX(DR$7:DR$106,$AE64),1),IF($AF64&gt;0,INDEX(DR$7:DR$106,$AF64),1),IF($AG64&gt;0,INDEX(DR$7:DR$106,$AG64),1),IF($AH64&gt;0,INDEX(DR$7:DR$106,$AH64),1),IF($AI64&gt;0,INDEX(DR$7:DR$106,$AI64),1),IF($AJ64&gt;0,INDEX(DR$7:DR$106,$AJ64),1))))</ns0:f>
        <ns0:v>1</ns0:v>
      </ns0:c>
      <ns0:c r="DT64" t="n">
        <ns0:f>IF($A64="",1,IF(DS64=1,1,--AND(IF($AC64&gt;0,INDEX(DS$7:DS$106,$AC64),1),IF($AD64&gt;0,INDEX(DS$7:DS$106,$AD64),1),IF($AE64&gt;0,INDEX(DS$7:DS$106,$AE64),1),IF($AF64&gt;0,INDEX(DS$7:DS$106,$AF64),1),IF($AG64&gt;0,INDEX(DS$7:DS$106,$AG64),1),IF($AH64&gt;0,INDEX(DS$7:DS$106,$AH64),1),IF($AI64&gt;0,INDEX(DS$7:DS$106,$AI64),1),IF($AJ64&gt;0,INDEX(DS$7:DS$106,$AJ64),1))))</ns0:f>
        <ns0:v>1</ns0:v>
      </ns0:c>
      <ns0:c r="DU64" t="n">
        <ns0:f>IF($A64="",1,IF(DT64=1,1,--AND(IF($AC64&gt;0,INDEX(DT$7:DT$106,$AC64),1),IF($AD64&gt;0,INDEX(DT$7:DT$106,$AD64),1),IF($AE64&gt;0,INDEX(DT$7:DT$106,$AE64),1),IF($AF64&gt;0,INDEX(DT$7:DT$106,$AF64),1),IF($AG64&gt;0,INDEX(DT$7:DT$106,$AG64),1),IF($AH64&gt;0,INDEX(DT$7:DT$106,$AH64),1),IF($AI64&gt;0,INDEX(DT$7:DT$106,$AI64),1),IF($AJ64&gt;0,INDEX(DT$7:DT$106,$AJ64),1))))</ns0:f>
        <ns0:v>1</ns0:v>
      </ns0:c>
      <ns0:c r="DV64" t="n">
        <ns0:f>IF($A64="",1,IF(DU64=1,1,--AND(IF($AC64&gt;0,INDEX(DU$7:DU$106,$AC64),1),IF($AD64&gt;0,INDEX(DU$7:DU$106,$AD64),1),IF($AE64&gt;0,INDEX(DU$7:DU$106,$AE64),1),IF($AF64&gt;0,INDEX(DU$7:DU$106,$AF64),1),IF($AG64&gt;0,INDEX(DU$7:DU$106,$AG64),1),IF($AH64&gt;0,INDEX(DU$7:DU$106,$AH64),1),IF($AI64&gt;0,INDEX(DU$7:DU$106,$AI64),1),IF($AJ64&gt;0,INDEX(DU$7:DU$106,$AJ64),1))))</ns0:f>
        <ns0:v>1</ns0:v>
      </ns0:c>
      <ns0:c r="DW64" t="n">
        <ns0:f>IF($A64="",1,IF(DV64=1,1,--AND(IF($AC64&gt;0,INDEX(DV$7:DV$106,$AC64),1),IF($AD64&gt;0,INDEX(DV$7:DV$106,$AD64),1),IF($AE64&gt;0,INDEX(DV$7:DV$106,$AE64),1),IF($AF64&gt;0,INDEX(DV$7:DV$106,$AF64),1),IF($AG64&gt;0,INDEX(DV$7:DV$106,$AG64),1),IF($AH64&gt;0,INDEX(DV$7:DV$106,$AH64),1),IF($AI64&gt;0,INDEX(DV$7:DV$106,$AI64),1),IF($AJ64&gt;0,INDEX(DV$7:DV$106,$AJ64),1))))</ns0:f>
        <ns0:v>1</ns0:v>
      </ns0:c>
      <ns0:c r="DX64" t="n">
        <ns0:f>IF($A64="",1,IF(DW64=1,1,--AND(IF($AC64&gt;0,INDEX(DW$7:DW$106,$AC64),1),IF($AD64&gt;0,INDEX(DW$7:DW$106,$AD64),1),IF($AE64&gt;0,INDEX(DW$7:DW$106,$AE64),1),IF($AF64&gt;0,INDEX(DW$7:DW$106,$AF64),1),IF($AG64&gt;0,INDEX(DW$7:DW$106,$AG64),1),IF($AH64&gt;0,INDEX(DW$7:DW$106,$AH64),1),IF($AI64&gt;0,INDEX(DW$7:DW$106,$AI64),1),IF($AJ64&gt;0,INDEX(DW$7:DW$106,$AJ64),1))))</ns0:f>
        <ns0:v>1</ns0:v>
      </ns0:c>
      <ns0:c r="DY64" t="n">
        <ns0:f>IF($A64="",1,IF(DX64=1,1,--AND(IF($AC64&gt;0,INDEX(DX$7:DX$106,$AC64),1),IF($AD64&gt;0,INDEX(DX$7:DX$106,$AD64),1),IF($AE64&gt;0,INDEX(DX$7:DX$106,$AE64),1),IF($AF64&gt;0,INDEX(DX$7:DX$106,$AF64),1),IF($AG64&gt;0,INDEX(DX$7:DX$106,$AG64),1),IF($AH64&gt;0,INDEX(DX$7:DX$106,$AH64),1),IF($AI64&gt;0,INDEX(DX$7:DX$106,$AI64),1),IF($AJ64&gt;0,INDEX(DX$7:DX$106,$AJ64),1))))</ns0:f>
        <ns0:v>1</ns0:v>
      </ns0:c>
      <ns0:c r="DZ64" t="n">
        <ns0:f>IF($A64="",1,IF(DY64=1,1,--AND(IF($AC64&gt;0,INDEX(DY$7:DY$106,$AC64),1),IF($AD64&gt;0,INDEX(DY$7:DY$106,$AD64),1),IF($AE64&gt;0,INDEX(DY$7:DY$106,$AE64),1),IF($AF64&gt;0,INDEX(DY$7:DY$106,$AF64),1),IF($AG64&gt;0,INDEX(DY$7:DY$106,$AG64),1),IF($AH64&gt;0,INDEX(DY$7:DY$106,$AH64),1),IF($AI64&gt;0,INDEX(DY$7:DY$106,$AI64),1),IF($AJ64&gt;0,INDEX(DY$7:DY$106,$AJ64),1))))</ns0:f>
        <ns0:v>1</ns0:v>
      </ns0:c>
      <ns0:c r="EA64" t="n">
        <ns0:f>IF($A64="",1,IF(DZ64=1,1,--AND(IF($AC64&gt;0,INDEX(DZ$7:DZ$106,$AC64),1),IF($AD64&gt;0,INDEX(DZ$7:DZ$106,$AD64),1),IF($AE64&gt;0,INDEX(DZ$7:DZ$106,$AE64),1),IF($AF64&gt;0,INDEX(DZ$7:DZ$106,$AF64),1),IF($AG64&gt;0,INDEX(DZ$7:DZ$106,$AG64),1),IF($AH64&gt;0,INDEX(DZ$7:DZ$106,$AH64),1),IF($AI64&gt;0,INDEX(DZ$7:DZ$106,$AI64),1),IF($AJ64&gt;0,INDEX(DZ$7:DZ$106,$AJ64),1))))</ns0:f>
        <ns0:v>1</ns0:v>
      </ns0:c>
      <ns0:c r="EB64" t="n">
        <ns0:f>IF($A64="",1,IF(EA64=1,1,--AND(IF($AC64&gt;0,INDEX(EA$7:EA$106,$AC64),1),IF($AD64&gt;0,INDEX(EA$7:EA$106,$AD64),1),IF($AE64&gt;0,INDEX(EA$7:EA$106,$AE64),1),IF($AF64&gt;0,INDEX(EA$7:EA$106,$AF64),1),IF($AG64&gt;0,INDEX(EA$7:EA$106,$AG64),1),IF($AH64&gt;0,INDEX(EA$7:EA$106,$AH64),1),IF($AI64&gt;0,INDEX(EA$7:EA$106,$AI64),1),IF($AJ64&gt;0,INDEX(EA$7:EA$106,$AJ64),1))))</ns0:f>
        <ns0:v>1</ns0:v>
      </ns0:c>
      <ns0:c r="EC64" t="n">
        <ns0:f>IF($A64="",1,IF(EB64=1,1,--AND(IF($AC64&gt;0,INDEX(EB$7:EB$106,$AC64),1),IF($AD64&gt;0,INDEX(EB$7:EB$106,$AD64),1),IF($AE64&gt;0,INDEX(EB$7:EB$106,$AE64),1),IF($AF64&gt;0,INDEX(EB$7:EB$106,$AF64),1),IF($AG64&gt;0,INDEX(EB$7:EB$106,$AG64),1),IF($AH64&gt;0,INDEX(EB$7:EB$106,$AH64),1),IF($AI64&gt;0,INDEX(EB$7:EB$106,$AI64),1),IF($AJ64&gt;0,INDEX(EB$7:EB$106,$AJ64),1))))</ns0:f>
        <ns0:v>1</ns0:v>
      </ns0:c>
      <ns0:c r="ED64" t="n">
        <ns0:f>IF($A64="",1,IF(EC64=1,1,--AND(IF($AC64&gt;0,INDEX(EC$7:EC$106,$AC64),1),IF($AD64&gt;0,INDEX(EC$7:EC$106,$AD64),1),IF($AE64&gt;0,INDEX(EC$7:EC$106,$AE64),1),IF($AF64&gt;0,INDEX(EC$7:EC$106,$AF64),1),IF($AG64&gt;0,INDEX(EC$7:EC$106,$AG64),1),IF($AH64&gt;0,INDEX(EC$7:EC$106,$AH64),1),IF($AI64&gt;0,INDEX(EC$7:EC$106,$AI64),1),IF($AJ64&gt;0,INDEX(EC$7:EC$106,$AJ64),1))))</ns0:f>
        <ns0:v>1</ns0:v>
      </ns0:c>
      <ns0:c r="EE64" t="n">
        <ns0:f>IF($A64="",1,IF(ED64=1,1,--AND(IF($AC64&gt;0,INDEX(ED$7:ED$106,$AC64),1),IF($AD64&gt;0,INDEX(ED$7:ED$106,$AD64),1),IF($AE64&gt;0,INDEX(ED$7:ED$106,$AE64),1),IF($AF64&gt;0,INDEX(ED$7:ED$106,$AF64),1),IF($AG64&gt;0,INDEX(ED$7:ED$106,$AG64),1),IF($AH64&gt;0,INDEX(ED$7:ED$106,$AH64),1),IF($AI64&gt;0,INDEX(ED$7:ED$106,$AI64),1),IF($AJ64&gt;0,INDEX(ED$7:ED$106,$AJ64),1))))</ns0:f>
        <ns0:v>1</ns0:v>
      </ns0:c>
      <ns0:c r="EF64" t="n">
        <ns0:f>IF($A64="",1,IF(EE64=1,1,--AND(IF($AC64&gt;0,INDEX(EE$7:EE$106,$AC64),1),IF($AD64&gt;0,INDEX(EE$7:EE$106,$AD64),1),IF($AE64&gt;0,INDEX(EE$7:EE$106,$AE64),1),IF($AF64&gt;0,INDEX(EE$7:EE$106,$AF64),1),IF($AG64&gt;0,INDEX(EE$7:EE$106,$AG64),1),IF($AH64&gt;0,INDEX(EE$7:EE$106,$AH64),1),IF($AI64&gt;0,INDEX(EE$7:EE$106,$AI64),1),IF($AJ64&gt;0,INDEX(EE$7:EE$106,$AJ64),1))))</ns0:f>
        <ns0:v>1</ns0:v>
      </ns0:c>
      <ns0:c r="EG64" t="n">
        <ns0:f>IF($A64="",1,IF(EF64=1,1,--AND(IF($AC64&gt;0,INDEX(EF$7:EF$106,$AC64),1),IF($AD64&gt;0,INDEX(EF$7:EF$106,$AD64),1),IF($AE64&gt;0,INDEX(EF$7:EF$106,$AE64),1),IF($AF64&gt;0,INDEX(EF$7:EF$106,$AF64),1),IF($AG64&gt;0,INDEX(EF$7:EF$106,$AG64),1),IF($AH64&gt;0,INDEX(EF$7:EF$106,$AH64),1),IF($AI64&gt;0,INDEX(EF$7:EF$106,$AI64),1),IF($AJ64&gt;0,INDEX(EF$7:EF$106,$AJ64),1))))</ns0:f>
        <ns0:v>1</ns0:v>
      </ns0:c>
      <ns0:c r="EH64" t="n">
        <ns0:f>IF($A64="",1,IF(EG64=1,1,--AND(IF($AC64&gt;0,INDEX(EG$7:EG$106,$AC64),1),IF($AD64&gt;0,INDEX(EG$7:EG$106,$AD64),1),IF($AE64&gt;0,INDEX(EG$7:EG$106,$AE64),1),IF($AF64&gt;0,INDEX(EG$7:EG$106,$AF64),1),IF($AG64&gt;0,INDEX(EG$7:EG$106,$AG64),1),IF($AH64&gt;0,INDEX(EG$7:EG$106,$AH64),1),IF($AI64&gt;0,INDEX(EG$7:EG$106,$AI64),1),IF($AJ64&gt;0,INDEX(EG$7:EG$106,$AJ64),1))))</ns0:f>
        <ns0:v>1</ns0:v>
      </ns0:c>
      <ns0:c r="EI64" t="n">
        <ns0:f>IF($A64="",1,IF(EH64=1,1,--AND(IF($AC64&gt;0,INDEX(EH$7:EH$106,$AC64),1),IF($AD64&gt;0,INDEX(EH$7:EH$106,$AD64),1),IF($AE64&gt;0,INDEX(EH$7:EH$106,$AE64),1),IF($AF64&gt;0,INDEX(EH$7:EH$106,$AF64),1),IF($AG64&gt;0,INDEX(EH$7:EH$106,$AG64),1),IF($AH64&gt;0,INDEX(EH$7:EH$106,$AH64),1),IF($AI64&gt;0,INDEX(EH$7:EH$106,$AI64),1),IF($AJ64&gt;0,INDEX(EH$7:EH$106,$AJ64),1))))</ns0:f>
        <ns0:v>1</ns0:v>
      </ns0:c>
      <ns0:c r="EJ64" t="n">
        <ns0:f>IF($A64="",1,IF(EI64=1,1,--AND(IF($AC64&gt;0,INDEX(EI$7:EI$106,$AC64),1),IF($AD64&gt;0,INDEX(EI$7:EI$106,$AD64),1),IF($AE64&gt;0,INDEX(EI$7:EI$106,$AE64),1),IF($AF64&gt;0,INDEX(EI$7:EI$106,$AF64),1),IF($AG64&gt;0,INDEX(EI$7:EI$106,$AG64),1),IF($AH64&gt;0,INDEX(EI$7:EI$106,$AH64),1),IF($AI64&gt;0,INDEX(EI$7:EI$106,$AI64),1),IF($AJ64&gt;0,INDEX(EI$7:EI$106,$AJ64),1))))</ns0:f>
        <ns0:v>1</ns0:v>
      </ns0:c>
      <ns0:c r="EK64" t="n">
        <ns0:f>IF($A64="",1,IF(EJ64=1,1,--AND(IF($AC64&gt;0,INDEX(EJ$7:EJ$106,$AC64),1),IF($AD64&gt;0,INDEX(EJ$7:EJ$106,$AD64),1),IF($AE64&gt;0,INDEX(EJ$7:EJ$106,$AE64),1),IF($AF64&gt;0,INDEX(EJ$7:EJ$106,$AF64),1),IF($AG64&gt;0,INDEX(EJ$7:EJ$106,$AG64),1),IF($AH64&gt;0,INDEX(EJ$7:EJ$106,$AH64),1),IF($AI64&gt;0,INDEX(EJ$7:EJ$106,$AI64),1),IF($AJ64&gt;0,INDEX(EJ$7:EJ$106,$AJ64),1))))</ns0:f>
        <ns0:v>1</ns0:v>
      </ns0:c>
      <ns0:c r="EL64" t="n">
        <ns0:f>IF($A64="",1,IF(EK64=1,1,--AND(IF($AC64&gt;0,INDEX(EK$7:EK$106,$AC64),1),IF($AD64&gt;0,INDEX(EK$7:EK$106,$AD64),1),IF($AE64&gt;0,INDEX(EK$7:EK$106,$AE64),1),IF($AF64&gt;0,INDEX(EK$7:EK$106,$AF64),1),IF($AG64&gt;0,INDEX(EK$7:EK$106,$AG64),1),IF($AH64&gt;0,INDEX(EK$7:EK$106,$AH64),1),IF($AI64&gt;0,INDEX(EK$7:EK$106,$AI64),1),IF($AJ64&gt;0,INDEX(EK$7:EK$106,$AJ64),1))))</ns0:f>
        <ns0:v>1</ns0:v>
      </ns0:c>
      <ns0:c r="EM64" t="n">
        <ns0:f>IF($A64="",1,IF(EL64=1,1,--AND(IF($AC64&gt;0,INDEX(EL$7:EL$106,$AC64),1),IF($AD64&gt;0,INDEX(EL$7:EL$106,$AD64),1),IF($AE64&gt;0,INDEX(EL$7:EL$106,$AE64),1),IF($AF64&gt;0,INDEX(EL$7:EL$106,$AF64),1),IF($AG64&gt;0,INDEX(EL$7:EL$106,$AG64),1),IF($AH64&gt;0,INDEX(EL$7:EL$106,$AH64),1),IF($AI64&gt;0,INDEX(EL$7:EL$106,$AI64),1),IF($AJ64&gt;0,INDEX(EL$7:EL$106,$AJ64),1))))</ns0:f>
        <ns0:v>1</ns0:v>
      </ns0:c>
      <ns0:c r="EN64" t="n">
        <ns0:f>IF($A64="",1,IF(EM64=1,1,--AND(IF($AC64&gt;0,INDEX(EM$7:EM$106,$AC64),1),IF($AD64&gt;0,INDEX(EM$7:EM$106,$AD64),1),IF($AE64&gt;0,INDEX(EM$7:EM$106,$AE64),1),IF($AF64&gt;0,INDEX(EM$7:EM$106,$AF64),1),IF($AG64&gt;0,INDEX(EM$7:EM$106,$AG64),1),IF($AH64&gt;0,INDEX(EM$7:EM$106,$AH64),1),IF($AI64&gt;0,INDEX(EM$7:EM$106,$AI64),1),IF($AJ64&gt;0,INDEX(EM$7:EM$106,$AJ64),1))))</ns0:f>
        <ns0:v>1</ns0:v>
      </ns0:c>
      <ns0:c r="EO64" t="n">
        <ns0:f>IF($A64="",1,IF(EN64=1,1,--AND(IF($AC64&gt;0,INDEX(EN$7:EN$106,$AC64),1),IF($AD64&gt;0,INDEX(EN$7:EN$106,$AD64),1),IF($AE64&gt;0,INDEX(EN$7:EN$106,$AE64),1),IF($AF64&gt;0,INDEX(EN$7:EN$106,$AF64),1),IF($AG64&gt;0,INDEX(EN$7:EN$106,$AG64),1),IF($AH64&gt;0,INDEX(EN$7:EN$106,$AH64),1),IF($AI64&gt;0,INDEX(EN$7:EN$106,$AI64),1),IF($AJ64&gt;0,INDEX(EN$7:EN$106,$AJ64),1))))</ns0:f>
        <ns0:v>1</ns0:v>
      </ns0:c>
      <ns0:c r="EP64" t="n">
        <ns0:f>IF($A64="",1,IF(EO64=1,1,--AND(IF($AC64&gt;0,INDEX(EO$7:EO$106,$AC64),1),IF($AD64&gt;0,INDEX(EO$7:EO$106,$AD64),1),IF($AE64&gt;0,INDEX(EO$7:EO$106,$AE64),1),IF($AF64&gt;0,INDEX(EO$7:EO$106,$AF64),1),IF($AG64&gt;0,INDEX(EO$7:EO$106,$AG64),1),IF($AH64&gt;0,INDEX(EO$7:EO$106,$AH64),1),IF($AI64&gt;0,INDEX(EO$7:EO$106,$AI64),1),IF($AJ64&gt;0,INDEX(EO$7:EO$106,$AJ64),1))))</ns0:f>
        <ns0:v>1</ns0:v>
      </ns0:c>
      <ns0:c r="EQ64" t="n">
        <ns0:f>IF(OR(A64="",NOT(ISNUMBER(G64))),0,G64*N64)</ns0:f>
        <ns0:v>0</ns0:v>
      </ns0:c>
    </ns0:row>
    <ns0:row r="65" ht="62" customHeight="1">
      <ns0:c r="A65" s="48"/>
      <ns0:c r="B65" s="48"/>
      <ns0:c r="C65" s="48"/>
      <ns0:c r="D65" s="48"/>
      <ns0:c r="E65" s="49"/>
      <ns0:c r="F65" s="49"/>
      <ns0:c r="G65" s="13" t="str">
        <ns0:f>IF(A65="","",IF(OR(NOT(ISNUMBER(E65)),NOT(ISNUMBER(F65)),F65&lt;E65),"",IF(J65="Yes",0,F65-E65+1)))</ns0:f>
      </ns0:c>
      <ns0:c r="H65" s="48"/>
      <ns0:c r="I65" s="48"/>
      <ns0:c r="J65" s="48"/>
      <ns0:c r="K65" s="48"/>
      <ns0:c r="L65" s="48"/>
      <ns0:c r="M65" s="50" t="str">
        <ns0:f>IF(A65="","",IF(N65=1,"Completed",IF(N65&gt;0,"In Progress","Not Started")))</ns0:f>
      </ns0:c>
      <ns0:c r="N65" s="51"/>
      <ns0:c r="O65" s="13" t="str">
        <ns0:f>IF(A65="","",IF(R65&lt;&gt;"","[CONFLICT] "&amp;R65,IF(S65&lt;&gt;"","[CONFLICT] "&amp;S65,IF(OR(NOT(ISNUMBER(N65)),N65&lt;0,N65&gt;1),"[CONFLICT] Invalid progress",IF(AK65&gt;0,"[DEPENDENCY ISSUE] Missing ID / &gt;8 links",IF(AM65&gt;0,"[DEPENDENCY ISSUE] Cycle or blocked by cycle",IF(AND(H65&lt;&gt;"",ISNA(MATCH(I65,{"FS","SS","FF","SF"},0))),"[DEPENDENCY ISSUE] Invalid type",IF(AL65&gt;0,"[DEPENDENCY ISSUE] Timing conflict",IF(OR(E65&lt;ProjectStart,F65&gt;ProjectEnd),"[OUTSIDE WINDOW]",IF(AND(N65&lt;1,F65&lt;AsOfDate),"Overdue",IF(AND(M65&lt;&gt;Q65,M65&lt;&gt;""),"[CONFLICT] Status / progress","On track")))))))))))</ns0:f>
      </ns0:c>
      <ns0:c r="P65" s="52"/>
      <ns0:c r="Q65" t="str">
        <ns0:f>IF(A65="","",IF(OR(M65="On Hold",M65="Delayed"),M65,IF(N65=1,"Completed",IF(N65&gt;0,"In Progress","Not Started"))))</ns0:f>
      </ns0:c>
      <ns0:c r="R65" t="str">
        <ns0:f>IF(A65="","",IF(COUNTIFS(Tasks[Task ID],A65)&lt;&gt;1,"Duplicate ID",""))</ns0:f>
      </ns0:c>
      <ns0:c r="S65" t="str">
        <ns0:f>IF(A65="","",IF(OR(NOT(ISNUMBER(E65)),NOT(ISNUMBER(F65))),"Invalid / missing date",IF(OR(E65&lt;&gt;INT(E65),F65&lt;&gt;INT(F65),E65&lt;1,F65&gt;2958465),"Invalid date",IF(F65&lt;E65,"End before start",IF(AND(J65="Yes",E65&lt;&gt;F65),"Milestone needs one date","")))))</ns0:f>
      </ns0:c>
      <ns0:c r="T65" t="n">
        <ns0:f>IF(H65="",0,LEN(H65)-LEN(SUBSTITUTE(H65,",",""))+1)</ns0:f>
        <ns0:v>0</ns0:v>
      </ns0:c>
      <ns0:c r="U65" t="str">
        <ns0:f>TRIM(MID(SUBSTITUTE($H65,",",REPT(" ",100)),1,100))</ns0:f>
      </ns0:c>
      <ns0:c r="V65" t="str">
        <ns0:f>TRIM(MID(SUBSTITUTE($H65,",",REPT(" ",100)),101,100))</ns0:f>
      </ns0:c>
      <ns0:c r="W65" t="str">
        <ns0:f>TRIM(MID(SUBSTITUTE($H65,",",REPT(" ",100)),201,100))</ns0:f>
      </ns0:c>
      <ns0:c r="X65" t="str">
        <ns0:f>TRIM(MID(SUBSTITUTE($H65,",",REPT(" ",100)),301,100))</ns0:f>
      </ns0:c>
      <ns0:c r="Y65" t="str">
        <ns0:f>TRIM(MID(SUBSTITUTE($H65,",",REPT(" ",100)),401,100))</ns0:f>
      </ns0:c>
      <ns0:c r="Z65" t="str">
        <ns0:f>TRIM(MID(SUBSTITUTE($H65,",",REPT(" ",100)),501,100))</ns0:f>
      </ns0:c>
      <ns0:c r="AA65" t="str">
        <ns0:f>TRIM(MID(SUBSTITUTE($H65,",",REPT(" ",100)),601,100))</ns0:f>
      </ns0:c>
      <ns0:c r="AB65" t="str">
        <ns0:f>TRIM(MID(SUBSTITUTE($H65,",",REPT(" ",100)),701,100))</ns0:f>
      </ns0:c>
      <ns0:c r="AC65" t="n">
        <ns0:f>IF(U65="",0,IF(COUNTIFS(Tasks[Task ID],U65)=1,MATCH(U65,Tasks[Task ID],0),-1))</ns0:f>
        <ns0:v>0</ns0:v>
      </ns0:c>
      <ns0:c r="AD65" t="n">
        <ns0:f>IF(V65="",0,IF(COUNTIFS(Tasks[Task ID],V65)=1,MATCH(V65,Tasks[Task ID],0),-1))</ns0:f>
        <ns0:v>0</ns0:v>
      </ns0:c>
      <ns0:c r="AE65" t="n">
        <ns0:f>IF(W65="",0,IF(COUNTIFS(Tasks[Task ID],W65)=1,MATCH(W65,Tasks[Task ID],0),-1))</ns0:f>
        <ns0:v>0</ns0:v>
      </ns0:c>
      <ns0:c r="AF65" t="n">
        <ns0:f>IF(X65="",0,IF(COUNTIFS(Tasks[Task ID],X65)=1,MATCH(X65,Tasks[Task ID],0),-1))</ns0:f>
        <ns0:v>0</ns0:v>
      </ns0:c>
      <ns0:c r="AG65" t="n">
        <ns0:f>IF(Y65="",0,IF(COUNTIFS(Tasks[Task ID],Y65)=1,MATCH(Y65,Tasks[Task ID],0),-1))</ns0:f>
        <ns0:v>0</ns0:v>
      </ns0:c>
      <ns0:c r="AH65" t="n">
        <ns0:f>IF(Z65="",0,IF(COUNTIFS(Tasks[Task ID],Z65)=1,MATCH(Z65,Tasks[Task ID],0),-1))</ns0:f>
        <ns0:v>0</ns0:v>
      </ns0:c>
      <ns0:c r="AI65" t="n">
        <ns0:f>IF(AA65="",0,IF(COUNTIFS(Tasks[Task ID],AA65)=1,MATCH(AA65,Tasks[Task ID],0),-1))</ns0:f>
        <ns0:v>0</ns0:v>
      </ns0:c>
      <ns0:c r="AJ65" t="n">
        <ns0:f>IF(AB65="",0,IF(COUNTIFS(Tasks[Task ID],AB65)=1,MATCH(AB65,Tasks[Task ID],0),-1))</ns0:f>
        <ns0:v>0</ns0:v>
      </ns0:c>
      <ns0:c r="AK65" t="n">
        <ns0:f>COUNTIFS(AC65:AJ65,-1)+IF(T65&gt;8,1,0)</ns0:f>
        <ns0:v>0</ns0:v>
      </ns0:c>
      <ns0:c r="AL65" t="n">
        <ns0:f>IF(OR(A65="",S65&lt;&gt;""),0,SUM(IF(AC65&gt;0,IF($I65="FS",--($E65&lt;INDEX(Tasks[End Date],AC65)+IF(INDEX(Tasks[Milestone],AC65)="Yes",0,1)),IF($I65="SS",--($E65&lt;INDEX(Tasks[Start Date],AC65)),IF($I65="FF",--($F65&lt;INDEX(Tasks[End Date],AC65)),IF($I65="SF",--($F65&lt;INDEX(Tasks[Start Date],AC65)),0)))),0),IF(AD65&gt;0,IF($I65="FS",--($E65&lt;INDEX(Tasks[End Date],AD65)+IF(INDEX(Tasks[Milestone],AD65)="Yes",0,1)),IF($I65="SS",--($E65&lt;INDEX(Tasks[Start Date],AD65)),IF($I65="FF",--($F65&lt;INDEX(Tasks[End Date],AD65)),IF($I65="SF",--($F65&lt;INDEX(Tasks[Start Date],AD65)),0)))),0),IF(AE65&gt;0,IF($I65="FS",--($E65&lt;INDEX(Tasks[End Date],AE65)+IF(INDEX(Tasks[Milestone],AE65)="Yes",0,1)),IF($I65="SS",--($E65&lt;INDEX(Tasks[Start Date],AE65)),IF($I65="FF",--($F65&lt;INDEX(Tasks[End Date],AE65)),IF($I65="SF",--($F65&lt;INDEX(Tasks[Start Date],AE65)),0)))),0),IF(AF65&gt;0,IF($I65="FS",--($E65&lt;INDEX(Tasks[End Date],AF65)+IF(INDEX(Tasks[Milestone],AF65)="Yes",0,1)),IF($I65="SS",--($E65&lt;INDEX(Tasks[Start Date],AF65)),IF($I65="FF",--($F65&lt;INDEX(Tasks[End Date],AF65)),IF($I65="SF",--($F65&lt;INDEX(Tasks[Start Date],AF65)),0)))),0),IF(AG65&gt;0,IF($I65="FS",--($E65&lt;INDEX(Tasks[End Date],AG65)+IF(INDEX(Tasks[Milestone],AG65)="Yes",0,1)),IF($I65="SS",--($E65&lt;INDEX(Tasks[Start Date],AG65)),IF($I65="FF",--($F65&lt;INDEX(Tasks[End Date],AG65)),IF($I65="SF",--($F65&lt;INDEX(Tasks[Start Date],AG65)),0)))),0),IF(AH65&gt;0,IF($I65="FS",--($E65&lt;INDEX(Tasks[End Date],AH65)+IF(INDEX(Tasks[Milestone],AH65)="Yes",0,1)),IF($I65="SS",--($E65&lt;INDEX(Tasks[Start Date],AH65)),IF($I65="FF",--($F65&lt;INDEX(Tasks[End Date],AH65)),IF($I65="SF",--($F65&lt;INDEX(Tasks[Start Date],AH65)),0)))),0),IF(AI65&gt;0,IF($I65="FS",--($E65&lt;INDEX(Tasks[End Date],AI65)+IF(INDEX(Tasks[Milestone],AI65)="Yes",0,1)),IF($I65="SS",--($E65&lt;INDEX(Tasks[Start Date],AI65)),IF($I65="FF",--($F65&lt;INDEX(Tasks[End Date],AI65)),IF($I65="SF",--($F65&lt;INDEX(Tasks[Start Date],AI65)),0)))),0),IF(AJ65&gt;0,IF($I65="FS",--($E65&lt;INDEX(Tasks[End Date],AJ65)+IF(INDEX(Tasks[Milestone],AJ65)="Yes",0,1)),IF($I65="SS",--($E65&lt;INDEX(Tasks[Start Date],AJ65)),IF($I65="FF",--($F65&lt;INDEX(Tasks[End Date],AJ65)),IF($I65="SF",--($F65&lt;INDEX(Tasks[Start Date],AJ65)),0)))),0)))</ns0:f>
        <ns0:v>0</ns0:v>
      </ns0:c>
      <ns0:c r="AM65" t="n">
        <ns0:f>IF(AND(A65&lt;&gt;"",AK65=0,EP65=0),1,0)</ns0:f>
        <ns0:v>0</ns0:v>
      </ns0:c>
      <ns0:c r="AN65" t="str">
        <ns0:f>IF(OR(A65="",B65=""),"",IF(COUNTIFS($B$7:B65,B65)=1,MAX($AN$6:AN64)+1,""))</ns0:f>
      </ns0:c>
      <ns0:c r="AO65" t="n">
        <ns0:f>IF(AND(A65&lt;&gt;"",J65="No",N65&lt;1,E65&gt;=AsOfDate),E65+ROW()/10000,1E+9)</ns0:f>
        <ns0:v>1000000000</ns0:v>
      </ns0:c>
      <ns0:c r="AP65" t="n">
        <ns0:f>IF(AND(A65&lt;&gt;"",J65="Yes",N65&lt;1,E65&gt;=AsOfDate),E65+ROW()/10000,1E+9)</ns0:f>
        <ns0:v>1000000000</ns0:v>
      </ns0:c>
      <ns0:c r="AQ65" t="n">
        <ns0:f>IF(AND(A65&lt;&gt;"",J65="No",N65&lt;1,F65&gt;=AsOfDate,F65&lt;=AsOfDate+7),F65+ROW()/10000,1E+9)</ns0:f>
        <ns0:v>1000000000</ns0:v>
      </ns0:c>
      <ns0:c r="AR65" t="n">
        <ns0:f>IF(AND(A65&lt;&gt;"",OR(O65&lt;&gt;"On track",Q65="Delayed")),ROW(),1E+9)</ns0:f>
        <ns0:v>1000000000</ns0:v>
      </ns0:c>
      <ns0:c r="AS65" t="str">
        <ns0:f>IF(A65="","",";"&amp;K65&amp;";")</ns0:f>
      </ns0:c>
      <ns0:c r="AT65" t="n">
        <ns0:f>IF(A65="",1,--(T65=0))</ns0:f>
        <ns0:v>1</ns0:v>
      </ns0:c>
      <ns0:c r="AU65" t="n">
        <ns0:f>IF($A65="",1,IF(AT65=1,1,--AND(IF($AC65&gt;0,INDEX(AT$7:AT$106,$AC65),1),IF($AD65&gt;0,INDEX(AT$7:AT$106,$AD65),1),IF($AE65&gt;0,INDEX(AT$7:AT$106,$AE65),1),IF($AF65&gt;0,INDEX(AT$7:AT$106,$AF65),1),IF($AG65&gt;0,INDEX(AT$7:AT$106,$AG65),1),IF($AH65&gt;0,INDEX(AT$7:AT$106,$AH65),1),IF($AI65&gt;0,INDEX(AT$7:AT$106,$AI65),1),IF($AJ65&gt;0,INDEX(AT$7:AT$106,$AJ65),1))))</ns0:f>
        <ns0:v>1</ns0:v>
      </ns0:c>
      <ns0:c r="AV65" t="n">
        <ns0:f>IF($A65="",1,IF(AU65=1,1,--AND(IF($AC65&gt;0,INDEX(AU$7:AU$106,$AC65),1),IF($AD65&gt;0,INDEX(AU$7:AU$106,$AD65),1),IF($AE65&gt;0,INDEX(AU$7:AU$106,$AE65),1),IF($AF65&gt;0,INDEX(AU$7:AU$106,$AF65),1),IF($AG65&gt;0,INDEX(AU$7:AU$106,$AG65),1),IF($AH65&gt;0,INDEX(AU$7:AU$106,$AH65),1),IF($AI65&gt;0,INDEX(AU$7:AU$106,$AI65),1),IF($AJ65&gt;0,INDEX(AU$7:AU$106,$AJ65),1))))</ns0:f>
        <ns0:v>1</ns0:v>
      </ns0:c>
      <ns0:c r="AW65" t="n">
        <ns0:f>IF($A65="",1,IF(AV65=1,1,--AND(IF($AC65&gt;0,INDEX(AV$7:AV$106,$AC65),1),IF($AD65&gt;0,INDEX(AV$7:AV$106,$AD65),1),IF($AE65&gt;0,INDEX(AV$7:AV$106,$AE65),1),IF($AF65&gt;0,INDEX(AV$7:AV$106,$AF65),1),IF($AG65&gt;0,INDEX(AV$7:AV$106,$AG65),1),IF($AH65&gt;0,INDEX(AV$7:AV$106,$AH65),1),IF($AI65&gt;0,INDEX(AV$7:AV$106,$AI65),1),IF($AJ65&gt;0,INDEX(AV$7:AV$106,$AJ65),1))))</ns0:f>
        <ns0:v>1</ns0:v>
      </ns0:c>
      <ns0:c r="AX65" t="n">
        <ns0:f>IF($A65="",1,IF(AW65=1,1,--AND(IF($AC65&gt;0,INDEX(AW$7:AW$106,$AC65),1),IF($AD65&gt;0,INDEX(AW$7:AW$106,$AD65),1),IF($AE65&gt;0,INDEX(AW$7:AW$106,$AE65),1),IF($AF65&gt;0,INDEX(AW$7:AW$106,$AF65),1),IF($AG65&gt;0,INDEX(AW$7:AW$106,$AG65),1),IF($AH65&gt;0,INDEX(AW$7:AW$106,$AH65),1),IF($AI65&gt;0,INDEX(AW$7:AW$106,$AI65),1),IF($AJ65&gt;0,INDEX(AW$7:AW$106,$AJ65),1))))</ns0:f>
        <ns0:v>1</ns0:v>
      </ns0:c>
      <ns0:c r="AY65" t="n">
        <ns0:f>IF($A65="",1,IF(AX65=1,1,--AND(IF($AC65&gt;0,INDEX(AX$7:AX$106,$AC65),1),IF($AD65&gt;0,INDEX(AX$7:AX$106,$AD65),1),IF($AE65&gt;0,INDEX(AX$7:AX$106,$AE65),1),IF($AF65&gt;0,INDEX(AX$7:AX$106,$AF65),1),IF($AG65&gt;0,INDEX(AX$7:AX$106,$AG65),1),IF($AH65&gt;0,INDEX(AX$7:AX$106,$AH65),1),IF($AI65&gt;0,INDEX(AX$7:AX$106,$AI65),1),IF($AJ65&gt;0,INDEX(AX$7:AX$106,$AJ65),1))))</ns0:f>
        <ns0:v>1</ns0:v>
      </ns0:c>
      <ns0:c r="AZ65" t="n">
        <ns0:f>IF($A65="",1,IF(AY65=1,1,--AND(IF($AC65&gt;0,INDEX(AY$7:AY$106,$AC65),1),IF($AD65&gt;0,INDEX(AY$7:AY$106,$AD65),1),IF($AE65&gt;0,INDEX(AY$7:AY$106,$AE65),1),IF($AF65&gt;0,INDEX(AY$7:AY$106,$AF65),1),IF($AG65&gt;0,INDEX(AY$7:AY$106,$AG65),1),IF($AH65&gt;0,INDEX(AY$7:AY$106,$AH65),1),IF($AI65&gt;0,INDEX(AY$7:AY$106,$AI65),1),IF($AJ65&gt;0,INDEX(AY$7:AY$106,$AJ65),1))))</ns0:f>
        <ns0:v>1</ns0:v>
      </ns0:c>
      <ns0:c r="BA65" t="n">
        <ns0:f>IF($A65="",1,IF(AZ65=1,1,--AND(IF($AC65&gt;0,INDEX(AZ$7:AZ$106,$AC65),1),IF($AD65&gt;0,INDEX(AZ$7:AZ$106,$AD65),1),IF($AE65&gt;0,INDEX(AZ$7:AZ$106,$AE65),1),IF($AF65&gt;0,INDEX(AZ$7:AZ$106,$AF65),1),IF($AG65&gt;0,INDEX(AZ$7:AZ$106,$AG65),1),IF($AH65&gt;0,INDEX(AZ$7:AZ$106,$AH65),1),IF($AI65&gt;0,INDEX(AZ$7:AZ$106,$AI65),1),IF($AJ65&gt;0,INDEX(AZ$7:AZ$106,$AJ65),1))))</ns0:f>
        <ns0:v>1</ns0:v>
      </ns0:c>
      <ns0:c r="BB65" t="n">
        <ns0:f>IF($A65="",1,IF(BA65=1,1,--AND(IF($AC65&gt;0,INDEX(BA$7:BA$106,$AC65),1),IF($AD65&gt;0,INDEX(BA$7:BA$106,$AD65),1),IF($AE65&gt;0,INDEX(BA$7:BA$106,$AE65),1),IF($AF65&gt;0,INDEX(BA$7:BA$106,$AF65),1),IF($AG65&gt;0,INDEX(BA$7:BA$106,$AG65),1),IF($AH65&gt;0,INDEX(BA$7:BA$106,$AH65),1),IF($AI65&gt;0,INDEX(BA$7:BA$106,$AI65),1),IF($AJ65&gt;0,INDEX(BA$7:BA$106,$AJ65),1))))</ns0:f>
        <ns0:v>1</ns0:v>
      </ns0:c>
      <ns0:c r="BC65" t="n">
        <ns0:f>IF($A65="",1,IF(BB65=1,1,--AND(IF($AC65&gt;0,INDEX(BB$7:BB$106,$AC65),1),IF($AD65&gt;0,INDEX(BB$7:BB$106,$AD65),1),IF($AE65&gt;0,INDEX(BB$7:BB$106,$AE65),1),IF($AF65&gt;0,INDEX(BB$7:BB$106,$AF65),1),IF($AG65&gt;0,INDEX(BB$7:BB$106,$AG65),1),IF($AH65&gt;0,INDEX(BB$7:BB$106,$AH65),1),IF($AI65&gt;0,INDEX(BB$7:BB$106,$AI65),1),IF($AJ65&gt;0,INDEX(BB$7:BB$106,$AJ65),1))))</ns0:f>
        <ns0:v>1</ns0:v>
      </ns0:c>
      <ns0:c r="BD65" t="n">
        <ns0:f>IF($A65="",1,IF(BC65=1,1,--AND(IF($AC65&gt;0,INDEX(BC$7:BC$106,$AC65),1),IF($AD65&gt;0,INDEX(BC$7:BC$106,$AD65),1),IF($AE65&gt;0,INDEX(BC$7:BC$106,$AE65),1),IF($AF65&gt;0,INDEX(BC$7:BC$106,$AF65),1),IF($AG65&gt;0,INDEX(BC$7:BC$106,$AG65),1),IF($AH65&gt;0,INDEX(BC$7:BC$106,$AH65),1),IF($AI65&gt;0,INDEX(BC$7:BC$106,$AI65),1),IF($AJ65&gt;0,INDEX(BC$7:BC$106,$AJ65),1))))</ns0:f>
        <ns0:v>1</ns0:v>
      </ns0:c>
      <ns0:c r="BE65" t="n">
        <ns0:f>IF($A65="",1,IF(BD65=1,1,--AND(IF($AC65&gt;0,INDEX(BD$7:BD$106,$AC65),1),IF($AD65&gt;0,INDEX(BD$7:BD$106,$AD65),1),IF($AE65&gt;0,INDEX(BD$7:BD$106,$AE65),1),IF($AF65&gt;0,INDEX(BD$7:BD$106,$AF65),1),IF($AG65&gt;0,INDEX(BD$7:BD$106,$AG65),1),IF($AH65&gt;0,INDEX(BD$7:BD$106,$AH65),1),IF($AI65&gt;0,INDEX(BD$7:BD$106,$AI65),1),IF($AJ65&gt;0,INDEX(BD$7:BD$106,$AJ65),1))))</ns0:f>
        <ns0:v>1</ns0:v>
      </ns0:c>
      <ns0:c r="BF65" t="n">
        <ns0:f>IF($A65="",1,IF(BE65=1,1,--AND(IF($AC65&gt;0,INDEX(BE$7:BE$106,$AC65),1),IF($AD65&gt;0,INDEX(BE$7:BE$106,$AD65),1),IF($AE65&gt;0,INDEX(BE$7:BE$106,$AE65),1),IF($AF65&gt;0,INDEX(BE$7:BE$106,$AF65),1),IF($AG65&gt;0,INDEX(BE$7:BE$106,$AG65),1),IF($AH65&gt;0,INDEX(BE$7:BE$106,$AH65),1),IF($AI65&gt;0,INDEX(BE$7:BE$106,$AI65),1),IF($AJ65&gt;0,INDEX(BE$7:BE$106,$AJ65),1))))</ns0:f>
        <ns0:v>1</ns0:v>
      </ns0:c>
      <ns0:c r="BG65" t="n">
        <ns0:f>IF($A65="",1,IF(BF65=1,1,--AND(IF($AC65&gt;0,INDEX(BF$7:BF$106,$AC65),1),IF($AD65&gt;0,INDEX(BF$7:BF$106,$AD65),1),IF($AE65&gt;0,INDEX(BF$7:BF$106,$AE65),1),IF($AF65&gt;0,INDEX(BF$7:BF$106,$AF65),1),IF($AG65&gt;0,INDEX(BF$7:BF$106,$AG65),1),IF($AH65&gt;0,INDEX(BF$7:BF$106,$AH65),1),IF($AI65&gt;0,INDEX(BF$7:BF$106,$AI65),1),IF($AJ65&gt;0,INDEX(BF$7:BF$106,$AJ65),1))))</ns0:f>
        <ns0:v>1</ns0:v>
      </ns0:c>
      <ns0:c r="BH65" t="n">
        <ns0:f>IF($A65="",1,IF(BG65=1,1,--AND(IF($AC65&gt;0,INDEX(BG$7:BG$106,$AC65),1),IF($AD65&gt;0,INDEX(BG$7:BG$106,$AD65),1),IF($AE65&gt;0,INDEX(BG$7:BG$106,$AE65),1),IF($AF65&gt;0,INDEX(BG$7:BG$106,$AF65),1),IF($AG65&gt;0,INDEX(BG$7:BG$106,$AG65),1),IF($AH65&gt;0,INDEX(BG$7:BG$106,$AH65),1),IF($AI65&gt;0,INDEX(BG$7:BG$106,$AI65),1),IF($AJ65&gt;0,INDEX(BG$7:BG$106,$AJ65),1))))</ns0:f>
        <ns0:v>1</ns0:v>
      </ns0:c>
      <ns0:c r="BI65" t="n">
        <ns0:f>IF($A65="",1,IF(BH65=1,1,--AND(IF($AC65&gt;0,INDEX(BH$7:BH$106,$AC65),1),IF($AD65&gt;0,INDEX(BH$7:BH$106,$AD65),1),IF($AE65&gt;0,INDEX(BH$7:BH$106,$AE65),1),IF($AF65&gt;0,INDEX(BH$7:BH$106,$AF65),1),IF($AG65&gt;0,INDEX(BH$7:BH$106,$AG65),1),IF($AH65&gt;0,INDEX(BH$7:BH$106,$AH65),1),IF($AI65&gt;0,INDEX(BH$7:BH$106,$AI65),1),IF($AJ65&gt;0,INDEX(BH$7:BH$106,$AJ65),1))))</ns0:f>
        <ns0:v>1</ns0:v>
      </ns0:c>
      <ns0:c r="BJ65" t="n">
        <ns0:f>IF($A65="",1,IF(BI65=1,1,--AND(IF($AC65&gt;0,INDEX(BI$7:BI$106,$AC65),1),IF($AD65&gt;0,INDEX(BI$7:BI$106,$AD65),1),IF($AE65&gt;0,INDEX(BI$7:BI$106,$AE65),1),IF($AF65&gt;0,INDEX(BI$7:BI$106,$AF65),1),IF($AG65&gt;0,INDEX(BI$7:BI$106,$AG65),1),IF($AH65&gt;0,INDEX(BI$7:BI$106,$AH65),1),IF($AI65&gt;0,INDEX(BI$7:BI$106,$AI65),1),IF($AJ65&gt;0,INDEX(BI$7:BI$106,$AJ65),1))))</ns0:f>
        <ns0:v>1</ns0:v>
      </ns0:c>
      <ns0:c r="BK65" t="n">
        <ns0:f>IF($A65="",1,IF(BJ65=1,1,--AND(IF($AC65&gt;0,INDEX(BJ$7:BJ$106,$AC65),1),IF($AD65&gt;0,INDEX(BJ$7:BJ$106,$AD65),1),IF($AE65&gt;0,INDEX(BJ$7:BJ$106,$AE65),1),IF($AF65&gt;0,INDEX(BJ$7:BJ$106,$AF65),1),IF($AG65&gt;0,INDEX(BJ$7:BJ$106,$AG65),1),IF($AH65&gt;0,INDEX(BJ$7:BJ$106,$AH65),1),IF($AI65&gt;0,INDEX(BJ$7:BJ$106,$AI65),1),IF($AJ65&gt;0,INDEX(BJ$7:BJ$106,$AJ65),1))))</ns0:f>
        <ns0:v>1</ns0:v>
      </ns0:c>
      <ns0:c r="BL65" t="n">
        <ns0:f>IF($A65="",1,IF(BK65=1,1,--AND(IF($AC65&gt;0,INDEX(BK$7:BK$106,$AC65),1),IF($AD65&gt;0,INDEX(BK$7:BK$106,$AD65),1),IF($AE65&gt;0,INDEX(BK$7:BK$106,$AE65),1),IF($AF65&gt;0,INDEX(BK$7:BK$106,$AF65),1),IF($AG65&gt;0,INDEX(BK$7:BK$106,$AG65),1),IF($AH65&gt;0,INDEX(BK$7:BK$106,$AH65),1),IF($AI65&gt;0,INDEX(BK$7:BK$106,$AI65),1),IF($AJ65&gt;0,INDEX(BK$7:BK$106,$AJ65),1))))</ns0:f>
        <ns0:v>1</ns0:v>
      </ns0:c>
      <ns0:c r="BM65" t="n">
        <ns0:f>IF($A65="",1,IF(BL65=1,1,--AND(IF($AC65&gt;0,INDEX(BL$7:BL$106,$AC65),1),IF($AD65&gt;0,INDEX(BL$7:BL$106,$AD65),1),IF($AE65&gt;0,INDEX(BL$7:BL$106,$AE65),1),IF($AF65&gt;0,INDEX(BL$7:BL$106,$AF65),1),IF($AG65&gt;0,INDEX(BL$7:BL$106,$AG65),1),IF($AH65&gt;0,INDEX(BL$7:BL$106,$AH65),1),IF($AI65&gt;0,INDEX(BL$7:BL$106,$AI65),1),IF($AJ65&gt;0,INDEX(BL$7:BL$106,$AJ65),1))))</ns0:f>
        <ns0:v>1</ns0:v>
      </ns0:c>
      <ns0:c r="BN65" t="n">
        <ns0:f>IF($A65="",1,IF(BM65=1,1,--AND(IF($AC65&gt;0,INDEX(BM$7:BM$106,$AC65),1),IF($AD65&gt;0,INDEX(BM$7:BM$106,$AD65),1),IF($AE65&gt;0,INDEX(BM$7:BM$106,$AE65),1),IF($AF65&gt;0,INDEX(BM$7:BM$106,$AF65),1),IF($AG65&gt;0,INDEX(BM$7:BM$106,$AG65),1),IF($AH65&gt;0,INDEX(BM$7:BM$106,$AH65),1),IF($AI65&gt;0,INDEX(BM$7:BM$106,$AI65),1),IF($AJ65&gt;0,INDEX(BM$7:BM$106,$AJ65),1))))</ns0:f>
        <ns0:v>1</ns0:v>
      </ns0:c>
      <ns0:c r="BO65" t="n">
        <ns0:f>IF($A65="",1,IF(BN65=1,1,--AND(IF($AC65&gt;0,INDEX(BN$7:BN$106,$AC65),1),IF($AD65&gt;0,INDEX(BN$7:BN$106,$AD65),1),IF($AE65&gt;0,INDEX(BN$7:BN$106,$AE65),1),IF($AF65&gt;0,INDEX(BN$7:BN$106,$AF65),1),IF($AG65&gt;0,INDEX(BN$7:BN$106,$AG65),1),IF($AH65&gt;0,INDEX(BN$7:BN$106,$AH65),1),IF($AI65&gt;0,INDEX(BN$7:BN$106,$AI65),1),IF($AJ65&gt;0,INDEX(BN$7:BN$106,$AJ65),1))))</ns0:f>
        <ns0:v>1</ns0:v>
      </ns0:c>
      <ns0:c r="BP65" t="n">
        <ns0:f>IF($A65="",1,IF(BO65=1,1,--AND(IF($AC65&gt;0,INDEX(BO$7:BO$106,$AC65),1),IF($AD65&gt;0,INDEX(BO$7:BO$106,$AD65),1),IF($AE65&gt;0,INDEX(BO$7:BO$106,$AE65),1),IF($AF65&gt;0,INDEX(BO$7:BO$106,$AF65),1),IF($AG65&gt;0,INDEX(BO$7:BO$106,$AG65),1),IF($AH65&gt;0,INDEX(BO$7:BO$106,$AH65),1),IF($AI65&gt;0,INDEX(BO$7:BO$106,$AI65),1),IF($AJ65&gt;0,INDEX(BO$7:BO$106,$AJ65),1))))</ns0:f>
        <ns0:v>1</ns0:v>
      </ns0:c>
      <ns0:c r="BQ65" t="n">
        <ns0:f>IF($A65="",1,IF(BP65=1,1,--AND(IF($AC65&gt;0,INDEX(BP$7:BP$106,$AC65),1),IF($AD65&gt;0,INDEX(BP$7:BP$106,$AD65),1),IF($AE65&gt;0,INDEX(BP$7:BP$106,$AE65),1),IF($AF65&gt;0,INDEX(BP$7:BP$106,$AF65),1),IF($AG65&gt;0,INDEX(BP$7:BP$106,$AG65),1),IF($AH65&gt;0,INDEX(BP$7:BP$106,$AH65),1),IF($AI65&gt;0,INDEX(BP$7:BP$106,$AI65),1),IF($AJ65&gt;0,INDEX(BP$7:BP$106,$AJ65),1))))</ns0:f>
        <ns0:v>1</ns0:v>
      </ns0:c>
      <ns0:c r="BR65" t="n">
        <ns0:f>IF($A65="",1,IF(BQ65=1,1,--AND(IF($AC65&gt;0,INDEX(BQ$7:BQ$106,$AC65),1),IF($AD65&gt;0,INDEX(BQ$7:BQ$106,$AD65),1),IF($AE65&gt;0,INDEX(BQ$7:BQ$106,$AE65),1),IF($AF65&gt;0,INDEX(BQ$7:BQ$106,$AF65),1),IF($AG65&gt;0,INDEX(BQ$7:BQ$106,$AG65),1),IF($AH65&gt;0,INDEX(BQ$7:BQ$106,$AH65),1),IF($AI65&gt;0,INDEX(BQ$7:BQ$106,$AI65),1),IF($AJ65&gt;0,INDEX(BQ$7:BQ$106,$AJ65),1))))</ns0:f>
        <ns0:v>1</ns0:v>
      </ns0:c>
      <ns0:c r="BS65" t="n">
        <ns0:f>IF($A65="",1,IF(BR65=1,1,--AND(IF($AC65&gt;0,INDEX(BR$7:BR$106,$AC65),1),IF($AD65&gt;0,INDEX(BR$7:BR$106,$AD65),1),IF($AE65&gt;0,INDEX(BR$7:BR$106,$AE65),1),IF($AF65&gt;0,INDEX(BR$7:BR$106,$AF65),1),IF($AG65&gt;0,INDEX(BR$7:BR$106,$AG65),1),IF($AH65&gt;0,INDEX(BR$7:BR$106,$AH65),1),IF($AI65&gt;0,INDEX(BR$7:BR$106,$AI65),1),IF($AJ65&gt;0,INDEX(BR$7:BR$106,$AJ65),1))))</ns0:f>
        <ns0:v>1</ns0:v>
      </ns0:c>
      <ns0:c r="BT65" t="n">
        <ns0:f>IF($A65="",1,IF(BS65=1,1,--AND(IF($AC65&gt;0,INDEX(BS$7:BS$106,$AC65),1),IF($AD65&gt;0,INDEX(BS$7:BS$106,$AD65),1),IF($AE65&gt;0,INDEX(BS$7:BS$106,$AE65),1),IF($AF65&gt;0,INDEX(BS$7:BS$106,$AF65),1),IF($AG65&gt;0,INDEX(BS$7:BS$106,$AG65),1),IF($AH65&gt;0,INDEX(BS$7:BS$106,$AH65),1),IF($AI65&gt;0,INDEX(BS$7:BS$106,$AI65),1),IF($AJ65&gt;0,INDEX(BS$7:BS$106,$AJ65),1))))</ns0:f>
        <ns0:v>1</ns0:v>
      </ns0:c>
      <ns0:c r="BU65" t="n">
        <ns0:f>IF($A65="",1,IF(BT65=1,1,--AND(IF($AC65&gt;0,INDEX(BT$7:BT$106,$AC65),1),IF($AD65&gt;0,INDEX(BT$7:BT$106,$AD65),1),IF($AE65&gt;0,INDEX(BT$7:BT$106,$AE65),1),IF($AF65&gt;0,INDEX(BT$7:BT$106,$AF65),1),IF($AG65&gt;0,INDEX(BT$7:BT$106,$AG65),1),IF($AH65&gt;0,INDEX(BT$7:BT$106,$AH65),1),IF($AI65&gt;0,INDEX(BT$7:BT$106,$AI65),1),IF($AJ65&gt;0,INDEX(BT$7:BT$106,$AJ65),1))))</ns0:f>
        <ns0:v>1</ns0:v>
      </ns0:c>
      <ns0:c r="BV65" t="n">
        <ns0:f>IF($A65="",1,IF(BU65=1,1,--AND(IF($AC65&gt;0,INDEX(BU$7:BU$106,$AC65),1),IF($AD65&gt;0,INDEX(BU$7:BU$106,$AD65),1),IF($AE65&gt;0,INDEX(BU$7:BU$106,$AE65),1),IF($AF65&gt;0,INDEX(BU$7:BU$106,$AF65),1),IF($AG65&gt;0,INDEX(BU$7:BU$106,$AG65),1),IF($AH65&gt;0,INDEX(BU$7:BU$106,$AH65),1),IF($AI65&gt;0,INDEX(BU$7:BU$106,$AI65),1),IF($AJ65&gt;0,INDEX(BU$7:BU$106,$AJ65),1))))</ns0:f>
        <ns0:v>1</ns0:v>
      </ns0:c>
      <ns0:c r="BW65" t="n">
        <ns0:f>IF($A65="",1,IF(BV65=1,1,--AND(IF($AC65&gt;0,INDEX(BV$7:BV$106,$AC65),1),IF($AD65&gt;0,INDEX(BV$7:BV$106,$AD65),1),IF($AE65&gt;0,INDEX(BV$7:BV$106,$AE65),1),IF($AF65&gt;0,INDEX(BV$7:BV$106,$AF65),1),IF($AG65&gt;0,INDEX(BV$7:BV$106,$AG65),1),IF($AH65&gt;0,INDEX(BV$7:BV$106,$AH65),1),IF($AI65&gt;0,INDEX(BV$7:BV$106,$AI65),1),IF($AJ65&gt;0,INDEX(BV$7:BV$106,$AJ65),1))))</ns0:f>
        <ns0:v>1</ns0:v>
      </ns0:c>
      <ns0:c r="BX65" t="n">
        <ns0:f>IF($A65="",1,IF(BW65=1,1,--AND(IF($AC65&gt;0,INDEX(BW$7:BW$106,$AC65),1),IF($AD65&gt;0,INDEX(BW$7:BW$106,$AD65),1),IF($AE65&gt;0,INDEX(BW$7:BW$106,$AE65),1),IF($AF65&gt;0,INDEX(BW$7:BW$106,$AF65),1),IF($AG65&gt;0,INDEX(BW$7:BW$106,$AG65),1),IF($AH65&gt;0,INDEX(BW$7:BW$106,$AH65),1),IF($AI65&gt;0,INDEX(BW$7:BW$106,$AI65),1),IF($AJ65&gt;0,INDEX(BW$7:BW$106,$AJ65),1))))</ns0:f>
        <ns0:v>1</ns0:v>
      </ns0:c>
      <ns0:c r="BY65" t="n">
        <ns0:f>IF($A65="",1,IF(BX65=1,1,--AND(IF($AC65&gt;0,INDEX(BX$7:BX$106,$AC65),1),IF($AD65&gt;0,INDEX(BX$7:BX$106,$AD65),1),IF($AE65&gt;0,INDEX(BX$7:BX$106,$AE65),1),IF($AF65&gt;0,INDEX(BX$7:BX$106,$AF65),1),IF($AG65&gt;0,INDEX(BX$7:BX$106,$AG65),1),IF($AH65&gt;0,INDEX(BX$7:BX$106,$AH65),1),IF($AI65&gt;0,INDEX(BX$7:BX$106,$AI65),1),IF($AJ65&gt;0,INDEX(BX$7:BX$106,$AJ65),1))))</ns0:f>
        <ns0:v>1</ns0:v>
      </ns0:c>
      <ns0:c r="BZ65" t="n">
        <ns0:f>IF($A65="",1,IF(BY65=1,1,--AND(IF($AC65&gt;0,INDEX(BY$7:BY$106,$AC65),1),IF($AD65&gt;0,INDEX(BY$7:BY$106,$AD65),1),IF($AE65&gt;0,INDEX(BY$7:BY$106,$AE65),1),IF($AF65&gt;0,INDEX(BY$7:BY$106,$AF65),1),IF($AG65&gt;0,INDEX(BY$7:BY$106,$AG65),1),IF($AH65&gt;0,INDEX(BY$7:BY$106,$AH65),1),IF($AI65&gt;0,INDEX(BY$7:BY$106,$AI65),1),IF($AJ65&gt;0,INDEX(BY$7:BY$106,$AJ65),1))))</ns0:f>
        <ns0:v>1</ns0:v>
      </ns0:c>
      <ns0:c r="CA65" t="n">
        <ns0:f>IF($A65="",1,IF(BZ65=1,1,--AND(IF($AC65&gt;0,INDEX(BZ$7:BZ$106,$AC65),1),IF($AD65&gt;0,INDEX(BZ$7:BZ$106,$AD65),1),IF($AE65&gt;0,INDEX(BZ$7:BZ$106,$AE65),1),IF($AF65&gt;0,INDEX(BZ$7:BZ$106,$AF65),1),IF($AG65&gt;0,INDEX(BZ$7:BZ$106,$AG65),1),IF($AH65&gt;0,INDEX(BZ$7:BZ$106,$AH65),1),IF($AI65&gt;0,INDEX(BZ$7:BZ$106,$AI65),1),IF($AJ65&gt;0,INDEX(BZ$7:BZ$106,$AJ65),1))))</ns0:f>
        <ns0:v>1</ns0:v>
      </ns0:c>
      <ns0:c r="CB65" t="n">
        <ns0:f>IF($A65="",1,IF(CA65=1,1,--AND(IF($AC65&gt;0,INDEX(CA$7:CA$106,$AC65),1),IF($AD65&gt;0,INDEX(CA$7:CA$106,$AD65),1),IF($AE65&gt;0,INDEX(CA$7:CA$106,$AE65),1),IF($AF65&gt;0,INDEX(CA$7:CA$106,$AF65),1),IF($AG65&gt;0,INDEX(CA$7:CA$106,$AG65),1),IF($AH65&gt;0,INDEX(CA$7:CA$106,$AH65),1),IF($AI65&gt;0,INDEX(CA$7:CA$106,$AI65),1),IF($AJ65&gt;0,INDEX(CA$7:CA$106,$AJ65),1))))</ns0:f>
        <ns0:v>1</ns0:v>
      </ns0:c>
      <ns0:c r="CC65" t="n">
        <ns0:f>IF($A65="",1,IF(CB65=1,1,--AND(IF($AC65&gt;0,INDEX(CB$7:CB$106,$AC65),1),IF($AD65&gt;0,INDEX(CB$7:CB$106,$AD65),1),IF($AE65&gt;0,INDEX(CB$7:CB$106,$AE65),1),IF($AF65&gt;0,INDEX(CB$7:CB$106,$AF65),1),IF($AG65&gt;0,INDEX(CB$7:CB$106,$AG65),1),IF($AH65&gt;0,INDEX(CB$7:CB$106,$AH65),1),IF($AI65&gt;0,INDEX(CB$7:CB$106,$AI65),1),IF($AJ65&gt;0,INDEX(CB$7:CB$106,$AJ65),1))))</ns0:f>
        <ns0:v>1</ns0:v>
      </ns0:c>
      <ns0:c r="CD65" t="n">
        <ns0:f>IF($A65="",1,IF(CC65=1,1,--AND(IF($AC65&gt;0,INDEX(CC$7:CC$106,$AC65),1),IF($AD65&gt;0,INDEX(CC$7:CC$106,$AD65),1),IF($AE65&gt;0,INDEX(CC$7:CC$106,$AE65),1),IF($AF65&gt;0,INDEX(CC$7:CC$106,$AF65),1),IF($AG65&gt;0,INDEX(CC$7:CC$106,$AG65),1),IF($AH65&gt;0,INDEX(CC$7:CC$106,$AH65),1),IF($AI65&gt;0,INDEX(CC$7:CC$106,$AI65),1),IF($AJ65&gt;0,INDEX(CC$7:CC$106,$AJ65),1))))</ns0:f>
        <ns0:v>1</ns0:v>
      </ns0:c>
      <ns0:c r="CE65" t="n">
        <ns0:f>IF($A65="",1,IF(CD65=1,1,--AND(IF($AC65&gt;0,INDEX(CD$7:CD$106,$AC65),1),IF($AD65&gt;0,INDEX(CD$7:CD$106,$AD65),1),IF($AE65&gt;0,INDEX(CD$7:CD$106,$AE65),1),IF($AF65&gt;0,INDEX(CD$7:CD$106,$AF65),1),IF($AG65&gt;0,INDEX(CD$7:CD$106,$AG65),1),IF($AH65&gt;0,INDEX(CD$7:CD$106,$AH65),1),IF($AI65&gt;0,INDEX(CD$7:CD$106,$AI65),1),IF($AJ65&gt;0,INDEX(CD$7:CD$106,$AJ65),1))))</ns0:f>
        <ns0:v>1</ns0:v>
      </ns0:c>
      <ns0:c r="CF65" t="n">
        <ns0:f>IF($A65="",1,IF(CE65=1,1,--AND(IF($AC65&gt;0,INDEX(CE$7:CE$106,$AC65),1),IF($AD65&gt;0,INDEX(CE$7:CE$106,$AD65),1),IF($AE65&gt;0,INDEX(CE$7:CE$106,$AE65),1),IF($AF65&gt;0,INDEX(CE$7:CE$106,$AF65),1),IF($AG65&gt;0,INDEX(CE$7:CE$106,$AG65),1),IF($AH65&gt;0,INDEX(CE$7:CE$106,$AH65),1),IF($AI65&gt;0,INDEX(CE$7:CE$106,$AI65),1),IF($AJ65&gt;0,INDEX(CE$7:CE$106,$AJ65),1))))</ns0:f>
        <ns0:v>1</ns0:v>
      </ns0:c>
      <ns0:c r="CG65" t="n">
        <ns0:f>IF($A65="",1,IF(CF65=1,1,--AND(IF($AC65&gt;0,INDEX(CF$7:CF$106,$AC65),1),IF($AD65&gt;0,INDEX(CF$7:CF$106,$AD65),1),IF($AE65&gt;0,INDEX(CF$7:CF$106,$AE65),1),IF($AF65&gt;0,INDEX(CF$7:CF$106,$AF65),1),IF($AG65&gt;0,INDEX(CF$7:CF$106,$AG65),1),IF($AH65&gt;0,INDEX(CF$7:CF$106,$AH65),1),IF($AI65&gt;0,INDEX(CF$7:CF$106,$AI65),1),IF($AJ65&gt;0,INDEX(CF$7:CF$106,$AJ65),1))))</ns0:f>
        <ns0:v>1</ns0:v>
      </ns0:c>
      <ns0:c r="CH65" t="n">
        <ns0:f>IF($A65="",1,IF(CG65=1,1,--AND(IF($AC65&gt;0,INDEX(CG$7:CG$106,$AC65),1),IF($AD65&gt;0,INDEX(CG$7:CG$106,$AD65),1),IF($AE65&gt;0,INDEX(CG$7:CG$106,$AE65),1),IF($AF65&gt;0,INDEX(CG$7:CG$106,$AF65),1),IF($AG65&gt;0,INDEX(CG$7:CG$106,$AG65),1),IF($AH65&gt;0,INDEX(CG$7:CG$106,$AH65),1),IF($AI65&gt;0,INDEX(CG$7:CG$106,$AI65),1),IF($AJ65&gt;0,INDEX(CG$7:CG$106,$AJ65),1))))</ns0:f>
        <ns0:v>1</ns0:v>
      </ns0:c>
      <ns0:c r="CI65" t="n">
        <ns0:f>IF($A65="",1,IF(CH65=1,1,--AND(IF($AC65&gt;0,INDEX(CH$7:CH$106,$AC65),1),IF($AD65&gt;0,INDEX(CH$7:CH$106,$AD65),1),IF($AE65&gt;0,INDEX(CH$7:CH$106,$AE65),1),IF($AF65&gt;0,INDEX(CH$7:CH$106,$AF65),1),IF($AG65&gt;0,INDEX(CH$7:CH$106,$AG65),1),IF($AH65&gt;0,INDEX(CH$7:CH$106,$AH65),1),IF($AI65&gt;0,INDEX(CH$7:CH$106,$AI65),1),IF($AJ65&gt;0,INDEX(CH$7:CH$106,$AJ65),1))))</ns0:f>
        <ns0:v>1</ns0:v>
      </ns0:c>
      <ns0:c r="CJ65" t="n">
        <ns0:f>IF($A65="",1,IF(CI65=1,1,--AND(IF($AC65&gt;0,INDEX(CI$7:CI$106,$AC65),1),IF($AD65&gt;0,INDEX(CI$7:CI$106,$AD65),1),IF($AE65&gt;0,INDEX(CI$7:CI$106,$AE65),1),IF($AF65&gt;0,INDEX(CI$7:CI$106,$AF65),1),IF($AG65&gt;0,INDEX(CI$7:CI$106,$AG65),1),IF($AH65&gt;0,INDEX(CI$7:CI$106,$AH65),1),IF($AI65&gt;0,INDEX(CI$7:CI$106,$AI65),1),IF($AJ65&gt;0,INDEX(CI$7:CI$106,$AJ65),1))))</ns0:f>
        <ns0:v>1</ns0:v>
      </ns0:c>
      <ns0:c r="CK65" t="n">
        <ns0:f>IF($A65="",1,IF(CJ65=1,1,--AND(IF($AC65&gt;0,INDEX(CJ$7:CJ$106,$AC65),1),IF($AD65&gt;0,INDEX(CJ$7:CJ$106,$AD65),1),IF($AE65&gt;0,INDEX(CJ$7:CJ$106,$AE65),1),IF($AF65&gt;0,INDEX(CJ$7:CJ$106,$AF65),1),IF($AG65&gt;0,INDEX(CJ$7:CJ$106,$AG65),1),IF($AH65&gt;0,INDEX(CJ$7:CJ$106,$AH65),1),IF($AI65&gt;0,INDEX(CJ$7:CJ$106,$AI65),1),IF($AJ65&gt;0,INDEX(CJ$7:CJ$106,$AJ65),1))))</ns0:f>
        <ns0:v>1</ns0:v>
      </ns0:c>
      <ns0:c r="CL65" t="n">
        <ns0:f>IF($A65="",1,IF(CK65=1,1,--AND(IF($AC65&gt;0,INDEX(CK$7:CK$106,$AC65),1),IF($AD65&gt;0,INDEX(CK$7:CK$106,$AD65),1),IF($AE65&gt;0,INDEX(CK$7:CK$106,$AE65),1),IF($AF65&gt;0,INDEX(CK$7:CK$106,$AF65),1),IF($AG65&gt;0,INDEX(CK$7:CK$106,$AG65),1),IF($AH65&gt;0,INDEX(CK$7:CK$106,$AH65),1),IF($AI65&gt;0,INDEX(CK$7:CK$106,$AI65),1),IF($AJ65&gt;0,INDEX(CK$7:CK$106,$AJ65),1))))</ns0:f>
        <ns0:v>1</ns0:v>
      </ns0:c>
      <ns0:c r="CM65" t="n">
        <ns0:f>IF($A65="",1,IF(CL65=1,1,--AND(IF($AC65&gt;0,INDEX(CL$7:CL$106,$AC65),1),IF($AD65&gt;0,INDEX(CL$7:CL$106,$AD65),1),IF($AE65&gt;0,INDEX(CL$7:CL$106,$AE65),1),IF($AF65&gt;0,INDEX(CL$7:CL$106,$AF65),1),IF($AG65&gt;0,INDEX(CL$7:CL$106,$AG65),1),IF($AH65&gt;0,INDEX(CL$7:CL$106,$AH65),1),IF($AI65&gt;0,INDEX(CL$7:CL$106,$AI65),1),IF($AJ65&gt;0,INDEX(CL$7:CL$106,$AJ65),1))))</ns0:f>
        <ns0:v>1</ns0:v>
      </ns0:c>
      <ns0:c r="CN65" t="n">
        <ns0:f>IF($A65="",1,IF(CM65=1,1,--AND(IF($AC65&gt;0,INDEX(CM$7:CM$106,$AC65),1),IF($AD65&gt;0,INDEX(CM$7:CM$106,$AD65),1),IF($AE65&gt;0,INDEX(CM$7:CM$106,$AE65),1),IF($AF65&gt;0,INDEX(CM$7:CM$106,$AF65),1),IF($AG65&gt;0,INDEX(CM$7:CM$106,$AG65),1),IF($AH65&gt;0,INDEX(CM$7:CM$106,$AH65),1),IF($AI65&gt;0,INDEX(CM$7:CM$106,$AI65),1),IF($AJ65&gt;0,INDEX(CM$7:CM$106,$AJ65),1))))</ns0:f>
        <ns0:v>1</ns0:v>
      </ns0:c>
      <ns0:c r="CO65" t="n">
        <ns0:f>IF($A65="",1,IF(CN65=1,1,--AND(IF($AC65&gt;0,INDEX(CN$7:CN$106,$AC65),1),IF($AD65&gt;0,INDEX(CN$7:CN$106,$AD65),1),IF($AE65&gt;0,INDEX(CN$7:CN$106,$AE65),1),IF($AF65&gt;0,INDEX(CN$7:CN$106,$AF65),1),IF($AG65&gt;0,INDEX(CN$7:CN$106,$AG65),1),IF($AH65&gt;0,INDEX(CN$7:CN$106,$AH65),1),IF($AI65&gt;0,INDEX(CN$7:CN$106,$AI65),1),IF($AJ65&gt;0,INDEX(CN$7:CN$106,$AJ65),1))))</ns0:f>
        <ns0:v>1</ns0:v>
      </ns0:c>
      <ns0:c r="CP65" t="n">
        <ns0:f>IF($A65="",1,IF(CO65=1,1,--AND(IF($AC65&gt;0,INDEX(CO$7:CO$106,$AC65),1),IF($AD65&gt;0,INDEX(CO$7:CO$106,$AD65),1),IF($AE65&gt;0,INDEX(CO$7:CO$106,$AE65),1),IF($AF65&gt;0,INDEX(CO$7:CO$106,$AF65),1),IF($AG65&gt;0,INDEX(CO$7:CO$106,$AG65),1),IF($AH65&gt;0,INDEX(CO$7:CO$106,$AH65),1),IF($AI65&gt;0,INDEX(CO$7:CO$106,$AI65),1),IF($AJ65&gt;0,INDEX(CO$7:CO$106,$AJ65),1))))</ns0:f>
        <ns0:v>1</ns0:v>
      </ns0:c>
      <ns0:c r="CQ65" t="n">
        <ns0:f>IF($A65="",1,IF(CP65=1,1,--AND(IF($AC65&gt;0,INDEX(CP$7:CP$106,$AC65),1),IF($AD65&gt;0,INDEX(CP$7:CP$106,$AD65),1),IF($AE65&gt;0,INDEX(CP$7:CP$106,$AE65),1),IF($AF65&gt;0,INDEX(CP$7:CP$106,$AF65),1),IF($AG65&gt;0,INDEX(CP$7:CP$106,$AG65),1),IF($AH65&gt;0,INDEX(CP$7:CP$106,$AH65),1),IF($AI65&gt;0,INDEX(CP$7:CP$106,$AI65),1),IF($AJ65&gt;0,INDEX(CP$7:CP$106,$AJ65),1))))</ns0:f>
        <ns0:v>1</ns0:v>
      </ns0:c>
      <ns0:c r="CR65" t="n">
        <ns0:f>IF($A65="",1,IF(CQ65=1,1,--AND(IF($AC65&gt;0,INDEX(CQ$7:CQ$106,$AC65),1),IF($AD65&gt;0,INDEX(CQ$7:CQ$106,$AD65),1),IF($AE65&gt;0,INDEX(CQ$7:CQ$106,$AE65),1),IF($AF65&gt;0,INDEX(CQ$7:CQ$106,$AF65),1),IF($AG65&gt;0,INDEX(CQ$7:CQ$106,$AG65),1),IF($AH65&gt;0,INDEX(CQ$7:CQ$106,$AH65),1),IF($AI65&gt;0,INDEX(CQ$7:CQ$106,$AI65),1),IF($AJ65&gt;0,INDEX(CQ$7:CQ$106,$AJ65),1))))</ns0:f>
        <ns0:v>1</ns0:v>
      </ns0:c>
      <ns0:c r="CS65" t="n">
        <ns0:f>IF($A65="",1,IF(CR65=1,1,--AND(IF($AC65&gt;0,INDEX(CR$7:CR$106,$AC65),1),IF($AD65&gt;0,INDEX(CR$7:CR$106,$AD65),1),IF($AE65&gt;0,INDEX(CR$7:CR$106,$AE65),1),IF($AF65&gt;0,INDEX(CR$7:CR$106,$AF65),1),IF($AG65&gt;0,INDEX(CR$7:CR$106,$AG65),1),IF($AH65&gt;0,INDEX(CR$7:CR$106,$AH65),1),IF($AI65&gt;0,INDEX(CR$7:CR$106,$AI65),1),IF($AJ65&gt;0,INDEX(CR$7:CR$106,$AJ65),1))))</ns0:f>
        <ns0:v>1</ns0:v>
      </ns0:c>
      <ns0:c r="CT65" t="n">
        <ns0:f>IF($A65="",1,IF(CS65=1,1,--AND(IF($AC65&gt;0,INDEX(CS$7:CS$106,$AC65),1),IF($AD65&gt;0,INDEX(CS$7:CS$106,$AD65),1),IF($AE65&gt;0,INDEX(CS$7:CS$106,$AE65),1),IF($AF65&gt;0,INDEX(CS$7:CS$106,$AF65),1),IF($AG65&gt;0,INDEX(CS$7:CS$106,$AG65),1),IF($AH65&gt;0,INDEX(CS$7:CS$106,$AH65),1),IF($AI65&gt;0,INDEX(CS$7:CS$106,$AI65),1),IF($AJ65&gt;0,INDEX(CS$7:CS$106,$AJ65),1))))</ns0:f>
        <ns0:v>1</ns0:v>
      </ns0:c>
      <ns0:c r="CU65" t="n">
        <ns0:f>IF($A65="",1,IF(CT65=1,1,--AND(IF($AC65&gt;0,INDEX(CT$7:CT$106,$AC65),1),IF($AD65&gt;0,INDEX(CT$7:CT$106,$AD65),1),IF($AE65&gt;0,INDEX(CT$7:CT$106,$AE65),1),IF($AF65&gt;0,INDEX(CT$7:CT$106,$AF65),1),IF($AG65&gt;0,INDEX(CT$7:CT$106,$AG65),1),IF($AH65&gt;0,INDEX(CT$7:CT$106,$AH65),1),IF($AI65&gt;0,INDEX(CT$7:CT$106,$AI65),1),IF($AJ65&gt;0,INDEX(CT$7:CT$106,$AJ65),1))))</ns0:f>
        <ns0:v>1</ns0:v>
      </ns0:c>
      <ns0:c r="CV65" t="n">
        <ns0:f>IF($A65="",1,IF(CU65=1,1,--AND(IF($AC65&gt;0,INDEX(CU$7:CU$106,$AC65),1),IF($AD65&gt;0,INDEX(CU$7:CU$106,$AD65),1),IF($AE65&gt;0,INDEX(CU$7:CU$106,$AE65),1),IF($AF65&gt;0,INDEX(CU$7:CU$106,$AF65),1),IF($AG65&gt;0,INDEX(CU$7:CU$106,$AG65),1),IF($AH65&gt;0,INDEX(CU$7:CU$106,$AH65),1),IF($AI65&gt;0,INDEX(CU$7:CU$106,$AI65),1),IF($AJ65&gt;0,INDEX(CU$7:CU$106,$AJ65),1))))</ns0:f>
        <ns0:v>1</ns0:v>
      </ns0:c>
      <ns0:c r="CW65" t="n">
        <ns0:f>IF($A65="",1,IF(CV65=1,1,--AND(IF($AC65&gt;0,INDEX(CV$7:CV$106,$AC65),1),IF($AD65&gt;0,INDEX(CV$7:CV$106,$AD65),1),IF($AE65&gt;0,INDEX(CV$7:CV$106,$AE65),1),IF($AF65&gt;0,INDEX(CV$7:CV$106,$AF65),1),IF($AG65&gt;0,INDEX(CV$7:CV$106,$AG65),1),IF($AH65&gt;0,INDEX(CV$7:CV$106,$AH65),1),IF($AI65&gt;0,INDEX(CV$7:CV$106,$AI65),1),IF($AJ65&gt;0,INDEX(CV$7:CV$106,$AJ65),1))))</ns0:f>
        <ns0:v>1</ns0:v>
      </ns0:c>
      <ns0:c r="CX65" t="n">
        <ns0:f>IF($A65="",1,IF(CW65=1,1,--AND(IF($AC65&gt;0,INDEX(CW$7:CW$106,$AC65),1),IF($AD65&gt;0,INDEX(CW$7:CW$106,$AD65),1),IF($AE65&gt;0,INDEX(CW$7:CW$106,$AE65),1),IF($AF65&gt;0,INDEX(CW$7:CW$106,$AF65),1),IF($AG65&gt;0,INDEX(CW$7:CW$106,$AG65),1),IF($AH65&gt;0,INDEX(CW$7:CW$106,$AH65),1),IF($AI65&gt;0,INDEX(CW$7:CW$106,$AI65),1),IF($AJ65&gt;0,INDEX(CW$7:CW$106,$AJ65),1))))</ns0:f>
        <ns0:v>1</ns0:v>
      </ns0:c>
      <ns0:c r="CY65" t="n">
        <ns0:f>IF($A65="",1,IF(CX65=1,1,--AND(IF($AC65&gt;0,INDEX(CX$7:CX$106,$AC65),1),IF($AD65&gt;0,INDEX(CX$7:CX$106,$AD65),1),IF($AE65&gt;0,INDEX(CX$7:CX$106,$AE65),1),IF($AF65&gt;0,INDEX(CX$7:CX$106,$AF65),1),IF($AG65&gt;0,INDEX(CX$7:CX$106,$AG65),1),IF($AH65&gt;0,INDEX(CX$7:CX$106,$AH65),1),IF($AI65&gt;0,INDEX(CX$7:CX$106,$AI65),1),IF($AJ65&gt;0,INDEX(CX$7:CX$106,$AJ65),1))))</ns0:f>
        <ns0:v>1</ns0:v>
      </ns0:c>
      <ns0:c r="CZ65" t="n">
        <ns0:f>IF($A65="",1,IF(CY65=1,1,--AND(IF($AC65&gt;0,INDEX(CY$7:CY$106,$AC65),1),IF($AD65&gt;0,INDEX(CY$7:CY$106,$AD65),1),IF($AE65&gt;0,INDEX(CY$7:CY$106,$AE65),1),IF($AF65&gt;0,INDEX(CY$7:CY$106,$AF65),1),IF($AG65&gt;0,INDEX(CY$7:CY$106,$AG65),1),IF($AH65&gt;0,INDEX(CY$7:CY$106,$AH65),1),IF($AI65&gt;0,INDEX(CY$7:CY$106,$AI65),1),IF($AJ65&gt;0,INDEX(CY$7:CY$106,$AJ65),1))))</ns0:f>
        <ns0:v>1</ns0:v>
      </ns0:c>
      <ns0:c r="DA65" t="n">
        <ns0:f>IF($A65="",1,IF(CZ65=1,1,--AND(IF($AC65&gt;0,INDEX(CZ$7:CZ$106,$AC65),1),IF($AD65&gt;0,INDEX(CZ$7:CZ$106,$AD65),1),IF($AE65&gt;0,INDEX(CZ$7:CZ$106,$AE65),1),IF($AF65&gt;0,INDEX(CZ$7:CZ$106,$AF65),1),IF($AG65&gt;0,INDEX(CZ$7:CZ$106,$AG65),1),IF($AH65&gt;0,INDEX(CZ$7:CZ$106,$AH65),1),IF($AI65&gt;0,INDEX(CZ$7:CZ$106,$AI65),1),IF($AJ65&gt;0,INDEX(CZ$7:CZ$106,$AJ65),1))))</ns0:f>
        <ns0:v>1</ns0:v>
      </ns0:c>
      <ns0:c r="DB65" t="n">
        <ns0:f>IF($A65="",1,IF(DA65=1,1,--AND(IF($AC65&gt;0,INDEX(DA$7:DA$106,$AC65),1),IF($AD65&gt;0,INDEX(DA$7:DA$106,$AD65),1),IF($AE65&gt;0,INDEX(DA$7:DA$106,$AE65),1),IF($AF65&gt;0,INDEX(DA$7:DA$106,$AF65),1),IF($AG65&gt;0,INDEX(DA$7:DA$106,$AG65),1),IF($AH65&gt;0,INDEX(DA$7:DA$106,$AH65),1),IF($AI65&gt;0,INDEX(DA$7:DA$106,$AI65),1),IF($AJ65&gt;0,INDEX(DA$7:DA$106,$AJ65),1))))</ns0:f>
        <ns0:v>1</ns0:v>
      </ns0:c>
      <ns0:c r="DC65" t="n">
        <ns0:f>IF($A65="",1,IF(DB65=1,1,--AND(IF($AC65&gt;0,INDEX(DB$7:DB$106,$AC65),1),IF($AD65&gt;0,INDEX(DB$7:DB$106,$AD65),1),IF($AE65&gt;0,INDEX(DB$7:DB$106,$AE65),1),IF($AF65&gt;0,INDEX(DB$7:DB$106,$AF65),1),IF($AG65&gt;0,INDEX(DB$7:DB$106,$AG65),1),IF($AH65&gt;0,INDEX(DB$7:DB$106,$AH65),1),IF($AI65&gt;0,INDEX(DB$7:DB$106,$AI65),1),IF($AJ65&gt;0,INDEX(DB$7:DB$106,$AJ65),1))))</ns0:f>
        <ns0:v>1</ns0:v>
      </ns0:c>
      <ns0:c r="DD65" t="n">
        <ns0:f>IF($A65="",1,IF(DC65=1,1,--AND(IF($AC65&gt;0,INDEX(DC$7:DC$106,$AC65),1),IF($AD65&gt;0,INDEX(DC$7:DC$106,$AD65),1),IF($AE65&gt;0,INDEX(DC$7:DC$106,$AE65),1),IF($AF65&gt;0,INDEX(DC$7:DC$106,$AF65),1),IF($AG65&gt;0,INDEX(DC$7:DC$106,$AG65),1),IF($AH65&gt;0,INDEX(DC$7:DC$106,$AH65),1),IF($AI65&gt;0,INDEX(DC$7:DC$106,$AI65),1),IF($AJ65&gt;0,INDEX(DC$7:DC$106,$AJ65),1))))</ns0:f>
        <ns0:v>1</ns0:v>
      </ns0:c>
      <ns0:c r="DE65" t="n">
        <ns0:f>IF($A65="",1,IF(DD65=1,1,--AND(IF($AC65&gt;0,INDEX(DD$7:DD$106,$AC65),1),IF($AD65&gt;0,INDEX(DD$7:DD$106,$AD65),1),IF($AE65&gt;0,INDEX(DD$7:DD$106,$AE65),1),IF($AF65&gt;0,INDEX(DD$7:DD$106,$AF65),1),IF($AG65&gt;0,INDEX(DD$7:DD$106,$AG65),1),IF($AH65&gt;0,INDEX(DD$7:DD$106,$AH65),1),IF($AI65&gt;0,INDEX(DD$7:DD$106,$AI65),1),IF($AJ65&gt;0,INDEX(DD$7:DD$106,$AJ65),1))))</ns0:f>
        <ns0:v>1</ns0:v>
      </ns0:c>
      <ns0:c r="DF65" t="n">
        <ns0:f>IF($A65="",1,IF(DE65=1,1,--AND(IF($AC65&gt;0,INDEX(DE$7:DE$106,$AC65),1),IF($AD65&gt;0,INDEX(DE$7:DE$106,$AD65),1),IF($AE65&gt;0,INDEX(DE$7:DE$106,$AE65),1),IF($AF65&gt;0,INDEX(DE$7:DE$106,$AF65),1),IF($AG65&gt;0,INDEX(DE$7:DE$106,$AG65),1),IF($AH65&gt;0,INDEX(DE$7:DE$106,$AH65),1),IF($AI65&gt;0,INDEX(DE$7:DE$106,$AI65),1),IF($AJ65&gt;0,INDEX(DE$7:DE$106,$AJ65),1))))</ns0:f>
        <ns0:v>1</ns0:v>
      </ns0:c>
      <ns0:c r="DG65" t="n">
        <ns0:f>IF($A65="",1,IF(DF65=1,1,--AND(IF($AC65&gt;0,INDEX(DF$7:DF$106,$AC65),1),IF($AD65&gt;0,INDEX(DF$7:DF$106,$AD65),1),IF($AE65&gt;0,INDEX(DF$7:DF$106,$AE65),1),IF($AF65&gt;0,INDEX(DF$7:DF$106,$AF65),1),IF($AG65&gt;0,INDEX(DF$7:DF$106,$AG65),1),IF($AH65&gt;0,INDEX(DF$7:DF$106,$AH65),1),IF($AI65&gt;0,INDEX(DF$7:DF$106,$AI65),1),IF($AJ65&gt;0,INDEX(DF$7:DF$106,$AJ65),1))))</ns0:f>
        <ns0:v>1</ns0:v>
      </ns0:c>
      <ns0:c r="DH65" t="n">
        <ns0:f>IF($A65="",1,IF(DG65=1,1,--AND(IF($AC65&gt;0,INDEX(DG$7:DG$106,$AC65),1),IF($AD65&gt;0,INDEX(DG$7:DG$106,$AD65),1),IF($AE65&gt;0,INDEX(DG$7:DG$106,$AE65),1),IF($AF65&gt;0,INDEX(DG$7:DG$106,$AF65),1),IF($AG65&gt;0,INDEX(DG$7:DG$106,$AG65),1),IF($AH65&gt;0,INDEX(DG$7:DG$106,$AH65),1),IF($AI65&gt;0,INDEX(DG$7:DG$106,$AI65),1),IF($AJ65&gt;0,INDEX(DG$7:DG$106,$AJ65),1))))</ns0:f>
        <ns0:v>1</ns0:v>
      </ns0:c>
      <ns0:c r="DI65" t="n">
        <ns0:f>IF($A65="",1,IF(DH65=1,1,--AND(IF($AC65&gt;0,INDEX(DH$7:DH$106,$AC65),1),IF($AD65&gt;0,INDEX(DH$7:DH$106,$AD65),1),IF($AE65&gt;0,INDEX(DH$7:DH$106,$AE65),1),IF($AF65&gt;0,INDEX(DH$7:DH$106,$AF65),1),IF($AG65&gt;0,INDEX(DH$7:DH$106,$AG65),1),IF($AH65&gt;0,INDEX(DH$7:DH$106,$AH65),1),IF($AI65&gt;0,INDEX(DH$7:DH$106,$AI65),1),IF($AJ65&gt;0,INDEX(DH$7:DH$106,$AJ65),1))))</ns0:f>
        <ns0:v>1</ns0:v>
      </ns0:c>
      <ns0:c r="DJ65" t="n">
        <ns0:f>IF($A65="",1,IF(DI65=1,1,--AND(IF($AC65&gt;0,INDEX(DI$7:DI$106,$AC65),1),IF($AD65&gt;0,INDEX(DI$7:DI$106,$AD65),1),IF($AE65&gt;0,INDEX(DI$7:DI$106,$AE65),1),IF($AF65&gt;0,INDEX(DI$7:DI$106,$AF65),1),IF($AG65&gt;0,INDEX(DI$7:DI$106,$AG65),1),IF($AH65&gt;0,INDEX(DI$7:DI$106,$AH65),1),IF($AI65&gt;0,INDEX(DI$7:DI$106,$AI65),1),IF($AJ65&gt;0,INDEX(DI$7:DI$106,$AJ65),1))))</ns0:f>
        <ns0:v>1</ns0:v>
      </ns0:c>
      <ns0:c r="DK65" t="n">
        <ns0:f>IF($A65="",1,IF(DJ65=1,1,--AND(IF($AC65&gt;0,INDEX(DJ$7:DJ$106,$AC65),1),IF($AD65&gt;0,INDEX(DJ$7:DJ$106,$AD65),1),IF($AE65&gt;0,INDEX(DJ$7:DJ$106,$AE65),1),IF($AF65&gt;0,INDEX(DJ$7:DJ$106,$AF65),1),IF($AG65&gt;0,INDEX(DJ$7:DJ$106,$AG65),1),IF($AH65&gt;0,INDEX(DJ$7:DJ$106,$AH65),1),IF($AI65&gt;0,INDEX(DJ$7:DJ$106,$AI65),1),IF($AJ65&gt;0,INDEX(DJ$7:DJ$106,$AJ65),1))))</ns0:f>
        <ns0:v>1</ns0:v>
      </ns0:c>
      <ns0:c r="DL65" t="n">
        <ns0:f>IF($A65="",1,IF(DK65=1,1,--AND(IF($AC65&gt;0,INDEX(DK$7:DK$106,$AC65),1),IF($AD65&gt;0,INDEX(DK$7:DK$106,$AD65),1),IF($AE65&gt;0,INDEX(DK$7:DK$106,$AE65),1),IF($AF65&gt;0,INDEX(DK$7:DK$106,$AF65),1),IF($AG65&gt;0,INDEX(DK$7:DK$106,$AG65),1),IF($AH65&gt;0,INDEX(DK$7:DK$106,$AH65),1),IF($AI65&gt;0,INDEX(DK$7:DK$106,$AI65),1),IF($AJ65&gt;0,INDEX(DK$7:DK$106,$AJ65),1))))</ns0:f>
        <ns0:v>1</ns0:v>
      </ns0:c>
      <ns0:c r="DM65" t="n">
        <ns0:f>IF($A65="",1,IF(DL65=1,1,--AND(IF($AC65&gt;0,INDEX(DL$7:DL$106,$AC65),1),IF($AD65&gt;0,INDEX(DL$7:DL$106,$AD65),1),IF($AE65&gt;0,INDEX(DL$7:DL$106,$AE65),1),IF($AF65&gt;0,INDEX(DL$7:DL$106,$AF65),1),IF($AG65&gt;0,INDEX(DL$7:DL$106,$AG65),1),IF($AH65&gt;0,INDEX(DL$7:DL$106,$AH65),1),IF($AI65&gt;0,INDEX(DL$7:DL$106,$AI65),1),IF($AJ65&gt;0,INDEX(DL$7:DL$106,$AJ65),1))))</ns0:f>
        <ns0:v>1</ns0:v>
      </ns0:c>
      <ns0:c r="DN65" t="n">
        <ns0:f>IF($A65="",1,IF(DM65=1,1,--AND(IF($AC65&gt;0,INDEX(DM$7:DM$106,$AC65),1),IF($AD65&gt;0,INDEX(DM$7:DM$106,$AD65),1),IF($AE65&gt;0,INDEX(DM$7:DM$106,$AE65),1),IF($AF65&gt;0,INDEX(DM$7:DM$106,$AF65),1),IF($AG65&gt;0,INDEX(DM$7:DM$106,$AG65),1),IF($AH65&gt;0,INDEX(DM$7:DM$106,$AH65),1),IF($AI65&gt;0,INDEX(DM$7:DM$106,$AI65),1),IF($AJ65&gt;0,INDEX(DM$7:DM$106,$AJ65),1))))</ns0:f>
        <ns0:v>1</ns0:v>
      </ns0:c>
      <ns0:c r="DO65" t="n">
        <ns0:f>IF($A65="",1,IF(DN65=1,1,--AND(IF($AC65&gt;0,INDEX(DN$7:DN$106,$AC65),1),IF($AD65&gt;0,INDEX(DN$7:DN$106,$AD65),1),IF($AE65&gt;0,INDEX(DN$7:DN$106,$AE65),1),IF($AF65&gt;0,INDEX(DN$7:DN$106,$AF65),1),IF($AG65&gt;0,INDEX(DN$7:DN$106,$AG65),1),IF($AH65&gt;0,INDEX(DN$7:DN$106,$AH65),1),IF($AI65&gt;0,INDEX(DN$7:DN$106,$AI65),1),IF($AJ65&gt;0,INDEX(DN$7:DN$106,$AJ65),1))))</ns0:f>
        <ns0:v>1</ns0:v>
      </ns0:c>
      <ns0:c r="DP65" t="n">
        <ns0:f>IF($A65="",1,IF(DO65=1,1,--AND(IF($AC65&gt;0,INDEX(DO$7:DO$106,$AC65),1),IF($AD65&gt;0,INDEX(DO$7:DO$106,$AD65),1),IF($AE65&gt;0,INDEX(DO$7:DO$106,$AE65),1),IF($AF65&gt;0,INDEX(DO$7:DO$106,$AF65),1),IF($AG65&gt;0,INDEX(DO$7:DO$106,$AG65),1),IF($AH65&gt;0,INDEX(DO$7:DO$106,$AH65),1),IF($AI65&gt;0,INDEX(DO$7:DO$106,$AI65),1),IF($AJ65&gt;0,INDEX(DO$7:DO$106,$AJ65),1))))</ns0:f>
        <ns0:v>1</ns0:v>
      </ns0:c>
      <ns0:c r="DQ65" t="n">
        <ns0:f>IF($A65="",1,IF(DP65=1,1,--AND(IF($AC65&gt;0,INDEX(DP$7:DP$106,$AC65),1),IF($AD65&gt;0,INDEX(DP$7:DP$106,$AD65),1),IF($AE65&gt;0,INDEX(DP$7:DP$106,$AE65),1),IF($AF65&gt;0,INDEX(DP$7:DP$106,$AF65),1),IF($AG65&gt;0,INDEX(DP$7:DP$106,$AG65),1),IF($AH65&gt;0,INDEX(DP$7:DP$106,$AH65),1),IF($AI65&gt;0,INDEX(DP$7:DP$106,$AI65),1),IF($AJ65&gt;0,INDEX(DP$7:DP$106,$AJ65),1))))</ns0:f>
        <ns0:v>1</ns0:v>
      </ns0:c>
      <ns0:c r="DR65" t="n">
        <ns0:f>IF($A65="",1,IF(DQ65=1,1,--AND(IF($AC65&gt;0,INDEX(DQ$7:DQ$106,$AC65),1),IF($AD65&gt;0,INDEX(DQ$7:DQ$106,$AD65),1),IF($AE65&gt;0,INDEX(DQ$7:DQ$106,$AE65),1),IF($AF65&gt;0,INDEX(DQ$7:DQ$106,$AF65),1),IF($AG65&gt;0,INDEX(DQ$7:DQ$106,$AG65),1),IF($AH65&gt;0,INDEX(DQ$7:DQ$106,$AH65),1),IF($AI65&gt;0,INDEX(DQ$7:DQ$106,$AI65),1),IF($AJ65&gt;0,INDEX(DQ$7:DQ$106,$AJ65),1))))</ns0:f>
        <ns0:v>1</ns0:v>
      </ns0:c>
      <ns0:c r="DS65" t="n">
        <ns0:f>IF($A65="",1,IF(DR65=1,1,--AND(IF($AC65&gt;0,INDEX(DR$7:DR$106,$AC65),1),IF($AD65&gt;0,INDEX(DR$7:DR$106,$AD65),1),IF($AE65&gt;0,INDEX(DR$7:DR$106,$AE65),1),IF($AF65&gt;0,INDEX(DR$7:DR$106,$AF65),1),IF($AG65&gt;0,INDEX(DR$7:DR$106,$AG65),1),IF($AH65&gt;0,INDEX(DR$7:DR$106,$AH65),1),IF($AI65&gt;0,INDEX(DR$7:DR$106,$AI65),1),IF($AJ65&gt;0,INDEX(DR$7:DR$106,$AJ65),1))))</ns0:f>
        <ns0:v>1</ns0:v>
      </ns0:c>
      <ns0:c r="DT65" t="n">
        <ns0:f>IF($A65="",1,IF(DS65=1,1,--AND(IF($AC65&gt;0,INDEX(DS$7:DS$106,$AC65),1),IF($AD65&gt;0,INDEX(DS$7:DS$106,$AD65),1),IF($AE65&gt;0,INDEX(DS$7:DS$106,$AE65),1),IF($AF65&gt;0,INDEX(DS$7:DS$106,$AF65),1),IF($AG65&gt;0,INDEX(DS$7:DS$106,$AG65),1),IF($AH65&gt;0,INDEX(DS$7:DS$106,$AH65),1),IF($AI65&gt;0,INDEX(DS$7:DS$106,$AI65),1),IF($AJ65&gt;0,INDEX(DS$7:DS$106,$AJ65),1))))</ns0:f>
        <ns0:v>1</ns0:v>
      </ns0:c>
      <ns0:c r="DU65" t="n">
        <ns0:f>IF($A65="",1,IF(DT65=1,1,--AND(IF($AC65&gt;0,INDEX(DT$7:DT$106,$AC65),1),IF($AD65&gt;0,INDEX(DT$7:DT$106,$AD65),1),IF($AE65&gt;0,INDEX(DT$7:DT$106,$AE65),1),IF($AF65&gt;0,INDEX(DT$7:DT$106,$AF65),1),IF($AG65&gt;0,INDEX(DT$7:DT$106,$AG65),1),IF($AH65&gt;0,INDEX(DT$7:DT$106,$AH65),1),IF($AI65&gt;0,INDEX(DT$7:DT$106,$AI65),1),IF($AJ65&gt;0,INDEX(DT$7:DT$106,$AJ65),1))))</ns0:f>
        <ns0:v>1</ns0:v>
      </ns0:c>
      <ns0:c r="DV65" t="n">
        <ns0:f>IF($A65="",1,IF(DU65=1,1,--AND(IF($AC65&gt;0,INDEX(DU$7:DU$106,$AC65),1),IF($AD65&gt;0,INDEX(DU$7:DU$106,$AD65),1),IF($AE65&gt;0,INDEX(DU$7:DU$106,$AE65),1),IF($AF65&gt;0,INDEX(DU$7:DU$106,$AF65),1),IF($AG65&gt;0,INDEX(DU$7:DU$106,$AG65),1),IF($AH65&gt;0,INDEX(DU$7:DU$106,$AH65),1),IF($AI65&gt;0,INDEX(DU$7:DU$106,$AI65),1),IF($AJ65&gt;0,INDEX(DU$7:DU$106,$AJ65),1))))</ns0:f>
        <ns0:v>1</ns0:v>
      </ns0:c>
      <ns0:c r="DW65" t="n">
        <ns0:f>IF($A65="",1,IF(DV65=1,1,--AND(IF($AC65&gt;0,INDEX(DV$7:DV$106,$AC65),1),IF($AD65&gt;0,INDEX(DV$7:DV$106,$AD65),1),IF($AE65&gt;0,INDEX(DV$7:DV$106,$AE65),1),IF($AF65&gt;0,INDEX(DV$7:DV$106,$AF65),1),IF($AG65&gt;0,INDEX(DV$7:DV$106,$AG65),1),IF($AH65&gt;0,INDEX(DV$7:DV$106,$AH65),1),IF($AI65&gt;0,INDEX(DV$7:DV$106,$AI65),1),IF($AJ65&gt;0,INDEX(DV$7:DV$106,$AJ65),1))))</ns0:f>
        <ns0:v>1</ns0:v>
      </ns0:c>
      <ns0:c r="DX65" t="n">
        <ns0:f>IF($A65="",1,IF(DW65=1,1,--AND(IF($AC65&gt;0,INDEX(DW$7:DW$106,$AC65),1),IF($AD65&gt;0,INDEX(DW$7:DW$106,$AD65),1),IF($AE65&gt;0,INDEX(DW$7:DW$106,$AE65),1),IF($AF65&gt;0,INDEX(DW$7:DW$106,$AF65),1),IF($AG65&gt;0,INDEX(DW$7:DW$106,$AG65),1),IF($AH65&gt;0,INDEX(DW$7:DW$106,$AH65),1),IF($AI65&gt;0,INDEX(DW$7:DW$106,$AI65),1),IF($AJ65&gt;0,INDEX(DW$7:DW$106,$AJ65),1))))</ns0:f>
        <ns0:v>1</ns0:v>
      </ns0:c>
      <ns0:c r="DY65" t="n">
        <ns0:f>IF($A65="",1,IF(DX65=1,1,--AND(IF($AC65&gt;0,INDEX(DX$7:DX$106,$AC65),1),IF($AD65&gt;0,INDEX(DX$7:DX$106,$AD65),1),IF($AE65&gt;0,INDEX(DX$7:DX$106,$AE65),1),IF($AF65&gt;0,INDEX(DX$7:DX$106,$AF65),1),IF($AG65&gt;0,INDEX(DX$7:DX$106,$AG65),1),IF($AH65&gt;0,INDEX(DX$7:DX$106,$AH65),1),IF($AI65&gt;0,INDEX(DX$7:DX$106,$AI65),1),IF($AJ65&gt;0,INDEX(DX$7:DX$106,$AJ65),1))))</ns0:f>
        <ns0:v>1</ns0:v>
      </ns0:c>
      <ns0:c r="DZ65" t="n">
        <ns0:f>IF($A65="",1,IF(DY65=1,1,--AND(IF($AC65&gt;0,INDEX(DY$7:DY$106,$AC65),1),IF($AD65&gt;0,INDEX(DY$7:DY$106,$AD65),1),IF($AE65&gt;0,INDEX(DY$7:DY$106,$AE65),1),IF($AF65&gt;0,INDEX(DY$7:DY$106,$AF65),1),IF($AG65&gt;0,INDEX(DY$7:DY$106,$AG65),1),IF($AH65&gt;0,INDEX(DY$7:DY$106,$AH65),1),IF($AI65&gt;0,INDEX(DY$7:DY$106,$AI65),1),IF($AJ65&gt;0,INDEX(DY$7:DY$106,$AJ65),1))))</ns0:f>
        <ns0:v>1</ns0:v>
      </ns0:c>
      <ns0:c r="EA65" t="n">
        <ns0:f>IF($A65="",1,IF(DZ65=1,1,--AND(IF($AC65&gt;0,INDEX(DZ$7:DZ$106,$AC65),1),IF($AD65&gt;0,INDEX(DZ$7:DZ$106,$AD65),1),IF($AE65&gt;0,INDEX(DZ$7:DZ$106,$AE65),1),IF($AF65&gt;0,INDEX(DZ$7:DZ$106,$AF65),1),IF($AG65&gt;0,INDEX(DZ$7:DZ$106,$AG65),1),IF($AH65&gt;0,INDEX(DZ$7:DZ$106,$AH65),1),IF($AI65&gt;0,INDEX(DZ$7:DZ$106,$AI65),1),IF($AJ65&gt;0,INDEX(DZ$7:DZ$106,$AJ65),1))))</ns0:f>
        <ns0:v>1</ns0:v>
      </ns0:c>
      <ns0:c r="EB65" t="n">
        <ns0:f>IF($A65="",1,IF(EA65=1,1,--AND(IF($AC65&gt;0,INDEX(EA$7:EA$106,$AC65),1),IF($AD65&gt;0,INDEX(EA$7:EA$106,$AD65),1),IF($AE65&gt;0,INDEX(EA$7:EA$106,$AE65),1),IF($AF65&gt;0,INDEX(EA$7:EA$106,$AF65),1),IF($AG65&gt;0,INDEX(EA$7:EA$106,$AG65),1),IF($AH65&gt;0,INDEX(EA$7:EA$106,$AH65),1),IF($AI65&gt;0,INDEX(EA$7:EA$106,$AI65),1),IF($AJ65&gt;0,INDEX(EA$7:EA$106,$AJ65),1))))</ns0:f>
        <ns0:v>1</ns0:v>
      </ns0:c>
      <ns0:c r="EC65" t="n">
        <ns0:f>IF($A65="",1,IF(EB65=1,1,--AND(IF($AC65&gt;0,INDEX(EB$7:EB$106,$AC65),1),IF($AD65&gt;0,INDEX(EB$7:EB$106,$AD65),1),IF($AE65&gt;0,INDEX(EB$7:EB$106,$AE65),1),IF($AF65&gt;0,INDEX(EB$7:EB$106,$AF65),1),IF($AG65&gt;0,INDEX(EB$7:EB$106,$AG65),1),IF($AH65&gt;0,INDEX(EB$7:EB$106,$AH65),1),IF($AI65&gt;0,INDEX(EB$7:EB$106,$AI65),1),IF($AJ65&gt;0,INDEX(EB$7:EB$106,$AJ65),1))))</ns0:f>
        <ns0:v>1</ns0:v>
      </ns0:c>
      <ns0:c r="ED65" t="n">
        <ns0:f>IF($A65="",1,IF(EC65=1,1,--AND(IF($AC65&gt;0,INDEX(EC$7:EC$106,$AC65),1),IF($AD65&gt;0,INDEX(EC$7:EC$106,$AD65),1),IF($AE65&gt;0,INDEX(EC$7:EC$106,$AE65),1),IF($AF65&gt;0,INDEX(EC$7:EC$106,$AF65),1),IF($AG65&gt;0,INDEX(EC$7:EC$106,$AG65),1),IF($AH65&gt;0,INDEX(EC$7:EC$106,$AH65),1),IF($AI65&gt;0,INDEX(EC$7:EC$106,$AI65),1),IF($AJ65&gt;0,INDEX(EC$7:EC$106,$AJ65),1))))</ns0:f>
        <ns0:v>1</ns0:v>
      </ns0:c>
      <ns0:c r="EE65" t="n">
        <ns0:f>IF($A65="",1,IF(ED65=1,1,--AND(IF($AC65&gt;0,INDEX(ED$7:ED$106,$AC65),1),IF($AD65&gt;0,INDEX(ED$7:ED$106,$AD65),1),IF($AE65&gt;0,INDEX(ED$7:ED$106,$AE65),1),IF($AF65&gt;0,INDEX(ED$7:ED$106,$AF65),1),IF($AG65&gt;0,INDEX(ED$7:ED$106,$AG65),1),IF($AH65&gt;0,INDEX(ED$7:ED$106,$AH65),1),IF($AI65&gt;0,INDEX(ED$7:ED$106,$AI65),1),IF($AJ65&gt;0,INDEX(ED$7:ED$106,$AJ65),1))))</ns0:f>
        <ns0:v>1</ns0:v>
      </ns0:c>
      <ns0:c r="EF65" t="n">
        <ns0:f>IF($A65="",1,IF(EE65=1,1,--AND(IF($AC65&gt;0,INDEX(EE$7:EE$106,$AC65),1),IF($AD65&gt;0,INDEX(EE$7:EE$106,$AD65),1),IF($AE65&gt;0,INDEX(EE$7:EE$106,$AE65),1),IF($AF65&gt;0,INDEX(EE$7:EE$106,$AF65),1),IF($AG65&gt;0,INDEX(EE$7:EE$106,$AG65),1),IF($AH65&gt;0,INDEX(EE$7:EE$106,$AH65),1),IF($AI65&gt;0,INDEX(EE$7:EE$106,$AI65),1),IF($AJ65&gt;0,INDEX(EE$7:EE$106,$AJ65),1))))</ns0:f>
        <ns0:v>1</ns0:v>
      </ns0:c>
      <ns0:c r="EG65" t="n">
        <ns0:f>IF($A65="",1,IF(EF65=1,1,--AND(IF($AC65&gt;0,INDEX(EF$7:EF$106,$AC65),1),IF($AD65&gt;0,INDEX(EF$7:EF$106,$AD65),1),IF($AE65&gt;0,INDEX(EF$7:EF$106,$AE65),1),IF($AF65&gt;0,INDEX(EF$7:EF$106,$AF65),1),IF($AG65&gt;0,INDEX(EF$7:EF$106,$AG65),1),IF($AH65&gt;0,INDEX(EF$7:EF$106,$AH65),1),IF($AI65&gt;0,INDEX(EF$7:EF$106,$AI65),1),IF($AJ65&gt;0,INDEX(EF$7:EF$106,$AJ65),1))))</ns0:f>
        <ns0:v>1</ns0:v>
      </ns0:c>
      <ns0:c r="EH65" t="n">
        <ns0:f>IF($A65="",1,IF(EG65=1,1,--AND(IF($AC65&gt;0,INDEX(EG$7:EG$106,$AC65),1),IF($AD65&gt;0,INDEX(EG$7:EG$106,$AD65),1),IF($AE65&gt;0,INDEX(EG$7:EG$106,$AE65),1),IF($AF65&gt;0,INDEX(EG$7:EG$106,$AF65),1),IF($AG65&gt;0,INDEX(EG$7:EG$106,$AG65),1),IF($AH65&gt;0,INDEX(EG$7:EG$106,$AH65),1),IF($AI65&gt;0,INDEX(EG$7:EG$106,$AI65),1),IF($AJ65&gt;0,INDEX(EG$7:EG$106,$AJ65),1))))</ns0:f>
        <ns0:v>1</ns0:v>
      </ns0:c>
      <ns0:c r="EI65" t="n">
        <ns0:f>IF($A65="",1,IF(EH65=1,1,--AND(IF($AC65&gt;0,INDEX(EH$7:EH$106,$AC65),1),IF($AD65&gt;0,INDEX(EH$7:EH$106,$AD65),1),IF($AE65&gt;0,INDEX(EH$7:EH$106,$AE65),1),IF($AF65&gt;0,INDEX(EH$7:EH$106,$AF65),1),IF($AG65&gt;0,INDEX(EH$7:EH$106,$AG65),1),IF($AH65&gt;0,INDEX(EH$7:EH$106,$AH65),1),IF($AI65&gt;0,INDEX(EH$7:EH$106,$AI65),1),IF($AJ65&gt;0,INDEX(EH$7:EH$106,$AJ65),1))))</ns0:f>
        <ns0:v>1</ns0:v>
      </ns0:c>
      <ns0:c r="EJ65" t="n">
        <ns0:f>IF($A65="",1,IF(EI65=1,1,--AND(IF($AC65&gt;0,INDEX(EI$7:EI$106,$AC65),1),IF($AD65&gt;0,INDEX(EI$7:EI$106,$AD65),1),IF($AE65&gt;0,INDEX(EI$7:EI$106,$AE65),1),IF($AF65&gt;0,INDEX(EI$7:EI$106,$AF65),1),IF($AG65&gt;0,INDEX(EI$7:EI$106,$AG65),1),IF($AH65&gt;0,INDEX(EI$7:EI$106,$AH65),1),IF($AI65&gt;0,INDEX(EI$7:EI$106,$AI65),1),IF($AJ65&gt;0,INDEX(EI$7:EI$106,$AJ65),1))))</ns0:f>
        <ns0:v>1</ns0:v>
      </ns0:c>
      <ns0:c r="EK65" t="n">
        <ns0:f>IF($A65="",1,IF(EJ65=1,1,--AND(IF($AC65&gt;0,INDEX(EJ$7:EJ$106,$AC65),1),IF($AD65&gt;0,INDEX(EJ$7:EJ$106,$AD65),1),IF($AE65&gt;0,INDEX(EJ$7:EJ$106,$AE65),1),IF($AF65&gt;0,INDEX(EJ$7:EJ$106,$AF65),1),IF($AG65&gt;0,INDEX(EJ$7:EJ$106,$AG65),1),IF($AH65&gt;0,INDEX(EJ$7:EJ$106,$AH65),1),IF($AI65&gt;0,INDEX(EJ$7:EJ$106,$AI65),1),IF($AJ65&gt;0,INDEX(EJ$7:EJ$106,$AJ65),1))))</ns0:f>
        <ns0:v>1</ns0:v>
      </ns0:c>
      <ns0:c r="EL65" t="n">
        <ns0:f>IF($A65="",1,IF(EK65=1,1,--AND(IF($AC65&gt;0,INDEX(EK$7:EK$106,$AC65),1),IF($AD65&gt;0,INDEX(EK$7:EK$106,$AD65),1),IF($AE65&gt;0,INDEX(EK$7:EK$106,$AE65),1),IF($AF65&gt;0,INDEX(EK$7:EK$106,$AF65),1),IF($AG65&gt;0,INDEX(EK$7:EK$106,$AG65),1),IF($AH65&gt;0,INDEX(EK$7:EK$106,$AH65),1),IF($AI65&gt;0,INDEX(EK$7:EK$106,$AI65),1),IF($AJ65&gt;0,INDEX(EK$7:EK$106,$AJ65),1))))</ns0:f>
        <ns0:v>1</ns0:v>
      </ns0:c>
      <ns0:c r="EM65" t="n">
        <ns0:f>IF($A65="",1,IF(EL65=1,1,--AND(IF($AC65&gt;0,INDEX(EL$7:EL$106,$AC65),1),IF($AD65&gt;0,INDEX(EL$7:EL$106,$AD65),1),IF($AE65&gt;0,INDEX(EL$7:EL$106,$AE65),1),IF($AF65&gt;0,INDEX(EL$7:EL$106,$AF65),1),IF($AG65&gt;0,INDEX(EL$7:EL$106,$AG65),1),IF($AH65&gt;0,INDEX(EL$7:EL$106,$AH65),1),IF($AI65&gt;0,INDEX(EL$7:EL$106,$AI65),1),IF($AJ65&gt;0,INDEX(EL$7:EL$106,$AJ65),1))))</ns0:f>
        <ns0:v>1</ns0:v>
      </ns0:c>
      <ns0:c r="EN65" t="n">
        <ns0:f>IF($A65="",1,IF(EM65=1,1,--AND(IF($AC65&gt;0,INDEX(EM$7:EM$106,$AC65),1),IF($AD65&gt;0,INDEX(EM$7:EM$106,$AD65),1),IF($AE65&gt;0,INDEX(EM$7:EM$106,$AE65),1),IF($AF65&gt;0,INDEX(EM$7:EM$106,$AF65),1),IF($AG65&gt;0,INDEX(EM$7:EM$106,$AG65),1),IF($AH65&gt;0,INDEX(EM$7:EM$106,$AH65),1),IF($AI65&gt;0,INDEX(EM$7:EM$106,$AI65),1),IF($AJ65&gt;0,INDEX(EM$7:EM$106,$AJ65),1))))</ns0:f>
        <ns0:v>1</ns0:v>
      </ns0:c>
      <ns0:c r="EO65" t="n">
        <ns0:f>IF($A65="",1,IF(EN65=1,1,--AND(IF($AC65&gt;0,INDEX(EN$7:EN$106,$AC65),1),IF($AD65&gt;0,INDEX(EN$7:EN$106,$AD65),1),IF($AE65&gt;0,INDEX(EN$7:EN$106,$AE65),1),IF($AF65&gt;0,INDEX(EN$7:EN$106,$AF65),1),IF($AG65&gt;0,INDEX(EN$7:EN$106,$AG65),1),IF($AH65&gt;0,INDEX(EN$7:EN$106,$AH65),1),IF($AI65&gt;0,INDEX(EN$7:EN$106,$AI65),1),IF($AJ65&gt;0,INDEX(EN$7:EN$106,$AJ65),1))))</ns0:f>
        <ns0:v>1</ns0:v>
      </ns0:c>
      <ns0:c r="EP65" t="n">
        <ns0:f>IF($A65="",1,IF(EO65=1,1,--AND(IF($AC65&gt;0,INDEX(EO$7:EO$106,$AC65),1),IF($AD65&gt;0,INDEX(EO$7:EO$106,$AD65),1),IF($AE65&gt;0,INDEX(EO$7:EO$106,$AE65),1),IF($AF65&gt;0,INDEX(EO$7:EO$106,$AF65),1),IF($AG65&gt;0,INDEX(EO$7:EO$106,$AG65),1),IF($AH65&gt;0,INDEX(EO$7:EO$106,$AH65),1),IF($AI65&gt;0,INDEX(EO$7:EO$106,$AI65),1),IF($AJ65&gt;0,INDEX(EO$7:EO$106,$AJ65),1))))</ns0:f>
        <ns0:v>1</ns0:v>
      </ns0:c>
      <ns0:c r="EQ65" t="n">
        <ns0:f>IF(OR(A65="",NOT(ISNUMBER(G65))),0,G65*N65)</ns0:f>
        <ns0:v>0</ns0:v>
      </ns0:c>
    </ns0:row>
    <ns0:row r="66" ht="62" customHeight="1">
      <ns0:c r="A66" s="48"/>
      <ns0:c r="B66" s="48"/>
      <ns0:c r="C66" s="48"/>
      <ns0:c r="D66" s="48"/>
      <ns0:c r="E66" s="49"/>
      <ns0:c r="F66" s="49"/>
      <ns0:c r="G66" s="13" t="str">
        <ns0:f>IF(A66="","",IF(OR(NOT(ISNUMBER(E66)),NOT(ISNUMBER(F66)),F66&lt;E66),"",IF(J66="Yes",0,F66-E66+1)))</ns0:f>
      </ns0:c>
      <ns0:c r="H66" s="48"/>
      <ns0:c r="I66" s="48"/>
      <ns0:c r="J66" s="48"/>
      <ns0:c r="K66" s="48"/>
      <ns0:c r="L66" s="48"/>
      <ns0:c r="M66" s="50" t="str">
        <ns0:f>IF(A66="","",IF(N66=1,"Completed",IF(N66&gt;0,"In Progress","Not Started")))</ns0:f>
      </ns0:c>
      <ns0:c r="N66" s="51"/>
      <ns0:c r="O66" s="13" t="str">
        <ns0:f>IF(A66="","",IF(R66&lt;&gt;"","[CONFLICT] "&amp;R66,IF(S66&lt;&gt;"","[CONFLICT] "&amp;S66,IF(OR(NOT(ISNUMBER(N66)),N66&lt;0,N66&gt;1),"[CONFLICT] Invalid progress",IF(AK66&gt;0,"[DEPENDENCY ISSUE] Missing ID / &gt;8 links",IF(AM66&gt;0,"[DEPENDENCY ISSUE] Cycle or blocked by cycle",IF(AND(H66&lt;&gt;"",ISNA(MATCH(I66,{"FS","SS","FF","SF"},0))),"[DEPENDENCY ISSUE] Invalid type",IF(AL66&gt;0,"[DEPENDENCY ISSUE] Timing conflict",IF(OR(E66&lt;ProjectStart,F66&gt;ProjectEnd),"[OUTSIDE WINDOW]",IF(AND(N66&lt;1,F66&lt;AsOfDate),"Overdue",IF(AND(M66&lt;&gt;Q66,M66&lt;&gt;""),"[CONFLICT] Status / progress","On track")))))))))))</ns0:f>
      </ns0:c>
      <ns0:c r="P66" s="52"/>
      <ns0:c r="Q66" t="str">
        <ns0:f>IF(A66="","",IF(OR(M66="On Hold",M66="Delayed"),M66,IF(N66=1,"Completed",IF(N66&gt;0,"In Progress","Not Started"))))</ns0:f>
      </ns0:c>
      <ns0:c r="R66" t="str">
        <ns0:f>IF(A66="","",IF(COUNTIFS(Tasks[Task ID],A66)&lt;&gt;1,"Duplicate ID",""))</ns0:f>
      </ns0:c>
      <ns0:c r="S66" t="str">
        <ns0:f>IF(A66="","",IF(OR(NOT(ISNUMBER(E66)),NOT(ISNUMBER(F66))),"Invalid / missing date",IF(OR(E66&lt;&gt;INT(E66),F66&lt;&gt;INT(F66),E66&lt;1,F66&gt;2958465),"Invalid date",IF(F66&lt;E66,"End before start",IF(AND(J66="Yes",E66&lt;&gt;F66),"Milestone needs one date","")))))</ns0:f>
      </ns0:c>
      <ns0:c r="T66" t="n">
        <ns0:f>IF(H66="",0,LEN(H66)-LEN(SUBSTITUTE(H66,",",""))+1)</ns0:f>
        <ns0:v>0</ns0:v>
      </ns0:c>
      <ns0:c r="U66" t="str">
        <ns0:f>TRIM(MID(SUBSTITUTE($H66,",",REPT(" ",100)),1,100))</ns0:f>
      </ns0:c>
      <ns0:c r="V66" t="str">
        <ns0:f>TRIM(MID(SUBSTITUTE($H66,",",REPT(" ",100)),101,100))</ns0:f>
      </ns0:c>
      <ns0:c r="W66" t="str">
        <ns0:f>TRIM(MID(SUBSTITUTE($H66,",",REPT(" ",100)),201,100))</ns0:f>
      </ns0:c>
      <ns0:c r="X66" t="str">
        <ns0:f>TRIM(MID(SUBSTITUTE($H66,",",REPT(" ",100)),301,100))</ns0:f>
      </ns0:c>
      <ns0:c r="Y66" t="str">
        <ns0:f>TRIM(MID(SUBSTITUTE($H66,",",REPT(" ",100)),401,100))</ns0:f>
      </ns0:c>
      <ns0:c r="Z66" t="str">
        <ns0:f>TRIM(MID(SUBSTITUTE($H66,",",REPT(" ",100)),501,100))</ns0:f>
      </ns0:c>
      <ns0:c r="AA66" t="str">
        <ns0:f>TRIM(MID(SUBSTITUTE($H66,",",REPT(" ",100)),601,100))</ns0:f>
      </ns0:c>
      <ns0:c r="AB66" t="str">
        <ns0:f>TRIM(MID(SUBSTITUTE($H66,",",REPT(" ",100)),701,100))</ns0:f>
      </ns0:c>
      <ns0:c r="AC66" t="n">
        <ns0:f>IF(U66="",0,IF(COUNTIFS(Tasks[Task ID],U66)=1,MATCH(U66,Tasks[Task ID],0),-1))</ns0:f>
        <ns0:v>0</ns0:v>
      </ns0:c>
      <ns0:c r="AD66" t="n">
        <ns0:f>IF(V66="",0,IF(COUNTIFS(Tasks[Task ID],V66)=1,MATCH(V66,Tasks[Task ID],0),-1))</ns0:f>
        <ns0:v>0</ns0:v>
      </ns0:c>
      <ns0:c r="AE66" t="n">
        <ns0:f>IF(W66="",0,IF(COUNTIFS(Tasks[Task ID],W66)=1,MATCH(W66,Tasks[Task ID],0),-1))</ns0:f>
        <ns0:v>0</ns0:v>
      </ns0:c>
      <ns0:c r="AF66" t="n">
        <ns0:f>IF(X66="",0,IF(COUNTIFS(Tasks[Task ID],X66)=1,MATCH(X66,Tasks[Task ID],0),-1))</ns0:f>
        <ns0:v>0</ns0:v>
      </ns0:c>
      <ns0:c r="AG66" t="n">
        <ns0:f>IF(Y66="",0,IF(COUNTIFS(Tasks[Task ID],Y66)=1,MATCH(Y66,Tasks[Task ID],0),-1))</ns0:f>
        <ns0:v>0</ns0:v>
      </ns0:c>
      <ns0:c r="AH66" t="n">
        <ns0:f>IF(Z66="",0,IF(COUNTIFS(Tasks[Task ID],Z66)=1,MATCH(Z66,Tasks[Task ID],0),-1))</ns0:f>
        <ns0:v>0</ns0:v>
      </ns0:c>
      <ns0:c r="AI66" t="n">
        <ns0:f>IF(AA66="",0,IF(COUNTIFS(Tasks[Task ID],AA66)=1,MATCH(AA66,Tasks[Task ID],0),-1))</ns0:f>
        <ns0:v>0</ns0:v>
      </ns0:c>
      <ns0:c r="AJ66" t="n">
        <ns0:f>IF(AB66="",0,IF(COUNTIFS(Tasks[Task ID],AB66)=1,MATCH(AB66,Tasks[Task ID],0),-1))</ns0:f>
        <ns0:v>0</ns0:v>
      </ns0:c>
      <ns0:c r="AK66" t="n">
        <ns0:f>COUNTIFS(AC66:AJ66,-1)+IF(T66&gt;8,1,0)</ns0:f>
        <ns0:v>0</ns0:v>
      </ns0:c>
      <ns0:c r="AL66" t="n">
        <ns0:f>IF(OR(A66="",S66&lt;&gt;""),0,SUM(IF(AC66&gt;0,IF($I66="FS",--($E66&lt;INDEX(Tasks[End Date],AC66)+IF(INDEX(Tasks[Milestone],AC66)="Yes",0,1)),IF($I66="SS",--($E66&lt;INDEX(Tasks[Start Date],AC66)),IF($I66="FF",--($F66&lt;INDEX(Tasks[End Date],AC66)),IF($I66="SF",--($F66&lt;INDEX(Tasks[Start Date],AC66)),0)))),0),IF(AD66&gt;0,IF($I66="FS",--($E66&lt;INDEX(Tasks[End Date],AD66)+IF(INDEX(Tasks[Milestone],AD66)="Yes",0,1)),IF($I66="SS",--($E66&lt;INDEX(Tasks[Start Date],AD66)),IF($I66="FF",--($F66&lt;INDEX(Tasks[End Date],AD66)),IF($I66="SF",--($F66&lt;INDEX(Tasks[Start Date],AD66)),0)))),0),IF(AE66&gt;0,IF($I66="FS",--($E66&lt;INDEX(Tasks[End Date],AE66)+IF(INDEX(Tasks[Milestone],AE66)="Yes",0,1)),IF($I66="SS",--($E66&lt;INDEX(Tasks[Start Date],AE66)),IF($I66="FF",--($F66&lt;INDEX(Tasks[End Date],AE66)),IF($I66="SF",--($F66&lt;INDEX(Tasks[Start Date],AE66)),0)))),0),IF(AF66&gt;0,IF($I66="FS",--($E66&lt;INDEX(Tasks[End Date],AF66)+IF(INDEX(Tasks[Milestone],AF66)="Yes",0,1)),IF($I66="SS",--($E66&lt;INDEX(Tasks[Start Date],AF66)),IF($I66="FF",--($F66&lt;INDEX(Tasks[End Date],AF66)),IF($I66="SF",--($F66&lt;INDEX(Tasks[Start Date],AF66)),0)))),0),IF(AG66&gt;0,IF($I66="FS",--($E66&lt;INDEX(Tasks[End Date],AG66)+IF(INDEX(Tasks[Milestone],AG66)="Yes",0,1)),IF($I66="SS",--($E66&lt;INDEX(Tasks[Start Date],AG66)),IF($I66="FF",--($F66&lt;INDEX(Tasks[End Date],AG66)),IF($I66="SF",--($F66&lt;INDEX(Tasks[Start Date],AG66)),0)))),0),IF(AH66&gt;0,IF($I66="FS",--($E66&lt;INDEX(Tasks[End Date],AH66)+IF(INDEX(Tasks[Milestone],AH66)="Yes",0,1)),IF($I66="SS",--($E66&lt;INDEX(Tasks[Start Date],AH66)),IF($I66="FF",--($F66&lt;INDEX(Tasks[End Date],AH66)),IF($I66="SF",--($F66&lt;INDEX(Tasks[Start Date],AH66)),0)))),0),IF(AI66&gt;0,IF($I66="FS",--($E66&lt;INDEX(Tasks[End Date],AI66)+IF(INDEX(Tasks[Milestone],AI66)="Yes",0,1)),IF($I66="SS",--($E66&lt;INDEX(Tasks[Start Date],AI66)),IF($I66="FF",--($F66&lt;INDEX(Tasks[End Date],AI66)),IF($I66="SF",--($F66&lt;INDEX(Tasks[Start Date],AI66)),0)))),0),IF(AJ66&gt;0,IF($I66="FS",--($E66&lt;INDEX(Tasks[End Date],AJ66)+IF(INDEX(Tasks[Milestone],AJ66)="Yes",0,1)),IF($I66="SS",--($E66&lt;INDEX(Tasks[Start Date],AJ66)),IF($I66="FF",--($F66&lt;INDEX(Tasks[End Date],AJ66)),IF($I66="SF",--($F66&lt;INDEX(Tasks[Start Date],AJ66)),0)))),0)))</ns0:f>
        <ns0:v>0</ns0:v>
      </ns0:c>
      <ns0:c r="AM66" t="n">
        <ns0:f>IF(AND(A66&lt;&gt;"",AK66=0,EP66=0),1,0)</ns0:f>
        <ns0:v>0</ns0:v>
      </ns0:c>
      <ns0:c r="AN66" t="str">
        <ns0:f>IF(OR(A66="",B66=""),"",IF(COUNTIFS($B$7:B66,B66)=1,MAX($AN$6:AN65)+1,""))</ns0:f>
      </ns0:c>
      <ns0:c r="AO66" t="n">
        <ns0:f>IF(AND(A66&lt;&gt;"",J66="No",N66&lt;1,E66&gt;=AsOfDate),E66+ROW()/10000,1E+9)</ns0:f>
        <ns0:v>1000000000</ns0:v>
      </ns0:c>
      <ns0:c r="AP66" t="n">
        <ns0:f>IF(AND(A66&lt;&gt;"",J66="Yes",N66&lt;1,E66&gt;=AsOfDate),E66+ROW()/10000,1E+9)</ns0:f>
        <ns0:v>1000000000</ns0:v>
      </ns0:c>
      <ns0:c r="AQ66" t="n">
        <ns0:f>IF(AND(A66&lt;&gt;"",J66="No",N66&lt;1,F66&gt;=AsOfDate,F66&lt;=AsOfDate+7),F66+ROW()/10000,1E+9)</ns0:f>
        <ns0:v>1000000000</ns0:v>
      </ns0:c>
      <ns0:c r="AR66" t="n">
        <ns0:f>IF(AND(A66&lt;&gt;"",OR(O66&lt;&gt;"On track",Q66="Delayed")),ROW(),1E+9)</ns0:f>
        <ns0:v>1000000000</ns0:v>
      </ns0:c>
      <ns0:c r="AS66" t="str">
        <ns0:f>IF(A66="","",";"&amp;K66&amp;";")</ns0:f>
      </ns0:c>
      <ns0:c r="AT66" t="n">
        <ns0:f>IF(A66="",1,--(T66=0))</ns0:f>
        <ns0:v>1</ns0:v>
      </ns0:c>
      <ns0:c r="AU66" t="n">
        <ns0:f>IF($A66="",1,IF(AT66=1,1,--AND(IF($AC66&gt;0,INDEX(AT$7:AT$106,$AC66),1),IF($AD66&gt;0,INDEX(AT$7:AT$106,$AD66),1),IF($AE66&gt;0,INDEX(AT$7:AT$106,$AE66),1),IF($AF66&gt;0,INDEX(AT$7:AT$106,$AF66),1),IF($AG66&gt;0,INDEX(AT$7:AT$106,$AG66),1),IF($AH66&gt;0,INDEX(AT$7:AT$106,$AH66),1),IF($AI66&gt;0,INDEX(AT$7:AT$106,$AI66),1),IF($AJ66&gt;0,INDEX(AT$7:AT$106,$AJ66),1))))</ns0:f>
        <ns0:v>1</ns0:v>
      </ns0:c>
      <ns0:c r="AV66" t="n">
        <ns0:f>IF($A66="",1,IF(AU66=1,1,--AND(IF($AC66&gt;0,INDEX(AU$7:AU$106,$AC66),1),IF($AD66&gt;0,INDEX(AU$7:AU$106,$AD66),1),IF($AE66&gt;0,INDEX(AU$7:AU$106,$AE66),1),IF($AF66&gt;0,INDEX(AU$7:AU$106,$AF66),1),IF($AG66&gt;0,INDEX(AU$7:AU$106,$AG66),1),IF($AH66&gt;0,INDEX(AU$7:AU$106,$AH66),1),IF($AI66&gt;0,INDEX(AU$7:AU$106,$AI66),1),IF($AJ66&gt;0,INDEX(AU$7:AU$106,$AJ66),1))))</ns0:f>
        <ns0:v>1</ns0:v>
      </ns0:c>
      <ns0:c r="AW66" t="n">
        <ns0:f>IF($A66="",1,IF(AV66=1,1,--AND(IF($AC66&gt;0,INDEX(AV$7:AV$106,$AC66),1),IF($AD66&gt;0,INDEX(AV$7:AV$106,$AD66),1),IF($AE66&gt;0,INDEX(AV$7:AV$106,$AE66),1),IF($AF66&gt;0,INDEX(AV$7:AV$106,$AF66),1),IF($AG66&gt;0,INDEX(AV$7:AV$106,$AG66),1),IF($AH66&gt;0,INDEX(AV$7:AV$106,$AH66),1),IF($AI66&gt;0,INDEX(AV$7:AV$106,$AI66),1),IF($AJ66&gt;0,INDEX(AV$7:AV$106,$AJ66),1))))</ns0:f>
        <ns0:v>1</ns0:v>
      </ns0:c>
      <ns0:c r="AX66" t="n">
        <ns0:f>IF($A66="",1,IF(AW66=1,1,--AND(IF($AC66&gt;0,INDEX(AW$7:AW$106,$AC66),1),IF($AD66&gt;0,INDEX(AW$7:AW$106,$AD66),1),IF($AE66&gt;0,INDEX(AW$7:AW$106,$AE66),1),IF($AF66&gt;0,INDEX(AW$7:AW$106,$AF66),1),IF($AG66&gt;0,INDEX(AW$7:AW$106,$AG66),1),IF($AH66&gt;0,INDEX(AW$7:AW$106,$AH66),1),IF($AI66&gt;0,INDEX(AW$7:AW$106,$AI66),1),IF($AJ66&gt;0,INDEX(AW$7:AW$106,$AJ66),1))))</ns0:f>
        <ns0:v>1</ns0:v>
      </ns0:c>
      <ns0:c r="AY66" t="n">
        <ns0:f>IF($A66="",1,IF(AX66=1,1,--AND(IF($AC66&gt;0,INDEX(AX$7:AX$106,$AC66),1),IF($AD66&gt;0,INDEX(AX$7:AX$106,$AD66),1),IF($AE66&gt;0,INDEX(AX$7:AX$106,$AE66),1),IF($AF66&gt;0,INDEX(AX$7:AX$106,$AF66),1),IF($AG66&gt;0,INDEX(AX$7:AX$106,$AG66),1),IF($AH66&gt;0,INDEX(AX$7:AX$106,$AH66),1),IF($AI66&gt;0,INDEX(AX$7:AX$106,$AI66),1),IF($AJ66&gt;0,INDEX(AX$7:AX$106,$AJ66),1))))</ns0:f>
        <ns0:v>1</ns0:v>
      </ns0:c>
      <ns0:c r="AZ66" t="n">
        <ns0:f>IF($A66="",1,IF(AY66=1,1,--AND(IF($AC66&gt;0,INDEX(AY$7:AY$106,$AC66),1),IF($AD66&gt;0,INDEX(AY$7:AY$106,$AD66),1),IF($AE66&gt;0,INDEX(AY$7:AY$106,$AE66),1),IF($AF66&gt;0,INDEX(AY$7:AY$106,$AF66),1),IF($AG66&gt;0,INDEX(AY$7:AY$106,$AG66),1),IF($AH66&gt;0,INDEX(AY$7:AY$106,$AH66),1),IF($AI66&gt;0,INDEX(AY$7:AY$106,$AI66),1),IF($AJ66&gt;0,INDEX(AY$7:AY$106,$AJ66),1))))</ns0:f>
        <ns0:v>1</ns0:v>
      </ns0:c>
      <ns0:c r="BA66" t="n">
        <ns0:f>IF($A66="",1,IF(AZ66=1,1,--AND(IF($AC66&gt;0,INDEX(AZ$7:AZ$106,$AC66),1),IF($AD66&gt;0,INDEX(AZ$7:AZ$106,$AD66),1),IF($AE66&gt;0,INDEX(AZ$7:AZ$106,$AE66),1),IF($AF66&gt;0,INDEX(AZ$7:AZ$106,$AF66),1),IF($AG66&gt;0,INDEX(AZ$7:AZ$106,$AG66),1),IF($AH66&gt;0,INDEX(AZ$7:AZ$106,$AH66),1),IF($AI66&gt;0,INDEX(AZ$7:AZ$106,$AI66),1),IF($AJ66&gt;0,INDEX(AZ$7:AZ$106,$AJ66),1))))</ns0:f>
        <ns0:v>1</ns0:v>
      </ns0:c>
      <ns0:c r="BB66" t="n">
        <ns0:f>IF($A66="",1,IF(BA66=1,1,--AND(IF($AC66&gt;0,INDEX(BA$7:BA$106,$AC66),1),IF($AD66&gt;0,INDEX(BA$7:BA$106,$AD66),1),IF($AE66&gt;0,INDEX(BA$7:BA$106,$AE66),1),IF($AF66&gt;0,INDEX(BA$7:BA$106,$AF66),1),IF($AG66&gt;0,INDEX(BA$7:BA$106,$AG66),1),IF($AH66&gt;0,INDEX(BA$7:BA$106,$AH66),1),IF($AI66&gt;0,INDEX(BA$7:BA$106,$AI66),1),IF($AJ66&gt;0,INDEX(BA$7:BA$106,$AJ66),1))))</ns0:f>
        <ns0:v>1</ns0:v>
      </ns0:c>
      <ns0:c r="BC66" t="n">
        <ns0:f>IF($A66="",1,IF(BB66=1,1,--AND(IF($AC66&gt;0,INDEX(BB$7:BB$106,$AC66),1),IF($AD66&gt;0,INDEX(BB$7:BB$106,$AD66),1),IF($AE66&gt;0,INDEX(BB$7:BB$106,$AE66),1),IF($AF66&gt;0,INDEX(BB$7:BB$106,$AF66),1),IF($AG66&gt;0,INDEX(BB$7:BB$106,$AG66),1),IF($AH66&gt;0,INDEX(BB$7:BB$106,$AH66),1),IF($AI66&gt;0,INDEX(BB$7:BB$106,$AI66),1),IF($AJ66&gt;0,INDEX(BB$7:BB$106,$AJ66),1))))</ns0:f>
        <ns0:v>1</ns0:v>
      </ns0:c>
      <ns0:c r="BD66" t="n">
        <ns0:f>IF($A66="",1,IF(BC66=1,1,--AND(IF($AC66&gt;0,INDEX(BC$7:BC$106,$AC66),1),IF($AD66&gt;0,INDEX(BC$7:BC$106,$AD66),1),IF($AE66&gt;0,INDEX(BC$7:BC$106,$AE66),1),IF($AF66&gt;0,INDEX(BC$7:BC$106,$AF66),1),IF($AG66&gt;0,INDEX(BC$7:BC$106,$AG66),1),IF($AH66&gt;0,INDEX(BC$7:BC$106,$AH66),1),IF($AI66&gt;0,INDEX(BC$7:BC$106,$AI66),1),IF($AJ66&gt;0,INDEX(BC$7:BC$106,$AJ66),1))))</ns0:f>
        <ns0:v>1</ns0:v>
      </ns0:c>
      <ns0:c r="BE66" t="n">
        <ns0:f>IF($A66="",1,IF(BD66=1,1,--AND(IF($AC66&gt;0,INDEX(BD$7:BD$106,$AC66),1),IF($AD66&gt;0,INDEX(BD$7:BD$106,$AD66),1),IF($AE66&gt;0,INDEX(BD$7:BD$106,$AE66),1),IF($AF66&gt;0,INDEX(BD$7:BD$106,$AF66),1),IF($AG66&gt;0,INDEX(BD$7:BD$106,$AG66),1),IF($AH66&gt;0,INDEX(BD$7:BD$106,$AH66),1),IF($AI66&gt;0,INDEX(BD$7:BD$106,$AI66),1),IF($AJ66&gt;0,INDEX(BD$7:BD$106,$AJ66),1))))</ns0:f>
        <ns0:v>1</ns0:v>
      </ns0:c>
      <ns0:c r="BF66" t="n">
        <ns0:f>IF($A66="",1,IF(BE66=1,1,--AND(IF($AC66&gt;0,INDEX(BE$7:BE$106,$AC66),1),IF($AD66&gt;0,INDEX(BE$7:BE$106,$AD66),1),IF($AE66&gt;0,INDEX(BE$7:BE$106,$AE66),1),IF($AF66&gt;0,INDEX(BE$7:BE$106,$AF66),1),IF($AG66&gt;0,INDEX(BE$7:BE$106,$AG66),1),IF($AH66&gt;0,INDEX(BE$7:BE$106,$AH66),1),IF($AI66&gt;0,INDEX(BE$7:BE$106,$AI66),1),IF($AJ66&gt;0,INDEX(BE$7:BE$106,$AJ66),1))))</ns0:f>
        <ns0:v>1</ns0:v>
      </ns0:c>
      <ns0:c r="BG66" t="n">
        <ns0:f>IF($A66="",1,IF(BF66=1,1,--AND(IF($AC66&gt;0,INDEX(BF$7:BF$106,$AC66),1),IF($AD66&gt;0,INDEX(BF$7:BF$106,$AD66),1),IF($AE66&gt;0,INDEX(BF$7:BF$106,$AE66),1),IF($AF66&gt;0,INDEX(BF$7:BF$106,$AF66),1),IF($AG66&gt;0,INDEX(BF$7:BF$106,$AG66),1),IF($AH66&gt;0,INDEX(BF$7:BF$106,$AH66),1),IF($AI66&gt;0,INDEX(BF$7:BF$106,$AI66),1),IF($AJ66&gt;0,INDEX(BF$7:BF$106,$AJ66),1))))</ns0:f>
        <ns0:v>1</ns0:v>
      </ns0:c>
      <ns0:c r="BH66" t="n">
        <ns0:f>IF($A66="",1,IF(BG66=1,1,--AND(IF($AC66&gt;0,INDEX(BG$7:BG$106,$AC66),1),IF($AD66&gt;0,INDEX(BG$7:BG$106,$AD66),1),IF($AE66&gt;0,INDEX(BG$7:BG$106,$AE66),1),IF($AF66&gt;0,INDEX(BG$7:BG$106,$AF66),1),IF($AG66&gt;0,INDEX(BG$7:BG$106,$AG66),1),IF($AH66&gt;0,INDEX(BG$7:BG$106,$AH66),1),IF($AI66&gt;0,INDEX(BG$7:BG$106,$AI66),1),IF($AJ66&gt;0,INDEX(BG$7:BG$106,$AJ66),1))))</ns0:f>
        <ns0:v>1</ns0:v>
      </ns0:c>
      <ns0:c r="BI66" t="n">
        <ns0:f>IF($A66="",1,IF(BH66=1,1,--AND(IF($AC66&gt;0,INDEX(BH$7:BH$106,$AC66),1),IF($AD66&gt;0,INDEX(BH$7:BH$106,$AD66),1),IF($AE66&gt;0,INDEX(BH$7:BH$106,$AE66),1),IF($AF66&gt;0,INDEX(BH$7:BH$106,$AF66),1),IF($AG66&gt;0,INDEX(BH$7:BH$106,$AG66),1),IF($AH66&gt;0,INDEX(BH$7:BH$106,$AH66),1),IF($AI66&gt;0,INDEX(BH$7:BH$106,$AI66),1),IF($AJ66&gt;0,INDEX(BH$7:BH$106,$AJ66),1))))</ns0:f>
        <ns0:v>1</ns0:v>
      </ns0:c>
      <ns0:c r="BJ66" t="n">
        <ns0:f>IF($A66="",1,IF(BI66=1,1,--AND(IF($AC66&gt;0,INDEX(BI$7:BI$106,$AC66),1),IF($AD66&gt;0,INDEX(BI$7:BI$106,$AD66),1),IF($AE66&gt;0,INDEX(BI$7:BI$106,$AE66),1),IF($AF66&gt;0,INDEX(BI$7:BI$106,$AF66),1),IF($AG66&gt;0,INDEX(BI$7:BI$106,$AG66),1),IF($AH66&gt;0,INDEX(BI$7:BI$106,$AH66),1),IF($AI66&gt;0,INDEX(BI$7:BI$106,$AI66),1),IF($AJ66&gt;0,INDEX(BI$7:BI$106,$AJ66),1))))</ns0:f>
        <ns0:v>1</ns0:v>
      </ns0:c>
      <ns0:c r="BK66" t="n">
        <ns0:f>IF($A66="",1,IF(BJ66=1,1,--AND(IF($AC66&gt;0,INDEX(BJ$7:BJ$106,$AC66),1),IF($AD66&gt;0,INDEX(BJ$7:BJ$106,$AD66),1),IF($AE66&gt;0,INDEX(BJ$7:BJ$106,$AE66),1),IF($AF66&gt;0,INDEX(BJ$7:BJ$106,$AF66),1),IF($AG66&gt;0,INDEX(BJ$7:BJ$106,$AG66),1),IF($AH66&gt;0,INDEX(BJ$7:BJ$106,$AH66),1),IF($AI66&gt;0,INDEX(BJ$7:BJ$106,$AI66),1),IF($AJ66&gt;0,INDEX(BJ$7:BJ$106,$AJ66),1))))</ns0:f>
        <ns0:v>1</ns0:v>
      </ns0:c>
      <ns0:c r="BL66" t="n">
        <ns0:f>IF($A66="",1,IF(BK66=1,1,--AND(IF($AC66&gt;0,INDEX(BK$7:BK$106,$AC66),1),IF($AD66&gt;0,INDEX(BK$7:BK$106,$AD66),1),IF($AE66&gt;0,INDEX(BK$7:BK$106,$AE66),1),IF($AF66&gt;0,INDEX(BK$7:BK$106,$AF66),1),IF($AG66&gt;0,INDEX(BK$7:BK$106,$AG66),1),IF($AH66&gt;0,INDEX(BK$7:BK$106,$AH66),1),IF($AI66&gt;0,INDEX(BK$7:BK$106,$AI66),1),IF($AJ66&gt;0,INDEX(BK$7:BK$106,$AJ66),1))))</ns0:f>
        <ns0:v>1</ns0:v>
      </ns0:c>
      <ns0:c r="BM66" t="n">
        <ns0:f>IF($A66="",1,IF(BL66=1,1,--AND(IF($AC66&gt;0,INDEX(BL$7:BL$106,$AC66),1),IF($AD66&gt;0,INDEX(BL$7:BL$106,$AD66),1),IF($AE66&gt;0,INDEX(BL$7:BL$106,$AE66),1),IF($AF66&gt;0,INDEX(BL$7:BL$106,$AF66),1),IF($AG66&gt;0,INDEX(BL$7:BL$106,$AG66),1),IF($AH66&gt;0,INDEX(BL$7:BL$106,$AH66),1),IF($AI66&gt;0,INDEX(BL$7:BL$106,$AI66),1),IF($AJ66&gt;0,INDEX(BL$7:BL$106,$AJ66),1))))</ns0:f>
        <ns0:v>1</ns0:v>
      </ns0:c>
      <ns0:c r="BN66" t="n">
        <ns0:f>IF($A66="",1,IF(BM66=1,1,--AND(IF($AC66&gt;0,INDEX(BM$7:BM$106,$AC66),1),IF($AD66&gt;0,INDEX(BM$7:BM$106,$AD66),1),IF($AE66&gt;0,INDEX(BM$7:BM$106,$AE66),1),IF($AF66&gt;0,INDEX(BM$7:BM$106,$AF66),1),IF($AG66&gt;0,INDEX(BM$7:BM$106,$AG66),1),IF($AH66&gt;0,INDEX(BM$7:BM$106,$AH66),1),IF($AI66&gt;0,INDEX(BM$7:BM$106,$AI66),1),IF($AJ66&gt;0,INDEX(BM$7:BM$106,$AJ66),1))))</ns0:f>
        <ns0:v>1</ns0:v>
      </ns0:c>
      <ns0:c r="BO66" t="n">
        <ns0:f>IF($A66="",1,IF(BN66=1,1,--AND(IF($AC66&gt;0,INDEX(BN$7:BN$106,$AC66),1),IF($AD66&gt;0,INDEX(BN$7:BN$106,$AD66),1),IF($AE66&gt;0,INDEX(BN$7:BN$106,$AE66),1),IF($AF66&gt;0,INDEX(BN$7:BN$106,$AF66),1),IF($AG66&gt;0,INDEX(BN$7:BN$106,$AG66),1),IF($AH66&gt;0,INDEX(BN$7:BN$106,$AH66),1),IF($AI66&gt;0,INDEX(BN$7:BN$106,$AI66),1),IF($AJ66&gt;0,INDEX(BN$7:BN$106,$AJ66),1))))</ns0:f>
        <ns0:v>1</ns0:v>
      </ns0:c>
      <ns0:c r="BP66" t="n">
        <ns0:f>IF($A66="",1,IF(BO66=1,1,--AND(IF($AC66&gt;0,INDEX(BO$7:BO$106,$AC66),1),IF($AD66&gt;0,INDEX(BO$7:BO$106,$AD66),1),IF($AE66&gt;0,INDEX(BO$7:BO$106,$AE66),1),IF($AF66&gt;0,INDEX(BO$7:BO$106,$AF66),1),IF($AG66&gt;0,INDEX(BO$7:BO$106,$AG66),1),IF($AH66&gt;0,INDEX(BO$7:BO$106,$AH66),1),IF($AI66&gt;0,INDEX(BO$7:BO$106,$AI66),1),IF($AJ66&gt;0,INDEX(BO$7:BO$106,$AJ66),1))))</ns0:f>
        <ns0:v>1</ns0:v>
      </ns0:c>
      <ns0:c r="BQ66" t="n">
        <ns0:f>IF($A66="",1,IF(BP66=1,1,--AND(IF($AC66&gt;0,INDEX(BP$7:BP$106,$AC66),1),IF($AD66&gt;0,INDEX(BP$7:BP$106,$AD66),1),IF($AE66&gt;0,INDEX(BP$7:BP$106,$AE66),1),IF($AF66&gt;0,INDEX(BP$7:BP$106,$AF66),1),IF($AG66&gt;0,INDEX(BP$7:BP$106,$AG66),1),IF($AH66&gt;0,INDEX(BP$7:BP$106,$AH66),1),IF($AI66&gt;0,INDEX(BP$7:BP$106,$AI66),1),IF($AJ66&gt;0,INDEX(BP$7:BP$106,$AJ66),1))))</ns0:f>
        <ns0:v>1</ns0:v>
      </ns0:c>
      <ns0:c r="BR66" t="n">
        <ns0:f>IF($A66="",1,IF(BQ66=1,1,--AND(IF($AC66&gt;0,INDEX(BQ$7:BQ$106,$AC66),1),IF($AD66&gt;0,INDEX(BQ$7:BQ$106,$AD66),1),IF($AE66&gt;0,INDEX(BQ$7:BQ$106,$AE66),1),IF($AF66&gt;0,INDEX(BQ$7:BQ$106,$AF66),1),IF($AG66&gt;0,INDEX(BQ$7:BQ$106,$AG66),1),IF($AH66&gt;0,INDEX(BQ$7:BQ$106,$AH66),1),IF($AI66&gt;0,INDEX(BQ$7:BQ$106,$AI66),1),IF($AJ66&gt;0,INDEX(BQ$7:BQ$106,$AJ66),1))))</ns0:f>
        <ns0:v>1</ns0:v>
      </ns0:c>
      <ns0:c r="BS66" t="n">
        <ns0:f>IF($A66="",1,IF(BR66=1,1,--AND(IF($AC66&gt;0,INDEX(BR$7:BR$106,$AC66),1),IF($AD66&gt;0,INDEX(BR$7:BR$106,$AD66),1),IF($AE66&gt;0,INDEX(BR$7:BR$106,$AE66),1),IF($AF66&gt;0,INDEX(BR$7:BR$106,$AF66),1),IF($AG66&gt;0,INDEX(BR$7:BR$106,$AG66),1),IF($AH66&gt;0,INDEX(BR$7:BR$106,$AH66),1),IF($AI66&gt;0,INDEX(BR$7:BR$106,$AI66),1),IF($AJ66&gt;0,INDEX(BR$7:BR$106,$AJ66),1))))</ns0:f>
        <ns0:v>1</ns0:v>
      </ns0:c>
      <ns0:c r="BT66" t="n">
        <ns0:f>IF($A66="",1,IF(BS66=1,1,--AND(IF($AC66&gt;0,INDEX(BS$7:BS$106,$AC66),1),IF($AD66&gt;0,INDEX(BS$7:BS$106,$AD66),1),IF($AE66&gt;0,INDEX(BS$7:BS$106,$AE66),1),IF($AF66&gt;0,INDEX(BS$7:BS$106,$AF66),1),IF($AG66&gt;0,INDEX(BS$7:BS$106,$AG66),1),IF($AH66&gt;0,INDEX(BS$7:BS$106,$AH66),1),IF($AI66&gt;0,INDEX(BS$7:BS$106,$AI66),1),IF($AJ66&gt;0,INDEX(BS$7:BS$106,$AJ66),1))))</ns0:f>
        <ns0:v>1</ns0:v>
      </ns0:c>
      <ns0:c r="BU66" t="n">
        <ns0:f>IF($A66="",1,IF(BT66=1,1,--AND(IF($AC66&gt;0,INDEX(BT$7:BT$106,$AC66),1),IF($AD66&gt;0,INDEX(BT$7:BT$106,$AD66),1),IF($AE66&gt;0,INDEX(BT$7:BT$106,$AE66),1),IF($AF66&gt;0,INDEX(BT$7:BT$106,$AF66),1),IF($AG66&gt;0,INDEX(BT$7:BT$106,$AG66),1),IF($AH66&gt;0,INDEX(BT$7:BT$106,$AH66),1),IF($AI66&gt;0,INDEX(BT$7:BT$106,$AI66),1),IF($AJ66&gt;0,INDEX(BT$7:BT$106,$AJ66),1))))</ns0:f>
        <ns0:v>1</ns0:v>
      </ns0:c>
      <ns0:c r="BV66" t="n">
        <ns0:f>IF($A66="",1,IF(BU66=1,1,--AND(IF($AC66&gt;0,INDEX(BU$7:BU$106,$AC66),1),IF($AD66&gt;0,INDEX(BU$7:BU$106,$AD66),1),IF($AE66&gt;0,INDEX(BU$7:BU$106,$AE66),1),IF($AF66&gt;0,INDEX(BU$7:BU$106,$AF66),1),IF($AG66&gt;0,INDEX(BU$7:BU$106,$AG66),1),IF($AH66&gt;0,INDEX(BU$7:BU$106,$AH66),1),IF($AI66&gt;0,INDEX(BU$7:BU$106,$AI66),1),IF($AJ66&gt;0,INDEX(BU$7:BU$106,$AJ66),1))))</ns0:f>
        <ns0:v>1</ns0:v>
      </ns0:c>
      <ns0:c r="BW66" t="n">
        <ns0:f>IF($A66="",1,IF(BV66=1,1,--AND(IF($AC66&gt;0,INDEX(BV$7:BV$106,$AC66),1),IF($AD66&gt;0,INDEX(BV$7:BV$106,$AD66),1),IF($AE66&gt;0,INDEX(BV$7:BV$106,$AE66),1),IF($AF66&gt;0,INDEX(BV$7:BV$106,$AF66),1),IF($AG66&gt;0,INDEX(BV$7:BV$106,$AG66),1),IF($AH66&gt;0,INDEX(BV$7:BV$106,$AH66),1),IF($AI66&gt;0,INDEX(BV$7:BV$106,$AI66),1),IF($AJ66&gt;0,INDEX(BV$7:BV$106,$AJ66),1))))</ns0:f>
        <ns0:v>1</ns0:v>
      </ns0:c>
      <ns0:c r="BX66" t="n">
        <ns0:f>IF($A66="",1,IF(BW66=1,1,--AND(IF($AC66&gt;0,INDEX(BW$7:BW$106,$AC66),1),IF($AD66&gt;0,INDEX(BW$7:BW$106,$AD66),1),IF($AE66&gt;0,INDEX(BW$7:BW$106,$AE66),1),IF($AF66&gt;0,INDEX(BW$7:BW$106,$AF66),1),IF($AG66&gt;0,INDEX(BW$7:BW$106,$AG66),1),IF($AH66&gt;0,INDEX(BW$7:BW$106,$AH66),1),IF($AI66&gt;0,INDEX(BW$7:BW$106,$AI66),1),IF($AJ66&gt;0,INDEX(BW$7:BW$106,$AJ66),1))))</ns0:f>
        <ns0:v>1</ns0:v>
      </ns0:c>
      <ns0:c r="BY66" t="n">
        <ns0:f>IF($A66="",1,IF(BX66=1,1,--AND(IF($AC66&gt;0,INDEX(BX$7:BX$106,$AC66),1),IF($AD66&gt;0,INDEX(BX$7:BX$106,$AD66),1),IF($AE66&gt;0,INDEX(BX$7:BX$106,$AE66),1),IF($AF66&gt;0,INDEX(BX$7:BX$106,$AF66),1),IF($AG66&gt;0,INDEX(BX$7:BX$106,$AG66),1),IF($AH66&gt;0,INDEX(BX$7:BX$106,$AH66),1),IF($AI66&gt;0,INDEX(BX$7:BX$106,$AI66),1),IF($AJ66&gt;0,INDEX(BX$7:BX$106,$AJ66),1))))</ns0:f>
        <ns0:v>1</ns0:v>
      </ns0:c>
      <ns0:c r="BZ66" t="n">
        <ns0:f>IF($A66="",1,IF(BY66=1,1,--AND(IF($AC66&gt;0,INDEX(BY$7:BY$106,$AC66),1),IF($AD66&gt;0,INDEX(BY$7:BY$106,$AD66),1),IF($AE66&gt;0,INDEX(BY$7:BY$106,$AE66),1),IF($AF66&gt;0,INDEX(BY$7:BY$106,$AF66),1),IF($AG66&gt;0,INDEX(BY$7:BY$106,$AG66),1),IF($AH66&gt;0,INDEX(BY$7:BY$106,$AH66),1),IF($AI66&gt;0,INDEX(BY$7:BY$106,$AI66),1),IF($AJ66&gt;0,INDEX(BY$7:BY$106,$AJ66),1))))</ns0:f>
        <ns0:v>1</ns0:v>
      </ns0:c>
      <ns0:c r="CA66" t="n">
        <ns0:f>IF($A66="",1,IF(BZ66=1,1,--AND(IF($AC66&gt;0,INDEX(BZ$7:BZ$106,$AC66),1),IF($AD66&gt;0,INDEX(BZ$7:BZ$106,$AD66),1),IF($AE66&gt;0,INDEX(BZ$7:BZ$106,$AE66),1),IF($AF66&gt;0,INDEX(BZ$7:BZ$106,$AF66),1),IF($AG66&gt;0,INDEX(BZ$7:BZ$106,$AG66),1),IF($AH66&gt;0,INDEX(BZ$7:BZ$106,$AH66),1),IF($AI66&gt;0,INDEX(BZ$7:BZ$106,$AI66),1),IF($AJ66&gt;0,INDEX(BZ$7:BZ$106,$AJ66),1))))</ns0:f>
        <ns0:v>1</ns0:v>
      </ns0:c>
      <ns0:c r="CB66" t="n">
        <ns0:f>IF($A66="",1,IF(CA66=1,1,--AND(IF($AC66&gt;0,INDEX(CA$7:CA$106,$AC66),1),IF($AD66&gt;0,INDEX(CA$7:CA$106,$AD66),1),IF($AE66&gt;0,INDEX(CA$7:CA$106,$AE66),1),IF($AF66&gt;0,INDEX(CA$7:CA$106,$AF66),1),IF($AG66&gt;0,INDEX(CA$7:CA$106,$AG66),1),IF($AH66&gt;0,INDEX(CA$7:CA$106,$AH66),1),IF($AI66&gt;0,INDEX(CA$7:CA$106,$AI66),1),IF($AJ66&gt;0,INDEX(CA$7:CA$106,$AJ66),1))))</ns0:f>
        <ns0:v>1</ns0:v>
      </ns0:c>
      <ns0:c r="CC66" t="n">
        <ns0:f>IF($A66="",1,IF(CB66=1,1,--AND(IF($AC66&gt;0,INDEX(CB$7:CB$106,$AC66),1),IF($AD66&gt;0,INDEX(CB$7:CB$106,$AD66),1),IF($AE66&gt;0,INDEX(CB$7:CB$106,$AE66),1),IF($AF66&gt;0,INDEX(CB$7:CB$106,$AF66),1),IF($AG66&gt;0,INDEX(CB$7:CB$106,$AG66),1),IF($AH66&gt;0,INDEX(CB$7:CB$106,$AH66),1),IF($AI66&gt;0,INDEX(CB$7:CB$106,$AI66),1),IF($AJ66&gt;0,INDEX(CB$7:CB$106,$AJ66),1))))</ns0:f>
        <ns0:v>1</ns0:v>
      </ns0:c>
      <ns0:c r="CD66" t="n">
        <ns0:f>IF($A66="",1,IF(CC66=1,1,--AND(IF($AC66&gt;0,INDEX(CC$7:CC$106,$AC66),1),IF($AD66&gt;0,INDEX(CC$7:CC$106,$AD66),1),IF($AE66&gt;0,INDEX(CC$7:CC$106,$AE66),1),IF($AF66&gt;0,INDEX(CC$7:CC$106,$AF66),1),IF($AG66&gt;0,INDEX(CC$7:CC$106,$AG66),1),IF($AH66&gt;0,INDEX(CC$7:CC$106,$AH66),1),IF($AI66&gt;0,INDEX(CC$7:CC$106,$AI66),1),IF($AJ66&gt;0,INDEX(CC$7:CC$106,$AJ66),1))))</ns0:f>
        <ns0:v>1</ns0:v>
      </ns0:c>
      <ns0:c r="CE66" t="n">
        <ns0:f>IF($A66="",1,IF(CD66=1,1,--AND(IF($AC66&gt;0,INDEX(CD$7:CD$106,$AC66),1),IF($AD66&gt;0,INDEX(CD$7:CD$106,$AD66),1),IF($AE66&gt;0,INDEX(CD$7:CD$106,$AE66),1),IF($AF66&gt;0,INDEX(CD$7:CD$106,$AF66),1),IF($AG66&gt;0,INDEX(CD$7:CD$106,$AG66),1),IF($AH66&gt;0,INDEX(CD$7:CD$106,$AH66),1),IF($AI66&gt;0,INDEX(CD$7:CD$106,$AI66),1),IF($AJ66&gt;0,INDEX(CD$7:CD$106,$AJ66),1))))</ns0:f>
        <ns0:v>1</ns0:v>
      </ns0:c>
      <ns0:c r="CF66" t="n">
        <ns0:f>IF($A66="",1,IF(CE66=1,1,--AND(IF($AC66&gt;0,INDEX(CE$7:CE$106,$AC66),1),IF($AD66&gt;0,INDEX(CE$7:CE$106,$AD66),1),IF($AE66&gt;0,INDEX(CE$7:CE$106,$AE66),1),IF($AF66&gt;0,INDEX(CE$7:CE$106,$AF66),1),IF($AG66&gt;0,INDEX(CE$7:CE$106,$AG66),1),IF($AH66&gt;0,INDEX(CE$7:CE$106,$AH66),1),IF($AI66&gt;0,INDEX(CE$7:CE$106,$AI66),1),IF($AJ66&gt;0,INDEX(CE$7:CE$106,$AJ66),1))))</ns0:f>
        <ns0:v>1</ns0:v>
      </ns0:c>
      <ns0:c r="CG66" t="n">
        <ns0:f>IF($A66="",1,IF(CF66=1,1,--AND(IF($AC66&gt;0,INDEX(CF$7:CF$106,$AC66),1),IF($AD66&gt;0,INDEX(CF$7:CF$106,$AD66),1),IF($AE66&gt;0,INDEX(CF$7:CF$106,$AE66),1),IF($AF66&gt;0,INDEX(CF$7:CF$106,$AF66),1),IF($AG66&gt;0,INDEX(CF$7:CF$106,$AG66),1),IF($AH66&gt;0,INDEX(CF$7:CF$106,$AH66),1),IF($AI66&gt;0,INDEX(CF$7:CF$106,$AI66),1),IF($AJ66&gt;0,INDEX(CF$7:CF$106,$AJ66),1))))</ns0:f>
        <ns0:v>1</ns0:v>
      </ns0:c>
      <ns0:c r="CH66" t="n">
        <ns0:f>IF($A66="",1,IF(CG66=1,1,--AND(IF($AC66&gt;0,INDEX(CG$7:CG$106,$AC66),1),IF($AD66&gt;0,INDEX(CG$7:CG$106,$AD66),1),IF($AE66&gt;0,INDEX(CG$7:CG$106,$AE66),1),IF($AF66&gt;0,INDEX(CG$7:CG$106,$AF66),1),IF($AG66&gt;0,INDEX(CG$7:CG$106,$AG66),1),IF($AH66&gt;0,INDEX(CG$7:CG$106,$AH66),1),IF($AI66&gt;0,INDEX(CG$7:CG$106,$AI66),1),IF($AJ66&gt;0,INDEX(CG$7:CG$106,$AJ66),1))))</ns0:f>
        <ns0:v>1</ns0:v>
      </ns0:c>
      <ns0:c r="CI66" t="n">
        <ns0:f>IF($A66="",1,IF(CH66=1,1,--AND(IF($AC66&gt;0,INDEX(CH$7:CH$106,$AC66),1),IF($AD66&gt;0,INDEX(CH$7:CH$106,$AD66),1),IF($AE66&gt;0,INDEX(CH$7:CH$106,$AE66),1),IF($AF66&gt;0,INDEX(CH$7:CH$106,$AF66),1),IF($AG66&gt;0,INDEX(CH$7:CH$106,$AG66),1),IF($AH66&gt;0,INDEX(CH$7:CH$106,$AH66),1),IF($AI66&gt;0,INDEX(CH$7:CH$106,$AI66),1),IF($AJ66&gt;0,INDEX(CH$7:CH$106,$AJ66),1))))</ns0:f>
        <ns0:v>1</ns0:v>
      </ns0:c>
      <ns0:c r="CJ66" t="n">
        <ns0:f>IF($A66="",1,IF(CI66=1,1,--AND(IF($AC66&gt;0,INDEX(CI$7:CI$106,$AC66),1),IF($AD66&gt;0,INDEX(CI$7:CI$106,$AD66),1),IF($AE66&gt;0,INDEX(CI$7:CI$106,$AE66),1),IF($AF66&gt;0,INDEX(CI$7:CI$106,$AF66),1),IF($AG66&gt;0,INDEX(CI$7:CI$106,$AG66),1),IF($AH66&gt;0,INDEX(CI$7:CI$106,$AH66),1),IF($AI66&gt;0,INDEX(CI$7:CI$106,$AI66),1),IF($AJ66&gt;0,INDEX(CI$7:CI$106,$AJ66),1))))</ns0:f>
        <ns0:v>1</ns0:v>
      </ns0:c>
      <ns0:c r="CK66" t="n">
        <ns0:f>IF($A66="",1,IF(CJ66=1,1,--AND(IF($AC66&gt;0,INDEX(CJ$7:CJ$106,$AC66),1),IF($AD66&gt;0,INDEX(CJ$7:CJ$106,$AD66),1),IF($AE66&gt;0,INDEX(CJ$7:CJ$106,$AE66),1),IF($AF66&gt;0,INDEX(CJ$7:CJ$106,$AF66),1),IF($AG66&gt;0,INDEX(CJ$7:CJ$106,$AG66),1),IF($AH66&gt;0,INDEX(CJ$7:CJ$106,$AH66),1),IF($AI66&gt;0,INDEX(CJ$7:CJ$106,$AI66),1),IF($AJ66&gt;0,INDEX(CJ$7:CJ$106,$AJ66),1))))</ns0:f>
        <ns0:v>1</ns0:v>
      </ns0:c>
      <ns0:c r="CL66" t="n">
        <ns0:f>IF($A66="",1,IF(CK66=1,1,--AND(IF($AC66&gt;0,INDEX(CK$7:CK$106,$AC66),1),IF($AD66&gt;0,INDEX(CK$7:CK$106,$AD66),1),IF($AE66&gt;0,INDEX(CK$7:CK$106,$AE66),1),IF($AF66&gt;0,INDEX(CK$7:CK$106,$AF66),1),IF($AG66&gt;0,INDEX(CK$7:CK$106,$AG66),1),IF($AH66&gt;0,INDEX(CK$7:CK$106,$AH66),1),IF($AI66&gt;0,INDEX(CK$7:CK$106,$AI66),1),IF($AJ66&gt;0,INDEX(CK$7:CK$106,$AJ66),1))))</ns0:f>
        <ns0:v>1</ns0:v>
      </ns0:c>
      <ns0:c r="CM66" t="n">
        <ns0:f>IF($A66="",1,IF(CL66=1,1,--AND(IF($AC66&gt;0,INDEX(CL$7:CL$106,$AC66),1),IF($AD66&gt;0,INDEX(CL$7:CL$106,$AD66),1),IF($AE66&gt;0,INDEX(CL$7:CL$106,$AE66),1),IF($AF66&gt;0,INDEX(CL$7:CL$106,$AF66),1),IF($AG66&gt;0,INDEX(CL$7:CL$106,$AG66),1),IF($AH66&gt;0,INDEX(CL$7:CL$106,$AH66),1),IF($AI66&gt;0,INDEX(CL$7:CL$106,$AI66),1),IF($AJ66&gt;0,INDEX(CL$7:CL$106,$AJ66),1))))</ns0:f>
        <ns0:v>1</ns0:v>
      </ns0:c>
      <ns0:c r="CN66" t="n">
        <ns0:f>IF($A66="",1,IF(CM66=1,1,--AND(IF($AC66&gt;0,INDEX(CM$7:CM$106,$AC66),1),IF($AD66&gt;0,INDEX(CM$7:CM$106,$AD66),1),IF($AE66&gt;0,INDEX(CM$7:CM$106,$AE66),1),IF($AF66&gt;0,INDEX(CM$7:CM$106,$AF66),1),IF($AG66&gt;0,INDEX(CM$7:CM$106,$AG66),1),IF($AH66&gt;0,INDEX(CM$7:CM$106,$AH66),1),IF($AI66&gt;0,INDEX(CM$7:CM$106,$AI66),1),IF($AJ66&gt;0,INDEX(CM$7:CM$106,$AJ66),1))))</ns0:f>
        <ns0:v>1</ns0:v>
      </ns0:c>
      <ns0:c r="CO66" t="n">
        <ns0:f>IF($A66="",1,IF(CN66=1,1,--AND(IF($AC66&gt;0,INDEX(CN$7:CN$106,$AC66),1),IF($AD66&gt;0,INDEX(CN$7:CN$106,$AD66),1),IF($AE66&gt;0,INDEX(CN$7:CN$106,$AE66),1),IF($AF66&gt;0,INDEX(CN$7:CN$106,$AF66),1),IF($AG66&gt;0,INDEX(CN$7:CN$106,$AG66),1),IF($AH66&gt;0,INDEX(CN$7:CN$106,$AH66),1),IF($AI66&gt;0,INDEX(CN$7:CN$106,$AI66),1),IF($AJ66&gt;0,INDEX(CN$7:CN$106,$AJ66),1))))</ns0:f>
        <ns0:v>1</ns0:v>
      </ns0:c>
      <ns0:c r="CP66" t="n">
        <ns0:f>IF($A66="",1,IF(CO66=1,1,--AND(IF($AC66&gt;0,INDEX(CO$7:CO$106,$AC66),1),IF($AD66&gt;0,INDEX(CO$7:CO$106,$AD66),1),IF($AE66&gt;0,INDEX(CO$7:CO$106,$AE66),1),IF($AF66&gt;0,INDEX(CO$7:CO$106,$AF66),1),IF($AG66&gt;0,INDEX(CO$7:CO$106,$AG66),1),IF($AH66&gt;0,INDEX(CO$7:CO$106,$AH66),1),IF($AI66&gt;0,INDEX(CO$7:CO$106,$AI66),1),IF($AJ66&gt;0,INDEX(CO$7:CO$106,$AJ66),1))))</ns0:f>
        <ns0:v>1</ns0:v>
      </ns0:c>
      <ns0:c r="CQ66" t="n">
        <ns0:f>IF($A66="",1,IF(CP66=1,1,--AND(IF($AC66&gt;0,INDEX(CP$7:CP$106,$AC66),1),IF($AD66&gt;0,INDEX(CP$7:CP$106,$AD66),1),IF($AE66&gt;0,INDEX(CP$7:CP$106,$AE66),1),IF($AF66&gt;0,INDEX(CP$7:CP$106,$AF66),1),IF($AG66&gt;0,INDEX(CP$7:CP$106,$AG66),1),IF($AH66&gt;0,INDEX(CP$7:CP$106,$AH66),1),IF($AI66&gt;0,INDEX(CP$7:CP$106,$AI66),1),IF($AJ66&gt;0,INDEX(CP$7:CP$106,$AJ66),1))))</ns0:f>
        <ns0:v>1</ns0:v>
      </ns0:c>
      <ns0:c r="CR66" t="n">
        <ns0:f>IF($A66="",1,IF(CQ66=1,1,--AND(IF($AC66&gt;0,INDEX(CQ$7:CQ$106,$AC66),1),IF($AD66&gt;0,INDEX(CQ$7:CQ$106,$AD66),1),IF($AE66&gt;0,INDEX(CQ$7:CQ$106,$AE66),1),IF($AF66&gt;0,INDEX(CQ$7:CQ$106,$AF66),1),IF($AG66&gt;0,INDEX(CQ$7:CQ$106,$AG66),1),IF($AH66&gt;0,INDEX(CQ$7:CQ$106,$AH66),1),IF($AI66&gt;0,INDEX(CQ$7:CQ$106,$AI66),1),IF($AJ66&gt;0,INDEX(CQ$7:CQ$106,$AJ66),1))))</ns0:f>
        <ns0:v>1</ns0:v>
      </ns0:c>
      <ns0:c r="CS66" t="n">
        <ns0:f>IF($A66="",1,IF(CR66=1,1,--AND(IF($AC66&gt;0,INDEX(CR$7:CR$106,$AC66),1),IF($AD66&gt;0,INDEX(CR$7:CR$106,$AD66),1),IF($AE66&gt;0,INDEX(CR$7:CR$106,$AE66),1),IF($AF66&gt;0,INDEX(CR$7:CR$106,$AF66),1),IF($AG66&gt;0,INDEX(CR$7:CR$106,$AG66),1),IF($AH66&gt;0,INDEX(CR$7:CR$106,$AH66),1),IF($AI66&gt;0,INDEX(CR$7:CR$106,$AI66),1),IF($AJ66&gt;0,INDEX(CR$7:CR$106,$AJ66),1))))</ns0:f>
        <ns0:v>1</ns0:v>
      </ns0:c>
      <ns0:c r="CT66" t="n">
        <ns0:f>IF($A66="",1,IF(CS66=1,1,--AND(IF($AC66&gt;0,INDEX(CS$7:CS$106,$AC66),1),IF($AD66&gt;0,INDEX(CS$7:CS$106,$AD66),1),IF($AE66&gt;0,INDEX(CS$7:CS$106,$AE66),1),IF($AF66&gt;0,INDEX(CS$7:CS$106,$AF66),1),IF($AG66&gt;0,INDEX(CS$7:CS$106,$AG66),1),IF($AH66&gt;0,INDEX(CS$7:CS$106,$AH66),1),IF($AI66&gt;0,INDEX(CS$7:CS$106,$AI66),1),IF($AJ66&gt;0,INDEX(CS$7:CS$106,$AJ66),1))))</ns0:f>
        <ns0:v>1</ns0:v>
      </ns0:c>
      <ns0:c r="CU66" t="n">
        <ns0:f>IF($A66="",1,IF(CT66=1,1,--AND(IF($AC66&gt;0,INDEX(CT$7:CT$106,$AC66),1),IF($AD66&gt;0,INDEX(CT$7:CT$106,$AD66),1),IF($AE66&gt;0,INDEX(CT$7:CT$106,$AE66),1),IF($AF66&gt;0,INDEX(CT$7:CT$106,$AF66),1),IF($AG66&gt;0,INDEX(CT$7:CT$106,$AG66),1),IF($AH66&gt;0,INDEX(CT$7:CT$106,$AH66),1),IF($AI66&gt;0,INDEX(CT$7:CT$106,$AI66),1),IF($AJ66&gt;0,INDEX(CT$7:CT$106,$AJ66),1))))</ns0:f>
        <ns0:v>1</ns0:v>
      </ns0:c>
      <ns0:c r="CV66" t="n">
        <ns0:f>IF($A66="",1,IF(CU66=1,1,--AND(IF($AC66&gt;0,INDEX(CU$7:CU$106,$AC66),1),IF($AD66&gt;0,INDEX(CU$7:CU$106,$AD66),1),IF($AE66&gt;0,INDEX(CU$7:CU$106,$AE66),1),IF($AF66&gt;0,INDEX(CU$7:CU$106,$AF66),1),IF($AG66&gt;0,INDEX(CU$7:CU$106,$AG66),1),IF($AH66&gt;0,INDEX(CU$7:CU$106,$AH66),1),IF($AI66&gt;0,INDEX(CU$7:CU$106,$AI66),1),IF($AJ66&gt;0,INDEX(CU$7:CU$106,$AJ66),1))))</ns0:f>
        <ns0:v>1</ns0:v>
      </ns0:c>
      <ns0:c r="CW66" t="n">
        <ns0:f>IF($A66="",1,IF(CV66=1,1,--AND(IF($AC66&gt;0,INDEX(CV$7:CV$106,$AC66),1),IF($AD66&gt;0,INDEX(CV$7:CV$106,$AD66),1),IF($AE66&gt;0,INDEX(CV$7:CV$106,$AE66),1),IF($AF66&gt;0,INDEX(CV$7:CV$106,$AF66),1),IF($AG66&gt;0,INDEX(CV$7:CV$106,$AG66),1),IF($AH66&gt;0,INDEX(CV$7:CV$106,$AH66),1),IF($AI66&gt;0,INDEX(CV$7:CV$106,$AI66),1),IF($AJ66&gt;0,INDEX(CV$7:CV$106,$AJ66),1))))</ns0:f>
        <ns0:v>1</ns0:v>
      </ns0:c>
      <ns0:c r="CX66" t="n">
        <ns0:f>IF($A66="",1,IF(CW66=1,1,--AND(IF($AC66&gt;0,INDEX(CW$7:CW$106,$AC66),1),IF($AD66&gt;0,INDEX(CW$7:CW$106,$AD66),1),IF($AE66&gt;0,INDEX(CW$7:CW$106,$AE66),1),IF($AF66&gt;0,INDEX(CW$7:CW$106,$AF66),1),IF($AG66&gt;0,INDEX(CW$7:CW$106,$AG66),1),IF($AH66&gt;0,INDEX(CW$7:CW$106,$AH66),1),IF($AI66&gt;0,INDEX(CW$7:CW$106,$AI66),1),IF($AJ66&gt;0,INDEX(CW$7:CW$106,$AJ66),1))))</ns0:f>
        <ns0:v>1</ns0:v>
      </ns0:c>
      <ns0:c r="CY66" t="n">
        <ns0:f>IF($A66="",1,IF(CX66=1,1,--AND(IF($AC66&gt;0,INDEX(CX$7:CX$106,$AC66),1),IF($AD66&gt;0,INDEX(CX$7:CX$106,$AD66),1),IF($AE66&gt;0,INDEX(CX$7:CX$106,$AE66),1),IF($AF66&gt;0,INDEX(CX$7:CX$106,$AF66),1),IF($AG66&gt;0,INDEX(CX$7:CX$106,$AG66),1),IF($AH66&gt;0,INDEX(CX$7:CX$106,$AH66),1),IF($AI66&gt;0,INDEX(CX$7:CX$106,$AI66),1),IF($AJ66&gt;0,INDEX(CX$7:CX$106,$AJ66),1))))</ns0:f>
        <ns0:v>1</ns0:v>
      </ns0:c>
      <ns0:c r="CZ66" t="n">
        <ns0:f>IF($A66="",1,IF(CY66=1,1,--AND(IF($AC66&gt;0,INDEX(CY$7:CY$106,$AC66),1),IF($AD66&gt;0,INDEX(CY$7:CY$106,$AD66),1),IF($AE66&gt;0,INDEX(CY$7:CY$106,$AE66),1),IF($AF66&gt;0,INDEX(CY$7:CY$106,$AF66),1),IF($AG66&gt;0,INDEX(CY$7:CY$106,$AG66),1),IF($AH66&gt;0,INDEX(CY$7:CY$106,$AH66),1),IF($AI66&gt;0,INDEX(CY$7:CY$106,$AI66),1),IF($AJ66&gt;0,INDEX(CY$7:CY$106,$AJ66),1))))</ns0:f>
        <ns0:v>1</ns0:v>
      </ns0:c>
      <ns0:c r="DA66" t="n">
        <ns0:f>IF($A66="",1,IF(CZ66=1,1,--AND(IF($AC66&gt;0,INDEX(CZ$7:CZ$106,$AC66),1),IF($AD66&gt;0,INDEX(CZ$7:CZ$106,$AD66),1),IF($AE66&gt;0,INDEX(CZ$7:CZ$106,$AE66),1),IF($AF66&gt;0,INDEX(CZ$7:CZ$106,$AF66),1),IF($AG66&gt;0,INDEX(CZ$7:CZ$106,$AG66),1),IF($AH66&gt;0,INDEX(CZ$7:CZ$106,$AH66),1),IF($AI66&gt;0,INDEX(CZ$7:CZ$106,$AI66),1),IF($AJ66&gt;0,INDEX(CZ$7:CZ$106,$AJ66),1))))</ns0:f>
        <ns0:v>1</ns0:v>
      </ns0:c>
      <ns0:c r="DB66" t="n">
        <ns0:f>IF($A66="",1,IF(DA66=1,1,--AND(IF($AC66&gt;0,INDEX(DA$7:DA$106,$AC66),1),IF($AD66&gt;0,INDEX(DA$7:DA$106,$AD66),1),IF($AE66&gt;0,INDEX(DA$7:DA$106,$AE66),1),IF($AF66&gt;0,INDEX(DA$7:DA$106,$AF66),1),IF($AG66&gt;0,INDEX(DA$7:DA$106,$AG66),1),IF($AH66&gt;0,INDEX(DA$7:DA$106,$AH66),1),IF($AI66&gt;0,INDEX(DA$7:DA$106,$AI66),1),IF($AJ66&gt;0,INDEX(DA$7:DA$106,$AJ66),1))))</ns0:f>
        <ns0:v>1</ns0:v>
      </ns0:c>
      <ns0:c r="DC66" t="n">
        <ns0:f>IF($A66="",1,IF(DB66=1,1,--AND(IF($AC66&gt;0,INDEX(DB$7:DB$106,$AC66),1),IF($AD66&gt;0,INDEX(DB$7:DB$106,$AD66),1),IF($AE66&gt;0,INDEX(DB$7:DB$106,$AE66),1),IF($AF66&gt;0,INDEX(DB$7:DB$106,$AF66),1),IF($AG66&gt;0,INDEX(DB$7:DB$106,$AG66),1),IF($AH66&gt;0,INDEX(DB$7:DB$106,$AH66),1),IF($AI66&gt;0,INDEX(DB$7:DB$106,$AI66),1),IF($AJ66&gt;0,INDEX(DB$7:DB$106,$AJ66),1))))</ns0:f>
        <ns0:v>1</ns0:v>
      </ns0:c>
      <ns0:c r="DD66" t="n">
        <ns0:f>IF($A66="",1,IF(DC66=1,1,--AND(IF($AC66&gt;0,INDEX(DC$7:DC$106,$AC66),1),IF($AD66&gt;0,INDEX(DC$7:DC$106,$AD66),1),IF($AE66&gt;0,INDEX(DC$7:DC$106,$AE66),1),IF($AF66&gt;0,INDEX(DC$7:DC$106,$AF66),1),IF($AG66&gt;0,INDEX(DC$7:DC$106,$AG66),1),IF($AH66&gt;0,INDEX(DC$7:DC$106,$AH66),1),IF($AI66&gt;0,INDEX(DC$7:DC$106,$AI66),1),IF($AJ66&gt;0,INDEX(DC$7:DC$106,$AJ66),1))))</ns0:f>
        <ns0:v>1</ns0:v>
      </ns0:c>
      <ns0:c r="DE66" t="n">
        <ns0:f>IF($A66="",1,IF(DD66=1,1,--AND(IF($AC66&gt;0,INDEX(DD$7:DD$106,$AC66),1),IF($AD66&gt;0,INDEX(DD$7:DD$106,$AD66),1),IF($AE66&gt;0,INDEX(DD$7:DD$106,$AE66),1),IF($AF66&gt;0,INDEX(DD$7:DD$106,$AF66),1),IF($AG66&gt;0,INDEX(DD$7:DD$106,$AG66),1),IF($AH66&gt;0,INDEX(DD$7:DD$106,$AH66),1),IF($AI66&gt;0,INDEX(DD$7:DD$106,$AI66),1),IF($AJ66&gt;0,INDEX(DD$7:DD$106,$AJ66),1))))</ns0:f>
        <ns0:v>1</ns0:v>
      </ns0:c>
      <ns0:c r="DF66" t="n">
        <ns0:f>IF($A66="",1,IF(DE66=1,1,--AND(IF($AC66&gt;0,INDEX(DE$7:DE$106,$AC66),1),IF($AD66&gt;0,INDEX(DE$7:DE$106,$AD66),1),IF($AE66&gt;0,INDEX(DE$7:DE$106,$AE66),1),IF($AF66&gt;0,INDEX(DE$7:DE$106,$AF66),1),IF($AG66&gt;0,INDEX(DE$7:DE$106,$AG66),1),IF($AH66&gt;0,INDEX(DE$7:DE$106,$AH66),1),IF($AI66&gt;0,INDEX(DE$7:DE$106,$AI66),1),IF($AJ66&gt;0,INDEX(DE$7:DE$106,$AJ66),1))))</ns0:f>
        <ns0:v>1</ns0:v>
      </ns0:c>
      <ns0:c r="DG66" t="n">
        <ns0:f>IF($A66="",1,IF(DF66=1,1,--AND(IF($AC66&gt;0,INDEX(DF$7:DF$106,$AC66),1),IF($AD66&gt;0,INDEX(DF$7:DF$106,$AD66),1),IF($AE66&gt;0,INDEX(DF$7:DF$106,$AE66),1),IF($AF66&gt;0,INDEX(DF$7:DF$106,$AF66),1),IF($AG66&gt;0,INDEX(DF$7:DF$106,$AG66),1),IF($AH66&gt;0,INDEX(DF$7:DF$106,$AH66),1),IF($AI66&gt;0,INDEX(DF$7:DF$106,$AI66),1),IF($AJ66&gt;0,INDEX(DF$7:DF$106,$AJ66),1))))</ns0:f>
        <ns0:v>1</ns0:v>
      </ns0:c>
      <ns0:c r="DH66" t="n">
        <ns0:f>IF($A66="",1,IF(DG66=1,1,--AND(IF($AC66&gt;0,INDEX(DG$7:DG$106,$AC66),1),IF($AD66&gt;0,INDEX(DG$7:DG$106,$AD66),1),IF($AE66&gt;0,INDEX(DG$7:DG$106,$AE66),1),IF($AF66&gt;0,INDEX(DG$7:DG$106,$AF66),1),IF($AG66&gt;0,INDEX(DG$7:DG$106,$AG66),1),IF($AH66&gt;0,INDEX(DG$7:DG$106,$AH66),1),IF($AI66&gt;0,INDEX(DG$7:DG$106,$AI66),1),IF($AJ66&gt;0,INDEX(DG$7:DG$106,$AJ66),1))))</ns0:f>
        <ns0:v>1</ns0:v>
      </ns0:c>
      <ns0:c r="DI66" t="n">
        <ns0:f>IF($A66="",1,IF(DH66=1,1,--AND(IF($AC66&gt;0,INDEX(DH$7:DH$106,$AC66),1),IF($AD66&gt;0,INDEX(DH$7:DH$106,$AD66),1),IF($AE66&gt;0,INDEX(DH$7:DH$106,$AE66),1),IF($AF66&gt;0,INDEX(DH$7:DH$106,$AF66),1),IF($AG66&gt;0,INDEX(DH$7:DH$106,$AG66),1),IF($AH66&gt;0,INDEX(DH$7:DH$106,$AH66),1),IF($AI66&gt;0,INDEX(DH$7:DH$106,$AI66),1),IF($AJ66&gt;0,INDEX(DH$7:DH$106,$AJ66),1))))</ns0:f>
        <ns0:v>1</ns0:v>
      </ns0:c>
      <ns0:c r="DJ66" t="n">
        <ns0:f>IF($A66="",1,IF(DI66=1,1,--AND(IF($AC66&gt;0,INDEX(DI$7:DI$106,$AC66),1),IF($AD66&gt;0,INDEX(DI$7:DI$106,$AD66),1),IF($AE66&gt;0,INDEX(DI$7:DI$106,$AE66),1),IF($AF66&gt;0,INDEX(DI$7:DI$106,$AF66),1),IF($AG66&gt;0,INDEX(DI$7:DI$106,$AG66),1),IF($AH66&gt;0,INDEX(DI$7:DI$106,$AH66),1),IF($AI66&gt;0,INDEX(DI$7:DI$106,$AI66),1),IF($AJ66&gt;0,INDEX(DI$7:DI$106,$AJ66),1))))</ns0:f>
        <ns0:v>1</ns0:v>
      </ns0:c>
      <ns0:c r="DK66" t="n">
        <ns0:f>IF($A66="",1,IF(DJ66=1,1,--AND(IF($AC66&gt;0,INDEX(DJ$7:DJ$106,$AC66),1),IF($AD66&gt;0,INDEX(DJ$7:DJ$106,$AD66),1),IF($AE66&gt;0,INDEX(DJ$7:DJ$106,$AE66),1),IF($AF66&gt;0,INDEX(DJ$7:DJ$106,$AF66),1),IF($AG66&gt;0,INDEX(DJ$7:DJ$106,$AG66),1),IF($AH66&gt;0,INDEX(DJ$7:DJ$106,$AH66),1),IF($AI66&gt;0,INDEX(DJ$7:DJ$106,$AI66),1),IF($AJ66&gt;0,INDEX(DJ$7:DJ$106,$AJ66),1))))</ns0:f>
        <ns0:v>1</ns0:v>
      </ns0:c>
      <ns0:c r="DL66" t="n">
        <ns0:f>IF($A66="",1,IF(DK66=1,1,--AND(IF($AC66&gt;0,INDEX(DK$7:DK$106,$AC66),1),IF($AD66&gt;0,INDEX(DK$7:DK$106,$AD66),1),IF($AE66&gt;0,INDEX(DK$7:DK$106,$AE66),1),IF($AF66&gt;0,INDEX(DK$7:DK$106,$AF66),1),IF($AG66&gt;0,INDEX(DK$7:DK$106,$AG66),1),IF($AH66&gt;0,INDEX(DK$7:DK$106,$AH66),1),IF($AI66&gt;0,INDEX(DK$7:DK$106,$AI66),1),IF($AJ66&gt;0,INDEX(DK$7:DK$106,$AJ66),1))))</ns0:f>
        <ns0:v>1</ns0:v>
      </ns0:c>
      <ns0:c r="DM66" t="n">
        <ns0:f>IF($A66="",1,IF(DL66=1,1,--AND(IF($AC66&gt;0,INDEX(DL$7:DL$106,$AC66),1),IF($AD66&gt;0,INDEX(DL$7:DL$106,$AD66),1),IF($AE66&gt;0,INDEX(DL$7:DL$106,$AE66),1),IF($AF66&gt;0,INDEX(DL$7:DL$106,$AF66),1),IF($AG66&gt;0,INDEX(DL$7:DL$106,$AG66),1),IF($AH66&gt;0,INDEX(DL$7:DL$106,$AH66),1),IF($AI66&gt;0,INDEX(DL$7:DL$106,$AI66),1),IF($AJ66&gt;0,INDEX(DL$7:DL$106,$AJ66),1))))</ns0:f>
        <ns0:v>1</ns0:v>
      </ns0:c>
      <ns0:c r="DN66" t="n">
        <ns0:f>IF($A66="",1,IF(DM66=1,1,--AND(IF($AC66&gt;0,INDEX(DM$7:DM$106,$AC66),1),IF($AD66&gt;0,INDEX(DM$7:DM$106,$AD66),1),IF($AE66&gt;0,INDEX(DM$7:DM$106,$AE66),1),IF($AF66&gt;0,INDEX(DM$7:DM$106,$AF66),1),IF($AG66&gt;0,INDEX(DM$7:DM$106,$AG66),1),IF($AH66&gt;0,INDEX(DM$7:DM$106,$AH66),1),IF($AI66&gt;0,INDEX(DM$7:DM$106,$AI66),1),IF($AJ66&gt;0,INDEX(DM$7:DM$106,$AJ66),1))))</ns0:f>
        <ns0:v>1</ns0:v>
      </ns0:c>
      <ns0:c r="DO66" t="n">
        <ns0:f>IF($A66="",1,IF(DN66=1,1,--AND(IF($AC66&gt;0,INDEX(DN$7:DN$106,$AC66),1),IF($AD66&gt;0,INDEX(DN$7:DN$106,$AD66),1),IF($AE66&gt;0,INDEX(DN$7:DN$106,$AE66),1),IF($AF66&gt;0,INDEX(DN$7:DN$106,$AF66),1),IF($AG66&gt;0,INDEX(DN$7:DN$106,$AG66),1),IF($AH66&gt;0,INDEX(DN$7:DN$106,$AH66),1),IF($AI66&gt;0,INDEX(DN$7:DN$106,$AI66),1),IF($AJ66&gt;0,INDEX(DN$7:DN$106,$AJ66),1))))</ns0:f>
        <ns0:v>1</ns0:v>
      </ns0:c>
      <ns0:c r="DP66" t="n">
        <ns0:f>IF($A66="",1,IF(DO66=1,1,--AND(IF($AC66&gt;0,INDEX(DO$7:DO$106,$AC66),1),IF($AD66&gt;0,INDEX(DO$7:DO$106,$AD66),1),IF($AE66&gt;0,INDEX(DO$7:DO$106,$AE66),1),IF($AF66&gt;0,INDEX(DO$7:DO$106,$AF66),1),IF($AG66&gt;0,INDEX(DO$7:DO$106,$AG66),1),IF($AH66&gt;0,INDEX(DO$7:DO$106,$AH66),1),IF($AI66&gt;0,INDEX(DO$7:DO$106,$AI66),1),IF($AJ66&gt;0,INDEX(DO$7:DO$106,$AJ66),1))))</ns0:f>
        <ns0:v>1</ns0:v>
      </ns0:c>
      <ns0:c r="DQ66" t="n">
        <ns0:f>IF($A66="",1,IF(DP66=1,1,--AND(IF($AC66&gt;0,INDEX(DP$7:DP$106,$AC66),1),IF($AD66&gt;0,INDEX(DP$7:DP$106,$AD66),1),IF($AE66&gt;0,INDEX(DP$7:DP$106,$AE66),1),IF($AF66&gt;0,INDEX(DP$7:DP$106,$AF66),1),IF($AG66&gt;0,INDEX(DP$7:DP$106,$AG66),1),IF($AH66&gt;0,INDEX(DP$7:DP$106,$AH66),1),IF($AI66&gt;0,INDEX(DP$7:DP$106,$AI66),1),IF($AJ66&gt;0,INDEX(DP$7:DP$106,$AJ66),1))))</ns0:f>
        <ns0:v>1</ns0:v>
      </ns0:c>
      <ns0:c r="DR66" t="n">
        <ns0:f>IF($A66="",1,IF(DQ66=1,1,--AND(IF($AC66&gt;0,INDEX(DQ$7:DQ$106,$AC66),1),IF($AD66&gt;0,INDEX(DQ$7:DQ$106,$AD66),1),IF($AE66&gt;0,INDEX(DQ$7:DQ$106,$AE66),1),IF($AF66&gt;0,INDEX(DQ$7:DQ$106,$AF66),1),IF($AG66&gt;0,INDEX(DQ$7:DQ$106,$AG66),1),IF($AH66&gt;0,INDEX(DQ$7:DQ$106,$AH66),1),IF($AI66&gt;0,INDEX(DQ$7:DQ$106,$AI66),1),IF($AJ66&gt;0,INDEX(DQ$7:DQ$106,$AJ66),1))))</ns0:f>
        <ns0:v>1</ns0:v>
      </ns0:c>
      <ns0:c r="DS66" t="n">
        <ns0:f>IF($A66="",1,IF(DR66=1,1,--AND(IF($AC66&gt;0,INDEX(DR$7:DR$106,$AC66),1),IF($AD66&gt;0,INDEX(DR$7:DR$106,$AD66),1),IF($AE66&gt;0,INDEX(DR$7:DR$106,$AE66),1),IF($AF66&gt;0,INDEX(DR$7:DR$106,$AF66),1),IF($AG66&gt;0,INDEX(DR$7:DR$106,$AG66),1),IF($AH66&gt;0,INDEX(DR$7:DR$106,$AH66),1),IF($AI66&gt;0,INDEX(DR$7:DR$106,$AI66),1),IF($AJ66&gt;0,INDEX(DR$7:DR$106,$AJ66),1))))</ns0:f>
        <ns0:v>1</ns0:v>
      </ns0:c>
      <ns0:c r="DT66" t="n">
        <ns0:f>IF($A66="",1,IF(DS66=1,1,--AND(IF($AC66&gt;0,INDEX(DS$7:DS$106,$AC66),1),IF($AD66&gt;0,INDEX(DS$7:DS$106,$AD66),1),IF($AE66&gt;0,INDEX(DS$7:DS$106,$AE66),1),IF($AF66&gt;0,INDEX(DS$7:DS$106,$AF66),1),IF($AG66&gt;0,INDEX(DS$7:DS$106,$AG66),1),IF($AH66&gt;0,INDEX(DS$7:DS$106,$AH66),1),IF($AI66&gt;0,INDEX(DS$7:DS$106,$AI66),1),IF($AJ66&gt;0,INDEX(DS$7:DS$106,$AJ66),1))))</ns0:f>
        <ns0:v>1</ns0:v>
      </ns0:c>
      <ns0:c r="DU66" t="n">
        <ns0:f>IF($A66="",1,IF(DT66=1,1,--AND(IF($AC66&gt;0,INDEX(DT$7:DT$106,$AC66),1),IF($AD66&gt;0,INDEX(DT$7:DT$106,$AD66),1),IF($AE66&gt;0,INDEX(DT$7:DT$106,$AE66),1),IF($AF66&gt;0,INDEX(DT$7:DT$106,$AF66),1),IF($AG66&gt;0,INDEX(DT$7:DT$106,$AG66),1),IF($AH66&gt;0,INDEX(DT$7:DT$106,$AH66),1),IF($AI66&gt;0,INDEX(DT$7:DT$106,$AI66),1),IF($AJ66&gt;0,INDEX(DT$7:DT$106,$AJ66),1))))</ns0:f>
        <ns0:v>1</ns0:v>
      </ns0:c>
      <ns0:c r="DV66" t="n">
        <ns0:f>IF($A66="",1,IF(DU66=1,1,--AND(IF($AC66&gt;0,INDEX(DU$7:DU$106,$AC66),1),IF($AD66&gt;0,INDEX(DU$7:DU$106,$AD66),1),IF($AE66&gt;0,INDEX(DU$7:DU$106,$AE66),1),IF($AF66&gt;0,INDEX(DU$7:DU$106,$AF66),1),IF($AG66&gt;0,INDEX(DU$7:DU$106,$AG66),1),IF($AH66&gt;0,INDEX(DU$7:DU$106,$AH66),1),IF($AI66&gt;0,INDEX(DU$7:DU$106,$AI66),1),IF($AJ66&gt;0,INDEX(DU$7:DU$106,$AJ66),1))))</ns0:f>
        <ns0:v>1</ns0:v>
      </ns0:c>
      <ns0:c r="DW66" t="n">
        <ns0:f>IF($A66="",1,IF(DV66=1,1,--AND(IF($AC66&gt;0,INDEX(DV$7:DV$106,$AC66),1),IF($AD66&gt;0,INDEX(DV$7:DV$106,$AD66),1),IF($AE66&gt;0,INDEX(DV$7:DV$106,$AE66),1),IF($AF66&gt;0,INDEX(DV$7:DV$106,$AF66),1),IF($AG66&gt;0,INDEX(DV$7:DV$106,$AG66),1),IF($AH66&gt;0,INDEX(DV$7:DV$106,$AH66),1),IF($AI66&gt;0,INDEX(DV$7:DV$106,$AI66),1),IF($AJ66&gt;0,INDEX(DV$7:DV$106,$AJ66),1))))</ns0:f>
        <ns0:v>1</ns0:v>
      </ns0:c>
      <ns0:c r="DX66" t="n">
        <ns0:f>IF($A66="",1,IF(DW66=1,1,--AND(IF($AC66&gt;0,INDEX(DW$7:DW$106,$AC66),1),IF($AD66&gt;0,INDEX(DW$7:DW$106,$AD66),1),IF($AE66&gt;0,INDEX(DW$7:DW$106,$AE66),1),IF($AF66&gt;0,INDEX(DW$7:DW$106,$AF66),1),IF($AG66&gt;0,INDEX(DW$7:DW$106,$AG66),1),IF($AH66&gt;0,INDEX(DW$7:DW$106,$AH66),1),IF($AI66&gt;0,INDEX(DW$7:DW$106,$AI66),1),IF($AJ66&gt;0,INDEX(DW$7:DW$106,$AJ66),1))))</ns0:f>
        <ns0:v>1</ns0:v>
      </ns0:c>
      <ns0:c r="DY66" t="n">
        <ns0:f>IF($A66="",1,IF(DX66=1,1,--AND(IF($AC66&gt;0,INDEX(DX$7:DX$106,$AC66),1),IF($AD66&gt;0,INDEX(DX$7:DX$106,$AD66),1),IF($AE66&gt;0,INDEX(DX$7:DX$106,$AE66),1),IF($AF66&gt;0,INDEX(DX$7:DX$106,$AF66),1),IF($AG66&gt;0,INDEX(DX$7:DX$106,$AG66),1),IF($AH66&gt;0,INDEX(DX$7:DX$106,$AH66),1),IF($AI66&gt;0,INDEX(DX$7:DX$106,$AI66),1),IF($AJ66&gt;0,INDEX(DX$7:DX$106,$AJ66),1))))</ns0:f>
        <ns0:v>1</ns0:v>
      </ns0:c>
      <ns0:c r="DZ66" t="n">
        <ns0:f>IF($A66="",1,IF(DY66=1,1,--AND(IF($AC66&gt;0,INDEX(DY$7:DY$106,$AC66),1),IF($AD66&gt;0,INDEX(DY$7:DY$106,$AD66),1),IF($AE66&gt;0,INDEX(DY$7:DY$106,$AE66),1),IF($AF66&gt;0,INDEX(DY$7:DY$106,$AF66),1),IF($AG66&gt;0,INDEX(DY$7:DY$106,$AG66),1),IF($AH66&gt;0,INDEX(DY$7:DY$106,$AH66),1),IF($AI66&gt;0,INDEX(DY$7:DY$106,$AI66),1),IF($AJ66&gt;0,INDEX(DY$7:DY$106,$AJ66),1))))</ns0:f>
        <ns0:v>1</ns0:v>
      </ns0:c>
      <ns0:c r="EA66" t="n">
        <ns0:f>IF($A66="",1,IF(DZ66=1,1,--AND(IF($AC66&gt;0,INDEX(DZ$7:DZ$106,$AC66),1),IF($AD66&gt;0,INDEX(DZ$7:DZ$106,$AD66),1),IF($AE66&gt;0,INDEX(DZ$7:DZ$106,$AE66),1),IF($AF66&gt;0,INDEX(DZ$7:DZ$106,$AF66),1),IF($AG66&gt;0,INDEX(DZ$7:DZ$106,$AG66),1),IF($AH66&gt;0,INDEX(DZ$7:DZ$106,$AH66),1),IF($AI66&gt;0,INDEX(DZ$7:DZ$106,$AI66),1),IF($AJ66&gt;0,INDEX(DZ$7:DZ$106,$AJ66),1))))</ns0:f>
        <ns0:v>1</ns0:v>
      </ns0:c>
      <ns0:c r="EB66" t="n">
        <ns0:f>IF($A66="",1,IF(EA66=1,1,--AND(IF($AC66&gt;0,INDEX(EA$7:EA$106,$AC66),1),IF($AD66&gt;0,INDEX(EA$7:EA$106,$AD66),1),IF($AE66&gt;0,INDEX(EA$7:EA$106,$AE66),1),IF($AF66&gt;0,INDEX(EA$7:EA$106,$AF66),1),IF($AG66&gt;0,INDEX(EA$7:EA$106,$AG66),1),IF($AH66&gt;0,INDEX(EA$7:EA$106,$AH66),1),IF($AI66&gt;0,INDEX(EA$7:EA$106,$AI66),1),IF($AJ66&gt;0,INDEX(EA$7:EA$106,$AJ66),1))))</ns0:f>
        <ns0:v>1</ns0:v>
      </ns0:c>
      <ns0:c r="EC66" t="n">
        <ns0:f>IF($A66="",1,IF(EB66=1,1,--AND(IF($AC66&gt;0,INDEX(EB$7:EB$106,$AC66),1),IF($AD66&gt;0,INDEX(EB$7:EB$106,$AD66),1),IF($AE66&gt;0,INDEX(EB$7:EB$106,$AE66),1),IF($AF66&gt;0,INDEX(EB$7:EB$106,$AF66),1),IF($AG66&gt;0,INDEX(EB$7:EB$106,$AG66),1),IF($AH66&gt;0,INDEX(EB$7:EB$106,$AH66),1),IF($AI66&gt;0,INDEX(EB$7:EB$106,$AI66),1),IF($AJ66&gt;0,INDEX(EB$7:EB$106,$AJ66),1))))</ns0:f>
        <ns0:v>1</ns0:v>
      </ns0:c>
      <ns0:c r="ED66" t="n">
        <ns0:f>IF($A66="",1,IF(EC66=1,1,--AND(IF($AC66&gt;0,INDEX(EC$7:EC$106,$AC66),1),IF($AD66&gt;0,INDEX(EC$7:EC$106,$AD66),1),IF($AE66&gt;0,INDEX(EC$7:EC$106,$AE66),1),IF($AF66&gt;0,INDEX(EC$7:EC$106,$AF66),1),IF($AG66&gt;0,INDEX(EC$7:EC$106,$AG66),1),IF($AH66&gt;0,INDEX(EC$7:EC$106,$AH66),1),IF($AI66&gt;0,INDEX(EC$7:EC$106,$AI66),1),IF($AJ66&gt;0,INDEX(EC$7:EC$106,$AJ66),1))))</ns0:f>
        <ns0:v>1</ns0:v>
      </ns0:c>
      <ns0:c r="EE66" t="n">
        <ns0:f>IF($A66="",1,IF(ED66=1,1,--AND(IF($AC66&gt;0,INDEX(ED$7:ED$106,$AC66),1),IF($AD66&gt;0,INDEX(ED$7:ED$106,$AD66),1),IF($AE66&gt;0,INDEX(ED$7:ED$106,$AE66),1),IF($AF66&gt;0,INDEX(ED$7:ED$106,$AF66),1),IF($AG66&gt;0,INDEX(ED$7:ED$106,$AG66),1),IF($AH66&gt;0,INDEX(ED$7:ED$106,$AH66),1),IF($AI66&gt;0,INDEX(ED$7:ED$106,$AI66),1),IF($AJ66&gt;0,INDEX(ED$7:ED$106,$AJ66),1))))</ns0:f>
        <ns0:v>1</ns0:v>
      </ns0:c>
      <ns0:c r="EF66" t="n">
        <ns0:f>IF($A66="",1,IF(EE66=1,1,--AND(IF($AC66&gt;0,INDEX(EE$7:EE$106,$AC66),1),IF($AD66&gt;0,INDEX(EE$7:EE$106,$AD66),1),IF($AE66&gt;0,INDEX(EE$7:EE$106,$AE66),1),IF($AF66&gt;0,INDEX(EE$7:EE$106,$AF66),1),IF($AG66&gt;0,INDEX(EE$7:EE$106,$AG66),1),IF($AH66&gt;0,INDEX(EE$7:EE$106,$AH66),1),IF($AI66&gt;0,INDEX(EE$7:EE$106,$AI66),1),IF($AJ66&gt;0,INDEX(EE$7:EE$106,$AJ66),1))))</ns0:f>
        <ns0:v>1</ns0:v>
      </ns0:c>
      <ns0:c r="EG66" t="n">
        <ns0:f>IF($A66="",1,IF(EF66=1,1,--AND(IF($AC66&gt;0,INDEX(EF$7:EF$106,$AC66),1),IF($AD66&gt;0,INDEX(EF$7:EF$106,$AD66),1),IF($AE66&gt;0,INDEX(EF$7:EF$106,$AE66),1),IF($AF66&gt;0,INDEX(EF$7:EF$106,$AF66),1),IF($AG66&gt;0,INDEX(EF$7:EF$106,$AG66),1),IF($AH66&gt;0,INDEX(EF$7:EF$106,$AH66),1),IF($AI66&gt;0,INDEX(EF$7:EF$106,$AI66),1),IF($AJ66&gt;0,INDEX(EF$7:EF$106,$AJ66),1))))</ns0:f>
        <ns0:v>1</ns0:v>
      </ns0:c>
      <ns0:c r="EH66" t="n">
        <ns0:f>IF($A66="",1,IF(EG66=1,1,--AND(IF($AC66&gt;0,INDEX(EG$7:EG$106,$AC66),1),IF($AD66&gt;0,INDEX(EG$7:EG$106,$AD66),1),IF($AE66&gt;0,INDEX(EG$7:EG$106,$AE66),1),IF($AF66&gt;0,INDEX(EG$7:EG$106,$AF66),1),IF($AG66&gt;0,INDEX(EG$7:EG$106,$AG66),1),IF($AH66&gt;0,INDEX(EG$7:EG$106,$AH66),1),IF($AI66&gt;0,INDEX(EG$7:EG$106,$AI66),1),IF($AJ66&gt;0,INDEX(EG$7:EG$106,$AJ66),1))))</ns0:f>
        <ns0:v>1</ns0:v>
      </ns0:c>
      <ns0:c r="EI66" t="n">
        <ns0:f>IF($A66="",1,IF(EH66=1,1,--AND(IF($AC66&gt;0,INDEX(EH$7:EH$106,$AC66),1),IF($AD66&gt;0,INDEX(EH$7:EH$106,$AD66),1),IF($AE66&gt;0,INDEX(EH$7:EH$106,$AE66),1),IF($AF66&gt;0,INDEX(EH$7:EH$106,$AF66),1),IF($AG66&gt;0,INDEX(EH$7:EH$106,$AG66),1),IF($AH66&gt;0,INDEX(EH$7:EH$106,$AH66),1),IF($AI66&gt;0,INDEX(EH$7:EH$106,$AI66),1),IF($AJ66&gt;0,INDEX(EH$7:EH$106,$AJ66),1))))</ns0:f>
        <ns0:v>1</ns0:v>
      </ns0:c>
      <ns0:c r="EJ66" t="n">
        <ns0:f>IF($A66="",1,IF(EI66=1,1,--AND(IF($AC66&gt;0,INDEX(EI$7:EI$106,$AC66),1),IF($AD66&gt;0,INDEX(EI$7:EI$106,$AD66),1),IF($AE66&gt;0,INDEX(EI$7:EI$106,$AE66),1),IF($AF66&gt;0,INDEX(EI$7:EI$106,$AF66),1),IF($AG66&gt;0,INDEX(EI$7:EI$106,$AG66),1),IF($AH66&gt;0,INDEX(EI$7:EI$106,$AH66),1),IF($AI66&gt;0,INDEX(EI$7:EI$106,$AI66),1),IF($AJ66&gt;0,INDEX(EI$7:EI$106,$AJ66),1))))</ns0:f>
        <ns0:v>1</ns0:v>
      </ns0:c>
      <ns0:c r="EK66" t="n">
        <ns0:f>IF($A66="",1,IF(EJ66=1,1,--AND(IF($AC66&gt;0,INDEX(EJ$7:EJ$106,$AC66),1),IF($AD66&gt;0,INDEX(EJ$7:EJ$106,$AD66),1),IF($AE66&gt;0,INDEX(EJ$7:EJ$106,$AE66),1),IF($AF66&gt;0,INDEX(EJ$7:EJ$106,$AF66),1),IF($AG66&gt;0,INDEX(EJ$7:EJ$106,$AG66),1),IF($AH66&gt;0,INDEX(EJ$7:EJ$106,$AH66),1),IF($AI66&gt;0,INDEX(EJ$7:EJ$106,$AI66),1),IF($AJ66&gt;0,INDEX(EJ$7:EJ$106,$AJ66),1))))</ns0:f>
        <ns0:v>1</ns0:v>
      </ns0:c>
      <ns0:c r="EL66" t="n">
        <ns0:f>IF($A66="",1,IF(EK66=1,1,--AND(IF($AC66&gt;0,INDEX(EK$7:EK$106,$AC66),1),IF($AD66&gt;0,INDEX(EK$7:EK$106,$AD66),1),IF($AE66&gt;0,INDEX(EK$7:EK$106,$AE66),1),IF($AF66&gt;0,INDEX(EK$7:EK$106,$AF66),1),IF($AG66&gt;0,INDEX(EK$7:EK$106,$AG66),1),IF($AH66&gt;0,INDEX(EK$7:EK$106,$AH66),1),IF($AI66&gt;0,INDEX(EK$7:EK$106,$AI66),1),IF($AJ66&gt;0,INDEX(EK$7:EK$106,$AJ66),1))))</ns0:f>
        <ns0:v>1</ns0:v>
      </ns0:c>
      <ns0:c r="EM66" t="n">
        <ns0:f>IF($A66="",1,IF(EL66=1,1,--AND(IF($AC66&gt;0,INDEX(EL$7:EL$106,$AC66),1),IF($AD66&gt;0,INDEX(EL$7:EL$106,$AD66),1),IF($AE66&gt;0,INDEX(EL$7:EL$106,$AE66),1),IF($AF66&gt;0,INDEX(EL$7:EL$106,$AF66),1),IF($AG66&gt;0,INDEX(EL$7:EL$106,$AG66),1),IF($AH66&gt;0,INDEX(EL$7:EL$106,$AH66),1),IF($AI66&gt;0,INDEX(EL$7:EL$106,$AI66),1),IF($AJ66&gt;0,INDEX(EL$7:EL$106,$AJ66),1))))</ns0:f>
        <ns0:v>1</ns0:v>
      </ns0:c>
      <ns0:c r="EN66" t="n">
        <ns0:f>IF($A66="",1,IF(EM66=1,1,--AND(IF($AC66&gt;0,INDEX(EM$7:EM$106,$AC66),1),IF($AD66&gt;0,INDEX(EM$7:EM$106,$AD66),1),IF($AE66&gt;0,INDEX(EM$7:EM$106,$AE66),1),IF($AF66&gt;0,INDEX(EM$7:EM$106,$AF66),1),IF($AG66&gt;0,INDEX(EM$7:EM$106,$AG66),1),IF($AH66&gt;0,INDEX(EM$7:EM$106,$AH66),1),IF($AI66&gt;0,INDEX(EM$7:EM$106,$AI66),1),IF($AJ66&gt;0,INDEX(EM$7:EM$106,$AJ66),1))))</ns0:f>
        <ns0:v>1</ns0:v>
      </ns0:c>
      <ns0:c r="EO66" t="n">
        <ns0:f>IF($A66="",1,IF(EN66=1,1,--AND(IF($AC66&gt;0,INDEX(EN$7:EN$106,$AC66),1),IF($AD66&gt;0,INDEX(EN$7:EN$106,$AD66),1),IF($AE66&gt;0,INDEX(EN$7:EN$106,$AE66),1),IF($AF66&gt;0,INDEX(EN$7:EN$106,$AF66),1),IF($AG66&gt;0,INDEX(EN$7:EN$106,$AG66),1),IF($AH66&gt;0,INDEX(EN$7:EN$106,$AH66),1),IF($AI66&gt;0,INDEX(EN$7:EN$106,$AI66),1),IF($AJ66&gt;0,INDEX(EN$7:EN$106,$AJ66),1))))</ns0:f>
        <ns0:v>1</ns0:v>
      </ns0:c>
      <ns0:c r="EP66" t="n">
        <ns0:f>IF($A66="",1,IF(EO66=1,1,--AND(IF($AC66&gt;0,INDEX(EO$7:EO$106,$AC66),1),IF($AD66&gt;0,INDEX(EO$7:EO$106,$AD66),1),IF($AE66&gt;0,INDEX(EO$7:EO$106,$AE66),1),IF($AF66&gt;0,INDEX(EO$7:EO$106,$AF66),1),IF($AG66&gt;0,INDEX(EO$7:EO$106,$AG66),1),IF($AH66&gt;0,INDEX(EO$7:EO$106,$AH66),1),IF($AI66&gt;0,INDEX(EO$7:EO$106,$AI66),1),IF($AJ66&gt;0,INDEX(EO$7:EO$106,$AJ66),1))))</ns0:f>
        <ns0:v>1</ns0:v>
      </ns0:c>
      <ns0:c r="EQ66" t="n">
        <ns0:f>IF(OR(A66="",NOT(ISNUMBER(G66))),0,G66*N66)</ns0:f>
        <ns0:v>0</ns0:v>
      </ns0:c>
    </ns0:row>
    <ns0:row r="67" ht="62" customHeight="1">
      <ns0:c r="A67" s="48"/>
      <ns0:c r="B67" s="48"/>
      <ns0:c r="C67" s="48"/>
      <ns0:c r="D67" s="48"/>
      <ns0:c r="E67" s="49"/>
      <ns0:c r="F67" s="49"/>
      <ns0:c r="G67" s="13" t="str">
        <ns0:f>IF(A67="","",IF(OR(NOT(ISNUMBER(E67)),NOT(ISNUMBER(F67)),F67&lt;E67),"",IF(J67="Yes",0,F67-E67+1)))</ns0:f>
      </ns0:c>
      <ns0:c r="H67" s="48"/>
      <ns0:c r="I67" s="48"/>
      <ns0:c r="J67" s="48"/>
      <ns0:c r="K67" s="48"/>
      <ns0:c r="L67" s="48"/>
      <ns0:c r="M67" s="50" t="str">
        <ns0:f>IF(A67="","",IF(N67=1,"Completed",IF(N67&gt;0,"In Progress","Not Started")))</ns0:f>
      </ns0:c>
      <ns0:c r="N67" s="51"/>
      <ns0:c r="O67" s="13" t="str">
        <ns0:f>IF(A67="","",IF(R67&lt;&gt;"","[CONFLICT] "&amp;R67,IF(S67&lt;&gt;"","[CONFLICT] "&amp;S67,IF(OR(NOT(ISNUMBER(N67)),N67&lt;0,N67&gt;1),"[CONFLICT] Invalid progress",IF(AK67&gt;0,"[DEPENDENCY ISSUE] Missing ID / &gt;8 links",IF(AM67&gt;0,"[DEPENDENCY ISSUE] Cycle or blocked by cycle",IF(AND(H67&lt;&gt;"",ISNA(MATCH(I67,{"FS","SS","FF","SF"},0))),"[DEPENDENCY ISSUE] Invalid type",IF(AL67&gt;0,"[DEPENDENCY ISSUE] Timing conflict",IF(OR(E67&lt;ProjectStart,F67&gt;ProjectEnd),"[OUTSIDE WINDOW]",IF(AND(N67&lt;1,F67&lt;AsOfDate),"Overdue",IF(AND(M67&lt;&gt;Q67,M67&lt;&gt;""),"[CONFLICT] Status / progress","On track")))))))))))</ns0:f>
      </ns0:c>
      <ns0:c r="P67" s="52"/>
      <ns0:c r="Q67" t="str">
        <ns0:f>IF(A67="","",IF(OR(M67="On Hold",M67="Delayed"),M67,IF(N67=1,"Completed",IF(N67&gt;0,"In Progress","Not Started"))))</ns0:f>
      </ns0:c>
      <ns0:c r="R67" t="str">
        <ns0:f>IF(A67="","",IF(COUNTIFS(Tasks[Task ID],A67)&lt;&gt;1,"Duplicate ID",""))</ns0:f>
      </ns0:c>
      <ns0:c r="S67" t="str">
        <ns0:f>IF(A67="","",IF(OR(NOT(ISNUMBER(E67)),NOT(ISNUMBER(F67))),"Invalid / missing date",IF(OR(E67&lt;&gt;INT(E67),F67&lt;&gt;INT(F67),E67&lt;1,F67&gt;2958465),"Invalid date",IF(F67&lt;E67,"End before start",IF(AND(J67="Yes",E67&lt;&gt;F67),"Milestone needs one date","")))))</ns0:f>
      </ns0:c>
      <ns0:c r="T67" t="n">
        <ns0:f>IF(H67="",0,LEN(H67)-LEN(SUBSTITUTE(H67,",",""))+1)</ns0:f>
        <ns0:v>0</ns0:v>
      </ns0:c>
      <ns0:c r="U67" t="str">
        <ns0:f>TRIM(MID(SUBSTITUTE($H67,",",REPT(" ",100)),1,100))</ns0:f>
      </ns0:c>
      <ns0:c r="V67" t="str">
        <ns0:f>TRIM(MID(SUBSTITUTE($H67,",",REPT(" ",100)),101,100))</ns0:f>
      </ns0:c>
      <ns0:c r="W67" t="str">
        <ns0:f>TRIM(MID(SUBSTITUTE($H67,",",REPT(" ",100)),201,100))</ns0:f>
      </ns0:c>
      <ns0:c r="X67" t="str">
        <ns0:f>TRIM(MID(SUBSTITUTE($H67,",",REPT(" ",100)),301,100))</ns0:f>
      </ns0:c>
      <ns0:c r="Y67" t="str">
        <ns0:f>TRIM(MID(SUBSTITUTE($H67,",",REPT(" ",100)),401,100))</ns0:f>
      </ns0:c>
      <ns0:c r="Z67" t="str">
        <ns0:f>TRIM(MID(SUBSTITUTE($H67,",",REPT(" ",100)),501,100))</ns0:f>
      </ns0:c>
      <ns0:c r="AA67" t="str">
        <ns0:f>TRIM(MID(SUBSTITUTE($H67,",",REPT(" ",100)),601,100))</ns0:f>
      </ns0:c>
      <ns0:c r="AB67" t="str">
        <ns0:f>TRIM(MID(SUBSTITUTE($H67,",",REPT(" ",100)),701,100))</ns0:f>
      </ns0:c>
      <ns0:c r="AC67" t="n">
        <ns0:f>IF(U67="",0,IF(COUNTIFS(Tasks[Task ID],U67)=1,MATCH(U67,Tasks[Task ID],0),-1))</ns0:f>
        <ns0:v>0</ns0:v>
      </ns0:c>
      <ns0:c r="AD67" t="n">
        <ns0:f>IF(V67="",0,IF(COUNTIFS(Tasks[Task ID],V67)=1,MATCH(V67,Tasks[Task ID],0),-1))</ns0:f>
        <ns0:v>0</ns0:v>
      </ns0:c>
      <ns0:c r="AE67" t="n">
        <ns0:f>IF(W67="",0,IF(COUNTIFS(Tasks[Task ID],W67)=1,MATCH(W67,Tasks[Task ID],0),-1))</ns0:f>
        <ns0:v>0</ns0:v>
      </ns0:c>
      <ns0:c r="AF67" t="n">
        <ns0:f>IF(X67="",0,IF(COUNTIFS(Tasks[Task ID],X67)=1,MATCH(X67,Tasks[Task ID],0),-1))</ns0:f>
        <ns0:v>0</ns0:v>
      </ns0:c>
      <ns0:c r="AG67" t="n">
        <ns0:f>IF(Y67="",0,IF(COUNTIFS(Tasks[Task ID],Y67)=1,MATCH(Y67,Tasks[Task ID],0),-1))</ns0:f>
        <ns0:v>0</ns0:v>
      </ns0:c>
      <ns0:c r="AH67" t="n">
        <ns0:f>IF(Z67="",0,IF(COUNTIFS(Tasks[Task ID],Z67)=1,MATCH(Z67,Tasks[Task ID],0),-1))</ns0:f>
        <ns0:v>0</ns0:v>
      </ns0:c>
      <ns0:c r="AI67" t="n">
        <ns0:f>IF(AA67="",0,IF(COUNTIFS(Tasks[Task ID],AA67)=1,MATCH(AA67,Tasks[Task ID],0),-1))</ns0:f>
        <ns0:v>0</ns0:v>
      </ns0:c>
      <ns0:c r="AJ67" t="n">
        <ns0:f>IF(AB67="",0,IF(COUNTIFS(Tasks[Task ID],AB67)=1,MATCH(AB67,Tasks[Task ID],0),-1))</ns0:f>
        <ns0:v>0</ns0:v>
      </ns0:c>
      <ns0:c r="AK67" t="n">
        <ns0:f>COUNTIFS(AC67:AJ67,-1)+IF(T67&gt;8,1,0)</ns0:f>
        <ns0:v>0</ns0:v>
      </ns0:c>
      <ns0:c r="AL67" t="n">
        <ns0:f>IF(OR(A67="",S67&lt;&gt;""),0,SUM(IF(AC67&gt;0,IF($I67="FS",--($E67&lt;INDEX(Tasks[End Date],AC67)+IF(INDEX(Tasks[Milestone],AC67)="Yes",0,1)),IF($I67="SS",--($E67&lt;INDEX(Tasks[Start Date],AC67)),IF($I67="FF",--($F67&lt;INDEX(Tasks[End Date],AC67)),IF($I67="SF",--($F67&lt;INDEX(Tasks[Start Date],AC67)),0)))),0),IF(AD67&gt;0,IF($I67="FS",--($E67&lt;INDEX(Tasks[End Date],AD67)+IF(INDEX(Tasks[Milestone],AD67)="Yes",0,1)),IF($I67="SS",--($E67&lt;INDEX(Tasks[Start Date],AD67)),IF($I67="FF",--($F67&lt;INDEX(Tasks[End Date],AD67)),IF($I67="SF",--($F67&lt;INDEX(Tasks[Start Date],AD67)),0)))),0),IF(AE67&gt;0,IF($I67="FS",--($E67&lt;INDEX(Tasks[End Date],AE67)+IF(INDEX(Tasks[Milestone],AE67)="Yes",0,1)),IF($I67="SS",--($E67&lt;INDEX(Tasks[Start Date],AE67)),IF($I67="FF",--($F67&lt;INDEX(Tasks[End Date],AE67)),IF($I67="SF",--($F67&lt;INDEX(Tasks[Start Date],AE67)),0)))),0),IF(AF67&gt;0,IF($I67="FS",--($E67&lt;INDEX(Tasks[End Date],AF67)+IF(INDEX(Tasks[Milestone],AF67)="Yes",0,1)),IF($I67="SS",--($E67&lt;INDEX(Tasks[Start Date],AF67)),IF($I67="FF",--($F67&lt;INDEX(Tasks[End Date],AF67)),IF($I67="SF",--($F67&lt;INDEX(Tasks[Start Date],AF67)),0)))),0),IF(AG67&gt;0,IF($I67="FS",--($E67&lt;INDEX(Tasks[End Date],AG67)+IF(INDEX(Tasks[Milestone],AG67)="Yes",0,1)),IF($I67="SS",--($E67&lt;INDEX(Tasks[Start Date],AG67)),IF($I67="FF",--($F67&lt;INDEX(Tasks[End Date],AG67)),IF($I67="SF",--($F67&lt;INDEX(Tasks[Start Date],AG67)),0)))),0),IF(AH67&gt;0,IF($I67="FS",--($E67&lt;INDEX(Tasks[End Date],AH67)+IF(INDEX(Tasks[Milestone],AH67)="Yes",0,1)),IF($I67="SS",--($E67&lt;INDEX(Tasks[Start Date],AH67)),IF($I67="FF",--($F67&lt;INDEX(Tasks[End Date],AH67)),IF($I67="SF",--($F67&lt;INDEX(Tasks[Start Date],AH67)),0)))),0),IF(AI67&gt;0,IF($I67="FS",--($E67&lt;INDEX(Tasks[End Date],AI67)+IF(INDEX(Tasks[Milestone],AI67)="Yes",0,1)),IF($I67="SS",--($E67&lt;INDEX(Tasks[Start Date],AI67)),IF($I67="FF",--($F67&lt;INDEX(Tasks[End Date],AI67)),IF($I67="SF",--($F67&lt;INDEX(Tasks[Start Date],AI67)),0)))),0),IF(AJ67&gt;0,IF($I67="FS",--($E67&lt;INDEX(Tasks[End Date],AJ67)+IF(INDEX(Tasks[Milestone],AJ67)="Yes",0,1)),IF($I67="SS",--($E67&lt;INDEX(Tasks[Start Date],AJ67)),IF($I67="FF",--($F67&lt;INDEX(Tasks[End Date],AJ67)),IF($I67="SF",--($F67&lt;INDEX(Tasks[Start Date],AJ67)),0)))),0)))</ns0:f>
        <ns0:v>0</ns0:v>
      </ns0:c>
      <ns0:c r="AM67" t="n">
        <ns0:f>IF(AND(A67&lt;&gt;"",AK67=0,EP67=0),1,0)</ns0:f>
        <ns0:v>0</ns0:v>
      </ns0:c>
      <ns0:c r="AN67" t="str">
        <ns0:f>IF(OR(A67="",B67=""),"",IF(COUNTIFS($B$7:B67,B67)=1,MAX($AN$6:AN66)+1,""))</ns0:f>
      </ns0:c>
      <ns0:c r="AO67" t="n">
        <ns0:f>IF(AND(A67&lt;&gt;"",J67="No",N67&lt;1,E67&gt;=AsOfDate),E67+ROW()/10000,1E+9)</ns0:f>
        <ns0:v>1000000000</ns0:v>
      </ns0:c>
      <ns0:c r="AP67" t="n">
        <ns0:f>IF(AND(A67&lt;&gt;"",J67="Yes",N67&lt;1,E67&gt;=AsOfDate),E67+ROW()/10000,1E+9)</ns0:f>
        <ns0:v>1000000000</ns0:v>
      </ns0:c>
      <ns0:c r="AQ67" t="n">
        <ns0:f>IF(AND(A67&lt;&gt;"",J67="No",N67&lt;1,F67&gt;=AsOfDate,F67&lt;=AsOfDate+7),F67+ROW()/10000,1E+9)</ns0:f>
        <ns0:v>1000000000</ns0:v>
      </ns0:c>
      <ns0:c r="AR67" t="n">
        <ns0:f>IF(AND(A67&lt;&gt;"",OR(O67&lt;&gt;"On track",Q67="Delayed")),ROW(),1E+9)</ns0:f>
        <ns0:v>1000000000</ns0:v>
      </ns0:c>
      <ns0:c r="AS67" t="str">
        <ns0:f>IF(A67="","",";"&amp;K67&amp;";")</ns0:f>
      </ns0:c>
      <ns0:c r="AT67" t="n">
        <ns0:f>IF(A67="",1,--(T67=0))</ns0:f>
        <ns0:v>1</ns0:v>
      </ns0:c>
      <ns0:c r="AU67" t="n">
        <ns0:f>IF($A67="",1,IF(AT67=1,1,--AND(IF($AC67&gt;0,INDEX(AT$7:AT$106,$AC67),1),IF($AD67&gt;0,INDEX(AT$7:AT$106,$AD67),1),IF($AE67&gt;0,INDEX(AT$7:AT$106,$AE67),1),IF($AF67&gt;0,INDEX(AT$7:AT$106,$AF67),1),IF($AG67&gt;0,INDEX(AT$7:AT$106,$AG67),1),IF($AH67&gt;0,INDEX(AT$7:AT$106,$AH67),1),IF($AI67&gt;0,INDEX(AT$7:AT$106,$AI67),1),IF($AJ67&gt;0,INDEX(AT$7:AT$106,$AJ67),1))))</ns0:f>
        <ns0:v>1</ns0:v>
      </ns0:c>
      <ns0:c r="AV67" t="n">
        <ns0:f>IF($A67="",1,IF(AU67=1,1,--AND(IF($AC67&gt;0,INDEX(AU$7:AU$106,$AC67),1),IF($AD67&gt;0,INDEX(AU$7:AU$106,$AD67),1),IF($AE67&gt;0,INDEX(AU$7:AU$106,$AE67),1),IF($AF67&gt;0,INDEX(AU$7:AU$106,$AF67),1),IF($AG67&gt;0,INDEX(AU$7:AU$106,$AG67),1),IF($AH67&gt;0,INDEX(AU$7:AU$106,$AH67),1),IF($AI67&gt;0,INDEX(AU$7:AU$106,$AI67),1),IF($AJ67&gt;0,INDEX(AU$7:AU$106,$AJ67),1))))</ns0:f>
        <ns0:v>1</ns0:v>
      </ns0:c>
      <ns0:c r="AW67" t="n">
        <ns0:f>IF($A67="",1,IF(AV67=1,1,--AND(IF($AC67&gt;0,INDEX(AV$7:AV$106,$AC67),1),IF($AD67&gt;0,INDEX(AV$7:AV$106,$AD67),1),IF($AE67&gt;0,INDEX(AV$7:AV$106,$AE67),1),IF($AF67&gt;0,INDEX(AV$7:AV$106,$AF67),1),IF($AG67&gt;0,INDEX(AV$7:AV$106,$AG67),1),IF($AH67&gt;0,INDEX(AV$7:AV$106,$AH67),1),IF($AI67&gt;0,INDEX(AV$7:AV$106,$AI67),1),IF($AJ67&gt;0,INDEX(AV$7:AV$106,$AJ67),1))))</ns0:f>
        <ns0:v>1</ns0:v>
      </ns0:c>
      <ns0:c r="AX67" t="n">
        <ns0:f>IF($A67="",1,IF(AW67=1,1,--AND(IF($AC67&gt;0,INDEX(AW$7:AW$106,$AC67),1),IF($AD67&gt;0,INDEX(AW$7:AW$106,$AD67),1),IF($AE67&gt;0,INDEX(AW$7:AW$106,$AE67),1),IF($AF67&gt;0,INDEX(AW$7:AW$106,$AF67),1),IF($AG67&gt;0,INDEX(AW$7:AW$106,$AG67),1),IF($AH67&gt;0,INDEX(AW$7:AW$106,$AH67),1),IF($AI67&gt;0,INDEX(AW$7:AW$106,$AI67),1),IF($AJ67&gt;0,INDEX(AW$7:AW$106,$AJ67),1))))</ns0:f>
        <ns0:v>1</ns0:v>
      </ns0:c>
      <ns0:c r="AY67" t="n">
        <ns0:f>IF($A67="",1,IF(AX67=1,1,--AND(IF($AC67&gt;0,INDEX(AX$7:AX$106,$AC67),1),IF($AD67&gt;0,INDEX(AX$7:AX$106,$AD67),1),IF($AE67&gt;0,INDEX(AX$7:AX$106,$AE67),1),IF($AF67&gt;0,INDEX(AX$7:AX$106,$AF67),1),IF($AG67&gt;0,INDEX(AX$7:AX$106,$AG67),1),IF($AH67&gt;0,INDEX(AX$7:AX$106,$AH67),1),IF($AI67&gt;0,INDEX(AX$7:AX$106,$AI67),1),IF($AJ67&gt;0,INDEX(AX$7:AX$106,$AJ67),1))))</ns0:f>
        <ns0:v>1</ns0:v>
      </ns0:c>
      <ns0:c r="AZ67" t="n">
        <ns0:f>IF($A67="",1,IF(AY67=1,1,--AND(IF($AC67&gt;0,INDEX(AY$7:AY$106,$AC67),1),IF($AD67&gt;0,INDEX(AY$7:AY$106,$AD67),1),IF($AE67&gt;0,INDEX(AY$7:AY$106,$AE67),1),IF($AF67&gt;0,INDEX(AY$7:AY$106,$AF67),1),IF($AG67&gt;0,INDEX(AY$7:AY$106,$AG67),1),IF($AH67&gt;0,INDEX(AY$7:AY$106,$AH67),1),IF($AI67&gt;0,INDEX(AY$7:AY$106,$AI67),1),IF($AJ67&gt;0,INDEX(AY$7:AY$106,$AJ67),1))))</ns0:f>
        <ns0:v>1</ns0:v>
      </ns0:c>
      <ns0:c r="BA67" t="n">
        <ns0:f>IF($A67="",1,IF(AZ67=1,1,--AND(IF($AC67&gt;0,INDEX(AZ$7:AZ$106,$AC67),1),IF($AD67&gt;0,INDEX(AZ$7:AZ$106,$AD67),1),IF($AE67&gt;0,INDEX(AZ$7:AZ$106,$AE67),1),IF($AF67&gt;0,INDEX(AZ$7:AZ$106,$AF67),1),IF($AG67&gt;0,INDEX(AZ$7:AZ$106,$AG67),1),IF($AH67&gt;0,INDEX(AZ$7:AZ$106,$AH67),1),IF($AI67&gt;0,INDEX(AZ$7:AZ$106,$AI67),1),IF($AJ67&gt;0,INDEX(AZ$7:AZ$106,$AJ67),1))))</ns0:f>
        <ns0:v>1</ns0:v>
      </ns0:c>
      <ns0:c r="BB67" t="n">
        <ns0:f>IF($A67="",1,IF(BA67=1,1,--AND(IF($AC67&gt;0,INDEX(BA$7:BA$106,$AC67),1),IF($AD67&gt;0,INDEX(BA$7:BA$106,$AD67),1),IF($AE67&gt;0,INDEX(BA$7:BA$106,$AE67),1),IF($AF67&gt;0,INDEX(BA$7:BA$106,$AF67),1),IF($AG67&gt;0,INDEX(BA$7:BA$106,$AG67),1),IF($AH67&gt;0,INDEX(BA$7:BA$106,$AH67),1),IF($AI67&gt;0,INDEX(BA$7:BA$106,$AI67),1),IF($AJ67&gt;0,INDEX(BA$7:BA$106,$AJ67),1))))</ns0:f>
        <ns0:v>1</ns0:v>
      </ns0:c>
      <ns0:c r="BC67" t="n">
        <ns0:f>IF($A67="",1,IF(BB67=1,1,--AND(IF($AC67&gt;0,INDEX(BB$7:BB$106,$AC67),1),IF($AD67&gt;0,INDEX(BB$7:BB$106,$AD67),1),IF($AE67&gt;0,INDEX(BB$7:BB$106,$AE67),1),IF($AF67&gt;0,INDEX(BB$7:BB$106,$AF67),1),IF($AG67&gt;0,INDEX(BB$7:BB$106,$AG67),1),IF($AH67&gt;0,INDEX(BB$7:BB$106,$AH67),1),IF($AI67&gt;0,INDEX(BB$7:BB$106,$AI67),1),IF($AJ67&gt;0,INDEX(BB$7:BB$106,$AJ67),1))))</ns0:f>
        <ns0:v>1</ns0:v>
      </ns0:c>
      <ns0:c r="BD67" t="n">
        <ns0:f>IF($A67="",1,IF(BC67=1,1,--AND(IF($AC67&gt;0,INDEX(BC$7:BC$106,$AC67),1),IF($AD67&gt;0,INDEX(BC$7:BC$106,$AD67),1),IF($AE67&gt;0,INDEX(BC$7:BC$106,$AE67),1),IF($AF67&gt;0,INDEX(BC$7:BC$106,$AF67),1),IF($AG67&gt;0,INDEX(BC$7:BC$106,$AG67),1),IF($AH67&gt;0,INDEX(BC$7:BC$106,$AH67),1),IF($AI67&gt;0,INDEX(BC$7:BC$106,$AI67),1),IF($AJ67&gt;0,INDEX(BC$7:BC$106,$AJ67),1))))</ns0:f>
        <ns0:v>1</ns0:v>
      </ns0:c>
      <ns0:c r="BE67" t="n">
        <ns0:f>IF($A67="",1,IF(BD67=1,1,--AND(IF($AC67&gt;0,INDEX(BD$7:BD$106,$AC67),1),IF($AD67&gt;0,INDEX(BD$7:BD$106,$AD67),1),IF($AE67&gt;0,INDEX(BD$7:BD$106,$AE67),1),IF($AF67&gt;0,INDEX(BD$7:BD$106,$AF67),1),IF($AG67&gt;0,INDEX(BD$7:BD$106,$AG67),1),IF($AH67&gt;0,INDEX(BD$7:BD$106,$AH67),1),IF($AI67&gt;0,INDEX(BD$7:BD$106,$AI67),1),IF($AJ67&gt;0,INDEX(BD$7:BD$106,$AJ67),1))))</ns0:f>
        <ns0:v>1</ns0:v>
      </ns0:c>
      <ns0:c r="BF67" t="n">
        <ns0:f>IF($A67="",1,IF(BE67=1,1,--AND(IF($AC67&gt;0,INDEX(BE$7:BE$106,$AC67),1),IF($AD67&gt;0,INDEX(BE$7:BE$106,$AD67),1),IF($AE67&gt;0,INDEX(BE$7:BE$106,$AE67),1),IF($AF67&gt;0,INDEX(BE$7:BE$106,$AF67),1),IF($AG67&gt;0,INDEX(BE$7:BE$106,$AG67),1),IF($AH67&gt;0,INDEX(BE$7:BE$106,$AH67),1),IF($AI67&gt;0,INDEX(BE$7:BE$106,$AI67),1),IF($AJ67&gt;0,INDEX(BE$7:BE$106,$AJ67),1))))</ns0:f>
        <ns0:v>1</ns0:v>
      </ns0:c>
      <ns0:c r="BG67" t="n">
        <ns0:f>IF($A67="",1,IF(BF67=1,1,--AND(IF($AC67&gt;0,INDEX(BF$7:BF$106,$AC67),1),IF($AD67&gt;0,INDEX(BF$7:BF$106,$AD67),1),IF($AE67&gt;0,INDEX(BF$7:BF$106,$AE67),1),IF($AF67&gt;0,INDEX(BF$7:BF$106,$AF67),1),IF($AG67&gt;0,INDEX(BF$7:BF$106,$AG67),1),IF($AH67&gt;0,INDEX(BF$7:BF$106,$AH67),1),IF($AI67&gt;0,INDEX(BF$7:BF$106,$AI67),1),IF($AJ67&gt;0,INDEX(BF$7:BF$106,$AJ67),1))))</ns0:f>
        <ns0:v>1</ns0:v>
      </ns0:c>
      <ns0:c r="BH67" t="n">
        <ns0:f>IF($A67="",1,IF(BG67=1,1,--AND(IF($AC67&gt;0,INDEX(BG$7:BG$106,$AC67),1),IF($AD67&gt;0,INDEX(BG$7:BG$106,$AD67),1),IF($AE67&gt;0,INDEX(BG$7:BG$106,$AE67),1),IF($AF67&gt;0,INDEX(BG$7:BG$106,$AF67),1),IF($AG67&gt;0,INDEX(BG$7:BG$106,$AG67),1),IF($AH67&gt;0,INDEX(BG$7:BG$106,$AH67),1),IF($AI67&gt;0,INDEX(BG$7:BG$106,$AI67),1),IF($AJ67&gt;0,INDEX(BG$7:BG$106,$AJ67),1))))</ns0:f>
        <ns0:v>1</ns0:v>
      </ns0:c>
      <ns0:c r="BI67" t="n">
        <ns0:f>IF($A67="",1,IF(BH67=1,1,--AND(IF($AC67&gt;0,INDEX(BH$7:BH$106,$AC67),1),IF($AD67&gt;0,INDEX(BH$7:BH$106,$AD67),1),IF($AE67&gt;0,INDEX(BH$7:BH$106,$AE67),1),IF($AF67&gt;0,INDEX(BH$7:BH$106,$AF67),1),IF($AG67&gt;0,INDEX(BH$7:BH$106,$AG67),1),IF($AH67&gt;0,INDEX(BH$7:BH$106,$AH67),1),IF($AI67&gt;0,INDEX(BH$7:BH$106,$AI67),1),IF($AJ67&gt;0,INDEX(BH$7:BH$106,$AJ67),1))))</ns0:f>
        <ns0:v>1</ns0:v>
      </ns0:c>
      <ns0:c r="BJ67" t="n">
        <ns0:f>IF($A67="",1,IF(BI67=1,1,--AND(IF($AC67&gt;0,INDEX(BI$7:BI$106,$AC67),1),IF($AD67&gt;0,INDEX(BI$7:BI$106,$AD67),1),IF($AE67&gt;0,INDEX(BI$7:BI$106,$AE67),1),IF($AF67&gt;0,INDEX(BI$7:BI$106,$AF67),1),IF($AG67&gt;0,INDEX(BI$7:BI$106,$AG67),1),IF($AH67&gt;0,INDEX(BI$7:BI$106,$AH67),1),IF($AI67&gt;0,INDEX(BI$7:BI$106,$AI67),1),IF($AJ67&gt;0,INDEX(BI$7:BI$106,$AJ67),1))))</ns0:f>
        <ns0:v>1</ns0:v>
      </ns0:c>
      <ns0:c r="BK67" t="n">
        <ns0:f>IF($A67="",1,IF(BJ67=1,1,--AND(IF($AC67&gt;0,INDEX(BJ$7:BJ$106,$AC67),1),IF($AD67&gt;0,INDEX(BJ$7:BJ$106,$AD67),1),IF($AE67&gt;0,INDEX(BJ$7:BJ$106,$AE67),1),IF($AF67&gt;0,INDEX(BJ$7:BJ$106,$AF67),1),IF($AG67&gt;0,INDEX(BJ$7:BJ$106,$AG67),1),IF($AH67&gt;0,INDEX(BJ$7:BJ$106,$AH67),1),IF($AI67&gt;0,INDEX(BJ$7:BJ$106,$AI67),1),IF($AJ67&gt;0,INDEX(BJ$7:BJ$106,$AJ67),1))))</ns0:f>
        <ns0:v>1</ns0:v>
      </ns0:c>
      <ns0:c r="BL67" t="n">
        <ns0:f>IF($A67="",1,IF(BK67=1,1,--AND(IF($AC67&gt;0,INDEX(BK$7:BK$106,$AC67),1),IF($AD67&gt;0,INDEX(BK$7:BK$106,$AD67),1),IF($AE67&gt;0,INDEX(BK$7:BK$106,$AE67),1),IF($AF67&gt;0,INDEX(BK$7:BK$106,$AF67),1),IF($AG67&gt;0,INDEX(BK$7:BK$106,$AG67),1),IF($AH67&gt;0,INDEX(BK$7:BK$106,$AH67),1),IF($AI67&gt;0,INDEX(BK$7:BK$106,$AI67),1),IF($AJ67&gt;0,INDEX(BK$7:BK$106,$AJ67),1))))</ns0:f>
        <ns0:v>1</ns0:v>
      </ns0:c>
      <ns0:c r="BM67" t="n">
        <ns0:f>IF($A67="",1,IF(BL67=1,1,--AND(IF($AC67&gt;0,INDEX(BL$7:BL$106,$AC67),1),IF($AD67&gt;0,INDEX(BL$7:BL$106,$AD67),1),IF($AE67&gt;0,INDEX(BL$7:BL$106,$AE67),1),IF($AF67&gt;0,INDEX(BL$7:BL$106,$AF67),1),IF($AG67&gt;0,INDEX(BL$7:BL$106,$AG67),1),IF($AH67&gt;0,INDEX(BL$7:BL$106,$AH67),1),IF($AI67&gt;0,INDEX(BL$7:BL$106,$AI67),1),IF($AJ67&gt;0,INDEX(BL$7:BL$106,$AJ67),1))))</ns0:f>
        <ns0:v>1</ns0:v>
      </ns0:c>
      <ns0:c r="BN67" t="n">
        <ns0:f>IF($A67="",1,IF(BM67=1,1,--AND(IF($AC67&gt;0,INDEX(BM$7:BM$106,$AC67),1),IF($AD67&gt;0,INDEX(BM$7:BM$106,$AD67),1),IF($AE67&gt;0,INDEX(BM$7:BM$106,$AE67),1),IF($AF67&gt;0,INDEX(BM$7:BM$106,$AF67),1),IF($AG67&gt;0,INDEX(BM$7:BM$106,$AG67),1),IF($AH67&gt;0,INDEX(BM$7:BM$106,$AH67),1),IF($AI67&gt;0,INDEX(BM$7:BM$106,$AI67),1),IF($AJ67&gt;0,INDEX(BM$7:BM$106,$AJ67),1))))</ns0:f>
        <ns0:v>1</ns0:v>
      </ns0:c>
      <ns0:c r="BO67" t="n">
        <ns0:f>IF($A67="",1,IF(BN67=1,1,--AND(IF($AC67&gt;0,INDEX(BN$7:BN$106,$AC67),1),IF($AD67&gt;0,INDEX(BN$7:BN$106,$AD67),1),IF($AE67&gt;0,INDEX(BN$7:BN$106,$AE67),1),IF($AF67&gt;0,INDEX(BN$7:BN$106,$AF67),1),IF($AG67&gt;0,INDEX(BN$7:BN$106,$AG67),1),IF($AH67&gt;0,INDEX(BN$7:BN$106,$AH67),1),IF($AI67&gt;0,INDEX(BN$7:BN$106,$AI67),1),IF($AJ67&gt;0,INDEX(BN$7:BN$106,$AJ67),1))))</ns0:f>
        <ns0:v>1</ns0:v>
      </ns0:c>
      <ns0:c r="BP67" t="n">
        <ns0:f>IF($A67="",1,IF(BO67=1,1,--AND(IF($AC67&gt;0,INDEX(BO$7:BO$106,$AC67),1),IF($AD67&gt;0,INDEX(BO$7:BO$106,$AD67),1),IF($AE67&gt;0,INDEX(BO$7:BO$106,$AE67),1),IF($AF67&gt;0,INDEX(BO$7:BO$106,$AF67),1),IF($AG67&gt;0,INDEX(BO$7:BO$106,$AG67),1),IF($AH67&gt;0,INDEX(BO$7:BO$106,$AH67),1),IF($AI67&gt;0,INDEX(BO$7:BO$106,$AI67),1),IF($AJ67&gt;0,INDEX(BO$7:BO$106,$AJ67),1))))</ns0:f>
        <ns0:v>1</ns0:v>
      </ns0:c>
      <ns0:c r="BQ67" t="n">
        <ns0:f>IF($A67="",1,IF(BP67=1,1,--AND(IF($AC67&gt;0,INDEX(BP$7:BP$106,$AC67),1),IF($AD67&gt;0,INDEX(BP$7:BP$106,$AD67),1),IF($AE67&gt;0,INDEX(BP$7:BP$106,$AE67),1),IF($AF67&gt;0,INDEX(BP$7:BP$106,$AF67),1),IF($AG67&gt;0,INDEX(BP$7:BP$106,$AG67),1),IF($AH67&gt;0,INDEX(BP$7:BP$106,$AH67),1),IF($AI67&gt;0,INDEX(BP$7:BP$106,$AI67),1),IF($AJ67&gt;0,INDEX(BP$7:BP$106,$AJ67),1))))</ns0:f>
        <ns0:v>1</ns0:v>
      </ns0:c>
      <ns0:c r="BR67" t="n">
        <ns0:f>IF($A67="",1,IF(BQ67=1,1,--AND(IF($AC67&gt;0,INDEX(BQ$7:BQ$106,$AC67),1),IF($AD67&gt;0,INDEX(BQ$7:BQ$106,$AD67),1),IF($AE67&gt;0,INDEX(BQ$7:BQ$106,$AE67),1),IF($AF67&gt;0,INDEX(BQ$7:BQ$106,$AF67),1),IF($AG67&gt;0,INDEX(BQ$7:BQ$106,$AG67),1),IF($AH67&gt;0,INDEX(BQ$7:BQ$106,$AH67),1),IF($AI67&gt;0,INDEX(BQ$7:BQ$106,$AI67),1),IF($AJ67&gt;0,INDEX(BQ$7:BQ$106,$AJ67),1))))</ns0:f>
        <ns0:v>1</ns0:v>
      </ns0:c>
      <ns0:c r="BS67" t="n">
        <ns0:f>IF($A67="",1,IF(BR67=1,1,--AND(IF($AC67&gt;0,INDEX(BR$7:BR$106,$AC67),1),IF($AD67&gt;0,INDEX(BR$7:BR$106,$AD67),1),IF($AE67&gt;0,INDEX(BR$7:BR$106,$AE67),1),IF($AF67&gt;0,INDEX(BR$7:BR$106,$AF67),1),IF($AG67&gt;0,INDEX(BR$7:BR$106,$AG67),1),IF($AH67&gt;0,INDEX(BR$7:BR$106,$AH67),1),IF($AI67&gt;0,INDEX(BR$7:BR$106,$AI67),1),IF($AJ67&gt;0,INDEX(BR$7:BR$106,$AJ67),1))))</ns0:f>
        <ns0:v>1</ns0:v>
      </ns0:c>
      <ns0:c r="BT67" t="n">
        <ns0:f>IF($A67="",1,IF(BS67=1,1,--AND(IF($AC67&gt;0,INDEX(BS$7:BS$106,$AC67),1),IF($AD67&gt;0,INDEX(BS$7:BS$106,$AD67),1),IF($AE67&gt;0,INDEX(BS$7:BS$106,$AE67),1),IF($AF67&gt;0,INDEX(BS$7:BS$106,$AF67),1),IF($AG67&gt;0,INDEX(BS$7:BS$106,$AG67),1),IF($AH67&gt;0,INDEX(BS$7:BS$106,$AH67),1),IF($AI67&gt;0,INDEX(BS$7:BS$106,$AI67),1),IF($AJ67&gt;0,INDEX(BS$7:BS$106,$AJ67),1))))</ns0:f>
        <ns0:v>1</ns0:v>
      </ns0:c>
      <ns0:c r="BU67" t="n">
        <ns0:f>IF($A67="",1,IF(BT67=1,1,--AND(IF($AC67&gt;0,INDEX(BT$7:BT$106,$AC67),1),IF($AD67&gt;0,INDEX(BT$7:BT$106,$AD67),1),IF($AE67&gt;0,INDEX(BT$7:BT$106,$AE67),1),IF($AF67&gt;0,INDEX(BT$7:BT$106,$AF67),1),IF($AG67&gt;0,INDEX(BT$7:BT$106,$AG67),1),IF($AH67&gt;0,INDEX(BT$7:BT$106,$AH67),1),IF($AI67&gt;0,INDEX(BT$7:BT$106,$AI67),1),IF($AJ67&gt;0,INDEX(BT$7:BT$106,$AJ67),1))))</ns0:f>
        <ns0:v>1</ns0:v>
      </ns0:c>
      <ns0:c r="BV67" t="n">
        <ns0:f>IF($A67="",1,IF(BU67=1,1,--AND(IF($AC67&gt;0,INDEX(BU$7:BU$106,$AC67),1),IF($AD67&gt;0,INDEX(BU$7:BU$106,$AD67),1),IF($AE67&gt;0,INDEX(BU$7:BU$106,$AE67),1),IF($AF67&gt;0,INDEX(BU$7:BU$106,$AF67),1),IF($AG67&gt;0,INDEX(BU$7:BU$106,$AG67),1),IF($AH67&gt;0,INDEX(BU$7:BU$106,$AH67),1),IF($AI67&gt;0,INDEX(BU$7:BU$106,$AI67),1),IF($AJ67&gt;0,INDEX(BU$7:BU$106,$AJ67),1))))</ns0:f>
        <ns0:v>1</ns0:v>
      </ns0:c>
      <ns0:c r="BW67" t="n">
        <ns0:f>IF($A67="",1,IF(BV67=1,1,--AND(IF($AC67&gt;0,INDEX(BV$7:BV$106,$AC67),1),IF($AD67&gt;0,INDEX(BV$7:BV$106,$AD67),1),IF($AE67&gt;0,INDEX(BV$7:BV$106,$AE67),1),IF($AF67&gt;0,INDEX(BV$7:BV$106,$AF67),1),IF($AG67&gt;0,INDEX(BV$7:BV$106,$AG67),1),IF($AH67&gt;0,INDEX(BV$7:BV$106,$AH67),1),IF($AI67&gt;0,INDEX(BV$7:BV$106,$AI67),1),IF($AJ67&gt;0,INDEX(BV$7:BV$106,$AJ67),1))))</ns0:f>
        <ns0:v>1</ns0:v>
      </ns0:c>
      <ns0:c r="BX67" t="n">
        <ns0:f>IF($A67="",1,IF(BW67=1,1,--AND(IF($AC67&gt;0,INDEX(BW$7:BW$106,$AC67),1),IF($AD67&gt;0,INDEX(BW$7:BW$106,$AD67),1),IF($AE67&gt;0,INDEX(BW$7:BW$106,$AE67),1),IF($AF67&gt;0,INDEX(BW$7:BW$106,$AF67),1),IF($AG67&gt;0,INDEX(BW$7:BW$106,$AG67),1),IF($AH67&gt;0,INDEX(BW$7:BW$106,$AH67),1),IF($AI67&gt;0,INDEX(BW$7:BW$106,$AI67),1),IF($AJ67&gt;0,INDEX(BW$7:BW$106,$AJ67),1))))</ns0:f>
        <ns0:v>1</ns0:v>
      </ns0:c>
      <ns0:c r="BY67" t="n">
        <ns0:f>IF($A67="",1,IF(BX67=1,1,--AND(IF($AC67&gt;0,INDEX(BX$7:BX$106,$AC67),1),IF($AD67&gt;0,INDEX(BX$7:BX$106,$AD67),1),IF($AE67&gt;0,INDEX(BX$7:BX$106,$AE67),1),IF($AF67&gt;0,INDEX(BX$7:BX$106,$AF67),1),IF($AG67&gt;0,INDEX(BX$7:BX$106,$AG67),1),IF($AH67&gt;0,INDEX(BX$7:BX$106,$AH67),1),IF($AI67&gt;0,INDEX(BX$7:BX$106,$AI67),1),IF($AJ67&gt;0,INDEX(BX$7:BX$106,$AJ67),1))))</ns0:f>
        <ns0:v>1</ns0:v>
      </ns0:c>
      <ns0:c r="BZ67" t="n">
        <ns0:f>IF($A67="",1,IF(BY67=1,1,--AND(IF($AC67&gt;0,INDEX(BY$7:BY$106,$AC67),1),IF($AD67&gt;0,INDEX(BY$7:BY$106,$AD67),1),IF($AE67&gt;0,INDEX(BY$7:BY$106,$AE67),1),IF($AF67&gt;0,INDEX(BY$7:BY$106,$AF67),1),IF($AG67&gt;0,INDEX(BY$7:BY$106,$AG67),1),IF($AH67&gt;0,INDEX(BY$7:BY$106,$AH67),1),IF($AI67&gt;0,INDEX(BY$7:BY$106,$AI67),1),IF($AJ67&gt;0,INDEX(BY$7:BY$106,$AJ67),1))))</ns0:f>
        <ns0:v>1</ns0:v>
      </ns0:c>
      <ns0:c r="CA67" t="n">
        <ns0:f>IF($A67="",1,IF(BZ67=1,1,--AND(IF($AC67&gt;0,INDEX(BZ$7:BZ$106,$AC67),1),IF($AD67&gt;0,INDEX(BZ$7:BZ$106,$AD67),1),IF($AE67&gt;0,INDEX(BZ$7:BZ$106,$AE67),1),IF($AF67&gt;0,INDEX(BZ$7:BZ$106,$AF67),1),IF($AG67&gt;0,INDEX(BZ$7:BZ$106,$AG67),1),IF($AH67&gt;0,INDEX(BZ$7:BZ$106,$AH67),1),IF($AI67&gt;0,INDEX(BZ$7:BZ$106,$AI67),1),IF($AJ67&gt;0,INDEX(BZ$7:BZ$106,$AJ67),1))))</ns0:f>
        <ns0:v>1</ns0:v>
      </ns0:c>
      <ns0:c r="CB67" t="n">
        <ns0:f>IF($A67="",1,IF(CA67=1,1,--AND(IF($AC67&gt;0,INDEX(CA$7:CA$106,$AC67),1),IF($AD67&gt;0,INDEX(CA$7:CA$106,$AD67),1),IF($AE67&gt;0,INDEX(CA$7:CA$106,$AE67),1),IF($AF67&gt;0,INDEX(CA$7:CA$106,$AF67),1),IF($AG67&gt;0,INDEX(CA$7:CA$106,$AG67),1),IF($AH67&gt;0,INDEX(CA$7:CA$106,$AH67),1),IF($AI67&gt;0,INDEX(CA$7:CA$106,$AI67),1),IF($AJ67&gt;0,INDEX(CA$7:CA$106,$AJ67),1))))</ns0:f>
        <ns0:v>1</ns0:v>
      </ns0:c>
      <ns0:c r="CC67" t="n">
        <ns0:f>IF($A67="",1,IF(CB67=1,1,--AND(IF($AC67&gt;0,INDEX(CB$7:CB$106,$AC67),1),IF($AD67&gt;0,INDEX(CB$7:CB$106,$AD67),1),IF($AE67&gt;0,INDEX(CB$7:CB$106,$AE67),1),IF($AF67&gt;0,INDEX(CB$7:CB$106,$AF67),1),IF($AG67&gt;0,INDEX(CB$7:CB$106,$AG67),1),IF($AH67&gt;0,INDEX(CB$7:CB$106,$AH67),1),IF($AI67&gt;0,INDEX(CB$7:CB$106,$AI67),1),IF($AJ67&gt;0,INDEX(CB$7:CB$106,$AJ67),1))))</ns0:f>
        <ns0:v>1</ns0:v>
      </ns0:c>
      <ns0:c r="CD67" t="n">
        <ns0:f>IF($A67="",1,IF(CC67=1,1,--AND(IF($AC67&gt;0,INDEX(CC$7:CC$106,$AC67),1),IF($AD67&gt;0,INDEX(CC$7:CC$106,$AD67),1),IF($AE67&gt;0,INDEX(CC$7:CC$106,$AE67),1),IF($AF67&gt;0,INDEX(CC$7:CC$106,$AF67),1),IF($AG67&gt;0,INDEX(CC$7:CC$106,$AG67),1),IF($AH67&gt;0,INDEX(CC$7:CC$106,$AH67),1),IF($AI67&gt;0,INDEX(CC$7:CC$106,$AI67),1),IF($AJ67&gt;0,INDEX(CC$7:CC$106,$AJ67),1))))</ns0:f>
        <ns0:v>1</ns0:v>
      </ns0:c>
      <ns0:c r="CE67" t="n">
        <ns0:f>IF($A67="",1,IF(CD67=1,1,--AND(IF($AC67&gt;0,INDEX(CD$7:CD$106,$AC67),1),IF($AD67&gt;0,INDEX(CD$7:CD$106,$AD67),1),IF($AE67&gt;0,INDEX(CD$7:CD$106,$AE67),1),IF($AF67&gt;0,INDEX(CD$7:CD$106,$AF67),1),IF($AG67&gt;0,INDEX(CD$7:CD$106,$AG67),1),IF($AH67&gt;0,INDEX(CD$7:CD$106,$AH67),1),IF($AI67&gt;0,INDEX(CD$7:CD$106,$AI67),1),IF($AJ67&gt;0,INDEX(CD$7:CD$106,$AJ67),1))))</ns0:f>
        <ns0:v>1</ns0:v>
      </ns0:c>
      <ns0:c r="CF67" t="n">
        <ns0:f>IF($A67="",1,IF(CE67=1,1,--AND(IF($AC67&gt;0,INDEX(CE$7:CE$106,$AC67),1),IF($AD67&gt;0,INDEX(CE$7:CE$106,$AD67),1),IF($AE67&gt;0,INDEX(CE$7:CE$106,$AE67),1),IF($AF67&gt;0,INDEX(CE$7:CE$106,$AF67),1),IF($AG67&gt;0,INDEX(CE$7:CE$106,$AG67),1),IF($AH67&gt;0,INDEX(CE$7:CE$106,$AH67),1),IF($AI67&gt;0,INDEX(CE$7:CE$106,$AI67),1),IF($AJ67&gt;0,INDEX(CE$7:CE$106,$AJ67),1))))</ns0:f>
        <ns0:v>1</ns0:v>
      </ns0:c>
      <ns0:c r="CG67" t="n">
        <ns0:f>IF($A67="",1,IF(CF67=1,1,--AND(IF($AC67&gt;0,INDEX(CF$7:CF$106,$AC67),1),IF($AD67&gt;0,INDEX(CF$7:CF$106,$AD67),1),IF($AE67&gt;0,INDEX(CF$7:CF$106,$AE67),1),IF($AF67&gt;0,INDEX(CF$7:CF$106,$AF67),1),IF($AG67&gt;0,INDEX(CF$7:CF$106,$AG67),1),IF($AH67&gt;0,INDEX(CF$7:CF$106,$AH67),1),IF($AI67&gt;0,INDEX(CF$7:CF$106,$AI67),1),IF($AJ67&gt;0,INDEX(CF$7:CF$106,$AJ67),1))))</ns0:f>
        <ns0:v>1</ns0:v>
      </ns0:c>
      <ns0:c r="CH67" t="n">
        <ns0:f>IF($A67="",1,IF(CG67=1,1,--AND(IF($AC67&gt;0,INDEX(CG$7:CG$106,$AC67),1),IF($AD67&gt;0,INDEX(CG$7:CG$106,$AD67),1),IF($AE67&gt;0,INDEX(CG$7:CG$106,$AE67),1),IF($AF67&gt;0,INDEX(CG$7:CG$106,$AF67),1),IF($AG67&gt;0,INDEX(CG$7:CG$106,$AG67),1),IF($AH67&gt;0,INDEX(CG$7:CG$106,$AH67),1),IF($AI67&gt;0,INDEX(CG$7:CG$106,$AI67),1),IF($AJ67&gt;0,INDEX(CG$7:CG$106,$AJ67),1))))</ns0:f>
        <ns0:v>1</ns0:v>
      </ns0:c>
      <ns0:c r="CI67" t="n">
        <ns0:f>IF($A67="",1,IF(CH67=1,1,--AND(IF($AC67&gt;0,INDEX(CH$7:CH$106,$AC67),1),IF($AD67&gt;0,INDEX(CH$7:CH$106,$AD67),1),IF($AE67&gt;0,INDEX(CH$7:CH$106,$AE67),1),IF($AF67&gt;0,INDEX(CH$7:CH$106,$AF67),1),IF($AG67&gt;0,INDEX(CH$7:CH$106,$AG67),1),IF($AH67&gt;0,INDEX(CH$7:CH$106,$AH67),1),IF($AI67&gt;0,INDEX(CH$7:CH$106,$AI67),1),IF($AJ67&gt;0,INDEX(CH$7:CH$106,$AJ67),1))))</ns0:f>
        <ns0:v>1</ns0:v>
      </ns0:c>
      <ns0:c r="CJ67" t="n">
        <ns0:f>IF($A67="",1,IF(CI67=1,1,--AND(IF($AC67&gt;0,INDEX(CI$7:CI$106,$AC67),1),IF($AD67&gt;0,INDEX(CI$7:CI$106,$AD67),1),IF($AE67&gt;0,INDEX(CI$7:CI$106,$AE67),1),IF($AF67&gt;0,INDEX(CI$7:CI$106,$AF67),1),IF($AG67&gt;0,INDEX(CI$7:CI$106,$AG67),1),IF($AH67&gt;0,INDEX(CI$7:CI$106,$AH67),1),IF($AI67&gt;0,INDEX(CI$7:CI$106,$AI67),1),IF($AJ67&gt;0,INDEX(CI$7:CI$106,$AJ67),1))))</ns0:f>
        <ns0:v>1</ns0:v>
      </ns0:c>
      <ns0:c r="CK67" t="n">
        <ns0:f>IF($A67="",1,IF(CJ67=1,1,--AND(IF($AC67&gt;0,INDEX(CJ$7:CJ$106,$AC67),1),IF($AD67&gt;0,INDEX(CJ$7:CJ$106,$AD67),1),IF($AE67&gt;0,INDEX(CJ$7:CJ$106,$AE67),1),IF($AF67&gt;0,INDEX(CJ$7:CJ$106,$AF67),1),IF($AG67&gt;0,INDEX(CJ$7:CJ$106,$AG67),1),IF($AH67&gt;0,INDEX(CJ$7:CJ$106,$AH67),1),IF($AI67&gt;0,INDEX(CJ$7:CJ$106,$AI67),1),IF($AJ67&gt;0,INDEX(CJ$7:CJ$106,$AJ67),1))))</ns0:f>
        <ns0:v>1</ns0:v>
      </ns0:c>
      <ns0:c r="CL67" t="n">
        <ns0:f>IF($A67="",1,IF(CK67=1,1,--AND(IF($AC67&gt;0,INDEX(CK$7:CK$106,$AC67),1),IF($AD67&gt;0,INDEX(CK$7:CK$106,$AD67),1),IF($AE67&gt;0,INDEX(CK$7:CK$106,$AE67),1),IF($AF67&gt;0,INDEX(CK$7:CK$106,$AF67),1),IF($AG67&gt;0,INDEX(CK$7:CK$106,$AG67),1),IF($AH67&gt;0,INDEX(CK$7:CK$106,$AH67),1),IF($AI67&gt;0,INDEX(CK$7:CK$106,$AI67),1),IF($AJ67&gt;0,INDEX(CK$7:CK$106,$AJ67),1))))</ns0:f>
        <ns0:v>1</ns0:v>
      </ns0:c>
      <ns0:c r="CM67" t="n">
        <ns0:f>IF($A67="",1,IF(CL67=1,1,--AND(IF($AC67&gt;0,INDEX(CL$7:CL$106,$AC67),1),IF($AD67&gt;0,INDEX(CL$7:CL$106,$AD67),1),IF($AE67&gt;0,INDEX(CL$7:CL$106,$AE67),1),IF($AF67&gt;0,INDEX(CL$7:CL$106,$AF67),1),IF($AG67&gt;0,INDEX(CL$7:CL$106,$AG67),1),IF($AH67&gt;0,INDEX(CL$7:CL$106,$AH67),1),IF($AI67&gt;0,INDEX(CL$7:CL$106,$AI67),1),IF($AJ67&gt;0,INDEX(CL$7:CL$106,$AJ67),1))))</ns0:f>
        <ns0:v>1</ns0:v>
      </ns0:c>
      <ns0:c r="CN67" t="n">
        <ns0:f>IF($A67="",1,IF(CM67=1,1,--AND(IF($AC67&gt;0,INDEX(CM$7:CM$106,$AC67),1),IF($AD67&gt;0,INDEX(CM$7:CM$106,$AD67),1),IF($AE67&gt;0,INDEX(CM$7:CM$106,$AE67),1),IF($AF67&gt;0,INDEX(CM$7:CM$106,$AF67),1),IF($AG67&gt;0,INDEX(CM$7:CM$106,$AG67),1),IF($AH67&gt;0,INDEX(CM$7:CM$106,$AH67),1),IF($AI67&gt;0,INDEX(CM$7:CM$106,$AI67),1),IF($AJ67&gt;0,INDEX(CM$7:CM$106,$AJ67),1))))</ns0:f>
        <ns0:v>1</ns0:v>
      </ns0:c>
      <ns0:c r="CO67" t="n">
        <ns0:f>IF($A67="",1,IF(CN67=1,1,--AND(IF($AC67&gt;0,INDEX(CN$7:CN$106,$AC67),1),IF($AD67&gt;0,INDEX(CN$7:CN$106,$AD67),1),IF($AE67&gt;0,INDEX(CN$7:CN$106,$AE67),1),IF($AF67&gt;0,INDEX(CN$7:CN$106,$AF67),1),IF($AG67&gt;0,INDEX(CN$7:CN$106,$AG67),1),IF($AH67&gt;0,INDEX(CN$7:CN$106,$AH67),1),IF($AI67&gt;0,INDEX(CN$7:CN$106,$AI67),1),IF($AJ67&gt;0,INDEX(CN$7:CN$106,$AJ67),1))))</ns0:f>
        <ns0:v>1</ns0:v>
      </ns0:c>
      <ns0:c r="CP67" t="n">
        <ns0:f>IF($A67="",1,IF(CO67=1,1,--AND(IF($AC67&gt;0,INDEX(CO$7:CO$106,$AC67),1),IF($AD67&gt;0,INDEX(CO$7:CO$106,$AD67),1),IF($AE67&gt;0,INDEX(CO$7:CO$106,$AE67),1),IF($AF67&gt;0,INDEX(CO$7:CO$106,$AF67),1),IF($AG67&gt;0,INDEX(CO$7:CO$106,$AG67),1),IF($AH67&gt;0,INDEX(CO$7:CO$106,$AH67),1),IF($AI67&gt;0,INDEX(CO$7:CO$106,$AI67),1),IF($AJ67&gt;0,INDEX(CO$7:CO$106,$AJ67),1))))</ns0:f>
        <ns0:v>1</ns0:v>
      </ns0:c>
      <ns0:c r="CQ67" t="n">
        <ns0:f>IF($A67="",1,IF(CP67=1,1,--AND(IF($AC67&gt;0,INDEX(CP$7:CP$106,$AC67),1),IF($AD67&gt;0,INDEX(CP$7:CP$106,$AD67),1),IF($AE67&gt;0,INDEX(CP$7:CP$106,$AE67),1),IF($AF67&gt;0,INDEX(CP$7:CP$106,$AF67),1),IF($AG67&gt;0,INDEX(CP$7:CP$106,$AG67),1),IF($AH67&gt;0,INDEX(CP$7:CP$106,$AH67),1),IF($AI67&gt;0,INDEX(CP$7:CP$106,$AI67),1),IF($AJ67&gt;0,INDEX(CP$7:CP$106,$AJ67),1))))</ns0:f>
        <ns0:v>1</ns0:v>
      </ns0:c>
      <ns0:c r="CR67" t="n">
        <ns0:f>IF($A67="",1,IF(CQ67=1,1,--AND(IF($AC67&gt;0,INDEX(CQ$7:CQ$106,$AC67),1),IF($AD67&gt;0,INDEX(CQ$7:CQ$106,$AD67),1),IF($AE67&gt;0,INDEX(CQ$7:CQ$106,$AE67),1),IF($AF67&gt;0,INDEX(CQ$7:CQ$106,$AF67),1),IF($AG67&gt;0,INDEX(CQ$7:CQ$106,$AG67),1),IF($AH67&gt;0,INDEX(CQ$7:CQ$106,$AH67),1),IF($AI67&gt;0,INDEX(CQ$7:CQ$106,$AI67),1),IF($AJ67&gt;0,INDEX(CQ$7:CQ$106,$AJ67),1))))</ns0:f>
        <ns0:v>1</ns0:v>
      </ns0:c>
      <ns0:c r="CS67" t="n">
        <ns0:f>IF($A67="",1,IF(CR67=1,1,--AND(IF($AC67&gt;0,INDEX(CR$7:CR$106,$AC67),1),IF($AD67&gt;0,INDEX(CR$7:CR$106,$AD67),1),IF($AE67&gt;0,INDEX(CR$7:CR$106,$AE67),1),IF($AF67&gt;0,INDEX(CR$7:CR$106,$AF67),1),IF($AG67&gt;0,INDEX(CR$7:CR$106,$AG67),1),IF($AH67&gt;0,INDEX(CR$7:CR$106,$AH67),1),IF($AI67&gt;0,INDEX(CR$7:CR$106,$AI67),1),IF($AJ67&gt;0,INDEX(CR$7:CR$106,$AJ67),1))))</ns0:f>
        <ns0:v>1</ns0:v>
      </ns0:c>
      <ns0:c r="CT67" t="n">
        <ns0:f>IF($A67="",1,IF(CS67=1,1,--AND(IF($AC67&gt;0,INDEX(CS$7:CS$106,$AC67),1),IF($AD67&gt;0,INDEX(CS$7:CS$106,$AD67),1),IF($AE67&gt;0,INDEX(CS$7:CS$106,$AE67),1),IF($AF67&gt;0,INDEX(CS$7:CS$106,$AF67),1),IF($AG67&gt;0,INDEX(CS$7:CS$106,$AG67),1),IF($AH67&gt;0,INDEX(CS$7:CS$106,$AH67),1),IF($AI67&gt;0,INDEX(CS$7:CS$106,$AI67),1),IF($AJ67&gt;0,INDEX(CS$7:CS$106,$AJ67),1))))</ns0:f>
        <ns0:v>1</ns0:v>
      </ns0:c>
      <ns0:c r="CU67" t="n">
        <ns0:f>IF($A67="",1,IF(CT67=1,1,--AND(IF($AC67&gt;0,INDEX(CT$7:CT$106,$AC67),1),IF($AD67&gt;0,INDEX(CT$7:CT$106,$AD67),1),IF($AE67&gt;0,INDEX(CT$7:CT$106,$AE67),1),IF($AF67&gt;0,INDEX(CT$7:CT$106,$AF67),1),IF($AG67&gt;0,INDEX(CT$7:CT$106,$AG67),1),IF($AH67&gt;0,INDEX(CT$7:CT$106,$AH67),1),IF($AI67&gt;0,INDEX(CT$7:CT$106,$AI67),1),IF($AJ67&gt;0,INDEX(CT$7:CT$106,$AJ67),1))))</ns0:f>
        <ns0:v>1</ns0:v>
      </ns0:c>
      <ns0:c r="CV67" t="n">
        <ns0:f>IF($A67="",1,IF(CU67=1,1,--AND(IF($AC67&gt;0,INDEX(CU$7:CU$106,$AC67),1),IF($AD67&gt;0,INDEX(CU$7:CU$106,$AD67),1),IF($AE67&gt;0,INDEX(CU$7:CU$106,$AE67),1),IF($AF67&gt;0,INDEX(CU$7:CU$106,$AF67),1),IF($AG67&gt;0,INDEX(CU$7:CU$106,$AG67),1),IF($AH67&gt;0,INDEX(CU$7:CU$106,$AH67),1),IF($AI67&gt;0,INDEX(CU$7:CU$106,$AI67),1),IF($AJ67&gt;0,INDEX(CU$7:CU$106,$AJ67),1))))</ns0:f>
        <ns0:v>1</ns0:v>
      </ns0:c>
      <ns0:c r="CW67" t="n">
        <ns0:f>IF($A67="",1,IF(CV67=1,1,--AND(IF($AC67&gt;0,INDEX(CV$7:CV$106,$AC67),1),IF($AD67&gt;0,INDEX(CV$7:CV$106,$AD67),1),IF($AE67&gt;0,INDEX(CV$7:CV$106,$AE67),1),IF($AF67&gt;0,INDEX(CV$7:CV$106,$AF67),1),IF($AG67&gt;0,INDEX(CV$7:CV$106,$AG67),1),IF($AH67&gt;0,INDEX(CV$7:CV$106,$AH67),1),IF($AI67&gt;0,INDEX(CV$7:CV$106,$AI67),1),IF($AJ67&gt;0,INDEX(CV$7:CV$106,$AJ67),1))))</ns0:f>
        <ns0:v>1</ns0:v>
      </ns0:c>
      <ns0:c r="CX67" t="n">
        <ns0:f>IF($A67="",1,IF(CW67=1,1,--AND(IF($AC67&gt;0,INDEX(CW$7:CW$106,$AC67),1),IF($AD67&gt;0,INDEX(CW$7:CW$106,$AD67),1),IF($AE67&gt;0,INDEX(CW$7:CW$106,$AE67),1),IF($AF67&gt;0,INDEX(CW$7:CW$106,$AF67),1),IF($AG67&gt;0,INDEX(CW$7:CW$106,$AG67),1),IF($AH67&gt;0,INDEX(CW$7:CW$106,$AH67),1),IF($AI67&gt;0,INDEX(CW$7:CW$106,$AI67),1),IF($AJ67&gt;0,INDEX(CW$7:CW$106,$AJ67),1))))</ns0:f>
        <ns0:v>1</ns0:v>
      </ns0:c>
      <ns0:c r="CY67" t="n">
        <ns0:f>IF($A67="",1,IF(CX67=1,1,--AND(IF($AC67&gt;0,INDEX(CX$7:CX$106,$AC67),1),IF($AD67&gt;0,INDEX(CX$7:CX$106,$AD67),1),IF($AE67&gt;0,INDEX(CX$7:CX$106,$AE67),1),IF($AF67&gt;0,INDEX(CX$7:CX$106,$AF67),1),IF($AG67&gt;0,INDEX(CX$7:CX$106,$AG67),1),IF($AH67&gt;0,INDEX(CX$7:CX$106,$AH67),1),IF($AI67&gt;0,INDEX(CX$7:CX$106,$AI67),1),IF($AJ67&gt;0,INDEX(CX$7:CX$106,$AJ67),1))))</ns0:f>
        <ns0:v>1</ns0:v>
      </ns0:c>
      <ns0:c r="CZ67" t="n">
        <ns0:f>IF($A67="",1,IF(CY67=1,1,--AND(IF($AC67&gt;0,INDEX(CY$7:CY$106,$AC67),1),IF($AD67&gt;0,INDEX(CY$7:CY$106,$AD67),1),IF($AE67&gt;0,INDEX(CY$7:CY$106,$AE67),1),IF($AF67&gt;0,INDEX(CY$7:CY$106,$AF67),1),IF($AG67&gt;0,INDEX(CY$7:CY$106,$AG67),1),IF($AH67&gt;0,INDEX(CY$7:CY$106,$AH67),1),IF($AI67&gt;0,INDEX(CY$7:CY$106,$AI67),1),IF($AJ67&gt;0,INDEX(CY$7:CY$106,$AJ67),1))))</ns0:f>
        <ns0:v>1</ns0:v>
      </ns0:c>
      <ns0:c r="DA67" t="n">
        <ns0:f>IF($A67="",1,IF(CZ67=1,1,--AND(IF($AC67&gt;0,INDEX(CZ$7:CZ$106,$AC67),1),IF($AD67&gt;0,INDEX(CZ$7:CZ$106,$AD67),1),IF($AE67&gt;0,INDEX(CZ$7:CZ$106,$AE67),1),IF($AF67&gt;0,INDEX(CZ$7:CZ$106,$AF67),1),IF($AG67&gt;0,INDEX(CZ$7:CZ$106,$AG67),1),IF($AH67&gt;0,INDEX(CZ$7:CZ$106,$AH67),1),IF($AI67&gt;0,INDEX(CZ$7:CZ$106,$AI67),1),IF($AJ67&gt;0,INDEX(CZ$7:CZ$106,$AJ67),1))))</ns0:f>
        <ns0:v>1</ns0:v>
      </ns0:c>
      <ns0:c r="DB67" t="n">
        <ns0:f>IF($A67="",1,IF(DA67=1,1,--AND(IF($AC67&gt;0,INDEX(DA$7:DA$106,$AC67),1),IF($AD67&gt;0,INDEX(DA$7:DA$106,$AD67),1),IF($AE67&gt;0,INDEX(DA$7:DA$106,$AE67),1),IF($AF67&gt;0,INDEX(DA$7:DA$106,$AF67),1),IF($AG67&gt;0,INDEX(DA$7:DA$106,$AG67),1),IF($AH67&gt;0,INDEX(DA$7:DA$106,$AH67),1),IF($AI67&gt;0,INDEX(DA$7:DA$106,$AI67),1),IF($AJ67&gt;0,INDEX(DA$7:DA$106,$AJ67),1))))</ns0:f>
        <ns0:v>1</ns0:v>
      </ns0:c>
      <ns0:c r="DC67" t="n">
        <ns0:f>IF($A67="",1,IF(DB67=1,1,--AND(IF($AC67&gt;0,INDEX(DB$7:DB$106,$AC67),1),IF($AD67&gt;0,INDEX(DB$7:DB$106,$AD67),1),IF($AE67&gt;0,INDEX(DB$7:DB$106,$AE67),1),IF($AF67&gt;0,INDEX(DB$7:DB$106,$AF67),1),IF($AG67&gt;0,INDEX(DB$7:DB$106,$AG67),1),IF($AH67&gt;0,INDEX(DB$7:DB$106,$AH67),1),IF($AI67&gt;0,INDEX(DB$7:DB$106,$AI67),1),IF($AJ67&gt;0,INDEX(DB$7:DB$106,$AJ67),1))))</ns0:f>
        <ns0:v>1</ns0:v>
      </ns0:c>
      <ns0:c r="DD67" t="n">
        <ns0:f>IF($A67="",1,IF(DC67=1,1,--AND(IF($AC67&gt;0,INDEX(DC$7:DC$106,$AC67),1),IF($AD67&gt;0,INDEX(DC$7:DC$106,$AD67),1),IF($AE67&gt;0,INDEX(DC$7:DC$106,$AE67),1),IF($AF67&gt;0,INDEX(DC$7:DC$106,$AF67),1),IF($AG67&gt;0,INDEX(DC$7:DC$106,$AG67),1),IF($AH67&gt;0,INDEX(DC$7:DC$106,$AH67),1),IF($AI67&gt;0,INDEX(DC$7:DC$106,$AI67),1),IF($AJ67&gt;0,INDEX(DC$7:DC$106,$AJ67),1))))</ns0:f>
        <ns0:v>1</ns0:v>
      </ns0:c>
      <ns0:c r="DE67" t="n">
        <ns0:f>IF($A67="",1,IF(DD67=1,1,--AND(IF($AC67&gt;0,INDEX(DD$7:DD$106,$AC67),1),IF($AD67&gt;0,INDEX(DD$7:DD$106,$AD67),1),IF($AE67&gt;0,INDEX(DD$7:DD$106,$AE67),1),IF($AF67&gt;0,INDEX(DD$7:DD$106,$AF67),1),IF($AG67&gt;0,INDEX(DD$7:DD$106,$AG67),1),IF($AH67&gt;0,INDEX(DD$7:DD$106,$AH67),1),IF($AI67&gt;0,INDEX(DD$7:DD$106,$AI67),1),IF($AJ67&gt;0,INDEX(DD$7:DD$106,$AJ67),1))))</ns0:f>
        <ns0:v>1</ns0:v>
      </ns0:c>
      <ns0:c r="DF67" t="n">
        <ns0:f>IF($A67="",1,IF(DE67=1,1,--AND(IF($AC67&gt;0,INDEX(DE$7:DE$106,$AC67),1),IF($AD67&gt;0,INDEX(DE$7:DE$106,$AD67),1),IF($AE67&gt;0,INDEX(DE$7:DE$106,$AE67),1),IF($AF67&gt;0,INDEX(DE$7:DE$106,$AF67),1),IF($AG67&gt;0,INDEX(DE$7:DE$106,$AG67),1),IF($AH67&gt;0,INDEX(DE$7:DE$106,$AH67),1),IF($AI67&gt;0,INDEX(DE$7:DE$106,$AI67),1),IF($AJ67&gt;0,INDEX(DE$7:DE$106,$AJ67),1))))</ns0:f>
        <ns0:v>1</ns0:v>
      </ns0:c>
      <ns0:c r="DG67" t="n">
        <ns0:f>IF($A67="",1,IF(DF67=1,1,--AND(IF($AC67&gt;0,INDEX(DF$7:DF$106,$AC67),1),IF($AD67&gt;0,INDEX(DF$7:DF$106,$AD67),1),IF($AE67&gt;0,INDEX(DF$7:DF$106,$AE67),1),IF($AF67&gt;0,INDEX(DF$7:DF$106,$AF67),1),IF($AG67&gt;0,INDEX(DF$7:DF$106,$AG67),1),IF($AH67&gt;0,INDEX(DF$7:DF$106,$AH67),1),IF($AI67&gt;0,INDEX(DF$7:DF$106,$AI67),1),IF($AJ67&gt;0,INDEX(DF$7:DF$106,$AJ67),1))))</ns0:f>
        <ns0:v>1</ns0:v>
      </ns0:c>
      <ns0:c r="DH67" t="n">
        <ns0:f>IF($A67="",1,IF(DG67=1,1,--AND(IF($AC67&gt;0,INDEX(DG$7:DG$106,$AC67),1),IF($AD67&gt;0,INDEX(DG$7:DG$106,$AD67),1),IF($AE67&gt;0,INDEX(DG$7:DG$106,$AE67),1),IF($AF67&gt;0,INDEX(DG$7:DG$106,$AF67),1),IF($AG67&gt;0,INDEX(DG$7:DG$106,$AG67),1),IF($AH67&gt;0,INDEX(DG$7:DG$106,$AH67),1),IF($AI67&gt;0,INDEX(DG$7:DG$106,$AI67),1),IF($AJ67&gt;0,INDEX(DG$7:DG$106,$AJ67),1))))</ns0:f>
        <ns0:v>1</ns0:v>
      </ns0:c>
      <ns0:c r="DI67" t="n">
        <ns0:f>IF($A67="",1,IF(DH67=1,1,--AND(IF($AC67&gt;0,INDEX(DH$7:DH$106,$AC67),1),IF($AD67&gt;0,INDEX(DH$7:DH$106,$AD67),1),IF($AE67&gt;0,INDEX(DH$7:DH$106,$AE67),1),IF($AF67&gt;0,INDEX(DH$7:DH$106,$AF67),1),IF($AG67&gt;0,INDEX(DH$7:DH$106,$AG67),1),IF($AH67&gt;0,INDEX(DH$7:DH$106,$AH67),1),IF($AI67&gt;0,INDEX(DH$7:DH$106,$AI67),1),IF($AJ67&gt;0,INDEX(DH$7:DH$106,$AJ67),1))))</ns0:f>
        <ns0:v>1</ns0:v>
      </ns0:c>
      <ns0:c r="DJ67" t="n">
        <ns0:f>IF($A67="",1,IF(DI67=1,1,--AND(IF($AC67&gt;0,INDEX(DI$7:DI$106,$AC67),1),IF($AD67&gt;0,INDEX(DI$7:DI$106,$AD67),1),IF($AE67&gt;0,INDEX(DI$7:DI$106,$AE67),1),IF($AF67&gt;0,INDEX(DI$7:DI$106,$AF67),1),IF($AG67&gt;0,INDEX(DI$7:DI$106,$AG67),1),IF($AH67&gt;0,INDEX(DI$7:DI$106,$AH67),1),IF($AI67&gt;0,INDEX(DI$7:DI$106,$AI67),1),IF($AJ67&gt;0,INDEX(DI$7:DI$106,$AJ67),1))))</ns0:f>
        <ns0:v>1</ns0:v>
      </ns0:c>
      <ns0:c r="DK67" t="n">
        <ns0:f>IF($A67="",1,IF(DJ67=1,1,--AND(IF($AC67&gt;0,INDEX(DJ$7:DJ$106,$AC67),1),IF($AD67&gt;0,INDEX(DJ$7:DJ$106,$AD67),1),IF($AE67&gt;0,INDEX(DJ$7:DJ$106,$AE67),1),IF($AF67&gt;0,INDEX(DJ$7:DJ$106,$AF67),1),IF($AG67&gt;0,INDEX(DJ$7:DJ$106,$AG67),1),IF($AH67&gt;0,INDEX(DJ$7:DJ$106,$AH67),1),IF($AI67&gt;0,INDEX(DJ$7:DJ$106,$AI67),1),IF($AJ67&gt;0,INDEX(DJ$7:DJ$106,$AJ67),1))))</ns0:f>
        <ns0:v>1</ns0:v>
      </ns0:c>
      <ns0:c r="DL67" t="n">
        <ns0:f>IF($A67="",1,IF(DK67=1,1,--AND(IF($AC67&gt;0,INDEX(DK$7:DK$106,$AC67),1),IF($AD67&gt;0,INDEX(DK$7:DK$106,$AD67),1),IF($AE67&gt;0,INDEX(DK$7:DK$106,$AE67),1),IF($AF67&gt;0,INDEX(DK$7:DK$106,$AF67),1),IF($AG67&gt;0,INDEX(DK$7:DK$106,$AG67),1),IF($AH67&gt;0,INDEX(DK$7:DK$106,$AH67),1),IF($AI67&gt;0,INDEX(DK$7:DK$106,$AI67),1),IF($AJ67&gt;0,INDEX(DK$7:DK$106,$AJ67),1))))</ns0:f>
        <ns0:v>1</ns0:v>
      </ns0:c>
      <ns0:c r="DM67" t="n">
        <ns0:f>IF($A67="",1,IF(DL67=1,1,--AND(IF($AC67&gt;0,INDEX(DL$7:DL$106,$AC67),1),IF($AD67&gt;0,INDEX(DL$7:DL$106,$AD67),1),IF($AE67&gt;0,INDEX(DL$7:DL$106,$AE67),1),IF($AF67&gt;0,INDEX(DL$7:DL$106,$AF67),1),IF($AG67&gt;0,INDEX(DL$7:DL$106,$AG67),1),IF($AH67&gt;0,INDEX(DL$7:DL$106,$AH67),1),IF($AI67&gt;0,INDEX(DL$7:DL$106,$AI67),1),IF($AJ67&gt;0,INDEX(DL$7:DL$106,$AJ67),1))))</ns0:f>
        <ns0:v>1</ns0:v>
      </ns0:c>
      <ns0:c r="DN67" t="n">
        <ns0:f>IF($A67="",1,IF(DM67=1,1,--AND(IF($AC67&gt;0,INDEX(DM$7:DM$106,$AC67),1),IF($AD67&gt;0,INDEX(DM$7:DM$106,$AD67),1),IF($AE67&gt;0,INDEX(DM$7:DM$106,$AE67),1),IF($AF67&gt;0,INDEX(DM$7:DM$106,$AF67),1),IF($AG67&gt;0,INDEX(DM$7:DM$106,$AG67),1),IF($AH67&gt;0,INDEX(DM$7:DM$106,$AH67),1),IF($AI67&gt;0,INDEX(DM$7:DM$106,$AI67),1),IF($AJ67&gt;0,INDEX(DM$7:DM$106,$AJ67),1))))</ns0:f>
        <ns0:v>1</ns0:v>
      </ns0:c>
      <ns0:c r="DO67" t="n">
        <ns0:f>IF($A67="",1,IF(DN67=1,1,--AND(IF($AC67&gt;0,INDEX(DN$7:DN$106,$AC67),1),IF($AD67&gt;0,INDEX(DN$7:DN$106,$AD67),1),IF($AE67&gt;0,INDEX(DN$7:DN$106,$AE67),1),IF($AF67&gt;0,INDEX(DN$7:DN$106,$AF67),1),IF($AG67&gt;0,INDEX(DN$7:DN$106,$AG67),1),IF($AH67&gt;0,INDEX(DN$7:DN$106,$AH67),1),IF($AI67&gt;0,INDEX(DN$7:DN$106,$AI67),1),IF($AJ67&gt;0,INDEX(DN$7:DN$106,$AJ67),1))))</ns0:f>
        <ns0:v>1</ns0:v>
      </ns0:c>
      <ns0:c r="DP67" t="n">
        <ns0:f>IF($A67="",1,IF(DO67=1,1,--AND(IF($AC67&gt;0,INDEX(DO$7:DO$106,$AC67),1),IF($AD67&gt;0,INDEX(DO$7:DO$106,$AD67),1),IF($AE67&gt;0,INDEX(DO$7:DO$106,$AE67),1),IF($AF67&gt;0,INDEX(DO$7:DO$106,$AF67),1),IF($AG67&gt;0,INDEX(DO$7:DO$106,$AG67),1),IF($AH67&gt;0,INDEX(DO$7:DO$106,$AH67),1),IF($AI67&gt;0,INDEX(DO$7:DO$106,$AI67),1),IF($AJ67&gt;0,INDEX(DO$7:DO$106,$AJ67),1))))</ns0:f>
        <ns0:v>1</ns0:v>
      </ns0:c>
      <ns0:c r="DQ67" t="n">
        <ns0:f>IF($A67="",1,IF(DP67=1,1,--AND(IF($AC67&gt;0,INDEX(DP$7:DP$106,$AC67),1),IF($AD67&gt;0,INDEX(DP$7:DP$106,$AD67),1),IF($AE67&gt;0,INDEX(DP$7:DP$106,$AE67),1),IF($AF67&gt;0,INDEX(DP$7:DP$106,$AF67),1),IF($AG67&gt;0,INDEX(DP$7:DP$106,$AG67),1),IF($AH67&gt;0,INDEX(DP$7:DP$106,$AH67),1),IF($AI67&gt;0,INDEX(DP$7:DP$106,$AI67),1),IF($AJ67&gt;0,INDEX(DP$7:DP$106,$AJ67),1))))</ns0:f>
        <ns0:v>1</ns0:v>
      </ns0:c>
      <ns0:c r="DR67" t="n">
        <ns0:f>IF($A67="",1,IF(DQ67=1,1,--AND(IF($AC67&gt;0,INDEX(DQ$7:DQ$106,$AC67),1),IF($AD67&gt;0,INDEX(DQ$7:DQ$106,$AD67),1),IF($AE67&gt;0,INDEX(DQ$7:DQ$106,$AE67),1),IF($AF67&gt;0,INDEX(DQ$7:DQ$106,$AF67),1),IF($AG67&gt;0,INDEX(DQ$7:DQ$106,$AG67),1),IF($AH67&gt;0,INDEX(DQ$7:DQ$106,$AH67),1),IF($AI67&gt;0,INDEX(DQ$7:DQ$106,$AI67),1),IF($AJ67&gt;0,INDEX(DQ$7:DQ$106,$AJ67),1))))</ns0:f>
        <ns0:v>1</ns0:v>
      </ns0:c>
      <ns0:c r="DS67" t="n">
        <ns0:f>IF($A67="",1,IF(DR67=1,1,--AND(IF($AC67&gt;0,INDEX(DR$7:DR$106,$AC67),1),IF($AD67&gt;0,INDEX(DR$7:DR$106,$AD67),1),IF($AE67&gt;0,INDEX(DR$7:DR$106,$AE67),1),IF($AF67&gt;0,INDEX(DR$7:DR$106,$AF67),1),IF($AG67&gt;0,INDEX(DR$7:DR$106,$AG67),1),IF($AH67&gt;0,INDEX(DR$7:DR$106,$AH67),1),IF($AI67&gt;0,INDEX(DR$7:DR$106,$AI67),1),IF($AJ67&gt;0,INDEX(DR$7:DR$106,$AJ67),1))))</ns0:f>
        <ns0:v>1</ns0:v>
      </ns0:c>
      <ns0:c r="DT67" t="n">
        <ns0:f>IF($A67="",1,IF(DS67=1,1,--AND(IF($AC67&gt;0,INDEX(DS$7:DS$106,$AC67),1),IF($AD67&gt;0,INDEX(DS$7:DS$106,$AD67),1),IF($AE67&gt;0,INDEX(DS$7:DS$106,$AE67),1),IF($AF67&gt;0,INDEX(DS$7:DS$106,$AF67),1),IF($AG67&gt;0,INDEX(DS$7:DS$106,$AG67),1),IF($AH67&gt;0,INDEX(DS$7:DS$106,$AH67),1),IF($AI67&gt;0,INDEX(DS$7:DS$106,$AI67),1),IF($AJ67&gt;0,INDEX(DS$7:DS$106,$AJ67),1))))</ns0:f>
        <ns0:v>1</ns0:v>
      </ns0:c>
      <ns0:c r="DU67" t="n">
        <ns0:f>IF($A67="",1,IF(DT67=1,1,--AND(IF($AC67&gt;0,INDEX(DT$7:DT$106,$AC67),1),IF($AD67&gt;0,INDEX(DT$7:DT$106,$AD67),1),IF($AE67&gt;0,INDEX(DT$7:DT$106,$AE67),1),IF($AF67&gt;0,INDEX(DT$7:DT$106,$AF67),1),IF($AG67&gt;0,INDEX(DT$7:DT$106,$AG67),1),IF($AH67&gt;0,INDEX(DT$7:DT$106,$AH67),1),IF($AI67&gt;0,INDEX(DT$7:DT$106,$AI67),1),IF($AJ67&gt;0,INDEX(DT$7:DT$106,$AJ67),1))))</ns0:f>
        <ns0:v>1</ns0:v>
      </ns0:c>
      <ns0:c r="DV67" t="n">
        <ns0:f>IF($A67="",1,IF(DU67=1,1,--AND(IF($AC67&gt;0,INDEX(DU$7:DU$106,$AC67),1),IF($AD67&gt;0,INDEX(DU$7:DU$106,$AD67),1),IF($AE67&gt;0,INDEX(DU$7:DU$106,$AE67),1),IF($AF67&gt;0,INDEX(DU$7:DU$106,$AF67),1),IF($AG67&gt;0,INDEX(DU$7:DU$106,$AG67),1),IF($AH67&gt;0,INDEX(DU$7:DU$106,$AH67),1),IF($AI67&gt;0,INDEX(DU$7:DU$106,$AI67),1),IF($AJ67&gt;0,INDEX(DU$7:DU$106,$AJ67),1))))</ns0:f>
        <ns0:v>1</ns0:v>
      </ns0:c>
      <ns0:c r="DW67" t="n">
        <ns0:f>IF($A67="",1,IF(DV67=1,1,--AND(IF($AC67&gt;0,INDEX(DV$7:DV$106,$AC67),1),IF($AD67&gt;0,INDEX(DV$7:DV$106,$AD67),1),IF($AE67&gt;0,INDEX(DV$7:DV$106,$AE67),1),IF($AF67&gt;0,INDEX(DV$7:DV$106,$AF67),1),IF($AG67&gt;0,INDEX(DV$7:DV$106,$AG67),1),IF($AH67&gt;0,INDEX(DV$7:DV$106,$AH67),1),IF($AI67&gt;0,INDEX(DV$7:DV$106,$AI67),1),IF($AJ67&gt;0,INDEX(DV$7:DV$106,$AJ67),1))))</ns0:f>
        <ns0:v>1</ns0:v>
      </ns0:c>
      <ns0:c r="DX67" t="n">
        <ns0:f>IF($A67="",1,IF(DW67=1,1,--AND(IF($AC67&gt;0,INDEX(DW$7:DW$106,$AC67),1),IF($AD67&gt;0,INDEX(DW$7:DW$106,$AD67),1),IF($AE67&gt;0,INDEX(DW$7:DW$106,$AE67),1),IF($AF67&gt;0,INDEX(DW$7:DW$106,$AF67),1),IF($AG67&gt;0,INDEX(DW$7:DW$106,$AG67),1),IF($AH67&gt;0,INDEX(DW$7:DW$106,$AH67),1),IF($AI67&gt;0,INDEX(DW$7:DW$106,$AI67),1),IF($AJ67&gt;0,INDEX(DW$7:DW$106,$AJ67),1))))</ns0:f>
        <ns0:v>1</ns0:v>
      </ns0:c>
      <ns0:c r="DY67" t="n">
        <ns0:f>IF($A67="",1,IF(DX67=1,1,--AND(IF($AC67&gt;0,INDEX(DX$7:DX$106,$AC67),1),IF($AD67&gt;0,INDEX(DX$7:DX$106,$AD67),1),IF($AE67&gt;0,INDEX(DX$7:DX$106,$AE67),1),IF($AF67&gt;0,INDEX(DX$7:DX$106,$AF67),1),IF($AG67&gt;0,INDEX(DX$7:DX$106,$AG67),1),IF($AH67&gt;0,INDEX(DX$7:DX$106,$AH67),1),IF($AI67&gt;0,INDEX(DX$7:DX$106,$AI67),1),IF($AJ67&gt;0,INDEX(DX$7:DX$106,$AJ67),1))))</ns0:f>
        <ns0:v>1</ns0:v>
      </ns0:c>
      <ns0:c r="DZ67" t="n">
        <ns0:f>IF($A67="",1,IF(DY67=1,1,--AND(IF($AC67&gt;0,INDEX(DY$7:DY$106,$AC67),1),IF($AD67&gt;0,INDEX(DY$7:DY$106,$AD67),1),IF($AE67&gt;0,INDEX(DY$7:DY$106,$AE67),1),IF($AF67&gt;0,INDEX(DY$7:DY$106,$AF67),1),IF($AG67&gt;0,INDEX(DY$7:DY$106,$AG67),1),IF($AH67&gt;0,INDEX(DY$7:DY$106,$AH67),1),IF($AI67&gt;0,INDEX(DY$7:DY$106,$AI67),1),IF($AJ67&gt;0,INDEX(DY$7:DY$106,$AJ67),1))))</ns0:f>
        <ns0:v>1</ns0:v>
      </ns0:c>
      <ns0:c r="EA67" t="n">
        <ns0:f>IF($A67="",1,IF(DZ67=1,1,--AND(IF($AC67&gt;0,INDEX(DZ$7:DZ$106,$AC67),1),IF($AD67&gt;0,INDEX(DZ$7:DZ$106,$AD67),1),IF($AE67&gt;0,INDEX(DZ$7:DZ$106,$AE67),1),IF($AF67&gt;0,INDEX(DZ$7:DZ$106,$AF67),1),IF($AG67&gt;0,INDEX(DZ$7:DZ$106,$AG67),1),IF($AH67&gt;0,INDEX(DZ$7:DZ$106,$AH67),1),IF($AI67&gt;0,INDEX(DZ$7:DZ$106,$AI67),1),IF($AJ67&gt;0,INDEX(DZ$7:DZ$106,$AJ67),1))))</ns0:f>
        <ns0:v>1</ns0:v>
      </ns0:c>
      <ns0:c r="EB67" t="n">
        <ns0:f>IF($A67="",1,IF(EA67=1,1,--AND(IF($AC67&gt;0,INDEX(EA$7:EA$106,$AC67),1),IF($AD67&gt;0,INDEX(EA$7:EA$106,$AD67),1),IF($AE67&gt;0,INDEX(EA$7:EA$106,$AE67),1),IF($AF67&gt;0,INDEX(EA$7:EA$106,$AF67),1),IF($AG67&gt;0,INDEX(EA$7:EA$106,$AG67),1),IF($AH67&gt;0,INDEX(EA$7:EA$106,$AH67),1),IF($AI67&gt;0,INDEX(EA$7:EA$106,$AI67),1),IF($AJ67&gt;0,INDEX(EA$7:EA$106,$AJ67),1))))</ns0:f>
        <ns0:v>1</ns0:v>
      </ns0:c>
      <ns0:c r="EC67" t="n">
        <ns0:f>IF($A67="",1,IF(EB67=1,1,--AND(IF($AC67&gt;0,INDEX(EB$7:EB$106,$AC67),1),IF($AD67&gt;0,INDEX(EB$7:EB$106,$AD67),1),IF($AE67&gt;0,INDEX(EB$7:EB$106,$AE67),1),IF($AF67&gt;0,INDEX(EB$7:EB$106,$AF67),1),IF($AG67&gt;0,INDEX(EB$7:EB$106,$AG67),1),IF($AH67&gt;0,INDEX(EB$7:EB$106,$AH67),1),IF($AI67&gt;0,INDEX(EB$7:EB$106,$AI67),1),IF($AJ67&gt;0,INDEX(EB$7:EB$106,$AJ67),1))))</ns0:f>
        <ns0:v>1</ns0:v>
      </ns0:c>
      <ns0:c r="ED67" t="n">
        <ns0:f>IF($A67="",1,IF(EC67=1,1,--AND(IF($AC67&gt;0,INDEX(EC$7:EC$106,$AC67),1),IF($AD67&gt;0,INDEX(EC$7:EC$106,$AD67),1),IF($AE67&gt;0,INDEX(EC$7:EC$106,$AE67),1),IF($AF67&gt;0,INDEX(EC$7:EC$106,$AF67),1),IF($AG67&gt;0,INDEX(EC$7:EC$106,$AG67),1),IF($AH67&gt;0,INDEX(EC$7:EC$106,$AH67),1),IF($AI67&gt;0,INDEX(EC$7:EC$106,$AI67),1),IF($AJ67&gt;0,INDEX(EC$7:EC$106,$AJ67),1))))</ns0:f>
        <ns0:v>1</ns0:v>
      </ns0:c>
      <ns0:c r="EE67" t="n">
        <ns0:f>IF($A67="",1,IF(ED67=1,1,--AND(IF($AC67&gt;0,INDEX(ED$7:ED$106,$AC67),1),IF($AD67&gt;0,INDEX(ED$7:ED$106,$AD67),1),IF($AE67&gt;0,INDEX(ED$7:ED$106,$AE67),1),IF($AF67&gt;0,INDEX(ED$7:ED$106,$AF67),1),IF($AG67&gt;0,INDEX(ED$7:ED$106,$AG67),1),IF($AH67&gt;0,INDEX(ED$7:ED$106,$AH67),1),IF($AI67&gt;0,INDEX(ED$7:ED$106,$AI67),1),IF($AJ67&gt;0,INDEX(ED$7:ED$106,$AJ67),1))))</ns0:f>
        <ns0:v>1</ns0:v>
      </ns0:c>
      <ns0:c r="EF67" t="n">
        <ns0:f>IF($A67="",1,IF(EE67=1,1,--AND(IF($AC67&gt;0,INDEX(EE$7:EE$106,$AC67),1),IF($AD67&gt;0,INDEX(EE$7:EE$106,$AD67),1),IF($AE67&gt;0,INDEX(EE$7:EE$106,$AE67),1),IF($AF67&gt;0,INDEX(EE$7:EE$106,$AF67),1),IF($AG67&gt;0,INDEX(EE$7:EE$106,$AG67),1),IF($AH67&gt;0,INDEX(EE$7:EE$106,$AH67),1),IF($AI67&gt;0,INDEX(EE$7:EE$106,$AI67),1),IF($AJ67&gt;0,INDEX(EE$7:EE$106,$AJ67),1))))</ns0:f>
        <ns0:v>1</ns0:v>
      </ns0:c>
      <ns0:c r="EG67" t="n">
        <ns0:f>IF($A67="",1,IF(EF67=1,1,--AND(IF($AC67&gt;0,INDEX(EF$7:EF$106,$AC67),1),IF($AD67&gt;0,INDEX(EF$7:EF$106,$AD67),1),IF($AE67&gt;0,INDEX(EF$7:EF$106,$AE67),1),IF($AF67&gt;0,INDEX(EF$7:EF$106,$AF67),1),IF($AG67&gt;0,INDEX(EF$7:EF$106,$AG67),1),IF($AH67&gt;0,INDEX(EF$7:EF$106,$AH67),1),IF($AI67&gt;0,INDEX(EF$7:EF$106,$AI67),1),IF($AJ67&gt;0,INDEX(EF$7:EF$106,$AJ67),1))))</ns0:f>
        <ns0:v>1</ns0:v>
      </ns0:c>
      <ns0:c r="EH67" t="n">
        <ns0:f>IF($A67="",1,IF(EG67=1,1,--AND(IF($AC67&gt;0,INDEX(EG$7:EG$106,$AC67),1),IF($AD67&gt;0,INDEX(EG$7:EG$106,$AD67),1),IF($AE67&gt;0,INDEX(EG$7:EG$106,$AE67),1),IF($AF67&gt;0,INDEX(EG$7:EG$106,$AF67),1),IF($AG67&gt;0,INDEX(EG$7:EG$106,$AG67),1),IF($AH67&gt;0,INDEX(EG$7:EG$106,$AH67),1),IF($AI67&gt;0,INDEX(EG$7:EG$106,$AI67),1),IF($AJ67&gt;0,INDEX(EG$7:EG$106,$AJ67),1))))</ns0:f>
        <ns0:v>1</ns0:v>
      </ns0:c>
      <ns0:c r="EI67" t="n">
        <ns0:f>IF($A67="",1,IF(EH67=1,1,--AND(IF($AC67&gt;0,INDEX(EH$7:EH$106,$AC67),1),IF($AD67&gt;0,INDEX(EH$7:EH$106,$AD67),1),IF($AE67&gt;0,INDEX(EH$7:EH$106,$AE67),1),IF($AF67&gt;0,INDEX(EH$7:EH$106,$AF67),1),IF($AG67&gt;0,INDEX(EH$7:EH$106,$AG67),1),IF($AH67&gt;0,INDEX(EH$7:EH$106,$AH67),1),IF($AI67&gt;0,INDEX(EH$7:EH$106,$AI67),1),IF($AJ67&gt;0,INDEX(EH$7:EH$106,$AJ67),1))))</ns0:f>
        <ns0:v>1</ns0:v>
      </ns0:c>
      <ns0:c r="EJ67" t="n">
        <ns0:f>IF($A67="",1,IF(EI67=1,1,--AND(IF($AC67&gt;0,INDEX(EI$7:EI$106,$AC67),1),IF($AD67&gt;0,INDEX(EI$7:EI$106,$AD67),1),IF($AE67&gt;0,INDEX(EI$7:EI$106,$AE67),1),IF($AF67&gt;0,INDEX(EI$7:EI$106,$AF67),1),IF($AG67&gt;0,INDEX(EI$7:EI$106,$AG67),1),IF($AH67&gt;0,INDEX(EI$7:EI$106,$AH67),1),IF($AI67&gt;0,INDEX(EI$7:EI$106,$AI67),1),IF($AJ67&gt;0,INDEX(EI$7:EI$106,$AJ67),1))))</ns0:f>
        <ns0:v>1</ns0:v>
      </ns0:c>
      <ns0:c r="EK67" t="n">
        <ns0:f>IF($A67="",1,IF(EJ67=1,1,--AND(IF($AC67&gt;0,INDEX(EJ$7:EJ$106,$AC67),1),IF($AD67&gt;0,INDEX(EJ$7:EJ$106,$AD67),1),IF($AE67&gt;0,INDEX(EJ$7:EJ$106,$AE67),1),IF($AF67&gt;0,INDEX(EJ$7:EJ$106,$AF67),1),IF($AG67&gt;0,INDEX(EJ$7:EJ$106,$AG67),1),IF($AH67&gt;0,INDEX(EJ$7:EJ$106,$AH67),1),IF($AI67&gt;0,INDEX(EJ$7:EJ$106,$AI67),1),IF($AJ67&gt;0,INDEX(EJ$7:EJ$106,$AJ67),1))))</ns0:f>
        <ns0:v>1</ns0:v>
      </ns0:c>
      <ns0:c r="EL67" t="n">
        <ns0:f>IF($A67="",1,IF(EK67=1,1,--AND(IF($AC67&gt;0,INDEX(EK$7:EK$106,$AC67),1),IF($AD67&gt;0,INDEX(EK$7:EK$106,$AD67),1),IF($AE67&gt;0,INDEX(EK$7:EK$106,$AE67),1),IF($AF67&gt;0,INDEX(EK$7:EK$106,$AF67),1),IF($AG67&gt;0,INDEX(EK$7:EK$106,$AG67),1),IF($AH67&gt;0,INDEX(EK$7:EK$106,$AH67),1),IF($AI67&gt;0,INDEX(EK$7:EK$106,$AI67),1),IF($AJ67&gt;0,INDEX(EK$7:EK$106,$AJ67),1))))</ns0:f>
        <ns0:v>1</ns0:v>
      </ns0:c>
      <ns0:c r="EM67" t="n">
        <ns0:f>IF($A67="",1,IF(EL67=1,1,--AND(IF($AC67&gt;0,INDEX(EL$7:EL$106,$AC67),1),IF($AD67&gt;0,INDEX(EL$7:EL$106,$AD67),1),IF($AE67&gt;0,INDEX(EL$7:EL$106,$AE67),1),IF($AF67&gt;0,INDEX(EL$7:EL$106,$AF67),1),IF($AG67&gt;0,INDEX(EL$7:EL$106,$AG67),1),IF($AH67&gt;0,INDEX(EL$7:EL$106,$AH67),1),IF($AI67&gt;0,INDEX(EL$7:EL$106,$AI67),1),IF($AJ67&gt;0,INDEX(EL$7:EL$106,$AJ67),1))))</ns0:f>
        <ns0:v>1</ns0:v>
      </ns0:c>
      <ns0:c r="EN67" t="n">
        <ns0:f>IF($A67="",1,IF(EM67=1,1,--AND(IF($AC67&gt;0,INDEX(EM$7:EM$106,$AC67),1),IF($AD67&gt;0,INDEX(EM$7:EM$106,$AD67),1),IF($AE67&gt;0,INDEX(EM$7:EM$106,$AE67),1),IF($AF67&gt;0,INDEX(EM$7:EM$106,$AF67),1),IF($AG67&gt;0,INDEX(EM$7:EM$106,$AG67),1),IF($AH67&gt;0,INDEX(EM$7:EM$106,$AH67),1),IF($AI67&gt;0,INDEX(EM$7:EM$106,$AI67),1),IF($AJ67&gt;0,INDEX(EM$7:EM$106,$AJ67),1))))</ns0:f>
        <ns0:v>1</ns0:v>
      </ns0:c>
      <ns0:c r="EO67" t="n">
        <ns0:f>IF($A67="",1,IF(EN67=1,1,--AND(IF($AC67&gt;0,INDEX(EN$7:EN$106,$AC67),1),IF($AD67&gt;0,INDEX(EN$7:EN$106,$AD67),1),IF($AE67&gt;0,INDEX(EN$7:EN$106,$AE67),1),IF($AF67&gt;0,INDEX(EN$7:EN$106,$AF67),1),IF($AG67&gt;0,INDEX(EN$7:EN$106,$AG67),1),IF($AH67&gt;0,INDEX(EN$7:EN$106,$AH67),1),IF($AI67&gt;0,INDEX(EN$7:EN$106,$AI67),1),IF($AJ67&gt;0,INDEX(EN$7:EN$106,$AJ67),1))))</ns0:f>
        <ns0:v>1</ns0:v>
      </ns0:c>
      <ns0:c r="EP67" t="n">
        <ns0:f>IF($A67="",1,IF(EO67=1,1,--AND(IF($AC67&gt;0,INDEX(EO$7:EO$106,$AC67),1),IF($AD67&gt;0,INDEX(EO$7:EO$106,$AD67),1),IF($AE67&gt;0,INDEX(EO$7:EO$106,$AE67),1),IF($AF67&gt;0,INDEX(EO$7:EO$106,$AF67),1),IF($AG67&gt;0,INDEX(EO$7:EO$106,$AG67),1),IF($AH67&gt;0,INDEX(EO$7:EO$106,$AH67),1),IF($AI67&gt;0,INDEX(EO$7:EO$106,$AI67),1),IF($AJ67&gt;0,INDEX(EO$7:EO$106,$AJ67),1))))</ns0:f>
        <ns0:v>1</ns0:v>
      </ns0:c>
      <ns0:c r="EQ67" t="n">
        <ns0:f>IF(OR(A67="",NOT(ISNUMBER(G67))),0,G67*N67)</ns0:f>
        <ns0:v>0</ns0:v>
      </ns0:c>
    </ns0:row>
    <ns0:row r="68" ht="62" customHeight="1">
      <ns0:c r="A68" s="48"/>
      <ns0:c r="B68" s="48"/>
      <ns0:c r="C68" s="48"/>
      <ns0:c r="D68" s="48"/>
      <ns0:c r="E68" s="49"/>
      <ns0:c r="F68" s="49"/>
      <ns0:c r="G68" s="13" t="str">
        <ns0:f>IF(A68="","",IF(OR(NOT(ISNUMBER(E68)),NOT(ISNUMBER(F68)),F68&lt;E68),"",IF(J68="Yes",0,F68-E68+1)))</ns0:f>
      </ns0:c>
      <ns0:c r="H68" s="48"/>
      <ns0:c r="I68" s="48"/>
      <ns0:c r="J68" s="48"/>
      <ns0:c r="K68" s="48"/>
      <ns0:c r="L68" s="48"/>
      <ns0:c r="M68" s="50" t="str">
        <ns0:f>IF(A68="","",IF(N68=1,"Completed",IF(N68&gt;0,"In Progress","Not Started")))</ns0:f>
      </ns0:c>
      <ns0:c r="N68" s="51"/>
      <ns0:c r="O68" s="13" t="str">
        <ns0:f>IF(A68="","",IF(R68&lt;&gt;"","[CONFLICT] "&amp;R68,IF(S68&lt;&gt;"","[CONFLICT] "&amp;S68,IF(OR(NOT(ISNUMBER(N68)),N68&lt;0,N68&gt;1),"[CONFLICT] Invalid progress",IF(AK68&gt;0,"[DEPENDENCY ISSUE] Missing ID / &gt;8 links",IF(AM68&gt;0,"[DEPENDENCY ISSUE] Cycle or blocked by cycle",IF(AND(H68&lt;&gt;"",ISNA(MATCH(I68,{"FS","SS","FF","SF"},0))),"[DEPENDENCY ISSUE] Invalid type",IF(AL68&gt;0,"[DEPENDENCY ISSUE] Timing conflict",IF(OR(E68&lt;ProjectStart,F68&gt;ProjectEnd),"[OUTSIDE WINDOW]",IF(AND(N68&lt;1,F68&lt;AsOfDate),"Overdue",IF(AND(M68&lt;&gt;Q68,M68&lt;&gt;""),"[CONFLICT] Status / progress","On track")))))))))))</ns0:f>
      </ns0:c>
      <ns0:c r="P68" s="52"/>
      <ns0:c r="Q68" t="str">
        <ns0:f>IF(A68="","",IF(OR(M68="On Hold",M68="Delayed"),M68,IF(N68=1,"Completed",IF(N68&gt;0,"In Progress","Not Started"))))</ns0:f>
      </ns0:c>
      <ns0:c r="R68" t="str">
        <ns0:f>IF(A68="","",IF(COUNTIFS(Tasks[Task ID],A68)&lt;&gt;1,"Duplicate ID",""))</ns0:f>
      </ns0:c>
      <ns0:c r="S68" t="str">
        <ns0:f>IF(A68="","",IF(OR(NOT(ISNUMBER(E68)),NOT(ISNUMBER(F68))),"Invalid / missing date",IF(OR(E68&lt;&gt;INT(E68),F68&lt;&gt;INT(F68),E68&lt;1,F68&gt;2958465),"Invalid date",IF(F68&lt;E68,"End before start",IF(AND(J68="Yes",E68&lt;&gt;F68),"Milestone needs one date","")))))</ns0:f>
      </ns0:c>
      <ns0:c r="T68" t="n">
        <ns0:f>IF(H68="",0,LEN(H68)-LEN(SUBSTITUTE(H68,",",""))+1)</ns0:f>
        <ns0:v>0</ns0:v>
      </ns0:c>
      <ns0:c r="U68" t="str">
        <ns0:f>TRIM(MID(SUBSTITUTE($H68,",",REPT(" ",100)),1,100))</ns0:f>
      </ns0:c>
      <ns0:c r="V68" t="str">
        <ns0:f>TRIM(MID(SUBSTITUTE($H68,",",REPT(" ",100)),101,100))</ns0:f>
      </ns0:c>
      <ns0:c r="W68" t="str">
        <ns0:f>TRIM(MID(SUBSTITUTE($H68,",",REPT(" ",100)),201,100))</ns0:f>
      </ns0:c>
      <ns0:c r="X68" t="str">
        <ns0:f>TRIM(MID(SUBSTITUTE($H68,",",REPT(" ",100)),301,100))</ns0:f>
      </ns0:c>
      <ns0:c r="Y68" t="str">
        <ns0:f>TRIM(MID(SUBSTITUTE($H68,",",REPT(" ",100)),401,100))</ns0:f>
      </ns0:c>
      <ns0:c r="Z68" t="str">
        <ns0:f>TRIM(MID(SUBSTITUTE($H68,",",REPT(" ",100)),501,100))</ns0:f>
      </ns0:c>
      <ns0:c r="AA68" t="str">
        <ns0:f>TRIM(MID(SUBSTITUTE($H68,",",REPT(" ",100)),601,100))</ns0:f>
      </ns0:c>
      <ns0:c r="AB68" t="str">
        <ns0:f>TRIM(MID(SUBSTITUTE($H68,",",REPT(" ",100)),701,100))</ns0:f>
      </ns0:c>
      <ns0:c r="AC68" t="n">
        <ns0:f>IF(U68="",0,IF(COUNTIFS(Tasks[Task ID],U68)=1,MATCH(U68,Tasks[Task ID],0),-1))</ns0:f>
        <ns0:v>0</ns0:v>
      </ns0:c>
      <ns0:c r="AD68" t="n">
        <ns0:f>IF(V68="",0,IF(COUNTIFS(Tasks[Task ID],V68)=1,MATCH(V68,Tasks[Task ID],0),-1))</ns0:f>
        <ns0:v>0</ns0:v>
      </ns0:c>
      <ns0:c r="AE68" t="n">
        <ns0:f>IF(W68="",0,IF(COUNTIFS(Tasks[Task ID],W68)=1,MATCH(W68,Tasks[Task ID],0),-1))</ns0:f>
        <ns0:v>0</ns0:v>
      </ns0:c>
      <ns0:c r="AF68" t="n">
        <ns0:f>IF(X68="",0,IF(COUNTIFS(Tasks[Task ID],X68)=1,MATCH(X68,Tasks[Task ID],0),-1))</ns0:f>
        <ns0:v>0</ns0:v>
      </ns0:c>
      <ns0:c r="AG68" t="n">
        <ns0:f>IF(Y68="",0,IF(COUNTIFS(Tasks[Task ID],Y68)=1,MATCH(Y68,Tasks[Task ID],0),-1))</ns0:f>
        <ns0:v>0</ns0:v>
      </ns0:c>
      <ns0:c r="AH68" t="n">
        <ns0:f>IF(Z68="",0,IF(COUNTIFS(Tasks[Task ID],Z68)=1,MATCH(Z68,Tasks[Task ID],0),-1))</ns0:f>
        <ns0:v>0</ns0:v>
      </ns0:c>
      <ns0:c r="AI68" t="n">
        <ns0:f>IF(AA68="",0,IF(COUNTIFS(Tasks[Task ID],AA68)=1,MATCH(AA68,Tasks[Task ID],0),-1))</ns0:f>
        <ns0:v>0</ns0:v>
      </ns0:c>
      <ns0:c r="AJ68" t="n">
        <ns0:f>IF(AB68="",0,IF(COUNTIFS(Tasks[Task ID],AB68)=1,MATCH(AB68,Tasks[Task ID],0),-1))</ns0:f>
        <ns0:v>0</ns0:v>
      </ns0:c>
      <ns0:c r="AK68" t="n">
        <ns0:f>COUNTIFS(AC68:AJ68,-1)+IF(T68&gt;8,1,0)</ns0:f>
        <ns0:v>0</ns0:v>
      </ns0:c>
      <ns0:c r="AL68" t="n">
        <ns0:f>IF(OR(A68="",S68&lt;&gt;""),0,SUM(IF(AC68&gt;0,IF($I68="FS",--($E68&lt;INDEX(Tasks[End Date],AC68)+IF(INDEX(Tasks[Milestone],AC68)="Yes",0,1)),IF($I68="SS",--($E68&lt;INDEX(Tasks[Start Date],AC68)),IF($I68="FF",--($F68&lt;INDEX(Tasks[End Date],AC68)),IF($I68="SF",--($F68&lt;INDEX(Tasks[Start Date],AC68)),0)))),0),IF(AD68&gt;0,IF($I68="FS",--($E68&lt;INDEX(Tasks[End Date],AD68)+IF(INDEX(Tasks[Milestone],AD68)="Yes",0,1)),IF($I68="SS",--($E68&lt;INDEX(Tasks[Start Date],AD68)),IF($I68="FF",--($F68&lt;INDEX(Tasks[End Date],AD68)),IF($I68="SF",--($F68&lt;INDEX(Tasks[Start Date],AD68)),0)))),0),IF(AE68&gt;0,IF($I68="FS",--($E68&lt;INDEX(Tasks[End Date],AE68)+IF(INDEX(Tasks[Milestone],AE68)="Yes",0,1)),IF($I68="SS",--($E68&lt;INDEX(Tasks[Start Date],AE68)),IF($I68="FF",--($F68&lt;INDEX(Tasks[End Date],AE68)),IF($I68="SF",--($F68&lt;INDEX(Tasks[Start Date],AE68)),0)))),0),IF(AF68&gt;0,IF($I68="FS",--($E68&lt;INDEX(Tasks[End Date],AF68)+IF(INDEX(Tasks[Milestone],AF68)="Yes",0,1)),IF($I68="SS",--($E68&lt;INDEX(Tasks[Start Date],AF68)),IF($I68="FF",--($F68&lt;INDEX(Tasks[End Date],AF68)),IF($I68="SF",--($F68&lt;INDEX(Tasks[Start Date],AF68)),0)))),0),IF(AG68&gt;0,IF($I68="FS",--($E68&lt;INDEX(Tasks[End Date],AG68)+IF(INDEX(Tasks[Milestone],AG68)="Yes",0,1)),IF($I68="SS",--($E68&lt;INDEX(Tasks[Start Date],AG68)),IF($I68="FF",--($F68&lt;INDEX(Tasks[End Date],AG68)),IF($I68="SF",--($F68&lt;INDEX(Tasks[Start Date],AG68)),0)))),0),IF(AH68&gt;0,IF($I68="FS",--($E68&lt;INDEX(Tasks[End Date],AH68)+IF(INDEX(Tasks[Milestone],AH68)="Yes",0,1)),IF($I68="SS",--($E68&lt;INDEX(Tasks[Start Date],AH68)),IF($I68="FF",--($F68&lt;INDEX(Tasks[End Date],AH68)),IF($I68="SF",--($F68&lt;INDEX(Tasks[Start Date],AH68)),0)))),0),IF(AI68&gt;0,IF($I68="FS",--($E68&lt;INDEX(Tasks[End Date],AI68)+IF(INDEX(Tasks[Milestone],AI68)="Yes",0,1)),IF($I68="SS",--($E68&lt;INDEX(Tasks[Start Date],AI68)),IF($I68="FF",--($F68&lt;INDEX(Tasks[End Date],AI68)),IF($I68="SF",--($F68&lt;INDEX(Tasks[Start Date],AI68)),0)))),0),IF(AJ68&gt;0,IF($I68="FS",--($E68&lt;INDEX(Tasks[End Date],AJ68)+IF(INDEX(Tasks[Milestone],AJ68)="Yes",0,1)),IF($I68="SS",--($E68&lt;INDEX(Tasks[Start Date],AJ68)),IF($I68="FF",--($F68&lt;INDEX(Tasks[End Date],AJ68)),IF($I68="SF",--($F68&lt;INDEX(Tasks[Start Date],AJ68)),0)))),0)))</ns0:f>
        <ns0:v>0</ns0:v>
      </ns0:c>
      <ns0:c r="AM68" t="n">
        <ns0:f>IF(AND(A68&lt;&gt;"",AK68=0,EP68=0),1,0)</ns0:f>
        <ns0:v>0</ns0:v>
      </ns0:c>
      <ns0:c r="AN68" t="str">
        <ns0:f>IF(OR(A68="",B68=""),"",IF(COUNTIFS($B$7:B68,B68)=1,MAX($AN$6:AN67)+1,""))</ns0:f>
      </ns0:c>
      <ns0:c r="AO68" t="n">
        <ns0:f>IF(AND(A68&lt;&gt;"",J68="No",N68&lt;1,E68&gt;=AsOfDate),E68+ROW()/10000,1E+9)</ns0:f>
        <ns0:v>1000000000</ns0:v>
      </ns0:c>
      <ns0:c r="AP68" t="n">
        <ns0:f>IF(AND(A68&lt;&gt;"",J68="Yes",N68&lt;1,E68&gt;=AsOfDate),E68+ROW()/10000,1E+9)</ns0:f>
        <ns0:v>1000000000</ns0:v>
      </ns0:c>
      <ns0:c r="AQ68" t="n">
        <ns0:f>IF(AND(A68&lt;&gt;"",J68="No",N68&lt;1,F68&gt;=AsOfDate,F68&lt;=AsOfDate+7),F68+ROW()/10000,1E+9)</ns0:f>
        <ns0:v>1000000000</ns0:v>
      </ns0:c>
      <ns0:c r="AR68" t="n">
        <ns0:f>IF(AND(A68&lt;&gt;"",OR(O68&lt;&gt;"On track",Q68="Delayed")),ROW(),1E+9)</ns0:f>
        <ns0:v>1000000000</ns0:v>
      </ns0:c>
      <ns0:c r="AS68" t="str">
        <ns0:f>IF(A68="","",";"&amp;K68&amp;";")</ns0:f>
      </ns0:c>
      <ns0:c r="AT68" t="n">
        <ns0:f>IF(A68="",1,--(T68=0))</ns0:f>
        <ns0:v>1</ns0:v>
      </ns0:c>
      <ns0:c r="AU68" t="n">
        <ns0:f>IF($A68="",1,IF(AT68=1,1,--AND(IF($AC68&gt;0,INDEX(AT$7:AT$106,$AC68),1),IF($AD68&gt;0,INDEX(AT$7:AT$106,$AD68),1),IF($AE68&gt;0,INDEX(AT$7:AT$106,$AE68),1),IF($AF68&gt;0,INDEX(AT$7:AT$106,$AF68),1),IF($AG68&gt;0,INDEX(AT$7:AT$106,$AG68),1),IF($AH68&gt;0,INDEX(AT$7:AT$106,$AH68),1),IF($AI68&gt;0,INDEX(AT$7:AT$106,$AI68),1),IF($AJ68&gt;0,INDEX(AT$7:AT$106,$AJ68),1))))</ns0:f>
        <ns0:v>1</ns0:v>
      </ns0:c>
      <ns0:c r="AV68" t="n">
        <ns0:f>IF($A68="",1,IF(AU68=1,1,--AND(IF($AC68&gt;0,INDEX(AU$7:AU$106,$AC68),1),IF($AD68&gt;0,INDEX(AU$7:AU$106,$AD68),1),IF($AE68&gt;0,INDEX(AU$7:AU$106,$AE68),1),IF($AF68&gt;0,INDEX(AU$7:AU$106,$AF68),1),IF($AG68&gt;0,INDEX(AU$7:AU$106,$AG68),1),IF($AH68&gt;0,INDEX(AU$7:AU$106,$AH68),1),IF($AI68&gt;0,INDEX(AU$7:AU$106,$AI68),1),IF($AJ68&gt;0,INDEX(AU$7:AU$106,$AJ68),1))))</ns0:f>
        <ns0:v>1</ns0:v>
      </ns0:c>
      <ns0:c r="AW68" t="n">
        <ns0:f>IF($A68="",1,IF(AV68=1,1,--AND(IF($AC68&gt;0,INDEX(AV$7:AV$106,$AC68),1),IF($AD68&gt;0,INDEX(AV$7:AV$106,$AD68),1),IF($AE68&gt;0,INDEX(AV$7:AV$106,$AE68),1),IF($AF68&gt;0,INDEX(AV$7:AV$106,$AF68),1),IF($AG68&gt;0,INDEX(AV$7:AV$106,$AG68),1),IF($AH68&gt;0,INDEX(AV$7:AV$106,$AH68),1),IF($AI68&gt;0,INDEX(AV$7:AV$106,$AI68),1),IF($AJ68&gt;0,INDEX(AV$7:AV$106,$AJ68),1))))</ns0:f>
        <ns0:v>1</ns0:v>
      </ns0:c>
      <ns0:c r="AX68" t="n">
        <ns0:f>IF($A68="",1,IF(AW68=1,1,--AND(IF($AC68&gt;0,INDEX(AW$7:AW$106,$AC68),1),IF($AD68&gt;0,INDEX(AW$7:AW$106,$AD68),1),IF($AE68&gt;0,INDEX(AW$7:AW$106,$AE68),1),IF($AF68&gt;0,INDEX(AW$7:AW$106,$AF68),1),IF($AG68&gt;0,INDEX(AW$7:AW$106,$AG68),1),IF($AH68&gt;0,INDEX(AW$7:AW$106,$AH68),1),IF($AI68&gt;0,INDEX(AW$7:AW$106,$AI68),1),IF($AJ68&gt;0,INDEX(AW$7:AW$106,$AJ68),1))))</ns0:f>
        <ns0:v>1</ns0:v>
      </ns0:c>
      <ns0:c r="AY68" t="n">
        <ns0:f>IF($A68="",1,IF(AX68=1,1,--AND(IF($AC68&gt;0,INDEX(AX$7:AX$106,$AC68),1),IF($AD68&gt;0,INDEX(AX$7:AX$106,$AD68),1),IF($AE68&gt;0,INDEX(AX$7:AX$106,$AE68),1),IF($AF68&gt;0,INDEX(AX$7:AX$106,$AF68),1),IF($AG68&gt;0,INDEX(AX$7:AX$106,$AG68),1),IF($AH68&gt;0,INDEX(AX$7:AX$106,$AH68),1),IF($AI68&gt;0,INDEX(AX$7:AX$106,$AI68),1),IF($AJ68&gt;0,INDEX(AX$7:AX$106,$AJ68),1))))</ns0:f>
        <ns0:v>1</ns0:v>
      </ns0:c>
      <ns0:c r="AZ68" t="n">
        <ns0:f>IF($A68="",1,IF(AY68=1,1,--AND(IF($AC68&gt;0,INDEX(AY$7:AY$106,$AC68),1),IF($AD68&gt;0,INDEX(AY$7:AY$106,$AD68),1),IF($AE68&gt;0,INDEX(AY$7:AY$106,$AE68),1),IF($AF68&gt;0,INDEX(AY$7:AY$106,$AF68),1),IF($AG68&gt;0,INDEX(AY$7:AY$106,$AG68),1),IF($AH68&gt;0,INDEX(AY$7:AY$106,$AH68),1),IF($AI68&gt;0,INDEX(AY$7:AY$106,$AI68),1),IF($AJ68&gt;0,INDEX(AY$7:AY$106,$AJ68),1))))</ns0:f>
        <ns0:v>1</ns0:v>
      </ns0:c>
      <ns0:c r="BA68" t="n">
        <ns0:f>IF($A68="",1,IF(AZ68=1,1,--AND(IF($AC68&gt;0,INDEX(AZ$7:AZ$106,$AC68),1),IF($AD68&gt;0,INDEX(AZ$7:AZ$106,$AD68),1),IF($AE68&gt;0,INDEX(AZ$7:AZ$106,$AE68),1),IF($AF68&gt;0,INDEX(AZ$7:AZ$106,$AF68),1),IF($AG68&gt;0,INDEX(AZ$7:AZ$106,$AG68),1),IF($AH68&gt;0,INDEX(AZ$7:AZ$106,$AH68),1),IF($AI68&gt;0,INDEX(AZ$7:AZ$106,$AI68),1),IF($AJ68&gt;0,INDEX(AZ$7:AZ$106,$AJ68),1))))</ns0:f>
        <ns0:v>1</ns0:v>
      </ns0:c>
      <ns0:c r="BB68" t="n">
        <ns0:f>IF($A68="",1,IF(BA68=1,1,--AND(IF($AC68&gt;0,INDEX(BA$7:BA$106,$AC68),1),IF($AD68&gt;0,INDEX(BA$7:BA$106,$AD68),1),IF($AE68&gt;0,INDEX(BA$7:BA$106,$AE68),1),IF($AF68&gt;0,INDEX(BA$7:BA$106,$AF68),1),IF($AG68&gt;0,INDEX(BA$7:BA$106,$AG68),1),IF($AH68&gt;0,INDEX(BA$7:BA$106,$AH68),1),IF($AI68&gt;0,INDEX(BA$7:BA$106,$AI68),1),IF($AJ68&gt;0,INDEX(BA$7:BA$106,$AJ68),1))))</ns0:f>
        <ns0:v>1</ns0:v>
      </ns0:c>
      <ns0:c r="BC68" t="n">
        <ns0:f>IF($A68="",1,IF(BB68=1,1,--AND(IF($AC68&gt;0,INDEX(BB$7:BB$106,$AC68),1),IF($AD68&gt;0,INDEX(BB$7:BB$106,$AD68),1),IF($AE68&gt;0,INDEX(BB$7:BB$106,$AE68),1),IF($AF68&gt;0,INDEX(BB$7:BB$106,$AF68),1),IF($AG68&gt;0,INDEX(BB$7:BB$106,$AG68),1),IF($AH68&gt;0,INDEX(BB$7:BB$106,$AH68),1),IF($AI68&gt;0,INDEX(BB$7:BB$106,$AI68),1),IF($AJ68&gt;0,INDEX(BB$7:BB$106,$AJ68),1))))</ns0:f>
        <ns0:v>1</ns0:v>
      </ns0:c>
      <ns0:c r="BD68" t="n">
        <ns0:f>IF($A68="",1,IF(BC68=1,1,--AND(IF($AC68&gt;0,INDEX(BC$7:BC$106,$AC68),1),IF($AD68&gt;0,INDEX(BC$7:BC$106,$AD68),1),IF($AE68&gt;0,INDEX(BC$7:BC$106,$AE68),1),IF($AF68&gt;0,INDEX(BC$7:BC$106,$AF68),1),IF($AG68&gt;0,INDEX(BC$7:BC$106,$AG68),1),IF($AH68&gt;0,INDEX(BC$7:BC$106,$AH68),1),IF($AI68&gt;0,INDEX(BC$7:BC$106,$AI68),1),IF($AJ68&gt;0,INDEX(BC$7:BC$106,$AJ68),1))))</ns0:f>
        <ns0:v>1</ns0:v>
      </ns0:c>
      <ns0:c r="BE68" t="n">
        <ns0:f>IF($A68="",1,IF(BD68=1,1,--AND(IF($AC68&gt;0,INDEX(BD$7:BD$106,$AC68),1),IF($AD68&gt;0,INDEX(BD$7:BD$106,$AD68),1),IF($AE68&gt;0,INDEX(BD$7:BD$106,$AE68),1),IF($AF68&gt;0,INDEX(BD$7:BD$106,$AF68),1),IF($AG68&gt;0,INDEX(BD$7:BD$106,$AG68),1),IF($AH68&gt;0,INDEX(BD$7:BD$106,$AH68),1),IF($AI68&gt;0,INDEX(BD$7:BD$106,$AI68),1),IF($AJ68&gt;0,INDEX(BD$7:BD$106,$AJ68),1))))</ns0:f>
        <ns0:v>1</ns0:v>
      </ns0:c>
      <ns0:c r="BF68" t="n">
        <ns0:f>IF($A68="",1,IF(BE68=1,1,--AND(IF($AC68&gt;0,INDEX(BE$7:BE$106,$AC68),1),IF($AD68&gt;0,INDEX(BE$7:BE$106,$AD68),1),IF($AE68&gt;0,INDEX(BE$7:BE$106,$AE68),1),IF($AF68&gt;0,INDEX(BE$7:BE$106,$AF68),1),IF($AG68&gt;0,INDEX(BE$7:BE$106,$AG68),1),IF($AH68&gt;0,INDEX(BE$7:BE$106,$AH68),1),IF($AI68&gt;0,INDEX(BE$7:BE$106,$AI68),1),IF($AJ68&gt;0,INDEX(BE$7:BE$106,$AJ68),1))))</ns0:f>
        <ns0:v>1</ns0:v>
      </ns0:c>
      <ns0:c r="BG68" t="n">
        <ns0:f>IF($A68="",1,IF(BF68=1,1,--AND(IF($AC68&gt;0,INDEX(BF$7:BF$106,$AC68),1),IF($AD68&gt;0,INDEX(BF$7:BF$106,$AD68),1),IF($AE68&gt;0,INDEX(BF$7:BF$106,$AE68),1),IF($AF68&gt;0,INDEX(BF$7:BF$106,$AF68),1),IF($AG68&gt;0,INDEX(BF$7:BF$106,$AG68),1),IF($AH68&gt;0,INDEX(BF$7:BF$106,$AH68),1),IF($AI68&gt;0,INDEX(BF$7:BF$106,$AI68),1),IF($AJ68&gt;0,INDEX(BF$7:BF$106,$AJ68),1))))</ns0:f>
        <ns0:v>1</ns0:v>
      </ns0:c>
      <ns0:c r="BH68" t="n">
        <ns0:f>IF($A68="",1,IF(BG68=1,1,--AND(IF($AC68&gt;0,INDEX(BG$7:BG$106,$AC68),1),IF($AD68&gt;0,INDEX(BG$7:BG$106,$AD68),1),IF($AE68&gt;0,INDEX(BG$7:BG$106,$AE68),1),IF($AF68&gt;0,INDEX(BG$7:BG$106,$AF68),1),IF($AG68&gt;0,INDEX(BG$7:BG$106,$AG68),1),IF($AH68&gt;0,INDEX(BG$7:BG$106,$AH68),1),IF($AI68&gt;0,INDEX(BG$7:BG$106,$AI68),1),IF($AJ68&gt;0,INDEX(BG$7:BG$106,$AJ68),1))))</ns0:f>
        <ns0:v>1</ns0:v>
      </ns0:c>
      <ns0:c r="BI68" t="n">
        <ns0:f>IF($A68="",1,IF(BH68=1,1,--AND(IF($AC68&gt;0,INDEX(BH$7:BH$106,$AC68),1),IF($AD68&gt;0,INDEX(BH$7:BH$106,$AD68),1),IF($AE68&gt;0,INDEX(BH$7:BH$106,$AE68),1),IF($AF68&gt;0,INDEX(BH$7:BH$106,$AF68),1),IF($AG68&gt;0,INDEX(BH$7:BH$106,$AG68),1),IF($AH68&gt;0,INDEX(BH$7:BH$106,$AH68),1),IF($AI68&gt;0,INDEX(BH$7:BH$106,$AI68),1),IF($AJ68&gt;0,INDEX(BH$7:BH$106,$AJ68),1))))</ns0:f>
        <ns0:v>1</ns0:v>
      </ns0:c>
      <ns0:c r="BJ68" t="n">
        <ns0:f>IF($A68="",1,IF(BI68=1,1,--AND(IF($AC68&gt;0,INDEX(BI$7:BI$106,$AC68),1),IF($AD68&gt;0,INDEX(BI$7:BI$106,$AD68),1),IF($AE68&gt;0,INDEX(BI$7:BI$106,$AE68),1),IF($AF68&gt;0,INDEX(BI$7:BI$106,$AF68),1),IF($AG68&gt;0,INDEX(BI$7:BI$106,$AG68),1),IF($AH68&gt;0,INDEX(BI$7:BI$106,$AH68),1),IF($AI68&gt;0,INDEX(BI$7:BI$106,$AI68),1),IF($AJ68&gt;0,INDEX(BI$7:BI$106,$AJ68),1))))</ns0:f>
        <ns0:v>1</ns0:v>
      </ns0:c>
      <ns0:c r="BK68" t="n">
        <ns0:f>IF($A68="",1,IF(BJ68=1,1,--AND(IF($AC68&gt;0,INDEX(BJ$7:BJ$106,$AC68),1),IF($AD68&gt;0,INDEX(BJ$7:BJ$106,$AD68),1),IF($AE68&gt;0,INDEX(BJ$7:BJ$106,$AE68),1),IF($AF68&gt;0,INDEX(BJ$7:BJ$106,$AF68),1),IF($AG68&gt;0,INDEX(BJ$7:BJ$106,$AG68),1),IF($AH68&gt;0,INDEX(BJ$7:BJ$106,$AH68),1),IF($AI68&gt;0,INDEX(BJ$7:BJ$106,$AI68),1),IF($AJ68&gt;0,INDEX(BJ$7:BJ$106,$AJ68),1))))</ns0:f>
        <ns0:v>1</ns0:v>
      </ns0:c>
      <ns0:c r="BL68" t="n">
        <ns0:f>IF($A68="",1,IF(BK68=1,1,--AND(IF($AC68&gt;0,INDEX(BK$7:BK$106,$AC68),1),IF($AD68&gt;0,INDEX(BK$7:BK$106,$AD68),1),IF($AE68&gt;0,INDEX(BK$7:BK$106,$AE68),1),IF($AF68&gt;0,INDEX(BK$7:BK$106,$AF68),1),IF($AG68&gt;0,INDEX(BK$7:BK$106,$AG68),1),IF($AH68&gt;0,INDEX(BK$7:BK$106,$AH68),1),IF($AI68&gt;0,INDEX(BK$7:BK$106,$AI68),1),IF($AJ68&gt;0,INDEX(BK$7:BK$106,$AJ68),1))))</ns0:f>
        <ns0:v>1</ns0:v>
      </ns0:c>
      <ns0:c r="BM68" t="n">
        <ns0:f>IF($A68="",1,IF(BL68=1,1,--AND(IF($AC68&gt;0,INDEX(BL$7:BL$106,$AC68),1),IF($AD68&gt;0,INDEX(BL$7:BL$106,$AD68),1),IF($AE68&gt;0,INDEX(BL$7:BL$106,$AE68),1),IF($AF68&gt;0,INDEX(BL$7:BL$106,$AF68),1),IF($AG68&gt;0,INDEX(BL$7:BL$106,$AG68),1),IF($AH68&gt;0,INDEX(BL$7:BL$106,$AH68),1),IF($AI68&gt;0,INDEX(BL$7:BL$106,$AI68),1),IF($AJ68&gt;0,INDEX(BL$7:BL$106,$AJ68),1))))</ns0:f>
        <ns0:v>1</ns0:v>
      </ns0:c>
      <ns0:c r="BN68" t="n">
        <ns0:f>IF($A68="",1,IF(BM68=1,1,--AND(IF($AC68&gt;0,INDEX(BM$7:BM$106,$AC68),1),IF($AD68&gt;0,INDEX(BM$7:BM$106,$AD68),1),IF($AE68&gt;0,INDEX(BM$7:BM$106,$AE68),1),IF($AF68&gt;0,INDEX(BM$7:BM$106,$AF68),1),IF($AG68&gt;0,INDEX(BM$7:BM$106,$AG68),1),IF($AH68&gt;0,INDEX(BM$7:BM$106,$AH68),1),IF($AI68&gt;0,INDEX(BM$7:BM$106,$AI68),1),IF($AJ68&gt;0,INDEX(BM$7:BM$106,$AJ68),1))))</ns0:f>
        <ns0:v>1</ns0:v>
      </ns0:c>
      <ns0:c r="BO68" t="n">
        <ns0:f>IF($A68="",1,IF(BN68=1,1,--AND(IF($AC68&gt;0,INDEX(BN$7:BN$106,$AC68),1),IF($AD68&gt;0,INDEX(BN$7:BN$106,$AD68),1),IF($AE68&gt;0,INDEX(BN$7:BN$106,$AE68),1),IF($AF68&gt;0,INDEX(BN$7:BN$106,$AF68),1),IF($AG68&gt;0,INDEX(BN$7:BN$106,$AG68),1),IF($AH68&gt;0,INDEX(BN$7:BN$106,$AH68),1),IF($AI68&gt;0,INDEX(BN$7:BN$106,$AI68),1),IF($AJ68&gt;0,INDEX(BN$7:BN$106,$AJ68),1))))</ns0:f>
        <ns0:v>1</ns0:v>
      </ns0:c>
      <ns0:c r="BP68" t="n">
        <ns0:f>IF($A68="",1,IF(BO68=1,1,--AND(IF($AC68&gt;0,INDEX(BO$7:BO$106,$AC68),1),IF($AD68&gt;0,INDEX(BO$7:BO$106,$AD68),1),IF($AE68&gt;0,INDEX(BO$7:BO$106,$AE68),1),IF($AF68&gt;0,INDEX(BO$7:BO$106,$AF68),1),IF($AG68&gt;0,INDEX(BO$7:BO$106,$AG68),1),IF($AH68&gt;0,INDEX(BO$7:BO$106,$AH68),1),IF($AI68&gt;0,INDEX(BO$7:BO$106,$AI68),1),IF($AJ68&gt;0,INDEX(BO$7:BO$106,$AJ68),1))))</ns0:f>
        <ns0:v>1</ns0:v>
      </ns0:c>
      <ns0:c r="BQ68" t="n">
        <ns0:f>IF($A68="",1,IF(BP68=1,1,--AND(IF($AC68&gt;0,INDEX(BP$7:BP$106,$AC68),1),IF($AD68&gt;0,INDEX(BP$7:BP$106,$AD68),1),IF($AE68&gt;0,INDEX(BP$7:BP$106,$AE68),1),IF($AF68&gt;0,INDEX(BP$7:BP$106,$AF68),1),IF($AG68&gt;0,INDEX(BP$7:BP$106,$AG68),1),IF($AH68&gt;0,INDEX(BP$7:BP$106,$AH68),1),IF($AI68&gt;0,INDEX(BP$7:BP$106,$AI68),1),IF($AJ68&gt;0,INDEX(BP$7:BP$106,$AJ68),1))))</ns0:f>
        <ns0:v>1</ns0:v>
      </ns0:c>
      <ns0:c r="BR68" t="n">
        <ns0:f>IF($A68="",1,IF(BQ68=1,1,--AND(IF($AC68&gt;0,INDEX(BQ$7:BQ$106,$AC68),1),IF($AD68&gt;0,INDEX(BQ$7:BQ$106,$AD68),1),IF($AE68&gt;0,INDEX(BQ$7:BQ$106,$AE68),1),IF($AF68&gt;0,INDEX(BQ$7:BQ$106,$AF68),1),IF($AG68&gt;0,INDEX(BQ$7:BQ$106,$AG68),1),IF($AH68&gt;0,INDEX(BQ$7:BQ$106,$AH68),1),IF($AI68&gt;0,INDEX(BQ$7:BQ$106,$AI68),1),IF($AJ68&gt;0,INDEX(BQ$7:BQ$106,$AJ68),1))))</ns0:f>
        <ns0:v>1</ns0:v>
      </ns0:c>
      <ns0:c r="BS68" t="n">
        <ns0:f>IF($A68="",1,IF(BR68=1,1,--AND(IF($AC68&gt;0,INDEX(BR$7:BR$106,$AC68),1),IF($AD68&gt;0,INDEX(BR$7:BR$106,$AD68),1),IF($AE68&gt;0,INDEX(BR$7:BR$106,$AE68),1),IF($AF68&gt;0,INDEX(BR$7:BR$106,$AF68),1),IF($AG68&gt;0,INDEX(BR$7:BR$106,$AG68),1),IF($AH68&gt;0,INDEX(BR$7:BR$106,$AH68),1),IF($AI68&gt;0,INDEX(BR$7:BR$106,$AI68),1),IF($AJ68&gt;0,INDEX(BR$7:BR$106,$AJ68),1))))</ns0:f>
        <ns0:v>1</ns0:v>
      </ns0:c>
      <ns0:c r="BT68" t="n">
        <ns0:f>IF($A68="",1,IF(BS68=1,1,--AND(IF($AC68&gt;0,INDEX(BS$7:BS$106,$AC68),1),IF($AD68&gt;0,INDEX(BS$7:BS$106,$AD68),1),IF($AE68&gt;0,INDEX(BS$7:BS$106,$AE68),1),IF($AF68&gt;0,INDEX(BS$7:BS$106,$AF68),1),IF($AG68&gt;0,INDEX(BS$7:BS$106,$AG68),1),IF($AH68&gt;0,INDEX(BS$7:BS$106,$AH68),1),IF($AI68&gt;0,INDEX(BS$7:BS$106,$AI68),1),IF($AJ68&gt;0,INDEX(BS$7:BS$106,$AJ68),1))))</ns0:f>
        <ns0:v>1</ns0:v>
      </ns0:c>
      <ns0:c r="BU68" t="n">
        <ns0:f>IF($A68="",1,IF(BT68=1,1,--AND(IF($AC68&gt;0,INDEX(BT$7:BT$106,$AC68),1),IF($AD68&gt;0,INDEX(BT$7:BT$106,$AD68),1),IF($AE68&gt;0,INDEX(BT$7:BT$106,$AE68),1),IF($AF68&gt;0,INDEX(BT$7:BT$106,$AF68),1),IF($AG68&gt;0,INDEX(BT$7:BT$106,$AG68),1),IF($AH68&gt;0,INDEX(BT$7:BT$106,$AH68),1),IF($AI68&gt;0,INDEX(BT$7:BT$106,$AI68),1),IF($AJ68&gt;0,INDEX(BT$7:BT$106,$AJ68),1))))</ns0:f>
        <ns0:v>1</ns0:v>
      </ns0:c>
      <ns0:c r="BV68" t="n">
        <ns0:f>IF($A68="",1,IF(BU68=1,1,--AND(IF($AC68&gt;0,INDEX(BU$7:BU$106,$AC68),1),IF($AD68&gt;0,INDEX(BU$7:BU$106,$AD68),1),IF($AE68&gt;0,INDEX(BU$7:BU$106,$AE68),1),IF($AF68&gt;0,INDEX(BU$7:BU$106,$AF68),1),IF($AG68&gt;0,INDEX(BU$7:BU$106,$AG68),1),IF($AH68&gt;0,INDEX(BU$7:BU$106,$AH68),1),IF($AI68&gt;0,INDEX(BU$7:BU$106,$AI68),1),IF($AJ68&gt;0,INDEX(BU$7:BU$106,$AJ68),1))))</ns0:f>
        <ns0:v>1</ns0:v>
      </ns0:c>
      <ns0:c r="BW68" t="n">
        <ns0:f>IF($A68="",1,IF(BV68=1,1,--AND(IF($AC68&gt;0,INDEX(BV$7:BV$106,$AC68),1),IF($AD68&gt;0,INDEX(BV$7:BV$106,$AD68),1),IF($AE68&gt;0,INDEX(BV$7:BV$106,$AE68),1),IF($AF68&gt;0,INDEX(BV$7:BV$106,$AF68),1),IF($AG68&gt;0,INDEX(BV$7:BV$106,$AG68),1),IF($AH68&gt;0,INDEX(BV$7:BV$106,$AH68),1),IF($AI68&gt;0,INDEX(BV$7:BV$106,$AI68),1),IF($AJ68&gt;0,INDEX(BV$7:BV$106,$AJ68),1))))</ns0:f>
        <ns0:v>1</ns0:v>
      </ns0:c>
      <ns0:c r="BX68" t="n">
        <ns0:f>IF($A68="",1,IF(BW68=1,1,--AND(IF($AC68&gt;0,INDEX(BW$7:BW$106,$AC68),1),IF($AD68&gt;0,INDEX(BW$7:BW$106,$AD68),1),IF($AE68&gt;0,INDEX(BW$7:BW$106,$AE68),1),IF($AF68&gt;0,INDEX(BW$7:BW$106,$AF68),1),IF($AG68&gt;0,INDEX(BW$7:BW$106,$AG68),1),IF($AH68&gt;0,INDEX(BW$7:BW$106,$AH68),1),IF($AI68&gt;0,INDEX(BW$7:BW$106,$AI68),1),IF($AJ68&gt;0,INDEX(BW$7:BW$106,$AJ68),1))))</ns0:f>
        <ns0:v>1</ns0:v>
      </ns0:c>
      <ns0:c r="BY68" t="n">
        <ns0:f>IF($A68="",1,IF(BX68=1,1,--AND(IF($AC68&gt;0,INDEX(BX$7:BX$106,$AC68),1),IF($AD68&gt;0,INDEX(BX$7:BX$106,$AD68),1),IF($AE68&gt;0,INDEX(BX$7:BX$106,$AE68),1),IF($AF68&gt;0,INDEX(BX$7:BX$106,$AF68),1),IF($AG68&gt;0,INDEX(BX$7:BX$106,$AG68),1),IF($AH68&gt;0,INDEX(BX$7:BX$106,$AH68),1),IF($AI68&gt;0,INDEX(BX$7:BX$106,$AI68),1),IF($AJ68&gt;0,INDEX(BX$7:BX$106,$AJ68),1))))</ns0:f>
        <ns0:v>1</ns0:v>
      </ns0:c>
      <ns0:c r="BZ68" t="n">
        <ns0:f>IF($A68="",1,IF(BY68=1,1,--AND(IF($AC68&gt;0,INDEX(BY$7:BY$106,$AC68),1),IF($AD68&gt;0,INDEX(BY$7:BY$106,$AD68),1),IF($AE68&gt;0,INDEX(BY$7:BY$106,$AE68),1),IF($AF68&gt;0,INDEX(BY$7:BY$106,$AF68),1),IF($AG68&gt;0,INDEX(BY$7:BY$106,$AG68),1),IF($AH68&gt;0,INDEX(BY$7:BY$106,$AH68),1),IF($AI68&gt;0,INDEX(BY$7:BY$106,$AI68),1),IF($AJ68&gt;0,INDEX(BY$7:BY$106,$AJ68),1))))</ns0:f>
        <ns0:v>1</ns0:v>
      </ns0:c>
      <ns0:c r="CA68" t="n">
        <ns0:f>IF($A68="",1,IF(BZ68=1,1,--AND(IF($AC68&gt;0,INDEX(BZ$7:BZ$106,$AC68),1),IF($AD68&gt;0,INDEX(BZ$7:BZ$106,$AD68),1),IF($AE68&gt;0,INDEX(BZ$7:BZ$106,$AE68),1),IF($AF68&gt;0,INDEX(BZ$7:BZ$106,$AF68),1),IF($AG68&gt;0,INDEX(BZ$7:BZ$106,$AG68),1),IF($AH68&gt;0,INDEX(BZ$7:BZ$106,$AH68),1),IF($AI68&gt;0,INDEX(BZ$7:BZ$106,$AI68),1),IF($AJ68&gt;0,INDEX(BZ$7:BZ$106,$AJ68),1))))</ns0:f>
        <ns0:v>1</ns0:v>
      </ns0:c>
      <ns0:c r="CB68" t="n">
        <ns0:f>IF($A68="",1,IF(CA68=1,1,--AND(IF($AC68&gt;0,INDEX(CA$7:CA$106,$AC68),1),IF($AD68&gt;0,INDEX(CA$7:CA$106,$AD68),1),IF($AE68&gt;0,INDEX(CA$7:CA$106,$AE68),1),IF($AF68&gt;0,INDEX(CA$7:CA$106,$AF68),1),IF($AG68&gt;0,INDEX(CA$7:CA$106,$AG68),1),IF($AH68&gt;0,INDEX(CA$7:CA$106,$AH68),1),IF($AI68&gt;0,INDEX(CA$7:CA$106,$AI68),1),IF($AJ68&gt;0,INDEX(CA$7:CA$106,$AJ68),1))))</ns0:f>
        <ns0:v>1</ns0:v>
      </ns0:c>
      <ns0:c r="CC68" t="n">
        <ns0:f>IF($A68="",1,IF(CB68=1,1,--AND(IF($AC68&gt;0,INDEX(CB$7:CB$106,$AC68),1),IF($AD68&gt;0,INDEX(CB$7:CB$106,$AD68),1),IF($AE68&gt;0,INDEX(CB$7:CB$106,$AE68),1),IF($AF68&gt;0,INDEX(CB$7:CB$106,$AF68),1),IF($AG68&gt;0,INDEX(CB$7:CB$106,$AG68),1),IF($AH68&gt;0,INDEX(CB$7:CB$106,$AH68),1),IF($AI68&gt;0,INDEX(CB$7:CB$106,$AI68),1),IF($AJ68&gt;0,INDEX(CB$7:CB$106,$AJ68),1))))</ns0:f>
        <ns0:v>1</ns0:v>
      </ns0:c>
      <ns0:c r="CD68" t="n">
        <ns0:f>IF($A68="",1,IF(CC68=1,1,--AND(IF($AC68&gt;0,INDEX(CC$7:CC$106,$AC68),1),IF($AD68&gt;0,INDEX(CC$7:CC$106,$AD68),1),IF($AE68&gt;0,INDEX(CC$7:CC$106,$AE68),1),IF($AF68&gt;0,INDEX(CC$7:CC$106,$AF68),1),IF($AG68&gt;0,INDEX(CC$7:CC$106,$AG68),1),IF($AH68&gt;0,INDEX(CC$7:CC$106,$AH68),1),IF($AI68&gt;0,INDEX(CC$7:CC$106,$AI68),1),IF($AJ68&gt;0,INDEX(CC$7:CC$106,$AJ68),1))))</ns0:f>
        <ns0:v>1</ns0:v>
      </ns0:c>
      <ns0:c r="CE68" t="n">
        <ns0:f>IF($A68="",1,IF(CD68=1,1,--AND(IF($AC68&gt;0,INDEX(CD$7:CD$106,$AC68),1),IF($AD68&gt;0,INDEX(CD$7:CD$106,$AD68),1),IF($AE68&gt;0,INDEX(CD$7:CD$106,$AE68),1),IF($AF68&gt;0,INDEX(CD$7:CD$106,$AF68),1),IF($AG68&gt;0,INDEX(CD$7:CD$106,$AG68),1),IF($AH68&gt;0,INDEX(CD$7:CD$106,$AH68),1),IF($AI68&gt;0,INDEX(CD$7:CD$106,$AI68),1),IF($AJ68&gt;0,INDEX(CD$7:CD$106,$AJ68),1))))</ns0:f>
        <ns0:v>1</ns0:v>
      </ns0:c>
      <ns0:c r="CF68" t="n">
        <ns0:f>IF($A68="",1,IF(CE68=1,1,--AND(IF($AC68&gt;0,INDEX(CE$7:CE$106,$AC68),1),IF($AD68&gt;0,INDEX(CE$7:CE$106,$AD68),1),IF($AE68&gt;0,INDEX(CE$7:CE$106,$AE68),1),IF($AF68&gt;0,INDEX(CE$7:CE$106,$AF68),1),IF($AG68&gt;0,INDEX(CE$7:CE$106,$AG68),1),IF($AH68&gt;0,INDEX(CE$7:CE$106,$AH68),1),IF($AI68&gt;0,INDEX(CE$7:CE$106,$AI68),1),IF($AJ68&gt;0,INDEX(CE$7:CE$106,$AJ68),1))))</ns0:f>
        <ns0:v>1</ns0:v>
      </ns0:c>
      <ns0:c r="CG68" t="n">
        <ns0:f>IF($A68="",1,IF(CF68=1,1,--AND(IF($AC68&gt;0,INDEX(CF$7:CF$106,$AC68),1),IF($AD68&gt;0,INDEX(CF$7:CF$106,$AD68),1),IF($AE68&gt;0,INDEX(CF$7:CF$106,$AE68),1),IF($AF68&gt;0,INDEX(CF$7:CF$106,$AF68),1),IF($AG68&gt;0,INDEX(CF$7:CF$106,$AG68),1),IF($AH68&gt;0,INDEX(CF$7:CF$106,$AH68),1),IF($AI68&gt;0,INDEX(CF$7:CF$106,$AI68),1),IF($AJ68&gt;0,INDEX(CF$7:CF$106,$AJ68),1))))</ns0:f>
        <ns0:v>1</ns0:v>
      </ns0:c>
      <ns0:c r="CH68" t="n">
        <ns0:f>IF($A68="",1,IF(CG68=1,1,--AND(IF($AC68&gt;0,INDEX(CG$7:CG$106,$AC68),1),IF($AD68&gt;0,INDEX(CG$7:CG$106,$AD68),1),IF($AE68&gt;0,INDEX(CG$7:CG$106,$AE68),1),IF($AF68&gt;0,INDEX(CG$7:CG$106,$AF68),1),IF($AG68&gt;0,INDEX(CG$7:CG$106,$AG68),1),IF($AH68&gt;0,INDEX(CG$7:CG$106,$AH68),1),IF($AI68&gt;0,INDEX(CG$7:CG$106,$AI68),1),IF($AJ68&gt;0,INDEX(CG$7:CG$106,$AJ68),1))))</ns0:f>
        <ns0:v>1</ns0:v>
      </ns0:c>
      <ns0:c r="CI68" t="n">
        <ns0:f>IF($A68="",1,IF(CH68=1,1,--AND(IF($AC68&gt;0,INDEX(CH$7:CH$106,$AC68),1),IF($AD68&gt;0,INDEX(CH$7:CH$106,$AD68),1),IF($AE68&gt;0,INDEX(CH$7:CH$106,$AE68),1),IF($AF68&gt;0,INDEX(CH$7:CH$106,$AF68),1),IF($AG68&gt;0,INDEX(CH$7:CH$106,$AG68),1),IF($AH68&gt;0,INDEX(CH$7:CH$106,$AH68),1),IF($AI68&gt;0,INDEX(CH$7:CH$106,$AI68),1),IF($AJ68&gt;0,INDEX(CH$7:CH$106,$AJ68),1))))</ns0:f>
        <ns0:v>1</ns0:v>
      </ns0:c>
      <ns0:c r="CJ68" t="n">
        <ns0:f>IF($A68="",1,IF(CI68=1,1,--AND(IF($AC68&gt;0,INDEX(CI$7:CI$106,$AC68),1),IF($AD68&gt;0,INDEX(CI$7:CI$106,$AD68),1),IF($AE68&gt;0,INDEX(CI$7:CI$106,$AE68),1),IF($AF68&gt;0,INDEX(CI$7:CI$106,$AF68),1),IF($AG68&gt;0,INDEX(CI$7:CI$106,$AG68),1),IF($AH68&gt;0,INDEX(CI$7:CI$106,$AH68),1),IF($AI68&gt;0,INDEX(CI$7:CI$106,$AI68),1),IF($AJ68&gt;0,INDEX(CI$7:CI$106,$AJ68),1))))</ns0:f>
        <ns0:v>1</ns0:v>
      </ns0:c>
      <ns0:c r="CK68" t="n">
        <ns0:f>IF($A68="",1,IF(CJ68=1,1,--AND(IF($AC68&gt;0,INDEX(CJ$7:CJ$106,$AC68),1),IF($AD68&gt;0,INDEX(CJ$7:CJ$106,$AD68),1),IF($AE68&gt;0,INDEX(CJ$7:CJ$106,$AE68),1),IF($AF68&gt;0,INDEX(CJ$7:CJ$106,$AF68),1),IF($AG68&gt;0,INDEX(CJ$7:CJ$106,$AG68),1),IF($AH68&gt;0,INDEX(CJ$7:CJ$106,$AH68),1),IF($AI68&gt;0,INDEX(CJ$7:CJ$106,$AI68),1),IF($AJ68&gt;0,INDEX(CJ$7:CJ$106,$AJ68),1))))</ns0:f>
        <ns0:v>1</ns0:v>
      </ns0:c>
      <ns0:c r="CL68" t="n">
        <ns0:f>IF($A68="",1,IF(CK68=1,1,--AND(IF($AC68&gt;0,INDEX(CK$7:CK$106,$AC68),1),IF($AD68&gt;0,INDEX(CK$7:CK$106,$AD68),1),IF($AE68&gt;0,INDEX(CK$7:CK$106,$AE68),1),IF($AF68&gt;0,INDEX(CK$7:CK$106,$AF68),1),IF($AG68&gt;0,INDEX(CK$7:CK$106,$AG68),1),IF($AH68&gt;0,INDEX(CK$7:CK$106,$AH68),1),IF($AI68&gt;0,INDEX(CK$7:CK$106,$AI68),1),IF($AJ68&gt;0,INDEX(CK$7:CK$106,$AJ68),1))))</ns0:f>
        <ns0:v>1</ns0:v>
      </ns0:c>
      <ns0:c r="CM68" t="n">
        <ns0:f>IF($A68="",1,IF(CL68=1,1,--AND(IF($AC68&gt;0,INDEX(CL$7:CL$106,$AC68),1),IF($AD68&gt;0,INDEX(CL$7:CL$106,$AD68),1),IF($AE68&gt;0,INDEX(CL$7:CL$106,$AE68),1),IF($AF68&gt;0,INDEX(CL$7:CL$106,$AF68),1),IF($AG68&gt;0,INDEX(CL$7:CL$106,$AG68),1),IF($AH68&gt;0,INDEX(CL$7:CL$106,$AH68),1),IF($AI68&gt;0,INDEX(CL$7:CL$106,$AI68),1),IF($AJ68&gt;0,INDEX(CL$7:CL$106,$AJ68),1))))</ns0:f>
        <ns0:v>1</ns0:v>
      </ns0:c>
      <ns0:c r="CN68" t="n">
        <ns0:f>IF($A68="",1,IF(CM68=1,1,--AND(IF($AC68&gt;0,INDEX(CM$7:CM$106,$AC68),1),IF($AD68&gt;0,INDEX(CM$7:CM$106,$AD68),1),IF($AE68&gt;0,INDEX(CM$7:CM$106,$AE68),1),IF($AF68&gt;0,INDEX(CM$7:CM$106,$AF68),1),IF($AG68&gt;0,INDEX(CM$7:CM$106,$AG68),1),IF($AH68&gt;0,INDEX(CM$7:CM$106,$AH68),1),IF($AI68&gt;0,INDEX(CM$7:CM$106,$AI68),1),IF($AJ68&gt;0,INDEX(CM$7:CM$106,$AJ68),1))))</ns0:f>
        <ns0:v>1</ns0:v>
      </ns0:c>
      <ns0:c r="CO68" t="n">
        <ns0:f>IF($A68="",1,IF(CN68=1,1,--AND(IF($AC68&gt;0,INDEX(CN$7:CN$106,$AC68),1),IF($AD68&gt;0,INDEX(CN$7:CN$106,$AD68),1),IF($AE68&gt;0,INDEX(CN$7:CN$106,$AE68),1),IF($AF68&gt;0,INDEX(CN$7:CN$106,$AF68),1),IF($AG68&gt;0,INDEX(CN$7:CN$106,$AG68),1),IF($AH68&gt;0,INDEX(CN$7:CN$106,$AH68),1),IF($AI68&gt;0,INDEX(CN$7:CN$106,$AI68),1),IF($AJ68&gt;0,INDEX(CN$7:CN$106,$AJ68),1))))</ns0:f>
        <ns0:v>1</ns0:v>
      </ns0:c>
      <ns0:c r="CP68" t="n">
        <ns0:f>IF($A68="",1,IF(CO68=1,1,--AND(IF($AC68&gt;0,INDEX(CO$7:CO$106,$AC68),1),IF($AD68&gt;0,INDEX(CO$7:CO$106,$AD68),1),IF($AE68&gt;0,INDEX(CO$7:CO$106,$AE68),1),IF($AF68&gt;0,INDEX(CO$7:CO$106,$AF68),1),IF($AG68&gt;0,INDEX(CO$7:CO$106,$AG68),1),IF($AH68&gt;0,INDEX(CO$7:CO$106,$AH68),1),IF($AI68&gt;0,INDEX(CO$7:CO$106,$AI68),1),IF($AJ68&gt;0,INDEX(CO$7:CO$106,$AJ68),1))))</ns0:f>
        <ns0:v>1</ns0:v>
      </ns0:c>
      <ns0:c r="CQ68" t="n">
        <ns0:f>IF($A68="",1,IF(CP68=1,1,--AND(IF($AC68&gt;0,INDEX(CP$7:CP$106,$AC68),1),IF($AD68&gt;0,INDEX(CP$7:CP$106,$AD68),1),IF($AE68&gt;0,INDEX(CP$7:CP$106,$AE68),1),IF($AF68&gt;0,INDEX(CP$7:CP$106,$AF68),1),IF($AG68&gt;0,INDEX(CP$7:CP$106,$AG68),1),IF($AH68&gt;0,INDEX(CP$7:CP$106,$AH68),1),IF($AI68&gt;0,INDEX(CP$7:CP$106,$AI68),1),IF($AJ68&gt;0,INDEX(CP$7:CP$106,$AJ68),1))))</ns0:f>
        <ns0:v>1</ns0:v>
      </ns0:c>
      <ns0:c r="CR68" t="n">
        <ns0:f>IF($A68="",1,IF(CQ68=1,1,--AND(IF($AC68&gt;0,INDEX(CQ$7:CQ$106,$AC68),1),IF($AD68&gt;0,INDEX(CQ$7:CQ$106,$AD68),1),IF($AE68&gt;0,INDEX(CQ$7:CQ$106,$AE68),1),IF($AF68&gt;0,INDEX(CQ$7:CQ$106,$AF68),1),IF($AG68&gt;0,INDEX(CQ$7:CQ$106,$AG68),1),IF($AH68&gt;0,INDEX(CQ$7:CQ$106,$AH68),1),IF($AI68&gt;0,INDEX(CQ$7:CQ$106,$AI68),1),IF($AJ68&gt;0,INDEX(CQ$7:CQ$106,$AJ68),1))))</ns0:f>
        <ns0:v>1</ns0:v>
      </ns0:c>
      <ns0:c r="CS68" t="n">
        <ns0:f>IF($A68="",1,IF(CR68=1,1,--AND(IF($AC68&gt;0,INDEX(CR$7:CR$106,$AC68),1),IF($AD68&gt;0,INDEX(CR$7:CR$106,$AD68),1),IF($AE68&gt;0,INDEX(CR$7:CR$106,$AE68),1),IF($AF68&gt;0,INDEX(CR$7:CR$106,$AF68),1),IF($AG68&gt;0,INDEX(CR$7:CR$106,$AG68),1),IF($AH68&gt;0,INDEX(CR$7:CR$106,$AH68),1),IF($AI68&gt;0,INDEX(CR$7:CR$106,$AI68),1),IF($AJ68&gt;0,INDEX(CR$7:CR$106,$AJ68),1))))</ns0:f>
        <ns0:v>1</ns0:v>
      </ns0:c>
      <ns0:c r="CT68" t="n">
        <ns0:f>IF($A68="",1,IF(CS68=1,1,--AND(IF($AC68&gt;0,INDEX(CS$7:CS$106,$AC68),1),IF($AD68&gt;0,INDEX(CS$7:CS$106,$AD68),1),IF($AE68&gt;0,INDEX(CS$7:CS$106,$AE68),1),IF($AF68&gt;0,INDEX(CS$7:CS$106,$AF68),1),IF($AG68&gt;0,INDEX(CS$7:CS$106,$AG68),1),IF($AH68&gt;0,INDEX(CS$7:CS$106,$AH68),1),IF($AI68&gt;0,INDEX(CS$7:CS$106,$AI68),1),IF($AJ68&gt;0,INDEX(CS$7:CS$106,$AJ68),1))))</ns0:f>
        <ns0:v>1</ns0:v>
      </ns0:c>
      <ns0:c r="CU68" t="n">
        <ns0:f>IF($A68="",1,IF(CT68=1,1,--AND(IF($AC68&gt;0,INDEX(CT$7:CT$106,$AC68),1),IF($AD68&gt;0,INDEX(CT$7:CT$106,$AD68),1),IF($AE68&gt;0,INDEX(CT$7:CT$106,$AE68),1),IF($AF68&gt;0,INDEX(CT$7:CT$106,$AF68),1),IF($AG68&gt;0,INDEX(CT$7:CT$106,$AG68),1),IF($AH68&gt;0,INDEX(CT$7:CT$106,$AH68),1),IF($AI68&gt;0,INDEX(CT$7:CT$106,$AI68),1),IF($AJ68&gt;0,INDEX(CT$7:CT$106,$AJ68),1))))</ns0:f>
        <ns0:v>1</ns0:v>
      </ns0:c>
      <ns0:c r="CV68" t="n">
        <ns0:f>IF($A68="",1,IF(CU68=1,1,--AND(IF($AC68&gt;0,INDEX(CU$7:CU$106,$AC68),1),IF($AD68&gt;0,INDEX(CU$7:CU$106,$AD68),1),IF($AE68&gt;0,INDEX(CU$7:CU$106,$AE68),1),IF($AF68&gt;0,INDEX(CU$7:CU$106,$AF68),1),IF($AG68&gt;0,INDEX(CU$7:CU$106,$AG68),1),IF($AH68&gt;0,INDEX(CU$7:CU$106,$AH68),1),IF($AI68&gt;0,INDEX(CU$7:CU$106,$AI68),1),IF($AJ68&gt;0,INDEX(CU$7:CU$106,$AJ68),1))))</ns0:f>
        <ns0:v>1</ns0:v>
      </ns0:c>
      <ns0:c r="CW68" t="n">
        <ns0:f>IF($A68="",1,IF(CV68=1,1,--AND(IF($AC68&gt;0,INDEX(CV$7:CV$106,$AC68),1),IF($AD68&gt;0,INDEX(CV$7:CV$106,$AD68),1),IF($AE68&gt;0,INDEX(CV$7:CV$106,$AE68),1),IF($AF68&gt;0,INDEX(CV$7:CV$106,$AF68),1),IF($AG68&gt;0,INDEX(CV$7:CV$106,$AG68),1),IF($AH68&gt;0,INDEX(CV$7:CV$106,$AH68),1),IF($AI68&gt;0,INDEX(CV$7:CV$106,$AI68),1),IF($AJ68&gt;0,INDEX(CV$7:CV$106,$AJ68),1))))</ns0:f>
        <ns0:v>1</ns0:v>
      </ns0:c>
      <ns0:c r="CX68" t="n">
        <ns0:f>IF($A68="",1,IF(CW68=1,1,--AND(IF($AC68&gt;0,INDEX(CW$7:CW$106,$AC68),1),IF($AD68&gt;0,INDEX(CW$7:CW$106,$AD68),1),IF($AE68&gt;0,INDEX(CW$7:CW$106,$AE68),1),IF($AF68&gt;0,INDEX(CW$7:CW$106,$AF68),1),IF($AG68&gt;0,INDEX(CW$7:CW$106,$AG68),1),IF($AH68&gt;0,INDEX(CW$7:CW$106,$AH68),1),IF($AI68&gt;0,INDEX(CW$7:CW$106,$AI68),1),IF($AJ68&gt;0,INDEX(CW$7:CW$106,$AJ68),1))))</ns0:f>
        <ns0:v>1</ns0:v>
      </ns0:c>
      <ns0:c r="CY68" t="n">
        <ns0:f>IF($A68="",1,IF(CX68=1,1,--AND(IF($AC68&gt;0,INDEX(CX$7:CX$106,$AC68),1),IF($AD68&gt;0,INDEX(CX$7:CX$106,$AD68),1),IF($AE68&gt;0,INDEX(CX$7:CX$106,$AE68),1),IF($AF68&gt;0,INDEX(CX$7:CX$106,$AF68),1),IF($AG68&gt;0,INDEX(CX$7:CX$106,$AG68),1),IF($AH68&gt;0,INDEX(CX$7:CX$106,$AH68),1),IF($AI68&gt;0,INDEX(CX$7:CX$106,$AI68),1),IF($AJ68&gt;0,INDEX(CX$7:CX$106,$AJ68),1))))</ns0:f>
        <ns0:v>1</ns0:v>
      </ns0:c>
      <ns0:c r="CZ68" t="n">
        <ns0:f>IF($A68="",1,IF(CY68=1,1,--AND(IF($AC68&gt;0,INDEX(CY$7:CY$106,$AC68),1),IF($AD68&gt;0,INDEX(CY$7:CY$106,$AD68),1),IF($AE68&gt;0,INDEX(CY$7:CY$106,$AE68),1),IF($AF68&gt;0,INDEX(CY$7:CY$106,$AF68),1),IF($AG68&gt;0,INDEX(CY$7:CY$106,$AG68),1),IF($AH68&gt;0,INDEX(CY$7:CY$106,$AH68),1),IF($AI68&gt;0,INDEX(CY$7:CY$106,$AI68),1),IF($AJ68&gt;0,INDEX(CY$7:CY$106,$AJ68),1))))</ns0:f>
        <ns0:v>1</ns0:v>
      </ns0:c>
      <ns0:c r="DA68" t="n">
        <ns0:f>IF($A68="",1,IF(CZ68=1,1,--AND(IF($AC68&gt;0,INDEX(CZ$7:CZ$106,$AC68),1),IF($AD68&gt;0,INDEX(CZ$7:CZ$106,$AD68),1),IF($AE68&gt;0,INDEX(CZ$7:CZ$106,$AE68),1),IF($AF68&gt;0,INDEX(CZ$7:CZ$106,$AF68),1),IF($AG68&gt;0,INDEX(CZ$7:CZ$106,$AG68),1),IF($AH68&gt;0,INDEX(CZ$7:CZ$106,$AH68),1),IF($AI68&gt;0,INDEX(CZ$7:CZ$106,$AI68),1),IF($AJ68&gt;0,INDEX(CZ$7:CZ$106,$AJ68),1))))</ns0:f>
        <ns0:v>1</ns0:v>
      </ns0:c>
      <ns0:c r="DB68" t="n">
        <ns0:f>IF($A68="",1,IF(DA68=1,1,--AND(IF($AC68&gt;0,INDEX(DA$7:DA$106,$AC68),1),IF($AD68&gt;0,INDEX(DA$7:DA$106,$AD68),1),IF($AE68&gt;0,INDEX(DA$7:DA$106,$AE68),1),IF($AF68&gt;0,INDEX(DA$7:DA$106,$AF68),1),IF($AG68&gt;0,INDEX(DA$7:DA$106,$AG68),1),IF($AH68&gt;0,INDEX(DA$7:DA$106,$AH68),1),IF($AI68&gt;0,INDEX(DA$7:DA$106,$AI68),1),IF($AJ68&gt;0,INDEX(DA$7:DA$106,$AJ68),1))))</ns0:f>
        <ns0:v>1</ns0:v>
      </ns0:c>
      <ns0:c r="DC68" t="n">
        <ns0:f>IF($A68="",1,IF(DB68=1,1,--AND(IF($AC68&gt;0,INDEX(DB$7:DB$106,$AC68),1),IF($AD68&gt;0,INDEX(DB$7:DB$106,$AD68),1),IF($AE68&gt;0,INDEX(DB$7:DB$106,$AE68),1),IF($AF68&gt;0,INDEX(DB$7:DB$106,$AF68),1),IF($AG68&gt;0,INDEX(DB$7:DB$106,$AG68),1),IF($AH68&gt;0,INDEX(DB$7:DB$106,$AH68),1),IF($AI68&gt;0,INDEX(DB$7:DB$106,$AI68),1),IF($AJ68&gt;0,INDEX(DB$7:DB$106,$AJ68),1))))</ns0:f>
        <ns0:v>1</ns0:v>
      </ns0:c>
      <ns0:c r="DD68" t="n">
        <ns0:f>IF($A68="",1,IF(DC68=1,1,--AND(IF($AC68&gt;0,INDEX(DC$7:DC$106,$AC68),1),IF($AD68&gt;0,INDEX(DC$7:DC$106,$AD68),1),IF($AE68&gt;0,INDEX(DC$7:DC$106,$AE68),1),IF($AF68&gt;0,INDEX(DC$7:DC$106,$AF68),1),IF($AG68&gt;0,INDEX(DC$7:DC$106,$AG68),1),IF($AH68&gt;0,INDEX(DC$7:DC$106,$AH68),1),IF($AI68&gt;0,INDEX(DC$7:DC$106,$AI68),1),IF($AJ68&gt;0,INDEX(DC$7:DC$106,$AJ68),1))))</ns0:f>
        <ns0:v>1</ns0:v>
      </ns0:c>
      <ns0:c r="DE68" t="n">
        <ns0:f>IF($A68="",1,IF(DD68=1,1,--AND(IF($AC68&gt;0,INDEX(DD$7:DD$106,$AC68),1),IF($AD68&gt;0,INDEX(DD$7:DD$106,$AD68),1),IF($AE68&gt;0,INDEX(DD$7:DD$106,$AE68),1),IF($AF68&gt;0,INDEX(DD$7:DD$106,$AF68),1),IF($AG68&gt;0,INDEX(DD$7:DD$106,$AG68),1),IF($AH68&gt;0,INDEX(DD$7:DD$106,$AH68),1),IF($AI68&gt;0,INDEX(DD$7:DD$106,$AI68),1),IF($AJ68&gt;0,INDEX(DD$7:DD$106,$AJ68),1))))</ns0:f>
        <ns0:v>1</ns0:v>
      </ns0:c>
      <ns0:c r="DF68" t="n">
        <ns0:f>IF($A68="",1,IF(DE68=1,1,--AND(IF($AC68&gt;0,INDEX(DE$7:DE$106,$AC68),1),IF($AD68&gt;0,INDEX(DE$7:DE$106,$AD68),1),IF($AE68&gt;0,INDEX(DE$7:DE$106,$AE68),1),IF($AF68&gt;0,INDEX(DE$7:DE$106,$AF68),1),IF($AG68&gt;0,INDEX(DE$7:DE$106,$AG68),1),IF($AH68&gt;0,INDEX(DE$7:DE$106,$AH68),1),IF($AI68&gt;0,INDEX(DE$7:DE$106,$AI68),1),IF($AJ68&gt;0,INDEX(DE$7:DE$106,$AJ68),1))))</ns0:f>
        <ns0:v>1</ns0:v>
      </ns0:c>
      <ns0:c r="DG68" t="n">
        <ns0:f>IF($A68="",1,IF(DF68=1,1,--AND(IF($AC68&gt;0,INDEX(DF$7:DF$106,$AC68),1),IF($AD68&gt;0,INDEX(DF$7:DF$106,$AD68),1),IF($AE68&gt;0,INDEX(DF$7:DF$106,$AE68),1),IF($AF68&gt;0,INDEX(DF$7:DF$106,$AF68),1),IF($AG68&gt;0,INDEX(DF$7:DF$106,$AG68),1),IF($AH68&gt;0,INDEX(DF$7:DF$106,$AH68),1),IF($AI68&gt;0,INDEX(DF$7:DF$106,$AI68),1),IF($AJ68&gt;0,INDEX(DF$7:DF$106,$AJ68),1))))</ns0:f>
        <ns0:v>1</ns0:v>
      </ns0:c>
      <ns0:c r="DH68" t="n">
        <ns0:f>IF($A68="",1,IF(DG68=1,1,--AND(IF($AC68&gt;0,INDEX(DG$7:DG$106,$AC68),1),IF($AD68&gt;0,INDEX(DG$7:DG$106,$AD68),1),IF($AE68&gt;0,INDEX(DG$7:DG$106,$AE68),1),IF($AF68&gt;0,INDEX(DG$7:DG$106,$AF68),1),IF($AG68&gt;0,INDEX(DG$7:DG$106,$AG68),1),IF($AH68&gt;0,INDEX(DG$7:DG$106,$AH68),1),IF($AI68&gt;0,INDEX(DG$7:DG$106,$AI68),1),IF($AJ68&gt;0,INDEX(DG$7:DG$106,$AJ68),1))))</ns0:f>
        <ns0:v>1</ns0:v>
      </ns0:c>
      <ns0:c r="DI68" t="n">
        <ns0:f>IF($A68="",1,IF(DH68=1,1,--AND(IF($AC68&gt;0,INDEX(DH$7:DH$106,$AC68),1),IF($AD68&gt;0,INDEX(DH$7:DH$106,$AD68),1),IF($AE68&gt;0,INDEX(DH$7:DH$106,$AE68),1),IF($AF68&gt;0,INDEX(DH$7:DH$106,$AF68),1),IF($AG68&gt;0,INDEX(DH$7:DH$106,$AG68),1),IF($AH68&gt;0,INDEX(DH$7:DH$106,$AH68),1),IF($AI68&gt;0,INDEX(DH$7:DH$106,$AI68),1),IF($AJ68&gt;0,INDEX(DH$7:DH$106,$AJ68),1))))</ns0:f>
        <ns0:v>1</ns0:v>
      </ns0:c>
      <ns0:c r="DJ68" t="n">
        <ns0:f>IF($A68="",1,IF(DI68=1,1,--AND(IF($AC68&gt;0,INDEX(DI$7:DI$106,$AC68),1),IF($AD68&gt;0,INDEX(DI$7:DI$106,$AD68),1),IF($AE68&gt;0,INDEX(DI$7:DI$106,$AE68),1),IF($AF68&gt;0,INDEX(DI$7:DI$106,$AF68),1),IF($AG68&gt;0,INDEX(DI$7:DI$106,$AG68),1),IF($AH68&gt;0,INDEX(DI$7:DI$106,$AH68),1),IF($AI68&gt;0,INDEX(DI$7:DI$106,$AI68),1),IF($AJ68&gt;0,INDEX(DI$7:DI$106,$AJ68),1))))</ns0:f>
        <ns0:v>1</ns0:v>
      </ns0:c>
      <ns0:c r="DK68" t="n">
        <ns0:f>IF($A68="",1,IF(DJ68=1,1,--AND(IF($AC68&gt;0,INDEX(DJ$7:DJ$106,$AC68),1),IF($AD68&gt;0,INDEX(DJ$7:DJ$106,$AD68),1),IF($AE68&gt;0,INDEX(DJ$7:DJ$106,$AE68),1),IF($AF68&gt;0,INDEX(DJ$7:DJ$106,$AF68),1),IF($AG68&gt;0,INDEX(DJ$7:DJ$106,$AG68),1),IF($AH68&gt;0,INDEX(DJ$7:DJ$106,$AH68),1),IF($AI68&gt;0,INDEX(DJ$7:DJ$106,$AI68),1),IF($AJ68&gt;0,INDEX(DJ$7:DJ$106,$AJ68),1))))</ns0:f>
        <ns0:v>1</ns0:v>
      </ns0:c>
      <ns0:c r="DL68" t="n">
        <ns0:f>IF($A68="",1,IF(DK68=1,1,--AND(IF($AC68&gt;0,INDEX(DK$7:DK$106,$AC68),1),IF($AD68&gt;0,INDEX(DK$7:DK$106,$AD68),1),IF($AE68&gt;0,INDEX(DK$7:DK$106,$AE68),1),IF($AF68&gt;0,INDEX(DK$7:DK$106,$AF68),1),IF($AG68&gt;0,INDEX(DK$7:DK$106,$AG68),1),IF($AH68&gt;0,INDEX(DK$7:DK$106,$AH68),1),IF($AI68&gt;0,INDEX(DK$7:DK$106,$AI68),1),IF($AJ68&gt;0,INDEX(DK$7:DK$106,$AJ68),1))))</ns0:f>
        <ns0:v>1</ns0:v>
      </ns0:c>
      <ns0:c r="DM68" t="n">
        <ns0:f>IF($A68="",1,IF(DL68=1,1,--AND(IF($AC68&gt;0,INDEX(DL$7:DL$106,$AC68),1),IF($AD68&gt;0,INDEX(DL$7:DL$106,$AD68),1),IF($AE68&gt;0,INDEX(DL$7:DL$106,$AE68),1),IF($AF68&gt;0,INDEX(DL$7:DL$106,$AF68),1),IF($AG68&gt;0,INDEX(DL$7:DL$106,$AG68),1),IF($AH68&gt;0,INDEX(DL$7:DL$106,$AH68),1),IF($AI68&gt;0,INDEX(DL$7:DL$106,$AI68),1),IF($AJ68&gt;0,INDEX(DL$7:DL$106,$AJ68),1))))</ns0:f>
        <ns0:v>1</ns0:v>
      </ns0:c>
      <ns0:c r="DN68" t="n">
        <ns0:f>IF($A68="",1,IF(DM68=1,1,--AND(IF($AC68&gt;0,INDEX(DM$7:DM$106,$AC68),1),IF($AD68&gt;0,INDEX(DM$7:DM$106,$AD68),1),IF($AE68&gt;0,INDEX(DM$7:DM$106,$AE68),1),IF($AF68&gt;0,INDEX(DM$7:DM$106,$AF68),1),IF($AG68&gt;0,INDEX(DM$7:DM$106,$AG68),1),IF($AH68&gt;0,INDEX(DM$7:DM$106,$AH68),1),IF($AI68&gt;0,INDEX(DM$7:DM$106,$AI68),1),IF($AJ68&gt;0,INDEX(DM$7:DM$106,$AJ68),1))))</ns0:f>
        <ns0:v>1</ns0:v>
      </ns0:c>
      <ns0:c r="DO68" t="n">
        <ns0:f>IF($A68="",1,IF(DN68=1,1,--AND(IF($AC68&gt;0,INDEX(DN$7:DN$106,$AC68),1),IF($AD68&gt;0,INDEX(DN$7:DN$106,$AD68),1),IF($AE68&gt;0,INDEX(DN$7:DN$106,$AE68),1),IF($AF68&gt;0,INDEX(DN$7:DN$106,$AF68),1),IF($AG68&gt;0,INDEX(DN$7:DN$106,$AG68),1),IF($AH68&gt;0,INDEX(DN$7:DN$106,$AH68),1),IF($AI68&gt;0,INDEX(DN$7:DN$106,$AI68),1),IF($AJ68&gt;0,INDEX(DN$7:DN$106,$AJ68),1))))</ns0:f>
        <ns0:v>1</ns0:v>
      </ns0:c>
      <ns0:c r="DP68" t="n">
        <ns0:f>IF($A68="",1,IF(DO68=1,1,--AND(IF($AC68&gt;0,INDEX(DO$7:DO$106,$AC68),1),IF($AD68&gt;0,INDEX(DO$7:DO$106,$AD68),1),IF($AE68&gt;0,INDEX(DO$7:DO$106,$AE68),1),IF($AF68&gt;0,INDEX(DO$7:DO$106,$AF68),1),IF($AG68&gt;0,INDEX(DO$7:DO$106,$AG68),1),IF($AH68&gt;0,INDEX(DO$7:DO$106,$AH68),1),IF($AI68&gt;0,INDEX(DO$7:DO$106,$AI68),1),IF($AJ68&gt;0,INDEX(DO$7:DO$106,$AJ68),1))))</ns0:f>
        <ns0:v>1</ns0:v>
      </ns0:c>
      <ns0:c r="DQ68" t="n">
        <ns0:f>IF($A68="",1,IF(DP68=1,1,--AND(IF($AC68&gt;0,INDEX(DP$7:DP$106,$AC68),1),IF($AD68&gt;0,INDEX(DP$7:DP$106,$AD68),1),IF($AE68&gt;0,INDEX(DP$7:DP$106,$AE68),1),IF($AF68&gt;0,INDEX(DP$7:DP$106,$AF68),1),IF($AG68&gt;0,INDEX(DP$7:DP$106,$AG68),1),IF($AH68&gt;0,INDEX(DP$7:DP$106,$AH68),1),IF($AI68&gt;0,INDEX(DP$7:DP$106,$AI68),1),IF($AJ68&gt;0,INDEX(DP$7:DP$106,$AJ68),1))))</ns0:f>
        <ns0:v>1</ns0:v>
      </ns0:c>
      <ns0:c r="DR68" t="n">
        <ns0:f>IF($A68="",1,IF(DQ68=1,1,--AND(IF($AC68&gt;0,INDEX(DQ$7:DQ$106,$AC68),1),IF($AD68&gt;0,INDEX(DQ$7:DQ$106,$AD68),1),IF($AE68&gt;0,INDEX(DQ$7:DQ$106,$AE68),1),IF($AF68&gt;0,INDEX(DQ$7:DQ$106,$AF68),1),IF($AG68&gt;0,INDEX(DQ$7:DQ$106,$AG68),1),IF($AH68&gt;0,INDEX(DQ$7:DQ$106,$AH68),1),IF($AI68&gt;0,INDEX(DQ$7:DQ$106,$AI68),1),IF($AJ68&gt;0,INDEX(DQ$7:DQ$106,$AJ68),1))))</ns0:f>
        <ns0:v>1</ns0:v>
      </ns0:c>
      <ns0:c r="DS68" t="n">
        <ns0:f>IF($A68="",1,IF(DR68=1,1,--AND(IF($AC68&gt;0,INDEX(DR$7:DR$106,$AC68),1),IF($AD68&gt;0,INDEX(DR$7:DR$106,$AD68),1),IF($AE68&gt;0,INDEX(DR$7:DR$106,$AE68),1),IF($AF68&gt;0,INDEX(DR$7:DR$106,$AF68),1),IF($AG68&gt;0,INDEX(DR$7:DR$106,$AG68),1),IF($AH68&gt;0,INDEX(DR$7:DR$106,$AH68),1),IF($AI68&gt;0,INDEX(DR$7:DR$106,$AI68),1),IF($AJ68&gt;0,INDEX(DR$7:DR$106,$AJ68),1))))</ns0:f>
        <ns0:v>1</ns0:v>
      </ns0:c>
      <ns0:c r="DT68" t="n">
        <ns0:f>IF($A68="",1,IF(DS68=1,1,--AND(IF($AC68&gt;0,INDEX(DS$7:DS$106,$AC68),1),IF($AD68&gt;0,INDEX(DS$7:DS$106,$AD68),1),IF($AE68&gt;0,INDEX(DS$7:DS$106,$AE68),1),IF($AF68&gt;0,INDEX(DS$7:DS$106,$AF68),1),IF($AG68&gt;0,INDEX(DS$7:DS$106,$AG68),1),IF($AH68&gt;0,INDEX(DS$7:DS$106,$AH68),1),IF($AI68&gt;0,INDEX(DS$7:DS$106,$AI68),1),IF($AJ68&gt;0,INDEX(DS$7:DS$106,$AJ68),1))))</ns0:f>
        <ns0:v>1</ns0:v>
      </ns0:c>
      <ns0:c r="DU68" t="n">
        <ns0:f>IF($A68="",1,IF(DT68=1,1,--AND(IF($AC68&gt;0,INDEX(DT$7:DT$106,$AC68),1),IF($AD68&gt;0,INDEX(DT$7:DT$106,$AD68),1),IF($AE68&gt;0,INDEX(DT$7:DT$106,$AE68),1),IF($AF68&gt;0,INDEX(DT$7:DT$106,$AF68),1),IF($AG68&gt;0,INDEX(DT$7:DT$106,$AG68),1),IF($AH68&gt;0,INDEX(DT$7:DT$106,$AH68),1),IF($AI68&gt;0,INDEX(DT$7:DT$106,$AI68),1),IF($AJ68&gt;0,INDEX(DT$7:DT$106,$AJ68),1))))</ns0:f>
        <ns0:v>1</ns0:v>
      </ns0:c>
      <ns0:c r="DV68" t="n">
        <ns0:f>IF($A68="",1,IF(DU68=1,1,--AND(IF($AC68&gt;0,INDEX(DU$7:DU$106,$AC68),1),IF($AD68&gt;0,INDEX(DU$7:DU$106,$AD68),1),IF($AE68&gt;0,INDEX(DU$7:DU$106,$AE68),1),IF($AF68&gt;0,INDEX(DU$7:DU$106,$AF68),1),IF($AG68&gt;0,INDEX(DU$7:DU$106,$AG68),1),IF($AH68&gt;0,INDEX(DU$7:DU$106,$AH68),1),IF($AI68&gt;0,INDEX(DU$7:DU$106,$AI68),1),IF($AJ68&gt;0,INDEX(DU$7:DU$106,$AJ68),1))))</ns0:f>
        <ns0:v>1</ns0:v>
      </ns0:c>
      <ns0:c r="DW68" t="n">
        <ns0:f>IF($A68="",1,IF(DV68=1,1,--AND(IF($AC68&gt;0,INDEX(DV$7:DV$106,$AC68),1),IF($AD68&gt;0,INDEX(DV$7:DV$106,$AD68),1),IF($AE68&gt;0,INDEX(DV$7:DV$106,$AE68),1),IF($AF68&gt;0,INDEX(DV$7:DV$106,$AF68),1),IF($AG68&gt;0,INDEX(DV$7:DV$106,$AG68),1),IF($AH68&gt;0,INDEX(DV$7:DV$106,$AH68),1),IF($AI68&gt;0,INDEX(DV$7:DV$106,$AI68),1),IF($AJ68&gt;0,INDEX(DV$7:DV$106,$AJ68),1))))</ns0:f>
        <ns0:v>1</ns0:v>
      </ns0:c>
      <ns0:c r="DX68" t="n">
        <ns0:f>IF($A68="",1,IF(DW68=1,1,--AND(IF($AC68&gt;0,INDEX(DW$7:DW$106,$AC68),1),IF($AD68&gt;0,INDEX(DW$7:DW$106,$AD68),1),IF($AE68&gt;0,INDEX(DW$7:DW$106,$AE68),1),IF($AF68&gt;0,INDEX(DW$7:DW$106,$AF68),1),IF($AG68&gt;0,INDEX(DW$7:DW$106,$AG68),1),IF($AH68&gt;0,INDEX(DW$7:DW$106,$AH68),1),IF($AI68&gt;0,INDEX(DW$7:DW$106,$AI68),1),IF($AJ68&gt;0,INDEX(DW$7:DW$106,$AJ68),1))))</ns0:f>
        <ns0:v>1</ns0:v>
      </ns0:c>
      <ns0:c r="DY68" t="n">
        <ns0:f>IF($A68="",1,IF(DX68=1,1,--AND(IF($AC68&gt;0,INDEX(DX$7:DX$106,$AC68),1),IF($AD68&gt;0,INDEX(DX$7:DX$106,$AD68),1),IF($AE68&gt;0,INDEX(DX$7:DX$106,$AE68),1),IF($AF68&gt;0,INDEX(DX$7:DX$106,$AF68),1),IF($AG68&gt;0,INDEX(DX$7:DX$106,$AG68),1),IF($AH68&gt;0,INDEX(DX$7:DX$106,$AH68),1),IF($AI68&gt;0,INDEX(DX$7:DX$106,$AI68),1),IF($AJ68&gt;0,INDEX(DX$7:DX$106,$AJ68),1))))</ns0:f>
        <ns0:v>1</ns0:v>
      </ns0:c>
      <ns0:c r="DZ68" t="n">
        <ns0:f>IF($A68="",1,IF(DY68=1,1,--AND(IF($AC68&gt;0,INDEX(DY$7:DY$106,$AC68),1),IF($AD68&gt;0,INDEX(DY$7:DY$106,$AD68),1),IF($AE68&gt;0,INDEX(DY$7:DY$106,$AE68),1),IF($AF68&gt;0,INDEX(DY$7:DY$106,$AF68),1),IF($AG68&gt;0,INDEX(DY$7:DY$106,$AG68),1),IF($AH68&gt;0,INDEX(DY$7:DY$106,$AH68),1),IF($AI68&gt;0,INDEX(DY$7:DY$106,$AI68),1),IF($AJ68&gt;0,INDEX(DY$7:DY$106,$AJ68),1))))</ns0:f>
        <ns0:v>1</ns0:v>
      </ns0:c>
      <ns0:c r="EA68" t="n">
        <ns0:f>IF($A68="",1,IF(DZ68=1,1,--AND(IF($AC68&gt;0,INDEX(DZ$7:DZ$106,$AC68),1),IF($AD68&gt;0,INDEX(DZ$7:DZ$106,$AD68),1),IF($AE68&gt;0,INDEX(DZ$7:DZ$106,$AE68),1),IF($AF68&gt;0,INDEX(DZ$7:DZ$106,$AF68),1),IF($AG68&gt;0,INDEX(DZ$7:DZ$106,$AG68),1),IF($AH68&gt;0,INDEX(DZ$7:DZ$106,$AH68),1),IF($AI68&gt;0,INDEX(DZ$7:DZ$106,$AI68),1),IF($AJ68&gt;0,INDEX(DZ$7:DZ$106,$AJ68),1))))</ns0:f>
        <ns0:v>1</ns0:v>
      </ns0:c>
      <ns0:c r="EB68" t="n">
        <ns0:f>IF($A68="",1,IF(EA68=1,1,--AND(IF($AC68&gt;0,INDEX(EA$7:EA$106,$AC68),1),IF($AD68&gt;0,INDEX(EA$7:EA$106,$AD68),1),IF($AE68&gt;0,INDEX(EA$7:EA$106,$AE68),1),IF($AF68&gt;0,INDEX(EA$7:EA$106,$AF68),1),IF($AG68&gt;0,INDEX(EA$7:EA$106,$AG68),1),IF($AH68&gt;0,INDEX(EA$7:EA$106,$AH68),1),IF($AI68&gt;0,INDEX(EA$7:EA$106,$AI68),1),IF($AJ68&gt;0,INDEX(EA$7:EA$106,$AJ68),1))))</ns0:f>
        <ns0:v>1</ns0:v>
      </ns0:c>
      <ns0:c r="EC68" t="n">
        <ns0:f>IF($A68="",1,IF(EB68=1,1,--AND(IF($AC68&gt;0,INDEX(EB$7:EB$106,$AC68),1),IF($AD68&gt;0,INDEX(EB$7:EB$106,$AD68),1),IF($AE68&gt;0,INDEX(EB$7:EB$106,$AE68),1),IF($AF68&gt;0,INDEX(EB$7:EB$106,$AF68),1),IF($AG68&gt;0,INDEX(EB$7:EB$106,$AG68),1),IF($AH68&gt;0,INDEX(EB$7:EB$106,$AH68),1),IF($AI68&gt;0,INDEX(EB$7:EB$106,$AI68),1),IF($AJ68&gt;0,INDEX(EB$7:EB$106,$AJ68),1))))</ns0:f>
        <ns0:v>1</ns0:v>
      </ns0:c>
      <ns0:c r="ED68" t="n">
        <ns0:f>IF($A68="",1,IF(EC68=1,1,--AND(IF($AC68&gt;0,INDEX(EC$7:EC$106,$AC68),1),IF($AD68&gt;0,INDEX(EC$7:EC$106,$AD68),1),IF($AE68&gt;0,INDEX(EC$7:EC$106,$AE68),1),IF($AF68&gt;0,INDEX(EC$7:EC$106,$AF68),1),IF($AG68&gt;0,INDEX(EC$7:EC$106,$AG68),1),IF($AH68&gt;0,INDEX(EC$7:EC$106,$AH68),1),IF($AI68&gt;0,INDEX(EC$7:EC$106,$AI68),1),IF($AJ68&gt;0,INDEX(EC$7:EC$106,$AJ68),1))))</ns0:f>
        <ns0:v>1</ns0:v>
      </ns0:c>
      <ns0:c r="EE68" t="n">
        <ns0:f>IF($A68="",1,IF(ED68=1,1,--AND(IF($AC68&gt;0,INDEX(ED$7:ED$106,$AC68),1),IF($AD68&gt;0,INDEX(ED$7:ED$106,$AD68),1),IF($AE68&gt;0,INDEX(ED$7:ED$106,$AE68),1),IF($AF68&gt;0,INDEX(ED$7:ED$106,$AF68),1),IF($AG68&gt;0,INDEX(ED$7:ED$106,$AG68),1),IF($AH68&gt;0,INDEX(ED$7:ED$106,$AH68),1),IF($AI68&gt;0,INDEX(ED$7:ED$106,$AI68),1),IF($AJ68&gt;0,INDEX(ED$7:ED$106,$AJ68),1))))</ns0:f>
        <ns0:v>1</ns0:v>
      </ns0:c>
      <ns0:c r="EF68" t="n">
        <ns0:f>IF($A68="",1,IF(EE68=1,1,--AND(IF($AC68&gt;0,INDEX(EE$7:EE$106,$AC68),1),IF($AD68&gt;0,INDEX(EE$7:EE$106,$AD68),1),IF($AE68&gt;0,INDEX(EE$7:EE$106,$AE68),1),IF($AF68&gt;0,INDEX(EE$7:EE$106,$AF68),1),IF($AG68&gt;0,INDEX(EE$7:EE$106,$AG68),1),IF($AH68&gt;0,INDEX(EE$7:EE$106,$AH68),1),IF($AI68&gt;0,INDEX(EE$7:EE$106,$AI68),1),IF($AJ68&gt;0,INDEX(EE$7:EE$106,$AJ68),1))))</ns0:f>
        <ns0:v>1</ns0:v>
      </ns0:c>
      <ns0:c r="EG68" t="n">
        <ns0:f>IF($A68="",1,IF(EF68=1,1,--AND(IF($AC68&gt;0,INDEX(EF$7:EF$106,$AC68),1),IF($AD68&gt;0,INDEX(EF$7:EF$106,$AD68),1),IF($AE68&gt;0,INDEX(EF$7:EF$106,$AE68),1),IF($AF68&gt;0,INDEX(EF$7:EF$106,$AF68),1),IF($AG68&gt;0,INDEX(EF$7:EF$106,$AG68),1),IF($AH68&gt;0,INDEX(EF$7:EF$106,$AH68),1),IF($AI68&gt;0,INDEX(EF$7:EF$106,$AI68),1),IF($AJ68&gt;0,INDEX(EF$7:EF$106,$AJ68),1))))</ns0:f>
        <ns0:v>1</ns0:v>
      </ns0:c>
      <ns0:c r="EH68" t="n">
        <ns0:f>IF($A68="",1,IF(EG68=1,1,--AND(IF($AC68&gt;0,INDEX(EG$7:EG$106,$AC68),1),IF($AD68&gt;0,INDEX(EG$7:EG$106,$AD68),1),IF($AE68&gt;0,INDEX(EG$7:EG$106,$AE68),1),IF($AF68&gt;0,INDEX(EG$7:EG$106,$AF68),1),IF($AG68&gt;0,INDEX(EG$7:EG$106,$AG68),1),IF($AH68&gt;0,INDEX(EG$7:EG$106,$AH68),1),IF($AI68&gt;0,INDEX(EG$7:EG$106,$AI68),1),IF($AJ68&gt;0,INDEX(EG$7:EG$106,$AJ68),1))))</ns0:f>
        <ns0:v>1</ns0:v>
      </ns0:c>
      <ns0:c r="EI68" t="n">
        <ns0:f>IF($A68="",1,IF(EH68=1,1,--AND(IF($AC68&gt;0,INDEX(EH$7:EH$106,$AC68),1),IF($AD68&gt;0,INDEX(EH$7:EH$106,$AD68),1),IF($AE68&gt;0,INDEX(EH$7:EH$106,$AE68),1),IF($AF68&gt;0,INDEX(EH$7:EH$106,$AF68),1),IF($AG68&gt;0,INDEX(EH$7:EH$106,$AG68),1),IF($AH68&gt;0,INDEX(EH$7:EH$106,$AH68),1),IF($AI68&gt;0,INDEX(EH$7:EH$106,$AI68),1),IF($AJ68&gt;0,INDEX(EH$7:EH$106,$AJ68),1))))</ns0:f>
        <ns0:v>1</ns0:v>
      </ns0:c>
      <ns0:c r="EJ68" t="n">
        <ns0:f>IF($A68="",1,IF(EI68=1,1,--AND(IF($AC68&gt;0,INDEX(EI$7:EI$106,$AC68),1),IF($AD68&gt;0,INDEX(EI$7:EI$106,$AD68),1),IF($AE68&gt;0,INDEX(EI$7:EI$106,$AE68),1),IF($AF68&gt;0,INDEX(EI$7:EI$106,$AF68),1),IF($AG68&gt;0,INDEX(EI$7:EI$106,$AG68),1),IF($AH68&gt;0,INDEX(EI$7:EI$106,$AH68),1),IF($AI68&gt;0,INDEX(EI$7:EI$106,$AI68),1),IF($AJ68&gt;0,INDEX(EI$7:EI$106,$AJ68),1))))</ns0:f>
        <ns0:v>1</ns0:v>
      </ns0:c>
      <ns0:c r="EK68" t="n">
        <ns0:f>IF($A68="",1,IF(EJ68=1,1,--AND(IF($AC68&gt;0,INDEX(EJ$7:EJ$106,$AC68),1),IF($AD68&gt;0,INDEX(EJ$7:EJ$106,$AD68),1),IF($AE68&gt;0,INDEX(EJ$7:EJ$106,$AE68),1),IF($AF68&gt;0,INDEX(EJ$7:EJ$106,$AF68),1),IF($AG68&gt;0,INDEX(EJ$7:EJ$106,$AG68),1),IF($AH68&gt;0,INDEX(EJ$7:EJ$106,$AH68),1),IF($AI68&gt;0,INDEX(EJ$7:EJ$106,$AI68),1),IF($AJ68&gt;0,INDEX(EJ$7:EJ$106,$AJ68),1))))</ns0:f>
        <ns0:v>1</ns0:v>
      </ns0:c>
      <ns0:c r="EL68" t="n">
        <ns0:f>IF($A68="",1,IF(EK68=1,1,--AND(IF($AC68&gt;0,INDEX(EK$7:EK$106,$AC68),1),IF($AD68&gt;0,INDEX(EK$7:EK$106,$AD68),1),IF($AE68&gt;0,INDEX(EK$7:EK$106,$AE68),1),IF($AF68&gt;0,INDEX(EK$7:EK$106,$AF68),1),IF($AG68&gt;0,INDEX(EK$7:EK$106,$AG68),1),IF($AH68&gt;0,INDEX(EK$7:EK$106,$AH68),1),IF($AI68&gt;0,INDEX(EK$7:EK$106,$AI68),1),IF($AJ68&gt;0,INDEX(EK$7:EK$106,$AJ68),1))))</ns0:f>
        <ns0:v>1</ns0:v>
      </ns0:c>
      <ns0:c r="EM68" t="n">
        <ns0:f>IF($A68="",1,IF(EL68=1,1,--AND(IF($AC68&gt;0,INDEX(EL$7:EL$106,$AC68),1),IF($AD68&gt;0,INDEX(EL$7:EL$106,$AD68),1),IF($AE68&gt;0,INDEX(EL$7:EL$106,$AE68),1),IF($AF68&gt;0,INDEX(EL$7:EL$106,$AF68),1),IF($AG68&gt;0,INDEX(EL$7:EL$106,$AG68),1),IF($AH68&gt;0,INDEX(EL$7:EL$106,$AH68),1),IF($AI68&gt;0,INDEX(EL$7:EL$106,$AI68),1),IF($AJ68&gt;0,INDEX(EL$7:EL$106,$AJ68),1))))</ns0:f>
        <ns0:v>1</ns0:v>
      </ns0:c>
      <ns0:c r="EN68" t="n">
        <ns0:f>IF($A68="",1,IF(EM68=1,1,--AND(IF($AC68&gt;0,INDEX(EM$7:EM$106,$AC68),1),IF($AD68&gt;0,INDEX(EM$7:EM$106,$AD68),1),IF($AE68&gt;0,INDEX(EM$7:EM$106,$AE68),1),IF($AF68&gt;0,INDEX(EM$7:EM$106,$AF68),1),IF($AG68&gt;0,INDEX(EM$7:EM$106,$AG68),1),IF($AH68&gt;0,INDEX(EM$7:EM$106,$AH68),1),IF($AI68&gt;0,INDEX(EM$7:EM$106,$AI68),1),IF($AJ68&gt;0,INDEX(EM$7:EM$106,$AJ68),1))))</ns0:f>
        <ns0:v>1</ns0:v>
      </ns0:c>
      <ns0:c r="EO68" t="n">
        <ns0:f>IF($A68="",1,IF(EN68=1,1,--AND(IF($AC68&gt;0,INDEX(EN$7:EN$106,$AC68),1),IF($AD68&gt;0,INDEX(EN$7:EN$106,$AD68),1),IF($AE68&gt;0,INDEX(EN$7:EN$106,$AE68),1),IF($AF68&gt;0,INDEX(EN$7:EN$106,$AF68),1),IF($AG68&gt;0,INDEX(EN$7:EN$106,$AG68),1),IF($AH68&gt;0,INDEX(EN$7:EN$106,$AH68),1),IF($AI68&gt;0,INDEX(EN$7:EN$106,$AI68),1),IF($AJ68&gt;0,INDEX(EN$7:EN$106,$AJ68),1))))</ns0:f>
        <ns0:v>1</ns0:v>
      </ns0:c>
      <ns0:c r="EP68" t="n">
        <ns0:f>IF($A68="",1,IF(EO68=1,1,--AND(IF($AC68&gt;0,INDEX(EO$7:EO$106,$AC68),1),IF($AD68&gt;0,INDEX(EO$7:EO$106,$AD68),1),IF($AE68&gt;0,INDEX(EO$7:EO$106,$AE68),1),IF($AF68&gt;0,INDEX(EO$7:EO$106,$AF68),1),IF($AG68&gt;0,INDEX(EO$7:EO$106,$AG68),1),IF($AH68&gt;0,INDEX(EO$7:EO$106,$AH68),1),IF($AI68&gt;0,INDEX(EO$7:EO$106,$AI68),1),IF($AJ68&gt;0,INDEX(EO$7:EO$106,$AJ68),1))))</ns0:f>
        <ns0:v>1</ns0:v>
      </ns0:c>
      <ns0:c r="EQ68" t="n">
        <ns0:f>IF(OR(A68="",NOT(ISNUMBER(G68))),0,G68*N68)</ns0:f>
        <ns0:v>0</ns0:v>
      </ns0:c>
    </ns0:row>
    <ns0:row r="69" ht="62" customHeight="1">
      <ns0:c r="A69" s="48"/>
      <ns0:c r="B69" s="48"/>
      <ns0:c r="C69" s="48"/>
      <ns0:c r="D69" s="48"/>
      <ns0:c r="E69" s="49"/>
      <ns0:c r="F69" s="49"/>
      <ns0:c r="G69" s="13" t="str">
        <ns0:f>IF(A69="","",IF(OR(NOT(ISNUMBER(E69)),NOT(ISNUMBER(F69)),F69&lt;E69),"",IF(J69="Yes",0,F69-E69+1)))</ns0:f>
      </ns0:c>
      <ns0:c r="H69" s="48"/>
      <ns0:c r="I69" s="48"/>
      <ns0:c r="J69" s="48"/>
      <ns0:c r="K69" s="48"/>
      <ns0:c r="L69" s="48"/>
      <ns0:c r="M69" s="50" t="str">
        <ns0:f>IF(A69="","",IF(N69=1,"Completed",IF(N69&gt;0,"In Progress","Not Started")))</ns0:f>
      </ns0:c>
      <ns0:c r="N69" s="51"/>
      <ns0:c r="O69" s="13" t="str">
        <ns0:f>IF(A69="","",IF(R69&lt;&gt;"","[CONFLICT] "&amp;R69,IF(S69&lt;&gt;"","[CONFLICT] "&amp;S69,IF(OR(NOT(ISNUMBER(N69)),N69&lt;0,N69&gt;1),"[CONFLICT] Invalid progress",IF(AK69&gt;0,"[DEPENDENCY ISSUE] Missing ID / &gt;8 links",IF(AM69&gt;0,"[DEPENDENCY ISSUE] Cycle or blocked by cycle",IF(AND(H69&lt;&gt;"",ISNA(MATCH(I69,{"FS","SS","FF","SF"},0))),"[DEPENDENCY ISSUE] Invalid type",IF(AL69&gt;0,"[DEPENDENCY ISSUE] Timing conflict",IF(OR(E69&lt;ProjectStart,F69&gt;ProjectEnd),"[OUTSIDE WINDOW]",IF(AND(N69&lt;1,F69&lt;AsOfDate),"Overdue",IF(AND(M69&lt;&gt;Q69,M69&lt;&gt;""),"[CONFLICT] Status / progress","On track")))))))))))</ns0:f>
      </ns0:c>
      <ns0:c r="P69" s="52"/>
      <ns0:c r="Q69" t="str">
        <ns0:f>IF(A69="","",IF(OR(M69="On Hold",M69="Delayed"),M69,IF(N69=1,"Completed",IF(N69&gt;0,"In Progress","Not Started"))))</ns0:f>
      </ns0:c>
      <ns0:c r="R69" t="str">
        <ns0:f>IF(A69="","",IF(COUNTIFS(Tasks[Task ID],A69)&lt;&gt;1,"Duplicate ID",""))</ns0:f>
      </ns0:c>
      <ns0:c r="S69" t="str">
        <ns0:f>IF(A69="","",IF(OR(NOT(ISNUMBER(E69)),NOT(ISNUMBER(F69))),"Invalid / missing date",IF(OR(E69&lt;&gt;INT(E69),F69&lt;&gt;INT(F69),E69&lt;1,F69&gt;2958465),"Invalid date",IF(F69&lt;E69,"End before start",IF(AND(J69="Yes",E69&lt;&gt;F69),"Milestone needs one date","")))))</ns0:f>
      </ns0:c>
      <ns0:c r="T69" t="n">
        <ns0:f>IF(H69="",0,LEN(H69)-LEN(SUBSTITUTE(H69,",",""))+1)</ns0:f>
        <ns0:v>0</ns0:v>
      </ns0:c>
      <ns0:c r="U69" t="str">
        <ns0:f>TRIM(MID(SUBSTITUTE($H69,",",REPT(" ",100)),1,100))</ns0:f>
      </ns0:c>
      <ns0:c r="V69" t="str">
        <ns0:f>TRIM(MID(SUBSTITUTE($H69,",",REPT(" ",100)),101,100))</ns0:f>
      </ns0:c>
      <ns0:c r="W69" t="str">
        <ns0:f>TRIM(MID(SUBSTITUTE($H69,",",REPT(" ",100)),201,100))</ns0:f>
      </ns0:c>
      <ns0:c r="X69" t="str">
        <ns0:f>TRIM(MID(SUBSTITUTE($H69,",",REPT(" ",100)),301,100))</ns0:f>
      </ns0:c>
      <ns0:c r="Y69" t="str">
        <ns0:f>TRIM(MID(SUBSTITUTE($H69,",",REPT(" ",100)),401,100))</ns0:f>
      </ns0:c>
      <ns0:c r="Z69" t="str">
        <ns0:f>TRIM(MID(SUBSTITUTE($H69,",",REPT(" ",100)),501,100))</ns0:f>
      </ns0:c>
      <ns0:c r="AA69" t="str">
        <ns0:f>TRIM(MID(SUBSTITUTE($H69,",",REPT(" ",100)),601,100))</ns0:f>
      </ns0:c>
      <ns0:c r="AB69" t="str">
        <ns0:f>TRIM(MID(SUBSTITUTE($H69,",",REPT(" ",100)),701,100))</ns0:f>
      </ns0:c>
      <ns0:c r="AC69" t="n">
        <ns0:f>IF(U69="",0,IF(COUNTIFS(Tasks[Task ID],U69)=1,MATCH(U69,Tasks[Task ID],0),-1))</ns0:f>
        <ns0:v>0</ns0:v>
      </ns0:c>
      <ns0:c r="AD69" t="n">
        <ns0:f>IF(V69="",0,IF(COUNTIFS(Tasks[Task ID],V69)=1,MATCH(V69,Tasks[Task ID],0),-1))</ns0:f>
        <ns0:v>0</ns0:v>
      </ns0:c>
      <ns0:c r="AE69" t="n">
        <ns0:f>IF(W69="",0,IF(COUNTIFS(Tasks[Task ID],W69)=1,MATCH(W69,Tasks[Task ID],0),-1))</ns0:f>
        <ns0:v>0</ns0:v>
      </ns0:c>
      <ns0:c r="AF69" t="n">
        <ns0:f>IF(X69="",0,IF(COUNTIFS(Tasks[Task ID],X69)=1,MATCH(X69,Tasks[Task ID],0),-1))</ns0:f>
        <ns0:v>0</ns0:v>
      </ns0:c>
      <ns0:c r="AG69" t="n">
        <ns0:f>IF(Y69="",0,IF(COUNTIFS(Tasks[Task ID],Y69)=1,MATCH(Y69,Tasks[Task ID],0),-1))</ns0:f>
        <ns0:v>0</ns0:v>
      </ns0:c>
      <ns0:c r="AH69" t="n">
        <ns0:f>IF(Z69="",0,IF(COUNTIFS(Tasks[Task ID],Z69)=1,MATCH(Z69,Tasks[Task ID],0),-1))</ns0:f>
        <ns0:v>0</ns0:v>
      </ns0:c>
      <ns0:c r="AI69" t="n">
        <ns0:f>IF(AA69="",0,IF(COUNTIFS(Tasks[Task ID],AA69)=1,MATCH(AA69,Tasks[Task ID],0),-1))</ns0:f>
        <ns0:v>0</ns0:v>
      </ns0:c>
      <ns0:c r="AJ69" t="n">
        <ns0:f>IF(AB69="",0,IF(COUNTIFS(Tasks[Task ID],AB69)=1,MATCH(AB69,Tasks[Task ID],0),-1))</ns0:f>
        <ns0:v>0</ns0:v>
      </ns0:c>
      <ns0:c r="AK69" t="n">
        <ns0:f>COUNTIFS(AC69:AJ69,-1)+IF(T69&gt;8,1,0)</ns0:f>
        <ns0:v>0</ns0:v>
      </ns0:c>
      <ns0:c r="AL69" t="n">
        <ns0:f>IF(OR(A69="",S69&lt;&gt;""),0,SUM(IF(AC69&gt;0,IF($I69="FS",--($E69&lt;INDEX(Tasks[End Date],AC69)+IF(INDEX(Tasks[Milestone],AC69)="Yes",0,1)),IF($I69="SS",--($E69&lt;INDEX(Tasks[Start Date],AC69)),IF($I69="FF",--($F69&lt;INDEX(Tasks[End Date],AC69)),IF($I69="SF",--($F69&lt;INDEX(Tasks[Start Date],AC69)),0)))),0),IF(AD69&gt;0,IF($I69="FS",--($E69&lt;INDEX(Tasks[End Date],AD69)+IF(INDEX(Tasks[Milestone],AD69)="Yes",0,1)),IF($I69="SS",--($E69&lt;INDEX(Tasks[Start Date],AD69)),IF($I69="FF",--($F69&lt;INDEX(Tasks[End Date],AD69)),IF($I69="SF",--($F69&lt;INDEX(Tasks[Start Date],AD69)),0)))),0),IF(AE69&gt;0,IF($I69="FS",--($E69&lt;INDEX(Tasks[End Date],AE69)+IF(INDEX(Tasks[Milestone],AE69)="Yes",0,1)),IF($I69="SS",--($E69&lt;INDEX(Tasks[Start Date],AE69)),IF($I69="FF",--($F69&lt;INDEX(Tasks[End Date],AE69)),IF($I69="SF",--($F69&lt;INDEX(Tasks[Start Date],AE69)),0)))),0),IF(AF69&gt;0,IF($I69="FS",--($E69&lt;INDEX(Tasks[End Date],AF69)+IF(INDEX(Tasks[Milestone],AF69)="Yes",0,1)),IF($I69="SS",--($E69&lt;INDEX(Tasks[Start Date],AF69)),IF($I69="FF",--($F69&lt;INDEX(Tasks[End Date],AF69)),IF($I69="SF",--($F69&lt;INDEX(Tasks[Start Date],AF69)),0)))),0),IF(AG69&gt;0,IF($I69="FS",--($E69&lt;INDEX(Tasks[End Date],AG69)+IF(INDEX(Tasks[Milestone],AG69)="Yes",0,1)),IF($I69="SS",--($E69&lt;INDEX(Tasks[Start Date],AG69)),IF($I69="FF",--($F69&lt;INDEX(Tasks[End Date],AG69)),IF($I69="SF",--($F69&lt;INDEX(Tasks[Start Date],AG69)),0)))),0),IF(AH69&gt;0,IF($I69="FS",--($E69&lt;INDEX(Tasks[End Date],AH69)+IF(INDEX(Tasks[Milestone],AH69)="Yes",0,1)),IF($I69="SS",--($E69&lt;INDEX(Tasks[Start Date],AH69)),IF($I69="FF",--($F69&lt;INDEX(Tasks[End Date],AH69)),IF($I69="SF",--($F69&lt;INDEX(Tasks[Start Date],AH69)),0)))),0),IF(AI69&gt;0,IF($I69="FS",--($E69&lt;INDEX(Tasks[End Date],AI69)+IF(INDEX(Tasks[Milestone],AI69)="Yes",0,1)),IF($I69="SS",--($E69&lt;INDEX(Tasks[Start Date],AI69)),IF($I69="FF",--($F69&lt;INDEX(Tasks[End Date],AI69)),IF($I69="SF",--($F69&lt;INDEX(Tasks[Start Date],AI69)),0)))),0),IF(AJ69&gt;0,IF($I69="FS",--($E69&lt;INDEX(Tasks[End Date],AJ69)+IF(INDEX(Tasks[Milestone],AJ69)="Yes",0,1)),IF($I69="SS",--($E69&lt;INDEX(Tasks[Start Date],AJ69)),IF($I69="FF",--($F69&lt;INDEX(Tasks[End Date],AJ69)),IF($I69="SF",--($F69&lt;INDEX(Tasks[Start Date],AJ69)),0)))),0)))</ns0:f>
        <ns0:v>0</ns0:v>
      </ns0:c>
      <ns0:c r="AM69" t="n">
        <ns0:f>IF(AND(A69&lt;&gt;"",AK69=0,EP69=0),1,0)</ns0:f>
        <ns0:v>0</ns0:v>
      </ns0:c>
      <ns0:c r="AN69" t="str">
        <ns0:f>IF(OR(A69="",B69=""),"",IF(COUNTIFS($B$7:B69,B69)=1,MAX($AN$6:AN68)+1,""))</ns0:f>
      </ns0:c>
      <ns0:c r="AO69" t="n">
        <ns0:f>IF(AND(A69&lt;&gt;"",J69="No",N69&lt;1,E69&gt;=AsOfDate),E69+ROW()/10000,1E+9)</ns0:f>
        <ns0:v>1000000000</ns0:v>
      </ns0:c>
      <ns0:c r="AP69" t="n">
        <ns0:f>IF(AND(A69&lt;&gt;"",J69="Yes",N69&lt;1,E69&gt;=AsOfDate),E69+ROW()/10000,1E+9)</ns0:f>
        <ns0:v>1000000000</ns0:v>
      </ns0:c>
      <ns0:c r="AQ69" t="n">
        <ns0:f>IF(AND(A69&lt;&gt;"",J69="No",N69&lt;1,F69&gt;=AsOfDate,F69&lt;=AsOfDate+7),F69+ROW()/10000,1E+9)</ns0:f>
        <ns0:v>1000000000</ns0:v>
      </ns0:c>
      <ns0:c r="AR69" t="n">
        <ns0:f>IF(AND(A69&lt;&gt;"",OR(O69&lt;&gt;"On track",Q69="Delayed")),ROW(),1E+9)</ns0:f>
        <ns0:v>1000000000</ns0:v>
      </ns0:c>
      <ns0:c r="AS69" t="str">
        <ns0:f>IF(A69="","",";"&amp;K69&amp;";")</ns0:f>
      </ns0:c>
      <ns0:c r="AT69" t="n">
        <ns0:f>IF(A69="",1,--(T69=0))</ns0:f>
        <ns0:v>1</ns0:v>
      </ns0:c>
      <ns0:c r="AU69" t="n">
        <ns0:f>IF($A69="",1,IF(AT69=1,1,--AND(IF($AC69&gt;0,INDEX(AT$7:AT$106,$AC69),1),IF($AD69&gt;0,INDEX(AT$7:AT$106,$AD69),1),IF($AE69&gt;0,INDEX(AT$7:AT$106,$AE69),1),IF($AF69&gt;0,INDEX(AT$7:AT$106,$AF69),1),IF($AG69&gt;0,INDEX(AT$7:AT$106,$AG69),1),IF($AH69&gt;0,INDEX(AT$7:AT$106,$AH69),1),IF($AI69&gt;0,INDEX(AT$7:AT$106,$AI69),1),IF($AJ69&gt;0,INDEX(AT$7:AT$106,$AJ69),1))))</ns0:f>
        <ns0:v>1</ns0:v>
      </ns0:c>
      <ns0:c r="AV69" t="n">
        <ns0:f>IF($A69="",1,IF(AU69=1,1,--AND(IF($AC69&gt;0,INDEX(AU$7:AU$106,$AC69),1),IF($AD69&gt;0,INDEX(AU$7:AU$106,$AD69),1),IF($AE69&gt;0,INDEX(AU$7:AU$106,$AE69),1),IF($AF69&gt;0,INDEX(AU$7:AU$106,$AF69),1),IF($AG69&gt;0,INDEX(AU$7:AU$106,$AG69),1),IF($AH69&gt;0,INDEX(AU$7:AU$106,$AH69),1),IF($AI69&gt;0,INDEX(AU$7:AU$106,$AI69),1),IF($AJ69&gt;0,INDEX(AU$7:AU$106,$AJ69),1))))</ns0:f>
        <ns0:v>1</ns0:v>
      </ns0:c>
      <ns0:c r="AW69" t="n">
        <ns0:f>IF($A69="",1,IF(AV69=1,1,--AND(IF($AC69&gt;0,INDEX(AV$7:AV$106,$AC69),1),IF($AD69&gt;0,INDEX(AV$7:AV$106,$AD69),1),IF($AE69&gt;0,INDEX(AV$7:AV$106,$AE69),1),IF($AF69&gt;0,INDEX(AV$7:AV$106,$AF69),1),IF($AG69&gt;0,INDEX(AV$7:AV$106,$AG69),1),IF($AH69&gt;0,INDEX(AV$7:AV$106,$AH69),1),IF($AI69&gt;0,INDEX(AV$7:AV$106,$AI69),1),IF($AJ69&gt;0,INDEX(AV$7:AV$106,$AJ69),1))))</ns0:f>
        <ns0:v>1</ns0:v>
      </ns0:c>
      <ns0:c r="AX69" t="n">
        <ns0:f>IF($A69="",1,IF(AW69=1,1,--AND(IF($AC69&gt;0,INDEX(AW$7:AW$106,$AC69),1),IF($AD69&gt;0,INDEX(AW$7:AW$106,$AD69),1),IF($AE69&gt;0,INDEX(AW$7:AW$106,$AE69),1),IF($AF69&gt;0,INDEX(AW$7:AW$106,$AF69),1),IF($AG69&gt;0,INDEX(AW$7:AW$106,$AG69),1),IF($AH69&gt;0,INDEX(AW$7:AW$106,$AH69),1),IF($AI69&gt;0,INDEX(AW$7:AW$106,$AI69),1),IF($AJ69&gt;0,INDEX(AW$7:AW$106,$AJ69),1))))</ns0:f>
        <ns0:v>1</ns0:v>
      </ns0:c>
      <ns0:c r="AY69" t="n">
        <ns0:f>IF($A69="",1,IF(AX69=1,1,--AND(IF($AC69&gt;0,INDEX(AX$7:AX$106,$AC69),1),IF($AD69&gt;0,INDEX(AX$7:AX$106,$AD69),1),IF($AE69&gt;0,INDEX(AX$7:AX$106,$AE69),1),IF($AF69&gt;0,INDEX(AX$7:AX$106,$AF69),1),IF($AG69&gt;0,INDEX(AX$7:AX$106,$AG69),1),IF($AH69&gt;0,INDEX(AX$7:AX$106,$AH69),1),IF($AI69&gt;0,INDEX(AX$7:AX$106,$AI69),1),IF($AJ69&gt;0,INDEX(AX$7:AX$106,$AJ69),1))))</ns0:f>
        <ns0:v>1</ns0:v>
      </ns0:c>
      <ns0:c r="AZ69" t="n">
        <ns0:f>IF($A69="",1,IF(AY69=1,1,--AND(IF($AC69&gt;0,INDEX(AY$7:AY$106,$AC69),1),IF($AD69&gt;0,INDEX(AY$7:AY$106,$AD69),1),IF($AE69&gt;0,INDEX(AY$7:AY$106,$AE69),1),IF($AF69&gt;0,INDEX(AY$7:AY$106,$AF69),1),IF($AG69&gt;0,INDEX(AY$7:AY$106,$AG69),1),IF($AH69&gt;0,INDEX(AY$7:AY$106,$AH69),1),IF($AI69&gt;0,INDEX(AY$7:AY$106,$AI69),1),IF($AJ69&gt;0,INDEX(AY$7:AY$106,$AJ69),1))))</ns0:f>
        <ns0:v>1</ns0:v>
      </ns0:c>
      <ns0:c r="BA69" t="n">
        <ns0:f>IF($A69="",1,IF(AZ69=1,1,--AND(IF($AC69&gt;0,INDEX(AZ$7:AZ$106,$AC69),1),IF($AD69&gt;0,INDEX(AZ$7:AZ$106,$AD69),1),IF($AE69&gt;0,INDEX(AZ$7:AZ$106,$AE69),1),IF($AF69&gt;0,INDEX(AZ$7:AZ$106,$AF69),1),IF($AG69&gt;0,INDEX(AZ$7:AZ$106,$AG69),1),IF($AH69&gt;0,INDEX(AZ$7:AZ$106,$AH69),1),IF($AI69&gt;0,INDEX(AZ$7:AZ$106,$AI69),1),IF($AJ69&gt;0,INDEX(AZ$7:AZ$106,$AJ69),1))))</ns0:f>
        <ns0:v>1</ns0:v>
      </ns0:c>
      <ns0:c r="BB69" t="n">
        <ns0:f>IF($A69="",1,IF(BA69=1,1,--AND(IF($AC69&gt;0,INDEX(BA$7:BA$106,$AC69),1),IF($AD69&gt;0,INDEX(BA$7:BA$106,$AD69),1),IF($AE69&gt;0,INDEX(BA$7:BA$106,$AE69),1),IF($AF69&gt;0,INDEX(BA$7:BA$106,$AF69),1),IF($AG69&gt;0,INDEX(BA$7:BA$106,$AG69),1),IF($AH69&gt;0,INDEX(BA$7:BA$106,$AH69),1),IF($AI69&gt;0,INDEX(BA$7:BA$106,$AI69),1),IF($AJ69&gt;0,INDEX(BA$7:BA$106,$AJ69),1))))</ns0:f>
        <ns0:v>1</ns0:v>
      </ns0:c>
      <ns0:c r="BC69" t="n">
        <ns0:f>IF($A69="",1,IF(BB69=1,1,--AND(IF($AC69&gt;0,INDEX(BB$7:BB$106,$AC69),1),IF($AD69&gt;0,INDEX(BB$7:BB$106,$AD69),1),IF($AE69&gt;0,INDEX(BB$7:BB$106,$AE69),1),IF($AF69&gt;0,INDEX(BB$7:BB$106,$AF69),1),IF($AG69&gt;0,INDEX(BB$7:BB$106,$AG69),1),IF($AH69&gt;0,INDEX(BB$7:BB$106,$AH69),1),IF($AI69&gt;0,INDEX(BB$7:BB$106,$AI69),1),IF($AJ69&gt;0,INDEX(BB$7:BB$106,$AJ69),1))))</ns0:f>
        <ns0:v>1</ns0:v>
      </ns0:c>
      <ns0:c r="BD69" t="n">
        <ns0:f>IF($A69="",1,IF(BC69=1,1,--AND(IF($AC69&gt;0,INDEX(BC$7:BC$106,$AC69),1),IF($AD69&gt;0,INDEX(BC$7:BC$106,$AD69),1),IF($AE69&gt;0,INDEX(BC$7:BC$106,$AE69),1),IF($AF69&gt;0,INDEX(BC$7:BC$106,$AF69),1),IF($AG69&gt;0,INDEX(BC$7:BC$106,$AG69),1),IF($AH69&gt;0,INDEX(BC$7:BC$106,$AH69),1),IF($AI69&gt;0,INDEX(BC$7:BC$106,$AI69),1),IF($AJ69&gt;0,INDEX(BC$7:BC$106,$AJ69),1))))</ns0:f>
        <ns0:v>1</ns0:v>
      </ns0:c>
      <ns0:c r="BE69" t="n">
        <ns0:f>IF($A69="",1,IF(BD69=1,1,--AND(IF($AC69&gt;0,INDEX(BD$7:BD$106,$AC69),1),IF($AD69&gt;0,INDEX(BD$7:BD$106,$AD69),1),IF($AE69&gt;0,INDEX(BD$7:BD$106,$AE69),1),IF($AF69&gt;0,INDEX(BD$7:BD$106,$AF69),1),IF($AG69&gt;0,INDEX(BD$7:BD$106,$AG69),1),IF($AH69&gt;0,INDEX(BD$7:BD$106,$AH69),1),IF($AI69&gt;0,INDEX(BD$7:BD$106,$AI69),1),IF($AJ69&gt;0,INDEX(BD$7:BD$106,$AJ69),1))))</ns0:f>
        <ns0:v>1</ns0:v>
      </ns0:c>
      <ns0:c r="BF69" t="n">
        <ns0:f>IF($A69="",1,IF(BE69=1,1,--AND(IF($AC69&gt;0,INDEX(BE$7:BE$106,$AC69),1),IF($AD69&gt;0,INDEX(BE$7:BE$106,$AD69),1),IF($AE69&gt;0,INDEX(BE$7:BE$106,$AE69),1),IF($AF69&gt;0,INDEX(BE$7:BE$106,$AF69),1),IF($AG69&gt;0,INDEX(BE$7:BE$106,$AG69),1),IF($AH69&gt;0,INDEX(BE$7:BE$106,$AH69),1),IF($AI69&gt;0,INDEX(BE$7:BE$106,$AI69),1),IF($AJ69&gt;0,INDEX(BE$7:BE$106,$AJ69),1))))</ns0:f>
        <ns0:v>1</ns0:v>
      </ns0:c>
      <ns0:c r="BG69" t="n">
        <ns0:f>IF($A69="",1,IF(BF69=1,1,--AND(IF($AC69&gt;0,INDEX(BF$7:BF$106,$AC69),1),IF($AD69&gt;0,INDEX(BF$7:BF$106,$AD69),1),IF($AE69&gt;0,INDEX(BF$7:BF$106,$AE69),1),IF($AF69&gt;0,INDEX(BF$7:BF$106,$AF69),1),IF($AG69&gt;0,INDEX(BF$7:BF$106,$AG69),1),IF($AH69&gt;0,INDEX(BF$7:BF$106,$AH69),1),IF($AI69&gt;0,INDEX(BF$7:BF$106,$AI69),1),IF($AJ69&gt;0,INDEX(BF$7:BF$106,$AJ69),1))))</ns0:f>
        <ns0:v>1</ns0:v>
      </ns0:c>
      <ns0:c r="BH69" t="n">
        <ns0:f>IF($A69="",1,IF(BG69=1,1,--AND(IF($AC69&gt;0,INDEX(BG$7:BG$106,$AC69),1),IF($AD69&gt;0,INDEX(BG$7:BG$106,$AD69),1),IF($AE69&gt;0,INDEX(BG$7:BG$106,$AE69),1),IF($AF69&gt;0,INDEX(BG$7:BG$106,$AF69),1),IF($AG69&gt;0,INDEX(BG$7:BG$106,$AG69),1),IF($AH69&gt;0,INDEX(BG$7:BG$106,$AH69),1),IF($AI69&gt;0,INDEX(BG$7:BG$106,$AI69),1),IF($AJ69&gt;0,INDEX(BG$7:BG$106,$AJ69),1))))</ns0:f>
        <ns0:v>1</ns0:v>
      </ns0:c>
      <ns0:c r="BI69" t="n">
        <ns0:f>IF($A69="",1,IF(BH69=1,1,--AND(IF($AC69&gt;0,INDEX(BH$7:BH$106,$AC69),1),IF($AD69&gt;0,INDEX(BH$7:BH$106,$AD69),1),IF($AE69&gt;0,INDEX(BH$7:BH$106,$AE69),1),IF($AF69&gt;0,INDEX(BH$7:BH$106,$AF69),1),IF($AG69&gt;0,INDEX(BH$7:BH$106,$AG69),1),IF($AH69&gt;0,INDEX(BH$7:BH$106,$AH69),1),IF($AI69&gt;0,INDEX(BH$7:BH$106,$AI69),1),IF($AJ69&gt;0,INDEX(BH$7:BH$106,$AJ69),1))))</ns0:f>
        <ns0:v>1</ns0:v>
      </ns0:c>
      <ns0:c r="BJ69" t="n">
        <ns0:f>IF($A69="",1,IF(BI69=1,1,--AND(IF($AC69&gt;0,INDEX(BI$7:BI$106,$AC69),1),IF($AD69&gt;0,INDEX(BI$7:BI$106,$AD69),1),IF($AE69&gt;0,INDEX(BI$7:BI$106,$AE69),1),IF($AF69&gt;0,INDEX(BI$7:BI$106,$AF69),1),IF($AG69&gt;0,INDEX(BI$7:BI$106,$AG69),1),IF($AH69&gt;0,INDEX(BI$7:BI$106,$AH69),1),IF($AI69&gt;0,INDEX(BI$7:BI$106,$AI69),1),IF($AJ69&gt;0,INDEX(BI$7:BI$106,$AJ69),1))))</ns0:f>
        <ns0:v>1</ns0:v>
      </ns0:c>
      <ns0:c r="BK69" t="n">
        <ns0:f>IF($A69="",1,IF(BJ69=1,1,--AND(IF($AC69&gt;0,INDEX(BJ$7:BJ$106,$AC69),1),IF($AD69&gt;0,INDEX(BJ$7:BJ$106,$AD69),1),IF($AE69&gt;0,INDEX(BJ$7:BJ$106,$AE69),1),IF($AF69&gt;0,INDEX(BJ$7:BJ$106,$AF69),1),IF($AG69&gt;0,INDEX(BJ$7:BJ$106,$AG69),1),IF($AH69&gt;0,INDEX(BJ$7:BJ$106,$AH69),1),IF($AI69&gt;0,INDEX(BJ$7:BJ$106,$AI69),1),IF($AJ69&gt;0,INDEX(BJ$7:BJ$106,$AJ69),1))))</ns0:f>
        <ns0:v>1</ns0:v>
      </ns0:c>
      <ns0:c r="BL69" t="n">
        <ns0:f>IF($A69="",1,IF(BK69=1,1,--AND(IF($AC69&gt;0,INDEX(BK$7:BK$106,$AC69),1),IF($AD69&gt;0,INDEX(BK$7:BK$106,$AD69),1),IF($AE69&gt;0,INDEX(BK$7:BK$106,$AE69),1),IF($AF69&gt;0,INDEX(BK$7:BK$106,$AF69),1),IF($AG69&gt;0,INDEX(BK$7:BK$106,$AG69),1),IF($AH69&gt;0,INDEX(BK$7:BK$106,$AH69),1),IF($AI69&gt;0,INDEX(BK$7:BK$106,$AI69),1),IF($AJ69&gt;0,INDEX(BK$7:BK$106,$AJ69),1))))</ns0:f>
        <ns0:v>1</ns0:v>
      </ns0:c>
      <ns0:c r="BM69" t="n">
        <ns0:f>IF($A69="",1,IF(BL69=1,1,--AND(IF($AC69&gt;0,INDEX(BL$7:BL$106,$AC69),1),IF($AD69&gt;0,INDEX(BL$7:BL$106,$AD69),1),IF($AE69&gt;0,INDEX(BL$7:BL$106,$AE69),1),IF($AF69&gt;0,INDEX(BL$7:BL$106,$AF69),1),IF($AG69&gt;0,INDEX(BL$7:BL$106,$AG69),1),IF($AH69&gt;0,INDEX(BL$7:BL$106,$AH69),1),IF($AI69&gt;0,INDEX(BL$7:BL$106,$AI69),1),IF($AJ69&gt;0,INDEX(BL$7:BL$106,$AJ69),1))))</ns0:f>
        <ns0:v>1</ns0:v>
      </ns0:c>
      <ns0:c r="BN69" t="n">
        <ns0:f>IF($A69="",1,IF(BM69=1,1,--AND(IF($AC69&gt;0,INDEX(BM$7:BM$106,$AC69),1),IF($AD69&gt;0,INDEX(BM$7:BM$106,$AD69),1),IF($AE69&gt;0,INDEX(BM$7:BM$106,$AE69),1),IF($AF69&gt;0,INDEX(BM$7:BM$106,$AF69),1),IF($AG69&gt;0,INDEX(BM$7:BM$106,$AG69),1),IF($AH69&gt;0,INDEX(BM$7:BM$106,$AH69),1),IF($AI69&gt;0,INDEX(BM$7:BM$106,$AI69),1),IF($AJ69&gt;0,INDEX(BM$7:BM$106,$AJ69),1))))</ns0:f>
        <ns0:v>1</ns0:v>
      </ns0:c>
      <ns0:c r="BO69" t="n">
        <ns0:f>IF($A69="",1,IF(BN69=1,1,--AND(IF($AC69&gt;0,INDEX(BN$7:BN$106,$AC69),1),IF($AD69&gt;0,INDEX(BN$7:BN$106,$AD69),1),IF($AE69&gt;0,INDEX(BN$7:BN$106,$AE69),1),IF($AF69&gt;0,INDEX(BN$7:BN$106,$AF69),1),IF($AG69&gt;0,INDEX(BN$7:BN$106,$AG69),1),IF($AH69&gt;0,INDEX(BN$7:BN$106,$AH69),1),IF($AI69&gt;0,INDEX(BN$7:BN$106,$AI69),1),IF($AJ69&gt;0,INDEX(BN$7:BN$106,$AJ69),1))))</ns0:f>
        <ns0:v>1</ns0:v>
      </ns0:c>
      <ns0:c r="BP69" t="n">
        <ns0:f>IF($A69="",1,IF(BO69=1,1,--AND(IF($AC69&gt;0,INDEX(BO$7:BO$106,$AC69),1),IF($AD69&gt;0,INDEX(BO$7:BO$106,$AD69),1),IF($AE69&gt;0,INDEX(BO$7:BO$106,$AE69),1),IF($AF69&gt;0,INDEX(BO$7:BO$106,$AF69),1),IF($AG69&gt;0,INDEX(BO$7:BO$106,$AG69),1),IF($AH69&gt;0,INDEX(BO$7:BO$106,$AH69),1),IF($AI69&gt;0,INDEX(BO$7:BO$106,$AI69),1),IF($AJ69&gt;0,INDEX(BO$7:BO$106,$AJ69),1))))</ns0:f>
        <ns0:v>1</ns0:v>
      </ns0:c>
      <ns0:c r="BQ69" t="n">
        <ns0:f>IF($A69="",1,IF(BP69=1,1,--AND(IF($AC69&gt;0,INDEX(BP$7:BP$106,$AC69),1),IF($AD69&gt;0,INDEX(BP$7:BP$106,$AD69),1),IF($AE69&gt;0,INDEX(BP$7:BP$106,$AE69),1),IF($AF69&gt;0,INDEX(BP$7:BP$106,$AF69),1),IF($AG69&gt;0,INDEX(BP$7:BP$106,$AG69),1),IF($AH69&gt;0,INDEX(BP$7:BP$106,$AH69),1),IF($AI69&gt;0,INDEX(BP$7:BP$106,$AI69),1),IF($AJ69&gt;0,INDEX(BP$7:BP$106,$AJ69),1))))</ns0:f>
        <ns0:v>1</ns0:v>
      </ns0:c>
      <ns0:c r="BR69" t="n">
        <ns0:f>IF($A69="",1,IF(BQ69=1,1,--AND(IF($AC69&gt;0,INDEX(BQ$7:BQ$106,$AC69),1),IF($AD69&gt;0,INDEX(BQ$7:BQ$106,$AD69),1),IF($AE69&gt;0,INDEX(BQ$7:BQ$106,$AE69),1),IF($AF69&gt;0,INDEX(BQ$7:BQ$106,$AF69),1),IF($AG69&gt;0,INDEX(BQ$7:BQ$106,$AG69),1),IF($AH69&gt;0,INDEX(BQ$7:BQ$106,$AH69),1),IF($AI69&gt;0,INDEX(BQ$7:BQ$106,$AI69),1),IF($AJ69&gt;0,INDEX(BQ$7:BQ$106,$AJ69),1))))</ns0:f>
        <ns0:v>1</ns0:v>
      </ns0:c>
      <ns0:c r="BS69" t="n">
        <ns0:f>IF($A69="",1,IF(BR69=1,1,--AND(IF($AC69&gt;0,INDEX(BR$7:BR$106,$AC69),1),IF($AD69&gt;0,INDEX(BR$7:BR$106,$AD69),1),IF($AE69&gt;0,INDEX(BR$7:BR$106,$AE69),1),IF($AF69&gt;0,INDEX(BR$7:BR$106,$AF69),1),IF($AG69&gt;0,INDEX(BR$7:BR$106,$AG69),1),IF($AH69&gt;0,INDEX(BR$7:BR$106,$AH69),1),IF($AI69&gt;0,INDEX(BR$7:BR$106,$AI69),1),IF($AJ69&gt;0,INDEX(BR$7:BR$106,$AJ69),1))))</ns0:f>
        <ns0:v>1</ns0:v>
      </ns0:c>
      <ns0:c r="BT69" t="n">
        <ns0:f>IF($A69="",1,IF(BS69=1,1,--AND(IF($AC69&gt;0,INDEX(BS$7:BS$106,$AC69),1),IF($AD69&gt;0,INDEX(BS$7:BS$106,$AD69),1),IF($AE69&gt;0,INDEX(BS$7:BS$106,$AE69),1),IF($AF69&gt;0,INDEX(BS$7:BS$106,$AF69),1),IF($AG69&gt;0,INDEX(BS$7:BS$106,$AG69),1),IF($AH69&gt;0,INDEX(BS$7:BS$106,$AH69),1),IF($AI69&gt;0,INDEX(BS$7:BS$106,$AI69),1),IF($AJ69&gt;0,INDEX(BS$7:BS$106,$AJ69),1))))</ns0:f>
        <ns0:v>1</ns0:v>
      </ns0:c>
      <ns0:c r="BU69" t="n">
        <ns0:f>IF($A69="",1,IF(BT69=1,1,--AND(IF($AC69&gt;0,INDEX(BT$7:BT$106,$AC69),1),IF($AD69&gt;0,INDEX(BT$7:BT$106,$AD69),1),IF($AE69&gt;0,INDEX(BT$7:BT$106,$AE69),1),IF($AF69&gt;0,INDEX(BT$7:BT$106,$AF69),1),IF($AG69&gt;0,INDEX(BT$7:BT$106,$AG69),1),IF($AH69&gt;0,INDEX(BT$7:BT$106,$AH69),1),IF($AI69&gt;0,INDEX(BT$7:BT$106,$AI69),1),IF($AJ69&gt;0,INDEX(BT$7:BT$106,$AJ69),1))))</ns0:f>
        <ns0:v>1</ns0:v>
      </ns0:c>
      <ns0:c r="BV69" t="n">
        <ns0:f>IF($A69="",1,IF(BU69=1,1,--AND(IF($AC69&gt;0,INDEX(BU$7:BU$106,$AC69),1),IF($AD69&gt;0,INDEX(BU$7:BU$106,$AD69),1),IF($AE69&gt;0,INDEX(BU$7:BU$106,$AE69),1),IF($AF69&gt;0,INDEX(BU$7:BU$106,$AF69),1),IF($AG69&gt;0,INDEX(BU$7:BU$106,$AG69),1),IF($AH69&gt;0,INDEX(BU$7:BU$106,$AH69),1),IF($AI69&gt;0,INDEX(BU$7:BU$106,$AI69),1),IF($AJ69&gt;0,INDEX(BU$7:BU$106,$AJ69),1))))</ns0:f>
        <ns0:v>1</ns0:v>
      </ns0:c>
      <ns0:c r="BW69" t="n">
        <ns0:f>IF($A69="",1,IF(BV69=1,1,--AND(IF($AC69&gt;0,INDEX(BV$7:BV$106,$AC69),1),IF($AD69&gt;0,INDEX(BV$7:BV$106,$AD69),1),IF($AE69&gt;0,INDEX(BV$7:BV$106,$AE69),1),IF($AF69&gt;0,INDEX(BV$7:BV$106,$AF69),1),IF($AG69&gt;0,INDEX(BV$7:BV$106,$AG69),1),IF($AH69&gt;0,INDEX(BV$7:BV$106,$AH69),1),IF($AI69&gt;0,INDEX(BV$7:BV$106,$AI69),1),IF($AJ69&gt;0,INDEX(BV$7:BV$106,$AJ69),1))))</ns0:f>
        <ns0:v>1</ns0:v>
      </ns0:c>
      <ns0:c r="BX69" t="n">
        <ns0:f>IF($A69="",1,IF(BW69=1,1,--AND(IF($AC69&gt;0,INDEX(BW$7:BW$106,$AC69),1),IF($AD69&gt;0,INDEX(BW$7:BW$106,$AD69),1),IF($AE69&gt;0,INDEX(BW$7:BW$106,$AE69),1),IF($AF69&gt;0,INDEX(BW$7:BW$106,$AF69),1),IF($AG69&gt;0,INDEX(BW$7:BW$106,$AG69),1),IF($AH69&gt;0,INDEX(BW$7:BW$106,$AH69),1),IF($AI69&gt;0,INDEX(BW$7:BW$106,$AI69),1),IF($AJ69&gt;0,INDEX(BW$7:BW$106,$AJ69),1))))</ns0:f>
        <ns0:v>1</ns0:v>
      </ns0:c>
      <ns0:c r="BY69" t="n">
        <ns0:f>IF($A69="",1,IF(BX69=1,1,--AND(IF($AC69&gt;0,INDEX(BX$7:BX$106,$AC69),1),IF($AD69&gt;0,INDEX(BX$7:BX$106,$AD69),1),IF($AE69&gt;0,INDEX(BX$7:BX$106,$AE69),1),IF($AF69&gt;0,INDEX(BX$7:BX$106,$AF69),1),IF($AG69&gt;0,INDEX(BX$7:BX$106,$AG69),1),IF($AH69&gt;0,INDEX(BX$7:BX$106,$AH69),1),IF($AI69&gt;0,INDEX(BX$7:BX$106,$AI69),1),IF($AJ69&gt;0,INDEX(BX$7:BX$106,$AJ69),1))))</ns0:f>
        <ns0:v>1</ns0:v>
      </ns0:c>
      <ns0:c r="BZ69" t="n">
        <ns0:f>IF($A69="",1,IF(BY69=1,1,--AND(IF($AC69&gt;0,INDEX(BY$7:BY$106,$AC69),1),IF($AD69&gt;0,INDEX(BY$7:BY$106,$AD69),1),IF($AE69&gt;0,INDEX(BY$7:BY$106,$AE69),1),IF($AF69&gt;0,INDEX(BY$7:BY$106,$AF69),1),IF($AG69&gt;0,INDEX(BY$7:BY$106,$AG69),1),IF($AH69&gt;0,INDEX(BY$7:BY$106,$AH69),1),IF($AI69&gt;0,INDEX(BY$7:BY$106,$AI69),1),IF($AJ69&gt;0,INDEX(BY$7:BY$106,$AJ69),1))))</ns0:f>
        <ns0:v>1</ns0:v>
      </ns0:c>
      <ns0:c r="CA69" t="n">
        <ns0:f>IF($A69="",1,IF(BZ69=1,1,--AND(IF($AC69&gt;0,INDEX(BZ$7:BZ$106,$AC69),1),IF($AD69&gt;0,INDEX(BZ$7:BZ$106,$AD69),1),IF($AE69&gt;0,INDEX(BZ$7:BZ$106,$AE69),1),IF($AF69&gt;0,INDEX(BZ$7:BZ$106,$AF69),1),IF($AG69&gt;0,INDEX(BZ$7:BZ$106,$AG69),1),IF($AH69&gt;0,INDEX(BZ$7:BZ$106,$AH69),1),IF($AI69&gt;0,INDEX(BZ$7:BZ$106,$AI69),1),IF($AJ69&gt;0,INDEX(BZ$7:BZ$106,$AJ69),1))))</ns0:f>
        <ns0:v>1</ns0:v>
      </ns0:c>
      <ns0:c r="CB69" t="n">
        <ns0:f>IF($A69="",1,IF(CA69=1,1,--AND(IF($AC69&gt;0,INDEX(CA$7:CA$106,$AC69),1),IF($AD69&gt;0,INDEX(CA$7:CA$106,$AD69),1),IF($AE69&gt;0,INDEX(CA$7:CA$106,$AE69),1),IF($AF69&gt;0,INDEX(CA$7:CA$106,$AF69),1),IF($AG69&gt;0,INDEX(CA$7:CA$106,$AG69),1),IF($AH69&gt;0,INDEX(CA$7:CA$106,$AH69),1),IF($AI69&gt;0,INDEX(CA$7:CA$106,$AI69),1),IF($AJ69&gt;0,INDEX(CA$7:CA$106,$AJ69),1))))</ns0:f>
        <ns0:v>1</ns0:v>
      </ns0:c>
      <ns0:c r="CC69" t="n">
        <ns0:f>IF($A69="",1,IF(CB69=1,1,--AND(IF($AC69&gt;0,INDEX(CB$7:CB$106,$AC69),1),IF($AD69&gt;0,INDEX(CB$7:CB$106,$AD69),1),IF($AE69&gt;0,INDEX(CB$7:CB$106,$AE69),1),IF($AF69&gt;0,INDEX(CB$7:CB$106,$AF69),1),IF($AG69&gt;0,INDEX(CB$7:CB$106,$AG69),1),IF($AH69&gt;0,INDEX(CB$7:CB$106,$AH69),1),IF($AI69&gt;0,INDEX(CB$7:CB$106,$AI69),1),IF($AJ69&gt;0,INDEX(CB$7:CB$106,$AJ69),1))))</ns0:f>
        <ns0:v>1</ns0:v>
      </ns0:c>
      <ns0:c r="CD69" t="n">
        <ns0:f>IF($A69="",1,IF(CC69=1,1,--AND(IF($AC69&gt;0,INDEX(CC$7:CC$106,$AC69),1),IF($AD69&gt;0,INDEX(CC$7:CC$106,$AD69),1),IF($AE69&gt;0,INDEX(CC$7:CC$106,$AE69),1),IF($AF69&gt;0,INDEX(CC$7:CC$106,$AF69),1),IF($AG69&gt;0,INDEX(CC$7:CC$106,$AG69),1),IF($AH69&gt;0,INDEX(CC$7:CC$106,$AH69),1),IF($AI69&gt;0,INDEX(CC$7:CC$106,$AI69),1),IF($AJ69&gt;0,INDEX(CC$7:CC$106,$AJ69),1))))</ns0:f>
        <ns0:v>1</ns0:v>
      </ns0:c>
      <ns0:c r="CE69" t="n">
        <ns0:f>IF($A69="",1,IF(CD69=1,1,--AND(IF($AC69&gt;0,INDEX(CD$7:CD$106,$AC69),1),IF($AD69&gt;0,INDEX(CD$7:CD$106,$AD69),1),IF($AE69&gt;0,INDEX(CD$7:CD$106,$AE69),1),IF($AF69&gt;0,INDEX(CD$7:CD$106,$AF69),1),IF($AG69&gt;0,INDEX(CD$7:CD$106,$AG69),1),IF($AH69&gt;0,INDEX(CD$7:CD$106,$AH69),1),IF($AI69&gt;0,INDEX(CD$7:CD$106,$AI69),1),IF($AJ69&gt;0,INDEX(CD$7:CD$106,$AJ69),1))))</ns0:f>
        <ns0:v>1</ns0:v>
      </ns0:c>
      <ns0:c r="CF69" t="n">
        <ns0:f>IF($A69="",1,IF(CE69=1,1,--AND(IF($AC69&gt;0,INDEX(CE$7:CE$106,$AC69),1),IF($AD69&gt;0,INDEX(CE$7:CE$106,$AD69),1),IF($AE69&gt;0,INDEX(CE$7:CE$106,$AE69),1),IF($AF69&gt;0,INDEX(CE$7:CE$106,$AF69),1),IF($AG69&gt;0,INDEX(CE$7:CE$106,$AG69),1),IF($AH69&gt;0,INDEX(CE$7:CE$106,$AH69),1),IF($AI69&gt;0,INDEX(CE$7:CE$106,$AI69),1),IF($AJ69&gt;0,INDEX(CE$7:CE$106,$AJ69),1))))</ns0:f>
        <ns0:v>1</ns0:v>
      </ns0:c>
      <ns0:c r="CG69" t="n">
        <ns0:f>IF($A69="",1,IF(CF69=1,1,--AND(IF($AC69&gt;0,INDEX(CF$7:CF$106,$AC69),1),IF($AD69&gt;0,INDEX(CF$7:CF$106,$AD69),1),IF($AE69&gt;0,INDEX(CF$7:CF$106,$AE69),1),IF($AF69&gt;0,INDEX(CF$7:CF$106,$AF69),1),IF($AG69&gt;0,INDEX(CF$7:CF$106,$AG69),1),IF($AH69&gt;0,INDEX(CF$7:CF$106,$AH69),1),IF($AI69&gt;0,INDEX(CF$7:CF$106,$AI69),1),IF($AJ69&gt;0,INDEX(CF$7:CF$106,$AJ69),1))))</ns0:f>
        <ns0:v>1</ns0:v>
      </ns0:c>
      <ns0:c r="CH69" t="n">
        <ns0:f>IF($A69="",1,IF(CG69=1,1,--AND(IF($AC69&gt;0,INDEX(CG$7:CG$106,$AC69),1),IF($AD69&gt;0,INDEX(CG$7:CG$106,$AD69),1),IF($AE69&gt;0,INDEX(CG$7:CG$106,$AE69),1),IF($AF69&gt;0,INDEX(CG$7:CG$106,$AF69),1),IF($AG69&gt;0,INDEX(CG$7:CG$106,$AG69),1),IF($AH69&gt;0,INDEX(CG$7:CG$106,$AH69),1),IF($AI69&gt;0,INDEX(CG$7:CG$106,$AI69),1),IF($AJ69&gt;0,INDEX(CG$7:CG$106,$AJ69),1))))</ns0:f>
        <ns0:v>1</ns0:v>
      </ns0:c>
      <ns0:c r="CI69" t="n">
        <ns0:f>IF($A69="",1,IF(CH69=1,1,--AND(IF($AC69&gt;0,INDEX(CH$7:CH$106,$AC69),1),IF($AD69&gt;0,INDEX(CH$7:CH$106,$AD69),1),IF($AE69&gt;0,INDEX(CH$7:CH$106,$AE69),1),IF($AF69&gt;0,INDEX(CH$7:CH$106,$AF69),1),IF($AG69&gt;0,INDEX(CH$7:CH$106,$AG69),1),IF($AH69&gt;0,INDEX(CH$7:CH$106,$AH69),1),IF($AI69&gt;0,INDEX(CH$7:CH$106,$AI69),1),IF($AJ69&gt;0,INDEX(CH$7:CH$106,$AJ69),1))))</ns0:f>
        <ns0:v>1</ns0:v>
      </ns0:c>
      <ns0:c r="CJ69" t="n">
        <ns0:f>IF($A69="",1,IF(CI69=1,1,--AND(IF($AC69&gt;0,INDEX(CI$7:CI$106,$AC69),1),IF($AD69&gt;0,INDEX(CI$7:CI$106,$AD69),1),IF($AE69&gt;0,INDEX(CI$7:CI$106,$AE69),1),IF($AF69&gt;0,INDEX(CI$7:CI$106,$AF69),1),IF($AG69&gt;0,INDEX(CI$7:CI$106,$AG69),1),IF($AH69&gt;0,INDEX(CI$7:CI$106,$AH69),1),IF($AI69&gt;0,INDEX(CI$7:CI$106,$AI69),1),IF($AJ69&gt;0,INDEX(CI$7:CI$106,$AJ69),1))))</ns0:f>
        <ns0:v>1</ns0:v>
      </ns0:c>
      <ns0:c r="CK69" t="n">
        <ns0:f>IF($A69="",1,IF(CJ69=1,1,--AND(IF($AC69&gt;0,INDEX(CJ$7:CJ$106,$AC69),1),IF($AD69&gt;0,INDEX(CJ$7:CJ$106,$AD69),1),IF($AE69&gt;0,INDEX(CJ$7:CJ$106,$AE69),1),IF($AF69&gt;0,INDEX(CJ$7:CJ$106,$AF69),1),IF($AG69&gt;0,INDEX(CJ$7:CJ$106,$AG69),1),IF($AH69&gt;0,INDEX(CJ$7:CJ$106,$AH69),1),IF($AI69&gt;0,INDEX(CJ$7:CJ$106,$AI69),1),IF($AJ69&gt;0,INDEX(CJ$7:CJ$106,$AJ69),1))))</ns0:f>
        <ns0:v>1</ns0:v>
      </ns0:c>
      <ns0:c r="CL69" t="n">
        <ns0:f>IF($A69="",1,IF(CK69=1,1,--AND(IF($AC69&gt;0,INDEX(CK$7:CK$106,$AC69),1),IF($AD69&gt;0,INDEX(CK$7:CK$106,$AD69),1),IF($AE69&gt;0,INDEX(CK$7:CK$106,$AE69),1),IF($AF69&gt;0,INDEX(CK$7:CK$106,$AF69),1),IF($AG69&gt;0,INDEX(CK$7:CK$106,$AG69),1),IF($AH69&gt;0,INDEX(CK$7:CK$106,$AH69),1),IF($AI69&gt;0,INDEX(CK$7:CK$106,$AI69),1),IF($AJ69&gt;0,INDEX(CK$7:CK$106,$AJ69),1))))</ns0:f>
        <ns0:v>1</ns0:v>
      </ns0:c>
      <ns0:c r="CM69" t="n">
        <ns0:f>IF($A69="",1,IF(CL69=1,1,--AND(IF($AC69&gt;0,INDEX(CL$7:CL$106,$AC69),1),IF($AD69&gt;0,INDEX(CL$7:CL$106,$AD69),1),IF($AE69&gt;0,INDEX(CL$7:CL$106,$AE69),1),IF($AF69&gt;0,INDEX(CL$7:CL$106,$AF69),1),IF($AG69&gt;0,INDEX(CL$7:CL$106,$AG69),1),IF($AH69&gt;0,INDEX(CL$7:CL$106,$AH69),1),IF($AI69&gt;0,INDEX(CL$7:CL$106,$AI69),1),IF($AJ69&gt;0,INDEX(CL$7:CL$106,$AJ69),1))))</ns0:f>
        <ns0:v>1</ns0:v>
      </ns0:c>
      <ns0:c r="CN69" t="n">
        <ns0:f>IF($A69="",1,IF(CM69=1,1,--AND(IF($AC69&gt;0,INDEX(CM$7:CM$106,$AC69),1),IF($AD69&gt;0,INDEX(CM$7:CM$106,$AD69),1),IF($AE69&gt;0,INDEX(CM$7:CM$106,$AE69),1),IF($AF69&gt;0,INDEX(CM$7:CM$106,$AF69),1),IF($AG69&gt;0,INDEX(CM$7:CM$106,$AG69),1),IF($AH69&gt;0,INDEX(CM$7:CM$106,$AH69),1),IF($AI69&gt;0,INDEX(CM$7:CM$106,$AI69),1),IF($AJ69&gt;0,INDEX(CM$7:CM$106,$AJ69),1))))</ns0:f>
        <ns0:v>1</ns0:v>
      </ns0:c>
      <ns0:c r="CO69" t="n">
        <ns0:f>IF($A69="",1,IF(CN69=1,1,--AND(IF($AC69&gt;0,INDEX(CN$7:CN$106,$AC69),1),IF($AD69&gt;0,INDEX(CN$7:CN$106,$AD69),1),IF($AE69&gt;0,INDEX(CN$7:CN$106,$AE69),1),IF($AF69&gt;0,INDEX(CN$7:CN$106,$AF69),1),IF($AG69&gt;0,INDEX(CN$7:CN$106,$AG69),1),IF($AH69&gt;0,INDEX(CN$7:CN$106,$AH69),1),IF($AI69&gt;0,INDEX(CN$7:CN$106,$AI69),1),IF($AJ69&gt;0,INDEX(CN$7:CN$106,$AJ69),1))))</ns0:f>
        <ns0:v>1</ns0:v>
      </ns0:c>
      <ns0:c r="CP69" t="n">
        <ns0:f>IF($A69="",1,IF(CO69=1,1,--AND(IF($AC69&gt;0,INDEX(CO$7:CO$106,$AC69),1),IF($AD69&gt;0,INDEX(CO$7:CO$106,$AD69),1),IF($AE69&gt;0,INDEX(CO$7:CO$106,$AE69),1),IF($AF69&gt;0,INDEX(CO$7:CO$106,$AF69),1),IF($AG69&gt;0,INDEX(CO$7:CO$106,$AG69),1),IF($AH69&gt;0,INDEX(CO$7:CO$106,$AH69),1),IF($AI69&gt;0,INDEX(CO$7:CO$106,$AI69),1),IF($AJ69&gt;0,INDEX(CO$7:CO$106,$AJ69),1))))</ns0:f>
        <ns0:v>1</ns0:v>
      </ns0:c>
      <ns0:c r="CQ69" t="n">
        <ns0:f>IF($A69="",1,IF(CP69=1,1,--AND(IF($AC69&gt;0,INDEX(CP$7:CP$106,$AC69),1),IF($AD69&gt;0,INDEX(CP$7:CP$106,$AD69),1),IF($AE69&gt;0,INDEX(CP$7:CP$106,$AE69),1),IF($AF69&gt;0,INDEX(CP$7:CP$106,$AF69),1),IF($AG69&gt;0,INDEX(CP$7:CP$106,$AG69),1),IF($AH69&gt;0,INDEX(CP$7:CP$106,$AH69),1),IF($AI69&gt;0,INDEX(CP$7:CP$106,$AI69),1),IF($AJ69&gt;0,INDEX(CP$7:CP$106,$AJ69),1))))</ns0:f>
        <ns0:v>1</ns0:v>
      </ns0:c>
      <ns0:c r="CR69" t="n">
        <ns0:f>IF($A69="",1,IF(CQ69=1,1,--AND(IF($AC69&gt;0,INDEX(CQ$7:CQ$106,$AC69),1),IF($AD69&gt;0,INDEX(CQ$7:CQ$106,$AD69),1),IF($AE69&gt;0,INDEX(CQ$7:CQ$106,$AE69),1),IF($AF69&gt;0,INDEX(CQ$7:CQ$106,$AF69),1),IF($AG69&gt;0,INDEX(CQ$7:CQ$106,$AG69),1),IF($AH69&gt;0,INDEX(CQ$7:CQ$106,$AH69),1),IF($AI69&gt;0,INDEX(CQ$7:CQ$106,$AI69),1),IF($AJ69&gt;0,INDEX(CQ$7:CQ$106,$AJ69),1))))</ns0:f>
        <ns0:v>1</ns0:v>
      </ns0:c>
      <ns0:c r="CS69" t="n">
        <ns0:f>IF($A69="",1,IF(CR69=1,1,--AND(IF($AC69&gt;0,INDEX(CR$7:CR$106,$AC69),1),IF($AD69&gt;0,INDEX(CR$7:CR$106,$AD69),1),IF($AE69&gt;0,INDEX(CR$7:CR$106,$AE69),1),IF($AF69&gt;0,INDEX(CR$7:CR$106,$AF69),1),IF($AG69&gt;0,INDEX(CR$7:CR$106,$AG69),1),IF($AH69&gt;0,INDEX(CR$7:CR$106,$AH69),1),IF($AI69&gt;0,INDEX(CR$7:CR$106,$AI69),1),IF($AJ69&gt;0,INDEX(CR$7:CR$106,$AJ69),1))))</ns0:f>
        <ns0:v>1</ns0:v>
      </ns0:c>
      <ns0:c r="CT69" t="n">
        <ns0:f>IF($A69="",1,IF(CS69=1,1,--AND(IF($AC69&gt;0,INDEX(CS$7:CS$106,$AC69),1),IF($AD69&gt;0,INDEX(CS$7:CS$106,$AD69),1),IF($AE69&gt;0,INDEX(CS$7:CS$106,$AE69),1),IF($AF69&gt;0,INDEX(CS$7:CS$106,$AF69),1),IF($AG69&gt;0,INDEX(CS$7:CS$106,$AG69),1),IF($AH69&gt;0,INDEX(CS$7:CS$106,$AH69),1),IF($AI69&gt;0,INDEX(CS$7:CS$106,$AI69),1),IF($AJ69&gt;0,INDEX(CS$7:CS$106,$AJ69),1))))</ns0:f>
        <ns0:v>1</ns0:v>
      </ns0:c>
      <ns0:c r="CU69" t="n">
        <ns0:f>IF($A69="",1,IF(CT69=1,1,--AND(IF($AC69&gt;0,INDEX(CT$7:CT$106,$AC69),1),IF($AD69&gt;0,INDEX(CT$7:CT$106,$AD69),1),IF($AE69&gt;0,INDEX(CT$7:CT$106,$AE69),1),IF($AF69&gt;0,INDEX(CT$7:CT$106,$AF69),1),IF($AG69&gt;0,INDEX(CT$7:CT$106,$AG69),1),IF($AH69&gt;0,INDEX(CT$7:CT$106,$AH69),1),IF($AI69&gt;0,INDEX(CT$7:CT$106,$AI69),1),IF($AJ69&gt;0,INDEX(CT$7:CT$106,$AJ69),1))))</ns0:f>
        <ns0:v>1</ns0:v>
      </ns0:c>
      <ns0:c r="CV69" t="n">
        <ns0:f>IF($A69="",1,IF(CU69=1,1,--AND(IF($AC69&gt;0,INDEX(CU$7:CU$106,$AC69),1),IF($AD69&gt;0,INDEX(CU$7:CU$106,$AD69),1),IF($AE69&gt;0,INDEX(CU$7:CU$106,$AE69),1),IF($AF69&gt;0,INDEX(CU$7:CU$106,$AF69),1),IF($AG69&gt;0,INDEX(CU$7:CU$106,$AG69),1),IF($AH69&gt;0,INDEX(CU$7:CU$106,$AH69),1),IF($AI69&gt;0,INDEX(CU$7:CU$106,$AI69),1),IF($AJ69&gt;0,INDEX(CU$7:CU$106,$AJ69),1))))</ns0:f>
        <ns0:v>1</ns0:v>
      </ns0:c>
      <ns0:c r="CW69" t="n">
        <ns0:f>IF($A69="",1,IF(CV69=1,1,--AND(IF($AC69&gt;0,INDEX(CV$7:CV$106,$AC69),1),IF($AD69&gt;0,INDEX(CV$7:CV$106,$AD69),1),IF($AE69&gt;0,INDEX(CV$7:CV$106,$AE69),1),IF($AF69&gt;0,INDEX(CV$7:CV$106,$AF69),1),IF($AG69&gt;0,INDEX(CV$7:CV$106,$AG69),1),IF($AH69&gt;0,INDEX(CV$7:CV$106,$AH69),1),IF($AI69&gt;0,INDEX(CV$7:CV$106,$AI69),1),IF($AJ69&gt;0,INDEX(CV$7:CV$106,$AJ69),1))))</ns0:f>
        <ns0:v>1</ns0:v>
      </ns0:c>
      <ns0:c r="CX69" t="n">
        <ns0:f>IF($A69="",1,IF(CW69=1,1,--AND(IF($AC69&gt;0,INDEX(CW$7:CW$106,$AC69),1),IF($AD69&gt;0,INDEX(CW$7:CW$106,$AD69),1),IF($AE69&gt;0,INDEX(CW$7:CW$106,$AE69),1),IF($AF69&gt;0,INDEX(CW$7:CW$106,$AF69),1),IF($AG69&gt;0,INDEX(CW$7:CW$106,$AG69),1),IF($AH69&gt;0,INDEX(CW$7:CW$106,$AH69),1),IF($AI69&gt;0,INDEX(CW$7:CW$106,$AI69),1),IF($AJ69&gt;0,INDEX(CW$7:CW$106,$AJ69),1))))</ns0:f>
        <ns0:v>1</ns0:v>
      </ns0:c>
      <ns0:c r="CY69" t="n">
        <ns0:f>IF($A69="",1,IF(CX69=1,1,--AND(IF($AC69&gt;0,INDEX(CX$7:CX$106,$AC69),1),IF($AD69&gt;0,INDEX(CX$7:CX$106,$AD69),1),IF($AE69&gt;0,INDEX(CX$7:CX$106,$AE69),1),IF($AF69&gt;0,INDEX(CX$7:CX$106,$AF69),1),IF($AG69&gt;0,INDEX(CX$7:CX$106,$AG69),1),IF($AH69&gt;0,INDEX(CX$7:CX$106,$AH69),1),IF($AI69&gt;0,INDEX(CX$7:CX$106,$AI69),1),IF($AJ69&gt;0,INDEX(CX$7:CX$106,$AJ69),1))))</ns0:f>
        <ns0:v>1</ns0:v>
      </ns0:c>
      <ns0:c r="CZ69" t="n">
        <ns0:f>IF($A69="",1,IF(CY69=1,1,--AND(IF($AC69&gt;0,INDEX(CY$7:CY$106,$AC69),1),IF($AD69&gt;0,INDEX(CY$7:CY$106,$AD69),1),IF($AE69&gt;0,INDEX(CY$7:CY$106,$AE69),1),IF($AF69&gt;0,INDEX(CY$7:CY$106,$AF69),1),IF($AG69&gt;0,INDEX(CY$7:CY$106,$AG69),1),IF($AH69&gt;0,INDEX(CY$7:CY$106,$AH69),1),IF($AI69&gt;0,INDEX(CY$7:CY$106,$AI69),1),IF($AJ69&gt;0,INDEX(CY$7:CY$106,$AJ69),1))))</ns0:f>
        <ns0:v>1</ns0:v>
      </ns0:c>
      <ns0:c r="DA69" t="n">
        <ns0:f>IF($A69="",1,IF(CZ69=1,1,--AND(IF($AC69&gt;0,INDEX(CZ$7:CZ$106,$AC69),1),IF($AD69&gt;0,INDEX(CZ$7:CZ$106,$AD69),1),IF($AE69&gt;0,INDEX(CZ$7:CZ$106,$AE69),1),IF($AF69&gt;0,INDEX(CZ$7:CZ$106,$AF69),1),IF($AG69&gt;0,INDEX(CZ$7:CZ$106,$AG69),1),IF($AH69&gt;0,INDEX(CZ$7:CZ$106,$AH69),1),IF($AI69&gt;0,INDEX(CZ$7:CZ$106,$AI69),1),IF($AJ69&gt;0,INDEX(CZ$7:CZ$106,$AJ69),1))))</ns0:f>
        <ns0:v>1</ns0:v>
      </ns0:c>
      <ns0:c r="DB69" t="n">
        <ns0:f>IF($A69="",1,IF(DA69=1,1,--AND(IF($AC69&gt;0,INDEX(DA$7:DA$106,$AC69),1),IF($AD69&gt;0,INDEX(DA$7:DA$106,$AD69),1),IF($AE69&gt;0,INDEX(DA$7:DA$106,$AE69),1),IF($AF69&gt;0,INDEX(DA$7:DA$106,$AF69),1),IF($AG69&gt;0,INDEX(DA$7:DA$106,$AG69),1),IF($AH69&gt;0,INDEX(DA$7:DA$106,$AH69),1),IF($AI69&gt;0,INDEX(DA$7:DA$106,$AI69),1),IF($AJ69&gt;0,INDEX(DA$7:DA$106,$AJ69),1))))</ns0:f>
        <ns0:v>1</ns0:v>
      </ns0:c>
      <ns0:c r="DC69" t="n">
        <ns0:f>IF($A69="",1,IF(DB69=1,1,--AND(IF($AC69&gt;0,INDEX(DB$7:DB$106,$AC69),1),IF($AD69&gt;0,INDEX(DB$7:DB$106,$AD69),1),IF($AE69&gt;0,INDEX(DB$7:DB$106,$AE69),1),IF($AF69&gt;0,INDEX(DB$7:DB$106,$AF69),1),IF($AG69&gt;0,INDEX(DB$7:DB$106,$AG69),1),IF($AH69&gt;0,INDEX(DB$7:DB$106,$AH69),1),IF($AI69&gt;0,INDEX(DB$7:DB$106,$AI69),1),IF($AJ69&gt;0,INDEX(DB$7:DB$106,$AJ69),1))))</ns0:f>
        <ns0:v>1</ns0:v>
      </ns0:c>
      <ns0:c r="DD69" t="n">
        <ns0:f>IF($A69="",1,IF(DC69=1,1,--AND(IF($AC69&gt;0,INDEX(DC$7:DC$106,$AC69),1),IF($AD69&gt;0,INDEX(DC$7:DC$106,$AD69),1),IF($AE69&gt;0,INDEX(DC$7:DC$106,$AE69),1),IF($AF69&gt;0,INDEX(DC$7:DC$106,$AF69),1),IF($AG69&gt;0,INDEX(DC$7:DC$106,$AG69),1),IF($AH69&gt;0,INDEX(DC$7:DC$106,$AH69),1),IF($AI69&gt;0,INDEX(DC$7:DC$106,$AI69),1),IF($AJ69&gt;0,INDEX(DC$7:DC$106,$AJ69),1))))</ns0:f>
        <ns0:v>1</ns0:v>
      </ns0:c>
      <ns0:c r="DE69" t="n">
        <ns0:f>IF($A69="",1,IF(DD69=1,1,--AND(IF($AC69&gt;0,INDEX(DD$7:DD$106,$AC69),1),IF($AD69&gt;0,INDEX(DD$7:DD$106,$AD69),1),IF($AE69&gt;0,INDEX(DD$7:DD$106,$AE69),1),IF($AF69&gt;0,INDEX(DD$7:DD$106,$AF69),1),IF($AG69&gt;0,INDEX(DD$7:DD$106,$AG69),1),IF($AH69&gt;0,INDEX(DD$7:DD$106,$AH69),1),IF($AI69&gt;0,INDEX(DD$7:DD$106,$AI69),1),IF($AJ69&gt;0,INDEX(DD$7:DD$106,$AJ69),1))))</ns0:f>
        <ns0:v>1</ns0:v>
      </ns0:c>
      <ns0:c r="DF69" t="n">
        <ns0:f>IF($A69="",1,IF(DE69=1,1,--AND(IF($AC69&gt;0,INDEX(DE$7:DE$106,$AC69),1),IF($AD69&gt;0,INDEX(DE$7:DE$106,$AD69),1),IF($AE69&gt;0,INDEX(DE$7:DE$106,$AE69),1),IF($AF69&gt;0,INDEX(DE$7:DE$106,$AF69),1),IF($AG69&gt;0,INDEX(DE$7:DE$106,$AG69),1),IF($AH69&gt;0,INDEX(DE$7:DE$106,$AH69),1),IF($AI69&gt;0,INDEX(DE$7:DE$106,$AI69),1),IF($AJ69&gt;0,INDEX(DE$7:DE$106,$AJ69),1))))</ns0:f>
        <ns0:v>1</ns0:v>
      </ns0:c>
      <ns0:c r="DG69" t="n">
        <ns0:f>IF($A69="",1,IF(DF69=1,1,--AND(IF($AC69&gt;0,INDEX(DF$7:DF$106,$AC69),1),IF($AD69&gt;0,INDEX(DF$7:DF$106,$AD69),1),IF($AE69&gt;0,INDEX(DF$7:DF$106,$AE69),1),IF($AF69&gt;0,INDEX(DF$7:DF$106,$AF69),1),IF($AG69&gt;0,INDEX(DF$7:DF$106,$AG69),1),IF($AH69&gt;0,INDEX(DF$7:DF$106,$AH69),1),IF($AI69&gt;0,INDEX(DF$7:DF$106,$AI69),1),IF($AJ69&gt;0,INDEX(DF$7:DF$106,$AJ69),1))))</ns0:f>
        <ns0:v>1</ns0:v>
      </ns0:c>
      <ns0:c r="DH69" t="n">
        <ns0:f>IF($A69="",1,IF(DG69=1,1,--AND(IF($AC69&gt;0,INDEX(DG$7:DG$106,$AC69),1),IF($AD69&gt;0,INDEX(DG$7:DG$106,$AD69),1),IF($AE69&gt;0,INDEX(DG$7:DG$106,$AE69),1),IF($AF69&gt;0,INDEX(DG$7:DG$106,$AF69),1),IF($AG69&gt;0,INDEX(DG$7:DG$106,$AG69),1),IF($AH69&gt;0,INDEX(DG$7:DG$106,$AH69),1),IF($AI69&gt;0,INDEX(DG$7:DG$106,$AI69),1),IF($AJ69&gt;0,INDEX(DG$7:DG$106,$AJ69),1))))</ns0:f>
        <ns0:v>1</ns0:v>
      </ns0:c>
      <ns0:c r="DI69" t="n">
        <ns0:f>IF($A69="",1,IF(DH69=1,1,--AND(IF($AC69&gt;0,INDEX(DH$7:DH$106,$AC69),1),IF($AD69&gt;0,INDEX(DH$7:DH$106,$AD69),1),IF($AE69&gt;0,INDEX(DH$7:DH$106,$AE69),1),IF($AF69&gt;0,INDEX(DH$7:DH$106,$AF69),1),IF($AG69&gt;0,INDEX(DH$7:DH$106,$AG69),1),IF($AH69&gt;0,INDEX(DH$7:DH$106,$AH69),1),IF($AI69&gt;0,INDEX(DH$7:DH$106,$AI69),1),IF($AJ69&gt;0,INDEX(DH$7:DH$106,$AJ69),1))))</ns0:f>
        <ns0:v>1</ns0:v>
      </ns0:c>
      <ns0:c r="DJ69" t="n">
        <ns0:f>IF($A69="",1,IF(DI69=1,1,--AND(IF($AC69&gt;0,INDEX(DI$7:DI$106,$AC69),1),IF($AD69&gt;0,INDEX(DI$7:DI$106,$AD69),1),IF($AE69&gt;0,INDEX(DI$7:DI$106,$AE69),1),IF($AF69&gt;0,INDEX(DI$7:DI$106,$AF69),1),IF($AG69&gt;0,INDEX(DI$7:DI$106,$AG69),1),IF($AH69&gt;0,INDEX(DI$7:DI$106,$AH69),1),IF($AI69&gt;0,INDEX(DI$7:DI$106,$AI69),1),IF($AJ69&gt;0,INDEX(DI$7:DI$106,$AJ69),1))))</ns0:f>
        <ns0:v>1</ns0:v>
      </ns0:c>
      <ns0:c r="DK69" t="n">
        <ns0:f>IF($A69="",1,IF(DJ69=1,1,--AND(IF($AC69&gt;0,INDEX(DJ$7:DJ$106,$AC69),1),IF($AD69&gt;0,INDEX(DJ$7:DJ$106,$AD69),1),IF($AE69&gt;0,INDEX(DJ$7:DJ$106,$AE69),1),IF($AF69&gt;0,INDEX(DJ$7:DJ$106,$AF69),1),IF($AG69&gt;0,INDEX(DJ$7:DJ$106,$AG69),1),IF($AH69&gt;0,INDEX(DJ$7:DJ$106,$AH69),1),IF($AI69&gt;0,INDEX(DJ$7:DJ$106,$AI69),1),IF($AJ69&gt;0,INDEX(DJ$7:DJ$106,$AJ69),1))))</ns0:f>
        <ns0:v>1</ns0:v>
      </ns0:c>
      <ns0:c r="DL69" t="n">
        <ns0:f>IF($A69="",1,IF(DK69=1,1,--AND(IF($AC69&gt;0,INDEX(DK$7:DK$106,$AC69),1),IF($AD69&gt;0,INDEX(DK$7:DK$106,$AD69),1),IF($AE69&gt;0,INDEX(DK$7:DK$106,$AE69),1),IF($AF69&gt;0,INDEX(DK$7:DK$106,$AF69),1),IF($AG69&gt;0,INDEX(DK$7:DK$106,$AG69),1),IF($AH69&gt;0,INDEX(DK$7:DK$106,$AH69),1),IF($AI69&gt;0,INDEX(DK$7:DK$106,$AI69),1),IF($AJ69&gt;0,INDEX(DK$7:DK$106,$AJ69),1))))</ns0:f>
        <ns0:v>1</ns0:v>
      </ns0:c>
      <ns0:c r="DM69" t="n">
        <ns0:f>IF($A69="",1,IF(DL69=1,1,--AND(IF($AC69&gt;0,INDEX(DL$7:DL$106,$AC69),1),IF($AD69&gt;0,INDEX(DL$7:DL$106,$AD69),1),IF($AE69&gt;0,INDEX(DL$7:DL$106,$AE69),1),IF($AF69&gt;0,INDEX(DL$7:DL$106,$AF69),1),IF($AG69&gt;0,INDEX(DL$7:DL$106,$AG69),1),IF($AH69&gt;0,INDEX(DL$7:DL$106,$AH69),1),IF($AI69&gt;0,INDEX(DL$7:DL$106,$AI69),1),IF($AJ69&gt;0,INDEX(DL$7:DL$106,$AJ69),1))))</ns0:f>
        <ns0:v>1</ns0:v>
      </ns0:c>
      <ns0:c r="DN69" t="n">
        <ns0:f>IF($A69="",1,IF(DM69=1,1,--AND(IF($AC69&gt;0,INDEX(DM$7:DM$106,$AC69),1),IF($AD69&gt;0,INDEX(DM$7:DM$106,$AD69),1),IF($AE69&gt;0,INDEX(DM$7:DM$106,$AE69),1),IF($AF69&gt;0,INDEX(DM$7:DM$106,$AF69),1),IF($AG69&gt;0,INDEX(DM$7:DM$106,$AG69),1),IF($AH69&gt;0,INDEX(DM$7:DM$106,$AH69),1),IF($AI69&gt;0,INDEX(DM$7:DM$106,$AI69),1),IF($AJ69&gt;0,INDEX(DM$7:DM$106,$AJ69),1))))</ns0:f>
        <ns0:v>1</ns0:v>
      </ns0:c>
      <ns0:c r="DO69" t="n">
        <ns0:f>IF($A69="",1,IF(DN69=1,1,--AND(IF($AC69&gt;0,INDEX(DN$7:DN$106,$AC69),1),IF($AD69&gt;0,INDEX(DN$7:DN$106,$AD69),1),IF($AE69&gt;0,INDEX(DN$7:DN$106,$AE69),1),IF($AF69&gt;0,INDEX(DN$7:DN$106,$AF69),1),IF($AG69&gt;0,INDEX(DN$7:DN$106,$AG69),1),IF($AH69&gt;0,INDEX(DN$7:DN$106,$AH69),1),IF($AI69&gt;0,INDEX(DN$7:DN$106,$AI69),1),IF($AJ69&gt;0,INDEX(DN$7:DN$106,$AJ69),1))))</ns0:f>
        <ns0:v>1</ns0:v>
      </ns0:c>
      <ns0:c r="DP69" t="n">
        <ns0:f>IF($A69="",1,IF(DO69=1,1,--AND(IF($AC69&gt;0,INDEX(DO$7:DO$106,$AC69),1),IF($AD69&gt;0,INDEX(DO$7:DO$106,$AD69),1),IF($AE69&gt;0,INDEX(DO$7:DO$106,$AE69),1),IF($AF69&gt;0,INDEX(DO$7:DO$106,$AF69),1),IF($AG69&gt;0,INDEX(DO$7:DO$106,$AG69),1),IF($AH69&gt;0,INDEX(DO$7:DO$106,$AH69),1),IF($AI69&gt;0,INDEX(DO$7:DO$106,$AI69),1),IF($AJ69&gt;0,INDEX(DO$7:DO$106,$AJ69),1))))</ns0:f>
        <ns0:v>1</ns0:v>
      </ns0:c>
      <ns0:c r="DQ69" t="n">
        <ns0:f>IF($A69="",1,IF(DP69=1,1,--AND(IF($AC69&gt;0,INDEX(DP$7:DP$106,$AC69),1),IF($AD69&gt;0,INDEX(DP$7:DP$106,$AD69),1),IF($AE69&gt;0,INDEX(DP$7:DP$106,$AE69),1),IF($AF69&gt;0,INDEX(DP$7:DP$106,$AF69),1),IF($AG69&gt;0,INDEX(DP$7:DP$106,$AG69),1),IF($AH69&gt;0,INDEX(DP$7:DP$106,$AH69),1),IF($AI69&gt;0,INDEX(DP$7:DP$106,$AI69),1),IF($AJ69&gt;0,INDEX(DP$7:DP$106,$AJ69),1))))</ns0:f>
        <ns0:v>1</ns0:v>
      </ns0:c>
      <ns0:c r="DR69" t="n">
        <ns0:f>IF($A69="",1,IF(DQ69=1,1,--AND(IF($AC69&gt;0,INDEX(DQ$7:DQ$106,$AC69),1),IF($AD69&gt;0,INDEX(DQ$7:DQ$106,$AD69),1),IF($AE69&gt;0,INDEX(DQ$7:DQ$106,$AE69),1),IF($AF69&gt;0,INDEX(DQ$7:DQ$106,$AF69),1),IF($AG69&gt;0,INDEX(DQ$7:DQ$106,$AG69),1),IF($AH69&gt;0,INDEX(DQ$7:DQ$106,$AH69),1),IF($AI69&gt;0,INDEX(DQ$7:DQ$106,$AI69),1),IF($AJ69&gt;0,INDEX(DQ$7:DQ$106,$AJ69),1))))</ns0:f>
        <ns0:v>1</ns0:v>
      </ns0:c>
      <ns0:c r="DS69" t="n">
        <ns0:f>IF($A69="",1,IF(DR69=1,1,--AND(IF($AC69&gt;0,INDEX(DR$7:DR$106,$AC69),1),IF($AD69&gt;0,INDEX(DR$7:DR$106,$AD69),1),IF($AE69&gt;0,INDEX(DR$7:DR$106,$AE69),1),IF($AF69&gt;0,INDEX(DR$7:DR$106,$AF69),1),IF($AG69&gt;0,INDEX(DR$7:DR$106,$AG69),1),IF($AH69&gt;0,INDEX(DR$7:DR$106,$AH69),1),IF($AI69&gt;0,INDEX(DR$7:DR$106,$AI69),1),IF($AJ69&gt;0,INDEX(DR$7:DR$106,$AJ69),1))))</ns0:f>
        <ns0:v>1</ns0:v>
      </ns0:c>
      <ns0:c r="DT69" t="n">
        <ns0:f>IF($A69="",1,IF(DS69=1,1,--AND(IF($AC69&gt;0,INDEX(DS$7:DS$106,$AC69),1),IF($AD69&gt;0,INDEX(DS$7:DS$106,$AD69),1),IF($AE69&gt;0,INDEX(DS$7:DS$106,$AE69),1),IF($AF69&gt;0,INDEX(DS$7:DS$106,$AF69),1),IF($AG69&gt;0,INDEX(DS$7:DS$106,$AG69),1),IF($AH69&gt;0,INDEX(DS$7:DS$106,$AH69),1),IF($AI69&gt;0,INDEX(DS$7:DS$106,$AI69),1),IF($AJ69&gt;0,INDEX(DS$7:DS$106,$AJ69),1))))</ns0:f>
        <ns0:v>1</ns0:v>
      </ns0:c>
      <ns0:c r="DU69" t="n">
        <ns0:f>IF($A69="",1,IF(DT69=1,1,--AND(IF($AC69&gt;0,INDEX(DT$7:DT$106,$AC69),1),IF($AD69&gt;0,INDEX(DT$7:DT$106,$AD69),1),IF($AE69&gt;0,INDEX(DT$7:DT$106,$AE69),1),IF($AF69&gt;0,INDEX(DT$7:DT$106,$AF69),1),IF($AG69&gt;0,INDEX(DT$7:DT$106,$AG69),1),IF($AH69&gt;0,INDEX(DT$7:DT$106,$AH69),1),IF($AI69&gt;0,INDEX(DT$7:DT$106,$AI69),1),IF($AJ69&gt;0,INDEX(DT$7:DT$106,$AJ69),1))))</ns0:f>
        <ns0:v>1</ns0:v>
      </ns0:c>
      <ns0:c r="DV69" t="n">
        <ns0:f>IF($A69="",1,IF(DU69=1,1,--AND(IF($AC69&gt;0,INDEX(DU$7:DU$106,$AC69),1),IF($AD69&gt;0,INDEX(DU$7:DU$106,$AD69),1),IF($AE69&gt;0,INDEX(DU$7:DU$106,$AE69),1),IF($AF69&gt;0,INDEX(DU$7:DU$106,$AF69),1),IF($AG69&gt;0,INDEX(DU$7:DU$106,$AG69),1),IF($AH69&gt;0,INDEX(DU$7:DU$106,$AH69),1),IF($AI69&gt;0,INDEX(DU$7:DU$106,$AI69),1),IF($AJ69&gt;0,INDEX(DU$7:DU$106,$AJ69),1))))</ns0:f>
        <ns0:v>1</ns0:v>
      </ns0:c>
      <ns0:c r="DW69" t="n">
        <ns0:f>IF($A69="",1,IF(DV69=1,1,--AND(IF($AC69&gt;0,INDEX(DV$7:DV$106,$AC69),1),IF($AD69&gt;0,INDEX(DV$7:DV$106,$AD69),1),IF($AE69&gt;0,INDEX(DV$7:DV$106,$AE69),1),IF($AF69&gt;0,INDEX(DV$7:DV$106,$AF69),1),IF($AG69&gt;0,INDEX(DV$7:DV$106,$AG69),1),IF($AH69&gt;0,INDEX(DV$7:DV$106,$AH69),1),IF($AI69&gt;0,INDEX(DV$7:DV$106,$AI69),1),IF($AJ69&gt;0,INDEX(DV$7:DV$106,$AJ69),1))))</ns0:f>
        <ns0:v>1</ns0:v>
      </ns0:c>
      <ns0:c r="DX69" t="n">
        <ns0:f>IF($A69="",1,IF(DW69=1,1,--AND(IF($AC69&gt;0,INDEX(DW$7:DW$106,$AC69),1),IF($AD69&gt;0,INDEX(DW$7:DW$106,$AD69),1),IF($AE69&gt;0,INDEX(DW$7:DW$106,$AE69),1),IF($AF69&gt;0,INDEX(DW$7:DW$106,$AF69),1),IF($AG69&gt;0,INDEX(DW$7:DW$106,$AG69),1),IF($AH69&gt;0,INDEX(DW$7:DW$106,$AH69),1),IF($AI69&gt;0,INDEX(DW$7:DW$106,$AI69),1),IF($AJ69&gt;0,INDEX(DW$7:DW$106,$AJ69),1))))</ns0:f>
        <ns0:v>1</ns0:v>
      </ns0:c>
      <ns0:c r="DY69" t="n">
        <ns0:f>IF($A69="",1,IF(DX69=1,1,--AND(IF($AC69&gt;0,INDEX(DX$7:DX$106,$AC69),1),IF($AD69&gt;0,INDEX(DX$7:DX$106,$AD69),1),IF($AE69&gt;0,INDEX(DX$7:DX$106,$AE69),1),IF($AF69&gt;0,INDEX(DX$7:DX$106,$AF69),1),IF($AG69&gt;0,INDEX(DX$7:DX$106,$AG69),1),IF($AH69&gt;0,INDEX(DX$7:DX$106,$AH69),1),IF($AI69&gt;0,INDEX(DX$7:DX$106,$AI69),1),IF($AJ69&gt;0,INDEX(DX$7:DX$106,$AJ69),1))))</ns0:f>
        <ns0:v>1</ns0:v>
      </ns0:c>
      <ns0:c r="DZ69" t="n">
        <ns0:f>IF($A69="",1,IF(DY69=1,1,--AND(IF($AC69&gt;0,INDEX(DY$7:DY$106,$AC69),1),IF($AD69&gt;0,INDEX(DY$7:DY$106,$AD69),1),IF($AE69&gt;0,INDEX(DY$7:DY$106,$AE69),1),IF($AF69&gt;0,INDEX(DY$7:DY$106,$AF69),1),IF($AG69&gt;0,INDEX(DY$7:DY$106,$AG69),1),IF($AH69&gt;0,INDEX(DY$7:DY$106,$AH69),1),IF($AI69&gt;0,INDEX(DY$7:DY$106,$AI69),1),IF($AJ69&gt;0,INDEX(DY$7:DY$106,$AJ69),1))))</ns0:f>
        <ns0:v>1</ns0:v>
      </ns0:c>
      <ns0:c r="EA69" t="n">
        <ns0:f>IF($A69="",1,IF(DZ69=1,1,--AND(IF($AC69&gt;0,INDEX(DZ$7:DZ$106,$AC69),1),IF($AD69&gt;0,INDEX(DZ$7:DZ$106,$AD69),1),IF($AE69&gt;0,INDEX(DZ$7:DZ$106,$AE69),1),IF($AF69&gt;0,INDEX(DZ$7:DZ$106,$AF69),1),IF($AG69&gt;0,INDEX(DZ$7:DZ$106,$AG69),1),IF($AH69&gt;0,INDEX(DZ$7:DZ$106,$AH69),1),IF($AI69&gt;0,INDEX(DZ$7:DZ$106,$AI69),1),IF($AJ69&gt;0,INDEX(DZ$7:DZ$106,$AJ69),1))))</ns0:f>
        <ns0:v>1</ns0:v>
      </ns0:c>
      <ns0:c r="EB69" t="n">
        <ns0:f>IF($A69="",1,IF(EA69=1,1,--AND(IF($AC69&gt;0,INDEX(EA$7:EA$106,$AC69),1),IF($AD69&gt;0,INDEX(EA$7:EA$106,$AD69),1),IF($AE69&gt;0,INDEX(EA$7:EA$106,$AE69),1),IF($AF69&gt;0,INDEX(EA$7:EA$106,$AF69),1),IF($AG69&gt;0,INDEX(EA$7:EA$106,$AG69),1),IF($AH69&gt;0,INDEX(EA$7:EA$106,$AH69),1),IF($AI69&gt;0,INDEX(EA$7:EA$106,$AI69),1),IF($AJ69&gt;0,INDEX(EA$7:EA$106,$AJ69),1))))</ns0:f>
        <ns0:v>1</ns0:v>
      </ns0:c>
      <ns0:c r="EC69" t="n">
        <ns0:f>IF($A69="",1,IF(EB69=1,1,--AND(IF($AC69&gt;0,INDEX(EB$7:EB$106,$AC69),1),IF($AD69&gt;0,INDEX(EB$7:EB$106,$AD69),1),IF($AE69&gt;0,INDEX(EB$7:EB$106,$AE69),1),IF($AF69&gt;0,INDEX(EB$7:EB$106,$AF69),1),IF($AG69&gt;0,INDEX(EB$7:EB$106,$AG69),1),IF($AH69&gt;0,INDEX(EB$7:EB$106,$AH69),1),IF($AI69&gt;0,INDEX(EB$7:EB$106,$AI69),1),IF($AJ69&gt;0,INDEX(EB$7:EB$106,$AJ69),1))))</ns0:f>
        <ns0:v>1</ns0:v>
      </ns0:c>
      <ns0:c r="ED69" t="n">
        <ns0:f>IF($A69="",1,IF(EC69=1,1,--AND(IF($AC69&gt;0,INDEX(EC$7:EC$106,$AC69),1),IF($AD69&gt;0,INDEX(EC$7:EC$106,$AD69),1),IF($AE69&gt;0,INDEX(EC$7:EC$106,$AE69),1),IF($AF69&gt;0,INDEX(EC$7:EC$106,$AF69),1),IF($AG69&gt;0,INDEX(EC$7:EC$106,$AG69),1),IF($AH69&gt;0,INDEX(EC$7:EC$106,$AH69),1),IF($AI69&gt;0,INDEX(EC$7:EC$106,$AI69),1),IF($AJ69&gt;0,INDEX(EC$7:EC$106,$AJ69),1))))</ns0:f>
        <ns0:v>1</ns0:v>
      </ns0:c>
      <ns0:c r="EE69" t="n">
        <ns0:f>IF($A69="",1,IF(ED69=1,1,--AND(IF($AC69&gt;0,INDEX(ED$7:ED$106,$AC69),1),IF($AD69&gt;0,INDEX(ED$7:ED$106,$AD69),1),IF($AE69&gt;0,INDEX(ED$7:ED$106,$AE69),1),IF($AF69&gt;0,INDEX(ED$7:ED$106,$AF69),1),IF($AG69&gt;0,INDEX(ED$7:ED$106,$AG69),1),IF($AH69&gt;0,INDEX(ED$7:ED$106,$AH69),1),IF($AI69&gt;0,INDEX(ED$7:ED$106,$AI69),1),IF($AJ69&gt;0,INDEX(ED$7:ED$106,$AJ69),1))))</ns0:f>
        <ns0:v>1</ns0:v>
      </ns0:c>
      <ns0:c r="EF69" t="n">
        <ns0:f>IF($A69="",1,IF(EE69=1,1,--AND(IF($AC69&gt;0,INDEX(EE$7:EE$106,$AC69),1),IF($AD69&gt;0,INDEX(EE$7:EE$106,$AD69),1),IF($AE69&gt;0,INDEX(EE$7:EE$106,$AE69),1),IF($AF69&gt;0,INDEX(EE$7:EE$106,$AF69),1),IF($AG69&gt;0,INDEX(EE$7:EE$106,$AG69),1),IF($AH69&gt;0,INDEX(EE$7:EE$106,$AH69),1),IF($AI69&gt;0,INDEX(EE$7:EE$106,$AI69),1),IF($AJ69&gt;0,INDEX(EE$7:EE$106,$AJ69),1))))</ns0:f>
        <ns0:v>1</ns0:v>
      </ns0:c>
      <ns0:c r="EG69" t="n">
        <ns0:f>IF($A69="",1,IF(EF69=1,1,--AND(IF($AC69&gt;0,INDEX(EF$7:EF$106,$AC69),1),IF($AD69&gt;0,INDEX(EF$7:EF$106,$AD69),1),IF($AE69&gt;0,INDEX(EF$7:EF$106,$AE69),1),IF($AF69&gt;0,INDEX(EF$7:EF$106,$AF69),1),IF($AG69&gt;0,INDEX(EF$7:EF$106,$AG69),1),IF($AH69&gt;0,INDEX(EF$7:EF$106,$AH69),1),IF($AI69&gt;0,INDEX(EF$7:EF$106,$AI69),1),IF($AJ69&gt;0,INDEX(EF$7:EF$106,$AJ69),1))))</ns0:f>
        <ns0:v>1</ns0:v>
      </ns0:c>
      <ns0:c r="EH69" t="n">
        <ns0:f>IF($A69="",1,IF(EG69=1,1,--AND(IF($AC69&gt;0,INDEX(EG$7:EG$106,$AC69),1),IF($AD69&gt;0,INDEX(EG$7:EG$106,$AD69),1),IF($AE69&gt;0,INDEX(EG$7:EG$106,$AE69),1),IF($AF69&gt;0,INDEX(EG$7:EG$106,$AF69),1),IF($AG69&gt;0,INDEX(EG$7:EG$106,$AG69),1),IF($AH69&gt;0,INDEX(EG$7:EG$106,$AH69),1),IF($AI69&gt;0,INDEX(EG$7:EG$106,$AI69),1),IF($AJ69&gt;0,INDEX(EG$7:EG$106,$AJ69),1))))</ns0:f>
        <ns0:v>1</ns0:v>
      </ns0:c>
      <ns0:c r="EI69" t="n">
        <ns0:f>IF($A69="",1,IF(EH69=1,1,--AND(IF($AC69&gt;0,INDEX(EH$7:EH$106,$AC69),1),IF($AD69&gt;0,INDEX(EH$7:EH$106,$AD69),1),IF($AE69&gt;0,INDEX(EH$7:EH$106,$AE69),1),IF($AF69&gt;0,INDEX(EH$7:EH$106,$AF69),1),IF($AG69&gt;0,INDEX(EH$7:EH$106,$AG69),1),IF($AH69&gt;0,INDEX(EH$7:EH$106,$AH69),1),IF($AI69&gt;0,INDEX(EH$7:EH$106,$AI69),1),IF($AJ69&gt;0,INDEX(EH$7:EH$106,$AJ69),1))))</ns0:f>
        <ns0:v>1</ns0:v>
      </ns0:c>
      <ns0:c r="EJ69" t="n">
        <ns0:f>IF($A69="",1,IF(EI69=1,1,--AND(IF($AC69&gt;0,INDEX(EI$7:EI$106,$AC69),1),IF($AD69&gt;0,INDEX(EI$7:EI$106,$AD69),1),IF($AE69&gt;0,INDEX(EI$7:EI$106,$AE69),1),IF($AF69&gt;0,INDEX(EI$7:EI$106,$AF69),1),IF($AG69&gt;0,INDEX(EI$7:EI$106,$AG69),1),IF($AH69&gt;0,INDEX(EI$7:EI$106,$AH69),1),IF($AI69&gt;0,INDEX(EI$7:EI$106,$AI69),1),IF($AJ69&gt;0,INDEX(EI$7:EI$106,$AJ69),1))))</ns0:f>
        <ns0:v>1</ns0:v>
      </ns0:c>
      <ns0:c r="EK69" t="n">
        <ns0:f>IF($A69="",1,IF(EJ69=1,1,--AND(IF($AC69&gt;0,INDEX(EJ$7:EJ$106,$AC69),1),IF($AD69&gt;0,INDEX(EJ$7:EJ$106,$AD69),1),IF($AE69&gt;0,INDEX(EJ$7:EJ$106,$AE69),1),IF($AF69&gt;0,INDEX(EJ$7:EJ$106,$AF69),1),IF($AG69&gt;0,INDEX(EJ$7:EJ$106,$AG69),1),IF($AH69&gt;0,INDEX(EJ$7:EJ$106,$AH69),1),IF($AI69&gt;0,INDEX(EJ$7:EJ$106,$AI69),1),IF($AJ69&gt;0,INDEX(EJ$7:EJ$106,$AJ69),1))))</ns0:f>
        <ns0:v>1</ns0:v>
      </ns0:c>
      <ns0:c r="EL69" t="n">
        <ns0:f>IF($A69="",1,IF(EK69=1,1,--AND(IF($AC69&gt;0,INDEX(EK$7:EK$106,$AC69),1),IF($AD69&gt;0,INDEX(EK$7:EK$106,$AD69),1),IF($AE69&gt;0,INDEX(EK$7:EK$106,$AE69),1),IF($AF69&gt;0,INDEX(EK$7:EK$106,$AF69),1),IF($AG69&gt;0,INDEX(EK$7:EK$106,$AG69),1),IF($AH69&gt;0,INDEX(EK$7:EK$106,$AH69),1),IF($AI69&gt;0,INDEX(EK$7:EK$106,$AI69),1),IF($AJ69&gt;0,INDEX(EK$7:EK$106,$AJ69),1))))</ns0:f>
        <ns0:v>1</ns0:v>
      </ns0:c>
      <ns0:c r="EM69" t="n">
        <ns0:f>IF($A69="",1,IF(EL69=1,1,--AND(IF($AC69&gt;0,INDEX(EL$7:EL$106,$AC69),1),IF($AD69&gt;0,INDEX(EL$7:EL$106,$AD69),1),IF($AE69&gt;0,INDEX(EL$7:EL$106,$AE69),1),IF($AF69&gt;0,INDEX(EL$7:EL$106,$AF69),1),IF($AG69&gt;0,INDEX(EL$7:EL$106,$AG69),1),IF($AH69&gt;0,INDEX(EL$7:EL$106,$AH69),1),IF($AI69&gt;0,INDEX(EL$7:EL$106,$AI69),1),IF($AJ69&gt;0,INDEX(EL$7:EL$106,$AJ69),1))))</ns0:f>
        <ns0:v>1</ns0:v>
      </ns0:c>
      <ns0:c r="EN69" t="n">
        <ns0:f>IF($A69="",1,IF(EM69=1,1,--AND(IF($AC69&gt;0,INDEX(EM$7:EM$106,$AC69),1),IF($AD69&gt;0,INDEX(EM$7:EM$106,$AD69),1),IF($AE69&gt;0,INDEX(EM$7:EM$106,$AE69),1),IF($AF69&gt;0,INDEX(EM$7:EM$106,$AF69),1),IF($AG69&gt;0,INDEX(EM$7:EM$106,$AG69),1),IF($AH69&gt;0,INDEX(EM$7:EM$106,$AH69),1),IF($AI69&gt;0,INDEX(EM$7:EM$106,$AI69),1),IF($AJ69&gt;0,INDEX(EM$7:EM$106,$AJ69),1))))</ns0:f>
        <ns0:v>1</ns0:v>
      </ns0:c>
      <ns0:c r="EO69" t="n">
        <ns0:f>IF($A69="",1,IF(EN69=1,1,--AND(IF($AC69&gt;0,INDEX(EN$7:EN$106,$AC69),1),IF($AD69&gt;0,INDEX(EN$7:EN$106,$AD69),1),IF($AE69&gt;0,INDEX(EN$7:EN$106,$AE69),1),IF($AF69&gt;0,INDEX(EN$7:EN$106,$AF69),1),IF($AG69&gt;0,INDEX(EN$7:EN$106,$AG69),1),IF($AH69&gt;0,INDEX(EN$7:EN$106,$AH69),1),IF($AI69&gt;0,INDEX(EN$7:EN$106,$AI69),1),IF($AJ69&gt;0,INDEX(EN$7:EN$106,$AJ69),1))))</ns0:f>
        <ns0:v>1</ns0:v>
      </ns0:c>
      <ns0:c r="EP69" t="n">
        <ns0:f>IF($A69="",1,IF(EO69=1,1,--AND(IF($AC69&gt;0,INDEX(EO$7:EO$106,$AC69),1),IF($AD69&gt;0,INDEX(EO$7:EO$106,$AD69),1),IF($AE69&gt;0,INDEX(EO$7:EO$106,$AE69),1),IF($AF69&gt;0,INDEX(EO$7:EO$106,$AF69),1),IF($AG69&gt;0,INDEX(EO$7:EO$106,$AG69),1),IF($AH69&gt;0,INDEX(EO$7:EO$106,$AH69),1),IF($AI69&gt;0,INDEX(EO$7:EO$106,$AI69),1),IF($AJ69&gt;0,INDEX(EO$7:EO$106,$AJ69),1))))</ns0:f>
        <ns0:v>1</ns0:v>
      </ns0:c>
      <ns0:c r="EQ69" t="n">
        <ns0:f>IF(OR(A69="",NOT(ISNUMBER(G69))),0,G69*N69)</ns0:f>
        <ns0:v>0</ns0:v>
      </ns0:c>
    </ns0:row>
    <ns0:row r="70" ht="62" customHeight="1">
      <ns0:c r="A70" s="48"/>
      <ns0:c r="B70" s="48"/>
      <ns0:c r="C70" s="48"/>
      <ns0:c r="D70" s="48"/>
      <ns0:c r="E70" s="49"/>
      <ns0:c r="F70" s="49"/>
      <ns0:c r="G70" s="13" t="str">
        <ns0:f>IF(A70="","",IF(OR(NOT(ISNUMBER(E70)),NOT(ISNUMBER(F70)),F70&lt;E70),"",IF(J70="Yes",0,F70-E70+1)))</ns0:f>
      </ns0:c>
      <ns0:c r="H70" s="48"/>
      <ns0:c r="I70" s="48"/>
      <ns0:c r="J70" s="48"/>
      <ns0:c r="K70" s="48"/>
      <ns0:c r="L70" s="48"/>
      <ns0:c r="M70" s="50" t="str">
        <ns0:f>IF(A70="","",IF(N70=1,"Completed",IF(N70&gt;0,"In Progress","Not Started")))</ns0:f>
      </ns0:c>
      <ns0:c r="N70" s="51"/>
      <ns0:c r="O70" s="13" t="str">
        <ns0:f>IF(A70="","",IF(R70&lt;&gt;"","[CONFLICT] "&amp;R70,IF(S70&lt;&gt;"","[CONFLICT] "&amp;S70,IF(OR(NOT(ISNUMBER(N70)),N70&lt;0,N70&gt;1),"[CONFLICT] Invalid progress",IF(AK70&gt;0,"[DEPENDENCY ISSUE] Missing ID / &gt;8 links",IF(AM70&gt;0,"[DEPENDENCY ISSUE] Cycle or blocked by cycle",IF(AND(H70&lt;&gt;"",ISNA(MATCH(I70,{"FS","SS","FF","SF"},0))),"[DEPENDENCY ISSUE] Invalid type",IF(AL70&gt;0,"[DEPENDENCY ISSUE] Timing conflict",IF(OR(E70&lt;ProjectStart,F70&gt;ProjectEnd),"[OUTSIDE WINDOW]",IF(AND(N70&lt;1,F70&lt;AsOfDate),"Overdue",IF(AND(M70&lt;&gt;Q70,M70&lt;&gt;""),"[CONFLICT] Status / progress","On track")))))))))))</ns0:f>
      </ns0:c>
      <ns0:c r="P70" s="52"/>
      <ns0:c r="Q70" t="str">
        <ns0:f>IF(A70="","",IF(OR(M70="On Hold",M70="Delayed"),M70,IF(N70=1,"Completed",IF(N70&gt;0,"In Progress","Not Started"))))</ns0:f>
      </ns0:c>
      <ns0:c r="R70" t="str">
        <ns0:f>IF(A70="","",IF(COUNTIFS(Tasks[Task ID],A70)&lt;&gt;1,"Duplicate ID",""))</ns0:f>
      </ns0:c>
      <ns0:c r="S70" t="str">
        <ns0:f>IF(A70="","",IF(OR(NOT(ISNUMBER(E70)),NOT(ISNUMBER(F70))),"Invalid / missing date",IF(OR(E70&lt;&gt;INT(E70),F70&lt;&gt;INT(F70),E70&lt;1,F70&gt;2958465),"Invalid date",IF(F70&lt;E70,"End before start",IF(AND(J70="Yes",E70&lt;&gt;F70),"Milestone needs one date","")))))</ns0:f>
      </ns0:c>
      <ns0:c r="T70" t="n">
        <ns0:f>IF(H70="",0,LEN(H70)-LEN(SUBSTITUTE(H70,",",""))+1)</ns0:f>
        <ns0:v>0</ns0:v>
      </ns0:c>
      <ns0:c r="U70" t="str">
        <ns0:f>TRIM(MID(SUBSTITUTE($H70,",",REPT(" ",100)),1,100))</ns0:f>
      </ns0:c>
      <ns0:c r="V70" t="str">
        <ns0:f>TRIM(MID(SUBSTITUTE($H70,",",REPT(" ",100)),101,100))</ns0:f>
      </ns0:c>
      <ns0:c r="W70" t="str">
        <ns0:f>TRIM(MID(SUBSTITUTE($H70,",",REPT(" ",100)),201,100))</ns0:f>
      </ns0:c>
      <ns0:c r="X70" t="str">
        <ns0:f>TRIM(MID(SUBSTITUTE($H70,",",REPT(" ",100)),301,100))</ns0:f>
      </ns0:c>
      <ns0:c r="Y70" t="str">
        <ns0:f>TRIM(MID(SUBSTITUTE($H70,",",REPT(" ",100)),401,100))</ns0:f>
      </ns0:c>
      <ns0:c r="Z70" t="str">
        <ns0:f>TRIM(MID(SUBSTITUTE($H70,",",REPT(" ",100)),501,100))</ns0:f>
      </ns0:c>
      <ns0:c r="AA70" t="str">
        <ns0:f>TRIM(MID(SUBSTITUTE($H70,",",REPT(" ",100)),601,100))</ns0:f>
      </ns0:c>
      <ns0:c r="AB70" t="str">
        <ns0:f>TRIM(MID(SUBSTITUTE($H70,",",REPT(" ",100)),701,100))</ns0:f>
      </ns0:c>
      <ns0:c r="AC70" t="n">
        <ns0:f>IF(U70="",0,IF(COUNTIFS(Tasks[Task ID],U70)=1,MATCH(U70,Tasks[Task ID],0),-1))</ns0:f>
        <ns0:v>0</ns0:v>
      </ns0:c>
      <ns0:c r="AD70" t="n">
        <ns0:f>IF(V70="",0,IF(COUNTIFS(Tasks[Task ID],V70)=1,MATCH(V70,Tasks[Task ID],0),-1))</ns0:f>
        <ns0:v>0</ns0:v>
      </ns0:c>
      <ns0:c r="AE70" t="n">
        <ns0:f>IF(W70="",0,IF(COUNTIFS(Tasks[Task ID],W70)=1,MATCH(W70,Tasks[Task ID],0),-1))</ns0:f>
        <ns0:v>0</ns0:v>
      </ns0:c>
      <ns0:c r="AF70" t="n">
        <ns0:f>IF(X70="",0,IF(COUNTIFS(Tasks[Task ID],X70)=1,MATCH(X70,Tasks[Task ID],0),-1))</ns0:f>
        <ns0:v>0</ns0:v>
      </ns0:c>
      <ns0:c r="AG70" t="n">
        <ns0:f>IF(Y70="",0,IF(COUNTIFS(Tasks[Task ID],Y70)=1,MATCH(Y70,Tasks[Task ID],0),-1))</ns0:f>
        <ns0:v>0</ns0:v>
      </ns0:c>
      <ns0:c r="AH70" t="n">
        <ns0:f>IF(Z70="",0,IF(COUNTIFS(Tasks[Task ID],Z70)=1,MATCH(Z70,Tasks[Task ID],0),-1))</ns0:f>
        <ns0:v>0</ns0:v>
      </ns0:c>
      <ns0:c r="AI70" t="n">
        <ns0:f>IF(AA70="",0,IF(COUNTIFS(Tasks[Task ID],AA70)=1,MATCH(AA70,Tasks[Task ID],0),-1))</ns0:f>
        <ns0:v>0</ns0:v>
      </ns0:c>
      <ns0:c r="AJ70" t="n">
        <ns0:f>IF(AB70="",0,IF(COUNTIFS(Tasks[Task ID],AB70)=1,MATCH(AB70,Tasks[Task ID],0),-1))</ns0:f>
        <ns0:v>0</ns0:v>
      </ns0:c>
      <ns0:c r="AK70" t="n">
        <ns0:f>COUNTIFS(AC70:AJ70,-1)+IF(T70&gt;8,1,0)</ns0:f>
        <ns0:v>0</ns0:v>
      </ns0:c>
      <ns0:c r="AL70" t="n">
        <ns0:f>IF(OR(A70="",S70&lt;&gt;""),0,SUM(IF(AC70&gt;0,IF($I70="FS",--($E70&lt;INDEX(Tasks[End Date],AC70)+IF(INDEX(Tasks[Milestone],AC70)="Yes",0,1)),IF($I70="SS",--($E70&lt;INDEX(Tasks[Start Date],AC70)),IF($I70="FF",--($F70&lt;INDEX(Tasks[End Date],AC70)),IF($I70="SF",--($F70&lt;INDEX(Tasks[Start Date],AC70)),0)))),0),IF(AD70&gt;0,IF($I70="FS",--($E70&lt;INDEX(Tasks[End Date],AD70)+IF(INDEX(Tasks[Milestone],AD70)="Yes",0,1)),IF($I70="SS",--($E70&lt;INDEX(Tasks[Start Date],AD70)),IF($I70="FF",--($F70&lt;INDEX(Tasks[End Date],AD70)),IF($I70="SF",--($F70&lt;INDEX(Tasks[Start Date],AD70)),0)))),0),IF(AE70&gt;0,IF($I70="FS",--($E70&lt;INDEX(Tasks[End Date],AE70)+IF(INDEX(Tasks[Milestone],AE70)="Yes",0,1)),IF($I70="SS",--($E70&lt;INDEX(Tasks[Start Date],AE70)),IF($I70="FF",--($F70&lt;INDEX(Tasks[End Date],AE70)),IF($I70="SF",--($F70&lt;INDEX(Tasks[Start Date],AE70)),0)))),0),IF(AF70&gt;0,IF($I70="FS",--($E70&lt;INDEX(Tasks[End Date],AF70)+IF(INDEX(Tasks[Milestone],AF70)="Yes",0,1)),IF($I70="SS",--($E70&lt;INDEX(Tasks[Start Date],AF70)),IF($I70="FF",--($F70&lt;INDEX(Tasks[End Date],AF70)),IF($I70="SF",--($F70&lt;INDEX(Tasks[Start Date],AF70)),0)))),0),IF(AG70&gt;0,IF($I70="FS",--($E70&lt;INDEX(Tasks[End Date],AG70)+IF(INDEX(Tasks[Milestone],AG70)="Yes",0,1)),IF($I70="SS",--($E70&lt;INDEX(Tasks[Start Date],AG70)),IF($I70="FF",--($F70&lt;INDEX(Tasks[End Date],AG70)),IF($I70="SF",--($F70&lt;INDEX(Tasks[Start Date],AG70)),0)))),0),IF(AH70&gt;0,IF($I70="FS",--($E70&lt;INDEX(Tasks[End Date],AH70)+IF(INDEX(Tasks[Milestone],AH70)="Yes",0,1)),IF($I70="SS",--($E70&lt;INDEX(Tasks[Start Date],AH70)),IF($I70="FF",--($F70&lt;INDEX(Tasks[End Date],AH70)),IF($I70="SF",--($F70&lt;INDEX(Tasks[Start Date],AH70)),0)))),0),IF(AI70&gt;0,IF($I70="FS",--($E70&lt;INDEX(Tasks[End Date],AI70)+IF(INDEX(Tasks[Milestone],AI70)="Yes",0,1)),IF($I70="SS",--($E70&lt;INDEX(Tasks[Start Date],AI70)),IF($I70="FF",--($F70&lt;INDEX(Tasks[End Date],AI70)),IF($I70="SF",--($F70&lt;INDEX(Tasks[Start Date],AI70)),0)))),0),IF(AJ70&gt;0,IF($I70="FS",--($E70&lt;INDEX(Tasks[End Date],AJ70)+IF(INDEX(Tasks[Milestone],AJ70)="Yes",0,1)),IF($I70="SS",--($E70&lt;INDEX(Tasks[Start Date],AJ70)),IF($I70="FF",--($F70&lt;INDEX(Tasks[End Date],AJ70)),IF($I70="SF",--($F70&lt;INDEX(Tasks[Start Date],AJ70)),0)))),0)))</ns0:f>
        <ns0:v>0</ns0:v>
      </ns0:c>
      <ns0:c r="AM70" t="n">
        <ns0:f>IF(AND(A70&lt;&gt;"",AK70=0,EP70=0),1,0)</ns0:f>
        <ns0:v>0</ns0:v>
      </ns0:c>
      <ns0:c r="AN70" t="str">
        <ns0:f>IF(OR(A70="",B70=""),"",IF(COUNTIFS($B$7:B70,B70)=1,MAX($AN$6:AN69)+1,""))</ns0:f>
      </ns0:c>
      <ns0:c r="AO70" t="n">
        <ns0:f>IF(AND(A70&lt;&gt;"",J70="No",N70&lt;1,E70&gt;=AsOfDate),E70+ROW()/10000,1E+9)</ns0:f>
        <ns0:v>1000000000</ns0:v>
      </ns0:c>
      <ns0:c r="AP70" t="n">
        <ns0:f>IF(AND(A70&lt;&gt;"",J70="Yes",N70&lt;1,E70&gt;=AsOfDate),E70+ROW()/10000,1E+9)</ns0:f>
        <ns0:v>1000000000</ns0:v>
      </ns0:c>
      <ns0:c r="AQ70" t="n">
        <ns0:f>IF(AND(A70&lt;&gt;"",J70="No",N70&lt;1,F70&gt;=AsOfDate,F70&lt;=AsOfDate+7),F70+ROW()/10000,1E+9)</ns0:f>
        <ns0:v>1000000000</ns0:v>
      </ns0:c>
      <ns0:c r="AR70" t="n">
        <ns0:f>IF(AND(A70&lt;&gt;"",OR(O70&lt;&gt;"On track",Q70="Delayed")),ROW(),1E+9)</ns0:f>
        <ns0:v>1000000000</ns0:v>
      </ns0:c>
      <ns0:c r="AS70" t="str">
        <ns0:f>IF(A70="","",";"&amp;K70&amp;";")</ns0:f>
      </ns0:c>
      <ns0:c r="AT70" t="n">
        <ns0:f>IF(A70="",1,--(T70=0))</ns0:f>
        <ns0:v>1</ns0:v>
      </ns0:c>
      <ns0:c r="AU70" t="n">
        <ns0:f>IF($A70="",1,IF(AT70=1,1,--AND(IF($AC70&gt;0,INDEX(AT$7:AT$106,$AC70),1),IF($AD70&gt;0,INDEX(AT$7:AT$106,$AD70),1),IF($AE70&gt;0,INDEX(AT$7:AT$106,$AE70),1),IF($AF70&gt;0,INDEX(AT$7:AT$106,$AF70),1),IF($AG70&gt;0,INDEX(AT$7:AT$106,$AG70),1),IF($AH70&gt;0,INDEX(AT$7:AT$106,$AH70),1),IF($AI70&gt;0,INDEX(AT$7:AT$106,$AI70),1),IF($AJ70&gt;0,INDEX(AT$7:AT$106,$AJ70),1))))</ns0:f>
        <ns0:v>1</ns0:v>
      </ns0:c>
      <ns0:c r="AV70" t="n">
        <ns0:f>IF($A70="",1,IF(AU70=1,1,--AND(IF($AC70&gt;0,INDEX(AU$7:AU$106,$AC70),1),IF($AD70&gt;0,INDEX(AU$7:AU$106,$AD70),1),IF($AE70&gt;0,INDEX(AU$7:AU$106,$AE70),1),IF($AF70&gt;0,INDEX(AU$7:AU$106,$AF70),1),IF($AG70&gt;0,INDEX(AU$7:AU$106,$AG70),1),IF($AH70&gt;0,INDEX(AU$7:AU$106,$AH70),1),IF($AI70&gt;0,INDEX(AU$7:AU$106,$AI70),1),IF($AJ70&gt;0,INDEX(AU$7:AU$106,$AJ70),1))))</ns0:f>
        <ns0:v>1</ns0:v>
      </ns0:c>
      <ns0:c r="AW70" t="n">
        <ns0:f>IF($A70="",1,IF(AV70=1,1,--AND(IF($AC70&gt;0,INDEX(AV$7:AV$106,$AC70),1),IF($AD70&gt;0,INDEX(AV$7:AV$106,$AD70),1),IF($AE70&gt;0,INDEX(AV$7:AV$106,$AE70),1),IF($AF70&gt;0,INDEX(AV$7:AV$106,$AF70),1),IF($AG70&gt;0,INDEX(AV$7:AV$106,$AG70),1),IF($AH70&gt;0,INDEX(AV$7:AV$106,$AH70),1),IF($AI70&gt;0,INDEX(AV$7:AV$106,$AI70),1),IF($AJ70&gt;0,INDEX(AV$7:AV$106,$AJ70),1))))</ns0:f>
        <ns0:v>1</ns0:v>
      </ns0:c>
      <ns0:c r="AX70" t="n">
        <ns0:f>IF($A70="",1,IF(AW70=1,1,--AND(IF($AC70&gt;0,INDEX(AW$7:AW$106,$AC70),1),IF($AD70&gt;0,INDEX(AW$7:AW$106,$AD70),1),IF($AE70&gt;0,INDEX(AW$7:AW$106,$AE70),1),IF($AF70&gt;0,INDEX(AW$7:AW$106,$AF70),1),IF($AG70&gt;0,INDEX(AW$7:AW$106,$AG70),1),IF($AH70&gt;0,INDEX(AW$7:AW$106,$AH70),1),IF($AI70&gt;0,INDEX(AW$7:AW$106,$AI70),1),IF($AJ70&gt;0,INDEX(AW$7:AW$106,$AJ70),1))))</ns0:f>
        <ns0:v>1</ns0:v>
      </ns0:c>
      <ns0:c r="AY70" t="n">
        <ns0:f>IF($A70="",1,IF(AX70=1,1,--AND(IF($AC70&gt;0,INDEX(AX$7:AX$106,$AC70),1),IF($AD70&gt;0,INDEX(AX$7:AX$106,$AD70),1),IF($AE70&gt;0,INDEX(AX$7:AX$106,$AE70),1),IF($AF70&gt;0,INDEX(AX$7:AX$106,$AF70),1),IF($AG70&gt;0,INDEX(AX$7:AX$106,$AG70),1),IF($AH70&gt;0,INDEX(AX$7:AX$106,$AH70),1),IF($AI70&gt;0,INDEX(AX$7:AX$106,$AI70),1),IF($AJ70&gt;0,INDEX(AX$7:AX$106,$AJ70),1))))</ns0:f>
        <ns0:v>1</ns0:v>
      </ns0:c>
      <ns0:c r="AZ70" t="n">
        <ns0:f>IF($A70="",1,IF(AY70=1,1,--AND(IF($AC70&gt;0,INDEX(AY$7:AY$106,$AC70),1),IF($AD70&gt;0,INDEX(AY$7:AY$106,$AD70),1),IF($AE70&gt;0,INDEX(AY$7:AY$106,$AE70),1),IF($AF70&gt;0,INDEX(AY$7:AY$106,$AF70),1),IF($AG70&gt;0,INDEX(AY$7:AY$106,$AG70),1),IF($AH70&gt;0,INDEX(AY$7:AY$106,$AH70),1),IF($AI70&gt;0,INDEX(AY$7:AY$106,$AI70),1),IF($AJ70&gt;0,INDEX(AY$7:AY$106,$AJ70),1))))</ns0:f>
        <ns0:v>1</ns0:v>
      </ns0:c>
      <ns0:c r="BA70" t="n">
        <ns0:f>IF($A70="",1,IF(AZ70=1,1,--AND(IF($AC70&gt;0,INDEX(AZ$7:AZ$106,$AC70),1),IF($AD70&gt;0,INDEX(AZ$7:AZ$106,$AD70),1),IF($AE70&gt;0,INDEX(AZ$7:AZ$106,$AE70),1),IF($AF70&gt;0,INDEX(AZ$7:AZ$106,$AF70),1),IF($AG70&gt;0,INDEX(AZ$7:AZ$106,$AG70),1),IF($AH70&gt;0,INDEX(AZ$7:AZ$106,$AH70),1),IF($AI70&gt;0,INDEX(AZ$7:AZ$106,$AI70),1),IF($AJ70&gt;0,INDEX(AZ$7:AZ$106,$AJ70),1))))</ns0:f>
        <ns0:v>1</ns0:v>
      </ns0:c>
      <ns0:c r="BB70" t="n">
        <ns0:f>IF($A70="",1,IF(BA70=1,1,--AND(IF($AC70&gt;0,INDEX(BA$7:BA$106,$AC70),1),IF($AD70&gt;0,INDEX(BA$7:BA$106,$AD70),1),IF($AE70&gt;0,INDEX(BA$7:BA$106,$AE70),1),IF($AF70&gt;0,INDEX(BA$7:BA$106,$AF70),1),IF($AG70&gt;0,INDEX(BA$7:BA$106,$AG70),1),IF($AH70&gt;0,INDEX(BA$7:BA$106,$AH70),1),IF($AI70&gt;0,INDEX(BA$7:BA$106,$AI70),1),IF($AJ70&gt;0,INDEX(BA$7:BA$106,$AJ70),1))))</ns0:f>
        <ns0:v>1</ns0:v>
      </ns0:c>
      <ns0:c r="BC70" t="n">
        <ns0:f>IF($A70="",1,IF(BB70=1,1,--AND(IF($AC70&gt;0,INDEX(BB$7:BB$106,$AC70),1),IF($AD70&gt;0,INDEX(BB$7:BB$106,$AD70),1),IF($AE70&gt;0,INDEX(BB$7:BB$106,$AE70),1),IF($AF70&gt;0,INDEX(BB$7:BB$106,$AF70),1),IF($AG70&gt;0,INDEX(BB$7:BB$106,$AG70),1),IF($AH70&gt;0,INDEX(BB$7:BB$106,$AH70),1),IF($AI70&gt;0,INDEX(BB$7:BB$106,$AI70),1),IF($AJ70&gt;0,INDEX(BB$7:BB$106,$AJ70),1))))</ns0:f>
        <ns0:v>1</ns0:v>
      </ns0:c>
      <ns0:c r="BD70" t="n">
        <ns0:f>IF($A70="",1,IF(BC70=1,1,--AND(IF($AC70&gt;0,INDEX(BC$7:BC$106,$AC70),1),IF($AD70&gt;0,INDEX(BC$7:BC$106,$AD70),1),IF($AE70&gt;0,INDEX(BC$7:BC$106,$AE70),1),IF($AF70&gt;0,INDEX(BC$7:BC$106,$AF70),1),IF($AG70&gt;0,INDEX(BC$7:BC$106,$AG70),1),IF($AH70&gt;0,INDEX(BC$7:BC$106,$AH70),1),IF($AI70&gt;0,INDEX(BC$7:BC$106,$AI70),1),IF($AJ70&gt;0,INDEX(BC$7:BC$106,$AJ70),1))))</ns0:f>
        <ns0:v>1</ns0:v>
      </ns0:c>
      <ns0:c r="BE70" t="n">
        <ns0:f>IF($A70="",1,IF(BD70=1,1,--AND(IF($AC70&gt;0,INDEX(BD$7:BD$106,$AC70),1),IF($AD70&gt;0,INDEX(BD$7:BD$106,$AD70),1),IF($AE70&gt;0,INDEX(BD$7:BD$106,$AE70),1),IF($AF70&gt;0,INDEX(BD$7:BD$106,$AF70),1),IF($AG70&gt;0,INDEX(BD$7:BD$106,$AG70),1),IF($AH70&gt;0,INDEX(BD$7:BD$106,$AH70),1),IF($AI70&gt;0,INDEX(BD$7:BD$106,$AI70),1),IF($AJ70&gt;0,INDEX(BD$7:BD$106,$AJ70),1))))</ns0:f>
        <ns0:v>1</ns0:v>
      </ns0:c>
      <ns0:c r="BF70" t="n">
        <ns0:f>IF($A70="",1,IF(BE70=1,1,--AND(IF($AC70&gt;0,INDEX(BE$7:BE$106,$AC70),1),IF($AD70&gt;0,INDEX(BE$7:BE$106,$AD70),1),IF($AE70&gt;0,INDEX(BE$7:BE$106,$AE70),1),IF($AF70&gt;0,INDEX(BE$7:BE$106,$AF70),1),IF($AG70&gt;0,INDEX(BE$7:BE$106,$AG70),1),IF($AH70&gt;0,INDEX(BE$7:BE$106,$AH70),1),IF($AI70&gt;0,INDEX(BE$7:BE$106,$AI70),1),IF($AJ70&gt;0,INDEX(BE$7:BE$106,$AJ70),1))))</ns0:f>
        <ns0:v>1</ns0:v>
      </ns0:c>
      <ns0:c r="BG70" t="n">
        <ns0:f>IF($A70="",1,IF(BF70=1,1,--AND(IF($AC70&gt;0,INDEX(BF$7:BF$106,$AC70),1),IF($AD70&gt;0,INDEX(BF$7:BF$106,$AD70),1),IF($AE70&gt;0,INDEX(BF$7:BF$106,$AE70),1),IF($AF70&gt;0,INDEX(BF$7:BF$106,$AF70),1),IF($AG70&gt;0,INDEX(BF$7:BF$106,$AG70),1),IF($AH70&gt;0,INDEX(BF$7:BF$106,$AH70),1),IF($AI70&gt;0,INDEX(BF$7:BF$106,$AI70),1),IF($AJ70&gt;0,INDEX(BF$7:BF$106,$AJ70),1))))</ns0:f>
        <ns0:v>1</ns0:v>
      </ns0:c>
      <ns0:c r="BH70" t="n">
        <ns0:f>IF($A70="",1,IF(BG70=1,1,--AND(IF($AC70&gt;0,INDEX(BG$7:BG$106,$AC70),1),IF($AD70&gt;0,INDEX(BG$7:BG$106,$AD70),1),IF($AE70&gt;0,INDEX(BG$7:BG$106,$AE70),1),IF($AF70&gt;0,INDEX(BG$7:BG$106,$AF70),1),IF($AG70&gt;0,INDEX(BG$7:BG$106,$AG70),1),IF($AH70&gt;0,INDEX(BG$7:BG$106,$AH70),1),IF($AI70&gt;0,INDEX(BG$7:BG$106,$AI70),1),IF($AJ70&gt;0,INDEX(BG$7:BG$106,$AJ70),1))))</ns0:f>
        <ns0:v>1</ns0:v>
      </ns0:c>
      <ns0:c r="BI70" t="n">
        <ns0:f>IF($A70="",1,IF(BH70=1,1,--AND(IF($AC70&gt;0,INDEX(BH$7:BH$106,$AC70),1),IF($AD70&gt;0,INDEX(BH$7:BH$106,$AD70),1),IF($AE70&gt;0,INDEX(BH$7:BH$106,$AE70),1),IF($AF70&gt;0,INDEX(BH$7:BH$106,$AF70),1),IF($AG70&gt;0,INDEX(BH$7:BH$106,$AG70),1),IF($AH70&gt;0,INDEX(BH$7:BH$106,$AH70),1),IF($AI70&gt;0,INDEX(BH$7:BH$106,$AI70),1),IF($AJ70&gt;0,INDEX(BH$7:BH$106,$AJ70),1))))</ns0:f>
        <ns0:v>1</ns0:v>
      </ns0:c>
      <ns0:c r="BJ70" t="n">
        <ns0:f>IF($A70="",1,IF(BI70=1,1,--AND(IF($AC70&gt;0,INDEX(BI$7:BI$106,$AC70),1),IF($AD70&gt;0,INDEX(BI$7:BI$106,$AD70),1),IF($AE70&gt;0,INDEX(BI$7:BI$106,$AE70),1),IF($AF70&gt;0,INDEX(BI$7:BI$106,$AF70),1),IF($AG70&gt;0,INDEX(BI$7:BI$106,$AG70),1),IF($AH70&gt;0,INDEX(BI$7:BI$106,$AH70),1),IF($AI70&gt;0,INDEX(BI$7:BI$106,$AI70),1),IF($AJ70&gt;0,INDEX(BI$7:BI$106,$AJ70),1))))</ns0:f>
        <ns0:v>1</ns0:v>
      </ns0:c>
      <ns0:c r="BK70" t="n">
        <ns0:f>IF($A70="",1,IF(BJ70=1,1,--AND(IF($AC70&gt;0,INDEX(BJ$7:BJ$106,$AC70),1),IF($AD70&gt;0,INDEX(BJ$7:BJ$106,$AD70),1),IF($AE70&gt;0,INDEX(BJ$7:BJ$106,$AE70),1),IF($AF70&gt;0,INDEX(BJ$7:BJ$106,$AF70),1),IF($AG70&gt;0,INDEX(BJ$7:BJ$106,$AG70),1),IF($AH70&gt;0,INDEX(BJ$7:BJ$106,$AH70),1),IF($AI70&gt;0,INDEX(BJ$7:BJ$106,$AI70),1),IF($AJ70&gt;0,INDEX(BJ$7:BJ$106,$AJ70),1))))</ns0:f>
        <ns0:v>1</ns0:v>
      </ns0:c>
      <ns0:c r="BL70" t="n">
        <ns0:f>IF($A70="",1,IF(BK70=1,1,--AND(IF($AC70&gt;0,INDEX(BK$7:BK$106,$AC70),1),IF($AD70&gt;0,INDEX(BK$7:BK$106,$AD70),1),IF($AE70&gt;0,INDEX(BK$7:BK$106,$AE70),1),IF($AF70&gt;0,INDEX(BK$7:BK$106,$AF70),1),IF($AG70&gt;0,INDEX(BK$7:BK$106,$AG70),1),IF($AH70&gt;0,INDEX(BK$7:BK$106,$AH70),1),IF($AI70&gt;0,INDEX(BK$7:BK$106,$AI70),1),IF($AJ70&gt;0,INDEX(BK$7:BK$106,$AJ70),1))))</ns0:f>
        <ns0:v>1</ns0:v>
      </ns0:c>
      <ns0:c r="BM70" t="n">
        <ns0:f>IF($A70="",1,IF(BL70=1,1,--AND(IF($AC70&gt;0,INDEX(BL$7:BL$106,$AC70),1),IF($AD70&gt;0,INDEX(BL$7:BL$106,$AD70),1),IF($AE70&gt;0,INDEX(BL$7:BL$106,$AE70),1),IF($AF70&gt;0,INDEX(BL$7:BL$106,$AF70),1),IF($AG70&gt;0,INDEX(BL$7:BL$106,$AG70),1),IF($AH70&gt;0,INDEX(BL$7:BL$106,$AH70),1),IF($AI70&gt;0,INDEX(BL$7:BL$106,$AI70),1),IF($AJ70&gt;0,INDEX(BL$7:BL$106,$AJ70),1))))</ns0:f>
        <ns0:v>1</ns0:v>
      </ns0:c>
      <ns0:c r="BN70" t="n">
        <ns0:f>IF($A70="",1,IF(BM70=1,1,--AND(IF($AC70&gt;0,INDEX(BM$7:BM$106,$AC70),1),IF($AD70&gt;0,INDEX(BM$7:BM$106,$AD70),1),IF($AE70&gt;0,INDEX(BM$7:BM$106,$AE70),1),IF($AF70&gt;0,INDEX(BM$7:BM$106,$AF70),1),IF($AG70&gt;0,INDEX(BM$7:BM$106,$AG70),1),IF($AH70&gt;0,INDEX(BM$7:BM$106,$AH70),1),IF($AI70&gt;0,INDEX(BM$7:BM$106,$AI70),1),IF($AJ70&gt;0,INDEX(BM$7:BM$106,$AJ70),1))))</ns0:f>
        <ns0:v>1</ns0:v>
      </ns0:c>
      <ns0:c r="BO70" t="n">
        <ns0:f>IF($A70="",1,IF(BN70=1,1,--AND(IF($AC70&gt;0,INDEX(BN$7:BN$106,$AC70),1),IF($AD70&gt;0,INDEX(BN$7:BN$106,$AD70),1),IF($AE70&gt;0,INDEX(BN$7:BN$106,$AE70),1),IF($AF70&gt;0,INDEX(BN$7:BN$106,$AF70),1),IF($AG70&gt;0,INDEX(BN$7:BN$106,$AG70),1),IF($AH70&gt;0,INDEX(BN$7:BN$106,$AH70),1),IF($AI70&gt;0,INDEX(BN$7:BN$106,$AI70),1),IF($AJ70&gt;0,INDEX(BN$7:BN$106,$AJ70),1))))</ns0:f>
        <ns0:v>1</ns0:v>
      </ns0:c>
      <ns0:c r="BP70" t="n">
        <ns0:f>IF($A70="",1,IF(BO70=1,1,--AND(IF($AC70&gt;0,INDEX(BO$7:BO$106,$AC70),1),IF($AD70&gt;0,INDEX(BO$7:BO$106,$AD70),1),IF($AE70&gt;0,INDEX(BO$7:BO$106,$AE70),1),IF($AF70&gt;0,INDEX(BO$7:BO$106,$AF70),1),IF($AG70&gt;0,INDEX(BO$7:BO$106,$AG70),1),IF($AH70&gt;0,INDEX(BO$7:BO$106,$AH70),1),IF($AI70&gt;0,INDEX(BO$7:BO$106,$AI70),1),IF($AJ70&gt;0,INDEX(BO$7:BO$106,$AJ70),1))))</ns0:f>
        <ns0:v>1</ns0:v>
      </ns0:c>
      <ns0:c r="BQ70" t="n">
        <ns0:f>IF($A70="",1,IF(BP70=1,1,--AND(IF($AC70&gt;0,INDEX(BP$7:BP$106,$AC70),1),IF($AD70&gt;0,INDEX(BP$7:BP$106,$AD70),1),IF($AE70&gt;0,INDEX(BP$7:BP$106,$AE70),1),IF($AF70&gt;0,INDEX(BP$7:BP$106,$AF70),1),IF($AG70&gt;0,INDEX(BP$7:BP$106,$AG70),1),IF($AH70&gt;0,INDEX(BP$7:BP$106,$AH70),1),IF($AI70&gt;0,INDEX(BP$7:BP$106,$AI70),1),IF($AJ70&gt;0,INDEX(BP$7:BP$106,$AJ70),1))))</ns0:f>
        <ns0:v>1</ns0:v>
      </ns0:c>
      <ns0:c r="BR70" t="n">
        <ns0:f>IF($A70="",1,IF(BQ70=1,1,--AND(IF($AC70&gt;0,INDEX(BQ$7:BQ$106,$AC70),1),IF($AD70&gt;0,INDEX(BQ$7:BQ$106,$AD70),1),IF($AE70&gt;0,INDEX(BQ$7:BQ$106,$AE70),1),IF($AF70&gt;0,INDEX(BQ$7:BQ$106,$AF70),1),IF($AG70&gt;0,INDEX(BQ$7:BQ$106,$AG70),1),IF($AH70&gt;0,INDEX(BQ$7:BQ$106,$AH70),1),IF($AI70&gt;0,INDEX(BQ$7:BQ$106,$AI70),1),IF($AJ70&gt;0,INDEX(BQ$7:BQ$106,$AJ70),1))))</ns0:f>
        <ns0:v>1</ns0:v>
      </ns0:c>
      <ns0:c r="BS70" t="n">
        <ns0:f>IF($A70="",1,IF(BR70=1,1,--AND(IF($AC70&gt;0,INDEX(BR$7:BR$106,$AC70),1),IF($AD70&gt;0,INDEX(BR$7:BR$106,$AD70),1),IF($AE70&gt;0,INDEX(BR$7:BR$106,$AE70),1),IF($AF70&gt;0,INDEX(BR$7:BR$106,$AF70),1),IF($AG70&gt;0,INDEX(BR$7:BR$106,$AG70),1),IF($AH70&gt;0,INDEX(BR$7:BR$106,$AH70),1),IF($AI70&gt;0,INDEX(BR$7:BR$106,$AI70),1),IF($AJ70&gt;0,INDEX(BR$7:BR$106,$AJ70),1))))</ns0:f>
        <ns0:v>1</ns0:v>
      </ns0:c>
      <ns0:c r="BT70" t="n">
        <ns0:f>IF($A70="",1,IF(BS70=1,1,--AND(IF($AC70&gt;0,INDEX(BS$7:BS$106,$AC70),1),IF($AD70&gt;0,INDEX(BS$7:BS$106,$AD70),1),IF($AE70&gt;0,INDEX(BS$7:BS$106,$AE70),1),IF($AF70&gt;0,INDEX(BS$7:BS$106,$AF70),1),IF($AG70&gt;0,INDEX(BS$7:BS$106,$AG70),1),IF($AH70&gt;0,INDEX(BS$7:BS$106,$AH70),1),IF($AI70&gt;0,INDEX(BS$7:BS$106,$AI70),1),IF($AJ70&gt;0,INDEX(BS$7:BS$106,$AJ70),1))))</ns0:f>
        <ns0:v>1</ns0:v>
      </ns0:c>
      <ns0:c r="BU70" t="n">
        <ns0:f>IF($A70="",1,IF(BT70=1,1,--AND(IF($AC70&gt;0,INDEX(BT$7:BT$106,$AC70),1),IF($AD70&gt;0,INDEX(BT$7:BT$106,$AD70),1),IF($AE70&gt;0,INDEX(BT$7:BT$106,$AE70),1),IF($AF70&gt;0,INDEX(BT$7:BT$106,$AF70),1),IF($AG70&gt;0,INDEX(BT$7:BT$106,$AG70),1),IF($AH70&gt;0,INDEX(BT$7:BT$106,$AH70),1),IF($AI70&gt;0,INDEX(BT$7:BT$106,$AI70),1),IF($AJ70&gt;0,INDEX(BT$7:BT$106,$AJ70),1))))</ns0:f>
        <ns0:v>1</ns0:v>
      </ns0:c>
      <ns0:c r="BV70" t="n">
        <ns0:f>IF($A70="",1,IF(BU70=1,1,--AND(IF($AC70&gt;0,INDEX(BU$7:BU$106,$AC70),1),IF($AD70&gt;0,INDEX(BU$7:BU$106,$AD70),1),IF($AE70&gt;0,INDEX(BU$7:BU$106,$AE70),1),IF($AF70&gt;0,INDEX(BU$7:BU$106,$AF70),1),IF($AG70&gt;0,INDEX(BU$7:BU$106,$AG70),1),IF($AH70&gt;0,INDEX(BU$7:BU$106,$AH70),1),IF($AI70&gt;0,INDEX(BU$7:BU$106,$AI70),1),IF($AJ70&gt;0,INDEX(BU$7:BU$106,$AJ70),1))))</ns0:f>
        <ns0:v>1</ns0:v>
      </ns0:c>
      <ns0:c r="BW70" t="n">
        <ns0:f>IF($A70="",1,IF(BV70=1,1,--AND(IF($AC70&gt;0,INDEX(BV$7:BV$106,$AC70),1),IF($AD70&gt;0,INDEX(BV$7:BV$106,$AD70),1),IF($AE70&gt;0,INDEX(BV$7:BV$106,$AE70),1),IF($AF70&gt;0,INDEX(BV$7:BV$106,$AF70),1),IF($AG70&gt;0,INDEX(BV$7:BV$106,$AG70),1),IF($AH70&gt;0,INDEX(BV$7:BV$106,$AH70),1),IF($AI70&gt;0,INDEX(BV$7:BV$106,$AI70),1),IF($AJ70&gt;0,INDEX(BV$7:BV$106,$AJ70),1))))</ns0:f>
        <ns0:v>1</ns0:v>
      </ns0:c>
      <ns0:c r="BX70" t="n">
        <ns0:f>IF($A70="",1,IF(BW70=1,1,--AND(IF($AC70&gt;0,INDEX(BW$7:BW$106,$AC70),1),IF($AD70&gt;0,INDEX(BW$7:BW$106,$AD70),1),IF($AE70&gt;0,INDEX(BW$7:BW$106,$AE70),1),IF($AF70&gt;0,INDEX(BW$7:BW$106,$AF70),1),IF($AG70&gt;0,INDEX(BW$7:BW$106,$AG70),1),IF($AH70&gt;0,INDEX(BW$7:BW$106,$AH70),1),IF($AI70&gt;0,INDEX(BW$7:BW$106,$AI70),1),IF($AJ70&gt;0,INDEX(BW$7:BW$106,$AJ70),1))))</ns0:f>
        <ns0:v>1</ns0:v>
      </ns0:c>
      <ns0:c r="BY70" t="n">
        <ns0:f>IF($A70="",1,IF(BX70=1,1,--AND(IF($AC70&gt;0,INDEX(BX$7:BX$106,$AC70),1),IF($AD70&gt;0,INDEX(BX$7:BX$106,$AD70),1),IF($AE70&gt;0,INDEX(BX$7:BX$106,$AE70),1),IF($AF70&gt;0,INDEX(BX$7:BX$106,$AF70),1),IF($AG70&gt;0,INDEX(BX$7:BX$106,$AG70),1),IF($AH70&gt;0,INDEX(BX$7:BX$106,$AH70),1),IF($AI70&gt;0,INDEX(BX$7:BX$106,$AI70),1),IF($AJ70&gt;0,INDEX(BX$7:BX$106,$AJ70),1))))</ns0:f>
        <ns0:v>1</ns0:v>
      </ns0:c>
      <ns0:c r="BZ70" t="n">
        <ns0:f>IF($A70="",1,IF(BY70=1,1,--AND(IF($AC70&gt;0,INDEX(BY$7:BY$106,$AC70),1),IF($AD70&gt;0,INDEX(BY$7:BY$106,$AD70),1),IF($AE70&gt;0,INDEX(BY$7:BY$106,$AE70),1),IF($AF70&gt;0,INDEX(BY$7:BY$106,$AF70),1),IF($AG70&gt;0,INDEX(BY$7:BY$106,$AG70),1),IF($AH70&gt;0,INDEX(BY$7:BY$106,$AH70),1),IF($AI70&gt;0,INDEX(BY$7:BY$106,$AI70),1),IF($AJ70&gt;0,INDEX(BY$7:BY$106,$AJ70),1))))</ns0:f>
        <ns0:v>1</ns0:v>
      </ns0:c>
      <ns0:c r="CA70" t="n">
        <ns0:f>IF($A70="",1,IF(BZ70=1,1,--AND(IF($AC70&gt;0,INDEX(BZ$7:BZ$106,$AC70),1),IF($AD70&gt;0,INDEX(BZ$7:BZ$106,$AD70),1),IF($AE70&gt;0,INDEX(BZ$7:BZ$106,$AE70),1),IF($AF70&gt;0,INDEX(BZ$7:BZ$106,$AF70),1),IF($AG70&gt;0,INDEX(BZ$7:BZ$106,$AG70),1),IF($AH70&gt;0,INDEX(BZ$7:BZ$106,$AH70),1),IF($AI70&gt;0,INDEX(BZ$7:BZ$106,$AI70),1),IF($AJ70&gt;0,INDEX(BZ$7:BZ$106,$AJ70),1))))</ns0:f>
        <ns0:v>1</ns0:v>
      </ns0:c>
      <ns0:c r="CB70" t="n">
        <ns0:f>IF($A70="",1,IF(CA70=1,1,--AND(IF($AC70&gt;0,INDEX(CA$7:CA$106,$AC70),1),IF($AD70&gt;0,INDEX(CA$7:CA$106,$AD70),1),IF($AE70&gt;0,INDEX(CA$7:CA$106,$AE70),1),IF($AF70&gt;0,INDEX(CA$7:CA$106,$AF70),1),IF($AG70&gt;0,INDEX(CA$7:CA$106,$AG70),1),IF($AH70&gt;0,INDEX(CA$7:CA$106,$AH70),1),IF($AI70&gt;0,INDEX(CA$7:CA$106,$AI70),1),IF($AJ70&gt;0,INDEX(CA$7:CA$106,$AJ70),1))))</ns0:f>
        <ns0:v>1</ns0:v>
      </ns0:c>
      <ns0:c r="CC70" t="n">
        <ns0:f>IF($A70="",1,IF(CB70=1,1,--AND(IF($AC70&gt;0,INDEX(CB$7:CB$106,$AC70),1),IF($AD70&gt;0,INDEX(CB$7:CB$106,$AD70),1),IF($AE70&gt;0,INDEX(CB$7:CB$106,$AE70),1),IF($AF70&gt;0,INDEX(CB$7:CB$106,$AF70),1),IF($AG70&gt;0,INDEX(CB$7:CB$106,$AG70),1),IF($AH70&gt;0,INDEX(CB$7:CB$106,$AH70),1),IF($AI70&gt;0,INDEX(CB$7:CB$106,$AI70),1),IF($AJ70&gt;0,INDEX(CB$7:CB$106,$AJ70),1))))</ns0:f>
        <ns0:v>1</ns0:v>
      </ns0:c>
      <ns0:c r="CD70" t="n">
        <ns0:f>IF($A70="",1,IF(CC70=1,1,--AND(IF($AC70&gt;0,INDEX(CC$7:CC$106,$AC70),1),IF($AD70&gt;0,INDEX(CC$7:CC$106,$AD70),1),IF($AE70&gt;0,INDEX(CC$7:CC$106,$AE70),1),IF($AF70&gt;0,INDEX(CC$7:CC$106,$AF70),1),IF($AG70&gt;0,INDEX(CC$7:CC$106,$AG70),1),IF($AH70&gt;0,INDEX(CC$7:CC$106,$AH70),1),IF($AI70&gt;0,INDEX(CC$7:CC$106,$AI70),1),IF($AJ70&gt;0,INDEX(CC$7:CC$106,$AJ70),1))))</ns0:f>
        <ns0:v>1</ns0:v>
      </ns0:c>
      <ns0:c r="CE70" t="n">
        <ns0:f>IF($A70="",1,IF(CD70=1,1,--AND(IF($AC70&gt;0,INDEX(CD$7:CD$106,$AC70),1),IF($AD70&gt;0,INDEX(CD$7:CD$106,$AD70),1),IF($AE70&gt;0,INDEX(CD$7:CD$106,$AE70),1),IF($AF70&gt;0,INDEX(CD$7:CD$106,$AF70),1),IF($AG70&gt;0,INDEX(CD$7:CD$106,$AG70),1),IF($AH70&gt;0,INDEX(CD$7:CD$106,$AH70),1),IF($AI70&gt;0,INDEX(CD$7:CD$106,$AI70),1),IF($AJ70&gt;0,INDEX(CD$7:CD$106,$AJ70),1))))</ns0:f>
        <ns0:v>1</ns0:v>
      </ns0:c>
      <ns0:c r="CF70" t="n">
        <ns0:f>IF($A70="",1,IF(CE70=1,1,--AND(IF($AC70&gt;0,INDEX(CE$7:CE$106,$AC70),1),IF($AD70&gt;0,INDEX(CE$7:CE$106,$AD70),1),IF($AE70&gt;0,INDEX(CE$7:CE$106,$AE70),1),IF($AF70&gt;0,INDEX(CE$7:CE$106,$AF70),1),IF($AG70&gt;0,INDEX(CE$7:CE$106,$AG70),1),IF($AH70&gt;0,INDEX(CE$7:CE$106,$AH70),1),IF($AI70&gt;0,INDEX(CE$7:CE$106,$AI70),1),IF($AJ70&gt;0,INDEX(CE$7:CE$106,$AJ70),1))))</ns0:f>
        <ns0:v>1</ns0:v>
      </ns0:c>
      <ns0:c r="CG70" t="n">
        <ns0:f>IF($A70="",1,IF(CF70=1,1,--AND(IF($AC70&gt;0,INDEX(CF$7:CF$106,$AC70),1),IF($AD70&gt;0,INDEX(CF$7:CF$106,$AD70),1),IF($AE70&gt;0,INDEX(CF$7:CF$106,$AE70),1),IF($AF70&gt;0,INDEX(CF$7:CF$106,$AF70),1),IF($AG70&gt;0,INDEX(CF$7:CF$106,$AG70),1),IF($AH70&gt;0,INDEX(CF$7:CF$106,$AH70),1),IF($AI70&gt;0,INDEX(CF$7:CF$106,$AI70),1),IF($AJ70&gt;0,INDEX(CF$7:CF$106,$AJ70),1))))</ns0:f>
        <ns0:v>1</ns0:v>
      </ns0:c>
      <ns0:c r="CH70" t="n">
        <ns0:f>IF($A70="",1,IF(CG70=1,1,--AND(IF($AC70&gt;0,INDEX(CG$7:CG$106,$AC70),1),IF($AD70&gt;0,INDEX(CG$7:CG$106,$AD70),1),IF($AE70&gt;0,INDEX(CG$7:CG$106,$AE70),1),IF($AF70&gt;0,INDEX(CG$7:CG$106,$AF70),1),IF($AG70&gt;0,INDEX(CG$7:CG$106,$AG70),1),IF($AH70&gt;0,INDEX(CG$7:CG$106,$AH70),1),IF($AI70&gt;0,INDEX(CG$7:CG$106,$AI70),1),IF($AJ70&gt;0,INDEX(CG$7:CG$106,$AJ70),1))))</ns0:f>
        <ns0:v>1</ns0:v>
      </ns0:c>
      <ns0:c r="CI70" t="n">
        <ns0:f>IF($A70="",1,IF(CH70=1,1,--AND(IF($AC70&gt;0,INDEX(CH$7:CH$106,$AC70),1),IF($AD70&gt;0,INDEX(CH$7:CH$106,$AD70),1),IF($AE70&gt;0,INDEX(CH$7:CH$106,$AE70),1),IF($AF70&gt;0,INDEX(CH$7:CH$106,$AF70),1),IF($AG70&gt;0,INDEX(CH$7:CH$106,$AG70),1),IF($AH70&gt;0,INDEX(CH$7:CH$106,$AH70),1),IF($AI70&gt;0,INDEX(CH$7:CH$106,$AI70),1),IF($AJ70&gt;0,INDEX(CH$7:CH$106,$AJ70),1))))</ns0:f>
        <ns0:v>1</ns0:v>
      </ns0:c>
      <ns0:c r="CJ70" t="n">
        <ns0:f>IF($A70="",1,IF(CI70=1,1,--AND(IF($AC70&gt;0,INDEX(CI$7:CI$106,$AC70),1),IF($AD70&gt;0,INDEX(CI$7:CI$106,$AD70),1),IF($AE70&gt;0,INDEX(CI$7:CI$106,$AE70),1),IF($AF70&gt;0,INDEX(CI$7:CI$106,$AF70),1),IF($AG70&gt;0,INDEX(CI$7:CI$106,$AG70),1),IF($AH70&gt;0,INDEX(CI$7:CI$106,$AH70),1),IF($AI70&gt;0,INDEX(CI$7:CI$106,$AI70),1),IF($AJ70&gt;0,INDEX(CI$7:CI$106,$AJ70),1))))</ns0:f>
        <ns0:v>1</ns0:v>
      </ns0:c>
      <ns0:c r="CK70" t="n">
        <ns0:f>IF($A70="",1,IF(CJ70=1,1,--AND(IF($AC70&gt;0,INDEX(CJ$7:CJ$106,$AC70),1),IF($AD70&gt;0,INDEX(CJ$7:CJ$106,$AD70),1),IF($AE70&gt;0,INDEX(CJ$7:CJ$106,$AE70),1),IF($AF70&gt;0,INDEX(CJ$7:CJ$106,$AF70),1),IF($AG70&gt;0,INDEX(CJ$7:CJ$106,$AG70),1),IF($AH70&gt;0,INDEX(CJ$7:CJ$106,$AH70),1),IF($AI70&gt;0,INDEX(CJ$7:CJ$106,$AI70),1),IF($AJ70&gt;0,INDEX(CJ$7:CJ$106,$AJ70),1))))</ns0:f>
        <ns0:v>1</ns0:v>
      </ns0:c>
      <ns0:c r="CL70" t="n">
        <ns0:f>IF($A70="",1,IF(CK70=1,1,--AND(IF($AC70&gt;0,INDEX(CK$7:CK$106,$AC70),1),IF($AD70&gt;0,INDEX(CK$7:CK$106,$AD70),1),IF($AE70&gt;0,INDEX(CK$7:CK$106,$AE70),1),IF($AF70&gt;0,INDEX(CK$7:CK$106,$AF70),1),IF($AG70&gt;0,INDEX(CK$7:CK$106,$AG70),1),IF($AH70&gt;0,INDEX(CK$7:CK$106,$AH70),1),IF($AI70&gt;0,INDEX(CK$7:CK$106,$AI70),1),IF($AJ70&gt;0,INDEX(CK$7:CK$106,$AJ70),1))))</ns0:f>
        <ns0:v>1</ns0:v>
      </ns0:c>
      <ns0:c r="CM70" t="n">
        <ns0:f>IF($A70="",1,IF(CL70=1,1,--AND(IF($AC70&gt;0,INDEX(CL$7:CL$106,$AC70),1),IF($AD70&gt;0,INDEX(CL$7:CL$106,$AD70),1),IF($AE70&gt;0,INDEX(CL$7:CL$106,$AE70),1),IF($AF70&gt;0,INDEX(CL$7:CL$106,$AF70),1),IF($AG70&gt;0,INDEX(CL$7:CL$106,$AG70),1),IF($AH70&gt;0,INDEX(CL$7:CL$106,$AH70),1),IF($AI70&gt;0,INDEX(CL$7:CL$106,$AI70),1),IF($AJ70&gt;0,INDEX(CL$7:CL$106,$AJ70),1))))</ns0:f>
        <ns0:v>1</ns0:v>
      </ns0:c>
      <ns0:c r="CN70" t="n">
        <ns0:f>IF($A70="",1,IF(CM70=1,1,--AND(IF($AC70&gt;0,INDEX(CM$7:CM$106,$AC70),1),IF($AD70&gt;0,INDEX(CM$7:CM$106,$AD70),1),IF($AE70&gt;0,INDEX(CM$7:CM$106,$AE70),1),IF($AF70&gt;0,INDEX(CM$7:CM$106,$AF70),1),IF($AG70&gt;0,INDEX(CM$7:CM$106,$AG70),1),IF($AH70&gt;0,INDEX(CM$7:CM$106,$AH70),1),IF($AI70&gt;0,INDEX(CM$7:CM$106,$AI70),1),IF($AJ70&gt;0,INDEX(CM$7:CM$106,$AJ70),1))))</ns0:f>
        <ns0:v>1</ns0:v>
      </ns0:c>
      <ns0:c r="CO70" t="n">
        <ns0:f>IF($A70="",1,IF(CN70=1,1,--AND(IF($AC70&gt;0,INDEX(CN$7:CN$106,$AC70),1),IF($AD70&gt;0,INDEX(CN$7:CN$106,$AD70),1),IF($AE70&gt;0,INDEX(CN$7:CN$106,$AE70),1),IF($AF70&gt;0,INDEX(CN$7:CN$106,$AF70),1),IF($AG70&gt;0,INDEX(CN$7:CN$106,$AG70),1),IF($AH70&gt;0,INDEX(CN$7:CN$106,$AH70),1),IF($AI70&gt;0,INDEX(CN$7:CN$106,$AI70),1),IF($AJ70&gt;0,INDEX(CN$7:CN$106,$AJ70),1))))</ns0:f>
        <ns0:v>1</ns0:v>
      </ns0:c>
      <ns0:c r="CP70" t="n">
        <ns0:f>IF($A70="",1,IF(CO70=1,1,--AND(IF($AC70&gt;0,INDEX(CO$7:CO$106,$AC70),1),IF($AD70&gt;0,INDEX(CO$7:CO$106,$AD70),1),IF($AE70&gt;0,INDEX(CO$7:CO$106,$AE70),1),IF($AF70&gt;0,INDEX(CO$7:CO$106,$AF70),1),IF($AG70&gt;0,INDEX(CO$7:CO$106,$AG70),1),IF($AH70&gt;0,INDEX(CO$7:CO$106,$AH70),1),IF($AI70&gt;0,INDEX(CO$7:CO$106,$AI70),1),IF($AJ70&gt;0,INDEX(CO$7:CO$106,$AJ70),1))))</ns0:f>
        <ns0:v>1</ns0:v>
      </ns0:c>
      <ns0:c r="CQ70" t="n">
        <ns0:f>IF($A70="",1,IF(CP70=1,1,--AND(IF($AC70&gt;0,INDEX(CP$7:CP$106,$AC70),1),IF($AD70&gt;0,INDEX(CP$7:CP$106,$AD70),1),IF($AE70&gt;0,INDEX(CP$7:CP$106,$AE70),1),IF($AF70&gt;0,INDEX(CP$7:CP$106,$AF70),1),IF($AG70&gt;0,INDEX(CP$7:CP$106,$AG70),1),IF($AH70&gt;0,INDEX(CP$7:CP$106,$AH70),1),IF($AI70&gt;0,INDEX(CP$7:CP$106,$AI70),1),IF($AJ70&gt;0,INDEX(CP$7:CP$106,$AJ70),1))))</ns0:f>
        <ns0:v>1</ns0:v>
      </ns0:c>
      <ns0:c r="CR70" t="n">
        <ns0:f>IF($A70="",1,IF(CQ70=1,1,--AND(IF($AC70&gt;0,INDEX(CQ$7:CQ$106,$AC70),1),IF($AD70&gt;0,INDEX(CQ$7:CQ$106,$AD70),1),IF($AE70&gt;0,INDEX(CQ$7:CQ$106,$AE70),1),IF($AF70&gt;0,INDEX(CQ$7:CQ$106,$AF70),1),IF($AG70&gt;0,INDEX(CQ$7:CQ$106,$AG70),1),IF($AH70&gt;0,INDEX(CQ$7:CQ$106,$AH70),1),IF($AI70&gt;0,INDEX(CQ$7:CQ$106,$AI70),1),IF($AJ70&gt;0,INDEX(CQ$7:CQ$106,$AJ70),1))))</ns0:f>
        <ns0:v>1</ns0:v>
      </ns0:c>
      <ns0:c r="CS70" t="n">
        <ns0:f>IF($A70="",1,IF(CR70=1,1,--AND(IF($AC70&gt;0,INDEX(CR$7:CR$106,$AC70),1),IF($AD70&gt;0,INDEX(CR$7:CR$106,$AD70),1),IF($AE70&gt;0,INDEX(CR$7:CR$106,$AE70),1),IF($AF70&gt;0,INDEX(CR$7:CR$106,$AF70),1),IF($AG70&gt;0,INDEX(CR$7:CR$106,$AG70),1),IF($AH70&gt;0,INDEX(CR$7:CR$106,$AH70),1),IF($AI70&gt;0,INDEX(CR$7:CR$106,$AI70),1),IF($AJ70&gt;0,INDEX(CR$7:CR$106,$AJ70),1))))</ns0:f>
        <ns0:v>1</ns0:v>
      </ns0:c>
      <ns0:c r="CT70" t="n">
        <ns0:f>IF($A70="",1,IF(CS70=1,1,--AND(IF($AC70&gt;0,INDEX(CS$7:CS$106,$AC70),1),IF($AD70&gt;0,INDEX(CS$7:CS$106,$AD70),1),IF($AE70&gt;0,INDEX(CS$7:CS$106,$AE70),1),IF($AF70&gt;0,INDEX(CS$7:CS$106,$AF70),1),IF($AG70&gt;0,INDEX(CS$7:CS$106,$AG70),1),IF($AH70&gt;0,INDEX(CS$7:CS$106,$AH70),1),IF($AI70&gt;0,INDEX(CS$7:CS$106,$AI70),1),IF($AJ70&gt;0,INDEX(CS$7:CS$106,$AJ70),1))))</ns0:f>
        <ns0:v>1</ns0:v>
      </ns0:c>
      <ns0:c r="CU70" t="n">
        <ns0:f>IF($A70="",1,IF(CT70=1,1,--AND(IF($AC70&gt;0,INDEX(CT$7:CT$106,$AC70),1),IF($AD70&gt;0,INDEX(CT$7:CT$106,$AD70),1),IF($AE70&gt;0,INDEX(CT$7:CT$106,$AE70),1),IF($AF70&gt;0,INDEX(CT$7:CT$106,$AF70),1),IF($AG70&gt;0,INDEX(CT$7:CT$106,$AG70),1),IF($AH70&gt;0,INDEX(CT$7:CT$106,$AH70),1),IF($AI70&gt;0,INDEX(CT$7:CT$106,$AI70),1),IF($AJ70&gt;0,INDEX(CT$7:CT$106,$AJ70),1))))</ns0:f>
        <ns0:v>1</ns0:v>
      </ns0:c>
      <ns0:c r="CV70" t="n">
        <ns0:f>IF($A70="",1,IF(CU70=1,1,--AND(IF($AC70&gt;0,INDEX(CU$7:CU$106,$AC70),1),IF($AD70&gt;0,INDEX(CU$7:CU$106,$AD70),1),IF($AE70&gt;0,INDEX(CU$7:CU$106,$AE70),1),IF($AF70&gt;0,INDEX(CU$7:CU$106,$AF70),1),IF($AG70&gt;0,INDEX(CU$7:CU$106,$AG70),1),IF($AH70&gt;0,INDEX(CU$7:CU$106,$AH70),1),IF($AI70&gt;0,INDEX(CU$7:CU$106,$AI70),1),IF($AJ70&gt;0,INDEX(CU$7:CU$106,$AJ70),1))))</ns0:f>
        <ns0:v>1</ns0:v>
      </ns0:c>
      <ns0:c r="CW70" t="n">
        <ns0:f>IF($A70="",1,IF(CV70=1,1,--AND(IF($AC70&gt;0,INDEX(CV$7:CV$106,$AC70),1),IF($AD70&gt;0,INDEX(CV$7:CV$106,$AD70),1),IF($AE70&gt;0,INDEX(CV$7:CV$106,$AE70),1),IF($AF70&gt;0,INDEX(CV$7:CV$106,$AF70),1),IF($AG70&gt;0,INDEX(CV$7:CV$106,$AG70),1),IF($AH70&gt;0,INDEX(CV$7:CV$106,$AH70),1),IF($AI70&gt;0,INDEX(CV$7:CV$106,$AI70),1),IF($AJ70&gt;0,INDEX(CV$7:CV$106,$AJ70),1))))</ns0:f>
        <ns0:v>1</ns0:v>
      </ns0:c>
      <ns0:c r="CX70" t="n">
        <ns0:f>IF($A70="",1,IF(CW70=1,1,--AND(IF($AC70&gt;0,INDEX(CW$7:CW$106,$AC70),1),IF($AD70&gt;0,INDEX(CW$7:CW$106,$AD70),1),IF($AE70&gt;0,INDEX(CW$7:CW$106,$AE70),1),IF($AF70&gt;0,INDEX(CW$7:CW$106,$AF70),1),IF($AG70&gt;0,INDEX(CW$7:CW$106,$AG70),1),IF($AH70&gt;0,INDEX(CW$7:CW$106,$AH70),1),IF($AI70&gt;0,INDEX(CW$7:CW$106,$AI70),1),IF($AJ70&gt;0,INDEX(CW$7:CW$106,$AJ70),1))))</ns0:f>
        <ns0:v>1</ns0:v>
      </ns0:c>
      <ns0:c r="CY70" t="n">
        <ns0:f>IF($A70="",1,IF(CX70=1,1,--AND(IF($AC70&gt;0,INDEX(CX$7:CX$106,$AC70),1),IF($AD70&gt;0,INDEX(CX$7:CX$106,$AD70),1),IF($AE70&gt;0,INDEX(CX$7:CX$106,$AE70),1),IF($AF70&gt;0,INDEX(CX$7:CX$106,$AF70),1),IF($AG70&gt;0,INDEX(CX$7:CX$106,$AG70),1),IF($AH70&gt;0,INDEX(CX$7:CX$106,$AH70),1),IF($AI70&gt;0,INDEX(CX$7:CX$106,$AI70),1),IF($AJ70&gt;0,INDEX(CX$7:CX$106,$AJ70),1))))</ns0:f>
        <ns0:v>1</ns0:v>
      </ns0:c>
      <ns0:c r="CZ70" t="n">
        <ns0:f>IF($A70="",1,IF(CY70=1,1,--AND(IF($AC70&gt;0,INDEX(CY$7:CY$106,$AC70),1),IF($AD70&gt;0,INDEX(CY$7:CY$106,$AD70),1),IF($AE70&gt;0,INDEX(CY$7:CY$106,$AE70),1),IF($AF70&gt;0,INDEX(CY$7:CY$106,$AF70),1),IF($AG70&gt;0,INDEX(CY$7:CY$106,$AG70),1),IF($AH70&gt;0,INDEX(CY$7:CY$106,$AH70),1),IF($AI70&gt;0,INDEX(CY$7:CY$106,$AI70),1),IF($AJ70&gt;0,INDEX(CY$7:CY$106,$AJ70),1))))</ns0:f>
        <ns0:v>1</ns0:v>
      </ns0:c>
      <ns0:c r="DA70" t="n">
        <ns0:f>IF($A70="",1,IF(CZ70=1,1,--AND(IF($AC70&gt;0,INDEX(CZ$7:CZ$106,$AC70),1),IF($AD70&gt;0,INDEX(CZ$7:CZ$106,$AD70),1),IF($AE70&gt;0,INDEX(CZ$7:CZ$106,$AE70),1),IF($AF70&gt;0,INDEX(CZ$7:CZ$106,$AF70),1),IF($AG70&gt;0,INDEX(CZ$7:CZ$106,$AG70),1),IF($AH70&gt;0,INDEX(CZ$7:CZ$106,$AH70),1),IF($AI70&gt;0,INDEX(CZ$7:CZ$106,$AI70),1),IF($AJ70&gt;0,INDEX(CZ$7:CZ$106,$AJ70),1))))</ns0:f>
        <ns0:v>1</ns0:v>
      </ns0:c>
      <ns0:c r="DB70" t="n">
        <ns0:f>IF($A70="",1,IF(DA70=1,1,--AND(IF($AC70&gt;0,INDEX(DA$7:DA$106,$AC70),1),IF($AD70&gt;0,INDEX(DA$7:DA$106,$AD70),1),IF($AE70&gt;0,INDEX(DA$7:DA$106,$AE70),1),IF($AF70&gt;0,INDEX(DA$7:DA$106,$AF70),1),IF($AG70&gt;0,INDEX(DA$7:DA$106,$AG70),1),IF($AH70&gt;0,INDEX(DA$7:DA$106,$AH70),1),IF($AI70&gt;0,INDEX(DA$7:DA$106,$AI70),1),IF($AJ70&gt;0,INDEX(DA$7:DA$106,$AJ70),1))))</ns0:f>
        <ns0:v>1</ns0:v>
      </ns0:c>
      <ns0:c r="DC70" t="n">
        <ns0:f>IF($A70="",1,IF(DB70=1,1,--AND(IF($AC70&gt;0,INDEX(DB$7:DB$106,$AC70),1),IF($AD70&gt;0,INDEX(DB$7:DB$106,$AD70),1),IF($AE70&gt;0,INDEX(DB$7:DB$106,$AE70),1),IF($AF70&gt;0,INDEX(DB$7:DB$106,$AF70),1),IF($AG70&gt;0,INDEX(DB$7:DB$106,$AG70),1),IF($AH70&gt;0,INDEX(DB$7:DB$106,$AH70),1),IF($AI70&gt;0,INDEX(DB$7:DB$106,$AI70),1),IF($AJ70&gt;0,INDEX(DB$7:DB$106,$AJ70),1))))</ns0:f>
        <ns0:v>1</ns0:v>
      </ns0:c>
      <ns0:c r="DD70" t="n">
        <ns0:f>IF($A70="",1,IF(DC70=1,1,--AND(IF($AC70&gt;0,INDEX(DC$7:DC$106,$AC70),1),IF($AD70&gt;0,INDEX(DC$7:DC$106,$AD70),1),IF($AE70&gt;0,INDEX(DC$7:DC$106,$AE70),1),IF($AF70&gt;0,INDEX(DC$7:DC$106,$AF70),1),IF($AG70&gt;0,INDEX(DC$7:DC$106,$AG70),1),IF($AH70&gt;0,INDEX(DC$7:DC$106,$AH70),1),IF($AI70&gt;0,INDEX(DC$7:DC$106,$AI70),1),IF($AJ70&gt;0,INDEX(DC$7:DC$106,$AJ70),1))))</ns0:f>
        <ns0:v>1</ns0:v>
      </ns0:c>
      <ns0:c r="DE70" t="n">
        <ns0:f>IF($A70="",1,IF(DD70=1,1,--AND(IF($AC70&gt;0,INDEX(DD$7:DD$106,$AC70),1),IF($AD70&gt;0,INDEX(DD$7:DD$106,$AD70),1),IF($AE70&gt;0,INDEX(DD$7:DD$106,$AE70),1),IF($AF70&gt;0,INDEX(DD$7:DD$106,$AF70),1),IF($AG70&gt;0,INDEX(DD$7:DD$106,$AG70),1),IF($AH70&gt;0,INDEX(DD$7:DD$106,$AH70),1),IF($AI70&gt;0,INDEX(DD$7:DD$106,$AI70),1),IF($AJ70&gt;0,INDEX(DD$7:DD$106,$AJ70),1))))</ns0:f>
        <ns0:v>1</ns0:v>
      </ns0:c>
      <ns0:c r="DF70" t="n">
        <ns0:f>IF($A70="",1,IF(DE70=1,1,--AND(IF($AC70&gt;0,INDEX(DE$7:DE$106,$AC70),1),IF($AD70&gt;0,INDEX(DE$7:DE$106,$AD70),1),IF($AE70&gt;0,INDEX(DE$7:DE$106,$AE70),1),IF($AF70&gt;0,INDEX(DE$7:DE$106,$AF70),1),IF($AG70&gt;0,INDEX(DE$7:DE$106,$AG70),1),IF($AH70&gt;0,INDEX(DE$7:DE$106,$AH70),1),IF($AI70&gt;0,INDEX(DE$7:DE$106,$AI70),1),IF($AJ70&gt;0,INDEX(DE$7:DE$106,$AJ70),1))))</ns0:f>
        <ns0:v>1</ns0:v>
      </ns0:c>
      <ns0:c r="DG70" t="n">
        <ns0:f>IF($A70="",1,IF(DF70=1,1,--AND(IF($AC70&gt;0,INDEX(DF$7:DF$106,$AC70),1),IF($AD70&gt;0,INDEX(DF$7:DF$106,$AD70),1),IF($AE70&gt;0,INDEX(DF$7:DF$106,$AE70),1),IF($AF70&gt;0,INDEX(DF$7:DF$106,$AF70),1),IF($AG70&gt;0,INDEX(DF$7:DF$106,$AG70),1),IF($AH70&gt;0,INDEX(DF$7:DF$106,$AH70),1),IF($AI70&gt;0,INDEX(DF$7:DF$106,$AI70),1),IF($AJ70&gt;0,INDEX(DF$7:DF$106,$AJ70),1))))</ns0:f>
        <ns0:v>1</ns0:v>
      </ns0:c>
      <ns0:c r="DH70" t="n">
        <ns0:f>IF($A70="",1,IF(DG70=1,1,--AND(IF($AC70&gt;0,INDEX(DG$7:DG$106,$AC70),1),IF($AD70&gt;0,INDEX(DG$7:DG$106,$AD70),1),IF($AE70&gt;0,INDEX(DG$7:DG$106,$AE70),1),IF($AF70&gt;0,INDEX(DG$7:DG$106,$AF70),1),IF($AG70&gt;0,INDEX(DG$7:DG$106,$AG70),1),IF($AH70&gt;0,INDEX(DG$7:DG$106,$AH70),1),IF($AI70&gt;0,INDEX(DG$7:DG$106,$AI70),1),IF($AJ70&gt;0,INDEX(DG$7:DG$106,$AJ70),1))))</ns0:f>
        <ns0:v>1</ns0:v>
      </ns0:c>
      <ns0:c r="DI70" t="n">
        <ns0:f>IF($A70="",1,IF(DH70=1,1,--AND(IF($AC70&gt;0,INDEX(DH$7:DH$106,$AC70),1),IF($AD70&gt;0,INDEX(DH$7:DH$106,$AD70),1),IF($AE70&gt;0,INDEX(DH$7:DH$106,$AE70),1),IF($AF70&gt;0,INDEX(DH$7:DH$106,$AF70),1),IF($AG70&gt;0,INDEX(DH$7:DH$106,$AG70),1),IF($AH70&gt;0,INDEX(DH$7:DH$106,$AH70),1),IF($AI70&gt;0,INDEX(DH$7:DH$106,$AI70),1),IF($AJ70&gt;0,INDEX(DH$7:DH$106,$AJ70),1))))</ns0:f>
        <ns0:v>1</ns0:v>
      </ns0:c>
      <ns0:c r="DJ70" t="n">
        <ns0:f>IF($A70="",1,IF(DI70=1,1,--AND(IF($AC70&gt;0,INDEX(DI$7:DI$106,$AC70),1),IF($AD70&gt;0,INDEX(DI$7:DI$106,$AD70),1),IF($AE70&gt;0,INDEX(DI$7:DI$106,$AE70),1),IF($AF70&gt;0,INDEX(DI$7:DI$106,$AF70),1),IF($AG70&gt;0,INDEX(DI$7:DI$106,$AG70),1),IF($AH70&gt;0,INDEX(DI$7:DI$106,$AH70),1),IF($AI70&gt;0,INDEX(DI$7:DI$106,$AI70),1),IF($AJ70&gt;0,INDEX(DI$7:DI$106,$AJ70),1))))</ns0:f>
        <ns0:v>1</ns0:v>
      </ns0:c>
      <ns0:c r="DK70" t="n">
        <ns0:f>IF($A70="",1,IF(DJ70=1,1,--AND(IF($AC70&gt;0,INDEX(DJ$7:DJ$106,$AC70),1),IF($AD70&gt;0,INDEX(DJ$7:DJ$106,$AD70),1),IF($AE70&gt;0,INDEX(DJ$7:DJ$106,$AE70),1),IF($AF70&gt;0,INDEX(DJ$7:DJ$106,$AF70),1),IF($AG70&gt;0,INDEX(DJ$7:DJ$106,$AG70),1),IF($AH70&gt;0,INDEX(DJ$7:DJ$106,$AH70),1),IF($AI70&gt;0,INDEX(DJ$7:DJ$106,$AI70),1),IF($AJ70&gt;0,INDEX(DJ$7:DJ$106,$AJ70),1))))</ns0:f>
        <ns0:v>1</ns0:v>
      </ns0:c>
      <ns0:c r="DL70" t="n">
        <ns0:f>IF($A70="",1,IF(DK70=1,1,--AND(IF($AC70&gt;0,INDEX(DK$7:DK$106,$AC70),1),IF($AD70&gt;0,INDEX(DK$7:DK$106,$AD70),1),IF($AE70&gt;0,INDEX(DK$7:DK$106,$AE70),1),IF($AF70&gt;0,INDEX(DK$7:DK$106,$AF70),1),IF($AG70&gt;0,INDEX(DK$7:DK$106,$AG70),1),IF($AH70&gt;0,INDEX(DK$7:DK$106,$AH70),1),IF($AI70&gt;0,INDEX(DK$7:DK$106,$AI70),1),IF($AJ70&gt;0,INDEX(DK$7:DK$106,$AJ70),1))))</ns0:f>
        <ns0:v>1</ns0:v>
      </ns0:c>
      <ns0:c r="DM70" t="n">
        <ns0:f>IF($A70="",1,IF(DL70=1,1,--AND(IF($AC70&gt;0,INDEX(DL$7:DL$106,$AC70),1),IF($AD70&gt;0,INDEX(DL$7:DL$106,$AD70),1),IF($AE70&gt;0,INDEX(DL$7:DL$106,$AE70),1),IF($AF70&gt;0,INDEX(DL$7:DL$106,$AF70),1),IF($AG70&gt;0,INDEX(DL$7:DL$106,$AG70),1),IF($AH70&gt;0,INDEX(DL$7:DL$106,$AH70),1),IF($AI70&gt;0,INDEX(DL$7:DL$106,$AI70),1),IF($AJ70&gt;0,INDEX(DL$7:DL$106,$AJ70),1))))</ns0:f>
        <ns0:v>1</ns0:v>
      </ns0:c>
      <ns0:c r="DN70" t="n">
        <ns0:f>IF($A70="",1,IF(DM70=1,1,--AND(IF($AC70&gt;0,INDEX(DM$7:DM$106,$AC70),1),IF($AD70&gt;0,INDEX(DM$7:DM$106,$AD70),1),IF($AE70&gt;0,INDEX(DM$7:DM$106,$AE70),1),IF($AF70&gt;0,INDEX(DM$7:DM$106,$AF70),1),IF($AG70&gt;0,INDEX(DM$7:DM$106,$AG70),1),IF($AH70&gt;0,INDEX(DM$7:DM$106,$AH70),1),IF($AI70&gt;0,INDEX(DM$7:DM$106,$AI70),1),IF($AJ70&gt;0,INDEX(DM$7:DM$106,$AJ70),1))))</ns0:f>
        <ns0:v>1</ns0:v>
      </ns0:c>
      <ns0:c r="DO70" t="n">
        <ns0:f>IF($A70="",1,IF(DN70=1,1,--AND(IF($AC70&gt;0,INDEX(DN$7:DN$106,$AC70),1),IF($AD70&gt;0,INDEX(DN$7:DN$106,$AD70),1),IF($AE70&gt;0,INDEX(DN$7:DN$106,$AE70),1),IF($AF70&gt;0,INDEX(DN$7:DN$106,$AF70),1),IF($AG70&gt;0,INDEX(DN$7:DN$106,$AG70),1),IF($AH70&gt;0,INDEX(DN$7:DN$106,$AH70),1),IF($AI70&gt;0,INDEX(DN$7:DN$106,$AI70),1),IF($AJ70&gt;0,INDEX(DN$7:DN$106,$AJ70),1))))</ns0:f>
        <ns0:v>1</ns0:v>
      </ns0:c>
      <ns0:c r="DP70" t="n">
        <ns0:f>IF($A70="",1,IF(DO70=1,1,--AND(IF($AC70&gt;0,INDEX(DO$7:DO$106,$AC70),1),IF($AD70&gt;0,INDEX(DO$7:DO$106,$AD70),1),IF($AE70&gt;0,INDEX(DO$7:DO$106,$AE70),1),IF($AF70&gt;0,INDEX(DO$7:DO$106,$AF70),1),IF($AG70&gt;0,INDEX(DO$7:DO$106,$AG70),1),IF($AH70&gt;0,INDEX(DO$7:DO$106,$AH70),1),IF($AI70&gt;0,INDEX(DO$7:DO$106,$AI70),1),IF($AJ70&gt;0,INDEX(DO$7:DO$106,$AJ70),1))))</ns0:f>
        <ns0:v>1</ns0:v>
      </ns0:c>
      <ns0:c r="DQ70" t="n">
        <ns0:f>IF($A70="",1,IF(DP70=1,1,--AND(IF($AC70&gt;0,INDEX(DP$7:DP$106,$AC70),1),IF($AD70&gt;0,INDEX(DP$7:DP$106,$AD70),1),IF($AE70&gt;0,INDEX(DP$7:DP$106,$AE70),1),IF($AF70&gt;0,INDEX(DP$7:DP$106,$AF70),1),IF($AG70&gt;0,INDEX(DP$7:DP$106,$AG70),1),IF($AH70&gt;0,INDEX(DP$7:DP$106,$AH70),1),IF($AI70&gt;0,INDEX(DP$7:DP$106,$AI70),1),IF($AJ70&gt;0,INDEX(DP$7:DP$106,$AJ70),1))))</ns0:f>
        <ns0:v>1</ns0:v>
      </ns0:c>
      <ns0:c r="DR70" t="n">
        <ns0:f>IF($A70="",1,IF(DQ70=1,1,--AND(IF($AC70&gt;0,INDEX(DQ$7:DQ$106,$AC70),1),IF($AD70&gt;0,INDEX(DQ$7:DQ$106,$AD70),1),IF($AE70&gt;0,INDEX(DQ$7:DQ$106,$AE70),1),IF($AF70&gt;0,INDEX(DQ$7:DQ$106,$AF70),1),IF($AG70&gt;0,INDEX(DQ$7:DQ$106,$AG70),1),IF($AH70&gt;0,INDEX(DQ$7:DQ$106,$AH70),1),IF($AI70&gt;0,INDEX(DQ$7:DQ$106,$AI70),1),IF($AJ70&gt;0,INDEX(DQ$7:DQ$106,$AJ70),1))))</ns0:f>
        <ns0:v>1</ns0:v>
      </ns0:c>
      <ns0:c r="DS70" t="n">
        <ns0:f>IF($A70="",1,IF(DR70=1,1,--AND(IF($AC70&gt;0,INDEX(DR$7:DR$106,$AC70),1),IF($AD70&gt;0,INDEX(DR$7:DR$106,$AD70),1),IF($AE70&gt;0,INDEX(DR$7:DR$106,$AE70),1),IF($AF70&gt;0,INDEX(DR$7:DR$106,$AF70),1),IF($AG70&gt;0,INDEX(DR$7:DR$106,$AG70),1),IF($AH70&gt;0,INDEX(DR$7:DR$106,$AH70),1),IF($AI70&gt;0,INDEX(DR$7:DR$106,$AI70),1),IF($AJ70&gt;0,INDEX(DR$7:DR$106,$AJ70),1))))</ns0:f>
        <ns0:v>1</ns0:v>
      </ns0:c>
      <ns0:c r="DT70" t="n">
        <ns0:f>IF($A70="",1,IF(DS70=1,1,--AND(IF($AC70&gt;0,INDEX(DS$7:DS$106,$AC70),1),IF($AD70&gt;0,INDEX(DS$7:DS$106,$AD70),1),IF($AE70&gt;0,INDEX(DS$7:DS$106,$AE70),1),IF($AF70&gt;0,INDEX(DS$7:DS$106,$AF70),1),IF($AG70&gt;0,INDEX(DS$7:DS$106,$AG70),1),IF($AH70&gt;0,INDEX(DS$7:DS$106,$AH70),1),IF($AI70&gt;0,INDEX(DS$7:DS$106,$AI70),1),IF($AJ70&gt;0,INDEX(DS$7:DS$106,$AJ70),1))))</ns0:f>
        <ns0:v>1</ns0:v>
      </ns0:c>
      <ns0:c r="DU70" t="n">
        <ns0:f>IF($A70="",1,IF(DT70=1,1,--AND(IF($AC70&gt;0,INDEX(DT$7:DT$106,$AC70),1),IF($AD70&gt;0,INDEX(DT$7:DT$106,$AD70),1),IF($AE70&gt;0,INDEX(DT$7:DT$106,$AE70),1),IF($AF70&gt;0,INDEX(DT$7:DT$106,$AF70),1),IF($AG70&gt;0,INDEX(DT$7:DT$106,$AG70),1),IF($AH70&gt;0,INDEX(DT$7:DT$106,$AH70),1),IF($AI70&gt;0,INDEX(DT$7:DT$106,$AI70),1),IF($AJ70&gt;0,INDEX(DT$7:DT$106,$AJ70),1))))</ns0:f>
        <ns0:v>1</ns0:v>
      </ns0:c>
      <ns0:c r="DV70" t="n">
        <ns0:f>IF($A70="",1,IF(DU70=1,1,--AND(IF($AC70&gt;0,INDEX(DU$7:DU$106,$AC70),1),IF($AD70&gt;0,INDEX(DU$7:DU$106,$AD70),1),IF($AE70&gt;0,INDEX(DU$7:DU$106,$AE70),1),IF($AF70&gt;0,INDEX(DU$7:DU$106,$AF70),1),IF($AG70&gt;0,INDEX(DU$7:DU$106,$AG70),1),IF($AH70&gt;0,INDEX(DU$7:DU$106,$AH70),1),IF($AI70&gt;0,INDEX(DU$7:DU$106,$AI70),1),IF($AJ70&gt;0,INDEX(DU$7:DU$106,$AJ70),1))))</ns0:f>
        <ns0:v>1</ns0:v>
      </ns0:c>
      <ns0:c r="DW70" t="n">
        <ns0:f>IF($A70="",1,IF(DV70=1,1,--AND(IF($AC70&gt;0,INDEX(DV$7:DV$106,$AC70),1),IF($AD70&gt;0,INDEX(DV$7:DV$106,$AD70),1),IF($AE70&gt;0,INDEX(DV$7:DV$106,$AE70),1),IF($AF70&gt;0,INDEX(DV$7:DV$106,$AF70),1),IF($AG70&gt;0,INDEX(DV$7:DV$106,$AG70),1),IF($AH70&gt;0,INDEX(DV$7:DV$106,$AH70),1),IF($AI70&gt;0,INDEX(DV$7:DV$106,$AI70),1),IF($AJ70&gt;0,INDEX(DV$7:DV$106,$AJ70),1))))</ns0:f>
        <ns0:v>1</ns0:v>
      </ns0:c>
      <ns0:c r="DX70" t="n">
        <ns0:f>IF($A70="",1,IF(DW70=1,1,--AND(IF($AC70&gt;0,INDEX(DW$7:DW$106,$AC70),1),IF($AD70&gt;0,INDEX(DW$7:DW$106,$AD70),1),IF($AE70&gt;0,INDEX(DW$7:DW$106,$AE70),1),IF($AF70&gt;0,INDEX(DW$7:DW$106,$AF70),1),IF($AG70&gt;0,INDEX(DW$7:DW$106,$AG70),1),IF($AH70&gt;0,INDEX(DW$7:DW$106,$AH70),1),IF($AI70&gt;0,INDEX(DW$7:DW$106,$AI70),1),IF($AJ70&gt;0,INDEX(DW$7:DW$106,$AJ70),1))))</ns0:f>
        <ns0:v>1</ns0:v>
      </ns0:c>
      <ns0:c r="DY70" t="n">
        <ns0:f>IF($A70="",1,IF(DX70=1,1,--AND(IF($AC70&gt;0,INDEX(DX$7:DX$106,$AC70),1),IF($AD70&gt;0,INDEX(DX$7:DX$106,$AD70),1),IF($AE70&gt;0,INDEX(DX$7:DX$106,$AE70),1),IF($AF70&gt;0,INDEX(DX$7:DX$106,$AF70),1),IF($AG70&gt;0,INDEX(DX$7:DX$106,$AG70),1),IF($AH70&gt;0,INDEX(DX$7:DX$106,$AH70),1),IF($AI70&gt;0,INDEX(DX$7:DX$106,$AI70),1),IF($AJ70&gt;0,INDEX(DX$7:DX$106,$AJ70),1))))</ns0:f>
        <ns0:v>1</ns0:v>
      </ns0:c>
      <ns0:c r="DZ70" t="n">
        <ns0:f>IF($A70="",1,IF(DY70=1,1,--AND(IF($AC70&gt;0,INDEX(DY$7:DY$106,$AC70),1),IF($AD70&gt;0,INDEX(DY$7:DY$106,$AD70),1),IF($AE70&gt;0,INDEX(DY$7:DY$106,$AE70),1),IF($AF70&gt;0,INDEX(DY$7:DY$106,$AF70),1),IF($AG70&gt;0,INDEX(DY$7:DY$106,$AG70),1),IF($AH70&gt;0,INDEX(DY$7:DY$106,$AH70),1),IF($AI70&gt;0,INDEX(DY$7:DY$106,$AI70),1),IF($AJ70&gt;0,INDEX(DY$7:DY$106,$AJ70),1))))</ns0:f>
        <ns0:v>1</ns0:v>
      </ns0:c>
      <ns0:c r="EA70" t="n">
        <ns0:f>IF($A70="",1,IF(DZ70=1,1,--AND(IF($AC70&gt;0,INDEX(DZ$7:DZ$106,$AC70),1),IF($AD70&gt;0,INDEX(DZ$7:DZ$106,$AD70),1),IF($AE70&gt;0,INDEX(DZ$7:DZ$106,$AE70),1),IF($AF70&gt;0,INDEX(DZ$7:DZ$106,$AF70),1),IF($AG70&gt;0,INDEX(DZ$7:DZ$106,$AG70),1),IF($AH70&gt;0,INDEX(DZ$7:DZ$106,$AH70),1),IF($AI70&gt;0,INDEX(DZ$7:DZ$106,$AI70),1),IF($AJ70&gt;0,INDEX(DZ$7:DZ$106,$AJ70),1))))</ns0:f>
        <ns0:v>1</ns0:v>
      </ns0:c>
      <ns0:c r="EB70" t="n">
        <ns0:f>IF($A70="",1,IF(EA70=1,1,--AND(IF($AC70&gt;0,INDEX(EA$7:EA$106,$AC70),1),IF($AD70&gt;0,INDEX(EA$7:EA$106,$AD70),1),IF($AE70&gt;0,INDEX(EA$7:EA$106,$AE70),1),IF($AF70&gt;0,INDEX(EA$7:EA$106,$AF70),1),IF($AG70&gt;0,INDEX(EA$7:EA$106,$AG70),1),IF($AH70&gt;0,INDEX(EA$7:EA$106,$AH70),1),IF($AI70&gt;0,INDEX(EA$7:EA$106,$AI70),1),IF($AJ70&gt;0,INDEX(EA$7:EA$106,$AJ70),1))))</ns0:f>
        <ns0:v>1</ns0:v>
      </ns0:c>
      <ns0:c r="EC70" t="n">
        <ns0:f>IF($A70="",1,IF(EB70=1,1,--AND(IF($AC70&gt;0,INDEX(EB$7:EB$106,$AC70),1),IF($AD70&gt;0,INDEX(EB$7:EB$106,$AD70),1),IF($AE70&gt;0,INDEX(EB$7:EB$106,$AE70),1),IF($AF70&gt;0,INDEX(EB$7:EB$106,$AF70),1),IF($AG70&gt;0,INDEX(EB$7:EB$106,$AG70),1),IF($AH70&gt;0,INDEX(EB$7:EB$106,$AH70),1),IF($AI70&gt;0,INDEX(EB$7:EB$106,$AI70),1),IF($AJ70&gt;0,INDEX(EB$7:EB$106,$AJ70),1))))</ns0:f>
        <ns0:v>1</ns0:v>
      </ns0:c>
      <ns0:c r="ED70" t="n">
        <ns0:f>IF($A70="",1,IF(EC70=1,1,--AND(IF($AC70&gt;0,INDEX(EC$7:EC$106,$AC70),1),IF($AD70&gt;0,INDEX(EC$7:EC$106,$AD70),1),IF($AE70&gt;0,INDEX(EC$7:EC$106,$AE70),1),IF($AF70&gt;0,INDEX(EC$7:EC$106,$AF70),1),IF($AG70&gt;0,INDEX(EC$7:EC$106,$AG70),1),IF($AH70&gt;0,INDEX(EC$7:EC$106,$AH70),1),IF($AI70&gt;0,INDEX(EC$7:EC$106,$AI70),1),IF($AJ70&gt;0,INDEX(EC$7:EC$106,$AJ70),1))))</ns0:f>
        <ns0:v>1</ns0:v>
      </ns0:c>
      <ns0:c r="EE70" t="n">
        <ns0:f>IF($A70="",1,IF(ED70=1,1,--AND(IF($AC70&gt;0,INDEX(ED$7:ED$106,$AC70),1),IF($AD70&gt;0,INDEX(ED$7:ED$106,$AD70),1),IF($AE70&gt;0,INDEX(ED$7:ED$106,$AE70),1),IF($AF70&gt;0,INDEX(ED$7:ED$106,$AF70),1),IF($AG70&gt;0,INDEX(ED$7:ED$106,$AG70),1),IF($AH70&gt;0,INDEX(ED$7:ED$106,$AH70),1),IF($AI70&gt;0,INDEX(ED$7:ED$106,$AI70),1),IF($AJ70&gt;0,INDEX(ED$7:ED$106,$AJ70),1))))</ns0:f>
        <ns0:v>1</ns0:v>
      </ns0:c>
      <ns0:c r="EF70" t="n">
        <ns0:f>IF($A70="",1,IF(EE70=1,1,--AND(IF($AC70&gt;0,INDEX(EE$7:EE$106,$AC70),1),IF($AD70&gt;0,INDEX(EE$7:EE$106,$AD70),1),IF($AE70&gt;0,INDEX(EE$7:EE$106,$AE70),1),IF($AF70&gt;0,INDEX(EE$7:EE$106,$AF70),1),IF($AG70&gt;0,INDEX(EE$7:EE$106,$AG70),1),IF($AH70&gt;0,INDEX(EE$7:EE$106,$AH70),1),IF($AI70&gt;0,INDEX(EE$7:EE$106,$AI70),1),IF($AJ70&gt;0,INDEX(EE$7:EE$106,$AJ70),1))))</ns0:f>
        <ns0:v>1</ns0:v>
      </ns0:c>
      <ns0:c r="EG70" t="n">
        <ns0:f>IF($A70="",1,IF(EF70=1,1,--AND(IF($AC70&gt;0,INDEX(EF$7:EF$106,$AC70),1),IF($AD70&gt;0,INDEX(EF$7:EF$106,$AD70),1),IF($AE70&gt;0,INDEX(EF$7:EF$106,$AE70),1),IF($AF70&gt;0,INDEX(EF$7:EF$106,$AF70),1),IF($AG70&gt;0,INDEX(EF$7:EF$106,$AG70),1),IF($AH70&gt;0,INDEX(EF$7:EF$106,$AH70),1),IF($AI70&gt;0,INDEX(EF$7:EF$106,$AI70),1),IF($AJ70&gt;0,INDEX(EF$7:EF$106,$AJ70),1))))</ns0:f>
        <ns0:v>1</ns0:v>
      </ns0:c>
      <ns0:c r="EH70" t="n">
        <ns0:f>IF($A70="",1,IF(EG70=1,1,--AND(IF($AC70&gt;0,INDEX(EG$7:EG$106,$AC70),1),IF($AD70&gt;0,INDEX(EG$7:EG$106,$AD70),1),IF($AE70&gt;0,INDEX(EG$7:EG$106,$AE70),1),IF($AF70&gt;0,INDEX(EG$7:EG$106,$AF70),1),IF($AG70&gt;0,INDEX(EG$7:EG$106,$AG70),1),IF($AH70&gt;0,INDEX(EG$7:EG$106,$AH70),1),IF($AI70&gt;0,INDEX(EG$7:EG$106,$AI70),1),IF($AJ70&gt;0,INDEX(EG$7:EG$106,$AJ70),1))))</ns0:f>
        <ns0:v>1</ns0:v>
      </ns0:c>
      <ns0:c r="EI70" t="n">
        <ns0:f>IF($A70="",1,IF(EH70=1,1,--AND(IF($AC70&gt;0,INDEX(EH$7:EH$106,$AC70),1),IF($AD70&gt;0,INDEX(EH$7:EH$106,$AD70),1),IF($AE70&gt;0,INDEX(EH$7:EH$106,$AE70),1),IF($AF70&gt;0,INDEX(EH$7:EH$106,$AF70),1),IF($AG70&gt;0,INDEX(EH$7:EH$106,$AG70),1),IF($AH70&gt;0,INDEX(EH$7:EH$106,$AH70),1),IF($AI70&gt;0,INDEX(EH$7:EH$106,$AI70),1),IF($AJ70&gt;0,INDEX(EH$7:EH$106,$AJ70),1))))</ns0:f>
        <ns0:v>1</ns0:v>
      </ns0:c>
      <ns0:c r="EJ70" t="n">
        <ns0:f>IF($A70="",1,IF(EI70=1,1,--AND(IF($AC70&gt;0,INDEX(EI$7:EI$106,$AC70),1),IF($AD70&gt;0,INDEX(EI$7:EI$106,$AD70),1),IF($AE70&gt;0,INDEX(EI$7:EI$106,$AE70),1),IF($AF70&gt;0,INDEX(EI$7:EI$106,$AF70),1),IF($AG70&gt;0,INDEX(EI$7:EI$106,$AG70),1),IF($AH70&gt;0,INDEX(EI$7:EI$106,$AH70),1),IF($AI70&gt;0,INDEX(EI$7:EI$106,$AI70),1),IF($AJ70&gt;0,INDEX(EI$7:EI$106,$AJ70),1))))</ns0:f>
        <ns0:v>1</ns0:v>
      </ns0:c>
      <ns0:c r="EK70" t="n">
        <ns0:f>IF($A70="",1,IF(EJ70=1,1,--AND(IF($AC70&gt;0,INDEX(EJ$7:EJ$106,$AC70),1),IF($AD70&gt;0,INDEX(EJ$7:EJ$106,$AD70),1),IF($AE70&gt;0,INDEX(EJ$7:EJ$106,$AE70),1),IF($AF70&gt;0,INDEX(EJ$7:EJ$106,$AF70),1),IF($AG70&gt;0,INDEX(EJ$7:EJ$106,$AG70),1),IF($AH70&gt;0,INDEX(EJ$7:EJ$106,$AH70),1),IF($AI70&gt;0,INDEX(EJ$7:EJ$106,$AI70),1),IF($AJ70&gt;0,INDEX(EJ$7:EJ$106,$AJ70),1))))</ns0:f>
        <ns0:v>1</ns0:v>
      </ns0:c>
      <ns0:c r="EL70" t="n">
        <ns0:f>IF($A70="",1,IF(EK70=1,1,--AND(IF($AC70&gt;0,INDEX(EK$7:EK$106,$AC70),1),IF($AD70&gt;0,INDEX(EK$7:EK$106,$AD70),1),IF($AE70&gt;0,INDEX(EK$7:EK$106,$AE70),1),IF($AF70&gt;0,INDEX(EK$7:EK$106,$AF70),1),IF($AG70&gt;0,INDEX(EK$7:EK$106,$AG70),1),IF($AH70&gt;0,INDEX(EK$7:EK$106,$AH70),1),IF($AI70&gt;0,INDEX(EK$7:EK$106,$AI70),1),IF($AJ70&gt;0,INDEX(EK$7:EK$106,$AJ70),1))))</ns0:f>
        <ns0:v>1</ns0:v>
      </ns0:c>
      <ns0:c r="EM70" t="n">
        <ns0:f>IF($A70="",1,IF(EL70=1,1,--AND(IF($AC70&gt;0,INDEX(EL$7:EL$106,$AC70),1),IF($AD70&gt;0,INDEX(EL$7:EL$106,$AD70),1),IF($AE70&gt;0,INDEX(EL$7:EL$106,$AE70),1),IF($AF70&gt;0,INDEX(EL$7:EL$106,$AF70),1),IF($AG70&gt;0,INDEX(EL$7:EL$106,$AG70),1),IF($AH70&gt;0,INDEX(EL$7:EL$106,$AH70),1),IF($AI70&gt;0,INDEX(EL$7:EL$106,$AI70),1),IF($AJ70&gt;0,INDEX(EL$7:EL$106,$AJ70),1))))</ns0:f>
        <ns0:v>1</ns0:v>
      </ns0:c>
      <ns0:c r="EN70" t="n">
        <ns0:f>IF($A70="",1,IF(EM70=1,1,--AND(IF($AC70&gt;0,INDEX(EM$7:EM$106,$AC70),1),IF($AD70&gt;0,INDEX(EM$7:EM$106,$AD70),1),IF($AE70&gt;0,INDEX(EM$7:EM$106,$AE70),1),IF($AF70&gt;0,INDEX(EM$7:EM$106,$AF70),1),IF($AG70&gt;0,INDEX(EM$7:EM$106,$AG70),1),IF($AH70&gt;0,INDEX(EM$7:EM$106,$AH70),1),IF($AI70&gt;0,INDEX(EM$7:EM$106,$AI70),1),IF($AJ70&gt;0,INDEX(EM$7:EM$106,$AJ70),1))))</ns0:f>
        <ns0:v>1</ns0:v>
      </ns0:c>
      <ns0:c r="EO70" t="n">
        <ns0:f>IF($A70="",1,IF(EN70=1,1,--AND(IF($AC70&gt;0,INDEX(EN$7:EN$106,$AC70),1),IF($AD70&gt;0,INDEX(EN$7:EN$106,$AD70),1),IF($AE70&gt;0,INDEX(EN$7:EN$106,$AE70),1),IF($AF70&gt;0,INDEX(EN$7:EN$106,$AF70),1),IF($AG70&gt;0,INDEX(EN$7:EN$106,$AG70),1),IF($AH70&gt;0,INDEX(EN$7:EN$106,$AH70),1),IF($AI70&gt;0,INDEX(EN$7:EN$106,$AI70),1),IF($AJ70&gt;0,INDEX(EN$7:EN$106,$AJ70),1))))</ns0:f>
        <ns0:v>1</ns0:v>
      </ns0:c>
      <ns0:c r="EP70" t="n">
        <ns0:f>IF($A70="",1,IF(EO70=1,1,--AND(IF($AC70&gt;0,INDEX(EO$7:EO$106,$AC70),1),IF($AD70&gt;0,INDEX(EO$7:EO$106,$AD70),1),IF($AE70&gt;0,INDEX(EO$7:EO$106,$AE70),1),IF($AF70&gt;0,INDEX(EO$7:EO$106,$AF70),1),IF($AG70&gt;0,INDEX(EO$7:EO$106,$AG70),1),IF($AH70&gt;0,INDEX(EO$7:EO$106,$AH70),1),IF($AI70&gt;0,INDEX(EO$7:EO$106,$AI70),1),IF($AJ70&gt;0,INDEX(EO$7:EO$106,$AJ70),1))))</ns0:f>
        <ns0:v>1</ns0:v>
      </ns0:c>
      <ns0:c r="EQ70" t="n">
        <ns0:f>IF(OR(A70="",NOT(ISNUMBER(G70))),0,G70*N70)</ns0:f>
        <ns0:v>0</ns0:v>
      </ns0:c>
    </ns0:row>
    <ns0:row r="71" ht="62" customHeight="1">
      <ns0:c r="A71" s="48"/>
      <ns0:c r="B71" s="48"/>
      <ns0:c r="C71" s="48"/>
      <ns0:c r="D71" s="48"/>
      <ns0:c r="E71" s="49"/>
      <ns0:c r="F71" s="49"/>
      <ns0:c r="G71" s="13" t="str">
        <ns0:f>IF(A71="","",IF(OR(NOT(ISNUMBER(E71)),NOT(ISNUMBER(F71)),F71&lt;E71),"",IF(J71="Yes",0,F71-E71+1)))</ns0:f>
      </ns0:c>
      <ns0:c r="H71" s="48"/>
      <ns0:c r="I71" s="48"/>
      <ns0:c r="J71" s="48"/>
      <ns0:c r="K71" s="48"/>
      <ns0:c r="L71" s="48"/>
      <ns0:c r="M71" s="50" t="str">
        <ns0:f>IF(A71="","",IF(N71=1,"Completed",IF(N71&gt;0,"In Progress","Not Started")))</ns0:f>
      </ns0:c>
      <ns0:c r="N71" s="51"/>
      <ns0:c r="O71" s="13" t="str">
        <ns0:f>IF(A71="","",IF(R71&lt;&gt;"","[CONFLICT] "&amp;R71,IF(S71&lt;&gt;"","[CONFLICT] "&amp;S71,IF(OR(NOT(ISNUMBER(N71)),N71&lt;0,N71&gt;1),"[CONFLICT] Invalid progress",IF(AK71&gt;0,"[DEPENDENCY ISSUE] Missing ID / &gt;8 links",IF(AM71&gt;0,"[DEPENDENCY ISSUE] Cycle or blocked by cycle",IF(AND(H71&lt;&gt;"",ISNA(MATCH(I71,{"FS","SS","FF","SF"},0))),"[DEPENDENCY ISSUE] Invalid type",IF(AL71&gt;0,"[DEPENDENCY ISSUE] Timing conflict",IF(OR(E71&lt;ProjectStart,F71&gt;ProjectEnd),"[OUTSIDE WINDOW]",IF(AND(N71&lt;1,F71&lt;AsOfDate),"Overdue",IF(AND(M71&lt;&gt;Q71,M71&lt;&gt;""),"[CONFLICT] Status / progress","On track")))))))))))</ns0:f>
      </ns0:c>
      <ns0:c r="P71" s="52"/>
      <ns0:c r="Q71" t="str">
        <ns0:f>IF(A71="","",IF(OR(M71="On Hold",M71="Delayed"),M71,IF(N71=1,"Completed",IF(N71&gt;0,"In Progress","Not Started"))))</ns0:f>
      </ns0:c>
      <ns0:c r="R71" t="str">
        <ns0:f>IF(A71="","",IF(COUNTIFS(Tasks[Task ID],A71)&lt;&gt;1,"Duplicate ID",""))</ns0:f>
      </ns0:c>
      <ns0:c r="S71" t="str">
        <ns0:f>IF(A71="","",IF(OR(NOT(ISNUMBER(E71)),NOT(ISNUMBER(F71))),"Invalid / missing date",IF(OR(E71&lt;&gt;INT(E71),F71&lt;&gt;INT(F71),E71&lt;1,F71&gt;2958465),"Invalid date",IF(F71&lt;E71,"End before start",IF(AND(J71="Yes",E71&lt;&gt;F71),"Milestone needs one date","")))))</ns0:f>
      </ns0:c>
      <ns0:c r="T71" t="n">
        <ns0:f>IF(H71="",0,LEN(H71)-LEN(SUBSTITUTE(H71,",",""))+1)</ns0:f>
        <ns0:v>0</ns0:v>
      </ns0:c>
      <ns0:c r="U71" t="str">
        <ns0:f>TRIM(MID(SUBSTITUTE($H71,",",REPT(" ",100)),1,100))</ns0:f>
      </ns0:c>
      <ns0:c r="V71" t="str">
        <ns0:f>TRIM(MID(SUBSTITUTE($H71,",",REPT(" ",100)),101,100))</ns0:f>
      </ns0:c>
      <ns0:c r="W71" t="str">
        <ns0:f>TRIM(MID(SUBSTITUTE($H71,",",REPT(" ",100)),201,100))</ns0:f>
      </ns0:c>
      <ns0:c r="X71" t="str">
        <ns0:f>TRIM(MID(SUBSTITUTE($H71,",",REPT(" ",100)),301,100))</ns0:f>
      </ns0:c>
      <ns0:c r="Y71" t="str">
        <ns0:f>TRIM(MID(SUBSTITUTE($H71,",",REPT(" ",100)),401,100))</ns0:f>
      </ns0:c>
      <ns0:c r="Z71" t="str">
        <ns0:f>TRIM(MID(SUBSTITUTE($H71,",",REPT(" ",100)),501,100))</ns0:f>
      </ns0:c>
      <ns0:c r="AA71" t="str">
        <ns0:f>TRIM(MID(SUBSTITUTE($H71,",",REPT(" ",100)),601,100))</ns0:f>
      </ns0:c>
      <ns0:c r="AB71" t="str">
        <ns0:f>TRIM(MID(SUBSTITUTE($H71,",",REPT(" ",100)),701,100))</ns0:f>
      </ns0:c>
      <ns0:c r="AC71" t="n">
        <ns0:f>IF(U71="",0,IF(COUNTIFS(Tasks[Task ID],U71)=1,MATCH(U71,Tasks[Task ID],0),-1))</ns0:f>
        <ns0:v>0</ns0:v>
      </ns0:c>
      <ns0:c r="AD71" t="n">
        <ns0:f>IF(V71="",0,IF(COUNTIFS(Tasks[Task ID],V71)=1,MATCH(V71,Tasks[Task ID],0),-1))</ns0:f>
        <ns0:v>0</ns0:v>
      </ns0:c>
      <ns0:c r="AE71" t="n">
        <ns0:f>IF(W71="",0,IF(COUNTIFS(Tasks[Task ID],W71)=1,MATCH(W71,Tasks[Task ID],0),-1))</ns0:f>
        <ns0:v>0</ns0:v>
      </ns0:c>
      <ns0:c r="AF71" t="n">
        <ns0:f>IF(X71="",0,IF(COUNTIFS(Tasks[Task ID],X71)=1,MATCH(X71,Tasks[Task ID],0),-1))</ns0:f>
        <ns0:v>0</ns0:v>
      </ns0:c>
      <ns0:c r="AG71" t="n">
        <ns0:f>IF(Y71="",0,IF(COUNTIFS(Tasks[Task ID],Y71)=1,MATCH(Y71,Tasks[Task ID],0),-1))</ns0:f>
        <ns0:v>0</ns0:v>
      </ns0:c>
      <ns0:c r="AH71" t="n">
        <ns0:f>IF(Z71="",0,IF(COUNTIFS(Tasks[Task ID],Z71)=1,MATCH(Z71,Tasks[Task ID],0),-1))</ns0:f>
        <ns0:v>0</ns0:v>
      </ns0:c>
      <ns0:c r="AI71" t="n">
        <ns0:f>IF(AA71="",0,IF(COUNTIFS(Tasks[Task ID],AA71)=1,MATCH(AA71,Tasks[Task ID],0),-1))</ns0:f>
        <ns0:v>0</ns0:v>
      </ns0:c>
      <ns0:c r="AJ71" t="n">
        <ns0:f>IF(AB71="",0,IF(COUNTIFS(Tasks[Task ID],AB71)=1,MATCH(AB71,Tasks[Task ID],0),-1))</ns0:f>
        <ns0:v>0</ns0:v>
      </ns0:c>
      <ns0:c r="AK71" t="n">
        <ns0:f>COUNTIFS(AC71:AJ71,-1)+IF(T71&gt;8,1,0)</ns0:f>
        <ns0:v>0</ns0:v>
      </ns0:c>
      <ns0:c r="AL71" t="n">
        <ns0:f>IF(OR(A71="",S71&lt;&gt;""),0,SUM(IF(AC71&gt;0,IF($I71="FS",--($E71&lt;INDEX(Tasks[End Date],AC71)+IF(INDEX(Tasks[Milestone],AC71)="Yes",0,1)),IF($I71="SS",--($E71&lt;INDEX(Tasks[Start Date],AC71)),IF($I71="FF",--($F71&lt;INDEX(Tasks[End Date],AC71)),IF($I71="SF",--($F71&lt;INDEX(Tasks[Start Date],AC71)),0)))),0),IF(AD71&gt;0,IF($I71="FS",--($E71&lt;INDEX(Tasks[End Date],AD71)+IF(INDEX(Tasks[Milestone],AD71)="Yes",0,1)),IF($I71="SS",--($E71&lt;INDEX(Tasks[Start Date],AD71)),IF($I71="FF",--($F71&lt;INDEX(Tasks[End Date],AD71)),IF($I71="SF",--($F71&lt;INDEX(Tasks[Start Date],AD71)),0)))),0),IF(AE71&gt;0,IF($I71="FS",--($E71&lt;INDEX(Tasks[End Date],AE71)+IF(INDEX(Tasks[Milestone],AE71)="Yes",0,1)),IF($I71="SS",--($E71&lt;INDEX(Tasks[Start Date],AE71)),IF($I71="FF",--($F71&lt;INDEX(Tasks[End Date],AE71)),IF($I71="SF",--($F71&lt;INDEX(Tasks[Start Date],AE71)),0)))),0),IF(AF71&gt;0,IF($I71="FS",--($E71&lt;INDEX(Tasks[End Date],AF71)+IF(INDEX(Tasks[Milestone],AF71)="Yes",0,1)),IF($I71="SS",--($E71&lt;INDEX(Tasks[Start Date],AF71)),IF($I71="FF",--($F71&lt;INDEX(Tasks[End Date],AF71)),IF($I71="SF",--($F71&lt;INDEX(Tasks[Start Date],AF71)),0)))),0),IF(AG71&gt;0,IF($I71="FS",--($E71&lt;INDEX(Tasks[End Date],AG71)+IF(INDEX(Tasks[Milestone],AG71)="Yes",0,1)),IF($I71="SS",--($E71&lt;INDEX(Tasks[Start Date],AG71)),IF($I71="FF",--($F71&lt;INDEX(Tasks[End Date],AG71)),IF($I71="SF",--($F71&lt;INDEX(Tasks[Start Date],AG71)),0)))),0),IF(AH71&gt;0,IF($I71="FS",--($E71&lt;INDEX(Tasks[End Date],AH71)+IF(INDEX(Tasks[Milestone],AH71)="Yes",0,1)),IF($I71="SS",--($E71&lt;INDEX(Tasks[Start Date],AH71)),IF($I71="FF",--($F71&lt;INDEX(Tasks[End Date],AH71)),IF($I71="SF",--($F71&lt;INDEX(Tasks[Start Date],AH71)),0)))),0),IF(AI71&gt;0,IF($I71="FS",--($E71&lt;INDEX(Tasks[End Date],AI71)+IF(INDEX(Tasks[Milestone],AI71)="Yes",0,1)),IF($I71="SS",--($E71&lt;INDEX(Tasks[Start Date],AI71)),IF($I71="FF",--($F71&lt;INDEX(Tasks[End Date],AI71)),IF($I71="SF",--($F71&lt;INDEX(Tasks[Start Date],AI71)),0)))),0),IF(AJ71&gt;0,IF($I71="FS",--($E71&lt;INDEX(Tasks[End Date],AJ71)+IF(INDEX(Tasks[Milestone],AJ71)="Yes",0,1)),IF($I71="SS",--($E71&lt;INDEX(Tasks[Start Date],AJ71)),IF($I71="FF",--($F71&lt;INDEX(Tasks[End Date],AJ71)),IF($I71="SF",--($F71&lt;INDEX(Tasks[Start Date],AJ71)),0)))),0)))</ns0:f>
        <ns0:v>0</ns0:v>
      </ns0:c>
      <ns0:c r="AM71" t="n">
        <ns0:f>IF(AND(A71&lt;&gt;"",AK71=0,EP71=0),1,0)</ns0:f>
        <ns0:v>0</ns0:v>
      </ns0:c>
      <ns0:c r="AN71" t="str">
        <ns0:f>IF(OR(A71="",B71=""),"",IF(COUNTIFS($B$7:B71,B71)=1,MAX($AN$6:AN70)+1,""))</ns0:f>
      </ns0:c>
      <ns0:c r="AO71" t="n">
        <ns0:f>IF(AND(A71&lt;&gt;"",J71="No",N71&lt;1,E71&gt;=AsOfDate),E71+ROW()/10000,1E+9)</ns0:f>
        <ns0:v>1000000000</ns0:v>
      </ns0:c>
      <ns0:c r="AP71" t="n">
        <ns0:f>IF(AND(A71&lt;&gt;"",J71="Yes",N71&lt;1,E71&gt;=AsOfDate),E71+ROW()/10000,1E+9)</ns0:f>
        <ns0:v>1000000000</ns0:v>
      </ns0:c>
      <ns0:c r="AQ71" t="n">
        <ns0:f>IF(AND(A71&lt;&gt;"",J71="No",N71&lt;1,F71&gt;=AsOfDate,F71&lt;=AsOfDate+7),F71+ROW()/10000,1E+9)</ns0:f>
        <ns0:v>1000000000</ns0:v>
      </ns0:c>
      <ns0:c r="AR71" t="n">
        <ns0:f>IF(AND(A71&lt;&gt;"",OR(O71&lt;&gt;"On track",Q71="Delayed")),ROW(),1E+9)</ns0:f>
        <ns0:v>1000000000</ns0:v>
      </ns0:c>
      <ns0:c r="AS71" t="str">
        <ns0:f>IF(A71="","",";"&amp;K71&amp;";")</ns0:f>
      </ns0:c>
      <ns0:c r="AT71" t="n">
        <ns0:f>IF(A71="",1,--(T71=0))</ns0:f>
        <ns0:v>1</ns0:v>
      </ns0:c>
      <ns0:c r="AU71" t="n">
        <ns0:f>IF($A71="",1,IF(AT71=1,1,--AND(IF($AC71&gt;0,INDEX(AT$7:AT$106,$AC71),1),IF($AD71&gt;0,INDEX(AT$7:AT$106,$AD71),1),IF($AE71&gt;0,INDEX(AT$7:AT$106,$AE71),1),IF($AF71&gt;0,INDEX(AT$7:AT$106,$AF71),1),IF($AG71&gt;0,INDEX(AT$7:AT$106,$AG71),1),IF($AH71&gt;0,INDEX(AT$7:AT$106,$AH71),1),IF($AI71&gt;0,INDEX(AT$7:AT$106,$AI71),1),IF($AJ71&gt;0,INDEX(AT$7:AT$106,$AJ71),1))))</ns0:f>
        <ns0:v>1</ns0:v>
      </ns0:c>
      <ns0:c r="AV71" t="n">
        <ns0:f>IF($A71="",1,IF(AU71=1,1,--AND(IF($AC71&gt;0,INDEX(AU$7:AU$106,$AC71),1),IF($AD71&gt;0,INDEX(AU$7:AU$106,$AD71),1),IF($AE71&gt;0,INDEX(AU$7:AU$106,$AE71),1),IF($AF71&gt;0,INDEX(AU$7:AU$106,$AF71),1),IF($AG71&gt;0,INDEX(AU$7:AU$106,$AG71),1),IF($AH71&gt;0,INDEX(AU$7:AU$106,$AH71),1),IF($AI71&gt;0,INDEX(AU$7:AU$106,$AI71),1),IF($AJ71&gt;0,INDEX(AU$7:AU$106,$AJ71),1))))</ns0:f>
        <ns0:v>1</ns0:v>
      </ns0:c>
      <ns0:c r="AW71" t="n">
        <ns0:f>IF($A71="",1,IF(AV71=1,1,--AND(IF($AC71&gt;0,INDEX(AV$7:AV$106,$AC71),1),IF($AD71&gt;0,INDEX(AV$7:AV$106,$AD71),1),IF($AE71&gt;0,INDEX(AV$7:AV$106,$AE71),1),IF($AF71&gt;0,INDEX(AV$7:AV$106,$AF71),1),IF($AG71&gt;0,INDEX(AV$7:AV$106,$AG71),1),IF($AH71&gt;0,INDEX(AV$7:AV$106,$AH71),1),IF($AI71&gt;0,INDEX(AV$7:AV$106,$AI71),1),IF($AJ71&gt;0,INDEX(AV$7:AV$106,$AJ71),1))))</ns0:f>
        <ns0:v>1</ns0:v>
      </ns0:c>
      <ns0:c r="AX71" t="n">
        <ns0:f>IF($A71="",1,IF(AW71=1,1,--AND(IF($AC71&gt;0,INDEX(AW$7:AW$106,$AC71),1),IF($AD71&gt;0,INDEX(AW$7:AW$106,$AD71),1),IF($AE71&gt;0,INDEX(AW$7:AW$106,$AE71),1),IF($AF71&gt;0,INDEX(AW$7:AW$106,$AF71),1),IF($AG71&gt;0,INDEX(AW$7:AW$106,$AG71),1),IF($AH71&gt;0,INDEX(AW$7:AW$106,$AH71),1),IF($AI71&gt;0,INDEX(AW$7:AW$106,$AI71),1),IF($AJ71&gt;0,INDEX(AW$7:AW$106,$AJ71),1))))</ns0:f>
        <ns0:v>1</ns0:v>
      </ns0:c>
      <ns0:c r="AY71" t="n">
        <ns0:f>IF($A71="",1,IF(AX71=1,1,--AND(IF($AC71&gt;0,INDEX(AX$7:AX$106,$AC71),1),IF($AD71&gt;0,INDEX(AX$7:AX$106,$AD71),1),IF($AE71&gt;0,INDEX(AX$7:AX$106,$AE71),1),IF($AF71&gt;0,INDEX(AX$7:AX$106,$AF71),1),IF($AG71&gt;0,INDEX(AX$7:AX$106,$AG71),1),IF($AH71&gt;0,INDEX(AX$7:AX$106,$AH71),1),IF($AI71&gt;0,INDEX(AX$7:AX$106,$AI71),1),IF($AJ71&gt;0,INDEX(AX$7:AX$106,$AJ71),1))))</ns0:f>
        <ns0:v>1</ns0:v>
      </ns0:c>
      <ns0:c r="AZ71" t="n">
        <ns0:f>IF($A71="",1,IF(AY71=1,1,--AND(IF($AC71&gt;0,INDEX(AY$7:AY$106,$AC71),1),IF($AD71&gt;0,INDEX(AY$7:AY$106,$AD71),1),IF($AE71&gt;0,INDEX(AY$7:AY$106,$AE71),1),IF($AF71&gt;0,INDEX(AY$7:AY$106,$AF71),1),IF($AG71&gt;0,INDEX(AY$7:AY$106,$AG71),1),IF($AH71&gt;0,INDEX(AY$7:AY$106,$AH71),1),IF($AI71&gt;0,INDEX(AY$7:AY$106,$AI71),1),IF($AJ71&gt;0,INDEX(AY$7:AY$106,$AJ71),1))))</ns0:f>
        <ns0:v>1</ns0:v>
      </ns0:c>
      <ns0:c r="BA71" t="n">
        <ns0:f>IF($A71="",1,IF(AZ71=1,1,--AND(IF($AC71&gt;0,INDEX(AZ$7:AZ$106,$AC71),1),IF($AD71&gt;0,INDEX(AZ$7:AZ$106,$AD71),1),IF($AE71&gt;0,INDEX(AZ$7:AZ$106,$AE71),1),IF($AF71&gt;0,INDEX(AZ$7:AZ$106,$AF71),1),IF($AG71&gt;0,INDEX(AZ$7:AZ$106,$AG71),1),IF($AH71&gt;0,INDEX(AZ$7:AZ$106,$AH71),1),IF($AI71&gt;0,INDEX(AZ$7:AZ$106,$AI71),1),IF($AJ71&gt;0,INDEX(AZ$7:AZ$106,$AJ71),1))))</ns0:f>
        <ns0:v>1</ns0:v>
      </ns0:c>
      <ns0:c r="BB71" t="n">
        <ns0:f>IF($A71="",1,IF(BA71=1,1,--AND(IF($AC71&gt;0,INDEX(BA$7:BA$106,$AC71),1),IF($AD71&gt;0,INDEX(BA$7:BA$106,$AD71),1),IF($AE71&gt;0,INDEX(BA$7:BA$106,$AE71),1),IF($AF71&gt;0,INDEX(BA$7:BA$106,$AF71),1),IF($AG71&gt;0,INDEX(BA$7:BA$106,$AG71),1),IF($AH71&gt;0,INDEX(BA$7:BA$106,$AH71),1),IF($AI71&gt;0,INDEX(BA$7:BA$106,$AI71),1),IF($AJ71&gt;0,INDEX(BA$7:BA$106,$AJ71),1))))</ns0:f>
        <ns0:v>1</ns0:v>
      </ns0:c>
      <ns0:c r="BC71" t="n">
        <ns0:f>IF($A71="",1,IF(BB71=1,1,--AND(IF($AC71&gt;0,INDEX(BB$7:BB$106,$AC71),1),IF($AD71&gt;0,INDEX(BB$7:BB$106,$AD71),1),IF($AE71&gt;0,INDEX(BB$7:BB$106,$AE71),1),IF($AF71&gt;0,INDEX(BB$7:BB$106,$AF71),1),IF($AG71&gt;0,INDEX(BB$7:BB$106,$AG71),1),IF($AH71&gt;0,INDEX(BB$7:BB$106,$AH71),1),IF($AI71&gt;0,INDEX(BB$7:BB$106,$AI71),1),IF($AJ71&gt;0,INDEX(BB$7:BB$106,$AJ71),1))))</ns0:f>
        <ns0:v>1</ns0:v>
      </ns0:c>
      <ns0:c r="BD71" t="n">
        <ns0:f>IF($A71="",1,IF(BC71=1,1,--AND(IF($AC71&gt;0,INDEX(BC$7:BC$106,$AC71),1),IF($AD71&gt;0,INDEX(BC$7:BC$106,$AD71),1),IF($AE71&gt;0,INDEX(BC$7:BC$106,$AE71),1),IF($AF71&gt;0,INDEX(BC$7:BC$106,$AF71),1),IF($AG71&gt;0,INDEX(BC$7:BC$106,$AG71),1),IF($AH71&gt;0,INDEX(BC$7:BC$106,$AH71),1),IF($AI71&gt;0,INDEX(BC$7:BC$106,$AI71),1),IF($AJ71&gt;0,INDEX(BC$7:BC$106,$AJ71),1))))</ns0:f>
        <ns0:v>1</ns0:v>
      </ns0:c>
      <ns0:c r="BE71" t="n">
        <ns0:f>IF($A71="",1,IF(BD71=1,1,--AND(IF($AC71&gt;0,INDEX(BD$7:BD$106,$AC71),1),IF($AD71&gt;0,INDEX(BD$7:BD$106,$AD71),1),IF($AE71&gt;0,INDEX(BD$7:BD$106,$AE71),1),IF($AF71&gt;0,INDEX(BD$7:BD$106,$AF71),1),IF($AG71&gt;0,INDEX(BD$7:BD$106,$AG71),1),IF($AH71&gt;0,INDEX(BD$7:BD$106,$AH71),1),IF($AI71&gt;0,INDEX(BD$7:BD$106,$AI71),1),IF($AJ71&gt;0,INDEX(BD$7:BD$106,$AJ71),1))))</ns0:f>
        <ns0:v>1</ns0:v>
      </ns0:c>
      <ns0:c r="BF71" t="n">
        <ns0:f>IF($A71="",1,IF(BE71=1,1,--AND(IF($AC71&gt;0,INDEX(BE$7:BE$106,$AC71),1),IF($AD71&gt;0,INDEX(BE$7:BE$106,$AD71),1),IF($AE71&gt;0,INDEX(BE$7:BE$106,$AE71),1),IF($AF71&gt;0,INDEX(BE$7:BE$106,$AF71),1),IF($AG71&gt;0,INDEX(BE$7:BE$106,$AG71),1),IF($AH71&gt;0,INDEX(BE$7:BE$106,$AH71),1),IF($AI71&gt;0,INDEX(BE$7:BE$106,$AI71),1),IF($AJ71&gt;0,INDEX(BE$7:BE$106,$AJ71),1))))</ns0:f>
        <ns0:v>1</ns0:v>
      </ns0:c>
      <ns0:c r="BG71" t="n">
        <ns0:f>IF($A71="",1,IF(BF71=1,1,--AND(IF($AC71&gt;0,INDEX(BF$7:BF$106,$AC71),1),IF($AD71&gt;0,INDEX(BF$7:BF$106,$AD71),1),IF($AE71&gt;0,INDEX(BF$7:BF$106,$AE71),1),IF($AF71&gt;0,INDEX(BF$7:BF$106,$AF71),1),IF($AG71&gt;0,INDEX(BF$7:BF$106,$AG71),1),IF($AH71&gt;0,INDEX(BF$7:BF$106,$AH71),1),IF($AI71&gt;0,INDEX(BF$7:BF$106,$AI71),1),IF($AJ71&gt;0,INDEX(BF$7:BF$106,$AJ71),1))))</ns0:f>
        <ns0:v>1</ns0:v>
      </ns0:c>
      <ns0:c r="BH71" t="n">
        <ns0:f>IF($A71="",1,IF(BG71=1,1,--AND(IF($AC71&gt;0,INDEX(BG$7:BG$106,$AC71),1),IF($AD71&gt;0,INDEX(BG$7:BG$106,$AD71),1),IF($AE71&gt;0,INDEX(BG$7:BG$106,$AE71),1),IF($AF71&gt;0,INDEX(BG$7:BG$106,$AF71),1),IF($AG71&gt;0,INDEX(BG$7:BG$106,$AG71),1),IF($AH71&gt;0,INDEX(BG$7:BG$106,$AH71),1),IF($AI71&gt;0,INDEX(BG$7:BG$106,$AI71),1),IF($AJ71&gt;0,INDEX(BG$7:BG$106,$AJ71),1))))</ns0:f>
        <ns0:v>1</ns0:v>
      </ns0:c>
      <ns0:c r="BI71" t="n">
        <ns0:f>IF($A71="",1,IF(BH71=1,1,--AND(IF($AC71&gt;0,INDEX(BH$7:BH$106,$AC71),1),IF($AD71&gt;0,INDEX(BH$7:BH$106,$AD71),1),IF($AE71&gt;0,INDEX(BH$7:BH$106,$AE71),1),IF($AF71&gt;0,INDEX(BH$7:BH$106,$AF71),1),IF($AG71&gt;0,INDEX(BH$7:BH$106,$AG71),1),IF($AH71&gt;0,INDEX(BH$7:BH$106,$AH71),1),IF($AI71&gt;0,INDEX(BH$7:BH$106,$AI71),1),IF($AJ71&gt;0,INDEX(BH$7:BH$106,$AJ71),1))))</ns0:f>
        <ns0:v>1</ns0:v>
      </ns0:c>
      <ns0:c r="BJ71" t="n">
        <ns0:f>IF($A71="",1,IF(BI71=1,1,--AND(IF($AC71&gt;0,INDEX(BI$7:BI$106,$AC71),1),IF($AD71&gt;0,INDEX(BI$7:BI$106,$AD71),1),IF($AE71&gt;0,INDEX(BI$7:BI$106,$AE71),1),IF($AF71&gt;0,INDEX(BI$7:BI$106,$AF71),1),IF($AG71&gt;0,INDEX(BI$7:BI$106,$AG71),1),IF($AH71&gt;0,INDEX(BI$7:BI$106,$AH71),1),IF($AI71&gt;0,INDEX(BI$7:BI$106,$AI71),1),IF($AJ71&gt;0,INDEX(BI$7:BI$106,$AJ71),1))))</ns0:f>
        <ns0:v>1</ns0:v>
      </ns0:c>
      <ns0:c r="BK71" t="n">
        <ns0:f>IF($A71="",1,IF(BJ71=1,1,--AND(IF($AC71&gt;0,INDEX(BJ$7:BJ$106,$AC71),1),IF($AD71&gt;0,INDEX(BJ$7:BJ$106,$AD71),1),IF($AE71&gt;0,INDEX(BJ$7:BJ$106,$AE71),1),IF($AF71&gt;0,INDEX(BJ$7:BJ$106,$AF71),1),IF($AG71&gt;0,INDEX(BJ$7:BJ$106,$AG71),1),IF($AH71&gt;0,INDEX(BJ$7:BJ$106,$AH71),1),IF($AI71&gt;0,INDEX(BJ$7:BJ$106,$AI71),1),IF($AJ71&gt;0,INDEX(BJ$7:BJ$106,$AJ71),1))))</ns0:f>
        <ns0:v>1</ns0:v>
      </ns0:c>
      <ns0:c r="BL71" t="n">
        <ns0:f>IF($A71="",1,IF(BK71=1,1,--AND(IF($AC71&gt;0,INDEX(BK$7:BK$106,$AC71),1),IF($AD71&gt;0,INDEX(BK$7:BK$106,$AD71),1),IF($AE71&gt;0,INDEX(BK$7:BK$106,$AE71),1),IF($AF71&gt;0,INDEX(BK$7:BK$106,$AF71),1),IF($AG71&gt;0,INDEX(BK$7:BK$106,$AG71),1),IF($AH71&gt;0,INDEX(BK$7:BK$106,$AH71),1),IF($AI71&gt;0,INDEX(BK$7:BK$106,$AI71),1),IF($AJ71&gt;0,INDEX(BK$7:BK$106,$AJ71),1))))</ns0:f>
        <ns0:v>1</ns0:v>
      </ns0:c>
      <ns0:c r="BM71" t="n">
        <ns0:f>IF($A71="",1,IF(BL71=1,1,--AND(IF($AC71&gt;0,INDEX(BL$7:BL$106,$AC71),1),IF($AD71&gt;0,INDEX(BL$7:BL$106,$AD71),1),IF($AE71&gt;0,INDEX(BL$7:BL$106,$AE71),1),IF($AF71&gt;0,INDEX(BL$7:BL$106,$AF71),1),IF($AG71&gt;0,INDEX(BL$7:BL$106,$AG71),1),IF($AH71&gt;0,INDEX(BL$7:BL$106,$AH71),1),IF($AI71&gt;0,INDEX(BL$7:BL$106,$AI71),1),IF($AJ71&gt;0,INDEX(BL$7:BL$106,$AJ71),1))))</ns0:f>
        <ns0:v>1</ns0:v>
      </ns0:c>
      <ns0:c r="BN71" t="n">
        <ns0:f>IF($A71="",1,IF(BM71=1,1,--AND(IF($AC71&gt;0,INDEX(BM$7:BM$106,$AC71),1),IF($AD71&gt;0,INDEX(BM$7:BM$106,$AD71),1),IF($AE71&gt;0,INDEX(BM$7:BM$106,$AE71),1),IF($AF71&gt;0,INDEX(BM$7:BM$106,$AF71),1),IF($AG71&gt;0,INDEX(BM$7:BM$106,$AG71),1),IF($AH71&gt;0,INDEX(BM$7:BM$106,$AH71),1),IF($AI71&gt;0,INDEX(BM$7:BM$106,$AI71),1),IF($AJ71&gt;0,INDEX(BM$7:BM$106,$AJ71),1))))</ns0:f>
        <ns0:v>1</ns0:v>
      </ns0:c>
      <ns0:c r="BO71" t="n">
        <ns0:f>IF($A71="",1,IF(BN71=1,1,--AND(IF($AC71&gt;0,INDEX(BN$7:BN$106,$AC71),1),IF($AD71&gt;0,INDEX(BN$7:BN$106,$AD71),1),IF($AE71&gt;0,INDEX(BN$7:BN$106,$AE71),1),IF($AF71&gt;0,INDEX(BN$7:BN$106,$AF71),1),IF($AG71&gt;0,INDEX(BN$7:BN$106,$AG71),1),IF($AH71&gt;0,INDEX(BN$7:BN$106,$AH71),1),IF($AI71&gt;0,INDEX(BN$7:BN$106,$AI71),1),IF($AJ71&gt;0,INDEX(BN$7:BN$106,$AJ71),1))))</ns0:f>
        <ns0:v>1</ns0:v>
      </ns0:c>
      <ns0:c r="BP71" t="n">
        <ns0:f>IF($A71="",1,IF(BO71=1,1,--AND(IF($AC71&gt;0,INDEX(BO$7:BO$106,$AC71),1),IF($AD71&gt;0,INDEX(BO$7:BO$106,$AD71),1),IF($AE71&gt;0,INDEX(BO$7:BO$106,$AE71),1),IF($AF71&gt;0,INDEX(BO$7:BO$106,$AF71),1),IF($AG71&gt;0,INDEX(BO$7:BO$106,$AG71),1),IF($AH71&gt;0,INDEX(BO$7:BO$106,$AH71),1),IF($AI71&gt;0,INDEX(BO$7:BO$106,$AI71),1),IF($AJ71&gt;0,INDEX(BO$7:BO$106,$AJ71),1))))</ns0:f>
        <ns0:v>1</ns0:v>
      </ns0:c>
      <ns0:c r="BQ71" t="n">
        <ns0:f>IF($A71="",1,IF(BP71=1,1,--AND(IF($AC71&gt;0,INDEX(BP$7:BP$106,$AC71),1),IF($AD71&gt;0,INDEX(BP$7:BP$106,$AD71),1),IF($AE71&gt;0,INDEX(BP$7:BP$106,$AE71),1),IF($AF71&gt;0,INDEX(BP$7:BP$106,$AF71),1),IF($AG71&gt;0,INDEX(BP$7:BP$106,$AG71),1),IF($AH71&gt;0,INDEX(BP$7:BP$106,$AH71),1),IF($AI71&gt;0,INDEX(BP$7:BP$106,$AI71),1),IF($AJ71&gt;0,INDEX(BP$7:BP$106,$AJ71),1))))</ns0:f>
        <ns0:v>1</ns0:v>
      </ns0:c>
      <ns0:c r="BR71" t="n">
        <ns0:f>IF($A71="",1,IF(BQ71=1,1,--AND(IF($AC71&gt;0,INDEX(BQ$7:BQ$106,$AC71),1),IF($AD71&gt;0,INDEX(BQ$7:BQ$106,$AD71),1),IF($AE71&gt;0,INDEX(BQ$7:BQ$106,$AE71),1),IF($AF71&gt;0,INDEX(BQ$7:BQ$106,$AF71),1),IF($AG71&gt;0,INDEX(BQ$7:BQ$106,$AG71),1),IF($AH71&gt;0,INDEX(BQ$7:BQ$106,$AH71),1),IF($AI71&gt;0,INDEX(BQ$7:BQ$106,$AI71),1),IF($AJ71&gt;0,INDEX(BQ$7:BQ$106,$AJ71),1))))</ns0:f>
        <ns0:v>1</ns0:v>
      </ns0:c>
      <ns0:c r="BS71" t="n">
        <ns0:f>IF($A71="",1,IF(BR71=1,1,--AND(IF($AC71&gt;0,INDEX(BR$7:BR$106,$AC71),1),IF($AD71&gt;0,INDEX(BR$7:BR$106,$AD71),1),IF($AE71&gt;0,INDEX(BR$7:BR$106,$AE71),1),IF($AF71&gt;0,INDEX(BR$7:BR$106,$AF71),1),IF($AG71&gt;0,INDEX(BR$7:BR$106,$AG71),1),IF($AH71&gt;0,INDEX(BR$7:BR$106,$AH71),1),IF($AI71&gt;0,INDEX(BR$7:BR$106,$AI71),1),IF($AJ71&gt;0,INDEX(BR$7:BR$106,$AJ71),1))))</ns0:f>
        <ns0:v>1</ns0:v>
      </ns0:c>
      <ns0:c r="BT71" t="n">
        <ns0:f>IF($A71="",1,IF(BS71=1,1,--AND(IF($AC71&gt;0,INDEX(BS$7:BS$106,$AC71),1),IF($AD71&gt;0,INDEX(BS$7:BS$106,$AD71),1),IF($AE71&gt;0,INDEX(BS$7:BS$106,$AE71),1),IF($AF71&gt;0,INDEX(BS$7:BS$106,$AF71),1),IF($AG71&gt;0,INDEX(BS$7:BS$106,$AG71),1),IF($AH71&gt;0,INDEX(BS$7:BS$106,$AH71),1),IF($AI71&gt;0,INDEX(BS$7:BS$106,$AI71),1),IF($AJ71&gt;0,INDEX(BS$7:BS$106,$AJ71),1))))</ns0:f>
        <ns0:v>1</ns0:v>
      </ns0:c>
      <ns0:c r="BU71" t="n">
        <ns0:f>IF($A71="",1,IF(BT71=1,1,--AND(IF($AC71&gt;0,INDEX(BT$7:BT$106,$AC71),1),IF($AD71&gt;0,INDEX(BT$7:BT$106,$AD71),1),IF($AE71&gt;0,INDEX(BT$7:BT$106,$AE71),1),IF($AF71&gt;0,INDEX(BT$7:BT$106,$AF71),1),IF($AG71&gt;0,INDEX(BT$7:BT$106,$AG71),1),IF($AH71&gt;0,INDEX(BT$7:BT$106,$AH71),1),IF($AI71&gt;0,INDEX(BT$7:BT$106,$AI71),1),IF($AJ71&gt;0,INDEX(BT$7:BT$106,$AJ71),1))))</ns0:f>
        <ns0:v>1</ns0:v>
      </ns0:c>
      <ns0:c r="BV71" t="n">
        <ns0:f>IF($A71="",1,IF(BU71=1,1,--AND(IF($AC71&gt;0,INDEX(BU$7:BU$106,$AC71),1),IF($AD71&gt;0,INDEX(BU$7:BU$106,$AD71),1),IF($AE71&gt;0,INDEX(BU$7:BU$106,$AE71),1),IF($AF71&gt;0,INDEX(BU$7:BU$106,$AF71),1),IF($AG71&gt;0,INDEX(BU$7:BU$106,$AG71),1),IF($AH71&gt;0,INDEX(BU$7:BU$106,$AH71),1),IF($AI71&gt;0,INDEX(BU$7:BU$106,$AI71),1),IF($AJ71&gt;0,INDEX(BU$7:BU$106,$AJ71),1))))</ns0:f>
        <ns0:v>1</ns0:v>
      </ns0:c>
      <ns0:c r="BW71" t="n">
        <ns0:f>IF($A71="",1,IF(BV71=1,1,--AND(IF($AC71&gt;0,INDEX(BV$7:BV$106,$AC71),1),IF($AD71&gt;0,INDEX(BV$7:BV$106,$AD71),1),IF($AE71&gt;0,INDEX(BV$7:BV$106,$AE71),1),IF($AF71&gt;0,INDEX(BV$7:BV$106,$AF71),1),IF($AG71&gt;0,INDEX(BV$7:BV$106,$AG71),1),IF($AH71&gt;0,INDEX(BV$7:BV$106,$AH71),1),IF($AI71&gt;0,INDEX(BV$7:BV$106,$AI71),1),IF($AJ71&gt;0,INDEX(BV$7:BV$106,$AJ71),1))))</ns0:f>
        <ns0:v>1</ns0:v>
      </ns0:c>
      <ns0:c r="BX71" t="n">
        <ns0:f>IF($A71="",1,IF(BW71=1,1,--AND(IF($AC71&gt;0,INDEX(BW$7:BW$106,$AC71),1),IF($AD71&gt;0,INDEX(BW$7:BW$106,$AD71),1),IF($AE71&gt;0,INDEX(BW$7:BW$106,$AE71),1),IF($AF71&gt;0,INDEX(BW$7:BW$106,$AF71),1),IF($AG71&gt;0,INDEX(BW$7:BW$106,$AG71),1),IF($AH71&gt;0,INDEX(BW$7:BW$106,$AH71),1),IF($AI71&gt;0,INDEX(BW$7:BW$106,$AI71),1),IF($AJ71&gt;0,INDEX(BW$7:BW$106,$AJ71),1))))</ns0:f>
        <ns0:v>1</ns0:v>
      </ns0:c>
      <ns0:c r="BY71" t="n">
        <ns0:f>IF($A71="",1,IF(BX71=1,1,--AND(IF($AC71&gt;0,INDEX(BX$7:BX$106,$AC71),1),IF($AD71&gt;0,INDEX(BX$7:BX$106,$AD71),1),IF($AE71&gt;0,INDEX(BX$7:BX$106,$AE71),1),IF($AF71&gt;0,INDEX(BX$7:BX$106,$AF71),1),IF($AG71&gt;0,INDEX(BX$7:BX$106,$AG71),1),IF($AH71&gt;0,INDEX(BX$7:BX$106,$AH71),1),IF($AI71&gt;0,INDEX(BX$7:BX$106,$AI71),1),IF($AJ71&gt;0,INDEX(BX$7:BX$106,$AJ71),1))))</ns0:f>
        <ns0:v>1</ns0:v>
      </ns0:c>
      <ns0:c r="BZ71" t="n">
        <ns0:f>IF($A71="",1,IF(BY71=1,1,--AND(IF($AC71&gt;0,INDEX(BY$7:BY$106,$AC71),1),IF($AD71&gt;0,INDEX(BY$7:BY$106,$AD71),1),IF($AE71&gt;0,INDEX(BY$7:BY$106,$AE71),1),IF($AF71&gt;0,INDEX(BY$7:BY$106,$AF71),1),IF($AG71&gt;0,INDEX(BY$7:BY$106,$AG71),1),IF($AH71&gt;0,INDEX(BY$7:BY$106,$AH71),1),IF($AI71&gt;0,INDEX(BY$7:BY$106,$AI71),1),IF($AJ71&gt;0,INDEX(BY$7:BY$106,$AJ71),1))))</ns0:f>
        <ns0:v>1</ns0:v>
      </ns0:c>
      <ns0:c r="CA71" t="n">
        <ns0:f>IF($A71="",1,IF(BZ71=1,1,--AND(IF($AC71&gt;0,INDEX(BZ$7:BZ$106,$AC71),1),IF($AD71&gt;0,INDEX(BZ$7:BZ$106,$AD71),1),IF($AE71&gt;0,INDEX(BZ$7:BZ$106,$AE71),1),IF($AF71&gt;0,INDEX(BZ$7:BZ$106,$AF71),1),IF($AG71&gt;0,INDEX(BZ$7:BZ$106,$AG71),1),IF($AH71&gt;0,INDEX(BZ$7:BZ$106,$AH71),1),IF($AI71&gt;0,INDEX(BZ$7:BZ$106,$AI71),1),IF($AJ71&gt;0,INDEX(BZ$7:BZ$106,$AJ71),1))))</ns0:f>
        <ns0:v>1</ns0:v>
      </ns0:c>
      <ns0:c r="CB71" t="n">
        <ns0:f>IF($A71="",1,IF(CA71=1,1,--AND(IF($AC71&gt;0,INDEX(CA$7:CA$106,$AC71),1),IF($AD71&gt;0,INDEX(CA$7:CA$106,$AD71),1),IF($AE71&gt;0,INDEX(CA$7:CA$106,$AE71),1),IF($AF71&gt;0,INDEX(CA$7:CA$106,$AF71),1),IF($AG71&gt;0,INDEX(CA$7:CA$106,$AG71),1),IF($AH71&gt;0,INDEX(CA$7:CA$106,$AH71),1),IF($AI71&gt;0,INDEX(CA$7:CA$106,$AI71),1),IF($AJ71&gt;0,INDEX(CA$7:CA$106,$AJ71),1))))</ns0:f>
        <ns0:v>1</ns0:v>
      </ns0:c>
      <ns0:c r="CC71" t="n">
        <ns0:f>IF($A71="",1,IF(CB71=1,1,--AND(IF($AC71&gt;0,INDEX(CB$7:CB$106,$AC71),1),IF($AD71&gt;0,INDEX(CB$7:CB$106,$AD71),1),IF($AE71&gt;0,INDEX(CB$7:CB$106,$AE71),1),IF($AF71&gt;0,INDEX(CB$7:CB$106,$AF71),1),IF($AG71&gt;0,INDEX(CB$7:CB$106,$AG71),1),IF($AH71&gt;0,INDEX(CB$7:CB$106,$AH71),1),IF($AI71&gt;0,INDEX(CB$7:CB$106,$AI71),1),IF($AJ71&gt;0,INDEX(CB$7:CB$106,$AJ71),1))))</ns0:f>
        <ns0:v>1</ns0:v>
      </ns0:c>
      <ns0:c r="CD71" t="n">
        <ns0:f>IF($A71="",1,IF(CC71=1,1,--AND(IF($AC71&gt;0,INDEX(CC$7:CC$106,$AC71),1),IF($AD71&gt;0,INDEX(CC$7:CC$106,$AD71),1),IF($AE71&gt;0,INDEX(CC$7:CC$106,$AE71),1),IF($AF71&gt;0,INDEX(CC$7:CC$106,$AF71),1),IF($AG71&gt;0,INDEX(CC$7:CC$106,$AG71),1),IF($AH71&gt;0,INDEX(CC$7:CC$106,$AH71),1),IF($AI71&gt;0,INDEX(CC$7:CC$106,$AI71),1),IF($AJ71&gt;0,INDEX(CC$7:CC$106,$AJ71),1))))</ns0:f>
        <ns0:v>1</ns0:v>
      </ns0:c>
      <ns0:c r="CE71" t="n">
        <ns0:f>IF($A71="",1,IF(CD71=1,1,--AND(IF($AC71&gt;0,INDEX(CD$7:CD$106,$AC71),1),IF($AD71&gt;0,INDEX(CD$7:CD$106,$AD71),1),IF($AE71&gt;0,INDEX(CD$7:CD$106,$AE71),1),IF($AF71&gt;0,INDEX(CD$7:CD$106,$AF71),1),IF($AG71&gt;0,INDEX(CD$7:CD$106,$AG71),1),IF($AH71&gt;0,INDEX(CD$7:CD$106,$AH71),1),IF($AI71&gt;0,INDEX(CD$7:CD$106,$AI71),1),IF($AJ71&gt;0,INDEX(CD$7:CD$106,$AJ71),1))))</ns0:f>
        <ns0:v>1</ns0:v>
      </ns0:c>
      <ns0:c r="CF71" t="n">
        <ns0:f>IF($A71="",1,IF(CE71=1,1,--AND(IF($AC71&gt;0,INDEX(CE$7:CE$106,$AC71),1),IF($AD71&gt;0,INDEX(CE$7:CE$106,$AD71),1),IF($AE71&gt;0,INDEX(CE$7:CE$106,$AE71),1),IF($AF71&gt;0,INDEX(CE$7:CE$106,$AF71),1),IF($AG71&gt;0,INDEX(CE$7:CE$106,$AG71),1),IF($AH71&gt;0,INDEX(CE$7:CE$106,$AH71),1),IF($AI71&gt;0,INDEX(CE$7:CE$106,$AI71),1),IF($AJ71&gt;0,INDEX(CE$7:CE$106,$AJ71),1))))</ns0:f>
        <ns0:v>1</ns0:v>
      </ns0:c>
      <ns0:c r="CG71" t="n">
        <ns0:f>IF($A71="",1,IF(CF71=1,1,--AND(IF($AC71&gt;0,INDEX(CF$7:CF$106,$AC71),1),IF($AD71&gt;0,INDEX(CF$7:CF$106,$AD71),1),IF($AE71&gt;0,INDEX(CF$7:CF$106,$AE71),1),IF($AF71&gt;0,INDEX(CF$7:CF$106,$AF71),1),IF($AG71&gt;0,INDEX(CF$7:CF$106,$AG71),1),IF($AH71&gt;0,INDEX(CF$7:CF$106,$AH71),1),IF($AI71&gt;0,INDEX(CF$7:CF$106,$AI71),1),IF($AJ71&gt;0,INDEX(CF$7:CF$106,$AJ71),1))))</ns0:f>
        <ns0:v>1</ns0:v>
      </ns0:c>
      <ns0:c r="CH71" t="n">
        <ns0:f>IF($A71="",1,IF(CG71=1,1,--AND(IF($AC71&gt;0,INDEX(CG$7:CG$106,$AC71),1),IF($AD71&gt;0,INDEX(CG$7:CG$106,$AD71),1),IF($AE71&gt;0,INDEX(CG$7:CG$106,$AE71),1),IF($AF71&gt;0,INDEX(CG$7:CG$106,$AF71),1),IF($AG71&gt;0,INDEX(CG$7:CG$106,$AG71),1),IF($AH71&gt;0,INDEX(CG$7:CG$106,$AH71),1),IF($AI71&gt;0,INDEX(CG$7:CG$106,$AI71),1),IF($AJ71&gt;0,INDEX(CG$7:CG$106,$AJ71),1))))</ns0:f>
        <ns0:v>1</ns0:v>
      </ns0:c>
      <ns0:c r="CI71" t="n">
        <ns0:f>IF($A71="",1,IF(CH71=1,1,--AND(IF($AC71&gt;0,INDEX(CH$7:CH$106,$AC71),1),IF($AD71&gt;0,INDEX(CH$7:CH$106,$AD71),1),IF($AE71&gt;0,INDEX(CH$7:CH$106,$AE71),1),IF($AF71&gt;0,INDEX(CH$7:CH$106,$AF71),1),IF($AG71&gt;0,INDEX(CH$7:CH$106,$AG71),1),IF($AH71&gt;0,INDEX(CH$7:CH$106,$AH71),1),IF($AI71&gt;0,INDEX(CH$7:CH$106,$AI71),1),IF($AJ71&gt;0,INDEX(CH$7:CH$106,$AJ71),1))))</ns0:f>
        <ns0:v>1</ns0:v>
      </ns0:c>
      <ns0:c r="CJ71" t="n">
        <ns0:f>IF($A71="",1,IF(CI71=1,1,--AND(IF($AC71&gt;0,INDEX(CI$7:CI$106,$AC71),1),IF($AD71&gt;0,INDEX(CI$7:CI$106,$AD71),1),IF($AE71&gt;0,INDEX(CI$7:CI$106,$AE71),1),IF($AF71&gt;0,INDEX(CI$7:CI$106,$AF71),1),IF($AG71&gt;0,INDEX(CI$7:CI$106,$AG71),1),IF($AH71&gt;0,INDEX(CI$7:CI$106,$AH71),1),IF($AI71&gt;0,INDEX(CI$7:CI$106,$AI71),1),IF($AJ71&gt;0,INDEX(CI$7:CI$106,$AJ71),1))))</ns0:f>
        <ns0:v>1</ns0:v>
      </ns0:c>
      <ns0:c r="CK71" t="n">
        <ns0:f>IF($A71="",1,IF(CJ71=1,1,--AND(IF($AC71&gt;0,INDEX(CJ$7:CJ$106,$AC71),1),IF($AD71&gt;0,INDEX(CJ$7:CJ$106,$AD71),1),IF($AE71&gt;0,INDEX(CJ$7:CJ$106,$AE71),1),IF($AF71&gt;0,INDEX(CJ$7:CJ$106,$AF71),1),IF($AG71&gt;0,INDEX(CJ$7:CJ$106,$AG71),1),IF($AH71&gt;0,INDEX(CJ$7:CJ$106,$AH71),1),IF($AI71&gt;0,INDEX(CJ$7:CJ$106,$AI71),1),IF($AJ71&gt;0,INDEX(CJ$7:CJ$106,$AJ71),1))))</ns0:f>
        <ns0:v>1</ns0:v>
      </ns0:c>
      <ns0:c r="CL71" t="n">
        <ns0:f>IF($A71="",1,IF(CK71=1,1,--AND(IF($AC71&gt;0,INDEX(CK$7:CK$106,$AC71),1),IF($AD71&gt;0,INDEX(CK$7:CK$106,$AD71),1),IF($AE71&gt;0,INDEX(CK$7:CK$106,$AE71),1),IF($AF71&gt;0,INDEX(CK$7:CK$106,$AF71),1),IF($AG71&gt;0,INDEX(CK$7:CK$106,$AG71),1),IF($AH71&gt;0,INDEX(CK$7:CK$106,$AH71),1),IF($AI71&gt;0,INDEX(CK$7:CK$106,$AI71),1),IF($AJ71&gt;0,INDEX(CK$7:CK$106,$AJ71),1))))</ns0:f>
        <ns0:v>1</ns0:v>
      </ns0:c>
      <ns0:c r="CM71" t="n">
        <ns0:f>IF($A71="",1,IF(CL71=1,1,--AND(IF($AC71&gt;0,INDEX(CL$7:CL$106,$AC71),1),IF($AD71&gt;0,INDEX(CL$7:CL$106,$AD71),1),IF($AE71&gt;0,INDEX(CL$7:CL$106,$AE71),1),IF($AF71&gt;0,INDEX(CL$7:CL$106,$AF71),1),IF($AG71&gt;0,INDEX(CL$7:CL$106,$AG71),1),IF($AH71&gt;0,INDEX(CL$7:CL$106,$AH71),1),IF($AI71&gt;0,INDEX(CL$7:CL$106,$AI71),1),IF($AJ71&gt;0,INDEX(CL$7:CL$106,$AJ71),1))))</ns0:f>
        <ns0:v>1</ns0:v>
      </ns0:c>
      <ns0:c r="CN71" t="n">
        <ns0:f>IF($A71="",1,IF(CM71=1,1,--AND(IF($AC71&gt;0,INDEX(CM$7:CM$106,$AC71),1),IF($AD71&gt;0,INDEX(CM$7:CM$106,$AD71),1),IF($AE71&gt;0,INDEX(CM$7:CM$106,$AE71),1),IF($AF71&gt;0,INDEX(CM$7:CM$106,$AF71),1),IF($AG71&gt;0,INDEX(CM$7:CM$106,$AG71),1),IF($AH71&gt;0,INDEX(CM$7:CM$106,$AH71),1),IF($AI71&gt;0,INDEX(CM$7:CM$106,$AI71),1),IF($AJ71&gt;0,INDEX(CM$7:CM$106,$AJ71),1))))</ns0:f>
        <ns0:v>1</ns0:v>
      </ns0:c>
      <ns0:c r="CO71" t="n">
        <ns0:f>IF($A71="",1,IF(CN71=1,1,--AND(IF($AC71&gt;0,INDEX(CN$7:CN$106,$AC71),1),IF($AD71&gt;0,INDEX(CN$7:CN$106,$AD71),1),IF($AE71&gt;0,INDEX(CN$7:CN$106,$AE71),1),IF($AF71&gt;0,INDEX(CN$7:CN$106,$AF71),1),IF($AG71&gt;0,INDEX(CN$7:CN$106,$AG71),1),IF($AH71&gt;0,INDEX(CN$7:CN$106,$AH71),1),IF($AI71&gt;0,INDEX(CN$7:CN$106,$AI71),1),IF($AJ71&gt;0,INDEX(CN$7:CN$106,$AJ71),1))))</ns0:f>
        <ns0:v>1</ns0:v>
      </ns0:c>
      <ns0:c r="CP71" t="n">
        <ns0:f>IF($A71="",1,IF(CO71=1,1,--AND(IF($AC71&gt;0,INDEX(CO$7:CO$106,$AC71),1),IF($AD71&gt;0,INDEX(CO$7:CO$106,$AD71),1),IF($AE71&gt;0,INDEX(CO$7:CO$106,$AE71),1),IF($AF71&gt;0,INDEX(CO$7:CO$106,$AF71),1),IF($AG71&gt;0,INDEX(CO$7:CO$106,$AG71),1),IF($AH71&gt;0,INDEX(CO$7:CO$106,$AH71),1),IF($AI71&gt;0,INDEX(CO$7:CO$106,$AI71),1),IF($AJ71&gt;0,INDEX(CO$7:CO$106,$AJ71),1))))</ns0:f>
        <ns0:v>1</ns0:v>
      </ns0:c>
      <ns0:c r="CQ71" t="n">
        <ns0:f>IF($A71="",1,IF(CP71=1,1,--AND(IF($AC71&gt;0,INDEX(CP$7:CP$106,$AC71),1),IF($AD71&gt;0,INDEX(CP$7:CP$106,$AD71),1),IF($AE71&gt;0,INDEX(CP$7:CP$106,$AE71),1),IF($AF71&gt;0,INDEX(CP$7:CP$106,$AF71),1),IF($AG71&gt;0,INDEX(CP$7:CP$106,$AG71),1),IF($AH71&gt;0,INDEX(CP$7:CP$106,$AH71),1),IF($AI71&gt;0,INDEX(CP$7:CP$106,$AI71),1),IF($AJ71&gt;0,INDEX(CP$7:CP$106,$AJ71),1))))</ns0:f>
        <ns0:v>1</ns0:v>
      </ns0:c>
      <ns0:c r="CR71" t="n">
        <ns0:f>IF($A71="",1,IF(CQ71=1,1,--AND(IF($AC71&gt;0,INDEX(CQ$7:CQ$106,$AC71),1),IF($AD71&gt;0,INDEX(CQ$7:CQ$106,$AD71),1),IF($AE71&gt;0,INDEX(CQ$7:CQ$106,$AE71),1),IF($AF71&gt;0,INDEX(CQ$7:CQ$106,$AF71),1),IF($AG71&gt;0,INDEX(CQ$7:CQ$106,$AG71),1),IF($AH71&gt;0,INDEX(CQ$7:CQ$106,$AH71),1),IF($AI71&gt;0,INDEX(CQ$7:CQ$106,$AI71),1),IF($AJ71&gt;0,INDEX(CQ$7:CQ$106,$AJ71),1))))</ns0:f>
        <ns0:v>1</ns0:v>
      </ns0:c>
      <ns0:c r="CS71" t="n">
        <ns0:f>IF($A71="",1,IF(CR71=1,1,--AND(IF($AC71&gt;0,INDEX(CR$7:CR$106,$AC71),1),IF($AD71&gt;0,INDEX(CR$7:CR$106,$AD71),1),IF($AE71&gt;0,INDEX(CR$7:CR$106,$AE71),1),IF($AF71&gt;0,INDEX(CR$7:CR$106,$AF71),1),IF($AG71&gt;0,INDEX(CR$7:CR$106,$AG71),1),IF($AH71&gt;0,INDEX(CR$7:CR$106,$AH71),1),IF($AI71&gt;0,INDEX(CR$7:CR$106,$AI71),1),IF($AJ71&gt;0,INDEX(CR$7:CR$106,$AJ71),1))))</ns0:f>
        <ns0:v>1</ns0:v>
      </ns0:c>
      <ns0:c r="CT71" t="n">
        <ns0:f>IF($A71="",1,IF(CS71=1,1,--AND(IF($AC71&gt;0,INDEX(CS$7:CS$106,$AC71),1),IF($AD71&gt;0,INDEX(CS$7:CS$106,$AD71),1),IF($AE71&gt;0,INDEX(CS$7:CS$106,$AE71),1),IF($AF71&gt;0,INDEX(CS$7:CS$106,$AF71),1),IF($AG71&gt;0,INDEX(CS$7:CS$106,$AG71),1),IF($AH71&gt;0,INDEX(CS$7:CS$106,$AH71),1),IF($AI71&gt;0,INDEX(CS$7:CS$106,$AI71),1),IF($AJ71&gt;0,INDEX(CS$7:CS$106,$AJ71),1))))</ns0:f>
        <ns0:v>1</ns0:v>
      </ns0:c>
      <ns0:c r="CU71" t="n">
        <ns0:f>IF($A71="",1,IF(CT71=1,1,--AND(IF($AC71&gt;0,INDEX(CT$7:CT$106,$AC71),1),IF($AD71&gt;0,INDEX(CT$7:CT$106,$AD71),1),IF($AE71&gt;0,INDEX(CT$7:CT$106,$AE71),1),IF($AF71&gt;0,INDEX(CT$7:CT$106,$AF71),1),IF($AG71&gt;0,INDEX(CT$7:CT$106,$AG71),1),IF($AH71&gt;0,INDEX(CT$7:CT$106,$AH71),1),IF($AI71&gt;0,INDEX(CT$7:CT$106,$AI71),1),IF($AJ71&gt;0,INDEX(CT$7:CT$106,$AJ71),1))))</ns0:f>
        <ns0:v>1</ns0:v>
      </ns0:c>
      <ns0:c r="CV71" t="n">
        <ns0:f>IF($A71="",1,IF(CU71=1,1,--AND(IF($AC71&gt;0,INDEX(CU$7:CU$106,$AC71),1),IF($AD71&gt;0,INDEX(CU$7:CU$106,$AD71),1),IF($AE71&gt;0,INDEX(CU$7:CU$106,$AE71),1),IF($AF71&gt;0,INDEX(CU$7:CU$106,$AF71),1),IF($AG71&gt;0,INDEX(CU$7:CU$106,$AG71),1),IF($AH71&gt;0,INDEX(CU$7:CU$106,$AH71),1),IF($AI71&gt;0,INDEX(CU$7:CU$106,$AI71),1),IF($AJ71&gt;0,INDEX(CU$7:CU$106,$AJ71),1))))</ns0:f>
        <ns0:v>1</ns0:v>
      </ns0:c>
      <ns0:c r="CW71" t="n">
        <ns0:f>IF($A71="",1,IF(CV71=1,1,--AND(IF($AC71&gt;0,INDEX(CV$7:CV$106,$AC71),1),IF($AD71&gt;0,INDEX(CV$7:CV$106,$AD71),1),IF($AE71&gt;0,INDEX(CV$7:CV$106,$AE71),1),IF($AF71&gt;0,INDEX(CV$7:CV$106,$AF71),1),IF($AG71&gt;0,INDEX(CV$7:CV$106,$AG71),1),IF($AH71&gt;0,INDEX(CV$7:CV$106,$AH71),1),IF($AI71&gt;0,INDEX(CV$7:CV$106,$AI71),1),IF($AJ71&gt;0,INDEX(CV$7:CV$106,$AJ71),1))))</ns0:f>
        <ns0:v>1</ns0:v>
      </ns0:c>
      <ns0:c r="CX71" t="n">
        <ns0:f>IF($A71="",1,IF(CW71=1,1,--AND(IF($AC71&gt;0,INDEX(CW$7:CW$106,$AC71),1),IF($AD71&gt;0,INDEX(CW$7:CW$106,$AD71),1),IF($AE71&gt;0,INDEX(CW$7:CW$106,$AE71),1),IF($AF71&gt;0,INDEX(CW$7:CW$106,$AF71),1),IF($AG71&gt;0,INDEX(CW$7:CW$106,$AG71),1),IF($AH71&gt;0,INDEX(CW$7:CW$106,$AH71),1),IF($AI71&gt;0,INDEX(CW$7:CW$106,$AI71),1),IF($AJ71&gt;0,INDEX(CW$7:CW$106,$AJ71),1))))</ns0:f>
        <ns0:v>1</ns0:v>
      </ns0:c>
      <ns0:c r="CY71" t="n">
        <ns0:f>IF($A71="",1,IF(CX71=1,1,--AND(IF($AC71&gt;0,INDEX(CX$7:CX$106,$AC71),1),IF($AD71&gt;0,INDEX(CX$7:CX$106,$AD71),1),IF($AE71&gt;0,INDEX(CX$7:CX$106,$AE71),1),IF($AF71&gt;0,INDEX(CX$7:CX$106,$AF71),1),IF($AG71&gt;0,INDEX(CX$7:CX$106,$AG71),1),IF($AH71&gt;0,INDEX(CX$7:CX$106,$AH71),1),IF($AI71&gt;0,INDEX(CX$7:CX$106,$AI71),1),IF($AJ71&gt;0,INDEX(CX$7:CX$106,$AJ71),1))))</ns0:f>
        <ns0:v>1</ns0:v>
      </ns0:c>
      <ns0:c r="CZ71" t="n">
        <ns0:f>IF($A71="",1,IF(CY71=1,1,--AND(IF($AC71&gt;0,INDEX(CY$7:CY$106,$AC71),1),IF($AD71&gt;0,INDEX(CY$7:CY$106,$AD71),1),IF($AE71&gt;0,INDEX(CY$7:CY$106,$AE71),1),IF($AF71&gt;0,INDEX(CY$7:CY$106,$AF71),1),IF($AG71&gt;0,INDEX(CY$7:CY$106,$AG71),1),IF($AH71&gt;0,INDEX(CY$7:CY$106,$AH71),1),IF($AI71&gt;0,INDEX(CY$7:CY$106,$AI71),1),IF($AJ71&gt;0,INDEX(CY$7:CY$106,$AJ71),1))))</ns0:f>
        <ns0:v>1</ns0:v>
      </ns0:c>
      <ns0:c r="DA71" t="n">
        <ns0:f>IF($A71="",1,IF(CZ71=1,1,--AND(IF($AC71&gt;0,INDEX(CZ$7:CZ$106,$AC71),1),IF($AD71&gt;0,INDEX(CZ$7:CZ$106,$AD71),1),IF($AE71&gt;0,INDEX(CZ$7:CZ$106,$AE71),1),IF($AF71&gt;0,INDEX(CZ$7:CZ$106,$AF71),1),IF($AG71&gt;0,INDEX(CZ$7:CZ$106,$AG71),1),IF($AH71&gt;0,INDEX(CZ$7:CZ$106,$AH71),1),IF($AI71&gt;0,INDEX(CZ$7:CZ$106,$AI71),1),IF($AJ71&gt;0,INDEX(CZ$7:CZ$106,$AJ71),1))))</ns0:f>
        <ns0:v>1</ns0:v>
      </ns0:c>
      <ns0:c r="DB71" t="n">
        <ns0:f>IF($A71="",1,IF(DA71=1,1,--AND(IF($AC71&gt;0,INDEX(DA$7:DA$106,$AC71),1),IF($AD71&gt;0,INDEX(DA$7:DA$106,$AD71),1),IF($AE71&gt;0,INDEX(DA$7:DA$106,$AE71),1),IF($AF71&gt;0,INDEX(DA$7:DA$106,$AF71),1),IF($AG71&gt;0,INDEX(DA$7:DA$106,$AG71),1),IF($AH71&gt;0,INDEX(DA$7:DA$106,$AH71),1),IF($AI71&gt;0,INDEX(DA$7:DA$106,$AI71),1),IF($AJ71&gt;0,INDEX(DA$7:DA$106,$AJ71),1))))</ns0:f>
        <ns0:v>1</ns0:v>
      </ns0:c>
      <ns0:c r="DC71" t="n">
        <ns0:f>IF($A71="",1,IF(DB71=1,1,--AND(IF($AC71&gt;0,INDEX(DB$7:DB$106,$AC71),1),IF($AD71&gt;0,INDEX(DB$7:DB$106,$AD71),1),IF($AE71&gt;0,INDEX(DB$7:DB$106,$AE71),1),IF($AF71&gt;0,INDEX(DB$7:DB$106,$AF71),1),IF($AG71&gt;0,INDEX(DB$7:DB$106,$AG71),1),IF($AH71&gt;0,INDEX(DB$7:DB$106,$AH71),1),IF($AI71&gt;0,INDEX(DB$7:DB$106,$AI71),1),IF($AJ71&gt;0,INDEX(DB$7:DB$106,$AJ71),1))))</ns0:f>
        <ns0:v>1</ns0:v>
      </ns0:c>
      <ns0:c r="DD71" t="n">
        <ns0:f>IF($A71="",1,IF(DC71=1,1,--AND(IF($AC71&gt;0,INDEX(DC$7:DC$106,$AC71),1),IF($AD71&gt;0,INDEX(DC$7:DC$106,$AD71),1),IF($AE71&gt;0,INDEX(DC$7:DC$106,$AE71),1),IF($AF71&gt;0,INDEX(DC$7:DC$106,$AF71),1),IF($AG71&gt;0,INDEX(DC$7:DC$106,$AG71),1),IF($AH71&gt;0,INDEX(DC$7:DC$106,$AH71),1),IF($AI71&gt;0,INDEX(DC$7:DC$106,$AI71),1),IF($AJ71&gt;0,INDEX(DC$7:DC$106,$AJ71),1))))</ns0:f>
        <ns0:v>1</ns0:v>
      </ns0:c>
      <ns0:c r="DE71" t="n">
        <ns0:f>IF($A71="",1,IF(DD71=1,1,--AND(IF($AC71&gt;0,INDEX(DD$7:DD$106,$AC71),1),IF($AD71&gt;0,INDEX(DD$7:DD$106,$AD71),1),IF($AE71&gt;0,INDEX(DD$7:DD$106,$AE71),1),IF($AF71&gt;0,INDEX(DD$7:DD$106,$AF71),1),IF($AG71&gt;0,INDEX(DD$7:DD$106,$AG71),1),IF($AH71&gt;0,INDEX(DD$7:DD$106,$AH71),1),IF($AI71&gt;0,INDEX(DD$7:DD$106,$AI71),1),IF($AJ71&gt;0,INDEX(DD$7:DD$106,$AJ71),1))))</ns0:f>
        <ns0:v>1</ns0:v>
      </ns0:c>
      <ns0:c r="DF71" t="n">
        <ns0:f>IF($A71="",1,IF(DE71=1,1,--AND(IF($AC71&gt;0,INDEX(DE$7:DE$106,$AC71),1),IF($AD71&gt;0,INDEX(DE$7:DE$106,$AD71),1),IF($AE71&gt;0,INDEX(DE$7:DE$106,$AE71),1),IF($AF71&gt;0,INDEX(DE$7:DE$106,$AF71),1),IF($AG71&gt;0,INDEX(DE$7:DE$106,$AG71),1),IF($AH71&gt;0,INDEX(DE$7:DE$106,$AH71),1),IF($AI71&gt;0,INDEX(DE$7:DE$106,$AI71),1),IF($AJ71&gt;0,INDEX(DE$7:DE$106,$AJ71),1))))</ns0:f>
        <ns0:v>1</ns0:v>
      </ns0:c>
      <ns0:c r="DG71" t="n">
        <ns0:f>IF($A71="",1,IF(DF71=1,1,--AND(IF($AC71&gt;0,INDEX(DF$7:DF$106,$AC71),1),IF($AD71&gt;0,INDEX(DF$7:DF$106,$AD71),1),IF($AE71&gt;0,INDEX(DF$7:DF$106,$AE71),1),IF($AF71&gt;0,INDEX(DF$7:DF$106,$AF71),1),IF($AG71&gt;0,INDEX(DF$7:DF$106,$AG71),1),IF($AH71&gt;0,INDEX(DF$7:DF$106,$AH71),1),IF($AI71&gt;0,INDEX(DF$7:DF$106,$AI71),1),IF($AJ71&gt;0,INDEX(DF$7:DF$106,$AJ71),1))))</ns0:f>
        <ns0:v>1</ns0:v>
      </ns0:c>
      <ns0:c r="DH71" t="n">
        <ns0:f>IF($A71="",1,IF(DG71=1,1,--AND(IF($AC71&gt;0,INDEX(DG$7:DG$106,$AC71),1),IF($AD71&gt;0,INDEX(DG$7:DG$106,$AD71),1),IF($AE71&gt;0,INDEX(DG$7:DG$106,$AE71),1),IF($AF71&gt;0,INDEX(DG$7:DG$106,$AF71),1),IF($AG71&gt;0,INDEX(DG$7:DG$106,$AG71),1),IF($AH71&gt;0,INDEX(DG$7:DG$106,$AH71),1),IF($AI71&gt;0,INDEX(DG$7:DG$106,$AI71),1),IF($AJ71&gt;0,INDEX(DG$7:DG$106,$AJ71),1))))</ns0:f>
        <ns0:v>1</ns0:v>
      </ns0:c>
      <ns0:c r="DI71" t="n">
        <ns0:f>IF($A71="",1,IF(DH71=1,1,--AND(IF($AC71&gt;0,INDEX(DH$7:DH$106,$AC71),1),IF($AD71&gt;0,INDEX(DH$7:DH$106,$AD71),1),IF($AE71&gt;0,INDEX(DH$7:DH$106,$AE71),1),IF($AF71&gt;0,INDEX(DH$7:DH$106,$AF71),1),IF($AG71&gt;0,INDEX(DH$7:DH$106,$AG71),1),IF($AH71&gt;0,INDEX(DH$7:DH$106,$AH71),1),IF($AI71&gt;0,INDEX(DH$7:DH$106,$AI71),1),IF($AJ71&gt;0,INDEX(DH$7:DH$106,$AJ71),1))))</ns0:f>
        <ns0:v>1</ns0:v>
      </ns0:c>
      <ns0:c r="DJ71" t="n">
        <ns0:f>IF($A71="",1,IF(DI71=1,1,--AND(IF($AC71&gt;0,INDEX(DI$7:DI$106,$AC71),1),IF($AD71&gt;0,INDEX(DI$7:DI$106,$AD71),1),IF($AE71&gt;0,INDEX(DI$7:DI$106,$AE71),1),IF($AF71&gt;0,INDEX(DI$7:DI$106,$AF71),1),IF($AG71&gt;0,INDEX(DI$7:DI$106,$AG71),1),IF($AH71&gt;0,INDEX(DI$7:DI$106,$AH71),1),IF($AI71&gt;0,INDEX(DI$7:DI$106,$AI71),1),IF($AJ71&gt;0,INDEX(DI$7:DI$106,$AJ71),1))))</ns0:f>
        <ns0:v>1</ns0:v>
      </ns0:c>
      <ns0:c r="DK71" t="n">
        <ns0:f>IF($A71="",1,IF(DJ71=1,1,--AND(IF($AC71&gt;0,INDEX(DJ$7:DJ$106,$AC71),1),IF($AD71&gt;0,INDEX(DJ$7:DJ$106,$AD71),1),IF($AE71&gt;0,INDEX(DJ$7:DJ$106,$AE71),1),IF($AF71&gt;0,INDEX(DJ$7:DJ$106,$AF71),1),IF($AG71&gt;0,INDEX(DJ$7:DJ$106,$AG71),1),IF($AH71&gt;0,INDEX(DJ$7:DJ$106,$AH71),1),IF($AI71&gt;0,INDEX(DJ$7:DJ$106,$AI71),1),IF($AJ71&gt;0,INDEX(DJ$7:DJ$106,$AJ71),1))))</ns0:f>
        <ns0:v>1</ns0:v>
      </ns0:c>
      <ns0:c r="DL71" t="n">
        <ns0:f>IF($A71="",1,IF(DK71=1,1,--AND(IF($AC71&gt;0,INDEX(DK$7:DK$106,$AC71),1),IF($AD71&gt;0,INDEX(DK$7:DK$106,$AD71),1),IF($AE71&gt;0,INDEX(DK$7:DK$106,$AE71),1),IF($AF71&gt;0,INDEX(DK$7:DK$106,$AF71),1),IF($AG71&gt;0,INDEX(DK$7:DK$106,$AG71),1),IF($AH71&gt;0,INDEX(DK$7:DK$106,$AH71),1),IF($AI71&gt;0,INDEX(DK$7:DK$106,$AI71),1),IF($AJ71&gt;0,INDEX(DK$7:DK$106,$AJ71),1))))</ns0:f>
        <ns0:v>1</ns0:v>
      </ns0:c>
      <ns0:c r="DM71" t="n">
        <ns0:f>IF($A71="",1,IF(DL71=1,1,--AND(IF($AC71&gt;0,INDEX(DL$7:DL$106,$AC71),1),IF($AD71&gt;0,INDEX(DL$7:DL$106,$AD71),1),IF($AE71&gt;0,INDEX(DL$7:DL$106,$AE71),1),IF($AF71&gt;0,INDEX(DL$7:DL$106,$AF71),1),IF($AG71&gt;0,INDEX(DL$7:DL$106,$AG71),1),IF($AH71&gt;0,INDEX(DL$7:DL$106,$AH71),1),IF($AI71&gt;0,INDEX(DL$7:DL$106,$AI71),1),IF($AJ71&gt;0,INDEX(DL$7:DL$106,$AJ71),1))))</ns0:f>
        <ns0:v>1</ns0:v>
      </ns0:c>
      <ns0:c r="DN71" t="n">
        <ns0:f>IF($A71="",1,IF(DM71=1,1,--AND(IF($AC71&gt;0,INDEX(DM$7:DM$106,$AC71),1),IF($AD71&gt;0,INDEX(DM$7:DM$106,$AD71),1),IF($AE71&gt;0,INDEX(DM$7:DM$106,$AE71),1),IF($AF71&gt;0,INDEX(DM$7:DM$106,$AF71),1),IF($AG71&gt;0,INDEX(DM$7:DM$106,$AG71),1),IF($AH71&gt;0,INDEX(DM$7:DM$106,$AH71),1),IF($AI71&gt;0,INDEX(DM$7:DM$106,$AI71),1),IF($AJ71&gt;0,INDEX(DM$7:DM$106,$AJ71),1))))</ns0:f>
        <ns0:v>1</ns0:v>
      </ns0:c>
      <ns0:c r="DO71" t="n">
        <ns0:f>IF($A71="",1,IF(DN71=1,1,--AND(IF($AC71&gt;0,INDEX(DN$7:DN$106,$AC71),1),IF($AD71&gt;0,INDEX(DN$7:DN$106,$AD71),1),IF($AE71&gt;0,INDEX(DN$7:DN$106,$AE71),1),IF($AF71&gt;0,INDEX(DN$7:DN$106,$AF71),1),IF($AG71&gt;0,INDEX(DN$7:DN$106,$AG71),1),IF($AH71&gt;0,INDEX(DN$7:DN$106,$AH71),1),IF($AI71&gt;0,INDEX(DN$7:DN$106,$AI71),1),IF($AJ71&gt;0,INDEX(DN$7:DN$106,$AJ71),1))))</ns0:f>
        <ns0:v>1</ns0:v>
      </ns0:c>
      <ns0:c r="DP71" t="n">
        <ns0:f>IF($A71="",1,IF(DO71=1,1,--AND(IF($AC71&gt;0,INDEX(DO$7:DO$106,$AC71),1),IF($AD71&gt;0,INDEX(DO$7:DO$106,$AD71),1),IF($AE71&gt;0,INDEX(DO$7:DO$106,$AE71),1),IF($AF71&gt;0,INDEX(DO$7:DO$106,$AF71),1),IF($AG71&gt;0,INDEX(DO$7:DO$106,$AG71),1),IF($AH71&gt;0,INDEX(DO$7:DO$106,$AH71),1),IF($AI71&gt;0,INDEX(DO$7:DO$106,$AI71),1),IF($AJ71&gt;0,INDEX(DO$7:DO$106,$AJ71),1))))</ns0:f>
        <ns0:v>1</ns0:v>
      </ns0:c>
      <ns0:c r="DQ71" t="n">
        <ns0:f>IF($A71="",1,IF(DP71=1,1,--AND(IF($AC71&gt;0,INDEX(DP$7:DP$106,$AC71),1),IF($AD71&gt;0,INDEX(DP$7:DP$106,$AD71),1),IF($AE71&gt;0,INDEX(DP$7:DP$106,$AE71),1),IF($AF71&gt;0,INDEX(DP$7:DP$106,$AF71),1),IF($AG71&gt;0,INDEX(DP$7:DP$106,$AG71),1),IF($AH71&gt;0,INDEX(DP$7:DP$106,$AH71),1),IF($AI71&gt;0,INDEX(DP$7:DP$106,$AI71),1),IF($AJ71&gt;0,INDEX(DP$7:DP$106,$AJ71),1))))</ns0:f>
        <ns0:v>1</ns0:v>
      </ns0:c>
      <ns0:c r="DR71" t="n">
        <ns0:f>IF($A71="",1,IF(DQ71=1,1,--AND(IF($AC71&gt;0,INDEX(DQ$7:DQ$106,$AC71),1),IF($AD71&gt;0,INDEX(DQ$7:DQ$106,$AD71),1),IF($AE71&gt;0,INDEX(DQ$7:DQ$106,$AE71),1),IF($AF71&gt;0,INDEX(DQ$7:DQ$106,$AF71),1),IF($AG71&gt;0,INDEX(DQ$7:DQ$106,$AG71),1),IF($AH71&gt;0,INDEX(DQ$7:DQ$106,$AH71),1),IF($AI71&gt;0,INDEX(DQ$7:DQ$106,$AI71),1),IF($AJ71&gt;0,INDEX(DQ$7:DQ$106,$AJ71),1))))</ns0:f>
        <ns0:v>1</ns0:v>
      </ns0:c>
      <ns0:c r="DS71" t="n">
        <ns0:f>IF($A71="",1,IF(DR71=1,1,--AND(IF($AC71&gt;0,INDEX(DR$7:DR$106,$AC71),1),IF($AD71&gt;0,INDEX(DR$7:DR$106,$AD71),1),IF($AE71&gt;0,INDEX(DR$7:DR$106,$AE71),1),IF($AF71&gt;0,INDEX(DR$7:DR$106,$AF71),1),IF($AG71&gt;0,INDEX(DR$7:DR$106,$AG71),1),IF($AH71&gt;0,INDEX(DR$7:DR$106,$AH71),1),IF($AI71&gt;0,INDEX(DR$7:DR$106,$AI71),1),IF($AJ71&gt;0,INDEX(DR$7:DR$106,$AJ71),1))))</ns0:f>
        <ns0:v>1</ns0:v>
      </ns0:c>
      <ns0:c r="DT71" t="n">
        <ns0:f>IF($A71="",1,IF(DS71=1,1,--AND(IF($AC71&gt;0,INDEX(DS$7:DS$106,$AC71),1),IF($AD71&gt;0,INDEX(DS$7:DS$106,$AD71),1),IF($AE71&gt;0,INDEX(DS$7:DS$106,$AE71),1),IF($AF71&gt;0,INDEX(DS$7:DS$106,$AF71),1),IF($AG71&gt;0,INDEX(DS$7:DS$106,$AG71),1),IF($AH71&gt;0,INDEX(DS$7:DS$106,$AH71),1),IF($AI71&gt;0,INDEX(DS$7:DS$106,$AI71),1),IF($AJ71&gt;0,INDEX(DS$7:DS$106,$AJ71),1))))</ns0:f>
        <ns0:v>1</ns0:v>
      </ns0:c>
      <ns0:c r="DU71" t="n">
        <ns0:f>IF($A71="",1,IF(DT71=1,1,--AND(IF($AC71&gt;0,INDEX(DT$7:DT$106,$AC71),1),IF($AD71&gt;0,INDEX(DT$7:DT$106,$AD71),1),IF($AE71&gt;0,INDEX(DT$7:DT$106,$AE71),1),IF($AF71&gt;0,INDEX(DT$7:DT$106,$AF71),1),IF($AG71&gt;0,INDEX(DT$7:DT$106,$AG71),1),IF($AH71&gt;0,INDEX(DT$7:DT$106,$AH71),1),IF($AI71&gt;0,INDEX(DT$7:DT$106,$AI71),1),IF($AJ71&gt;0,INDEX(DT$7:DT$106,$AJ71),1))))</ns0:f>
        <ns0:v>1</ns0:v>
      </ns0:c>
      <ns0:c r="DV71" t="n">
        <ns0:f>IF($A71="",1,IF(DU71=1,1,--AND(IF($AC71&gt;0,INDEX(DU$7:DU$106,$AC71),1),IF($AD71&gt;0,INDEX(DU$7:DU$106,$AD71),1),IF($AE71&gt;0,INDEX(DU$7:DU$106,$AE71),1),IF($AF71&gt;0,INDEX(DU$7:DU$106,$AF71),1),IF($AG71&gt;0,INDEX(DU$7:DU$106,$AG71),1),IF($AH71&gt;0,INDEX(DU$7:DU$106,$AH71),1),IF($AI71&gt;0,INDEX(DU$7:DU$106,$AI71),1),IF($AJ71&gt;0,INDEX(DU$7:DU$106,$AJ71),1))))</ns0:f>
        <ns0:v>1</ns0:v>
      </ns0:c>
      <ns0:c r="DW71" t="n">
        <ns0:f>IF($A71="",1,IF(DV71=1,1,--AND(IF($AC71&gt;0,INDEX(DV$7:DV$106,$AC71),1),IF($AD71&gt;0,INDEX(DV$7:DV$106,$AD71),1),IF($AE71&gt;0,INDEX(DV$7:DV$106,$AE71),1),IF($AF71&gt;0,INDEX(DV$7:DV$106,$AF71),1),IF($AG71&gt;0,INDEX(DV$7:DV$106,$AG71),1),IF($AH71&gt;0,INDEX(DV$7:DV$106,$AH71),1),IF($AI71&gt;0,INDEX(DV$7:DV$106,$AI71),1),IF($AJ71&gt;0,INDEX(DV$7:DV$106,$AJ71),1))))</ns0:f>
        <ns0:v>1</ns0:v>
      </ns0:c>
      <ns0:c r="DX71" t="n">
        <ns0:f>IF($A71="",1,IF(DW71=1,1,--AND(IF($AC71&gt;0,INDEX(DW$7:DW$106,$AC71),1),IF($AD71&gt;0,INDEX(DW$7:DW$106,$AD71),1),IF($AE71&gt;0,INDEX(DW$7:DW$106,$AE71),1),IF($AF71&gt;0,INDEX(DW$7:DW$106,$AF71),1),IF($AG71&gt;0,INDEX(DW$7:DW$106,$AG71),1),IF($AH71&gt;0,INDEX(DW$7:DW$106,$AH71),1),IF($AI71&gt;0,INDEX(DW$7:DW$106,$AI71),1),IF($AJ71&gt;0,INDEX(DW$7:DW$106,$AJ71),1))))</ns0:f>
        <ns0:v>1</ns0:v>
      </ns0:c>
      <ns0:c r="DY71" t="n">
        <ns0:f>IF($A71="",1,IF(DX71=1,1,--AND(IF($AC71&gt;0,INDEX(DX$7:DX$106,$AC71),1),IF($AD71&gt;0,INDEX(DX$7:DX$106,$AD71),1),IF($AE71&gt;0,INDEX(DX$7:DX$106,$AE71),1),IF($AF71&gt;0,INDEX(DX$7:DX$106,$AF71),1),IF($AG71&gt;0,INDEX(DX$7:DX$106,$AG71),1),IF($AH71&gt;0,INDEX(DX$7:DX$106,$AH71),1),IF($AI71&gt;0,INDEX(DX$7:DX$106,$AI71),1),IF($AJ71&gt;0,INDEX(DX$7:DX$106,$AJ71),1))))</ns0:f>
        <ns0:v>1</ns0:v>
      </ns0:c>
      <ns0:c r="DZ71" t="n">
        <ns0:f>IF($A71="",1,IF(DY71=1,1,--AND(IF($AC71&gt;0,INDEX(DY$7:DY$106,$AC71),1),IF($AD71&gt;0,INDEX(DY$7:DY$106,$AD71),1),IF($AE71&gt;0,INDEX(DY$7:DY$106,$AE71),1),IF($AF71&gt;0,INDEX(DY$7:DY$106,$AF71),1),IF($AG71&gt;0,INDEX(DY$7:DY$106,$AG71),1),IF($AH71&gt;0,INDEX(DY$7:DY$106,$AH71),1),IF($AI71&gt;0,INDEX(DY$7:DY$106,$AI71),1),IF($AJ71&gt;0,INDEX(DY$7:DY$106,$AJ71),1))))</ns0:f>
        <ns0:v>1</ns0:v>
      </ns0:c>
      <ns0:c r="EA71" t="n">
        <ns0:f>IF($A71="",1,IF(DZ71=1,1,--AND(IF($AC71&gt;0,INDEX(DZ$7:DZ$106,$AC71),1),IF($AD71&gt;0,INDEX(DZ$7:DZ$106,$AD71),1),IF($AE71&gt;0,INDEX(DZ$7:DZ$106,$AE71),1),IF($AF71&gt;0,INDEX(DZ$7:DZ$106,$AF71),1),IF($AG71&gt;0,INDEX(DZ$7:DZ$106,$AG71),1),IF($AH71&gt;0,INDEX(DZ$7:DZ$106,$AH71),1),IF($AI71&gt;0,INDEX(DZ$7:DZ$106,$AI71),1),IF($AJ71&gt;0,INDEX(DZ$7:DZ$106,$AJ71),1))))</ns0:f>
        <ns0:v>1</ns0:v>
      </ns0:c>
      <ns0:c r="EB71" t="n">
        <ns0:f>IF($A71="",1,IF(EA71=1,1,--AND(IF($AC71&gt;0,INDEX(EA$7:EA$106,$AC71),1),IF($AD71&gt;0,INDEX(EA$7:EA$106,$AD71),1),IF($AE71&gt;0,INDEX(EA$7:EA$106,$AE71),1),IF($AF71&gt;0,INDEX(EA$7:EA$106,$AF71),1),IF($AG71&gt;0,INDEX(EA$7:EA$106,$AG71),1),IF($AH71&gt;0,INDEX(EA$7:EA$106,$AH71),1),IF($AI71&gt;0,INDEX(EA$7:EA$106,$AI71),1),IF($AJ71&gt;0,INDEX(EA$7:EA$106,$AJ71),1))))</ns0:f>
        <ns0:v>1</ns0:v>
      </ns0:c>
      <ns0:c r="EC71" t="n">
        <ns0:f>IF($A71="",1,IF(EB71=1,1,--AND(IF($AC71&gt;0,INDEX(EB$7:EB$106,$AC71),1),IF($AD71&gt;0,INDEX(EB$7:EB$106,$AD71),1),IF($AE71&gt;0,INDEX(EB$7:EB$106,$AE71),1),IF($AF71&gt;0,INDEX(EB$7:EB$106,$AF71),1),IF($AG71&gt;0,INDEX(EB$7:EB$106,$AG71),1),IF($AH71&gt;0,INDEX(EB$7:EB$106,$AH71),1),IF($AI71&gt;0,INDEX(EB$7:EB$106,$AI71),1),IF($AJ71&gt;0,INDEX(EB$7:EB$106,$AJ71),1))))</ns0:f>
        <ns0:v>1</ns0:v>
      </ns0:c>
      <ns0:c r="ED71" t="n">
        <ns0:f>IF($A71="",1,IF(EC71=1,1,--AND(IF($AC71&gt;0,INDEX(EC$7:EC$106,$AC71),1),IF($AD71&gt;0,INDEX(EC$7:EC$106,$AD71),1),IF($AE71&gt;0,INDEX(EC$7:EC$106,$AE71),1),IF($AF71&gt;0,INDEX(EC$7:EC$106,$AF71),1),IF($AG71&gt;0,INDEX(EC$7:EC$106,$AG71),1),IF($AH71&gt;0,INDEX(EC$7:EC$106,$AH71),1),IF($AI71&gt;0,INDEX(EC$7:EC$106,$AI71),1),IF($AJ71&gt;0,INDEX(EC$7:EC$106,$AJ71),1))))</ns0:f>
        <ns0:v>1</ns0:v>
      </ns0:c>
      <ns0:c r="EE71" t="n">
        <ns0:f>IF($A71="",1,IF(ED71=1,1,--AND(IF($AC71&gt;0,INDEX(ED$7:ED$106,$AC71),1),IF($AD71&gt;0,INDEX(ED$7:ED$106,$AD71),1),IF($AE71&gt;0,INDEX(ED$7:ED$106,$AE71),1),IF($AF71&gt;0,INDEX(ED$7:ED$106,$AF71),1),IF($AG71&gt;0,INDEX(ED$7:ED$106,$AG71),1),IF($AH71&gt;0,INDEX(ED$7:ED$106,$AH71),1),IF($AI71&gt;0,INDEX(ED$7:ED$106,$AI71),1),IF($AJ71&gt;0,INDEX(ED$7:ED$106,$AJ71),1))))</ns0:f>
        <ns0:v>1</ns0:v>
      </ns0:c>
      <ns0:c r="EF71" t="n">
        <ns0:f>IF($A71="",1,IF(EE71=1,1,--AND(IF($AC71&gt;0,INDEX(EE$7:EE$106,$AC71),1),IF($AD71&gt;0,INDEX(EE$7:EE$106,$AD71),1),IF($AE71&gt;0,INDEX(EE$7:EE$106,$AE71),1),IF($AF71&gt;0,INDEX(EE$7:EE$106,$AF71),1),IF($AG71&gt;0,INDEX(EE$7:EE$106,$AG71),1),IF($AH71&gt;0,INDEX(EE$7:EE$106,$AH71),1),IF($AI71&gt;0,INDEX(EE$7:EE$106,$AI71),1),IF($AJ71&gt;0,INDEX(EE$7:EE$106,$AJ71),1))))</ns0:f>
        <ns0:v>1</ns0:v>
      </ns0:c>
      <ns0:c r="EG71" t="n">
        <ns0:f>IF($A71="",1,IF(EF71=1,1,--AND(IF($AC71&gt;0,INDEX(EF$7:EF$106,$AC71),1),IF($AD71&gt;0,INDEX(EF$7:EF$106,$AD71),1),IF($AE71&gt;0,INDEX(EF$7:EF$106,$AE71),1),IF($AF71&gt;0,INDEX(EF$7:EF$106,$AF71),1),IF($AG71&gt;0,INDEX(EF$7:EF$106,$AG71),1),IF($AH71&gt;0,INDEX(EF$7:EF$106,$AH71),1),IF($AI71&gt;0,INDEX(EF$7:EF$106,$AI71),1),IF($AJ71&gt;0,INDEX(EF$7:EF$106,$AJ71),1))))</ns0:f>
        <ns0:v>1</ns0:v>
      </ns0:c>
      <ns0:c r="EH71" t="n">
        <ns0:f>IF($A71="",1,IF(EG71=1,1,--AND(IF($AC71&gt;0,INDEX(EG$7:EG$106,$AC71),1),IF($AD71&gt;0,INDEX(EG$7:EG$106,$AD71),1),IF($AE71&gt;0,INDEX(EG$7:EG$106,$AE71),1),IF($AF71&gt;0,INDEX(EG$7:EG$106,$AF71),1),IF($AG71&gt;0,INDEX(EG$7:EG$106,$AG71),1),IF($AH71&gt;0,INDEX(EG$7:EG$106,$AH71),1),IF($AI71&gt;0,INDEX(EG$7:EG$106,$AI71),1),IF($AJ71&gt;0,INDEX(EG$7:EG$106,$AJ71),1))))</ns0:f>
        <ns0:v>1</ns0:v>
      </ns0:c>
      <ns0:c r="EI71" t="n">
        <ns0:f>IF($A71="",1,IF(EH71=1,1,--AND(IF($AC71&gt;0,INDEX(EH$7:EH$106,$AC71),1),IF($AD71&gt;0,INDEX(EH$7:EH$106,$AD71),1),IF($AE71&gt;0,INDEX(EH$7:EH$106,$AE71),1),IF($AF71&gt;0,INDEX(EH$7:EH$106,$AF71),1),IF($AG71&gt;0,INDEX(EH$7:EH$106,$AG71),1),IF($AH71&gt;0,INDEX(EH$7:EH$106,$AH71),1),IF($AI71&gt;0,INDEX(EH$7:EH$106,$AI71),1),IF($AJ71&gt;0,INDEX(EH$7:EH$106,$AJ71),1))))</ns0:f>
        <ns0:v>1</ns0:v>
      </ns0:c>
      <ns0:c r="EJ71" t="n">
        <ns0:f>IF($A71="",1,IF(EI71=1,1,--AND(IF($AC71&gt;0,INDEX(EI$7:EI$106,$AC71),1),IF($AD71&gt;0,INDEX(EI$7:EI$106,$AD71),1),IF($AE71&gt;0,INDEX(EI$7:EI$106,$AE71),1),IF($AF71&gt;0,INDEX(EI$7:EI$106,$AF71),1),IF($AG71&gt;0,INDEX(EI$7:EI$106,$AG71),1),IF($AH71&gt;0,INDEX(EI$7:EI$106,$AH71),1),IF($AI71&gt;0,INDEX(EI$7:EI$106,$AI71),1),IF($AJ71&gt;0,INDEX(EI$7:EI$106,$AJ71),1))))</ns0:f>
        <ns0:v>1</ns0:v>
      </ns0:c>
      <ns0:c r="EK71" t="n">
        <ns0:f>IF($A71="",1,IF(EJ71=1,1,--AND(IF($AC71&gt;0,INDEX(EJ$7:EJ$106,$AC71),1),IF($AD71&gt;0,INDEX(EJ$7:EJ$106,$AD71),1),IF($AE71&gt;0,INDEX(EJ$7:EJ$106,$AE71),1),IF($AF71&gt;0,INDEX(EJ$7:EJ$106,$AF71),1),IF($AG71&gt;0,INDEX(EJ$7:EJ$106,$AG71),1),IF($AH71&gt;0,INDEX(EJ$7:EJ$106,$AH71),1),IF($AI71&gt;0,INDEX(EJ$7:EJ$106,$AI71),1),IF($AJ71&gt;0,INDEX(EJ$7:EJ$106,$AJ71),1))))</ns0:f>
        <ns0:v>1</ns0:v>
      </ns0:c>
      <ns0:c r="EL71" t="n">
        <ns0:f>IF($A71="",1,IF(EK71=1,1,--AND(IF($AC71&gt;0,INDEX(EK$7:EK$106,$AC71),1),IF($AD71&gt;0,INDEX(EK$7:EK$106,$AD71),1),IF($AE71&gt;0,INDEX(EK$7:EK$106,$AE71),1),IF($AF71&gt;0,INDEX(EK$7:EK$106,$AF71),1),IF($AG71&gt;0,INDEX(EK$7:EK$106,$AG71),1),IF($AH71&gt;0,INDEX(EK$7:EK$106,$AH71),1),IF($AI71&gt;0,INDEX(EK$7:EK$106,$AI71),1),IF($AJ71&gt;0,INDEX(EK$7:EK$106,$AJ71),1))))</ns0:f>
        <ns0:v>1</ns0:v>
      </ns0:c>
      <ns0:c r="EM71" t="n">
        <ns0:f>IF($A71="",1,IF(EL71=1,1,--AND(IF($AC71&gt;0,INDEX(EL$7:EL$106,$AC71),1),IF($AD71&gt;0,INDEX(EL$7:EL$106,$AD71),1),IF($AE71&gt;0,INDEX(EL$7:EL$106,$AE71),1),IF($AF71&gt;0,INDEX(EL$7:EL$106,$AF71),1),IF($AG71&gt;0,INDEX(EL$7:EL$106,$AG71),1),IF($AH71&gt;0,INDEX(EL$7:EL$106,$AH71),1),IF($AI71&gt;0,INDEX(EL$7:EL$106,$AI71),1),IF($AJ71&gt;0,INDEX(EL$7:EL$106,$AJ71),1))))</ns0:f>
        <ns0:v>1</ns0:v>
      </ns0:c>
      <ns0:c r="EN71" t="n">
        <ns0:f>IF($A71="",1,IF(EM71=1,1,--AND(IF($AC71&gt;0,INDEX(EM$7:EM$106,$AC71),1),IF($AD71&gt;0,INDEX(EM$7:EM$106,$AD71),1),IF($AE71&gt;0,INDEX(EM$7:EM$106,$AE71),1),IF($AF71&gt;0,INDEX(EM$7:EM$106,$AF71),1),IF($AG71&gt;0,INDEX(EM$7:EM$106,$AG71),1),IF($AH71&gt;0,INDEX(EM$7:EM$106,$AH71),1),IF($AI71&gt;0,INDEX(EM$7:EM$106,$AI71),1),IF($AJ71&gt;0,INDEX(EM$7:EM$106,$AJ71),1))))</ns0:f>
        <ns0:v>1</ns0:v>
      </ns0:c>
      <ns0:c r="EO71" t="n">
        <ns0:f>IF($A71="",1,IF(EN71=1,1,--AND(IF($AC71&gt;0,INDEX(EN$7:EN$106,$AC71),1),IF($AD71&gt;0,INDEX(EN$7:EN$106,$AD71),1),IF($AE71&gt;0,INDEX(EN$7:EN$106,$AE71),1),IF($AF71&gt;0,INDEX(EN$7:EN$106,$AF71),1),IF($AG71&gt;0,INDEX(EN$7:EN$106,$AG71),1),IF($AH71&gt;0,INDEX(EN$7:EN$106,$AH71),1),IF($AI71&gt;0,INDEX(EN$7:EN$106,$AI71),1),IF($AJ71&gt;0,INDEX(EN$7:EN$106,$AJ71),1))))</ns0:f>
        <ns0:v>1</ns0:v>
      </ns0:c>
      <ns0:c r="EP71" t="n">
        <ns0:f>IF($A71="",1,IF(EO71=1,1,--AND(IF($AC71&gt;0,INDEX(EO$7:EO$106,$AC71),1),IF($AD71&gt;0,INDEX(EO$7:EO$106,$AD71),1),IF($AE71&gt;0,INDEX(EO$7:EO$106,$AE71),1),IF($AF71&gt;0,INDEX(EO$7:EO$106,$AF71),1),IF($AG71&gt;0,INDEX(EO$7:EO$106,$AG71),1),IF($AH71&gt;0,INDEX(EO$7:EO$106,$AH71),1),IF($AI71&gt;0,INDEX(EO$7:EO$106,$AI71),1),IF($AJ71&gt;0,INDEX(EO$7:EO$106,$AJ71),1))))</ns0:f>
        <ns0:v>1</ns0:v>
      </ns0:c>
      <ns0:c r="EQ71" t="n">
        <ns0:f>IF(OR(A71="",NOT(ISNUMBER(G71))),0,G71*N71)</ns0:f>
        <ns0:v>0</ns0:v>
      </ns0:c>
    </ns0:row>
    <ns0:row r="72" ht="62" customHeight="1">
      <ns0:c r="A72" s="48"/>
      <ns0:c r="B72" s="48"/>
      <ns0:c r="C72" s="48"/>
      <ns0:c r="D72" s="48"/>
      <ns0:c r="E72" s="49"/>
      <ns0:c r="F72" s="49"/>
      <ns0:c r="G72" s="13" t="str">
        <ns0:f>IF(A72="","",IF(OR(NOT(ISNUMBER(E72)),NOT(ISNUMBER(F72)),F72&lt;E72),"",IF(J72="Yes",0,F72-E72+1)))</ns0:f>
      </ns0:c>
      <ns0:c r="H72" s="48"/>
      <ns0:c r="I72" s="48"/>
      <ns0:c r="J72" s="48"/>
      <ns0:c r="K72" s="48"/>
      <ns0:c r="L72" s="48"/>
      <ns0:c r="M72" s="50" t="str">
        <ns0:f>IF(A72="","",IF(N72=1,"Completed",IF(N72&gt;0,"In Progress","Not Started")))</ns0:f>
      </ns0:c>
      <ns0:c r="N72" s="51"/>
      <ns0:c r="O72" s="13" t="str">
        <ns0:f>IF(A72="","",IF(R72&lt;&gt;"","[CONFLICT] "&amp;R72,IF(S72&lt;&gt;"","[CONFLICT] "&amp;S72,IF(OR(NOT(ISNUMBER(N72)),N72&lt;0,N72&gt;1),"[CONFLICT] Invalid progress",IF(AK72&gt;0,"[DEPENDENCY ISSUE] Missing ID / &gt;8 links",IF(AM72&gt;0,"[DEPENDENCY ISSUE] Cycle or blocked by cycle",IF(AND(H72&lt;&gt;"",ISNA(MATCH(I72,{"FS","SS","FF","SF"},0))),"[DEPENDENCY ISSUE] Invalid type",IF(AL72&gt;0,"[DEPENDENCY ISSUE] Timing conflict",IF(OR(E72&lt;ProjectStart,F72&gt;ProjectEnd),"[OUTSIDE WINDOW]",IF(AND(N72&lt;1,F72&lt;AsOfDate),"Overdue",IF(AND(M72&lt;&gt;Q72,M72&lt;&gt;""),"[CONFLICT] Status / progress","On track")))))))))))</ns0:f>
      </ns0:c>
      <ns0:c r="P72" s="52"/>
      <ns0:c r="Q72" t="str">
        <ns0:f>IF(A72="","",IF(OR(M72="On Hold",M72="Delayed"),M72,IF(N72=1,"Completed",IF(N72&gt;0,"In Progress","Not Started"))))</ns0:f>
      </ns0:c>
      <ns0:c r="R72" t="str">
        <ns0:f>IF(A72="","",IF(COUNTIFS(Tasks[Task ID],A72)&lt;&gt;1,"Duplicate ID",""))</ns0:f>
      </ns0:c>
      <ns0:c r="S72" t="str">
        <ns0:f>IF(A72="","",IF(OR(NOT(ISNUMBER(E72)),NOT(ISNUMBER(F72))),"Invalid / missing date",IF(OR(E72&lt;&gt;INT(E72),F72&lt;&gt;INT(F72),E72&lt;1,F72&gt;2958465),"Invalid date",IF(F72&lt;E72,"End before start",IF(AND(J72="Yes",E72&lt;&gt;F72),"Milestone needs one date","")))))</ns0:f>
      </ns0:c>
      <ns0:c r="T72" t="n">
        <ns0:f>IF(H72="",0,LEN(H72)-LEN(SUBSTITUTE(H72,",",""))+1)</ns0:f>
        <ns0:v>0</ns0:v>
      </ns0:c>
      <ns0:c r="U72" t="str">
        <ns0:f>TRIM(MID(SUBSTITUTE($H72,",",REPT(" ",100)),1,100))</ns0:f>
      </ns0:c>
      <ns0:c r="V72" t="str">
        <ns0:f>TRIM(MID(SUBSTITUTE($H72,",",REPT(" ",100)),101,100))</ns0:f>
      </ns0:c>
      <ns0:c r="W72" t="str">
        <ns0:f>TRIM(MID(SUBSTITUTE($H72,",",REPT(" ",100)),201,100))</ns0:f>
      </ns0:c>
      <ns0:c r="X72" t="str">
        <ns0:f>TRIM(MID(SUBSTITUTE($H72,",",REPT(" ",100)),301,100))</ns0:f>
      </ns0:c>
      <ns0:c r="Y72" t="str">
        <ns0:f>TRIM(MID(SUBSTITUTE($H72,",",REPT(" ",100)),401,100))</ns0:f>
      </ns0:c>
      <ns0:c r="Z72" t="str">
        <ns0:f>TRIM(MID(SUBSTITUTE($H72,",",REPT(" ",100)),501,100))</ns0:f>
      </ns0:c>
      <ns0:c r="AA72" t="str">
        <ns0:f>TRIM(MID(SUBSTITUTE($H72,",",REPT(" ",100)),601,100))</ns0:f>
      </ns0:c>
      <ns0:c r="AB72" t="str">
        <ns0:f>TRIM(MID(SUBSTITUTE($H72,",",REPT(" ",100)),701,100))</ns0:f>
      </ns0:c>
      <ns0:c r="AC72" t="n">
        <ns0:f>IF(U72="",0,IF(COUNTIFS(Tasks[Task ID],U72)=1,MATCH(U72,Tasks[Task ID],0),-1))</ns0:f>
        <ns0:v>0</ns0:v>
      </ns0:c>
      <ns0:c r="AD72" t="n">
        <ns0:f>IF(V72="",0,IF(COUNTIFS(Tasks[Task ID],V72)=1,MATCH(V72,Tasks[Task ID],0),-1))</ns0:f>
        <ns0:v>0</ns0:v>
      </ns0:c>
      <ns0:c r="AE72" t="n">
        <ns0:f>IF(W72="",0,IF(COUNTIFS(Tasks[Task ID],W72)=1,MATCH(W72,Tasks[Task ID],0),-1))</ns0:f>
        <ns0:v>0</ns0:v>
      </ns0:c>
      <ns0:c r="AF72" t="n">
        <ns0:f>IF(X72="",0,IF(COUNTIFS(Tasks[Task ID],X72)=1,MATCH(X72,Tasks[Task ID],0),-1))</ns0:f>
        <ns0:v>0</ns0:v>
      </ns0:c>
      <ns0:c r="AG72" t="n">
        <ns0:f>IF(Y72="",0,IF(COUNTIFS(Tasks[Task ID],Y72)=1,MATCH(Y72,Tasks[Task ID],0),-1))</ns0:f>
        <ns0:v>0</ns0:v>
      </ns0:c>
      <ns0:c r="AH72" t="n">
        <ns0:f>IF(Z72="",0,IF(COUNTIFS(Tasks[Task ID],Z72)=1,MATCH(Z72,Tasks[Task ID],0),-1))</ns0:f>
        <ns0:v>0</ns0:v>
      </ns0:c>
      <ns0:c r="AI72" t="n">
        <ns0:f>IF(AA72="",0,IF(COUNTIFS(Tasks[Task ID],AA72)=1,MATCH(AA72,Tasks[Task ID],0),-1))</ns0:f>
        <ns0:v>0</ns0:v>
      </ns0:c>
      <ns0:c r="AJ72" t="n">
        <ns0:f>IF(AB72="",0,IF(COUNTIFS(Tasks[Task ID],AB72)=1,MATCH(AB72,Tasks[Task ID],0),-1))</ns0:f>
        <ns0:v>0</ns0:v>
      </ns0:c>
      <ns0:c r="AK72" t="n">
        <ns0:f>COUNTIFS(AC72:AJ72,-1)+IF(T72&gt;8,1,0)</ns0:f>
        <ns0:v>0</ns0:v>
      </ns0:c>
      <ns0:c r="AL72" t="n">
        <ns0:f>IF(OR(A72="",S72&lt;&gt;""),0,SUM(IF(AC72&gt;0,IF($I72="FS",--($E72&lt;INDEX(Tasks[End Date],AC72)+IF(INDEX(Tasks[Milestone],AC72)="Yes",0,1)),IF($I72="SS",--($E72&lt;INDEX(Tasks[Start Date],AC72)),IF($I72="FF",--($F72&lt;INDEX(Tasks[End Date],AC72)),IF($I72="SF",--($F72&lt;INDEX(Tasks[Start Date],AC72)),0)))),0),IF(AD72&gt;0,IF($I72="FS",--($E72&lt;INDEX(Tasks[End Date],AD72)+IF(INDEX(Tasks[Milestone],AD72)="Yes",0,1)),IF($I72="SS",--($E72&lt;INDEX(Tasks[Start Date],AD72)),IF($I72="FF",--($F72&lt;INDEX(Tasks[End Date],AD72)),IF($I72="SF",--($F72&lt;INDEX(Tasks[Start Date],AD72)),0)))),0),IF(AE72&gt;0,IF($I72="FS",--($E72&lt;INDEX(Tasks[End Date],AE72)+IF(INDEX(Tasks[Milestone],AE72)="Yes",0,1)),IF($I72="SS",--($E72&lt;INDEX(Tasks[Start Date],AE72)),IF($I72="FF",--($F72&lt;INDEX(Tasks[End Date],AE72)),IF($I72="SF",--($F72&lt;INDEX(Tasks[Start Date],AE72)),0)))),0),IF(AF72&gt;0,IF($I72="FS",--($E72&lt;INDEX(Tasks[End Date],AF72)+IF(INDEX(Tasks[Milestone],AF72)="Yes",0,1)),IF($I72="SS",--($E72&lt;INDEX(Tasks[Start Date],AF72)),IF($I72="FF",--($F72&lt;INDEX(Tasks[End Date],AF72)),IF($I72="SF",--($F72&lt;INDEX(Tasks[Start Date],AF72)),0)))),0),IF(AG72&gt;0,IF($I72="FS",--($E72&lt;INDEX(Tasks[End Date],AG72)+IF(INDEX(Tasks[Milestone],AG72)="Yes",0,1)),IF($I72="SS",--($E72&lt;INDEX(Tasks[Start Date],AG72)),IF($I72="FF",--($F72&lt;INDEX(Tasks[End Date],AG72)),IF($I72="SF",--($F72&lt;INDEX(Tasks[Start Date],AG72)),0)))),0),IF(AH72&gt;0,IF($I72="FS",--($E72&lt;INDEX(Tasks[End Date],AH72)+IF(INDEX(Tasks[Milestone],AH72)="Yes",0,1)),IF($I72="SS",--($E72&lt;INDEX(Tasks[Start Date],AH72)),IF($I72="FF",--($F72&lt;INDEX(Tasks[End Date],AH72)),IF($I72="SF",--($F72&lt;INDEX(Tasks[Start Date],AH72)),0)))),0),IF(AI72&gt;0,IF($I72="FS",--($E72&lt;INDEX(Tasks[End Date],AI72)+IF(INDEX(Tasks[Milestone],AI72)="Yes",0,1)),IF($I72="SS",--($E72&lt;INDEX(Tasks[Start Date],AI72)),IF($I72="FF",--($F72&lt;INDEX(Tasks[End Date],AI72)),IF($I72="SF",--($F72&lt;INDEX(Tasks[Start Date],AI72)),0)))),0),IF(AJ72&gt;0,IF($I72="FS",--($E72&lt;INDEX(Tasks[End Date],AJ72)+IF(INDEX(Tasks[Milestone],AJ72)="Yes",0,1)),IF($I72="SS",--($E72&lt;INDEX(Tasks[Start Date],AJ72)),IF($I72="FF",--($F72&lt;INDEX(Tasks[End Date],AJ72)),IF($I72="SF",--($F72&lt;INDEX(Tasks[Start Date],AJ72)),0)))),0)))</ns0:f>
        <ns0:v>0</ns0:v>
      </ns0:c>
      <ns0:c r="AM72" t="n">
        <ns0:f>IF(AND(A72&lt;&gt;"",AK72=0,EP72=0),1,0)</ns0:f>
        <ns0:v>0</ns0:v>
      </ns0:c>
      <ns0:c r="AN72" t="str">
        <ns0:f>IF(OR(A72="",B72=""),"",IF(COUNTIFS($B$7:B72,B72)=1,MAX($AN$6:AN71)+1,""))</ns0:f>
      </ns0:c>
      <ns0:c r="AO72" t="n">
        <ns0:f>IF(AND(A72&lt;&gt;"",J72="No",N72&lt;1,E72&gt;=AsOfDate),E72+ROW()/10000,1E+9)</ns0:f>
        <ns0:v>1000000000</ns0:v>
      </ns0:c>
      <ns0:c r="AP72" t="n">
        <ns0:f>IF(AND(A72&lt;&gt;"",J72="Yes",N72&lt;1,E72&gt;=AsOfDate),E72+ROW()/10000,1E+9)</ns0:f>
        <ns0:v>1000000000</ns0:v>
      </ns0:c>
      <ns0:c r="AQ72" t="n">
        <ns0:f>IF(AND(A72&lt;&gt;"",J72="No",N72&lt;1,F72&gt;=AsOfDate,F72&lt;=AsOfDate+7),F72+ROW()/10000,1E+9)</ns0:f>
        <ns0:v>1000000000</ns0:v>
      </ns0:c>
      <ns0:c r="AR72" t="n">
        <ns0:f>IF(AND(A72&lt;&gt;"",OR(O72&lt;&gt;"On track",Q72="Delayed")),ROW(),1E+9)</ns0:f>
        <ns0:v>1000000000</ns0:v>
      </ns0:c>
      <ns0:c r="AS72" t="str">
        <ns0:f>IF(A72="","",";"&amp;K72&amp;";")</ns0:f>
      </ns0:c>
      <ns0:c r="AT72" t="n">
        <ns0:f>IF(A72="",1,--(T72=0))</ns0:f>
        <ns0:v>1</ns0:v>
      </ns0:c>
      <ns0:c r="AU72" t="n">
        <ns0:f>IF($A72="",1,IF(AT72=1,1,--AND(IF($AC72&gt;0,INDEX(AT$7:AT$106,$AC72),1),IF($AD72&gt;0,INDEX(AT$7:AT$106,$AD72),1),IF($AE72&gt;0,INDEX(AT$7:AT$106,$AE72),1),IF($AF72&gt;0,INDEX(AT$7:AT$106,$AF72),1),IF($AG72&gt;0,INDEX(AT$7:AT$106,$AG72),1),IF($AH72&gt;0,INDEX(AT$7:AT$106,$AH72),1),IF($AI72&gt;0,INDEX(AT$7:AT$106,$AI72),1),IF($AJ72&gt;0,INDEX(AT$7:AT$106,$AJ72),1))))</ns0:f>
        <ns0:v>1</ns0:v>
      </ns0:c>
      <ns0:c r="AV72" t="n">
        <ns0:f>IF($A72="",1,IF(AU72=1,1,--AND(IF($AC72&gt;0,INDEX(AU$7:AU$106,$AC72),1),IF($AD72&gt;0,INDEX(AU$7:AU$106,$AD72),1),IF($AE72&gt;0,INDEX(AU$7:AU$106,$AE72),1),IF($AF72&gt;0,INDEX(AU$7:AU$106,$AF72),1),IF($AG72&gt;0,INDEX(AU$7:AU$106,$AG72),1),IF($AH72&gt;0,INDEX(AU$7:AU$106,$AH72),1),IF($AI72&gt;0,INDEX(AU$7:AU$106,$AI72),1),IF($AJ72&gt;0,INDEX(AU$7:AU$106,$AJ72),1))))</ns0:f>
        <ns0:v>1</ns0:v>
      </ns0:c>
      <ns0:c r="AW72" t="n">
        <ns0:f>IF($A72="",1,IF(AV72=1,1,--AND(IF($AC72&gt;0,INDEX(AV$7:AV$106,$AC72),1),IF($AD72&gt;0,INDEX(AV$7:AV$106,$AD72),1),IF($AE72&gt;0,INDEX(AV$7:AV$106,$AE72),1),IF($AF72&gt;0,INDEX(AV$7:AV$106,$AF72),1),IF($AG72&gt;0,INDEX(AV$7:AV$106,$AG72),1),IF($AH72&gt;0,INDEX(AV$7:AV$106,$AH72),1),IF($AI72&gt;0,INDEX(AV$7:AV$106,$AI72),1),IF($AJ72&gt;0,INDEX(AV$7:AV$106,$AJ72),1))))</ns0:f>
        <ns0:v>1</ns0:v>
      </ns0:c>
      <ns0:c r="AX72" t="n">
        <ns0:f>IF($A72="",1,IF(AW72=1,1,--AND(IF($AC72&gt;0,INDEX(AW$7:AW$106,$AC72),1),IF($AD72&gt;0,INDEX(AW$7:AW$106,$AD72),1),IF($AE72&gt;0,INDEX(AW$7:AW$106,$AE72),1),IF($AF72&gt;0,INDEX(AW$7:AW$106,$AF72),1),IF($AG72&gt;0,INDEX(AW$7:AW$106,$AG72),1),IF($AH72&gt;0,INDEX(AW$7:AW$106,$AH72),1),IF($AI72&gt;0,INDEX(AW$7:AW$106,$AI72),1),IF($AJ72&gt;0,INDEX(AW$7:AW$106,$AJ72),1))))</ns0:f>
        <ns0:v>1</ns0:v>
      </ns0:c>
      <ns0:c r="AY72" t="n">
        <ns0:f>IF($A72="",1,IF(AX72=1,1,--AND(IF($AC72&gt;0,INDEX(AX$7:AX$106,$AC72),1),IF($AD72&gt;0,INDEX(AX$7:AX$106,$AD72),1),IF($AE72&gt;0,INDEX(AX$7:AX$106,$AE72),1),IF($AF72&gt;0,INDEX(AX$7:AX$106,$AF72),1),IF($AG72&gt;0,INDEX(AX$7:AX$106,$AG72),1),IF($AH72&gt;0,INDEX(AX$7:AX$106,$AH72),1),IF($AI72&gt;0,INDEX(AX$7:AX$106,$AI72),1),IF($AJ72&gt;0,INDEX(AX$7:AX$106,$AJ72),1))))</ns0:f>
        <ns0:v>1</ns0:v>
      </ns0:c>
      <ns0:c r="AZ72" t="n">
        <ns0:f>IF($A72="",1,IF(AY72=1,1,--AND(IF($AC72&gt;0,INDEX(AY$7:AY$106,$AC72),1),IF($AD72&gt;0,INDEX(AY$7:AY$106,$AD72),1),IF($AE72&gt;0,INDEX(AY$7:AY$106,$AE72),1),IF($AF72&gt;0,INDEX(AY$7:AY$106,$AF72),1),IF($AG72&gt;0,INDEX(AY$7:AY$106,$AG72),1),IF($AH72&gt;0,INDEX(AY$7:AY$106,$AH72),1),IF($AI72&gt;0,INDEX(AY$7:AY$106,$AI72),1),IF($AJ72&gt;0,INDEX(AY$7:AY$106,$AJ72),1))))</ns0:f>
        <ns0:v>1</ns0:v>
      </ns0:c>
      <ns0:c r="BA72" t="n">
        <ns0:f>IF($A72="",1,IF(AZ72=1,1,--AND(IF($AC72&gt;0,INDEX(AZ$7:AZ$106,$AC72),1),IF($AD72&gt;0,INDEX(AZ$7:AZ$106,$AD72),1),IF($AE72&gt;0,INDEX(AZ$7:AZ$106,$AE72),1),IF($AF72&gt;0,INDEX(AZ$7:AZ$106,$AF72),1),IF($AG72&gt;0,INDEX(AZ$7:AZ$106,$AG72),1),IF($AH72&gt;0,INDEX(AZ$7:AZ$106,$AH72),1),IF($AI72&gt;0,INDEX(AZ$7:AZ$106,$AI72),1),IF($AJ72&gt;0,INDEX(AZ$7:AZ$106,$AJ72),1))))</ns0:f>
        <ns0:v>1</ns0:v>
      </ns0:c>
      <ns0:c r="BB72" t="n">
        <ns0:f>IF($A72="",1,IF(BA72=1,1,--AND(IF($AC72&gt;0,INDEX(BA$7:BA$106,$AC72),1),IF($AD72&gt;0,INDEX(BA$7:BA$106,$AD72),1),IF($AE72&gt;0,INDEX(BA$7:BA$106,$AE72),1),IF($AF72&gt;0,INDEX(BA$7:BA$106,$AF72),1),IF($AG72&gt;0,INDEX(BA$7:BA$106,$AG72),1),IF($AH72&gt;0,INDEX(BA$7:BA$106,$AH72),1),IF($AI72&gt;0,INDEX(BA$7:BA$106,$AI72),1),IF($AJ72&gt;0,INDEX(BA$7:BA$106,$AJ72),1))))</ns0:f>
        <ns0:v>1</ns0:v>
      </ns0:c>
      <ns0:c r="BC72" t="n">
        <ns0:f>IF($A72="",1,IF(BB72=1,1,--AND(IF($AC72&gt;0,INDEX(BB$7:BB$106,$AC72),1),IF($AD72&gt;0,INDEX(BB$7:BB$106,$AD72),1),IF($AE72&gt;0,INDEX(BB$7:BB$106,$AE72),1),IF($AF72&gt;0,INDEX(BB$7:BB$106,$AF72),1),IF($AG72&gt;0,INDEX(BB$7:BB$106,$AG72),1),IF($AH72&gt;0,INDEX(BB$7:BB$106,$AH72),1),IF($AI72&gt;0,INDEX(BB$7:BB$106,$AI72),1),IF($AJ72&gt;0,INDEX(BB$7:BB$106,$AJ72),1))))</ns0:f>
        <ns0:v>1</ns0:v>
      </ns0:c>
      <ns0:c r="BD72" t="n">
        <ns0:f>IF($A72="",1,IF(BC72=1,1,--AND(IF($AC72&gt;0,INDEX(BC$7:BC$106,$AC72),1),IF($AD72&gt;0,INDEX(BC$7:BC$106,$AD72),1),IF($AE72&gt;0,INDEX(BC$7:BC$106,$AE72),1),IF($AF72&gt;0,INDEX(BC$7:BC$106,$AF72),1),IF($AG72&gt;0,INDEX(BC$7:BC$106,$AG72),1),IF($AH72&gt;0,INDEX(BC$7:BC$106,$AH72),1),IF($AI72&gt;0,INDEX(BC$7:BC$106,$AI72),1),IF($AJ72&gt;0,INDEX(BC$7:BC$106,$AJ72),1))))</ns0:f>
        <ns0:v>1</ns0:v>
      </ns0:c>
      <ns0:c r="BE72" t="n">
        <ns0:f>IF($A72="",1,IF(BD72=1,1,--AND(IF($AC72&gt;0,INDEX(BD$7:BD$106,$AC72),1),IF($AD72&gt;0,INDEX(BD$7:BD$106,$AD72),1),IF($AE72&gt;0,INDEX(BD$7:BD$106,$AE72),1),IF($AF72&gt;0,INDEX(BD$7:BD$106,$AF72),1),IF($AG72&gt;0,INDEX(BD$7:BD$106,$AG72),1),IF($AH72&gt;0,INDEX(BD$7:BD$106,$AH72),1),IF($AI72&gt;0,INDEX(BD$7:BD$106,$AI72),1),IF($AJ72&gt;0,INDEX(BD$7:BD$106,$AJ72),1))))</ns0:f>
        <ns0:v>1</ns0:v>
      </ns0:c>
      <ns0:c r="BF72" t="n">
        <ns0:f>IF($A72="",1,IF(BE72=1,1,--AND(IF($AC72&gt;0,INDEX(BE$7:BE$106,$AC72),1),IF($AD72&gt;0,INDEX(BE$7:BE$106,$AD72),1),IF($AE72&gt;0,INDEX(BE$7:BE$106,$AE72),1),IF($AF72&gt;0,INDEX(BE$7:BE$106,$AF72),1),IF($AG72&gt;0,INDEX(BE$7:BE$106,$AG72),1),IF($AH72&gt;0,INDEX(BE$7:BE$106,$AH72),1),IF($AI72&gt;0,INDEX(BE$7:BE$106,$AI72),1),IF($AJ72&gt;0,INDEX(BE$7:BE$106,$AJ72),1))))</ns0:f>
        <ns0:v>1</ns0:v>
      </ns0:c>
      <ns0:c r="BG72" t="n">
        <ns0:f>IF($A72="",1,IF(BF72=1,1,--AND(IF($AC72&gt;0,INDEX(BF$7:BF$106,$AC72),1),IF($AD72&gt;0,INDEX(BF$7:BF$106,$AD72),1),IF($AE72&gt;0,INDEX(BF$7:BF$106,$AE72),1),IF($AF72&gt;0,INDEX(BF$7:BF$106,$AF72),1),IF($AG72&gt;0,INDEX(BF$7:BF$106,$AG72),1),IF($AH72&gt;0,INDEX(BF$7:BF$106,$AH72),1),IF($AI72&gt;0,INDEX(BF$7:BF$106,$AI72),1),IF($AJ72&gt;0,INDEX(BF$7:BF$106,$AJ72),1))))</ns0:f>
        <ns0:v>1</ns0:v>
      </ns0:c>
      <ns0:c r="BH72" t="n">
        <ns0:f>IF($A72="",1,IF(BG72=1,1,--AND(IF($AC72&gt;0,INDEX(BG$7:BG$106,$AC72),1),IF($AD72&gt;0,INDEX(BG$7:BG$106,$AD72),1),IF($AE72&gt;0,INDEX(BG$7:BG$106,$AE72),1),IF($AF72&gt;0,INDEX(BG$7:BG$106,$AF72),1),IF($AG72&gt;0,INDEX(BG$7:BG$106,$AG72),1),IF($AH72&gt;0,INDEX(BG$7:BG$106,$AH72),1),IF($AI72&gt;0,INDEX(BG$7:BG$106,$AI72),1),IF($AJ72&gt;0,INDEX(BG$7:BG$106,$AJ72),1))))</ns0:f>
        <ns0:v>1</ns0:v>
      </ns0:c>
      <ns0:c r="BI72" t="n">
        <ns0:f>IF($A72="",1,IF(BH72=1,1,--AND(IF($AC72&gt;0,INDEX(BH$7:BH$106,$AC72),1),IF($AD72&gt;0,INDEX(BH$7:BH$106,$AD72),1),IF($AE72&gt;0,INDEX(BH$7:BH$106,$AE72),1),IF($AF72&gt;0,INDEX(BH$7:BH$106,$AF72),1),IF($AG72&gt;0,INDEX(BH$7:BH$106,$AG72),1),IF($AH72&gt;0,INDEX(BH$7:BH$106,$AH72),1),IF($AI72&gt;0,INDEX(BH$7:BH$106,$AI72),1),IF($AJ72&gt;0,INDEX(BH$7:BH$106,$AJ72),1))))</ns0:f>
        <ns0:v>1</ns0:v>
      </ns0:c>
      <ns0:c r="BJ72" t="n">
        <ns0:f>IF($A72="",1,IF(BI72=1,1,--AND(IF($AC72&gt;0,INDEX(BI$7:BI$106,$AC72),1),IF($AD72&gt;0,INDEX(BI$7:BI$106,$AD72),1),IF($AE72&gt;0,INDEX(BI$7:BI$106,$AE72),1),IF($AF72&gt;0,INDEX(BI$7:BI$106,$AF72),1),IF($AG72&gt;0,INDEX(BI$7:BI$106,$AG72),1),IF($AH72&gt;0,INDEX(BI$7:BI$106,$AH72),1),IF($AI72&gt;0,INDEX(BI$7:BI$106,$AI72),1),IF($AJ72&gt;0,INDEX(BI$7:BI$106,$AJ72),1))))</ns0:f>
        <ns0:v>1</ns0:v>
      </ns0:c>
      <ns0:c r="BK72" t="n">
        <ns0:f>IF($A72="",1,IF(BJ72=1,1,--AND(IF($AC72&gt;0,INDEX(BJ$7:BJ$106,$AC72),1),IF($AD72&gt;0,INDEX(BJ$7:BJ$106,$AD72),1),IF($AE72&gt;0,INDEX(BJ$7:BJ$106,$AE72),1),IF($AF72&gt;0,INDEX(BJ$7:BJ$106,$AF72),1),IF($AG72&gt;0,INDEX(BJ$7:BJ$106,$AG72),1),IF($AH72&gt;0,INDEX(BJ$7:BJ$106,$AH72),1),IF($AI72&gt;0,INDEX(BJ$7:BJ$106,$AI72),1),IF($AJ72&gt;0,INDEX(BJ$7:BJ$106,$AJ72),1))))</ns0:f>
        <ns0:v>1</ns0:v>
      </ns0:c>
      <ns0:c r="BL72" t="n">
        <ns0:f>IF($A72="",1,IF(BK72=1,1,--AND(IF($AC72&gt;0,INDEX(BK$7:BK$106,$AC72),1),IF($AD72&gt;0,INDEX(BK$7:BK$106,$AD72),1),IF($AE72&gt;0,INDEX(BK$7:BK$106,$AE72),1),IF($AF72&gt;0,INDEX(BK$7:BK$106,$AF72),1),IF($AG72&gt;0,INDEX(BK$7:BK$106,$AG72),1),IF($AH72&gt;0,INDEX(BK$7:BK$106,$AH72),1),IF($AI72&gt;0,INDEX(BK$7:BK$106,$AI72),1),IF($AJ72&gt;0,INDEX(BK$7:BK$106,$AJ72),1))))</ns0:f>
        <ns0:v>1</ns0:v>
      </ns0:c>
      <ns0:c r="BM72" t="n">
        <ns0:f>IF($A72="",1,IF(BL72=1,1,--AND(IF($AC72&gt;0,INDEX(BL$7:BL$106,$AC72),1),IF($AD72&gt;0,INDEX(BL$7:BL$106,$AD72),1),IF($AE72&gt;0,INDEX(BL$7:BL$106,$AE72),1),IF($AF72&gt;0,INDEX(BL$7:BL$106,$AF72),1),IF($AG72&gt;0,INDEX(BL$7:BL$106,$AG72),1),IF($AH72&gt;0,INDEX(BL$7:BL$106,$AH72),1),IF($AI72&gt;0,INDEX(BL$7:BL$106,$AI72),1),IF($AJ72&gt;0,INDEX(BL$7:BL$106,$AJ72),1))))</ns0:f>
        <ns0:v>1</ns0:v>
      </ns0:c>
      <ns0:c r="BN72" t="n">
        <ns0:f>IF($A72="",1,IF(BM72=1,1,--AND(IF($AC72&gt;0,INDEX(BM$7:BM$106,$AC72),1),IF($AD72&gt;0,INDEX(BM$7:BM$106,$AD72),1),IF($AE72&gt;0,INDEX(BM$7:BM$106,$AE72),1),IF($AF72&gt;0,INDEX(BM$7:BM$106,$AF72),1),IF($AG72&gt;0,INDEX(BM$7:BM$106,$AG72),1),IF($AH72&gt;0,INDEX(BM$7:BM$106,$AH72),1),IF($AI72&gt;0,INDEX(BM$7:BM$106,$AI72),1),IF($AJ72&gt;0,INDEX(BM$7:BM$106,$AJ72),1))))</ns0:f>
        <ns0:v>1</ns0:v>
      </ns0:c>
      <ns0:c r="BO72" t="n">
        <ns0:f>IF($A72="",1,IF(BN72=1,1,--AND(IF($AC72&gt;0,INDEX(BN$7:BN$106,$AC72),1),IF($AD72&gt;0,INDEX(BN$7:BN$106,$AD72),1),IF($AE72&gt;0,INDEX(BN$7:BN$106,$AE72),1),IF($AF72&gt;0,INDEX(BN$7:BN$106,$AF72),1),IF($AG72&gt;0,INDEX(BN$7:BN$106,$AG72),1),IF($AH72&gt;0,INDEX(BN$7:BN$106,$AH72),1),IF($AI72&gt;0,INDEX(BN$7:BN$106,$AI72),1),IF($AJ72&gt;0,INDEX(BN$7:BN$106,$AJ72),1))))</ns0:f>
        <ns0:v>1</ns0:v>
      </ns0:c>
      <ns0:c r="BP72" t="n">
        <ns0:f>IF($A72="",1,IF(BO72=1,1,--AND(IF($AC72&gt;0,INDEX(BO$7:BO$106,$AC72),1),IF($AD72&gt;0,INDEX(BO$7:BO$106,$AD72),1),IF($AE72&gt;0,INDEX(BO$7:BO$106,$AE72),1),IF($AF72&gt;0,INDEX(BO$7:BO$106,$AF72),1),IF($AG72&gt;0,INDEX(BO$7:BO$106,$AG72),1),IF($AH72&gt;0,INDEX(BO$7:BO$106,$AH72),1),IF($AI72&gt;0,INDEX(BO$7:BO$106,$AI72),1),IF($AJ72&gt;0,INDEX(BO$7:BO$106,$AJ72),1))))</ns0:f>
        <ns0:v>1</ns0:v>
      </ns0:c>
      <ns0:c r="BQ72" t="n">
        <ns0:f>IF($A72="",1,IF(BP72=1,1,--AND(IF($AC72&gt;0,INDEX(BP$7:BP$106,$AC72),1),IF($AD72&gt;0,INDEX(BP$7:BP$106,$AD72),1),IF($AE72&gt;0,INDEX(BP$7:BP$106,$AE72),1),IF($AF72&gt;0,INDEX(BP$7:BP$106,$AF72),1),IF($AG72&gt;0,INDEX(BP$7:BP$106,$AG72),1),IF($AH72&gt;0,INDEX(BP$7:BP$106,$AH72),1),IF($AI72&gt;0,INDEX(BP$7:BP$106,$AI72),1),IF($AJ72&gt;0,INDEX(BP$7:BP$106,$AJ72),1))))</ns0:f>
        <ns0:v>1</ns0:v>
      </ns0:c>
      <ns0:c r="BR72" t="n">
        <ns0:f>IF($A72="",1,IF(BQ72=1,1,--AND(IF($AC72&gt;0,INDEX(BQ$7:BQ$106,$AC72),1),IF($AD72&gt;0,INDEX(BQ$7:BQ$106,$AD72),1),IF($AE72&gt;0,INDEX(BQ$7:BQ$106,$AE72),1),IF($AF72&gt;0,INDEX(BQ$7:BQ$106,$AF72),1),IF($AG72&gt;0,INDEX(BQ$7:BQ$106,$AG72),1),IF($AH72&gt;0,INDEX(BQ$7:BQ$106,$AH72),1),IF($AI72&gt;0,INDEX(BQ$7:BQ$106,$AI72),1),IF($AJ72&gt;0,INDEX(BQ$7:BQ$106,$AJ72),1))))</ns0:f>
        <ns0:v>1</ns0:v>
      </ns0:c>
      <ns0:c r="BS72" t="n">
        <ns0:f>IF($A72="",1,IF(BR72=1,1,--AND(IF($AC72&gt;0,INDEX(BR$7:BR$106,$AC72),1),IF($AD72&gt;0,INDEX(BR$7:BR$106,$AD72),1),IF($AE72&gt;0,INDEX(BR$7:BR$106,$AE72),1),IF($AF72&gt;0,INDEX(BR$7:BR$106,$AF72),1),IF($AG72&gt;0,INDEX(BR$7:BR$106,$AG72),1),IF($AH72&gt;0,INDEX(BR$7:BR$106,$AH72),1),IF($AI72&gt;0,INDEX(BR$7:BR$106,$AI72),1),IF($AJ72&gt;0,INDEX(BR$7:BR$106,$AJ72),1))))</ns0:f>
        <ns0:v>1</ns0:v>
      </ns0:c>
      <ns0:c r="BT72" t="n">
        <ns0:f>IF($A72="",1,IF(BS72=1,1,--AND(IF($AC72&gt;0,INDEX(BS$7:BS$106,$AC72),1),IF($AD72&gt;0,INDEX(BS$7:BS$106,$AD72),1),IF($AE72&gt;0,INDEX(BS$7:BS$106,$AE72),1),IF($AF72&gt;0,INDEX(BS$7:BS$106,$AF72),1),IF($AG72&gt;0,INDEX(BS$7:BS$106,$AG72),1),IF($AH72&gt;0,INDEX(BS$7:BS$106,$AH72),1),IF($AI72&gt;0,INDEX(BS$7:BS$106,$AI72),1),IF($AJ72&gt;0,INDEX(BS$7:BS$106,$AJ72),1))))</ns0:f>
        <ns0:v>1</ns0:v>
      </ns0:c>
      <ns0:c r="BU72" t="n">
        <ns0:f>IF($A72="",1,IF(BT72=1,1,--AND(IF($AC72&gt;0,INDEX(BT$7:BT$106,$AC72),1),IF($AD72&gt;0,INDEX(BT$7:BT$106,$AD72),1),IF($AE72&gt;0,INDEX(BT$7:BT$106,$AE72),1),IF($AF72&gt;0,INDEX(BT$7:BT$106,$AF72),1),IF($AG72&gt;0,INDEX(BT$7:BT$106,$AG72),1),IF($AH72&gt;0,INDEX(BT$7:BT$106,$AH72),1),IF($AI72&gt;0,INDEX(BT$7:BT$106,$AI72),1),IF($AJ72&gt;0,INDEX(BT$7:BT$106,$AJ72),1))))</ns0:f>
        <ns0:v>1</ns0:v>
      </ns0:c>
      <ns0:c r="BV72" t="n">
        <ns0:f>IF($A72="",1,IF(BU72=1,1,--AND(IF($AC72&gt;0,INDEX(BU$7:BU$106,$AC72),1),IF($AD72&gt;0,INDEX(BU$7:BU$106,$AD72),1),IF($AE72&gt;0,INDEX(BU$7:BU$106,$AE72),1),IF($AF72&gt;0,INDEX(BU$7:BU$106,$AF72),1),IF($AG72&gt;0,INDEX(BU$7:BU$106,$AG72),1),IF($AH72&gt;0,INDEX(BU$7:BU$106,$AH72),1),IF($AI72&gt;0,INDEX(BU$7:BU$106,$AI72),1),IF($AJ72&gt;0,INDEX(BU$7:BU$106,$AJ72),1))))</ns0:f>
        <ns0:v>1</ns0:v>
      </ns0:c>
      <ns0:c r="BW72" t="n">
        <ns0:f>IF($A72="",1,IF(BV72=1,1,--AND(IF($AC72&gt;0,INDEX(BV$7:BV$106,$AC72),1),IF($AD72&gt;0,INDEX(BV$7:BV$106,$AD72),1),IF($AE72&gt;0,INDEX(BV$7:BV$106,$AE72),1),IF($AF72&gt;0,INDEX(BV$7:BV$106,$AF72),1),IF($AG72&gt;0,INDEX(BV$7:BV$106,$AG72),1),IF($AH72&gt;0,INDEX(BV$7:BV$106,$AH72),1),IF($AI72&gt;0,INDEX(BV$7:BV$106,$AI72),1),IF($AJ72&gt;0,INDEX(BV$7:BV$106,$AJ72),1))))</ns0:f>
        <ns0:v>1</ns0:v>
      </ns0:c>
      <ns0:c r="BX72" t="n">
        <ns0:f>IF($A72="",1,IF(BW72=1,1,--AND(IF($AC72&gt;0,INDEX(BW$7:BW$106,$AC72),1),IF($AD72&gt;0,INDEX(BW$7:BW$106,$AD72),1),IF($AE72&gt;0,INDEX(BW$7:BW$106,$AE72),1),IF($AF72&gt;0,INDEX(BW$7:BW$106,$AF72),1),IF($AG72&gt;0,INDEX(BW$7:BW$106,$AG72),1),IF($AH72&gt;0,INDEX(BW$7:BW$106,$AH72),1),IF($AI72&gt;0,INDEX(BW$7:BW$106,$AI72),1),IF($AJ72&gt;0,INDEX(BW$7:BW$106,$AJ72),1))))</ns0:f>
        <ns0:v>1</ns0:v>
      </ns0:c>
      <ns0:c r="BY72" t="n">
        <ns0:f>IF($A72="",1,IF(BX72=1,1,--AND(IF($AC72&gt;0,INDEX(BX$7:BX$106,$AC72),1),IF($AD72&gt;0,INDEX(BX$7:BX$106,$AD72),1),IF($AE72&gt;0,INDEX(BX$7:BX$106,$AE72),1),IF($AF72&gt;0,INDEX(BX$7:BX$106,$AF72),1),IF($AG72&gt;0,INDEX(BX$7:BX$106,$AG72),1),IF($AH72&gt;0,INDEX(BX$7:BX$106,$AH72),1),IF($AI72&gt;0,INDEX(BX$7:BX$106,$AI72),1),IF($AJ72&gt;0,INDEX(BX$7:BX$106,$AJ72),1))))</ns0:f>
        <ns0:v>1</ns0:v>
      </ns0:c>
      <ns0:c r="BZ72" t="n">
        <ns0:f>IF($A72="",1,IF(BY72=1,1,--AND(IF($AC72&gt;0,INDEX(BY$7:BY$106,$AC72),1),IF($AD72&gt;0,INDEX(BY$7:BY$106,$AD72),1),IF($AE72&gt;0,INDEX(BY$7:BY$106,$AE72),1),IF($AF72&gt;0,INDEX(BY$7:BY$106,$AF72),1),IF($AG72&gt;0,INDEX(BY$7:BY$106,$AG72),1),IF($AH72&gt;0,INDEX(BY$7:BY$106,$AH72),1),IF($AI72&gt;0,INDEX(BY$7:BY$106,$AI72),1),IF($AJ72&gt;0,INDEX(BY$7:BY$106,$AJ72),1))))</ns0:f>
        <ns0:v>1</ns0:v>
      </ns0:c>
      <ns0:c r="CA72" t="n">
        <ns0:f>IF($A72="",1,IF(BZ72=1,1,--AND(IF($AC72&gt;0,INDEX(BZ$7:BZ$106,$AC72),1),IF($AD72&gt;0,INDEX(BZ$7:BZ$106,$AD72),1),IF($AE72&gt;0,INDEX(BZ$7:BZ$106,$AE72),1),IF($AF72&gt;0,INDEX(BZ$7:BZ$106,$AF72),1),IF($AG72&gt;0,INDEX(BZ$7:BZ$106,$AG72),1),IF($AH72&gt;0,INDEX(BZ$7:BZ$106,$AH72),1),IF($AI72&gt;0,INDEX(BZ$7:BZ$106,$AI72),1),IF($AJ72&gt;0,INDEX(BZ$7:BZ$106,$AJ72),1))))</ns0:f>
        <ns0:v>1</ns0:v>
      </ns0:c>
      <ns0:c r="CB72" t="n">
        <ns0:f>IF($A72="",1,IF(CA72=1,1,--AND(IF($AC72&gt;0,INDEX(CA$7:CA$106,$AC72),1),IF($AD72&gt;0,INDEX(CA$7:CA$106,$AD72),1),IF($AE72&gt;0,INDEX(CA$7:CA$106,$AE72),1),IF($AF72&gt;0,INDEX(CA$7:CA$106,$AF72),1),IF($AG72&gt;0,INDEX(CA$7:CA$106,$AG72),1),IF($AH72&gt;0,INDEX(CA$7:CA$106,$AH72),1),IF($AI72&gt;0,INDEX(CA$7:CA$106,$AI72),1),IF($AJ72&gt;0,INDEX(CA$7:CA$106,$AJ72),1))))</ns0:f>
        <ns0:v>1</ns0:v>
      </ns0:c>
      <ns0:c r="CC72" t="n">
        <ns0:f>IF($A72="",1,IF(CB72=1,1,--AND(IF($AC72&gt;0,INDEX(CB$7:CB$106,$AC72),1),IF($AD72&gt;0,INDEX(CB$7:CB$106,$AD72),1),IF($AE72&gt;0,INDEX(CB$7:CB$106,$AE72),1),IF($AF72&gt;0,INDEX(CB$7:CB$106,$AF72),1),IF($AG72&gt;0,INDEX(CB$7:CB$106,$AG72),1),IF($AH72&gt;0,INDEX(CB$7:CB$106,$AH72),1),IF($AI72&gt;0,INDEX(CB$7:CB$106,$AI72),1),IF($AJ72&gt;0,INDEX(CB$7:CB$106,$AJ72),1))))</ns0:f>
        <ns0:v>1</ns0:v>
      </ns0:c>
      <ns0:c r="CD72" t="n">
        <ns0:f>IF($A72="",1,IF(CC72=1,1,--AND(IF($AC72&gt;0,INDEX(CC$7:CC$106,$AC72),1),IF($AD72&gt;0,INDEX(CC$7:CC$106,$AD72),1),IF($AE72&gt;0,INDEX(CC$7:CC$106,$AE72),1),IF($AF72&gt;0,INDEX(CC$7:CC$106,$AF72),1),IF($AG72&gt;0,INDEX(CC$7:CC$106,$AG72),1),IF($AH72&gt;0,INDEX(CC$7:CC$106,$AH72),1),IF($AI72&gt;0,INDEX(CC$7:CC$106,$AI72),1),IF($AJ72&gt;0,INDEX(CC$7:CC$106,$AJ72),1))))</ns0:f>
        <ns0:v>1</ns0:v>
      </ns0:c>
      <ns0:c r="CE72" t="n">
        <ns0:f>IF($A72="",1,IF(CD72=1,1,--AND(IF($AC72&gt;0,INDEX(CD$7:CD$106,$AC72),1),IF($AD72&gt;0,INDEX(CD$7:CD$106,$AD72),1),IF($AE72&gt;0,INDEX(CD$7:CD$106,$AE72),1),IF($AF72&gt;0,INDEX(CD$7:CD$106,$AF72),1),IF($AG72&gt;0,INDEX(CD$7:CD$106,$AG72),1),IF($AH72&gt;0,INDEX(CD$7:CD$106,$AH72),1),IF($AI72&gt;0,INDEX(CD$7:CD$106,$AI72),1),IF($AJ72&gt;0,INDEX(CD$7:CD$106,$AJ72),1))))</ns0:f>
        <ns0:v>1</ns0:v>
      </ns0:c>
      <ns0:c r="CF72" t="n">
        <ns0:f>IF($A72="",1,IF(CE72=1,1,--AND(IF($AC72&gt;0,INDEX(CE$7:CE$106,$AC72),1),IF($AD72&gt;0,INDEX(CE$7:CE$106,$AD72),1),IF($AE72&gt;0,INDEX(CE$7:CE$106,$AE72),1),IF($AF72&gt;0,INDEX(CE$7:CE$106,$AF72),1),IF($AG72&gt;0,INDEX(CE$7:CE$106,$AG72),1),IF($AH72&gt;0,INDEX(CE$7:CE$106,$AH72),1),IF($AI72&gt;0,INDEX(CE$7:CE$106,$AI72),1),IF($AJ72&gt;0,INDEX(CE$7:CE$106,$AJ72),1))))</ns0:f>
        <ns0:v>1</ns0:v>
      </ns0:c>
      <ns0:c r="CG72" t="n">
        <ns0:f>IF($A72="",1,IF(CF72=1,1,--AND(IF($AC72&gt;0,INDEX(CF$7:CF$106,$AC72),1),IF($AD72&gt;0,INDEX(CF$7:CF$106,$AD72),1),IF($AE72&gt;0,INDEX(CF$7:CF$106,$AE72),1),IF($AF72&gt;0,INDEX(CF$7:CF$106,$AF72),1),IF($AG72&gt;0,INDEX(CF$7:CF$106,$AG72),1),IF($AH72&gt;0,INDEX(CF$7:CF$106,$AH72),1),IF($AI72&gt;0,INDEX(CF$7:CF$106,$AI72),1),IF($AJ72&gt;0,INDEX(CF$7:CF$106,$AJ72),1))))</ns0:f>
        <ns0:v>1</ns0:v>
      </ns0:c>
      <ns0:c r="CH72" t="n">
        <ns0:f>IF($A72="",1,IF(CG72=1,1,--AND(IF($AC72&gt;0,INDEX(CG$7:CG$106,$AC72),1),IF($AD72&gt;0,INDEX(CG$7:CG$106,$AD72),1),IF($AE72&gt;0,INDEX(CG$7:CG$106,$AE72),1),IF($AF72&gt;0,INDEX(CG$7:CG$106,$AF72),1),IF($AG72&gt;0,INDEX(CG$7:CG$106,$AG72),1),IF($AH72&gt;0,INDEX(CG$7:CG$106,$AH72),1),IF($AI72&gt;0,INDEX(CG$7:CG$106,$AI72),1),IF($AJ72&gt;0,INDEX(CG$7:CG$106,$AJ72),1))))</ns0:f>
        <ns0:v>1</ns0:v>
      </ns0:c>
      <ns0:c r="CI72" t="n">
        <ns0:f>IF($A72="",1,IF(CH72=1,1,--AND(IF($AC72&gt;0,INDEX(CH$7:CH$106,$AC72),1),IF($AD72&gt;0,INDEX(CH$7:CH$106,$AD72),1),IF($AE72&gt;0,INDEX(CH$7:CH$106,$AE72),1),IF($AF72&gt;0,INDEX(CH$7:CH$106,$AF72),1),IF($AG72&gt;0,INDEX(CH$7:CH$106,$AG72),1),IF($AH72&gt;0,INDEX(CH$7:CH$106,$AH72),1),IF($AI72&gt;0,INDEX(CH$7:CH$106,$AI72),1),IF($AJ72&gt;0,INDEX(CH$7:CH$106,$AJ72),1))))</ns0:f>
        <ns0:v>1</ns0:v>
      </ns0:c>
      <ns0:c r="CJ72" t="n">
        <ns0:f>IF($A72="",1,IF(CI72=1,1,--AND(IF($AC72&gt;0,INDEX(CI$7:CI$106,$AC72),1),IF($AD72&gt;0,INDEX(CI$7:CI$106,$AD72),1),IF($AE72&gt;0,INDEX(CI$7:CI$106,$AE72),1),IF($AF72&gt;0,INDEX(CI$7:CI$106,$AF72),1),IF($AG72&gt;0,INDEX(CI$7:CI$106,$AG72),1),IF($AH72&gt;0,INDEX(CI$7:CI$106,$AH72),1),IF($AI72&gt;0,INDEX(CI$7:CI$106,$AI72),1),IF($AJ72&gt;0,INDEX(CI$7:CI$106,$AJ72),1))))</ns0:f>
        <ns0:v>1</ns0:v>
      </ns0:c>
      <ns0:c r="CK72" t="n">
        <ns0:f>IF($A72="",1,IF(CJ72=1,1,--AND(IF($AC72&gt;0,INDEX(CJ$7:CJ$106,$AC72),1),IF($AD72&gt;0,INDEX(CJ$7:CJ$106,$AD72),1),IF($AE72&gt;0,INDEX(CJ$7:CJ$106,$AE72),1),IF($AF72&gt;0,INDEX(CJ$7:CJ$106,$AF72),1),IF($AG72&gt;0,INDEX(CJ$7:CJ$106,$AG72),1),IF($AH72&gt;0,INDEX(CJ$7:CJ$106,$AH72),1),IF($AI72&gt;0,INDEX(CJ$7:CJ$106,$AI72),1),IF($AJ72&gt;0,INDEX(CJ$7:CJ$106,$AJ72),1))))</ns0:f>
        <ns0:v>1</ns0:v>
      </ns0:c>
      <ns0:c r="CL72" t="n">
        <ns0:f>IF($A72="",1,IF(CK72=1,1,--AND(IF($AC72&gt;0,INDEX(CK$7:CK$106,$AC72),1),IF($AD72&gt;0,INDEX(CK$7:CK$106,$AD72),1),IF($AE72&gt;0,INDEX(CK$7:CK$106,$AE72),1),IF($AF72&gt;0,INDEX(CK$7:CK$106,$AF72),1),IF($AG72&gt;0,INDEX(CK$7:CK$106,$AG72),1),IF($AH72&gt;0,INDEX(CK$7:CK$106,$AH72),1),IF($AI72&gt;0,INDEX(CK$7:CK$106,$AI72),1),IF($AJ72&gt;0,INDEX(CK$7:CK$106,$AJ72),1))))</ns0:f>
        <ns0:v>1</ns0:v>
      </ns0:c>
      <ns0:c r="CM72" t="n">
        <ns0:f>IF($A72="",1,IF(CL72=1,1,--AND(IF($AC72&gt;0,INDEX(CL$7:CL$106,$AC72),1),IF($AD72&gt;0,INDEX(CL$7:CL$106,$AD72),1),IF($AE72&gt;0,INDEX(CL$7:CL$106,$AE72),1),IF($AF72&gt;0,INDEX(CL$7:CL$106,$AF72),1),IF($AG72&gt;0,INDEX(CL$7:CL$106,$AG72),1),IF($AH72&gt;0,INDEX(CL$7:CL$106,$AH72),1),IF($AI72&gt;0,INDEX(CL$7:CL$106,$AI72),1),IF($AJ72&gt;0,INDEX(CL$7:CL$106,$AJ72),1))))</ns0:f>
        <ns0:v>1</ns0:v>
      </ns0:c>
      <ns0:c r="CN72" t="n">
        <ns0:f>IF($A72="",1,IF(CM72=1,1,--AND(IF($AC72&gt;0,INDEX(CM$7:CM$106,$AC72),1),IF($AD72&gt;0,INDEX(CM$7:CM$106,$AD72),1),IF($AE72&gt;0,INDEX(CM$7:CM$106,$AE72),1),IF($AF72&gt;0,INDEX(CM$7:CM$106,$AF72),1),IF($AG72&gt;0,INDEX(CM$7:CM$106,$AG72),1),IF($AH72&gt;0,INDEX(CM$7:CM$106,$AH72),1),IF($AI72&gt;0,INDEX(CM$7:CM$106,$AI72),1),IF($AJ72&gt;0,INDEX(CM$7:CM$106,$AJ72),1))))</ns0:f>
        <ns0:v>1</ns0:v>
      </ns0:c>
      <ns0:c r="CO72" t="n">
        <ns0:f>IF($A72="",1,IF(CN72=1,1,--AND(IF($AC72&gt;0,INDEX(CN$7:CN$106,$AC72),1),IF($AD72&gt;0,INDEX(CN$7:CN$106,$AD72),1),IF($AE72&gt;0,INDEX(CN$7:CN$106,$AE72),1),IF($AF72&gt;0,INDEX(CN$7:CN$106,$AF72),1),IF($AG72&gt;0,INDEX(CN$7:CN$106,$AG72),1),IF($AH72&gt;0,INDEX(CN$7:CN$106,$AH72),1),IF($AI72&gt;0,INDEX(CN$7:CN$106,$AI72),1),IF($AJ72&gt;0,INDEX(CN$7:CN$106,$AJ72),1))))</ns0:f>
        <ns0:v>1</ns0:v>
      </ns0:c>
      <ns0:c r="CP72" t="n">
        <ns0:f>IF($A72="",1,IF(CO72=1,1,--AND(IF($AC72&gt;0,INDEX(CO$7:CO$106,$AC72),1),IF($AD72&gt;0,INDEX(CO$7:CO$106,$AD72),1),IF($AE72&gt;0,INDEX(CO$7:CO$106,$AE72),1),IF($AF72&gt;0,INDEX(CO$7:CO$106,$AF72),1),IF($AG72&gt;0,INDEX(CO$7:CO$106,$AG72),1),IF($AH72&gt;0,INDEX(CO$7:CO$106,$AH72),1),IF($AI72&gt;0,INDEX(CO$7:CO$106,$AI72),1),IF($AJ72&gt;0,INDEX(CO$7:CO$106,$AJ72),1))))</ns0:f>
        <ns0:v>1</ns0:v>
      </ns0:c>
      <ns0:c r="CQ72" t="n">
        <ns0:f>IF($A72="",1,IF(CP72=1,1,--AND(IF($AC72&gt;0,INDEX(CP$7:CP$106,$AC72),1),IF($AD72&gt;0,INDEX(CP$7:CP$106,$AD72),1),IF($AE72&gt;0,INDEX(CP$7:CP$106,$AE72),1),IF($AF72&gt;0,INDEX(CP$7:CP$106,$AF72),1),IF($AG72&gt;0,INDEX(CP$7:CP$106,$AG72),1),IF($AH72&gt;0,INDEX(CP$7:CP$106,$AH72),1),IF($AI72&gt;0,INDEX(CP$7:CP$106,$AI72),1),IF($AJ72&gt;0,INDEX(CP$7:CP$106,$AJ72),1))))</ns0:f>
        <ns0:v>1</ns0:v>
      </ns0:c>
      <ns0:c r="CR72" t="n">
        <ns0:f>IF($A72="",1,IF(CQ72=1,1,--AND(IF($AC72&gt;0,INDEX(CQ$7:CQ$106,$AC72),1),IF($AD72&gt;0,INDEX(CQ$7:CQ$106,$AD72),1),IF($AE72&gt;0,INDEX(CQ$7:CQ$106,$AE72),1),IF($AF72&gt;0,INDEX(CQ$7:CQ$106,$AF72),1),IF($AG72&gt;0,INDEX(CQ$7:CQ$106,$AG72),1),IF($AH72&gt;0,INDEX(CQ$7:CQ$106,$AH72),1),IF($AI72&gt;0,INDEX(CQ$7:CQ$106,$AI72),1),IF($AJ72&gt;0,INDEX(CQ$7:CQ$106,$AJ72),1))))</ns0:f>
        <ns0:v>1</ns0:v>
      </ns0:c>
      <ns0:c r="CS72" t="n">
        <ns0:f>IF($A72="",1,IF(CR72=1,1,--AND(IF($AC72&gt;0,INDEX(CR$7:CR$106,$AC72),1),IF($AD72&gt;0,INDEX(CR$7:CR$106,$AD72),1),IF($AE72&gt;0,INDEX(CR$7:CR$106,$AE72),1),IF($AF72&gt;0,INDEX(CR$7:CR$106,$AF72),1),IF($AG72&gt;0,INDEX(CR$7:CR$106,$AG72),1),IF($AH72&gt;0,INDEX(CR$7:CR$106,$AH72),1),IF($AI72&gt;0,INDEX(CR$7:CR$106,$AI72),1),IF($AJ72&gt;0,INDEX(CR$7:CR$106,$AJ72),1))))</ns0:f>
        <ns0:v>1</ns0:v>
      </ns0:c>
      <ns0:c r="CT72" t="n">
        <ns0:f>IF($A72="",1,IF(CS72=1,1,--AND(IF($AC72&gt;0,INDEX(CS$7:CS$106,$AC72),1),IF($AD72&gt;0,INDEX(CS$7:CS$106,$AD72),1),IF($AE72&gt;0,INDEX(CS$7:CS$106,$AE72),1),IF($AF72&gt;0,INDEX(CS$7:CS$106,$AF72),1),IF($AG72&gt;0,INDEX(CS$7:CS$106,$AG72),1),IF($AH72&gt;0,INDEX(CS$7:CS$106,$AH72),1),IF($AI72&gt;0,INDEX(CS$7:CS$106,$AI72),1),IF($AJ72&gt;0,INDEX(CS$7:CS$106,$AJ72),1))))</ns0:f>
        <ns0:v>1</ns0:v>
      </ns0:c>
      <ns0:c r="CU72" t="n">
        <ns0:f>IF($A72="",1,IF(CT72=1,1,--AND(IF($AC72&gt;0,INDEX(CT$7:CT$106,$AC72),1),IF($AD72&gt;0,INDEX(CT$7:CT$106,$AD72),1),IF($AE72&gt;0,INDEX(CT$7:CT$106,$AE72),1),IF($AF72&gt;0,INDEX(CT$7:CT$106,$AF72),1),IF($AG72&gt;0,INDEX(CT$7:CT$106,$AG72),1),IF($AH72&gt;0,INDEX(CT$7:CT$106,$AH72),1),IF($AI72&gt;0,INDEX(CT$7:CT$106,$AI72),1),IF($AJ72&gt;0,INDEX(CT$7:CT$106,$AJ72),1))))</ns0:f>
        <ns0:v>1</ns0:v>
      </ns0:c>
      <ns0:c r="CV72" t="n">
        <ns0:f>IF($A72="",1,IF(CU72=1,1,--AND(IF($AC72&gt;0,INDEX(CU$7:CU$106,$AC72),1),IF($AD72&gt;0,INDEX(CU$7:CU$106,$AD72),1),IF($AE72&gt;0,INDEX(CU$7:CU$106,$AE72),1),IF($AF72&gt;0,INDEX(CU$7:CU$106,$AF72),1),IF($AG72&gt;0,INDEX(CU$7:CU$106,$AG72),1),IF($AH72&gt;0,INDEX(CU$7:CU$106,$AH72),1),IF($AI72&gt;0,INDEX(CU$7:CU$106,$AI72),1),IF($AJ72&gt;0,INDEX(CU$7:CU$106,$AJ72),1))))</ns0:f>
        <ns0:v>1</ns0:v>
      </ns0:c>
      <ns0:c r="CW72" t="n">
        <ns0:f>IF($A72="",1,IF(CV72=1,1,--AND(IF($AC72&gt;0,INDEX(CV$7:CV$106,$AC72),1),IF($AD72&gt;0,INDEX(CV$7:CV$106,$AD72),1),IF($AE72&gt;0,INDEX(CV$7:CV$106,$AE72),1),IF($AF72&gt;0,INDEX(CV$7:CV$106,$AF72),1),IF($AG72&gt;0,INDEX(CV$7:CV$106,$AG72),1),IF($AH72&gt;0,INDEX(CV$7:CV$106,$AH72),1),IF($AI72&gt;0,INDEX(CV$7:CV$106,$AI72),1),IF($AJ72&gt;0,INDEX(CV$7:CV$106,$AJ72),1))))</ns0:f>
        <ns0:v>1</ns0:v>
      </ns0:c>
      <ns0:c r="CX72" t="n">
        <ns0:f>IF($A72="",1,IF(CW72=1,1,--AND(IF($AC72&gt;0,INDEX(CW$7:CW$106,$AC72),1),IF($AD72&gt;0,INDEX(CW$7:CW$106,$AD72),1),IF($AE72&gt;0,INDEX(CW$7:CW$106,$AE72),1),IF($AF72&gt;0,INDEX(CW$7:CW$106,$AF72),1),IF($AG72&gt;0,INDEX(CW$7:CW$106,$AG72),1),IF($AH72&gt;0,INDEX(CW$7:CW$106,$AH72),1),IF($AI72&gt;0,INDEX(CW$7:CW$106,$AI72),1),IF($AJ72&gt;0,INDEX(CW$7:CW$106,$AJ72),1))))</ns0:f>
        <ns0:v>1</ns0:v>
      </ns0:c>
      <ns0:c r="CY72" t="n">
        <ns0:f>IF($A72="",1,IF(CX72=1,1,--AND(IF($AC72&gt;0,INDEX(CX$7:CX$106,$AC72),1),IF($AD72&gt;0,INDEX(CX$7:CX$106,$AD72),1),IF($AE72&gt;0,INDEX(CX$7:CX$106,$AE72),1),IF($AF72&gt;0,INDEX(CX$7:CX$106,$AF72),1),IF($AG72&gt;0,INDEX(CX$7:CX$106,$AG72),1),IF($AH72&gt;0,INDEX(CX$7:CX$106,$AH72),1),IF($AI72&gt;0,INDEX(CX$7:CX$106,$AI72),1),IF($AJ72&gt;0,INDEX(CX$7:CX$106,$AJ72),1))))</ns0:f>
        <ns0:v>1</ns0:v>
      </ns0:c>
      <ns0:c r="CZ72" t="n">
        <ns0:f>IF($A72="",1,IF(CY72=1,1,--AND(IF($AC72&gt;0,INDEX(CY$7:CY$106,$AC72),1),IF($AD72&gt;0,INDEX(CY$7:CY$106,$AD72),1),IF($AE72&gt;0,INDEX(CY$7:CY$106,$AE72),1),IF($AF72&gt;0,INDEX(CY$7:CY$106,$AF72),1),IF($AG72&gt;0,INDEX(CY$7:CY$106,$AG72),1),IF($AH72&gt;0,INDEX(CY$7:CY$106,$AH72),1),IF($AI72&gt;0,INDEX(CY$7:CY$106,$AI72),1),IF($AJ72&gt;0,INDEX(CY$7:CY$106,$AJ72),1))))</ns0:f>
        <ns0:v>1</ns0:v>
      </ns0:c>
      <ns0:c r="DA72" t="n">
        <ns0:f>IF($A72="",1,IF(CZ72=1,1,--AND(IF($AC72&gt;0,INDEX(CZ$7:CZ$106,$AC72),1),IF($AD72&gt;0,INDEX(CZ$7:CZ$106,$AD72),1),IF($AE72&gt;0,INDEX(CZ$7:CZ$106,$AE72),1),IF($AF72&gt;0,INDEX(CZ$7:CZ$106,$AF72),1),IF($AG72&gt;0,INDEX(CZ$7:CZ$106,$AG72),1),IF($AH72&gt;0,INDEX(CZ$7:CZ$106,$AH72),1),IF($AI72&gt;0,INDEX(CZ$7:CZ$106,$AI72),1),IF($AJ72&gt;0,INDEX(CZ$7:CZ$106,$AJ72),1))))</ns0:f>
        <ns0:v>1</ns0:v>
      </ns0:c>
      <ns0:c r="DB72" t="n">
        <ns0:f>IF($A72="",1,IF(DA72=1,1,--AND(IF($AC72&gt;0,INDEX(DA$7:DA$106,$AC72),1),IF($AD72&gt;0,INDEX(DA$7:DA$106,$AD72),1),IF($AE72&gt;0,INDEX(DA$7:DA$106,$AE72),1),IF($AF72&gt;0,INDEX(DA$7:DA$106,$AF72),1),IF($AG72&gt;0,INDEX(DA$7:DA$106,$AG72),1),IF($AH72&gt;0,INDEX(DA$7:DA$106,$AH72),1),IF($AI72&gt;0,INDEX(DA$7:DA$106,$AI72),1),IF($AJ72&gt;0,INDEX(DA$7:DA$106,$AJ72),1))))</ns0:f>
        <ns0:v>1</ns0:v>
      </ns0:c>
      <ns0:c r="DC72" t="n">
        <ns0:f>IF($A72="",1,IF(DB72=1,1,--AND(IF($AC72&gt;0,INDEX(DB$7:DB$106,$AC72),1),IF($AD72&gt;0,INDEX(DB$7:DB$106,$AD72),1),IF($AE72&gt;0,INDEX(DB$7:DB$106,$AE72),1),IF($AF72&gt;0,INDEX(DB$7:DB$106,$AF72),1),IF($AG72&gt;0,INDEX(DB$7:DB$106,$AG72),1),IF($AH72&gt;0,INDEX(DB$7:DB$106,$AH72),1),IF($AI72&gt;0,INDEX(DB$7:DB$106,$AI72),1),IF($AJ72&gt;0,INDEX(DB$7:DB$106,$AJ72),1))))</ns0:f>
        <ns0:v>1</ns0:v>
      </ns0:c>
      <ns0:c r="DD72" t="n">
        <ns0:f>IF($A72="",1,IF(DC72=1,1,--AND(IF($AC72&gt;0,INDEX(DC$7:DC$106,$AC72),1),IF($AD72&gt;0,INDEX(DC$7:DC$106,$AD72),1),IF($AE72&gt;0,INDEX(DC$7:DC$106,$AE72),1),IF($AF72&gt;0,INDEX(DC$7:DC$106,$AF72),1),IF($AG72&gt;0,INDEX(DC$7:DC$106,$AG72),1),IF($AH72&gt;0,INDEX(DC$7:DC$106,$AH72),1),IF($AI72&gt;0,INDEX(DC$7:DC$106,$AI72),1),IF($AJ72&gt;0,INDEX(DC$7:DC$106,$AJ72),1))))</ns0:f>
        <ns0:v>1</ns0:v>
      </ns0:c>
      <ns0:c r="DE72" t="n">
        <ns0:f>IF($A72="",1,IF(DD72=1,1,--AND(IF($AC72&gt;0,INDEX(DD$7:DD$106,$AC72),1),IF($AD72&gt;0,INDEX(DD$7:DD$106,$AD72),1),IF($AE72&gt;0,INDEX(DD$7:DD$106,$AE72),1),IF($AF72&gt;0,INDEX(DD$7:DD$106,$AF72),1),IF($AG72&gt;0,INDEX(DD$7:DD$106,$AG72),1),IF($AH72&gt;0,INDEX(DD$7:DD$106,$AH72),1),IF($AI72&gt;0,INDEX(DD$7:DD$106,$AI72),1),IF($AJ72&gt;0,INDEX(DD$7:DD$106,$AJ72),1))))</ns0:f>
        <ns0:v>1</ns0:v>
      </ns0:c>
      <ns0:c r="DF72" t="n">
        <ns0:f>IF($A72="",1,IF(DE72=1,1,--AND(IF($AC72&gt;0,INDEX(DE$7:DE$106,$AC72),1),IF($AD72&gt;0,INDEX(DE$7:DE$106,$AD72),1),IF($AE72&gt;0,INDEX(DE$7:DE$106,$AE72),1),IF($AF72&gt;0,INDEX(DE$7:DE$106,$AF72),1),IF($AG72&gt;0,INDEX(DE$7:DE$106,$AG72),1),IF($AH72&gt;0,INDEX(DE$7:DE$106,$AH72),1),IF($AI72&gt;0,INDEX(DE$7:DE$106,$AI72),1),IF($AJ72&gt;0,INDEX(DE$7:DE$106,$AJ72),1))))</ns0:f>
        <ns0:v>1</ns0:v>
      </ns0:c>
      <ns0:c r="DG72" t="n">
        <ns0:f>IF($A72="",1,IF(DF72=1,1,--AND(IF($AC72&gt;0,INDEX(DF$7:DF$106,$AC72),1),IF($AD72&gt;0,INDEX(DF$7:DF$106,$AD72),1),IF($AE72&gt;0,INDEX(DF$7:DF$106,$AE72),1),IF($AF72&gt;0,INDEX(DF$7:DF$106,$AF72),1),IF($AG72&gt;0,INDEX(DF$7:DF$106,$AG72),1),IF($AH72&gt;0,INDEX(DF$7:DF$106,$AH72),1),IF($AI72&gt;0,INDEX(DF$7:DF$106,$AI72),1),IF($AJ72&gt;0,INDEX(DF$7:DF$106,$AJ72),1))))</ns0:f>
        <ns0:v>1</ns0:v>
      </ns0:c>
      <ns0:c r="DH72" t="n">
        <ns0:f>IF($A72="",1,IF(DG72=1,1,--AND(IF($AC72&gt;0,INDEX(DG$7:DG$106,$AC72),1),IF($AD72&gt;0,INDEX(DG$7:DG$106,$AD72),1),IF($AE72&gt;0,INDEX(DG$7:DG$106,$AE72),1),IF($AF72&gt;0,INDEX(DG$7:DG$106,$AF72),1),IF($AG72&gt;0,INDEX(DG$7:DG$106,$AG72),1),IF($AH72&gt;0,INDEX(DG$7:DG$106,$AH72),1),IF($AI72&gt;0,INDEX(DG$7:DG$106,$AI72),1),IF($AJ72&gt;0,INDEX(DG$7:DG$106,$AJ72),1))))</ns0:f>
        <ns0:v>1</ns0:v>
      </ns0:c>
      <ns0:c r="DI72" t="n">
        <ns0:f>IF($A72="",1,IF(DH72=1,1,--AND(IF($AC72&gt;0,INDEX(DH$7:DH$106,$AC72),1),IF($AD72&gt;0,INDEX(DH$7:DH$106,$AD72),1),IF($AE72&gt;0,INDEX(DH$7:DH$106,$AE72),1),IF($AF72&gt;0,INDEX(DH$7:DH$106,$AF72),1),IF($AG72&gt;0,INDEX(DH$7:DH$106,$AG72),1),IF($AH72&gt;0,INDEX(DH$7:DH$106,$AH72),1),IF($AI72&gt;0,INDEX(DH$7:DH$106,$AI72),1),IF($AJ72&gt;0,INDEX(DH$7:DH$106,$AJ72),1))))</ns0:f>
        <ns0:v>1</ns0:v>
      </ns0:c>
      <ns0:c r="DJ72" t="n">
        <ns0:f>IF($A72="",1,IF(DI72=1,1,--AND(IF($AC72&gt;0,INDEX(DI$7:DI$106,$AC72),1),IF($AD72&gt;0,INDEX(DI$7:DI$106,$AD72),1),IF($AE72&gt;0,INDEX(DI$7:DI$106,$AE72),1),IF($AF72&gt;0,INDEX(DI$7:DI$106,$AF72),1),IF($AG72&gt;0,INDEX(DI$7:DI$106,$AG72),1),IF($AH72&gt;0,INDEX(DI$7:DI$106,$AH72),1),IF($AI72&gt;0,INDEX(DI$7:DI$106,$AI72),1),IF($AJ72&gt;0,INDEX(DI$7:DI$106,$AJ72),1))))</ns0:f>
        <ns0:v>1</ns0:v>
      </ns0:c>
      <ns0:c r="DK72" t="n">
        <ns0:f>IF($A72="",1,IF(DJ72=1,1,--AND(IF($AC72&gt;0,INDEX(DJ$7:DJ$106,$AC72),1),IF($AD72&gt;0,INDEX(DJ$7:DJ$106,$AD72),1),IF($AE72&gt;0,INDEX(DJ$7:DJ$106,$AE72),1),IF($AF72&gt;0,INDEX(DJ$7:DJ$106,$AF72),1),IF($AG72&gt;0,INDEX(DJ$7:DJ$106,$AG72),1),IF($AH72&gt;0,INDEX(DJ$7:DJ$106,$AH72),1),IF($AI72&gt;0,INDEX(DJ$7:DJ$106,$AI72),1),IF($AJ72&gt;0,INDEX(DJ$7:DJ$106,$AJ72),1))))</ns0:f>
        <ns0:v>1</ns0:v>
      </ns0:c>
      <ns0:c r="DL72" t="n">
        <ns0:f>IF($A72="",1,IF(DK72=1,1,--AND(IF($AC72&gt;0,INDEX(DK$7:DK$106,$AC72),1),IF($AD72&gt;0,INDEX(DK$7:DK$106,$AD72),1),IF($AE72&gt;0,INDEX(DK$7:DK$106,$AE72),1),IF($AF72&gt;0,INDEX(DK$7:DK$106,$AF72),1),IF($AG72&gt;0,INDEX(DK$7:DK$106,$AG72),1),IF($AH72&gt;0,INDEX(DK$7:DK$106,$AH72),1),IF($AI72&gt;0,INDEX(DK$7:DK$106,$AI72),1),IF($AJ72&gt;0,INDEX(DK$7:DK$106,$AJ72),1))))</ns0:f>
        <ns0:v>1</ns0:v>
      </ns0:c>
      <ns0:c r="DM72" t="n">
        <ns0:f>IF($A72="",1,IF(DL72=1,1,--AND(IF($AC72&gt;0,INDEX(DL$7:DL$106,$AC72),1),IF($AD72&gt;0,INDEX(DL$7:DL$106,$AD72),1),IF($AE72&gt;0,INDEX(DL$7:DL$106,$AE72),1),IF($AF72&gt;0,INDEX(DL$7:DL$106,$AF72),1),IF($AG72&gt;0,INDEX(DL$7:DL$106,$AG72),1),IF($AH72&gt;0,INDEX(DL$7:DL$106,$AH72),1),IF($AI72&gt;0,INDEX(DL$7:DL$106,$AI72),1),IF($AJ72&gt;0,INDEX(DL$7:DL$106,$AJ72),1))))</ns0:f>
        <ns0:v>1</ns0:v>
      </ns0:c>
      <ns0:c r="DN72" t="n">
        <ns0:f>IF($A72="",1,IF(DM72=1,1,--AND(IF($AC72&gt;0,INDEX(DM$7:DM$106,$AC72),1),IF($AD72&gt;0,INDEX(DM$7:DM$106,$AD72),1),IF($AE72&gt;0,INDEX(DM$7:DM$106,$AE72),1),IF($AF72&gt;0,INDEX(DM$7:DM$106,$AF72),1),IF($AG72&gt;0,INDEX(DM$7:DM$106,$AG72),1),IF($AH72&gt;0,INDEX(DM$7:DM$106,$AH72),1),IF($AI72&gt;0,INDEX(DM$7:DM$106,$AI72),1),IF($AJ72&gt;0,INDEX(DM$7:DM$106,$AJ72),1))))</ns0:f>
        <ns0:v>1</ns0:v>
      </ns0:c>
      <ns0:c r="DO72" t="n">
        <ns0:f>IF($A72="",1,IF(DN72=1,1,--AND(IF($AC72&gt;0,INDEX(DN$7:DN$106,$AC72),1),IF($AD72&gt;0,INDEX(DN$7:DN$106,$AD72),1),IF($AE72&gt;0,INDEX(DN$7:DN$106,$AE72),1),IF($AF72&gt;0,INDEX(DN$7:DN$106,$AF72),1),IF($AG72&gt;0,INDEX(DN$7:DN$106,$AG72),1),IF($AH72&gt;0,INDEX(DN$7:DN$106,$AH72),1),IF($AI72&gt;0,INDEX(DN$7:DN$106,$AI72),1),IF($AJ72&gt;0,INDEX(DN$7:DN$106,$AJ72),1))))</ns0:f>
        <ns0:v>1</ns0:v>
      </ns0:c>
      <ns0:c r="DP72" t="n">
        <ns0:f>IF($A72="",1,IF(DO72=1,1,--AND(IF($AC72&gt;0,INDEX(DO$7:DO$106,$AC72),1),IF($AD72&gt;0,INDEX(DO$7:DO$106,$AD72),1),IF($AE72&gt;0,INDEX(DO$7:DO$106,$AE72),1),IF($AF72&gt;0,INDEX(DO$7:DO$106,$AF72),1),IF($AG72&gt;0,INDEX(DO$7:DO$106,$AG72),1),IF($AH72&gt;0,INDEX(DO$7:DO$106,$AH72),1),IF($AI72&gt;0,INDEX(DO$7:DO$106,$AI72),1),IF($AJ72&gt;0,INDEX(DO$7:DO$106,$AJ72),1))))</ns0:f>
        <ns0:v>1</ns0:v>
      </ns0:c>
      <ns0:c r="DQ72" t="n">
        <ns0:f>IF($A72="",1,IF(DP72=1,1,--AND(IF($AC72&gt;0,INDEX(DP$7:DP$106,$AC72),1),IF($AD72&gt;0,INDEX(DP$7:DP$106,$AD72),1),IF($AE72&gt;0,INDEX(DP$7:DP$106,$AE72),1),IF($AF72&gt;0,INDEX(DP$7:DP$106,$AF72),1),IF($AG72&gt;0,INDEX(DP$7:DP$106,$AG72),1),IF($AH72&gt;0,INDEX(DP$7:DP$106,$AH72),1),IF($AI72&gt;0,INDEX(DP$7:DP$106,$AI72),1),IF($AJ72&gt;0,INDEX(DP$7:DP$106,$AJ72),1))))</ns0:f>
        <ns0:v>1</ns0:v>
      </ns0:c>
      <ns0:c r="DR72" t="n">
        <ns0:f>IF($A72="",1,IF(DQ72=1,1,--AND(IF($AC72&gt;0,INDEX(DQ$7:DQ$106,$AC72),1),IF($AD72&gt;0,INDEX(DQ$7:DQ$106,$AD72),1),IF($AE72&gt;0,INDEX(DQ$7:DQ$106,$AE72),1),IF($AF72&gt;0,INDEX(DQ$7:DQ$106,$AF72),1),IF($AG72&gt;0,INDEX(DQ$7:DQ$106,$AG72),1),IF($AH72&gt;0,INDEX(DQ$7:DQ$106,$AH72),1),IF($AI72&gt;0,INDEX(DQ$7:DQ$106,$AI72),1),IF($AJ72&gt;0,INDEX(DQ$7:DQ$106,$AJ72),1))))</ns0:f>
        <ns0:v>1</ns0:v>
      </ns0:c>
      <ns0:c r="DS72" t="n">
        <ns0:f>IF($A72="",1,IF(DR72=1,1,--AND(IF($AC72&gt;0,INDEX(DR$7:DR$106,$AC72),1),IF($AD72&gt;0,INDEX(DR$7:DR$106,$AD72),1),IF($AE72&gt;0,INDEX(DR$7:DR$106,$AE72),1),IF($AF72&gt;0,INDEX(DR$7:DR$106,$AF72),1),IF($AG72&gt;0,INDEX(DR$7:DR$106,$AG72),1),IF($AH72&gt;0,INDEX(DR$7:DR$106,$AH72),1),IF($AI72&gt;0,INDEX(DR$7:DR$106,$AI72),1),IF($AJ72&gt;0,INDEX(DR$7:DR$106,$AJ72),1))))</ns0:f>
        <ns0:v>1</ns0:v>
      </ns0:c>
      <ns0:c r="DT72" t="n">
        <ns0:f>IF($A72="",1,IF(DS72=1,1,--AND(IF($AC72&gt;0,INDEX(DS$7:DS$106,$AC72),1),IF($AD72&gt;0,INDEX(DS$7:DS$106,$AD72),1),IF($AE72&gt;0,INDEX(DS$7:DS$106,$AE72),1),IF($AF72&gt;0,INDEX(DS$7:DS$106,$AF72),1),IF($AG72&gt;0,INDEX(DS$7:DS$106,$AG72),1),IF($AH72&gt;0,INDEX(DS$7:DS$106,$AH72),1),IF($AI72&gt;0,INDEX(DS$7:DS$106,$AI72),1),IF($AJ72&gt;0,INDEX(DS$7:DS$106,$AJ72),1))))</ns0:f>
        <ns0:v>1</ns0:v>
      </ns0:c>
      <ns0:c r="DU72" t="n">
        <ns0:f>IF($A72="",1,IF(DT72=1,1,--AND(IF($AC72&gt;0,INDEX(DT$7:DT$106,$AC72),1),IF($AD72&gt;0,INDEX(DT$7:DT$106,$AD72),1),IF($AE72&gt;0,INDEX(DT$7:DT$106,$AE72),1),IF($AF72&gt;0,INDEX(DT$7:DT$106,$AF72),1),IF($AG72&gt;0,INDEX(DT$7:DT$106,$AG72),1),IF($AH72&gt;0,INDEX(DT$7:DT$106,$AH72),1),IF($AI72&gt;0,INDEX(DT$7:DT$106,$AI72),1),IF($AJ72&gt;0,INDEX(DT$7:DT$106,$AJ72),1))))</ns0:f>
        <ns0:v>1</ns0:v>
      </ns0:c>
      <ns0:c r="DV72" t="n">
        <ns0:f>IF($A72="",1,IF(DU72=1,1,--AND(IF($AC72&gt;0,INDEX(DU$7:DU$106,$AC72),1),IF($AD72&gt;0,INDEX(DU$7:DU$106,$AD72),1),IF($AE72&gt;0,INDEX(DU$7:DU$106,$AE72),1),IF($AF72&gt;0,INDEX(DU$7:DU$106,$AF72),1),IF($AG72&gt;0,INDEX(DU$7:DU$106,$AG72),1),IF($AH72&gt;0,INDEX(DU$7:DU$106,$AH72),1),IF($AI72&gt;0,INDEX(DU$7:DU$106,$AI72),1),IF($AJ72&gt;0,INDEX(DU$7:DU$106,$AJ72),1))))</ns0:f>
        <ns0:v>1</ns0:v>
      </ns0:c>
      <ns0:c r="DW72" t="n">
        <ns0:f>IF($A72="",1,IF(DV72=1,1,--AND(IF($AC72&gt;0,INDEX(DV$7:DV$106,$AC72),1),IF($AD72&gt;0,INDEX(DV$7:DV$106,$AD72),1),IF($AE72&gt;0,INDEX(DV$7:DV$106,$AE72),1),IF($AF72&gt;0,INDEX(DV$7:DV$106,$AF72),1),IF($AG72&gt;0,INDEX(DV$7:DV$106,$AG72),1),IF($AH72&gt;0,INDEX(DV$7:DV$106,$AH72),1),IF($AI72&gt;0,INDEX(DV$7:DV$106,$AI72),1),IF($AJ72&gt;0,INDEX(DV$7:DV$106,$AJ72),1))))</ns0:f>
        <ns0:v>1</ns0:v>
      </ns0:c>
      <ns0:c r="DX72" t="n">
        <ns0:f>IF($A72="",1,IF(DW72=1,1,--AND(IF($AC72&gt;0,INDEX(DW$7:DW$106,$AC72),1),IF($AD72&gt;0,INDEX(DW$7:DW$106,$AD72),1),IF($AE72&gt;0,INDEX(DW$7:DW$106,$AE72),1),IF($AF72&gt;0,INDEX(DW$7:DW$106,$AF72),1),IF($AG72&gt;0,INDEX(DW$7:DW$106,$AG72),1),IF($AH72&gt;0,INDEX(DW$7:DW$106,$AH72),1),IF($AI72&gt;0,INDEX(DW$7:DW$106,$AI72),1),IF($AJ72&gt;0,INDEX(DW$7:DW$106,$AJ72),1))))</ns0:f>
        <ns0:v>1</ns0:v>
      </ns0:c>
      <ns0:c r="DY72" t="n">
        <ns0:f>IF($A72="",1,IF(DX72=1,1,--AND(IF($AC72&gt;0,INDEX(DX$7:DX$106,$AC72),1),IF($AD72&gt;0,INDEX(DX$7:DX$106,$AD72),1),IF($AE72&gt;0,INDEX(DX$7:DX$106,$AE72),1),IF($AF72&gt;0,INDEX(DX$7:DX$106,$AF72),1),IF($AG72&gt;0,INDEX(DX$7:DX$106,$AG72),1),IF($AH72&gt;0,INDEX(DX$7:DX$106,$AH72),1),IF($AI72&gt;0,INDEX(DX$7:DX$106,$AI72),1),IF($AJ72&gt;0,INDEX(DX$7:DX$106,$AJ72),1))))</ns0:f>
        <ns0:v>1</ns0:v>
      </ns0:c>
      <ns0:c r="DZ72" t="n">
        <ns0:f>IF($A72="",1,IF(DY72=1,1,--AND(IF($AC72&gt;0,INDEX(DY$7:DY$106,$AC72),1),IF($AD72&gt;0,INDEX(DY$7:DY$106,$AD72),1),IF($AE72&gt;0,INDEX(DY$7:DY$106,$AE72),1),IF($AF72&gt;0,INDEX(DY$7:DY$106,$AF72),1),IF($AG72&gt;0,INDEX(DY$7:DY$106,$AG72),1),IF($AH72&gt;0,INDEX(DY$7:DY$106,$AH72),1),IF($AI72&gt;0,INDEX(DY$7:DY$106,$AI72),1),IF($AJ72&gt;0,INDEX(DY$7:DY$106,$AJ72),1))))</ns0:f>
        <ns0:v>1</ns0:v>
      </ns0:c>
      <ns0:c r="EA72" t="n">
        <ns0:f>IF($A72="",1,IF(DZ72=1,1,--AND(IF($AC72&gt;0,INDEX(DZ$7:DZ$106,$AC72),1),IF($AD72&gt;0,INDEX(DZ$7:DZ$106,$AD72),1),IF($AE72&gt;0,INDEX(DZ$7:DZ$106,$AE72),1),IF($AF72&gt;0,INDEX(DZ$7:DZ$106,$AF72),1),IF($AG72&gt;0,INDEX(DZ$7:DZ$106,$AG72),1),IF($AH72&gt;0,INDEX(DZ$7:DZ$106,$AH72),1),IF($AI72&gt;0,INDEX(DZ$7:DZ$106,$AI72),1),IF($AJ72&gt;0,INDEX(DZ$7:DZ$106,$AJ72),1))))</ns0:f>
        <ns0:v>1</ns0:v>
      </ns0:c>
      <ns0:c r="EB72" t="n">
        <ns0:f>IF($A72="",1,IF(EA72=1,1,--AND(IF($AC72&gt;0,INDEX(EA$7:EA$106,$AC72),1),IF($AD72&gt;0,INDEX(EA$7:EA$106,$AD72),1),IF($AE72&gt;0,INDEX(EA$7:EA$106,$AE72),1),IF($AF72&gt;0,INDEX(EA$7:EA$106,$AF72),1),IF($AG72&gt;0,INDEX(EA$7:EA$106,$AG72),1),IF($AH72&gt;0,INDEX(EA$7:EA$106,$AH72),1),IF($AI72&gt;0,INDEX(EA$7:EA$106,$AI72),1),IF($AJ72&gt;0,INDEX(EA$7:EA$106,$AJ72),1))))</ns0:f>
        <ns0:v>1</ns0:v>
      </ns0:c>
      <ns0:c r="EC72" t="n">
        <ns0:f>IF($A72="",1,IF(EB72=1,1,--AND(IF($AC72&gt;0,INDEX(EB$7:EB$106,$AC72),1),IF($AD72&gt;0,INDEX(EB$7:EB$106,$AD72),1),IF($AE72&gt;0,INDEX(EB$7:EB$106,$AE72),1),IF($AF72&gt;0,INDEX(EB$7:EB$106,$AF72),1),IF($AG72&gt;0,INDEX(EB$7:EB$106,$AG72),1),IF($AH72&gt;0,INDEX(EB$7:EB$106,$AH72),1),IF($AI72&gt;0,INDEX(EB$7:EB$106,$AI72),1),IF($AJ72&gt;0,INDEX(EB$7:EB$106,$AJ72),1))))</ns0:f>
        <ns0:v>1</ns0:v>
      </ns0:c>
      <ns0:c r="ED72" t="n">
        <ns0:f>IF($A72="",1,IF(EC72=1,1,--AND(IF($AC72&gt;0,INDEX(EC$7:EC$106,$AC72),1),IF($AD72&gt;0,INDEX(EC$7:EC$106,$AD72),1),IF($AE72&gt;0,INDEX(EC$7:EC$106,$AE72),1),IF($AF72&gt;0,INDEX(EC$7:EC$106,$AF72),1),IF($AG72&gt;0,INDEX(EC$7:EC$106,$AG72),1),IF($AH72&gt;0,INDEX(EC$7:EC$106,$AH72),1),IF($AI72&gt;0,INDEX(EC$7:EC$106,$AI72),1),IF($AJ72&gt;0,INDEX(EC$7:EC$106,$AJ72),1))))</ns0:f>
        <ns0:v>1</ns0:v>
      </ns0:c>
      <ns0:c r="EE72" t="n">
        <ns0:f>IF($A72="",1,IF(ED72=1,1,--AND(IF($AC72&gt;0,INDEX(ED$7:ED$106,$AC72),1),IF($AD72&gt;0,INDEX(ED$7:ED$106,$AD72),1),IF($AE72&gt;0,INDEX(ED$7:ED$106,$AE72),1),IF($AF72&gt;0,INDEX(ED$7:ED$106,$AF72),1),IF($AG72&gt;0,INDEX(ED$7:ED$106,$AG72),1),IF($AH72&gt;0,INDEX(ED$7:ED$106,$AH72),1),IF($AI72&gt;0,INDEX(ED$7:ED$106,$AI72),1),IF($AJ72&gt;0,INDEX(ED$7:ED$106,$AJ72),1))))</ns0:f>
        <ns0:v>1</ns0:v>
      </ns0:c>
      <ns0:c r="EF72" t="n">
        <ns0:f>IF($A72="",1,IF(EE72=1,1,--AND(IF($AC72&gt;0,INDEX(EE$7:EE$106,$AC72),1),IF($AD72&gt;0,INDEX(EE$7:EE$106,$AD72),1),IF($AE72&gt;0,INDEX(EE$7:EE$106,$AE72),1),IF($AF72&gt;0,INDEX(EE$7:EE$106,$AF72),1),IF($AG72&gt;0,INDEX(EE$7:EE$106,$AG72),1),IF($AH72&gt;0,INDEX(EE$7:EE$106,$AH72),1),IF($AI72&gt;0,INDEX(EE$7:EE$106,$AI72),1),IF($AJ72&gt;0,INDEX(EE$7:EE$106,$AJ72),1))))</ns0:f>
        <ns0:v>1</ns0:v>
      </ns0:c>
      <ns0:c r="EG72" t="n">
        <ns0:f>IF($A72="",1,IF(EF72=1,1,--AND(IF($AC72&gt;0,INDEX(EF$7:EF$106,$AC72),1),IF($AD72&gt;0,INDEX(EF$7:EF$106,$AD72),1),IF($AE72&gt;0,INDEX(EF$7:EF$106,$AE72),1),IF($AF72&gt;0,INDEX(EF$7:EF$106,$AF72),1),IF($AG72&gt;0,INDEX(EF$7:EF$106,$AG72),1),IF($AH72&gt;0,INDEX(EF$7:EF$106,$AH72),1),IF($AI72&gt;0,INDEX(EF$7:EF$106,$AI72),1),IF($AJ72&gt;0,INDEX(EF$7:EF$106,$AJ72),1))))</ns0:f>
        <ns0:v>1</ns0:v>
      </ns0:c>
      <ns0:c r="EH72" t="n">
        <ns0:f>IF($A72="",1,IF(EG72=1,1,--AND(IF($AC72&gt;0,INDEX(EG$7:EG$106,$AC72),1),IF($AD72&gt;0,INDEX(EG$7:EG$106,$AD72),1),IF($AE72&gt;0,INDEX(EG$7:EG$106,$AE72),1),IF($AF72&gt;0,INDEX(EG$7:EG$106,$AF72),1),IF($AG72&gt;0,INDEX(EG$7:EG$106,$AG72),1),IF($AH72&gt;0,INDEX(EG$7:EG$106,$AH72),1),IF($AI72&gt;0,INDEX(EG$7:EG$106,$AI72),1),IF($AJ72&gt;0,INDEX(EG$7:EG$106,$AJ72),1))))</ns0:f>
        <ns0:v>1</ns0:v>
      </ns0:c>
      <ns0:c r="EI72" t="n">
        <ns0:f>IF($A72="",1,IF(EH72=1,1,--AND(IF($AC72&gt;0,INDEX(EH$7:EH$106,$AC72),1),IF($AD72&gt;0,INDEX(EH$7:EH$106,$AD72),1),IF($AE72&gt;0,INDEX(EH$7:EH$106,$AE72),1),IF($AF72&gt;0,INDEX(EH$7:EH$106,$AF72),1),IF($AG72&gt;0,INDEX(EH$7:EH$106,$AG72),1),IF($AH72&gt;0,INDEX(EH$7:EH$106,$AH72),1),IF($AI72&gt;0,INDEX(EH$7:EH$106,$AI72),1),IF($AJ72&gt;0,INDEX(EH$7:EH$106,$AJ72),1))))</ns0:f>
        <ns0:v>1</ns0:v>
      </ns0:c>
      <ns0:c r="EJ72" t="n">
        <ns0:f>IF($A72="",1,IF(EI72=1,1,--AND(IF($AC72&gt;0,INDEX(EI$7:EI$106,$AC72),1),IF($AD72&gt;0,INDEX(EI$7:EI$106,$AD72),1),IF($AE72&gt;0,INDEX(EI$7:EI$106,$AE72),1),IF($AF72&gt;0,INDEX(EI$7:EI$106,$AF72),1),IF($AG72&gt;0,INDEX(EI$7:EI$106,$AG72),1),IF($AH72&gt;0,INDEX(EI$7:EI$106,$AH72),1),IF($AI72&gt;0,INDEX(EI$7:EI$106,$AI72),1),IF($AJ72&gt;0,INDEX(EI$7:EI$106,$AJ72),1))))</ns0:f>
        <ns0:v>1</ns0:v>
      </ns0:c>
      <ns0:c r="EK72" t="n">
        <ns0:f>IF($A72="",1,IF(EJ72=1,1,--AND(IF($AC72&gt;0,INDEX(EJ$7:EJ$106,$AC72),1),IF($AD72&gt;0,INDEX(EJ$7:EJ$106,$AD72),1),IF($AE72&gt;0,INDEX(EJ$7:EJ$106,$AE72),1),IF($AF72&gt;0,INDEX(EJ$7:EJ$106,$AF72),1),IF($AG72&gt;0,INDEX(EJ$7:EJ$106,$AG72),1),IF($AH72&gt;0,INDEX(EJ$7:EJ$106,$AH72),1),IF($AI72&gt;0,INDEX(EJ$7:EJ$106,$AI72),1),IF($AJ72&gt;0,INDEX(EJ$7:EJ$106,$AJ72),1))))</ns0:f>
        <ns0:v>1</ns0:v>
      </ns0:c>
      <ns0:c r="EL72" t="n">
        <ns0:f>IF($A72="",1,IF(EK72=1,1,--AND(IF($AC72&gt;0,INDEX(EK$7:EK$106,$AC72),1),IF($AD72&gt;0,INDEX(EK$7:EK$106,$AD72),1),IF($AE72&gt;0,INDEX(EK$7:EK$106,$AE72),1),IF($AF72&gt;0,INDEX(EK$7:EK$106,$AF72),1),IF($AG72&gt;0,INDEX(EK$7:EK$106,$AG72),1),IF($AH72&gt;0,INDEX(EK$7:EK$106,$AH72),1),IF($AI72&gt;0,INDEX(EK$7:EK$106,$AI72),1),IF($AJ72&gt;0,INDEX(EK$7:EK$106,$AJ72),1))))</ns0:f>
        <ns0:v>1</ns0:v>
      </ns0:c>
      <ns0:c r="EM72" t="n">
        <ns0:f>IF($A72="",1,IF(EL72=1,1,--AND(IF($AC72&gt;0,INDEX(EL$7:EL$106,$AC72),1),IF($AD72&gt;0,INDEX(EL$7:EL$106,$AD72),1),IF($AE72&gt;0,INDEX(EL$7:EL$106,$AE72),1),IF($AF72&gt;0,INDEX(EL$7:EL$106,$AF72),1),IF($AG72&gt;0,INDEX(EL$7:EL$106,$AG72),1),IF($AH72&gt;0,INDEX(EL$7:EL$106,$AH72),1),IF($AI72&gt;0,INDEX(EL$7:EL$106,$AI72),1),IF($AJ72&gt;0,INDEX(EL$7:EL$106,$AJ72),1))))</ns0:f>
        <ns0:v>1</ns0:v>
      </ns0:c>
      <ns0:c r="EN72" t="n">
        <ns0:f>IF($A72="",1,IF(EM72=1,1,--AND(IF($AC72&gt;0,INDEX(EM$7:EM$106,$AC72),1),IF($AD72&gt;0,INDEX(EM$7:EM$106,$AD72),1),IF($AE72&gt;0,INDEX(EM$7:EM$106,$AE72),1),IF($AF72&gt;0,INDEX(EM$7:EM$106,$AF72),1),IF($AG72&gt;0,INDEX(EM$7:EM$106,$AG72),1),IF($AH72&gt;0,INDEX(EM$7:EM$106,$AH72),1),IF($AI72&gt;0,INDEX(EM$7:EM$106,$AI72),1),IF($AJ72&gt;0,INDEX(EM$7:EM$106,$AJ72),1))))</ns0:f>
        <ns0:v>1</ns0:v>
      </ns0:c>
      <ns0:c r="EO72" t="n">
        <ns0:f>IF($A72="",1,IF(EN72=1,1,--AND(IF($AC72&gt;0,INDEX(EN$7:EN$106,$AC72),1),IF($AD72&gt;0,INDEX(EN$7:EN$106,$AD72),1),IF($AE72&gt;0,INDEX(EN$7:EN$106,$AE72),1),IF($AF72&gt;0,INDEX(EN$7:EN$106,$AF72),1),IF($AG72&gt;0,INDEX(EN$7:EN$106,$AG72),1),IF($AH72&gt;0,INDEX(EN$7:EN$106,$AH72),1),IF($AI72&gt;0,INDEX(EN$7:EN$106,$AI72),1),IF($AJ72&gt;0,INDEX(EN$7:EN$106,$AJ72),1))))</ns0:f>
        <ns0:v>1</ns0:v>
      </ns0:c>
      <ns0:c r="EP72" t="n">
        <ns0:f>IF($A72="",1,IF(EO72=1,1,--AND(IF($AC72&gt;0,INDEX(EO$7:EO$106,$AC72),1),IF($AD72&gt;0,INDEX(EO$7:EO$106,$AD72),1),IF($AE72&gt;0,INDEX(EO$7:EO$106,$AE72),1),IF($AF72&gt;0,INDEX(EO$7:EO$106,$AF72),1),IF($AG72&gt;0,INDEX(EO$7:EO$106,$AG72),1),IF($AH72&gt;0,INDEX(EO$7:EO$106,$AH72),1),IF($AI72&gt;0,INDEX(EO$7:EO$106,$AI72),1),IF($AJ72&gt;0,INDEX(EO$7:EO$106,$AJ72),1))))</ns0:f>
        <ns0:v>1</ns0:v>
      </ns0:c>
      <ns0:c r="EQ72" t="n">
        <ns0:f>IF(OR(A72="",NOT(ISNUMBER(G72))),0,G72*N72)</ns0:f>
        <ns0:v>0</ns0:v>
      </ns0:c>
    </ns0:row>
    <ns0:row r="73" ht="62" customHeight="1">
      <ns0:c r="A73" s="48"/>
      <ns0:c r="B73" s="48"/>
      <ns0:c r="C73" s="48"/>
      <ns0:c r="D73" s="48"/>
      <ns0:c r="E73" s="49"/>
      <ns0:c r="F73" s="49"/>
      <ns0:c r="G73" s="13" t="str">
        <ns0:f>IF(A73="","",IF(OR(NOT(ISNUMBER(E73)),NOT(ISNUMBER(F73)),F73&lt;E73),"",IF(J73="Yes",0,F73-E73+1)))</ns0:f>
      </ns0:c>
      <ns0:c r="H73" s="48"/>
      <ns0:c r="I73" s="48"/>
      <ns0:c r="J73" s="48"/>
      <ns0:c r="K73" s="48"/>
      <ns0:c r="L73" s="48"/>
      <ns0:c r="M73" s="50" t="str">
        <ns0:f>IF(A73="","",IF(N73=1,"Completed",IF(N73&gt;0,"In Progress","Not Started")))</ns0:f>
      </ns0:c>
      <ns0:c r="N73" s="51"/>
      <ns0:c r="O73" s="13" t="str">
        <ns0:f>IF(A73="","",IF(R73&lt;&gt;"","[CONFLICT] "&amp;R73,IF(S73&lt;&gt;"","[CONFLICT] "&amp;S73,IF(OR(NOT(ISNUMBER(N73)),N73&lt;0,N73&gt;1),"[CONFLICT] Invalid progress",IF(AK73&gt;0,"[DEPENDENCY ISSUE] Missing ID / &gt;8 links",IF(AM73&gt;0,"[DEPENDENCY ISSUE] Cycle or blocked by cycle",IF(AND(H73&lt;&gt;"",ISNA(MATCH(I73,{"FS","SS","FF","SF"},0))),"[DEPENDENCY ISSUE] Invalid type",IF(AL73&gt;0,"[DEPENDENCY ISSUE] Timing conflict",IF(OR(E73&lt;ProjectStart,F73&gt;ProjectEnd),"[OUTSIDE WINDOW]",IF(AND(N73&lt;1,F73&lt;AsOfDate),"Overdue",IF(AND(M73&lt;&gt;Q73,M73&lt;&gt;""),"[CONFLICT] Status / progress","On track")))))))))))</ns0:f>
      </ns0:c>
      <ns0:c r="P73" s="52"/>
      <ns0:c r="Q73" t="str">
        <ns0:f>IF(A73="","",IF(OR(M73="On Hold",M73="Delayed"),M73,IF(N73=1,"Completed",IF(N73&gt;0,"In Progress","Not Started"))))</ns0:f>
      </ns0:c>
      <ns0:c r="R73" t="str">
        <ns0:f>IF(A73="","",IF(COUNTIFS(Tasks[Task ID],A73)&lt;&gt;1,"Duplicate ID",""))</ns0:f>
      </ns0:c>
      <ns0:c r="S73" t="str">
        <ns0:f>IF(A73="","",IF(OR(NOT(ISNUMBER(E73)),NOT(ISNUMBER(F73))),"Invalid / missing date",IF(OR(E73&lt;&gt;INT(E73),F73&lt;&gt;INT(F73),E73&lt;1,F73&gt;2958465),"Invalid date",IF(F73&lt;E73,"End before start",IF(AND(J73="Yes",E73&lt;&gt;F73),"Milestone needs one date","")))))</ns0:f>
      </ns0:c>
      <ns0:c r="T73" t="n">
        <ns0:f>IF(H73="",0,LEN(H73)-LEN(SUBSTITUTE(H73,",",""))+1)</ns0:f>
        <ns0:v>0</ns0:v>
      </ns0:c>
      <ns0:c r="U73" t="str">
        <ns0:f>TRIM(MID(SUBSTITUTE($H73,",",REPT(" ",100)),1,100))</ns0:f>
      </ns0:c>
      <ns0:c r="V73" t="str">
        <ns0:f>TRIM(MID(SUBSTITUTE($H73,",",REPT(" ",100)),101,100))</ns0:f>
      </ns0:c>
      <ns0:c r="W73" t="str">
        <ns0:f>TRIM(MID(SUBSTITUTE($H73,",",REPT(" ",100)),201,100))</ns0:f>
      </ns0:c>
      <ns0:c r="X73" t="str">
        <ns0:f>TRIM(MID(SUBSTITUTE($H73,",",REPT(" ",100)),301,100))</ns0:f>
      </ns0:c>
      <ns0:c r="Y73" t="str">
        <ns0:f>TRIM(MID(SUBSTITUTE($H73,",",REPT(" ",100)),401,100))</ns0:f>
      </ns0:c>
      <ns0:c r="Z73" t="str">
        <ns0:f>TRIM(MID(SUBSTITUTE($H73,",",REPT(" ",100)),501,100))</ns0:f>
      </ns0:c>
      <ns0:c r="AA73" t="str">
        <ns0:f>TRIM(MID(SUBSTITUTE($H73,",",REPT(" ",100)),601,100))</ns0:f>
      </ns0:c>
      <ns0:c r="AB73" t="str">
        <ns0:f>TRIM(MID(SUBSTITUTE($H73,",",REPT(" ",100)),701,100))</ns0:f>
      </ns0:c>
      <ns0:c r="AC73" t="n">
        <ns0:f>IF(U73="",0,IF(COUNTIFS(Tasks[Task ID],U73)=1,MATCH(U73,Tasks[Task ID],0),-1))</ns0:f>
        <ns0:v>0</ns0:v>
      </ns0:c>
      <ns0:c r="AD73" t="n">
        <ns0:f>IF(V73="",0,IF(COUNTIFS(Tasks[Task ID],V73)=1,MATCH(V73,Tasks[Task ID],0),-1))</ns0:f>
        <ns0:v>0</ns0:v>
      </ns0:c>
      <ns0:c r="AE73" t="n">
        <ns0:f>IF(W73="",0,IF(COUNTIFS(Tasks[Task ID],W73)=1,MATCH(W73,Tasks[Task ID],0),-1))</ns0:f>
        <ns0:v>0</ns0:v>
      </ns0:c>
      <ns0:c r="AF73" t="n">
        <ns0:f>IF(X73="",0,IF(COUNTIFS(Tasks[Task ID],X73)=1,MATCH(X73,Tasks[Task ID],0),-1))</ns0:f>
        <ns0:v>0</ns0:v>
      </ns0:c>
      <ns0:c r="AG73" t="n">
        <ns0:f>IF(Y73="",0,IF(COUNTIFS(Tasks[Task ID],Y73)=1,MATCH(Y73,Tasks[Task ID],0),-1))</ns0:f>
        <ns0:v>0</ns0:v>
      </ns0:c>
      <ns0:c r="AH73" t="n">
        <ns0:f>IF(Z73="",0,IF(COUNTIFS(Tasks[Task ID],Z73)=1,MATCH(Z73,Tasks[Task ID],0),-1))</ns0:f>
        <ns0:v>0</ns0:v>
      </ns0:c>
      <ns0:c r="AI73" t="n">
        <ns0:f>IF(AA73="",0,IF(COUNTIFS(Tasks[Task ID],AA73)=1,MATCH(AA73,Tasks[Task ID],0),-1))</ns0:f>
        <ns0:v>0</ns0:v>
      </ns0:c>
      <ns0:c r="AJ73" t="n">
        <ns0:f>IF(AB73="",0,IF(COUNTIFS(Tasks[Task ID],AB73)=1,MATCH(AB73,Tasks[Task ID],0),-1))</ns0:f>
        <ns0:v>0</ns0:v>
      </ns0:c>
      <ns0:c r="AK73" t="n">
        <ns0:f>COUNTIFS(AC73:AJ73,-1)+IF(T73&gt;8,1,0)</ns0:f>
        <ns0:v>0</ns0:v>
      </ns0:c>
      <ns0:c r="AL73" t="n">
        <ns0:f>IF(OR(A73="",S73&lt;&gt;""),0,SUM(IF(AC73&gt;0,IF($I73="FS",--($E73&lt;INDEX(Tasks[End Date],AC73)+IF(INDEX(Tasks[Milestone],AC73)="Yes",0,1)),IF($I73="SS",--($E73&lt;INDEX(Tasks[Start Date],AC73)),IF($I73="FF",--($F73&lt;INDEX(Tasks[End Date],AC73)),IF($I73="SF",--($F73&lt;INDEX(Tasks[Start Date],AC73)),0)))),0),IF(AD73&gt;0,IF($I73="FS",--($E73&lt;INDEX(Tasks[End Date],AD73)+IF(INDEX(Tasks[Milestone],AD73)="Yes",0,1)),IF($I73="SS",--($E73&lt;INDEX(Tasks[Start Date],AD73)),IF($I73="FF",--($F73&lt;INDEX(Tasks[End Date],AD73)),IF($I73="SF",--($F73&lt;INDEX(Tasks[Start Date],AD73)),0)))),0),IF(AE73&gt;0,IF($I73="FS",--($E73&lt;INDEX(Tasks[End Date],AE73)+IF(INDEX(Tasks[Milestone],AE73)="Yes",0,1)),IF($I73="SS",--($E73&lt;INDEX(Tasks[Start Date],AE73)),IF($I73="FF",--($F73&lt;INDEX(Tasks[End Date],AE73)),IF($I73="SF",--($F73&lt;INDEX(Tasks[Start Date],AE73)),0)))),0),IF(AF73&gt;0,IF($I73="FS",--($E73&lt;INDEX(Tasks[End Date],AF73)+IF(INDEX(Tasks[Milestone],AF73)="Yes",0,1)),IF($I73="SS",--($E73&lt;INDEX(Tasks[Start Date],AF73)),IF($I73="FF",--($F73&lt;INDEX(Tasks[End Date],AF73)),IF($I73="SF",--($F73&lt;INDEX(Tasks[Start Date],AF73)),0)))),0),IF(AG73&gt;0,IF($I73="FS",--($E73&lt;INDEX(Tasks[End Date],AG73)+IF(INDEX(Tasks[Milestone],AG73)="Yes",0,1)),IF($I73="SS",--($E73&lt;INDEX(Tasks[Start Date],AG73)),IF($I73="FF",--($F73&lt;INDEX(Tasks[End Date],AG73)),IF($I73="SF",--($F73&lt;INDEX(Tasks[Start Date],AG73)),0)))),0),IF(AH73&gt;0,IF($I73="FS",--($E73&lt;INDEX(Tasks[End Date],AH73)+IF(INDEX(Tasks[Milestone],AH73)="Yes",0,1)),IF($I73="SS",--($E73&lt;INDEX(Tasks[Start Date],AH73)),IF($I73="FF",--($F73&lt;INDEX(Tasks[End Date],AH73)),IF($I73="SF",--($F73&lt;INDEX(Tasks[Start Date],AH73)),0)))),0),IF(AI73&gt;0,IF($I73="FS",--($E73&lt;INDEX(Tasks[End Date],AI73)+IF(INDEX(Tasks[Milestone],AI73)="Yes",0,1)),IF($I73="SS",--($E73&lt;INDEX(Tasks[Start Date],AI73)),IF($I73="FF",--($F73&lt;INDEX(Tasks[End Date],AI73)),IF($I73="SF",--($F73&lt;INDEX(Tasks[Start Date],AI73)),0)))),0),IF(AJ73&gt;0,IF($I73="FS",--($E73&lt;INDEX(Tasks[End Date],AJ73)+IF(INDEX(Tasks[Milestone],AJ73)="Yes",0,1)),IF($I73="SS",--($E73&lt;INDEX(Tasks[Start Date],AJ73)),IF($I73="FF",--($F73&lt;INDEX(Tasks[End Date],AJ73)),IF($I73="SF",--($F73&lt;INDEX(Tasks[Start Date],AJ73)),0)))),0)))</ns0:f>
        <ns0:v>0</ns0:v>
      </ns0:c>
      <ns0:c r="AM73" t="n">
        <ns0:f>IF(AND(A73&lt;&gt;"",AK73=0,EP73=0),1,0)</ns0:f>
        <ns0:v>0</ns0:v>
      </ns0:c>
      <ns0:c r="AN73" t="str">
        <ns0:f>IF(OR(A73="",B73=""),"",IF(COUNTIFS($B$7:B73,B73)=1,MAX($AN$6:AN72)+1,""))</ns0:f>
      </ns0:c>
      <ns0:c r="AO73" t="n">
        <ns0:f>IF(AND(A73&lt;&gt;"",J73="No",N73&lt;1,E73&gt;=AsOfDate),E73+ROW()/10000,1E+9)</ns0:f>
        <ns0:v>1000000000</ns0:v>
      </ns0:c>
      <ns0:c r="AP73" t="n">
        <ns0:f>IF(AND(A73&lt;&gt;"",J73="Yes",N73&lt;1,E73&gt;=AsOfDate),E73+ROW()/10000,1E+9)</ns0:f>
        <ns0:v>1000000000</ns0:v>
      </ns0:c>
      <ns0:c r="AQ73" t="n">
        <ns0:f>IF(AND(A73&lt;&gt;"",J73="No",N73&lt;1,F73&gt;=AsOfDate,F73&lt;=AsOfDate+7),F73+ROW()/10000,1E+9)</ns0:f>
        <ns0:v>1000000000</ns0:v>
      </ns0:c>
      <ns0:c r="AR73" t="n">
        <ns0:f>IF(AND(A73&lt;&gt;"",OR(O73&lt;&gt;"On track",Q73="Delayed")),ROW(),1E+9)</ns0:f>
        <ns0:v>1000000000</ns0:v>
      </ns0:c>
      <ns0:c r="AS73" t="str">
        <ns0:f>IF(A73="","",";"&amp;K73&amp;";")</ns0:f>
      </ns0:c>
      <ns0:c r="AT73" t="n">
        <ns0:f>IF(A73="",1,--(T73=0))</ns0:f>
        <ns0:v>1</ns0:v>
      </ns0:c>
      <ns0:c r="AU73" t="n">
        <ns0:f>IF($A73="",1,IF(AT73=1,1,--AND(IF($AC73&gt;0,INDEX(AT$7:AT$106,$AC73),1),IF($AD73&gt;0,INDEX(AT$7:AT$106,$AD73),1),IF($AE73&gt;0,INDEX(AT$7:AT$106,$AE73),1),IF($AF73&gt;0,INDEX(AT$7:AT$106,$AF73),1),IF($AG73&gt;0,INDEX(AT$7:AT$106,$AG73),1),IF($AH73&gt;0,INDEX(AT$7:AT$106,$AH73),1),IF($AI73&gt;0,INDEX(AT$7:AT$106,$AI73),1),IF($AJ73&gt;0,INDEX(AT$7:AT$106,$AJ73),1))))</ns0:f>
        <ns0:v>1</ns0:v>
      </ns0:c>
      <ns0:c r="AV73" t="n">
        <ns0:f>IF($A73="",1,IF(AU73=1,1,--AND(IF($AC73&gt;0,INDEX(AU$7:AU$106,$AC73),1),IF($AD73&gt;0,INDEX(AU$7:AU$106,$AD73),1),IF($AE73&gt;0,INDEX(AU$7:AU$106,$AE73),1),IF($AF73&gt;0,INDEX(AU$7:AU$106,$AF73),1),IF($AG73&gt;0,INDEX(AU$7:AU$106,$AG73),1),IF($AH73&gt;0,INDEX(AU$7:AU$106,$AH73),1),IF($AI73&gt;0,INDEX(AU$7:AU$106,$AI73),1),IF($AJ73&gt;0,INDEX(AU$7:AU$106,$AJ73),1))))</ns0:f>
        <ns0:v>1</ns0:v>
      </ns0:c>
      <ns0:c r="AW73" t="n">
        <ns0:f>IF($A73="",1,IF(AV73=1,1,--AND(IF($AC73&gt;0,INDEX(AV$7:AV$106,$AC73),1),IF($AD73&gt;0,INDEX(AV$7:AV$106,$AD73),1),IF($AE73&gt;0,INDEX(AV$7:AV$106,$AE73),1),IF($AF73&gt;0,INDEX(AV$7:AV$106,$AF73),1),IF($AG73&gt;0,INDEX(AV$7:AV$106,$AG73),1),IF($AH73&gt;0,INDEX(AV$7:AV$106,$AH73),1),IF($AI73&gt;0,INDEX(AV$7:AV$106,$AI73),1),IF($AJ73&gt;0,INDEX(AV$7:AV$106,$AJ73),1))))</ns0:f>
        <ns0:v>1</ns0:v>
      </ns0:c>
      <ns0:c r="AX73" t="n">
        <ns0:f>IF($A73="",1,IF(AW73=1,1,--AND(IF($AC73&gt;0,INDEX(AW$7:AW$106,$AC73),1),IF($AD73&gt;0,INDEX(AW$7:AW$106,$AD73),1),IF($AE73&gt;0,INDEX(AW$7:AW$106,$AE73),1),IF($AF73&gt;0,INDEX(AW$7:AW$106,$AF73),1),IF($AG73&gt;0,INDEX(AW$7:AW$106,$AG73),1),IF($AH73&gt;0,INDEX(AW$7:AW$106,$AH73),1),IF($AI73&gt;0,INDEX(AW$7:AW$106,$AI73),1),IF($AJ73&gt;0,INDEX(AW$7:AW$106,$AJ73),1))))</ns0:f>
        <ns0:v>1</ns0:v>
      </ns0:c>
      <ns0:c r="AY73" t="n">
        <ns0:f>IF($A73="",1,IF(AX73=1,1,--AND(IF($AC73&gt;0,INDEX(AX$7:AX$106,$AC73),1),IF($AD73&gt;0,INDEX(AX$7:AX$106,$AD73),1),IF($AE73&gt;0,INDEX(AX$7:AX$106,$AE73),1),IF($AF73&gt;0,INDEX(AX$7:AX$106,$AF73),1),IF($AG73&gt;0,INDEX(AX$7:AX$106,$AG73),1),IF($AH73&gt;0,INDEX(AX$7:AX$106,$AH73),1),IF($AI73&gt;0,INDEX(AX$7:AX$106,$AI73),1),IF($AJ73&gt;0,INDEX(AX$7:AX$106,$AJ73),1))))</ns0:f>
        <ns0:v>1</ns0:v>
      </ns0:c>
      <ns0:c r="AZ73" t="n">
        <ns0:f>IF($A73="",1,IF(AY73=1,1,--AND(IF($AC73&gt;0,INDEX(AY$7:AY$106,$AC73),1),IF($AD73&gt;0,INDEX(AY$7:AY$106,$AD73),1),IF($AE73&gt;0,INDEX(AY$7:AY$106,$AE73),1),IF($AF73&gt;0,INDEX(AY$7:AY$106,$AF73),1),IF($AG73&gt;0,INDEX(AY$7:AY$106,$AG73),1),IF($AH73&gt;0,INDEX(AY$7:AY$106,$AH73),1),IF($AI73&gt;0,INDEX(AY$7:AY$106,$AI73),1),IF($AJ73&gt;0,INDEX(AY$7:AY$106,$AJ73),1))))</ns0:f>
        <ns0:v>1</ns0:v>
      </ns0:c>
      <ns0:c r="BA73" t="n">
        <ns0:f>IF($A73="",1,IF(AZ73=1,1,--AND(IF($AC73&gt;0,INDEX(AZ$7:AZ$106,$AC73),1),IF($AD73&gt;0,INDEX(AZ$7:AZ$106,$AD73),1),IF($AE73&gt;0,INDEX(AZ$7:AZ$106,$AE73),1),IF($AF73&gt;0,INDEX(AZ$7:AZ$106,$AF73),1),IF($AG73&gt;0,INDEX(AZ$7:AZ$106,$AG73),1),IF($AH73&gt;0,INDEX(AZ$7:AZ$106,$AH73),1),IF($AI73&gt;0,INDEX(AZ$7:AZ$106,$AI73),1),IF($AJ73&gt;0,INDEX(AZ$7:AZ$106,$AJ73),1))))</ns0:f>
        <ns0:v>1</ns0:v>
      </ns0:c>
      <ns0:c r="BB73" t="n">
        <ns0:f>IF($A73="",1,IF(BA73=1,1,--AND(IF($AC73&gt;0,INDEX(BA$7:BA$106,$AC73),1),IF($AD73&gt;0,INDEX(BA$7:BA$106,$AD73),1),IF($AE73&gt;0,INDEX(BA$7:BA$106,$AE73),1),IF($AF73&gt;0,INDEX(BA$7:BA$106,$AF73),1),IF($AG73&gt;0,INDEX(BA$7:BA$106,$AG73),1),IF($AH73&gt;0,INDEX(BA$7:BA$106,$AH73),1),IF($AI73&gt;0,INDEX(BA$7:BA$106,$AI73),1),IF($AJ73&gt;0,INDEX(BA$7:BA$106,$AJ73),1))))</ns0:f>
        <ns0:v>1</ns0:v>
      </ns0:c>
      <ns0:c r="BC73" t="n">
        <ns0:f>IF($A73="",1,IF(BB73=1,1,--AND(IF($AC73&gt;0,INDEX(BB$7:BB$106,$AC73),1),IF($AD73&gt;0,INDEX(BB$7:BB$106,$AD73),1),IF($AE73&gt;0,INDEX(BB$7:BB$106,$AE73),1),IF($AF73&gt;0,INDEX(BB$7:BB$106,$AF73),1),IF($AG73&gt;0,INDEX(BB$7:BB$106,$AG73),1),IF($AH73&gt;0,INDEX(BB$7:BB$106,$AH73),1),IF($AI73&gt;0,INDEX(BB$7:BB$106,$AI73),1),IF($AJ73&gt;0,INDEX(BB$7:BB$106,$AJ73),1))))</ns0:f>
        <ns0:v>1</ns0:v>
      </ns0:c>
      <ns0:c r="BD73" t="n">
        <ns0:f>IF($A73="",1,IF(BC73=1,1,--AND(IF($AC73&gt;0,INDEX(BC$7:BC$106,$AC73),1),IF($AD73&gt;0,INDEX(BC$7:BC$106,$AD73),1),IF($AE73&gt;0,INDEX(BC$7:BC$106,$AE73),1),IF($AF73&gt;0,INDEX(BC$7:BC$106,$AF73),1),IF($AG73&gt;0,INDEX(BC$7:BC$106,$AG73),1),IF($AH73&gt;0,INDEX(BC$7:BC$106,$AH73),1),IF($AI73&gt;0,INDEX(BC$7:BC$106,$AI73),1),IF($AJ73&gt;0,INDEX(BC$7:BC$106,$AJ73),1))))</ns0:f>
        <ns0:v>1</ns0:v>
      </ns0:c>
      <ns0:c r="BE73" t="n">
        <ns0:f>IF($A73="",1,IF(BD73=1,1,--AND(IF($AC73&gt;0,INDEX(BD$7:BD$106,$AC73),1),IF($AD73&gt;0,INDEX(BD$7:BD$106,$AD73),1),IF($AE73&gt;0,INDEX(BD$7:BD$106,$AE73),1),IF($AF73&gt;0,INDEX(BD$7:BD$106,$AF73),1),IF($AG73&gt;0,INDEX(BD$7:BD$106,$AG73),1),IF($AH73&gt;0,INDEX(BD$7:BD$106,$AH73),1),IF($AI73&gt;0,INDEX(BD$7:BD$106,$AI73),1),IF($AJ73&gt;0,INDEX(BD$7:BD$106,$AJ73),1))))</ns0:f>
        <ns0:v>1</ns0:v>
      </ns0:c>
      <ns0:c r="BF73" t="n">
        <ns0:f>IF($A73="",1,IF(BE73=1,1,--AND(IF($AC73&gt;0,INDEX(BE$7:BE$106,$AC73),1),IF($AD73&gt;0,INDEX(BE$7:BE$106,$AD73),1),IF($AE73&gt;0,INDEX(BE$7:BE$106,$AE73),1),IF($AF73&gt;0,INDEX(BE$7:BE$106,$AF73),1),IF($AG73&gt;0,INDEX(BE$7:BE$106,$AG73),1),IF($AH73&gt;0,INDEX(BE$7:BE$106,$AH73),1),IF($AI73&gt;0,INDEX(BE$7:BE$106,$AI73),1),IF($AJ73&gt;0,INDEX(BE$7:BE$106,$AJ73),1))))</ns0:f>
        <ns0:v>1</ns0:v>
      </ns0:c>
      <ns0:c r="BG73" t="n">
        <ns0:f>IF($A73="",1,IF(BF73=1,1,--AND(IF($AC73&gt;0,INDEX(BF$7:BF$106,$AC73),1),IF($AD73&gt;0,INDEX(BF$7:BF$106,$AD73),1),IF($AE73&gt;0,INDEX(BF$7:BF$106,$AE73),1),IF($AF73&gt;0,INDEX(BF$7:BF$106,$AF73),1),IF($AG73&gt;0,INDEX(BF$7:BF$106,$AG73),1),IF($AH73&gt;0,INDEX(BF$7:BF$106,$AH73),1),IF($AI73&gt;0,INDEX(BF$7:BF$106,$AI73),1),IF($AJ73&gt;0,INDEX(BF$7:BF$106,$AJ73),1))))</ns0:f>
        <ns0:v>1</ns0:v>
      </ns0:c>
      <ns0:c r="BH73" t="n">
        <ns0:f>IF($A73="",1,IF(BG73=1,1,--AND(IF($AC73&gt;0,INDEX(BG$7:BG$106,$AC73),1),IF($AD73&gt;0,INDEX(BG$7:BG$106,$AD73),1),IF($AE73&gt;0,INDEX(BG$7:BG$106,$AE73),1),IF($AF73&gt;0,INDEX(BG$7:BG$106,$AF73),1),IF($AG73&gt;0,INDEX(BG$7:BG$106,$AG73),1),IF($AH73&gt;0,INDEX(BG$7:BG$106,$AH73),1),IF($AI73&gt;0,INDEX(BG$7:BG$106,$AI73),1),IF($AJ73&gt;0,INDEX(BG$7:BG$106,$AJ73),1))))</ns0:f>
        <ns0:v>1</ns0:v>
      </ns0:c>
      <ns0:c r="BI73" t="n">
        <ns0:f>IF($A73="",1,IF(BH73=1,1,--AND(IF($AC73&gt;0,INDEX(BH$7:BH$106,$AC73),1),IF($AD73&gt;0,INDEX(BH$7:BH$106,$AD73),1),IF($AE73&gt;0,INDEX(BH$7:BH$106,$AE73),1),IF($AF73&gt;0,INDEX(BH$7:BH$106,$AF73),1),IF($AG73&gt;0,INDEX(BH$7:BH$106,$AG73),1),IF($AH73&gt;0,INDEX(BH$7:BH$106,$AH73),1),IF($AI73&gt;0,INDEX(BH$7:BH$106,$AI73),1),IF($AJ73&gt;0,INDEX(BH$7:BH$106,$AJ73),1))))</ns0:f>
        <ns0:v>1</ns0:v>
      </ns0:c>
      <ns0:c r="BJ73" t="n">
        <ns0:f>IF($A73="",1,IF(BI73=1,1,--AND(IF($AC73&gt;0,INDEX(BI$7:BI$106,$AC73),1),IF($AD73&gt;0,INDEX(BI$7:BI$106,$AD73),1),IF($AE73&gt;0,INDEX(BI$7:BI$106,$AE73),1),IF($AF73&gt;0,INDEX(BI$7:BI$106,$AF73),1),IF($AG73&gt;0,INDEX(BI$7:BI$106,$AG73),1),IF($AH73&gt;0,INDEX(BI$7:BI$106,$AH73),1),IF($AI73&gt;0,INDEX(BI$7:BI$106,$AI73),1),IF($AJ73&gt;0,INDEX(BI$7:BI$106,$AJ73),1))))</ns0:f>
        <ns0:v>1</ns0:v>
      </ns0:c>
      <ns0:c r="BK73" t="n">
        <ns0:f>IF($A73="",1,IF(BJ73=1,1,--AND(IF($AC73&gt;0,INDEX(BJ$7:BJ$106,$AC73),1),IF($AD73&gt;0,INDEX(BJ$7:BJ$106,$AD73),1),IF($AE73&gt;0,INDEX(BJ$7:BJ$106,$AE73),1),IF($AF73&gt;0,INDEX(BJ$7:BJ$106,$AF73),1),IF($AG73&gt;0,INDEX(BJ$7:BJ$106,$AG73),1),IF($AH73&gt;0,INDEX(BJ$7:BJ$106,$AH73),1),IF($AI73&gt;0,INDEX(BJ$7:BJ$106,$AI73),1),IF($AJ73&gt;0,INDEX(BJ$7:BJ$106,$AJ73),1))))</ns0:f>
        <ns0:v>1</ns0:v>
      </ns0:c>
      <ns0:c r="BL73" t="n">
        <ns0:f>IF($A73="",1,IF(BK73=1,1,--AND(IF($AC73&gt;0,INDEX(BK$7:BK$106,$AC73),1),IF($AD73&gt;0,INDEX(BK$7:BK$106,$AD73),1),IF($AE73&gt;0,INDEX(BK$7:BK$106,$AE73),1),IF($AF73&gt;0,INDEX(BK$7:BK$106,$AF73),1),IF($AG73&gt;0,INDEX(BK$7:BK$106,$AG73),1),IF($AH73&gt;0,INDEX(BK$7:BK$106,$AH73),1),IF($AI73&gt;0,INDEX(BK$7:BK$106,$AI73),1),IF($AJ73&gt;0,INDEX(BK$7:BK$106,$AJ73),1))))</ns0:f>
        <ns0:v>1</ns0:v>
      </ns0:c>
      <ns0:c r="BM73" t="n">
        <ns0:f>IF($A73="",1,IF(BL73=1,1,--AND(IF($AC73&gt;0,INDEX(BL$7:BL$106,$AC73),1),IF($AD73&gt;0,INDEX(BL$7:BL$106,$AD73),1),IF($AE73&gt;0,INDEX(BL$7:BL$106,$AE73),1),IF($AF73&gt;0,INDEX(BL$7:BL$106,$AF73),1),IF($AG73&gt;0,INDEX(BL$7:BL$106,$AG73),1),IF($AH73&gt;0,INDEX(BL$7:BL$106,$AH73),1),IF($AI73&gt;0,INDEX(BL$7:BL$106,$AI73),1),IF($AJ73&gt;0,INDEX(BL$7:BL$106,$AJ73),1))))</ns0:f>
        <ns0:v>1</ns0:v>
      </ns0:c>
      <ns0:c r="BN73" t="n">
        <ns0:f>IF($A73="",1,IF(BM73=1,1,--AND(IF($AC73&gt;0,INDEX(BM$7:BM$106,$AC73),1),IF($AD73&gt;0,INDEX(BM$7:BM$106,$AD73),1),IF($AE73&gt;0,INDEX(BM$7:BM$106,$AE73),1),IF($AF73&gt;0,INDEX(BM$7:BM$106,$AF73),1),IF($AG73&gt;0,INDEX(BM$7:BM$106,$AG73),1),IF($AH73&gt;0,INDEX(BM$7:BM$106,$AH73),1),IF($AI73&gt;0,INDEX(BM$7:BM$106,$AI73),1),IF($AJ73&gt;0,INDEX(BM$7:BM$106,$AJ73),1))))</ns0:f>
        <ns0:v>1</ns0:v>
      </ns0:c>
      <ns0:c r="BO73" t="n">
        <ns0:f>IF($A73="",1,IF(BN73=1,1,--AND(IF($AC73&gt;0,INDEX(BN$7:BN$106,$AC73),1),IF($AD73&gt;0,INDEX(BN$7:BN$106,$AD73),1),IF($AE73&gt;0,INDEX(BN$7:BN$106,$AE73),1),IF($AF73&gt;0,INDEX(BN$7:BN$106,$AF73),1),IF($AG73&gt;0,INDEX(BN$7:BN$106,$AG73),1),IF($AH73&gt;0,INDEX(BN$7:BN$106,$AH73),1),IF($AI73&gt;0,INDEX(BN$7:BN$106,$AI73),1),IF($AJ73&gt;0,INDEX(BN$7:BN$106,$AJ73),1))))</ns0:f>
        <ns0:v>1</ns0:v>
      </ns0:c>
      <ns0:c r="BP73" t="n">
        <ns0:f>IF($A73="",1,IF(BO73=1,1,--AND(IF($AC73&gt;0,INDEX(BO$7:BO$106,$AC73),1),IF($AD73&gt;0,INDEX(BO$7:BO$106,$AD73),1),IF($AE73&gt;0,INDEX(BO$7:BO$106,$AE73),1),IF($AF73&gt;0,INDEX(BO$7:BO$106,$AF73),1),IF($AG73&gt;0,INDEX(BO$7:BO$106,$AG73),1),IF($AH73&gt;0,INDEX(BO$7:BO$106,$AH73),1),IF($AI73&gt;0,INDEX(BO$7:BO$106,$AI73),1),IF($AJ73&gt;0,INDEX(BO$7:BO$106,$AJ73),1))))</ns0:f>
        <ns0:v>1</ns0:v>
      </ns0:c>
      <ns0:c r="BQ73" t="n">
        <ns0:f>IF($A73="",1,IF(BP73=1,1,--AND(IF($AC73&gt;0,INDEX(BP$7:BP$106,$AC73),1),IF($AD73&gt;0,INDEX(BP$7:BP$106,$AD73),1),IF($AE73&gt;0,INDEX(BP$7:BP$106,$AE73),1),IF($AF73&gt;0,INDEX(BP$7:BP$106,$AF73),1),IF($AG73&gt;0,INDEX(BP$7:BP$106,$AG73),1),IF($AH73&gt;0,INDEX(BP$7:BP$106,$AH73),1),IF($AI73&gt;0,INDEX(BP$7:BP$106,$AI73),1),IF($AJ73&gt;0,INDEX(BP$7:BP$106,$AJ73),1))))</ns0:f>
        <ns0:v>1</ns0:v>
      </ns0:c>
      <ns0:c r="BR73" t="n">
        <ns0:f>IF($A73="",1,IF(BQ73=1,1,--AND(IF($AC73&gt;0,INDEX(BQ$7:BQ$106,$AC73),1),IF($AD73&gt;0,INDEX(BQ$7:BQ$106,$AD73),1),IF($AE73&gt;0,INDEX(BQ$7:BQ$106,$AE73),1),IF($AF73&gt;0,INDEX(BQ$7:BQ$106,$AF73),1),IF($AG73&gt;0,INDEX(BQ$7:BQ$106,$AG73),1),IF($AH73&gt;0,INDEX(BQ$7:BQ$106,$AH73),1),IF($AI73&gt;0,INDEX(BQ$7:BQ$106,$AI73),1),IF($AJ73&gt;0,INDEX(BQ$7:BQ$106,$AJ73),1))))</ns0:f>
        <ns0:v>1</ns0:v>
      </ns0:c>
      <ns0:c r="BS73" t="n">
        <ns0:f>IF($A73="",1,IF(BR73=1,1,--AND(IF($AC73&gt;0,INDEX(BR$7:BR$106,$AC73),1),IF($AD73&gt;0,INDEX(BR$7:BR$106,$AD73),1),IF($AE73&gt;0,INDEX(BR$7:BR$106,$AE73),1),IF($AF73&gt;0,INDEX(BR$7:BR$106,$AF73),1),IF($AG73&gt;0,INDEX(BR$7:BR$106,$AG73),1),IF($AH73&gt;0,INDEX(BR$7:BR$106,$AH73),1),IF($AI73&gt;0,INDEX(BR$7:BR$106,$AI73),1),IF($AJ73&gt;0,INDEX(BR$7:BR$106,$AJ73),1))))</ns0:f>
        <ns0:v>1</ns0:v>
      </ns0:c>
      <ns0:c r="BT73" t="n">
        <ns0:f>IF($A73="",1,IF(BS73=1,1,--AND(IF($AC73&gt;0,INDEX(BS$7:BS$106,$AC73),1),IF($AD73&gt;0,INDEX(BS$7:BS$106,$AD73),1),IF($AE73&gt;0,INDEX(BS$7:BS$106,$AE73),1),IF($AF73&gt;0,INDEX(BS$7:BS$106,$AF73),1),IF($AG73&gt;0,INDEX(BS$7:BS$106,$AG73),1),IF($AH73&gt;0,INDEX(BS$7:BS$106,$AH73),1),IF($AI73&gt;0,INDEX(BS$7:BS$106,$AI73),1),IF($AJ73&gt;0,INDEX(BS$7:BS$106,$AJ73),1))))</ns0:f>
        <ns0:v>1</ns0:v>
      </ns0:c>
      <ns0:c r="BU73" t="n">
        <ns0:f>IF($A73="",1,IF(BT73=1,1,--AND(IF($AC73&gt;0,INDEX(BT$7:BT$106,$AC73),1),IF($AD73&gt;0,INDEX(BT$7:BT$106,$AD73),1),IF($AE73&gt;0,INDEX(BT$7:BT$106,$AE73),1),IF($AF73&gt;0,INDEX(BT$7:BT$106,$AF73),1),IF($AG73&gt;0,INDEX(BT$7:BT$106,$AG73),1),IF($AH73&gt;0,INDEX(BT$7:BT$106,$AH73),1),IF($AI73&gt;0,INDEX(BT$7:BT$106,$AI73),1),IF($AJ73&gt;0,INDEX(BT$7:BT$106,$AJ73),1))))</ns0:f>
        <ns0:v>1</ns0:v>
      </ns0:c>
      <ns0:c r="BV73" t="n">
        <ns0:f>IF($A73="",1,IF(BU73=1,1,--AND(IF($AC73&gt;0,INDEX(BU$7:BU$106,$AC73),1),IF($AD73&gt;0,INDEX(BU$7:BU$106,$AD73),1),IF($AE73&gt;0,INDEX(BU$7:BU$106,$AE73),1),IF($AF73&gt;0,INDEX(BU$7:BU$106,$AF73),1),IF($AG73&gt;0,INDEX(BU$7:BU$106,$AG73),1),IF($AH73&gt;0,INDEX(BU$7:BU$106,$AH73),1),IF($AI73&gt;0,INDEX(BU$7:BU$106,$AI73),1),IF($AJ73&gt;0,INDEX(BU$7:BU$106,$AJ73),1))))</ns0:f>
        <ns0:v>1</ns0:v>
      </ns0:c>
      <ns0:c r="BW73" t="n">
        <ns0:f>IF($A73="",1,IF(BV73=1,1,--AND(IF($AC73&gt;0,INDEX(BV$7:BV$106,$AC73),1),IF($AD73&gt;0,INDEX(BV$7:BV$106,$AD73),1),IF($AE73&gt;0,INDEX(BV$7:BV$106,$AE73),1),IF($AF73&gt;0,INDEX(BV$7:BV$106,$AF73),1),IF($AG73&gt;0,INDEX(BV$7:BV$106,$AG73),1),IF($AH73&gt;0,INDEX(BV$7:BV$106,$AH73),1),IF($AI73&gt;0,INDEX(BV$7:BV$106,$AI73),1),IF($AJ73&gt;0,INDEX(BV$7:BV$106,$AJ73),1))))</ns0:f>
        <ns0:v>1</ns0:v>
      </ns0:c>
      <ns0:c r="BX73" t="n">
        <ns0:f>IF($A73="",1,IF(BW73=1,1,--AND(IF($AC73&gt;0,INDEX(BW$7:BW$106,$AC73),1),IF($AD73&gt;0,INDEX(BW$7:BW$106,$AD73),1),IF($AE73&gt;0,INDEX(BW$7:BW$106,$AE73),1),IF($AF73&gt;0,INDEX(BW$7:BW$106,$AF73),1),IF($AG73&gt;0,INDEX(BW$7:BW$106,$AG73),1),IF($AH73&gt;0,INDEX(BW$7:BW$106,$AH73),1),IF($AI73&gt;0,INDEX(BW$7:BW$106,$AI73),1),IF($AJ73&gt;0,INDEX(BW$7:BW$106,$AJ73),1))))</ns0:f>
        <ns0:v>1</ns0:v>
      </ns0:c>
      <ns0:c r="BY73" t="n">
        <ns0:f>IF($A73="",1,IF(BX73=1,1,--AND(IF($AC73&gt;0,INDEX(BX$7:BX$106,$AC73),1),IF($AD73&gt;0,INDEX(BX$7:BX$106,$AD73),1),IF($AE73&gt;0,INDEX(BX$7:BX$106,$AE73),1),IF($AF73&gt;0,INDEX(BX$7:BX$106,$AF73),1),IF($AG73&gt;0,INDEX(BX$7:BX$106,$AG73),1),IF($AH73&gt;0,INDEX(BX$7:BX$106,$AH73),1),IF($AI73&gt;0,INDEX(BX$7:BX$106,$AI73),1),IF($AJ73&gt;0,INDEX(BX$7:BX$106,$AJ73),1))))</ns0:f>
        <ns0:v>1</ns0:v>
      </ns0:c>
      <ns0:c r="BZ73" t="n">
        <ns0:f>IF($A73="",1,IF(BY73=1,1,--AND(IF($AC73&gt;0,INDEX(BY$7:BY$106,$AC73),1),IF($AD73&gt;0,INDEX(BY$7:BY$106,$AD73),1),IF($AE73&gt;0,INDEX(BY$7:BY$106,$AE73),1),IF($AF73&gt;0,INDEX(BY$7:BY$106,$AF73),1),IF($AG73&gt;0,INDEX(BY$7:BY$106,$AG73),1),IF($AH73&gt;0,INDEX(BY$7:BY$106,$AH73),1),IF($AI73&gt;0,INDEX(BY$7:BY$106,$AI73),1),IF($AJ73&gt;0,INDEX(BY$7:BY$106,$AJ73),1))))</ns0:f>
        <ns0:v>1</ns0:v>
      </ns0:c>
      <ns0:c r="CA73" t="n">
        <ns0:f>IF($A73="",1,IF(BZ73=1,1,--AND(IF($AC73&gt;0,INDEX(BZ$7:BZ$106,$AC73),1),IF($AD73&gt;0,INDEX(BZ$7:BZ$106,$AD73),1),IF($AE73&gt;0,INDEX(BZ$7:BZ$106,$AE73),1),IF($AF73&gt;0,INDEX(BZ$7:BZ$106,$AF73),1),IF($AG73&gt;0,INDEX(BZ$7:BZ$106,$AG73),1),IF($AH73&gt;0,INDEX(BZ$7:BZ$106,$AH73),1),IF($AI73&gt;0,INDEX(BZ$7:BZ$106,$AI73),1),IF($AJ73&gt;0,INDEX(BZ$7:BZ$106,$AJ73),1))))</ns0:f>
        <ns0:v>1</ns0:v>
      </ns0:c>
      <ns0:c r="CB73" t="n">
        <ns0:f>IF($A73="",1,IF(CA73=1,1,--AND(IF($AC73&gt;0,INDEX(CA$7:CA$106,$AC73),1),IF($AD73&gt;0,INDEX(CA$7:CA$106,$AD73),1),IF($AE73&gt;0,INDEX(CA$7:CA$106,$AE73),1),IF($AF73&gt;0,INDEX(CA$7:CA$106,$AF73),1),IF($AG73&gt;0,INDEX(CA$7:CA$106,$AG73),1),IF($AH73&gt;0,INDEX(CA$7:CA$106,$AH73),1),IF($AI73&gt;0,INDEX(CA$7:CA$106,$AI73),1),IF($AJ73&gt;0,INDEX(CA$7:CA$106,$AJ73),1))))</ns0:f>
        <ns0:v>1</ns0:v>
      </ns0:c>
      <ns0:c r="CC73" t="n">
        <ns0:f>IF($A73="",1,IF(CB73=1,1,--AND(IF($AC73&gt;0,INDEX(CB$7:CB$106,$AC73),1),IF($AD73&gt;0,INDEX(CB$7:CB$106,$AD73),1),IF($AE73&gt;0,INDEX(CB$7:CB$106,$AE73),1),IF($AF73&gt;0,INDEX(CB$7:CB$106,$AF73),1),IF($AG73&gt;0,INDEX(CB$7:CB$106,$AG73),1),IF($AH73&gt;0,INDEX(CB$7:CB$106,$AH73),1),IF($AI73&gt;0,INDEX(CB$7:CB$106,$AI73),1),IF($AJ73&gt;0,INDEX(CB$7:CB$106,$AJ73),1))))</ns0:f>
        <ns0:v>1</ns0:v>
      </ns0:c>
      <ns0:c r="CD73" t="n">
        <ns0:f>IF($A73="",1,IF(CC73=1,1,--AND(IF($AC73&gt;0,INDEX(CC$7:CC$106,$AC73),1),IF($AD73&gt;0,INDEX(CC$7:CC$106,$AD73),1),IF($AE73&gt;0,INDEX(CC$7:CC$106,$AE73),1),IF($AF73&gt;0,INDEX(CC$7:CC$106,$AF73),1),IF($AG73&gt;0,INDEX(CC$7:CC$106,$AG73),1),IF($AH73&gt;0,INDEX(CC$7:CC$106,$AH73),1),IF($AI73&gt;0,INDEX(CC$7:CC$106,$AI73),1),IF($AJ73&gt;0,INDEX(CC$7:CC$106,$AJ73),1))))</ns0:f>
        <ns0:v>1</ns0:v>
      </ns0:c>
      <ns0:c r="CE73" t="n">
        <ns0:f>IF($A73="",1,IF(CD73=1,1,--AND(IF($AC73&gt;0,INDEX(CD$7:CD$106,$AC73),1),IF($AD73&gt;0,INDEX(CD$7:CD$106,$AD73),1),IF($AE73&gt;0,INDEX(CD$7:CD$106,$AE73),1),IF($AF73&gt;0,INDEX(CD$7:CD$106,$AF73),1),IF($AG73&gt;0,INDEX(CD$7:CD$106,$AG73),1),IF($AH73&gt;0,INDEX(CD$7:CD$106,$AH73),1),IF($AI73&gt;0,INDEX(CD$7:CD$106,$AI73),1),IF($AJ73&gt;0,INDEX(CD$7:CD$106,$AJ73),1))))</ns0:f>
        <ns0:v>1</ns0:v>
      </ns0:c>
      <ns0:c r="CF73" t="n">
        <ns0:f>IF($A73="",1,IF(CE73=1,1,--AND(IF($AC73&gt;0,INDEX(CE$7:CE$106,$AC73),1),IF($AD73&gt;0,INDEX(CE$7:CE$106,$AD73),1),IF($AE73&gt;0,INDEX(CE$7:CE$106,$AE73),1),IF($AF73&gt;0,INDEX(CE$7:CE$106,$AF73),1),IF($AG73&gt;0,INDEX(CE$7:CE$106,$AG73),1),IF($AH73&gt;0,INDEX(CE$7:CE$106,$AH73),1),IF($AI73&gt;0,INDEX(CE$7:CE$106,$AI73),1),IF($AJ73&gt;0,INDEX(CE$7:CE$106,$AJ73),1))))</ns0:f>
        <ns0:v>1</ns0:v>
      </ns0:c>
      <ns0:c r="CG73" t="n">
        <ns0:f>IF($A73="",1,IF(CF73=1,1,--AND(IF($AC73&gt;0,INDEX(CF$7:CF$106,$AC73),1),IF($AD73&gt;0,INDEX(CF$7:CF$106,$AD73),1),IF($AE73&gt;0,INDEX(CF$7:CF$106,$AE73),1),IF($AF73&gt;0,INDEX(CF$7:CF$106,$AF73),1),IF($AG73&gt;0,INDEX(CF$7:CF$106,$AG73),1),IF($AH73&gt;0,INDEX(CF$7:CF$106,$AH73),1),IF($AI73&gt;0,INDEX(CF$7:CF$106,$AI73),1),IF($AJ73&gt;0,INDEX(CF$7:CF$106,$AJ73),1))))</ns0:f>
        <ns0:v>1</ns0:v>
      </ns0:c>
      <ns0:c r="CH73" t="n">
        <ns0:f>IF($A73="",1,IF(CG73=1,1,--AND(IF($AC73&gt;0,INDEX(CG$7:CG$106,$AC73),1),IF($AD73&gt;0,INDEX(CG$7:CG$106,$AD73),1),IF($AE73&gt;0,INDEX(CG$7:CG$106,$AE73),1),IF($AF73&gt;0,INDEX(CG$7:CG$106,$AF73),1),IF($AG73&gt;0,INDEX(CG$7:CG$106,$AG73),1),IF($AH73&gt;0,INDEX(CG$7:CG$106,$AH73),1),IF($AI73&gt;0,INDEX(CG$7:CG$106,$AI73),1),IF($AJ73&gt;0,INDEX(CG$7:CG$106,$AJ73),1))))</ns0:f>
        <ns0:v>1</ns0:v>
      </ns0:c>
      <ns0:c r="CI73" t="n">
        <ns0:f>IF($A73="",1,IF(CH73=1,1,--AND(IF($AC73&gt;0,INDEX(CH$7:CH$106,$AC73),1),IF($AD73&gt;0,INDEX(CH$7:CH$106,$AD73),1),IF($AE73&gt;0,INDEX(CH$7:CH$106,$AE73),1),IF($AF73&gt;0,INDEX(CH$7:CH$106,$AF73),1),IF($AG73&gt;0,INDEX(CH$7:CH$106,$AG73),1),IF($AH73&gt;0,INDEX(CH$7:CH$106,$AH73),1),IF($AI73&gt;0,INDEX(CH$7:CH$106,$AI73),1),IF($AJ73&gt;0,INDEX(CH$7:CH$106,$AJ73),1))))</ns0:f>
        <ns0:v>1</ns0:v>
      </ns0:c>
      <ns0:c r="CJ73" t="n">
        <ns0:f>IF($A73="",1,IF(CI73=1,1,--AND(IF($AC73&gt;0,INDEX(CI$7:CI$106,$AC73),1),IF($AD73&gt;0,INDEX(CI$7:CI$106,$AD73),1),IF($AE73&gt;0,INDEX(CI$7:CI$106,$AE73),1),IF($AF73&gt;0,INDEX(CI$7:CI$106,$AF73),1),IF($AG73&gt;0,INDEX(CI$7:CI$106,$AG73),1),IF($AH73&gt;0,INDEX(CI$7:CI$106,$AH73),1),IF($AI73&gt;0,INDEX(CI$7:CI$106,$AI73),1),IF($AJ73&gt;0,INDEX(CI$7:CI$106,$AJ73),1))))</ns0:f>
        <ns0:v>1</ns0:v>
      </ns0:c>
      <ns0:c r="CK73" t="n">
        <ns0:f>IF($A73="",1,IF(CJ73=1,1,--AND(IF($AC73&gt;0,INDEX(CJ$7:CJ$106,$AC73),1),IF($AD73&gt;0,INDEX(CJ$7:CJ$106,$AD73),1),IF($AE73&gt;0,INDEX(CJ$7:CJ$106,$AE73),1),IF($AF73&gt;0,INDEX(CJ$7:CJ$106,$AF73),1),IF($AG73&gt;0,INDEX(CJ$7:CJ$106,$AG73),1),IF($AH73&gt;0,INDEX(CJ$7:CJ$106,$AH73),1),IF($AI73&gt;0,INDEX(CJ$7:CJ$106,$AI73),1),IF($AJ73&gt;0,INDEX(CJ$7:CJ$106,$AJ73),1))))</ns0:f>
        <ns0:v>1</ns0:v>
      </ns0:c>
      <ns0:c r="CL73" t="n">
        <ns0:f>IF($A73="",1,IF(CK73=1,1,--AND(IF($AC73&gt;0,INDEX(CK$7:CK$106,$AC73),1),IF($AD73&gt;0,INDEX(CK$7:CK$106,$AD73),1),IF($AE73&gt;0,INDEX(CK$7:CK$106,$AE73),1),IF($AF73&gt;0,INDEX(CK$7:CK$106,$AF73),1),IF($AG73&gt;0,INDEX(CK$7:CK$106,$AG73),1),IF($AH73&gt;0,INDEX(CK$7:CK$106,$AH73),1),IF($AI73&gt;0,INDEX(CK$7:CK$106,$AI73),1),IF($AJ73&gt;0,INDEX(CK$7:CK$106,$AJ73),1))))</ns0:f>
        <ns0:v>1</ns0:v>
      </ns0:c>
      <ns0:c r="CM73" t="n">
        <ns0:f>IF($A73="",1,IF(CL73=1,1,--AND(IF($AC73&gt;0,INDEX(CL$7:CL$106,$AC73),1),IF($AD73&gt;0,INDEX(CL$7:CL$106,$AD73),1),IF($AE73&gt;0,INDEX(CL$7:CL$106,$AE73),1),IF($AF73&gt;0,INDEX(CL$7:CL$106,$AF73),1),IF($AG73&gt;0,INDEX(CL$7:CL$106,$AG73),1),IF($AH73&gt;0,INDEX(CL$7:CL$106,$AH73),1),IF($AI73&gt;0,INDEX(CL$7:CL$106,$AI73),1),IF($AJ73&gt;0,INDEX(CL$7:CL$106,$AJ73),1))))</ns0:f>
        <ns0:v>1</ns0:v>
      </ns0:c>
      <ns0:c r="CN73" t="n">
        <ns0:f>IF($A73="",1,IF(CM73=1,1,--AND(IF($AC73&gt;0,INDEX(CM$7:CM$106,$AC73),1),IF($AD73&gt;0,INDEX(CM$7:CM$106,$AD73),1),IF($AE73&gt;0,INDEX(CM$7:CM$106,$AE73),1),IF($AF73&gt;0,INDEX(CM$7:CM$106,$AF73),1),IF($AG73&gt;0,INDEX(CM$7:CM$106,$AG73),1),IF($AH73&gt;0,INDEX(CM$7:CM$106,$AH73),1),IF($AI73&gt;0,INDEX(CM$7:CM$106,$AI73),1),IF($AJ73&gt;0,INDEX(CM$7:CM$106,$AJ73),1))))</ns0:f>
        <ns0:v>1</ns0:v>
      </ns0:c>
      <ns0:c r="CO73" t="n">
        <ns0:f>IF($A73="",1,IF(CN73=1,1,--AND(IF($AC73&gt;0,INDEX(CN$7:CN$106,$AC73),1),IF($AD73&gt;0,INDEX(CN$7:CN$106,$AD73),1),IF($AE73&gt;0,INDEX(CN$7:CN$106,$AE73),1),IF($AF73&gt;0,INDEX(CN$7:CN$106,$AF73),1),IF($AG73&gt;0,INDEX(CN$7:CN$106,$AG73),1),IF($AH73&gt;0,INDEX(CN$7:CN$106,$AH73),1),IF($AI73&gt;0,INDEX(CN$7:CN$106,$AI73),1),IF($AJ73&gt;0,INDEX(CN$7:CN$106,$AJ73),1))))</ns0:f>
        <ns0:v>1</ns0:v>
      </ns0:c>
      <ns0:c r="CP73" t="n">
        <ns0:f>IF($A73="",1,IF(CO73=1,1,--AND(IF($AC73&gt;0,INDEX(CO$7:CO$106,$AC73),1),IF($AD73&gt;0,INDEX(CO$7:CO$106,$AD73),1),IF($AE73&gt;0,INDEX(CO$7:CO$106,$AE73),1),IF($AF73&gt;0,INDEX(CO$7:CO$106,$AF73),1),IF($AG73&gt;0,INDEX(CO$7:CO$106,$AG73),1),IF($AH73&gt;0,INDEX(CO$7:CO$106,$AH73),1),IF($AI73&gt;0,INDEX(CO$7:CO$106,$AI73),1),IF($AJ73&gt;0,INDEX(CO$7:CO$106,$AJ73),1))))</ns0:f>
        <ns0:v>1</ns0:v>
      </ns0:c>
      <ns0:c r="CQ73" t="n">
        <ns0:f>IF($A73="",1,IF(CP73=1,1,--AND(IF($AC73&gt;0,INDEX(CP$7:CP$106,$AC73),1),IF($AD73&gt;0,INDEX(CP$7:CP$106,$AD73),1),IF($AE73&gt;0,INDEX(CP$7:CP$106,$AE73),1),IF($AF73&gt;0,INDEX(CP$7:CP$106,$AF73),1),IF($AG73&gt;0,INDEX(CP$7:CP$106,$AG73),1),IF($AH73&gt;0,INDEX(CP$7:CP$106,$AH73),1),IF($AI73&gt;0,INDEX(CP$7:CP$106,$AI73),1),IF($AJ73&gt;0,INDEX(CP$7:CP$106,$AJ73),1))))</ns0:f>
        <ns0:v>1</ns0:v>
      </ns0:c>
      <ns0:c r="CR73" t="n">
        <ns0:f>IF($A73="",1,IF(CQ73=1,1,--AND(IF($AC73&gt;0,INDEX(CQ$7:CQ$106,$AC73),1),IF($AD73&gt;0,INDEX(CQ$7:CQ$106,$AD73),1),IF($AE73&gt;0,INDEX(CQ$7:CQ$106,$AE73),1),IF($AF73&gt;0,INDEX(CQ$7:CQ$106,$AF73),1),IF($AG73&gt;0,INDEX(CQ$7:CQ$106,$AG73),1),IF($AH73&gt;0,INDEX(CQ$7:CQ$106,$AH73),1),IF($AI73&gt;0,INDEX(CQ$7:CQ$106,$AI73),1),IF($AJ73&gt;0,INDEX(CQ$7:CQ$106,$AJ73),1))))</ns0:f>
        <ns0:v>1</ns0:v>
      </ns0:c>
      <ns0:c r="CS73" t="n">
        <ns0:f>IF($A73="",1,IF(CR73=1,1,--AND(IF($AC73&gt;0,INDEX(CR$7:CR$106,$AC73),1),IF($AD73&gt;0,INDEX(CR$7:CR$106,$AD73),1),IF($AE73&gt;0,INDEX(CR$7:CR$106,$AE73),1),IF($AF73&gt;0,INDEX(CR$7:CR$106,$AF73),1),IF($AG73&gt;0,INDEX(CR$7:CR$106,$AG73),1),IF($AH73&gt;0,INDEX(CR$7:CR$106,$AH73),1),IF($AI73&gt;0,INDEX(CR$7:CR$106,$AI73),1),IF($AJ73&gt;0,INDEX(CR$7:CR$106,$AJ73),1))))</ns0:f>
        <ns0:v>1</ns0:v>
      </ns0:c>
      <ns0:c r="CT73" t="n">
        <ns0:f>IF($A73="",1,IF(CS73=1,1,--AND(IF($AC73&gt;0,INDEX(CS$7:CS$106,$AC73),1),IF($AD73&gt;0,INDEX(CS$7:CS$106,$AD73),1),IF($AE73&gt;0,INDEX(CS$7:CS$106,$AE73),1),IF($AF73&gt;0,INDEX(CS$7:CS$106,$AF73),1),IF($AG73&gt;0,INDEX(CS$7:CS$106,$AG73),1),IF($AH73&gt;0,INDEX(CS$7:CS$106,$AH73),1),IF($AI73&gt;0,INDEX(CS$7:CS$106,$AI73),1),IF($AJ73&gt;0,INDEX(CS$7:CS$106,$AJ73),1))))</ns0:f>
        <ns0:v>1</ns0:v>
      </ns0:c>
      <ns0:c r="CU73" t="n">
        <ns0:f>IF($A73="",1,IF(CT73=1,1,--AND(IF($AC73&gt;0,INDEX(CT$7:CT$106,$AC73),1),IF($AD73&gt;0,INDEX(CT$7:CT$106,$AD73),1),IF($AE73&gt;0,INDEX(CT$7:CT$106,$AE73),1),IF($AF73&gt;0,INDEX(CT$7:CT$106,$AF73),1),IF($AG73&gt;0,INDEX(CT$7:CT$106,$AG73),1),IF($AH73&gt;0,INDEX(CT$7:CT$106,$AH73),1),IF($AI73&gt;0,INDEX(CT$7:CT$106,$AI73),1),IF($AJ73&gt;0,INDEX(CT$7:CT$106,$AJ73),1))))</ns0:f>
        <ns0:v>1</ns0:v>
      </ns0:c>
      <ns0:c r="CV73" t="n">
        <ns0:f>IF($A73="",1,IF(CU73=1,1,--AND(IF($AC73&gt;0,INDEX(CU$7:CU$106,$AC73),1),IF($AD73&gt;0,INDEX(CU$7:CU$106,$AD73),1),IF($AE73&gt;0,INDEX(CU$7:CU$106,$AE73),1),IF($AF73&gt;0,INDEX(CU$7:CU$106,$AF73),1),IF($AG73&gt;0,INDEX(CU$7:CU$106,$AG73),1),IF($AH73&gt;0,INDEX(CU$7:CU$106,$AH73),1),IF($AI73&gt;0,INDEX(CU$7:CU$106,$AI73),1),IF($AJ73&gt;0,INDEX(CU$7:CU$106,$AJ73),1))))</ns0:f>
        <ns0:v>1</ns0:v>
      </ns0:c>
      <ns0:c r="CW73" t="n">
        <ns0:f>IF($A73="",1,IF(CV73=1,1,--AND(IF($AC73&gt;0,INDEX(CV$7:CV$106,$AC73),1),IF($AD73&gt;0,INDEX(CV$7:CV$106,$AD73),1),IF($AE73&gt;0,INDEX(CV$7:CV$106,$AE73),1),IF($AF73&gt;0,INDEX(CV$7:CV$106,$AF73),1),IF($AG73&gt;0,INDEX(CV$7:CV$106,$AG73),1),IF($AH73&gt;0,INDEX(CV$7:CV$106,$AH73),1),IF($AI73&gt;0,INDEX(CV$7:CV$106,$AI73),1),IF($AJ73&gt;0,INDEX(CV$7:CV$106,$AJ73),1))))</ns0:f>
        <ns0:v>1</ns0:v>
      </ns0:c>
      <ns0:c r="CX73" t="n">
        <ns0:f>IF($A73="",1,IF(CW73=1,1,--AND(IF($AC73&gt;0,INDEX(CW$7:CW$106,$AC73),1),IF($AD73&gt;0,INDEX(CW$7:CW$106,$AD73),1),IF($AE73&gt;0,INDEX(CW$7:CW$106,$AE73),1),IF($AF73&gt;0,INDEX(CW$7:CW$106,$AF73),1),IF($AG73&gt;0,INDEX(CW$7:CW$106,$AG73),1),IF($AH73&gt;0,INDEX(CW$7:CW$106,$AH73),1),IF($AI73&gt;0,INDEX(CW$7:CW$106,$AI73),1),IF($AJ73&gt;0,INDEX(CW$7:CW$106,$AJ73),1))))</ns0:f>
        <ns0:v>1</ns0:v>
      </ns0:c>
      <ns0:c r="CY73" t="n">
        <ns0:f>IF($A73="",1,IF(CX73=1,1,--AND(IF($AC73&gt;0,INDEX(CX$7:CX$106,$AC73),1),IF($AD73&gt;0,INDEX(CX$7:CX$106,$AD73),1),IF($AE73&gt;0,INDEX(CX$7:CX$106,$AE73),1),IF($AF73&gt;0,INDEX(CX$7:CX$106,$AF73),1),IF($AG73&gt;0,INDEX(CX$7:CX$106,$AG73),1),IF($AH73&gt;0,INDEX(CX$7:CX$106,$AH73),1),IF($AI73&gt;0,INDEX(CX$7:CX$106,$AI73),1),IF($AJ73&gt;0,INDEX(CX$7:CX$106,$AJ73),1))))</ns0:f>
        <ns0:v>1</ns0:v>
      </ns0:c>
      <ns0:c r="CZ73" t="n">
        <ns0:f>IF($A73="",1,IF(CY73=1,1,--AND(IF($AC73&gt;0,INDEX(CY$7:CY$106,$AC73),1),IF($AD73&gt;0,INDEX(CY$7:CY$106,$AD73),1),IF($AE73&gt;0,INDEX(CY$7:CY$106,$AE73),1),IF($AF73&gt;0,INDEX(CY$7:CY$106,$AF73),1),IF($AG73&gt;0,INDEX(CY$7:CY$106,$AG73),1),IF($AH73&gt;0,INDEX(CY$7:CY$106,$AH73),1),IF($AI73&gt;0,INDEX(CY$7:CY$106,$AI73),1),IF($AJ73&gt;0,INDEX(CY$7:CY$106,$AJ73),1))))</ns0:f>
        <ns0:v>1</ns0:v>
      </ns0:c>
      <ns0:c r="DA73" t="n">
        <ns0:f>IF($A73="",1,IF(CZ73=1,1,--AND(IF($AC73&gt;0,INDEX(CZ$7:CZ$106,$AC73),1),IF($AD73&gt;0,INDEX(CZ$7:CZ$106,$AD73),1),IF($AE73&gt;0,INDEX(CZ$7:CZ$106,$AE73),1),IF($AF73&gt;0,INDEX(CZ$7:CZ$106,$AF73),1),IF($AG73&gt;0,INDEX(CZ$7:CZ$106,$AG73),1),IF($AH73&gt;0,INDEX(CZ$7:CZ$106,$AH73),1),IF($AI73&gt;0,INDEX(CZ$7:CZ$106,$AI73),1),IF($AJ73&gt;0,INDEX(CZ$7:CZ$106,$AJ73),1))))</ns0:f>
        <ns0:v>1</ns0:v>
      </ns0:c>
      <ns0:c r="DB73" t="n">
        <ns0:f>IF($A73="",1,IF(DA73=1,1,--AND(IF($AC73&gt;0,INDEX(DA$7:DA$106,$AC73),1),IF($AD73&gt;0,INDEX(DA$7:DA$106,$AD73),1),IF($AE73&gt;0,INDEX(DA$7:DA$106,$AE73),1),IF($AF73&gt;0,INDEX(DA$7:DA$106,$AF73),1),IF($AG73&gt;0,INDEX(DA$7:DA$106,$AG73),1),IF($AH73&gt;0,INDEX(DA$7:DA$106,$AH73),1),IF($AI73&gt;0,INDEX(DA$7:DA$106,$AI73),1),IF($AJ73&gt;0,INDEX(DA$7:DA$106,$AJ73),1))))</ns0:f>
        <ns0:v>1</ns0:v>
      </ns0:c>
      <ns0:c r="DC73" t="n">
        <ns0:f>IF($A73="",1,IF(DB73=1,1,--AND(IF($AC73&gt;0,INDEX(DB$7:DB$106,$AC73),1),IF($AD73&gt;0,INDEX(DB$7:DB$106,$AD73),1),IF($AE73&gt;0,INDEX(DB$7:DB$106,$AE73),1),IF($AF73&gt;0,INDEX(DB$7:DB$106,$AF73),1),IF($AG73&gt;0,INDEX(DB$7:DB$106,$AG73),1),IF($AH73&gt;0,INDEX(DB$7:DB$106,$AH73),1),IF($AI73&gt;0,INDEX(DB$7:DB$106,$AI73),1),IF($AJ73&gt;0,INDEX(DB$7:DB$106,$AJ73),1))))</ns0:f>
        <ns0:v>1</ns0:v>
      </ns0:c>
      <ns0:c r="DD73" t="n">
        <ns0:f>IF($A73="",1,IF(DC73=1,1,--AND(IF($AC73&gt;0,INDEX(DC$7:DC$106,$AC73),1),IF($AD73&gt;0,INDEX(DC$7:DC$106,$AD73),1),IF($AE73&gt;0,INDEX(DC$7:DC$106,$AE73),1),IF($AF73&gt;0,INDEX(DC$7:DC$106,$AF73),1),IF($AG73&gt;0,INDEX(DC$7:DC$106,$AG73),1),IF($AH73&gt;0,INDEX(DC$7:DC$106,$AH73),1),IF($AI73&gt;0,INDEX(DC$7:DC$106,$AI73),1),IF($AJ73&gt;0,INDEX(DC$7:DC$106,$AJ73),1))))</ns0:f>
        <ns0:v>1</ns0:v>
      </ns0:c>
      <ns0:c r="DE73" t="n">
        <ns0:f>IF($A73="",1,IF(DD73=1,1,--AND(IF($AC73&gt;0,INDEX(DD$7:DD$106,$AC73),1),IF($AD73&gt;0,INDEX(DD$7:DD$106,$AD73),1),IF($AE73&gt;0,INDEX(DD$7:DD$106,$AE73),1),IF($AF73&gt;0,INDEX(DD$7:DD$106,$AF73),1),IF($AG73&gt;0,INDEX(DD$7:DD$106,$AG73),1),IF($AH73&gt;0,INDEX(DD$7:DD$106,$AH73),1),IF($AI73&gt;0,INDEX(DD$7:DD$106,$AI73),1),IF($AJ73&gt;0,INDEX(DD$7:DD$106,$AJ73),1))))</ns0:f>
        <ns0:v>1</ns0:v>
      </ns0:c>
      <ns0:c r="DF73" t="n">
        <ns0:f>IF($A73="",1,IF(DE73=1,1,--AND(IF($AC73&gt;0,INDEX(DE$7:DE$106,$AC73),1),IF($AD73&gt;0,INDEX(DE$7:DE$106,$AD73),1),IF($AE73&gt;0,INDEX(DE$7:DE$106,$AE73),1),IF($AF73&gt;0,INDEX(DE$7:DE$106,$AF73),1),IF($AG73&gt;0,INDEX(DE$7:DE$106,$AG73),1),IF($AH73&gt;0,INDEX(DE$7:DE$106,$AH73),1),IF($AI73&gt;0,INDEX(DE$7:DE$106,$AI73),1),IF($AJ73&gt;0,INDEX(DE$7:DE$106,$AJ73),1))))</ns0:f>
        <ns0:v>1</ns0:v>
      </ns0:c>
      <ns0:c r="DG73" t="n">
        <ns0:f>IF($A73="",1,IF(DF73=1,1,--AND(IF($AC73&gt;0,INDEX(DF$7:DF$106,$AC73),1),IF($AD73&gt;0,INDEX(DF$7:DF$106,$AD73),1),IF($AE73&gt;0,INDEX(DF$7:DF$106,$AE73),1),IF($AF73&gt;0,INDEX(DF$7:DF$106,$AF73),1),IF($AG73&gt;0,INDEX(DF$7:DF$106,$AG73),1),IF($AH73&gt;0,INDEX(DF$7:DF$106,$AH73),1),IF($AI73&gt;0,INDEX(DF$7:DF$106,$AI73),1),IF($AJ73&gt;0,INDEX(DF$7:DF$106,$AJ73),1))))</ns0:f>
        <ns0:v>1</ns0:v>
      </ns0:c>
      <ns0:c r="DH73" t="n">
        <ns0:f>IF($A73="",1,IF(DG73=1,1,--AND(IF($AC73&gt;0,INDEX(DG$7:DG$106,$AC73),1),IF($AD73&gt;0,INDEX(DG$7:DG$106,$AD73),1),IF($AE73&gt;0,INDEX(DG$7:DG$106,$AE73),1),IF($AF73&gt;0,INDEX(DG$7:DG$106,$AF73),1),IF($AG73&gt;0,INDEX(DG$7:DG$106,$AG73),1),IF($AH73&gt;0,INDEX(DG$7:DG$106,$AH73),1),IF($AI73&gt;0,INDEX(DG$7:DG$106,$AI73),1),IF($AJ73&gt;0,INDEX(DG$7:DG$106,$AJ73),1))))</ns0:f>
        <ns0:v>1</ns0:v>
      </ns0:c>
      <ns0:c r="DI73" t="n">
        <ns0:f>IF($A73="",1,IF(DH73=1,1,--AND(IF($AC73&gt;0,INDEX(DH$7:DH$106,$AC73),1),IF($AD73&gt;0,INDEX(DH$7:DH$106,$AD73),1),IF($AE73&gt;0,INDEX(DH$7:DH$106,$AE73),1),IF($AF73&gt;0,INDEX(DH$7:DH$106,$AF73),1),IF($AG73&gt;0,INDEX(DH$7:DH$106,$AG73),1),IF($AH73&gt;0,INDEX(DH$7:DH$106,$AH73),1),IF($AI73&gt;0,INDEX(DH$7:DH$106,$AI73),1),IF($AJ73&gt;0,INDEX(DH$7:DH$106,$AJ73),1))))</ns0:f>
        <ns0:v>1</ns0:v>
      </ns0:c>
      <ns0:c r="DJ73" t="n">
        <ns0:f>IF($A73="",1,IF(DI73=1,1,--AND(IF($AC73&gt;0,INDEX(DI$7:DI$106,$AC73),1),IF($AD73&gt;0,INDEX(DI$7:DI$106,$AD73),1),IF($AE73&gt;0,INDEX(DI$7:DI$106,$AE73),1),IF($AF73&gt;0,INDEX(DI$7:DI$106,$AF73),1),IF($AG73&gt;0,INDEX(DI$7:DI$106,$AG73),1),IF($AH73&gt;0,INDEX(DI$7:DI$106,$AH73),1),IF($AI73&gt;0,INDEX(DI$7:DI$106,$AI73),1),IF($AJ73&gt;0,INDEX(DI$7:DI$106,$AJ73),1))))</ns0:f>
        <ns0:v>1</ns0:v>
      </ns0:c>
      <ns0:c r="DK73" t="n">
        <ns0:f>IF($A73="",1,IF(DJ73=1,1,--AND(IF($AC73&gt;0,INDEX(DJ$7:DJ$106,$AC73),1),IF($AD73&gt;0,INDEX(DJ$7:DJ$106,$AD73),1),IF($AE73&gt;0,INDEX(DJ$7:DJ$106,$AE73),1),IF($AF73&gt;0,INDEX(DJ$7:DJ$106,$AF73),1),IF($AG73&gt;0,INDEX(DJ$7:DJ$106,$AG73),1),IF($AH73&gt;0,INDEX(DJ$7:DJ$106,$AH73),1),IF($AI73&gt;0,INDEX(DJ$7:DJ$106,$AI73),1),IF($AJ73&gt;0,INDEX(DJ$7:DJ$106,$AJ73),1))))</ns0:f>
        <ns0:v>1</ns0:v>
      </ns0:c>
      <ns0:c r="DL73" t="n">
        <ns0:f>IF($A73="",1,IF(DK73=1,1,--AND(IF($AC73&gt;0,INDEX(DK$7:DK$106,$AC73),1),IF($AD73&gt;0,INDEX(DK$7:DK$106,$AD73),1),IF($AE73&gt;0,INDEX(DK$7:DK$106,$AE73),1),IF($AF73&gt;0,INDEX(DK$7:DK$106,$AF73),1),IF($AG73&gt;0,INDEX(DK$7:DK$106,$AG73),1),IF($AH73&gt;0,INDEX(DK$7:DK$106,$AH73),1),IF($AI73&gt;0,INDEX(DK$7:DK$106,$AI73),1),IF($AJ73&gt;0,INDEX(DK$7:DK$106,$AJ73),1))))</ns0:f>
        <ns0:v>1</ns0:v>
      </ns0:c>
      <ns0:c r="DM73" t="n">
        <ns0:f>IF($A73="",1,IF(DL73=1,1,--AND(IF($AC73&gt;0,INDEX(DL$7:DL$106,$AC73),1),IF($AD73&gt;0,INDEX(DL$7:DL$106,$AD73),1),IF($AE73&gt;0,INDEX(DL$7:DL$106,$AE73),1),IF($AF73&gt;0,INDEX(DL$7:DL$106,$AF73),1),IF($AG73&gt;0,INDEX(DL$7:DL$106,$AG73),1),IF($AH73&gt;0,INDEX(DL$7:DL$106,$AH73),1),IF($AI73&gt;0,INDEX(DL$7:DL$106,$AI73),1),IF($AJ73&gt;0,INDEX(DL$7:DL$106,$AJ73),1))))</ns0:f>
        <ns0:v>1</ns0:v>
      </ns0:c>
      <ns0:c r="DN73" t="n">
        <ns0:f>IF($A73="",1,IF(DM73=1,1,--AND(IF($AC73&gt;0,INDEX(DM$7:DM$106,$AC73),1),IF($AD73&gt;0,INDEX(DM$7:DM$106,$AD73),1),IF($AE73&gt;0,INDEX(DM$7:DM$106,$AE73),1),IF($AF73&gt;0,INDEX(DM$7:DM$106,$AF73),1),IF($AG73&gt;0,INDEX(DM$7:DM$106,$AG73),1),IF($AH73&gt;0,INDEX(DM$7:DM$106,$AH73),1),IF($AI73&gt;0,INDEX(DM$7:DM$106,$AI73),1),IF($AJ73&gt;0,INDEX(DM$7:DM$106,$AJ73),1))))</ns0:f>
        <ns0:v>1</ns0:v>
      </ns0:c>
      <ns0:c r="DO73" t="n">
        <ns0:f>IF($A73="",1,IF(DN73=1,1,--AND(IF($AC73&gt;0,INDEX(DN$7:DN$106,$AC73),1),IF($AD73&gt;0,INDEX(DN$7:DN$106,$AD73),1),IF($AE73&gt;0,INDEX(DN$7:DN$106,$AE73),1),IF($AF73&gt;0,INDEX(DN$7:DN$106,$AF73),1),IF($AG73&gt;0,INDEX(DN$7:DN$106,$AG73),1),IF($AH73&gt;0,INDEX(DN$7:DN$106,$AH73),1),IF($AI73&gt;0,INDEX(DN$7:DN$106,$AI73),1),IF($AJ73&gt;0,INDEX(DN$7:DN$106,$AJ73),1))))</ns0:f>
        <ns0:v>1</ns0:v>
      </ns0:c>
      <ns0:c r="DP73" t="n">
        <ns0:f>IF($A73="",1,IF(DO73=1,1,--AND(IF($AC73&gt;0,INDEX(DO$7:DO$106,$AC73),1),IF($AD73&gt;0,INDEX(DO$7:DO$106,$AD73),1),IF($AE73&gt;0,INDEX(DO$7:DO$106,$AE73),1),IF($AF73&gt;0,INDEX(DO$7:DO$106,$AF73),1),IF($AG73&gt;0,INDEX(DO$7:DO$106,$AG73),1),IF($AH73&gt;0,INDEX(DO$7:DO$106,$AH73),1),IF($AI73&gt;0,INDEX(DO$7:DO$106,$AI73),1),IF($AJ73&gt;0,INDEX(DO$7:DO$106,$AJ73),1))))</ns0:f>
        <ns0:v>1</ns0:v>
      </ns0:c>
      <ns0:c r="DQ73" t="n">
        <ns0:f>IF($A73="",1,IF(DP73=1,1,--AND(IF($AC73&gt;0,INDEX(DP$7:DP$106,$AC73),1),IF($AD73&gt;0,INDEX(DP$7:DP$106,$AD73),1),IF($AE73&gt;0,INDEX(DP$7:DP$106,$AE73),1),IF($AF73&gt;0,INDEX(DP$7:DP$106,$AF73),1),IF($AG73&gt;0,INDEX(DP$7:DP$106,$AG73),1),IF($AH73&gt;0,INDEX(DP$7:DP$106,$AH73),1),IF($AI73&gt;0,INDEX(DP$7:DP$106,$AI73),1),IF($AJ73&gt;0,INDEX(DP$7:DP$106,$AJ73),1))))</ns0:f>
        <ns0:v>1</ns0:v>
      </ns0:c>
      <ns0:c r="DR73" t="n">
        <ns0:f>IF($A73="",1,IF(DQ73=1,1,--AND(IF($AC73&gt;0,INDEX(DQ$7:DQ$106,$AC73),1),IF($AD73&gt;0,INDEX(DQ$7:DQ$106,$AD73),1),IF($AE73&gt;0,INDEX(DQ$7:DQ$106,$AE73),1),IF($AF73&gt;0,INDEX(DQ$7:DQ$106,$AF73),1),IF($AG73&gt;0,INDEX(DQ$7:DQ$106,$AG73),1),IF($AH73&gt;0,INDEX(DQ$7:DQ$106,$AH73),1),IF($AI73&gt;0,INDEX(DQ$7:DQ$106,$AI73),1),IF($AJ73&gt;0,INDEX(DQ$7:DQ$106,$AJ73),1))))</ns0:f>
        <ns0:v>1</ns0:v>
      </ns0:c>
      <ns0:c r="DS73" t="n">
        <ns0:f>IF($A73="",1,IF(DR73=1,1,--AND(IF($AC73&gt;0,INDEX(DR$7:DR$106,$AC73),1),IF($AD73&gt;0,INDEX(DR$7:DR$106,$AD73),1),IF($AE73&gt;0,INDEX(DR$7:DR$106,$AE73),1),IF($AF73&gt;0,INDEX(DR$7:DR$106,$AF73),1),IF($AG73&gt;0,INDEX(DR$7:DR$106,$AG73),1),IF($AH73&gt;0,INDEX(DR$7:DR$106,$AH73),1),IF($AI73&gt;0,INDEX(DR$7:DR$106,$AI73),1),IF($AJ73&gt;0,INDEX(DR$7:DR$106,$AJ73),1))))</ns0:f>
        <ns0:v>1</ns0:v>
      </ns0:c>
      <ns0:c r="DT73" t="n">
        <ns0:f>IF($A73="",1,IF(DS73=1,1,--AND(IF($AC73&gt;0,INDEX(DS$7:DS$106,$AC73),1),IF($AD73&gt;0,INDEX(DS$7:DS$106,$AD73),1),IF($AE73&gt;0,INDEX(DS$7:DS$106,$AE73),1),IF($AF73&gt;0,INDEX(DS$7:DS$106,$AF73),1),IF($AG73&gt;0,INDEX(DS$7:DS$106,$AG73),1),IF($AH73&gt;0,INDEX(DS$7:DS$106,$AH73),1),IF($AI73&gt;0,INDEX(DS$7:DS$106,$AI73),1),IF($AJ73&gt;0,INDEX(DS$7:DS$106,$AJ73),1))))</ns0:f>
        <ns0:v>1</ns0:v>
      </ns0:c>
      <ns0:c r="DU73" t="n">
        <ns0:f>IF($A73="",1,IF(DT73=1,1,--AND(IF($AC73&gt;0,INDEX(DT$7:DT$106,$AC73),1),IF($AD73&gt;0,INDEX(DT$7:DT$106,$AD73),1),IF($AE73&gt;0,INDEX(DT$7:DT$106,$AE73),1),IF($AF73&gt;0,INDEX(DT$7:DT$106,$AF73),1),IF($AG73&gt;0,INDEX(DT$7:DT$106,$AG73),1),IF($AH73&gt;0,INDEX(DT$7:DT$106,$AH73),1),IF($AI73&gt;0,INDEX(DT$7:DT$106,$AI73),1),IF($AJ73&gt;0,INDEX(DT$7:DT$106,$AJ73),1))))</ns0:f>
        <ns0:v>1</ns0:v>
      </ns0:c>
      <ns0:c r="DV73" t="n">
        <ns0:f>IF($A73="",1,IF(DU73=1,1,--AND(IF($AC73&gt;0,INDEX(DU$7:DU$106,$AC73),1),IF($AD73&gt;0,INDEX(DU$7:DU$106,$AD73),1),IF($AE73&gt;0,INDEX(DU$7:DU$106,$AE73),1),IF($AF73&gt;0,INDEX(DU$7:DU$106,$AF73),1),IF($AG73&gt;0,INDEX(DU$7:DU$106,$AG73),1),IF($AH73&gt;0,INDEX(DU$7:DU$106,$AH73),1),IF($AI73&gt;0,INDEX(DU$7:DU$106,$AI73),1),IF($AJ73&gt;0,INDEX(DU$7:DU$106,$AJ73),1))))</ns0:f>
        <ns0:v>1</ns0:v>
      </ns0:c>
      <ns0:c r="DW73" t="n">
        <ns0:f>IF($A73="",1,IF(DV73=1,1,--AND(IF($AC73&gt;0,INDEX(DV$7:DV$106,$AC73),1),IF($AD73&gt;0,INDEX(DV$7:DV$106,$AD73),1),IF($AE73&gt;0,INDEX(DV$7:DV$106,$AE73),1),IF($AF73&gt;0,INDEX(DV$7:DV$106,$AF73),1),IF($AG73&gt;0,INDEX(DV$7:DV$106,$AG73),1),IF($AH73&gt;0,INDEX(DV$7:DV$106,$AH73),1),IF($AI73&gt;0,INDEX(DV$7:DV$106,$AI73),1),IF($AJ73&gt;0,INDEX(DV$7:DV$106,$AJ73),1))))</ns0:f>
        <ns0:v>1</ns0:v>
      </ns0:c>
      <ns0:c r="DX73" t="n">
        <ns0:f>IF($A73="",1,IF(DW73=1,1,--AND(IF($AC73&gt;0,INDEX(DW$7:DW$106,$AC73),1),IF($AD73&gt;0,INDEX(DW$7:DW$106,$AD73),1),IF($AE73&gt;0,INDEX(DW$7:DW$106,$AE73),1),IF($AF73&gt;0,INDEX(DW$7:DW$106,$AF73),1),IF($AG73&gt;0,INDEX(DW$7:DW$106,$AG73),1),IF($AH73&gt;0,INDEX(DW$7:DW$106,$AH73),1),IF($AI73&gt;0,INDEX(DW$7:DW$106,$AI73),1),IF($AJ73&gt;0,INDEX(DW$7:DW$106,$AJ73),1))))</ns0:f>
        <ns0:v>1</ns0:v>
      </ns0:c>
      <ns0:c r="DY73" t="n">
        <ns0:f>IF($A73="",1,IF(DX73=1,1,--AND(IF($AC73&gt;0,INDEX(DX$7:DX$106,$AC73),1),IF($AD73&gt;0,INDEX(DX$7:DX$106,$AD73),1),IF($AE73&gt;0,INDEX(DX$7:DX$106,$AE73),1),IF($AF73&gt;0,INDEX(DX$7:DX$106,$AF73),1),IF($AG73&gt;0,INDEX(DX$7:DX$106,$AG73),1),IF($AH73&gt;0,INDEX(DX$7:DX$106,$AH73),1),IF($AI73&gt;0,INDEX(DX$7:DX$106,$AI73),1),IF($AJ73&gt;0,INDEX(DX$7:DX$106,$AJ73),1))))</ns0:f>
        <ns0:v>1</ns0:v>
      </ns0:c>
      <ns0:c r="DZ73" t="n">
        <ns0:f>IF($A73="",1,IF(DY73=1,1,--AND(IF($AC73&gt;0,INDEX(DY$7:DY$106,$AC73),1),IF($AD73&gt;0,INDEX(DY$7:DY$106,$AD73),1),IF($AE73&gt;0,INDEX(DY$7:DY$106,$AE73),1),IF($AF73&gt;0,INDEX(DY$7:DY$106,$AF73),1),IF($AG73&gt;0,INDEX(DY$7:DY$106,$AG73),1),IF($AH73&gt;0,INDEX(DY$7:DY$106,$AH73),1),IF($AI73&gt;0,INDEX(DY$7:DY$106,$AI73),1),IF($AJ73&gt;0,INDEX(DY$7:DY$106,$AJ73),1))))</ns0:f>
        <ns0:v>1</ns0:v>
      </ns0:c>
      <ns0:c r="EA73" t="n">
        <ns0:f>IF($A73="",1,IF(DZ73=1,1,--AND(IF($AC73&gt;0,INDEX(DZ$7:DZ$106,$AC73),1),IF($AD73&gt;0,INDEX(DZ$7:DZ$106,$AD73),1),IF($AE73&gt;0,INDEX(DZ$7:DZ$106,$AE73),1),IF($AF73&gt;0,INDEX(DZ$7:DZ$106,$AF73),1),IF($AG73&gt;0,INDEX(DZ$7:DZ$106,$AG73),1),IF($AH73&gt;0,INDEX(DZ$7:DZ$106,$AH73),1),IF($AI73&gt;0,INDEX(DZ$7:DZ$106,$AI73),1),IF($AJ73&gt;0,INDEX(DZ$7:DZ$106,$AJ73),1))))</ns0:f>
        <ns0:v>1</ns0:v>
      </ns0:c>
      <ns0:c r="EB73" t="n">
        <ns0:f>IF($A73="",1,IF(EA73=1,1,--AND(IF($AC73&gt;0,INDEX(EA$7:EA$106,$AC73),1),IF($AD73&gt;0,INDEX(EA$7:EA$106,$AD73),1),IF($AE73&gt;0,INDEX(EA$7:EA$106,$AE73),1),IF($AF73&gt;0,INDEX(EA$7:EA$106,$AF73),1),IF($AG73&gt;0,INDEX(EA$7:EA$106,$AG73),1),IF($AH73&gt;0,INDEX(EA$7:EA$106,$AH73),1),IF($AI73&gt;0,INDEX(EA$7:EA$106,$AI73),1),IF($AJ73&gt;0,INDEX(EA$7:EA$106,$AJ73),1))))</ns0:f>
        <ns0:v>1</ns0:v>
      </ns0:c>
      <ns0:c r="EC73" t="n">
        <ns0:f>IF($A73="",1,IF(EB73=1,1,--AND(IF($AC73&gt;0,INDEX(EB$7:EB$106,$AC73),1),IF($AD73&gt;0,INDEX(EB$7:EB$106,$AD73),1),IF($AE73&gt;0,INDEX(EB$7:EB$106,$AE73),1),IF($AF73&gt;0,INDEX(EB$7:EB$106,$AF73),1),IF($AG73&gt;0,INDEX(EB$7:EB$106,$AG73),1),IF($AH73&gt;0,INDEX(EB$7:EB$106,$AH73),1),IF($AI73&gt;0,INDEX(EB$7:EB$106,$AI73),1),IF($AJ73&gt;0,INDEX(EB$7:EB$106,$AJ73),1))))</ns0:f>
        <ns0:v>1</ns0:v>
      </ns0:c>
      <ns0:c r="ED73" t="n">
        <ns0:f>IF($A73="",1,IF(EC73=1,1,--AND(IF($AC73&gt;0,INDEX(EC$7:EC$106,$AC73),1),IF($AD73&gt;0,INDEX(EC$7:EC$106,$AD73),1),IF($AE73&gt;0,INDEX(EC$7:EC$106,$AE73),1),IF($AF73&gt;0,INDEX(EC$7:EC$106,$AF73),1),IF($AG73&gt;0,INDEX(EC$7:EC$106,$AG73),1),IF($AH73&gt;0,INDEX(EC$7:EC$106,$AH73),1),IF($AI73&gt;0,INDEX(EC$7:EC$106,$AI73),1),IF($AJ73&gt;0,INDEX(EC$7:EC$106,$AJ73),1))))</ns0:f>
        <ns0:v>1</ns0:v>
      </ns0:c>
      <ns0:c r="EE73" t="n">
        <ns0:f>IF($A73="",1,IF(ED73=1,1,--AND(IF($AC73&gt;0,INDEX(ED$7:ED$106,$AC73),1),IF($AD73&gt;0,INDEX(ED$7:ED$106,$AD73),1),IF($AE73&gt;0,INDEX(ED$7:ED$106,$AE73),1),IF($AF73&gt;0,INDEX(ED$7:ED$106,$AF73),1),IF($AG73&gt;0,INDEX(ED$7:ED$106,$AG73),1),IF($AH73&gt;0,INDEX(ED$7:ED$106,$AH73),1),IF($AI73&gt;0,INDEX(ED$7:ED$106,$AI73),1),IF($AJ73&gt;0,INDEX(ED$7:ED$106,$AJ73),1))))</ns0:f>
        <ns0:v>1</ns0:v>
      </ns0:c>
      <ns0:c r="EF73" t="n">
        <ns0:f>IF($A73="",1,IF(EE73=1,1,--AND(IF($AC73&gt;0,INDEX(EE$7:EE$106,$AC73),1),IF($AD73&gt;0,INDEX(EE$7:EE$106,$AD73),1),IF($AE73&gt;0,INDEX(EE$7:EE$106,$AE73),1),IF($AF73&gt;0,INDEX(EE$7:EE$106,$AF73),1),IF($AG73&gt;0,INDEX(EE$7:EE$106,$AG73),1),IF($AH73&gt;0,INDEX(EE$7:EE$106,$AH73),1),IF($AI73&gt;0,INDEX(EE$7:EE$106,$AI73),1),IF($AJ73&gt;0,INDEX(EE$7:EE$106,$AJ73),1))))</ns0:f>
        <ns0:v>1</ns0:v>
      </ns0:c>
      <ns0:c r="EG73" t="n">
        <ns0:f>IF($A73="",1,IF(EF73=1,1,--AND(IF($AC73&gt;0,INDEX(EF$7:EF$106,$AC73),1),IF($AD73&gt;0,INDEX(EF$7:EF$106,$AD73),1),IF($AE73&gt;0,INDEX(EF$7:EF$106,$AE73),1),IF($AF73&gt;0,INDEX(EF$7:EF$106,$AF73),1),IF($AG73&gt;0,INDEX(EF$7:EF$106,$AG73),1),IF($AH73&gt;0,INDEX(EF$7:EF$106,$AH73),1),IF($AI73&gt;0,INDEX(EF$7:EF$106,$AI73),1),IF($AJ73&gt;0,INDEX(EF$7:EF$106,$AJ73),1))))</ns0:f>
        <ns0:v>1</ns0:v>
      </ns0:c>
      <ns0:c r="EH73" t="n">
        <ns0:f>IF($A73="",1,IF(EG73=1,1,--AND(IF($AC73&gt;0,INDEX(EG$7:EG$106,$AC73),1),IF($AD73&gt;0,INDEX(EG$7:EG$106,$AD73),1),IF($AE73&gt;0,INDEX(EG$7:EG$106,$AE73),1),IF($AF73&gt;0,INDEX(EG$7:EG$106,$AF73),1),IF($AG73&gt;0,INDEX(EG$7:EG$106,$AG73),1),IF($AH73&gt;0,INDEX(EG$7:EG$106,$AH73),1),IF($AI73&gt;0,INDEX(EG$7:EG$106,$AI73),1),IF($AJ73&gt;0,INDEX(EG$7:EG$106,$AJ73),1))))</ns0:f>
        <ns0:v>1</ns0:v>
      </ns0:c>
      <ns0:c r="EI73" t="n">
        <ns0:f>IF($A73="",1,IF(EH73=1,1,--AND(IF($AC73&gt;0,INDEX(EH$7:EH$106,$AC73),1),IF($AD73&gt;0,INDEX(EH$7:EH$106,$AD73),1),IF($AE73&gt;0,INDEX(EH$7:EH$106,$AE73),1),IF($AF73&gt;0,INDEX(EH$7:EH$106,$AF73),1),IF($AG73&gt;0,INDEX(EH$7:EH$106,$AG73),1),IF($AH73&gt;0,INDEX(EH$7:EH$106,$AH73),1),IF($AI73&gt;0,INDEX(EH$7:EH$106,$AI73),1),IF($AJ73&gt;0,INDEX(EH$7:EH$106,$AJ73),1))))</ns0:f>
        <ns0:v>1</ns0:v>
      </ns0:c>
      <ns0:c r="EJ73" t="n">
        <ns0:f>IF($A73="",1,IF(EI73=1,1,--AND(IF($AC73&gt;0,INDEX(EI$7:EI$106,$AC73),1),IF($AD73&gt;0,INDEX(EI$7:EI$106,$AD73),1),IF($AE73&gt;0,INDEX(EI$7:EI$106,$AE73),1),IF($AF73&gt;0,INDEX(EI$7:EI$106,$AF73),1),IF($AG73&gt;0,INDEX(EI$7:EI$106,$AG73),1),IF($AH73&gt;0,INDEX(EI$7:EI$106,$AH73),1),IF($AI73&gt;0,INDEX(EI$7:EI$106,$AI73),1),IF($AJ73&gt;0,INDEX(EI$7:EI$106,$AJ73),1))))</ns0:f>
        <ns0:v>1</ns0:v>
      </ns0:c>
      <ns0:c r="EK73" t="n">
        <ns0:f>IF($A73="",1,IF(EJ73=1,1,--AND(IF($AC73&gt;0,INDEX(EJ$7:EJ$106,$AC73),1),IF($AD73&gt;0,INDEX(EJ$7:EJ$106,$AD73),1),IF($AE73&gt;0,INDEX(EJ$7:EJ$106,$AE73),1),IF($AF73&gt;0,INDEX(EJ$7:EJ$106,$AF73),1),IF($AG73&gt;0,INDEX(EJ$7:EJ$106,$AG73),1),IF($AH73&gt;0,INDEX(EJ$7:EJ$106,$AH73),1),IF($AI73&gt;0,INDEX(EJ$7:EJ$106,$AI73),1),IF($AJ73&gt;0,INDEX(EJ$7:EJ$106,$AJ73),1))))</ns0:f>
        <ns0:v>1</ns0:v>
      </ns0:c>
      <ns0:c r="EL73" t="n">
        <ns0:f>IF($A73="",1,IF(EK73=1,1,--AND(IF($AC73&gt;0,INDEX(EK$7:EK$106,$AC73),1),IF($AD73&gt;0,INDEX(EK$7:EK$106,$AD73),1),IF($AE73&gt;0,INDEX(EK$7:EK$106,$AE73),1),IF($AF73&gt;0,INDEX(EK$7:EK$106,$AF73),1),IF($AG73&gt;0,INDEX(EK$7:EK$106,$AG73),1),IF($AH73&gt;0,INDEX(EK$7:EK$106,$AH73),1),IF($AI73&gt;0,INDEX(EK$7:EK$106,$AI73),1),IF($AJ73&gt;0,INDEX(EK$7:EK$106,$AJ73),1))))</ns0:f>
        <ns0:v>1</ns0:v>
      </ns0:c>
      <ns0:c r="EM73" t="n">
        <ns0:f>IF($A73="",1,IF(EL73=1,1,--AND(IF($AC73&gt;0,INDEX(EL$7:EL$106,$AC73),1),IF($AD73&gt;0,INDEX(EL$7:EL$106,$AD73),1),IF($AE73&gt;0,INDEX(EL$7:EL$106,$AE73),1),IF($AF73&gt;0,INDEX(EL$7:EL$106,$AF73),1),IF($AG73&gt;0,INDEX(EL$7:EL$106,$AG73),1),IF($AH73&gt;0,INDEX(EL$7:EL$106,$AH73),1),IF($AI73&gt;0,INDEX(EL$7:EL$106,$AI73),1),IF($AJ73&gt;0,INDEX(EL$7:EL$106,$AJ73),1))))</ns0:f>
        <ns0:v>1</ns0:v>
      </ns0:c>
      <ns0:c r="EN73" t="n">
        <ns0:f>IF($A73="",1,IF(EM73=1,1,--AND(IF($AC73&gt;0,INDEX(EM$7:EM$106,$AC73),1),IF($AD73&gt;0,INDEX(EM$7:EM$106,$AD73),1),IF($AE73&gt;0,INDEX(EM$7:EM$106,$AE73),1),IF($AF73&gt;0,INDEX(EM$7:EM$106,$AF73),1),IF($AG73&gt;0,INDEX(EM$7:EM$106,$AG73),1),IF($AH73&gt;0,INDEX(EM$7:EM$106,$AH73),1),IF($AI73&gt;0,INDEX(EM$7:EM$106,$AI73),1),IF($AJ73&gt;0,INDEX(EM$7:EM$106,$AJ73),1))))</ns0:f>
        <ns0:v>1</ns0:v>
      </ns0:c>
      <ns0:c r="EO73" t="n">
        <ns0:f>IF($A73="",1,IF(EN73=1,1,--AND(IF($AC73&gt;0,INDEX(EN$7:EN$106,$AC73),1),IF($AD73&gt;0,INDEX(EN$7:EN$106,$AD73),1),IF($AE73&gt;0,INDEX(EN$7:EN$106,$AE73),1),IF($AF73&gt;0,INDEX(EN$7:EN$106,$AF73),1),IF($AG73&gt;0,INDEX(EN$7:EN$106,$AG73),1),IF($AH73&gt;0,INDEX(EN$7:EN$106,$AH73),1),IF($AI73&gt;0,INDEX(EN$7:EN$106,$AI73),1),IF($AJ73&gt;0,INDEX(EN$7:EN$106,$AJ73),1))))</ns0:f>
        <ns0:v>1</ns0:v>
      </ns0:c>
      <ns0:c r="EP73" t="n">
        <ns0:f>IF($A73="",1,IF(EO73=1,1,--AND(IF($AC73&gt;0,INDEX(EO$7:EO$106,$AC73),1),IF($AD73&gt;0,INDEX(EO$7:EO$106,$AD73),1),IF($AE73&gt;0,INDEX(EO$7:EO$106,$AE73),1),IF($AF73&gt;0,INDEX(EO$7:EO$106,$AF73),1),IF($AG73&gt;0,INDEX(EO$7:EO$106,$AG73),1),IF($AH73&gt;0,INDEX(EO$7:EO$106,$AH73),1),IF($AI73&gt;0,INDEX(EO$7:EO$106,$AI73),1),IF($AJ73&gt;0,INDEX(EO$7:EO$106,$AJ73),1))))</ns0:f>
        <ns0:v>1</ns0:v>
      </ns0:c>
      <ns0:c r="EQ73" t="n">
        <ns0:f>IF(OR(A73="",NOT(ISNUMBER(G73))),0,G73*N73)</ns0:f>
        <ns0:v>0</ns0:v>
      </ns0:c>
    </ns0:row>
    <ns0:row r="74" ht="62" customHeight="1">
      <ns0:c r="A74" s="48"/>
      <ns0:c r="B74" s="48"/>
      <ns0:c r="C74" s="48"/>
      <ns0:c r="D74" s="48"/>
      <ns0:c r="E74" s="49"/>
      <ns0:c r="F74" s="49"/>
      <ns0:c r="G74" s="13" t="str">
        <ns0:f>IF(A74="","",IF(OR(NOT(ISNUMBER(E74)),NOT(ISNUMBER(F74)),F74&lt;E74),"",IF(J74="Yes",0,F74-E74+1)))</ns0:f>
      </ns0:c>
      <ns0:c r="H74" s="48"/>
      <ns0:c r="I74" s="48"/>
      <ns0:c r="J74" s="48"/>
      <ns0:c r="K74" s="48"/>
      <ns0:c r="L74" s="48"/>
      <ns0:c r="M74" s="50" t="str">
        <ns0:f>IF(A74="","",IF(N74=1,"Completed",IF(N74&gt;0,"In Progress","Not Started")))</ns0:f>
      </ns0:c>
      <ns0:c r="N74" s="51"/>
      <ns0:c r="O74" s="13" t="str">
        <ns0:f>IF(A74="","",IF(R74&lt;&gt;"","[CONFLICT] "&amp;R74,IF(S74&lt;&gt;"","[CONFLICT] "&amp;S74,IF(OR(NOT(ISNUMBER(N74)),N74&lt;0,N74&gt;1),"[CONFLICT] Invalid progress",IF(AK74&gt;0,"[DEPENDENCY ISSUE] Missing ID / &gt;8 links",IF(AM74&gt;0,"[DEPENDENCY ISSUE] Cycle or blocked by cycle",IF(AND(H74&lt;&gt;"",ISNA(MATCH(I74,{"FS","SS","FF","SF"},0))),"[DEPENDENCY ISSUE] Invalid type",IF(AL74&gt;0,"[DEPENDENCY ISSUE] Timing conflict",IF(OR(E74&lt;ProjectStart,F74&gt;ProjectEnd),"[OUTSIDE WINDOW]",IF(AND(N74&lt;1,F74&lt;AsOfDate),"Overdue",IF(AND(M74&lt;&gt;Q74,M74&lt;&gt;""),"[CONFLICT] Status / progress","On track")))))))))))</ns0:f>
      </ns0:c>
      <ns0:c r="P74" s="52"/>
      <ns0:c r="Q74" t="str">
        <ns0:f>IF(A74="","",IF(OR(M74="On Hold",M74="Delayed"),M74,IF(N74=1,"Completed",IF(N74&gt;0,"In Progress","Not Started"))))</ns0:f>
      </ns0:c>
      <ns0:c r="R74" t="str">
        <ns0:f>IF(A74="","",IF(COUNTIFS(Tasks[Task ID],A74)&lt;&gt;1,"Duplicate ID",""))</ns0:f>
      </ns0:c>
      <ns0:c r="S74" t="str">
        <ns0:f>IF(A74="","",IF(OR(NOT(ISNUMBER(E74)),NOT(ISNUMBER(F74))),"Invalid / missing date",IF(OR(E74&lt;&gt;INT(E74),F74&lt;&gt;INT(F74),E74&lt;1,F74&gt;2958465),"Invalid date",IF(F74&lt;E74,"End before start",IF(AND(J74="Yes",E74&lt;&gt;F74),"Milestone needs one date","")))))</ns0:f>
      </ns0:c>
      <ns0:c r="T74" t="n">
        <ns0:f>IF(H74="",0,LEN(H74)-LEN(SUBSTITUTE(H74,",",""))+1)</ns0:f>
        <ns0:v>0</ns0:v>
      </ns0:c>
      <ns0:c r="U74" t="str">
        <ns0:f>TRIM(MID(SUBSTITUTE($H74,",",REPT(" ",100)),1,100))</ns0:f>
      </ns0:c>
      <ns0:c r="V74" t="str">
        <ns0:f>TRIM(MID(SUBSTITUTE($H74,",",REPT(" ",100)),101,100))</ns0:f>
      </ns0:c>
      <ns0:c r="W74" t="str">
        <ns0:f>TRIM(MID(SUBSTITUTE($H74,",",REPT(" ",100)),201,100))</ns0:f>
      </ns0:c>
      <ns0:c r="X74" t="str">
        <ns0:f>TRIM(MID(SUBSTITUTE($H74,",",REPT(" ",100)),301,100))</ns0:f>
      </ns0:c>
      <ns0:c r="Y74" t="str">
        <ns0:f>TRIM(MID(SUBSTITUTE($H74,",",REPT(" ",100)),401,100))</ns0:f>
      </ns0:c>
      <ns0:c r="Z74" t="str">
        <ns0:f>TRIM(MID(SUBSTITUTE($H74,",",REPT(" ",100)),501,100))</ns0:f>
      </ns0:c>
      <ns0:c r="AA74" t="str">
        <ns0:f>TRIM(MID(SUBSTITUTE($H74,",",REPT(" ",100)),601,100))</ns0:f>
      </ns0:c>
      <ns0:c r="AB74" t="str">
        <ns0:f>TRIM(MID(SUBSTITUTE($H74,",",REPT(" ",100)),701,100))</ns0:f>
      </ns0:c>
      <ns0:c r="AC74" t="n">
        <ns0:f>IF(U74="",0,IF(COUNTIFS(Tasks[Task ID],U74)=1,MATCH(U74,Tasks[Task ID],0),-1))</ns0:f>
        <ns0:v>0</ns0:v>
      </ns0:c>
      <ns0:c r="AD74" t="n">
        <ns0:f>IF(V74="",0,IF(COUNTIFS(Tasks[Task ID],V74)=1,MATCH(V74,Tasks[Task ID],0),-1))</ns0:f>
        <ns0:v>0</ns0:v>
      </ns0:c>
      <ns0:c r="AE74" t="n">
        <ns0:f>IF(W74="",0,IF(COUNTIFS(Tasks[Task ID],W74)=1,MATCH(W74,Tasks[Task ID],0),-1))</ns0:f>
        <ns0:v>0</ns0:v>
      </ns0:c>
      <ns0:c r="AF74" t="n">
        <ns0:f>IF(X74="",0,IF(COUNTIFS(Tasks[Task ID],X74)=1,MATCH(X74,Tasks[Task ID],0),-1))</ns0:f>
        <ns0:v>0</ns0:v>
      </ns0:c>
      <ns0:c r="AG74" t="n">
        <ns0:f>IF(Y74="",0,IF(COUNTIFS(Tasks[Task ID],Y74)=1,MATCH(Y74,Tasks[Task ID],0),-1))</ns0:f>
        <ns0:v>0</ns0:v>
      </ns0:c>
      <ns0:c r="AH74" t="n">
        <ns0:f>IF(Z74="",0,IF(COUNTIFS(Tasks[Task ID],Z74)=1,MATCH(Z74,Tasks[Task ID],0),-1))</ns0:f>
        <ns0:v>0</ns0:v>
      </ns0:c>
      <ns0:c r="AI74" t="n">
        <ns0:f>IF(AA74="",0,IF(COUNTIFS(Tasks[Task ID],AA74)=1,MATCH(AA74,Tasks[Task ID],0),-1))</ns0:f>
        <ns0:v>0</ns0:v>
      </ns0:c>
      <ns0:c r="AJ74" t="n">
        <ns0:f>IF(AB74="",0,IF(COUNTIFS(Tasks[Task ID],AB74)=1,MATCH(AB74,Tasks[Task ID],0),-1))</ns0:f>
        <ns0:v>0</ns0:v>
      </ns0:c>
      <ns0:c r="AK74" t="n">
        <ns0:f>COUNTIFS(AC74:AJ74,-1)+IF(T74&gt;8,1,0)</ns0:f>
        <ns0:v>0</ns0:v>
      </ns0:c>
      <ns0:c r="AL74" t="n">
        <ns0:f>IF(OR(A74="",S74&lt;&gt;""),0,SUM(IF(AC74&gt;0,IF($I74="FS",--($E74&lt;INDEX(Tasks[End Date],AC74)+IF(INDEX(Tasks[Milestone],AC74)="Yes",0,1)),IF($I74="SS",--($E74&lt;INDEX(Tasks[Start Date],AC74)),IF($I74="FF",--($F74&lt;INDEX(Tasks[End Date],AC74)),IF($I74="SF",--($F74&lt;INDEX(Tasks[Start Date],AC74)),0)))),0),IF(AD74&gt;0,IF($I74="FS",--($E74&lt;INDEX(Tasks[End Date],AD74)+IF(INDEX(Tasks[Milestone],AD74)="Yes",0,1)),IF($I74="SS",--($E74&lt;INDEX(Tasks[Start Date],AD74)),IF($I74="FF",--($F74&lt;INDEX(Tasks[End Date],AD74)),IF($I74="SF",--($F74&lt;INDEX(Tasks[Start Date],AD74)),0)))),0),IF(AE74&gt;0,IF($I74="FS",--($E74&lt;INDEX(Tasks[End Date],AE74)+IF(INDEX(Tasks[Milestone],AE74)="Yes",0,1)),IF($I74="SS",--($E74&lt;INDEX(Tasks[Start Date],AE74)),IF($I74="FF",--($F74&lt;INDEX(Tasks[End Date],AE74)),IF($I74="SF",--($F74&lt;INDEX(Tasks[Start Date],AE74)),0)))),0),IF(AF74&gt;0,IF($I74="FS",--($E74&lt;INDEX(Tasks[End Date],AF74)+IF(INDEX(Tasks[Milestone],AF74)="Yes",0,1)),IF($I74="SS",--($E74&lt;INDEX(Tasks[Start Date],AF74)),IF($I74="FF",--($F74&lt;INDEX(Tasks[End Date],AF74)),IF($I74="SF",--($F74&lt;INDEX(Tasks[Start Date],AF74)),0)))),0),IF(AG74&gt;0,IF($I74="FS",--($E74&lt;INDEX(Tasks[End Date],AG74)+IF(INDEX(Tasks[Milestone],AG74)="Yes",0,1)),IF($I74="SS",--($E74&lt;INDEX(Tasks[Start Date],AG74)),IF($I74="FF",--($F74&lt;INDEX(Tasks[End Date],AG74)),IF($I74="SF",--($F74&lt;INDEX(Tasks[Start Date],AG74)),0)))),0),IF(AH74&gt;0,IF($I74="FS",--($E74&lt;INDEX(Tasks[End Date],AH74)+IF(INDEX(Tasks[Milestone],AH74)="Yes",0,1)),IF($I74="SS",--($E74&lt;INDEX(Tasks[Start Date],AH74)),IF($I74="FF",--($F74&lt;INDEX(Tasks[End Date],AH74)),IF($I74="SF",--($F74&lt;INDEX(Tasks[Start Date],AH74)),0)))),0),IF(AI74&gt;0,IF($I74="FS",--($E74&lt;INDEX(Tasks[End Date],AI74)+IF(INDEX(Tasks[Milestone],AI74)="Yes",0,1)),IF($I74="SS",--($E74&lt;INDEX(Tasks[Start Date],AI74)),IF($I74="FF",--($F74&lt;INDEX(Tasks[End Date],AI74)),IF($I74="SF",--($F74&lt;INDEX(Tasks[Start Date],AI74)),0)))),0),IF(AJ74&gt;0,IF($I74="FS",--($E74&lt;INDEX(Tasks[End Date],AJ74)+IF(INDEX(Tasks[Milestone],AJ74)="Yes",0,1)),IF($I74="SS",--($E74&lt;INDEX(Tasks[Start Date],AJ74)),IF($I74="FF",--($F74&lt;INDEX(Tasks[End Date],AJ74)),IF($I74="SF",--($F74&lt;INDEX(Tasks[Start Date],AJ74)),0)))),0)))</ns0:f>
        <ns0:v>0</ns0:v>
      </ns0:c>
      <ns0:c r="AM74" t="n">
        <ns0:f>IF(AND(A74&lt;&gt;"",AK74=0,EP74=0),1,0)</ns0:f>
        <ns0:v>0</ns0:v>
      </ns0:c>
      <ns0:c r="AN74" t="str">
        <ns0:f>IF(OR(A74="",B74=""),"",IF(COUNTIFS($B$7:B74,B74)=1,MAX($AN$6:AN73)+1,""))</ns0:f>
      </ns0:c>
      <ns0:c r="AO74" t="n">
        <ns0:f>IF(AND(A74&lt;&gt;"",J74="No",N74&lt;1,E74&gt;=AsOfDate),E74+ROW()/10000,1E+9)</ns0:f>
        <ns0:v>1000000000</ns0:v>
      </ns0:c>
      <ns0:c r="AP74" t="n">
        <ns0:f>IF(AND(A74&lt;&gt;"",J74="Yes",N74&lt;1,E74&gt;=AsOfDate),E74+ROW()/10000,1E+9)</ns0:f>
        <ns0:v>1000000000</ns0:v>
      </ns0:c>
      <ns0:c r="AQ74" t="n">
        <ns0:f>IF(AND(A74&lt;&gt;"",J74="No",N74&lt;1,F74&gt;=AsOfDate,F74&lt;=AsOfDate+7),F74+ROW()/10000,1E+9)</ns0:f>
        <ns0:v>1000000000</ns0:v>
      </ns0:c>
      <ns0:c r="AR74" t="n">
        <ns0:f>IF(AND(A74&lt;&gt;"",OR(O74&lt;&gt;"On track",Q74="Delayed")),ROW(),1E+9)</ns0:f>
        <ns0:v>1000000000</ns0:v>
      </ns0:c>
      <ns0:c r="AS74" t="str">
        <ns0:f>IF(A74="","",";"&amp;K74&amp;";")</ns0:f>
      </ns0:c>
      <ns0:c r="AT74" t="n">
        <ns0:f>IF(A74="",1,--(T74=0))</ns0:f>
        <ns0:v>1</ns0:v>
      </ns0:c>
      <ns0:c r="AU74" t="n">
        <ns0:f>IF($A74="",1,IF(AT74=1,1,--AND(IF($AC74&gt;0,INDEX(AT$7:AT$106,$AC74),1),IF($AD74&gt;0,INDEX(AT$7:AT$106,$AD74),1),IF($AE74&gt;0,INDEX(AT$7:AT$106,$AE74),1),IF($AF74&gt;0,INDEX(AT$7:AT$106,$AF74),1),IF($AG74&gt;0,INDEX(AT$7:AT$106,$AG74),1),IF($AH74&gt;0,INDEX(AT$7:AT$106,$AH74),1),IF($AI74&gt;0,INDEX(AT$7:AT$106,$AI74),1),IF($AJ74&gt;0,INDEX(AT$7:AT$106,$AJ74),1))))</ns0:f>
        <ns0:v>1</ns0:v>
      </ns0:c>
      <ns0:c r="AV74" t="n">
        <ns0:f>IF($A74="",1,IF(AU74=1,1,--AND(IF($AC74&gt;0,INDEX(AU$7:AU$106,$AC74),1),IF($AD74&gt;0,INDEX(AU$7:AU$106,$AD74),1),IF($AE74&gt;0,INDEX(AU$7:AU$106,$AE74),1),IF($AF74&gt;0,INDEX(AU$7:AU$106,$AF74),1),IF($AG74&gt;0,INDEX(AU$7:AU$106,$AG74),1),IF($AH74&gt;0,INDEX(AU$7:AU$106,$AH74),1),IF($AI74&gt;0,INDEX(AU$7:AU$106,$AI74),1),IF($AJ74&gt;0,INDEX(AU$7:AU$106,$AJ74),1))))</ns0:f>
        <ns0:v>1</ns0:v>
      </ns0:c>
      <ns0:c r="AW74" t="n">
        <ns0:f>IF($A74="",1,IF(AV74=1,1,--AND(IF($AC74&gt;0,INDEX(AV$7:AV$106,$AC74),1),IF($AD74&gt;0,INDEX(AV$7:AV$106,$AD74),1),IF($AE74&gt;0,INDEX(AV$7:AV$106,$AE74),1),IF($AF74&gt;0,INDEX(AV$7:AV$106,$AF74),1),IF($AG74&gt;0,INDEX(AV$7:AV$106,$AG74),1),IF($AH74&gt;0,INDEX(AV$7:AV$106,$AH74),1),IF($AI74&gt;0,INDEX(AV$7:AV$106,$AI74),1),IF($AJ74&gt;0,INDEX(AV$7:AV$106,$AJ74),1))))</ns0:f>
        <ns0:v>1</ns0:v>
      </ns0:c>
      <ns0:c r="AX74" t="n">
        <ns0:f>IF($A74="",1,IF(AW74=1,1,--AND(IF($AC74&gt;0,INDEX(AW$7:AW$106,$AC74),1),IF($AD74&gt;0,INDEX(AW$7:AW$106,$AD74),1),IF($AE74&gt;0,INDEX(AW$7:AW$106,$AE74),1),IF($AF74&gt;0,INDEX(AW$7:AW$106,$AF74),1),IF($AG74&gt;0,INDEX(AW$7:AW$106,$AG74),1),IF($AH74&gt;0,INDEX(AW$7:AW$106,$AH74),1),IF($AI74&gt;0,INDEX(AW$7:AW$106,$AI74),1),IF($AJ74&gt;0,INDEX(AW$7:AW$106,$AJ74),1))))</ns0:f>
        <ns0:v>1</ns0:v>
      </ns0:c>
      <ns0:c r="AY74" t="n">
        <ns0:f>IF($A74="",1,IF(AX74=1,1,--AND(IF($AC74&gt;0,INDEX(AX$7:AX$106,$AC74),1),IF($AD74&gt;0,INDEX(AX$7:AX$106,$AD74),1),IF($AE74&gt;0,INDEX(AX$7:AX$106,$AE74),1),IF($AF74&gt;0,INDEX(AX$7:AX$106,$AF74),1),IF($AG74&gt;0,INDEX(AX$7:AX$106,$AG74),1),IF($AH74&gt;0,INDEX(AX$7:AX$106,$AH74),1),IF($AI74&gt;0,INDEX(AX$7:AX$106,$AI74),1),IF($AJ74&gt;0,INDEX(AX$7:AX$106,$AJ74),1))))</ns0:f>
        <ns0:v>1</ns0:v>
      </ns0:c>
      <ns0:c r="AZ74" t="n">
        <ns0:f>IF($A74="",1,IF(AY74=1,1,--AND(IF($AC74&gt;0,INDEX(AY$7:AY$106,$AC74),1),IF($AD74&gt;0,INDEX(AY$7:AY$106,$AD74),1),IF($AE74&gt;0,INDEX(AY$7:AY$106,$AE74),1),IF($AF74&gt;0,INDEX(AY$7:AY$106,$AF74),1),IF($AG74&gt;0,INDEX(AY$7:AY$106,$AG74),1),IF($AH74&gt;0,INDEX(AY$7:AY$106,$AH74),1),IF($AI74&gt;0,INDEX(AY$7:AY$106,$AI74),1),IF($AJ74&gt;0,INDEX(AY$7:AY$106,$AJ74),1))))</ns0:f>
        <ns0:v>1</ns0:v>
      </ns0:c>
      <ns0:c r="BA74" t="n">
        <ns0:f>IF($A74="",1,IF(AZ74=1,1,--AND(IF($AC74&gt;0,INDEX(AZ$7:AZ$106,$AC74),1),IF($AD74&gt;0,INDEX(AZ$7:AZ$106,$AD74),1),IF($AE74&gt;0,INDEX(AZ$7:AZ$106,$AE74),1),IF($AF74&gt;0,INDEX(AZ$7:AZ$106,$AF74),1),IF($AG74&gt;0,INDEX(AZ$7:AZ$106,$AG74),1),IF($AH74&gt;0,INDEX(AZ$7:AZ$106,$AH74),1),IF($AI74&gt;0,INDEX(AZ$7:AZ$106,$AI74),1),IF($AJ74&gt;0,INDEX(AZ$7:AZ$106,$AJ74),1))))</ns0:f>
        <ns0:v>1</ns0:v>
      </ns0:c>
      <ns0:c r="BB74" t="n">
        <ns0:f>IF($A74="",1,IF(BA74=1,1,--AND(IF($AC74&gt;0,INDEX(BA$7:BA$106,$AC74),1),IF($AD74&gt;0,INDEX(BA$7:BA$106,$AD74),1),IF($AE74&gt;0,INDEX(BA$7:BA$106,$AE74),1),IF($AF74&gt;0,INDEX(BA$7:BA$106,$AF74),1),IF($AG74&gt;0,INDEX(BA$7:BA$106,$AG74),1),IF($AH74&gt;0,INDEX(BA$7:BA$106,$AH74),1),IF($AI74&gt;0,INDEX(BA$7:BA$106,$AI74),1),IF($AJ74&gt;0,INDEX(BA$7:BA$106,$AJ74),1))))</ns0:f>
        <ns0:v>1</ns0:v>
      </ns0:c>
      <ns0:c r="BC74" t="n">
        <ns0:f>IF($A74="",1,IF(BB74=1,1,--AND(IF($AC74&gt;0,INDEX(BB$7:BB$106,$AC74),1),IF($AD74&gt;0,INDEX(BB$7:BB$106,$AD74),1),IF($AE74&gt;0,INDEX(BB$7:BB$106,$AE74),1),IF($AF74&gt;0,INDEX(BB$7:BB$106,$AF74),1),IF($AG74&gt;0,INDEX(BB$7:BB$106,$AG74),1),IF($AH74&gt;0,INDEX(BB$7:BB$106,$AH74),1),IF($AI74&gt;0,INDEX(BB$7:BB$106,$AI74),1),IF($AJ74&gt;0,INDEX(BB$7:BB$106,$AJ74),1))))</ns0:f>
        <ns0:v>1</ns0:v>
      </ns0:c>
      <ns0:c r="BD74" t="n">
        <ns0:f>IF($A74="",1,IF(BC74=1,1,--AND(IF($AC74&gt;0,INDEX(BC$7:BC$106,$AC74),1),IF($AD74&gt;0,INDEX(BC$7:BC$106,$AD74),1),IF($AE74&gt;0,INDEX(BC$7:BC$106,$AE74),1),IF($AF74&gt;0,INDEX(BC$7:BC$106,$AF74),1),IF($AG74&gt;0,INDEX(BC$7:BC$106,$AG74),1),IF($AH74&gt;0,INDEX(BC$7:BC$106,$AH74),1),IF($AI74&gt;0,INDEX(BC$7:BC$106,$AI74),1),IF($AJ74&gt;0,INDEX(BC$7:BC$106,$AJ74),1))))</ns0:f>
        <ns0:v>1</ns0:v>
      </ns0:c>
      <ns0:c r="BE74" t="n">
        <ns0:f>IF($A74="",1,IF(BD74=1,1,--AND(IF($AC74&gt;0,INDEX(BD$7:BD$106,$AC74),1),IF($AD74&gt;0,INDEX(BD$7:BD$106,$AD74),1),IF($AE74&gt;0,INDEX(BD$7:BD$106,$AE74),1),IF($AF74&gt;0,INDEX(BD$7:BD$106,$AF74),1),IF($AG74&gt;0,INDEX(BD$7:BD$106,$AG74),1),IF($AH74&gt;0,INDEX(BD$7:BD$106,$AH74),1),IF($AI74&gt;0,INDEX(BD$7:BD$106,$AI74),1),IF($AJ74&gt;0,INDEX(BD$7:BD$106,$AJ74),1))))</ns0:f>
        <ns0:v>1</ns0:v>
      </ns0:c>
      <ns0:c r="BF74" t="n">
        <ns0:f>IF($A74="",1,IF(BE74=1,1,--AND(IF($AC74&gt;0,INDEX(BE$7:BE$106,$AC74),1),IF($AD74&gt;0,INDEX(BE$7:BE$106,$AD74),1),IF($AE74&gt;0,INDEX(BE$7:BE$106,$AE74),1),IF($AF74&gt;0,INDEX(BE$7:BE$106,$AF74),1),IF($AG74&gt;0,INDEX(BE$7:BE$106,$AG74),1),IF($AH74&gt;0,INDEX(BE$7:BE$106,$AH74),1),IF($AI74&gt;0,INDEX(BE$7:BE$106,$AI74),1),IF($AJ74&gt;0,INDEX(BE$7:BE$106,$AJ74),1))))</ns0:f>
        <ns0:v>1</ns0:v>
      </ns0:c>
      <ns0:c r="BG74" t="n">
        <ns0:f>IF($A74="",1,IF(BF74=1,1,--AND(IF($AC74&gt;0,INDEX(BF$7:BF$106,$AC74),1),IF($AD74&gt;0,INDEX(BF$7:BF$106,$AD74),1),IF($AE74&gt;0,INDEX(BF$7:BF$106,$AE74),1),IF($AF74&gt;0,INDEX(BF$7:BF$106,$AF74),1),IF($AG74&gt;0,INDEX(BF$7:BF$106,$AG74),1),IF($AH74&gt;0,INDEX(BF$7:BF$106,$AH74),1),IF($AI74&gt;0,INDEX(BF$7:BF$106,$AI74),1),IF($AJ74&gt;0,INDEX(BF$7:BF$106,$AJ74),1))))</ns0:f>
        <ns0:v>1</ns0:v>
      </ns0:c>
      <ns0:c r="BH74" t="n">
        <ns0:f>IF($A74="",1,IF(BG74=1,1,--AND(IF($AC74&gt;0,INDEX(BG$7:BG$106,$AC74),1),IF($AD74&gt;0,INDEX(BG$7:BG$106,$AD74),1),IF($AE74&gt;0,INDEX(BG$7:BG$106,$AE74),1),IF($AF74&gt;0,INDEX(BG$7:BG$106,$AF74),1),IF($AG74&gt;0,INDEX(BG$7:BG$106,$AG74),1),IF($AH74&gt;0,INDEX(BG$7:BG$106,$AH74),1),IF($AI74&gt;0,INDEX(BG$7:BG$106,$AI74),1),IF($AJ74&gt;0,INDEX(BG$7:BG$106,$AJ74),1))))</ns0:f>
        <ns0:v>1</ns0:v>
      </ns0:c>
      <ns0:c r="BI74" t="n">
        <ns0:f>IF($A74="",1,IF(BH74=1,1,--AND(IF($AC74&gt;0,INDEX(BH$7:BH$106,$AC74),1),IF($AD74&gt;0,INDEX(BH$7:BH$106,$AD74),1),IF($AE74&gt;0,INDEX(BH$7:BH$106,$AE74),1),IF($AF74&gt;0,INDEX(BH$7:BH$106,$AF74),1),IF($AG74&gt;0,INDEX(BH$7:BH$106,$AG74),1),IF($AH74&gt;0,INDEX(BH$7:BH$106,$AH74),1),IF($AI74&gt;0,INDEX(BH$7:BH$106,$AI74),1),IF($AJ74&gt;0,INDEX(BH$7:BH$106,$AJ74),1))))</ns0:f>
        <ns0:v>1</ns0:v>
      </ns0:c>
      <ns0:c r="BJ74" t="n">
        <ns0:f>IF($A74="",1,IF(BI74=1,1,--AND(IF($AC74&gt;0,INDEX(BI$7:BI$106,$AC74),1),IF($AD74&gt;0,INDEX(BI$7:BI$106,$AD74),1),IF($AE74&gt;0,INDEX(BI$7:BI$106,$AE74),1),IF($AF74&gt;0,INDEX(BI$7:BI$106,$AF74),1),IF($AG74&gt;0,INDEX(BI$7:BI$106,$AG74),1),IF($AH74&gt;0,INDEX(BI$7:BI$106,$AH74),1),IF($AI74&gt;0,INDEX(BI$7:BI$106,$AI74),1),IF($AJ74&gt;0,INDEX(BI$7:BI$106,$AJ74),1))))</ns0:f>
        <ns0:v>1</ns0:v>
      </ns0:c>
      <ns0:c r="BK74" t="n">
        <ns0:f>IF($A74="",1,IF(BJ74=1,1,--AND(IF($AC74&gt;0,INDEX(BJ$7:BJ$106,$AC74),1),IF($AD74&gt;0,INDEX(BJ$7:BJ$106,$AD74),1),IF($AE74&gt;0,INDEX(BJ$7:BJ$106,$AE74),1),IF($AF74&gt;0,INDEX(BJ$7:BJ$106,$AF74),1),IF($AG74&gt;0,INDEX(BJ$7:BJ$106,$AG74),1),IF($AH74&gt;0,INDEX(BJ$7:BJ$106,$AH74),1),IF($AI74&gt;0,INDEX(BJ$7:BJ$106,$AI74),1),IF($AJ74&gt;0,INDEX(BJ$7:BJ$106,$AJ74),1))))</ns0:f>
        <ns0:v>1</ns0:v>
      </ns0:c>
      <ns0:c r="BL74" t="n">
        <ns0:f>IF($A74="",1,IF(BK74=1,1,--AND(IF($AC74&gt;0,INDEX(BK$7:BK$106,$AC74),1),IF($AD74&gt;0,INDEX(BK$7:BK$106,$AD74),1),IF($AE74&gt;0,INDEX(BK$7:BK$106,$AE74),1),IF($AF74&gt;0,INDEX(BK$7:BK$106,$AF74),1),IF($AG74&gt;0,INDEX(BK$7:BK$106,$AG74),1),IF($AH74&gt;0,INDEX(BK$7:BK$106,$AH74),1),IF($AI74&gt;0,INDEX(BK$7:BK$106,$AI74),1),IF($AJ74&gt;0,INDEX(BK$7:BK$106,$AJ74),1))))</ns0:f>
        <ns0:v>1</ns0:v>
      </ns0:c>
      <ns0:c r="BM74" t="n">
        <ns0:f>IF($A74="",1,IF(BL74=1,1,--AND(IF($AC74&gt;0,INDEX(BL$7:BL$106,$AC74),1),IF($AD74&gt;0,INDEX(BL$7:BL$106,$AD74),1),IF($AE74&gt;0,INDEX(BL$7:BL$106,$AE74),1),IF($AF74&gt;0,INDEX(BL$7:BL$106,$AF74),1),IF($AG74&gt;0,INDEX(BL$7:BL$106,$AG74),1),IF($AH74&gt;0,INDEX(BL$7:BL$106,$AH74),1),IF($AI74&gt;0,INDEX(BL$7:BL$106,$AI74),1),IF($AJ74&gt;0,INDEX(BL$7:BL$106,$AJ74),1))))</ns0:f>
        <ns0:v>1</ns0:v>
      </ns0:c>
      <ns0:c r="BN74" t="n">
        <ns0:f>IF($A74="",1,IF(BM74=1,1,--AND(IF($AC74&gt;0,INDEX(BM$7:BM$106,$AC74),1),IF($AD74&gt;0,INDEX(BM$7:BM$106,$AD74),1),IF($AE74&gt;0,INDEX(BM$7:BM$106,$AE74),1),IF($AF74&gt;0,INDEX(BM$7:BM$106,$AF74),1),IF($AG74&gt;0,INDEX(BM$7:BM$106,$AG74),1),IF($AH74&gt;0,INDEX(BM$7:BM$106,$AH74),1),IF($AI74&gt;0,INDEX(BM$7:BM$106,$AI74),1),IF($AJ74&gt;0,INDEX(BM$7:BM$106,$AJ74),1))))</ns0:f>
        <ns0:v>1</ns0:v>
      </ns0:c>
      <ns0:c r="BO74" t="n">
        <ns0:f>IF($A74="",1,IF(BN74=1,1,--AND(IF($AC74&gt;0,INDEX(BN$7:BN$106,$AC74),1),IF($AD74&gt;0,INDEX(BN$7:BN$106,$AD74),1),IF($AE74&gt;0,INDEX(BN$7:BN$106,$AE74),1),IF($AF74&gt;0,INDEX(BN$7:BN$106,$AF74),1),IF($AG74&gt;0,INDEX(BN$7:BN$106,$AG74),1),IF($AH74&gt;0,INDEX(BN$7:BN$106,$AH74),1),IF($AI74&gt;0,INDEX(BN$7:BN$106,$AI74),1),IF($AJ74&gt;0,INDEX(BN$7:BN$106,$AJ74),1))))</ns0:f>
        <ns0:v>1</ns0:v>
      </ns0:c>
      <ns0:c r="BP74" t="n">
        <ns0:f>IF($A74="",1,IF(BO74=1,1,--AND(IF($AC74&gt;0,INDEX(BO$7:BO$106,$AC74),1),IF($AD74&gt;0,INDEX(BO$7:BO$106,$AD74),1),IF($AE74&gt;0,INDEX(BO$7:BO$106,$AE74),1),IF($AF74&gt;0,INDEX(BO$7:BO$106,$AF74),1),IF($AG74&gt;0,INDEX(BO$7:BO$106,$AG74),1),IF($AH74&gt;0,INDEX(BO$7:BO$106,$AH74),1),IF($AI74&gt;0,INDEX(BO$7:BO$106,$AI74),1),IF($AJ74&gt;0,INDEX(BO$7:BO$106,$AJ74),1))))</ns0:f>
        <ns0:v>1</ns0:v>
      </ns0:c>
      <ns0:c r="BQ74" t="n">
        <ns0:f>IF($A74="",1,IF(BP74=1,1,--AND(IF($AC74&gt;0,INDEX(BP$7:BP$106,$AC74),1),IF($AD74&gt;0,INDEX(BP$7:BP$106,$AD74),1),IF($AE74&gt;0,INDEX(BP$7:BP$106,$AE74),1),IF($AF74&gt;0,INDEX(BP$7:BP$106,$AF74),1),IF($AG74&gt;0,INDEX(BP$7:BP$106,$AG74),1),IF($AH74&gt;0,INDEX(BP$7:BP$106,$AH74),1),IF($AI74&gt;0,INDEX(BP$7:BP$106,$AI74),1),IF($AJ74&gt;0,INDEX(BP$7:BP$106,$AJ74),1))))</ns0:f>
        <ns0:v>1</ns0:v>
      </ns0:c>
      <ns0:c r="BR74" t="n">
        <ns0:f>IF($A74="",1,IF(BQ74=1,1,--AND(IF($AC74&gt;0,INDEX(BQ$7:BQ$106,$AC74),1),IF($AD74&gt;0,INDEX(BQ$7:BQ$106,$AD74),1),IF($AE74&gt;0,INDEX(BQ$7:BQ$106,$AE74),1),IF($AF74&gt;0,INDEX(BQ$7:BQ$106,$AF74),1),IF($AG74&gt;0,INDEX(BQ$7:BQ$106,$AG74),1),IF($AH74&gt;0,INDEX(BQ$7:BQ$106,$AH74),1),IF($AI74&gt;0,INDEX(BQ$7:BQ$106,$AI74),1),IF($AJ74&gt;0,INDEX(BQ$7:BQ$106,$AJ74),1))))</ns0:f>
        <ns0:v>1</ns0:v>
      </ns0:c>
      <ns0:c r="BS74" t="n">
        <ns0:f>IF($A74="",1,IF(BR74=1,1,--AND(IF($AC74&gt;0,INDEX(BR$7:BR$106,$AC74),1),IF($AD74&gt;0,INDEX(BR$7:BR$106,$AD74),1),IF($AE74&gt;0,INDEX(BR$7:BR$106,$AE74),1),IF($AF74&gt;0,INDEX(BR$7:BR$106,$AF74),1),IF($AG74&gt;0,INDEX(BR$7:BR$106,$AG74),1),IF($AH74&gt;0,INDEX(BR$7:BR$106,$AH74),1),IF($AI74&gt;0,INDEX(BR$7:BR$106,$AI74),1),IF($AJ74&gt;0,INDEX(BR$7:BR$106,$AJ74),1))))</ns0:f>
        <ns0:v>1</ns0:v>
      </ns0:c>
      <ns0:c r="BT74" t="n">
        <ns0:f>IF($A74="",1,IF(BS74=1,1,--AND(IF($AC74&gt;0,INDEX(BS$7:BS$106,$AC74),1),IF($AD74&gt;0,INDEX(BS$7:BS$106,$AD74),1),IF($AE74&gt;0,INDEX(BS$7:BS$106,$AE74),1),IF($AF74&gt;0,INDEX(BS$7:BS$106,$AF74),1),IF($AG74&gt;0,INDEX(BS$7:BS$106,$AG74),1),IF($AH74&gt;0,INDEX(BS$7:BS$106,$AH74),1),IF($AI74&gt;0,INDEX(BS$7:BS$106,$AI74),1),IF($AJ74&gt;0,INDEX(BS$7:BS$106,$AJ74),1))))</ns0:f>
        <ns0:v>1</ns0:v>
      </ns0:c>
      <ns0:c r="BU74" t="n">
        <ns0:f>IF($A74="",1,IF(BT74=1,1,--AND(IF($AC74&gt;0,INDEX(BT$7:BT$106,$AC74),1),IF($AD74&gt;0,INDEX(BT$7:BT$106,$AD74),1),IF($AE74&gt;0,INDEX(BT$7:BT$106,$AE74),1),IF($AF74&gt;0,INDEX(BT$7:BT$106,$AF74),1),IF($AG74&gt;0,INDEX(BT$7:BT$106,$AG74),1),IF($AH74&gt;0,INDEX(BT$7:BT$106,$AH74),1),IF($AI74&gt;0,INDEX(BT$7:BT$106,$AI74),1),IF($AJ74&gt;0,INDEX(BT$7:BT$106,$AJ74),1))))</ns0:f>
        <ns0:v>1</ns0:v>
      </ns0:c>
      <ns0:c r="BV74" t="n">
        <ns0:f>IF($A74="",1,IF(BU74=1,1,--AND(IF($AC74&gt;0,INDEX(BU$7:BU$106,$AC74),1),IF($AD74&gt;0,INDEX(BU$7:BU$106,$AD74),1),IF($AE74&gt;0,INDEX(BU$7:BU$106,$AE74),1),IF($AF74&gt;0,INDEX(BU$7:BU$106,$AF74),1),IF($AG74&gt;0,INDEX(BU$7:BU$106,$AG74),1),IF($AH74&gt;0,INDEX(BU$7:BU$106,$AH74),1),IF($AI74&gt;0,INDEX(BU$7:BU$106,$AI74),1),IF($AJ74&gt;0,INDEX(BU$7:BU$106,$AJ74),1))))</ns0:f>
        <ns0:v>1</ns0:v>
      </ns0:c>
      <ns0:c r="BW74" t="n">
        <ns0:f>IF($A74="",1,IF(BV74=1,1,--AND(IF($AC74&gt;0,INDEX(BV$7:BV$106,$AC74),1),IF($AD74&gt;0,INDEX(BV$7:BV$106,$AD74),1),IF($AE74&gt;0,INDEX(BV$7:BV$106,$AE74),1),IF($AF74&gt;0,INDEX(BV$7:BV$106,$AF74),1),IF($AG74&gt;0,INDEX(BV$7:BV$106,$AG74),1),IF($AH74&gt;0,INDEX(BV$7:BV$106,$AH74),1),IF($AI74&gt;0,INDEX(BV$7:BV$106,$AI74),1),IF($AJ74&gt;0,INDEX(BV$7:BV$106,$AJ74),1))))</ns0:f>
        <ns0:v>1</ns0:v>
      </ns0:c>
      <ns0:c r="BX74" t="n">
        <ns0:f>IF($A74="",1,IF(BW74=1,1,--AND(IF($AC74&gt;0,INDEX(BW$7:BW$106,$AC74),1),IF($AD74&gt;0,INDEX(BW$7:BW$106,$AD74),1),IF($AE74&gt;0,INDEX(BW$7:BW$106,$AE74),1),IF($AF74&gt;0,INDEX(BW$7:BW$106,$AF74),1),IF($AG74&gt;0,INDEX(BW$7:BW$106,$AG74),1),IF($AH74&gt;0,INDEX(BW$7:BW$106,$AH74),1),IF($AI74&gt;0,INDEX(BW$7:BW$106,$AI74),1),IF($AJ74&gt;0,INDEX(BW$7:BW$106,$AJ74),1))))</ns0:f>
        <ns0:v>1</ns0:v>
      </ns0:c>
      <ns0:c r="BY74" t="n">
        <ns0:f>IF($A74="",1,IF(BX74=1,1,--AND(IF($AC74&gt;0,INDEX(BX$7:BX$106,$AC74),1),IF($AD74&gt;0,INDEX(BX$7:BX$106,$AD74),1),IF($AE74&gt;0,INDEX(BX$7:BX$106,$AE74),1),IF($AF74&gt;0,INDEX(BX$7:BX$106,$AF74),1),IF($AG74&gt;0,INDEX(BX$7:BX$106,$AG74),1),IF($AH74&gt;0,INDEX(BX$7:BX$106,$AH74),1),IF($AI74&gt;0,INDEX(BX$7:BX$106,$AI74),1),IF($AJ74&gt;0,INDEX(BX$7:BX$106,$AJ74),1))))</ns0:f>
        <ns0:v>1</ns0:v>
      </ns0:c>
      <ns0:c r="BZ74" t="n">
        <ns0:f>IF($A74="",1,IF(BY74=1,1,--AND(IF($AC74&gt;0,INDEX(BY$7:BY$106,$AC74),1),IF($AD74&gt;0,INDEX(BY$7:BY$106,$AD74),1),IF($AE74&gt;0,INDEX(BY$7:BY$106,$AE74),1),IF($AF74&gt;0,INDEX(BY$7:BY$106,$AF74),1),IF($AG74&gt;0,INDEX(BY$7:BY$106,$AG74),1),IF($AH74&gt;0,INDEX(BY$7:BY$106,$AH74),1),IF($AI74&gt;0,INDEX(BY$7:BY$106,$AI74),1),IF($AJ74&gt;0,INDEX(BY$7:BY$106,$AJ74),1))))</ns0:f>
        <ns0:v>1</ns0:v>
      </ns0:c>
      <ns0:c r="CA74" t="n">
        <ns0:f>IF($A74="",1,IF(BZ74=1,1,--AND(IF($AC74&gt;0,INDEX(BZ$7:BZ$106,$AC74),1),IF($AD74&gt;0,INDEX(BZ$7:BZ$106,$AD74),1),IF($AE74&gt;0,INDEX(BZ$7:BZ$106,$AE74),1),IF($AF74&gt;0,INDEX(BZ$7:BZ$106,$AF74),1),IF($AG74&gt;0,INDEX(BZ$7:BZ$106,$AG74),1),IF($AH74&gt;0,INDEX(BZ$7:BZ$106,$AH74),1),IF($AI74&gt;0,INDEX(BZ$7:BZ$106,$AI74),1),IF($AJ74&gt;0,INDEX(BZ$7:BZ$106,$AJ74),1))))</ns0:f>
        <ns0:v>1</ns0:v>
      </ns0:c>
      <ns0:c r="CB74" t="n">
        <ns0:f>IF($A74="",1,IF(CA74=1,1,--AND(IF($AC74&gt;0,INDEX(CA$7:CA$106,$AC74),1),IF($AD74&gt;0,INDEX(CA$7:CA$106,$AD74),1),IF($AE74&gt;0,INDEX(CA$7:CA$106,$AE74),1),IF($AF74&gt;0,INDEX(CA$7:CA$106,$AF74),1),IF($AG74&gt;0,INDEX(CA$7:CA$106,$AG74),1),IF($AH74&gt;0,INDEX(CA$7:CA$106,$AH74),1),IF($AI74&gt;0,INDEX(CA$7:CA$106,$AI74),1),IF($AJ74&gt;0,INDEX(CA$7:CA$106,$AJ74),1))))</ns0:f>
        <ns0:v>1</ns0:v>
      </ns0:c>
      <ns0:c r="CC74" t="n">
        <ns0:f>IF($A74="",1,IF(CB74=1,1,--AND(IF($AC74&gt;0,INDEX(CB$7:CB$106,$AC74),1),IF($AD74&gt;0,INDEX(CB$7:CB$106,$AD74),1),IF($AE74&gt;0,INDEX(CB$7:CB$106,$AE74),1),IF($AF74&gt;0,INDEX(CB$7:CB$106,$AF74),1),IF($AG74&gt;0,INDEX(CB$7:CB$106,$AG74),1),IF($AH74&gt;0,INDEX(CB$7:CB$106,$AH74),1),IF($AI74&gt;0,INDEX(CB$7:CB$106,$AI74),1),IF($AJ74&gt;0,INDEX(CB$7:CB$106,$AJ74),1))))</ns0:f>
        <ns0:v>1</ns0:v>
      </ns0:c>
      <ns0:c r="CD74" t="n">
        <ns0:f>IF($A74="",1,IF(CC74=1,1,--AND(IF($AC74&gt;0,INDEX(CC$7:CC$106,$AC74),1),IF($AD74&gt;0,INDEX(CC$7:CC$106,$AD74),1),IF($AE74&gt;0,INDEX(CC$7:CC$106,$AE74),1),IF($AF74&gt;0,INDEX(CC$7:CC$106,$AF74),1),IF($AG74&gt;0,INDEX(CC$7:CC$106,$AG74),1),IF($AH74&gt;0,INDEX(CC$7:CC$106,$AH74),1),IF($AI74&gt;0,INDEX(CC$7:CC$106,$AI74),1),IF($AJ74&gt;0,INDEX(CC$7:CC$106,$AJ74),1))))</ns0:f>
        <ns0:v>1</ns0:v>
      </ns0:c>
      <ns0:c r="CE74" t="n">
        <ns0:f>IF($A74="",1,IF(CD74=1,1,--AND(IF($AC74&gt;0,INDEX(CD$7:CD$106,$AC74),1),IF($AD74&gt;0,INDEX(CD$7:CD$106,$AD74),1),IF($AE74&gt;0,INDEX(CD$7:CD$106,$AE74),1),IF($AF74&gt;0,INDEX(CD$7:CD$106,$AF74),1),IF($AG74&gt;0,INDEX(CD$7:CD$106,$AG74),1),IF($AH74&gt;0,INDEX(CD$7:CD$106,$AH74),1),IF($AI74&gt;0,INDEX(CD$7:CD$106,$AI74),1),IF($AJ74&gt;0,INDEX(CD$7:CD$106,$AJ74),1))))</ns0:f>
        <ns0:v>1</ns0:v>
      </ns0:c>
      <ns0:c r="CF74" t="n">
        <ns0:f>IF($A74="",1,IF(CE74=1,1,--AND(IF($AC74&gt;0,INDEX(CE$7:CE$106,$AC74),1),IF($AD74&gt;0,INDEX(CE$7:CE$106,$AD74),1),IF($AE74&gt;0,INDEX(CE$7:CE$106,$AE74),1),IF($AF74&gt;0,INDEX(CE$7:CE$106,$AF74),1),IF($AG74&gt;0,INDEX(CE$7:CE$106,$AG74),1),IF($AH74&gt;0,INDEX(CE$7:CE$106,$AH74),1),IF($AI74&gt;0,INDEX(CE$7:CE$106,$AI74),1),IF($AJ74&gt;0,INDEX(CE$7:CE$106,$AJ74),1))))</ns0:f>
        <ns0:v>1</ns0:v>
      </ns0:c>
      <ns0:c r="CG74" t="n">
        <ns0:f>IF($A74="",1,IF(CF74=1,1,--AND(IF($AC74&gt;0,INDEX(CF$7:CF$106,$AC74),1),IF($AD74&gt;0,INDEX(CF$7:CF$106,$AD74),1),IF($AE74&gt;0,INDEX(CF$7:CF$106,$AE74),1),IF($AF74&gt;0,INDEX(CF$7:CF$106,$AF74),1),IF($AG74&gt;0,INDEX(CF$7:CF$106,$AG74),1),IF($AH74&gt;0,INDEX(CF$7:CF$106,$AH74),1),IF($AI74&gt;0,INDEX(CF$7:CF$106,$AI74),1),IF($AJ74&gt;0,INDEX(CF$7:CF$106,$AJ74),1))))</ns0:f>
        <ns0:v>1</ns0:v>
      </ns0:c>
      <ns0:c r="CH74" t="n">
        <ns0:f>IF($A74="",1,IF(CG74=1,1,--AND(IF($AC74&gt;0,INDEX(CG$7:CG$106,$AC74),1),IF($AD74&gt;0,INDEX(CG$7:CG$106,$AD74),1),IF($AE74&gt;0,INDEX(CG$7:CG$106,$AE74),1),IF($AF74&gt;0,INDEX(CG$7:CG$106,$AF74),1),IF($AG74&gt;0,INDEX(CG$7:CG$106,$AG74),1),IF($AH74&gt;0,INDEX(CG$7:CG$106,$AH74),1),IF($AI74&gt;0,INDEX(CG$7:CG$106,$AI74),1),IF($AJ74&gt;0,INDEX(CG$7:CG$106,$AJ74),1))))</ns0:f>
        <ns0:v>1</ns0:v>
      </ns0:c>
      <ns0:c r="CI74" t="n">
        <ns0:f>IF($A74="",1,IF(CH74=1,1,--AND(IF($AC74&gt;0,INDEX(CH$7:CH$106,$AC74),1),IF($AD74&gt;0,INDEX(CH$7:CH$106,$AD74),1),IF($AE74&gt;0,INDEX(CH$7:CH$106,$AE74),1),IF($AF74&gt;0,INDEX(CH$7:CH$106,$AF74),1),IF($AG74&gt;0,INDEX(CH$7:CH$106,$AG74),1),IF($AH74&gt;0,INDEX(CH$7:CH$106,$AH74),1),IF($AI74&gt;0,INDEX(CH$7:CH$106,$AI74),1),IF($AJ74&gt;0,INDEX(CH$7:CH$106,$AJ74),1))))</ns0:f>
        <ns0:v>1</ns0:v>
      </ns0:c>
      <ns0:c r="CJ74" t="n">
        <ns0:f>IF($A74="",1,IF(CI74=1,1,--AND(IF($AC74&gt;0,INDEX(CI$7:CI$106,$AC74),1),IF($AD74&gt;0,INDEX(CI$7:CI$106,$AD74),1),IF($AE74&gt;0,INDEX(CI$7:CI$106,$AE74),1),IF($AF74&gt;0,INDEX(CI$7:CI$106,$AF74),1),IF($AG74&gt;0,INDEX(CI$7:CI$106,$AG74),1),IF($AH74&gt;0,INDEX(CI$7:CI$106,$AH74),1),IF($AI74&gt;0,INDEX(CI$7:CI$106,$AI74),1),IF($AJ74&gt;0,INDEX(CI$7:CI$106,$AJ74),1))))</ns0:f>
        <ns0:v>1</ns0:v>
      </ns0:c>
      <ns0:c r="CK74" t="n">
        <ns0:f>IF($A74="",1,IF(CJ74=1,1,--AND(IF($AC74&gt;0,INDEX(CJ$7:CJ$106,$AC74),1),IF($AD74&gt;0,INDEX(CJ$7:CJ$106,$AD74),1),IF($AE74&gt;0,INDEX(CJ$7:CJ$106,$AE74),1),IF($AF74&gt;0,INDEX(CJ$7:CJ$106,$AF74),1),IF($AG74&gt;0,INDEX(CJ$7:CJ$106,$AG74),1),IF($AH74&gt;0,INDEX(CJ$7:CJ$106,$AH74),1),IF($AI74&gt;0,INDEX(CJ$7:CJ$106,$AI74),1),IF($AJ74&gt;0,INDEX(CJ$7:CJ$106,$AJ74),1))))</ns0:f>
        <ns0:v>1</ns0:v>
      </ns0:c>
      <ns0:c r="CL74" t="n">
        <ns0:f>IF($A74="",1,IF(CK74=1,1,--AND(IF($AC74&gt;0,INDEX(CK$7:CK$106,$AC74),1),IF($AD74&gt;0,INDEX(CK$7:CK$106,$AD74),1),IF($AE74&gt;0,INDEX(CK$7:CK$106,$AE74),1),IF($AF74&gt;0,INDEX(CK$7:CK$106,$AF74),1),IF($AG74&gt;0,INDEX(CK$7:CK$106,$AG74),1),IF($AH74&gt;0,INDEX(CK$7:CK$106,$AH74),1),IF($AI74&gt;0,INDEX(CK$7:CK$106,$AI74),1),IF($AJ74&gt;0,INDEX(CK$7:CK$106,$AJ74),1))))</ns0:f>
        <ns0:v>1</ns0:v>
      </ns0:c>
      <ns0:c r="CM74" t="n">
        <ns0:f>IF($A74="",1,IF(CL74=1,1,--AND(IF($AC74&gt;0,INDEX(CL$7:CL$106,$AC74),1),IF($AD74&gt;0,INDEX(CL$7:CL$106,$AD74),1),IF($AE74&gt;0,INDEX(CL$7:CL$106,$AE74),1),IF($AF74&gt;0,INDEX(CL$7:CL$106,$AF74),1),IF($AG74&gt;0,INDEX(CL$7:CL$106,$AG74),1),IF($AH74&gt;0,INDEX(CL$7:CL$106,$AH74),1),IF($AI74&gt;0,INDEX(CL$7:CL$106,$AI74),1),IF($AJ74&gt;0,INDEX(CL$7:CL$106,$AJ74),1))))</ns0:f>
        <ns0:v>1</ns0:v>
      </ns0:c>
      <ns0:c r="CN74" t="n">
        <ns0:f>IF($A74="",1,IF(CM74=1,1,--AND(IF($AC74&gt;0,INDEX(CM$7:CM$106,$AC74),1),IF($AD74&gt;0,INDEX(CM$7:CM$106,$AD74),1),IF($AE74&gt;0,INDEX(CM$7:CM$106,$AE74),1),IF($AF74&gt;0,INDEX(CM$7:CM$106,$AF74),1),IF($AG74&gt;0,INDEX(CM$7:CM$106,$AG74),1),IF($AH74&gt;0,INDEX(CM$7:CM$106,$AH74),1),IF($AI74&gt;0,INDEX(CM$7:CM$106,$AI74),1),IF($AJ74&gt;0,INDEX(CM$7:CM$106,$AJ74),1))))</ns0:f>
        <ns0:v>1</ns0:v>
      </ns0:c>
      <ns0:c r="CO74" t="n">
        <ns0:f>IF($A74="",1,IF(CN74=1,1,--AND(IF($AC74&gt;0,INDEX(CN$7:CN$106,$AC74),1),IF($AD74&gt;0,INDEX(CN$7:CN$106,$AD74),1),IF($AE74&gt;0,INDEX(CN$7:CN$106,$AE74),1),IF($AF74&gt;0,INDEX(CN$7:CN$106,$AF74),1),IF($AG74&gt;0,INDEX(CN$7:CN$106,$AG74),1),IF($AH74&gt;0,INDEX(CN$7:CN$106,$AH74),1),IF($AI74&gt;0,INDEX(CN$7:CN$106,$AI74),1),IF($AJ74&gt;0,INDEX(CN$7:CN$106,$AJ74),1))))</ns0:f>
        <ns0:v>1</ns0:v>
      </ns0:c>
      <ns0:c r="CP74" t="n">
        <ns0:f>IF($A74="",1,IF(CO74=1,1,--AND(IF($AC74&gt;0,INDEX(CO$7:CO$106,$AC74),1),IF($AD74&gt;0,INDEX(CO$7:CO$106,$AD74),1),IF($AE74&gt;0,INDEX(CO$7:CO$106,$AE74),1),IF($AF74&gt;0,INDEX(CO$7:CO$106,$AF74),1),IF($AG74&gt;0,INDEX(CO$7:CO$106,$AG74),1),IF($AH74&gt;0,INDEX(CO$7:CO$106,$AH74),1),IF($AI74&gt;0,INDEX(CO$7:CO$106,$AI74),1),IF($AJ74&gt;0,INDEX(CO$7:CO$106,$AJ74),1))))</ns0:f>
        <ns0:v>1</ns0:v>
      </ns0:c>
      <ns0:c r="CQ74" t="n">
        <ns0:f>IF($A74="",1,IF(CP74=1,1,--AND(IF($AC74&gt;0,INDEX(CP$7:CP$106,$AC74),1),IF($AD74&gt;0,INDEX(CP$7:CP$106,$AD74),1),IF($AE74&gt;0,INDEX(CP$7:CP$106,$AE74),1),IF($AF74&gt;0,INDEX(CP$7:CP$106,$AF74),1),IF($AG74&gt;0,INDEX(CP$7:CP$106,$AG74),1),IF($AH74&gt;0,INDEX(CP$7:CP$106,$AH74),1),IF($AI74&gt;0,INDEX(CP$7:CP$106,$AI74),1),IF($AJ74&gt;0,INDEX(CP$7:CP$106,$AJ74),1))))</ns0:f>
        <ns0:v>1</ns0:v>
      </ns0:c>
      <ns0:c r="CR74" t="n">
        <ns0:f>IF($A74="",1,IF(CQ74=1,1,--AND(IF($AC74&gt;0,INDEX(CQ$7:CQ$106,$AC74),1),IF($AD74&gt;0,INDEX(CQ$7:CQ$106,$AD74),1),IF($AE74&gt;0,INDEX(CQ$7:CQ$106,$AE74),1),IF($AF74&gt;0,INDEX(CQ$7:CQ$106,$AF74),1),IF($AG74&gt;0,INDEX(CQ$7:CQ$106,$AG74),1),IF($AH74&gt;0,INDEX(CQ$7:CQ$106,$AH74),1),IF($AI74&gt;0,INDEX(CQ$7:CQ$106,$AI74),1),IF($AJ74&gt;0,INDEX(CQ$7:CQ$106,$AJ74),1))))</ns0:f>
        <ns0:v>1</ns0:v>
      </ns0:c>
      <ns0:c r="CS74" t="n">
        <ns0:f>IF($A74="",1,IF(CR74=1,1,--AND(IF($AC74&gt;0,INDEX(CR$7:CR$106,$AC74),1),IF($AD74&gt;0,INDEX(CR$7:CR$106,$AD74),1),IF($AE74&gt;0,INDEX(CR$7:CR$106,$AE74),1),IF($AF74&gt;0,INDEX(CR$7:CR$106,$AF74),1),IF($AG74&gt;0,INDEX(CR$7:CR$106,$AG74),1),IF($AH74&gt;0,INDEX(CR$7:CR$106,$AH74),1),IF($AI74&gt;0,INDEX(CR$7:CR$106,$AI74),1),IF($AJ74&gt;0,INDEX(CR$7:CR$106,$AJ74),1))))</ns0:f>
        <ns0:v>1</ns0:v>
      </ns0:c>
      <ns0:c r="CT74" t="n">
        <ns0:f>IF($A74="",1,IF(CS74=1,1,--AND(IF($AC74&gt;0,INDEX(CS$7:CS$106,$AC74),1),IF($AD74&gt;0,INDEX(CS$7:CS$106,$AD74),1),IF($AE74&gt;0,INDEX(CS$7:CS$106,$AE74),1),IF($AF74&gt;0,INDEX(CS$7:CS$106,$AF74),1),IF($AG74&gt;0,INDEX(CS$7:CS$106,$AG74),1),IF($AH74&gt;0,INDEX(CS$7:CS$106,$AH74),1),IF($AI74&gt;0,INDEX(CS$7:CS$106,$AI74),1),IF($AJ74&gt;0,INDEX(CS$7:CS$106,$AJ74),1))))</ns0:f>
        <ns0:v>1</ns0:v>
      </ns0:c>
      <ns0:c r="CU74" t="n">
        <ns0:f>IF($A74="",1,IF(CT74=1,1,--AND(IF($AC74&gt;0,INDEX(CT$7:CT$106,$AC74),1),IF($AD74&gt;0,INDEX(CT$7:CT$106,$AD74),1),IF($AE74&gt;0,INDEX(CT$7:CT$106,$AE74),1),IF($AF74&gt;0,INDEX(CT$7:CT$106,$AF74),1),IF($AG74&gt;0,INDEX(CT$7:CT$106,$AG74),1),IF($AH74&gt;0,INDEX(CT$7:CT$106,$AH74),1),IF($AI74&gt;0,INDEX(CT$7:CT$106,$AI74),1),IF($AJ74&gt;0,INDEX(CT$7:CT$106,$AJ74),1))))</ns0:f>
        <ns0:v>1</ns0:v>
      </ns0:c>
      <ns0:c r="CV74" t="n">
        <ns0:f>IF($A74="",1,IF(CU74=1,1,--AND(IF($AC74&gt;0,INDEX(CU$7:CU$106,$AC74),1),IF($AD74&gt;0,INDEX(CU$7:CU$106,$AD74),1),IF($AE74&gt;0,INDEX(CU$7:CU$106,$AE74),1),IF($AF74&gt;0,INDEX(CU$7:CU$106,$AF74),1),IF($AG74&gt;0,INDEX(CU$7:CU$106,$AG74),1),IF($AH74&gt;0,INDEX(CU$7:CU$106,$AH74),1),IF($AI74&gt;0,INDEX(CU$7:CU$106,$AI74),1),IF($AJ74&gt;0,INDEX(CU$7:CU$106,$AJ74),1))))</ns0:f>
        <ns0:v>1</ns0:v>
      </ns0:c>
      <ns0:c r="CW74" t="n">
        <ns0:f>IF($A74="",1,IF(CV74=1,1,--AND(IF($AC74&gt;0,INDEX(CV$7:CV$106,$AC74),1),IF($AD74&gt;0,INDEX(CV$7:CV$106,$AD74),1),IF($AE74&gt;0,INDEX(CV$7:CV$106,$AE74),1),IF($AF74&gt;0,INDEX(CV$7:CV$106,$AF74),1),IF($AG74&gt;0,INDEX(CV$7:CV$106,$AG74),1),IF($AH74&gt;0,INDEX(CV$7:CV$106,$AH74),1),IF($AI74&gt;0,INDEX(CV$7:CV$106,$AI74),1),IF($AJ74&gt;0,INDEX(CV$7:CV$106,$AJ74),1))))</ns0:f>
        <ns0:v>1</ns0:v>
      </ns0:c>
      <ns0:c r="CX74" t="n">
        <ns0:f>IF($A74="",1,IF(CW74=1,1,--AND(IF($AC74&gt;0,INDEX(CW$7:CW$106,$AC74),1),IF($AD74&gt;0,INDEX(CW$7:CW$106,$AD74),1),IF($AE74&gt;0,INDEX(CW$7:CW$106,$AE74),1),IF($AF74&gt;0,INDEX(CW$7:CW$106,$AF74),1),IF($AG74&gt;0,INDEX(CW$7:CW$106,$AG74),1),IF($AH74&gt;0,INDEX(CW$7:CW$106,$AH74),1),IF($AI74&gt;0,INDEX(CW$7:CW$106,$AI74),1),IF($AJ74&gt;0,INDEX(CW$7:CW$106,$AJ74),1))))</ns0:f>
        <ns0:v>1</ns0:v>
      </ns0:c>
      <ns0:c r="CY74" t="n">
        <ns0:f>IF($A74="",1,IF(CX74=1,1,--AND(IF($AC74&gt;0,INDEX(CX$7:CX$106,$AC74),1),IF($AD74&gt;0,INDEX(CX$7:CX$106,$AD74),1),IF($AE74&gt;0,INDEX(CX$7:CX$106,$AE74),1),IF($AF74&gt;0,INDEX(CX$7:CX$106,$AF74),1),IF($AG74&gt;0,INDEX(CX$7:CX$106,$AG74),1),IF($AH74&gt;0,INDEX(CX$7:CX$106,$AH74),1),IF($AI74&gt;0,INDEX(CX$7:CX$106,$AI74),1),IF($AJ74&gt;0,INDEX(CX$7:CX$106,$AJ74),1))))</ns0:f>
        <ns0:v>1</ns0:v>
      </ns0:c>
      <ns0:c r="CZ74" t="n">
        <ns0:f>IF($A74="",1,IF(CY74=1,1,--AND(IF($AC74&gt;0,INDEX(CY$7:CY$106,$AC74),1),IF($AD74&gt;0,INDEX(CY$7:CY$106,$AD74),1),IF($AE74&gt;0,INDEX(CY$7:CY$106,$AE74),1),IF($AF74&gt;0,INDEX(CY$7:CY$106,$AF74),1),IF($AG74&gt;0,INDEX(CY$7:CY$106,$AG74),1),IF($AH74&gt;0,INDEX(CY$7:CY$106,$AH74),1),IF($AI74&gt;0,INDEX(CY$7:CY$106,$AI74),1),IF($AJ74&gt;0,INDEX(CY$7:CY$106,$AJ74),1))))</ns0:f>
        <ns0:v>1</ns0:v>
      </ns0:c>
      <ns0:c r="DA74" t="n">
        <ns0:f>IF($A74="",1,IF(CZ74=1,1,--AND(IF($AC74&gt;0,INDEX(CZ$7:CZ$106,$AC74),1),IF($AD74&gt;0,INDEX(CZ$7:CZ$106,$AD74),1),IF($AE74&gt;0,INDEX(CZ$7:CZ$106,$AE74),1),IF($AF74&gt;0,INDEX(CZ$7:CZ$106,$AF74),1),IF($AG74&gt;0,INDEX(CZ$7:CZ$106,$AG74),1),IF($AH74&gt;0,INDEX(CZ$7:CZ$106,$AH74),1),IF($AI74&gt;0,INDEX(CZ$7:CZ$106,$AI74),1),IF($AJ74&gt;0,INDEX(CZ$7:CZ$106,$AJ74),1))))</ns0:f>
        <ns0:v>1</ns0:v>
      </ns0:c>
      <ns0:c r="DB74" t="n">
        <ns0:f>IF($A74="",1,IF(DA74=1,1,--AND(IF($AC74&gt;0,INDEX(DA$7:DA$106,$AC74),1),IF($AD74&gt;0,INDEX(DA$7:DA$106,$AD74),1),IF($AE74&gt;0,INDEX(DA$7:DA$106,$AE74),1),IF($AF74&gt;0,INDEX(DA$7:DA$106,$AF74),1),IF($AG74&gt;0,INDEX(DA$7:DA$106,$AG74),1),IF($AH74&gt;0,INDEX(DA$7:DA$106,$AH74),1),IF($AI74&gt;0,INDEX(DA$7:DA$106,$AI74),1),IF($AJ74&gt;0,INDEX(DA$7:DA$106,$AJ74),1))))</ns0:f>
        <ns0:v>1</ns0:v>
      </ns0:c>
      <ns0:c r="DC74" t="n">
        <ns0:f>IF($A74="",1,IF(DB74=1,1,--AND(IF($AC74&gt;0,INDEX(DB$7:DB$106,$AC74),1),IF($AD74&gt;0,INDEX(DB$7:DB$106,$AD74),1),IF($AE74&gt;0,INDEX(DB$7:DB$106,$AE74),1),IF($AF74&gt;0,INDEX(DB$7:DB$106,$AF74),1),IF($AG74&gt;0,INDEX(DB$7:DB$106,$AG74),1),IF($AH74&gt;0,INDEX(DB$7:DB$106,$AH74),1),IF($AI74&gt;0,INDEX(DB$7:DB$106,$AI74),1),IF($AJ74&gt;0,INDEX(DB$7:DB$106,$AJ74),1))))</ns0:f>
        <ns0:v>1</ns0:v>
      </ns0:c>
      <ns0:c r="DD74" t="n">
        <ns0:f>IF($A74="",1,IF(DC74=1,1,--AND(IF($AC74&gt;0,INDEX(DC$7:DC$106,$AC74),1),IF($AD74&gt;0,INDEX(DC$7:DC$106,$AD74),1),IF($AE74&gt;0,INDEX(DC$7:DC$106,$AE74),1),IF($AF74&gt;0,INDEX(DC$7:DC$106,$AF74),1),IF($AG74&gt;0,INDEX(DC$7:DC$106,$AG74),1),IF($AH74&gt;0,INDEX(DC$7:DC$106,$AH74),1),IF($AI74&gt;0,INDEX(DC$7:DC$106,$AI74),1),IF($AJ74&gt;0,INDEX(DC$7:DC$106,$AJ74),1))))</ns0:f>
        <ns0:v>1</ns0:v>
      </ns0:c>
      <ns0:c r="DE74" t="n">
        <ns0:f>IF($A74="",1,IF(DD74=1,1,--AND(IF($AC74&gt;0,INDEX(DD$7:DD$106,$AC74),1),IF($AD74&gt;0,INDEX(DD$7:DD$106,$AD74),1),IF($AE74&gt;0,INDEX(DD$7:DD$106,$AE74),1),IF($AF74&gt;0,INDEX(DD$7:DD$106,$AF74),1),IF($AG74&gt;0,INDEX(DD$7:DD$106,$AG74),1),IF($AH74&gt;0,INDEX(DD$7:DD$106,$AH74),1),IF($AI74&gt;0,INDEX(DD$7:DD$106,$AI74),1),IF($AJ74&gt;0,INDEX(DD$7:DD$106,$AJ74),1))))</ns0:f>
        <ns0:v>1</ns0:v>
      </ns0:c>
      <ns0:c r="DF74" t="n">
        <ns0:f>IF($A74="",1,IF(DE74=1,1,--AND(IF($AC74&gt;0,INDEX(DE$7:DE$106,$AC74),1),IF($AD74&gt;0,INDEX(DE$7:DE$106,$AD74),1),IF($AE74&gt;0,INDEX(DE$7:DE$106,$AE74),1),IF($AF74&gt;0,INDEX(DE$7:DE$106,$AF74),1),IF($AG74&gt;0,INDEX(DE$7:DE$106,$AG74),1),IF($AH74&gt;0,INDEX(DE$7:DE$106,$AH74),1),IF($AI74&gt;0,INDEX(DE$7:DE$106,$AI74),1),IF($AJ74&gt;0,INDEX(DE$7:DE$106,$AJ74),1))))</ns0:f>
        <ns0:v>1</ns0:v>
      </ns0:c>
      <ns0:c r="DG74" t="n">
        <ns0:f>IF($A74="",1,IF(DF74=1,1,--AND(IF($AC74&gt;0,INDEX(DF$7:DF$106,$AC74),1),IF($AD74&gt;0,INDEX(DF$7:DF$106,$AD74),1),IF($AE74&gt;0,INDEX(DF$7:DF$106,$AE74),1),IF($AF74&gt;0,INDEX(DF$7:DF$106,$AF74),1),IF($AG74&gt;0,INDEX(DF$7:DF$106,$AG74),1),IF($AH74&gt;0,INDEX(DF$7:DF$106,$AH74),1),IF($AI74&gt;0,INDEX(DF$7:DF$106,$AI74),1),IF($AJ74&gt;0,INDEX(DF$7:DF$106,$AJ74),1))))</ns0:f>
        <ns0:v>1</ns0:v>
      </ns0:c>
      <ns0:c r="DH74" t="n">
        <ns0:f>IF($A74="",1,IF(DG74=1,1,--AND(IF($AC74&gt;0,INDEX(DG$7:DG$106,$AC74),1),IF($AD74&gt;0,INDEX(DG$7:DG$106,$AD74),1),IF($AE74&gt;0,INDEX(DG$7:DG$106,$AE74),1),IF($AF74&gt;0,INDEX(DG$7:DG$106,$AF74),1),IF($AG74&gt;0,INDEX(DG$7:DG$106,$AG74),1),IF($AH74&gt;0,INDEX(DG$7:DG$106,$AH74),1),IF($AI74&gt;0,INDEX(DG$7:DG$106,$AI74),1),IF($AJ74&gt;0,INDEX(DG$7:DG$106,$AJ74),1))))</ns0:f>
        <ns0:v>1</ns0:v>
      </ns0:c>
      <ns0:c r="DI74" t="n">
        <ns0:f>IF($A74="",1,IF(DH74=1,1,--AND(IF($AC74&gt;0,INDEX(DH$7:DH$106,$AC74),1),IF($AD74&gt;0,INDEX(DH$7:DH$106,$AD74),1),IF($AE74&gt;0,INDEX(DH$7:DH$106,$AE74),1),IF($AF74&gt;0,INDEX(DH$7:DH$106,$AF74),1),IF($AG74&gt;0,INDEX(DH$7:DH$106,$AG74),1),IF($AH74&gt;0,INDEX(DH$7:DH$106,$AH74),1),IF($AI74&gt;0,INDEX(DH$7:DH$106,$AI74),1),IF($AJ74&gt;0,INDEX(DH$7:DH$106,$AJ74),1))))</ns0:f>
        <ns0:v>1</ns0:v>
      </ns0:c>
      <ns0:c r="DJ74" t="n">
        <ns0:f>IF($A74="",1,IF(DI74=1,1,--AND(IF($AC74&gt;0,INDEX(DI$7:DI$106,$AC74),1),IF($AD74&gt;0,INDEX(DI$7:DI$106,$AD74),1),IF($AE74&gt;0,INDEX(DI$7:DI$106,$AE74),1),IF($AF74&gt;0,INDEX(DI$7:DI$106,$AF74),1),IF($AG74&gt;0,INDEX(DI$7:DI$106,$AG74),1),IF($AH74&gt;0,INDEX(DI$7:DI$106,$AH74),1),IF($AI74&gt;0,INDEX(DI$7:DI$106,$AI74),1),IF($AJ74&gt;0,INDEX(DI$7:DI$106,$AJ74),1))))</ns0:f>
        <ns0:v>1</ns0:v>
      </ns0:c>
      <ns0:c r="DK74" t="n">
        <ns0:f>IF($A74="",1,IF(DJ74=1,1,--AND(IF($AC74&gt;0,INDEX(DJ$7:DJ$106,$AC74),1),IF($AD74&gt;0,INDEX(DJ$7:DJ$106,$AD74),1),IF($AE74&gt;0,INDEX(DJ$7:DJ$106,$AE74),1),IF($AF74&gt;0,INDEX(DJ$7:DJ$106,$AF74),1),IF($AG74&gt;0,INDEX(DJ$7:DJ$106,$AG74),1),IF($AH74&gt;0,INDEX(DJ$7:DJ$106,$AH74),1),IF($AI74&gt;0,INDEX(DJ$7:DJ$106,$AI74),1),IF($AJ74&gt;0,INDEX(DJ$7:DJ$106,$AJ74),1))))</ns0:f>
        <ns0:v>1</ns0:v>
      </ns0:c>
      <ns0:c r="DL74" t="n">
        <ns0:f>IF($A74="",1,IF(DK74=1,1,--AND(IF($AC74&gt;0,INDEX(DK$7:DK$106,$AC74),1),IF($AD74&gt;0,INDEX(DK$7:DK$106,$AD74),1),IF($AE74&gt;0,INDEX(DK$7:DK$106,$AE74),1),IF($AF74&gt;0,INDEX(DK$7:DK$106,$AF74),1),IF($AG74&gt;0,INDEX(DK$7:DK$106,$AG74),1),IF($AH74&gt;0,INDEX(DK$7:DK$106,$AH74),1),IF($AI74&gt;0,INDEX(DK$7:DK$106,$AI74),1),IF($AJ74&gt;0,INDEX(DK$7:DK$106,$AJ74),1))))</ns0:f>
        <ns0:v>1</ns0:v>
      </ns0:c>
      <ns0:c r="DM74" t="n">
        <ns0:f>IF($A74="",1,IF(DL74=1,1,--AND(IF($AC74&gt;0,INDEX(DL$7:DL$106,$AC74),1),IF($AD74&gt;0,INDEX(DL$7:DL$106,$AD74),1),IF($AE74&gt;0,INDEX(DL$7:DL$106,$AE74),1),IF($AF74&gt;0,INDEX(DL$7:DL$106,$AF74),1),IF($AG74&gt;0,INDEX(DL$7:DL$106,$AG74),1),IF($AH74&gt;0,INDEX(DL$7:DL$106,$AH74),1),IF($AI74&gt;0,INDEX(DL$7:DL$106,$AI74),1),IF($AJ74&gt;0,INDEX(DL$7:DL$106,$AJ74),1))))</ns0:f>
        <ns0:v>1</ns0:v>
      </ns0:c>
      <ns0:c r="DN74" t="n">
        <ns0:f>IF($A74="",1,IF(DM74=1,1,--AND(IF($AC74&gt;0,INDEX(DM$7:DM$106,$AC74),1),IF($AD74&gt;0,INDEX(DM$7:DM$106,$AD74),1),IF($AE74&gt;0,INDEX(DM$7:DM$106,$AE74),1),IF($AF74&gt;0,INDEX(DM$7:DM$106,$AF74),1),IF($AG74&gt;0,INDEX(DM$7:DM$106,$AG74),1),IF($AH74&gt;0,INDEX(DM$7:DM$106,$AH74),1),IF($AI74&gt;0,INDEX(DM$7:DM$106,$AI74),1),IF($AJ74&gt;0,INDEX(DM$7:DM$106,$AJ74),1))))</ns0:f>
        <ns0:v>1</ns0:v>
      </ns0:c>
      <ns0:c r="DO74" t="n">
        <ns0:f>IF($A74="",1,IF(DN74=1,1,--AND(IF($AC74&gt;0,INDEX(DN$7:DN$106,$AC74),1),IF($AD74&gt;0,INDEX(DN$7:DN$106,$AD74),1),IF($AE74&gt;0,INDEX(DN$7:DN$106,$AE74),1),IF($AF74&gt;0,INDEX(DN$7:DN$106,$AF74),1),IF($AG74&gt;0,INDEX(DN$7:DN$106,$AG74),1),IF($AH74&gt;0,INDEX(DN$7:DN$106,$AH74),1),IF($AI74&gt;0,INDEX(DN$7:DN$106,$AI74),1),IF($AJ74&gt;0,INDEX(DN$7:DN$106,$AJ74),1))))</ns0:f>
        <ns0:v>1</ns0:v>
      </ns0:c>
      <ns0:c r="DP74" t="n">
        <ns0:f>IF($A74="",1,IF(DO74=1,1,--AND(IF($AC74&gt;0,INDEX(DO$7:DO$106,$AC74),1),IF($AD74&gt;0,INDEX(DO$7:DO$106,$AD74),1),IF($AE74&gt;0,INDEX(DO$7:DO$106,$AE74),1),IF($AF74&gt;0,INDEX(DO$7:DO$106,$AF74),1),IF($AG74&gt;0,INDEX(DO$7:DO$106,$AG74),1),IF($AH74&gt;0,INDEX(DO$7:DO$106,$AH74),1),IF($AI74&gt;0,INDEX(DO$7:DO$106,$AI74),1),IF($AJ74&gt;0,INDEX(DO$7:DO$106,$AJ74),1))))</ns0:f>
        <ns0:v>1</ns0:v>
      </ns0:c>
      <ns0:c r="DQ74" t="n">
        <ns0:f>IF($A74="",1,IF(DP74=1,1,--AND(IF($AC74&gt;0,INDEX(DP$7:DP$106,$AC74),1),IF($AD74&gt;0,INDEX(DP$7:DP$106,$AD74),1),IF($AE74&gt;0,INDEX(DP$7:DP$106,$AE74),1),IF($AF74&gt;0,INDEX(DP$7:DP$106,$AF74),1),IF($AG74&gt;0,INDEX(DP$7:DP$106,$AG74),1),IF($AH74&gt;0,INDEX(DP$7:DP$106,$AH74),1),IF($AI74&gt;0,INDEX(DP$7:DP$106,$AI74),1),IF($AJ74&gt;0,INDEX(DP$7:DP$106,$AJ74),1))))</ns0:f>
        <ns0:v>1</ns0:v>
      </ns0:c>
      <ns0:c r="DR74" t="n">
        <ns0:f>IF($A74="",1,IF(DQ74=1,1,--AND(IF($AC74&gt;0,INDEX(DQ$7:DQ$106,$AC74),1),IF($AD74&gt;0,INDEX(DQ$7:DQ$106,$AD74),1),IF($AE74&gt;0,INDEX(DQ$7:DQ$106,$AE74),1),IF($AF74&gt;0,INDEX(DQ$7:DQ$106,$AF74),1),IF($AG74&gt;0,INDEX(DQ$7:DQ$106,$AG74),1),IF($AH74&gt;0,INDEX(DQ$7:DQ$106,$AH74),1),IF($AI74&gt;0,INDEX(DQ$7:DQ$106,$AI74),1),IF($AJ74&gt;0,INDEX(DQ$7:DQ$106,$AJ74),1))))</ns0:f>
        <ns0:v>1</ns0:v>
      </ns0:c>
      <ns0:c r="DS74" t="n">
        <ns0:f>IF($A74="",1,IF(DR74=1,1,--AND(IF($AC74&gt;0,INDEX(DR$7:DR$106,$AC74),1),IF($AD74&gt;0,INDEX(DR$7:DR$106,$AD74),1),IF($AE74&gt;0,INDEX(DR$7:DR$106,$AE74),1),IF($AF74&gt;0,INDEX(DR$7:DR$106,$AF74),1),IF($AG74&gt;0,INDEX(DR$7:DR$106,$AG74),1),IF($AH74&gt;0,INDEX(DR$7:DR$106,$AH74),1),IF($AI74&gt;0,INDEX(DR$7:DR$106,$AI74),1),IF($AJ74&gt;0,INDEX(DR$7:DR$106,$AJ74),1))))</ns0:f>
        <ns0:v>1</ns0:v>
      </ns0:c>
      <ns0:c r="DT74" t="n">
        <ns0:f>IF($A74="",1,IF(DS74=1,1,--AND(IF($AC74&gt;0,INDEX(DS$7:DS$106,$AC74),1),IF($AD74&gt;0,INDEX(DS$7:DS$106,$AD74),1),IF($AE74&gt;0,INDEX(DS$7:DS$106,$AE74),1),IF($AF74&gt;0,INDEX(DS$7:DS$106,$AF74),1),IF($AG74&gt;0,INDEX(DS$7:DS$106,$AG74),1),IF($AH74&gt;0,INDEX(DS$7:DS$106,$AH74),1),IF($AI74&gt;0,INDEX(DS$7:DS$106,$AI74),1),IF($AJ74&gt;0,INDEX(DS$7:DS$106,$AJ74),1))))</ns0:f>
        <ns0:v>1</ns0:v>
      </ns0:c>
      <ns0:c r="DU74" t="n">
        <ns0:f>IF($A74="",1,IF(DT74=1,1,--AND(IF($AC74&gt;0,INDEX(DT$7:DT$106,$AC74),1),IF($AD74&gt;0,INDEX(DT$7:DT$106,$AD74),1),IF($AE74&gt;0,INDEX(DT$7:DT$106,$AE74),1),IF($AF74&gt;0,INDEX(DT$7:DT$106,$AF74),1),IF($AG74&gt;0,INDEX(DT$7:DT$106,$AG74),1),IF($AH74&gt;0,INDEX(DT$7:DT$106,$AH74),1),IF($AI74&gt;0,INDEX(DT$7:DT$106,$AI74),1),IF($AJ74&gt;0,INDEX(DT$7:DT$106,$AJ74),1))))</ns0:f>
        <ns0:v>1</ns0:v>
      </ns0:c>
      <ns0:c r="DV74" t="n">
        <ns0:f>IF($A74="",1,IF(DU74=1,1,--AND(IF($AC74&gt;0,INDEX(DU$7:DU$106,$AC74),1),IF($AD74&gt;0,INDEX(DU$7:DU$106,$AD74),1),IF($AE74&gt;0,INDEX(DU$7:DU$106,$AE74),1),IF($AF74&gt;0,INDEX(DU$7:DU$106,$AF74),1),IF($AG74&gt;0,INDEX(DU$7:DU$106,$AG74),1),IF($AH74&gt;0,INDEX(DU$7:DU$106,$AH74),1),IF($AI74&gt;0,INDEX(DU$7:DU$106,$AI74),1),IF($AJ74&gt;0,INDEX(DU$7:DU$106,$AJ74),1))))</ns0:f>
        <ns0:v>1</ns0:v>
      </ns0:c>
      <ns0:c r="DW74" t="n">
        <ns0:f>IF($A74="",1,IF(DV74=1,1,--AND(IF($AC74&gt;0,INDEX(DV$7:DV$106,$AC74),1),IF($AD74&gt;0,INDEX(DV$7:DV$106,$AD74),1),IF($AE74&gt;0,INDEX(DV$7:DV$106,$AE74),1),IF($AF74&gt;0,INDEX(DV$7:DV$106,$AF74),1),IF($AG74&gt;0,INDEX(DV$7:DV$106,$AG74),1),IF($AH74&gt;0,INDEX(DV$7:DV$106,$AH74),1),IF($AI74&gt;0,INDEX(DV$7:DV$106,$AI74),1),IF($AJ74&gt;0,INDEX(DV$7:DV$106,$AJ74),1))))</ns0:f>
        <ns0:v>1</ns0:v>
      </ns0:c>
      <ns0:c r="DX74" t="n">
        <ns0:f>IF($A74="",1,IF(DW74=1,1,--AND(IF($AC74&gt;0,INDEX(DW$7:DW$106,$AC74),1),IF($AD74&gt;0,INDEX(DW$7:DW$106,$AD74),1),IF($AE74&gt;0,INDEX(DW$7:DW$106,$AE74),1),IF($AF74&gt;0,INDEX(DW$7:DW$106,$AF74),1),IF($AG74&gt;0,INDEX(DW$7:DW$106,$AG74),1),IF($AH74&gt;0,INDEX(DW$7:DW$106,$AH74),1),IF($AI74&gt;0,INDEX(DW$7:DW$106,$AI74),1),IF($AJ74&gt;0,INDEX(DW$7:DW$106,$AJ74),1))))</ns0:f>
        <ns0:v>1</ns0:v>
      </ns0:c>
      <ns0:c r="DY74" t="n">
        <ns0:f>IF($A74="",1,IF(DX74=1,1,--AND(IF($AC74&gt;0,INDEX(DX$7:DX$106,$AC74),1),IF($AD74&gt;0,INDEX(DX$7:DX$106,$AD74),1),IF($AE74&gt;0,INDEX(DX$7:DX$106,$AE74),1),IF($AF74&gt;0,INDEX(DX$7:DX$106,$AF74),1),IF($AG74&gt;0,INDEX(DX$7:DX$106,$AG74),1),IF($AH74&gt;0,INDEX(DX$7:DX$106,$AH74),1),IF($AI74&gt;0,INDEX(DX$7:DX$106,$AI74),1),IF($AJ74&gt;0,INDEX(DX$7:DX$106,$AJ74),1))))</ns0:f>
        <ns0:v>1</ns0:v>
      </ns0:c>
      <ns0:c r="DZ74" t="n">
        <ns0:f>IF($A74="",1,IF(DY74=1,1,--AND(IF($AC74&gt;0,INDEX(DY$7:DY$106,$AC74),1),IF($AD74&gt;0,INDEX(DY$7:DY$106,$AD74),1),IF($AE74&gt;0,INDEX(DY$7:DY$106,$AE74),1),IF($AF74&gt;0,INDEX(DY$7:DY$106,$AF74),1),IF($AG74&gt;0,INDEX(DY$7:DY$106,$AG74),1),IF($AH74&gt;0,INDEX(DY$7:DY$106,$AH74),1),IF($AI74&gt;0,INDEX(DY$7:DY$106,$AI74),1),IF($AJ74&gt;0,INDEX(DY$7:DY$106,$AJ74),1))))</ns0:f>
        <ns0:v>1</ns0:v>
      </ns0:c>
      <ns0:c r="EA74" t="n">
        <ns0:f>IF($A74="",1,IF(DZ74=1,1,--AND(IF($AC74&gt;0,INDEX(DZ$7:DZ$106,$AC74),1),IF($AD74&gt;0,INDEX(DZ$7:DZ$106,$AD74),1),IF($AE74&gt;0,INDEX(DZ$7:DZ$106,$AE74),1),IF($AF74&gt;0,INDEX(DZ$7:DZ$106,$AF74),1),IF($AG74&gt;0,INDEX(DZ$7:DZ$106,$AG74),1),IF($AH74&gt;0,INDEX(DZ$7:DZ$106,$AH74),1),IF($AI74&gt;0,INDEX(DZ$7:DZ$106,$AI74),1),IF($AJ74&gt;0,INDEX(DZ$7:DZ$106,$AJ74),1))))</ns0:f>
        <ns0:v>1</ns0:v>
      </ns0:c>
      <ns0:c r="EB74" t="n">
        <ns0:f>IF($A74="",1,IF(EA74=1,1,--AND(IF($AC74&gt;0,INDEX(EA$7:EA$106,$AC74),1),IF($AD74&gt;0,INDEX(EA$7:EA$106,$AD74),1),IF($AE74&gt;0,INDEX(EA$7:EA$106,$AE74),1),IF($AF74&gt;0,INDEX(EA$7:EA$106,$AF74),1),IF($AG74&gt;0,INDEX(EA$7:EA$106,$AG74),1),IF($AH74&gt;0,INDEX(EA$7:EA$106,$AH74),1),IF($AI74&gt;0,INDEX(EA$7:EA$106,$AI74),1),IF($AJ74&gt;0,INDEX(EA$7:EA$106,$AJ74),1))))</ns0:f>
        <ns0:v>1</ns0:v>
      </ns0:c>
      <ns0:c r="EC74" t="n">
        <ns0:f>IF($A74="",1,IF(EB74=1,1,--AND(IF($AC74&gt;0,INDEX(EB$7:EB$106,$AC74),1),IF($AD74&gt;0,INDEX(EB$7:EB$106,$AD74),1),IF($AE74&gt;0,INDEX(EB$7:EB$106,$AE74),1),IF($AF74&gt;0,INDEX(EB$7:EB$106,$AF74),1),IF($AG74&gt;0,INDEX(EB$7:EB$106,$AG74),1),IF($AH74&gt;0,INDEX(EB$7:EB$106,$AH74),1),IF($AI74&gt;0,INDEX(EB$7:EB$106,$AI74),1),IF($AJ74&gt;0,INDEX(EB$7:EB$106,$AJ74),1))))</ns0:f>
        <ns0:v>1</ns0:v>
      </ns0:c>
      <ns0:c r="ED74" t="n">
        <ns0:f>IF($A74="",1,IF(EC74=1,1,--AND(IF($AC74&gt;0,INDEX(EC$7:EC$106,$AC74),1),IF($AD74&gt;0,INDEX(EC$7:EC$106,$AD74),1),IF($AE74&gt;0,INDEX(EC$7:EC$106,$AE74),1),IF($AF74&gt;0,INDEX(EC$7:EC$106,$AF74),1),IF($AG74&gt;0,INDEX(EC$7:EC$106,$AG74),1),IF($AH74&gt;0,INDEX(EC$7:EC$106,$AH74),1),IF($AI74&gt;0,INDEX(EC$7:EC$106,$AI74),1),IF($AJ74&gt;0,INDEX(EC$7:EC$106,$AJ74),1))))</ns0:f>
        <ns0:v>1</ns0:v>
      </ns0:c>
      <ns0:c r="EE74" t="n">
        <ns0:f>IF($A74="",1,IF(ED74=1,1,--AND(IF($AC74&gt;0,INDEX(ED$7:ED$106,$AC74),1),IF($AD74&gt;0,INDEX(ED$7:ED$106,$AD74),1),IF($AE74&gt;0,INDEX(ED$7:ED$106,$AE74),1),IF($AF74&gt;0,INDEX(ED$7:ED$106,$AF74),1),IF($AG74&gt;0,INDEX(ED$7:ED$106,$AG74),1),IF($AH74&gt;0,INDEX(ED$7:ED$106,$AH74),1),IF($AI74&gt;0,INDEX(ED$7:ED$106,$AI74),1),IF($AJ74&gt;0,INDEX(ED$7:ED$106,$AJ74),1))))</ns0:f>
        <ns0:v>1</ns0:v>
      </ns0:c>
      <ns0:c r="EF74" t="n">
        <ns0:f>IF($A74="",1,IF(EE74=1,1,--AND(IF($AC74&gt;0,INDEX(EE$7:EE$106,$AC74),1),IF($AD74&gt;0,INDEX(EE$7:EE$106,$AD74),1),IF($AE74&gt;0,INDEX(EE$7:EE$106,$AE74),1),IF($AF74&gt;0,INDEX(EE$7:EE$106,$AF74),1),IF($AG74&gt;0,INDEX(EE$7:EE$106,$AG74),1),IF($AH74&gt;0,INDEX(EE$7:EE$106,$AH74),1),IF($AI74&gt;0,INDEX(EE$7:EE$106,$AI74),1),IF($AJ74&gt;0,INDEX(EE$7:EE$106,$AJ74),1))))</ns0:f>
        <ns0:v>1</ns0:v>
      </ns0:c>
      <ns0:c r="EG74" t="n">
        <ns0:f>IF($A74="",1,IF(EF74=1,1,--AND(IF($AC74&gt;0,INDEX(EF$7:EF$106,$AC74),1),IF($AD74&gt;0,INDEX(EF$7:EF$106,$AD74),1),IF($AE74&gt;0,INDEX(EF$7:EF$106,$AE74),1),IF($AF74&gt;0,INDEX(EF$7:EF$106,$AF74),1),IF($AG74&gt;0,INDEX(EF$7:EF$106,$AG74),1),IF($AH74&gt;0,INDEX(EF$7:EF$106,$AH74),1),IF($AI74&gt;0,INDEX(EF$7:EF$106,$AI74),1),IF($AJ74&gt;0,INDEX(EF$7:EF$106,$AJ74),1))))</ns0:f>
        <ns0:v>1</ns0:v>
      </ns0:c>
      <ns0:c r="EH74" t="n">
        <ns0:f>IF($A74="",1,IF(EG74=1,1,--AND(IF($AC74&gt;0,INDEX(EG$7:EG$106,$AC74),1),IF($AD74&gt;0,INDEX(EG$7:EG$106,$AD74),1),IF($AE74&gt;0,INDEX(EG$7:EG$106,$AE74),1),IF($AF74&gt;0,INDEX(EG$7:EG$106,$AF74),1),IF($AG74&gt;0,INDEX(EG$7:EG$106,$AG74),1),IF($AH74&gt;0,INDEX(EG$7:EG$106,$AH74),1),IF($AI74&gt;0,INDEX(EG$7:EG$106,$AI74),1),IF($AJ74&gt;0,INDEX(EG$7:EG$106,$AJ74),1))))</ns0:f>
        <ns0:v>1</ns0:v>
      </ns0:c>
      <ns0:c r="EI74" t="n">
        <ns0:f>IF($A74="",1,IF(EH74=1,1,--AND(IF($AC74&gt;0,INDEX(EH$7:EH$106,$AC74),1),IF($AD74&gt;0,INDEX(EH$7:EH$106,$AD74),1),IF($AE74&gt;0,INDEX(EH$7:EH$106,$AE74),1),IF($AF74&gt;0,INDEX(EH$7:EH$106,$AF74),1),IF($AG74&gt;0,INDEX(EH$7:EH$106,$AG74),1),IF($AH74&gt;0,INDEX(EH$7:EH$106,$AH74),1),IF($AI74&gt;0,INDEX(EH$7:EH$106,$AI74),1),IF($AJ74&gt;0,INDEX(EH$7:EH$106,$AJ74),1))))</ns0:f>
        <ns0:v>1</ns0:v>
      </ns0:c>
      <ns0:c r="EJ74" t="n">
        <ns0:f>IF($A74="",1,IF(EI74=1,1,--AND(IF($AC74&gt;0,INDEX(EI$7:EI$106,$AC74),1),IF($AD74&gt;0,INDEX(EI$7:EI$106,$AD74),1),IF($AE74&gt;0,INDEX(EI$7:EI$106,$AE74),1),IF($AF74&gt;0,INDEX(EI$7:EI$106,$AF74),1),IF($AG74&gt;0,INDEX(EI$7:EI$106,$AG74),1),IF($AH74&gt;0,INDEX(EI$7:EI$106,$AH74),1),IF($AI74&gt;0,INDEX(EI$7:EI$106,$AI74),1),IF($AJ74&gt;0,INDEX(EI$7:EI$106,$AJ74),1))))</ns0:f>
        <ns0:v>1</ns0:v>
      </ns0:c>
      <ns0:c r="EK74" t="n">
        <ns0:f>IF($A74="",1,IF(EJ74=1,1,--AND(IF($AC74&gt;0,INDEX(EJ$7:EJ$106,$AC74),1),IF($AD74&gt;0,INDEX(EJ$7:EJ$106,$AD74),1),IF($AE74&gt;0,INDEX(EJ$7:EJ$106,$AE74),1),IF($AF74&gt;0,INDEX(EJ$7:EJ$106,$AF74),1),IF($AG74&gt;0,INDEX(EJ$7:EJ$106,$AG74),1),IF($AH74&gt;0,INDEX(EJ$7:EJ$106,$AH74),1),IF($AI74&gt;0,INDEX(EJ$7:EJ$106,$AI74),1),IF($AJ74&gt;0,INDEX(EJ$7:EJ$106,$AJ74),1))))</ns0:f>
        <ns0:v>1</ns0:v>
      </ns0:c>
      <ns0:c r="EL74" t="n">
        <ns0:f>IF($A74="",1,IF(EK74=1,1,--AND(IF($AC74&gt;0,INDEX(EK$7:EK$106,$AC74),1),IF($AD74&gt;0,INDEX(EK$7:EK$106,$AD74),1),IF($AE74&gt;0,INDEX(EK$7:EK$106,$AE74),1),IF($AF74&gt;0,INDEX(EK$7:EK$106,$AF74),1),IF($AG74&gt;0,INDEX(EK$7:EK$106,$AG74),1),IF($AH74&gt;0,INDEX(EK$7:EK$106,$AH74),1),IF($AI74&gt;0,INDEX(EK$7:EK$106,$AI74),1),IF($AJ74&gt;0,INDEX(EK$7:EK$106,$AJ74),1))))</ns0:f>
        <ns0:v>1</ns0:v>
      </ns0:c>
      <ns0:c r="EM74" t="n">
        <ns0:f>IF($A74="",1,IF(EL74=1,1,--AND(IF($AC74&gt;0,INDEX(EL$7:EL$106,$AC74),1),IF($AD74&gt;0,INDEX(EL$7:EL$106,$AD74),1),IF($AE74&gt;0,INDEX(EL$7:EL$106,$AE74),1),IF($AF74&gt;0,INDEX(EL$7:EL$106,$AF74),1),IF($AG74&gt;0,INDEX(EL$7:EL$106,$AG74),1),IF($AH74&gt;0,INDEX(EL$7:EL$106,$AH74),1),IF($AI74&gt;0,INDEX(EL$7:EL$106,$AI74),1),IF($AJ74&gt;0,INDEX(EL$7:EL$106,$AJ74),1))))</ns0:f>
        <ns0:v>1</ns0:v>
      </ns0:c>
      <ns0:c r="EN74" t="n">
        <ns0:f>IF($A74="",1,IF(EM74=1,1,--AND(IF($AC74&gt;0,INDEX(EM$7:EM$106,$AC74),1),IF($AD74&gt;0,INDEX(EM$7:EM$106,$AD74),1),IF($AE74&gt;0,INDEX(EM$7:EM$106,$AE74),1),IF($AF74&gt;0,INDEX(EM$7:EM$106,$AF74),1),IF($AG74&gt;0,INDEX(EM$7:EM$106,$AG74),1),IF($AH74&gt;0,INDEX(EM$7:EM$106,$AH74),1),IF($AI74&gt;0,INDEX(EM$7:EM$106,$AI74),1),IF($AJ74&gt;0,INDEX(EM$7:EM$106,$AJ74),1))))</ns0:f>
        <ns0:v>1</ns0:v>
      </ns0:c>
      <ns0:c r="EO74" t="n">
        <ns0:f>IF($A74="",1,IF(EN74=1,1,--AND(IF($AC74&gt;0,INDEX(EN$7:EN$106,$AC74),1),IF($AD74&gt;0,INDEX(EN$7:EN$106,$AD74),1),IF($AE74&gt;0,INDEX(EN$7:EN$106,$AE74),1),IF($AF74&gt;0,INDEX(EN$7:EN$106,$AF74),1),IF($AG74&gt;0,INDEX(EN$7:EN$106,$AG74),1),IF($AH74&gt;0,INDEX(EN$7:EN$106,$AH74),1),IF($AI74&gt;0,INDEX(EN$7:EN$106,$AI74),1),IF($AJ74&gt;0,INDEX(EN$7:EN$106,$AJ74),1))))</ns0:f>
        <ns0:v>1</ns0:v>
      </ns0:c>
      <ns0:c r="EP74" t="n">
        <ns0:f>IF($A74="",1,IF(EO74=1,1,--AND(IF($AC74&gt;0,INDEX(EO$7:EO$106,$AC74),1),IF($AD74&gt;0,INDEX(EO$7:EO$106,$AD74),1),IF($AE74&gt;0,INDEX(EO$7:EO$106,$AE74),1),IF($AF74&gt;0,INDEX(EO$7:EO$106,$AF74),1),IF($AG74&gt;0,INDEX(EO$7:EO$106,$AG74),1),IF($AH74&gt;0,INDEX(EO$7:EO$106,$AH74),1),IF($AI74&gt;0,INDEX(EO$7:EO$106,$AI74),1),IF($AJ74&gt;0,INDEX(EO$7:EO$106,$AJ74),1))))</ns0:f>
        <ns0:v>1</ns0:v>
      </ns0:c>
      <ns0:c r="EQ74" t="n">
        <ns0:f>IF(OR(A74="",NOT(ISNUMBER(G74))),0,G74*N74)</ns0:f>
        <ns0:v>0</ns0:v>
      </ns0:c>
    </ns0:row>
    <ns0:row r="75" ht="62" customHeight="1">
      <ns0:c r="A75" s="48"/>
      <ns0:c r="B75" s="48"/>
      <ns0:c r="C75" s="48"/>
      <ns0:c r="D75" s="48"/>
      <ns0:c r="E75" s="49"/>
      <ns0:c r="F75" s="49"/>
      <ns0:c r="G75" s="13" t="str">
        <ns0:f>IF(A75="","",IF(OR(NOT(ISNUMBER(E75)),NOT(ISNUMBER(F75)),F75&lt;E75),"",IF(J75="Yes",0,F75-E75+1)))</ns0:f>
      </ns0:c>
      <ns0:c r="H75" s="48"/>
      <ns0:c r="I75" s="48"/>
      <ns0:c r="J75" s="48"/>
      <ns0:c r="K75" s="48"/>
      <ns0:c r="L75" s="48"/>
      <ns0:c r="M75" s="50" t="str">
        <ns0:f>IF(A75="","",IF(N75=1,"Completed",IF(N75&gt;0,"In Progress","Not Started")))</ns0:f>
      </ns0:c>
      <ns0:c r="N75" s="51"/>
      <ns0:c r="O75" s="13" t="str">
        <ns0:f>IF(A75="","",IF(R75&lt;&gt;"","[CONFLICT] "&amp;R75,IF(S75&lt;&gt;"","[CONFLICT] "&amp;S75,IF(OR(NOT(ISNUMBER(N75)),N75&lt;0,N75&gt;1),"[CONFLICT] Invalid progress",IF(AK75&gt;0,"[DEPENDENCY ISSUE] Missing ID / &gt;8 links",IF(AM75&gt;0,"[DEPENDENCY ISSUE] Cycle or blocked by cycle",IF(AND(H75&lt;&gt;"",ISNA(MATCH(I75,{"FS","SS","FF","SF"},0))),"[DEPENDENCY ISSUE] Invalid type",IF(AL75&gt;0,"[DEPENDENCY ISSUE] Timing conflict",IF(OR(E75&lt;ProjectStart,F75&gt;ProjectEnd),"[OUTSIDE WINDOW]",IF(AND(N75&lt;1,F75&lt;AsOfDate),"Overdue",IF(AND(M75&lt;&gt;Q75,M75&lt;&gt;""),"[CONFLICT] Status / progress","On track")))))))))))</ns0:f>
      </ns0:c>
      <ns0:c r="P75" s="52"/>
      <ns0:c r="Q75" t="str">
        <ns0:f>IF(A75="","",IF(OR(M75="On Hold",M75="Delayed"),M75,IF(N75=1,"Completed",IF(N75&gt;0,"In Progress","Not Started"))))</ns0:f>
      </ns0:c>
      <ns0:c r="R75" t="str">
        <ns0:f>IF(A75="","",IF(COUNTIFS(Tasks[Task ID],A75)&lt;&gt;1,"Duplicate ID",""))</ns0:f>
      </ns0:c>
      <ns0:c r="S75" t="str">
        <ns0:f>IF(A75="","",IF(OR(NOT(ISNUMBER(E75)),NOT(ISNUMBER(F75))),"Invalid / missing date",IF(OR(E75&lt;&gt;INT(E75),F75&lt;&gt;INT(F75),E75&lt;1,F75&gt;2958465),"Invalid date",IF(F75&lt;E75,"End before start",IF(AND(J75="Yes",E75&lt;&gt;F75),"Milestone needs one date","")))))</ns0:f>
      </ns0:c>
      <ns0:c r="T75" t="n">
        <ns0:f>IF(H75="",0,LEN(H75)-LEN(SUBSTITUTE(H75,",",""))+1)</ns0:f>
        <ns0:v>0</ns0:v>
      </ns0:c>
      <ns0:c r="U75" t="str">
        <ns0:f>TRIM(MID(SUBSTITUTE($H75,",",REPT(" ",100)),1,100))</ns0:f>
      </ns0:c>
      <ns0:c r="V75" t="str">
        <ns0:f>TRIM(MID(SUBSTITUTE($H75,",",REPT(" ",100)),101,100))</ns0:f>
      </ns0:c>
      <ns0:c r="W75" t="str">
        <ns0:f>TRIM(MID(SUBSTITUTE($H75,",",REPT(" ",100)),201,100))</ns0:f>
      </ns0:c>
      <ns0:c r="X75" t="str">
        <ns0:f>TRIM(MID(SUBSTITUTE($H75,",",REPT(" ",100)),301,100))</ns0:f>
      </ns0:c>
      <ns0:c r="Y75" t="str">
        <ns0:f>TRIM(MID(SUBSTITUTE($H75,",",REPT(" ",100)),401,100))</ns0:f>
      </ns0:c>
      <ns0:c r="Z75" t="str">
        <ns0:f>TRIM(MID(SUBSTITUTE($H75,",",REPT(" ",100)),501,100))</ns0:f>
      </ns0:c>
      <ns0:c r="AA75" t="str">
        <ns0:f>TRIM(MID(SUBSTITUTE($H75,",",REPT(" ",100)),601,100))</ns0:f>
      </ns0:c>
      <ns0:c r="AB75" t="str">
        <ns0:f>TRIM(MID(SUBSTITUTE($H75,",",REPT(" ",100)),701,100))</ns0:f>
      </ns0:c>
      <ns0:c r="AC75" t="n">
        <ns0:f>IF(U75="",0,IF(COUNTIFS(Tasks[Task ID],U75)=1,MATCH(U75,Tasks[Task ID],0),-1))</ns0:f>
        <ns0:v>0</ns0:v>
      </ns0:c>
      <ns0:c r="AD75" t="n">
        <ns0:f>IF(V75="",0,IF(COUNTIFS(Tasks[Task ID],V75)=1,MATCH(V75,Tasks[Task ID],0),-1))</ns0:f>
        <ns0:v>0</ns0:v>
      </ns0:c>
      <ns0:c r="AE75" t="n">
        <ns0:f>IF(W75="",0,IF(COUNTIFS(Tasks[Task ID],W75)=1,MATCH(W75,Tasks[Task ID],0),-1))</ns0:f>
        <ns0:v>0</ns0:v>
      </ns0:c>
      <ns0:c r="AF75" t="n">
        <ns0:f>IF(X75="",0,IF(COUNTIFS(Tasks[Task ID],X75)=1,MATCH(X75,Tasks[Task ID],0),-1))</ns0:f>
        <ns0:v>0</ns0:v>
      </ns0:c>
      <ns0:c r="AG75" t="n">
        <ns0:f>IF(Y75="",0,IF(COUNTIFS(Tasks[Task ID],Y75)=1,MATCH(Y75,Tasks[Task ID],0),-1))</ns0:f>
        <ns0:v>0</ns0:v>
      </ns0:c>
      <ns0:c r="AH75" t="n">
        <ns0:f>IF(Z75="",0,IF(COUNTIFS(Tasks[Task ID],Z75)=1,MATCH(Z75,Tasks[Task ID],0),-1))</ns0:f>
        <ns0:v>0</ns0:v>
      </ns0:c>
      <ns0:c r="AI75" t="n">
        <ns0:f>IF(AA75="",0,IF(COUNTIFS(Tasks[Task ID],AA75)=1,MATCH(AA75,Tasks[Task ID],0),-1))</ns0:f>
        <ns0:v>0</ns0:v>
      </ns0:c>
      <ns0:c r="AJ75" t="n">
        <ns0:f>IF(AB75="",0,IF(COUNTIFS(Tasks[Task ID],AB75)=1,MATCH(AB75,Tasks[Task ID],0),-1))</ns0:f>
        <ns0:v>0</ns0:v>
      </ns0:c>
      <ns0:c r="AK75" t="n">
        <ns0:f>COUNTIFS(AC75:AJ75,-1)+IF(T75&gt;8,1,0)</ns0:f>
        <ns0:v>0</ns0:v>
      </ns0:c>
      <ns0:c r="AL75" t="n">
        <ns0:f>IF(OR(A75="",S75&lt;&gt;""),0,SUM(IF(AC75&gt;0,IF($I75="FS",--($E75&lt;INDEX(Tasks[End Date],AC75)+IF(INDEX(Tasks[Milestone],AC75)="Yes",0,1)),IF($I75="SS",--($E75&lt;INDEX(Tasks[Start Date],AC75)),IF($I75="FF",--($F75&lt;INDEX(Tasks[End Date],AC75)),IF($I75="SF",--($F75&lt;INDEX(Tasks[Start Date],AC75)),0)))),0),IF(AD75&gt;0,IF($I75="FS",--($E75&lt;INDEX(Tasks[End Date],AD75)+IF(INDEX(Tasks[Milestone],AD75)="Yes",0,1)),IF($I75="SS",--($E75&lt;INDEX(Tasks[Start Date],AD75)),IF($I75="FF",--($F75&lt;INDEX(Tasks[End Date],AD75)),IF($I75="SF",--($F75&lt;INDEX(Tasks[Start Date],AD75)),0)))),0),IF(AE75&gt;0,IF($I75="FS",--($E75&lt;INDEX(Tasks[End Date],AE75)+IF(INDEX(Tasks[Milestone],AE75)="Yes",0,1)),IF($I75="SS",--($E75&lt;INDEX(Tasks[Start Date],AE75)),IF($I75="FF",--($F75&lt;INDEX(Tasks[End Date],AE75)),IF($I75="SF",--($F75&lt;INDEX(Tasks[Start Date],AE75)),0)))),0),IF(AF75&gt;0,IF($I75="FS",--($E75&lt;INDEX(Tasks[End Date],AF75)+IF(INDEX(Tasks[Milestone],AF75)="Yes",0,1)),IF($I75="SS",--($E75&lt;INDEX(Tasks[Start Date],AF75)),IF($I75="FF",--($F75&lt;INDEX(Tasks[End Date],AF75)),IF($I75="SF",--($F75&lt;INDEX(Tasks[Start Date],AF75)),0)))),0),IF(AG75&gt;0,IF($I75="FS",--($E75&lt;INDEX(Tasks[End Date],AG75)+IF(INDEX(Tasks[Milestone],AG75)="Yes",0,1)),IF($I75="SS",--($E75&lt;INDEX(Tasks[Start Date],AG75)),IF($I75="FF",--($F75&lt;INDEX(Tasks[End Date],AG75)),IF($I75="SF",--($F75&lt;INDEX(Tasks[Start Date],AG75)),0)))),0),IF(AH75&gt;0,IF($I75="FS",--($E75&lt;INDEX(Tasks[End Date],AH75)+IF(INDEX(Tasks[Milestone],AH75)="Yes",0,1)),IF($I75="SS",--($E75&lt;INDEX(Tasks[Start Date],AH75)),IF($I75="FF",--($F75&lt;INDEX(Tasks[End Date],AH75)),IF($I75="SF",--($F75&lt;INDEX(Tasks[Start Date],AH75)),0)))),0),IF(AI75&gt;0,IF($I75="FS",--($E75&lt;INDEX(Tasks[End Date],AI75)+IF(INDEX(Tasks[Milestone],AI75)="Yes",0,1)),IF($I75="SS",--($E75&lt;INDEX(Tasks[Start Date],AI75)),IF($I75="FF",--($F75&lt;INDEX(Tasks[End Date],AI75)),IF($I75="SF",--($F75&lt;INDEX(Tasks[Start Date],AI75)),0)))),0),IF(AJ75&gt;0,IF($I75="FS",--($E75&lt;INDEX(Tasks[End Date],AJ75)+IF(INDEX(Tasks[Milestone],AJ75)="Yes",0,1)),IF($I75="SS",--($E75&lt;INDEX(Tasks[Start Date],AJ75)),IF($I75="FF",--($F75&lt;INDEX(Tasks[End Date],AJ75)),IF($I75="SF",--($F75&lt;INDEX(Tasks[Start Date],AJ75)),0)))),0)))</ns0:f>
        <ns0:v>0</ns0:v>
      </ns0:c>
      <ns0:c r="AM75" t="n">
        <ns0:f>IF(AND(A75&lt;&gt;"",AK75=0,EP75=0),1,0)</ns0:f>
        <ns0:v>0</ns0:v>
      </ns0:c>
      <ns0:c r="AN75" t="str">
        <ns0:f>IF(OR(A75="",B75=""),"",IF(COUNTIFS($B$7:B75,B75)=1,MAX($AN$6:AN74)+1,""))</ns0:f>
      </ns0:c>
      <ns0:c r="AO75" t="n">
        <ns0:f>IF(AND(A75&lt;&gt;"",J75="No",N75&lt;1,E75&gt;=AsOfDate),E75+ROW()/10000,1E+9)</ns0:f>
        <ns0:v>1000000000</ns0:v>
      </ns0:c>
      <ns0:c r="AP75" t="n">
        <ns0:f>IF(AND(A75&lt;&gt;"",J75="Yes",N75&lt;1,E75&gt;=AsOfDate),E75+ROW()/10000,1E+9)</ns0:f>
        <ns0:v>1000000000</ns0:v>
      </ns0:c>
      <ns0:c r="AQ75" t="n">
        <ns0:f>IF(AND(A75&lt;&gt;"",J75="No",N75&lt;1,F75&gt;=AsOfDate,F75&lt;=AsOfDate+7),F75+ROW()/10000,1E+9)</ns0:f>
        <ns0:v>1000000000</ns0:v>
      </ns0:c>
      <ns0:c r="AR75" t="n">
        <ns0:f>IF(AND(A75&lt;&gt;"",OR(O75&lt;&gt;"On track",Q75="Delayed")),ROW(),1E+9)</ns0:f>
        <ns0:v>1000000000</ns0:v>
      </ns0:c>
      <ns0:c r="AS75" t="str">
        <ns0:f>IF(A75="","",";"&amp;K75&amp;";")</ns0:f>
      </ns0:c>
      <ns0:c r="AT75" t="n">
        <ns0:f>IF(A75="",1,--(T75=0))</ns0:f>
        <ns0:v>1</ns0:v>
      </ns0:c>
      <ns0:c r="AU75" t="n">
        <ns0:f>IF($A75="",1,IF(AT75=1,1,--AND(IF($AC75&gt;0,INDEX(AT$7:AT$106,$AC75),1),IF($AD75&gt;0,INDEX(AT$7:AT$106,$AD75),1),IF($AE75&gt;0,INDEX(AT$7:AT$106,$AE75),1),IF($AF75&gt;0,INDEX(AT$7:AT$106,$AF75),1),IF($AG75&gt;0,INDEX(AT$7:AT$106,$AG75),1),IF($AH75&gt;0,INDEX(AT$7:AT$106,$AH75),1),IF($AI75&gt;0,INDEX(AT$7:AT$106,$AI75),1),IF($AJ75&gt;0,INDEX(AT$7:AT$106,$AJ75),1))))</ns0:f>
        <ns0:v>1</ns0:v>
      </ns0:c>
      <ns0:c r="AV75" t="n">
        <ns0:f>IF($A75="",1,IF(AU75=1,1,--AND(IF($AC75&gt;0,INDEX(AU$7:AU$106,$AC75),1),IF($AD75&gt;0,INDEX(AU$7:AU$106,$AD75),1),IF($AE75&gt;0,INDEX(AU$7:AU$106,$AE75),1),IF($AF75&gt;0,INDEX(AU$7:AU$106,$AF75),1),IF($AG75&gt;0,INDEX(AU$7:AU$106,$AG75),1),IF($AH75&gt;0,INDEX(AU$7:AU$106,$AH75),1),IF($AI75&gt;0,INDEX(AU$7:AU$106,$AI75),1),IF($AJ75&gt;0,INDEX(AU$7:AU$106,$AJ75),1))))</ns0:f>
        <ns0:v>1</ns0:v>
      </ns0:c>
      <ns0:c r="AW75" t="n">
        <ns0:f>IF($A75="",1,IF(AV75=1,1,--AND(IF($AC75&gt;0,INDEX(AV$7:AV$106,$AC75),1),IF($AD75&gt;0,INDEX(AV$7:AV$106,$AD75),1),IF($AE75&gt;0,INDEX(AV$7:AV$106,$AE75),1),IF($AF75&gt;0,INDEX(AV$7:AV$106,$AF75),1),IF($AG75&gt;0,INDEX(AV$7:AV$106,$AG75),1),IF($AH75&gt;0,INDEX(AV$7:AV$106,$AH75),1),IF($AI75&gt;0,INDEX(AV$7:AV$106,$AI75),1),IF($AJ75&gt;0,INDEX(AV$7:AV$106,$AJ75),1))))</ns0:f>
        <ns0:v>1</ns0:v>
      </ns0:c>
      <ns0:c r="AX75" t="n">
        <ns0:f>IF($A75="",1,IF(AW75=1,1,--AND(IF($AC75&gt;0,INDEX(AW$7:AW$106,$AC75),1),IF($AD75&gt;0,INDEX(AW$7:AW$106,$AD75),1),IF($AE75&gt;0,INDEX(AW$7:AW$106,$AE75),1),IF($AF75&gt;0,INDEX(AW$7:AW$106,$AF75),1),IF($AG75&gt;0,INDEX(AW$7:AW$106,$AG75),1),IF($AH75&gt;0,INDEX(AW$7:AW$106,$AH75),1),IF($AI75&gt;0,INDEX(AW$7:AW$106,$AI75),1),IF($AJ75&gt;0,INDEX(AW$7:AW$106,$AJ75),1))))</ns0:f>
        <ns0:v>1</ns0:v>
      </ns0:c>
      <ns0:c r="AY75" t="n">
        <ns0:f>IF($A75="",1,IF(AX75=1,1,--AND(IF($AC75&gt;0,INDEX(AX$7:AX$106,$AC75),1),IF($AD75&gt;0,INDEX(AX$7:AX$106,$AD75),1),IF($AE75&gt;0,INDEX(AX$7:AX$106,$AE75),1),IF($AF75&gt;0,INDEX(AX$7:AX$106,$AF75),1),IF($AG75&gt;0,INDEX(AX$7:AX$106,$AG75),1),IF($AH75&gt;0,INDEX(AX$7:AX$106,$AH75),1),IF($AI75&gt;0,INDEX(AX$7:AX$106,$AI75),1),IF($AJ75&gt;0,INDEX(AX$7:AX$106,$AJ75),1))))</ns0:f>
        <ns0:v>1</ns0:v>
      </ns0:c>
      <ns0:c r="AZ75" t="n">
        <ns0:f>IF($A75="",1,IF(AY75=1,1,--AND(IF($AC75&gt;0,INDEX(AY$7:AY$106,$AC75),1),IF($AD75&gt;0,INDEX(AY$7:AY$106,$AD75),1),IF($AE75&gt;0,INDEX(AY$7:AY$106,$AE75),1),IF($AF75&gt;0,INDEX(AY$7:AY$106,$AF75),1),IF($AG75&gt;0,INDEX(AY$7:AY$106,$AG75),1),IF($AH75&gt;0,INDEX(AY$7:AY$106,$AH75),1),IF($AI75&gt;0,INDEX(AY$7:AY$106,$AI75),1),IF($AJ75&gt;0,INDEX(AY$7:AY$106,$AJ75),1))))</ns0:f>
        <ns0:v>1</ns0:v>
      </ns0:c>
      <ns0:c r="BA75" t="n">
        <ns0:f>IF($A75="",1,IF(AZ75=1,1,--AND(IF($AC75&gt;0,INDEX(AZ$7:AZ$106,$AC75),1),IF($AD75&gt;0,INDEX(AZ$7:AZ$106,$AD75),1),IF($AE75&gt;0,INDEX(AZ$7:AZ$106,$AE75),1),IF($AF75&gt;0,INDEX(AZ$7:AZ$106,$AF75),1),IF($AG75&gt;0,INDEX(AZ$7:AZ$106,$AG75),1),IF($AH75&gt;0,INDEX(AZ$7:AZ$106,$AH75),1),IF($AI75&gt;0,INDEX(AZ$7:AZ$106,$AI75),1),IF($AJ75&gt;0,INDEX(AZ$7:AZ$106,$AJ75),1))))</ns0:f>
        <ns0:v>1</ns0:v>
      </ns0:c>
      <ns0:c r="BB75" t="n">
        <ns0:f>IF($A75="",1,IF(BA75=1,1,--AND(IF($AC75&gt;0,INDEX(BA$7:BA$106,$AC75),1),IF($AD75&gt;0,INDEX(BA$7:BA$106,$AD75),1),IF($AE75&gt;0,INDEX(BA$7:BA$106,$AE75),1),IF($AF75&gt;0,INDEX(BA$7:BA$106,$AF75),1),IF($AG75&gt;0,INDEX(BA$7:BA$106,$AG75),1),IF($AH75&gt;0,INDEX(BA$7:BA$106,$AH75),1),IF($AI75&gt;0,INDEX(BA$7:BA$106,$AI75),1),IF($AJ75&gt;0,INDEX(BA$7:BA$106,$AJ75),1))))</ns0:f>
        <ns0:v>1</ns0:v>
      </ns0:c>
      <ns0:c r="BC75" t="n">
        <ns0:f>IF($A75="",1,IF(BB75=1,1,--AND(IF($AC75&gt;0,INDEX(BB$7:BB$106,$AC75),1),IF($AD75&gt;0,INDEX(BB$7:BB$106,$AD75),1),IF($AE75&gt;0,INDEX(BB$7:BB$106,$AE75),1),IF($AF75&gt;0,INDEX(BB$7:BB$106,$AF75),1),IF($AG75&gt;0,INDEX(BB$7:BB$106,$AG75),1),IF($AH75&gt;0,INDEX(BB$7:BB$106,$AH75),1),IF($AI75&gt;0,INDEX(BB$7:BB$106,$AI75),1),IF($AJ75&gt;0,INDEX(BB$7:BB$106,$AJ75),1))))</ns0:f>
        <ns0:v>1</ns0:v>
      </ns0:c>
      <ns0:c r="BD75" t="n">
        <ns0:f>IF($A75="",1,IF(BC75=1,1,--AND(IF($AC75&gt;0,INDEX(BC$7:BC$106,$AC75),1),IF($AD75&gt;0,INDEX(BC$7:BC$106,$AD75),1),IF($AE75&gt;0,INDEX(BC$7:BC$106,$AE75),1),IF($AF75&gt;0,INDEX(BC$7:BC$106,$AF75),1),IF($AG75&gt;0,INDEX(BC$7:BC$106,$AG75),1),IF($AH75&gt;0,INDEX(BC$7:BC$106,$AH75),1),IF($AI75&gt;0,INDEX(BC$7:BC$106,$AI75),1),IF($AJ75&gt;0,INDEX(BC$7:BC$106,$AJ75),1))))</ns0:f>
        <ns0:v>1</ns0:v>
      </ns0:c>
      <ns0:c r="BE75" t="n">
        <ns0:f>IF($A75="",1,IF(BD75=1,1,--AND(IF($AC75&gt;0,INDEX(BD$7:BD$106,$AC75),1),IF($AD75&gt;0,INDEX(BD$7:BD$106,$AD75),1),IF($AE75&gt;0,INDEX(BD$7:BD$106,$AE75),1),IF($AF75&gt;0,INDEX(BD$7:BD$106,$AF75),1),IF($AG75&gt;0,INDEX(BD$7:BD$106,$AG75),1),IF($AH75&gt;0,INDEX(BD$7:BD$106,$AH75),1),IF($AI75&gt;0,INDEX(BD$7:BD$106,$AI75),1),IF($AJ75&gt;0,INDEX(BD$7:BD$106,$AJ75),1))))</ns0:f>
        <ns0:v>1</ns0:v>
      </ns0:c>
      <ns0:c r="BF75" t="n">
        <ns0:f>IF($A75="",1,IF(BE75=1,1,--AND(IF($AC75&gt;0,INDEX(BE$7:BE$106,$AC75),1),IF($AD75&gt;0,INDEX(BE$7:BE$106,$AD75),1),IF($AE75&gt;0,INDEX(BE$7:BE$106,$AE75),1),IF($AF75&gt;0,INDEX(BE$7:BE$106,$AF75),1),IF($AG75&gt;0,INDEX(BE$7:BE$106,$AG75),1),IF($AH75&gt;0,INDEX(BE$7:BE$106,$AH75),1),IF($AI75&gt;0,INDEX(BE$7:BE$106,$AI75),1),IF($AJ75&gt;0,INDEX(BE$7:BE$106,$AJ75),1))))</ns0:f>
        <ns0:v>1</ns0:v>
      </ns0:c>
      <ns0:c r="BG75" t="n">
        <ns0:f>IF($A75="",1,IF(BF75=1,1,--AND(IF($AC75&gt;0,INDEX(BF$7:BF$106,$AC75),1),IF($AD75&gt;0,INDEX(BF$7:BF$106,$AD75),1),IF($AE75&gt;0,INDEX(BF$7:BF$106,$AE75),1),IF($AF75&gt;0,INDEX(BF$7:BF$106,$AF75),1),IF($AG75&gt;0,INDEX(BF$7:BF$106,$AG75),1),IF($AH75&gt;0,INDEX(BF$7:BF$106,$AH75),1),IF($AI75&gt;0,INDEX(BF$7:BF$106,$AI75),1),IF($AJ75&gt;0,INDEX(BF$7:BF$106,$AJ75),1))))</ns0:f>
        <ns0:v>1</ns0:v>
      </ns0:c>
      <ns0:c r="BH75" t="n">
        <ns0:f>IF($A75="",1,IF(BG75=1,1,--AND(IF($AC75&gt;0,INDEX(BG$7:BG$106,$AC75),1),IF($AD75&gt;0,INDEX(BG$7:BG$106,$AD75),1),IF($AE75&gt;0,INDEX(BG$7:BG$106,$AE75),1),IF($AF75&gt;0,INDEX(BG$7:BG$106,$AF75),1),IF($AG75&gt;0,INDEX(BG$7:BG$106,$AG75),1),IF($AH75&gt;0,INDEX(BG$7:BG$106,$AH75),1),IF($AI75&gt;0,INDEX(BG$7:BG$106,$AI75),1),IF($AJ75&gt;0,INDEX(BG$7:BG$106,$AJ75),1))))</ns0:f>
        <ns0:v>1</ns0:v>
      </ns0:c>
      <ns0:c r="BI75" t="n">
        <ns0:f>IF($A75="",1,IF(BH75=1,1,--AND(IF($AC75&gt;0,INDEX(BH$7:BH$106,$AC75),1),IF($AD75&gt;0,INDEX(BH$7:BH$106,$AD75),1),IF($AE75&gt;0,INDEX(BH$7:BH$106,$AE75),1),IF($AF75&gt;0,INDEX(BH$7:BH$106,$AF75),1),IF($AG75&gt;0,INDEX(BH$7:BH$106,$AG75),1),IF($AH75&gt;0,INDEX(BH$7:BH$106,$AH75),1),IF($AI75&gt;0,INDEX(BH$7:BH$106,$AI75),1),IF($AJ75&gt;0,INDEX(BH$7:BH$106,$AJ75),1))))</ns0:f>
        <ns0:v>1</ns0:v>
      </ns0:c>
      <ns0:c r="BJ75" t="n">
        <ns0:f>IF($A75="",1,IF(BI75=1,1,--AND(IF($AC75&gt;0,INDEX(BI$7:BI$106,$AC75),1),IF($AD75&gt;0,INDEX(BI$7:BI$106,$AD75),1),IF($AE75&gt;0,INDEX(BI$7:BI$106,$AE75),1),IF($AF75&gt;0,INDEX(BI$7:BI$106,$AF75),1),IF($AG75&gt;0,INDEX(BI$7:BI$106,$AG75),1),IF($AH75&gt;0,INDEX(BI$7:BI$106,$AH75),1),IF($AI75&gt;0,INDEX(BI$7:BI$106,$AI75),1),IF($AJ75&gt;0,INDEX(BI$7:BI$106,$AJ75),1))))</ns0:f>
        <ns0:v>1</ns0:v>
      </ns0:c>
      <ns0:c r="BK75" t="n">
        <ns0:f>IF($A75="",1,IF(BJ75=1,1,--AND(IF($AC75&gt;0,INDEX(BJ$7:BJ$106,$AC75),1),IF($AD75&gt;0,INDEX(BJ$7:BJ$106,$AD75),1),IF($AE75&gt;0,INDEX(BJ$7:BJ$106,$AE75),1),IF($AF75&gt;0,INDEX(BJ$7:BJ$106,$AF75),1),IF($AG75&gt;0,INDEX(BJ$7:BJ$106,$AG75),1),IF($AH75&gt;0,INDEX(BJ$7:BJ$106,$AH75),1),IF($AI75&gt;0,INDEX(BJ$7:BJ$106,$AI75),1),IF($AJ75&gt;0,INDEX(BJ$7:BJ$106,$AJ75),1))))</ns0:f>
        <ns0:v>1</ns0:v>
      </ns0:c>
      <ns0:c r="BL75" t="n">
        <ns0:f>IF($A75="",1,IF(BK75=1,1,--AND(IF($AC75&gt;0,INDEX(BK$7:BK$106,$AC75),1),IF($AD75&gt;0,INDEX(BK$7:BK$106,$AD75),1),IF($AE75&gt;0,INDEX(BK$7:BK$106,$AE75),1),IF($AF75&gt;0,INDEX(BK$7:BK$106,$AF75),1),IF($AG75&gt;0,INDEX(BK$7:BK$106,$AG75),1),IF($AH75&gt;0,INDEX(BK$7:BK$106,$AH75),1),IF($AI75&gt;0,INDEX(BK$7:BK$106,$AI75),1),IF($AJ75&gt;0,INDEX(BK$7:BK$106,$AJ75),1))))</ns0:f>
        <ns0:v>1</ns0:v>
      </ns0:c>
      <ns0:c r="BM75" t="n">
        <ns0:f>IF($A75="",1,IF(BL75=1,1,--AND(IF($AC75&gt;0,INDEX(BL$7:BL$106,$AC75),1),IF($AD75&gt;0,INDEX(BL$7:BL$106,$AD75),1),IF($AE75&gt;0,INDEX(BL$7:BL$106,$AE75),1),IF($AF75&gt;0,INDEX(BL$7:BL$106,$AF75),1),IF($AG75&gt;0,INDEX(BL$7:BL$106,$AG75),1),IF($AH75&gt;0,INDEX(BL$7:BL$106,$AH75),1),IF($AI75&gt;0,INDEX(BL$7:BL$106,$AI75),1),IF($AJ75&gt;0,INDEX(BL$7:BL$106,$AJ75),1))))</ns0:f>
        <ns0:v>1</ns0:v>
      </ns0:c>
      <ns0:c r="BN75" t="n">
        <ns0:f>IF($A75="",1,IF(BM75=1,1,--AND(IF($AC75&gt;0,INDEX(BM$7:BM$106,$AC75),1),IF($AD75&gt;0,INDEX(BM$7:BM$106,$AD75),1),IF($AE75&gt;0,INDEX(BM$7:BM$106,$AE75),1),IF($AF75&gt;0,INDEX(BM$7:BM$106,$AF75),1),IF($AG75&gt;0,INDEX(BM$7:BM$106,$AG75),1),IF($AH75&gt;0,INDEX(BM$7:BM$106,$AH75),1),IF($AI75&gt;0,INDEX(BM$7:BM$106,$AI75),1),IF($AJ75&gt;0,INDEX(BM$7:BM$106,$AJ75),1))))</ns0:f>
        <ns0:v>1</ns0:v>
      </ns0:c>
      <ns0:c r="BO75" t="n">
        <ns0:f>IF($A75="",1,IF(BN75=1,1,--AND(IF($AC75&gt;0,INDEX(BN$7:BN$106,$AC75),1),IF($AD75&gt;0,INDEX(BN$7:BN$106,$AD75),1),IF($AE75&gt;0,INDEX(BN$7:BN$106,$AE75),1),IF($AF75&gt;0,INDEX(BN$7:BN$106,$AF75),1),IF($AG75&gt;0,INDEX(BN$7:BN$106,$AG75),1),IF($AH75&gt;0,INDEX(BN$7:BN$106,$AH75),1),IF($AI75&gt;0,INDEX(BN$7:BN$106,$AI75),1),IF($AJ75&gt;0,INDEX(BN$7:BN$106,$AJ75),1))))</ns0:f>
        <ns0:v>1</ns0:v>
      </ns0:c>
      <ns0:c r="BP75" t="n">
        <ns0:f>IF($A75="",1,IF(BO75=1,1,--AND(IF($AC75&gt;0,INDEX(BO$7:BO$106,$AC75),1),IF($AD75&gt;0,INDEX(BO$7:BO$106,$AD75),1),IF($AE75&gt;0,INDEX(BO$7:BO$106,$AE75),1),IF($AF75&gt;0,INDEX(BO$7:BO$106,$AF75),1),IF($AG75&gt;0,INDEX(BO$7:BO$106,$AG75),1),IF($AH75&gt;0,INDEX(BO$7:BO$106,$AH75),1),IF($AI75&gt;0,INDEX(BO$7:BO$106,$AI75),1),IF($AJ75&gt;0,INDEX(BO$7:BO$106,$AJ75),1))))</ns0:f>
        <ns0:v>1</ns0:v>
      </ns0:c>
      <ns0:c r="BQ75" t="n">
        <ns0:f>IF($A75="",1,IF(BP75=1,1,--AND(IF($AC75&gt;0,INDEX(BP$7:BP$106,$AC75),1),IF($AD75&gt;0,INDEX(BP$7:BP$106,$AD75),1),IF($AE75&gt;0,INDEX(BP$7:BP$106,$AE75),1),IF($AF75&gt;0,INDEX(BP$7:BP$106,$AF75),1),IF($AG75&gt;0,INDEX(BP$7:BP$106,$AG75),1),IF($AH75&gt;0,INDEX(BP$7:BP$106,$AH75),1),IF($AI75&gt;0,INDEX(BP$7:BP$106,$AI75),1),IF($AJ75&gt;0,INDEX(BP$7:BP$106,$AJ75),1))))</ns0:f>
        <ns0:v>1</ns0:v>
      </ns0:c>
      <ns0:c r="BR75" t="n">
        <ns0:f>IF($A75="",1,IF(BQ75=1,1,--AND(IF($AC75&gt;0,INDEX(BQ$7:BQ$106,$AC75),1),IF($AD75&gt;0,INDEX(BQ$7:BQ$106,$AD75),1),IF($AE75&gt;0,INDEX(BQ$7:BQ$106,$AE75),1),IF($AF75&gt;0,INDEX(BQ$7:BQ$106,$AF75),1),IF($AG75&gt;0,INDEX(BQ$7:BQ$106,$AG75),1),IF($AH75&gt;0,INDEX(BQ$7:BQ$106,$AH75),1),IF($AI75&gt;0,INDEX(BQ$7:BQ$106,$AI75),1),IF($AJ75&gt;0,INDEX(BQ$7:BQ$106,$AJ75),1))))</ns0:f>
        <ns0:v>1</ns0:v>
      </ns0:c>
      <ns0:c r="BS75" t="n">
        <ns0:f>IF($A75="",1,IF(BR75=1,1,--AND(IF($AC75&gt;0,INDEX(BR$7:BR$106,$AC75),1),IF($AD75&gt;0,INDEX(BR$7:BR$106,$AD75),1),IF($AE75&gt;0,INDEX(BR$7:BR$106,$AE75),1),IF($AF75&gt;0,INDEX(BR$7:BR$106,$AF75),1),IF($AG75&gt;0,INDEX(BR$7:BR$106,$AG75),1),IF($AH75&gt;0,INDEX(BR$7:BR$106,$AH75),1),IF($AI75&gt;0,INDEX(BR$7:BR$106,$AI75),1),IF($AJ75&gt;0,INDEX(BR$7:BR$106,$AJ75),1))))</ns0:f>
        <ns0:v>1</ns0:v>
      </ns0:c>
      <ns0:c r="BT75" t="n">
        <ns0:f>IF($A75="",1,IF(BS75=1,1,--AND(IF($AC75&gt;0,INDEX(BS$7:BS$106,$AC75),1),IF($AD75&gt;0,INDEX(BS$7:BS$106,$AD75),1),IF($AE75&gt;0,INDEX(BS$7:BS$106,$AE75),1),IF($AF75&gt;0,INDEX(BS$7:BS$106,$AF75),1),IF($AG75&gt;0,INDEX(BS$7:BS$106,$AG75),1),IF($AH75&gt;0,INDEX(BS$7:BS$106,$AH75),1),IF($AI75&gt;0,INDEX(BS$7:BS$106,$AI75),1),IF($AJ75&gt;0,INDEX(BS$7:BS$106,$AJ75),1))))</ns0:f>
        <ns0:v>1</ns0:v>
      </ns0:c>
      <ns0:c r="BU75" t="n">
        <ns0:f>IF($A75="",1,IF(BT75=1,1,--AND(IF($AC75&gt;0,INDEX(BT$7:BT$106,$AC75),1),IF($AD75&gt;0,INDEX(BT$7:BT$106,$AD75),1),IF($AE75&gt;0,INDEX(BT$7:BT$106,$AE75),1),IF($AF75&gt;0,INDEX(BT$7:BT$106,$AF75),1),IF($AG75&gt;0,INDEX(BT$7:BT$106,$AG75),1),IF($AH75&gt;0,INDEX(BT$7:BT$106,$AH75),1),IF($AI75&gt;0,INDEX(BT$7:BT$106,$AI75),1),IF($AJ75&gt;0,INDEX(BT$7:BT$106,$AJ75),1))))</ns0:f>
        <ns0:v>1</ns0:v>
      </ns0:c>
      <ns0:c r="BV75" t="n">
        <ns0:f>IF($A75="",1,IF(BU75=1,1,--AND(IF($AC75&gt;0,INDEX(BU$7:BU$106,$AC75),1),IF($AD75&gt;0,INDEX(BU$7:BU$106,$AD75),1),IF($AE75&gt;0,INDEX(BU$7:BU$106,$AE75),1),IF($AF75&gt;0,INDEX(BU$7:BU$106,$AF75),1),IF($AG75&gt;0,INDEX(BU$7:BU$106,$AG75),1),IF($AH75&gt;0,INDEX(BU$7:BU$106,$AH75),1),IF($AI75&gt;0,INDEX(BU$7:BU$106,$AI75),1),IF($AJ75&gt;0,INDEX(BU$7:BU$106,$AJ75),1))))</ns0:f>
        <ns0:v>1</ns0:v>
      </ns0:c>
      <ns0:c r="BW75" t="n">
        <ns0:f>IF($A75="",1,IF(BV75=1,1,--AND(IF($AC75&gt;0,INDEX(BV$7:BV$106,$AC75),1),IF($AD75&gt;0,INDEX(BV$7:BV$106,$AD75),1),IF($AE75&gt;0,INDEX(BV$7:BV$106,$AE75),1),IF($AF75&gt;0,INDEX(BV$7:BV$106,$AF75),1),IF($AG75&gt;0,INDEX(BV$7:BV$106,$AG75),1),IF($AH75&gt;0,INDEX(BV$7:BV$106,$AH75),1),IF($AI75&gt;0,INDEX(BV$7:BV$106,$AI75),1),IF($AJ75&gt;0,INDEX(BV$7:BV$106,$AJ75),1))))</ns0:f>
        <ns0:v>1</ns0:v>
      </ns0:c>
      <ns0:c r="BX75" t="n">
        <ns0:f>IF($A75="",1,IF(BW75=1,1,--AND(IF($AC75&gt;0,INDEX(BW$7:BW$106,$AC75),1),IF($AD75&gt;0,INDEX(BW$7:BW$106,$AD75),1),IF($AE75&gt;0,INDEX(BW$7:BW$106,$AE75),1),IF($AF75&gt;0,INDEX(BW$7:BW$106,$AF75),1),IF($AG75&gt;0,INDEX(BW$7:BW$106,$AG75),1),IF($AH75&gt;0,INDEX(BW$7:BW$106,$AH75),1),IF($AI75&gt;0,INDEX(BW$7:BW$106,$AI75),1),IF($AJ75&gt;0,INDEX(BW$7:BW$106,$AJ75),1))))</ns0:f>
        <ns0:v>1</ns0:v>
      </ns0:c>
      <ns0:c r="BY75" t="n">
        <ns0:f>IF($A75="",1,IF(BX75=1,1,--AND(IF($AC75&gt;0,INDEX(BX$7:BX$106,$AC75),1),IF($AD75&gt;0,INDEX(BX$7:BX$106,$AD75),1),IF($AE75&gt;0,INDEX(BX$7:BX$106,$AE75),1),IF($AF75&gt;0,INDEX(BX$7:BX$106,$AF75),1),IF($AG75&gt;0,INDEX(BX$7:BX$106,$AG75),1),IF($AH75&gt;0,INDEX(BX$7:BX$106,$AH75),1),IF($AI75&gt;0,INDEX(BX$7:BX$106,$AI75),1),IF($AJ75&gt;0,INDEX(BX$7:BX$106,$AJ75),1))))</ns0:f>
        <ns0:v>1</ns0:v>
      </ns0:c>
      <ns0:c r="BZ75" t="n">
        <ns0:f>IF($A75="",1,IF(BY75=1,1,--AND(IF($AC75&gt;0,INDEX(BY$7:BY$106,$AC75),1),IF($AD75&gt;0,INDEX(BY$7:BY$106,$AD75),1),IF($AE75&gt;0,INDEX(BY$7:BY$106,$AE75),1),IF($AF75&gt;0,INDEX(BY$7:BY$106,$AF75),1),IF($AG75&gt;0,INDEX(BY$7:BY$106,$AG75),1),IF($AH75&gt;0,INDEX(BY$7:BY$106,$AH75),1),IF($AI75&gt;0,INDEX(BY$7:BY$106,$AI75),1),IF($AJ75&gt;0,INDEX(BY$7:BY$106,$AJ75),1))))</ns0:f>
        <ns0:v>1</ns0:v>
      </ns0:c>
      <ns0:c r="CA75" t="n">
        <ns0:f>IF($A75="",1,IF(BZ75=1,1,--AND(IF($AC75&gt;0,INDEX(BZ$7:BZ$106,$AC75),1),IF($AD75&gt;0,INDEX(BZ$7:BZ$106,$AD75),1),IF($AE75&gt;0,INDEX(BZ$7:BZ$106,$AE75),1),IF($AF75&gt;0,INDEX(BZ$7:BZ$106,$AF75),1),IF($AG75&gt;0,INDEX(BZ$7:BZ$106,$AG75),1),IF($AH75&gt;0,INDEX(BZ$7:BZ$106,$AH75),1),IF($AI75&gt;0,INDEX(BZ$7:BZ$106,$AI75),1),IF($AJ75&gt;0,INDEX(BZ$7:BZ$106,$AJ75),1))))</ns0:f>
        <ns0:v>1</ns0:v>
      </ns0:c>
      <ns0:c r="CB75" t="n">
        <ns0:f>IF($A75="",1,IF(CA75=1,1,--AND(IF($AC75&gt;0,INDEX(CA$7:CA$106,$AC75),1),IF($AD75&gt;0,INDEX(CA$7:CA$106,$AD75),1),IF($AE75&gt;0,INDEX(CA$7:CA$106,$AE75),1),IF($AF75&gt;0,INDEX(CA$7:CA$106,$AF75),1),IF($AG75&gt;0,INDEX(CA$7:CA$106,$AG75),1),IF($AH75&gt;0,INDEX(CA$7:CA$106,$AH75),1),IF($AI75&gt;0,INDEX(CA$7:CA$106,$AI75),1),IF($AJ75&gt;0,INDEX(CA$7:CA$106,$AJ75),1))))</ns0:f>
        <ns0:v>1</ns0:v>
      </ns0:c>
      <ns0:c r="CC75" t="n">
        <ns0:f>IF($A75="",1,IF(CB75=1,1,--AND(IF($AC75&gt;0,INDEX(CB$7:CB$106,$AC75),1),IF($AD75&gt;0,INDEX(CB$7:CB$106,$AD75),1),IF($AE75&gt;0,INDEX(CB$7:CB$106,$AE75),1),IF($AF75&gt;0,INDEX(CB$7:CB$106,$AF75),1),IF($AG75&gt;0,INDEX(CB$7:CB$106,$AG75),1),IF($AH75&gt;0,INDEX(CB$7:CB$106,$AH75),1),IF($AI75&gt;0,INDEX(CB$7:CB$106,$AI75),1),IF($AJ75&gt;0,INDEX(CB$7:CB$106,$AJ75),1))))</ns0:f>
        <ns0:v>1</ns0:v>
      </ns0:c>
      <ns0:c r="CD75" t="n">
        <ns0:f>IF($A75="",1,IF(CC75=1,1,--AND(IF($AC75&gt;0,INDEX(CC$7:CC$106,$AC75),1),IF($AD75&gt;0,INDEX(CC$7:CC$106,$AD75),1),IF($AE75&gt;0,INDEX(CC$7:CC$106,$AE75),1),IF($AF75&gt;0,INDEX(CC$7:CC$106,$AF75),1),IF($AG75&gt;0,INDEX(CC$7:CC$106,$AG75),1),IF($AH75&gt;0,INDEX(CC$7:CC$106,$AH75),1),IF($AI75&gt;0,INDEX(CC$7:CC$106,$AI75),1),IF($AJ75&gt;0,INDEX(CC$7:CC$106,$AJ75),1))))</ns0:f>
        <ns0:v>1</ns0:v>
      </ns0:c>
      <ns0:c r="CE75" t="n">
        <ns0:f>IF($A75="",1,IF(CD75=1,1,--AND(IF($AC75&gt;0,INDEX(CD$7:CD$106,$AC75),1),IF($AD75&gt;0,INDEX(CD$7:CD$106,$AD75),1),IF($AE75&gt;0,INDEX(CD$7:CD$106,$AE75),1),IF($AF75&gt;0,INDEX(CD$7:CD$106,$AF75),1),IF($AG75&gt;0,INDEX(CD$7:CD$106,$AG75),1),IF($AH75&gt;0,INDEX(CD$7:CD$106,$AH75),1),IF($AI75&gt;0,INDEX(CD$7:CD$106,$AI75),1),IF($AJ75&gt;0,INDEX(CD$7:CD$106,$AJ75),1))))</ns0:f>
        <ns0:v>1</ns0:v>
      </ns0:c>
      <ns0:c r="CF75" t="n">
        <ns0:f>IF($A75="",1,IF(CE75=1,1,--AND(IF($AC75&gt;0,INDEX(CE$7:CE$106,$AC75),1),IF($AD75&gt;0,INDEX(CE$7:CE$106,$AD75),1),IF($AE75&gt;0,INDEX(CE$7:CE$106,$AE75),1),IF($AF75&gt;0,INDEX(CE$7:CE$106,$AF75),1),IF($AG75&gt;0,INDEX(CE$7:CE$106,$AG75),1),IF($AH75&gt;0,INDEX(CE$7:CE$106,$AH75),1),IF($AI75&gt;0,INDEX(CE$7:CE$106,$AI75),1),IF($AJ75&gt;0,INDEX(CE$7:CE$106,$AJ75),1))))</ns0:f>
        <ns0:v>1</ns0:v>
      </ns0:c>
      <ns0:c r="CG75" t="n">
        <ns0:f>IF($A75="",1,IF(CF75=1,1,--AND(IF($AC75&gt;0,INDEX(CF$7:CF$106,$AC75),1),IF($AD75&gt;0,INDEX(CF$7:CF$106,$AD75),1),IF($AE75&gt;0,INDEX(CF$7:CF$106,$AE75),1),IF($AF75&gt;0,INDEX(CF$7:CF$106,$AF75),1),IF($AG75&gt;0,INDEX(CF$7:CF$106,$AG75),1),IF($AH75&gt;0,INDEX(CF$7:CF$106,$AH75),1),IF($AI75&gt;0,INDEX(CF$7:CF$106,$AI75),1),IF($AJ75&gt;0,INDEX(CF$7:CF$106,$AJ75),1))))</ns0:f>
        <ns0:v>1</ns0:v>
      </ns0:c>
      <ns0:c r="CH75" t="n">
        <ns0:f>IF($A75="",1,IF(CG75=1,1,--AND(IF($AC75&gt;0,INDEX(CG$7:CG$106,$AC75),1),IF($AD75&gt;0,INDEX(CG$7:CG$106,$AD75),1),IF($AE75&gt;0,INDEX(CG$7:CG$106,$AE75),1),IF($AF75&gt;0,INDEX(CG$7:CG$106,$AF75),1),IF($AG75&gt;0,INDEX(CG$7:CG$106,$AG75),1),IF($AH75&gt;0,INDEX(CG$7:CG$106,$AH75),1),IF($AI75&gt;0,INDEX(CG$7:CG$106,$AI75),1),IF($AJ75&gt;0,INDEX(CG$7:CG$106,$AJ75),1))))</ns0:f>
        <ns0:v>1</ns0:v>
      </ns0:c>
      <ns0:c r="CI75" t="n">
        <ns0:f>IF($A75="",1,IF(CH75=1,1,--AND(IF($AC75&gt;0,INDEX(CH$7:CH$106,$AC75),1),IF($AD75&gt;0,INDEX(CH$7:CH$106,$AD75),1),IF($AE75&gt;0,INDEX(CH$7:CH$106,$AE75),1),IF($AF75&gt;0,INDEX(CH$7:CH$106,$AF75),1),IF($AG75&gt;0,INDEX(CH$7:CH$106,$AG75),1),IF($AH75&gt;0,INDEX(CH$7:CH$106,$AH75),1),IF($AI75&gt;0,INDEX(CH$7:CH$106,$AI75),1),IF($AJ75&gt;0,INDEX(CH$7:CH$106,$AJ75),1))))</ns0:f>
        <ns0:v>1</ns0:v>
      </ns0:c>
      <ns0:c r="CJ75" t="n">
        <ns0:f>IF($A75="",1,IF(CI75=1,1,--AND(IF($AC75&gt;0,INDEX(CI$7:CI$106,$AC75),1),IF($AD75&gt;0,INDEX(CI$7:CI$106,$AD75),1),IF($AE75&gt;0,INDEX(CI$7:CI$106,$AE75),1),IF($AF75&gt;0,INDEX(CI$7:CI$106,$AF75),1),IF($AG75&gt;0,INDEX(CI$7:CI$106,$AG75),1),IF($AH75&gt;0,INDEX(CI$7:CI$106,$AH75),1),IF($AI75&gt;0,INDEX(CI$7:CI$106,$AI75),1),IF($AJ75&gt;0,INDEX(CI$7:CI$106,$AJ75),1))))</ns0:f>
        <ns0:v>1</ns0:v>
      </ns0:c>
      <ns0:c r="CK75" t="n">
        <ns0:f>IF($A75="",1,IF(CJ75=1,1,--AND(IF($AC75&gt;0,INDEX(CJ$7:CJ$106,$AC75),1),IF($AD75&gt;0,INDEX(CJ$7:CJ$106,$AD75),1),IF($AE75&gt;0,INDEX(CJ$7:CJ$106,$AE75),1),IF($AF75&gt;0,INDEX(CJ$7:CJ$106,$AF75),1),IF($AG75&gt;0,INDEX(CJ$7:CJ$106,$AG75),1),IF($AH75&gt;0,INDEX(CJ$7:CJ$106,$AH75),1),IF($AI75&gt;0,INDEX(CJ$7:CJ$106,$AI75),1),IF($AJ75&gt;0,INDEX(CJ$7:CJ$106,$AJ75),1))))</ns0:f>
        <ns0:v>1</ns0:v>
      </ns0:c>
      <ns0:c r="CL75" t="n">
        <ns0:f>IF($A75="",1,IF(CK75=1,1,--AND(IF($AC75&gt;0,INDEX(CK$7:CK$106,$AC75),1),IF($AD75&gt;0,INDEX(CK$7:CK$106,$AD75),1),IF($AE75&gt;0,INDEX(CK$7:CK$106,$AE75),1),IF($AF75&gt;0,INDEX(CK$7:CK$106,$AF75),1),IF($AG75&gt;0,INDEX(CK$7:CK$106,$AG75),1),IF($AH75&gt;0,INDEX(CK$7:CK$106,$AH75),1),IF($AI75&gt;0,INDEX(CK$7:CK$106,$AI75),1),IF($AJ75&gt;0,INDEX(CK$7:CK$106,$AJ75),1))))</ns0:f>
        <ns0:v>1</ns0:v>
      </ns0:c>
      <ns0:c r="CM75" t="n">
        <ns0:f>IF($A75="",1,IF(CL75=1,1,--AND(IF($AC75&gt;0,INDEX(CL$7:CL$106,$AC75),1),IF($AD75&gt;0,INDEX(CL$7:CL$106,$AD75),1),IF($AE75&gt;0,INDEX(CL$7:CL$106,$AE75),1),IF($AF75&gt;0,INDEX(CL$7:CL$106,$AF75),1),IF($AG75&gt;0,INDEX(CL$7:CL$106,$AG75),1),IF($AH75&gt;0,INDEX(CL$7:CL$106,$AH75),1),IF($AI75&gt;0,INDEX(CL$7:CL$106,$AI75),1),IF($AJ75&gt;0,INDEX(CL$7:CL$106,$AJ75),1))))</ns0:f>
        <ns0:v>1</ns0:v>
      </ns0:c>
      <ns0:c r="CN75" t="n">
        <ns0:f>IF($A75="",1,IF(CM75=1,1,--AND(IF($AC75&gt;0,INDEX(CM$7:CM$106,$AC75),1),IF($AD75&gt;0,INDEX(CM$7:CM$106,$AD75),1),IF($AE75&gt;0,INDEX(CM$7:CM$106,$AE75),1),IF($AF75&gt;0,INDEX(CM$7:CM$106,$AF75),1),IF($AG75&gt;0,INDEX(CM$7:CM$106,$AG75),1),IF($AH75&gt;0,INDEX(CM$7:CM$106,$AH75),1),IF($AI75&gt;0,INDEX(CM$7:CM$106,$AI75),1),IF($AJ75&gt;0,INDEX(CM$7:CM$106,$AJ75),1))))</ns0:f>
        <ns0:v>1</ns0:v>
      </ns0:c>
      <ns0:c r="CO75" t="n">
        <ns0:f>IF($A75="",1,IF(CN75=1,1,--AND(IF($AC75&gt;0,INDEX(CN$7:CN$106,$AC75),1),IF($AD75&gt;0,INDEX(CN$7:CN$106,$AD75),1),IF($AE75&gt;0,INDEX(CN$7:CN$106,$AE75),1),IF($AF75&gt;0,INDEX(CN$7:CN$106,$AF75),1),IF($AG75&gt;0,INDEX(CN$7:CN$106,$AG75),1),IF($AH75&gt;0,INDEX(CN$7:CN$106,$AH75),1),IF($AI75&gt;0,INDEX(CN$7:CN$106,$AI75),1),IF($AJ75&gt;0,INDEX(CN$7:CN$106,$AJ75),1))))</ns0:f>
        <ns0:v>1</ns0:v>
      </ns0:c>
      <ns0:c r="CP75" t="n">
        <ns0:f>IF($A75="",1,IF(CO75=1,1,--AND(IF($AC75&gt;0,INDEX(CO$7:CO$106,$AC75),1),IF($AD75&gt;0,INDEX(CO$7:CO$106,$AD75),1),IF($AE75&gt;0,INDEX(CO$7:CO$106,$AE75),1),IF($AF75&gt;0,INDEX(CO$7:CO$106,$AF75),1),IF($AG75&gt;0,INDEX(CO$7:CO$106,$AG75),1),IF($AH75&gt;0,INDEX(CO$7:CO$106,$AH75),1),IF($AI75&gt;0,INDEX(CO$7:CO$106,$AI75),1),IF($AJ75&gt;0,INDEX(CO$7:CO$106,$AJ75),1))))</ns0:f>
        <ns0:v>1</ns0:v>
      </ns0:c>
      <ns0:c r="CQ75" t="n">
        <ns0:f>IF($A75="",1,IF(CP75=1,1,--AND(IF($AC75&gt;0,INDEX(CP$7:CP$106,$AC75),1),IF($AD75&gt;0,INDEX(CP$7:CP$106,$AD75),1),IF($AE75&gt;0,INDEX(CP$7:CP$106,$AE75),1),IF($AF75&gt;0,INDEX(CP$7:CP$106,$AF75),1),IF($AG75&gt;0,INDEX(CP$7:CP$106,$AG75),1),IF($AH75&gt;0,INDEX(CP$7:CP$106,$AH75),1),IF($AI75&gt;0,INDEX(CP$7:CP$106,$AI75),1),IF($AJ75&gt;0,INDEX(CP$7:CP$106,$AJ75),1))))</ns0:f>
        <ns0:v>1</ns0:v>
      </ns0:c>
      <ns0:c r="CR75" t="n">
        <ns0:f>IF($A75="",1,IF(CQ75=1,1,--AND(IF($AC75&gt;0,INDEX(CQ$7:CQ$106,$AC75),1),IF($AD75&gt;0,INDEX(CQ$7:CQ$106,$AD75),1),IF($AE75&gt;0,INDEX(CQ$7:CQ$106,$AE75),1),IF($AF75&gt;0,INDEX(CQ$7:CQ$106,$AF75),1),IF($AG75&gt;0,INDEX(CQ$7:CQ$106,$AG75),1),IF($AH75&gt;0,INDEX(CQ$7:CQ$106,$AH75),1),IF($AI75&gt;0,INDEX(CQ$7:CQ$106,$AI75),1),IF($AJ75&gt;0,INDEX(CQ$7:CQ$106,$AJ75),1))))</ns0:f>
        <ns0:v>1</ns0:v>
      </ns0:c>
      <ns0:c r="CS75" t="n">
        <ns0:f>IF($A75="",1,IF(CR75=1,1,--AND(IF($AC75&gt;0,INDEX(CR$7:CR$106,$AC75),1),IF($AD75&gt;0,INDEX(CR$7:CR$106,$AD75),1),IF($AE75&gt;0,INDEX(CR$7:CR$106,$AE75),1),IF($AF75&gt;0,INDEX(CR$7:CR$106,$AF75),1),IF($AG75&gt;0,INDEX(CR$7:CR$106,$AG75),1),IF($AH75&gt;0,INDEX(CR$7:CR$106,$AH75),1),IF($AI75&gt;0,INDEX(CR$7:CR$106,$AI75),1),IF($AJ75&gt;0,INDEX(CR$7:CR$106,$AJ75),1))))</ns0:f>
        <ns0:v>1</ns0:v>
      </ns0:c>
      <ns0:c r="CT75" t="n">
        <ns0:f>IF($A75="",1,IF(CS75=1,1,--AND(IF($AC75&gt;0,INDEX(CS$7:CS$106,$AC75),1),IF($AD75&gt;0,INDEX(CS$7:CS$106,$AD75),1),IF($AE75&gt;0,INDEX(CS$7:CS$106,$AE75),1),IF($AF75&gt;0,INDEX(CS$7:CS$106,$AF75),1),IF($AG75&gt;0,INDEX(CS$7:CS$106,$AG75),1),IF($AH75&gt;0,INDEX(CS$7:CS$106,$AH75),1),IF($AI75&gt;0,INDEX(CS$7:CS$106,$AI75),1),IF($AJ75&gt;0,INDEX(CS$7:CS$106,$AJ75),1))))</ns0:f>
        <ns0:v>1</ns0:v>
      </ns0:c>
      <ns0:c r="CU75" t="n">
        <ns0:f>IF($A75="",1,IF(CT75=1,1,--AND(IF($AC75&gt;0,INDEX(CT$7:CT$106,$AC75),1),IF($AD75&gt;0,INDEX(CT$7:CT$106,$AD75),1),IF($AE75&gt;0,INDEX(CT$7:CT$106,$AE75),1),IF($AF75&gt;0,INDEX(CT$7:CT$106,$AF75),1),IF($AG75&gt;0,INDEX(CT$7:CT$106,$AG75),1),IF($AH75&gt;0,INDEX(CT$7:CT$106,$AH75),1),IF($AI75&gt;0,INDEX(CT$7:CT$106,$AI75),1),IF($AJ75&gt;0,INDEX(CT$7:CT$106,$AJ75),1))))</ns0:f>
        <ns0:v>1</ns0:v>
      </ns0:c>
      <ns0:c r="CV75" t="n">
        <ns0:f>IF($A75="",1,IF(CU75=1,1,--AND(IF($AC75&gt;0,INDEX(CU$7:CU$106,$AC75),1),IF($AD75&gt;0,INDEX(CU$7:CU$106,$AD75),1),IF($AE75&gt;0,INDEX(CU$7:CU$106,$AE75),1),IF($AF75&gt;0,INDEX(CU$7:CU$106,$AF75),1),IF($AG75&gt;0,INDEX(CU$7:CU$106,$AG75),1),IF($AH75&gt;0,INDEX(CU$7:CU$106,$AH75),1),IF($AI75&gt;0,INDEX(CU$7:CU$106,$AI75),1),IF($AJ75&gt;0,INDEX(CU$7:CU$106,$AJ75),1))))</ns0:f>
        <ns0:v>1</ns0:v>
      </ns0:c>
      <ns0:c r="CW75" t="n">
        <ns0:f>IF($A75="",1,IF(CV75=1,1,--AND(IF($AC75&gt;0,INDEX(CV$7:CV$106,$AC75),1),IF($AD75&gt;0,INDEX(CV$7:CV$106,$AD75),1),IF($AE75&gt;0,INDEX(CV$7:CV$106,$AE75),1),IF($AF75&gt;0,INDEX(CV$7:CV$106,$AF75),1),IF($AG75&gt;0,INDEX(CV$7:CV$106,$AG75),1),IF($AH75&gt;0,INDEX(CV$7:CV$106,$AH75),1),IF($AI75&gt;0,INDEX(CV$7:CV$106,$AI75),1),IF($AJ75&gt;0,INDEX(CV$7:CV$106,$AJ75),1))))</ns0:f>
        <ns0:v>1</ns0:v>
      </ns0:c>
      <ns0:c r="CX75" t="n">
        <ns0:f>IF($A75="",1,IF(CW75=1,1,--AND(IF($AC75&gt;0,INDEX(CW$7:CW$106,$AC75),1),IF($AD75&gt;0,INDEX(CW$7:CW$106,$AD75),1),IF($AE75&gt;0,INDEX(CW$7:CW$106,$AE75),1),IF($AF75&gt;0,INDEX(CW$7:CW$106,$AF75),1),IF($AG75&gt;0,INDEX(CW$7:CW$106,$AG75),1),IF($AH75&gt;0,INDEX(CW$7:CW$106,$AH75),1),IF($AI75&gt;0,INDEX(CW$7:CW$106,$AI75),1),IF($AJ75&gt;0,INDEX(CW$7:CW$106,$AJ75),1))))</ns0:f>
        <ns0:v>1</ns0:v>
      </ns0:c>
      <ns0:c r="CY75" t="n">
        <ns0:f>IF($A75="",1,IF(CX75=1,1,--AND(IF($AC75&gt;0,INDEX(CX$7:CX$106,$AC75),1),IF($AD75&gt;0,INDEX(CX$7:CX$106,$AD75),1),IF($AE75&gt;0,INDEX(CX$7:CX$106,$AE75),1),IF($AF75&gt;0,INDEX(CX$7:CX$106,$AF75),1),IF($AG75&gt;0,INDEX(CX$7:CX$106,$AG75),1),IF($AH75&gt;0,INDEX(CX$7:CX$106,$AH75),1),IF($AI75&gt;0,INDEX(CX$7:CX$106,$AI75),1),IF($AJ75&gt;0,INDEX(CX$7:CX$106,$AJ75),1))))</ns0:f>
        <ns0:v>1</ns0:v>
      </ns0:c>
      <ns0:c r="CZ75" t="n">
        <ns0:f>IF($A75="",1,IF(CY75=1,1,--AND(IF($AC75&gt;0,INDEX(CY$7:CY$106,$AC75),1),IF($AD75&gt;0,INDEX(CY$7:CY$106,$AD75),1),IF($AE75&gt;0,INDEX(CY$7:CY$106,$AE75),1),IF($AF75&gt;0,INDEX(CY$7:CY$106,$AF75),1),IF($AG75&gt;0,INDEX(CY$7:CY$106,$AG75),1),IF($AH75&gt;0,INDEX(CY$7:CY$106,$AH75),1),IF($AI75&gt;0,INDEX(CY$7:CY$106,$AI75),1),IF($AJ75&gt;0,INDEX(CY$7:CY$106,$AJ75),1))))</ns0:f>
        <ns0:v>1</ns0:v>
      </ns0:c>
      <ns0:c r="DA75" t="n">
        <ns0:f>IF($A75="",1,IF(CZ75=1,1,--AND(IF($AC75&gt;0,INDEX(CZ$7:CZ$106,$AC75),1),IF($AD75&gt;0,INDEX(CZ$7:CZ$106,$AD75),1),IF($AE75&gt;0,INDEX(CZ$7:CZ$106,$AE75),1),IF($AF75&gt;0,INDEX(CZ$7:CZ$106,$AF75),1),IF($AG75&gt;0,INDEX(CZ$7:CZ$106,$AG75),1),IF($AH75&gt;0,INDEX(CZ$7:CZ$106,$AH75),1),IF($AI75&gt;0,INDEX(CZ$7:CZ$106,$AI75),1),IF($AJ75&gt;0,INDEX(CZ$7:CZ$106,$AJ75),1))))</ns0:f>
        <ns0:v>1</ns0:v>
      </ns0:c>
      <ns0:c r="DB75" t="n">
        <ns0:f>IF($A75="",1,IF(DA75=1,1,--AND(IF($AC75&gt;0,INDEX(DA$7:DA$106,$AC75),1),IF($AD75&gt;0,INDEX(DA$7:DA$106,$AD75),1),IF($AE75&gt;0,INDEX(DA$7:DA$106,$AE75),1),IF($AF75&gt;0,INDEX(DA$7:DA$106,$AF75),1),IF($AG75&gt;0,INDEX(DA$7:DA$106,$AG75),1),IF($AH75&gt;0,INDEX(DA$7:DA$106,$AH75),1),IF($AI75&gt;0,INDEX(DA$7:DA$106,$AI75),1),IF($AJ75&gt;0,INDEX(DA$7:DA$106,$AJ75),1))))</ns0:f>
        <ns0:v>1</ns0:v>
      </ns0:c>
      <ns0:c r="DC75" t="n">
        <ns0:f>IF($A75="",1,IF(DB75=1,1,--AND(IF($AC75&gt;0,INDEX(DB$7:DB$106,$AC75),1),IF($AD75&gt;0,INDEX(DB$7:DB$106,$AD75),1),IF($AE75&gt;0,INDEX(DB$7:DB$106,$AE75),1),IF($AF75&gt;0,INDEX(DB$7:DB$106,$AF75),1),IF($AG75&gt;0,INDEX(DB$7:DB$106,$AG75),1),IF($AH75&gt;0,INDEX(DB$7:DB$106,$AH75),1),IF($AI75&gt;0,INDEX(DB$7:DB$106,$AI75),1),IF($AJ75&gt;0,INDEX(DB$7:DB$106,$AJ75),1))))</ns0:f>
        <ns0:v>1</ns0:v>
      </ns0:c>
      <ns0:c r="DD75" t="n">
        <ns0:f>IF($A75="",1,IF(DC75=1,1,--AND(IF($AC75&gt;0,INDEX(DC$7:DC$106,$AC75),1),IF($AD75&gt;0,INDEX(DC$7:DC$106,$AD75),1),IF($AE75&gt;0,INDEX(DC$7:DC$106,$AE75),1),IF($AF75&gt;0,INDEX(DC$7:DC$106,$AF75),1),IF($AG75&gt;0,INDEX(DC$7:DC$106,$AG75),1),IF($AH75&gt;0,INDEX(DC$7:DC$106,$AH75),1),IF($AI75&gt;0,INDEX(DC$7:DC$106,$AI75),1),IF($AJ75&gt;0,INDEX(DC$7:DC$106,$AJ75),1))))</ns0:f>
        <ns0:v>1</ns0:v>
      </ns0:c>
      <ns0:c r="DE75" t="n">
        <ns0:f>IF($A75="",1,IF(DD75=1,1,--AND(IF($AC75&gt;0,INDEX(DD$7:DD$106,$AC75),1),IF($AD75&gt;0,INDEX(DD$7:DD$106,$AD75),1),IF($AE75&gt;0,INDEX(DD$7:DD$106,$AE75),1),IF($AF75&gt;0,INDEX(DD$7:DD$106,$AF75),1),IF($AG75&gt;0,INDEX(DD$7:DD$106,$AG75),1),IF($AH75&gt;0,INDEX(DD$7:DD$106,$AH75),1),IF($AI75&gt;0,INDEX(DD$7:DD$106,$AI75),1),IF($AJ75&gt;0,INDEX(DD$7:DD$106,$AJ75),1))))</ns0:f>
        <ns0:v>1</ns0:v>
      </ns0:c>
      <ns0:c r="DF75" t="n">
        <ns0:f>IF($A75="",1,IF(DE75=1,1,--AND(IF($AC75&gt;0,INDEX(DE$7:DE$106,$AC75),1),IF($AD75&gt;0,INDEX(DE$7:DE$106,$AD75),1),IF($AE75&gt;0,INDEX(DE$7:DE$106,$AE75),1),IF($AF75&gt;0,INDEX(DE$7:DE$106,$AF75),1),IF($AG75&gt;0,INDEX(DE$7:DE$106,$AG75),1),IF($AH75&gt;0,INDEX(DE$7:DE$106,$AH75),1),IF($AI75&gt;0,INDEX(DE$7:DE$106,$AI75),1),IF($AJ75&gt;0,INDEX(DE$7:DE$106,$AJ75),1))))</ns0:f>
        <ns0:v>1</ns0:v>
      </ns0:c>
      <ns0:c r="DG75" t="n">
        <ns0:f>IF($A75="",1,IF(DF75=1,1,--AND(IF($AC75&gt;0,INDEX(DF$7:DF$106,$AC75),1),IF($AD75&gt;0,INDEX(DF$7:DF$106,$AD75),1),IF($AE75&gt;0,INDEX(DF$7:DF$106,$AE75),1),IF($AF75&gt;0,INDEX(DF$7:DF$106,$AF75),1),IF($AG75&gt;0,INDEX(DF$7:DF$106,$AG75),1),IF($AH75&gt;0,INDEX(DF$7:DF$106,$AH75),1),IF($AI75&gt;0,INDEX(DF$7:DF$106,$AI75),1),IF($AJ75&gt;0,INDEX(DF$7:DF$106,$AJ75),1))))</ns0:f>
        <ns0:v>1</ns0:v>
      </ns0:c>
      <ns0:c r="DH75" t="n">
        <ns0:f>IF($A75="",1,IF(DG75=1,1,--AND(IF($AC75&gt;0,INDEX(DG$7:DG$106,$AC75),1),IF($AD75&gt;0,INDEX(DG$7:DG$106,$AD75),1),IF($AE75&gt;0,INDEX(DG$7:DG$106,$AE75),1),IF($AF75&gt;0,INDEX(DG$7:DG$106,$AF75),1),IF($AG75&gt;0,INDEX(DG$7:DG$106,$AG75),1),IF($AH75&gt;0,INDEX(DG$7:DG$106,$AH75),1),IF($AI75&gt;0,INDEX(DG$7:DG$106,$AI75),1),IF($AJ75&gt;0,INDEX(DG$7:DG$106,$AJ75),1))))</ns0:f>
        <ns0:v>1</ns0:v>
      </ns0:c>
      <ns0:c r="DI75" t="n">
        <ns0:f>IF($A75="",1,IF(DH75=1,1,--AND(IF($AC75&gt;0,INDEX(DH$7:DH$106,$AC75),1),IF($AD75&gt;0,INDEX(DH$7:DH$106,$AD75),1),IF($AE75&gt;0,INDEX(DH$7:DH$106,$AE75),1),IF($AF75&gt;0,INDEX(DH$7:DH$106,$AF75),1),IF($AG75&gt;0,INDEX(DH$7:DH$106,$AG75),1),IF($AH75&gt;0,INDEX(DH$7:DH$106,$AH75),1),IF($AI75&gt;0,INDEX(DH$7:DH$106,$AI75),1),IF($AJ75&gt;0,INDEX(DH$7:DH$106,$AJ75),1))))</ns0:f>
        <ns0:v>1</ns0:v>
      </ns0:c>
      <ns0:c r="DJ75" t="n">
        <ns0:f>IF($A75="",1,IF(DI75=1,1,--AND(IF($AC75&gt;0,INDEX(DI$7:DI$106,$AC75),1),IF($AD75&gt;0,INDEX(DI$7:DI$106,$AD75),1),IF($AE75&gt;0,INDEX(DI$7:DI$106,$AE75),1),IF($AF75&gt;0,INDEX(DI$7:DI$106,$AF75),1),IF($AG75&gt;0,INDEX(DI$7:DI$106,$AG75),1),IF($AH75&gt;0,INDEX(DI$7:DI$106,$AH75),1),IF($AI75&gt;0,INDEX(DI$7:DI$106,$AI75),1),IF($AJ75&gt;0,INDEX(DI$7:DI$106,$AJ75),1))))</ns0:f>
        <ns0:v>1</ns0:v>
      </ns0:c>
      <ns0:c r="DK75" t="n">
        <ns0:f>IF($A75="",1,IF(DJ75=1,1,--AND(IF($AC75&gt;0,INDEX(DJ$7:DJ$106,$AC75),1),IF($AD75&gt;0,INDEX(DJ$7:DJ$106,$AD75),1),IF($AE75&gt;0,INDEX(DJ$7:DJ$106,$AE75),1),IF($AF75&gt;0,INDEX(DJ$7:DJ$106,$AF75),1),IF($AG75&gt;0,INDEX(DJ$7:DJ$106,$AG75),1),IF($AH75&gt;0,INDEX(DJ$7:DJ$106,$AH75),1),IF($AI75&gt;0,INDEX(DJ$7:DJ$106,$AI75),1),IF($AJ75&gt;0,INDEX(DJ$7:DJ$106,$AJ75),1))))</ns0:f>
        <ns0:v>1</ns0:v>
      </ns0:c>
      <ns0:c r="DL75" t="n">
        <ns0:f>IF($A75="",1,IF(DK75=1,1,--AND(IF($AC75&gt;0,INDEX(DK$7:DK$106,$AC75),1),IF($AD75&gt;0,INDEX(DK$7:DK$106,$AD75),1),IF($AE75&gt;0,INDEX(DK$7:DK$106,$AE75),1),IF($AF75&gt;0,INDEX(DK$7:DK$106,$AF75),1),IF($AG75&gt;0,INDEX(DK$7:DK$106,$AG75),1),IF($AH75&gt;0,INDEX(DK$7:DK$106,$AH75),1),IF($AI75&gt;0,INDEX(DK$7:DK$106,$AI75),1),IF($AJ75&gt;0,INDEX(DK$7:DK$106,$AJ75),1))))</ns0:f>
        <ns0:v>1</ns0:v>
      </ns0:c>
      <ns0:c r="DM75" t="n">
        <ns0:f>IF($A75="",1,IF(DL75=1,1,--AND(IF($AC75&gt;0,INDEX(DL$7:DL$106,$AC75),1),IF($AD75&gt;0,INDEX(DL$7:DL$106,$AD75),1),IF($AE75&gt;0,INDEX(DL$7:DL$106,$AE75),1),IF($AF75&gt;0,INDEX(DL$7:DL$106,$AF75),1),IF($AG75&gt;0,INDEX(DL$7:DL$106,$AG75),1),IF($AH75&gt;0,INDEX(DL$7:DL$106,$AH75),1),IF($AI75&gt;0,INDEX(DL$7:DL$106,$AI75),1),IF($AJ75&gt;0,INDEX(DL$7:DL$106,$AJ75),1))))</ns0:f>
        <ns0:v>1</ns0:v>
      </ns0:c>
      <ns0:c r="DN75" t="n">
        <ns0:f>IF($A75="",1,IF(DM75=1,1,--AND(IF($AC75&gt;0,INDEX(DM$7:DM$106,$AC75),1),IF($AD75&gt;0,INDEX(DM$7:DM$106,$AD75),1),IF($AE75&gt;0,INDEX(DM$7:DM$106,$AE75),1),IF($AF75&gt;0,INDEX(DM$7:DM$106,$AF75),1),IF($AG75&gt;0,INDEX(DM$7:DM$106,$AG75),1),IF($AH75&gt;0,INDEX(DM$7:DM$106,$AH75),1),IF($AI75&gt;0,INDEX(DM$7:DM$106,$AI75),1),IF($AJ75&gt;0,INDEX(DM$7:DM$106,$AJ75),1))))</ns0:f>
        <ns0:v>1</ns0:v>
      </ns0:c>
      <ns0:c r="DO75" t="n">
        <ns0:f>IF($A75="",1,IF(DN75=1,1,--AND(IF($AC75&gt;0,INDEX(DN$7:DN$106,$AC75),1),IF($AD75&gt;0,INDEX(DN$7:DN$106,$AD75),1),IF($AE75&gt;0,INDEX(DN$7:DN$106,$AE75),1),IF($AF75&gt;0,INDEX(DN$7:DN$106,$AF75),1),IF($AG75&gt;0,INDEX(DN$7:DN$106,$AG75),1),IF($AH75&gt;0,INDEX(DN$7:DN$106,$AH75),1),IF($AI75&gt;0,INDEX(DN$7:DN$106,$AI75),1),IF($AJ75&gt;0,INDEX(DN$7:DN$106,$AJ75),1))))</ns0:f>
        <ns0:v>1</ns0:v>
      </ns0:c>
      <ns0:c r="DP75" t="n">
        <ns0:f>IF($A75="",1,IF(DO75=1,1,--AND(IF($AC75&gt;0,INDEX(DO$7:DO$106,$AC75),1),IF($AD75&gt;0,INDEX(DO$7:DO$106,$AD75),1),IF($AE75&gt;0,INDEX(DO$7:DO$106,$AE75),1),IF($AF75&gt;0,INDEX(DO$7:DO$106,$AF75),1),IF($AG75&gt;0,INDEX(DO$7:DO$106,$AG75),1),IF($AH75&gt;0,INDEX(DO$7:DO$106,$AH75),1),IF($AI75&gt;0,INDEX(DO$7:DO$106,$AI75),1),IF($AJ75&gt;0,INDEX(DO$7:DO$106,$AJ75),1))))</ns0:f>
        <ns0:v>1</ns0:v>
      </ns0:c>
      <ns0:c r="DQ75" t="n">
        <ns0:f>IF($A75="",1,IF(DP75=1,1,--AND(IF($AC75&gt;0,INDEX(DP$7:DP$106,$AC75),1),IF($AD75&gt;0,INDEX(DP$7:DP$106,$AD75),1),IF($AE75&gt;0,INDEX(DP$7:DP$106,$AE75),1),IF($AF75&gt;0,INDEX(DP$7:DP$106,$AF75),1),IF($AG75&gt;0,INDEX(DP$7:DP$106,$AG75),1),IF($AH75&gt;0,INDEX(DP$7:DP$106,$AH75),1),IF($AI75&gt;0,INDEX(DP$7:DP$106,$AI75),1),IF($AJ75&gt;0,INDEX(DP$7:DP$106,$AJ75),1))))</ns0:f>
        <ns0:v>1</ns0:v>
      </ns0:c>
      <ns0:c r="DR75" t="n">
        <ns0:f>IF($A75="",1,IF(DQ75=1,1,--AND(IF($AC75&gt;0,INDEX(DQ$7:DQ$106,$AC75),1),IF($AD75&gt;0,INDEX(DQ$7:DQ$106,$AD75),1),IF($AE75&gt;0,INDEX(DQ$7:DQ$106,$AE75),1),IF($AF75&gt;0,INDEX(DQ$7:DQ$106,$AF75),1),IF($AG75&gt;0,INDEX(DQ$7:DQ$106,$AG75),1),IF($AH75&gt;0,INDEX(DQ$7:DQ$106,$AH75),1),IF($AI75&gt;0,INDEX(DQ$7:DQ$106,$AI75),1),IF($AJ75&gt;0,INDEX(DQ$7:DQ$106,$AJ75),1))))</ns0:f>
        <ns0:v>1</ns0:v>
      </ns0:c>
      <ns0:c r="DS75" t="n">
        <ns0:f>IF($A75="",1,IF(DR75=1,1,--AND(IF($AC75&gt;0,INDEX(DR$7:DR$106,$AC75),1),IF($AD75&gt;0,INDEX(DR$7:DR$106,$AD75),1),IF($AE75&gt;0,INDEX(DR$7:DR$106,$AE75),1),IF($AF75&gt;0,INDEX(DR$7:DR$106,$AF75),1),IF($AG75&gt;0,INDEX(DR$7:DR$106,$AG75),1),IF($AH75&gt;0,INDEX(DR$7:DR$106,$AH75),1),IF($AI75&gt;0,INDEX(DR$7:DR$106,$AI75),1),IF($AJ75&gt;0,INDEX(DR$7:DR$106,$AJ75),1))))</ns0:f>
        <ns0:v>1</ns0:v>
      </ns0:c>
      <ns0:c r="DT75" t="n">
        <ns0:f>IF($A75="",1,IF(DS75=1,1,--AND(IF($AC75&gt;0,INDEX(DS$7:DS$106,$AC75),1),IF($AD75&gt;0,INDEX(DS$7:DS$106,$AD75),1),IF($AE75&gt;0,INDEX(DS$7:DS$106,$AE75),1),IF($AF75&gt;0,INDEX(DS$7:DS$106,$AF75),1),IF($AG75&gt;0,INDEX(DS$7:DS$106,$AG75),1),IF($AH75&gt;0,INDEX(DS$7:DS$106,$AH75),1),IF($AI75&gt;0,INDEX(DS$7:DS$106,$AI75),1),IF($AJ75&gt;0,INDEX(DS$7:DS$106,$AJ75),1))))</ns0:f>
        <ns0:v>1</ns0:v>
      </ns0:c>
      <ns0:c r="DU75" t="n">
        <ns0:f>IF($A75="",1,IF(DT75=1,1,--AND(IF($AC75&gt;0,INDEX(DT$7:DT$106,$AC75),1),IF($AD75&gt;0,INDEX(DT$7:DT$106,$AD75),1),IF($AE75&gt;0,INDEX(DT$7:DT$106,$AE75),1),IF($AF75&gt;0,INDEX(DT$7:DT$106,$AF75),1),IF($AG75&gt;0,INDEX(DT$7:DT$106,$AG75),1),IF($AH75&gt;0,INDEX(DT$7:DT$106,$AH75),1),IF($AI75&gt;0,INDEX(DT$7:DT$106,$AI75),1),IF($AJ75&gt;0,INDEX(DT$7:DT$106,$AJ75),1))))</ns0:f>
        <ns0:v>1</ns0:v>
      </ns0:c>
      <ns0:c r="DV75" t="n">
        <ns0:f>IF($A75="",1,IF(DU75=1,1,--AND(IF($AC75&gt;0,INDEX(DU$7:DU$106,$AC75),1),IF($AD75&gt;0,INDEX(DU$7:DU$106,$AD75),1),IF($AE75&gt;0,INDEX(DU$7:DU$106,$AE75),1),IF($AF75&gt;0,INDEX(DU$7:DU$106,$AF75),1),IF($AG75&gt;0,INDEX(DU$7:DU$106,$AG75),1),IF($AH75&gt;0,INDEX(DU$7:DU$106,$AH75),1),IF($AI75&gt;0,INDEX(DU$7:DU$106,$AI75),1),IF($AJ75&gt;0,INDEX(DU$7:DU$106,$AJ75),1))))</ns0:f>
        <ns0:v>1</ns0:v>
      </ns0:c>
      <ns0:c r="DW75" t="n">
        <ns0:f>IF($A75="",1,IF(DV75=1,1,--AND(IF($AC75&gt;0,INDEX(DV$7:DV$106,$AC75),1),IF($AD75&gt;0,INDEX(DV$7:DV$106,$AD75),1),IF($AE75&gt;0,INDEX(DV$7:DV$106,$AE75),1),IF($AF75&gt;0,INDEX(DV$7:DV$106,$AF75),1),IF($AG75&gt;0,INDEX(DV$7:DV$106,$AG75),1),IF($AH75&gt;0,INDEX(DV$7:DV$106,$AH75),1),IF($AI75&gt;0,INDEX(DV$7:DV$106,$AI75),1),IF($AJ75&gt;0,INDEX(DV$7:DV$106,$AJ75),1))))</ns0:f>
        <ns0:v>1</ns0:v>
      </ns0:c>
      <ns0:c r="DX75" t="n">
        <ns0:f>IF($A75="",1,IF(DW75=1,1,--AND(IF($AC75&gt;0,INDEX(DW$7:DW$106,$AC75),1),IF($AD75&gt;0,INDEX(DW$7:DW$106,$AD75),1),IF($AE75&gt;0,INDEX(DW$7:DW$106,$AE75),1),IF($AF75&gt;0,INDEX(DW$7:DW$106,$AF75),1),IF($AG75&gt;0,INDEX(DW$7:DW$106,$AG75),1),IF($AH75&gt;0,INDEX(DW$7:DW$106,$AH75),1),IF($AI75&gt;0,INDEX(DW$7:DW$106,$AI75),1),IF($AJ75&gt;0,INDEX(DW$7:DW$106,$AJ75),1))))</ns0:f>
        <ns0:v>1</ns0:v>
      </ns0:c>
      <ns0:c r="DY75" t="n">
        <ns0:f>IF($A75="",1,IF(DX75=1,1,--AND(IF($AC75&gt;0,INDEX(DX$7:DX$106,$AC75),1),IF($AD75&gt;0,INDEX(DX$7:DX$106,$AD75),1),IF($AE75&gt;0,INDEX(DX$7:DX$106,$AE75),1),IF($AF75&gt;0,INDEX(DX$7:DX$106,$AF75),1),IF($AG75&gt;0,INDEX(DX$7:DX$106,$AG75),1),IF($AH75&gt;0,INDEX(DX$7:DX$106,$AH75),1),IF($AI75&gt;0,INDEX(DX$7:DX$106,$AI75),1),IF($AJ75&gt;0,INDEX(DX$7:DX$106,$AJ75),1))))</ns0:f>
        <ns0:v>1</ns0:v>
      </ns0:c>
      <ns0:c r="DZ75" t="n">
        <ns0:f>IF($A75="",1,IF(DY75=1,1,--AND(IF($AC75&gt;0,INDEX(DY$7:DY$106,$AC75),1),IF($AD75&gt;0,INDEX(DY$7:DY$106,$AD75),1),IF($AE75&gt;0,INDEX(DY$7:DY$106,$AE75),1),IF($AF75&gt;0,INDEX(DY$7:DY$106,$AF75),1),IF($AG75&gt;0,INDEX(DY$7:DY$106,$AG75),1),IF($AH75&gt;0,INDEX(DY$7:DY$106,$AH75),1),IF($AI75&gt;0,INDEX(DY$7:DY$106,$AI75),1),IF($AJ75&gt;0,INDEX(DY$7:DY$106,$AJ75),1))))</ns0:f>
        <ns0:v>1</ns0:v>
      </ns0:c>
      <ns0:c r="EA75" t="n">
        <ns0:f>IF($A75="",1,IF(DZ75=1,1,--AND(IF($AC75&gt;0,INDEX(DZ$7:DZ$106,$AC75),1),IF($AD75&gt;0,INDEX(DZ$7:DZ$106,$AD75),1),IF($AE75&gt;0,INDEX(DZ$7:DZ$106,$AE75),1),IF($AF75&gt;0,INDEX(DZ$7:DZ$106,$AF75),1),IF($AG75&gt;0,INDEX(DZ$7:DZ$106,$AG75),1),IF($AH75&gt;0,INDEX(DZ$7:DZ$106,$AH75),1),IF($AI75&gt;0,INDEX(DZ$7:DZ$106,$AI75),1),IF($AJ75&gt;0,INDEX(DZ$7:DZ$106,$AJ75),1))))</ns0:f>
        <ns0:v>1</ns0:v>
      </ns0:c>
      <ns0:c r="EB75" t="n">
        <ns0:f>IF($A75="",1,IF(EA75=1,1,--AND(IF($AC75&gt;0,INDEX(EA$7:EA$106,$AC75),1),IF($AD75&gt;0,INDEX(EA$7:EA$106,$AD75),1),IF($AE75&gt;0,INDEX(EA$7:EA$106,$AE75),1),IF($AF75&gt;0,INDEX(EA$7:EA$106,$AF75),1),IF($AG75&gt;0,INDEX(EA$7:EA$106,$AG75),1),IF($AH75&gt;0,INDEX(EA$7:EA$106,$AH75),1),IF($AI75&gt;0,INDEX(EA$7:EA$106,$AI75),1),IF($AJ75&gt;0,INDEX(EA$7:EA$106,$AJ75),1))))</ns0:f>
        <ns0:v>1</ns0:v>
      </ns0:c>
      <ns0:c r="EC75" t="n">
        <ns0:f>IF($A75="",1,IF(EB75=1,1,--AND(IF($AC75&gt;0,INDEX(EB$7:EB$106,$AC75),1),IF($AD75&gt;0,INDEX(EB$7:EB$106,$AD75),1),IF($AE75&gt;0,INDEX(EB$7:EB$106,$AE75),1),IF($AF75&gt;0,INDEX(EB$7:EB$106,$AF75),1),IF($AG75&gt;0,INDEX(EB$7:EB$106,$AG75),1),IF($AH75&gt;0,INDEX(EB$7:EB$106,$AH75),1),IF($AI75&gt;0,INDEX(EB$7:EB$106,$AI75),1),IF($AJ75&gt;0,INDEX(EB$7:EB$106,$AJ75),1))))</ns0:f>
        <ns0:v>1</ns0:v>
      </ns0:c>
      <ns0:c r="ED75" t="n">
        <ns0:f>IF($A75="",1,IF(EC75=1,1,--AND(IF($AC75&gt;0,INDEX(EC$7:EC$106,$AC75),1),IF($AD75&gt;0,INDEX(EC$7:EC$106,$AD75),1),IF($AE75&gt;0,INDEX(EC$7:EC$106,$AE75),1),IF($AF75&gt;0,INDEX(EC$7:EC$106,$AF75),1),IF($AG75&gt;0,INDEX(EC$7:EC$106,$AG75),1),IF($AH75&gt;0,INDEX(EC$7:EC$106,$AH75),1),IF($AI75&gt;0,INDEX(EC$7:EC$106,$AI75),1),IF($AJ75&gt;0,INDEX(EC$7:EC$106,$AJ75),1))))</ns0:f>
        <ns0:v>1</ns0:v>
      </ns0:c>
      <ns0:c r="EE75" t="n">
        <ns0:f>IF($A75="",1,IF(ED75=1,1,--AND(IF($AC75&gt;0,INDEX(ED$7:ED$106,$AC75),1),IF($AD75&gt;0,INDEX(ED$7:ED$106,$AD75),1),IF($AE75&gt;0,INDEX(ED$7:ED$106,$AE75),1),IF($AF75&gt;0,INDEX(ED$7:ED$106,$AF75),1),IF($AG75&gt;0,INDEX(ED$7:ED$106,$AG75),1),IF($AH75&gt;0,INDEX(ED$7:ED$106,$AH75),1),IF($AI75&gt;0,INDEX(ED$7:ED$106,$AI75),1),IF($AJ75&gt;0,INDEX(ED$7:ED$106,$AJ75),1))))</ns0:f>
        <ns0:v>1</ns0:v>
      </ns0:c>
      <ns0:c r="EF75" t="n">
        <ns0:f>IF($A75="",1,IF(EE75=1,1,--AND(IF($AC75&gt;0,INDEX(EE$7:EE$106,$AC75),1),IF($AD75&gt;0,INDEX(EE$7:EE$106,$AD75),1),IF($AE75&gt;0,INDEX(EE$7:EE$106,$AE75),1),IF($AF75&gt;0,INDEX(EE$7:EE$106,$AF75),1),IF($AG75&gt;0,INDEX(EE$7:EE$106,$AG75),1),IF($AH75&gt;0,INDEX(EE$7:EE$106,$AH75),1),IF($AI75&gt;0,INDEX(EE$7:EE$106,$AI75),1),IF($AJ75&gt;0,INDEX(EE$7:EE$106,$AJ75),1))))</ns0:f>
        <ns0:v>1</ns0:v>
      </ns0:c>
      <ns0:c r="EG75" t="n">
        <ns0:f>IF($A75="",1,IF(EF75=1,1,--AND(IF($AC75&gt;0,INDEX(EF$7:EF$106,$AC75),1),IF($AD75&gt;0,INDEX(EF$7:EF$106,$AD75),1),IF($AE75&gt;0,INDEX(EF$7:EF$106,$AE75),1),IF($AF75&gt;0,INDEX(EF$7:EF$106,$AF75),1),IF($AG75&gt;0,INDEX(EF$7:EF$106,$AG75),1),IF($AH75&gt;0,INDEX(EF$7:EF$106,$AH75),1),IF($AI75&gt;0,INDEX(EF$7:EF$106,$AI75),1),IF($AJ75&gt;0,INDEX(EF$7:EF$106,$AJ75),1))))</ns0:f>
        <ns0:v>1</ns0:v>
      </ns0:c>
      <ns0:c r="EH75" t="n">
        <ns0:f>IF($A75="",1,IF(EG75=1,1,--AND(IF($AC75&gt;0,INDEX(EG$7:EG$106,$AC75),1),IF($AD75&gt;0,INDEX(EG$7:EG$106,$AD75),1),IF($AE75&gt;0,INDEX(EG$7:EG$106,$AE75),1),IF($AF75&gt;0,INDEX(EG$7:EG$106,$AF75),1),IF($AG75&gt;0,INDEX(EG$7:EG$106,$AG75),1),IF($AH75&gt;0,INDEX(EG$7:EG$106,$AH75),1),IF($AI75&gt;0,INDEX(EG$7:EG$106,$AI75),1),IF($AJ75&gt;0,INDEX(EG$7:EG$106,$AJ75),1))))</ns0:f>
        <ns0:v>1</ns0:v>
      </ns0:c>
      <ns0:c r="EI75" t="n">
        <ns0:f>IF($A75="",1,IF(EH75=1,1,--AND(IF($AC75&gt;0,INDEX(EH$7:EH$106,$AC75),1),IF($AD75&gt;0,INDEX(EH$7:EH$106,$AD75),1),IF($AE75&gt;0,INDEX(EH$7:EH$106,$AE75),1),IF($AF75&gt;0,INDEX(EH$7:EH$106,$AF75),1),IF($AG75&gt;0,INDEX(EH$7:EH$106,$AG75),1),IF($AH75&gt;0,INDEX(EH$7:EH$106,$AH75),1),IF($AI75&gt;0,INDEX(EH$7:EH$106,$AI75),1),IF($AJ75&gt;0,INDEX(EH$7:EH$106,$AJ75),1))))</ns0:f>
        <ns0:v>1</ns0:v>
      </ns0:c>
      <ns0:c r="EJ75" t="n">
        <ns0:f>IF($A75="",1,IF(EI75=1,1,--AND(IF($AC75&gt;0,INDEX(EI$7:EI$106,$AC75),1),IF($AD75&gt;0,INDEX(EI$7:EI$106,$AD75),1),IF($AE75&gt;0,INDEX(EI$7:EI$106,$AE75),1),IF($AF75&gt;0,INDEX(EI$7:EI$106,$AF75),1),IF($AG75&gt;0,INDEX(EI$7:EI$106,$AG75),1),IF($AH75&gt;0,INDEX(EI$7:EI$106,$AH75),1),IF($AI75&gt;0,INDEX(EI$7:EI$106,$AI75),1),IF($AJ75&gt;0,INDEX(EI$7:EI$106,$AJ75),1))))</ns0:f>
        <ns0:v>1</ns0:v>
      </ns0:c>
      <ns0:c r="EK75" t="n">
        <ns0:f>IF($A75="",1,IF(EJ75=1,1,--AND(IF($AC75&gt;0,INDEX(EJ$7:EJ$106,$AC75),1),IF($AD75&gt;0,INDEX(EJ$7:EJ$106,$AD75),1),IF($AE75&gt;0,INDEX(EJ$7:EJ$106,$AE75),1),IF($AF75&gt;0,INDEX(EJ$7:EJ$106,$AF75),1),IF($AG75&gt;0,INDEX(EJ$7:EJ$106,$AG75),1),IF($AH75&gt;0,INDEX(EJ$7:EJ$106,$AH75),1),IF($AI75&gt;0,INDEX(EJ$7:EJ$106,$AI75),1),IF($AJ75&gt;0,INDEX(EJ$7:EJ$106,$AJ75),1))))</ns0:f>
        <ns0:v>1</ns0:v>
      </ns0:c>
      <ns0:c r="EL75" t="n">
        <ns0:f>IF($A75="",1,IF(EK75=1,1,--AND(IF($AC75&gt;0,INDEX(EK$7:EK$106,$AC75),1),IF($AD75&gt;0,INDEX(EK$7:EK$106,$AD75),1),IF($AE75&gt;0,INDEX(EK$7:EK$106,$AE75),1),IF($AF75&gt;0,INDEX(EK$7:EK$106,$AF75),1),IF($AG75&gt;0,INDEX(EK$7:EK$106,$AG75),1),IF($AH75&gt;0,INDEX(EK$7:EK$106,$AH75),1),IF($AI75&gt;0,INDEX(EK$7:EK$106,$AI75),1),IF($AJ75&gt;0,INDEX(EK$7:EK$106,$AJ75),1))))</ns0:f>
        <ns0:v>1</ns0:v>
      </ns0:c>
      <ns0:c r="EM75" t="n">
        <ns0:f>IF($A75="",1,IF(EL75=1,1,--AND(IF($AC75&gt;0,INDEX(EL$7:EL$106,$AC75),1),IF($AD75&gt;0,INDEX(EL$7:EL$106,$AD75),1),IF($AE75&gt;0,INDEX(EL$7:EL$106,$AE75),1),IF($AF75&gt;0,INDEX(EL$7:EL$106,$AF75),1),IF($AG75&gt;0,INDEX(EL$7:EL$106,$AG75),1),IF($AH75&gt;0,INDEX(EL$7:EL$106,$AH75),1),IF($AI75&gt;0,INDEX(EL$7:EL$106,$AI75),1),IF($AJ75&gt;0,INDEX(EL$7:EL$106,$AJ75),1))))</ns0:f>
        <ns0:v>1</ns0:v>
      </ns0:c>
      <ns0:c r="EN75" t="n">
        <ns0:f>IF($A75="",1,IF(EM75=1,1,--AND(IF($AC75&gt;0,INDEX(EM$7:EM$106,$AC75),1),IF($AD75&gt;0,INDEX(EM$7:EM$106,$AD75),1),IF($AE75&gt;0,INDEX(EM$7:EM$106,$AE75),1),IF($AF75&gt;0,INDEX(EM$7:EM$106,$AF75),1),IF($AG75&gt;0,INDEX(EM$7:EM$106,$AG75),1),IF($AH75&gt;0,INDEX(EM$7:EM$106,$AH75),1),IF($AI75&gt;0,INDEX(EM$7:EM$106,$AI75),1),IF($AJ75&gt;0,INDEX(EM$7:EM$106,$AJ75),1))))</ns0:f>
        <ns0:v>1</ns0:v>
      </ns0:c>
      <ns0:c r="EO75" t="n">
        <ns0:f>IF($A75="",1,IF(EN75=1,1,--AND(IF($AC75&gt;0,INDEX(EN$7:EN$106,$AC75),1),IF($AD75&gt;0,INDEX(EN$7:EN$106,$AD75),1),IF($AE75&gt;0,INDEX(EN$7:EN$106,$AE75),1),IF($AF75&gt;0,INDEX(EN$7:EN$106,$AF75),1),IF($AG75&gt;0,INDEX(EN$7:EN$106,$AG75),1),IF($AH75&gt;0,INDEX(EN$7:EN$106,$AH75),1),IF($AI75&gt;0,INDEX(EN$7:EN$106,$AI75),1),IF($AJ75&gt;0,INDEX(EN$7:EN$106,$AJ75),1))))</ns0:f>
        <ns0:v>1</ns0:v>
      </ns0:c>
      <ns0:c r="EP75" t="n">
        <ns0:f>IF($A75="",1,IF(EO75=1,1,--AND(IF($AC75&gt;0,INDEX(EO$7:EO$106,$AC75),1),IF($AD75&gt;0,INDEX(EO$7:EO$106,$AD75),1),IF($AE75&gt;0,INDEX(EO$7:EO$106,$AE75),1),IF($AF75&gt;0,INDEX(EO$7:EO$106,$AF75),1),IF($AG75&gt;0,INDEX(EO$7:EO$106,$AG75),1),IF($AH75&gt;0,INDEX(EO$7:EO$106,$AH75),1),IF($AI75&gt;0,INDEX(EO$7:EO$106,$AI75),1),IF($AJ75&gt;0,INDEX(EO$7:EO$106,$AJ75),1))))</ns0:f>
        <ns0:v>1</ns0:v>
      </ns0:c>
      <ns0:c r="EQ75" t="n">
        <ns0:f>IF(OR(A75="",NOT(ISNUMBER(G75))),0,G75*N75)</ns0:f>
        <ns0:v>0</ns0:v>
      </ns0:c>
    </ns0:row>
    <ns0:row r="76" ht="62" customHeight="1">
      <ns0:c r="A76" s="48"/>
      <ns0:c r="B76" s="48"/>
      <ns0:c r="C76" s="48"/>
      <ns0:c r="D76" s="48"/>
      <ns0:c r="E76" s="49"/>
      <ns0:c r="F76" s="49"/>
      <ns0:c r="G76" s="13" t="str">
        <ns0:f>IF(A76="","",IF(OR(NOT(ISNUMBER(E76)),NOT(ISNUMBER(F76)),F76&lt;E76),"",IF(J76="Yes",0,F76-E76+1)))</ns0:f>
      </ns0:c>
      <ns0:c r="H76" s="48"/>
      <ns0:c r="I76" s="48"/>
      <ns0:c r="J76" s="48"/>
      <ns0:c r="K76" s="48"/>
      <ns0:c r="L76" s="48"/>
      <ns0:c r="M76" s="50" t="str">
        <ns0:f>IF(A76="","",IF(N76=1,"Completed",IF(N76&gt;0,"In Progress","Not Started")))</ns0:f>
      </ns0:c>
      <ns0:c r="N76" s="51"/>
      <ns0:c r="O76" s="13" t="str">
        <ns0:f>IF(A76="","",IF(R76&lt;&gt;"","[CONFLICT] "&amp;R76,IF(S76&lt;&gt;"","[CONFLICT] "&amp;S76,IF(OR(NOT(ISNUMBER(N76)),N76&lt;0,N76&gt;1),"[CONFLICT] Invalid progress",IF(AK76&gt;0,"[DEPENDENCY ISSUE] Missing ID / &gt;8 links",IF(AM76&gt;0,"[DEPENDENCY ISSUE] Cycle or blocked by cycle",IF(AND(H76&lt;&gt;"",ISNA(MATCH(I76,{"FS","SS","FF","SF"},0))),"[DEPENDENCY ISSUE] Invalid type",IF(AL76&gt;0,"[DEPENDENCY ISSUE] Timing conflict",IF(OR(E76&lt;ProjectStart,F76&gt;ProjectEnd),"[OUTSIDE WINDOW]",IF(AND(N76&lt;1,F76&lt;AsOfDate),"Overdue",IF(AND(M76&lt;&gt;Q76,M76&lt;&gt;""),"[CONFLICT] Status / progress","On track")))))))))))</ns0:f>
      </ns0:c>
      <ns0:c r="P76" s="52"/>
      <ns0:c r="Q76" t="str">
        <ns0:f>IF(A76="","",IF(OR(M76="On Hold",M76="Delayed"),M76,IF(N76=1,"Completed",IF(N76&gt;0,"In Progress","Not Started"))))</ns0:f>
      </ns0:c>
      <ns0:c r="R76" t="str">
        <ns0:f>IF(A76="","",IF(COUNTIFS(Tasks[Task ID],A76)&lt;&gt;1,"Duplicate ID",""))</ns0:f>
      </ns0:c>
      <ns0:c r="S76" t="str">
        <ns0:f>IF(A76="","",IF(OR(NOT(ISNUMBER(E76)),NOT(ISNUMBER(F76))),"Invalid / missing date",IF(OR(E76&lt;&gt;INT(E76),F76&lt;&gt;INT(F76),E76&lt;1,F76&gt;2958465),"Invalid date",IF(F76&lt;E76,"End before start",IF(AND(J76="Yes",E76&lt;&gt;F76),"Milestone needs one date","")))))</ns0:f>
      </ns0:c>
      <ns0:c r="T76" t="n">
        <ns0:f>IF(H76="",0,LEN(H76)-LEN(SUBSTITUTE(H76,",",""))+1)</ns0:f>
        <ns0:v>0</ns0:v>
      </ns0:c>
      <ns0:c r="U76" t="str">
        <ns0:f>TRIM(MID(SUBSTITUTE($H76,",",REPT(" ",100)),1,100))</ns0:f>
      </ns0:c>
      <ns0:c r="V76" t="str">
        <ns0:f>TRIM(MID(SUBSTITUTE($H76,",",REPT(" ",100)),101,100))</ns0:f>
      </ns0:c>
      <ns0:c r="W76" t="str">
        <ns0:f>TRIM(MID(SUBSTITUTE($H76,",",REPT(" ",100)),201,100))</ns0:f>
      </ns0:c>
      <ns0:c r="X76" t="str">
        <ns0:f>TRIM(MID(SUBSTITUTE($H76,",",REPT(" ",100)),301,100))</ns0:f>
      </ns0:c>
      <ns0:c r="Y76" t="str">
        <ns0:f>TRIM(MID(SUBSTITUTE($H76,",",REPT(" ",100)),401,100))</ns0:f>
      </ns0:c>
      <ns0:c r="Z76" t="str">
        <ns0:f>TRIM(MID(SUBSTITUTE($H76,",",REPT(" ",100)),501,100))</ns0:f>
      </ns0:c>
      <ns0:c r="AA76" t="str">
        <ns0:f>TRIM(MID(SUBSTITUTE($H76,",",REPT(" ",100)),601,100))</ns0:f>
      </ns0:c>
      <ns0:c r="AB76" t="str">
        <ns0:f>TRIM(MID(SUBSTITUTE($H76,",",REPT(" ",100)),701,100))</ns0:f>
      </ns0:c>
      <ns0:c r="AC76" t="n">
        <ns0:f>IF(U76="",0,IF(COUNTIFS(Tasks[Task ID],U76)=1,MATCH(U76,Tasks[Task ID],0),-1))</ns0:f>
        <ns0:v>0</ns0:v>
      </ns0:c>
      <ns0:c r="AD76" t="n">
        <ns0:f>IF(V76="",0,IF(COUNTIFS(Tasks[Task ID],V76)=1,MATCH(V76,Tasks[Task ID],0),-1))</ns0:f>
        <ns0:v>0</ns0:v>
      </ns0:c>
      <ns0:c r="AE76" t="n">
        <ns0:f>IF(W76="",0,IF(COUNTIFS(Tasks[Task ID],W76)=1,MATCH(W76,Tasks[Task ID],0),-1))</ns0:f>
        <ns0:v>0</ns0:v>
      </ns0:c>
      <ns0:c r="AF76" t="n">
        <ns0:f>IF(X76="",0,IF(COUNTIFS(Tasks[Task ID],X76)=1,MATCH(X76,Tasks[Task ID],0),-1))</ns0:f>
        <ns0:v>0</ns0:v>
      </ns0:c>
      <ns0:c r="AG76" t="n">
        <ns0:f>IF(Y76="",0,IF(COUNTIFS(Tasks[Task ID],Y76)=1,MATCH(Y76,Tasks[Task ID],0),-1))</ns0:f>
        <ns0:v>0</ns0:v>
      </ns0:c>
      <ns0:c r="AH76" t="n">
        <ns0:f>IF(Z76="",0,IF(COUNTIFS(Tasks[Task ID],Z76)=1,MATCH(Z76,Tasks[Task ID],0),-1))</ns0:f>
        <ns0:v>0</ns0:v>
      </ns0:c>
      <ns0:c r="AI76" t="n">
        <ns0:f>IF(AA76="",0,IF(COUNTIFS(Tasks[Task ID],AA76)=1,MATCH(AA76,Tasks[Task ID],0),-1))</ns0:f>
        <ns0:v>0</ns0:v>
      </ns0:c>
      <ns0:c r="AJ76" t="n">
        <ns0:f>IF(AB76="",0,IF(COUNTIFS(Tasks[Task ID],AB76)=1,MATCH(AB76,Tasks[Task ID],0),-1))</ns0:f>
        <ns0:v>0</ns0:v>
      </ns0:c>
      <ns0:c r="AK76" t="n">
        <ns0:f>COUNTIFS(AC76:AJ76,-1)+IF(T76&gt;8,1,0)</ns0:f>
        <ns0:v>0</ns0:v>
      </ns0:c>
      <ns0:c r="AL76" t="n">
        <ns0:f>IF(OR(A76="",S76&lt;&gt;""),0,SUM(IF(AC76&gt;0,IF($I76="FS",--($E76&lt;INDEX(Tasks[End Date],AC76)+IF(INDEX(Tasks[Milestone],AC76)="Yes",0,1)),IF($I76="SS",--($E76&lt;INDEX(Tasks[Start Date],AC76)),IF($I76="FF",--($F76&lt;INDEX(Tasks[End Date],AC76)),IF($I76="SF",--($F76&lt;INDEX(Tasks[Start Date],AC76)),0)))),0),IF(AD76&gt;0,IF($I76="FS",--($E76&lt;INDEX(Tasks[End Date],AD76)+IF(INDEX(Tasks[Milestone],AD76)="Yes",0,1)),IF($I76="SS",--($E76&lt;INDEX(Tasks[Start Date],AD76)),IF($I76="FF",--($F76&lt;INDEX(Tasks[End Date],AD76)),IF($I76="SF",--($F76&lt;INDEX(Tasks[Start Date],AD76)),0)))),0),IF(AE76&gt;0,IF($I76="FS",--($E76&lt;INDEX(Tasks[End Date],AE76)+IF(INDEX(Tasks[Milestone],AE76)="Yes",0,1)),IF($I76="SS",--($E76&lt;INDEX(Tasks[Start Date],AE76)),IF($I76="FF",--($F76&lt;INDEX(Tasks[End Date],AE76)),IF($I76="SF",--($F76&lt;INDEX(Tasks[Start Date],AE76)),0)))),0),IF(AF76&gt;0,IF($I76="FS",--($E76&lt;INDEX(Tasks[End Date],AF76)+IF(INDEX(Tasks[Milestone],AF76)="Yes",0,1)),IF($I76="SS",--($E76&lt;INDEX(Tasks[Start Date],AF76)),IF($I76="FF",--($F76&lt;INDEX(Tasks[End Date],AF76)),IF($I76="SF",--($F76&lt;INDEX(Tasks[Start Date],AF76)),0)))),0),IF(AG76&gt;0,IF($I76="FS",--($E76&lt;INDEX(Tasks[End Date],AG76)+IF(INDEX(Tasks[Milestone],AG76)="Yes",0,1)),IF($I76="SS",--($E76&lt;INDEX(Tasks[Start Date],AG76)),IF($I76="FF",--($F76&lt;INDEX(Tasks[End Date],AG76)),IF($I76="SF",--($F76&lt;INDEX(Tasks[Start Date],AG76)),0)))),0),IF(AH76&gt;0,IF($I76="FS",--($E76&lt;INDEX(Tasks[End Date],AH76)+IF(INDEX(Tasks[Milestone],AH76)="Yes",0,1)),IF($I76="SS",--($E76&lt;INDEX(Tasks[Start Date],AH76)),IF($I76="FF",--($F76&lt;INDEX(Tasks[End Date],AH76)),IF($I76="SF",--($F76&lt;INDEX(Tasks[Start Date],AH76)),0)))),0),IF(AI76&gt;0,IF($I76="FS",--($E76&lt;INDEX(Tasks[End Date],AI76)+IF(INDEX(Tasks[Milestone],AI76)="Yes",0,1)),IF($I76="SS",--($E76&lt;INDEX(Tasks[Start Date],AI76)),IF($I76="FF",--($F76&lt;INDEX(Tasks[End Date],AI76)),IF($I76="SF",--($F76&lt;INDEX(Tasks[Start Date],AI76)),0)))),0),IF(AJ76&gt;0,IF($I76="FS",--($E76&lt;INDEX(Tasks[End Date],AJ76)+IF(INDEX(Tasks[Milestone],AJ76)="Yes",0,1)),IF($I76="SS",--($E76&lt;INDEX(Tasks[Start Date],AJ76)),IF($I76="FF",--($F76&lt;INDEX(Tasks[End Date],AJ76)),IF($I76="SF",--($F76&lt;INDEX(Tasks[Start Date],AJ76)),0)))),0)))</ns0:f>
        <ns0:v>0</ns0:v>
      </ns0:c>
      <ns0:c r="AM76" t="n">
        <ns0:f>IF(AND(A76&lt;&gt;"",AK76=0,EP76=0),1,0)</ns0:f>
        <ns0:v>0</ns0:v>
      </ns0:c>
      <ns0:c r="AN76" t="str">
        <ns0:f>IF(OR(A76="",B76=""),"",IF(COUNTIFS($B$7:B76,B76)=1,MAX($AN$6:AN75)+1,""))</ns0:f>
      </ns0:c>
      <ns0:c r="AO76" t="n">
        <ns0:f>IF(AND(A76&lt;&gt;"",J76="No",N76&lt;1,E76&gt;=AsOfDate),E76+ROW()/10000,1E+9)</ns0:f>
        <ns0:v>1000000000</ns0:v>
      </ns0:c>
      <ns0:c r="AP76" t="n">
        <ns0:f>IF(AND(A76&lt;&gt;"",J76="Yes",N76&lt;1,E76&gt;=AsOfDate),E76+ROW()/10000,1E+9)</ns0:f>
        <ns0:v>1000000000</ns0:v>
      </ns0:c>
      <ns0:c r="AQ76" t="n">
        <ns0:f>IF(AND(A76&lt;&gt;"",J76="No",N76&lt;1,F76&gt;=AsOfDate,F76&lt;=AsOfDate+7),F76+ROW()/10000,1E+9)</ns0:f>
        <ns0:v>1000000000</ns0:v>
      </ns0:c>
      <ns0:c r="AR76" t="n">
        <ns0:f>IF(AND(A76&lt;&gt;"",OR(O76&lt;&gt;"On track",Q76="Delayed")),ROW(),1E+9)</ns0:f>
        <ns0:v>1000000000</ns0:v>
      </ns0:c>
      <ns0:c r="AS76" t="str">
        <ns0:f>IF(A76="","",";"&amp;K76&amp;";")</ns0:f>
      </ns0:c>
      <ns0:c r="AT76" t="n">
        <ns0:f>IF(A76="",1,--(T76=0))</ns0:f>
        <ns0:v>1</ns0:v>
      </ns0:c>
      <ns0:c r="AU76" t="n">
        <ns0:f>IF($A76="",1,IF(AT76=1,1,--AND(IF($AC76&gt;0,INDEX(AT$7:AT$106,$AC76),1),IF($AD76&gt;0,INDEX(AT$7:AT$106,$AD76),1),IF($AE76&gt;0,INDEX(AT$7:AT$106,$AE76),1),IF($AF76&gt;0,INDEX(AT$7:AT$106,$AF76),1),IF($AG76&gt;0,INDEX(AT$7:AT$106,$AG76),1),IF($AH76&gt;0,INDEX(AT$7:AT$106,$AH76),1),IF($AI76&gt;0,INDEX(AT$7:AT$106,$AI76),1),IF($AJ76&gt;0,INDEX(AT$7:AT$106,$AJ76),1))))</ns0:f>
        <ns0:v>1</ns0:v>
      </ns0:c>
      <ns0:c r="AV76" t="n">
        <ns0:f>IF($A76="",1,IF(AU76=1,1,--AND(IF($AC76&gt;0,INDEX(AU$7:AU$106,$AC76),1),IF($AD76&gt;0,INDEX(AU$7:AU$106,$AD76),1),IF($AE76&gt;0,INDEX(AU$7:AU$106,$AE76),1),IF($AF76&gt;0,INDEX(AU$7:AU$106,$AF76),1),IF($AG76&gt;0,INDEX(AU$7:AU$106,$AG76),1),IF($AH76&gt;0,INDEX(AU$7:AU$106,$AH76),1),IF($AI76&gt;0,INDEX(AU$7:AU$106,$AI76),1),IF($AJ76&gt;0,INDEX(AU$7:AU$106,$AJ76),1))))</ns0:f>
        <ns0:v>1</ns0:v>
      </ns0:c>
      <ns0:c r="AW76" t="n">
        <ns0:f>IF($A76="",1,IF(AV76=1,1,--AND(IF($AC76&gt;0,INDEX(AV$7:AV$106,$AC76),1),IF($AD76&gt;0,INDEX(AV$7:AV$106,$AD76),1),IF($AE76&gt;0,INDEX(AV$7:AV$106,$AE76),1),IF($AF76&gt;0,INDEX(AV$7:AV$106,$AF76),1),IF($AG76&gt;0,INDEX(AV$7:AV$106,$AG76),1),IF($AH76&gt;0,INDEX(AV$7:AV$106,$AH76),1),IF($AI76&gt;0,INDEX(AV$7:AV$106,$AI76),1),IF($AJ76&gt;0,INDEX(AV$7:AV$106,$AJ76),1))))</ns0:f>
        <ns0:v>1</ns0:v>
      </ns0:c>
      <ns0:c r="AX76" t="n">
        <ns0:f>IF($A76="",1,IF(AW76=1,1,--AND(IF($AC76&gt;0,INDEX(AW$7:AW$106,$AC76),1),IF($AD76&gt;0,INDEX(AW$7:AW$106,$AD76),1),IF($AE76&gt;0,INDEX(AW$7:AW$106,$AE76),1),IF($AF76&gt;0,INDEX(AW$7:AW$106,$AF76),1),IF($AG76&gt;0,INDEX(AW$7:AW$106,$AG76),1),IF($AH76&gt;0,INDEX(AW$7:AW$106,$AH76),1),IF($AI76&gt;0,INDEX(AW$7:AW$106,$AI76),1),IF($AJ76&gt;0,INDEX(AW$7:AW$106,$AJ76),1))))</ns0:f>
        <ns0:v>1</ns0:v>
      </ns0:c>
      <ns0:c r="AY76" t="n">
        <ns0:f>IF($A76="",1,IF(AX76=1,1,--AND(IF($AC76&gt;0,INDEX(AX$7:AX$106,$AC76),1),IF($AD76&gt;0,INDEX(AX$7:AX$106,$AD76),1),IF($AE76&gt;0,INDEX(AX$7:AX$106,$AE76),1),IF($AF76&gt;0,INDEX(AX$7:AX$106,$AF76),1),IF($AG76&gt;0,INDEX(AX$7:AX$106,$AG76),1),IF($AH76&gt;0,INDEX(AX$7:AX$106,$AH76),1),IF($AI76&gt;0,INDEX(AX$7:AX$106,$AI76),1),IF($AJ76&gt;0,INDEX(AX$7:AX$106,$AJ76),1))))</ns0:f>
        <ns0:v>1</ns0:v>
      </ns0:c>
      <ns0:c r="AZ76" t="n">
        <ns0:f>IF($A76="",1,IF(AY76=1,1,--AND(IF($AC76&gt;0,INDEX(AY$7:AY$106,$AC76),1),IF($AD76&gt;0,INDEX(AY$7:AY$106,$AD76),1),IF($AE76&gt;0,INDEX(AY$7:AY$106,$AE76),1),IF($AF76&gt;0,INDEX(AY$7:AY$106,$AF76),1),IF($AG76&gt;0,INDEX(AY$7:AY$106,$AG76),1),IF($AH76&gt;0,INDEX(AY$7:AY$106,$AH76),1),IF($AI76&gt;0,INDEX(AY$7:AY$106,$AI76),1),IF($AJ76&gt;0,INDEX(AY$7:AY$106,$AJ76),1))))</ns0:f>
        <ns0:v>1</ns0:v>
      </ns0:c>
      <ns0:c r="BA76" t="n">
        <ns0:f>IF($A76="",1,IF(AZ76=1,1,--AND(IF($AC76&gt;0,INDEX(AZ$7:AZ$106,$AC76),1),IF($AD76&gt;0,INDEX(AZ$7:AZ$106,$AD76),1),IF($AE76&gt;0,INDEX(AZ$7:AZ$106,$AE76),1),IF($AF76&gt;0,INDEX(AZ$7:AZ$106,$AF76),1),IF($AG76&gt;0,INDEX(AZ$7:AZ$106,$AG76),1),IF($AH76&gt;0,INDEX(AZ$7:AZ$106,$AH76),1),IF($AI76&gt;0,INDEX(AZ$7:AZ$106,$AI76),1),IF($AJ76&gt;0,INDEX(AZ$7:AZ$106,$AJ76),1))))</ns0:f>
        <ns0:v>1</ns0:v>
      </ns0:c>
      <ns0:c r="BB76" t="n">
        <ns0:f>IF($A76="",1,IF(BA76=1,1,--AND(IF($AC76&gt;0,INDEX(BA$7:BA$106,$AC76),1),IF($AD76&gt;0,INDEX(BA$7:BA$106,$AD76),1),IF($AE76&gt;0,INDEX(BA$7:BA$106,$AE76),1),IF($AF76&gt;0,INDEX(BA$7:BA$106,$AF76),1),IF($AG76&gt;0,INDEX(BA$7:BA$106,$AG76),1),IF($AH76&gt;0,INDEX(BA$7:BA$106,$AH76),1),IF($AI76&gt;0,INDEX(BA$7:BA$106,$AI76),1),IF($AJ76&gt;0,INDEX(BA$7:BA$106,$AJ76),1))))</ns0:f>
        <ns0:v>1</ns0:v>
      </ns0:c>
      <ns0:c r="BC76" t="n">
        <ns0:f>IF($A76="",1,IF(BB76=1,1,--AND(IF($AC76&gt;0,INDEX(BB$7:BB$106,$AC76),1),IF($AD76&gt;0,INDEX(BB$7:BB$106,$AD76),1),IF($AE76&gt;0,INDEX(BB$7:BB$106,$AE76),1),IF($AF76&gt;0,INDEX(BB$7:BB$106,$AF76),1),IF($AG76&gt;0,INDEX(BB$7:BB$106,$AG76),1),IF($AH76&gt;0,INDEX(BB$7:BB$106,$AH76),1),IF($AI76&gt;0,INDEX(BB$7:BB$106,$AI76),1),IF($AJ76&gt;0,INDEX(BB$7:BB$106,$AJ76),1))))</ns0:f>
        <ns0:v>1</ns0:v>
      </ns0:c>
      <ns0:c r="BD76" t="n">
        <ns0:f>IF($A76="",1,IF(BC76=1,1,--AND(IF($AC76&gt;0,INDEX(BC$7:BC$106,$AC76),1),IF($AD76&gt;0,INDEX(BC$7:BC$106,$AD76),1),IF($AE76&gt;0,INDEX(BC$7:BC$106,$AE76),1),IF($AF76&gt;0,INDEX(BC$7:BC$106,$AF76),1),IF($AG76&gt;0,INDEX(BC$7:BC$106,$AG76),1),IF($AH76&gt;0,INDEX(BC$7:BC$106,$AH76),1),IF($AI76&gt;0,INDEX(BC$7:BC$106,$AI76),1),IF($AJ76&gt;0,INDEX(BC$7:BC$106,$AJ76),1))))</ns0:f>
        <ns0:v>1</ns0:v>
      </ns0:c>
      <ns0:c r="BE76" t="n">
        <ns0:f>IF($A76="",1,IF(BD76=1,1,--AND(IF($AC76&gt;0,INDEX(BD$7:BD$106,$AC76),1),IF($AD76&gt;0,INDEX(BD$7:BD$106,$AD76),1),IF($AE76&gt;0,INDEX(BD$7:BD$106,$AE76),1),IF($AF76&gt;0,INDEX(BD$7:BD$106,$AF76),1),IF($AG76&gt;0,INDEX(BD$7:BD$106,$AG76),1),IF($AH76&gt;0,INDEX(BD$7:BD$106,$AH76),1),IF($AI76&gt;0,INDEX(BD$7:BD$106,$AI76),1),IF($AJ76&gt;0,INDEX(BD$7:BD$106,$AJ76),1))))</ns0:f>
        <ns0:v>1</ns0:v>
      </ns0:c>
      <ns0:c r="BF76" t="n">
        <ns0:f>IF($A76="",1,IF(BE76=1,1,--AND(IF($AC76&gt;0,INDEX(BE$7:BE$106,$AC76),1),IF($AD76&gt;0,INDEX(BE$7:BE$106,$AD76),1),IF($AE76&gt;0,INDEX(BE$7:BE$106,$AE76),1),IF($AF76&gt;0,INDEX(BE$7:BE$106,$AF76),1),IF($AG76&gt;0,INDEX(BE$7:BE$106,$AG76),1),IF($AH76&gt;0,INDEX(BE$7:BE$106,$AH76),1),IF($AI76&gt;0,INDEX(BE$7:BE$106,$AI76),1),IF($AJ76&gt;0,INDEX(BE$7:BE$106,$AJ76),1))))</ns0:f>
        <ns0:v>1</ns0:v>
      </ns0:c>
      <ns0:c r="BG76" t="n">
        <ns0:f>IF($A76="",1,IF(BF76=1,1,--AND(IF($AC76&gt;0,INDEX(BF$7:BF$106,$AC76),1),IF($AD76&gt;0,INDEX(BF$7:BF$106,$AD76),1),IF($AE76&gt;0,INDEX(BF$7:BF$106,$AE76),1),IF($AF76&gt;0,INDEX(BF$7:BF$106,$AF76),1),IF($AG76&gt;0,INDEX(BF$7:BF$106,$AG76),1),IF($AH76&gt;0,INDEX(BF$7:BF$106,$AH76),1),IF($AI76&gt;0,INDEX(BF$7:BF$106,$AI76),1),IF($AJ76&gt;0,INDEX(BF$7:BF$106,$AJ76),1))))</ns0:f>
        <ns0:v>1</ns0:v>
      </ns0:c>
      <ns0:c r="BH76" t="n">
        <ns0:f>IF($A76="",1,IF(BG76=1,1,--AND(IF($AC76&gt;0,INDEX(BG$7:BG$106,$AC76),1),IF($AD76&gt;0,INDEX(BG$7:BG$106,$AD76),1),IF($AE76&gt;0,INDEX(BG$7:BG$106,$AE76),1),IF($AF76&gt;0,INDEX(BG$7:BG$106,$AF76),1),IF($AG76&gt;0,INDEX(BG$7:BG$106,$AG76),1),IF($AH76&gt;0,INDEX(BG$7:BG$106,$AH76),1),IF($AI76&gt;0,INDEX(BG$7:BG$106,$AI76),1),IF($AJ76&gt;0,INDEX(BG$7:BG$106,$AJ76),1))))</ns0:f>
        <ns0:v>1</ns0:v>
      </ns0:c>
      <ns0:c r="BI76" t="n">
        <ns0:f>IF($A76="",1,IF(BH76=1,1,--AND(IF($AC76&gt;0,INDEX(BH$7:BH$106,$AC76),1),IF($AD76&gt;0,INDEX(BH$7:BH$106,$AD76),1),IF($AE76&gt;0,INDEX(BH$7:BH$106,$AE76),1),IF($AF76&gt;0,INDEX(BH$7:BH$106,$AF76),1),IF($AG76&gt;0,INDEX(BH$7:BH$106,$AG76),1),IF($AH76&gt;0,INDEX(BH$7:BH$106,$AH76),1),IF($AI76&gt;0,INDEX(BH$7:BH$106,$AI76),1),IF($AJ76&gt;0,INDEX(BH$7:BH$106,$AJ76),1))))</ns0:f>
        <ns0:v>1</ns0:v>
      </ns0:c>
      <ns0:c r="BJ76" t="n">
        <ns0:f>IF($A76="",1,IF(BI76=1,1,--AND(IF($AC76&gt;0,INDEX(BI$7:BI$106,$AC76),1),IF($AD76&gt;0,INDEX(BI$7:BI$106,$AD76),1),IF($AE76&gt;0,INDEX(BI$7:BI$106,$AE76),1),IF($AF76&gt;0,INDEX(BI$7:BI$106,$AF76),1),IF($AG76&gt;0,INDEX(BI$7:BI$106,$AG76),1),IF($AH76&gt;0,INDEX(BI$7:BI$106,$AH76),1),IF($AI76&gt;0,INDEX(BI$7:BI$106,$AI76),1),IF($AJ76&gt;0,INDEX(BI$7:BI$106,$AJ76),1))))</ns0:f>
        <ns0:v>1</ns0:v>
      </ns0:c>
      <ns0:c r="BK76" t="n">
        <ns0:f>IF($A76="",1,IF(BJ76=1,1,--AND(IF($AC76&gt;0,INDEX(BJ$7:BJ$106,$AC76),1),IF($AD76&gt;0,INDEX(BJ$7:BJ$106,$AD76),1),IF($AE76&gt;0,INDEX(BJ$7:BJ$106,$AE76),1),IF($AF76&gt;0,INDEX(BJ$7:BJ$106,$AF76),1),IF($AG76&gt;0,INDEX(BJ$7:BJ$106,$AG76),1),IF($AH76&gt;0,INDEX(BJ$7:BJ$106,$AH76),1),IF($AI76&gt;0,INDEX(BJ$7:BJ$106,$AI76),1),IF($AJ76&gt;0,INDEX(BJ$7:BJ$106,$AJ76),1))))</ns0:f>
        <ns0:v>1</ns0:v>
      </ns0:c>
      <ns0:c r="BL76" t="n">
        <ns0:f>IF($A76="",1,IF(BK76=1,1,--AND(IF($AC76&gt;0,INDEX(BK$7:BK$106,$AC76),1),IF($AD76&gt;0,INDEX(BK$7:BK$106,$AD76),1),IF($AE76&gt;0,INDEX(BK$7:BK$106,$AE76),1),IF($AF76&gt;0,INDEX(BK$7:BK$106,$AF76),1),IF($AG76&gt;0,INDEX(BK$7:BK$106,$AG76),1),IF($AH76&gt;0,INDEX(BK$7:BK$106,$AH76),1),IF($AI76&gt;0,INDEX(BK$7:BK$106,$AI76),1),IF($AJ76&gt;0,INDEX(BK$7:BK$106,$AJ76),1))))</ns0:f>
        <ns0:v>1</ns0:v>
      </ns0:c>
      <ns0:c r="BM76" t="n">
        <ns0:f>IF($A76="",1,IF(BL76=1,1,--AND(IF($AC76&gt;0,INDEX(BL$7:BL$106,$AC76),1),IF($AD76&gt;0,INDEX(BL$7:BL$106,$AD76),1),IF($AE76&gt;0,INDEX(BL$7:BL$106,$AE76),1),IF($AF76&gt;0,INDEX(BL$7:BL$106,$AF76),1),IF($AG76&gt;0,INDEX(BL$7:BL$106,$AG76),1),IF($AH76&gt;0,INDEX(BL$7:BL$106,$AH76),1),IF($AI76&gt;0,INDEX(BL$7:BL$106,$AI76),1),IF($AJ76&gt;0,INDEX(BL$7:BL$106,$AJ76),1))))</ns0:f>
        <ns0:v>1</ns0:v>
      </ns0:c>
      <ns0:c r="BN76" t="n">
        <ns0:f>IF($A76="",1,IF(BM76=1,1,--AND(IF($AC76&gt;0,INDEX(BM$7:BM$106,$AC76),1),IF($AD76&gt;0,INDEX(BM$7:BM$106,$AD76),1),IF($AE76&gt;0,INDEX(BM$7:BM$106,$AE76),1),IF($AF76&gt;0,INDEX(BM$7:BM$106,$AF76),1),IF($AG76&gt;0,INDEX(BM$7:BM$106,$AG76),1),IF($AH76&gt;0,INDEX(BM$7:BM$106,$AH76),1),IF($AI76&gt;0,INDEX(BM$7:BM$106,$AI76),1),IF($AJ76&gt;0,INDEX(BM$7:BM$106,$AJ76),1))))</ns0:f>
        <ns0:v>1</ns0:v>
      </ns0:c>
      <ns0:c r="BO76" t="n">
        <ns0:f>IF($A76="",1,IF(BN76=1,1,--AND(IF($AC76&gt;0,INDEX(BN$7:BN$106,$AC76),1),IF($AD76&gt;0,INDEX(BN$7:BN$106,$AD76),1),IF($AE76&gt;0,INDEX(BN$7:BN$106,$AE76),1),IF($AF76&gt;0,INDEX(BN$7:BN$106,$AF76),1),IF($AG76&gt;0,INDEX(BN$7:BN$106,$AG76),1),IF($AH76&gt;0,INDEX(BN$7:BN$106,$AH76),1),IF($AI76&gt;0,INDEX(BN$7:BN$106,$AI76),1),IF($AJ76&gt;0,INDEX(BN$7:BN$106,$AJ76),1))))</ns0:f>
        <ns0:v>1</ns0:v>
      </ns0:c>
      <ns0:c r="BP76" t="n">
        <ns0:f>IF($A76="",1,IF(BO76=1,1,--AND(IF($AC76&gt;0,INDEX(BO$7:BO$106,$AC76),1),IF($AD76&gt;0,INDEX(BO$7:BO$106,$AD76),1),IF($AE76&gt;0,INDEX(BO$7:BO$106,$AE76),1),IF($AF76&gt;0,INDEX(BO$7:BO$106,$AF76),1),IF($AG76&gt;0,INDEX(BO$7:BO$106,$AG76),1),IF($AH76&gt;0,INDEX(BO$7:BO$106,$AH76),1),IF($AI76&gt;0,INDEX(BO$7:BO$106,$AI76),1),IF($AJ76&gt;0,INDEX(BO$7:BO$106,$AJ76),1))))</ns0:f>
        <ns0:v>1</ns0:v>
      </ns0:c>
      <ns0:c r="BQ76" t="n">
        <ns0:f>IF($A76="",1,IF(BP76=1,1,--AND(IF($AC76&gt;0,INDEX(BP$7:BP$106,$AC76),1),IF($AD76&gt;0,INDEX(BP$7:BP$106,$AD76),1),IF($AE76&gt;0,INDEX(BP$7:BP$106,$AE76),1),IF($AF76&gt;0,INDEX(BP$7:BP$106,$AF76),1),IF($AG76&gt;0,INDEX(BP$7:BP$106,$AG76),1),IF($AH76&gt;0,INDEX(BP$7:BP$106,$AH76),1),IF($AI76&gt;0,INDEX(BP$7:BP$106,$AI76),1),IF($AJ76&gt;0,INDEX(BP$7:BP$106,$AJ76),1))))</ns0:f>
        <ns0:v>1</ns0:v>
      </ns0:c>
      <ns0:c r="BR76" t="n">
        <ns0:f>IF($A76="",1,IF(BQ76=1,1,--AND(IF($AC76&gt;0,INDEX(BQ$7:BQ$106,$AC76),1),IF($AD76&gt;0,INDEX(BQ$7:BQ$106,$AD76),1),IF($AE76&gt;0,INDEX(BQ$7:BQ$106,$AE76),1),IF($AF76&gt;0,INDEX(BQ$7:BQ$106,$AF76),1),IF($AG76&gt;0,INDEX(BQ$7:BQ$106,$AG76),1),IF($AH76&gt;0,INDEX(BQ$7:BQ$106,$AH76),1),IF($AI76&gt;0,INDEX(BQ$7:BQ$106,$AI76),1),IF($AJ76&gt;0,INDEX(BQ$7:BQ$106,$AJ76),1))))</ns0:f>
        <ns0:v>1</ns0:v>
      </ns0:c>
      <ns0:c r="BS76" t="n">
        <ns0:f>IF($A76="",1,IF(BR76=1,1,--AND(IF($AC76&gt;0,INDEX(BR$7:BR$106,$AC76),1),IF($AD76&gt;0,INDEX(BR$7:BR$106,$AD76),1),IF($AE76&gt;0,INDEX(BR$7:BR$106,$AE76),1),IF($AF76&gt;0,INDEX(BR$7:BR$106,$AF76),1),IF($AG76&gt;0,INDEX(BR$7:BR$106,$AG76),1),IF($AH76&gt;0,INDEX(BR$7:BR$106,$AH76),1),IF($AI76&gt;0,INDEX(BR$7:BR$106,$AI76),1),IF($AJ76&gt;0,INDEX(BR$7:BR$106,$AJ76),1))))</ns0:f>
        <ns0:v>1</ns0:v>
      </ns0:c>
      <ns0:c r="BT76" t="n">
        <ns0:f>IF($A76="",1,IF(BS76=1,1,--AND(IF($AC76&gt;0,INDEX(BS$7:BS$106,$AC76),1),IF($AD76&gt;0,INDEX(BS$7:BS$106,$AD76),1),IF($AE76&gt;0,INDEX(BS$7:BS$106,$AE76),1),IF($AF76&gt;0,INDEX(BS$7:BS$106,$AF76),1),IF($AG76&gt;0,INDEX(BS$7:BS$106,$AG76),1),IF($AH76&gt;0,INDEX(BS$7:BS$106,$AH76),1),IF($AI76&gt;0,INDEX(BS$7:BS$106,$AI76),1),IF($AJ76&gt;0,INDEX(BS$7:BS$106,$AJ76),1))))</ns0:f>
        <ns0:v>1</ns0:v>
      </ns0:c>
      <ns0:c r="BU76" t="n">
        <ns0:f>IF($A76="",1,IF(BT76=1,1,--AND(IF($AC76&gt;0,INDEX(BT$7:BT$106,$AC76),1),IF($AD76&gt;0,INDEX(BT$7:BT$106,$AD76),1),IF($AE76&gt;0,INDEX(BT$7:BT$106,$AE76),1),IF($AF76&gt;0,INDEX(BT$7:BT$106,$AF76),1),IF($AG76&gt;0,INDEX(BT$7:BT$106,$AG76),1),IF($AH76&gt;0,INDEX(BT$7:BT$106,$AH76),1),IF($AI76&gt;0,INDEX(BT$7:BT$106,$AI76),1),IF($AJ76&gt;0,INDEX(BT$7:BT$106,$AJ76),1))))</ns0:f>
        <ns0:v>1</ns0:v>
      </ns0:c>
      <ns0:c r="BV76" t="n">
        <ns0:f>IF($A76="",1,IF(BU76=1,1,--AND(IF($AC76&gt;0,INDEX(BU$7:BU$106,$AC76),1),IF($AD76&gt;0,INDEX(BU$7:BU$106,$AD76),1),IF($AE76&gt;0,INDEX(BU$7:BU$106,$AE76),1),IF($AF76&gt;0,INDEX(BU$7:BU$106,$AF76),1),IF($AG76&gt;0,INDEX(BU$7:BU$106,$AG76),1),IF($AH76&gt;0,INDEX(BU$7:BU$106,$AH76),1),IF($AI76&gt;0,INDEX(BU$7:BU$106,$AI76),1),IF($AJ76&gt;0,INDEX(BU$7:BU$106,$AJ76),1))))</ns0:f>
        <ns0:v>1</ns0:v>
      </ns0:c>
      <ns0:c r="BW76" t="n">
        <ns0:f>IF($A76="",1,IF(BV76=1,1,--AND(IF($AC76&gt;0,INDEX(BV$7:BV$106,$AC76),1),IF($AD76&gt;0,INDEX(BV$7:BV$106,$AD76),1),IF($AE76&gt;0,INDEX(BV$7:BV$106,$AE76),1),IF($AF76&gt;0,INDEX(BV$7:BV$106,$AF76),1),IF($AG76&gt;0,INDEX(BV$7:BV$106,$AG76),1),IF($AH76&gt;0,INDEX(BV$7:BV$106,$AH76),1),IF($AI76&gt;0,INDEX(BV$7:BV$106,$AI76),1),IF($AJ76&gt;0,INDEX(BV$7:BV$106,$AJ76),1))))</ns0:f>
        <ns0:v>1</ns0:v>
      </ns0:c>
      <ns0:c r="BX76" t="n">
        <ns0:f>IF($A76="",1,IF(BW76=1,1,--AND(IF($AC76&gt;0,INDEX(BW$7:BW$106,$AC76),1),IF($AD76&gt;0,INDEX(BW$7:BW$106,$AD76),1),IF($AE76&gt;0,INDEX(BW$7:BW$106,$AE76),1),IF($AF76&gt;0,INDEX(BW$7:BW$106,$AF76),1),IF($AG76&gt;0,INDEX(BW$7:BW$106,$AG76),1),IF($AH76&gt;0,INDEX(BW$7:BW$106,$AH76),1),IF($AI76&gt;0,INDEX(BW$7:BW$106,$AI76),1),IF($AJ76&gt;0,INDEX(BW$7:BW$106,$AJ76),1))))</ns0:f>
        <ns0:v>1</ns0:v>
      </ns0:c>
      <ns0:c r="BY76" t="n">
        <ns0:f>IF($A76="",1,IF(BX76=1,1,--AND(IF($AC76&gt;0,INDEX(BX$7:BX$106,$AC76),1),IF($AD76&gt;0,INDEX(BX$7:BX$106,$AD76),1),IF($AE76&gt;0,INDEX(BX$7:BX$106,$AE76),1),IF($AF76&gt;0,INDEX(BX$7:BX$106,$AF76),1),IF($AG76&gt;0,INDEX(BX$7:BX$106,$AG76),1),IF($AH76&gt;0,INDEX(BX$7:BX$106,$AH76),1),IF($AI76&gt;0,INDEX(BX$7:BX$106,$AI76),1),IF($AJ76&gt;0,INDEX(BX$7:BX$106,$AJ76),1))))</ns0:f>
        <ns0:v>1</ns0:v>
      </ns0:c>
      <ns0:c r="BZ76" t="n">
        <ns0:f>IF($A76="",1,IF(BY76=1,1,--AND(IF($AC76&gt;0,INDEX(BY$7:BY$106,$AC76),1),IF($AD76&gt;0,INDEX(BY$7:BY$106,$AD76),1),IF($AE76&gt;0,INDEX(BY$7:BY$106,$AE76),1),IF($AF76&gt;0,INDEX(BY$7:BY$106,$AF76),1),IF($AG76&gt;0,INDEX(BY$7:BY$106,$AG76),1),IF($AH76&gt;0,INDEX(BY$7:BY$106,$AH76),1),IF($AI76&gt;0,INDEX(BY$7:BY$106,$AI76),1),IF($AJ76&gt;0,INDEX(BY$7:BY$106,$AJ76),1))))</ns0:f>
        <ns0:v>1</ns0:v>
      </ns0:c>
      <ns0:c r="CA76" t="n">
        <ns0:f>IF($A76="",1,IF(BZ76=1,1,--AND(IF($AC76&gt;0,INDEX(BZ$7:BZ$106,$AC76),1),IF($AD76&gt;0,INDEX(BZ$7:BZ$106,$AD76),1),IF($AE76&gt;0,INDEX(BZ$7:BZ$106,$AE76),1),IF($AF76&gt;0,INDEX(BZ$7:BZ$106,$AF76),1),IF($AG76&gt;0,INDEX(BZ$7:BZ$106,$AG76),1),IF($AH76&gt;0,INDEX(BZ$7:BZ$106,$AH76),1),IF($AI76&gt;0,INDEX(BZ$7:BZ$106,$AI76),1),IF($AJ76&gt;0,INDEX(BZ$7:BZ$106,$AJ76),1))))</ns0:f>
        <ns0:v>1</ns0:v>
      </ns0:c>
      <ns0:c r="CB76" t="n">
        <ns0:f>IF($A76="",1,IF(CA76=1,1,--AND(IF($AC76&gt;0,INDEX(CA$7:CA$106,$AC76),1),IF($AD76&gt;0,INDEX(CA$7:CA$106,$AD76),1),IF($AE76&gt;0,INDEX(CA$7:CA$106,$AE76),1),IF($AF76&gt;0,INDEX(CA$7:CA$106,$AF76),1),IF($AG76&gt;0,INDEX(CA$7:CA$106,$AG76),1),IF($AH76&gt;0,INDEX(CA$7:CA$106,$AH76),1),IF($AI76&gt;0,INDEX(CA$7:CA$106,$AI76),1),IF($AJ76&gt;0,INDEX(CA$7:CA$106,$AJ76),1))))</ns0:f>
        <ns0:v>1</ns0:v>
      </ns0:c>
      <ns0:c r="CC76" t="n">
        <ns0:f>IF($A76="",1,IF(CB76=1,1,--AND(IF($AC76&gt;0,INDEX(CB$7:CB$106,$AC76),1),IF($AD76&gt;0,INDEX(CB$7:CB$106,$AD76),1),IF($AE76&gt;0,INDEX(CB$7:CB$106,$AE76),1),IF($AF76&gt;0,INDEX(CB$7:CB$106,$AF76),1),IF($AG76&gt;0,INDEX(CB$7:CB$106,$AG76),1),IF($AH76&gt;0,INDEX(CB$7:CB$106,$AH76),1),IF($AI76&gt;0,INDEX(CB$7:CB$106,$AI76),1),IF($AJ76&gt;0,INDEX(CB$7:CB$106,$AJ76),1))))</ns0:f>
        <ns0:v>1</ns0:v>
      </ns0:c>
      <ns0:c r="CD76" t="n">
        <ns0:f>IF($A76="",1,IF(CC76=1,1,--AND(IF($AC76&gt;0,INDEX(CC$7:CC$106,$AC76),1),IF($AD76&gt;0,INDEX(CC$7:CC$106,$AD76),1),IF($AE76&gt;0,INDEX(CC$7:CC$106,$AE76),1),IF($AF76&gt;0,INDEX(CC$7:CC$106,$AF76),1),IF($AG76&gt;0,INDEX(CC$7:CC$106,$AG76),1),IF($AH76&gt;0,INDEX(CC$7:CC$106,$AH76),1),IF($AI76&gt;0,INDEX(CC$7:CC$106,$AI76),1),IF($AJ76&gt;0,INDEX(CC$7:CC$106,$AJ76),1))))</ns0:f>
        <ns0:v>1</ns0:v>
      </ns0:c>
      <ns0:c r="CE76" t="n">
        <ns0:f>IF($A76="",1,IF(CD76=1,1,--AND(IF($AC76&gt;0,INDEX(CD$7:CD$106,$AC76),1),IF($AD76&gt;0,INDEX(CD$7:CD$106,$AD76),1),IF($AE76&gt;0,INDEX(CD$7:CD$106,$AE76),1),IF($AF76&gt;0,INDEX(CD$7:CD$106,$AF76),1),IF($AG76&gt;0,INDEX(CD$7:CD$106,$AG76),1),IF($AH76&gt;0,INDEX(CD$7:CD$106,$AH76),1),IF($AI76&gt;0,INDEX(CD$7:CD$106,$AI76),1),IF($AJ76&gt;0,INDEX(CD$7:CD$106,$AJ76),1))))</ns0:f>
        <ns0:v>1</ns0:v>
      </ns0:c>
      <ns0:c r="CF76" t="n">
        <ns0:f>IF($A76="",1,IF(CE76=1,1,--AND(IF($AC76&gt;0,INDEX(CE$7:CE$106,$AC76),1),IF($AD76&gt;0,INDEX(CE$7:CE$106,$AD76),1),IF($AE76&gt;0,INDEX(CE$7:CE$106,$AE76),1),IF($AF76&gt;0,INDEX(CE$7:CE$106,$AF76),1),IF($AG76&gt;0,INDEX(CE$7:CE$106,$AG76),1),IF($AH76&gt;0,INDEX(CE$7:CE$106,$AH76),1),IF($AI76&gt;0,INDEX(CE$7:CE$106,$AI76),1),IF($AJ76&gt;0,INDEX(CE$7:CE$106,$AJ76),1))))</ns0:f>
        <ns0:v>1</ns0:v>
      </ns0:c>
      <ns0:c r="CG76" t="n">
        <ns0:f>IF($A76="",1,IF(CF76=1,1,--AND(IF($AC76&gt;0,INDEX(CF$7:CF$106,$AC76),1),IF($AD76&gt;0,INDEX(CF$7:CF$106,$AD76),1),IF($AE76&gt;0,INDEX(CF$7:CF$106,$AE76),1),IF($AF76&gt;0,INDEX(CF$7:CF$106,$AF76),1),IF($AG76&gt;0,INDEX(CF$7:CF$106,$AG76),1),IF($AH76&gt;0,INDEX(CF$7:CF$106,$AH76),1),IF($AI76&gt;0,INDEX(CF$7:CF$106,$AI76),1),IF($AJ76&gt;0,INDEX(CF$7:CF$106,$AJ76),1))))</ns0:f>
        <ns0:v>1</ns0:v>
      </ns0:c>
      <ns0:c r="CH76" t="n">
        <ns0:f>IF($A76="",1,IF(CG76=1,1,--AND(IF($AC76&gt;0,INDEX(CG$7:CG$106,$AC76),1),IF($AD76&gt;0,INDEX(CG$7:CG$106,$AD76),1),IF($AE76&gt;0,INDEX(CG$7:CG$106,$AE76),1),IF($AF76&gt;0,INDEX(CG$7:CG$106,$AF76),1),IF($AG76&gt;0,INDEX(CG$7:CG$106,$AG76),1),IF($AH76&gt;0,INDEX(CG$7:CG$106,$AH76),1),IF($AI76&gt;0,INDEX(CG$7:CG$106,$AI76),1),IF($AJ76&gt;0,INDEX(CG$7:CG$106,$AJ76),1))))</ns0:f>
        <ns0:v>1</ns0:v>
      </ns0:c>
      <ns0:c r="CI76" t="n">
        <ns0:f>IF($A76="",1,IF(CH76=1,1,--AND(IF($AC76&gt;0,INDEX(CH$7:CH$106,$AC76),1),IF($AD76&gt;0,INDEX(CH$7:CH$106,$AD76),1),IF($AE76&gt;0,INDEX(CH$7:CH$106,$AE76),1),IF($AF76&gt;0,INDEX(CH$7:CH$106,$AF76),1),IF($AG76&gt;0,INDEX(CH$7:CH$106,$AG76),1),IF($AH76&gt;0,INDEX(CH$7:CH$106,$AH76),1),IF($AI76&gt;0,INDEX(CH$7:CH$106,$AI76),1),IF($AJ76&gt;0,INDEX(CH$7:CH$106,$AJ76),1))))</ns0:f>
        <ns0:v>1</ns0:v>
      </ns0:c>
      <ns0:c r="CJ76" t="n">
        <ns0:f>IF($A76="",1,IF(CI76=1,1,--AND(IF($AC76&gt;0,INDEX(CI$7:CI$106,$AC76),1),IF($AD76&gt;0,INDEX(CI$7:CI$106,$AD76),1),IF($AE76&gt;0,INDEX(CI$7:CI$106,$AE76),1),IF($AF76&gt;0,INDEX(CI$7:CI$106,$AF76),1),IF($AG76&gt;0,INDEX(CI$7:CI$106,$AG76),1),IF($AH76&gt;0,INDEX(CI$7:CI$106,$AH76),1),IF($AI76&gt;0,INDEX(CI$7:CI$106,$AI76),1),IF($AJ76&gt;0,INDEX(CI$7:CI$106,$AJ76),1))))</ns0:f>
        <ns0:v>1</ns0:v>
      </ns0:c>
      <ns0:c r="CK76" t="n">
        <ns0:f>IF($A76="",1,IF(CJ76=1,1,--AND(IF($AC76&gt;0,INDEX(CJ$7:CJ$106,$AC76),1),IF($AD76&gt;0,INDEX(CJ$7:CJ$106,$AD76),1),IF($AE76&gt;0,INDEX(CJ$7:CJ$106,$AE76),1),IF($AF76&gt;0,INDEX(CJ$7:CJ$106,$AF76),1),IF($AG76&gt;0,INDEX(CJ$7:CJ$106,$AG76),1),IF($AH76&gt;0,INDEX(CJ$7:CJ$106,$AH76),1),IF($AI76&gt;0,INDEX(CJ$7:CJ$106,$AI76),1),IF($AJ76&gt;0,INDEX(CJ$7:CJ$106,$AJ76),1))))</ns0:f>
        <ns0:v>1</ns0:v>
      </ns0:c>
      <ns0:c r="CL76" t="n">
        <ns0:f>IF($A76="",1,IF(CK76=1,1,--AND(IF($AC76&gt;0,INDEX(CK$7:CK$106,$AC76),1),IF($AD76&gt;0,INDEX(CK$7:CK$106,$AD76),1),IF($AE76&gt;0,INDEX(CK$7:CK$106,$AE76),1),IF($AF76&gt;0,INDEX(CK$7:CK$106,$AF76),1),IF($AG76&gt;0,INDEX(CK$7:CK$106,$AG76),1),IF($AH76&gt;0,INDEX(CK$7:CK$106,$AH76),1),IF($AI76&gt;0,INDEX(CK$7:CK$106,$AI76),1),IF($AJ76&gt;0,INDEX(CK$7:CK$106,$AJ76),1))))</ns0:f>
        <ns0:v>1</ns0:v>
      </ns0:c>
      <ns0:c r="CM76" t="n">
        <ns0:f>IF($A76="",1,IF(CL76=1,1,--AND(IF($AC76&gt;0,INDEX(CL$7:CL$106,$AC76),1),IF($AD76&gt;0,INDEX(CL$7:CL$106,$AD76),1),IF($AE76&gt;0,INDEX(CL$7:CL$106,$AE76),1),IF($AF76&gt;0,INDEX(CL$7:CL$106,$AF76),1),IF($AG76&gt;0,INDEX(CL$7:CL$106,$AG76),1),IF($AH76&gt;0,INDEX(CL$7:CL$106,$AH76),1),IF($AI76&gt;0,INDEX(CL$7:CL$106,$AI76),1),IF($AJ76&gt;0,INDEX(CL$7:CL$106,$AJ76),1))))</ns0:f>
        <ns0:v>1</ns0:v>
      </ns0:c>
      <ns0:c r="CN76" t="n">
        <ns0:f>IF($A76="",1,IF(CM76=1,1,--AND(IF($AC76&gt;0,INDEX(CM$7:CM$106,$AC76),1),IF($AD76&gt;0,INDEX(CM$7:CM$106,$AD76),1),IF($AE76&gt;0,INDEX(CM$7:CM$106,$AE76),1),IF($AF76&gt;0,INDEX(CM$7:CM$106,$AF76),1),IF($AG76&gt;0,INDEX(CM$7:CM$106,$AG76),1),IF($AH76&gt;0,INDEX(CM$7:CM$106,$AH76),1),IF($AI76&gt;0,INDEX(CM$7:CM$106,$AI76),1),IF($AJ76&gt;0,INDEX(CM$7:CM$106,$AJ76),1))))</ns0:f>
        <ns0:v>1</ns0:v>
      </ns0:c>
      <ns0:c r="CO76" t="n">
        <ns0:f>IF($A76="",1,IF(CN76=1,1,--AND(IF($AC76&gt;0,INDEX(CN$7:CN$106,$AC76),1),IF($AD76&gt;0,INDEX(CN$7:CN$106,$AD76),1),IF($AE76&gt;0,INDEX(CN$7:CN$106,$AE76),1),IF($AF76&gt;0,INDEX(CN$7:CN$106,$AF76),1),IF($AG76&gt;0,INDEX(CN$7:CN$106,$AG76),1),IF($AH76&gt;0,INDEX(CN$7:CN$106,$AH76),1),IF($AI76&gt;0,INDEX(CN$7:CN$106,$AI76),1),IF($AJ76&gt;0,INDEX(CN$7:CN$106,$AJ76),1))))</ns0:f>
        <ns0:v>1</ns0:v>
      </ns0:c>
      <ns0:c r="CP76" t="n">
        <ns0:f>IF($A76="",1,IF(CO76=1,1,--AND(IF($AC76&gt;0,INDEX(CO$7:CO$106,$AC76),1),IF($AD76&gt;0,INDEX(CO$7:CO$106,$AD76),1),IF($AE76&gt;0,INDEX(CO$7:CO$106,$AE76),1),IF($AF76&gt;0,INDEX(CO$7:CO$106,$AF76),1),IF($AG76&gt;0,INDEX(CO$7:CO$106,$AG76),1),IF($AH76&gt;0,INDEX(CO$7:CO$106,$AH76),1),IF($AI76&gt;0,INDEX(CO$7:CO$106,$AI76),1),IF($AJ76&gt;0,INDEX(CO$7:CO$106,$AJ76),1))))</ns0:f>
        <ns0:v>1</ns0:v>
      </ns0:c>
      <ns0:c r="CQ76" t="n">
        <ns0:f>IF($A76="",1,IF(CP76=1,1,--AND(IF($AC76&gt;0,INDEX(CP$7:CP$106,$AC76),1),IF($AD76&gt;0,INDEX(CP$7:CP$106,$AD76),1),IF($AE76&gt;0,INDEX(CP$7:CP$106,$AE76),1),IF($AF76&gt;0,INDEX(CP$7:CP$106,$AF76),1),IF($AG76&gt;0,INDEX(CP$7:CP$106,$AG76),1),IF($AH76&gt;0,INDEX(CP$7:CP$106,$AH76),1),IF($AI76&gt;0,INDEX(CP$7:CP$106,$AI76),1),IF($AJ76&gt;0,INDEX(CP$7:CP$106,$AJ76),1))))</ns0:f>
        <ns0:v>1</ns0:v>
      </ns0:c>
      <ns0:c r="CR76" t="n">
        <ns0:f>IF($A76="",1,IF(CQ76=1,1,--AND(IF($AC76&gt;0,INDEX(CQ$7:CQ$106,$AC76),1),IF($AD76&gt;0,INDEX(CQ$7:CQ$106,$AD76),1),IF($AE76&gt;0,INDEX(CQ$7:CQ$106,$AE76),1),IF($AF76&gt;0,INDEX(CQ$7:CQ$106,$AF76),1),IF($AG76&gt;0,INDEX(CQ$7:CQ$106,$AG76),1),IF($AH76&gt;0,INDEX(CQ$7:CQ$106,$AH76),1),IF($AI76&gt;0,INDEX(CQ$7:CQ$106,$AI76),1),IF($AJ76&gt;0,INDEX(CQ$7:CQ$106,$AJ76),1))))</ns0:f>
        <ns0:v>1</ns0:v>
      </ns0:c>
      <ns0:c r="CS76" t="n">
        <ns0:f>IF($A76="",1,IF(CR76=1,1,--AND(IF($AC76&gt;0,INDEX(CR$7:CR$106,$AC76),1),IF($AD76&gt;0,INDEX(CR$7:CR$106,$AD76),1),IF($AE76&gt;0,INDEX(CR$7:CR$106,$AE76),1),IF($AF76&gt;0,INDEX(CR$7:CR$106,$AF76),1),IF($AG76&gt;0,INDEX(CR$7:CR$106,$AG76),1),IF($AH76&gt;0,INDEX(CR$7:CR$106,$AH76),1),IF($AI76&gt;0,INDEX(CR$7:CR$106,$AI76),1),IF($AJ76&gt;0,INDEX(CR$7:CR$106,$AJ76),1))))</ns0:f>
        <ns0:v>1</ns0:v>
      </ns0:c>
      <ns0:c r="CT76" t="n">
        <ns0:f>IF($A76="",1,IF(CS76=1,1,--AND(IF($AC76&gt;0,INDEX(CS$7:CS$106,$AC76),1),IF($AD76&gt;0,INDEX(CS$7:CS$106,$AD76),1),IF($AE76&gt;0,INDEX(CS$7:CS$106,$AE76),1),IF($AF76&gt;0,INDEX(CS$7:CS$106,$AF76),1),IF($AG76&gt;0,INDEX(CS$7:CS$106,$AG76),1),IF($AH76&gt;0,INDEX(CS$7:CS$106,$AH76),1),IF($AI76&gt;0,INDEX(CS$7:CS$106,$AI76),1),IF($AJ76&gt;0,INDEX(CS$7:CS$106,$AJ76),1))))</ns0:f>
        <ns0:v>1</ns0:v>
      </ns0:c>
      <ns0:c r="CU76" t="n">
        <ns0:f>IF($A76="",1,IF(CT76=1,1,--AND(IF($AC76&gt;0,INDEX(CT$7:CT$106,$AC76),1),IF($AD76&gt;0,INDEX(CT$7:CT$106,$AD76),1),IF($AE76&gt;0,INDEX(CT$7:CT$106,$AE76),1),IF($AF76&gt;0,INDEX(CT$7:CT$106,$AF76),1),IF($AG76&gt;0,INDEX(CT$7:CT$106,$AG76),1),IF($AH76&gt;0,INDEX(CT$7:CT$106,$AH76),1),IF($AI76&gt;0,INDEX(CT$7:CT$106,$AI76),1),IF($AJ76&gt;0,INDEX(CT$7:CT$106,$AJ76),1))))</ns0:f>
        <ns0:v>1</ns0:v>
      </ns0:c>
      <ns0:c r="CV76" t="n">
        <ns0:f>IF($A76="",1,IF(CU76=1,1,--AND(IF($AC76&gt;0,INDEX(CU$7:CU$106,$AC76),1),IF($AD76&gt;0,INDEX(CU$7:CU$106,$AD76),1),IF($AE76&gt;0,INDEX(CU$7:CU$106,$AE76),1),IF($AF76&gt;0,INDEX(CU$7:CU$106,$AF76),1),IF($AG76&gt;0,INDEX(CU$7:CU$106,$AG76),1),IF($AH76&gt;0,INDEX(CU$7:CU$106,$AH76),1),IF($AI76&gt;0,INDEX(CU$7:CU$106,$AI76),1),IF($AJ76&gt;0,INDEX(CU$7:CU$106,$AJ76),1))))</ns0:f>
        <ns0:v>1</ns0:v>
      </ns0:c>
      <ns0:c r="CW76" t="n">
        <ns0:f>IF($A76="",1,IF(CV76=1,1,--AND(IF($AC76&gt;0,INDEX(CV$7:CV$106,$AC76),1),IF($AD76&gt;0,INDEX(CV$7:CV$106,$AD76),1),IF($AE76&gt;0,INDEX(CV$7:CV$106,$AE76),1),IF($AF76&gt;0,INDEX(CV$7:CV$106,$AF76),1),IF($AG76&gt;0,INDEX(CV$7:CV$106,$AG76),1),IF($AH76&gt;0,INDEX(CV$7:CV$106,$AH76),1),IF($AI76&gt;0,INDEX(CV$7:CV$106,$AI76),1),IF($AJ76&gt;0,INDEX(CV$7:CV$106,$AJ76),1))))</ns0:f>
        <ns0:v>1</ns0:v>
      </ns0:c>
      <ns0:c r="CX76" t="n">
        <ns0:f>IF($A76="",1,IF(CW76=1,1,--AND(IF($AC76&gt;0,INDEX(CW$7:CW$106,$AC76),1),IF($AD76&gt;0,INDEX(CW$7:CW$106,$AD76),1),IF($AE76&gt;0,INDEX(CW$7:CW$106,$AE76),1),IF($AF76&gt;0,INDEX(CW$7:CW$106,$AF76),1),IF($AG76&gt;0,INDEX(CW$7:CW$106,$AG76),1),IF($AH76&gt;0,INDEX(CW$7:CW$106,$AH76),1),IF($AI76&gt;0,INDEX(CW$7:CW$106,$AI76),1),IF($AJ76&gt;0,INDEX(CW$7:CW$106,$AJ76),1))))</ns0:f>
        <ns0:v>1</ns0:v>
      </ns0:c>
      <ns0:c r="CY76" t="n">
        <ns0:f>IF($A76="",1,IF(CX76=1,1,--AND(IF($AC76&gt;0,INDEX(CX$7:CX$106,$AC76),1),IF($AD76&gt;0,INDEX(CX$7:CX$106,$AD76),1),IF($AE76&gt;0,INDEX(CX$7:CX$106,$AE76),1),IF($AF76&gt;0,INDEX(CX$7:CX$106,$AF76),1),IF($AG76&gt;0,INDEX(CX$7:CX$106,$AG76),1),IF($AH76&gt;0,INDEX(CX$7:CX$106,$AH76),1),IF($AI76&gt;0,INDEX(CX$7:CX$106,$AI76),1),IF($AJ76&gt;0,INDEX(CX$7:CX$106,$AJ76),1))))</ns0:f>
        <ns0:v>1</ns0:v>
      </ns0:c>
      <ns0:c r="CZ76" t="n">
        <ns0:f>IF($A76="",1,IF(CY76=1,1,--AND(IF($AC76&gt;0,INDEX(CY$7:CY$106,$AC76),1),IF($AD76&gt;0,INDEX(CY$7:CY$106,$AD76),1),IF($AE76&gt;0,INDEX(CY$7:CY$106,$AE76),1),IF($AF76&gt;0,INDEX(CY$7:CY$106,$AF76),1),IF($AG76&gt;0,INDEX(CY$7:CY$106,$AG76),1),IF($AH76&gt;0,INDEX(CY$7:CY$106,$AH76),1),IF($AI76&gt;0,INDEX(CY$7:CY$106,$AI76),1),IF($AJ76&gt;0,INDEX(CY$7:CY$106,$AJ76),1))))</ns0:f>
        <ns0:v>1</ns0:v>
      </ns0:c>
      <ns0:c r="DA76" t="n">
        <ns0:f>IF($A76="",1,IF(CZ76=1,1,--AND(IF($AC76&gt;0,INDEX(CZ$7:CZ$106,$AC76),1),IF($AD76&gt;0,INDEX(CZ$7:CZ$106,$AD76),1),IF($AE76&gt;0,INDEX(CZ$7:CZ$106,$AE76),1),IF($AF76&gt;0,INDEX(CZ$7:CZ$106,$AF76),1),IF($AG76&gt;0,INDEX(CZ$7:CZ$106,$AG76),1),IF($AH76&gt;0,INDEX(CZ$7:CZ$106,$AH76),1),IF($AI76&gt;0,INDEX(CZ$7:CZ$106,$AI76),1),IF($AJ76&gt;0,INDEX(CZ$7:CZ$106,$AJ76),1))))</ns0:f>
        <ns0:v>1</ns0:v>
      </ns0:c>
      <ns0:c r="DB76" t="n">
        <ns0:f>IF($A76="",1,IF(DA76=1,1,--AND(IF($AC76&gt;0,INDEX(DA$7:DA$106,$AC76),1),IF($AD76&gt;0,INDEX(DA$7:DA$106,$AD76),1),IF($AE76&gt;0,INDEX(DA$7:DA$106,$AE76),1),IF($AF76&gt;0,INDEX(DA$7:DA$106,$AF76),1),IF($AG76&gt;0,INDEX(DA$7:DA$106,$AG76),1),IF($AH76&gt;0,INDEX(DA$7:DA$106,$AH76),1),IF($AI76&gt;0,INDEX(DA$7:DA$106,$AI76),1),IF($AJ76&gt;0,INDEX(DA$7:DA$106,$AJ76),1))))</ns0:f>
        <ns0:v>1</ns0:v>
      </ns0:c>
      <ns0:c r="DC76" t="n">
        <ns0:f>IF($A76="",1,IF(DB76=1,1,--AND(IF($AC76&gt;0,INDEX(DB$7:DB$106,$AC76),1),IF($AD76&gt;0,INDEX(DB$7:DB$106,$AD76),1),IF($AE76&gt;0,INDEX(DB$7:DB$106,$AE76),1),IF($AF76&gt;0,INDEX(DB$7:DB$106,$AF76),1),IF($AG76&gt;0,INDEX(DB$7:DB$106,$AG76),1),IF($AH76&gt;0,INDEX(DB$7:DB$106,$AH76),1),IF($AI76&gt;0,INDEX(DB$7:DB$106,$AI76),1),IF($AJ76&gt;0,INDEX(DB$7:DB$106,$AJ76),1))))</ns0:f>
        <ns0:v>1</ns0:v>
      </ns0:c>
      <ns0:c r="DD76" t="n">
        <ns0:f>IF($A76="",1,IF(DC76=1,1,--AND(IF($AC76&gt;0,INDEX(DC$7:DC$106,$AC76),1),IF($AD76&gt;0,INDEX(DC$7:DC$106,$AD76),1),IF($AE76&gt;0,INDEX(DC$7:DC$106,$AE76),1),IF($AF76&gt;0,INDEX(DC$7:DC$106,$AF76),1),IF($AG76&gt;0,INDEX(DC$7:DC$106,$AG76),1),IF($AH76&gt;0,INDEX(DC$7:DC$106,$AH76),1),IF($AI76&gt;0,INDEX(DC$7:DC$106,$AI76),1),IF($AJ76&gt;0,INDEX(DC$7:DC$106,$AJ76),1))))</ns0:f>
        <ns0:v>1</ns0:v>
      </ns0:c>
      <ns0:c r="DE76" t="n">
        <ns0:f>IF($A76="",1,IF(DD76=1,1,--AND(IF($AC76&gt;0,INDEX(DD$7:DD$106,$AC76),1),IF($AD76&gt;0,INDEX(DD$7:DD$106,$AD76),1),IF($AE76&gt;0,INDEX(DD$7:DD$106,$AE76),1),IF($AF76&gt;0,INDEX(DD$7:DD$106,$AF76),1),IF($AG76&gt;0,INDEX(DD$7:DD$106,$AG76),1),IF($AH76&gt;0,INDEX(DD$7:DD$106,$AH76),1),IF($AI76&gt;0,INDEX(DD$7:DD$106,$AI76),1),IF($AJ76&gt;0,INDEX(DD$7:DD$106,$AJ76),1))))</ns0:f>
        <ns0:v>1</ns0:v>
      </ns0:c>
      <ns0:c r="DF76" t="n">
        <ns0:f>IF($A76="",1,IF(DE76=1,1,--AND(IF($AC76&gt;0,INDEX(DE$7:DE$106,$AC76),1),IF($AD76&gt;0,INDEX(DE$7:DE$106,$AD76),1),IF($AE76&gt;0,INDEX(DE$7:DE$106,$AE76),1),IF($AF76&gt;0,INDEX(DE$7:DE$106,$AF76),1),IF($AG76&gt;0,INDEX(DE$7:DE$106,$AG76),1),IF($AH76&gt;0,INDEX(DE$7:DE$106,$AH76),1),IF($AI76&gt;0,INDEX(DE$7:DE$106,$AI76),1),IF($AJ76&gt;0,INDEX(DE$7:DE$106,$AJ76),1))))</ns0:f>
        <ns0:v>1</ns0:v>
      </ns0:c>
      <ns0:c r="DG76" t="n">
        <ns0:f>IF($A76="",1,IF(DF76=1,1,--AND(IF($AC76&gt;0,INDEX(DF$7:DF$106,$AC76),1),IF($AD76&gt;0,INDEX(DF$7:DF$106,$AD76),1),IF($AE76&gt;0,INDEX(DF$7:DF$106,$AE76),1),IF($AF76&gt;0,INDEX(DF$7:DF$106,$AF76),1),IF($AG76&gt;0,INDEX(DF$7:DF$106,$AG76),1),IF($AH76&gt;0,INDEX(DF$7:DF$106,$AH76),1),IF($AI76&gt;0,INDEX(DF$7:DF$106,$AI76),1),IF($AJ76&gt;0,INDEX(DF$7:DF$106,$AJ76),1))))</ns0:f>
        <ns0:v>1</ns0:v>
      </ns0:c>
      <ns0:c r="DH76" t="n">
        <ns0:f>IF($A76="",1,IF(DG76=1,1,--AND(IF($AC76&gt;0,INDEX(DG$7:DG$106,$AC76),1),IF($AD76&gt;0,INDEX(DG$7:DG$106,$AD76),1),IF($AE76&gt;0,INDEX(DG$7:DG$106,$AE76),1),IF($AF76&gt;0,INDEX(DG$7:DG$106,$AF76),1),IF($AG76&gt;0,INDEX(DG$7:DG$106,$AG76),1),IF($AH76&gt;0,INDEX(DG$7:DG$106,$AH76),1),IF($AI76&gt;0,INDEX(DG$7:DG$106,$AI76),1),IF($AJ76&gt;0,INDEX(DG$7:DG$106,$AJ76),1))))</ns0:f>
        <ns0:v>1</ns0:v>
      </ns0:c>
      <ns0:c r="DI76" t="n">
        <ns0:f>IF($A76="",1,IF(DH76=1,1,--AND(IF($AC76&gt;0,INDEX(DH$7:DH$106,$AC76),1),IF($AD76&gt;0,INDEX(DH$7:DH$106,$AD76),1),IF($AE76&gt;0,INDEX(DH$7:DH$106,$AE76),1),IF($AF76&gt;0,INDEX(DH$7:DH$106,$AF76),1),IF($AG76&gt;0,INDEX(DH$7:DH$106,$AG76),1),IF($AH76&gt;0,INDEX(DH$7:DH$106,$AH76),1),IF($AI76&gt;0,INDEX(DH$7:DH$106,$AI76),1),IF($AJ76&gt;0,INDEX(DH$7:DH$106,$AJ76),1))))</ns0:f>
        <ns0:v>1</ns0:v>
      </ns0:c>
      <ns0:c r="DJ76" t="n">
        <ns0:f>IF($A76="",1,IF(DI76=1,1,--AND(IF($AC76&gt;0,INDEX(DI$7:DI$106,$AC76),1),IF($AD76&gt;0,INDEX(DI$7:DI$106,$AD76),1),IF($AE76&gt;0,INDEX(DI$7:DI$106,$AE76),1),IF($AF76&gt;0,INDEX(DI$7:DI$106,$AF76),1),IF($AG76&gt;0,INDEX(DI$7:DI$106,$AG76),1),IF($AH76&gt;0,INDEX(DI$7:DI$106,$AH76),1),IF($AI76&gt;0,INDEX(DI$7:DI$106,$AI76),1),IF($AJ76&gt;0,INDEX(DI$7:DI$106,$AJ76),1))))</ns0:f>
        <ns0:v>1</ns0:v>
      </ns0:c>
      <ns0:c r="DK76" t="n">
        <ns0:f>IF($A76="",1,IF(DJ76=1,1,--AND(IF($AC76&gt;0,INDEX(DJ$7:DJ$106,$AC76),1),IF($AD76&gt;0,INDEX(DJ$7:DJ$106,$AD76),1),IF($AE76&gt;0,INDEX(DJ$7:DJ$106,$AE76),1),IF($AF76&gt;0,INDEX(DJ$7:DJ$106,$AF76),1),IF($AG76&gt;0,INDEX(DJ$7:DJ$106,$AG76),1),IF($AH76&gt;0,INDEX(DJ$7:DJ$106,$AH76),1),IF($AI76&gt;0,INDEX(DJ$7:DJ$106,$AI76),1),IF($AJ76&gt;0,INDEX(DJ$7:DJ$106,$AJ76),1))))</ns0:f>
        <ns0:v>1</ns0:v>
      </ns0:c>
      <ns0:c r="DL76" t="n">
        <ns0:f>IF($A76="",1,IF(DK76=1,1,--AND(IF($AC76&gt;0,INDEX(DK$7:DK$106,$AC76),1),IF($AD76&gt;0,INDEX(DK$7:DK$106,$AD76),1),IF($AE76&gt;0,INDEX(DK$7:DK$106,$AE76),1),IF($AF76&gt;0,INDEX(DK$7:DK$106,$AF76),1),IF($AG76&gt;0,INDEX(DK$7:DK$106,$AG76),1),IF($AH76&gt;0,INDEX(DK$7:DK$106,$AH76),1),IF($AI76&gt;0,INDEX(DK$7:DK$106,$AI76),1),IF($AJ76&gt;0,INDEX(DK$7:DK$106,$AJ76),1))))</ns0:f>
        <ns0:v>1</ns0:v>
      </ns0:c>
      <ns0:c r="DM76" t="n">
        <ns0:f>IF($A76="",1,IF(DL76=1,1,--AND(IF($AC76&gt;0,INDEX(DL$7:DL$106,$AC76),1),IF($AD76&gt;0,INDEX(DL$7:DL$106,$AD76),1),IF($AE76&gt;0,INDEX(DL$7:DL$106,$AE76),1),IF($AF76&gt;0,INDEX(DL$7:DL$106,$AF76),1),IF($AG76&gt;0,INDEX(DL$7:DL$106,$AG76),1),IF($AH76&gt;0,INDEX(DL$7:DL$106,$AH76),1),IF($AI76&gt;0,INDEX(DL$7:DL$106,$AI76),1),IF($AJ76&gt;0,INDEX(DL$7:DL$106,$AJ76),1))))</ns0:f>
        <ns0:v>1</ns0:v>
      </ns0:c>
      <ns0:c r="DN76" t="n">
        <ns0:f>IF($A76="",1,IF(DM76=1,1,--AND(IF($AC76&gt;0,INDEX(DM$7:DM$106,$AC76),1),IF($AD76&gt;0,INDEX(DM$7:DM$106,$AD76),1),IF($AE76&gt;0,INDEX(DM$7:DM$106,$AE76),1),IF($AF76&gt;0,INDEX(DM$7:DM$106,$AF76),1),IF($AG76&gt;0,INDEX(DM$7:DM$106,$AG76),1),IF($AH76&gt;0,INDEX(DM$7:DM$106,$AH76),1),IF($AI76&gt;0,INDEX(DM$7:DM$106,$AI76),1),IF($AJ76&gt;0,INDEX(DM$7:DM$106,$AJ76),1))))</ns0:f>
        <ns0:v>1</ns0:v>
      </ns0:c>
      <ns0:c r="DO76" t="n">
        <ns0:f>IF($A76="",1,IF(DN76=1,1,--AND(IF($AC76&gt;0,INDEX(DN$7:DN$106,$AC76),1),IF($AD76&gt;0,INDEX(DN$7:DN$106,$AD76),1),IF($AE76&gt;0,INDEX(DN$7:DN$106,$AE76),1),IF($AF76&gt;0,INDEX(DN$7:DN$106,$AF76),1),IF($AG76&gt;0,INDEX(DN$7:DN$106,$AG76),1),IF($AH76&gt;0,INDEX(DN$7:DN$106,$AH76),1),IF($AI76&gt;0,INDEX(DN$7:DN$106,$AI76),1),IF($AJ76&gt;0,INDEX(DN$7:DN$106,$AJ76),1))))</ns0:f>
        <ns0:v>1</ns0:v>
      </ns0:c>
      <ns0:c r="DP76" t="n">
        <ns0:f>IF($A76="",1,IF(DO76=1,1,--AND(IF($AC76&gt;0,INDEX(DO$7:DO$106,$AC76),1),IF($AD76&gt;0,INDEX(DO$7:DO$106,$AD76),1),IF($AE76&gt;0,INDEX(DO$7:DO$106,$AE76),1),IF($AF76&gt;0,INDEX(DO$7:DO$106,$AF76),1),IF($AG76&gt;0,INDEX(DO$7:DO$106,$AG76),1),IF($AH76&gt;0,INDEX(DO$7:DO$106,$AH76),1),IF($AI76&gt;0,INDEX(DO$7:DO$106,$AI76),1),IF($AJ76&gt;0,INDEX(DO$7:DO$106,$AJ76),1))))</ns0:f>
        <ns0:v>1</ns0:v>
      </ns0:c>
      <ns0:c r="DQ76" t="n">
        <ns0:f>IF($A76="",1,IF(DP76=1,1,--AND(IF($AC76&gt;0,INDEX(DP$7:DP$106,$AC76),1),IF($AD76&gt;0,INDEX(DP$7:DP$106,$AD76),1),IF($AE76&gt;0,INDEX(DP$7:DP$106,$AE76),1),IF($AF76&gt;0,INDEX(DP$7:DP$106,$AF76),1),IF($AG76&gt;0,INDEX(DP$7:DP$106,$AG76),1),IF($AH76&gt;0,INDEX(DP$7:DP$106,$AH76),1),IF($AI76&gt;0,INDEX(DP$7:DP$106,$AI76),1),IF($AJ76&gt;0,INDEX(DP$7:DP$106,$AJ76),1))))</ns0:f>
        <ns0:v>1</ns0:v>
      </ns0:c>
      <ns0:c r="DR76" t="n">
        <ns0:f>IF($A76="",1,IF(DQ76=1,1,--AND(IF($AC76&gt;0,INDEX(DQ$7:DQ$106,$AC76),1),IF($AD76&gt;0,INDEX(DQ$7:DQ$106,$AD76),1),IF($AE76&gt;0,INDEX(DQ$7:DQ$106,$AE76),1),IF($AF76&gt;0,INDEX(DQ$7:DQ$106,$AF76),1),IF($AG76&gt;0,INDEX(DQ$7:DQ$106,$AG76),1),IF($AH76&gt;0,INDEX(DQ$7:DQ$106,$AH76),1),IF($AI76&gt;0,INDEX(DQ$7:DQ$106,$AI76),1),IF($AJ76&gt;0,INDEX(DQ$7:DQ$106,$AJ76),1))))</ns0:f>
        <ns0:v>1</ns0:v>
      </ns0:c>
      <ns0:c r="DS76" t="n">
        <ns0:f>IF($A76="",1,IF(DR76=1,1,--AND(IF($AC76&gt;0,INDEX(DR$7:DR$106,$AC76),1),IF($AD76&gt;0,INDEX(DR$7:DR$106,$AD76),1),IF($AE76&gt;0,INDEX(DR$7:DR$106,$AE76),1),IF($AF76&gt;0,INDEX(DR$7:DR$106,$AF76),1),IF($AG76&gt;0,INDEX(DR$7:DR$106,$AG76),1),IF($AH76&gt;0,INDEX(DR$7:DR$106,$AH76),1),IF($AI76&gt;0,INDEX(DR$7:DR$106,$AI76),1),IF($AJ76&gt;0,INDEX(DR$7:DR$106,$AJ76),1))))</ns0:f>
        <ns0:v>1</ns0:v>
      </ns0:c>
      <ns0:c r="DT76" t="n">
        <ns0:f>IF($A76="",1,IF(DS76=1,1,--AND(IF($AC76&gt;0,INDEX(DS$7:DS$106,$AC76),1),IF($AD76&gt;0,INDEX(DS$7:DS$106,$AD76),1),IF($AE76&gt;0,INDEX(DS$7:DS$106,$AE76),1),IF($AF76&gt;0,INDEX(DS$7:DS$106,$AF76),1),IF($AG76&gt;0,INDEX(DS$7:DS$106,$AG76),1),IF($AH76&gt;0,INDEX(DS$7:DS$106,$AH76),1),IF($AI76&gt;0,INDEX(DS$7:DS$106,$AI76),1),IF($AJ76&gt;0,INDEX(DS$7:DS$106,$AJ76),1))))</ns0:f>
        <ns0:v>1</ns0:v>
      </ns0:c>
      <ns0:c r="DU76" t="n">
        <ns0:f>IF($A76="",1,IF(DT76=1,1,--AND(IF($AC76&gt;0,INDEX(DT$7:DT$106,$AC76),1),IF($AD76&gt;0,INDEX(DT$7:DT$106,$AD76),1),IF($AE76&gt;0,INDEX(DT$7:DT$106,$AE76),1),IF($AF76&gt;0,INDEX(DT$7:DT$106,$AF76),1),IF($AG76&gt;0,INDEX(DT$7:DT$106,$AG76),1),IF($AH76&gt;0,INDEX(DT$7:DT$106,$AH76),1),IF($AI76&gt;0,INDEX(DT$7:DT$106,$AI76),1),IF($AJ76&gt;0,INDEX(DT$7:DT$106,$AJ76),1))))</ns0:f>
        <ns0:v>1</ns0:v>
      </ns0:c>
      <ns0:c r="DV76" t="n">
        <ns0:f>IF($A76="",1,IF(DU76=1,1,--AND(IF($AC76&gt;0,INDEX(DU$7:DU$106,$AC76),1),IF($AD76&gt;0,INDEX(DU$7:DU$106,$AD76),1),IF($AE76&gt;0,INDEX(DU$7:DU$106,$AE76),1),IF($AF76&gt;0,INDEX(DU$7:DU$106,$AF76),1),IF($AG76&gt;0,INDEX(DU$7:DU$106,$AG76),1),IF($AH76&gt;0,INDEX(DU$7:DU$106,$AH76),1),IF($AI76&gt;0,INDEX(DU$7:DU$106,$AI76),1),IF($AJ76&gt;0,INDEX(DU$7:DU$106,$AJ76),1))))</ns0:f>
        <ns0:v>1</ns0:v>
      </ns0:c>
      <ns0:c r="DW76" t="n">
        <ns0:f>IF($A76="",1,IF(DV76=1,1,--AND(IF($AC76&gt;0,INDEX(DV$7:DV$106,$AC76),1),IF($AD76&gt;0,INDEX(DV$7:DV$106,$AD76),1),IF($AE76&gt;0,INDEX(DV$7:DV$106,$AE76),1),IF($AF76&gt;0,INDEX(DV$7:DV$106,$AF76),1),IF($AG76&gt;0,INDEX(DV$7:DV$106,$AG76),1),IF($AH76&gt;0,INDEX(DV$7:DV$106,$AH76),1),IF($AI76&gt;0,INDEX(DV$7:DV$106,$AI76),1),IF($AJ76&gt;0,INDEX(DV$7:DV$106,$AJ76),1))))</ns0:f>
        <ns0:v>1</ns0:v>
      </ns0:c>
      <ns0:c r="DX76" t="n">
        <ns0:f>IF($A76="",1,IF(DW76=1,1,--AND(IF($AC76&gt;0,INDEX(DW$7:DW$106,$AC76),1),IF($AD76&gt;0,INDEX(DW$7:DW$106,$AD76),1),IF($AE76&gt;0,INDEX(DW$7:DW$106,$AE76),1),IF($AF76&gt;0,INDEX(DW$7:DW$106,$AF76),1),IF($AG76&gt;0,INDEX(DW$7:DW$106,$AG76),1),IF($AH76&gt;0,INDEX(DW$7:DW$106,$AH76),1),IF($AI76&gt;0,INDEX(DW$7:DW$106,$AI76),1),IF($AJ76&gt;0,INDEX(DW$7:DW$106,$AJ76),1))))</ns0:f>
        <ns0:v>1</ns0:v>
      </ns0:c>
      <ns0:c r="DY76" t="n">
        <ns0:f>IF($A76="",1,IF(DX76=1,1,--AND(IF($AC76&gt;0,INDEX(DX$7:DX$106,$AC76),1),IF($AD76&gt;0,INDEX(DX$7:DX$106,$AD76),1),IF($AE76&gt;0,INDEX(DX$7:DX$106,$AE76),1),IF($AF76&gt;0,INDEX(DX$7:DX$106,$AF76),1),IF($AG76&gt;0,INDEX(DX$7:DX$106,$AG76),1),IF($AH76&gt;0,INDEX(DX$7:DX$106,$AH76),1),IF($AI76&gt;0,INDEX(DX$7:DX$106,$AI76),1),IF($AJ76&gt;0,INDEX(DX$7:DX$106,$AJ76),1))))</ns0:f>
        <ns0:v>1</ns0:v>
      </ns0:c>
      <ns0:c r="DZ76" t="n">
        <ns0:f>IF($A76="",1,IF(DY76=1,1,--AND(IF($AC76&gt;0,INDEX(DY$7:DY$106,$AC76),1),IF($AD76&gt;0,INDEX(DY$7:DY$106,$AD76),1),IF($AE76&gt;0,INDEX(DY$7:DY$106,$AE76),1),IF($AF76&gt;0,INDEX(DY$7:DY$106,$AF76),1),IF($AG76&gt;0,INDEX(DY$7:DY$106,$AG76),1),IF($AH76&gt;0,INDEX(DY$7:DY$106,$AH76),1),IF($AI76&gt;0,INDEX(DY$7:DY$106,$AI76),1),IF($AJ76&gt;0,INDEX(DY$7:DY$106,$AJ76),1))))</ns0:f>
        <ns0:v>1</ns0:v>
      </ns0:c>
      <ns0:c r="EA76" t="n">
        <ns0:f>IF($A76="",1,IF(DZ76=1,1,--AND(IF($AC76&gt;0,INDEX(DZ$7:DZ$106,$AC76),1),IF($AD76&gt;0,INDEX(DZ$7:DZ$106,$AD76),1),IF($AE76&gt;0,INDEX(DZ$7:DZ$106,$AE76),1),IF($AF76&gt;0,INDEX(DZ$7:DZ$106,$AF76),1),IF($AG76&gt;0,INDEX(DZ$7:DZ$106,$AG76),1),IF($AH76&gt;0,INDEX(DZ$7:DZ$106,$AH76),1),IF($AI76&gt;0,INDEX(DZ$7:DZ$106,$AI76),1),IF($AJ76&gt;0,INDEX(DZ$7:DZ$106,$AJ76),1))))</ns0:f>
        <ns0:v>1</ns0:v>
      </ns0:c>
      <ns0:c r="EB76" t="n">
        <ns0:f>IF($A76="",1,IF(EA76=1,1,--AND(IF($AC76&gt;0,INDEX(EA$7:EA$106,$AC76),1),IF($AD76&gt;0,INDEX(EA$7:EA$106,$AD76),1),IF($AE76&gt;0,INDEX(EA$7:EA$106,$AE76),1),IF($AF76&gt;0,INDEX(EA$7:EA$106,$AF76),1),IF($AG76&gt;0,INDEX(EA$7:EA$106,$AG76),1),IF($AH76&gt;0,INDEX(EA$7:EA$106,$AH76),1),IF($AI76&gt;0,INDEX(EA$7:EA$106,$AI76),1),IF($AJ76&gt;0,INDEX(EA$7:EA$106,$AJ76),1))))</ns0:f>
        <ns0:v>1</ns0:v>
      </ns0:c>
      <ns0:c r="EC76" t="n">
        <ns0:f>IF($A76="",1,IF(EB76=1,1,--AND(IF($AC76&gt;0,INDEX(EB$7:EB$106,$AC76),1),IF($AD76&gt;0,INDEX(EB$7:EB$106,$AD76),1),IF($AE76&gt;0,INDEX(EB$7:EB$106,$AE76),1),IF($AF76&gt;0,INDEX(EB$7:EB$106,$AF76),1),IF($AG76&gt;0,INDEX(EB$7:EB$106,$AG76),1),IF($AH76&gt;0,INDEX(EB$7:EB$106,$AH76),1),IF($AI76&gt;0,INDEX(EB$7:EB$106,$AI76),1),IF($AJ76&gt;0,INDEX(EB$7:EB$106,$AJ76),1))))</ns0:f>
        <ns0:v>1</ns0:v>
      </ns0:c>
      <ns0:c r="ED76" t="n">
        <ns0:f>IF($A76="",1,IF(EC76=1,1,--AND(IF($AC76&gt;0,INDEX(EC$7:EC$106,$AC76),1),IF($AD76&gt;0,INDEX(EC$7:EC$106,$AD76),1),IF($AE76&gt;0,INDEX(EC$7:EC$106,$AE76),1),IF($AF76&gt;0,INDEX(EC$7:EC$106,$AF76),1),IF($AG76&gt;0,INDEX(EC$7:EC$106,$AG76),1),IF($AH76&gt;0,INDEX(EC$7:EC$106,$AH76),1),IF($AI76&gt;0,INDEX(EC$7:EC$106,$AI76),1),IF($AJ76&gt;0,INDEX(EC$7:EC$106,$AJ76),1))))</ns0:f>
        <ns0:v>1</ns0:v>
      </ns0:c>
      <ns0:c r="EE76" t="n">
        <ns0:f>IF($A76="",1,IF(ED76=1,1,--AND(IF($AC76&gt;0,INDEX(ED$7:ED$106,$AC76),1),IF($AD76&gt;0,INDEX(ED$7:ED$106,$AD76),1),IF($AE76&gt;0,INDEX(ED$7:ED$106,$AE76),1),IF($AF76&gt;0,INDEX(ED$7:ED$106,$AF76),1),IF($AG76&gt;0,INDEX(ED$7:ED$106,$AG76),1),IF($AH76&gt;0,INDEX(ED$7:ED$106,$AH76),1),IF($AI76&gt;0,INDEX(ED$7:ED$106,$AI76),1),IF($AJ76&gt;0,INDEX(ED$7:ED$106,$AJ76),1))))</ns0:f>
        <ns0:v>1</ns0:v>
      </ns0:c>
      <ns0:c r="EF76" t="n">
        <ns0:f>IF($A76="",1,IF(EE76=1,1,--AND(IF($AC76&gt;0,INDEX(EE$7:EE$106,$AC76),1),IF($AD76&gt;0,INDEX(EE$7:EE$106,$AD76),1),IF($AE76&gt;0,INDEX(EE$7:EE$106,$AE76),1),IF($AF76&gt;0,INDEX(EE$7:EE$106,$AF76),1),IF($AG76&gt;0,INDEX(EE$7:EE$106,$AG76),1),IF($AH76&gt;0,INDEX(EE$7:EE$106,$AH76),1),IF($AI76&gt;0,INDEX(EE$7:EE$106,$AI76),1),IF($AJ76&gt;0,INDEX(EE$7:EE$106,$AJ76),1))))</ns0:f>
        <ns0:v>1</ns0:v>
      </ns0:c>
      <ns0:c r="EG76" t="n">
        <ns0:f>IF($A76="",1,IF(EF76=1,1,--AND(IF($AC76&gt;0,INDEX(EF$7:EF$106,$AC76),1),IF($AD76&gt;0,INDEX(EF$7:EF$106,$AD76),1),IF($AE76&gt;0,INDEX(EF$7:EF$106,$AE76),1),IF($AF76&gt;0,INDEX(EF$7:EF$106,$AF76),1),IF($AG76&gt;0,INDEX(EF$7:EF$106,$AG76),1),IF($AH76&gt;0,INDEX(EF$7:EF$106,$AH76),1),IF($AI76&gt;0,INDEX(EF$7:EF$106,$AI76),1),IF($AJ76&gt;0,INDEX(EF$7:EF$106,$AJ76),1))))</ns0:f>
        <ns0:v>1</ns0:v>
      </ns0:c>
      <ns0:c r="EH76" t="n">
        <ns0:f>IF($A76="",1,IF(EG76=1,1,--AND(IF($AC76&gt;0,INDEX(EG$7:EG$106,$AC76),1),IF($AD76&gt;0,INDEX(EG$7:EG$106,$AD76),1),IF($AE76&gt;0,INDEX(EG$7:EG$106,$AE76),1),IF($AF76&gt;0,INDEX(EG$7:EG$106,$AF76),1),IF($AG76&gt;0,INDEX(EG$7:EG$106,$AG76),1),IF($AH76&gt;0,INDEX(EG$7:EG$106,$AH76),1),IF($AI76&gt;0,INDEX(EG$7:EG$106,$AI76),1),IF($AJ76&gt;0,INDEX(EG$7:EG$106,$AJ76),1))))</ns0:f>
        <ns0:v>1</ns0:v>
      </ns0:c>
      <ns0:c r="EI76" t="n">
        <ns0:f>IF($A76="",1,IF(EH76=1,1,--AND(IF($AC76&gt;0,INDEX(EH$7:EH$106,$AC76),1),IF($AD76&gt;0,INDEX(EH$7:EH$106,$AD76),1),IF($AE76&gt;0,INDEX(EH$7:EH$106,$AE76),1),IF($AF76&gt;0,INDEX(EH$7:EH$106,$AF76),1),IF($AG76&gt;0,INDEX(EH$7:EH$106,$AG76),1),IF($AH76&gt;0,INDEX(EH$7:EH$106,$AH76),1),IF($AI76&gt;0,INDEX(EH$7:EH$106,$AI76),1),IF($AJ76&gt;0,INDEX(EH$7:EH$106,$AJ76),1))))</ns0:f>
        <ns0:v>1</ns0:v>
      </ns0:c>
      <ns0:c r="EJ76" t="n">
        <ns0:f>IF($A76="",1,IF(EI76=1,1,--AND(IF($AC76&gt;0,INDEX(EI$7:EI$106,$AC76),1),IF($AD76&gt;0,INDEX(EI$7:EI$106,$AD76),1),IF($AE76&gt;0,INDEX(EI$7:EI$106,$AE76),1),IF($AF76&gt;0,INDEX(EI$7:EI$106,$AF76),1),IF($AG76&gt;0,INDEX(EI$7:EI$106,$AG76),1),IF($AH76&gt;0,INDEX(EI$7:EI$106,$AH76),1),IF($AI76&gt;0,INDEX(EI$7:EI$106,$AI76),1),IF($AJ76&gt;0,INDEX(EI$7:EI$106,$AJ76),1))))</ns0:f>
        <ns0:v>1</ns0:v>
      </ns0:c>
      <ns0:c r="EK76" t="n">
        <ns0:f>IF($A76="",1,IF(EJ76=1,1,--AND(IF($AC76&gt;0,INDEX(EJ$7:EJ$106,$AC76),1),IF($AD76&gt;0,INDEX(EJ$7:EJ$106,$AD76),1),IF($AE76&gt;0,INDEX(EJ$7:EJ$106,$AE76),1),IF($AF76&gt;0,INDEX(EJ$7:EJ$106,$AF76),1),IF($AG76&gt;0,INDEX(EJ$7:EJ$106,$AG76),1),IF($AH76&gt;0,INDEX(EJ$7:EJ$106,$AH76),1),IF($AI76&gt;0,INDEX(EJ$7:EJ$106,$AI76),1),IF($AJ76&gt;0,INDEX(EJ$7:EJ$106,$AJ76),1))))</ns0:f>
        <ns0:v>1</ns0:v>
      </ns0:c>
      <ns0:c r="EL76" t="n">
        <ns0:f>IF($A76="",1,IF(EK76=1,1,--AND(IF($AC76&gt;0,INDEX(EK$7:EK$106,$AC76),1),IF($AD76&gt;0,INDEX(EK$7:EK$106,$AD76),1),IF($AE76&gt;0,INDEX(EK$7:EK$106,$AE76),1),IF($AF76&gt;0,INDEX(EK$7:EK$106,$AF76),1),IF($AG76&gt;0,INDEX(EK$7:EK$106,$AG76),1),IF($AH76&gt;0,INDEX(EK$7:EK$106,$AH76),1),IF($AI76&gt;0,INDEX(EK$7:EK$106,$AI76),1),IF($AJ76&gt;0,INDEX(EK$7:EK$106,$AJ76),1))))</ns0:f>
        <ns0:v>1</ns0:v>
      </ns0:c>
      <ns0:c r="EM76" t="n">
        <ns0:f>IF($A76="",1,IF(EL76=1,1,--AND(IF($AC76&gt;0,INDEX(EL$7:EL$106,$AC76),1),IF($AD76&gt;0,INDEX(EL$7:EL$106,$AD76),1),IF($AE76&gt;0,INDEX(EL$7:EL$106,$AE76),1),IF($AF76&gt;0,INDEX(EL$7:EL$106,$AF76),1),IF($AG76&gt;0,INDEX(EL$7:EL$106,$AG76),1),IF($AH76&gt;0,INDEX(EL$7:EL$106,$AH76),1),IF($AI76&gt;0,INDEX(EL$7:EL$106,$AI76),1),IF($AJ76&gt;0,INDEX(EL$7:EL$106,$AJ76),1))))</ns0:f>
        <ns0:v>1</ns0:v>
      </ns0:c>
      <ns0:c r="EN76" t="n">
        <ns0:f>IF($A76="",1,IF(EM76=1,1,--AND(IF($AC76&gt;0,INDEX(EM$7:EM$106,$AC76),1),IF($AD76&gt;0,INDEX(EM$7:EM$106,$AD76),1),IF($AE76&gt;0,INDEX(EM$7:EM$106,$AE76),1),IF($AF76&gt;0,INDEX(EM$7:EM$106,$AF76),1),IF($AG76&gt;0,INDEX(EM$7:EM$106,$AG76),1),IF($AH76&gt;0,INDEX(EM$7:EM$106,$AH76),1),IF($AI76&gt;0,INDEX(EM$7:EM$106,$AI76),1),IF($AJ76&gt;0,INDEX(EM$7:EM$106,$AJ76),1))))</ns0:f>
        <ns0:v>1</ns0:v>
      </ns0:c>
      <ns0:c r="EO76" t="n">
        <ns0:f>IF($A76="",1,IF(EN76=1,1,--AND(IF($AC76&gt;0,INDEX(EN$7:EN$106,$AC76),1),IF($AD76&gt;0,INDEX(EN$7:EN$106,$AD76),1),IF($AE76&gt;0,INDEX(EN$7:EN$106,$AE76),1),IF($AF76&gt;0,INDEX(EN$7:EN$106,$AF76),1),IF($AG76&gt;0,INDEX(EN$7:EN$106,$AG76),1),IF($AH76&gt;0,INDEX(EN$7:EN$106,$AH76),1),IF($AI76&gt;0,INDEX(EN$7:EN$106,$AI76),1),IF($AJ76&gt;0,INDEX(EN$7:EN$106,$AJ76),1))))</ns0:f>
        <ns0:v>1</ns0:v>
      </ns0:c>
      <ns0:c r="EP76" t="n">
        <ns0:f>IF($A76="",1,IF(EO76=1,1,--AND(IF($AC76&gt;0,INDEX(EO$7:EO$106,$AC76),1),IF($AD76&gt;0,INDEX(EO$7:EO$106,$AD76),1),IF($AE76&gt;0,INDEX(EO$7:EO$106,$AE76),1),IF($AF76&gt;0,INDEX(EO$7:EO$106,$AF76),1),IF($AG76&gt;0,INDEX(EO$7:EO$106,$AG76),1),IF($AH76&gt;0,INDEX(EO$7:EO$106,$AH76),1),IF($AI76&gt;0,INDEX(EO$7:EO$106,$AI76),1),IF($AJ76&gt;0,INDEX(EO$7:EO$106,$AJ76),1))))</ns0:f>
        <ns0:v>1</ns0:v>
      </ns0:c>
      <ns0:c r="EQ76" t="n">
        <ns0:f>IF(OR(A76="",NOT(ISNUMBER(G76))),0,G76*N76)</ns0:f>
        <ns0:v>0</ns0:v>
      </ns0:c>
    </ns0:row>
    <ns0:row r="77" ht="62" customHeight="1">
      <ns0:c r="A77" s="48"/>
      <ns0:c r="B77" s="48"/>
      <ns0:c r="C77" s="48"/>
      <ns0:c r="D77" s="48"/>
      <ns0:c r="E77" s="49"/>
      <ns0:c r="F77" s="49"/>
      <ns0:c r="G77" s="13" t="str">
        <ns0:f>IF(A77="","",IF(OR(NOT(ISNUMBER(E77)),NOT(ISNUMBER(F77)),F77&lt;E77),"",IF(J77="Yes",0,F77-E77+1)))</ns0:f>
      </ns0:c>
      <ns0:c r="H77" s="48"/>
      <ns0:c r="I77" s="48"/>
      <ns0:c r="J77" s="48"/>
      <ns0:c r="K77" s="48"/>
      <ns0:c r="L77" s="48"/>
      <ns0:c r="M77" s="50" t="str">
        <ns0:f>IF(A77="","",IF(N77=1,"Completed",IF(N77&gt;0,"In Progress","Not Started")))</ns0:f>
      </ns0:c>
      <ns0:c r="N77" s="51"/>
      <ns0:c r="O77" s="13" t="str">
        <ns0:f>IF(A77="","",IF(R77&lt;&gt;"","[CONFLICT] "&amp;R77,IF(S77&lt;&gt;"","[CONFLICT] "&amp;S77,IF(OR(NOT(ISNUMBER(N77)),N77&lt;0,N77&gt;1),"[CONFLICT] Invalid progress",IF(AK77&gt;0,"[DEPENDENCY ISSUE] Missing ID / &gt;8 links",IF(AM77&gt;0,"[DEPENDENCY ISSUE] Cycle or blocked by cycle",IF(AND(H77&lt;&gt;"",ISNA(MATCH(I77,{"FS","SS","FF","SF"},0))),"[DEPENDENCY ISSUE] Invalid type",IF(AL77&gt;0,"[DEPENDENCY ISSUE] Timing conflict",IF(OR(E77&lt;ProjectStart,F77&gt;ProjectEnd),"[OUTSIDE WINDOW]",IF(AND(N77&lt;1,F77&lt;AsOfDate),"Overdue",IF(AND(M77&lt;&gt;Q77,M77&lt;&gt;""),"[CONFLICT] Status / progress","On track")))))))))))</ns0:f>
      </ns0:c>
      <ns0:c r="P77" s="52"/>
      <ns0:c r="Q77" t="str">
        <ns0:f>IF(A77="","",IF(OR(M77="On Hold",M77="Delayed"),M77,IF(N77=1,"Completed",IF(N77&gt;0,"In Progress","Not Started"))))</ns0:f>
      </ns0:c>
      <ns0:c r="R77" t="str">
        <ns0:f>IF(A77="","",IF(COUNTIFS(Tasks[Task ID],A77)&lt;&gt;1,"Duplicate ID",""))</ns0:f>
      </ns0:c>
      <ns0:c r="S77" t="str">
        <ns0:f>IF(A77="","",IF(OR(NOT(ISNUMBER(E77)),NOT(ISNUMBER(F77))),"Invalid / missing date",IF(OR(E77&lt;&gt;INT(E77),F77&lt;&gt;INT(F77),E77&lt;1,F77&gt;2958465),"Invalid date",IF(F77&lt;E77,"End before start",IF(AND(J77="Yes",E77&lt;&gt;F77),"Milestone needs one date","")))))</ns0:f>
      </ns0:c>
      <ns0:c r="T77" t="n">
        <ns0:f>IF(H77="",0,LEN(H77)-LEN(SUBSTITUTE(H77,",",""))+1)</ns0:f>
        <ns0:v>0</ns0:v>
      </ns0:c>
      <ns0:c r="U77" t="str">
        <ns0:f>TRIM(MID(SUBSTITUTE($H77,",",REPT(" ",100)),1,100))</ns0:f>
      </ns0:c>
      <ns0:c r="V77" t="str">
        <ns0:f>TRIM(MID(SUBSTITUTE($H77,",",REPT(" ",100)),101,100))</ns0:f>
      </ns0:c>
      <ns0:c r="W77" t="str">
        <ns0:f>TRIM(MID(SUBSTITUTE($H77,",",REPT(" ",100)),201,100))</ns0:f>
      </ns0:c>
      <ns0:c r="X77" t="str">
        <ns0:f>TRIM(MID(SUBSTITUTE($H77,",",REPT(" ",100)),301,100))</ns0:f>
      </ns0:c>
      <ns0:c r="Y77" t="str">
        <ns0:f>TRIM(MID(SUBSTITUTE($H77,",",REPT(" ",100)),401,100))</ns0:f>
      </ns0:c>
      <ns0:c r="Z77" t="str">
        <ns0:f>TRIM(MID(SUBSTITUTE($H77,",",REPT(" ",100)),501,100))</ns0:f>
      </ns0:c>
      <ns0:c r="AA77" t="str">
        <ns0:f>TRIM(MID(SUBSTITUTE($H77,",",REPT(" ",100)),601,100))</ns0:f>
      </ns0:c>
      <ns0:c r="AB77" t="str">
        <ns0:f>TRIM(MID(SUBSTITUTE($H77,",",REPT(" ",100)),701,100))</ns0:f>
      </ns0:c>
      <ns0:c r="AC77" t="n">
        <ns0:f>IF(U77="",0,IF(COUNTIFS(Tasks[Task ID],U77)=1,MATCH(U77,Tasks[Task ID],0),-1))</ns0:f>
        <ns0:v>0</ns0:v>
      </ns0:c>
      <ns0:c r="AD77" t="n">
        <ns0:f>IF(V77="",0,IF(COUNTIFS(Tasks[Task ID],V77)=1,MATCH(V77,Tasks[Task ID],0),-1))</ns0:f>
        <ns0:v>0</ns0:v>
      </ns0:c>
      <ns0:c r="AE77" t="n">
        <ns0:f>IF(W77="",0,IF(COUNTIFS(Tasks[Task ID],W77)=1,MATCH(W77,Tasks[Task ID],0),-1))</ns0:f>
        <ns0:v>0</ns0:v>
      </ns0:c>
      <ns0:c r="AF77" t="n">
        <ns0:f>IF(X77="",0,IF(COUNTIFS(Tasks[Task ID],X77)=1,MATCH(X77,Tasks[Task ID],0),-1))</ns0:f>
        <ns0:v>0</ns0:v>
      </ns0:c>
      <ns0:c r="AG77" t="n">
        <ns0:f>IF(Y77="",0,IF(COUNTIFS(Tasks[Task ID],Y77)=1,MATCH(Y77,Tasks[Task ID],0),-1))</ns0:f>
        <ns0:v>0</ns0:v>
      </ns0:c>
      <ns0:c r="AH77" t="n">
        <ns0:f>IF(Z77="",0,IF(COUNTIFS(Tasks[Task ID],Z77)=1,MATCH(Z77,Tasks[Task ID],0),-1))</ns0:f>
        <ns0:v>0</ns0:v>
      </ns0:c>
      <ns0:c r="AI77" t="n">
        <ns0:f>IF(AA77="",0,IF(COUNTIFS(Tasks[Task ID],AA77)=1,MATCH(AA77,Tasks[Task ID],0),-1))</ns0:f>
        <ns0:v>0</ns0:v>
      </ns0:c>
      <ns0:c r="AJ77" t="n">
        <ns0:f>IF(AB77="",0,IF(COUNTIFS(Tasks[Task ID],AB77)=1,MATCH(AB77,Tasks[Task ID],0),-1))</ns0:f>
        <ns0:v>0</ns0:v>
      </ns0:c>
      <ns0:c r="AK77" t="n">
        <ns0:f>COUNTIFS(AC77:AJ77,-1)+IF(T77&gt;8,1,0)</ns0:f>
        <ns0:v>0</ns0:v>
      </ns0:c>
      <ns0:c r="AL77" t="n">
        <ns0:f>IF(OR(A77="",S77&lt;&gt;""),0,SUM(IF(AC77&gt;0,IF($I77="FS",--($E77&lt;INDEX(Tasks[End Date],AC77)+IF(INDEX(Tasks[Milestone],AC77)="Yes",0,1)),IF($I77="SS",--($E77&lt;INDEX(Tasks[Start Date],AC77)),IF($I77="FF",--($F77&lt;INDEX(Tasks[End Date],AC77)),IF($I77="SF",--($F77&lt;INDEX(Tasks[Start Date],AC77)),0)))),0),IF(AD77&gt;0,IF($I77="FS",--($E77&lt;INDEX(Tasks[End Date],AD77)+IF(INDEX(Tasks[Milestone],AD77)="Yes",0,1)),IF($I77="SS",--($E77&lt;INDEX(Tasks[Start Date],AD77)),IF($I77="FF",--($F77&lt;INDEX(Tasks[End Date],AD77)),IF($I77="SF",--($F77&lt;INDEX(Tasks[Start Date],AD77)),0)))),0),IF(AE77&gt;0,IF($I77="FS",--($E77&lt;INDEX(Tasks[End Date],AE77)+IF(INDEX(Tasks[Milestone],AE77)="Yes",0,1)),IF($I77="SS",--($E77&lt;INDEX(Tasks[Start Date],AE77)),IF($I77="FF",--($F77&lt;INDEX(Tasks[End Date],AE77)),IF($I77="SF",--($F77&lt;INDEX(Tasks[Start Date],AE77)),0)))),0),IF(AF77&gt;0,IF($I77="FS",--($E77&lt;INDEX(Tasks[End Date],AF77)+IF(INDEX(Tasks[Milestone],AF77)="Yes",0,1)),IF($I77="SS",--($E77&lt;INDEX(Tasks[Start Date],AF77)),IF($I77="FF",--($F77&lt;INDEX(Tasks[End Date],AF77)),IF($I77="SF",--($F77&lt;INDEX(Tasks[Start Date],AF77)),0)))),0),IF(AG77&gt;0,IF($I77="FS",--($E77&lt;INDEX(Tasks[End Date],AG77)+IF(INDEX(Tasks[Milestone],AG77)="Yes",0,1)),IF($I77="SS",--($E77&lt;INDEX(Tasks[Start Date],AG77)),IF($I77="FF",--($F77&lt;INDEX(Tasks[End Date],AG77)),IF($I77="SF",--($F77&lt;INDEX(Tasks[Start Date],AG77)),0)))),0),IF(AH77&gt;0,IF($I77="FS",--($E77&lt;INDEX(Tasks[End Date],AH77)+IF(INDEX(Tasks[Milestone],AH77)="Yes",0,1)),IF($I77="SS",--($E77&lt;INDEX(Tasks[Start Date],AH77)),IF($I77="FF",--($F77&lt;INDEX(Tasks[End Date],AH77)),IF($I77="SF",--($F77&lt;INDEX(Tasks[Start Date],AH77)),0)))),0),IF(AI77&gt;0,IF($I77="FS",--($E77&lt;INDEX(Tasks[End Date],AI77)+IF(INDEX(Tasks[Milestone],AI77)="Yes",0,1)),IF($I77="SS",--($E77&lt;INDEX(Tasks[Start Date],AI77)),IF($I77="FF",--($F77&lt;INDEX(Tasks[End Date],AI77)),IF($I77="SF",--($F77&lt;INDEX(Tasks[Start Date],AI77)),0)))),0),IF(AJ77&gt;0,IF($I77="FS",--($E77&lt;INDEX(Tasks[End Date],AJ77)+IF(INDEX(Tasks[Milestone],AJ77)="Yes",0,1)),IF($I77="SS",--($E77&lt;INDEX(Tasks[Start Date],AJ77)),IF($I77="FF",--($F77&lt;INDEX(Tasks[End Date],AJ77)),IF($I77="SF",--($F77&lt;INDEX(Tasks[Start Date],AJ77)),0)))),0)))</ns0:f>
        <ns0:v>0</ns0:v>
      </ns0:c>
      <ns0:c r="AM77" t="n">
        <ns0:f>IF(AND(A77&lt;&gt;"",AK77=0,EP77=0),1,0)</ns0:f>
        <ns0:v>0</ns0:v>
      </ns0:c>
      <ns0:c r="AN77" t="str">
        <ns0:f>IF(OR(A77="",B77=""),"",IF(COUNTIFS($B$7:B77,B77)=1,MAX($AN$6:AN76)+1,""))</ns0:f>
      </ns0:c>
      <ns0:c r="AO77" t="n">
        <ns0:f>IF(AND(A77&lt;&gt;"",J77="No",N77&lt;1,E77&gt;=AsOfDate),E77+ROW()/10000,1E+9)</ns0:f>
        <ns0:v>1000000000</ns0:v>
      </ns0:c>
      <ns0:c r="AP77" t="n">
        <ns0:f>IF(AND(A77&lt;&gt;"",J77="Yes",N77&lt;1,E77&gt;=AsOfDate),E77+ROW()/10000,1E+9)</ns0:f>
        <ns0:v>1000000000</ns0:v>
      </ns0:c>
      <ns0:c r="AQ77" t="n">
        <ns0:f>IF(AND(A77&lt;&gt;"",J77="No",N77&lt;1,F77&gt;=AsOfDate,F77&lt;=AsOfDate+7),F77+ROW()/10000,1E+9)</ns0:f>
        <ns0:v>1000000000</ns0:v>
      </ns0:c>
      <ns0:c r="AR77" t="n">
        <ns0:f>IF(AND(A77&lt;&gt;"",OR(O77&lt;&gt;"On track",Q77="Delayed")),ROW(),1E+9)</ns0:f>
        <ns0:v>1000000000</ns0:v>
      </ns0:c>
      <ns0:c r="AS77" t="str">
        <ns0:f>IF(A77="","",";"&amp;K77&amp;";")</ns0:f>
      </ns0:c>
      <ns0:c r="AT77" t="n">
        <ns0:f>IF(A77="",1,--(T77=0))</ns0:f>
        <ns0:v>1</ns0:v>
      </ns0:c>
      <ns0:c r="AU77" t="n">
        <ns0:f>IF($A77="",1,IF(AT77=1,1,--AND(IF($AC77&gt;0,INDEX(AT$7:AT$106,$AC77),1),IF($AD77&gt;0,INDEX(AT$7:AT$106,$AD77),1),IF($AE77&gt;0,INDEX(AT$7:AT$106,$AE77),1),IF($AF77&gt;0,INDEX(AT$7:AT$106,$AF77),1),IF($AG77&gt;0,INDEX(AT$7:AT$106,$AG77),1),IF($AH77&gt;0,INDEX(AT$7:AT$106,$AH77),1),IF($AI77&gt;0,INDEX(AT$7:AT$106,$AI77),1),IF($AJ77&gt;0,INDEX(AT$7:AT$106,$AJ77),1))))</ns0:f>
        <ns0:v>1</ns0:v>
      </ns0:c>
      <ns0:c r="AV77" t="n">
        <ns0:f>IF($A77="",1,IF(AU77=1,1,--AND(IF($AC77&gt;0,INDEX(AU$7:AU$106,$AC77),1),IF($AD77&gt;0,INDEX(AU$7:AU$106,$AD77),1),IF($AE77&gt;0,INDEX(AU$7:AU$106,$AE77),1),IF($AF77&gt;0,INDEX(AU$7:AU$106,$AF77),1),IF($AG77&gt;0,INDEX(AU$7:AU$106,$AG77),1),IF($AH77&gt;0,INDEX(AU$7:AU$106,$AH77),1),IF($AI77&gt;0,INDEX(AU$7:AU$106,$AI77),1),IF($AJ77&gt;0,INDEX(AU$7:AU$106,$AJ77),1))))</ns0:f>
        <ns0:v>1</ns0:v>
      </ns0:c>
      <ns0:c r="AW77" t="n">
        <ns0:f>IF($A77="",1,IF(AV77=1,1,--AND(IF($AC77&gt;0,INDEX(AV$7:AV$106,$AC77),1),IF($AD77&gt;0,INDEX(AV$7:AV$106,$AD77),1),IF($AE77&gt;0,INDEX(AV$7:AV$106,$AE77),1),IF($AF77&gt;0,INDEX(AV$7:AV$106,$AF77),1),IF($AG77&gt;0,INDEX(AV$7:AV$106,$AG77),1),IF($AH77&gt;0,INDEX(AV$7:AV$106,$AH77),1),IF($AI77&gt;0,INDEX(AV$7:AV$106,$AI77),1),IF($AJ77&gt;0,INDEX(AV$7:AV$106,$AJ77),1))))</ns0:f>
        <ns0:v>1</ns0:v>
      </ns0:c>
      <ns0:c r="AX77" t="n">
        <ns0:f>IF($A77="",1,IF(AW77=1,1,--AND(IF($AC77&gt;0,INDEX(AW$7:AW$106,$AC77),1),IF($AD77&gt;0,INDEX(AW$7:AW$106,$AD77),1),IF($AE77&gt;0,INDEX(AW$7:AW$106,$AE77),1),IF($AF77&gt;0,INDEX(AW$7:AW$106,$AF77),1),IF($AG77&gt;0,INDEX(AW$7:AW$106,$AG77),1),IF($AH77&gt;0,INDEX(AW$7:AW$106,$AH77),1),IF($AI77&gt;0,INDEX(AW$7:AW$106,$AI77),1),IF($AJ77&gt;0,INDEX(AW$7:AW$106,$AJ77),1))))</ns0:f>
        <ns0:v>1</ns0:v>
      </ns0:c>
      <ns0:c r="AY77" t="n">
        <ns0:f>IF($A77="",1,IF(AX77=1,1,--AND(IF($AC77&gt;0,INDEX(AX$7:AX$106,$AC77),1),IF($AD77&gt;0,INDEX(AX$7:AX$106,$AD77),1),IF($AE77&gt;0,INDEX(AX$7:AX$106,$AE77),1),IF($AF77&gt;0,INDEX(AX$7:AX$106,$AF77),1),IF($AG77&gt;0,INDEX(AX$7:AX$106,$AG77),1),IF($AH77&gt;0,INDEX(AX$7:AX$106,$AH77),1),IF($AI77&gt;0,INDEX(AX$7:AX$106,$AI77),1),IF($AJ77&gt;0,INDEX(AX$7:AX$106,$AJ77),1))))</ns0:f>
        <ns0:v>1</ns0:v>
      </ns0:c>
      <ns0:c r="AZ77" t="n">
        <ns0:f>IF($A77="",1,IF(AY77=1,1,--AND(IF($AC77&gt;0,INDEX(AY$7:AY$106,$AC77),1),IF($AD77&gt;0,INDEX(AY$7:AY$106,$AD77),1),IF($AE77&gt;0,INDEX(AY$7:AY$106,$AE77),1),IF($AF77&gt;0,INDEX(AY$7:AY$106,$AF77),1),IF($AG77&gt;0,INDEX(AY$7:AY$106,$AG77),1),IF($AH77&gt;0,INDEX(AY$7:AY$106,$AH77),1),IF($AI77&gt;0,INDEX(AY$7:AY$106,$AI77),1),IF($AJ77&gt;0,INDEX(AY$7:AY$106,$AJ77),1))))</ns0:f>
        <ns0:v>1</ns0:v>
      </ns0:c>
      <ns0:c r="BA77" t="n">
        <ns0:f>IF($A77="",1,IF(AZ77=1,1,--AND(IF($AC77&gt;0,INDEX(AZ$7:AZ$106,$AC77),1),IF($AD77&gt;0,INDEX(AZ$7:AZ$106,$AD77),1),IF($AE77&gt;0,INDEX(AZ$7:AZ$106,$AE77),1),IF($AF77&gt;0,INDEX(AZ$7:AZ$106,$AF77),1),IF($AG77&gt;0,INDEX(AZ$7:AZ$106,$AG77),1),IF($AH77&gt;0,INDEX(AZ$7:AZ$106,$AH77),1),IF($AI77&gt;0,INDEX(AZ$7:AZ$106,$AI77),1),IF($AJ77&gt;0,INDEX(AZ$7:AZ$106,$AJ77),1))))</ns0:f>
        <ns0:v>1</ns0:v>
      </ns0:c>
      <ns0:c r="BB77" t="n">
        <ns0:f>IF($A77="",1,IF(BA77=1,1,--AND(IF($AC77&gt;0,INDEX(BA$7:BA$106,$AC77),1),IF($AD77&gt;0,INDEX(BA$7:BA$106,$AD77),1),IF($AE77&gt;0,INDEX(BA$7:BA$106,$AE77),1),IF($AF77&gt;0,INDEX(BA$7:BA$106,$AF77),1),IF($AG77&gt;0,INDEX(BA$7:BA$106,$AG77),1),IF($AH77&gt;0,INDEX(BA$7:BA$106,$AH77),1),IF($AI77&gt;0,INDEX(BA$7:BA$106,$AI77),1),IF($AJ77&gt;0,INDEX(BA$7:BA$106,$AJ77),1))))</ns0:f>
        <ns0:v>1</ns0:v>
      </ns0:c>
      <ns0:c r="BC77" t="n">
        <ns0:f>IF($A77="",1,IF(BB77=1,1,--AND(IF($AC77&gt;0,INDEX(BB$7:BB$106,$AC77),1),IF($AD77&gt;0,INDEX(BB$7:BB$106,$AD77),1),IF($AE77&gt;0,INDEX(BB$7:BB$106,$AE77),1),IF($AF77&gt;0,INDEX(BB$7:BB$106,$AF77),1),IF($AG77&gt;0,INDEX(BB$7:BB$106,$AG77),1),IF($AH77&gt;0,INDEX(BB$7:BB$106,$AH77),1),IF($AI77&gt;0,INDEX(BB$7:BB$106,$AI77),1),IF($AJ77&gt;0,INDEX(BB$7:BB$106,$AJ77),1))))</ns0:f>
        <ns0:v>1</ns0:v>
      </ns0:c>
      <ns0:c r="BD77" t="n">
        <ns0:f>IF($A77="",1,IF(BC77=1,1,--AND(IF($AC77&gt;0,INDEX(BC$7:BC$106,$AC77),1),IF($AD77&gt;0,INDEX(BC$7:BC$106,$AD77),1),IF($AE77&gt;0,INDEX(BC$7:BC$106,$AE77),1),IF($AF77&gt;0,INDEX(BC$7:BC$106,$AF77),1),IF($AG77&gt;0,INDEX(BC$7:BC$106,$AG77),1),IF($AH77&gt;0,INDEX(BC$7:BC$106,$AH77),1),IF($AI77&gt;0,INDEX(BC$7:BC$106,$AI77),1),IF($AJ77&gt;0,INDEX(BC$7:BC$106,$AJ77),1))))</ns0:f>
        <ns0:v>1</ns0:v>
      </ns0:c>
      <ns0:c r="BE77" t="n">
        <ns0:f>IF($A77="",1,IF(BD77=1,1,--AND(IF($AC77&gt;0,INDEX(BD$7:BD$106,$AC77),1),IF($AD77&gt;0,INDEX(BD$7:BD$106,$AD77),1),IF($AE77&gt;0,INDEX(BD$7:BD$106,$AE77),1),IF($AF77&gt;0,INDEX(BD$7:BD$106,$AF77),1),IF($AG77&gt;0,INDEX(BD$7:BD$106,$AG77),1),IF($AH77&gt;0,INDEX(BD$7:BD$106,$AH77),1),IF($AI77&gt;0,INDEX(BD$7:BD$106,$AI77),1),IF($AJ77&gt;0,INDEX(BD$7:BD$106,$AJ77),1))))</ns0:f>
        <ns0:v>1</ns0:v>
      </ns0:c>
      <ns0:c r="BF77" t="n">
        <ns0:f>IF($A77="",1,IF(BE77=1,1,--AND(IF($AC77&gt;0,INDEX(BE$7:BE$106,$AC77),1),IF($AD77&gt;0,INDEX(BE$7:BE$106,$AD77),1),IF($AE77&gt;0,INDEX(BE$7:BE$106,$AE77),1),IF($AF77&gt;0,INDEX(BE$7:BE$106,$AF77),1),IF($AG77&gt;0,INDEX(BE$7:BE$106,$AG77),1),IF($AH77&gt;0,INDEX(BE$7:BE$106,$AH77),1),IF($AI77&gt;0,INDEX(BE$7:BE$106,$AI77),1),IF($AJ77&gt;0,INDEX(BE$7:BE$106,$AJ77),1))))</ns0:f>
        <ns0:v>1</ns0:v>
      </ns0:c>
      <ns0:c r="BG77" t="n">
        <ns0:f>IF($A77="",1,IF(BF77=1,1,--AND(IF($AC77&gt;0,INDEX(BF$7:BF$106,$AC77),1),IF($AD77&gt;0,INDEX(BF$7:BF$106,$AD77),1),IF($AE77&gt;0,INDEX(BF$7:BF$106,$AE77),1),IF($AF77&gt;0,INDEX(BF$7:BF$106,$AF77),1),IF($AG77&gt;0,INDEX(BF$7:BF$106,$AG77),1),IF($AH77&gt;0,INDEX(BF$7:BF$106,$AH77),1),IF($AI77&gt;0,INDEX(BF$7:BF$106,$AI77),1),IF($AJ77&gt;0,INDEX(BF$7:BF$106,$AJ77),1))))</ns0:f>
        <ns0:v>1</ns0:v>
      </ns0:c>
      <ns0:c r="BH77" t="n">
        <ns0:f>IF($A77="",1,IF(BG77=1,1,--AND(IF($AC77&gt;0,INDEX(BG$7:BG$106,$AC77),1),IF($AD77&gt;0,INDEX(BG$7:BG$106,$AD77),1),IF($AE77&gt;0,INDEX(BG$7:BG$106,$AE77),1),IF($AF77&gt;0,INDEX(BG$7:BG$106,$AF77),1),IF($AG77&gt;0,INDEX(BG$7:BG$106,$AG77),1),IF($AH77&gt;0,INDEX(BG$7:BG$106,$AH77),1),IF($AI77&gt;0,INDEX(BG$7:BG$106,$AI77),1),IF($AJ77&gt;0,INDEX(BG$7:BG$106,$AJ77),1))))</ns0:f>
        <ns0:v>1</ns0:v>
      </ns0:c>
      <ns0:c r="BI77" t="n">
        <ns0:f>IF($A77="",1,IF(BH77=1,1,--AND(IF($AC77&gt;0,INDEX(BH$7:BH$106,$AC77),1),IF($AD77&gt;0,INDEX(BH$7:BH$106,$AD77),1),IF($AE77&gt;0,INDEX(BH$7:BH$106,$AE77),1),IF($AF77&gt;0,INDEX(BH$7:BH$106,$AF77),1),IF($AG77&gt;0,INDEX(BH$7:BH$106,$AG77),1),IF($AH77&gt;0,INDEX(BH$7:BH$106,$AH77),1),IF($AI77&gt;0,INDEX(BH$7:BH$106,$AI77),1),IF($AJ77&gt;0,INDEX(BH$7:BH$106,$AJ77),1))))</ns0:f>
        <ns0:v>1</ns0:v>
      </ns0:c>
      <ns0:c r="BJ77" t="n">
        <ns0:f>IF($A77="",1,IF(BI77=1,1,--AND(IF($AC77&gt;0,INDEX(BI$7:BI$106,$AC77),1),IF($AD77&gt;0,INDEX(BI$7:BI$106,$AD77),1),IF($AE77&gt;0,INDEX(BI$7:BI$106,$AE77),1),IF($AF77&gt;0,INDEX(BI$7:BI$106,$AF77),1),IF($AG77&gt;0,INDEX(BI$7:BI$106,$AG77),1),IF($AH77&gt;0,INDEX(BI$7:BI$106,$AH77),1),IF($AI77&gt;0,INDEX(BI$7:BI$106,$AI77),1),IF($AJ77&gt;0,INDEX(BI$7:BI$106,$AJ77),1))))</ns0:f>
        <ns0:v>1</ns0:v>
      </ns0:c>
      <ns0:c r="BK77" t="n">
        <ns0:f>IF($A77="",1,IF(BJ77=1,1,--AND(IF($AC77&gt;0,INDEX(BJ$7:BJ$106,$AC77),1),IF($AD77&gt;0,INDEX(BJ$7:BJ$106,$AD77),1),IF($AE77&gt;0,INDEX(BJ$7:BJ$106,$AE77),1),IF($AF77&gt;0,INDEX(BJ$7:BJ$106,$AF77),1),IF($AG77&gt;0,INDEX(BJ$7:BJ$106,$AG77),1),IF($AH77&gt;0,INDEX(BJ$7:BJ$106,$AH77),1),IF($AI77&gt;0,INDEX(BJ$7:BJ$106,$AI77),1),IF($AJ77&gt;0,INDEX(BJ$7:BJ$106,$AJ77),1))))</ns0:f>
        <ns0:v>1</ns0:v>
      </ns0:c>
      <ns0:c r="BL77" t="n">
        <ns0:f>IF($A77="",1,IF(BK77=1,1,--AND(IF($AC77&gt;0,INDEX(BK$7:BK$106,$AC77),1),IF($AD77&gt;0,INDEX(BK$7:BK$106,$AD77),1),IF($AE77&gt;0,INDEX(BK$7:BK$106,$AE77),1),IF($AF77&gt;0,INDEX(BK$7:BK$106,$AF77),1),IF($AG77&gt;0,INDEX(BK$7:BK$106,$AG77),1),IF($AH77&gt;0,INDEX(BK$7:BK$106,$AH77),1),IF($AI77&gt;0,INDEX(BK$7:BK$106,$AI77),1),IF($AJ77&gt;0,INDEX(BK$7:BK$106,$AJ77),1))))</ns0:f>
        <ns0:v>1</ns0:v>
      </ns0:c>
      <ns0:c r="BM77" t="n">
        <ns0:f>IF($A77="",1,IF(BL77=1,1,--AND(IF($AC77&gt;0,INDEX(BL$7:BL$106,$AC77),1),IF($AD77&gt;0,INDEX(BL$7:BL$106,$AD77),1),IF($AE77&gt;0,INDEX(BL$7:BL$106,$AE77),1),IF($AF77&gt;0,INDEX(BL$7:BL$106,$AF77),1),IF($AG77&gt;0,INDEX(BL$7:BL$106,$AG77),1),IF($AH77&gt;0,INDEX(BL$7:BL$106,$AH77),1),IF($AI77&gt;0,INDEX(BL$7:BL$106,$AI77),1),IF($AJ77&gt;0,INDEX(BL$7:BL$106,$AJ77),1))))</ns0:f>
        <ns0:v>1</ns0:v>
      </ns0:c>
      <ns0:c r="BN77" t="n">
        <ns0:f>IF($A77="",1,IF(BM77=1,1,--AND(IF($AC77&gt;0,INDEX(BM$7:BM$106,$AC77),1),IF($AD77&gt;0,INDEX(BM$7:BM$106,$AD77),1),IF($AE77&gt;0,INDEX(BM$7:BM$106,$AE77),1),IF($AF77&gt;0,INDEX(BM$7:BM$106,$AF77),1),IF($AG77&gt;0,INDEX(BM$7:BM$106,$AG77),1),IF($AH77&gt;0,INDEX(BM$7:BM$106,$AH77),1),IF($AI77&gt;0,INDEX(BM$7:BM$106,$AI77),1),IF($AJ77&gt;0,INDEX(BM$7:BM$106,$AJ77),1))))</ns0:f>
        <ns0:v>1</ns0:v>
      </ns0:c>
      <ns0:c r="BO77" t="n">
        <ns0:f>IF($A77="",1,IF(BN77=1,1,--AND(IF($AC77&gt;0,INDEX(BN$7:BN$106,$AC77),1),IF($AD77&gt;0,INDEX(BN$7:BN$106,$AD77),1),IF($AE77&gt;0,INDEX(BN$7:BN$106,$AE77),1),IF($AF77&gt;0,INDEX(BN$7:BN$106,$AF77),1),IF($AG77&gt;0,INDEX(BN$7:BN$106,$AG77),1),IF($AH77&gt;0,INDEX(BN$7:BN$106,$AH77),1),IF($AI77&gt;0,INDEX(BN$7:BN$106,$AI77),1),IF($AJ77&gt;0,INDEX(BN$7:BN$106,$AJ77),1))))</ns0:f>
        <ns0:v>1</ns0:v>
      </ns0:c>
      <ns0:c r="BP77" t="n">
        <ns0:f>IF($A77="",1,IF(BO77=1,1,--AND(IF($AC77&gt;0,INDEX(BO$7:BO$106,$AC77),1),IF($AD77&gt;0,INDEX(BO$7:BO$106,$AD77),1),IF($AE77&gt;0,INDEX(BO$7:BO$106,$AE77),1),IF($AF77&gt;0,INDEX(BO$7:BO$106,$AF77),1),IF($AG77&gt;0,INDEX(BO$7:BO$106,$AG77),1),IF($AH77&gt;0,INDEX(BO$7:BO$106,$AH77),1),IF($AI77&gt;0,INDEX(BO$7:BO$106,$AI77),1),IF($AJ77&gt;0,INDEX(BO$7:BO$106,$AJ77),1))))</ns0:f>
        <ns0:v>1</ns0:v>
      </ns0:c>
      <ns0:c r="BQ77" t="n">
        <ns0:f>IF($A77="",1,IF(BP77=1,1,--AND(IF($AC77&gt;0,INDEX(BP$7:BP$106,$AC77),1),IF($AD77&gt;0,INDEX(BP$7:BP$106,$AD77),1),IF($AE77&gt;0,INDEX(BP$7:BP$106,$AE77),1),IF($AF77&gt;0,INDEX(BP$7:BP$106,$AF77),1),IF($AG77&gt;0,INDEX(BP$7:BP$106,$AG77),1),IF($AH77&gt;0,INDEX(BP$7:BP$106,$AH77),1),IF($AI77&gt;0,INDEX(BP$7:BP$106,$AI77),1),IF($AJ77&gt;0,INDEX(BP$7:BP$106,$AJ77),1))))</ns0:f>
        <ns0:v>1</ns0:v>
      </ns0:c>
      <ns0:c r="BR77" t="n">
        <ns0:f>IF($A77="",1,IF(BQ77=1,1,--AND(IF($AC77&gt;0,INDEX(BQ$7:BQ$106,$AC77),1),IF($AD77&gt;0,INDEX(BQ$7:BQ$106,$AD77),1),IF($AE77&gt;0,INDEX(BQ$7:BQ$106,$AE77),1),IF($AF77&gt;0,INDEX(BQ$7:BQ$106,$AF77),1),IF($AG77&gt;0,INDEX(BQ$7:BQ$106,$AG77),1),IF($AH77&gt;0,INDEX(BQ$7:BQ$106,$AH77),1),IF($AI77&gt;0,INDEX(BQ$7:BQ$106,$AI77),1),IF($AJ77&gt;0,INDEX(BQ$7:BQ$106,$AJ77),1))))</ns0:f>
        <ns0:v>1</ns0:v>
      </ns0:c>
      <ns0:c r="BS77" t="n">
        <ns0:f>IF($A77="",1,IF(BR77=1,1,--AND(IF($AC77&gt;0,INDEX(BR$7:BR$106,$AC77),1),IF($AD77&gt;0,INDEX(BR$7:BR$106,$AD77),1),IF($AE77&gt;0,INDEX(BR$7:BR$106,$AE77),1),IF($AF77&gt;0,INDEX(BR$7:BR$106,$AF77),1),IF($AG77&gt;0,INDEX(BR$7:BR$106,$AG77),1),IF($AH77&gt;0,INDEX(BR$7:BR$106,$AH77),1),IF($AI77&gt;0,INDEX(BR$7:BR$106,$AI77),1),IF($AJ77&gt;0,INDEX(BR$7:BR$106,$AJ77),1))))</ns0:f>
        <ns0:v>1</ns0:v>
      </ns0:c>
      <ns0:c r="BT77" t="n">
        <ns0:f>IF($A77="",1,IF(BS77=1,1,--AND(IF($AC77&gt;0,INDEX(BS$7:BS$106,$AC77),1),IF($AD77&gt;0,INDEX(BS$7:BS$106,$AD77),1),IF($AE77&gt;0,INDEX(BS$7:BS$106,$AE77),1),IF($AF77&gt;0,INDEX(BS$7:BS$106,$AF77),1),IF($AG77&gt;0,INDEX(BS$7:BS$106,$AG77),1),IF($AH77&gt;0,INDEX(BS$7:BS$106,$AH77),1),IF($AI77&gt;0,INDEX(BS$7:BS$106,$AI77),1),IF($AJ77&gt;0,INDEX(BS$7:BS$106,$AJ77),1))))</ns0:f>
        <ns0:v>1</ns0:v>
      </ns0:c>
      <ns0:c r="BU77" t="n">
        <ns0:f>IF($A77="",1,IF(BT77=1,1,--AND(IF($AC77&gt;0,INDEX(BT$7:BT$106,$AC77),1),IF($AD77&gt;0,INDEX(BT$7:BT$106,$AD77),1),IF($AE77&gt;0,INDEX(BT$7:BT$106,$AE77),1),IF($AF77&gt;0,INDEX(BT$7:BT$106,$AF77),1),IF($AG77&gt;0,INDEX(BT$7:BT$106,$AG77),1),IF($AH77&gt;0,INDEX(BT$7:BT$106,$AH77),1),IF($AI77&gt;0,INDEX(BT$7:BT$106,$AI77),1),IF($AJ77&gt;0,INDEX(BT$7:BT$106,$AJ77),1))))</ns0:f>
        <ns0:v>1</ns0:v>
      </ns0:c>
      <ns0:c r="BV77" t="n">
        <ns0:f>IF($A77="",1,IF(BU77=1,1,--AND(IF($AC77&gt;0,INDEX(BU$7:BU$106,$AC77),1),IF($AD77&gt;0,INDEX(BU$7:BU$106,$AD77),1),IF($AE77&gt;0,INDEX(BU$7:BU$106,$AE77),1),IF($AF77&gt;0,INDEX(BU$7:BU$106,$AF77),1),IF($AG77&gt;0,INDEX(BU$7:BU$106,$AG77),1),IF($AH77&gt;0,INDEX(BU$7:BU$106,$AH77),1),IF($AI77&gt;0,INDEX(BU$7:BU$106,$AI77),1),IF($AJ77&gt;0,INDEX(BU$7:BU$106,$AJ77),1))))</ns0:f>
        <ns0:v>1</ns0:v>
      </ns0:c>
      <ns0:c r="BW77" t="n">
        <ns0:f>IF($A77="",1,IF(BV77=1,1,--AND(IF($AC77&gt;0,INDEX(BV$7:BV$106,$AC77),1),IF($AD77&gt;0,INDEX(BV$7:BV$106,$AD77),1),IF($AE77&gt;0,INDEX(BV$7:BV$106,$AE77),1),IF($AF77&gt;0,INDEX(BV$7:BV$106,$AF77),1),IF($AG77&gt;0,INDEX(BV$7:BV$106,$AG77),1),IF($AH77&gt;0,INDEX(BV$7:BV$106,$AH77),1),IF($AI77&gt;0,INDEX(BV$7:BV$106,$AI77),1),IF($AJ77&gt;0,INDEX(BV$7:BV$106,$AJ77),1))))</ns0:f>
        <ns0:v>1</ns0:v>
      </ns0:c>
      <ns0:c r="BX77" t="n">
        <ns0:f>IF($A77="",1,IF(BW77=1,1,--AND(IF($AC77&gt;0,INDEX(BW$7:BW$106,$AC77),1),IF($AD77&gt;0,INDEX(BW$7:BW$106,$AD77),1),IF($AE77&gt;0,INDEX(BW$7:BW$106,$AE77),1),IF($AF77&gt;0,INDEX(BW$7:BW$106,$AF77),1),IF($AG77&gt;0,INDEX(BW$7:BW$106,$AG77),1),IF($AH77&gt;0,INDEX(BW$7:BW$106,$AH77),1),IF($AI77&gt;0,INDEX(BW$7:BW$106,$AI77),1),IF($AJ77&gt;0,INDEX(BW$7:BW$106,$AJ77),1))))</ns0:f>
        <ns0:v>1</ns0:v>
      </ns0:c>
      <ns0:c r="BY77" t="n">
        <ns0:f>IF($A77="",1,IF(BX77=1,1,--AND(IF($AC77&gt;0,INDEX(BX$7:BX$106,$AC77),1),IF($AD77&gt;0,INDEX(BX$7:BX$106,$AD77),1),IF($AE77&gt;0,INDEX(BX$7:BX$106,$AE77),1),IF($AF77&gt;0,INDEX(BX$7:BX$106,$AF77),1),IF($AG77&gt;0,INDEX(BX$7:BX$106,$AG77),1),IF($AH77&gt;0,INDEX(BX$7:BX$106,$AH77),1),IF($AI77&gt;0,INDEX(BX$7:BX$106,$AI77),1),IF($AJ77&gt;0,INDEX(BX$7:BX$106,$AJ77),1))))</ns0:f>
        <ns0:v>1</ns0:v>
      </ns0:c>
      <ns0:c r="BZ77" t="n">
        <ns0:f>IF($A77="",1,IF(BY77=1,1,--AND(IF($AC77&gt;0,INDEX(BY$7:BY$106,$AC77),1),IF($AD77&gt;0,INDEX(BY$7:BY$106,$AD77),1),IF($AE77&gt;0,INDEX(BY$7:BY$106,$AE77),1),IF($AF77&gt;0,INDEX(BY$7:BY$106,$AF77),1),IF($AG77&gt;0,INDEX(BY$7:BY$106,$AG77),1),IF($AH77&gt;0,INDEX(BY$7:BY$106,$AH77),1),IF($AI77&gt;0,INDEX(BY$7:BY$106,$AI77),1),IF($AJ77&gt;0,INDEX(BY$7:BY$106,$AJ77),1))))</ns0:f>
        <ns0:v>1</ns0:v>
      </ns0:c>
      <ns0:c r="CA77" t="n">
        <ns0:f>IF($A77="",1,IF(BZ77=1,1,--AND(IF($AC77&gt;0,INDEX(BZ$7:BZ$106,$AC77),1),IF($AD77&gt;0,INDEX(BZ$7:BZ$106,$AD77),1),IF($AE77&gt;0,INDEX(BZ$7:BZ$106,$AE77),1),IF($AF77&gt;0,INDEX(BZ$7:BZ$106,$AF77),1),IF($AG77&gt;0,INDEX(BZ$7:BZ$106,$AG77),1),IF($AH77&gt;0,INDEX(BZ$7:BZ$106,$AH77),1),IF($AI77&gt;0,INDEX(BZ$7:BZ$106,$AI77),1),IF($AJ77&gt;0,INDEX(BZ$7:BZ$106,$AJ77),1))))</ns0:f>
        <ns0:v>1</ns0:v>
      </ns0:c>
      <ns0:c r="CB77" t="n">
        <ns0:f>IF($A77="",1,IF(CA77=1,1,--AND(IF($AC77&gt;0,INDEX(CA$7:CA$106,$AC77),1),IF($AD77&gt;0,INDEX(CA$7:CA$106,$AD77),1),IF($AE77&gt;0,INDEX(CA$7:CA$106,$AE77),1),IF($AF77&gt;0,INDEX(CA$7:CA$106,$AF77),1),IF($AG77&gt;0,INDEX(CA$7:CA$106,$AG77),1),IF($AH77&gt;0,INDEX(CA$7:CA$106,$AH77),1),IF($AI77&gt;0,INDEX(CA$7:CA$106,$AI77),1),IF($AJ77&gt;0,INDEX(CA$7:CA$106,$AJ77),1))))</ns0:f>
        <ns0:v>1</ns0:v>
      </ns0:c>
      <ns0:c r="CC77" t="n">
        <ns0:f>IF($A77="",1,IF(CB77=1,1,--AND(IF($AC77&gt;0,INDEX(CB$7:CB$106,$AC77),1),IF($AD77&gt;0,INDEX(CB$7:CB$106,$AD77),1),IF($AE77&gt;0,INDEX(CB$7:CB$106,$AE77),1),IF($AF77&gt;0,INDEX(CB$7:CB$106,$AF77),1),IF($AG77&gt;0,INDEX(CB$7:CB$106,$AG77),1),IF($AH77&gt;0,INDEX(CB$7:CB$106,$AH77),1),IF($AI77&gt;0,INDEX(CB$7:CB$106,$AI77),1),IF($AJ77&gt;0,INDEX(CB$7:CB$106,$AJ77),1))))</ns0:f>
        <ns0:v>1</ns0:v>
      </ns0:c>
      <ns0:c r="CD77" t="n">
        <ns0:f>IF($A77="",1,IF(CC77=1,1,--AND(IF($AC77&gt;0,INDEX(CC$7:CC$106,$AC77),1),IF($AD77&gt;0,INDEX(CC$7:CC$106,$AD77),1),IF($AE77&gt;0,INDEX(CC$7:CC$106,$AE77),1),IF($AF77&gt;0,INDEX(CC$7:CC$106,$AF77),1),IF($AG77&gt;0,INDEX(CC$7:CC$106,$AG77),1),IF($AH77&gt;0,INDEX(CC$7:CC$106,$AH77),1),IF($AI77&gt;0,INDEX(CC$7:CC$106,$AI77),1),IF($AJ77&gt;0,INDEX(CC$7:CC$106,$AJ77),1))))</ns0:f>
        <ns0:v>1</ns0:v>
      </ns0:c>
      <ns0:c r="CE77" t="n">
        <ns0:f>IF($A77="",1,IF(CD77=1,1,--AND(IF($AC77&gt;0,INDEX(CD$7:CD$106,$AC77),1),IF($AD77&gt;0,INDEX(CD$7:CD$106,$AD77),1),IF($AE77&gt;0,INDEX(CD$7:CD$106,$AE77),1),IF($AF77&gt;0,INDEX(CD$7:CD$106,$AF77),1),IF($AG77&gt;0,INDEX(CD$7:CD$106,$AG77),1),IF($AH77&gt;0,INDEX(CD$7:CD$106,$AH77),1),IF($AI77&gt;0,INDEX(CD$7:CD$106,$AI77),1),IF($AJ77&gt;0,INDEX(CD$7:CD$106,$AJ77),1))))</ns0:f>
        <ns0:v>1</ns0:v>
      </ns0:c>
      <ns0:c r="CF77" t="n">
        <ns0:f>IF($A77="",1,IF(CE77=1,1,--AND(IF($AC77&gt;0,INDEX(CE$7:CE$106,$AC77),1),IF($AD77&gt;0,INDEX(CE$7:CE$106,$AD77),1),IF($AE77&gt;0,INDEX(CE$7:CE$106,$AE77),1),IF($AF77&gt;0,INDEX(CE$7:CE$106,$AF77),1),IF($AG77&gt;0,INDEX(CE$7:CE$106,$AG77),1),IF($AH77&gt;0,INDEX(CE$7:CE$106,$AH77),1),IF($AI77&gt;0,INDEX(CE$7:CE$106,$AI77),1),IF($AJ77&gt;0,INDEX(CE$7:CE$106,$AJ77),1))))</ns0:f>
        <ns0:v>1</ns0:v>
      </ns0:c>
      <ns0:c r="CG77" t="n">
        <ns0:f>IF($A77="",1,IF(CF77=1,1,--AND(IF($AC77&gt;0,INDEX(CF$7:CF$106,$AC77),1),IF($AD77&gt;0,INDEX(CF$7:CF$106,$AD77),1),IF($AE77&gt;0,INDEX(CF$7:CF$106,$AE77),1),IF($AF77&gt;0,INDEX(CF$7:CF$106,$AF77),1),IF($AG77&gt;0,INDEX(CF$7:CF$106,$AG77),1),IF($AH77&gt;0,INDEX(CF$7:CF$106,$AH77),1),IF($AI77&gt;0,INDEX(CF$7:CF$106,$AI77),1),IF($AJ77&gt;0,INDEX(CF$7:CF$106,$AJ77),1))))</ns0:f>
        <ns0:v>1</ns0:v>
      </ns0:c>
      <ns0:c r="CH77" t="n">
        <ns0:f>IF($A77="",1,IF(CG77=1,1,--AND(IF($AC77&gt;0,INDEX(CG$7:CG$106,$AC77),1),IF($AD77&gt;0,INDEX(CG$7:CG$106,$AD77),1),IF($AE77&gt;0,INDEX(CG$7:CG$106,$AE77),1),IF($AF77&gt;0,INDEX(CG$7:CG$106,$AF77),1),IF($AG77&gt;0,INDEX(CG$7:CG$106,$AG77),1),IF($AH77&gt;0,INDEX(CG$7:CG$106,$AH77),1),IF($AI77&gt;0,INDEX(CG$7:CG$106,$AI77),1),IF($AJ77&gt;0,INDEX(CG$7:CG$106,$AJ77),1))))</ns0:f>
        <ns0:v>1</ns0:v>
      </ns0:c>
      <ns0:c r="CI77" t="n">
        <ns0:f>IF($A77="",1,IF(CH77=1,1,--AND(IF($AC77&gt;0,INDEX(CH$7:CH$106,$AC77),1),IF($AD77&gt;0,INDEX(CH$7:CH$106,$AD77),1),IF($AE77&gt;0,INDEX(CH$7:CH$106,$AE77),1),IF($AF77&gt;0,INDEX(CH$7:CH$106,$AF77),1),IF($AG77&gt;0,INDEX(CH$7:CH$106,$AG77),1),IF($AH77&gt;0,INDEX(CH$7:CH$106,$AH77),1),IF($AI77&gt;0,INDEX(CH$7:CH$106,$AI77),1),IF($AJ77&gt;0,INDEX(CH$7:CH$106,$AJ77),1))))</ns0:f>
        <ns0:v>1</ns0:v>
      </ns0:c>
      <ns0:c r="CJ77" t="n">
        <ns0:f>IF($A77="",1,IF(CI77=1,1,--AND(IF($AC77&gt;0,INDEX(CI$7:CI$106,$AC77),1),IF($AD77&gt;0,INDEX(CI$7:CI$106,$AD77),1),IF($AE77&gt;0,INDEX(CI$7:CI$106,$AE77),1),IF($AF77&gt;0,INDEX(CI$7:CI$106,$AF77),1),IF($AG77&gt;0,INDEX(CI$7:CI$106,$AG77),1),IF($AH77&gt;0,INDEX(CI$7:CI$106,$AH77),1),IF($AI77&gt;0,INDEX(CI$7:CI$106,$AI77),1),IF($AJ77&gt;0,INDEX(CI$7:CI$106,$AJ77),1))))</ns0:f>
        <ns0:v>1</ns0:v>
      </ns0:c>
      <ns0:c r="CK77" t="n">
        <ns0:f>IF($A77="",1,IF(CJ77=1,1,--AND(IF($AC77&gt;0,INDEX(CJ$7:CJ$106,$AC77),1),IF($AD77&gt;0,INDEX(CJ$7:CJ$106,$AD77),1),IF($AE77&gt;0,INDEX(CJ$7:CJ$106,$AE77),1),IF($AF77&gt;0,INDEX(CJ$7:CJ$106,$AF77),1),IF($AG77&gt;0,INDEX(CJ$7:CJ$106,$AG77),1),IF($AH77&gt;0,INDEX(CJ$7:CJ$106,$AH77),1),IF($AI77&gt;0,INDEX(CJ$7:CJ$106,$AI77),1),IF($AJ77&gt;0,INDEX(CJ$7:CJ$106,$AJ77),1))))</ns0:f>
        <ns0:v>1</ns0:v>
      </ns0:c>
      <ns0:c r="CL77" t="n">
        <ns0:f>IF($A77="",1,IF(CK77=1,1,--AND(IF($AC77&gt;0,INDEX(CK$7:CK$106,$AC77),1),IF($AD77&gt;0,INDEX(CK$7:CK$106,$AD77),1),IF($AE77&gt;0,INDEX(CK$7:CK$106,$AE77),1),IF($AF77&gt;0,INDEX(CK$7:CK$106,$AF77),1),IF($AG77&gt;0,INDEX(CK$7:CK$106,$AG77),1),IF($AH77&gt;0,INDEX(CK$7:CK$106,$AH77),1),IF($AI77&gt;0,INDEX(CK$7:CK$106,$AI77),1),IF($AJ77&gt;0,INDEX(CK$7:CK$106,$AJ77),1))))</ns0:f>
        <ns0:v>1</ns0:v>
      </ns0:c>
      <ns0:c r="CM77" t="n">
        <ns0:f>IF($A77="",1,IF(CL77=1,1,--AND(IF($AC77&gt;0,INDEX(CL$7:CL$106,$AC77),1),IF($AD77&gt;0,INDEX(CL$7:CL$106,$AD77),1),IF($AE77&gt;0,INDEX(CL$7:CL$106,$AE77),1),IF($AF77&gt;0,INDEX(CL$7:CL$106,$AF77),1),IF($AG77&gt;0,INDEX(CL$7:CL$106,$AG77),1),IF($AH77&gt;0,INDEX(CL$7:CL$106,$AH77),1),IF($AI77&gt;0,INDEX(CL$7:CL$106,$AI77),1),IF($AJ77&gt;0,INDEX(CL$7:CL$106,$AJ77),1))))</ns0:f>
        <ns0:v>1</ns0:v>
      </ns0:c>
      <ns0:c r="CN77" t="n">
        <ns0:f>IF($A77="",1,IF(CM77=1,1,--AND(IF($AC77&gt;0,INDEX(CM$7:CM$106,$AC77),1),IF($AD77&gt;0,INDEX(CM$7:CM$106,$AD77),1),IF($AE77&gt;0,INDEX(CM$7:CM$106,$AE77),1),IF($AF77&gt;0,INDEX(CM$7:CM$106,$AF77),1),IF($AG77&gt;0,INDEX(CM$7:CM$106,$AG77),1),IF($AH77&gt;0,INDEX(CM$7:CM$106,$AH77),1),IF($AI77&gt;0,INDEX(CM$7:CM$106,$AI77),1),IF($AJ77&gt;0,INDEX(CM$7:CM$106,$AJ77),1))))</ns0:f>
        <ns0:v>1</ns0:v>
      </ns0:c>
      <ns0:c r="CO77" t="n">
        <ns0:f>IF($A77="",1,IF(CN77=1,1,--AND(IF($AC77&gt;0,INDEX(CN$7:CN$106,$AC77),1),IF($AD77&gt;0,INDEX(CN$7:CN$106,$AD77),1),IF($AE77&gt;0,INDEX(CN$7:CN$106,$AE77),1),IF($AF77&gt;0,INDEX(CN$7:CN$106,$AF77),1),IF($AG77&gt;0,INDEX(CN$7:CN$106,$AG77),1),IF($AH77&gt;0,INDEX(CN$7:CN$106,$AH77),1),IF($AI77&gt;0,INDEX(CN$7:CN$106,$AI77),1),IF($AJ77&gt;0,INDEX(CN$7:CN$106,$AJ77),1))))</ns0:f>
        <ns0:v>1</ns0:v>
      </ns0:c>
      <ns0:c r="CP77" t="n">
        <ns0:f>IF($A77="",1,IF(CO77=1,1,--AND(IF($AC77&gt;0,INDEX(CO$7:CO$106,$AC77),1),IF($AD77&gt;0,INDEX(CO$7:CO$106,$AD77),1),IF($AE77&gt;0,INDEX(CO$7:CO$106,$AE77),1),IF($AF77&gt;0,INDEX(CO$7:CO$106,$AF77),1),IF($AG77&gt;0,INDEX(CO$7:CO$106,$AG77),1),IF($AH77&gt;0,INDEX(CO$7:CO$106,$AH77),1),IF($AI77&gt;0,INDEX(CO$7:CO$106,$AI77),1),IF($AJ77&gt;0,INDEX(CO$7:CO$106,$AJ77),1))))</ns0:f>
        <ns0:v>1</ns0:v>
      </ns0:c>
      <ns0:c r="CQ77" t="n">
        <ns0:f>IF($A77="",1,IF(CP77=1,1,--AND(IF($AC77&gt;0,INDEX(CP$7:CP$106,$AC77),1),IF($AD77&gt;0,INDEX(CP$7:CP$106,$AD77),1),IF($AE77&gt;0,INDEX(CP$7:CP$106,$AE77),1),IF($AF77&gt;0,INDEX(CP$7:CP$106,$AF77),1),IF($AG77&gt;0,INDEX(CP$7:CP$106,$AG77),1),IF($AH77&gt;0,INDEX(CP$7:CP$106,$AH77),1),IF($AI77&gt;0,INDEX(CP$7:CP$106,$AI77),1),IF($AJ77&gt;0,INDEX(CP$7:CP$106,$AJ77),1))))</ns0:f>
        <ns0:v>1</ns0:v>
      </ns0:c>
      <ns0:c r="CR77" t="n">
        <ns0:f>IF($A77="",1,IF(CQ77=1,1,--AND(IF($AC77&gt;0,INDEX(CQ$7:CQ$106,$AC77),1),IF($AD77&gt;0,INDEX(CQ$7:CQ$106,$AD77),1),IF($AE77&gt;0,INDEX(CQ$7:CQ$106,$AE77),1),IF($AF77&gt;0,INDEX(CQ$7:CQ$106,$AF77),1),IF($AG77&gt;0,INDEX(CQ$7:CQ$106,$AG77),1),IF($AH77&gt;0,INDEX(CQ$7:CQ$106,$AH77),1),IF($AI77&gt;0,INDEX(CQ$7:CQ$106,$AI77),1),IF($AJ77&gt;0,INDEX(CQ$7:CQ$106,$AJ77),1))))</ns0:f>
        <ns0:v>1</ns0:v>
      </ns0:c>
      <ns0:c r="CS77" t="n">
        <ns0:f>IF($A77="",1,IF(CR77=1,1,--AND(IF($AC77&gt;0,INDEX(CR$7:CR$106,$AC77),1),IF($AD77&gt;0,INDEX(CR$7:CR$106,$AD77),1),IF($AE77&gt;0,INDEX(CR$7:CR$106,$AE77),1),IF($AF77&gt;0,INDEX(CR$7:CR$106,$AF77),1),IF($AG77&gt;0,INDEX(CR$7:CR$106,$AG77),1),IF($AH77&gt;0,INDEX(CR$7:CR$106,$AH77),1),IF($AI77&gt;0,INDEX(CR$7:CR$106,$AI77),1),IF($AJ77&gt;0,INDEX(CR$7:CR$106,$AJ77),1))))</ns0:f>
        <ns0:v>1</ns0:v>
      </ns0:c>
      <ns0:c r="CT77" t="n">
        <ns0:f>IF($A77="",1,IF(CS77=1,1,--AND(IF($AC77&gt;0,INDEX(CS$7:CS$106,$AC77),1),IF($AD77&gt;0,INDEX(CS$7:CS$106,$AD77),1),IF($AE77&gt;0,INDEX(CS$7:CS$106,$AE77),1),IF($AF77&gt;0,INDEX(CS$7:CS$106,$AF77),1),IF($AG77&gt;0,INDEX(CS$7:CS$106,$AG77),1),IF($AH77&gt;0,INDEX(CS$7:CS$106,$AH77),1),IF($AI77&gt;0,INDEX(CS$7:CS$106,$AI77),1),IF($AJ77&gt;0,INDEX(CS$7:CS$106,$AJ77),1))))</ns0:f>
        <ns0:v>1</ns0:v>
      </ns0:c>
      <ns0:c r="CU77" t="n">
        <ns0:f>IF($A77="",1,IF(CT77=1,1,--AND(IF($AC77&gt;0,INDEX(CT$7:CT$106,$AC77),1),IF($AD77&gt;0,INDEX(CT$7:CT$106,$AD77),1),IF($AE77&gt;0,INDEX(CT$7:CT$106,$AE77),1),IF($AF77&gt;0,INDEX(CT$7:CT$106,$AF77),1),IF($AG77&gt;0,INDEX(CT$7:CT$106,$AG77),1),IF($AH77&gt;0,INDEX(CT$7:CT$106,$AH77),1),IF($AI77&gt;0,INDEX(CT$7:CT$106,$AI77),1),IF($AJ77&gt;0,INDEX(CT$7:CT$106,$AJ77),1))))</ns0:f>
        <ns0:v>1</ns0:v>
      </ns0:c>
      <ns0:c r="CV77" t="n">
        <ns0:f>IF($A77="",1,IF(CU77=1,1,--AND(IF($AC77&gt;0,INDEX(CU$7:CU$106,$AC77),1),IF($AD77&gt;0,INDEX(CU$7:CU$106,$AD77),1),IF($AE77&gt;0,INDEX(CU$7:CU$106,$AE77),1),IF($AF77&gt;0,INDEX(CU$7:CU$106,$AF77),1),IF($AG77&gt;0,INDEX(CU$7:CU$106,$AG77),1),IF($AH77&gt;0,INDEX(CU$7:CU$106,$AH77),1),IF($AI77&gt;0,INDEX(CU$7:CU$106,$AI77),1),IF($AJ77&gt;0,INDEX(CU$7:CU$106,$AJ77),1))))</ns0:f>
        <ns0:v>1</ns0:v>
      </ns0:c>
      <ns0:c r="CW77" t="n">
        <ns0:f>IF($A77="",1,IF(CV77=1,1,--AND(IF($AC77&gt;0,INDEX(CV$7:CV$106,$AC77),1),IF($AD77&gt;0,INDEX(CV$7:CV$106,$AD77),1),IF($AE77&gt;0,INDEX(CV$7:CV$106,$AE77),1),IF($AF77&gt;0,INDEX(CV$7:CV$106,$AF77),1),IF($AG77&gt;0,INDEX(CV$7:CV$106,$AG77),1),IF($AH77&gt;0,INDEX(CV$7:CV$106,$AH77),1),IF($AI77&gt;0,INDEX(CV$7:CV$106,$AI77),1),IF($AJ77&gt;0,INDEX(CV$7:CV$106,$AJ77),1))))</ns0:f>
        <ns0:v>1</ns0:v>
      </ns0:c>
      <ns0:c r="CX77" t="n">
        <ns0:f>IF($A77="",1,IF(CW77=1,1,--AND(IF($AC77&gt;0,INDEX(CW$7:CW$106,$AC77),1),IF($AD77&gt;0,INDEX(CW$7:CW$106,$AD77),1),IF($AE77&gt;0,INDEX(CW$7:CW$106,$AE77),1),IF($AF77&gt;0,INDEX(CW$7:CW$106,$AF77),1),IF($AG77&gt;0,INDEX(CW$7:CW$106,$AG77),1),IF($AH77&gt;0,INDEX(CW$7:CW$106,$AH77),1),IF($AI77&gt;0,INDEX(CW$7:CW$106,$AI77),1),IF($AJ77&gt;0,INDEX(CW$7:CW$106,$AJ77),1))))</ns0:f>
        <ns0:v>1</ns0:v>
      </ns0:c>
      <ns0:c r="CY77" t="n">
        <ns0:f>IF($A77="",1,IF(CX77=1,1,--AND(IF($AC77&gt;0,INDEX(CX$7:CX$106,$AC77),1),IF($AD77&gt;0,INDEX(CX$7:CX$106,$AD77),1),IF($AE77&gt;0,INDEX(CX$7:CX$106,$AE77),1),IF($AF77&gt;0,INDEX(CX$7:CX$106,$AF77),1),IF($AG77&gt;0,INDEX(CX$7:CX$106,$AG77),1),IF($AH77&gt;0,INDEX(CX$7:CX$106,$AH77),1),IF($AI77&gt;0,INDEX(CX$7:CX$106,$AI77),1),IF($AJ77&gt;0,INDEX(CX$7:CX$106,$AJ77),1))))</ns0:f>
        <ns0:v>1</ns0:v>
      </ns0:c>
      <ns0:c r="CZ77" t="n">
        <ns0:f>IF($A77="",1,IF(CY77=1,1,--AND(IF($AC77&gt;0,INDEX(CY$7:CY$106,$AC77),1),IF($AD77&gt;0,INDEX(CY$7:CY$106,$AD77),1),IF($AE77&gt;0,INDEX(CY$7:CY$106,$AE77),1),IF($AF77&gt;0,INDEX(CY$7:CY$106,$AF77),1),IF($AG77&gt;0,INDEX(CY$7:CY$106,$AG77),1),IF($AH77&gt;0,INDEX(CY$7:CY$106,$AH77),1),IF($AI77&gt;0,INDEX(CY$7:CY$106,$AI77),1),IF($AJ77&gt;0,INDEX(CY$7:CY$106,$AJ77),1))))</ns0:f>
        <ns0:v>1</ns0:v>
      </ns0:c>
      <ns0:c r="DA77" t="n">
        <ns0:f>IF($A77="",1,IF(CZ77=1,1,--AND(IF($AC77&gt;0,INDEX(CZ$7:CZ$106,$AC77),1),IF($AD77&gt;0,INDEX(CZ$7:CZ$106,$AD77),1),IF($AE77&gt;0,INDEX(CZ$7:CZ$106,$AE77),1),IF($AF77&gt;0,INDEX(CZ$7:CZ$106,$AF77),1),IF($AG77&gt;0,INDEX(CZ$7:CZ$106,$AG77),1),IF($AH77&gt;0,INDEX(CZ$7:CZ$106,$AH77),1),IF($AI77&gt;0,INDEX(CZ$7:CZ$106,$AI77),1),IF($AJ77&gt;0,INDEX(CZ$7:CZ$106,$AJ77),1))))</ns0:f>
        <ns0:v>1</ns0:v>
      </ns0:c>
      <ns0:c r="DB77" t="n">
        <ns0:f>IF($A77="",1,IF(DA77=1,1,--AND(IF($AC77&gt;0,INDEX(DA$7:DA$106,$AC77),1),IF($AD77&gt;0,INDEX(DA$7:DA$106,$AD77),1),IF($AE77&gt;0,INDEX(DA$7:DA$106,$AE77),1),IF($AF77&gt;0,INDEX(DA$7:DA$106,$AF77),1),IF($AG77&gt;0,INDEX(DA$7:DA$106,$AG77),1),IF($AH77&gt;0,INDEX(DA$7:DA$106,$AH77),1),IF($AI77&gt;0,INDEX(DA$7:DA$106,$AI77),1),IF($AJ77&gt;0,INDEX(DA$7:DA$106,$AJ77),1))))</ns0:f>
        <ns0:v>1</ns0:v>
      </ns0:c>
      <ns0:c r="DC77" t="n">
        <ns0:f>IF($A77="",1,IF(DB77=1,1,--AND(IF($AC77&gt;0,INDEX(DB$7:DB$106,$AC77),1),IF($AD77&gt;0,INDEX(DB$7:DB$106,$AD77),1),IF($AE77&gt;0,INDEX(DB$7:DB$106,$AE77),1),IF($AF77&gt;0,INDEX(DB$7:DB$106,$AF77),1),IF($AG77&gt;0,INDEX(DB$7:DB$106,$AG77),1),IF($AH77&gt;0,INDEX(DB$7:DB$106,$AH77),1),IF($AI77&gt;0,INDEX(DB$7:DB$106,$AI77),1),IF($AJ77&gt;0,INDEX(DB$7:DB$106,$AJ77),1))))</ns0:f>
        <ns0:v>1</ns0:v>
      </ns0:c>
      <ns0:c r="DD77" t="n">
        <ns0:f>IF($A77="",1,IF(DC77=1,1,--AND(IF($AC77&gt;0,INDEX(DC$7:DC$106,$AC77),1),IF($AD77&gt;0,INDEX(DC$7:DC$106,$AD77),1),IF($AE77&gt;0,INDEX(DC$7:DC$106,$AE77),1),IF($AF77&gt;0,INDEX(DC$7:DC$106,$AF77),1),IF($AG77&gt;0,INDEX(DC$7:DC$106,$AG77),1),IF($AH77&gt;0,INDEX(DC$7:DC$106,$AH77),1),IF($AI77&gt;0,INDEX(DC$7:DC$106,$AI77),1),IF($AJ77&gt;0,INDEX(DC$7:DC$106,$AJ77),1))))</ns0:f>
        <ns0:v>1</ns0:v>
      </ns0:c>
      <ns0:c r="DE77" t="n">
        <ns0:f>IF($A77="",1,IF(DD77=1,1,--AND(IF($AC77&gt;0,INDEX(DD$7:DD$106,$AC77),1),IF($AD77&gt;0,INDEX(DD$7:DD$106,$AD77),1),IF($AE77&gt;0,INDEX(DD$7:DD$106,$AE77),1),IF($AF77&gt;0,INDEX(DD$7:DD$106,$AF77),1),IF($AG77&gt;0,INDEX(DD$7:DD$106,$AG77),1),IF($AH77&gt;0,INDEX(DD$7:DD$106,$AH77),1),IF($AI77&gt;0,INDEX(DD$7:DD$106,$AI77),1),IF($AJ77&gt;0,INDEX(DD$7:DD$106,$AJ77),1))))</ns0:f>
        <ns0:v>1</ns0:v>
      </ns0:c>
      <ns0:c r="DF77" t="n">
        <ns0:f>IF($A77="",1,IF(DE77=1,1,--AND(IF($AC77&gt;0,INDEX(DE$7:DE$106,$AC77),1),IF($AD77&gt;0,INDEX(DE$7:DE$106,$AD77),1),IF($AE77&gt;0,INDEX(DE$7:DE$106,$AE77),1),IF($AF77&gt;0,INDEX(DE$7:DE$106,$AF77),1),IF($AG77&gt;0,INDEX(DE$7:DE$106,$AG77),1),IF($AH77&gt;0,INDEX(DE$7:DE$106,$AH77),1),IF($AI77&gt;0,INDEX(DE$7:DE$106,$AI77),1),IF($AJ77&gt;0,INDEX(DE$7:DE$106,$AJ77),1))))</ns0:f>
        <ns0:v>1</ns0:v>
      </ns0:c>
      <ns0:c r="DG77" t="n">
        <ns0:f>IF($A77="",1,IF(DF77=1,1,--AND(IF($AC77&gt;0,INDEX(DF$7:DF$106,$AC77),1),IF($AD77&gt;0,INDEX(DF$7:DF$106,$AD77),1),IF($AE77&gt;0,INDEX(DF$7:DF$106,$AE77),1),IF($AF77&gt;0,INDEX(DF$7:DF$106,$AF77),1),IF($AG77&gt;0,INDEX(DF$7:DF$106,$AG77),1),IF($AH77&gt;0,INDEX(DF$7:DF$106,$AH77),1),IF($AI77&gt;0,INDEX(DF$7:DF$106,$AI77),1),IF($AJ77&gt;0,INDEX(DF$7:DF$106,$AJ77),1))))</ns0:f>
        <ns0:v>1</ns0:v>
      </ns0:c>
      <ns0:c r="DH77" t="n">
        <ns0:f>IF($A77="",1,IF(DG77=1,1,--AND(IF($AC77&gt;0,INDEX(DG$7:DG$106,$AC77),1),IF($AD77&gt;0,INDEX(DG$7:DG$106,$AD77),1),IF($AE77&gt;0,INDEX(DG$7:DG$106,$AE77),1),IF($AF77&gt;0,INDEX(DG$7:DG$106,$AF77),1),IF($AG77&gt;0,INDEX(DG$7:DG$106,$AG77),1),IF($AH77&gt;0,INDEX(DG$7:DG$106,$AH77),1),IF($AI77&gt;0,INDEX(DG$7:DG$106,$AI77),1),IF($AJ77&gt;0,INDEX(DG$7:DG$106,$AJ77),1))))</ns0:f>
        <ns0:v>1</ns0:v>
      </ns0:c>
      <ns0:c r="DI77" t="n">
        <ns0:f>IF($A77="",1,IF(DH77=1,1,--AND(IF($AC77&gt;0,INDEX(DH$7:DH$106,$AC77),1),IF($AD77&gt;0,INDEX(DH$7:DH$106,$AD77),1),IF($AE77&gt;0,INDEX(DH$7:DH$106,$AE77),1),IF($AF77&gt;0,INDEX(DH$7:DH$106,$AF77),1),IF($AG77&gt;0,INDEX(DH$7:DH$106,$AG77),1),IF($AH77&gt;0,INDEX(DH$7:DH$106,$AH77),1),IF($AI77&gt;0,INDEX(DH$7:DH$106,$AI77),1),IF($AJ77&gt;0,INDEX(DH$7:DH$106,$AJ77),1))))</ns0:f>
        <ns0:v>1</ns0:v>
      </ns0:c>
      <ns0:c r="DJ77" t="n">
        <ns0:f>IF($A77="",1,IF(DI77=1,1,--AND(IF($AC77&gt;0,INDEX(DI$7:DI$106,$AC77),1),IF($AD77&gt;0,INDEX(DI$7:DI$106,$AD77),1),IF($AE77&gt;0,INDEX(DI$7:DI$106,$AE77),1),IF($AF77&gt;0,INDEX(DI$7:DI$106,$AF77),1),IF($AG77&gt;0,INDEX(DI$7:DI$106,$AG77),1),IF($AH77&gt;0,INDEX(DI$7:DI$106,$AH77),1),IF($AI77&gt;0,INDEX(DI$7:DI$106,$AI77),1),IF($AJ77&gt;0,INDEX(DI$7:DI$106,$AJ77),1))))</ns0:f>
        <ns0:v>1</ns0:v>
      </ns0:c>
      <ns0:c r="DK77" t="n">
        <ns0:f>IF($A77="",1,IF(DJ77=1,1,--AND(IF($AC77&gt;0,INDEX(DJ$7:DJ$106,$AC77),1),IF($AD77&gt;0,INDEX(DJ$7:DJ$106,$AD77),1),IF($AE77&gt;0,INDEX(DJ$7:DJ$106,$AE77),1),IF($AF77&gt;0,INDEX(DJ$7:DJ$106,$AF77),1),IF($AG77&gt;0,INDEX(DJ$7:DJ$106,$AG77),1),IF($AH77&gt;0,INDEX(DJ$7:DJ$106,$AH77),1),IF($AI77&gt;0,INDEX(DJ$7:DJ$106,$AI77),1),IF($AJ77&gt;0,INDEX(DJ$7:DJ$106,$AJ77),1))))</ns0:f>
        <ns0:v>1</ns0:v>
      </ns0:c>
      <ns0:c r="DL77" t="n">
        <ns0:f>IF($A77="",1,IF(DK77=1,1,--AND(IF($AC77&gt;0,INDEX(DK$7:DK$106,$AC77),1),IF($AD77&gt;0,INDEX(DK$7:DK$106,$AD77),1),IF($AE77&gt;0,INDEX(DK$7:DK$106,$AE77),1),IF($AF77&gt;0,INDEX(DK$7:DK$106,$AF77),1),IF($AG77&gt;0,INDEX(DK$7:DK$106,$AG77),1),IF($AH77&gt;0,INDEX(DK$7:DK$106,$AH77),1),IF($AI77&gt;0,INDEX(DK$7:DK$106,$AI77),1),IF($AJ77&gt;0,INDEX(DK$7:DK$106,$AJ77),1))))</ns0:f>
        <ns0:v>1</ns0:v>
      </ns0:c>
      <ns0:c r="DM77" t="n">
        <ns0:f>IF($A77="",1,IF(DL77=1,1,--AND(IF($AC77&gt;0,INDEX(DL$7:DL$106,$AC77),1),IF($AD77&gt;0,INDEX(DL$7:DL$106,$AD77),1),IF($AE77&gt;0,INDEX(DL$7:DL$106,$AE77),1),IF($AF77&gt;0,INDEX(DL$7:DL$106,$AF77),1),IF($AG77&gt;0,INDEX(DL$7:DL$106,$AG77),1),IF($AH77&gt;0,INDEX(DL$7:DL$106,$AH77),1),IF($AI77&gt;0,INDEX(DL$7:DL$106,$AI77),1),IF($AJ77&gt;0,INDEX(DL$7:DL$106,$AJ77),1))))</ns0:f>
        <ns0:v>1</ns0:v>
      </ns0:c>
      <ns0:c r="DN77" t="n">
        <ns0:f>IF($A77="",1,IF(DM77=1,1,--AND(IF($AC77&gt;0,INDEX(DM$7:DM$106,$AC77),1),IF($AD77&gt;0,INDEX(DM$7:DM$106,$AD77),1),IF($AE77&gt;0,INDEX(DM$7:DM$106,$AE77),1),IF($AF77&gt;0,INDEX(DM$7:DM$106,$AF77),1),IF($AG77&gt;0,INDEX(DM$7:DM$106,$AG77),1),IF($AH77&gt;0,INDEX(DM$7:DM$106,$AH77),1),IF($AI77&gt;0,INDEX(DM$7:DM$106,$AI77),1),IF($AJ77&gt;0,INDEX(DM$7:DM$106,$AJ77),1))))</ns0:f>
        <ns0:v>1</ns0:v>
      </ns0:c>
      <ns0:c r="DO77" t="n">
        <ns0:f>IF($A77="",1,IF(DN77=1,1,--AND(IF($AC77&gt;0,INDEX(DN$7:DN$106,$AC77),1),IF($AD77&gt;0,INDEX(DN$7:DN$106,$AD77),1),IF($AE77&gt;0,INDEX(DN$7:DN$106,$AE77),1),IF($AF77&gt;0,INDEX(DN$7:DN$106,$AF77),1),IF($AG77&gt;0,INDEX(DN$7:DN$106,$AG77),1),IF($AH77&gt;0,INDEX(DN$7:DN$106,$AH77),1),IF($AI77&gt;0,INDEX(DN$7:DN$106,$AI77),1),IF($AJ77&gt;0,INDEX(DN$7:DN$106,$AJ77),1))))</ns0:f>
        <ns0:v>1</ns0:v>
      </ns0:c>
      <ns0:c r="DP77" t="n">
        <ns0:f>IF($A77="",1,IF(DO77=1,1,--AND(IF($AC77&gt;0,INDEX(DO$7:DO$106,$AC77),1),IF($AD77&gt;0,INDEX(DO$7:DO$106,$AD77),1),IF($AE77&gt;0,INDEX(DO$7:DO$106,$AE77),1),IF($AF77&gt;0,INDEX(DO$7:DO$106,$AF77),1),IF($AG77&gt;0,INDEX(DO$7:DO$106,$AG77),1),IF($AH77&gt;0,INDEX(DO$7:DO$106,$AH77),1),IF($AI77&gt;0,INDEX(DO$7:DO$106,$AI77),1),IF($AJ77&gt;0,INDEX(DO$7:DO$106,$AJ77),1))))</ns0:f>
        <ns0:v>1</ns0:v>
      </ns0:c>
      <ns0:c r="DQ77" t="n">
        <ns0:f>IF($A77="",1,IF(DP77=1,1,--AND(IF($AC77&gt;0,INDEX(DP$7:DP$106,$AC77),1),IF($AD77&gt;0,INDEX(DP$7:DP$106,$AD77),1),IF($AE77&gt;0,INDEX(DP$7:DP$106,$AE77),1),IF($AF77&gt;0,INDEX(DP$7:DP$106,$AF77),1),IF($AG77&gt;0,INDEX(DP$7:DP$106,$AG77),1),IF($AH77&gt;0,INDEX(DP$7:DP$106,$AH77),1),IF($AI77&gt;0,INDEX(DP$7:DP$106,$AI77),1),IF($AJ77&gt;0,INDEX(DP$7:DP$106,$AJ77),1))))</ns0:f>
        <ns0:v>1</ns0:v>
      </ns0:c>
      <ns0:c r="DR77" t="n">
        <ns0:f>IF($A77="",1,IF(DQ77=1,1,--AND(IF($AC77&gt;0,INDEX(DQ$7:DQ$106,$AC77),1),IF($AD77&gt;0,INDEX(DQ$7:DQ$106,$AD77),1),IF($AE77&gt;0,INDEX(DQ$7:DQ$106,$AE77),1),IF($AF77&gt;0,INDEX(DQ$7:DQ$106,$AF77),1),IF($AG77&gt;0,INDEX(DQ$7:DQ$106,$AG77),1),IF($AH77&gt;0,INDEX(DQ$7:DQ$106,$AH77),1),IF($AI77&gt;0,INDEX(DQ$7:DQ$106,$AI77),1),IF($AJ77&gt;0,INDEX(DQ$7:DQ$106,$AJ77),1))))</ns0:f>
        <ns0:v>1</ns0:v>
      </ns0:c>
      <ns0:c r="DS77" t="n">
        <ns0:f>IF($A77="",1,IF(DR77=1,1,--AND(IF($AC77&gt;0,INDEX(DR$7:DR$106,$AC77),1),IF($AD77&gt;0,INDEX(DR$7:DR$106,$AD77),1),IF($AE77&gt;0,INDEX(DR$7:DR$106,$AE77),1),IF($AF77&gt;0,INDEX(DR$7:DR$106,$AF77),1),IF($AG77&gt;0,INDEX(DR$7:DR$106,$AG77),1),IF($AH77&gt;0,INDEX(DR$7:DR$106,$AH77),1),IF($AI77&gt;0,INDEX(DR$7:DR$106,$AI77),1),IF($AJ77&gt;0,INDEX(DR$7:DR$106,$AJ77),1))))</ns0:f>
        <ns0:v>1</ns0:v>
      </ns0:c>
      <ns0:c r="DT77" t="n">
        <ns0:f>IF($A77="",1,IF(DS77=1,1,--AND(IF($AC77&gt;0,INDEX(DS$7:DS$106,$AC77),1),IF($AD77&gt;0,INDEX(DS$7:DS$106,$AD77),1),IF($AE77&gt;0,INDEX(DS$7:DS$106,$AE77),1),IF($AF77&gt;0,INDEX(DS$7:DS$106,$AF77),1),IF($AG77&gt;0,INDEX(DS$7:DS$106,$AG77),1),IF($AH77&gt;0,INDEX(DS$7:DS$106,$AH77),1),IF($AI77&gt;0,INDEX(DS$7:DS$106,$AI77),1),IF($AJ77&gt;0,INDEX(DS$7:DS$106,$AJ77),1))))</ns0:f>
        <ns0:v>1</ns0:v>
      </ns0:c>
      <ns0:c r="DU77" t="n">
        <ns0:f>IF($A77="",1,IF(DT77=1,1,--AND(IF($AC77&gt;0,INDEX(DT$7:DT$106,$AC77),1),IF($AD77&gt;0,INDEX(DT$7:DT$106,$AD77),1),IF($AE77&gt;0,INDEX(DT$7:DT$106,$AE77),1),IF($AF77&gt;0,INDEX(DT$7:DT$106,$AF77),1),IF($AG77&gt;0,INDEX(DT$7:DT$106,$AG77),1),IF($AH77&gt;0,INDEX(DT$7:DT$106,$AH77),1),IF($AI77&gt;0,INDEX(DT$7:DT$106,$AI77),1),IF($AJ77&gt;0,INDEX(DT$7:DT$106,$AJ77),1))))</ns0:f>
        <ns0:v>1</ns0:v>
      </ns0:c>
      <ns0:c r="DV77" t="n">
        <ns0:f>IF($A77="",1,IF(DU77=1,1,--AND(IF($AC77&gt;0,INDEX(DU$7:DU$106,$AC77),1),IF($AD77&gt;0,INDEX(DU$7:DU$106,$AD77),1),IF($AE77&gt;0,INDEX(DU$7:DU$106,$AE77),1),IF($AF77&gt;0,INDEX(DU$7:DU$106,$AF77),1),IF($AG77&gt;0,INDEX(DU$7:DU$106,$AG77),1),IF($AH77&gt;0,INDEX(DU$7:DU$106,$AH77),1),IF($AI77&gt;0,INDEX(DU$7:DU$106,$AI77),1),IF($AJ77&gt;0,INDEX(DU$7:DU$106,$AJ77),1))))</ns0:f>
        <ns0:v>1</ns0:v>
      </ns0:c>
      <ns0:c r="DW77" t="n">
        <ns0:f>IF($A77="",1,IF(DV77=1,1,--AND(IF($AC77&gt;0,INDEX(DV$7:DV$106,$AC77),1),IF($AD77&gt;0,INDEX(DV$7:DV$106,$AD77),1),IF($AE77&gt;0,INDEX(DV$7:DV$106,$AE77),1),IF($AF77&gt;0,INDEX(DV$7:DV$106,$AF77),1),IF($AG77&gt;0,INDEX(DV$7:DV$106,$AG77),1),IF($AH77&gt;0,INDEX(DV$7:DV$106,$AH77),1),IF($AI77&gt;0,INDEX(DV$7:DV$106,$AI77),1),IF($AJ77&gt;0,INDEX(DV$7:DV$106,$AJ77),1))))</ns0:f>
        <ns0:v>1</ns0:v>
      </ns0:c>
      <ns0:c r="DX77" t="n">
        <ns0:f>IF($A77="",1,IF(DW77=1,1,--AND(IF($AC77&gt;0,INDEX(DW$7:DW$106,$AC77),1),IF($AD77&gt;0,INDEX(DW$7:DW$106,$AD77),1),IF($AE77&gt;0,INDEX(DW$7:DW$106,$AE77),1),IF($AF77&gt;0,INDEX(DW$7:DW$106,$AF77),1),IF($AG77&gt;0,INDEX(DW$7:DW$106,$AG77),1),IF($AH77&gt;0,INDEX(DW$7:DW$106,$AH77),1),IF($AI77&gt;0,INDEX(DW$7:DW$106,$AI77),1),IF($AJ77&gt;0,INDEX(DW$7:DW$106,$AJ77),1))))</ns0:f>
        <ns0:v>1</ns0:v>
      </ns0:c>
      <ns0:c r="DY77" t="n">
        <ns0:f>IF($A77="",1,IF(DX77=1,1,--AND(IF($AC77&gt;0,INDEX(DX$7:DX$106,$AC77),1),IF($AD77&gt;0,INDEX(DX$7:DX$106,$AD77),1),IF($AE77&gt;0,INDEX(DX$7:DX$106,$AE77),1),IF($AF77&gt;0,INDEX(DX$7:DX$106,$AF77),1),IF($AG77&gt;0,INDEX(DX$7:DX$106,$AG77),1),IF($AH77&gt;0,INDEX(DX$7:DX$106,$AH77),1),IF($AI77&gt;0,INDEX(DX$7:DX$106,$AI77),1),IF($AJ77&gt;0,INDEX(DX$7:DX$106,$AJ77),1))))</ns0:f>
        <ns0:v>1</ns0:v>
      </ns0:c>
      <ns0:c r="DZ77" t="n">
        <ns0:f>IF($A77="",1,IF(DY77=1,1,--AND(IF($AC77&gt;0,INDEX(DY$7:DY$106,$AC77),1),IF($AD77&gt;0,INDEX(DY$7:DY$106,$AD77),1),IF($AE77&gt;0,INDEX(DY$7:DY$106,$AE77),1),IF($AF77&gt;0,INDEX(DY$7:DY$106,$AF77),1),IF($AG77&gt;0,INDEX(DY$7:DY$106,$AG77),1),IF($AH77&gt;0,INDEX(DY$7:DY$106,$AH77),1),IF($AI77&gt;0,INDEX(DY$7:DY$106,$AI77),1),IF($AJ77&gt;0,INDEX(DY$7:DY$106,$AJ77),1))))</ns0:f>
        <ns0:v>1</ns0:v>
      </ns0:c>
      <ns0:c r="EA77" t="n">
        <ns0:f>IF($A77="",1,IF(DZ77=1,1,--AND(IF($AC77&gt;0,INDEX(DZ$7:DZ$106,$AC77),1),IF($AD77&gt;0,INDEX(DZ$7:DZ$106,$AD77),1),IF($AE77&gt;0,INDEX(DZ$7:DZ$106,$AE77),1),IF($AF77&gt;0,INDEX(DZ$7:DZ$106,$AF77),1),IF($AG77&gt;0,INDEX(DZ$7:DZ$106,$AG77),1),IF($AH77&gt;0,INDEX(DZ$7:DZ$106,$AH77),1),IF($AI77&gt;0,INDEX(DZ$7:DZ$106,$AI77),1),IF($AJ77&gt;0,INDEX(DZ$7:DZ$106,$AJ77),1))))</ns0:f>
        <ns0:v>1</ns0:v>
      </ns0:c>
      <ns0:c r="EB77" t="n">
        <ns0:f>IF($A77="",1,IF(EA77=1,1,--AND(IF($AC77&gt;0,INDEX(EA$7:EA$106,$AC77),1),IF($AD77&gt;0,INDEX(EA$7:EA$106,$AD77),1),IF($AE77&gt;0,INDEX(EA$7:EA$106,$AE77),1),IF($AF77&gt;0,INDEX(EA$7:EA$106,$AF77),1),IF($AG77&gt;0,INDEX(EA$7:EA$106,$AG77),1),IF($AH77&gt;0,INDEX(EA$7:EA$106,$AH77),1),IF($AI77&gt;0,INDEX(EA$7:EA$106,$AI77),1),IF($AJ77&gt;0,INDEX(EA$7:EA$106,$AJ77),1))))</ns0:f>
        <ns0:v>1</ns0:v>
      </ns0:c>
      <ns0:c r="EC77" t="n">
        <ns0:f>IF($A77="",1,IF(EB77=1,1,--AND(IF($AC77&gt;0,INDEX(EB$7:EB$106,$AC77),1),IF($AD77&gt;0,INDEX(EB$7:EB$106,$AD77),1),IF($AE77&gt;0,INDEX(EB$7:EB$106,$AE77),1),IF($AF77&gt;0,INDEX(EB$7:EB$106,$AF77),1),IF($AG77&gt;0,INDEX(EB$7:EB$106,$AG77),1),IF($AH77&gt;0,INDEX(EB$7:EB$106,$AH77),1),IF($AI77&gt;0,INDEX(EB$7:EB$106,$AI77),1),IF($AJ77&gt;0,INDEX(EB$7:EB$106,$AJ77),1))))</ns0:f>
        <ns0:v>1</ns0:v>
      </ns0:c>
      <ns0:c r="ED77" t="n">
        <ns0:f>IF($A77="",1,IF(EC77=1,1,--AND(IF($AC77&gt;0,INDEX(EC$7:EC$106,$AC77),1),IF($AD77&gt;0,INDEX(EC$7:EC$106,$AD77),1),IF($AE77&gt;0,INDEX(EC$7:EC$106,$AE77),1),IF($AF77&gt;0,INDEX(EC$7:EC$106,$AF77),1),IF($AG77&gt;0,INDEX(EC$7:EC$106,$AG77),1),IF($AH77&gt;0,INDEX(EC$7:EC$106,$AH77),1),IF($AI77&gt;0,INDEX(EC$7:EC$106,$AI77),1),IF($AJ77&gt;0,INDEX(EC$7:EC$106,$AJ77),1))))</ns0:f>
        <ns0:v>1</ns0:v>
      </ns0:c>
      <ns0:c r="EE77" t="n">
        <ns0:f>IF($A77="",1,IF(ED77=1,1,--AND(IF($AC77&gt;0,INDEX(ED$7:ED$106,$AC77),1),IF($AD77&gt;0,INDEX(ED$7:ED$106,$AD77),1),IF($AE77&gt;0,INDEX(ED$7:ED$106,$AE77),1),IF($AF77&gt;0,INDEX(ED$7:ED$106,$AF77),1),IF($AG77&gt;0,INDEX(ED$7:ED$106,$AG77),1),IF($AH77&gt;0,INDEX(ED$7:ED$106,$AH77),1),IF($AI77&gt;0,INDEX(ED$7:ED$106,$AI77),1),IF($AJ77&gt;0,INDEX(ED$7:ED$106,$AJ77),1))))</ns0:f>
        <ns0:v>1</ns0:v>
      </ns0:c>
      <ns0:c r="EF77" t="n">
        <ns0:f>IF($A77="",1,IF(EE77=1,1,--AND(IF($AC77&gt;0,INDEX(EE$7:EE$106,$AC77),1),IF($AD77&gt;0,INDEX(EE$7:EE$106,$AD77),1),IF($AE77&gt;0,INDEX(EE$7:EE$106,$AE77),1),IF($AF77&gt;0,INDEX(EE$7:EE$106,$AF77),1),IF($AG77&gt;0,INDEX(EE$7:EE$106,$AG77),1),IF($AH77&gt;0,INDEX(EE$7:EE$106,$AH77),1),IF($AI77&gt;0,INDEX(EE$7:EE$106,$AI77),1),IF($AJ77&gt;0,INDEX(EE$7:EE$106,$AJ77),1))))</ns0:f>
        <ns0:v>1</ns0:v>
      </ns0:c>
      <ns0:c r="EG77" t="n">
        <ns0:f>IF($A77="",1,IF(EF77=1,1,--AND(IF($AC77&gt;0,INDEX(EF$7:EF$106,$AC77),1),IF($AD77&gt;0,INDEX(EF$7:EF$106,$AD77),1),IF($AE77&gt;0,INDEX(EF$7:EF$106,$AE77),1),IF($AF77&gt;0,INDEX(EF$7:EF$106,$AF77),1),IF($AG77&gt;0,INDEX(EF$7:EF$106,$AG77),1),IF($AH77&gt;0,INDEX(EF$7:EF$106,$AH77),1),IF($AI77&gt;0,INDEX(EF$7:EF$106,$AI77),1),IF($AJ77&gt;0,INDEX(EF$7:EF$106,$AJ77),1))))</ns0:f>
        <ns0:v>1</ns0:v>
      </ns0:c>
      <ns0:c r="EH77" t="n">
        <ns0:f>IF($A77="",1,IF(EG77=1,1,--AND(IF($AC77&gt;0,INDEX(EG$7:EG$106,$AC77),1),IF($AD77&gt;0,INDEX(EG$7:EG$106,$AD77),1),IF($AE77&gt;0,INDEX(EG$7:EG$106,$AE77),1),IF($AF77&gt;0,INDEX(EG$7:EG$106,$AF77),1),IF($AG77&gt;0,INDEX(EG$7:EG$106,$AG77),1),IF($AH77&gt;0,INDEX(EG$7:EG$106,$AH77),1),IF($AI77&gt;0,INDEX(EG$7:EG$106,$AI77),1),IF($AJ77&gt;0,INDEX(EG$7:EG$106,$AJ77),1))))</ns0:f>
        <ns0:v>1</ns0:v>
      </ns0:c>
      <ns0:c r="EI77" t="n">
        <ns0:f>IF($A77="",1,IF(EH77=1,1,--AND(IF($AC77&gt;0,INDEX(EH$7:EH$106,$AC77),1),IF($AD77&gt;0,INDEX(EH$7:EH$106,$AD77),1),IF($AE77&gt;0,INDEX(EH$7:EH$106,$AE77),1),IF($AF77&gt;0,INDEX(EH$7:EH$106,$AF77),1),IF($AG77&gt;0,INDEX(EH$7:EH$106,$AG77),1),IF($AH77&gt;0,INDEX(EH$7:EH$106,$AH77),1),IF($AI77&gt;0,INDEX(EH$7:EH$106,$AI77),1),IF($AJ77&gt;0,INDEX(EH$7:EH$106,$AJ77),1))))</ns0:f>
        <ns0:v>1</ns0:v>
      </ns0:c>
      <ns0:c r="EJ77" t="n">
        <ns0:f>IF($A77="",1,IF(EI77=1,1,--AND(IF($AC77&gt;0,INDEX(EI$7:EI$106,$AC77),1),IF($AD77&gt;0,INDEX(EI$7:EI$106,$AD77),1),IF($AE77&gt;0,INDEX(EI$7:EI$106,$AE77),1),IF($AF77&gt;0,INDEX(EI$7:EI$106,$AF77),1),IF($AG77&gt;0,INDEX(EI$7:EI$106,$AG77),1),IF($AH77&gt;0,INDEX(EI$7:EI$106,$AH77),1),IF($AI77&gt;0,INDEX(EI$7:EI$106,$AI77),1),IF($AJ77&gt;0,INDEX(EI$7:EI$106,$AJ77),1))))</ns0:f>
        <ns0:v>1</ns0:v>
      </ns0:c>
      <ns0:c r="EK77" t="n">
        <ns0:f>IF($A77="",1,IF(EJ77=1,1,--AND(IF($AC77&gt;0,INDEX(EJ$7:EJ$106,$AC77),1),IF($AD77&gt;0,INDEX(EJ$7:EJ$106,$AD77),1),IF($AE77&gt;0,INDEX(EJ$7:EJ$106,$AE77),1),IF($AF77&gt;0,INDEX(EJ$7:EJ$106,$AF77),1),IF($AG77&gt;0,INDEX(EJ$7:EJ$106,$AG77),1),IF($AH77&gt;0,INDEX(EJ$7:EJ$106,$AH77),1),IF($AI77&gt;0,INDEX(EJ$7:EJ$106,$AI77),1),IF($AJ77&gt;0,INDEX(EJ$7:EJ$106,$AJ77),1))))</ns0:f>
        <ns0:v>1</ns0:v>
      </ns0:c>
      <ns0:c r="EL77" t="n">
        <ns0:f>IF($A77="",1,IF(EK77=1,1,--AND(IF($AC77&gt;0,INDEX(EK$7:EK$106,$AC77),1),IF($AD77&gt;0,INDEX(EK$7:EK$106,$AD77),1),IF($AE77&gt;0,INDEX(EK$7:EK$106,$AE77),1),IF($AF77&gt;0,INDEX(EK$7:EK$106,$AF77),1),IF($AG77&gt;0,INDEX(EK$7:EK$106,$AG77),1),IF($AH77&gt;0,INDEX(EK$7:EK$106,$AH77),1),IF($AI77&gt;0,INDEX(EK$7:EK$106,$AI77),1),IF($AJ77&gt;0,INDEX(EK$7:EK$106,$AJ77),1))))</ns0:f>
        <ns0:v>1</ns0:v>
      </ns0:c>
      <ns0:c r="EM77" t="n">
        <ns0:f>IF($A77="",1,IF(EL77=1,1,--AND(IF($AC77&gt;0,INDEX(EL$7:EL$106,$AC77),1),IF($AD77&gt;0,INDEX(EL$7:EL$106,$AD77),1),IF($AE77&gt;0,INDEX(EL$7:EL$106,$AE77),1),IF($AF77&gt;0,INDEX(EL$7:EL$106,$AF77),1),IF($AG77&gt;0,INDEX(EL$7:EL$106,$AG77),1),IF($AH77&gt;0,INDEX(EL$7:EL$106,$AH77),1),IF($AI77&gt;0,INDEX(EL$7:EL$106,$AI77),1),IF($AJ77&gt;0,INDEX(EL$7:EL$106,$AJ77),1))))</ns0:f>
        <ns0:v>1</ns0:v>
      </ns0:c>
      <ns0:c r="EN77" t="n">
        <ns0:f>IF($A77="",1,IF(EM77=1,1,--AND(IF($AC77&gt;0,INDEX(EM$7:EM$106,$AC77),1),IF($AD77&gt;0,INDEX(EM$7:EM$106,$AD77),1),IF($AE77&gt;0,INDEX(EM$7:EM$106,$AE77),1),IF($AF77&gt;0,INDEX(EM$7:EM$106,$AF77),1),IF($AG77&gt;0,INDEX(EM$7:EM$106,$AG77),1),IF($AH77&gt;0,INDEX(EM$7:EM$106,$AH77),1),IF($AI77&gt;0,INDEX(EM$7:EM$106,$AI77),1),IF($AJ77&gt;0,INDEX(EM$7:EM$106,$AJ77),1))))</ns0:f>
        <ns0:v>1</ns0:v>
      </ns0:c>
      <ns0:c r="EO77" t="n">
        <ns0:f>IF($A77="",1,IF(EN77=1,1,--AND(IF($AC77&gt;0,INDEX(EN$7:EN$106,$AC77),1),IF($AD77&gt;0,INDEX(EN$7:EN$106,$AD77),1),IF($AE77&gt;0,INDEX(EN$7:EN$106,$AE77),1),IF($AF77&gt;0,INDEX(EN$7:EN$106,$AF77),1),IF($AG77&gt;0,INDEX(EN$7:EN$106,$AG77),1),IF($AH77&gt;0,INDEX(EN$7:EN$106,$AH77),1),IF($AI77&gt;0,INDEX(EN$7:EN$106,$AI77),1),IF($AJ77&gt;0,INDEX(EN$7:EN$106,$AJ77),1))))</ns0:f>
        <ns0:v>1</ns0:v>
      </ns0:c>
      <ns0:c r="EP77" t="n">
        <ns0:f>IF($A77="",1,IF(EO77=1,1,--AND(IF($AC77&gt;0,INDEX(EO$7:EO$106,$AC77),1),IF($AD77&gt;0,INDEX(EO$7:EO$106,$AD77),1),IF($AE77&gt;0,INDEX(EO$7:EO$106,$AE77),1),IF($AF77&gt;0,INDEX(EO$7:EO$106,$AF77),1),IF($AG77&gt;0,INDEX(EO$7:EO$106,$AG77),1),IF($AH77&gt;0,INDEX(EO$7:EO$106,$AH77),1),IF($AI77&gt;0,INDEX(EO$7:EO$106,$AI77),1),IF($AJ77&gt;0,INDEX(EO$7:EO$106,$AJ77),1))))</ns0:f>
        <ns0:v>1</ns0:v>
      </ns0:c>
      <ns0:c r="EQ77" t="n">
        <ns0:f>IF(OR(A77="",NOT(ISNUMBER(G77))),0,G77*N77)</ns0:f>
        <ns0:v>0</ns0:v>
      </ns0:c>
    </ns0:row>
    <ns0:row r="78" ht="62" customHeight="1">
      <ns0:c r="A78" s="48"/>
      <ns0:c r="B78" s="48"/>
      <ns0:c r="C78" s="48"/>
      <ns0:c r="D78" s="48"/>
      <ns0:c r="E78" s="49"/>
      <ns0:c r="F78" s="49"/>
      <ns0:c r="G78" s="13" t="str">
        <ns0:f>IF(A78="","",IF(OR(NOT(ISNUMBER(E78)),NOT(ISNUMBER(F78)),F78&lt;E78),"",IF(J78="Yes",0,F78-E78+1)))</ns0:f>
      </ns0:c>
      <ns0:c r="H78" s="48"/>
      <ns0:c r="I78" s="48"/>
      <ns0:c r="J78" s="48"/>
      <ns0:c r="K78" s="48"/>
      <ns0:c r="L78" s="48"/>
      <ns0:c r="M78" s="50" t="str">
        <ns0:f>IF(A78="","",IF(N78=1,"Completed",IF(N78&gt;0,"In Progress","Not Started")))</ns0:f>
      </ns0:c>
      <ns0:c r="N78" s="51"/>
      <ns0:c r="O78" s="13" t="str">
        <ns0:f>IF(A78="","",IF(R78&lt;&gt;"","[CONFLICT] "&amp;R78,IF(S78&lt;&gt;"","[CONFLICT] "&amp;S78,IF(OR(NOT(ISNUMBER(N78)),N78&lt;0,N78&gt;1),"[CONFLICT] Invalid progress",IF(AK78&gt;0,"[DEPENDENCY ISSUE] Missing ID / &gt;8 links",IF(AM78&gt;0,"[DEPENDENCY ISSUE] Cycle or blocked by cycle",IF(AND(H78&lt;&gt;"",ISNA(MATCH(I78,{"FS","SS","FF","SF"},0))),"[DEPENDENCY ISSUE] Invalid type",IF(AL78&gt;0,"[DEPENDENCY ISSUE] Timing conflict",IF(OR(E78&lt;ProjectStart,F78&gt;ProjectEnd),"[OUTSIDE WINDOW]",IF(AND(N78&lt;1,F78&lt;AsOfDate),"Overdue",IF(AND(M78&lt;&gt;Q78,M78&lt;&gt;""),"[CONFLICT] Status / progress","On track")))))))))))</ns0:f>
      </ns0:c>
      <ns0:c r="P78" s="52"/>
      <ns0:c r="Q78" t="str">
        <ns0:f>IF(A78="","",IF(OR(M78="On Hold",M78="Delayed"),M78,IF(N78=1,"Completed",IF(N78&gt;0,"In Progress","Not Started"))))</ns0:f>
      </ns0:c>
      <ns0:c r="R78" t="str">
        <ns0:f>IF(A78="","",IF(COUNTIFS(Tasks[Task ID],A78)&lt;&gt;1,"Duplicate ID",""))</ns0:f>
      </ns0:c>
      <ns0:c r="S78" t="str">
        <ns0:f>IF(A78="","",IF(OR(NOT(ISNUMBER(E78)),NOT(ISNUMBER(F78))),"Invalid / missing date",IF(OR(E78&lt;&gt;INT(E78),F78&lt;&gt;INT(F78),E78&lt;1,F78&gt;2958465),"Invalid date",IF(F78&lt;E78,"End before start",IF(AND(J78="Yes",E78&lt;&gt;F78),"Milestone needs one date","")))))</ns0:f>
      </ns0:c>
      <ns0:c r="T78" t="n">
        <ns0:f>IF(H78="",0,LEN(H78)-LEN(SUBSTITUTE(H78,",",""))+1)</ns0:f>
        <ns0:v>0</ns0:v>
      </ns0:c>
      <ns0:c r="U78" t="str">
        <ns0:f>TRIM(MID(SUBSTITUTE($H78,",",REPT(" ",100)),1,100))</ns0:f>
      </ns0:c>
      <ns0:c r="V78" t="str">
        <ns0:f>TRIM(MID(SUBSTITUTE($H78,",",REPT(" ",100)),101,100))</ns0:f>
      </ns0:c>
      <ns0:c r="W78" t="str">
        <ns0:f>TRIM(MID(SUBSTITUTE($H78,",",REPT(" ",100)),201,100))</ns0:f>
      </ns0:c>
      <ns0:c r="X78" t="str">
        <ns0:f>TRIM(MID(SUBSTITUTE($H78,",",REPT(" ",100)),301,100))</ns0:f>
      </ns0:c>
      <ns0:c r="Y78" t="str">
        <ns0:f>TRIM(MID(SUBSTITUTE($H78,",",REPT(" ",100)),401,100))</ns0:f>
      </ns0:c>
      <ns0:c r="Z78" t="str">
        <ns0:f>TRIM(MID(SUBSTITUTE($H78,",",REPT(" ",100)),501,100))</ns0:f>
      </ns0:c>
      <ns0:c r="AA78" t="str">
        <ns0:f>TRIM(MID(SUBSTITUTE($H78,",",REPT(" ",100)),601,100))</ns0:f>
      </ns0:c>
      <ns0:c r="AB78" t="str">
        <ns0:f>TRIM(MID(SUBSTITUTE($H78,",",REPT(" ",100)),701,100))</ns0:f>
      </ns0:c>
      <ns0:c r="AC78" t="n">
        <ns0:f>IF(U78="",0,IF(COUNTIFS(Tasks[Task ID],U78)=1,MATCH(U78,Tasks[Task ID],0),-1))</ns0:f>
        <ns0:v>0</ns0:v>
      </ns0:c>
      <ns0:c r="AD78" t="n">
        <ns0:f>IF(V78="",0,IF(COUNTIFS(Tasks[Task ID],V78)=1,MATCH(V78,Tasks[Task ID],0),-1))</ns0:f>
        <ns0:v>0</ns0:v>
      </ns0:c>
      <ns0:c r="AE78" t="n">
        <ns0:f>IF(W78="",0,IF(COUNTIFS(Tasks[Task ID],W78)=1,MATCH(W78,Tasks[Task ID],0),-1))</ns0:f>
        <ns0:v>0</ns0:v>
      </ns0:c>
      <ns0:c r="AF78" t="n">
        <ns0:f>IF(X78="",0,IF(COUNTIFS(Tasks[Task ID],X78)=1,MATCH(X78,Tasks[Task ID],0),-1))</ns0:f>
        <ns0:v>0</ns0:v>
      </ns0:c>
      <ns0:c r="AG78" t="n">
        <ns0:f>IF(Y78="",0,IF(COUNTIFS(Tasks[Task ID],Y78)=1,MATCH(Y78,Tasks[Task ID],0),-1))</ns0:f>
        <ns0:v>0</ns0:v>
      </ns0:c>
      <ns0:c r="AH78" t="n">
        <ns0:f>IF(Z78="",0,IF(COUNTIFS(Tasks[Task ID],Z78)=1,MATCH(Z78,Tasks[Task ID],0),-1))</ns0:f>
        <ns0:v>0</ns0:v>
      </ns0:c>
      <ns0:c r="AI78" t="n">
        <ns0:f>IF(AA78="",0,IF(COUNTIFS(Tasks[Task ID],AA78)=1,MATCH(AA78,Tasks[Task ID],0),-1))</ns0:f>
        <ns0:v>0</ns0:v>
      </ns0:c>
      <ns0:c r="AJ78" t="n">
        <ns0:f>IF(AB78="",0,IF(COUNTIFS(Tasks[Task ID],AB78)=1,MATCH(AB78,Tasks[Task ID],0),-1))</ns0:f>
        <ns0:v>0</ns0:v>
      </ns0:c>
      <ns0:c r="AK78" t="n">
        <ns0:f>COUNTIFS(AC78:AJ78,-1)+IF(T78&gt;8,1,0)</ns0:f>
        <ns0:v>0</ns0:v>
      </ns0:c>
      <ns0:c r="AL78" t="n">
        <ns0:f>IF(OR(A78="",S78&lt;&gt;""),0,SUM(IF(AC78&gt;0,IF($I78="FS",--($E78&lt;INDEX(Tasks[End Date],AC78)+IF(INDEX(Tasks[Milestone],AC78)="Yes",0,1)),IF($I78="SS",--($E78&lt;INDEX(Tasks[Start Date],AC78)),IF($I78="FF",--($F78&lt;INDEX(Tasks[End Date],AC78)),IF($I78="SF",--($F78&lt;INDEX(Tasks[Start Date],AC78)),0)))),0),IF(AD78&gt;0,IF($I78="FS",--($E78&lt;INDEX(Tasks[End Date],AD78)+IF(INDEX(Tasks[Milestone],AD78)="Yes",0,1)),IF($I78="SS",--($E78&lt;INDEX(Tasks[Start Date],AD78)),IF($I78="FF",--($F78&lt;INDEX(Tasks[End Date],AD78)),IF($I78="SF",--($F78&lt;INDEX(Tasks[Start Date],AD78)),0)))),0),IF(AE78&gt;0,IF($I78="FS",--($E78&lt;INDEX(Tasks[End Date],AE78)+IF(INDEX(Tasks[Milestone],AE78)="Yes",0,1)),IF($I78="SS",--($E78&lt;INDEX(Tasks[Start Date],AE78)),IF($I78="FF",--($F78&lt;INDEX(Tasks[End Date],AE78)),IF($I78="SF",--($F78&lt;INDEX(Tasks[Start Date],AE78)),0)))),0),IF(AF78&gt;0,IF($I78="FS",--($E78&lt;INDEX(Tasks[End Date],AF78)+IF(INDEX(Tasks[Milestone],AF78)="Yes",0,1)),IF($I78="SS",--($E78&lt;INDEX(Tasks[Start Date],AF78)),IF($I78="FF",--($F78&lt;INDEX(Tasks[End Date],AF78)),IF($I78="SF",--($F78&lt;INDEX(Tasks[Start Date],AF78)),0)))),0),IF(AG78&gt;0,IF($I78="FS",--($E78&lt;INDEX(Tasks[End Date],AG78)+IF(INDEX(Tasks[Milestone],AG78)="Yes",0,1)),IF($I78="SS",--($E78&lt;INDEX(Tasks[Start Date],AG78)),IF($I78="FF",--($F78&lt;INDEX(Tasks[End Date],AG78)),IF($I78="SF",--($F78&lt;INDEX(Tasks[Start Date],AG78)),0)))),0),IF(AH78&gt;0,IF($I78="FS",--($E78&lt;INDEX(Tasks[End Date],AH78)+IF(INDEX(Tasks[Milestone],AH78)="Yes",0,1)),IF($I78="SS",--($E78&lt;INDEX(Tasks[Start Date],AH78)),IF($I78="FF",--($F78&lt;INDEX(Tasks[End Date],AH78)),IF($I78="SF",--($F78&lt;INDEX(Tasks[Start Date],AH78)),0)))),0),IF(AI78&gt;0,IF($I78="FS",--($E78&lt;INDEX(Tasks[End Date],AI78)+IF(INDEX(Tasks[Milestone],AI78)="Yes",0,1)),IF($I78="SS",--($E78&lt;INDEX(Tasks[Start Date],AI78)),IF($I78="FF",--($F78&lt;INDEX(Tasks[End Date],AI78)),IF($I78="SF",--($F78&lt;INDEX(Tasks[Start Date],AI78)),0)))),0),IF(AJ78&gt;0,IF($I78="FS",--($E78&lt;INDEX(Tasks[End Date],AJ78)+IF(INDEX(Tasks[Milestone],AJ78)="Yes",0,1)),IF($I78="SS",--($E78&lt;INDEX(Tasks[Start Date],AJ78)),IF($I78="FF",--($F78&lt;INDEX(Tasks[End Date],AJ78)),IF($I78="SF",--($F78&lt;INDEX(Tasks[Start Date],AJ78)),0)))),0)))</ns0:f>
        <ns0:v>0</ns0:v>
      </ns0:c>
      <ns0:c r="AM78" t="n">
        <ns0:f>IF(AND(A78&lt;&gt;"",AK78=0,EP78=0),1,0)</ns0:f>
        <ns0:v>0</ns0:v>
      </ns0:c>
      <ns0:c r="AN78" t="str">
        <ns0:f>IF(OR(A78="",B78=""),"",IF(COUNTIFS($B$7:B78,B78)=1,MAX($AN$6:AN77)+1,""))</ns0:f>
      </ns0:c>
      <ns0:c r="AO78" t="n">
        <ns0:f>IF(AND(A78&lt;&gt;"",J78="No",N78&lt;1,E78&gt;=AsOfDate),E78+ROW()/10000,1E+9)</ns0:f>
        <ns0:v>1000000000</ns0:v>
      </ns0:c>
      <ns0:c r="AP78" t="n">
        <ns0:f>IF(AND(A78&lt;&gt;"",J78="Yes",N78&lt;1,E78&gt;=AsOfDate),E78+ROW()/10000,1E+9)</ns0:f>
        <ns0:v>1000000000</ns0:v>
      </ns0:c>
      <ns0:c r="AQ78" t="n">
        <ns0:f>IF(AND(A78&lt;&gt;"",J78="No",N78&lt;1,F78&gt;=AsOfDate,F78&lt;=AsOfDate+7),F78+ROW()/10000,1E+9)</ns0:f>
        <ns0:v>1000000000</ns0:v>
      </ns0:c>
      <ns0:c r="AR78" t="n">
        <ns0:f>IF(AND(A78&lt;&gt;"",OR(O78&lt;&gt;"On track",Q78="Delayed")),ROW(),1E+9)</ns0:f>
        <ns0:v>1000000000</ns0:v>
      </ns0:c>
      <ns0:c r="AS78" t="str">
        <ns0:f>IF(A78="","",";"&amp;K78&amp;";")</ns0:f>
      </ns0:c>
      <ns0:c r="AT78" t="n">
        <ns0:f>IF(A78="",1,--(T78=0))</ns0:f>
        <ns0:v>1</ns0:v>
      </ns0:c>
      <ns0:c r="AU78" t="n">
        <ns0:f>IF($A78="",1,IF(AT78=1,1,--AND(IF($AC78&gt;0,INDEX(AT$7:AT$106,$AC78),1),IF($AD78&gt;0,INDEX(AT$7:AT$106,$AD78),1),IF($AE78&gt;0,INDEX(AT$7:AT$106,$AE78),1),IF($AF78&gt;0,INDEX(AT$7:AT$106,$AF78),1),IF($AG78&gt;0,INDEX(AT$7:AT$106,$AG78),1),IF($AH78&gt;0,INDEX(AT$7:AT$106,$AH78),1),IF($AI78&gt;0,INDEX(AT$7:AT$106,$AI78),1),IF($AJ78&gt;0,INDEX(AT$7:AT$106,$AJ78),1))))</ns0:f>
        <ns0:v>1</ns0:v>
      </ns0:c>
      <ns0:c r="AV78" t="n">
        <ns0:f>IF($A78="",1,IF(AU78=1,1,--AND(IF($AC78&gt;0,INDEX(AU$7:AU$106,$AC78),1),IF($AD78&gt;0,INDEX(AU$7:AU$106,$AD78),1),IF($AE78&gt;0,INDEX(AU$7:AU$106,$AE78),1),IF($AF78&gt;0,INDEX(AU$7:AU$106,$AF78),1),IF($AG78&gt;0,INDEX(AU$7:AU$106,$AG78),1),IF($AH78&gt;0,INDEX(AU$7:AU$106,$AH78),1),IF($AI78&gt;0,INDEX(AU$7:AU$106,$AI78),1),IF($AJ78&gt;0,INDEX(AU$7:AU$106,$AJ78),1))))</ns0:f>
        <ns0:v>1</ns0:v>
      </ns0:c>
      <ns0:c r="AW78" t="n">
        <ns0:f>IF($A78="",1,IF(AV78=1,1,--AND(IF($AC78&gt;0,INDEX(AV$7:AV$106,$AC78),1),IF($AD78&gt;0,INDEX(AV$7:AV$106,$AD78),1),IF($AE78&gt;0,INDEX(AV$7:AV$106,$AE78),1),IF($AF78&gt;0,INDEX(AV$7:AV$106,$AF78),1),IF($AG78&gt;0,INDEX(AV$7:AV$106,$AG78),1),IF($AH78&gt;0,INDEX(AV$7:AV$106,$AH78),1),IF($AI78&gt;0,INDEX(AV$7:AV$106,$AI78),1),IF($AJ78&gt;0,INDEX(AV$7:AV$106,$AJ78),1))))</ns0:f>
        <ns0:v>1</ns0:v>
      </ns0:c>
      <ns0:c r="AX78" t="n">
        <ns0:f>IF($A78="",1,IF(AW78=1,1,--AND(IF($AC78&gt;0,INDEX(AW$7:AW$106,$AC78),1),IF($AD78&gt;0,INDEX(AW$7:AW$106,$AD78),1),IF($AE78&gt;0,INDEX(AW$7:AW$106,$AE78),1),IF($AF78&gt;0,INDEX(AW$7:AW$106,$AF78),1),IF($AG78&gt;0,INDEX(AW$7:AW$106,$AG78),1),IF($AH78&gt;0,INDEX(AW$7:AW$106,$AH78),1),IF($AI78&gt;0,INDEX(AW$7:AW$106,$AI78),1),IF($AJ78&gt;0,INDEX(AW$7:AW$106,$AJ78),1))))</ns0:f>
        <ns0:v>1</ns0:v>
      </ns0:c>
      <ns0:c r="AY78" t="n">
        <ns0:f>IF($A78="",1,IF(AX78=1,1,--AND(IF($AC78&gt;0,INDEX(AX$7:AX$106,$AC78),1),IF($AD78&gt;0,INDEX(AX$7:AX$106,$AD78),1),IF($AE78&gt;0,INDEX(AX$7:AX$106,$AE78),1),IF($AF78&gt;0,INDEX(AX$7:AX$106,$AF78),1),IF($AG78&gt;0,INDEX(AX$7:AX$106,$AG78),1),IF($AH78&gt;0,INDEX(AX$7:AX$106,$AH78),1),IF($AI78&gt;0,INDEX(AX$7:AX$106,$AI78),1),IF($AJ78&gt;0,INDEX(AX$7:AX$106,$AJ78),1))))</ns0:f>
        <ns0:v>1</ns0:v>
      </ns0:c>
      <ns0:c r="AZ78" t="n">
        <ns0:f>IF($A78="",1,IF(AY78=1,1,--AND(IF($AC78&gt;0,INDEX(AY$7:AY$106,$AC78),1),IF($AD78&gt;0,INDEX(AY$7:AY$106,$AD78),1),IF($AE78&gt;0,INDEX(AY$7:AY$106,$AE78),1),IF($AF78&gt;0,INDEX(AY$7:AY$106,$AF78),1),IF($AG78&gt;0,INDEX(AY$7:AY$106,$AG78),1),IF($AH78&gt;0,INDEX(AY$7:AY$106,$AH78),1),IF($AI78&gt;0,INDEX(AY$7:AY$106,$AI78),1),IF($AJ78&gt;0,INDEX(AY$7:AY$106,$AJ78),1))))</ns0:f>
        <ns0:v>1</ns0:v>
      </ns0:c>
      <ns0:c r="BA78" t="n">
        <ns0:f>IF($A78="",1,IF(AZ78=1,1,--AND(IF($AC78&gt;0,INDEX(AZ$7:AZ$106,$AC78),1),IF($AD78&gt;0,INDEX(AZ$7:AZ$106,$AD78),1),IF($AE78&gt;0,INDEX(AZ$7:AZ$106,$AE78),1),IF($AF78&gt;0,INDEX(AZ$7:AZ$106,$AF78),1),IF($AG78&gt;0,INDEX(AZ$7:AZ$106,$AG78),1),IF($AH78&gt;0,INDEX(AZ$7:AZ$106,$AH78),1),IF($AI78&gt;0,INDEX(AZ$7:AZ$106,$AI78),1),IF($AJ78&gt;0,INDEX(AZ$7:AZ$106,$AJ78),1))))</ns0:f>
        <ns0:v>1</ns0:v>
      </ns0:c>
      <ns0:c r="BB78" t="n">
        <ns0:f>IF($A78="",1,IF(BA78=1,1,--AND(IF($AC78&gt;0,INDEX(BA$7:BA$106,$AC78),1),IF($AD78&gt;0,INDEX(BA$7:BA$106,$AD78),1),IF($AE78&gt;0,INDEX(BA$7:BA$106,$AE78),1),IF($AF78&gt;0,INDEX(BA$7:BA$106,$AF78),1),IF($AG78&gt;0,INDEX(BA$7:BA$106,$AG78),1),IF($AH78&gt;0,INDEX(BA$7:BA$106,$AH78),1),IF($AI78&gt;0,INDEX(BA$7:BA$106,$AI78),1),IF($AJ78&gt;0,INDEX(BA$7:BA$106,$AJ78),1))))</ns0:f>
        <ns0:v>1</ns0:v>
      </ns0:c>
      <ns0:c r="BC78" t="n">
        <ns0:f>IF($A78="",1,IF(BB78=1,1,--AND(IF($AC78&gt;0,INDEX(BB$7:BB$106,$AC78),1),IF($AD78&gt;0,INDEX(BB$7:BB$106,$AD78),1),IF($AE78&gt;0,INDEX(BB$7:BB$106,$AE78),1),IF($AF78&gt;0,INDEX(BB$7:BB$106,$AF78),1),IF($AG78&gt;0,INDEX(BB$7:BB$106,$AG78),1),IF($AH78&gt;0,INDEX(BB$7:BB$106,$AH78),1),IF($AI78&gt;0,INDEX(BB$7:BB$106,$AI78),1),IF($AJ78&gt;0,INDEX(BB$7:BB$106,$AJ78),1))))</ns0:f>
        <ns0:v>1</ns0:v>
      </ns0:c>
      <ns0:c r="BD78" t="n">
        <ns0:f>IF($A78="",1,IF(BC78=1,1,--AND(IF($AC78&gt;0,INDEX(BC$7:BC$106,$AC78),1),IF($AD78&gt;0,INDEX(BC$7:BC$106,$AD78),1),IF($AE78&gt;0,INDEX(BC$7:BC$106,$AE78),1),IF($AF78&gt;0,INDEX(BC$7:BC$106,$AF78),1),IF($AG78&gt;0,INDEX(BC$7:BC$106,$AG78),1),IF($AH78&gt;0,INDEX(BC$7:BC$106,$AH78),1),IF($AI78&gt;0,INDEX(BC$7:BC$106,$AI78),1),IF($AJ78&gt;0,INDEX(BC$7:BC$106,$AJ78),1))))</ns0:f>
        <ns0:v>1</ns0:v>
      </ns0:c>
      <ns0:c r="BE78" t="n">
        <ns0:f>IF($A78="",1,IF(BD78=1,1,--AND(IF($AC78&gt;0,INDEX(BD$7:BD$106,$AC78),1),IF($AD78&gt;0,INDEX(BD$7:BD$106,$AD78),1),IF($AE78&gt;0,INDEX(BD$7:BD$106,$AE78),1),IF($AF78&gt;0,INDEX(BD$7:BD$106,$AF78),1),IF($AG78&gt;0,INDEX(BD$7:BD$106,$AG78),1),IF($AH78&gt;0,INDEX(BD$7:BD$106,$AH78),1),IF($AI78&gt;0,INDEX(BD$7:BD$106,$AI78),1),IF($AJ78&gt;0,INDEX(BD$7:BD$106,$AJ78),1))))</ns0:f>
        <ns0:v>1</ns0:v>
      </ns0:c>
      <ns0:c r="BF78" t="n">
        <ns0:f>IF($A78="",1,IF(BE78=1,1,--AND(IF($AC78&gt;0,INDEX(BE$7:BE$106,$AC78),1),IF($AD78&gt;0,INDEX(BE$7:BE$106,$AD78),1),IF($AE78&gt;0,INDEX(BE$7:BE$106,$AE78),1),IF($AF78&gt;0,INDEX(BE$7:BE$106,$AF78),1),IF($AG78&gt;0,INDEX(BE$7:BE$106,$AG78),1),IF($AH78&gt;0,INDEX(BE$7:BE$106,$AH78),1),IF($AI78&gt;0,INDEX(BE$7:BE$106,$AI78),1),IF($AJ78&gt;0,INDEX(BE$7:BE$106,$AJ78),1))))</ns0:f>
        <ns0:v>1</ns0:v>
      </ns0:c>
      <ns0:c r="BG78" t="n">
        <ns0:f>IF($A78="",1,IF(BF78=1,1,--AND(IF($AC78&gt;0,INDEX(BF$7:BF$106,$AC78),1),IF($AD78&gt;0,INDEX(BF$7:BF$106,$AD78),1),IF($AE78&gt;0,INDEX(BF$7:BF$106,$AE78),1),IF($AF78&gt;0,INDEX(BF$7:BF$106,$AF78),1),IF($AG78&gt;0,INDEX(BF$7:BF$106,$AG78),1),IF($AH78&gt;0,INDEX(BF$7:BF$106,$AH78),1),IF($AI78&gt;0,INDEX(BF$7:BF$106,$AI78),1),IF($AJ78&gt;0,INDEX(BF$7:BF$106,$AJ78),1))))</ns0:f>
        <ns0:v>1</ns0:v>
      </ns0:c>
      <ns0:c r="BH78" t="n">
        <ns0:f>IF($A78="",1,IF(BG78=1,1,--AND(IF($AC78&gt;0,INDEX(BG$7:BG$106,$AC78),1),IF($AD78&gt;0,INDEX(BG$7:BG$106,$AD78),1),IF($AE78&gt;0,INDEX(BG$7:BG$106,$AE78),1),IF($AF78&gt;0,INDEX(BG$7:BG$106,$AF78),1),IF($AG78&gt;0,INDEX(BG$7:BG$106,$AG78),1),IF($AH78&gt;0,INDEX(BG$7:BG$106,$AH78),1),IF($AI78&gt;0,INDEX(BG$7:BG$106,$AI78),1),IF($AJ78&gt;0,INDEX(BG$7:BG$106,$AJ78),1))))</ns0:f>
        <ns0:v>1</ns0:v>
      </ns0:c>
      <ns0:c r="BI78" t="n">
        <ns0:f>IF($A78="",1,IF(BH78=1,1,--AND(IF($AC78&gt;0,INDEX(BH$7:BH$106,$AC78),1),IF($AD78&gt;0,INDEX(BH$7:BH$106,$AD78),1),IF($AE78&gt;0,INDEX(BH$7:BH$106,$AE78),1),IF($AF78&gt;0,INDEX(BH$7:BH$106,$AF78),1),IF($AG78&gt;0,INDEX(BH$7:BH$106,$AG78),1),IF($AH78&gt;0,INDEX(BH$7:BH$106,$AH78),1),IF($AI78&gt;0,INDEX(BH$7:BH$106,$AI78),1),IF($AJ78&gt;0,INDEX(BH$7:BH$106,$AJ78),1))))</ns0:f>
        <ns0:v>1</ns0:v>
      </ns0:c>
      <ns0:c r="BJ78" t="n">
        <ns0:f>IF($A78="",1,IF(BI78=1,1,--AND(IF($AC78&gt;0,INDEX(BI$7:BI$106,$AC78),1),IF($AD78&gt;0,INDEX(BI$7:BI$106,$AD78),1),IF($AE78&gt;0,INDEX(BI$7:BI$106,$AE78),1),IF($AF78&gt;0,INDEX(BI$7:BI$106,$AF78),1),IF($AG78&gt;0,INDEX(BI$7:BI$106,$AG78),1),IF($AH78&gt;0,INDEX(BI$7:BI$106,$AH78),1),IF($AI78&gt;0,INDEX(BI$7:BI$106,$AI78),1),IF($AJ78&gt;0,INDEX(BI$7:BI$106,$AJ78),1))))</ns0:f>
        <ns0:v>1</ns0:v>
      </ns0:c>
      <ns0:c r="BK78" t="n">
        <ns0:f>IF($A78="",1,IF(BJ78=1,1,--AND(IF($AC78&gt;0,INDEX(BJ$7:BJ$106,$AC78),1),IF($AD78&gt;0,INDEX(BJ$7:BJ$106,$AD78),1),IF($AE78&gt;0,INDEX(BJ$7:BJ$106,$AE78),1),IF($AF78&gt;0,INDEX(BJ$7:BJ$106,$AF78),1),IF($AG78&gt;0,INDEX(BJ$7:BJ$106,$AG78),1),IF($AH78&gt;0,INDEX(BJ$7:BJ$106,$AH78),1),IF($AI78&gt;0,INDEX(BJ$7:BJ$106,$AI78),1),IF($AJ78&gt;0,INDEX(BJ$7:BJ$106,$AJ78),1))))</ns0:f>
        <ns0:v>1</ns0:v>
      </ns0:c>
      <ns0:c r="BL78" t="n">
        <ns0:f>IF($A78="",1,IF(BK78=1,1,--AND(IF($AC78&gt;0,INDEX(BK$7:BK$106,$AC78),1),IF($AD78&gt;0,INDEX(BK$7:BK$106,$AD78),1),IF($AE78&gt;0,INDEX(BK$7:BK$106,$AE78),1),IF($AF78&gt;0,INDEX(BK$7:BK$106,$AF78),1),IF($AG78&gt;0,INDEX(BK$7:BK$106,$AG78),1),IF($AH78&gt;0,INDEX(BK$7:BK$106,$AH78),1),IF($AI78&gt;0,INDEX(BK$7:BK$106,$AI78),1),IF($AJ78&gt;0,INDEX(BK$7:BK$106,$AJ78),1))))</ns0:f>
        <ns0:v>1</ns0:v>
      </ns0:c>
      <ns0:c r="BM78" t="n">
        <ns0:f>IF($A78="",1,IF(BL78=1,1,--AND(IF($AC78&gt;0,INDEX(BL$7:BL$106,$AC78),1),IF($AD78&gt;0,INDEX(BL$7:BL$106,$AD78),1),IF($AE78&gt;0,INDEX(BL$7:BL$106,$AE78),1),IF($AF78&gt;0,INDEX(BL$7:BL$106,$AF78),1),IF($AG78&gt;0,INDEX(BL$7:BL$106,$AG78),1),IF($AH78&gt;0,INDEX(BL$7:BL$106,$AH78),1),IF($AI78&gt;0,INDEX(BL$7:BL$106,$AI78),1),IF($AJ78&gt;0,INDEX(BL$7:BL$106,$AJ78),1))))</ns0:f>
        <ns0:v>1</ns0:v>
      </ns0:c>
      <ns0:c r="BN78" t="n">
        <ns0:f>IF($A78="",1,IF(BM78=1,1,--AND(IF($AC78&gt;0,INDEX(BM$7:BM$106,$AC78),1),IF($AD78&gt;0,INDEX(BM$7:BM$106,$AD78),1),IF($AE78&gt;0,INDEX(BM$7:BM$106,$AE78),1),IF($AF78&gt;0,INDEX(BM$7:BM$106,$AF78),1),IF($AG78&gt;0,INDEX(BM$7:BM$106,$AG78),1),IF($AH78&gt;0,INDEX(BM$7:BM$106,$AH78),1),IF($AI78&gt;0,INDEX(BM$7:BM$106,$AI78),1),IF($AJ78&gt;0,INDEX(BM$7:BM$106,$AJ78),1))))</ns0:f>
        <ns0:v>1</ns0:v>
      </ns0:c>
      <ns0:c r="BO78" t="n">
        <ns0:f>IF($A78="",1,IF(BN78=1,1,--AND(IF($AC78&gt;0,INDEX(BN$7:BN$106,$AC78),1),IF($AD78&gt;0,INDEX(BN$7:BN$106,$AD78),1),IF($AE78&gt;0,INDEX(BN$7:BN$106,$AE78),1),IF($AF78&gt;0,INDEX(BN$7:BN$106,$AF78),1),IF($AG78&gt;0,INDEX(BN$7:BN$106,$AG78),1),IF($AH78&gt;0,INDEX(BN$7:BN$106,$AH78),1),IF($AI78&gt;0,INDEX(BN$7:BN$106,$AI78),1),IF($AJ78&gt;0,INDEX(BN$7:BN$106,$AJ78),1))))</ns0:f>
        <ns0:v>1</ns0:v>
      </ns0:c>
      <ns0:c r="BP78" t="n">
        <ns0:f>IF($A78="",1,IF(BO78=1,1,--AND(IF($AC78&gt;0,INDEX(BO$7:BO$106,$AC78),1),IF($AD78&gt;0,INDEX(BO$7:BO$106,$AD78),1),IF($AE78&gt;0,INDEX(BO$7:BO$106,$AE78),1),IF($AF78&gt;0,INDEX(BO$7:BO$106,$AF78),1),IF($AG78&gt;0,INDEX(BO$7:BO$106,$AG78),1),IF($AH78&gt;0,INDEX(BO$7:BO$106,$AH78),1),IF($AI78&gt;0,INDEX(BO$7:BO$106,$AI78),1),IF($AJ78&gt;0,INDEX(BO$7:BO$106,$AJ78),1))))</ns0:f>
        <ns0:v>1</ns0:v>
      </ns0:c>
      <ns0:c r="BQ78" t="n">
        <ns0:f>IF($A78="",1,IF(BP78=1,1,--AND(IF($AC78&gt;0,INDEX(BP$7:BP$106,$AC78),1),IF($AD78&gt;0,INDEX(BP$7:BP$106,$AD78),1),IF($AE78&gt;0,INDEX(BP$7:BP$106,$AE78),1),IF($AF78&gt;0,INDEX(BP$7:BP$106,$AF78),1),IF($AG78&gt;0,INDEX(BP$7:BP$106,$AG78),1),IF($AH78&gt;0,INDEX(BP$7:BP$106,$AH78),1),IF($AI78&gt;0,INDEX(BP$7:BP$106,$AI78),1),IF($AJ78&gt;0,INDEX(BP$7:BP$106,$AJ78),1))))</ns0:f>
        <ns0:v>1</ns0:v>
      </ns0:c>
      <ns0:c r="BR78" t="n">
        <ns0:f>IF($A78="",1,IF(BQ78=1,1,--AND(IF($AC78&gt;0,INDEX(BQ$7:BQ$106,$AC78),1),IF($AD78&gt;0,INDEX(BQ$7:BQ$106,$AD78),1),IF($AE78&gt;0,INDEX(BQ$7:BQ$106,$AE78),1),IF($AF78&gt;0,INDEX(BQ$7:BQ$106,$AF78),1),IF($AG78&gt;0,INDEX(BQ$7:BQ$106,$AG78),1),IF($AH78&gt;0,INDEX(BQ$7:BQ$106,$AH78),1),IF($AI78&gt;0,INDEX(BQ$7:BQ$106,$AI78),1),IF($AJ78&gt;0,INDEX(BQ$7:BQ$106,$AJ78),1))))</ns0:f>
        <ns0:v>1</ns0:v>
      </ns0:c>
      <ns0:c r="BS78" t="n">
        <ns0:f>IF($A78="",1,IF(BR78=1,1,--AND(IF($AC78&gt;0,INDEX(BR$7:BR$106,$AC78),1),IF($AD78&gt;0,INDEX(BR$7:BR$106,$AD78),1),IF($AE78&gt;0,INDEX(BR$7:BR$106,$AE78),1),IF($AF78&gt;0,INDEX(BR$7:BR$106,$AF78),1),IF($AG78&gt;0,INDEX(BR$7:BR$106,$AG78),1),IF($AH78&gt;0,INDEX(BR$7:BR$106,$AH78),1),IF($AI78&gt;0,INDEX(BR$7:BR$106,$AI78),1),IF($AJ78&gt;0,INDEX(BR$7:BR$106,$AJ78),1))))</ns0:f>
        <ns0:v>1</ns0:v>
      </ns0:c>
      <ns0:c r="BT78" t="n">
        <ns0:f>IF($A78="",1,IF(BS78=1,1,--AND(IF($AC78&gt;0,INDEX(BS$7:BS$106,$AC78),1),IF($AD78&gt;0,INDEX(BS$7:BS$106,$AD78),1),IF($AE78&gt;0,INDEX(BS$7:BS$106,$AE78),1),IF($AF78&gt;0,INDEX(BS$7:BS$106,$AF78),1),IF($AG78&gt;0,INDEX(BS$7:BS$106,$AG78),1),IF($AH78&gt;0,INDEX(BS$7:BS$106,$AH78),1),IF($AI78&gt;0,INDEX(BS$7:BS$106,$AI78),1),IF($AJ78&gt;0,INDEX(BS$7:BS$106,$AJ78),1))))</ns0:f>
        <ns0:v>1</ns0:v>
      </ns0:c>
      <ns0:c r="BU78" t="n">
        <ns0:f>IF($A78="",1,IF(BT78=1,1,--AND(IF($AC78&gt;0,INDEX(BT$7:BT$106,$AC78),1),IF($AD78&gt;0,INDEX(BT$7:BT$106,$AD78),1),IF($AE78&gt;0,INDEX(BT$7:BT$106,$AE78),1),IF($AF78&gt;0,INDEX(BT$7:BT$106,$AF78),1),IF($AG78&gt;0,INDEX(BT$7:BT$106,$AG78),1),IF($AH78&gt;0,INDEX(BT$7:BT$106,$AH78),1),IF($AI78&gt;0,INDEX(BT$7:BT$106,$AI78),1),IF($AJ78&gt;0,INDEX(BT$7:BT$106,$AJ78),1))))</ns0:f>
        <ns0:v>1</ns0:v>
      </ns0:c>
      <ns0:c r="BV78" t="n">
        <ns0:f>IF($A78="",1,IF(BU78=1,1,--AND(IF($AC78&gt;0,INDEX(BU$7:BU$106,$AC78),1),IF($AD78&gt;0,INDEX(BU$7:BU$106,$AD78),1),IF($AE78&gt;0,INDEX(BU$7:BU$106,$AE78),1),IF($AF78&gt;0,INDEX(BU$7:BU$106,$AF78),1),IF($AG78&gt;0,INDEX(BU$7:BU$106,$AG78),1),IF($AH78&gt;0,INDEX(BU$7:BU$106,$AH78),1),IF($AI78&gt;0,INDEX(BU$7:BU$106,$AI78),1),IF($AJ78&gt;0,INDEX(BU$7:BU$106,$AJ78),1))))</ns0:f>
        <ns0:v>1</ns0:v>
      </ns0:c>
      <ns0:c r="BW78" t="n">
        <ns0:f>IF($A78="",1,IF(BV78=1,1,--AND(IF($AC78&gt;0,INDEX(BV$7:BV$106,$AC78),1),IF($AD78&gt;0,INDEX(BV$7:BV$106,$AD78),1),IF($AE78&gt;0,INDEX(BV$7:BV$106,$AE78),1),IF($AF78&gt;0,INDEX(BV$7:BV$106,$AF78),1),IF($AG78&gt;0,INDEX(BV$7:BV$106,$AG78),1),IF($AH78&gt;0,INDEX(BV$7:BV$106,$AH78),1),IF($AI78&gt;0,INDEX(BV$7:BV$106,$AI78),1),IF($AJ78&gt;0,INDEX(BV$7:BV$106,$AJ78),1))))</ns0:f>
        <ns0:v>1</ns0:v>
      </ns0:c>
      <ns0:c r="BX78" t="n">
        <ns0:f>IF($A78="",1,IF(BW78=1,1,--AND(IF($AC78&gt;0,INDEX(BW$7:BW$106,$AC78),1),IF($AD78&gt;0,INDEX(BW$7:BW$106,$AD78),1),IF($AE78&gt;0,INDEX(BW$7:BW$106,$AE78),1),IF($AF78&gt;0,INDEX(BW$7:BW$106,$AF78),1),IF($AG78&gt;0,INDEX(BW$7:BW$106,$AG78),1),IF($AH78&gt;0,INDEX(BW$7:BW$106,$AH78),1),IF($AI78&gt;0,INDEX(BW$7:BW$106,$AI78),1),IF($AJ78&gt;0,INDEX(BW$7:BW$106,$AJ78),1))))</ns0:f>
        <ns0:v>1</ns0:v>
      </ns0:c>
      <ns0:c r="BY78" t="n">
        <ns0:f>IF($A78="",1,IF(BX78=1,1,--AND(IF($AC78&gt;0,INDEX(BX$7:BX$106,$AC78),1),IF($AD78&gt;0,INDEX(BX$7:BX$106,$AD78),1),IF($AE78&gt;0,INDEX(BX$7:BX$106,$AE78),1),IF($AF78&gt;0,INDEX(BX$7:BX$106,$AF78),1),IF($AG78&gt;0,INDEX(BX$7:BX$106,$AG78),1),IF($AH78&gt;0,INDEX(BX$7:BX$106,$AH78),1),IF($AI78&gt;0,INDEX(BX$7:BX$106,$AI78),1),IF($AJ78&gt;0,INDEX(BX$7:BX$106,$AJ78),1))))</ns0:f>
        <ns0:v>1</ns0:v>
      </ns0:c>
      <ns0:c r="BZ78" t="n">
        <ns0:f>IF($A78="",1,IF(BY78=1,1,--AND(IF($AC78&gt;0,INDEX(BY$7:BY$106,$AC78),1),IF($AD78&gt;0,INDEX(BY$7:BY$106,$AD78),1),IF($AE78&gt;0,INDEX(BY$7:BY$106,$AE78),1),IF($AF78&gt;0,INDEX(BY$7:BY$106,$AF78),1),IF($AG78&gt;0,INDEX(BY$7:BY$106,$AG78),1),IF($AH78&gt;0,INDEX(BY$7:BY$106,$AH78),1),IF($AI78&gt;0,INDEX(BY$7:BY$106,$AI78),1),IF($AJ78&gt;0,INDEX(BY$7:BY$106,$AJ78),1))))</ns0:f>
        <ns0:v>1</ns0:v>
      </ns0:c>
      <ns0:c r="CA78" t="n">
        <ns0:f>IF($A78="",1,IF(BZ78=1,1,--AND(IF($AC78&gt;0,INDEX(BZ$7:BZ$106,$AC78),1),IF($AD78&gt;0,INDEX(BZ$7:BZ$106,$AD78),1),IF($AE78&gt;0,INDEX(BZ$7:BZ$106,$AE78),1),IF($AF78&gt;0,INDEX(BZ$7:BZ$106,$AF78),1),IF($AG78&gt;0,INDEX(BZ$7:BZ$106,$AG78),1),IF($AH78&gt;0,INDEX(BZ$7:BZ$106,$AH78),1),IF($AI78&gt;0,INDEX(BZ$7:BZ$106,$AI78),1),IF($AJ78&gt;0,INDEX(BZ$7:BZ$106,$AJ78),1))))</ns0:f>
        <ns0:v>1</ns0:v>
      </ns0:c>
      <ns0:c r="CB78" t="n">
        <ns0:f>IF($A78="",1,IF(CA78=1,1,--AND(IF($AC78&gt;0,INDEX(CA$7:CA$106,$AC78),1),IF($AD78&gt;0,INDEX(CA$7:CA$106,$AD78),1),IF($AE78&gt;0,INDEX(CA$7:CA$106,$AE78),1),IF($AF78&gt;0,INDEX(CA$7:CA$106,$AF78),1),IF($AG78&gt;0,INDEX(CA$7:CA$106,$AG78),1),IF($AH78&gt;0,INDEX(CA$7:CA$106,$AH78),1),IF($AI78&gt;0,INDEX(CA$7:CA$106,$AI78),1),IF($AJ78&gt;0,INDEX(CA$7:CA$106,$AJ78),1))))</ns0:f>
        <ns0:v>1</ns0:v>
      </ns0:c>
      <ns0:c r="CC78" t="n">
        <ns0:f>IF($A78="",1,IF(CB78=1,1,--AND(IF($AC78&gt;0,INDEX(CB$7:CB$106,$AC78),1),IF($AD78&gt;0,INDEX(CB$7:CB$106,$AD78),1),IF($AE78&gt;0,INDEX(CB$7:CB$106,$AE78),1),IF($AF78&gt;0,INDEX(CB$7:CB$106,$AF78),1),IF($AG78&gt;0,INDEX(CB$7:CB$106,$AG78),1),IF($AH78&gt;0,INDEX(CB$7:CB$106,$AH78),1),IF($AI78&gt;0,INDEX(CB$7:CB$106,$AI78),1),IF($AJ78&gt;0,INDEX(CB$7:CB$106,$AJ78),1))))</ns0:f>
        <ns0:v>1</ns0:v>
      </ns0:c>
      <ns0:c r="CD78" t="n">
        <ns0:f>IF($A78="",1,IF(CC78=1,1,--AND(IF($AC78&gt;0,INDEX(CC$7:CC$106,$AC78),1),IF($AD78&gt;0,INDEX(CC$7:CC$106,$AD78),1),IF($AE78&gt;0,INDEX(CC$7:CC$106,$AE78),1),IF($AF78&gt;0,INDEX(CC$7:CC$106,$AF78),1),IF($AG78&gt;0,INDEX(CC$7:CC$106,$AG78),1),IF($AH78&gt;0,INDEX(CC$7:CC$106,$AH78),1),IF($AI78&gt;0,INDEX(CC$7:CC$106,$AI78),1),IF($AJ78&gt;0,INDEX(CC$7:CC$106,$AJ78),1))))</ns0:f>
        <ns0:v>1</ns0:v>
      </ns0:c>
      <ns0:c r="CE78" t="n">
        <ns0:f>IF($A78="",1,IF(CD78=1,1,--AND(IF($AC78&gt;0,INDEX(CD$7:CD$106,$AC78),1),IF($AD78&gt;0,INDEX(CD$7:CD$106,$AD78),1),IF($AE78&gt;0,INDEX(CD$7:CD$106,$AE78),1),IF($AF78&gt;0,INDEX(CD$7:CD$106,$AF78),1),IF($AG78&gt;0,INDEX(CD$7:CD$106,$AG78),1),IF($AH78&gt;0,INDEX(CD$7:CD$106,$AH78),1),IF($AI78&gt;0,INDEX(CD$7:CD$106,$AI78),1),IF($AJ78&gt;0,INDEX(CD$7:CD$106,$AJ78),1))))</ns0:f>
        <ns0:v>1</ns0:v>
      </ns0:c>
      <ns0:c r="CF78" t="n">
        <ns0:f>IF($A78="",1,IF(CE78=1,1,--AND(IF($AC78&gt;0,INDEX(CE$7:CE$106,$AC78),1),IF($AD78&gt;0,INDEX(CE$7:CE$106,$AD78),1),IF($AE78&gt;0,INDEX(CE$7:CE$106,$AE78),1),IF($AF78&gt;0,INDEX(CE$7:CE$106,$AF78),1),IF($AG78&gt;0,INDEX(CE$7:CE$106,$AG78),1),IF($AH78&gt;0,INDEX(CE$7:CE$106,$AH78),1),IF($AI78&gt;0,INDEX(CE$7:CE$106,$AI78),1),IF($AJ78&gt;0,INDEX(CE$7:CE$106,$AJ78),1))))</ns0:f>
        <ns0:v>1</ns0:v>
      </ns0:c>
      <ns0:c r="CG78" t="n">
        <ns0:f>IF($A78="",1,IF(CF78=1,1,--AND(IF($AC78&gt;0,INDEX(CF$7:CF$106,$AC78),1),IF($AD78&gt;0,INDEX(CF$7:CF$106,$AD78),1),IF($AE78&gt;0,INDEX(CF$7:CF$106,$AE78),1),IF($AF78&gt;0,INDEX(CF$7:CF$106,$AF78),1),IF($AG78&gt;0,INDEX(CF$7:CF$106,$AG78),1),IF($AH78&gt;0,INDEX(CF$7:CF$106,$AH78),1),IF($AI78&gt;0,INDEX(CF$7:CF$106,$AI78),1),IF($AJ78&gt;0,INDEX(CF$7:CF$106,$AJ78),1))))</ns0:f>
        <ns0:v>1</ns0:v>
      </ns0:c>
      <ns0:c r="CH78" t="n">
        <ns0:f>IF($A78="",1,IF(CG78=1,1,--AND(IF($AC78&gt;0,INDEX(CG$7:CG$106,$AC78),1),IF($AD78&gt;0,INDEX(CG$7:CG$106,$AD78),1),IF($AE78&gt;0,INDEX(CG$7:CG$106,$AE78),1),IF($AF78&gt;0,INDEX(CG$7:CG$106,$AF78),1),IF($AG78&gt;0,INDEX(CG$7:CG$106,$AG78),1),IF($AH78&gt;0,INDEX(CG$7:CG$106,$AH78),1),IF($AI78&gt;0,INDEX(CG$7:CG$106,$AI78),1),IF($AJ78&gt;0,INDEX(CG$7:CG$106,$AJ78),1))))</ns0:f>
        <ns0:v>1</ns0:v>
      </ns0:c>
      <ns0:c r="CI78" t="n">
        <ns0:f>IF($A78="",1,IF(CH78=1,1,--AND(IF($AC78&gt;0,INDEX(CH$7:CH$106,$AC78),1),IF($AD78&gt;0,INDEX(CH$7:CH$106,$AD78),1),IF($AE78&gt;0,INDEX(CH$7:CH$106,$AE78),1),IF($AF78&gt;0,INDEX(CH$7:CH$106,$AF78),1),IF($AG78&gt;0,INDEX(CH$7:CH$106,$AG78),1),IF($AH78&gt;0,INDEX(CH$7:CH$106,$AH78),1),IF($AI78&gt;0,INDEX(CH$7:CH$106,$AI78),1),IF($AJ78&gt;0,INDEX(CH$7:CH$106,$AJ78),1))))</ns0:f>
        <ns0:v>1</ns0:v>
      </ns0:c>
      <ns0:c r="CJ78" t="n">
        <ns0:f>IF($A78="",1,IF(CI78=1,1,--AND(IF($AC78&gt;0,INDEX(CI$7:CI$106,$AC78),1),IF($AD78&gt;0,INDEX(CI$7:CI$106,$AD78),1),IF($AE78&gt;0,INDEX(CI$7:CI$106,$AE78),1),IF($AF78&gt;0,INDEX(CI$7:CI$106,$AF78),1),IF($AG78&gt;0,INDEX(CI$7:CI$106,$AG78),1),IF($AH78&gt;0,INDEX(CI$7:CI$106,$AH78),1),IF($AI78&gt;0,INDEX(CI$7:CI$106,$AI78),1),IF($AJ78&gt;0,INDEX(CI$7:CI$106,$AJ78),1))))</ns0:f>
        <ns0:v>1</ns0:v>
      </ns0:c>
      <ns0:c r="CK78" t="n">
        <ns0:f>IF($A78="",1,IF(CJ78=1,1,--AND(IF($AC78&gt;0,INDEX(CJ$7:CJ$106,$AC78),1),IF($AD78&gt;0,INDEX(CJ$7:CJ$106,$AD78),1),IF($AE78&gt;0,INDEX(CJ$7:CJ$106,$AE78),1),IF($AF78&gt;0,INDEX(CJ$7:CJ$106,$AF78),1),IF($AG78&gt;0,INDEX(CJ$7:CJ$106,$AG78),1),IF($AH78&gt;0,INDEX(CJ$7:CJ$106,$AH78),1),IF($AI78&gt;0,INDEX(CJ$7:CJ$106,$AI78),1),IF($AJ78&gt;0,INDEX(CJ$7:CJ$106,$AJ78),1))))</ns0:f>
        <ns0:v>1</ns0:v>
      </ns0:c>
      <ns0:c r="CL78" t="n">
        <ns0:f>IF($A78="",1,IF(CK78=1,1,--AND(IF($AC78&gt;0,INDEX(CK$7:CK$106,$AC78),1),IF($AD78&gt;0,INDEX(CK$7:CK$106,$AD78),1),IF($AE78&gt;0,INDEX(CK$7:CK$106,$AE78),1),IF($AF78&gt;0,INDEX(CK$7:CK$106,$AF78),1),IF($AG78&gt;0,INDEX(CK$7:CK$106,$AG78),1),IF($AH78&gt;0,INDEX(CK$7:CK$106,$AH78),1),IF($AI78&gt;0,INDEX(CK$7:CK$106,$AI78),1),IF($AJ78&gt;0,INDEX(CK$7:CK$106,$AJ78),1))))</ns0:f>
        <ns0:v>1</ns0:v>
      </ns0:c>
      <ns0:c r="CM78" t="n">
        <ns0:f>IF($A78="",1,IF(CL78=1,1,--AND(IF($AC78&gt;0,INDEX(CL$7:CL$106,$AC78),1),IF($AD78&gt;0,INDEX(CL$7:CL$106,$AD78),1),IF($AE78&gt;0,INDEX(CL$7:CL$106,$AE78),1),IF($AF78&gt;0,INDEX(CL$7:CL$106,$AF78),1),IF($AG78&gt;0,INDEX(CL$7:CL$106,$AG78),1),IF($AH78&gt;0,INDEX(CL$7:CL$106,$AH78),1),IF($AI78&gt;0,INDEX(CL$7:CL$106,$AI78),1),IF($AJ78&gt;0,INDEX(CL$7:CL$106,$AJ78),1))))</ns0:f>
        <ns0:v>1</ns0:v>
      </ns0:c>
      <ns0:c r="CN78" t="n">
        <ns0:f>IF($A78="",1,IF(CM78=1,1,--AND(IF($AC78&gt;0,INDEX(CM$7:CM$106,$AC78),1),IF($AD78&gt;0,INDEX(CM$7:CM$106,$AD78),1),IF($AE78&gt;0,INDEX(CM$7:CM$106,$AE78),1),IF($AF78&gt;0,INDEX(CM$7:CM$106,$AF78),1),IF($AG78&gt;0,INDEX(CM$7:CM$106,$AG78),1),IF($AH78&gt;0,INDEX(CM$7:CM$106,$AH78),1),IF($AI78&gt;0,INDEX(CM$7:CM$106,$AI78),1),IF($AJ78&gt;0,INDEX(CM$7:CM$106,$AJ78),1))))</ns0:f>
        <ns0:v>1</ns0:v>
      </ns0:c>
      <ns0:c r="CO78" t="n">
        <ns0:f>IF($A78="",1,IF(CN78=1,1,--AND(IF($AC78&gt;0,INDEX(CN$7:CN$106,$AC78),1),IF($AD78&gt;0,INDEX(CN$7:CN$106,$AD78),1),IF($AE78&gt;0,INDEX(CN$7:CN$106,$AE78),1),IF($AF78&gt;0,INDEX(CN$7:CN$106,$AF78),1),IF($AG78&gt;0,INDEX(CN$7:CN$106,$AG78),1),IF($AH78&gt;0,INDEX(CN$7:CN$106,$AH78),1),IF($AI78&gt;0,INDEX(CN$7:CN$106,$AI78),1),IF($AJ78&gt;0,INDEX(CN$7:CN$106,$AJ78),1))))</ns0:f>
        <ns0:v>1</ns0:v>
      </ns0:c>
      <ns0:c r="CP78" t="n">
        <ns0:f>IF($A78="",1,IF(CO78=1,1,--AND(IF($AC78&gt;0,INDEX(CO$7:CO$106,$AC78),1),IF($AD78&gt;0,INDEX(CO$7:CO$106,$AD78),1),IF($AE78&gt;0,INDEX(CO$7:CO$106,$AE78),1),IF($AF78&gt;0,INDEX(CO$7:CO$106,$AF78),1),IF($AG78&gt;0,INDEX(CO$7:CO$106,$AG78),1),IF($AH78&gt;0,INDEX(CO$7:CO$106,$AH78),1),IF($AI78&gt;0,INDEX(CO$7:CO$106,$AI78),1),IF($AJ78&gt;0,INDEX(CO$7:CO$106,$AJ78),1))))</ns0:f>
        <ns0:v>1</ns0:v>
      </ns0:c>
      <ns0:c r="CQ78" t="n">
        <ns0:f>IF($A78="",1,IF(CP78=1,1,--AND(IF($AC78&gt;0,INDEX(CP$7:CP$106,$AC78),1),IF($AD78&gt;0,INDEX(CP$7:CP$106,$AD78),1),IF($AE78&gt;0,INDEX(CP$7:CP$106,$AE78),1),IF($AF78&gt;0,INDEX(CP$7:CP$106,$AF78),1),IF($AG78&gt;0,INDEX(CP$7:CP$106,$AG78),1),IF($AH78&gt;0,INDEX(CP$7:CP$106,$AH78),1),IF($AI78&gt;0,INDEX(CP$7:CP$106,$AI78),1),IF($AJ78&gt;0,INDEX(CP$7:CP$106,$AJ78),1))))</ns0:f>
        <ns0:v>1</ns0:v>
      </ns0:c>
      <ns0:c r="CR78" t="n">
        <ns0:f>IF($A78="",1,IF(CQ78=1,1,--AND(IF($AC78&gt;0,INDEX(CQ$7:CQ$106,$AC78),1),IF($AD78&gt;0,INDEX(CQ$7:CQ$106,$AD78),1),IF($AE78&gt;0,INDEX(CQ$7:CQ$106,$AE78),1),IF($AF78&gt;0,INDEX(CQ$7:CQ$106,$AF78),1),IF($AG78&gt;0,INDEX(CQ$7:CQ$106,$AG78),1),IF($AH78&gt;0,INDEX(CQ$7:CQ$106,$AH78),1),IF($AI78&gt;0,INDEX(CQ$7:CQ$106,$AI78),1),IF($AJ78&gt;0,INDEX(CQ$7:CQ$106,$AJ78),1))))</ns0:f>
        <ns0:v>1</ns0:v>
      </ns0:c>
      <ns0:c r="CS78" t="n">
        <ns0:f>IF($A78="",1,IF(CR78=1,1,--AND(IF($AC78&gt;0,INDEX(CR$7:CR$106,$AC78),1),IF($AD78&gt;0,INDEX(CR$7:CR$106,$AD78),1),IF($AE78&gt;0,INDEX(CR$7:CR$106,$AE78),1),IF($AF78&gt;0,INDEX(CR$7:CR$106,$AF78),1),IF($AG78&gt;0,INDEX(CR$7:CR$106,$AG78),1),IF($AH78&gt;0,INDEX(CR$7:CR$106,$AH78),1),IF($AI78&gt;0,INDEX(CR$7:CR$106,$AI78),1),IF($AJ78&gt;0,INDEX(CR$7:CR$106,$AJ78),1))))</ns0:f>
        <ns0:v>1</ns0:v>
      </ns0:c>
      <ns0:c r="CT78" t="n">
        <ns0:f>IF($A78="",1,IF(CS78=1,1,--AND(IF($AC78&gt;0,INDEX(CS$7:CS$106,$AC78),1),IF($AD78&gt;0,INDEX(CS$7:CS$106,$AD78),1),IF($AE78&gt;0,INDEX(CS$7:CS$106,$AE78),1),IF($AF78&gt;0,INDEX(CS$7:CS$106,$AF78),1),IF($AG78&gt;0,INDEX(CS$7:CS$106,$AG78),1),IF($AH78&gt;0,INDEX(CS$7:CS$106,$AH78),1),IF($AI78&gt;0,INDEX(CS$7:CS$106,$AI78),1),IF($AJ78&gt;0,INDEX(CS$7:CS$106,$AJ78),1))))</ns0:f>
        <ns0:v>1</ns0:v>
      </ns0:c>
      <ns0:c r="CU78" t="n">
        <ns0:f>IF($A78="",1,IF(CT78=1,1,--AND(IF($AC78&gt;0,INDEX(CT$7:CT$106,$AC78),1),IF($AD78&gt;0,INDEX(CT$7:CT$106,$AD78),1),IF($AE78&gt;0,INDEX(CT$7:CT$106,$AE78),1),IF($AF78&gt;0,INDEX(CT$7:CT$106,$AF78),1),IF($AG78&gt;0,INDEX(CT$7:CT$106,$AG78),1),IF($AH78&gt;0,INDEX(CT$7:CT$106,$AH78),1),IF($AI78&gt;0,INDEX(CT$7:CT$106,$AI78),1),IF($AJ78&gt;0,INDEX(CT$7:CT$106,$AJ78),1))))</ns0:f>
        <ns0:v>1</ns0:v>
      </ns0:c>
      <ns0:c r="CV78" t="n">
        <ns0:f>IF($A78="",1,IF(CU78=1,1,--AND(IF($AC78&gt;0,INDEX(CU$7:CU$106,$AC78),1),IF($AD78&gt;0,INDEX(CU$7:CU$106,$AD78),1),IF($AE78&gt;0,INDEX(CU$7:CU$106,$AE78),1),IF($AF78&gt;0,INDEX(CU$7:CU$106,$AF78),1),IF($AG78&gt;0,INDEX(CU$7:CU$106,$AG78),1),IF($AH78&gt;0,INDEX(CU$7:CU$106,$AH78),1),IF($AI78&gt;0,INDEX(CU$7:CU$106,$AI78),1),IF($AJ78&gt;0,INDEX(CU$7:CU$106,$AJ78),1))))</ns0:f>
        <ns0:v>1</ns0:v>
      </ns0:c>
      <ns0:c r="CW78" t="n">
        <ns0:f>IF($A78="",1,IF(CV78=1,1,--AND(IF($AC78&gt;0,INDEX(CV$7:CV$106,$AC78),1),IF($AD78&gt;0,INDEX(CV$7:CV$106,$AD78),1),IF($AE78&gt;0,INDEX(CV$7:CV$106,$AE78),1),IF($AF78&gt;0,INDEX(CV$7:CV$106,$AF78),1),IF($AG78&gt;0,INDEX(CV$7:CV$106,$AG78),1),IF($AH78&gt;0,INDEX(CV$7:CV$106,$AH78),1),IF($AI78&gt;0,INDEX(CV$7:CV$106,$AI78),1),IF($AJ78&gt;0,INDEX(CV$7:CV$106,$AJ78),1))))</ns0:f>
        <ns0:v>1</ns0:v>
      </ns0:c>
      <ns0:c r="CX78" t="n">
        <ns0:f>IF($A78="",1,IF(CW78=1,1,--AND(IF($AC78&gt;0,INDEX(CW$7:CW$106,$AC78),1),IF($AD78&gt;0,INDEX(CW$7:CW$106,$AD78),1),IF($AE78&gt;0,INDEX(CW$7:CW$106,$AE78),1),IF($AF78&gt;0,INDEX(CW$7:CW$106,$AF78),1),IF($AG78&gt;0,INDEX(CW$7:CW$106,$AG78),1),IF($AH78&gt;0,INDEX(CW$7:CW$106,$AH78),1),IF($AI78&gt;0,INDEX(CW$7:CW$106,$AI78),1),IF($AJ78&gt;0,INDEX(CW$7:CW$106,$AJ78),1))))</ns0:f>
        <ns0:v>1</ns0:v>
      </ns0:c>
      <ns0:c r="CY78" t="n">
        <ns0:f>IF($A78="",1,IF(CX78=1,1,--AND(IF($AC78&gt;0,INDEX(CX$7:CX$106,$AC78),1),IF($AD78&gt;0,INDEX(CX$7:CX$106,$AD78),1),IF($AE78&gt;0,INDEX(CX$7:CX$106,$AE78),1),IF($AF78&gt;0,INDEX(CX$7:CX$106,$AF78),1),IF($AG78&gt;0,INDEX(CX$7:CX$106,$AG78),1),IF($AH78&gt;0,INDEX(CX$7:CX$106,$AH78),1),IF($AI78&gt;0,INDEX(CX$7:CX$106,$AI78),1),IF($AJ78&gt;0,INDEX(CX$7:CX$106,$AJ78),1))))</ns0:f>
        <ns0:v>1</ns0:v>
      </ns0:c>
      <ns0:c r="CZ78" t="n">
        <ns0:f>IF($A78="",1,IF(CY78=1,1,--AND(IF($AC78&gt;0,INDEX(CY$7:CY$106,$AC78),1),IF($AD78&gt;0,INDEX(CY$7:CY$106,$AD78),1),IF($AE78&gt;0,INDEX(CY$7:CY$106,$AE78),1),IF($AF78&gt;0,INDEX(CY$7:CY$106,$AF78),1),IF($AG78&gt;0,INDEX(CY$7:CY$106,$AG78),1),IF($AH78&gt;0,INDEX(CY$7:CY$106,$AH78),1),IF($AI78&gt;0,INDEX(CY$7:CY$106,$AI78),1),IF($AJ78&gt;0,INDEX(CY$7:CY$106,$AJ78),1))))</ns0:f>
        <ns0:v>1</ns0:v>
      </ns0:c>
      <ns0:c r="DA78" t="n">
        <ns0:f>IF($A78="",1,IF(CZ78=1,1,--AND(IF($AC78&gt;0,INDEX(CZ$7:CZ$106,$AC78),1),IF($AD78&gt;0,INDEX(CZ$7:CZ$106,$AD78),1),IF($AE78&gt;0,INDEX(CZ$7:CZ$106,$AE78),1),IF($AF78&gt;0,INDEX(CZ$7:CZ$106,$AF78),1),IF($AG78&gt;0,INDEX(CZ$7:CZ$106,$AG78),1),IF($AH78&gt;0,INDEX(CZ$7:CZ$106,$AH78),1),IF($AI78&gt;0,INDEX(CZ$7:CZ$106,$AI78),1),IF($AJ78&gt;0,INDEX(CZ$7:CZ$106,$AJ78),1))))</ns0:f>
        <ns0:v>1</ns0:v>
      </ns0:c>
      <ns0:c r="DB78" t="n">
        <ns0:f>IF($A78="",1,IF(DA78=1,1,--AND(IF($AC78&gt;0,INDEX(DA$7:DA$106,$AC78),1),IF($AD78&gt;0,INDEX(DA$7:DA$106,$AD78),1),IF($AE78&gt;0,INDEX(DA$7:DA$106,$AE78),1),IF($AF78&gt;0,INDEX(DA$7:DA$106,$AF78),1),IF($AG78&gt;0,INDEX(DA$7:DA$106,$AG78),1),IF($AH78&gt;0,INDEX(DA$7:DA$106,$AH78),1),IF($AI78&gt;0,INDEX(DA$7:DA$106,$AI78),1),IF($AJ78&gt;0,INDEX(DA$7:DA$106,$AJ78),1))))</ns0:f>
        <ns0:v>1</ns0:v>
      </ns0:c>
      <ns0:c r="DC78" t="n">
        <ns0:f>IF($A78="",1,IF(DB78=1,1,--AND(IF($AC78&gt;0,INDEX(DB$7:DB$106,$AC78),1),IF($AD78&gt;0,INDEX(DB$7:DB$106,$AD78),1),IF($AE78&gt;0,INDEX(DB$7:DB$106,$AE78),1),IF($AF78&gt;0,INDEX(DB$7:DB$106,$AF78),1),IF($AG78&gt;0,INDEX(DB$7:DB$106,$AG78),1),IF($AH78&gt;0,INDEX(DB$7:DB$106,$AH78),1),IF($AI78&gt;0,INDEX(DB$7:DB$106,$AI78),1),IF($AJ78&gt;0,INDEX(DB$7:DB$106,$AJ78),1))))</ns0:f>
        <ns0:v>1</ns0:v>
      </ns0:c>
      <ns0:c r="DD78" t="n">
        <ns0:f>IF($A78="",1,IF(DC78=1,1,--AND(IF($AC78&gt;0,INDEX(DC$7:DC$106,$AC78),1),IF($AD78&gt;0,INDEX(DC$7:DC$106,$AD78),1),IF($AE78&gt;0,INDEX(DC$7:DC$106,$AE78),1),IF($AF78&gt;0,INDEX(DC$7:DC$106,$AF78),1),IF($AG78&gt;0,INDEX(DC$7:DC$106,$AG78),1),IF($AH78&gt;0,INDEX(DC$7:DC$106,$AH78),1),IF($AI78&gt;0,INDEX(DC$7:DC$106,$AI78),1),IF($AJ78&gt;0,INDEX(DC$7:DC$106,$AJ78),1))))</ns0:f>
        <ns0:v>1</ns0:v>
      </ns0:c>
      <ns0:c r="DE78" t="n">
        <ns0:f>IF($A78="",1,IF(DD78=1,1,--AND(IF($AC78&gt;0,INDEX(DD$7:DD$106,$AC78),1),IF($AD78&gt;0,INDEX(DD$7:DD$106,$AD78),1),IF($AE78&gt;0,INDEX(DD$7:DD$106,$AE78),1),IF($AF78&gt;0,INDEX(DD$7:DD$106,$AF78),1),IF($AG78&gt;0,INDEX(DD$7:DD$106,$AG78),1),IF($AH78&gt;0,INDEX(DD$7:DD$106,$AH78),1),IF($AI78&gt;0,INDEX(DD$7:DD$106,$AI78),1),IF($AJ78&gt;0,INDEX(DD$7:DD$106,$AJ78),1))))</ns0:f>
        <ns0:v>1</ns0:v>
      </ns0:c>
      <ns0:c r="DF78" t="n">
        <ns0:f>IF($A78="",1,IF(DE78=1,1,--AND(IF($AC78&gt;0,INDEX(DE$7:DE$106,$AC78),1),IF($AD78&gt;0,INDEX(DE$7:DE$106,$AD78),1),IF($AE78&gt;0,INDEX(DE$7:DE$106,$AE78),1),IF($AF78&gt;0,INDEX(DE$7:DE$106,$AF78),1),IF($AG78&gt;0,INDEX(DE$7:DE$106,$AG78),1),IF($AH78&gt;0,INDEX(DE$7:DE$106,$AH78),1),IF($AI78&gt;0,INDEX(DE$7:DE$106,$AI78),1),IF($AJ78&gt;0,INDEX(DE$7:DE$106,$AJ78),1))))</ns0:f>
        <ns0:v>1</ns0:v>
      </ns0:c>
      <ns0:c r="DG78" t="n">
        <ns0:f>IF($A78="",1,IF(DF78=1,1,--AND(IF($AC78&gt;0,INDEX(DF$7:DF$106,$AC78),1),IF($AD78&gt;0,INDEX(DF$7:DF$106,$AD78),1),IF($AE78&gt;0,INDEX(DF$7:DF$106,$AE78),1),IF($AF78&gt;0,INDEX(DF$7:DF$106,$AF78),1),IF($AG78&gt;0,INDEX(DF$7:DF$106,$AG78),1),IF($AH78&gt;0,INDEX(DF$7:DF$106,$AH78),1),IF($AI78&gt;0,INDEX(DF$7:DF$106,$AI78),1),IF($AJ78&gt;0,INDEX(DF$7:DF$106,$AJ78),1))))</ns0:f>
        <ns0:v>1</ns0:v>
      </ns0:c>
      <ns0:c r="DH78" t="n">
        <ns0:f>IF($A78="",1,IF(DG78=1,1,--AND(IF($AC78&gt;0,INDEX(DG$7:DG$106,$AC78),1),IF($AD78&gt;0,INDEX(DG$7:DG$106,$AD78),1),IF($AE78&gt;0,INDEX(DG$7:DG$106,$AE78),1),IF($AF78&gt;0,INDEX(DG$7:DG$106,$AF78),1),IF($AG78&gt;0,INDEX(DG$7:DG$106,$AG78),1),IF($AH78&gt;0,INDEX(DG$7:DG$106,$AH78),1),IF($AI78&gt;0,INDEX(DG$7:DG$106,$AI78),1),IF($AJ78&gt;0,INDEX(DG$7:DG$106,$AJ78),1))))</ns0:f>
        <ns0:v>1</ns0:v>
      </ns0:c>
      <ns0:c r="DI78" t="n">
        <ns0:f>IF($A78="",1,IF(DH78=1,1,--AND(IF($AC78&gt;0,INDEX(DH$7:DH$106,$AC78),1),IF($AD78&gt;0,INDEX(DH$7:DH$106,$AD78),1),IF($AE78&gt;0,INDEX(DH$7:DH$106,$AE78),1),IF($AF78&gt;0,INDEX(DH$7:DH$106,$AF78),1),IF($AG78&gt;0,INDEX(DH$7:DH$106,$AG78),1),IF($AH78&gt;0,INDEX(DH$7:DH$106,$AH78),1),IF($AI78&gt;0,INDEX(DH$7:DH$106,$AI78),1),IF($AJ78&gt;0,INDEX(DH$7:DH$106,$AJ78),1))))</ns0:f>
        <ns0:v>1</ns0:v>
      </ns0:c>
      <ns0:c r="DJ78" t="n">
        <ns0:f>IF($A78="",1,IF(DI78=1,1,--AND(IF($AC78&gt;0,INDEX(DI$7:DI$106,$AC78),1),IF($AD78&gt;0,INDEX(DI$7:DI$106,$AD78),1),IF($AE78&gt;0,INDEX(DI$7:DI$106,$AE78),1),IF($AF78&gt;0,INDEX(DI$7:DI$106,$AF78),1),IF($AG78&gt;0,INDEX(DI$7:DI$106,$AG78),1),IF($AH78&gt;0,INDEX(DI$7:DI$106,$AH78),1),IF($AI78&gt;0,INDEX(DI$7:DI$106,$AI78),1),IF($AJ78&gt;0,INDEX(DI$7:DI$106,$AJ78),1))))</ns0:f>
        <ns0:v>1</ns0:v>
      </ns0:c>
      <ns0:c r="DK78" t="n">
        <ns0:f>IF($A78="",1,IF(DJ78=1,1,--AND(IF($AC78&gt;0,INDEX(DJ$7:DJ$106,$AC78),1),IF($AD78&gt;0,INDEX(DJ$7:DJ$106,$AD78),1),IF($AE78&gt;0,INDEX(DJ$7:DJ$106,$AE78),1),IF($AF78&gt;0,INDEX(DJ$7:DJ$106,$AF78),1),IF($AG78&gt;0,INDEX(DJ$7:DJ$106,$AG78),1),IF($AH78&gt;0,INDEX(DJ$7:DJ$106,$AH78),1),IF($AI78&gt;0,INDEX(DJ$7:DJ$106,$AI78),1),IF($AJ78&gt;0,INDEX(DJ$7:DJ$106,$AJ78),1))))</ns0:f>
        <ns0:v>1</ns0:v>
      </ns0:c>
      <ns0:c r="DL78" t="n">
        <ns0:f>IF($A78="",1,IF(DK78=1,1,--AND(IF($AC78&gt;0,INDEX(DK$7:DK$106,$AC78),1),IF($AD78&gt;0,INDEX(DK$7:DK$106,$AD78),1),IF($AE78&gt;0,INDEX(DK$7:DK$106,$AE78),1),IF($AF78&gt;0,INDEX(DK$7:DK$106,$AF78),1),IF($AG78&gt;0,INDEX(DK$7:DK$106,$AG78),1),IF($AH78&gt;0,INDEX(DK$7:DK$106,$AH78),1),IF($AI78&gt;0,INDEX(DK$7:DK$106,$AI78),1),IF($AJ78&gt;0,INDEX(DK$7:DK$106,$AJ78),1))))</ns0:f>
        <ns0:v>1</ns0:v>
      </ns0:c>
      <ns0:c r="DM78" t="n">
        <ns0:f>IF($A78="",1,IF(DL78=1,1,--AND(IF($AC78&gt;0,INDEX(DL$7:DL$106,$AC78),1),IF($AD78&gt;0,INDEX(DL$7:DL$106,$AD78),1),IF($AE78&gt;0,INDEX(DL$7:DL$106,$AE78),1),IF($AF78&gt;0,INDEX(DL$7:DL$106,$AF78),1),IF($AG78&gt;0,INDEX(DL$7:DL$106,$AG78),1),IF($AH78&gt;0,INDEX(DL$7:DL$106,$AH78),1),IF($AI78&gt;0,INDEX(DL$7:DL$106,$AI78),1),IF($AJ78&gt;0,INDEX(DL$7:DL$106,$AJ78),1))))</ns0:f>
        <ns0:v>1</ns0:v>
      </ns0:c>
      <ns0:c r="DN78" t="n">
        <ns0:f>IF($A78="",1,IF(DM78=1,1,--AND(IF($AC78&gt;0,INDEX(DM$7:DM$106,$AC78),1),IF($AD78&gt;0,INDEX(DM$7:DM$106,$AD78),1),IF($AE78&gt;0,INDEX(DM$7:DM$106,$AE78),1),IF($AF78&gt;0,INDEX(DM$7:DM$106,$AF78),1),IF($AG78&gt;0,INDEX(DM$7:DM$106,$AG78),1),IF($AH78&gt;0,INDEX(DM$7:DM$106,$AH78),1),IF($AI78&gt;0,INDEX(DM$7:DM$106,$AI78),1),IF($AJ78&gt;0,INDEX(DM$7:DM$106,$AJ78),1))))</ns0:f>
        <ns0:v>1</ns0:v>
      </ns0:c>
      <ns0:c r="DO78" t="n">
        <ns0:f>IF($A78="",1,IF(DN78=1,1,--AND(IF($AC78&gt;0,INDEX(DN$7:DN$106,$AC78),1),IF($AD78&gt;0,INDEX(DN$7:DN$106,$AD78),1),IF($AE78&gt;0,INDEX(DN$7:DN$106,$AE78),1),IF($AF78&gt;0,INDEX(DN$7:DN$106,$AF78),1),IF($AG78&gt;0,INDEX(DN$7:DN$106,$AG78),1),IF($AH78&gt;0,INDEX(DN$7:DN$106,$AH78),1),IF($AI78&gt;0,INDEX(DN$7:DN$106,$AI78),1),IF($AJ78&gt;0,INDEX(DN$7:DN$106,$AJ78),1))))</ns0:f>
        <ns0:v>1</ns0:v>
      </ns0:c>
      <ns0:c r="DP78" t="n">
        <ns0:f>IF($A78="",1,IF(DO78=1,1,--AND(IF($AC78&gt;0,INDEX(DO$7:DO$106,$AC78),1),IF($AD78&gt;0,INDEX(DO$7:DO$106,$AD78),1),IF($AE78&gt;0,INDEX(DO$7:DO$106,$AE78),1),IF($AF78&gt;0,INDEX(DO$7:DO$106,$AF78),1),IF($AG78&gt;0,INDEX(DO$7:DO$106,$AG78),1),IF($AH78&gt;0,INDEX(DO$7:DO$106,$AH78),1),IF($AI78&gt;0,INDEX(DO$7:DO$106,$AI78),1),IF($AJ78&gt;0,INDEX(DO$7:DO$106,$AJ78),1))))</ns0:f>
        <ns0:v>1</ns0:v>
      </ns0:c>
      <ns0:c r="DQ78" t="n">
        <ns0:f>IF($A78="",1,IF(DP78=1,1,--AND(IF($AC78&gt;0,INDEX(DP$7:DP$106,$AC78),1),IF($AD78&gt;0,INDEX(DP$7:DP$106,$AD78),1),IF($AE78&gt;0,INDEX(DP$7:DP$106,$AE78),1),IF($AF78&gt;0,INDEX(DP$7:DP$106,$AF78),1),IF($AG78&gt;0,INDEX(DP$7:DP$106,$AG78),1),IF($AH78&gt;0,INDEX(DP$7:DP$106,$AH78),1),IF($AI78&gt;0,INDEX(DP$7:DP$106,$AI78),1),IF($AJ78&gt;0,INDEX(DP$7:DP$106,$AJ78),1))))</ns0:f>
        <ns0:v>1</ns0:v>
      </ns0:c>
      <ns0:c r="DR78" t="n">
        <ns0:f>IF($A78="",1,IF(DQ78=1,1,--AND(IF($AC78&gt;0,INDEX(DQ$7:DQ$106,$AC78),1),IF($AD78&gt;0,INDEX(DQ$7:DQ$106,$AD78),1),IF($AE78&gt;0,INDEX(DQ$7:DQ$106,$AE78),1),IF($AF78&gt;0,INDEX(DQ$7:DQ$106,$AF78),1),IF($AG78&gt;0,INDEX(DQ$7:DQ$106,$AG78),1),IF($AH78&gt;0,INDEX(DQ$7:DQ$106,$AH78),1),IF($AI78&gt;0,INDEX(DQ$7:DQ$106,$AI78),1),IF($AJ78&gt;0,INDEX(DQ$7:DQ$106,$AJ78),1))))</ns0:f>
        <ns0:v>1</ns0:v>
      </ns0:c>
      <ns0:c r="DS78" t="n">
        <ns0:f>IF($A78="",1,IF(DR78=1,1,--AND(IF($AC78&gt;0,INDEX(DR$7:DR$106,$AC78),1),IF($AD78&gt;0,INDEX(DR$7:DR$106,$AD78),1),IF($AE78&gt;0,INDEX(DR$7:DR$106,$AE78),1),IF($AF78&gt;0,INDEX(DR$7:DR$106,$AF78),1),IF($AG78&gt;0,INDEX(DR$7:DR$106,$AG78),1),IF($AH78&gt;0,INDEX(DR$7:DR$106,$AH78),1),IF($AI78&gt;0,INDEX(DR$7:DR$106,$AI78),1),IF($AJ78&gt;0,INDEX(DR$7:DR$106,$AJ78),1))))</ns0:f>
        <ns0:v>1</ns0:v>
      </ns0:c>
      <ns0:c r="DT78" t="n">
        <ns0:f>IF($A78="",1,IF(DS78=1,1,--AND(IF($AC78&gt;0,INDEX(DS$7:DS$106,$AC78),1),IF($AD78&gt;0,INDEX(DS$7:DS$106,$AD78),1),IF($AE78&gt;0,INDEX(DS$7:DS$106,$AE78),1),IF($AF78&gt;0,INDEX(DS$7:DS$106,$AF78),1),IF($AG78&gt;0,INDEX(DS$7:DS$106,$AG78),1),IF($AH78&gt;0,INDEX(DS$7:DS$106,$AH78),1),IF($AI78&gt;0,INDEX(DS$7:DS$106,$AI78),1),IF($AJ78&gt;0,INDEX(DS$7:DS$106,$AJ78),1))))</ns0:f>
        <ns0:v>1</ns0:v>
      </ns0:c>
      <ns0:c r="DU78" t="n">
        <ns0:f>IF($A78="",1,IF(DT78=1,1,--AND(IF($AC78&gt;0,INDEX(DT$7:DT$106,$AC78),1),IF($AD78&gt;0,INDEX(DT$7:DT$106,$AD78),1),IF($AE78&gt;0,INDEX(DT$7:DT$106,$AE78),1),IF($AF78&gt;0,INDEX(DT$7:DT$106,$AF78),1),IF($AG78&gt;0,INDEX(DT$7:DT$106,$AG78),1),IF($AH78&gt;0,INDEX(DT$7:DT$106,$AH78),1),IF($AI78&gt;0,INDEX(DT$7:DT$106,$AI78),1),IF($AJ78&gt;0,INDEX(DT$7:DT$106,$AJ78),1))))</ns0:f>
        <ns0:v>1</ns0:v>
      </ns0:c>
      <ns0:c r="DV78" t="n">
        <ns0:f>IF($A78="",1,IF(DU78=1,1,--AND(IF($AC78&gt;0,INDEX(DU$7:DU$106,$AC78),1),IF($AD78&gt;0,INDEX(DU$7:DU$106,$AD78),1),IF($AE78&gt;0,INDEX(DU$7:DU$106,$AE78),1),IF($AF78&gt;0,INDEX(DU$7:DU$106,$AF78),1),IF($AG78&gt;0,INDEX(DU$7:DU$106,$AG78),1),IF($AH78&gt;0,INDEX(DU$7:DU$106,$AH78),1),IF($AI78&gt;0,INDEX(DU$7:DU$106,$AI78),1),IF($AJ78&gt;0,INDEX(DU$7:DU$106,$AJ78),1))))</ns0:f>
        <ns0:v>1</ns0:v>
      </ns0:c>
      <ns0:c r="DW78" t="n">
        <ns0:f>IF($A78="",1,IF(DV78=1,1,--AND(IF($AC78&gt;0,INDEX(DV$7:DV$106,$AC78),1),IF($AD78&gt;0,INDEX(DV$7:DV$106,$AD78),1),IF($AE78&gt;0,INDEX(DV$7:DV$106,$AE78),1),IF($AF78&gt;0,INDEX(DV$7:DV$106,$AF78),1),IF($AG78&gt;0,INDEX(DV$7:DV$106,$AG78),1),IF($AH78&gt;0,INDEX(DV$7:DV$106,$AH78),1),IF($AI78&gt;0,INDEX(DV$7:DV$106,$AI78),1),IF($AJ78&gt;0,INDEX(DV$7:DV$106,$AJ78),1))))</ns0:f>
        <ns0:v>1</ns0:v>
      </ns0:c>
      <ns0:c r="DX78" t="n">
        <ns0:f>IF($A78="",1,IF(DW78=1,1,--AND(IF($AC78&gt;0,INDEX(DW$7:DW$106,$AC78),1),IF($AD78&gt;0,INDEX(DW$7:DW$106,$AD78),1),IF($AE78&gt;0,INDEX(DW$7:DW$106,$AE78),1),IF($AF78&gt;0,INDEX(DW$7:DW$106,$AF78),1),IF($AG78&gt;0,INDEX(DW$7:DW$106,$AG78),1),IF($AH78&gt;0,INDEX(DW$7:DW$106,$AH78),1),IF($AI78&gt;0,INDEX(DW$7:DW$106,$AI78),1),IF($AJ78&gt;0,INDEX(DW$7:DW$106,$AJ78),1))))</ns0:f>
        <ns0:v>1</ns0:v>
      </ns0:c>
      <ns0:c r="DY78" t="n">
        <ns0:f>IF($A78="",1,IF(DX78=1,1,--AND(IF($AC78&gt;0,INDEX(DX$7:DX$106,$AC78),1),IF($AD78&gt;0,INDEX(DX$7:DX$106,$AD78),1),IF($AE78&gt;0,INDEX(DX$7:DX$106,$AE78),1),IF($AF78&gt;0,INDEX(DX$7:DX$106,$AF78),1),IF($AG78&gt;0,INDEX(DX$7:DX$106,$AG78),1),IF($AH78&gt;0,INDEX(DX$7:DX$106,$AH78),1),IF($AI78&gt;0,INDEX(DX$7:DX$106,$AI78),1),IF($AJ78&gt;0,INDEX(DX$7:DX$106,$AJ78),1))))</ns0:f>
        <ns0:v>1</ns0:v>
      </ns0:c>
      <ns0:c r="DZ78" t="n">
        <ns0:f>IF($A78="",1,IF(DY78=1,1,--AND(IF($AC78&gt;0,INDEX(DY$7:DY$106,$AC78),1),IF($AD78&gt;0,INDEX(DY$7:DY$106,$AD78),1),IF($AE78&gt;0,INDEX(DY$7:DY$106,$AE78),1),IF($AF78&gt;0,INDEX(DY$7:DY$106,$AF78),1),IF($AG78&gt;0,INDEX(DY$7:DY$106,$AG78),1),IF($AH78&gt;0,INDEX(DY$7:DY$106,$AH78),1),IF($AI78&gt;0,INDEX(DY$7:DY$106,$AI78),1),IF($AJ78&gt;0,INDEX(DY$7:DY$106,$AJ78),1))))</ns0:f>
        <ns0:v>1</ns0:v>
      </ns0:c>
      <ns0:c r="EA78" t="n">
        <ns0:f>IF($A78="",1,IF(DZ78=1,1,--AND(IF($AC78&gt;0,INDEX(DZ$7:DZ$106,$AC78),1),IF($AD78&gt;0,INDEX(DZ$7:DZ$106,$AD78),1),IF($AE78&gt;0,INDEX(DZ$7:DZ$106,$AE78),1),IF($AF78&gt;0,INDEX(DZ$7:DZ$106,$AF78),1),IF($AG78&gt;0,INDEX(DZ$7:DZ$106,$AG78),1),IF($AH78&gt;0,INDEX(DZ$7:DZ$106,$AH78),1),IF($AI78&gt;0,INDEX(DZ$7:DZ$106,$AI78),1),IF($AJ78&gt;0,INDEX(DZ$7:DZ$106,$AJ78),1))))</ns0:f>
        <ns0:v>1</ns0:v>
      </ns0:c>
      <ns0:c r="EB78" t="n">
        <ns0:f>IF($A78="",1,IF(EA78=1,1,--AND(IF($AC78&gt;0,INDEX(EA$7:EA$106,$AC78),1),IF($AD78&gt;0,INDEX(EA$7:EA$106,$AD78),1),IF($AE78&gt;0,INDEX(EA$7:EA$106,$AE78),1),IF($AF78&gt;0,INDEX(EA$7:EA$106,$AF78),1),IF($AG78&gt;0,INDEX(EA$7:EA$106,$AG78),1),IF($AH78&gt;0,INDEX(EA$7:EA$106,$AH78),1),IF($AI78&gt;0,INDEX(EA$7:EA$106,$AI78),1),IF($AJ78&gt;0,INDEX(EA$7:EA$106,$AJ78),1))))</ns0:f>
        <ns0:v>1</ns0:v>
      </ns0:c>
      <ns0:c r="EC78" t="n">
        <ns0:f>IF($A78="",1,IF(EB78=1,1,--AND(IF($AC78&gt;0,INDEX(EB$7:EB$106,$AC78),1),IF($AD78&gt;0,INDEX(EB$7:EB$106,$AD78),1),IF($AE78&gt;0,INDEX(EB$7:EB$106,$AE78),1),IF($AF78&gt;0,INDEX(EB$7:EB$106,$AF78),1),IF($AG78&gt;0,INDEX(EB$7:EB$106,$AG78),1),IF($AH78&gt;0,INDEX(EB$7:EB$106,$AH78),1),IF($AI78&gt;0,INDEX(EB$7:EB$106,$AI78),1),IF($AJ78&gt;0,INDEX(EB$7:EB$106,$AJ78),1))))</ns0:f>
        <ns0:v>1</ns0:v>
      </ns0:c>
      <ns0:c r="ED78" t="n">
        <ns0:f>IF($A78="",1,IF(EC78=1,1,--AND(IF($AC78&gt;0,INDEX(EC$7:EC$106,$AC78),1),IF($AD78&gt;0,INDEX(EC$7:EC$106,$AD78),1),IF($AE78&gt;0,INDEX(EC$7:EC$106,$AE78),1),IF($AF78&gt;0,INDEX(EC$7:EC$106,$AF78),1),IF($AG78&gt;0,INDEX(EC$7:EC$106,$AG78),1),IF($AH78&gt;0,INDEX(EC$7:EC$106,$AH78),1),IF($AI78&gt;0,INDEX(EC$7:EC$106,$AI78),1),IF($AJ78&gt;0,INDEX(EC$7:EC$106,$AJ78),1))))</ns0:f>
        <ns0:v>1</ns0:v>
      </ns0:c>
      <ns0:c r="EE78" t="n">
        <ns0:f>IF($A78="",1,IF(ED78=1,1,--AND(IF($AC78&gt;0,INDEX(ED$7:ED$106,$AC78),1),IF($AD78&gt;0,INDEX(ED$7:ED$106,$AD78),1),IF($AE78&gt;0,INDEX(ED$7:ED$106,$AE78),1),IF($AF78&gt;0,INDEX(ED$7:ED$106,$AF78),1),IF($AG78&gt;0,INDEX(ED$7:ED$106,$AG78),1),IF($AH78&gt;0,INDEX(ED$7:ED$106,$AH78),1),IF($AI78&gt;0,INDEX(ED$7:ED$106,$AI78),1),IF($AJ78&gt;0,INDEX(ED$7:ED$106,$AJ78),1))))</ns0:f>
        <ns0:v>1</ns0:v>
      </ns0:c>
      <ns0:c r="EF78" t="n">
        <ns0:f>IF($A78="",1,IF(EE78=1,1,--AND(IF($AC78&gt;0,INDEX(EE$7:EE$106,$AC78),1),IF($AD78&gt;0,INDEX(EE$7:EE$106,$AD78),1),IF($AE78&gt;0,INDEX(EE$7:EE$106,$AE78),1),IF($AF78&gt;0,INDEX(EE$7:EE$106,$AF78),1),IF($AG78&gt;0,INDEX(EE$7:EE$106,$AG78),1),IF($AH78&gt;0,INDEX(EE$7:EE$106,$AH78),1),IF($AI78&gt;0,INDEX(EE$7:EE$106,$AI78),1),IF($AJ78&gt;0,INDEX(EE$7:EE$106,$AJ78),1))))</ns0:f>
        <ns0:v>1</ns0:v>
      </ns0:c>
      <ns0:c r="EG78" t="n">
        <ns0:f>IF($A78="",1,IF(EF78=1,1,--AND(IF($AC78&gt;0,INDEX(EF$7:EF$106,$AC78),1),IF($AD78&gt;0,INDEX(EF$7:EF$106,$AD78),1),IF($AE78&gt;0,INDEX(EF$7:EF$106,$AE78),1),IF($AF78&gt;0,INDEX(EF$7:EF$106,$AF78),1),IF($AG78&gt;0,INDEX(EF$7:EF$106,$AG78),1),IF($AH78&gt;0,INDEX(EF$7:EF$106,$AH78),1),IF($AI78&gt;0,INDEX(EF$7:EF$106,$AI78),1),IF($AJ78&gt;0,INDEX(EF$7:EF$106,$AJ78),1))))</ns0:f>
        <ns0:v>1</ns0:v>
      </ns0:c>
      <ns0:c r="EH78" t="n">
        <ns0:f>IF($A78="",1,IF(EG78=1,1,--AND(IF($AC78&gt;0,INDEX(EG$7:EG$106,$AC78),1),IF($AD78&gt;0,INDEX(EG$7:EG$106,$AD78),1),IF($AE78&gt;0,INDEX(EG$7:EG$106,$AE78),1),IF($AF78&gt;0,INDEX(EG$7:EG$106,$AF78),1),IF($AG78&gt;0,INDEX(EG$7:EG$106,$AG78),1),IF($AH78&gt;0,INDEX(EG$7:EG$106,$AH78),1),IF($AI78&gt;0,INDEX(EG$7:EG$106,$AI78),1),IF($AJ78&gt;0,INDEX(EG$7:EG$106,$AJ78),1))))</ns0:f>
        <ns0:v>1</ns0:v>
      </ns0:c>
      <ns0:c r="EI78" t="n">
        <ns0:f>IF($A78="",1,IF(EH78=1,1,--AND(IF($AC78&gt;0,INDEX(EH$7:EH$106,$AC78),1),IF($AD78&gt;0,INDEX(EH$7:EH$106,$AD78),1),IF($AE78&gt;0,INDEX(EH$7:EH$106,$AE78),1),IF($AF78&gt;0,INDEX(EH$7:EH$106,$AF78),1),IF($AG78&gt;0,INDEX(EH$7:EH$106,$AG78),1),IF($AH78&gt;0,INDEX(EH$7:EH$106,$AH78),1),IF($AI78&gt;0,INDEX(EH$7:EH$106,$AI78),1),IF($AJ78&gt;0,INDEX(EH$7:EH$106,$AJ78),1))))</ns0:f>
        <ns0:v>1</ns0:v>
      </ns0:c>
      <ns0:c r="EJ78" t="n">
        <ns0:f>IF($A78="",1,IF(EI78=1,1,--AND(IF($AC78&gt;0,INDEX(EI$7:EI$106,$AC78),1),IF($AD78&gt;0,INDEX(EI$7:EI$106,$AD78),1),IF($AE78&gt;0,INDEX(EI$7:EI$106,$AE78),1),IF($AF78&gt;0,INDEX(EI$7:EI$106,$AF78),1),IF($AG78&gt;0,INDEX(EI$7:EI$106,$AG78),1),IF($AH78&gt;0,INDEX(EI$7:EI$106,$AH78),1),IF($AI78&gt;0,INDEX(EI$7:EI$106,$AI78),1),IF($AJ78&gt;0,INDEX(EI$7:EI$106,$AJ78),1))))</ns0:f>
        <ns0:v>1</ns0:v>
      </ns0:c>
      <ns0:c r="EK78" t="n">
        <ns0:f>IF($A78="",1,IF(EJ78=1,1,--AND(IF($AC78&gt;0,INDEX(EJ$7:EJ$106,$AC78),1),IF($AD78&gt;0,INDEX(EJ$7:EJ$106,$AD78),1),IF($AE78&gt;0,INDEX(EJ$7:EJ$106,$AE78),1),IF($AF78&gt;0,INDEX(EJ$7:EJ$106,$AF78),1),IF($AG78&gt;0,INDEX(EJ$7:EJ$106,$AG78),1),IF($AH78&gt;0,INDEX(EJ$7:EJ$106,$AH78),1),IF($AI78&gt;0,INDEX(EJ$7:EJ$106,$AI78),1),IF($AJ78&gt;0,INDEX(EJ$7:EJ$106,$AJ78),1))))</ns0:f>
        <ns0:v>1</ns0:v>
      </ns0:c>
      <ns0:c r="EL78" t="n">
        <ns0:f>IF($A78="",1,IF(EK78=1,1,--AND(IF($AC78&gt;0,INDEX(EK$7:EK$106,$AC78),1),IF($AD78&gt;0,INDEX(EK$7:EK$106,$AD78),1),IF($AE78&gt;0,INDEX(EK$7:EK$106,$AE78),1),IF($AF78&gt;0,INDEX(EK$7:EK$106,$AF78),1),IF($AG78&gt;0,INDEX(EK$7:EK$106,$AG78),1),IF($AH78&gt;0,INDEX(EK$7:EK$106,$AH78),1),IF($AI78&gt;0,INDEX(EK$7:EK$106,$AI78),1),IF($AJ78&gt;0,INDEX(EK$7:EK$106,$AJ78),1))))</ns0:f>
        <ns0:v>1</ns0:v>
      </ns0:c>
      <ns0:c r="EM78" t="n">
        <ns0:f>IF($A78="",1,IF(EL78=1,1,--AND(IF($AC78&gt;0,INDEX(EL$7:EL$106,$AC78),1),IF($AD78&gt;0,INDEX(EL$7:EL$106,$AD78),1),IF($AE78&gt;0,INDEX(EL$7:EL$106,$AE78),1),IF($AF78&gt;0,INDEX(EL$7:EL$106,$AF78),1),IF($AG78&gt;0,INDEX(EL$7:EL$106,$AG78),1),IF($AH78&gt;0,INDEX(EL$7:EL$106,$AH78),1),IF($AI78&gt;0,INDEX(EL$7:EL$106,$AI78),1),IF($AJ78&gt;0,INDEX(EL$7:EL$106,$AJ78),1))))</ns0:f>
        <ns0:v>1</ns0:v>
      </ns0:c>
      <ns0:c r="EN78" t="n">
        <ns0:f>IF($A78="",1,IF(EM78=1,1,--AND(IF($AC78&gt;0,INDEX(EM$7:EM$106,$AC78),1),IF($AD78&gt;0,INDEX(EM$7:EM$106,$AD78),1),IF($AE78&gt;0,INDEX(EM$7:EM$106,$AE78),1),IF($AF78&gt;0,INDEX(EM$7:EM$106,$AF78),1),IF($AG78&gt;0,INDEX(EM$7:EM$106,$AG78),1),IF($AH78&gt;0,INDEX(EM$7:EM$106,$AH78),1),IF($AI78&gt;0,INDEX(EM$7:EM$106,$AI78),1),IF($AJ78&gt;0,INDEX(EM$7:EM$106,$AJ78),1))))</ns0:f>
        <ns0:v>1</ns0:v>
      </ns0:c>
      <ns0:c r="EO78" t="n">
        <ns0:f>IF($A78="",1,IF(EN78=1,1,--AND(IF($AC78&gt;0,INDEX(EN$7:EN$106,$AC78),1),IF($AD78&gt;0,INDEX(EN$7:EN$106,$AD78),1),IF($AE78&gt;0,INDEX(EN$7:EN$106,$AE78),1),IF($AF78&gt;0,INDEX(EN$7:EN$106,$AF78),1),IF($AG78&gt;0,INDEX(EN$7:EN$106,$AG78),1),IF($AH78&gt;0,INDEX(EN$7:EN$106,$AH78),1),IF($AI78&gt;0,INDEX(EN$7:EN$106,$AI78),1),IF($AJ78&gt;0,INDEX(EN$7:EN$106,$AJ78),1))))</ns0:f>
        <ns0:v>1</ns0:v>
      </ns0:c>
      <ns0:c r="EP78" t="n">
        <ns0:f>IF($A78="",1,IF(EO78=1,1,--AND(IF($AC78&gt;0,INDEX(EO$7:EO$106,$AC78),1),IF($AD78&gt;0,INDEX(EO$7:EO$106,$AD78),1),IF($AE78&gt;0,INDEX(EO$7:EO$106,$AE78),1),IF($AF78&gt;0,INDEX(EO$7:EO$106,$AF78),1),IF($AG78&gt;0,INDEX(EO$7:EO$106,$AG78),1),IF($AH78&gt;0,INDEX(EO$7:EO$106,$AH78),1),IF($AI78&gt;0,INDEX(EO$7:EO$106,$AI78),1),IF($AJ78&gt;0,INDEX(EO$7:EO$106,$AJ78),1))))</ns0:f>
        <ns0:v>1</ns0:v>
      </ns0:c>
      <ns0:c r="EQ78" t="n">
        <ns0:f>IF(OR(A78="",NOT(ISNUMBER(G78))),0,G78*N78)</ns0:f>
        <ns0:v>0</ns0:v>
      </ns0:c>
    </ns0:row>
    <ns0:row r="79" ht="62" customHeight="1">
      <ns0:c r="A79" s="48"/>
      <ns0:c r="B79" s="48"/>
      <ns0:c r="C79" s="48"/>
      <ns0:c r="D79" s="48"/>
      <ns0:c r="E79" s="49"/>
      <ns0:c r="F79" s="49"/>
      <ns0:c r="G79" s="13" t="str">
        <ns0:f>IF(A79="","",IF(OR(NOT(ISNUMBER(E79)),NOT(ISNUMBER(F79)),F79&lt;E79),"",IF(J79="Yes",0,F79-E79+1)))</ns0:f>
      </ns0:c>
      <ns0:c r="H79" s="48"/>
      <ns0:c r="I79" s="48"/>
      <ns0:c r="J79" s="48"/>
      <ns0:c r="K79" s="48"/>
      <ns0:c r="L79" s="48"/>
      <ns0:c r="M79" s="50" t="str">
        <ns0:f>IF(A79="","",IF(N79=1,"Completed",IF(N79&gt;0,"In Progress","Not Started")))</ns0:f>
      </ns0:c>
      <ns0:c r="N79" s="51"/>
      <ns0:c r="O79" s="13" t="str">
        <ns0:f>IF(A79="","",IF(R79&lt;&gt;"","[CONFLICT] "&amp;R79,IF(S79&lt;&gt;"","[CONFLICT] "&amp;S79,IF(OR(NOT(ISNUMBER(N79)),N79&lt;0,N79&gt;1),"[CONFLICT] Invalid progress",IF(AK79&gt;0,"[DEPENDENCY ISSUE] Missing ID / &gt;8 links",IF(AM79&gt;0,"[DEPENDENCY ISSUE] Cycle or blocked by cycle",IF(AND(H79&lt;&gt;"",ISNA(MATCH(I79,{"FS","SS","FF","SF"},0))),"[DEPENDENCY ISSUE] Invalid type",IF(AL79&gt;0,"[DEPENDENCY ISSUE] Timing conflict",IF(OR(E79&lt;ProjectStart,F79&gt;ProjectEnd),"[OUTSIDE WINDOW]",IF(AND(N79&lt;1,F79&lt;AsOfDate),"Overdue",IF(AND(M79&lt;&gt;Q79,M79&lt;&gt;""),"[CONFLICT] Status / progress","On track")))))))))))</ns0:f>
      </ns0:c>
      <ns0:c r="P79" s="52"/>
      <ns0:c r="Q79" t="str">
        <ns0:f>IF(A79="","",IF(OR(M79="On Hold",M79="Delayed"),M79,IF(N79=1,"Completed",IF(N79&gt;0,"In Progress","Not Started"))))</ns0:f>
      </ns0:c>
      <ns0:c r="R79" t="str">
        <ns0:f>IF(A79="","",IF(COUNTIFS(Tasks[Task ID],A79)&lt;&gt;1,"Duplicate ID",""))</ns0:f>
      </ns0:c>
      <ns0:c r="S79" t="str">
        <ns0:f>IF(A79="","",IF(OR(NOT(ISNUMBER(E79)),NOT(ISNUMBER(F79))),"Invalid / missing date",IF(OR(E79&lt;&gt;INT(E79),F79&lt;&gt;INT(F79),E79&lt;1,F79&gt;2958465),"Invalid date",IF(F79&lt;E79,"End before start",IF(AND(J79="Yes",E79&lt;&gt;F79),"Milestone needs one date","")))))</ns0:f>
      </ns0:c>
      <ns0:c r="T79" t="n">
        <ns0:f>IF(H79="",0,LEN(H79)-LEN(SUBSTITUTE(H79,",",""))+1)</ns0:f>
        <ns0:v>0</ns0:v>
      </ns0:c>
      <ns0:c r="U79" t="str">
        <ns0:f>TRIM(MID(SUBSTITUTE($H79,",",REPT(" ",100)),1,100))</ns0:f>
      </ns0:c>
      <ns0:c r="V79" t="str">
        <ns0:f>TRIM(MID(SUBSTITUTE($H79,",",REPT(" ",100)),101,100))</ns0:f>
      </ns0:c>
      <ns0:c r="W79" t="str">
        <ns0:f>TRIM(MID(SUBSTITUTE($H79,",",REPT(" ",100)),201,100))</ns0:f>
      </ns0:c>
      <ns0:c r="X79" t="str">
        <ns0:f>TRIM(MID(SUBSTITUTE($H79,",",REPT(" ",100)),301,100))</ns0:f>
      </ns0:c>
      <ns0:c r="Y79" t="str">
        <ns0:f>TRIM(MID(SUBSTITUTE($H79,",",REPT(" ",100)),401,100))</ns0:f>
      </ns0:c>
      <ns0:c r="Z79" t="str">
        <ns0:f>TRIM(MID(SUBSTITUTE($H79,",",REPT(" ",100)),501,100))</ns0:f>
      </ns0:c>
      <ns0:c r="AA79" t="str">
        <ns0:f>TRIM(MID(SUBSTITUTE($H79,",",REPT(" ",100)),601,100))</ns0:f>
      </ns0:c>
      <ns0:c r="AB79" t="str">
        <ns0:f>TRIM(MID(SUBSTITUTE($H79,",",REPT(" ",100)),701,100))</ns0:f>
      </ns0:c>
      <ns0:c r="AC79" t="n">
        <ns0:f>IF(U79="",0,IF(COUNTIFS(Tasks[Task ID],U79)=1,MATCH(U79,Tasks[Task ID],0),-1))</ns0:f>
        <ns0:v>0</ns0:v>
      </ns0:c>
      <ns0:c r="AD79" t="n">
        <ns0:f>IF(V79="",0,IF(COUNTIFS(Tasks[Task ID],V79)=1,MATCH(V79,Tasks[Task ID],0),-1))</ns0:f>
        <ns0:v>0</ns0:v>
      </ns0:c>
      <ns0:c r="AE79" t="n">
        <ns0:f>IF(W79="",0,IF(COUNTIFS(Tasks[Task ID],W79)=1,MATCH(W79,Tasks[Task ID],0),-1))</ns0:f>
        <ns0:v>0</ns0:v>
      </ns0:c>
      <ns0:c r="AF79" t="n">
        <ns0:f>IF(X79="",0,IF(COUNTIFS(Tasks[Task ID],X79)=1,MATCH(X79,Tasks[Task ID],0),-1))</ns0:f>
        <ns0:v>0</ns0:v>
      </ns0:c>
      <ns0:c r="AG79" t="n">
        <ns0:f>IF(Y79="",0,IF(COUNTIFS(Tasks[Task ID],Y79)=1,MATCH(Y79,Tasks[Task ID],0),-1))</ns0:f>
        <ns0:v>0</ns0:v>
      </ns0:c>
      <ns0:c r="AH79" t="n">
        <ns0:f>IF(Z79="",0,IF(COUNTIFS(Tasks[Task ID],Z79)=1,MATCH(Z79,Tasks[Task ID],0),-1))</ns0:f>
        <ns0:v>0</ns0:v>
      </ns0:c>
      <ns0:c r="AI79" t="n">
        <ns0:f>IF(AA79="",0,IF(COUNTIFS(Tasks[Task ID],AA79)=1,MATCH(AA79,Tasks[Task ID],0),-1))</ns0:f>
        <ns0:v>0</ns0:v>
      </ns0:c>
      <ns0:c r="AJ79" t="n">
        <ns0:f>IF(AB79="",0,IF(COUNTIFS(Tasks[Task ID],AB79)=1,MATCH(AB79,Tasks[Task ID],0),-1))</ns0:f>
        <ns0:v>0</ns0:v>
      </ns0:c>
      <ns0:c r="AK79" t="n">
        <ns0:f>COUNTIFS(AC79:AJ79,-1)+IF(T79&gt;8,1,0)</ns0:f>
        <ns0:v>0</ns0:v>
      </ns0:c>
      <ns0:c r="AL79" t="n">
        <ns0:f>IF(OR(A79="",S79&lt;&gt;""),0,SUM(IF(AC79&gt;0,IF($I79="FS",--($E79&lt;INDEX(Tasks[End Date],AC79)+IF(INDEX(Tasks[Milestone],AC79)="Yes",0,1)),IF($I79="SS",--($E79&lt;INDEX(Tasks[Start Date],AC79)),IF($I79="FF",--($F79&lt;INDEX(Tasks[End Date],AC79)),IF($I79="SF",--($F79&lt;INDEX(Tasks[Start Date],AC79)),0)))),0),IF(AD79&gt;0,IF($I79="FS",--($E79&lt;INDEX(Tasks[End Date],AD79)+IF(INDEX(Tasks[Milestone],AD79)="Yes",0,1)),IF($I79="SS",--($E79&lt;INDEX(Tasks[Start Date],AD79)),IF($I79="FF",--($F79&lt;INDEX(Tasks[End Date],AD79)),IF($I79="SF",--($F79&lt;INDEX(Tasks[Start Date],AD79)),0)))),0),IF(AE79&gt;0,IF($I79="FS",--($E79&lt;INDEX(Tasks[End Date],AE79)+IF(INDEX(Tasks[Milestone],AE79)="Yes",0,1)),IF($I79="SS",--($E79&lt;INDEX(Tasks[Start Date],AE79)),IF($I79="FF",--($F79&lt;INDEX(Tasks[End Date],AE79)),IF($I79="SF",--($F79&lt;INDEX(Tasks[Start Date],AE79)),0)))),0),IF(AF79&gt;0,IF($I79="FS",--($E79&lt;INDEX(Tasks[End Date],AF79)+IF(INDEX(Tasks[Milestone],AF79)="Yes",0,1)),IF($I79="SS",--($E79&lt;INDEX(Tasks[Start Date],AF79)),IF($I79="FF",--($F79&lt;INDEX(Tasks[End Date],AF79)),IF($I79="SF",--($F79&lt;INDEX(Tasks[Start Date],AF79)),0)))),0),IF(AG79&gt;0,IF($I79="FS",--($E79&lt;INDEX(Tasks[End Date],AG79)+IF(INDEX(Tasks[Milestone],AG79)="Yes",0,1)),IF($I79="SS",--($E79&lt;INDEX(Tasks[Start Date],AG79)),IF($I79="FF",--($F79&lt;INDEX(Tasks[End Date],AG79)),IF($I79="SF",--($F79&lt;INDEX(Tasks[Start Date],AG79)),0)))),0),IF(AH79&gt;0,IF($I79="FS",--($E79&lt;INDEX(Tasks[End Date],AH79)+IF(INDEX(Tasks[Milestone],AH79)="Yes",0,1)),IF($I79="SS",--($E79&lt;INDEX(Tasks[Start Date],AH79)),IF($I79="FF",--($F79&lt;INDEX(Tasks[End Date],AH79)),IF($I79="SF",--($F79&lt;INDEX(Tasks[Start Date],AH79)),0)))),0),IF(AI79&gt;0,IF($I79="FS",--($E79&lt;INDEX(Tasks[End Date],AI79)+IF(INDEX(Tasks[Milestone],AI79)="Yes",0,1)),IF($I79="SS",--($E79&lt;INDEX(Tasks[Start Date],AI79)),IF($I79="FF",--($F79&lt;INDEX(Tasks[End Date],AI79)),IF($I79="SF",--($F79&lt;INDEX(Tasks[Start Date],AI79)),0)))),0),IF(AJ79&gt;0,IF($I79="FS",--($E79&lt;INDEX(Tasks[End Date],AJ79)+IF(INDEX(Tasks[Milestone],AJ79)="Yes",0,1)),IF($I79="SS",--($E79&lt;INDEX(Tasks[Start Date],AJ79)),IF($I79="FF",--($F79&lt;INDEX(Tasks[End Date],AJ79)),IF($I79="SF",--($F79&lt;INDEX(Tasks[Start Date],AJ79)),0)))),0)))</ns0:f>
        <ns0:v>0</ns0:v>
      </ns0:c>
      <ns0:c r="AM79" t="n">
        <ns0:f>IF(AND(A79&lt;&gt;"",AK79=0,EP79=0),1,0)</ns0:f>
        <ns0:v>0</ns0:v>
      </ns0:c>
      <ns0:c r="AN79" t="str">
        <ns0:f>IF(OR(A79="",B79=""),"",IF(COUNTIFS($B$7:B79,B79)=1,MAX($AN$6:AN78)+1,""))</ns0:f>
      </ns0:c>
      <ns0:c r="AO79" t="n">
        <ns0:f>IF(AND(A79&lt;&gt;"",J79="No",N79&lt;1,E79&gt;=AsOfDate),E79+ROW()/10000,1E+9)</ns0:f>
        <ns0:v>1000000000</ns0:v>
      </ns0:c>
      <ns0:c r="AP79" t="n">
        <ns0:f>IF(AND(A79&lt;&gt;"",J79="Yes",N79&lt;1,E79&gt;=AsOfDate),E79+ROW()/10000,1E+9)</ns0:f>
        <ns0:v>1000000000</ns0:v>
      </ns0:c>
      <ns0:c r="AQ79" t="n">
        <ns0:f>IF(AND(A79&lt;&gt;"",J79="No",N79&lt;1,F79&gt;=AsOfDate,F79&lt;=AsOfDate+7),F79+ROW()/10000,1E+9)</ns0:f>
        <ns0:v>1000000000</ns0:v>
      </ns0:c>
      <ns0:c r="AR79" t="n">
        <ns0:f>IF(AND(A79&lt;&gt;"",OR(O79&lt;&gt;"On track",Q79="Delayed")),ROW(),1E+9)</ns0:f>
        <ns0:v>1000000000</ns0:v>
      </ns0:c>
      <ns0:c r="AS79" t="str">
        <ns0:f>IF(A79="","",";"&amp;K79&amp;";")</ns0:f>
      </ns0:c>
      <ns0:c r="AT79" t="n">
        <ns0:f>IF(A79="",1,--(T79=0))</ns0:f>
        <ns0:v>1</ns0:v>
      </ns0:c>
      <ns0:c r="AU79" t="n">
        <ns0:f>IF($A79="",1,IF(AT79=1,1,--AND(IF($AC79&gt;0,INDEX(AT$7:AT$106,$AC79),1),IF($AD79&gt;0,INDEX(AT$7:AT$106,$AD79),1),IF($AE79&gt;0,INDEX(AT$7:AT$106,$AE79),1),IF($AF79&gt;0,INDEX(AT$7:AT$106,$AF79),1),IF($AG79&gt;0,INDEX(AT$7:AT$106,$AG79),1),IF($AH79&gt;0,INDEX(AT$7:AT$106,$AH79),1),IF($AI79&gt;0,INDEX(AT$7:AT$106,$AI79),1),IF($AJ79&gt;0,INDEX(AT$7:AT$106,$AJ79),1))))</ns0:f>
        <ns0:v>1</ns0:v>
      </ns0:c>
      <ns0:c r="AV79" t="n">
        <ns0:f>IF($A79="",1,IF(AU79=1,1,--AND(IF($AC79&gt;0,INDEX(AU$7:AU$106,$AC79),1),IF($AD79&gt;0,INDEX(AU$7:AU$106,$AD79),1),IF($AE79&gt;0,INDEX(AU$7:AU$106,$AE79),1),IF($AF79&gt;0,INDEX(AU$7:AU$106,$AF79),1),IF($AG79&gt;0,INDEX(AU$7:AU$106,$AG79),1),IF($AH79&gt;0,INDEX(AU$7:AU$106,$AH79),1),IF($AI79&gt;0,INDEX(AU$7:AU$106,$AI79),1),IF($AJ79&gt;0,INDEX(AU$7:AU$106,$AJ79),1))))</ns0:f>
        <ns0:v>1</ns0:v>
      </ns0:c>
      <ns0:c r="AW79" t="n">
        <ns0:f>IF($A79="",1,IF(AV79=1,1,--AND(IF($AC79&gt;0,INDEX(AV$7:AV$106,$AC79),1),IF($AD79&gt;0,INDEX(AV$7:AV$106,$AD79),1),IF($AE79&gt;0,INDEX(AV$7:AV$106,$AE79),1),IF($AF79&gt;0,INDEX(AV$7:AV$106,$AF79),1),IF($AG79&gt;0,INDEX(AV$7:AV$106,$AG79),1),IF($AH79&gt;0,INDEX(AV$7:AV$106,$AH79),1),IF($AI79&gt;0,INDEX(AV$7:AV$106,$AI79),1),IF($AJ79&gt;0,INDEX(AV$7:AV$106,$AJ79),1))))</ns0:f>
        <ns0:v>1</ns0:v>
      </ns0:c>
      <ns0:c r="AX79" t="n">
        <ns0:f>IF($A79="",1,IF(AW79=1,1,--AND(IF($AC79&gt;0,INDEX(AW$7:AW$106,$AC79),1),IF($AD79&gt;0,INDEX(AW$7:AW$106,$AD79),1),IF($AE79&gt;0,INDEX(AW$7:AW$106,$AE79),1),IF($AF79&gt;0,INDEX(AW$7:AW$106,$AF79),1),IF($AG79&gt;0,INDEX(AW$7:AW$106,$AG79),1),IF($AH79&gt;0,INDEX(AW$7:AW$106,$AH79),1),IF($AI79&gt;0,INDEX(AW$7:AW$106,$AI79),1),IF($AJ79&gt;0,INDEX(AW$7:AW$106,$AJ79),1))))</ns0:f>
        <ns0:v>1</ns0:v>
      </ns0:c>
      <ns0:c r="AY79" t="n">
        <ns0:f>IF($A79="",1,IF(AX79=1,1,--AND(IF($AC79&gt;0,INDEX(AX$7:AX$106,$AC79),1),IF($AD79&gt;0,INDEX(AX$7:AX$106,$AD79),1),IF($AE79&gt;0,INDEX(AX$7:AX$106,$AE79),1),IF($AF79&gt;0,INDEX(AX$7:AX$106,$AF79),1),IF($AG79&gt;0,INDEX(AX$7:AX$106,$AG79),1),IF($AH79&gt;0,INDEX(AX$7:AX$106,$AH79),1),IF($AI79&gt;0,INDEX(AX$7:AX$106,$AI79),1),IF($AJ79&gt;0,INDEX(AX$7:AX$106,$AJ79),1))))</ns0:f>
        <ns0:v>1</ns0:v>
      </ns0:c>
      <ns0:c r="AZ79" t="n">
        <ns0:f>IF($A79="",1,IF(AY79=1,1,--AND(IF($AC79&gt;0,INDEX(AY$7:AY$106,$AC79),1),IF($AD79&gt;0,INDEX(AY$7:AY$106,$AD79),1),IF($AE79&gt;0,INDEX(AY$7:AY$106,$AE79),1),IF($AF79&gt;0,INDEX(AY$7:AY$106,$AF79),1),IF($AG79&gt;0,INDEX(AY$7:AY$106,$AG79),1),IF($AH79&gt;0,INDEX(AY$7:AY$106,$AH79),1),IF($AI79&gt;0,INDEX(AY$7:AY$106,$AI79),1),IF($AJ79&gt;0,INDEX(AY$7:AY$106,$AJ79),1))))</ns0:f>
        <ns0:v>1</ns0:v>
      </ns0:c>
      <ns0:c r="BA79" t="n">
        <ns0:f>IF($A79="",1,IF(AZ79=1,1,--AND(IF($AC79&gt;0,INDEX(AZ$7:AZ$106,$AC79),1),IF($AD79&gt;0,INDEX(AZ$7:AZ$106,$AD79),1),IF($AE79&gt;0,INDEX(AZ$7:AZ$106,$AE79),1),IF($AF79&gt;0,INDEX(AZ$7:AZ$106,$AF79),1),IF($AG79&gt;0,INDEX(AZ$7:AZ$106,$AG79),1),IF($AH79&gt;0,INDEX(AZ$7:AZ$106,$AH79),1),IF($AI79&gt;0,INDEX(AZ$7:AZ$106,$AI79),1),IF($AJ79&gt;0,INDEX(AZ$7:AZ$106,$AJ79),1))))</ns0:f>
        <ns0:v>1</ns0:v>
      </ns0:c>
      <ns0:c r="BB79" t="n">
        <ns0:f>IF($A79="",1,IF(BA79=1,1,--AND(IF($AC79&gt;0,INDEX(BA$7:BA$106,$AC79),1),IF($AD79&gt;0,INDEX(BA$7:BA$106,$AD79),1),IF($AE79&gt;0,INDEX(BA$7:BA$106,$AE79),1),IF($AF79&gt;0,INDEX(BA$7:BA$106,$AF79),1),IF($AG79&gt;0,INDEX(BA$7:BA$106,$AG79),1),IF($AH79&gt;0,INDEX(BA$7:BA$106,$AH79),1),IF($AI79&gt;0,INDEX(BA$7:BA$106,$AI79),1),IF($AJ79&gt;0,INDEX(BA$7:BA$106,$AJ79),1))))</ns0:f>
        <ns0:v>1</ns0:v>
      </ns0:c>
      <ns0:c r="BC79" t="n">
        <ns0:f>IF($A79="",1,IF(BB79=1,1,--AND(IF($AC79&gt;0,INDEX(BB$7:BB$106,$AC79),1),IF($AD79&gt;0,INDEX(BB$7:BB$106,$AD79),1),IF($AE79&gt;0,INDEX(BB$7:BB$106,$AE79),1),IF($AF79&gt;0,INDEX(BB$7:BB$106,$AF79),1),IF($AG79&gt;0,INDEX(BB$7:BB$106,$AG79),1),IF($AH79&gt;0,INDEX(BB$7:BB$106,$AH79),1),IF($AI79&gt;0,INDEX(BB$7:BB$106,$AI79),1),IF($AJ79&gt;0,INDEX(BB$7:BB$106,$AJ79),1))))</ns0:f>
        <ns0:v>1</ns0:v>
      </ns0:c>
      <ns0:c r="BD79" t="n">
        <ns0:f>IF($A79="",1,IF(BC79=1,1,--AND(IF($AC79&gt;0,INDEX(BC$7:BC$106,$AC79),1),IF($AD79&gt;0,INDEX(BC$7:BC$106,$AD79),1),IF($AE79&gt;0,INDEX(BC$7:BC$106,$AE79),1),IF($AF79&gt;0,INDEX(BC$7:BC$106,$AF79),1),IF($AG79&gt;0,INDEX(BC$7:BC$106,$AG79),1),IF($AH79&gt;0,INDEX(BC$7:BC$106,$AH79),1),IF($AI79&gt;0,INDEX(BC$7:BC$106,$AI79),1),IF($AJ79&gt;0,INDEX(BC$7:BC$106,$AJ79),1))))</ns0:f>
        <ns0:v>1</ns0:v>
      </ns0:c>
      <ns0:c r="BE79" t="n">
        <ns0:f>IF($A79="",1,IF(BD79=1,1,--AND(IF($AC79&gt;0,INDEX(BD$7:BD$106,$AC79),1),IF($AD79&gt;0,INDEX(BD$7:BD$106,$AD79),1),IF($AE79&gt;0,INDEX(BD$7:BD$106,$AE79),1),IF($AF79&gt;0,INDEX(BD$7:BD$106,$AF79),1),IF($AG79&gt;0,INDEX(BD$7:BD$106,$AG79),1),IF($AH79&gt;0,INDEX(BD$7:BD$106,$AH79),1),IF($AI79&gt;0,INDEX(BD$7:BD$106,$AI79),1),IF($AJ79&gt;0,INDEX(BD$7:BD$106,$AJ79),1))))</ns0:f>
        <ns0:v>1</ns0:v>
      </ns0:c>
      <ns0:c r="BF79" t="n">
        <ns0:f>IF($A79="",1,IF(BE79=1,1,--AND(IF($AC79&gt;0,INDEX(BE$7:BE$106,$AC79),1),IF($AD79&gt;0,INDEX(BE$7:BE$106,$AD79),1),IF($AE79&gt;0,INDEX(BE$7:BE$106,$AE79),1),IF($AF79&gt;0,INDEX(BE$7:BE$106,$AF79),1),IF($AG79&gt;0,INDEX(BE$7:BE$106,$AG79),1),IF($AH79&gt;0,INDEX(BE$7:BE$106,$AH79),1),IF($AI79&gt;0,INDEX(BE$7:BE$106,$AI79),1),IF($AJ79&gt;0,INDEX(BE$7:BE$106,$AJ79),1))))</ns0:f>
        <ns0:v>1</ns0:v>
      </ns0:c>
      <ns0:c r="BG79" t="n">
        <ns0:f>IF($A79="",1,IF(BF79=1,1,--AND(IF($AC79&gt;0,INDEX(BF$7:BF$106,$AC79),1),IF($AD79&gt;0,INDEX(BF$7:BF$106,$AD79),1),IF($AE79&gt;0,INDEX(BF$7:BF$106,$AE79),1),IF($AF79&gt;0,INDEX(BF$7:BF$106,$AF79),1),IF($AG79&gt;0,INDEX(BF$7:BF$106,$AG79),1),IF($AH79&gt;0,INDEX(BF$7:BF$106,$AH79),1),IF($AI79&gt;0,INDEX(BF$7:BF$106,$AI79),1),IF($AJ79&gt;0,INDEX(BF$7:BF$106,$AJ79),1))))</ns0:f>
        <ns0:v>1</ns0:v>
      </ns0:c>
      <ns0:c r="BH79" t="n">
        <ns0:f>IF($A79="",1,IF(BG79=1,1,--AND(IF($AC79&gt;0,INDEX(BG$7:BG$106,$AC79),1),IF($AD79&gt;0,INDEX(BG$7:BG$106,$AD79),1),IF($AE79&gt;0,INDEX(BG$7:BG$106,$AE79),1),IF($AF79&gt;0,INDEX(BG$7:BG$106,$AF79),1),IF($AG79&gt;0,INDEX(BG$7:BG$106,$AG79),1),IF($AH79&gt;0,INDEX(BG$7:BG$106,$AH79),1),IF($AI79&gt;0,INDEX(BG$7:BG$106,$AI79),1),IF($AJ79&gt;0,INDEX(BG$7:BG$106,$AJ79),1))))</ns0:f>
        <ns0:v>1</ns0:v>
      </ns0:c>
      <ns0:c r="BI79" t="n">
        <ns0:f>IF($A79="",1,IF(BH79=1,1,--AND(IF($AC79&gt;0,INDEX(BH$7:BH$106,$AC79),1),IF($AD79&gt;0,INDEX(BH$7:BH$106,$AD79),1),IF($AE79&gt;0,INDEX(BH$7:BH$106,$AE79),1),IF($AF79&gt;0,INDEX(BH$7:BH$106,$AF79),1),IF($AG79&gt;0,INDEX(BH$7:BH$106,$AG79),1),IF($AH79&gt;0,INDEX(BH$7:BH$106,$AH79),1),IF($AI79&gt;0,INDEX(BH$7:BH$106,$AI79),1),IF($AJ79&gt;0,INDEX(BH$7:BH$106,$AJ79),1))))</ns0:f>
        <ns0:v>1</ns0:v>
      </ns0:c>
      <ns0:c r="BJ79" t="n">
        <ns0:f>IF($A79="",1,IF(BI79=1,1,--AND(IF($AC79&gt;0,INDEX(BI$7:BI$106,$AC79),1),IF($AD79&gt;0,INDEX(BI$7:BI$106,$AD79),1),IF($AE79&gt;0,INDEX(BI$7:BI$106,$AE79),1),IF($AF79&gt;0,INDEX(BI$7:BI$106,$AF79),1),IF($AG79&gt;0,INDEX(BI$7:BI$106,$AG79),1),IF($AH79&gt;0,INDEX(BI$7:BI$106,$AH79),1),IF($AI79&gt;0,INDEX(BI$7:BI$106,$AI79),1),IF($AJ79&gt;0,INDEX(BI$7:BI$106,$AJ79),1))))</ns0:f>
        <ns0:v>1</ns0:v>
      </ns0:c>
      <ns0:c r="BK79" t="n">
        <ns0:f>IF($A79="",1,IF(BJ79=1,1,--AND(IF($AC79&gt;0,INDEX(BJ$7:BJ$106,$AC79),1),IF($AD79&gt;0,INDEX(BJ$7:BJ$106,$AD79),1),IF($AE79&gt;0,INDEX(BJ$7:BJ$106,$AE79),1),IF($AF79&gt;0,INDEX(BJ$7:BJ$106,$AF79),1),IF($AG79&gt;0,INDEX(BJ$7:BJ$106,$AG79),1),IF($AH79&gt;0,INDEX(BJ$7:BJ$106,$AH79),1),IF($AI79&gt;0,INDEX(BJ$7:BJ$106,$AI79),1),IF($AJ79&gt;0,INDEX(BJ$7:BJ$106,$AJ79),1))))</ns0:f>
        <ns0:v>1</ns0:v>
      </ns0:c>
      <ns0:c r="BL79" t="n">
        <ns0:f>IF($A79="",1,IF(BK79=1,1,--AND(IF($AC79&gt;0,INDEX(BK$7:BK$106,$AC79),1),IF($AD79&gt;0,INDEX(BK$7:BK$106,$AD79),1),IF($AE79&gt;0,INDEX(BK$7:BK$106,$AE79),1),IF($AF79&gt;0,INDEX(BK$7:BK$106,$AF79),1),IF($AG79&gt;0,INDEX(BK$7:BK$106,$AG79),1),IF($AH79&gt;0,INDEX(BK$7:BK$106,$AH79),1),IF($AI79&gt;0,INDEX(BK$7:BK$106,$AI79),1),IF($AJ79&gt;0,INDEX(BK$7:BK$106,$AJ79),1))))</ns0:f>
        <ns0:v>1</ns0:v>
      </ns0:c>
      <ns0:c r="BM79" t="n">
        <ns0:f>IF($A79="",1,IF(BL79=1,1,--AND(IF($AC79&gt;0,INDEX(BL$7:BL$106,$AC79),1),IF($AD79&gt;0,INDEX(BL$7:BL$106,$AD79),1),IF($AE79&gt;0,INDEX(BL$7:BL$106,$AE79),1),IF($AF79&gt;0,INDEX(BL$7:BL$106,$AF79),1),IF($AG79&gt;0,INDEX(BL$7:BL$106,$AG79),1),IF($AH79&gt;0,INDEX(BL$7:BL$106,$AH79),1),IF($AI79&gt;0,INDEX(BL$7:BL$106,$AI79),1),IF($AJ79&gt;0,INDEX(BL$7:BL$106,$AJ79),1))))</ns0:f>
        <ns0:v>1</ns0:v>
      </ns0:c>
      <ns0:c r="BN79" t="n">
        <ns0:f>IF($A79="",1,IF(BM79=1,1,--AND(IF($AC79&gt;0,INDEX(BM$7:BM$106,$AC79),1),IF($AD79&gt;0,INDEX(BM$7:BM$106,$AD79),1),IF($AE79&gt;0,INDEX(BM$7:BM$106,$AE79),1),IF($AF79&gt;0,INDEX(BM$7:BM$106,$AF79),1),IF($AG79&gt;0,INDEX(BM$7:BM$106,$AG79),1),IF($AH79&gt;0,INDEX(BM$7:BM$106,$AH79),1),IF($AI79&gt;0,INDEX(BM$7:BM$106,$AI79),1),IF($AJ79&gt;0,INDEX(BM$7:BM$106,$AJ79),1))))</ns0:f>
        <ns0:v>1</ns0:v>
      </ns0:c>
      <ns0:c r="BO79" t="n">
        <ns0:f>IF($A79="",1,IF(BN79=1,1,--AND(IF($AC79&gt;0,INDEX(BN$7:BN$106,$AC79),1),IF($AD79&gt;0,INDEX(BN$7:BN$106,$AD79),1),IF($AE79&gt;0,INDEX(BN$7:BN$106,$AE79),1),IF($AF79&gt;0,INDEX(BN$7:BN$106,$AF79),1),IF($AG79&gt;0,INDEX(BN$7:BN$106,$AG79),1),IF($AH79&gt;0,INDEX(BN$7:BN$106,$AH79),1),IF($AI79&gt;0,INDEX(BN$7:BN$106,$AI79),1),IF($AJ79&gt;0,INDEX(BN$7:BN$106,$AJ79),1))))</ns0:f>
        <ns0:v>1</ns0:v>
      </ns0:c>
      <ns0:c r="BP79" t="n">
        <ns0:f>IF($A79="",1,IF(BO79=1,1,--AND(IF($AC79&gt;0,INDEX(BO$7:BO$106,$AC79),1),IF($AD79&gt;0,INDEX(BO$7:BO$106,$AD79),1),IF($AE79&gt;0,INDEX(BO$7:BO$106,$AE79),1),IF($AF79&gt;0,INDEX(BO$7:BO$106,$AF79),1),IF($AG79&gt;0,INDEX(BO$7:BO$106,$AG79),1),IF($AH79&gt;0,INDEX(BO$7:BO$106,$AH79),1),IF($AI79&gt;0,INDEX(BO$7:BO$106,$AI79),1),IF($AJ79&gt;0,INDEX(BO$7:BO$106,$AJ79),1))))</ns0:f>
        <ns0:v>1</ns0:v>
      </ns0:c>
      <ns0:c r="BQ79" t="n">
        <ns0:f>IF($A79="",1,IF(BP79=1,1,--AND(IF($AC79&gt;0,INDEX(BP$7:BP$106,$AC79),1),IF($AD79&gt;0,INDEX(BP$7:BP$106,$AD79),1),IF($AE79&gt;0,INDEX(BP$7:BP$106,$AE79),1),IF($AF79&gt;0,INDEX(BP$7:BP$106,$AF79),1),IF($AG79&gt;0,INDEX(BP$7:BP$106,$AG79),1),IF($AH79&gt;0,INDEX(BP$7:BP$106,$AH79),1),IF($AI79&gt;0,INDEX(BP$7:BP$106,$AI79),1),IF($AJ79&gt;0,INDEX(BP$7:BP$106,$AJ79),1))))</ns0:f>
        <ns0:v>1</ns0:v>
      </ns0:c>
      <ns0:c r="BR79" t="n">
        <ns0:f>IF($A79="",1,IF(BQ79=1,1,--AND(IF($AC79&gt;0,INDEX(BQ$7:BQ$106,$AC79),1),IF($AD79&gt;0,INDEX(BQ$7:BQ$106,$AD79),1),IF($AE79&gt;0,INDEX(BQ$7:BQ$106,$AE79),1),IF($AF79&gt;0,INDEX(BQ$7:BQ$106,$AF79),1),IF($AG79&gt;0,INDEX(BQ$7:BQ$106,$AG79),1),IF($AH79&gt;0,INDEX(BQ$7:BQ$106,$AH79),1),IF($AI79&gt;0,INDEX(BQ$7:BQ$106,$AI79),1),IF($AJ79&gt;0,INDEX(BQ$7:BQ$106,$AJ79),1))))</ns0:f>
        <ns0:v>1</ns0:v>
      </ns0:c>
      <ns0:c r="BS79" t="n">
        <ns0:f>IF($A79="",1,IF(BR79=1,1,--AND(IF($AC79&gt;0,INDEX(BR$7:BR$106,$AC79),1),IF($AD79&gt;0,INDEX(BR$7:BR$106,$AD79),1),IF($AE79&gt;0,INDEX(BR$7:BR$106,$AE79),1),IF($AF79&gt;0,INDEX(BR$7:BR$106,$AF79),1),IF($AG79&gt;0,INDEX(BR$7:BR$106,$AG79),1),IF($AH79&gt;0,INDEX(BR$7:BR$106,$AH79),1),IF($AI79&gt;0,INDEX(BR$7:BR$106,$AI79),1),IF($AJ79&gt;0,INDEX(BR$7:BR$106,$AJ79),1))))</ns0:f>
        <ns0:v>1</ns0:v>
      </ns0:c>
      <ns0:c r="BT79" t="n">
        <ns0:f>IF($A79="",1,IF(BS79=1,1,--AND(IF($AC79&gt;0,INDEX(BS$7:BS$106,$AC79),1),IF($AD79&gt;0,INDEX(BS$7:BS$106,$AD79),1),IF($AE79&gt;0,INDEX(BS$7:BS$106,$AE79),1),IF($AF79&gt;0,INDEX(BS$7:BS$106,$AF79),1),IF($AG79&gt;0,INDEX(BS$7:BS$106,$AG79),1),IF($AH79&gt;0,INDEX(BS$7:BS$106,$AH79),1),IF($AI79&gt;0,INDEX(BS$7:BS$106,$AI79),1),IF($AJ79&gt;0,INDEX(BS$7:BS$106,$AJ79),1))))</ns0:f>
        <ns0:v>1</ns0:v>
      </ns0:c>
      <ns0:c r="BU79" t="n">
        <ns0:f>IF($A79="",1,IF(BT79=1,1,--AND(IF($AC79&gt;0,INDEX(BT$7:BT$106,$AC79),1),IF($AD79&gt;0,INDEX(BT$7:BT$106,$AD79),1),IF($AE79&gt;0,INDEX(BT$7:BT$106,$AE79),1),IF($AF79&gt;0,INDEX(BT$7:BT$106,$AF79),1),IF($AG79&gt;0,INDEX(BT$7:BT$106,$AG79),1),IF($AH79&gt;0,INDEX(BT$7:BT$106,$AH79),1),IF($AI79&gt;0,INDEX(BT$7:BT$106,$AI79),1),IF($AJ79&gt;0,INDEX(BT$7:BT$106,$AJ79),1))))</ns0:f>
        <ns0:v>1</ns0:v>
      </ns0:c>
      <ns0:c r="BV79" t="n">
        <ns0:f>IF($A79="",1,IF(BU79=1,1,--AND(IF($AC79&gt;0,INDEX(BU$7:BU$106,$AC79),1),IF($AD79&gt;0,INDEX(BU$7:BU$106,$AD79),1),IF($AE79&gt;0,INDEX(BU$7:BU$106,$AE79),1),IF($AF79&gt;0,INDEX(BU$7:BU$106,$AF79),1),IF($AG79&gt;0,INDEX(BU$7:BU$106,$AG79),1),IF($AH79&gt;0,INDEX(BU$7:BU$106,$AH79),1),IF($AI79&gt;0,INDEX(BU$7:BU$106,$AI79),1),IF($AJ79&gt;0,INDEX(BU$7:BU$106,$AJ79),1))))</ns0:f>
        <ns0:v>1</ns0:v>
      </ns0:c>
      <ns0:c r="BW79" t="n">
        <ns0:f>IF($A79="",1,IF(BV79=1,1,--AND(IF($AC79&gt;0,INDEX(BV$7:BV$106,$AC79),1),IF($AD79&gt;0,INDEX(BV$7:BV$106,$AD79),1),IF($AE79&gt;0,INDEX(BV$7:BV$106,$AE79),1),IF($AF79&gt;0,INDEX(BV$7:BV$106,$AF79),1),IF($AG79&gt;0,INDEX(BV$7:BV$106,$AG79),1),IF($AH79&gt;0,INDEX(BV$7:BV$106,$AH79),1),IF($AI79&gt;0,INDEX(BV$7:BV$106,$AI79),1),IF($AJ79&gt;0,INDEX(BV$7:BV$106,$AJ79),1))))</ns0:f>
        <ns0:v>1</ns0:v>
      </ns0:c>
      <ns0:c r="BX79" t="n">
        <ns0:f>IF($A79="",1,IF(BW79=1,1,--AND(IF($AC79&gt;0,INDEX(BW$7:BW$106,$AC79),1),IF($AD79&gt;0,INDEX(BW$7:BW$106,$AD79),1),IF($AE79&gt;0,INDEX(BW$7:BW$106,$AE79),1),IF($AF79&gt;0,INDEX(BW$7:BW$106,$AF79),1),IF($AG79&gt;0,INDEX(BW$7:BW$106,$AG79),1),IF($AH79&gt;0,INDEX(BW$7:BW$106,$AH79),1),IF($AI79&gt;0,INDEX(BW$7:BW$106,$AI79),1),IF($AJ79&gt;0,INDEX(BW$7:BW$106,$AJ79),1))))</ns0:f>
        <ns0:v>1</ns0:v>
      </ns0:c>
      <ns0:c r="BY79" t="n">
        <ns0:f>IF($A79="",1,IF(BX79=1,1,--AND(IF($AC79&gt;0,INDEX(BX$7:BX$106,$AC79),1),IF($AD79&gt;0,INDEX(BX$7:BX$106,$AD79),1),IF($AE79&gt;0,INDEX(BX$7:BX$106,$AE79),1),IF($AF79&gt;0,INDEX(BX$7:BX$106,$AF79),1),IF($AG79&gt;0,INDEX(BX$7:BX$106,$AG79),1),IF($AH79&gt;0,INDEX(BX$7:BX$106,$AH79),1),IF($AI79&gt;0,INDEX(BX$7:BX$106,$AI79),1),IF($AJ79&gt;0,INDEX(BX$7:BX$106,$AJ79),1))))</ns0:f>
        <ns0:v>1</ns0:v>
      </ns0:c>
      <ns0:c r="BZ79" t="n">
        <ns0:f>IF($A79="",1,IF(BY79=1,1,--AND(IF($AC79&gt;0,INDEX(BY$7:BY$106,$AC79),1),IF($AD79&gt;0,INDEX(BY$7:BY$106,$AD79),1),IF($AE79&gt;0,INDEX(BY$7:BY$106,$AE79),1),IF($AF79&gt;0,INDEX(BY$7:BY$106,$AF79),1),IF($AG79&gt;0,INDEX(BY$7:BY$106,$AG79),1),IF($AH79&gt;0,INDEX(BY$7:BY$106,$AH79),1),IF($AI79&gt;0,INDEX(BY$7:BY$106,$AI79),1),IF($AJ79&gt;0,INDEX(BY$7:BY$106,$AJ79),1))))</ns0:f>
        <ns0:v>1</ns0:v>
      </ns0:c>
      <ns0:c r="CA79" t="n">
        <ns0:f>IF($A79="",1,IF(BZ79=1,1,--AND(IF($AC79&gt;0,INDEX(BZ$7:BZ$106,$AC79),1),IF($AD79&gt;0,INDEX(BZ$7:BZ$106,$AD79),1),IF($AE79&gt;0,INDEX(BZ$7:BZ$106,$AE79),1),IF($AF79&gt;0,INDEX(BZ$7:BZ$106,$AF79),1),IF($AG79&gt;0,INDEX(BZ$7:BZ$106,$AG79),1),IF($AH79&gt;0,INDEX(BZ$7:BZ$106,$AH79),1),IF($AI79&gt;0,INDEX(BZ$7:BZ$106,$AI79),1),IF($AJ79&gt;0,INDEX(BZ$7:BZ$106,$AJ79),1))))</ns0:f>
        <ns0:v>1</ns0:v>
      </ns0:c>
      <ns0:c r="CB79" t="n">
        <ns0:f>IF($A79="",1,IF(CA79=1,1,--AND(IF($AC79&gt;0,INDEX(CA$7:CA$106,$AC79),1),IF($AD79&gt;0,INDEX(CA$7:CA$106,$AD79),1),IF($AE79&gt;0,INDEX(CA$7:CA$106,$AE79),1),IF($AF79&gt;0,INDEX(CA$7:CA$106,$AF79),1),IF($AG79&gt;0,INDEX(CA$7:CA$106,$AG79),1),IF($AH79&gt;0,INDEX(CA$7:CA$106,$AH79),1),IF($AI79&gt;0,INDEX(CA$7:CA$106,$AI79),1),IF($AJ79&gt;0,INDEX(CA$7:CA$106,$AJ79),1))))</ns0:f>
        <ns0:v>1</ns0:v>
      </ns0:c>
      <ns0:c r="CC79" t="n">
        <ns0:f>IF($A79="",1,IF(CB79=1,1,--AND(IF($AC79&gt;0,INDEX(CB$7:CB$106,$AC79),1),IF($AD79&gt;0,INDEX(CB$7:CB$106,$AD79),1),IF($AE79&gt;0,INDEX(CB$7:CB$106,$AE79),1),IF($AF79&gt;0,INDEX(CB$7:CB$106,$AF79),1),IF($AG79&gt;0,INDEX(CB$7:CB$106,$AG79),1),IF($AH79&gt;0,INDEX(CB$7:CB$106,$AH79),1),IF($AI79&gt;0,INDEX(CB$7:CB$106,$AI79),1),IF($AJ79&gt;0,INDEX(CB$7:CB$106,$AJ79),1))))</ns0:f>
        <ns0:v>1</ns0:v>
      </ns0:c>
      <ns0:c r="CD79" t="n">
        <ns0:f>IF($A79="",1,IF(CC79=1,1,--AND(IF($AC79&gt;0,INDEX(CC$7:CC$106,$AC79),1),IF($AD79&gt;0,INDEX(CC$7:CC$106,$AD79),1),IF($AE79&gt;0,INDEX(CC$7:CC$106,$AE79),1),IF($AF79&gt;0,INDEX(CC$7:CC$106,$AF79),1),IF($AG79&gt;0,INDEX(CC$7:CC$106,$AG79),1),IF($AH79&gt;0,INDEX(CC$7:CC$106,$AH79),1),IF($AI79&gt;0,INDEX(CC$7:CC$106,$AI79),1),IF($AJ79&gt;0,INDEX(CC$7:CC$106,$AJ79),1))))</ns0:f>
        <ns0:v>1</ns0:v>
      </ns0:c>
      <ns0:c r="CE79" t="n">
        <ns0:f>IF($A79="",1,IF(CD79=1,1,--AND(IF($AC79&gt;0,INDEX(CD$7:CD$106,$AC79),1),IF($AD79&gt;0,INDEX(CD$7:CD$106,$AD79),1),IF($AE79&gt;0,INDEX(CD$7:CD$106,$AE79),1),IF($AF79&gt;0,INDEX(CD$7:CD$106,$AF79),1),IF($AG79&gt;0,INDEX(CD$7:CD$106,$AG79),1),IF($AH79&gt;0,INDEX(CD$7:CD$106,$AH79),1),IF($AI79&gt;0,INDEX(CD$7:CD$106,$AI79),1),IF($AJ79&gt;0,INDEX(CD$7:CD$106,$AJ79),1))))</ns0:f>
        <ns0:v>1</ns0:v>
      </ns0:c>
      <ns0:c r="CF79" t="n">
        <ns0:f>IF($A79="",1,IF(CE79=1,1,--AND(IF($AC79&gt;0,INDEX(CE$7:CE$106,$AC79),1),IF($AD79&gt;0,INDEX(CE$7:CE$106,$AD79),1),IF($AE79&gt;0,INDEX(CE$7:CE$106,$AE79),1),IF($AF79&gt;0,INDEX(CE$7:CE$106,$AF79),1),IF($AG79&gt;0,INDEX(CE$7:CE$106,$AG79),1),IF($AH79&gt;0,INDEX(CE$7:CE$106,$AH79),1),IF($AI79&gt;0,INDEX(CE$7:CE$106,$AI79),1),IF($AJ79&gt;0,INDEX(CE$7:CE$106,$AJ79),1))))</ns0:f>
        <ns0:v>1</ns0:v>
      </ns0:c>
      <ns0:c r="CG79" t="n">
        <ns0:f>IF($A79="",1,IF(CF79=1,1,--AND(IF($AC79&gt;0,INDEX(CF$7:CF$106,$AC79),1),IF($AD79&gt;0,INDEX(CF$7:CF$106,$AD79),1),IF($AE79&gt;0,INDEX(CF$7:CF$106,$AE79),1),IF($AF79&gt;0,INDEX(CF$7:CF$106,$AF79),1),IF($AG79&gt;0,INDEX(CF$7:CF$106,$AG79),1),IF($AH79&gt;0,INDEX(CF$7:CF$106,$AH79),1),IF($AI79&gt;0,INDEX(CF$7:CF$106,$AI79),1),IF($AJ79&gt;0,INDEX(CF$7:CF$106,$AJ79),1))))</ns0:f>
        <ns0:v>1</ns0:v>
      </ns0:c>
      <ns0:c r="CH79" t="n">
        <ns0:f>IF($A79="",1,IF(CG79=1,1,--AND(IF($AC79&gt;0,INDEX(CG$7:CG$106,$AC79),1),IF($AD79&gt;0,INDEX(CG$7:CG$106,$AD79),1),IF($AE79&gt;0,INDEX(CG$7:CG$106,$AE79),1),IF($AF79&gt;0,INDEX(CG$7:CG$106,$AF79),1),IF($AG79&gt;0,INDEX(CG$7:CG$106,$AG79),1),IF($AH79&gt;0,INDEX(CG$7:CG$106,$AH79),1),IF($AI79&gt;0,INDEX(CG$7:CG$106,$AI79),1),IF($AJ79&gt;0,INDEX(CG$7:CG$106,$AJ79),1))))</ns0:f>
        <ns0:v>1</ns0:v>
      </ns0:c>
      <ns0:c r="CI79" t="n">
        <ns0:f>IF($A79="",1,IF(CH79=1,1,--AND(IF($AC79&gt;0,INDEX(CH$7:CH$106,$AC79),1),IF($AD79&gt;0,INDEX(CH$7:CH$106,$AD79),1),IF($AE79&gt;0,INDEX(CH$7:CH$106,$AE79),1),IF($AF79&gt;0,INDEX(CH$7:CH$106,$AF79),1),IF($AG79&gt;0,INDEX(CH$7:CH$106,$AG79),1),IF($AH79&gt;0,INDEX(CH$7:CH$106,$AH79),1),IF($AI79&gt;0,INDEX(CH$7:CH$106,$AI79),1),IF($AJ79&gt;0,INDEX(CH$7:CH$106,$AJ79),1))))</ns0:f>
        <ns0:v>1</ns0:v>
      </ns0:c>
      <ns0:c r="CJ79" t="n">
        <ns0:f>IF($A79="",1,IF(CI79=1,1,--AND(IF($AC79&gt;0,INDEX(CI$7:CI$106,$AC79),1),IF($AD79&gt;0,INDEX(CI$7:CI$106,$AD79),1),IF($AE79&gt;0,INDEX(CI$7:CI$106,$AE79),1),IF($AF79&gt;0,INDEX(CI$7:CI$106,$AF79),1),IF($AG79&gt;0,INDEX(CI$7:CI$106,$AG79),1),IF($AH79&gt;0,INDEX(CI$7:CI$106,$AH79),1),IF($AI79&gt;0,INDEX(CI$7:CI$106,$AI79),1),IF($AJ79&gt;0,INDEX(CI$7:CI$106,$AJ79),1))))</ns0:f>
        <ns0:v>1</ns0:v>
      </ns0:c>
      <ns0:c r="CK79" t="n">
        <ns0:f>IF($A79="",1,IF(CJ79=1,1,--AND(IF($AC79&gt;0,INDEX(CJ$7:CJ$106,$AC79),1),IF($AD79&gt;0,INDEX(CJ$7:CJ$106,$AD79),1),IF($AE79&gt;0,INDEX(CJ$7:CJ$106,$AE79),1),IF($AF79&gt;0,INDEX(CJ$7:CJ$106,$AF79),1),IF($AG79&gt;0,INDEX(CJ$7:CJ$106,$AG79),1),IF($AH79&gt;0,INDEX(CJ$7:CJ$106,$AH79),1),IF($AI79&gt;0,INDEX(CJ$7:CJ$106,$AI79),1),IF($AJ79&gt;0,INDEX(CJ$7:CJ$106,$AJ79),1))))</ns0:f>
        <ns0:v>1</ns0:v>
      </ns0:c>
      <ns0:c r="CL79" t="n">
        <ns0:f>IF($A79="",1,IF(CK79=1,1,--AND(IF($AC79&gt;0,INDEX(CK$7:CK$106,$AC79),1),IF($AD79&gt;0,INDEX(CK$7:CK$106,$AD79),1),IF($AE79&gt;0,INDEX(CK$7:CK$106,$AE79),1),IF($AF79&gt;0,INDEX(CK$7:CK$106,$AF79),1),IF($AG79&gt;0,INDEX(CK$7:CK$106,$AG79),1),IF($AH79&gt;0,INDEX(CK$7:CK$106,$AH79),1),IF($AI79&gt;0,INDEX(CK$7:CK$106,$AI79),1),IF($AJ79&gt;0,INDEX(CK$7:CK$106,$AJ79),1))))</ns0:f>
        <ns0:v>1</ns0:v>
      </ns0:c>
      <ns0:c r="CM79" t="n">
        <ns0:f>IF($A79="",1,IF(CL79=1,1,--AND(IF($AC79&gt;0,INDEX(CL$7:CL$106,$AC79),1),IF($AD79&gt;0,INDEX(CL$7:CL$106,$AD79),1),IF($AE79&gt;0,INDEX(CL$7:CL$106,$AE79),1),IF($AF79&gt;0,INDEX(CL$7:CL$106,$AF79),1),IF($AG79&gt;0,INDEX(CL$7:CL$106,$AG79),1),IF($AH79&gt;0,INDEX(CL$7:CL$106,$AH79),1),IF($AI79&gt;0,INDEX(CL$7:CL$106,$AI79),1),IF($AJ79&gt;0,INDEX(CL$7:CL$106,$AJ79),1))))</ns0:f>
        <ns0:v>1</ns0:v>
      </ns0:c>
      <ns0:c r="CN79" t="n">
        <ns0:f>IF($A79="",1,IF(CM79=1,1,--AND(IF($AC79&gt;0,INDEX(CM$7:CM$106,$AC79),1),IF($AD79&gt;0,INDEX(CM$7:CM$106,$AD79),1),IF($AE79&gt;0,INDEX(CM$7:CM$106,$AE79),1),IF($AF79&gt;0,INDEX(CM$7:CM$106,$AF79),1),IF($AG79&gt;0,INDEX(CM$7:CM$106,$AG79),1),IF($AH79&gt;0,INDEX(CM$7:CM$106,$AH79),1),IF($AI79&gt;0,INDEX(CM$7:CM$106,$AI79),1),IF($AJ79&gt;0,INDEX(CM$7:CM$106,$AJ79),1))))</ns0:f>
        <ns0:v>1</ns0:v>
      </ns0:c>
      <ns0:c r="CO79" t="n">
        <ns0:f>IF($A79="",1,IF(CN79=1,1,--AND(IF($AC79&gt;0,INDEX(CN$7:CN$106,$AC79),1),IF($AD79&gt;0,INDEX(CN$7:CN$106,$AD79),1),IF($AE79&gt;0,INDEX(CN$7:CN$106,$AE79),1),IF($AF79&gt;0,INDEX(CN$7:CN$106,$AF79),1),IF($AG79&gt;0,INDEX(CN$7:CN$106,$AG79),1),IF($AH79&gt;0,INDEX(CN$7:CN$106,$AH79),1),IF($AI79&gt;0,INDEX(CN$7:CN$106,$AI79),1),IF($AJ79&gt;0,INDEX(CN$7:CN$106,$AJ79),1))))</ns0:f>
        <ns0:v>1</ns0:v>
      </ns0:c>
      <ns0:c r="CP79" t="n">
        <ns0:f>IF($A79="",1,IF(CO79=1,1,--AND(IF($AC79&gt;0,INDEX(CO$7:CO$106,$AC79),1),IF($AD79&gt;0,INDEX(CO$7:CO$106,$AD79),1),IF($AE79&gt;0,INDEX(CO$7:CO$106,$AE79),1),IF($AF79&gt;0,INDEX(CO$7:CO$106,$AF79),1),IF($AG79&gt;0,INDEX(CO$7:CO$106,$AG79),1),IF($AH79&gt;0,INDEX(CO$7:CO$106,$AH79),1),IF($AI79&gt;0,INDEX(CO$7:CO$106,$AI79),1),IF($AJ79&gt;0,INDEX(CO$7:CO$106,$AJ79),1))))</ns0:f>
        <ns0:v>1</ns0:v>
      </ns0:c>
      <ns0:c r="CQ79" t="n">
        <ns0:f>IF($A79="",1,IF(CP79=1,1,--AND(IF($AC79&gt;0,INDEX(CP$7:CP$106,$AC79),1),IF($AD79&gt;0,INDEX(CP$7:CP$106,$AD79),1),IF($AE79&gt;0,INDEX(CP$7:CP$106,$AE79),1),IF($AF79&gt;0,INDEX(CP$7:CP$106,$AF79),1),IF($AG79&gt;0,INDEX(CP$7:CP$106,$AG79),1),IF($AH79&gt;0,INDEX(CP$7:CP$106,$AH79),1),IF($AI79&gt;0,INDEX(CP$7:CP$106,$AI79),1),IF($AJ79&gt;0,INDEX(CP$7:CP$106,$AJ79),1))))</ns0:f>
        <ns0:v>1</ns0:v>
      </ns0:c>
      <ns0:c r="CR79" t="n">
        <ns0:f>IF($A79="",1,IF(CQ79=1,1,--AND(IF($AC79&gt;0,INDEX(CQ$7:CQ$106,$AC79),1),IF($AD79&gt;0,INDEX(CQ$7:CQ$106,$AD79),1),IF($AE79&gt;0,INDEX(CQ$7:CQ$106,$AE79),1),IF($AF79&gt;0,INDEX(CQ$7:CQ$106,$AF79),1),IF($AG79&gt;0,INDEX(CQ$7:CQ$106,$AG79),1),IF($AH79&gt;0,INDEX(CQ$7:CQ$106,$AH79),1),IF($AI79&gt;0,INDEX(CQ$7:CQ$106,$AI79),1),IF($AJ79&gt;0,INDEX(CQ$7:CQ$106,$AJ79),1))))</ns0:f>
        <ns0:v>1</ns0:v>
      </ns0:c>
      <ns0:c r="CS79" t="n">
        <ns0:f>IF($A79="",1,IF(CR79=1,1,--AND(IF($AC79&gt;0,INDEX(CR$7:CR$106,$AC79),1),IF($AD79&gt;0,INDEX(CR$7:CR$106,$AD79),1),IF($AE79&gt;0,INDEX(CR$7:CR$106,$AE79),1),IF($AF79&gt;0,INDEX(CR$7:CR$106,$AF79),1),IF($AG79&gt;0,INDEX(CR$7:CR$106,$AG79),1),IF($AH79&gt;0,INDEX(CR$7:CR$106,$AH79),1),IF($AI79&gt;0,INDEX(CR$7:CR$106,$AI79),1),IF($AJ79&gt;0,INDEX(CR$7:CR$106,$AJ79),1))))</ns0:f>
        <ns0:v>1</ns0:v>
      </ns0:c>
      <ns0:c r="CT79" t="n">
        <ns0:f>IF($A79="",1,IF(CS79=1,1,--AND(IF($AC79&gt;0,INDEX(CS$7:CS$106,$AC79),1),IF($AD79&gt;0,INDEX(CS$7:CS$106,$AD79),1),IF($AE79&gt;0,INDEX(CS$7:CS$106,$AE79),1),IF($AF79&gt;0,INDEX(CS$7:CS$106,$AF79),1),IF($AG79&gt;0,INDEX(CS$7:CS$106,$AG79),1),IF($AH79&gt;0,INDEX(CS$7:CS$106,$AH79),1),IF($AI79&gt;0,INDEX(CS$7:CS$106,$AI79),1),IF($AJ79&gt;0,INDEX(CS$7:CS$106,$AJ79),1))))</ns0:f>
        <ns0:v>1</ns0:v>
      </ns0:c>
      <ns0:c r="CU79" t="n">
        <ns0:f>IF($A79="",1,IF(CT79=1,1,--AND(IF($AC79&gt;0,INDEX(CT$7:CT$106,$AC79),1),IF($AD79&gt;0,INDEX(CT$7:CT$106,$AD79),1),IF($AE79&gt;0,INDEX(CT$7:CT$106,$AE79),1),IF($AF79&gt;0,INDEX(CT$7:CT$106,$AF79),1),IF($AG79&gt;0,INDEX(CT$7:CT$106,$AG79),1),IF($AH79&gt;0,INDEX(CT$7:CT$106,$AH79),1),IF($AI79&gt;0,INDEX(CT$7:CT$106,$AI79),1),IF($AJ79&gt;0,INDEX(CT$7:CT$106,$AJ79),1))))</ns0:f>
        <ns0:v>1</ns0:v>
      </ns0:c>
      <ns0:c r="CV79" t="n">
        <ns0:f>IF($A79="",1,IF(CU79=1,1,--AND(IF($AC79&gt;0,INDEX(CU$7:CU$106,$AC79),1),IF($AD79&gt;0,INDEX(CU$7:CU$106,$AD79),1),IF($AE79&gt;0,INDEX(CU$7:CU$106,$AE79),1),IF($AF79&gt;0,INDEX(CU$7:CU$106,$AF79),1),IF($AG79&gt;0,INDEX(CU$7:CU$106,$AG79),1),IF($AH79&gt;0,INDEX(CU$7:CU$106,$AH79),1),IF($AI79&gt;0,INDEX(CU$7:CU$106,$AI79),1),IF($AJ79&gt;0,INDEX(CU$7:CU$106,$AJ79),1))))</ns0:f>
        <ns0:v>1</ns0:v>
      </ns0:c>
      <ns0:c r="CW79" t="n">
        <ns0:f>IF($A79="",1,IF(CV79=1,1,--AND(IF($AC79&gt;0,INDEX(CV$7:CV$106,$AC79),1),IF($AD79&gt;0,INDEX(CV$7:CV$106,$AD79),1),IF($AE79&gt;0,INDEX(CV$7:CV$106,$AE79),1),IF($AF79&gt;0,INDEX(CV$7:CV$106,$AF79),1),IF($AG79&gt;0,INDEX(CV$7:CV$106,$AG79),1),IF($AH79&gt;0,INDEX(CV$7:CV$106,$AH79),1),IF($AI79&gt;0,INDEX(CV$7:CV$106,$AI79),1),IF($AJ79&gt;0,INDEX(CV$7:CV$106,$AJ79),1))))</ns0:f>
        <ns0:v>1</ns0:v>
      </ns0:c>
      <ns0:c r="CX79" t="n">
        <ns0:f>IF($A79="",1,IF(CW79=1,1,--AND(IF($AC79&gt;0,INDEX(CW$7:CW$106,$AC79),1),IF($AD79&gt;0,INDEX(CW$7:CW$106,$AD79),1),IF($AE79&gt;0,INDEX(CW$7:CW$106,$AE79),1),IF($AF79&gt;0,INDEX(CW$7:CW$106,$AF79),1),IF($AG79&gt;0,INDEX(CW$7:CW$106,$AG79),1),IF($AH79&gt;0,INDEX(CW$7:CW$106,$AH79),1),IF($AI79&gt;0,INDEX(CW$7:CW$106,$AI79),1),IF($AJ79&gt;0,INDEX(CW$7:CW$106,$AJ79),1))))</ns0:f>
        <ns0:v>1</ns0:v>
      </ns0:c>
      <ns0:c r="CY79" t="n">
        <ns0:f>IF($A79="",1,IF(CX79=1,1,--AND(IF($AC79&gt;0,INDEX(CX$7:CX$106,$AC79),1),IF($AD79&gt;0,INDEX(CX$7:CX$106,$AD79),1),IF($AE79&gt;0,INDEX(CX$7:CX$106,$AE79),1),IF($AF79&gt;0,INDEX(CX$7:CX$106,$AF79),1),IF($AG79&gt;0,INDEX(CX$7:CX$106,$AG79),1),IF($AH79&gt;0,INDEX(CX$7:CX$106,$AH79),1),IF($AI79&gt;0,INDEX(CX$7:CX$106,$AI79),1),IF($AJ79&gt;0,INDEX(CX$7:CX$106,$AJ79),1))))</ns0:f>
        <ns0:v>1</ns0:v>
      </ns0:c>
      <ns0:c r="CZ79" t="n">
        <ns0:f>IF($A79="",1,IF(CY79=1,1,--AND(IF($AC79&gt;0,INDEX(CY$7:CY$106,$AC79),1),IF($AD79&gt;0,INDEX(CY$7:CY$106,$AD79),1),IF($AE79&gt;0,INDEX(CY$7:CY$106,$AE79),1),IF($AF79&gt;0,INDEX(CY$7:CY$106,$AF79),1),IF($AG79&gt;0,INDEX(CY$7:CY$106,$AG79),1),IF($AH79&gt;0,INDEX(CY$7:CY$106,$AH79),1),IF($AI79&gt;0,INDEX(CY$7:CY$106,$AI79),1),IF($AJ79&gt;0,INDEX(CY$7:CY$106,$AJ79),1))))</ns0:f>
        <ns0:v>1</ns0:v>
      </ns0:c>
      <ns0:c r="DA79" t="n">
        <ns0:f>IF($A79="",1,IF(CZ79=1,1,--AND(IF($AC79&gt;0,INDEX(CZ$7:CZ$106,$AC79),1),IF($AD79&gt;0,INDEX(CZ$7:CZ$106,$AD79),1),IF($AE79&gt;0,INDEX(CZ$7:CZ$106,$AE79),1),IF($AF79&gt;0,INDEX(CZ$7:CZ$106,$AF79),1),IF($AG79&gt;0,INDEX(CZ$7:CZ$106,$AG79),1),IF($AH79&gt;0,INDEX(CZ$7:CZ$106,$AH79),1),IF($AI79&gt;0,INDEX(CZ$7:CZ$106,$AI79),1),IF($AJ79&gt;0,INDEX(CZ$7:CZ$106,$AJ79),1))))</ns0:f>
        <ns0:v>1</ns0:v>
      </ns0:c>
      <ns0:c r="DB79" t="n">
        <ns0:f>IF($A79="",1,IF(DA79=1,1,--AND(IF($AC79&gt;0,INDEX(DA$7:DA$106,$AC79),1),IF($AD79&gt;0,INDEX(DA$7:DA$106,$AD79),1),IF($AE79&gt;0,INDEX(DA$7:DA$106,$AE79),1),IF($AF79&gt;0,INDEX(DA$7:DA$106,$AF79),1),IF($AG79&gt;0,INDEX(DA$7:DA$106,$AG79),1),IF($AH79&gt;0,INDEX(DA$7:DA$106,$AH79),1),IF($AI79&gt;0,INDEX(DA$7:DA$106,$AI79),1),IF($AJ79&gt;0,INDEX(DA$7:DA$106,$AJ79),1))))</ns0:f>
        <ns0:v>1</ns0:v>
      </ns0:c>
      <ns0:c r="DC79" t="n">
        <ns0:f>IF($A79="",1,IF(DB79=1,1,--AND(IF($AC79&gt;0,INDEX(DB$7:DB$106,$AC79),1),IF($AD79&gt;0,INDEX(DB$7:DB$106,$AD79),1),IF($AE79&gt;0,INDEX(DB$7:DB$106,$AE79),1),IF($AF79&gt;0,INDEX(DB$7:DB$106,$AF79),1),IF($AG79&gt;0,INDEX(DB$7:DB$106,$AG79),1),IF($AH79&gt;0,INDEX(DB$7:DB$106,$AH79),1),IF($AI79&gt;0,INDEX(DB$7:DB$106,$AI79),1),IF($AJ79&gt;0,INDEX(DB$7:DB$106,$AJ79),1))))</ns0:f>
        <ns0:v>1</ns0:v>
      </ns0:c>
      <ns0:c r="DD79" t="n">
        <ns0:f>IF($A79="",1,IF(DC79=1,1,--AND(IF($AC79&gt;0,INDEX(DC$7:DC$106,$AC79),1),IF($AD79&gt;0,INDEX(DC$7:DC$106,$AD79),1),IF($AE79&gt;0,INDEX(DC$7:DC$106,$AE79),1),IF($AF79&gt;0,INDEX(DC$7:DC$106,$AF79),1),IF($AG79&gt;0,INDEX(DC$7:DC$106,$AG79),1),IF($AH79&gt;0,INDEX(DC$7:DC$106,$AH79),1),IF($AI79&gt;0,INDEX(DC$7:DC$106,$AI79),1),IF($AJ79&gt;0,INDEX(DC$7:DC$106,$AJ79),1))))</ns0:f>
        <ns0:v>1</ns0:v>
      </ns0:c>
      <ns0:c r="DE79" t="n">
        <ns0:f>IF($A79="",1,IF(DD79=1,1,--AND(IF($AC79&gt;0,INDEX(DD$7:DD$106,$AC79),1),IF($AD79&gt;0,INDEX(DD$7:DD$106,$AD79),1),IF($AE79&gt;0,INDEX(DD$7:DD$106,$AE79),1),IF($AF79&gt;0,INDEX(DD$7:DD$106,$AF79),1),IF($AG79&gt;0,INDEX(DD$7:DD$106,$AG79),1),IF($AH79&gt;0,INDEX(DD$7:DD$106,$AH79),1),IF($AI79&gt;0,INDEX(DD$7:DD$106,$AI79),1),IF($AJ79&gt;0,INDEX(DD$7:DD$106,$AJ79),1))))</ns0:f>
        <ns0:v>1</ns0:v>
      </ns0:c>
      <ns0:c r="DF79" t="n">
        <ns0:f>IF($A79="",1,IF(DE79=1,1,--AND(IF($AC79&gt;0,INDEX(DE$7:DE$106,$AC79),1),IF($AD79&gt;0,INDEX(DE$7:DE$106,$AD79),1),IF($AE79&gt;0,INDEX(DE$7:DE$106,$AE79),1),IF($AF79&gt;0,INDEX(DE$7:DE$106,$AF79),1),IF($AG79&gt;0,INDEX(DE$7:DE$106,$AG79),1),IF($AH79&gt;0,INDEX(DE$7:DE$106,$AH79),1),IF($AI79&gt;0,INDEX(DE$7:DE$106,$AI79),1),IF($AJ79&gt;0,INDEX(DE$7:DE$106,$AJ79),1))))</ns0:f>
        <ns0:v>1</ns0:v>
      </ns0:c>
      <ns0:c r="DG79" t="n">
        <ns0:f>IF($A79="",1,IF(DF79=1,1,--AND(IF($AC79&gt;0,INDEX(DF$7:DF$106,$AC79),1),IF($AD79&gt;0,INDEX(DF$7:DF$106,$AD79),1),IF($AE79&gt;0,INDEX(DF$7:DF$106,$AE79),1),IF($AF79&gt;0,INDEX(DF$7:DF$106,$AF79),1),IF($AG79&gt;0,INDEX(DF$7:DF$106,$AG79),1),IF($AH79&gt;0,INDEX(DF$7:DF$106,$AH79),1),IF($AI79&gt;0,INDEX(DF$7:DF$106,$AI79),1),IF($AJ79&gt;0,INDEX(DF$7:DF$106,$AJ79),1))))</ns0:f>
        <ns0:v>1</ns0:v>
      </ns0:c>
      <ns0:c r="DH79" t="n">
        <ns0:f>IF($A79="",1,IF(DG79=1,1,--AND(IF($AC79&gt;0,INDEX(DG$7:DG$106,$AC79),1),IF($AD79&gt;0,INDEX(DG$7:DG$106,$AD79),1),IF($AE79&gt;0,INDEX(DG$7:DG$106,$AE79),1),IF($AF79&gt;0,INDEX(DG$7:DG$106,$AF79),1),IF($AG79&gt;0,INDEX(DG$7:DG$106,$AG79),1),IF($AH79&gt;0,INDEX(DG$7:DG$106,$AH79),1),IF($AI79&gt;0,INDEX(DG$7:DG$106,$AI79),1),IF($AJ79&gt;0,INDEX(DG$7:DG$106,$AJ79),1))))</ns0:f>
        <ns0:v>1</ns0:v>
      </ns0:c>
      <ns0:c r="DI79" t="n">
        <ns0:f>IF($A79="",1,IF(DH79=1,1,--AND(IF($AC79&gt;0,INDEX(DH$7:DH$106,$AC79),1),IF($AD79&gt;0,INDEX(DH$7:DH$106,$AD79),1),IF($AE79&gt;0,INDEX(DH$7:DH$106,$AE79),1),IF($AF79&gt;0,INDEX(DH$7:DH$106,$AF79),1),IF($AG79&gt;0,INDEX(DH$7:DH$106,$AG79),1),IF($AH79&gt;0,INDEX(DH$7:DH$106,$AH79),1),IF($AI79&gt;0,INDEX(DH$7:DH$106,$AI79),1),IF($AJ79&gt;0,INDEX(DH$7:DH$106,$AJ79),1))))</ns0:f>
        <ns0:v>1</ns0:v>
      </ns0:c>
      <ns0:c r="DJ79" t="n">
        <ns0:f>IF($A79="",1,IF(DI79=1,1,--AND(IF($AC79&gt;0,INDEX(DI$7:DI$106,$AC79),1),IF($AD79&gt;0,INDEX(DI$7:DI$106,$AD79),1),IF($AE79&gt;0,INDEX(DI$7:DI$106,$AE79),1),IF($AF79&gt;0,INDEX(DI$7:DI$106,$AF79),1),IF($AG79&gt;0,INDEX(DI$7:DI$106,$AG79),1),IF($AH79&gt;0,INDEX(DI$7:DI$106,$AH79),1),IF($AI79&gt;0,INDEX(DI$7:DI$106,$AI79),1),IF($AJ79&gt;0,INDEX(DI$7:DI$106,$AJ79),1))))</ns0:f>
        <ns0:v>1</ns0:v>
      </ns0:c>
      <ns0:c r="DK79" t="n">
        <ns0:f>IF($A79="",1,IF(DJ79=1,1,--AND(IF($AC79&gt;0,INDEX(DJ$7:DJ$106,$AC79),1),IF($AD79&gt;0,INDEX(DJ$7:DJ$106,$AD79),1),IF($AE79&gt;0,INDEX(DJ$7:DJ$106,$AE79),1),IF($AF79&gt;0,INDEX(DJ$7:DJ$106,$AF79),1),IF($AG79&gt;0,INDEX(DJ$7:DJ$106,$AG79),1),IF($AH79&gt;0,INDEX(DJ$7:DJ$106,$AH79),1),IF($AI79&gt;0,INDEX(DJ$7:DJ$106,$AI79),1),IF($AJ79&gt;0,INDEX(DJ$7:DJ$106,$AJ79),1))))</ns0:f>
        <ns0:v>1</ns0:v>
      </ns0:c>
      <ns0:c r="DL79" t="n">
        <ns0:f>IF($A79="",1,IF(DK79=1,1,--AND(IF($AC79&gt;0,INDEX(DK$7:DK$106,$AC79),1),IF($AD79&gt;0,INDEX(DK$7:DK$106,$AD79),1),IF($AE79&gt;0,INDEX(DK$7:DK$106,$AE79),1),IF($AF79&gt;0,INDEX(DK$7:DK$106,$AF79),1),IF($AG79&gt;0,INDEX(DK$7:DK$106,$AG79),1),IF($AH79&gt;0,INDEX(DK$7:DK$106,$AH79),1),IF($AI79&gt;0,INDEX(DK$7:DK$106,$AI79),1),IF($AJ79&gt;0,INDEX(DK$7:DK$106,$AJ79),1))))</ns0:f>
        <ns0:v>1</ns0:v>
      </ns0:c>
      <ns0:c r="DM79" t="n">
        <ns0:f>IF($A79="",1,IF(DL79=1,1,--AND(IF($AC79&gt;0,INDEX(DL$7:DL$106,$AC79),1),IF($AD79&gt;0,INDEX(DL$7:DL$106,$AD79),1),IF($AE79&gt;0,INDEX(DL$7:DL$106,$AE79),1),IF($AF79&gt;0,INDEX(DL$7:DL$106,$AF79),1),IF($AG79&gt;0,INDEX(DL$7:DL$106,$AG79),1),IF($AH79&gt;0,INDEX(DL$7:DL$106,$AH79),1),IF($AI79&gt;0,INDEX(DL$7:DL$106,$AI79),1),IF($AJ79&gt;0,INDEX(DL$7:DL$106,$AJ79),1))))</ns0:f>
        <ns0:v>1</ns0:v>
      </ns0:c>
      <ns0:c r="DN79" t="n">
        <ns0:f>IF($A79="",1,IF(DM79=1,1,--AND(IF($AC79&gt;0,INDEX(DM$7:DM$106,$AC79),1),IF($AD79&gt;0,INDEX(DM$7:DM$106,$AD79),1),IF($AE79&gt;0,INDEX(DM$7:DM$106,$AE79),1),IF($AF79&gt;0,INDEX(DM$7:DM$106,$AF79),1),IF($AG79&gt;0,INDEX(DM$7:DM$106,$AG79),1),IF($AH79&gt;0,INDEX(DM$7:DM$106,$AH79),1),IF($AI79&gt;0,INDEX(DM$7:DM$106,$AI79),1),IF($AJ79&gt;0,INDEX(DM$7:DM$106,$AJ79),1))))</ns0:f>
        <ns0:v>1</ns0:v>
      </ns0:c>
      <ns0:c r="DO79" t="n">
        <ns0:f>IF($A79="",1,IF(DN79=1,1,--AND(IF($AC79&gt;0,INDEX(DN$7:DN$106,$AC79),1),IF($AD79&gt;0,INDEX(DN$7:DN$106,$AD79),1),IF($AE79&gt;0,INDEX(DN$7:DN$106,$AE79),1),IF($AF79&gt;0,INDEX(DN$7:DN$106,$AF79),1),IF($AG79&gt;0,INDEX(DN$7:DN$106,$AG79),1),IF($AH79&gt;0,INDEX(DN$7:DN$106,$AH79),1),IF($AI79&gt;0,INDEX(DN$7:DN$106,$AI79),1),IF($AJ79&gt;0,INDEX(DN$7:DN$106,$AJ79),1))))</ns0:f>
        <ns0:v>1</ns0:v>
      </ns0:c>
      <ns0:c r="DP79" t="n">
        <ns0:f>IF($A79="",1,IF(DO79=1,1,--AND(IF($AC79&gt;0,INDEX(DO$7:DO$106,$AC79),1),IF($AD79&gt;0,INDEX(DO$7:DO$106,$AD79),1),IF($AE79&gt;0,INDEX(DO$7:DO$106,$AE79),1),IF($AF79&gt;0,INDEX(DO$7:DO$106,$AF79),1),IF($AG79&gt;0,INDEX(DO$7:DO$106,$AG79),1),IF($AH79&gt;0,INDEX(DO$7:DO$106,$AH79),1),IF($AI79&gt;0,INDEX(DO$7:DO$106,$AI79),1),IF($AJ79&gt;0,INDEX(DO$7:DO$106,$AJ79),1))))</ns0:f>
        <ns0:v>1</ns0:v>
      </ns0:c>
      <ns0:c r="DQ79" t="n">
        <ns0:f>IF($A79="",1,IF(DP79=1,1,--AND(IF($AC79&gt;0,INDEX(DP$7:DP$106,$AC79),1),IF($AD79&gt;0,INDEX(DP$7:DP$106,$AD79),1),IF($AE79&gt;0,INDEX(DP$7:DP$106,$AE79),1),IF($AF79&gt;0,INDEX(DP$7:DP$106,$AF79),1),IF($AG79&gt;0,INDEX(DP$7:DP$106,$AG79),1),IF($AH79&gt;0,INDEX(DP$7:DP$106,$AH79),1),IF($AI79&gt;0,INDEX(DP$7:DP$106,$AI79),1),IF($AJ79&gt;0,INDEX(DP$7:DP$106,$AJ79),1))))</ns0:f>
        <ns0:v>1</ns0:v>
      </ns0:c>
      <ns0:c r="DR79" t="n">
        <ns0:f>IF($A79="",1,IF(DQ79=1,1,--AND(IF($AC79&gt;0,INDEX(DQ$7:DQ$106,$AC79),1),IF($AD79&gt;0,INDEX(DQ$7:DQ$106,$AD79),1),IF($AE79&gt;0,INDEX(DQ$7:DQ$106,$AE79),1),IF($AF79&gt;0,INDEX(DQ$7:DQ$106,$AF79),1),IF($AG79&gt;0,INDEX(DQ$7:DQ$106,$AG79),1),IF($AH79&gt;0,INDEX(DQ$7:DQ$106,$AH79),1),IF($AI79&gt;0,INDEX(DQ$7:DQ$106,$AI79),1),IF($AJ79&gt;0,INDEX(DQ$7:DQ$106,$AJ79),1))))</ns0:f>
        <ns0:v>1</ns0:v>
      </ns0:c>
      <ns0:c r="DS79" t="n">
        <ns0:f>IF($A79="",1,IF(DR79=1,1,--AND(IF($AC79&gt;0,INDEX(DR$7:DR$106,$AC79),1),IF($AD79&gt;0,INDEX(DR$7:DR$106,$AD79),1),IF($AE79&gt;0,INDEX(DR$7:DR$106,$AE79),1),IF($AF79&gt;0,INDEX(DR$7:DR$106,$AF79),1),IF($AG79&gt;0,INDEX(DR$7:DR$106,$AG79),1),IF($AH79&gt;0,INDEX(DR$7:DR$106,$AH79),1),IF($AI79&gt;0,INDEX(DR$7:DR$106,$AI79),1),IF($AJ79&gt;0,INDEX(DR$7:DR$106,$AJ79),1))))</ns0:f>
        <ns0:v>1</ns0:v>
      </ns0:c>
      <ns0:c r="DT79" t="n">
        <ns0:f>IF($A79="",1,IF(DS79=1,1,--AND(IF($AC79&gt;0,INDEX(DS$7:DS$106,$AC79),1),IF($AD79&gt;0,INDEX(DS$7:DS$106,$AD79),1),IF($AE79&gt;0,INDEX(DS$7:DS$106,$AE79),1),IF($AF79&gt;0,INDEX(DS$7:DS$106,$AF79),1),IF($AG79&gt;0,INDEX(DS$7:DS$106,$AG79),1),IF($AH79&gt;0,INDEX(DS$7:DS$106,$AH79),1),IF($AI79&gt;0,INDEX(DS$7:DS$106,$AI79),1),IF($AJ79&gt;0,INDEX(DS$7:DS$106,$AJ79),1))))</ns0:f>
        <ns0:v>1</ns0:v>
      </ns0:c>
      <ns0:c r="DU79" t="n">
        <ns0:f>IF($A79="",1,IF(DT79=1,1,--AND(IF($AC79&gt;0,INDEX(DT$7:DT$106,$AC79),1),IF($AD79&gt;0,INDEX(DT$7:DT$106,$AD79),1),IF($AE79&gt;0,INDEX(DT$7:DT$106,$AE79),1),IF($AF79&gt;0,INDEX(DT$7:DT$106,$AF79),1),IF($AG79&gt;0,INDEX(DT$7:DT$106,$AG79),1),IF($AH79&gt;0,INDEX(DT$7:DT$106,$AH79),1),IF($AI79&gt;0,INDEX(DT$7:DT$106,$AI79),1),IF($AJ79&gt;0,INDEX(DT$7:DT$106,$AJ79),1))))</ns0:f>
        <ns0:v>1</ns0:v>
      </ns0:c>
      <ns0:c r="DV79" t="n">
        <ns0:f>IF($A79="",1,IF(DU79=1,1,--AND(IF($AC79&gt;0,INDEX(DU$7:DU$106,$AC79),1),IF($AD79&gt;0,INDEX(DU$7:DU$106,$AD79),1),IF($AE79&gt;0,INDEX(DU$7:DU$106,$AE79),1),IF($AF79&gt;0,INDEX(DU$7:DU$106,$AF79),1),IF($AG79&gt;0,INDEX(DU$7:DU$106,$AG79),1),IF($AH79&gt;0,INDEX(DU$7:DU$106,$AH79),1),IF($AI79&gt;0,INDEX(DU$7:DU$106,$AI79),1),IF($AJ79&gt;0,INDEX(DU$7:DU$106,$AJ79),1))))</ns0:f>
        <ns0:v>1</ns0:v>
      </ns0:c>
      <ns0:c r="DW79" t="n">
        <ns0:f>IF($A79="",1,IF(DV79=1,1,--AND(IF($AC79&gt;0,INDEX(DV$7:DV$106,$AC79),1),IF($AD79&gt;0,INDEX(DV$7:DV$106,$AD79),1),IF($AE79&gt;0,INDEX(DV$7:DV$106,$AE79),1),IF($AF79&gt;0,INDEX(DV$7:DV$106,$AF79),1),IF($AG79&gt;0,INDEX(DV$7:DV$106,$AG79),1),IF($AH79&gt;0,INDEX(DV$7:DV$106,$AH79),1),IF($AI79&gt;0,INDEX(DV$7:DV$106,$AI79),1),IF($AJ79&gt;0,INDEX(DV$7:DV$106,$AJ79),1))))</ns0:f>
        <ns0:v>1</ns0:v>
      </ns0:c>
      <ns0:c r="DX79" t="n">
        <ns0:f>IF($A79="",1,IF(DW79=1,1,--AND(IF($AC79&gt;0,INDEX(DW$7:DW$106,$AC79),1),IF($AD79&gt;0,INDEX(DW$7:DW$106,$AD79),1),IF($AE79&gt;0,INDEX(DW$7:DW$106,$AE79),1),IF($AF79&gt;0,INDEX(DW$7:DW$106,$AF79),1),IF($AG79&gt;0,INDEX(DW$7:DW$106,$AG79),1),IF($AH79&gt;0,INDEX(DW$7:DW$106,$AH79),1),IF($AI79&gt;0,INDEX(DW$7:DW$106,$AI79),1),IF($AJ79&gt;0,INDEX(DW$7:DW$106,$AJ79),1))))</ns0:f>
        <ns0:v>1</ns0:v>
      </ns0:c>
      <ns0:c r="DY79" t="n">
        <ns0:f>IF($A79="",1,IF(DX79=1,1,--AND(IF($AC79&gt;0,INDEX(DX$7:DX$106,$AC79),1),IF($AD79&gt;0,INDEX(DX$7:DX$106,$AD79),1),IF($AE79&gt;0,INDEX(DX$7:DX$106,$AE79),1),IF($AF79&gt;0,INDEX(DX$7:DX$106,$AF79),1),IF($AG79&gt;0,INDEX(DX$7:DX$106,$AG79),1),IF($AH79&gt;0,INDEX(DX$7:DX$106,$AH79),1),IF($AI79&gt;0,INDEX(DX$7:DX$106,$AI79),1),IF($AJ79&gt;0,INDEX(DX$7:DX$106,$AJ79),1))))</ns0:f>
        <ns0:v>1</ns0:v>
      </ns0:c>
      <ns0:c r="DZ79" t="n">
        <ns0:f>IF($A79="",1,IF(DY79=1,1,--AND(IF($AC79&gt;0,INDEX(DY$7:DY$106,$AC79),1),IF($AD79&gt;0,INDEX(DY$7:DY$106,$AD79),1),IF($AE79&gt;0,INDEX(DY$7:DY$106,$AE79),1),IF($AF79&gt;0,INDEX(DY$7:DY$106,$AF79),1),IF($AG79&gt;0,INDEX(DY$7:DY$106,$AG79),1),IF($AH79&gt;0,INDEX(DY$7:DY$106,$AH79),1),IF($AI79&gt;0,INDEX(DY$7:DY$106,$AI79),1),IF($AJ79&gt;0,INDEX(DY$7:DY$106,$AJ79),1))))</ns0:f>
        <ns0:v>1</ns0:v>
      </ns0:c>
      <ns0:c r="EA79" t="n">
        <ns0:f>IF($A79="",1,IF(DZ79=1,1,--AND(IF($AC79&gt;0,INDEX(DZ$7:DZ$106,$AC79),1),IF($AD79&gt;0,INDEX(DZ$7:DZ$106,$AD79),1),IF($AE79&gt;0,INDEX(DZ$7:DZ$106,$AE79),1),IF($AF79&gt;0,INDEX(DZ$7:DZ$106,$AF79),1),IF($AG79&gt;0,INDEX(DZ$7:DZ$106,$AG79),1),IF($AH79&gt;0,INDEX(DZ$7:DZ$106,$AH79),1),IF($AI79&gt;0,INDEX(DZ$7:DZ$106,$AI79),1),IF($AJ79&gt;0,INDEX(DZ$7:DZ$106,$AJ79),1))))</ns0:f>
        <ns0:v>1</ns0:v>
      </ns0:c>
      <ns0:c r="EB79" t="n">
        <ns0:f>IF($A79="",1,IF(EA79=1,1,--AND(IF($AC79&gt;0,INDEX(EA$7:EA$106,$AC79),1),IF($AD79&gt;0,INDEX(EA$7:EA$106,$AD79),1),IF($AE79&gt;0,INDEX(EA$7:EA$106,$AE79),1),IF($AF79&gt;0,INDEX(EA$7:EA$106,$AF79),1),IF($AG79&gt;0,INDEX(EA$7:EA$106,$AG79),1),IF($AH79&gt;0,INDEX(EA$7:EA$106,$AH79),1),IF($AI79&gt;0,INDEX(EA$7:EA$106,$AI79),1),IF($AJ79&gt;0,INDEX(EA$7:EA$106,$AJ79),1))))</ns0:f>
        <ns0:v>1</ns0:v>
      </ns0:c>
      <ns0:c r="EC79" t="n">
        <ns0:f>IF($A79="",1,IF(EB79=1,1,--AND(IF($AC79&gt;0,INDEX(EB$7:EB$106,$AC79),1),IF($AD79&gt;0,INDEX(EB$7:EB$106,$AD79),1),IF($AE79&gt;0,INDEX(EB$7:EB$106,$AE79),1),IF($AF79&gt;0,INDEX(EB$7:EB$106,$AF79),1),IF($AG79&gt;0,INDEX(EB$7:EB$106,$AG79),1),IF($AH79&gt;0,INDEX(EB$7:EB$106,$AH79),1),IF($AI79&gt;0,INDEX(EB$7:EB$106,$AI79),1),IF($AJ79&gt;0,INDEX(EB$7:EB$106,$AJ79),1))))</ns0:f>
        <ns0:v>1</ns0:v>
      </ns0:c>
      <ns0:c r="ED79" t="n">
        <ns0:f>IF($A79="",1,IF(EC79=1,1,--AND(IF($AC79&gt;0,INDEX(EC$7:EC$106,$AC79),1),IF($AD79&gt;0,INDEX(EC$7:EC$106,$AD79),1),IF($AE79&gt;0,INDEX(EC$7:EC$106,$AE79),1),IF($AF79&gt;0,INDEX(EC$7:EC$106,$AF79),1),IF($AG79&gt;0,INDEX(EC$7:EC$106,$AG79),1),IF($AH79&gt;0,INDEX(EC$7:EC$106,$AH79),1),IF($AI79&gt;0,INDEX(EC$7:EC$106,$AI79),1),IF($AJ79&gt;0,INDEX(EC$7:EC$106,$AJ79),1))))</ns0:f>
        <ns0:v>1</ns0:v>
      </ns0:c>
      <ns0:c r="EE79" t="n">
        <ns0:f>IF($A79="",1,IF(ED79=1,1,--AND(IF($AC79&gt;0,INDEX(ED$7:ED$106,$AC79),1),IF($AD79&gt;0,INDEX(ED$7:ED$106,$AD79),1),IF($AE79&gt;0,INDEX(ED$7:ED$106,$AE79),1),IF($AF79&gt;0,INDEX(ED$7:ED$106,$AF79),1),IF($AG79&gt;0,INDEX(ED$7:ED$106,$AG79),1),IF($AH79&gt;0,INDEX(ED$7:ED$106,$AH79),1),IF($AI79&gt;0,INDEX(ED$7:ED$106,$AI79),1),IF($AJ79&gt;0,INDEX(ED$7:ED$106,$AJ79),1))))</ns0:f>
        <ns0:v>1</ns0:v>
      </ns0:c>
      <ns0:c r="EF79" t="n">
        <ns0:f>IF($A79="",1,IF(EE79=1,1,--AND(IF($AC79&gt;0,INDEX(EE$7:EE$106,$AC79),1),IF($AD79&gt;0,INDEX(EE$7:EE$106,$AD79),1),IF($AE79&gt;0,INDEX(EE$7:EE$106,$AE79),1),IF($AF79&gt;0,INDEX(EE$7:EE$106,$AF79),1),IF($AG79&gt;0,INDEX(EE$7:EE$106,$AG79),1),IF($AH79&gt;0,INDEX(EE$7:EE$106,$AH79),1),IF($AI79&gt;0,INDEX(EE$7:EE$106,$AI79),1),IF($AJ79&gt;0,INDEX(EE$7:EE$106,$AJ79),1))))</ns0:f>
        <ns0:v>1</ns0:v>
      </ns0:c>
      <ns0:c r="EG79" t="n">
        <ns0:f>IF($A79="",1,IF(EF79=1,1,--AND(IF($AC79&gt;0,INDEX(EF$7:EF$106,$AC79),1),IF($AD79&gt;0,INDEX(EF$7:EF$106,$AD79),1),IF($AE79&gt;0,INDEX(EF$7:EF$106,$AE79),1),IF($AF79&gt;0,INDEX(EF$7:EF$106,$AF79),1),IF($AG79&gt;0,INDEX(EF$7:EF$106,$AG79),1),IF($AH79&gt;0,INDEX(EF$7:EF$106,$AH79),1),IF($AI79&gt;0,INDEX(EF$7:EF$106,$AI79),1),IF($AJ79&gt;0,INDEX(EF$7:EF$106,$AJ79),1))))</ns0:f>
        <ns0:v>1</ns0:v>
      </ns0:c>
      <ns0:c r="EH79" t="n">
        <ns0:f>IF($A79="",1,IF(EG79=1,1,--AND(IF($AC79&gt;0,INDEX(EG$7:EG$106,$AC79),1),IF($AD79&gt;0,INDEX(EG$7:EG$106,$AD79),1),IF($AE79&gt;0,INDEX(EG$7:EG$106,$AE79),1),IF($AF79&gt;0,INDEX(EG$7:EG$106,$AF79),1),IF($AG79&gt;0,INDEX(EG$7:EG$106,$AG79),1),IF($AH79&gt;0,INDEX(EG$7:EG$106,$AH79),1),IF($AI79&gt;0,INDEX(EG$7:EG$106,$AI79),1),IF($AJ79&gt;0,INDEX(EG$7:EG$106,$AJ79),1))))</ns0:f>
        <ns0:v>1</ns0:v>
      </ns0:c>
      <ns0:c r="EI79" t="n">
        <ns0:f>IF($A79="",1,IF(EH79=1,1,--AND(IF($AC79&gt;0,INDEX(EH$7:EH$106,$AC79),1),IF($AD79&gt;0,INDEX(EH$7:EH$106,$AD79),1),IF($AE79&gt;0,INDEX(EH$7:EH$106,$AE79),1),IF($AF79&gt;0,INDEX(EH$7:EH$106,$AF79),1),IF($AG79&gt;0,INDEX(EH$7:EH$106,$AG79),1),IF($AH79&gt;0,INDEX(EH$7:EH$106,$AH79),1),IF($AI79&gt;0,INDEX(EH$7:EH$106,$AI79),1),IF($AJ79&gt;0,INDEX(EH$7:EH$106,$AJ79),1))))</ns0:f>
        <ns0:v>1</ns0:v>
      </ns0:c>
      <ns0:c r="EJ79" t="n">
        <ns0:f>IF($A79="",1,IF(EI79=1,1,--AND(IF($AC79&gt;0,INDEX(EI$7:EI$106,$AC79),1),IF($AD79&gt;0,INDEX(EI$7:EI$106,$AD79),1),IF($AE79&gt;0,INDEX(EI$7:EI$106,$AE79),1),IF($AF79&gt;0,INDEX(EI$7:EI$106,$AF79),1),IF($AG79&gt;0,INDEX(EI$7:EI$106,$AG79),1),IF($AH79&gt;0,INDEX(EI$7:EI$106,$AH79),1),IF($AI79&gt;0,INDEX(EI$7:EI$106,$AI79),1),IF($AJ79&gt;0,INDEX(EI$7:EI$106,$AJ79),1))))</ns0:f>
        <ns0:v>1</ns0:v>
      </ns0:c>
      <ns0:c r="EK79" t="n">
        <ns0:f>IF($A79="",1,IF(EJ79=1,1,--AND(IF($AC79&gt;0,INDEX(EJ$7:EJ$106,$AC79),1),IF($AD79&gt;0,INDEX(EJ$7:EJ$106,$AD79),1),IF($AE79&gt;0,INDEX(EJ$7:EJ$106,$AE79),1),IF($AF79&gt;0,INDEX(EJ$7:EJ$106,$AF79),1),IF($AG79&gt;0,INDEX(EJ$7:EJ$106,$AG79),1),IF($AH79&gt;0,INDEX(EJ$7:EJ$106,$AH79),1),IF($AI79&gt;0,INDEX(EJ$7:EJ$106,$AI79),1),IF($AJ79&gt;0,INDEX(EJ$7:EJ$106,$AJ79),1))))</ns0:f>
        <ns0:v>1</ns0:v>
      </ns0:c>
      <ns0:c r="EL79" t="n">
        <ns0:f>IF($A79="",1,IF(EK79=1,1,--AND(IF($AC79&gt;0,INDEX(EK$7:EK$106,$AC79),1),IF($AD79&gt;0,INDEX(EK$7:EK$106,$AD79),1),IF($AE79&gt;0,INDEX(EK$7:EK$106,$AE79),1),IF($AF79&gt;0,INDEX(EK$7:EK$106,$AF79),1),IF($AG79&gt;0,INDEX(EK$7:EK$106,$AG79),1),IF($AH79&gt;0,INDEX(EK$7:EK$106,$AH79),1),IF($AI79&gt;0,INDEX(EK$7:EK$106,$AI79),1),IF($AJ79&gt;0,INDEX(EK$7:EK$106,$AJ79),1))))</ns0:f>
        <ns0:v>1</ns0:v>
      </ns0:c>
      <ns0:c r="EM79" t="n">
        <ns0:f>IF($A79="",1,IF(EL79=1,1,--AND(IF($AC79&gt;0,INDEX(EL$7:EL$106,$AC79),1),IF($AD79&gt;0,INDEX(EL$7:EL$106,$AD79),1),IF($AE79&gt;0,INDEX(EL$7:EL$106,$AE79),1),IF($AF79&gt;0,INDEX(EL$7:EL$106,$AF79),1),IF($AG79&gt;0,INDEX(EL$7:EL$106,$AG79),1),IF($AH79&gt;0,INDEX(EL$7:EL$106,$AH79),1),IF($AI79&gt;0,INDEX(EL$7:EL$106,$AI79),1),IF($AJ79&gt;0,INDEX(EL$7:EL$106,$AJ79),1))))</ns0:f>
        <ns0:v>1</ns0:v>
      </ns0:c>
      <ns0:c r="EN79" t="n">
        <ns0:f>IF($A79="",1,IF(EM79=1,1,--AND(IF($AC79&gt;0,INDEX(EM$7:EM$106,$AC79),1),IF($AD79&gt;0,INDEX(EM$7:EM$106,$AD79),1),IF($AE79&gt;0,INDEX(EM$7:EM$106,$AE79),1),IF($AF79&gt;0,INDEX(EM$7:EM$106,$AF79),1),IF($AG79&gt;0,INDEX(EM$7:EM$106,$AG79),1),IF($AH79&gt;0,INDEX(EM$7:EM$106,$AH79),1),IF($AI79&gt;0,INDEX(EM$7:EM$106,$AI79),1),IF($AJ79&gt;0,INDEX(EM$7:EM$106,$AJ79),1))))</ns0:f>
        <ns0:v>1</ns0:v>
      </ns0:c>
      <ns0:c r="EO79" t="n">
        <ns0:f>IF($A79="",1,IF(EN79=1,1,--AND(IF($AC79&gt;0,INDEX(EN$7:EN$106,$AC79),1),IF($AD79&gt;0,INDEX(EN$7:EN$106,$AD79),1),IF($AE79&gt;0,INDEX(EN$7:EN$106,$AE79),1),IF($AF79&gt;0,INDEX(EN$7:EN$106,$AF79),1),IF($AG79&gt;0,INDEX(EN$7:EN$106,$AG79),1),IF($AH79&gt;0,INDEX(EN$7:EN$106,$AH79),1),IF($AI79&gt;0,INDEX(EN$7:EN$106,$AI79),1),IF($AJ79&gt;0,INDEX(EN$7:EN$106,$AJ79),1))))</ns0:f>
        <ns0:v>1</ns0:v>
      </ns0:c>
      <ns0:c r="EP79" t="n">
        <ns0:f>IF($A79="",1,IF(EO79=1,1,--AND(IF($AC79&gt;0,INDEX(EO$7:EO$106,$AC79),1),IF($AD79&gt;0,INDEX(EO$7:EO$106,$AD79),1),IF($AE79&gt;0,INDEX(EO$7:EO$106,$AE79),1),IF($AF79&gt;0,INDEX(EO$7:EO$106,$AF79),1),IF($AG79&gt;0,INDEX(EO$7:EO$106,$AG79),1),IF($AH79&gt;0,INDEX(EO$7:EO$106,$AH79),1),IF($AI79&gt;0,INDEX(EO$7:EO$106,$AI79),1),IF($AJ79&gt;0,INDEX(EO$7:EO$106,$AJ79),1))))</ns0:f>
        <ns0:v>1</ns0:v>
      </ns0:c>
      <ns0:c r="EQ79" t="n">
        <ns0:f>IF(OR(A79="",NOT(ISNUMBER(G79))),0,G79*N79)</ns0:f>
        <ns0:v>0</ns0:v>
      </ns0:c>
    </ns0:row>
    <ns0:row r="80" ht="62" customHeight="1">
      <ns0:c r="A80" s="48"/>
      <ns0:c r="B80" s="48"/>
      <ns0:c r="C80" s="48"/>
      <ns0:c r="D80" s="48"/>
      <ns0:c r="E80" s="49"/>
      <ns0:c r="F80" s="49"/>
      <ns0:c r="G80" s="13" t="str">
        <ns0:f>IF(A80="","",IF(OR(NOT(ISNUMBER(E80)),NOT(ISNUMBER(F80)),F80&lt;E80),"",IF(J80="Yes",0,F80-E80+1)))</ns0:f>
      </ns0:c>
      <ns0:c r="H80" s="48"/>
      <ns0:c r="I80" s="48"/>
      <ns0:c r="J80" s="48"/>
      <ns0:c r="K80" s="48"/>
      <ns0:c r="L80" s="48"/>
      <ns0:c r="M80" s="50" t="str">
        <ns0:f>IF(A80="","",IF(N80=1,"Completed",IF(N80&gt;0,"In Progress","Not Started")))</ns0:f>
      </ns0:c>
      <ns0:c r="N80" s="51"/>
      <ns0:c r="O80" s="13" t="str">
        <ns0:f>IF(A80="","",IF(R80&lt;&gt;"","[CONFLICT] "&amp;R80,IF(S80&lt;&gt;"","[CONFLICT] "&amp;S80,IF(OR(NOT(ISNUMBER(N80)),N80&lt;0,N80&gt;1),"[CONFLICT] Invalid progress",IF(AK80&gt;0,"[DEPENDENCY ISSUE] Missing ID / &gt;8 links",IF(AM80&gt;0,"[DEPENDENCY ISSUE] Cycle or blocked by cycle",IF(AND(H80&lt;&gt;"",ISNA(MATCH(I80,{"FS","SS","FF","SF"},0))),"[DEPENDENCY ISSUE] Invalid type",IF(AL80&gt;0,"[DEPENDENCY ISSUE] Timing conflict",IF(OR(E80&lt;ProjectStart,F80&gt;ProjectEnd),"[OUTSIDE WINDOW]",IF(AND(N80&lt;1,F80&lt;AsOfDate),"Overdue",IF(AND(M80&lt;&gt;Q80,M80&lt;&gt;""),"[CONFLICT] Status / progress","On track")))))))))))</ns0:f>
      </ns0:c>
      <ns0:c r="P80" s="52"/>
      <ns0:c r="Q80" t="str">
        <ns0:f>IF(A80="","",IF(OR(M80="On Hold",M80="Delayed"),M80,IF(N80=1,"Completed",IF(N80&gt;0,"In Progress","Not Started"))))</ns0:f>
      </ns0:c>
      <ns0:c r="R80" t="str">
        <ns0:f>IF(A80="","",IF(COUNTIFS(Tasks[Task ID],A80)&lt;&gt;1,"Duplicate ID",""))</ns0:f>
      </ns0:c>
      <ns0:c r="S80" t="str">
        <ns0:f>IF(A80="","",IF(OR(NOT(ISNUMBER(E80)),NOT(ISNUMBER(F80))),"Invalid / missing date",IF(OR(E80&lt;&gt;INT(E80),F80&lt;&gt;INT(F80),E80&lt;1,F80&gt;2958465),"Invalid date",IF(F80&lt;E80,"End before start",IF(AND(J80="Yes",E80&lt;&gt;F80),"Milestone needs one date","")))))</ns0:f>
      </ns0:c>
      <ns0:c r="T80" t="n">
        <ns0:f>IF(H80="",0,LEN(H80)-LEN(SUBSTITUTE(H80,",",""))+1)</ns0:f>
        <ns0:v>0</ns0:v>
      </ns0:c>
      <ns0:c r="U80" t="str">
        <ns0:f>TRIM(MID(SUBSTITUTE($H80,",",REPT(" ",100)),1,100))</ns0:f>
      </ns0:c>
      <ns0:c r="V80" t="str">
        <ns0:f>TRIM(MID(SUBSTITUTE($H80,",",REPT(" ",100)),101,100))</ns0:f>
      </ns0:c>
      <ns0:c r="W80" t="str">
        <ns0:f>TRIM(MID(SUBSTITUTE($H80,",",REPT(" ",100)),201,100))</ns0:f>
      </ns0:c>
      <ns0:c r="X80" t="str">
        <ns0:f>TRIM(MID(SUBSTITUTE($H80,",",REPT(" ",100)),301,100))</ns0:f>
      </ns0:c>
      <ns0:c r="Y80" t="str">
        <ns0:f>TRIM(MID(SUBSTITUTE($H80,",",REPT(" ",100)),401,100))</ns0:f>
      </ns0:c>
      <ns0:c r="Z80" t="str">
        <ns0:f>TRIM(MID(SUBSTITUTE($H80,",",REPT(" ",100)),501,100))</ns0:f>
      </ns0:c>
      <ns0:c r="AA80" t="str">
        <ns0:f>TRIM(MID(SUBSTITUTE($H80,",",REPT(" ",100)),601,100))</ns0:f>
      </ns0:c>
      <ns0:c r="AB80" t="str">
        <ns0:f>TRIM(MID(SUBSTITUTE($H80,",",REPT(" ",100)),701,100))</ns0:f>
      </ns0:c>
      <ns0:c r="AC80" t="n">
        <ns0:f>IF(U80="",0,IF(COUNTIFS(Tasks[Task ID],U80)=1,MATCH(U80,Tasks[Task ID],0),-1))</ns0:f>
        <ns0:v>0</ns0:v>
      </ns0:c>
      <ns0:c r="AD80" t="n">
        <ns0:f>IF(V80="",0,IF(COUNTIFS(Tasks[Task ID],V80)=1,MATCH(V80,Tasks[Task ID],0),-1))</ns0:f>
        <ns0:v>0</ns0:v>
      </ns0:c>
      <ns0:c r="AE80" t="n">
        <ns0:f>IF(W80="",0,IF(COUNTIFS(Tasks[Task ID],W80)=1,MATCH(W80,Tasks[Task ID],0),-1))</ns0:f>
        <ns0:v>0</ns0:v>
      </ns0:c>
      <ns0:c r="AF80" t="n">
        <ns0:f>IF(X80="",0,IF(COUNTIFS(Tasks[Task ID],X80)=1,MATCH(X80,Tasks[Task ID],0),-1))</ns0:f>
        <ns0:v>0</ns0:v>
      </ns0:c>
      <ns0:c r="AG80" t="n">
        <ns0:f>IF(Y80="",0,IF(COUNTIFS(Tasks[Task ID],Y80)=1,MATCH(Y80,Tasks[Task ID],0),-1))</ns0:f>
        <ns0:v>0</ns0:v>
      </ns0:c>
      <ns0:c r="AH80" t="n">
        <ns0:f>IF(Z80="",0,IF(COUNTIFS(Tasks[Task ID],Z80)=1,MATCH(Z80,Tasks[Task ID],0),-1))</ns0:f>
        <ns0:v>0</ns0:v>
      </ns0:c>
      <ns0:c r="AI80" t="n">
        <ns0:f>IF(AA80="",0,IF(COUNTIFS(Tasks[Task ID],AA80)=1,MATCH(AA80,Tasks[Task ID],0),-1))</ns0:f>
        <ns0:v>0</ns0:v>
      </ns0:c>
      <ns0:c r="AJ80" t="n">
        <ns0:f>IF(AB80="",0,IF(COUNTIFS(Tasks[Task ID],AB80)=1,MATCH(AB80,Tasks[Task ID],0),-1))</ns0:f>
        <ns0:v>0</ns0:v>
      </ns0:c>
      <ns0:c r="AK80" t="n">
        <ns0:f>COUNTIFS(AC80:AJ80,-1)+IF(T80&gt;8,1,0)</ns0:f>
        <ns0:v>0</ns0:v>
      </ns0:c>
      <ns0:c r="AL80" t="n">
        <ns0:f>IF(OR(A80="",S80&lt;&gt;""),0,SUM(IF(AC80&gt;0,IF($I80="FS",--($E80&lt;INDEX(Tasks[End Date],AC80)+IF(INDEX(Tasks[Milestone],AC80)="Yes",0,1)),IF($I80="SS",--($E80&lt;INDEX(Tasks[Start Date],AC80)),IF($I80="FF",--($F80&lt;INDEX(Tasks[End Date],AC80)),IF($I80="SF",--($F80&lt;INDEX(Tasks[Start Date],AC80)),0)))),0),IF(AD80&gt;0,IF($I80="FS",--($E80&lt;INDEX(Tasks[End Date],AD80)+IF(INDEX(Tasks[Milestone],AD80)="Yes",0,1)),IF($I80="SS",--($E80&lt;INDEX(Tasks[Start Date],AD80)),IF($I80="FF",--($F80&lt;INDEX(Tasks[End Date],AD80)),IF($I80="SF",--($F80&lt;INDEX(Tasks[Start Date],AD80)),0)))),0),IF(AE80&gt;0,IF($I80="FS",--($E80&lt;INDEX(Tasks[End Date],AE80)+IF(INDEX(Tasks[Milestone],AE80)="Yes",0,1)),IF($I80="SS",--($E80&lt;INDEX(Tasks[Start Date],AE80)),IF($I80="FF",--($F80&lt;INDEX(Tasks[End Date],AE80)),IF($I80="SF",--($F80&lt;INDEX(Tasks[Start Date],AE80)),0)))),0),IF(AF80&gt;0,IF($I80="FS",--($E80&lt;INDEX(Tasks[End Date],AF80)+IF(INDEX(Tasks[Milestone],AF80)="Yes",0,1)),IF($I80="SS",--($E80&lt;INDEX(Tasks[Start Date],AF80)),IF($I80="FF",--($F80&lt;INDEX(Tasks[End Date],AF80)),IF($I80="SF",--($F80&lt;INDEX(Tasks[Start Date],AF80)),0)))),0),IF(AG80&gt;0,IF($I80="FS",--($E80&lt;INDEX(Tasks[End Date],AG80)+IF(INDEX(Tasks[Milestone],AG80)="Yes",0,1)),IF($I80="SS",--($E80&lt;INDEX(Tasks[Start Date],AG80)),IF($I80="FF",--($F80&lt;INDEX(Tasks[End Date],AG80)),IF($I80="SF",--($F80&lt;INDEX(Tasks[Start Date],AG80)),0)))),0),IF(AH80&gt;0,IF($I80="FS",--($E80&lt;INDEX(Tasks[End Date],AH80)+IF(INDEX(Tasks[Milestone],AH80)="Yes",0,1)),IF($I80="SS",--($E80&lt;INDEX(Tasks[Start Date],AH80)),IF($I80="FF",--($F80&lt;INDEX(Tasks[End Date],AH80)),IF($I80="SF",--($F80&lt;INDEX(Tasks[Start Date],AH80)),0)))),0),IF(AI80&gt;0,IF($I80="FS",--($E80&lt;INDEX(Tasks[End Date],AI80)+IF(INDEX(Tasks[Milestone],AI80)="Yes",0,1)),IF($I80="SS",--($E80&lt;INDEX(Tasks[Start Date],AI80)),IF($I80="FF",--($F80&lt;INDEX(Tasks[End Date],AI80)),IF($I80="SF",--($F80&lt;INDEX(Tasks[Start Date],AI80)),0)))),0),IF(AJ80&gt;0,IF($I80="FS",--($E80&lt;INDEX(Tasks[End Date],AJ80)+IF(INDEX(Tasks[Milestone],AJ80)="Yes",0,1)),IF($I80="SS",--($E80&lt;INDEX(Tasks[Start Date],AJ80)),IF($I80="FF",--($F80&lt;INDEX(Tasks[End Date],AJ80)),IF($I80="SF",--($F80&lt;INDEX(Tasks[Start Date],AJ80)),0)))),0)))</ns0:f>
        <ns0:v>0</ns0:v>
      </ns0:c>
      <ns0:c r="AM80" t="n">
        <ns0:f>IF(AND(A80&lt;&gt;"",AK80=0,EP80=0),1,0)</ns0:f>
        <ns0:v>0</ns0:v>
      </ns0:c>
      <ns0:c r="AN80" t="str">
        <ns0:f>IF(OR(A80="",B80=""),"",IF(COUNTIFS($B$7:B80,B80)=1,MAX($AN$6:AN79)+1,""))</ns0:f>
      </ns0:c>
      <ns0:c r="AO80" t="n">
        <ns0:f>IF(AND(A80&lt;&gt;"",J80="No",N80&lt;1,E80&gt;=AsOfDate),E80+ROW()/10000,1E+9)</ns0:f>
        <ns0:v>1000000000</ns0:v>
      </ns0:c>
      <ns0:c r="AP80" t="n">
        <ns0:f>IF(AND(A80&lt;&gt;"",J80="Yes",N80&lt;1,E80&gt;=AsOfDate),E80+ROW()/10000,1E+9)</ns0:f>
        <ns0:v>1000000000</ns0:v>
      </ns0:c>
      <ns0:c r="AQ80" t="n">
        <ns0:f>IF(AND(A80&lt;&gt;"",J80="No",N80&lt;1,F80&gt;=AsOfDate,F80&lt;=AsOfDate+7),F80+ROW()/10000,1E+9)</ns0:f>
        <ns0:v>1000000000</ns0:v>
      </ns0:c>
      <ns0:c r="AR80" t="n">
        <ns0:f>IF(AND(A80&lt;&gt;"",OR(O80&lt;&gt;"On track",Q80="Delayed")),ROW(),1E+9)</ns0:f>
        <ns0:v>1000000000</ns0:v>
      </ns0:c>
      <ns0:c r="AS80" t="str">
        <ns0:f>IF(A80="","",";"&amp;K80&amp;";")</ns0:f>
      </ns0:c>
      <ns0:c r="AT80" t="n">
        <ns0:f>IF(A80="",1,--(T80=0))</ns0:f>
        <ns0:v>1</ns0:v>
      </ns0:c>
      <ns0:c r="AU80" t="n">
        <ns0:f>IF($A80="",1,IF(AT80=1,1,--AND(IF($AC80&gt;0,INDEX(AT$7:AT$106,$AC80),1),IF($AD80&gt;0,INDEX(AT$7:AT$106,$AD80),1),IF($AE80&gt;0,INDEX(AT$7:AT$106,$AE80),1),IF($AF80&gt;0,INDEX(AT$7:AT$106,$AF80),1),IF($AG80&gt;0,INDEX(AT$7:AT$106,$AG80),1),IF($AH80&gt;0,INDEX(AT$7:AT$106,$AH80),1),IF($AI80&gt;0,INDEX(AT$7:AT$106,$AI80),1),IF($AJ80&gt;0,INDEX(AT$7:AT$106,$AJ80),1))))</ns0:f>
        <ns0:v>1</ns0:v>
      </ns0:c>
      <ns0:c r="AV80" t="n">
        <ns0:f>IF($A80="",1,IF(AU80=1,1,--AND(IF($AC80&gt;0,INDEX(AU$7:AU$106,$AC80),1),IF($AD80&gt;0,INDEX(AU$7:AU$106,$AD80),1),IF($AE80&gt;0,INDEX(AU$7:AU$106,$AE80),1),IF($AF80&gt;0,INDEX(AU$7:AU$106,$AF80),1),IF($AG80&gt;0,INDEX(AU$7:AU$106,$AG80),1),IF($AH80&gt;0,INDEX(AU$7:AU$106,$AH80),1),IF($AI80&gt;0,INDEX(AU$7:AU$106,$AI80),1),IF($AJ80&gt;0,INDEX(AU$7:AU$106,$AJ80),1))))</ns0:f>
        <ns0:v>1</ns0:v>
      </ns0:c>
      <ns0:c r="AW80" t="n">
        <ns0:f>IF($A80="",1,IF(AV80=1,1,--AND(IF($AC80&gt;0,INDEX(AV$7:AV$106,$AC80),1),IF($AD80&gt;0,INDEX(AV$7:AV$106,$AD80),1),IF($AE80&gt;0,INDEX(AV$7:AV$106,$AE80),1),IF($AF80&gt;0,INDEX(AV$7:AV$106,$AF80),1),IF($AG80&gt;0,INDEX(AV$7:AV$106,$AG80),1),IF($AH80&gt;0,INDEX(AV$7:AV$106,$AH80),1),IF($AI80&gt;0,INDEX(AV$7:AV$106,$AI80),1),IF($AJ80&gt;0,INDEX(AV$7:AV$106,$AJ80),1))))</ns0:f>
        <ns0:v>1</ns0:v>
      </ns0:c>
      <ns0:c r="AX80" t="n">
        <ns0:f>IF($A80="",1,IF(AW80=1,1,--AND(IF($AC80&gt;0,INDEX(AW$7:AW$106,$AC80),1),IF($AD80&gt;0,INDEX(AW$7:AW$106,$AD80),1),IF($AE80&gt;0,INDEX(AW$7:AW$106,$AE80),1),IF($AF80&gt;0,INDEX(AW$7:AW$106,$AF80),1),IF($AG80&gt;0,INDEX(AW$7:AW$106,$AG80),1),IF($AH80&gt;0,INDEX(AW$7:AW$106,$AH80),1),IF($AI80&gt;0,INDEX(AW$7:AW$106,$AI80),1),IF($AJ80&gt;0,INDEX(AW$7:AW$106,$AJ80),1))))</ns0:f>
        <ns0:v>1</ns0:v>
      </ns0:c>
      <ns0:c r="AY80" t="n">
        <ns0:f>IF($A80="",1,IF(AX80=1,1,--AND(IF($AC80&gt;0,INDEX(AX$7:AX$106,$AC80),1),IF($AD80&gt;0,INDEX(AX$7:AX$106,$AD80),1),IF($AE80&gt;0,INDEX(AX$7:AX$106,$AE80),1),IF($AF80&gt;0,INDEX(AX$7:AX$106,$AF80),1),IF($AG80&gt;0,INDEX(AX$7:AX$106,$AG80),1),IF($AH80&gt;0,INDEX(AX$7:AX$106,$AH80),1),IF($AI80&gt;0,INDEX(AX$7:AX$106,$AI80),1),IF($AJ80&gt;0,INDEX(AX$7:AX$106,$AJ80),1))))</ns0:f>
        <ns0:v>1</ns0:v>
      </ns0:c>
      <ns0:c r="AZ80" t="n">
        <ns0:f>IF($A80="",1,IF(AY80=1,1,--AND(IF($AC80&gt;0,INDEX(AY$7:AY$106,$AC80),1),IF($AD80&gt;0,INDEX(AY$7:AY$106,$AD80),1),IF($AE80&gt;0,INDEX(AY$7:AY$106,$AE80),1),IF($AF80&gt;0,INDEX(AY$7:AY$106,$AF80),1),IF($AG80&gt;0,INDEX(AY$7:AY$106,$AG80),1),IF($AH80&gt;0,INDEX(AY$7:AY$106,$AH80),1),IF($AI80&gt;0,INDEX(AY$7:AY$106,$AI80),1),IF($AJ80&gt;0,INDEX(AY$7:AY$106,$AJ80),1))))</ns0:f>
        <ns0:v>1</ns0:v>
      </ns0:c>
      <ns0:c r="BA80" t="n">
        <ns0:f>IF($A80="",1,IF(AZ80=1,1,--AND(IF($AC80&gt;0,INDEX(AZ$7:AZ$106,$AC80),1),IF($AD80&gt;0,INDEX(AZ$7:AZ$106,$AD80),1),IF($AE80&gt;0,INDEX(AZ$7:AZ$106,$AE80),1),IF($AF80&gt;0,INDEX(AZ$7:AZ$106,$AF80),1),IF($AG80&gt;0,INDEX(AZ$7:AZ$106,$AG80),1),IF($AH80&gt;0,INDEX(AZ$7:AZ$106,$AH80),1),IF($AI80&gt;0,INDEX(AZ$7:AZ$106,$AI80),1),IF($AJ80&gt;0,INDEX(AZ$7:AZ$106,$AJ80),1))))</ns0:f>
        <ns0:v>1</ns0:v>
      </ns0:c>
      <ns0:c r="BB80" t="n">
        <ns0:f>IF($A80="",1,IF(BA80=1,1,--AND(IF($AC80&gt;0,INDEX(BA$7:BA$106,$AC80),1),IF($AD80&gt;0,INDEX(BA$7:BA$106,$AD80),1),IF($AE80&gt;0,INDEX(BA$7:BA$106,$AE80),1),IF($AF80&gt;0,INDEX(BA$7:BA$106,$AF80),1),IF($AG80&gt;0,INDEX(BA$7:BA$106,$AG80),1),IF($AH80&gt;0,INDEX(BA$7:BA$106,$AH80),1),IF($AI80&gt;0,INDEX(BA$7:BA$106,$AI80),1),IF($AJ80&gt;0,INDEX(BA$7:BA$106,$AJ80),1))))</ns0:f>
        <ns0:v>1</ns0:v>
      </ns0:c>
      <ns0:c r="BC80" t="n">
        <ns0:f>IF($A80="",1,IF(BB80=1,1,--AND(IF($AC80&gt;0,INDEX(BB$7:BB$106,$AC80),1),IF($AD80&gt;0,INDEX(BB$7:BB$106,$AD80),1),IF($AE80&gt;0,INDEX(BB$7:BB$106,$AE80),1),IF($AF80&gt;0,INDEX(BB$7:BB$106,$AF80),1),IF($AG80&gt;0,INDEX(BB$7:BB$106,$AG80),1),IF($AH80&gt;0,INDEX(BB$7:BB$106,$AH80),1),IF($AI80&gt;0,INDEX(BB$7:BB$106,$AI80),1),IF($AJ80&gt;0,INDEX(BB$7:BB$106,$AJ80),1))))</ns0:f>
        <ns0:v>1</ns0:v>
      </ns0:c>
      <ns0:c r="BD80" t="n">
        <ns0:f>IF($A80="",1,IF(BC80=1,1,--AND(IF($AC80&gt;0,INDEX(BC$7:BC$106,$AC80),1),IF($AD80&gt;0,INDEX(BC$7:BC$106,$AD80),1),IF($AE80&gt;0,INDEX(BC$7:BC$106,$AE80),1),IF($AF80&gt;0,INDEX(BC$7:BC$106,$AF80),1),IF($AG80&gt;0,INDEX(BC$7:BC$106,$AG80),1),IF($AH80&gt;0,INDEX(BC$7:BC$106,$AH80),1),IF($AI80&gt;0,INDEX(BC$7:BC$106,$AI80),1),IF($AJ80&gt;0,INDEX(BC$7:BC$106,$AJ80),1))))</ns0:f>
        <ns0:v>1</ns0:v>
      </ns0:c>
      <ns0:c r="BE80" t="n">
        <ns0:f>IF($A80="",1,IF(BD80=1,1,--AND(IF($AC80&gt;0,INDEX(BD$7:BD$106,$AC80),1),IF($AD80&gt;0,INDEX(BD$7:BD$106,$AD80),1),IF($AE80&gt;0,INDEX(BD$7:BD$106,$AE80),1),IF($AF80&gt;0,INDEX(BD$7:BD$106,$AF80),1),IF($AG80&gt;0,INDEX(BD$7:BD$106,$AG80),1),IF($AH80&gt;0,INDEX(BD$7:BD$106,$AH80),1),IF($AI80&gt;0,INDEX(BD$7:BD$106,$AI80),1),IF($AJ80&gt;0,INDEX(BD$7:BD$106,$AJ80),1))))</ns0:f>
        <ns0:v>1</ns0:v>
      </ns0:c>
      <ns0:c r="BF80" t="n">
        <ns0:f>IF($A80="",1,IF(BE80=1,1,--AND(IF($AC80&gt;0,INDEX(BE$7:BE$106,$AC80),1),IF($AD80&gt;0,INDEX(BE$7:BE$106,$AD80),1),IF($AE80&gt;0,INDEX(BE$7:BE$106,$AE80),1),IF($AF80&gt;0,INDEX(BE$7:BE$106,$AF80),1),IF($AG80&gt;0,INDEX(BE$7:BE$106,$AG80),1),IF($AH80&gt;0,INDEX(BE$7:BE$106,$AH80),1),IF($AI80&gt;0,INDEX(BE$7:BE$106,$AI80),1),IF($AJ80&gt;0,INDEX(BE$7:BE$106,$AJ80),1))))</ns0:f>
        <ns0:v>1</ns0:v>
      </ns0:c>
      <ns0:c r="BG80" t="n">
        <ns0:f>IF($A80="",1,IF(BF80=1,1,--AND(IF($AC80&gt;0,INDEX(BF$7:BF$106,$AC80),1),IF($AD80&gt;0,INDEX(BF$7:BF$106,$AD80),1),IF($AE80&gt;0,INDEX(BF$7:BF$106,$AE80),1),IF($AF80&gt;0,INDEX(BF$7:BF$106,$AF80),1),IF($AG80&gt;0,INDEX(BF$7:BF$106,$AG80),1),IF($AH80&gt;0,INDEX(BF$7:BF$106,$AH80),1),IF($AI80&gt;0,INDEX(BF$7:BF$106,$AI80),1),IF($AJ80&gt;0,INDEX(BF$7:BF$106,$AJ80),1))))</ns0:f>
        <ns0:v>1</ns0:v>
      </ns0:c>
      <ns0:c r="BH80" t="n">
        <ns0:f>IF($A80="",1,IF(BG80=1,1,--AND(IF($AC80&gt;0,INDEX(BG$7:BG$106,$AC80),1),IF($AD80&gt;0,INDEX(BG$7:BG$106,$AD80),1),IF($AE80&gt;0,INDEX(BG$7:BG$106,$AE80),1),IF($AF80&gt;0,INDEX(BG$7:BG$106,$AF80),1),IF($AG80&gt;0,INDEX(BG$7:BG$106,$AG80),1),IF($AH80&gt;0,INDEX(BG$7:BG$106,$AH80),1),IF($AI80&gt;0,INDEX(BG$7:BG$106,$AI80),1),IF($AJ80&gt;0,INDEX(BG$7:BG$106,$AJ80),1))))</ns0:f>
        <ns0:v>1</ns0:v>
      </ns0:c>
      <ns0:c r="BI80" t="n">
        <ns0:f>IF($A80="",1,IF(BH80=1,1,--AND(IF($AC80&gt;0,INDEX(BH$7:BH$106,$AC80),1),IF($AD80&gt;0,INDEX(BH$7:BH$106,$AD80),1),IF($AE80&gt;0,INDEX(BH$7:BH$106,$AE80),1),IF($AF80&gt;0,INDEX(BH$7:BH$106,$AF80),1),IF($AG80&gt;0,INDEX(BH$7:BH$106,$AG80),1),IF($AH80&gt;0,INDEX(BH$7:BH$106,$AH80),1),IF($AI80&gt;0,INDEX(BH$7:BH$106,$AI80),1),IF($AJ80&gt;0,INDEX(BH$7:BH$106,$AJ80),1))))</ns0:f>
        <ns0:v>1</ns0:v>
      </ns0:c>
      <ns0:c r="BJ80" t="n">
        <ns0:f>IF($A80="",1,IF(BI80=1,1,--AND(IF($AC80&gt;0,INDEX(BI$7:BI$106,$AC80),1),IF($AD80&gt;0,INDEX(BI$7:BI$106,$AD80),1),IF($AE80&gt;0,INDEX(BI$7:BI$106,$AE80),1),IF($AF80&gt;0,INDEX(BI$7:BI$106,$AF80),1),IF($AG80&gt;0,INDEX(BI$7:BI$106,$AG80),1),IF($AH80&gt;0,INDEX(BI$7:BI$106,$AH80),1),IF($AI80&gt;0,INDEX(BI$7:BI$106,$AI80),1),IF($AJ80&gt;0,INDEX(BI$7:BI$106,$AJ80),1))))</ns0:f>
        <ns0:v>1</ns0:v>
      </ns0:c>
      <ns0:c r="BK80" t="n">
        <ns0:f>IF($A80="",1,IF(BJ80=1,1,--AND(IF($AC80&gt;0,INDEX(BJ$7:BJ$106,$AC80),1),IF($AD80&gt;0,INDEX(BJ$7:BJ$106,$AD80),1),IF($AE80&gt;0,INDEX(BJ$7:BJ$106,$AE80),1),IF($AF80&gt;0,INDEX(BJ$7:BJ$106,$AF80),1),IF($AG80&gt;0,INDEX(BJ$7:BJ$106,$AG80),1),IF($AH80&gt;0,INDEX(BJ$7:BJ$106,$AH80),1),IF($AI80&gt;0,INDEX(BJ$7:BJ$106,$AI80),1),IF($AJ80&gt;0,INDEX(BJ$7:BJ$106,$AJ80),1))))</ns0:f>
        <ns0:v>1</ns0:v>
      </ns0:c>
      <ns0:c r="BL80" t="n">
        <ns0:f>IF($A80="",1,IF(BK80=1,1,--AND(IF($AC80&gt;0,INDEX(BK$7:BK$106,$AC80),1),IF($AD80&gt;0,INDEX(BK$7:BK$106,$AD80),1),IF($AE80&gt;0,INDEX(BK$7:BK$106,$AE80),1),IF($AF80&gt;0,INDEX(BK$7:BK$106,$AF80),1),IF($AG80&gt;0,INDEX(BK$7:BK$106,$AG80),1),IF($AH80&gt;0,INDEX(BK$7:BK$106,$AH80),1),IF($AI80&gt;0,INDEX(BK$7:BK$106,$AI80),1),IF($AJ80&gt;0,INDEX(BK$7:BK$106,$AJ80),1))))</ns0:f>
        <ns0:v>1</ns0:v>
      </ns0:c>
      <ns0:c r="BM80" t="n">
        <ns0:f>IF($A80="",1,IF(BL80=1,1,--AND(IF($AC80&gt;0,INDEX(BL$7:BL$106,$AC80),1),IF($AD80&gt;0,INDEX(BL$7:BL$106,$AD80),1),IF($AE80&gt;0,INDEX(BL$7:BL$106,$AE80),1),IF($AF80&gt;0,INDEX(BL$7:BL$106,$AF80),1),IF($AG80&gt;0,INDEX(BL$7:BL$106,$AG80),1),IF($AH80&gt;0,INDEX(BL$7:BL$106,$AH80),1),IF($AI80&gt;0,INDEX(BL$7:BL$106,$AI80),1),IF($AJ80&gt;0,INDEX(BL$7:BL$106,$AJ80),1))))</ns0:f>
        <ns0:v>1</ns0:v>
      </ns0:c>
      <ns0:c r="BN80" t="n">
        <ns0:f>IF($A80="",1,IF(BM80=1,1,--AND(IF($AC80&gt;0,INDEX(BM$7:BM$106,$AC80),1),IF($AD80&gt;0,INDEX(BM$7:BM$106,$AD80),1),IF($AE80&gt;0,INDEX(BM$7:BM$106,$AE80),1),IF($AF80&gt;0,INDEX(BM$7:BM$106,$AF80),1),IF($AG80&gt;0,INDEX(BM$7:BM$106,$AG80),1),IF($AH80&gt;0,INDEX(BM$7:BM$106,$AH80),1),IF($AI80&gt;0,INDEX(BM$7:BM$106,$AI80),1),IF($AJ80&gt;0,INDEX(BM$7:BM$106,$AJ80),1))))</ns0:f>
        <ns0:v>1</ns0:v>
      </ns0:c>
      <ns0:c r="BO80" t="n">
        <ns0:f>IF($A80="",1,IF(BN80=1,1,--AND(IF($AC80&gt;0,INDEX(BN$7:BN$106,$AC80),1),IF($AD80&gt;0,INDEX(BN$7:BN$106,$AD80),1),IF($AE80&gt;0,INDEX(BN$7:BN$106,$AE80),1),IF($AF80&gt;0,INDEX(BN$7:BN$106,$AF80),1),IF($AG80&gt;0,INDEX(BN$7:BN$106,$AG80),1),IF($AH80&gt;0,INDEX(BN$7:BN$106,$AH80),1),IF($AI80&gt;0,INDEX(BN$7:BN$106,$AI80),1),IF($AJ80&gt;0,INDEX(BN$7:BN$106,$AJ80),1))))</ns0:f>
        <ns0:v>1</ns0:v>
      </ns0:c>
      <ns0:c r="BP80" t="n">
        <ns0:f>IF($A80="",1,IF(BO80=1,1,--AND(IF($AC80&gt;0,INDEX(BO$7:BO$106,$AC80),1),IF($AD80&gt;0,INDEX(BO$7:BO$106,$AD80),1),IF($AE80&gt;0,INDEX(BO$7:BO$106,$AE80),1),IF($AF80&gt;0,INDEX(BO$7:BO$106,$AF80),1),IF($AG80&gt;0,INDEX(BO$7:BO$106,$AG80),1),IF($AH80&gt;0,INDEX(BO$7:BO$106,$AH80),1),IF($AI80&gt;0,INDEX(BO$7:BO$106,$AI80),1),IF($AJ80&gt;0,INDEX(BO$7:BO$106,$AJ80),1))))</ns0:f>
        <ns0:v>1</ns0:v>
      </ns0:c>
      <ns0:c r="BQ80" t="n">
        <ns0:f>IF($A80="",1,IF(BP80=1,1,--AND(IF($AC80&gt;0,INDEX(BP$7:BP$106,$AC80),1),IF($AD80&gt;0,INDEX(BP$7:BP$106,$AD80),1),IF($AE80&gt;0,INDEX(BP$7:BP$106,$AE80),1),IF($AF80&gt;0,INDEX(BP$7:BP$106,$AF80),1),IF($AG80&gt;0,INDEX(BP$7:BP$106,$AG80),1),IF($AH80&gt;0,INDEX(BP$7:BP$106,$AH80),1),IF($AI80&gt;0,INDEX(BP$7:BP$106,$AI80),1),IF($AJ80&gt;0,INDEX(BP$7:BP$106,$AJ80),1))))</ns0:f>
        <ns0:v>1</ns0:v>
      </ns0:c>
      <ns0:c r="BR80" t="n">
        <ns0:f>IF($A80="",1,IF(BQ80=1,1,--AND(IF($AC80&gt;0,INDEX(BQ$7:BQ$106,$AC80),1),IF($AD80&gt;0,INDEX(BQ$7:BQ$106,$AD80),1),IF($AE80&gt;0,INDEX(BQ$7:BQ$106,$AE80),1),IF($AF80&gt;0,INDEX(BQ$7:BQ$106,$AF80),1),IF($AG80&gt;0,INDEX(BQ$7:BQ$106,$AG80),1),IF($AH80&gt;0,INDEX(BQ$7:BQ$106,$AH80),1),IF($AI80&gt;0,INDEX(BQ$7:BQ$106,$AI80),1),IF($AJ80&gt;0,INDEX(BQ$7:BQ$106,$AJ80),1))))</ns0:f>
        <ns0:v>1</ns0:v>
      </ns0:c>
      <ns0:c r="BS80" t="n">
        <ns0:f>IF($A80="",1,IF(BR80=1,1,--AND(IF($AC80&gt;0,INDEX(BR$7:BR$106,$AC80),1),IF($AD80&gt;0,INDEX(BR$7:BR$106,$AD80),1),IF($AE80&gt;0,INDEX(BR$7:BR$106,$AE80),1),IF($AF80&gt;0,INDEX(BR$7:BR$106,$AF80),1),IF($AG80&gt;0,INDEX(BR$7:BR$106,$AG80),1),IF($AH80&gt;0,INDEX(BR$7:BR$106,$AH80),1),IF($AI80&gt;0,INDEX(BR$7:BR$106,$AI80),1),IF($AJ80&gt;0,INDEX(BR$7:BR$106,$AJ80),1))))</ns0:f>
        <ns0:v>1</ns0:v>
      </ns0:c>
      <ns0:c r="BT80" t="n">
        <ns0:f>IF($A80="",1,IF(BS80=1,1,--AND(IF($AC80&gt;0,INDEX(BS$7:BS$106,$AC80),1),IF($AD80&gt;0,INDEX(BS$7:BS$106,$AD80),1),IF($AE80&gt;0,INDEX(BS$7:BS$106,$AE80),1),IF($AF80&gt;0,INDEX(BS$7:BS$106,$AF80),1),IF($AG80&gt;0,INDEX(BS$7:BS$106,$AG80),1),IF($AH80&gt;0,INDEX(BS$7:BS$106,$AH80),1),IF($AI80&gt;0,INDEX(BS$7:BS$106,$AI80),1),IF($AJ80&gt;0,INDEX(BS$7:BS$106,$AJ80),1))))</ns0:f>
        <ns0:v>1</ns0:v>
      </ns0:c>
      <ns0:c r="BU80" t="n">
        <ns0:f>IF($A80="",1,IF(BT80=1,1,--AND(IF($AC80&gt;0,INDEX(BT$7:BT$106,$AC80),1),IF($AD80&gt;0,INDEX(BT$7:BT$106,$AD80),1),IF($AE80&gt;0,INDEX(BT$7:BT$106,$AE80),1),IF($AF80&gt;0,INDEX(BT$7:BT$106,$AF80),1),IF($AG80&gt;0,INDEX(BT$7:BT$106,$AG80),1),IF($AH80&gt;0,INDEX(BT$7:BT$106,$AH80),1),IF($AI80&gt;0,INDEX(BT$7:BT$106,$AI80),1),IF($AJ80&gt;0,INDEX(BT$7:BT$106,$AJ80),1))))</ns0:f>
        <ns0:v>1</ns0:v>
      </ns0:c>
      <ns0:c r="BV80" t="n">
        <ns0:f>IF($A80="",1,IF(BU80=1,1,--AND(IF($AC80&gt;0,INDEX(BU$7:BU$106,$AC80),1),IF($AD80&gt;0,INDEX(BU$7:BU$106,$AD80),1),IF($AE80&gt;0,INDEX(BU$7:BU$106,$AE80),1),IF($AF80&gt;0,INDEX(BU$7:BU$106,$AF80),1),IF($AG80&gt;0,INDEX(BU$7:BU$106,$AG80),1),IF($AH80&gt;0,INDEX(BU$7:BU$106,$AH80),1),IF($AI80&gt;0,INDEX(BU$7:BU$106,$AI80),1),IF($AJ80&gt;0,INDEX(BU$7:BU$106,$AJ80),1))))</ns0:f>
        <ns0:v>1</ns0:v>
      </ns0:c>
      <ns0:c r="BW80" t="n">
        <ns0:f>IF($A80="",1,IF(BV80=1,1,--AND(IF($AC80&gt;0,INDEX(BV$7:BV$106,$AC80),1),IF($AD80&gt;0,INDEX(BV$7:BV$106,$AD80),1),IF($AE80&gt;0,INDEX(BV$7:BV$106,$AE80),1),IF($AF80&gt;0,INDEX(BV$7:BV$106,$AF80),1),IF($AG80&gt;0,INDEX(BV$7:BV$106,$AG80),1),IF($AH80&gt;0,INDEX(BV$7:BV$106,$AH80),1),IF($AI80&gt;0,INDEX(BV$7:BV$106,$AI80),1),IF($AJ80&gt;0,INDEX(BV$7:BV$106,$AJ80),1))))</ns0:f>
        <ns0:v>1</ns0:v>
      </ns0:c>
      <ns0:c r="BX80" t="n">
        <ns0:f>IF($A80="",1,IF(BW80=1,1,--AND(IF($AC80&gt;0,INDEX(BW$7:BW$106,$AC80),1),IF($AD80&gt;0,INDEX(BW$7:BW$106,$AD80),1),IF($AE80&gt;0,INDEX(BW$7:BW$106,$AE80),1),IF($AF80&gt;0,INDEX(BW$7:BW$106,$AF80),1),IF($AG80&gt;0,INDEX(BW$7:BW$106,$AG80),1),IF($AH80&gt;0,INDEX(BW$7:BW$106,$AH80),1),IF($AI80&gt;0,INDEX(BW$7:BW$106,$AI80),1),IF($AJ80&gt;0,INDEX(BW$7:BW$106,$AJ80),1))))</ns0:f>
        <ns0:v>1</ns0:v>
      </ns0:c>
      <ns0:c r="BY80" t="n">
        <ns0:f>IF($A80="",1,IF(BX80=1,1,--AND(IF($AC80&gt;0,INDEX(BX$7:BX$106,$AC80),1),IF($AD80&gt;0,INDEX(BX$7:BX$106,$AD80),1),IF($AE80&gt;0,INDEX(BX$7:BX$106,$AE80),1),IF($AF80&gt;0,INDEX(BX$7:BX$106,$AF80),1),IF($AG80&gt;0,INDEX(BX$7:BX$106,$AG80),1),IF($AH80&gt;0,INDEX(BX$7:BX$106,$AH80),1),IF($AI80&gt;0,INDEX(BX$7:BX$106,$AI80),1),IF($AJ80&gt;0,INDEX(BX$7:BX$106,$AJ80),1))))</ns0:f>
        <ns0:v>1</ns0:v>
      </ns0:c>
      <ns0:c r="BZ80" t="n">
        <ns0:f>IF($A80="",1,IF(BY80=1,1,--AND(IF($AC80&gt;0,INDEX(BY$7:BY$106,$AC80),1),IF($AD80&gt;0,INDEX(BY$7:BY$106,$AD80),1),IF($AE80&gt;0,INDEX(BY$7:BY$106,$AE80),1),IF($AF80&gt;0,INDEX(BY$7:BY$106,$AF80),1),IF($AG80&gt;0,INDEX(BY$7:BY$106,$AG80),1),IF($AH80&gt;0,INDEX(BY$7:BY$106,$AH80),1),IF($AI80&gt;0,INDEX(BY$7:BY$106,$AI80),1),IF($AJ80&gt;0,INDEX(BY$7:BY$106,$AJ80),1))))</ns0:f>
        <ns0:v>1</ns0:v>
      </ns0:c>
      <ns0:c r="CA80" t="n">
        <ns0:f>IF($A80="",1,IF(BZ80=1,1,--AND(IF($AC80&gt;0,INDEX(BZ$7:BZ$106,$AC80),1),IF($AD80&gt;0,INDEX(BZ$7:BZ$106,$AD80),1),IF($AE80&gt;0,INDEX(BZ$7:BZ$106,$AE80),1),IF($AF80&gt;0,INDEX(BZ$7:BZ$106,$AF80),1),IF($AG80&gt;0,INDEX(BZ$7:BZ$106,$AG80),1),IF($AH80&gt;0,INDEX(BZ$7:BZ$106,$AH80),1),IF($AI80&gt;0,INDEX(BZ$7:BZ$106,$AI80),1),IF($AJ80&gt;0,INDEX(BZ$7:BZ$106,$AJ80),1))))</ns0:f>
        <ns0:v>1</ns0:v>
      </ns0:c>
      <ns0:c r="CB80" t="n">
        <ns0:f>IF($A80="",1,IF(CA80=1,1,--AND(IF($AC80&gt;0,INDEX(CA$7:CA$106,$AC80),1),IF($AD80&gt;0,INDEX(CA$7:CA$106,$AD80),1),IF($AE80&gt;0,INDEX(CA$7:CA$106,$AE80),1),IF($AF80&gt;0,INDEX(CA$7:CA$106,$AF80),1),IF($AG80&gt;0,INDEX(CA$7:CA$106,$AG80),1),IF($AH80&gt;0,INDEX(CA$7:CA$106,$AH80),1),IF($AI80&gt;0,INDEX(CA$7:CA$106,$AI80),1),IF($AJ80&gt;0,INDEX(CA$7:CA$106,$AJ80),1))))</ns0:f>
        <ns0:v>1</ns0:v>
      </ns0:c>
      <ns0:c r="CC80" t="n">
        <ns0:f>IF($A80="",1,IF(CB80=1,1,--AND(IF($AC80&gt;0,INDEX(CB$7:CB$106,$AC80),1),IF($AD80&gt;0,INDEX(CB$7:CB$106,$AD80),1),IF($AE80&gt;0,INDEX(CB$7:CB$106,$AE80),1),IF($AF80&gt;0,INDEX(CB$7:CB$106,$AF80),1),IF($AG80&gt;0,INDEX(CB$7:CB$106,$AG80),1),IF($AH80&gt;0,INDEX(CB$7:CB$106,$AH80),1),IF($AI80&gt;0,INDEX(CB$7:CB$106,$AI80),1),IF($AJ80&gt;0,INDEX(CB$7:CB$106,$AJ80),1))))</ns0:f>
        <ns0:v>1</ns0:v>
      </ns0:c>
      <ns0:c r="CD80" t="n">
        <ns0:f>IF($A80="",1,IF(CC80=1,1,--AND(IF($AC80&gt;0,INDEX(CC$7:CC$106,$AC80),1),IF($AD80&gt;0,INDEX(CC$7:CC$106,$AD80),1),IF($AE80&gt;0,INDEX(CC$7:CC$106,$AE80),1),IF($AF80&gt;0,INDEX(CC$7:CC$106,$AF80),1),IF($AG80&gt;0,INDEX(CC$7:CC$106,$AG80),1),IF($AH80&gt;0,INDEX(CC$7:CC$106,$AH80),1),IF($AI80&gt;0,INDEX(CC$7:CC$106,$AI80),1),IF($AJ80&gt;0,INDEX(CC$7:CC$106,$AJ80),1))))</ns0:f>
        <ns0:v>1</ns0:v>
      </ns0:c>
      <ns0:c r="CE80" t="n">
        <ns0:f>IF($A80="",1,IF(CD80=1,1,--AND(IF($AC80&gt;0,INDEX(CD$7:CD$106,$AC80),1),IF($AD80&gt;0,INDEX(CD$7:CD$106,$AD80),1),IF($AE80&gt;0,INDEX(CD$7:CD$106,$AE80),1),IF($AF80&gt;0,INDEX(CD$7:CD$106,$AF80),1),IF($AG80&gt;0,INDEX(CD$7:CD$106,$AG80),1),IF($AH80&gt;0,INDEX(CD$7:CD$106,$AH80),1),IF($AI80&gt;0,INDEX(CD$7:CD$106,$AI80),1),IF($AJ80&gt;0,INDEX(CD$7:CD$106,$AJ80),1))))</ns0:f>
        <ns0:v>1</ns0:v>
      </ns0:c>
      <ns0:c r="CF80" t="n">
        <ns0:f>IF($A80="",1,IF(CE80=1,1,--AND(IF($AC80&gt;0,INDEX(CE$7:CE$106,$AC80),1),IF($AD80&gt;0,INDEX(CE$7:CE$106,$AD80),1),IF($AE80&gt;0,INDEX(CE$7:CE$106,$AE80),1),IF($AF80&gt;0,INDEX(CE$7:CE$106,$AF80),1),IF($AG80&gt;0,INDEX(CE$7:CE$106,$AG80),1),IF($AH80&gt;0,INDEX(CE$7:CE$106,$AH80),1),IF($AI80&gt;0,INDEX(CE$7:CE$106,$AI80),1),IF($AJ80&gt;0,INDEX(CE$7:CE$106,$AJ80),1))))</ns0:f>
        <ns0:v>1</ns0:v>
      </ns0:c>
      <ns0:c r="CG80" t="n">
        <ns0:f>IF($A80="",1,IF(CF80=1,1,--AND(IF($AC80&gt;0,INDEX(CF$7:CF$106,$AC80),1),IF($AD80&gt;0,INDEX(CF$7:CF$106,$AD80),1),IF($AE80&gt;0,INDEX(CF$7:CF$106,$AE80),1),IF($AF80&gt;0,INDEX(CF$7:CF$106,$AF80),1),IF($AG80&gt;0,INDEX(CF$7:CF$106,$AG80),1),IF($AH80&gt;0,INDEX(CF$7:CF$106,$AH80),1),IF($AI80&gt;0,INDEX(CF$7:CF$106,$AI80),1),IF($AJ80&gt;0,INDEX(CF$7:CF$106,$AJ80),1))))</ns0:f>
        <ns0:v>1</ns0:v>
      </ns0:c>
      <ns0:c r="CH80" t="n">
        <ns0:f>IF($A80="",1,IF(CG80=1,1,--AND(IF($AC80&gt;0,INDEX(CG$7:CG$106,$AC80),1),IF($AD80&gt;0,INDEX(CG$7:CG$106,$AD80),1),IF($AE80&gt;0,INDEX(CG$7:CG$106,$AE80),1),IF($AF80&gt;0,INDEX(CG$7:CG$106,$AF80),1),IF($AG80&gt;0,INDEX(CG$7:CG$106,$AG80),1),IF($AH80&gt;0,INDEX(CG$7:CG$106,$AH80),1),IF($AI80&gt;0,INDEX(CG$7:CG$106,$AI80),1),IF($AJ80&gt;0,INDEX(CG$7:CG$106,$AJ80),1))))</ns0:f>
        <ns0:v>1</ns0:v>
      </ns0:c>
      <ns0:c r="CI80" t="n">
        <ns0:f>IF($A80="",1,IF(CH80=1,1,--AND(IF($AC80&gt;0,INDEX(CH$7:CH$106,$AC80),1),IF($AD80&gt;0,INDEX(CH$7:CH$106,$AD80),1),IF($AE80&gt;0,INDEX(CH$7:CH$106,$AE80),1),IF($AF80&gt;0,INDEX(CH$7:CH$106,$AF80),1),IF($AG80&gt;0,INDEX(CH$7:CH$106,$AG80),1),IF($AH80&gt;0,INDEX(CH$7:CH$106,$AH80),1),IF($AI80&gt;0,INDEX(CH$7:CH$106,$AI80),1),IF($AJ80&gt;0,INDEX(CH$7:CH$106,$AJ80),1))))</ns0:f>
        <ns0:v>1</ns0:v>
      </ns0:c>
      <ns0:c r="CJ80" t="n">
        <ns0:f>IF($A80="",1,IF(CI80=1,1,--AND(IF($AC80&gt;0,INDEX(CI$7:CI$106,$AC80),1),IF($AD80&gt;0,INDEX(CI$7:CI$106,$AD80),1),IF($AE80&gt;0,INDEX(CI$7:CI$106,$AE80),1),IF($AF80&gt;0,INDEX(CI$7:CI$106,$AF80),1),IF($AG80&gt;0,INDEX(CI$7:CI$106,$AG80),1),IF($AH80&gt;0,INDEX(CI$7:CI$106,$AH80),1),IF($AI80&gt;0,INDEX(CI$7:CI$106,$AI80),1),IF($AJ80&gt;0,INDEX(CI$7:CI$106,$AJ80),1))))</ns0:f>
        <ns0:v>1</ns0:v>
      </ns0:c>
      <ns0:c r="CK80" t="n">
        <ns0:f>IF($A80="",1,IF(CJ80=1,1,--AND(IF($AC80&gt;0,INDEX(CJ$7:CJ$106,$AC80),1),IF($AD80&gt;0,INDEX(CJ$7:CJ$106,$AD80),1),IF($AE80&gt;0,INDEX(CJ$7:CJ$106,$AE80),1),IF($AF80&gt;0,INDEX(CJ$7:CJ$106,$AF80),1),IF($AG80&gt;0,INDEX(CJ$7:CJ$106,$AG80),1),IF($AH80&gt;0,INDEX(CJ$7:CJ$106,$AH80),1),IF($AI80&gt;0,INDEX(CJ$7:CJ$106,$AI80),1),IF($AJ80&gt;0,INDEX(CJ$7:CJ$106,$AJ80),1))))</ns0:f>
        <ns0:v>1</ns0:v>
      </ns0:c>
      <ns0:c r="CL80" t="n">
        <ns0:f>IF($A80="",1,IF(CK80=1,1,--AND(IF($AC80&gt;0,INDEX(CK$7:CK$106,$AC80),1),IF($AD80&gt;0,INDEX(CK$7:CK$106,$AD80),1),IF($AE80&gt;0,INDEX(CK$7:CK$106,$AE80),1),IF($AF80&gt;0,INDEX(CK$7:CK$106,$AF80),1),IF($AG80&gt;0,INDEX(CK$7:CK$106,$AG80),1),IF($AH80&gt;0,INDEX(CK$7:CK$106,$AH80),1),IF($AI80&gt;0,INDEX(CK$7:CK$106,$AI80),1),IF($AJ80&gt;0,INDEX(CK$7:CK$106,$AJ80),1))))</ns0:f>
        <ns0:v>1</ns0:v>
      </ns0:c>
      <ns0:c r="CM80" t="n">
        <ns0:f>IF($A80="",1,IF(CL80=1,1,--AND(IF($AC80&gt;0,INDEX(CL$7:CL$106,$AC80),1),IF($AD80&gt;0,INDEX(CL$7:CL$106,$AD80),1),IF($AE80&gt;0,INDEX(CL$7:CL$106,$AE80),1),IF($AF80&gt;0,INDEX(CL$7:CL$106,$AF80),1),IF($AG80&gt;0,INDEX(CL$7:CL$106,$AG80),1),IF($AH80&gt;0,INDEX(CL$7:CL$106,$AH80),1),IF($AI80&gt;0,INDEX(CL$7:CL$106,$AI80),1),IF($AJ80&gt;0,INDEX(CL$7:CL$106,$AJ80),1))))</ns0:f>
        <ns0:v>1</ns0:v>
      </ns0:c>
      <ns0:c r="CN80" t="n">
        <ns0:f>IF($A80="",1,IF(CM80=1,1,--AND(IF($AC80&gt;0,INDEX(CM$7:CM$106,$AC80),1),IF($AD80&gt;0,INDEX(CM$7:CM$106,$AD80),1),IF($AE80&gt;0,INDEX(CM$7:CM$106,$AE80),1),IF($AF80&gt;0,INDEX(CM$7:CM$106,$AF80),1),IF($AG80&gt;0,INDEX(CM$7:CM$106,$AG80),1),IF($AH80&gt;0,INDEX(CM$7:CM$106,$AH80),1),IF($AI80&gt;0,INDEX(CM$7:CM$106,$AI80),1),IF($AJ80&gt;0,INDEX(CM$7:CM$106,$AJ80),1))))</ns0:f>
        <ns0:v>1</ns0:v>
      </ns0:c>
      <ns0:c r="CO80" t="n">
        <ns0:f>IF($A80="",1,IF(CN80=1,1,--AND(IF($AC80&gt;0,INDEX(CN$7:CN$106,$AC80),1),IF($AD80&gt;0,INDEX(CN$7:CN$106,$AD80),1),IF($AE80&gt;0,INDEX(CN$7:CN$106,$AE80),1),IF($AF80&gt;0,INDEX(CN$7:CN$106,$AF80),1),IF($AG80&gt;0,INDEX(CN$7:CN$106,$AG80),1),IF($AH80&gt;0,INDEX(CN$7:CN$106,$AH80),1),IF($AI80&gt;0,INDEX(CN$7:CN$106,$AI80),1),IF($AJ80&gt;0,INDEX(CN$7:CN$106,$AJ80),1))))</ns0:f>
        <ns0:v>1</ns0:v>
      </ns0:c>
      <ns0:c r="CP80" t="n">
        <ns0:f>IF($A80="",1,IF(CO80=1,1,--AND(IF($AC80&gt;0,INDEX(CO$7:CO$106,$AC80),1),IF($AD80&gt;0,INDEX(CO$7:CO$106,$AD80),1),IF($AE80&gt;0,INDEX(CO$7:CO$106,$AE80),1),IF($AF80&gt;0,INDEX(CO$7:CO$106,$AF80),1),IF($AG80&gt;0,INDEX(CO$7:CO$106,$AG80),1),IF($AH80&gt;0,INDEX(CO$7:CO$106,$AH80),1),IF($AI80&gt;0,INDEX(CO$7:CO$106,$AI80),1),IF($AJ80&gt;0,INDEX(CO$7:CO$106,$AJ80),1))))</ns0:f>
        <ns0:v>1</ns0:v>
      </ns0:c>
      <ns0:c r="CQ80" t="n">
        <ns0:f>IF($A80="",1,IF(CP80=1,1,--AND(IF($AC80&gt;0,INDEX(CP$7:CP$106,$AC80),1),IF($AD80&gt;0,INDEX(CP$7:CP$106,$AD80),1),IF($AE80&gt;0,INDEX(CP$7:CP$106,$AE80),1),IF($AF80&gt;0,INDEX(CP$7:CP$106,$AF80),1),IF($AG80&gt;0,INDEX(CP$7:CP$106,$AG80),1),IF($AH80&gt;0,INDEX(CP$7:CP$106,$AH80),1),IF($AI80&gt;0,INDEX(CP$7:CP$106,$AI80),1),IF($AJ80&gt;0,INDEX(CP$7:CP$106,$AJ80),1))))</ns0:f>
        <ns0:v>1</ns0:v>
      </ns0:c>
      <ns0:c r="CR80" t="n">
        <ns0:f>IF($A80="",1,IF(CQ80=1,1,--AND(IF($AC80&gt;0,INDEX(CQ$7:CQ$106,$AC80),1),IF($AD80&gt;0,INDEX(CQ$7:CQ$106,$AD80),1),IF($AE80&gt;0,INDEX(CQ$7:CQ$106,$AE80),1),IF($AF80&gt;0,INDEX(CQ$7:CQ$106,$AF80),1),IF($AG80&gt;0,INDEX(CQ$7:CQ$106,$AG80),1),IF($AH80&gt;0,INDEX(CQ$7:CQ$106,$AH80),1),IF($AI80&gt;0,INDEX(CQ$7:CQ$106,$AI80),1),IF($AJ80&gt;0,INDEX(CQ$7:CQ$106,$AJ80),1))))</ns0:f>
        <ns0:v>1</ns0:v>
      </ns0:c>
      <ns0:c r="CS80" t="n">
        <ns0:f>IF($A80="",1,IF(CR80=1,1,--AND(IF($AC80&gt;0,INDEX(CR$7:CR$106,$AC80),1),IF($AD80&gt;0,INDEX(CR$7:CR$106,$AD80),1),IF($AE80&gt;0,INDEX(CR$7:CR$106,$AE80),1),IF($AF80&gt;0,INDEX(CR$7:CR$106,$AF80),1),IF($AG80&gt;0,INDEX(CR$7:CR$106,$AG80),1),IF($AH80&gt;0,INDEX(CR$7:CR$106,$AH80),1),IF($AI80&gt;0,INDEX(CR$7:CR$106,$AI80),1),IF($AJ80&gt;0,INDEX(CR$7:CR$106,$AJ80),1))))</ns0:f>
        <ns0:v>1</ns0:v>
      </ns0:c>
      <ns0:c r="CT80" t="n">
        <ns0:f>IF($A80="",1,IF(CS80=1,1,--AND(IF($AC80&gt;0,INDEX(CS$7:CS$106,$AC80),1),IF($AD80&gt;0,INDEX(CS$7:CS$106,$AD80),1),IF($AE80&gt;0,INDEX(CS$7:CS$106,$AE80),1),IF($AF80&gt;0,INDEX(CS$7:CS$106,$AF80),1),IF($AG80&gt;0,INDEX(CS$7:CS$106,$AG80),1),IF($AH80&gt;0,INDEX(CS$7:CS$106,$AH80),1),IF($AI80&gt;0,INDEX(CS$7:CS$106,$AI80),1),IF($AJ80&gt;0,INDEX(CS$7:CS$106,$AJ80),1))))</ns0:f>
        <ns0:v>1</ns0:v>
      </ns0:c>
      <ns0:c r="CU80" t="n">
        <ns0:f>IF($A80="",1,IF(CT80=1,1,--AND(IF($AC80&gt;0,INDEX(CT$7:CT$106,$AC80),1),IF($AD80&gt;0,INDEX(CT$7:CT$106,$AD80),1),IF($AE80&gt;0,INDEX(CT$7:CT$106,$AE80),1),IF($AF80&gt;0,INDEX(CT$7:CT$106,$AF80),1),IF($AG80&gt;0,INDEX(CT$7:CT$106,$AG80),1),IF($AH80&gt;0,INDEX(CT$7:CT$106,$AH80),1),IF($AI80&gt;0,INDEX(CT$7:CT$106,$AI80),1),IF($AJ80&gt;0,INDEX(CT$7:CT$106,$AJ80),1))))</ns0:f>
        <ns0:v>1</ns0:v>
      </ns0:c>
      <ns0:c r="CV80" t="n">
        <ns0:f>IF($A80="",1,IF(CU80=1,1,--AND(IF($AC80&gt;0,INDEX(CU$7:CU$106,$AC80),1),IF($AD80&gt;0,INDEX(CU$7:CU$106,$AD80),1),IF($AE80&gt;0,INDEX(CU$7:CU$106,$AE80),1),IF($AF80&gt;0,INDEX(CU$7:CU$106,$AF80),1),IF($AG80&gt;0,INDEX(CU$7:CU$106,$AG80),1),IF($AH80&gt;0,INDEX(CU$7:CU$106,$AH80),1),IF($AI80&gt;0,INDEX(CU$7:CU$106,$AI80),1),IF($AJ80&gt;0,INDEX(CU$7:CU$106,$AJ80),1))))</ns0:f>
        <ns0:v>1</ns0:v>
      </ns0:c>
      <ns0:c r="CW80" t="n">
        <ns0:f>IF($A80="",1,IF(CV80=1,1,--AND(IF($AC80&gt;0,INDEX(CV$7:CV$106,$AC80),1),IF($AD80&gt;0,INDEX(CV$7:CV$106,$AD80),1),IF($AE80&gt;0,INDEX(CV$7:CV$106,$AE80),1),IF($AF80&gt;0,INDEX(CV$7:CV$106,$AF80),1),IF($AG80&gt;0,INDEX(CV$7:CV$106,$AG80),1),IF($AH80&gt;0,INDEX(CV$7:CV$106,$AH80),1),IF($AI80&gt;0,INDEX(CV$7:CV$106,$AI80),1),IF($AJ80&gt;0,INDEX(CV$7:CV$106,$AJ80),1))))</ns0:f>
        <ns0:v>1</ns0:v>
      </ns0:c>
      <ns0:c r="CX80" t="n">
        <ns0:f>IF($A80="",1,IF(CW80=1,1,--AND(IF($AC80&gt;0,INDEX(CW$7:CW$106,$AC80),1),IF($AD80&gt;0,INDEX(CW$7:CW$106,$AD80),1),IF($AE80&gt;0,INDEX(CW$7:CW$106,$AE80),1),IF($AF80&gt;0,INDEX(CW$7:CW$106,$AF80),1),IF($AG80&gt;0,INDEX(CW$7:CW$106,$AG80),1),IF($AH80&gt;0,INDEX(CW$7:CW$106,$AH80),1),IF($AI80&gt;0,INDEX(CW$7:CW$106,$AI80),1),IF($AJ80&gt;0,INDEX(CW$7:CW$106,$AJ80),1))))</ns0:f>
        <ns0:v>1</ns0:v>
      </ns0:c>
      <ns0:c r="CY80" t="n">
        <ns0:f>IF($A80="",1,IF(CX80=1,1,--AND(IF($AC80&gt;0,INDEX(CX$7:CX$106,$AC80),1),IF($AD80&gt;0,INDEX(CX$7:CX$106,$AD80),1),IF($AE80&gt;0,INDEX(CX$7:CX$106,$AE80),1),IF($AF80&gt;0,INDEX(CX$7:CX$106,$AF80),1),IF($AG80&gt;0,INDEX(CX$7:CX$106,$AG80),1),IF($AH80&gt;0,INDEX(CX$7:CX$106,$AH80),1),IF($AI80&gt;0,INDEX(CX$7:CX$106,$AI80),1),IF($AJ80&gt;0,INDEX(CX$7:CX$106,$AJ80),1))))</ns0:f>
        <ns0:v>1</ns0:v>
      </ns0:c>
      <ns0:c r="CZ80" t="n">
        <ns0:f>IF($A80="",1,IF(CY80=1,1,--AND(IF($AC80&gt;0,INDEX(CY$7:CY$106,$AC80),1),IF($AD80&gt;0,INDEX(CY$7:CY$106,$AD80),1),IF($AE80&gt;0,INDEX(CY$7:CY$106,$AE80),1),IF($AF80&gt;0,INDEX(CY$7:CY$106,$AF80),1),IF($AG80&gt;0,INDEX(CY$7:CY$106,$AG80),1),IF($AH80&gt;0,INDEX(CY$7:CY$106,$AH80),1),IF($AI80&gt;0,INDEX(CY$7:CY$106,$AI80),1),IF($AJ80&gt;0,INDEX(CY$7:CY$106,$AJ80),1))))</ns0:f>
        <ns0:v>1</ns0:v>
      </ns0:c>
      <ns0:c r="DA80" t="n">
        <ns0:f>IF($A80="",1,IF(CZ80=1,1,--AND(IF($AC80&gt;0,INDEX(CZ$7:CZ$106,$AC80),1),IF($AD80&gt;0,INDEX(CZ$7:CZ$106,$AD80),1),IF($AE80&gt;0,INDEX(CZ$7:CZ$106,$AE80),1),IF($AF80&gt;0,INDEX(CZ$7:CZ$106,$AF80),1),IF($AG80&gt;0,INDEX(CZ$7:CZ$106,$AG80),1),IF($AH80&gt;0,INDEX(CZ$7:CZ$106,$AH80),1),IF($AI80&gt;0,INDEX(CZ$7:CZ$106,$AI80),1),IF($AJ80&gt;0,INDEX(CZ$7:CZ$106,$AJ80),1))))</ns0:f>
        <ns0:v>1</ns0:v>
      </ns0:c>
      <ns0:c r="DB80" t="n">
        <ns0:f>IF($A80="",1,IF(DA80=1,1,--AND(IF($AC80&gt;0,INDEX(DA$7:DA$106,$AC80),1),IF($AD80&gt;0,INDEX(DA$7:DA$106,$AD80),1),IF($AE80&gt;0,INDEX(DA$7:DA$106,$AE80),1),IF($AF80&gt;0,INDEX(DA$7:DA$106,$AF80),1),IF($AG80&gt;0,INDEX(DA$7:DA$106,$AG80),1),IF($AH80&gt;0,INDEX(DA$7:DA$106,$AH80),1),IF($AI80&gt;0,INDEX(DA$7:DA$106,$AI80),1),IF($AJ80&gt;0,INDEX(DA$7:DA$106,$AJ80),1))))</ns0:f>
        <ns0:v>1</ns0:v>
      </ns0:c>
      <ns0:c r="DC80" t="n">
        <ns0:f>IF($A80="",1,IF(DB80=1,1,--AND(IF($AC80&gt;0,INDEX(DB$7:DB$106,$AC80),1),IF($AD80&gt;0,INDEX(DB$7:DB$106,$AD80),1),IF($AE80&gt;0,INDEX(DB$7:DB$106,$AE80),1),IF($AF80&gt;0,INDEX(DB$7:DB$106,$AF80),1),IF($AG80&gt;0,INDEX(DB$7:DB$106,$AG80),1),IF($AH80&gt;0,INDEX(DB$7:DB$106,$AH80),1),IF($AI80&gt;0,INDEX(DB$7:DB$106,$AI80),1),IF($AJ80&gt;0,INDEX(DB$7:DB$106,$AJ80),1))))</ns0:f>
        <ns0:v>1</ns0:v>
      </ns0:c>
      <ns0:c r="DD80" t="n">
        <ns0:f>IF($A80="",1,IF(DC80=1,1,--AND(IF($AC80&gt;0,INDEX(DC$7:DC$106,$AC80),1),IF($AD80&gt;0,INDEX(DC$7:DC$106,$AD80),1),IF($AE80&gt;0,INDEX(DC$7:DC$106,$AE80),1),IF($AF80&gt;0,INDEX(DC$7:DC$106,$AF80),1),IF($AG80&gt;0,INDEX(DC$7:DC$106,$AG80),1),IF($AH80&gt;0,INDEX(DC$7:DC$106,$AH80),1),IF($AI80&gt;0,INDEX(DC$7:DC$106,$AI80),1),IF($AJ80&gt;0,INDEX(DC$7:DC$106,$AJ80),1))))</ns0:f>
        <ns0:v>1</ns0:v>
      </ns0:c>
      <ns0:c r="DE80" t="n">
        <ns0:f>IF($A80="",1,IF(DD80=1,1,--AND(IF($AC80&gt;0,INDEX(DD$7:DD$106,$AC80),1),IF($AD80&gt;0,INDEX(DD$7:DD$106,$AD80),1),IF($AE80&gt;0,INDEX(DD$7:DD$106,$AE80),1),IF($AF80&gt;0,INDEX(DD$7:DD$106,$AF80),1),IF($AG80&gt;0,INDEX(DD$7:DD$106,$AG80),1),IF($AH80&gt;0,INDEX(DD$7:DD$106,$AH80),1),IF($AI80&gt;0,INDEX(DD$7:DD$106,$AI80),1),IF($AJ80&gt;0,INDEX(DD$7:DD$106,$AJ80),1))))</ns0:f>
        <ns0:v>1</ns0:v>
      </ns0:c>
      <ns0:c r="DF80" t="n">
        <ns0:f>IF($A80="",1,IF(DE80=1,1,--AND(IF($AC80&gt;0,INDEX(DE$7:DE$106,$AC80),1),IF($AD80&gt;0,INDEX(DE$7:DE$106,$AD80),1),IF($AE80&gt;0,INDEX(DE$7:DE$106,$AE80),1),IF($AF80&gt;0,INDEX(DE$7:DE$106,$AF80),1),IF($AG80&gt;0,INDEX(DE$7:DE$106,$AG80),1),IF($AH80&gt;0,INDEX(DE$7:DE$106,$AH80),1),IF($AI80&gt;0,INDEX(DE$7:DE$106,$AI80),1),IF($AJ80&gt;0,INDEX(DE$7:DE$106,$AJ80),1))))</ns0:f>
        <ns0:v>1</ns0:v>
      </ns0:c>
      <ns0:c r="DG80" t="n">
        <ns0:f>IF($A80="",1,IF(DF80=1,1,--AND(IF($AC80&gt;0,INDEX(DF$7:DF$106,$AC80),1),IF($AD80&gt;0,INDEX(DF$7:DF$106,$AD80),1),IF($AE80&gt;0,INDEX(DF$7:DF$106,$AE80),1),IF($AF80&gt;0,INDEX(DF$7:DF$106,$AF80),1),IF($AG80&gt;0,INDEX(DF$7:DF$106,$AG80),1),IF($AH80&gt;0,INDEX(DF$7:DF$106,$AH80),1),IF($AI80&gt;0,INDEX(DF$7:DF$106,$AI80),1),IF($AJ80&gt;0,INDEX(DF$7:DF$106,$AJ80),1))))</ns0:f>
        <ns0:v>1</ns0:v>
      </ns0:c>
      <ns0:c r="DH80" t="n">
        <ns0:f>IF($A80="",1,IF(DG80=1,1,--AND(IF($AC80&gt;0,INDEX(DG$7:DG$106,$AC80),1),IF($AD80&gt;0,INDEX(DG$7:DG$106,$AD80),1),IF($AE80&gt;0,INDEX(DG$7:DG$106,$AE80),1),IF($AF80&gt;0,INDEX(DG$7:DG$106,$AF80),1),IF($AG80&gt;0,INDEX(DG$7:DG$106,$AG80),1),IF($AH80&gt;0,INDEX(DG$7:DG$106,$AH80),1),IF($AI80&gt;0,INDEX(DG$7:DG$106,$AI80),1),IF($AJ80&gt;0,INDEX(DG$7:DG$106,$AJ80),1))))</ns0:f>
        <ns0:v>1</ns0:v>
      </ns0:c>
      <ns0:c r="DI80" t="n">
        <ns0:f>IF($A80="",1,IF(DH80=1,1,--AND(IF($AC80&gt;0,INDEX(DH$7:DH$106,$AC80),1),IF($AD80&gt;0,INDEX(DH$7:DH$106,$AD80),1),IF($AE80&gt;0,INDEX(DH$7:DH$106,$AE80),1),IF($AF80&gt;0,INDEX(DH$7:DH$106,$AF80),1),IF($AG80&gt;0,INDEX(DH$7:DH$106,$AG80),1),IF($AH80&gt;0,INDEX(DH$7:DH$106,$AH80),1),IF($AI80&gt;0,INDEX(DH$7:DH$106,$AI80),1),IF($AJ80&gt;0,INDEX(DH$7:DH$106,$AJ80),1))))</ns0:f>
        <ns0:v>1</ns0:v>
      </ns0:c>
      <ns0:c r="DJ80" t="n">
        <ns0:f>IF($A80="",1,IF(DI80=1,1,--AND(IF($AC80&gt;0,INDEX(DI$7:DI$106,$AC80),1),IF($AD80&gt;0,INDEX(DI$7:DI$106,$AD80),1),IF($AE80&gt;0,INDEX(DI$7:DI$106,$AE80),1),IF($AF80&gt;0,INDEX(DI$7:DI$106,$AF80),1),IF($AG80&gt;0,INDEX(DI$7:DI$106,$AG80),1),IF($AH80&gt;0,INDEX(DI$7:DI$106,$AH80),1),IF($AI80&gt;0,INDEX(DI$7:DI$106,$AI80),1),IF($AJ80&gt;0,INDEX(DI$7:DI$106,$AJ80),1))))</ns0:f>
        <ns0:v>1</ns0:v>
      </ns0:c>
      <ns0:c r="DK80" t="n">
        <ns0:f>IF($A80="",1,IF(DJ80=1,1,--AND(IF($AC80&gt;0,INDEX(DJ$7:DJ$106,$AC80),1),IF($AD80&gt;0,INDEX(DJ$7:DJ$106,$AD80),1),IF($AE80&gt;0,INDEX(DJ$7:DJ$106,$AE80),1),IF($AF80&gt;0,INDEX(DJ$7:DJ$106,$AF80),1),IF($AG80&gt;0,INDEX(DJ$7:DJ$106,$AG80),1),IF($AH80&gt;0,INDEX(DJ$7:DJ$106,$AH80),1),IF($AI80&gt;0,INDEX(DJ$7:DJ$106,$AI80),1),IF($AJ80&gt;0,INDEX(DJ$7:DJ$106,$AJ80),1))))</ns0:f>
        <ns0:v>1</ns0:v>
      </ns0:c>
      <ns0:c r="DL80" t="n">
        <ns0:f>IF($A80="",1,IF(DK80=1,1,--AND(IF($AC80&gt;0,INDEX(DK$7:DK$106,$AC80),1),IF($AD80&gt;0,INDEX(DK$7:DK$106,$AD80),1),IF($AE80&gt;0,INDEX(DK$7:DK$106,$AE80),1),IF($AF80&gt;0,INDEX(DK$7:DK$106,$AF80),1),IF($AG80&gt;0,INDEX(DK$7:DK$106,$AG80),1),IF($AH80&gt;0,INDEX(DK$7:DK$106,$AH80),1),IF($AI80&gt;0,INDEX(DK$7:DK$106,$AI80),1),IF($AJ80&gt;0,INDEX(DK$7:DK$106,$AJ80),1))))</ns0:f>
        <ns0:v>1</ns0:v>
      </ns0:c>
      <ns0:c r="DM80" t="n">
        <ns0:f>IF($A80="",1,IF(DL80=1,1,--AND(IF($AC80&gt;0,INDEX(DL$7:DL$106,$AC80),1),IF($AD80&gt;0,INDEX(DL$7:DL$106,$AD80),1),IF($AE80&gt;0,INDEX(DL$7:DL$106,$AE80),1),IF($AF80&gt;0,INDEX(DL$7:DL$106,$AF80),1),IF($AG80&gt;0,INDEX(DL$7:DL$106,$AG80),1),IF($AH80&gt;0,INDEX(DL$7:DL$106,$AH80),1),IF($AI80&gt;0,INDEX(DL$7:DL$106,$AI80),1),IF($AJ80&gt;0,INDEX(DL$7:DL$106,$AJ80),1))))</ns0:f>
        <ns0:v>1</ns0:v>
      </ns0:c>
      <ns0:c r="DN80" t="n">
        <ns0:f>IF($A80="",1,IF(DM80=1,1,--AND(IF($AC80&gt;0,INDEX(DM$7:DM$106,$AC80),1),IF($AD80&gt;0,INDEX(DM$7:DM$106,$AD80),1),IF($AE80&gt;0,INDEX(DM$7:DM$106,$AE80),1),IF($AF80&gt;0,INDEX(DM$7:DM$106,$AF80),1),IF($AG80&gt;0,INDEX(DM$7:DM$106,$AG80),1),IF($AH80&gt;0,INDEX(DM$7:DM$106,$AH80),1),IF($AI80&gt;0,INDEX(DM$7:DM$106,$AI80),1),IF($AJ80&gt;0,INDEX(DM$7:DM$106,$AJ80),1))))</ns0:f>
        <ns0:v>1</ns0:v>
      </ns0:c>
      <ns0:c r="DO80" t="n">
        <ns0:f>IF($A80="",1,IF(DN80=1,1,--AND(IF($AC80&gt;0,INDEX(DN$7:DN$106,$AC80),1),IF($AD80&gt;0,INDEX(DN$7:DN$106,$AD80),1),IF($AE80&gt;0,INDEX(DN$7:DN$106,$AE80),1),IF($AF80&gt;0,INDEX(DN$7:DN$106,$AF80),1),IF($AG80&gt;0,INDEX(DN$7:DN$106,$AG80),1),IF($AH80&gt;0,INDEX(DN$7:DN$106,$AH80),1),IF($AI80&gt;0,INDEX(DN$7:DN$106,$AI80),1),IF($AJ80&gt;0,INDEX(DN$7:DN$106,$AJ80),1))))</ns0:f>
        <ns0:v>1</ns0:v>
      </ns0:c>
      <ns0:c r="DP80" t="n">
        <ns0:f>IF($A80="",1,IF(DO80=1,1,--AND(IF($AC80&gt;0,INDEX(DO$7:DO$106,$AC80),1),IF($AD80&gt;0,INDEX(DO$7:DO$106,$AD80),1),IF($AE80&gt;0,INDEX(DO$7:DO$106,$AE80),1),IF($AF80&gt;0,INDEX(DO$7:DO$106,$AF80),1),IF($AG80&gt;0,INDEX(DO$7:DO$106,$AG80),1),IF($AH80&gt;0,INDEX(DO$7:DO$106,$AH80),1),IF($AI80&gt;0,INDEX(DO$7:DO$106,$AI80),1),IF($AJ80&gt;0,INDEX(DO$7:DO$106,$AJ80),1))))</ns0:f>
        <ns0:v>1</ns0:v>
      </ns0:c>
      <ns0:c r="DQ80" t="n">
        <ns0:f>IF($A80="",1,IF(DP80=1,1,--AND(IF($AC80&gt;0,INDEX(DP$7:DP$106,$AC80),1),IF($AD80&gt;0,INDEX(DP$7:DP$106,$AD80),1),IF($AE80&gt;0,INDEX(DP$7:DP$106,$AE80),1),IF($AF80&gt;0,INDEX(DP$7:DP$106,$AF80),1),IF($AG80&gt;0,INDEX(DP$7:DP$106,$AG80),1),IF($AH80&gt;0,INDEX(DP$7:DP$106,$AH80),1),IF($AI80&gt;0,INDEX(DP$7:DP$106,$AI80),1),IF($AJ80&gt;0,INDEX(DP$7:DP$106,$AJ80),1))))</ns0:f>
        <ns0:v>1</ns0:v>
      </ns0:c>
      <ns0:c r="DR80" t="n">
        <ns0:f>IF($A80="",1,IF(DQ80=1,1,--AND(IF($AC80&gt;0,INDEX(DQ$7:DQ$106,$AC80),1),IF($AD80&gt;0,INDEX(DQ$7:DQ$106,$AD80),1),IF($AE80&gt;0,INDEX(DQ$7:DQ$106,$AE80),1),IF($AF80&gt;0,INDEX(DQ$7:DQ$106,$AF80),1),IF($AG80&gt;0,INDEX(DQ$7:DQ$106,$AG80),1),IF($AH80&gt;0,INDEX(DQ$7:DQ$106,$AH80),1),IF($AI80&gt;0,INDEX(DQ$7:DQ$106,$AI80),1),IF($AJ80&gt;0,INDEX(DQ$7:DQ$106,$AJ80),1))))</ns0:f>
        <ns0:v>1</ns0:v>
      </ns0:c>
      <ns0:c r="DS80" t="n">
        <ns0:f>IF($A80="",1,IF(DR80=1,1,--AND(IF($AC80&gt;0,INDEX(DR$7:DR$106,$AC80),1),IF($AD80&gt;0,INDEX(DR$7:DR$106,$AD80),1),IF($AE80&gt;0,INDEX(DR$7:DR$106,$AE80),1),IF($AF80&gt;0,INDEX(DR$7:DR$106,$AF80),1),IF($AG80&gt;0,INDEX(DR$7:DR$106,$AG80),1),IF($AH80&gt;0,INDEX(DR$7:DR$106,$AH80),1),IF($AI80&gt;0,INDEX(DR$7:DR$106,$AI80),1),IF($AJ80&gt;0,INDEX(DR$7:DR$106,$AJ80),1))))</ns0:f>
        <ns0:v>1</ns0:v>
      </ns0:c>
      <ns0:c r="DT80" t="n">
        <ns0:f>IF($A80="",1,IF(DS80=1,1,--AND(IF($AC80&gt;0,INDEX(DS$7:DS$106,$AC80),1),IF($AD80&gt;0,INDEX(DS$7:DS$106,$AD80),1),IF($AE80&gt;0,INDEX(DS$7:DS$106,$AE80),1),IF($AF80&gt;0,INDEX(DS$7:DS$106,$AF80),1),IF($AG80&gt;0,INDEX(DS$7:DS$106,$AG80),1),IF($AH80&gt;0,INDEX(DS$7:DS$106,$AH80),1),IF($AI80&gt;0,INDEX(DS$7:DS$106,$AI80),1),IF($AJ80&gt;0,INDEX(DS$7:DS$106,$AJ80),1))))</ns0:f>
        <ns0:v>1</ns0:v>
      </ns0:c>
      <ns0:c r="DU80" t="n">
        <ns0:f>IF($A80="",1,IF(DT80=1,1,--AND(IF($AC80&gt;0,INDEX(DT$7:DT$106,$AC80),1),IF($AD80&gt;0,INDEX(DT$7:DT$106,$AD80),1),IF($AE80&gt;0,INDEX(DT$7:DT$106,$AE80),1),IF($AF80&gt;0,INDEX(DT$7:DT$106,$AF80),1),IF($AG80&gt;0,INDEX(DT$7:DT$106,$AG80),1),IF($AH80&gt;0,INDEX(DT$7:DT$106,$AH80),1),IF($AI80&gt;0,INDEX(DT$7:DT$106,$AI80),1),IF($AJ80&gt;0,INDEX(DT$7:DT$106,$AJ80),1))))</ns0:f>
        <ns0:v>1</ns0:v>
      </ns0:c>
      <ns0:c r="DV80" t="n">
        <ns0:f>IF($A80="",1,IF(DU80=1,1,--AND(IF($AC80&gt;0,INDEX(DU$7:DU$106,$AC80),1),IF($AD80&gt;0,INDEX(DU$7:DU$106,$AD80),1),IF($AE80&gt;0,INDEX(DU$7:DU$106,$AE80),1),IF($AF80&gt;0,INDEX(DU$7:DU$106,$AF80),1),IF($AG80&gt;0,INDEX(DU$7:DU$106,$AG80),1),IF($AH80&gt;0,INDEX(DU$7:DU$106,$AH80),1),IF($AI80&gt;0,INDEX(DU$7:DU$106,$AI80),1),IF($AJ80&gt;0,INDEX(DU$7:DU$106,$AJ80),1))))</ns0:f>
        <ns0:v>1</ns0:v>
      </ns0:c>
      <ns0:c r="DW80" t="n">
        <ns0:f>IF($A80="",1,IF(DV80=1,1,--AND(IF($AC80&gt;0,INDEX(DV$7:DV$106,$AC80),1),IF($AD80&gt;0,INDEX(DV$7:DV$106,$AD80),1),IF($AE80&gt;0,INDEX(DV$7:DV$106,$AE80),1),IF($AF80&gt;0,INDEX(DV$7:DV$106,$AF80),1),IF($AG80&gt;0,INDEX(DV$7:DV$106,$AG80),1),IF($AH80&gt;0,INDEX(DV$7:DV$106,$AH80),1),IF($AI80&gt;0,INDEX(DV$7:DV$106,$AI80),1),IF($AJ80&gt;0,INDEX(DV$7:DV$106,$AJ80),1))))</ns0:f>
        <ns0:v>1</ns0:v>
      </ns0:c>
      <ns0:c r="DX80" t="n">
        <ns0:f>IF($A80="",1,IF(DW80=1,1,--AND(IF($AC80&gt;0,INDEX(DW$7:DW$106,$AC80),1),IF($AD80&gt;0,INDEX(DW$7:DW$106,$AD80),1),IF($AE80&gt;0,INDEX(DW$7:DW$106,$AE80),1),IF($AF80&gt;0,INDEX(DW$7:DW$106,$AF80),1),IF($AG80&gt;0,INDEX(DW$7:DW$106,$AG80),1),IF($AH80&gt;0,INDEX(DW$7:DW$106,$AH80),1),IF($AI80&gt;0,INDEX(DW$7:DW$106,$AI80),1),IF($AJ80&gt;0,INDEX(DW$7:DW$106,$AJ80),1))))</ns0:f>
        <ns0:v>1</ns0:v>
      </ns0:c>
      <ns0:c r="DY80" t="n">
        <ns0:f>IF($A80="",1,IF(DX80=1,1,--AND(IF($AC80&gt;0,INDEX(DX$7:DX$106,$AC80),1),IF($AD80&gt;0,INDEX(DX$7:DX$106,$AD80),1),IF($AE80&gt;0,INDEX(DX$7:DX$106,$AE80),1),IF($AF80&gt;0,INDEX(DX$7:DX$106,$AF80),1),IF($AG80&gt;0,INDEX(DX$7:DX$106,$AG80),1),IF($AH80&gt;0,INDEX(DX$7:DX$106,$AH80),1),IF($AI80&gt;0,INDEX(DX$7:DX$106,$AI80),1),IF($AJ80&gt;0,INDEX(DX$7:DX$106,$AJ80),1))))</ns0:f>
        <ns0:v>1</ns0:v>
      </ns0:c>
      <ns0:c r="DZ80" t="n">
        <ns0:f>IF($A80="",1,IF(DY80=1,1,--AND(IF($AC80&gt;0,INDEX(DY$7:DY$106,$AC80),1),IF($AD80&gt;0,INDEX(DY$7:DY$106,$AD80),1),IF($AE80&gt;0,INDEX(DY$7:DY$106,$AE80),1),IF($AF80&gt;0,INDEX(DY$7:DY$106,$AF80),1),IF($AG80&gt;0,INDEX(DY$7:DY$106,$AG80),1),IF($AH80&gt;0,INDEX(DY$7:DY$106,$AH80),1),IF($AI80&gt;0,INDEX(DY$7:DY$106,$AI80),1),IF($AJ80&gt;0,INDEX(DY$7:DY$106,$AJ80),1))))</ns0:f>
        <ns0:v>1</ns0:v>
      </ns0:c>
      <ns0:c r="EA80" t="n">
        <ns0:f>IF($A80="",1,IF(DZ80=1,1,--AND(IF($AC80&gt;0,INDEX(DZ$7:DZ$106,$AC80),1),IF($AD80&gt;0,INDEX(DZ$7:DZ$106,$AD80),1),IF($AE80&gt;0,INDEX(DZ$7:DZ$106,$AE80),1),IF($AF80&gt;0,INDEX(DZ$7:DZ$106,$AF80),1),IF($AG80&gt;0,INDEX(DZ$7:DZ$106,$AG80),1),IF($AH80&gt;0,INDEX(DZ$7:DZ$106,$AH80),1),IF($AI80&gt;0,INDEX(DZ$7:DZ$106,$AI80),1),IF($AJ80&gt;0,INDEX(DZ$7:DZ$106,$AJ80),1))))</ns0:f>
        <ns0:v>1</ns0:v>
      </ns0:c>
      <ns0:c r="EB80" t="n">
        <ns0:f>IF($A80="",1,IF(EA80=1,1,--AND(IF($AC80&gt;0,INDEX(EA$7:EA$106,$AC80),1),IF($AD80&gt;0,INDEX(EA$7:EA$106,$AD80),1),IF($AE80&gt;0,INDEX(EA$7:EA$106,$AE80),1),IF($AF80&gt;0,INDEX(EA$7:EA$106,$AF80),1),IF($AG80&gt;0,INDEX(EA$7:EA$106,$AG80),1),IF($AH80&gt;0,INDEX(EA$7:EA$106,$AH80),1),IF($AI80&gt;0,INDEX(EA$7:EA$106,$AI80),1),IF($AJ80&gt;0,INDEX(EA$7:EA$106,$AJ80),1))))</ns0:f>
        <ns0:v>1</ns0:v>
      </ns0:c>
      <ns0:c r="EC80" t="n">
        <ns0:f>IF($A80="",1,IF(EB80=1,1,--AND(IF($AC80&gt;0,INDEX(EB$7:EB$106,$AC80),1),IF($AD80&gt;0,INDEX(EB$7:EB$106,$AD80),1),IF($AE80&gt;0,INDEX(EB$7:EB$106,$AE80),1),IF($AF80&gt;0,INDEX(EB$7:EB$106,$AF80),1),IF($AG80&gt;0,INDEX(EB$7:EB$106,$AG80),1),IF($AH80&gt;0,INDEX(EB$7:EB$106,$AH80),1),IF($AI80&gt;0,INDEX(EB$7:EB$106,$AI80),1),IF($AJ80&gt;0,INDEX(EB$7:EB$106,$AJ80),1))))</ns0:f>
        <ns0:v>1</ns0:v>
      </ns0:c>
      <ns0:c r="ED80" t="n">
        <ns0:f>IF($A80="",1,IF(EC80=1,1,--AND(IF($AC80&gt;0,INDEX(EC$7:EC$106,$AC80),1),IF($AD80&gt;0,INDEX(EC$7:EC$106,$AD80),1),IF($AE80&gt;0,INDEX(EC$7:EC$106,$AE80),1),IF($AF80&gt;0,INDEX(EC$7:EC$106,$AF80),1),IF($AG80&gt;0,INDEX(EC$7:EC$106,$AG80),1),IF($AH80&gt;0,INDEX(EC$7:EC$106,$AH80),1),IF($AI80&gt;0,INDEX(EC$7:EC$106,$AI80),1),IF($AJ80&gt;0,INDEX(EC$7:EC$106,$AJ80),1))))</ns0:f>
        <ns0:v>1</ns0:v>
      </ns0:c>
      <ns0:c r="EE80" t="n">
        <ns0:f>IF($A80="",1,IF(ED80=1,1,--AND(IF($AC80&gt;0,INDEX(ED$7:ED$106,$AC80),1),IF($AD80&gt;0,INDEX(ED$7:ED$106,$AD80),1),IF($AE80&gt;0,INDEX(ED$7:ED$106,$AE80),1),IF($AF80&gt;0,INDEX(ED$7:ED$106,$AF80),1),IF($AG80&gt;0,INDEX(ED$7:ED$106,$AG80),1),IF($AH80&gt;0,INDEX(ED$7:ED$106,$AH80),1),IF($AI80&gt;0,INDEX(ED$7:ED$106,$AI80),1),IF($AJ80&gt;0,INDEX(ED$7:ED$106,$AJ80),1))))</ns0:f>
        <ns0:v>1</ns0:v>
      </ns0:c>
      <ns0:c r="EF80" t="n">
        <ns0:f>IF($A80="",1,IF(EE80=1,1,--AND(IF($AC80&gt;0,INDEX(EE$7:EE$106,$AC80),1),IF($AD80&gt;0,INDEX(EE$7:EE$106,$AD80),1),IF($AE80&gt;0,INDEX(EE$7:EE$106,$AE80),1),IF($AF80&gt;0,INDEX(EE$7:EE$106,$AF80),1),IF($AG80&gt;0,INDEX(EE$7:EE$106,$AG80),1),IF($AH80&gt;0,INDEX(EE$7:EE$106,$AH80),1),IF($AI80&gt;0,INDEX(EE$7:EE$106,$AI80),1),IF($AJ80&gt;0,INDEX(EE$7:EE$106,$AJ80),1))))</ns0:f>
        <ns0:v>1</ns0:v>
      </ns0:c>
      <ns0:c r="EG80" t="n">
        <ns0:f>IF($A80="",1,IF(EF80=1,1,--AND(IF($AC80&gt;0,INDEX(EF$7:EF$106,$AC80),1),IF($AD80&gt;0,INDEX(EF$7:EF$106,$AD80),1),IF($AE80&gt;0,INDEX(EF$7:EF$106,$AE80),1),IF($AF80&gt;0,INDEX(EF$7:EF$106,$AF80),1),IF($AG80&gt;0,INDEX(EF$7:EF$106,$AG80),1),IF($AH80&gt;0,INDEX(EF$7:EF$106,$AH80),1),IF($AI80&gt;0,INDEX(EF$7:EF$106,$AI80),1),IF($AJ80&gt;0,INDEX(EF$7:EF$106,$AJ80),1))))</ns0:f>
        <ns0:v>1</ns0:v>
      </ns0:c>
      <ns0:c r="EH80" t="n">
        <ns0:f>IF($A80="",1,IF(EG80=1,1,--AND(IF($AC80&gt;0,INDEX(EG$7:EG$106,$AC80),1),IF($AD80&gt;0,INDEX(EG$7:EG$106,$AD80),1),IF($AE80&gt;0,INDEX(EG$7:EG$106,$AE80),1),IF($AF80&gt;0,INDEX(EG$7:EG$106,$AF80),1),IF($AG80&gt;0,INDEX(EG$7:EG$106,$AG80),1),IF($AH80&gt;0,INDEX(EG$7:EG$106,$AH80),1),IF($AI80&gt;0,INDEX(EG$7:EG$106,$AI80),1),IF($AJ80&gt;0,INDEX(EG$7:EG$106,$AJ80),1))))</ns0:f>
        <ns0:v>1</ns0:v>
      </ns0:c>
      <ns0:c r="EI80" t="n">
        <ns0:f>IF($A80="",1,IF(EH80=1,1,--AND(IF($AC80&gt;0,INDEX(EH$7:EH$106,$AC80),1),IF($AD80&gt;0,INDEX(EH$7:EH$106,$AD80),1),IF($AE80&gt;0,INDEX(EH$7:EH$106,$AE80),1),IF($AF80&gt;0,INDEX(EH$7:EH$106,$AF80),1),IF($AG80&gt;0,INDEX(EH$7:EH$106,$AG80),1),IF($AH80&gt;0,INDEX(EH$7:EH$106,$AH80),1),IF($AI80&gt;0,INDEX(EH$7:EH$106,$AI80),1),IF($AJ80&gt;0,INDEX(EH$7:EH$106,$AJ80),1))))</ns0:f>
        <ns0:v>1</ns0:v>
      </ns0:c>
      <ns0:c r="EJ80" t="n">
        <ns0:f>IF($A80="",1,IF(EI80=1,1,--AND(IF($AC80&gt;0,INDEX(EI$7:EI$106,$AC80),1),IF($AD80&gt;0,INDEX(EI$7:EI$106,$AD80),1),IF($AE80&gt;0,INDEX(EI$7:EI$106,$AE80),1),IF($AF80&gt;0,INDEX(EI$7:EI$106,$AF80),1),IF($AG80&gt;0,INDEX(EI$7:EI$106,$AG80),1),IF($AH80&gt;0,INDEX(EI$7:EI$106,$AH80),1),IF($AI80&gt;0,INDEX(EI$7:EI$106,$AI80),1),IF($AJ80&gt;0,INDEX(EI$7:EI$106,$AJ80),1))))</ns0:f>
        <ns0:v>1</ns0:v>
      </ns0:c>
      <ns0:c r="EK80" t="n">
        <ns0:f>IF($A80="",1,IF(EJ80=1,1,--AND(IF($AC80&gt;0,INDEX(EJ$7:EJ$106,$AC80),1),IF($AD80&gt;0,INDEX(EJ$7:EJ$106,$AD80),1),IF($AE80&gt;0,INDEX(EJ$7:EJ$106,$AE80),1),IF($AF80&gt;0,INDEX(EJ$7:EJ$106,$AF80),1),IF($AG80&gt;0,INDEX(EJ$7:EJ$106,$AG80),1),IF($AH80&gt;0,INDEX(EJ$7:EJ$106,$AH80),1),IF($AI80&gt;0,INDEX(EJ$7:EJ$106,$AI80),1),IF($AJ80&gt;0,INDEX(EJ$7:EJ$106,$AJ80),1))))</ns0:f>
        <ns0:v>1</ns0:v>
      </ns0:c>
      <ns0:c r="EL80" t="n">
        <ns0:f>IF($A80="",1,IF(EK80=1,1,--AND(IF($AC80&gt;0,INDEX(EK$7:EK$106,$AC80),1),IF($AD80&gt;0,INDEX(EK$7:EK$106,$AD80),1),IF($AE80&gt;0,INDEX(EK$7:EK$106,$AE80),1),IF($AF80&gt;0,INDEX(EK$7:EK$106,$AF80),1),IF($AG80&gt;0,INDEX(EK$7:EK$106,$AG80),1),IF($AH80&gt;0,INDEX(EK$7:EK$106,$AH80),1),IF($AI80&gt;0,INDEX(EK$7:EK$106,$AI80),1),IF($AJ80&gt;0,INDEX(EK$7:EK$106,$AJ80),1))))</ns0:f>
        <ns0:v>1</ns0:v>
      </ns0:c>
      <ns0:c r="EM80" t="n">
        <ns0:f>IF($A80="",1,IF(EL80=1,1,--AND(IF($AC80&gt;0,INDEX(EL$7:EL$106,$AC80),1),IF($AD80&gt;0,INDEX(EL$7:EL$106,$AD80),1),IF($AE80&gt;0,INDEX(EL$7:EL$106,$AE80),1),IF($AF80&gt;0,INDEX(EL$7:EL$106,$AF80),1),IF($AG80&gt;0,INDEX(EL$7:EL$106,$AG80),1),IF($AH80&gt;0,INDEX(EL$7:EL$106,$AH80),1),IF($AI80&gt;0,INDEX(EL$7:EL$106,$AI80),1),IF($AJ80&gt;0,INDEX(EL$7:EL$106,$AJ80),1))))</ns0:f>
        <ns0:v>1</ns0:v>
      </ns0:c>
      <ns0:c r="EN80" t="n">
        <ns0:f>IF($A80="",1,IF(EM80=1,1,--AND(IF($AC80&gt;0,INDEX(EM$7:EM$106,$AC80),1),IF($AD80&gt;0,INDEX(EM$7:EM$106,$AD80),1),IF($AE80&gt;0,INDEX(EM$7:EM$106,$AE80),1),IF($AF80&gt;0,INDEX(EM$7:EM$106,$AF80),1),IF($AG80&gt;0,INDEX(EM$7:EM$106,$AG80),1),IF($AH80&gt;0,INDEX(EM$7:EM$106,$AH80),1),IF($AI80&gt;0,INDEX(EM$7:EM$106,$AI80),1),IF($AJ80&gt;0,INDEX(EM$7:EM$106,$AJ80),1))))</ns0:f>
        <ns0:v>1</ns0:v>
      </ns0:c>
      <ns0:c r="EO80" t="n">
        <ns0:f>IF($A80="",1,IF(EN80=1,1,--AND(IF($AC80&gt;0,INDEX(EN$7:EN$106,$AC80),1),IF($AD80&gt;0,INDEX(EN$7:EN$106,$AD80),1),IF($AE80&gt;0,INDEX(EN$7:EN$106,$AE80),1),IF($AF80&gt;0,INDEX(EN$7:EN$106,$AF80),1),IF($AG80&gt;0,INDEX(EN$7:EN$106,$AG80),1),IF($AH80&gt;0,INDEX(EN$7:EN$106,$AH80),1),IF($AI80&gt;0,INDEX(EN$7:EN$106,$AI80),1),IF($AJ80&gt;0,INDEX(EN$7:EN$106,$AJ80),1))))</ns0:f>
        <ns0:v>1</ns0:v>
      </ns0:c>
      <ns0:c r="EP80" t="n">
        <ns0:f>IF($A80="",1,IF(EO80=1,1,--AND(IF($AC80&gt;0,INDEX(EO$7:EO$106,$AC80),1),IF($AD80&gt;0,INDEX(EO$7:EO$106,$AD80),1),IF($AE80&gt;0,INDEX(EO$7:EO$106,$AE80),1),IF($AF80&gt;0,INDEX(EO$7:EO$106,$AF80),1),IF($AG80&gt;0,INDEX(EO$7:EO$106,$AG80),1),IF($AH80&gt;0,INDEX(EO$7:EO$106,$AH80),1),IF($AI80&gt;0,INDEX(EO$7:EO$106,$AI80),1),IF($AJ80&gt;0,INDEX(EO$7:EO$106,$AJ80),1))))</ns0:f>
        <ns0:v>1</ns0:v>
      </ns0:c>
      <ns0:c r="EQ80" t="n">
        <ns0:f>IF(OR(A80="",NOT(ISNUMBER(G80))),0,G80*N80)</ns0:f>
        <ns0:v>0</ns0:v>
      </ns0:c>
    </ns0:row>
    <ns0:row r="81" ht="62" customHeight="1">
      <ns0:c r="A81" s="48"/>
      <ns0:c r="B81" s="48"/>
      <ns0:c r="C81" s="48"/>
      <ns0:c r="D81" s="48"/>
      <ns0:c r="E81" s="49"/>
      <ns0:c r="F81" s="49"/>
      <ns0:c r="G81" s="13" t="str">
        <ns0:f>IF(A81="","",IF(OR(NOT(ISNUMBER(E81)),NOT(ISNUMBER(F81)),F81&lt;E81),"",IF(J81="Yes",0,F81-E81+1)))</ns0:f>
      </ns0:c>
      <ns0:c r="H81" s="48"/>
      <ns0:c r="I81" s="48"/>
      <ns0:c r="J81" s="48"/>
      <ns0:c r="K81" s="48"/>
      <ns0:c r="L81" s="48"/>
      <ns0:c r="M81" s="50" t="str">
        <ns0:f>IF(A81="","",IF(N81=1,"Completed",IF(N81&gt;0,"In Progress","Not Started")))</ns0:f>
      </ns0:c>
      <ns0:c r="N81" s="51"/>
      <ns0:c r="O81" s="13" t="str">
        <ns0:f>IF(A81="","",IF(R81&lt;&gt;"","[CONFLICT] "&amp;R81,IF(S81&lt;&gt;"","[CONFLICT] "&amp;S81,IF(OR(NOT(ISNUMBER(N81)),N81&lt;0,N81&gt;1),"[CONFLICT] Invalid progress",IF(AK81&gt;0,"[DEPENDENCY ISSUE] Missing ID / &gt;8 links",IF(AM81&gt;0,"[DEPENDENCY ISSUE] Cycle or blocked by cycle",IF(AND(H81&lt;&gt;"",ISNA(MATCH(I81,{"FS","SS","FF","SF"},0))),"[DEPENDENCY ISSUE] Invalid type",IF(AL81&gt;0,"[DEPENDENCY ISSUE] Timing conflict",IF(OR(E81&lt;ProjectStart,F81&gt;ProjectEnd),"[OUTSIDE WINDOW]",IF(AND(N81&lt;1,F81&lt;AsOfDate),"Overdue",IF(AND(M81&lt;&gt;Q81,M81&lt;&gt;""),"[CONFLICT] Status / progress","On track")))))))))))</ns0:f>
      </ns0:c>
      <ns0:c r="P81" s="52"/>
      <ns0:c r="Q81" t="str">
        <ns0:f>IF(A81="","",IF(OR(M81="On Hold",M81="Delayed"),M81,IF(N81=1,"Completed",IF(N81&gt;0,"In Progress","Not Started"))))</ns0:f>
      </ns0:c>
      <ns0:c r="R81" t="str">
        <ns0:f>IF(A81="","",IF(COUNTIFS(Tasks[Task ID],A81)&lt;&gt;1,"Duplicate ID",""))</ns0:f>
      </ns0:c>
      <ns0:c r="S81" t="str">
        <ns0:f>IF(A81="","",IF(OR(NOT(ISNUMBER(E81)),NOT(ISNUMBER(F81))),"Invalid / missing date",IF(OR(E81&lt;&gt;INT(E81),F81&lt;&gt;INT(F81),E81&lt;1,F81&gt;2958465),"Invalid date",IF(F81&lt;E81,"End before start",IF(AND(J81="Yes",E81&lt;&gt;F81),"Milestone needs one date","")))))</ns0:f>
      </ns0:c>
      <ns0:c r="T81" t="n">
        <ns0:f>IF(H81="",0,LEN(H81)-LEN(SUBSTITUTE(H81,",",""))+1)</ns0:f>
        <ns0:v>0</ns0:v>
      </ns0:c>
      <ns0:c r="U81" t="str">
        <ns0:f>TRIM(MID(SUBSTITUTE($H81,",",REPT(" ",100)),1,100))</ns0:f>
      </ns0:c>
      <ns0:c r="V81" t="str">
        <ns0:f>TRIM(MID(SUBSTITUTE($H81,",",REPT(" ",100)),101,100))</ns0:f>
      </ns0:c>
      <ns0:c r="W81" t="str">
        <ns0:f>TRIM(MID(SUBSTITUTE($H81,",",REPT(" ",100)),201,100))</ns0:f>
      </ns0:c>
      <ns0:c r="X81" t="str">
        <ns0:f>TRIM(MID(SUBSTITUTE($H81,",",REPT(" ",100)),301,100))</ns0:f>
      </ns0:c>
      <ns0:c r="Y81" t="str">
        <ns0:f>TRIM(MID(SUBSTITUTE($H81,",",REPT(" ",100)),401,100))</ns0:f>
      </ns0:c>
      <ns0:c r="Z81" t="str">
        <ns0:f>TRIM(MID(SUBSTITUTE($H81,",",REPT(" ",100)),501,100))</ns0:f>
      </ns0:c>
      <ns0:c r="AA81" t="str">
        <ns0:f>TRIM(MID(SUBSTITUTE($H81,",",REPT(" ",100)),601,100))</ns0:f>
      </ns0:c>
      <ns0:c r="AB81" t="str">
        <ns0:f>TRIM(MID(SUBSTITUTE($H81,",",REPT(" ",100)),701,100))</ns0:f>
      </ns0:c>
      <ns0:c r="AC81" t="n">
        <ns0:f>IF(U81="",0,IF(COUNTIFS(Tasks[Task ID],U81)=1,MATCH(U81,Tasks[Task ID],0),-1))</ns0:f>
        <ns0:v>0</ns0:v>
      </ns0:c>
      <ns0:c r="AD81" t="n">
        <ns0:f>IF(V81="",0,IF(COUNTIFS(Tasks[Task ID],V81)=1,MATCH(V81,Tasks[Task ID],0),-1))</ns0:f>
        <ns0:v>0</ns0:v>
      </ns0:c>
      <ns0:c r="AE81" t="n">
        <ns0:f>IF(W81="",0,IF(COUNTIFS(Tasks[Task ID],W81)=1,MATCH(W81,Tasks[Task ID],0),-1))</ns0:f>
        <ns0:v>0</ns0:v>
      </ns0:c>
      <ns0:c r="AF81" t="n">
        <ns0:f>IF(X81="",0,IF(COUNTIFS(Tasks[Task ID],X81)=1,MATCH(X81,Tasks[Task ID],0),-1))</ns0:f>
        <ns0:v>0</ns0:v>
      </ns0:c>
      <ns0:c r="AG81" t="n">
        <ns0:f>IF(Y81="",0,IF(COUNTIFS(Tasks[Task ID],Y81)=1,MATCH(Y81,Tasks[Task ID],0),-1))</ns0:f>
        <ns0:v>0</ns0:v>
      </ns0:c>
      <ns0:c r="AH81" t="n">
        <ns0:f>IF(Z81="",0,IF(COUNTIFS(Tasks[Task ID],Z81)=1,MATCH(Z81,Tasks[Task ID],0),-1))</ns0:f>
        <ns0:v>0</ns0:v>
      </ns0:c>
      <ns0:c r="AI81" t="n">
        <ns0:f>IF(AA81="",0,IF(COUNTIFS(Tasks[Task ID],AA81)=1,MATCH(AA81,Tasks[Task ID],0),-1))</ns0:f>
        <ns0:v>0</ns0:v>
      </ns0:c>
      <ns0:c r="AJ81" t="n">
        <ns0:f>IF(AB81="",0,IF(COUNTIFS(Tasks[Task ID],AB81)=1,MATCH(AB81,Tasks[Task ID],0),-1))</ns0:f>
        <ns0:v>0</ns0:v>
      </ns0:c>
      <ns0:c r="AK81" t="n">
        <ns0:f>COUNTIFS(AC81:AJ81,-1)+IF(T81&gt;8,1,0)</ns0:f>
        <ns0:v>0</ns0:v>
      </ns0:c>
      <ns0:c r="AL81" t="n">
        <ns0:f>IF(OR(A81="",S81&lt;&gt;""),0,SUM(IF(AC81&gt;0,IF($I81="FS",--($E81&lt;INDEX(Tasks[End Date],AC81)+IF(INDEX(Tasks[Milestone],AC81)="Yes",0,1)),IF($I81="SS",--($E81&lt;INDEX(Tasks[Start Date],AC81)),IF($I81="FF",--($F81&lt;INDEX(Tasks[End Date],AC81)),IF($I81="SF",--($F81&lt;INDEX(Tasks[Start Date],AC81)),0)))),0),IF(AD81&gt;0,IF($I81="FS",--($E81&lt;INDEX(Tasks[End Date],AD81)+IF(INDEX(Tasks[Milestone],AD81)="Yes",0,1)),IF($I81="SS",--($E81&lt;INDEX(Tasks[Start Date],AD81)),IF($I81="FF",--($F81&lt;INDEX(Tasks[End Date],AD81)),IF($I81="SF",--($F81&lt;INDEX(Tasks[Start Date],AD81)),0)))),0),IF(AE81&gt;0,IF($I81="FS",--($E81&lt;INDEX(Tasks[End Date],AE81)+IF(INDEX(Tasks[Milestone],AE81)="Yes",0,1)),IF($I81="SS",--($E81&lt;INDEX(Tasks[Start Date],AE81)),IF($I81="FF",--($F81&lt;INDEX(Tasks[End Date],AE81)),IF($I81="SF",--($F81&lt;INDEX(Tasks[Start Date],AE81)),0)))),0),IF(AF81&gt;0,IF($I81="FS",--($E81&lt;INDEX(Tasks[End Date],AF81)+IF(INDEX(Tasks[Milestone],AF81)="Yes",0,1)),IF($I81="SS",--($E81&lt;INDEX(Tasks[Start Date],AF81)),IF($I81="FF",--($F81&lt;INDEX(Tasks[End Date],AF81)),IF($I81="SF",--($F81&lt;INDEX(Tasks[Start Date],AF81)),0)))),0),IF(AG81&gt;0,IF($I81="FS",--($E81&lt;INDEX(Tasks[End Date],AG81)+IF(INDEX(Tasks[Milestone],AG81)="Yes",0,1)),IF($I81="SS",--($E81&lt;INDEX(Tasks[Start Date],AG81)),IF($I81="FF",--($F81&lt;INDEX(Tasks[End Date],AG81)),IF($I81="SF",--($F81&lt;INDEX(Tasks[Start Date],AG81)),0)))),0),IF(AH81&gt;0,IF($I81="FS",--($E81&lt;INDEX(Tasks[End Date],AH81)+IF(INDEX(Tasks[Milestone],AH81)="Yes",0,1)),IF($I81="SS",--($E81&lt;INDEX(Tasks[Start Date],AH81)),IF($I81="FF",--($F81&lt;INDEX(Tasks[End Date],AH81)),IF($I81="SF",--($F81&lt;INDEX(Tasks[Start Date],AH81)),0)))),0),IF(AI81&gt;0,IF($I81="FS",--($E81&lt;INDEX(Tasks[End Date],AI81)+IF(INDEX(Tasks[Milestone],AI81)="Yes",0,1)),IF($I81="SS",--($E81&lt;INDEX(Tasks[Start Date],AI81)),IF($I81="FF",--($F81&lt;INDEX(Tasks[End Date],AI81)),IF($I81="SF",--($F81&lt;INDEX(Tasks[Start Date],AI81)),0)))),0),IF(AJ81&gt;0,IF($I81="FS",--($E81&lt;INDEX(Tasks[End Date],AJ81)+IF(INDEX(Tasks[Milestone],AJ81)="Yes",0,1)),IF($I81="SS",--($E81&lt;INDEX(Tasks[Start Date],AJ81)),IF($I81="FF",--($F81&lt;INDEX(Tasks[End Date],AJ81)),IF($I81="SF",--($F81&lt;INDEX(Tasks[Start Date],AJ81)),0)))),0)))</ns0:f>
        <ns0:v>0</ns0:v>
      </ns0:c>
      <ns0:c r="AM81" t="n">
        <ns0:f>IF(AND(A81&lt;&gt;"",AK81=0,EP81=0),1,0)</ns0:f>
        <ns0:v>0</ns0:v>
      </ns0:c>
      <ns0:c r="AN81" t="str">
        <ns0:f>IF(OR(A81="",B81=""),"",IF(COUNTIFS($B$7:B81,B81)=1,MAX($AN$6:AN80)+1,""))</ns0:f>
      </ns0:c>
      <ns0:c r="AO81" t="n">
        <ns0:f>IF(AND(A81&lt;&gt;"",J81="No",N81&lt;1,E81&gt;=AsOfDate),E81+ROW()/10000,1E+9)</ns0:f>
        <ns0:v>1000000000</ns0:v>
      </ns0:c>
      <ns0:c r="AP81" t="n">
        <ns0:f>IF(AND(A81&lt;&gt;"",J81="Yes",N81&lt;1,E81&gt;=AsOfDate),E81+ROW()/10000,1E+9)</ns0:f>
        <ns0:v>1000000000</ns0:v>
      </ns0:c>
      <ns0:c r="AQ81" t="n">
        <ns0:f>IF(AND(A81&lt;&gt;"",J81="No",N81&lt;1,F81&gt;=AsOfDate,F81&lt;=AsOfDate+7),F81+ROW()/10000,1E+9)</ns0:f>
        <ns0:v>1000000000</ns0:v>
      </ns0:c>
      <ns0:c r="AR81" t="n">
        <ns0:f>IF(AND(A81&lt;&gt;"",OR(O81&lt;&gt;"On track",Q81="Delayed")),ROW(),1E+9)</ns0:f>
        <ns0:v>1000000000</ns0:v>
      </ns0:c>
      <ns0:c r="AS81" t="str">
        <ns0:f>IF(A81="","",";"&amp;K81&amp;";")</ns0:f>
      </ns0:c>
      <ns0:c r="AT81" t="n">
        <ns0:f>IF(A81="",1,--(T81=0))</ns0:f>
        <ns0:v>1</ns0:v>
      </ns0:c>
      <ns0:c r="AU81" t="n">
        <ns0:f>IF($A81="",1,IF(AT81=1,1,--AND(IF($AC81&gt;0,INDEX(AT$7:AT$106,$AC81),1),IF($AD81&gt;0,INDEX(AT$7:AT$106,$AD81),1),IF($AE81&gt;0,INDEX(AT$7:AT$106,$AE81),1),IF($AF81&gt;0,INDEX(AT$7:AT$106,$AF81),1),IF($AG81&gt;0,INDEX(AT$7:AT$106,$AG81),1),IF($AH81&gt;0,INDEX(AT$7:AT$106,$AH81),1),IF($AI81&gt;0,INDEX(AT$7:AT$106,$AI81),1),IF($AJ81&gt;0,INDEX(AT$7:AT$106,$AJ81),1))))</ns0:f>
        <ns0:v>1</ns0:v>
      </ns0:c>
      <ns0:c r="AV81" t="n">
        <ns0:f>IF($A81="",1,IF(AU81=1,1,--AND(IF($AC81&gt;0,INDEX(AU$7:AU$106,$AC81),1),IF($AD81&gt;0,INDEX(AU$7:AU$106,$AD81),1),IF($AE81&gt;0,INDEX(AU$7:AU$106,$AE81),1),IF($AF81&gt;0,INDEX(AU$7:AU$106,$AF81),1),IF($AG81&gt;0,INDEX(AU$7:AU$106,$AG81),1),IF($AH81&gt;0,INDEX(AU$7:AU$106,$AH81),1),IF($AI81&gt;0,INDEX(AU$7:AU$106,$AI81),1),IF($AJ81&gt;0,INDEX(AU$7:AU$106,$AJ81),1))))</ns0:f>
        <ns0:v>1</ns0:v>
      </ns0:c>
      <ns0:c r="AW81" t="n">
        <ns0:f>IF($A81="",1,IF(AV81=1,1,--AND(IF($AC81&gt;0,INDEX(AV$7:AV$106,$AC81),1),IF($AD81&gt;0,INDEX(AV$7:AV$106,$AD81),1),IF($AE81&gt;0,INDEX(AV$7:AV$106,$AE81),1),IF($AF81&gt;0,INDEX(AV$7:AV$106,$AF81),1),IF($AG81&gt;0,INDEX(AV$7:AV$106,$AG81),1),IF($AH81&gt;0,INDEX(AV$7:AV$106,$AH81),1),IF($AI81&gt;0,INDEX(AV$7:AV$106,$AI81),1),IF($AJ81&gt;0,INDEX(AV$7:AV$106,$AJ81),1))))</ns0:f>
        <ns0:v>1</ns0:v>
      </ns0:c>
      <ns0:c r="AX81" t="n">
        <ns0:f>IF($A81="",1,IF(AW81=1,1,--AND(IF($AC81&gt;0,INDEX(AW$7:AW$106,$AC81),1),IF($AD81&gt;0,INDEX(AW$7:AW$106,$AD81),1),IF($AE81&gt;0,INDEX(AW$7:AW$106,$AE81),1),IF($AF81&gt;0,INDEX(AW$7:AW$106,$AF81),1),IF($AG81&gt;0,INDEX(AW$7:AW$106,$AG81),1),IF($AH81&gt;0,INDEX(AW$7:AW$106,$AH81),1),IF($AI81&gt;0,INDEX(AW$7:AW$106,$AI81),1),IF($AJ81&gt;0,INDEX(AW$7:AW$106,$AJ81),1))))</ns0:f>
        <ns0:v>1</ns0:v>
      </ns0:c>
      <ns0:c r="AY81" t="n">
        <ns0:f>IF($A81="",1,IF(AX81=1,1,--AND(IF($AC81&gt;0,INDEX(AX$7:AX$106,$AC81),1),IF($AD81&gt;0,INDEX(AX$7:AX$106,$AD81),1),IF($AE81&gt;0,INDEX(AX$7:AX$106,$AE81),1),IF($AF81&gt;0,INDEX(AX$7:AX$106,$AF81),1),IF($AG81&gt;0,INDEX(AX$7:AX$106,$AG81),1),IF($AH81&gt;0,INDEX(AX$7:AX$106,$AH81),1),IF($AI81&gt;0,INDEX(AX$7:AX$106,$AI81),1),IF($AJ81&gt;0,INDEX(AX$7:AX$106,$AJ81),1))))</ns0:f>
        <ns0:v>1</ns0:v>
      </ns0:c>
      <ns0:c r="AZ81" t="n">
        <ns0:f>IF($A81="",1,IF(AY81=1,1,--AND(IF($AC81&gt;0,INDEX(AY$7:AY$106,$AC81),1),IF($AD81&gt;0,INDEX(AY$7:AY$106,$AD81),1),IF($AE81&gt;0,INDEX(AY$7:AY$106,$AE81),1),IF($AF81&gt;0,INDEX(AY$7:AY$106,$AF81),1),IF($AG81&gt;0,INDEX(AY$7:AY$106,$AG81),1),IF($AH81&gt;0,INDEX(AY$7:AY$106,$AH81),1),IF($AI81&gt;0,INDEX(AY$7:AY$106,$AI81),1),IF($AJ81&gt;0,INDEX(AY$7:AY$106,$AJ81),1))))</ns0:f>
        <ns0:v>1</ns0:v>
      </ns0:c>
      <ns0:c r="BA81" t="n">
        <ns0:f>IF($A81="",1,IF(AZ81=1,1,--AND(IF($AC81&gt;0,INDEX(AZ$7:AZ$106,$AC81),1),IF($AD81&gt;0,INDEX(AZ$7:AZ$106,$AD81),1),IF($AE81&gt;0,INDEX(AZ$7:AZ$106,$AE81),1),IF($AF81&gt;0,INDEX(AZ$7:AZ$106,$AF81),1),IF($AG81&gt;0,INDEX(AZ$7:AZ$106,$AG81),1),IF($AH81&gt;0,INDEX(AZ$7:AZ$106,$AH81),1),IF($AI81&gt;0,INDEX(AZ$7:AZ$106,$AI81),1),IF($AJ81&gt;0,INDEX(AZ$7:AZ$106,$AJ81),1))))</ns0:f>
        <ns0:v>1</ns0:v>
      </ns0:c>
      <ns0:c r="BB81" t="n">
        <ns0:f>IF($A81="",1,IF(BA81=1,1,--AND(IF($AC81&gt;0,INDEX(BA$7:BA$106,$AC81),1),IF($AD81&gt;0,INDEX(BA$7:BA$106,$AD81),1),IF($AE81&gt;0,INDEX(BA$7:BA$106,$AE81),1),IF($AF81&gt;0,INDEX(BA$7:BA$106,$AF81),1),IF($AG81&gt;0,INDEX(BA$7:BA$106,$AG81),1),IF($AH81&gt;0,INDEX(BA$7:BA$106,$AH81),1),IF($AI81&gt;0,INDEX(BA$7:BA$106,$AI81),1),IF($AJ81&gt;0,INDEX(BA$7:BA$106,$AJ81),1))))</ns0:f>
        <ns0:v>1</ns0:v>
      </ns0:c>
      <ns0:c r="BC81" t="n">
        <ns0:f>IF($A81="",1,IF(BB81=1,1,--AND(IF($AC81&gt;0,INDEX(BB$7:BB$106,$AC81),1),IF($AD81&gt;0,INDEX(BB$7:BB$106,$AD81),1),IF($AE81&gt;0,INDEX(BB$7:BB$106,$AE81),1),IF($AF81&gt;0,INDEX(BB$7:BB$106,$AF81),1),IF($AG81&gt;0,INDEX(BB$7:BB$106,$AG81),1),IF($AH81&gt;0,INDEX(BB$7:BB$106,$AH81),1),IF($AI81&gt;0,INDEX(BB$7:BB$106,$AI81),1),IF($AJ81&gt;0,INDEX(BB$7:BB$106,$AJ81),1))))</ns0:f>
        <ns0:v>1</ns0:v>
      </ns0:c>
      <ns0:c r="BD81" t="n">
        <ns0:f>IF($A81="",1,IF(BC81=1,1,--AND(IF($AC81&gt;0,INDEX(BC$7:BC$106,$AC81),1),IF($AD81&gt;0,INDEX(BC$7:BC$106,$AD81),1),IF($AE81&gt;0,INDEX(BC$7:BC$106,$AE81),1),IF($AF81&gt;0,INDEX(BC$7:BC$106,$AF81),1),IF($AG81&gt;0,INDEX(BC$7:BC$106,$AG81),1),IF($AH81&gt;0,INDEX(BC$7:BC$106,$AH81),1),IF($AI81&gt;0,INDEX(BC$7:BC$106,$AI81),1),IF($AJ81&gt;0,INDEX(BC$7:BC$106,$AJ81),1))))</ns0:f>
        <ns0:v>1</ns0:v>
      </ns0:c>
      <ns0:c r="BE81" t="n">
        <ns0:f>IF($A81="",1,IF(BD81=1,1,--AND(IF($AC81&gt;0,INDEX(BD$7:BD$106,$AC81),1),IF($AD81&gt;0,INDEX(BD$7:BD$106,$AD81),1),IF($AE81&gt;0,INDEX(BD$7:BD$106,$AE81),1),IF($AF81&gt;0,INDEX(BD$7:BD$106,$AF81),1),IF($AG81&gt;0,INDEX(BD$7:BD$106,$AG81),1),IF($AH81&gt;0,INDEX(BD$7:BD$106,$AH81),1),IF($AI81&gt;0,INDEX(BD$7:BD$106,$AI81),1),IF($AJ81&gt;0,INDEX(BD$7:BD$106,$AJ81),1))))</ns0:f>
        <ns0:v>1</ns0:v>
      </ns0:c>
      <ns0:c r="BF81" t="n">
        <ns0:f>IF($A81="",1,IF(BE81=1,1,--AND(IF($AC81&gt;0,INDEX(BE$7:BE$106,$AC81),1),IF($AD81&gt;0,INDEX(BE$7:BE$106,$AD81),1),IF($AE81&gt;0,INDEX(BE$7:BE$106,$AE81),1),IF($AF81&gt;0,INDEX(BE$7:BE$106,$AF81),1),IF($AG81&gt;0,INDEX(BE$7:BE$106,$AG81),1),IF($AH81&gt;0,INDEX(BE$7:BE$106,$AH81),1),IF($AI81&gt;0,INDEX(BE$7:BE$106,$AI81),1),IF($AJ81&gt;0,INDEX(BE$7:BE$106,$AJ81),1))))</ns0:f>
        <ns0:v>1</ns0:v>
      </ns0:c>
      <ns0:c r="BG81" t="n">
        <ns0:f>IF($A81="",1,IF(BF81=1,1,--AND(IF($AC81&gt;0,INDEX(BF$7:BF$106,$AC81),1),IF($AD81&gt;0,INDEX(BF$7:BF$106,$AD81),1),IF($AE81&gt;0,INDEX(BF$7:BF$106,$AE81),1),IF($AF81&gt;0,INDEX(BF$7:BF$106,$AF81),1),IF($AG81&gt;0,INDEX(BF$7:BF$106,$AG81),1),IF($AH81&gt;0,INDEX(BF$7:BF$106,$AH81),1),IF($AI81&gt;0,INDEX(BF$7:BF$106,$AI81),1),IF($AJ81&gt;0,INDEX(BF$7:BF$106,$AJ81),1))))</ns0:f>
        <ns0:v>1</ns0:v>
      </ns0:c>
      <ns0:c r="BH81" t="n">
        <ns0:f>IF($A81="",1,IF(BG81=1,1,--AND(IF($AC81&gt;0,INDEX(BG$7:BG$106,$AC81),1),IF($AD81&gt;0,INDEX(BG$7:BG$106,$AD81),1),IF($AE81&gt;0,INDEX(BG$7:BG$106,$AE81),1),IF($AF81&gt;0,INDEX(BG$7:BG$106,$AF81),1),IF($AG81&gt;0,INDEX(BG$7:BG$106,$AG81),1),IF($AH81&gt;0,INDEX(BG$7:BG$106,$AH81),1),IF($AI81&gt;0,INDEX(BG$7:BG$106,$AI81),1),IF($AJ81&gt;0,INDEX(BG$7:BG$106,$AJ81),1))))</ns0:f>
        <ns0:v>1</ns0:v>
      </ns0:c>
      <ns0:c r="BI81" t="n">
        <ns0:f>IF($A81="",1,IF(BH81=1,1,--AND(IF($AC81&gt;0,INDEX(BH$7:BH$106,$AC81),1),IF($AD81&gt;0,INDEX(BH$7:BH$106,$AD81),1),IF($AE81&gt;0,INDEX(BH$7:BH$106,$AE81),1),IF($AF81&gt;0,INDEX(BH$7:BH$106,$AF81),1),IF($AG81&gt;0,INDEX(BH$7:BH$106,$AG81),1),IF($AH81&gt;0,INDEX(BH$7:BH$106,$AH81),1),IF($AI81&gt;0,INDEX(BH$7:BH$106,$AI81),1),IF($AJ81&gt;0,INDEX(BH$7:BH$106,$AJ81),1))))</ns0:f>
        <ns0:v>1</ns0:v>
      </ns0:c>
      <ns0:c r="BJ81" t="n">
        <ns0:f>IF($A81="",1,IF(BI81=1,1,--AND(IF($AC81&gt;0,INDEX(BI$7:BI$106,$AC81),1),IF($AD81&gt;0,INDEX(BI$7:BI$106,$AD81),1),IF($AE81&gt;0,INDEX(BI$7:BI$106,$AE81),1),IF($AF81&gt;0,INDEX(BI$7:BI$106,$AF81),1),IF($AG81&gt;0,INDEX(BI$7:BI$106,$AG81),1),IF($AH81&gt;0,INDEX(BI$7:BI$106,$AH81),1),IF($AI81&gt;0,INDEX(BI$7:BI$106,$AI81),1),IF($AJ81&gt;0,INDEX(BI$7:BI$106,$AJ81),1))))</ns0:f>
        <ns0:v>1</ns0:v>
      </ns0:c>
      <ns0:c r="BK81" t="n">
        <ns0:f>IF($A81="",1,IF(BJ81=1,1,--AND(IF($AC81&gt;0,INDEX(BJ$7:BJ$106,$AC81),1),IF($AD81&gt;0,INDEX(BJ$7:BJ$106,$AD81),1),IF($AE81&gt;0,INDEX(BJ$7:BJ$106,$AE81),1),IF($AF81&gt;0,INDEX(BJ$7:BJ$106,$AF81),1),IF($AG81&gt;0,INDEX(BJ$7:BJ$106,$AG81),1),IF($AH81&gt;0,INDEX(BJ$7:BJ$106,$AH81),1),IF($AI81&gt;0,INDEX(BJ$7:BJ$106,$AI81),1),IF($AJ81&gt;0,INDEX(BJ$7:BJ$106,$AJ81),1))))</ns0:f>
        <ns0:v>1</ns0:v>
      </ns0:c>
      <ns0:c r="BL81" t="n">
        <ns0:f>IF($A81="",1,IF(BK81=1,1,--AND(IF($AC81&gt;0,INDEX(BK$7:BK$106,$AC81),1),IF($AD81&gt;0,INDEX(BK$7:BK$106,$AD81),1),IF($AE81&gt;0,INDEX(BK$7:BK$106,$AE81),1),IF($AF81&gt;0,INDEX(BK$7:BK$106,$AF81),1),IF($AG81&gt;0,INDEX(BK$7:BK$106,$AG81),1),IF($AH81&gt;0,INDEX(BK$7:BK$106,$AH81),1),IF($AI81&gt;0,INDEX(BK$7:BK$106,$AI81),1),IF($AJ81&gt;0,INDEX(BK$7:BK$106,$AJ81),1))))</ns0:f>
        <ns0:v>1</ns0:v>
      </ns0:c>
      <ns0:c r="BM81" t="n">
        <ns0:f>IF($A81="",1,IF(BL81=1,1,--AND(IF($AC81&gt;0,INDEX(BL$7:BL$106,$AC81),1),IF($AD81&gt;0,INDEX(BL$7:BL$106,$AD81),1),IF($AE81&gt;0,INDEX(BL$7:BL$106,$AE81),1),IF($AF81&gt;0,INDEX(BL$7:BL$106,$AF81),1),IF($AG81&gt;0,INDEX(BL$7:BL$106,$AG81),1),IF($AH81&gt;0,INDEX(BL$7:BL$106,$AH81),1),IF($AI81&gt;0,INDEX(BL$7:BL$106,$AI81),1),IF($AJ81&gt;0,INDEX(BL$7:BL$106,$AJ81),1))))</ns0:f>
        <ns0:v>1</ns0:v>
      </ns0:c>
      <ns0:c r="BN81" t="n">
        <ns0:f>IF($A81="",1,IF(BM81=1,1,--AND(IF($AC81&gt;0,INDEX(BM$7:BM$106,$AC81),1),IF($AD81&gt;0,INDEX(BM$7:BM$106,$AD81),1),IF($AE81&gt;0,INDEX(BM$7:BM$106,$AE81),1),IF($AF81&gt;0,INDEX(BM$7:BM$106,$AF81),1),IF($AG81&gt;0,INDEX(BM$7:BM$106,$AG81),1),IF($AH81&gt;0,INDEX(BM$7:BM$106,$AH81),1),IF($AI81&gt;0,INDEX(BM$7:BM$106,$AI81),1),IF($AJ81&gt;0,INDEX(BM$7:BM$106,$AJ81),1))))</ns0:f>
        <ns0:v>1</ns0:v>
      </ns0:c>
      <ns0:c r="BO81" t="n">
        <ns0:f>IF($A81="",1,IF(BN81=1,1,--AND(IF($AC81&gt;0,INDEX(BN$7:BN$106,$AC81),1),IF($AD81&gt;0,INDEX(BN$7:BN$106,$AD81),1),IF($AE81&gt;0,INDEX(BN$7:BN$106,$AE81),1),IF($AF81&gt;0,INDEX(BN$7:BN$106,$AF81),1),IF($AG81&gt;0,INDEX(BN$7:BN$106,$AG81),1),IF($AH81&gt;0,INDEX(BN$7:BN$106,$AH81),1),IF($AI81&gt;0,INDEX(BN$7:BN$106,$AI81),1),IF($AJ81&gt;0,INDEX(BN$7:BN$106,$AJ81),1))))</ns0:f>
        <ns0:v>1</ns0:v>
      </ns0:c>
      <ns0:c r="BP81" t="n">
        <ns0:f>IF($A81="",1,IF(BO81=1,1,--AND(IF($AC81&gt;0,INDEX(BO$7:BO$106,$AC81),1),IF($AD81&gt;0,INDEX(BO$7:BO$106,$AD81),1),IF($AE81&gt;0,INDEX(BO$7:BO$106,$AE81),1),IF($AF81&gt;0,INDEX(BO$7:BO$106,$AF81),1),IF($AG81&gt;0,INDEX(BO$7:BO$106,$AG81),1),IF($AH81&gt;0,INDEX(BO$7:BO$106,$AH81),1),IF($AI81&gt;0,INDEX(BO$7:BO$106,$AI81),1),IF($AJ81&gt;0,INDEX(BO$7:BO$106,$AJ81),1))))</ns0:f>
        <ns0:v>1</ns0:v>
      </ns0:c>
      <ns0:c r="BQ81" t="n">
        <ns0:f>IF($A81="",1,IF(BP81=1,1,--AND(IF($AC81&gt;0,INDEX(BP$7:BP$106,$AC81),1),IF($AD81&gt;0,INDEX(BP$7:BP$106,$AD81),1),IF($AE81&gt;0,INDEX(BP$7:BP$106,$AE81),1),IF($AF81&gt;0,INDEX(BP$7:BP$106,$AF81),1),IF($AG81&gt;0,INDEX(BP$7:BP$106,$AG81),1),IF($AH81&gt;0,INDEX(BP$7:BP$106,$AH81),1),IF($AI81&gt;0,INDEX(BP$7:BP$106,$AI81),1),IF($AJ81&gt;0,INDEX(BP$7:BP$106,$AJ81),1))))</ns0:f>
        <ns0:v>1</ns0:v>
      </ns0:c>
      <ns0:c r="BR81" t="n">
        <ns0:f>IF($A81="",1,IF(BQ81=1,1,--AND(IF($AC81&gt;0,INDEX(BQ$7:BQ$106,$AC81),1),IF($AD81&gt;0,INDEX(BQ$7:BQ$106,$AD81),1),IF($AE81&gt;0,INDEX(BQ$7:BQ$106,$AE81),1),IF($AF81&gt;0,INDEX(BQ$7:BQ$106,$AF81),1),IF($AG81&gt;0,INDEX(BQ$7:BQ$106,$AG81),1),IF($AH81&gt;0,INDEX(BQ$7:BQ$106,$AH81),1),IF($AI81&gt;0,INDEX(BQ$7:BQ$106,$AI81),1),IF($AJ81&gt;0,INDEX(BQ$7:BQ$106,$AJ81),1))))</ns0:f>
        <ns0:v>1</ns0:v>
      </ns0:c>
      <ns0:c r="BS81" t="n">
        <ns0:f>IF($A81="",1,IF(BR81=1,1,--AND(IF($AC81&gt;0,INDEX(BR$7:BR$106,$AC81),1),IF($AD81&gt;0,INDEX(BR$7:BR$106,$AD81),1),IF($AE81&gt;0,INDEX(BR$7:BR$106,$AE81),1),IF($AF81&gt;0,INDEX(BR$7:BR$106,$AF81),1),IF($AG81&gt;0,INDEX(BR$7:BR$106,$AG81),1),IF($AH81&gt;0,INDEX(BR$7:BR$106,$AH81),1),IF($AI81&gt;0,INDEX(BR$7:BR$106,$AI81),1),IF($AJ81&gt;0,INDEX(BR$7:BR$106,$AJ81),1))))</ns0:f>
        <ns0:v>1</ns0:v>
      </ns0:c>
      <ns0:c r="BT81" t="n">
        <ns0:f>IF($A81="",1,IF(BS81=1,1,--AND(IF($AC81&gt;0,INDEX(BS$7:BS$106,$AC81),1),IF($AD81&gt;0,INDEX(BS$7:BS$106,$AD81),1),IF($AE81&gt;0,INDEX(BS$7:BS$106,$AE81),1),IF($AF81&gt;0,INDEX(BS$7:BS$106,$AF81),1),IF($AG81&gt;0,INDEX(BS$7:BS$106,$AG81),1),IF($AH81&gt;0,INDEX(BS$7:BS$106,$AH81),1),IF($AI81&gt;0,INDEX(BS$7:BS$106,$AI81),1),IF($AJ81&gt;0,INDEX(BS$7:BS$106,$AJ81),1))))</ns0:f>
        <ns0:v>1</ns0:v>
      </ns0:c>
      <ns0:c r="BU81" t="n">
        <ns0:f>IF($A81="",1,IF(BT81=1,1,--AND(IF($AC81&gt;0,INDEX(BT$7:BT$106,$AC81),1),IF($AD81&gt;0,INDEX(BT$7:BT$106,$AD81),1),IF($AE81&gt;0,INDEX(BT$7:BT$106,$AE81),1),IF($AF81&gt;0,INDEX(BT$7:BT$106,$AF81),1),IF($AG81&gt;0,INDEX(BT$7:BT$106,$AG81),1),IF($AH81&gt;0,INDEX(BT$7:BT$106,$AH81),1),IF($AI81&gt;0,INDEX(BT$7:BT$106,$AI81),1),IF($AJ81&gt;0,INDEX(BT$7:BT$106,$AJ81),1))))</ns0:f>
        <ns0:v>1</ns0:v>
      </ns0:c>
      <ns0:c r="BV81" t="n">
        <ns0:f>IF($A81="",1,IF(BU81=1,1,--AND(IF($AC81&gt;0,INDEX(BU$7:BU$106,$AC81),1),IF($AD81&gt;0,INDEX(BU$7:BU$106,$AD81),1),IF($AE81&gt;0,INDEX(BU$7:BU$106,$AE81),1),IF($AF81&gt;0,INDEX(BU$7:BU$106,$AF81),1),IF($AG81&gt;0,INDEX(BU$7:BU$106,$AG81),1),IF($AH81&gt;0,INDEX(BU$7:BU$106,$AH81),1),IF($AI81&gt;0,INDEX(BU$7:BU$106,$AI81),1),IF($AJ81&gt;0,INDEX(BU$7:BU$106,$AJ81),1))))</ns0:f>
        <ns0:v>1</ns0:v>
      </ns0:c>
      <ns0:c r="BW81" t="n">
        <ns0:f>IF($A81="",1,IF(BV81=1,1,--AND(IF($AC81&gt;0,INDEX(BV$7:BV$106,$AC81),1),IF($AD81&gt;0,INDEX(BV$7:BV$106,$AD81),1),IF($AE81&gt;0,INDEX(BV$7:BV$106,$AE81),1),IF($AF81&gt;0,INDEX(BV$7:BV$106,$AF81),1),IF($AG81&gt;0,INDEX(BV$7:BV$106,$AG81),1),IF($AH81&gt;0,INDEX(BV$7:BV$106,$AH81),1),IF($AI81&gt;0,INDEX(BV$7:BV$106,$AI81),1),IF($AJ81&gt;0,INDEX(BV$7:BV$106,$AJ81),1))))</ns0:f>
        <ns0:v>1</ns0:v>
      </ns0:c>
      <ns0:c r="BX81" t="n">
        <ns0:f>IF($A81="",1,IF(BW81=1,1,--AND(IF($AC81&gt;0,INDEX(BW$7:BW$106,$AC81),1),IF($AD81&gt;0,INDEX(BW$7:BW$106,$AD81),1),IF($AE81&gt;0,INDEX(BW$7:BW$106,$AE81),1),IF($AF81&gt;0,INDEX(BW$7:BW$106,$AF81),1),IF($AG81&gt;0,INDEX(BW$7:BW$106,$AG81),1),IF($AH81&gt;0,INDEX(BW$7:BW$106,$AH81),1),IF($AI81&gt;0,INDEX(BW$7:BW$106,$AI81),1),IF($AJ81&gt;0,INDEX(BW$7:BW$106,$AJ81),1))))</ns0:f>
        <ns0:v>1</ns0:v>
      </ns0:c>
      <ns0:c r="BY81" t="n">
        <ns0:f>IF($A81="",1,IF(BX81=1,1,--AND(IF($AC81&gt;0,INDEX(BX$7:BX$106,$AC81),1),IF($AD81&gt;0,INDEX(BX$7:BX$106,$AD81),1),IF($AE81&gt;0,INDEX(BX$7:BX$106,$AE81),1),IF($AF81&gt;0,INDEX(BX$7:BX$106,$AF81),1),IF($AG81&gt;0,INDEX(BX$7:BX$106,$AG81),1),IF($AH81&gt;0,INDEX(BX$7:BX$106,$AH81),1),IF($AI81&gt;0,INDEX(BX$7:BX$106,$AI81),1),IF($AJ81&gt;0,INDEX(BX$7:BX$106,$AJ81),1))))</ns0:f>
        <ns0:v>1</ns0:v>
      </ns0:c>
      <ns0:c r="BZ81" t="n">
        <ns0:f>IF($A81="",1,IF(BY81=1,1,--AND(IF($AC81&gt;0,INDEX(BY$7:BY$106,$AC81),1),IF($AD81&gt;0,INDEX(BY$7:BY$106,$AD81),1),IF($AE81&gt;0,INDEX(BY$7:BY$106,$AE81),1),IF($AF81&gt;0,INDEX(BY$7:BY$106,$AF81),1),IF($AG81&gt;0,INDEX(BY$7:BY$106,$AG81),1),IF($AH81&gt;0,INDEX(BY$7:BY$106,$AH81),1),IF($AI81&gt;0,INDEX(BY$7:BY$106,$AI81),1),IF($AJ81&gt;0,INDEX(BY$7:BY$106,$AJ81),1))))</ns0:f>
        <ns0:v>1</ns0:v>
      </ns0:c>
      <ns0:c r="CA81" t="n">
        <ns0:f>IF($A81="",1,IF(BZ81=1,1,--AND(IF($AC81&gt;0,INDEX(BZ$7:BZ$106,$AC81),1),IF($AD81&gt;0,INDEX(BZ$7:BZ$106,$AD81),1),IF($AE81&gt;0,INDEX(BZ$7:BZ$106,$AE81),1),IF($AF81&gt;0,INDEX(BZ$7:BZ$106,$AF81),1),IF($AG81&gt;0,INDEX(BZ$7:BZ$106,$AG81),1),IF($AH81&gt;0,INDEX(BZ$7:BZ$106,$AH81),1),IF($AI81&gt;0,INDEX(BZ$7:BZ$106,$AI81),1),IF($AJ81&gt;0,INDEX(BZ$7:BZ$106,$AJ81),1))))</ns0:f>
        <ns0:v>1</ns0:v>
      </ns0:c>
      <ns0:c r="CB81" t="n">
        <ns0:f>IF($A81="",1,IF(CA81=1,1,--AND(IF($AC81&gt;0,INDEX(CA$7:CA$106,$AC81),1),IF($AD81&gt;0,INDEX(CA$7:CA$106,$AD81),1),IF($AE81&gt;0,INDEX(CA$7:CA$106,$AE81),1),IF($AF81&gt;0,INDEX(CA$7:CA$106,$AF81),1),IF($AG81&gt;0,INDEX(CA$7:CA$106,$AG81),1),IF($AH81&gt;0,INDEX(CA$7:CA$106,$AH81),1),IF($AI81&gt;0,INDEX(CA$7:CA$106,$AI81),1),IF($AJ81&gt;0,INDEX(CA$7:CA$106,$AJ81),1))))</ns0:f>
        <ns0:v>1</ns0:v>
      </ns0:c>
      <ns0:c r="CC81" t="n">
        <ns0:f>IF($A81="",1,IF(CB81=1,1,--AND(IF($AC81&gt;0,INDEX(CB$7:CB$106,$AC81),1),IF($AD81&gt;0,INDEX(CB$7:CB$106,$AD81),1),IF($AE81&gt;0,INDEX(CB$7:CB$106,$AE81),1),IF($AF81&gt;0,INDEX(CB$7:CB$106,$AF81),1),IF($AG81&gt;0,INDEX(CB$7:CB$106,$AG81),1),IF($AH81&gt;0,INDEX(CB$7:CB$106,$AH81),1),IF($AI81&gt;0,INDEX(CB$7:CB$106,$AI81),1),IF($AJ81&gt;0,INDEX(CB$7:CB$106,$AJ81),1))))</ns0:f>
        <ns0:v>1</ns0:v>
      </ns0:c>
      <ns0:c r="CD81" t="n">
        <ns0:f>IF($A81="",1,IF(CC81=1,1,--AND(IF($AC81&gt;0,INDEX(CC$7:CC$106,$AC81),1),IF($AD81&gt;0,INDEX(CC$7:CC$106,$AD81),1),IF($AE81&gt;0,INDEX(CC$7:CC$106,$AE81),1),IF($AF81&gt;0,INDEX(CC$7:CC$106,$AF81),1),IF($AG81&gt;0,INDEX(CC$7:CC$106,$AG81),1),IF($AH81&gt;0,INDEX(CC$7:CC$106,$AH81),1),IF($AI81&gt;0,INDEX(CC$7:CC$106,$AI81),1),IF($AJ81&gt;0,INDEX(CC$7:CC$106,$AJ81),1))))</ns0:f>
        <ns0:v>1</ns0:v>
      </ns0:c>
      <ns0:c r="CE81" t="n">
        <ns0:f>IF($A81="",1,IF(CD81=1,1,--AND(IF($AC81&gt;0,INDEX(CD$7:CD$106,$AC81),1),IF($AD81&gt;0,INDEX(CD$7:CD$106,$AD81),1),IF($AE81&gt;0,INDEX(CD$7:CD$106,$AE81),1),IF($AF81&gt;0,INDEX(CD$7:CD$106,$AF81),1),IF($AG81&gt;0,INDEX(CD$7:CD$106,$AG81),1),IF($AH81&gt;0,INDEX(CD$7:CD$106,$AH81),1),IF($AI81&gt;0,INDEX(CD$7:CD$106,$AI81),1),IF($AJ81&gt;0,INDEX(CD$7:CD$106,$AJ81),1))))</ns0:f>
        <ns0:v>1</ns0:v>
      </ns0:c>
      <ns0:c r="CF81" t="n">
        <ns0:f>IF($A81="",1,IF(CE81=1,1,--AND(IF($AC81&gt;0,INDEX(CE$7:CE$106,$AC81),1),IF($AD81&gt;0,INDEX(CE$7:CE$106,$AD81),1),IF($AE81&gt;0,INDEX(CE$7:CE$106,$AE81),1),IF($AF81&gt;0,INDEX(CE$7:CE$106,$AF81),1),IF($AG81&gt;0,INDEX(CE$7:CE$106,$AG81),1),IF($AH81&gt;0,INDEX(CE$7:CE$106,$AH81),1),IF($AI81&gt;0,INDEX(CE$7:CE$106,$AI81),1),IF($AJ81&gt;0,INDEX(CE$7:CE$106,$AJ81),1))))</ns0:f>
        <ns0:v>1</ns0:v>
      </ns0:c>
      <ns0:c r="CG81" t="n">
        <ns0:f>IF($A81="",1,IF(CF81=1,1,--AND(IF($AC81&gt;0,INDEX(CF$7:CF$106,$AC81),1),IF($AD81&gt;0,INDEX(CF$7:CF$106,$AD81),1),IF($AE81&gt;0,INDEX(CF$7:CF$106,$AE81),1),IF($AF81&gt;0,INDEX(CF$7:CF$106,$AF81),1),IF($AG81&gt;0,INDEX(CF$7:CF$106,$AG81),1),IF($AH81&gt;0,INDEX(CF$7:CF$106,$AH81),1),IF($AI81&gt;0,INDEX(CF$7:CF$106,$AI81),1),IF($AJ81&gt;0,INDEX(CF$7:CF$106,$AJ81),1))))</ns0:f>
        <ns0:v>1</ns0:v>
      </ns0:c>
      <ns0:c r="CH81" t="n">
        <ns0:f>IF($A81="",1,IF(CG81=1,1,--AND(IF($AC81&gt;0,INDEX(CG$7:CG$106,$AC81),1),IF($AD81&gt;0,INDEX(CG$7:CG$106,$AD81),1),IF($AE81&gt;0,INDEX(CG$7:CG$106,$AE81),1),IF($AF81&gt;0,INDEX(CG$7:CG$106,$AF81),1),IF($AG81&gt;0,INDEX(CG$7:CG$106,$AG81),1),IF($AH81&gt;0,INDEX(CG$7:CG$106,$AH81),1),IF($AI81&gt;0,INDEX(CG$7:CG$106,$AI81),1),IF($AJ81&gt;0,INDEX(CG$7:CG$106,$AJ81),1))))</ns0:f>
        <ns0:v>1</ns0:v>
      </ns0:c>
      <ns0:c r="CI81" t="n">
        <ns0:f>IF($A81="",1,IF(CH81=1,1,--AND(IF($AC81&gt;0,INDEX(CH$7:CH$106,$AC81),1),IF($AD81&gt;0,INDEX(CH$7:CH$106,$AD81),1),IF($AE81&gt;0,INDEX(CH$7:CH$106,$AE81),1),IF($AF81&gt;0,INDEX(CH$7:CH$106,$AF81),1),IF($AG81&gt;0,INDEX(CH$7:CH$106,$AG81),1),IF($AH81&gt;0,INDEX(CH$7:CH$106,$AH81),1),IF($AI81&gt;0,INDEX(CH$7:CH$106,$AI81),1),IF($AJ81&gt;0,INDEX(CH$7:CH$106,$AJ81),1))))</ns0:f>
        <ns0:v>1</ns0:v>
      </ns0:c>
      <ns0:c r="CJ81" t="n">
        <ns0:f>IF($A81="",1,IF(CI81=1,1,--AND(IF($AC81&gt;0,INDEX(CI$7:CI$106,$AC81),1),IF($AD81&gt;0,INDEX(CI$7:CI$106,$AD81),1),IF($AE81&gt;0,INDEX(CI$7:CI$106,$AE81),1),IF($AF81&gt;0,INDEX(CI$7:CI$106,$AF81),1),IF($AG81&gt;0,INDEX(CI$7:CI$106,$AG81),1),IF($AH81&gt;0,INDEX(CI$7:CI$106,$AH81),1),IF($AI81&gt;0,INDEX(CI$7:CI$106,$AI81),1),IF($AJ81&gt;0,INDEX(CI$7:CI$106,$AJ81),1))))</ns0:f>
        <ns0:v>1</ns0:v>
      </ns0:c>
      <ns0:c r="CK81" t="n">
        <ns0:f>IF($A81="",1,IF(CJ81=1,1,--AND(IF($AC81&gt;0,INDEX(CJ$7:CJ$106,$AC81),1),IF($AD81&gt;0,INDEX(CJ$7:CJ$106,$AD81),1),IF($AE81&gt;0,INDEX(CJ$7:CJ$106,$AE81),1),IF($AF81&gt;0,INDEX(CJ$7:CJ$106,$AF81),1),IF($AG81&gt;0,INDEX(CJ$7:CJ$106,$AG81),1),IF($AH81&gt;0,INDEX(CJ$7:CJ$106,$AH81),1),IF($AI81&gt;0,INDEX(CJ$7:CJ$106,$AI81),1),IF($AJ81&gt;0,INDEX(CJ$7:CJ$106,$AJ81),1))))</ns0:f>
        <ns0:v>1</ns0:v>
      </ns0:c>
      <ns0:c r="CL81" t="n">
        <ns0:f>IF($A81="",1,IF(CK81=1,1,--AND(IF($AC81&gt;0,INDEX(CK$7:CK$106,$AC81),1),IF($AD81&gt;0,INDEX(CK$7:CK$106,$AD81),1),IF($AE81&gt;0,INDEX(CK$7:CK$106,$AE81),1),IF($AF81&gt;0,INDEX(CK$7:CK$106,$AF81),1),IF($AG81&gt;0,INDEX(CK$7:CK$106,$AG81),1),IF($AH81&gt;0,INDEX(CK$7:CK$106,$AH81),1),IF($AI81&gt;0,INDEX(CK$7:CK$106,$AI81),1),IF($AJ81&gt;0,INDEX(CK$7:CK$106,$AJ81),1))))</ns0:f>
        <ns0:v>1</ns0:v>
      </ns0:c>
      <ns0:c r="CM81" t="n">
        <ns0:f>IF($A81="",1,IF(CL81=1,1,--AND(IF($AC81&gt;0,INDEX(CL$7:CL$106,$AC81),1),IF($AD81&gt;0,INDEX(CL$7:CL$106,$AD81),1),IF($AE81&gt;0,INDEX(CL$7:CL$106,$AE81),1),IF($AF81&gt;0,INDEX(CL$7:CL$106,$AF81),1),IF($AG81&gt;0,INDEX(CL$7:CL$106,$AG81),1),IF($AH81&gt;0,INDEX(CL$7:CL$106,$AH81),1),IF($AI81&gt;0,INDEX(CL$7:CL$106,$AI81),1),IF($AJ81&gt;0,INDEX(CL$7:CL$106,$AJ81),1))))</ns0:f>
        <ns0:v>1</ns0:v>
      </ns0:c>
      <ns0:c r="CN81" t="n">
        <ns0:f>IF($A81="",1,IF(CM81=1,1,--AND(IF($AC81&gt;0,INDEX(CM$7:CM$106,$AC81),1),IF($AD81&gt;0,INDEX(CM$7:CM$106,$AD81),1),IF($AE81&gt;0,INDEX(CM$7:CM$106,$AE81),1),IF($AF81&gt;0,INDEX(CM$7:CM$106,$AF81),1),IF($AG81&gt;0,INDEX(CM$7:CM$106,$AG81),1),IF($AH81&gt;0,INDEX(CM$7:CM$106,$AH81),1),IF($AI81&gt;0,INDEX(CM$7:CM$106,$AI81),1),IF($AJ81&gt;0,INDEX(CM$7:CM$106,$AJ81),1))))</ns0:f>
        <ns0:v>1</ns0:v>
      </ns0:c>
      <ns0:c r="CO81" t="n">
        <ns0:f>IF($A81="",1,IF(CN81=1,1,--AND(IF($AC81&gt;0,INDEX(CN$7:CN$106,$AC81),1),IF($AD81&gt;0,INDEX(CN$7:CN$106,$AD81),1),IF($AE81&gt;0,INDEX(CN$7:CN$106,$AE81),1),IF($AF81&gt;0,INDEX(CN$7:CN$106,$AF81),1),IF($AG81&gt;0,INDEX(CN$7:CN$106,$AG81),1),IF($AH81&gt;0,INDEX(CN$7:CN$106,$AH81),1),IF($AI81&gt;0,INDEX(CN$7:CN$106,$AI81),1),IF($AJ81&gt;0,INDEX(CN$7:CN$106,$AJ81),1))))</ns0:f>
        <ns0:v>1</ns0:v>
      </ns0:c>
      <ns0:c r="CP81" t="n">
        <ns0:f>IF($A81="",1,IF(CO81=1,1,--AND(IF($AC81&gt;0,INDEX(CO$7:CO$106,$AC81),1),IF($AD81&gt;0,INDEX(CO$7:CO$106,$AD81),1),IF($AE81&gt;0,INDEX(CO$7:CO$106,$AE81),1),IF($AF81&gt;0,INDEX(CO$7:CO$106,$AF81),1),IF($AG81&gt;0,INDEX(CO$7:CO$106,$AG81),1),IF($AH81&gt;0,INDEX(CO$7:CO$106,$AH81),1),IF($AI81&gt;0,INDEX(CO$7:CO$106,$AI81),1),IF($AJ81&gt;0,INDEX(CO$7:CO$106,$AJ81),1))))</ns0:f>
        <ns0:v>1</ns0:v>
      </ns0:c>
      <ns0:c r="CQ81" t="n">
        <ns0:f>IF($A81="",1,IF(CP81=1,1,--AND(IF($AC81&gt;0,INDEX(CP$7:CP$106,$AC81),1),IF($AD81&gt;0,INDEX(CP$7:CP$106,$AD81),1),IF($AE81&gt;0,INDEX(CP$7:CP$106,$AE81),1),IF($AF81&gt;0,INDEX(CP$7:CP$106,$AF81),1),IF($AG81&gt;0,INDEX(CP$7:CP$106,$AG81),1),IF($AH81&gt;0,INDEX(CP$7:CP$106,$AH81),1),IF($AI81&gt;0,INDEX(CP$7:CP$106,$AI81),1),IF($AJ81&gt;0,INDEX(CP$7:CP$106,$AJ81),1))))</ns0:f>
        <ns0:v>1</ns0:v>
      </ns0:c>
      <ns0:c r="CR81" t="n">
        <ns0:f>IF($A81="",1,IF(CQ81=1,1,--AND(IF($AC81&gt;0,INDEX(CQ$7:CQ$106,$AC81),1),IF($AD81&gt;0,INDEX(CQ$7:CQ$106,$AD81),1),IF($AE81&gt;0,INDEX(CQ$7:CQ$106,$AE81),1),IF($AF81&gt;0,INDEX(CQ$7:CQ$106,$AF81),1),IF($AG81&gt;0,INDEX(CQ$7:CQ$106,$AG81),1),IF($AH81&gt;0,INDEX(CQ$7:CQ$106,$AH81),1),IF($AI81&gt;0,INDEX(CQ$7:CQ$106,$AI81),1),IF($AJ81&gt;0,INDEX(CQ$7:CQ$106,$AJ81),1))))</ns0:f>
        <ns0:v>1</ns0:v>
      </ns0:c>
      <ns0:c r="CS81" t="n">
        <ns0:f>IF($A81="",1,IF(CR81=1,1,--AND(IF($AC81&gt;0,INDEX(CR$7:CR$106,$AC81),1),IF($AD81&gt;0,INDEX(CR$7:CR$106,$AD81),1),IF($AE81&gt;0,INDEX(CR$7:CR$106,$AE81),1),IF($AF81&gt;0,INDEX(CR$7:CR$106,$AF81),1),IF($AG81&gt;0,INDEX(CR$7:CR$106,$AG81),1),IF($AH81&gt;0,INDEX(CR$7:CR$106,$AH81),1),IF($AI81&gt;0,INDEX(CR$7:CR$106,$AI81),1),IF($AJ81&gt;0,INDEX(CR$7:CR$106,$AJ81),1))))</ns0:f>
        <ns0:v>1</ns0:v>
      </ns0:c>
      <ns0:c r="CT81" t="n">
        <ns0:f>IF($A81="",1,IF(CS81=1,1,--AND(IF($AC81&gt;0,INDEX(CS$7:CS$106,$AC81),1),IF($AD81&gt;0,INDEX(CS$7:CS$106,$AD81),1),IF($AE81&gt;0,INDEX(CS$7:CS$106,$AE81),1),IF($AF81&gt;0,INDEX(CS$7:CS$106,$AF81),1),IF($AG81&gt;0,INDEX(CS$7:CS$106,$AG81),1),IF($AH81&gt;0,INDEX(CS$7:CS$106,$AH81),1),IF($AI81&gt;0,INDEX(CS$7:CS$106,$AI81),1),IF($AJ81&gt;0,INDEX(CS$7:CS$106,$AJ81),1))))</ns0:f>
        <ns0:v>1</ns0:v>
      </ns0:c>
      <ns0:c r="CU81" t="n">
        <ns0:f>IF($A81="",1,IF(CT81=1,1,--AND(IF($AC81&gt;0,INDEX(CT$7:CT$106,$AC81),1),IF($AD81&gt;0,INDEX(CT$7:CT$106,$AD81),1),IF($AE81&gt;0,INDEX(CT$7:CT$106,$AE81),1),IF($AF81&gt;0,INDEX(CT$7:CT$106,$AF81),1),IF($AG81&gt;0,INDEX(CT$7:CT$106,$AG81),1),IF($AH81&gt;0,INDEX(CT$7:CT$106,$AH81),1),IF($AI81&gt;0,INDEX(CT$7:CT$106,$AI81),1),IF($AJ81&gt;0,INDEX(CT$7:CT$106,$AJ81),1))))</ns0:f>
        <ns0:v>1</ns0:v>
      </ns0:c>
      <ns0:c r="CV81" t="n">
        <ns0:f>IF($A81="",1,IF(CU81=1,1,--AND(IF($AC81&gt;0,INDEX(CU$7:CU$106,$AC81),1),IF($AD81&gt;0,INDEX(CU$7:CU$106,$AD81),1),IF($AE81&gt;0,INDEX(CU$7:CU$106,$AE81),1),IF($AF81&gt;0,INDEX(CU$7:CU$106,$AF81),1),IF($AG81&gt;0,INDEX(CU$7:CU$106,$AG81),1),IF($AH81&gt;0,INDEX(CU$7:CU$106,$AH81),1),IF($AI81&gt;0,INDEX(CU$7:CU$106,$AI81),1),IF($AJ81&gt;0,INDEX(CU$7:CU$106,$AJ81),1))))</ns0:f>
        <ns0:v>1</ns0:v>
      </ns0:c>
      <ns0:c r="CW81" t="n">
        <ns0:f>IF($A81="",1,IF(CV81=1,1,--AND(IF($AC81&gt;0,INDEX(CV$7:CV$106,$AC81),1),IF($AD81&gt;0,INDEX(CV$7:CV$106,$AD81),1),IF($AE81&gt;0,INDEX(CV$7:CV$106,$AE81),1),IF($AF81&gt;0,INDEX(CV$7:CV$106,$AF81),1),IF($AG81&gt;0,INDEX(CV$7:CV$106,$AG81),1),IF($AH81&gt;0,INDEX(CV$7:CV$106,$AH81),1),IF($AI81&gt;0,INDEX(CV$7:CV$106,$AI81),1),IF($AJ81&gt;0,INDEX(CV$7:CV$106,$AJ81),1))))</ns0:f>
        <ns0:v>1</ns0:v>
      </ns0:c>
      <ns0:c r="CX81" t="n">
        <ns0:f>IF($A81="",1,IF(CW81=1,1,--AND(IF($AC81&gt;0,INDEX(CW$7:CW$106,$AC81),1),IF($AD81&gt;0,INDEX(CW$7:CW$106,$AD81),1),IF($AE81&gt;0,INDEX(CW$7:CW$106,$AE81),1),IF($AF81&gt;0,INDEX(CW$7:CW$106,$AF81),1),IF($AG81&gt;0,INDEX(CW$7:CW$106,$AG81),1),IF($AH81&gt;0,INDEX(CW$7:CW$106,$AH81),1),IF($AI81&gt;0,INDEX(CW$7:CW$106,$AI81),1),IF($AJ81&gt;0,INDEX(CW$7:CW$106,$AJ81),1))))</ns0:f>
        <ns0:v>1</ns0:v>
      </ns0:c>
      <ns0:c r="CY81" t="n">
        <ns0:f>IF($A81="",1,IF(CX81=1,1,--AND(IF($AC81&gt;0,INDEX(CX$7:CX$106,$AC81),1),IF($AD81&gt;0,INDEX(CX$7:CX$106,$AD81),1),IF($AE81&gt;0,INDEX(CX$7:CX$106,$AE81),1),IF($AF81&gt;0,INDEX(CX$7:CX$106,$AF81),1),IF($AG81&gt;0,INDEX(CX$7:CX$106,$AG81),1),IF($AH81&gt;0,INDEX(CX$7:CX$106,$AH81),1),IF($AI81&gt;0,INDEX(CX$7:CX$106,$AI81),1),IF($AJ81&gt;0,INDEX(CX$7:CX$106,$AJ81),1))))</ns0:f>
        <ns0:v>1</ns0:v>
      </ns0:c>
      <ns0:c r="CZ81" t="n">
        <ns0:f>IF($A81="",1,IF(CY81=1,1,--AND(IF($AC81&gt;0,INDEX(CY$7:CY$106,$AC81),1),IF($AD81&gt;0,INDEX(CY$7:CY$106,$AD81),1),IF($AE81&gt;0,INDEX(CY$7:CY$106,$AE81),1),IF($AF81&gt;0,INDEX(CY$7:CY$106,$AF81),1),IF($AG81&gt;0,INDEX(CY$7:CY$106,$AG81),1),IF($AH81&gt;0,INDEX(CY$7:CY$106,$AH81),1),IF($AI81&gt;0,INDEX(CY$7:CY$106,$AI81),1),IF($AJ81&gt;0,INDEX(CY$7:CY$106,$AJ81),1))))</ns0:f>
        <ns0:v>1</ns0:v>
      </ns0:c>
      <ns0:c r="DA81" t="n">
        <ns0:f>IF($A81="",1,IF(CZ81=1,1,--AND(IF($AC81&gt;0,INDEX(CZ$7:CZ$106,$AC81),1),IF($AD81&gt;0,INDEX(CZ$7:CZ$106,$AD81),1),IF($AE81&gt;0,INDEX(CZ$7:CZ$106,$AE81),1),IF($AF81&gt;0,INDEX(CZ$7:CZ$106,$AF81),1),IF($AG81&gt;0,INDEX(CZ$7:CZ$106,$AG81),1),IF($AH81&gt;0,INDEX(CZ$7:CZ$106,$AH81),1),IF($AI81&gt;0,INDEX(CZ$7:CZ$106,$AI81),1),IF($AJ81&gt;0,INDEX(CZ$7:CZ$106,$AJ81),1))))</ns0:f>
        <ns0:v>1</ns0:v>
      </ns0:c>
      <ns0:c r="DB81" t="n">
        <ns0:f>IF($A81="",1,IF(DA81=1,1,--AND(IF($AC81&gt;0,INDEX(DA$7:DA$106,$AC81),1),IF($AD81&gt;0,INDEX(DA$7:DA$106,$AD81),1),IF($AE81&gt;0,INDEX(DA$7:DA$106,$AE81),1),IF($AF81&gt;0,INDEX(DA$7:DA$106,$AF81),1),IF($AG81&gt;0,INDEX(DA$7:DA$106,$AG81),1),IF($AH81&gt;0,INDEX(DA$7:DA$106,$AH81),1),IF($AI81&gt;0,INDEX(DA$7:DA$106,$AI81),1),IF($AJ81&gt;0,INDEX(DA$7:DA$106,$AJ81),1))))</ns0:f>
        <ns0:v>1</ns0:v>
      </ns0:c>
      <ns0:c r="DC81" t="n">
        <ns0:f>IF($A81="",1,IF(DB81=1,1,--AND(IF($AC81&gt;0,INDEX(DB$7:DB$106,$AC81),1),IF($AD81&gt;0,INDEX(DB$7:DB$106,$AD81),1),IF($AE81&gt;0,INDEX(DB$7:DB$106,$AE81),1),IF($AF81&gt;0,INDEX(DB$7:DB$106,$AF81),1),IF($AG81&gt;0,INDEX(DB$7:DB$106,$AG81),1),IF($AH81&gt;0,INDEX(DB$7:DB$106,$AH81),1),IF($AI81&gt;0,INDEX(DB$7:DB$106,$AI81),1),IF($AJ81&gt;0,INDEX(DB$7:DB$106,$AJ81),1))))</ns0:f>
        <ns0:v>1</ns0:v>
      </ns0:c>
      <ns0:c r="DD81" t="n">
        <ns0:f>IF($A81="",1,IF(DC81=1,1,--AND(IF($AC81&gt;0,INDEX(DC$7:DC$106,$AC81),1),IF($AD81&gt;0,INDEX(DC$7:DC$106,$AD81),1),IF($AE81&gt;0,INDEX(DC$7:DC$106,$AE81),1),IF($AF81&gt;0,INDEX(DC$7:DC$106,$AF81),1),IF($AG81&gt;0,INDEX(DC$7:DC$106,$AG81),1),IF($AH81&gt;0,INDEX(DC$7:DC$106,$AH81),1),IF($AI81&gt;0,INDEX(DC$7:DC$106,$AI81),1),IF($AJ81&gt;0,INDEX(DC$7:DC$106,$AJ81),1))))</ns0:f>
        <ns0:v>1</ns0:v>
      </ns0:c>
      <ns0:c r="DE81" t="n">
        <ns0:f>IF($A81="",1,IF(DD81=1,1,--AND(IF($AC81&gt;0,INDEX(DD$7:DD$106,$AC81),1),IF($AD81&gt;0,INDEX(DD$7:DD$106,$AD81),1),IF($AE81&gt;0,INDEX(DD$7:DD$106,$AE81),1),IF($AF81&gt;0,INDEX(DD$7:DD$106,$AF81),1),IF($AG81&gt;0,INDEX(DD$7:DD$106,$AG81),1),IF($AH81&gt;0,INDEX(DD$7:DD$106,$AH81),1),IF($AI81&gt;0,INDEX(DD$7:DD$106,$AI81),1),IF($AJ81&gt;0,INDEX(DD$7:DD$106,$AJ81),1))))</ns0:f>
        <ns0:v>1</ns0:v>
      </ns0:c>
      <ns0:c r="DF81" t="n">
        <ns0:f>IF($A81="",1,IF(DE81=1,1,--AND(IF($AC81&gt;0,INDEX(DE$7:DE$106,$AC81),1),IF($AD81&gt;0,INDEX(DE$7:DE$106,$AD81),1),IF($AE81&gt;0,INDEX(DE$7:DE$106,$AE81),1),IF($AF81&gt;0,INDEX(DE$7:DE$106,$AF81),1),IF($AG81&gt;0,INDEX(DE$7:DE$106,$AG81),1),IF($AH81&gt;0,INDEX(DE$7:DE$106,$AH81),1),IF($AI81&gt;0,INDEX(DE$7:DE$106,$AI81),1),IF($AJ81&gt;0,INDEX(DE$7:DE$106,$AJ81),1))))</ns0:f>
        <ns0:v>1</ns0:v>
      </ns0:c>
      <ns0:c r="DG81" t="n">
        <ns0:f>IF($A81="",1,IF(DF81=1,1,--AND(IF($AC81&gt;0,INDEX(DF$7:DF$106,$AC81),1),IF($AD81&gt;0,INDEX(DF$7:DF$106,$AD81),1),IF($AE81&gt;0,INDEX(DF$7:DF$106,$AE81),1),IF($AF81&gt;0,INDEX(DF$7:DF$106,$AF81),1),IF($AG81&gt;0,INDEX(DF$7:DF$106,$AG81),1),IF($AH81&gt;0,INDEX(DF$7:DF$106,$AH81),1),IF($AI81&gt;0,INDEX(DF$7:DF$106,$AI81),1),IF($AJ81&gt;0,INDEX(DF$7:DF$106,$AJ81),1))))</ns0:f>
        <ns0:v>1</ns0:v>
      </ns0:c>
      <ns0:c r="DH81" t="n">
        <ns0:f>IF($A81="",1,IF(DG81=1,1,--AND(IF($AC81&gt;0,INDEX(DG$7:DG$106,$AC81),1),IF($AD81&gt;0,INDEX(DG$7:DG$106,$AD81),1),IF($AE81&gt;0,INDEX(DG$7:DG$106,$AE81),1),IF($AF81&gt;0,INDEX(DG$7:DG$106,$AF81),1),IF($AG81&gt;0,INDEX(DG$7:DG$106,$AG81),1),IF($AH81&gt;0,INDEX(DG$7:DG$106,$AH81),1),IF($AI81&gt;0,INDEX(DG$7:DG$106,$AI81),1),IF($AJ81&gt;0,INDEX(DG$7:DG$106,$AJ81),1))))</ns0:f>
        <ns0:v>1</ns0:v>
      </ns0:c>
      <ns0:c r="DI81" t="n">
        <ns0:f>IF($A81="",1,IF(DH81=1,1,--AND(IF($AC81&gt;0,INDEX(DH$7:DH$106,$AC81),1),IF($AD81&gt;0,INDEX(DH$7:DH$106,$AD81),1),IF($AE81&gt;0,INDEX(DH$7:DH$106,$AE81),1),IF($AF81&gt;0,INDEX(DH$7:DH$106,$AF81),1),IF($AG81&gt;0,INDEX(DH$7:DH$106,$AG81),1),IF($AH81&gt;0,INDEX(DH$7:DH$106,$AH81),1),IF($AI81&gt;0,INDEX(DH$7:DH$106,$AI81),1),IF($AJ81&gt;0,INDEX(DH$7:DH$106,$AJ81),1))))</ns0:f>
        <ns0:v>1</ns0:v>
      </ns0:c>
      <ns0:c r="DJ81" t="n">
        <ns0:f>IF($A81="",1,IF(DI81=1,1,--AND(IF($AC81&gt;0,INDEX(DI$7:DI$106,$AC81),1),IF($AD81&gt;0,INDEX(DI$7:DI$106,$AD81),1),IF($AE81&gt;0,INDEX(DI$7:DI$106,$AE81),1),IF($AF81&gt;0,INDEX(DI$7:DI$106,$AF81),1),IF($AG81&gt;0,INDEX(DI$7:DI$106,$AG81),1),IF($AH81&gt;0,INDEX(DI$7:DI$106,$AH81),1),IF($AI81&gt;0,INDEX(DI$7:DI$106,$AI81),1),IF($AJ81&gt;0,INDEX(DI$7:DI$106,$AJ81),1))))</ns0:f>
        <ns0:v>1</ns0:v>
      </ns0:c>
      <ns0:c r="DK81" t="n">
        <ns0:f>IF($A81="",1,IF(DJ81=1,1,--AND(IF($AC81&gt;0,INDEX(DJ$7:DJ$106,$AC81),1),IF($AD81&gt;0,INDEX(DJ$7:DJ$106,$AD81),1),IF($AE81&gt;0,INDEX(DJ$7:DJ$106,$AE81),1),IF($AF81&gt;0,INDEX(DJ$7:DJ$106,$AF81),1),IF($AG81&gt;0,INDEX(DJ$7:DJ$106,$AG81),1),IF($AH81&gt;0,INDEX(DJ$7:DJ$106,$AH81),1),IF($AI81&gt;0,INDEX(DJ$7:DJ$106,$AI81),1),IF($AJ81&gt;0,INDEX(DJ$7:DJ$106,$AJ81),1))))</ns0:f>
        <ns0:v>1</ns0:v>
      </ns0:c>
      <ns0:c r="DL81" t="n">
        <ns0:f>IF($A81="",1,IF(DK81=1,1,--AND(IF($AC81&gt;0,INDEX(DK$7:DK$106,$AC81),1),IF($AD81&gt;0,INDEX(DK$7:DK$106,$AD81),1),IF($AE81&gt;0,INDEX(DK$7:DK$106,$AE81),1),IF($AF81&gt;0,INDEX(DK$7:DK$106,$AF81),1),IF($AG81&gt;0,INDEX(DK$7:DK$106,$AG81),1),IF($AH81&gt;0,INDEX(DK$7:DK$106,$AH81),1),IF($AI81&gt;0,INDEX(DK$7:DK$106,$AI81),1),IF($AJ81&gt;0,INDEX(DK$7:DK$106,$AJ81),1))))</ns0:f>
        <ns0:v>1</ns0:v>
      </ns0:c>
      <ns0:c r="DM81" t="n">
        <ns0:f>IF($A81="",1,IF(DL81=1,1,--AND(IF($AC81&gt;0,INDEX(DL$7:DL$106,$AC81),1),IF($AD81&gt;0,INDEX(DL$7:DL$106,$AD81),1),IF($AE81&gt;0,INDEX(DL$7:DL$106,$AE81),1),IF($AF81&gt;0,INDEX(DL$7:DL$106,$AF81),1),IF($AG81&gt;0,INDEX(DL$7:DL$106,$AG81),1),IF($AH81&gt;0,INDEX(DL$7:DL$106,$AH81),1),IF($AI81&gt;0,INDEX(DL$7:DL$106,$AI81),1),IF($AJ81&gt;0,INDEX(DL$7:DL$106,$AJ81),1))))</ns0:f>
        <ns0:v>1</ns0:v>
      </ns0:c>
      <ns0:c r="DN81" t="n">
        <ns0:f>IF($A81="",1,IF(DM81=1,1,--AND(IF($AC81&gt;0,INDEX(DM$7:DM$106,$AC81),1),IF($AD81&gt;0,INDEX(DM$7:DM$106,$AD81),1),IF($AE81&gt;0,INDEX(DM$7:DM$106,$AE81),1),IF($AF81&gt;0,INDEX(DM$7:DM$106,$AF81),1),IF($AG81&gt;0,INDEX(DM$7:DM$106,$AG81),1),IF($AH81&gt;0,INDEX(DM$7:DM$106,$AH81),1),IF($AI81&gt;0,INDEX(DM$7:DM$106,$AI81),1),IF($AJ81&gt;0,INDEX(DM$7:DM$106,$AJ81),1))))</ns0:f>
        <ns0:v>1</ns0:v>
      </ns0:c>
      <ns0:c r="DO81" t="n">
        <ns0:f>IF($A81="",1,IF(DN81=1,1,--AND(IF($AC81&gt;0,INDEX(DN$7:DN$106,$AC81),1),IF($AD81&gt;0,INDEX(DN$7:DN$106,$AD81),1),IF($AE81&gt;0,INDEX(DN$7:DN$106,$AE81),1),IF($AF81&gt;0,INDEX(DN$7:DN$106,$AF81),1),IF($AG81&gt;0,INDEX(DN$7:DN$106,$AG81),1),IF($AH81&gt;0,INDEX(DN$7:DN$106,$AH81),1),IF($AI81&gt;0,INDEX(DN$7:DN$106,$AI81),1),IF($AJ81&gt;0,INDEX(DN$7:DN$106,$AJ81),1))))</ns0:f>
        <ns0:v>1</ns0:v>
      </ns0:c>
      <ns0:c r="DP81" t="n">
        <ns0:f>IF($A81="",1,IF(DO81=1,1,--AND(IF($AC81&gt;0,INDEX(DO$7:DO$106,$AC81),1),IF($AD81&gt;0,INDEX(DO$7:DO$106,$AD81),1),IF($AE81&gt;0,INDEX(DO$7:DO$106,$AE81),1),IF($AF81&gt;0,INDEX(DO$7:DO$106,$AF81),1),IF($AG81&gt;0,INDEX(DO$7:DO$106,$AG81),1),IF($AH81&gt;0,INDEX(DO$7:DO$106,$AH81),1),IF($AI81&gt;0,INDEX(DO$7:DO$106,$AI81),1),IF($AJ81&gt;0,INDEX(DO$7:DO$106,$AJ81),1))))</ns0:f>
        <ns0:v>1</ns0:v>
      </ns0:c>
      <ns0:c r="DQ81" t="n">
        <ns0:f>IF($A81="",1,IF(DP81=1,1,--AND(IF($AC81&gt;0,INDEX(DP$7:DP$106,$AC81),1),IF($AD81&gt;0,INDEX(DP$7:DP$106,$AD81),1),IF($AE81&gt;0,INDEX(DP$7:DP$106,$AE81),1),IF($AF81&gt;0,INDEX(DP$7:DP$106,$AF81),1),IF($AG81&gt;0,INDEX(DP$7:DP$106,$AG81),1),IF($AH81&gt;0,INDEX(DP$7:DP$106,$AH81),1),IF($AI81&gt;0,INDEX(DP$7:DP$106,$AI81),1),IF($AJ81&gt;0,INDEX(DP$7:DP$106,$AJ81),1))))</ns0:f>
        <ns0:v>1</ns0:v>
      </ns0:c>
      <ns0:c r="DR81" t="n">
        <ns0:f>IF($A81="",1,IF(DQ81=1,1,--AND(IF($AC81&gt;0,INDEX(DQ$7:DQ$106,$AC81),1),IF($AD81&gt;0,INDEX(DQ$7:DQ$106,$AD81),1),IF($AE81&gt;0,INDEX(DQ$7:DQ$106,$AE81),1),IF($AF81&gt;0,INDEX(DQ$7:DQ$106,$AF81),1),IF($AG81&gt;0,INDEX(DQ$7:DQ$106,$AG81),1),IF($AH81&gt;0,INDEX(DQ$7:DQ$106,$AH81),1),IF($AI81&gt;0,INDEX(DQ$7:DQ$106,$AI81),1),IF($AJ81&gt;0,INDEX(DQ$7:DQ$106,$AJ81),1))))</ns0:f>
        <ns0:v>1</ns0:v>
      </ns0:c>
      <ns0:c r="DS81" t="n">
        <ns0:f>IF($A81="",1,IF(DR81=1,1,--AND(IF($AC81&gt;0,INDEX(DR$7:DR$106,$AC81),1),IF($AD81&gt;0,INDEX(DR$7:DR$106,$AD81),1),IF($AE81&gt;0,INDEX(DR$7:DR$106,$AE81),1),IF($AF81&gt;0,INDEX(DR$7:DR$106,$AF81),1),IF($AG81&gt;0,INDEX(DR$7:DR$106,$AG81),1),IF($AH81&gt;0,INDEX(DR$7:DR$106,$AH81),1),IF($AI81&gt;0,INDEX(DR$7:DR$106,$AI81),1),IF($AJ81&gt;0,INDEX(DR$7:DR$106,$AJ81),1))))</ns0:f>
        <ns0:v>1</ns0:v>
      </ns0:c>
      <ns0:c r="DT81" t="n">
        <ns0:f>IF($A81="",1,IF(DS81=1,1,--AND(IF($AC81&gt;0,INDEX(DS$7:DS$106,$AC81),1),IF($AD81&gt;0,INDEX(DS$7:DS$106,$AD81),1),IF($AE81&gt;0,INDEX(DS$7:DS$106,$AE81),1),IF($AF81&gt;0,INDEX(DS$7:DS$106,$AF81),1),IF($AG81&gt;0,INDEX(DS$7:DS$106,$AG81),1),IF($AH81&gt;0,INDEX(DS$7:DS$106,$AH81),1),IF($AI81&gt;0,INDEX(DS$7:DS$106,$AI81),1),IF($AJ81&gt;0,INDEX(DS$7:DS$106,$AJ81),1))))</ns0:f>
        <ns0:v>1</ns0:v>
      </ns0:c>
      <ns0:c r="DU81" t="n">
        <ns0:f>IF($A81="",1,IF(DT81=1,1,--AND(IF($AC81&gt;0,INDEX(DT$7:DT$106,$AC81),1),IF($AD81&gt;0,INDEX(DT$7:DT$106,$AD81),1),IF($AE81&gt;0,INDEX(DT$7:DT$106,$AE81),1),IF($AF81&gt;0,INDEX(DT$7:DT$106,$AF81),1),IF($AG81&gt;0,INDEX(DT$7:DT$106,$AG81),1),IF($AH81&gt;0,INDEX(DT$7:DT$106,$AH81),1),IF($AI81&gt;0,INDEX(DT$7:DT$106,$AI81),1),IF($AJ81&gt;0,INDEX(DT$7:DT$106,$AJ81),1))))</ns0:f>
        <ns0:v>1</ns0:v>
      </ns0:c>
      <ns0:c r="DV81" t="n">
        <ns0:f>IF($A81="",1,IF(DU81=1,1,--AND(IF($AC81&gt;0,INDEX(DU$7:DU$106,$AC81),1),IF($AD81&gt;0,INDEX(DU$7:DU$106,$AD81),1),IF($AE81&gt;0,INDEX(DU$7:DU$106,$AE81),1),IF($AF81&gt;0,INDEX(DU$7:DU$106,$AF81),1),IF($AG81&gt;0,INDEX(DU$7:DU$106,$AG81),1),IF($AH81&gt;0,INDEX(DU$7:DU$106,$AH81),1),IF($AI81&gt;0,INDEX(DU$7:DU$106,$AI81),1),IF($AJ81&gt;0,INDEX(DU$7:DU$106,$AJ81),1))))</ns0:f>
        <ns0:v>1</ns0:v>
      </ns0:c>
      <ns0:c r="DW81" t="n">
        <ns0:f>IF($A81="",1,IF(DV81=1,1,--AND(IF($AC81&gt;0,INDEX(DV$7:DV$106,$AC81),1),IF($AD81&gt;0,INDEX(DV$7:DV$106,$AD81),1),IF($AE81&gt;0,INDEX(DV$7:DV$106,$AE81),1),IF($AF81&gt;0,INDEX(DV$7:DV$106,$AF81),1),IF($AG81&gt;0,INDEX(DV$7:DV$106,$AG81),1),IF($AH81&gt;0,INDEX(DV$7:DV$106,$AH81),1),IF($AI81&gt;0,INDEX(DV$7:DV$106,$AI81),1),IF($AJ81&gt;0,INDEX(DV$7:DV$106,$AJ81),1))))</ns0:f>
        <ns0:v>1</ns0:v>
      </ns0:c>
      <ns0:c r="DX81" t="n">
        <ns0:f>IF($A81="",1,IF(DW81=1,1,--AND(IF($AC81&gt;0,INDEX(DW$7:DW$106,$AC81),1),IF($AD81&gt;0,INDEX(DW$7:DW$106,$AD81),1),IF($AE81&gt;0,INDEX(DW$7:DW$106,$AE81),1),IF($AF81&gt;0,INDEX(DW$7:DW$106,$AF81),1),IF($AG81&gt;0,INDEX(DW$7:DW$106,$AG81),1),IF($AH81&gt;0,INDEX(DW$7:DW$106,$AH81),1),IF($AI81&gt;0,INDEX(DW$7:DW$106,$AI81),1),IF($AJ81&gt;0,INDEX(DW$7:DW$106,$AJ81),1))))</ns0:f>
        <ns0:v>1</ns0:v>
      </ns0:c>
      <ns0:c r="DY81" t="n">
        <ns0:f>IF($A81="",1,IF(DX81=1,1,--AND(IF($AC81&gt;0,INDEX(DX$7:DX$106,$AC81),1),IF($AD81&gt;0,INDEX(DX$7:DX$106,$AD81),1),IF($AE81&gt;0,INDEX(DX$7:DX$106,$AE81),1),IF($AF81&gt;0,INDEX(DX$7:DX$106,$AF81),1),IF($AG81&gt;0,INDEX(DX$7:DX$106,$AG81),1),IF($AH81&gt;0,INDEX(DX$7:DX$106,$AH81),1),IF($AI81&gt;0,INDEX(DX$7:DX$106,$AI81),1),IF($AJ81&gt;0,INDEX(DX$7:DX$106,$AJ81),1))))</ns0:f>
        <ns0:v>1</ns0:v>
      </ns0:c>
      <ns0:c r="DZ81" t="n">
        <ns0:f>IF($A81="",1,IF(DY81=1,1,--AND(IF($AC81&gt;0,INDEX(DY$7:DY$106,$AC81),1),IF($AD81&gt;0,INDEX(DY$7:DY$106,$AD81),1),IF($AE81&gt;0,INDEX(DY$7:DY$106,$AE81),1),IF($AF81&gt;0,INDEX(DY$7:DY$106,$AF81),1),IF($AG81&gt;0,INDEX(DY$7:DY$106,$AG81),1),IF($AH81&gt;0,INDEX(DY$7:DY$106,$AH81),1),IF($AI81&gt;0,INDEX(DY$7:DY$106,$AI81),1),IF($AJ81&gt;0,INDEX(DY$7:DY$106,$AJ81),1))))</ns0:f>
        <ns0:v>1</ns0:v>
      </ns0:c>
      <ns0:c r="EA81" t="n">
        <ns0:f>IF($A81="",1,IF(DZ81=1,1,--AND(IF($AC81&gt;0,INDEX(DZ$7:DZ$106,$AC81),1),IF($AD81&gt;0,INDEX(DZ$7:DZ$106,$AD81),1),IF($AE81&gt;0,INDEX(DZ$7:DZ$106,$AE81),1),IF($AF81&gt;0,INDEX(DZ$7:DZ$106,$AF81),1),IF($AG81&gt;0,INDEX(DZ$7:DZ$106,$AG81),1),IF($AH81&gt;0,INDEX(DZ$7:DZ$106,$AH81),1),IF($AI81&gt;0,INDEX(DZ$7:DZ$106,$AI81),1),IF($AJ81&gt;0,INDEX(DZ$7:DZ$106,$AJ81),1))))</ns0:f>
        <ns0:v>1</ns0:v>
      </ns0:c>
      <ns0:c r="EB81" t="n">
        <ns0:f>IF($A81="",1,IF(EA81=1,1,--AND(IF($AC81&gt;0,INDEX(EA$7:EA$106,$AC81),1),IF($AD81&gt;0,INDEX(EA$7:EA$106,$AD81),1),IF($AE81&gt;0,INDEX(EA$7:EA$106,$AE81),1),IF($AF81&gt;0,INDEX(EA$7:EA$106,$AF81),1),IF($AG81&gt;0,INDEX(EA$7:EA$106,$AG81),1),IF($AH81&gt;0,INDEX(EA$7:EA$106,$AH81),1),IF($AI81&gt;0,INDEX(EA$7:EA$106,$AI81),1),IF($AJ81&gt;0,INDEX(EA$7:EA$106,$AJ81),1))))</ns0:f>
        <ns0:v>1</ns0:v>
      </ns0:c>
      <ns0:c r="EC81" t="n">
        <ns0:f>IF($A81="",1,IF(EB81=1,1,--AND(IF($AC81&gt;0,INDEX(EB$7:EB$106,$AC81),1),IF($AD81&gt;0,INDEX(EB$7:EB$106,$AD81),1),IF($AE81&gt;0,INDEX(EB$7:EB$106,$AE81),1),IF($AF81&gt;0,INDEX(EB$7:EB$106,$AF81),1),IF($AG81&gt;0,INDEX(EB$7:EB$106,$AG81),1),IF($AH81&gt;0,INDEX(EB$7:EB$106,$AH81),1),IF($AI81&gt;0,INDEX(EB$7:EB$106,$AI81),1),IF($AJ81&gt;0,INDEX(EB$7:EB$106,$AJ81),1))))</ns0:f>
        <ns0:v>1</ns0:v>
      </ns0:c>
      <ns0:c r="ED81" t="n">
        <ns0:f>IF($A81="",1,IF(EC81=1,1,--AND(IF($AC81&gt;0,INDEX(EC$7:EC$106,$AC81),1),IF($AD81&gt;0,INDEX(EC$7:EC$106,$AD81),1),IF($AE81&gt;0,INDEX(EC$7:EC$106,$AE81),1),IF($AF81&gt;0,INDEX(EC$7:EC$106,$AF81),1),IF($AG81&gt;0,INDEX(EC$7:EC$106,$AG81),1),IF($AH81&gt;0,INDEX(EC$7:EC$106,$AH81),1),IF($AI81&gt;0,INDEX(EC$7:EC$106,$AI81),1),IF($AJ81&gt;0,INDEX(EC$7:EC$106,$AJ81),1))))</ns0:f>
        <ns0:v>1</ns0:v>
      </ns0:c>
      <ns0:c r="EE81" t="n">
        <ns0:f>IF($A81="",1,IF(ED81=1,1,--AND(IF($AC81&gt;0,INDEX(ED$7:ED$106,$AC81),1),IF($AD81&gt;0,INDEX(ED$7:ED$106,$AD81),1),IF($AE81&gt;0,INDEX(ED$7:ED$106,$AE81),1),IF($AF81&gt;0,INDEX(ED$7:ED$106,$AF81),1),IF($AG81&gt;0,INDEX(ED$7:ED$106,$AG81),1),IF($AH81&gt;0,INDEX(ED$7:ED$106,$AH81),1),IF($AI81&gt;0,INDEX(ED$7:ED$106,$AI81),1),IF($AJ81&gt;0,INDEX(ED$7:ED$106,$AJ81),1))))</ns0:f>
        <ns0:v>1</ns0:v>
      </ns0:c>
      <ns0:c r="EF81" t="n">
        <ns0:f>IF($A81="",1,IF(EE81=1,1,--AND(IF($AC81&gt;0,INDEX(EE$7:EE$106,$AC81),1),IF($AD81&gt;0,INDEX(EE$7:EE$106,$AD81),1),IF($AE81&gt;0,INDEX(EE$7:EE$106,$AE81),1),IF($AF81&gt;0,INDEX(EE$7:EE$106,$AF81),1),IF($AG81&gt;0,INDEX(EE$7:EE$106,$AG81),1),IF($AH81&gt;0,INDEX(EE$7:EE$106,$AH81),1),IF($AI81&gt;0,INDEX(EE$7:EE$106,$AI81),1),IF($AJ81&gt;0,INDEX(EE$7:EE$106,$AJ81),1))))</ns0:f>
        <ns0:v>1</ns0:v>
      </ns0:c>
      <ns0:c r="EG81" t="n">
        <ns0:f>IF($A81="",1,IF(EF81=1,1,--AND(IF($AC81&gt;0,INDEX(EF$7:EF$106,$AC81),1),IF($AD81&gt;0,INDEX(EF$7:EF$106,$AD81),1),IF($AE81&gt;0,INDEX(EF$7:EF$106,$AE81),1),IF($AF81&gt;0,INDEX(EF$7:EF$106,$AF81),1),IF($AG81&gt;0,INDEX(EF$7:EF$106,$AG81),1),IF($AH81&gt;0,INDEX(EF$7:EF$106,$AH81),1),IF($AI81&gt;0,INDEX(EF$7:EF$106,$AI81),1),IF($AJ81&gt;0,INDEX(EF$7:EF$106,$AJ81),1))))</ns0:f>
        <ns0:v>1</ns0:v>
      </ns0:c>
      <ns0:c r="EH81" t="n">
        <ns0:f>IF($A81="",1,IF(EG81=1,1,--AND(IF($AC81&gt;0,INDEX(EG$7:EG$106,$AC81),1),IF($AD81&gt;0,INDEX(EG$7:EG$106,$AD81),1),IF($AE81&gt;0,INDEX(EG$7:EG$106,$AE81),1),IF($AF81&gt;0,INDEX(EG$7:EG$106,$AF81),1),IF($AG81&gt;0,INDEX(EG$7:EG$106,$AG81),1),IF($AH81&gt;0,INDEX(EG$7:EG$106,$AH81),1),IF($AI81&gt;0,INDEX(EG$7:EG$106,$AI81),1),IF($AJ81&gt;0,INDEX(EG$7:EG$106,$AJ81),1))))</ns0:f>
        <ns0:v>1</ns0:v>
      </ns0:c>
      <ns0:c r="EI81" t="n">
        <ns0:f>IF($A81="",1,IF(EH81=1,1,--AND(IF($AC81&gt;0,INDEX(EH$7:EH$106,$AC81),1),IF($AD81&gt;0,INDEX(EH$7:EH$106,$AD81),1),IF($AE81&gt;0,INDEX(EH$7:EH$106,$AE81),1),IF($AF81&gt;0,INDEX(EH$7:EH$106,$AF81),1),IF($AG81&gt;0,INDEX(EH$7:EH$106,$AG81),1),IF($AH81&gt;0,INDEX(EH$7:EH$106,$AH81),1),IF($AI81&gt;0,INDEX(EH$7:EH$106,$AI81),1),IF($AJ81&gt;0,INDEX(EH$7:EH$106,$AJ81),1))))</ns0:f>
        <ns0:v>1</ns0:v>
      </ns0:c>
      <ns0:c r="EJ81" t="n">
        <ns0:f>IF($A81="",1,IF(EI81=1,1,--AND(IF($AC81&gt;0,INDEX(EI$7:EI$106,$AC81),1),IF($AD81&gt;0,INDEX(EI$7:EI$106,$AD81),1),IF($AE81&gt;0,INDEX(EI$7:EI$106,$AE81),1),IF($AF81&gt;0,INDEX(EI$7:EI$106,$AF81),1),IF($AG81&gt;0,INDEX(EI$7:EI$106,$AG81),1),IF($AH81&gt;0,INDEX(EI$7:EI$106,$AH81),1),IF($AI81&gt;0,INDEX(EI$7:EI$106,$AI81),1),IF($AJ81&gt;0,INDEX(EI$7:EI$106,$AJ81),1))))</ns0:f>
        <ns0:v>1</ns0:v>
      </ns0:c>
      <ns0:c r="EK81" t="n">
        <ns0:f>IF($A81="",1,IF(EJ81=1,1,--AND(IF($AC81&gt;0,INDEX(EJ$7:EJ$106,$AC81),1),IF($AD81&gt;0,INDEX(EJ$7:EJ$106,$AD81),1),IF($AE81&gt;0,INDEX(EJ$7:EJ$106,$AE81),1),IF($AF81&gt;0,INDEX(EJ$7:EJ$106,$AF81),1),IF($AG81&gt;0,INDEX(EJ$7:EJ$106,$AG81),1),IF($AH81&gt;0,INDEX(EJ$7:EJ$106,$AH81),1),IF($AI81&gt;0,INDEX(EJ$7:EJ$106,$AI81),1),IF($AJ81&gt;0,INDEX(EJ$7:EJ$106,$AJ81),1))))</ns0:f>
        <ns0:v>1</ns0:v>
      </ns0:c>
      <ns0:c r="EL81" t="n">
        <ns0:f>IF($A81="",1,IF(EK81=1,1,--AND(IF($AC81&gt;0,INDEX(EK$7:EK$106,$AC81),1),IF($AD81&gt;0,INDEX(EK$7:EK$106,$AD81),1),IF($AE81&gt;0,INDEX(EK$7:EK$106,$AE81),1),IF($AF81&gt;0,INDEX(EK$7:EK$106,$AF81),1),IF($AG81&gt;0,INDEX(EK$7:EK$106,$AG81),1),IF($AH81&gt;0,INDEX(EK$7:EK$106,$AH81),1),IF($AI81&gt;0,INDEX(EK$7:EK$106,$AI81),1),IF($AJ81&gt;0,INDEX(EK$7:EK$106,$AJ81),1))))</ns0:f>
        <ns0:v>1</ns0:v>
      </ns0:c>
      <ns0:c r="EM81" t="n">
        <ns0:f>IF($A81="",1,IF(EL81=1,1,--AND(IF($AC81&gt;0,INDEX(EL$7:EL$106,$AC81),1),IF($AD81&gt;0,INDEX(EL$7:EL$106,$AD81),1),IF($AE81&gt;0,INDEX(EL$7:EL$106,$AE81),1),IF($AF81&gt;0,INDEX(EL$7:EL$106,$AF81),1),IF($AG81&gt;0,INDEX(EL$7:EL$106,$AG81),1),IF($AH81&gt;0,INDEX(EL$7:EL$106,$AH81),1),IF($AI81&gt;0,INDEX(EL$7:EL$106,$AI81),1),IF($AJ81&gt;0,INDEX(EL$7:EL$106,$AJ81),1))))</ns0:f>
        <ns0:v>1</ns0:v>
      </ns0:c>
      <ns0:c r="EN81" t="n">
        <ns0:f>IF($A81="",1,IF(EM81=1,1,--AND(IF($AC81&gt;0,INDEX(EM$7:EM$106,$AC81),1),IF($AD81&gt;0,INDEX(EM$7:EM$106,$AD81),1),IF($AE81&gt;0,INDEX(EM$7:EM$106,$AE81),1),IF($AF81&gt;0,INDEX(EM$7:EM$106,$AF81),1),IF($AG81&gt;0,INDEX(EM$7:EM$106,$AG81),1),IF($AH81&gt;0,INDEX(EM$7:EM$106,$AH81),1),IF($AI81&gt;0,INDEX(EM$7:EM$106,$AI81),1),IF($AJ81&gt;0,INDEX(EM$7:EM$106,$AJ81),1))))</ns0:f>
        <ns0:v>1</ns0:v>
      </ns0:c>
      <ns0:c r="EO81" t="n">
        <ns0:f>IF($A81="",1,IF(EN81=1,1,--AND(IF($AC81&gt;0,INDEX(EN$7:EN$106,$AC81),1),IF($AD81&gt;0,INDEX(EN$7:EN$106,$AD81),1),IF($AE81&gt;0,INDEX(EN$7:EN$106,$AE81),1),IF($AF81&gt;0,INDEX(EN$7:EN$106,$AF81),1),IF($AG81&gt;0,INDEX(EN$7:EN$106,$AG81),1),IF($AH81&gt;0,INDEX(EN$7:EN$106,$AH81),1),IF($AI81&gt;0,INDEX(EN$7:EN$106,$AI81),1),IF($AJ81&gt;0,INDEX(EN$7:EN$106,$AJ81),1))))</ns0:f>
        <ns0:v>1</ns0:v>
      </ns0:c>
      <ns0:c r="EP81" t="n">
        <ns0:f>IF($A81="",1,IF(EO81=1,1,--AND(IF($AC81&gt;0,INDEX(EO$7:EO$106,$AC81),1),IF($AD81&gt;0,INDEX(EO$7:EO$106,$AD81),1),IF($AE81&gt;0,INDEX(EO$7:EO$106,$AE81),1),IF($AF81&gt;0,INDEX(EO$7:EO$106,$AF81),1),IF($AG81&gt;0,INDEX(EO$7:EO$106,$AG81),1),IF($AH81&gt;0,INDEX(EO$7:EO$106,$AH81),1),IF($AI81&gt;0,INDEX(EO$7:EO$106,$AI81),1),IF($AJ81&gt;0,INDEX(EO$7:EO$106,$AJ81),1))))</ns0:f>
        <ns0:v>1</ns0:v>
      </ns0:c>
      <ns0:c r="EQ81" t="n">
        <ns0:f>IF(OR(A81="",NOT(ISNUMBER(G81))),0,G81*N81)</ns0:f>
        <ns0:v>0</ns0:v>
      </ns0:c>
    </ns0:row>
    <ns0:row r="82" ht="62" customHeight="1">
      <ns0:c r="A82" s="48"/>
      <ns0:c r="B82" s="48"/>
      <ns0:c r="C82" s="48"/>
      <ns0:c r="D82" s="48"/>
      <ns0:c r="E82" s="49"/>
      <ns0:c r="F82" s="49"/>
      <ns0:c r="G82" s="13" t="str">
        <ns0:f>IF(A82="","",IF(OR(NOT(ISNUMBER(E82)),NOT(ISNUMBER(F82)),F82&lt;E82),"",IF(J82="Yes",0,F82-E82+1)))</ns0:f>
      </ns0:c>
      <ns0:c r="H82" s="48"/>
      <ns0:c r="I82" s="48"/>
      <ns0:c r="J82" s="48"/>
      <ns0:c r="K82" s="48"/>
      <ns0:c r="L82" s="48"/>
      <ns0:c r="M82" s="50" t="str">
        <ns0:f>IF(A82="","",IF(N82=1,"Completed",IF(N82&gt;0,"In Progress","Not Started")))</ns0:f>
      </ns0:c>
      <ns0:c r="N82" s="51"/>
      <ns0:c r="O82" s="13" t="str">
        <ns0:f>IF(A82="","",IF(R82&lt;&gt;"","[CONFLICT] "&amp;R82,IF(S82&lt;&gt;"","[CONFLICT] "&amp;S82,IF(OR(NOT(ISNUMBER(N82)),N82&lt;0,N82&gt;1),"[CONFLICT] Invalid progress",IF(AK82&gt;0,"[DEPENDENCY ISSUE] Missing ID / &gt;8 links",IF(AM82&gt;0,"[DEPENDENCY ISSUE] Cycle or blocked by cycle",IF(AND(H82&lt;&gt;"",ISNA(MATCH(I82,{"FS","SS","FF","SF"},0))),"[DEPENDENCY ISSUE] Invalid type",IF(AL82&gt;0,"[DEPENDENCY ISSUE] Timing conflict",IF(OR(E82&lt;ProjectStart,F82&gt;ProjectEnd),"[OUTSIDE WINDOW]",IF(AND(N82&lt;1,F82&lt;AsOfDate),"Overdue",IF(AND(M82&lt;&gt;Q82,M82&lt;&gt;""),"[CONFLICT] Status / progress","On track")))))))))))</ns0:f>
      </ns0:c>
      <ns0:c r="P82" s="52"/>
      <ns0:c r="Q82" t="str">
        <ns0:f>IF(A82="","",IF(OR(M82="On Hold",M82="Delayed"),M82,IF(N82=1,"Completed",IF(N82&gt;0,"In Progress","Not Started"))))</ns0:f>
      </ns0:c>
      <ns0:c r="R82" t="str">
        <ns0:f>IF(A82="","",IF(COUNTIFS(Tasks[Task ID],A82)&lt;&gt;1,"Duplicate ID",""))</ns0:f>
      </ns0:c>
      <ns0:c r="S82" t="str">
        <ns0:f>IF(A82="","",IF(OR(NOT(ISNUMBER(E82)),NOT(ISNUMBER(F82))),"Invalid / missing date",IF(OR(E82&lt;&gt;INT(E82),F82&lt;&gt;INT(F82),E82&lt;1,F82&gt;2958465),"Invalid date",IF(F82&lt;E82,"End before start",IF(AND(J82="Yes",E82&lt;&gt;F82),"Milestone needs one date","")))))</ns0:f>
      </ns0:c>
      <ns0:c r="T82" t="n">
        <ns0:f>IF(H82="",0,LEN(H82)-LEN(SUBSTITUTE(H82,",",""))+1)</ns0:f>
        <ns0:v>0</ns0:v>
      </ns0:c>
      <ns0:c r="U82" t="str">
        <ns0:f>TRIM(MID(SUBSTITUTE($H82,",",REPT(" ",100)),1,100))</ns0:f>
      </ns0:c>
      <ns0:c r="V82" t="str">
        <ns0:f>TRIM(MID(SUBSTITUTE($H82,",",REPT(" ",100)),101,100))</ns0:f>
      </ns0:c>
      <ns0:c r="W82" t="str">
        <ns0:f>TRIM(MID(SUBSTITUTE($H82,",",REPT(" ",100)),201,100))</ns0:f>
      </ns0:c>
      <ns0:c r="X82" t="str">
        <ns0:f>TRIM(MID(SUBSTITUTE($H82,",",REPT(" ",100)),301,100))</ns0:f>
      </ns0:c>
      <ns0:c r="Y82" t="str">
        <ns0:f>TRIM(MID(SUBSTITUTE($H82,",",REPT(" ",100)),401,100))</ns0:f>
      </ns0:c>
      <ns0:c r="Z82" t="str">
        <ns0:f>TRIM(MID(SUBSTITUTE($H82,",",REPT(" ",100)),501,100))</ns0:f>
      </ns0:c>
      <ns0:c r="AA82" t="str">
        <ns0:f>TRIM(MID(SUBSTITUTE($H82,",",REPT(" ",100)),601,100))</ns0:f>
      </ns0:c>
      <ns0:c r="AB82" t="str">
        <ns0:f>TRIM(MID(SUBSTITUTE($H82,",",REPT(" ",100)),701,100))</ns0:f>
      </ns0:c>
      <ns0:c r="AC82" t="n">
        <ns0:f>IF(U82="",0,IF(COUNTIFS(Tasks[Task ID],U82)=1,MATCH(U82,Tasks[Task ID],0),-1))</ns0:f>
        <ns0:v>0</ns0:v>
      </ns0:c>
      <ns0:c r="AD82" t="n">
        <ns0:f>IF(V82="",0,IF(COUNTIFS(Tasks[Task ID],V82)=1,MATCH(V82,Tasks[Task ID],0),-1))</ns0:f>
        <ns0:v>0</ns0:v>
      </ns0:c>
      <ns0:c r="AE82" t="n">
        <ns0:f>IF(W82="",0,IF(COUNTIFS(Tasks[Task ID],W82)=1,MATCH(W82,Tasks[Task ID],0),-1))</ns0:f>
        <ns0:v>0</ns0:v>
      </ns0:c>
      <ns0:c r="AF82" t="n">
        <ns0:f>IF(X82="",0,IF(COUNTIFS(Tasks[Task ID],X82)=1,MATCH(X82,Tasks[Task ID],0),-1))</ns0:f>
        <ns0:v>0</ns0:v>
      </ns0:c>
      <ns0:c r="AG82" t="n">
        <ns0:f>IF(Y82="",0,IF(COUNTIFS(Tasks[Task ID],Y82)=1,MATCH(Y82,Tasks[Task ID],0),-1))</ns0:f>
        <ns0:v>0</ns0:v>
      </ns0:c>
      <ns0:c r="AH82" t="n">
        <ns0:f>IF(Z82="",0,IF(COUNTIFS(Tasks[Task ID],Z82)=1,MATCH(Z82,Tasks[Task ID],0),-1))</ns0:f>
        <ns0:v>0</ns0:v>
      </ns0:c>
      <ns0:c r="AI82" t="n">
        <ns0:f>IF(AA82="",0,IF(COUNTIFS(Tasks[Task ID],AA82)=1,MATCH(AA82,Tasks[Task ID],0),-1))</ns0:f>
        <ns0:v>0</ns0:v>
      </ns0:c>
      <ns0:c r="AJ82" t="n">
        <ns0:f>IF(AB82="",0,IF(COUNTIFS(Tasks[Task ID],AB82)=1,MATCH(AB82,Tasks[Task ID],0),-1))</ns0:f>
        <ns0:v>0</ns0:v>
      </ns0:c>
      <ns0:c r="AK82" t="n">
        <ns0:f>COUNTIFS(AC82:AJ82,-1)+IF(T82&gt;8,1,0)</ns0:f>
        <ns0:v>0</ns0:v>
      </ns0:c>
      <ns0:c r="AL82" t="n">
        <ns0:f>IF(OR(A82="",S82&lt;&gt;""),0,SUM(IF(AC82&gt;0,IF($I82="FS",--($E82&lt;INDEX(Tasks[End Date],AC82)+IF(INDEX(Tasks[Milestone],AC82)="Yes",0,1)),IF($I82="SS",--($E82&lt;INDEX(Tasks[Start Date],AC82)),IF($I82="FF",--($F82&lt;INDEX(Tasks[End Date],AC82)),IF($I82="SF",--($F82&lt;INDEX(Tasks[Start Date],AC82)),0)))),0),IF(AD82&gt;0,IF($I82="FS",--($E82&lt;INDEX(Tasks[End Date],AD82)+IF(INDEX(Tasks[Milestone],AD82)="Yes",0,1)),IF($I82="SS",--($E82&lt;INDEX(Tasks[Start Date],AD82)),IF($I82="FF",--($F82&lt;INDEX(Tasks[End Date],AD82)),IF($I82="SF",--($F82&lt;INDEX(Tasks[Start Date],AD82)),0)))),0),IF(AE82&gt;0,IF($I82="FS",--($E82&lt;INDEX(Tasks[End Date],AE82)+IF(INDEX(Tasks[Milestone],AE82)="Yes",0,1)),IF($I82="SS",--($E82&lt;INDEX(Tasks[Start Date],AE82)),IF($I82="FF",--($F82&lt;INDEX(Tasks[End Date],AE82)),IF($I82="SF",--($F82&lt;INDEX(Tasks[Start Date],AE82)),0)))),0),IF(AF82&gt;0,IF($I82="FS",--($E82&lt;INDEX(Tasks[End Date],AF82)+IF(INDEX(Tasks[Milestone],AF82)="Yes",0,1)),IF($I82="SS",--($E82&lt;INDEX(Tasks[Start Date],AF82)),IF($I82="FF",--($F82&lt;INDEX(Tasks[End Date],AF82)),IF($I82="SF",--($F82&lt;INDEX(Tasks[Start Date],AF82)),0)))),0),IF(AG82&gt;0,IF($I82="FS",--($E82&lt;INDEX(Tasks[End Date],AG82)+IF(INDEX(Tasks[Milestone],AG82)="Yes",0,1)),IF($I82="SS",--($E82&lt;INDEX(Tasks[Start Date],AG82)),IF($I82="FF",--($F82&lt;INDEX(Tasks[End Date],AG82)),IF($I82="SF",--($F82&lt;INDEX(Tasks[Start Date],AG82)),0)))),0),IF(AH82&gt;0,IF($I82="FS",--($E82&lt;INDEX(Tasks[End Date],AH82)+IF(INDEX(Tasks[Milestone],AH82)="Yes",0,1)),IF($I82="SS",--($E82&lt;INDEX(Tasks[Start Date],AH82)),IF($I82="FF",--($F82&lt;INDEX(Tasks[End Date],AH82)),IF($I82="SF",--($F82&lt;INDEX(Tasks[Start Date],AH82)),0)))),0),IF(AI82&gt;0,IF($I82="FS",--($E82&lt;INDEX(Tasks[End Date],AI82)+IF(INDEX(Tasks[Milestone],AI82)="Yes",0,1)),IF($I82="SS",--($E82&lt;INDEX(Tasks[Start Date],AI82)),IF($I82="FF",--($F82&lt;INDEX(Tasks[End Date],AI82)),IF($I82="SF",--($F82&lt;INDEX(Tasks[Start Date],AI82)),0)))),0),IF(AJ82&gt;0,IF($I82="FS",--($E82&lt;INDEX(Tasks[End Date],AJ82)+IF(INDEX(Tasks[Milestone],AJ82)="Yes",0,1)),IF($I82="SS",--($E82&lt;INDEX(Tasks[Start Date],AJ82)),IF($I82="FF",--($F82&lt;INDEX(Tasks[End Date],AJ82)),IF($I82="SF",--($F82&lt;INDEX(Tasks[Start Date],AJ82)),0)))),0)))</ns0:f>
        <ns0:v>0</ns0:v>
      </ns0:c>
      <ns0:c r="AM82" t="n">
        <ns0:f>IF(AND(A82&lt;&gt;"",AK82=0,EP82=0),1,0)</ns0:f>
        <ns0:v>0</ns0:v>
      </ns0:c>
      <ns0:c r="AN82" t="str">
        <ns0:f>IF(OR(A82="",B82=""),"",IF(COUNTIFS($B$7:B82,B82)=1,MAX($AN$6:AN81)+1,""))</ns0:f>
      </ns0:c>
      <ns0:c r="AO82" t="n">
        <ns0:f>IF(AND(A82&lt;&gt;"",J82="No",N82&lt;1,E82&gt;=AsOfDate),E82+ROW()/10000,1E+9)</ns0:f>
        <ns0:v>1000000000</ns0:v>
      </ns0:c>
      <ns0:c r="AP82" t="n">
        <ns0:f>IF(AND(A82&lt;&gt;"",J82="Yes",N82&lt;1,E82&gt;=AsOfDate),E82+ROW()/10000,1E+9)</ns0:f>
        <ns0:v>1000000000</ns0:v>
      </ns0:c>
      <ns0:c r="AQ82" t="n">
        <ns0:f>IF(AND(A82&lt;&gt;"",J82="No",N82&lt;1,F82&gt;=AsOfDate,F82&lt;=AsOfDate+7),F82+ROW()/10000,1E+9)</ns0:f>
        <ns0:v>1000000000</ns0:v>
      </ns0:c>
      <ns0:c r="AR82" t="n">
        <ns0:f>IF(AND(A82&lt;&gt;"",OR(O82&lt;&gt;"On track",Q82="Delayed")),ROW(),1E+9)</ns0:f>
        <ns0:v>1000000000</ns0:v>
      </ns0:c>
      <ns0:c r="AS82" t="str">
        <ns0:f>IF(A82="","",";"&amp;K82&amp;";")</ns0:f>
      </ns0:c>
      <ns0:c r="AT82" t="n">
        <ns0:f>IF(A82="",1,--(T82=0))</ns0:f>
        <ns0:v>1</ns0:v>
      </ns0:c>
      <ns0:c r="AU82" t="n">
        <ns0:f>IF($A82="",1,IF(AT82=1,1,--AND(IF($AC82&gt;0,INDEX(AT$7:AT$106,$AC82),1),IF($AD82&gt;0,INDEX(AT$7:AT$106,$AD82),1),IF($AE82&gt;0,INDEX(AT$7:AT$106,$AE82),1),IF($AF82&gt;0,INDEX(AT$7:AT$106,$AF82),1),IF($AG82&gt;0,INDEX(AT$7:AT$106,$AG82),1),IF($AH82&gt;0,INDEX(AT$7:AT$106,$AH82),1),IF($AI82&gt;0,INDEX(AT$7:AT$106,$AI82),1),IF($AJ82&gt;0,INDEX(AT$7:AT$106,$AJ82),1))))</ns0:f>
        <ns0:v>1</ns0:v>
      </ns0:c>
      <ns0:c r="AV82" t="n">
        <ns0:f>IF($A82="",1,IF(AU82=1,1,--AND(IF($AC82&gt;0,INDEX(AU$7:AU$106,$AC82),1),IF($AD82&gt;0,INDEX(AU$7:AU$106,$AD82),1),IF($AE82&gt;0,INDEX(AU$7:AU$106,$AE82),1),IF($AF82&gt;0,INDEX(AU$7:AU$106,$AF82),1),IF($AG82&gt;0,INDEX(AU$7:AU$106,$AG82),1),IF($AH82&gt;0,INDEX(AU$7:AU$106,$AH82),1),IF($AI82&gt;0,INDEX(AU$7:AU$106,$AI82),1),IF($AJ82&gt;0,INDEX(AU$7:AU$106,$AJ82),1))))</ns0:f>
        <ns0:v>1</ns0:v>
      </ns0:c>
      <ns0:c r="AW82" t="n">
        <ns0:f>IF($A82="",1,IF(AV82=1,1,--AND(IF($AC82&gt;0,INDEX(AV$7:AV$106,$AC82),1),IF($AD82&gt;0,INDEX(AV$7:AV$106,$AD82),1),IF($AE82&gt;0,INDEX(AV$7:AV$106,$AE82),1),IF($AF82&gt;0,INDEX(AV$7:AV$106,$AF82),1),IF($AG82&gt;0,INDEX(AV$7:AV$106,$AG82),1),IF($AH82&gt;0,INDEX(AV$7:AV$106,$AH82),1),IF($AI82&gt;0,INDEX(AV$7:AV$106,$AI82),1),IF($AJ82&gt;0,INDEX(AV$7:AV$106,$AJ82),1))))</ns0:f>
        <ns0:v>1</ns0:v>
      </ns0:c>
      <ns0:c r="AX82" t="n">
        <ns0:f>IF($A82="",1,IF(AW82=1,1,--AND(IF($AC82&gt;0,INDEX(AW$7:AW$106,$AC82),1),IF($AD82&gt;0,INDEX(AW$7:AW$106,$AD82),1),IF($AE82&gt;0,INDEX(AW$7:AW$106,$AE82),1),IF($AF82&gt;0,INDEX(AW$7:AW$106,$AF82),1),IF($AG82&gt;0,INDEX(AW$7:AW$106,$AG82),1),IF($AH82&gt;0,INDEX(AW$7:AW$106,$AH82),1),IF($AI82&gt;0,INDEX(AW$7:AW$106,$AI82),1),IF($AJ82&gt;0,INDEX(AW$7:AW$106,$AJ82),1))))</ns0:f>
        <ns0:v>1</ns0:v>
      </ns0:c>
      <ns0:c r="AY82" t="n">
        <ns0:f>IF($A82="",1,IF(AX82=1,1,--AND(IF($AC82&gt;0,INDEX(AX$7:AX$106,$AC82),1),IF($AD82&gt;0,INDEX(AX$7:AX$106,$AD82),1),IF($AE82&gt;0,INDEX(AX$7:AX$106,$AE82),1),IF($AF82&gt;0,INDEX(AX$7:AX$106,$AF82),1),IF($AG82&gt;0,INDEX(AX$7:AX$106,$AG82),1),IF($AH82&gt;0,INDEX(AX$7:AX$106,$AH82),1),IF($AI82&gt;0,INDEX(AX$7:AX$106,$AI82),1),IF($AJ82&gt;0,INDEX(AX$7:AX$106,$AJ82),1))))</ns0:f>
        <ns0:v>1</ns0:v>
      </ns0:c>
      <ns0:c r="AZ82" t="n">
        <ns0:f>IF($A82="",1,IF(AY82=1,1,--AND(IF($AC82&gt;0,INDEX(AY$7:AY$106,$AC82),1),IF($AD82&gt;0,INDEX(AY$7:AY$106,$AD82),1),IF($AE82&gt;0,INDEX(AY$7:AY$106,$AE82),1),IF($AF82&gt;0,INDEX(AY$7:AY$106,$AF82),1),IF($AG82&gt;0,INDEX(AY$7:AY$106,$AG82),1),IF($AH82&gt;0,INDEX(AY$7:AY$106,$AH82),1),IF($AI82&gt;0,INDEX(AY$7:AY$106,$AI82),1),IF($AJ82&gt;0,INDEX(AY$7:AY$106,$AJ82),1))))</ns0:f>
        <ns0:v>1</ns0:v>
      </ns0:c>
      <ns0:c r="BA82" t="n">
        <ns0:f>IF($A82="",1,IF(AZ82=1,1,--AND(IF($AC82&gt;0,INDEX(AZ$7:AZ$106,$AC82),1),IF($AD82&gt;0,INDEX(AZ$7:AZ$106,$AD82),1),IF($AE82&gt;0,INDEX(AZ$7:AZ$106,$AE82),1),IF($AF82&gt;0,INDEX(AZ$7:AZ$106,$AF82),1),IF($AG82&gt;0,INDEX(AZ$7:AZ$106,$AG82),1),IF($AH82&gt;0,INDEX(AZ$7:AZ$106,$AH82),1),IF($AI82&gt;0,INDEX(AZ$7:AZ$106,$AI82),1),IF($AJ82&gt;0,INDEX(AZ$7:AZ$106,$AJ82),1))))</ns0:f>
        <ns0:v>1</ns0:v>
      </ns0:c>
      <ns0:c r="BB82" t="n">
        <ns0:f>IF($A82="",1,IF(BA82=1,1,--AND(IF($AC82&gt;0,INDEX(BA$7:BA$106,$AC82),1),IF($AD82&gt;0,INDEX(BA$7:BA$106,$AD82),1),IF($AE82&gt;0,INDEX(BA$7:BA$106,$AE82),1),IF($AF82&gt;0,INDEX(BA$7:BA$106,$AF82),1),IF($AG82&gt;0,INDEX(BA$7:BA$106,$AG82),1),IF($AH82&gt;0,INDEX(BA$7:BA$106,$AH82),1),IF($AI82&gt;0,INDEX(BA$7:BA$106,$AI82),1),IF($AJ82&gt;0,INDEX(BA$7:BA$106,$AJ82),1))))</ns0:f>
        <ns0:v>1</ns0:v>
      </ns0:c>
      <ns0:c r="BC82" t="n">
        <ns0:f>IF($A82="",1,IF(BB82=1,1,--AND(IF($AC82&gt;0,INDEX(BB$7:BB$106,$AC82),1),IF($AD82&gt;0,INDEX(BB$7:BB$106,$AD82),1),IF($AE82&gt;0,INDEX(BB$7:BB$106,$AE82),1),IF($AF82&gt;0,INDEX(BB$7:BB$106,$AF82),1),IF($AG82&gt;0,INDEX(BB$7:BB$106,$AG82),1),IF($AH82&gt;0,INDEX(BB$7:BB$106,$AH82),1),IF($AI82&gt;0,INDEX(BB$7:BB$106,$AI82),1),IF($AJ82&gt;0,INDEX(BB$7:BB$106,$AJ82),1))))</ns0:f>
        <ns0:v>1</ns0:v>
      </ns0:c>
      <ns0:c r="BD82" t="n">
        <ns0:f>IF($A82="",1,IF(BC82=1,1,--AND(IF($AC82&gt;0,INDEX(BC$7:BC$106,$AC82),1),IF($AD82&gt;0,INDEX(BC$7:BC$106,$AD82),1),IF($AE82&gt;0,INDEX(BC$7:BC$106,$AE82),1),IF($AF82&gt;0,INDEX(BC$7:BC$106,$AF82),1),IF($AG82&gt;0,INDEX(BC$7:BC$106,$AG82),1),IF($AH82&gt;0,INDEX(BC$7:BC$106,$AH82),1),IF($AI82&gt;0,INDEX(BC$7:BC$106,$AI82),1),IF($AJ82&gt;0,INDEX(BC$7:BC$106,$AJ82),1))))</ns0:f>
        <ns0:v>1</ns0:v>
      </ns0:c>
      <ns0:c r="BE82" t="n">
        <ns0:f>IF($A82="",1,IF(BD82=1,1,--AND(IF($AC82&gt;0,INDEX(BD$7:BD$106,$AC82),1),IF($AD82&gt;0,INDEX(BD$7:BD$106,$AD82),1),IF($AE82&gt;0,INDEX(BD$7:BD$106,$AE82),1),IF($AF82&gt;0,INDEX(BD$7:BD$106,$AF82),1),IF($AG82&gt;0,INDEX(BD$7:BD$106,$AG82),1),IF($AH82&gt;0,INDEX(BD$7:BD$106,$AH82),1),IF($AI82&gt;0,INDEX(BD$7:BD$106,$AI82),1),IF($AJ82&gt;0,INDEX(BD$7:BD$106,$AJ82),1))))</ns0:f>
        <ns0:v>1</ns0:v>
      </ns0:c>
      <ns0:c r="BF82" t="n">
        <ns0:f>IF($A82="",1,IF(BE82=1,1,--AND(IF($AC82&gt;0,INDEX(BE$7:BE$106,$AC82),1),IF($AD82&gt;0,INDEX(BE$7:BE$106,$AD82),1),IF($AE82&gt;0,INDEX(BE$7:BE$106,$AE82),1),IF($AF82&gt;0,INDEX(BE$7:BE$106,$AF82),1),IF($AG82&gt;0,INDEX(BE$7:BE$106,$AG82),1),IF($AH82&gt;0,INDEX(BE$7:BE$106,$AH82),1),IF($AI82&gt;0,INDEX(BE$7:BE$106,$AI82),1),IF($AJ82&gt;0,INDEX(BE$7:BE$106,$AJ82),1))))</ns0:f>
        <ns0:v>1</ns0:v>
      </ns0:c>
      <ns0:c r="BG82" t="n">
        <ns0:f>IF($A82="",1,IF(BF82=1,1,--AND(IF($AC82&gt;0,INDEX(BF$7:BF$106,$AC82),1),IF($AD82&gt;0,INDEX(BF$7:BF$106,$AD82),1),IF($AE82&gt;0,INDEX(BF$7:BF$106,$AE82),1),IF($AF82&gt;0,INDEX(BF$7:BF$106,$AF82),1),IF($AG82&gt;0,INDEX(BF$7:BF$106,$AG82),1),IF($AH82&gt;0,INDEX(BF$7:BF$106,$AH82),1),IF($AI82&gt;0,INDEX(BF$7:BF$106,$AI82),1),IF($AJ82&gt;0,INDEX(BF$7:BF$106,$AJ82),1))))</ns0:f>
        <ns0:v>1</ns0:v>
      </ns0:c>
      <ns0:c r="BH82" t="n">
        <ns0:f>IF($A82="",1,IF(BG82=1,1,--AND(IF($AC82&gt;0,INDEX(BG$7:BG$106,$AC82),1),IF($AD82&gt;0,INDEX(BG$7:BG$106,$AD82),1),IF($AE82&gt;0,INDEX(BG$7:BG$106,$AE82),1),IF($AF82&gt;0,INDEX(BG$7:BG$106,$AF82),1),IF($AG82&gt;0,INDEX(BG$7:BG$106,$AG82),1),IF($AH82&gt;0,INDEX(BG$7:BG$106,$AH82),1),IF($AI82&gt;0,INDEX(BG$7:BG$106,$AI82),1),IF($AJ82&gt;0,INDEX(BG$7:BG$106,$AJ82),1))))</ns0:f>
        <ns0:v>1</ns0:v>
      </ns0:c>
      <ns0:c r="BI82" t="n">
        <ns0:f>IF($A82="",1,IF(BH82=1,1,--AND(IF($AC82&gt;0,INDEX(BH$7:BH$106,$AC82),1),IF($AD82&gt;0,INDEX(BH$7:BH$106,$AD82),1),IF($AE82&gt;0,INDEX(BH$7:BH$106,$AE82),1),IF($AF82&gt;0,INDEX(BH$7:BH$106,$AF82),1),IF($AG82&gt;0,INDEX(BH$7:BH$106,$AG82),1),IF($AH82&gt;0,INDEX(BH$7:BH$106,$AH82),1),IF($AI82&gt;0,INDEX(BH$7:BH$106,$AI82),1),IF($AJ82&gt;0,INDEX(BH$7:BH$106,$AJ82),1))))</ns0:f>
        <ns0:v>1</ns0:v>
      </ns0:c>
      <ns0:c r="BJ82" t="n">
        <ns0:f>IF($A82="",1,IF(BI82=1,1,--AND(IF($AC82&gt;0,INDEX(BI$7:BI$106,$AC82),1),IF($AD82&gt;0,INDEX(BI$7:BI$106,$AD82),1),IF($AE82&gt;0,INDEX(BI$7:BI$106,$AE82),1),IF($AF82&gt;0,INDEX(BI$7:BI$106,$AF82),1),IF($AG82&gt;0,INDEX(BI$7:BI$106,$AG82),1),IF($AH82&gt;0,INDEX(BI$7:BI$106,$AH82),1),IF($AI82&gt;0,INDEX(BI$7:BI$106,$AI82),1),IF($AJ82&gt;0,INDEX(BI$7:BI$106,$AJ82),1))))</ns0:f>
        <ns0:v>1</ns0:v>
      </ns0:c>
      <ns0:c r="BK82" t="n">
        <ns0:f>IF($A82="",1,IF(BJ82=1,1,--AND(IF($AC82&gt;0,INDEX(BJ$7:BJ$106,$AC82),1),IF($AD82&gt;0,INDEX(BJ$7:BJ$106,$AD82),1),IF($AE82&gt;0,INDEX(BJ$7:BJ$106,$AE82),1),IF($AF82&gt;0,INDEX(BJ$7:BJ$106,$AF82),1),IF($AG82&gt;0,INDEX(BJ$7:BJ$106,$AG82),1),IF($AH82&gt;0,INDEX(BJ$7:BJ$106,$AH82),1),IF($AI82&gt;0,INDEX(BJ$7:BJ$106,$AI82),1),IF($AJ82&gt;0,INDEX(BJ$7:BJ$106,$AJ82),1))))</ns0:f>
        <ns0:v>1</ns0:v>
      </ns0:c>
      <ns0:c r="BL82" t="n">
        <ns0:f>IF($A82="",1,IF(BK82=1,1,--AND(IF($AC82&gt;0,INDEX(BK$7:BK$106,$AC82),1),IF($AD82&gt;0,INDEX(BK$7:BK$106,$AD82),1),IF($AE82&gt;0,INDEX(BK$7:BK$106,$AE82),1),IF($AF82&gt;0,INDEX(BK$7:BK$106,$AF82),1),IF($AG82&gt;0,INDEX(BK$7:BK$106,$AG82),1),IF($AH82&gt;0,INDEX(BK$7:BK$106,$AH82),1),IF($AI82&gt;0,INDEX(BK$7:BK$106,$AI82),1),IF($AJ82&gt;0,INDEX(BK$7:BK$106,$AJ82),1))))</ns0:f>
        <ns0:v>1</ns0:v>
      </ns0:c>
      <ns0:c r="BM82" t="n">
        <ns0:f>IF($A82="",1,IF(BL82=1,1,--AND(IF($AC82&gt;0,INDEX(BL$7:BL$106,$AC82),1),IF($AD82&gt;0,INDEX(BL$7:BL$106,$AD82),1),IF($AE82&gt;0,INDEX(BL$7:BL$106,$AE82),1),IF($AF82&gt;0,INDEX(BL$7:BL$106,$AF82),1),IF($AG82&gt;0,INDEX(BL$7:BL$106,$AG82),1),IF($AH82&gt;0,INDEX(BL$7:BL$106,$AH82),1),IF($AI82&gt;0,INDEX(BL$7:BL$106,$AI82),1),IF($AJ82&gt;0,INDEX(BL$7:BL$106,$AJ82),1))))</ns0:f>
        <ns0:v>1</ns0:v>
      </ns0:c>
      <ns0:c r="BN82" t="n">
        <ns0:f>IF($A82="",1,IF(BM82=1,1,--AND(IF($AC82&gt;0,INDEX(BM$7:BM$106,$AC82),1),IF($AD82&gt;0,INDEX(BM$7:BM$106,$AD82),1),IF($AE82&gt;0,INDEX(BM$7:BM$106,$AE82),1),IF($AF82&gt;0,INDEX(BM$7:BM$106,$AF82),1),IF($AG82&gt;0,INDEX(BM$7:BM$106,$AG82),1),IF($AH82&gt;0,INDEX(BM$7:BM$106,$AH82),1),IF($AI82&gt;0,INDEX(BM$7:BM$106,$AI82),1),IF($AJ82&gt;0,INDEX(BM$7:BM$106,$AJ82),1))))</ns0:f>
        <ns0:v>1</ns0:v>
      </ns0:c>
      <ns0:c r="BO82" t="n">
        <ns0:f>IF($A82="",1,IF(BN82=1,1,--AND(IF($AC82&gt;0,INDEX(BN$7:BN$106,$AC82),1),IF($AD82&gt;0,INDEX(BN$7:BN$106,$AD82),1),IF($AE82&gt;0,INDEX(BN$7:BN$106,$AE82),1),IF($AF82&gt;0,INDEX(BN$7:BN$106,$AF82),1),IF($AG82&gt;0,INDEX(BN$7:BN$106,$AG82),1),IF($AH82&gt;0,INDEX(BN$7:BN$106,$AH82),1),IF($AI82&gt;0,INDEX(BN$7:BN$106,$AI82),1),IF($AJ82&gt;0,INDEX(BN$7:BN$106,$AJ82),1))))</ns0:f>
        <ns0:v>1</ns0:v>
      </ns0:c>
      <ns0:c r="BP82" t="n">
        <ns0:f>IF($A82="",1,IF(BO82=1,1,--AND(IF($AC82&gt;0,INDEX(BO$7:BO$106,$AC82),1),IF($AD82&gt;0,INDEX(BO$7:BO$106,$AD82),1),IF($AE82&gt;0,INDEX(BO$7:BO$106,$AE82),1),IF($AF82&gt;0,INDEX(BO$7:BO$106,$AF82),1),IF($AG82&gt;0,INDEX(BO$7:BO$106,$AG82),1),IF($AH82&gt;0,INDEX(BO$7:BO$106,$AH82),1),IF($AI82&gt;0,INDEX(BO$7:BO$106,$AI82),1),IF($AJ82&gt;0,INDEX(BO$7:BO$106,$AJ82),1))))</ns0:f>
        <ns0:v>1</ns0:v>
      </ns0:c>
      <ns0:c r="BQ82" t="n">
        <ns0:f>IF($A82="",1,IF(BP82=1,1,--AND(IF($AC82&gt;0,INDEX(BP$7:BP$106,$AC82),1),IF($AD82&gt;0,INDEX(BP$7:BP$106,$AD82),1),IF($AE82&gt;0,INDEX(BP$7:BP$106,$AE82),1),IF($AF82&gt;0,INDEX(BP$7:BP$106,$AF82),1),IF($AG82&gt;0,INDEX(BP$7:BP$106,$AG82),1),IF($AH82&gt;0,INDEX(BP$7:BP$106,$AH82),1),IF($AI82&gt;0,INDEX(BP$7:BP$106,$AI82),1),IF($AJ82&gt;0,INDEX(BP$7:BP$106,$AJ82),1))))</ns0:f>
        <ns0:v>1</ns0:v>
      </ns0:c>
      <ns0:c r="BR82" t="n">
        <ns0:f>IF($A82="",1,IF(BQ82=1,1,--AND(IF($AC82&gt;0,INDEX(BQ$7:BQ$106,$AC82),1),IF($AD82&gt;0,INDEX(BQ$7:BQ$106,$AD82),1),IF($AE82&gt;0,INDEX(BQ$7:BQ$106,$AE82),1),IF($AF82&gt;0,INDEX(BQ$7:BQ$106,$AF82),1),IF($AG82&gt;0,INDEX(BQ$7:BQ$106,$AG82),1),IF($AH82&gt;0,INDEX(BQ$7:BQ$106,$AH82),1),IF($AI82&gt;0,INDEX(BQ$7:BQ$106,$AI82),1),IF($AJ82&gt;0,INDEX(BQ$7:BQ$106,$AJ82),1))))</ns0:f>
        <ns0:v>1</ns0:v>
      </ns0:c>
      <ns0:c r="BS82" t="n">
        <ns0:f>IF($A82="",1,IF(BR82=1,1,--AND(IF($AC82&gt;0,INDEX(BR$7:BR$106,$AC82),1),IF($AD82&gt;0,INDEX(BR$7:BR$106,$AD82),1),IF($AE82&gt;0,INDEX(BR$7:BR$106,$AE82),1),IF($AF82&gt;0,INDEX(BR$7:BR$106,$AF82),1),IF($AG82&gt;0,INDEX(BR$7:BR$106,$AG82),1),IF($AH82&gt;0,INDEX(BR$7:BR$106,$AH82),1),IF($AI82&gt;0,INDEX(BR$7:BR$106,$AI82),1),IF($AJ82&gt;0,INDEX(BR$7:BR$106,$AJ82),1))))</ns0:f>
        <ns0:v>1</ns0:v>
      </ns0:c>
      <ns0:c r="BT82" t="n">
        <ns0:f>IF($A82="",1,IF(BS82=1,1,--AND(IF($AC82&gt;0,INDEX(BS$7:BS$106,$AC82),1),IF($AD82&gt;0,INDEX(BS$7:BS$106,$AD82),1),IF($AE82&gt;0,INDEX(BS$7:BS$106,$AE82),1),IF($AF82&gt;0,INDEX(BS$7:BS$106,$AF82),1),IF($AG82&gt;0,INDEX(BS$7:BS$106,$AG82),1),IF($AH82&gt;0,INDEX(BS$7:BS$106,$AH82),1),IF($AI82&gt;0,INDEX(BS$7:BS$106,$AI82),1),IF($AJ82&gt;0,INDEX(BS$7:BS$106,$AJ82),1))))</ns0:f>
        <ns0:v>1</ns0:v>
      </ns0:c>
      <ns0:c r="BU82" t="n">
        <ns0:f>IF($A82="",1,IF(BT82=1,1,--AND(IF($AC82&gt;0,INDEX(BT$7:BT$106,$AC82),1),IF($AD82&gt;0,INDEX(BT$7:BT$106,$AD82),1),IF($AE82&gt;0,INDEX(BT$7:BT$106,$AE82),1),IF($AF82&gt;0,INDEX(BT$7:BT$106,$AF82),1),IF($AG82&gt;0,INDEX(BT$7:BT$106,$AG82),1),IF($AH82&gt;0,INDEX(BT$7:BT$106,$AH82),1),IF($AI82&gt;0,INDEX(BT$7:BT$106,$AI82),1),IF($AJ82&gt;0,INDEX(BT$7:BT$106,$AJ82),1))))</ns0:f>
        <ns0:v>1</ns0:v>
      </ns0:c>
      <ns0:c r="BV82" t="n">
        <ns0:f>IF($A82="",1,IF(BU82=1,1,--AND(IF($AC82&gt;0,INDEX(BU$7:BU$106,$AC82),1),IF($AD82&gt;0,INDEX(BU$7:BU$106,$AD82),1),IF($AE82&gt;0,INDEX(BU$7:BU$106,$AE82),1),IF($AF82&gt;0,INDEX(BU$7:BU$106,$AF82),1),IF($AG82&gt;0,INDEX(BU$7:BU$106,$AG82),1),IF($AH82&gt;0,INDEX(BU$7:BU$106,$AH82),1),IF($AI82&gt;0,INDEX(BU$7:BU$106,$AI82),1),IF($AJ82&gt;0,INDEX(BU$7:BU$106,$AJ82),1))))</ns0:f>
        <ns0:v>1</ns0:v>
      </ns0:c>
      <ns0:c r="BW82" t="n">
        <ns0:f>IF($A82="",1,IF(BV82=1,1,--AND(IF($AC82&gt;0,INDEX(BV$7:BV$106,$AC82),1),IF($AD82&gt;0,INDEX(BV$7:BV$106,$AD82),1),IF($AE82&gt;0,INDEX(BV$7:BV$106,$AE82),1),IF($AF82&gt;0,INDEX(BV$7:BV$106,$AF82),1),IF($AG82&gt;0,INDEX(BV$7:BV$106,$AG82),1),IF($AH82&gt;0,INDEX(BV$7:BV$106,$AH82),1),IF($AI82&gt;0,INDEX(BV$7:BV$106,$AI82),1),IF($AJ82&gt;0,INDEX(BV$7:BV$106,$AJ82),1))))</ns0:f>
        <ns0:v>1</ns0:v>
      </ns0:c>
      <ns0:c r="BX82" t="n">
        <ns0:f>IF($A82="",1,IF(BW82=1,1,--AND(IF($AC82&gt;0,INDEX(BW$7:BW$106,$AC82),1),IF($AD82&gt;0,INDEX(BW$7:BW$106,$AD82),1),IF($AE82&gt;0,INDEX(BW$7:BW$106,$AE82),1),IF($AF82&gt;0,INDEX(BW$7:BW$106,$AF82),1),IF($AG82&gt;0,INDEX(BW$7:BW$106,$AG82),1),IF($AH82&gt;0,INDEX(BW$7:BW$106,$AH82),1),IF($AI82&gt;0,INDEX(BW$7:BW$106,$AI82),1),IF($AJ82&gt;0,INDEX(BW$7:BW$106,$AJ82),1))))</ns0:f>
        <ns0:v>1</ns0:v>
      </ns0:c>
      <ns0:c r="BY82" t="n">
        <ns0:f>IF($A82="",1,IF(BX82=1,1,--AND(IF($AC82&gt;0,INDEX(BX$7:BX$106,$AC82),1),IF($AD82&gt;0,INDEX(BX$7:BX$106,$AD82),1),IF($AE82&gt;0,INDEX(BX$7:BX$106,$AE82),1),IF($AF82&gt;0,INDEX(BX$7:BX$106,$AF82),1),IF($AG82&gt;0,INDEX(BX$7:BX$106,$AG82),1),IF($AH82&gt;0,INDEX(BX$7:BX$106,$AH82),1),IF($AI82&gt;0,INDEX(BX$7:BX$106,$AI82),1),IF($AJ82&gt;0,INDEX(BX$7:BX$106,$AJ82),1))))</ns0:f>
        <ns0:v>1</ns0:v>
      </ns0:c>
      <ns0:c r="BZ82" t="n">
        <ns0:f>IF($A82="",1,IF(BY82=1,1,--AND(IF($AC82&gt;0,INDEX(BY$7:BY$106,$AC82),1),IF($AD82&gt;0,INDEX(BY$7:BY$106,$AD82),1),IF($AE82&gt;0,INDEX(BY$7:BY$106,$AE82),1),IF($AF82&gt;0,INDEX(BY$7:BY$106,$AF82),1),IF($AG82&gt;0,INDEX(BY$7:BY$106,$AG82),1),IF($AH82&gt;0,INDEX(BY$7:BY$106,$AH82),1),IF($AI82&gt;0,INDEX(BY$7:BY$106,$AI82),1),IF($AJ82&gt;0,INDEX(BY$7:BY$106,$AJ82),1))))</ns0:f>
        <ns0:v>1</ns0:v>
      </ns0:c>
      <ns0:c r="CA82" t="n">
        <ns0:f>IF($A82="",1,IF(BZ82=1,1,--AND(IF($AC82&gt;0,INDEX(BZ$7:BZ$106,$AC82),1),IF($AD82&gt;0,INDEX(BZ$7:BZ$106,$AD82),1),IF($AE82&gt;0,INDEX(BZ$7:BZ$106,$AE82),1),IF($AF82&gt;0,INDEX(BZ$7:BZ$106,$AF82),1),IF($AG82&gt;0,INDEX(BZ$7:BZ$106,$AG82),1),IF($AH82&gt;0,INDEX(BZ$7:BZ$106,$AH82),1),IF($AI82&gt;0,INDEX(BZ$7:BZ$106,$AI82),1),IF($AJ82&gt;0,INDEX(BZ$7:BZ$106,$AJ82),1))))</ns0:f>
        <ns0:v>1</ns0:v>
      </ns0:c>
      <ns0:c r="CB82" t="n">
        <ns0:f>IF($A82="",1,IF(CA82=1,1,--AND(IF($AC82&gt;0,INDEX(CA$7:CA$106,$AC82),1),IF($AD82&gt;0,INDEX(CA$7:CA$106,$AD82),1),IF($AE82&gt;0,INDEX(CA$7:CA$106,$AE82),1),IF($AF82&gt;0,INDEX(CA$7:CA$106,$AF82),1),IF($AG82&gt;0,INDEX(CA$7:CA$106,$AG82),1),IF($AH82&gt;0,INDEX(CA$7:CA$106,$AH82),1),IF($AI82&gt;0,INDEX(CA$7:CA$106,$AI82),1),IF($AJ82&gt;0,INDEX(CA$7:CA$106,$AJ82),1))))</ns0:f>
        <ns0:v>1</ns0:v>
      </ns0:c>
      <ns0:c r="CC82" t="n">
        <ns0:f>IF($A82="",1,IF(CB82=1,1,--AND(IF($AC82&gt;0,INDEX(CB$7:CB$106,$AC82),1),IF($AD82&gt;0,INDEX(CB$7:CB$106,$AD82),1),IF($AE82&gt;0,INDEX(CB$7:CB$106,$AE82),1),IF($AF82&gt;0,INDEX(CB$7:CB$106,$AF82),1),IF($AG82&gt;0,INDEX(CB$7:CB$106,$AG82),1),IF($AH82&gt;0,INDEX(CB$7:CB$106,$AH82),1),IF($AI82&gt;0,INDEX(CB$7:CB$106,$AI82),1),IF($AJ82&gt;0,INDEX(CB$7:CB$106,$AJ82),1))))</ns0:f>
        <ns0:v>1</ns0:v>
      </ns0:c>
      <ns0:c r="CD82" t="n">
        <ns0:f>IF($A82="",1,IF(CC82=1,1,--AND(IF($AC82&gt;0,INDEX(CC$7:CC$106,$AC82),1),IF($AD82&gt;0,INDEX(CC$7:CC$106,$AD82),1),IF($AE82&gt;0,INDEX(CC$7:CC$106,$AE82),1),IF($AF82&gt;0,INDEX(CC$7:CC$106,$AF82),1),IF($AG82&gt;0,INDEX(CC$7:CC$106,$AG82),1),IF($AH82&gt;0,INDEX(CC$7:CC$106,$AH82),1),IF($AI82&gt;0,INDEX(CC$7:CC$106,$AI82),1),IF($AJ82&gt;0,INDEX(CC$7:CC$106,$AJ82),1))))</ns0:f>
        <ns0:v>1</ns0:v>
      </ns0:c>
      <ns0:c r="CE82" t="n">
        <ns0:f>IF($A82="",1,IF(CD82=1,1,--AND(IF($AC82&gt;0,INDEX(CD$7:CD$106,$AC82),1),IF($AD82&gt;0,INDEX(CD$7:CD$106,$AD82),1),IF($AE82&gt;0,INDEX(CD$7:CD$106,$AE82),1),IF($AF82&gt;0,INDEX(CD$7:CD$106,$AF82),1),IF($AG82&gt;0,INDEX(CD$7:CD$106,$AG82),1),IF($AH82&gt;0,INDEX(CD$7:CD$106,$AH82),1),IF($AI82&gt;0,INDEX(CD$7:CD$106,$AI82),1),IF($AJ82&gt;0,INDEX(CD$7:CD$106,$AJ82),1))))</ns0:f>
        <ns0:v>1</ns0:v>
      </ns0:c>
      <ns0:c r="CF82" t="n">
        <ns0:f>IF($A82="",1,IF(CE82=1,1,--AND(IF($AC82&gt;0,INDEX(CE$7:CE$106,$AC82),1),IF($AD82&gt;0,INDEX(CE$7:CE$106,$AD82),1),IF($AE82&gt;0,INDEX(CE$7:CE$106,$AE82),1),IF($AF82&gt;0,INDEX(CE$7:CE$106,$AF82),1),IF($AG82&gt;0,INDEX(CE$7:CE$106,$AG82),1),IF($AH82&gt;0,INDEX(CE$7:CE$106,$AH82),1),IF($AI82&gt;0,INDEX(CE$7:CE$106,$AI82),1),IF($AJ82&gt;0,INDEX(CE$7:CE$106,$AJ82),1))))</ns0:f>
        <ns0:v>1</ns0:v>
      </ns0:c>
      <ns0:c r="CG82" t="n">
        <ns0:f>IF($A82="",1,IF(CF82=1,1,--AND(IF($AC82&gt;0,INDEX(CF$7:CF$106,$AC82),1),IF($AD82&gt;0,INDEX(CF$7:CF$106,$AD82),1),IF($AE82&gt;0,INDEX(CF$7:CF$106,$AE82),1),IF($AF82&gt;0,INDEX(CF$7:CF$106,$AF82),1),IF($AG82&gt;0,INDEX(CF$7:CF$106,$AG82),1),IF($AH82&gt;0,INDEX(CF$7:CF$106,$AH82),1),IF($AI82&gt;0,INDEX(CF$7:CF$106,$AI82),1),IF($AJ82&gt;0,INDEX(CF$7:CF$106,$AJ82),1))))</ns0:f>
        <ns0:v>1</ns0:v>
      </ns0:c>
      <ns0:c r="CH82" t="n">
        <ns0:f>IF($A82="",1,IF(CG82=1,1,--AND(IF($AC82&gt;0,INDEX(CG$7:CG$106,$AC82),1),IF($AD82&gt;0,INDEX(CG$7:CG$106,$AD82),1),IF($AE82&gt;0,INDEX(CG$7:CG$106,$AE82),1),IF($AF82&gt;0,INDEX(CG$7:CG$106,$AF82),1),IF($AG82&gt;0,INDEX(CG$7:CG$106,$AG82),1),IF($AH82&gt;0,INDEX(CG$7:CG$106,$AH82),1),IF($AI82&gt;0,INDEX(CG$7:CG$106,$AI82),1),IF($AJ82&gt;0,INDEX(CG$7:CG$106,$AJ82),1))))</ns0:f>
        <ns0:v>1</ns0:v>
      </ns0:c>
      <ns0:c r="CI82" t="n">
        <ns0:f>IF($A82="",1,IF(CH82=1,1,--AND(IF($AC82&gt;0,INDEX(CH$7:CH$106,$AC82),1),IF($AD82&gt;0,INDEX(CH$7:CH$106,$AD82),1),IF($AE82&gt;0,INDEX(CH$7:CH$106,$AE82),1),IF($AF82&gt;0,INDEX(CH$7:CH$106,$AF82),1),IF($AG82&gt;0,INDEX(CH$7:CH$106,$AG82),1),IF($AH82&gt;0,INDEX(CH$7:CH$106,$AH82),1),IF($AI82&gt;0,INDEX(CH$7:CH$106,$AI82),1),IF($AJ82&gt;0,INDEX(CH$7:CH$106,$AJ82),1))))</ns0:f>
        <ns0:v>1</ns0:v>
      </ns0:c>
      <ns0:c r="CJ82" t="n">
        <ns0:f>IF($A82="",1,IF(CI82=1,1,--AND(IF($AC82&gt;0,INDEX(CI$7:CI$106,$AC82),1),IF($AD82&gt;0,INDEX(CI$7:CI$106,$AD82),1),IF($AE82&gt;0,INDEX(CI$7:CI$106,$AE82),1),IF($AF82&gt;0,INDEX(CI$7:CI$106,$AF82),1),IF($AG82&gt;0,INDEX(CI$7:CI$106,$AG82),1),IF($AH82&gt;0,INDEX(CI$7:CI$106,$AH82),1),IF($AI82&gt;0,INDEX(CI$7:CI$106,$AI82),1),IF($AJ82&gt;0,INDEX(CI$7:CI$106,$AJ82),1))))</ns0:f>
        <ns0:v>1</ns0:v>
      </ns0:c>
      <ns0:c r="CK82" t="n">
        <ns0:f>IF($A82="",1,IF(CJ82=1,1,--AND(IF($AC82&gt;0,INDEX(CJ$7:CJ$106,$AC82),1),IF($AD82&gt;0,INDEX(CJ$7:CJ$106,$AD82),1),IF($AE82&gt;0,INDEX(CJ$7:CJ$106,$AE82),1),IF($AF82&gt;0,INDEX(CJ$7:CJ$106,$AF82),1),IF($AG82&gt;0,INDEX(CJ$7:CJ$106,$AG82),1),IF($AH82&gt;0,INDEX(CJ$7:CJ$106,$AH82),1),IF($AI82&gt;0,INDEX(CJ$7:CJ$106,$AI82),1),IF($AJ82&gt;0,INDEX(CJ$7:CJ$106,$AJ82),1))))</ns0:f>
        <ns0:v>1</ns0:v>
      </ns0:c>
      <ns0:c r="CL82" t="n">
        <ns0:f>IF($A82="",1,IF(CK82=1,1,--AND(IF($AC82&gt;0,INDEX(CK$7:CK$106,$AC82),1),IF($AD82&gt;0,INDEX(CK$7:CK$106,$AD82),1),IF($AE82&gt;0,INDEX(CK$7:CK$106,$AE82),1),IF($AF82&gt;0,INDEX(CK$7:CK$106,$AF82),1),IF($AG82&gt;0,INDEX(CK$7:CK$106,$AG82),1),IF($AH82&gt;0,INDEX(CK$7:CK$106,$AH82),1),IF($AI82&gt;0,INDEX(CK$7:CK$106,$AI82),1),IF($AJ82&gt;0,INDEX(CK$7:CK$106,$AJ82),1))))</ns0:f>
        <ns0:v>1</ns0:v>
      </ns0:c>
      <ns0:c r="CM82" t="n">
        <ns0:f>IF($A82="",1,IF(CL82=1,1,--AND(IF($AC82&gt;0,INDEX(CL$7:CL$106,$AC82),1),IF($AD82&gt;0,INDEX(CL$7:CL$106,$AD82),1),IF($AE82&gt;0,INDEX(CL$7:CL$106,$AE82),1),IF($AF82&gt;0,INDEX(CL$7:CL$106,$AF82),1),IF($AG82&gt;0,INDEX(CL$7:CL$106,$AG82),1),IF($AH82&gt;0,INDEX(CL$7:CL$106,$AH82),1),IF($AI82&gt;0,INDEX(CL$7:CL$106,$AI82),1),IF($AJ82&gt;0,INDEX(CL$7:CL$106,$AJ82),1))))</ns0:f>
        <ns0:v>1</ns0:v>
      </ns0:c>
      <ns0:c r="CN82" t="n">
        <ns0:f>IF($A82="",1,IF(CM82=1,1,--AND(IF($AC82&gt;0,INDEX(CM$7:CM$106,$AC82),1),IF($AD82&gt;0,INDEX(CM$7:CM$106,$AD82),1),IF($AE82&gt;0,INDEX(CM$7:CM$106,$AE82),1),IF($AF82&gt;0,INDEX(CM$7:CM$106,$AF82),1),IF($AG82&gt;0,INDEX(CM$7:CM$106,$AG82),1),IF($AH82&gt;0,INDEX(CM$7:CM$106,$AH82),1),IF($AI82&gt;0,INDEX(CM$7:CM$106,$AI82),1),IF($AJ82&gt;0,INDEX(CM$7:CM$106,$AJ82),1))))</ns0:f>
        <ns0:v>1</ns0:v>
      </ns0:c>
      <ns0:c r="CO82" t="n">
        <ns0:f>IF($A82="",1,IF(CN82=1,1,--AND(IF($AC82&gt;0,INDEX(CN$7:CN$106,$AC82),1),IF($AD82&gt;0,INDEX(CN$7:CN$106,$AD82),1),IF($AE82&gt;0,INDEX(CN$7:CN$106,$AE82),1),IF($AF82&gt;0,INDEX(CN$7:CN$106,$AF82),1),IF($AG82&gt;0,INDEX(CN$7:CN$106,$AG82),1),IF($AH82&gt;0,INDEX(CN$7:CN$106,$AH82),1),IF($AI82&gt;0,INDEX(CN$7:CN$106,$AI82),1),IF($AJ82&gt;0,INDEX(CN$7:CN$106,$AJ82),1))))</ns0:f>
        <ns0:v>1</ns0:v>
      </ns0:c>
      <ns0:c r="CP82" t="n">
        <ns0:f>IF($A82="",1,IF(CO82=1,1,--AND(IF($AC82&gt;0,INDEX(CO$7:CO$106,$AC82),1),IF($AD82&gt;0,INDEX(CO$7:CO$106,$AD82),1),IF($AE82&gt;0,INDEX(CO$7:CO$106,$AE82),1),IF($AF82&gt;0,INDEX(CO$7:CO$106,$AF82),1),IF($AG82&gt;0,INDEX(CO$7:CO$106,$AG82),1),IF($AH82&gt;0,INDEX(CO$7:CO$106,$AH82),1),IF($AI82&gt;0,INDEX(CO$7:CO$106,$AI82),1),IF($AJ82&gt;0,INDEX(CO$7:CO$106,$AJ82),1))))</ns0:f>
        <ns0:v>1</ns0:v>
      </ns0:c>
      <ns0:c r="CQ82" t="n">
        <ns0:f>IF($A82="",1,IF(CP82=1,1,--AND(IF($AC82&gt;0,INDEX(CP$7:CP$106,$AC82),1),IF($AD82&gt;0,INDEX(CP$7:CP$106,$AD82),1),IF($AE82&gt;0,INDEX(CP$7:CP$106,$AE82),1),IF($AF82&gt;0,INDEX(CP$7:CP$106,$AF82),1),IF($AG82&gt;0,INDEX(CP$7:CP$106,$AG82),1),IF($AH82&gt;0,INDEX(CP$7:CP$106,$AH82),1),IF($AI82&gt;0,INDEX(CP$7:CP$106,$AI82),1),IF($AJ82&gt;0,INDEX(CP$7:CP$106,$AJ82),1))))</ns0:f>
        <ns0:v>1</ns0:v>
      </ns0:c>
      <ns0:c r="CR82" t="n">
        <ns0:f>IF($A82="",1,IF(CQ82=1,1,--AND(IF($AC82&gt;0,INDEX(CQ$7:CQ$106,$AC82),1),IF($AD82&gt;0,INDEX(CQ$7:CQ$106,$AD82),1),IF($AE82&gt;0,INDEX(CQ$7:CQ$106,$AE82),1),IF($AF82&gt;0,INDEX(CQ$7:CQ$106,$AF82),1),IF($AG82&gt;0,INDEX(CQ$7:CQ$106,$AG82),1),IF($AH82&gt;0,INDEX(CQ$7:CQ$106,$AH82),1),IF($AI82&gt;0,INDEX(CQ$7:CQ$106,$AI82),1),IF($AJ82&gt;0,INDEX(CQ$7:CQ$106,$AJ82),1))))</ns0:f>
        <ns0:v>1</ns0:v>
      </ns0:c>
      <ns0:c r="CS82" t="n">
        <ns0:f>IF($A82="",1,IF(CR82=1,1,--AND(IF($AC82&gt;0,INDEX(CR$7:CR$106,$AC82),1),IF($AD82&gt;0,INDEX(CR$7:CR$106,$AD82),1),IF($AE82&gt;0,INDEX(CR$7:CR$106,$AE82),1),IF($AF82&gt;0,INDEX(CR$7:CR$106,$AF82),1),IF($AG82&gt;0,INDEX(CR$7:CR$106,$AG82),1),IF($AH82&gt;0,INDEX(CR$7:CR$106,$AH82),1),IF($AI82&gt;0,INDEX(CR$7:CR$106,$AI82),1),IF($AJ82&gt;0,INDEX(CR$7:CR$106,$AJ82),1))))</ns0:f>
        <ns0:v>1</ns0:v>
      </ns0:c>
      <ns0:c r="CT82" t="n">
        <ns0:f>IF($A82="",1,IF(CS82=1,1,--AND(IF($AC82&gt;0,INDEX(CS$7:CS$106,$AC82),1),IF($AD82&gt;0,INDEX(CS$7:CS$106,$AD82),1),IF($AE82&gt;0,INDEX(CS$7:CS$106,$AE82),1),IF($AF82&gt;0,INDEX(CS$7:CS$106,$AF82),1),IF($AG82&gt;0,INDEX(CS$7:CS$106,$AG82),1),IF($AH82&gt;0,INDEX(CS$7:CS$106,$AH82),1),IF($AI82&gt;0,INDEX(CS$7:CS$106,$AI82),1),IF($AJ82&gt;0,INDEX(CS$7:CS$106,$AJ82),1))))</ns0:f>
        <ns0:v>1</ns0:v>
      </ns0:c>
      <ns0:c r="CU82" t="n">
        <ns0:f>IF($A82="",1,IF(CT82=1,1,--AND(IF($AC82&gt;0,INDEX(CT$7:CT$106,$AC82),1),IF($AD82&gt;0,INDEX(CT$7:CT$106,$AD82),1),IF($AE82&gt;0,INDEX(CT$7:CT$106,$AE82),1),IF($AF82&gt;0,INDEX(CT$7:CT$106,$AF82),1),IF($AG82&gt;0,INDEX(CT$7:CT$106,$AG82),1),IF($AH82&gt;0,INDEX(CT$7:CT$106,$AH82),1),IF($AI82&gt;0,INDEX(CT$7:CT$106,$AI82),1),IF($AJ82&gt;0,INDEX(CT$7:CT$106,$AJ82),1))))</ns0:f>
        <ns0:v>1</ns0:v>
      </ns0:c>
      <ns0:c r="CV82" t="n">
        <ns0:f>IF($A82="",1,IF(CU82=1,1,--AND(IF($AC82&gt;0,INDEX(CU$7:CU$106,$AC82),1),IF($AD82&gt;0,INDEX(CU$7:CU$106,$AD82),1),IF($AE82&gt;0,INDEX(CU$7:CU$106,$AE82),1),IF($AF82&gt;0,INDEX(CU$7:CU$106,$AF82),1),IF($AG82&gt;0,INDEX(CU$7:CU$106,$AG82),1),IF($AH82&gt;0,INDEX(CU$7:CU$106,$AH82),1),IF($AI82&gt;0,INDEX(CU$7:CU$106,$AI82),1),IF($AJ82&gt;0,INDEX(CU$7:CU$106,$AJ82),1))))</ns0:f>
        <ns0:v>1</ns0:v>
      </ns0:c>
      <ns0:c r="CW82" t="n">
        <ns0:f>IF($A82="",1,IF(CV82=1,1,--AND(IF($AC82&gt;0,INDEX(CV$7:CV$106,$AC82),1),IF($AD82&gt;0,INDEX(CV$7:CV$106,$AD82),1),IF($AE82&gt;0,INDEX(CV$7:CV$106,$AE82),1),IF($AF82&gt;0,INDEX(CV$7:CV$106,$AF82),1),IF($AG82&gt;0,INDEX(CV$7:CV$106,$AG82),1),IF($AH82&gt;0,INDEX(CV$7:CV$106,$AH82),1),IF($AI82&gt;0,INDEX(CV$7:CV$106,$AI82),1),IF($AJ82&gt;0,INDEX(CV$7:CV$106,$AJ82),1))))</ns0:f>
        <ns0:v>1</ns0:v>
      </ns0:c>
      <ns0:c r="CX82" t="n">
        <ns0:f>IF($A82="",1,IF(CW82=1,1,--AND(IF($AC82&gt;0,INDEX(CW$7:CW$106,$AC82),1),IF($AD82&gt;0,INDEX(CW$7:CW$106,$AD82),1),IF($AE82&gt;0,INDEX(CW$7:CW$106,$AE82),1),IF($AF82&gt;0,INDEX(CW$7:CW$106,$AF82),1),IF($AG82&gt;0,INDEX(CW$7:CW$106,$AG82),1),IF($AH82&gt;0,INDEX(CW$7:CW$106,$AH82),1),IF($AI82&gt;0,INDEX(CW$7:CW$106,$AI82),1),IF($AJ82&gt;0,INDEX(CW$7:CW$106,$AJ82),1))))</ns0:f>
        <ns0:v>1</ns0:v>
      </ns0:c>
      <ns0:c r="CY82" t="n">
        <ns0:f>IF($A82="",1,IF(CX82=1,1,--AND(IF($AC82&gt;0,INDEX(CX$7:CX$106,$AC82),1),IF($AD82&gt;0,INDEX(CX$7:CX$106,$AD82),1),IF($AE82&gt;0,INDEX(CX$7:CX$106,$AE82),1),IF($AF82&gt;0,INDEX(CX$7:CX$106,$AF82),1),IF($AG82&gt;0,INDEX(CX$7:CX$106,$AG82),1),IF($AH82&gt;0,INDEX(CX$7:CX$106,$AH82),1),IF($AI82&gt;0,INDEX(CX$7:CX$106,$AI82),1),IF($AJ82&gt;0,INDEX(CX$7:CX$106,$AJ82),1))))</ns0:f>
        <ns0:v>1</ns0:v>
      </ns0:c>
      <ns0:c r="CZ82" t="n">
        <ns0:f>IF($A82="",1,IF(CY82=1,1,--AND(IF($AC82&gt;0,INDEX(CY$7:CY$106,$AC82),1),IF($AD82&gt;0,INDEX(CY$7:CY$106,$AD82),1),IF($AE82&gt;0,INDEX(CY$7:CY$106,$AE82),1),IF($AF82&gt;0,INDEX(CY$7:CY$106,$AF82),1),IF($AG82&gt;0,INDEX(CY$7:CY$106,$AG82),1),IF($AH82&gt;0,INDEX(CY$7:CY$106,$AH82),1),IF($AI82&gt;0,INDEX(CY$7:CY$106,$AI82),1),IF($AJ82&gt;0,INDEX(CY$7:CY$106,$AJ82),1))))</ns0:f>
        <ns0:v>1</ns0:v>
      </ns0:c>
      <ns0:c r="DA82" t="n">
        <ns0:f>IF($A82="",1,IF(CZ82=1,1,--AND(IF($AC82&gt;0,INDEX(CZ$7:CZ$106,$AC82),1),IF($AD82&gt;0,INDEX(CZ$7:CZ$106,$AD82),1),IF($AE82&gt;0,INDEX(CZ$7:CZ$106,$AE82),1),IF($AF82&gt;0,INDEX(CZ$7:CZ$106,$AF82),1),IF($AG82&gt;0,INDEX(CZ$7:CZ$106,$AG82),1),IF($AH82&gt;0,INDEX(CZ$7:CZ$106,$AH82),1),IF($AI82&gt;0,INDEX(CZ$7:CZ$106,$AI82),1),IF($AJ82&gt;0,INDEX(CZ$7:CZ$106,$AJ82),1))))</ns0:f>
        <ns0:v>1</ns0:v>
      </ns0:c>
      <ns0:c r="DB82" t="n">
        <ns0:f>IF($A82="",1,IF(DA82=1,1,--AND(IF($AC82&gt;0,INDEX(DA$7:DA$106,$AC82),1),IF($AD82&gt;0,INDEX(DA$7:DA$106,$AD82),1),IF($AE82&gt;0,INDEX(DA$7:DA$106,$AE82),1),IF($AF82&gt;0,INDEX(DA$7:DA$106,$AF82),1),IF($AG82&gt;0,INDEX(DA$7:DA$106,$AG82),1),IF($AH82&gt;0,INDEX(DA$7:DA$106,$AH82),1),IF($AI82&gt;0,INDEX(DA$7:DA$106,$AI82),1),IF($AJ82&gt;0,INDEX(DA$7:DA$106,$AJ82),1))))</ns0:f>
        <ns0:v>1</ns0:v>
      </ns0:c>
      <ns0:c r="DC82" t="n">
        <ns0:f>IF($A82="",1,IF(DB82=1,1,--AND(IF($AC82&gt;0,INDEX(DB$7:DB$106,$AC82),1),IF($AD82&gt;0,INDEX(DB$7:DB$106,$AD82),1),IF($AE82&gt;0,INDEX(DB$7:DB$106,$AE82),1),IF($AF82&gt;0,INDEX(DB$7:DB$106,$AF82),1),IF($AG82&gt;0,INDEX(DB$7:DB$106,$AG82),1),IF($AH82&gt;0,INDEX(DB$7:DB$106,$AH82),1),IF($AI82&gt;0,INDEX(DB$7:DB$106,$AI82),1),IF($AJ82&gt;0,INDEX(DB$7:DB$106,$AJ82),1))))</ns0:f>
        <ns0:v>1</ns0:v>
      </ns0:c>
      <ns0:c r="DD82" t="n">
        <ns0:f>IF($A82="",1,IF(DC82=1,1,--AND(IF($AC82&gt;0,INDEX(DC$7:DC$106,$AC82),1),IF($AD82&gt;0,INDEX(DC$7:DC$106,$AD82),1),IF($AE82&gt;0,INDEX(DC$7:DC$106,$AE82),1),IF($AF82&gt;0,INDEX(DC$7:DC$106,$AF82),1),IF($AG82&gt;0,INDEX(DC$7:DC$106,$AG82),1),IF($AH82&gt;0,INDEX(DC$7:DC$106,$AH82),1),IF($AI82&gt;0,INDEX(DC$7:DC$106,$AI82),1),IF($AJ82&gt;0,INDEX(DC$7:DC$106,$AJ82),1))))</ns0:f>
        <ns0:v>1</ns0:v>
      </ns0:c>
      <ns0:c r="DE82" t="n">
        <ns0:f>IF($A82="",1,IF(DD82=1,1,--AND(IF($AC82&gt;0,INDEX(DD$7:DD$106,$AC82),1),IF($AD82&gt;0,INDEX(DD$7:DD$106,$AD82),1),IF($AE82&gt;0,INDEX(DD$7:DD$106,$AE82),1),IF($AF82&gt;0,INDEX(DD$7:DD$106,$AF82),1),IF($AG82&gt;0,INDEX(DD$7:DD$106,$AG82),1),IF($AH82&gt;0,INDEX(DD$7:DD$106,$AH82),1),IF($AI82&gt;0,INDEX(DD$7:DD$106,$AI82),1),IF($AJ82&gt;0,INDEX(DD$7:DD$106,$AJ82),1))))</ns0:f>
        <ns0:v>1</ns0:v>
      </ns0:c>
      <ns0:c r="DF82" t="n">
        <ns0:f>IF($A82="",1,IF(DE82=1,1,--AND(IF($AC82&gt;0,INDEX(DE$7:DE$106,$AC82),1),IF($AD82&gt;0,INDEX(DE$7:DE$106,$AD82),1),IF($AE82&gt;0,INDEX(DE$7:DE$106,$AE82),1),IF($AF82&gt;0,INDEX(DE$7:DE$106,$AF82),1),IF($AG82&gt;0,INDEX(DE$7:DE$106,$AG82),1),IF($AH82&gt;0,INDEX(DE$7:DE$106,$AH82),1),IF($AI82&gt;0,INDEX(DE$7:DE$106,$AI82),1),IF($AJ82&gt;0,INDEX(DE$7:DE$106,$AJ82),1))))</ns0:f>
        <ns0:v>1</ns0:v>
      </ns0:c>
      <ns0:c r="DG82" t="n">
        <ns0:f>IF($A82="",1,IF(DF82=1,1,--AND(IF($AC82&gt;0,INDEX(DF$7:DF$106,$AC82),1),IF($AD82&gt;0,INDEX(DF$7:DF$106,$AD82),1),IF($AE82&gt;0,INDEX(DF$7:DF$106,$AE82),1),IF($AF82&gt;0,INDEX(DF$7:DF$106,$AF82),1),IF($AG82&gt;0,INDEX(DF$7:DF$106,$AG82),1),IF($AH82&gt;0,INDEX(DF$7:DF$106,$AH82),1),IF($AI82&gt;0,INDEX(DF$7:DF$106,$AI82),1),IF($AJ82&gt;0,INDEX(DF$7:DF$106,$AJ82),1))))</ns0:f>
        <ns0:v>1</ns0:v>
      </ns0:c>
      <ns0:c r="DH82" t="n">
        <ns0:f>IF($A82="",1,IF(DG82=1,1,--AND(IF($AC82&gt;0,INDEX(DG$7:DG$106,$AC82),1),IF($AD82&gt;0,INDEX(DG$7:DG$106,$AD82),1),IF($AE82&gt;0,INDEX(DG$7:DG$106,$AE82),1),IF($AF82&gt;0,INDEX(DG$7:DG$106,$AF82),1),IF($AG82&gt;0,INDEX(DG$7:DG$106,$AG82),1),IF($AH82&gt;0,INDEX(DG$7:DG$106,$AH82),1),IF($AI82&gt;0,INDEX(DG$7:DG$106,$AI82),1),IF($AJ82&gt;0,INDEX(DG$7:DG$106,$AJ82),1))))</ns0:f>
        <ns0:v>1</ns0:v>
      </ns0:c>
      <ns0:c r="DI82" t="n">
        <ns0:f>IF($A82="",1,IF(DH82=1,1,--AND(IF($AC82&gt;0,INDEX(DH$7:DH$106,$AC82),1),IF($AD82&gt;0,INDEX(DH$7:DH$106,$AD82),1),IF($AE82&gt;0,INDEX(DH$7:DH$106,$AE82),1),IF($AF82&gt;0,INDEX(DH$7:DH$106,$AF82),1),IF($AG82&gt;0,INDEX(DH$7:DH$106,$AG82),1),IF($AH82&gt;0,INDEX(DH$7:DH$106,$AH82),1),IF($AI82&gt;0,INDEX(DH$7:DH$106,$AI82),1),IF($AJ82&gt;0,INDEX(DH$7:DH$106,$AJ82),1))))</ns0:f>
        <ns0:v>1</ns0:v>
      </ns0:c>
      <ns0:c r="DJ82" t="n">
        <ns0:f>IF($A82="",1,IF(DI82=1,1,--AND(IF($AC82&gt;0,INDEX(DI$7:DI$106,$AC82),1),IF($AD82&gt;0,INDEX(DI$7:DI$106,$AD82),1),IF($AE82&gt;0,INDEX(DI$7:DI$106,$AE82),1),IF($AF82&gt;0,INDEX(DI$7:DI$106,$AF82),1),IF($AG82&gt;0,INDEX(DI$7:DI$106,$AG82),1),IF($AH82&gt;0,INDEX(DI$7:DI$106,$AH82),1),IF($AI82&gt;0,INDEX(DI$7:DI$106,$AI82),1),IF($AJ82&gt;0,INDEX(DI$7:DI$106,$AJ82),1))))</ns0:f>
        <ns0:v>1</ns0:v>
      </ns0:c>
      <ns0:c r="DK82" t="n">
        <ns0:f>IF($A82="",1,IF(DJ82=1,1,--AND(IF($AC82&gt;0,INDEX(DJ$7:DJ$106,$AC82),1),IF($AD82&gt;0,INDEX(DJ$7:DJ$106,$AD82),1),IF($AE82&gt;0,INDEX(DJ$7:DJ$106,$AE82),1),IF($AF82&gt;0,INDEX(DJ$7:DJ$106,$AF82),1),IF($AG82&gt;0,INDEX(DJ$7:DJ$106,$AG82),1),IF($AH82&gt;0,INDEX(DJ$7:DJ$106,$AH82),1),IF($AI82&gt;0,INDEX(DJ$7:DJ$106,$AI82),1),IF($AJ82&gt;0,INDEX(DJ$7:DJ$106,$AJ82),1))))</ns0:f>
        <ns0:v>1</ns0:v>
      </ns0:c>
      <ns0:c r="DL82" t="n">
        <ns0:f>IF($A82="",1,IF(DK82=1,1,--AND(IF($AC82&gt;0,INDEX(DK$7:DK$106,$AC82),1),IF($AD82&gt;0,INDEX(DK$7:DK$106,$AD82),1),IF($AE82&gt;0,INDEX(DK$7:DK$106,$AE82),1),IF($AF82&gt;0,INDEX(DK$7:DK$106,$AF82),1),IF($AG82&gt;0,INDEX(DK$7:DK$106,$AG82),1),IF($AH82&gt;0,INDEX(DK$7:DK$106,$AH82),1),IF($AI82&gt;0,INDEX(DK$7:DK$106,$AI82),1),IF($AJ82&gt;0,INDEX(DK$7:DK$106,$AJ82),1))))</ns0:f>
        <ns0:v>1</ns0:v>
      </ns0:c>
      <ns0:c r="DM82" t="n">
        <ns0:f>IF($A82="",1,IF(DL82=1,1,--AND(IF($AC82&gt;0,INDEX(DL$7:DL$106,$AC82),1),IF($AD82&gt;0,INDEX(DL$7:DL$106,$AD82),1),IF($AE82&gt;0,INDEX(DL$7:DL$106,$AE82),1),IF($AF82&gt;0,INDEX(DL$7:DL$106,$AF82),1),IF($AG82&gt;0,INDEX(DL$7:DL$106,$AG82),1),IF($AH82&gt;0,INDEX(DL$7:DL$106,$AH82),1),IF($AI82&gt;0,INDEX(DL$7:DL$106,$AI82),1),IF($AJ82&gt;0,INDEX(DL$7:DL$106,$AJ82),1))))</ns0:f>
        <ns0:v>1</ns0:v>
      </ns0:c>
      <ns0:c r="DN82" t="n">
        <ns0:f>IF($A82="",1,IF(DM82=1,1,--AND(IF($AC82&gt;0,INDEX(DM$7:DM$106,$AC82),1),IF($AD82&gt;0,INDEX(DM$7:DM$106,$AD82),1),IF($AE82&gt;0,INDEX(DM$7:DM$106,$AE82),1),IF($AF82&gt;0,INDEX(DM$7:DM$106,$AF82),1),IF($AG82&gt;0,INDEX(DM$7:DM$106,$AG82),1),IF($AH82&gt;0,INDEX(DM$7:DM$106,$AH82),1),IF($AI82&gt;0,INDEX(DM$7:DM$106,$AI82),1),IF($AJ82&gt;0,INDEX(DM$7:DM$106,$AJ82),1))))</ns0:f>
        <ns0:v>1</ns0:v>
      </ns0:c>
      <ns0:c r="DO82" t="n">
        <ns0:f>IF($A82="",1,IF(DN82=1,1,--AND(IF($AC82&gt;0,INDEX(DN$7:DN$106,$AC82),1),IF($AD82&gt;0,INDEX(DN$7:DN$106,$AD82),1),IF($AE82&gt;0,INDEX(DN$7:DN$106,$AE82),1),IF($AF82&gt;0,INDEX(DN$7:DN$106,$AF82),1),IF($AG82&gt;0,INDEX(DN$7:DN$106,$AG82),1),IF($AH82&gt;0,INDEX(DN$7:DN$106,$AH82),1),IF($AI82&gt;0,INDEX(DN$7:DN$106,$AI82),1),IF($AJ82&gt;0,INDEX(DN$7:DN$106,$AJ82),1))))</ns0:f>
        <ns0:v>1</ns0:v>
      </ns0:c>
      <ns0:c r="DP82" t="n">
        <ns0:f>IF($A82="",1,IF(DO82=1,1,--AND(IF($AC82&gt;0,INDEX(DO$7:DO$106,$AC82),1),IF($AD82&gt;0,INDEX(DO$7:DO$106,$AD82),1),IF($AE82&gt;0,INDEX(DO$7:DO$106,$AE82),1),IF($AF82&gt;0,INDEX(DO$7:DO$106,$AF82),1),IF($AG82&gt;0,INDEX(DO$7:DO$106,$AG82),1),IF($AH82&gt;0,INDEX(DO$7:DO$106,$AH82),1),IF($AI82&gt;0,INDEX(DO$7:DO$106,$AI82),1),IF($AJ82&gt;0,INDEX(DO$7:DO$106,$AJ82),1))))</ns0:f>
        <ns0:v>1</ns0:v>
      </ns0:c>
      <ns0:c r="DQ82" t="n">
        <ns0:f>IF($A82="",1,IF(DP82=1,1,--AND(IF($AC82&gt;0,INDEX(DP$7:DP$106,$AC82),1),IF($AD82&gt;0,INDEX(DP$7:DP$106,$AD82),1),IF($AE82&gt;0,INDEX(DP$7:DP$106,$AE82),1),IF($AF82&gt;0,INDEX(DP$7:DP$106,$AF82),1),IF($AG82&gt;0,INDEX(DP$7:DP$106,$AG82),1),IF($AH82&gt;0,INDEX(DP$7:DP$106,$AH82),1),IF($AI82&gt;0,INDEX(DP$7:DP$106,$AI82),1),IF($AJ82&gt;0,INDEX(DP$7:DP$106,$AJ82),1))))</ns0:f>
        <ns0:v>1</ns0:v>
      </ns0:c>
      <ns0:c r="DR82" t="n">
        <ns0:f>IF($A82="",1,IF(DQ82=1,1,--AND(IF($AC82&gt;0,INDEX(DQ$7:DQ$106,$AC82),1),IF($AD82&gt;0,INDEX(DQ$7:DQ$106,$AD82),1),IF($AE82&gt;0,INDEX(DQ$7:DQ$106,$AE82),1),IF($AF82&gt;0,INDEX(DQ$7:DQ$106,$AF82),1),IF($AG82&gt;0,INDEX(DQ$7:DQ$106,$AG82),1),IF($AH82&gt;0,INDEX(DQ$7:DQ$106,$AH82),1),IF($AI82&gt;0,INDEX(DQ$7:DQ$106,$AI82),1),IF($AJ82&gt;0,INDEX(DQ$7:DQ$106,$AJ82),1))))</ns0:f>
        <ns0:v>1</ns0:v>
      </ns0:c>
      <ns0:c r="DS82" t="n">
        <ns0:f>IF($A82="",1,IF(DR82=1,1,--AND(IF($AC82&gt;0,INDEX(DR$7:DR$106,$AC82),1),IF($AD82&gt;0,INDEX(DR$7:DR$106,$AD82),1),IF($AE82&gt;0,INDEX(DR$7:DR$106,$AE82),1),IF($AF82&gt;0,INDEX(DR$7:DR$106,$AF82),1),IF($AG82&gt;0,INDEX(DR$7:DR$106,$AG82),1),IF($AH82&gt;0,INDEX(DR$7:DR$106,$AH82),1),IF($AI82&gt;0,INDEX(DR$7:DR$106,$AI82),1),IF($AJ82&gt;0,INDEX(DR$7:DR$106,$AJ82),1))))</ns0:f>
        <ns0:v>1</ns0:v>
      </ns0:c>
      <ns0:c r="DT82" t="n">
        <ns0:f>IF($A82="",1,IF(DS82=1,1,--AND(IF($AC82&gt;0,INDEX(DS$7:DS$106,$AC82),1),IF($AD82&gt;0,INDEX(DS$7:DS$106,$AD82),1),IF($AE82&gt;0,INDEX(DS$7:DS$106,$AE82),1),IF($AF82&gt;0,INDEX(DS$7:DS$106,$AF82),1),IF($AG82&gt;0,INDEX(DS$7:DS$106,$AG82),1),IF($AH82&gt;0,INDEX(DS$7:DS$106,$AH82),1),IF($AI82&gt;0,INDEX(DS$7:DS$106,$AI82),1),IF($AJ82&gt;0,INDEX(DS$7:DS$106,$AJ82),1))))</ns0:f>
        <ns0:v>1</ns0:v>
      </ns0:c>
      <ns0:c r="DU82" t="n">
        <ns0:f>IF($A82="",1,IF(DT82=1,1,--AND(IF($AC82&gt;0,INDEX(DT$7:DT$106,$AC82),1),IF($AD82&gt;0,INDEX(DT$7:DT$106,$AD82),1),IF($AE82&gt;0,INDEX(DT$7:DT$106,$AE82),1),IF($AF82&gt;0,INDEX(DT$7:DT$106,$AF82),1),IF($AG82&gt;0,INDEX(DT$7:DT$106,$AG82),1),IF($AH82&gt;0,INDEX(DT$7:DT$106,$AH82),1),IF($AI82&gt;0,INDEX(DT$7:DT$106,$AI82),1),IF($AJ82&gt;0,INDEX(DT$7:DT$106,$AJ82),1))))</ns0:f>
        <ns0:v>1</ns0:v>
      </ns0:c>
      <ns0:c r="DV82" t="n">
        <ns0:f>IF($A82="",1,IF(DU82=1,1,--AND(IF($AC82&gt;0,INDEX(DU$7:DU$106,$AC82),1),IF($AD82&gt;0,INDEX(DU$7:DU$106,$AD82),1),IF($AE82&gt;0,INDEX(DU$7:DU$106,$AE82),1),IF($AF82&gt;0,INDEX(DU$7:DU$106,$AF82),1),IF($AG82&gt;0,INDEX(DU$7:DU$106,$AG82),1),IF($AH82&gt;0,INDEX(DU$7:DU$106,$AH82),1),IF($AI82&gt;0,INDEX(DU$7:DU$106,$AI82),1),IF($AJ82&gt;0,INDEX(DU$7:DU$106,$AJ82),1))))</ns0:f>
        <ns0:v>1</ns0:v>
      </ns0:c>
      <ns0:c r="DW82" t="n">
        <ns0:f>IF($A82="",1,IF(DV82=1,1,--AND(IF($AC82&gt;0,INDEX(DV$7:DV$106,$AC82),1),IF($AD82&gt;0,INDEX(DV$7:DV$106,$AD82),1),IF($AE82&gt;0,INDEX(DV$7:DV$106,$AE82),1),IF($AF82&gt;0,INDEX(DV$7:DV$106,$AF82),1),IF($AG82&gt;0,INDEX(DV$7:DV$106,$AG82),1),IF($AH82&gt;0,INDEX(DV$7:DV$106,$AH82),1),IF($AI82&gt;0,INDEX(DV$7:DV$106,$AI82),1),IF($AJ82&gt;0,INDEX(DV$7:DV$106,$AJ82),1))))</ns0:f>
        <ns0:v>1</ns0:v>
      </ns0:c>
      <ns0:c r="DX82" t="n">
        <ns0:f>IF($A82="",1,IF(DW82=1,1,--AND(IF($AC82&gt;0,INDEX(DW$7:DW$106,$AC82),1),IF($AD82&gt;0,INDEX(DW$7:DW$106,$AD82),1),IF($AE82&gt;0,INDEX(DW$7:DW$106,$AE82),1),IF($AF82&gt;0,INDEX(DW$7:DW$106,$AF82),1),IF($AG82&gt;0,INDEX(DW$7:DW$106,$AG82),1),IF($AH82&gt;0,INDEX(DW$7:DW$106,$AH82),1),IF($AI82&gt;0,INDEX(DW$7:DW$106,$AI82),1),IF($AJ82&gt;0,INDEX(DW$7:DW$106,$AJ82),1))))</ns0:f>
        <ns0:v>1</ns0:v>
      </ns0:c>
      <ns0:c r="DY82" t="n">
        <ns0:f>IF($A82="",1,IF(DX82=1,1,--AND(IF($AC82&gt;0,INDEX(DX$7:DX$106,$AC82),1),IF($AD82&gt;0,INDEX(DX$7:DX$106,$AD82),1),IF($AE82&gt;0,INDEX(DX$7:DX$106,$AE82),1),IF($AF82&gt;0,INDEX(DX$7:DX$106,$AF82),1),IF($AG82&gt;0,INDEX(DX$7:DX$106,$AG82),1),IF($AH82&gt;0,INDEX(DX$7:DX$106,$AH82),1),IF($AI82&gt;0,INDEX(DX$7:DX$106,$AI82),1),IF($AJ82&gt;0,INDEX(DX$7:DX$106,$AJ82),1))))</ns0:f>
        <ns0:v>1</ns0:v>
      </ns0:c>
      <ns0:c r="DZ82" t="n">
        <ns0:f>IF($A82="",1,IF(DY82=1,1,--AND(IF($AC82&gt;0,INDEX(DY$7:DY$106,$AC82),1),IF($AD82&gt;0,INDEX(DY$7:DY$106,$AD82),1),IF($AE82&gt;0,INDEX(DY$7:DY$106,$AE82),1),IF($AF82&gt;0,INDEX(DY$7:DY$106,$AF82),1),IF($AG82&gt;0,INDEX(DY$7:DY$106,$AG82),1),IF($AH82&gt;0,INDEX(DY$7:DY$106,$AH82),1),IF($AI82&gt;0,INDEX(DY$7:DY$106,$AI82),1),IF($AJ82&gt;0,INDEX(DY$7:DY$106,$AJ82),1))))</ns0:f>
        <ns0:v>1</ns0:v>
      </ns0:c>
      <ns0:c r="EA82" t="n">
        <ns0:f>IF($A82="",1,IF(DZ82=1,1,--AND(IF($AC82&gt;0,INDEX(DZ$7:DZ$106,$AC82),1),IF($AD82&gt;0,INDEX(DZ$7:DZ$106,$AD82),1),IF($AE82&gt;0,INDEX(DZ$7:DZ$106,$AE82),1),IF($AF82&gt;0,INDEX(DZ$7:DZ$106,$AF82),1),IF($AG82&gt;0,INDEX(DZ$7:DZ$106,$AG82),1),IF($AH82&gt;0,INDEX(DZ$7:DZ$106,$AH82),1),IF($AI82&gt;0,INDEX(DZ$7:DZ$106,$AI82),1),IF($AJ82&gt;0,INDEX(DZ$7:DZ$106,$AJ82),1))))</ns0:f>
        <ns0:v>1</ns0:v>
      </ns0:c>
      <ns0:c r="EB82" t="n">
        <ns0:f>IF($A82="",1,IF(EA82=1,1,--AND(IF($AC82&gt;0,INDEX(EA$7:EA$106,$AC82),1),IF($AD82&gt;0,INDEX(EA$7:EA$106,$AD82),1),IF($AE82&gt;0,INDEX(EA$7:EA$106,$AE82),1),IF($AF82&gt;0,INDEX(EA$7:EA$106,$AF82),1),IF($AG82&gt;0,INDEX(EA$7:EA$106,$AG82),1),IF($AH82&gt;0,INDEX(EA$7:EA$106,$AH82),1),IF($AI82&gt;0,INDEX(EA$7:EA$106,$AI82),1),IF($AJ82&gt;0,INDEX(EA$7:EA$106,$AJ82),1))))</ns0:f>
        <ns0:v>1</ns0:v>
      </ns0:c>
      <ns0:c r="EC82" t="n">
        <ns0:f>IF($A82="",1,IF(EB82=1,1,--AND(IF($AC82&gt;0,INDEX(EB$7:EB$106,$AC82),1),IF($AD82&gt;0,INDEX(EB$7:EB$106,$AD82),1),IF($AE82&gt;0,INDEX(EB$7:EB$106,$AE82),1),IF($AF82&gt;0,INDEX(EB$7:EB$106,$AF82),1),IF($AG82&gt;0,INDEX(EB$7:EB$106,$AG82),1),IF($AH82&gt;0,INDEX(EB$7:EB$106,$AH82),1),IF($AI82&gt;0,INDEX(EB$7:EB$106,$AI82),1),IF($AJ82&gt;0,INDEX(EB$7:EB$106,$AJ82),1))))</ns0:f>
        <ns0:v>1</ns0:v>
      </ns0:c>
      <ns0:c r="ED82" t="n">
        <ns0:f>IF($A82="",1,IF(EC82=1,1,--AND(IF($AC82&gt;0,INDEX(EC$7:EC$106,$AC82),1),IF($AD82&gt;0,INDEX(EC$7:EC$106,$AD82),1),IF($AE82&gt;0,INDEX(EC$7:EC$106,$AE82),1),IF($AF82&gt;0,INDEX(EC$7:EC$106,$AF82),1),IF($AG82&gt;0,INDEX(EC$7:EC$106,$AG82),1),IF($AH82&gt;0,INDEX(EC$7:EC$106,$AH82),1),IF($AI82&gt;0,INDEX(EC$7:EC$106,$AI82),1),IF($AJ82&gt;0,INDEX(EC$7:EC$106,$AJ82),1))))</ns0:f>
        <ns0:v>1</ns0:v>
      </ns0:c>
      <ns0:c r="EE82" t="n">
        <ns0:f>IF($A82="",1,IF(ED82=1,1,--AND(IF($AC82&gt;0,INDEX(ED$7:ED$106,$AC82),1),IF($AD82&gt;0,INDEX(ED$7:ED$106,$AD82),1),IF($AE82&gt;0,INDEX(ED$7:ED$106,$AE82),1),IF($AF82&gt;0,INDEX(ED$7:ED$106,$AF82),1),IF($AG82&gt;0,INDEX(ED$7:ED$106,$AG82),1),IF($AH82&gt;0,INDEX(ED$7:ED$106,$AH82),1),IF($AI82&gt;0,INDEX(ED$7:ED$106,$AI82),1),IF($AJ82&gt;0,INDEX(ED$7:ED$106,$AJ82),1))))</ns0:f>
        <ns0:v>1</ns0:v>
      </ns0:c>
      <ns0:c r="EF82" t="n">
        <ns0:f>IF($A82="",1,IF(EE82=1,1,--AND(IF($AC82&gt;0,INDEX(EE$7:EE$106,$AC82),1),IF($AD82&gt;0,INDEX(EE$7:EE$106,$AD82),1),IF($AE82&gt;0,INDEX(EE$7:EE$106,$AE82),1),IF($AF82&gt;0,INDEX(EE$7:EE$106,$AF82),1),IF($AG82&gt;0,INDEX(EE$7:EE$106,$AG82),1),IF($AH82&gt;0,INDEX(EE$7:EE$106,$AH82),1),IF($AI82&gt;0,INDEX(EE$7:EE$106,$AI82),1),IF($AJ82&gt;0,INDEX(EE$7:EE$106,$AJ82),1))))</ns0:f>
        <ns0:v>1</ns0:v>
      </ns0:c>
      <ns0:c r="EG82" t="n">
        <ns0:f>IF($A82="",1,IF(EF82=1,1,--AND(IF($AC82&gt;0,INDEX(EF$7:EF$106,$AC82),1),IF($AD82&gt;0,INDEX(EF$7:EF$106,$AD82),1),IF($AE82&gt;0,INDEX(EF$7:EF$106,$AE82),1),IF($AF82&gt;0,INDEX(EF$7:EF$106,$AF82),1),IF($AG82&gt;0,INDEX(EF$7:EF$106,$AG82),1),IF($AH82&gt;0,INDEX(EF$7:EF$106,$AH82),1),IF($AI82&gt;0,INDEX(EF$7:EF$106,$AI82),1),IF($AJ82&gt;0,INDEX(EF$7:EF$106,$AJ82),1))))</ns0:f>
        <ns0:v>1</ns0:v>
      </ns0:c>
      <ns0:c r="EH82" t="n">
        <ns0:f>IF($A82="",1,IF(EG82=1,1,--AND(IF($AC82&gt;0,INDEX(EG$7:EG$106,$AC82),1),IF($AD82&gt;0,INDEX(EG$7:EG$106,$AD82),1),IF($AE82&gt;0,INDEX(EG$7:EG$106,$AE82),1),IF($AF82&gt;0,INDEX(EG$7:EG$106,$AF82),1),IF($AG82&gt;0,INDEX(EG$7:EG$106,$AG82),1),IF($AH82&gt;0,INDEX(EG$7:EG$106,$AH82),1),IF($AI82&gt;0,INDEX(EG$7:EG$106,$AI82),1),IF($AJ82&gt;0,INDEX(EG$7:EG$106,$AJ82),1))))</ns0:f>
        <ns0:v>1</ns0:v>
      </ns0:c>
      <ns0:c r="EI82" t="n">
        <ns0:f>IF($A82="",1,IF(EH82=1,1,--AND(IF($AC82&gt;0,INDEX(EH$7:EH$106,$AC82),1),IF($AD82&gt;0,INDEX(EH$7:EH$106,$AD82),1),IF($AE82&gt;0,INDEX(EH$7:EH$106,$AE82),1),IF($AF82&gt;0,INDEX(EH$7:EH$106,$AF82),1),IF($AG82&gt;0,INDEX(EH$7:EH$106,$AG82),1),IF($AH82&gt;0,INDEX(EH$7:EH$106,$AH82),1),IF($AI82&gt;0,INDEX(EH$7:EH$106,$AI82),1),IF($AJ82&gt;0,INDEX(EH$7:EH$106,$AJ82),1))))</ns0:f>
        <ns0:v>1</ns0:v>
      </ns0:c>
      <ns0:c r="EJ82" t="n">
        <ns0:f>IF($A82="",1,IF(EI82=1,1,--AND(IF($AC82&gt;0,INDEX(EI$7:EI$106,$AC82),1),IF($AD82&gt;0,INDEX(EI$7:EI$106,$AD82),1),IF($AE82&gt;0,INDEX(EI$7:EI$106,$AE82),1),IF($AF82&gt;0,INDEX(EI$7:EI$106,$AF82),1),IF($AG82&gt;0,INDEX(EI$7:EI$106,$AG82),1),IF($AH82&gt;0,INDEX(EI$7:EI$106,$AH82),1),IF($AI82&gt;0,INDEX(EI$7:EI$106,$AI82),1),IF($AJ82&gt;0,INDEX(EI$7:EI$106,$AJ82),1))))</ns0:f>
        <ns0:v>1</ns0:v>
      </ns0:c>
      <ns0:c r="EK82" t="n">
        <ns0:f>IF($A82="",1,IF(EJ82=1,1,--AND(IF($AC82&gt;0,INDEX(EJ$7:EJ$106,$AC82),1),IF($AD82&gt;0,INDEX(EJ$7:EJ$106,$AD82),1),IF($AE82&gt;0,INDEX(EJ$7:EJ$106,$AE82),1),IF($AF82&gt;0,INDEX(EJ$7:EJ$106,$AF82),1),IF($AG82&gt;0,INDEX(EJ$7:EJ$106,$AG82),1),IF($AH82&gt;0,INDEX(EJ$7:EJ$106,$AH82),1),IF($AI82&gt;0,INDEX(EJ$7:EJ$106,$AI82),1),IF($AJ82&gt;0,INDEX(EJ$7:EJ$106,$AJ82),1))))</ns0:f>
        <ns0:v>1</ns0:v>
      </ns0:c>
      <ns0:c r="EL82" t="n">
        <ns0:f>IF($A82="",1,IF(EK82=1,1,--AND(IF($AC82&gt;0,INDEX(EK$7:EK$106,$AC82),1),IF($AD82&gt;0,INDEX(EK$7:EK$106,$AD82),1),IF($AE82&gt;0,INDEX(EK$7:EK$106,$AE82),1),IF($AF82&gt;0,INDEX(EK$7:EK$106,$AF82),1),IF($AG82&gt;0,INDEX(EK$7:EK$106,$AG82),1),IF($AH82&gt;0,INDEX(EK$7:EK$106,$AH82),1),IF($AI82&gt;0,INDEX(EK$7:EK$106,$AI82),1),IF($AJ82&gt;0,INDEX(EK$7:EK$106,$AJ82),1))))</ns0:f>
        <ns0:v>1</ns0:v>
      </ns0:c>
      <ns0:c r="EM82" t="n">
        <ns0:f>IF($A82="",1,IF(EL82=1,1,--AND(IF($AC82&gt;0,INDEX(EL$7:EL$106,$AC82),1),IF($AD82&gt;0,INDEX(EL$7:EL$106,$AD82),1),IF($AE82&gt;0,INDEX(EL$7:EL$106,$AE82),1),IF($AF82&gt;0,INDEX(EL$7:EL$106,$AF82),1),IF($AG82&gt;0,INDEX(EL$7:EL$106,$AG82),1),IF($AH82&gt;0,INDEX(EL$7:EL$106,$AH82),1),IF($AI82&gt;0,INDEX(EL$7:EL$106,$AI82),1),IF($AJ82&gt;0,INDEX(EL$7:EL$106,$AJ82),1))))</ns0:f>
        <ns0:v>1</ns0:v>
      </ns0:c>
      <ns0:c r="EN82" t="n">
        <ns0:f>IF($A82="",1,IF(EM82=1,1,--AND(IF($AC82&gt;0,INDEX(EM$7:EM$106,$AC82),1),IF($AD82&gt;0,INDEX(EM$7:EM$106,$AD82),1),IF($AE82&gt;0,INDEX(EM$7:EM$106,$AE82),1),IF($AF82&gt;0,INDEX(EM$7:EM$106,$AF82),1),IF($AG82&gt;0,INDEX(EM$7:EM$106,$AG82),1),IF($AH82&gt;0,INDEX(EM$7:EM$106,$AH82),1),IF($AI82&gt;0,INDEX(EM$7:EM$106,$AI82),1),IF($AJ82&gt;0,INDEX(EM$7:EM$106,$AJ82),1))))</ns0:f>
        <ns0:v>1</ns0:v>
      </ns0:c>
      <ns0:c r="EO82" t="n">
        <ns0:f>IF($A82="",1,IF(EN82=1,1,--AND(IF($AC82&gt;0,INDEX(EN$7:EN$106,$AC82),1),IF($AD82&gt;0,INDEX(EN$7:EN$106,$AD82),1),IF($AE82&gt;0,INDEX(EN$7:EN$106,$AE82),1),IF($AF82&gt;0,INDEX(EN$7:EN$106,$AF82),1),IF($AG82&gt;0,INDEX(EN$7:EN$106,$AG82),1),IF($AH82&gt;0,INDEX(EN$7:EN$106,$AH82),1),IF($AI82&gt;0,INDEX(EN$7:EN$106,$AI82),1),IF($AJ82&gt;0,INDEX(EN$7:EN$106,$AJ82),1))))</ns0:f>
        <ns0:v>1</ns0:v>
      </ns0:c>
      <ns0:c r="EP82" t="n">
        <ns0:f>IF($A82="",1,IF(EO82=1,1,--AND(IF($AC82&gt;0,INDEX(EO$7:EO$106,$AC82),1),IF($AD82&gt;0,INDEX(EO$7:EO$106,$AD82),1),IF($AE82&gt;0,INDEX(EO$7:EO$106,$AE82),1),IF($AF82&gt;0,INDEX(EO$7:EO$106,$AF82),1),IF($AG82&gt;0,INDEX(EO$7:EO$106,$AG82),1),IF($AH82&gt;0,INDEX(EO$7:EO$106,$AH82),1),IF($AI82&gt;0,INDEX(EO$7:EO$106,$AI82),1),IF($AJ82&gt;0,INDEX(EO$7:EO$106,$AJ82),1))))</ns0:f>
        <ns0:v>1</ns0:v>
      </ns0:c>
      <ns0:c r="EQ82" t="n">
        <ns0:f>IF(OR(A82="",NOT(ISNUMBER(G82))),0,G82*N82)</ns0:f>
        <ns0:v>0</ns0:v>
      </ns0:c>
    </ns0:row>
    <ns0:row r="83" ht="62" customHeight="1">
      <ns0:c r="A83" s="48"/>
      <ns0:c r="B83" s="48"/>
      <ns0:c r="C83" s="48"/>
      <ns0:c r="D83" s="48"/>
      <ns0:c r="E83" s="49"/>
      <ns0:c r="F83" s="49"/>
      <ns0:c r="G83" s="13" t="str">
        <ns0:f>IF(A83="","",IF(OR(NOT(ISNUMBER(E83)),NOT(ISNUMBER(F83)),F83&lt;E83),"",IF(J83="Yes",0,F83-E83+1)))</ns0:f>
      </ns0:c>
      <ns0:c r="H83" s="48"/>
      <ns0:c r="I83" s="48"/>
      <ns0:c r="J83" s="48"/>
      <ns0:c r="K83" s="48"/>
      <ns0:c r="L83" s="48"/>
      <ns0:c r="M83" s="50" t="str">
        <ns0:f>IF(A83="","",IF(N83=1,"Completed",IF(N83&gt;0,"In Progress","Not Started")))</ns0:f>
      </ns0:c>
      <ns0:c r="N83" s="51"/>
      <ns0:c r="O83" s="13" t="str">
        <ns0:f>IF(A83="","",IF(R83&lt;&gt;"","[CONFLICT] "&amp;R83,IF(S83&lt;&gt;"","[CONFLICT] "&amp;S83,IF(OR(NOT(ISNUMBER(N83)),N83&lt;0,N83&gt;1),"[CONFLICT] Invalid progress",IF(AK83&gt;0,"[DEPENDENCY ISSUE] Missing ID / &gt;8 links",IF(AM83&gt;0,"[DEPENDENCY ISSUE] Cycle or blocked by cycle",IF(AND(H83&lt;&gt;"",ISNA(MATCH(I83,{"FS","SS","FF","SF"},0))),"[DEPENDENCY ISSUE] Invalid type",IF(AL83&gt;0,"[DEPENDENCY ISSUE] Timing conflict",IF(OR(E83&lt;ProjectStart,F83&gt;ProjectEnd),"[OUTSIDE WINDOW]",IF(AND(N83&lt;1,F83&lt;AsOfDate),"Overdue",IF(AND(M83&lt;&gt;Q83,M83&lt;&gt;""),"[CONFLICT] Status / progress","On track")))))))))))</ns0:f>
      </ns0:c>
      <ns0:c r="P83" s="52"/>
      <ns0:c r="Q83" t="str">
        <ns0:f>IF(A83="","",IF(OR(M83="On Hold",M83="Delayed"),M83,IF(N83=1,"Completed",IF(N83&gt;0,"In Progress","Not Started"))))</ns0:f>
      </ns0:c>
      <ns0:c r="R83" t="str">
        <ns0:f>IF(A83="","",IF(COUNTIFS(Tasks[Task ID],A83)&lt;&gt;1,"Duplicate ID",""))</ns0:f>
      </ns0:c>
      <ns0:c r="S83" t="str">
        <ns0:f>IF(A83="","",IF(OR(NOT(ISNUMBER(E83)),NOT(ISNUMBER(F83))),"Invalid / missing date",IF(OR(E83&lt;&gt;INT(E83),F83&lt;&gt;INT(F83),E83&lt;1,F83&gt;2958465),"Invalid date",IF(F83&lt;E83,"End before start",IF(AND(J83="Yes",E83&lt;&gt;F83),"Milestone needs one date","")))))</ns0:f>
      </ns0:c>
      <ns0:c r="T83" t="n">
        <ns0:f>IF(H83="",0,LEN(H83)-LEN(SUBSTITUTE(H83,",",""))+1)</ns0:f>
        <ns0:v>0</ns0:v>
      </ns0:c>
      <ns0:c r="U83" t="str">
        <ns0:f>TRIM(MID(SUBSTITUTE($H83,",",REPT(" ",100)),1,100))</ns0:f>
      </ns0:c>
      <ns0:c r="V83" t="str">
        <ns0:f>TRIM(MID(SUBSTITUTE($H83,",",REPT(" ",100)),101,100))</ns0:f>
      </ns0:c>
      <ns0:c r="W83" t="str">
        <ns0:f>TRIM(MID(SUBSTITUTE($H83,",",REPT(" ",100)),201,100))</ns0:f>
      </ns0:c>
      <ns0:c r="X83" t="str">
        <ns0:f>TRIM(MID(SUBSTITUTE($H83,",",REPT(" ",100)),301,100))</ns0:f>
      </ns0:c>
      <ns0:c r="Y83" t="str">
        <ns0:f>TRIM(MID(SUBSTITUTE($H83,",",REPT(" ",100)),401,100))</ns0:f>
      </ns0:c>
      <ns0:c r="Z83" t="str">
        <ns0:f>TRIM(MID(SUBSTITUTE($H83,",",REPT(" ",100)),501,100))</ns0:f>
      </ns0:c>
      <ns0:c r="AA83" t="str">
        <ns0:f>TRIM(MID(SUBSTITUTE($H83,",",REPT(" ",100)),601,100))</ns0:f>
      </ns0:c>
      <ns0:c r="AB83" t="str">
        <ns0:f>TRIM(MID(SUBSTITUTE($H83,",",REPT(" ",100)),701,100))</ns0:f>
      </ns0:c>
      <ns0:c r="AC83" t="n">
        <ns0:f>IF(U83="",0,IF(COUNTIFS(Tasks[Task ID],U83)=1,MATCH(U83,Tasks[Task ID],0),-1))</ns0:f>
        <ns0:v>0</ns0:v>
      </ns0:c>
      <ns0:c r="AD83" t="n">
        <ns0:f>IF(V83="",0,IF(COUNTIFS(Tasks[Task ID],V83)=1,MATCH(V83,Tasks[Task ID],0),-1))</ns0:f>
        <ns0:v>0</ns0:v>
      </ns0:c>
      <ns0:c r="AE83" t="n">
        <ns0:f>IF(W83="",0,IF(COUNTIFS(Tasks[Task ID],W83)=1,MATCH(W83,Tasks[Task ID],0),-1))</ns0:f>
        <ns0:v>0</ns0:v>
      </ns0:c>
      <ns0:c r="AF83" t="n">
        <ns0:f>IF(X83="",0,IF(COUNTIFS(Tasks[Task ID],X83)=1,MATCH(X83,Tasks[Task ID],0),-1))</ns0:f>
        <ns0:v>0</ns0:v>
      </ns0:c>
      <ns0:c r="AG83" t="n">
        <ns0:f>IF(Y83="",0,IF(COUNTIFS(Tasks[Task ID],Y83)=1,MATCH(Y83,Tasks[Task ID],0),-1))</ns0:f>
        <ns0:v>0</ns0:v>
      </ns0:c>
      <ns0:c r="AH83" t="n">
        <ns0:f>IF(Z83="",0,IF(COUNTIFS(Tasks[Task ID],Z83)=1,MATCH(Z83,Tasks[Task ID],0),-1))</ns0:f>
        <ns0:v>0</ns0:v>
      </ns0:c>
      <ns0:c r="AI83" t="n">
        <ns0:f>IF(AA83="",0,IF(COUNTIFS(Tasks[Task ID],AA83)=1,MATCH(AA83,Tasks[Task ID],0),-1))</ns0:f>
        <ns0:v>0</ns0:v>
      </ns0:c>
      <ns0:c r="AJ83" t="n">
        <ns0:f>IF(AB83="",0,IF(COUNTIFS(Tasks[Task ID],AB83)=1,MATCH(AB83,Tasks[Task ID],0),-1))</ns0:f>
        <ns0:v>0</ns0:v>
      </ns0:c>
      <ns0:c r="AK83" t="n">
        <ns0:f>COUNTIFS(AC83:AJ83,-1)+IF(T83&gt;8,1,0)</ns0:f>
        <ns0:v>0</ns0:v>
      </ns0:c>
      <ns0:c r="AL83" t="n">
        <ns0:f>IF(OR(A83="",S83&lt;&gt;""),0,SUM(IF(AC83&gt;0,IF($I83="FS",--($E83&lt;INDEX(Tasks[End Date],AC83)+IF(INDEX(Tasks[Milestone],AC83)="Yes",0,1)),IF($I83="SS",--($E83&lt;INDEX(Tasks[Start Date],AC83)),IF($I83="FF",--($F83&lt;INDEX(Tasks[End Date],AC83)),IF($I83="SF",--($F83&lt;INDEX(Tasks[Start Date],AC83)),0)))),0),IF(AD83&gt;0,IF($I83="FS",--($E83&lt;INDEX(Tasks[End Date],AD83)+IF(INDEX(Tasks[Milestone],AD83)="Yes",0,1)),IF($I83="SS",--($E83&lt;INDEX(Tasks[Start Date],AD83)),IF($I83="FF",--($F83&lt;INDEX(Tasks[End Date],AD83)),IF($I83="SF",--($F83&lt;INDEX(Tasks[Start Date],AD83)),0)))),0),IF(AE83&gt;0,IF($I83="FS",--($E83&lt;INDEX(Tasks[End Date],AE83)+IF(INDEX(Tasks[Milestone],AE83)="Yes",0,1)),IF($I83="SS",--($E83&lt;INDEX(Tasks[Start Date],AE83)),IF($I83="FF",--($F83&lt;INDEX(Tasks[End Date],AE83)),IF($I83="SF",--($F83&lt;INDEX(Tasks[Start Date],AE83)),0)))),0),IF(AF83&gt;0,IF($I83="FS",--($E83&lt;INDEX(Tasks[End Date],AF83)+IF(INDEX(Tasks[Milestone],AF83)="Yes",0,1)),IF($I83="SS",--($E83&lt;INDEX(Tasks[Start Date],AF83)),IF($I83="FF",--($F83&lt;INDEX(Tasks[End Date],AF83)),IF($I83="SF",--($F83&lt;INDEX(Tasks[Start Date],AF83)),0)))),0),IF(AG83&gt;0,IF($I83="FS",--($E83&lt;INDEX(Tasks[End Date],AG83)+IF(INDEX(Tasks[Milestone],AG83)="Yes",0,1)),IF($I83="SS",--($E83&lt;INDEX(Tasks[Start Date],AG83)),IF($I83="FF",--($F83&lt;INDEX(Tasks[End Date],AG83)),IF($I83="SF",--($F83&lt;INDEX(Tasks[Start Date],AG83)),0)))),0),IF(AH83&gt;0,IF($I83="FS",--($E83&lt;INDEX(Tasks[End Date],AH83)+IF(INDEX(Tasks[Milestone],AH83)="Yes",0,1)),IF($I83="SS",--($E83&lt;INDEX(Tasks[Start Date],AH83)),IF($I83="FF",--($F83&lt;INDEX(Tasks[End Date],AH83)),IF($I83="SF",--($F83&lt;INDEX(Tasks[Start Date],AH83)),0)))),0),IF(AI83&gt;0,IF($I83="FS",--($E83&lt;INDEX(Tasks[End Date],AI83)+IF(INDEX(Tasks[Milestone],AI83)="Yes",0,1)),IF($I83="SS",--($E83&lt;INDEX(Tasks[Start Date],AI83)),IF($I83="FF",--($F83&lt;INDEX(Tasks[End Date],AI83)),IF($I83="SF",--($F83&lt;INDEX(Tasks[Start Date],AI83)),0)))),0),IF(AJ83&gt;0,IF($I83="FS",--($E83&lt;INDEX(Tasks[End Date],AJ83)+IF(INDEX(Tasks[Milestone],AJ83)="Yes",0,1)),IF($I83="SS",--($E83&lt;INDEX(Tasks[Start Date],AJ83)),IF($I83="FF",--($F83&lt;INDEX(Tasks[End Date],AJ83)),IF($I83="SF",--($F83&lt;INDEX(Tasks[Start Date],AJ83)),0)))),0)))</ns0:f>
        <ns0:v>0</ns0:v>
      </ns0:c>
      <ns0:c r="AM83" t="n">
        <ns0:f>IF(AND(A83&lt;&gt;"",AK83=0,EP83=0),1,0)</ns0:f>
        <ns0:v>0</ns0:v>
      </ns0:c>
      <ns0:c r="AN83" t="str">
        <ns0:f>IF(OR(A83="",B83=""),"",IF(COUNTIFS($B$7:B83,B83)=1,MAX($AN$6:AN82)+1,""))</ns0:f>
      </ns0:c>
      <ns0:c r="AO83" t="n">
        <ns0:f>IF(AND(A83&lt;&gt;"",J83="No",N83&lt;1,E83&gt;=AsOfDate),E83+ROW()/10000,1E+9)</ns0:f>
        <ns0:v>1000000000</ns0:v>
      </ns0:c>
      <ns0:c r="AP83" t="n">
        <ns0:f>IF(AND(A83&lt;&gt;"",J83="Yes",N83&lt;1,E83&gt;=AsOfDate),E83+ROW()/10000,1E+9)</ns0:f>
        <ns0:v>1000000000</ns0:v>
      </ns0:c>
      <ns0:c r="AQ83" t="n">
        <ns0:f>IF(AND(A83&lt;&gt;"",J83="No",N83&lt;1,F83&gt;=AsOfDate,F83&lt;=AsOfDate+7),F83+ROW()/10000,1E+9)</ns0:f>
        <ns0:v>1000000000</ns0:v>
      </ns0:c>
      <ns0:c r="AR83" t="n">
        <ns0:f>IF(AND(A83&lt;&gt;"",OR(O83&lt;&gt;"On track",Q83="Delayed")),ROW(),1E+9)</ns0:f>
        <ns0:v>1000000000</ns0:v>
      </ns0:c>
      <ns0:c r="AS83" t="str">
        <ns0:f>IF(A83="","",";"&amp;K83&amp;";")</ns0:f>
      </ns0:c>
      <ns0:c r="AT83" t="n">
        <ns0:f>IF(A83="",1,--(T83=0))</ns0:f>
        <ns0:v>1</ns0:v>
      </ns0:c>
      <ns0:c r="AU83" t="n">
        <ns0:f>IF($A83="",1,IF(AT83=1,1,--AND(IF($AC83&gt;0,INDEX(AT$7:AT$106,$AC83),1),IF($AD83&gt;0,INDEX(AT$7:AT$106,$AD83),1),IF($AE83&gt;0,INDEX(AT$7:AT$106,$AE83),1),IF($AF83&gt;0,INDEX(AT$7:AT$106,$AF83),1),IF($AG83&gt;0,INDEX(AT$7:AT$106,$AG83),1),IF($AH83&gt;0,INDEX(AT$7:AT$106,$AH83),1),IF($AI83&gt;0,INDEX(AT$7:AT$106,$AI83),1),IF($AJ83&gt;0,INDEX(AT$7:AT$106,$AJ83),1))))</ns0:f>
        <ns0:v>1</ns0:v>
      </ns0:c>
      <ns0:c r="AV83" t="n">
        <ns0:f>IF($A83="",1,IF(AU83=1,1,--AND(IF($AC83&gt;0,INDEX(AU$7:AU$106,$AC83),1),IF($AD83&gt;0,INDEX(AU$7:AU$106,$AD83),1),IF($AE83&gt;0,INDEX(AU$7:AU$106,$AE83),1),IF($AF83&gt;0,INDEX(AU$7:AU$106,$AF83),1),IF($AG83&gt;0,INDEX(AU$7:AU$106,$AG83),1),IF($AH83&gt;0,INDEX(AU$7:AU$106,$AH83),1),IF($AI83&gt;0,INDEX(AU$7:AU$106,$AI83),1),IF($AJ83&gt;0,INDEX(AU$7:AU$106,$AJ83),1))))</ns0:f>
        <ns0:v>1</ns0:v>
      </ns0:c>
      <ns0:c r="AW83" t="n">
        <ns0:f>IF($A83="",1,IF(AV83=1,1,--AND(IF($AC83&gt;0,INDEX(AV$7:AV$106,$AC83),1),IF($AD83&gt;0,INDEX(AV$7:AV$106,$AD83),1),IF($AE83&gt;0,INDEX(AV$7:AV$106,$AE83),1),IF($AF83&gt;0,INDEX(AV$7:AV$106,$AF83),1),IF($AG83&gt;0,INDEX(AV$7:AV$106,$AG83),1),IF($AH83&gt;0,INDEX(AV$7:AV$106,$AH83),1),IF($AI83&gt;0,INDEX(AV$7:AV$106,$AI83),1),IF($AJ83&gt;0,INDEX(AV$7:AV$106,$AJ83),1))))</ns0:f>
        <ns0:v>1</ns0:v>
      </ns0:c>
      <ns0:c r="AX83" t="n">
        <ns0:f>IF($A83="",1,IF(AW83=1,1,--AND(IF($AC83&gt;0,INDEX(AW$7:AW$106,$AC83),1),IF($AD83&gt;0,INDEX(AW$7:AW$106,$AD83),1),IF($AE83&gt;0,INDEX(AW$7:AW$106,$AE83),1),IF($AF83&gt;0,INDEX(AW$7:AW$106,$AF83),1),IF($AG83&gt;0,INDEX(AW$7:AW$106,$AG83),1),IF($AH83&gt;0,INDEX(AW$7:AW$106,$AH83),1),IF($AI83&gt;0,INDEX(AW$7:AW$106,$AI83),1),IF($AJ83&gt;0,INDEX(AW$7:AW$106,$AJ83),1))))</ns0:f>
        <ns0:v>1</ns0:v>
      </ns0:c>
      <ns0:c r="AY83" t="n">
        <ns0:f>IF($A83="",1,IF(AX83=1,1,--AND(IF($AC83&gt;0,INDEX(AX$7:AX$106,$AC83),1),IF($AD83&gt;0,INDEX(AX$7:AX$106,$AD83),1),IF($AE83&gt;0,INDEX(AX$7:AX$106,$AE83),1),IF($AF83&gt;0,INDEX(AX$7:AX$106,$AF83),1),IF($AG83&gt;0,INDEX(AX$7:AX$106,$AG83),1),IF($AH83&gt;0,INDEX(AX$7:AX$106,$AH83),1),IF($AI83&gt;0,INDEX(AX$7:AX$106,$AI83),1),IF($AJ83&gt;0,INDEX(AX$7:AX$106,$AJ83),1))))</ns0:f>
        <ns0:v>1</ns0:v>
      </ns0:c>
      <ns0:c r="AZ83" t="n">
        <ns0:f>IF($A83="",1,IF(AY83=1,1,--AND(IF($AC83&gt;0,INDEX(AY$7:AY$106,$AC83),1),IF($AD83&gt;0,INDEX(AY$7:AY$106,$AD83),1),IF($AE83&gt;0,INDEX(AY$7:AY$106,$AE83),1),IF($AF83&gt;0,INDEX(AY$7:AY$106,$AF83),1),IF($AG83&gt;0,INDEX(AY$7:AY$106,$AG83),1),IF($AH83&gt;0,INDEX(AY$7:AY$106,$AH83),1),IF($AI83&gt;0,INDEX(AY$7:AY$106,$AI83),1),IF($AJ83&gt;0,INDEX(AY$7:AY$106,$AJ83),1))))</ns0:f>
        <ns0:v>1</ns0:v>
      </ns0:c>
      <ns0:c r="BA83" t="n">
        <ns0:f>IF($A83="",1,IF(AZ83=1,1,--AND(IF($AC83&gt;0,INDEX(AZ$7:AZ$106,$AC83),1),IF($AD83&gt;0,INDEX(AZ$7:AZ$106,$AD83),1),IF($AE83&gt;0,INDEX(AZ$7:AZ$106,$AE83),1),IF($AF83&gt;0,INDEX(AZ$7:AZ$106,$AF83),1),IF($AG83&gt;0,INDEX(AZ$7:AZ$106,$AG83),1),IF($AH83&gt;0,INDEX(AZ$7:AZ$106,$AH83),1),IF($AI83&gt;0,INDEX(AZ$7:AZ$106,$AI83),1),IF($AJ83&gt;0,INDEX(AZ$7:AZ$106,$AJ83),1))))</ns0:f>
        <ns0:v>1</ns0:v>
      </ns0:c>
      <ns0:c r="BB83" t="n">
        <ns0:f>IF($A83="",1,IF(BA83=1,1,--AND(IF($AC83&gt;0,INDEX(BA$7:BA$106,$AC83),1),IF($AD83&gt;0,INDEX(BA$7:BA$106,$AD83),1),IF($AE83&gt;0,INDEX(BA$7:BA$106,$AE83),1),IF($AF83&gt;0,INDEX(BA$7:BA$106,$AF83),1),IF($AG83&gt;0,INDEX(BA$7:BA$106,$AG83),1),IF($AH83&gt;0,INDEX(BA$7:BA$106,$AH83),1),IF($AI83&gt;0,INDEX(BA$7:BA$106,$AI83),1),IF($AJ83&gt;0,INDEX(BA$7:BA$106,$AJ83),1))))</ns0:f>
        <ns0:v>1</ns0:v>
      </ns0:c>
      <ns0:c r="BC83" t="n">
        <ns0:f>IF($A83="",1,IF(BB83=1,1,--AND(IF($AC83&gt;0,INDEX(BB$7:BB$106,$AC83),1),IF($AD83&gt;0,INDEX(BB$7:BB$106,$AD83),1),IF($AE83&gt;0,INDEX(BB$7:BB$106,$AE83),1),IF($AF83&gt;0,INDEX(BB$7:BB$106,$AF83),1),IF($AG83&gt;0,INDEX(BB$7:BB$106,$AG83),1),IF($AH83&gt;0,INDEX(BB$7:BB$106,$AH83),1),IF($AI83&gt;0,INDEX(BB$7:BB$106,$AI83),1),IF($AJ83&gt;0,INDEX(BB$7:BB$106,$AJ83),1))))</ns0:f>
        <ns0:v>1</ns0:v>
      </ns0:c>
      <ns0:c r="BD83" t="n">
        <ns0:f>IF($A83="",1,IF(BC83=1,1,--AND(IF($AC83&gt;0,INDEX(BC$7:BC$106,$AC83),1),IF($AD83&gt;0,INDEX(BC$7:BC$106,$AD83),1),IF($AE83&gt;0,INDEX(BC$7:BC$106,$AE83),1),IF($AF83&gt;0,INDEX(BC$7:BC$106,$AF83),1),IF($AG83&gt;0,INDEX(BC$7:BC$106,$AG83),1),IF($AH83&gt;0,INDEX(BC$7:BC$106,$AH83),1),IF($AI83&gt;0,INDEX(BC$7:BC$106,$AI83),1),IF($AJ83&gt;0,INDEX(BC$7:BC$106,$AJ83),1))))</ns0:f>
        <ns0:v>1</ns0:v>
      </ns0:c>
      <ns0:c r="BE83" t="n">
        <ns0:f>IF($A83="",1,IF(BD83=1,1,--AND(IF($AC83&gt;0,INDEX(BD$7:BD$106,$AC83),1),IF($AD83&gt;0,INDEX(BD$7:BD$106,$AD83),1),IF($AE83&gt;0,INDEX(BD$7:BD$106,$AE83),1),IF($AF83&gt;0,INDEX(BD$7:BD$106,$AF83),1),IF($AG83&gt;0,INDEX(BD$7:BD$106,$AG83),1),IF($AH83&gt;0,INDEX(BD$7:BD$106,$AH83),1),IF($AI83&gt;0,INDEX(BD$7:BD$106,$AI83),1),IF($AJ83&gt;0,INDEX(BD$7:BD$106,$AJ83),1))))</ns0:f>
        <ns0:v>1</ns0:v>
      </ns0:c>
      <ns0:c r="BF83" t="n">
        <ns0:f>IF($A83="",1,IF(BE83=1,1,--AND(IF($AC83&gt;0,INDEX(BE$7:BE$106,$AC83),1),IF($AD83&gt;0,INDEX(BE$7:BE$106,$AD83),1),IF($AE83&gt;0,INDEX(BE$7:BE$106,$AE83),1),IF($AF83&gt;0,INDEX(BE$7:BE$106,$AF83),1),IF($AG83&gt;0,INDEX(BE$7:BE$106,$AG83),1),IF($AH83&gt;0,INDEX(BE$7:BE$106,$AH83),1),IF($AI83&gt;0,INDEX(BE$7:BE$106,$AI83),1),IF($AJ83&gt;0,INDEX(BE$7:BE$106,$AJ83),1))))</ns0:f>
        <ns0:v>1</ns0:v>
      </ns0:c>
      <ns0:c r="BG83" t="n">
        <ns0:f>IF($A83="",1,IF(BF83=1,1,--AND(IF($AC83&gt;0,INDEX(BF$7:BF$106,$AC83),1),IF($AD83&gt;0,INDEX(BF$7:BF$106,$AD83),1),IF($AE83&gt;0,INDEX(BF$7:BF$106,$AE83),1),IF($AF83&gt;0,INDEX(BF$7:BF$106,$AF83),1),IF($AG83&gt;0,INDEX(BF$7:BF$106,$AG83),1),IF($AH83&gt;0,INDEX(BF$7:BF$106,$AH83),1),IF($AI83&gt;0,INDEX(BF$7:BF$106,$AI83),1),IF($AJ83&gt;0,INDEX(BF$7:BF$106,$AJ83),1))))</ns0:f>
        <ns0:v>1</ns0:v>
      </ns0:c>
      <ns0:c r="BH83" t="n">
        <ns0:f>IF($A83="",1,IF(BG83=1,1,--AND(IF($AC83&gt;0,INDEX(BG$7:BG$106,$AC83),1),IF($AD83&gt;0,INDEX(BG$7:BG$106,$AD83),1),IF($AE83&gt;0,INDEX(BG$7:BG$106,$AE83),1),IF($AF83&gt;0,INDEX(BG$7:BG$106,$AF83),1),IF($AG83&gt;0,INDEX(BG$7:BG$106,$AG83),1),IF($AH83&gt;0,INDEX(BG$7:BG$106,$AH83),1),IF($AI83&gt;0,INDEX(BG$7:BG$106,$AI83),1),IF($AJ83&gt;0,INDEX(BG$7:BG$106,$AJ83),1))))</ns0:f>
        <ns0:v>1</ns0:v>
      </ns0:c>
      <ns0:c r="BI83" t="n">
        <ns0:f>IF($A83="",1,IF(BH83=1,1,--AND(IF($AC83&gt;0,INDEX(BH$7:BH$106,$AC83),1),IF($AD83&gt;0,INDEX(BH$7:BH$106,$AD83),1),IF($AE83&gt;0,INDEX(BH$7:BH$106,$AE83),1),IF($AF83&gt;0,INDEX(BH$7:BH$106,$AF83),1),IF($AG83&gt;0,INDEX(BH$7:BH$106,$AG83),1),IF($AH83&gt;0,INDEX(BH$7:BH$106,$AH83),1),IF($AI83&gt;0,INDEX(BH$7:BH$106,$AI83),1),IF($AJ83&gt;0,INDEX(BH$7:BH$106,$AJ83),1))))</ns0:f>
        <ns0:v>1</ns0:v>
      </ns0:c>
      <ns0:c r="BJ83" t="n">
        <ns0:f>IF($A83="",1,IF(BI83=1,1,--AND(IF($AC83&gt;0,INDEX(BI$7:BI$106,$AC83),1),IF($AD83&gt;0,INDEX(BI$7:BI$106,$AD83),1),IF($AE83&gt;0,INDEX(BI$7:BI$106,$AE83),1),IF($AF83&gt;0,INDEX(BI$7:BI$106,$AF83),1),IF($AG83&gt;0,INDEX(BI$7:BI$106,$AG83),1),IF($AH83&gt;0,INDEX(BI$7:BI$106,$AH83),1),IF($AI83&gt;0,INDEX(BI$7:BI$106,$AI83),1),IF($AJ83&gt;0,INDEX(BI$7:BI$106,$AJ83),1))))</ns0:f>
        <ns0:v>1</ns0:v>
      </ns0:c>
      <ns0:c r="BK83" t="n">
        <ns0:f>IF($A83="",1,IF(BJ83=1,1,--AND(IF($AC83&gt;0,INDEX(BJ$7:BJ$106,$AC83),1),IF($AD83&gt;0,INDEX(BJ$7:BJ$106,$AD83),1),IF($AE83&gt;0,INDEX(BJ$7:BJ$106,$AE83),1),IF($AF83&gt;0,INDEX(BJ$7:BJ$106,$AF83),1),IF($AG83&gt;0,INDEX(BJ$7:BJ$106,$AG83),1),IF($AH83&gt;0,INDEX(BJ$7:BJ$106,$AH83),1),IF($AI83&gt;0,INDEX(BJ$7:BJ$106,$AI83),1),IF($AJ83&gt;0,INDEX(BJ$7:BJ$106,$AJ83),1))))</ns0:f>
        <ns0:v>1</ns0:v>
      </ns0:c>
      <ns0:c r="BL83" t="n">
        <ns0:f>IF($A83="",1,IF(BK83=1,1,--AND(IF($AC83&gt;0,INDEX(BK$7:BK$106,$AC83),1),IF($AD83&gt;0,INDEX(BK$7:BK$106,$AD83),1),IF($AE83&gt;0,INDEX(BK$7:BK$106,$AE83),1),IF($AF83&gt;0,INDEX(BK$7:BK$106,$AF83),1),IF($AG83&gt;0,INDEX(BK$7:BK$106,$AG83),1),IF($AH83&gt;0,INDEX(BK$7:BK$106,$AH83),1),IF($AI83&gt;0,INDEX(BK$7:BK$106,$AI83),1),IF($AJ83&gt;0,INDEX(BK$7:BK$106,$AJ83),1))))</ns0:f>
        <ns0:v>1</ns0:v>
      </ns0:c>
      <ns0:c r="BM83" t="n">
        <ns0:f>IF($A83="",1,IF(BL83=1,1,--AND(IF($AC83&gt;0,INDEX(BL$7:BL$106,$AC83),1),IF($AD83&gt;0,INDEX(BL$7:BL$106,$AD83),1),IF($AE83&gt;0,INDEX(BL$7:BL$106,$AE83),1),IF($AF83&gt;0,INDEX(BL$7:BL$106,$AF83),1),IF($AG83&gt;0,INDEX(BL$7:BL$106,$AG83),1),IF($AH83&gt;0,INDEX(BL$7:BL$106,$AH83),1),IF($AI83&gt;0,INDEX(BL$7:BL$106,$AI83),1),IF($AJ83&gt;0,INDEX(BL$7:BL$106,$AJ83),1))))</ns0:f>
        <ns0:v>1</ns0:v>
      </ns0:c>
      <ns0:c r="BN83" t="n">
        <ns0:f>IF($A83="",1,IF(BM83=1,1,--AND(IF($AC83&gt;0,INDEX(BM$7:BM$106,$AC83),1),IF($AD83&gt;0,INDEX(BM$7:BM$106,$AD83),1),IF($AE83&gt;0,INDEX(BM$7:BM$106,$AE83),1),IF($AF83&gt;0,INDEX(BM$7:BM$106,$AF83),1),IF($AG83&gt;0,INDEX(BM$7:BM$106,$AG83),1),IF($AH83&gt;0,INDEX(BM$7:BM$106,$AH83),1),IF($AI83&gt;0,INDEX(BM$7:BM$106,$AI83),1),IF($AJ83&gt;0,INDEX(BM$7:BM$106,$AJ83),1))))</ns0:f>
        <ns0:v>1</ns0:v>
      </ns0:c>
      <ns0:c r="BO83" t="n">
        <ns0:f>IF($A83="",1,IF(BN83=1,1,--AND(IF($AC83&gt;0,INDEX(BN$7:BN$106,$AC83),1),IF($AD83&gt;0,INDEX(BN$7:BN$106,$AD83),1),IF($AE83&gt;0,INDEX(BN$7:BN$106,$AE83),1),IF($AF83&gt;0,INDEX(BN$7:BN$106,$AF83),1),IF($AG83&gt;0,INDEX(BN$7:BN$106,$AG83),1),IF($AH83&gt;0,INDEX(BN$7:BN$106,$AH83),1),IF($AI83&gt;0,INDEX(BN$7:BN$106,$AI83),1),IF($AJ83&gt;0,INDEX(BN$7:BN$106,$AJ83),1))))</ns0:f>
        <ns0:v>1</ns0:v>
      </ns0:c>
      <ns0:c r="BP83" t="n">
        <ns0:f>IF($A83="",1,IF(BO83=1,1,--AND(IF($AC83&gt;0,INDEX(BO$7:BO$106,$AC83),1),IF($AD83&gt;0,INDEX(BO$7:BO$106,$AD83),1),IF($AE83&gt;0,INDEX(BO$7:BO$106,$AE83),1),IF($AF83&gt;0,INDEX(BO$7:BO$106,$AF83),1),IF($AG83&gt;0,INDEX(BO$7:BO$106,$AG83),1),IF($AH83&gt;0,INDEX(BO$7:BO$106,$AH83),1),IF($AI83&gt;0,INDEX(BO$7:BO$106,$AI83),1),IF($AJ83&gt;0,INDEX(BO$7:BO$106,$AJ83),1))))</ns0:f>
        <ns0:v>1</ns0:v>
      </ns0:c>
      <ns0:c r="BQ83" t="n">
        <ns0:f>IF($A83="",1,IF(BP83=1,1,--AND(IF($AC83&gt;0,INDEX(BP$7:BP$106,$AC83),1),IF($AD83&gt;0,INDEX(BP$7:BP$106,$AD83),1),IF($AE83&gt;0,INDEX(BP$7:BP$106,$AE83),1),IF($AF83&gt;0,INDEX(BP$7:BP$106,$AF83),1),IF($AG83&gt;0,INDEX(BP$7:BP$106,$AG83),1),IF($AH83&gt;0,INDEX(BP$7:BP$106,$AH83),1),IF($AI83&gt;0,INDEX(BP$7:BP$106,$AI83),1),IF($AJ83&gt;0,INDEX(BP$7:BP$106,$AJ83),1))))</ns0:f>
        <ns0:v>1</ns0:v>
      </ns0:c>
      <ns0:c r="BR83" t="n">
        <ns0:f>IF($A83="",1,IF(BQ83=1,1,--AND(IF($AC83&gt;0,INDEX(BQ$7:BQ$106,$AC83),1),IF($AD83&gt;0,INDEX(BQ$7:BQ$106,$AD83),1),IF($AE83&gt;0,INDEX(BQ$7:BQ$106,$AE83),1),IF($AF83&gt;0,INDEX(BQ$7:BQ$106,$AF83),1),IF($AG83&gt;0,INDEX(BQ$7:BQ$106,$AG83),1),IF($AH83&gt;0,INDEX(BQ$7:BQ$106,$AH83),1),IF($AI83&gt;0,INDEX(BQ$7:BQ$106,$AI83),1),IF($AJ83&gt;0,INDEX(BQ$7:BQ$106,$AJ83),1))))</ns0:f>
        <ns0:v>1</ns0:v>
      </ns0:c>
      <ns0:c r="BS83" t="n">
        <ns0:f>IF($A83="",1,IF(BR83=1,1,--AND(IF($AC83&gt;0,INDEX(BR$7:BR$106,$AC83),1),IF($AD83&gt;0,INDEX(BR$7:BR$106,$AD83),1),IF($AE83&gt;0,INDEX(BR$7:BR$106,$AE83),1),IF($AF83&gt;0,INDEX(BR$7:BR$106,$AF83),1),IF($AG83&gt;0,INDEX(BR$7:BR$106,$AG83),1),IF($AH83&gt;0,INDEX(BR$7:BR$106,$AH83),1),IF($AI83&gt;0,INDEX(BR$7:BR$106,$AI83),1),IF($AJ83&gt;0,INDEX(BR$7:BR$106,$AJ83),1))))</ns0:f>
        <ns0:v>1</ns0:v>
      </ns0:c>
      <ns0:c r="BT83" t="n">
        <ns0:f>IF($A83="",1,IF(BS83=1,1,--AND(IF($AC83&gt;0,INDEX(BS$7:BS$106,$AC83),1),IF($AD83&gt;0,INDEX(BS$7:BS$106,$AD83),1),IF($AE83&gt;0,INDEX(BS$7:BS$106,$AE83),1),IF($AF83&gt;0,INDEX(BS$7:BS$106,$AF83),1),IF($AG83&gt;0,INDEX(BS$7:BS$106,$AG83),1),IF($AH83&gt;0,INDEX(BS$7:BS$106,$AH83),1),IF($AI83&gt;0,INDEX(BS$7:BS$106,$AI83),1),IF($AJ83&gt;0,INDEX(BS$7:BS$106,$AJ83),1))))</ns0:f>
        <ns0:v>1</ns0:v>
      </ns0:c>
      <ns0:c r="BU83" t="n">
        <ns0:f>IF($A83="",1,IF(BT83=1,1,--AND(IF($AC83&gt;0,INDEX(BT$7:BT$106,$AC83),1),IF($AD83&gt;0,INDEX(BT$7:BT$106,$AD83),1),IF($AE83&gt;0,INDEX(BT$7:BT$106,$AE83),1),IF($AF83&gt;0,INDEX(BT$7:BT$106,$AF83),1),IF($AG83&gt;0,INDEX(BT$7:BT$106,$AG83),1),IF($AH83&gt;0,INDEX(BT$7:BT$106,$AH83),1),IF($AI83&gt;0,INDEX(BT$7:BT$106,$AI83),1),IF($AJ83&gt;0,INDEX(BT$7:BT$106,$AJ83),1))))</ns0:f>
        <ns0:v>1</ns0:v>
      </ns0:c>
      <ns0:c r="BV83" t="n">
        <ns0:f>IF($A83="",1,IF(BU83=1,1,--AND(IF($AC83&gt;0,INDEX(BU$7:BU$106,$AC83),1),IF($AD83&gt;0,INDEX(BU$7:BU$106,$AD83),1),IF($AE83&gt;0,INDEX(BU$7:BU$106,$AE83),1),IF($AF83&gt;0,INDEX(BU$7:BU$106,$AF83),1),IF($AG83&gt;0,INDEX(BU$7:BU$106,$AG83),1),IF($AH83&gt;0,INDEX(BU$7:BU$106,$AH83),1),IF($AI83&gt;0,INDEX(BU$7:BU$106,$AI83),1),IF($AJ83&gt;0,INDEX(BU$7:BU$106,$AJ83),1))))</ns0:f>
        <ns0:v>1</ns0:v>
      </ns0:c>
      <ns0:c r="BW83" t="n">
        <ns0:f>IF($A83="",1,IF(BV83=1,1,--AND(IF($AC83&gt;0,INDEX(BV$7:BV$106,$AC83),1),IF($AD83&gt;0,INDEX(BV$7:BV$106,$AD83),1),IF($AE83&gt;0,INDEX(BV$7:BV$106,$AE83),1),IF($AF83&gt;0,INDEX(BV$7:BV$106,$AF83),1),IF($AG83&gt;0,INDEX(BV$7:BV$106,$AG83),1),IF($AH83&gt;0,INDEX(BV$7:BV$106,$AH83),1),IF($AI83&gt;0,INDEX(BV$7:BV$106,$AI83),1),IF($AJ83&gt;0,INDEX(BV$7:BV$106,$AJ83),1))))</ns0:f>
        <ns0:v>1</ns0:v>
      </ns0:c>
      <ns0:c r="BX83" t="n">
        <ns0:f>IF($A83="",1,IF(BW83=1,1,--AND(IF($AC83&gt;0,INDEX(BW$7:BW$106,$AC83),1),IF($AD83&gt;0,INDEX(BW$7:BW$106,$AD83),1),IF($AE83&gt;0,INDEX(BW$7:BW$106,$AE83),1),IF($AF83&gt;0,INDEX(BW$7:BW$106,$AF83),1),IF($AG83&gt;0,INDEX(BW$7:BW$106,$AG83),1),IF($AH83&gt;0,INDEX(BW$7:BW$106,$AH83),1),IF($AI83&gt;0,INDEX(BW$7:BW$106,$AI83),1),IF($AJ83&gt;0,INDEX(BW$7:BW$106,$AJ83),1))))</ns0:f>
        <ns0:v>1</ns0:v>
      </ns0:c>
      <ns0:c r="BY83" t="n">
        <ns0:f>IF($A83="",1,IF(BX83=1,1,--AND(IF($AC83&gt;0,INDEX(BX$7:BX$106,$AC83),1),IF($AD83&gt;0,INDEX(BX$7:BX$106,$AD83),1),IF($AE83&gt;0,INDEX(BX$7:BX$106,$AE83),1),IF($AF83&gt;0,INDEX(BX$7:BX$106,$AF83),1),IF($AG83&gt;0,INDEX(BX$7:BX$106,$AG83),1),IF($AH83&gt;0,INDEX(BX$7:BX$106,$AH83),1),IF($AI83&gt;0,INDEX(BX$7:BX$106,$AI83),1),IF($AJ83&gt;0,INDEX(BX$7:BX$106,$AJ83),1))))</ns0:f>
        <ns0:v>1</ns0:v>
      </ns0:c>
      <ns0:c r="BZ83" t="n">
        <ns0:f>IF($A83="",1,IF(BY83=1,1,--AND(IF($AC83&gt;0,INDEX(BY$7:BY$106,$AC83),1),IF($AD83&gt;0,INDEX(BY$7:BY$106,$AD83),1),IF($AE83&gt;0,INDEX(BY$7:BY$106,$AE83),1),IF($AF83&gt;0,INDEX(BY$7:BY$106,$AF83),1),IF($AG83&gt;0,INDEX(BY$7:BY$106,$AG83),1),IF($AH83&gt;0,INDEX(BY$7:BY$106,$AH83),1),IF($AI83&gt;0,INDEX(BY$7:BY$106,$AI83),1),IF($AJ83&gt;0,INDEX(BY$7:BY$106,$AJ83),1))))</ns0:f>
        <ns0:v>1</ns0:v>
      </ns0:c>
      <ns0:c r="CA83" t="n">
        <ns0:f>IF($A83="",1,IF(BZ83=1,1,--AND(IF($AC83&gt;0,INDEX(BZ$7:BZ$106,$AC83),1),IF($AD83&gt;0,INDEX(BZ$7:BZ$106,$AD83),1),IF($AE83&gt;0,INDEX(BZ$7:BZ$106,$AE83),1),IF($AF83&gt;0,INDEX(BZ$7:BZ$106,$AF83),1),IF($AG83&gt;0,INDEX(BZ$7:BZ$106,$AG83),1),IF($AH83&gt;0,INDEX(BZ$7:BZ$106,$AH83),1),IF($AI83&gt;0,INDEX(BZ$7:BZ$106,$AI83),1),IF($AJ83&gt;0,INDEX(BZ$7:BZ$106,$AJ83),1))))</ns0:f>
        <ns0:v>1</ns0:v>
      </ns0:c>
      <ns0:c r="CB83" t="n">
        <ns0:f>IF($A83="",1,IF(CA83=1,1,--AND(IF($AC83&gt;0,INDEX(CA$7:CA$106,$AC83),1),IF($AD83&gt;0,INDEX(CA$7:CA$106,$AD83),1),IF($AE83&gt;0,INDEX(CA$7:CA$106,$AE83),1),IF($AF83&gt;0,INDEX(CA$7:CA$106,$AF83),1),IF($AG83&gt;0,INDEX(CA$7:CA$106,$AG83),1),IF($AH83&gt;0,INDEX(CA$7:CA$106,$AH83),1),IF($AI83&gt;0,INDEX(CA$7:CA$106,$AI83),1),IF($AJ83&gt;0,INDEX(CA$7:CA$106,$AJ83),1))))</ns0:f>
        <ns0:v>1</ns0:v>
      </ns0:c>
      <ns0:c r="CC83" t="n">
        <ns0:f>IF($A83="",1,IF(CB83=1,1,--AND(IF($AC83&gt;0,INDEX(CB$7:CB$106,$AC83),1),IF($AD83&gt;0,INDEX(CB$7:CB$106,$AD83),1),IF($AE83&gt;0,INDEX(CB$7:CB$106,$AE83),1),IF($AF83&gt;0,INDEX(CB$7:CB$106,$AF83),1),IF($AG83&gt;0,INDEX(CB$7:CB$106,$AG83),1),IF($AH83&gt;0,INDEX(CB$7:CB$106,$AH83),1),IF($AI83&gt;0,INDEX(CB$7:CB$106,$AI83),1),IF($AJ83&gt;0,INDEX(CB$7:CB$106,$AJ83),1))))</ns0:f>
        <ns0:v>1</ns0:v>
      </ns0:c>
      <ns0:c r="CD83" t="n">
        <ns0:f>IF($A83="",1,IF(CC83=1,1,--AND(IF($AC83&gt;0,INDEX(CC$7:CC$106,$AC83),1),IF($AD83&gt;0,INDEX(CC$7:CC$106,$AD83),1),IF($AE83&gt;0,INDEX(CC$7:CC$106,$AE83),1),IF($AF83&gt;0,INDEX(CC$7:CC$106,$AF83),1),IF($AG83&gt;0,INDEX(CC$7:CC$106,$AG83),1),IF($AH83&gt;0,INDEX(CC$7:CC$106,$AH83),1),IF($AI83&gt;0,INDEX(CC$7:CC$106,$AI83),1),IF($AJ83&gt;0,INDEX(CC$7:CC$106,$AJ83),1))))</ns0:f>
        <ns0:v>1</ns0:v>
      </ns0:c>
      <ns0:c r="CE83" t="n">
        <ns0:f>IF($A83="",1,IF(CD83=1,1,--AND(IF($AC83&gt;0,INDEX(CD$7:CD$106,$AC83),1),IF($AD83&gt;0,INDEX(CD$7:CD$106,$AD83),1),IF($AE83&gt;0,INDEX(CD$7:CD$106,$AE83),1),IF($AF83&gt;0,INDEX(CD$7:CD$106,$AF83),1),IF($AG83&gt;0,INDEX(CD$7:CD$106,$AG83),1),IF($AH83&gt;0,INDEX(CD$7:CD$106,$AH83),1),IF($AI83&gt;0,INDEX(CD$7:CD$106,$AI83),1),IF($AJ83&gt;0,INDEX(CD$7:CD$106,$AJ83),1))))</ns0:f>
        <ns0:v>1</ns0:v>
      </ns0:c>
      <ns0:c r="CF83" t="n">
        <ns0:f>IF($A83="",1,IF(CE83=1,1,--AND(IF($AC83&gt;0,INDEX(CE$7:CE$106,$AC83),1),IF($AD83&gt;0,INDEX(CE$7:CE$106,$AD83),1),IF($AE83&gt;0,INDEX(CE$7:CE$106,$AE83),1),IF($AF83&gt;0,INDEX(CE$7:CE$106,$AF83),1),IF($AG83&gt;0,INDEX(CE$7:CE$106,$AG83),1),IF($AH83&gt;0,INDEX(CE$7:CE$106,$AH83),1),IF($AI83&gt;0,INDEX(CE$7:CE$106,$AI83),1),IF($AJ83&gt;0,INDEX(CE$7:CE$106,$AJ83),1))))</ns0:f>
        <ns0:v>1</ns0:v>
      </ns0:c>
      <ns0:c r="CG83" t="n">
        <ns0:f>IF($A83="",1,IF(CF83=1,1,--AND(IF($AC83&gt;0,INDEX(CF$7:CF$106,$AC83),1),IF($AD83&gt;0,INDEX(CF$7:CF$106,$AD83),1),IF($AE83&gt;0,INDEX(CF$7:CF$106,$AE83),1),IF($AF83&gt;0,INDEX(CF$7:CF$106,$AF83),1),IF($AG83&gt;0,INDEX(CF$7:CF$106,$AG83),1),IF($AH83&gt;0,INDEX(CF$7:CF$106,$AH83),1),IF($AI83&gt;0,INDEX(CF$7:CF$106,$AI83),1),IF($AJ83&gt;0,INDEX(CF$7:CF$106,$AJ83),1))))</ns0:f>
        <ns0:v>1</ns0:v>
      </ns0:c>
      <ns0:c r="CH83" t="n">
        <ns0:f>IF($A83="",1,IF(CG83=1,1,--AND(IF($AC83&gt;0,INDEX(CG$7:CG$106,$AC83),1),IF($AD83&gt;0,INDEX(CG$7:CG$106,$AD83),1),IF($AE83&gt;0,INDEX(CG$7:CG$106,$AE83),1),IF($AF83&gt;0,INDEX(CG$7:CG$106,$AF83),1),IF($AG83&gt;0,INDEX(CG$7:CG$106,$AG83),1),IF($AH83&gt;0,INDEX(CG$7:CG$106,$AH83),1),IF($AI83&gt;0,INDEX(CG$7:CG$106,$AI83),1),IF($AJ83&gt;0,INDEX(CG$7:CG$106,$AJ83),1))))</ns0:f>
        <ns0:v>1</ns0:v>
      </ns0:c>
      <ns0:c r="CI83" t="n">
        <ns0:f>IF($A83="",1,IF(CH83=1,1,--AND(IF($AC83&gt;0,INDEX(CH$7:CH$106,$AC83),1),IF($AD83&gt;0,INDEX(CH$7:CH$106,$AD83),1),IF($AE83&gt;0,INDEX(CH$7:CH$106,$AE83),1),IF($AF83&gt;0,INDEX(CH$7:CH$106,$AF83),1),IF($AG83&gt;0,INDEX(CH$7:CH$106,$AG83),1),IF($AH83&gt;0,INDEX(CH$7:CH$106,$AH83),1),IF($AI83&gt;0,INDEX(CH$7:CH$106,$AI83),1),IF($AJ83&gt;0,INDEX(CH$7:CH$106,$AJ83),1))))</ns0:f>
        <ns0:v>1</ns0:v>
      </ns0:c>
      <ns0:c r="CJ83" t="n">
        <ns0:f>IF($A83="",1,IF(CI83=1,1,--AND(IF($AC83&gt;0,INDEX(CI$7:CI$106,$AC83),1),IF($AD83&gt;0,INDEX(CI$7:CI$106,$AD83),1),IF($AE83&gt;0,INDEX(CI$7:CI$106,$AE83),1),IF($AF83&gt;0,INDEX(CI$7:CI$106,$AF83),1),IF($AG83&gt;0,INDEX(CI$7:CI$106,$AG83),1),IF($AH83&gt;0,INDEX(CI$7:CI$106,$AH83),1),IF($AI83&gt;0,INDEX(CI$7:CI$106,$AI83),1),IF($AJ83&gt;0,INDEX(CI$7:CI$106,$AJ83),1))))</ns0:f>
        <ns0:v>1</ns0:v>
      </ns0:c>
      <ns0:c r="CK83" t="n">
        <ns0:f>IF($A83="",1,IF(CJ83=1,1,--AND(IF($AC83&gt;0,INDEX(CJ$7:CJ$106,$AC83),1),IF($AD83&gt;0,INDEX(CJ$7:CJ$106,$AD83),1),IF($AE83&gt;0,INDEX(CJ$7:CJ$106,$AE83),1),IF($AF83&gt;0,INDEX(CJ$7:CJ$106,$AF83),1),IF($AG83&gt;0,INDEX(CJ$7:CJ$106,$AG83),1),IF($AH83&gt;0,INDEX(CJ$7:CJ$106,$AH83),1),IF($AI83&gt;0,INDEX(CJ$7:CJ$106,$AI83),1),IF($AJ83&gt;0,INDEX(CJ$7:CJ$106,$AJ83),1))))</ns0:f>
        <ns0:v>1</ns0:v>
      </ns0:c>
      <ns0:c r="CL83" t="n">
        <ns0:f>IF($A83="",1,IF(CK83=1,1,--AND(IF($AC83&gt;0,INDEX(CK$7:CK$106,$AC83),1),IF($AD83&gt;0,INDEX(CK$7:CK$106,$AD83),1),IF($AE83&gt;0,INDEX(CK$7:CK$106,$AE83),1),IF($AF83&gt;0,INDEX(CK$7:CK$106,$AF83),1),IF($AG83&gt;0,INDEX(CK$7:CK$106,$AG83),1),IF($AH83&gt;0,INDEX(CK$7:CK$106,$AH83),1),IF($AI83&gt;0,INDEX(CK$7:CK$106,$AI83),1),IF($AJ83&gt;0,INDEX(CK$7:CK$106,$AJ83),1))))</ns0:f>
        <ns0:v>1</ns0:v>
      </ns0:c>
      <ns0:c r="CM83" t="n">
        <ns0:f>IF($A83="",1,IF(CL83=1,1,--AND(IF($AC83&gt;0,INDEX(CL$7:CL$106,$AC83),1),IF($AD83&gt;0,INDEX(CL$7:CL$106,$AD83),1),IF($AE83&gt;0,INDEX(CL$7:CL$106,$AE83),1),IF($AF83&gt;0,INDEX(CL$7:CL$106,$AF83),1),IF($AG83&gt;0,INDEX(CL$7:CL$106,$AG83),1),IF($AH83&gt;0,INDEX(CL$7:CL$106,$AH83),1),IF($AI83&gt;0,INDEX(CL$7:CL$106,$AI83),1),IF($AJ83&gt;0,INDEX(CL$7:CL$106,$AJ83),1))))</ns0:f>
        <ns0:v>1</ns0:v>
      </ns0:c>
      <ns0:c r="CN83" t="n">
        <ns0:f>IF($A83="",1,IF(CM83=1,1,--AND(IF($AC83&gt;0,INDEX(CM$7:CM$106,$AC83),1),IF($AD83&gt;0,INDEX(CM$7:CM$106,$AD83),1),IF($AE83&gt;0,INDEX(CM$7:CM$106,$AE83),1),IF($AF83&gt;0,INDEX(CM$7:CM$106,$AF83),1),IF($AG83&gt;0,INDEX(CM$7:CM$106,$AG83),1),IF($AH83&gt;0,INDEX(CM$7:CM$106,$AH83),1),IF($AI83&gt;0,INDEX(CM$7:CM$106,$AI83),1),IF($AJ83&gt;0,INDEX(CM$7:CM$106,$AJ83),1))))</ns0:f>
        <ns0:v>1</ns0:v>
      </ns0:c>
      <ns0:c r="CO83" t="n">
        <ns0:f>IF($A83="",1,IF(CN83=1,1,--AND(IF($AC83&gt;0,INDEX(CN$7:CN$106,$AC83),1),IF($AD83&gt;0,INDEX(CN$7:CN$106,$AD83),1),IF($AE83&gt;0,INDEX(CN$7:CN$106,$AE83),1),IF($AF83&gt;0,INDEX(CN$7:CN$106,$AF83),1),IF($AG83&gt;0,INDEX(CN$7:CN$106,$AG83),1),IF($AH83&gt;0,INDEX(CN$7:CN$106,$AH83),1),IF($AI83&gt;0,INDEX(CN$7:CN$106,$AI83),1),IF($AJ83&gt;0,INDEX(CN$7:CN$106,$AJ83),1))))</ns0:f>
        <ns0:v>1</ns0:v>
      </ns0:c>
      <ns0:c r="CP83" t="n">
        <ns0:f>IF($A83="",1,IF(CO83=1,1,--AND(IF($AC83&gt;0,INDEX(CO$7:CO$106,$AC83),1),IF($AD83&gt;0,INDEX(CO$7:CO$106,$AD83),1),IF($AE83&gt;0,INDEX(CO$7:CO$106,$AE83),1),IF($AF83&gt;0,INDEX(CO$7:CO$106,$AF83),1),IF($AG83&gt;0,INDEX(CO$7:CO$106,$AG83),1),IF($AH83&gt;0,INDEX(CO$7:CO$106,$AH83),1),IF($AI83&gt;0,INDEX(CO$7:CO$106,$AI83),1),IF($AJ83&gt;0,INDEX(CO$7:CO$106,$AJ83),1))))</ns0:f>
        <ns0:v>1</ns0:v>
      </ns0:c>
      <ns0:c r="CQ83" t="n">
        <ns0:f>IF($A83="",1,IF(CP83=1,1,--AND(IF($AC83&gt;0,INDEX(CP$7:CP$106,$AC83),1),IF($AD83&gt;0,INDEX(CP$7:CP$106,$AD83),1),IF($AE83&gt;0,INDEX(CP$7:CP$106,$AE83),1),IF($AF83&gt;0,INDEX(CP$7:CP$106,$AF83),1),IF($AG83&gt;0,INDEX(CP$7:CP$106,$AG83),1),IF($AH83&gt;0,INDEX(CP$7:CP$106,$AH83),1),IF($AI83&gt;0,INDEX(CP$7:CP$106,$AI83),1),IF($AJ83&gt;0,INDEX(CP$7:CP$106,$AJ83),1))))</ns0:f>
        <ns0:v>1</ns0:v>
      </ns0:c>
      <ns0:c r="CR83" t="n">
        <ns0:f>IF($A83="",1,IF(CQ83=1,1,--AND(IF($AC83&gt;0,INDEX(CQ$7:CQ$106,$AC83),1),IF($AD83&gt;0,INDEX(CQ$7:CQ$106,$AD83),1),IF($AE83&gt;0,INDEX(CQ$7:CQ$106,$AE83),1),IF($AF83&gt;0,INDEX(CQ$7:CQ$106,$AF83),1),IF($AG83&gt;0,INDEX(CQ$7:CQ$106,$AG83),1),IF($AH83&gt;0,INDEX(CQ$7:CQ$106,$AH83),1),IF($AI83&gt;0,INDEX(CQ$7:CQ$106,$AI83),1),IF($AJ83&gt;0,INDEX(CQ$7:CQ$106,$AJ83),1))))</ns0:f>
        <ns0:v>1</ns0:v>
      </ns0:c>
      <ns0:c r="CS83" t="n">
        <ns0:f>IF($A83="",1,IF(CR83=1,1,--AND(IF($AC83&gt;0,INDEX(CR$7:CR$106,$AC83),1),IF($AD83&gt;0,INDEX(CR$7:CR$106,$AD83),1),IF($AE83&gt;0,INDEX(CR$7:CR$106,$AE83),1),IF($AF83&gt;0,INDEX(CR$7:CR$106,$AF83),1),IF($AG83&gt;0,INDEX(CR$7:CR$106,$AG83),1),IF($AH83&gt;0,INDEX(CR$7:CR$106,$AH83),1),IF($AI83&gt;0,INDEX(CR$7:CR$106,$AI83),1),IF($AJ83&gt;0,INDEX(CR$7:CR$106,$AJ83),1))))</ns0:f>
        <ns0:v>1</ns0:v>
      </ns0:c>
      <ns0:c r="CT83" t="n">
        <ns0:f>IF($A83="",1,IF(CS83=1,1,--AND(IF($AC83&gt;0,INDEX(CS$7:CS$106,$AC83),1),IF($AD83&gt;0,INDEX(CS$7:CS$106,$AD83),1),IF($AE83&gt;0,INDEX(CS$7:CS$106,$AE83),1),IF($AF83&gt;0,INDEX(CS$7:CS$106,$AF83),1),IF($AG83&gt;0,INDEX(CS$7:CS$106,$AG83),1),IF($AH83&gt;0,INDEX(CS$7:CS$106,$AH83),1),IF($AI83&gt;0,INDEX(CS$7:CS$106,$AI83),1),IF($AJ83&gt;0,INDEX(CS$7:CS$106,$AJ83),1))))</ns0:f>
        <ns0:v>1</ns0:v>
      </ns0:c>
      <ns0:c r="CU83" t="n">
        <ns0:f>IF($A83="",1,IF(CT83=1,1,--AND(IF($AC83&gt;0,INDEX(CT$7:CT$106,$AC83),1),IF($AD83&gt;0,INDEX(CT$7:CT$106,$AD83),1),IF($AE83&gt;0,INDEX(CT$7:CT$106,$AE83),1),IF($AF83&gt;0,INDEX(CT$7:CT$106,$AF83),1),IF($AG83&gt;0,INDEX(CT$7:CT$106,$AG83),1),IF($AH83&gt;0,INDEX(CT$7:CT$106,$AH83),1),IF($AI83&gt;0,INDEX(CT$7:CT$106,$AI83),1),IF($AJ83&gt;0,INDEX(CT$7:CT$106,$AJ83),1))))</ns0:f>
        <ns0:v>1</ns0:v>
      </ns0:c>
      <ns0:c r="CV83" t="n">
        <ns0:f>IF($A83="",1,IF(CU83=1,1,--AND(IF($AC83&gt;0,INDEX(CU$7:CU$106,$AC83),1),IF($AD83&gt;0,INDEX(CU$7:CU$106,$AD83),1),IF($AE83&gt;0,INDEX(CU$7:CU$106,$AE83),1),IF($AF83&gt;0,INDEX(CU$7:CU$106,$AF83),1),IF($AG83&gt;0,INDEX(CU$7:CU$106,$AG83),1),IF($AH83&gt;0,INDEX(CU$7:CU$106,$AH83),1),IF($AI83&gt;0,INDEX(CU$7:CU$106,$AI83),1),IF($AJ83&gt;0,INDEX(CU$7:CU$106,$AJ83),1))))</ns0:f>
        <ns0:v>1</ns0:v>
      </ns0:c>
      <ns0:c r="CW83" t="n">
        <ns0:f>IF($A83="",1,IF(CV83=1,1,--AND(IF($AC83&gt;0,INDEX(CV$7:CV$106,$AC83),1),IF($AD83&gt;0,INDEX(CV$7:CV$106,$AD83),1),IF($AE83&gt;0,INDEX(CV$7:CV$106,$AE83),1),IF($AF83&gt;0,INDEX(CV$7:CV$106,$AF83),1),IF($AG83&gt;0,INDEX(CV$7:CV$106,$AG83),1),IF($AH83&gt;0,INDEX(CV$7:CV$106,$AH83),1),IF($AI83&gt;0,INDEX(CV$7:CV$106,$AI83),1),IF($AJ83&gt;0,INDEX(CV$7:CV$106,$AJ83),1))))</ns0:f>
        <ns0:v>1</ns0:v>
      </ns0:c>
      <ns0:c r="CX83" t="n">
        <ns0:f>IF($A83="",1,IF(CW83=1,1,--AND(IF($AC83&gt;0,INDEX(CW$7:CW$106,$AC83),1),IF($AD83&gt;0,INDEX(CW$7:CW$106,$AD83),1),IF($AE83&gt;0,INDEX(CW$7:CW$106,$AE83),1),IF($AF83&gt;0,INDEX(CW$7:CW$106,$AF83),1),IF($AG83&gt;0,INDEX(CW$7:CW$106,$AG83),1),IF($AH83&gt;0,INDEX(CW$7:CW$106,$AH83),1),IF($AI83&gt;0,INDEX(CW$7:CW$106,$AI83),1),IF($AJ83&gt;0,INDEX(CW$7:CW$106,$AJ83),1))))</ns0:f>
        <ns0:v>1</ns0:v>
      </ns0:c>
      <ns0:c r="CY83" t="n">
        <ns0:f>IF($A83="",1,IF(CX83=1,1,--AND(IF($AC83&gt;0,INDEX(CX$7:CX$106,$AC83),1),IF($AD83&gt;0,INDEX(CX$7:CX$106,$AD83),1),IF($AE83&gt;0,INDEX(CX$7:CX$106,$AE83),1),IF($AF83&gt;0,INDEX(CX$7:CX$106,$AF83),1),IF($AG83&gt;0,INDEX(CX$7:CX$106,$AG83),1),IF($AH83&gt;0,INDEX(CX$7:CX$106,$AH83),1),IF($AI83&gt;0,INDEX(CX$7:CX$106,$AI83),1),IF($AJ83&gt;0,INDEX(CX$7:CX$106,$AJ83),1))))</ns0:f>
        <ns0:v>1</ns0:v>
      </ns0:c>
      <ns0:c r="CZ83" t="n">
        <ns0:f>IF($A83="",1,IF(CY83=1,1,--AND(IF($AC83&gt;0,INDEX(CY$7:CY$106,$AC83),1),IF($AD83&gt;0,INDEX(CY$7:CY$106,$AD83),1),IF($AE83&gt;0,INDEX(CY$7:CY$106,$AE83),1),IF($AF83&gt;0,INDEX(CY$7:CY$106,$AF83),1),IF($AG83&gt;0,INDEX(CY$7:CY$106,$AG83),1),IF($AH83&gt;0,INDEX(CY$7:CY$106,$AH83),1),IF($AI83&gt;0,INDEX(CY$7:CY$106,$AI83),1),IF($AJ83&gt;0,INDEX(CY$7:CY$106,$AJ83),1))))</ns0:f>
        <ns0:v>1</ns0:v>
      </ns0:c>
      <ns0:c r="DA83" t="n">
        <ns0:f>IF($A83="",1,IF(CZ83=1,1,--AND(IF($AC83&gt;0,INDEX(CZ$7:CZ$106,$AC83),1),IF($AD83&gt;0,INDEX(CZ$7:CZ$106,$AD83),1),IF($AE83&gt;0,INDEX(CZ$7:CZ$106,$AE83),1),IF($AF83&gt;0,INDEX(CZ$7:CZ$106,$AF83),1),IF($AG83&gt;0,INDEX(CZ$7:CZ$106,$AG83),1),IF($AH83&gt;0,INDEX(CZ$7:CZ$106,$AH83),1),IF($AI83&gt;0,INDEX(CZ$7:CZ$106,$AI83),1),IF($AJ83&gt;0,INDEX(CZ$7:CZ$106,$AJ83),1))))</ns0:f>
        <ns0:v>1</ns0:v>
      </ns0:c>
      <ns0:c r="DB83" t="n">
        <ns0:f>IF($A83="",1,IF(DA83=1,1,--AND(IF($AC83&gt;0,INDEX(DA$7:DA$106,$AC83),1),IF($AD83&gt;0,INDEX(DA$7:DA$106,$AD83),1),IF($AE83&gt;0,INDEX(DA$7:DA$106,$AE83),1),IF($AF83&gt;0,INDEX(DA$7:DA$106,$AF83),1),IF($AG83&gt;0,INDEX(DA$7:DA$106,$AG83),1),IF($AH83&gt;0,INDEX(DA$7:DA$106,$AH83),1),IF($AI83&gt;0,INDEX(DA$7:DA$106,$AI83),1),IF($AJ83&gt;0,INDEX(DA$7:DA$106,$AJ83),1))))</ns0:f>
        <ns0:v>1</ns0:v>
      </ns0:c>
      <ns0:c r="DC83" t="n">
        <ns0:f>IF($A83="",1,IF(DB83=1,1,--AND(IF($AC83&gt;0,INDEX(DB$7:DB$106,$AC83),1),IF($AD83&gt;0,INDEX(DB$7:DB$106,$AD83),1),IF($AE83&gt;0,INDEX(DB$7:DB$106,$AE83),1),IF($AF83&gt;0,INDEX(DB$7:DB$106,$AF83),1),IF($AG83&gt;0,INDEX(DB$7:DB$106,$AG83),1),IF($AH83&gt;0,INDEX(DB$7:DB$106,$AH83),1),IF($AI83&gt;0,INDEX(DB$7:DB$106,$AI83),1),IF($AJ83&gt;0,INDEX(DB$7:DB$106,$AJ83),1))))</ns0:f>
        <ns0:v>1</ns0:v>
      </ns0:c>
      <ns0:c r="DD83" t="n">
        <ns0:f>IF($A83="",1,IF(DC83=1,1,--AND(IF($AC83&gt;0,INDEX(DC$7:DC$106,$AC83),1),IF($AD83&gt;0,INDEX(DC$7:DC$106,$AD83),1),IF($AE83&gt;0,INDEX(DC$7:DC$106,$AE83),1),IF($AF83&gt;0,INDEX(DC$7:DC$106,$AF83),1),IF($AG83&gt;0,INDEX(DC$7:DC$106,$AG83),1),IF($AH83&gt;0,INDEX(DC$7:DC$106,$AH83),1),IF($AI83&gt;0,INDEX(DC$7:DC$106,$AI83),1),IF($AJ83&gt;0,INDEX(DC$7:DC$106,$AJ83),1))))</ns0:f>
        <ns0:v>1</ns0:v>
      </ns0:c>
      <ns0:c r="DE83" t="n">
        <ns0:f>IF($A83="",1,IF(DD83=1,1,--AND(IF($AC83&gt;0,INDEX(DD$7:DD$106,$AC83),1),IF($AD83&gt;0,INDEX(DD$7:DD$106,$AD83),1),IF($AE83&gt;0,INDEX(DD$7:DD$106,$AE83),1),IF($AF83&gt;0,INDEX(DD$7:DD$106,$AF83),1),IF($AG83&gt;0,INDEX(DD$7:DD$106,$AG83),1),IF($AH83&gt;0,INDEX(DD$7:DD$106,$AH83),1),IF($AI83&gt;0,INDEX(DD$7:DD$106,$AI83),1),IF($AJ83&gt;0,INDEX(DD$7:DD$106,$AJ83),1))))</ns0:f>
        <ns0:v>1</ns0:v>
      </ns0:c>
      <ns0:c r="DF83" t="n">
        <ns0:f>IF($A83="",1,IF(DE83=1,1,--AND(IF($AC83&gt;0,INDEX(DE$7:DE$106,$AC83),1),IF($AD83&gt;0,INDEX(DE$7:DE$106,$AD83),1),IF($AE83&gt;0,INDEX(DE$7:DE$106,$AE83),1),IF($AF83&gt;0,INDEX(DE$7:DE$106,$AF83),1),IF($AG83&gt;0,INDEX(DE$7:DE$106,$AG83),1),IF($AH83&gt;0,INDEX(DE$7:DE$106,$AH83),1),IF($AI83&gt;0,INDEX(DE$7:DE$106,$AI83),1),IF($AJ83&gt;0,INDEX(DE$7:DE$106,$AJ83),1))))</ns0:f>
        <ns0:v>1</ns0:v>
      </ns0:c>
      <ns0:c r="DG83" t="n">
        <ns0:f>IF($A83="",1,IF(DF83=1,1,--AND(IF($AC83&gt;0,INDEX(DF$7:DF$106,$AC83),1),IF($AD83&gt;0,INDEX(DF$7:DF$106,$AD83),1),IF($AE83&gt;0,INDEX(DF$7:DF$106,$AE83),1),IF($AF83&gt;0,INDEX(DF$7:DF$106,$AF83),1),IF($AG83&gt;0,INDEX(DF$7:DF$106,$AG83),1),IF($AH83&gt;0,INDEX(DF$7:DF$106,$AH83),1),IF($AI83&gt;0,INDEX(DF$7:DF$106,$AI83),1),IF($AJ83&gt;0,INDEX(DF$7:DF$106,$AJ83),1))))</ns0:f>
        <ns0:v>1</ns0:v>
      </ns0:c>
      <ns0:c r="DH83" t="n">
        <ns0:f>IF($A83="",1,IF(DG83=1,1,--AND(IF($AC83&gt;0,INDEX(DG$7:DG$106,$AC83),1),IF($AD83&gt;0,INDEX(DG$7:DG$106,$AD83),1),IF($AE83&gt;0,INDEX(DG$7:DG$106,$AE83),1),IF($AF83&gt;0,INDEX(DG$7:DG$106,$AF83),1),IF($AG83&gt;0,INDEX(DG$7:DG$106,$AG83),1),IF($AH83&gt;0,INDEX(DG$7:DG$106,$AH83),1),IF($AI83&gt;0,INDEX(DG$7:DG$106,$AI83),1),IF($AJ83&gt;0,INDEX(DG$7:DG$106,$AJ83),1))))</ns0:f>
        <ns0:v>1</ns0:v>
      </ns0:c>
      <ns0:c r="DI83" t="n">
        <ns0:f>IF($A83="",1,IF(DH83=1,1,--AND(IF($AC83&gt;0,INDEX(DH$7:DH$106,$AC83),1),IF($AD83&gt;0,INDEX(DH$7:DH$106,$AD83),1),IF($AE83&gt;0,INDEX(DH$7:DH$106,$AE83),1),IF($AF83&gt;0,INDEX(DH$7:DH$106,$AF83),1),IF($AG83&gt;0,INDEX(DH$7:DH$106,$AG83),1),IF($AH83&gt;0,INDEX(DH$7:DH$106,$AH83),1),IF($AI83&gt;0,INDEX(DH$7:DH$106,$AI83),1),IF($AJ83&gt;0,INDEX(DH$7:DH$106,$AJ83),1))))</ns0:f>
        <ns0:v>1</ns0:v>
      </ns0:c>
      <ns0:c r="DJ83" t="n">
        <ns0:f>IF($A83="",1,IF(DI83=1,1,--AND(IF($AC83&gt;0,INDEX(DI$7:DI$106,$AC83),1),IF($AD83&gt;0,INDEX(DI$7:DI$106,$AD83),1),IF($AE83&gt;0,INDEX(DI$7:DI$106,$AE83),1),IF($AF83&gt;0,INDEX(DI$7:DI$106,$AF83),1),IF($AG83&gt;0,INDEX(DI$7:DI$106,$AG83),1),IF($AH83&gt;0,INDEX(DI$7:DI$106,$AH83),1),IF($AI83&gt;0,INDEX(DI$7:DI$106,$AI83),1),IF($AJ83&gt;0,INDEX(DI$7:DI$106,$AJ83),1))))</ns0:f>
        <ns0:v>1</ns0:v>
      </ns0:c>
      <ns0:c r="DK83" t="n">
        <ns0:f>IF($A83="",1,IF(DJ83=1,1,--AND(IF($AC83&gt;0,INDEX(DJ$7:DJ$106,$AC83),1),IF($AD83&gt;0,INDEX(DJ$7:DJ$106,$AD83),1),IF($AE83&gt;0,INDEX(DJ$7:DJ$106,$AE83),1),IF($AF83&gt;0,INDEX(DJ$7:DJ$106,$AF83),1),IF($AG83&gt;0,INDEX(DJ$7:DJ$106,$AG83),1),IF($AH83&gt;0,INDEX(DJ$7:DJ$106,$AH83),1),IF($AI83&gt;0,INDEX(DJ$7:DJ$106,$AI83),1),IF($AJ83&gt;0,INDEX(DJ$7:DJ$106,$AJ83),1))))</ns0:f>
        <ns0:v>1</ns0:v>
      </ns0:c>
      <ns0:c r="DL83" t="n">
        <ns0:f>IF($A83="",1,IF(DK83=1,1,--AND(IF($AC83&gt;0,INDEX(DK$7:DK$106,$AC83),1),IF($AD83&gt;0,INDEX(DK$7:DK$106,$AD83),1),IF($AE83&gt;0,INDEX(DK$7:DK$106,$AE83),1),IF($AF83&gt;0,INDEX(DK$7:DK$106,$AF83),1),IF($AG83&gt;0,INDEX(DK$7:DK$106,$AG83),1),IF($AH83&gt;0,INDEX(DK$7:DK$106,$AH83),1),IF($AI83&gt;0,INDEX(DK$7:DK$106,$AI83),1),IF($AJ83&gt;0,INDEX(DK$7:DK$106,$AJ83),1))))</ns0:f>
        <ns0:v>1</ns0:v>
      </ns0:c>
      <ns0:c r="DM83" t="n">
        <ns0:f>IF($A83="",1,IF(DL83=1,1,--AND(IF($AC83&gt;0,INDEX(DL$7:DL$106,$AC83),1),IF($AD83&gt;0,INDEX(DL$7:DL$106,$AD83),1),IF($AE83&gt;0,INDEX(DL$7:DL$106,$AE83),1),IF($AF83&gt;0,INDEX(DL$7:DL$106,$AF83),1),IF($AG83&gt;0,INDEX(DL$7:DL$106,$AG83),1),IF($AH83&gt;0,INDEX(DL$7:DL$106,$AH83),1),IF($AI83&gt;0,INDEX(DL$7:DL$106,$AI83),1),IF($AJ83&gt;0,INDEX(DL$7:DL$106,$AJ83),1))))</ns0:f>
        <ns0:v>1</ns0:v>
      </ns0:c>
      <ns0:c r="DN83" t="n">
        <ns0:f>IF($A83="",1,IF(DM83=1,1,--AND(IF($AC83&gt;0,INDEX(DM$7:DM$106,$AC83),1),IF($AD83&gt;0,INDEX(DM$7:DM$106,$AD83),1),IF($AE83&gt;0,INDEX(DM$7:DM$106,$AE83),1),IF($AF83&gt;0,INDEX(DM$7:DM$106,$AF83),1),IF($AG83&gt;0,INDEX(DM$7:DM$106,$AG83),1),IF($AH83&gt;0,INDEX(DM$7:DM$106,$AH83),1),IF($AI83&gt;0,INDEX(DM$7:DM$106,$AI83),1),IF($AJ83&gt;0,INDEX(DM$7:DM$106,$AJ83),1))))</ns0:f>
        <ns0:v>1</ns0:v>
      </ns0:c>
      <ns0:c r="DO83" t="n">
        <ns0:f>IF($A83="",1,IF(DN83=1,1,--AND(IF($AC83&gt;0,INDEX(DN$7:DN$106,$AC83),1),IF($AD83&gt;0,INDEX(DN$7:DN$106,$AD83),1),IF($AE83&gt;0,INDEX(DN$7:DN$106,$AE83),1),IF($AF83&gt;0,INDEX(DN$7:DN$106,$AF83),1),IF($AG83&gt;0,INDEX(DN$7:DN$106,$AG83),1),IF($AH83&gt;0,INDEX(DN$7:DN$106,$AH83),1),IF($AI83&gt;0,INDEX(DN$7:DN$106,$AI83),1),IF($AJ83&gt;0,INDEX(DN$7:DN$106,$AJ83),1))))</ns0:f>
        <ns0:v>1</ns0:v>
      </ns0:c>
      <ns0:c r="DP83" t="n">
        <ns0:f>IF($A83="",1,IF(DO83=1,1,--AND(IF($AC83&gt;0,INDEX(DO$7:DO$106,$AC83),1),IF($AD83&gt;0,INDEX(DO$7:DO$106,$AD83),1),IF($AE83&gt;0,INDEX(DO$7:DO$106,$AE83),1),IF($AF83&gt;0,INDEX(DO$7:DO$106,$AF83),1),IF($AG83&gt;0,INDEX(DO$7:DO$106,$AG83),1),IF($AH83&gt;0,INDEX(DO$7:DO$106,$AH83),1),IF($AI83&gt;0,INDEX(DO$7:DO$106,$AI83),1),IF($AJ83&gt;0,INDEX(DO$7:DO$106,$AJ83),1))))</ns0:f>
        <ns0:v>1</ns0:v>
      </ns0:c>
      <ns0:c r="DQ83" t="n">
        <ns0:f>IF($A83="",1,IF(DP83=1,1,--AND(IF($AC83&gt;0,INDEX(DP$7:DP$106,$AC83),1),IF($AD83&gt;0,INDEX(DP$7:DP$106,$AD83),1),IF($AE83&gt;0,INDEX(DP$7:DP$106,$AE83),1),IF($AF83&gt;0,INDEX(DP$7:DP$106,$AF83),1),IF($AG83&gt;0,INDEX(DP$7:DP$106,$AG83),1),IF($AH83&gt;0,INDEX(DP$7:DP$106,$AH83),1),IF($AI83&gt;0,INDEX(DP$7:DP$106,$AI83),1),IF($AJ83&gt;0,INDEX(DP$7:DP$106,$AJ83),1))))</ns0:f>
        <ns0:v>1</ns0:v>
      </ns0:c>
      <ns0:c r="DR83" t="n">
        <ns0:f>IF($A83="",1,IF(DQ83=1,1,--AND(IF($AC83&gt;0,INDEX(DQ$7:DQ$106,$AC83),1),IF($AD83&gt;0,INDEX(DQ$7:DQ$106,$AD83),1),IF($AE83&gt;0,INDEX(DQ$7:DQ$106,$AE83),1),IF($AF83&gt;0,INDEX(DQ$7:DQ$106,$AF83),1),IF($AG83&gt;0,INDEX(DQ$7:DQ$106,$AG83),1),IF($AH83&gt;0,INDEX(DQ$7:DQ$106,$AH83),1),IF($AI83&gt;0,INDEX(DQ$7:DQ$106,$AI83),1),IF($AJ83&gt;0,INDEX(DQ$7:DQ$106,$AJ83),1))))</ns0:f>
        <ns0:v>1</ns0:v>
      </ns0:c>
      <ns0:c r="DS83" t="n">
        <ns0:f>IF($A83="",1,IF(DR83=1,1,--AND(IF($AC83&gt;0,INDEX(DR$7:DR$106,$AC83),1),IF($AD83&gt;0,INDEX(DR$7:DR$106,$AD83),1),IF($AE83&gt;0,INDEX(DR$7:DR$106,$AE83),1),IF($AF83&gt;0,INDEX(DR$7:DR$106,$AF83),1),IF($AG83&gt;0,INDEX(DR$7:DR$106,$AG83),1),IF($AH83&gt;0,INDEX(DR$7:DR$106,$AH83),1),IF($AI83&gt;0,INDEX(DR$7:DR$106,$AI83),1),IF($AJ83&gt;0,INDEX(DR$7:DR$106,$AJ83),1))))</ns0:f>
        <ns0:v>1</ns0:v>
      </ns0:c>
      <ns0:c r="DT83" t="n">
        <ns0:f>IF($A83="",1,IF(DS83=1,1,--AND(IF($AC83&gt;0,INDEX(DS$7:DS$106,$AC83),1),IF($AD83&gt;0,INDEX(DS$7:DS$106,$AD83),1),IF($AE83&gt;0,INDEX(DS$7:DS$106,$AE83),1),IF($AF83&gt;0,INDEX(DS$7:DS$106,$AF83),1),IF($AG83&gt;0,INDEX(DS$7:DS$106,$AG83),1),IF($AH83&gt;0,INDEX(DS$7:DS$106,$AH83),1),IF($AI83&gt;0,INDEX(DS$7:DS$106,$AI83),1),IF($AJ83&gt;0,INDEX(DS$7:DS$106,$AJ83),1))))</ns0:f>
        <ns0:v>1</ns0:v>
      </ns0:c>
      <ns0:c r="DU83" t="n">
        <ns0:f>IF($A83="",1,IF(DT83=1,1,--AND(IF($AC83&gt;0,INDEX(DT$7:DT$106,$AC83),1),IF($AD83&gt;0,INDEX(DT$7:DT$106,$AD83),1),IF($AE83&gt;0,INDEX(DT$7:DT$106,$AE83),1),IF($AF83&gt;0,INDEX(DT$7:DT$106,$AF83),1),IF($AG83&gt;0,INDEX(DT$7:DT$106,$AG83),1),IF($AH83&gt;0,INDEX(DT$7:DT$106,$AH83),1),IF($AI83&gt;0,INDEX(DT$7:DT$106,$AI83),1),IF($AJ83&gt;0,INDEX(DT$7:DT$106,$AJ83),1))))</ns0:f>
        <ns0:v>1</ns0:v>
      </ns0:c>
      <ns0:c r="DV83" t="n">
        <ns0:f>IF($A83="",1,IF(DU83=1,1,--AND(IF($AC83&gt;0,INDEX(DU$7:DU$106,$AC83),1),IF($AD83&gt;0,INDEX(DU$7:DU$106,$AD83),1),IF($AE83&gt;0,INDEX(DU$7:DU$106,$AE83),1),IF($AF83&gt;0,INDEX(DU$7:DU$106,$AF83),1),IF($AG83&gt;0,INDEX(DU$7:DU$106,$AG83),1),IF($AH83&gt;0,INDEX(DU$7:DU$106,$AH83),1),IF($AI83&gt;0,INDEX(DU$7:DU$106,$AI83),1),IF($AJ83&gt;0,INDEX(DU$7:DU$106,$AJ83),1))))</ns0:f>
        <ns0:v>1</ns0:v>
      </ns0:c>
      <ns0:c r="DW83" t="n">
        <ns0:f>IF($A83="",1,IF(DV83=1,1,--AND(IF($AC83&gt;0,INDEX(DV$7:DV$106,$AC83),1),IF($AD83&gt;0,INDEX(DV$7:DV$106,$AD83),1),IF($AE83&gt;0,INDEX(DV$7:DV$106,$AE83),1),IF($AF83&gt;0,INDEX(DV$7:DV$106,$AF83),1),IF($AG83&gt;0,INDEX(DV$7:DV$106,$AG83),1),IF($AH83&gt;0,INDEX(DV$7:DV$106,$AH83),1),IF($AI83&gt;0,INDEX(DV$7:DV$106,$AI83),1),IF($AJ83&gt;0,INDEX(DV$7:DV$106,$AJ83),1))))</ns0:f>
        <ns0:v>1</ns0:v>
      </ns0:c>
      <ns0:c r="DX83" t="n">
        <ns0:f>IF($A83="",1,IF(DW83=1,1,--AND(IF($AC83&gt;0,INDEX(DW$7:DW$106,$AC83),1),IF($AD83&gt;0,INDEX(DW$7:DW$106,$AD83),1),IF($AE83&gt;0,INDEX(DW$7:DW$106,$AE83),1),IF($AF83&gt;0,INDEX(DW$7:DW$106,$AF83),1),IF($AG83&gt;0,INDEX(DW$7:DW$106,$AG83),1),IF($AH83&gt;0,INDEX(DW$7:DW$106,$AH83),1),IF($AI83&gt;0,INDEX(DW$7:DW$106,$AI83),1),IF($AJ83&gt;0,INDEX(DW$7:DW$106,$AJ83),1))))</ns0:f>
        <ns0:v>1</ns0:v>
      </ns0:c>
      <ns0:c r="DY83" t="n">
        <ns0:f>IF($A83="",1,IF(DX83=1,1,--AND(IF($AC83&gt;0,INDEX(DX$7:DX$106,$AC83),1),IF($AD83&gt;0,INDEX(DX$7:DX$106,$AD83),1),IF($AE83&gt;0,INDEX(DX$7:DX$106,$AE83),1),IF($AF83&gt;0,INDEX(DX$7:DX$106,$AF83),1),IF($AG83&gt;0,INDEX(DX$7:DX$106,$AG83),1),IF($AH83&gt;0,INDEX(DX$7:DX$106,$AH83),1),IF($AI83&gt;0,INDEX(DX$7:DX$106,$AI83),1),IF($AJ83&gt;0,INDEX(DX$7:DX$106,$AJ83),1))))</ns0:f>
        <ns0:v>1</ns0:v>
      </ns0:c>
      <ns0:c r="DZ83" t="n">
        <ns0:f>IF($A83="",1,IF(DY83=1,1,--AND(IF($AC83&gt;0,INDEX(DY$7:DY$106,$AC83),1),IF($AD83&gt;0,INDEX(DY$7:DY$106,$AD83),1),IF($AE83&gt;0,INDEX(DY$7:DY$106,$AE83),1),IF($AF83&gt;0,INDEX(DY$7:DY$106,$AF83),1),IF($AG83&gt;0,INDEX(DY$7:DY$106,$AG83),1),IF($AH83&gt;0,INDEX(DY$7:DY$106,$AH83),1),IF($AI83&gt;0,INDEX(DY$7:DY$106,$AI83),1),IF($AJ83&gt;0,INDEX(DY$7:DY$106,$AJ83),1))))</ns0:f>
        <ns0:v>1</ns0:v>
      </ns0:c>
      <ns0:c r="EA83" t="n">
        <ns0:f>IF($A83="",1,IF(DZ83=1,1,--AND(IF($AC83&gt;0,INDEX(DZ$7:DZ$106,$AC83),1),IF($AD83&gt;0,INDEX(DZ$7:DZ$106,$AD83),1),IF($AE83&gt;0,INDEX(DZ$7:DZ$106,$AE83),1),IF($AF83&gt;0,INDEX(DZ$7:DZ$106,$AF83),1),IF($AG83&gt;0,INDEX(DZ$7:DZ$106,$AG83),1),IF($AH83&gt;0,INDEX(DZ$7:DZ$106,$AH83),1),IF($AI83&gt;0,INDEX(DZ$7:DZ$106,$AI83),1),IF($AJ83&gt;0,INDEX(DZ$7:DZ$106,$AJ83),1))))</ns0:f>
        <ns0:v>1</ns0:v>
      </ns0:c>
      <ns0:c r="EB83" t="n">
        <ns0:f>IF($A83="",1,IF(EA83=1,1,--AND(IF($AC83&gt;0,INDEX(EA$7:EA$106,$AC83),1),IF($AD83&gt;0,INDEX(EA$7:EA$106,$AD83),1),IF($AE83&gt;0,INDEX(EA$7:EA$106,$AE83),1),IF($AF83&gt;0,INDEX(EA$7:EA$106,$AF83),1),IF($AG83&gt;0,INDEX(EA$7:EA$106,$AG83),1),IF($AH83&gt;0,INDEX(EA$7:EA$106,$AH83),1),IF($AI83&gt;0,INDEX(EA$7:EA$106,$AI83),1),IF($AJ83&gt;0,INDEX(EA$7:EA$106,$AJ83),1))))</ns0:f>
        <ns0:v>1</ns0:v>
      </ns0:c>
      <ns0:c r="EC83" t="n">
        <ns0:f>IF($A83="",1,IF(EB83=1,1,--AND(IF($AC83&gt;0,INDEX(EB$7:EB$106,$AC83),1),IF($AD83&gt;0,INDEX(EB$7:EB$106,$AD83),1),IF($AE83&gt;0,INDEX(EB$7:EB$106,$AE83),1),IF($AF83&gt;0,INDEX(EB$7:EB$106,$AF83),1),IF($AG83&gt;0,INDEX(EB$7:EB$106,$AG83),1),IF($AH83&gt;0,INDEX(EB$7:EB$106,$AH83),1),IF($AI83&gt;0,INDEX(EB$7:EB$106,$AI83),1),IF($AJ83&gt;0,INDEX(EB$7:EB$106,$AJ83),1))))</ns0:f>
        <ns0:v>1</ns0:v>
      </ns0:c>
      <ns0:c r="ED83" t="n">
        <ns0:f>IF($A83="",1,IF(EC83=1,1,--AND(IF($AC83&gt;0,INDEX(EC$7:EC$106,$AC83),1),IF($AD83&gt;0,INDEX(EC$7:EC$106,$AD83),1),IF($AE83&gt;0,INDEX(EC$7:EC$106,$AE83),1),IF($AF83&gt;0,INDEX(EC$7:EC$106,$AF83),1),IF($AG83&gt;0,INDEX(EC$7:EC$106,$AG83),1),IF($AH83&gt;0,INDEX(EC$7:EC$106,$AH83),1),IF($AI83&gt;0,INDEX(EC$7:EC$106,$AI83),1),IF($AJ83&gt;0,INDEX(EC$7:EC$106,$AJ83),1))))</ns0:f>
        <ns0:v>1</ns0:v>
      </ns0:c>
      <ns0:c r="EE83" t="n">
        <ns0:f>IF($A83="",1,IF(ED83=1,1,--AND(IF($AC83&gt;0,INDEX(ED$7:ED$106,$AC83),1),IF($AD83&gt;0,INDEX(ED$7:ED$106,$AD83),1),IF($AE83&gt;0,INDEX(ED$7:ED$106,$AE83),1),IF($AF83&gt;0,INDEX(ED$7:ED$106,$AF83),1),IF($AG83&gt;0,INDEX(ED$7:ED$106,$AG83),1),IF($AH83&gt;0,INDEX(ED$7:ED$106,$AH83),1),IF($AI83&gt;0,INDEX(ED$7:ED$106,$AI83),1),IF($AJ83&gt;0,INDEX(ED$7:ED$106,$AJ83),1))))</ns0:f>
        <ns0:v>1</ns0:v>
      </ns0:c>
      <ns0:c r="EF83" t="n">
        <ns0:f>IF($A83="",1,IF(EE83=1,1,--AND(IF($AC83&gt;0,INDEX(EE$7:EE$106,$AC83),1),IF($AD83&gt;0,INDEX(EE$7:EE$106,$AD83),1),IF($AE83&gt;0,INDEX(EE$7:EE$106,$AE83),1),IF($AF83&gt;0,INDEX(EE$7:EE$106,$AF83),1),IF($AG83&gt;0,INDEX(EE$7:EE$106,$AG83),1),IF($AH83&gt;0,INDEX(EE$7:EE$106,$AH83),1),IF($AI83&gt;0,INDEX(EE$7:EE$106,$AI83),1),IF($AJ83&gt;0,INDEX(EE$7:EE$106,$AJ83),1))))</ns0:f>
        <ns0:v>1</ns0:v>
      </ns0:c>
      <ns0:c r="EG83" t="n">
        <ns0:f>IF($A83="",1,IF(EF83=1,1,--AND(IF($AC83&gt;0,INDEX(EF$7:EF$106,$AC83),1),IF($AD83&gt;0,INDEX(EF$7:EF$106,$AD83),1),IF($AE83&gt;0,INDEX(EF$7:EF$106,$AE83),1),IF($AF83&gt;0,INDEX(EF$7:EF$106,$AF83),1),IF($AG83&gt;0,INDEX(EF$7:EF$106,$AG83),1),IF($AH83&gt;0,INDEX(EF$7:EF$106,$AH83),1),IF($AI83&gt;0,INDEX(EF$7:EF$106,$AI83),1),IF($AJ83&gt;0,INDEX(EF$7:EF$106,$AJ83),1))))</ns0:f>
        <ns0:v>1</ns0:v>
      </ns0:c>
      <ns0:c r="EH83" t="n">
        <ns0:f>IF($A83="",1,IF(EG83=1,1,--AND(IF($AC83&gt;0,INDEX(EG$7:EG$106,$AC83),1),IF($AD83&gt;0,INDEX(EG$7:EG$106,$AD83),1),IF($AE83&gt;0,INDEX(EG$7:EG$106,$AE83),1),IF($AF83&gt;0,INDEX(EG$7:EG$106,$AF83),1),IF($AG83&gt;0,INDEX(EG$7:EG$106,$AG83),1),IF($AH83&gt;0,INDEX(EG$7:EG$106,$AH83),1),IF($AI83&gt;0,INDEX(EG$7:EG$106,$AI83),1),IF($AJ83&gt;0,INDEX(EG$7:EG$106,$AJ83),1))))</ns0:f>
        <ns0:v>1</ns0:v>
      </ns0:c>
      <ns0:c r="EI83" t="n">
        <ns0:f>IF($A83="",1,IF(EH83=1,1,--AND(IF($AC83&gt;0,INDEX(EH$7:EH$106,$AC83),1),IF($AD83&gt;0,INDEX(EH$7:EH$106,$AD83),1),IF($AE83&gt;0,INDEX(EH$7:EH$106,$AE83),1),IF($AF83&gt;0,INDEX(EH$7:EH$106,$AF83),1),IF($AG83&gt;0,INDEX(EH$7:EH$106,$AG83),1),IF($AH83&gt;0,INDEX(EH$7:EH$106,$AH83),1),IF($AI83&gt;0,INDEX(EH$7:EH$106,$AI83),1),IF($AJ83&gt;0,INDEX(EH$7:EH$106,$AJ83),1))))</ns0:f>
        <ns0:v>1</ns0:v>
      </ns0:c>
      <ns0:c r="EJ83" t="n">
        <ns0:f>IF($A83="",1,IF(EI83=1,1,--AND(IF($AC83&gt;0,INDEX(EI$7:EI$106,$AC83),1),IF($AD83&gt;0,INDEX(EI$7:EI$106,$AD83),1),IF($AE83&gt;0,INDEX(EI$7:EI$106,$AE83),1),IF($AF83&gt;0,INDEX(EI$7:EI$106,$AF83),1),IF($AG83&gt;0,INDEX(EI$7:EI$106,$AG83),1),IF($AH83&gt;0,INDEX(EI$7:EI$106,$AH83),1),IF($AI83&gt;0,INDEX(EI$7:EI$106,$AI83),1),IF($AJ83&gt;0,INDEX(EI$7:EI$106,$AJ83),1))))</ns0:f>
        <ns0:v>1</ns0:v>
      </ns0:c>
      <ns0:c r="EK83" t="n">
        <ns0:f>IF($A83="",1,IF(EJ83=1,1,--AND(IF($AC83&gt;0,INDEX(EJ$7:EJ$106,$AC83),1),IF($AD83&gt;0,INDEX(EJ$7:EJ$106,$AD83),1),IF($AE83&gt;0,INDEX(EJ$7:EJ$106,$AE83),1),IF($AF83&gt;0,INDEX(EJ$7:EJ$106,$AF83),1),IF($AG83&gt;0,INDEX(EJ$7:EJ$106,$AG83),1),IF($AH83&gt;0,INDEX(EJ$7:EJ$106,$AH83),1),IF($AI83&gt;0,INDEX(EJ$7:EJ$106,$AI83),1),IF($AJ83&gt;0,INDEX(EJ$7:EJ$106,$AJ83),1))))</ns0:f>
        <ns0:v>1</ns0:v>
      </ns0:c>
      <ns0:c r="EL83" t="n">
        <ns0:f>IF($A83="",1,IF(EK83=1,1,--AND(IF($AC83&gt;0,INDEX(EK$7:EK$106,$AC83),1),IF($AD83&gt;0,INDEX(EK$7:EK$106,$AD83),1),IF($AE83&gt;0,INDEX(EK$7:EK$106,$AE83),1),IF($AF83&gt;0,INDEX(EK$7:EK$106,$AF83),1),IF($AG83&gt;0,INDEX(EK$7:EK$106,$AG83),1),IF($AH83&gt;0,INDEX(EK$7:EK$106,$AH83),1),IF($AI83&gt;0,INDEX(EK$7:EK$106,$AI83),1),IF($AJ83&gt;0,INDEX(EK$7:EK$106,$AJ83),1))))</ns0:f>
        <ns0:v>1</ns0:v>
      </ns0:c>
      <ns0:c r="EM83" t="n">
        <ns0:f>IF($A83="",1,IF(EL83=1,1,--AND(IF($AC83&gt;0,INDEX(EL$7:EL$106,$AC83),1),IF($AD83&gt;0,INDEX(EL$7:EL$106,$AD83),1),IF($AE83&gt;0,INDEX(EL$7:EL$106,$AE83),1),IF($AF83&gt;0,INDEX(EL$7:EL$106,$AF83),1),IF($AG83&gt;0,INDEX(EL$7:EL$106,$AG83),1),IF($AH83&gt;0,INDEX(EL$7:EL$106,$AH83),1),IF($AI83&gt;0,INDEX(EL$7:EL$106,$AI83),1),IF($AJ83&gt;0,INDEX(EL$7:EL$106,$AJ83),1))))</ns0:f>
        <ns0:v>1</ns0:v>
      </ns0:c>
      <ns0:c r="EN83" t="n">
        <ns0:f>IF($A83="",1,IF(EM83=1,1,--AND(IF($AC83&gt;0,INDEX(EM$7:EM$106,$AC83),1),IF($AD83&gt;0,INDEX(EM$7:EM$106,$AD83),1),IF($AE83&gt;0,INDEX(EM$7:EM$106,$AE83),1),IF($AF83&gt;0,INDEX(EM$7:EM$106,$AF83),1),IF($AG83&gt;0,INDEX(EM$7:EM$106,$AG83),1),IF($AH83&gt;0,INDEX(EM$7:EM$106,$AH83),1),IF($AI83&gt;0,INDEX(EM$7:EM$106,$AI83),1),IF($AJ83&gt;0,INDEX(EM$7:EM$106,$AJ83),1))))</ns0:f>
        <ns0:v>1</ns0:v>
      </ns0:c>
      <ns0:c r="EO83" t="n">
        <ns0:f>IF($A83="",1,IF(EN83=1,1,--AND(IF($AC83&gt;0,INDEX(EN$7:EN$106,$AC83),1),IF($AD83&gt;0,INDEX(EN$7:EN$106,$AD83),1),IF($AE83&gt;0,INDEX(EN$7:EN$106,$AE83),1),IF($AF83&gt;0,INDEX(EN$7:EN$106,$AF83),1),IF($AG83&gt;0,INDEX(EN$7:EN$106,$AG83),1),IF($AH83&gt;0,INDEX(EN$7:EN$106,$AH83),1),IF($AI83&gt;0,INDEX(EN$7:EN$106,$AI83),1),IF($AJ83&gt;0,INDEX(EN$7:EN$106,$AJ83),1))))</ns0:f>
        <ns0:v>1</ns0:v>
      </ns0:c>
      <ns0:c r="EP83" t="n">
        <ns0:f>IF($A83="",1,IF(EO83=1,1,--AND(IF($AC83&gt;0,INDEX(EO$7:EO$106,$AC83),1),IF($AD83&gt;0,INDEX(EO$7:EO$106,$AD83),1),IF($AE83&gt;0,INDEX(EO$7:EO$106,$AE83),1),IF($AF83&gt;0,INDEX(EO$7:EO$106,$AF83),1),IF($AG83&gt;0,INDEX(EO$7:EO$106,$AG83),1),IF($AH83&gt;0,INDEX(EO$7:EO$106,$AH83),1),IF($AI83&gt;0,INDEX(EO$7:EO$106,$AI83),1),IF($AJ83&gt;0,INDEX(EO$7:EO$106,$AJ83),1))))</ns0:f>
        <ns0:v>1</ns0:v>
      </ns0:c>
      <ns0:c r="EQ83" t="n">
        <ns0:f>IF(OR(A83="",NOT(ISNUMBER(G83))),0,G83*N83)</ns0:f>
        <ns0:v>0</ns0:v>
      </ns0:c>
    </ns0:row>
    <ns0:row r="84" ht="62" customHeight="1">
      <ns0:c r="A84" s="48"/>
      <ns0:c r="B84" s="48"/>
      <ns0:c r="C84" s="48"/>
      <ns0:c r="D84" s="48"/>
      <ns0:c r="E84" s="49"/>
      <ns0:c r="F84" s="49"/>
      <ns0:c r="G84" s="13" t="str">
        <ns0:f>IF(A84="","",IF(OR(NOT(ISNUMBER(E84)),NOT(ISNUMBER(F84)),F84&lt;E84),"",IF(J84="Yes",0,F84-E84+1)))</ns0:f>
      </ns0:c>
      <ns0:c r="H84" s="48"/>
      <ns0:c r="I84" s="48"/>
      <ns0:c r="J84" s="48"/>
      <ns0:c r="K84" s="48"/>
      <ns0:c r="L84" s="48"/>
      <ns0:c r="M84" s="50" t="str">
        <ns0:f>IF(A84="","",IF(N84=1,"Completed",IF(N84&gt;0,"In Progress","Not Started")))</ns0:f>
      </ns0:c>
      <ns0:c r="N84" s="51"/>
      <ns0:c r="O84" s="13" t="str">
        <ns0:f>IF(A84="","",IF(R84&lt;&gt;"","[CONFLICT] "&amp;R84,IF(S84&lt;&gt;"","[CONFLICT] "&amp;S84,IF(OR(NOT(ISNUMBER(N84)),N84&lt;0,N84&gt;1),"[CONFLICT] Invalid progress",IF(AK84&gt;0,"[DEPENDENCY ISSUE] Missing ID / &gt;8 links",IF(AM84&gt;0,"[DEPENDENCY ISSUE] Cycle or blocked by cycle",IF(AND(H84&lt;&gt;"",ISNA(MATCH(I84,{"FS","SS","FF","SF"},0))),"[DEPENDENCY ISSUE] Invalid type",IF(AL84&gt;0,"[DEPENDENCY ISSUE] Timing conflict",IF(OR(E84&lt;ProjectStart,F84&gt;ProjectEnd),"[OUTSIDE WINDOW]",IF(AND(N84&lt;1,F84&lt;AsOfDate),"Overdue",IF(AND(M84&lt;&gt;Q84,M84&lt;&gt;""),"[CONFLICT] Status / progress","On track")))))))))))</ns0:f>
      </ns0:c>
      <ns0:c r="P84" s="52"/>
      <ns0:c r="Q84" t="str">
        <ns0:f>IF(A84="","",IF(OR(M84="On Hold",M84="Delayed"),M84,IF(N84=1,"Completed",IF(N84&gt;0,"In Progress","Not Started"))))</ns0:f>
      </ns0:c>
      <ns0:c r="R84" t="str">
        <ns0:f>IF(A84="","",IF(COUNTIFS(Tasks[Task ID],A84)&lt;&gt;1,"Duplicate ID",""))</ns0:f>
      </ns0:c>
      <ns0:c r="S84" t="str">
        <ns0:f>IF(A84="","",IF(OR(NOT(ISNUMBER(E84)),NOT(ISNUMBER(F84))),"Invalid / missing date",IF(OR(E84&lt;&gt;INT(E84),F84&lt;&gt;INT(F84),E84&lt;1,F84&gt;2958465),"Invalid date",IF(F84&lt;E84,"End before start",IF(AND(J84="Yes",E84&lt;&gt;F84),"Milestone needs one date","")))))</ns0:f>
      </ns0:c>
      <ns0:c r="T84" t="n">
        <ns0:f>IF(H84="",0,LEN(H84)-LEN(SUBSTITUTE(H84,",",""))+1)</ns0:f>
        <ns0:v>0</ns0:v>
      </ns0:c>
      <ns0:c r="U84" t="str">
        <ns0:f>TRIM(MID(SUBSTITUTE($H84,",",REPT(" ",100)),1,100))</ns0:f>
      </ns0:c>
      <ns0:c r="V84" t="str">
        <ns0:f>TRIM(MID(SUBSTITUTE($H84,",",REPT(" ",100)),101,100))</ns0:f>
      </ns0:c>
      <ns0:c r="W84" t="str">
        <ns0:f>TRIM(MID(SUBSTITUTE($H84,",",REPT(" ",100)),201,100))</ns0:f>
      </ns0:c>
      <ns0:c r="X84" t="str">
        <ns0:f>TRIM(MID(SUBSTITUTE($H84,",",REPT(" ",100)),301,100))</ns0:f>
      </ns0:c>
      <ns0:c r="Y84" t="str">
        <ns0:f>TRIM(MID(SUBSTITUTE($H84,",",REPT(" ",100)),401,100))</ns0:f>
      </ns0:c>
      <ns0:c r="Z84" t="str">
        <ns0:f>TRIM(MID(SUBSTITUTE($H84,",",REPT(" ",100)),501,100))</ns0:f>
      </ns0:c>
      <ns0:c r="AA84" t="str">
        <ns0:f>TRIM(MID(SUBSTITUTE($H84,",",REPT(" ",100)),601,100))</ns0:f>
      </ns0:c>
      <ns0:c r="AB84" t="str">
        <ns0:f>TRIM(MID(SUBSTITUTE($H84,",",REPT(" ",100)),701,100))</ns0:f>
      </ns0:c>
      <ns0:c r="AC84" t="n">
        <ns0:f>IF(U84="",0,IF(COUNTIFS(Tasks[Task ID],U84)=1,MATCH(U84,Tasks[Task ID],0),-1))</ns0:f>
        <ns0:v>0</ns0:v>
      </ns0:c>
      <ns0:c r="AD84" t="n">
        <ns0:f>IF(V84="",0,IF(COUNTIFS(Tasks[Task ID],V84)=1,MATCH(V84,Tasks[Task ID],0),-1))</ns0:f>
        <ns0:v>0</ns0:v>
      </ns0:c>
      <ns0:c r="AE84" t="n">
        <ns0:f>IF(W84="",0,IF(COUNTIFS(Tasks[Task ID],W84)=1,MATCH(W84,Tasks[Task ID],0),-1))</ns0:f>
        <ns0:v>0</ns0:v>
      </ns0:c>
      <ns0:c r="AF84" t="n">
        <ns0:f>IF(X84="",0,IF(COUNTIFS(Tasks[Task ID],X84)=1,MATCH(X84,Tasks[Task ID],0),-1))</ns0:f>
        <ns0:v>0</ns0:v>
      </ns0:c>
      <ns0:c r="AG84" t="n">
        <ns0:f>IF(Y84="",0,IF(COUNTIFS(Tasks[Task ID],Y84)=1,MATCH(Y84,Tasks[Task ID],0),-1))</ns0:f>
        <ns0:v>0</ns0:v>
      </ns0:c>
      <ns0:c r="AH84" t="n">
        <ns0:f>IF(Z84="",0,IF(COUNTIFS(Tasks[Task ID],Z84)=1,MATCH(Z84,Tasks[Task ID],0),-1))</ns0:f>
        <ns0:v>0</ns0:v>
      </ns0:c>
      <ns0:c r="AI84" t="n">
        <ns0:f>IF(AA84="",0,IF(COUNTIFS(Tasks[Task ID],AA84)=1,MATCH(AA84,Tasks[Task ID],0),-1))</ns0:f>
        <ns0:v>0</ns0:v>
      </ns0:c>
      <ns0:c r="AJ84" t="n">
        <ns0:f>IF(AB84="",0,IF(COUNTIFS(Tasks[Task ID],AB84)=1,MATCH(AB84,Tasks[Task ID],0),-1))</ns0:f>
        <ns0:v>0</ns0:v>
      </ns0:c>
      <ns0:c r="AK84" t="n">
        <ns0:f>COUNTIFS(AC84:AJ84,-1)+IF(T84&gt;8,1,0)</ns0:f>
        <ns0:v>0</ns0:v>
      </ns0:c>
      <ns0:c r="AL84" t="n">
        <ns0:f>IF(OR(A84="",S84&lt;&gt;""),0,SUM(IF(AC84&gt;0,IF($I84="FS",--($E84&lt;INDEX(Tasks[End Date],AC84)+IF(INDEX(Tasks[Milestone],AC84)="Yes",0,1)),IF($I84="SS",--($E84&lt;INDEX(Tasks[Start Date],AC84)),IF($I84="FF",--($F84&lt;INDEX(Tasks[End Date],AC84)),IF($I84="SF",--($F84&lt;INDEX(Tasks[Start Date],AC84)),0)))),0),IF(AD84&gt;0,IF($I84="FS",--($E84&lt;INDEX(Tasks[End Date],AD84)+IF(INDEX(Tasks[Milestone],AD84)="Yes",0,1)),IF($I84="SS",--($E84&lt;INDEX(Tasks[Start Date],AD84)),IF($I84="FF",--($F84&lt;INDEX(Tasks[End Date],AD84)),IF($I84="SF",--($F84&lt;INDEX(Tasks[Start Date],AD84)),0)))),0),IF(AE84&gt;0,IF($I84="FS",--($E84&lt;INDEX(Tasks[End Date],AE84)+IF(INDEX(Tasks[Milestone],AE84)="Yes",0,1)),IF($I84="SS",--($E84&lt;INDEX(Tasks[Start Date],AE84)),IF($I84="FF",--($F84&lt;INDEX(Tasks[End Date],AE84)),IF($I84="SF",--($F84&lt;INDEX(Tasks[Start Date],AE84)),0)))),0),IF(AF84&gt;0,IF($I84="FS",--($E84&lt;INDEX(Tasks[End Date],AF84)+IF(INDEX(Tasks[Milestone],AF84)="Yes",0,1)),IF($I84="SS",--($E84&lt;INDEX(Tasks[Start Date],AF84)),IF($I84="FF",--($F84&lt;INDEX(Tasks[End Date],AF84)),IF($I84="SF",--($F84&lt;INDEX(Tasks[Start Date],AF84)),0)))),0),IF(AG84&gt;0,IF($I84="FS",--($E84&lt;INDEX(Tasks[End Date],AG84)+IF(INDEX(Tasks[Milestone],AG84)="Yes",0,1)),IF($I84="SS",--($E84&lt;INDEX(Tasks[Start Date],AG84)),IF($I84="FF",--($F84&lt;INDEX(Tasks[End Date],AG84)),IF($I84="SF",--($F84&lt;INDEX(Tasks[Start Date],AG84)),0)))),0),IF(AH84&gt;0,IF($I84="FS",--($E84&lt;INDEX(Tasks[End Date],AH84)+IF(INDEX(Tasks[Milestone],AH84)="Yes",0,1)),IF($I84="SS",--($E84&lt;INDEX(Tasks[Start Date],AH84)),IF($I84="FF",--($F84&lt;INDEX(Tasks[End Date],AH84)),IF($I84="SF",--($F84&lt;INDEX(Tasks[Start Date],AH84)),0)))),0),IF(AI84&gt;0,IF($I84="FS",--($E84&lt;INDEX(Tasks[End Date],AI84)+IF(INDEX(Tasks[Milestone],AI84)="Yes",0,1)),IF($I84="SS",--($E84&lt;INDEX(Tasks[Start Date],AI84)),IF($I84="FF",--($F84&lt;INDEX(Tasks[End Date],AI84)),IF($I84="SF",--($F84&lt;INDEX(Tasks[Start Date],AI84)),0)))),0),IF(AJ84&gt;0,IF($I84="FS",--($E84&lt;INDEX(Tasks[End Date],AJ84)+IF(INDEX(Tasks[Milestone],AJ84)="Yes",0,1)),IF($I84="SS",--($E84&lt;INDEX(Tasks[Start Date],AJ84)),IF($I84="FF",--($F84&lt;INDEX(Tasks[End Date],AJ84)),IF($I84="SF",--($F84&lt;INDEX(Tasks[Start Date],AJ84)),0)))),0)))</ns0:f>
        <ns0:v>0</ns0:v>
      </ns0:c>
      <ns0:c r="AM84" t="n">
        <ns0:f>IF(AND(A84&lt;&gt;"",AK84=0,EP84=0),1,0)</ns0:f>
        <ns0:v>0</ns0:v>
      </ns0:c>
      <ns0:c r="AN84" t="str">
        <ns0:f>IF(OR(A84="",B84=""),"",IF(COUNTIFS($B$7:B84,B84)=1,MAX($AN$6:AN83)+1,""))</ns0:f>
      </ns0:c>
      <ns0:c r="AO84" t="n">
        <ns0:f>IF(AND(A84&lt;&gt;"",J84="No",N84&lt;1,E84&gt;=AsOfDate),E84+ROW()/10000,1E+9)</ns0:f>
        <ns0:v>1000000000</ns0:v>
      </ns0:c>
      <ns0:c r="AP84" t="n">
        <ns0:f>IF(AND(A84&lt;&gt;"",J84="Yes",N84&lt;1,E84&gt;=AsOfDate),E84+ROW()/10000,1E+9)</ns0:f>
        <ns0:v>1000000000</ns0:v>
      </ns0:c>
      <ns0:c r="AQ84" t="n">
        <ns0:f>IF(AND(A84&lt;&gt;"",J84="No",N84&lt;1,F84&gt;=AsOfDate,F84&lt;=AsOfDate+7),F84+ROW()/10000,1E+9)</ns0:f>
        <ns0:v>1000000000</ns0:v>
      </ns0:c>
      <ns0:c r="AR84" t="n">
        <ns0:f>IF(AND(A84&lt;&gt;"",OR(O84&lt;&gt;"On track",Q84="Delayed")),ROW(),1E+9)</ns0:f>
        <ns0:v>1000000000</ns0:v>
      </ns0:c>
      <ns0:c r="AS84" t="str">
        <ns0:f>IF(A84="","",";"&amp;K84&amp;";")</ns0:f>
      </ns0:c>
      <ns0:c r="AT84" t="n">
        <ns0:f>IF(A84="",1,--(T84=0))</ns0:f>
        <ns0:v>1</ns0:v>
      </ns0:c>
      <ns0:c r="AU84" t="n">
        <ns0:f>IF($A84="",1,IF(AT84=1,1,--AND(IF($AC84&gt;0,INDEX(AT$7:AT$106,$AC84),1),IF($AD84&gt;0,INDEX(AT$7:AT$106,$AD84),1),IF($AE84&gt;0,INDEX(AT$7:AT$106,$AE84),1),IF($AF84&gt;0,INDEX(AT$7:AT$106,$AF84),1),IF($AG84&gt;0,INDEX(AT$7:AT$106,$AG84),1),IF($AH84&gt;0,INDEX(AT$7:AT$106,$AH84),1),IF($AI84&gt;0,INDEX(AT$7:AT$106,$AI84),1),IF($AJ84&gt;0,INDEX(AT$7:AT$106,$AJ84),1))))</ns0:f>
        <ns0:v>1</ns0:v>
      </ns0:c>
      <ns0:c r="AV84" t="n">
        <ns0:f>IF($A84="",1,IF(AU84=1,1,--AND(IF($AC84&gt;0,INDEX(AU$7:AU$106,$AC84),1),IF($AD84&gt;0,INDEX(AU$7:AU$106,$AD84),1),IF($AE84&gt;0,INDEX(AU$7:AU$106,$AE84),1),IF($AF84&gt;0,INDEX(AU$7:AU$106,$AF84),1),IF($AG84&gt;0,INDEX(AU$7:AU$106,$AG84),1),IF($AH84&gt;0,INDEX(AU$7:AU$106,$AH84),1),IF($AI84&gt;0,INDEX(AU$7:AU$106,$AI84),1),IF($AJ84&gt;0,INDEX(AU$7:AU$106,$AJ84),1))))</ns0:f>
        <ns0:v>1</ns0:v>
      </ns0:c>
      <ns0:c r="AW84" t="n">
        <ns0:f>IF($A84="",1,IF(AV84=1,1,--AND(IF($AC84&gt;0,INDEX(AV$7:AV$106,$AC84),1),IF($AD84&gt;0,INDEX(AV$7:AV$106,$AD84),1),IF($AE84&gt;0,INDEX(AV$7:AV$106,$AE84),1),IF($AF84&gt;0,INDEX(AV$7:AV$106,$AF84),1),IF($AG84&gt;0,INDEX(AV$7:AV$106,$AG84),1),IF($AH84&gt;0,INDEX(AV$7:AV$106,$AH84),1),IF($AI84&gt;0,INDEX(AV$7:AV$106,$AI84),1),IF($AJ84&gt;0,INDEX(AV$7:AV$106,$AJ84),1))))</ns0:f>
        <ns0:v>1</ns0:v>
      </ns0:c>
      <ns0:c r="AX84" t="n">
        <ns0:f>IF($A84="",1,IF(AW84=1,1,--AND(IF($AC84&gt;0,INDEX(AW$7:AW$106,$AC84),1),IF($AD84&gt;0,INDEX(AW$7:AW$106,$AD84),1),IF($AE84&gt;0,INDEX(AW$7:AW$106,$AE84),1),IF($AF84&gt;0,INDEX(AW$7:AW$106,$AF84),1),IF($AG84&gt;0,INDEX(AW$7:AW$106,$AG84),1),IF($AH84&gt;0,INDEX(AW$7:AW$106,$AH84),1),IF($AI84&gt;0,INDEX(AW$7:AW$106,$AI84),1),IF($AJ84&gt;0,INDEX(AW$7:AW$106,$AJ84),1))))</ns0:f>
        <ns0:v>1</ns0:v>
      </ns0:c>
      <ns0:c r="AY84" t="n">
        <ns0:f>IF($A84="",1,IF(AX84=1,1,--AND(IF($AC84&gt;0,INDEX(AX$7:AX$106,$AC84),1),IF($AD84&gt;0,INDEX(AX$7:AX$106,$AD84),1),IF($AE84&gt;0,INDEX(AX$7:AX$106,$AE84),1),IF($AF84&gt;0,INDEX(AX$7:AX$106,$AF84),1),IF($AG84&gt;0,INDEX(AX$7:AX$106,$AG84),1),IF($AH84&gt;0,INDEX(AX$7:AX$106,$AH84),1),IF($AI84&gt;0,INDEX(AX$7:AX$106,$AI84),1),IF($AJ84&gt;0,INDEX(AX$7:AX$106,$AJ84),1))))</ns0:f>
        <ns0:v>1</ns0:v>
      </ns0:c>
      <ns0:c r="AZ84" t="n">
        <ns0:f>IF($A84="",1,IF(AY84=1,1,--AND(IF($AC84&gt;0,INDEX(AY$7:AY$106,$AC84),1),IF($AD84&gt;0,INDEX(AY$7:AY$106,$AD84),1),IF($AE84&gt;0,INDEX(AY$7:AY$106,$AE84),1),IF($AF84&gt;0,INDEX(AY$7:AY$106,$AF84),1),IF($AG84&gt;0,INDEX(AY$7:AY$106,$AG84),1),IF($AH84&gt;0,INDEX(AY$7:AY$106,$AH84),1),IF($AI84&gt;0,INDEX(AY$7:AY$106,$AI84),1),IF($AJ84&gt;0,INDEX(AY$7:AY$106,$AJ84),1))))</ns0:f>
        <ns0:v>1</ns0:v>
      </ns0:c>
      <ns0:c r="BA84" t="n">
        <ns0:f>IF($A84="",1,IF(AZ84=1,1,--AND(IF($AC84&gt;0,INDEX(AZ$7:AZ$106,$AC84),1),IF($AD84&gt;0,INDEX(AZ$7:AZ$106,$AD84),1),IF($AE84&gt;0,INDEX(AZ$7:AZ$106,$AE84),1),IF($AF84&gt;0,INDEX(AZ$7:AZ$106,$AF84),1),IF($AG84&gt;0,INDEX(AZ$7:AZ$106,$AG84),1),IF($AH84&gt;0,INDEX(AZ$7:AZ$106,$AH84),1),IF($AI84&gt;0,INDEX(AZ$7:AZ$106,$AI84),1),IF($AJ84&gt;0,INDEX(AZ$7:AZ$106,$AJ84),1))))</ns0:f>
        <ns0:v>1</ns0:v>
      </ns0:c>
      <ns0:c r="BB84" t="n">
        <ns0:f>IF($A84="",1,IF(BA84=1,1,--AND(IF($AC84&gt;0,INDEX(BA$7:BA$106,$AC84),1),IF($AD84&gt;0,INDEX(BA$7:BA$106,$AD84),1),IF($AE84&gt;0,INDEX(BA$7:BA$106,$AE84),1),IF($AF84&gt;0,INDEX(BA$7:BA$106,$AF84),1),IF($AG84&gt;0,INDEX(BA$7:BA$106,$AG84),1),IF($AH84&gt;0,INDEX(BA$7:BA$106,$AH84),1),IF($AI84&gt;0,INDEX(BA$7:BA$106,$AI84),1),IF($AJ84&gt;0,INDEX(BA$7:BA$106,$AJ84),1))))</ns0:f>
        <ns0:v>1</ns0:v>
      </ns0:c>
      <ns0:c r="BC84" t="n">
        <ns0:f>IF($A84="",1,IF(BB84=1,1,--AND(IF($AC84&gt;0,INDEX(BB$7:BB$106,$AC84),1),IF($AD84&gt;0,INDEX(BB$7:BB$106,$AD84),1),IF($AE84&gt;0,INDEX(BB$7:BB$106,$AE84),1),IF($AF84&gt;0,INDEX(BB$7:BB$106,$AF84),1),IF($AG84&gt;0,INDEX(BB$7:BB$106,$AG84),1),IF($AH84&gt;0,INDEX(BB$7:BB$106,$AH84),1),IF($AI84&gt;0,INDEX(BB$7:BB$106,$AI84),1),IF($AJ84&gt;0,INDEX(BB$7:BB$106,$AJ84),1))))</ns0:f>
        <ns0:v>1</ns0:v>
      </ns0:c>
      <ns0:c r="BD84" t="n">
        <ns0:f>IF($A84="",1,IF(BC84=1,1,--AND(IF($AC84&gt;0,INDEX(BC$7:BC$106,$AC84),1),IF($AD84&gt;0,INDEX(BC$7:BC$106,$AD84),1),IF($AE84&gt;0,INDEX(BC$7:BC$106,$AE84),1),IF($AF84&gt;0,INDEX(BC$7:BC$106,$AF84),1),IF($AG84&gt;0,INDEX(BC$7:BC$106,$AG84),1),IF($AH84&gt;0,INDEX(BC$7:BC$106,$AH84),1),IF($AI84&gt;0,INDEX(BC$7:BC$106,$AI84),1),IF($AJ84&gt;0,INDEX(BC$7:BC$106,$AJ84),1))))</ns0:f>
        <ns0:v>1</ns0:v>
      </ns0:c>
      <ns0:c r="BE84" t="n">
        <ns0:f>IF($A84="",1,IF(BD84=1,1,--AND(IF($AC84&gt;0,INDEX(BD$7:BD$106,$AC84),1),IF($AD84&gt;0,INDEX(BD$7:BD$106,$AD84),1),IF($AE84&gt;0,INDEX(BD$7:BD$106,$AE84),1),IF($AF84&gt;0,INDEX(BD$7:BD$106,$AF84),1),IF($AG84&gt;0,INDEX(BD$7:BD$106,$AG84),1),IF($AH84&gt;0,INDEX(BD$7:BD$106,$AH84),1),IF($AI84&gt;0,INDEX(BD$7:BD$106,$AI84),1),IF($AJ84&gt;0,INDEX(BD$7:BD$106,$AJ84),1))))</ns0:f>
        <ns0:v>1</ns0:v>
      </ns0:c>
      <ns0:c r="BF84" t="n">
        <ns0:f>IF($A84="",1,IF(BE84=1,1,--AND(IF($AC84&gt;0,INDEX(BE$7:BE$106,$AC84),1),IF($AD84&gt;0,INDEX(BE$7:BE$106,$AD84),1),IF($AE84&gt;0,INDEX(BE$7:BE$106,$AE84),1),IF($AF84&gt;0,INDEX(BE$7:BE$106,$AF84),1),IF($AG84&gt;0,INDEX(BE$7:BE$106,$AG84),1),IF($AH84&gt;0,INDEX(BE$7:BE$106,$AH84),1),IF($AI84&gt;0,INDEX(BE$7:BE$106,$AI84),1),IF($AJ84&gt;0,INDEX(BE$7:BE$106,$AJ84),1))))</ns0:f>
        <ns0:v>1</ns0:v>
      </ns0:c>
      <ns0:c r="BG84" t="n">
        <ns0:f>IF($A84="",1,IF(BF84=1,1,--AND(IF($AC84&gt;0,INDEX(BF$7:BF$106,$AC84),1),IF($AD84&gt;0,INDEX(BF$7:BF$106,$AD84),1),IF($AE84&gt;0,INDEX(BF$7:BF$106,$AE84),1),IF($AF84&gt;0,INDEX(BF$7:BF$106,$AF84),1),IF($AG84&gt;0,INDEX(BF$7:BF$106,$AG84),1),IF($AH84&gt;0,INDEX(BF$7:BF$106,$AH84),1),IF($AI84&gt;0,INDEX(BF$7:BF$106,$AI84),1),IF($AJ84&gt;0,INDEX(BF$7:BF$106,$AJ84),1))))</ns0:f>
        <ns0:v>1</ns0:v>
      </ns0:c>
      <ns0:c r="BH84" t="n">
        <ns0:f>IF($A84="",1,IF(BG84=1,1,--AND(IF($AC84&gt;0,INDEX(BG$7:BG$106,$AC84),1),IF($AD84&gt;0,INDEX(BG$7:BG$106,$AD84),1),IF($AE84&gt;0,INDEX(BG$7:BG$106,$AE84),1),IF($AF84&gt;0,INDEX(BG$7:BG$106,$AF84),1),IF($AG84&gt;0,INDEX(BG$7:BG$106,$AG84),1),IF($AH84&gt;0,INDEX(BG$7:BG$106,$AH84),1),IF($AI84&gt;0,INDEX(BG$7:BG$106,$AI84),1),IF($AJ84&gt;0,INDEX(BG$7:BG$106,$AJ84),1))))</ns0:f>
        <ns0:v>1</ns0:v>
      </ns0:c>
      <ns0:c r="BI84" t="n">
        <ns0:f>IF($A84="",1,IF(BH84=1,1,--AND(IF($AC84&gt;0,INDEX(BH$7:BH$106,$AC84),1),IF($AD84&gt;0,INDEX(BH$7:BH$106,$AD84),1),IF($AE84&gt;0,INDEX(BH$7:BH$106,$AE84),1),IF($AF84&gt;0,INDEX(BH$7:BH$106,$AF84),1),IF($AG84&gt;0,INDEX(BH$7:BH$106,$AG84),1),IF($AH84&gt;0,INDEX(BH$7:BH$106,$AH84),1),IF($AI84&gt;0,INDEX(BH$7:BH$106,$AI84),1),IF($AJ84&gt;0,INDEX(BH$7:BH$106,$AJ84),1))))</ns0:f>
        <ns0:v>1</ns0:v>
      </ns0:c>
      <ns0:c r="BJ84" t="n">
        <ns0:f>IF($A84="",1,IF(BI84=1,1,--AND(IF($AC84&gt;0,INDEX(BI$7:BI$106,$AC84),1),IF($AD84&gt;0,INDEX(BI$7:BI$106,$AD84),1),IF($AE84&gt;0,INDEX(BI$7:BI$106,$AE84),1),IF($AF84&gt;0,INDEX(BI$7:BI$106,$AF84),1),IF($AG84&gt;0,INDEX(BI$7:BI$106,$AG84),1),IF($AH84&gt;0,INDEX(BI$7:BI$106,$AH84),1),IF($AI84&gt;0,INDEX(BI$7:BI$106,$AI84),1),IF($AJ84&gt;0,INDEX(BI$7:BI$106,$AJ84),1))))</ns0:f>
        <ns0:v>1</ns0:v>
      </ns0:c>
      <ns0:c r="BK84" t="n">
        <ns0:f>IF($A84="",1,IF(BJ84=1,1,--AND(IF($AC84&gt;0,INDEX(BJ$7:BJ$106,$AC84),1),IF($AD84&gt;0,INDEX(BJ$7:BJ$106,$AD84),1),IF($AE84&gt;0,INDEX(BJ$7:BJ$106,$AE84),1),IF($AF84&gt;0,INDEX(BJ$7:BJ$106,$AF84),1),IF($AG84&gt;0,INDEX(BJ$7:BJ$106,$AG84),1),IF($AH84&gt;0,INDEX(BJ$7:BJ$106,$AH84),1),IF($AI84&gt;0,INDEX(BJ$7:BJ$106,$AI84),1),IF($AJ84&gt;0,INDEX(BJ$7:BJ$106,$AJ84),1))))</ns0:f>
        <ns0:v>1</ns0:v>
      </ns0:c>
      <ns0:c r="BL84" t="n">
        <ns0:f>IF($A84="",1,IF(BK84=1,1,--AND(IF($AC84&gt;0,INDEX(BK$7:BK$106,$AC84),1),IF($AD84&gt;0,INDEX(BK$7:BK$106,$AD84),1),IF($AE84&gt;0,INDEX(BK$7:BK$106,$AE84),1),IF($AF84&gt;0,INDEX(BK$7:BK$106,$AF84),1),IF($AG84&gt;0,INDEX(BK$7:BK$106,$AG84),1),IF($AH84&gt;0,INDEX(BK$7:BK$106,$AH84),1),IF($AI84&gt;0,INDEX(BK$7:BK$106,$AI84),1),IF($AJ84&gt;0,INDEX(BK$7:BK$106,$AJ84),1))))</ns0:f>
        <ns0:v>1</ns0:v>
      </ns0:c>
      <ns0:c r="BM84" t="n">
        <ns0:f>IF($A84="",1,IF(BL84=1,1,--AND(IF($AC84&gt;0,INDEX(BL$7:BL$106,$AC84),1),IF($AD84&gt;0,INDEX(BL$7:BL$106,$AD84),1),IF($AE84&gt;0,INDEX(BL$7:BL$106,$AE84),1),IF($AF84&gt;0,INDEX(BL$7:BL$106,$AF84),1),IF($AG84&gt;0,INDEX(BL$7:BL$106,$AG84),1),IF($AH84&gt;0,INDEX(BL$7:BL$106,$AH84),1),IF($AI84&gt;0,INDEX(BL$7:BL$106,$AI84),1),IF($AJ84&gt;0,INDEX(BL$7:BL$106,$AJ84),1))))</ns0:f>
        <ns0:v>1</ns0:v>
      </ns0:c>
      <ns0:c r="BN84" t="n">
        <ns0:f>IF($A84="",1,IF(BM84=1,1,--AND(IF($AC84&gt;0,INDEX(BM$7:BM$106,$AC84),1),IF($AD84&gt;0,INDEX(BM$7:BM$106,$AD84),1),IF($AE84&gt;0,INDEX(BM$7:BM$106,$AE84),1),IF($AF84&gt;0,INDEX(BM$7:BM$106,$AF84),1),IF($AG84&gt;0,INDEX(BM$7:BM$106,$AG84),1),IF($AH84&gt;0,INDEX(BM$7:BM$106,$AH84),1),IF($AI84&gt;0,INDEX(BM$7:BM$106,$AI84),1),IF($AJ84&gt;0,INDEX(BM$7:BM$106,$AJ84),1))))</ns0:f>
        <ns0:v>1</ns0:v>
      </ns0:c>
      <ns0:c r="BO84" t="n">
        <ns0:f>IF($A84="",1,IF(BN84=1,1,--AND(IF($AC84&gt;0,INDEX(BN$7:BN$106,$AC84),1),IF($AD84&gt;0,INDEX(BN$7:BN$106,$AD84),1),IF($AE84&gt;0,INDEX(BN$7:BN$106,$AE84),1),IF($AF84&gt;0,INDEX(BN$7:BN$106,$AF84),1),IF($AG84&gt;0,INDEX(BN$7:BN$106,$AG84),1),IF($AH84&gt;0,INDEX(BN$7:BN$106,$AH84),1),IF($AI84&gt;0,INDEX(BN$7:BN$106,$AI84),1),IF($AJ84&gt;0,INDEX(BN$7:BN$106,$AJ84),1))))</ns0:f>
        <ns0:v>1</ns0:v>
      </ns0:c>
      <ns0:c r="BP84" t="n">
        <ns0:f>IF($A84="",1,IF(BO84=1,1,--AND(IF($AC84&gt;0,INDEX(BO$7:BO$106,$AC84),1),IF($AD84&gt;0,INDEX(BO$7:BO$106,$AD84),1),IF($AE84&gt;0,INDEX(BO$7:BO$106,$AE84),1),IF($AF84&gt;0,INDEX(BO$7:BO$106,$AF84),1),IF($AG84&gt;0,INDEX(BO$7:BO$106,$AG84),1),IF($AH84&gt;0,INDEX(BO$7:BO$106,$AH84),1),IF($AI84&gt;0,INDEX(BO$7:BO$106,$AI84),1),IF($AJ84&gt;0,INDEX(BO$7:BO$106,$AJ84),1))))</ns0:f>
        <ns0:v>1</ns0:v>
      </ns0:c>
      <ns0:c r="BQ84" t="n">
        <ns0:f>IF($A84="",1,IF(BP84=1,1,--AND(IF($AC84&gt;0,INDEX(BP$7:BP$106,$AC84),1),IF($AD84&gt;0,INDEX(BP$7:BP$106,$AD84),1),IF($AE84&gt;0,INDEX(BP$7:BP$106,$AE84),1),IF($AF84&gt;0,INDEX(BP$7:BP$106,$AF84),1),IF($AG84&gt;0,INDEX(BP$7:BP$106,$AG84),1),IF($AH84&gt;0,INDEX(BP$7:BP$106,$AH84),1),IF($AI84&gt;0,INDEX(BP$7:BP$106,$AI84),1),IF($AJ84&gt;0,INDEX(BP$7:BP$106,$AJ84),1))))</ns0:f>
        <ns0:v>1</ns0:v>
      </ns0:c>
      <ns0:c r="BR84" t="n">
        <ns0:f>IF($A84="",1,IF(BQ84=1,1,--AND(IF($AC84&gt;0,INDEX(BQ$7:BQ$106,$AC84),1),IF($AD84&gt;0,INDEX(BQ$7:BQ$106,$AD84),1),IF($AE84&gt;0,INDEX(BQ$7:BQ$106,$AE84),1),IF($AF84&gt;0,INDEX(BQ$7:BQ$106,$AF84),1),IF($AG84&gt;0,INDEX(BQ$7:BQ$106,$AG84),1),IF($AH84&gt;0,INDEX(BQ$7:BQ$106,$AH84),1),IF($AI84&gt;0,INDEX(BQ$7:BQ$106,$AI84),1),IF($AJ84&gt;0,INDEX(BQ$7:BQ$106,$AJ84),1))))</ns0:f>
        <ns0:v>1</ns0:v>
      </ns0:c>
      <ns0:c r="BS84" t="n">
        <ns0:f>IF($A84="",1,IF(BR84=1,1,--AND(IF($AC84&gt;0,INDEX(BR$7:BR$106,$AC84),1),IF($AD84&gt;0,INDEX(BR$7:BR$106,$AD84),1),IF($AE84&gt;0,INDEX(BR$7:BR$106,$AE84),1),IF($AF84&gt;0,INDEX(BR$7:BR$106,$AF84),1),IF($AG84&gt;0,INDEX(BR$7:BR$106,$AG84),1),IF($AH84&gt;0,INDEX(BR$7:BR$106,$AH84),1),IF($AI84&gt;0,INDEX(BR$7:BR$106,$AI84),1),IF($AJ84&gt;0,INDEX(BR$7:BR$106,$AJ84),1))))</ns0:f>
        <ns0:v>1</ns0:v>
      </ns0:c>
      <ns0:c r="BT84" t="n">
        <ns0:f>IF($A84="",1,IF(BS84=1,1,--AND(IF($AC84&gt;0,INDEX(BS$7:BS$106,$AC84),1),IF($AD84&gt;0,INDEX(BS$7:BS$106,$AD84),1),IF($AE84&gt;0,INDEX(BS$7:BS$106,$AE84),1),IF($AF84&gt;0,INDEX(BS$7:BS$106,$AF84),1),IF($AG84&gt;0,INDEX(BS$7:BS$106,$AG84),1),IF($AH84&gt;0,INDEX(BS$7:BS$106,$AH84),1),IF($AI84&gt;0,INDEX(BS$7:BS$106,$AI84),1),IF($AJ84&gt;0,INDEX(BS$7:BS$106,$AJ84),1))))</ns0:f>
        <ns0:v>1</ns0:v>
      </ns0:c>
      <ns0:c r="BU84" t="n">
        <ns0:f>IF($A84="",1,IF(BT84=1,1,--AND(IF($AC84&gt;0,INDEX(BT$7:BT$106,$AC84),1),IF($AD84&gt;0,INDEX(BT$7:BT$106,$AD84),1),IF($AE84&gt;0,INDEX(BT$7:BT$106,$AE84),1),IF($AF84&gt;0,INDEX(BT$7:BT$106,$AF84),1),IF($AG84&gt;0,INDEX(BT$7:BT$106,$AG84),1),IF($AH84&gt;0,INDEX(BT$7:BT$106,$AH84),1),IF($AI84&gt;0,INDEX(BT$7:BT$106,$AI84),1),IF($AJ84&gt;0,INDEX(BT$7:BT$106,$AJ84),1))))</ns0:f>
        <ns0:v>1</ns0:v>
      </ns0:c>
      <ns0:c r="BV84" t="n">
        <ns0:f>IF($A84="",1,IF(BU84=1,1,--AND(IF($AC84&gt;0,INDEX(BU$7:BU$106,$AC84),1),IF($AD84&gt;0,INDEX(BU$7:BU$106,$AD84),1),IF($AE84&gt;0,INDEX(BU$7:BU$106,$AE84),1),IF($AF84&gt;0,INDEX(BU$7:BU$106,$AF84),1),IF($AG84&gt;0,INDEX(BU$7:BU$106,$AG84),1),IF($AH84&gt;0,INDEX(BU$7:BU$106,$AH84),1),IF($AI84&gt;0,INDEX(BU$7:BU$106,$AI84),1),IF($AJ84&gt;0,INDEX(BU$7:BU$106,$AJ84),1))))</ns0:f>
        <ns0:v>1</ns0:v>
      </ns0:c>
      <ns0:c r="BW84" t="n">
        <ns0:f>IF($A84="",1,IF(BV84=1,1,--AND(IF($AC84&gt;0,INDEX(BV$7:BV$106,$AC84),1),IF($AD84&gt;0,INDEX(BV$7:BV$106,$AD84),1),IF($AE84&gt;0,INDEX(BV$7:BV$106,$AE84),1),IF($AF84&gt;0,INDEX(BV$7:BV$106,$AF84),1),IF($AG84&gt;0,INDEX(BV$7:BV$106,$AG84),1),IF($AH84&gt;0,INDEX(BV$7:BV$106,$AH84),1),IF($AI84&gt;0,INDEX(BV$7:BV$106,$AI84),1),IF($AJ84&gt;0,INDEX(BV$7:BV$106,$AJ84),1))))</ns0:f>
        <ns0:v>1</ns0:v>
      </ns0:c>
      <ns0:c r="BX84" t="n">
        <ns0:f>IF($A84="",1,IF(BW84=1,1,--AND(IF($AC84&gt;0,INDEX(BW$7:BW$106,$AC84),1),IF($AD84&gt;0,INDEX(BW$7:BW$106,$AD84),1),IF($AE84&gt;0,INDEX(BW$7:BW$106,$AE84),1),IF($AF84&gt;0,INDEX(BW$7:BW$106,$AF84),1),IF($AG84&gt;0,INDEX(BW$7:BW$106,$AG84),1),IF($AH84&gt;0,INDEX(BW$7:BW$106,$AH84),1),IF($AI84&gt;0,INDEX(BW$7:BW$106,$AI84),1),IF($AJ84&gt;0,INDEX(BW$7:BW$106,$AJ84),1))))</ns0:f>
        <ns0:v>1</ns0:v>
      </ns0:c>
      <ns0:c r="BY84" t="n">
        <ns0:f>IF($A84="",1,IF(BX84=1,1,--AND(IF($AC84&gt;0,INDEX(BX$7:BX$106,$AC84),1),IF($AD84&gt;0,INDEX(BX$7:BX$106,$AD84),1),IF($AE84&gt;0,INDEX(BX$7:BX$106,$AE84),1),IF($AF84&gt;0,INDEX(BX$7:BX$106,$AF84),1),IF($AG84&gt;0,INDEX(BX$7:BX$106,$AG84),1),IF($AH84&gt;0,INDEX(BX$7:BX$106,$AH84),1),IF($AI84&gt;0,INDEX(BX$7:BX$106,$AI84),1),IF($AJ84&gt;0,INDEX(BX$7:BX$106,$AJ84),1))))</ns0:f>
        <ns0:v>1</ns0:v>
      </ns0:c>
      <ns0:c r="BZ84" t="n">
        <ns0:f>IF($A84="",1,IF(BY84=1,1,--AND(IF($AC84&gt;0,INDEX(BY$7:BY$106,$AC84),1),IF($AD84&gt;0,INDEX(BY$7:BY$106,$AD84),1),IF($AE84&gt;0,INDEX(BY$7:BY$106,$AE84),1),IF($AF84&gt;0,INDEX(BY$7:BY$106,$AF84),1),IF($AG84&gt;0,INDEX(BY$7:BY$106,$AG84),1),IF($AH84&gt;0,INDEX(BY$7:BY$106,$AH84),1),IF($AI84&gt;0,INDEX(BY$7:BY$106,$AI84),1),IF($AJ84&gt;0,INDEX(BY$7:BY$106,$AJ84),1))))</ns0:f>
        <ns0:v>1</ns0:v>
      </ns0:c>
      <ns0:c r="CA84" t="n">
        <ns0:f>IF($A84="",1,IF(BZ84=1,1,--AND(IF($AC84&gt;0,INDEX(BZ$7:BZ$106,$AC84),1),IF($AD84&gt;0,INDEX(BZ$7:BZ$106,$AD84),1),IF($AE84&gt;0,INDEX(BZ$7:BZ$106,$AE84),1),IF($AF84&gt;0,INDEX(BZ$7:BZ$106,$AF84),1),IF($AG84&gt;0,INDEX(BZ$7:BZ$106,$AG84),1),IF($AH84&gt;0,INDEX(BZ$7:BZ$106,$AH84),1),IF($AI84&gt;0,INDEX(BZ$7:BZ$106,$AI84),1),IF($AJ84&gt;0,INDEX(BZ$7:BZ$106,$AJ84),1))))</ns0:f>
        <ns0:v>1</ns0:v>
      </ns0:c>
      <ns0:c r="CB84" t="n">
        <ns0:f>IF($A84="",1,IF(CA84=1,1,--AND(IF($AC84&gt;0,INDEX(CA$7:CA$106,$AC84),1),IF($AD84&gt;0,INDEX(CA$7:CA$106,$AD84),1),IF($AE84&gt;0,INDEX(CA$7:CA$106,$AE84),1),IF($AF84&gt;0,INDEX(CA$7:CA$106,$AF84),1),IF($AG84&gt;0,INDEX(CA$7:CA$106,$AG84),1),IF($AH84&gt;0,INDEX(CA$7:CA$106,$AH84),1),IF($AI84&gt;0,INDEX(CA$7:CA$106,$AI84),1),IF($AJ84&gt;0,INDEX(CA$7:CA$106,$AJ84),1))))</ns0:f>
        <ns0:v>1</ns0:v>
      </ns0:c>
      <ns0:c r="CC84" t="n">
        <ns0:f>IF($A84="",1,IF(CB84=1,1,--AND(IF($AC84&gt;0,INDEX(CB$7:CB$106,$AC84),1),IF($AD84&gt;0,INDEX(CB$7:CB$106,$AD84),1),IF($AE84&gt;0,INDEX(CB$7:CB$106,$AE84),1),IF($AF84&gt;0,INDEX(CB$7:CB$106,$AF84),1),IF($AG84&gt;0,INDEX(CB$7:CB$106,$AG84),1),IF($AH84&gt;0,INDEX(CB$7:CB$106,$AH84),1),IF($AI84&gt;0,INDEX(CB$7:CB$106,$AI84),1),IF($AJ84&gt;0,INDEX(CB$7:CB$106,$AJ84),1))))</ns0:f>
        <ns0:v>1</ns0:v>
      </ns0:c>
      <ns0:c r="CD84" t="n">
        <ns0:f>IF($A84="",1,IF(CC84=1,1,--AND(IF($AC84&gt;0,INDEX(CC$7:CC$106,$AC84),1),IF($AD84&gt;0,INDEX(CC$7:CC$106,$AD84),1),IF($AE84&gt;0,INDEX(CC$7:CC$106,$AE84),1),IF($AF84&gt;0,INDEX(CC$7:CC$106,$AF84),1),IF($AG84&gt;0,INDEX(CC$7:CC$106,$AG84),1),IF($AH84&gt;0,INDEX(CC$7:CC$106,$AH84),1),IF($AI84&gt;0,INDEX(CC$7:CC$106,$AI84),1),IF($AJ84&gt;0,INDEX(CC$7:CC$106,$AJ84),1))))</ns0:f>
        <ns0:v>1</ns0:v>
      </ns0:c>
      <ns0:c r="CE84" t="n">
        <ns0:f>IF($A84="",1,IF(CD84=1,1,--AND(IF($AC84&gt;0,INDEX(CD$7:CD$106,$AC84),1),IF($AD84&gt;0,INDEX(CD$7:CD$106,$AD84),1),IF($AE84&gt;0,INDEX(CD$7:CD$106,$AE84),1),IF($AF84&gt;0,INDEX(CD$7:CD$106,$AF84),1),IF($AG84&gt;0,INDEX(CD$7:CD$106,$AG84),1),IF($AH84&gt;0,INDEX(CD$7:CD$106,$AH84),1),IF($AI84&gt;0,INDEX(CD$7:CD$106,$AI84),1),IF($AJ84&gt;0,INDEX(CD$7:CD$106,$AJ84),1))))</ns0:f>
        <ns0:v>1</ns0:v>
      </ns0:c>
      <ns0:c r="CF84" t="n">
        <ns0:f>IF($A84="",1,IF(CE84=1,1,--AND(IF($AC84&gt;0,INDEX(CE$7:CE$106,$AC84),1),IF($AD84&gt;0,INDEX(CE$7:CE$106,$AD84),1),IF($AE84&gt;0,INDEX(CE$7:CE$106,$AE84),1),IF($AF84&gt;0,INDEX(CE$7:CE$106,$AF84),1),IF($AG84&gt;0,INDEX(CE$7:CE$106,$AG84),1),IF($AH84&gt;0,INDEX(CE$7:CE$106,$AH84),1),IF($AI84&gt;0,INDEX(CE$7:CE$106,$AI84),1),IF($AJ84&gt;0,INDEX(CE$7:CE$106,$AJ84),1))))</ns0:f>
        <ns0:v>1</ns0:v>
      </ns0:c>
      <ns0:c r="CG84" t="n">
        <ns0:f>IF($A84="",1,IF(CF84=1,1,--AND(IF($AC84&gt;0,INDEX(CF$7:CF$106,$AC84),1),IF($AD84&gt;0,INDEX(CF$7:CF$106,$AD84),1),IF($AE84&gt;0,INDEX(CF$7:CF$106,$AE84),1),IF($AF84&gt;0,INDEX(CF$7:CF$106,$AF84),1),IF($AG84&gt;0,INDEX(CF$7:CF$106,$AG84),1),IF($AH84&gt;0,INDEX(CF$7:CF$106,$AH84),1),IF($AI84&gt;0,INDEX(CF$7:CF$106,$AI84),1),IF($AJ84&gt;0,INDEX(CF$7:CF$106,$AJ84),1))))</ns0:f>
        <ns0:v>1</ns0:v>
      </ns0:c>
      <ns0:c r="CH84" t="n">
        <ns0:f>IF($A84="",1,IF(CG84=1,1,--AND(IF($AC84&gt;0,INDEX(CG$7:CG$106,$AC84),1),IF($AD84&gt;0,INDEX(CG$7:CG$106,$AD84),1),IF($AE84&gt;0,INDEX(CG$7:CG$106,$AE84),1),IF($AF84&gt;0,INDEX(CG$7:CG$106,$AF84),1),IF($AG84&gt;0,INDEX(CG$7:CG$106,$AG84),1),IF($AH84&gt;0,INDEX(CG$7:CG$106,$AH84),1),IF($AI84&gt;0,INDEX(CG$7:CG$106,$AI84),1),IF($AJ84&gt;0,INDEX(CG$7:CG$106,$AJ84),1))))</ns0:f>
        <ns0:v>1</ns0:v>
      </ns0:c>
      <ns0:c r="CI84" t="n">
        <ns0:f>IF($A84="",1,IF(CH84=1,1,--AND(IF($AC84&gt;0,INDEX(CH$7:CH$106,$AC84),1),IF($AD84&gt;0,INDEX(CH$7:CH$106,$AD84),1),IF($AE84&gt;0,INDEX(CH$7:CH$106,$AE84),1),IF($AF84&gt;0,INDEX(CH$7:CH$106,$AF84),1),IF($AG84&gt;0,INDEX(CH$7:CH$106,$AG84),1),IF($AH84&gt;0,INDEX(CH$7:CH$106,$AH84),1),IF($AI84&gt;0,INDEX(CH$7:CH$106,$AI84),1),IF($AJ84&gt;0,INDEX(CH$7:CH$106,$AJ84),1))))</ns0:f>
        <ns0:v>1</ns0:v>
      </ns0:c>
      <ns0:c r="CJ84" t="n">
        <ns0:f>IF($A84="",1,IF(CI84=1,1,--AND(IF($AC84&gt;0,INDEX(CI$7:CI$106,$AC84),1),IF($AD84&gt;0,INDEX(CI$7:CI$106,$AD84),1),IF($AE84&gt;0,INDEX(CI$7:CI$106,$AE84),1),IF($AF84&gt;0,INDEX(CI$7:CI$106,$AF84),1),IF($AG84&gt;0,INDEX(CI$7:CI$106,$AG84),1),IF($AH84&gt;0,INDEX(CI$7:CI$106,$AH84),1),IF($AI84&gt;0,INDEX(CI$7:CI$106,$AI84),1),IF($AJ84&gt;0,INDEX(CI$7:CI$106,$AJ84),1))))</ns0:f>
        <ns0:v>1</ns0:v>
      </ns0:c>
      <ns0:c r="CK84" t="n">
        <ns0:f>IF($A84="",1,IF(CJ84=1,1,--AND(IF($AC84&gt;0,INDEX(CJ$7:CJ$106,$AC84),1),IF($AD84&gt;0,INDEX(CJ$7:CJ$106,$AD84),1),IF($AE84&gt;0,INDEX(CJ$7:CJ$106,$AE84),1),IF($AF84&gt;0,INDEX(CJ$7:CJ$106,$AF84),1),IF($AG84&gt;0,INDEX(CJ$7:CJ$106,$AG84),1),IF($AH84&gt;0,INDEX(CJ$7:CJ$106,$AH84),1),IF($AI84&gt;0,INDEX(CJ$7:CJ$106,$AI84),1),IF($AJ84&gt;0,INDEX(CJ$7:CJ$106,$AJ84),1))))</ns0:f>
        <ns0:v>1</ns0:v>
      </ns0:c>
      <ns0:c r="CL84" t="n">
        <ns0:f>IF($A84="",1,IF(CK84=1,1,--AND(IF($AC84&gt;0,INDEX(CK$7:CK$106,$AC84),1),IF($AD84&gt;0,INDEX(CK$7:CK$106,$AD84),1),IF($AE84&gt;0,INDEX(CK$7:CK$106,$AE84),1),IF($AF84&gt;0,INDEX(CK$7:CK$106,$AF84),1),IF($AG84&gt;0,INDEX(CK$7:CK$106,$AG84),1),IF($AH84&gt;0,INDEX(CK$7:CK$106,$AH84),1),IF($AI84&gt;0,INDEX(CK$7:CK$106,$AI84),1),IF($AJ84&gt;0,INDEX(CK$7:CK$106,$AJ84),1))))</ns0:f>
        <ns0:v>1</ns0:v>
      </ns0:c>
      <ns0:c r="CM84" t="n">
        <ns0:f>IF($A84="",1,IF(CL84=1,1,--AND(IF($AC84&gt;0,INDEX(CL$7:CL$106,$AC84),1),IF($AD84&gt;0,INDEX(CL$7:CL$106,$AD84),1),IF($AE84&gt;0,INDEX(CL$7:CL$106,$AE84),1),IF($AF84&gt;0,INDEX(CL$7:CL$106,$AF84),1),IF($AG84&gt;0,INDEX(CL$7:CL$106,$AG84),1),IF($AH84&gt;0,INDEX(CL$7:CL$106,$AH84),1),IF($AI84&gt;0,INDEX(CL$7:CL$106,$AI84),1),IF($AJ84&gt;0,INDEX(CL$7:CL$106,$AJ84),1))))</ns0:f>
        <ns0:v>1</ns0:v>
      </ns0:c>
      <ns0:c r="CN84" t="n">
        <ns0:f>IF($A84="",1,IF(CM84=1,1,--AND(IF($AC84&gt;0,INDEX(CM$7:CM$106,$AC84),1),IF($AD84&gt;0,INDEX(CM$7:CM$106,$AD84),1),IF($AE84&gt;0,INDEX(CM$7:CM$106,$AE84),1),IF($AF84&gt;0,INDEX(CM$7:CM$106,$AF84),1),IF($AG84&gt;0,INDEX(CM$7:CM$106,$AG84),1),IF($AH84&gt;0,INDEX(CM$7:CM$106,$AH84),1),IF($AI84&gt;0,INDEX(CM$7:CM$106,$AI84),1),IF($AJ84&gt;0,INDEX(CM$7:CM$106,$AJ84),1))))</ns0:f>
        <ns0:v>1</ns0:v>
      </ns0:c>
      <ns0:c r="CO84" t="n">
        <ns0:f>IF($A84="",1,IF(CN84=1,1,--AND(IF($AC84&gt;0,INDEX(CN$7:CN$106,$AC84),1),IF($AD84&gt;0,INDEX(CN$7:CN$106,$AD84),1),IF($AE84&gt;0,INDEX(CN$7:CN$106,$AE84),1),IF($AF84&gt;0,INDEX(CN$7:CN$106,$AF84),1),IF($AG84&gt;0,INDEX(CN$7:CN$106,$AG84),1),IF($AH84&gt;0,INDEX(CN$7:CN$106,$AH84),1),IF($AI84&gt;0,INDEX(CN$7:CN$106,$AI84),1),IF($AJ84&gt;0,INDEX(CN$7:CN$106,$AJ84),1))))</ns0:f>
        <ns0:v>1</ns0:v>
      </ns0:c>
      <ns0:c r="CP84" t="n">
        <ns0:f>IF($A84="",1,IF(CO84=1,1,--AND(IF($AC84&gt;0,INDEX(CO$7:CO$106,$AC84),1),IF($AD84&gt;0,INDEX(CO$7:CO$106,$AD84),1),IF($AE84&gt;0,INDEX(CO$7:CO$106,$AE84),1),IF($AF84&gt;0,INDEX(CO$7:CO$106,$AF84),1),IF($AG84&gt;0,INDEX(CO$7:CO$106,$AG84),1),IF($AH84&gt;0,INDEX(CO$7:CO$106,$AH84),1),IF($AI84&gt;0,INDEX(CO$7:CO$106,$AI84),1),IF($AJ84&gt;0,INDEX(CO$7:CO$106,$AJ84),1))))</ns0:f>
        <ns0:v>1</ns0:v>
      </ns0:c>
      <ns0:c r="CQ84" t="n">
        <ns0:f>IF($A84="",1,IF(CP84=1,1,--AND(IF($AC84&gt;0,INDEX(CP$7:CP$106,$AC84),1),IF($AD84&gt;0,INDEX(CP$7:CP$106,$AD84),1),IF($AE84&gt;0,INDEX(CP$7:CP$106,$AE84),1),IF($AF84&gt;0,INDEX(CP$7:CP$106,$AF84),1),IF($AG84&gt;0,INDEX(CP$7:CP$106,$AG84),1),IF($AH84&gt;0,INDEX(CP$7:CP$106,$AH84),1),IF($AI84&gt;0,INDEX(CP$7:CP$106,$AI84),1),IF($AJ84&gt;0,INDEX(CP$7:CP$106,$AJ84),1))))</ns0:f>
        <ns0:v>1</ns0:v>
      </ns0:c>
      <ns0:c r="CR84" t="n">
        <ns0:f>IF($A84="",1,IF(CQ84=1,1,--AND(IF($AC84&gt;0,INDEX(CQ$7:CQ$106,$AC84),1),IF($AD84&gt;0,INDEX(CQ$7:CQ$106,$AD84),1),IF($AE84&gt;0,INDEX(CQ$7:CQ$106,$AE84),1),IF($AF84&gt;0,INDEX(CQ$7:CQ$106,$AF84),1),IF($AG84&gt;0,INDEX(CQ$7:CQ$106,$AG84),1),IF($AH84&gt;0,INDEX(CQ$7:CQ$106,$AH84),1),IF($AI84&gt;0,INDEX(CQ$7:CQ$106,$AI84),1),IF($AJ84&gt;0,INDEX(CQ$7:CQ$106,$AJ84),1))))</ns0:f>
        <ns0:v>1</ns0:v>
      </ns0:c>
      <ns0:c r="CS84" t="n">
        <ns0:f>IF($A84="",1,IF(CR84=1,1,--AND(IF($AC84&gt;0,INDEX(CR$7:CR$106,$AC84),1),IF($AD84&gt;0,INDEX(CR$7:CR$106,$AD84),1),IF($AE84&gt;0,INDEX(CR$7:CR$106,$AE84),1),IF($AF84&gt;0,INDEX(CR$7:CR$106,$AF84),1),IF($AG84&gt;0,INDEX(CR$7:CR$106,$AG84),1),IF($AH84&gt;0,INDEX(CR$7:CR$106,$AH84),1),IF($AI84&gt;0,INDEX(CR$7:CR$106,$AI84),1),IF($AJ84&gt;0,INDEX(CR$7:CR$106,$AJ84),1))))</ns0:f>
        <ns0:v>1</ns0:v>
      </ns0:c>
      <ns0:c r="CT84" t="n">
        <ns0:f>IF($A84="",1,IF(CS84=1,1,--AND(IF($AC84&gt;0,INDEX(CS$7:CS$106,$AC84),1),IF($AD84&gt;0,INDEX(CS$7:CS$106,$AD84),1),IF($AE84&gt;0,INDEX(CS$7:CS$106,$AE84),1),IF($AF84&gt;0,INDEX(CS$7:CS$106,$AF84),1),IF($AG84&gt;0,INDEX(CS$7:CS$106,$AG84),1),IF($AH84&gt;0,INDEX(CS$7:CS$106,$AH84),1),IF($AI84&gt;0,INDEX(CS$7:CS$106,$AI84),1),IF($AJ84&gt;0,INDEX(CS$7:CS$106,$AJ84),1))))</ns0:f>
        <ns0:v>1</ns0:v>
      </ns0:c>
      <ns0:c r="CU84" t="n">
        <ns0:f>IF($A84="",1,IF(CT84=1,1,--AND(IF($AC84&gt;0,INDEX(CT$7:CT$106,$AC84),1),IF($AD84&gt;0,INDEX(CT$7:CT$106,$AD84),1),IF($AE84&gt;0,INDEX(CT$7:CT$106,$AE84),1),IF($AF84&gt;0,INDEX(CT$7:CT$106,$AF84),1),IF($AG84&gt;0,INDEX(CT$7:CT$106,$AG84),1),IF($AH84&gt;0,INDEX(CT$7:CT$106,$AH84),1),IF($AI84&gt;0,INDEX(CT$7:CT$106,$AI84),1),IF($AJ84&gt;0,INDEX(CT$7:CT$106,$AJ84),1))))</ns0:f>
        <ns0:v>1</ns0:v>
      </ns0:c>
      <ns0:c r="CV84" t="n">
        <ns0:f>IF($A84="",1,IF(CU84=1,1,--AND(IF($AC84&gt;0,INDEX(CU$7:CU$106,$AC84),1),IF($AD84&gt;0,INDEX(CU$7:CU$106,$AD84),1),IF($AE84&gt;0,INDEX(CU$7:CU$106,$AE84),1),IF($AF84&gt;0,INDEX(CU$7:CU$106,$AF84),1),IF($AG84&gt;0,INDEX(CU$7:CU$106,$AG84),1),IF($AH84&gt;0,INDEX(CU$7:CU$106,$AH84),1),IF($AI84&gt;0,INDEX(CU$7:CU$106,$AI84),1),IF($AJ84&gt;0,INDEX(CU$7:CU$106,$AJ84),1))))</ns0:f>
        <ns0:v>1</ns0:v>
      </ns0:c>
      <ns0:c r="CW84" t="n">
        <ns0:f>IF($A84="",1,IF(CV84=1,1,--AND(IF($AC84&gt;0,INDEX(CV$7:CV$106,$AC84),1),IF($AD84&gt;0,INDEX(CV$7:CV$106,$AD84),1),IF($AE84&gt;0,INDEX(CV$7:CV$106,$AE84),1),IF($AF84&gt;0,INDEX(CV$7:CV$106,$AF84),1),IF($AG84&gt;0,INDEX(CV$7:CV$106,$AG84),1),IF($AH84&gt;0,INDEX(CV$7:CV$106,$AH84),1),IF($AI84&gt;0,INDEX(CV$7:CV$106,$AI84),1),IF($AJ84&gt;0,INDEX(CV$7:CV$106,$AJ84),1))))</ns0:f>
        <ns0:v>1</ns0:v>
      </ns0:c>
      <ns0:c r="CX84" t="n">
        <ns0:f>IF($A84="",1,IF(CW84=1,1,--AND(IF($AC84&gt;0,INDEX(CW$7:CW$106,$AC84),1),IF($AD84&gt;0,INDEX(CW$7:CW$106,$AD84),1),IF($AE84&gt;0,INDEX(CW$7:CW$106,$AE84),1),IF($AF84&gt;0,INDEX(CW$7:CW$106,$AF84),1),IF($AG84&gt;0,INDEX(CW$7:CW$106,$AG84),1),IF($AH84&gt;0,INDEX(CW$7:CW$106,$AH84),1),IF($AI84&gt;0,INDEX(CW$7:CW$106,$AI84),1),IF($AJ84&gt;0,INDEX(CW$7:CW$106,$AJ84),1))))</ns0:f>
        <ns0:v>1</ns0:v>
      </ns0:c>
      <ns0:c r="CY84" t="n">
        <ns0:f>IF($A84="",1,IF(CX84=1,1,--AND(IF($AC84&gt;0,INDEX(CX$7:CX$106,$AC84),1),IF($AD84&gt;0,INDEX(CX$7:CX$106,$AD84),1),IF($AE84&gt;0,INDEX(CX$7:CX$106,$AE84),1),IF($AF84&gt;0,INDEX(CX$7:CX$106,$AF84),1),IF($AG84&gt;0,INDEX(CX$7:CX$106,$AG84),1),IF($AH84&gt;0,INDEX(CX$7:CX$106,$AH84),1),IF($AI84&gt;0,INDEX(CX$7:CX$106,$AI84),1),IF($AJ84&gt;0,INDEX(CX$7:CX$106,$AJ84),1))))</ns0:f>
        <ns0:v>1</ns0:v>
      </ns0:c>
      <ns0:c r="CZ84" t="n">
        <ns0:f>IF($A84="",1,IF(CY84=1,1,--AND(IF($AC84&gt;0,INDEX(CY$7:CY$106,$AC84),1),IF($AD84&gt;0,INDEX(CY$7:CY$106,$AD84),1),IF($AE84&gt;0,INDEX(CY$7:CY$106,$AE84),1),IF($AF84&gt;0,INDEX(CY$7:CY$106,$AF84),1),IF($AG84&gt;0,INDEX(CY$7:CY$106,$AG84),1),IF($AH84&gt;0,INDEX(CY$7:CY$106,$AH84),1),IF($AI84&gt;0,INDEX(CY$7:CY$106,$AI84),1),IF($AJ84&gt;0,INDEX(CY$7:CY$106,$AJ84),1))))</ns0:f>
        <ns0:v>1</ns0:v>
      </ns0:c>
      <ns0:c r="DA84" t="n">
        <ns0:f>IF($A84="",1,IF(CZ84=1,1,--AND(IF($AC84&gt;0,INDEX(CZ$7:CZ$106,$AC84),1),IF($AD84&gt;0,INDEX(CZ$7:CZ$106,$AD84),1),IF($AE84&gt;0,INDEX(CZ$7:CZ$106,$AE84),1),IF($AF84&gt;0,INDEX(CZ$7:CZ$106,$AF84),1),IF($AG84&gt;0,INDEX(CZ$7:CZ$106,$AG84),1),IF($AH84&gt;0,INDEX(CZ$7:CZ$106,$AH84),1),IF($AI84&gt;0,INDEX(CZ$7:CZ$106,$AI84),1),IF($AJ84&gt;0,INDEX(CZ$7:CZ$106,$AJ84),1))))</ns0:f>
        <ns0:v>1</ns0:v>
      </ns0:c>
      <ns0:c r="DB84" t="n">
        <ns0:f>IF($A84="",1,IF(DA84=1,1,--AND(IF($AC84&gt;0,INDEX(DA$7:DA$106,$AC84),1),IF($AD84&gt;0,INDEX(DA$7:DA$106,$AD84),1),IF($AE84&gt;0,INDEX(DA$7:DA$106,$AE84),1),IF($AF84&gt;0,INDEX(DA$7:DA$106,$AF84),1),IF($AG84&gt;0,INDEX(DA$7:DA$106,$AG84),1),IF($AH84&gt;0,INDEX(DA$7:DA$106,$AH84),1),IF($AI84&gt;0,INDEX(DA$7:DA$106,$AI84),1),IF($AJ84&gt;0,INDEX(DA$7:DA$106,$AJ84),1))))</ns0:f>
        <ns0:v>1</ns0:v>
      </ns0:c>
      <ns0:c r="DC84" t="n">
        <ns0:f>IF($A84="",1,IF(DB84=1,1,--AND(IF($AC84&gt;0,INDEX(DB$7:DB$106,$AC84),1),IF($AD84&gt;0,INDEX(DB$7:DB$106,$AD84),1),IF($AE84&gt;0,INDEX(DB$7:DB$106,$AE84),1),IF($AF84&gt;0,INDEX(DB$7:DB$106,$AF84),1),IF($AG84&gt;0,INDEX(DB$7:DB$106,$AG84),1),IF($AH84&gt;0,INDEX(DB$7:DB$106,$AH84),1),IF($AI84&gt;0,INDEX(DB$7:DB$106,$AI84),1),IF($AJ84&gt;0,INDEX(DB$7:DB$106,$AJ84),1))))</ns0:f>
        <ns0:v>1</ns0:v>
      </ns0:c>
      <ns0:c r="DD84" t="n">
        <ns0:f>IF($A84="",1,IF(DC84=1,1,--AND(IF($AC84&gt;0,INDEX(DC$7:DC$106,$AC84),1),IF($AD84&gt;0,INDEX(DC$7:DC$106,$AD84),1),IF($AE84&gt;0,INDEX(DC$7:DC$106,$AE84),1),IF($AF84&gt;0,INDEX(DC$7:DC$106,$AF84),1),IF($AG84&gt;0,INDEX(DC$7:DC$106,$AG84),1),IF($AH84&gt;0,INDEX(DC$7:DC$106,$AH84),1),IF($AI84&gt;0,INDEX(DC$7:DC$106,$AI84),1),IF($AJ84&gt;0,INDEX(DC$7:DC$106,$AJ84),1))))</ns0:f>
        <ns0:v>1</ns0:v>
      </ns0:c>
      <ns0:c r="DE84" t="n">
        <ns0:f>IF($A84="",1,IF(DD84=1,1,--AND(IF($AC84&gt;0,INDEX(DD$7:DD$106,$AC84),1),IF($AD84&gt;0,INDEX(DD$7:DD$106,$AD84),1),IF($AE84&gt;0,INDEX(DD$7:DD$106,$AE84),1),IF($AF84&gt;0,INDEX(DD$7:DD$106,$AF84),1),IF($AG84&gt;0,INDEX(DD$7:DD$106,$AG84),1),IF($AH84&gt;0,INDEX(DD$7:DD$106,$AH84),1),IF($AI84&gt;0,INDEX(DD$7:DD$106,$AI84),1),IF($AJ84&gt;0,INDEX(DD$7:DD$106,$AJ84),1))))</ns0:f>
        <ns0:v>1</ns0:v>
      </ns0:c>
      <ns0:c r="DF84" t="n">
        <ns0:f>IF($A84="",1,IF(DE84=1,1,--AND(IF($AC84&gt;0,INDEX(DE$7:DE$106,$AC84),1),IF($AD84&gt;0,INDEX(DE$7:DE$106,$AD84),1),IF($AE84&gt;0,INDEX(DE$7:DE$106,$AE84),1),IF($AF84&gt;0,INDEX(DE$7:DE$106,$AF84),1),IF($AG84&gt;0,INDEX(DE$7:DE$106,$AG84),1),IF($AH84&gt;0,INDEX(DE$7:DE$106,$AH84),1),IF($AI84&gt;0,INDEX(DE$7:DE$106,$AI84),1),IF($AJ84&gt;0,INDEX(DE$7:DE$106,$AJ84),1))))</ns0:f>
        <ns0:v>1</ns0:v>
      </ns0:c>
      <ns0:c r="DG84" t="n">
        <ns0:f>IF($A84="",1,IF(DF84=1,1,--AND(IF($AC84&gt;0,INDEX(DF$7:DF$106,$AC84),1),IF($AD84&gt;0,INDEX(DF$7:DF$106,$AD84),1),IF($AE84&gt;0,INDEX(DF$7:DF$106,$AE84),1),IF($AF84&gt;0,INDEX(DF$7:DF$106,$AF84),1),IF($AG84&gt;0,INDEX(DF$7:DF$106,$AG84),1),IF($AH84&gt;0,INDEX(DF$7:DF$106,$AH84),1),IF($AI84&gt;0,INDEX(DF$7:DF$106,$AI84),1),IF($AJ84&gt;0,INDEX(DF$7:DF$106,$AJ84),1))))</ns0:f>
        <ns0:v>1</ns0:v>
      </ns0:c>
      <ns0:c r="DH84" t="n">
        <ns0:f>IF($A84="",1,IF(DG84=1,1,--AND(IF($AC84&gt;0,INDEX(DG$7:DG$106,$AC84),1),IF($AD84&gt;0,INDEX(DG$7:DG$106,$AD84),1),IF($AE84&gt;0,INDEX(DG$7:DG$106,$AE84),1),IF($AF84&gt;0,INDEX(DG$7:DG$106,$AF84),1),IF($AG84&gt;0,INDEX(DG$7:DG$106,$AG84),1),IF($AH84&gt;0,INDEX(DG$7:DG$106,$AH84),1),IF($AI84&gt;0,INDEX(DG$7:DG$106,$AI84),1),IF($AJ84&gt;0,INDEX(DG$7:DG$106,$AJ84),1))))</ns0:f>
        <ns0:v>1</ns0:v>
      </ns0:c>
      <ns0:c r="DI84" t="n">
        <ns0:f>IF($A84="",1,IF(DH84=1,1,--AND(IF($AC84&gt;0,INDEX(DH$7:DH$106,$AC84),1),IF($AD84&gt;0,INDEX(DH$7:DH$106,$AD84),1),IF($AE84&gt;0,INDEX(DH$7:DH$106,$AE84),1),IF($AF84&gt;0,INDEX(DH$7:DH$106,$AF84),1),IF($AG84&gt;0,INDEX(DH$7:DH$106,$AG84),1),IF($AH84&gt;0,INDEX(DH$7:DH$106,$AH84),1),IF($AI84&gt;0,INDEX(DH$7:DH$106,$AI84),1),IF($AJ84&gt;0,INDEX(DH$7:DH$106,$AJ84),1))))</ns0:f>
        <ns0:v>1</ns0:v>
      </ns0:c>
      <ns0:c r="DJ84" t="n">
        <ns0:f>IF($A84="",1,IF(DI84=1,1,--AND(IF($AC84&gt;0,INDEX(DI$7:DI$106,$AC84),1),IF($AD84&gt;0,INDEX(DI$7:DI$106,$AD84),1),IF($AE84&gt;0,INDEX(DI$7:DI$106,$AE84),1),IF($AF84&gt;0,INDEX(DI$7:DI$106,$AF84),1),IF($AG84&gt;0,INDEX(DI$7:DI$106,$AG84),1),IF($AH84&gt;0,INDEX(DI$7:DI$106,$AH84),1),IF($AI84&gt;0,INDEX(DI$7:DI$106,$AI84),1),IF($AJ84&gt;0,INDEX(DI$7:DI$106,$AJ84),1))))</ns0:f>
        <ns0:v>1</ns0:v>
      </ns0:c>
      <ns0:c r="DK84" t="n">
        <ns0:f>IF($A84="",1,IF(DJ84=1,1,--AND(IF($AC84&gt;0,INDEX(DJ$7:DJ$106,$AC84),1),IF($AD84&gt;0,INDEX(DJ$7:DJ$106,$AD84),1),IF($AE84&gt;0,INDEX(DJ$7:DJ$106,$AE84),1),IF($AF84&gt;0,INDEX(DJ$7:DJ$106,$AF84),1),IF($AG84&gt;0,INDEX(DJ$7:DJ$106,$AG84),1),IF($AH84&gt;0,INDEX(DJ$7:DJ$106,$AH84),1),IF($AI84&gt;0,INDEX(DJ$7:DJ$106,$AI84),1),IF($AJ84&gt;0,INDEX(DJ$7:DJ$106,$AJ84),1))))</ns0:f>
        <ns0:v>1</ns0:v>
      </ns0:c>
      <ns0:c r="DL84" t="n">
        <ns0:f>IF($A84="",1,IF(DK84=1,1,--AND(IF($AC84&gt;0,INDEX(DK$7:DK$106,$AC84),1),IF($AD84&gt;0,INDEX(DK$7:DK$106,$AD84),1),IF($AE84&gt;0,INDEX(DK$7:DK$106,$AE84),1),IF($AF84&gt;0,INDEX(DK$7:DK$106,$AF84),1),IF($AG84&gt;0,INDEX(DK$7:DK$106,$AG84),1),IF($AH84&gt;0,INDEX(DK$7:DK$106,$AH84),1),IF($AI84&gt;0,INDEX(DK$7:DK$106,$AI84),1),IF($AJ84&gt;0,INDEX(DK$7:DK$106,$AJ84),1))))</ns0:f>
        <ns0:v>1</ns0:v>
      </ns0:c>
      <ns0:c r="DM84" t="n">
        <ns0:f>IF($A84="",1,IF(DL84=1,1,--AND(IF($AC84&gt;0,INDEX(DL$7:DL$106,$AC84),1),IF($AD84&gt;0,INDEX(DL$7:DL$106,$AD84),1),IF($AE84&gt;0,INDEX(DL$7:DL$106,$AE84),1),IF($AF84&gt;0,INDEX(DL$7:DL$106,$AF84),1),IF($AG84&gt;0,INDEX(DL$7:DL$106,$AG84),1),IF($AH84&gt;0,INDEX(DL$7:DL$106,$AH84),1),IF($AI84&gt;0,INDEX(DL$7:DL$106,$AI84),1),IF($AJ84&gt;0,INDEX(DL$7:DL$106,$AJ84),1))))</ns0:f>
        <ns0:v>1</ns0:v>
      </ns0:c>
      <ns0:c r="DN84" t="n">
        <ns0:f>IF($A84="",1,IF(DM84=1,1,--AND(IF($AC84&gt;0,INDEX(DM$7:DM$106,$AC84),1),IF($AD84&gt;0,INDEX(DM$7:DM$106,$AD84),1),IF($AE84&gt;0,INDEX(DM$7:DM$106,$AE84),1),IF($AF84&gt;0,INDEX(DM$7:DM$106,$AF84),1),IF($AG84&gt;0,INDEX(DM$7:DM$106,$AG84),1),IF($AH84&gt;0,INDEX(DM$7:DM$106,$AH84),1),IF($AI84&gt;0,INDEX(DM$7:DM$106,$AI84),1),IF($AJ84&gt;0,INDEX(DM$7:DM$106,$AJ84),1))))</ns0:f>
        <ns0:v>1</ns0:v>
      </ns0:c>
      <ns0:c r="DO84" t="n">
        <ns0:f>IF($A84="",1,IF(DN84=1,1,--AND(IF($AC84&gt;0,INDEX(DN$7:DN$106,$AC84),1),IF($AD84&gt;0,INDEX(DN$7:DN$106,$AD84),1),IF($AE84&gt;0,INDEX(DN$7:DN$106,$AE84),1),IF($AF84&gt;0,INDEX(DN$7:DN$106,$AF84),1),IF($AG84&gt;0,INDEX(DN$7:DN$106,$AG84),1),IF($AH84&gt;0,INDEX(DN$7:DN$106,$AH84),1),IF($AI84&gt;0,INDEX(DN$7:DN$106,$AI84),1),IF($AJ84&gt;0,INDEX(DN$7:DN$106,$AJ84),1))))</ns0:f>
        <ns0:v>1</ns0:v>
      </ns0:c>
      <ns0:c r="DP84" t="n">
        <ns0:f>IF($A84="",1,IF(DO84=1,1,--AND(IF($AC84&gt;0,INDEX(DO$7:DO$106,$AC84),1),IF($AD84&gt;0,INDEX(DO$7:DO$106,$AD84),1),IF($AE84&gt;0,INDEX(DO$7:DO$106,$AE84),1),IF($AF84&gt;0,INDEX(DO$7:DO$106,$AF84),1),IF($AG84&gt;0,INDEX(DO$7:DO$106,$AG84),1),IF($AH84&gt;0,INDEX(DO$7:DO$106,$AH84),1),IF($AI84&gt;0,INDEX(DO$7:DO$106,$AI84),1),IF($AJ84&gt;0,INDEX(DO$7:DO$106,$AJ84),1))))</ns0:f>
        <ns0:v>1</ns0:v>
      </ns0:c>
      <ns0:c r="DQ84" t="n">
        <ns0:f>IF($A84="",1,IF(DP84=1,1,--AND(IF($AC84&gt;0,INDEX(DP$7:DP$106,$AC84),1),IF($AD84&gt;0,INDEX(DP$7:DP$106,$AD84),1),IF($AE84&gt;0,INDEX(DP$7:DP$106,$AE84),1),IF($AF84&gt;0,INDEX(DP$7:DP$106,$AF84),1),IF($AG84&gt;0,INDEX(DP$7:DP$106,$AG84),1),IF($AH84&gt;0,INDEX(DP$7:DP$106,$AH84),1),IF($AI84&gt;0,INDEX(DP$7:DP$106,$AI84),1),IF($AJ84&gt;0,INDEX(DP$7:DP$106,$AJ84),1))))</ns0:f>
        <ns0:v>1</ns0:v>
      </ns0:c>
      <ns0:c r="DR84" t="n">
        <ns0:f>IF($A84="",1,IF(DQ84=1,1,--AND(IF($AC84&gt;0,INDEX(DQ$7:DQ$106,$AC84),1),IF($AD84&gt;0,INDEX(DQ$7:DQ$106,$AD84),1),IF($AE84&gt;0,INDEX(DQ$7:DQ$106,$AE84),1),IF($AF84&gt;0,INDEX(DQ$7:DQ$106,$AF84),1),IF($AG84&gt;0,INDEX(DQ$7:DQ$106,$AG84),1),IF($AH84&gt;0,INDEX(DQ$7:DQ$106,$AH84),1),IF($AI84&gt;0,INDEX(DQ$7:DQ$106,$AI84),1),IF($AJ84&gt;0,INDEX(DQ$7:DQ$106,$AJ84),1))))</ns0:f>
        <ns0:v>1</ns0:v>
      </ns0:c>
      <ns0:c r="DS84" t="n">
        <ns0:f>IF($A84="",1,IF(DR84=1,1,--AND(IF($AC84&gt;0,INDEX(DR$7:DR$106,$AC84),1),IF($AD84&gt;0,INDEX(DR$7:DR$106,$AD84),1),IF($AE84&gt;0,INDEX(DR$7:DR$106,$AE84),1),IF($AF84&gt;0,INDEX(DR$7:DR$106,$AF84),1),IF($AG84&gt;0,INDEX(DR$7:DR$106,$AG84),1),IF($AH84&gt;0,INDEX(DR$7:DR$106,$AH84),1),IF($AI84&gt;0,INDEX(DR$7:DR$106,$AI84),1),IF($AJ84&gt;0,INDEX(DR$7:DR$106,$AJ84),1))))</ns0:f>
        <ns0:v>1</ns0:v>
      </ns0:c>
      <ns0:c r="DT84" t="n">
        <ns0:f>IF($A84="",1,IF(DS84=1,1,--AND(IF($AC84&gt;0,INDEX(DS$7:DS$106,$AC84),1),IF($AD84&gt;0,INDEX(DS$7:DS$106,$AD84),1),IF($AE84&gt;0,INDEX(DS$7:DS$106,$AE84),1),IF($AF84&gt;0,INDEX(DS$7:DS$106,$AF84),1),IF($AG84&gt;0,INDEX(DS$7:DS$106,$AG84),1),IF($AH84&gt;0,INDEX(DS$7:DS$106,$AH84),1),IF($AI84&gt;0,INDEX(DS$7:DS$106,$AI84),1),IF($AJ84&gt;0,INDEX(DS$7:DS$106,$AJ84),1))))</ns0:f>
        <ns0:v>1</ns0:v>
      </ns0:c>
      <ns0:c r="DU84" t="n">
        <ns0:f>IF($A84="",1,IF(DT84=1,1,--AND(IF($AC84&gt;0,INDEX(DT$7:DT$106,$AC84),1),IF($AD84&gt;0,INDEX(DT$7:DT$106,$AD84),1),IF($AE84&gt;0,INDEX(DT$7:DT$106,$AE84),1),IF($AF84&gt;0,INDEX(DT$7:DT$106,$AF84),1),IF($AG84&gt;0,INDEX(DT$7:DT$106,$AG84),1),IF($AH84&gt;0,INDEX(DT$7:DT$106,$AH84),1),IF($AI84&gt;0,INDEX(DT$7:DT$106,$AI84),1),IF($AJ84&gt;0,INDEX(DT$7:DT$106,$AJ84),1))))</ns0:f>
        <ns0:v>1</ns0:v>
      </ns0:c>
      <ns0:c r="DV84" t="n">
        <ns0:f>IF($A84="",1,IF(DU84=1,1,--AND(IF($AC84&gt;0,INDEX(DU$7:DU$106,$AC84),1),IF($AD84&gt;0,INDEX(DU$7:DU$106,$AD84),1),IF($AE84&gt;0,INDEX(DU$7:DU$106,$AE84),1),IF($AF84&gt;0,INDEX(DU$7:DU$106,$AF84),1),IF($AG84&gt;0,INDEX(DU$7:DU$106,$AG84),1),IF($AH84&gt;0,INDEX(DU$7:DU$106,$AH84),1),IF($AI84&gt;0,INDEX(DU$7:DU$106,$AI84),1),IF($AJ84&gt;0,INDEX(DU$7:DU$106,$AJ84),1))))</ns0:f>
        <ns0:v>1</ns0:v>
      </ns0:c>
      <ns0:c r="DW84" t="n">
        <ns0:f>IF($A84="",1,IF(DV84=1,1,--AND(IF($AC84&gt;0,INDEX(DV$7:DV$106,$AC84),1),IF($AD84&gt;0,INDEX(DV$7:DV$106,$AD84),1),IF($AE84&gt;0,INDEX(DV$7:DV$106,$AE84),1),IF($AF84&gt;0,INDEX(DV$7:DV$106,$AF84),1),IF($AG84&gt;0,INDEX(DV$7:DV$106,$AG84),1),IF($AH84&gt;0,INDEX(DV$7:DV$106,$AH84),1),IF($AI84&gt;0,INDEX(DV$7:DV$106,$AI84),1),IF($AJ84&gt;0,INDEX(DV$7:DV$106,$AJ84),1))))</ns0:f>
        <ns0:v>1</ns0:v>
      </ns0:c>
      <ns0:c r="DX84" t="n">
        <ns0:f>IF($A84="",1,IF(DW84=1,1,--AND(IF($AC84&gt;0,INDEX(DW$7:DW$106,$AC84),1),IF($AD84&gt;0,INDEX(DW$7:DW$106,$AD84),1),IF($AE84&gt;0,INDEX(DW$7:DW$106,$AE84),1),IF($AF84&gt;0,INDEX(DW$7:DW$106,$AF84),1),IF($AG84&gt;0,INDEX(DW$7:DW$106,$AG84),1),IF($AH84&gt;0,INDEX(DW$7:DW$106,$AH84),1),IF($AI84&gt;0,INDEX(DW$7:DW$106,$AI84),1),IF($AJ84&gt;0,INDEX(DW$7:DW$106,$AJ84),1))))</ns0:f>
        <ns0:v>1</ns0:v>
      </ns0:c>
      <ns0:c r="DY84" t="n">
        <ns0:f>IF($A84="",1,IF(DX84=1,1,--AND(IF($AC84&gt;0,INDEX(DX$7:DX$106,$AC84),1),IF($AD84&gt;0,INDEX(DX$7:DX$106,$AD84),1),IF($AE84&gt;0,INDEX(DX$7:DX$106,$AE84),1),IF($AF84&gt;0,INDEX(DX$7:DX$106,$AF84),1),IF($AG84&gt;0,INDEX(DX$7:DX$106,$AG84),1),IF($AH84&gt;0,INDEX(DX$7:DX$106,$AH84),1),IF($AI84&gt;0,INDEX(DX$7:DX$106,$AI84),1),IF($AJ84&gt;0,INDEX(DX$7:DX$106,$AJ84),1))))</ns0:f>
        <ns0:v>1</ns0:v>
      </ns0:c>
      <ns0:c r="DZ84" t="n">
        <ns0:f>IF($A84="",1,IF(DY84=1,1,--AND(IF($AC84&gt;0,INDEX(DY$7:DY$106,$AC84),1),IF($AD84&gt;0,INDEX(DY$7:DY$106,$AD84),1),IF($AE84&gt;0,INDEX(DY$7:DY$106,$AE84),1),IF($AF84&gt;0,INDEX(DY$7:DY$106,$AF84),1),IF($AG84&gt;0,INDEX(DY$7:DY$106,$AG84),1),IF($AH84&gt;0,INDEX(DY$7:DY$106,$AH84),1),IF($AI84&gt;0,INDEX(DY$7:DY$106,$AI84),1),IF($AJ84&gt;0,INDEX(DY$7:DY$106,$AJ84),1))))</ns0:f>
        <ns0:v>1</ns0:v>
      </ns0:c>
      <ns0:c r="EA84" t="n">
        <ns0:f>IF($A84="",1,IF(DZ84=1,1,--AND(IF($AC84&gt;0,INDEX(DZ$7:DZ$106,$AC84),1),IF($AD84&gt;0,INDEX(DZ$7:DZ$106,$AD84),1),IF($AE84&gt;0,INDEX(DZ$7:DZ$106,$AE84),1),IF($AF84&gt;0,INDEX(DZ$7:DZ$106,$AF84),1),IF($AG84&gt;0,INDEX(DZ$7:DZ$106,$AG84),1),IF($AH84&gt;0,INDEX(DZ$7:DZ$106,$AH84),1),IF($AI84&gt;0,INDEX(DZ$7:DZ$106,$AI84),1),IF($AJ84&gt;0,INDEX(DZ$7:DZ$106,$AJ84),1))))</ns0:f>
        <ns0:v>1</ns0:v>
      </ns0:c>
      <ns0:c r="EB84" t="n">
        <ns0:f>IF($A84="",1,IF(EA84=1,1,--AND(IF($AC84&gt;0,INDEX(EA$7:EA$106,$AC84),1),IF($AD84&gt;0,INDEX(EA$7:EA$106,$AD84),1),IF($AE84&gt;0,INDEX(EA$7:EA$106,$AE84),1),IF($AF84&gt;0,INDEX(EA$7:EA$106,$AF84),1),IF($AG84&gt;0,INDEX(EA$7:EA$106,$AG84),1),IF($AH84&gt;0,INDEX(EA$7:EA$106,$AH84),1),IF($AI84&gt;0,INDEX(EA$7:EA$106,$AI84),1),IF($AJ84&gt;0,INDEX(EA$7:EA$106,$AJ84),1))))</ns0:f>
        <ns0:v>1</ns0:v>
      </ns0:c>
      <ns0:c r="EC84" t="n">
        <ns0:f>IF($A84="",1,IF(EB84=1,1,--AND(IF($AC84&gt;0,INDEX(EB$7:EB$106,$AC84),1),IF($AD84&gt;0,INDEX(EB$7:EB$106,$AD84),1),IF($AE84&gt;0,INDEX(EB$7:EB$106,$AE84),1),IF($AF84&gt;0,INDEX(EB$7:EB$106,$AF84),1),IF($AG84&gt;0,INDEX(EB$7:EB$106,$AG84),1),IF($AH84&gt;0,INDEX(EB$7:EB$106,$AH84),1),IF($AI84&gt;0,INDEX(EB$7:EB$106,$AI84),1),IF($AJ84&gt;0,INDEX(EB$7:EB$106,$AJ84),1))))</ns0:f>
        <ns0:v>1</ns0:v>
      </ns0:c>
      <ns0:c r="ED84" t="n">
        <ns0:f>IF($A84="",1,IF(EC84=1,1,--AND(IF($AC84&gt;0,INDEX(EC$7:EC$106,$AC84),1),IF($AD84&gt;0,INDEX(EC$7:EC$106,$AD84),1),IF($AE84&gt;0,INDEX(EC$7:EC$106,$AE84),1),IF($AF84&gt;0,INDEX(EC$7:EC$106,$AF84),1),IF($AG84&gt;0,INDEX(EC$7:EC$106,$AG84),1),IF($AH84&gt;0,INDEX(EC$7:EC$106,$AH84),1),IF($AI84&gt;0,INDEX(EC$7:EC$106,$AI84),1),IF($AJ84&gt;0,INDEX(EC$7:EC$106,$AJ84),1))))</ns0:f>
        <ns0:v>1</ns0:v>
      </ns0:c>
      <ns0:c r="EE84" t="n">
        <ns0:f>IF($A84="",1,IF(ED84=1,1,--AND(IF($AC84&gt;0,INDEX(ED$7:ED$106,$AC84),1),IF($AD84&gt;0,INDEX(ED$7:ED$106,$AD84),1),IF($AE84&gt;0,INDEX(ED$7:ED$106,$AE84),1),IF($AF84&gt;0,INDEX(ED$7:ED$106,$AF84),1),IF($AG84&gt;0,INDEX(ED$7:ED$106,$AG84),1),IF($AH84&gt;0,INDEX(ED$7:ED$106,$AH84),1),IF($AI84&gt;0,INDEX(ED$7:ED$106,$AI84),1),IF($AJ84&gt;0,INDEX(ED$7:ED$106,$AJ84),1))))</ns0:f>
        <ns0:v>1</ns0:v>
      </ns0:c>
      <ns0:c r="EF84" t="n">
        <ns0:f>IF($A84="",1,IF(EE84=1,1,--AND(IF($AC84&gt;0,INDEX(EE$7:EE$106,$AC84),1),IF($AD84&gt;0,INDEX(EE$7:EE$106,$AD84),1),IF($AE84&gt;0,INDEX(EE$7:EE$106,$AE84),1),IF($AF84&gt;0,INDEX(EE$7:EE$106,$AF84),1),IF($AG84&gt;0,INDEX(EE$7:EE$106,$AG84),1),IF($AH84&gt;0,INDEX(EE$7:EE$106,$AH84),1),IF($AI84&gt;0,INDEX(EE$7:EE$106,$AI84),1),IF($AJ84&gt;0,INDEX(EE$7:EE$106,$AJ84),1))))</ns0:f>
        <ns0:v>1</ns0:v>
      </ns0:c>
      <ns0:c r="EG84" t="n">
        <ns0:f>IF($A84="",1,IF(EF84=1,1,--AND(IF($AC84&gt;0,INDEX(EF$7:EF$106,$AC84),1),IF($AD84&gt;0,INDEX(EF$7:EF$106,$AD84),1),IF($AE84&gt;0,INDEX(EF$7:EF$106,$AE84),1),IF($AF84&gt;0,INDEX(EF$7:EF$106,$AF84),1),IF($AG84&gt;0,INDEX(EF$7:EF$106,$AG84),1),IF($AH84&gt;0,INDEX(EF$7:EF$106,$AH84),1),IF($AI84&gt;0,INDEX(EF$7:EF$106,$AI84),1),IF($AJ84&gt;0,INDEX(EF$7:EF$106,$AJ84),1))))</ns0:f>
        <ns0:v>1</ns0:v>
      </ns0:c>
      <ns0:c r="EH84" t="n">
        <ns0:f>IF($A84="",1,IF(EG84=1,1,--AND(IF($AC84&gt;0,INDEX(EG$7:EG$106,$AC84),1),IF($AD84&gt;0,INDEX(EG$7:EG$106,$AD84),1),IF($AE84&gt;0,INDEX(EG$7:EG$106,$AE84),1),IF($AF84&gt;0,INDEX(EG$7:EG$106,$AF84),1),IF($AG84&gt;0,INDEX(EG$7:EG$106,$AG84),1),IF($AH84&gt;0,INDEX(EG$7:EG$106,$AH84),1),IF($AI84&gt;0,INDEX(EG$7:EG$106,$AI84),1),IF($AJ84&gt;0,INDEX(EG$7:EG$106,$AJ84),1))))</ns0:f>
        <ns0:v>1</ns0:v>
      </ns0:c>
      <ns0:c r="EI84" t="n">
        <ns0:f>IF($A84="",1,IF(EH84=1,1,--AND(IF($AC84&gt;0,INDEX(EH$7:EH$106,$AC84),1),IF($AD84&gt;0,INDEX(EH$7:EH$106,$AD84),1),IF($AE84&gt;0,INDEX(EH$7:EH$106,$AE84),1),IF($AF84&gt;0,INDEX(EH$7:EH$106,$AF84),1),IF($AG84&gt;0,INDEX(EH$7:EH$106,$AG84),1),IF($AH84&gt;0,INDEX(EH$7:EH$106,$AH84),1),IF($AI84&gt;0,INDEX(EH$7:EH$106,$AI84),1),IF($AJ84&gt;0,INDEX(EH$7:EH$106,$AJ84),1))))</ns0:f>
        <ns0:v>1</ns0:v>
      </ns0:c>
      <ns0:c r="EJ84" t="n">
        <ns0:f>IF($A84="",1,IF(EI84=1,1,--AND(IF($AC84&gt;0,INDEX(EI$7:EI$106,$AC84),1),IF($AD84&gt;0,INDEX(EI$7:EI$106,$AD84),1),IF($AE84&gt;0,INDEX(EI$7:EI$106,$AE84),1),IF($AF84&gt;0,INDEX(EI$7:EI$106,$AF84),1),IF($AG84&gt;0,INDEX(EI$7:EI$106,$AG84),1),IF($AH84&gt;0,INDEX(EI$7:EI$106,$AH84),1),IF($AI84&gt;0,INDEX(EI$7:EI$106,$AI84),1),IF($AJ84&gt;0,INDEX(EI$7:EI$106,$AJ84),1))))</ns0:f>
        <ns0:v>1</ns0:v>
      </ns0:c>
      <ns0:c r="EK84" t="n">
        <ns0:f>IF($A84="",1,IF(EJ84=1,1,--AND(IF($AC84&gt;0,INDEX(EJ$7:EJ$106,$AC84),1),IF($AD84&gt;0,INDEX(EJ$7:EJ$106,$AD84),1),IF($AE84&gt;0,INDEX(EJ$7:EJ$106,$AE84),1),IF($AF84&gt;0,INDEX(EJ$7:EJ$106,$AF84),1),IF($AG84&gt;0,INDEX(EJ$7:EJ$106,$AG84),1),IF($AH84&gt;0,INDEX(EJ$7:EJ$106,$AH84),1),IF($AI84&gt;0,INDEX(EJ$7:EJ$106,$AI84),1),IF($AJ84&gt;0,INDEX(EJ$7:EJ$106,$AJ84),1))))</ns0:f>
        <ns0:v>1</ns0:v>
      </ns0:c>
      <ns0:c r="EL84" t="n">
        <ns0:f>IF($A84="",1,IF(EK84=1,1,--AND(IF($AC84&gt;0,INDEX(EK$7:EK$106,$AC84),1),IF($AD84&gt;0,INDEX(EK$7:EK$106,$AD84),1),IF($AE84&gt;0,INDEX(EK$7:EK$106,$AE84),1),IF($AF84&gt;0,INDEX(EK$7:EK$106,$AF84),1),IF($AG84&gt;0,INDEX(EK$7:EK$106,$AG84),1),IF($AH84&gt;0,INDEX(EK$7:EK$106,$AH84),1),IF($AI84&gt;0,INDEX(EK$7:EK$106,$AI84),1),IF($AJ84&gt;0,INDEX(EK$7:EK$106,$AJ84),1))))</ns0:f>
        <ns0:v>1</ns0:v>
      </ns0:c>
      <ns0:c r="EM84" t="n">
        <ns0:f>IF($A84="",1,IF(EL84=1,1,--AND(IF($AC84&gt;0,INDEX(EL$7:EL$106,$AC84),1),IF($AD84&gt;0,INDEX(EL$7:EL$106,$AD84),1),IF($AE84&gt;0,INDEX(EL$7:EL$106,$AE84),1),IF($AF84&gt;0,INDEX(EL$7:EL$106,$AF84),1),IF($AG84&gt;0,INDEX(EL$7:EL$106,$AG84),1),IF($AH84&gt;0,INDEX(EL$7:EL$106,$AH84),1),IF($AI84&gt;0,INDEX(EL$7:EL$106,$AI84),1),IF($AJ84&gt;0,INDEX(EL$7:EL$106,$AJ84),1))))</ns0:f>
        <ns0:v>1</ns0:v>
      </ns0:c>
      <ns0:c r="EN84" t="n">
        <ns0:f>IF($A84="",1,IF(EM84=1,1,--AND(IF($AC84&gt;0,INDEX(EM$7:EM$106,$AC84),1),IF($AD84&gt;0,INDEX(EM$7:EM$106,$AD84),1),IF($AE84&gt;0,INDEX(EM$7:EM$106,$AE84),1),IF($AF84&gt;0,INDEX(EM$7:EM$106,$AF84),1),IF($AG84&gt;0,INDEX(EM$7:EM$106,$AG84),1),IF($AH84&gt;0,INDEX(EM$7:EM$106,$AH84),1),IF($AI84&gt;0,INDEX(EM$7:EM$106,$AI84),1),IF($AJ84&gt;0,INDEX(EM$7:EM$106,$AJ84),1))))</ns0:f>
        <ns0:v>1</ns0:v>
      </ns0:c>
      <ns0:c r="EO84" t="n">
        <ns0:f>IF($A84="",1,IF(EN84=1,1,--AND(IF($AC84&gt;0,INDEX(EN$7:EN$106,$AC84),1),IF($AD84&gt;0,INDEX(EN$7:EN$106,$AD84),1),IF($AE84&gt;0,INDEX(EN$7:EN$106,$AE84),1),IF($AF84&gt;0,INDEX(EN$7:EN$106,$AF84),1),IF($AG84&gt;0,INDEX(EN$7:EN$106,$AG84),1),IF($AH84&gt;0,INDEX(EN$7:EN$106,$AH84),1),IF($AI84&gt;0,INDEX(EN$7:EN$106,$AI84),1),IF($AJ84&gt;0,INDEX(EN$7:EN$106,$AJ84),1))))</ns0:f>
        <ns0:v>1</ns0:v>
      </ns0:c>
      <ns0:c r="EP84" t="n">
        <ns0:f>IF($A84="",1,IF(EO84=1,1,--AND(IF($AC84&gt;0,INDEX(EO$7:EO$106,$AC84),1),IF($AD84&gt;0,INDEX(EO$7:EO$106,$AD84),1),IF($AE84&gt;0,INDEX(EO$7:EO$106,$AE84),1),IF($AF84&gt;0,INDEX(EO$7:EO$106,$AF84),1),IF($AG84&gt;0,INDEX(EO$7:EO$106,$AG84),1),IF($AH84&gt;0,INDEX(EO$7:EO$106,$AH84),1),IF($AI84&gt;0,INDEX(EO$7:EO$106,$AI84),1),IF($AJ84&gt;0,INDEX(EO$7:EO$106,$AJ84),1))))</ns0:f>
        <ns0:v>1</ns0:v>
      </ns0:c>
      <ns0:c r="EQ84" t="n">
        <ns0:f>IF(OR(A84="",NOT(ISNUMBER(G84))),0,G84*N84)</ns0:f>
        <ns0:v>0</ns0:v>
      </ns0:c>
    </ns0:row>
    <ns0:row r="85" ht="62" customHeight="1">
      <ns0:c r="A85" s="48"/>
      <ns0:c r="B85" s="48"/>
      <ns0:c r="C85" s="48"/>
      <ns0:c r="D85" s="48"/>
      <ns0:c r="E85" s="49"/>
      <ns0:c r="F85" s="49"/>
      <ns0:c r="G85" s="13" t="str">
        <ns0:f>IF(A85="","",IF(OR(NOT(ISNUMBER(E85)),NOT(ISNUMBER(F85)),F85&lt;E85),"",IF(J85="Yes",0,F85-E85+1)))</ns0:f>
      </ns0:c>
      <ns0:c r="H85" s="48"/>
      <ns0:c r="I85" s="48"/>
      <ns0:c r="J85" s="48"/>
      <ns0:c r="K85" s="48"/>
      <ns0:c r="L85" s="48"/>
      <ns0:c r="M85" s="50" t="str">
        <ns0:f>IF(A85="","",IF(N85=1,"Completed",IF(N85&gt;0,"In Progress","Not Started")))</ns0:f>
      </ns0:c>
      <ns0:c r="N85" s="51"/>
      <ns0:c r="O85" s="13" t="str">
        <ns0:f>IF(A85="","",IF(R85&lt;&gt;"","[CONFLICT] "&amp;R85,IF(S85&lt;&gt;"","[CONFLICT] "&amp;S85,IF(OR(NOT(ISNUMBER(N85)),N85&lt;0,N85&gt;1),"[CONFLICT] Invalid progress",IF(AK85&gt;0,"[DEPENDENCY ISSUE] Missing ID / &gt;8 links",IF(AM85&gt;0,"[DEPENDENCY ISSUE] Cycle or blocked by cycle",IF(AND(H85&lt;&gt;"",ISNA(MATCH(I85,{"FS","SS","FF","SF"},0))),"[DEPENDENCY ISSUE] Invalid type",IF(AL85&gt;0,"[DEPENDENCY ISSUE] Timing conflict",IF(OR(E85&lt;ProjectStart,F85&gt;ProjectEnd),"[OUTSIDE WINDOW]",IF(AND(N85&lt;1,F85&lt;AsOfDate),"Overdue",IF(AND(M85&lt;&gt;Q85,M85&lt;&gt;""),"[CONFLICT] Status / progress","On track")))))))))))</ns0:f>
      </ns0:c>
      <ns0:c r="P85" s="52"/>
      <ns0:c r="Q85" t="str">
        <ns0:f>IF(A85="","",IF(OR(M85="On Hold",M85="Delayed"),M85,IF(N85=1,"Completed",IF(N85&gt;0,"In Progress","Not Started"))))</ns0:f>
      </ns0:c>
      <ns0:c r="R85" t="str">
        <ns0:f>IF(A85="","",IF(COUNTIFS(Tasks[Task ID],A85)&lt;&gt;1,"Duplicate ID",""))</ns0:f>
      </ns0:c>
      <ns0:c r="S85" t="str">
        <ns0:f>IF(A85="","",IF(OR(NOT(ISNUMBER(E85)),NOT(ISNUMBER(F85))),"Invalid / missing date",IF(OR(E85&lt;&gt;INT(E85),F85&lt;&gt;INT(F85),E85&lt;1,F85&gt;2958465),"Invalid date",IF(F85&lt;E85,"End before start",IF(AND(J85="Yes",E85&lt;&gt;F85),"Milestone needs one date","")))))</ns0:f>
      </ns0:c>
      <ns0:c r="T85" t="n">
        <ns0:f>IF(H85="",0,LEN(H85)-LEN(SUBSTITUTE(H85,",",""))+1)</ns0:f>
        <ns0:v>0</ns0:v>
      </ns0:c>
      <ns0:c r="U85" t="str">
        <ns0:f>TRIM(MID(SUBSTITUTE($H85,",",REPT(" ",100)),1,100))</ns0:f>
      </ns0:c>
      <ns0:c r="V85" t="str">
        <ns0:f>TRIM(MID(SUBSTITUTE($H85,",",REPT(" ",100)),101,100))</ns0:f>
      </ns0:c>
      <ns0:c r="W85" t="str">
        <ns0:f>TRIM(MID(SUBSTITUTE($H85,",",REPT(" ",100)),201,100))</ns0:f>
      </ns0:c>
      <ns0:c r="X85" t="str">
        <ns0:f>TRIM(MID(SUBSTITUTE($H85,",",REPT(" ",100)),301,100))</ns0:f>
      </ns0:c>
      <ns0:c r="Y85" t="str">
        <ns0:f>TRIM(MID(SUBSTITUTE($H85,",",REPT(" ",100)),401,100))</ns0:f>
      </ns0:c>
      <ns0:c r="Z85" t="str">
        <ns0:f>TRIM(MID(SUBSTITUTE($H85,",",REPT(" ",100)),501,100))</ns0:f>
      </ns0:c>
      <ns0:c r="AA85" t="str">
        <ns0:f>TRIM(MID(SUBSTITUTE($H85,",",REPT(" ",100)),601,100))</ns0:f>
      </ns0:c>
      <ns0:c r="AB85" t="str">
        <ns0:f>TRIM(MID(SUBSTITUTE($H85,",",REPT(" ",100)),701,100))</ns0:f>
      </ns0:c>
      <ns0:c r="AC85" t="n">
        <ns0:f>IF(U85="",0,IF(COUNTIFS(Tasks[Task ID],U85)=1,MATCH(U85,Tasks[Task ID],0),-1))</ns0:f>
        <ns0:v>0</ns0:v>
      </ns0:c>
      <ns0:c r="AD85" t="n">
        <ns0:f>IF(V85="",0,IF(COUNTIFS(Tasks[Task ID],V85)=1,MATCH(V85,Tasks[Task ID],0),-1))</ns0:f>
        <ns0:v>0</ns0:v>
      </ns0:c>
      <ns0:c r="AE85" t="n">
        <ns0:f>IF(W85="",0,IF(COUNTIFS(Tasks[Task ID],W85)=1,MATCH(W85,Tasks[Task ID],0),-1))</ns0:f>
        <ns0:v>0</ns0:v>
      </ns0:c>
      <ns0:c r="AF85" t="n">
        <ns0:f>IF(X85="",0,IF(COUNTIFS(Tasks[Task ID],X85)=1,MATCH(X85,Tasks[Task ID],0),-1))</ns0:f>
        <ns0:v>0</ns0:v>
      </ns0:c>
      <ns0:c r="AG85" t="n">
        <ns0:f>IF(Y85="",0,IF(COUNTIFS(Tasks[Task ID],Y85)=1,MATCH(Y85,Tasks[Task ID],0),-1))</ns0:f>
        <ns0:v>0</ns0:v>
      </ns0:c>
      <ns0:c r="AH85" t="n">
        <ns0:f>IF(Z85="",0,IF(COUNTIFS(Tasks[Task ID],Z85)=1,MATCH(Z85,Tasks[Task ID],0),-1))</ns0:f>
        <ns0:v>0</ns0:v>
      </ns0:c>
      <ns0:c r="AI85" t="n">
        <ns0:f>IF(AA85="",0,IF(COUNTIFS(Tasks[Task ID],AA85)=1,MATCH(AA85,Tasks[Task ID],0),-1))</ns0:f>
        <ns0:v>0</ns0:v>
      </ns0:c>
      <ns0:c r="AJ85" t="n">
        <ns0:f>IF(AB85="",0,IF(COUNTIFS(Tasks[Task ID],AB85)=1,MATCH(AB85,Tasks[Task ID],0),-1))</ns0:f>
        <ns0:v>0</ns0:v>
      </ns0:c>
      <ns0:c r="AK85" t="n">
        <ns0:f>COUNTIFS(AC85:AJ85,-1)+IF(T85&gt;8,1,0)</ns0:f>
        <ns0:v>0</ns0:v>
      </ns0:c>
      <ns0:c r="AL85" t="n">
        <ns0:f>IF(OR(A85="",S85&lt;&gt;""),0,SUM(IF(AC85&gt;0,IF($I85="FS",--($E85&lt;INDEX(Tasks[End Date],AC85)+IF(INDEX(Tasks[Milestone],AC85)="Yes",0,1)),IF($I85="SS",--($E85&lt;INDEX(Tasks[Start Date],AC85)),IF($I85="FF",--($F85&lt;INDEX(Tasks[End Date],AC85)),IF($I85="SF",--($F85&lt;INDEX(Tasks[Start Date],AC85)),0)))),0),IF(AD85&gt;0,IF($I85="FS",--($E85&lt;INDEX(Tasks[End Date],AD85)+IF(INDEX(Tasks[Milestone],AD85)="Yes",0,1)),IF($I85="SS",--($E85&lt;INDEX(Tasks[Start Date],AD85)),IF($I85="FF",--($F85&lt;INDEX(Tasks[End Date],AD85)),IF($I85="SF",--($F85&lt;INDEX(Tasks[Start Date],AD85)),0)))),0),IF(AE85&gt;0,IF($I85="FS",--($E85&lt;INDEX(Tasks[End Date],AE85)+IF(INDEX(Tasks[Milestone],AE85)="Yes",0,1)),IF($I85="SS",--($E85&lt;INDEX(Tasks[Start Date],AE85)),IF($I85="FF",--($F85&lt;INDEX(Tasks[End Date],AE85)),IF($I85="SF",--($F85&lt;INDEX(Tasks[Start Date],AE85)),0)))),0),IF(AF85&gt;0,IF($I85="FS",--($E85&lt;INDEX(Tasks[End Date],AF85)+IF(INDEX(Tasks[Milestone],AF85)="Yes",0,1)),IF($I85="SS",--($E85&lt;INDEX(Tasks[Start Date],AF85)),IF($I85="FF",--($F85&lt;INDEX(Tasks[End Date],AF85)),IF($I85="SF",--($F85&lt;INDEX(Tasks[Start Date],AF85)),0)))),0),IF(AG85&gt;0,IF($I85="FS",--($E85&lt;INDEX(Tasks[End Date],AG85)+IF(INDEX(Tasks[Milestone],AG85)="Yes",0,1)),IF($I85="SS",--($E85&lt;INDEX(Tasks[Start Date],AG85)),IF($I85="FF",--($F85&lt;INDEX(Tasks[End Date],AG85)),IF($I85="SF",--($F85&lt;INDEX(Tasks[Start Date],AG85)),0)))),0),IF(AH85&gt;0,IF($I85="FS",--($E85&lt;INDEX(Tasks[End Date],AH85)+IF(INDEX(Tasks[Milestone],AH85)="Yes",0,1)),IF($I85="SS",--($E85&lt;INDEX(Tasks[Start Date],AH85)),IF($I85="FF",--($F85&lt;INDEX(Tasks[End Date],AH85)),IF($I85="SF",--($F85&lt;INDEX(Tasks[Start Date],AH85)),0)))),0),IF(AI85&gt;0,IF($I85="FS",--($E85&lt;INDEX(Tasks[End Date],AI85)+IF(INDEX(Tasks[Milestone],AI85)="Yes",0,1)),IF($I85="SS",--($E85&lt;INDEX(Tasks[Start Date],AI85)),IF($I85="FF",--($F85&lt;INDEX(Tasks[End Date],AI85)),IF($I85="SF",--($F85&lt;INDEX(Tasks[Start Date],AI85)),0)))),0),IF(AJ85&gt;0,IF($I85="FS",--($E85&lt;INDEX(Tasks[End Date],AJ85)+IF(INDEX(Tasks[Milestone],AJ85)="Yes",0,1)),IF($I85="SS",--($E85&lt;INDEX(Tasks[Start Date],AJ85)),IF($I85="FF",--($F85&lt;INDEX(Tasks[End Date],AJ85)),IF($I85="SF",--($F85&lt;INDEX(Tasks[Start Date],AJ85)),0)))),0)))</ns0:f>
        <ns0:v>0</ns0:v>
      </ns0:c>
      <ns0:c r="AM85" t="n">
        <ns0:f>IF(AND(A85&lt;&gt;"",AK85=0,EP85=0),1,0)</ns0:f>
        <ns0:v>0</ns0:v>
      </ns0:c>
      <ns0:c r="AN85" t="str">
        <ns0:f>IF(OR(A85="",B85=""),"",IF(COUNTIFS($B$7:B85,B85)=1,MAX($AN$6:AN84)+1,""))</ns0:f>
      </ns0:c>
      <ns0:c r="AO85" t="n">
        <ns0:f>IF(AND(A85&lt;&gt;"",J85="No",N85&lt;1,E85&gt;=AsOfDate),E85+ROW()/10000,1E+9)</ns0:f>
        <ns0:v>1000000000</ns0:v>
      </ns0:c>
      <ns0:c r="AP85" t="n">
        <ns0:f>IF(AND(A85&lt;&gt;"",J85="Yes",N85&lt;1,E85&gt;=AsOfDate),E85+ROW()/10000,1E+9)</ns0:f>
        <ns0:v>1000000000</ns0:v>
      </ns0:c>
      <ns0:c r="AQ85" t="n">
        <ns0:f>IF(AND(A85&lt;&gt;"",J85="No",N85&lt;1,F85&gt;=AsOfDate,F85&lt;=AsOfDate+7),F85+ROW()/10000,1E+9)</ns0:f>
        <ns0:v>1000000000</ns0:v>
      </ns0:c>
      <ns0:c r="AR85" t="n">
        <ns0:f>IF(AND(A85&lt;&gt;"",OR(O85&lt;&gt;"On track",Q85="Delayed")),ROW(),1E+9)</ns0:f>
        <ns0:v>1000000000</ns0:v>
      </ns0:c>
      <ns0:c r="AS85" t="str">
        <ns0:f>IF(A85="","",";"&amp;K85&amp;";")</ns0:f>
      </ns0:c>
      <ns0:c r="AT85" t="n">
        <ns0:f>IF(A85="",1,--(T85=0))</ns0:f>
        <ns0:v>1</ns0:v>
      </ns0:c>
      <ns0:c r="AU85" t="n">
        <ns0:f>IF($A85="",1,IF(AT85=1,1,--AND(IF($AC85&gt;0,INDEX(AT$7:AT$106,$AC85),1),IF($AD85&gt;0,INDEX(AT$7:AT$106,$AD85),1),IF($AE85&gt;0,INDEX(AT$7:AT$106,$AE85),1),IF($AF85&gt;0,INDEX(AT$7:AT$106,$AF85),1),IF($AG85&gt;0,INDEX(AT$7:AT$106,$AG85),1),IF($AH85&gt;0,INDEX(AT$7:AT$106,$AH85),1),IF($AI85&gt;0,INDEX(AT$7:AT$106,$AI85),1),IF($AJ85&gt;0,INDEX(AT$7:AT$106,$AJ85),1))))</ns0:f>
        <ns0:v>1</ns0:v>
      </ns0:c>
      <ns0:c r="AV85" t="n">
        <ns0:f>IF($A85="",1,IF(AU85=1,1,--AND(IF($AC85&gt;0,INDEX(AU$7:AU$106,$AC85),1),IF($AD85&gt;0,INDEX(AU$7:AU$106,$AD85),1),IF($AE85&gt;0,INDEX(AU$7:AU$106,$AE85),1),IF($AF85&gt;0,INDEX(AU$7:AU$106,$AF85),1),IF($AG85&gt;0,INDEX(AU$7:AU$106,$AG85),1),IF($AH85&gt;0,INDEX(AU$7:AU$106,$AH85),1),IF($AI85&gt;0,INDEX(AU$7:AU$106,$AI85),1),IF($AJ85&gt;0,INDEX(AU$7:AU$106,$AJ85),1))))</ns0:f>
        <ns0:v>1</ns0:v>
      </ns0:c>
      <ns0:c r="AW85" t="n">
        <ns0:f>IF($A85="",1,IF(AV85=1,1,--AND(IF($AC85&gt;0,INDEX(AV$7:AV$106,$AC85),1),IF($AD85&gt;0,INDEX(AV$7:AV$106,$AD85),1),IF($AE85&gt;0,INDEX(AV$7:AV$106,$AE85),1),IF($AF85&gt;0,INDEX(AV$7:AV$106,$AF85),1),IF($AG85&gt;0,INDEX(AV$7:AV$106,$AG85),1),IF($AH85&gt;0,INDEX(AV$7:AV$106,$AH85),1),IF($AI85&gt;0,INDEX(AV$7:AV$106,$AI85),1),IF($AJ85&gt;0,INDEX(AV$7:AV$106,$AJ85),1))))</ns0:f>
        <ns0:v>1</ns0:v>
      </ns0:c>
      <ns0:c r="AX85" t="n">
        <ns0:f>IF($A85="",1,IF(AW85=1,1,--AND(IF($AC85&gt;0,INDEX(AW$7:AW$106,$AC85),1),IF($AD85&gt;0,INDEX(AW$7:AW$106,$AD85),1),IF($AE85&gt;0,INDEX(AW$7:AW$106,$AE85),1),IF($AF85&gt;0,INDEX(AW$7:AW$106,$AF85),1),IF($AG85&gt;0,INDEX(AW$7:AW$106,$AG85),1),IF($AH85&gt;0,INDEX(AW$7:AW$106,$AH85),1),IF($AI85&gt;0,INDEX(AW$7:AW$106,$AI85),1),IF($AJ85&gt;0,INDEX(AW$7:AW$106,$AJ85),1))))</ns0:f>
        <ns0:v>1</ns0:v>
      </ns0:c>
      <ns0:c r="AY85" t="n">
        <ns0:f>IF($A85="",1,IF(AX85=1,1,--AND(IF($AC85&gt;0,INDEX(AX$7:AX$106,$AC85),1),IF($AD85&gt;0,INDEX(AX$7:AX$106,$AD85),1),IF($AE85&gt;0,INDEX(AX$7:AX$106,$AE85),1),IF($AF85&gt;0,INDEX(AX$7:AX$106,$AF85),1),IF($AG85&gt;0,INDEX(AX$7:AX$106,$AG85),1),IF($AH85&gt;0,INDEX(AX$7:AX$106,$AH85),1),IF($AI85&gt;0,INDEX(AX$7:AX$106,$AI85),1),IF($AJ85&gt;0,INDEX(AX$7:AX$106,$AJ85),1))))</ns0:f>
        <ns0:v>1</ns0:v>
      </ns0:c>
      <ns0:c r="AZ85" t="n">
        <ns0:f>IF($A85="",1,IF(AY85=1,1,--AND(IF($AC85&gt;0,INDEX(AY$7:AY$106,$AC85),1),IF($AD85&gt;0,INDEX(AY$7:AY$106,$AD85),1),IF($AE85&gt;0,INDEX(AY$7:AY$106,$AE85),1),IF($AF85&gt;0,INDEX(AY$7:AY$106,$AF85),1),IF($AG85&gt;0,INDEX(AY$7:AY$106,$AG85),1),IF($AH85&gt;0,INDEX(AY$7:AY$106,$AH85),1),IF($AI85&gt;0,INDEX(AY$7:AY$106,$AI85),1),IF($AJ85&gt;0,INDEX(AY$7:AY$106,$AJ85),1))))</ns0:f>
        <ns0:v>1</ns0:v>
      </ns0:c>
      <ns0:c r="BA85" t="n">
        <ns0:f>IF($A85="",1,IF(AZ85=1,1,--AND(IF($AC85&gt;0,INDEX(AZ$7:AZ$106,$AC85),1),IF($AD85&gt;0,INDEX(AZ$7:AZ$106,$AD85),1),IF($AE85&gt;0,INDEX(AZ$7:AZ$106,$AE85),1),IF($AF85&gt;0,INDEX(AZ$7:AZ$106,$AF85),1),IF($AG85&gt;0,INDEX(AZ$7:AZ$106,$AG85),1),IF($AH85&gt;0,INDEX(AZ$7:AZ$106,$AH85),1),IF($AI85&gt;0,INDEX(AZ$7:AZ$106,$AI85),1),IF($AJ85&gt;0,INDEX(AZ$7:AZ$106,$AJ85),1))))</ns0:f>
        <ns0:v>1</ns0:v>
      </ns0:c>
      <ns0:c r="BB85" t="n">
        <ns0:f>IF($A85="",1,IF(BA85=1,1,--AND(IF($AC85&gt;0,INDEX(BA$7:BA$106,$AC85),1),IF($AD85&gt;0,INDEX(BA$7:BA$106,$AD85),1),IF($AE85&gt;0,INDEX(BA$7:BA$106,$AE85),1),IF($AF85&gt;0,INDEX(BA$7:BA$106,$AF85),1),IF($AG85&gt;0,INDEX(BA$7:BA$106,$AG85),1),IF($AH85&gt;0,INDEX(BA$7:BA$106,$AH85),1),IF($AI85&gt;0,INDEX(BA$7:BA$106,$AI85),1),IF($AJ85&gt;0,INDEX(BA$7:BA$106,$AJ85),1))))</ns0:f>
        <ns0:v>1</ns0:v>
      </ns0:c>
      <ns0:c r="BC85" t="n">
        <ns0:f>IF($A85="",1,IF(BB85=1,1,--AND(IF($AC85&gt;0,INDEX(BB$7:BB$106,$AC85),1),IF($AD85&gt;0,INDEX(BB$7:BB$106,$AD85),1),IF($AE85&gt;0,INDEX(BB$7:BB$106,$AE85),1),IF($AF85&gt;0,INDEX(BB$7:BB$106,$AF85),1),IF($AG85&gt;0,INDEX(BB$7:BB$106,$AG85),1),IF($AH85&gt;0,INDEX(BB$7:BB$106,$AH85),1),IF($AI85&gt;0,INDEX(BB$7:BB$106,$AI85),1),IF($AJ85&gt;0,INDEX(BB$7:BB$106,$AJ85),1))))</ns0:f>
        <ns0:v>1</ns0:v>
      </ns0:c>
      <ns0:c r="BD85" t="n">
        <ns0:f>IF($A85="",1,IF(BC85=1,1,--AND(IF($AC85&gt;0,INDEX(BC$7:BC$106,$AC85),1),IF($AD85&gt;0,INDEX(BC$7:BC$106,$AD85),1),IF($AE85&gt;0,INDEX(BC$7:BC$106,$AE85),1),IF($AF85&gt;0,INDEX(BC$7:BC$106,$AF85),1),IF($AG85&gt;0,INDEX(BC$7:BC$106,$AG85),1),IF($AH85&gt;0,INDEX(BC$7:BC$106,$AH85),1),IF($AI85&gt;0,INDEX(BC$7:BC$106,$AI85),1),IF($AJ85&gt;0,INDEX(BC$7:BC$106,$AJ85),1))))</ns0:f>
        <ns0:v>1</ns0:v>
      </ns0:c>
      <ns0:c r="BE85" t="n">
        <ns0:f>IF($A85="",1,IF(BD85=1,1,--AND(IF($AC85&gt;0,INDEX(BD$7:BD$106,$AC85),1),IF($AD85&gt;0,INDEX(BD$7:BD$106,$AD85),1),IF($AE85&gt;0,INDEX(BD$7:BD$106,$AE85),1),IF($AF85&gt;0,INDEX(BD$7:BD$106,$AF85),1),IF($AG85&gt;0,INDEX(BD$7:BD$106,$AG85),1),IF($AH85&gt;0,INDEX(BD$7:BD$106,$AH85),1),IF($AI85&gt;0,INDEX(BD$7:BD$106,$AI85),1),IF($AJ85&gt;0,INDEX(BD$7:BD$106,$AJ85),1))))</ns0:f>
        <ns0:v>1</ns0:v>
      </ns0:c>
      <ns0:c r="BF85" t="n">
        <ns0:f>IF($A85="",1,IF(BE85=1,1,--AND(IF($AC85&gt;0,INDEX(BE$7:BE$106,$AC85),1),IF($AD85&gt;0,INDEX(BE$7:BE$106,$AD85),1),IF($AE85&gt;0,INDEX(BE$7:BE$106,$AE85),1),IF($AF85&gt;0,INDEX(BE$7:BE$106,$AF85),1),IF($AG85&gt;0,INDEX(BE$7:BE$106,$AG85),1),IF($AH85&gt;0,INDEX(BE$7:BE$106,$AH85),1),IF($AI85&gt;0,INDEX(BE$7:BE$106,$AI85),1),IF($AJ85&gt;0,INDEX(BE$7:BE$106,$AJ85),1))))</ns0:f>
        <ns0:v>1</ns0:v>
      </ns0:c>
      <ns0:c r="BG85" t="n">
        <ns0:f>IF($A85="",1,IF(BF85=1,1,--AND(IF($AC85&gt;0,INDEX(BF$7:BF$106,$AC85),1),IF($AD85&gt;0,INDEX(BF$7:BF$106,$AD85),1),IF($AE85&gt;0,INDEX(BF$7:BF$106,$AE85),1),IF($AF85&gt;0,INDEX(BF$7:BF$106,$AF85),1),IF($AG85&gt;0,INDEX(BF$7:BF$106,$AG85),1),IF($AH85&gt;0,INDEX(BF$7:BF$106,$AH85),1),IF($AI85&gt;0,INDEX(BF$7:BF$106,$AI85),1),IF($AJ85&gt;0,INDEX(BF$7:BF$106,$AJ85),1))))</ns0:f>
        <ns0:v>1</ns0:v>
      </ns0:c>
      <ns0:c r="BH85" t="n">
        <ns0:f>IF($A85="",1,IF(BG85=1,1,--AND(IF($AC85&gt;0,INDEX(BG$7:BG$106,$AC85),1),IF($AD85&gt;0,INDEX(BG$7:BG$106,$AD85),1),IF($AE85&gt;0,INDEX(BG$7:BG$106,$AE85),1),IF($AF85&gt;0,INDEX(BG$7:BG$106,$AF85),1),IF($AG85&gt;0,INDEX(BG$7:BG$106,$AG85),1),IF($AH85&gt;0,INDEX(BG$7:BG$106,$AH85),1),IF($AI85&gt;0,INDEX(BG$7:BG$106,$AI85),1),IF($AJ85&gt;0,INDEX(BG$7:BG$106,$AJ85),1))))</ns0:f>
        <ns0:v>1</ns0:v>
      </ns0:c>
      <ns0:c r="BI85" t="n">
        <ns0:f>IF($A85="",1,IF(BH85=1,1,--AND(IF($AC85&gt;0,INDEX(BH$7:BH$106,$AC85),1),IF($AD85&gt;0,INDEX(BH$7:BH$106,$AD85),1),IF($AE85&gt;0,INDEX(BH$7:BH$106,$AE85),1),IF($AF85&gt;0,INDEX(BH$7:BH$106,$AF85),1),IF($AG85&gt;0,INDEX(BH$7:BH$106,$AG85),1),IF($AH85&gt;0,INDEX(BH$7:BH$106,$AH85),1),IF($AI85&gt;0,INDEX(BH$7:BH$106,$AI85),1),IF($AJ85&gt;0,INDEX(BH$7:BH$106,$AJ85),1))))</ns0:f>
        <ns0:v>1</ns0:v>
      </ns0:c>
      <ns0:c r="BJ85" t="n">
        <ns0:f>IF($A85="",1,IF(BI85=1,1,--AND(IF($AC85&gt;0,INDEX(BI$7:BI$106,$AC85),1),IF($AD85&gt;0,INDEX(BI$7:BI$106,$AD85),1),IF($AE85&gt;0,INDEX(BI$7:BI$106,$AE85),1),IF($AF85&gt;0,INDEX(BI$7:BI$106,$AF85),1),IF($AG85&gt;0,INDEX(BI$7:BI$106,$AG85),1),IF($AH85&gt;0,INDEX(BI$7:BI$106,$AH85),1),IF($AI85&gt;0,INDEX(BI$7:BI$106,$AI85),1),IF($AJ85&gt;0,INDEX(BI$7:BI$106,$AJ85),1))))</ns0:f>
        <ns0:v>1</ns0:v>
      </ns0:c>
      <ns0:c r="BK85" t="n">
        <ns0:f>IF($A85="",1,IF(BJ85=1,1,--AND(IF($AC85&gt;0,INDEX(BJ$7:BJ$106,$AC85),1),IF($AD85&gt;0,INDEX(BJ$7:BJ$106,$AD85),1),IF($AE85&gt;0,INDEX(BJ$7:BJ$106,$AE85),1),IF($AF85&gt;0,INDEX(BJ$7:BJ$106,$AF85),1),IF($AG85&gt;0,INDEX(BJ$7:BJ$106,$AG85),1),IF($AH85&gt;0,INDEX(BJ$7:BJ$106,$AH85),1),IF($AI85&gt;0,INDEX(BJ$7:BJ$106,$AI85),1),IF($AJ85&gt;0,INDEX(BJ$7:BJ$106,$AJ85),1))))</ns0:f>
        <ns0:v>1</ns0:v>
      </ns0:c>
      <ns0:c r="BL85" t="n">
        <ns0:f>IF($A85="",1,IF(BK85=1,1,--AND(IF($AC85&gt;0,INDEX(BK$7:BK$106,$AC85),1),IF($AD85&gt;0,INDEX(BK$7:BK$106,$AD85),1),IF($AE85&gt;0,INDEX(BK$7:BK$106,$AE85),1),IF($AF85&gt;0,INDEX(BK$7:BK$106,$AF85),1),IF($AG85&gt;0,INDEX(BK$7:BK$106,$AG85),1),IF($AH85&gt;0,INDEX(BK$7:BK$106,$AH85),1),IF($AI85&gt;0,INDEX(BK$7:BK$106,$AI85),1),IF($AJ85&gt;0,INDEX(BK$7:BK$106,$AJ85),1))))</ns0:f>
        <ns0:v>1</ns0:v>
      </ns0:c>
      <ns0:c r="BM85" t="n">
        <ns0:f>IF($A85="",1,IF(BL85=1,1,--AND(IF($AC85&gt;0,INDEX(BL$7:BL$106,$AC85),1),IF($AD85&gt;0,INDEX(BL$7:BL$106,$AD85),1),IF($AE85&gt;0,INDEX(BL$7:BL$106,$AE85),1),IF($AF85&gt;0,INDEX(BL$7:BL$106,$AF85),1),IF($AG85&gt;0,INDEX(BL$7:BL$106,$AG85),1),IF($AH85&gt;0,INDEX(BL$7:BL$106,$AH85),1),IF($AI85&gt;0,INDEX(BL$7:BL$106,$AI85),1),IF($AJ85&gt;0,INDEX(BL$7:BL$106,$AJ85),1))))</ns0:f>
        <ns0:v>1</ns0:v>
      </ns0:c>
      <ns0:c r="BN85" t="n">
        <ns0:f>IF($A85="",1,IF(BM85=1,1,--AND(IF($AC85&gt;0,INDEX(BM$7:BM$106,$AC85),1),IF($AD85&gt;0,INDEX(BM$7:BM$106,$AD85),1),IF($AE85&gt;0,INDEX(BM$7:BM$106,$AE85),1),IF($AF85&gt;0,INDEX(BM$7:BM$106,$AF85),1),IF($AG85&gt;0,INDEX(BM$7:BM$106,$AG85),1),IF($AH85&gt;0,INDEX(BM$7:BM$106,$AH85),1),IF($AI85&gt;0,INDEX(BM$7:BM$106,$AI85),1),IF($AJ85&gt;0,INDEX(BM$7:BM$106,$AJ85),1))))</ns0:f>
        <ns0:v>1</ns0:v>
      </ns0:c>
      <ns0:c r="BO85" t="n">
        <ns0:f>IF($A85="",1,IF(BN85=1,1,--AND(IF($AC85&gt;0,INDEX(BN$7:BN$106,$AC85),1),IF($AD85&gt;0,INDEX(BN$7:BN$106,$AD85),1),IF($AE85&gt;0,INDEX(BN$7:BN$106,$AE85),1),IF($AF85&gt;0,INDEX(BN$7:BN$106,$AF85),1),IF($AG85&gt;0,INDEX(BN$7:BN$106,$AG85),1),IF($AH85&gt;0,INDEX(BN$7:BN$106,$AH85),1),IF($AI85&gt;0,INDEX(BN$7:BN$106,$AI85),1),IF($AJ85&gt;0,INDEX(BN$7:BN$106,$AJ85),1))))</ns0:f>
        <ns0:v>1</ns0:v>
      </ns0:c>
      <ns0:c r="BP85" t="n">
        <ns0:f>IF($A85="",1,IF(BO85=1,1,--AND(IF($AC85&gt;0,INDEX(BO$7:BO$106,$AC85),1),IF($AD85&gt;0,INDEX(BO$7:BO$106,$AD85),1),IF($AE85&gt;0,INDEX(BO$7:BO$106,$AE85),1),IF($AF85&gt;0,INDEX(BO$7:BO$106,$AF85),1),IF($AG85&gt;0,INDEX(BO$7:BO$106,$AG85),1),IF($AH85&gt;0,INDEX(BO$7:BO$106,$AH85),1),IF($AI85&gt;0,INDEX(BO$7:BO$106,$AI85),1),IF($AJ85&gt;0,INDEX(BO$7:BO$106,$AJ85),1))))</ns0:f>
        <ns0:v>1</ns0:v>
      </ns0:c>
      <ns0:c r="BQ85" t="n">
        <ns0:f>IF($A85="",1,IF(BP85=1,1,--AND(IF($AC85&gt;0,INDEX(BP$7:BP$106,$AC85),1),IF($AD85&gt;0,INDEX(BP$7:BP$106,$AD85),1),IF($AE85&gt;0,INDEX(BP$7:BP$106,$AE85),1),IF($AF85&gt;0,INDEX(BP$7:BP$106,$AF85),1),IF($AG85&gt;0,INDEX(BP$7:BP$106,$AG85),1),IF($AH85&gt;0,INDEX(BP$7:BP$106,$AH85),1),IF($AI85&gt;0,INDEX(BP$7:BP$106,$AI85),1),IF($AJ85&gt;0,INDEX(BP$7:BP$106,$AJ85),1))))</ns0:f>
        <ns0:v>1</ns0:v>
      </ns0:c>
      <ns0:c r="BR85" t="n">
        <ns0:f>IF($A85="",1,IF(BQ85=1,1,--AND(IF($AC85&gt;0,INDEX(BQ$7:BQ$106,$AC85),1),IF($AD85&gt;0,INDEX(BQ$7:BQ$106,$AD85),1),IF($AE85&gt;0,INDEX(BQ$7:BQ$106,$AE85),1),IF($AF85&gt;0,INDEX(BQ$7:BQ$106,$AF85),1),IF($AG85&gt;0,INDEX(BQ$7:BQ$106,$AG85),1),IF($AH85&gt;0,INDEX(BQ$7:BQ$106,$AH85),1),IF($AI85&gt;0,INDEX(BQ$7:BQ$106,$AI85),1),IF($AJ85&gt;0,INDEX(BQ$7:BQ$106,$AJ85),1))))</ns0:f>
        <ns0:v>1</ns0:v>
      </ns0:c>
      <ns0:c r="BS85" t="n">
        <ns0:f>IF($A85="",1,IF(BR85=1,1,--AND(IF($AC85&gt;0,INDEX(BR$7:BR$106,$AC85),1),IF($AD85&gt;0,INDEX(BR$7:BR$106,$AD85),1),IF($AE85&gt;0,INDEX(BR$7:BR$106,$AE85),1),IF($AF85&gt;0,INDEX(BR$7:BR$106,$AF85),1),IF($AG85&gt;0,INDEX(BR$7:BR$106,$AG85),1),IF($AH85&gt;0,INDEX(BR$7:BR$106,$AH85),1),IF($AI85&gt;0,INDEX(BR$7:BR$106,$AI85),1),IF($AJ85&gt;0,INDEX(BR$7:BR$106,$AJ85),1))))</ns0:f>
        <ns0:v>1</ns0:v>
      </ns0:c>
      <ns0:c r="BT85" t="n">
        <ns0:f>IF($A85="",1,IF(BS85=1,1,--AND(IF($AC85&gt;0,INDEX(BS$7:BS$106,$AC85),1),IF($AD85&gt;0,INDEX(BS$7:BS$106,$AD85),1),IF($AE85&gt;0,INDEX(BS$7:BS$106,$AE85),1),IF($AF85&gt;0,INDEX(BS$7:BS$106,$AF85),1),IF($AG85&gt;0,INDEX(BS$7:BS$106,$AG85),1),IF($AH85&gt;0,INDEX(BS$7:BS$106,$AH85),1),IF($AI85&gt;0,INDEX(BS$7:BS$106,$AI85),1),IF($AJ85&gt;0,INDEX(BS$7:BS$106,$AJ85),1))))</ns0:f>
        <ns0:v>1</ns0:v>
      </ns0:c>
      <ns0:c r="BU85" t="n">
        <ns0:f>IF($A85="",1,IF(BT85=1,1,--AND(IF($AC85&gt;0,INDEX(BT$7:BT$106,$AC85),1),IF($AD85&gt;0,INDEX(BT$7:BT$106,$AD85),1),IF($AE85&gt;0,INDEX(BT$7:BT$106,$AE85),1),IF($AF85&gt;0,INDEX(BT$7:BT$106,$AF85),1),IF($AG85&gt;0,INDEX(BT$7:BT$106,$AG85),1),IF($AH85&gt;0,INDEX(BT$7:BT$106,$AH85),1),IF($AI85&gt;0,INDEX(BT$7:BT$106,$AI85),1),IF($AJ85&gt;0,INDEX(BT$7:BT$106,$AJ85),1))))</ns0:f>
        <ns0:v>1</ns0:v>
      </ns0:c>
      <ns0:c r="BV85" t="n">
        <ns0:f>IF($A85="",1,IF(BU85=1,1,--AND(IF($AC85&gt;0,INDEX(BU$7:BU$106,$AC85),1),IF($AD85&gt;0,INDEX(BU$7:BU$106,$AD85),1),IF($AE85&gt;0,INDEX(BU$7:BU$106,$AE85),1),IF($AF85&gt;0,INDEX(BU$7:BU$106,$AF85),1),IF($AG85&gt;0,INDEX(BU$7:BU$106,$AG85),1),IF($AH85&gt;0,INDEX(BU$7:BU$106,$AH85),1),IF($AI85&gt;0,INDEX(BU$7:BU$106,$AI85),1),IF($AJ85&gt;0,INDEX(BU$7:BU$106,$AJ85),1))))</ns0:f>
        <ns0:v>1</ns0:v>
      </ns0:c>
      <ns0:c r="BW85" t="n">
        <ns0:f>IF($A85="",1,IF(BV85=1,1,--AND(IF($AC85&gt;0,INDEX(BV$7:BV$106,$AC85),1),IF($AD85&gt;0,INDEX(BV$7:BV$106,$AD85),1),IF($AE85&gt;0,INDEX(BV$7:BV$106,$AE85),1),IF($AF85&gt;0,INDEX(BV$7:BV$106,$AF85),1),IF($AG85&gt;0,INDEX(BV$7:BV$106,$AG85),1),IF($AH85&gt;0,INDEX(BV$7:BV$106,$AH85),1),IF($AI85&gt;0,INDEX(BV$7:BV$106,$AI85),1),IF($AJ85&gt;0,INDEX(BV$7:BV$106,$AJ85),1))))</ns0:f>
        <ns0:v>1</ns0:v>
      </ns0:c>
      <ns0:c r="BX85" t="n">
        <ns0:f>IF($A85="",1,IF(BW85=1,1,--AND(IF($AC85&gt;0,INDEX(BW$7:BW$106,$AC85),1),IF($AD85&gt;0,INDEX(BW$7:BW$106,$AD85),1),IF($AE85&gt;0,INDEX(BW$7:BW$106,$AE85),1),IF($AF85&gt;0,INDEX(BW$7:BW$106,$AF85),1),IF($AG85&gt;0,INDEX(BW$7:BW$106,$AG85),1),IF($AH85&gt;0,INDEX(BW$7:BW$106,$AH85),1),IF($AI85&gt;0,INDEX(BW$7:BW$106,$AI85),1),IF($AJ85&gt;0,INDEX(BW$7:BW$106,$AJ85),1))))</ns0:f>
        <ns0:v>1</ns0:v>
      </ns0:c>
      <ns0:c r="BY85" t="n">
        <ns0:f>IF($A85="",1,IF(BX85=1,1,--AND(IF($AC85&gt;0,INDEX(BX$7:BX$106,$AC85),1),IF($AD85&gt;0,INDEX(BX$7:BX$106,$AD85),1),IF($AE85&gt;0,INDEX(BX$7:BX$106,$AE85),1),IF($AF85&gt;0,INDEX(BX$7:BX$106,$AF85),1),IF($AG85&gt;0,INDEX(BX$7:BX$106,$AG85),1),IF($AH85&gt;0,INDEX(BX$7:BX$106,$AH85),1),IF($AI85&gt;0,INDEX(BX$7:BX$106,$AI85),1),IF($AJ85&gt;0,INDEX(BX$7:BX$106,$AJ85),1))))</ns0:f>
        <ns0:v>1</ns0:v>
      </ns0:c>
      <ns0:c r="BZ85" t="n">
        <ns0:f>IF($A85="",1,IF(BY85=1,1,--AND(IF($AC85&gt;0,INDEX(BY$7:BY$106,$AC85),1),IF($AD85&gt;0,INDEX(BY$7:BY$106,$AD85),1),IF($AE85&gt;0,INDEX(BY$7:BY$106,$AE85),1),IF($AF85&gt;0,INDEX(BY$7:BY$106,$AF85),1),IF($AG85&gt;0,INDEX(BY$7:BY$106,$AG85),1),IF($AH85&gt;0,INDEX(BY$7:BY$106,$AH85),1),IF($AI85&gt;0,INDEX(BY$7:BY$106,$AI85),1),IF($AJ85&gt;0,INDEX(BY$7:BY$106,$AJ85),1))))</ns0:f>
        <ns0:v>1</ns0:v>
      </ns0:c>
      <ns0:c r="CA85" t="n">
        <ns0:f>IF($A85="",1,IF(BZ85=1,1,--AND(IF($AC85&gt;0,INDEX(BZ$7:BZ$106,$AC85),1),IF($AD85&gt;0,INDEX(BZ$7:BZ$106,$AD85),1),IF($AE85&gt;0,INDEX(BZ$7:BZ$106,$AE85),1),IF($AF85&gt;0,INDEX(BZ$7:BZ$106,$AF85),1),IF($AG85&gt;0,INDEX(BZ$7:BZ$106,$AG85),1),IF($AH85&gt;0,INDEX(BZ$7:BZ$106,$AH85),1),IF($AI85&gt;0,INDEX(BZ$7:BZ$106,$AI85),1),IF($AJ85&gt;0,INDEX(BZ$7:BZ$106,$AJ85),1))))</ns0:f>
        <ns0:v>1</ns0:v>
      </ns0:c>
      <ns0:c r="CB85" t="n">
        <ns0:f>IF($A85="",1,IF(CA85=1,1,--AND(IF($AC85&gt;0,INDEX(CA$7:CA$106,$AC85),1),IF($AD85&gt;0,INDEX(CA$7:CA$106,$AD85),1),IF($AE85&gt;0,INDEX(CA$7:CA$106,$AE85),1),IF($AF85&gt;0,INDEX(CA$7:CA$106,$AF85),1),IF($AG85&gt;0,INDEX(CA$7:CA$106,$AG85),1),IF($AH85&gt;0,INDEX(CA$7:CA$106,$AH85),1),IF($AI85&gt;0,INDEX(CA$7:CA$106,$AI85),1),IF($AJ85&gt;0,INDEX(CA$7:CA$106,$AJ85),1))))</ns0:f>
        <ns0:v>1</ns0:v>
      </ns0:c>
      <ns0:c r="CC85" t="n">
        <ns0:f>IF($A85="",1,IF(CB85=1,1,--AND(IF($AC85&gt;0,INDEX(CB$7:CB$106,$AC85),1),IF($AD85&gt;0,INDEX(CB$7:CB$106,$AD85),1),IF($AE85&gt;0,INDEX(CB$7:CB$106,$AE85),1),IF($AF85&gt;0,INDEX(CB$7:CB$106,$AF85),1),IF($AG85&gt;0,INDEX(CB$7:CB$106,$AG85),1),IF($AH85&gt;0,INDEX(CB$7:CB$106,$AH85),1),IF($AI85&gt;0,INDEX(CB$7:CB$106,$AI85),1),IF($AJ85&gt;0,INDEX(CB$7:CB$106,$AJ85),1))))</ns0:f>
        <ns0:v>1</ns0:v>
      </ns0:c>
      <ns0:c r="CD85" t="n">
        <ns0:f>IF($A85="",1,IF(CC85=1,1,--AND(IF($AC85&gt;0,INDEX(CC$7:CC$106,$AC85),1),IF($AD85&gt;0,INDEX(CC$7:CC$106,$AD85),1),IF($AE85&gt;0,INDEX(CC$7:CC$106,$AE85),1),IF($AF85&gt;0,INDEX(CC$7:CC$106,$AF85),1),IF($AG85&gt;0,INDEX(CC$7:CC$106,$AG85),1),IF($AH85&gt;0,INDEX(CC$7:CC$106,$AH85),1),IF($AI85&gt;0,INDEX(CC$7:CC$106,$AI85),1),IF($AJ85&gt;0,INDEX(CC$7:CC$106,$AJ85),1))))</ns0:f>
        <ns0:v>1</ns0:v>
      </ns0:c>
      <ns0:c r="CE85" t="n">
        <ns0:f>IF($A85="",1,IF(CD85=1,1,--AND(IF($AC85&gt;0,INDEX(CD$7:CD$106,$AC85),1),IF($AD85&gt;0,INDEX(CD$7:CD$106,$AD85),1),IF($AE85&gt;0,INDEX(CD$7:CD$106,$AE85),1),IF($AF85&gt;0,INDEX(CD$7:CD$106,$AF85),1),IF($AG85&gt;0,INDEX(CD$7:CD$106,$AG85),1),IF($AH85&gt;0,INDEX(CD$7:CD$106,$AH85),1),IF($AI85&gt;0,INDEX(CD$7:CD$106,$AI85),1),IF($AJ85&gt;0,INDEX(CD$7:CD$106,$AJ85),1))))</ns0:f>
        <ns0:v>1</ns0:v>
      </ns0:c>
      <ns0:c r="CF85" t="n">
        <ns0:f>IF($A85="",1,IF(CE85=1,1,--AND(IF($AC85&gt;0,INDEX(CE$7:CE$106,$AC85),1),IF($AD85&gt;0,INDEX(CE$7:CE$106,$AD85),1),IF($AE85&gt;0,INDEX(CE$7:CE$106,$AE85),1),IF($AF85&gt;0,INDEX(CE$7:CE$106,$AF85),1),IF($AG85&gt;0,INDEX(CE$7:CE$106,$AG85),1),IF($AH85&gt;0,INDEX(CE$7:CE$106,$AH85),1),IF($AI85&gt;0,INDEX(CE$7:CE$106,$AI85),1),IF($AJ85&gt;0,INDEX(CE$7:CE$106,$AJ85),1))))</ns0:f>
        <ns0:v>1</ns0:v>
      </ns0:c>
      <ns0:c r="CG85" t="n">
        <ns0:f>IF($A85="",1,IF(CF85=1,1,--AND(IF($AC85&gt;0,INDEX(CF$7:CF$106,$AC85),1),IF($AD85&gt;0,INDEX(CF$7:CF$106,$AD85),1),IF($AE85&gt;0,INDEX(CF$7:CF$106,$AE85),1),IF($AF85&gt;0,INDEX(CF$7:CF$106,$AF85),1),IF($AG85&gt;0,INDEX(CF$7:CF$106,$AG85),1),IF($AH85&gt;0,INDEX(CF$7:CF$106,$AH85),1),IF($AI85&gt;0,INDEX(CF$7:CF$106,$AI85),1),IF($AJ85&gt;0,INDEX(CF$7:CF$106,$AJ85),1))))</ns0:f>
        <ns0:v>1</ns0:v>
      </ns0:c>
      <ns0:c r="CH85" t="n">
        <ns0:f>IF($A85="",1,IF(CG85=1,1,--AND(IF($AC85&gt;0,INDEX(CG$7:CG$106,$AC85),1),IF($AD85&gt;0,INDEX(CG$7:CG$106,$AD85),1),IF($AE85&gt;0,INDEX(CG$7:CG$106,$AE85),1),IF($AF85&gt;0,INDEX(CG$7:CG$106,$AF85),1),IF($AG85&gt;0,INDEX(CG$7:CG$106,$AG85),1),IF($AH85&gt;0,INDEX(CG$7:CG$106,$AH85),1),IF($AI85&gt;0,INDEX(CG$7:CG$106,$AI85),1),IF($AJ85&gt;0,INDEX(CG$7:CG$106,$AJ85),1))))</ns0:f>
        <ns0:v>1</ns0:v>
      </ns0:c>
      <ns0:c r="CI85" t="n">
        <ns0:f>IF($A85="",1,IF(CH85=1,1,--AND(IF($AC85&gt;0,INDEX(CH$7:CH$106,$AC85),1),IF($AD85&gt;0,INDEX(CH$7:CH$106,$AD85),1),IF($AE85&gt;0,INDEX(CH$7:CH$106,$AE85),1),IF($AF85&gt;0,INDEX(CH$7:CH$106,$AF85),1),IF($AG85&gt;0,INDEX(CH$7:CH$106,$AG85),1),IF($AH85&gt;0,INDEX(CH$7:CH$106,$AH85),1),IF($AI85&gt;0,INDEX(CH$7:CH$106,$AI85),1),IF($AJ85&gt;0,INDEX(CH$7:CH$106,$AJ85),1))))</ns0:f>
        <ns0:v>1</ns0:v>
      </ns0:c>
      <ns0:c r="CJ85" t="n">
        <ns0:f>IF($A85="",1,IF(CI85=1,1,--AND(IF($AC85&gt;0,INDEX(CI$7:CI$106,$AC85),1),IF($AD85&gt;0,INDEX(CI$7:CI$106,$AD85),1),IF($AE85&gt;0,INDEX(CI$7:CI$106,$AE85),1),IF($AF85&gt;0,INDEX(CI$7:CI$106,$AF85),1),IF($AG85&gt;0,INDEX(CI$7:CI$106,$AG85),1),IF($AH85&gt;0,INDEX(CI$7:CI$106,$AH85),1),IF($AI85&gt;0,INDEX(CI$7:CI$106,$AI85),1),IF($AJ85&gt;0,INDEX(CI$7:CI$106,$AJ85),1))))</ns0:f>
        <ns0:v>1</ns0:v>
      </ns0:c>
      <ns0:c r="CK85" t="n">
        <ns0:f>IF($A85="",1,IF(CJ85=1,1,--AND(IF($AC85&gt;0,INDEX(CJ$7:CJ$106,$AC85),1),IF($AD85&gt;0,INDEX(CJ$7:CJ$106,$AD85),1),IF($AE85&gt;0,INDEX(CJ$7:CJ$106,$AE85),1),IF($AF85&gt;0,INDEX(CJ$7:CJ$106,$AF85),1),IF($AG85&gt;0,INDEX(CJ$7:CJ$106,$AG85),1),IF($AH85&gt;0,INDEX(CJ$7:CJ$106,$AH85),1),IF($AI85&gt;0,INDEX(CJ$7:CJ$106,$AI85),1),IF($AJ85&gt;0,INDEX(CJ$7:CJ$106,$AJ85),1))))</ns0:f>
        <ns0:v>1</ns0:v>
      </ns0:c>
      <ns0:c r="CL85" t="n">
        <ns0:f>IF($A85="",1,IF(CK85=1,1,--AND(IF($AC85&gt;0,INDEX(CK$7:CK$106,$AC85),1),IF($AD85&gt;0,INDEX(CK$7:CK$106,$AD85),1),IF($AE85&gt;0,INDEX(CK$7:CK$106,$AE85),1),IF($AF85&gt;0,INDEX(CK$7:CK$106,$AF85),1),IF($AG85&gt;0,INDEX(CK$7:CK$106,$AG85),1),IF($AH85&gt;0,INDEX(CK$7:CK$106,$AH85),1),IF($AI85&gt;0,INDEX(CK$7:CK$106,$AI85),1),IF($AJ85&gt;0,INDEX(CK$7:CK$106,$AJ85),1))))</ns0:f>
        <ns0:v>1</ns0:v>
      </ns0:c>
      <ns0:c r="CM85" t="n">
        <ns0:f>IF($A85="",1,IF(CL85=1,1,--AND(IF($AC85&gt;0,INDEX(CL$7:CL$106,$AC85),1),IF($AD85&gt;0,INDEX(CL$7:CL$106,$AD85),1),IF($AE85&gt;0,INDEX(CL$7:CL$106,$AE85),1),IF($AF85&gt;0,INDEX(CL$7:CL$106,$AF85),1),IF($AG85&gt;0,INDEX(CL$7:CL$106,$AG85),1),IF($AH85&gt;0,INDEX(CL$7:CL$106,$AH85),1),IF($AI85&gt;0,INDEX(CL$7:CL$106,$AI85),1),IF($AJ85&gt;0,INDEX(CL$7:CL$106,$AJ85),1))))</ns0:f>
        <ns0:v>1</ns0:v>
      </ns0:c>
      <ns0:c r="CN85" t="n">
        <ns0:f>IF($A85="",1,IF(CM85=1,1,--AND(IF($AC85&gt;0,INDEX(CM$7:CM$106,$AC85),1),IF($AD85&gt;0,INDEX(CM$7:CM$106,$AD85),1),IF($AE85&gt;0,INDEX(CM$7:CM$106,$AE85),1),IF($AF85&gt;0,INDEX(CM$7:CM$106,$AF85),1),IF($AG85&gt;0,INDEX(CM$7:CM$106,$AG85),1),IF($AH85&gt;0,INDEX(CM$7:CM$106,$AH85),1),IF($AI85&gt;0,INDEX(CM$7:CM$106,$AI85),1),IF($AJ85&gt;0,INDEX(CM$7:CM$106,$AJ85),1))))</ns0:f>
        <ns0:v>1</ns0:v>
      </ns0:c>
      <ns0:c r="CO85" t="n">
        <ns0:f>IF($A85="",1,IF(CN85=1,1,--AND(IF($AC85&gt;0,INDEX(CN$7:CN$106,$AC85),1),IF($AD85&gt;0,INDEX(CN$7:CN$106,$AD85),1),IF($AE85&gt;0,INDEX(CN$7:CN$106,$AE85),1),IF($AF85&gt;0,INDEX(CN$7:CN$106,$AF85),1),IF($AG85&gt;0,INDEX(CN$7:CN$106,$AG85),1),IF($AH85&gt;0,INDEX(CN$7:CN$106,$AH85),1),IF($AI85&gt;0,INDEX(CN$7:CN$106,$AI85),1),IF($AJ85&gt;0,INDEX(CN$7:CN$106,$AJ85),1))))</ns0:f>
        <ns0:v>1</ns0:v>
      </ns0:c>
      <ns0:c r="CP85" t="n">
        <ns0:f>IF($A85="",1,IF(CO85=1,1,--AND(IF($AC85&gt;0,INDEX(CO$7:CO$106,$AC85),1),IF($AD85&gt;0,INDEX(CO$7:CO$106,$AD85),1),IF($AE85&gt;0,INDEX(CO$7:CO$106,$AE85),1),IF($AF85&gt;0,INDEX(CO$7:CO$106,$AF85),1),IF($AG85&gt;0,INDEX(CO$7:CO$106,$AG85),1),IF($AH85&gt;0,INDEX(CO$7:CO$106,$AH85),1),IF($AI85&gt;0,INDEX(CO$7:CO$106,$AI85),1),IF($AJ85&gt;0,INDEX(CO$7:CO$106,$AJ85),1))))</ns0:f>
        <ns0:v>1</ns0:v>
      </ns0:c>
      <ns0:c r="CQ85" t="n">
        <ns0:f>IF($A85="",1,IF(CP85=1,1,--AND(IF($AC85&gt;0,INDEX(CP$7:CP$106,$AC85),1),IF($AD85&gt;0,INDEX(CP$7:CP$106,$AD85),1),IF($AE85&gt;0,INDEX(CP$7:CP$106,$AE85),1),IF($AF85&gt;0,INDEX(CP$7:CP$106,$AF85),1),IF($AG85&gt;0,INDEX(CP$7:CP$106,$AG85),1),IF($AH85&gt;0,INDEX(CP$7:CP$106,$AH85),1),IF($AI85&gt;0,INDEX(CP$7:CP$106,$AI85),1),IF($AJ85&gt;0,INDEX(CP$7:CP$106,$AJ85),1))))</ns0:f>
        <ns0:v>1</ns0:v>
      </ns0:c>
      <ns0:c r="CR85" t="n">
        <ns0:f>IF($A85="",1,IF(CQ85=1,1,--AND(IF($AC85&gt;0,INDEX(CQ$7:CQ$106,$AC85),1),IF($AD85&gt;0,INDEX(CQ$7:CQ$106,$AD85),1),IF($AE85&gt;0,INDEX(CQ$7:CQ$106,$AE85),1),IF($AF85&gt;0,INDEX(CQ$7:CQ$106,$AF85),1),IF($AG85&gt;0,INDEX(CQ$7:CQ$106,$AG85),1),IF($AH85&gt;0,INDEX(CQ$7:CQ$106,$AH85),1),IF($AI85&gt;0,INDEX(CQ$7:CQ$106,$AI85),1),IF($AJ85&gt;0,INDEX(CQ$7:CQ$106,$AJ85),1))))</ns0:f>
        <ns0:v>1</ns0:v>
      </ns0:c>
      <ns0:c r="CS85" t="n">
        <ns0:f>IF($A85="",1,IF(CR85=1,1,--AND(IF($AC85&gt;0,INDEX(CR$7:CR$106,$AC85),1),IF($AD85&gt;0,INDEX(CR$7:CR$106,$AD85),1),IF($AE85&gt;0,INDEX(CR$7:CR$106,$AE85),1),IF($AF85&gt;0,INDEX(CR$7:CR$106,$AF85),1),IF($AG85&gt;0,INDEX(CR$7:CR$106,$AG85),1),IF($AH85&gt;0,INDEX(CR$7:CR$106,$AH85),1),IF($AI85&gt;0,INDEX(CR$7:CR$106,$AI85),1),IF($AJ85&gt;0,INDEX(CR$7:CR$106,$AJ85),1))))</ns0:f>
        <ns0:v>1</ns0:v>
      </ns0:c>
      <ns0:c r="CT85" t="n">
        <ns0:f>IF($A85="",1,IF(CS85=1,1,--AND(IF($AC85&gt;0,INDEX(CS$7:CS$106,$AC85),1),IF($AD85&gt;0,INDEX(CS$7:CS$106,$AD85),1),IF($AE85&gt;0,INDEX(CS$7:CS$106,$AE85),1),IF($AF85&gt;0,INDEX(CS$7:CS$106,$AF85),1),IF($AG85&gt;0,INDEX(CS$7:CS$106,$AG85),1),IF($AH85&gt;0,INDEX(CS$7:CS$106,$AH85),1),IF($AI85&gt;0,INDEX(CS$7:CS$106,$AI85),1),IF($AJ85&gt;0,INDEX(CS$7:CS$106,$AJ85),1))))</ns0:f>
        <ns0:v>1</ns0:v>
      </ns0:c>
      <ns0:c r="CU85" t="n">
        <ns0:f>IF($A85="",1,IF(CT85=1,1,--AND(IF($AC85&gt;0,INDEX(CT$7:CT$106,$AC85),1),IF($AD85&gt;0,INDEX(CT$7:CT$106,$AD85),1),IF($AE85&gt;0,INDEX(CT$7:CT$106,$AE85),1),IF($AF85&gt;0,INDEX(CT$7:CT$106,$AF85),1),IF($AG85&gt;0,INDEX(CT$7:CT$106,$AG85),1),IF($AH85&gt;0,INDEX(CT$7:CT$106,$AH85),1),IF($AI85&gt;0,INDEX(CT$7:CT$106,$AI85),1),IF($AJ85&gt;0,INDEX(CT$7:CT$106,$AJ85),1))))</ns0:f>
        <ns0:v>1</ns0:v>
      </ns0:c>
      <ns0:c r="CV85" t="n">
        <ns0:f>IF($A85="",1,IF(CU85=1,1,--AND(IF($AC85&gt;0,INDEX(CU$7:CU$106,$AC85),1),IF($AD85&gt;0,INDEX(CU$7:CU$106,$AD85),1),IF($AE85&gt;0,INDEX(CU$7:CU$106,$AE85),1),IF($AF85&gt;0,INDEX(CU$7:CU$106,$AF85),1),IF($AG85&gt;0,INDEX(CU$7:CU$106,$AG85),1),IF($AH85&gt;0,INDEX(CU$7:CU$106,$AH85),1),IF($AI85&gt;0,INDEX(CU$7:CU$106,$AI85),1),IF($AJ85&gt;0,INDEX(CU$7:CU$106,$AJ85),1))))</ns0:f>
        <ns0:v>1</ns0:v>
      </ns0:c>
      <ns0:c r="CW85" t="n">
        <ns0:f>IF($A85="",1,IF(CV85=1,1,--AND(IF($AC85&gt;0,INDEX(CV$7:CV$106,$AC85),1),IF($AD85&gt;0,INDEX(CV$7:CV$106,$AD85),1),IF($AE85&gt;0,INDEX(CV$7:CV$106,$AE85),1),IF($AF85&gt;0,INDEX(CV$7:CV$106,$AF85),1),IF($AG85&gt;0,INDEX(CV$7:CV$106,$AG85),1),IF($AH85&gt;0,INDEX(CV$7:CV$106,$AH85),1),IF($AI85&gt;0,INDEX(CV$7:CV$106,$AI85),1),IF($AJ85&gt;0,INDEX(CV$7:CV$106,$AJ85),1))))</ns0:f>
        <ns0:v>1</ns0:v>
      </ns0:c>
      <ns0:c r="CX85" t="n">
        <ns0:f>IF($A85="",1,IF(CW85=1,1,--AND(IF($AC85&gt;0,INDEX(CW$7:CW$106,$AC85),1),IF($AD85&gt;0,INDEX(CW$7:CW$106,$AD85),1),IF($AE85&gt;0,INDEX(CW$7:CW$106,$AE85),1),IF($AF85&gt;0,INDEX(CW$7:CW$106,$AF85),1),IF($AG85&gt;0,INDEX(CW$7:CW$106,$AG85),1),IF($AH85&gt;0,INDEX(CW$7:CW$106,$AH85),1),IF($AI85&gt;0,INDEX(CW$7:CW$106,$AI85),1),IF($AJ85&gt;0,INDEX(CW$7:CW$106,$AJ85),1))))</ns0:f>
        <ns0:v>1</ns0:v>
      </ns0:c>
      <ns0:c r="CY85" t="n">
        <ns0:f>IF($A85="",1,IF(CX85=1,1,--AND(IF($AC85&gt;0,INDEX(CX$7:CX$106,$AC85),1),IF($AD85&gt;0,INDEX(CX$7:CX$106,$AD85),1),IF($AE85&gt;0,INDEX(CX$7:CX$106,$AE85),1),IF($AF85&gt;0,INDEX(CX$7:CX$106,$AF85),1),IF($AG85&gt;0,INDEX(CX$7:CX$106,$AG85),1),IF($AH85&gt;0,INDEX(CX$7:CX$106,$AH85),1),IF($AI85&gt;0,INDEX(CX$7:CX$106,$AI85),1),IF($AJ85&gt;0,INDEX(CX$7:CX$106,$AJ85),1))))</ns0:f>
        <ns0:v>1</ns0:v>
      </ns0:c>
      <ns0:c r="CZ85" t="n">
        <ns0:f>IF($A85="",1,IF(CY85=1,1,--AND(IF($AC85&gt;0,INDEX(CY$7:CY$106,$AC85),1),IF($AD85&gt;0,INDEX(CY$7:CY$106,$AD85),1),IF($AE85&gt;0,INDEX(CY$7:CY$106,$AE85),1),IF($AF85&gt;0,INDEX(CY$7:CY$106,$AF85),1),IF($AG85&gt;0,INDEX(CY$7:CY$106,$AG85),1),IF($AH85&gt;0,INDEX(CY$7:CY$106,$AH85),1),IF($AI85&gt;0,INDEX(CY$7:CY$106,$AI85),1),IF($AJ85&gt;0,INDEX(CY$7:CY$106,$AJ85),1))))</ns0:f>
        <ns0:v>1</ns0:v>
      </ns0:c>
      <ns0:c r="DA85" t="n">
        <ns0:f>IF($A85="",1,IF(CZ85=1,1,--AND(IF($AC85&gt;0,INDEX(CZ$7:CZ$106,$AC85),1),IF($AD85&gt;0,INDEX(CZ$7:CZ$106,$AD85),1),IF($AE85&gt;0,INDEX(CZ$7:CZ$106,$AE85),1),IF($AF85&gt;0,INDEX(CZ$7:CZ$106,$AF85),1),IF($AG85&gt;0,INDEX(CZ$7:CZ$106,$AG85),1),IF($AH85&gt;0,INDEX(CZ$7:CZ$106,$AH85),1),IF($AI85&gt;0,INDEX(CZ$7:CZ$106,$AI85),1),IF($AJ85&gt;0,INDEX(CZ$7:CZ$106,$AJ85),1))))</ns0:f>
        <ns0:v>1</ns0:v>
      </ns0:c>
      <ns0:c r="DB85" t="n">
        <ns0:f>IF($A85="",1,IF(DA85=1,1,--AND(IF($AC85&gt;0,INDEX(DA$7:DA$106,$AC85),1),IF($AD85&gt;0,INDEX(DA$7:DA$106,$AD85),1),IF($AE85&gt;0,INDEX(DA$7:DA$106,$AE85),1),IF($AF85&gt;0,INDEX(DA$7:DA$106,$AF85),1),IF($AG85&gt;0,INDEX(DA$7:DA$106,$AG85),1),IF($AH85&gt;0,INDEX(DA$7:DA$106,$AH85),1),IF($AI85&gt;0,INDEX(DA$7:DA$106,$AI85),1),IF($AJ85&gt;0,INDEX(DA$7:DA$106,$AJ85),1))))</ns0:f>
        <ns0:v>1</ns0:v>
      </ns0:c>
      <ns0:c r="DC85" t="n">
        <ns0:f>IF($A85="",1,IF(DB85=1,1,--AND(IF($AC85&gt;0,INDEX(DB$7:DB$106,$AC85),1),IF($AD85&gt;0,INDEX(DB$7:DB$106,$AD85),1),IF($AE85&gt;0,INDEX(DB$7:DB$106,$AE85),1),IF($AF85&gt;0,INDEX(DB$7:DB$106,$AF85),1),IF($AG85&gt;0,INDEX(DB$7:DB$106,$AG85),1),IF($AH85&gt;0,INDEX(DB$7:DB$106,$AH85),1),IF($AI85&gt;0,INDEX(DB$7:DB$106,$AI85),1),IF($AJ85&gt;0,INDEX(DB$7:DB$106,$AJ85),1))))</ns0:f>
        <ns0:v>1</ns0:v>
      </ns0:c>
      <ns0:c r="DD85" t="n">
        <ns0:f>IF($A85="",1,IF(DC85=1,1,--AND(IF($AC85&gt;0,INDEX(DC$7:DC$106,$AC85),1),IF($AD85&gt;0,INDEX(DC$7:DC$106,$AD85),1),IF($AE85&gt;0,INDEX(DC$7:DC$106,$AE85),1),IF($AF85&gt;0,INDEX(DC$7:DC$106,$AF85),1),IF($AG85&gt;0,INDEX(DC$7:DC$106,$AG85),1),IF($AH85&gt;0,INDEX(DC$7:DC$106,$AH85),1),IF($AI85&gt;0,INDEX(DC$7:DC$106,$AI85),1),IF($AJ85&gt;0,INDEX(DC$7:DC$106,$AJ85),1))))</ns0:f>
        <ns0:v>1</ns0:v>
      </ns0:c>
      <ns0:c r="DE85" t="n">
        <ns0:f>IF($A85="",1,IF(DD85=1,1,--AND(IF($AC85&gt;0,INDEX(DD$7:DD$106,$AC85),1),IF($AD85&gt;0,INDEX(DD$7:DD$106,$AD85),1),IF($AE85&gt;0,INDEX(DD$7:DD$106,$AE85),1),IF($AF85&gt;0,INDEX(DD$7:DD$106,$AF85),1),IF($AG85&gt;0,INDEX(DD$7:DD$106,$AG85),1),IF($AH85&gt;0,INDEX(DD$7:DD$106,$AH85),1),IF($AI85&gt;0,INDEX(DD$7:DD$106,$AI85),1),IF($AJ85&gt;0,INDEX(DD$7:DD$106,$AJ85),1))))</ns0:f>
        <ns0:v>1</ns0:v>
      </ns0:c>
      <ns0:c r="DF85" t="n">
        <ns0:f>IF($A85="",1,IF(DE85=1,1,--AND(IF($AC85&gt;0,INDEX(DE$7:DE$106,$AC85),1),IF($AD85&gt;0,INDEX(DE$7:DE$106,$AD85),1),IF($AE85&gt;0,INDEX(DE$7:DE$106,$AE85),1),IF($AF85&gt;0,INDEX(DE$7:DE$106,$AF85),1),IF($AG85&gt;0,INDEX(DE$7:DE$106,$AG85),1),IF($AH85&gt;0,INDEX(DE$7:DE$106,$AH85),1),IF($AI85&gt;0,INDEX(DE$7:DE$106,$AI85),1),IF($AJ85&gt;0,INDEX(DE$7:DE$106,$AJ85),1))))</ns0:f>
        <ns0:v>1</ns0:v>
      </ns0:c>
      <ns0:c r="DG85" t="n">
        <ns0:f>IF($A85="",1,IF(DF85=1,1,--AND(IF($AC85&gt;0,INDEX(DF$7:DF$106,$AC85),1),IF($AD85&gt;0,INDEX(DF$7:DF$106,$AD85),1),IF($AE85&gt;0,INDEX(DF$7:DF$106,$AE85),1),IF($AF85&gt;0,INDEX(DF$7:DF$106,$AF85),1),IF($AG85&gt;0,INDEX(DF$7:DF$106,$AG85),1),IF($AH85&gt;0,INDEX(DF$7:DF$106,$AH85),1),IF($AI85&gt;0,INDEX(DF$7:DF$106,$AI85),1),IF($AJ85&gt;0,INDEX(DF$7:DF$106,$AJ85),1))))</ns0:f>
        <ns0:v>1</ns0:v>
      </ns0:c>
      <ns0:c r="DH85" t="n">
        <ns0:f>IF($A85="",1,IF(DG85=1,1,--AND(IF($AC85&gt;0,INDEX(DG$7:DG$106,$AC85),1),IF($AD85&gt;0,INDEX(DG$7:DG$106,$AD85),1),IF($AE85&gt;0,INDEX(DG$7:DG$106,$AE85),1),IF($AF85&gt;0,INDEX(DG$7:DG$106,$AF85),1),IF($AG85&gt;0,INDEX(DG$7:DG$106,$AG85),1),IF($AH85&gt;0,INDEX(DG$7:DG$106,$AH85),1),IF($AI85&gt;0,INDEX(DG$7:DG$106,$AI85),1),IF($AJ85&gt;0,INDEX(DG$7:DG$106,$AJ85),1))))</ns0:f>
        <ns0:v>1</ns0:v>
      </ns0:c>
      <ns0:c r="DI85" t="n">
        <ns0:f>IF($A85="",1,IF(DH85=1,1,--AND(IF($AC85&gt;0,INDEX(DH$7:DH$106,$AC85),1),IF($AD85&gt;0,INDEX(DH$7:DH$106,$AD85),1),IF($AE85&gt;0,INDEX(DH$7:DH$106,$AE85),1),IF($AF85&gt;0,INDEX(DH$7:DH$106,$AF85),1),IF($AG85&gt;0,INDEX(DH$7:DH$106,$AG85),1),IF($AH85&gt;0,INDEX(DH$7:DH$106,$AH85),1),IF($AI85&gt;0,INDEX(DH$7:DH$106,$AI85),1),IF($AJ85&gt;0,INDEX(DH$7:DH$106,$AJ85),1))))</ns0:f>
        <ns0:v>1</ns0:v>
      </ns0:c>
      <ns0:c r="DJ85" t="n">
        <ns0:f>IF($A85="",1,IF(DI85=1,1,--AND(IF($AC85&gt;0,INDEX(DI$7:DI$106,$AC85),1),IF($AD85&gt;0,INDEX(DI$7:DI$106,$AD85),1),IF($AE85&gt;0,INDEX(DI$7:DI$106,$AE85),1),IF($AF85&gt;0,INDEX(DI$7:DI$106,$AF85),1),IF($AG85&gt;0,INDEX(DI$7:DI$106,$AG85),1),IF($AH85&gt;0,INDEX(DI$7:DI$106,$AH85),1),IF($AI85&gt;0,INDEX(DI$7:DI$106,$AI85),1),IF($AJ85&gt;0,INDEX(DI$7:DI$106,$AJ85),1))))</ns0:f>
        <ns0:v>1</ns0:v>
      </ns0:c>
      <ns0:c r="DK85" t="n">
        <ns0:f>IF($A85="",1,IF(DJ85=1,1,--AND(IF($AC85&gt;0,INDEX(DJ$7:DJ$106,$AC85),1),IF($AD85&gt;0,INDEX(DJ$7:DJ$106,$AD85),1),IF($AE85&gt;0,INDEX(DJ$7:DJ$106,$AE85),1),IF($AF85&gt;0,INDEX(DJ$7:DJ$106,$AF85),1),IF($AG85&gt;0,INDEX(DJ$7:DJ$106,$AG85),1),IF($AH85&gt;0,INDEX(DJ$7:DJ$106,$AH85),1),IF($AI85&gt;0,INDEX(DJ$7:DJ$106,$AI85),1),IF($AJ85&gt;0,INDEX(DJ$7:DJ$106,$AJ85),1))))</ns0:f>
        <ns0:v>1</ns0:v>
      </ns0:c>
      <ns0:c r="DL85" t="n">
        <ns0:f>IF($A85="",1,IF(DK85=1,1,--AND(IF($AC85&gt;0,INDEX(DK$7:DK$106,$AC85),1),IF($AD85&gt;0,INDEX(DK$7:DK$106,$AD85),1),IF($AE85&gt;0,INDEX(DK$7:DK$106,$AE85),1),IF($AF85&gt;0,INDEX(DK$7:DK$106,$AF85),1),IF($AG85&gt;0,INDEX(DK$7:DK$106,$AG85),1),IF($AH85&gt;0,INDEX(DK$7:DK$106,$AH85),1),IF($AI85&gt;0,INDEX(DK$7:DK$106,$AI85),1),IF($AJ85&gt;0,INDEX(DK$7:DK$106,$AJ85),1))))</ns0:f>
        <ns0:v>1</ns0:v>
      </ns0:c>
      <ns0:c r="DM85" t="n">
        <ns0:f>IF($A85="",1,IF(DL85=1,1,--AND(IF($AC85&gt;0,INDEX(DL$7:DL$106,$AC85),1),IF($AD85&gt;0,INDEX(DL$7:DL$106,$AD85),1),IF($AE85&gt;0,INDEX(DL$7:DL$106,$AE85),1),IF($AF85&gt;0,INDEX(DL$7:DL$106,$AF85),1),IF($AG85&gt;0,INDEX(DL$7:DL$106,$AG85),1),IF($AH85&gt;0,INDEX(DL$7:DL$106,$AH85),1),IF($AI85&gt;0,INDEX(DL$7:DL$106,$AI85),1),IF($AJ85&gt;0,INDEX(DL$7:DL$106,$AJ85),1))))</ns0:f>
        <ns0:v>1</ns0:v>
      </ns0:c>
      <ns0:c r="DN85" t="n">
        <ns0:f>IF($A85="",1,IF(DM85=1,1,--AND(IF($AC85&gt;0,INDEX(DM$7:DM$106,$AC85),1),IF($AD85&gt;0,INDEX(DM$7:DM$106,$AD85),1),IF($AE85&gt;0,INDEX(DM$7:DM$106,$AE85),1),IF($AF85&gt;0,INDEX(DM$7:DM$106,$AF85),1),IF($AG85&gt;0,INDEX(DM$7:DM$106,$AG85),1),IF($AH85&gt;0,INDEX(DM$7:DM$106,$AH85),1),IF($AI85&gt;0,INDEX(DM$7:DM$106,$AI85),1),IF($AJ85&gt;0,INDEX(DM$7:DM$106,$AJ85),1))))</ns0:f>
        <ns0:v>1</ns0:v>
      </ns0:c>
      <ns0:c r="DO85" t="n">
        <ns0:f>IF($A85="",1,IF(DN85=1,1,--AND(IF($AC85&gt;0,INDEX(DN$7:DN$106,$AC85),1),IF($AD85&gt;0,INDEX(DN$7:DN$106,$AD85),1),IF($AE85&gt;0,INDEX(DN$7:DN$106,$AE85),1),IF($AF85&gt;0,INDEX(DN$7:DN$106,$AF85),1),IF($AG85&gt;0,INDEX(DN$7:DN$106,$AG85),1),IF($AH85&gt;0,INDEX(DN$7:DN$106,$AH85),1),IF($AI85&gt;0,INDEX(DN$7:DN$106,$AI85),1),IF($AJ85&gt;0,INDEX(DN$7:DN$106,$AJ85),1))))</ns0:f>
        <ns0:v>1</ns0:v>
      </ns0:c>
      <ns0:c r="DP85" t="n">
        <ns0:f>IF($A85="",1,IF(DO85=1,1,--AND(IF($AC85&gt;0,INDEX(DO$7:DO$106,$AC85),1),IF($AD85&gt;0,INDEX(DO$7:DO$106,$AD85),1),IF($AE85&gt;0,INDEX(DO$7:DO$106,$AE85),1),IF($AF85&gt;0,INDEX(DO$7:DO$106,$AF85),1),IF($AG85&gt;0,INDEX(DO$7:DO$106,$AG85),1),IF($AH85&gt;0,INDEX(DO$7:DO$106,$AH85),1),IF($AI85&gt;0,INDEX(DO$7:DO$106,$AI85),1),IF($AJ85&gt;0,INDEX(DO$7:DO$106,$AJ85),1))))</ns0:f>
        <ns0:v>1</ns0:v>
      </ns0:c>
      <ns0:c r="DQ85" t="n">
        <ns0:f>IF($A85="",1,IF(DP85=1,1,--AND(IF($AC85&gt;0,INDEX(DP$7:DP$106,$AC85),1),IF($AD85&gt;0,INDEX(DP$7:DP$106,$AD85),1),IF($AE85&gt;0,INDEX(DP$7:DP$106,$AE85),1),IF($AF85&gt;0,INDEX(DP$7:DP$106,$AF85),1),IF($AG85&gt;0,INDEX(DP$7:DP$106,$AG85),1),IF($AH85&gt;0,INDEX(DP$7:DP$106,$AH85),1),IF($AI85&gt;0,INDEX(DP$7:DP$106,$AI85),1),IF($AJ85&gt;0,INDEX(DP$7:DP$106,$AJ85),1))))</ns0:f>
        <ns0:v>1</ns0:v>
      </ns0:c>
      <ns0:c r="DR85" t="n">
        <ns0:f>IF($A85="",1,IF(DQ85=1,1,--AND(IF($AC85&gt;0,INDEX(DQ$7:DQ$106,$AC85),1),IF($AD85&gt;0,INDEX(DQ$7:DQ$106,$AD85),1),IF($AE85&gt;0,INDEX(DQ$7:DQ$106,$AE85),1),IF($AF85&gt;0,INDEX(DQ$7:DQ$106,$AF85),1),IF($AG85&gt;0,INDEX(DQ$7:DQ$106,$AG85),1),IF($AH85&gt;0,INDEX(DQ$7:DQ$106,$AH85),1),IF($AI85&gt;0,INDEX(DQ$7:DQ$106,$AI85),1),IF($AJ85&gt;0,INDEX(DQ$7:DQ$106,$AJ85),1))))</ns0:f>
        <ns0:v>1</ns0:v>
      </ns0:c>
      <ns0:c r="DS85" t="n">
        <ns0:f>IF($A85="",1,IF(DR85=1,1,--AND(IF($AC85&gt;0,INDEX(DR$7:DR$106,$AC85),1),IF($AD85&gt;0,INDEX(DR$7:DR$106,$AD85),1),IF($AE85&gt;0,INDEX(DR$7:DR$106,$AE85),1),IF($AF85&gt;0,INDEX(DR$7:DR$106,$AF85),1),IF($AG85&gt;0,INDEX(DR$7:DR$106,$AG85),1),IF($AH85&gt;0,INDEX(DR$7:DR$106,$AH85),1),IF($AI85&gt;0,INDEX(DR$7:DR$106,$AI85),1),IF($AJ85&gt;0,INDEX(DR$7:DR$106,$AJ85),1))))</ns0:f>
        <ns0:v>1</ns0:v>
      </ns0:c>
      <ns0:c r="DT85" t="n">
        <ns0:f>IF($A85="",1,IF(DS85=1,1,--AND(IF($AC85&gt;0,INDEX(DS$7:DS$106,$AC85),1),IF($AD85&gt;0,INDEX(DS$7:DS$106,$AD85),1),IF($AE85&gt;0,INDEX(DS$7:DS$106,$AE85),1),IF($AF85&gt;0,INDEX(DS$7:DS$106,$AF85),1),IF($AG85&gt;0,INDEX(DS$7:DS$106,$AG85),1),IF($AH85&gt;0,INDEX(DS$7:DS$106,$AH85),1),IF($AI85&gt;0,INDEX(DS$7:DS$106,$AI85),1),IF($AJ85&gt;0,INDEX(DS$7:DS$106,$AJ85),1))))</ns0:f>
        <ns0:v>1</ns0:v>
      </ns0:c>
      <ns0:c r="DU85" t="n">
        <ns0:f>IF($A85="",1,IF(DT85=1,1,--AND(IF($AC85&gt;0,INDEX(DT$7:DT$106,$AC85),1),IF($AD85&gt;0,INDEX(DT$7:DT$106,$AD85),1),IF($AE85&gt;0,INDEX(DT$7:DT$106,$AE85),1),IF($AF85&gt;0,INDEX(DT$7:DT$106,$AF85),1),IF($AG85&gt;0,INDEX(DT$7:DT$106,$AG85),1),IF($AH85&gt;0,INDEX(DT$7:DT$106,$AH85),1),IF($AI85&gt;0,INDEX(DT$7:DT$106,$AI85),1),IF($AJ85&gt;0,INDEX(DT$7:DT$106,$AJ85),1))))</ns0:f>
        <ns0:v>1</ns0:v>
      </ns0:c>
      <ns0:c r="DV85" t="n">
        <ns0:f>IF($A85="",1,IF(DU85=1,1,--AND(IF($AC85&gt;0,INDEX(DU$7:DU$106,$AC85),1),IF($AD85&gt;0,INDEX(DU$7:DU$106,$AD85),1),IF($AE85&gt;0,INDEX(DU$7:DU$106,$AE85),1),IF($AF85&gt;0,INDEX(DU$7:DU$106,$AF85),1),IF($AG85&gt;0,INDEX(DU$7:DU$106,$AG85),1),IF($AH85&gt;0,INDEX(DU$7:DU$106,$AH85),1),IF($AI85&gt;0,INDEX(DU$7:DU$106,$AI85),1),IF($AJ85&gt;0,INDEX(DU$7:DU$106,$AJ85),1))))</ns0:f>
        <ns0:v>1</ns0:v>
      </ns0:c>
      <ns0:c r="DW85" t="n">
        <ns0:f>IF($A85="",1,IF(DV85=1,1,--AND(IF($AC85&gt;0,INDEX(DV$7:DV$106,$AC85),1),IF($AD85&gt;0,INDEX(DV$7:DV$106,$AD85),1),IF($AE85&gt;0,INDEX(DV$7:DV$106,$AE85),1),IF($AF85&gt;0,INDEX(DV$7:DV$106,$AF85),1),IF($AG85&gt;0,INDEX(DV$7:DV$106,$AG85),1),IF($AH85&gt;0,INDEX(DV$7:DV$106,$AH85),1),IF($AI85&gt;0,INDEX(DV$7:DV$106,$AI85),1),IF($AJ85&gt;0,INDEX(DV$7:DV$106,$AJ85),1))))</ns0:f>
        <ns0:v>1</ns0:v>
      </ns0:c>
      <ns0:c r="DX85" t="n">
        <ns0:f>IF($A85="",1,IF(DW85=1,1,--AND(IF($AC85&gt;0,INDEX(DW$7:DW$106,$AC85),1),IF($AD85&gt;0,INDEX(DW$7:DW$106,$AD85),1),IF($AE85&gt;0,INDEX(DW$7:DW$106,$AE85),1),IF($AF85&gt;0,INDEX(DW$7:DW$106,$AF85),1),IF($AG85&gt;0,INDEX(DW$7:DW$106,$AG85),1),IF($AH85&gt;0,INDEX(DW$7:DW$106,$AH85),1),IF($AI85&gt;0,INDEX(DW$7:DW$106,$AI85),1),IF($AJ85&gt;0,INDEX(DW$7:DW$106,$AJ85),1))))</ns0:f>
        <ns0:v>1</ns0:v>
      </ns0:c>
      <ns0:c r="DY85" t="n">
        <ns0:f>IF($A85="",1,IF(DX85=1,1,--AND(IF($AC85&gt;0,INDEX(DX$7:DX$106,$AC85),1),IF($AD85&gt;0,INDEX(DX$7:DX$106,$AD85),1),IF($AE85&gt;0,INDEX(DX$7:DX$106,$AE85),1),IF($AF85&gt;0,INDEX(DX$7:DX$106,$AF85),1),IF($AG85&gt;0,INDEX(DX$7:DX$106,$AG85),1),IF($AH85&gt;0,INDEX(DX$7:DX$106,$AH85),1),IF($AI85&gt;0,INDEX(DX$7:DX$106,$AI85),1),IF($AJ85&gt;0,INDEX(DX$7:DX$106,$AJ85),1))))</ns0:f>
        <ns0:v>1</ns0:v>
      </ns0:c>
      <ns0:c r="DZ85" t="n">
        <ns0:f>IF($A85="",1,IF(DY85=1,1,--AND(IF($AC85&gt;0,INDEX(DY$7:DY$106,$AC85),1),IF($AD85&gt;0,INDEX(DY$7:DY$106,$AD85),1),IF($AE85&gt;0,INDEX(DY$7:DY$106,$AE85),1),IF($AF85&gt;0,INDEX(DY$7:DY$106,$AF85),1),IF($AG85&gt;0,INDEX(DY$7:DY$106,$AG85),1),IF($AH85&gt;0,INDEX(DY$7:DY$106,$AH85),1),IF($AI85&gt;0,INDEX(DY$7:DY$106,$AI85),1),IF($AJ85&gt;0,INDEX(DY$7:DY$106,$AJ85),1))))</ns0:f>
        <ns0:v>1</ns0:v>
      </ns0:c>
      <ns0:c r="EA85" t="n">
        <ns0:f>IF($A85="",1,IF(DZ85=1,1,--AND(IF($AC85&gt;0,INDEX(DZ$7:DZ$106,$AC85),1),IF($AD85&gt;0,INDEX(DZ$7:DZ$106,$AD85),1),IF($AE85&gt;0,INDEX(DZ$7:DZ$106,$AE85),1),IF($AF85&gt;0,INDEX(DZ$7:DZ$106,$AF85),1),IF($AG85&gt;0,INDEX(DZ$7:DZ$106,$AG85),1),IF($AH85&gt;0,INDEX(DZ$7:DZ$106,$AH85),1),IF($AI85&gt;0,INDEX(DZ$7:DZ$106,$AI85),1),IF($AJ85&gt;0,INDEX(DZ$7:DZ$106,$AJ85),1))))</ns0:f>
        <ns0:v>1</ns0:v>
      </ns0:c>
      <ns0:c r="EB85" t="n">
        <ns0:f>IF($A85="",1,IF(EA85=1,1,--AND(IF($AC85&gt;0,INDEX(EA$7:EA$106,$AC85),1),IF($AD85&gt;0,INDEX(EA$7:EA$106,$AD85),1),IF($AE85&gt;0,INDEX(EA$7:EA$106,$AE85),1),IF($AF85&gt;0,INDEX(EA$7:EA$106,$AF85),1),IF($AG85&gt;0,INDEX(EA$7:EA$106,$AG85),1),IF($AH85&gt;0,INDEX(EA$7:EA$106,$AH85),1),IF($AI85&gt;0,INDEX(EA$7:EA$106,$AI85),1),IF($AJ85&gt;0,INDEX(EA$7:EA$106,$AJ85),1))))</ns0:f>
        <ns0:v>1</ns0:v>
      </ns0:c>
      <ns0:c r="EC85" t="n">
        <ns0:f>IF($A85="",1,IF(EB85=1,1,--AND(IF($AC85&gt;0,INDEX(EB$7:EB$106,$AC85),1),IF($AD85&gt;0,INDEX(EB$7:EB$106,$AD85),1),IF($AE85&gt;0,INDEX(EB$7:EB$106,$AE85),1),IF($AF85&gt;0,INDEX(EB$7:EB$106,$AF85),1),IF($AG85&gt;0,INDEX(EB$7:EB$106,$AG85),1),IF($AH85&gt;0,INDEX(EB$7:EB$106,$AH85),1),IF($AI85&gt;0,INDEX(EB$7:EB$106,$AI85),1),IF($AJ85&gt;0,INDEX(EB$7:EB$106,$AJ85),1))))</ns0:f>
        <ns0:v>1</ns0:v>
      </ns0:c>
      <ns0:c r="ED85" t="n">
        <ns0:f>IF($A85="",1,IF(EC85=1,1,--AND(IF($AC85&gt;0,INDEX(EC$7:EC$106,$AC85),1),IF($AD85&gt;0,INDEX(EC$7:EC$106,$AD85),1),IF($AE85&gt;0,INDEX(EC$7:EC$106,$AE85),1),IF($AF85&gt;0,INDEX(EC$7:EC$106,$AF85),1),IF($AG85&gt;0,INDEX(EC$7:EC$106,$AG85),1),IF($AH85&gt;0,INDEX(EC$7:EC$106,$AH85),1),IF($AI85&gt;0,INDEX(EC$7:EC$106,$AI85),1),IF($AJ85&gt;0,INDEX(EC$7:EC$106,$AJ85),1))))</ns0:f>
        <ns0:v>1</ns0:v>
      </ns0:c>
      <ns0:c r="EE85" t="n">
        <ns0:f>IF($A85="",1,IF(ED85=1,1,--AND(IF($AC85&gt;0,INDEX(ED$7:ED$106,$AC85),1),IF($AD85&gt;0,INDEX(ED$7:ED$106,$AD85),1),IF($AE85&gt;0,INDEX(ED$7:ED$106,$AE85),1),IF($AF85&gt;0,INDEX(ED$7:ED$106,$AF85),1),IF($AG85&gt;0,INDEX(ED$7:ED$106,$AG85),1),IF($AH85&gt;0,INDEX(ED$7:ED$106,$AH85),1),IF($AI85&gt;0,INDEX(ED$7:ED$106,$AI85),1),IF($AJ85&gt;0,INDEX(ED$7:ED$106,$AJ85),1))))</ns0:f>
        <ns0:v>1</ns0:v>
      </ns0:c>
      <ns0:c r="EF85" t="n">
        <ns0:f>IF($A85="",1,IF(EE85=1,1,--AND(IF($AC85&gt;0,INDEX(EE$7:EE$106,$AC85),1),IF($AD85&gt;0,INDEX(EE$7:EE$106,$AD85),1),IF($AE85&gt;0,INDEX(EE$7:EE$106,$AE85),1),IF($AF85&gt;0,INDEX(EE$7:EE$106,$AF85),1),IF($AG85&gt;0,INDEX(EE$7:EE$106,$AG85),1),IF($AH85&gt;0,INDEX(EE$7:EE$106,$AH85),1),IF($AI85&gt;0,INDEX(EE$7:EE$106,$AI85),1),IF($AJ85&gt;0,INDEX(EE$7:EE$106,$AJ85),1))))</ns0:f>
        <ns0:v>1</ns0:v>
      </ns0:c>
      <ns0:c r="EG85" t="n">
        <ns0:f>IF($A85="",1,IF(EF85=1,1,--AND(IF($AC85&gt;0,INDEX(EF$7:EF$106,$AC85),1),IF($AD85&gt;0,INDEX(EF$7:EF$106,$AD85),1),IF($AE85&gt;0,INDEX(EF$7:EF$106,$AE85),1),IF($AF85&gt;0,INDEX(EF$7:EF$106,$AF85),1),IF($AG85&gt;0,INDEX(EF$7:EF$106,$AG85),1),IF($AH85&gt;0,INDEX(EF$7:EF$106,$AH85),1),IF($AI85&gt;0,INDEX(EF$7:EF$106,$AI85),1),IF($AJ85&gt;0,INDEX(EF$7:EF$106,$AJ85),1))))</ns0:f>
        <ns0:v>1</ns0:v>
      </ns0:c>
      <ns0:c r="EH85" t="n">
        <ns0:f>IF($A85="",1,IF(EG85=1,1,--AND(IF($AC85&gt;0,INDEX(EG$7:EG$106,$AC85),1),IF($AD85&gt;0,INDEX(EG$7:EG$106,$AD85),1),IF($AE85&gt;0,INDEX(EG$7:EG$106,$AE85),1),IF($AF85&gt;0,INDEX(EG$7:EG$106,$AF85),1),IF($AG85&gt;0,INDEX(EG$7:EG$106,$AG85),1),IF($AH85&gt;0,INDEX(EG$7:EG$106,$AH85),1),IF($AI85&gt;0,INDEX(EG$7:EG$106,$AI85),1),IF($AJ85&gt;0,INDEX(EG$7:EG$106,$AJ85),1))))</ns0:f>
        <ns0:v>1</ns0:v>
      </ns0:c>
      <ns0:c r="EI85" t="n">
        <ns0:f>IF($A85="",1,IF(EH85=1,1,--AND(IF($AC85&gt;0,INDEX(EH$7:EH$106,$AC85),1),IF($AD85&gt;0,INDEX(EH$7:EH$106,$AD85),1),IF($AE85&gt;0,INDEX(EH$7:EH$106,$AE85),1),IF($AF85&gt;0,INDEX(EH$7:EH$106,$AF85),1),IF($AG85&gt;0,INDEX(EH$7:EH$106,$AG85),1),IF($AH85&gt;0,INDEX(EH$7:EH$106,$AH85),1),IF($AI85&gt;0,INDEX(EH$7:EH$106,$AI85),1),IF($AJ85&gt;0,INDEX(EH$7:EH$106,$AJ85),1))))</ns0:f>
        <ns0:v>1</ns0:v>
      </ns0:c>
      <ns0:c r="EJ85" t="n">
        <ns0:f>IF($A85="",1,IF(EI85=1,1,--AND(IF($AC85&gt;0,INDEX(EI$7:EI$106,$AC85),1),IF($AD85&gt;0,INDEX(EI$7:EI$106,$AD85),1),IF($AE85&gt;0,INDEX(EI$7:EI$106,$AE85),1),IF($AF85&gt;0,INDEX(EI$7:EI$106,$AF85),1),IF($AG85&gt;0,INDEX(EI$7:EI$106,$AG85),1),IF($AH85&gt;0,INDEX(EI$7:EI$106,$AH85),1),IF($AI85&gt;0,INDEX(EI$7:EI$106,$AI85),1),IF($AJ85&gt;0,INDEX(EI$7:EI$106,$AJ85),1))))</ns0:f>
        <ns0:v>1</ns0:v>
      </ns0:c>
      <ns0:c r="EK85" t="n">
        <ns0:f>IF($A85="",1,IF(EJ85=1,1,--AND(IF($AC85&gt;0,INDEX(EJ$7:EJ$106,$AC85),1),IF($AD85&gt;0,INDEX(EJ$7:EJ$106,$AD85),1),IF($AE85&gt;0,INDEX(EJ$7:EJ$106,$AE85),1),IF($AF85&gt;0,INDEX(EJ$7:EJ$106,$AF85),1),IF($AG85&gt;0,INDEX(EJ$7:EJ$106,$AG85),1),IF($AH85&gt;0,INDEX(EJ$7:EJ$106,$AH85),1),IF($AI85&gt;0,INDEX(EJ$7:EJ$106,$AI85),1),IF($AJ85&gt;0,INDEX(EJ$7:EJ$106,$AJ85),1))))</ns0:f>
        <ns0:v>1</ns0:v>
      </ns0:c>
      <ns0:c r="EL85" t="n">
        <ns0:f>IF($A85="",1,IF(EK85=1,1,--AND(IF($AC85&gt;0,INDEX(EK$7:EK$106,$AC85),1),IF($AD85&gt;0,INDEX(EK$7:EK$106,$AD85),1),IF($AE85&gt;0,INDEX(EK$7:EK$106,$AE85),1),IF($AF85&gt;0,INDEX(EK$7:EK$106,$AF85),1),IF($AG85&gt;0,INDEX(EK$7:EK$106,$AG85),1),IF($AH85&gt;0,INDEX(EK$7:EK$106,$AH85),1),IF($AI85&gt;0,INDEX(EK$7:EK$106,$AI85),1),IF($AJ85&gt;0,INDEX(EK$7:EK$106,$AJ85),1))))</ns0:f>
        <ns0:v>1</ns0:v>
      </ns0:c>
      <ns0:c r="EM85" t="n">
        <ns0:f>IF($A85="",1,IF(EL85=1,1,--AND(IF($AC85&gt;0,INDEX(EL$7:EL$106,$AC85),1),IF($AD85&gt;0,INDEX(EL$7:EL$106,$AD85),1),IF($AE85&gt;0,INDEX(EL$7:EL$106,$AE85),1),IF($AF85&gt;0,INDEX(EL$7:EL$106,$AF85),1),IF($AG85&gt;0,INDEX(EL$7:EL$106,$AG85),1),IF($AH85&gt;0,INDEX(EL$7:EL$106,$AH85),1),IF($AI85&gt;0,INDEX(EL$7:EL$106,$AI85),1),IF($AJ85&gt;0,INDEX(EL$7:EL$106,$AJ85),1))))</ns0:f>
        <ns0:v>1</ns0:v>
      </ns0:c>
      <ns0:c r="EN85" t="n">
        <ns0:f>IF($A85="",1,IF(EM85=1,1,--AND(IF($AC85&gt;0,INDEX(EM$7:EM$106,$AC85),1),IF($AD85&gt;0,INDEX(EM$7:EM$106,$AD85),1),IF($AE85&gt;0,INDEX(EM$7:EM$106,$AE85),1),IF($AF85&gt;0,INDEX(EM$7:EM$106,$AF85),1),IF($AG85&gt;0,INDEX(EM$7:EM$106,$AG85),1),IF($AH85&gt;0,INDEX(EM$7:EM$106,$AH85),1),IF($AI85&gt;0,INDEX(EM$7:EM$106,$AI85),1),IF($AJ85&gt;0,INDEX(EM$7:EM$106,$AJ85),1))))</ns0:f>
        <ns0:v>1</ns0:v>
      </ns0:c>
      <ns0:c r="EO85" t="n">
        <ns0:f>IF($A85="",1,IF(EN85=1,1,--AND(IF($AC85&gt;0,INDEX(EN$7:EN$106,$AC85),1),IF($AD85&gt;0,INDEX(EN$7:EN$106,$AD85),1),IF($AE85&gt;0,INDEX(EN$7:EN$106,$AE85),1),IF($AF85&gt;0,INDEX(EN$7:EN$106,$AF85),1),IF($AG85&gt;0,INDEX(EN$7:EN$106,$AG85),1),IF($AH85&gt;0,INDEX(EN$7:EN$106,$AH85),1),IF($AI85&gt;0,INDEX(EN$7:EN$106,$AI85),1),IF($AJ85&gt;0,INDEX(EN$7:EN$106,$AJ85),1))))</ns0:f>
        <ns0:v>1</ns0:v>
      </ns0:c>
      <ns0:c r="EP85" t="n">
        <ns0:f>IF($A85="",1,IF(EO85=1,1,--AND(IF($AC85&gt;0,INDEX(EO$7:EO$106,$AC85),1),IF($AD85&gt;0,INDEX(EO$7:EO$106,$AD85),1),IF($AE85&gt;0,INDEX(EO$7:EO$106,$AE85),1),IF($AF85&gt;0,INDEX(EO$7:EO$106,$AF85),1),IF($AG85&gt;0,INDEX(EO$7:EO$106,$AG85),1),IF($AH85&gt;0,INDEX(EO$7:EO$106,$AH85),1),IF($AI85&gt;0,INDEX(EO$7:EO$106,$AI85),1),IF($AJ85&gt;0,INDEX(EO$7:EO$106,$AJ85),1))))</ns0:f>
        <ns0:v>1</ns0:v>
      </ns0:c>
      <ns0:c r="EQ85" t="n">
        <ns0:f>IF(OR(A85="",NOT(ISNUMBER(G85))),0,G85*N85)</ns0:f>
        <ns0:v>0</ns0:v>
      </ns0:c>
    </ns0:row>
    <ns0:row r="86" ht="62" customHeight="1">
      <ns0:c r="A86" s="48"/>
      <ns0:c r="B86" s="48"/>
      <ns0:c r="C86" s="48"/>
      <ns0:c r="D86" s="48"/>
      <ns0:c r="E86" s="49"/>
      <ns0:c r="F86" s="49"/>
      <ns0:c r="G86" s="13" t="str">
        <ns0:f>IF(A86="","",IF(OR(NOT(ISNUMBER(E86)),NOT(ISNUMBER(F86)),F86&lt;E86),"",IF(J86="Yes",0,F86-E86+1)))</ns0:f>
      </ns0:c>
      <ns0:c r="H86" s="48"/>
      <ns0:c r="I86" s="48"/>
      <ns0:c r="J86" s="48"/>
      <ns0:c r="K86" s="48"/>
      <ns0:c r="L86" s="48"/>
      <ns0:c r="M86" s="50" t="str">
        <ns0:f>IF(A86="","",IF(N86=1,"Completed",IF(N86&gt;0,"In Progress","Not Started")))</ns0:f>
      </ns0:c>
      <ns0:c r="N86" s="51"/>
      <ns0:c r="O86" s="13" t="str">
        <ns0:f>IF(A86="","",IF(R86&lt;&gt;"","[CONFLICT] "&amp;R86,IF(S86&lt;&gt;"","[CONFLICT] "&amp;S86,IF(OR(NOT(ISNUMBER(N86)),N86&lt;0,N86&gt;1),"[CONFLICT] Invalid progress",IF(AK86&gt;0,"[DEPENDENCY ISSUE] Missing ID / &gt;8 links",IF(AM86&gt;0,"[DEPENDENCY ISSUE] Cycle or blocked by cycle",IF(AND(H86&lt;&gt;"",ISNA(MATCH(I86,{"FS","SS","FF","SF"},0))),"[DEPENDENCY ISSUE] Invalid type",IF(AL86&gt;0,"[DEPENDENCY ISSUE] Timing conflict",IF(OR(E86&lt;ProjectStart,F86&gt;ProjectEnd),"[OUTSIDE WINDOW]",IF(AND(N86&lt;1,F86&lt;AsOfDate),"Overdue",IF(AND(M86&lt;&gt;Q86,M86&lt;&gt;""),"[CONFLICT] Status / progress","On track")))))))))))</ns0:f>
      </ns0:c>
      <ns0:c r="P86" s="52"/>
      <ns0:c r="Q86" t="str">
        <ns0:f>IF(A86="","",IF(OR(M86="On Hold",M86="Delayed"),M86,IF(N86=1,"Completed",IF(N86&gt;0,"In Progress","Not Started"))))</ns0:f>
      </ns0:c>
      <ns0:c r="R86" t="str">
        <ns0:f>IF(A86="","",IF(COUNTIFS(Tasks[Task ID],A86)&lt;&gt;1,"Duplicate ID",""))</ns0:f>
      </ns0:c>
      <ns0:c r="S86" t="str">
        <ns0:f>IF(A86="","",IF(OR(NOT(ISNUMBER(E86)),NOT(ISNUMBER(F86))),"Invalid / missing date",IF(OR(E86&lt;&gt;INT(E86),F86&lt;&gt;INT(F86),E86&lt;1,F86&gt;2958465),"Invalid date",IF(F86&lt;E86,"End before start",IF(AND(J86="Yes",E86&lt;&gt;F86),"Milestone needs one date","")))))</ns0:f>
      </ns0:c>
      <ns0:c r="T86" t="n">
        <ns0:f>IF(H86="",0,LEN(H86)-LEN(SUBSTITUTE(H86,",",""))+1)</ns0:f>
        <ns0:v>0</ns0:v>
      </ns0:c>
      <ns0:c r="U86" t="str">
        <ns0:f>TRIM(MID(SUBSTITUTE($H86,",",REPT(" ",100)),1,100))</ns0:f>
      </ns0:c>
      <ns0:c r="V86" t="str">
        <ns0:f>TRIM(MID(SUBSTITUTE($H86,",",REPT(" ",100)),101,100))</ns0:f>
      </ns0:c>
      <ns0:c r="W86" t="str">
        <ns0:f>TRIM(MID(SUBSTITUTE($H86,",",REPT(" ",100)),201,100))</ns0:f>
      </ns0:c>
      <ns0:c r="X86" t="str">
        <ns0:f>TRIM(MID(SUBSTITUTE($H86,",",REPT(" ",100)),301,100))</ns0:f>
      </ns0:c>
      <ns0:c r="Y86" t="str">
        <ns0:f>TRIM(MID(SUBSTITUTE($H86,",",REPT(" ",100)),401,100))</ns0:f>
      </ns0:c>
      <ns0:c r="Z86" t="str">
        <ns0:f>TRIM(MID(SUBSTITUTE($H86,",",REPT(" ",100)),501,100))</ns0:f>
      </ns0:c>
      <ns0:c r="AA86" t="str">
        <ns0:f>TRIM(MID(SUBSTITUTE($H86,",",REPT(" ",100)),601,100))</ns0:f>
      </ns0:c>
      <ns0:c r="AB86" t="str">
        <ns0:f>TRIM(MID(SUBSTITUTE($H86,",",REPT(" ",100)),701,100))</ns0:f>
      </ns0:c>
      <ns0:c r="AC86" t="n">
        <ns0:f>IF(U86="",0,IF(COUNTIFS(Tasks[Task ID],U86)=1,MATCH(U86,Tasks[Task ID],0),-1))</ns0:f>
        <ns0:v>0</ns0:v>
      </ns0:c>
      <ns0:c r="AD86" t="n">
        <ns0:f>IF(V86="",0,IF(COUNTIFS(Tasks[Task ID],V86)=1,MATCH(V86,Tasks[Task ID],0),-1))</ns0:f>
        <ns0:v>0</ns0:v>
      </ns0:c>
      <ns0:c r="AE86" t="n">
        <ns0:f>IF(W86="",0,IF(COUNTIFS(Tasks[Task ID],W86)=1,MATCH(W86,Tasks[Task ID],0),-1))</ns0:f>
        <ns0:v>0</ns0:v>
      </ns0:c>
      <ns0:c r="AF86" t="n">
        <ns0:f>IF(X86="",0,IF(COUNTIFS(Tasks[Task ID],X86)=1,MATCH(X86,Tasks[Task ID],0),-1))</ns0:f>
        <ns0:v>0</ns0:v>
      </ns0:c>
      <ns0:c r="AG86" t="n">
        <ns0:f>IF(Y86="",0,IF(COUNTIFS(Tasks[Task ID],Y86)=1,MATCH(Y86,Tasks[Task ID],0),-1))</ns0:f>
        <ns0:v>0</ns0:v>
      </ns0:c>
      <ns0:c r="AH86" t="n">
        <ns0:f>IF(Z86="",0,IF(COUNTIFS(Tasks[Task ID],Z86)=1,MATCH(Z86,Tasks[Task ID],0),-1))</ns0:f>
        <ns0:v>0</ns0:v>
      </ns0:c>
      <ns0:c r="AI86" t="n">
        <ns0:f>IF(AA86="",0,IF(COUNTIFS(Tasks[Task ID],AA86)=1,MATCH(AA86,Tasks[Task ID],0),-1))</ns0:f>
        <ns0:v>0</ns0:v>
      </ns0:c>
      <ns0:c r="AJ86" t="n">
        <ns0:f>IF(AB86="",0,IF(COUNTIFS(Tasks[Task ID],AB86)=1,MATCH(AB86,Tasks[Task ID],0),-1))</ns0:f>
        <ns0:v>0</ns0:v>
      </ns0:c>
      <ns0:c r="AK86" t="n">
        <ns0:f>COUNTIFS(AC86:AJ86,-1)+IF(T86&gt;8,1,0)</ns0:f>
        <ns0:v>0</ns0:v>
      </ns0:c>
      <ns0:c r="AL86" t="n">
        <ns0:f>IF(OR(A86="",S86&lt;&gt;""),0,SUM(IF(AC86&gt;0,IF($I86="FS",--($E86&lt;INDEX(Tasks[End Date],AC86)+IF(INDEX(Tasks[Milestone],AC86)="Yes",0,1)),IF($I86="SS",--($E86&lt;INDEX(Tasks[Start Date],AC86)),IF($I86="FF",--($F86&lt;INDEX(Tasks[End Date],AC86)),IF($I86="SF",--($F86&lt;INDEX(Tasks[Start Date],AC86)),0)))),0),IF(AD86&gt;0,IF($I86="FS",--($E86&lt;INDEX(Tasks[End Date],AD86)+IF(INDEX(Tasks[Milestone],AD86)="Yes",0,1)),IF($I86="SS",--($E86&lt;INDEX(Tasks[Start Date],AD86)),IF($I86="FF",--($F86&lt;INDEX(Tasks[End Date],AD86)),IF($I86="SF",--($F86&lt;INDEX(Tasks[Start Date],AD86)),0)))),0),IF(AE86&gt;0,IF($I86="FS",--($E86&lt;INDEX(Tasks[End Date],AE86)+IF(INDEX(Tasks[Milestone],AE86)="Yes",0,1)),IF($I86="SS",--($E86&lt;INDEX(Tasks[Start Date],AE86)),IF($I86="FF",--($F86&lt;INDEX(Tasks[End Date],AE86)),IF($I86="SF",--($F86&lt;INDEX(Tasks[Start Date],AE86)),0)))),0),IF(AF86&gt;0,IF($I86="FS",--($E86&lt;INDEX(Tasks[End Date],AF86)+IF(INDEX(Tasks[Milestone],AF86)="Yes",0,1)),IF($I86="SS",--($E86&lt;INDEX(Tasks[Start Date],AF86)),IF($I86="FF",--($F86&lt;INDEX(Tasks[End Date],AF86)),IF($I86="SF",--($F86&lt;INDEX(Tasks[Start Date],AF86)),0)))),0),IF(AG86&gt;0,IF($I86="FS",--($E86&lt;INDEX(Tasks[End Date],AG86)+IF(INDEX(Tasks[Milestone],AG86)="Yes",0,1)),IF($I86="SS",--($E86&lt;INDEX(Tasks[Start Date],AG86)),IF($I86="FF",--($F86&lt;INDEX(Tasks[End Date],AG86)),IF($I86="SF",--($F86&lt;INDEX(Tasks[Start Date],AG86)),0)))),0),IF(AH86&gt;0,IF($I86="FS",--($E86&lt;INDEX(Tasks[End Date],AH86)+IF(INDEX(Tasks[Milestone],AH86)="Yes",0,1)),IF($I86="SS",--($E86&lt;INDEX(Tasks[Start Date],AH86)),IF($I86="FF",--($F86&lt;INDEX(Tasks[End Date],AH86)),IF($I86="SF",--($F86&lt;INDEX(Tasks[Start Date],AH86)),0)))),0),IF(AI86&gt;0,IF($I86="FS",--($E86&lt;INDEX(Tasks[End Date],AI86)+IF(INDEX(Tasks[Milestone],AI86)="Yes",0,1)),IF($I86="SS",--($E86&lt;INDEX(Tasks[Start Date],AI86)),IF($I86="FF",--($F86&lt;INDEX(Tasks[End Date],AI86)),IF($I86="SF",--($F86&lt;INDEX(Tasks[Start Date],AI86)),0)))),0),IF(AJ86&gt;0,IF($I86="FS",--($E86&lt;INDEX(Tasks[End Date],AJ86)+IF(INDEX(Tasks[Milestone],AJ86)="Yes",0,1)),IF($I86="SS",--($E86&lt;INDEX(Tasks[Start Date],AJ86)),IF($I86="FF",--($F86&lt;INDEX(Tasks[End Date],AJ86)),IF($I86="SF",--($F86&lt;INDEX(Tasks[Start Date],AJ86)),0)))),0)))</ns0:f>
        <ns0:v>0</ns0:v>
      </ns0:c>
      <ns0:c r="AM86" t="n">
        <ns0:f>IF(AND(A86&lt;&gt;"",AK86=0,EP86=0),1,0)</ns0:f>
        <ns0:v>0</ns0:v>
      </ns0:c>
      <ns0:c r="AN86" t="str">
        <ns0:f>IF(OR(A86="",B86=""),"",IF(COUNTIFS($B$7:B86,B86)=1,MAX($AN$6:AN85)+1,""))</ns0:f>
      </ns0:c>
      <ns0:c r="AO86" t="n">
        <ns0:f>IF(AND(A86&lt;&gt;"",J86="No",N86&lt;1,E86&gt;=AsOfDate),E86+ROW()/10000,1E+9)</ns0:f>
        <ns0:v>1000000000</ns0:v>
      </ns0:c>
      <ns0:c r="AP86" t="n">
        <ns0:f>IF(AND(A86&lt;&gt;"",J86="Yes",N86&lt;1,E86&gt;=AsOfDate),E86+ROW()/10000,1E+9)</ns0:f>
        <ns0:v>1000000000</ns0:v>
      </ns0:c>
      <ns0:c r="AQ86" t="n">
        <ns0:f>IF(AND(A86&lt;&gt;"",J86="No",N86&lt;1,F86&gt;=AsOfDate,F86&lt;=AsOfDate+7),F86+ROW()/10000,1E+9)</ns0:f>
        <ns0:v>1000000000</ns0:v>
      </ns0:c>
      <ns0:c r="AR86" t="n">
        <ns0:f>IF(AND(A86&lt;&gt;"",OR(O86&lt;&gt;"On track",Q86="Delayed")),ROW(),1E+9)</ns0:f>
        <ns0:v>1000000000</ns0:v>
      </ns0:c>
      <ns0:c r="AS86" t="str">
        <ns0:f>IF(A86="","",";"&amp;K86&amp;";")</ns0:f>
      </ns0:c>
      <ns0:c r="AT86" t="n">
        <ns0:f>IF(A86="",1,--(T86=0))</ns0:f>
        <ns0:v>1</ns0:v>
      </ns0:c>
      <ns0:c r="AU86" t="n">
        <ns0:f>IF($A86="",1,IF(AT86=1,1,--AND(IF($AC86&gt;0,INDEX(AT$7:AT$106,$AC86),1),IF($AD86&gt;0,INDEX(AT$7:AT$106,$AD86),1),IF($AE86&gt;0,INDEX(AT$7:AT$106,$AE86),1),IF($AF86&gt;0,INDEX(AT$7:AT$106,$AF86),1),IF($AG86&gt;0,INDEX(AT$7:AT$106,$AG86),1),IF($AH86&gt;0,INDEX(AT$7:AT$106,$AH86),1),IF($AI86&gt;0,INDEX(AT$7:AT$106,$AI86),1),IF($AJ86&gt;0,INDEX(AT$7:AT$106,$AJ86),1))))</ns0:f>
        <ns0:v>1</ns0:v>
      </ns0:c>
      <ns0:c r="AV86" t="n">
        <ns0:f>IF($A86="",1,IF(AU86=1,1,--AND(IF($AC86&gt;0,INDEX(AU$7:AU$106,$AC86),1),IF($AD86&gt;0,INDEX(AU$7:AU$106,$AD86),1),IF($AE86&gt;0,INDEX(AU$7:AU$106,$AE86),1),IF($AF86&gt;0,INDEX(AU$7:AU$106,$AF86),1),IF($AG86&gt;0,INDEX(AU$7:AU$106,$AG86),1),IF($AH86&gt;0,INDEX(AU$7:AU$106,$AH86),1),IF($AI86&gt;0,INDEX(AU$7:AU$106,$AI86),1),IF($AJ86&gt;0,INDEX(AU$7:AU$106,$AJ86),1))))</ns0:f>
        <ns0:v>1</ns0:v>
      </ns0:c>
      <ns0:c r="AW86" t="n">
        <ns0:f>IF($A86="",1,IF(AV86=1,1,--AND(IF($AC86&gt;0,INDEX(AV$7:AV$106,$AC86),1),IF($AD86&gt;0,INDEX(AV$7:AV$106,$AD86),1),IF($AE86&gt;0,INDEX(AV$7:AV$106,$AE86),1),IF($AF86&gt;0,INDEX(AV$7:AV$106,$AF86),1),IF($AG86&gt;0,INDEX(AV$7:AV$106,$AG86),1),IF($AH86&gt;0,INDEX(AV$7:AV$106,$AH86),1),IF($AI86&gt;0,INDEX(AV$7:AV$106,$AI86),1),IF($AJ86&gt;0,INDEX(AV$7:AV$106,$AJ86),1))))</ns0:f>
        <ns0:v>1</ns0:v>
      </ns0:c>
      <ns0:c r="AX86" t="n">
        <ns0:f>IF($A86="",1,IF(AW86=1,1,--AND(IF($AC86&gt;0,INDEX(AW$7:AW$106,$AC86),1),IF($AD86&gt;0,INDEX(AW$7:AW$106,$AD86),1),IF($AE86&gt;0,INDEX(AW$7:AW$106,$AE86),1),IF($AF86&gt;0,INDEX(AW$7:AW$106,$AF86),1),IF($AG86&gt;0,INDEX(AW$7:AW$106,$AG86),1),IF($AH86&gt;0,INDEX(AW$7:AW$106,$AH86),1),IF($AI86&gt;0,INDEX(AW$7:AW$106,$AI86),1),IF($AJ86&gt;0,INDEX(AW$7:AW$106,$AJ86),1))))</ns0:f>
        <ns0:v>1</ns0:v>
      </ns0:c>
      <ns0:c r="AY86" t="n">
        <ns0:f>IF($A86="",1,IF(AX86=1,1,--AND(IF($AC86&gt;0,INDEX(AX$7:AX$106,$AC86),1),IF($AD86&gt;0,INDEX(AX$7:AX$106,$AD86),1),IF($AE86&gt;0,INDEX(AX$7:AX$106,$AE86),1),IF($AF86&gt;0,INDEX(AX$7:AX$106,$AF86),1),IF($AG86&gt;0,INDEX(AX$7:AX$106,$AG86),1),IF($AH86&gt;0,INDEX(AX$7:AX$106,$AH86),1),IF($AI86&gt;0,INDEX(AX$7:AX$106,$AI86),1),IF($AJ86&gt;0,INDEX(AX$7:AX$106,$AJ86),1))))</ns0:f>
        <ns0:v>1</ns0:v>
      </ns0:c>
      <ns0:c r="AZ86" t="n">
        <ns0:f>IF($A86="",1,IF(AY86=1,1,--AND(IF($AC86&gt;0,INDEX(AY$7:AY$106,$AC86),1),IF($AD86&gt;0,INDEX(AY$7:AY$106,$AD86),1),IF($AE86&gt;0,INDEX(AY$7:AY$106,$AE86),1),IF($AF86&gt;0,INDEX(AY$7:AY$106,$AF86),1),IF($AG86&gt;0,INDEX(AY$7:AY$106,$AG86),1),IF($AH86&gt;0,INDEX(AY$7:AY$106,$AH86),1),IF($AI86&gt;0,INDEX(AY$7:AY$106,$AI86),1),IF($AJ86&gt;0,INDEX(AY$7:AY$106,$AJ86),1))))</ns0:f>
        <ns0:v>1</ns0:v>
      </ns0:c>
      <ns0:c r="BA86" t="n">
        <ns0:f>IF($A86="",1,IF(AZ86=1,1,--AND(IF($AC86&gt;0,INDEX(AZ$7:AZ$106,$AC86),1),IF($AD86&gt;0,INDEX(AZ$7:AZ$106,$AD86),1),IF($AE86&gt;0,INDEX(AZ$7:AZ$106,$AE86),1),IF($AF86&gt;0,INDEX(AZ$7:AZ$106,$AF86),1),IF($AG86&gt;0,INDEX(AZ$7:AZ$106,$AG86),1),IF($AH86&gt;0,INDEX(AZ$7:AZ$106,$AH86),1),IF($AI86&gt;0,INDEX(AZ$7:AZ$106,$AI86),1),IF($AJ86&gt;0,INDEX(AZ$7:AZ$106,$AJ86),1))))</ns0:f>
        <ns0:v>1</ns0:v>
      </ns0:c>
      <ns0:c r="BB86" t="n">
        <ns0:f>IF($A86="",1,IF(BA86=1,1,--AND(IF($AC86&gt;0,INDEX(BA$7:BA$106,$AC86),1),IF($AD86&gt;0,INDEX(BA$7:BA$106,$AD86),1),IF($AE86&gt;0,INDEX(BA$7:BA$106,$AE86),1),IF($AF86&gt;0,INDEX(BA$7:BA$106,$AF86),1),IF($AG86&gt;0,INDEX(BA$7:BA$106,$AG86),1),IF($AH86&gt;0,INDEX(BA$7:BA$106,$AH86),1),IF($AI86&gt;0,INDEX(BA$7:BA$106,$AI86),1),IF($AJ86&gt;0,INDEX(BA$7:BA$106,$AJ86),1))))</ns0:f>
        <ns0:v>1</ns0:v>
      </ns0:c>
      <ns0:c r="BC86" t="n">
        <ns0:f>IF($A86="",1,IF(BB86=1,1,--AND(IF($AC86&gt;0,INDEX(BB$7:BB$106,$AC86),1),IF($AD86&gt;0,INDEX(BB$7:BB$106,$AD86),1),IF($AE86&gt;0,INDEX(BB$7:BB$106,$AE86),1),IF($AF86&gt;0,INDEX(BB$7:BB$106,$AF86),1),IF($AG86&gt;0,INDEX(BB$7:BB$106,$AG86),1),IF($AH86&gt;0,INDEX(BB$7:BB$106,$AH86),1),IF($AI86&gt;0,INDEX(BB$7:BB$106,$AI86),1),IF($AJ86&gt;0,INDEX(BB$7:BB$106,$AJ86),1))))</ns0:f>
        <ns0:v>1</ns0:v>
      </ns0:c>
      <ns0:c r="BD86" t="n">
        <ns0:f>IF($A86="",1,IF(BC86=1,1,--AND(IF($AC86&gt;0,INDEX(BC$7:BC$106,$AC86),1),IF($AD86&gt;0,INDEX(BC$7:BC$106,$AD86),1),IF($AE86&gt;0,INDEX(BC$7:BC$106,$AE86),1),IF($AF86&gt;0,INDEX(BC$7:BC$106,$AF86),1),IF($AG86&gt;0,INDEX(BC$7:BC$106,$AG86),1),IF($AH86&gt;0,INDEX(BC$7:BC$106,$AH86),1),IF($AI86&gt;0,INDEX(BC$7:BC$106,$AI86),1),IF($AJ86&gt;0,INDEX(BC$7:BC$106,$AJ86),1))))</ns0:f>
        <ns0:v>1</ns0:v>
      </ns0:c>
      <ns0:c r="BE86" t="n">
        <ns0:f>IF($A86="",1,IF(BD86=1,1,--AND(IF($AC86&gt;0,INDEX(BD$7:BD$106,$AC86),1),IF($AD86&gt;0,INDEX(BD$7:BD$106,$AD86),1),IF($AE86&gt;0,INDEX(BD$7:BD$106,$AE86),1),IF($AF86&gt;0,INDEX(BD$7:BD$106,$AF86),1),IF($AG86&gt;0,INDEX(BD$7:BD$106,$AG86),1),IF($AH86&gt;0,INDEX(BD$7:BD$106,$AH86),1),IF($AI86&gt;0,INDEX(BD$7:BD$106,$AI86),1),IF($AJ86&gt;0,INDEX(BD$7:BD$106,$AJ86),1))))</ns0:f>
        <ns0:v>1</ns0:v>
      </ns0:c>
      <ns0:c r="BF86" t="n">
        <ns0:f>IF($A86="",1,IF(BE86=1,1,--AND(IF($AC86&gt;0,INDEX(BE$7:BE$106,$AC86),1),IF($AD86&gt;0,INDEX(BE$7:BE$106,$AD86),1),IF($AE86&gt;0,INDEX(BE$7:BE$106,$AE86),1),IF($AF86&gt;0,INDEX(BE$7:BE$106,$AF86),1),IF($AG86&gt;0,INDEX(BE$7:BE$106,$AG86),1),IF($AH86&gt;0,INDEX(BE$7:BE$106,$AH86),1),IF($AI86&gt;0,INDEX(BE$7:BE$106,$AI86),1),IF($AJ86&gt;0,INDEX(BE$7:BE$106,$AJ86),1))))</ns0:f>
        <ns0:v>1</ns0:v>
      </ns0:c>
      <ns0:c r="BG86" t="n">
        <ns0:f>IF($A86="",1,IF(BF86=1,1,--AND(IF($AC86&gt;0,INDEX(BF$7:BF$106,$AC86),1),IF($AD86&gt;0,INDEX(BF$7:BF$106,$AD86),1),IF($AE86&gt;0,INDEX(BF$7:BF$106,$AE86),1),IF($AF86&gt;0,INDEX(BF$7:BF$106,$AF86),1),IF($AG86&gt;0,INDEX(BF$7:BF$106,$AG86),1),IF($AH86&gt;0,INDEX(BF$7:BF$106,$AH86),1),IF($AI86&gt;0,INDEX(BF$7:BF$106,$AI86),1),IF($AJ86&gt;0,INDEX(BF$7:BF$106,$AJ86),1))))</ns0:f>
        <ns0:v>1</ns0:v>
      </ns0:c>
      <ns0:c r="BH86" t="n">
        <ns0:f>IF($A86="",1,IF(BG86=1,1,--AND(IF($AC86&gt;0,INDEX(BG$7:BG$106,$AC86),1),IF($AD86&gt;0,INDEX(BG$7:BG$106,$AD86),1),IF($AE86&gt;0,INDEX(BG$7:BG$106,$AE86),1),IF($AF86&gt;0,INDEX(BG$7:BG$106,$AF86),1),IF($AG86&gt;0,INDEX(BG$7:BG$106,$AG86),1),IF($AH86&gt;0,INDEX(BG$7:BG$106,$AH86),1),IF($AI86&gt;0,INDEX(BG$7:BG$106,$AI86),1),IF($AJ86&gt;0,INDEX(BG$7:BG$106,$AJ86),1))))</ns0:f>
        <ns0:v>1</ns0:v>
      </ns0:c>
      <ns0:c r="BI86" t="n">
        <ns0:f>IF($A86="",1,IF(BH86=1,1,--AND(IF($AC86&gt;0,INDEX(BH$7:BH$106,$AC86),1),IF($AD86&gt;0,INDEX(BH$7:BH$106,$AD86),1),IF($AE86&gt;0,INDEX(BH$7:BH$106,$AE86),1),IF($AF86&gt;0,INDEX(BH$7:BH$106,$AF86),1),IF($AG86&gt;0,INDEX(BH$7:BH$106,$AG86),1),IF($AH86&gt;0,INDEX(BH$7:BH$106,$AH86),1),IF($AI86&gt;0,INDEX(BH$7:BH$106,$AI86),1),IF($AJ86&gt;0,INDEX(BH$7:BH$106,$AJ86),1))))</ns0:f>
        <ns0:v>1</ns0:v>
      </ns0:c>
      <ns0:c r="BJ86" t="n">
        <ns0:f>IF($A86="",1,IF(BI86=1,1,--AND(IF($AC86&gt;0,INDEX(BI$7:BI$106,$AC86),1),IF($AD86&gt;0,INDEX(BI$7:BI$106,$AD86),1),IF($AE86&gt;0,INDEX(BI$7:BI$106,$AE86),1),IF($AF86&gt;0,INDEX(BI$7:BI$106,$AF86),1),IF($AG86&gt;0,INDEX(BI$7:BI$106,$AG86),1),IF($AH86&gt;0,INDEX(BI$7:BI$106,$AH86),1),IF($AI86&gt;0,INDEX(BI$7:BI$106,$AI86),1),IF($AJ86&gt;0,INDEX(BI$7:BI$106,$AJ86),1))))</ns0:f>
        <ns0:v>1</ns0:v>
      </ns0:c>
      <ns0:c r="BK86" t="n">
        <ns0:f>IF($A86="",1,IF(BJ86=1,1,--AND(IF($AC86&gt;0,INDEX(BJ$7:BJ$106,$AC86),1),IF($AD86&gt;0,INDEX(BJ$7:BJ$106,$AD86),1),IF($AE86&gt;0,INDEX(BJ$7:BJ$106,$AE86),1),IF($AF86&gt;0,INDEX(BJ$7:BJ$106,$AF86),1),IF($AG86&gt;0,INDEX(BJ$7:BJ$106,$AG86),1),IF($AH86&gt;0,INDEX(BJ$7:BJ$106,$AH86),1),IF($AI86&gt;0,INDEX(BJ$7:BJ$106,$AI86),1),IF($AJ86&gt;0,INDEX(BJ$7:BJ$106,$AJ86),1))))</ns0:f>
        <ns0:v>1</ns0:v>
      </ns0:c>
      <ns0:c r="BL86" t="n">
        <ns0:f>IF($A86="",1,IF(BK86=1,1,--AND(IF($AC86&gt;0,INDEX(BK$7:BK$106,$AC86),1),IF($AD86&gt;0,INDEX(BK$7:BK$106,$AD86),1),IF($AE86&gt;0,INDEX(BK$7:BK$106,$AE86),1),IF($AF86&gt;0,INDEX(BK$7:BK$106,$AF86),1),IF($AG86&gt;0,INDEX(BK$7:BK$106,$AG86),1),IF($AH86&gt;0,INDEX(BK$7:BK$106,$AH86),1),IF($AI86&gt;0,INDEX(BK$7:BK$106,$AI86),1),IF($AJ86&gt;0,INDEX(BK$7:BK$106,$AJ86),1))))</ns0:f>
        <ns0:v>1</ns0:v>
      </ns0:c>
      <ns0:c r="BM86" t="n">
        <ns0:f>IF($A86="",1,IF(BL86=1,1,--AND(IF($AC86&gt;0,INDEX(BL$7:BL$106,$AC86),1),IF($AD86&gt;0,INDEX(BL$7:BL$106,$AD86),1),IF($AE86&gt;0,INDEX(BL$7:BL$106,$AE86),1),IF($AF86&gt;0,INDEX(BL$7:BL$106,$AF86),1),IF($AG86&gt;0,INDEX(BL$7:BL$106,$AG86),1),IF($AH86&gt;0,INDEX(BL$7:BL$106,$AH86),1),IF($AI86&gt;0,INDEX(BL$7:BL$106,$AI86),1),IF($AJ86&gt;0,INDEX(BL$7:BL$106,$AJ86),1))))</ns0:f>
        <ns0:v>1</ns0:v>
      </ns0:c>
      <ns0:c r="BN86" t="n">
        <ns0:f>IF($A86="",1,IF(BM86=1,1,--AND(IF($AC86&gt;0,INDEX(BM$7:BM$106,$AC86),1),IF($AD86&gt;0,INDEX(BM$7:BM$106,$AD86),1),IF($AE86&gt;0,INDEX(BM$7:BM$106,$AE86),1),IF($AF86&gt;0,INDEX(BM$7:BM$106,$AF86),1),IF($AG86&gt;0,INDEX(BM$7:BM$106,$AG86),1),IF($AH86&gt;0,INDEX(BM$7:BM$106,$AH86),1),IF($AI86&gt;0,INDEX(BM$7:BM$106,$AI86),1),IF($AJ86&gt;0,INDEX(BM$7:BM$106,$AJ86),1))))</ns0:f>
        <ns0:v>1</ns0:v>
      </ns0:c>
      <ns0:c r="BO86" t="n">
        <ns0:f>IF($A86="",1,IF(BN86=1,1,--AND(IF($AC86&gt;0,INDEX(BN$7:BN$106,$AC86),1),IF($AD86&gt;0,INDEX(BN$7:BN$106,$AD86),1),IF($AE86&gt;0,INDEX(BN$7:BN$106,$AE86),1),IF($AF86&gt;0,INDEX(BN$7:BN$106,$AF86),1),IF($AG86&gt;0,INDEX(BN$7:BN$106,$AG86),1),IF($AH86&gt;0,INDEX(BN$7:BN$106,$AH86),1),IF($AI86&gt;0,INDEX(BN$7:BN$106,$AI86),1),IF($AJ86&gt;0,INDEX(BN$7:BN$106,$AJ86),1))))</ns0:f>
        <ns0:v>1</ns0:v>
      </ns0:c>
      <ns0:c r="BP86" t="n">
        <ns0:f>IF($A86="",1,IF(BO86=1,1,--AND(IF($AC86&gt;0,INDEX(BO$7:BO$106,$AC86),1),IF($AD86&gt;0,INDEX(BO$7:BO$106,$AD86),1),IF($AE86&gt;0,INDEX(BO$7:BO$106,$AE86),1),IF($AF86&gt;0,INDEX(BO$7:BO$106,$AF86),1),IF($AG86&gt;0,INDEX(BO$7:BO$106,$AG86),1),IF($AH86&gt;0,INDEX(BO$7:BO$106,$AH86),1),IF($AI86&gt;0,INDEX(BO$7:BO$106,$AI86),1),IF($AJ86&gt;0,INDEX(BO$7:BO$106,$AJ86),1))))</ns0:f>
        <ns0:v>1</ns0:v>
      </ns0:c>
      <ns0:c r="BQ86" t="n">
        <ns0:f>IF($A86="",1,IF(BP86=1,1,--AND(IF($AC86&gt;0,INDEX(BP$7:BP$106,$AC86),1),IF($AD86&gt;0,INDEX(BP$7:BP$106,$AD86),1),IF($AE86&gt;0,INDEX(BP$7:BP$106,$AE86),1),IF($AF86&gt;0,INDEX(BP$7:BP$106,$AF86),1),IF($AG86&gt;0,INDEX(BP$7:BP$106,$AG86),1),IF($AH86&gt;0,INDEX(BP$7:BP$106,$AH86),1),IF($AI86&gt;0,INDEX(BP$7:BP$106,$AI86),1),IF($AJ86&gt;0,INDEX(BP$7:BP$106,$AJ86),1))))</ns0:f>
        <ns0:v>1</ns0:v>
      </ns0:c>
      <ns0:c r="BR86" t="n">
        <ns0:f>IF($A86="",1,IF(BQ86=1,1,--AND(IF($AC86&gt;0,INDEX(BQ$7:BQ$106,$AC86),1),IF($AD86&gt;0,INDEX(BQ$7:BQ$106,$AD86),1),IF($AE86&gt;0,INDEX(BQ$7:BQ$106,$AE86),1),IF($AF86&gt;0,INDEX(BQ$7:BQ$106,$AF86),1),IF($AG86&gt;0,INDEX(BQ$7:BQ$106,$AG86),1),IF($AH86&gt;0,INDEX(BQ$7:BQ$106,$AH86),1),IF($AI86&gt;0,INDEX(BQ$7:BQ$106,$AI86),1),IF($AJ86&gt;0,INDEX(BQ$7:BQ$106,$AJ86),1))))</ns0:f>
        <ns0:v>1</ns0:v>
      </ns0:c>
      <ns0:c r="BS86" t="n">
        <ns0:f>IF($A86="",1,IF(BR86=1,1,--AND(IF($AC86&gt;0,INDEX(BR$7:BR$106,$AC86),1),IF($AD86&gt;0,INDEX(BR$7:BR$106,$AD86),1),IF($AE86&gt;0,INDEX(BR$7:BR$106,$AE86),1),IF($AF86&gt;0,INDEX(BR$7:BR$106,$AF86),1),IF($AG86&gt;0,INDEX(BR$7:BR$106,$AG86),1),IF($AH86&gt;0,INDEX(BR$7:BR$106,$AH86),1),IF($AI86&gt;0,INDEX(BR$7:BR$106,$AI86),1),IF($AJ86&gt;0,INDEX(BR$7:BR$106,$AJ86),1))))</ns0:f>
        <ns0:v>1</ns0:v>
      </ns0:c>
      <ns0:c r="BT86" t="n">
        <ns0:f>IF($A86="",1,IF(BS86=1,1,--AND(IF($AC86&gt;0,INDEX(BS$7:BS$106,$AC86),1),IF($AD86&gt;0,INDEX(BS$7:BS$106,$AD86),1),IF($AE86&gt;0,INDEX(BS$7:BS$106,$AE86),1),IF($AF86&gt;0,INDEX(BS$7:BS$106,$AF86),1),IF($AG86&gt;0,INDEX(BS$7:BS$106,$AG86),1),IF($AH86&gt;0,INDEX(BS$7:BS$106,$AH86),1),IF($AI86&gt;0,INDEX(BS$7:BS$106,$AI86),1),IF($AJ86&gt;0,INDEX(BS$7:BS$106,$AJ86),1))))</ns0:f>
        <ns0:v>1</ns0:v>
      </ns0:c>
      <ns0:c r="BU86" t="n">
        <ns0:f>IF($A86="",1,IF(BT86=1,1,--AND(IF($AC86&gt;0,INDEX(BT$7:BT$106,$AC86),1),IF($AD86&gt;0,INDEX(BT$7:BT$106,$AD86),1),IF($AE86&gt;0,INDEX(BT$7:BT$106,$AE86),1),IF($AF86&gt;0,INDEX(BT$7:BT$106,$AF86),1),IF($AG86&gt;0,INDEX(BT$7:BT$106,$AG86),1),IF($AH86&gt;0,INDEX(BT$7:BT$106,$AH86),1),IF($AI86&gt;0,INDEX(BT$7:BT$106,$AI86),1),IF($AJ86&gt;0,INDEX(BT$7:BT$106,$AJ86),1))))</ns0:f>
        <ns0:v>1</ns0:v>
      </ns0:c>
      <ns0:c r="BV86" t="n">
        <ns0:f>IF($A86="",1,IF(BU86=1,1,--AND(IF($AC86&gt;0,INDEX(BU$7:BU$106,$AC86),1),IF($AD86&gt;0,INDEX(BU$7:BU$106,$AD86),1),IF($AE86&gt;0,INDEX(BU$7:BU$106,$AE86),1),IF($AF86&gt;0,INDEX(BU$7:BU$106,$AF86),1),IF($AG86&gt;0,INDEX(BU$7:BU$106,$AG86),1),IF($AH86&gt;0,INDEX(BU$7:BU$106,$AH86),1),IF($AI86&gt;0,INDEX(BU$7:BU$106,$AI86),1),IF($AJ86&gt;0,INDEX(BU$7:BU$106,$AJ86),1))))</ns0:f>
        <ns0:v>1</ns0:v>
      </ns0:c>
      <ns0:c r="BW86" t="n">
        <ns0:f>IF($A86="",1,IF(BV86=1,1,--AND(IF($AC86&gt;0,INDEX(BV$7:BV$106,$AC86),1),IF($AD86&gt;0,INDEX(BV$7:BV$106,$AD86),1),IF($AE86&gt;0,INDEX(BV$7:BV$106,$AE86),1),IF($AF86&gt;0,INDEX(BV$7:BV$106,$AF86),1),IF($AG86&gt;0,INDEX(BV$7:BV$106,$AG86),1),IF($AH86&gt;0,INDEX(BV$7:BV$106,$AH86),1),IF($AI86&gt;0,INDEX(BV$7:BV$106,$AI86),1),IF($AJ86&gt;0,INDEX(BV$7:BV$106,$AJ86),1))))</ns0:f>
        <ns0:v>1</ns0:v>
      </ns0:c>
      <ns0:c r="BX86" t="n">
        <ns0:f>IF($A86="",1,IF(BW86=1,1,--AND(IF($AC86&gt;0,INDEX(BW$7:BW$106,$AC86),1),IF($AD86&gt;0,INDEX(BW$7:BW$106,$AD86),1),IF($AE86&gt;0,INDEX(BW$7:BW$106,$AE86),1),IF($AF86&gt;0,INDEX(BW$7:BW$106,$AF86),1),IF($AG86&gt;0,INDEX(BW$7:BW$106,$AG86),1),IF($AH86&gt;0,INDEX(BW$7:BW$106,$AH86),1),IF($AI86&gt;0,INDEX(BW$7:BW$106,$AI86),1),IF($AJ86&gt;0,INDEX(BW$7:BW$106,$AJ86),1))))</ns0:f>
        <ns0:v>1</ns0:v>
      </ns0:c>
      <ns0:c r="BY86" t="n">
        <ns0:f>IF($A86="",1,IF(BX86=1,1,--AND(IF($AC86&gt;0,INDEX(BX$7:BX$106,$AC86),1),IF($AD86&gt;0,INDEX(BX$7:BX$106,$AD86),1),IF($AE86&gt;0,INDEX(BX$7:BX$106,$AE86),1),IF($AF86&gt;0,INDEX(BX$7:BX$106,$AF86),1),IF($AG86&gt;0,INDEX(BX$7:BX$106,$AG86),1),IF($AH86&gt;0,INDEX(BX$7:BX$106,$AH86),1),IF($AI86&gt;0,INDEX(BX$7:BX$106,$AI86),1),IF($AJ86&gt;0,INDEX(BX$7:BX$106,$AJ86),1))))</ns0:f>
        <ns0:v>1</ns0:v>
      </ns0:c>
      <ns0:c r="BZ86" t="n">
        <ns0:f>IF($A86="",1,IF(BY86=1,1,--AND(IF($AC86&gt;0,INDEX(BY$7:BY$106,$AC86),1),IF($AD86&gt;0,INDEX(BY$7:BY$106,$AD86),1),IF($AE86&gt;0,INDEX(BY$7:BY$106,$AE86),1),IF($AF86&gt;0,INDEX(BY$7:BY$106,$AF86),1),IF($AG86&gt;0,INDEX(BY$7:BY$106,$AG86),1),IF($AH86&gt;0,INDEX(BY$7:BY$106,$AH86),1),IF($AI86&gt;0,INDEX(BY$7:BY$106,$AI86),1),IF($AJ86&gt;0,INDEX(BY$7:BY$106,$AJ86),1))))</ns0:f>
        <ns0:v>1</ns0:v>
      </ns0:c>
      <ns0:c r="CA86" t="n">
        <ns0:f>IF($A86="",1,IF(BZ86=1,1,--AND(IF($AC86&gt;0,INDEX(BZ$7:BZ$106,$AC86),1),IF($AD86&gt;0,INDEX(BZ$7:BZ$106,$AD86),1),IF($AE86&gt;0,INDEX(BZ$7:BZ$106,$AE86),1),IF($AF86&gt;0,INDEX(BZ$7:BZ$106,$AF86),1),IF($AG86&gt;0,INDEX(BZ$7:BZ$106,$AG86),1),IF($AH86&gt;0,INDEX(BZ$7:BZ$106,$AH86),1),IF($AI86&gt;0,INDEX(BZ$7:BZ$106,$AI86),1),IF($AJ86&gt;0,INDEX(BZ$7:BZ$106,$AJ86),1))))</ns0:f>
        <ns0:v>1</ns0:v>
      </ns0:c>
      <ns0:c r="CB86" t="n">
        <ns0:f>IF($A86="",1,IF(CA86=1,1,--AND(IF($AC86&gt;0,INDEX(CA$7:CA$106,$AC86),1),IF($AD86&gt;0,INDEX(CA$7:CA$106,$AD86),1),IF($AE86&gt;0,INDEX(CA$7:CA$106,$AE86),1),IF($AF86&gt;0,INDEX(CA$7:CA$106,$AF86),1),IF($AG86&gt;0,INDEX(CA$7:CA$106,$AG86),1),IF($AH86&gt;0,INDEX(CA$7:CA$106,$AH86),1),IF($AI86&gt;0,INDEX(CA$7:CA$106,$AI86),1),IF($AJ86&gt;0,INDEX(CA$7:CA$106,$AJ86),1))))</ns0:f>
        <ns0:v>1</ns0:v>
      </ns0:c>
      <ns0:c r="CC86" t="n">
        <ns0:f>IF($A86="",1,IF(CB86=1,1,--AND(IF($AC86&gt;0,INDEX(CB$7:CB$106,$AC86),1),IF($AD86&gt;0,INDEX(CB$7:CB$106,$AD86),1),IF($AE86&gt;0,INDEX(CB$7:CB$106,$AE86),1),IF($AF86&gt;0,INDEX(CB$7:CB$106,$AF86),1),IF($AG86&gt;0,INDEX(CB$7:CB$106,$AG86),1),IF($AH86&gt;0,INDEX(CB$7:CB$106,$AH86),1),IF($AI86&gt;0,INDEX(CB$7:CB$106,$AI86),1),IF($AJ86&gt;0,INDEX(CB$7:CB$106,$AJ86),1))))</ns0:f>
        <ns0:v>1</ns0:v>
      </ns0:c>
      <ns0:c r="CD86" t="n">
        <ns0:f>IF($A86="",1,IF(CC86=1,1,--AND(IF($AC86&gt;0,INDEX(CC$7:CC$106,$AC86),1),IF($AD86&gt;0,INDEX(CC$7:CC$106,$AD86),1),IF($AE86&gt;0,INDEX(CC$7:CC$106,$AE86),1),IF($AF86&gt;0,INDEX(CC$7:CC$106,$AF86),1),IF($AG86&gt;0,INDEX(CC$7:CC$106,$AG86),1),IF($AH86&gt;0,INDEX(CC$7:CC$106,$AH86),1),IF($AI86&gt;0,INDEX(CC$7:CC$106,$AI86),1),IF($AJ86&gt;0,INDEX(CC$7:CC$106,$AJ86),1))))</ns0:f>
        <ns0:v>1</ns0:v>
      </ns0:c>
      <ns0:c r="CE86" t="n">
        <ns0:f>IF($A86="",1,IF(CD86=1,1,--AND(IF($AC86&gt;0,INDEX(CD$7:CD$106,$AC86),1),IF($AD86&gt;0,INDEX(CD$7:CD$106,$AD86),1),IF($AE86&gt;0,INDEX(CD$7:CD$106,$AE86),1),IF($AF86&gt;0,INDEX(CD$7:CD$106,$AF86),1),IF($AG86&gt;0,INDEX(CD$7:CD$106,$AG86),1),IF($AH86&gt;0,INDEX(CD$7:CD$106,$AH86),1),IF($AI86&gt;0,INDEX(CD$7:CD$106,$AI86),1),IF($AJ86&gt;0,INDEX(CD$7:CD$106,$AJ86),1))))</ns0:f>
        <ns0:v>1</ns0:v>
      </ns0:c>
      <ns0:c r="CF86" t="n">
        <ns0:f>IF($A86="",1,IF(CE86=1,1,--AND(IF($AC86&gt;0,INDEX(CE$7:CE$106,$AC86),1),IF($AD86&gt;0,INDEX(CE$7:CE$106,$AD86),1),IF($AE86&gt;0,INDEX(CE$7:CE$106,$AE86),1),IF($AF86&gt;0,INDEX(CE$7:CE$106,$AF86),1),IF($AG86&gt;0,INDEX(CE$7:CE$106,$AG86),1),IF($AH86&gt;0,INDEX(CE$7:CE$106,$AH86),1),IF($AI86&gt;0,INDEX(CE$7:CE$106,$AI86),1),IF($AJ86&gt;0,INDEX(CE$7:CE$106,$AJ86),1))))</ns0:f>
        <ns0:v>1</ns0:v>
      </ns0:c>
      <ns0:c r="CG86" t="n">
        <ns0:f>IF($A86="",1,IF(CF86=1,1,--AND(IF($AC86&gt;0,INDEX(CF$7:CF$106,$AC86),1),IF($AD86&gt;0,INDEX(CF$7:CF$106,$AD86),1),IF($AE86&gt;0,INDEX(CF$7:CF$106,$AE86),1),IF($AF86&gt;0,INDEX(CF$7:CF$106,$AF86),1),IF($AG86&gt;0,INDEX(CF$7:CF$106,$AG86),1),IF($AH86&gt;0,INDEX(CF$7:CF$106,$AH86),1),IF($AI86&gt;0,INDEX(CF$7:CF$106,$AI86),1),IF($AJ86&gt;0,INDEX(CF$7:CF$106,$AJ86),1))))</ns0:f>
        <ns0:v>1</ns0:v>
      </ns0:c>
      <ns0:c r="CH86" t="n">
        <ns0:f>IF($A86="",1,IF(CG86=1,1,--AND(IF($AC86&gt;0,INDEX(CG$7:CG$106,$AC86),1),IF($AD86&gt;0,INDEX(CG$7:CG$106,$AD86),1),IF($AE86&gt;0,INDEX(CG$7:CG$106,$AE86),1),IF($AF86&gt;0,INDEX(CG$7:CG$106,$AF86),1),IF($AG86&gt;0,INDEX(CG$7:CG$106,$AG86),1),IF($AH86&gt;0,INDEX(CG$7:CG$106,$AH86),1),IF($AI86&gt;0,INDEX(CG$7:CG$106,$AI86),1),IF($AJ86&gt;0,INDEX(CG$7:CG$106,$AJ86),1))))</ns0:f>
        <ns0:v>1</ns0:v>
      </ns0:c>
      <ns0:c r="CI86" t="n">
        <ns0:f>IF($A86="",1,IF(CH86=1,1,--AND(IF($AC86&gt;0,INDEX(CH$7:CH$106,$AC86),1),IF($AD86&gt;0,INDEX(CH$7:CH$106,$AD86),1),IF($AE86&gt;0,INDEX(CH$7:CH$106,$AE86),1),IF($AF86&gt;0,INDEX(CH$7:CH$106,$AF86),1),IF($AG86&gt;0,INDEX(CH$7:CH$106,$AG86),1),IF($AH86&gt;0,INDEX(CH$7:CH$106,$AH86),1),IF($AI86&gt;0,INDEX(CH$7:CH$106,$AI86),1),IF($AJ86&gt;0,INDEX(CH$7:CH$106,$AJ86),1))))</ns0:f>
        <ns0:v>1</ns0:v>
      </ns0:c>
      <ns0:c r="CJ86" t="n">
        <ns0:f>IF($A86="",1,IF(CI86=1,1,--AND(IF($AC86&gt;0,INDEX(CI$7:CI$106,$AC86),1),IF($AD86&gt;0,INDEX(CI$7:CI$106,$AD86),1),IF($AE86&gt;0,INDEX(CI$7:CI$106,$AE86),1),IF($AF86&gt;0,INDEX(CI$7:CI$106,$AF86),1),IF($AG86&gt;0,INDEX(CI$7:CI$106,$AG86),1),IF($AH86&gt;0,INDEX(CI$7:CI$106,$AH86),1),IF($AI86&gt;0,INDEX(CI$7:CI$106,$AI86),1),IF($AJ86&gt;0,INDEX(CI$7:CI$106,$AJ86),1))))</ns0:f>
        <ns0:v>1</ns0:v>
      </ns0:c>
      <ns0:c r="CK86" t="n">
        <ns0:f>IF($A86="",1,IF(CJ86=1,1,--AND(IF($AC86&gt;0,INDEX(CJ$7:CJ$106,$AC86),1),IF($AD86&gt;0,INDEX(CJ$7:CJ$106,$AD86),1),IF($AE86&gt;0,INDEX(CJ$7:CJ$106,$AE86),1),IF($AF86&gt;0,INDEX(CJ$7:CJ$106,$AF86),1),IF($AG86&gt;0,INDEX(CJ$7:CJ$106,$AG86),1),IF($AH86&gt;0,INDEX(CJ$7:CJ$106,$AH86),1),IF($AI86&gt;0,INDEX(CJ$7:CJ$106,$AI86),1),IF($AJ86&gt;0,INDEX(CJ$7:CJ$106,$AJ86),1))))</ns0:f>
        <ns0:v>1</ns0:v>
      </ns0:c>
      <ns0:c r="CL86" t="n">
        <ns0:f>IF($A86="",1,IF(CK86=1,1,--AND(IF($AC86&gt;0,INDEX(CK$7:CK$106,$AC86),1),IF($AD86&gt;0,INDEX(CK$7:CK$106,$AD86),1),IF($AE86&gt;0,INDEX(CK$7:CK$106,$AE86),1),IF($AF86&gt;0,INDEX(CK$7:CK$106,$AF86),1),IF($AG86&gt;0,INDEX(CK$7:CK$106,$AG86),1),IF($AH86&gt;0,INDEX(CK$7:CK$106,$AH86),1),IF($AI86&gt;0,INDEX(CK$7:CK$106,$AI86),1),IF($AJ86&gt;0,INDEX(CK$7:CK$106,$AJ86),1))))</ns0:f>
        <ns0:v>1</ns0:v>
      </ns0:c>
      <ns0:c r="CM86" t="n">
        <ns0:f>IF($A86="",1,IF(CL86=1,1,--AND(IF($AC86&gt;0,INDEX(CL$7:CL$106,$AC86),1),IF($AD86&gt;0,INDEX(CL$7:CL$106,$AD86),1),IF($AE86&gt;0,INDEX(CL$7:CL$106,$AE86),1),IF($AF86&gt;0,INDEX(CL$7:CL$106,$AF86),1),IF($AG86&gt;0,INDEX(CL$7:CL$106,$AG86),1),IF($AH86&gt;0,INDEX(CL$7:CL$106,$AH86),1),IF($AI86&gt;0,INDEX(CL$7:CL$106,$AI86),1),IF($AJ86&gt;0,INDEX(CL$7:CL$106,$AJ86),1))))</ns0:f>
        <ns0:v>1</ns0:v>
      </ns0:c>
      <ns0:c r="CN86" t="n">
        <ns0:f>IF($A86="",1,IF(CM86=1,1,--AND(IF($AC86&gt;0,INDEX(CM$7:CM$106,$AC86),1),IF($AD86&gt;0,INDEX(CM$7:CM$106,$AD86),1),IF($AE86&gt;0,INDEX(CM$7:CM$106,$AE86),1),IF($AF86&gt;0,INDEX(CM$7:CM$106,$AF86),1),IF($AG86&gt;0,INDEX(CM$7:CM$106,$AG86),1),IF($AH86&gt;0,INDEX(CM$7:CM$106,$AH86),1),IF($AI86&gt;0,INDEX(CM$7:CM$106,$AI86),1),IF($AJ86&gt;0,INDEX(CM$7:CM$106,$AJ86),1))))</ns0:f>
        <ns0:v>1</ns0:v>
      </ns0:c>
      <ns0:c r="CO86" t="n">
        <ns0:f>IF($A86="",1,IF(CN86=1,1,--AND(IF($AC86&gt;0,INDEX(CN$7:CN$106,$AC86),1),IF($AD86&gt;0,INDEX(CN$7:CN$106,$AD86),1),IF($AE86&gt;0,INDEX(CN$7:CN$106,$AE86),1),IF($AF86&gt;0,INDEX(CN$7:CN$106,$AF86),1),IF($AG86&gt;0,INDEX(CN$7:CN$106,$AG86),1),IF($AH86&gt;0,INDEX(CN$7:CN$106,$AH86),1),IF($AI86&gt;0,INDEX(CN$7:CN$106,$AI86),1),IF($AJ86&gt;0,INDEX(CN$7:CN$106,$AJ86),1))))</ns0:f>
        <ns0:v>1</ns0:v>
      </ns0:c>
      <ns0:c r="CP86" t="n">
        <ns0:f>IF($A86="",1,IF(CO86=1,1,--AND(IF($AC86&gt;0,INDEX(CO$7:CO$106,$AC86),1),IF($AD86&gt;0,INDEX(CO$7:CO$106,$AD86),1),IF($AE86&gt;0,INDEX(CO$7:CO$106,$AE86),1),IF($AF86&gt;0,INDEX(CO$7:CO$106,$AF86),1),IF($AG86&gt;0,INDEX(CO$7:CO$106,$AG86),1),IF($AH86&gt;0,INDEX(CO$7:CO$106,$AH86),1),IF($AI86&gt;0,INDEX(CO$7:CO$106,$AI86),1),IF($AJ86&gt;0,INDEX(CO$7:CO$106,$AJ86),1))))</ns0:f>
        <ns0:v>1</ns0:v>
      </ns0:c>
      <ns0:c r="CQ86" t="n">
        <ns0:f>IF($A86="",1,IF(CP86=1,1,--AND(IF($AC86&gt;0,INDEX(CP$7:CP$106,$AC86),1),IF($AD86&gt;0,INDEX(CP$7:CP$106,$AD86),1),IF($AE86&gt;0,INDEX(CP$7:CP$106,$AE86),1),IF($AF86&gt;0,INDEX(CP$7:CP$106,$AF86),1),IF($AG86&gt;0,INDEX(CP$7:CP$106,$AG86),1),IF($AH86&gt;0,INDEX(CP$7:CP$106,$AH86),1),IF($AI86&gt;0,INDEX(CP$7:CP$106,$AI86),1),IF($AJ86&gt;0,INDEX(CP$7:CP$106,$AJ86),1))))</ns0:f>
        <ns0:v>1</ns0:v>
      </ns0:c>
      <ns0:c r="CR86" t="n">
        <ns0:f>IF($A86="",1,IF(CQ86=1,1,--AND(IF($AC86&gt;0,INDEX(CQ$7:CQ$106,$AC86),1),IF($AD86&gt;0,INDEX(CQ$7:CQ$106,$AD86),1),IF($AE86&gt;0,INDEX(CQ$7:CQ$106,$AE86),1),IF($AF86&gt;0,INDEX(CQ$7:CQ$106,$AF86),1),IF($AG86&gt;0,INDEX(CQ$7:CQ$106,$AG86),1),IF($AH86&gt;0,INDEX(CQ$7:CQ$106,$AH86),1),IF($AI86&gt;0,INDEX(CQ$7:CQ$106,$AI86),1),IF($AJ86&gt;0,INDEX(CQ$7:CQ$106,$AJ86),1))))</ns0:f>
        <ns0:v>1</ns0:v>
      </ns0:c>
      <ns0:c r="CS86" t="n">
        <ns0:f>IF($A86="",1,IF(CR86=1,1,--AND(IF($AC86&gt;0,INDEX(CR$7:CR$106,$AC86),1),IF($AD86&gt;0,INDEX(CR$7:CR$106,$AD86),1),IF($AE86&gt;0,INDEX(CR$7:CR$106,$AE86),1),IF($AF86&gt;0,INDEX(CR$7:CR$106,$AF86),1),IF($AG86&gt;0,INDEX(CR$7:CR$106,$AG86),1),IF($AH86&gt;0,INDEX(CR$7:CR$106,$AH86),1),IF($AI86&gt;0,INDEX(CR$7:CR$106,$AI86),1),IF($AJ86&gt;0,INDEX(CR$7:CR$106,$AJ86),1))))</ns0:f>
        <ns0:v>1</ns0:v>
      </ns0:c>
      <ns0:c r="CT86" t="n">
        <ns0:f>IF($A86="",1,IF(CS86=1,1,--AND(IF($AC86&gt;0,INDEX(CS$7:CS$106,$AC86),1),IF($AD86&gt;0,INDEX(CS$7:CS$106,$AD86),1),IF($AE86&gt;0,INDEX(CS$7:CS$106,$AE86),1),IF($AF86&gt;0,INDEX(CS$7:CS$106,$AF86),1),IF($AG86&gt;0,INDEX(CS$7:CS$106,$AG86),1),IF($AH86&gt;0,INDEX(CS$7:CS$106,$AH86),1),IF($AI86&gt;0,INDEX(CS$7:CS$106,$AI86),1),IF($AJ86&gt;0,INDEX(CS$7:CS$106,$AJ86),1))))</ns0:f>
        <ns0:v>1</ns0:v>
      </ns0:c>
      <ns0:c r="CU86" t="n">
        <ns0:f>IF($A86="",1,IF(CT86=1,1,--AND(IF($AC86&gt;0,INDEX(CT$7:CT$106,$AC86),1),IF($AD86&gt;0,INDEX(CT$7:CT$106,$AD86),1),IF($AE86&gt;0,INDEX(CT$7:CT$106,$AE86),1),IF($AF86&gt;0,INDEX(CT$7:CT$106,$AF86),1),IF($AG86&gt;0,INDEX(CT$7:CT$106,$AG86),1),IF($AH86&gt;0,INDEX(CT$7:CT$106,$AH86),1),IF($AI86&gt;0,INDEX(CT$7:CT$106,$AI86),1),IF($AJ86&gt;0,INDEX(CT$7:CT$106,$AJ86),1))))</ns0:f>
        <ns0:v>1</ns0:v>
      </ns0:c>
      <ns0:c r="CV86" t="n">
        <ns0:f>IF($A86="",1,IF(CU86=1,1,--AND(IF($AC86&gt;0,INDEX(CU$7:CU$106,$AC86),1),IF($AD86&gt;0,INDEX(CU$7:CU$106,$AD86),1),IF($AE86&gt;0,INDEX(CU$7:CU$106,$AE86),1),IF($AF86&gt;0,INDEX(CU$7:CU$106,$AF86),1),IF($AG86&gt;0,INDEX(CU$7:CU$106,$AG86),1),IF($AH86&gt;0,INDEX(CU$7:CU$106,$AH86),1),IF($AI86&gt;0,INDEX(CU$7:CU$106,$AI86),1),IF($AJ86&gt;0,INDEX(CU$7:CU$106,$AJ86),1))))</ns0:f>
        <ns0:v>1</ns0:v>
      </ns0:c>
      <ns0:c r="CW86" t="n">
        <ns0:f>IF($A86="",1,IF(CV86=1,1,--AND(IF($AC86&gt;0,INDEX(CV$7:CV$106,$AC86),1),IF($AD86&gt;0,INDEX(CV$7:CV$106,$AD86),1),IF($AE86&gt;0,INDEX(CV$7:CV$106,$AE86),1),IF($AF86&gt;0,INDEX(CV$7:CV$106,$AF86),1),IF($AG86&gt;0,INDEX(CV$7:CV$106,$AG86),1),IF($AH86&gt;0,INDEX(CV$7:CV$106,$AH86),1),IF($AI86&gt;0,INDEX(CV$7:CV$106,$AI86),1),IF($AJ86&gt;0,INDEX(CV$7:CV$106,$AJ86),1))))</ns0:f>
        <ns0:v>1</ns0:v>
      </ns0:c>
      <ns0:c r="CX86" t="n">
        <ns0:f>IF($A86="",1,IF(CW86=1,1,--AND(IF($AC86&gt;0,INDEX(CW$7:CW$106,$AC86),1),IF($AD86&gt;0,INDEX(CW$7:CW$106,$AD86),1),IF($AE86&gt;0,INDEX(CW$7:CW$106,$AE86),1),IF($AF86&gt;0,INDEX(CW$7:CW$106,$AF86),1),IF($AG86&gt;0,INDEX(CW$7:CW$106,$AG86),1),IF($AH86&gt;0,INDEX(CW$7:CW$106,$AH86),1),IF($AI86&gt;0,INDEX(CW$7:CW$106,$AI86),1),IF($AJ86&gt;0,INDEX(CW$7:CW$106,$AJ86),1))))</ns0:f>
        <ns0:v>1</ns0:v>
      </ns0:c>
      <ns0:c r="CY86" t="n">
        <ns0:f>IF($A86="",1,IF(CX86=1,1,--AND(IF($AC86&gt;0,INDEX(CX$7:CX$106,$AC86),1),IF($AD86&gt;0,INDEX(CX$7:CX$106,$AD86),1),IF($AE86&gt;0,INDEX(CX$7:CX$106,$AE86),1),IF($AF86&gt;0,INDEX(CX$7:CX$106,$AF86),1),IF($AG86&gt;0,INDEX(CX$7:CX$106,$AG86),1),IF($AH86&gt;0,INDEX(CX$7:CX$106,$AH86),1),IF($AI86&gt;0,INDEX(CX$7:CX$106,$AI86),1),IF($AJ86&gt;0,INDEX(CX$7:CX$106,$AJ86),1))))</ns0:f>
        <ns0:v>1</ns0:v>
      </ns0:c>
      <ns0:c r="CZ86" t="n">
        <ns0:f>IF($A86="",1,IF(CY86=1,1,--AND(IF($AC86&gt;0,INDEX(CY$7:CY$106,$AC86),1),IF($AD86&gt;0,INDEX(CY$7:CY$106,$AD86),1),IF($AE86&gt;0,INDEX(CY$7:CY$106,$AE86),1),IF($AF86&gt;0,INDEX(CY$7:CY$106,$AF86),1),IF($AG86&gt;0,INDEX(CY$7:CY$106,$AG86),1),IF($AH86&gt;0,INDEX(CY$7:CY$106,$AH86),1),IF($AI86&gt;0,INDEX(CY$7:CY$106,$AI86),1),IF($AJ86&gt;0,INDEX(CY$7:CY$106,$AJ86),1))))</ns0:f>
        <ns0:v>1</ns0:v>
      </ns0:c>
      <ns0:c r="DA86" t="n">
        <ns0:f>IF($A86="",1,IF(CZ86=1,1,--AND(IF($AC86&gt;0,INDEX(CZ$7:CZ$106,$AC86),1),IF($AD86&gt;0,INDEX(CZ$7:CZ$106,$AD86),1),IF($AE86&gt;0,INDEX(CZ$7:CZ$106,$AE86),1),IF($AF86&gt;0,INDEX(CZ$7:CZ$106,$AF86),1),IF($AG86&gt;0,INDEX(CZ$7:CZ$106,$AG86),1),IF($AH86&gt;0,INDEX(CZ$7:CZ$106,$AH86),1),IF($AI86&gt;0,INDEX(CZ$7:CZ$106,$AI86),1),IF($AJ86&gt;0,INDEX(CZ$7:CZ$106,$AJ86),1))))</ns0:f>
        <ns0:v>1</ns0:v>
      </ns0:c>
      <ns0:c r="DB86" t="n">
        <ns0:f>IF($A86="",1,IF(DA86=1,1,--AND(IF($AC86&gt;0,INDEX(DA$7:DA$106,$AC86),1),IF($AD86&gt;0,INDEX(DA$7:DA$106,$AD86),1),IF($AE86&gt;0,INDEX(DA$7:DA$106,$AE86),1),IF($AF86&gt;0,INDEX(DA$7:DA$106,$AF86),1),IF($AG86&gt;0,INDEX(DA$7:DA$106,$AG86),1),IF($AH86&gt;0,INDEX(DA$7:DA$106,$AH86),1),IF($AI86&gt;0,INDEX(DA$7:DA$106,$AI86),1),IF($AJ86&gt;0,INDEX(DA$7:DA$106,$AJ86),1))))</ns0:f>
        <ns0:v>1</ns0:v>
      </ns0:c>
      <ns0:c r="DC86" t="n">
        <ns0:f>IF($A86="",1,IF(DB86=1,1,--AND(IF($AC86&gt;0,INDEX(DB$7:DB$106,$AC86),1),IF($AD86&gt;0,INDEX(DB$7:DB$106,$AD86),1),IF($AE86&gt;0,INDEX(DB$7:DB$106,$AE86),1),IF($AF86&gt;0,INDEX(DB$7:DB$106,$AF86),1),IF($AG86&gt;0,INDEX(DB$7:DB$106,$AG86),1),IF($AH86&gt;0,INDEX(DB$7:DB$106,$AH86),1),IF($AI86&gt;0,INDEX(DB$7:DB$106,$AI86),1),IF($AJ86&gt;0,INDEX(DB$7:DB$106,$AJ86),1))))</ns0:f>
        <ns0:v>1</ns0:v>
      </ns0:c>
      <ns0:c r="DD86" t="n">
        <ns0:f>IF($A86="",1,IF(DC86=1,1,--AND(IF($AC86&gt;0,INDEX(DC$7:DC$106,$AC86),1),IF($AD86&gt;0,INDEX(DC$7:DC$106,$AD86),1),IF($AE86&gt;0,INDEX(DC$7:DC$106,$AE86),1),IF($AF86&gt;0,INDEX(DC$7:DC$106,$AF86),1),IF($AG86&gt;0,INDEX(DC$7:DC$106,$AG86),1),IF($AH86&gt;0,INDEX(DC$7:DC$106,$AH86),1),IF($AI86&gt;0,INDEX(DC$7:DC$106,$AI86),1),IF($AJ86&gt;0,INDEX(DC$7:DC$106,$AJ86),1))))</ns0:f>
        <ns0:v>1</ns0:v>
      </ns0:c>
      <ns0:c r="DE86" t="n">
        <ns0:f>IF($A86="",1,IF(DD86=1,1,--AND(IF($AC86&gt;0,INDEX(DD$7:DD$106,$AC86),1),IF($AD86&gt;0,INDEX(DD$7:DD$106,$AD86),1),IF($AE86&gt;0,INDEX(DD$7:DD$106,$AE86),1),IF($AF86&gt;0,INDEX(DD$7:DD$106,$AF86),1),IF($AG86&gt;0,INDEX(DD$7:DD$106,$AG86),1),IF($AH86&gt;0,INDEX(DD$7:DD$106,$AH86),1),IF($AI86&gt;0,INDEX(DD$7:DD$106,$AI86),1),IF($AJ86&gt;0,INDEX(DD$7:DD$106,$AJ86),1))))</ns0:f>
        <ns0:v>1</ns0:v>
      </ns0:c>
      <ns0:c r="DF86" t="n">
        <ns0:f>IF($A86="",1,IF(DE86=1,1,--AND(IF($AC86&gt;0,INDEX(DE$7:DE$106,$AC86),1),IF($AD86&gt;0,INDEX(DE$7:DE$106,$AD86),1),IF($AE86&gt;0,INDEX(DE$7:DE$106,$AE86),1),IF($AF86&gt;0,INDEX(DE$7:DE$106,$AF86),1),IF($AG86&gt;0,INDEX(DE$7:DE$106,$AG86),1),IF($AH86&gt;0,INDEX(DE$7:DE$106,$AH86),1),IF($AI86&gt;0,INDEX(DE$7:DE$106,$AI86),1),IF($AJ86&gt;0,INDEX(DE$7:DE$106,$AJ86),1))))</ns0:f>
        <ns0:v>1</ns0:v>
      </ns0:c>
      <ns0:c r="DG86" t="n">
        <ns0:f>IF($A86="",1,IF(DF86=1,1,--AND(IF($AC86&gt;0,INDEX(DF$7:DF$106,$AC86),1),IF($AD86&gt;0,INDEX(DF$7:DF$106,$AD86),1),IF($AE86&gt;0,INDEX(DF$7:DF$106,$AE86),1),IF($AF86&gt;0,INDEX(DF$7:DF$106,$AF86),1),IF($AG86&gt;0,INDEX(DF$7:DF$106,$AG86),1),IF($AH86&gt;0,INDEX(DF$7:DF$106,$AH86),1),IF($AI86&gt;0,INDEX(DF$7:DF$106,$AI86),1),IF($AJ86&gt;0,INDEX(DF$7:DF$106,$AJ86),1))))</ns0:f>
        <ns0:v>1</ns0:v>
      </ns0:c>
      <ns0:c r="DH86" t="n">
        <ns0:f>IF($A86="",1,IF(DG86=1,1,--AND(IF($AC86&gt;0,INDEX(DG$7:DG$106,$AC86),1),IF($AD86&gt;0,INDEX(DG$7:DG$106,$AD86),1),IF($AE86&gt;0,INDEX(DG$7:DG$106,$AE86),1),IF($AF86&gt;0,INDEX(DG$7:DG$106,$AF86),1),IF($AG86&gt;0,INDEX(DG$7:DG$106,$AG86),1),IF($AH86&gt;0,INDEX(DG$7:DG$106,$AH86),1),IF($AI86&gt;0,INDEX(DG$7:DG$106,$AI86),1),IF($AJ86&gt;0,INDEX(DG$7:DG$106,$AJ86),1))))</ns0:f>
        <ns0:v>1</ns0:v>
      </ns0:c>
      <ns0:c r="DI86" t="n">
        <ns0:f>IF($A86="",1,IF(DH86=1,1,--AND(IF($AC86&gt;0,INDEX(DH$7:DH$106,$AC86),1),IF($AD86&gt;0,INDEX(DH$7:DH$106,$AD86),1),IF($AE86&gt;0,INDEX(DH$7:DH$106,$AE86),1),IF($AF86&gt;0,INDEX(DH$7:DH$106,$AF86),1),IF($AG86&gt;0,INDEX(DH$7:DH$106,$AG86),1),IF($AH86&gt;0,INDEX(DH$7:DH$106,$AH86),1),IF($AI86&gt;0,INDEX(DH$7:DH$106,$AI86),1),IF($AJ86&gt;0,INDEX(DH$7:DH$106,$AJ86),1))))</ns0:f>
        <ns0:v>1</ns0:v>
      </ns0:c>
      <ns0:c r="DJ86" t="n">
        <ns0:f>IF($A86="",1,IF(DI86=1,1,--AND(IF($AC86&gt;0,INDEX(DI$7:DI$106,$AC86),1),IF($AD86&gt;0,INDEX(DI$7:DI$106,$AD86),1),IF($AE86&gt;0,INDEX(DI$7:DI$106,$AE86),1),IF($AF86&gt;0,INDEX(DI$7:DI$106,$AF86),1),IF($AG86&gt;0,INDEX(DI$7:DI$106,$AG86),1),IF($AH86&gt;0,INDEX(DI$7:DI$106,$AH86),1),IF($AI86&gt;0,INDEX(DI$7:DI$106,$AI86),1),IF($AJ86&gt;0,INDEX(DI$7:DI$106,$AJ86),1))))</ns0:f>
        <ns0:v>1</ns0:v>
      </ns0:c>
      <ns0:c r="DK86" t="n">
        <ns0:f>IF($A86="",1,IF(DJ86=1,1,--AND(IF($AC86&gt;0,INDEX(DJ$7:DJ$106,$AC86),1),IF($AD86&gt;0,INDEX(DJ$7:DJ$106,$AD86),1),IF($AE86&gt;0,INDEX(DJ$7:DJ$106,$AE86),1),IF($AF86&gt;0,INDEX(DJ$7:DJ$106,$AF86),1),IF($AG86&gt;0,INDEX(DJ$7:DJ$106,$AG86),1),IF($AH86&gt;0,INDEX(DJ$7:DJ$106,$AH86),1),IF($AI86&gt;0,INDEX(DJ$7:DJ$106,$AI86),1),IF($AJ86&gt;0,INDEX(DJ$7:DJ$106,$AJ86),1))))</ns0:f>
        <ns0:v>1</ns0:v>
      </ns0:c>
      <ns0:c r="DL86" t="n">
        <ns0:f>IF($A86="",1,IF(DK86=1,1,--AND(IF($AC86&gt;0,INDEX(DK$7:DK$106,$AC86),1),IF($AD86&gt;0,INDEX(DK$7:DK$106,$AD86),1),IF($AE86&gt;0,INDEX(DK$7:DK$106,$AE86),1),IF($AF86&gt;0,INDEX(DK$7:DK$106,$AF86),1),IF($AG86&gt;0,INDEX(DK$7:DK$106,$AG86),1),IF($AH86&gt;0,INDEX(DK$7:DK$106,$AH86),1),IF($AI86&gt;0,INDEX(DK$7:DK$106,$AI86),1),IF($AJ86&gt;0,INDEX(DK$7:DK$106,$AJ86),1))))</ns0:f>
        <ns0:v>1</ns0:v>
      </ns0:c>
      <ns0:c r="DM86" t="n">
        <ns0:f>IF($A86="",1,IF(DL86=1,1,--AND(IF($AC86&gt;0,INDEX(DL$7:DL$106,$AC86),1),IF($AD86&gt;0,INDEX(DL$7:DL$106,$AD86),1),IF($AE86&gt;0,INDEX(DL$7:DL$106,$AE86),1),IF($AF86&gt;0,INDEX(DL$7:DL$106,$AF86),1),IF($AG86&gt;0,INDEX(DL$7:DL$106,$AG86),1),IF($AH86&gt;0,INDEX(DL$7:DL$106,$AH86),1),IF($AI86&gt;0,INDEX(DL$7:DL$106,$AI86),1),IF($AJ86&gt;0,INDEX(DL$7:DL$106,$AJ86),1))))</ns0:f>
        <ns0:v>1</ns0:v>
      </ns0:c>
      <ns0:c r="DN86" t="n">
        <ns0:f>IF($A86="",1,IF(DM86=1,1,--AND(IF($AC86&gt;0,INDEX(DM$7:DM$106,$AC86),1),IF($AD86&gt;0,INDEX(DM$7:DM$106,$AD86),1),IF($AE86&gt;0,INDEX(DM$7:DM$106,$AE86),1),IF($AF86&gt;0,INDEX(DM$7:DM$106,$AF86),1),IF($AG86&gt;0,INDEX(DM$7:DM$106,$AG86),1),IF($AH86&gt;0,INDEX(DM$7:DM$106,$AH86),1),IF($AI86&gt;0,INDEX(DM$7:DM$106,$AI86),1),IF($AJ86&gt;0,INDEX(DM$7:DM$106,$AJ86),1))))</ns0:f>
        <ns0:v>1</ns0:v>
      </ns0:c>
      <ns0:c r="DO86" t="n">
        <ns0:f>IF($A86="",1,IF(DN86=1,1,--AND(IF($AC86&gt;0,INDEX(DN$7:DN$106,$AC86),1),IF($AD86&gt;0,INDEX(DN$7:DN$106,$AD86),1),IF($AE86&gt;0,INDEX(DN$7:DN$106,$AE86),1),IF($AF86&gt;0,INDEX(DN$7:DN$106,$AF86),1),IF($AG86&gt;0,INDEX(DN$7:DN$106,$AG86),1),IF($AH86&gt;0,INDEX(DN$7:DN$106,$AH86),1),IF($AI86&gt;0,INDEX(DN$7:DN$106,$AI86),1),IF($AJ86&gt;0,INDEX(DN$7:DN$106,$AJ86),1))))</ns0:f>
        <ns0:v>1</ns0:v>
      </ns0:c>
      <ns0:c r="DP86" t="n">
        <ns0:f>IF($A86="",1,IF(DO86=1,1,--AND(IF($AC86&gt;0,INDEX(DO$7:DO$106,$AC86),1),IF($AD86&gt;0,INDEX(DO$7:DO$106,$AD86),1),IF($AE86&gt;0,INDEX(DO$7:DO$106,$AE86),1),IF($AF86&gt;0,INDEX(DO$7:DO$106,$AF86),1),IF($AG86&gt;0,INDEX(DO$7:DO$106,$AG86),1),IF($AH86&gt;0,INDEX(DO$7:DO$106,$AH86),1),IF($AI86&gt;0,INDEX(DO$7:DO$106,$AI86),1),IF($AJ86&gt;0,INDEX(DO$7:DO$106,$AJ86),1))))</ns0:f>
        <ns0:v>1</ns0:v>
      </ns0:c>
      <ns0:c r="DQ86" t="n">
        <ns0:f>IF($A86="",1,IF(DP86=1,1,--AND(IF($AC86&gt;0,INDEX(DP$7:DP$106,$AC86),1),IF($AD86&gt;0,INDEX(DP$7:DP$106,$AD86),1),IF($AE86&gt;0,INDEX(DP$7:DP$106,$AE86),1),IF($AF86&gt;0,INDEX(DP$7:DP$106,$AF86),1),IF($AG86&gt;0,INDEX(DP$7:DP$106,$AG86),1),IF($AH86&gt;0,INDEX(DP$7:DP$106,$AH86),1),IF($AI86&gt;0,INDEX(DP$7:DP$106,$AI86),1),IF($AJ86&gt;0,INDEX(DP$7:DP$106,$AJ86),1))))</ns0:f>
        <ns0:v>1</ns0:v>
      </ns0:c>
      <ns0:c r="DR86" t="n">
        <ns0:f>IF($A86="",1,IF(DQ86=1,1,--AND(IF($AC86&gt;0,INDEX(DQ$7:DQ$106,$AC86),1),IF($AD86&gt;0,INDEX(DQ$7:DQ$106,$AD86),1),IF($AE86&gt;0,INDEX(DQ$7:DQ$106,$AE86),1),IF($AF86&gt;0,INDEX(DQ$7:DQ$106,$AF86),1),IF($AG86&gt;0,INDEX(DQ$7:DQ$106,$AG86),1),IF($AH86&gt;0,INDEX(DQ$7:DQ$106,$AH86),1),IF($AI86&gt;0,INDEX(DQ$7:DQ$106,$AI86),1),IF($AJ86&gt;0,INDEX(DQ$7:DQ$106,$AJ86),1))))</ns0:f>
        <ns0:v>1</ns0:v>
      </ns0:c>
      <ns0:c r="DS86" t="n">
        <ns0:f>IF($A86="",1,IF(DR86=1,1,--AND(IF($AC86&gt;0,INDEX(DR$7:DR$106,$AC86),1),IF($AD86&gt;0,INDEX(DR$7:DR$106,$AD86),1),IF($AE86&gt;0,INDEX(DR$7:DR$106,$AE86),1),IF($AF86&gt;0,INDEX(DR$7:DR$106,$AF86),1),IF($AG86&gt;0,INDEX(DR$7:DR$106,$AG86),1),IF($AH86&gt;0,INDEX(DR$7:DR$106,$AH86),1),IF($AI86&gt;0,INDEX(DR$7:DR$106,$AI86),1),IF($AJ86&gt;0,INDEX(DR$7:DR$106,$AJ86),1))))</ns0:f>
        <ns0:v>1</ns0:v>
      </ns0:c>
      <ns0:c r="DT86" t="n">
        <ns0:f>IF($A86="",1,IF(DS86=1,1,--AND(IF($AC86&gt;0,INDEX(DS$7:DS$106,$AC86),1),IF($AD86&gt;0,INDEX(DS$7:DS$106,$AD86),1),IF($AE86&gt;0,INDEX(DS$7:DS$106,$AE86),1),IF($AF86&gt;0,INDEX(DS$7:DS$106,$AF86),1),IF($AG86&gt;0,INDEX(DS$7:DS$106,$AG86),1),IF($AH86&gt;0,INDEX(DS$7:DS$106,$AH86),1),IF($AI86&gt;0,INDEX(DS$7:DS$106,$AI86),1),IF($AJ86&gt;0,INDEX(DS$7:DS$106,$AJ86),1))))</ns0:f>
        <ns0:v>1</ns0:v>
      </ns0:c>
      <ns0:c r="DU86" t="n">
        <ns0:f>IF($A86="",1,IF(DT86=1,1,--AND(IF($AC86&gt;0,INDEX(DT$7:DT$106,$AC86),1),IF($AD86&gt;0,INDEX(DT$7:DT$106,$AD86),1),IF($AE86&gt;0,INDEX(DT$7:DT$106,$AE86),1),IF($AF86&gt;0,INDEX(DT$7:DT$106,$AF86),1),IF($AG86&gt;0,INDEX(DT$7:DT$106,$AG86),1),IF($AH86&gt;0,INDEX(DT$7:DT$106,$AH86),1),IF($AI86&gt;0,INDEX(DT$7:DT$106,$AI86),1),IF($AJ86&gt;0,INDEX(DT$7:DT$106,$AJ86),1))))</ns0:f>
        <ns0:v>1</ns0:v>
      </ns0:c>
      <ns0:c r="DV86" t="n">
        <ns0:f>IF($A86="",1,IF(DU86=1,1,--AND(IF($AC86&gt;0,INDEX(DU$7:DU$106,$AC86),1),IF($AD86&gt;0,INDEX(DU$7:DU$106,$AD86),1),IF($AE86&gt;0,INDEX(DU$7:DU$106,$AE86),1),IF($AF86&gt;0,INDEX(DU$7:DU$106,$AF86),1),IF($AG86&gt;0,INDEX(DU$7:DU$106,$AG86),1),IF($AH86&gt;0,INDEX(DU$7:DU$106,$AH86),1),IF($AI86&gt;0,INDEX(DU$7:DU$106,$AI86),1),IF($AJ86&gt;0,INDEX(DU$7:DU$106,$AJ86),1))))</ns0:f>
        <ns0:v>1</ns0:v>
      </ns0:c>
      <ns0:c r="DW86" t="n">
        <ns0:f>IF($A86="",1,IF(DV86=1,1,--AND(IF($AC86&gt;0,INDEX(DV$7:DV$106,$AC86),1),IF($AD86&gt;0,INDEX(DV$7:DV$106,$AD86),1),IF($AE86&gt;0,INDEX(DV$7:DV$106,$AE86),1),IF($AF86&gt;0,INDEX(DV$7:DV$106,$AF86),1),IF($AG86&gt;0,INDEX(DV$7:DV$106,$AG86),1),IF($AH86&gt;0,INDEX(DV$7:DV$106,$AH86),1),IF($AI86&gt;0,INDEX(DV$7:DV$106,$AI86),1),IF($AJ86&gt;0,INDEX(DV$7:DV$106,$AJ86),1))))</ns0:f>
        <ns0:v>1</ns0:v>
      </ns0:c>
      <ns0:c r="DX86" t="n">
        <ns0:f>IF($A86="",1,IF(DW86=1,1,--AND(IF($AC86&gt;0,INDEX(DW$7:DW$106,$AC86),1),IF($AD86&gt;0,INDEX(DW$7:DW$106,$AD86),1),IF($AE86&gt;0,INDEX(DW$7:DW$106,$AE86),1),IF($AF86&gt;0,INDEX(DW$7:DW$106,$AF86),1),IF($AG86&gt;0,INDEX(DW$7:DW$106,$AG86),1),IF($AH86&gt;0,INDEX(DW$7:DW$106,$AH86),1),IF($AI86&gt;0,INDEX(DW$7:DW$106,$AI86),1),IF($AJ86&gt;0,INDEX(DW$7:DW$106,$AJ86),1))))</ns0:f>
        <ns0:v>1</ns0:v>
      </ns0:c>
      <ns0:c r="DY86" t="n">
        <ns0:f>IF($A86="",1,IF(DX86=1,1,--AND(IF($AC86&gt;0,INDEX(DX$7:DX$106,$AC86),1),IF($AD86&gt;0,INDEX(DX$7:DX$106,$AD86),1),IF($AE86&gt;0,INDEX(DX$7:DX$106,$AE86),1),IF($AF86&gt;0,INDEX(DX$7:DX$106,$AF86),1),IF($AG86&gt;0,INDEX(DX$7:DX$106,$AG86),1),IF($AH86&gt;0,INDEX(DX$7:DX$106,$AH86),1),IF($AI86&gt;0,INDEX(DX$7:DX$106,$AI86),1),IF($AJ86&gt;0,INDEX(DX$7:DX$106,$AJ86),1))))</ns0:f>
        <ns0:v>1</ns0:v>
      </ns0:c>
      <ns0:c r="DZ86" t="n">
        <ns0:f>IF($A86="",1,IF(DY86=1,1,--AND(IF($AC86&gt;0,INDEX(DY$7:DY$106,$AC86),1),IF($AD86&gt;0,INDEX(DY$7:DY$106,$AD86),1),IF($AE86&gt;0,INDEX(DY$7:DY$106,$AE86),1),IF($AF86&gt;0,INDEX(DY$7:DY$106,$AF86),1),IF($AG86&gt;0,INDEX(DY$7:DY$106,$AG86),1),IF($AH86&gt;0,INDEX(DY$7:DY$106,$AH86),1),IF($AI86&gt;0,INDEX(DY$7:DY$106,$AI86),1),IF($AJ86&gt;0,INDEX(DY$7:DY$106,$AJ86),1))))</ns0:f>
        <ns0:v>1</ns0:v>
      </ns0:c>
      <ns0:c r="EA86" t="n">
        <ns0:f>IF($A86="",1,IF(DZ86=1,1,--AND(IF($AC86&gt;0,INDEX(DZ$7:DZ$106,$AC86),1),IF($AD86&gt;0,INDEX(DZ$7:DZ$106,$AD86),1),IF($AE86&gt;0,INDEX(DZ$7:DZ$106,$AE86),1),IF($AF86&gt;0,INDEX(DZ$7:DZ$106,$AF86),1),IF($AG86&gt;0,INDEX(DZ$7:DZ$106,$AG86),1),IF($AH86&gt;0,INDEX(DZ$7:DZ$106,$AH86),1),IF($AI86&gt;0,INDEX(DZ$7:DZ$106,$AI86),1),IF($AJ86&gt;0,INDEX(DZ$7:DZ$106,$AJ86),1))))</ns0:f>
        <ns0:v>1</ns0:v>
      </ns0:c>
      <ns0:c r="EB86" t="n">
        <ns0:f>IF($A86="",1,IF(EA86=1,1,--AND(IF($AC86&gt;0,INDEX(EA$7:EA$106,$AC86),1),IF($AD86&gt;0,INDEX(EA$7:EA$106,$AD86),1),IF($AE86&gt;0,INDEX(EA$7:EA$106,$AE86),1),IF($AF86&gt;0,INDEX(EA$7:EA$106,$AF86),1),IF($AG86&gt;0,INDEX(EA$7:EA$106,$AG86),1),IF($AH86&gt;0,INDEX(EA$7:EA$106,$AH86),1),IF($AI86&gt;0,INDEX(EA$7:EA$106,$AI86),1),IF($AJ86&gt;0,INDEX(EA$7:EA$106,$AJ86),1))))</ns0:f>
        <ns0:v>1</ns0:v>
      </ns0:c>
      <ns0:c r="EC86" t="n">
        <ns0:f>IF($A86="",1,IF(EB86=1,1,--AND(IF($AC86&gt;0,INDEX(EB$7:EB$106,$AC86),1),IF($AD86&gt;0,INDEX(EB$7:EB$106,$AD86),1),IF($AE86&gt;0,INDEX(EB$7:EB$106,$AE86),1),IF($AF86&gt;0,INDEX(EB$7:EB$106,$AF86),1),IF($AG86&gt;0,INDEX(EB$7:EB$106,$AG86),1),IF($AH86&gt;0,INDEX(EB$7:EB$106,$AH86),1),IF($AI86&gt;0,INDEX(EB$7:EB$106,$AI86),1),IF($AJ86&gt;0,INDEX(EB$7:EB$106,$AJ86),1))))</ns0:f>
        <ns0:v>1</ns0:v>
      </ns0:c>
      <ns0:c r="ED86" t="n">
        <ns0:f>IF($A86="",1,IF(EC86=1,1,--AND(IF($AC86&gt;0,INDEX(EC$7:EC$106,$AC86),1),IF($AD86&gt;0,INDEX(EC$7:EC$106,$AD86),1),IF($AE86&gt;0,INDEX(EC$7:EC$106,$AE86),1),IF($AF86&gt;0,INDEX(EC$7:EC$106,$AF86),1),IF($AG86&gt;0,INDEX(EC$7:EC$106,$AG86),1),IF($AH86&gt;0,INDEX(EC$7:EC$106,$AH86),1),IF($AI86&gt;0,INDEX(EC$7:EC$106,$AI86),1),IF($AJ86&gt;0,INDEX(EC$7:EC$106,$AJ86),1))))</ns0:f>
        <ns0:v>1</ns0:v>
      </ns0:c>
      <ns0:c r="EE86" t="n">
        <ns0:f>IF($A86="",1,IF(ED86=1,1,--AND(IF($AC86&gt;0,INDEX(ED$7:ED$106,$AC86),1),IF($AD86&gt;0,INDEX(ED$7:ED$106,$AD86),1),IF($AE86&gt;0,INDEX(ED$7:ED$106,$AE86),1),IF($AF86&gt;0,INDEX(ED$7:ED$106,$AF86),1),IF($AG86&gt;0,INDEX(ED$7:ED$106,$AG86),1),IF($AH86&gt;0,INDEX(ED$7:ED$106,$AH86),1),IF($AI86&gt;0,INDEX(ED$7:ED$106,$AI86),1),IF($AJ86&gt;0,INDEX(ED$7:ED$106,$AJ86),1))))</ns0:f>
        <ns0:v>1</ns0:v>
      </ns0:c>
      <ns0:c r="EF86" t="n">
        <ns0:f>IF($A86="",1,IF(EE86=1,1,--AND(IF($AC86&gt;0,INDEX(EE$7:EE$106,$AC86),1),IF($AD86&gt;0,INDEX(EE$7:EE$106,$AD86),1),IF($AE86&gt;0,INDEX(EE$7:EE$106,$AE86),1),IF($AF86&gt;0,INDEX(EE$7:EE$106,$AF86),1),IF($AG86&gt;0,INDEX(EE$7:EE$106,$AG86),1),IF($AH86&gt;0,INDEX(EE$7:EE$106,$AH86),1),IF($AI86&gt;0,INDEX(EE$7:EE$106,$AI86),1),IF($AJ86&gt;0,INDEX(EE$7:EE$106,$AJ86),1))))</ns0:f>
        <ns0:v>1</ns0:v>
      </ns0:c>
      <ns0:c r="EG86" t="n">
        <ns0:f>IF($A86="",1,IF(EF86=1,1,--AND(IF($AC86&gt;0,INDEX(EF$7:EF$106,$AC86),1),IF($AD86&gt;0,INDEX(EF$7:EF$106,$AD86),1),IF($AE86&gt;0,INDEX(EF$7:EF$106,$AE86),1),IF($AF86&gt;0,INDEX(EF$7:EF$106,$AF86),1),IF($AG86&gt;0,INDEX(EF$7:EF$106,$AG86),1),IF($AH86&gt;0,INDEX(EF$7:EF$106,$AH86),1),IF($AI86&gt;0,INDEX(EF$7:EF$106,$AI86),1),IF($AJ86&gt;0,INDEX(EF$7:EF$106,$AJ86),1))))</ns0:f>
        <ns0:v>1</ns0:v>
      </ns0:c>
      <ns0:c r="EH86" t="n">
        <ns0:f>IF($A86="",1,IF(EG86=1,1,--AND(IF($AC86&gt;0,INDEX(EG$7:EG$106,$AC86),1),IF($AD86&gt;0,INDEX(EG$7:EG$106,$AD86),1),IF($AE86&gt;0,INDEX(EG$7:EG$106,$AE86),1),IF($AF86&gt;0,INDEX(EG$7:EG$106,$AF86),1),IF($AG86&gt;0,INDEX(EG$7:EG$106,$AG86),1),IF($AH86&gt;0,INDEX(EG$7:EG$106,$AH86),1),IF($AI86&gt;0,INDEX(EG$7:EG$106,$AI86),1),IF($AJ86&gt;0,INDEX(EG$7:EG$106,$AJ86),1))))</ns0:f>
        <ns0:v>1</ns0:v>
      </ns0:c>
      <ns0:c r="EI86" t="n">
        <ns0:f>IF($A86="",1,IF(EH86=1,1,--AND(IF($AC86&gt;0,INDEX(EH$7:EH$106,$AC86),1),IF($AD86&gt;0,INDEX(EH$7:EH$106,$AD86),1),IF($AE86&gt;0,INDEX(EH$7:EH$106,$AE86),1),IF($AF86&gt;0,INDEX(EH$7:EH$106,$AF86),1),IF($AG86&gt;0,INDEX(EH$7:EH$106,$AG86),1),IF($AH86&gt;0,INDEX(EH$7:EH$106,$AH86),1),IF($AI86&gt;0,INDEX(EH$7:EH$106,$AI86),1),IF($AJ86&gt;0,INDEX(EH$7:EH$106,$AJ86),1))))</ns0:f>
        <ns0:v>1</ns0:v>
      </ns0:c>
      <ns0:c r="EJ86" t="n">
        <ns0:f>IF($A86="",1,IF(EI86=1,1,--AND(IF($AC86&gt;0,INDEX(EI$7:EI$106,$AC86),1),IF($AD86&gt;0,INDEX(EI$7:EI$106,$AD86),1),IF($AE86&gt;0,INDEX(EI$7:EI$106,$AE86),1),IF($AF86&gt;0,INDEX(EI$7:EI$106,$AF86),1),IF($AG86&gt;0,INDEX(EI$7:EI$106,$AG86),1),IF($AH86&gt;0,INDEX(EI$7:EI$106,$AH86),1),IF($AI86&gt;0,INDEX(EI$7:EI$106,$AI86),1),IF($AJ86&gt;0,INDEX(EI$7:EI$106,$AJ86),1))))</ns0:f>
        <ns0:v>1</ns0:v>
      </ns0:c>
      <ns0:c r="EK86" t="n">
        <ns0:f>IF($A86="",1,IF(EJ86=1,1,--AND(IF($AC86&gt;0,INDEX(EJ$7:EJ$106,$AC86),1),IF($AD86&gt;0,INDEX(EJ$7:EJ$106,$AD86),1),IF($AE86&gt;0,INDEX(EJ$7:EJ$106,$AE86),1),IF($AF86&gt;0,INDEX(EJ$7:EJ$106,$AF86),1),IF($AG86&gt;0,INDEX(EJ$7:EJ$106,$AG86),1),IF($AH86&gt;0,INDEX(EJ$7:EJ$106,$AH86),1),IF($AI86&gt;0,INDEX(EJ$7:EJ$106,$AI86),1),IF($AJ86&gt;0,INDEX(EJ$7:EJ$106,$AJ86),1))))</ns0:f>
        <ns0:v>1</ns0:v>
      </ns0:c>
      <ns0:c r="EL86" t="n">
        <ns0:f>IF($A86="",1,IF(EK86=1,1,--AND(IF($AC86&gt;0,INDEX(EK$7:EK$106,$AC86),1),IF($AD86&gt;0,INDEX(EK$7:EK$106,$AD86),1),IF($AE86&gt;0,INDEX(EK$7:EK$106,$AE86),1),IF($AF86&gt;0,INDEX(EK$7:EK$106,$AF86),1),IF($AG86&gt;0,INDEX(EK$7:EK$106,$AG86),1),IF($AH86&gt;0,INDEX(EK$7:EK$106,$AH86),1),IF($AI86&gt;0,INDEX(EK$7:EK$106,$AI86),1),IF($AJ86&gt;0,INDEX(EK$7:EK$106,$AJ86),1))))</ns0:f>
        <ns0:v>1</ns0:v>
      </ns0:c>
      <ns0:c r="EM86" t="n">
        <ns0:f>IF($A86="",1,IF(EL86=1,1,--AND(IF($AC86&gt;0,INDEX(EL$7:EL$106,$AC86),1),IF($AD86&gt;0,INDEX(EL$7:EL$106,$AD86),1),IF($AE86&gt;0,INDEX(EL$7:EL$106,$AE86),1),IF($AF86&gt;0,INDEX(EL$7:EL$106,$AF86),1),IF($AG86&gt;0,INDEX(EL$7:EL$106,$AG86),1),IF($AH86&gt;0,INDEX(EL$7:EL$106,$AH86),1),IF($AI86&gt;0,INDEX(EL$7:EL$106,$AI86),1),IF($AJ86&gt;0,INDEX(EL$7:EL$106,$AJ86),1))))</ns0:f>
        <ns0:v>1</ns0:v>
      </ns0:c>
      <ns0:c r="EN86" t="n">
        <ns0:f>IF($A86="",1,IF(EM86=1,1,--AND(IF($AC86&gt;0,INDEX(EM$7:EM$106,$AC86),1),IF($AD86&gt;0,INDEX(EM$7:EM$106,$AD86),1),IF($AE86&gt;0,INDEX(EM$7:EM$106,$AE86),1),IF($AF86&gt;0,INDEX(EM$7:EM$106,$AF86),1),IF($AG86&gt;0,INDEX(EM$7:EM$106,$AG86),1),IF($AH86&gt;0,INDEX(EM$7:EM$106,$AH86),1),IF($AI86&gt;0,INDEX(EM$7:EM$106,$AI86),1),IF($AJ86&gt;0,INDEX(EM$7:EM$106,$AJ86),1))))</ns0:f>
        <ns0:v>1</ns0:v>
      </ns0:c>
      <ns0:c r="EO86" t="n">
        <ns0:f>IF($A86="",1,IF(EN86=1,1,--AND(IF($AC86&gt;0,INDEX(EN$7:EN$106,$AC86),1),IF($AD86&gt;0,INDEX(EN$7:EN$106,$AD86),1),IF($AE86&gt;0,INDEX(EN$7:EN$106,$AE86),1),IF($AF86&gt;0,INDEX(EN$7:EN$106,$AF86),1),IF($AG86&gt;0,INDEX(EN$7:EN$106,$AG86),1),IF($AH86&gt;0,INDEX(EN$7:EN$106,$AH86),1),IF($AI86&gt;0,INDEX(EN$7:EN$106,$AI86),1),IF($AJ86&gt;0,INDEX(EN$7:EN$106,$AJ86),1))))</ns0:f>
        <ns0:v>1</ns0:v>
      </ns0:c>
      <ns0:c r="EP86" t="n">
        <ns0:f>IF($A86="",1,IF(EO86=1,1,--AND(IF($AC86&gt;0,INDEX(EO$7:EO$106,$AC86),1),IF($AD86&gt;0,INDEX(EO$7:EO$106,$AD86),1),IF($AE86&gt;0,INDEX(EO$7:EO$106,$AE86),1),IF($AF86&gt;0,INDEX(EO$7:EO$106,$AF86),1),IF($AG86&gt;0,INDEX(EO$7:EO$106,$AG86),1),IF($AH86&gt;0,INDEX(EO$7:EO$106,$AH86),1),IF($AI86&gt;0,INDEX(EO$7:EO$106,$AI86),1),IF($AJ86&gt;0,INDEX(EO$7:EO$106,$AJ86),1))))</ns0:f>
        <ns0:v>1</ns0:v>
      </ns0:c>
      <ns0:c r="EQ86" t="n">
        <ns0:f>IF(OR(A86="",NOT(ISNUMBER(G86))),0,G86*N86)</ns0:f>
        <ns0:v>0</ns0:v>
      </ns0:c>
    </ns0:row>
    <ns0:row r="87" ht="62" customHeight="1">
      <ns0:c r="A87" s="48"/>
      <ns0:c r="B87" s="48"/>
      <ns0:c r="C87" s="48"/>
      <ns0:c r="D87" s="48"/>
      <ns0:c r="E87" s="49"/>
      <ns0:c r="F87" s="49"/>
      <ns0:c r="G87" s="13" t="str">
        <ns0:f>IF(A87="","",IF(OR(NOT(ISNUMBER(E87)),NOT(ISNUMBER(F87)),F87&lt;E87),"",IF(J87="Yes",0,F87-E87+1)))</ns0:f>
      </ns0:c>
      <ns0:c r="H87" s="48"/>
      <ns0:c r="I87" s="48"/>
      <ns0:c r="J87" s="48"/>
      <ns0:c r="K87" s="48"/>
      <ns0:c r="L87" s="48"/>
      <ns0:c r="M87" s="50" t="str">
        <ns0:f>IF(A87="","",IF(N87=1,"Completed",IF(N87&gt;0,"In Progress","Not Started")))</ns0:f>
      </ns0:c>
      <ns0:c r="N87" s="51"/>
      <ns0:c r="O87" s="13" t="str">
        <ns0:f>IF(A87="","",IF(R87&lt;&gt;"","[CONFLICT] "&amp;R87,IF(S87&lt;&gt;"","[CONFLICT] "&amp;S87,IF(OR(NOT(ISNUMBER(N87)),N87&lt;0,N87&gt;1),"[CONFLICT] Invalid progress",IF(AK87&gt;0,"[DEPENDENCY ISSUE] Missing ID / &gt;8 links",IF(AM87&gt;0,"[DEPENDENCY ISSUE] Cycle or blocked by cycle",IF(AND(H87&lt;&gt;"",ISNA(MATCH(I87,{"FS","SS","FF","SF"},0))),"[DEPENDENCY ISSUE] Invalid type",IF(AL87&gt;0,"[DEPENDENCY ISSUE] Timing conflict",IF(OR(E87&lt;ProjectStart,F87&gt;ProjectEnd),"[OUTSIDE WINDOW]",IF(AND(N87&lt;1,F87&lt;AsOfDate),"Overdue",IF(AND(M87&lt;&gt;Q87,M87&lt;&gt;""),"[CONFLICT] Status / progress","On track")))))))))))</ns0:f>
      </ns0:c>
      <ns0:c r="P87" s="52"/>
      <ns0:c r="Q87" t="str">
        <ns0:f>IF(A87="","",IF(OR(M87="On Hold",M87="Delayed"),M87,IF(N87=1,"Completed",IF(N87&gt;0,"In Progress","Not Started"))))</ns0:f>
      </ns0:c>
      <ns0:c r="R87" t="str">
        <ns0:f>IF(A87="","",IF(COUNTIFS(Tasks[Task ID],A87)&lt;&gt;1,"Duplicate ID",""))</ns0:f>
      </ns0:c>
      <ns0:c r="S87" t="str">
        <ns0:f>IF(A87="","",IF(OR(NOT(ISNUMBER(E87)),NOT(ISNUMBER(F87))),"Invalid / missing date",IF(OR(E87&lt;&gt;INT(E87),F87&lt;&gt;INT(F87),E87&lt;1,F87&gt;2958465),"Invalid date",IF(F87&lt;E87,"End before start",IF(AND(J87="Yes",E87&lt;&gt;F87),"Milestone needs one date","")))))</ns0:f>
      </ns0:c>
      <ns0:c r="T87" t="n">
        <ns0:f>IF(H87="",0,LEN(H87)-LEN(SUBSTITUTE(H87,",",""))+1)</ns0:f>
        <ns0:v>0</ns0:v>
      </ns0:c>
      <ns0:c r="U87" t="str">
        <ns0:f>TRIM(MID(SUBSTITUTE($H87,",",REPT(" ",100)),1,100))</ns0:f>
      </ns0:c>
      <ns0:c r="V87" t="str">
        <ns0:f>TRIM(MID(SUBSTITUTE($H87,",",REPT(" ",100)),101,100))</ns0:f>
      </ns0:c>
      <ns0:c r="W87" t="str">
        <ns0:f>TRIM(MID(SUBSTITUTE($H87,",",REPT(" ",100)),201,100))</ns0:f>
      </ns0:c>
      <ns0:c r="X87" t="str">
        <ns0:f>TRIM(MID(SUBSTITUTE($H87,",",REPT(" ",100)),301,100))</ns0:f>
      </ns0:c>
      <ns0:c r="Y87" t="str">
        <ns0:f>TRIM(MID(SUBSTITUTE($H87,",",REPT(" ",100)),401,100))</ns0:f>
      </ns0:c>
      <ns0:c r="Z87" t="str">
        <ns0:f>TRIM(MID(SUBSTITUTE($H87,",",REPT(" ",100)),501,100))</ns0:f>
      </ns0:c>
      <ns0:c r="AA87" t="str">
        <ns0:f>TRIM(MID(SUBSTITUTE($H87,",",REPT(" ",100)),601,100))</ns0:f>
      </ns0:c>
      <ns0:c r="AB87" t="str">
        <ns0:f>TRIM(MID(SUBSTITUTE($H87,",",REPT(" ",100)),701,100))</ns0:f>
      </ns0:c>
      <ns0:c r="AC87" t="n">
        <ns0:f>IF(U87="",0,IF(COUNTIFS(Tasks[Task ID],U87)=1,MATCH(U87,Tasks[Task ID],0),-1))</ns0:f>
        <ns0:v>0</ns0:v>
      </ns0:c>
      <ns0:c r="AD87" t="n">
        <ns0:f>IF(V87="",0,IF(COUNTIFS(Tasks[Task ID],V87)=1,MATCH(V87,Tasks[Task ID],0),-1))</ns0:f>
        <ns0:v>0</ns0:v>
      </ns0:c>
      <ns0:c r="AE87" t="n">
        <ns0:f>IF(W87="",0,IF(COUNTIFS(Tasks[Task ID],W87)=1,MATCH(W87,Tasks[Task ID],0),-1))</ns0:f>
        <ns0:v>0</ns0:v>
      </ns0:c>
      <ns0:c r="AF87" t="n">
        <ns0:f>IF(X87="",0,IF(COUNTIFS(Tasks[Task ID],X87)=1,MATCH(X87,Tasks[Task ID],0),-1))</ns0:f>
        <ns0:v>0</ns0:v>
      </ns0:c>
      <ns0:c r="AG87" t="n">
        <ns0:f>IF(Y87="",0,IF(COUNTIFS(Tasks[Task ID],Y87)=1,MATCH(Y87,Tasks[Task ID],0),-1))</ns0:f>
        <ns0:v>0</ns0:v>
      </ns0:c>
      <ns0:c r="AH87" t="n">
        <ns0:f>IF(Z87="",0,IF(COUNTIFS(Tasks[Task ID],Z87)=1,MATCH(Z87,Tasks[Task ID],0),-1))</ns0:f>
        <ns0:v>0</ns0:v>
      </ns0:c>
      <ns0:c r="AI87" t="n">
        <ns0:f>IF(AA87="",0,IF(COUNTIFS(Tasks[Task ID],AA87)=1,MATCH(AA87,Tasks[Task ID],0),-1))</ns0:f>
        <ns0:v>0</ns0:v>
      </ns0:c>
      <ns0:c r="AJ87" t="n">
        <ns0:f>IF(AB87="",0,IF(COUNTIFS(Tasks[Task ID],AB87)=1,MATCH(AB87,Tasks[Task ID],0),-1))</ns0:f>
        <ns0:v>0</ns0:v>
      </ns0:c>
      <ns0:c r="AK87" t="n">
        <ns0:f>COUNTIFS(AC87:AJ87,-1)+IF(T87&gt;8,1,0)</ns0:f>
        <ns0:v>0</ns0:v>
      </ns0:c>
      <ns0:c r="AL87" t="n">
        <ns0:f>IF(OR(A87="",S87&lt;&gt;""),0,SUM(IF(AC87&gt;0,IF($I87="FS",--($E87&lt;INDEX(Tasks[End Date],AC87)+IF(INDEX(Tasks[Milestone],AC87)="Yes",0,1)),IF($I87="SS",--($E87&lt;INDEX(Tasks[Start Date],AC87)),IF($I87="FF",--($F87&lt;INDEX(Tasks[End Date],AC87)),IF($I87="SF",--($F87&lt;INDEX(Tasks[Start Date],AC87)),0)))),0),IF(AD87&gt;0,IF($I87="FS",--($E87&lt;INDEX(Tasks[End Date],AD87)+IF(INDEX(Tasks[Milestone],AD87)="Yes",0,1)),IF($I87="SS",--($E87&lt;INDEX(Tasks[Start Date],AD87)),IF($I87="FF",--($F87&lt;INDEX(Tasks[End Date],AD87)),IF($I87="SF",--($F87&lt;INDEX(Tasks[Start Date],AD87)),0)))),0),IF(AE87&gt;0,IF($I87="FS",--($E87&lt;INDEX(Tasks[End Date],AE87)+IF(INDEX(Tasks[Milestone],AE87)="Yes",0,1)),IF($I87="SS",--($E87&lt;INDEX(Tasks[Start Date],AE87)),IF($I87="FF",--($F87&lt;INDEX(Tasks[End Date],AE87)),IF($I87="SF",--($F87&lt;INDEX(Tasks[Start Date],AE87)),0)))),0),IF(AF87&gt;0,IF($I87="FS",--($E87&lt;INDEX(Tasks[End Date],AF87)+IF(INDEX(Tasks[Milestone],AF87)="Yes",0,1)),IF($I87="SS",--($E87&lt;INDEX(Tasks[Start Date],AF87)),IF($I87="FF",--($F87&lt;INDEX(Tasks[End Date],AF87)),IF($I87="SF",--($F87&lt;INDEX(Tasks[Start Date],AF87)),0)))),0),IF(AG87&gt;0,IF($I87="FS",--($E87&lt;INDEX(Tasks[End Date],AG87)+IF(INDEX(Tasks[Milestone],AG87)="Yes",0,1)),IF($I87="SS",--($E87&lt;INDEX(Tasks[Start Date],AG87)),IF($I87="FF",--($F87&lt;INDEX(Tasks[End Date],AG87)),IF($I87="SF",--($F87&lt;INDEX(Tasks[Start Date],AG87)),0)))),0),IF(AH87&gt;0,IF($I87="FS",--($E87&lt;INDEX(Tasks[End Date],AH87)+IF(INDEX(Tasks[Milestone],AH87)="Yes",0,1)),IF($I87="SS",--($E87&lt;INDEX(Tasks[Start Date],AH87)),IF($I87="FF",--($F87&lt;INDEX(Tasks[End Date],AH87)),IF($I87="SF",--($F87&lt;INDEX(Tasks[Start Date],AH87)),0)))),0),IF(AI87&gt;0,IF($I87="FS",--($E87&lt;INDEX(Tasks[End Date],AI87)+IF(INDEX(Tasks[Milestone],AI87)="Yes",0,1)),IF($I87="SS",--($E87&lt;INDEX(Tasks[Start Date],AI87)),IF($I87="FF",--($F87&lt;INDEX(Tasks[End Date],AI87)),IF($I87="SF",--($F87&lt;INDEX(Tasks[Start Date],AI87)),0)))),0),IF(AJ87&gt;0,IF($I87="FS",--($E87&lt;INDEX(Tasks[End Date],AJ87)+IF(INDEX(Tasks[Milestone],AJ87)="Yes",0,1)),IF($I87="SS",--($E87&lt;INDEX(Tasks[Start Date],AJ87)),IF($I87="FF",--($F87&lt;INDEX(Tasks[End Date],AJ87)),IF($I87="SF",--($F87&lt;INDEX(Tasks[Start Date],AJ87)),0)))),0)))</ns0:f>
        <ns0:v>0</ns0:v>
      </ns0:c>
      <ns0:c r="AM87" t="n">
        <ns0:f>IF(AND(A87&lt;&gt;"",AK87=0,EP87=0),1,0)</ns0:f>
        <ns0:v>0</ns0:v>
      </ns0:c>
      <ns0:c r="AN87" t="str">
        <ns0:f>IF(OR(A87="",B87=""),"",IF(COUNTIFS($B$7:B87,B87)=1,MAX($AN$6:AN86)+1,""))</ns0:f>
      </ns0:c>
      <ns0:c r="AO87" t="n">
        <ns0:f>IF(AND(A87&lt;&gt;"",J87="No",N87&lt;1,E87&gt;=AsOfDate),E87+ROW()/10000,1E+9)</ns0:f>
        <ns0:v>1000000000</ns0:v>
      </ns0:c>
      <ns0:c r="AP87" t="n">
        <ns0:f>IF(AND(A87&lt;&gt;"",J87="Yes",N87&lt;1,E87&gt;=AsOfDate),E87+ROW()/10000,1E+9)</ns0:f>
        <ns0:v>1000000000</ns0:v>
      </ns0:c>
      <ns0:c r="AQ87" t="n">
        <ns0:f>IF(AND(A87&lt;&gt;"",J87="No",N87&lt;1,F87&gt;=AsOfDate,F87&lt;=AsOfDate+7),F87+ROW()/10000,1E+9)</ns0:f>
        <ns0:v>1000000000</ns0:v>
      </ns0:c>
      <ns0:c r="AR87" t="n">
        <ns0:f>IF(AND(A87&lt;&gt;"",OR(O87&lt;&gt;"On track",Q87="Delayed")),ROW(),1E+9)</ns0:f>
        <ns0:v>1000000000</ns0:v>
      </ns0:c>
      <ns0:c r="AS87" t="str">
        <ns0:f>IF(A87="","",";"&amp;K87&amp;";")</ns0:f>
      </ns0:c>
      <ns0:c r="AT87" t="n">
        <ns0:f>IF(A87="",1,--(T87=0))</ns0:f>
        <ns0:v>1</ns0:v>
      </ns0:c>
      <ns0:c r="AU87" t="n">
        <ns0:f>IF($A87="",1,IF(AT87=1,1,--AND(IF($AC87&gt;0,INDEX(AT$7:AT$106,$AC87),1),IF($AD87&gt;0,INDEX(AT$7:AT$106,$AD87),1),IF($AE87&gt;0,INDEX(AT$7:AT$106,$AE87),1),IF($AF87&gt;0,INDEX(AT$7:AT$106,$AF87),1),IF($AG87&gt;0,INDEX(AT$7:AT$106,$AG87),1),IF($AH87&gt;0,INDEX(AT$7:AT$106,$AH87),1),IF($AI87&gt;0,INDEX(AT$7:AT$106,$AI87),1),IF($AJ87&gt;0,INDEX(AT$7:AT$106,$AJ87),1))))</ns0:f>
        <ns0:v>1</ns0:v>
      </ns0:c>
      <ns0:c r="AV87" t="n">
        <ns0:f>IF($A87="",1,IF(AU87=1,1,--AND(IF($AC87&gt;0,INDEX(AU$7:AU$106,$AC87),1),IF($AD87&gt;0,INDEX(AU$7:AU$106,$AD87),1),IF($AE87&gt;0,INDEX(AU$7:AU$106,$AE87),1),IF($AF87&gt;0,INDEX(AU$7:AU$106,$AF87),1),IF($AG87&gt;0,INDEX(AU$7:AU$106,$AG87),1),IF($AH87&gt;0,INDEX(AU$7:AU$106,$AH87),1),IF($AI87&gt;0,INDEX(AU$7:AU$106,$AI87),1),IF($AJ87&gt;0,INDEX(AU$7:AU$106,$AJ87),1))))</ns0:f>
        <ns0:v>1</ns0:v>
      </ns0:c>
      <ns0:c r="AW87" t="n">
        <ns0:f>IF($A87="",1,IF(AV87=1,1,--AND(IF($AC87&gt;0,INDEX(AV$7:AV$106,$AC87),1),IF($AD87&gt;0,INDEX(AV$7:AV$106,$AD87),1),IF($AE87&gt;0,INDEX(AV$7:AV$106,$AE87),1),IF($AF87&gt;0,INDEX(AV$7:AV$106,$AF87),1),IF($AG87&gt;0,INDEX(AV$7:AV$106,$AG87),1),IF($AH87&gt;0,INDEX(AV$7:AV$106,$AH87),1),IF($AI87&gt;0,INDEX(AV$7:AV$106,$AI87),1),IF($AJ87&gt;0,INDEX(AV$7:AV$106,$AJ87),1))))</ns0:f>
        <ns0:v>1</ns0:v>
      </ns0:c>
      <ns0:c r="AX87" t="n">
        <ns0:f>IF($A87="",1,IF(AW87=1,1,--AND(IF($AC87&gt;0,INDEX(AW$7:AW$106,$AC87),1),IF($AD87&gt;0,INDEX(AW$7:AW$106,$AD87),1),IF($AE87&gt;0,INDEX(AW$7:AW$106,$AE87),1),IF($AF87&gt;0,INDEX(AW$7:AW$106,$AF87),1),IF($AG87&gt;0,INDEX(AW$7:AW$106,$AG87),1),IF($AH87&gt;0,INDEX(AW$7:AW$106,$AH87),1),IF($AI87&gt;0,INDEX(AW$7:AW$106,$AI87),1),IF($AJ87&gt;0,INDEX(AW$7:AW$106,$AJ87),1))))</ns0:f>
        <ns0:v>1</ns0:v>
      </ns0:c>
      <ns0:c r="AY87" t="n">
        <ns0:f>IF($A87="",1,IF(AX87=1,1,--AND(IF($AC87&gt;0,INDEX(AX$7:AX$106,$AC87),1),IF($AD87&gt;0,INDEX(AX$7:AX$106,$AD87),1),IF($AE87&gt;0,INDEX(AX$7:AX$106,$AE87),1),IF($AF87&gt;0,INDEX(AX$7:AX$106,$AF87),1),IF($AG87&gt;0,INDEX(AX$7:AX$106,$AG87),1),IF($AH87&gt;0,INDEX(AX$7:AX$106,$AH87),1),IF($AI87&gt;0,INDEX(AX$7:AX$106,$AI87),1),IF($AJ87&gt;0,INDEX(AX$7:AX$106,$AJ87),1))))</ns0:f>
        <ns0:v>1</ns0:v>
      </ns0:c>
      <ns0:c r="AZ87" t="n">
        <ns0:f>IF($A87="",1,IF(AY87=1,1,--AND(IF($AC87&gt;0,INDEX(AY$7:AY$106,$AC87),1),IF($AD87&gt;0,INDEX(AY$7:AY$106,$AD87),1),IF($AE87&gt;0,INDEX(AY$7:AY$106,$AE87),1),IF($AF87&gt;0,INDEX(AY$7:AY$106,$AF87),1),IF($AG87&gt;0,INDEX(AY$7:AY$106,$AG87),1),IF($AH87&gt;0,INDEX(AY$7:AY$106,$AH87),1),IF($AI87&gt;0,INDEX(AY$7:AY$106,$AI87),1),IF($AJ87&gt;0,INDEX(AY$7:AY$106,$AJ87),1))))</ns0:f>
        <ns0:v>1</ns0:v>
      </ns0:c>
      <ns0:c r="BA87" t="n">
        <ns0:f>IF($A87="",1,IF(AZ87=1,1,--AND(IF($AC87&gt;0,INDEX(AZ$7:AZ$106,$AC87),1),IF($AD87&gt;0,INDEX(AZ$7:AZ$106,$AD87),1),IF($AE87&gt;0,INDEX(AZ$7:AZ$106,$AE87),1),IF($AF87&gt;0,INDEX(AZ$7:AZ$106,$AF87),1),IF($AG87&gt;0,INDEX(AZ$7:AZ$106,$AG87),1),IF($AH87&gt;0,INDEX(AZ$7:AZ$106,$AH87),1),IF($AI87&gt;0,INDEX(AZ$7:AZ$106,$AI87),1),IF($AJ87&gt;0,INDEX(AZ$7:AZ$106,$AJ87),1))))</ns0:f>
        <ns0:v>1</ns0:v>
      </ns0:c>
      <ns0:c r="BB87" t="n">
        <ns0:f>IF($A87="",1,IF(BA87=1,1,--AND(IF($AC87&gt;0,INDEX(BA$7:BA$106,$AC87),1),IF($AD87&gt;0,INDEX(BA$7:BA$106,$AD87),1),IF($AE87&gt;0,INDEX(BA$7:BA$106,$AE87),1),IF($AF87&gt;0,INDEX(BA$7:BA$106,$AF87),1),IF($AG87&gt;0,INDEX(BA$7:BA$106,$AG87),1),IF($AH87&gt;0,INDEX(BA$7:BA$106,$AH87),1),IF($AI87&gt;0,INDEX(BA$7:BA$106,$AI87),1),IF($AJ87&gt;0,INDEX(BA$7:BA$106,$AJ87),1))))</ns0:f>
        <ns0:v>1</ns0:v>
      </ns0:c>
      <ns0:c r="BC87" t="n">
        <ns0:f>IF($A87="",1,IF(BB87=1,1,--AND(IF($AC87&gt;0,INDEX(BB$7:BB$106,$AC87),1),IF($AD87&gt;0,INDEX(BB$7:BB$106,$AD87),1),IF($AE87&gt;0,INDEX(BB$7:BB$106,$AE87),1),IF($AF87&gt;0,INDEX(BB$7:BB$106,$AF87),1),IF($AG87&gt;0,INDEX(BB$7:BB$106,$AG87),1),IF($AH87&gt;0,INDEX(BB$7:BB$106,$AH87),1),IF($AI87&gt;0,INDEX(BB$7:BB$106,$AI87),1),IF($AJ87&gt;0,INDEX(BB$7:BB$106,$AJ87),1))))</ns0:f>
        <ns0:v>1</ns0:v>
      </ns0:c>
      <ns0:c r="BD87" t="n">
        <ns0:f>IF($A87="",1,IF(BC87=1,1,--AND(IF($AC87&gt;0,INDEX(BC$7:BC$106,$AC87),1),IF($AD87&gt;0,INDEX(BC$7:BC$106,$AD87),1),IF($AE87&gt;0,INDEX(BC$7:BC$106,$AE87),1),IF($AF87&gt;0,INDEX(BC$7:BC$106,$AF87),1),IF($AG87&gt;0,INDEX(BC$7:BC$106,$AG87),1),IF($AH87&gt;0,INDEX(BC$7:BC$106,$AH87),1),IF($AI87&gt;0,INDEX(BC$7:BC$106,$AI87),1),IF($AJ87&gt;0,INDEX(BC$7:BC$106,$AJ87),1))))</ns0:f>
        <ns0:v>1</ns0:v>
      </ns0:c>
      <ns0:c r="BE87" t="n">
        <ns0:f>IF($A87="",1,IF(BD87=1,1,--AND(IF($AC87&gt;0,INDEX(BD$7:BD$106,$AC87),1),IF($AD87&gt;0,INDEX(BD$7:BD$106,$AD87),1),IF($AE87&gt;0,INDEX(BD$7:BD$106,$AE87),1),IF($AF87&gt;0,INDEX(BD$7:BD$106,$AF87),1),IF($AG87&gt;0,INDEX(BD$7:BD$106,$AG87),1),IF($AH87&gt;0,INDEX(BD$7:BD$106,$AH87),1),IF($AI87&gt;0,INDEX(BD$7:BD$106,$AI87),1),IF($AJ87&gt;0,INDEX(BD$7:BD$106,$AJ87),1))))</ns0:f>
        <ns0:v>1</ns0:v>
      </ns0:c>
      <ns0:c r="BF87" t="n">
        <ns0:f>IF($A87="",1,IF(BE87=1,1,--AND(IF($AC87&gt;0,INDEX(BE$7:BE$106,$AC87),1),IF($AD87&gt;0,INDEX(BE$7:BE$106,$AD87),1),IF($AE87&gt;0,INDEX(BE$7:BE$106,$AE87),1),IF($AF87&gt;0,INDEX(BE$7:BE$106,$AF87),1),IF($AG87&gt;0,INDEX(BE$7:BE$106,$AG87),1),IF($AH87&gt;0,INDEX(BE$7:BE$106,$AH87),1),IF($AI87&gt;0,INDEX(BE$7:BE$106,$AI87),1),IF($AJ87&gt;0,INDEX(BE$7:BE$106,$AJ87),1))))</ns0:f>
        <ns0:v>1</ns0:v>
      </ns0:c>
      <ns0:c r="BG87" t="n">
        <ns0:f>IF($A87="",1,IF(BF87=1,1,--AND(IF($AC87&gt;0,INDEX(BF$7:BF$106,$AC87),1),IF($AD87&gt;0,INDEX(BF$7:BF$106,$AD87),1),IF($AE87&gt;0,INDEX(BF$7:BF$106,$AE87),1),IF($AF87&gt;0,INDEX(BF$7:BF$106,$AF87),1),IF($AG87&gt;0,INDEX(BF$7:BF$106,$AG87),1),IF($AH87&gt;0,INDEX(BF$7:BF$106,$AH87),1),IF($AI87&gt;0,INDEX(BF$7:BF$106,$AI87),1),IF($AJ87&gt;0,INDEX(BF$7:BF$106,$AJ87),1))))</ns0:f>
        <ns0:v>1</ns0:v>
      </ns0:c>
      <ns0:c r="BH87" t="n">
        <ns0:f>IF($A87="",1,IF(BG87=1,1,--AND(IF($AC87&gt;0,INDEX(BG$7:BG$106,$AC87),1),IF($AD87&gt;0,INDEX(BG$7:BG$106,$AD87),1),IF($AE87&gt;0,INDEX(BG$7:BG$106,$AE87),1),IF($AF87&gt;0,INDEX(BG$7:BG$106,$AF87),1),IF($AG87&gt;0,INDEX(BG$7:BG$106,$AG87),1),IF($AH87&gt;0,INDEX(BG$7:BG$106,$AH87),1),IF($AI87&gt;0,INDEX(BG$7:BG$106,$AI87),1),IF($AJ87&gt;0,INDEX(BG$7:BG$106,$AJ87),1))))</ns0:f>
        <ns0:v>1</ns0:v>
      </ns0:c>
      <ns0:c r="BI87" t="n">
        <ns0:f>IF($A87="",1,IF(BH87=1,1,--AND(IF($AC87&gt;0,INDEX(BH$7:BH$106,$AC87),1),IF($AD87&gt;0,INDEX(BH$7:BH$106,$AD87),1),IF($AE87&gt;0,INDEX(BH$7:BH$106,$AE87),1),IF($AF87&gt;0,INDEX(BH$7:BH$106,$AF87),1),IF($AG87&gt;0,INDEX(BH$7:BH$106,$AG87),1),IF($AH87&gt;0,INDEX(BH$7:BH$106,$AH87),1),IF($AI87&gt;0,INDEX(BH$7:BH$106,$AI87),1),IF($AJ87&gt;0,INDEX(BH$7:BH$106,$AJ87),1))))</ns0:f>
        <ns0:v>1</ns0:v>
      </ns0:c>
      <ns0:c r="BJ87" t="n">
        <ns0:f>IF($A87="",1,IF(BI87=1,1,--AND(IF($AC87&gt;0,INDEX(BI$7:BI$106,$AC87),1),IF($AD87&gt;0,INDEX(BI$7:BI$106,$AD87),1),IF($AE87&gt;0,INDEX(BI$7:BI$106,$AE87),1),IF($AF87&gt;0,INDEX(BI$7:BI$106,$AF87),1),IF($AG87&gt;0,INDEX(BI$7:BI$106,$AG87),1),IF($AH87&gt;0,INDEX(BI$7:BI$106,$AH87),1),IF($AI87&gt;0,INDEX(BI$7:BI$106,$AI87),1),IF($AJ87&gt;0,INDEX(BI$7:BI$106,$AJ87),1))))</ns0:f>
        <ns0:v>1</ns0:v>
      </ns0:c>
      <ns0:c r="BK87" t="n">
        <ns0:f>IF($A87="",1,IF(BJ87=1,1,--AND(IF($AC87&gt;0,INDEX(BJ$7:BJ$106,$AC87),1),IF($AD87&gt;0,INDEX(BJ$7:BJ$106,$AD87),1),IF($AE87&gt;0,INDEX(BJ$7:BJ$106,$AE87),1),IF($AF87&gt;0,INDEX(BJ$7:BJ$106,$AF87),1),IF($AG87&gt;0,INDEX(BJ$7:BJ$106,$AG87),1),IF($AH87&gt;0,INDEX(BJ$7:BJ$106,$AH87),1),IF($AI87&gt;0,INDEX(BJ$7:BJ$106,$AI87),1),IF($AJ87&gt;0,INDEX(BJ$7:BJ$106,$AJ87),1))))</ns0:f>
        <ns0:v>1</ns0:v>
      </ns0:c>
      <ns0:c r="BL87" t="n">
        <ns0:f>IF($A87="",1,IF(BK87=1,1,--AND(IF($AC87&gt;0,INDEX(BK$7:BK$106,$AC87),1),IF($AD87&gt;0,INDEX(BK$7:BK$106,$AD87),1),IF($AE87&gt;0,INDEX(BK$7:BK$106,$AE87),1),IF($AF87&gt;0,INDEX(BK$7:BK$106,$AF87),1),IF($AG87&gt;0,INDEX(BK$7:BK$106,$AG87),1),IF($AH87&gt;0,INDEX(BK$7:BK$106,$AH87),1),IF($AI87&gt;0,INDEX(BK$7:BK$106,$AI87),1),IF($AJ87&gt;0,INDEX(BK$7:BK$106,$AJ87),1))))</ns0:f>
        <ns0:v>1</ns0:v>
      </ns0:c>
      <ns0:c r="BM87" t="n">
        <ns0:f>IF($A87="",1,IF(BL87=1,1,--AND(IF($AC87&gt;0,INDEX(BL$7:BL$106,$AC87),1),IF($AD87&gt;0,INDEX(BL$7:BL$106,$AD87),1),IF($AE87&gt;0,INDEX(BL$7:BL$106,$AE87),1),IF($AF87&gt;0,INDEX(BL$7:BL$106,$AF87),1),IF($AG87&gt;0,INDEX(BL$7:BL$106,$AG87),1),IF($AH87&gt;0,INDEX(BL$7:BL$106,$AH87),1),IF($AI87&gt;0,INDEX(BL$7:BL$106,$AI87),1),IF($AJ87&gt;0,INDEX(BL$7:BL$106,$AJ87),1))))</ns0:f>
        <ns0:v>1</ns0:v>
      </ns0:c>
      <ns0:c r="BN87" t="n">
        <ns0:f>IF($A87="",1,IF(BM87=1,1,--AND(IF($AC87&gt;0,INDEX(BM$7:BM$106,$AC87),1),IF($AD87&gt;0,INDEX(BM$7:BM$106,$AD87),1),IF($AE87&gt;0,INDEX(BM$7:BM$106,$AE87),1),IF($AF87&gt;0,INDEX(BM$7:BM$106,$AF87),1),IF($AG87&gt;0,INDEX(BM$7:BM$106,$AG87),1),IF($AH87&gt;0,INDEX(BM$7:BM$106,$AH87),1),IF($AI87&gt;0,INDEX(BM$7:BM$106,$AI87),1),IF($AJ87&gt;0,INDEX(BM$7:BM$106,$AJ87),1))))</ns0:f>
        <ns0:v>1</ns0:v>
      </ns0:c>
      <ns0:c r="BO87" t="n">
        <ns0:f>IF($A87="",1,IF(BN87=1,1,--AND(IF($AC87&gt;0,INDEX(BN$7:BN$106,$AC87),1),IF($AD87&gt;0,INDEX(BN$7:BN$106,$AD87),1),IF($AE87&gt;0,INDEX(BN$7:BN$106,$AE87),1),IF($AF87&gt;0,INDEX(BN$7:BN$106,$AF87),1),IF($AG87&gt;0,INDEX(BN$7:BN$106,$AG87),1),IF($AH87&gt;0,INDEX(BN$7:BN$106,$AH87),1),IF($AI87&gt;0,INDEX(BN$7:BN$106,$AI87),1),IF($AJ87&gt;0,INDEX(BN$7:BN$106,$AJ87),1))))</ns0:f>
        <ns0:v>1</ns0:v>
      </ns0:c>
      <ns0:c r="BP87" t="n">
        <ns0:f>IF($A87="",1,IF(BO87=1,1,--AND(IF($AC87&gt;0,INDEX(BO$7:BO$106,$AC87),1),IF($AD87&gt;0,INDEX(BO$7:BO$106,$AD87),1),IF($AE87&gt;0,INDEX(BO$7:BO$106,$AE87),1),IF($AF87&gt;0,INDEX(BO$7:BO$106,$AF87),1),IF($AG87&gt;0,INDEX(BO$7:BO$106,$AG87),1),IF($AH87&gt;0,INDEX(BO$7:BO$106,$AH87),1),IF($AI87&gt;0,INDEX(BO$7:BO$106,$AI87),1),IF($AJ87&gt;0,INDEX(BO$7:BO$106,$AJ87),1))))</ns0:f>
        <ns0:v>1</ns0:v>
      </ns0:c>
      <ns0:c r="BQ87" t="n">
        <ns0:f>IF($A87="",1,IF(BP87=1,1,--AND(IF($AC87&gt;0,INDEX(BP$7:BP$106,$AC87),1),IF($AD87&gt;0,INDEX(BP$7:BP$106,$AD87),1),IF($AE87&gt;0,INDEX(BP$7:BP$106,$AE87),1),IF($AF87&gt;0,INDEX(BP$7:BP$106,$AF87),1),IF($AG87&gt;0,INDEX(BP$7:BP$106,$AG87),1),IF($AH87&gt;0,INDEX(BP$7:BP$106,$AH87),1),IF($AI87&gt;0,INDEX(BP$7:BP$106,$AI87),1),IF($AJ87&gt;0,INDEX(BP$7:BP$106,$AJ87),1))))</ns0:f>
        <ns0:v>1</ns0:v>
      </ns0:c>
      <ns0:c r="BR87" t="n">
        <ns0:f>IF($A87="",1,IF(BQ87=1,1,--AND(IF($AC87&gt;0,INDEX(BQ$7:BQ$106,$AC87),1),IF($AD87&gt;0,INDEX(BQ$7:BQ$106,$AD87),1),IF($AE87&gt;0,INDEX(BQ$7:BQ$106,$AE87),1),IF($AF87&gt;0,INDEX(BQ$7:BQ$106,$AF87),1),IF($AG87&gt;0,INDEX(BQ$7:BQ$106,$AG87),1),IF($AH87&gt;0,INDEX(BQ$7:BQ$106,$AH87),1),IF($AI87&gt;0,INDEX(BQ$7:BQ$106,$AI87),1),IF($AJ87&gt;0,INDEX(BQ$7:BQ$106,$AJ87),1))))</ns0:f>
        <ns0:v>1</ns0:v>
      </ns0:c>
      <ns0:c r="BS87" t="n">
        <ns0:f>IF($A87="",1,IF(BR87=1,1,--AND(IF($AC87&gt;0,INDEX(BR$7:BR$106,$AC87),1),IF($AD87&gt;0,INDEX(BR$7:BR$106,$AD87),1),IF($AE87&gt;0,INDEX(BR$7:BR$106,$AE87),1),IF($AF87&gt;0,INDEX(BR$7:BR$106,$AF87),1),IF($AG87&gt;0,INDEX(BR$7:BR$106,$AG87),1),IF($AH87&gt;0,INDEX(BR$7:BR$106,$AH87),1),IF($AI87&gt;0,INDEX(BR$7:BR$106,$AI87),1),IF($AJ87&gt;0,INDEX(BR$7:BR$106,$AJ87),1))))</ns0:f>
        <ns0:v>1</ns0:v>
      </ns0:c>
      <ns0:c r="BT87" t="n">
        <ns0:f>IF($A87="",1,IF(BS87=1,1,--AND(IF($AC87&gt;0,INDEX(BS$7:BS$106,$AC87),1),IF($AD87&gt;0,INDEX(BS$7:BS$106,$AD87),1),IF($AE87&gt;0,INDEX(BS$7:BS$106,$AE87),1),IF($AF87&gt;0,INDEX(BS$7:BS$106,$AF87),1),IF($AG87&gt;0,INDEX(BS$7:BS$106,$AG87),1),IF($AH87&gt;0,INDEX(BS$7:BS$106,$AH87),1),IF($AI87&gt;0,INDEX(BS$7:BS$106,$AI87),1),IF($AJ87&gt;0,INDEX(BS$7:BS$106,$AJ87),1))))</ns0:f>
        <ns0:v>1</ns0:v>
      </ns0:c>
      <ns0:c r="BU87" t="n">
        <ns0:f>IF($A87="",1,IF(BT87=1,1,--AND(IF($AC87&gt;0,INDEX(BT$7:BT$106,$AC87),1),IF($AD87&gt;0,INDEX(BT$7:BT$106,$AD87),1),IF($AE87&gt;0,INDEX(BT$7:BT$106,$AE87),1),IF($AF87&gt;0,INDEX(BT$7:BT$106,$AF87),1),IF($AG87&gt;0,INDEX(BT$7:BT$106,$AG87),1),IF($AH87&gt;0,INDEX(BT$7:BT$106,$AH87),1),IF($AI87&gt;0,INDEX(BT$7:BT$106,$AI87),1),IF($AJ87&gt;0,INDEX(BT$7:BT$106,$AJ87),1))))</ns0:f>
        <ns0:v>1</ns0:v>
      </ns0:c>
      <ns0:c r="BV87" t="n">
        <ns0:f>IF($A87="",1,IF(BU87=1,1,--AND(IF($AC87&gt;0,INDEX(BU$7:BU$106,$AC87),1),IF($AD87&gt;0,INDEX(BU$7:BU$106,$AD87),1),IF($AE87&gt;0,INDEX(BU$7:BU$106,$AE87),1),IF($AF87&gt;0,INDEX(BU$7:BU$106,$AF87),1),IF($AG87&gt;0,INDEX(BU$7:BU$106,$AG87),1),IF($AH87&gt;0,INDEX(BU$7:BU$106,$AH87),1),IF($AI87&gt;0,INDEX(BU$7:BU$106,$AI87),1),IF($AJ87&gt;0,INDEX(BU$7:BU$106,$AJ87),1))))</ns0:f>
        <ns0:v>1</ns0:v>
      </ns0:c>
      <ns0:c r="BW87" t="n">
        <ns0:f>IF($A87="",1,IF(BV87=1,1,--AND(IF($AC87&gt;0,INDEX(BV$7:BV$106,$AC87),1),IF($AD87&gt;0,INDEX(BV$7:BV$106,$AD87),1),IF($AE87&gt;0,INDEX(BV$7:BV$106,$AE87),1),IF($AF87&gt;0,INDEX(BV$7:BV$106,$AF87),1),IF($AG87&gt;0,INDEX(BV$7:BV$106,$AG87),1),IF($AH87&gt;0,INDEX(BV$7:BV$106,$AH87),1),IF($AI87&gt;0,INDEX(BV$7:BV$106,$AI87),1),IF($AJ87&gt;0,INDEX(BV$7:BV$106,$AJ87),1))))</ns0:f>
        <ns0:v>1</ns0:v>
      </ns0:c>
      <ns0:c r="BX87" t="n">
        <ns0:f>IF($A87="",1,IF(BW87=1,1,--AND(IF($AC87&gt;0,INDEX(BW$7:BW$106,$AC87),1),IF($AD87&gt;0,INDEX(BW$7:BW$106,$AD87),1),IF($AE87&gt;0,INDEX(BW$7:BW$106,$AE87),1),IF($AF87&gt;0,INDEX(BW$7:BW$106,$AF87),1),IF($AG87&gt;0,INDEX(BW$7:BW$106,$AG87),1),IF($AH87&gt;0,INDEX(BW$7:BW$106,$AH87),1),IF($AI87&gt;0,INDEX(BW$7:BW$106,$AI87),1),IF($AJ87&gt;0,INDEX(BW$7:BW$106,$AJ87),1))))</ns0:f>
        <ns0:v>1</ns0:v>
      </ns0:c>
      <ns0:c r="BY87" t="n">
        <ns0:f>IF($A87="",1,IF(BX87=1,1,--AND(IF($AC87&gt;0,INDEX(BX$7:BX$106,$AC87),1),IF($AD87&gt;0,INDEX(BX$7:BX$106,$AD87),1),IF($AE87&gt;0,INDEX(BX$7:BX$106,$AE87),1),IF($AF87&gt;0,INDEX(BX$7:BX$106,$AF87),1),IF($AG87&gt;0,INDEX(BX$7:BX$106,$AG87),1),IF($AH87&gt;0,INDEX(BX$7:BX$106,$AH87),1),IF($AI87&gt;0,INDEX(BX$7:BX$106,$AI87),1),IF($AJ87&gt;0,INDEX(BX$7:BX$106,$AJ87),1))))</ns0:f>
        <ns0:v>1</ns0:v>
      </ns0:c>
      <ns0:c r="BZ87" t="n">
        <ns0:f>IF($A87="",1,IF(BY87=1,1,--AND(IF($AC87&gt;0,INDEX(BY$7:BY$106,$AC87),1),IF($AD87&gt;0,INDEX(BY$7:BY$106,$AD87),1),IF($AE87&gt;0,INDEX(BY$7:BY$106,$AE87),1),IF($AF87&gt;0,INDEX(BY$7:BY$106,$AF87),1),IF($AG87&gt;0,INDEX(BY$7:BY$106,$AG87),1),IF($AH87&gt;0,INDEX(BY$7:BY$106,$AH87),1),IF($AI87&gt;0,INDEX(BY$7:BY$106,$AI87),1),IF($AJ87&gt;0,INDEX(BY$7:BY$106,$AJ87),1))))</ns0:f>
        <ns0:v>1</ns0:v>
      </ns0:c>
      <ns0:c r="CA87" t="n">
        <ns0:f>IF($A87="",1,IF(BZ87=1,1,--AND(IF($AC87&gt;0,INDEX(BZ$7:BZ$106,$AC87),1),IF($AD87&gt;0,INDEX(BZ$7:BZ$106,$AD87),1),IF($AE87&gt;0,INDEX(BZ$7:BZ$106,$AE87),1),IF($AF87&gt;0,INDEX(BZ$7:BZ$106,$AF87),1),IF($AG87&gt;0,INDEX(BZ$7:BZ$106,$AG87),1),IF($AH87&gt;0,INDEX(BZ$7:BZ$106,$AH87),1),IF($AI87&gt;0,INDEX(BZ$7:BZ$106,$AI87),1),IF($AJ87&gt;0,INDEX(BZ$7:BZ$106,$AJ87),1))))</ns0:f>
        <ns0:v>1</ns0:v>
      </ns0:c>
      <ns0:c r="CB87" t="n">
        <ns0:f>IF($A87="",1,IF(CA87=1,1,--AND(IF($AC87&gt;0,INDEX(CA$7:CA$106,$AC87),1),IF($AD87&gt;0,INDEX(CA$7:CA$106,$AD87),1),IF($AE87&gt;0,INDEX(CA$7:CA$106,$AE87),1),IF($AF87&gt;0,INDEX(CA$7:CA$106,$AF87),1),IF($AG87&gt;0,INDEX(CA$7:CA$106,$AG87),1),IF($AH87&gt;0,INDEX(CA$7:CA$106,$AH87),1),IF($AI87&gt;0,INDEX(CA$7:CA$106,$AI87),1),IF($AJ87&gt;0,INDEX(CA$7:CA$106,$AJ87),1))))</ns0:f>
        <ns0:v>1</ns0:v>
      </ns0:c>
      <ns0:c r="CC87" t="n">
        <ns0:f>IF($A87="",1,IF(CB87=1,1,--AND(IF($AC87&gt;0,INDEX(CB$7:CB$106,$AC87),1),IF($AD87&gt;0,INDEX(CB$7:CB$106,$AD87),1),IF($AE87&gt;0,INDEX(CB$7:CB$106,$AE87),1),IF($AF87&gt;0,INDEX(CB$7:CB$106,$AF87),1),IF($AG87&gt;0,INDEX(CB$7:CB$106,$AG87),1),IF($AH87&gt;0,INDEX(CB$7:CB$106,$AH87),1),IF($AI87&gt;0,INDEX(CB$7:CB$106,$AI87),1),IF($AJ87&gt;0,INDEX(CB$7:CB$106,$AJ87),1))))</ns0:f>
        <ns0:v>1</ns0:v>
      </ns0:c>
      <ns0:c r="CD87" t="n">
        <ns0:f>IF($A87="",1,IF(CC87=1,1,--AND(IF($AC87&gt;0,INDEX(CC$7:CC$106,$AC87),1),IF($AD87&gt;0,INDEX(CC$7:CC$106,$AD87),1),IF($AE87&gt;0,INDEX(CC$7:CC$106,$AE87),1),IF($AF87&gt;0,INDEX(CC$7:CC$106,$AF87),1),IF($AG87&gt;0,INDEX(CC$7:CC$106,$AG87),1),IF($AH87&gt;0,INDEX(CC$7:CC$106,$AH87),1),IF($AI87&gt;0,INDEX(CC$7:CC$106,$AI87),1),IF($AJ87&gt;0,INDEX(CC$7:CC$106,$AJ87),1))))</ns0:f>
        <ns0:v>1</ns0:v>
      </ns0:c>
      <ns0:c r="CE87" t="n">
        <ns0:f>IF($A87="",1,IF(CD87=1,1,--AND(IF($AC87&gt;0,INDEX(CD$7:CD$106,$AC87),1),IF($AD87&gt;0,INDEX(CD$7:CD$106,$AD87),1),IF($AE87&gt;0,INDEX(CD$7:CD$106,$AE87),1),IF($AF87&gt;0,INDEX(CD$7:CD$106,$AF87),1),IF($AG87&gt;0,INDEX(CD$7:CD$106,$AG87),1),IF($AH87&gt;0,INDEX(CD$7:CD$106,$AH87),1),IF($AI87&gt;0,INDEX(CD$7:CD$106,$AI87),1),IF($AJ87&gt;0,INDEX(CD$7:CD$106,$AJ87),1))))</ns0:f>
        <ns0:v>1</ns0:v>
      </ns0:c>
      <ns0:c r="CF87" t="n">
        <ns0:f>IF($A87="",1,IF(CE87=1,1,--AND(IF($AC87&gt;0,INDEX(CE$7:CE$106,$AC87),1),IF($AD87&gt;0,INDEX(CE$7:CE$106,$AD87),1),IF($AE87&gt;0,INDEX(CE$7:CE$106,$AE87),1),IF($AF87&gt;0,INDEX(CE$7:CE$106,$AF87),1),IF($AG87&gt;0,INDEX(CE$7:CE$106,$AG87),1),IF($AH87&gt;0,INDEX(CE$7:CE$106,$AH87),1),IF($AI87&gt;0,INDEX(CE$7:CE$106,$AI87),1),IF($AJ87&gt;0,INDEX(CE$7:CE$106,$AJ87),1))))</ns0:f>
        <ns0:v>1</ns0:v>
      </ns0:c>
      <ns0:c r="CG87" t="n">
        <ns0:f>IF($A87="",1,IF(CF87=1,1,--AND(IF($AC87&gt;0,INDEX(CF$7:CF$106,$AC87),1),IF($AD87&gt;0,INDEX(CF$7:CF$106,$AD87),1),IF($AE87&gt;0,INDEX(CF$7:CF$106,$AE87),1),IF($AF87&gt;0,INDEX(CF$7:CF$106,$AF87),1),IF($AG87&gt;0,INDEX(CF$7:CF$106,$AG87),1),IF($AH87&gt;0,INDEX(CF$7:CF$106,$AH87),1),IF($AI87&gt;0,INDEX(CF$7:CF$106,$AI87),1),IF($AJ87&gt;0,INDEX(CF$7:CF$106,$AJ87),1))))</ns0:f>
        <ns0:v>1</ns0:v>
      </ns0:c>
      <ns0:c r="CH87" t="n">
        <ns0:f>IF($A87="",1,IF(CG87=1,1,--AND(IF($AC87&gt;0,INDEX(CG$7:CG$106,$AC87),1),IF($AD87&gt;0,INDEX(CG$7:CG$106,$AD87),1),IF($AE87&gt;0,INDEX(CG$7:CG$106,$AE87),1),IF($AF87&gt;0,INDEX(CG$7:CG$106,$AF87),1),IF($AG87&gt;0,INDEX(CG$7:CG$106,$AG87),1),IF($AH87&gt;0,INDEX(CG$7:CG$106,$AH87),1),IF($AI87&gt;0,INDEX(CG$7:CG$106,$AI87),1),IF($AJ87&gt;0,INDEX(CG$7:CG$106,$AJ87),1))))</ns0:f>
        <ns0:v>1</ns0:v>
      </ns0:c>
      <ns0:c r="CI87" t="n">
        <ns0:f>IF($A87="",1,IF(CH87=1,1,--AND(IF($AC87&gt;0,INDEX(CH$7:CH$106,$AC87),1),IF($AD87&gt;0,INDEX(CH$7:CH$106,$AD87),1),IF($AE87&gt;0,INDEX(CH$7:CH$106,$AE87),1),IF($AF87&gt;0,INDEX(CH$7:CH$106,$AF87),1),IF($AG87&gt;0,INDEX(CH$7:CH$106,$AG87),1),IF($AH87&gt;0,INDEX(CH$7:CH$106,$AH87),1),IF($AI87&gt;0,INDEX(CH$7:CH$106,$AI87),1),IF($AJ87&gt;0,INDEX(CH$7:CH$106,$AJ87),1))))</ns0:f>
        <ns0:v>1</ns0:v>
      </ns0:c>
      <ns0:c r="CJ87" t="n">
        <ns0:f>IF($A87="",1,IF(CI87=1,1,--AND(IF($AC87&gt;0,INDEX(CI$7:CI$106,$AC87),1),IF($AD87&gt;0,INDEX(CI$7:CI$106,$AD87),1),IF($AE87&gt;0,INDEX(CI$7:CI$106,$AE87),1),IF($AF87&gt;0,INDEX(CI$7:CI$106,$AF87),1),IF($AG87&gt;0,INDEX(CI$7:CI$106,$AG87),1),IF($AH87&gt;0,INDEX(CI$7:CI$106,$AH87),1),IF($AI87&gt;0,INDEX(CI$7:CI$106,$AI87),1),IF($AJ87&gt;0,INDEX(CI$7:CI$106,$AJ87),1))))</ns0:f>
        <ns0:v>1</ns0:v>
      </ns0:c>
      <ns0:c r="CK87" t="n">
        <ns0:f>IF($A87="",1,IF(CJ87=1,1,--AND(IF($AC87&gt;0,INDEX(CJ$7:CJ$106,$AC87),1),IF($AD87&gt;0,INDEX(CJ$7:CJ$106,$AD87),1),IF($AE87&gt;0,INDEX(CJ$7:CJ$106,$AE87),1),IF($AF87&gt;0,INDEX(CJ$7:CJ$106,$AF87),1),IF($AG87&gt;0,INDEX(CJ$7:CJ$106,$AG87),1),IF($AH87&gt;0,INDEX(CJ$7:CJ$106,$AH87),1),IF($AI87&gt;0,INDEX(CJ$7:CJ$106,$AI87),1),IF($AJ87&gt;0,INDEX(CJ$7:CJ$106,$AJ87),1))))</ns0:f>
        <ns0:v>1</ns0:v>
      </ns0:c>
      <ns0:c r="CL87" t="n">
        <ns0:f>IF($A87="",1,IF(CK87=1,1,--AND(IF($AC87&gt;0,INDEX(CK$7:CK$106,$AC87),1),IF($AD87&gt;0,INDEX(CK$7:CK$106,$AD87),1),IF($AE87&gt;0,INDEX(CK$7:CK$106,$AE87),1),IF($AF87&gt;0,INDEX(CK$7:CK$106,$AF87),1),IF($AG87&gt;0,INDEX(CK$7:CK$106,$AG87),1),IF($AH87&gt;0,INDEX(CK$7:CK$106,$AH87),1),IF($AI87&gt;0,INDEX(CK$7:CK$106,$AI87),1),IF($AJ87&gt;0,INDEX(CK$7:CK$106,$AJ87),1))))</ns0:f>
        <ns0:v>1</ns0:v>
      </ns0:c>
      <ns0:c r="CM87" t="n">
        <ns0:f>IF($A87="",1,IF(CL87=1,1,--AND(IF($AC87&gt;0,INDEX(CL$7:CL$106,$AC87),1),IF($AD87&gt;0,INDEX(CL$7:CL$106,$AD87),1),IF($AE87&gt;0,INDEX(CL$7:CL$106,$AE87),1),IF($AF87&gt;0,INDEX(CL$7:CL$106,$AF87),1),IF($AG87&gt;0,INDEX(CL$7:CL$106,$AG87),1),IF($AH87&gt;0,INDEX(CL$7:CL$106,$AH87),1),IF($AI87&gt;0,INDEX(CL$7:CL$106,$AI87),1),IF($AJ87&gt;0,INDEX(CL$7:CL$106,$AJ87),1))))</ns0:f>
        <ns0:v>1</ns0:v>
      </ns0:c>
      <ns0:c r="CN87" t="n">
        <ns0:f>IF($A87="",1,IF(CM87=1,1,--AND(IF($AC87&gt;0,INDEX(CM$7:CM$106,$AC87),1),IF($AD87&gt;0,INDEX(CM$7:CM$106,$AD87),1),IF($AE87&gt;0,INDEX(CM$7:CM$106,$AE87),1),IF($AF87&gt;0,INDEX(CM$7:CM$106,$AF87),1),IF($AG87&gt;0,INDEX(CM$7:CM$106,$AG87),1),IF($AH87&gt;0,INDEX(CM$7:CM$106,$AH87),1),IF($AI87&gt;0,INDEX(CM$7:CM$106,$AI87),1),IF($AJ87&gt;0,INDEX(CM$7:CM$106,$AJ87),1))))</ns0:f>
        <ns0:v>1</ns0:v>
      </ns0:c>
      <ns0:c r="CO87" t="n">
        <ns0:f>IF($A87="",1,IF(CN87=1,1,--AND(IF($AC87&gt;0,INDEX(CN$7:CN$106,$AC87),1),IF($AD87&gt;0,INDEX(CN$7:CN$106,$AD87),1),IF($AE87&gt;0,INDEX(CN$7:CN$106,$AE87),1),IF($AF87&gt;0,INDEX(CN$7:CN$106,$AF87),1),IF($AG87&gt;0,INDEX(CN$7:CN$106,$AG87),1),IF($AH87&gt;0,INDEX(CN$7:CN$106,$AH87),1),IF($AI87&gt;0,INDEX(CN$7:CN$106,$AI87),1),IF($AJ87&gt;0,INDEX(CN$7:CN$106,$AJ87),1))))</ns0:f>
        <ns0:v>1</ns0:v>
      </ns0:c>
      <ns0:c r="CP87" t="n">
        <ns0:f>IF($A87="",1,IF(CO87=1,1,--AND(IF($AC87&gt;0,INDEX(CO$7:CO$106,$AC87),1),IF($AD87&gt;0,INDEX(CO$7:CO$106,$AD87),1),IF($AE87&gt;0,INDEX(CO$7:CO$106,$AE87),1),IF($AF87&gt;0,INDEX(CO$7:CO$106,$AF87),1),IF($AG87&gt;0,INDEX(CO$7:CO$106,$AG87),1),IF($AH87&gt;0,INDEX(CO$7:CO$106,$AH87),1),IF($AI87&gt;0,INDEX(CO$7:CO$106,$AI87),1),IF($AJ87&gt;0,INDEX(CO$7:CO$106,$AJ87),1))))</ns0:f>
        <ns0:v>1</ns0:v>
      </ns0:c>
      <ns0:c r="CQ87" t="n">
        <ns0:f>IF($A87="",1,IF(CP87=1,1,--AND(IF($AC87&gt;0,INDEX(CP$7:CP$106,$AC87),1),IF($AD87&gt;0,INDEX(CP$7:CP$106,$AD87),1),IF($AE87&gt;0,INDEX(CP$7:CP$106,$AE87),1),IF($AF87&gt;0,INDEX(CP$7:CP$106,$AF87),1),IF($AG87&gt;0,INDEX(CP$7:CP$106,$AG87),1),IF($AH87&gt;0,INDEX(CP$7:CP$106,$AH87),1),IF($AI87&gt;0,INDEX(CP$7:CP$106,$AI87),1),IF($AJ87&gt;0,INDEX(CP$7:CP$106,$AJ87),1))))</ns0:f>
        <ns0:v>1</ns0:v>
      </ns0:c>
      <ns0:c r="CR87" t="n">
        <ns0:f>IF($A87="",1,IF(CQ87=1,1,--AND(IF($AC87&gt;0,INDEX(CQ$7:CQ$106,$AC87),1),IF($AD87&gt;0,INDEX(CQ$7:CQ$106,$AD87),1),IF($AE87&gt;0,INDEX(CQ$7:CQ$106,$AE87),1),IF($AF87&gt;0,INDEX(CQ$7:CQ$106,$AF87),1),IF($AG87&gt;0,INDEX(CQ$7:CQ$106,$AG87),1),IF($AH87&gt;0,INDEX(CQ$7:CQ$106,$AH87),1),IF($AI87&gt;0,INDEX(CQ$7:CQ$106,$AI87),1),IF($AJ87&gt;0,INDEX(CQ$7:CQ$106,$AJ87),1))))</ns0:f>
        <ns0:v>1</ns0:v>
      </ns0:c>
      <ns0:c r="CS87" t="n">
        <ns0:f>IF($A87="",1,IF(CR87=1,1,--AND(IF($AC87&gt;0,INDEX(CR$7:CR$106,$AC87),1),IF($AD87&gt;0,INDEX(CR$7:CR$106,$AD87),1),IF($AE87&gt;0,INDEX(CR$7:CR$106,$AE87),1),IF($AF87&gt;0,INDEX(CR$7:CR$106,$AF87),1),IF($AG87&gt;0,INDEX(CR$7:CR$106,$AG87),1),IF($AH87&gt;0,INDEX(CR$7:CR$106,$AH87),1),IF($AI87&gt;0,INDEX(CR$7:CR$106,$AI87),1),IF($AJ87&gt;0,INDEX(CR$7:CR$106,$AJ87),1))))</ns0:f>
        <ns0:v>1</ns0:v>
      </ns0:c>
      <ns0:c r="CT87" t="n">
        <ns0:f>IF($A87="",1,IF(CS87=1,1,--AND(IF($AC87&gt;0,INDEX(CS$7:CS$106,$AC87),1),IF($AD87&gt;0,INDEX(CS$7:CS$106,$AD87),1),IF($AE87&gt;0,INDEX(CS$7:CS$106,$AE87),1),IF($AF87&gt;0,INDEX(CS$7:CS$106,$AF87),1),IF($AG87&gt;0,INDEX(CS$7:CS$106,$AG87),1),IF($AH87&gt;0,INDEX(CS$7:CS$106,$AH87),1),IF($AI87&gt;0,INDEX(CS$7:CS$106,$AI87),1),IF($AJ87&gt;0,INDEX(CS$7:CS$106,$AJ87),1))))</ns0:f>
        <ns0:v>1</ns0:v>
      </ns0:c>
      <ns0:c r="CU87" t="n">
        <ns0:f>IF($A87="",1,IF(CT87=1,1,--AND(IF($AC87&gt;0,INDEX(CT$7:CT$106,$AC87),1),IF($AD87&gt;0,INDEX(CT$7:CT$106,$AD87),1),IF($AE87&gt;0,INDEX(CT$7:CT$106,$AE87),1),IF($AF87&gt;0,INDEX(CT$7:CT$106,$AF87),1),IF($AG87&gt;0,INDEX(CT$7:CT$106,$AG87),1),IF($AH87&gt;0,INDEX(CT$7:CT$106,$AH87),1),IF($AI87&gt;0,INDEX(CT$7:CT$106,$AI87),1),IF($AJ87&gt;0,INDEX(CT$7:CT$106,$AJ87),1))))</ns0:f>
        <ns0:v>1</ns0:v>
      </ns0:c>
      <ns0:c r="CV87" t="n">
        <ns0:f>IF($A87="",1,IF(CU87=1,1,--AND(IF($AC87&gt;0,INDEX(CU$7:CU$106,$AC87),1),IF($AD87&gt;0,INDEX(CU$7:CU$106,$AD87),1),IF($AE87&gt;0,INDEX(CU$7:CU$106,$AE87),1),IF($AF87&gt;0,INDEX(CU$7:CU$106,$AF87),1),IF($AG87&gt;0,INDEX(CU$7:CU$106,$AG87),1),IF($AH87&gt;0,INDEX(CU$7:CU$106,$AH87),1),IF($AI87&gt;0,INDEX(CU$7:CU$106,$AI87),1),IF($AJ87&gt;0,INDEX(CU$7:CU$106,$AJ87),1))))</ns0:f>
        <ns0:v>1</ns0:v>
      </ns0:c>
      <ns0:c r="CW87" t="n">
        <ns0:f>IF($A87="",1,IF(CV87=1,1,--AND(IF($AC87&gt;0,INDEX(CV$7:CV$106,$AC87),1),IF($AD87&gt;0,INDEX(CV$7:CV$106,$AD87),1),IF($AE87&gt;0,INDEX(CV$7:CV$106,$AE87),1),IF($AF87&gt;0,INDEX(CV$7:CV$106,$AF87),1),IF($AG87&gt;0,INDEX(CV$7:CV$106,$AG87),1),IF($AH87&gt;0,INDEX(CV$7:CV$106,$AH87),1),IF($AI87&gt;0,INDEX(CV$7:CV$106,$AI87),1),IF($AJ87&gt;0,INDEX(CV$7:CV$106,$AJ87),1))))</ns0:f>
        <ns0:v>1</ns0:v>
      </ns0:c>
      <ns0:c r="CX87" t="n">
        <ns0:f>IF($A87="",1,IF(CW87=1,1,--AND(IF($AC87&gt;0,INDEX(CW$7:CW$106,$AC87),1),IF($AD87&gt;0,INDEX(CW$7:CW$106,$AD87),1),IF($AE87&gt;0,INDEX(CW$7:CW$106,$AE87),1),IF($AF87&gt;0,INDEX(CW$7:CW$106,$AF87),1),IF($AG87&gt;0,INDEX(CW$7:CW$106,$AG87),1),IF($AH87&gt;0,INDEX(CW$7:CW$106,$AH87),1),IF($AI87&gt;0,INDEX(CW$7:CW$106,$AI87),1),IF($AJ87&gt;0,INDEX(CW$7:CW$106,$AJ87),1))))</ns0:f>
        <ns0:v>1</ns0:v>
      </ns0:c>
      <ns0:c r="CY87" t="n">
        <ns0:f>IF($A87="",1,IF(CX87=1,1,--AND(IF($AC87&gt;0,INDEX(CX$7:CX$106,$AC87),1),IF($AD87&gt;0,INDEX(CX$7:CX$106,$AD87),1),IF($AE87&gt;0,INDEX(CX$7:CX$106,$AE87),1),IF($AF87&gt;0,INDEX(CX$7:CX$106,$AF87),1),IF($AG87&gt;0,INDEX(CX$7:CX$106,$AG87),1),IF($AH87&gt;0,INDEX(CX$7:CX$106,$AH87),1),IF($AI87&gt;0,INDEX(CX$7:CX$106,$AI87),1),IF($AJ87&gt;0,INDEX(CX$7:CX$106,$AJ87),1))))</ns0:f>
        <ns0:v>1</ns0:v>
      </ns0:c>
      <ns0:c r="CZ87" t="n">
        <ns0:f>IF($A87="",1,IF(CY87=1,1,--AND(IF($AC87&gt;0,INDEX(CY$7:CY$106,$AC87),1),IF($AD87&gt;0,INDEX(CY$7:CY$106,$AD87),1),IF($AE87&gt;0,INDEX(CY$7:CY$106,$AE87),1),IF($AF87&gt;0,INDEX(CY$7:CY$106,$AF87),1),IF($AG87&gt;0,INDEX(CY$7:CY$106,$AG87),1),IF($AH87&gt;0,INDEX(CY$7:CY$106,$AH87),1),IF($AI87&gt;0,INDEX(CY$7:CY$106,$AI87),1),IF($AJ87&gt;0,INDEX(CY$7:CY$106,$AJ87),1))))</ns0:f>
        <ns0:v>1</ns0:v>
      </ns0:c>
      <ns0:c r="DA87" t="n">
        <ns0:f>IF($A87="",1,IF(CZ87=1,1,--AND(IF($AC87&gt;0,INDEX(CZ$7:CZ$106,$AC87),1),IF($AD87&gt;0,INDEX(CZ$7:CZ$106,$AD87),1),IF($AE87&gt;0,INDEX(CZ$7:CZ$106,$AE87),1),IF($AF87&gt;0,INDEX(CZ$7:CZ$106,$AF87),1),IF($AG87&gt;0,INDEX(CZ$7:CZ$106,$AG87),1),IF($AH87&gt;0,INDEX(CZ$7:CZ$106,$AH87),1),IF($AI87&gt;0,INDEX(CZ$7:CZ$106,$AI87),1),IF($AJ87&gt;0,INDEX(CZ$7:CZ$106,$AJ87),1))))</ns0:f>
        <ns0:v>1</ns0:v>
      </ns0:c>
      <ns0:c r="DB87" t="n">
        <ns0:f>IF($A87="",1,IF(DA87=1,1,--AND(IF($AC87&gt;0,INDEX(DA$7:DA$106,$AC87),1),IF($AD87&gt;0,INDEX(DA$7:DA$106,$AD87),1),IF($AE87&gt;0,INDEX(DA$7:DA$106,$AE87),1),IF($AF87&gt;0,INDEX(DA$7:DA$106,$AF87),1),IF($AG87&gt;0,INDEX(DA$7:DA$106,$AG87),1),IF($AH87&gt;0,INDEX(DA$7:DA$106,$AH87),1),IF($AI87&gt;0,INDEX(DA$7:DA$106,$AI87),1),IF($AJ87&gt;0,INDEX(DA$7:DA$106,$AJ87),1))))</ns0:f>
        <ns0:v>1</ns0:v>
      </ns0:c>
      <ns0:c r="DC87" t="n">
        <ns0:f>IF($A87="",1,IF(DB87=1,1,--AND(IF($AC87&gt;0,INDEX(DB$7:DB$106,$AC87),1),IF($AD87&gt;0,INDEX(DB$7:DB$106,$AD87),1),IF($AE87&gt;0,INDEX(DB$7:DB$106,$AE87),1),IF($AF87&gt;0,INDEX(DB$7:DB$106,$AF87),1),IF($AG87&gt;0,INDEX(DB$7:DB$106,$AG87),1),IF($AH87&gt;0,INDEX(DB$7:DB$106,$AH87),1),IF($AI87&gt;0,INDEX(DB$7:DB$106,$AI87),1),IF($AJ87&gt;0,INDEX(DB$7:DB$106,$AJ87),1))))</ns0:f>
        <ns0:v>1</ns0:v>
      </ns0:c>
      <ns0:c r="DD87" t="n">
        <ns0:f>IF($A87="",1,IF(DC87=1,1,--AND(IF($AC87&gt;0,INDEX(DC$7:DC$106,$AC87),1),IF($AD87&gt;0,INDEX(DC$7:DC$106,$AD87),1),IF($AE87&gt;0,INDEX(DC$7:DC$106,$AE87),1),IF($AF87&gt;0,INDEX(DC$7:DC$106,$AF87),1),IF($AG87&gt;0,INDEX(DC$7:DC$106,$AG87),1),IF($AH87&gt;0,INDEX(DC$7:DC$106,$AH87),1),IF($AI87&gt;0,INDEX(DC$7:DC$106,$AI87),1),IF($AJ87&gt;0,INDEX(DC$7:DC$106,$AJ87),1))))</ns0:f>
        <ns0:v>1</ns0:v>
      </ns0:c>
      <ns0:c r="DE87" t="n">
        <ns0:f>IF($A87="",1,IF(DD87=1,1,--AND(IF($AC87&gt;0,INDEX(DD$7:DD$106,$AC87),1),IF($AD87&gt;0,INDEX(DD$7:DD$106,$AD87),1),IF($AE87&gt;0,INDEX(DD$7:DD$106,$AE87),1),IF($AF87&gt;0,INDEX(DD$7:DD$106,$AF87),1),IF($AG87&gt;0,INDEX(DD$7:DD$106,$AG87),1),IF($AH87&gt;0,INDEX(DD$7:DD$106,$AH87),1),IF($AI87&gt;0,INDEX(DD$7:DD$106,$AI87),1),IF($AJ87&gt;0,INDEX(DD$7:DD$106,$AJ87),1))))</ns0:f>
        <ns0:v>1</ns0:v>
      </ns0:c>
      <ns0:c r="DF87" t="n">
        <ns0:f>IF($A87="",1,IF(DE87=1,1,--AND(IF($AC87&gt;0,INDEX(DE$7:DE$106,$AC87),1),IF($AD87&gt;0,INDEX(DE$7:DE$106,$AD87),1),IF($AE87&gt;0,INDEX(DE$7:DE$106,$AE87),1),IF($AF87&gt;0,INDEX(DE$7:DE$106,$AF87),1),IF($AG87&gt;0,INDEX(DE$7:DE$106,$AG87),1),IF($AH87&gt;0,INDEX(DE$7:DE$106,$AH87),1),IF($AI87&gt;0,INDEX(DE$7:DE$106,$AI87),1),IF($AJ87&gt;0,INDEX(DE$7:DE$106,$AJ87),1))))</ns0:f>
        <ns0:v>1</ns0:v>
      </ns0:c>
      <ns0:c r="DG87" t="n">
        <ns0:f>IF($A87="",1,IF(DF87=1,1,--AND(IF($AC87&gt;0,INDEX(DF$7:DF$106,$AC87),1),IF($AD87&gt;0,INDEX(DF$7:DF$106,$AD87),1),IF($AE87&gt;0,INDEX(DF$7:DF$106,$AE87),1),IF($AF87&gt;0,INDEX(DF$7:DF$106,$AF87),1),IF($AG87&gt;0,INDEX(DF$7:DF$106,$AG87),1),IF($AH87&gt;0,INDEX(DF$7:DF$106,$AH87),1),IF($AI87&gt;0,INDEX(DF$7:DF$106,$AI87),1),IF($AJ87&gt;0,INDEX(DF$7:DF$106,$AJ87),1))))</ns0:f>
        <ns0:v>1</ns0:v>
      </ns0:c>
      <ns0:c r="DH87" t="n">
        <ns0:f>IF($A87="",1,IF(DG87=1,1,--AND(IF($AC87&gt;0,INDEX(DG$7:DG$106,$AC87),1),IF($AD87&gt;0,INDEX(DG$7:DG$106,$AD87),1),IF($AE87&gt;0,INDEX(DG$7:DG$106,$AE87),1),IF($AF87&gt;0,INDEX(DG$7:DG$106,$AF87),1),IF($AG87&gt;0,INDEX(DG$7:DG$106,$AG87),1),IF($AH87&gt;0,INDEX(DG$7:DG$106,$AH87),1),IF($AI87&gt;0,INDEX(DG$7:DG$106,$AI87),1),IF($AJ87&gt;0,INDEX(DG$7:DG$106,$AJ87),1))))</ns0:f>
        <ns0:v>1</ns0:v>
      </ns0:c>
      <ns0:c r="DI87" t="n">
        <ns0:f>IF($A87="",1,IF(DH87=1,1,--AND(IF($AC87&gt;0,INDEX(DH$7:DH$106,$AC87),1),IF($AD87&gt;0,INDEX(DH$7:DH$106,$AD87),1),IF($AE87&gt;0,INDEX(DH$7:DH$106,$AE87),1),IF($AF87&gt;0,INDEX(DH$7:DH$106,$AF87),1),IF($AG87&gt;0,INDEX(DH$7:DH$106,$AG87),1),IF($AH87&gt;0,INDEX(DH$7:DH$106,$AH87),1),IF($AI87&gt;0,INDEX(DH$7:DH$106,$AI87),1),IF($AJ87&gt;0,INDEX(DH$7:DH$106,$AJ87),1))))</ns0:f>
        <ns0:v>1</ns0:v>
      </ns0:c>
      <ns0:c r="DJ87" t="n">
        <ns0:f>IF($A87="",1,IF(DI87=1,1,--AND(IF($AC87&gt;0,INDEX(DI$7:DI$106,$AC87),1),IF($AD87&gt;0,INDEX(DI$7:DI$106,$AD87),1),IF($AE87&gt;0,INDEX(DI$7:DI$106,$AE87),1),IF($AF87&gt;0,INDEX(DI$7:DI$106,$AF87),1),IF($AG87&gt;0,INDEX(DI$7:DI$106,$AG87),1),IF($AH87&gt;0,INDEX(DI$7:DI$106,$AH87),1),IF($AI87&gt;0,INDEX(DI$7:DI$106,$AI87),1),IF($AJ87&gt;0,INDEX(DI$7:DI$106,$AJ87),1))))</ns0:f>
        <ns0:v>1</ns0:v>
      </ns0:c>
      <ns0:c r="DK87" t="n">
        <ns0:f>IF($A87="",1,IF(DJ87=1,1,--AND(IF($AC87&gt;0,INDEX(DJ$7:DJ$106,$AC87),1),IF($AD87&gt;0,INDEX(DJ$7:DJ$106,$AD87),1),IF($AE87&gt;0,INDEX(DJ$7:DJ$106,$AE87),1),IF($AF87&gt;0,INDEX(DJ$7:DJ$106,$AF87),1),IF($AG87&gt;0,INDEX(DJ$7:DJ$106,$AG87),1),IF($AH87&gt;0,INDEX(DJ$7:DJ$106,$AH87),1),IF($AI87&gt;0,INDEX(DJ$7:DJ$106,$AI87),1),IF($AJ87&gt;0,INDEX(DJ$7:DJ$106,$AJ87),1))))</ns0:f>
        <ns0:v>1</ns0:v>
      </ns0:c>
      <ns0:c r="DL87" t="n">
        <ns0:f>IF($A87="",1,IF(DK87=1,1,--AND(IF($AC87&gt;0,INDEX(DK$7:DK$106,$AC87),1),IF($AD87&gt;0,INDEX(DK$7:DK$106,$AD87),1),IF($AE87&gt;0,INDEX(DK$7:DK$106,$AE87),1),IF($AF87&gt;0,INDEX(DK$7:DK$106,$AF87),1),IF($AG87&gt;0,INDEX(DK$7:DK$106,$AG87),1),IF($AH87&gt;0,INDEX(DK$7:DK$106,$AH87),1),IF($AI87&gt;0,INDEX(DK$7:DK$106,$AI87),1),IF($AJ87&gt;0,INDEX(DK$7:DK$106,$AJ87),1))))</ns0:f>
        <ns0:v>1</ns0:v>
      </ns0:c>
      <ns0:c r="DM87" t="n">
        <ns0:f>IF($A87="",1,IF(DL87=1,1,--AND(IF($AC87&gt;0,INDEX(DL$7:DL$106,$AC87),1),IF($AD87&gt;0,INDEX(DL$7:DL$106,$AD87),1),IF($AE87&gt;0,INDEX(DL$7:DL$106,$AE87),1),IF($AF87&gt;0,INDEX(DL$7:DL$106,$AF87),1),IF($AG87&gt;0,INDEX(DL$7:DL$106,$AG87),1),IF($AH87&gt;0,INDEX(DL$7:DL$106,$AH87),1),IF($AI87&gt;0,INDEX(DL$7:DL$106,$AI87),1),IF($AJ87&gt;0,INDEX(DL$7:DL$106,$AJ87),1))))</ns0:f>
        <ns0:v>1</ns0:v>
      </ns0:c>
      <ns0:c r="DN87" t="n">
        <ns0:f>IF($A87="",1,IF(DM87=1,1,--AND(IF($AC87&gt;0,INDEX(DM$7:DM$106,$AC87),1),IF($AD87&gt;0,INDEX(DM$7:DM$106,$AD87),1),IF($AE87&gt;0,INDEX(DM$7:DM$106,$AE87),1),IF($AF87&gt;0,INDEX(DM$7:DM$106,$AF87),1),IF($AG87&gt;0,INDEX(DM$7:DM$106,$AG87),1),IF($AH87&gt;0,INDEX(DM$7:DM$106,$AH87),1),IF($AI87&gt;0,INDEX(DM$7:DM$106,$AI87),1),IF($AJ87&gt;0,INDEX(DM$7:DM$106,$AJ87),1))))</ns0:f>
        <ns0:v>1</ns0:v>
      </ns0:c>
      <ns0:c r="DO87" t="n">
        <ns0:f>IF($A87="",1,IF(DN87=1,1,--AND(IF($AC87&gt;0,INDEX(DN$7:DN$106,$AC87),1),IF($AD87&gt;0,INDEX(DN$7:DN$106,$AD87),1),IF($AE87&gt;0,INDEX(DN$7:DN$106,$AE87),1),IF($AF87&gt;0,INDEX(DN$7:DN$106,$AF87),1),IF($AG87&gt;0,INDEX(DN$7:DN$106,$AG87),1),IF($AH87&gt;0,INDEX(DN$7:DN$106,$AH87),1),IF($AI87&gt;0,INDEX(DN$7:DN$106,$AI87),1),IF($AJ87&gt;0,INDEX(DN$7:DN$106,$AJ87),1))))</ns0:f>
        <ns0:v>1</ns0:v>
      </ns0:c>
      <ns0:c r="DP87" t="n">
        <ns0:f>IF($A87="",1,IF(DO87=1,1,--AND(IF($AC87&gt;0,INDEX(DO$7:DO$106,$AC87),1),IF($AD87&gt;0,INDEX(DO$7:DO$106,$AD87),1),IF($AE87&gt;0,INDEX(DO$7:DO$106,$AE87),1),IF($AF87&gt;0,INDEX(DO$7:DO$106,$AF87),1),IF($AG87&gt;0,INDEX(DO$7:DO$106,$AG87),1),IF($AH87&gt;0,INDEX(DO$7:DO$106,$AH87),1),IF($AI87&gt;0,INDEX(DO$7:DO$106,$AI87),1),IF($AJ87&gt;0,INDEX(DO$7:DO$106,$AJ87),1))))</ns0:f>
        <ns0:v>1</ns0:v>
      </ns0:c>
      <ns0:c r="DQ87" t="n">
        <ns0:f>IF($A87="",1,IF(DP87=1,1,--AND(IF($AC87&gt;0,INDEX(DP$7:DP$106,$AC87),1),IF($AD87&gt;0,INDEX(DP$7:DP$106,$AD87),1),IF($AE87&gt;0,INDEX(DP$7:DP$106,$AE87),1),IF($AF87&gt;0,INDEX(DP$7:DP$106,$AF87),1),IF($AG87&gt;0,INDEX(DP$7:DP$106,$AG87),1),IF($AH87&gt;0,INDEX(DP$7:DP$106,$AH87),1),IF($AI87&gt;0,INDEX(DP$7:DP$106,$AI87),1),IF($AJ87&gt;0,INDEX(DP$7:DP$106,$AJ87),1))))</ns0:f>
        <ns0:v>1</ns0:v>
      </ns0:c>
      <ns0:c r="DR87" t="n">
        <ns0:f>IF($A87="",1,IF(DQ87=1,1,--AND(IF($AC87&gt;0,INDEX(DQ$7:DQ$106,$AC87),1),IF($AD87&gt;0,INDEX(DQ$7:DQ$106,$AD87),1),IF($AE87&gt;0,INDEX(DQ$7:DQ$106,$AE87),1),IF($AF87&gt;0,INDEX(DQ$7:DQ$106,$AF87),1),IF($AG87&gt;0,INDEX(DQ$7:DQ$106,$AG87),1),IF($AH87&gt;0,INDEX(DQ$7:DQ$106,$AH87),1),IF($AI87&gt;0,INDEX(DQ$7:DQ$106,$AI87),1),IF($AJ87&gt;0,INDEX(DQ$7:DQ$106,$AJ87),1))))</ns0:f>
        <ns0:v>1</ns0:v>
      </ns0:c>
      <ns0:c r="DS87" t="n">
        <ns0:f>IF($A87="",1,IF(DR87=1,1,--AND(IF($AC87&gt;0,INDEX(DR$7:DR$106,$AC87),1),IF($AD87&gt;0,INDEX(DR$7:DR$106,$AD87),1),IF($AE87&gt;0,INDEX(DR$7:DR$106,$AE87),1),IF($AF87&gt;0,INDEX(DR$7:DR$106,$AF87),1),IF($AG87&gt;0,INDEX(DR$7:DR$106,$AG87),1),IF($AH87&gt;0,INDEX(DR$7:DR$106,$AH87),1),IF($AI87&gt;0,INDEX(DR$7:DR$106,$AI87),1),IF($AJ87&gt;0,INDEX(DR$7:DR$106,$AJ87),1))))</ns0:f>
        <ns0:v>1</ns0:v>
      </ns0:c>
      <ns0:c r="DT87" t="n">
        <ns0:f>IF($A87="",1,IF(DS87=1,1,--AND(IF($AC87&gt;0,INDEX(DS$7:DS$106,$AC87),1),IF($AD87&gt;0,INDEX(DS$7:DS$106,$AD87),1),IF($AE87&gt;0,INDEX(DS$7:DS$106,$AE87),1),IF($AF87&gt;0,INDEX(DS$7:DS$106,$AF87),1),IF($AG87&gt;0,INDEX(DS$7:DS$106,$AG87),1),IF($AH87&gt;0,INDEX(DS$7:DS$106,$AH87),1),IF($AI87&gt;0,INDEX(DS$7:DS$106,$AI87),1),IF($AJ87&gt;0,INDEX(DS$7:DS$106,$AJ87),1))))</ns0:f>
        <ns0:v>1</ns0:v>
      </ns0:c>
      <ns0:c r="DU87" t="n">
        <ns0:f>IF($A87="",1,IF(DT87=1,1,--AND(IF($AC87&gt;0,INDEX(DT$7:DT$106,$AC87),1),IF($AD87&gt;0,INDEX(DT$7:DT$106,$AD87),1),IF($AE87&gt;0,INDEX(DT$7:DT$106,$AE87),1),IF($AF87&gt;0,INDEX(DT$7:DT$106,$AF87),1),IF($AG87&gt;0,INDEX(DT$7:DT$106,$AG87),1),IF($AH87&gt;0,INDEX(DT$7:DT$106,$AH87),1),IF($AI87&gt;0,INDEX(DT$7:DT$106,$AI87),1),IF($AJ87&gt;0,INDEX(DT$7:DT$106,$AJ87),1))))</ns0:f>
        <ns0:v>1</ns0:v>
      </ns0:c>
      <ns0:c r="DV87" t="n">
        <ns0:f>IF($A87="",1,IF(DU87=1,1,--AND(IF($AC87&gt;0,INDEX(DU$7:DU$106,$AC87),1),IF($AD87&gt;0,INDEX(DU$7:DU$106,$AD87),1),IF($AE87&gt;0,INDEX(DU$7:DU$106,$AE87),1),IF($AF87&gt;0,INDEX(DU$7:DU$106,$AF87),1),IF($AG87&gt;0,INDEX(DU$7:DU$106,$AG87),1),IF($AH87&gt;0,INDEX(DU$7:DU$106,$AH87),1),IF($AI87&gt;0,INDEX(DU$7:DU$106,$AI87),1),IF($AJ87&gt;0,INDEX(DU$7:DU$106,$AJ87),1))))</ns0:f>
        <ns0:v>1</ns0:v>
      </ns0:c>
      <ns0:c r="DW87" t="n">
        <ns0:f>IF($A87="",1,IF(DV87=1,1,--AND(IF($AC87&gt;0,INDEX(DV$7:DV$106,$AC87),1),IF($AD87&gt;0,INDEX(DV$7:DV$106,$AD87),1),IF($AE87&gt;0,INDEX(DV$7:DV$106,$AE87),1),IF($AF87&gt;0,INDEX(DV$7:DV$106,$AF87),1),IF($AG87&gt;0,INDEX(DV$7:DV$106,$AG87),1),IF($AH87&gt;0,INDEX(DV$7:DV$106,$AH87),1),IF($AI87&gt;0,INDEX(DV$7:DV$106,$AI87),1),IF($AJ87&gt;0,INDEX(DV$7:DV$106,$AJ87),1))))</ns0:f>
        <ns0:v>1</ns0:v>
      </ns0:c>
      <ns0:c r="DX87" t="n">
        <ns0:f>IF($A87="",1,IF(DW87=1,1,--AND(IF($AC87&gt;0,INDEX(DW$7:DW$106,$AC87),1),IF($AD87&gt;0,INDEX(DW$7:DW$106,$AD87),1),IF($AE87&gt;0,INDEX(DW$7:DW$106,$AE87),1),IF($AF87&gt;0,INDEX(DW$7:DW$106,$AF87),1),IF($AG87&gt;0,INDEX(DW$7:DW$106,$AG87),1),IF($AH87&gt;0,INDEX(DW$7:DW$106,$AH87),1),IF($AI87&gt;0,INDEX(DW$7:DW$106,$AI87),1),IF($AJ87&gt;0,INDEX(DW$7:DW$106,$AJ87),1))))</ns0:f>
        <ns0:v>1</ns0:v>
      </ns0:c>
      <ns0:c r="DY87" t="n">
        <ns0:f>IF($A87="",1,IF(DX87=1,1,--AND(IF($AC87&gt;0,INDEX(DX$7:DX$106,$AC87),1),IF($AD87&gt;0,INDEX(DX$7:DX$106,$AD87),1),IF($AE87&gt;0,INDEX(DX$7:DX$106,$AE87),1),IF($AF87&gt;0,INDEX(DX$7:DX$106,$AF87),1),IF($AG87&gt;0,INDEX(DX$7:DX$106,$AG87),1),IF($AH87&gt;0,INDEX(DX$7:DX$106,$AH87),1),IF($AI87&gt;0,INDEX(DX$7:DX$106,$AI87),1),IF($AJ87&gt;0,INDEX(DX$7:DX$106,$AJ87),1))))</ns0:f>
        <ns0:v>1</ns0:v>
      </ns0:c>
      <ns0:c r="DZ87" t="n">
        <ns0:f>IF($A87="",1,IF(DY87=1,1,--AND(IF($AC87&gt;0,INDEX(DY$7:DY$106,$AC87),1),IF($AD87&gt;0,INDEX(DY$7:DY$106,$AD87),1),IF($AE87&gt;0,INDEX(DY$7:DY$106,$AE87),1),IF($AF87&gt;0,INDEX(DY$7:DY$106,$AF87),1),IF($AG87&gt;0,INDEX(DY$7:DY$106,$AG87),1),IF($AH87&gt;0,INDEX(DY$7:DY$106,$AH87),1),IF($AI87&gt;0,INDEX(DY$7:DY$106,$AI87),1),IF($AJ87&gt;0,INDEX(DY$7:DY$106,$AJ87),1))))</ns0:f>
        <ns0:v>1</ns0:v>
      </ns0:c>
      <ns0:c r="EA87" t="n">
        <ns0:f>IF($A87="",1,IF(DZ87=1,1,--AND(IF($AC87&gt;0,INDEX(DZ$7:DZ$106,$AC87),1),IF($AD87&gt;0,INDEX(DZ$7:DZ$106,$AD87),1),IF($AE87&gt;0,INDEX(DZ$7:DZ$106,$AE87),1),IF($AF87&gt;0,INDEX(DZ$7:DZ$106,$AF87),1),IF($AG87&gt;0,INDEX(DZ$7:DZ$106,$AG87),1),IF($AH87&gt;0,INDEX(DZ$7:DZ$106,$AH87),1),IF($AI87&gt;0,INDEX(DZ$7:DZ$106,$AI87),1),IF($AJ87&gt;0,INDEX(DZ$7:DZ$106,$AJ87),1))))</ns0:f>
        <ns0:v>1</ns0:v>
      </ns0:c>
      <ns0:c r="EB87" t="n">
        <ns0:f>IF($A87="",1,IF(EA87=1,1,--AND(IF($AC87&gt;0,INDEX(EA$7:EA$106,$AC87),1),IF($AD87&gt;0,INDEX(EA$7:EA$106,$AD87),1),IF($AE87&gt;0,INDEX(EA$7:EA$106,$AE87),1),IF($AF87&gt;0,INDEX(EA$7:EA$106,$AF87),1),IF($AG87&gt;0,INDEX(EA$7:EA$106,$AG87),1),IF($AH87&gt;0,INDEX(EA$7:EA$106,$AH87),1),IF($AI87&gt;0,INDEX(EA$7:EA$106,$AI87),1),IF($AJ87&gt;0,INDEX(EA$7:EA$106,$AJ87),1))))</ns0:f>
        <ns0:v>1</ns0:v>
      </ns0:c>
      <ns0:c r="EC87" t="n">
        <ns0:f>IF($A87="",1,IF(EB87=1,1,--AND(IF($AC87&gt;0,INDEX(EB$7:EB$106,$AC87),1),IF($AD87&gt;0,INDEX(EB$7:EB$106,$AD87),1),IF($AE87&gt;0,INDEX(EB$7:EB$106,$AE87),1),IF($AF87&gt;0,INDEX(EB$7:EB$106,$AF87),1),IF($AG87&gt;0,INDEX(EB$7:EB$106,$AG87),1),IF($AH87&gt;0,INDEX(EB$7:EB$106,$AH87),1),IF($AI87&gt;0,INDEX(EB$7:EB$106,$AI87),1),IF($AJ87&gt;0,INDEX(EB$7:EB$106,$AJ87),1))))</ns0:f>
        <ns0:v>1</ns0:v>
      </ns0:c>
      <ns0:c r="ED87" t="n">
        <ns0:f>IF($A87="",1,IF(EC87=1,1,--AND(IF($AC87&gt;0,INDEX(EC$7:EC$106,$AC87),1),IF($AD87&gt;0,INDEX(EC$7:EC$106,$AD87),1),IF($AE87&gt;0,INDEX(EC$7:EC$106,$AE87),1),IF($AF87&gt;0,INDEX(EC$7:EC$106,$AF87),1),IF($AG87&gt;0,INDEX(EC$7:EC$106,$AG87),1),IF($AH87&gt;0,INDEX(EC$7:EC$106,$AH87),1),IF($AI87&gt;0,INDEX(EC$7:EC$106,$AI87),1),IF($AJ87&gt;0,INDEX(EC$7:EC$106,$AJ87),1))))</ns0:f>
        <ns0:v>1</ns0:v>
      </ns0:c>
      <ns0:c r="EE87" t="n">
        <ns0:f>IF($A87="",1,IF(ED87=1,1,--AND(IF($AC87&gt;0,INDEX(ED$7:ED$106,$AC87),1),IF($AD87&gt;0,INDEX(ED$7:ED$106,$AD87),1),IF($AE87&gt;0,INDEX(ED$7:ED$106,$AE87),1),IF($AF87&gt;0,INDEX(ED$7:ED$106,$AF87),1),IF($AG87&gt;0,INDEX(ED$7:ED$106,$AG87),1),IF($AH87&gt;0,INDEX(ED$7:ED$106,$AH87),1),IF($AI87&gt;0,INDEX(ED$7:ED$106,$AI87),1),IF($AJ87&gt;0,INDEX(ED$7:ED$106,$AJ87),1))))</ns0:f>
        <ns0:v>1</ns0:v>
      </ns0:c>
      <ns0:c r="EF87" t="n">
        <ns0:f>IF($A87="",1,IF(EE87=1,1,--AND(IF($AC87&gt;0,INDEX(EE$7:EE$106,$AC87),1),IF($AD87&gt;0,INDEX(EE$7:EE$106,$AD87),1),IF($AE87&gt;0,INDEX(EE$7:EE$106,$AE87),1),IF($AF87&gt;0,INDEX(EE$7:EE$106,$AF87),1),IF($AG87&gt;0,INDEX(EE$7:EE$106,$AG87),1),IF($AH87&gt;0,INDEX(EE$7:EE$106,$AH87),1),IF($AI87&gt;0,INDEX(EE$7:EE$106,$AI87),1),IF($AJ87&gt;0,INDEX(EE$7:EE$106,$AJ87),1))))</ns0:f>
        <ns0:v>1</ns0:v>
      </ns0:c>
      <ns0:c r="EG87" t="n">
        <ns0:f>IF($A87="",1,IF(EF87=1,1,--AND(IF($AC87&gt;0,INDEX(EF$7:EF$106,$AC87),1),IF($AD87&gt;0,INDEX(EF$7:EF$106,$AD87),1),IF($AE87&gt;0,INDEX(EF$7:EF$106,$AE87),1),IF($AF87&gt;0,INDEX(EF$7:EF$106,$AF87),1),IF($AG87&gt;0,INDEX(EF$7:EF$106,$AG87),1),IF($AH87&gt;0,INDEX(EF$7:EF$106,$AH87),1),IF($AI87&gt;0,INDEX(EF$7:EF$106,$AI87),1),IF($AJ87&gt;0,INDEX(EF$7:EF$106,$AJ87),1))))</ns0:f>
        <ns0:v>1</ns0:v>
      </ns0:c>
      <ns0:c r="EH87" t="n">
        <ns0:f>IF($A87="",1,IF(EG87=1,1,--AND(IF($AC87&gt;0,INDEX(EG$7:EG$106,$AC87),1),IF($AD87&gt;0,INDEX(EG$7:EG$106,$AD87),1),IF($AE87&gt;0,INDEX(EG$7:EG$106,$AE87),1),IF($AF87&gt;0,INDEX(EG$7:EG$106,$AF87),1),IF($AG87&gt;0,INDEX(EG$7:EG$106,$AG87),1),IF($AH87&gt;0,INDEX(EG$7:EG$106,$AH87),1),IF($AI87&gt;0,INDEX(EG$7:EG$106,$AI87),1),IF($AJ87&gt;0,INDEX(EG$7:EG$106,$AJ87),1))))</ns0:f>
        <ns0:v>1</ns0:v>
      </ns0:c>
      <ns0:c r="EI87" t="n">
        <ns0:f>IF($A87="",1,IF(EH87=1,1,--AND(IF($AC87&gt;0,INDEX(EH$7:EH$106,$AC87),1),IF($AD87&gt;0,INDEX(EH$7:EH$106,$AD87),1),IF($AE87&gt;0,INDEX(EH$7:EH$106,$AE87),1),IF($AF87&gt;0,INDEX(EH$7:EH$106,$AF87),1),IF($AG87&gt;0,INDEX(EH$7:EH$106,$AG87),1),IF($AH87&gt;0,INDEX(EH$7:EH$106,$AH87),1),IF($AI87&gt;0,INDEX(EH$7:EH$106,$AI87),1),IF($AJ87&gt;0,INDEX(EH$7:EH$106,$AJ87),1))))</ns0:f>
        <ns0:v>1</ns0:v>
      </ns0:c>
      <ns0:c r="EJ87" t="n">
        <ns0:f>IF($A87="",1,IF(EI87=1,1,--AND(IF($AC87&gt;0,INDEX(EI$7:EI$106,$AC87),1),IF($AD87&gt;0,INDEX(EI$7:EI$106,$AD87),1),IF($AE87&gt;0,INDEX(EI$7:EI$106,$AE87),1),IF($AF87&gt;0,INDEX(EI$7:EI$106,$AF87),1),IF($AG87&gt;0,INDEX(EI$7:EI$106,$AG87),1),IF($AH87&gt;0,INDEX(EI$7:EI$106,$AH87),1),IF($AI87&gt;0,INDEX(EI$7:EI$106,$AI87),1),IF($AJ87&gt;0,INDEX(EI$7:EI$106,$AJ87),1))))</ns0:f>
        <ns0:v>1</ns0:v>
      </ns0:c>
      <ns0:c r="EK87" t="n">
        <ns0:f>IF($A87="",1,IF(EJ87=1,1,--AND(IF($AC87&gt;0,INDEX(EJ$7:EJ$106,$AC87),1),IF($AD87&gt;0,INDEX(EJ$7:EJ$106,$AD87),1),IF($AE87&gt;0,INDEX(EJ$7:EJ$106,$AE87),1),IF($AF87&gt;0,INDEX(EJ$7:EJ$106,$AF87),1),IF($AG87&gt;0,INDEX(EJ$7:EJ$106,$AG87),1),IF($AH87&gt;0,INDEX(EJ$7:EJ$106,$AH87),1),IF($AI87&gt;0,INDEX(EJ$7:EJ$106,$AI87),1),IF($AJ87&gt;0,INDEX(EJ$7:EJ$106,$AJ87),1))))</ns0:f>
        <ns0:v>1</ns0:v>
      </ns0:c>
      <ns0:c r="EL87" t="n">
        <ns0:f>IF($A87="",1,IF(EK87=1,1,--AND(IF($AC87&gt;0,INDEX(EK$7:EK$106,$AC87),1),IF($AD87&gt;0,INDEX(EK$7:EK$106,$AD87),1),IF($AE87&gt;0,INDEX(EK$7:EK$106,$AE87),1),IF($AF87&gt;0,INDEX(EK$7:EK$106,$AF87),1),IF($AG87&gt;0,INDEX(EK$7:EK$106,$AG87),1),IF($AH87&gt;0,INDEX(EK$7:EK$106,$AH87),1),IF($AI87&gt;0,INDEX(EK$7:EK$106,$AI87),1),IF($AJ87&gt;0,INDEX(EK$7:EK$106,$AJ87),1))))</ns0:f>
        <ns0:v>1</ns0:v>
      </ns0:c>
      <ns0:c r="EM87" t="n">
        <ns0:f>IF($A87="",1,IF(EL87=1,1,--AND(IF($AC87&gt;0,INDEX(EL$7:EL$106,$AC87),1),IF($AD87&gt;0,INDEX(EL$7:EL$106,$AD87),1),IF($AE87&gt;0,INDEX(EL$7:EL$106,$AE87),1),IF($AF87&gt;0,INDEX(EL$7:EL$106,$AF87),1),IF($AG87&gt;0,INDEX(EL$7:EL$106,$AG87),1),IF($AH87&gt;0,INDEX(EL$7:EL$106,$AH87),1),IF($AI87&gt;0,INDEX(EL$7:EL$106,$AI87),1),IF($AJ87&gt;0,INDEX(EL$7:EL$106,$AJ87),1))))</ns0:f>
        <ns0:v>1</ns0:v>
      </ns0:c>
      <ns0:c r="EN87" t="n">
        <ns0:f>IF($A87="",1,IF(EM87=1,1,--AND(IF($AC87&gt;0,INDEX(EM$7:EM$106,$AC87),1),IF($AD87&gt;0,INDEX(EM$7:EM$106,$AD87),1),IF($AE87&gt;0,INDEX(EM$7:EM$106,$AE87),1),IF($AF87&gt;0,INDEX(EM$7:EM$106,$AF87),1),IF($AG87&gt;0,INDEX(EM$7:EM$106,$AG87),1),IF($AH87&gt;0,INDEX(EM$7:EM$106,$AH87),1),IF($AI87&gt;0,INDEX(EM$7:EM$106,$AI87),1),IF($AJ87&gt;0,INDEX(EM$7:EM$106,$AJ87),1))))</ns0:f>
        <ns0:v>1</ns0:v>
      </ns0:c>
      <ns0:c r="EO87" t="n">
        <ns0:f>IF($A87="",1,IF(EN87=1,1,--AND(IF($AC87&gt;0,INDEX(EN$7:EN$106,$AC87),1),IF($AD87&gt;0,INDEX(EN$7:EN$106,$AD87),1),IF($AE87&gt;0,INDEX(EN$7:EN$106,$AE87),1),IF($AF87&gt;0,INDEX(EN$7:EN$106,$AF87),1),IF($AG87&gt;0,INDEX(EN$7:EN$106,$AG87),1),IF($AH87&gt;0,INDEX(EN$7:EN$106,$AH87),1),IF($AI87&gt;0,INDEX(EN$7:EN$106,$AI87),1),IF($AJ87&gt;0,INDEX(EN$7:EN$106,$AJ87),1))))</ns0:f>
        <ns0:v>1</ns0:v>
      </ns0:c>
      <ns0:c r="EP87" t="n">
        <ns0:f>IF($A87="",1,IF(EO87=1,1,--AND(IF($AC87&gt;0,INDEX(EO$7:EO$106,$AC87),1),IF($AD87&gt;0,INDEX(EO$7:EO$106,$AD87),1),IF($AE87&gt;0,INDEX(EO$7:EO$106,$AE87),1),IF($AF87&gt;0,INDEX(EO$7:EO$106,$AF87),1),IF($AG87&gt;0,INDEX(EO$7:EO$106,$AG87),1),IF($AH87&gt;0,INDEX(EO$7:EO$106,$AH87),1),IF($AI87&gt;0,INDEX(EO$7:EO$106,$AI87),1),IF($AJ87&gt;0,INDEX(EO$7:EO$106,$AJ87),1))))</ns0:f>
        <ns0:v>1</ns0:v>
      </ns0:c>
      <ns0:c r="EQ87" t="n">
        <ns0:f>IF(OR(A87="",NOT(ISNUMBER(G87))),0,G87*N87)</ns0:f>
        <ns0:v>0</ns0:v>
      </ns0:c>
    </ns0:row>
    <ns0:row r="88" ht="62" customHeight="1">
      <ns0:c r="A88" s="48"/>
      <ns0:c r="B88" s="48"/>
      <ns0:c r="C88" s="48"/>
      <ns0:c r="D88" s="48"/>
      <ns0:c r="E88" s="49"/>
      <ns0:c r="F88" s="49"/>
      <ns0:c r="G88" s="13" t="str">
        <ns0:f>IF(A88="","",IF(OR(NOT(ISNUMBER(E88)),NOT(ISNUMBER(F88)),F88&lt;E88),"",IF(J88="Yes",0,F88-E88+1)))</ns0:f>
      </ns0:c>
      <ns0:c r="H88" s="48"/>
      <ns0:c r="I88" s="48"/>
      <ns0:c r="J88" s="48"/>
      <ns0:c r="K88" s="48"/>
      <ns0:c r="L88" s="48"/>
      <ns0:c r="M88" s="50" t="str">
        <ns0:f>IF(A88="","",IF(N88=1,"Completed",IF(N88&gt;0,"In Progress","Not Started")))</ns0:f>
      </ns0:c>
      <ns0:c r="N88" s="51"/>
      <ns0:c r="O88" s="13" t="str">
        <ns0:f>IF(A88="","",IF(R88&lt;&gt;"","[CONFLICT] "&amp;R88,IF(S88&lt;&gt;"","[CONFLICT] "&amp;S88,IF(OR(NOT(ISNUMBER(N88)),N88&lt;0,N88&gt;1),"[CONFLICT] Invalid progress",IF(AK88&gt;0,"[DEPENDENCY ISSUE] Missing ID / &gt;8 links",IF(AM88&gt;0,"[DEPENDENCY ISSUE] Cycle or blocked by cycle",IF(AND(H88&lt;&gt;"",ISNA(MATCH(I88,{"FS","SS","FF","SF"},0))),"[DEPENDENCY ISSUE] Invalid type",IF(AL88&gt;0,"[DEPENDENCY ISSUE] Timing conflict",IF(OR(E88&lt;ProjectStart,F88&gt;ProjectEnd),"[OUTSIDE WINDOW]",IF(AND(N88&lt;1,F88&lt;AsOfDate),"Overdue",IF(AND(M88&lt;&gt;Q88,M88&lt;&gt;""),"[CONFLICT] Status / progress","On track")))))))))))</ns0:f>
      </ns0:c>
      <ns0:c r="P88" s="52"/>
      <ns0:c r="Q88" t="str">
        <ns0:f>IF(A88="","",IF(OR(M88="On Hold",M88="Delayed"),M88,IF(N88=1,"Completed",IF(N88&gt;0,"In Progress","Not Started"))))</ns0:f>
      </ns0:c>
      <ns0:c r="R88" t="str">
        <ns0:f>IF(A88="","",IF(COUNTIFS(Tasks[Task ID],A88)&lt;&gt;1,"Duplicate ID",""))</ns0:f>
      </ns0:c>
      <ns0:c r="S88" t="str">
        <ns0:f>IF(A88="","",IF(OR(NOT(ISNUMBER(E88)),NOT(ISNUMBER(F88))),"Invalid / missing date",IF(OR(E88&lt;&gt;INT(E88),F88&lt;&gt;INT(F88),E88&lt;1,F88&gt;2958465),"Invalid date",IF(F88&lt;E88,"End before start",IF(AND(J88="Yes",E88&lt;&gt;F88),"Milestone needs one date","")))))</ns0:f>
      </ns0:c>
      <ns0:c r="T88" t="n">
        <ns0:f>IF(H88="",0,LEN(H88)-LEN(SUBSTITUTE(H88,",",""))+1)</ns0:f>
        <ns0:v>0</ns0:v>
      </ns0:c>
      <ns0:c r="U88" t="str">
        <ns0:f>TRIM(MID(SUBSTITUTE($H88,",",REPT(" ",100)),1,100))</ns0:f>
      </ns0:c>
      <ns0:c r="V88" t="str">
        <ns0:f>TRIM(MID(SUBSTITUTE($H88,",",REPT(" ",100)),101,100))</ns0:f>
      </ns0:c>
      <ns0:c r="W88" t="str">
        <ns0:f>TRIM(MID(SUBSTITUTE($H88,",",REPT(" ",100)),201,100))</ns0:f>
      </ns0:c>
      <ns0:c r="X88" t="str">
        <ns0:f>TRIM(MID(SUBSTITUTE($H88,",",REPT(" ",100)),301,100))</ns0:f>
      </ns0:c>
      <ns0:c r="Y88" t="str">
        <ns0:f>TRIM(MID(SUBSTITUTE($H88,",",REPT(" ",100)),401,100))</ns0:f>
      </ns0:c>
      <ns0:c r="Z88" t="str">
        <ns0:f>TRIM(MID(SUBSTITUTE($H88,",",REPT(" ",100)),501,100))</ns0:f>
      </ns0:c>
      <ns0:c r="AA88" t="str">
        <ns0:f>TRIM(MID(SUBSTITUTE($H88,",",REPT(" ",100)),601,100))</ns0:f>
      </ns0:c>
      <ns0:c r="AB88" t="str">
        <ns0:f>TRIM(MID(SUBSTITUTE($H88,",",REPT(" ",100)),701,100))</ns0:f>
      </ns0:c>
      <ns0:c r="AC88" t="n">
        <ns0:f>IF(U88="",0,IF(COUNTIFS(Tasks[Task ID],U88)=1,MATCH(U88,Tasks[Task ID],0),-1))</ns0:f>
        <ns0:v>0</ns0:v>
      </ns0:c>
      <ns0:c r="AD88" t="n">
        <ns0:f>IF(V88="",0,IF(COUNTIFS(Tasks[Task ID],V88)=1,MATCH(V88,Tasks[Task ID],0),-1))</ns0:f>
        <ns0:v>0</ns0:v>
      </ns0:c>
      <ns0:c r="AE88" t="n">
        <ns0:f>IF(W88="",0,IF(COUNTIFS(Tasks[Task ID],W88)=1,MATCH(W88,Tasks[Task ID],0),-1))</ns0:f>
        <ns0:v>0</ns0:v>
      </ns0:c>
      <ns0:c r="AF88" t="n">
        <ns0:f>IF(X88="",0,IF(COUNTIFS(Tasks[Task ID],X88)=1,MATCH(X88,Tasks[Task ID],0),-1))</ns0:f>
        <ns0:v>0</ns0:v>
      </ns0:c>
      <ns0:c r="AG88" t="n">
        <ns0:f>IF(Y88="",0,IF(COUNTIFS(Tasks[Task ID],Y88)=1,MATCH(Y88,Tasks[Task ID],0),-1))</ns0:f>
        <ns0:v>0</ns0:v>
      </ns0:c>
      <ns0:c r="AH88" t="n">
        <ns0:f>IF(Z88="",0,IF(COUNTIFS(Tasks[Task ID],Z88)=1,MATCH(Z88,Tasks[Task ID],0),-1))</ns0:f>
        <ns0:v>0</ns0:v>
      </ns0:c>
      <ns0:c r="AI88" t="n">
        <ns0:f>IF(AA88="",0,IF(COUNTIFS(Tasks[Task ID],AA88)=1,MATCH(AA88,Tasks[Task ID],0),-1))</ns0:f>
        <ns0:v>0</ns0:v>
      </ns0:c>
      <ns0:c r="AJ88" t="n">
        <ns0:f>IF(AB88="",0,IF(COUNTIFS(Tasks[Task ID],AB88)=1,MATCH(AB88,Tasks[Task ID],0),-1))</ns0:f>
        <ns0:v>0</ns0:v>
      </ns0:c>
      <ns0:c r="AK88" t="n">
        <ns0:f>COUNTIFS(AC88:AJ88,-1)+IF(T88&gt;8,1,0)</ns0:f>
        <ns0:v>0</ns0:v>
      </ns0:c>
      <ns0:c r="AL88" t="n">
        <ns0:f>IF(OR(A88="",S88&lt;&gt;""),0,SUM(IF(AC88&gt;0,IF($I88="FS",--($E88&lt;INDEX(Tasks[End Date],AC88)+IF(INDEX(Tasks[Milestone],AC88)="Yes",0,1)),IF($I88="SS",--($E88&lt;INDEX(Tasks[Start Date],AC88)),IF($I88="FF",--($F88&lt;INDEX(Tasks[End Date],AC88)),IF($I88="SF",--($F88&lt;INDEX(Tasks[Start Date],AC88)),0)))),0),IF(AD88&gt;0,IF($I88="FS",--($E88&lt;INDEX(Tasks[End Date],AD88)+IF(INDEX(Tasks[Milestone],AD88)="Yes",0,1)),IF($I88="SS",--($E88&lt;INDEX(Tasks[Start Date],AD88)),IF($I88="FF",--($F88&lt;INDEX(Tasks[End Date],AD88)),IF($I88="SF",--($F88&lt;INDEX(Tasks[Start Date],AD88)),0)))),0),IF(AE88&gt;0,IF($I88="FS",--($E88&lt;INDEX(Tasks[End Date],AE88)+IF(INDEX(Tasks[Milestone],AE88)="Yes",0,1)),IF($I88="SS",--($E88&lt;INDEX(Tasks[Start Date],AE88)),IF($I88="FF",--($F88&lt;INDEX(Tasks[End Date],AE88)),IF($I88="SF",--($F88&lt;INDEX(Tasks[Start Date],AE88)),0)))),0),IF(AF88&gt;0,IF($I88="FS",--($E88&lt;INDEX(Tasks[End Date],AF88)+IF(INDEX(Tasks[Milestone],AF88)="Yes",0,1)),IF($I88="SS",--($E88&lt;INDEX(Tasks[Start Date],AF88)),IF($I88="FF",--($F88&lt;INDEX(Tasks[End Date],AF88)),IF($I88="SF",--($F88&lt;INDEX(Tasks[Start Date],AF88)),0)))),0),IF(AG88&gt;0,IF($I88="FS",--($E88&lt;INDEX(Tasks[End Date],AG88)+IF(INDEX(Tasks[Milestone],AG88)="Yes",0,1)),IF($I88="SS",--($E88&lt;INDEX(Tasks[Start Date],AG88)),IF($I88="FF",--($F88&lt;INDEX(Tasks[End Date],AG88)),IF($I88="SF",--($F88&lt;INDEX(Tasks[Start Date],AG88)),0)))),0),IF(AH88&gt;0,IF($I88="FS",--($E88&lt;INDEX(Tasks[End Date],AH88)+IF(INDEX(Tasks[Milestone],AH88)="Yes",0,1)),IF($I88="SS",--($E88&lt;INDEX(Tasks[Start Date],AH88)),IF($I88="FF",--($F88&lt;INDEX(Tasks[End Date],AH88)),IF($I88="SF",--($F88&lt;INDEX(Tasks[Start Date],AH88)),0)))),0),IF(AI88&gt;0,IF($I88="FS",--($E88&lt;INDEX(Tasks[End Date],AI88)+IF(INDEX(Tasks[Milestone],AI88)="Yes",0,1)),IF($I88="SS",--($E88&lt;INDEX(Tasks[Start Date],AI88)),IF($I88="FF",--($F88&lt;INDEX(Tasks[End Date],AI88)),IF($I88="SF",--($F88&lt;INDEX(Tasks[Start Date],AI88)),0)))),0),IF(AJ88&gt;0,IF($I88="FS",--($E88&lt;INDEX(Tasks[End Date],AJ88)+IF(INDEX(Tasks[Milestone],AJ88)="Yes",0,1)),IF($I88="SS",--($E88&lt;INDEX(Tasks[Start Date],AJ88)),IF($I88="FF",--($F88&lt;INDEX(Tasks[End Date],AJ88)),IF($I88="SF",--($F88&lt;INDEX(Tasks[Start Date],AJ88)),0)))),0)))</ns0:f>
        <ns0:v>0</ns0:v>
      </ns0:c>
      <ns0:c r="AM88" t="n">
        <ns0:f>IF(AND(A88&lt;&gt;"",AK88=0,EP88=0),1,0)</ns0:f>
        <ns0:v>0</ns0:v>
      </ns0:c>
      <ns0:c r="AN88" t="str">
        <ns0:f>IF(OR(A88="",B88=""),"",IF(COUNTIFS($B$7:B88,B88)=1,MAX($AN$6:AN87)+1,""))</ns0:f>
      </ns0:c>
      <ns0:c r="AO88" t="n">
        <ns0:f>IF(AND(A88&lt;&gt;"",J88="No",N88&lt;1,E88&gt;=AsOfDate),E88+ROW()/10000,1E+9)</ns0:f>
        <ns0:v>1000000000</ns0:v>
      </ns0:c>
      <ns0:c r="AP88" t="n">
        <ns0:f>IF(AND(A88&lt;&gt;"",J88="Yes",N88&lt;1,E88&gt;=AsOfDate),E88+ROW()/10000,1E+9)</ns0:f>
        <ns0:v>1000000000</ns0:v>
      </ns0:c>
      <ns0:c r="AQ88" t="n">
        <ns0:f>IF(AND(A88&lt;&gt;"",J88="No",N88&lt;1,F88&gt;=AsOfDate,F88&lt;=AsOfDate+7),F88+ROW()/10000,1E+9)</ns0:f>
        <ns0:v>1000000000</ns0:v>
      </ns0:c>
      <ns0:c r="AR88" t="n">
        <ns0:f>IF(AND(A88&lt;&gt;"",OR(O88&lt;&gt;"On track",Q88="Delayed")),ROW(),1E+9)</ns0:f>
        <ns0:v>1000000000</ns0:v>
      </ns0:c>
      <ns0:c r="AS88" t="str">
        <ns0:f>IF(A88="","",";"&amp;K88&amp;";")</ns0:f>
      </ns0:c>
      <ns0:c r="AT88" t="n">
        <ns0:f>IF(A88="",1,--(T88=0))</ns0:f>
        <ns0:v>1</ns0:v>
      </ns0:c>
      <ns0:c r="AU88" t="n">
        <ns0:f>IF($A88="",1,IF(AT88=1,1,--AND(IF($AC88&gt;0,INDEX(AT$7:AT$106,$AC88),1),IF($AD88&gt;0,INDEX(AT$7:AT$106,$AD88),1),IF($AE88&gt;0,INDEX(AT$7:AT$106,$AE88),1),IF($AF88&gt;0,INDEX(AT$7:AT$106,$AF88),1),IF($AG88&gt;0,INDEX(AT$7:AT$106,$AG88),1),IF($AH88&gt;0,INDEX(AT$7:AT$106,$AH88),1),IF($AI88&gt;0,INDEX(AT$7:AT$106,$AI88),1),IF($AJ88&gt;0,INDEX(AT$7:AT$106,$AJ88),1))))</ns0:f>
        <ns0:v>1</ns0:v>
      </ns0:c>
      <ns0:c r="AV88" t="n">
        <ns0:f>IF($A88="",1,IF(AU88=1,1,--AND(IF($AC88&gt;0,INDEX(AU$7:AU$106,$AC88),1),IF($AD88&gt;0,INDEX(AU$7:AU$106,$AD88),1),IF($AE88&gt;0,INDEX(AU$7:AU$106,$AE88),1),IF($AF88&gt;0,INDEX(AU$7:AU$106,$AF88),1),IF($AG88&gt;0,INDEX(AU$7:AU$106,$AG88),1),IF($AH88&gt;0,INDEX(AU$7:AU$106,$AH88),1),IF($AI88&gt;0,INDEX(AU$7:AU$106,$AI88),1),IF($AJ88&gt;0,INDEX(AU$7:AU$106,$AJ88),1))))</ns0:f>
        <ns0:v>1</ns0:v>
      </ns0:c>
      <ns0:c r="AW88" t="n">
        <ns0:f>IF($A88="",1,IF(AV88=1,1,--AND(IF($AC88&gt;0,INDEX(AV$7:AV$106,$AC88),1),IF($AD88&gt;0,INDEX(AV$7:AV$106,$AD88),1),IF($AE88&gt;0,INDEX(AV$7:AV$106,$AE88),1),IF($AF88&gt;0,INDEX(AV$7:AV$106,$AF88),1),IF($AG88&gt;0,INDEX(AV$7:AV$106,$AG88),1),IF($AH88&gt;0,INDEX(AV$7:AV$106,$AH88),1),IF($AI88&gt;0,INDEX(AV$7:AV$106,$AI88),1),IF($AJ88&gt;0,INDEX(AV$7:AV$106,$AJ88),1))))</ns0:f>
        <ns0:v>1</ns0:v>
      </ns0:c>
      <ns0:c r="AX88" t="n">
        <ns0:f>IF($A88="",1,IF(AW88=1,1,--AND(IF($AC88&gt;0,INDEX(AW$7:AW$106,$AC88),1),IF($AD88&gt;0,INDEX(AW$7:AW$106,$AD88),1),IF($AE88&gt;0,INDEX(AW$7:AW$106,$AE88),1),IF($AF88&gt;0,INDEX(AW$7:AW$106,$AF88),1),IF($AG88&gt;0,INDEX(AW$7:AW$106,$AG88),1),IF($AH88&gt;0,INDEX(AW$7:AW$106,$AH88),1),IF($AI88&gt;0,INDEX(AW$7:AW$106,$AI88),1),IF($AJ88&gt;0,INDEX(AW$7:AW$106,$AJ88),1))))</ns0:f>
        <ns0:v>1</ns0:v>
      </ns0:c>
      <ns0:c r="AY88" t="n">
        <ns0:f>IF($A88="",1,IF(AX88=1,1,--AND(IF($AC88&gt;0,INDEX(AX$7:AX$106,$AC88),1),IF($AD88&gt;0,INDEX(AX$7:AX$106,$AD88),1),IF($AE88&gt;0,INDEX(AX$7:AX$106,$AE88),1),IF($AF88&gt;0,INDEX(AX$7:AX$106,$AF88),1),IF($AG88&gt;0,INDEX(AX$7:AX$106,$AG88),1),IF($AH88&gt;0,INDEX(AX$7:AX$106,$AH88),1),IF($AI88&gt;0,INDEX(AX$7:AX$106,$AI88),1),IF($AJ88&gt;0,INDEX(AX$7:AX$106,$AJ88),1))))</ns0:f>
        <ns0:v>1</ns0:v>
      </ns0:c>
      <ns0:c r="AZ88" t="n">
        <ns0:f>IF($A88="",1,IF(AY88=1,1,--AND(IF($AC88&gt;0,INDEX(AY$7:AY$106,$AC88),1),IF($AD88&gt;0,INDEX(AY$7:AY$106,$AD88),1),IF($AE88&gt;0,INDEX(AY$7:AY$106,$AE88),1),IF($AF88&gt;0,INDEX(AY$7:AY$106,$AF88),1),IF($AG88&gt;0,INDEX(AY$7:AY$106,$AG88),1),IF($AH88&gt;0,INDEX(AY$7:AY$106,$AH88),1),IF($AI88&gt;0,INDEX(AY$7:AY$106,$AI88),1),IF($AJ88&gt;0,INDEX(AY$7:AY$106,$AJ88),1))))</ns0:f>
        <ns0:v>1</ns0:v>
      </ns0:c>
      <ns0:c r="BA88" t="n">
        <ns0:f>IF($A88="",1,IF(AZ88=1,1,--AND(IF($AC88&gt;0,INDEX(AZ$7:AZ$106,$AC88),1),IF($AD88&gt;0,INDEX(AZ$7:AZ$106,$AD88),1),IF($AE88&gt;0,INDEX(AZ$7:AZ$106,$AE88),1),IF($AF88&gt;0,INDEX(AZ$7:AZ$106,$AF88),1),IF($AG88&gt;0,INDEX(AZ$7:AZ$106,$AG88),1),IF($AH88&gt;0,INDEX(AZ$7:AZ$106,$AH88),1),IF($AI88&gt;0,INDEX(AZ$7:AZ$106,$AI88),1),IF($AJ88&gt;0,INDEX(AZ$7:AZ$106,$AJ88),1))))</ns0:f>
        <ns0:v>1</ns0:v>
      </ns0:c>
      <ns0:c r="BB88" t="n">
        <ns0:f>IF($A88="",1,IF(BA88=1,1,--AND(IF($AC88&gt;0,INDEX(BA$7:BA$106,$AC88),1),IF($AD88&gt;0,INDEX(BA$7:BA$106,$AD88),1),IF($AE88&gt;0,INDEX(BA$7:BA$106,$AE88),1),IF($AF88&gt;0,INDEX(BA$7:BA$106,$AF88),1),IF($AG88&gt;0,INDEX(BA$7:BA$106,$AG88),1),IF($AH88&gt;0,INDEX(BA$7:BA$106,$AH88),1),IF($AI88&gt;0,INDEX(BA$7:BA$106,$AI88),1),IF($AJ88&gt;0,INDEX(BA$7:BA$106,$AJ88),1))))</ns0:f>
        <ns0:v>1</ns0:v>
      </ns0:c>
      <ns0:c r="BC88" t="n">
        <ns0:f>IF($A88="",1,IF(BB88=1,1,--AND(IF($AC88&gt;0,INDEX(BB$7:BB$106,$AC88),1),IF($AD88&gt;0,INDEX(BB$7:BB$106,$AD88),1),IF($AE88&gt;0,INDEX(BB$7:BB$106,$AE88),1),IF($AF88&gt;0,INDEX(BB$7:BB$106,$AF88),1),IF($AG88&gt;0,INDEX(BB$7:BB$106,$AG88),1),IF($AH88&gt;0,INDEX(BB$7:BB$106,$AH88),1),IF($AI88&gt;0,INDEX(BB$7:BB$106,$AI88),1),IF($AJ88&gt;0,INDEX(BB$7:BB$106,$AJ88),1))))</ns0:f>
        <ns0:v>1</ns0:v>
      </ns0:c>
      <ns0:c r="BD88" t="n">
        <ns0:f>IF($A88="",1,IF(BC88=1,1,--AND(IF($AC88&gt;0,INDEX(BC$7:BC$106,$AC88),1),IF($AD88&gt;0,INDEX(BC$7:BC$106,$AD88),1),IF($AE88&gt;0,INDEX(BC$7:BC$106,$AE88),1),IF($AF88&gt;0,INDEX(BC$7:BC$106,$AF88),1),IF($AG88&gt;0,INDEX(BC$7:BC$106,$AG88),1),IF($AH88&gt;0,INDEX(BC$7:BC$106,$AH88),1),IF($AI88&gt;0,INDEX(BC$7:BC$106,$AI88),1),IF($AJ88&gt;0,INDEX(BC$7:BC$106,$AJ88),1))))</ns0:f>
        <ns0:v>1</ns0:v>
      </ns0:c>
      <ns0:c r="BE88" t="n">
        <ns0:f>IF($A88="",1,IF(BD88=1,1,--AND(IF($AC88&gt;0,INDEX(BD$7:BD$106,$AC88),1),IF($AD88&gt;0,INDEX(BD$7:BD$106,$AD88),1),IF($AE88&gt;0,INDEX(BD$7:BD$106,$AE88),1),IF($AF88&gt;0,INDEX(BD$7:BD$106,$AF88),1),IF($AG88&gt;0,INDEX(BD$7:BD$106,$AG88),1),IF($AH88&gt;0,INDEX(BD$7:BD$106,$AH88),1),IF($AI88&gt;0,INDEX(BD$7:BD$106,$AI88),1),IF($AJ88&gt;0,INDEX(BD$7:BD$106,$AJ88),1))))</ns0:f>
        <ns0:v>1</ns0:v>
      </ns0:c>
      <ns0:c r="BF88" t="n">
        <ns0:f>IF($A88="",1,IF(BE88=1,1,--AND(IF($AC88&gt;0,INDEX(BE$7:BE$106,$AC88),1),IF($AD88&gt;0,INDEX(BE$7:BE$106,$AD88),1),IF($AE88&gt;0,INDEX(BE$7:BE$106,$AE88),1),IF($AF88&gt;0,INDEX(BE$7:BE$106,$AF88),1),IF($AG88&gt;0,INDEX(BE$7:BE$106,$AG88),1),IF($AH88&gt;0,INDEX(BE$7:BE$106,$AH88),1),IF($AI88&gt;0,INDEX(BE$7:BE$106,$AI88),1),IF($AJ88&gt;0,INDEX(BE$7:BE$106,$AJ88),1))))</ns0:f>
        <ns0:v>1</ns0:v>
      </ns0:c>
      <ns0:c r="BG88" t="n">
        <ns0:f>IF($A88="",1,IF(BF88=1,1,--AND(IF($AC88&gt;0,INDEX(BF$7:BF$106,$AC88),1),IF($AD88&gt;0,INDEX(BF$7:BF$106,$AD88),1),IF($AE88&gt;0,INDEX(BF$7:BF$106,$AE88),1),IF($AF88&gt;0,INDEX(BF$7:BF$106,$AF88),1),IF($AG88&gt;0,INDEX(BF$7:BF$106,$AG88),1),IF($AH88&gt;0,INDEX(BF$7:BF$106,$AH88),1),IF($AI88&gt;0,INDEX(BF$7:BF$106,$AI88),1),IF($AJ88&gt;0,INDEX(BF$7:BF$106,$AJ88),1))))</ns0:f>
        <ns0:v>1</ns0:v>
      </ns0:c>
      <ns0:c r="BH88" t="n">
        <ns0:f>IF($A88="",1,IF(BG88=1,1,--AND(IF($AC88&gt;0,INDEX(BG$7:BG$106,$AC88),1),IF($AD88&gt;0,INDEX(BG$7:BG$106,$AD88),1),IF($AE88&gt;0,INDEX(BG$7:BG$106,$AE88),1),IF($AF88&gt;0,INDEX(BG$7:BG$106,$AF88),1),IF($AG88&gt;0,INDEX(BG$7:BG$106,$AG88),1),IF($AH88&gt;0,INDEX(BG$7:BG$106,$AH88),1),IF($AI88&gt;0,INDEX(BG$7:BG$106,$AI88),1),IF($AJ88&gt;0,INDEX(BG$7:BG$106,$AJ88),1))))</ns0:f>
        <ns0:v>1</ns0:v>
      </ns0:c>
      <ns0:c r="BI88" t="n">
        <ns0:f>IF($A88="",1,IF(BH88=1,1,--AND(IF($AC88&gt;0,INDEX(BH$7:BH$106,$AC88),1),IF($AD88&gt;0,INDEX(BH$7:BH$106,$AD88),1),IF($AE88&gt;0,INDEX(BH$7:BH$106,$AE88),1),IF($AF88&gt;0,INDEX(BH$7:BH$106,$AF88),1),IF($AG88&gt;0,INDEX(BH$7:BH$106,$AG88),1),IF($AH88&gt;0,INDEX(BH$7:BH$106,$AH88),1),IF($AI88&gt;0,INDEX(BH$7:BH$106,$AI88),1),IF($AJ88&gt;0,INDEX(BH$7:BH$106,$AJ88),1))))</ns0:f>
        <ns0:v>1</ns0:v>
      </ns0:c>
      <ns0:c r="BJ88" t="n">
        <ns0:f>IF($A88="",1,IF(BI88=1,1,--AND(IF($AC88&gt;0,INDEX(BI$7:BI$106,$AC88),1),IF($AD88&gt;0,INDEX(BI$7:BI$106,$AD88),1),IF($AE88&gt;0,INDEX(BI$7:BI$106,$AE88),1),IF($AF88&gt;0,INDEX(BI$7:BI$106,$AF88),1),IF($AG88&gt;0,INDEX(BI$7:BI$106,$AG88),1),IF($AH88&gt;0,INDEX(BI$7:BI$106,$AH88),1),IF($AI88&gt;0,INDEX(BI$7:BI$106,$AI88),1),IF($AJ88&gt;0,INDEX(BI$7:BI$106,$AJ88),1))))</ns0:f>
        <ns0:v>1</ns0:v>
      </ns0:c>
      <ns0:c r="BK88" t="n">
        <ns0:f>IF($A88="",1,IF(BJ88=1,1,--AND(IF($AC88&gt;0,INDEX(BJ$7:BJ$106,$AC88),1),IF($AD88&gt;0,INDEX(BJ$7:BJ$106,$AD88),1),IF($AE88&gt;0,INDEX(BJ$7:BJ$106,$AE88),1),IF($AF88&gt;0,INDEX(BJ$7:BJ$106,$AF88),1),IF($AG88&gt;0,INDEX(BJ$7:BJ$106,$AG88),1),IF($AH88&gt;0,INDEX(BJ$7:BJ$106,$AH88),1),IF($AI88&gt;0,INDEX(BJ$7:BJ$106,$AI88),1),IF($AJ88&gt;0,INDEX(BJ$7:BJ$106,$AJ88),1))))</ns0:f>
        <ns0:v>1</ns0:v>
      </ns0:c>
      <ns0:c r="BL88" t="n">
        <ns0:f>IF($A88="",1,IF(BK88=1,1,--AND(IF($AC88&gt;0,INDEX(BK$7:BK$106,$AC88),1),IF($AD88&gt;0,INDEX(BK$7:BK$106,$AD88),1),IF($AE88&gt;0,INDEX(BK$7:BK$106,$AE88),1),IF($AF88&gt;0,INDEX(BK$7:BK$106,$AF88),1),IF($AG88&gt;0,INDEX(BK$7:BK$106,$AG88),1),IF($AH88&gt;0,INDEX(BK$7:BK$106,$AH88),1),IF($AI88&gt;0,INDEX(BK$7:BK$106,$AI88),1),IF($AJ88&gt;0,INDEX(BK$7:BK$106,$AJ88),1))))</ns0:f>
        <ns0:v>1</ns0:v>
      </ns0:c>
      <ns0:c r="BM88" t="n">
        <ns0:f>IF($A88="",1,IF(BL88=1,1,--AND(IF($AC88&gt;0,INDEX(BL$7:BL$106,$AC88),1),IF($AD88&gt;0,INDEX(BL$7:BL$106,$AD88),1),IF($AE88&gt;0,INDEX(BL$7:BL$106,$AE88),1),IF($AF88&gt;0,INDEX(BL$7:BL$106,$AF88),1),IF($AG88&gt;0,INDEX(BL$7:BL$106,$AG88),1),IF($AH88&gt;0,INDEX(BL$7:BL$106,$AH88),1),IF($AI88&gt;0,INDEX(BL$7:BL$106,$AI88),1),IF($AJ88&gt;0,INDEX(BL$7:BL$106,$AJ88),1))))</ns0:f>
        <ns0:v>1</ns0:v>
      </ns0:c>
      <ns0:c r="BN88" t="n">
        <ns0:f>IF($A88="",1,IF(BM88=1,1,--AND(IF($AC88&gt;0,INDEX(BM$7:BM$106,$AC88),1),IF($AD88&gt;0,INDEX(BM$7:BM$106,$AD88),1),IF($AE88&gt;0,INDEX(BM$7:BM$106,$AE88),1),IF($AF88&gt;0,INDEX(BM$7:BM$106,$AF88),1),IF($AG88&gt;0,INDEX(BM$7:BM$106,$AG88),1),IF($AH88&gt;0,INDEX(BM$7:BM$106,$AH88),1),IF($AI88&gt;0,INDEX(BM$7:BM$106,$AI88),1),IF($AJ88&gt;0,INDEX(BM$7:BM$106,$AJ88),1))))</ns0:f>
        <ns0:v>1</ns0:v>
      </ns0:c>
      <ns0:c r="BO88" t="n">
        <ns0:f>IF($A88="",1,IF(BN88=1,1,--AND(IF($AC88&gt;0,INDEX(BN$7:BN$106,$AC88),1),IF($AD88&gt;0,INDEX(BN$7:BN$106,$AD88),1),IF($AE88&gt;0,INDEX(BN$7:BN$106,$AE88),1),IF($AF88&gt;0,INDEX(BN$7:BN$106,$AF88),1),IF($AG88&gt;0,INDEX(BN$7:BN$106,$AG88),1),IF($AH88&gt;0,INDEX(BN$7:BN$106,$AH88),1),IF($AI88&gt;0,INDEX(BN$7:BN$106,$AI88),1),IF($AJ88&gt;0,INDEX(BN$7:BN$106,$AJ88),1))))</ns0:f>
        <ns0:v>1</ns0:v>
      </ns0:c>
      <ns0:c r="BP88" t="n">
        <ns0:f>IF($A88="",1,IF(BO88=1,1,--AND(IF($AC88&gt;0,INDEX(BO$7:BO$106,$AC88),1),IF($AD88&gt;0,INDEX(BO$7:BO$106,$AD88),1),IF($AE88&gt;0,INDEX(BO$7:BO$106,$AE88),1),IF($AF88&gt;0,INDEX(BO$7:BO$106,$AF88),1),IF($AG88&gt;0,INDEX(BO$7:BO$106,$AG88),1),IF($AH88&gt;0,INDEX(BO$7:BO$106,$AH88),1),IF($AI88&gt;0,INDEX(BO$7:BO$106,$AI88),1),IF($AJ88&gt;0,INDEX(BO$7:BO$106,$AJ88),1))))</ns0:f>
        <ns0:v>1</ns0:v>
      </ns0:c>
      <ns0:c r="BQ88" t="n">
        <ns0:f>IF($A88="",1,IF(BP88=1,1,--AND(IF($AC88&gt;0,INDEX(BP$7:BP$106,$AC88),1),IF($AD88&gt;0,INDEX(BP$7:BP$106,$AD88),1),IF($AE88&gt;0,INDEX(BP$7:BP$106,$AE88),1),IF($AF88&gt;0,INDEX(BP$7:BP$106,$AF88),1),IF($AG88&gt;0,INDEX(BP$7:BP$106,$AG88),1),IF($AH88&gt;0,INDEX(BP$7:BP$106,$AH88),1),IF($AI88&gt;0,INDEX(BP$7:BP$106,$AI88),1),IF($AJ88&gt;0,INDEX(BP$7:BP$106,$AJ88),1))))</ns0:f>
        <ns0:v>1</ns0:v>
      </ns0:c>
      <ns0:c r="BR88" t="n">
        <ns0:f>IF($A88="",1,IF(BQ88=1,1,--AND(IF($AC88&gt;0,INDEX(BQ$7:BQ$106,$AC88),1),IF($AD88&gt;0,INDEX(BQ$7:BQ$106,$AD88),1),IF($AE88&gt;0,INDEX(BQ$7:BQ$106,$AE88),1),IF($AF88&gt;0,INDEX(BQ$7:BQ$106,$AF88),1),IF($AG88&gt;0,INDEX(BQ$7:BQ$106,$AG88),1),IF($AH88&gt;0,INDEX(BQ$7:BQ$106,$AH88),1),IF($AI88&gt;0,INDEX(BQ$7:BQ$106,$AI88),1),IF($AJ88&gt;0,INDEX(BQ$7:BQ$106,$AJ88),1))))</ns0:f>
        <ns0:v>1</ns0:v>
      </ns0:c>
      <ns0:c r="BS88" t="n">
        <ns0:f>IF($A88="",1,IF(BR88=1,1,--AND(IF($AC88&gt;0,INDEX(BR$7:BR$106,$AC88),1),IF($AD88&gt;0,INDEX(BR$7:BR$106,$AD88),1),IF($AE88&gt;0,INDEX(BR$7:BR$106,$AE88),1),IF($AF88&gt;0,INDEX(BR$7:BR$106,$AF88),1),IF($AG88&gt;0,INDEX(BR$7:BR$106,$AG88),1),IF($AH88&gt;0,INDEX(BR$7:BR$106,$AH88),1),IF($AI88&gt;0,INDEX(BR$7:BR$106,$AI88),1),IF($AJ88&gt;0,INDEX(BR$7:BR$106,$AJ88),1))))</ns0:f>
        <ns0:v>1</ns0:v>
      </ns0:c>
      <ns0:c r="BT88" t="n">
        <ns0:f>IF($A88="",1,IF(BS88=1,1,--AND(IF($AC88&gt;0,INDEX(BS$7:BS$106,$AC88),1),IF($AD88&gt;0,INDEX(BS$7:BS$106,$AD88),1),IF($AE88&gt;0,INDEX(BS$7:BS$106,$AE88),1),IF($AF88&gt;0,INDEX(BS$7:BS$106,$AF88),1),IF($AG88&gt;0,INDEX(BS$7:BS$106,$AG88),1),IF($AH88&gt;0,INDEX(BS$7:BS$106,$AH88),1),IF($AI88&gt;0,INDEX(BS$7:BS$106,$AI88),1),IF($AJ88&gt;0,INDEX(BS$7:BS$106,$AJ88),1))))</ns0:f>
        <ns0:v>1</ns0:v>
      </ns0:c>
      <ns0:c r="BU88" t="n">
        <ns0:f>IF($A88="",1,IF(BT88=1,1,--AND(IF($AC88&gt;0,INDEX(BT$7:BT$106,$AC88),1),IF($AD88&gt;0,INDEX(BT$7:BT$106,$AD88),1),IF($AE88&gt;0,INDEX(BT$7:BT$106,$AE88),1),IF($AF88&gt;0,INDEX(BT$7:BT$106,$AF88),1),IF($AG88&gt;0,INDEX(BT$7:BT$106,$AG88),1),IF($AH88&gt;0,INDEX(BT$7:BT$106,$AH88),1),IF($AI88&gt;0,INDEX(BT$7:BT$106,$AI88),1),IF($AJ88&gt;0,INDEX(BT$7:BT$106,$AJ88),1))))</ns0:f>
        <ns0:v>1</ns0:v>
      </ns0:c>
      <ns0:c r="BV88" t="n">
        <ns0:f>IF($A88="",1,IF(BU88=1,1,--AND(IF($AC88&gt;0,INDEX(BU$7:BU$106,$AC88),1),IF($AD88&gt;0,INDEX(BU$7:BU$106,$AD88),1),IF($AE88&gt;0,INDEX(BU$7:BU$106,$AE88),1),IF($AF88&gt;0,INDEX(BU$7:BU$106,$AF88),1),IF($AG88&gt;0,INDEX(BU$7:BU$106,$AG88),1),IF($AH88&gt;0,INDEX(BU$7:BU$106,$AH88),1),IF($AI88&gt;0,INDEX(BU$7:BU$106,$AI88),1),IF($AJ88&gt;0,INDEX(BU$7:BU$106,$AJ88),1))))</ns0:f>
        <ns0:v>1</ns0:v>
      </ns0:c>
      <ns0:c r="BW88" t="n">
        <ns0:f>IF($A88="",1,IF(BV88=1,1,--AND(IF($AC88&gt;0,INDEX(BV$7:BV$106,$AC88),1),IF($AD88&gt;0,INDEX(BV$7:BV$106,$AD88),1),IF($AE88&gt;0,INDEX(BV$7:BV$106,$AE88),1),IF($AF88&gt;0,INDEX(BV$7:BV$106,$AF88),1),IF($AG88&gt;0,INDEX(BV$7:BV$106,$AG88),1),IF($AH88&gt;0,INDEX(BV$7:BV$106,$AH88),1),IF($AI88&gt;0,INDEX(BV$7:BV$106,$AI88),1),IF($AJ88&gt;0,INDEX(BV$7:BV$106,$AJ88),1))))</ns0:f>
        <ns0:v>1</ns0:v>
      </ns0:c>
      <ns0:c r="BX88" t="n">
        <ns0:f>IF($A88="",1,IF(BW88=1,1,--AND(IF($AC88&gt;0,INDEX(BW$7:BW$106,$AC88),1),IF($AD88&gt;0,INDEX(BW$7:BW$106,$AD88),1),IF($AE88&gt;0,INDEX(BW$7:BW$106,$AE88),1),IF($AF88&gt;0,INDEX(BW$7:BW$106,$AF88),1),IF($AG88&gt;0,INDEX(BW$7:BW$106,$AG88),1),IF($AH88&gt;0,INDEX(BW$7:BW$106,$AH88),1),IF($AI88&gt;0,INDEX(BW$7:BW$106,$AI88),1),IF($AJ88&gt;0,INDEX(BW$7:BW$106,$AJ88),1))))</ns0:f>
        <ns0:v>1</ns0:v>
      </ns0:c>
      <ns0:c r="BY88" t="n">
        <ns0:f>IF($A88="",1,IF(BX88=1,1,--AND(IF($AC88&gt;0,INDEX(BX$7:BX$106,$AC88),1),IF($AD88&gt;0,INDEX(BX$7:BX$106,$AD88),1),IF($AE88&gt;0,INDEX(BX$7:BX$106,$AE88),1),IF($AF88&gt;0,INDEX(BX$7:BX$106,$AF88),1),IF($AG88&gt;0,INDEX(BX$7:BX$106,$AG88),1),IF($AH88&gt;0,INDEX(BX$7:BX$106,$AH88),1),IF($AI88&gt;0,INDEX(BX$7:BX$106,$AI88),1),IF($AJ88&gt;0,INDEX(BX$7:BX$106,$AJ88),1))))</ns0:f>
        <ns0:v>1</ns0:v>
      </ns0:c>
      <ns0:c r="BZ88" t="n">
        <ns0:f>IF($A88="",1,IF(BY88=1,1,--AND(IF($AC88&gt;0,INDEX(BY$7:BY$106,$AC88),1),IF($AD88&gt;0,INDEX(BY$7:BY$106,$AD88),1),IF($AE88&gt;0,INDEX(BY$7:BY$106,$AE88),1),IF($AF88&gt;0,INDEX(BY$7:BY$106,$AF88),1),IF($AG88&gt;0,INDEX(BY$7:BY$106,$AG88),1),IF($AH88&gt;0,INDEX(BY$7:BY$106,$AH88),1),IF($AI88&gt;0,INDEX(BY$7:BY$106,$AI88),1),IF($AJ88&gt;0,INDEX(BY$7:BY$106,$AJ88),1))))</ns0:f>
        <ns0:v>1</ns0:v>
      </ns0:c>
      <ns0:c r="CA88" t="n">
        <ns0:f>IF($A88="",1,IF(BZ88=1,1,--AND(IF($AC88&gt;0,INDEX(BZ$7:BZ$106,$AC88),1),IF($AD88&gt;0,INDEX(BZ$7:BZ$106,$AD88),1),IF($AE88&gt;0,INDEX(BZ$7:BZ$106,$AE88),1),IF($AF88&gt;0,INDEX(BZ$7:BZ$106,$AF88),1),IF($AG88&gt;0,INDEX(BZ$7:BZ$106,$AG88),1),IF($AH88&gt;0,INDEX(BZ$7:BZ$106,$AH88),1),IF($AI88&gt;0,INDEX(BZ$7:BZ$106,$AI88),1),IF($AJ88&gt;0,INDEX(BZ$7:BZ$106,$AJ88),1))))</ns0:f>
        <ns0:v>1</ns0:v>
      </ns0:c>
      <ns0:c r="CB88" t="n">
        <ns0:f>IF($A88="",1,IF(CA88=1,1,--AND(IF($AC88&gt;0,INDEX(CA$7:CA$106,$AC88),1),IF($AD88&gt;0,INDEX(CA$7:CA$106,$AD88),1),IF($AE88&gt;0,INDEX(CA$7:CA$106,$AE88),1),IF($AF88&gt;0,INDEX(CA$7:CA$106,$AF88),1),IF($AG88&gt;0,INDEX(CA$7:CA$106,$AG88),1),IF($AH88&gt;0,INDEX(CA$7:CA$106,$AH88),1),IF($AI88&gt;0,INDEX(CA$7:CA$106,$AI88),1),IF($AJ88&gt;0,INDEX(CA$7:CA$106,$AJ88),1))))</ns0:f>
        <ns0:v>1</ns0:v>
      </ns0:c>
      <ns0:c r="CC88" t="n">
        <ns0:f>IF($A88="",1,IF(CB88=1,1,--AND(IF($AC88&gt;0,INDEX(CB$7:CB$106,$AC88),1),IF($AD88&gt;0,INDEX(CB$7:CB$106,$AD88),1),IF($AE88&gt;0,INDEX(CB$7:CB$106,$AE88),1),IF($AF88&gt;0,INDEX(CB$7:CB$106,$AF88),1),IF($AG88&gt;0,INDEX(CB$7:CB$106,$AG88),1),IF($AH88&gt;0,INDEX(CB$7:CB$106,$AH88),1),IF($AI88&gt;0,INDEX(CB$7:CB$106,$AI88),1),IF($AJ88&gt;0,INDEX(CB$7:CB$106,$AJ88),1))))</ns0:f>
        <ns0:v>1</ns0:v>
      </ns0:c>
      <ns0:c r="CD88" t="n">
        <ns0:f>IF($A88="",1,IF(CC88=1,1,--AND(IF($AC88&gt;0,INDEX(CC$7:CC$106,$AC88),1),IF($AD88&gt;0,INDEX(CC$7:CC$106,$AD88),1),IF($AE88&gt;0,INDEX(CC$7:CC$106,$AE88),1),IF($AF88&gt;0,INDEX(CC$7:CC$106,$AF88),1),IF($AG88&gt;0,INDEX(CC$7:CC$106,$AG88),1),IF($AH88&gt;0,INDEX(CC$7:CC$106,$AH88),1),IF($AI88&gt;0,INDEX(CC$7:CC$106,$AI88),1),IF($AJ88&gt;0,INDEX(CC$7:CC$106,$AJ88),1))))</ns0:f>
        <ns0:v>1</ns0:v>
      </ns0:c>
      <ns0:c r="CE88" t="n">
        <ns0:f>IF($A88="",1,IF(CD88=1,1,--AND(IF($AC88&gt;0,INDEX(CD$7:CD$106,$AC88),1),IF($AD88&gt;0,INDEX(CD$7:CD$106,$AD88),1),IF($AE88&gt;0,INDEX(CD$7:CD$106,$AE88),1),IF($AF88&gt;0,INDEX(CD$7:CD$106,$AF88),1),IF($AG88&gt;0,INDEX(CD$7:CD$106,$AG88),1),IF($AH88&gt;0,INDEX(CD$7:CD$106,$AH88),1),IF($AI88&gt;0,INDEX(CD$7:CD$106,$AI88),1),IF($AJ88&gt;0,INDEX(CD$7:CD$106,$AJ88),1))))</ns0:f>
        <ns0:v>1</ns0:v>
      </ns0:c>
      <ns0:c r="CF88" t="n">
        <ns0:f>IF($A88="",1,IF(CE88=1,1,--AND(IF($AC88&gt;0,INDEX(CE$7:CE$106,$AC88),1),IF($AD88&gt;0,INDEX(CE$7:CE$106,$AD88),1),IF($AE88&gt;0,INDEX(CE$7:CE$106,$AE88),1),IF($AF88&gt;0,INDEX(CE$7:CE$106,$AF88),1),IF($AG88&gt;0,INDEX(CE$7:CE$106,$AG88),1),IF($AH88&gt;0,INDEX(CE$7:CE$106,$AH88),1),IF($AI88&gt;0,INDEX(CE$7:CE$106,$AI88),1),IF($AJ88&gt;0,INDEX(CE$7:CE$106,$AJ88),1))))</ns0:f>
        <ns0:v>1</ns0:v>
      </ns0:c>
      <ns0:c r="CG88" t="n">
        <ns0:f>IF($A88="",1,IF(CF88=1,1,--AND(IF($AC88&gt;0,INDEX(CF$7:CF$106,$AC88),1),IF($AD88&gt;0,INDEX(CF$7:CF$106,$AD88),1),IF($AE88&gt;0,INDEX(CF$7:CF$106,$AE88),1),IF($AF88&gt;0,INDEX(CF$7:CF$106,$AF88),1),IF($AG88&gt;0,INDEX(CF$7:CF$106,$AG88),1),IF($AH88&gt;0,INDEX(CF$7:CF$106,$AH88),1),IF($AI88&gt;0,INDEX(CF$7:CF$106,$AI88),1),IF($AJ88&gt;0,INDEX(CF$7:CF$106,$AJ88),1))))</ns0:f>
        <ns0:v>1</ns0:v>
      </ns0:c>
      <ns0:c r="CH88" t="n">
        <ns0:f>IF($A88="",1,IF(CG88=1,1,--AND(IF($AC88&gt;0,INDEX(CG$7:CG$106,$AC88),1),IF($AD88&gt;0,INDEX(CG$7:CG$106,$AD88),1),IF($AE88&gt;0,INDEX(CG$7:CG$106,$AE88),1),IF($AF88&gt;0,INDEX(CG$7:CG$106,$AF88),1),IF($AG88&gt;0,INDEX(CG$7:CG$106,$AG88),1),IF($AH88&gt;0,INDEX(CG$7:CG$106,$AH88),1),IF($AI88&gt;0,INDEX(CG$7:CG$106,$AI88),1),IF($AJ88&gt;0,INDEX(CG$7:CG$106,$AJ88),1))))</ns0:f>
        <ns0:v>1</ns0:v>
      </ns0:c>
      <ns0:c r="CI88" t="n">
        <ns0:f>IF($A88="",1,IF(CH88=1,1,--AND(IF($AC88&gt;0,INDEX(CH$7:CH$106,$AC88),1),IF($AD88&gt;0,INDEX(CH$7:CH$106,$AD88),1),IF($AE88&gt;0,INDEX(CH$7:CH$106,$AE88),1),IF($AF88&gt;0,INDEX(CH$7:CH$106,$AF88),1),IF($AG88&gt;0,INDEX(CH$7:CH$106,$AG88),1),IF($AH88&gt;0,INDEX(CH$7:CH$106,$AH88),1),IF($AI88&gt;0,INDEX(CH$7:CH$106,$AI88),1),IF($AJ88&gt;0,INDEX(CH$7:CH$106,$AJ88),1))))</ns0:f>
        <ns0:v>1</ns0:v>
      </ns0:c>
      <ns0:c r="CJ88" t="n">
        <ns0:f>IF($A88="",1,IF(CI88=1,1,--AND(IF($AC88&gt;0,INDEX(CI$7:CI$106,$AC88),1),IF($AD88&gt;0,INDEX(CI$7:CI$106,$AD88),1),IF($AE88&gt;0,INDEX(CI$7:CI$106,$AE88),1),IF($AF88&gt;0,INDEX(CI$7:CI$106,$AF88),1),IF($AG88&gt;0,INDEX(CI$7:CI$106,$AG88),1),IF($AH88&gt;0,INDEX(CI$7:CI$106,$AH88),1),IF($AI88&gt;0,INDEX(CI$7:CI$106,$AI88),1),IF($AJ88&gt;0,INDEX(CI$7:CI$106,$AJ88),1))))</ns0:f>
        <ns0:v>1</ns0:v>
      </ns0:c>
      <ns0:c r="CK88" t="n">
        <ns0:f>IF($A88="",1,IF(CJ88=1,1,--AND(IF($AC88&gt;0,INDEX(CJ$7:CJ$106,$AC88),1),IF($AD88&gt;0,INDEX(CJ$7:CJ$106,$AD88),1),IF($AE88&gt;0,INDEX(CJ$7:CJ$106,$AE88),1),IF($AF88&gt;0,INDEX(CJ$7:CJ$106,$AF88),1),IF($AG88&gt;0,INDEX(CJ$7:CJ$106,$AG88),1),IF($AH88&gt;0,INDEX(CJ$7:CJ$106,$AH88),1),IF($AI88&gt;0,INDEX(CJ$7:CJ$106,$AI88),1),IF($AJ88&gt;0,INDEX(CJ$7:CJ$106,$AJ88),1))))</ns0:f>
        <ns0:v>1</ns0:v>
      </ns0:c>
      <ns0:c r="CL88" t="n">
        <ns0:f>IF($A88="",1,IF(CK88=1,1,--AND(IF($AC88&gt;0,INDEX(CK$7:CK$106,$AC88),1),IF($AD88&gt;0,INDEX(CK$7:CK$106,$AD88),1),IF($AE88&gt;0,INDEX(CK$7:CK$106,$AE88),1),IF($AF88&gt;0,INDEX(CK$7:CK$106,$AF88),1),IF($AG88&gt;0,INDEX(CK$7:CK$106,$AG88),1),IF($AH88&gt;0,INDEX(CK$7:CK$106,$AH88),1),IF($AI88&gt;0,INDEX(CK$7:CK$106,$AI88),1),IF($AJ88&gt;0,INDEX(CK$7:CK$106,$AJ88),1))))</ns0:f>
        <ns0:v>1</ns0:v>
      </ns0:c>
      <ns0:c r="CM88" t="n">
        <ns0:f>IF($A88="",1,IF(CL88=1,1,--AND(IF($AC88&gt;0,INDEX(CL$7:CL$106,$AC88),1),IF($AD88&gt;0,INDEX(CL$7:CL$106,$AD88),1),IF($AE88&gt;0,INDEX(CL$7:CL$106,$AE88),1),IF($AF88&gt;0,INDEX(CL$7:CL$106,$AF88),1),IF($AG88&gt;0,INDEX(CL$7:CL$106,$AG88),1),IF($AH88&gt;0,INDEX(CL$7:CL$106,$AH88),1),IF($AI88&gt;0,INDEX(CL$7:CL$106,$AI88),1),IF($AJ88&gt;0,INDEX(CL$7:CL$106,$AJ88),1))))</ns0:f>
        <ns0:v>1</ns0:v>
      </ns0:c>
      <ns0:c r="CN88" t="n">
        <ns0:f>IF($A88="",1,IF(CM88=1,1,--AND(IF($AC88&gt;0,INDEX(CM$7:CM$106,$AC88),1),IF($AD88&gt;0,INDEX(CM$7:CM$106,$AD88),1),IF($AE88&gt;0,INDEX(CM$7:CM$106,$AE88),1),IF($AF88&gt;0,INDEX(CM$7:CM$106,$AF88),1),IF($AG88&gt;0,INDEX(CM$7:CM$106,$AG88),1),IF($AH88&gt;0,INDEX(CM$7:CM$106,$AH88),1),IF($AI88&gt;0,INDEX(CM$7:CM$106,$AI88),1),IF($AJ88&gt;0,INDEX(CM$7:CM$106,$AJ88),1))))</ns0:f>
        <ns0:v>1</ns0:v>
      </ns0:c>
      <ns0:c r="CO88" t="n">
        <ns0:f>IF($A88="",1,IF(CN88=1,1,--AND(IF($AC88&gt;0,INDEX(CN$7:CN$106,$AC88),1),IF($AD88&gt;0,INDEX(CN$7:CN$106,$AD88),1),IF($AE88&gt;0,INDEX(CN$7:CN$106,$AE88),1),IF($AF88&gt;0,INDEX(CN$7:CN$106,$AF88),1),IF($AG88&gt;0,INDEX(CN$7:CN$106,$AG88),1),IF($AH88&gt;0,INDEX(CN$7:CN$106,$AH88),1),IF($AI88&gt;0,INDEX(CN$7:CN$106,$AI88),1),IF($AJ88&gt;0,INDEX(CN$7:CN$106,$AJ88),1))))</ns0:f>
        <ns0:v>1</ns0:v>
      </ns0:c>
      <ns0:c r="CP88" t="n">
        <ns0:f>IF($A88="",1,IF(CO88=1,1,--AND(IF($AC88&gt;0,INDEX(CO$7:CO$106,$AC88),1),IF($AD88&gt;0,INDEX(CO$7:CO$106,$AD88),1),IF($AE88&gt;0,INDEX(CO$7:CO$106,$AE88),1),IF($AF88&gt;0,INDEX(CO$7:CO$106,$AF88),1),IF($AG88&gt;0,INDEX(CO$7:CO$106,$AG88),1),IF($AH88&gt;0,INDEX(CO$7:CO$106,$AH88),1),IF($AI88&gt;0,INDEX(CO$7:CO$106,$AI88),1),IF($AJ88&gt;0,INDEX(CO$7:CO$106,$AJ88),1))))</ns0:f>
        <ns0:v>1</ns0:v>
      </ns0:c>
      <ns0:c r="CQ88" t="n">
        <ns0:f>IF($A88="",1,IF(CP88=1,1,--AND(IF($AC88&gt;0,INDEX(CP$7:CP$106,$AC88),1),IF($AD88&gt;0,INDEX(CP$7:CP$106,$AD88),1),IF($AE88&gt;0,INDEX(CP$7:CP$106,$AE88),1),IF($AF88&gt;0,INDEX(CP$7:CP$106,$AF88),1),IF($AG88&gt;0,INDEX(CP$7:CP$106,$AG88),1),IF($AH88&gt;0,INDEX(CP$7:CP$106,$AH88),1),IF($AI88&gt;0,INDEX(CP$7:CP$106,$AI88),1),IF($AJ88&gt;0,INDEX(CP$7:CP$106,$AJ88),1))))</ns0:f>
        <ns0:v>1</ns0:v>
      </ns0:c>
      <ns0:c r="CR88" t="n">
        <ns0:f>IF($A88="",1,IF(CQ88=1,1,--AND(IF($AC88&gt;0,INDEX(CQ$7:CQ$106,$AC88),1),IF($AD88&gt;0,INDEX(CQ$7:CQ$106,$AD88),1),IF($AE88&gt;0,INDEX(CQ$7:CQ$106,$AE88),1),IF($AF88&gt;0,INDEX(CQ$7:CQ$106,$AF88),1),IF($AG88&gt;0,INDEX(CQ$7:CQ$106,$AG88),1),IF($AH88&gt;0,INDEX(CQ$7:CQ$106,$AH88),1),IF($AI88&gt;0,INDEX(CQ$7:CQ$106,$AI88),1),IF($AJ88&gt;0,INDEX(CQ$7:CQ$106,$AJ88),1))))</ns0:f>
        <ns0:v>1</ns0:v>
      </ns0:c>
      <ns0:c r="CS88" t="n">
        <ns0:f>IF($A88="",1,IF(CR88=1,1,--AND(IF($AC88&gt;0,INDEX(CR$7:CR$106,$AC88),1),IF($AD88&gt;0,INDEX(CR$7:CR$106,$AD88),1),IF($AE88&gt;0,INDEX(CR$7:CR$106,$AE88),1),IF($AF88&gt;0,INDEX(CR$7:CR$106,$AF88),1),IF($AG88&gt;0,INDEX(CR$7:CR$106,$AG88),1),IF($AH88&gt;0,INDEX(CR$7:CR$106,$AH88),1),IF($AI88&gt;0,INDEX(CR$7:CR$106,$AI88),1),IF($AJ88&gt;0,INDEX(CR$7:CR$106,$AJ88),1))))</ns0:f>
        <ns0:v>1</ns0:v>
      </ns0:c>
      <ns0:c r="CT88" t="n">
        <ns0:f>IF($A88="",1,IF(CS88=1,1,--AND(IF($AC88&gt;0,INDEX(CS$7:CS$106,$AC88),1),IF($AD88&gt;0,INDEX(CS$7:CS$106,$AD88),1),IF($AE88&gt;0,INDEX(CS$7:CS$106,$AE88),1),IF($AF88&gt;0,INDEX(CS$7:CS$106,$AF88),1),IF($AG88&gt;0,INDEX(CS$7:CS$106,$AG88),1),IF($AH88&gt;0,INDEX(CS$7:CS$106,$AH88),1),IF($AI88&gt;0,INDEX(CS$7:CS$106,$AI88),1),IF($AJ88&gt;0,INDEX(CS$7:CS$106,$AJ88),1))))</ns0:f>
        <ns0:v>1</ns0:v>
      </ns0:c>
      <ns0:c r="CU88" t="n">
        <ns0:f>IF($A88="",1,IF(CT88=1,1,--AND(IF($AC88&gt;0,INDEX(CT$7:CT$106,$AC88),1),IF($AD88&gt;0,INDEX(CT$7:CT$106,$AD88),1),IF($AE88&gt;0,INDEX(CT$7:CT$106,$AE88),1),IF($AF88&gt;0,INDEX(CT$7:CT$106,$AF88),1),IF($AG88&gt;0,INDEX(CT$7:CT$106,$AG88),1),IF($AH88&gt;0,INDEX(CT$7:CT$106,$AH88),1),IF($AI88&gt;0,INDEX(CT$7:CT$106,$AI88),1),IF($AJ88&gt;0,INDEX(CT$7:CT$106,$AJ88),1))))</ns0:f>
        <ns0:v>1</ns0:v>
      </ns0:c>
      <ns0:c r="CV88" t="n">
        <ns0:f>IF($A88="",1,IF(CU88=1,1,--AND(IF($AC88&gt;0,INDEX(CU$7:CU$106,$AC88),1),IF($AD88&gt;0,INDEX(CU$7:CU$106,$AD88),1),IF($AE88&gt;0,INDEX(CU$7:CU$106,$AE88),1),IF($AF88&gt;0,INDEX(CU$7:CU$106,$AF88),1),IF($AG88&gt;0,INDEX(CU$7:CU$106,$AG88),1),IF($AH88&gt;0,INDEX(CU$7:CU$106,$AH88),1),IF($AI88&gt;0,INDEX(CU$7:CU$106,$AI88),1),IF($AJ88&gt;0,INDEX(CU$7:CU$106,$AJ88),1))))</ns0:f>
        <ns0:v>1</ns0:v>
      </ns0:c>
      <ns0:c r="CW88" t="n">
        <ns0:f>IF($A88="",1,IF(CV88=1,1,--AND(IF($AC88&gt;0,INDEX(CV$7:CV$106,$AC88),1),IF($AD88&gt;0,INDEX(CV$7:CV$106,$AD88),1),IF($AE88&gt;0,INDEX(CV$7:CV$106,$AE88),1),IF($AF88&gt;0,INDEX(CV$7:CV$106,$AF88),1),IF($AG88&gt;0,INDEX(CV$7:CV$106,$AG88),1),IF($AH88&gt;0,INDEX(CV$7:CV$106,$AH88),1),IF($AI88&gt;0,INDEX(CV$7:CV$106,$AI88),1),IF($AJ88&gt;0,INDEX(CV$7:CV$106,$AJ88),1))))</ns0:f>
        <ns0:v>1</ns0:v>
      </ns0:c>
      <ns0:c r="CX88" t="n">
        <ns0:f>IF($A88="",1,IF(CW88=1,1,--AND(IF($AC88&gt;0,INDEX(CW$7:CW$106,$AC88),1),IF($AD88&gt;0,INDEX(CW$7:CW$106,$AD88),1),IF($AE88&gt;0,INDEX(CW$7:CW$106,$AE88),1),IF($AF88&gt;0,INDEX(CW$7:CW$106,$AF88),1),IF($AG88&gt;0,INDEX(CW$7:CW$106,$AG88),1),IF($AH88&gt;0,INDEX(CW$7:CW$106,$AH88),1),IF($AI88&gt;0,INDEX(CW$7:CW$106,$AI88),1),IF($AJ88&gt;0,INDEX(CW$7:CW$106,$AJ88),1))))</ns0:f>
        <ns0:v>1</ns0:v>
      </ns0:c>
      <ns0:c r="CY88" t="n">
        <ns0:f>IF($A88="",1,IF(CX88=1,1,--AND(IF($AC88&gt;0,INDEX(CX$7:CX$106,$AC88),1),IF($AD88&gt;0,INDEX(CX$7:CX$106,$AD88),1),IF($AE88&gt;0,INDEX(CX$7:CX$106,$AE88),1),IF($AF88&gt;0,INDEX(CX$7:CX$106,$AF88),1),IF($AG88&gt;0,INDEX(CX$7:CX$106,$AG88),1),IF($AH88&gt;0,INDEX(CX$7:CX$106,$AH88),1),IF($AI88&gt;0,INDEX(CX$7:CX$106,$AI88),1),IF($AJ88&gt;0,INDEX(CX$7:CX$106,$AJ88),1))))</ns0:f>
        <ns0:v>1</ns0:v>
      </ns0:c>
      <ns0:c r="CZ88" t="n">
        <ns0:f>IF($A88="",1,IF(CY88=1,1,--AND(IF($AC88&gt;0,INDEX(CY$7:CY$106,$AC88),1),IF($AD88&gt;0,INDEX(CY$7:CY$106,$AD88),1),IF($AE88&gt;0,INDEX(CY$7:CY$106,$AE88),1),IF($AF88&gt;0,INDEX(CY$7:CY$106,$AF88),1),IF($AG88&gt;0,INDEX(CY$7:CY$106,$AG88),1),IF($AH88&gt;0,INDEX(CY$7:CY$106,$AH88),1),IF($AI88&gt;0,INDEX(CY$7:CY$106,$AI88),1),IF($AJ88&gt;0,INDEX(CY$7:CY$106,$AJ88),1))))</ns0:f>
        <ns0:v>1</ns0:v>
      </ns0:c>
      <ns0:c r="DA88" t="n">
        <ns0:f>IF($A88="",1,IF(CZ88=1,1,--AND(IF($AC88&gt;0,INDEX(CZ$7:CZ$106,$AC88),1),IF($AD88&gt;0,INDEX(CZ$7:CZ$106,$AD88),1),IF($AE88&gt;0,INDEX(CZ$7:CZ$106,$AE88),1),IF($AF88&gt;0,INDEX(CZ$7:CZ$106,$AF88),1),IF($AG88&gt;0,INDEX(CZ$7:CZ$106,$AG88),1),IF($AH88&gt;0,INDEX(CZ$7:CZ$106,$AH88),1),IF($AI88&gt;0,INDEX(CZ$7:CZ$106,$AI88),1),IF($AJ88&gt;0,INDEX(CZ$7:CZ$106,$AJ88),1))))</ns0:f>
        <ns0:v>1</ns0:v>
      </ns0:c>
      <ns0:c r="DB88" t="n">
        <ns0:f>IF($A88="",1,IF(DA88=1,1,--AND(IF($AC88&gt;0,INDEX(DA$7:DA$106,$AC88),1),IF($AD88&gt;0,INDEX(DA$7:DA$106,$AD88),1),IF($AE88&gt;0,INDEX(DA$7:DA$106,$AE88),1),IF($AF88&gt;0,INDEX(DA$7:DA$106,$AF88),1),IF($AG88&gt;0,INDEX(DA$7:DA$106,$AG88),1),IF($AH88&gt;0,INDEX(DA$7:DA$106,$AH88),1),IF($AI88&gt;0,INDEX(DA$7:DA$106,$AI88),1),IF($AJ88&gt;0,INDEX(DA$7:DA$106,$AJ88),1))))</ns0:f>
        <ns0:v>1</ns0:v>
      </ns0:c>
      <ns0:c r="DC88" t="n">
        <ns0:f>IF($A88="",1,IF(DB88=1,1,--AND(IF($AC88&gt;0,INDEX(DB$7:DB$106,$AC88),1),IF($AD88&gt;0,INDEX(DB$7:DB$106,$AD88),1),IF($AE88&gt;0,INDEX(DB$7:DB$106,$AE88),1),IF($AF88&gt;0,INDEX(DB$7:DB$106,$AF88),1),IF($AG88&gt;0,INDEX(DB$7:DB$106,$AG88),1),IF($AH88&gt;0,INDEX(DB$7:DB$106,$AH88),1),IF($AI88&gt;0,INDEX(DB$7:DB$106,$AI88),1),IF($AJ88&gt;0,INDEX(DB$7:DB$106,$AJ88),1))))</ns0:f>
        <ns0:v>1</ns0:v>
      </ns0:c>
      <ns0:c r="DD88" t="n">
        <ns0:f>IF($A88="",1,IF(DC88=1,1,--AND(IF($AC88&gt;0,INDEX(DC$7:DC$106,$AC88),1),IF($AD88&gt;0,INDEX(DC$7:DC$106,$AD88),1),IF($AE88&gt;0,INDEX(DC$7:DC$106,$AE88),1),IF($AF88&gt;0,INDEX(DC$7:DC$106,$AF88),1),IF($AG88&gt;0,INDEX(DC$7:DC$106,$AG88),1),IF($AH88&gt;0,INDEX(DC$7:DC$106,$AH88),1),IF($AI88&gt;0,INDEX(DC$7:DC$106,$AI88),1),IF($AJ88&gt;0,INDEX(DC$7:DC$106,$AJ88),1))))</ns0:f>
        <ns0:v>1</ns0:v>
      </ns0:c>
      <ns0:c r="DE88" t="n">
        <ns0:f>IF($A88="",1,IF(DD88=1,1,--AND(IF($AC88&gt;0,INDEX(DD$7:DD$106,$AC88),1),IF($AD88&gt;0,INDEX(DD$7:DD$106,$AD88),1),IF($AE88&gt;0,INDEX(DD$7:DD$106,$AE88),1),IF($AF88&gt;0,INDEX(DD$7:DD$106,$AF88),1),IF($AG88&gt;0,INDEX(DD$7:DD$106,$AG88),1),IF($AH88&gt;0,INDEX(DD$7:DD$106,$AH88),1),IF($AI88&gt;0,INDEX(DD$7:DD$106,$AI88),1),IF($AJ88&gt;0,INDEX(DD$7:DD$106,$AJ88),1))))</ns0:f>
        <ns0:v>1</ns0:v>
      </ns0:c>
      <ns0:c r="DF88" t="n">
        <ns0:f>IF($A88="",1,IF(DE88=1,1,--AND(IF($AC88&gt;0,INDEX(DE$7:DE$106,$AC88),1),IF($AD88&gt;0,INDEX(DE$7:DE$106,$AD88),1),IF($AE88&gt;0,INDEX(DE$7:DE$106,$AE88),1),IF($AF88&gt;0,INDEX(DE$7:DE$106,$AF88),1),IF($AG88&gt;0,INDEX(DE$7:DE$106,$AG88),1),IF($AH88&gt;0,INDEX(DE$7:DE$106,$AH88),1),IF($AI88&gt;0,INDEX(DE$7:DE$106,$AI88),1),IF($AJ88&gt;0,INDEX(DE$7:DE$106,$AJ88),1))))</ns0:f>
        <ns0:v>1</ns0:v>
      </ns0:c>
      <ns0:c r="DG88" t="n">
        <ns0:f>IF($A88="",1,IF(DF88=1,1,--AND(IF($AC88&gt;0,INDEX(DF$7:DF$106,$AC88),1),IF($AD88&gt;0,INDEX(DF$7:DF$106,$AD88),1),IF($AE88&gt;0,INDEX(DF$7:DF$106,$AE88),1),IF($AF88&gt;0,INDEX(DF$7:DF$106,$AF88),1),IF($AG88&gt;0,INDEX(DF$7:DF$106,$AG88),1),IF($AH88&gt;0,INDEX(DF$7:DF$106,$AH88),1),IF($AI88&gt;0,INDEX(DF$7:DF$106,$AI88),1),IF($AJ88&gt;0,INDEX(DF$7:DF$106,$AJ88),1))))</ns0:f>
        <ns0:v>1</ns0:v>
      </ns0:c>
      <ns0:c r="DH88" t="n">
        <ns0:f>IF($A88="",1,IF(DG88=1,1,--AND(IF($AC88&gt;0,INDEX(DG$7:DG$106,$AC88),1),IF($AD88&gt;0,INDEX(DG$7:DG$106,$AD88),1),IF($AE88&gt;0,INDEX(DG$7:DG$106,$AE88),1),IF($AF88&gt;0,INDEX(DG$7:DG$106,$AF88),1),IF($AG88&gt;0,INDEX(DG$7:DG$106,$AG88),1),IF($AH88&gt;0,INDEX(DG$7:DG$106,$AH88),1),IF($AI88&gt;0,INDEX(DG$7:DG$106,$AI88),1),IF($AJ88&gt;0,INDEX(DG$7:DG$106,$AJ88),1))))</ns0:f>
        <ns0:v>1</ns0:v>
      </ns0:c>
      <ns0:c r="DI88" t="n">
        <ns0:f>IF($A88="",1,IF(DH88=1,1,--AND(IF($AC88&gt;0,INDEX(DH$7:DH$106,$AC88),1),IF($AD88&gt;0,INDEX(DH$7:DH$106,$AD88),1),IF($AE88&gt;0,INDEX(DH$7:DH$106,$AE88),1),IF($AF88&gt;0,INDEX(DH$7:DH$106,$AF88),1),IF($AG88&gt;0,INDEX(DH$7:DH$106,$AG88),1),IF($AH88&gt;0,INDEX(DH$7:DH$106,$AH88),1),IF($AI88&gt;0,INDEX(DH$7:DH$106,$AI88),1),IF($AJ88&gt;0,INDEX(DH$7:DH$106,$AJ88),1))))</ns0:f>
        <ns0:v>1</ns0:v>
      </ns0:c>
      <ns0:c r="DJ88" t="n">
        <ns0:f>IF($A88="",1,IF(DI88=1,1,--AND(IF($AC88&gt;0,INDEX(DI$7:DI$106,$AC88),1),IF($AD88&gt;0,INDEX(DI$7:DI$106,$AD88),1),IF($AE88&gt;0,INDEX(DI$7:DI$106,$AE88),1),IF($AF88&gt;0,INDEX(DI$7:DI$106,$AF88),1),IF($AG88&gt;0,INDEX(DI$7:DI$106,$AG88),1),IF($AH88&gt;0,INDEX(DI$7:DI$106,$AH88),1),IF($AI88&gt;0,INDEX(DI$7:DI$106,$AI88),1),IF($AJ88&gt;0,INDEX(DI$7:DI$106,$AJ88),1))))</ns0:f>
        <ns0:v>1</ns0:v>
      </ns0:c>
      <ns0:c r="DK88" t="n">
        <ns0:f>IF($A88="",1,IF(DJ88=1,1,--AND(IF($AC88&gt;0,INDEX(DJ$7:DJ$106,$AC88),1),IF($AD88&gt;0,INDEX(DJ$7:DJ$106,$AD88),1),IF($AE88&gt;0,INDEX(DJ$7:DJ$106,$AE88),1),IF($AF88&gt;0,INDEX(DJ$7:DJ$106,$AF88),1),IF($AG88&gt;0,INDEX(DJ$7:DJ$106,$AG88),1),IF($AH88&gt;0,INDEX(DJ$7:DJ$106,$AH88),1),IF($AI88&gt;0,INDEX(DJ$7:DJ$106,$AI88),1),IF($AJ88&gt;0,INDEX(DJ$7:DJ$106,$AJ88),1))))</ns0:f>
        <ns0:v>1</ns0:v>
      </ns0:c>
      <ns0:c r="DL88" t="n">
        <ns0:f>IF($A88="",1,IF(DK88=1,1,--AND(IF($AC88&gt;0,INDEX(DK$7:DK$106,$AC88),1),IF($AD88&gt;0,INDEX(DK$7:DK$106,$AD88),1),IF($AE88&gt;0,INDEX(DK$7:DK$106,$AE88),1),IF($AF88&gt;0,INDEX(DK$7:DK$106,$AF88),1),IF($AG88&gt;0,INDEX(DK$7:DK$106,$AG88),1),IF($AH88&gt;0,INDEX(DK$7:DK$106,$AH88),1),IF($AI88&gt;0,INDEX(DK$7:DK$106,$AI88),1),IF($AJ88&gt;0,INDEX(DK$7:DK$106,$AJ88),1))))</ns0:f>
        <ns0:v>1</ns0:v>
      </ns0:c>
      <ns0:c r="DM88" t="n">
        <ns0:f>IF($A88="",1,IF(DL88=1,1,--AND(IF($AC88&gt;0,INDEX(DL$7:DL$106,$AC88),1),IF($AD88&gt;0,INDEX(DL$7:DL$106,$AD88),1),IF($AE88&gt;0,INDEX(DL$7:DL$106,$AE88),1),IF($AF88&gt;0,INDEX(DL$7:DL$106,$AF88),1),IF($AG88&gt;0,INDEX(DL$7:DL$106,$AG88),1),IF($AH88&gt;0,INDEX(DL$7:DL$106,$AH88),1),IF($AI88&gt;0,INDEX(DL$7:DL$106,$AI88),1),IF($AJ88&gt;0,INDEX(DL$7:DL$106,$AJ88),1))))</ns0:f>
        <ns0:v>1</ns0:v>
      </ns0:c>
      <ns0:c r="DN88" t="n">
        <ns0:f>IF($A88="",1,IF(DM88=1,1,--AND(IF($AC88&gt;0,INDEX(DM$7:DM$106,$AC88),1),IF($AD88&gt;0,INDEX(DM$7:DM$106,$AD88),1),IF($AE88&gt;0,INDEX(DM$7:DM$106,$AE88),1),IF($AF88&gt;0,INDEX(DM$7:DM$106,$AF88),1),IF($AG88&gt;0,INDEX(DM$7:DM$106,$AG88),1),IF($AH88&gt;0,INDEX(DM$7:DM$106,$AH88),1),IF($AI88&gt;0,INDEX(DM$7:DM$106,$AI88),1),IF($AJ88&gt;0,INDEX(DM$7:DM$106,$AJ88),1))))</ns0:f>
        <ns0:v>1</ns0:v>
      </ns0:c>
      <ns0:c r="DO88" t="n">
        <ns0:f>IF($A88="",1,IF(DN88=1,1,--AND(IF($AC88&gt;0,INDEX(DN$7:DN$106,$AC88),1),IF($AD88&gt;0,INDEX(DN$7:DN$106,$AD88),1),IF($AE88&gt;0,INDEX(DN$7:DN$106,$AE88),1),IF($AF88&gt;0,INDEX(DN$7:DN$106,$AF88),1),IF($AG88&gt;0,INDEX(DN$7:DN$106,$AG88),1),IF($AH88&gt;0,INDEX(DN$7:DN$106,$AH88),1),IF($AI88&gt;0,INDEX(DN$7:DN$106,$AI88),1),IF($AJ88&gt;0,INDEX(DN$7:DN$106,$AJ88),1))))</ns0:f>
        <ns0:v>1</ns0:v>
      </ns0:c>
      <ns0:c r="DP88" t="n">
        <ns0:f>IF($A88="",1,IF(DO88=1,1,--AND(IF($AC88&gt;0,INDEX(DO$7:DO$106,$AC88),1),IF($AD88&gt;0,INDEX(DO$7:DO$106,$AD88),1),IF($AE88&gt;0,INDEX(DO$7:DO$106,$AE88),1),IF($AF88&gt;0,INDEX(DO$7:DO$106,$AF88),1),IF($AG88&gt;0,INDEX(DO$7:DO$106,$AG88),1),IF($AH88&gt;0,INDEX(DO$7:DO$106,$AH88),1),IF($AI88&gt;0,INDEX(DO$7:DO$106,$AI88),1),IF($AJ88&gt;0,INDEX(DO$7:DO$106,$AJ88),1))))</ns0:f>
        <ns0:v>1</ns0:v>
      </ns0:c>
      <ns0:c r="DQ88" t="n">
        <ns0:f>IF($A88="",1,IF(DP88=1,1,--AND(IF($AC88&gt;0,INDEX(DP$7:DP$106,$AC88),1),IF($AD88&gt;0,INDEX(DP$7:DP$106,$AD88),1),IF($AE88&gt;0,INDEX(DP$7:DP$106,$AE88),1),IF($AF88&gt;0,INDEX(DP$7:DP$106,$AF88),1),IF($AG88&gt;0,INDEX(DP$7:DP$106,$AG88),1),IF($AH88&gt;0,INDEX(DP$7:DP$106,$AH88),1),IF($AI88&gt;0,INDEX(DP$7:DP$106,$AI88),1),IF($AJ88&gt;0,INDEX(DP$7:DP$106,$AJ88),1))))</ns0:f>
        <ns0:v>1</ns0:v>
      </ns0:c>
      <ns0:c r="DR88" t="n">
        <ns0:f>IF($A88="",1,IF(DQ88=1,1,--AND(IF($AC88&gt;0,INDEX(DQ$7:DQ$106,$AC88),1),IF($AD88&gt;0,INDEX(DQ$7:DQ$106,$AD88),1),IF($AE88&gt;0,INDEX(DQ$7:DQ$106,$AE88),1),IF($AF88&gt;0,INDEX(DQ$7:DQ$106,$AF88),1),IF($AG88&gt;0,INDEX(DQ$7:DQ$106,$AG88),1),IF($AH88&gt;0,INDEX(DQ$7:DQ$106,$AH88),1),IF($AI88&gt;0,INDEX(DQ$7:DQ$106,$AI88),1),IF($AJ88&gt;0,INDEX(DQ$7:DQ$106,$AJ88),1))))</ns0:f>
        <ns0:v>1</ns0:v>
      </ns0:c>
      <ns0:c r="DS88" t="n">
        <ns0:f>IF($A88="",1,IF(DR88=1,1,--AND(IF($AC88&gt;0,INDEX(DR$7:DR$106,$AC88),1),IF($AD88&gt;0,INDEX(DR$7:DR$106,$AD88),1),IF($AE88&gt;0,INDEX(DR$7:DR$106,$AE88),1),IF($AF88&gt;0,INDEX(DR$7:DR$106,$AF88),1),IF($AG88&gt;0,INDEX(DR$7:DR$106,$AG88),1),IF($AH88&gt;0,INDEX(DR$7:DR$106,$AH88),1),IF($AI88&gt;0,INDEX(DR$7:DR$106,$AI88),1),IF($AJ88&gt;0,INDEX(DR$7:DR$106,$AJ88),1))))</ns0:f>
        <ns0:v>1</ns0:v>
      </ns0:c>
      <ns0:c r="DT88" t="n">
        <ns0:f>IF($A88="",1,IF(DS88=1,1,--AND(IF($AC88&gt;0,INDEX(DS$7:DS$106,$AC88),1),IF($AD88&gt;0,INDEX(DS$7:DS$106,$AD88),1),IF($AE88&gt;0,INDEX(DS$7:DS$106,$AE88),1),IF($AF88&gt;0,INDEX(DS$7:DS$106,$AF88),1),IF($AG88&gt;0,INDEX(DS$7:DS$106,$AG88),1),IF($AH88&gt;0,INDEX(DS$7:DS$106,$AH88),1),IF($AI88&gt;0,INDEX(DS$7:DS$106,$AI88),1),IF($AJ88&gt;0,INDEX(DS$7:DS$106,$AJ88),1))))</ns0:f>
        <ns0:v>1</ns0:v>
      </ns0:c>
      <ns0:c r="DU88" t="n">
        <ns0:f>IF($A88="",1,IF(DT88=1,1,--AND(IF($AC88&gt;0,INDEX(DT$7:DT$106,$AC88),1),IF($AD88&gt;0,INDEX(DT$7:DT$106,$AD88),1),IF($AE88&gt;0,INDEX(DT$7:DT$106,$AE88),1),IF($AF88&gt;0,INDEX(DT$7:DT$106,$AF88),1),IF($AG88&gt;0,INDEX(DT$7:DT$106,$AG88),1),IF($AH88&gt;0,INDEX(DT$7:DT$106,$AH88),1),IF($AI88&gt;0,INDEX(DT$7:DT$106,$AI88),1),IF($AJ88&gt;0,INDEX(DT$7:DT$106,$AJ88),1))))</ns0:f>
        <ns0:v>1</ns0:v>
      </ns0:c>
      <ns0:c r="DV88" t="n">
        <ns0:f>IF($A88="",1,IF(DU88=1,1,--AND(IF($AC88&gt;0,INDEX(DU$7:DU$106,$AC88),1),IF($AD88&gt;0,INDEX(DU$7:DU$106,$AD88),1),IF($AE88&gt;0,INDEX(DU$7:DU$106,$AE88),1),IF($AF88&gt;0,INDEX(DU$7:DU$106,$AF88),1),IF($AG88&gt;0,INDEX(DU$7:DU$106,$AG88),1),IF($AH88&gt;0,INDEX(DU$7:DU$106,$AH88),1),IF($AI88&gt;0,INDEX(DU$7:DU$106,$AI88),1),IF($AJ88&gt;0,INDEX(DU$7:DU$106,$AJ88),1))))</ns0:f>
        <ns0:v>1</ns0:v>
      </ns0:c>
      <ns0:c r="DW88" t="n">
        <ns0:f>IF($A88="",1,IF(DV88=1,1,--AND(IF($AC88&gt;0,INDEX(DV$7:DV$106,$AC88),1),IF($AD88&gt;0,INDEX(DV$7:DV$106,$AD88),1),IF($AE88&gt;0,INDEX(DV$7:DV$106,$AE88),1),IF($AF88&gt;0,INDEX(DV$7:DV$106,$AF88),1),IF($AG88&gt;0,INDEX(DV$7:DV$106,$AG88),1),IF($AH88&gt;0,INDEX(DV$7:DV$106,$AH88),1),IF($AI88&gt;0,INDEX(DV$7:DV$106,$AI88),1),IF($AJ88&gt;0,INDEX(DV$7:DV$106,$AJ88),1))))</ns0:f>
        <ns0:v>1</ns0:v>
      </ns0:c>
      <ns0:c r="DX88" t="n">
        <ns0:f>IF($A88="",1,IF(DW88=1,1,--AND(IF($AC88&gt;0,INDEX(DW$7:DW$106,$AC88),1),IF($AD88&gt;0,INDEX(DW$7:DW$106,$AD88),1),IF($AE88&gt;0,INDEX(DW$7:DW$106,$AE88),1),IF($AF88&gt;0,INDEX(DW$7:DW$106,$AF88),1),IF($AG88&gt;0,INDEX(DW$7:DW$106,$AG88),1),IF($AH88&gt;0,INDEX(DW$7:DW$106,$AH88),1),IF($AI88&gt;0,INDEX(DW$7:DW$106,$AI88),1),IF($AJ88&gt;0,INDEX(DW$7:DW$106,$AJ88),1))))</ns0:f>
        <ns0:v>1</ns0:v>
      </ns0:c>
      <ns0:c r="DY88" t="n">
        <ns0:f>IF($A88="",1,IF(DX88=1,1,--AND(IF($AC88&gt;0,INDEX(DX$7:DX$106,$AC88),1),IF($AD88&gt;0,INDEX(DX$7:DX$106,$AD88),1),IF($AE88&gt;0,INDEX(DX$7:DX$106,$AE88),1),IF($AF88&gt;0,INDEX(DX$7:DX$106,$AF88),1),IF($AG88&gt;0,INDEX(DX$7:DX$106,$AG88),1),IF($AH88&gt;0,INDEX(DX$7:DX$106,$AH88),1),IF($AI88&gt;0,INDEX(DX$7:DX$106,$AI88),1),IF($AJ88&gt;0,INDEX(DX$7:DX$106,$AJ88),1))))</ns0:f>
        <ns0:v>1</ns0:v>
      </ns0:c>
      <ns0:c r="DZ88" t="n">
        <ns0:f>IF($A88="",1,IF(DY88=1,1,--AND(IF($AC88&gt;0,INDEX(DY$7:DY$106,$AC88),1),IF($AD88&gt;0,INDEX(DY$7:DY$106,$AD88),1),IF($AE88&gt;0,INDEX(DY$7:DY$106,$AE88),1),IF($AF88&gt;0,INDEX(DY$7:DY$106,$AF88),1),IF($AG88&gt;0,INDEX(DY$7:DY$106,$AG88),1),IF($AH88&gt;0,INDEX(DY$7:DY$106,$AH88),1),IF($AI88&gt;0,INDEX(DY$7:DY$106,$AI88),1),IF($AJ88&gt;0,INDEX(DY$7:DY$106,$AJ88),1))))</ns0:f>
        <ns0:v>1</ns0:v>
      </ns0:c>
      <ns0:c r="EA88" t="n">
        <ns0:f>IF($A88="",1,IF(DZ88=1,1,--AND(IF($AC88&gt;0,INDEX(DZ$7:DZ$106,$AC88),1),IF($AD88&gt;0,INDEX(DZ$7:DZ$106,$AD88),1),IF($AE88&gt;0,INDEX(DZ$7:DZ$106,$AE88),1),IF($AF88&gt;0,INDEX(DZ$7:DZ$106,$AF88),1),IF($AG88&gt;0,INDEX(DZ$7:DZ$106,$AG88),1),IF($AH88&gt;0,INDEX(DZ$7:DZ$106,$AH88),1),IF($AI88&gt;0,INDEX(DZ$7:DZ$106,$AI88),1),IF($AJ88&gt;0,INDEX(DZ$7:DZ$106,$AJ88),1))))</ns0:f>
        <ns0:v>1</ns0:v>
      </ns0:c>
      <ns0:c r="EB88" t="n">
        <ns0:f>IF($A88="",1,IF(EA88=1,1,--AND(IF($AC88&gt;0,INDEX(EA$7:EA$106,$AC88),1),IF($AD88&gt;0,INDEX(EA$7:EA$106,$AD88),1),IF($AE88&gt;0,INDEX(EA$7:EA$106,$AE88),1),IF($AF88&gt;0,INDEX(EA$7:EA$106,$AF88),1),IF($AG88&gt;0,INDEX(EA$7:EA$106,$AG88),1),IF($AH88&gt;0,INDEX(EA$7:EA$106,$AH88),1),IF($AI88&gt;0,INDEX(EA$7:EA$106,$AI88),1),IF($AJ88&gt;0,INDEX(EA$7:EA$106,$AJ88),1))))</ns0:f>
        <ns0:v>1</ns0:v>
      </ns0:c>
      <ns0:c r="EC88" t="n">
        <ns0:f>IF($A88="",1,IF(EB88=1,1,--AND(IF($AC88&gt;0,INDEX(EB$7:EB$106,$AC88),1),IF($AD88&gt;0,INDEX(EB$7:EB$106,$AD88),1),IF($AE88&gt;0,INDEX(EB$7:EB$106,$AE88),1),IF($AF88&gt;0,INDEX(EB$7:EB$106,$AF88),1),IF($AG88&gt;0,INDEX(EB$7:EB$106,$AG88),1),IF($AH88&gt;0,INDEX(EB$7:EB$106,$AH88),1),IF($AI88&gt;0,INDEX(EB$7:EB$106,$AI88),1),IF($AJ88&gt;0,INDEX(EB$7:EB$106,$AJ88),1))))</ns0:f>
        <ns0:v>1</ns0:v>
      </ns0:c>
      <ns0:c r="ED88" t="n">
        <ns0:f>IF($A88="",1,IF(EC88=1,1,--AND(IF($AC88&gt;0,INDEX(EC$7:EC$106,$AC88),1),IF($AD88&gt;0,INDEX(EC$7:EC$106,$AD88),1),IF($AE88&gt;0,INDEX(EC$7:EC$106,$AE88),1),IF($AF88&gt;0,INDEX(EC$7:EC$106,$AF88),1),IF($AG88&gt;0,INDEX(EC$7:EC$106,$AG88),1),IF($AH88&gt;0,INDEX(EC$7:EC$106,$AH88),1),IF($AI88&gt;0,INDEX(EC$7:EC$106,$AI88),1),IF($AJ88&gt;0,INDEX(EC$7:EC$106,$AJ88),1))))</ns0:f>
        <ns0:v>1</ns0:v>
      </ns0:c>
      <ns0:c r="EE88" t="n">
        <ns0:f>IF($A88="",1,IF(ED88=1,1,--AND(IF($AC88&gt;0,INDEX(ED$7:ED$106,$AC88),1),IF($AD88&gt;0,INDEX(ED$7:ED$106,$AD88),1),IF($AE88&gt;0,INDEX(ED$7:ED$106,$AE88),1),IF($AF88&gt;0,INDEX(ED$7:ED$106,$AF88),1),IF($AG88&gt;0,INDEX(ED$7:ED$106,$AG88),1),IF($AH88&gt;0,INDEX(ED$7:ED$106,$AH88),1),IF($AI88&gt;0,INDEX(ED$7:ED$106,$AI88),1),IF($AJ88&gt;0,INDEX(ED$7:ED$106,$AJ88),1))))</ns0:f>
        <ns0:v>1</ns0:v>
      </ns0:c>
      <ns0:c r="EF88" t="n">
        <ns0:f>IF($A88="",1,IF(EE88=1,1,--AND(IF($AC88&gt;0,INDEX(EE$7:EE$106,$AC88),1),IF($AD88&gt;0,INDEX(EE$7:EE$106,$AD88),1),IF($AE88&gt;0,INDEX(EE$7:EE$106,$AE88),1),IF($AF88&gt;0,INDEX(EE$7:EE$106,$AF88),1),IF($AG88&gt;0,INDEX(EE$7:EE$106,$AG88),1),IF($AH88&gt;0,INDEX(EE$7:EE$106,$AH88),1),IF($AI88&gt;0,INDEX(EE$7:EE$106,$AI88),1),IF($AJ88&gt;0,INDEX(EE$7:EE$106,$AJ88),1))))</ns0:f>
        <ns0:v>1</ns0:v>
      </ns0:c>
      <ns0:c r="EG88" t="n">
        <ns0:f>IF($A88="",1,IF(EF88=1,1,--AND(IF($AC88&gt;0,INDEX(EF$7:EF$106,$AC88),1),IF($AD88&gt;0,INDEX(EF$7:EF$106,$AD88),1),IF($AE88&gt;0,INDEX(EF$7:EF$106,$AE88),1),IF($AF88&gt;0,INDEX(EF$7:EF$106,$AF88),1),IF($AG88&gt;0,INDEX(EF$7:EF$106,$AG88),1),IF($AH88&gt;0,INDEX(EF$7:EF$106,$AH88),1),IF($AI88&gt;0,INDEX(EF$7:EF$106,$AI88),1),IF($AJ88&gt;0,INDEX(EF$7:EF$106,$AJ88),1))))</ns0:f>
        <ns0:v>1</ns0:v>
      </ns0:c>
      <ns0:c r="EH88" t="n">
        <ns0:f>IF($A88="",1,IF(EG88=1,1,--AND(IF($AC88&gt;0,INDEX(EG$7:EG$106,$AC88),1),IF($AD88&gt;0,INDEX(EG$7:EG$106,$AD88),1),IF($AE88&gt;0,INDEX(EG$7:EG$106,$AE88),1),IF($AF88&gt;0,INDEX(EG$7:EG$106,$AF88),1),IF($AG88&gt;0,INDEX(EG$7:EG$106,$AG88),1),IF($AH88&gt;0,INDEX(EG$7:EG$106,$AH88),1),IF($AI88&gt;0,INDEX(EG$7:EG$106,$AI88),1),IF($AJ88&gt;0,INDEX(EG$7:EG$106,$AJ88),1))))</ns0:f>
        <ns0:v>1</ns0:v>
      </ns0:c>
      <ns0:c r="EI88" t="n">
        <ns0:f>IF($A88="",1,IF(EH88=1,1,--AND(IF($AC88&gt;0,INDEX(EH$7:EH$106,$AC88),1),IF($AD88&gt;0,INDEX(EH$7:EH$106,$AD88),1),IF($AE88&gt;0,INDEX(EH$7:EH$106,$AE88),1),IF($AF88&gt;0,INDEX(EH$7:EH$106,$AF88),1),IF($AG88&gt;0,INDEX(EH$7:EH$106,$AG88),1),IF($AH88&gt;0,INDEX(EH$7:EH$106,$AH88),1),IF($AI88&gt;0,INDEX(EH$7:EH$106,$AI88),1),IF($AJ88&gt;0,INDEX(EH$7:EH$106,$AJ88),1))))</ns0:f>
        <ns0:v>1</ns0:v>
      </ns0:c>
      <ns0:c r="EJ88" t="n">
        <ns0:f>IF($A88="",1,IF(EI88=1,1,--AND(IF($AC88&gt;0,INDEX(EI$7:EI$106,$AC88),1),IF($AD88&gt;0,INDEX(EI$7:EI$106,$AD88),1),IF($AE88&gt;0,INDEX(EI$7:EI$106,$AE88),1),IF($AF88&gt;0,INDEX(EI$7:EI$106,$AF88),1),IF($AG88&gt;0,INDEX(EI$7:EI$106,$AG88),1),IF($AH88&gt;0,INDEX(EI$7:EI$106,$AH88),1),IF($AI88&gt;0,INDEX(EI$7:EI$106,$AI88),1),IF($AJ88&gt;0,INDEX(EI$7:EI$106,$AJ88),1))))</ns0:f>
        <ns0:v>1</ns0:v>
      </ns0:c>
      <ns0:c r="EK88" t="n">
        <ns0:f>IF($A88="",1,IF(EJ88=1,1,--AND(IF($AC88&gt;0,INDEX(EJ$7:EJ$106,$AC88),1),IF($AD88&gt;0,INDEX(EJ$7:EJ$106,$AD88),1),IF($AE88&gt;0,INDEX(EJ$7:EJ$106,$AE88),1),IF($AF88&gt;0,INDEX(EJ$7:EJ$106,$AF88),1),IF($AG88&gt;0,INDEX(EJ$7:EJ$106,$AG88),1),IF($AH88&gt;0,INDEX(EJ$7:EJ$106,$AH88),1),IF($AI88&gt;0,INDEX(EJ$7:EJ$106,$AI88),1),IF($AJ88&gt;0,INDEX(EJ$7:EJ$106,$AJ88),1))))</ns0:f>
        <ns0:v>1</ns0:v>
      </ns0:c>
      <ns0:c r="EL88" t="n">
        <ns0:f>IF($A88="",1,IF(EK88=1,1,--AND(IF($AC88&gt;0,INDEX(EK$7:EK$106,$AC88),1),IF($AD88&gt;0,INDEX(EK$7:EK$106,$AD88),1),IF($AE88&gt;0,INDEX(EK$7:EK$106,$AE88),1),IF($AF88&gt;0,INDEX(EK$7:EK$106,$AF88),1),IF($AG88&gt;0,INDEX(EK$7:EK$106,$AG88),1),IF($AH88&gt;0,INDEX(EK$7:EK$106,$AH88),1),IF($AI88&gt;0,INDEX(EK$7:EK$106,$AI88),1),IF($AJ88&gt;0,INDEX(EK$7:EK$106,$AJ88),1))))</ns0:f>
        <ns0:v>1</ns0:v>
      </ns0:c>
      <ns0:c r="EM88" t="n">
        <ns0:f>IF($A88="",1,IF(EL88=1,1,--AND(IF($AC88&gt;0,INDEX(EL$7:EL$106,$AC88),1),IF($AD88&gt;0,INDEX(EL$7:EL$106,$AD88),1),IF($AE88&gt;0,INDEX(EL$7:EL$106,$AE88),1),IF($AF88&gt;0,INDEX(EL$7:EL$106,$AF88),1),IF($AG88&gt;0,INDEX(EL$7:EL$106,$AG88),1),IF($AH88&gt;0,INDEX(EL$7:EL$106,$AH88),1),IF($AI88&gt;0,INDEX(EL$7:EL$106,$AI88),1),IF($AJ88&gt;0,INDEX(EL$7:EL$106,$AJ88),1))))</ns0:f>
        <ns0:v>1</ns0:v>
      </ns0:c>
      <ns0:c r="EN88" t="n">
        <ns0:f>IF($A88="",1,IF(EM88=1,1,--AND(IF($AC88&gt;0,INDEX(EM$7:EM$106,$AC88),1),IF($AD88&gt;0,INDEX(EM$7:EM$106,$AD88),1),IF($AE88&gt;0,INDEX(EM$7:EM$106,$AE88),1),IF($AF88&gt;0,INDEX(EM$7:EM$106,$AF88),1),IF($AG88&gt;0,INDEX(EM$7:EM$106,$AG88),1),IF($AH88&gt;0,INDEX(EM$7:EM$106,$AH88),1),IF($AI88&gt;0,INDEX(EM$7:EM$106,$AI88),1),IF($AJ88&gt;0,INDEX(EM$7:EM$106,$AJ88),1))))</ns0:f>
        <ns0:v>1</ns0:v>
      </ns0:c>
      <ns0:c r="EO88" t="n">
        <ns0:f>IF($A88="",1,IF(EN88=1,1,--AND(IF($AC88&gt;0,INDEX(EN$7:EN$106,$AC88),1),IF($AD88&gt;0,INDEX(EN$7:EN$106,$AD88),1),IF($AE88&gt;0,INDEX(EN$7:EN$106,$AE88),1),IF($AF88&gt;0,INDEX(EN$7:EN$106,$AF88),1),IF($AG88&gt;0,INDEX(EN$7:EN$106,$AG88),1),IF($AH88&gt;0,INDEX(EN$7:EN$106,$AH88),1),IF($AI88&gt;0,INDEX(EN$7:EN$106,$AI88),1),IF($AJ88&gt;0,INDEX(EN$7:EN$106,$AJ88),1))))</ns0:f>
        <ns0:v>1</ns0:v>
      </ns0:c>
      <ns0:c r="EP88" t="n">
        <ns0:f>IF($A88="",1,IF(EO88=1,1,--AND(IF($AC88&gt;0,INDEX(EO$7:EO$106,$AC88),1),IF($AD88&gt;0,INDEX(EO$7:EO$106,$AD88),1),IF($AE88&gt;0,INDEX(EO$7:EO$106,$AE88),1),IF($AF88&gt;0,INDEX(EO$7:EO$106,$AF88),1),IF($AG88&gt;0,INDEX(EO$7:EO$106,$AG88),1),IF($AH88&gt;0,INDEX(EO$7:EO$106,$AH88),1),IF($AI88&gt;0,INDEX(EO$7:EO$106,$AI88),1),IF($AJ88&gt;0,INDEX(EO$7:EO$106,$AJ88),1))))</ns0:f>
        <ns0:v>1</ns0:v>
      </ns0:c>
      <ns0:c r="EQ88" t="n">
        <ns0:f>IF(OR(A88="",NOT(ISNUMBER(G88))),0,G88*N88)</ns0:f>
        <ns0:v>0</ns0:v>
      </ns0:c>
    </ns0:row>
    <ns0:row r="89" ht="62" customHeight="1">
      <ns0:c r="A89" s="48"/>
      <ns0:c r="B89" s="48"/>
      <ns0:c r="C89" s="48"/>
      <ns0:c r="D89" s="48"/>
      <ns0:c r="E89" s="49"/>
      <ns0:c r="F89" s="49"/>
      <ns0:c r="G89" s="13" t="str">
        <ns0:f>IF(A89="","",IF(OR(NOT(ISNUMBER(E89)),NOT(ISNUMBER(F89)),F89&lt;E89),"",IF(J89="Yes",0,F89-E89+1)))</ns0:f>
      </ns0:c>
      <ns0:c r="H89" s="48"/>
      <ns0:c r="I89" s="48"/>
      <ns0:c r="J89" s="48"/>
      <ns0:c r="K89" s="48"/>
      <ns0:c r="L89" s="48"/>
      <ns0:c r="M89" s="50" t="str">
        <ns0:f>IF(A89="","",IF(N89=1,"Completed",IF(N89&gt;0,"In Progress","Not Started")))</ns0:f>
      </ns0:c>
      <ns0:c r="N89" s="51"/>
      <ns0:c r="O89" s="13" t="str">
        <ns0:f>IF(A89="","",IF(R89&lt;&gt;"","[CONFLICT] "&amp;R89,IF(S89&lt;&gt;"","[CONFLICT] "&amp;S89,IF(OR(NOT(ISNUMBER(N89)),N89&lt;0,N89&gt;1),"[CONFLICT] Invalid progress",IF(AK89&gt;0,"[DEPENDENCY ISSUE] Missing ID / &gt;8 links",IF(AM89&gt;0,"[DEPENDENCY ISSUE] Cycle or blocked by cycle",IF(AND(H89&lt;&gt;"",ISNA(MATCH(I89,{"FS","SS","FF","SF"},0))),"[DEPENDENCY ISSUE] Invalid type",IF(AL89&gt;0,"[DEPENDENCY ISSUE] Timing conflict",IF(OR(E89&lt;ProjectStart,F89&gt;ProjectEnd),"[OUTSIDE WINDOW]",IF(AND(N89&lt;1,F89&lt;AsOfDate),"Overdue",IF(AND(M89&lt;&gt;Q89,M89&lt;&gt;""),"[CONFLICT] Status / progress","On track")))))))))))</ns0:f>
      </ns0:c>
      <ns0:c r="P89" s="52"/>
      <ns0:c r="Q89" t="str">
        <ns0:f>IF(A89="","",IF(OR(M89="On Hold",M89="Delayed"),M89,IF(N89=1,"Completed",IF(N89&gt;0,"In Progress","Not Started"))))</ns0:f>
      </ns0:c>
      <ns0:c r="R89" t="str">
        <ns0:f>IF(A89="","",IF(COUNTIFS(Tasks[Task ID],A89)&lt;&gt;1,"Duplicate ID",""))</ns0:f>
      </ns0:c>
      <ns0:c r="S89" t="str">
        <ns0:f>IF(A89="","",IF(OR(NOT(ISNUMBER(E89)),NOT(ISNUMBER(F89))),"Invalid / missing date",IF(OR(E89&lt;&gt;INT(E89),F89&lt;&gt;INT(F89),E89&lt;1,F89&gt;2958465),"Invalid date",IF(F89&lt;E89,"End before start",IF(AND(J89="Yes",E89&lt;&gt;F89),"Milestone needs one date","")))))</ns0:f>
      </ns0:c>
      <ns0:c r="T89" t="n">
        <ns0:f>IF(H89="",0,LEN(H89)-LEN(SUBSTITUTE(H89,",",""))+1)</ns0:f>
        <ns0:v>0</ns0:v>
      </ns0:c>
      <ns0:c r="U89" t="str">
        <ns0:f>TRIM(MID(SUBSTITUTE($H89,",",REPT(" ",100)),1,100))</ns0:f>
      </ns0:c>
      <ns0:c r="V89" t="str">
        <ns0:f>TRIM(MID(SUBSTITUTE($H89,",",REPT(" ",100)),101,100))</ns0:f>
      </ns0:c>
      <ns0:c r="W89" t="str">
        <ns0:f>TRIM(MID(SUBSTITUTE($H89,",",REPT(" ",100)),201,100))</ns0:f>
      </ns0:c>
      <ns0:c r="X89" t="str">
        <ns0:f>TRIM(MID(SUBSTITUTE($H89,",",REPT(" ",100)),301,100))</ns0:f>
      </ns0:c>
      <ns0:c r="Y89" t="str">
        <ns0:f>TRIM(MID(SUBSTITUTE($H89,",",REPT(" ",100)),401,100))</ns0:f>
      </ns0:c>
      <ns0:c r="Z89" t="str">
        <ns0:f>TRIM(MID(SUBSTITUTE($H89,",",REPT(" ",100)),501,100))</ns0:f>
      </ns0:c>
      <ns0:c r="AA89" t="str">
        <ns0:f>TRIM(MID(SUBSTITUTE($H89,",",REPT(" ",100)),601,100))</ns0:f>
      </ns0:c>
      <ns0:c r="AB89" t="str">
        <ns0:f>TRIM(MID(SUBSTITUTE($H89,",",REPT(" ",100)),701,100))</ns0:f>
      </ns0:c>
      <ns0:c r="AC89" t="n">
        <ns0:f>IF(U89="",0,IF(COUNTIFS(Tasks[Task ID],U89)=1,MATCH(U89,Tasks[Task ID],0),-1))</ns0:f>
        <ns0:v>0</ns0:v>
      </ns0:c>
      <ns0:c r="AD89" t="n">
        <ns0:f>IF(V89="",0,IF(COUNTIFS(Tasks[Task ID],V89)=1,MATCH(V89,Tasks[Task ID],0),-1))</ns0:f>
        <ns0:v>0</ns0:v>
      </ns0:c>
      <ns0:c r="AE89" t="n">
        <ns0:f>IF(W89="",0,IF(COUNTIFS(Tasks[Task ID],W89)=1,MATCH(W89,Tasks[Task ID],0),-1))</ns0:f>
        <ns0:v>0</ns0:v>
      </ns0:c>
      <ns0:c r="AF89" t="n">
        <ns0:f>IF(X89="",0,IF(COUNTIFS(Tasks[Task ID],X89)=1,MATCH(X89,Tasks[Task ID],0),-1))</ns0:f>
        <ns0:v>0</ns0:v>
      </ns0:c>
      <ns0:c r="AG89" t="n">
        <ns0:f>IF(Y89="",0,IF(COUNTIFS(Tasks[Task ID],Y89)=1,MATCH(Y89,Tasks[Task ID],0),-1))</ns0:f>
        <ns0:v>0</ns0:v>
      </ns0:c>
      <ns0:c r="AH89" t="n">
        <ns0:f>IF(Z89="",0,IF(COUNTIFS(Tasks[Task ID],Z89)=1,MATCH(Z89,Tasks[Task ID],0),-1))</ns0:f>
        <ns0:v>0</ns0:v>
      </ns0:c>
      <ns0:c r="AI89" t="n">
        <ns0:f>IF(AA89="",0,IF(COUNTIFS(Tasks[Task ID],AA89)=1,MATCH(AA89,Tasks[Task ID],0),-1))</ns0:f>
        <ns0:v>0</ns0:v>
      </ns0:c>
      <ns0:c r="AJ89" t="n">
        <ns0:f>IF(AB89="",0,IF(COUNTIFS(Tasks[Task ID],AB89)=1,MATCH(AB89,Tasks[Task ID],0),-1))</ns0:f>
        <ns0:v>0</ns0:v>
      </ns0:c>
      <ns0:c r="AK89" t="n">
        <ns0:f>COUNTIFS(AC89:AJ89,-1)+IF(T89&gt;8,1,0)</ns0:f>
        <ns0:v>0</ns0:v>
      </ns0:c>
      <ns0:c r="AL89" t="n">
        <ns0:f>IF(OR(A89="",S89&lt;&gt;""),0,SUM(IF(AC89&gt;0,IF($I89="FS",--($E89&lt;INDEX(Tasks[End Date],AC89)+IF(INDEX(Tasks[Milestone],AC89)="Yes",0,1)),IF($I89="SS",--($E89&lt;INDEX(Tasks[Start Date],AC89)),IF($I89="FF",--($F89&lt;INDEX(Tasks[End Date],AC89)),IF($I89="SF",--($F89&lt;INDEX(Tasks[Start Date],AC89)),0)))),0),IF(AD89&gt;0,IF($I89="FS",--($E89&lt;INDEX(Tasks[End Date],AD89)+IF(INDEX(Tasks[Milestone],AD89)="Yes",0,1)),IF($I89="SS",--($E89&lt;INDEX(Tasks[Start Date],AD89)),IF($I89="FF",--($F89&lt;INDEX(Tasks[End Date],AD89)),IF($I89="SF",--($F89&lt;INDEX(Tasks[Start Date],AD89)),0)))),0),IF(AE89&gt;0,IF($I89="FS",--($E89&lt;INDEX(Tasks[End Date],AE89)+IF(INDEX(Tasks[Milestone],AE89)="Yes",0,1)),IF($I89="SS",--($E89&lt;INDEX(Tasks[Start Date],AE89)),IF($I89="FF",--($F89&lt;INDEX(Tasks[End Date],AE89)),IF($I89="SF",--($F89&lt;INDEX(Tasks[Start Date],AE89)),0)))),0),IF(AF89&gt;0,IF($I89="FS",--($E89&lt;INDEX(Tasks[End Date],AF89)+IF(INDEX(Tasks[Milestone],AF89)="Yes",0,1)),IF($I89="SS",--($E89&lt;INDEX(Tasks[Start Date],AF89)),IF($I89="FF",--($F89&lt;INDEX(Tasks[End Date],AF89)),IF($I89="SF",--($F89&lt;INDEX(Tasks[Start Date],AF89)),0)))),0),IF(AG89&gt;0,IF($I89="FS",--($E89&lt;INDEX(Tasks[End Date],AG89)+IF(INDEX(Tasks[Milestone],AG89)="Yes",0,1)),IF($I89="SS",--($E89&lt;INDEX(Tasks[Start Date],AG89)),IF($I89="FF",--($F89&lt;INDEX(Tasks[End Date],AG89)),IF($I89="SF",--($F89&lt;INDEX(Tasks[Start Date],AG89)),0)))),0),IF(AH89&gt;0,IF($I89="FS",--($E89&lt;INDEX(Tasks[End Date],AH89)+IF(INDEX(Tasks[Milestone],AH89)="Yes",0,1)),IF($I89="SS",--($E89&lt;INDEX(Tasks[Start Date],AH89)),IF($I89="FF",--($F89&lt;INDEX(Tasks[End Date],AH89)),IF($I89="SF",--($F89&lt;INDEX(Tasks[Start Date],AH89)),0)))),0),IF(AI89&gt;0,IF($I89="FS",--($E89&lt;INDEX(Tasks[End Date],AI89)+IF(INDEX(Tasks[Milestone],AI89)="Yes",0,1)),IF($I89="SS",--($E89&lt;INDEX(Tasks[Start Date],AI89)),IF($I89="FF",--($F89&lt;INDEX(Tasks[End Date],AI89)),IF($I89="SF",--($F89&lt;INDEX(Tasks[Start Date],AI89)),0)))),0),IF(AJ89&gt;0,IF($I89="FS",--($E89&lt;INDEX(Tasks[End Date],AJ89)+IF(INDEX(Tasks[Milestone],AJ89)="Yes",0,1)),IF($I89="SS",--($E89&lt;INDEX(Tasks[Start Date],AJ89)),IF($I89="FF",--($F89&lt;INDEX(Tasks[End Date],AJ89)),IF($I89="SF",--($F89&lt;INDEX(Tasks[Start Date],AJ89)),0)))),0)))</ns0:f>
        <ns0:v>0</ns0:v>
      </ns0:c>
      <ns0:c r="AM89" t="n">
        <ns0:f>IF(AND(A89&lt;&gt;"",AK89=0,EP89=0),1,0)</ns0:f>
        <ns0:v>0</ns0:v>
      </ns0:c>
      <ns0:c r="AN89" t="str">
        <ns0:f>IF(OR(A89="",B89=""),"",IF(COUNTIFS($B$7:B89,B89)=1,MAX($AN$6:AN88)+1,""))</ns0:f>
      </ns0:c>
      <ns0:c r="AO89" t="n">
        <ns0:f>IF(AND(A89&lt;&gt;"",J89="No",N89&lt;1,E89&gt;=AsOfDate),E89+ROW()/10000,1E+9)</ns0:f>
        <ns0:v>1000000000</ns0:v>
      </ns0:c>
      <ns0:c r="AP89" t="n">
        <ns0:f>IF(AND(A89&lt;&gt;"",J89="Yes",N89&lt;1,E89&gt;=AsOfDate),E89+ROW()/10000,1E+9)</ns0:f>
        <ns0:v>1000000000</ns0:v>
      </ns0:c>
      <ns0:c r="AQ89" t="n">
        <ns0:f>IF(AND(A89&lt;&gt;"",J89="No",N89&lt;1,F89&gt;=AsOfDate,F89&lt;=AsOfDate+7),F89+ROW()/10000,1E+9)</ns0:f>
        <ns0:v>1000000000</ns0:v>
      </ns0:c>
      <ns0:c r="AR89" t="n">
        <ns0:f>IF(AND(A89&lt;&gt;"",OR(O89&lt;&gt;"On track",Q89="Delayed")),ROW(),1E+9)</ns0:f>
        <ns0:v>1000000000</ns0:v>
      </ns0:c>
      <ns0:c r="AS89" t="str">
        <ns0:f>IF(A89="","",";"&amp;K89&amp;";")</ns0:f>
      </ns0:c>
      <ns0:c r="AT89" t="n">
        <ns0:f>IF(A89="",1,--(T89=0))</ns0:f>
        <ns0:v>1</ns0:v>
      </ns0:c>
      <ns0:c r="AU89" t="n">
        <ns0:f>IF($A89="",1,IF(AT89=1,1,--AND(IF($AC89&gt;0,INDEX(AT$7:AT$106,$AC89),1),IF($AD89&gt;0,INDEX(AT$7:AT$106,$AD89),1),IF($AE89&gt;0,INDEX(AT$7:AT$106,$AE89),1),IF($AF89&gt;0,INDEX(AT$7:AT$106,$AF89),1),IF($AG89&gt;0,INDEX(AT$7:AT$106,$AG89),1),IF($AH89&gt;0,INDEX(AT$7:AT$106,$AH89),1),IF($AI89&gt;0,INDEX(AT$7:AT$106,$AI89),1),IF($AJ89&gt;0,INDEX(AT$7:AT$106,$AJ89),1))))</ns0:f>
        <ns0:v>1</ns0:v>
      </ns0:c>
      <ns0:c r="AV89" t="n">
        <ns0:f>IF($A89="",1,IF(AU89=1,1,--AND(IF($AC89&gt;0,INDEX(AU$7:AU$106,$AC89),1),IF($AD89&gt;0,INDEX(AU$7:AU$106,$AD89),1),IF($AE89&gt;0,INDEX(AU$7:AU$106,$AE89),1),IF($AF89&gt;0,INDEX(AU$7:AU$106,$AF89),1),IF($AG89&gt;0,INDEX(AU$7:AU$106,$AG89),1),IF($AH89&gt;0,INDEX(AU$7:AU$106,$AH89),1),IF($AI89&gt;0,INDEX(AU$7:AU$106,$AI89),1),IF($AJ89&gt;0,INDEX(AU$7:AU$106,$AJ89),1))))</ns0:f>
        <ns0:v>1</ns0:v>
      </ns0:c>
      <ns0:c r="AW89" t="n">
        <ns0:f>IF($A89="",1,IF(AV89=1,1,--AND(IF($AC89&gt;0,INDEX(AV$7:AV$106,$AC89),1),IF($AD89&gt;0,INDEX(AV$7:AV$106,$AD89),1),IF($AE89&gt;0,INDEX(AV$7:AV$106,$AE89),1),IF($AF89&gt;0,INDEX(AV$7:AV$106,$AF89),1),IF($AG89&gt;0,INDEX(AV$7:AV$106,$AG89),1),IF($AH89&gt;0,INDEX(AV$7:AV$106,$AH89),1),IF($AI89&gt;0,INDEX(AV$7:AV$106,$AI89),1),IF($AJ89&gt;0,INDEX(AV$7:AV$106,$AJ89),1))))</ns0:f>
        <ns0:v>1</ns0:v>
      </ns0:c>
      <ns0:c r="AX89" t="n">
        <ns0:f>IF($A89="",1,IF(AW89=1,1,--AND(IF($AC89&gt;0,INDEX(AW$7:AW$106,$AC89),1),IF($AD89&gt;0,INDEX(AW$7:AW$106,$AD89),1),IF($AE89&gt;0,INDEX(AW$7:AW$106,$AE89),1),IF($AF89&gt;0,INDEX(AW$7:AW$106,$AF89),1),IF($AG89&gt;0,INDEX(AW$7:AW$106,$AG89),1),IF($AH89&gt;0,INDEX(AW$7:AW$106,$AH89),1),IF($AI89&gt;0,INDEX(AW$7:AW$106,$AI89),1),IF($AJ89&gt;0,INDEX(AW$7:AW$106,$AJ89),1))))</ns0:f>
        <ns0:v>1</ns0:v>
      </ns0:c>
      <ns0:c r="AY89" t="n">
        <ns0:f>IF($A89="",1,IF(AX89=1,1,--AND(IF($AC89&gt;0,INDEX(AX$7:AX$106,$AC89),1),IF($AD89&gt;0,INDEX(AX$7:AX$106,$AD89),1),IF($AE89&gt;0,INDEX(AX$7:AX$106,$AE89),1),IF($AF89&gt;0,INDEX(AX$7:AX$106,$AF89),1),IF($AG89&gt;0,INDEX(AX$7:AX$106,$AG89),1),IF($AH89&gt;0,INDEX(AX$7:AX$106,$AH89),1),IF($AI89&gt;0,INDEX(AX$7:AX$106,$AI89),1),IF($AJ89&gt;0,INDEX(AX$7:AX$106,$AJ89),1))))</ns0:f>
        <ns0:v>1</ns0:v>
      </ns0:c>
      <ns0:c r="AZ89" t="n">
        <ns0:f>IF($A89="",1,IF(AY89=1,1,--AND(IF($AC89&gt;0,INDEX(AY$7:AY$106,$AC89),1),IF($AD89&gt;0,INDEX(AY$7:AY$106,$AD89),1),IF($AE89&gt;0,INDEX(AY$7:AY$106,$AE89),1),IF($AF89&gt;0,INDEX(AY$7:AY$106,$AF89),1),IF($AG89&gt;0,INDEX(AY$7:AY$106,$AG89),1),IF($AH89&gt;0,INDEX(AY$7:AY$106,$AH89),1),IF($AI89&gt;0,INDEX(AY$7:AY$106,$AI89),1),IF($AJ89&gt;0,INDEX(AY$7:AY$106,$AJ89),1))))</ns0:f>
        <ns0:v>1</ns0:v>
      </ns0:c>
      <ns0:c r="BA89" t="n">
        <ns0:f>IF($A89="",1,IF(AZ89=1,1,--AND(IF($AC89&gt;0,INDEX(AZ$7:AZ$106,$AC89),1),IF($AD89&gt;0,INDEX(AZ$7:AZ$106,$AD89),1),IF($AE89&gt;0,INDEX(AZ$7:AZ$106,$AE89),1),IF($AF89&gt;0,INDEX(AZ$7:AZ$106,$AF89),1),IF($AG89&gt;0,INDEX(AZ$7:AZ$106,$AG89),1),IF($AH89&gt;0,INDEX(AZ$7:AZ$106,$AH89),1),IF($AI89&gt;0,INDEX(AZ$7:AZ$106,$AI89),1),IF($AJ89&gt;0,INDEX(AZ$7:AZ$106,$AJ89),1))))</ns0:f>
        <ns0:v>1</ns0:v>
      </ns0:c>
      <ns0:c r="BB89" t="n">
        <ns0:f>IF($A89="",1,IF(BA89=1,1,--AND(IF($AC89&gt;0,INDEX(BA$7:BA$106,$AC89),1),IF($AD89&gt;0,INDEX(BA$7:BA$106,$AD89),1),IF($AE89&gt;0,INDEX(BA$7:BA$106,$AE89),1),IF($AF89&gt;0,INDEX(BA$7:BA$106,$AF89),1),IF($AG89&gt;0,INDEX(BA$7:BA$106,$AG89),1),IF($AH89&gt;0,INDEX(BA$7:BA$106,$AH89),1),IF($AI89&gt;0,INDEX(BA$7:BA$106,$AI89),1),IF($AJ89&gt;0,INDEX(BA$7:BA$106,$AJ89),1))))</ns0:f>
        <ns0:v>1</ns0:v>
      </ns0:c>
      <ns0:c r="BC89" t="n">
        <ns0:f>IF($A89="",1,IF(BB89=1,1,--AND(IF($AC89&gt;0,INDEX(BB$7:BB$106,$AC89),1),IF($AD89&gt;0,INDEX(BB$7:BB$106,$AD89),1),IF($AE89&gt;0,INDEX(BB$7:BB$106,$AE89),1),IF($AF89&gt;0,INDEX(BB$7:BB$106,$AF89),1),IF($AG89&gt;0,INDEX(BB$7:BB$106,$AG89),1),IF($AH89&gt;0,INDEX(BB$7:BB$106,$AH89),1),IF($AI89&gt;0,INDEX(BB$7:BB$106,$AI89),1),IF($AJ89&gt;0,INDEX(BB$7:BB$106,$AJ89),1))))</ns0:f>
        <ns0:v>1</ns0:v>
      </ns0:c>
      <ns0:c r="BD89" t="n">
        <ns0:f>IF($A89="",1,IF(BC89=1,1,--AND(IF($AC89&gt;0,INDEX(BC$7:BC$106,$AC89),1),IF($AD89&gt;0,INDEX(BC$7:BC$106,$AD89),1),IF($AE89&gt;0,INDEX(BC$7:BC$106,$AE89),1),IF($AF89&gt;0,INDEX(BC$7:BC$106,$AF89),1),IF($AG89&gt;0,INDEX(BC$7:BC$106,$AG89),1),IF($AH89&gt;0,INDEX(BC$7:BC$106,$AH89),1),IF($AI89&gt;0,INDEX(BC$7:BC$106,$AI89),1),IF($AJ89&gt;0,INDEX(BC$7:BC$106,$AJ89),1))))</ns0:f>
        <ns0:v>1</ns0:v>
      </ns0:c>
      <ns0:c r="BE89" t="n">
        <ns0:f>IF($A89="",1,IF(BD89=1,1,--AND(IF($AC89&gt;0,INDEX(BD$7:BD$106,$AC89),1),IF($AD89&gt;0,INDEX(BD$7:BD$106,$AD89),1),IF($AE89&gt;0,INDEX(BD$7:BD$106,$AE89),1),IF($AF89&gt;0,INDEX(BD$7:BD$106,$AF89),1),IF($AG89&gt;0,INDEX(BD$7:BD$106,$AG89),1),IF($AH89&gt;0,INDEX(BD$7:BD$106,$AH89),1),IF($AI89&gt;0,INDEX(BD$7:BD$106,$AI89),1),IF($AJ89&gt;0,INDEX(BD$7:BD$106,$AJ89),1))))</ns0:f>
        <ns0:v>1</ns0:v>
      </ns0:c>
      <ns0:c r="BF89" t="n">
        <ns0:f>IF($A89="",1,IF(BE89=1,1,--AND(IF($AC89&gt;0,INDEX(BE$7:BE$106,$AC89),1),IF($AD89&gt;0,INDEX(BE$7:BE$106,$AD89),1),IF($AE89&gt;0,INDEX(BE$7:BE$106,$AE89),1),IF($AF89&gt;0,INDEX(BE$7:BE$106,$AF89),1),IF($AG89&gt;0,INDEX(BE$7:BE$106,$AG89),1),IF($AH89&gt;0,INDEX(BE$7:BE$106,$AH89),1),IF($AI89&gt;0,INDEX(BE$7:BE$106,$AI89),1),IF($AJ89&gt;0,INDEX(BE$7:BE$106,$AJ89),1))))</ns0:f>
        <ns0:v>1</ns0:v>
      </ns0:c>
      <ns0:c r="BG89" t="n">
        <ns0:f>IF($A89="",1,IF(BF89=1,1,--AND(IF($AC89&gt;0,INDEX(BF$7:BF$106,$AC89),1),IF($AD89&gt;0,INDEX(BF$7:BF$106,$AD89),1),IF($AE89&gt;0,INDEX(BF$7:BF$106,$AE89),1),IF($AF89&gt;0,INDEX(BF$7:BF$106,$AF89),1),IF($AG89&gt;0,INDEX(BF$7:BF$106,$AG89),1),IF($AH89&gt;0,INDEX(BF$7:BF$106,$AH89),1),IF($AI89&gt;0,INDEX(BF$7:BF$106,$AI89),1),IF($AJ89&gt;0,INDEX(BF$7:BF$106,$AJ89),1))))</ns0:f>
        <ns0:v>1</ns0:v>
      </ns0:c>
      <ns0:c r="BH89" t="n">
        <ns0:f>IF($A89="",1,IF(BG89=1,1,--AND(IF($AC89&gt;0,INDEX(BG$7:BG$106,$AC89),1),IF($AD89&gt;0,INDEX(BG$7:BG$106,$AD89),1),IF($AE89&gt;0,INDEX(BG$7:BG$106,$AE89),1),IF($AF89&gt;0,INDEX(BG$7:BG$106,$AF89),1),IF($AG89&gt;0,INDEX(BG$7:BG$106,$AG89),1),IF($AH89&gt;0,INDEX(BG$7:BG$106,$AH89),1),IF($AI89&gt;0,INDEX(BG$7:BG$106,$AI89),1),IF($AJ89&gt;0,INDEX(BG$7:BG$106,$AJ89),1))))</ns0:f>
        <ns0:v>1</ns0:v>
      </ns0:c>
      <ns0:c r="BI89" t="n">
        <ns0:f>IF($A89="",1,IF(BH89=1,1,--AND(IF($AC89&gt;0,INDEX(BH$7:BH$106,$AC89),1),IF($AD89&gt;0,INDEX(BH$7:BH$106,$AD89),1),IF($AE89&gt;0,INDEX(BH$7:BH$106,$AE89),1),IF($AF89&gt;0,INDEX(BH$7:BH$106,$AF89),1),IF($AG89&gt;0,INDEX(BH$7:BH$106,$AG89),1),IF($AH89&gt;0,INDEX(BH$7:BH$106,$AH89),1),IF($AI89&gt;0,INDEX(BH$7:BH$106,$AI89),1),IF($AJ89&gt;0,INDEX(BH$7:BH$106,$AJ89),1))))</ns0:f>
        <ns0:v>1</ns0:v>
      </ns0:c>
      <ns0:c r="BJ89" t="n">
        <ns0:f>IF($A89="",1,IF(BI89=1,1,--AND(IF($AC89&gt;0,INDEX(BI$7:BI$106,$AC89),1),IF($AD89&gt;0,INDEX(BI$7:BI$106,$AD89),1),IF($AE89&gt;0,INDEX(BI$7:BI$106,$AE89),1),IF($AF89&gt;0,INDEX(BI$7:BI$106,$AF89),1),IF($AG89&gt;0,INDEX(BI$7:BI$106,$AG89),1),IF($AH89&gt;0,INDEX(BI$7:BI$106,$AH89),1),IF($AI89&gt;0,INDEX(BI$7:BI$106,$AI89),1),IF($AJ89&gt;0,INDEX(BI$7:BI$106,$AJ89),1))))</ns0:f>
        <ns0:v>1</ns0:v>
      </ns0:c>
      <ns0:c r="BK89" t="n">
        <ns0:f>IF($A89="",1,IF(BJ89=1,1,--AND(IF($AC89&gt;0,INDEX(BJ$7:BJ$106,$AC89),1),IF($AD89&gt;0,INDEX(BJ$7:BJ$106,$AD89),1),IF($AE89&gt;0,INDEX(BJ$7:BJ$106,$AE89),1),IF($AF89&gt;0,INDEX(BJ$7:BJ$106,$AF89),1),IF($AG89&gt;0,INDEX(BJ$7:BJ$106,$AG89),1),IF($AH89&gt;0,INDEX(BJ$7:BJ$106,$AH89),1),IF($AI89&gt;0,INDEX(BJ$7:BJ$106,$AI89),1),IF($AJ89&gt;0,INDEX(BJ$7:BJ$106,$AJ89),1))))</ns0:f>
        <ns0:v>1</ns0:v>
      </ns0:c>
      <ns0:c r="BL89" t="n">
        <ns0:f>IF($A89="",1,IF(BK89=1,1,--AND(IF($AC89&gt;0,INDEX(BK$7:BK$106,$AC89),1),IF($AD89&gt;0,INDEX(BK$7:BK$106,$AD89),1),IF($AE89&gt;0,INDEX(BK$7:BK$106,$AE89),1),IF($AF89&gt;0,INDEX(BK$7:BK$106,$AF89),1),IF($AG89&gt;0,INDEX(BK$7:BK$106,$AG89),1),IF($AH89&gt;0,INDEX(BK$7:BK$106,$AH89),1),IF($AI89&gt;0,INDEX(BK$7:BK$106,$AI89),1),IF($AJ89&gt;0,INDEX(BK$7:BK$106,$AJ89),1))))</ns0:f>
        <ns0:v>1</ns0:v>
      </ns0:c>
      <ns0:c r="BM89" t="n">
        <ns0:f>IF($A89="",1,IF(BL89=1,1,--AND(IF($AC89&gt;0,INDEX(BL$7:BL$106,$AC89),1),IF($AD89&gt;0,INDEX(BL$7:BL$106,$AD89),1),IF($AE89&gt;0,INDEX(BL$7:BL$106,$AE89),1),IF($AF89&gt;0,INDEX(BL$7:BL$106,$AF89),1),IF($AG89&gt;0,INDEX(BL$7:BL$106,$AG89),1),IF($AH89&gt;0,INDEX(BL$7:BL$106,$AH89),1),IF($AI89&gt;0,INDEX(BL$7:BL$106,$AI89),1),IF($AJ89&gt;0,INDEX(BL$7:BL$106,$AJ89),1))))</ns0:f>
        <ns0:v>1</ns0:v>
      </ns0:c>
      <ns0:c r="BN89" t="n">
        <ns0:f>IF($A89="",1,IF(BM89=1,1,--AND(IF($AC89&gt;0,INDEX(BM$7:BM$106,$AC89),1),IF($AD89&gt;0,INDEX(BM$7:BM$106,$AD89),1),IF($AE89&gt;0,INDEX(BM$7:BM$106,$AE89),1),IF($AF89&gt;0,INDEX(BM$7:BM$106,$AF89),1),IF($AG89&gt;0,INDEX(BM$7:BM$106,$AG89),1),IF($AH89&gt;0,INDEX(BM$7:BM$106,$AH89),1),IF($AI89&gt;0,INDEX(BM$7:BM$106,$AI89),1),IF($AJ89&gt;0,INDEX(BM$7:BM$106,$AJ89),1))))</ns0:f>
        <ns0:v>1</ns0:v>
      </ns0:c>
      <ns0:c r="BO89" t="n">
        <ns0:f>IF($A89="",1,IF(BN89=1,1,--AND(IF($AC89&gt;0,INDEX(BN$7:BN$106,$AC89),1),IF($AD89&gt;0,INDEX(BN$7:BN$106,$AD89),1),IF($AE89&gt;0,INDEX(BN$7:BN$106,$AE89),1),IF($AF89&gt;0,INDEX(BN$7:BN$106,$AF89),1),IF($AG89&gt;0,INDEX(BN$7:BN$106,$AG89),1),IF($AH89&gt;0,INDEX(BN$7:BN$106,$AH89),1),IF($AI89&gt;0,INDEX(BN$7:BN$106,$AI89),1),IF($AJ89&gt;0,INDEX(BN$7:BN$106,$AJ89),1))))</ns0:f>
        <ns0:v>1</ns0:v>
      </ns0:c>
      <ns0:c r="BP89" t="n">
        <ns0:f>IF($A89="",1,IF(BO89=1,1,--AND(IF($AC89&gt;0,INDEX(BO$7:BO$106,$AC89),1),IF($AD89&gt;0,INDEX(BO$7:BO$106,$AD89),1),IF($AE89&gt;0,INDEX(BO$7:BO$106,$AE89),1),IF($AF89&gt;0,INDEX(BO$7:BO$106,$AF89),1),IF($AG89&gt;0,INDEX(BO$7:BO$106,$AG89),1),IF($AH89&gt;0,INDEX(BO$7:BO$106,$AH89),1),IF($AI89&gt;0,INDEX(BO$7:BO$106,$AI89),1),IF($AJ89&gt;0,INDEX(BO$7:BO$106,$AJ89),1))))</ns0:f>
        <ns0:v>1</ns0:v>
      </ns0:c>
      <ns0:c r="BQ89" t="n">
        <ns0:f>IF($A89="",1,IF(BP89=1,1,--AND(IF($AC89&gt;0,INDEX(BP$7:BP$106,$AC89),1),IF($AD89&gt;0,INDEX(BP$7:BP$106,$AD89),1),IF($AE89&gt;0,INDEX(BP$7:BP$106,$AE89),1),IF($AF89&gt;0,INDEX(BP$7:BP$106,$AF89),1),IF($AG89&gt;0,INDEX(BP$7:BP$106,$AG89),1),IF($AH89&gt;0,INDEX(BP$7:BP$106,$AH89),1),IF($AI89&gt;0,INDEX(BP$7:BP$106,$AI89),1),IF($AJ89&gt;0,INDEX(BP$7:BP$106,$AJ89),1))))</ns0:f>
        <ns0:v>1</ns0:v>
      </ns0:c>
      <ns0:c r="BR89" t="n">
        <ns0:f>IF($A89="",1,IF(BQ89=1,1,--AND(IF($AC89&gt;0,INDEX(BQ$7:BQ$106,$AC89),1),IF($AD89&gt;0,INDEX(BQ$7:BQ$106,$AD89),1),IF($AE89&gt;0,INDEX(BQ$7:BQ$106,$AE89),1),IF($AF89&gt;0,INDEX(BQ$7:BQ$106,$AF89),1),IF($AG89&gt;0,INDEX(BQ$7:BQ$106,$AG89),1),IF($AH89&gt;0,INDEX(BQ$7:BQ$106,$AH89),1),IF($AI89&gt;0,INDEX(BQ$7:BQ$106,$AI89),1),IF($AJ89&gt;0,INDEX(BQ$7:BQ$106,$AJ89),1))))</ns0:f>
        <ns0:v>1</ns0:v>
      </ns0:c>
      <ns0:c r="BS89" t="n">
        <ns0:f>IF($A89="",1,IF(BR89=1,1,--AND(IF($AC89&gt;0,INDEX(BR$7:BR$106,$AC89),1),IF($AD89&gt;0,INDEX(BR$7:BR$106,$AD89),1),IF($AE89&gt;0,INDEX(BR$7:BR$106,$AE89),1),IF($AF89&gt;0,INDEX(BR$7:BR$106,$AF89),1),IF($AG89&gt;0,INDEX(BR$7:BR$106,$AG89),1),IF($AH89&gt;0,INDEX(BR$7:BR$106,$AH89),1),IF($AI89&gt;0,INDEX(BR$7:BR$106,$AI89),1),IF($AJ89&gt;0,INDEX(BR$7:BR$106,$AJ89),1))))</ns0:f>
        <ns0:v>1</ns0:v>
      </ns0:c>
      <ns0:c r="BT89" t="n">
        <ns0:f>IF($A89="",1,IF(BS89=1,1,--AND(IF($AC89&gt;0,INDEX(BS$7:BS$106,$AC89),1),IF($AD89&gt;0,INDEX(BS$7:BS$106,$AD89),1),IF($AE89&gt;0,INDEX(BS$7:BS$106,$AE89),1),IF($AF89&gt;0,INDEX(BS$7:BS$106,$AF89),1),IF($AG89&gt;0,INDEX(BS$7:BS$106,$AG89),1),IF($AH89&gt;0,INDEX(BS$7:BS$106,$AH89),1),IF($AI89&gt;0,INDEX(BS$7:BS$106,$AI89),1),IF($AJ89&gt;0,INDEX(BS$7:BS$106,$AJ89),1))))</ns0:f>
        <ns0:v>1</ns0:v>
      </ns0:c>
      <ns0:c r="BU89" t="n">
        <ns0:f>IF($A89="",1,IF(BT89=1,1,--AND(IF($AC89&gt;0,INDEX(BT$7:BT$106,$AC89),1),IF($AD89&gt;0,INDEX(BT$7:BT$106,$AD89),1),IF($AE89&gt;0,INDEX(BT$7:BT$106,$AE89),1),IF($AF89&gt;0,INDEX(BT$7:BT$106,$AF89),1),IF($AG89&gt;0,INDEX(BT$7:BT$106,$AG89),1),IF($AH89&gt;0,INDEX(BT$7:BT$106,$AH89),1),IF($AI89&gt;0,INDEX(BT$7:BT$106,$AI89),1),IF($AJ89&gt;0,INDEX(BT$7:BT$106,$AJ89),1))))</ns0:f>
        <ns0:v>1</ns0:v>
      </ns0:c>
      <ns0:c r="BV89" t="n">
        <ns0:f>IF($A89="",1,IF(BU89=1,1,--AND(IF($AC89&gt;0,INDEX(BU$7:BU$106,$AC89),1),IF($AD89&gt;0,INDEX(BU$7:BU$106,$AD89),1),IF($AE89&gt;0,INDEX(BU$7:BU$106,$AE89),1),IF($AF89&gt;0,INDEX(BU$7:BU$106,$AF89),1),IF($AG89&gt;0,INDEX(BU$7:BU$106,$AG89),1),IF($AH89&gt;0,INDEX(BU$7:BU$106,$AH89),1),IF($AI89&gt;0,INDEX(BU$7:BU$106,$AI89),1),IF($AJ89&gt;0,INDEX(BU$7:BU$106,$AJ89),1))))</ns0:f>
        <ns0:v>1</ns0:v>
      </ns0:c>
      <ns0:c r="BW89" t="n">
        <ns0:f>IF($A89="",1,IF(BV89=1,1,--AND(IF($AC89&gt;0,INDEX(BV$7:BV$106,$AC89),1),IF($AD89&gt;0,INDEX(BV$7:BV$106,$AD89),1),IF($AE89&gt;0,INDEX(BV$7:BV$106,$AE89),1),IF($AF89&gt;0,INDEX(BV$7:BV$106,$AF89),1),IF($AG89&gt;0,INDEX(BV$7:BV$106,$AG89),1),IF($AH89&gt;0,INDEX(BV$7:BV$106,$AH89),1),IF($AI89&gt;0,INDEX(BV$7:BV$106,$AI89),1),IF($AJ89&gt;0,INDEX(BV$7:BV$106,$AJ89),1))))</ns0:f>
        <ns0:v>1</ns0:v>
      </ns0:c>
      <ns0:c r="BX89" t="n">
        <ns0:f>IF($A89="",1,IF(BW89=1,1,--AND(IF($AC89&gt;0,INDEX(BW$7:BW$106,$AC89),1),IF($AD89&gt;0,INDEX(BW$7:BW$106,$AD89),1),IF($AE89&gt;0,INDEX(BW$7:BW$106,$AE89),1),IF($AF89&gt;0,INDEX(BW$7:BW$106,$AF89),1),IF($AG89&gt;0,INDEX(BW$7:BW$106,$AG89),1),IF($AH89&gt;0,INDEX(BW$7:BW$106,$AH89),1),IF($AI89&gt;0,INDEX(BW$7:BW$106,$AI89),1),IF($AJ89&gt;0,INDEX(BW$7:BW$106,$AJ89),1))))</ns0:f>
        <ns0:v>1</ns0:v>
      </ns0:c>
      <ns0:c r="BY89" t="n">
        <ns0:f>IF($A89="",1,IF(BX89=1,1,--AND(IF($AC89&gt;0,INDEX(BX$7:BX$106,$AC89),1),IF($AD89&gt;0,INDEX(BX$7:BX$106,$AD89),1),IF($AE89&gt;0,INDEX(BX$7:BX$106,$AE89),1),IF($AF89&gt;0,INDEX(BX$7:BX$106,$AF89),1),IF($AG89&gt;0,INDEX(BX$7:BX$106,$AG89),1),IF($AH89&gt;0,INDEX(BX$7:BX$106,$AH89),1),IF($AI89&gt;0,INDEX(BX$7:BX$106,$AI89),1),IF($AJ89&gt;0,INDEX(BX$7:BX$106,$AJ89),1))))</ns0:f>
        <ns0:v>1</ns0:v>
      </ns0:c>
      <ns0:c r="BZ89" t="n">
        <ns0:f>IF($A89="",1,IF(BY89=1,1,--AND(IF($AC89&gt;0,INDEX(BY$7:BY$106,$AC89),1),IF($AD89&gt;0,INDEX(BY$7:BY$106,$AD89),1),IF($AE89&gt;0,INDEX(BY$7:BY$106,$AE89),1),IF($AF89&gt;0,INDEX(BY$7:BY$106,$AF89),1),IF($AG89&gt;0,INDEX(BY$7:BY$106,$AG89),1),IF($AH89&gt;0,INDEX(BY$7:BY$106,$AH89),1),IF($AI89&gt;0,INDEX(BY$7:BY$106,$AI89),1),IF($AJ89&gt;0,INDEX(BY$7:BY$106,$AJ89),1))))</ns0:f>
        <ns0:v>1</ns0:v>
      </ns0:c>
      <ns0:c r="CA89" t="n">
        <ns0:f>IF($A89="",1,IF(BZ89=1,1,--AND(IF($AC89&gt;0,INDEX(BZ$7:BZ$106,$AC89),1),IF($AD89&gt;0,INDEX(BZ$7:BZ$106,$AD89),1),IF($AE89&gt;0,INDEX(BZ$7:BZ$106,$AE89),1),IF($AF89&gt;0,INDEX(BZ$7:BZ$106,$AF89),1),IF($AG89&gt;0,INDEX(BZ$7:BZ$106,$AG89),1),IF($AH89&gt;0,INDEX(BZ$7:BZ$106,$AH89),1),IF($AI89&gt;0,INDEX(BZ$7:BZ$106,$AI89),1),IF($AJ89&gt;0,INDEX(BZ$7:BZ$106,$AJ89),1))))</ns0:f>
        <ns0:v>1</ns0:v>
      </ns0:c>
      <ns0:c r="CB89" t="n">
        <ns0:f>IF($A89="",1,IF(CA89=1,1,--AND(IF($AC89&gt;0,INDEX(CA$7:CA$106,$AC89),1),IF($AD89&gt;0,INDEX(CA$7:CA$106,$AD89),1),IF($AE89&gt;0,INDEX(CA$7:CA$106,$AE89),1),IF($AF89&gt;0,INDEX(CA$7:CA$106,$AF89),1),IF($AG89&gt;0,INDEX(CA$7:CA$106,$AG89),1),IF($AH89&gt;0,INDEX(CA$7:CA$106,$AH89),1),IF($AI89&gt;0,INDEX(CA$7:CA$106,$AI89),1),IF($AJ89&gt;0,INDEX(CA$7:CA$106,$AJ89),1))))</ns0:f>
        <ns0:v>1</ns0:v>
      </ns0:c>
      <ns0:c r="CC89" t="n">
        <ns0:f>IF($A89="",1,IF(CB89=1,1,--AND(IF($AC89&gt;0,INDEX(CB$7:CB$106,$AC89),1),IF($AD89&gt;0,INDEX(CB$7:CB$106,$AD89),1),IF($AE89&gt;0,INDEX(CB$7:CB$106,$AE89),1),IF($AF89&gt;0,INDEX(CB$7:CB$106,$AF89),1),IF($AG89&gt;0,INDEX(CB$7:CB$106,$AG89),1),IF($AH89&gt;0,INDEX(CB$7:CB$106,$AH89),1),IF($AI89&gt;0,INDEX(CB$7:CB$106,$AI89),1),IF($AJ89&gt;0,INDEX(CB$7:CB$106,$AJ89),1))))</ns0:f>
        <ns0:v>1</ns0:v>
      </ns0:c>
      <ns0:c r="CD89" t="n">
        <ns0:f>IF($A89="",1,IF(CC89=1,1,--AND(IF($AC89&gt;0,INDEX(CC$7:CC$106,$AC89),1),IF($AD89&gt;0,INDEX(CC$7:CC$106,$AD89),1),IF($AE89&gt;0,INDEX(CC$7:CC$106,$AE89),1),IF($AF89&gt;0,INDEX(CC$7:CC$106,$AF89),1),IF($AG89&gt;0,INDEX(CC$7:CC$106,$AG89),1),IF($AH89&gt;0,INDEX(CC$7:CC$106,$AH89),1),IF($AI89&gt;0,INDEX(CC$7:CC$106,$AI89),1),IF($AJ89&gt;0,INDEX(CC$7:CC$106,$AJ89),1))))</ns0:f>
        <ns0:v>1</ns0:v>
      </ns0:c>
      <ns0:c r="CE89" t="n">
        <ns0:f>IF($A89="",1,IF(CD89=1,1,--AND(IF($AC89&gt;0,INDEX(CD$7:CD$106,$AC89),1),IF($AD89&gt;0,INDEX(CD$7:CD$106,$AD89),1),IF($AE89&gt;0,INDEX(CD$7:CD$106,$AE89),1),IF($AF89&gt;0,INDEX(CD$7:CD$106,$AF89),1),IF($AG89&gt;0,INDEX(CD$7:CD$106,$AG89),1),IF($AH89&gt;0,INDEX(CD$7:CD$106,$AH89),1),IF($AI89&gt;0,INDEX(CD$7:CD$106,$AI89),1),IF($AJ89&gt;0,INDEX(CD$7:CD$106,$AJ89),1))))</ns0:f>
        <ns0:v>1</ns0:v>
      </ns0:c>
      <ns0:c r="CF89" t="n">
        <ns0:f>IF($A89="",1,IF(CE89=1,1,--AND(IF($AC89&gt;0,INDEX(CE$7:CE$106,$AC89),1),IF($AD89&gt;0,INDEX(CE$7:CE$106,$AD89),1),IF($AE89&gt;0,INDEX(CE$7:CE$106,$AE89),1),IF($AF89&gt;0,INDEX(CE$7:CE$106,$AF89),1),IF($AG89&gt;0,INDEX(CE$7:CE$106,$AG89),1),IF($AH89&gt;0,INDEX(CE$7:CE$106,$AH89),1),IF($AI89&gt;0,INDEX(CE$7:CE$106,$AI89),1),IF($AJ89&gt;0,INDEX(CE$7:CE$106,$AJ89),1))))</ns0:f>
        <ns0:v>1</ns0:v>
      </ns0:c>
      <ns0:c r="CG89" t="n">
        <ns0:f>IF($A89="",1,IF(CF89=1,1,--AND(IF($AC89&gt;0,INDEX(CF$7:CF$106,$AC89),1),IF($AD89&gt;0,INDEX(CF$7:CF$106,$AD89),1),IF($AE89&gt;0,INDEX(CF$7:CF$106,$AE89),1),IF($AF89&gt;0,INDEX(CF$7:CF$106,$AF89),1),IF($AG89&gt;0,INDEX(CF$7:CF$106,$AG89),1),IF($AH89&gt;0,INDEX(CF$7:CF$106,$AH89),1),IF($AI89&gt;0,INDEX(CF$7:CF$106,$AI89),1),IF($AJ89&gt;0,INDEX(CF$7:CF$106,$AJ89),1))))</ns0:f>
        <ns0:v>1</ns0:v>
      </ns0:c>
      <ns0:c r="CH89" t="n">
        <ns0:f>IF($A89="",1,IF(CG89=1,1,--AND(IF($AC89&gt;0,INDEX(CG$7:CG$106,$AC89),1),IF($AD89&gt;0,INDEX(CG$7:CG$106,$AD89),1),IF($AE89&gt;0,INDEX(CG$7:CG$106,$AE89),1),IF($AF89&gt;0,INDEX(CG$7:CG$106,$AF89),1),IF($AG89&gt;0,INDEX(CG$7:CG$106,$AG89),1),IF($AH89&gt;0,INDEX(CG$7:CG$106,$AH89),1),IF($AI89&gt;0,INDEX(CG$7:CG$106,$AI89),1),IF($AJ89&gt;0,INDEX(CG$7:CG$106,$AJ89),1))))</ns0:f>
        <ns0:v>1</ns0:v>
      </ns0:c>
      <ns0:c r="CI89" t="n">
        <ns0:f>IF($A89="",1,IF(CH89=1,1,--AND(IF($AC89&gt;0,INDEX(CH$7:CH$106,$AC89),1),IF($AD89&gt;0,INDEX(CH$7:CH$106,$AD89),1),IF($AE89&gt;0,INDEX(CH$7:CH$106,$AE89),1),IF($AF89&gt;0,INDEX(CH$7:CH$106,$AF89),1),IF($AG89&gt;0,INDEX(CH$7:CH$106,$AG89),1),IF($AH89&gt;0,INDEX(CH$7:CH$106,$AH89),1),IF($AI89&gt;0,INDEX(CH$7:CH$106,$AI89),1),IF($AJ89&gt;0,INDEX(CH$7:CH$106,$AJ89),1))))</ns0:f>
        <ns0:v>1</ns0:v>
      </ns0:c>
      <ns0:c r="CJ89" t="n">
        <ns0:f>IF($A89="",1,IF(CI89=1,1,--AND(IF($AC89&gt;0,INDEX(CI$7:CI$106,$AC89),1),IF($AD89&gt;0,INDEX(CI$7:CI$106,$AD89),1),IF($AE89&gt;0,INDEX(CI$7:CI$106,$AE89),1),IF($AF89&gt;0,INDEX(CI$7:CI$106,$AF89),1),IF($AG89&gt;0,INDEX(CI$7:CI$106,$AG89),1),IF($AH89&gt;0,INDEX(CI$7:CI$106,$AH89),1),IF($AI89&gt;0,INDEX(CI$7:CI$106,$AI89),1),IF($AJ89&gt;0,INDEX(CI$7:CI$106,$AJ89),1))))</ns0:f>
        <ns0:v>1</ns0:v>
      </ns0:c>
      <ns0:c r="CK89" t="n">
        <ns0:f>IF($A89="",1,IF(CJ89=1,1,--AND(IF($AC89&gt;0,INDEX(CJ$7:CJ$106,$AC89),1),IF($AD89&gt;0,INDEX(CJ$7:CJ$106,$AD89),1),IF($AE89&gt;0,INDEX(CJ$7:CJ$106,$AE89),1),IF($AF89&gt;0,INDEX(CJ$7:CJ$106,$AF89),1),IF($AG89&gt;0,INDEX(CJ$7:CJ$106,$AG89),1),IF($AH89&gt;0,INDEX(CJ$7:CJ$106,$AH89),1),IF($AI89&gt;0,INDEX(CJ$7:CJ$106,$AI89),1),IF($AJ89&gt;0,INDEX(CJ$7:CJ$106,$AJ89),1))))</ns0:f>
        <ns0:v>1</ns0:v>
      </ns0:c>
      <ns0:c r="CL89" t="n">
        <ns0:f>IF($A89="",1,IF(CK89=1,1,--AND(IF($AC89&gt;0,INDEX(CK$7:CK$106,$AC89),1),IF($AD89&gt;0,INDEX(CK$7:CK$106,$AD89),1),IF($AE89&gt;0,INDEX(CK$7:CK$106,$AE89),1),IF($AF89&gt;0,INDEX(CK$7:CK$106,$AF89),1),IF($AG89&gt;0,INDEX(CK$7:CK$106,$AG89),1),IF($AH89&gt;0,INDEX(CK$7:CK$106,$AH89),1),IF($AI89&gt;0,INDEX(CK$7:CK$106,$AI89),1),IF($AJ89&gt;0,INDEX(CK$7:CK$106,$AJ89),1))))</ns0:f>
        <ns0:v>1</ns0:v>
      </ns0:c>
      <ns0:c r="CM89" t="n">
        <ns0:f>IF($A89="",1,IF(CL89=1,1,--AND(IF($AC89&gt;0,INDEX(CL$7:CL$106,$AC89),1),IF($AD89&gt;0,INDEX(CL$7:CL$106,$AD89),1),IF($AE89&gt;0,INDEX(CL$7:CL$106,$AE89),1),IF($AF89&gt;0,INDEX(CL$7:CL$106,$AF89),1),IF($AG89&gt;0,INDEX(CL$7:CL$106,$AG89),1),IF($AH89&gt;0,INDEX(CL$7:CL$106,$AH89),1),IF($AI89&gt;0,INDEX(CL$7:CL$106,$AI89),1),IF($AJ89&gt;0,INDEX(CL$7:CL$106,$AJ89),1))))</ns0:f>
        <ns0:v>1</ns0:v>
      </ns0:c>
      <ns0:c r="CN89" t="n">
        <ns0:f>IF($A89="",1,IF(CM89=1,1,--AND(IF($AC89&gt;0,INDEX(CM$7:CM$106,$AC89),1),IF($AD89&gt;0,INDEX(CM$7:CM$106,$AD89),1),IF($AE89&gt;0,INDEX(CM$7:CM$106,$AE89),1),IF($AF89&gt;0,INDEX(CM$7:CM$106,$AF89),1),IF($AG89&gt;0,INDEX(CM$7:CM$106,$AG89),1),IF($AH89&gt;0,INDEX(CM$7:CM$106,$AH89),1),IF($AI89&gt;0,INDEX(CM$7:CM$106,$AI89),1),IF($AJ89&gt;0,INDEX(CM$7:CM$106,$AJ89),1))))</ns0:f>
        <ns0:v>1</ns0:v>
      </ns0:c>
      <ns0:c r="CO89" t="n">
        <ns0:f>IF($A89="",1,IF(CN89=1,1,--AND(IF($AC89&gt;0,INDEX(CN$7:CN$106,$AC89),1),IF($AD89&gt;0,INDEX(CN$7:CN$106,$AD89),1),IF($AE89&gt;0,INDEX(CN$7:CN$106,$AE89),1),IF($AF89&gt;0,INDEX(CN$7:CN$106,$AF89),1),IF($AG89&gt;0,INDEX(CN$7:CN$106,$AG89),1),IF($AH89&gt;0,INDEX(CN$7:CN$106,$AH89),1),IF($AI89&gt;0,INDEX(CN$7:CN$106,$AI89),1),IF($AJ89&gt;0,INDEX(CN$7:CN$106,$AJ89),1))))</ns0:f>
        <ns0:v>1</ns0:v>
      </ns0:c>
      <ns0:c r="CP89" t="n">
        <ns0:f>IF($A89="",1,IF(CO89=1,1,--AND(IF($AC89&gt;0,INDEX(CO$7:CO$106,$AC89),1),IF($AD89&gt;0,INDEX(CO$7:CO$106,$AD89),1),IF($AE89&gt;0,INDEX(CO$7:CO$106,$AE89),1),IF($AF89&gt;0,INDEX(CO$7:CO$106,$AF89),1),IF($AG89&gt;0,INDEX(CO$7:CO$106,$AG89),1),IF($AH89&gt;0,INDEX(CO$7:CO$106,$AH89),1),IF($AI89&gt;0,INDEX(CO$7:CO$106,$AI89),1),IF($AJ89&gt;0,INDEX(CO$7:CO$106,$AJ89),1))))</ns0:f>
        <ns0:v>1</ns0:v>
      </ns0:c>
      <ns0:c r="CQ89" t="n">
        <ns0:f>IF($A89="",1,IF(CP89=1,1,--AND(IF($AC89&gt;0,INDEX(CP$7:CP$106,$AC89),1),IF($AD89&gt;0,INDEX(CP$7:CP$106,$AD89),1),IF($AE89&gt;0,INDEX(CP$7:CP$106,$AE89),1),IF($AF89&gt;0,INDEX(CP$7:CP$106,$AF89),1),IF($AG89&gt;0,INDEX(CP$7:CP$106,$AG89),1),IF($AH89&gt;0,INDEX(CP$7:CP$106,$AH89),1),IF($AI89&gt;0,INDEX(CP$7:CP$106,$AI89),1),IF($AJ89&gt;0,INDEX(CP$7:CP$106,$AJ89),1))))</ns0:f>
        <ns0:v>1</ns0:v>
      </ns0:c>
      <ns0:c r="CR89" t="n">
        <ns0:f>IF($A89="",1,IF(CQ89=1,1,--AND(IF($AC89&gt;0,INDEX(CQ$7:CQ$106,$AC89),1),IF($AD89&gt;0,INDEX(CQ$7:CQ$106,$AD89),1),IF($AE89&gt;0,INDEX(CQ$7:CQ$106,$AE89),1),IF($AF89&gt;0,INDEX(CQ$7:CQ$106,$AF89),1),IF($AG89&gt;0,INDEX(CQ$7:CQ$106,$AG89),1),IF($AH89&gt;0,INDEX(CQ$7:CQ$106,$AH89),1),IF($AI89&gt;0,INDEX(CQ$7:CQ$106,$AI89),1),IF($AJ89&gt;0,INDEX(CQ$7:CQ$106,$AJ89),1))))</ns0:f>
        <ns0:v>1</ns0:v>
      </ns0:c>
      <ns0:c r="CS89" t="n">
        <ns0:f>IF($A89="",1,IF(CR89=1,1,--AND(IF($AC89&gt;0,INDEX(CR$7:CR$106,$AC89),1),IF($AD89&gt;0,INDEX(CR$7:CR$106,$AD89),1),IF($AE89&gt;0,INDEX(CR$7:CR$106,$AE89),1),IF($AF89&gt;0,INDEX(CR$7:CR$106,$AF89),1),IF($AG89&gt;0,INDEX(CR$7:CR$106,$AG89),1),IF($AH89&gt;0,INDEX(CR$7:CR$106,$AH89),1),IF($AI89&gt;0,INDEX(CR$7:CR$106,$AI89),1),IF($AJ89&gt;0,INDEX(CR$7:CR$106,$AJ89),1))))</ns0:f>
        <ns0:v>1</ns0:v>
      </ns0:c>
      <ns0:c r="CT89" t="n">
        <ns0:f>IF($A89="",1,IF(CS89=1,1,--AND(IF($AC89&gt;0,INDEX(CS$7:CS$106,$AC89),1),IF($AD89&gt;0,INDEX(CS$7:CS$106,$AD89),1),IF($AE89&gt;0,INDEX(CS$7:CS$106,$AE89),1),IF($AF89&gt;0,INDEX(CS$7:CS$106,$AF89),1),IF($AG89&gt;0,INDEX(CS$7:CS$106,$AG89),1),IF($AH89&gt;0,INDEX(CS$7:CS$106,$AH89),1),IF($AI89&gt;0,INDEX(CS$7:CS$106,$AI89),1),IF($AJ89&gt;0,INDEX(CS$7:CS$106,$AJ89),1))))</ns0:f>
        <ns0:v>1</ns0:v>
      </ns0:c>
      <ns0:c r="CU89" t="n">
        <ns0:f>IF($A89="",1,IF(CT89=1,1,--AND(IF($AC89&gt;0,INDEX(CT$7:CT$106,$AC89),1),IF($AD89&gt;0,INDEX(CT$7:CT$106,$AD89),1),IF($AE89&gt;0,INDEX(CT$7:CT$106,$AE89),1),IF($AF89&gt;0,INDEX(CT$7:CT$106,$AF89),1),IF($AG89&gt;0,INDEX(CT$7:CT$106,$AG89),1),IF($AH89&gt;0,INDEX(CT$7:CT$106,$AH89),1),IF($AI89&gt;0,INDEX(CT$7:CT$106,$AI89),1),IF($AJ89&gt;0,INDEX(CT$7:CT$106,$AJ89),1))))</ns0:f>
        <ns0:v>1</ns0:v>
      </ns0:c>
      <ns0:c r="CV89" t="n">
        <ns0:f>IF($A89="",1,IF(CU89=1,1,--AND(IF($AC89&gt;0,INDEX(CU$7:CU$106,$AC89),1),IF($AD89&gt;0,INDEX(CU$7:CU$106,$AD89),1),IF($AE89&gt;0,INDEX(CU$7:CU$106,$AE89),1),IF($AF89&gt;0,INDEX(CU$7:CU$106,$AF89),1),IF($AG89&gt;0,INDEX(CU$7:CU$106,$AG89),1),IF($AH89&gt;0,INDEX(CU$7:CU$106,$AH89),1),IF($AI89&gt;0,INDEX(CU$7:CU$106,$AI89),1),IF($AJ89&gt;0,INDEX(CU$7:CU$106,$AJ89),1))))</ns0:f>
        <ns0:v>1</ns0:v>
      </ns0:c>
      <ns0:c r="CW89" t="n">
        <ns0:f>IF($A89="",1,IF(CV89=1,1,--AND(IF($AC89&gt;0,INDEX(CV$7:CV$106,$AC89),1),IF($AD89&gt;0,INDEX(CV$7:CV$106,$AD89),1),IF($AE89&gt;0,INDEX(CV$7:CV$106,$AE89),1),IF($AF89&gt;0,INDEX(CV$7:CV$106,$AF89),1),IF($AG89&gt;0,INDEX(CV$7:CV$106,$AG89),1),IF($AH89&gt;0,INDEX(CV$7:CV$106,$AH89),1),IF($AI89&gt;0,INDEX(CV$7:CV$106,$AI89),1),IF($AJ89&gt;0,INDEX(CV$7:CV$106,$AJ89),1))))</ns0:f>
        <ns0:v>1</ns0:v>
      </ns0:c>
      <ns0:c r="CX89" t="n">
        <ns0:f>IF($A89="",1,IF(CW89=1,1,--AND(IF($AC89&gt;0,INDEX(CW$7:CW$106,$AC89),1),IF($AD89&gt;0,INDEX(CW$7:CW$106,$AD89),1),IF($AE89&gt;0,INDEX(CW$7:CW$106,$AE89),1),IF($AF89&gt;0,INDEX(CW$7:CW$106,$AF89),1),IF($AG89&gt;0,INDEX(CW$7:CW$106,$AG89),1),IF($AH89&gt;0,INDEX(CW$7:CW$106,$AH89),1),IF($AI89&gt;0,INDEX(CW$7:CW$106,$AI89),1),IF($AJ89&gt;0,INDEX(CW$7:CW$106,$AJ89),1))))</ns0:f>
        <ns0:v>1</ns0:v>
      </ns0:c>
      <ns0:c r="CY89" t="n">
        <ns0:f>IF($A89="",1,IF(CX89=1,1,--AND(IF($AC89&gt;0,INDEX(CX$7:CX$106,$AC89),1),IF($AD89&gt;0,INDEX(CX$7:CX$106,$AD89),1),IF($AE89&gt;0,INDEX(CX$7:CX$106,$AE89),1),IF($AF89&gt;0,INDEX(CX$7:CX$106,$AF89),1),IF($AG89&gt;0,INDEX(CX$7:CX$106,$AG89),1),IF($AH89&gt;0,INDEX(CX$7:CX$106,$AH89),1),IF($AI89&gt;0,INDEX(CX$7:CX$106,$AI89),1),IF($AJ89&gt;0,INDEX(CX$7:CX$106,$AJ89),1))))</ns0:f>
        <ns0:v>1</ns0:v>
      </ns0:c>
      <ns0:c r="CZ89" t="n">
        <ns0:f>IF($A89="",1,IF(CY89=1,1,--AND(IF($AC89&gt;0,INDEX(CY$7:CY$106,$AC89),1),IF($AD89&gt;0,INDEX(CY$7:CY$106,$AD89),1),IF($AE89&gt;0,INDEX(CY$7:CY$106,$AE89),1),IF($AF89&gt;0,INDEX(CY$7:CY$106,$AF89),1),IF($AG89&gt;0,INDEX(CY$7:CY$106,$AG89),1),IF($AH89&gt;0,INDEX(CY$7:CY$106,$AH89),1),IF($AI89&gt;0,INDEX(CY$7:CY$106,$AI89),1),IF($AJ89&gt;0,INDEX(CY$7:CY$106,$AJ89),1))))</ns0:f>
        <ns0:v>1</ns0:v>
      </ns0:c>
      <ns0:c r="DA89" t="n">
        <ns0:f>IF($A89="",1,IF(CZ89=1,1,--AND(IF($AC89&gt;0,INDEX(CZ$7:CZ$106,$AC89),1),IF($AD89&gt;0,INDEX(CZ$7:CZ$106,$AD89),1),IF($AE89&gt;0,INDEX(CZ$7:CZ$106,$AE89),1),IF($AF89&gt;0,INDEX(CZ$7:CZ$106,$AF89),1),IF($AG89&gt;0,INDEX(CZ$7:CZ$106,$AG89),1),IF($AH89&gt;0,INDEX(CZ$7:CZ$106,$AH89),1),IF($AI89&gt;0,INDEX(CZ$7:CZ$106,$AI89),1),IF($AJ89&gt;0,INDEX(CZ$7:CZ$106,$AJ89),1))))</ns0:f>
        <ns0:v>1</ns0:v>
      </ns0:c>
      <ns0:c r="DB89" t="n">
        <ns0:f>IF($A89="",1,IF(DA89=1,1,--AND(IF($AC89&gt;0,INDEX(DA$7:DA$106,$AC89),1),IF($AD89&gt;0,INDEX(DA$7:DA$106,$AD89),1),IF($AE89&gt;0,INDEX(DA$7:DA$106,$AE89),1),IF($AF89&gt;0,INDEX(DA$7:DA$106,$AF89),1),IF($AG89&gt;0,INDEX(DA$7:DA$106,$AG89),1),IF($AH89&gt;0,INDEX(DA$7:DA$106,$AH89),1),IF($AI89&gt;0,INDEX(DA$7:DA$106,$AI89),1),IF($AJ89&gt;0,INDEX(DA$7:DA$106,$AJ89),1))))</ns0:f>
        <ns0:v>1</ns0:v>
      </ns0:c>
      <ns0:c r="DC89" t="n">
        <ns0:f>IF($A89="",1,IF(DB89=1,1,--AND(IF($AC89&gt;0,INDEX(DB$7:DB$106,$AC89),1),IF($AD89&gt;0,INDEX(DB$7:DB$106,$AD89),1),IF($AE89&gt;0,INDEX(DB$7:DB$106,$AE89),1),IF($AF89&gt;0,INDEX(DB$7:DB$106,$AF89),1),IF($AG89&gt;0,INDEX(DB$7:DB$106,$AG89),1),IF($AH89&gt;0,INDEX(DB$7:DB$106,$AH89),1),IF($AI89&gt;0,INDEX(DB$7:DB$106,$AI89),1),IF($AJ89&gt;0,INDEX(DB$7:DB$106,$AJ89),1))))</ns0:f>
        <ns0:v>1</ns0:v>
      </ns0:c>
      <ns0:c r="DD89" t="n">
        <ns0:f>IF($A89="",1,IF(DC89=1,1,--AND(IF($AC89&gt;0,INDEX(DC$7:DC$106,$AC89),1),IF($AD89&gt;0,INDEX(DC$7:DC$106,$AD89),1),IF($AE89&gt;0,INDEX(DC$7:DC$106,$AE89),1),IF($AF89&gt;0,INDEX(DC$7:DC$106,$AF89),1),IF($AG89&gt;0,INDEX(DC$7:DC$106,$AG89),1),IF($AH89&gt;0,INDEX(DC$7:DC$106,$AH89),1),IF($AI89&gt;0,INDEX(DC$7:DC$106,$AI89),1),IF($AJ89&gt;0,INDEX(DC$7:DC$106,$AJ89),1))))</ns0:f>
        <ns0:v>1</ns0:v>
      </ns0:c>
      <ns0:c r="DE89" t="n">
        <ns0:f>IF($A89="",1,IF(DD89=1,1,--AND(IF($AC89&gt;0,INDEX(DD$7:DD$106,$AC89),1),IF($AD89&gt;0,INDEX(DD$7:DD$106,$AD89),1),IF($AE89&gt;0,INDEX(DD$7:DD$106,$AE89),1),IF($AF89&gt;0,INDEX(DD$7:DD$106,$AF89),1),IF($AG89&gt;0,INDEX(DD$7:DD$106,$AG89),1),IF($AH89&gt;0,INDEX(DD$7:DD$106,$AH89),1),IF($AI89&gt;0,INDEX(DD$7:DD$106,$AI89),1),IF($AJ89&gt;0,INDEX(DD$7:DD$106,$AJ89),1))))</ns0:f>
        <ns0:v>1</ns0:v>
      </ns0:c>
      <ns0:c r="DF89" t="n">
        <ns0:f>IF($A89="",1,IF(DE89=1,1,--AND(IF($AC89&gt;0,INDEX(DE$7:DE$106,$AC89),1),IF($AD89&gt;0,INDEX(DE$7:DE$106,$AD89),1),IF($AE89&gt;0,INDEX(DE$7:DE$106,$AE89),1),IF($AF89&gt;0,INDEX(DE$7:DE$106,$AF89),1),IF($AG89&gt;0,INDEX(DE$7:DE$106,$AG89),1),IF($AH89&gt;0,INDEX(DE$7:DE$106,$AH89),1),IF($AI89&gt;0,INDEX(DE$7:DE$106,$AI89),1),IF($AJ89&gt;0,INDEX(DE$7:DE$106,$AJ89),1))))</ns0:f>
        <ns0:v>1</ns0:v>
      </ns0:c>
      <ns0:c r="DG89" t="n">
        <ns0:f>IF($A89="",1,IF(DF89=1,1,--AND(IF($AC89&gt;0,INDEX(DF$7:DF$106,$AC89),1),IF($AD89&gt;0,INDEX(DF$7:DF$106,$AD89),1),IF($AE89&gt;0,INDEX(DF$7:DF$106,$AE89),1),IF($AF89&gt;0,INDEX(DF$7:DF$106,$AF89),1),IF($AG89&gt;0,INDEX(DF$7:DF$106,$AG89),1),IF($AH89&gt;0,INDEX(DF$7:DF$106,$AH89),1),IF($AI89&gt;0,INDEX(DF$7:DF$106,$AI89),1),IF($AJ89&gt;0,INDEX(DF$7:DF$106,$AJ89),1))))</ns0:f>
        <ns0:v>1</ns0:v>
      </ns0:c>
      <ns0:c r="DH89" t="n">
        <ns0:f>IF($A89="",1,IF(DG89=1,1,--AND(IF($AC89&gt;0,INDEX(DG$7:DG$106,$AC89),1),IF($AD89&gt;0,INDEX(DG$7:DG$106,$AD89),1),IF($AE89&gt;0,INDEX(DG$7:DG$106,$AE89),1),IF($AF89&gt;0,INDEX(DG$7:DG$106,$AF89),1),IF($AG89&gt;0,INDEX(DG$7:DG$106,$AG89),1),IF($AH89&gt;0,INDEX(DG$7:DG$106,$AH89),1),IF($AI89&gt;0,INDEX(DG$7:DG$106,$AI89),1),IF($AJ89&gt;0,INDEX(DG$7:DG$106,$AJ89),1))))</ns0:f>
        <ns0:v>1</ns0:v>
      </ns0:c>
      <ns0:c r="DI89" t="n">
        <ns0:f>IF($A89="",1,IF(DH89=1,1,--AND(IF($AC89&gt;0,INDEX(DH$7:DH$106,$AC89),1),IF($AD89&gt;0,INDEX(DH$7:DH$106,$AD89),1),IF($AE89&gt;0,INDEX(DH$7:DH$106,$AE89),1),IF($AF89&gt;0,INDEX(DH$7:DH$106,$AF89),1),IF($AG89&gt;0,INDEX(DH$7:DH$106,$AG89),1),IF($AH89&gt;0,INDEX(DH$7:DH$106,$AH89),1),IF($AI89&gt;0,INDEX(DH$7:DH$106,$AI89),1),IF($AJ89&gt;0,INDEX(DH$7:DH$106,$AJ89),1))))</ns0:f>
        <ns0:v>1</ns0:v>
      </ns0:c>
      <ns0:c r="DJ89" t="n">
        <ns0:f>IF($A89="",1,IF(DI89=1,1,--AND(IF($AC89&gt;0,INDEX(DI$7:DI$106,$AC89),1),IF($AD89&gt;0,INDEX(DI$7:DI$106,$AD89),1),IF($AE89&gt;0,INDEX(DI$7:DI$106,$AE89),1),IF($AF89&gt;0,INDEX(DI$7:DI$106,$AF89),1),IF($AG89&gt;0,INDEX(DI$7:DI$106,$AG89),1),IF($AH89&gt;0,INDEX(DI$7:DI$106,$AH89),1),IF($AI89&gt;0,INDEX(DI$7:DI$106,$AI89),1),IF($AJ89&gt;0,INDEX(DI$7:DI$106,$AJ89),1))))</ns0:f>
        <ns0:v>1</ns0:v>
      </ns0:c>
      <ns0:c r="DK89" t="n">
        <ns0:f>IF($A89="",1,IF(DJ89=1,1,--AND(IF($AC89&gt;0,INDEX(DJ$7:DJ$106,$AC89),1),IF($AD89&gt;0,INDEX(DJ$7:DJ$106,$AD89),1),IF($AE89&gt;0,INDEX(DJ$7:DJ$106,$AE89),1),IF($AF89&gt;0,INDEX(DJ$7:DJ$106,$AF89),1),IF($AG89&gt;0,INDEX(DJ$7:DJ$106,$AG89),1),IF($AH89&gt;0,INDEX(DJ$7:DJ$106,$AH89),1),IF($AI89&gt;0,INDEX(DJ$7:DJ$106,$AI89),1),IF($AJ89&gt;0,INDEX(DJ$7:DJ$106,$AJ89),1))))</ns0:f>
        <ns0:v>1</ns0:v>
      </ns0:c>
      <ns0:c r="DL89" t="n">
        <ns0:f>IF($A89="",1,IF(DK89=1,1,--AND(IF($AC89&gt;0,INDEX(DK$7:DK$106,$AC89),1),IF($AD89&gt;0,INDEX(DK$7:DK$106,$AD89),1),IF($AE89&gt;0,INDEX(DK$7:DK$106,$AE89),1),IF($AF89&gt;0,INDEX(DK$7:DK$106,$AF89),1),IF($AG89&gt;0,INDEX(DK$7:DK$106,$AG89),1),IF($AH89&gt;0,INDEX(DK$7:DK$106,$AH89),1),IF($AI89&gt;0,INDEX(DK$7:DK$106,$AI89),1),IF($AJ89&gt;0,INDEX(DK$7:DK$106,$AJ89),1))))</ns0:f>
        <ns0:v>1</ns0:v>
      </ns0:c>
      <ns0:c r="DM89" t="n">
        <ns0:f>IF($A89="",1,IF(DL89=1,1,--AND(IF($AC89&gt;0,INDEX(DL$7:DL$106,$AC89),1),IF($AD89&gt;0,INDEX(DL$7:DL$106,$AD89),1),IF($AE89&gt;0,INDEX(DL$7:DL$106,$AE89),1),IF($AF89&gt;0,INDEX(DL$7:DL$106,$AF89),1),IF($AG89&gt;0,INDEX(DL$7:DL$106,$AG89),1),IF($AH89&gt;0,INDEX(DL$7:DL$106,$AH89),1),IF($AI89&gt;0,INDEX(DL$7:DL$106,$AI89),1),IF($AJ89&gt;0,INDEX(DL$7:DL$106,$AJ89),1))))</ns0:f>
        <ns0:v>1</ns0:v>
      </ns0:c>
      <ns0:c r="DN89" t="n">
        <ns0:f>IF($A89="",1,IF(DM89=1,1,--AND(IF($AC89&gt;0,INDEX(DM$7:DM$106,$AC89),1),IF($AD89&gt;0,INDEX(DM$7:DM$106,$AD89),1),IF($AE89&gt;0,INDEX(DM$7:DM$106,$AE89),1),IF($AF89&gt;0,INDEX(DM$7:DM$106,$AF89),1),IF($AG89&gt;0,INDEX(DM$7:DM$106,$AG89),1),IF($AH89&gt;0,INDEX(DM$7:DM$106,$AH89),1),IF($AI89&gt;0,INDEX(DM$7:DM$106,$AI89),1),IF($AJ89&gt;0,INDEX(DM$7:DM$106,$AJ89),1))))</ns0:f>
        <ns0:v>1</ns0:v>
      </ns0:c>
      <ns0:c r="DO89" t="n">
        <ns0:f>IF($A89="",1,IF(DN89=1,1,--AND(IF($AC89&gt;0,INDEX(DN$7:DN$106,$AC89),1),IF($AD89&gt;0,INDEX(DN$7:DN$106,$AD89),1),IF($AE89&gt;0,INDEX(DN$7:DN$106,$AE89),1),IF($AF89&gt;0,INDEX(DN$7:DN$106,$AF89),1),IF($AG89&gt;0,INDEX(DN$7:DN$106,$AG89),1),IF($AH89&gt;0,INDEX(DN$7:DN$106,$AH89),1),IF($AI89&gt;0,INDEX(DN$7:DN$106,$AI89),1),IF($AJ89&gt;0,INDEX(DN$7:DN$106,$AJ89),1))))</ns0:f>
        <ns0:v>1</ns0:v>
      </ns0:c>
      <ns0:c r="DP89" t="n">
        <ns0:f>IF($A89="",1,IF(DO89=1,1,--AND(IF($AC89&gt;0,INDEX(DO$7:DO$106,$AC89),1),IF($AD89&gt;0,INDEX(DO$7:DO$106,$AD89),1),IF($AE89&gt;0,INDEX(DO$7:DO$106,$AE89),1),IF($AF89&gt;0,INDEX(DO$7:DO$106,$AF89),1),IF($AG89&gt;0,INDEX(DO$7:DO$106,$AG89),1),IF($AH89&gt;0,INDEX(DO$7:DO$106,$AH89),1),IF($AI89&gt;0,INDEX(DO$7:DO$106,$AI89),1),IF($AJ89&gt;0,INDEX(DO$7:DO$106,$AJ89),1))))</ns0:f>
        <ns0:v>1</ns0:v>
      </ns0:c>
      <ns0:c r="DQ89" t="n">
        <ns0:f>IF($A89="",1,IF(DP89=1,1,--AND(IF($AC89&gt;0,INDEX(DP$7:DP$106,$AC89),1),IF($AD89&gt;0,INDEX(DP$7:DP$106,$AD89),1),IF($AE89&gt;0,INDEX(DP$7:DP$106,$AE89),1),IF($AF89&gt;0,INDEX(DP$7:DP$106,$AF89),1),IF($AG89&gt;0,INDEX(DP$7:DP$106,$AG89),1),IF($AH89&gt;0,INDEX(DP$7:DP$106,$AH89),1),IF($AI89&gt;0,INDEX(DP$7:DP$106,$AI89),1),IF($AJ89&gt;0,INDEX(DP$7:DP$106,$AJ89),1))))</ns0:f>
        <ns0:v>1</ns0:v>
      </ns0:c>
      <ns0:c r="DR89" t="n">
        <ns0:f>IF($A89="",1,IF(DQ89=1,1,--AND(IF($AC89&gt;0,INDEX(DQ$7:DQ$106,$AC89),1),IF($AD89&gt;0,INDEX(DQ$7:DQ$106,$AD89),1),IF($AE89&gt;0,INDEX(DQ$7:DQ$106,$AE89),1),IF($AF89&gt;0,INDEX(DQ$7:DQ$106,$AF89),1),IF($AG89&gt;0,INDEX(DQ$7:DQ$106,$AG89),1),IF($AH89&gt;0,INDEX(DQ$7:DQ$106,$AH89),1),IF($AI89&gt;0,INDEX(DQ$7:DQ$106,$AI89),1),IF($AJ89&gt;0,INDEX(DQ$7:DQ$106,$AJ89),1))))</ns0:f>
        <ns0:v>1</ns0:v>
      </ns0:c>
      <ns0:c r="DS89" t="n">
        <ns0:f>IF($A89="",1,IF(DR89=1,1,--AND(IF($AC89&gt;0,INDEX(DR$7:DR$106,$AC89),1),IF($AD89&gt;0,INDEX(DR$7:DR$106,$AD89),1),IF($AE89&gt;0,INDEX(DR$7:DR$106,$AE89),1),IF($AF89&gt;0,INDEX(DR$7:DR$106,$AF89),1),IF($AG89&gt;0,INDEX(DR$7:DR$106,$AG89),1),IF($AH89&gt;0,INDEX(DR$7:DR$106,$AH89),1),IF($AI89&gt;0,INDEX(DR$7:DR$106,$AI89),1),IF($AJ89&gt;0,INDEX(DR$7:DR$106,$AJ89),1))))</ns0:f>
        <ns0:v>1</ns0:v>
      </ns0:c>
      <ns0:c r="DT89" t="n">
        <ns0:f>IF($A89="",1,IF(DS89=1,1,--AND(IF($AC89&gt;0,INDEX(DS$7:DS$106,$AC89),1),IF($AD89&gt;0,INDEX(DS$7:DS$106,$AD89),1),IF($AE89&gt;0,INDEX(DS$7:DS$106,$AE89),1),IF($AF89&gt;0,INDEX(DS$7:DS$106,$AF89),1),IF($AG89&gt;0,INDEX(DS$7:DS$106,$AG89),1),IF($AH89&gt;0,INDEX(DS$7:DS$106,$AH89),1),IF($AI89&gt;0,INDEX(DS$7:DS$106,$AI89),1),IF($AJ89&gt;0,INDEX(DS$7:DS$106,$AJ89),1))))</ns0:f>
        <ns0:v>1</ns0:v>
      </ns0:c>
      <ns0:c r="DU89" t="n">
        <ns0:f>IF($A89="",1,IF(DT89=1,1,--AND(IF($AC89&gt;0,INDEX(DT$7:DT$106,$AC89),1),IF($AD89&gt;0,INDEX(DT$7:DT$106,$AD89),1),IF($AE89&gt;0,INDEX(DT$7:DT$106,$AE89),1),IF($AF89&gt;0,INDEX(DT$7:DT$106,$AF89),1),IF($AG89&gt;0,INDEX(DT$7:DT$106,$AG89),1),IF($AH89&gt;0,INDEX(DT$7:DT$106,$AH89),1),IF($AI89&gt;0,INDEX(DT$7:DT$106,$AI89),1),IF($AJ89&gt;0,INDEX(DT$7:DT$106,$AJ89),1))))</ns0:f>
        <ns0:v>1</ns0:v>
      </ns0:c>
      <ns0:c r="DV89" t="n">
        <ns0:f>IF($A89="",1,IF(DU89=1,1,--AND(IF($AC89&gt;0,INDEX(DU$7:DU$106,$AC89),1),IF($AD89&gt;0,INDEX(DU$7:DU$106,$AD89),1),IF($AE89&gt;0,INDEX(DU$7:DU$106,$AE89),1),IF($AF89&gt;0,INDEX(DU$7:DU$106,$AF89),1),IF($AG89&gt;0,INDEX(DU$7:DU$106,$AG89),1),IF($AH89&gt;0,INDEX(DU$7:DU$106,$AH89),1),IF($AI89&gt;0,INDEX(DU$7:DU$106,$AI89),1),IF($AJ89&gt;0,INDEX(DU$7:DU$106,$AJ89),1))))</ns0:f>
        <ns0:v>1</ns0:v>
      </ns0:c>
      <ns0:c r="DW89" t="n">
        <ns0:f>IF($A89="",1,IF(DV89=1,1,--AND(IF($AC89&gt;0,INDEX(DV$7:DV$106,$AC89),1),IF($AD89&gt;0,INDEX(DV$7:DV$106,$AD89),1),IF($AE89&gt;0,INDEX(DV$7:DV$106,$AE89),1),IF($AF89&gt;0,INDEX(DV$7:DV$106,$AF89),1),IF($AG89&gt;0,INDEX(DV$7:DV$106,$AG89),1),IF($AH89&gt;0,INDEX(DV$7:DV$106,$AH89),1),IF($AI89&gt;0,INDEX(DV$7:DV$106,$AI89),1),IF($AJ89&gt;0,INDEX(DV$7:DV$106,$AJ89),1))))</ns0:f>
        <ns0:v>1</ns0:v>
      </ns0:c>
      <ns0:c r="DX89" t="n">
        <ns0:f>IF($A89="",1,IF(DW89=1,1,--AND(IF($AC89&gt;0,INDEX(DW$7:DW$106,$AC89),1),IF($AD89&gt;0,INDEX(DW$7:DW$106,$AD89),1),IF($AE89&gt;0,INDEX(DW$7:DW$106,$AE89),1),IF($AF89&gt;0,INDEX(DW$7:DW$106,$AF89),1),IF($AG89&gt;0,INDEX(DW$7:DW$106,$AG89),1),IF($AH89&gt;0,INDEX(DW$7:DW$106,$AH89),1),IF($AI89&gt;0,INDEX(DW$7:DW$106,$AI89),1),IF($AJ89&gt;0,INDEX(DW$7:DW$106,$AJ89),1))))</ns0:f>
        <ns0:v>1</ns0:v>
      </ns0:c>
      <ns0:c r="DY89" t="n">
        <ns0:f>IF($A89="",1,IF(DX89=1,1,--AND(IF($AC89&gt;0,INDEX(DX$7:DX$106,$AC89),1),IF($AD89&gt;0,INDEX(DX$7:DX$106,$AD89),1),IF($AE89&gt;0,INDEX(DX$7:DX$106,$AE89),1),IF($AF89&gt;0,INDEX(DX$7:DX$106,$AF89),1),IF($AG89&gt;0,INDEX(DX$7:DX$106,$AG89),1),IF($AH89&gt;0,INDEX(DX$7:DX$106,$AH89),1),IF($AI89&gt;0,INDEX(DX$7:DX$106,$AI89),1),IF($AJ89&gt;0,INDEX(DX$7:DX$106,$AJ89),1))))</ns0:f>
        <ns0:v>1</ns0:v>
      </ns0:c>
      <ns0:c r="DZ89" t="n">
        <ns0:f>IF($A89="",1,IF(DY89=1,1,--AND(IF($AC89&gt;0,INDEX(DY$7:DY$106,$AC89),1),IF($AD89&gt;0,INDEX(DY$7:DY$106,$AD89),1),IF($AE89&gt;0,INDEX(DY$7:DY$106,$AE89),1),IF($AF89&gt;0,INDEX(DY$7:DY$106,$AF89),1),IF($AG89&gt;0,INDEX(DY$7:DY$106,$AG89),1),IF($AH89&gt;0,INDEX(DY$7:DY$106,$AH89),1),IF($AI89&gt;0,INDEX(DY$7:DY$106,$AI89),1),IF($AJ89&gt;0,INDEX(DY$7:DY$106,$AJ89),1))))</ns0:f>
        <ns0:v>1</ns0:v>
      </ns0:c>
      <ns0:c r="EA89" t="n">
        <ns0:f>IF($A89="",1,IF(DZ89=1,1,--AND(IF($AC89&gt;0,INDEX(DZ$7:DZ$106,$AC89),1),IF($AD89&gt;0,INDEX(DZ$7:DZ$106,$AD89),1),IF($AE89&gt;0,INDEX(DZ$7:DZ$106,$AE89),1),IF($AF89&gt;0,INDEX(DZ$7:DZ$106,$AF89),1),IF($AG89&gt;0,INDEX(DZ$7:DZ$106,$AG89),1),IF($AH89&gt;0,INDEX(DZ$7:DZ$106,$AH89),1),IF($AI89&gt;0,INDEX(DZ$7:DZ$106,$AI89),1),IF($AJ89&gt;0,INDEX(DZ$7:DZ$106,$AJ89),1))))</ns0:f>
        <ns0:v>1</ns0:v>
      </ns0:c>
      <ns0:c r="EB89" t="n">
        <ns0:f>IF($A89="",1,IF(EA89=1,1,--AND(IF($AC89&gt;0,INDEX(EA$7:EA$106,$AC89),1),IF($AD89&gt;0,INDEX(EA$7:EA$106,$AD89),1),IF($AE89&gt;0,INDEX(EA$7:EA$106,$AE89),1),IF($AF89&gt;0,INDEX(EA$7:EA$106,$AF89),1),IF($AG89&gt;0,INDEX(EA$7:EA$106,$AG89),1),IF($AH89&gt;0,INDEX(EA$7:EA$106,$AH89),1),IF($AI89&gt;0,INDEX(EA$7:EA$106,$AI89),1),IF($AJ89&gt;0,INDEX(EA$7:EA$106,$AJ89),1))))</ns0:f>
        <ns0:v>1</ns0:v>
      </ns0:c>
      <ns0:c r="EC89" t="n">
        <ns0:f>IF($A89="",1,IF(EB89=1,1,--AND(IF($AC89&gt;0,INDEX(EB$7:EB$106,$AC89),1),IF($AD89&gt;0,INDEX(EB$7:EB$106,$AD89),1),IF($AE89&gt;0,INDEX(EB$7:EB$106,$AE89),1),IF($AF89&gt;0,INDEX(EB$7:EB$106,$AF89),1),IF($AG89&gt;0,INDEX(EB$7:EB$106,$AG89),1),IF($AH89&gt;0,INDEX(EB$7:EB$106,$AH89),1),IF($AI89&gt;0,INDEX(EB$7:EB$106,$AI89),1),IF($AJ89&gt;0,INDEX(EB$7:EB$106,$AJ89),1))))</ns0:f>
        <ns0:v>1</ns0:v>
      </ns0:c>
      <ns0:c r="ED89" t="n">
        <ns0:f>IF($A89="",1,IF(EC89=1,1,--AND(IF($AC89&gt;0,INDEX(EC$7:EC$106,$AC89),1),IF($AD89&gt;0,INDEX(EC$7:EC$106,$AD89),1),IF($AE89&gt;0,INDEX(EC$7:EC$106,$AE89),1),IF($AF89&gt;0,INDEX(EC$7:EC$106,$AF89),1),IF($AG89&gt;0,INDEX(EC$7:EC$106,$AG89),1),IF($AH89&gt;0,INDEX(EC$7:EC$106,$AH89),1),IF($AI89&gt;0,INDEX(EC$7:EC$106,$AI89),1),IF($AJ89&gt;0,INDEX(EC$7:EC$106,$AJ89),1))))</ns0:f>
        <ns0:v>1</ns0:v>
      </ns0:c>
      <ns0:c r="EE89" t="n">
        <ns0:f>IF($A89="",1,IF(ED89=1,1,--AND(IF($AC89&gt;0,INDEX(ED$7:ED$106,$AC89),1),IF($AD89&gt;0,INDEX(ED$7:ED$106,$AD89),1),IF($AE89&gt;0,INDEX(ED$7:ED$106,$AE89),1),IF($AF89&gt;0,INDEX(ED$7:ED$106,$AF89),1),IF($AG89&gt;0,INDEX(ED$7:ED$106,$AG89),1),IF($AH89&gt;0,INDEX(ED$7:ED$106,$AH89),1),IF($AI89&gt;0,INDEX(ED$7:ED$106,$AI89),1),IF($AJ89&gt;0,INDEX(ED$7:ED$106,$AJ89),1))))</ns0:f>
        <ns0:v>1</ns0:v>
      </ns0:c>
      <ns0:c r="EF89" t="n">
        <ns0:f>IF($A89="",1,IF(EE89=1,1,--AND(IF($AC89&gt;0,INDEX(EE$7:EE$106,$AC89),1),IF($AD89&gt;0,INDEX(EE$7:EE$106,$AD89),1),IF($AE89&gt;0,INDEX(EE$7:EE$106,$AE89),1),IF($AF89&gt;0,INDEX(EE$7:EE$106,$AF89),1),IF($AG89&gt;0,INDEX(EE$7:EE$106,$AG89),1),IF($AH89&gt;0,INDEX(EE$7:EE$106,$AH89),1),IF($AI89&gt;0,INDEX(EE$7:EE$106,$AI89),1),IF($AJ89&gt;0,INDEX(EE$7:EE$106,$AJ89),1))))</ns0:f>
        <ns0:v>1</ns0:v>
      </ns0:c>
      <ns0:c r="EG89" t="n">
        <ns0:f>IF($A89="",1,IF(EF89=1,1,--AND(IF($AC89&gt;0,INDEX(EF$7:EF$106,$AC89),1),IF($AD89&gt;0,INDEX(EF$7:EF$106,$AD89),1),IF($AE89&gt;0,INDEX(EF$7:EF$106,$AE89),1),IF($AF89&gt;0,INDEX(EF$7:EF$106,$AF89),1),IF($AG89&gt;0,INDEX(EF$7:EF$106,$AG89),1),IF($AH89&gt;0,INDEX(EF$7:EF$106,$AH89),1),IF($AI89&gt;0,INDEX(EF$7:EF$106,$AI89),1),IF($AJ89&gt;0,INDEX(EF$7:EF$106,$AJ89),1))))</ns0:f>
        <ns0:v>1</ns0:v>
      </ns0:c>
      <ns0:c r="EH89" t="n">
        <ns0:f>IF($A89="",1,IF(EG89=1,1,--AND(IF($AC89&gt;0,INDEX(EG$7:EG$106,$AC89),1),IF($AD89&gt;0,INDEX(EG$7:EG$106,$AD89),1),IF($AE89&gt;0,INDEX(EG$7:EG$106,$AE89),1),IF($AF89&gt;0,INDEX(EG$7:EG$106,$AF89),1),IF($AG89&gt;0,INDEX(EG$7:EG$106,$AG89),1),IF($AH89&gt;0,INDEX(EG$7:EG$106,$AH89),1),IF($AI89&gt;0,INDEX(EG$7:EG$106,$AI89),1),IF($AJ89&gt;0,INDEX(EG$7:EG$106,$AJ89),1))))</ns0:f>
        <ns0:v>1</ns0:v>
      </ns0:c>
      <ns0:c r="EI89" t="n">
        <ns0:f>IF($A89="",1,IF(EH89=1,1,--AND(IF($AC89&gt;0,INDEX(EH$7:EH$106,$AC89),1),IF($AD89&gt;0,INDEX(EH$7:EH$106,$AD89),1),IF($AE89&gt;0,INDEX(EH$7:EH$106,$AE89),1),IF($AF89&gt;0,INDEX(EH$7:EH$106,$AF89),1),IF($AG89&gt;0,INDEX(EH$7:EH$106,$AG89),1),IF($AH89&gt;0,INDEX(EH$7:EH$106,$AH89),1),IF($AI89&gt;0,INDEX(EH$7:EH$106,$AI89),1),IF($AJ89&gt;0,INDEX(EH$7:EH$106,$AJ89),1))))</ns0:f>
        <ns0:v>1</ns0:v>
      </ns0:c>
      <ns0:c r="EJ89" t="n">
        <ns0:f>IF($A89="",1,IF(EI89=1,1,--AND(IF($AC89&gt;0,INDEX(EI$7:EI$106,$AC89),1),IF($AD89&gt;0,INDEX(EI$7:EI$106,$AD89),1),IF($AE89&gt;0,INDEX(EI$7:EI$106,$AE89),1),IF($AF89&gt;0,INDEX(EI$7:EI$106,$AF89),1),IF($AG89&gt;0,INDEX(EI$7:EI$106,$AG89),1),IF($AH89&gt;0,INDEX(EI$7:EI$106,$AH89),1),IF($AI89&gt;0,INDEX(EI$7:EI$106,$AI89),1),IF($AJ89&gt;0,INDEX(EI$7:EI$106,$AJ89),1))))</ns0:f>
        <ns0:v>1</ns0:v>
      </ns0:c>
      <ns0:c r="EK89" t="n">
        <ns0:f>IF($A89="",1,IF(EJ89=1,1,--AND(IF($AC89&gt;0,INDEX(EJ$7:EJ$106,$AC89),1),IF($AD89&gt;0,INDEX(EJ$7:EJ$106,$AD89),1),IF($AE89&gt;0,INDEX(EJ$7:EJ$106,$AE89),1),IF($AF89&gt;0,INDEX(EJ$7:EJ$106,$AF89),1),IF($AG89&gt;0,INDEX(EJ$7:EJ$106,$AG89),1),IF($AH89&gt;0,INDEX(EJ$7:EJ$106,$AH89),1),IF($AI89&gt;0,INDEX(EJ$7:EJ$106,$AI89),1),IF($AJ89&gt;0,INDEX(EJ$7:EJ$106,$AJ89),1))))</ns0:f>
        <ns0:v>1</ns0:v>
      </ns0:c>
      <ns0:c r="EL89" t="n">
        <ns0:f>IF($A89="",1,IF(EK89=1,1,--AND(IF($AC89&gt;0,INDEX(EK$7:EK$106,$AC89),1),IF($AD89&gt;0,INDEX(EK$7:EK$106,$AD89),1),IF($AE89&gt;0,INDEX(EK$7:EK$106,$AE89),1),IF($AF89&gt;0,INDEX(EK$7:EK$106,$AF89),1),IF($AG89&gt;0,INDEX(EK$7:EK$106,$AG89),1),IF($AH89&gt;0,INDEX(EK$7:EK$106,$AH89),1),IF($AI89&gt;0,INDEX(EK$7:EK$106,$AI89),1),IF($AJ89&gt;0,INDEX(EK$7:EK$106,$AJ89),1))))</ns0:f>
        <ns0:v>1</ns0:v>
      </ns0:c>
      <ns0:c r="EM89" t="n">
        <ns0:f>IF($A89="",1,IF(EL89=1,1,--AND(IF($AC89&gt;0,INDEX(EL$7:EL$106,$AC89),1),IF($AD89&gt;0,INDEX(EL$7:EL$106,$AD89),1),IF($AE89&gt;0,INDEX(EL$7:EL$106,$AE89),1),IF($AF89&gt;0,INDEX(EL$7:EL$106,$AF89),1),IF($AG89&gt;0,INDEX(EL$7:EL$106,$AG89),1),IF($AH89&gt;0,INDEX(EL$7:EL$106,$AH89),1),IF($AI89&gt;0,INDEX(EL$7:EL$106,$AI89),1),IF($AJ89&gt;0,INDEX(EL$7:EL$106,$AJ89),1))))</ns0:f>
        <ns0:v>1</ns0:v>
      </ns0:c>
      <ns0:c r="EN89" t="n">
        <ns0:f>IF($A89="",1,IF(EM89=1,1,--AND(IF($AC89&gt;0,INDEX(EM$7:EM$106,$AC89),1),IF($AD89&gt;0,INDEX(EM$7:EM$106,$AD89),1),IF($AE89&gt;0,INDEX(EM$7:EM$106,$AE89),1),IF($AF89&gt;0,INDEX(EM$7:EM$106,$AF89),1),IF($AG89&gt;0,INDEX(EM$7:EM$106,$AG89),1),IF($AH89&gt;0,INDEX(EM$7:EM$106,$AH89),1),IF($AI89&gt;0,INDEX(EM$7:EM$106,$AI89),1),IF($AJ89&gt;0,INDEX(EM$7:EM$106,$AJ89),1))))</ns0:f>
        <ns0:v>1</ns0:v>
      </ns0:c>
      <ns0:c r="EO89" t="n">
        <ns0:f>IF($A89="",1,IF(EN89=1,1,--AND(IF($AC89&gt;0,INDEX(EN$7:EN$106,$AC89),1),IF($AD89&gt;0,INDEX(EN$7:EN$106,$AD89),1),IF($AE89&gt;0,INDEX(EN$7:EN$106,$AE89),1),IF($AF89&gt;0,INDEX(EN$7:EN$106,$AF89),1),IF($AG89&gt;0,INDEX(EN$7:EN$106,$AG89),1),IF($AH89&gt;0,INDEX(EN$7:EN$106,$AH89),1),IF($AI89&gt;0,INDEX(EN$7:EN$106,$AI89),1),IF($AJ89&gt;0,INDEX(EN$7:EN$106,$AJ89),1))))</ns0:f>
        <ns0:v>1</ns0:v>
      </ns0:c>
      <ns0:c r="EP89" t="n">
        <ns0:f>IF($A89="",1,IF(EO89=1,1,--AND(IF($AC89&gt;0,INDEX(EO$7:EO$106,$AC89),1),IF($AD89&gt;0,INDEX(EO$7:EO$106,$AD89),1),IF($AE89&gt;0,INDEX(EO$7:EO$106,$AE89),1),IF($AF89&gt;0,INDEX(EO$7:EO$106,$AF89),1),IF($AG89&gt;0,INDEX(EO$7:EO$106,$AG89),1),IF($AH89&gt;0,INDEX(EO$7:EO$106,$AH89),1),IF($AI89&gt;0,INDEX(EO$7:EO$106,$AI89),1),IF($AJ89&gt;0,INDEX(EO$7:EO$106,$AJ89),1))))</ns0:f>
        <ns0:v>1</ns0:v>
      </ns0:c>
      <ns0:c r="EQ89" t="n">
        <ns0:f>IF(OR(A89="",NOT(ISNUMBER(G89))),0,G89*N89)</ns0:f>
        <ns0:v>0</ns0:v>
      </ns0:c>
    </ns0:row>
    <ns0:row r="90" ht="62" customHeight="1">
      <ns0:c r="A90" s="48"/>
      <ns0:c r="B90" s="48"/>
      <ns0:c r="C90" s="48"/>
      <ns0:c r="D90" s="48"/>
      <ns0:c r="E90" s="49"/>
      <ns0:c r="F90" s="49"/>
      <ns0:c r="G90" s="13" t="str">
        <ns0:f>IF(A90="","",IF(OR(NOT(ISNUMBER(E90)),NOT(ISNUMBER(F90)),F90&lt;E90),"",IF(J90="Yes",0,F90-E90+1)))</ns0:f>
      </ns0:c>
      <ns0:c r="H90" s="48"/>
      <ns0:c r="I90" s="48"/>
      <ns0:c r="J90" s="48"/>
      <ns0:c r="K90" s="48"/>
      <ns0:c r="L90" s="48"/>
      <ns0:c r="M90" s="50" t="str">
        <ns0:f>IF(A90="","",IF(N90=1,"Completed",IF(N90&gt;0,"In Progress","Not Started")))</ns0:f>
      </ns0:c>
      <ns0:c r="N90" s="51"/>
      <ns0:c r="O90" s="13" t="str">
        <ns0:f>IF(A90="","",IF(R90&lt;&gt;"","[CONFLICT] "&amp;R90,IF(S90&lt;&gt;"","[CONFLICT] "&amp;S90,IF(OR(NOT(ISNUMBER(N90)),N90&lt;0,N90&gt;1),"[CONFLICT] Invalid progress",IF(AK90&gt;0,"[DEPENDENCY ISSUE] Missing ID / &gt;8 links",IF(AM90&gt;0,"[DEPENDENCY ISSUE] Cycle or blocked by cycle",IF(AND(H90&lt;&gt;"",ISNA(MATCH(I90,{"FS","SS","FF","SF"},0))),"[DEPENDENCY ISSUE] Invalid type",IF(AL90&gt;0,"[DEPENDENCY ISSUE] Timing conflict",IF(OR(E90&lt;ProjectStart,F90&gt;ProjectEnd),"[OUTSIDE WINDOW]",IF(AND(N90&lt;1,F90&lt;AsOfDate),"Overdue",IF(AND(M90&lt;&gt;Q90,M90&lt;&gt;""),"[CONFLICT] Status / progress","On track")))))))))))</ns0:f>
      </ns0:c>
      <ns0:c r="P90" s="52"/>
      <ns0:c r="Q90" t="str">
        <ns0:f>IF(A90="","",IF(OR(M90="On Hold",M90="Delayed"),M90,IF(N90=1,"Completed",IF(N90&gt;0,"In Progress","Not Started"))))</ns0:f>
      </ns0:c>
      <ns0:c r="R90" t="str">
        <ns0:f>IF(A90="","",IF(COUNTIFS(Tasks[Task ID],A90)&lt;&gt;1,"Duplicate ID",""))</ns0:f>
      </ns0:c>
      <ns0:c r="S90" t="str">
        <ns0:f>IF(A90="","",IF(OR(NOT(ISNUMBER(E90)),NOT(ISNUMBER(F90))),"Invalid / missing date",IF(OR(E90&lt;&gt;INT(E90),F90&lt;&gt;INT(F90),E90&lt;1,F90&gt;2958465),"Invalid date",IF(F90&lt;E90,"End before start",IF(AND(J90="Yes",E90&lt;&gt;F90),"Milestone needs one date","")))))</ns0:f>
      </ns0:c>
      <ns0:c r="T90" t="n">
        <ns0:f>IF(H90="",0,LEN(H90)-LEN(SUBSTITUTE(H90,",",""))+1)</ns0:f>
        <ns0:v>0</ns0:v>
      </ns0:c>
      <ns0:c r="U90" t="str">
        <ns0:f>TRIM(MID(SUBSTITUTE($H90,",",REPT(" ",100)),1,100))</ns0:f>
      </ns0:c>
      <ns0:c r="V90" t="str">
        <ns0:f>TRIM(MID(SUBSTITUTE($H90,",",REPT(" ",100)),101,100))</ns0:f>
      </ns0:c>
      <ns0:c r="W90" t="str">
        <ns0:f>TRIM(MID(SUBSTITUTE($H90,",",REPT(" ",100)),201,100))</ns0:f>
      </ns0:c>
      <ns0:c r="X90" t="str">
        <ns0:f>TRIM(MID(SUBSTITUTE($H90,",",REPT(" ",100)),301,100))</ns0:f>
      </ns0:c>
      <ns0:c r="Y90" t="str">
        <ns0:f>TRIM(MID(SUBSTITUTE($H90,",",REPT(" ",100)),401,100))</ns0:f>
      </ns0:c>
      <ns0:c r="Z90" t="str">
        <ns0:f>TRIM(MID(SUBSTITUTE($H90,",",REPT(" ",100)),501,100))</ns0:f>
      </ns0:c>
      <ns0:c r="AA90" t="str">
        <ns0:f>TRIM(MID(SUBSTITUTE($H90,",",REPT(" ",100)),601,100))</ns0:f>
      </ns0:c>
      <ns0:c r="AB90" t="str">
        <ns0:f>TRIM(MID(SUBSTITUTE($H90,",",REPT(" ",100)),701,100))</ns0:f>
      </ns0:c>
      <ns0:c r="AC90" t="n">
        <ns0:f>IF(U90="",0,IF(COUNTIFS(Tasks[Task ID],U90)=1,MATCH(U90,Tasks[Task ID],0),-1))</ns0:f>
        <ns0:v>0</ns0:v>
      </ns0:c>
      <ns0:c r="AD90" t="n">
        <ns0:f>IF(V90="",0,IF(COUNTIFS(Tasks[Task ID],V90)=1,MATCH(V90,Tasks[Task ID],0),-1))</ns0:f>
        <ns0:v>0</ns0:v>
      </ns0:c>
      <ns0:c r="AE90" t="n">
        <ns0:f>IF(W90="",0,IF(COUNTIFS(Tasks[Task ID],W90)=1,MATCH(W90,Tasks[Task ID],0),-1))</ns0:f>
        <ns0:v>0</ns0:v>
      </ns0:c>
      <ns0:c r="AF90" t="n">
        <ns0:f>IF(X90="",0,IF(COUNTIFS(Tasks[Task ID],X90)=1,MATCH(X90,Tasks[Task ID],0),-1))</ns0:f>
        <ns0:v>0</ns0:v>
      </ns0:c>
      <ns0:c r="AG90" t="n">
        <ns0:f>IF(Y90="",0,IF(COUNTIFS(Tasks[Task ID],Y90)=1,MATCH(Y90,Tasks[Task ID],0),-1))</ns0:f>
        <ns0:v>0</ns0:v>
      </ns0:c>
      <ns0:c r="AH90" t="n">
        <ns0:f>IF(Z90="",0,IF(COUNTIFS(Tasks[Task ID],Z90)=1,MATCH(Z90,Tasks[Task ID],0),-1))</ns0:f>
        <ns0:v>0</ns0:v>
      </ns0:c>
      <ns0:c r="AI90" t="n">
        <ns0:f>IF(AA90="",0,IF(COUNTIFS(Tasks[Task ID],AA90)=1,MATCH(AA90,Tasks[Task ID],0),-1))</ns0:f>
        <ns0:v>0</ns0:v>
      </ns0:c>
      <ns0:c r="AJ90" t="n">
        <ns0:f>IF(AB90="",0,IF(COUNTIFS(Tasks[Task ID],AB90)=1,MATCH(AB90,Tasks[Task ID],0),-1))</ns0:f>
        <ns0:v>0</ns0:v>
      </ns0:c>
      <ns0:c r="AK90" t="n">
        <ns0:f>COUNTIFS(AC90:AJ90,-1)+IF(T90&gt;8,1,0)</ns0:f>
        <ns0:v>0</ns0:v>
      </ns0:c>
      <ns0:c r="AL90" t="n">
        <ns0:f>IF(OR(A90="",S90&lt;&gt;""),0,SUM(IF(AC90&gt;0,IF($I90="FS",--($E90&lt;INDEX(Tasks[End Date],AC90)+IF(INDEX(Tasks[Milestone],AC90)="Yes",0,1)),IF($I90="SS",--($E90&lt;INDEX(Tasks[Start Date],AC90)),IF($I90="FF",--($F90&lt;INDEX(Tasks[End Date],AC90)),IF($I90="SF",--($F90&lt;INDEX(Tasks[Start Date],AC90)),0)))),0),IF(AD90&gt;0,IF($I90="FS",--($E90&lt;INDEX(Tasks[End Date],AD90)+IF(INDEX(Tasks[Milestone],AD90)="Yes",0,1)),IF($I90="SS",--($E90&lt;INDEX(Tasks[Start Date],AD90)),IF($I90="FF",--($F90&lt;INDEX(Tasks[End Date],AD90)),IF($I90="SF",--($F90&lt;INDEX(Tasks[Start Date],AD90)),0)))),0),IF(AE90&gt;0,IF($I90="FS",--($E90&lt;INDEX(Tasks[End Date],AE90)+IF(INDEX(Tasks[Milestone],AE90)="Yes",0,1)),IF($I90="SS",--($E90&lt;INDEX(Tasks[Start Date],AE90)),IF($I90="FF",--($F90&lt;INDEX(Tasks[End Date],AE90)),IF($I90="SF",--($F90&lt;INDEX(Tasks[Start Date],AE90)),0)))),0),IF(AF90&gt;0,IF($I90="FS",--($E90&lt;INDEX(Tasks[End Date],AF90)+IF(INDEX(Tasks[Milestone],AF90)="Yes",0,1)),IF($I90="SS",--($E90&lt;INDEX(Tasks[Start Date],AF90)),IF($I90="FF",--($F90&lt;INDEX(Tasks[End Date],AF90)),IF($I90="SF",--($F90&lt;INDEX(Tasks[Start Date],AF90)),0)))),0),IF(AG90&gt;0,IF($I90="FS",--($E90&lt;INDEX(Tasks[End Date],AG90)+IF(INDEX(Tasks[Milestone],AG90)="Yes",0,1)),IF($I90="SS",--($E90&lt;INDEX(Tasks[Start Date],AG90)),IF($I90="FF",--($F90&lt;INDEX(Tasks[End Date],AG90)),IF($I90="SF",--($F90&lt;INDEX(Tasks[Start Date],AG90)),0)))),0),IF(AH90&gt;0,IF($I90="FS",--($E90&lt;INDEX(Tasks[End Date],AH90)+IF(INDEX(Tasks[Milestone],AH90)="Yes",0,1)),IF($I90="SS",--($E90&lt;INDEX(Tasks[Start Date],AH90)),IF($I90="FF",--($F90&lt;INDEX(Tasks[End Date],AH90)),IF($I90="SF",--($F90&lt;INDEX(Tasks[Start Date],AH90)),0)))),0),IF(AI90&gt;0,IF($I90="FS",--($E90&lt;INDEX(Tasks[End Date],AI90)+IF(INDEX(Tasks[Milestone],AI90)="Yes",0,1)),IF($I90="SS",--($E90&lt;INDEX(Tasks[Start Date],AI90)),IF($I90="FF",--($F90&lt;INDEX(Tasks[End Date],AI90)),IF($I90="SF",--($F90&lt;INDEX(Tasks[Start Date],AI90)),0)))),0),IF(AJ90&gt;0,IF($I90="FS",--($E90&lt;INDEX(Tasks[End Date],AJ90)+IF(INDEX(Tasks[Milestone],AJ90)="Yes",0,1)),IF($I90="SS",--($E90&lt;INDEX(Tasks[Start Date],AJ90)),IF($I90="FF",--($F90&lt;INDEX(Tasks[End Date],AJ90)),IF($I90="SF",--($F90&lt;INDEX(Tasks[Start Date],AJ90)),0)))),0)))</ns0:f>
        <ns0:v>0</ns0:v>
      </ns0:c>
      <ns0:c r="AM90" t="n">
        <ns0:f>IF(AND(A90&lt;&gt;"",AK90=0,EP90=0),1,0)</ns0:f>
        <ns0:v>0</ns0:v>
      </ns0:c>
      <ns0:c r="AN90" t="str">
        <ns0:f>IF(OR(A90="",B90=""),"",IF(COUNTIFS($B$7:B90,B90)=1,MAX($AN$6:AN89)+1,""))</ns0:f>
      </ns0:c>
      <ns0:c r="AO90" t="n">
        <ns0:f>IF(AND(A90&lt;&gt;"",J90="No",N90&lt;1,E90&gt;=AsOfDate),E90+ROW()/10000,1E+9)</ns0:f>
        <ns0:v>1000000000</ns0:v>
      </ns0:c>
      <ns0:c r="AP90" t="n">
        <ns0:f>IF(AND(A90&lt;&gt;"",J90="Yes",N90&lt;1,E90&gt;=AsOfDate),E90+ROW()/10000,1E+9)</ns0:f>
        <ns0:v>1000000000</ns0:v>
      </ns0:c>
      <ns0:c r="AQ90" t="n">
        <ns0:f>IF(AND(A90&lt;&gt;"",J90="No",N90&lt;1,F90&gt;=AsOfDate,F90&lt;=AsOfDate+7),F90+ROW()/10000,1E+9)</ns0:f>
        <ns0:v>1000000000</ns0:v>
      </ns0:c>
      <ns0:c r="AR90" t="n">
        <ns0:f>IF(AND(A90&lt;&gt;"",OR(O90&lt;&gt;"On track",Q90="Delayed")),ROW(),1E+9)</ns0:f>
        <ns0:v>1000000000</ns0:v>
      </ns0:c>
      <ns0:c r="AS90" t="str">
        <ns0:f>IF(A90="","",";"&amp;K90&amp;";")</ns0:f>
      </ns0:c>
      <ns0:c r="AT90" t="n">
        <ns0:f>IF(A90="",1,--(T90=0))</ns0:f>
        <ns0:v>1</ns0:v>
      </ns0:c>
      <ns0:c r="AU90" t="n">
        <ns0:f>IF($A90="",1,IF(AT90=1,1,--AND(IF($AC90&gt;0,INDEX(AT$7:AT$106,$AC90),1),IF($AD90&gt;0,INDEX(AT$7:AT$106,$AD90),1),IF($AE90&gt;0,INDEX(AT$7:AT$106,$AE90),1),IF($AF90&gt;0,INDEX(AT$7:AT$106,$AF90),1),IF($AG90&gt;0,INDEX(AT$7:AT$106,$AG90),1),IF($AH90&gt;0,INDEX(AT$7:AT$106,$AH90),1),IF($AI90&gt;0,INDEX(AT$7:AT$106,$AI90),1),IF($AJ90&gt;0,INDEX(AT$7:AT$106,$AJ90),1))))</ns0:f>
        <ns0:v>1</ns0:v>
      </ns0:c>
      <ns0:c r="AV90" t="n">
        <ns0:f>IF($A90="",1,IF(AU90=1,1,--AND(IF($AC90&gt;0,INDEX(AU$7:AU$106,$AC90),1),IF($AD90&gt;0,INDEX(AU$7:AU$106,$AD90),1),IF($AE90&gt;0,INDEX(AU$7:AU$106,$AE90),1),IF($AF90&gt;0,INDEX(AU$7:AU$106,$AF90),1),IF($AG90&gt;0,INDEX(AU$7:AU$106,$AG90),1),IF($AH90&gt;0,INDEX(AU$7:AU$106,$AH90),1),IF($AI90&gt;0,INDEX(AU$7:AU$106,$AI90),1),IF($AJ90&gt;0,INDEX(AU$7:AU$106,$AJ90),1))))</ns0:f>
        <ns0:v>1</ns0:v>
      </ns0:c>
      <ns0:c r="AW90" t="n">
        <ns0:f>IF($A90="",1,IF(AV90=1,1,--AND(IF($AC90&gt;0,INDEX(AV$7:AV$106,$AC90),1),IF($AD90&gt;0,INDEX(AV$7:AV$106,$AD90),1),IF($AE90&gt;0,INDEX(AV$7:AV$106,$AE90),1),IF($AF90&gt;0,INDEX(AV$7:AV$106,$AF90),1),IF($AG90&gt;0,INDEX(AV$7:AV$106,$AG90),1),IF($AH90&gt;0,INDEX(AV$7:AV$106,$AH90),1),IF($AI90&gt;0,INDEX(AV$7:AV$106,$AI90),1),IF($AJ90&gt;0,INDEX(AV$7:AV$106,$AJ90),1))))</ns0:f>
        <ns0:v>1</ns0:v>
      </ns0:c>
      <ns0:c r="AX90" t="n">
        <ns0:f>IF($A90="",1,IF(AW90=1,1,--AND(IF($AC90&gt;0,INDEX(AW$7:AW$106,$AC90),1),IF($AD90&gt;0,INDEX(AW$7:AW$106,$AD90),1),IF($AE90&gt;0,INDEX(AW$7:AW$106,$AE90),1),IF($AF90&gt;0,INDEX(AW$7:AW$106,$AF90),1),IF($AG90&gt;0,INDEX(AW$7:AW$106,$AG90),1),IF($AH90&gt;0,INDEX(AW$7:AW$106,$AH90),1),IF($AI90&gt;0,INDEX(AW$7:AW$106,$AI90),1),IF($AJ90&gt;0,INDEX(AW$7:AW$106,$AJ90),1))))</ns0:f>
        <ns0:v>1</ns0:v>
      </ns0:c>
      <ns0:c r="AY90" t="n">
        <ns0:f>IF($A90="",1,IF(AX90=1,1,--AND(IF($AC90&gt;0,INDEX(AX$7:AX$106,$AC90),1),IF($AD90&gt;0,INDEX(AX$7:AX$106,$AD90),1),IF($AE90&gt;0,INDEX(AX$7:AX$106,$AE90),1),IF($AF90&gt;0,INDEX(AX$7:AX$106,$AF90),1),IF($AG90&gt;0,INDEX(AX$7:AX$106,$AG90),1),IF($AH90&gt;0,INDEX(AX$7:AX$106,$AH90),1),IF($AI90&gt;0,INDEX(AX$7:AX$106,$AI90),1),IF($AJ90&gt;0,INDEX(AX$7:AX$106,$AJ90),1))))</ns0:f>
        <ns0:v>1</ns0:v>
      </ns0:c>
      <ns0:c r="AZ90" t="n">
        <ns0:f>IF($A90="",1,IF(AY90=1,1,--AND(IF($AC90&gt;0,INDEX(AY$7:AY$106,$AC90),1),IF($AD90&gt;0,INDEX(AY$7:AY$106,$AD90),1),IF($AE90&gt;0,INDEX(AY$7:AY$106,$AE90),1),IF($AF90&gt;0,INDEX(AY$7:AY$106,$AF90),1),IF($AG90&gt;0,INDEX(AY$7:AY$106,$AG90),1),IF($AH90&gt;0,INDEX(AY$7:AY$106,$AH90),1),IF($AI90&gt;0,INDEX(AY$7:AY$106,$AI90),1),IF($AJ90&gt;0,INDEX(AY$7:AY$106,$AJ90),1))))</ns0:f>
        <ns0:v>1</ns0:v>
      </ns0:c>
      <ns0:c r="BA90" t="n">
        <ns0:f>IF($A90="",1,IF(AZ90=1,1,--AND(IF($AC90&gt;0,INDEX(AZ$7:AZ$106,$AC90),1),IF($AD90&gt;0,INDEX(AZ$7:AZ$106,$AD90),1),IF($AE90&gt;0,INDEX(AZ$7:AZ$106,$AE90),1),IF($AF90&gt;0,INDEX(AZ$7:AZ$106,$AF90),1),IF($AG90&gt;0,INDEX(AZ$7:AZ$106,$AG90),1),IF($AH90&gt;0,INDEX(AZ$7:AZ$106,$AH90),1),IF($AI90&gt;0,INDEX(AZ$7:AZ$106,$AI90),1),IF($AJ90&gt;0,INDEX(AZ$7:AZ$106,$AJ90),1))))</ns0:f>
        <ns0:v>1</ns0:v>
      </ns0:c>
      <ns0:c r="BB90" t="n">
        <ns0:f>IF($A90="",1,IF(BA90=1,1,--AND(IF($AC90&gt;0,INDEX(BA$7:BA$106,$AC90),1),IF($AD90&gt;0,INDEX(BA$7:BA$106,$AD90),1),IF($AE90&gt;0,INDEX(BA$7:BA$106,$AE90),1),IF($AF90&gt;0,INDEX(BA$7:BA$106,$AF90),1),IF($AG90&gt;0,INDEX(BA$7:BA$106,$AG90),1),IF($AH90&gt;0,INDEX(BA$7:BA$106,$AH90),1),IF($AI90&gt;0,INDEX(BA$7:BA$106,$AI90),1),IF($AJ90&gt;0,INDEX(BA$7:BA$106,$AJ90),1))))</ns0:f>
        <ns0:v>1</ns0:v>
      </ns0:c>
      <ns0:c r="BC90" t="n">
        <ns0:f>IF($A90="",1,IF(BB90=1,1,--AND(IF($AC90&gt;0,INDEX(BB$7:BB$106,$AC90),1),IF($AD90&gt;0,INDEX(BB$7:BB$106,$AD90),1),IF($AE90&gt;0,INDEX(BB$7:BB$106,$AE90),1),IF($AF90&gt;0,INDEX(BB$7:BB$106,$AF90),1),IF($AG90&gt;0,INDEX(BB$7:BB$106,$AG90),1),IF($AH90&gt;0,INDEX(BB$7:BB$106,$AH90),1),IF($AI90&gt;0,INDEX(BB$7:BB$106,$AI90),1),IF($AJ90&gt;0,INDEX(BB$7:BB$106,$AJ90),1))))</ns0:f>
        <ns0:v>1</ns0:v>
      </ns0:c>
      <ns0:c r="BD90" t="n">
        <ns0:f>IF($A90="",1,IF(BC90=1,1,--AND(IF($AC90&gt;0,INDEX(BC$7:BC$106,$AC90),1),IF($AD90&gt;0,INDEX(BC$7:BC$106,$AD90),1),IF($AE90&gt;0,INDEX(BC$7:BC$106,$AE90),1),IF($AF90&gt;0,INDEX(BC$7:BC$106,$AF90),1),IF($AG90&gt;0,INDEX(BC$7:BC$106,$AG90),1),IF($AH90&gt;0,INDEX(BC$7:BC$106,$AH90),1),IF($AI90&gt;0,INDEX(BC$7:BC$106,$AI90),1),IF($AJ90&gt;0,INDEX(BC$7:BC$106,$AJ90),1))))</ns0:f>
        <ns0:v>1</ns0:v>
      </ns0:c>
      <ns0:c r="BE90" t="n">
        <ns0:f>IF($A90="",1,IF(BD90=1,1,--AND(IF($AC90&gt;0,INDEX(BD$7:BD$106,$AC90),1),IF($AD90&gt;0,INDEX(BD$7:BD$106,$AD90),1),IF($AE90&gt;0,INDEX(BD$7:BD$106,$AE90),1),IF($AF90&gt;0,INDEX(BD$7:BD$106,$AF90),1),IF($AG90&gt;0,INDEX(BD$7:BD$106,$AG90),1),IF($AH90&gt;0,INDEX(BD$7:BD$106,$AH90),1),IF($AI90&gt;0,INDEX(BD$7:BD$106,$AI90),1),IF($AJ90&gt;0,INDEX(BD$7:BD$106,$AJ90),1))))</ns0:f>
        <ns0:v>1</ns0:v>
      </ns0:c>
      <ns0:c r="BF90" t="n">
        <ns0:f>IF($A90="",1,IF(BE90=1,1,--AND(IF($AC90&gt;0,INDEX(BE$7:BE$106,$AC90),1),IF($AD90&gt;0,INDEX(BE$7:BE$106,$AD90),1),IF($AE90&gt;0,INDEX(BE$7:BE$106,$AE90),1),IF($AF90&gt;0,INDEX(BE$7:BE$106,$AF90),1),IF($AG90&gt;0,INDEX(BE$7:BE$106,$AG90),1),IF($AH90&gt;0,INDEX(BE$7:BE$106,$AH90),1),IF($AI90&gt;0,INDEX(BE$7:BE$106,$AI90),1),IF($AJ90&gt;0,INDEX(BE$7:BE$106,$AJ90),1))))</ns0:f>
        <ns0:v>1</ns0:v>
      </ns0:c>
      <ns0:c r="BG90" t="n">
        <ns0:f>IF($A90="",1,IF(BF90=1,1,--AND(IF($AC90&gt;0,INDEX(BF$7:BF$106,$AC90),1),IF($AD90&gt;0,INDEX(BF$7:BF$106,$AD90),1),IF($AE90&gt;0,INDEX(BF$7:BF$106,$AE90),1),IF($AF90&gt;0,INDEX(BF$7:BF$106,$AF90),1),IF($AG90&gt;0,INDEX(BF$7:BF$106,$AG90),1),IF($AH90&gt;0,INDEX(BF$7:BF$106,$AH90),1),IF($AI90&gt;0,INDEX(BF$7:BF$106,$AI90),1),IF($AJ90&gt;0,INDEX(BF$7:BF$106,$AJ90),1))))</ns0:f>
        <ns0:v>1</ns0:v>
      </ns0:c>
      <ns0:c r="BH90" t="n">
        <ns0:f>IF($A90="",1,IF(BG90=1,1,--AND(IF($AC90&gt;0,INDEX(BG$7:BG$106,$AC90),1),IF($AD90&gt;0,INDEX(BG$7:BG$106,$AD90),1),IF($AE90&gt;0,INDEX(BG$7:BG$106,$AE90),1),IF($AF90&gt;0,INDEX(BG$7:BG$106,$AF90),1),IF($AG90&gt;0,INDEX(BG$7:BG$106,$AG90),1),IF($AH90&gt;0,INDEX(BG$7:BG$106,$AH90),1),IF($AI90&gt;0,INDEX(BG$7:BG$106,$AI90),1),IF($AJ90&gt;0,INDEX(BG$7:BG$106,$AJ90),1))))</ns0:f>
        <ns0:v>1</ns0:v>
      </ns0:c>
      <ns0:c r="BI90" t="n">
        <ns0:f>IF($A90="",1,IF(BH90=1,1,--AND(IF($AC90&gt;0,INDEX(BH$7:BH$106,$AC90),1),IF($AD90&gt;0,INDEX(BH$7:BH$106,$AD90),1),IF($AE90&gt;0,INDEX(BH$7:BH$106,$AE90),1),IF($AF90&gt;0,INDEX(BH$7:BH$106,$AF90),1),IF($AG90&gt;0,INDEX(BH$7:BH$106,$AG90),1),IF($AH90&gt;0,INDEX(BH$7:BH$106,$AH90),1),IF($AI90&gt;0,INDEX(BH$7:BH$106,$AI90),1),IF($AJ90&gt;0,INDEX(BH$7:BH$106,$AJ90),1))))</ns0:f>
        <ns0:v>1</ns0:v>
      </ns0:c>
      <ns0:c r="BJ90" t="n">
        <ns0:f>IF($A90="",1,IF(BI90=1,1,--AND(IF($AC90&gt;0,INDEX(BI$7:BI$106,$AC90),1),IF($AD90&gt;0,INDEX(BI$7:BI$106,$AD90),1),IF($AE90&gt;0,INDEX(BI$7:BI$106,$AE90),1),IF($AF90&gt;0,INDEX(BI$7:BI$106,$AF90),1),IF($AG90&gt;0,INDEX(BI$7:BI$106,$AG90),1),IF($AH90&gt;0,INDEX(BI$7:BI$106,$AH90),1),IF($AI90&gt;0,INDEX(BI$7:BI$106,$AI90),1),IF($AJ90&gt;0,INDEX(BI$7:BI$106,$AJ90),1))))</ns0:f>
        <ns0:v>1</ns0:v>
      </ns0:c>
      <ns0:c r="BK90" t="n">
        <ns0:f>IF($A90="",1,IF(BJ90=1,1,--AND(IF($AC90&gt;0,INDEX(BJ$7:BJ$106,$AC90),1),IF($AD90&gt;0,INDEX(BJ$7:BJ$106,$AD90),1),IF($AE90&gt;0,INDEX(BJ$7:BJ$106,$AE90),1),IF($AF90&gt;0,INDEX(BJ$7:BJ$106,$AF90),1),IF($AG90&gt;0,INDEX(BJ$7:BJ$106,$AG90),1),IF($AH90&gt;0,INDEX(BJ$7:BJ$106,$AH90),1),IF($AI90&gt;0,INDEX(BJ$7:BJ$106,$AI90),1),IF($AJ90&gt;0,INDEX(BJ$7:BJ$106,$AJ90),1))))</ns0:f>
        <ns0:v>1</ns0:v>
      </ns0:c>
      <ns0:c r="BL90" t="n">
        <ns0:f>IF($A90="",1,IF(BK90=1,1,--AND(IF($AC90&gt;0,INDEX(BK$7:BK$106,$AC90),1),IF($AD90&gt;0,INDEX(BK$7:BK$106,$AD90),1),IF($AE90&gt;0,INDEX(BK$7:BK$106,$AE90),1),IF($AF90&gt;0,INDEX(BK$7:BK$106,$AF90),1),IF($AG90&gt;0,INDEX(BK$7:BK$106,$AG90),1),IF($AH90&gt;0,INDEX(BK$7:BK$106,$AH90),1),IF($AI90&gt;0,INDEX(BK$7:BK$106,$AI90),1),IF($AJ90&gt;0,INDEX(BK$7:BK$106,$AJ90),1))))</ns0:f>
        <ns0:v>1</ns0:v>
      </ns0:c>
      <ns0:c r="BM90" t="n">
        <ns0:f>IF($A90="",1,IF(BL90=1,1,--AND(IF($AC90&gt;0,INDEX(BL$7:BL$106,$AC90),1),IF($AD90&gt;0,INDEX(BL$7:BL$106,$AD90),1),IF($AE90&gt;0,INDEX(BL$7:BL$106,$AE90),1),IF($AF90&gt;0,INDEX(BL$7:BL$106,$AF90),1),IF($AG90&gt;0,INDEX(BL$7:BL$106,$AG90),1),IF($AH90&gt;0,INDEX(BL$7:BL$106,$AH90),1),IF($AI90&gt;0,INDEX(BL$7:BL$106,$AI90),1),IF($AJ90&gt;0,INDEX(BL$7:BL$106,$AJ90),1))))</ns0:f>
        <ns0:v>1</ns0:v>
      </ns0:c>
      <ns0:c r="BN90" t="n">
        <ns0:f>IF($A90="",1,IF(BM90=1,1,--AND(IF($AC90&gt;0,INDEX(BM$7:BM$106,$AC90),1),IF($AD90&gt;0,INDEX(BM$7:BM$106,$AD90),1),IF($AE90&gt;0,INDEX(BM$7:BM$106,$AE90),1),IF($AF90&gt;0,INDEX(BM$7:BM$106,$AF90),1),IF($AG90&gt;0,INDEX(BM$7:BM$106,$AG90),1),IF($AH90&gt;0,INDEX(BM$7:BM$106,$AH90),1),IF($AI90&gt;0,INDEX(BM$7:BM$106,$AI90),1),IF($AJ90&gt;0,INDEX(BM$7:BM$106,$AJ90),1))))</ns0:f>
        <ns0:v>1</ns0:v>
      </ns0:c>
      <ns0:c r="BO90" t="n">
        <ns0:f>IF($A90="",1,IF(BN90=1,1,--AND(IF($AC90&gt;0,INDEX(BN$7:BN$106,$AC90),1),IF($AD90&gt;0,INDEX(BN$7:BN$106,$AD90),1),IF($AE90&gt;0,INDEX(BN$7:BN$106,$AE90),1),IF($AF90&gt;0,INDEX(BN$7:BN$106,$AF90),1),IF($AG90&gt;0,INDEX(BN$7:BN$106,$AG90),1),IF($AH90&gt;0,INDEX(BN$7:BN$106,$AH90),1),IF($AI90&gt;0,INDEX(BN$7:BN$106,$AI90),1),IF($AJ90&gt;0,INDEX(BN$7:BN$106,$AJ90),1))))</ns0:f>
        <ns0:v>1</ns0:v>
      </ns0:c>
      <ns0:c r="BP90" t="n">
        <ns0:f>IF($A90="",1,IF(BO90=1,1,--AND(IF($AC90&gt;0,INDEX(BO$7:BO$106,$AC90),1),IF($AD90&gt;0,INDEX(BO$7:BO$106,$AD90),1),IF($AE90&gt;0,INDEX(BO$7:BO$106,$AE90),1),IF($AF90&gt;0,INDEX(BO$7:BO$106,$AF90),1),IF($AG90&gt;0,INDEX(BO$7:BO$106,$AG90),1),IF($AH90&gt;0,INDEX(BO$7:BO$106,$AH90),1),IF($AI90&gt;0,INDEX(BO$7:BO$106,$AI90),1),IF($AJ90&gt;0,INDEX(BO$7:BO$106,$AJ90),1))))</ns0:f>
        <ns0:v>1</ns0:v>
      </ns0:c>
      <ns0:c r="BQ90" t="n">
        <ns0:f>IF($A90="",1,IF(BP90=1,1,--AND(IF($AC90&gt;0,INDEX(BP$7:BP$106,$AC90),1),IF($AD90&gt;0,INDEX(BP$7:BP$106,$AD90),1),IF($AE90&gt;0,INDEX(BP$7:BP$106,$AE90),1),IF($AF90&gt;0,INDEX(BP$7:BP$106,$AF90),1),IF($AG90&gt;0,INDEX(BP$7:BP$106,$AG90),1),IF($AH90&gt;0,INDEX(BP$7:BP$106,$AH90),1),IF($AI90&gt;0,INDEX(BP$7:BP$106,$AI90),1),IF($AJ90&gt;0,INDEX(BP$7:BP$106,$AJ90),1))))</ns0:f>
        <ns0:v>1</ns0:v>
      </ns0:c>
      <ns0:c r="BR90" t="n">
        <ns0:f>IF($A90="",1,IF(BQ90=1,1,--AND(IF($AC90&gt;0,INDEX(BQ$7:BQ$106,$AC90),1),IF($AD90&gt;0,INDEX(BQ$7:BQ$106,$AD90),1),IF($AE90&gt;0,INDEX(BQ$7:BQ$106,$AE90),1),IF($AF90&gt;0,INDEX(BQ$7:BQ$106,$AF90),1),IF($AG90&gt;0,INDEX(BQ$7:BQ$106,$AG90),1),IF($AH90&gt;0,INDEX(BQ$7:BQ$106,$AH90),1),IF($AI90&gt;0,INDEX(BQ$7:BQ$106,$AI90),1),IF($AJ90&gt;0,INDEX(BQ$7:BQ$106,$AJ90),1))))</ns0:f>
        <ns0:v>1</ns0:v>
      </ns0:c>
      <ns0:c r="BS90" t="n">
        <ns0:f>IF($A90="",1,IF(BR90=1,1,--AND(IF($AC90&gt;0,INDEX(BR$7:BR$106,$AC90),1),IF($AD90&gt;0,INDEX(BR$7:BR$106,$AD90),1),IF($AE90&gt;0,INDEX(BR$7:BR$106,$AE90),1),IF($AF90&gt;0,INDEX(BR$7:BR$106,$AF90),1),IF($AG90&gt;0,INDEX(BR$7:BR$106,$AG90),1),IF($AH90&gt;0,INDEX(BR$7:BR$106,$AH90),1),IF($AI90&gt;0,INDEX(BR$7:BR$106,$AI90),1),IF($AJ90&gt;0,INDEX(BR$7:BR$106,$AJ90),1))))</ns0:f>
        <ns0:v>1</ns0:v>
      </ns0:c>
      <ns0:c r="BT90" t="n">
        <ns0:f>IF($A90="",1,IF(BS90=1,1,--AND(IF($AC90&gt;0,INDEX(BS$7:BS$106,$AC90),1),IF($AD90&gt;0,INDEX(BS$7:BS$106,$AD90),1),IF($AE90&gt;0,INDEX(BS$7:BS$106,$AE90),1),IF($AF90&gt;0,INDEX(BS$7:BS$106,$AF90),1),IF($AG90&gt;0,INDEX(BS$7:BS$106,$AG90),1),IF($AH90&gt;0,INDEX(BS$7:BS$106,$AH90),1),IF($AI90&gt;0,INDEX(BS$7:BS$106,$AI90),1),IF($AJ90&gt;0,INDEX(BS$7:BS$106,$AJ90),1))))</ns0:f>
        <ns0:v>1</ns0:v>
      </ns0:c>
      <ns0:c r="BU90" t="n">
        <ns0:f>IF($A90="",1,IF(BT90=1,1,--AND(IF($AC90&gt;0,INDEX(BT$7:BT$106,$AC90),1),IF($AD90&gt;0,INDEX(BT$7:BT$106,$AD90),1),IF($AE90&gt;0,INDEX(BT$7:BT$106,$AE90),1),IF($AF90&gt;0,INDEX(BT$7:BT$106,$AF90),1),IF($AG90&gt;0,INDEX(BT$7:BT$106,$AG90),1),IF($AH90&gt;0,INDEX(BT$7:BT$106,$AH90),1),IF($AI90&gt;0,INDEX(BT$7:BT$106,$AI90),1),IF($AJ90&gt;0,INDEX(BT$7:BT$106,$AJ90),1))))</ns0:f>
        <ns0:v>1</ns0:v>
      </ns0:c>
      <ns0:c r="BV90" t="n">
        <ns0:f>IF($A90="",1,IF(BU90=1,1,--AND(IF($AC90&gt;0,INDEX(BU$7:BU$106,$AC90),1),IF($AD90&gt;0,INDEX(BU$7:BU$106,$AD90),1),IF($AE90&gt;0,INDEX(BU$7:BU$106,$AE90),1),IF($AF90&gt;0,INDEX(BU$7:BU$106,$AF90),1),IF($AG90&gt;0,INDEX(BU$7:BU$106,$AG90),1),IF($AH90&gt;0,INDEX(BU$7:BU$106,$AH90),1),IF($AI90&gt;0,INDEX(BU$7:BU$106,$AI90),1),IF($AJ90&gt;0,INDEX(BU$7:BU$106,$AJ90),1))))</ns0:f>
        <ns0:v>1</ns0:v>
      </ns0:c>
      <ns0:c r="BW90" t="n">
        <ns0:f>IF($A90="",1,IF(BV90=1,1,--AND(IF($AC90&gt;0,INDEX(BV$7:BV$106,$AC90),1),IF($AD90&gt;0,INDEX(BV$7:BV$106,$AD90),1),IF($AE90&gt;0,INDEX(BV$7:BV$106,$AE90),1),IF($AF90&gt;0,INDEX(BV$7:BV$106,$AF90),1),IF($AG90&gt;0,INDEX(BV$7:BV$106,$AG90),1),IF($AH90&gt;0,INDEX(BV$7:BV$106,$AH90),1),IF($AI90&gt;0,INDEX(BV$7:BV$106,$AI90),1),IF($AJ90&gt;0,INDEX(BV$7:BV$106,$AJ90),1))))</ns0:f>
        <ns0:v>1</ns0:v>
      </ns0:c>
      <ns0:c r="BX90" t="n">
        <ns0:f>IF($A90="",1,IF(BW90=1,1,--AND(IF($AC90&gt;0,INDEX(BW$7:BW$106,$AC90),1),IF($AD90&gt;0,INDEX(BW$7:BW$106,$AD90),1),IF($AE90&gt;0,INDEX(BW$7:BW$106,$AE90),1),IF($AF90&gt;0,INDEX(BW$7:BW$106,$AF90),1),IF($AG90&gt;0,INDEX(BW$7:BW$106,$AG90),1),IF($AH90&gt;0,INDEX(BW$7:BW$106,$AH90),1),IF($AI90&gt;0,INDEX(BW$7:BW$106,$AI90),1),IF($AJ90&gt;0,INDEX(BW$7:BW$106,$AJ90),1))))</ns0:f>
        <ns0:v>1</ns0:v>
      </ns0:c>
      <ns0:c r="BY90" t="n">
        <ns0:f>IF($A90="",1,IF(BX90=1,1,--AND(IF($AC90&gt;0,INDEX(BX$7:BX$106,$AC90),1),IF($AD90&gt;0,INDEX(BX$7:BX$106,$AD90),1),IF($AE90&gt;0,INDEX(BX$7:BX$106,$AE90),1),IF($AF90&gt;0,INDEX(BX$7:BX$106,$AF90),1),IF($AG90&gt;0,INDEX(BX$7:BX$106,$AG90),1),IF($AH90&gt;0,INDEX(BX$7:BX$106,$AH90),1),IF($AI90&gt;0,INDEX(BX$7:BX$106,$AI90),1),IF($AJ90&gt;0,INDEX(BX$7:BX$106,$AJ90),1))))</ns0:f>
        <ns0:v>1</ns0:v>
      </ns0:c>
      <ns0:c r="BZ90" t="n">
        <ns0:f>IF($A90="",1,IF(BY90=1,1,--AND(IF($AC90&gt;0,INDEX(BY$7:BY$106,$AC90),1),IF($AD90&gt;0,INDEX(BY$7:BY$106,$AD90),1),IF($AE90&gt;0,INDEX(BY$7:BY$106,$AE90),1),IF($AF90&gt;0,INDEX(BY$7:BY$106,$AF90),1),IF($AG90&gt;0,INDEX(BY$7:BY$106,$AG90),1),IF($AH90&gt;0,INDEX(BY$7:BY$106,$AH90),1),IF($AI90&gt;0,INDEX(BY$7:BY$106,$AI90),1),IF($AJ90&gt;0,INDEX(BY$7:BY$106,$AJ90),1))))</ns0:f>
        <ns0:v>1</ns0:v>
      </ns0:c>
      <ns0:c r="CA90" t="n">
        <ns0:f>IF($A90="",1,IF(BZ90=1,1,--AND(IF($AC90&gt;0,INDEX(BZ$7:BZ$106,$AC90),1),IF($AD90&gt;0,INDEX(BZ$7:BZ$106,$AD90),1),IF($AE90&gt;0,INDEX(BZ$7:BZ$106,$AE90),1),IF($AF90&gt;0,INDEX(BZ$7:BZ$106,$AF90),1),IF($AG90&gt;0,INDEX(BZ$7:BZ$106,$AG90),1),IF($AH90&gt;0,INDEX(BZ$7:BZ$106,$AH90),1),IF($AI90&gt;0,INDEX(BZ$7:BZ$106,$AI90),1),IF($AJ90&gt;0,INDEX(BZ$7:BZ$106,$AJ90),1))))</ns0:f>
        <ns0:v>1</ns0:v>
      </ns0:c>
      <ns0:c r="CB90" t="n">
        <ns0:f>IF($A90="",1,IF(CA90=1,1,--AND(IF($AC90&gt;0,INDEX(CA$7:CA$106,$AC90),1),IF($AD90&gt;0,INDEX(CA$7:CA$106,$AD90),1),IF($AE90&gt;0,INDEX(CA$7:CA$106,$AE90),1),IF($AF90&gt;0,INDEX(CA$7:CA$106,$AF90),1),IF($AG90&gt;0,INDEX(CA$7:CA$106,$AG90),1),IF($AH90&gt;0,INDEX(CA$7:CA$106,$AH90),1),IF($AI90&gt;0,INDEX(CA$7:CA$106,$AI90),1),IF($AJ90&gt;0,INDEX(CA$7:CA$106,$AJ90),1))))</ns0:f>
        <ns0:v>1</ns0:v>
      </ns0:c>
      <ns0:c r="CC90" t="n">
        <ns0:f>IF($A90="",1,IF(CB90=1,1,--AND(IF($AC90&gt;0,INDEX(CB$7:CB$106,$AC90),1),IF($AD90&gt;0,INDEX(CB$7:CB$106,$AD90),1),IF($AE90&gt;0,INDEX(CB$7:CB$106,$AE90),1),IF($AF90&gt;0,INDEX(CB$7:CB$106,$AF90),1),IF($AG90&gt;0,INDEX(CB$7:CB$106,$AG90),1),IF($AH90&gt;0,INDEX(CB$7:CB$106,$AH90),1),IF($AI90&gt;0,INDEX(CB$7:CB$106,$AI90),1),IF($AJ90&gt;0,INDEX(CB$7:CB$106,$AJ90),1))))</ns0:f>
        <ns0:v>1</ns0:v>
      </ns0:c>
      <ns0:c r="CD90" t="n">
        <ns0:f>IF($A90="",1,IF(CC90=1,1,--AND(IF($AC90&gt;0,INDEX(CC$7:CC$106,$AC90),1),IF($AD90&gt;0,INDEX(CC$7:CC$106,$AD90),1),IF($AE90&gt;0,INDEX(CC$7:CC$106,$AE90),1),IF($AF90&gt;0,INDEX(CC$7:CC$106,$AF90),1),IF($AG90&gt;0,INDEX(CC$7:CC$106,$AG90),1),IF($AH90&gt;0,INDEX(CC$7:CC$106,$AH90),1),IF($AI90&gt;0,INDEX(CC$7:CC$106,$AI90),1),IF($AJ90&gt;0,INDEX(CC$7:CC$106,$AJ90),1))))</ns0:f>
        <ns0:v>1</ns0:v>
      </ns0:c>
      <ns0:c r="CE90" t="n">
        <ns0:f>IF($A90="",1,IF(CD90=1,1,--AND(IF($AC90&gt;0,INDEX(CD$7:CD$106,$AC90),1),IF($AD90&gt;0,INDEX(CD$7:CD$106,$AD90),1),IF($AE90&gt;0,INDEX(CD$7:CD$106,$AE90),1),IF($AF90&gt;0,INDEX(CD$7:CD$106,$AF90),1),IF($AG90&gt;0,INDEX(CD$7:CD$106,$AG90),1),IF($AH90&gt;0,INDEX(CD$7:CD$106,$AH90),1),IF($AI90&gt;0,INDEX(CD$7:CD$106,$AI90),1),IF($AJ90&gt;0,INDEX(CD$7:CD$106,$AJ90),1))))</ns0:f>
        <ns0:v>1</ns0:v>
      </ns0:c>
      <ns0:c r="CF90" t="n">
        <ns0:f>IF($A90="",1,IF(CE90=1,1,--AND(IF($AC90&gt;0,INDEX(CE$7:CE$106,$AC90),1),IF($AD90&gt;0,INDEX(CE$7:CE$106,$AD90),1),IF($AE90&gt;0,INDEX(CE$7:CE$106,$AE90),1),IF($AF90&gt;0,INDEX(CE$7:CE$106,$AF90),1),IF($AG90&gt;0,INDEX(CE$7:CE$106,$AG90),1),IF($AH90&gt;0,INDEX(CE$7:CE$106,$AH90),1),IF($AI90&gt;0,INDEX(CE$7:CE$106,$AI90),1),IF($AJ90&gt;0,INDEX(CE$7:CE$106,$AJ90),1))))</ns0:f>
        <ns0:v>1</ns0:v>
      </ns0:c>
      <ns0:c r="CG90" t="n">
        <ns0:f>IF($A90="",1,IF(CF90=1,1,--AND(IF($AC90&gt;0,INDEX(CF$7:CF$106,$AC90),1),IF($AD90&gt;0,INDEX(CF$7:CF$106,$AD90),1),IF($AE90&gt;0,INDEX(CF$7:CF$106,$AE90),1),IF($AF90&gt;0,INDEX(CF$7:CF$106,$AF90),1),IF($AG90&gt;0,INDEX(CF$7:CF$106,$AG90),1),IF($AH90&gt;0,INDEX(CF$7:CF$106,$AH90),1),IF($AI90&gt;0,INDEX(CF$7:CF$106,$AI90),1),IF($AJ90&gt;0,INDEX(CF$7:CF$106,$AJ90),1))))</ns0:f>
        <ns0:v>1</ns0:v>
      </ns0:c>
      <ns0:c r="CH90" t="n">
        <ns0:f>IF($A90="",1,IF(CG90=1,1,--AND(IF($AC90&gt;0,INDEX(CG$7:CG$106,$AC90),1),IF($AD90&gt;0,INDEX(CG$7:CG$106,$AD90),1),IF($AE90&gt;0,INDEX(CG$7:CG$106,$AE90),1),IF($AF90&gt;0,INDEX(CG$7:CG$106,$AF90),1),IF($AG90&gt;0,INDEX(CG$7:CG$106,$AG90),1),IF($AH90&gt;0,INDEX(CG$7:CG$106,$AH90),1),IF($AI90&gt;0,INDEX(CG$7:CG$106,$AI90),1),IF($AJ90&gt;0,INDEX(CG$7:CG$106,$AJ90),1))))</ns0:f>
        <ns0:v>1</ns0:v>
      </ns0:c>
      <ns0:c r="CI90" t="n">
        <ns0:f>IF($A90="",1,IF(CH90=1,1,--AND(IF($AC90&gt;0,INDEX(CH$7:CH$106,$AC90),1),IF($AD90&gt;0,INDEX(CH$7:CH$106,$AD90),1),IF($AE90&gt;0,INDEX(CH$7:CH$106,$AE90),1),IF($AF90&gt;0,INDEX(CH$7:CH$106,$AF90),1),IF($AG90&gt;0,INDEX(CH$7:CH$106,$AG90),1),IF($AH90&gt;0,INDEX(CH$7:CH$106,$AH90),1),IF($AI90&gt;0,INDEX(CH$7:CH$106,$AI90),1),IF($AJ90&gt;0,INDEX(CH$7:CH$106,$AJ90),1))))</ns0:f>
        <ns0:v>1</ns0:v>
      </ns0:c>
      <ns0:c r="CJ90" t="n">
        <ns0:f>IF($A90="",1,IF(CI90=1,1,--AND(IF($AC90&gt;0,INDEX(CI$7:CI$106,$AC90),1),IF($AD90&gt;0,INDEX(CI$7:CI$106,$AD90),1),IF($AE90&gt;0,INDEX(CI$7:CI$106,$AE90),1),IF($AF90&gt;0,INDEX(CI$7:CI$106,$AF90),1),IF($AG90&gt;0,INDEX(CI$7:CI$106,$AG90),1),IF($AH90&gt;0,INDEX(CI$7:CI$106,$AH90),1),IF($AI90&gt;0,INDEX(CI$7:CI$106,$AI90),1),IF($AJ90&gt;0,INDEX(CI$7:CI$106,$AJ90),1))))</ns0:f>
        <ns0:v>1</ns0:v>
      </ns0:c>
      <ns0:c r="CK90" t="n">
        <ns0:f>IF($A90="",1,IF(CJ90=1,1,--AND(IF($AC90&gt;0,INDEX(CJ$7:CJ$106,$AC90),1),IF($AD90&gt;0,INDEX(CJ$7:CJ$106,$AD90),1),IF($AE90&gt;0,INDEX(CJ$7:CJ$106,$AE90),1),IF($AF90&gt;0,INDEX(CJ$7:CJ$106,$AF90),1),IF($AG90&gt;0,INDEX(CJ$7:CJ$106,$AG90),1),IF($AH90&gt;0,INDEX(CJ$7:CJ$106,$AH90),1),IF($AI90&gt;0,INDEX(CJ$7:CJ$106,$AI90),1),IF($AJ90&gt;0,INDEX(CJ$7:CJ$106,$AJ90),1))))</ns0:f>
        <ns0:v>1</ns0:v>
      </ns0:c>
      <ns0:c r="CL90" t="n">
        <ns0:f>IF($A90="",1,IF(CK90=1,1,--AND(IF($AC90&gt;0,INDEX(CK$7:CK$106,$AC90),1),IF($AD90&gt;0,INDEX(CK$7:CK$106,$AD90),1),IF($AE90&gt;0,INDEX(CK$7:CK$106,$AE90),1),IF($AF90&gt;0,INDEX(CK$7:CK$106,$AF90),1),IF($AG90&gt;0,INDEX(CK$7:CK$106,$AG90),1),IF($AH90&gt;0,INDEX(CK$7:CK$106,$AH90),1),IF($AI90&gt;0,INDEX(CK$7:CK$106,$AI90),1),IF($AJ90&gt;0,INDEX(CK$7:CK$106,$AJ90),1))))</ns0:f>
        <ns0:v>1</ns0:v>
      </ns0:c>
      <ns0:c r="CM90" t="n">
        <ns0:f>IF($A90="",1,IF(CL90=1,1,--AND(IF($AC90&gt;0,INDEX(CL$7:CL$106,$AC90),1),IF($AD90&gt;0,INDEX(CL$7:CL$106,$AD90),1),IF($AE90&gt;0,INDEX(CL$7:CL$106,$AE90),1),IF($AF90&gt;0,INDEX(CL$7:CL$106,$AF90),1),IF($AG90&gt;0,INDEX(CL$7:CL$106,$AG90),1),IF($AH90&gt;0,INDEX(CL$7:CL$106,$AH90),1),IF($AI90&gt;0,INDEX(CL$7:CL$106,$AI90),1),IF($AJ90&gt;0,INDEX(CL$7:CL$106,$AJ90),1))))</ns0:f>
        <ns0:v>1</ns0:v>
      </ns0:c>
      <ns0:c r="CN90" t="n">
        <ns0:f>IF($A90="",1,IF(CM90=1,1,--AND(IF($AC90&gt;0,INDEX(CM$7:CM$106,$AC90),1),IF($AD90&gt;0,INDEX(CM$7:CM$106,$AD90),1),IF($AE90&gt;0,INDEX(CM$7:CM$106,$AE90),1),IF($AF90&gt;0,INDEX(CM$7:CM$106,$AF90),1),IF($AG90&gt;0,INDEX(CM$7:CM$106,$AG90),1),IF($AH90&gt;0,INDEX(CM$7:CM$106,$AH90),1),IF($AI90&gt;0,INDEX(CM$7:CM$106,$AI90),1),IF($AJ90&gt;0,INDEX(CM$7:CM$106,$AJ90),1))))</ns0:f>
        <ns0:v>1</ns0:v>
      </ns0:c>
      <ns0:c r="CO90" t="n">
        <ns0:f>IF($A90="",1,IF(CN90=1,1,--AND(IF($AC90&gt;0,INDEX(CN$7:CN$106,$AC90),1),IF($AD90&gt;0,INDEX(CN$7:CN$106,$AD90),1),IF($AE90&gt;0,INDEX(CN$7:CN$106,$AE90),1),IF($AF90&gt;0,INDEX(CN$7:CN$106,$AF90),1),IF($AG90&gt;0,INDEX(CN$7:CN$106,$AG90),1),IF($AH90&gt;0,INDEX(CN$7:CN$106,$AH90),1),IF($AI90&gt;0,INDEX(CN$7:CN$106,$AI90),1),IF($AJ90&gt;0,INDEX(CN$7:CN$106,$AJ90),1))))</ns0:f>
        <ns0:v>1</ns0:v>
      </ns0:c>
      <ns0:c r="CP90" t="n">
        <ns0:f>IF($A90="",1,IF(CO90=1,1,--AND(IF($AC90&gt;0,INDEX(CO$7:CO$106,$AC90),1),IF($AD90&gt;0,INDEX(CO$7:CO$106,$AD90),1),IF($AE90&gt;0,INDEX(CO$7:CO$106,$AE90),1),IF($AF90&gt;0,INDEX(CO$7:CO$106,$AF90),1),IF($AG90&gt;0,INDEX(CO$7:CO$106,$AG90),1),IF($AH90&gt;0,INDEX(CO$7:CO$106,$AH90),1),IF($AI90&gt;0,INDEX(CO$7:CO$106,$AI90),1),IF($AJ90&gt;0,INDEX(CO$7:CO$106,$AJ90),1))))</ns0:f>
        <ns0:v>1</ns0:v>
      </ns0:c>
      <ns0:c r="CQ90" t="n">
        <ns0:f>IF($A90="",1,IF(CP90=1,1,--AND(IF($AC90&gt;0,INDEX(CP$7:CP$106,$AC90),1),IF($AD90&gt;0,INDEX(CP$7:CP$106,$AD90),1),IF($AE90&gt;0,INDEX(CP$7:CP$106,$AE90),1),IF($AF90&gt;0,INDEX(CP$7:CP$106,$AF90),1),IF($AG90&gt;0,INDEX(CP$7:CP$106,$AG90),1),IF($AH90&gt;0,INDEX(CP$7:CP$106,$AH90),1),IF($AI90&gt;0,INDEX(CP$7:CP$106,$AI90),1),IF($AJ90&gt;0,INDEX(CP$7:CP$106,$AJ90),1))))</ns0:f>
        <ns0:v>1</ns0:v>
      </ns0:c>
      <ns0:c r="CR90" t="n">
        <ns0:f>IF($A90="",1,IF(CQ90=1,1,--AND(IF($AC90&gt;0,INDEX(CQ$7:CQ$106,$AC90),1),IF($AD90&gt;0,INDEX(CQ$7:CQ$106,$AD90),1),IF($AE90&gt;0,INDEX(CQ$7:CQ$106,$AE90),1),IF($AF90&gt;0,INDEX(CQ$7:CQ$106,$AF90),1),IF($AG90&gt;0,INDEX(CQ$7:CQ$106,$AG90),1),IF($AH90&gt;0,INDEX(CQ$7:CQ$106,$AH90),1),IF($AI90&gt;0,INDEX(CQ$7:CQ$106,$AI90),1),IF($AJ90&gt;0,INDEX(CQ$7:CQ$106,$AJ90),1))))</ns0:f>
        <ns0:v>1</ns0:v>
      </ns0:c>
      <ns0:c r="CS90" t="n">
        <ns0:f>IF($A90="",1,IF(CR90=1,1,--AND(IF($AC90&gt;0,INDEX(CR$7:CR$106,$AC90),1),IF($AD90&gt;0,INDEX(CR$7:CR$106,$AD90),1),IF($AE90&gt;0,INDEX(CR$7:CR$106,$AE90),1),IF($AF90&gt;0,INDEX(CR$7:CR$106,$AF90),1),IF($AG90&gt;0,INDEX(CR$7:CR$106,$AG90),1),IF($AH90&gt;0,INDEX(CR$7:CR$106,$AH90),1),IF($AI90&gt;0,INDEX(CR$7:CR$106,$AI90),1),IF($AJ90&gt;0,INDEX(CR$7:CR$106,$AJ90),1))))</ns0:f>
        <ns0:v>1</ns0:v>
      </ns0:c>
      <ns0:c r="CT90" t="n">
        <ns0:f>IF($A90="",1,IF(CS90=1,1,--AND(IF($AC90&gt;0,INDEX(CS$7:CS$106,$AC90),1),IF($AD90&gt;0,INDEX(CS$7:CS$106,$AD90),1),IF($AE90&gt;0,INDEX(CS$7:CS$106,$AE90),1),IF($AF90&gt;0,INDEX(CS$7:CS$106,$AF90),1),IF($AG90&gt;0,INDEX(CS$7:CS$106,$AG90),1),IF($AH90&gt;0,INDEX(CS$7:CS$106,$AH90),1),IF($AI90&gt;0,INDEX(CS$7:CS$106,$AI90),1),IF($AJ90&gt;0,INDEX(CS$7:CS$106,$AJ90),1))))</ns0:f>
        <ns0:v>1</ns0:v>
      </ns0:c>
      <ns0:c r="CU90" t="n">
        <ns0:f>IF($A90="",1,IF(CT90=1,1,--AND(IF($AC90&gt;0,INDEX(CT$7:CT$106,$AC90),1),IF($AD90&gt;0,INDEX(CT$7:CT$106,$AD90),1),IF($AE90&gt;0,INDEX(CT$7:CT$106,$AE90),1),IF($AF90&gt;0,INDEX(CT$7:CT$106,$AF90),1),IF($AG90&gt;0,INDEX(CT$7:CT$106,$AG90),1),IF($AH90&gt;0,INDEX(CT$7:CT$106,$AH90),1),IF($AI90&gt;0,INDEX(CT$7:CT$106,$AI90),1),IF($AJ90&gt;0,INDEX(CT$7:CT$106,$AJ90),1))))</ns0:f>
        <ns0:v>1</ns0:v>
      </ns0:c>
      <ns0:c r="CV90" t="n">
        <ns0:f>IF($A90="",1,IF(CU90=1,1,--AND(IF($AC90&gt;0,INDEX(CU$7:CU$106,$AC90),1),IF($AD90&gt;0,INDEX(CU$7:CU$106,$AD90),1),IF($AE90&gt;0,INDEX(CU$7:CU$106,$AE90),1),IF($AF90&gt;0,INDEX(CU$7:CU$106,$AF90),1),IF($AG90&gt;0,INDEX(CU$7:CU$106,$AG90),1),IF($AH90&gt;0,INDEX(CU$7:CU$106,$AH90),1),IF($AI90&gt;0,INDEX(CU$7:CU$106,$AI90),1),IF($AJ90&gt;0,INDEX(CU$7:CU$106,$AJ90),1))))</ns0:f>
        <ns0:v>1</ns0:v>
      </ns0:c>
      <ns0:c r="CW90" t="n">
        <ns0:f>IF($A90="",1,IF(CV90=1,1,--AND(IF($AC90&gt;0,INDEX(CV$7:CV$106,$AC90),1),IF($AD90&gt;0,INDEX(CV$7:CV$106,$AD90),1),IF($AE90&gt;0,INDEX(CV$7:CV$106,$AE90),1),IF($AF90&gt;0,INDEX(CV$7:CV$106,$AF90),1),IF($AG90&gt;0,INDEX(CV$7:CV$106,$AG90),1),IF($AH90&gt;0,INDEX(CV$7:CV$106,$AH90),1),IF($AI90&gt;0,INDEX(CV$7:CV$106,$AI90),1),IF($AJ90&gt;0,INDEX(CV$7:CV$106,$AJ90),1))))</ns0:f>
        <ns0:v>1</ns0:v>
      </ns0:c>
      <ns0:c r="CX90" t="n">
        <ns0:f>IF($A90="",1,IF(CW90=1,1,--AND(IF($AC90&gt;0,INDEX(CW$7:CW$106,$AC90),1),IF($AD90&gt;0,INDEX(CW$7:CW$106,$AD90),1),IF($AE90&gt;0,INDEX(CW$7:CW$106,$AE90),1),IF($AF90&gt;0,INDEX(CW$7:CW$106,$AF90),1),IF($AG90&gt;0,INDEX(CW$7:CW$106,$AG90),1),IF($AH90&gt;0,INDEX(CW$7:CW$106,$AH90),1),IF($AI90&gt;0,INDEX(CW$7:CW$106,$AI90),1),IF($AJ90&gt;0,INDEX(CW$7:CW$106,$AJ90),1))))</ns0:f>
        <ns0:v>1</ns0:v>
      </ns0:c>
      <ns0:c r="CY90" t="n">
        <ns0:f>IF($A90="",1,IF(CX90=1,1,--AND(IF($AC90&gt;0,INDEX(CX$7:CX$106,$AC90),1),IF($AD90&gt;0,INDEX(CX$7:CX$106,$AD90),1),IF($AE90&gt;0,INDEX(CX$7:CX$106,$AE90),1),IF($AF90&gt;0,INDEX(CX$7:CX$106,$AF90),1),IF($AG90&gt;0,INDEX(CX$7:CX$106,$AG90),1),IF($AH90&gt;0,INDEX(CX$7:CX$106,$AH90),1),IF($AI90&gt;0,INDEX(CX$7:CX$106,$AI90),1),IF($AJ90&gt;0,INDEX(CX$7:CX$106,$AJ90),1))))</ns0:f>
        <ns0:v>1</ns0:v>
      </ns0:c>
      <ns0:c r="CZ90" t="n">
        <ns0:f>IF($A90="",1,IF(CY90=1,1,--AND(IF($AC90&gt;0,INDEX(CY$7:CY$106,$AC90),1),IF($AD90&gt;0,INDEX(CY$7:CY$106,$AD90),1),IF($AE90&gt;0,INDEX(CY$7:CY$106,$AE90),1),IF($AF90&gt;0,INDEX(CY$7:CY$106,$AF90),1),IF($AG90&gt;0,INDEX(CY$7:CY$106,$AG90),1),IF($AH90&gt;0,INDEX(CY$7:CY$106,$AH90),1),IF($AI90&gt;0,INDEX(CY$7:CY$106,$AI90),1),IF($AJ90&gt;0,INDEX(CY$7:CY$106,$AJ90),1))))</ns0:f>
        <ns0:v>1</ns0:v>
      </ns0:c>
      <ns0:c r="DA90" t="n">
        <ns0:f>IF($A90="",1,IF(CZ90=1,1,--AND(IF($AC90&gt;0,INDEX(CZ$7:CZ$106,$AC90),1),IF($AD90&gt;0,INDEX(CZ$7:CZ$106,$AD90),1),IF($AE90&gt;0,INDEX(CZ$7:CZ$106,$AE90),1),IF($AF90&gt;0,INDEX(CZ$7:CZ$106,$AF90),1),IF($AG90&gt;0,INDEX(CZ$7:CZ$106,$AG90),1),IF($AH90&gt;0,INDEX(CZ$7:CZ$106,$AH90),1),IF($AI90&gt;0,INDEX(CZ$7:CZ$106,$AI90),1),IF($AJ90&gt;0,INDEX(CZ$7:CZ$106,$AJ90),1))))</ns0:f>
        <ns0:v>1</ns0:v>
      </ns0:c>
      <ns0:c r="DB90" t="n">
        <ns0:f>IF($A90="",1,IF(DA90=1,1,--AND(IF($AC90&gt;0,INDEX(DA$7:DA$106,$AC90),1),IF($AD90&gt;0,INDEX(DA$7:DA$106,$AD90),1),IF($AE90&gt;0,INDEX(DA$7:DA$106,$AE90),1),IF($AF90&gt;0,INDEX(DA$7:DA$106,$AF90),1),IF($AG90&gt;0,INDEX(DA$7:DA$106,$AG90),1),IF($AH90&gt;0,INDEX(DA$7:DA$106,$AH90),1),IF($AI90&gt;0,INDEX(DA$7:DA$106,$AI90),1),IF($AJ90&gt;0,INDEX(DA$7:DA$106,$AJ90),1))))</ns0:f>
        <ns0:v>1</ns0:v>
      </ns0:c>
      <ns0:c r="DC90" t="n">
        <ns0:f>IF($A90="",1,IF(DB90=1,1,--AND(IF($AC90&gt;0,INDEX(DB$7:DB$106,$AC90),1),IF($AD90&gt;0,INDEX(DB$7:DB$106,$AD90),1),IF($AE90&gt;0,INDEX(DB$7:DB$106,$AE90),1),IF($AF90&gt;0,INDEX(DB$7:DB$106,$AF90),1),IF($AG90&gt;0,INDEX(DB$7:DB$106,$AG90),1),IF($AH90&gt;0,INDEX(DB$7:DB$106,$AH90),1),IF($AI90&gt;0,INDEX(DB$7:DB$106,$AI90),1),IF($AJ90&gt;0,INDEX(DB$7:DB$106,$AJ90),1))))</ns0:f>
        <ns0:v>1</ns0:v>
      </ns0:c>
      <ns0:c r="DD90" t="n">
        <ns0:f>IF($A90="",1,IF(DC90=1,1,--AND(IF($AC90&gt;0,INDEX(DC$7:DC$106,$AC90),1),IF($AD90&gt;0,INDEX(DC$7:DC$106,$AD90),1),IF($AE90&gt;0,INDEX(DC$7:DC$106,$AE90),1),IF($AF90&gt;0,INDEX(DC$7:DC$106,$AF90),1),IF($AG90&gt;0,INDEX(DC$7:DC$106,$AG90),1),IF($AH90&gt;0,INDEX(DC$7:DC$106,$AH90),1),IF($AI90&gt;0,INDEX(DC$7:DC$106,$AI90),1),IF($AJ90&gt;0,INDEX(DC$7:DC$106,$AJ90),1))))</ns0:f>
        <ns0:v>1</ns0:v>
      </ns0:c>
      <ns0:c r="DE90" t="n">
        <ns0:f>IF($A90="",1,IF(DD90=1,1,--AND(IF($AC90&gt;0,INDEX(DD$7:DD$106,$AC90),1),IF($AD90&gt;0,INDEX(DD$7:DD$106,$AD90),1),IF($AE90&gt;0,INDEX(DD$7:DD$106,$AE90),1),IF($AF90&gt;0,INDEX(DD$7:DD$106,$AF90),1),IF($AG90&gt;0,INDEX(DD$7:DD$106,$AG90),1),IF($AH90&gt;0,INDEX(DD$7:DD$106,$AH90),1),IF($AI90&gt;0,INDEX(DD$7:DD$106,$AI90),1),IF($AJ90&gt;0,INDEX(DD$7:DD$106,$AJ90),1))))</ns0:f>
        <ns0:v>1</ns0:v>
      </ns0:c>
      <ns0:c r="DF90" t="n">
        <ns0:f>IF($A90="",1,IF(DE90=1,1,--AND(IF($AC90&gt;0,INDEX(DE$7:DE$106,$AC90),1),IF($AD90&gt;0,INDEX(DE$7:DE$106,$AD90),1),IF($AE90&gt;0,INDEX(DE$7:DE$106,$AE90),1),IF($AF90&gt;0,INDEX(DE$7:DE$106,$AF90),1),IF($AG90&gt;0,INDEX(DE$7:DE$106,$AG90),1),IF($AH90&gt;0,INDEX(DE$7:DE$106,$AH90),1),IF($AI90&gt;0,INDEX(DE$7:DE$106,$AI90),1),IF($AJ90&gt;0,INDEX(DE$7:DE$106,$AJ90),1))))</ns0:f>
        <ns0:v>1</ns0:v>
      </ns0:c>
      <ns0:c r="DG90" t="n">
        <ns0:f>IF($A90="",1,IF(DF90=1,1,--AND(IF($AC90&gt;0,INDEX(DF$7:DF$106,$AC90),1),IF($AD90&gt;0,INDEX(DF$7:DF$106,$AD90),1),IF($AE90&gt;0,INDEX(DF$7:DF$106,$AE90),1),IF($AF90&gt;0,INDEX(DF$7:DF$106,$AF90),1),IF($AG90&gt;0,INDEX(DF$7:DF$106,$AG90),1),IF($AH90&gt;0,INDEX(DF$7:DF$106,$AH90),1),IF($AI90&gt;0,INDEX(DF$7:DF$106,$AI90),1),IF($AJ90&gt;0,INDEX(DF$7:DF$106,$AJ90),1))))</ns0:f>
        <ns0:v>1</ns0:v>
      </ns0:c>
      <ns0:c r="DH90" t="n">
        <ns0:f>IF($A90="",1,IF(DG90=1,1,--AND(IF($AC90&gt;0,INDEX(DG$7:DG$106,$AC90),1),IF($AD90&gt;0,INDEX(DG$7:DG$106,$AD90),1),IF($AE90&gt;0,INDEX(DG$7:DG$106,$AE90),1),IF($AF90&gt;0,INDEX(DG$7:DG$106,$AF90),1),IF($AG90&gt;0,INDEX(DG$7:DG$106,$AG90),1),IF($AH90&gt;0,INDEX(DG$7:DG$106,$AH90),1),IF($AI90&gt;0,INDEX(DG$7:DG$106,$AI90),1),IF($AJ90&gt;0,INDEX(DG$7:DG$106,$AJ90),1))))</ns0:f>
        <ns0:v>1</ns0:v>
      </ns0:c>
      <ns0:c r="DI90" t="n">
        <ns0:f>IF($A90="",1,IF(DH90=1,1,--AND(IF($AC90&gt;0,INDEX(DH$7:DH$106,$AC90),1),IF($AD90&gt;0,INDEX(DH$7:DH$106,$AD90),1),IF($AE90&gt;0,INDEX(DH$7:DH$106,$AE90),1),IF($AF90&gt;0,INDEX(DH$7:DH$106,$AF90),1),IF($AG90&gt;0,INDEX(DH$7:DH$106,$AG90),1),IF($AH90&gt;0,INDEX(DH$7:DH$106,$AH90),1),IF($AI90&gt;0,INDEX(DH$7:DH$106,$AI90),1),IF($AJ90&gt;0,INDEX(DH$7:DH$106,$AJ90),1))))</ns0:f>
        <ns0:v>1</ns0:v>
      </ns0:c>
      <ns0:c r="DJ90" t="n">
        <ns0:f>IF($A90="",1,IF(DI90=1,1,--AND(IF($AC90&gt;0,INDEX(DI$7:DI$106,$AC90),1),IF($AD90&gt;0,INDEX(DI$7:DI$106,$AD90),1),IF($AE90&gt;0,INDEX(DI$7:DI$106,$AE90),1),IF($AF90&gt;0,INDEX(DI$7:DI$106,$AF90),1),IF($AG90&gt;0,INDEX(DI$7:DI$106,$AG90),1),IF($AH90&gt;0,INDEX(DI$7:DI$106,$AH90),1),IF($AI90&gt;0,INDEX(DI$7:DI$106,$AI90),1),IF($AJ90&gt;0,INDEX(DI$7:DI$106,$AJ90),1))))</ns0:f>
        <ns0:v>1</ns0:v>
      </ns0:c>
      <ns0:c r="DK90" t="n">
        <ns0:f>IF($A90="",1,IF(DJ90=1,1,--AND(IF($AC90&gt;0,INDEX(DJ$7:DJ$106,$AC90),1),IF($AD90&gt;0,INDEX(DJ$7:DJ$106,$AD90),1),IF($AE90&gt;0,INDEX(DJ$7:DJ$106,$AE90),1),IF($AF90&gt;0,INDEX(DJ$7:DJ$106,$AF90),1),IF($AG90&gt;0,INDEX(DJ$7:DJ$106,$AG90),1),IF($AH90&gt;0,INDEX(DJ$7:DJ$106,$AH90),1),IF($AI90&gt;0,INDEX(DJ$7:DJ$106,$AI90),1),IF($AJ90&gt;0,INDEX(DJ$7:DJ$106,$AJ90),1))))</ns0:f>
        <ns0:v>1</ns0:v>
      </ns0:c>
      <ns0:c r="DL90" t="n">
        <ns0:f>IF($A90="",1,IF(DK90=1,1,--AND(IF($AC90&gt;0,INDEX(DK$7:DK$106,$AC90),1),IF($AD90&gt;0,INDEX(DK$7:DK$106,$AD90),1),IF($AE90&gt;0,INDEX(DK$7:DK$106,$AE90),1),IF($AF90&gt;0,INDEX(DK$7:DK$106,$AF90),1),IF($AG90&gt;0,INDEX(DK$7:DK$106,$AG90),1),IF($AH90&gt;0,INDEX(DK$7:DK$106,$AH90),1),IF($AI90&gt;0,INDEX(DK$7:DK$106,$AI90),1),IF($AJ90&gt;0,INDEX(DK$7:DK$106,$AJ90),1))))</ns0:f>
        <ns0:v>1</ns0:v>
      </ns0:c>
      <ns0:c r="DM90" t="n">
        <ns0:f>IF($A90="",1,IF(DL90=1,1,--AND(IF($AC90&gt;0,INDEX(DL$7:DL$106,$AC90),1),IF($AD90&gt;0,INDEX(DL$7:DL$106,$AD90),1),IF($AE90&gt;0,INDEX(DL$7:DL$106,$AE90),1),IF($AF90&gt;0,INDEX(DL$7:DL$106,$AF90),1),IF($AG90&gt;0,INDEX(DL$7:DL$106,$AG90),1),IF($AH90&gt;0,INDEX(DL$7:DL$106,$AH90),1),IF($AI90&gt;0,INDEX(DL$7:DL$106,$AI90),1),IF($AJ90&gt;0,INDEX(DL$7:DL$106,$AJ90),1))))</ns0:f>
        <ns0:v>1</ns0:v>
      </ns0:c>
      <ns0:c r="DN90" t="n">
        <ns0:f>IF($A90="",1,IF(DM90=1,1,--AND(IF($AC90&gt;0,INDEX(DM$7:DM$106,$AC90),1),IF($AD90&gt;0,INDEX(DM$7:DM$106,$AD90),1),IF($AE90&gt;0,INDEX(DM$7:DM$106,$AE90),1),IF($AF90&gt;0,INDEX(DM$7:DM$106,$AF90),1),IF($AG90&gt;0,INDEX(DM$7:DM$106,$AG90),1),IF($AH90&gt;0,INDEX(DM$7:DM$106,$AH90),1),IF($AI90&gt;0,INDEX(DM$7:DM$106,$AI90),1),IF($AJ90&gt;0,INDEX(DM$7:DM$106,$AJ90),1))))</ns0:f>
        <ns0:v>1</ns0:v>
      </ns0:c>
      <ns0:c r="DO90" t="n">
        <ns0:f>IF($A90="",1,IF(DN90=1,1,--AND(IF($AC90&gt;0,INDEX(DN$7:DN$106,$AC90),1),IF($AD90&gt;0,INDEX(DN$7:DN$106,$AD90),1),IF($AE90&gt;0,INDEX(DN$7:DN$106,$AE90),1),IF($AF90&gt;0,INDEX(DN$7:DN$106,$AF90),1),IF($AG90&gt;0,INDEX(DN$7:DN$106,$AG90),1),IF($AH90&gt;0,INDEX(DN$7:DN$106,$AH90),1),IF($AI90&gt;0,INDEX(DN$7:DN$106,$AI90),1),IF($AJ90&gt;0,INDEX(DN$7:DN$106,$AJ90),1))))</ns0:f>
        <ns0:v>1</ns0:v>
      </ns0:c>
      <ns0:c r="DP90" t="n">
        <ns0:f>IF($A90="",1,IF(DO90=1,1,--AND(IF($AC90&gt;0,INDEX(DO$7:DO$106,$AC90),1),IF($AD90&gt;0,INDEX(DO$7:DO$106,$AD90),1),IF($AE90&gt;0,INDEX(DO$7:DO$106,$AE90),1),IF($AF90&gt;0,INDEX(DO$7:DO$106,$AF90),1),IF($AG90&gt;0,INDEX(DO$7:DO$106,$AG90),1),IF($AH90&gt;0,INDEX(DO$7:DO$106,$AH90),1),IF($AI90&gt;0,INDEX(DO$7:DO$106,$AI90),1),IF($AJ90&gt;0,INDEX(DO$7:DO$106,$AJ90),1))))</ns0:f>
        <ns0:v>1</ns0:v>
      </ns0:c>
      <ns0:c r="DQ90" t="n">
        <ns0:f>IF($A90="",1,IF(DP90=1,1,--AND(IF($AC90&gt;0,INDEX(DP$7:DP$106,$AC90),1),IF($AD90&gt;0,INDEX(DP$7:DP$106,$AD90),1),IF($AE90&gt;0,INDEX(DP$7:DP$106,$AE90),1),IF($AF90&gt;0,INDEX(DP$7:DP$106,$AF90),1),IF($AG90&gt;0,INDEX(DP$7:DP$106,$AG90),1),IF($AH90&gt;0,INDEX(DP$7:DP$106,$AH90),1),IF($AI90&gt;0,INDEX(DP$7:DP$106,$AI90),1),IF($AJ90&gt;0,INDEX(DP$7:DP$106,$AJ90),1))))</ns0:f>
        <ns0:v>1</ns0:v>
      </ns0:c>
      <ns0:c r="DR90" t="n">
        <ns0:f>IF($A90="",1,IF(DQ90=1,1,--AND(IF($AC90&gt;0,INDEX(DQ$7:DQ$106,$AC90),1),IF($AD90&gt;0,INDEX(DQ$7:DQ$106,$AD90),1),IF($AE90&gt;0,INDEX(DQ$7:DQ$106,$AE90),1),IF($AF90&gt;0,INDEX(DQ$7:DQ$106,$AF90),1),IF($AG90&gt;0,INDEX(DQ$7:DQ$106,$AG90),1),IF($AH90&gt;0,INDEX(DQ$7:DQ$106,$AH90),1),IF($AI90&gt;0,INDEX(DQ$7:DQ$106,$AI90),1),IF($AJ90&gt;0,INDEX(DQ$7:DQ$106,$AJ90),1))))</ns0:f>
        <ns0:v>1</ns0:v>
      </ns0:c>
      <ns0:c r="DS90" t="n">
        <ns0:f>IF($A90="",1,IF(DR90=1,1,--AND(IF($AC90&gt;0,INDEX(DR$7:DR$106,$AC90),1),IF($AD90&gt;0,INDEX(DR$7:DR$106,$AD90),1),IF($AE90&gt;0,INDEX(DR$7:DR$106,$AE90),1),IF($AF90&gt;0,INDEX(DR$7:DR$106,$AF90),1),IF($AG90&gt;0,INDEX(DR$7:DR$106,$AG90),1),IF($AH90&gt;0,INDEX(DR$7:DR$106,$AH90),1),IF($AI90&gt;0,INDEX(DR$7:DR$106,$AI90),1),IF($AJ90&gt;0,INDEX(DR$7:DR$106,$AJ90),1))))</ns0:f>
        <ns0:v>1</ns0:v>
      </ns0:c>
      <ns0:c r="DT90" t="n">
        <ns0:f>IF($A90="",1,IF(DS90=1,1,--AND(IF($AC90&gt;0,INDEX(DS$7:DS$106,$AC90),1),IF($AD90&gt;0,INDEX(DS$7:DS$106,$AD90),1),IF($AE90&gt;0,INDEX(DS$7:DS$106,$AE90),1),IF($AF90&gt;0,INDEX(DS$7:DS$106,$AF90),1),IF($AG90&gt;0,INDEX(DS$7:DS$106,$AG90),1),IF($AH90&gt;0,INDEX(DS$7:DS$106,$AH90),1),IF($AI90&gt;0,INDEX(DS$7:DS$106,$AI90),1),IF($AJ90&gt;0,INDEX(DS$7:DS$106,$AJ90),1))))</ns0:f>
        <ns0:v>1</ns0:v>
      </ns0:c>
      <ns0:c r="DU90" t="n">
        <ns0:f>IF($A90="",1,IF(DT90=1,1,--AND(IF($AC90&gt;0,INDEX(DT$7:DT$106,$AC90),1),IF($AD90&gt;0,INDEX(DT$7:DT$106,$AD90),1),IF($AE90&gt;0,INDEX(DT$7:DT$106,$AE90),1),IF($AF90&gt;0,INDEX(DT$7:DT$106,$AF90),1),IF($AG90&gt;0,INDEX(DT$7:DT$106,$AG90),1),IF($AH90&gt;0,INDEX(DT$7:DT$106,$AH90),1),IF($AI90&gt;0,INDEX(DT$7:DT$106,$AI90),1),IF($AJ90&gt;0,INDEX(DT$7:DT$106,$AJ90),1))))</ns0:f>
        <ns0:v>1</ns0:v>
      </ns0:c>
      <ns0:c r="DV90" t="n">
        <ns0:f>IF($A90="",1,IF(DU90=1,1,--AND(IF($AC90&gt;0,INDEX(DU$7:DU$106,$AC90),1),IF($AD90&gt;0,INDEX(DU$7:DU$106,$AD90),1),IF($AE90&gt;0,INDEX(DU$7:DU$106,$AE90),1),IF($AF90&gt;0,INDEX(DU$7:DU$106,$AF90),1),IF($AG90&gt;0,INDEX(DU$7:DU$106,$AG90),1),IF($AH90&gt;0,INDEX(DU$7:DU$106,$AH90),1),IF($AI90&gt;0,INDEX(DU$7:DU$106,$AI90),1),IF($AJ90&gt;0,INDEX(DU$7:DU$106,$AJ90),1))))</ns0:f>
        <ns0:v>1</ns0:v>
      </ns0:c>
      <ns0:c r="DW90" t="n">
        <ns0:f>IF($A90="",1,IF(DV90=1,1,--AND(IF($AC90&gt;0,INDEX(DV$7:DV$106,$AC90),1),IF($AD90&gt;0,INDEX(DV$7:DV$106,$AD90),1),IF($AE90&gt;0,INDEX(DV$7:DV$106,$AE90),1),IF($AF90&gt;0,INDEX(DV$7:DV$106,$AF90),1),IF($AG90&gt;0,INDEX(DV$7:DV$106,$AG90),1),IF($AH90&gt;0,INDEX(DV$7:DV$106,$AH90),1),IF($AI90&gt;0,INDEX(DV$7:DV$106,$AI90),1),IF($AJ90&gt;0,INDEX(DV$7:DV$106,$AJ90),1))))</ns0:f>
        <ns0:v>1</ns0:v>
      </ns0:c>
      <ns0:c r="DX90" t="n">
        <ns0:f>IF($A90="",1,IF(DW90=1,1,--AND(IF($AC90&gt;0,INDEX(DW$7:DW$106,$AC90),1),IF($AD90&gt;0,INDEX(DW$7:DW$106,$AD90),1),IF($AE90&gt;0,INDEX(DW$7:DW$106,$AE90),1),IF($AF90&gt;0,INDEX(DW$7:DW$106,$AF90),1),IF($AG90&gt;0,INDEX(DW$7:DW$106,$AG90),1),IF($AH90&gt;0,INDEX(DW$7:DW$106,$AH90),1),IF($AI90&gt;0,INDEX(DW$7:DW$106,$AI90),1),IF($AJ90&gt;0,INDEX(DW$7:DW$106,$AJ90),1))))</ns0:f>
        <ns0:v>1</ns0:v>
      </ns0:c>
      <ns0:c r="DY90" t="n">
        <ns0:f>IF($A90="",1,IF(DX90=1,1,--AND(IF($AC90&gt;0,INDEX(DX$7:DX$106,$AC90),1),IF($AD90&gt;0,INDEX(DX$7:DX$106,$AD90),1),IF($AE90&gt;0,INDEX(DX$7:DX$106,$AE90),1),IF($AF90&gt;0,INDEX(DX$7:DX$106,$AF90),1),IF($AG90&gt;0,INDEX(DX$7:DX$106,$AG90),1),IF($AH90&gt;0,INDEX(DX$7:DX$106,$AH90),1),IF($AI90&gt;0,INDEX(DX$7:DX$106,$AI90),1),IF($AJ90&gt;0,INDEX(DX$7:DX$106,$AJ90),1))))</ns0:f>
        <ns0:v>1</ns0:v>
      </ns0:c>
      <ns0:c r="DZ90" t="n">
        <ns0:f>IF($A90="",1,IF(DY90=1,1,--AND(IF($AC90&gt;0,INDEX(DY$7:DY$106,$AC90),1),IF($AD90&gt;0,INDEX(DY$7:DY$106,$AD90),1),IF($AE90&gt;0,INDEX(DY$7:DY$106,$AE90),1),IF($AF90&gt;0,INDEX(DY$7:DY$106,$AF90),1),IF($AG90&gt;0,INDEX(DY$7:DY$106,$AG90),1),IF($AH90&gt;0,INDEX(DY$7:DY$106,$AH90),1),IF($AI90&gt;0,INDEX(DY$7:DY$106,$AI90),1),IF($AJ90&gt;0,INDEX(DY$7:DY$106,$AJ90),1))))</ns0:f>
        <ns0:v>1</ns0:v>
      </ns0:c>
      <ns0:c r="EA90" t="n">
        <ns0:f>IF($A90="",1,IF(DZ90=1,1,--AND(IF($AC90&gt;0,INDEX(DZ$7:DZ$106,$AC90),1),IF($AD90&gt;0,INDEX(DZ$7:DZ$106,$AD90),1),IF($AE90&gt;0,INDEX(DZ$7:DZ$106,$AE90),1),IF($AF90&gt;0,INDEX(DZ$7:DZ$106,$AF90),1),IF($AG90&gt;0,INDEX(DZ$7:DZ$106,$AG90),1),IF($AH90&gt;0,INDEX(DZ$7:DZ$106,$AH90),1),IF($AI90&gt;0,INDEX(DZ$7:DZ$106,$AI90),1),IF($AJ90&gt;0,INDEX(DZ$7:DZ$106,$AJ90),1))))</ns0:f>
        <ns0:v>1</ns0:v>
      </ns0:c>
      <ns0:c r="EB90" t="n">
        <ns0:f>IF($A90="",1,IF(EA90=1,1,--AND(IF($AC90&gt;0,INDEX(EA$7:EA$106,$AC90),1),IF($AD90&gt;0,INDEX(EA$7:EA$106,$AD90),1),IF($AE90&gt;0,INDEX(EA$7:EA$106,$AE90),1),IF($AF90&gt;0,INDEX(EA$7:EA$106,$AF90),1),IF($AG90&gt;0,INDEX(EA$7:EA$106,$AG90),1),IF($AH90&gt;0,INDEX(EA$7:EA$106,$AH90),1),IF($AI90&gt;0,INDEX(EA$7:EA$106,$AI90),1),IF($AJ90&gt;0,INDEX(EA$7:EA$106,$AJ90),1))))</ns0:f>
        <ns0:v>1</ns0:v>
      </ns0:c>
      <ns0:c r="EC90" t="n">
        <ns0:f>IF($A90="",1,IF(EB90=1,1,--AND(IF($AC90&gt;0,INDEX(EB$7:EB$106,$AC90),1),IF($AD90&gt;0,INDEX(EB$7:EB$106,$AD90),1),IF($AE90&gt;0,INDEX(EB$7:EB$106,$AE90),1),IF($AF90&gt;0,INDEX(EB$7:EB$106,$AF90),1),IF($AG90&gt;0,INDEX(EB$7:EB$106,$AG90),1),IF($AH90&gt;0,INDEX(EB$7:EB$106,$AH90),1),IF($AI90&gt;0,INDEX(EB$7:EB$106,$AI90),1),IF($AJ90&gt;0,INDEX(EB$7:EB$106,$AJ90),1))))</ns0:f>
        <ns0:v>1</ns0:v>
      </ns0:c>
      <ns0:c r="ED90" t="n">
        <ns0:f>IF($A90="",1,IF(EC90=1,1,--AND(IF($AC90&gt;0,INDEX(EC$7:EC$106,$AC90),1),IF($AD90&gt;0,INDEX(EC$7:EC$106,$AD90),1),IF($AE90&gt;0,INDEX(EC$7:EC$106,$AE90),1),IF($AF90&gt;0,INDEX(EC$7:EC$106,$AF90),1),IF($AG90&gt;0,INDEX(EC$7:EC$106,$AG90),1),IF($AH90&gt;0,INDEX(EC$7:EC$106,$AH90),1),IF($AI90&gt;0,INDEX(EC$7:EC$106,$AI90),1),IF($AJ90&gt;0,INDEX(EC$7:EC$106,$AJ90),1))))</ns0:f>
        <ns0:v>1</ns0:v>
      </ns0:c>
      <ns0:c r="EE90" t="n">
        <ns0:f>IF($A90="",1,IF(ED90=1,1,--AND(IF($AC90&gt;0,INDEX(ED$7:ED$106,$AC90),1),IF($AD90&gt;0,INDEX(ED$7:ED$106,$AD90),1),IF($AE90&gt;0,INDEX(ED$7:ED$106,$AE90),1),IF($AF90&gt;0,INDEX(ED$7:ED$106,$AF90),1),IF($AG90&gt;0,INDEX(ED$7:ED$106,$AG90),1),IF($AH90&gt;0,INDEX(ED$7:ED$106,$AH90),1),IF($AI90&gt;0,INDEX(ED$7:ED$106,$AI90),1),IF($AJ90&gt;0,INDEX(ED$7:ED$106,$AJ90),1))))</ns0:f>
        <ns0:v>1</ns0:v>
      </ns0:c>
      <ns0:c r="EF90" t="n">
        <ns0:f>IF($A90="",1,IF(EE90=1,1,--AND(IF($AC90&gt;0,INDEX(EE$7:EE$106,$AC90),1),IF($AD90&gt;0,INDEX(EE$7:EE$106,$AD90),1),IF($AE90&gt;0,INDEX(EE$7:EE$106,$AE90),1),IF($AF90&gt;0,INDEX(EE$7:EE$106,$AF90),1),IF($AG90&gt;0,INDEX(EE$7:EE$106,$AG90),1),IF($AH90&gt;0,INDEX(EE$7:EE$106,$AH90),1),IF($AI90&gt;0,INDEX(EE$7:EE$106,$AI90),1),IF($AJ90&gt;0,INDEX(EE$7:EE$106,$AJ90),1))))</ns0:f>
        <ns0:v>1</ns0:v>
      </ns0:c>
      <ns0:c r="EG90" t="n">
        <ns0:f>IF($A90="",1,IF(EF90=1,1,--AND(IF($AC90&gt;0,INDEX(EF$7:EF$106,$AC90),1),IF($AD90&gt;0,INDEX(EF$7:EF$106,$AD90),1),IF($AE90&gt;0,INDEX(EF$7:EF$106,$AE90),1),IF($AF90&gt;0,INDEX(EF$7:EF$106,$AF90),1),IF($AG90&gt;0,INDEX(EF$7:EF$106,$AG90),1),IF($AH90&gt;0,INDEX(EF$7:EF$106,$AH90),1),IF($AI90&gt;0,INDEX(EF$7:EF$106,$AI90),1),IF($AJ90&gt;0,INDEX(EF$7:EF$106,$AJ90),1))))</ns0:f>
        <ns0:v>1</ns0:v>
      </ns0:c>
      <ns0:c r="EH90" t="n">
        <ns0:f>IF($A90="",1,IF(EG90=1,1,--AND(IF($AC90&gt;0,INDEX(EG$7:EG$106,$AC90),1),IF($AD90&gt;0,INDEX(EG$7:EG$106,$AD90),1),IF($AE90&gt;0,INDEX(EG$7:EG$106,$AE90),1),IF($AF90&gt;0,INDEX(EG$7:EG$106,$AF90),1),IF($AG90&gt;0,INDEX(EG$7:EG$106,$AG90),1),IF($AH90&gt;0,INDEX(EG$7:EG$106,$AH90),1),IF($AI90&gt;0,INDEX(EG$7:EG$106,$AI90),1),IF($AJ90&gt;0,INDEX(EG$7:EG$106,$AJ90),1))))</ns0:f>
        <ns0:v>1</ns0:v>
      </ns0:c>
      <ns0:c r="EI90" t="n">
        <ns0:f>IF($A90="",1,IF(EH90=1,1,--AND(IF($AC90&gt;0,INDEX(EH$7:EH$106,$AC90),1),IF($AD90&gt;0,INDEX(EH$7:EH$106,$AD90),1),IF($AE90&gt;0,INDEX(EH$7:EH$106,$AE90),1),IF($AF90&gt;0,INDEX(EH$7:EH$106,$AF90),1),IF($AG90&gt;0,INDEX(EH$7:EH$106,$AG90),1),IF($AH90&gt;0,INDEX(EH$7:EH$106,$AH90),1),IF($AI90&gt;0,INDEX(EH$7:EH$106,$AI90),1),IF($AJ90&gt;0,INDEX(EH$7:EH$106,$AJ90),1))))</ns0:f>
        <ns0:v>1</ns0:v>
      </ns0:c>
      <ns0:c r="EJ90" t="n">
        <ns0:f>IF($A90="",1,IF(EI90=1,1,--AND(IF($AC90&gt;0,INDEX(EI$7:EI$106,$AC90),1),IF($AD90&gt;0,INDEX(EI$7:EI$106,$AD90),1),IF($AE90&gt;0,INDEX(EI$7:EI$106,$AE90),1),IF($AF90&gt;0,INDEX(EI$7:EI$106,$AF90),1),IF($AG90&gt;0,INDEX(EI$7:EI$106,$AG90),1),IF($AH90&gt;0,INDEX(EI$7:EI$106,$AH90),1),IF($AI90&gt;0,INDEX(EI$7:EI$106,$AI90),1),IF($AJ90&gt;0,INDEX(EI$7:EI$106,$AJ90),1))))</ns0:f>
        <ns0:v>1</ns0:v>
      </ns0:c>
      <ns0:c r="EK90" t="n">
        <ns0:f>IF($A90="",1,IF(EJ90=1,1,--AND(IF($AC90&gt;0,INDEX(EJ$7:EJ$106,$AC90),1),IF($AD90&gt;0,INDEX(EJ$7:EJ$106,$AD90),1),IF($AE90&gt;0,INDEX(EJ$7:EJ$106,$AE90),1),IF($AF90&gt;0,INDEX(EJ$7:EJ$106,$AF90),1),IF($AG90&gt;0,INDEX(EJ$7:EJ$106,$AG90),1),IF($AH90&gt;0,INDEX(EJ$7:EJ$106,$AH90),1),IF($AI90&gt;0,INDEX(EJ$7:EJ$106,$AI90),1),IF($AJ90&gt;0,INDEX(EJ$7:EJ$106,$AJ90),1))))</ns0:f>
        <ns0:v>1</ns0:v>
      </ns0:c>
      <ns0:c r="EL90" t="n">
        <ns0:f>IF($A90="",1,IF(EK90=1,1,--AND(IF($AC90&gt;0,INDEX(EK$7:EK$106,$AC90),1),IF($AD90&gt;0,INDEX(EK$7:EK$106,$AD90),1),IF($AE90&gt;0,INDEX(EK$7:EK$106,$AE90),1),IF($AF90&gt;0,INDEX(EK$7:EK$106,$AF90),1),IF($AG90&gt;0,INDEX(EK$7:EK$106,$AG90),1),IF($AH90&gt;0,INDEX(EK$7:EK$106,$AH90),1),IF($AI90&gt;0,INDEX(EK$7:EK$106,$AI90),1),IF($AJ90&gt;0,INDEX(EK$7:EK$106,$AJ90),1))))</ns0:f>
        <ns0:v>1</ns0:v>
      </ns0:c>
      <ns0:c r="EM90" t="n">
        <ns0:f>IF($A90="",1,IF(EL90=1,1,--AND(IF($AC90&gt;0,INDEX(EL$7:EL$106,$AC90),1),IF($AD90&gt;0,INDEX(EL$7:EL$106,$AD90),1),IF($AE90&gt;0,INDEX(EL$7:EL$106,$AE90),1),IF($AF90&gt;0,INDEX(EL$7:EL$106,$AF90),1),IF($AG90&gt;0,INDEX(EL$7:EL$106,$AG90),1),IF($AH90&gt;0,INDEX(EL$7:EL$106,$AH90),1),IF($AI90&gt;0,INDEX(EL$7:EL$106,$AI90),1),IF($AJ90&gt;0,INDEX(EL$7:EL$106,$AJ90),1))))</ns0:f>
        <ns0:v>1</ns0:v>
      </ns0:c>
      <ns0:c r="EN90" t="n">
        <ns0:f>IF($A90="",1,IF(EM90=1,1,--AND(IF($AC90&gt;0,INDEX(EM$7:EM$106,$AC90),1),IF($AD90&gt;0,INDEX(EM$7:EM$106,$AD90),1),IF($AE90&gt;0,INDEX(EM$7:EM$106,$AE90),1),IF($AF90&gt;0,INDEX(EM$7:EM$106,$AF90),1),IF($AG90&gt;0,INDEX(EM$7:EM$106,$AG90),1),IF($AH90&gt;0,INDEX(EM$7:EM$106,$AH90),1),IF($AI90&gt;0,INDEX(EM$7:EM$106,$AI90),1),IF($AJ90&gt;0,INDEX(EM$7:EM$106,$AJ90),1))))</ns0:f>
        <ns0:v>1</ns0:v>
      </ns0:c>
      <ns0:c r="EO90" t="n">
        <ns0:f>IF($A90="",1,IF(EN90=1,1,--AND(IF($AC90&gt;0,INDEX(EN$7:EN$106,$AC90),1),IF($AD90&gt;0,INDEX(EN$7:EN$106,$AD90),1),IF($AE90&gt;0,INDEX(EN$7:EN$106,$AE90),1),IF($AF90&gt;0,INDEX(EN$7:EN$106,$AF90),1),IF($AG90&gt;0,INDEX(EN$7:EN$106,$AG90),1),IF($AH90&gt;0,INDEX(EN$7:EN$106,$AH90),1),IF($AI90&gt;0,INDEX(EN$7:EN$106,$AI90),1),IF($AJ90&gt;0,INDEX(EN$7:EN$106,$AJ90),1))))</ns0:f>
        <ns0:v>1</ns0:v>
      </ns0:c>
      <ns0:c r="EP90" t="n">
        <ns0:f>IF($A90="",1,IF(EO90=1,1,--AND(IF($AC90&gt;0,INDEX(EO$7:EO$106,$AC90),1),IF($AD90&gt;0,INDEX(EO$7:EO$106,$AD90),1),IF($AE90&gt;0,INDEX(EO$7:EO$106,$AE90),1),IF($AF90&gt;0,INDEX(EO$7:EO$106,$AF90),1),IF($AG90&gt;0,INDEX(EO$7:EO$106,$AG90),1),IF($AH90&gt;0,INDEX(EO$7:EO$106,$AH90),1),IF($AI90&gt;0,INDEX(EO$7:EO$106,$AI90),1),IF($AJ90&gt;0,INDEX(EO$7:EO$106,$AJ90),1))))</ns0:f>
        <ns0:v>1</ns0:v>
      </ns0:c>
      <ns0:c r="EQ90" t="n">
        <ns0:f>IF(OR(A90="",NOT(ISNUMBER(G90))),0,G90*N90)</ns0:f>
        <ns0:v>0</ns0:v>
      </ns0:c>
    </ns0:row>
    <ns0:row r="91" ht="62" customHeight="1">
      <ns0:c r="A91" s="48"/>
      <ns0:c r="B91" s="48"/>
      <ns0:c r="C91" s="48"/>
      <ns0:c r="D91" s="48"/>
      <ns0:c r="E91" s="49"/>
      <ns0:c r="F91" s="49"/>
      <ns0:c r="G91" s="13" t="str">
        <ns0:f>IF(A91="","",IF(OR(NOT(ISNUMBER(E91)),NOT(ISNUMBER(F91)),F91&lt;E91),"",IF(J91="Yes",0,F91-E91+1)))</ns0:f>
      </ns0:c>
      <ns0:c r="H91" s="48"/>
      <ns0:c r="I91" s="48"/>
      <ns0:c r="J91" s="48"/>
      <ns0:c r="K91" s="48"/>
      <ns0:c r="L91" s="48"/>
      <ns0:c r="M91" s="50" t="str">
        <ns0:f>IF(A91="","",IF(N91=1,"Completed",IF(N91&gt;0,"In Progress","Not Started")))</ns0:f>
      </ns0:c>
      <ns0:c r="N91" s="51"/>
      <ns0:c r="O91" s="13" t="str">
        <ns0:f>IF(A91="","",IF(R91&lt;&gt;"","[CONFLICT] "&amp;R91,IF(S91&lt;&gt;"","[CONFLICT] "&amp;S91,IF(OR(NOT(ISNUMBER(N91)),N91&lt;0,N91&gt;1),"[CONFLICT] Invalid progress",IF(AK91&gt;0,"[DEPENDENCY ISSUE] Missing ID / &gt;8 links",IF(AM91&gt;0,"[DEPENDENCY ISSUE] Cycle or blocked by cycle",IF(AND(H91&lt;&gt;"",ISNA(MATCH(I91,{"FS","SS","FF","SF"},0))),"[DEPENDENCY ISSUE] Invalid type",IF(AL91&gt;0,"[DEPENDENCY ISSUE] Timing conflict",IF(OR(E91&lt;ProjectStart,F91&gt;ProjectEnd),"[OUTSIDE WINDOW]",IF(AND(N91&lt;1,F91&lt;AsOfDate),"Overdue",IF(AND(M91&lt;&gt;Q91,M91&lt;&gt;""),"[CONFLICT] Status / progress","On track")))))))))))</ns0:f>
      </ns0:c>
      <ns0:c r="P91" s="52"/>
      <ns0:c r="Q91" t="str">
        <ns0:f>IF(A91="","",IF(OR(M91="On Hold",M91="Delayed"),M91,IF(N91=1,"Completed",IF(N91&gt;0,"In Progress","Not Started"))))</ns0:f>
      </ns0:c>
      <ns0:c r="R91" t="str">
        <ns0:f>IF(A91="","",IF(COUNTIFS(Tasks[Task ID],A91)&lt;&gt;1,"Duplicate ID",""))</ns0:f>
      </ns0:c>
      <ns0:c r="S91" t="str">
        <ns0:f>IF(A91="","",IF(OR(NOT(ISNUMBER(E91)),NOT(ISNUMBER(F91))),"Invalid / missing date",IF(OR(E91&lt;&gt;INT(E91),F91&lt;&gt;INT(F91),E91&lt;1,F91&gt;2958465),"Invalid date",IF(F91&lt;E91,"End before start",IF(AND(J91="Yes",E91&lt;&gt;F91),"Milestone needs one date","")))))</ns0:f>
      </ns0:c>
      <ns0:c r="T91" t="n">
        <ns0:f>IF(H91="",0,LEN(H91)-LEN(SUBSTITUTE(H91,",",""))+1)</ns0:f>
        <ns0:v>0</ns0:v>
      </ns0:c>
      <ns0:c r="U91" t="str">
        <ns0:f>TRIM(MID(SUBSTITUTE($H91,",",REPT(" ",100)),1,100))</ns0:f>
      </ns0:c>
      <ns0:c r="V91" t="str">
        <ns0:f>TRIM(MID(SUBSTITUTE($H91,",",REPT(" ",100)),101,100))</ns0:f>
      </ns0:c>
      <ns0:c r="W91" t="str">
        <ns0:f>TRIM(MID(SUBSTITUTE($H91,",",REPT(" ",100)),201,100))</ns0:f>
      </ns0:c>
      <ns0:c r="X91" t="str">
        <ns0:f>TRIM(MID(SUBSTITUTE($H91,",",REPT(" ",100)),301,100))</ns0:f>
      </ns0:c>
      <ns0:c r="Y91" t="str">
        <ns0:f>TRIM(MID(SUBSTITUTE($H91,",",REPT(" ",100)),401,100))</ns0:f>
      </ns0:c>
      <ns0:c r="Z91" t="str">
        <ns0:f>TRIM(MID(SUBSTITUTE($H91,",",REPT(" ",100)),501,100))</ns0:f>
      </ns0:c>
      <ns0:c r="AA91" t="str">
        <ns0:f>TRIM(MID(SUBSTITUTE($H91,",",REPT(" ",100)),601,100))</ns0:f>
      </ns0:c>
      <ns0:c r="AB91" t="str">
        <ns0:f>TRIM(MID(SUBSTITUTE($H91,",",REPT(" ",100)),701,100))</ns0:f>
      </ns0:c>
      <ns0:c r="AC91" t="n">
        <ns0:f>IF(U91="",0,IF(COUNTIFS(Tasks[Task ID],U91)=1,MATCH(U91,Tasks[Task ID],0),-1))</ns0:f>
        <ns0:v>0</ns0:v>
      </ns0:c>
      <ns0:c r="AD91" t="n">
        <ns0:f>IF(V91="",0,IF(COUNTIFS(Tasks[Task ID],V91)=1,MATCH(V91,Tasks[Task ID],0),-1))</ns0:f>
        <ns0:v>0</ns0:v>
      </ns0:c>
      <ns0:c r="AE91" t="n">
        <ns0:f>IF(W91="",0,IF(COUNTIFS(Tasks[Task ID],W91)=1,MATCH(W91,Tasks[Task ID],0),-1))</ns0:f>
        <ns0:v>0</ns0:v>
      </ns0:c>
      <ns0:c r="AF91" t="n">
        <ns0:f>IF(X91="",0,IF(COUNTIFS(Tasks[Task ID],X91)=1,MATCH(X91,Tasks[Task ID],0),-1))</ns0:f>
        <ns0:v>0</ns0:v>
      </ns0:c>
      <ns0:c r="AG91" t="n">
        <ns0:f>IF(Y91="",0,IF(COUNTIFS(Tasks[Task ID],Y91)=1,MATCH(Y91,Tasks[Task ID],0),-1))</ns0:f>
        <ns0:v>0</ns0:v>
      </ns0:c>
      <ns0:c r="AH91" t="n">
        <ns0:f>IF(Z91="",0,IF(COUNTIFS(Tasks[Task ID],Z91)=1,MATCH(Z91,Tasks[Task ID],0),-1))</ns0:f>
        <ns0:v>0</ns0:v>
      </ns0:c>
      <ns0:c r="AI91" t="n">
        <ns0:f>IF(AA91="",0,IF(COUNTIFS(Tasks[Task ID],AA91)=1,MATCH(AA91,Tasks[Task ID],0),-1))</ns0:f>
        <ns0:v>0</ns0:v>
      </ns0:c>
      <ns0:c r="AJ91" t="n">
        <ns0:f>IF(AB91="",0,IF(COUNTIFS(Tasks[Task ID],AB91)=1,MATCH(AB91,Tasks[Task ID],0),-1))</ns0:f>
        <ns0:v>0</ns0:v>
      </ns0:c>
      <ns0:c r="AK91" t="n">
        <ns0:f>COUNTIFS(AC91:AJ91,-1)+IF(T91&gt;8,1,0)</ns0:f>
        <ns0:v>0</ns0:v>
      </ns0:c>
      <ns0:c r="AL91" t="n">
        <ns0:f>IF(OR(A91="",S91&lt;&gt;""),0,SUM(IF(AC91&gt;0,IF($I91="FS",--($E91&lt;INDEX(Tasks[End Date],AC91)+IF(INDEX(Tasks[Milestone],AC91)="Yes",0,1)),IF($I91="SS",--($E91&lt;INDEX(Tasks[Start Date],AC91)),IF($I91="FF",--($F91&lt;INDEX(Tasks[End Date],AC91)),IF($I91="SF",--($F91&lt;INDEX(Tasks[Start Date],AC91)),0)))),0),IF(AD91&gt;0,IF($I91="FS",--($E91&lt;INDEX(Tasks[End Date],AD91)+IF(INDEX(Tasks[Milestone],AD91)="Yes",0,1)),IF($I91="SS",--($E91&lt;INDEX(Tasks[Start Date],AD91)),IF($I91="FF",--($F91&lt;INDEX(Tasks[End Date],AD91)),IF($I91="SF",--($F91&lt;INDEX(Tasks[Start Date],AD91)),0)))),0),IF(AE91&gt;0,IF($I91="FS",--($E91&lt;INDEX(Tasks[End Date],AE91)+IF(INDEX(Tasks[Milestone],AE91)="Yes",0,1)),IF($I91="SS",--($E91&lt;INDEX(Tasks[Start Date],AE91)),IF($I91="FF",--($F91&lt;INDEX(Tasks[End Date],AE91)),IF($I91="SF",--($F91&lt;INDEX(Tasks[Start Date],AE91)),0)))),0),IF(AF91&gt;0,IF($I91="FS",--($E91&lt;INDEX(Tasks[End Date],AF91)+IF(INDEX(Tasks[Milestone],AF91)="Yes",0,1)),IF($I91="SS",--($E91&lt;INDEX(Tasks[Start Date],AF91)),IF($I91="FF",--($F91&lt;INDEX(Tasks[End Date],AF91)),IF($I91="SF",--($F91&lt;INDEX(Tasks[Start Date],AF91)),0)))),0),IF(AG91&gt;0,IF($I91="FS",--($E91&lt;INDEX(Tasks[End Date],AG91)+IF(INDEX(Tasks[Milestone],AG91)="Yes",0,1)),IF($I91="SS",--($E91&lt;INDEX(Tasks[Start Date],AG91)),IF($I91="FF",--($F91&lt;INDEX(Tasks[End Date],AG91)),IF($I91="SF",--($F91&lt;INDEX(Tasks[Start Date],AG91)),0)))),0),IF(AH91&gt;0,IF($I91="FS",--($E91&lt;INDEX(Tasks[End Date],AH91)+IF(INDEX(Tasks[Milestone],AH91)="Yes",0,1)),IF($I91="SS",--($E91&lt;INDEX(Tasks[Start Date],AH91)),IF($I91="FF",--($F91&lt;INDEX(Tasks[End Date],AH91)),IF($I91="SF",--($F91&lt;INDEX(Tasks[Start Date],AH91)),0)))),0),IF(AI91&gt;0,IF($I91="FS",--($E91&lt;INDEX(Tasks[End Date],AI91)+IF(INDEX(Tasks[Milestone],AI91)="Yes",0,1)),IF($I91="SS",--($E91&lt;INDEX(Tasks[Start Date],AI91)),IF($I91="FF",--($F91&lt;INDEX(Tasks[End Date],AI91)),IF($I91="SF",--($F91&lt;INDEX(Tasks[Start Date],AI91)),0)))),0),IF(AJ91&gt;0,IF($I91="FS",--($E91&lt;INDEX(Tasks[End Date],AJ91)+IF(INDEX(Tasks[Milestone],AJ91)="Yes",0,1)),IF($I91="SS",--($E91&lt;INDEX(Tasks[Start Date],AJ91)),IF($I91="FF",--($F91&lt;INDEX(Tasks[End Date],AJ91)),IF($I91="SF",--($F91&lt;INDEX(Tasks[Start Date],AJ91)),0)))),0)))</ns0:f>
        <ns0:v>0</ns0:v>
      </ns0:c>
      <ns0:c r="AM91" t="n">
        <ns0:f>IF(AND(A91&lt;&gt;"",AK91=0,EP91=0),1,0)</ns0:f>
        <ns0:v>0</ns0:v>
      </ns0:c>
      <ns0:c r="AN91" t="str">
        <ns0:f>IF(OR(A91="",B91=""),"",IF(COUNTIFS($B$7:B91,B91)=1,MAX($AN$6:AN90)+1,""))</ns0:f>
      </ns0:c>
      <ns0:c r="AO91" t="n">
        <ns0:f>IF(AND(A91&lt;&gt;"",J91="No",N91&lt;1,E91&gt;=AsOfDate),E91+ROW()/10000,1E+9)</ns0:f>
        <ns0:v>1000000000</ns0:v>
      </ns0:c>
      <ns0:c r="AP91" t="n">
        <ns0:f>IF(AND(A91&lt;&gt;"",J91="Yes",N91&lt;1,E91&gt;=AsOfDate),E91+ROW()/10000,1E+9)</ns0:f>
        <ns0:v>1000000000</ns0:v>
      </ns0:c>
      <ns0:c r="AQ91" t="n">
        <ns0:f>IF(AND(A91&lt;&gt;"",J91="No",N91&lt;1,F91&gt;=AsOfDate,F91&lt;=AsOfDate+7),F91+ROW()/10000,1E+9)</ns0:f>
        <ns0:v>1000000000</ns0:v>
      </ns0:c>
      <ns0:c r="AR91" t="n">
        <ns0:f>IF(AND(A91&lt;&gt;"",OR(O91&lt;&gt;"On track",Q91="Delayed")),ROW(),1E+9)</ns0:f>
        <ns0:v>1000000000</ns0:v>
      </ns0:c>
      <ns0:c r="AS91" t="str">
        <ns0:f>IF(A91="","",";"&amp;K91&amp;";")</ns0:f>
      </ns0:c>
      <ns0:c r="AT91" t="n">
        <ns0:f>IF(A91="",1,--(T91=0))</ns0:f>
        <ns0:v>1</ns0:v>
      </ns0:c>
      <ns0:c r="AU91" t="n">
        <ns0:f>IF($A91="",1,IF(AT91=1,1,--AND(IF($AC91&gt;0,INDEX(AT$7:AT$106,$AC91),1),IF($AD91&gt;0,INDEX(AT$7:AT$106,$AD91),1),IF($AE91&gt;0,INDEX(AT$7:AT$106,$AE91),1),IF($AF91&gt;0,INDEX(AT$7:AT$106,$AF91),1),IF($AG91&gt;0,INDEX(AT$7:AT$106,$AG91),1),IF($AH91&gt;0,INDEX(AT$7:AT$106,$AH91),1),IF($AI91&gt;0,INDEX(AT$7:AT$106,$AI91),1),IF($AJ91&gt;0,INDEX(AT$7:AT$106,$AJ91),1))))</ns0:f>
        <ns0:v>1</ns0:v>
      </ns0:c>
      <ns0:c r="AV91" t="n">
        <ns0:f>IF($A91="",1,IF(AU91=1,1,--AND(IF($AC91&gt;0,INDEX(AU$7:AU$106,$AC91),1),IF($AD91&gt;0,INDEX(AU$7:AU$106,$AD91),1),IF($AE91&gt;0,INDEX(AU$7:AU$106,$AE91),1),IF($AF91&gt;0,INDEX(AU$7:AU$106,$AF91),1),IF($AG91&gt;0,INDEX(AU$7:AU$106,$AG91),1),IF($AH91&gt;0,INDEX(AU$7:AU$106,$AH91),1),IF($AI91&gt;0,INDEX(AU$7:AU$106,$AI91),1),IF($AJ91&gt;0,INDEX(AU$7:AU$106,$AJ91),1))))</ns0:f>
        <ns0:v>1</ns0:v>
      </ns0:c>
      <ns0:c r="AW91" t="n">
        <ns0:f>IF($A91="",1,IF(AV91=1,1,--AND(IF($AC91&gt;0,INDEX(AV$7:AV$106,$AC91),1),IF($AD91&gt;0,INDEX(AV$7:AV$106,$AD91),1),IF($AE91&gt;0,INDEX(AV$7:AV$106,$AE91),1),IF($AF91&gt;0,INDEX(AV$7:AV$106,$AF91),1),IF($AG91&gt;0,INDEX(AV$7:AV$106,$AG91),1),IF($AH91&gt;0,INDEX(AV$7:AV$106,$AH91),1),IF($AI91&gt;0,INDEX(AV$7:AV$106,$AI91),1),IF($AJ91&gt;0,INDEX(AV$7:AV$106,$AJ91),1))))</ns0:f>
        <ns0:v>1</ns0:v>
      </ns0:c>
      <ns0:c r="AX91" t="n">
        <ns0:f>IF($A91="",1,IF(AW91=1,1,--AND(IF($AC91&gt;0,INDEX(AW$7:AW$106,$AC91),1),IF($AD91&gt;0,INDEX(AW$7:AW$106,$AD91),1),IF($AE91&gt;0,INDEX(AW$7:AW$106,$AE91),1),IF($AF91&gt;0,INDEX(AW$7:AW$106,$AF91),1),IF($AG91&gt;0,INDEX(AW$7:AW$106,$AG91),1),IF($AH91&gt;0,INDEX(AW$7:AW$106,$AH91),1),IF($AI91&gt;0,INDEX(AW$7:AW$106,$AI91),1),IF($AJ91&gt;0,INDEX(AW$7:AW$106,$AJ91),1))))</ns0:f>
        <ns0:v>1</ns0:v>
      </ns0:c>
      <ns0:c r="AY91" t="n">
        <ns0:f>IF($A91="",1,IF(AX91=1,1,--AND(IF($AC91&gt;0,INDEX(AX$7:AX$106,$AC91),1),IF($AD91&gt;0,INDEX(AX$7:AX$106,$AD91),1),IF($AE91&gt;0,INDEX(AX$7:AX$106,$AE91),1),IF($AF91&gt;0,INDEX(AX$7:AX$106,$AF91),1),IF($AG91&gt;0,INDEX(AX$7:AX$106,$AG91),1),IF($AH91&gt;0,INDEX(AX$7:AX$106,$AH91),1),IF($AI91&gt;0,INDEX(AX$7:AX$106,$AI91),1),IF($AJ91&gt;0,INDEX(AX$7:AX$106,$AJ91),1))))</ns0:f>
        <ns0:v>1</ns0:v>
      </ns0:c>
      <ns0:c r="AZ91" t="n">
        <ns0:f>IF($A91="",1,IF(AY91=1,1,--AND(IF($AC91&gt;0,INDEX(AY$7:AY$106,$AC91),1),IF($AD91&gt;0,INDEX(AY$7:AY$106,$AD91),1),IF($AE91&gt;0,INDEX(AY$7:AY$106,$AE91),1),IF($AF91&gt;0,INDEX(AY$7:AY$106,$AF91),1),IF($AG91&gt;0,INDEX(AY$7:AY$106,$AG91),1),IF($AH91&gt;0,INDEX(AY$7:AY$106,$AH91),1),IF($AI91&gt;0,INDEX(AY$7:AY$106,$AI91),1),IF($AJ91&gt;0,INDEX(AY$7:AY$106,$AJ91),1))))</ns0:f>
        <ns0:v>1</ns0:v>
      </ns0:c>
      <ns0:c r="BA91" t="n">
        <ns0:f>IF($A91="",1,IF(AZ91=1,1,--AND(IF($AC91&gt;0,INDEX(AZ$7:AZ$106,$AC91),1),IF($AD91&gt;0,INDEX(AZ$7:AZ$106,$AD91),1),IF($AE91&gt;0,INDEX(AZ$7:AZ$106,$AE91),1),IF($AF91&gt;0,INDEX(AZ$7:AZ$106,$AF91),1),IF($AG91&gt;0,INDEX(AZ$7:AZ$106,$AG91),1),IF($AH91&gt;0,INDEX(AZ$7:AZ$106,$AH91),1),IF($AI91&gt;0,INDEX(AZ$7:AZ$106,$AI91),1),IF($AJ91&gt;0,INDEX(AZ$7:AZ$106,$AJ91),1))))</ns0:f>
        <ns0:v>1</ns0:v>
      </ns0:c>
      <ns0:c r="BB91" t="n">
        <ns0:f>IF($A91="",1,IF(BA91=1,1,--AND(IF($AC91&gt;0,INDEX(BA$7:BA$106,$AC91),1),IF($AD91&gt;0,INDEX(BA$7:BA$106,$AD91),1),IF($AE91&gt;0,INDEX(BA$7:BA$106,$AE91),1),IF($AF91&gt;0,INDEX(BA$7:BA$106,$AF91),1),IF($AG91&gt;0,INDEX(BA$7:BA$106,$AG91),1),IF($AH91&gt;0,INDEX(BA$7:BA$106,$AH91),1),IF($AI91&gt;0,INDEX(BA$7:BA$106,$AI91),1),IF($AJ91&gt;0,INDEX(BA$7:BA$106,$AJ91),1))))</ns0:f>
        <ns0:v>1</ns0:v>
      </ns0:c>
      <ns0:c r="BC91" t="n">
        <ns0:f>IF($A91="",1,IF(BB91=1,1,--AND(IF($AC91&gt;0,INDEX(BB$7:BB$106,$AC91),1),IF($AD91&gt;0,INDEX(BB$7:BB$106,$AD91),1),IF($AE91&gt;0,INDEX(BB$7:BB$106,$AE91),1),IF($AF91&gt;0,INDEX(BB$7:BB$106,$AF91),1),IF($AG91&gt;0,INDEX(BB$7:BB$106,$AG91),1),IF($AH91&gt;0,INDEX(BB$7:BB$106,$AH91),1),IF($AI91&gt;0,INDEX(BB$7:BB$106,$AI91),1),IF($AJ91&gt;0,INDEX(BB$7:BB$106,$AJ91),1))))</ns0:f>
        <ns0:v>1</ns0:v>
      </ns0:c>
      <ns0:c r="BD91" t="n">
        <ns0:f>IF($A91="",1,IF(BC91=1,1,--AND(IF($AC91&gt;0,INDEX(BC$7:BC$106,$AC91),1),IF($AD91&gt;0,INDEX(BC$7:BC$106,$AD91),1),IF($AE91&gt;0,INDEX(BC$7:BC$106,$AE91),1),IF($AF91&gt;0,INDEX(BC$7:BC$106,$AF91),1),IF($AG91&gt;0,INDEX(BC$7:BC$106,$AG91),1),IF($AH91&gt;0,INDEX(BC$7:BC$106,$AH91),1),IF($AI91&gt;0,INDEX(BC$7:BC$106,$AI91),1),IF($AJ91&gt;0,INDEX(BC$7:BC$106,$AJ91),1))))</ns0:f>
        <ns0:v>1</ns0:v>
      </ns0:c>
      <ns0:c r="BE91" t="n">
        <ns0:f>IF($A91="",1,IF(BD91=1,1,--AND(IF($AC91&gt;0,INDEX(BD$7:BD$106,$AC91),1),IF($AD91&gt;0,INDEX(BD$7:BD$106,$AD91),1),IF($AE91&gt;0,INDEX(BD$7:BD$106,$AE91),1),IF($AF91&gt;0,INDEX(BD$7:BD$106,$AF91),1),IF($AG91&gt;0,INDEX(BD$7:BD$106,$AG91),1),IF($AH91&gt;0,INDEX(BD$7:BD$106,$AH91),1),IF($AI91&gt;0,INDEX(BD$7:BD$106,$AI91),1),IF($AJ91&gt;0,INDEX(BD$7:BD$106,$AJ91),1))))</ns0:f>
        <ns0:v>1</ns0:v>
      </ns0:c>
      <ns0:c r="BF91" t="n">
        <ns0:f>IF($A91="",1,IF(BE91=1,1,--AND(IF($AC91&gt;0,INDEX(BE$7:BE$106,$AC91),1),IF($AD91&gt;0,INDEX(BE$7:BE$106,$AD91),1),IF($AE91&gt;0,INDEX(BE$7:BE$106,$AE91),1),IF($AF91&gt;0,INDEX(BE$7:BE$106,$AF91),1),IF($AG91&gt;0,INDEX(BE$7:BE$106,$AG91),1),IF($AH91&gt;0,INDEX(BE$7:BE$106,$AH91),1),IF($AI91&gt;0,INDEX(BE$7:BE$106,$AI91),1),IF($AJ91&gt;0,INDEX(BE$7:BE$106,$AJ91),1))))</ns0:f>
        <ns0:v>1</ns0:v>
      </ns0:c>
      <ns0:c r="BG91" t="n">
        <ns0:f>IF($A91="",1,IF(BF91=1,1,--AND(IF($AC91&gt;0,INDEX(BF$7:BF$106,$AC91),1),IF($AD91&gt;0,INDEX(BF$7:BF$106,$AD91),1),IF($AE91&gt;0,INDEX(BF$7:BF$106,$AE91),1),IF($AF91&gt;0,INDEX(BF$7:BF$106,$AF91),1),IF($AG91&gt;0,INDEX(BF$7:BF$106,$AG91),1),IF($AH91&gt;0,INDEX(BF$7:BF$106,$AH91),1),IF($AI91&gt;0,INDEX(BF$7:BF$106,$AI91),1),IF($AJ91&gt;0,INDEX(BF$7:BF$106,$AJ91),1))))</ns0:f>
        <ns0:v>1</ns0:v>
      </ns0:c>
      <ns0:c r="BH91" t="n">
        <ns0:f>IF($A91="",1,IF(BG91=1,1,--AND(IF($AC91&gt;0,INDEX(BG$7:BG$106,$AC91),1),IF($AD91&gt;0,INDEX(BG$7:BG$106,$AD91),1),IF($AE91&gt;0,INDEX(BG$7:BG$106,$AE91),1),IF($AF91&gt;0,INDEX(BG$7:BG$106,$AF91),1),IF($AG91&gt;0,INDEX(BG$7:BG$106,$AG91),1),IF($AH91&gt;0,INDEX(BG$7:BG$106,$AH91),1),IF($AI91&gt;0,INDEX(BG$7:BG$106,$AI91),1),IF($AJ91&gt;0,INDEX(BG$7:BG$106,$AJ91),1))))</ns0:f>
        <ns0:v>1</ns0:v>
      </ns0:c>
      <ns0:c r="BI91" t="n">
        <ns0:f>IF($A91="",1,IF(BH91=1,1,--AND(IF($AC91&gt;0,INDEX(BH$7:BH$106,$AC91),1),IF($AD91&gt;0,INDEX(BH$7:BH$106,$AD91),1),IF($AE91&gt;0,INDEX(BH$7:BH$106,$AE91),1),IF($AF91&gt;0,INDEX(BH$7:BH$106,$AF91),1),IF($AG91&gt;0,INDEX(BH$7:BH$106,$AG91),1),IF($AH91&gt;0,INDEX(BH$7:BH$106,$AH91),1),IF($AI91&gt;0,INDEX(BH$7:BH$106,$AI91),1),IF($AJ91&gt;0,INDEX(BH$7:BH$106,$AJ91),1))))</ns0:f>
        <ns0:v>1</ns0:v>
      </ns0:c>
      <ns0:c r="BJ91" t="n">
        <ns0:f>IF($A91="",1,IF(BI91=1,1,--AND(IF($AC91&gt;0,INDEX(BI$7:BI$106,$AC91),1),IF($AD91&gt;0,INDEX(BI$7:BI$106,$AD91),1),IF($AE91&gt;0,INDEX(BI$7:BI$106,$AE91),1),IF($AF91&gt;0,INDEX(BI$7:BI$106,$AF91),1),IF($AG91&gt;0,INDEX(BI$7:BI$106,$AG91),1),IF($AH91&gt;0,INDEX(BI$7:BI$106,$AH91),1),IF($AI91&gt;0,INDEX(BI$7:BI$106,$AI91),1),IF($AJ91&gt;0,INDEX(BI$7:BI$106,$AJ91),1))))</ns0:f>
        <ns0:v>1</ns0:v>
      </ns0:c>
      <ns0:c r="BK91" t="n">
        <ns0:f>IF($A91="",1,IF(BJ91=1,1,--AND(IF($AC91&gt;0,INDEX(BJ$7:BJ$106,$AC91),1),IF($AD91&gt;0,INDEX(BJ$7:BJ$106,$AD91),1),IF($AE91&gt;0,INDEX(BJ$7:BJ$106,$AE91),1),IF($AF91&gt;0,INDEX(BJ$7:BJ$106,$AF91),1),IF($AG91&gt;0,INDEX(BJ$7:BJ$106,$AG91),1),IF($AH91&gt;0,INDEX(BJ$7:BJ$106,$AH91),1),IF($AI91&gt;0,INDEX(BJ$7:BJ$106,$AI91),1),IF($AJ91&gt;0,INDEX(BJ$7:BJ$106,$AJ91),1))))</ns0:f>
        <ns0:v>1</ns0:v>
      </ns0:c>
      <ns0:c r="BL91" t="n">
        <ns0:f>IF($A91="",1,IF(BK91=1,1,--AND(IF($AC91&gt;0,INDEX(BK$7:BK$106,$AC91),1),IF($AD91&gt;0,INDEX(BK$7:BK$106,$AD91),1),IF($AE91&gt;0,INDEX(BK$7:BK$106,$AE91),1),IF($AF91&gt;0,INDEX(BK$7:BK$106,$AF91),1),IF($AG91&gt;0,INDEX(BK$7:BK$106,$AG91),1),IF($AH91&gt;0,INDEX(BK$7:BK$106,$AH91),1),IF($AI91&gt;0,INDEX(BK$7:BK$106,$AI91),1),IF($AJ91&gt;0,INDEX(BK$7:BK$106,$AJ91),1))))</ns0:f>
        <ns0:v>1</ns0:v>
      </ns0:c>
      <ns0:c r="BM91" t="n">
        <ns0:f>IF($A91="",1,IF(BL91=1,1,--AND(IF($AC91&gt;0,INDEX(BL$7:BL$106,$AC91),1),IF($AD91&gt;0,INDEX(BL$7:BL$106,$AD91),1),IF($AE91&gt;0,INDEX(BL$7:BL$106,$AE91),1),IF($AF91&gt;0,INDEX(BL$7:BL$106,$AF91),1),IF($AG91&gt;0,INDEX(BL$7:BL$106,$AG91),1),IF($AH91&gt;0,INDEX(BL$7:BL$106,$AH91),1),IF($AI91&gt;0,INDEX(BL$7:BL$106,$AI91),1),IF($AJ91&gt;0,INDEX(BL$7:BL$106,$AJ91),1))))</ns0:f>
        <ns0:v>1</ns0:v>
      </ns0:c>
      <ns0:c r="BN91" t="n">
        <ns0:f>IF($A91="",1,IF(BM91=1,1,--AND(IF($AC91&gt;0,INDEX(BM$7:BM$106,$AC91),1),IF($AD91&gt;0,INDEX(BM$7:BM$106,$AD91),1),IF($AE91&gt;0,INDEX(BM$7:BM$106,$AE91),1),IF($AF91&gt;0,INDEX(BM$7:BM$106,$AF91),1),IF($AG91&gt;0,INDEX(BM$7:BM$106,$AG91),1),IF($AH91&gt;0,INDEX(BM$7:BM$106,$AH91),1),IF($AI91&gt;0,INDEX(BM$7:BM$106,$AI91),1),IF($AJ91&gt;0,INDEX(BM$7:BM$106,$AJ91),1))))</ns0:f>
        <ns0:v>1</ns0:v>
      </ns0:c>
      <ns0:c r="BO91" t="n">
        <ns0:f>IF($A91="",1,IF(BN91=1,1,--AND(IF($AC91&gt;0,INDEX(BN$7:BN$106,$AC91),1),IF($AD91&gt;0,INDEX(BN$7:BN$106,$AD91),1),IF($AE91&gt;0,INDEX(BN$7:BN$106,$AE91),1),IF($AF91&gt;0,INDEX(BN$7:BN$106,$AF91),1),IF($AG91&gt;0,INDEX(BN$7:BN$106,$AG91),1),IF($AH91&gt;0,INDEX(BN$7:BN$106,$AH91),1),IF($AI91&gt;0,INDEX(BN$7:BN$106,$AI91),1),IF($AJ91&gt;0,INDEX(BN$7:BN$106,$AJ91),1))))</ns0:f>
        <ns0:v>1</ns0:v>
      </ns0:c>
      <ns0:c r="BP91" t="n">
        <ns0:f>IF($A91="",1,IF(BO91=1,1,--AND(IF($AC91&gt;0,INDEX(BO$7:BO$106,$AC91),1),IF($AD91&gt;0,INDEX(BO$7:BO$106,$AD91),1),IF($AE91&gt;0,INDEX(BO$7:BO$106,$AE91),1),IF($AF91&gt;0,INDEX(BO$7:BO$106,$AF91),1),IF($AG91&gt;0,INDEX(BO$7:BO$106,$AG91),1),IF($AH91&gt;0,INDEX(BO$7:BO$106,$AH91),1),IF($AI91&gt;0,INDEX(BO$7:BO$106,$AI91),1),IF($AJ91&gt;0,INDEX(BO$7:BO$106,$AJ91),1))))</ns0:f>
        <ns0:v>1</ns0:v>
      </ns0:c>
      <ns0:c r="BQ91" t="n">
        <ns0:f>IF($A91="",1,IF(BP91=1,1,--AND(IF($AC91&gt;0,INDEX(BP$7:BP$106,$AC91),1),IF($AD91&gt;0,INDEX(BP$7:BP$106,$AD91),1),IF($AE91&gt;0,INDEX(BP$7:BP$106,$AE91),1),IF($AF91&gt;0,INDEX(BP$7:BP$106,$AF91),1),IF($AG91&gt;0,INDEX(BP$7:BP$106,$AG91),1),IF($AH91&gt;0,INDEX(BP$7:BP$106,$AH91),1),IF($AI91&gt;0,INDEX(BP$7:BP$106,$AI91),1),IF($AJ91&gt;0,INDEX(BP$7:BP$106,$AJ91),1))))</ns0:f>
        <ns0:v>1</ns0:v>
      </ns0:c>
      <ns0:c r="BR91" t="n">
        <ns0:f>IF($A91="",1,IF(BQ91=1,1,--AND(IF($AC91&gt;0,INDEX(BQ$7:BQ$106,$AC91),1),IF($AD91&gt;0,INDEX(BQ$7:BQ$106,$AD91),1),IF($AE91&gt;0,INDEX(BQ$7:BQ$106,$AE91),1),IF($AF91&gt;0,INDEX(BQ$7:BQ$106,$AF91),1),IF($AG91&gt;0,INDEX(BQ$7:BQ$106,$AG91),1),IF($AH91&gt;0,INDEX(BQ$7:BQ$106,$AH91),1),IF($AI91&gt;0,INDEX(BQ$7:BQ$106,$AI91),1),IF($AJ91&gt;0,INDEX(BQ$7:BQ$106,$AJ91),1))))</ns0:f>
        <ns0:v>1</ns0:v>
      </ns0:c>
      <ns0:c r="BS91" t="n">
        <ns0:f>IF($A91="",1,IF(BR91=1,1,--AND(IF($AC91&gt;0,INDEX(BR$7:BR$106,$AC91),1),IF($AD91&gt;0,INDEX(BR$7:BR$106,$AD91),1),IF($AE91&gt;0,INDEX(BR$7:BR$106,$AE91),1),IF($AF91&gt;0,INDEX(BR$7:BR$106,$AF91),1),IF($AG91&gt;0,INDEX(BR$7:BR$106,$AG91),1),IF($AH91&gt;0,INDEX(BR$7:BR$106,$AH91),1),IF($AI91&gt;0,INDEX(BR$7:BR$106,$AI91),1),IF($AJ91&gt;0,INDEX(BR$7:BR$106,$AJ91),1))))</ns0:f>
        <ns0:v>1</ns0:v>
      </ns0:c>
      <ns0:c r="BT91" t="n">
        <ns0:f>IF($A91="",1,IF(BS91=1,1,--AND(IF($AC91&gt;0,INDEX(BS$7:BS$106,$AC91),1),IF($AD91&gt;0,INDEX(BS$7:BS$106,$AD91),1),IF($AE91&gt;0,INDEX(BS$7:BS$106,$AE91),1),IF($AF91&gt;0,INDEX(BS$7:BS$106,$AF91),1),IF($AG91&gt;0,INDEX(BS$7:BS$106,$AG91),1),IF($AH91&gt;0,INDEX(BS$7:BS$106,$AH91),1),IF($AI91&gt;0,INDEX(BS$7:BS$106,$AI91),1),IF($AJ91&gt;0,INDEX(BS$7:BS$106,$AJ91),1))))</ns0:f>
        <ns0:v>1</ns0:v>
      </ns0:c>
      <ns0:c r="BU91" t="n">
        <ns0:f>IF($A91="",1,IF(BT91=1,1,--AND(IF($AC91&gt;0,INDEX(BT$7:BT$106,$AC91),1),IF($AD91&gt;0,INDEX(BT$7:BT$106,$AD91),1),IF($AE91&gt;0,INDEX(BT$7:BT$106,$AE91),1),IF($AF91&gt;0,INDEX(BT$7:BT$106,$AF91),1),IF($AG91&gt;0,INDEX(BT$7:BT$106,$AG91),1),IF($AH91&gt;0,INDEX(BT$7:BT$106,$AH91),1),IF($AI91&gt;0,INDEX(BT$7:BT$106,$AI91),1),IF($AJ91&gt;0,INDEX(BT$7:BT$106,$AJ91),1))))</ns0:f>
        <ns0:v>1</ns0:v>
      </ns0:c>
      <ns0:c r="BV91" t="n">
        <ns0:f>IF($A91="",1,IF(BU91=1,1,--AND(IF($AC91&gt;0,INDEX(BU$7:BU$106,$AC91),1),IF($AD91&gt;0,INDEX(BU$7:BU$106,$AD91),1),IF($AE91&gt;0,INDEX(BU$7:BU$106,$AE91),1),IF($AF91&gt;0,INDEX(BU$7:BU$106,$AF91),1),IF($AG91&gt;0,INDEX(BU$7:BU$106,$AG91),1),IF($AH91&gt;0,INDEX(BU$7:BU$106,$AH91),1),IF($AI91&gt;0,INDEX(BU$7:BU$106,$AI91),1),IF($AJ91&gt;0,INDEX(BU$7:BU$106,$AJ91),1))))</ns0:f>
        <ns0:v>1</ns0:v>
      </ns0:c>
      <ns0:c r="BW91" t="n">
        <ns0:f>IF($A91="",1,IF(BV91=1,1,--AND(IF($AC91&gt;0,INDEX(BV$7:BV$106,$AC91),1),IF($AD91&gt;0,INDEX(BV$7:BV$106,$AD91),1),IF($AE91&gt;0,INDEX(BV$7:BV$106,$AE91),1),IF($AF91&gt;0,INDEX(BV$7:BV$106,$AF91),1),IF($AG91&gt;0,INDEX(BV$7:BV$106,$AG91),1),IF($AH91&gt;0,INDEX(BV$7:BV$106,$AH91),1),IF($AI91&gt;0,INDEX(BV$7:BV$106,$AI91),1),IF($AJ91&gt;0,INDEX(BV$7:BV$106,$AJ91),1))))</ns0:f>
        <ns0:v>1</ns0:v>
      </ns0:c>
      <ns0:c r="BX91" t="n">
        <ns0:f>IF($A91="",1,IF(BW91=1,1,--AND(IF($AC91&gt;0,INDEX(BW$7:BW$106,$AC91),1),IF($AD91&gt;0,INDEX(BW$7:BW$106,$AD91),1),IF($AE91&gt;0,INDEX(BW$7:BW$106,$AE91),1),IF($AF91&gt;0,INDEX(BW$7:BW$106,$AF91),1),IF($AG91&gt;0,INDEX(BW$7:BW$106,$AG91),1),IF($AH91&gt;0,INDEX(BW$7:BW$106,$AH91),1),IF($AI91&gt;0,INDEX(BW$7:BW$106,$AI91),1),IF($AJ91&gt;0,INDEX(BW$7:BW$106,$AJ91),1))))</ns0:f>
        <ns0:v>1</ns0:v>
      </ns0:c>
      <ns0:c r="BY91" t="n">
        <ns0:f>IF($A91="",1,IF(BX91=1,1,--AND(IF($AC91&gt;0,INDEX(BX$7:BX$106,$AC91),1),IF($AD91&gt;0,INDEX(BX$7:BX$106,$AD91),1),IF($AE91&gt;0,INDEX(BX$7:BX$106,$AE91),1),IF($AF91&gt;0,INDEX(BX$7:BX$106,$AF91),1),IF($AG91&gt;0,INDEX(BX$7:BX$106,$AG91),1),IF($AH91&gt;0,INDEX(BX$7:BX$106,$AH91),1),IF($AI91&gt;0,INDEX(BX$7:BX$106,$AI91),1),IF($AJ91&gt;0,INDEX(BX$7:BX$106,$AJ91),1))))</ns0:f>
        <ns0:v>1</ns0:v>
      </ns0:c>
      <ns0:c r="BZ91" t="n">
        <ns0:f>IF($A91="",1,IF(BY91=1,1,--AND(IF($AC91&gt;0,INDEX(BY$7:BY$106,$AC91),1),IF($AD91&gt;0,INDEX(BY$7:BY$106,$AD91),1),IF($AE91&gt;0,INDEX(BY$7:BY$106,$AE91),1),IF($AF91&gt;0,INDEX(BY$7:BY$106,$AF91),1),IF($AG91&gt;0,INDEX(BY$7:BY$106,$AG91),1),IF($AH91&gt;0,INDEX(BY$7:BY$106,$AH91),1),IF($AI91&gt;0,INDEX(BY$7:BY$106,$AI91),1),IF($AJ91&gt;0,INDEX(BY$7:BY$106,$AJ91),1))))</ns0:f>
        <ns0:v>1</ns0:v>
      </ns0:c>
      <ns0:c r="CA91" t="n">
        <ns0:f>IF($A91="",1,IF(BZ91=1,1,--AND(IF($AC91&gt;0,INDEX(BZ$7:BZ$106,$AC91),1),IF($AD91&gt;0,INDEX(BZ$7:BZ$106,$AD91),1),IF($AE91&gt;0,INDEX(BZ$7:BZ$106,$AE91),1),IF($AF91&gt;0,INDEX(BZ$7:BZ$106,$AF91),1),IF($AG91&gt;0,INDEX(BZ$7:BZ$106,$AG91),1),IF($AH91&gt;0,INDEX(BZ$7:BZ$106,$AH91),1),IF($AI91&gt;0,INDEX(BZ$7:BZ$106,$AI91),1),IF($AJ91&gt;0,INDEX(BZ$7:BZ$106,$AJ91),1))))</ns0:f>
        <ns0:v>1</ns0:v>
      </ns0:c>
      <ns0:c r="CB91" t="n">
        <ns0:f>IF($A91="",1,IF(CA91=1,1,--AND(IF($AC91&gt;0,INDEX(CA$7:CA$106,$AC91),1),IF($AD91&gt;0,INDEX(CA$7:CA$106,$AD91),1),IF($AE91&gt;0,INDEX(CA$7:CA$106,$AE91),1),IF($AF91&gt;0,INDEX(CA$7:CA$106,$AF91),1),IF($AG91&gt;0,INDEX(CA$7:CA$106,$AG91),1),IF($AH91&gt;0,INDEX(CA$7:CA$106,$AH91),1),IF($AI91&gt;0,INDEX(CA$7:CA$106,$AI91),1),IF($AJ91&gt;0,INDEX(CA$7:CA$106,$AJ91),1))))</ns0:f>
        <ns0:v>1</ns0:v>
      </ns0:c>
      <ns0:c r="CC91" t="n">
        <ns0:f>IF($A91="",1,IF(CB91=1,1,--AND(IF($AC91&gt;0,INDEX(CB$7:CB$106,$AC91),1),IF($AD91&gt;0,INDEX(CB$7:CB$106,$AD91),1),IF($AE91&gt;0,INDEX(CB$7:CB$106,$AE91),1),IF($AF91&gt;0,INDEX(CB$7:CB$106,$AF91),1),IF($AG91&gt;0,INDEX(CB$7:CB$106,$AG91),1),IF($AH91&gt;0,INDEX(CB$7:CB$106,$AH91),1),IF($AI91&gt;0,INDEX(CB$7:CB$106,$AI91),1),IF($AJ91&gt;0,INDEX(CB$7:CB$106,$AJ91),1))))</ns0:f>
        <ns0:v>1</ns0:v>
      </ns0:c>
      <ns0:c r="CD91" t="n">
        <ns0:f>IF($A91="",1,IF(CC91=1,1,--AND(IF($AC91&gt;0,INDEX(CC$7:CC$106,$AC91),1),IF($AD91&gt;0,INDEX(CC$7:CC$106,$AD91),1),IF($AE91&gt;0,INDEX(CC$7:CC$106,$AE91),1),IF($AF91&gt;0,INDEX(CC$7:CC$106,$AF91),1),IF($AG91&gt;0,INDEX(CC$7:CC$106,$AG91),1),IF($AH91&gt;0,INDEX(CC$7:CC$106,$AH91),1),IF($AI91&gt;0,INDEX(CC$7:CC$106,$AI91),1),IF($AJ91&gt;0,INDEX(CC$7:CC$106,$AJ91),1))))</ns0:f>
        <ns0:v>1</ns0:v>
      </ns0:c>
      <ns0:c r="CE91" t="n">
        <ns0:f>IF($A91="",1,IF(CD91=1,1,--AND(IF($AC91&gt;0,INDEX(CD$7:CD$106,$AC91),1),IF($AD91&gt;0,INDEX(CD$7:CD$106,$AD91),1),IF($AE91&gt;0,INDEX(CD$7:CD$106,$AE91),1),IF($AF91&gt;0,INDEX(CD$7:CD$106,$AF91),1),IF($AG91&gt;0,INDEX(CD$7:CD$106,$AG91),1),IF($AH91&gt;0,INDEX(CD$7:CD$106,$AH91),1),IF($AI91&gt;0,INDEX(CD$7:CD$106,$AI91),1),IF($AJ91&gt;0,INDEX(CD$7:CD$106,$AJ91),1))))</ns0:f>
        <ns0:v>1</ns0:v>
      </ns0:c>
      <ns0:c r="CF91" t="n">
        <ns0:f>IF($A91="",1,IF(CE91=1,1,--AND(IF($AC91&gt;0,INDEX(CE$7:CE$106,$AC91),1),IF($AD91&gt;0,INDEX(CE$7:CE$106,$AD91),1),IF($AE91&gt;0,INDEX(CE$7:CE$106,$AE91),1),IF($AF91&gt;0,INDEX(CE$7:CE$106,$AF91),1),IF($AG91&gt;0,INDEX(CE$7:CE$106,$AG91),1),IF($AH91&gt;0,INDEX(CE$7:CE$106,$AH91),1),IF($AI91&gt;0,INDEX(CE$7:CE$106,$AI91),1),IF($AJ91&gt;0,INDEX(CE$7:CE$106,$AJ91),1))))</ns0:f>
        <ns0:v>1</ns0:v>
      </ns0:c>
      <ns0:c r="CG91" t="n">
        <ns0:f>IF($A91="",1,IF(CF91=1,1,--AND(IF($AC91&gt;0,INDEX(CF$7:CF$106,$AC91),1),IF($AD91&gt;0,INDEX(CF$7:CF$106,$AD91),1),IF($AE91&gt;0,INDEX(CF$7:CF$106,$AE91),1),IF($AF91&gt;0,INDEX(CF$7:CF$106,$AF91),1),IF($AG91&gt;0,INDEX(CF$7:CF$106,$AG91),1),IF($AH91&gt;0,INDEX(CF$7:CF$106,$AH91),1),IF($AI91&gt;0,INDEX(CF$7:CF$106,$AI91),1),IF($AJ91&gt;0,INDEX(CF$7:CF$106,$AJ91),1))))</ns0:f>
        <ns0:v>1</ns0:v>
      </ns0:c>
      <ns0:c r="CH91" t="n">
        <ns0:f>IF($A91="",1,IF(CG91=1,1,--AND(IF($AC91&gt;0,INDEX(CG$7:CG$106,$AC91),1),IF($AD91&gt;0,INDEX(CG$7:CG$106,$AD91),1),IF($AE91&gt;0,INDEX(CG$7:CG$106,$AE91),1),IF($AF91&gt;0,INDEX(CG$7:CG$106,$AF91),1),IF($AG91&gt;0,INDEX(CG$7:CG$106,$AG91),1),IF($AH91&gt;0,INDEX(CG$7:CG$106,$AH91),1),IF($AI91&gt;0,INDEX(CG$7:CG$106,$AI91),1),IF($AJ91&gt;0,INDEX(CG$7:CG$106,$AJ91),1))))</ns0:f>
        <ns0:v>1</ns0:v>
      </ns0:c>
      <ns0:c r="CI91" t="n">
        <ns0:f>IF($A91="",1,IF(CH91=1,1,--AND(IF($AC91&gt;0,INDEX(CH$7:CH$106,$AC91),1),IF($AD91&gt;0,INDEX(CH$7:CH$106,$AD91),1),IF($AE91&gt;0,INDEX(CH$7:CH$106,$AE91),1),IF($AF91&gt;0,INDEX(CH$7:CH$106,$AF91),1),IF($AG91&gt;0,INDEX(CH$7:CH$106,$AG91),1),IF($AH91&gt;0,INDEX(CH$7:CH$106,$AH91),1),IF($AI91&gt;0,INDEX(CH$7:CH$106,$AI91),1),IF($AJ91&gt;0,INDEX(CH$7:CH$106,$AJ91),1))))</ns0:f>
        <ns0:v>1</ns0:v>
      </ns0:c>
      <ns0:c r="CJ91" t="n">
        <ns0:f>IF($A91="",1,IF(CI91=1,1,--AND(IF($AC91&gt;0,INDEX(CI$7:CI$106,$AC91),1),IF($AD91&gt;0,INDEX(CI$7:CI$106,$AD91),1),IF($AE91&gt;0,INDEX(CI$7:CI$106,$AE91),1),IF($AF91&gt;0,INDEX(CI$7:CI$106,$AF91),1),IF($AG91&gt;0,INDEX(CI$7:CI$106,$AG91),1),IF($AH91&gt;0,INDEX(CI$7:CI$106,$AH91),1),IF($AI91&gt;0,INDEX(CI$7:CI$106,$AI91),1),IF($AJ91&gt;0,INDEX(CI$7:CI$106,$AJ91),1))))</ns0:f>
        <ns0:v>1</ns0:v>
      </ns0:c>
      <ns0:c r="CK91" t="n">
        <ns0:f>IF($A91="",1,IF(CJ91=1,1,--AND(IF($AC91&gt;0,INDEX(CJ$7:CJ$106,$AC91),1),IF($AD91&gt;0,INDEX(CJ$7:CJ$106,$AD91),1),IF($AE91&gt;0,INDEX(CJ$7:CJ$106,$AE91),1),IF($AF91&gt;0,INDEX(CJ$7:CJ$106,$AF91),1),IF($AG91&gt;0,INDEX(CJ$7:CJ$106,$AG91),1),IF($AH91&gt;0,INDEX(CJ$7:CJ$106,$AH91),1),IF($AI91&gt;0,INDEX(CJ$7:CJ$106,$AI91),1),IF($AJ91&gt;0,INDEX(CJ$7:CJ$106,$AJ91),1))))</ns0:f>
        <ns0:v>1</ns0:v>
      </ns0:c>
      <ns0:c r="CL91" t="n">
        <ns0:f>IF($A91="",1,IF(CK91=1,1,--AND(IF($AC91&gt;0,INDEX(CK$7:CK$106,$AC91),1),IF($AD91&gt;0,INDEX(CK$7:CK$106,$AD91),1),IF($AE91&gt;0,INDEX(CK$7:CK$106,$AE91),1),IF($AF91&gt;0,INDEX(CK$7:CK$106,$AF91),1),IF($AG91&gt;0,INDEX(CK$7:CK$106,$AG91),1),IF($AH91&gt;0,INDEX(CK$7:CK$106,$AH91),1),IF($AI91&gt;0,INDEX(CK$7:CK$106,$AI91),1),IF($AJ91&gt;0,INDEX(CK$7:CK$106,$AJ91),1))))</ns0:f>
        <ns0:v>1</ns0:v>
      </ns0:c>
      <ns0:c r="CM91" t="n">
        <ns0:f>IF($A91="",1,IF(CL91=1,1,--AND(IF($AC91&gt;0,INDEX(CL$7:CL$106,$AC91),1),IF($AD91&gt;0,INDEX(CL$7:CL$106,$AD91),1),IF($AE91&gt;0,INDEX(CL$7:CL$106,$AE91),1),IF($AF91&gt;0,INDEX(CL$7:CL$106,$AF91),1),IF($AG91&gt;0,INDEX(CL$7:CL$106,$AG91),1),IF($AH91&gt;0,INDEX(CL$7:CL$106,$AH91),1),IF($AI91&gt;0,INDEX(CL$7:CL$106,$AI91),1),IF($AJ91&gt;0,INDEX(CL$7:CL$106,$AJ91),1))))</ns0:f>
        <ns0:v>1</ns0:v>
      </ns0:c>
      <ns0:c r="CN91" t="n">
        <ns0:f>IF($A91="",1,IF(CM91=1,1,--AND(IF($AC91&gt;0,INDEX(CM$7:CM$106,$AC91),1),IF($AD91&gt;0,INDEX(CM$7:CM$106,$AD91),1),IF($AE91&gt;0,INDEX(CM$7:CM$106,$AE91),1),IF($AF91&gt;0,INDEX(CM$7:CM$106,$AF91),1),IF($AG91&gt;0,INDEX(CM$7:CM$106,$AG91),1),IF($AH91&gt;0,INDEX(CM$7:CM$106,$AH91),1),IF($AI91&gt;0,INDEX(CM$7:CM$106,$AI91),1),IF($AJ91&gt;0,INDEX(CM$7:CM$106,$AJ91),1))))</ns0:f>
        <ns0:v>1</ns0:v>
      </ns0:c>
      <ns0:c r="CO91" t="n">
        <ns0:f>IF($A91="",1,IF(CN91=1,1,--AND(IF($AC91&gt;0,INDEX(CN$7:CN$106,$AC91),1),IF($AD91&gt;0,INDEX(CN$7:CN$106,$AD91),1),IF($AE91&gt;0,INDEX(CN$7:CN$106,$AE91),1),IF($AF91&gt;0,INDEX(CN$7:CN$106,$AF91),1),IF($AG91&gt;0,INDEX(CN$7:CN$106,$AG91),1),IF($AH91&gt;0,INDEX(CN$7:CN$106,$AH91),1),IF($AI91&gt;0,INDEX(CN$7:CN$106,$AI91),1),IF($AJ91&gt;0,INDEX(CN$7:CN$106,$AJ91),1))))</ns0:f>
        <ns0:v>1</ns0:v>
      </ns0:c>
      <ns0:c r="CP91" t="n">
        <ns0:f>IF($A91="",1,IF(CO91=1,1,--AND(IF($AC91&gt;0,INDEX(CO$7:CO$106,$AC91),1),IF($AD91&gt;0,INDEX(CO$7:CO$106,$AD91),1),IF($AE91&gt;0,INDEX(CO$7:CO$106,$AE91),1),IF($AF91&gt;0,INDEX(CO$7:CO$106,$AF91),1),IF($AG91&gt;0,INDEX(CO$7:CO$106,$AG91),1),IF($AH91&gt;0,INDEX(CO$7:CO$106,$AH91),1),IF($AI91&gt;0,INDEX(CO$7:CO$106,$AI91),1),IF($AJ91&gt;0,INDEX(CO$7:CO$106,$AJ91),1))))</ns0:f>
        <ns0:v>1</ns0:v>
      </ns0:c>
      <ns0:c r="CQ91" t="n">
        <ns0:f>IF($A91="",1,IF(CP91=1,1,--AND(IF($AC91&gt;0,INDEX(CP$7:CP$106,$AC91),1),IF($AD91&gt;0,INDEX(CP$7:CP$106,$AD91),1),IF($AE91&gt;0,INDEX(CP$7:CP$106,$AE91),1),IF($AF91&gt;0,INDEX(CP$7:CP$106,$AF91),1),IF($AG91&gt;0,INDEX(CP$7:CP$106,$AG91),1),IF($AH91&gt;0,INDEX(CP$7:CP$106,$AH91),1),IF($AI91&gt;0,INDEX(CP$7:CP$106,$AI91),1),IF($AJ91&gt;0,INDEX(CP$7:CP$106,$AJ91),1))))</ns0:f>
        <ns0:v>1</ns0:v>
      </ns0:c>
      <ns0:c r="CR91" t="n">
        <ns0:f>IF($A91="",1,IF(CQ91=1,1,--AND(IF($AC91&gt;0,INDEX(CQ$7:CQ$106,$AC91),1),IF($AD91&gt;0,INDEX(CQ$7:CQ$106,$AD91),1),IF($AE91&gt;0,INDEX(CQ$7:CQ$106,$AE91),1),IF($AF91&gt;0,INDEX(CQ$7:CQ$106,$AF91),1),IF($AG91&gt;0,INDEX(CQ$7:CQ$106,$AG91),1),IF($AH91&gt;0,INDEX(CQ$7:CQ$106,$AH91),1),IF($AI91&gt;0,INDEX(CQ$7:CQ$106,$AI91),1),IF($AJ91&gt;0,INDEX(CQ$7:CQ$106,$AJ91),1))))</ns0:f>
        <ns0:v>1</ns0:v>
      </ns0:c>
      <ns0:c r="CS91" t="n">
        <ns0:f>IF($A91="",1,IF(CR91=1,1,--AND(IF($AC91&gt;0,INDEX(CR$7:CR$106,$AC91),1),IF($AD91&gt;0,INDEX(CR$7:CR$106,$AD91),1),IF($AE91&gt;0,INDEX(CR$7:CR$106,$AE91),1),IF($AF91&gt;0,INDEX(CR$7:CR$106,$AF91),1),IF($AG91&gt;0,INDEX(CR$7:CR$106,$AG91),1),IF($AH91&gt;0,INDEX(CR$7:CR$106,$AH91),1),IF($AI91&gt;0,INDEX(CR$7:CR$106,$AI91),1),IF($AJ91&gt;0,INDEX(CR$7:CR$106,$AJ91),1))))</ns0:f>
        <ns0:v>1</ns0:v>
      </ns0:c>
      <ns0:c r="CT91" t="n">
        <ns0:f>IF($A91="",1,IF(CS91=1,1,--AND(IF($AC91&gt;0,INDEX(CS$7:CS$106,$AC91),1),IF($AD91&gt;0,INDEX(CS$7:CS$106,$AD91),1),IF($AE91&gt;0,INDEX(CS$7:CS$106,$AE91),1),IF($AF91&gt;0,INDEX(CS$7:CS$106,$AF91),1),IF($AG91&gt;0,INDEX(CS$7:CS$106,$AG91),1),IF($AH91&gt;0,INDEX(CS$7:CS$106,$AH91),1),IF($AI91&gt;0,INDEX(CS$7:CS$106,$AI91),1),IF($AJ91&gt;0,INDEX(CS$7:CS$106,$AJ91),1))))</ns0:f>
        <ns0:v>1</ns0:v>
      </ns0:c>
      <ns0:c r="CU91" t="n">
        <ns0:f>IF($A91="",1,IF(CT91=1,1,--AND(IF($AC91&gt;0,INDEX(CT$7:CT$106,$AC91),1),IF($AD91&gt;0,INDEX(CT$7:CT$106,$AD91),1),IF($AE91&gt;0,INDEX(CT$7:CT$106,$AE91),1),IF($AF91&gt;0,INDEX(CT$7:CT$106,$AF91),1),IF($AG91&gt;0,INDEX(CT$7:CT$106,$AG91),1),IF($AH91&gt;0,INDEX(CT$7:CT$106,$AH91),1),IF($AI91&gt;0,INDEX(CT$7:CT$106,$AI91),1),IF($AJ91&gt;0,INDEX(CT$7:CT$106,$AJ91),1))))</ns0:f>
        <ns0:v>1</ns0:v>
      </ns0:c>
      <ns0:c r="CV91" t="n">
        <ns0:f>IF($A91="",1,IF(CU91=1,1,--AND(IF($AC91&gt;0,INDEX(CU$7:CU$106,$AC91),1),IF($AD91&gt;0,INDEX(CU$7:CU$106,$AD91),1),IF($AE91&gt;0,INDEX(CU$7:CU$106,$AE91),1),IF($AF91&gt;0,INDEX(CU$7:CU$106,$AF91),1),IF($AG91&gt;0,INDEX(CU$7:CU$106,$AG91),1),IF($AH91&gt;0,INDEX(CU$7:CU$106,$AH91),1),IF($AI91&gt;0,INDEX(CU$7:CU$106,$AI91),1),IF($AJ91&gt;0,INDEX(CU$7:CU$106,$AJ91),1))))</ns0:f>
        <ns0:v>1</ns0:v>
      </ns0:c>
      <ns0:c r="CW91" t="n">
        <ns0:f>IF($A91="",1,IF(CV91=1,1,--AND(IF($AC91&gt;0,INDEX(CV$7:CV$106,$AC91),1),IF($AD91&gt;0,INDEX(CV$7:CV$106,$AD91),1),IF($AE91&gt;0,INDEX(CV$7:CV$106,$AE91),1),IF($AF91&gt;0,INDEX(CV$7:CV$106,$AF91),1),IF($AG91&gt;0,INDEX(CV$7:CV$106,$AG91),1),IF($AH91&gt;0,INDEX(CV$7:CV$106,$AH91),1),IF($AI91&gt;0,INDEX(CV$7:CV$106,$AI91),1),IF($AJ91&gt;0,INDEX(CV$7:CV$106,$AJ91),1))))</ns0:f>
        <ns0:v>1</ns0:v>
      </ns0:c>
      <ns0:c r="CX91" t="n">
        <ns0:f>IF($A91="",1,IF(CW91=1,1,--AND(IF($AC91&gt;0,INDEX(CW$7:CW$106,$AC91),1),IF($AD91&gt;0,INDEX(CW$7:CW$106,$AD91),1),IF($AE91&gt;0,INDEX(CW$7:CW$106,$AE91),1),IF($AF91&gt;0,INDEX(CW$7:CW$106,$AF91),1),IF($AG91&gt;0,INDEX(CW$7:CW$106,$AG91),1),IF($AH91&gt;0,INDEX(CW$7:CW$106,$AH91),1),IF($AI91&gt;0,INDEX(CW$7:CW$106,$AI91),1),IF($AJ91&gt;0,INDEX(CW$7:CW$106,$AJ91),1))))</ns0:f>
        <ns0:v>1</ns0:v>
      </ns0:c>
      <ns0:c r="CY91" t="n">
        <ns0:f>IF($A91="",1,IF(CX91=1,1,--AND(IF($AC91&gt;0,INDEX(CX$7:CX$106,$AC91),1),IF($AD91&gt;0,INDEX(CX$7:CX$106,$AD91),1),IF($AE91&gt;0,INDEX(CX$7:CX$106,$AE91),1),IF($AF91&gt;0,INDEX(CX$7:CX$106,$AF91),1),IF($AG91&gt;0,INDEX(CX$7:CX$106,$AG91),1),IF($AH91&gt;0,INDEX(CX$7:CX$106,$AH91),1),IF($AI91&gt;0,INDEX(CX$7:CX$106,$AI91),1),IF($AJ91&gt;0,INDEX(CX$7:CX$106,$AJ91),1))))</ns0:f>
        <ns0:v>1</ns0:v>
      </ns0:c>
      <ns0:c r="CZ91" t="n">
        <ns0:f>IF($A91="",1,IF(CY91=1,1,--AND(IF($AC91&gt;0,INDEX(CY$7:CY$106,$AC91),1),IF($AD91&gt;0,INDEX(CY$7:CY$106,$AD91),1),IF($AE91&gt;0,INDEX(CY$7:CY$106,$AE91),1),IF($AF91&gt;0,INDEX(CY$7:CY$106,$AF91),1),IF($AG91&gt;0,INDEX(CY$7:CY$106,$AG91),1),IF($AH91&gt;0,INDEX(CY$7:CY$106,$AH91),1),IF($AI91&gt;0,INDEX(CY$7:CY$106,$AI91),1),IF($AJ91&gt;0,INDEX(CY$7:CY$106,$AJ91),1))))</ns0:f>
        <ns0:v>1</ns0:v>
      </ns0:c>
      <ns0:c r="DA91" t="n">
        <ns0:f>IF($A91="",1,IF(CZ91=1,1,--AND(IF($AC91&gt;0,INDEX(CZ$7:CZ$106,$AC91),1),IF($AD91&gt;0,INDEX(CZ$7:CZ$106,$AD91),1),IF($AE91&gt;0,INDEX(CZ$7:CZ$106,$AE91),1),IF($AF91&gt;0,INDEX(CZ$7:CZ$106,$AF91),1),IF($AG91&gt;0,INDEX(CZ$7:CZ$106,$AG91),1),IF($AH91&gt;0,INDEX(CZ$7:CZ$106,$AH91),1),IF($AI91&gt;0,INDEX(CZ$7:CZ$106,$AI91),1),IF($AJ91&gt;0,INDEX(CZ$7:CZ$106,$AJ91),1))))</ns0:f>
        <ns0:v>1</ns0:v>
      </ns0:c>
      <ns0:c r="DB91" t="n">
        <ns0:f>IF($A91="",1,IF(DA91=1,1,--AND(IF($AC91&gt;0,INDEX(DA$7:DA$106,$AC91),1),IF($AD91&gt;0,INDEX(DA$7:DA$106,$AD91),1),IF($AE91&gt;0,INDEX(DA$7:DA$106,$AE91),1),IF($AF91&gt;0,INDEX(DA$7:DA$106,$AF91),1),IF($AG91&gt;0,INDEX(DA$7:DA$106,$AG91),1),IF($AH91&gt;0,INDEX(DA$7:DA$106,$AH91),1),IF($AI91&gt;0,INDEX(DA$7:DA$106,$AI91),1),IF($AJ91&gt;0,INDEX(DA$7:DA$106,$AJ91),1))))</ns0:f>
        <ns0:v>1</ns0:v>
      </ns0:c>
      <ns0:c r="DC91" t="n">
        <ns0:f>IF($A91="",1,IF(DB91=1,1,--AND(IF($AC91&gt;0,INDEX(DB$7:DB$106,$AC91),1),IF($AD91&gt;0,INDEX(DB$7:DB$106,$AD91),1),IF($AE91&gt;0,INDEX(DB$7:DB$106,$AE91),1),IF($AF91&gt;0,INDEX(DB$7:DB$106,$AF91),1),IF($AG91&gt;0,INDEX(DB$7:DB$106,$AG91),1),IF($AH91&gt;0,INDEX(DB$7:DB$106,$AH91),1),IF($AI91&gt;0,INDEX(DB$7:DB$106,$AI91),1),IF($AJ91&gt;0,INDEX(DB$7:DB$106,$AJ91),1))))</ns0:f>
        <ns0:v>1</ns0:v>
      </ns0:c>
      <ns0:c r="DD91" t="n">
        <ns0:f>IF($A91="",1,IF(DC91=1,1,--AND(IF($AC91&gt;0,INDEX(DC$7:DC$106,$AC91),1),IF($AD91&gt;0,INDEX(DC$7:DC$106,$AD91),1),IF($AE91&gt;0,INDEX(DC$7:DC$106,$AE91),1),IF($AF91&gt;0,INDEX(DC$7:DC$106,$AF91),1),IF($AG91&gt;0,INDEX(DC$7:DC$106,$AG91),1),IF($AH91&gt;0,INDEX(DC$7:DC$106,$AH91),1),IF($AI91&gt;0,INDEX(DC$7:DC$106,$AI91),1),IF($AJ91&gt;0,INDEX(DC$7:DC$106,$AJ91),1))))</ns0:f>
        <ns0:v>1</ns0:v>
      </ns0:c>
      <ns0:c r="DE91" t="n">
        <ns0:f>IF($A91="",1,IF(DD91=1,1,--AND(IF($AC91&gt;0,INDEX(DD$7:DD$106,$AC91),1),IF($AD91&gt;0,INDEX(DD$7:DD$106,$AD91),1),IF($AE91&gt;0,INDEX(DD$7:DD$106,$AE91),1),IF($AF91&gt;0,INDEX(DD$7:DD$106,$AF91),1),IF($AG91&gt;0,INDEX(DD$7:DD$106,$AG91),1),IF($AH91&gt;0,INDEX(DD$7:DD$106,$AH91),1),IF($AI91&gt;0,INDEX(DD$7:DD$106,$AI91),1),IF($AJ91&gt;0,INDEX(DD$7:DD$106,$AJ91),1))))</ns0:f>
        <ns0:v>1</ns0:v>
      </ns0:c>
      <ns0:c r="DF91" t="n">
        <ns0:f>IF($A91="",1,IF(DE91=1,1,--AND(IF($AC91&gt;0,INDEX(DE$7:DE$106,$AC91),1),IF($AD91&gt;0,INDEX(DE$7:DE$106,$AD91),1),IF($AE91&gt;0,INDEX(DE$7:DE$106,$AE91),1),IF($AF91&gt;0,INDEX(DE$7:DE$106,$AF91),1),IF($AG91&gt;0,INDEX(DE$7:DE$106,$AG91),1),IF($AH91&gt;0,INDEX(DE$7:DE$106,$AH91),1),IF($AI91&gt;0,INDEX(DE$7:DE$106,$AI91),1),IF($AJ91&gt;0,INDEX(DE$7:DE$106,$AJ91),1))))</ns0:f>
        <ns0:v>1</ns0:v>
      </ns0:c>
      <ns0:c r="DG91" t="n">
        <ns0:f>IF($A91="",1,IF(DF91=1,1,--AND(IF($AC91&gt;0,INDEX(DF$7:DF$106,$AC91),1),IF($AD91&gt;0,INDEX(DF$7:DF$106,$AD91),1),IF($AE91&gt;0,INDEX(DF$7:DF$106,$AE91),1),IF($AF91&gt;0,INDEX(DF$7:DF$106,$AF91),1),IF($AG91&gt;0,INDEX(DF$7:DF$106,$AG91),1),IF($AH91&gt;0,INDEX(DF$7:DF$106,$AH91),1),IF($AI91&gt;0,INDEX(DF$7:DF$106,$AI91),1),IF($AJ91&gt;0,INDEX(DF$7:DF$106,$AJ91),1))))</ns0:f>
        <ns0:v>1</ns0:v>
      </ns0:c>
      <ns0:c r="DH91" t="n">
        <ns0:f>IF($A91="",1,IF(DG91=1,1,--AND(IF($AC91&gt;0,INDEX(DG$7:DG$106,$AC91),1),IF($AD91&gt;0,INDEX(DG$7:DG$106,$AD91),1),IF($AE91&gt;0,INDEX(DG$7:DG$106,$AE91),1),IF($AF91&gt;0,INDEX(DG$7:DG$106,$AF91),1),IF($AG91&gt;0,INDEX(DG$7:DG$106,$AG91),1),IF($AH91&gt;0,INDEX(DG$7:DG$106,$AH91),1),IF($AI91&gt;0,INDEX(DG$7:DG$106,$AI91),1),IF($AJ91&gt;0,INDEX(DG$7:DG$106,$AJ91),1))))</ns0:f>
        <ns0:v>1</ns0:v>
      </ns0:c>
      <ns0:c r="DI91" t="n">
        <ns0:f>IF($A91="",1,IF(DH91=1,1,--AND(IF($AC91&gt;0,INDEX(DH$7:DH$106,$AC91),1),IF($AD91&gt;0,INDEX(DH$7:DH$106,$AD91),1),IF($AE91&gt;0,INDEX(DH$7:DH$106,$AE91),1),IF($AF91&gt;0,INDEX(DH$7:DH$106,$AF91),1),IF($AG91&gt;0,INDEX(DH$7:DH$106,$AG91),1),IF($AH91&gt;0,INDEX(DH$7:DH$106,$AH91),1),IF($AI91&gt;0,INDEX(DH$7:DH$106,$AI91),1),IF($AJ91&gt;0,INDEX(DH$7:DH$106,$AJ91),1))))</ns0:f>
        <ns0:v>1</ns0:v>
      </ns0:c>
      <ns0:c r="DJ91" t="n">
        <ns0:f>IF($A91="",1,IF(DI91=1,1,--AND(IF($AC91&gt;0,INDEX(DI$7:DI$106,$AC91),1),IF($AD91&gt;0,INDEX(DI$7:DI$106,$AD91),1),IF($AE91&gt;0,INDEX(DI$7:DI$106,$AE91),1),IF($AF91&gt;0,INDEX(DI$7:DI$106,$AF91),1),IF($AG91&gt;0,INDEX(DI$7:DI$106,$AG91),1),IF($AH91&gt;0,INDEX(DI$7:DI$106,$AH91),1),IF($AI91&gt;0,INDEX(DI$7:DI$106,$AI91),1),IF($AJ91&gt;0,INDEX(DI$7:DI$106,$AJ91),1))))</ns0:f>
        <ns0:v>1</ns0:v>
      </ns0:c>
      <ns0:c r="DK91" t="n">
        <ns0:f>IF($A91="",1,IF(DJ91=1,1,--AND(IF($AC91&gt;0,INDEX(DJ$7:DJ$106,$AC91),1),IF($AD91&gt;0,INDEX(DJ$7:DJ$106,$AD91),1),IF($AE91&gt;0,INDEX(DJ$7:DJ$106,$AE91),1),IF($AF91&gt;0,INDEX(DJ$7:DJ$106,$AF91),1),IF($AG91&gt;0,INDEX(DJ$7:DJ$106,$AG91),1),IF($AH91&gt;0,INDEX(DJ$7:DJ$106,$AH91),1),IF($AI91&gt;0,INDEX(DJ$7:DJ$106,$AI91),1),IF($AJ91&gt;0,INDEX(DJ$7:DJ$106,$AJ91),1))))</ns0:f>
        <ns0:v>1</ns0:v>
      </ns0:c>
      <ns0:c r="DL91" t="n">
        <ns0:f>IF($A91="",1,IF(DK91=1,1,--AND(IF($AC91&gt;0,INDEX(DK$7:DK$106,$AC91),1),IF($AD91&gt;0,INDEX(DK$7:DK$106,$AD91),1),IF($AE91&gt;0,INDEX(DK$7:DK$106,$AE91),1),IF($AF91&gt;0,INDEX(DK$7:DK$106,$AF91),1),IF($AG91&gt;0,INDEX(DK$7:DK$106,$AG91),1),IF($AH91&gt;0,INDEX(DK$7:DK$106,$AH91),1),IF($AI91&gt;0,INDEX(DK$7:DK$106,$AI91),1),IF($AJ91&gt;0,INDEX(DK$7:DK$106,$AJ91),1))))</ns0:f>
        <ns0:v>1</ns0:v>
      </ns0:c>
      <ns0:c r="DM91" t="n">
        <ns0:f>IF($A91="",1,IF(DL91=1,1,--AND(IF($AC91&gt;0,INDEX(DL$7:DL$106,$AC91),1),IF($AD91&gt;0,INDEX(DL$7:DL$106,$AD91),1),IF($AE91&gt;0,INDEX(DL$7:DL$106,$AE91),1),IF($AF91&gt;0,INDEX(DL$7:DL$106,$AF91),1),IF($AG91&gt;0,INDEX(DL$7:DL$106,$AG91),1),IF($AH91&gt;0,INDEX(DL$7:DL$106,$AH91),1),IF($AI91&gt;0,INDEX(DL$7:DL$106,$AI91),1),IF($AJ91&gt;0,INDEX(DL$7:DL$106,$AJ91),1))))</ns0:f>
        <ns0:v>1</ns0:v>
      </ns0:c>
      <ns0:c r="DN91" t="n">
        <ns0:f>IF($A91="",1,IF(DM91=1,1,--AND(IF($AC91&gt;0,INDEX(DM$7:DM$106,$AC91),1),IF($AD91&gt;0,INDEX(DM$7:DM$106,$AD91),1),IF($AE91&gt;0,INDEX(DM$7:DM$106,$AE91),1),IF($AF91&gt;0,INDEX(DM$7:DM$106,$AF91),1),IF($AG91&gt;0,INDEX(DM$7:DM$106,$AG91),1),IF($AH91&gt;0,INDEX(DM$7:DM$106,$AH91),1),IF($AI91&gt;0,INDEX(DM$7:DM$106,$AI91),1),IF($AJ91&gt;0,INDEX(DM$7:DM$106,$AJ91),1))))</ns0:f>
        <ns0:v>1</ns0:v>
      </ns0:c>
      <ns0:c r="DO91" t="n">
        <ns0:f>IF($A91="",1,IF(DN91=1,1,--AND(IF($AC91&gt;0,INDEX(DN$7:DN$106,$AC91),1),IF($AD91&gt;0,INDEX(DN$7:DN$106,$AD91),1),IF($AE91&gt;0,INDEX(DN$7:DN$106,$AE91),1),IF($AF91&gt;0,INDEX(DN$7:DN$106,$AF91),1),IF($AG91&gt;0,INDEX(DN$7:DN$106,$AG91),1),IF($AH91&gt;0,INDEX(DN$7:DN$106,$AH91),1),IF($AI91&gt;0,INDEX(DN$7:DN$106,$AI91),1),IF($AJ91&gt;0,INDEX(DN$7:DN$106,$AJ91),1))))</ns0:f>
        <ns0:v>1</ns0:v>
      </ns0:c>
      <ns0:c r="DP91" t="n">
        <ns0:f>IF($A91="",1,IF(DO91=1,1,--AND(IF($AC91&gt;0,INDEX(DO$7:DO$106,$AC91),1),IF($AD91&gt;0,INDEX(DO$7:DO$106,$AD91),1),IF($AE91&gt;0,INDEX(DO$7:DO$106,$AE91),1),IF($AF91&gt;0,INDEX(DO$7:DO$106,$AF91),1),IF($AG91&gt;0,INDEX(DO$7:DO$106,$AG91),1),IF($AH91&gt;0,INDEX(DO$7:DO$106,$AH91),1),IF($AI91&gt;0,INDEX(DO$7:DO$106,$AI91),1),IF($AJ91&gt;0,INDEX(DO$7:DO$106,$AJ91),1))))</ns0:f>
        <ns0:v>1</ns0:v>
      </ns0:c>
      <ns0:c r="DQ91" t="n">
        <ns0:f>IF($A91="",1,IF(DP91=1,1,--AND(IF($AC91&gt;0,INDEX(DP$7:DP$106,$AC91),1),IF($AD91&gt;0,INDEX(DP$7:DP$106,$AD91),1),IF($AE91&gt;0,INDEX(DP$7:DP$106,$AE91),1),IF($AF91&gt;0,INDEX(DP$7:DP$106,$AF91),1),IF($AG91&gt;0,INDEX(DP$7:DP$106,$AG91),1),IF($AH91&gt;0,INDEX(DP$7:DP$106,$AH91),1),IF($AI91&gt;0,INDEX(DP$7:DP$106,$AI91),1),IF($AJ91&gt;0,INDEX(DP$7:DP$106,$AJ91),1))))</ns0:f>
        <ns0:v>1</ns0:v>
      </ns0:c>
      <ns0:c r="DR91" t="n">
        <ns0:f>IF($A91="",1,IF(DQ91=1,1,--AND(IF($AC91&gt;0,INDEX(DQ$7:DQ$106,$AC91),1),IF($AD91&gt;0,INDEX(DQ$7:DQ$106,$AD91),1),IF($AE91&gt;0,INDEX(DQ$7:DQ$106,$AE91),1),IF($AF91&gt;0,INDEX(DQ$7:DQ$106,$AF91),1),IF($AG91&gt;0,INDEX(DQ$7:DQ$106,$AG91),1),IF($AH91&gt;0,INDEX(DQ$7:DQ$106,$AH91),1),IF($AI91&gt;0,INDEX(DQ$7:DQ$106,$AI91),1),IF($AJ91&gt;0,INDEX(DQ$7:DQ$106,$AJ91),1))))</ns0:f>
        <ns0:v>1</ns0:v>
      </ns0:c>
      <ns0:c r="DS91" t="n">
        <ns0:f>IF($A91="",1,IF(DR91=1,1,--AND(IF($AC91&gt;0,INDEX(DR$7:DR$106,$AC91),1),IF($AD91&gt;0,INDEX(DR$7:DR$106,$AD91),1),IF($AE91&gt;0,INDEX(DR$7:DR$106,$AE91),1),IF($AF91&gt;0,INDEX(DR$7:DR$106,$AF91),1),IF($AG91&gt;0,INDEX(DR$7:DR$106,$AG91),1),IF($AH91&gt;0,INDEX(DR$7:DR$106,$AH91),1),IF($AI91&gt;0,INDEX(DR$7:DR$106,$AI91),1),IF($AJ91&gt;0,INDEX(DR$7:DR$106,$AJ91),1))))</ns0:f>
        <ns0:v>1</ns0:v>
      </ns0:c>
      <ns0:c r="DT91" t="n">
        <ns0:f>IF($A91="",1,IF(DS91=1,1,--AND(IF($AC91&gt;0,INDEX(DS$7:DS$106,$AC91),1),IF($AD91&gt;0,INDEX(DS$7:DS$106,$AD91),1),IF($AE91&gt;0,INDEX(DS$7:DS$106,$AE91),1),IF($AF91&gt;0,INDEX(DS$7:DS$106,$AF91),1),IF($AG91&gt;0,INDEX(DS$7:DS$106,$AG91),1),IF($AH91&gt;0,INDEX(DS$7:DS$106,$AH91),1),IF($AI91&gt;0,INDEX(DS$7:DS$106,$AI91),1),IF($AJ91&gt;0,INDEX(DS$7:DS$106,$AJ91),1))))</ns0:f>
        <ns0:v>1</ns0:v>
      </ns0:c>
      <ns0:c r="DU91" t="n">
        <ns0:f>IF($A91="",1,IF(DT91=1,1,--AND(IF($AC91&gt;0,INDEX(DT$7:DT$106,$AC91),1),IF($AD91&gt;0,INDEX(DT$7:DT$106,$AD91),1),IF($AE91&gt;0,INDEX(DT$7:DT$106,$AE91),1),IF($AF91&gt;0,INDEX(DT$7:DT$106,$AF91),1),IF($AG91&gt;0,INDEX(DT$7:DT$106,$AG91),1),IF($AH91&gt;0,INDEX(DT$7:DT$106,$AH91),1),IF($AI91&gt;0,INDEX(DT$7:DT$106,$AI91),1),IF($AJ91&gt;0,INDEX(DT$7:DT$106,$AJ91),1))))</ns0:f>
        <ns0:v>1</ns0:v>
      </ns0:c>
      <ns0:c r="DV91" t="n">
        <ns0:f>IF($A91="",1,IF(DU91=1,1,--AND(IF($AC91&gt;0,INDEX(DU$7:DU$106,$AC91),1),IF($AD91&gt;0,INDEX(DU$7:DU$106,$AD91),1),IF($AE91&gt;0,INDEX(DU$7:DU$106,$AE91),1),IF($AF91&gt;0,INDEX(DU$7:DU$106,$AF91),1),IF($AG91&gt;0,INDEX(DU$7:DU$106,$AG91),1),IF($AH91&gt;0,INDEX(DU$7:DU$106,$AH91),1),IF($AI91&gt;0,INDEX(DU$7:DU$106,$AI91),1),IF($AJ91&gt;0,INDEX(DU$7:DU$106,$AJ91),1))))</ns0:f>
        <ns0:v>1</ns0:v>
      </ns0:c>
      <ns0:c r="DW91" t="n">
        <ns0:f>IF($A91="",1,IF(DV91=1,1,--AND(IF($AC91&gt;0,INDEX(DV$7:DV$106,$AC91),1),IF($AD91&gt;0,INDEX(DV$7:DV$106,$AD91),1),IF($AE91&gt;0,INDEX(DV$7:DV$106,$AE91),1),IF($AF91&gt;0,INDEX(DV$7:DV$106,$AF91),1),IF($AG91&gt;0,INDEX(DV$7:DV$106,$AG91),1),IF($AH91&gt;0,INDEX(DV$7:DV$106,$AH91),1),IF($AI91&gt;0,INDEX(DV$7:DV$106,$AI91),1),IF($AJ91&gt;0,INDEX(DV$7:DV$106,$AJ91),1))))</ns0:f>
        <ns0:v>1</ns0:v>
      </ns0:c>
      <ns0:c r="DX91" t="n">
        <ns0:f>IF($A91="",1,IF(DW91=1,1,--AND(IF($AC91&gt;0,INDEX(DW$7:DW$106,$AC91),1),IF($AD91&gt;0,INDEX(DW$7:DW$106,$AD91),1),IF($AE91&gt;0,INDEX(DW$7:DW$106,$AE91),1),IF($AF91&gt;0,INDEX(DW$7:DW$106,$AF91),1),IF($AG91&gt;0,INDEX(DW$7:DW$106,$AG91),1),IF($AH91&gt;0,INDEX(DW$7:DW$106,$AH91),1),IF($AI91&gt;0,INDEX(DW$7:DW$106,$AI91),1),IF($AJ91&gt;0,INDEX(DW$7:DW$106,$AJ91),1))))</ns0:f>
        <ns0:v>1</ns0:v>
      </ns0:c>
      <ns0:c r="DY91" t="n">
        <ns0:f>IF($A91="",1,IF(DX91=1,1,--AND(IF($AC91&gt;0,INDEX(DX$7:DX$106,$AC91),1),IF($AD91&gt;0,INDEX(DX$7:DX$106,$AD91),1),IF($AE91&gt;0,INDEX(DX$7:DX$106,$AE91),1),IF($AF91&gt;0,INDEX(DX$7:DX$106,$AF91),1),IF($AG91&gt;0,INDEX(DX$7:DX$106,$AG91),1),IF($AH91&gt;0,INDEX(DX$7:DX$106,$AH91),1),IF($AI91&gt;0,INDEX(DX$7:DX$106,$AI91),1),IF($AJ91&gt;0,INDEX(DX$7:DX$106,$AJ91),1))))</ns0:f>
        <ns0:v>1</ns0:v>
      </ns0:c>
      <ns0:c r="DZ91" t="n">
        <ns0:f>IF($A91="",1,IF(DY91=1,1,--AND(IF($AC91&gt;0,INDEX(DY$7:DY$106,$AC91),1),IF($AD91&gt;0,INDEX(DY$7:DY$106,$AD91),1),IF($AE91&gt;0,INDEX(DY$7:DY$106,$AE91),1),IF($AF91&gt;0,INDEX(DY$7:DY$106,$AF91),1),IF($AG91&gt;0,INDEX(DY$7:DY$106,$AG91),1),IF($AH91&gt;0,INDEX(DY$7:DY$106,$AH91),1),IF($AI91&gt;0,INDEX(DY$7:DY$106,$AI91),1),IF($AJ91&gt;0,INDEX(DY$7:DY$106,$AJ91),1))))</ns0:f>
        <ns0:v>1</ns0:v>
      </ns0:c>
      <ns0:c r="EA91" t="n">
        <ns0:f>IF($A91="",1,IF(DZ91=1,1,--AND(IF($AC91&gt;0,INDEX(DZ$7:DZ$106,$AC91),1),IF($AD91&gt;0,INDEX(DZ$7:DZ$106,$AD91),1),IF($AE91&gt;0,INDEX(DZ$7:DZ$106,$AE91),1),IF($AF91&gt;0,INDEX(DZ$7:DZ$106,$AF91),1),IF($AG91&gt;0,INDEX(DZ$7:DZ$106,$AG91),1),IF($AH91&gt;0,INDEX(DZ$7:DZ$106,$AH91),1),IF($AI91&gt;0,INDEX(DZ$7:DZ$106,$AI91),1),IF($AJ91&gt;0,INDEX(DZ$7:DZ$106,$AJ91),1))))</ns0:f>
        <ns0:v>1</ns0:v>
      </ns0:c>
      <ns0:c r="EB91" t="n">
        <ns0:f>IF($A91="",1,IF(EA91=1,1,--AND(IF($AC91&gt;0,INDEX(EA$7:EA$106,$AC91),1),IF($AD91&gt;0,INDEX(EA$7:EA$106,$AD91),1),IF($AE91&gt;0,INDEX(EA$7:EA$106,$AE91),1),IF($AF91&gt;0,INDEX(EA$7:EA$106,$AF91),1),IF($AG91&gt;0,INDEX(EA$7:EA$106,$AG91),1),IF($AH91&gt;0,INDEX(EA$7:EA$106,$AH91),1),IF($AI91&gt;0,INDEX(EA$7:EA$106,$AI91),1),IF($AJ91&gt;0,INDEX(EA$7:EA$106,$AJ91),1))))</ns0:f>
        <ns0:v>1</ns0:v>
      </ns0:c>
      <ns0:c r="EC91" t="n">
        <ns0:f>IF($A91="",1,IF(EB91=1,1,--AND(IF($AC91&gt;0,INDEX(EB$7:EB$106,$AC91),1),IF($AD91&gt;0,INDEX(EB$7:EB$106,$AD91),1),IF($AE91&gt;0,INDEX(EB$7:EB$106,$AE91),1),IF($AF91&gt;0,INDEX(EB$7:EB$106,$AF91),1),IF($AG91&gt;0,INDEX(EB$7:EB$106,$AG91),1),IF($AH91&gt;0,INDEX(EB$7:EB$106,$AH91),1),IF($AI91&gt;0,INDEX(EB$7:EB$106,$AI91),1),IF($AJ91&gt;0,INDEX(EB$7:EB$106,$AJ91),1))))</ns0:f>
        <ns0:v>1</ns0:v>
      </ns0:c>
      <ns0:c r="ED91" t="n">
        <ns0:f>IF($A91="",1,IF(EC91=1,1,--AND(IF($AC91&gt;0,INDEX(EC$7:EC$106,$AC91),1),IF($AD91&gt;0,INDEX(EC$7:EC$106,$AD91),1),IF($AE91&gt;0,INDEX(EC$7:EC$106,$AE91),1),IF($AF91&gt;0,INDEX(EC$7:EC$106,$AF91),1),IF($AG91&gt;0,INDEX(EC$7:EC$106,$AG91),1),IF($AH91&gt;0,INDEX(EC$7:EC$106,$AH91),1),IF($AI91&gt;0,INDEX(EC$7:EC$106,$AI91),1),IF($AJ91&gt;0,INDEX(EC$7:EC$106,$AJ91),1))))</ns0:f>
        <ns0:v>1</ns0:v>
      </ns0:c>
      <ns0:c r="EE91" t="n">
        <ns0:f>IF($A91="",1,IF(ED91=1,1,--AND(IF($AC91&gt;0,INDEX(ED$7:ED$106,$AC91),1),IF($AD91&gt;0,INDEX(ED$7:ED$106,$AD91),1),IF($AE91&gt;0,INDEX(ED$7:ED$106,$AE91),1),IF($AF91&gt;0,INDEX(ED$7:ED$106,$AF91),1),IF($AG91&gt;0,INDEX(ED$7:ED$106,$AG91),1),IF($AH91&gt;0,INDEX(ED$7:ED$106,$AH91),1),IF($AI91&gt;0,INDEX(ED$7:ED$106,$AI91),1),IF($AJ91&gt;0,INDEX(ED$7:ED$106,$AJ91),1))))</ns0:f>
        <ns0:v>1</ns0:v>
      </ns0:c>
      <ns0:c r="EF91" t="n">
        <ns0:f>IF($A91="",1,IF(EE91=1,1,--AND(IF($AC91&gt;0,INDEX(EE$7:EE$106,$AC91),1),IF($AD91&gt;0,INDEX(EE$7:EE$106,$AD91),1),IF($AE91&gt;0,INDEX(EE$7:EE$106,$AE91),1),IF($AF91&gt;0,INDEX(EE$7:EE$106,$AF91),1),IF($AG91&gt;0,INDEX(EE$7:EE$106,$AG91),1),IF($AH91&gt;0,INDEX(EE$7:EE$106,$AH91),1),IF($AI91&gt;0,INDEX(EE$7:EE$106,$AI91),1),IF($AJ91&gt;0,INDEX(EE$7:EE$106,$AJ91),1))))</ns0:f>
        <ns0:v>1</ns0:v>
      </ns0:c>
      <ns0:c r="EG91" t="n">
        <ns0:f>IF($A91="",1,IF(EF91=1,1,--AND(IF($AC91&gt;0,INDEX(EF$7:EF$106,$AC91),1),IF($AD91&gt;0,INDEX(EF$7:EF$106,$AD91),1),IF($AE91&gt;0,INDEX(EF$7:EF$106,$AE91),1),IF($AF91&gt;0,INDEX(EF$7:EF$106,$AF91),1),IF($AG91&gt;0,INDEX(EF$7:EF$106,$AG91),1),IF($AH91&gt;0,INDEX(EF$7:EF$106,$AH91),1),IF($AI91&gt;0,INDEX(EF$7:EF$106,$AI91),1),IF($AJ91&gt;0,INDEX(EF$7:EF$106,$AJ91),1))))</ns0:f>
        <ns0:v>1</ns0:v>
      </ns0:c>
      <ns0:c r="EH91" t="n">
        <ns0:f>IF($A91="",1,IF(EG91=1,1,--AND(IF($AC91&gt;0,INDEX(EG$7:EG$106,$AC91),1),IF($AD91&gt;0,INDEX(EG$7:EG$106,$AD91),1),IF($AE91&gt;0,INDEX(EG$7:EG$106,$AE91),1),IF($AF91&gt;0,INDEX(EG$7:EG$106,$AF91),1),IF($AG91&gt;0,INDEX(EG$7:EG$106,$AG91),1),IF($AH91&gt;0,INDEX(EG$7:EG$106,$AH91),1),IF($AI91&gt;0,INDEX(EG$7:EG$106,$AI91),1),IF($AJ91&gt;0,INDEX(EG$7:EG$106,$AJ91),1))))</ns0:f>
        <ns0:v>1</ns0:v>
      </ns0:c>
      <ns0:c r="EI91" t="n">
        <ns0:f>IF($A91="",1,IF(EH91=1,1,--AND(IF($AC91&gt;0,INDEX(EH$7:EH$106,$AC91),1),IF($AD91&gt;0,INDEX(EH$7:EH$106,$AD91),1),IF($AE91&gt;0,INDEX(EH$7:EH$106,$AE91),1),IF($AF91&gt;0,INDEX(EH$7:EH$106,$AF91),1),IF($AG91&gt;0,INDEX(EH$7:EH$106,$AG91),1),IF($AH91&gt;0,INDEX(EH$7:EH$106,$AH91),1),IF($AI91&gt;0,INDEX(EH$7:EH$106,$AI91),1),IF($AJ91&gt;0,INDEX(EH$7:EH$106,$AJ91),1))))</ns0:f>
        <ns0:v>1</ns0:v>
      </ns0:c>
      <ns0:c r="EJ91" t="n">
        <ns0:f>IF($A91="",1,IF(EI91=1,1,--AND(IF($AC91&gt;0,INDEX(EI$7:EI$106,$AC91),1),IF($AD91&gt;0,INDEX(EI$7:EI$106,$AD91),1),IF($AE91&gt;0,INDEX(EI$7:EI$106,$AE91),1),IF($AF91&gt;0,INDEX(EI$7:EI$106,$AF91),1),IF($AG91&gt;0,INDEX(EI$7:EI$106,$AG91),1),IF($AH91&gt;0,INDEX(EI$7:EI$106,$AH91),1),IF($AI91&gt;0,INDEX(EI$7:EI$106,$AI91),1),IF($AJ91&gt;0,INDEX(EI$7:EI$106,$AJ91),1))))</ns0:f>
        <ns0:v>1</ns0:v>
      </ns0:c>
      <ns0:c r="EK91" t="n">
        <ns0:f>IF($A91="",1,IF(EJ91=1,1,--AND(IF($AC91&gt;0,INDEX(EJ$7:EJ$106,$AC91),1),IF($AD91&gt;0,INDEX(EJ$7:EJ$106,$AD91),1),IF($AE91&gt;0,INDEX(EJ$7:EJ$106,$AE91),1),IF($AF91&gt;0,INDEX(EJ$7:EJ$106,$AF91),1),IF($AG91&gt;0,INDEX(EJ$7:EJ$106,$AG91),1),IF($AH91&gt;0,INDEX(EJ$7:EJ$106,$AH91),1),IF($AI91&gt;0,INDEX(EJ$7:EJ$106,$AI91),1),IF($AJ91&gt;0,INDEX(EJ$7:EJ$106,$AJ91),1))))</ns0:f>
        <ns0:v>1</ns0:v>
      </ns0:c>
      <ns0:c r="EL91" t="n">
        <ns0:f>IF($A91="",1,IF(EK91=1,1,--AND(IF($AC91&gt;0,INDEX(EK$7:EK$106,$AC91),1),IF($AD91&gt;0,INDEX(EK$7:EK$106,$AD91),1),IF($AE91&gt;0,INDEX(EK$7:EK$106,$AE91),1),IF($AF91&gt;0,INDEX(EK$7:EK$106,$AF91),1),IF($AG91&gt;0,INDEX(EK$7:EK$106,$AG91),1),IF($AH91&gt;0,INDEX(EK$7:EK$106,$AH91),1),IF($AI91&gt;0,INDEX(EK$7:EK$106,$AI91),1),IF($AJ91&gt;0,INDEX(EK$7:EK$106,$AJ91),1))))</ns0:f>
        <ns0:v>1</ns0:v>
      </ns0:c>
      <ns0:c r="EM91" t="n">
        <ns0:f>IF($A91="",1,IF(EL91=1,1,--AND(IF($AC91&gt;0,INDEX(EL$7:EL$106,$AC91),1),IF($AD91&gt;0,INDEX(EL$7:EL$106,$AD91),1),IF($AE91&gt;0,INDEX(EL$7:EL$106,$AE91),1),IF($AF91&gt;0,INDEX(EL$7:EL$106,$AF91),1),IF($AG91&gt;0,INDEX(EL$7:EL$106,$AG91),1),IF($AH91&gt;0,INDEX(EL$7:EL$106,$AH91),1),IF($AI91&gt;0,INDEX(EL$7:EL$106,$AI91),1),IF($AJ91&gt;0,INDEX(EL$7:EL$106,$AJ91),1))))</ns0:f>
        <ns0:v>1</ns0:v>
      </ns0:c>
      <ns0:c r="EN91" t="n">
        <ns0:f>IF($A91="",1,IF(EM91=1,1,--AND(IF($AC91&gt;0,INDEX(EM$7:EM$106,$AC91),1),IF($AD91&gt;0,INDEX(EM$7:EM$106,$AD91),1),IF($AE91&gt;0,INDEX(EM$7:EM$106,$AE91),1),IF($AF91&gt;0,INDEX(EM$7:EM$106,$AF91),1),IF($AG91&gt;0,INDEX(EM$7:EM$106,$AG91),1),IF($AH91&gt;0,INDEX(EM$7:EM$106,$AH91),1),IF($AI91&gt;0,INDEX(EM$7:EM$106,$AI91),1),IF($AJ91&gt;0,INDEX(EM$7:EM$106,$AJ91),1))))</ns0:f>
        <ns0:v>1</ns0:v>
      </ns0:c>
      <ns0:c r="EO91" t="n">
        <ns0:f>IF($A91="",1,IF(EN91=1,1,--AND(IF($AC91&gt;0,INDEX(EN$7:EN$106,$AC91),1),IF($AD91&gt;0,INDEX(EN$7:EN$106,$AD91),1),IF($AE91&gt;0,INDEX(EN$7:EN$106,$AE91),1),IF($AF91&gt;0,INDEX(EN$7:EN$106,$AF91),1),IF($AG91&gt;0,INDEX(EN$7:EN$106,$AG91),1),IF($AH91&gt;0,INDEX(EN$7:EN$106,$AH91),1),IF($AI91&gt;0,INDEX(EN$7:EN$106,$AI91),1),IF($AJ91&gt;0,INDEX(EN$7:EN$106,$AJ91),1))))</ns0:f>
        <ns0:v>1</ns0:v>
      </ns0:c>
      <ns0:c r="EP91" t="n">
        <ns0:f>IF($A91="",1,IF(EO91=1,1,--AND(IF($AC91&gt;0,INDEX(EO$7:EO$106,$AC91),1),IF($AD91&gt;0,INDEX(EO$7:EO$106,$AD91),1),IF($AE91&gt;0,INDEX(EO$7:EO$106,$AE91),1),IF($AF91&gt;0,INDEX(EO$7:EO$106,$AF91),1),IF($AG91&gt;0,INDEX(EO$7:EO$106,$AG91),1),IF($AH91&gt;0,INDEX(EO$7:EO$106,$AH91),1),IF($AI91&gt;0,INDEX(EO$7:EO$106,$AI91),1),IF($AJ91&gt;0,INDEX(EO$7:EO$106,$AJ91),1))))</ns0:f>
        <ns0:v>1</ns0:v>
      </ns0:c>
      <ns0:c r="EQ91" t="n">
        <ns0:f>IF(OR(A91="",NOT(ISNUMBER(G91))),0,G91*N91)</ns0:f>
        <ns0:v>0</ns0:v>
      </ns0:c>
    </ns0:row>
    <ns0:row r="92" ht="62" customHeight="1">
      <ns0:c r="A92" s="48"/>
      <ns0:c r="B92" s="48"/>
      <ns0:c r="C92" s="48"/>
      <ns0:c r="D92" s="48"/>
      <ns0:c r="E92" s="49"/>
      <ns0:c r="F92" s="49"/>
      <ns0:c r="G92" s="13" t="str">
        <ns0:f>IF(A92="","",IF(OR(NOT(ISNUMBER(E92)),NOT(ISNUMBER(F92)),F92&lt;E92),"",IF(J92="Yes",0,F92-E92+1)))</ns0:f>
      </ns0:c>
      <ns0:c r="H92" s="48"/>
      <ns0:c r="I92" s="48"/>
      <ns0:c r="J92" s="48"/>
      <ns0:c r="K92" s="48"/>
      <ns0:c r="L92" s="48"/>
      <ns0:c r="M92" s="50" t="str">
        <ns0:f>IF(A92="","",IF(N92=1,"Completed",IF(N92&gt;0,"In Progress","Not Started")))</ns0:f>
      </ns0:c>
      <ns0:c r="N92" s="51"/>
      <ns0:c r="O92" s="13" t="str">
        <ns0:f>IF(A92="","",IF(R92&lt;&gt;"","[CONFLICT] "&amp;R92,IF(S92&lt;&gt;"","[CONFLICT] "&amp;S92,IF(OR(NOT(ISNUMBER(N92)),N92&lt;0,N92&gt;1),"[CONFLICT] Invalid progress",IF(AK92&gt;0,"[DEPENDENCY ISSUE] Missing ID / &gt;8 links",IF(AM92&gt;0,"[DEPENDENCY ISSUE] Cycle or blocked by cycle",IF(AND(H92&lt;&gt;"",ISNA(MATCH(I92,{"FS","SS","FF","SF"},0))),"[DEPENDENCY ISSUE] Invalid type",IF(AL92&gt;0,"[DEPENDENCY ISSUE] Timing conflict",IF(OR(E92&lt;ProjectStart,F92&gt;ProjectEnd),"[OUTSIDE WINDOW]",IF(AND(N92&lt;1,F92&lt;AsOfDate),"Overdue",IF(AND(M92&lt;&gt;Q92,M92&lt;&gt;""),"[CONFLICT] Status / progress","On track")))))))))))</ns0:f>
      </ns0:c>
      <ns0:c r="P92" s="52"/>
      <ns0:c r="Q92" t="str">
        <ns0:f>IF(A92="","",IF(OR(M92="On Hold",M92="Delayed"),M92,IF(N92=1,"Completed",IF(N92&gt;0,"In Progress","Not Started"))))</ns0:f>
      </ns0:c>
      <ns0:c r="R92" t="str">
        <ns0:f>IF(A92="","",IF(COUNTIFS(Tasks[Task ID],A92)&lt;&gt;1,"Duplicate ID",""))</ns0:f>
      </ns0:c>
      <ns0:c r="S92" t="str">
        <ns0:f>IF(A92="","",IF(OR(NOT(ISNUMBER(E92)),NOT(ISNUMBER(F92))),"Invalid / missing date",IF(OR(E92&lt;&gt;INT(E92),F92&lt;&gt;INT(F92),E92&lt;1,F92&gt;2958465),"Invalid date",IF(F92&lt;E92,"End before start",IF(AND(J92="Yes",E92&lt;&gt;F92),"Milestone needs one date","")))))</ns0:f>
      </ns0:c>
      <ns0:c r="T92" t="n">
        <ns0:f>IF(H92="",0,LEN(H92)-LEN(SUBSTITUTE(H92,",",""))+1)</ns0:f>
        <ns0:v>0</ns0:v>
      </ns0:c>
      <ns0:c r="U92" t="str">
        <ns0:f>TRIM(MID(SUBSTITUTE($H92,",",REPT(" ",100)),1,100))</ns0:f>
      </ns0:c>
      <ns0:c r="V92" t="str">
        <ns0:f>TRIM(MID(SUBSTITUTE($H92,",",REPT(" ",100)),101,100))</ns0:f>
      </ns0:c>
      <ns0:c r="W92" t="str">
        <ns0:f>TRIM(MID(SUBSTITUTE($H92,",",REPT(" ",100)),201,100))</ns0:f>
      </ns0:c>
      <ns0:c r="X92" t="str">
        <ns0:f>TRIM(MID(SUBSTITUTE($H92,",",REPT(" ",100)),301,100))</ns0:f>
      </ns0:c>
      <ns0:c r="Y92" t="str">
        <ns0:f>TRIM(MID(SUBSTITUTE($H92,",",REPT(" ",100)),401,100))</ns0:f>
      </ns0:c>
      <ns0:c r="Z92" t="str">
        <ns0:f>TRIM(MID(SUBSTITUTE($H92,",",REPT(" ",100)),501,100))</ns0:f>
      </ns0:c>
      <ns0:c r="AA92" t="str">
        <ns0:f>TRIM(MID(SUBSTITUTE($H92,",",REPT(" ",100)),601,100))</ns0:f>
      </ns0:c>
      <ns0:c r="AB92" t="str">
        <ns0:f>TRIM(MID(SUBSTITUTE($H92,",",REPT(" ",100)),701,100))</ns0:f>
      </ns0:c>
      <ns0:c r="AC92" t="n">
        <ns0:f>IF(U92="",0,IF(COUNTIFS(Tasks[Task ID],U92)=1,MATCH(U92,Tasks[Task ID],0),-1))</ns0:f>
        <ns0:v>0</ns0:v>
      </ns0:c>
      <ns0:c r="AD92" t="n">
        <ns0:f>IF(V92="",0,IF(COUNTIFS(Tasks[Task ID],V92)=1,MATCH(V92,Tasks[Task ID],0),-1))</ns0:f>
        <ns0:v>0</ns0:v>
      </ns0:c>
      <ns0:c r="AE92" t="n">
        <ns0:f>IF(W92="",0,IF(COUNTIFS(Tasks[Task ID],W92)=1,MATCH(W92,Tasks[Task ID],0),-1))</ns0:f>
        <ns0:v>0</ns0:v>
      </ns0:c>
      <ns0:c r="AF92" t="n">
        <ns0:f>IF(X92="",0,IF(COUNTIFS(Tasks[Task ID],X92)=1,MATCH(X92,Tasks[Task ID],0),-1))</ns0:f>
        <ns0:v>0</ns0:v>
      </ns0:c>
      <ns0:c r="AG92" t="n">
        <ns0:f>IF(Y92="",0,IF(COUNTIFS(Tasks[Task ID],Y92)=1,MATCH(Y92,Tasks[Task ID],0),-1))</ns0:f>
        <ns0:v>0</ns0:v>
      </ns0:c>
      <ns0:c r="AH92" t="n">
        <ns0:f>IF(Z92="",0,IF(COUNTIFS(Tasks[Task ID],Z92)=1,MATCH(Z92,Tasks[Task ID],0),-1))</ns0:f>
        <ns0:v>0</ns0:v>
      </ns0:c>
      <ns0:c r="AI92" t="n">
        <ns0:f>IF(AA92="",0,IF(COUNTIFS(Tasks[Task ID],AA92)=1,MATCH(AA92,Tasks[Task ID],0),-1))</ns0:f>
        <ns0:v>0</ns0:v>
      </ns0:c>
      <ns0:c r="AJ92" t="n">
        <ns0:f>IF(AB92="",0,IF(COUNTIFS(Tasks[Task ID],AB92)=1,MATCH(AB92,Tasks[Task ID],0),-1))</ns0:f>
        <ns0:v>0</ns0:v>
      </ns0:c>
      <ns0:c r="AK92" t="n">
        <ns0:f>COUNTIFS(AC92:AJ92,-1)+IF(T92&gt;8,1,0)</ns0:f>
        <ns0:v>0</ns0:v>
      </ns0:c>
      <ns0:c r="AL92" t="n">
        <ns0:f>IF(OR(A92="",S92&lt;&gt;""),0,SUM(IF(AC92&gt;0,IF($I92="FS",--($E92&lt;INDEX(Tasks[End Date],AC92)+IF(INDEX(Tasks[Milestone],AC92)="Yes",0,1)),IF($I92="SS",--($E92&lt;INDEX(Tasks[Start Date],AC92)),IF($I92="FF",--($F92&lt;INDEX(Tasks[End Date],AC92)),IF($I92="SF",--($F92&lt;INDEX(Tasks[Start Date],AC92)),0)))),0),IF(AD92&gt;0,IF($I92="FS",--($E92&lt;INDEX(Tasks[End Date],AD92)+IF(INDEX(Tasks[Milestone],AD92)="Yes",0,1)),IF($I92="SS",--($E92&lt;INDEX(Tasks[Start Date],AD92)),IF($I92="FF",--($F92&lt;INDEX(Tasks[End Date],AD92)),IF($I92="SF",--($F92&lt;INDEX(Tasks[Start Date],AD92)),0)))),0),IF(AE92&gt;0,IF($I92="FS",--($E92&lt;INDEX(Tasks[End Date],AE92)+IF(INDEX(Tasks[Milestone],AE92)="Yes",0,1)),IF($I92="SS",--($E92&lt;INDEX(Tasks[Start Date],AE92)),IF($I92="FF",--($F92&lt;INDEX(Tasks[End Date],AE92)),IF($I92="SF",--($F92&lt;INDEX(Tasks[Start Date],AE92)),0)))),0),IF(AF92&gt;0,IF($I92="FS",--($E92&lt;INDEX(Tasks[End Date],AF92)+IF(INDEX(Tasks[Milestone],AF92)="Yes",0,1)),IF($I92="SS",--($E92&lt;INDEX(Tasks[Start Date],AF92)),IF($I92="FF",--($F92&lt;INDEX(Tasks[End Date],AF92)),IF($I92="SF",--($F92&lt;INDEX(Tasks[Start Date],AF92)),0)))),0),IF(AG92&gt;0,IF($I92="FS",--($E92&lt;INDEX(Tasks[End Date],AG92)+IF(INDEX(Tasks[Milestone],AG92)="Yes",0,1)),IF($I92="SS",--($E92&lt;INDEX(Tasks[Start Date],AG92)),IF($I92="FF",--($F92&lt;INDEX(Tasks[End Date],AG92)),IF($I92="SF",--($F92&lt;INDEX(Tasks[Start Date],AG92)),0)))),0),IF(AH92&gt;0,IF($I92="FS",--($E92&lt;INDEX(Tasks[End Date],AH92)+IF(INDEX(Tasks[Milestone],AH92)="Yes",0,1)),IF($I92="SS",--($E92&lt;INDEX(Tasks[Start Date],AH92)),IF($I92="FF",--($F92&lt;INDEX(Tasks[End Date],AH92)),IF($I92="SF",--($F92&lt;INDEX(Tasks[Start Date],AH92)),0)))),0),IF(AI92&gt;0,IF($I92="FS",--($E92&lt;INDEX(Tasks[End Date],AI92)+IF(INDEX(Tasks[Milestone],AI92)="Yes",0,1)),IF($I92="SS",--($E92&lt;INDEX(Tasks[Start Date],AI92)),IF($I92="FF",--($F92&lt;INDEX(Tasks[End Date],AI92)),IF($I92="SF",--($F92&lt;INDEX(Tasks[Start Date],AI92)),0)))),0),IF(AJ92&gt;0,IF($I92="FS",--($E92&lt;INDEX(Tasks[End Date],AJ92)+IF(INDEX(Tasks[Milestone],AJ92)="Yes",0,1)),IF($I92="SS",--($E92&lt;INDEX(Tasks[Start Date],AJ92)),IF($I92="FF",--($F92&lt;INDEX(Tasks[End Date],AJ92)),IF($I92="SF",--($F92&lt;INDEX(Tasks[Start Date],AJ92)),0)))),0)))</ns0:f>
        <ns0:v>0</ns0:v>
      </ns0:c>
      <ns0:c r="AM92" t="n">
        <ns0:f>IF(AND(A92&lt;&gt;"",AK92=0,EP92=0),1,0)</ns0:f>
        <ns0:v>0</ns0:v>
      </ns0:c>
      <ns0:c r="AN92" t="str">
        <ns0:f>IF(OR(A92="",B92=""),"",IF(COUNTIFS($B$7:B92,B92)=1,MAX($AN$6:AN91)+1,""))</ns0:f>
      </ns0:c>
      <ns0:c r="AO92" t="n">
        <ns0:f>IF(AND(A92&lt;&gt;"",J92="No",N92&lt;1,E92&gt;=AsOfDate),E92+ROW()/10000,1E+9)</ns0:f>
        <ns0:v>1000000000</ns0:v>
      </ns0:c>
      <ns0:c r="AP92" t="n">
        <ns0:f>IF(AND(A92&lt;&gt;"",J92="Yes",N92&lt;1,E92&gt;=AsOfDate),E92+ROW()/10000,1E+9)</ns0:f>
        <ns0:v>1000000000</ns0:v>
      </ns0:c>
      <ns0:c r="AQ92" t="n">
        <ns0:f>IF(AND(A92&lt;&gt;"",J92="No",N92&lt;1,F92&gt;=AsOfDate,F92&lt;=AsOfDate+7),F92+ROW()/10000,1E+9)</ns0:f>
        <ns0:v>1000000000</ns0:v>
      </ns0:c>
      <ns0:c r="AR92" t="n">
        <ns0:f>IF(AND(A92&lt;&gt;"",OR(O92&lt;&gt;"On track",Q92="Delayed")),ROW(),1E+9)</ns0:f>
        <ns0:v>1000000000</ns0:v>
      </ns0:c>
      <ns0:c r="AS92" t="str">
        <ns0:f>IF(A92="","",";"&amp;K92&amp;";")</ns0:f>
      </ns0:c>
      <ns0:c r="AT92" t="n">
        <ns0:f>IF(A92="",1,--(T92=0))</ns0:f>
        <ns0:v>1</ns0:v>
      </ns0:c>
      <ns0:c r="AU92" t="n">
        <ns0:f>IF($A92="",1,IF(AT92=1,1,--AND(IF($AC92&gt;0,INDEX(AT$7:AT$106,$AC92),1),IF($AD92&gt;0,INDEX(AT$7:AT$106,$AD92),1),IF($AE92&gt;0,INDEX(AT$7:AT$106,$AE92),1),IF($AF92&gt;0,INDEX(AT$7:AT$106,$AF92),1),IF($AG92&gt;0,INDEX(AT$7:AT$106,$AG92),1),IF($AH92&gt;0,INDEX(AT$7:AT$106,$AH92),1),IF($AI92&gt;0,INDEX(AT$7:AT$106,$AI92),1),IF($AJ92&gt;0,INDEX(AT$7:AT$106,$AJ92),1))))</ns0:f>
        <ns0:v>1</ns0:v>
      </ns0:c>
      <ns0:c r="AV92" t="n">
        <ns0:f>IF($A92="",1,IF(AU92=1,1,--AND(IF($AC92&gt;0,INDEX(AU$7:AU$106,$AC92),1),IF($AD92&gt;0,INDEX(AU$7:AU$106,$AD92),1),IF($AE92&gt;0,INDEX(AU$7:AU$106,$AE92),1),IF($AF92&gt;0,INDEX(AU$7:AU$106,$AF92),1),IF($AG92&gt;0,INDEX(AU$7:AU$106,$AG92),1),IF($AH92&gt;0,INDEX(AU$7:AU$106,$AH92),1),IF($AI92&gt;0,INDEX(AU$7:AU$106,$AI92),1),IF($AJ92&gt;0,INDEX(AU$7:AU$106,$AJ92),1))))</ns0:f>
        <ns0:v>1</ns0:v>
      </ns0:c>
      <ns0:c r="AW92" t="n">
        <ns0:f>IF($A92="",1,IF(AV92=1,1,--AND(IF($AC92&gt;0,INDEX(AV$7:AV$106,$AC92),1),IF($AD92&gt;0,INDEX(AV$7:AV$106,$AD92),1),IF($AE92&gt;0,INDEX(AV$7:AV$106,$AE92),1),IF($AF92&gt;0,INDEX(AV$7:AV$106,$AF92),1),IF($AG92&gt;0,INDEX(AV$7:AV$106,$AG92),1),IF($AH92&gt;0,INDEX(AV$7:AV$106,$AH92),1),IF($AI92&gt;0,INDEX(AV$7:AV$106,$AI92),1),IF($AJ92&gt;0,INDEX(AV$7:AV$106,$AJ92),1))))</ns0:f>
        <ns0:v>1</ns0:v>
      </ns0:c>
      <ns0:c r="AX92" t="n">
        <ns0:f>IF($A92="",1,IF(AW92=1,1,--AND(IF($AC92&gt;0,INDEX(AW$7:AW$106,$AC92),1),IF($AD92&gt;0,INDEX(AW$7:AW$106,$AD92),1),IF($AE92&gt;0,INDEX(AW$7:AW$106,$AE92),1),IF($AF92&gt;0,INDEX(AW$7:AW$106,$AF92),1),IF($AG92&gt;0,INDEX(AW$7:AW$106,$AG92),1),IF($AH92&gt;0,INDEX(AW$7:AW$106,$AH92),1),IF($AI92&gt;0,INDEX(AW$7:AW$106,$AI92),1),IF($AJ92&gt;0,INDEX(AW$7:AW$106,$AJ92),1))))</ns0:f>
        <ns0:v>1</ns0:v>
      </ns0:c>
      <ns0:c r="AY92" t="n">
        <ns0:f>IF($A92="",1,IF(AX92=1,1,--AND(IF($AC92&gt;0,INDEX(AX$7:AX$106,$AC92),1),IF($AD92&gt;0,INDEX(AX$7:AX$106,$AD92),1),IF($AE92&gt;0,INDEX(AX$7:AX$106,$AE92),1),IF($AF92&gt;0,INDEX(AX$7:AX$106,$AF92),1),IF($AG92&gt;0,INDEX(AX$7:AX$106,$AG92),1),IF($AH92&gt;0,INDEX(AX$7:AX$106,$AH92),1),IF($AI92&gt;0,INDEX(AX$7:AX$106,$AI92),1),IF($AJ92&gt;0,INDEX(AX$7:AX$106,$AJ92),1))))</ns0:f>
        <ns0:v>1</ns0:v>
      </ns0:c>
      <ns0:c r="AZ92" t="n">
        <ns0:f>IF($A92="",1,IF(AY92=1,1,--AND(IF($AC92&gt;0,INDEX(AY$7:AY$106,$AC92),1),IF($AD92&gt;0,INDEX(AY$7:AY$106,$AD92),1),IF($AE92&gt;0,INDEX(AY$7:AY$106,$AE92),1),IF($AF92&gt;0,INDEX(AY$7:AY$106,$AF92),1),IF($AG92&gt;0,INDEX(AY$7:AY$106,$AG92),1),IF($AH92&gt;0,INDEX(AY$7:AY$106,$AH92),1),IF($AI92&gt;0,INDEX(AY$7:AY$106,$AI92),1),IF($AJ92&gt;0,INDEX(AY$7:AY$106,$AJ92),1))))</ns0:f>
        <ns0:v>1</ns0:v>
      </ns0:c>
      <ns0:c r="BA92" t="n">
        <ns0:f>IF($A92="",1,IF(AZ92=1,1,--AND(IF($AC92&gt;0,INDEX(AZ$7:AZ$106,$AC92),1),IF($AD92&gt;0,INDEX(AZ$7:AZ$106,$AD92),1),IF($AE92&gt;0,INDEX(AZ$7:AZ$106,$AE92),1),IF($AF92&gt;0,INDEX(AZ$7:AZ$106,$AF92),1),IF($AG92&gt;0,INDEX(AZ$7:AZ$106,$AG92),1),IF($AH92&gt;0,INDEX(AZ$7:AZ$106,$AH92),1),IF($AI92&gt;0,INDEX(AZ$7:AZ$106,$AI92),1),IF($AJ92&gt;0,INDEX(AZ$7:AZ$106,$AJ92),1))))</ns0:f>
        <ns0:v>1</ns0:v>
      </ns0:c>
      <ns0:c r="BB92" t="n">
        <ns0:f>IF($A92="",1,IF(BA92=1,1,--AND(IF($AC92&gt;0,INDEX(BA$7:BA$106,$AC92),1),IF($AD92&gt;0,INDEX(BA$7:BA$106,$AD92),1),IF($AE92&gt;0,INDEX(BA$7:BA$106,$AE92),1),IF($AF92&gt;0,INDEX(BA$7:BA$106,$AF92),1),IF($AG92&gt;0,INDEX(BA$7:BA$106,$AG92),1),IF($AH92&gt;0,INDEX(BA$7:BA$106,$AH92),1),IF($AI92&gt;0,INDEX(BA$7:BA$106,$AI92),1),IF($AJ92&gt;0,INDEX(BA$7:BA$106,$AJ92),1))))</ns0:f>
        <ns0:v>1</ns0:v>
      </ns0:c>
      <ns0:c r="BC92" t="n">
        <ns0:f>IF($A92="",1,IF(BB92=1,1,--AND(IF($AC92&gt;0,INDEX(BB$7:BB$106,$AC92),1),IF($AD92&gt;0,INDEX(BB$7:BB$106,$AD92),1),IF($AE92&gt;0,INDEX(BB$7:BB$106,$AE92),1),IF($AF92&gt;0,INDEX(BB$7:BB$106,$AF92),1),IF($AG92&gt;0,INDEX(BB$7:BB$106,$AG92),1),IF($AH92&gt;0,INDEX(BB$7:BB$106,$AH92),1),IF($AI92&gt;0,INDEX(BB$7:BB$106,$AI92),1),IF($AJ92&gt;0,INDEX(BB$7:BB$106,$AJ92),1))))</ns0:f>
        <ns0:v>1</ns0:v>
      </ns0:c>
      <ns0:c r="BD92" t="n">
        <ns0:f>IF($A92="",1,IF(BC92=1,1,--AND(IF($AC92&gt;0,INDEX(BC$7:BC$106,$AC92),1),IF($AD92&gt;0,INDEX(BC$7:BC$106,$AD92),1),IF($AE92&gt;0,INDEX(BC$7:BC$106,$AE92),1),IF($AF92&gt;0,INDEX(BC$7:BC$106,$AF92),1),IF($AG92&gt;0,INDEX(BC$7:BC$106,$AG92),1),IF($AH92&gt;0,INDEX(BC$7:BC$106,$AH92),1),IF($AI92&gt;0,INDEX(BC$7:BC$106,$AI92),1),IF($AJ92&gt;0,INDEX(BC$7:BC$106,$AJ92),1))))</ns0:f>
        <ns0:v>1</ns0:v>
      </ns0:c>
      <ns0:c r="BE92" t="n">
        <ns0:f>IF($A92="",1,IF(BD92=1,1,--AND(IF($AC92&gt;0,INDEX(BD$7:BD$106,$AC92),1),IF($AD92&gt;0,INDEX(BD$7:BD$106,$AD92),1),IF($AE92&gt;0,INDEX(BD$7:BD$106,$AE92),1),IF($AF92&gt;0,INDEX(BD$7:BD$106,$AF92),1),IF($AG92&gt;0,INDEX(BD$7:BD$106,$AG92),1),IF($AH92&gt;0,INDEX(BD$7:BD$106,$AH92),1),IF($AI92&gt;0,INDEX(BD$7:BD$106,$AI92),1),IF($AJ92&gt;0,INDEX(BD$7:BD$106,$AJ92),1))))</ns0:f>
        <ns0:v>1</ns0:v>
      </ns0:c>
      <ns0:c r="BF92" t="n">
        <ns0:f>IF($A92="",1,IF(BE92=1,1,--AND(IF($AC92&gt;0,INDEX(BE$7:BE$106,$AC92),1),IF($AD92&gt;0,INDEX(BE$7:BE$106,$AD92),1),IF($AE92&gt;0,INDEX(BE$7:BE$106,$AE92),1),IF($AF92&gt;0,INDEX(BE$7:BE$106,$AF92),1),IF($AG92&gt;0,INDEX(BE$7:BE$106,$AG92),1),IF($AH92&gt;0,INDEX(BE$7:BE$106,$AH92),1),IF($AI92&gt;0,INDEX(BE$7:BE$106,$AI92),1),IF($AJ92&gt;0,INDEX(BE$7:BE$106,$AJ92),1))))</ns0:f>
        <ns0:v>1</ns0:v>
      </ns0:c>
      <ns0:c r="BG92" t="n">
        <ns0:f>IF($A92="",1,IF(BF92=1,1,--AND(IF($AC92&gt;0,INDEX(BF$7:BF$106,$AC92),1),IF($AD92&gt;0,INDEX(BF$7:BF$106,$AD92),1),IF($AE92&gt;0,INDEX(BF$7:BF$106,$AE92),1),IF($AF92&gt;0,INDEX(BF$7:BF$106,$AF92),1),IF($AG92&gt;0,INDEX(BF$7:BF$106,$AG92),1),IF($AH92&gt;0,INDEX(BF$7:BF$106,$AH92),1),IF($AI92&gt;0,INDEX(BF$7:BF$106,$AI92),1),IF($AJ92&gt;0,INDEX(BF$7:BF$106,$AJ92),1))))</ns0:f>
        <ns0:v>1</ns0:v>
      </ns0:c>
      <ns0:c r="BH92" t="n">
        <ns0:f>IF($A92="",1,IF(BG92=1,1,--AND(IF($AC92&gt;0,INDEX(BG$7:BG$106,$AC92),1),IF($AD92&gt;0,INDEX(BG$7:BG$106,$AD92),1),IF($AE92&gt;0,INDEX(BG$7:BG$106,$AE92),1),IF($AF92&gt;0,INDEX(BG$7:BG$106,$AF92),1),IF($AG92&gt;0,INDEX(BG$7:BG$106,$AG92),1),IF($AH92&gt;0,INDEX(BG$7:BG$106,$AH92),1),IF($AI92&gt;0,INDEX(BG$7:BG$106,$AI92),1),IF($AJ92&gt;0,INDEX(BG$7:BG$106,$AJ92),1))))</ns0:f>
        <ns0:v>1</ns0:v>
      </ns0:c>
      <ns0:c r="BI92" t="n">
        <ns0:f>IF($A92="",1,IF(BH92=1,1,--AND(IF($AC92&gt;0,INDEX(BH$7:BH$106,$AC92),1),IF($AD92&gt;0,INDEX(BH$7:BH$106,$AD92),1),IF($AE92&gt;0,INDEX(BH$7:BH$106,$AE92),1),IF($AF92&gt;0,INDEX(BH$7:BH$106,$AF92),1),IF($AG92&gt;0,INDEX(BH$7:BH$106,$AG92),1),IF($AH92&gt;0,INDEX(BH$7:BH$106,$AH92),1),IF($AI92&gt;0,INDEX(BH$7:BH$106,$AI92),1),IF($AJ92&gt;0,INDEX(BH$7:BH$106,$AJ92),1))))</ns0:f>
        <ns0:v>1</ns0:v>
      </ns0:c>
      <ns0:c r="BJ92" t="n">
        <ns0:f>IF($A92="",1,IF(BI92=1,1,--AND(IF($AC92&gt;0,INDEX(BI$7:BI$106,$AC92),1),IF($AD92&gt;0,INDEX(BI$7:BI$106,$AD92),1),IF($AE92&gt;0,INDEX(BI$7:BI$106,$AE92),1),IF($AF92&gt;0,INDEX(BI$7:BI$106,$AF92),1),IF($AG92&gt;0,INDEX(BI$7:BI$106,$AG92),1),IF($AH92&gt;0,INDEX(BI$7:BI$106,$AH92),1),IF($AI92&gt;0,INDEX(BI$7:BI$106,$AI92),1),IF($AJ92&gt;0,INDEX(BI$7:BI$106,$AJ92),1))))</ns0:f>
        <ns0:v>1</ns0:v>
      </ns0:c>
      <ns0:c r="BK92" t="n">
        <ns0:f>IF($A92="",1,IF(BJ92=1,1,--AND(IF($AC92&gt;0,INDEX(BJ$7:BJ$106,$AC92),1),IF($AD92&gt;0,INDEX(BJ$7:BJ$106,$AD92),1),IF($AE92&gt;0,INDEX(BJ$7:BJ$106,$AE92),1),IF($AF92&gt;0,INDEX(BJ$7:BJ$106,$AF92),1),IF($AG92&gt;0,INDEX(BJ$7:BJ$106,$AG92),1),IF($AH92&gt;0,INDEX(BJ$7:BJ$106,$AH92),1),IF($AI92&gt;0,INDEX(BJ$7:BJ$106,$AI92),1),IF($AJ92&gt;0,INDEX(BJ$7:BJ$106,$AJ92),1))))</ns0:f>
        <ns0:v>1</ns0:v>
      </ns0:c>
      <ns0:c r="BL92" t="n">
        <ns0:f>IF($A92="",1,IF(BK92=1,1,--AND(IF($AC92&gt;0,INDEX(BK$7:BK$106,$AC92),1),IF($AD92&gt;0,INDEX(BK$7:BK$106,$AD92),1),IF($AE92&gt;0,INDEX(BK$7:BK$106,$AE92),1),IF($AF92&gt;0,INDEX(BK$7:BK$106,$AF92),1),IF($AG92&gt;0,INDEX(BK$7:BK$106,$AG92),1),IF($AH92&gt;0,INDEX(BK$7:BK$106,$AH92),1),IF($AI92&gt;0,INDEX(BK$7:BK$106,$AI92),1),IF($AJ92&gt;0,INDEX(BK$7:BK$106,$AJ92),1))))</ns0:f>
        <ns0:v>1</ns0:v>
      </ns0:c>
      <ns0:c r="BM92" t="n">
        <ns0:f>IF($A92="",1,IF(BL92=1,1,--AND(IF($AC92&gt;0,INDEX(BL$7:BL$106,$AC92),1),IF($AD92&gt;0,INDEX(BL$7:BL$106,$AD92),1),IF($AE92&gt;0,INDEX(BL$7:BL$106,$AE92),1),IF($AF92&gt;0,INDEX(BL$7:BL$106,$AF92),1),IF($AG92&gt;0,INDEX(BL$7:BL$106,$AG92),1),IF($AH92&gt;0,INDEX(BL$7:BL$106,$AH92),1),IF($AI92&gt;0,INDEX(BL$7:BL$106,$AI92),1),IF($AJ92&gt;0,INDEX(BL$7:BL$106,$AJ92),1))))</ns0:f>
        <ns0:v>1</ns0:v>
      </ns0:c>
      <ns0:c r="BN92" t="n">
        <ns0:f>IF($A92="",1,IF(BM92=1,1,--AND(IF($AC92&gt;0,INDEX(BM$7:BM$106,$AC92),1),IF($AD92&gt;0,INDEX(BM$7:BM$106,$AD92),1),IF($AE92&gt;0,INDEX(BM$7:BM$106,$AE92),1),IF($AF92&gt;0,INDEX(BM$7:BM$106,$AF92),1),IF($AG92&gt;0,INDEX(BM$7:BM$106,$AG92),1),IF($AH92&gt;0,INDEX(BM$7:BM$106,$AH92),1),IF($AI92&gt;0,INDEX(BM$7:BM$106,$AI92),1),IF($AJ92&gt;0,INDEX(BM$7:BM$106,$AJ92),1))))</ns0:f>
        <ns0:v>1</ns0:v>
      </ns0:c>
      <ns0:c r="BO92" t="n">
        <ns0:f>IF($A92="",1,IF(BN92=1,1,--AND(IF($AC92&gt;0,INDEX(BN$7:BN$106,$AC92),1),IF($AD92&gt;0,INDEX(BN$7:BN$106,$AD92),1),IF($AE92&gt;0,INDEX(BN$7:BN$106,$AE92),1),IF($AF92&gt;0,INDEX(BN$7:BN$106,$AF92),1),IF($AG92&gt;0,INDEX(BN$7:BN$106,$AG92),1),IF($AH92&gt;0,INDEX(BN$7:BN$106,$AH92),1),IF($AI92&gt;0,INDEX(BN$7:BN$106,$AI92),1),IF($AJ92&gt;0,INDEX(BN$7:BN$106,$AJ92),1))))</ns0:f>
        <ns0:v>1</ns0:v>
      </ns0:c>
      <ns0:c r="BP92" t="n">
        <ns0:f>IF($A92="",1,IF(BO92=1,1,--AND(IF($AC92&gt;0,INDEX(BO$7:BO$106,$AC92),1),IF($AD92&gt;0,INDEX(BO$7:BO$106,$AD92),1),IF($AE92&gt;0,INDEX(BO$7:BO$106,$AE92),1),IF($AF92&gt;0,INDEX(BO$7:BO$106,$AF92),1),IF($AG92&gt;0,INDEX(BO$7:BO$106,$AG92),1),IF($AH92&gt;0,INDEX(BO$7:BO$106,$AH92),1),IF($AI92&gt;0,INDEX(BO$7:BO$106,$AI92),1),IF($AJ92&gt;0,INDEX(BO$7:BO$106,$AJ92),1))))</ns0:f>
        <ns0:v>1</ns0:v>
      </ns0:c>
      <ns0:c r="BQ92" t="n">
        <ns0:f>IF($A92="",1,IF(BP92=1,1,--AND(IF($AC92&gt;0,INDEX(BP$7:BP$106,$AC92),1),IF($AD92&gt;0,INDEX(BP$7:BP$106,$AD92),1),IF($AE92&gt;0,INDEX(BP$7:BP$106,$AE92),1),IF($AF92&gt;0,INDEX(BP$7:BP$106,$AF92),1),IF($AG92&gt;0,INDEX(BP$7:BP$106,$AG92),1),IF($AH92&gt;0,INDEX(BP$7:BP$106,$AH92),1),IF($AI92&gt;0,INDEX(BP$7:BP$106,$AI92),1),IF($AJ92&gt;0,INDEX(BP$7:BP$106,$AJ92),1))))</ns0:f>
        <ns0:v>1</ns0:v>
      </ns0:c>
      <ns0:c r="BR92" t="n">
        <ns0:f>IF($A92="",1,IF(BQ92=1,1,--AND(IF($AC92&gt;0,INDEX(BQ$7:BQ$106,$AC92),1),IF($AD92&gt;0,INDEX(BQ$7:BQ$106,$AD92),1),IF($AE92&gt;0,INDEX(BQ$7:BQ$106,$AE92),1),IF($AF92&gt;0,INDEX(BQ$7:BQ$106,$AF92),1),IF($AG92&gt;0,INDEX(BQ$7:BQ$106,$AG92),1),IF($AH92&gt;0,INDEX(BQ$7:BQ$106,$AH92),1),IF($AI92&gt;0,INDEX(BQ$7:BQ$106,$AI92),1),IF($AJ92&gt;0,INDEX(BQ$7:BQ$106,$AJ92),1))))</ns0:f>
        <ns0:v>1</ns0:v>
      </ns0:c>
      <ns0:c r="BS92" t="n">
        <ns0:f>IF($A92="",1,IF(BR92=1,1,--AND(IF($AC92&gt;0,INDEX(BR$7:BR$106,$AC92),1),IF($AD92&gt;0,INDEX(BR$7:BR$106,$AD92),1),IF($AE92&gt;0,INDEX(BR$7:BR$106,$AE92),1),IF($AF92&gt;0,INDEX(BR$7:BR$106,$AF92),1),IF($AG92&gt;0,INDEX(BR$7:BR$106,$AG92),1),IF($AH92&gt;0,INDEX(BR$7:BR$106,$AH92),1),IF($AI92&gt;0,INDEX(BR$7:BR$106,$AI92),1),IF($AJ92&gt;0,INDEX(BR$7:BR$106,$AJ92),1))))</ns0:f>
        <ns0:v>1</ns0:v>
      </ns0:c>
      <ns0:c r="BT92" t="n">
        <ns0:f>IF($A92="",1,IF(BS92=1,1,--AND(IF($AC92&gt;0,INDEX(BS$7:BS$106,$AC92),1),IF($AD92&gt;0,INDEX(BS$7:BS$106,$AD92),1),IF($AE92&gt;0,INDEX(BS$7:BS$106,$AE92),1),IF($AF92&gt;0,INDEX(BS$7:BS$106,$AF92),1),IF($AG92&gt;0,INDEX(BS$7:BS$106,$AG92),1),IF($AH92&gt;0,INDEX(BS$7:BS$106,$AH92),1),IF($AI92&gt;0,INDEX(BS$7:BS$106,$AI92),1),IF($AJ92&gt;0,INDEX(BS$7:BS$106,$AJ92),1))))</ns0:f>
        <ns0:v>1</ns0:v>
      </ns0:c>
      <ns0:c r="BU92" t="n">
        <ns0:f>IF($A92="",1,IF(BT92=1,1,--AND(IF($AC92&gt;0,INDEX(BT$7:BT$106,$AC92),1),IF($AD92&gt;0,INDEX(BT$7:BT$106,$AD92),1),IF($AE92&gt;0,INDEX(BT$7:BT$106,$AE92),1),IF($AF92&gt;0,INDEX(BT$7:BT$106,$AF92),1),IF($AG92&gt;0,INDEX(BT$7:BT$106,$AG92),1),IF($AH92&gt;0,INDEX(BT$7:BT$106,$AH92),1),IF($AI92&gt;0,INDEX(BT$7:BT$106,$AI92),1),IF($AJ92&gt;0,INDEX(BT$7:BT$106,$AJ92),1))))</ns0:f>
        <ns0:v>1</ns0:v>
      </ns0:c>
      <ns0:c r="BV92" t="n">
        <ns0:f>IF($A92="",1,IF(BU92=1,1,--AND(IF($AC92&gt;0,INDEX(BU$7:BU$106,$AC92),1),IF($AD92&gt;0,INDEX(BU$7:BU$106,$AD92),1),IF($AE92&gt;0,INDEX(BU$7:BU$106,$AE92),1),IF($AF92&gt;0,INDEX(BU$7:BU$106,$AF92),1),IF($AG92&gt;0,INDEX(BU$7:BU$106,$AG92),1),IF($AH92&gt;0,INDEX(BU$7:BU$106,$AH92),1),IF($AI92&gt;0,INDEX(BU$7:BU$106,$AI92),1),IF($AJ92&gt;0,INDEX(BU$7:BU$106,$AJ92),1))))</ns0:f>
        <ns0:v>1</ns0:v>
      </ns0:c>
      <ns0:c r="BW92" t="n">
        <ns0:f>IF($A92="",1,IF(BV92=1,1,--AND(IF($AC92&gt;0,INDEX(BV$7:BV$106,$AC92),1),IF($AD92&gt;0,INDEX(BV$7:BV$106,$AD92),1),IF($AE92&gt;0,INDEX(BV$7:BV$106,$AE92),1),IF($AF92&gt;0,INDEX(BV$7:BV$106,$AF92),1),IF($AG92&gt;0,INDEX(BV$7:BV$106,$AG92),1),IF($AH92&gt;0,INDEX(BV$7:BV$106,$AH92),1),IF($AI92&gt;0,INDEX(BV$7:BV$106,$AI92),1),IF($AJ92&gt;0,INDEX(BV$7:BV$106,$AJ92),1))))</ns0:f>
        <ns0:v>1</ns0:v>
      </ns0:c>
      <ns0:c r="BX92" t="n">
        <ns0:f>IF($A92="",1,IF(BW92=1,1,--AND(IF($AC92&gt;0,INDEX(BW$7:BW$106,$AC92),1),IF($AD92&gt;0,INDEX(BW$7:BW$106,$AD92),1),IF($AE92&gt;0,INDEX(BW$7:BW$106,$AE92),1),IF($AF92&gt;0,INDEX(BW$7:BW$106,$AF92),1),IF($AG92&gt;0,INDEX(BW$7:BW$106,$AG92),1),IF($AH92&gt;0,INDEX(BW$7:BW$106,$AH92),1),IF($AI92&gt;0,INDEX(BW$7:BW$106,$AI92),1),IF($AJ92&gt;0,INDEX(BW$7:BW$106,$AJ92),1))))</ns0:f>
        <ns0:v>1</ns0:v>
      </ns0:c>
      <ns0:c r="BY92" t="n">
        <ns0:f>IF($A92="",1,IF(BX92=1,1,--AND(IF($AC92&gt;0,INDEX(BX$7:BX$106,$AC92),1),IF($AD92&gt;0,INDEX(BX$7:BX$106,$AD92),1),IF($AE92&gt;0,INDEX(BX$7:BX$106,$AE92),1),IF($AF92&gt;0,INDEX(BX$7:BX$106,$AF92),1),IF($AG92&gt;0,INDEX(BX$7:BX$106,$AG92),1),IF($AH92&gt;0,INDEX(BX$7:BX$106,$AH92),1),IF($AI92&gt;0,INDEX(BX$7:BX$106,$AI92),1),IF($AJ92&gt;0,INDEX(BX$7:BX$106,$AJ92),1))))</ns0:f>
        <ns0:v>1</ns0:v>
      </ns0:c>
      <ns0:c r="BZ92" t="n">
        <ns0:f>IF($A92="",1,IF(BY92=1,1,--AND(IF($AC92&gt;0,INDEX(BY$7:BY$106,$AC92),1),IF($AD92&gt;0,INDEX(BY$7:BY$106,$AD92),1),IF($AE92&gt;0,INDEX(BY$7:BY$106,$AE92),1),IF($AF92&gt;0,INDEX(BY$7:BY$106,$AF92),1),IF($AG92&gt;0,INDEX(BY$7:BY$106,$AG92),1),IF($AH92&gt;0,INDEX(BY$7:BY$106,$AH92),1),IF($AI92&gt;0,INDEX(BY$7:BY$106,$AI92),1),IF($AJ92&gt;0,INDEX(BY$7:BY$106,$AJ92),1))))</ns0:f>
        <ns0:v>1</ns0:v>
      </ns0:c>
      <ns0:c r="CA92" t="n">
        <ns0:f>IF($A92="",1,IF(BZ92=1,1,--AND(IF($AC92&gt;0,INDEX(BZ$7:BZ$106,$AC92),1),IF($AD92&gt;0,INDEX(BZ$7:BZ$106,$AD92),1),IF($AE92&gt;0,INDEX(BZ$7:BZ$106,$AE92),1),IF($AF92&gt;0,INDEX(BZ$7:BZ$106,$AF92),1),IF($AG92&gt;0,INDEX(BZ$7:BZ$106,$AG92),1),IF($AH92&gt;0,INDEX(BZ$7:BZ$106,$AH92),1),IF($AI92&gt;0,INDEX(BZ$7:BZ$106,$AI92),1),IF($AJ92&gt;0,INDEX(BZ$7:BZ$106,$AJ92),1))))</ns0:f>
        <ns0:v>1</ns0:v>
      </ns0:c>
      <ns0:c r="CB92" t="n">
        <ns0:f>IF($A92="",1,IF(CA92=1,1,--AND(IF($AC92&gt;0,INDEX(CA$7:CA$106,$AC92),1),IF($AD92&gt;0,INDEX(CA$7:CA$106,$AD92),1),IF($AE92&gt;0,INDEX(CA$7:CA$106,$AE92),1),IF($AF92&gt;0,INDEX(CA$7:CA$106,$AF92),1),IF($AG92&gt;0,INDEX(CA$7:CA$106,$AG92),1),IF($AH92&gt;0,INDEX(CA$7:CA$106,$AH92),1),IF($AI92&gt;0,INDEX(CA$7:CA$106,$AI92),1),IF($AJ92&gt;0,INDEX(CA$7:CA$106,$AJ92),1))))</ns0:f>
        <ns0:v>1</ns0:v>
      </ns0:c>
      <ns0:c r="CC92" t="n">
        <ns0:f>IF($A92="",1,IF(CB92=1,1,--AND(IF($AC92&gt;0,INDEX(CB$7:CB$106,$AC92),1),IF($AD92&gt;0,INDEX(CB$7:CB$106,$AD92),1),IF($AE92&gt;0,INDEX(CB$7:CB$106,$AE92),1),IF($AF92&gt;0,INDEX(CB$7:CB$106,$AF92),1),IF($AG92&gt;0,INDEX(CB$7:CB$106,$AG92),1),IF($AH92&gt;0,INDEX(CB$7:CB$106,$AH92),1),IF($AI92&gt;0,INDEX(CB$7:CB$106,$AI92),1),IF($AJ92&gt;0,INDEX(CB$7:CB$106,$AJ92),1))))</ns0:f>
        <ns0:v>1</ns0:v>
      </ns0:c>
      <ns0:c r="CD92" t="n">
        <ns0:f>IF($A92="",1,IF(CC92=1,1,--AND(IF($AC92&gt;0,INDEX(CC$7:CC$106,$AC92),1),IF($AD92&gt;0,INDEX(CC$7:CC$106,$AD92),1),IF($AE92&gt;0,INDEX(CC$7:CC$106,$AE92),1),IF($AF92&gt;0,INDEX(CC$7:CC$106,$AF92),1),IF($AG92&gt;0,INDEX(CC$7:CC$106,$AG92),1),IF($AH92&gt;0,INDEX(CC$7:CC$106,$AH92),1),IF($AI92&gt;0,INDEX(CC$7:CC$106,$AI92),1),IF($AJ92&gt;0,INDEX(CC$7:CC$106,$AJ92),1))))</ns0:f>
        <ns0:v>1</ns0:v>
      </ns0:c>
      <ns0:c r="CE92" t="n">
        <ns0:f>IF($A92="",1,IF(CD92=1,1,--AND(IF($AC92&gt;0,INDEX(CD$7:CD$106,$AC92),1),IF($AD92&gt;0,INDEX(CD$7:CD$106,$AD92),1),IF($AE92&gt;0,INDEX(CD$7:CD$106,$AE92),1),IF($AF92&gt;0,INDEX(CD$7:CD$106,$AF92),1),IF($AG92&gt;0,INDEX(CD$7:CD$106,$AG92),1),IF($AH92&gt;0,INDEX(CD$7:CD$106,$AH92),1),IF($AI92&gt;0,INDEX(CD$7:CD$106,$AI92),1),IF($AJ92&gt;0,INDEX(CD$7:CD$106,$AJ92),1))))</ns0:f>
        <ns0:v>1</ns0:v>
      </ns0:c>
      <ns0:c r="CF92" t="n">
        <ns0:f>IF($A92="",1,IF(CE92=1,1,--AND(IF($AC92&gt;0,INDEX(CE$7:CE$106,$AC92),1),IF($AD92&gt;0,INDEX(CE$7:CE$106,$AD92),1),IF($AE92&gt;0,INDEX(CE$7:CE$106,$AE92),1),IF($AF92&gt;0,INDEX(CE$7:CE$106,$AF92),1),IF($AG92&gt;0,INDEX(CE$7:CE$106,$AG92),1),IF($AH92&gt;0,INDEX(CE$7:CE$106,$AH92),1),IF($AI92&gt;0,INDEX(CE$7:CE$106,$AI92),1),IF($AJ92&gt;0,INDEX(CE$7:CE$106,$AJ92),1))))</ns0:f>
        <ns0:v>1</ns0:v>
      </ns0:c>
      <ns0:c r="CG92" t="n">
        <ns0:f>IF($A92="",1,IF(CF92=1,1,--AND(IF($AC92&gt;0,INDEX(CF$7:CF$106,$AC92),1),IF($AD92&gt;0,INDEX(CF$7:CF$106,$AD92),1),IF($AE92&gt;0,INDEX(CF$7:CF$106,$AE92),1),IF($AF92&gt;0,INDEX(CF$7:CF$106,$AF92),1),IF($AG92&gt;0,INDEX(CF$7:CF$106,$AG92),1),IF($AH92&gt;0,INDEX(CF$7:CF$106,$AH92),1),IF($AI92&gt;0,INDEX(CF$7:CF$106,$AI92),1),IF($AJ92&gt;0,INDEX(CF$7:CF$106,$AJ92),1))))</ns0:f>
        <ns0:v>1</ns0:v>
      </ns0:c>
      <ns0:c r="CH92" t="n">
        <ns0:f>IF($A92="",1,IF(CG92=1,1,--AND(IF($AC92&gt;0,INDEX(CG$7:CG$106,$AC92),1),IF($AD92&gt;0,INDEX(CG$7:CG$106,$AD92),1),IF($AE92&gt;0,INDEX(CG$7:CG$106,$AE92),1),IF($AF92&gt;0,INDEX(CG$7:CG$106,$AF92),1),IF($AG92&gt;0,INDEX(CG$7:CG$106,$AG92),1),IF($AH92&gt;0,INDEX(CG$7:CG$106,$AH92),1),IF($AI92&gt;0,INDEX(CG$7:CG$106,$AI92),1),IF($AJ92&gt;0,INDEX(CG$7:CG$106,$AJ92),1))))</ns0:f>
        <ns0:v>1</ns0:v>
      </ns0:c>
      <ns0:c r="CI92" t="n">
        <ns0:f>IF($A92="",1,IF(CH92=1,1,--AND(IF($AC92&gt;0,INDEX(CH$7:CH$106,$AC92),1),IF($AD92&gt;0,INDEX(CH$7:CH$106,$AD92),1),IF($AE92&gt;0,INDEX(CH$7:CH$106,$AE92),1),IF($AF92&gt;0,INDEX(CH$7:CH$106,$AF92),1),IF($AG92&gt;0,INDEX(CH$7:CH$106,$AG92),1),IF($AH92&gt;0,INDEX(CH$7:CH$106,$AH92),1),IF($AI92&gt;0,INDEX(CH$7:CH$106,$AI92),1),IF($AJ92&gt;0,INDEX(CH$7:CH$106,$AJ92),1))))</ns0:f>
        <ns0:v>1</ns0:v>
      </ns0:c>
      <ns0:c r="CJ92" t="n">
        <ns0:f>IF($A92="",1,IF(CI92=1,1,--AND(IF($AC92&gt;0,INDEX(CI$7:CI$106,$AC92),1),IF($AD92&gt;0,INDEX(CI$7:CI$106,$AD92),1),IF($AE92&gt;0,INDEX(CI$7:CI$106,$AE92),1),IF($AF92&gt;0,INDEX(CI$7:CI$106,$AF92),1),IF($AG92&gt;0,INDEX(CI$7:CI$106,$AG92),1),IF($AH92&gt;0,INDEX(CI$7:CI$106,$AH92),1),IF($AI92&gt;0,INDEX(CI$7:CI$106,$AI92),1),IF($AJ92&gt;0,INDEX(CI$7:CI$106,$AJ92),1))))</ns0:f>
        <ns0:v>1</ns0:v>
      </ns0:c>
      <ns0:c r="CK92" t="n">
        <ns0:f>IF($A92="",1,IF(CJ92=1,1,--AND(IF($AC92&gt;0,INDEX(CJ$7:CJ$106,$AC92),1),IF($AD92&gt;0,INDEX(CJ$7:CJ$106,$AD92),1),IF($AE92&gt;0,INDEX(CJ$7:CJ$106,$AE92),1),IF($AF92&gt;0,INDEX(CJ$7:CJ$106,$AF92),1),IF($AG92&gt;0,INDEX(CJ$7:CJ$106,$AG92),1),IF($AH92&gt;0,INDEX(CJ$7:CJ$106,$AH92),1),IF($AI92&gt;0,INDEX(CJ$7:CJ$106,$AI92),1),IF($AJ92&gt;0,INDEX(CJ$7:CJ$106,$AJ92),1))))</ns0:f>
        <ns0:v>1</ns0:v>
      </ns0:c>
      <ns0:c r="CL92" t="n">
        <ns0:f>IF($A92="",1,IF(CK92=1,1,--AND(IF($AC92&gt;0,INDEX(CK$7:CK$106,$AC92),1),IF($AD92&gt;0,INDEX(CK$7:CK$106,$AD92),1),IF($AE92&gt;0,INDEX(CK$7:CK$106,$AE92),1),IF($AF92&gt;0,INDEX(CK$7:CK$106,$AF92),1),IF($AG92&gt;0,INDEX(CK$7:CK$106,$AG92),1),IF($AH92&gt;0,INDEX(CK$7:CK$106,$AH92),1),IF($AI92&gt;0,INDEX(CK$7:CK$106,$AI92),1),IF($AJ92&gt;0,INDEX(CK$7:CK$106,$AJ92),1))))</ns0:f>
        <ns0:v>1</ns0:v>
      </ns0:c>
      <ns0:c r="CM92" t="n">
        <ns0:f>IF($A92="",1,IF(CL92=1,1,--AND(IF($AC92&gt;0,INDEX(CL$7:CL$106,$AC92),1),IF($AD92&gt;0,INDEX(CL$7:CL$106,$AD92),1),IF($AE92&gt;0,INDEX(CL$7:CL$106,$AE92),1),IF($AF92&gt;0,INDEX(CL$7:CL$106,$AF92),1),IF($AG92&gt;0,INDEX(CL$7:CL$106,$AG92),1),IF($AH92&gt;0,INDEX(CL$7:CL$106,$AH92),1),IF($AI92&gt;0,INDEX(CL$7:CL$106,$AI92),1),IF($AJ92&gt;0,INDEX(CL$7:CL$106,$AJ92),1))))</ns0:f>
        <ns0:v>1</ns0:v>
      </ns0:c>
      <ns0:c r="CN92" t="n">
        <ns0:f>IF($A92="",1,IF(CM92=1,1,--AND(IF($AC92&gt;0,INDEX(CM$7:CM$106,$AC92),1),IF($AD92&gt;0,INDEX(CM$7:CM$106,$AD92),1),IF($AE92&gt;0,INDEX(CM$7:CM$106,$AE92),1),IF($AF92&gt;0,INDEX(CM$7:CM$106,$AF92),1),IF($AG92&gt;0,INDEX(CM$7:CM$106,$AG92),1),IF($AH92&gt;0,INDEX(CM$7:CM$106,$AH92),1),IF($AI92&gt;0,INDEX(CM$7:CM$106,$AI92),1),IF($AJ92&gt;0,INDEX(CM$7:CM$106,$AJ92),1))))</ns0:f>
        <ns0:v>1</ns0:v>
      </ns0:c>
      <ns0:c r="CO92" t="n">
        <ns0:f>IF($A92="",1,IF(CN92=1,1,--AND(IF($AC92&gt;0,INDEX(CN$7:CN$106,$AC92),1),IF($AD92&gt;0,INDEX(CN$7:CN$106,$AD92),1),IF($AE92&gt;0,INDEX(CN$7:CN$106,$AE92),1),IF($AF92&gt;0,INDEX(CN$7:CN$106,$AF92),1),IF($AG92&gt;0,INDEX(CN$7:CN$106,$AG92),1),IF($AH92&gt;0,INDEX(CN$7:CN$106,$AH92),1),IF($AI92&gt;0,INDEX(CN$7:CN$106,$AI92),1),IF($AJ92&gt;0,INDEX(CN$7:CN$106,$AJ92),1))))</ns0:f>
        <ns0:v>1</ns0:v>
      </ns0:c>
      <ns0:c r="CP92" t="n">
        <ns0:f>IF($A92="",1,IF(CO92=1,1,--AND(IF($AC92&gt;0,INDEX(CO$7:CO$106,$AC92),1),IF($AD92&gt;0,INDEX(CO$7:CO$106,$AD92),1),IF($AE92&gt;0,INDEX(CO$7:CO$106,$AE92),1),IF($AF92&gt;0,INDEX(CO$7:CO$106,$AF92),1),IF($AG92&gt;0,INDEX(CO$7:CO$106,$AG92),1),IF($AH92&gt;0,INDEX(CO$7:CO$106,$AH92),1),IF($AI92&gt;0,INDEX(CO$7:CO$106,$AI92),1),IF($AJ92&gt;0,INDEX(CO$7:CO$106,$AJ92),1))))</ns0:f>
        <ns0:v>1</ns0:v>
      </ns0:c>
      <ns0:c r="CQ92" t="n">
        <ns0:f>IF($A92="",1,IF(CP92=1,1,--AND(IF($AC92&gt;0,INDEX(CP$7:CP$106,$AC92),1),IF($AD92&gt;0,INDEX(CP$7:CP$106,$AD92),1),IF($AE92&gt;0,INDEX(CP$7:CP$106,$AE92),1),IF($AF92&gt;0,INDEX(CP$7:CP$106,$AF92),1),IF($AG92&gt;0,INDEX(CP$7:CP$106,$AG92),1),IF($AH92&gt;0,INDEX(CP$7:CP$106,$AH92),1),IF($AI92&gt;0,INDEX(CP$7:CP$106,$AI92),1),IF($AJ92&gt;0,INDEX(CP$7:CP$106,$AJ92),1))))</ns0:f>
        <ns0:v>1</ns0:v>
      </ns0:c>
      <ns0:c r="CR92" t="n">
        <ns0:f>IF($A92="",1,IF(CQ92=1,1,--AND(IF($AC92&gt;0,INDEX(CQ$7:CQ$106,$AC92),1),IF($AD92&gt;0,INDEX(CQ$7:CQ$106,$AD92),1),IF($AE92&gt;0,INDEX(CQ$7:CQ$106,$AE92),1),IF($AF92&gt;0,INDEX(CQ$7:CQ$106,$AF92),1),IF($AG92&gt;0,INDEX(CQ$7:CQ$106,$AG92),1),IF($AH92&gt;0,INDEX(CQ$7:CQ$106,$AH92),1),IF($AI92&gt;0,INDEX(CQ$7:CQ$106,$AI92),1),IF($AJ92&gt;0,INDEX(CQ$7:CQ$106,$AJ92),1))))</ns0:f>
        <ns0:v>1</ns0:v>
      </ns0:c>
      <ns0:c r="CS92" t="n">
        <ns0:f>IF($A92="",1,IF(CR92=1,1,--AND(IF($AC92&gt;0,INDEX(CR$7:CR$106,$AC92),1),IF($AD92&gt;0,INDEX(CR$7:CR$106,$AD92),1),IF($AE92&gt;0,INDEX(CR$7:CR$106,$AE92),1),IF($AF92&gt;0,INDEX(CR$7:CR$106,$AF92),1),IF($AG92&gt;0,INDEX(CR$7:CR$106,$AG92),1),IF($AH92&gt;0,INDEX(CR$7:CR$106,$AH92),1),IF($AI92&gt;0,INDEX(CR$7:CR$106,$AI92),1),IF($AJ92&gt;0,INDEX(CR$7:CR$106,$AJ92),1))))</ns0:f>
        <ns0:v>1</ns0:v>
      </ns0:c>
      <ns0:c r="CT92" t="n">
        <ns0:f>IF($A92="",1,IF(CS92=1,1,--AND(IF($AC92&gt;0,INDEX(CS$7:CS$106,$AC92),1),IF($AD92&gt;0,INDEX(CS$7:CS$106,$AD92),1),IF($AE92&gt;0,INDEX(CS$7:CS$106,$AE92),1),IF($AF92&gt;0,INDEX(CS$7:CS$106,$AF92),1),IF($AG92&gt;0,INDEX(CS$7:CS$106,$AG92),1),IF($AH92&gt;0,INDEX(CS$7:CS$106,$AH92),1),IF($AI92&gt;0,INDEX(CS$7:CS$106,$AI92),1),IF($AJ92&gt;0,INDEX(CS$7:CS$106,$AJ92),1))))</ns0:f>
        <ns0:v>1</ns0:v>
      </ns0:c>
      <ns0:c r="CU92" t="n">
        <ns0:f>IF($A92="",1,IF(CT92=1,1,--AND(IF($AC92&gt;0,INDEX(CT$7:CT$106,$AC92),1),IF($AD92&gt;0,INDEX(CT$7:CT$106,$AD92),1),IF($AE92&gt;0,INDEX(CT$7:CT$106,$AE92),1),IF($AF92&gt;0,INDEX(CT$7:CT$106,$AF92),1),IF($AG92&gt;0,INDEX(CT$7:CT$106,$AG92),1),IF($AH92&gt;0,INDEX(CT$7:CT$106,$AH92),1),IF($AI92&gt;0,INDEX(CT$7:CT$106,$AI92),1),IF($AJ92&gt;0,INDEX(CT$7:CT$106,$AJ92),1))))</ns0:f>
        <ns0:v>1</ns0:v>
      </ns0:c>
      <ns0:c r="CV92" t="n">
        <ns0:f>IF($A92="",1,IF(CU92=1,1,--AND(IF($AC92&gt;0,INDEX(CU$7:CU$106,$AC92),1),IF($AD92&gt;0,INDEX(CU$7:CU$106,$AD92),1),IF($AE92&gt;0,INDEX(CU$7:CU$106,$AE92),1),IF($AF92&gt;0,INDEX(CU$7:CU$106,$AF92),1),IF($AG92&gt;0,INDEX(CU$7:CU$106,$AG92),1),IF($AH92&gt;0,INDEX(CU$7:CU$106,$AH92),1),IF($AI92&gt;0,INDEX(CU$7:CU$106,$AI92),1),IF($AJ92&gt;0,INDEX(CU$7:CU$106,$AJ92),1))))</ns0:f>
        <ns0:v>1</ns0:v>
      </ns0:c>
      <ns0:c r="CW92" t="n">
        <ns0:f>IF($A92="",1,IF(CV92=1,1,--AND(IF($AC92&gt;0,INDEX(CV$7:CV$106,$AC92),1),IF($AD92&gt;0,INDEX(CV$7:CV$106,$AD92),1),IF($AE92&gt;0,INDEX(CV$7:CV$106,$AE92),1),IF($AF92&gt;0,INDEX(CV$7:CV$106,$AF92),1),IF($AG92&gt;0,INDEX(CV$7:CV$106,$AG92),1),IF($AH92&gt;0,INDEX(CV$7:CV$106,$AH92),1),IF($AI92&gt;0,INDEX(CV$7:CV$106,$AI92),1),IF($AJ92&gt;0,INDEX(CV$7:CV$106,$AJ92),1))))</ns0:f>
        <ns0:v>1</ns0:v>
      </ns0:c>
      <ns0:c r="CX92" t="n">
        <ns0:f>IF($A92="",1,IF(CW92=1,1,--AND(IF($AC92&gt;0,INDEX(CW$7:CW$106,$AC92),1),IF($AD92&gt;0,INDEX(CW$7:CW$106,$AD92),1),IF($AE92&gt;0,INDEX(CW$7:CW$106,$AE92),1),IF($AF92&gt;0,INDEX(CW$7:CW$106,$AF92),1),IF($AG92&gt;0,INDEX(CW$7:CW$106,$AG92),1),IF($AH92&gt;0,INDEX(CW$7:CW$106,$AH92),1),IF($AI92&gt;0,INDEX(CW$7:CW$106,$AI92),1),IF($AJ92&gt;0,INDEX(CW$7:CW$106,$AJ92),1))))</ns0:f>
        <ns0:v>1</ns0:v>
      </ns0:c>
      <ns0:c r="CY92" t="n">
        <ns0:f>IF($A92="",1,IF(CX92=1,1,--AND(IF($AC92&gt;0,INDEX(CX$7:CX$106,$AC92),1),IF($AD92&gt;0,INDEX(CX$7:CX$106,$AD92),1),IF($AE92&gt;0,INDEX(CX$7:CX$106,$AE92),1),IF($AF92&gt;0,INDEX(CX$7:CX$106,$AF92),1),IF($AG92&gt;0,INDEX(CX$7:CX$106,$AG92),1),IF($AH92&gt;0,INDEX(CX$7:CX$106,$AH92),1),IF($AI92&gt;0,INDEX(CX$7:CX$106,$AI92),1),IF($AJ92&gt;0,INDEX(CX$7:CX$106,$AJ92),1))))</ns0:f>
        <ns0:v>1</ns0:v>
      </ns0:c>
      <ns0:c r="CZ92" t="n">
        <ns0:f>IF($A92="",1,IF(CY92=1,1,--AND(IF($AC92&gt;0,INDEX(CY$7:CY$106,$AC92),1),IF($AD92&gt;0,INDEX(CY$7:CY$106,$AD92),1),IF($AE92&gt;0,INDEX(CY$7:CY$106,$AE92),1),IF($AF92&gt;0,INDEX(CY$7:CY$106,$AF92),1),IF($AG92&gt;0,INDEX(CY$7:CY$106,$AG92),1),IF($AH92&gt;0,INDEX(CY$7:CY$106,$AH92),1),IF($AI92&gt;0,INDEX(CY$7:CY$106,$AI92),1),IF($AJ92&gt;0,INDEX(CY$7:CY$106,$AJ92),1))))</ns0:f>
        <ns0:v>1</ns0:v>
      </ns0:c>
      <ns0:c r="DA92" t="n">
        <ns0:f>IF($A92="",1,IF(CZ92=1,1,--AND(IF($AC92&gt;0,INDEX(CZ$7:CZ$106,$AC92),1),IF($AD92&gt;0,INDEX(CZ$7:CZ$106,$AD92),1),IF($AE92&gt;0,INDEX(CZ$7:CZ$106,$AE92),1),IF($AF92&gt;0,INDEX(CZ$7:CZ$106,$AF92),1),IF($AG92&gt;0,INDEX(CZ$7:CZ$106,$AG92),1),IF($AH92&gt;0,INDEX(CZ$7:CZ$106,$AH92),1),IF($AI92&gt;0,INDEX(CZ$7:CZ$106,$AI92),1),IF($AJ92&gt;0,INDEX(CZ$7:CZ$106,$AJ92),1))))</ns0:f>
        <ns0:v>1</ns0:v>
      </ns0:c>
      <ns0:c r="DB92" t="n">
        <ns0:f>IF($A92="",1,IF(DA92=1,1,--AND(IF($AC92&gt;0,INDEX(DA$7:DA$106,$AC92),1),IF($AD92&gt;0,INDEX(DA$7:DA$106,$AD92),1),IF($AE92&gt;0,INDEX(DA$7:DA$106,$AE92),1),IF($AF92&gt;0,INDEX(DA$7:DA$106,$AF92),1),IF($AG92&gt;0,INDEX(DA$7:DA$106,$AG92),1),IF($AH92&gt;0,INDEX(DA$7:DA$106,$AH92),1),IF($AI92&gt;0,INDEX(DA$7:DA$106,$AI92),1),IF($AJ92&gt;0,INDEX(DA$7:DA$106,$AJ92),1))))</ns0:f>
        <ns0:v>1</ns0:v>
      </ns0:c>
      <ns0:c r="DC92" t="n">
        <ns0:f>IF($A92="",1,IF(DB92=1,1,--AND(IF($AC92&gt;0,INDEX(DB$7:DB$106,$AC92),1),IF($AD92&gt;0,INDEX(DB$7:DB$106,$AD92),1),IF($AE92&gt;0,INDEX(DB$7:DB$106,$AE92),1),IF($AF92&gt;0,INDEX(DB$7:DB$106,$AF92),1),IF($AG92&gt;0,INDEX(DB$7:DB$106,$AG92),1),IF($AH92&gt;0,INDEX(DB$7:DB$106,$AH92),1),IF($AI92&gt;0,INDEX(DB$7:DB$106,$AI92),1),IF($AJ92&gt;0,INDEX(DB$7:DB$106,$AJ92),1))))</ns0:f>
        <ns0:v>1</ns0:v>
      </ns0:c>
      <ns0:c r="DD92" t="n">
        <ns0:f>IF($A92="",1,IF(DC92=1,1,--AND(IF($AC92&gt;0,INDEX(DC$7:DC$106,$AC92),1),IF($AD92&gt;0,INDEX(DC$7:DC$106,$AD92),1),IF($AE92&gt;0,INDEX(DC$7:DC$106,$AE92),1),IF($AF92&gt;0,INDEX(DC$7:DC$106,$AF92),1),IF($AG92&gt;0,INDEX(DC$7:DC$106,$AG92),1),IF($AH92&gt;0,INDEX(DC$7:DC$106,$AH92),1),IF($AI92&gt;0,INDEX(DC$7:DC$106,$AI92),1),IF($AJ92&gt;0,INDEX(DC$7:DC$106,$AJ92),1))))</ns0:f>
        <ns0:v>1</ns0:v>
      </ns0:c>
      <ns0:c r="DE92" t="n">
        <ns0:f>IF($A92="",1,IF(DD92=1,1,--AND(IF($AC92&gt;0,INDEX(DD$7:DD$106,$AC92),1),IF($AD92&gt;0,INDEX(DD$7:DD$106,$AD92),1),IF($AE92&gt;0,INDEX(DD$7:DD$106,$AE92),1),IF($AF92&gt;0,INDEX(DD$7:DD$106,$AF92),1),IF($AG92&gt;0,INDEX(DD$7:DD$106,$AG92),1),IF($AH92&gt;0,INDEX(DD$7:DD$106,$AH92),1),IF($AI92&gt;0,INDEX(DD$7:DD$106,$AI92),1),IF($AJ92&gt;0,INDEX(DD$7:DD$106,$AJ92),1))))</ns0:f>
        <ns0:v>1</ns0:v>
      </ns0:c>
      <ns0:c r="DF92" t="n">
        <ns0:f>IF($A92="",1,IF(DE92=1,1,--AND(IF($AC92&gt;0,INDEX(DE$7:DE$106,$AC92),1),IF($AD92&gt;0,INDEX(DE$7:DE$106,$AD92),1),IF($AE92&gt;0,INDEX(DE$7:DE$106,$AE92),1),IF($AF92&gt;0,INDEX(DE$7:DE$106,$AF92),1),IF($AG92&gt;0,INDEX(DE$7:DE$106,$AG92),1),IF($AH92&gt;0,INDEX(DE$7:DE$106,$AH92),1),IF($AI92&gt;0,INDEX(DE$7:DE$106,$AI92),1),IF($AJ92&gt;0,INDEX(DE$7:DE$106,$AJ92),1))))</ns0:f>
        <ns0:v>1</ns0:v>
      </ns0:c>
      <ns0:c r="DG92" t="n">
        <ns0:f>IF($A92="",1,IF(DF92=1,1,--AND(IF($AC92&gt;0,INDEX(DF$7:DF$106,$AC92),1),IF($AD92&gt;0,INDEX(DF$7:DF$106,$AD92),1),IF($AE92&gt;0,INDEX(DF$7:DF$106,$AE92),1),IF($AF92&gt;0,INDEX(DF$7:DF$106,$AF92),1),IF($AG92&gt;0,INDEX(DF$7:DF$106,$AG92),1),IF($AH92&gt;0,INDEX(DF$7:DF$106,$AH92),1),IF($AI92&gt;0,INDEX(DF$7:DF$106,$AI92),1),IF($AJ92&gt;0,INDEX(DF$7:DF$106,$AJ92),1))))</ns0:f>
        <ns0:v>1</ns0:v>
      </ns0:c>
      <ns0:c r="DH92" t="n">
        <ns0:f>IF($A92="",1,IF(DG92=1,1,--AND(IF($AC92&gt;0,INDEX(DG$7:DG$106,$AC92),1),IF($AD92&gt;0,INDEX(DG$7:DG$106,$AD92),1),IF($AE92&gt;0,INDEX(DG$7:DG$106,$AE92),1),IF($AF92&gt;0,INDEX(DG$7:DG$106,$AF92),1),IF($AG92&gt;0,INDEX(DG$7:DG$106,$AG92),1),IF($AH92&gt;0,INDEX(DG$7:DG$106,$AH92),1),IF($AI92&gt;0,INDEX(DG$7:DG$106,$AI92),1),IF($AJ92&gt;0,INDEX(DG$7:DG$106,$AJ92),1))))</ns0:f>
        <ns0:v>1</ns0:v>
      </ns0:c>
      <ns0:c r="DI92" t="n">
        <ns0:f>IF($A92="",1,IF(DH92=1,1,--AND(IF($AC92&gt;0,INDEX(DH$7:DH$106,$AC92),1),IF($AD92&gt;0,INDEX(DH$7:DH$106,$AD92),1),IF($AE92&gt;0,INDEX(DH$7:DH$106,$AE92),1),IF($AF92&gt;0,INDEX(DH$7:DH$106,$AF92),1),IF($AG92&gt;0,INDEX(DH$7:DH$106,$AG92),1),IF($AH92&gt;0,INDEX(DH$7:DH$106,$AH92),1),IF($AI92&gt;0,INDEX(DH$7:DH$106,$AI92),1),IF($AJ92&gt;0,INDEX(DH$7:DH$106,$AJ92),1))))</ns0:f>
        <ns0:v>1</ns0:v>
      </ns0:c>
      <ns0:c r="DJ92" t="n">
        <ns0:f>IF($A92="",1,IF(DI92=1,1,--AND(IF($AC92&gt;0,INDEX(DI$7:DI$106,$AC92),1),IF($AD92&gt;0,INDEX(DI$7:DI$106,$AD92),1),IF($AE92&gt;0,INDEX(DI$7:DI$106,$AE92),1),IF($AF92&gt;0,INDEX(DI$7:DI$106,$AF92),1),IF($AG92&gt;0,INDEX(DI$7:DI$106,$AG92),1),IF($AH92&gt;0,INDEX(DI$7:DI$106,$AH92),1),IF($AI92&gt;0,INDEX(DI$7:DI$106,$AI92),1),IF($AJ92&gt;0,INDEX(DI$7:DI$106,$AJ92),1))))</ns0:f>
        <ns0:v>1</ns0:v>
      </ns0:c>
      <ns0:c r="DK92" t="n">
        <ns0:f>IF($A92="",1,IF(DJ92=1,1,--AND(IF($AC92&gt;0,INDEX(DJ$7:DJ$106,$AC92),1),IF($AD92&gt;0,INDEX(DJ$7:DJ$106,$AD92),1),IF($AE92&gt;0,INDEX(DJ$7:DJ$106,$AE92),1),IF($AF92&gt;0,INDEX(DJ$7:DJ$106,$AF92),1),IF($AG92&gt;0,INDEX(DJ$7:DJ$106,$AG92),1),IF($AH92&gt;0,INDEX(DJ$7:DJ$106,$AH92),1),IF($AI92&gt;0,INDEX(DJ$7:DJ$106,$AI92),1),IF($AJ92&gt;0,INDEX(DJ$7:DJ$106,$AJ92),1))))</ns0:f>
        <ns0:v>1</ns0:v>
      </ns0:c>
      <ns0:c r="DL92" t="n">
        <ns0:f>IF($A92="",1,IF(DK92=1,1,--AND(IF($AC92&gt;0,INDEX(DK$7:DK$106,$AC92),1),IF($AD92&gt;0,INDEX(DK$7:DK$106,$AD92),1),IF($AE92&gt;0,INDEX(DK$7:DK$106,$AE92),1),IF($AF92&gt;0,INDEX(DK$7:DK$106,$AF92),1),IF($AG92&gt;0,INDEX(DK$7:DK$106,$AG92),1),IF($AH92&gt;0,INDEX(DK$7:DK$106,$AH92),1),IF($AI92&gt;0,INDEX(DK$7:DK$106,$AI92),1),IF($AJ92&gt;0,INDEX(DK$7:DK$106,$AJ92),1))))</ns0:f>
        <ns0:v>1</ns0:v>
      </ns0:c>
      <ns0:c r="DM92" t="n">
        <ns0:f>IF($A92="",1,IF(DL92=1,1,--AND(IF($AC92&gt;0,INDEX(DL$7:DL$106,$AC92),1),IF($AD92&gt;0,INDEX(DL$7:DL$106,$AD92),1),IF($AE92&gt;0,INDEX(DL$7:DL$106,$AE92),1),IF($AF92&gt;0,INDEX(DL$7:DL$106,$AF92),1),IF($AG92&gt;0,INDEX(DL$7:DL$106,$AG92),1),IF($AH92&gt;0,INDEX(DL$7:DL$106,$AH92),1),IF($AI92&gt;0,INDEX(DL$7:DL$106,$AI92),1),IF($AJ92&gt;0,INDEX(DL$7:DL$106,$AJ92),1))))</ns0:f>
        <ns0:v>1</ns0:v>
      </ns0:c>
      <ns0:c r="DN92" t="n">
        <ns0:f>IF($A92="",1,IF(DM92=1,1,--AND(IF($AC92&gt;0,INDEX(DM$7:DM$106,$AC92),1),IF($AD92&gt;0,INDEX(DM$7:DM$106,$AD92),1),IF($AE92&gt;0,INDEX(DM$7:DM$106,$AE92),1),IF($AF92&gt;0,INDEX(DM$7:DM$106,$AF92),1),IF($AG92&gt;0,INDEX(DM$7:DM$106,$AG92),1),IF($AH92&gt;0,INDEX(DM$7:DM$106,$AH92),1),IF($AI92&gt;0,INDEX(DM$7:DM$106,$AI92),1),IF($AJ92&gt;0,INDEX(DM$7:DM$106,$AJ92),1))))</ns0:f>
        <ns0:v>1</ns0:v>
      </ns0:c>
      <ns0:c r="DO92" t="n">
        <ns0:f>IF($A92="",1,IF(DN92=1,1,--AND(IF($AC92&gt;0,INDEX(DN$7:DN$106,$AC92),1),IF($AD92&gt;0,INDEX(DN$7:DN$106,$AD92),1),IF($AE92&gt;0,INDEX(DN$7:DN$106,$AE92),1),IF($AF92&gt;0,INDEX(DN$7:DN$106,$AF92),1),IF($AG92&gt;0,INDEX(DN$7:DN$106,$AG92),1),IF($AH92&gt;0,INDEX(DN$7:DN$106,$AH92),1),IF($AI92&gt;0,INDEX(DN$7:DN$106,$AI92),1),IF($AJ92&gt;0,INDEX(DN$7:DN$106,$AJ92),1))))</ns0:f>
        <ns0:v>1</ns0:v>
      </ns0:c>
      <ns0:c r="DP92" t="n">
        <ns0:f>IF($A92="",1,IF(DO92=1,1,--AND(IF($AC92&gt;0,INDEX(DO$7:DO$106,$AC92),1),IF($AD92&gt;0,INDEX(DO$7:DO$106,$AD92),1),IF($AE92&gt;0,INDEX(DO$7:DO$106,$AE92),1),IF($AF92&gt;0,INDEX(DO$7:DO$106,$AF92),1),IF($AG92&gt;0,INDEX(DO$7:DO$106,$AG92),1),IF($AH92&gt;0,INDEX(DO$7:DO$106,$AH92),1),IF($AI92&gt;0,INDEX(DO$7:DO$106,$AI92),1),IF($AJ92&gt;0,INDEX(DO$7:DO$106,$AJ92),1))))</ns0:f>
        <ns0:v>1</ns0:v>
      </ns0:c>
      <ns0:c r="DQ92" t="n">
        <ns0:f>IF($A92="",1,IF(DP92=1,1,--AND(IF($AC92&gt;0,INDEX(DP$7:DP$106,$AC92),1),IF($AD92&gt;0,INDEX(DP$7:DP$106,$AD92),1),IF($AE92&gt;0,INDEX(DP$7:DP$106,$AE92),1),IF($AF92&gt;0,INDEX(DP$7:DP$106,$AF92),1),IF($AG92&gt;0,INDEX(DP$7:DP$106,$AG92),1),IF($AH92&gt;0,INDEX(DP$7:DP$106,$AH92),1),IF($AI92&gt;0,INDEX(DP$7:DP$106,$AI92),1),IF($AJ92&gt;0,INDEX(DP$7:DP$106,$AJ92),1))))</ns0:f>
        <ns0:v>1</ns0:v>
      </ns0:c>
      <ns0:c r="DR92" t="n">
        <ns0:f>IF($A92="",1,IF(DQ92=1,1,--AND(IF($AC92&gt;0,INDEX(DQ$7:DQ$106,$AC92),1),IF($AD92&gt;0,INDEX(DQ$7:DQ$106,$AD92),1),IF($AE92&gt;0,INDEX(DQ$7:DQ$106,$AE92),1),IF($AF92&gt;0,INDEX(DQ$7:DQ$106,$AF92),1),IF($AG92&gt;0,INDEX(DQ$7:DQ$106,$AG92),1),IF($AH92&gt;0,INDEX(DQ$7:DQ$106,$AH92),1),IF($AI92&gt;0,INDEX(DQ$7:DQ$106,$AI92),1),IF($AJ92&gt;0,INDEX(DQ$7:DQ$106,$AJ92),1))))</ns0:f>
        <ns0:v>1</ns0:v>
      </ns0:c>
      <ns0:c r="DS92" t="n">
        <ns0:f>IF($A92="",1,IF(DR92=1,1,--AND(IF($AC92&gt;0,INDEX(DR$7:DR$106,$AC92),1),IF($AD92&gt;0,INDEX(DR$7:DR$106,$AD92),1),IF($AE92&gt;0,INDEX(DR$7:DR$106,$AE92),1),IF($AF92&gt;0,INDEX(DR$7:DR$106,$AF92),1),IF($AG92&gt;0,INDEX(DR$7:DR$106,$AG92),1),IF($AH92&gt;0,INDEX(DR$7:DR$106,$AH92),1),IF($AI92&gt;0,INDEX(DR$7:DR$106,$AI92),1),IF($AJ92&gt;0,INDEX(DR$7:DR$106,$AJ92),1))))</ns0:f>
        <ns0:v>1</ns0:v>
      </ns0:c>
      <ns0:c r="DT92" t="n">
        <ns0:f>IF($A92="",1,IF(DS92=1,1,--AND(IF($AC92&gt;0,INDEX(DS$7:DS$106,$AC92),1),IF($AD92&gt;0,INDEX(DS$7:DS$106,$AD92),1),IF($AE92&gt;0,INDEX(DS$7:DS$106,$AE92),1),IF($AF92&gt;0,INDEX(DS$7:DS$106,$AF92),1),IF($AG92&gt;0,INDEX(DS$7:DS$106,$AG92),1),IF($AH92&gt;0,INDEX(DS$7:DS$106,$AH92),1),IF($AI92&gt;0,INDEX(DS$7:DS$106,$AI92),1),IF($AJ92&gt;0,INDEX(DS$7:DS$106,$AJ92),1))))</ns0:f>
        <ns0:v>1</ns0:v>
      </ns0:c>
      <ns0:c r="DU92" t="n">
        <ns0:f>IF($A92="",1,IF(DT92=1,1,--AND(IF($AC92&gt;0,INDEX(DT$7:DT$106,$AC92),1),IF($AD92&gt;0,INDEX(DT$7:DT$106,$AD92),1),IF($AE92&gt;0,INDEX(DT$7:DT$106,$AE92),1),IF($AF92&gt;0,INDEX(DT$7:DT$106,$AF92),1),IF($AG92&gt;0,INDEX(DT$7:DT$106,$AG92),1),IF($AH92&gt;0,INDEX(DT$7:DT$106,$AH92),1),IF($AI92&gt;0,INDEX(DT$7:DT$106,$AI92),1),IF($AJ92&gt;0,INDEX(DT$7:DT$106,$AJ92),1))))</ns0:f>
        <ns0:v>1</ns0:v>
      </ns0:c>
      <ns0:c r="DV92" t="n">
        <ns0:f>IF($A92="",1,IF(DU92=1,1,--AND(IF($AC92&gt;0,INDEX(DU$7:DU$106,$AC92),1),IF($AD92&gt;0,INDEX(DU$7:DU$106,$AD92),1),IF($AE92&gt;0,INDEX(DU$7:DU$106,$AE92),1),IF($AF92&gt;0,INDEX(DU$7:DU$106,$AF92),1),IF($AG92&gt;0,INDEX(DU$7:DU$106,$AG92),1),IF($AH92&gt;0,INDEX(DU$7:DU$106,$AH92),1),IF($AI92&gt;0,INDEX(DU$7:DU$106,$AI92),1),IF($AJ92&gt;0,INDEX(DU$7:DU$106,$AJ92),1))))</ns0:f>
        <ns0:v>1</ns0:v>
      </ns0:c>
      <ns0:c r="DW92" t="n">
        <ns0:f>IF($A92="",1,IF(DV92=1,1,--AND(IF($AC92&gt;0,INDEX(DV$7:DV$106,$AC92),1),IF($AD92&gt;0,INDEX(DV$7:DV$106,$AD92),1),IF($AE92&gt;0,INDEX(DV$7:DV$106,$AE92),1),IF($AF92&gt;0,INDEX(DV$7:DV$106,$AF92),1),IF($AG92&gt;0,INDEX(DV$7:DV$106,$AG92),1),IF($AH92&gt;0,INDEX(DV$7:DV$106,$AH92),1),IF($AI92&gt;0,INDEX(DV$7:DV$106,$AI92),1),IF($AJ92&gt;0,INDEX(DV$7:DV$106,$AJ92),1))))</ns0:f>
        <ns0:v>1</ns0:v>
      </ns0:c>
      <ns0:c r="DX92" t="n">
        <ns0:f>IF($A92="",1,IF(DW92=1,1,--AND(IF($AC92&gt;0,INDEX(DW$7:DW$106,$AC92),1),IF($AD92&gt;0,INDEX(DW$7:DW$106,$AD92),1),IF($AE92&gt;0,INDEX(DW$7:DW$106,$AE92),1),IF($AF92&gt;0,INDEX(DW$7:DW$106,$AF92),1),IF($AG92&gt;0,INDEX(DW$7:DW$106,$AG92),1),IF($AH92&gt;0,INDEX(DW$7:DW$106,$AH92),1),IF($AI92&gt;0,INDEX(DW$7:DW$106,$AI92),1),IF($AJ92&gt;0,INDEX(DW$7:DW$106,$AJ92),1))))</ns0:f>
        <ns0:v>1</ns0:v>
      </ns0:c>
      <ns0:c r="DY92" t="n">
        <ns0:f>IF($A92="",1,IF(DX92=1,1,--AND(IF($AC92&gt;0,INDEX(DX$7:DX$106,$AC92),1),IF($AD92&gt;0,INDEX(DX$7:DX$106,$AD92),1),IF($AE92&gt;0,INDEX(DX$7:DX$106,$AE92),1),IF($AF92&gt;0,INDEX(DX$7:DX$106,$AF92),1),IF($AG92&gt;0,INDEX(DX$7:DX$106,$AG92),1),IF($AH92&gt;0,INDEX(DX$7:DX$106,$AH92),1),IF($AI92&gt;0,INDEX(DX$7:DX$106,$AI92),1),IF($AJ92&gt;0,INDEX(DX$7:DX$106,$AJ92),1))))</ns0:f>
        <ns0:v>1</ns0:v>
      </ns0:c>
      <ns0:c r="DZ92" t="n">
        <ns0:f>IF($A92="",1,IF(DY92=1,1,--AND(IF($AC92&gt;0,INDEX(DY$7:DY$106,$AC92),1),IF($AD92&gt;0,INDEX(DY$7:DY$106,$AD92),1),IF($AE92&gt;0,INDEX(DY$7:DY$106,$AE92),1),IF($AF92&gt;0,INDEX(DY$7:DY$106,$AF92),1),IF($AG92&gt;0,INDEX(DY$7:DY$106,$AG92),1),IF($AH92&gt;0,INDEX(DY$7:DY$106,$AH92),1),IF($AI92&gt;0,INDEX(DY$7:DY$106,$AI92),1),IF($AJ92&gt;0,INDEX(DY$7:DY$106,$AJ92),1))))</ns0:f>
        <ns0:v>1</ns0:v>
      </ns0:c>
      <ns0:c r="EA92" t="n">
        <ns0:f>IF($A92="",1,IF(DZ92=1,1,--AND(IF($AC92&gt;0,INDEX(DZ$7:DZ$106,$AC92),1),IF($AD92&gt;0,INDEX(DZ$7:DZ$106,$AD92),1),IF($AE92&gt;0,INDEX(DZ$7:DZ$106,$AE92),1),IF($AF92&gt;0,INDEX(DZ$7:DZ$106,$AF92),1),IF($AG92&gt;0,INDEX(DZ$7:DZ$106,$AG92),1),IF($AH92&gt;0,INDEX(DZ$7:DZ$106,$AH92),1),IF($AI92&gt;0,INDEX(DZ$7:DZ$106,$AI92),1),IF($AJ92&gt;0,INDEX(DZ$7:DZ$106,$AJ92),1))))</ns0:f>
        <ns0:v>1</ns0:v>
      </ns0:c>
      <ns0:c r="EB92" t="n">
        <ns0:f>IF($A92="",1,IF(EA92=1,1,--AND(IF($AC92&gt;0,INDEX(EA$7:EA$106,$AC92),1),IF($AD92&gt;0,INDEX(EA$7:EA$106,$AD92),1),IF($AE92&gt;0,INDEX(EA$7:EA$106,$AE92),1),IF($AF92&gt;0,INDEX(EA$7:EA$106,$AF92),1),IF($AG92&gt;0,INDEX(EA$7:EA$106,$AG92),1),IF($AH92&gt;0,INDEX(EA$7:EA$106,$AH92),1),IF($AI92&gt;0,INDEX(EA$7:EA$106,$AI92),1),IF($AJ92&gt;0,INDEX(EA$7:EA$106,$AJ92),1))))</ns0:f>
        <ns0:v>1</ns0:v>
      </ns0:c>
      <ns0:c r="EC92" t="n">
        <ns0:f>IF($A92="",1,IF(EB92=1,1,--AND(IF($AC92&gt;0,INDEX(EB$7:EB$106,$AC92),1),IF($AD92&gt;0,INDEX(EB$7:EB$106,$AD92),1),IF($AE92&gt;0,INDEX(EB$7:EB$106,$AE92),1),IF($AF92&gt;0,INDEX(EB$7:EB$106,$AF92),1),IF($AG92&gt;0,INDEX(EB$7:EB$106,$AG92),1),IF($AH92&gt;0,INDEX(EB$7:EB$106,$AH92),1),IF($AI92&gt;0,INDEX(EB$7:EB$106,$AI92),1),IF($AJ92&gt;0,INDEX(EB$7:EB$106,$AJ92),1))))</ns0:f>
        <ns0:v>1</ns0:v>
      </ns0:c>
      <ns0:c r="ED92" t="n">
        <ns0:f>IF($A92="",1,IF(EC92=1,1,--AND(IF($AC92&gt;0,INDEX(EC$7:EC$106,$AC92),1),IF($AD92&gt;0,INDEX(EC$7:EC$106,$AD92),1),IF($AE92&gt;0,INDEX(EC$7:EC$106,$AE92),1),IF($AF92&gt;0,INDEX(EC$7:EC$106,$AF92),1),IF($AG92&gt;0,INDEX(EC$7:EC$106,$AG92),1),IF($AH92&gt;0,INDEX(EC$7:EC$106,$AH92),1),IF($AI92&gt;0,INDEX(EC$7:EC$106,$AI92),1),IF($AJ92&gt;0,INDEX(EC$7:EC$106,$AJ92),1))))</ns0:f>
        <ns0:v>1</ns0:v>
      </ns0:c>
      <ns0:c r="EE92" t="n">
        <ns0:f>IF($A92="",1,IF(ED92=1,1,--AND(IF($AC92&gt;0,INDEX(ED$7:ED$106,$AC92),1),IF($AD92&gt;0,INDEX(ED$7:ED$106,$AD92),1),IF($AE92&gt;0,INDEX(ED$7:ED$106,$AE92),1),IF($AF92&gt;0,INDEX(ED$7:ED$106,$AF92),1),IF($AG92&gt;0,INDEX(ED$7:ED$106,$AG92),1),IF($AH92&gt;0,INDEX(ED$7:ED$106,$AH92),1),IF($AI92&gt;0,INDEX(ED$7:ED$106,$AI92),1),IF($AJ92&gt;0,INDEX(ED$7:ED$106,$AJ92),1))))</ns0:f>
        <ns0:v>1</ns0:v>
      </ns0:c>
      <ns0:c r="EF92" t="n">
        <ns0:f>IF($A92="",1,IF(EE92=1,1,--AND(IF($AC92&gt;0,INDEX(EE$7:EE$106,$AC92),1),IF($AD92&gt;0,INDEX(EE$7:EE$106,$AD92),1),IF($AE92&gt;0,INDEX(EE$7:EE$106,$AE92),1),IF($AF92&gt;0,INDEX(EE$7:EE$106,$AF92),1),IF($AG92&gt;0,INDEX(EE$7:EE$106,$AG92),1),IF($AH92&gt;0,INDEX(EE$7:EE$106,$AH92),1),IF($AI92&gt;0,INDEX(EE$7:EE$106,$AI92),1),IF($AJ92&gt;0,INDEX(EE$7:EE$106,$AJ92),1))))</ns0:f>
        <ns0:v>1</ns0:v>
      </ns0:c>
      <ns0:c r="EG92" t="n">
        <ns0:f>IF($A92="",1,IF(EF92=1,1,--AND(IF($AC92&gt;0,INDEX(EF$7:EF$106,$AC92),1),IF($AD92&gt;0,INDEX(EF$7:EF$106,$AD92),1),IF($AE92&gt;0,INDEX(EF$7:EF$106,$AE92),1),IF($AF92&gt;0,INDEX(EF$7:EF$106,$AF92),1),IF($AG92&gt;0,INDEX(EF$7:EF$106,$AG92),1),IF($AH92&gt;0,INDEX(EF$7:EF$106,$AH92),1),IF($AI92&gt;0,INDEX(EF$7:EF$106,$AI92),1),IF($AJ92&gt;0,INDEX(EF$7:EF$106,$AJ92),1))))</ns0:f>
        <ns0:v>1</ns0:v>
      </ns0:c>
      <ns0:c r="EH92" t="n">
        <ns0:f>IF($A92="",1,IF(EG92=1,1,--AND(IF($AC92&gt;0,INDEX(EG$7:EG$106,$AC92),1),IF($AD92&gt;0,INDEX(EG$7:EG$106,$AD92),1),IF($AE92&gt;0,INDEX(EG$7:EG$106,$AE92),1),IF($AF92&gt;0,INDEX(EG$7:EG$106,$AF92),1),IF($AG92&gt;0,INDEX(EG$7:EG$106,$AG92),1),IF($AH92&gt;0,INDEX(EG$7:EG$106,$AH92),1),IF($AI92&gt;0,INDEX(EG$7:EG$106,$AI92),1),IF($AJ92&gt;0,INDEX(EG$7:EG$106,$AJ92),1))))</ns0:f>
        <ns0:v>1</ns0:v>
      </ns0:c>
      <ns0:c r="EI92" t="n">
        <ns0:f>IF($A92="",1,IF(EH92=1,1,--AND(IF($AC92&gt;0,INDEX(EH$7:EH$106,$AC92),1),IF($AD92&gt;0,INDEX(EH$7:EH$106,$AD92),1),IF($AE92&gt;0,INDEX(EH$7:EH$106,$AE92),1),IF($AF92&gt;0,INDEX(EH$7:EH$106,$AF92),1),IF($AG92&gt;0,INDEX(EH$7:EH$106,$AG92),1),IF($AH92&gt;0,INDEX(EH$7:EH$106,$AH92),1),IF($AI92&gt;0,INDEX(EH$7:EH$106,$AI92),1),IF($AJ92&gt;0,INDEX(EH$7:EH$106,$AJ92),1))))</ns0:f>
        <ns0:v>1</ns0:v>
      </ns0:c>
      <ns0:c r="EJ92" t="n">
        <ns0:f>IF($A92="",1,IF(EI92=1,1,--AND(IF($AC92&gt;0,INDEX(EI$7:EI$106,$AC92),1),IF($AD92&gt;0,INDEX(EI$7:EI$106,$AD92),1),IF($AE92&gt;0,INDEX(EI$7:EI$106,$AE92),1),IF($AF92&gt;0,INDEX(EI$7:EI$106,$AF92),1),IF($AG92&gt;0,INDEX(EI$7:EI$106,$AG92),1),IF($AH92&gt;0,INDEX(EI$7:EI$106,$AH92),1),IF($AI92&gt;0,INDEX(EI$7:EI$106,$AI92),1),IF($AJ92&gt;0,INDEX(EI$7:EI$106,$AJ92),1))))</ns0:f>
        <ns0:v>1</ns0:v>
      </ns0:c>
      <ns0:c r="EK92" t="n">
        <ns0:f>IF($A92="",1,IF(EJ92=1,1,--AND(IF($AC92&gt;0,INDEX(EJ$7:EJ$106,$AC92),1),IF($AD92&gt;0,INDEX(EJ$7:EJ$106,$AD92),1),IF($AE92&gt;0,INDEX(EJ$7:EJ$106,$AE92),1),IF($AF92&gt;0,INDEX(EJ$7:EJ$106,$AF92),1),IF($AG92&gt;0,INDEX(EJ$7:EJ$106,$AG92),1),IF($AH92&gt;0,INDEX(EJ$7:EJ$106,$AH92),1),IF($AI92&gt;0,INDEX(EJ$7:EJ$106,$AI92),1),IF($AJ92&gt;0,INDEX(EJ$7:EJ$106,$AJ92),1))))</ns0:f>
        <ns0:v>1</ns0:v>
      </ns0:c>
      <ns0:c r="EL92" t="n">
        <ns0:f>IF($A92="",1,IF(EK92=1,1,--AND(IF($AC92&gt;0,INDEX(EK$7:EK$106,$AC92),1),IF($AD92&gt;0,INDEX(EK$7:EK$106,$AD92),1),IF($AE92&gt;0,INDEX(EK$7:EK$106,$AE92),1),IF($AF92&gt;0,INDEX(EK$7:EK$106,$AF92),1),IF($AG92&gt;0,INDEX(EK$7:EK$106,$AG92),1),IF($AH92&gt;0,INDEX(EK$7:EK$106,$AH92),1),IF($AI92&gt;0,INDEX(EK$7:EK$106,$AI92),1),IF($AJ92&gt;0,INDEX(EK$7:EK$106,$AJ92),1))))</ns0:f>
        <ns0:v>1</ns0:v>
      </ns0:c>
      <ns0:c r="EM92" t="n">
        <ns0:f>IF($A92="",1,IF(EL92=1,1,--AND(IF($AC92&gt;0,INDEX(EL$7:EL$106,$AC92),1),IF($AD92&gt;0,INDEX(EL$7:EL$106,$AD92),1),IF($AE92&gt;0,INDEX(EL$7:EL$106,$AE92),1),IF($AF92&gt;0,INDEX(EL$7:EL$106,$AF92),1),IF($AG92&gt;0,INDEX(EL$7:EL$106,$AG92),1),IF($AH92&gt;0,INDEX(EL$7:EL$106,$AH92),1),IF($AI92&gt;0,INDEX(EL$7:EL$106,$AI92),1),IF($AJ92&gt;0,INDEX(EL$7:EL$106,$AJ92),1))))</ns0:f>
        <ns0:v>1</ns0:v>
      </ns0:c>
      <ns0:c r="EN92" t="n">
        <ns0:f>IF($A92="",1,IF(EM92=1,1,--AND(IF($AC92&gt;0,INDEX(EM$7:EM$106,$AC92),1),IF($AD92&gt;0,INDEX(EM$7:EM$106,$AD92),1),IF($AE92&gt;0,INDEX(EM$7:EM$106,$AE92),1),IF($AF92&gt;0,INDEX(EM$7:EM$106,$AF92),1),IF($AG92&gt;0,INDEX(EM$7:EM$106,$AG92),1),IF($AH92&gt;0,INDEX(EM$7:EM$106,$AH92),1),IF($AI92&gt;0,INDEX(EM$7:EM$106,$AI92),1),IF($AJ92&gt;0,INDEX(EM$7:EM$106,$AJ92),1))))</ns0:f>
        <ns0:v>1</ns0:v>
      </ns0:c>
      <ns0:c r="EO92" t="n">
        <ns0:f>IF($A92="",1,IF(EN92=1,1,--AND(IF($AC92&gt;0,INDEX(EN$7:EN$106,$AC92),1),IF($AD92&gt;0,INDEX(EN$7:EN$106,$AD92),1),IF($AE92&gt;0,INDEX(EN$7:EN$106,$AE92),1),IF($AF92&gt;0,INDEX(EN$7:EN$106,$AF92),1),IF($AG92&gt;0,INDEX(EN$7:EN$106,$AG92),1),IF($AH92&gt;0,INDEX(EN$7:EN$106,$AH92),1),IF($AI92&gt;0,INDEX(EN$7:EN$106,$AI92),1),IF($AJ92&gt;0,INDEX(EN$7:EN$106,$AJ92),1))))</ns0:f>
        <ns0:v>1</ns0:v>
      </ns0:c>
      <ns0:c r="EP92" t="n">
        <ns0:f>IF($A92="",1,IF(EO92=1,1,--AND(IF($AC92&gt;0,INDEX(EO$7:EO$106,$AC92),1),IF($AD92&gt;0,INDEX(EO$7:EO$106,$AD92),1),IF($AE92&gt;0,INDEX(EO$7:EO$106,$AE92),1),IF($AF92&gt;0,INDEX(EO$7:EO$106,$AF92),1),IF($AG92&gt;0,INDEX(EO$7:EO$106,$AG92),1),IF($AH92&gt;0,INDEX(EO$7:EO$106,$AH92),1),IF($AI92&gt;0,INDEX(EO$7:EO$106,$AI92),1),IF($AJ92&gt;0,INDEX(EO$7:EO$106,$AJ92),1))))</ns0:f>
        <ns0:v>1</ns0:v>
      </ns0:c>
      <ns0:c r="EQ92" t="n">
        <ns0:f>IF(OR(A92="",NOT(ISNUMBER(G92))),0,G92*N92)</ns0:f>
        <ns0:v>0</ns0:v>
      </ns0:c>
    </ns0:row>
    <ns0:row r="93" ht="62" customHeight="1">
      <ns0:c r="A93" s="48"/>
      <ns0:c r="B93" s="48"/>
      <ns0:c r="C93" s="48"/>
      <ns0:c r="D93" s="48"/>
      <ns0:c r="E93" s="49"/>
      <ns0:c r="F93" s="49"/>
      <ns0:c r="G93" s="13" t="str">
        <ns0:f>IF(A93="","",IF(OR(NOT(ISNUMBER(E93)),NOT(ISNUMBER(F93)),F93&lt;E93),"",IF(J93="Yes",0,F93-E93+1)))</ns0:f>
      </ns0:c>
      <ns0:c r="H93" s="48"/>
      <ns0:c r="I93" s="48"/>
      <ns0:c r="J93" s="48"/>
      <ns0:c r="K93" s="48"/>
      <ns0:c r="L93" s="48"/>
      <ns0:c r="M93" s="50" t="str">
        <ns0:f>IF(A93="","",IF(N93=1,"Completed",IF(N93&gt;0,"In Progress","Not Started")))</ns0:f>
      </ns0:c>
      <ns0:c r="N93" s="51"/>
      <ns0:c r="O93" s="13" t="str">
        <ns0:f>IF(A93="","",IF(R93&lt;&gt;"","[CONFLICT] "&amp;R93,IF(S93&lt;&gt;"","[CONFLICT] "&amp;S93,IF(OR(NOT(ISNUMBER(N93)),N93&lt;0,N93&gt;1),"[CONFLICT] Invalid progress",IF(AK93&gt;0,"[DEPENDENCY ISSUE] Missing ID / &gt;8 links",IF(AM93&gt;0,"[DEPENDENCY ISSUE] Cycle or blocked by cycle",IF(AND(H93&lt;&gt;"",ISNA(MATCH(I93,{"FS","SS","FF","SF"},0))),"[DEPENDENCY ISSUE] Invalid type",IF(AL93&gt;0,"[DEPENDENCY ISSUE] Timing conflict",IF(OR(E93&lt;ProjectStart,F93&gt;ProjectEnd),"[OUTSIDE WINDOW]",IF(AND(N93&lt;1,F93&lt;AsOfDate),"Overdue",IF(AND(M93&lt;&gt;Q93,M93&lt;&gt;""),"[CONFLICT] Status / progress","On track")))))))))))</ns0:f>
      </ns0:c>
      <ns0:c r="P93" s="52"/>
      <ns0:c r="Q93" t="str">
        <ns0:f>IF(A93="","",IF(OR(M93="On Hold",M93="Delayed"),M93,IF(N93=1,"Completed",IF(N93&gt;0,"In Progress","Not Started"))))</ns0:f>
      </ns0:c>
      <ns0:c r="R93" t="str">
        <ns0:f>IF(A93="","",IF(COUNTIFS(Tasks[Task ID],A93)&lt;&gt;1,"Duplicate ID",""))</ns0:f>
      </ns0:c>
      <ns0:c r="S93" t="str">
        <ns0:f>IF(A93="","",IF(OR(NOT(ISNUMBER(E93)),NOT(ISNUMBER(F93))),"Invalid / missing date",IF(OR(E93&lt;&gt;INT(E93),F93&lt;&gt;INT(F93),E93&lt;1,F93&gt;2958465),"Invalid date",IF(F93&lt;E93,"End before start",IF(AND(J93="Yes",E93&lt;&gt;F93),"Milestone needs one date","")))))</ns0:f>
      </ns0:c>
      <ns0:c r="T93" t="n">
        <ns0:f>IF(H93="",0,LEN(H93)-LEN(SUBSTITUTE(H93,",",""))+1)</ns0:f>
        <ns0:v>0</ns0:v>
      </ns0:c>
      <ns0:c r="U93" t="str">
        <ns0:f>TRIM(MID(SUBSTITUTE($H93,",",REPT(" ",100)),1,100))</ns0:f>
      </ns0:c>
      <ns0:c r="V93" t="str">
        <ns0:f>TRIM(MID(SUBSTITUTE($H93,",",REPT(" ",100)),101,100))</ns0:f>
      </ns0:c>
      <ns0:c r="W93" t="str">
        <ns0:f>TRIM(MID(SUBSTITUTE($H93,",",REPT(" ",100)),201,100))</ns0:f>
      </ns0:c>
      <ns0:c r="X93" t="str">
        <ns0:f>TRIM(MID(SUBSTITUTE($H93,",",REPT(" ",100)),301,100))</ns0:f>
      </ns0:c>
      <ns0:c r="Y93" t="str">
        <ns0:f>TRIM(MID(SUBSTITUTE($H93,",",REPT(" ",100)),401,100))</ns0:f>
      </ns0:c>
      <ns0:c r="Z93" t="str">
        <ns0:f>TRIM(MID(SUBSTITUTE($H93,",",REPT(" ",100)),501,100))</ns0:f>
      </ns0:c>
      <ns0:c r="AA93" t="str">
        <ns0:f>TRIM(MID(SUBSTITUTE($H93,",",REPT(" ",100)),601,100))</ns0:f>
      </ns0:c>
      <ns0:c r="AB93" t="str">
        <ns0:f>TRIM(MID(SUBSTITUTE($H93,",",REPT(" ",100)),701,100))</ns0:f>
      </ns0:c>
      <ns0:c r="AC93" t="n">
        <ns0:f>IF(U93="",0,IF(COUNTIFS(Tasks[Task ID],U93)=1,MATCH(U93,Tasks[Task ID],0),-1))</ns0:f>
        <ns0:v>0</ns0:v>
      </ns0:c>
      <ns0:c r="AD93" t="n">
        <ns0:f>IF(V93="",0,IF(COUNTIFS(Tasks[Task ID],V93)=1,MATCH(V93,Tasks[Task ID],0),-1))</ns0:f>
        <ns0:v>0</ns0:v>
      </ns0:c>
      <ns0:c r="AE93" t="n">
        <ns0:f>IF(W93="",0,IF(COUNTIFS(Tasks[Task ID],W93)=1,MATCH(W93,Tasks[Task ID],0),-1))</ns0:f>
        <ns0:v>0</ns0:v>
      </ns0:c>
      <ns0:c r="AF93" t="n">
        <ns0:f>IF(X93="",0,IF(COUNTIFS(Tasks[Task ID],X93)=1,MATCH(X93,Tasks[Task ID],0),-1))</ns0:f>
        <ns0:v>0</ns0:v>
      </ns0:c>
      <ns0:c r="AG93" t="n">
        <ns0:f>IF(Y93="",0,IF(COUNTIFS(Tasks[Task ID],Y93)=1,MATCH(Y93,Tasks[Task ID],0),-1))</ns0:f>
        <ns0:v>0</ns0:v>
      </ns0:c>
      <ns0:c r="AH93" t="n">
        <ns0:f>IF(Z93="",0,IF(COUNTIFS(Tasks[Task ID],Z93)=1,MATCH(Z93,Tasks[Task ID],0),-1))</ns0:f>
        <ns0:v>0</ns0:v>
      </ns0:c>
      <ns0:c r="AI93" t="n">
        <ns0:f>IF(AA93="",0,IF(COUNTIFS(Tasks[Task ID],AA93)=1,MATCH(AA93,Tasks[Task ID],0),-1))</ns0:f>
        <ns0:v>0</ns0:v>
      </ns0:c>
      <ns0:c r="AJ93" t="n">
        <ns0:f>IF(AB93="",0,IF(COUNTIFS(Tasks[Task ID],AB93)=1,MATCH(AB93,Tasks[Task ID],0),-1))</ns0:f>
        <ns0:v>0</ns0:v>
      </ns0:c>
      <ns0:c r="AK93" t="n">
        <ns0:f>COUNTIFS(AC93:AJ93,-1)+IF(T93&gt;8,1,0)</ns0:f>
        <ns0:v>0</ns0:v>
      </ns0:c>
      <ns0:c r="AL93" t="n">
        <ns0:f>IF(OR(A93="",S93&lt;&gt;""),0,SUM(IF(AC93&gt;0,IF($I93="FS",--($E93&lt;INDEX(Tasks[End Date],AC93)+IF(INDEX(Tasks[Milestone],AC93)="Yes",0,1)),IF($I93="SS",--($E93&lt;INDEX(Tasks[Start Date],AC93)),IF($I93="FF",--($F93&lt;INDEX(Tasks[End Date],AC93)),IF($I93="SF",--($F93&lt;INDEX(Tasks[Start Date],AC93)),0)))),0),IF(AD93&gt;0,IF($I93="FS",--($E93&lt;INDEX(Tasks[End Date],AD93)+IF(INDEX(Tasks[Milestone],AD93)="Yes",0,1)),IF($I93="SS",--($E93&lt;INDEX(Tasks[Start Date],AD93)),IF($I93="FF",--($F93&lt;INDEX(Tasks[End Date],AD93)),IF($I93="SF",--($F93&lt;INDEX(Tasks[Start Date],AD93)),0)))),0),IF(AE93&gt;0,IF($I93="FS",--($E93&lt;INDEX(Tasks[End Date],AE93)+IF(INDEX(Tasks[Milestone],AE93)="Yes",0,1)),IF($I93="SS",--($E93&lt;INDEX(Tasks[Start Date],AE93)),IF($I93="FF",--($F93&lt;INDEX(Tasks[End Date],AE93)),IF($I93="SF",--($F93&lt;INDEX(Tasks[Start Date],AE93)),0)))),0),IF(AF93&gt;0,IF($I93="FS",--($E93&lt;INDEX(Tasks[End Date],AF93)+IF(INDEX(Tasks[Milestone],AF93)="Yes",0,1)),IF($I93="SS",--($E93&lt;INDEX(Tasks[Start Date],AF93)),IF($I93="FF",--($F93&lt;INDEX(Tasks[End Date],AF93)),IF($I93="SF",--($F93&lt;INDEX(Tasks[Start Date],AF93)),0)))),0),IF(AG93&gt;0,IF($I93="FS",--($E93&lt;INDEX(Tasks[End Date],AG93)+IF(INDEX(Tasks[Milestone],AG93)="Yes",0,1)),IF($I93="SS",--($E93&lt;INDEX(Tasks[Start Date],AG93)),IF($I93="FF",--($F93&lt;INDEX(Tasks[End Date],AG93)),IF($I93="SF",--($F93&lt;INDEX(Tasks[Start Date],AG93)),0)))),0),IF(AH93&gt;0,IF($I93="FS",--($E93&lt;INDEX(Tasks[End Date],AH93)+IF(INDEX(Tasks[Milestone],AH93)="Yes",0,1)),IF($I93="SS",--($E93&lt;INDEX(Tasks[Start Date],AH93)),IF($I93="FF",--($F93&lt;INDEX(Tasks[End Date],AH93)),IF($I93="SF",--($F93&lt;INDEX(Tasks[Start Date],AH93)),0)))),0),IF(AI93&gt;0,IF($I93="FS",--($E93&lt;INDEX(Tasks[End Date],AI93)+IF(INDEX(Tasks[Milestone],AI93)="Yes",0,1)),IF($I93="SS",--($E93&lt;INDEX(Tasks[Start Date],AI93)),IF($I93="FF",--($F93&lt;INDEX(Tasks[End Date],AI93)),IF($I93="SF",--($F93&lt;INDEX(Tasks[Start Date],AI93)),0)))),0),IF(AJ93&gt;0,IF($I93="FS",--($E93&lt;INDEX(Tasks[End Date],AJ93)+IF(INDEX(Tasks[Milestone],AJ93)="Yes",0,1)),IF($I93="SS",--($E93&lt;INDEX(Tasks[Start Date],AJ93)),IF($I93="FF",--($F93&lt;INDEX(Tasks[End Date],AJ93)),IF($I93="SF",--($F93&lt;INDEX(Tasks[Start Date],AJ93)),0)))),0)))</ns0:f>
        <ns0:v>0</ns0:v>
      </ns0:c>
      <ns0:c r="AM93" t="n">
        <ns0:f>IF(AND(A93&lt;&gt;"",AK93=0,EP93=0),1,0)</ns0:f>
        <ns0:v>0</ns0:v>
      </ns0:c>
      <ns0:c r="AN93" t="str">
        <ns0:f>IF(OR(A93="",B93=""),"",IF(COUNTIFS($B$7:B93,B93)=1,MAX($AN$6:AN92)+1,""))</ns0:f>
      </ns0:c>
      <ns0:c r="AO93" t="n">
        <ns0:f>IF(AND(A93&lt;&gt;"",J93="No",N93&lt;1,E93&gt;=AsOfDate),E93+ROW()/10000,1E+9)</ns0:f>
        <ns0:v>1000000000</ns0:v>
      </ns0:c>
      <ns0:c r="AP93" t="n">
        <ns0:f>IF(AND(A93&lt;&gt;"",J93="Yes",N93&lt;1,E93&gt;=AsOfDate),E93+ROW()/10000,1E+9)</ns0:f>
        <ns0:v>1000000000</ns0:v>
      </ns0:c>
      <ns0:c r="AQ93" t="n">
        <ns0:f>IF(AND(A93&lt;&gt;"",J93="No",N93&lt;1,F93&gt;=AsOfDate,F93&lt;=AsOfDate+7),F93+ROW()/10000,1E+9)</ns0:f>
        <ns0:v>1000000000</ns0:v>
      </ns0:c>
      <ns0:c r="AR93" t="n">
        <ns0:f>IF(AND(A93&lt;&gt;"",OR(O93&lt;&gt;"On track",Q93="Delayed")),ROW(),1E+9)</ns0:f>
        <ns0:v>1000000000</ns0:v>
      </ns0:c>
      <ns0:c r="AS93" t="str">
        <ns0:f>IF(A93="","",";"&amp;K93&amp;";")</ns0:f>
      </ns0:c>
      <ns0:c r="AT93" t="n">
        <ns0:f>IF(A93="",1,--(T93=0))</ns0:f>
        <ns0:v>1</ns0:v>
      </ns0:c>
      <ns0:c r="AU93" t="n">
        <ns0:f>IF($A93="",1,IF(AT93=1,1,--AND(IF($AC93&gt;0,INDEX(AT$7:AT$106,$AC93),1),IF($AD93&gt;0,INDEX(AT$7:AT$106,$AD93),1),IF($AE93&gt;0,INDEX(AT$7:AT$106,$AE93),1),IF($AF93&gt;0,INDEX(AT$7:AT$106,$AF93),1),IF($AG93&gt;0,INDEX(AT$7:AT$106,$AG93),1),IF($AH93&gt;0,INDEX(AT$7:AT$106,$AH93),1),IF($AI93&gt;0,INDEX(AT$7:AT$106,$AI93),1),IF($AJ93&gt;0,INDEX(AT$7:AT$106,$AJ93),1))))</ns0:f>
        <ns0:v>1</ns0:v>
      </ns0:c>
      <ns0:c r="AV93" t="n">
        <ns0:f>IF($A93="",1,IF(AU93=1,1,--AND(IF($AC93&gt;0,INDEX(AU$7:AU$106,$AC93),1),IF($AD93&gt;0,INDEX(AU$7:AU$106,$AD93),1),IF($AE93&gt;0,INDEX(AU$7:AU$106,$AE93),1),IF($AF93&gt;0,INDEX(AU$7:AU$106,$AF93),1),IF($AG93&gt;0,INDEX(AU$7:AU$106,$AG93),1),IF($AH93&gt;0,INDEX(AU$7:AU$106,$AH93),1),IF($AI93&gt;0,INDEX(AU$7:AU$106,$AI93),1),IF($AJ93&gt;0,INDEX(AU$7:AU$106,$AJ93),1))))</ns0:f>
        <ns0:v>1</ns0:v>
      </ns0:c>
      <ns0:c r="AW93" t="n">
        <ns0:f>IF($A93="",1,IF(AV93=1,1,--AND(IF($AC93&gt;0,INDEX(AV$7:AV$106,$AC93),1),IF($AD93&gt;0,INDEX(AV$7:AV$106,$AD93),1),IF($AE93&gt;0,INDEX(AV$7:AV$106,$AE93),1),IF($AF93&gt;0,INDEX(AV$7:AV$106,$AF93),1),IF($AG93&gt;0,INDEX(AV$7:AV$106,$AG93),1),IF($AH93&gt;0,INDEX(AV$7:AV$106,$AH93),1),IF($AI93&gt;0,INDEX(AV$7:AV$106,$AI93),1),IF($AJ93&gt;0,INDEX(AV$7:AV$106,$AJ93),1))))</ns0:f>
        <ns0:v>1</ns0:v>
      </ns0:c>
      <ns0:c r="AX93" t="n">
        <ns0:f>IF($A93="",1,IF(AW93=1,1,--AND(IF($AC93&gt;0,INDEX(AW$7:AW$106,$AC93),1),IF($AD93&gt;0,INDEX(AW$7:AW$106,$AD93),1),IF($AE93&gt;0,INDEX(AW$7:AW$106,$AE93),1),IF($AF93&gt;0,INDEX(AW$7:AW$106,$AF93),1),IF($AG93&gt;0,INDEX(AW$7:AW$106,$AG93),1),IF($AH93&gt;0,INDEX(AW$7:AW$106,$AH93),1),IF($AI93&gt;0,INDEX(AW$7:AW$106,$AI93),1),IF($AJ93&gt;0,INDEX(AW$7:AW$106,$AJ93),1))))</ns0:f>
        <ns0:v>1</ns0:v>
      </ns0:c>
      <ns0:c r="AY93" t="n">
        <ns0:f>IF($A93="",1,IF(AX93=1,1,--AND(IF($AC93&gt;0,INDEX(AX$7:AX$106,$AC93),1),IF($AD93&gt;0,INDEX(AX$7:AX$106,$AD93),1),IF($AE93&gt;0,INDEX(AX$7:AX$106,$AE93),1),IF($AF93&gt;0,INDEX(AX$7:AX$106,$AF93),1),IF($AG93&gt;0,INDEX(AX$7:AX$106,$AG93),1),IF($AH93&gt;0,INDEX(AX$7:AX$106,$AH93),1),IF($AI93&gt;0,INDEX(AX$7:AX$106,$AI93),1),IF($AJ93&gt;0,INDEX(AX$7:AX$106,$AJ93),1))))</ns0:f>
        <ns0:v>1</ns0:v>
      </ns0:c>
      <ns0:c r="AZ93" t="n">
        <ns0:f>IF($A93="",1,IF(AY93=1,1,--AND(IF($AC93&gt;0,INDEX(AY$7:AY$106,$AC93),1),IF($AD93&gt;0,INDEX(AY$7:AY$106,$AD93),1),IF($AE93&gt;0,INDEX(AY$7:AY$106,$AE93),1),IF($AF93&gt;0,INDEX(AY$7:AY$106,$AF93),1),IF($AG93&gt;0,INDEX(AY$7:AY$106,$AG93),1),IF($AH93&gt;0,INDEX(AY$7:AY$106,$AH93),1),IF($AI93&gt;0,INDEX(AY$7:AY$106,$AI93),1),IF($AJ93&gt;0,INDEX(AY$7:AY$106,$AJ93),1))))</ns0:f>
        <ns0:v>1</ns0:v>
      </ns0:c>
      <ns0:c r="BA93" t="n">
        <ns0:f>IF($A93="",1,IF(AZ93=1,1,--AND(IF($AC93&gt;0,INDEX(AZ$7:AZ$106,$AC93),1),IF($AD93&gt;0,INDEX(AZ$7:AZ$106,$AD93),1),IF($AE93&gt;0,INDEX(AZ$7:AZ$106,$AE93),1),IF($AF93&gt;0,INDEX(AZ$7:AZ$106,$AF93),1),IF($AG93&gt;0,INDEX(AZ$7:AZ$106,$AG93),1),IF($AH93&gt;0,INDEX(AZ$7:AZ$106,$AH93),1),IF($AI93&gt;0,INDEX(AZ$7:AZ$106,$AI93),1),IF($AJ93&gt;0,INDEX(AZ$7:AZ$106,$AJ93),1))))</ns0:f>
        <ns0:v>1</ns0:v>
      </ns0:c>
      <ns0:c r="BB93" t="n">
        <ns0:f>IF($A93="",1,IF(BA93=1,1,--AND(IF($AC93&gt;0,INDEX(BA$7:BA$106,$AC93),1),IF($AD93&gt;0,INDEX(BA$7:BA$106,$AD93),1),IF($AE93&gt;0,INDEX(BA$7:BA$106,$AE93),1),IF($AF93&gt;0,INDEX(BA$7:BA$106,$AF93),1),IF($AG93&gt;0,INDEX(BA$7:BA$106,$AG93),1),IF($AH93&gt;0,INDEX(BA$7:BA$106,$AH93),1),IF($AI93&gt;0,INDEX(BA$7:BA$106,$AI93),1),IF($AJ93&gt;0,INDEX(BA$7:BA$106,$AJ93),1))))</ns0:f>
        <ns0:v>1</ns0:v>
      </ns0:c>
      <ns0:c r="BC93" t="n">
        <ns0:f>IF($A93="",1,IF(BB93=1,1,--AND(IF($AC93&gt;0,INDEX(BB$7:BB$106,$AC93),1),IF($AD93&gt;0,INDEX(BB$7:BB$106,$AD93),1),IF($AE93&gt;0,INDEX(BB$7:BB$106,$AE93),1),IF($AF93&gt;0,INDEX(BB$7:BB$106,$AF93),1),IF($AG93&gt;0,INDEX(BB$7:BB$106,$AG93),1),IF($AH93&gt;0,INDEX(BB$7:BB$106,$AH93),1),IF($AI93&gt;0,INDEX(BB$7:BB$106,$AI93),1),IF($AJ93&gt;0,INDEX(BB$7:BB$106,$AJ93),1))))</ns0:f>
        <ns0:v>1</ns0:v>
      </ns0:c>
      <ns0:c r="BD93" t="n">
        <ns0:f>IF($A93="",1,IF(BC93=1,1,--AND(IF($AC93&gt;0,INDEX(BC$7:BC$106,$AC93),1),IF($AD93&gt;0,INDEX(BC$7:BC$106,$AD93),1),IF($AE93&gt;0,INDEX(BC$7:BC$106,$AE93),1),IF($AF93&gt;0,INDEX(BC$7:BC$106,$AF93),1),IF($AG93&gt;0,INDEX(BC$7:BC$106,$AG93),1),IF($AH93&gt;0,INDEX(BC$7:BC$106,$AH93),1),IF($AI93&gt;0,INDEX(BC$7:BC$106,$AI93),1),IF($AJ93&gt;0,INDEX(BC$7:BC$106,$AJ93),1))))</ns0:f>
        <ns0:v>1</ns0:v>
      </ns0:c>
      <ns0:c r="BE93" t="n">
        <ns0:f>IF($A93="",1,IF(BD93=1,1,--AND(IF($AC93&gt;0,INDEX(BD$7:BD$106,$AC93),1),IF($AD93&gt;0,INDEX(BD$7:BD$106,$AD93),1),IF($AE93&gt;0,INDEX(BD$7:BD$106,$AE93),1),IF($AF93&gt;0,INDEX(BD$7:BD$106,$AF93),1),IF($AG93&gt;0,INDEX(BD$7:BD$106,$AG93),1),IF($AH93&gt;0,INDEX(BD$7:BD$106,$AH93),1),IF($AI93&gt;0,INDEX(BD$7:BD$106,$AI93),1),IF($AJ93&gt;0,INDEX(BD$7:BD$106,$AJ93),1))))</ns0:f>
        <ns0:v>1</ns0:v>
      </ns0:c>
      <ns0:c r="BF93" t="n">
        <ns0:f>IF($A93="",1,IF(BE93=1,1,--AND(IF($AC93&gt;0,INDEX(BE$7:BE$106,$AC93),1),IF($AD93&gt;0,INDEX(BE$7:BE$106,$AD93),1),IF($AE93&gt;0,INDEX(BE$7:BE$106,$AE93),1),IF($AF93&gt;0,INDEX(BE$7:BE$106,$AF93),1),IF($AG93&gt;0,INDEX(BE$7:BE$106,$AG93),1),IF($AH93&gt;0,INDEX(BE$7:BE$106,$AH93),1),IF($AI93&gt;0,INDEX(BE$7:BE$106,$AI93),1),IF($AJ93&gt;0,INDEX(BE$7:BE$106,$AJ93),1))))</ns0:f>
        <ns0:v>1</ns0:v>
      </ns0:c>
      <ns0:c r="BG93" t="n">
        <ns0:f>IF($A93="",1,IF(BF93=1,1,--AND(IF($AC93&gt;0,INDEX(BF$7:BF$106,$AC93),1),IF($AD93&gt;0,INDEX(BF$7:BF$106,$AD93),1),IF($AE93&gt;0,INDEX(BF$7:BF$106,$AE93),1),IF($AF93&gt;0,INDEX(BF$7:BF$106,$AF93),1),IF($AG93&gt;0,INDEX(BF$7:BF$106,$AG93),1),IF($AH93&gt;0,INDEX(BF$7:BF$106,$AH93),1),IF($AI93&gt;0,INDEX(BF$7:BF$106,$AI93),1),IF($AJ93&gt;0,INDEX(BF$7:BF$106,$AJ93),1))))</ns0:f>
        <ns0:v>1</ns0:v>
      </ns0:c>
      <ns0:c r="BH93" t="n">
        <ns0:f>IF($A93="",1,IF(BG93=1,1,--AND(IF($AC93&gt;0,INDEX(BG$7:BG$106,$AC93),1),IF($AD93&gt;0,INDEX(BG$7:BG$106,$AD93),1),IF($AE93&gt;0,INDEX(BG$7:BG$106,$AE93),1),IF($AF93&gt;0,INDEX(BG$7:BG$106,$AF93),1),IF($AG93&gt;0,INDEX(BG$7:BG$106,$AG93),1),IF($AH93&gt;0,INDEX(BG$7:BG$106,$AH93),1),IF($AI93&gt;0,INDEX(BG$7:BG$106,$AI93),1),IF($AJ93&gt;0,INDEX(BG$7:BG$106,$AJ93),1))))</ns0:f>
        <ns0:v>1</ns0:v>
      </ns0:c>
      <ns0:c r="BI93" t="n">
        <ns0:f>IF($A93="",1,IF(BH93=1,1,--AND(IF($AC93&gt;0,INDEX(BH$7:BH$106,$AC93),1),IF($AD93&gt;0,INDEX(BH$7:BH$106,$AD93),1),IF($AE93&gt;0,INDEX(BH$7:BH$106,$AE93),1),IF($AF93&gt;0,INDEX(BH$7:BH$106,$AF93),1),IF($AG93&gt;0,INDEX(BH$7:BH$106,$AG93),1),IF($AH93&gt;0,INDEX(BH$7:BH$106,$AH93),1),IF($AI93&gt;0,INDEX(BH$7:BH$106,$AI93),1),IF($AJ93&gt;0,INDEX(BH$7:BH$106,$AJ93),1))))</ns0:f>
        <ns0:v>1</ns0:v>
      </ns0:c>
      <ns0:c r="BJ93" t="n">
        <ns0:f>IF($A93="",1,IF(BI93=1,1,--AND(IF($AC93&gt;0,INDEX(BI$7:BI$106,$AC93),1),IF($AD93&gt;0,INDEX(BI$7:BI$106,$AD93),1),IF($AE93&gt;0,INDEX(BI$7:BI$106,$AE93),1),IF($AF93&gt;0,INDEX(BI$7:BI$106,$AF93),1),IF($AG93&gt;0,INDEX(BI$7:BI$106,$AG93),1),IF($AH93&gt;0,INDEX(BI$7:BI$106,$AH93),1),IF($AI93&gt;0,INDEX(BI$7:BI$106,$AI93),1),IF($AJ93&gt;0,INDEX(BI$7:BI$106,$AJ93),1))))</ns0:f>
        <ns0:v>1</ns0:v>
      </ns0:c>
      <ns0:c r="BK93" t="n">
        <ns0:f>IF($A93="",1,IF(BJ93=1,1,--AND(IF($AC93&gt;0,INDEX(BJ$7:BJ$106,$AC93),1),IF($AD93&gt;0,INDEX(BJ$7:BJ$106,$AD93),1),IF($AE93&gt;0,INDEX(BJ$7:BJ$106,$AE93),1),IF($AF93&gt;0,INDEX(BJ$7:BJ$106,$AF93),1),IF($AG93&gt;0,INDEX(BJ$7:BJ$106,$AG93),1),IF($AH93&gt;0,INDEX(BJ$7:BJ$106,$AH93),1),IF($AI93&gt;0,INDEX(BJ$7:BJ$106,$AI93),1),IF($AJ93&gt;0,INDEX(BJ$7:BJ$106,$AJ93),1))))</ns0:f>
        <ns0:v>1</ns0:v>
      </ns0:c>
      <ns0:c r="BL93" t="n">
        <ns0:f>IF($A93="",1,IF(BK93=1,1,--AND(IF($AC93&gt;0,INDEX(BK$7:BK$106,$AC93),1),IF($AD93&gt;0,INDEX(BK$7:BK$106,$AD93),1),IF($AE93&gt;0,INDEX(BK$7:BK$106,$AE93),1),IF($AF93&gt;0,INDEX(BK$7:BK$106,$AF93),1),IF($AG93&gt;0,INDEX(BK$7:BK$106,$AG93),1),IF($AH93&gt;0,INDEX(BK$7:BK$106,$AH93),1),IF($AI93&gt;0,INDEX(BK$7:BK$106,$AI93),1),IF($AJ93&gt;0,INDEX(BK$7:BK$106,$AJ93),1))))</ns0:f>
        <ns0:v>1</ns0:v>
      </ns0:c>
      <ns0:c r="BM93" t="n">
        <ns0:f>IF($A93="",1,IF(BL93=1,1,--AND(IF($AC93&gt;0,INDEX(BL$7:BL$106,$AC93),1),IF($AD93&gt;0,INDEX(BL$7:BL$106,$AD93),1),IF($AE93&gt;0,INDEX(BL$7:BL$106,$AE93),1),IF($AF93&gt;0,INDEX(BL$7:BL$106,$AF93),1),IF($AG93&gt;0,INDEX(BL$7:BL$106,$AG93),1),IF($AH93&gt;0,INDEX(BL$7:BL$106,$AH93),1),IF($AI93&gt;0,INDEX(BL$7:BL$106,$AI93),1),IF($AJ93&gt;0,INDEX(BL$7:BL$106,$AJ93),1))))</ns0:f>
        <ns0:v>1</ns0:v>
      </ns0:c>
      <ns0:c r="BN93" t="n">
        <ns0:f>IF($A93="",1,IF(BM93=1,1,--AND(IF($AC93&gt;0,INDEX(BM$7:BM$106,$AC93),1),IF($AD93&gt;0,INDEX(BM$7:BM$106,$AD93),1),IF($AE93&gt;0,INDEX(BM$7:BM$106,$AE93),1),IF($AF93&gt;0,INDEX(BM$7:BM$106,$AF93),1),IF($AG93&gt;0,INDEX(BM$7:BM$106,$AG93),1),IF($AH93&gt;0,INDEX(BM$7:BM$106,$AH93),1),IF($AI93&gt;0,INDEX(BM$7:BM$106,$AI93),1),IF($AJ93&gt;0,INDEX(BM$7:BM$106,$AJ93),1))))</ns0:f>
        <ns0:v>1</ns0:v>
      </ns0:c>
      <ns0:c r="BO93" t="n">
        <ns0:f>IF($A93="",1,IF(BN93=1,1,--AND(IF($AC93&gt;0,INDEX(BN$7:BN$106,$AC93),1),IF($AD93&gt;0,INDEX(BN$7:BN$106,$AD93),1),IF($AE93&gt;0,INDEX(BN$7:BN$106,$AE93),1),IF($AF93&gt;0,INDEX(BN$7:BN$106,$AF93),1),IF($AG93&gt;0,INDEX(BN$7:BN$106,$AG93),1),IF($AH93&gt;0,INDEX(BN$7:BN$106,$AH93),1),IF($AI93&gt;0,INDEX(BN$7:BN$106,$AI93),1),IF($AJ93&gt;0,INDEX(BN$7:BN$106,$AJ93),1))))</ns0:f>
        <ns0:v>1</ns0:v>
      </ns0:c>
      <ns0:c r="BP93" t="n">
        <ns0:f>IF($A93="",1,IF(BO93=1,1,--AND(IF($AC93&gt;0,INDEX(BO$7:BO$106,$AC93),1),IF($AD93&gt;0,INDEX(BO$7:BO$106,$AD93),1),IF($AE93&gt;0,INDEX(BO$7:BO$106,$AE93),1),IF($AF93&gt;0,INDEX(BO$7:BO$106,$AF93),1),IF($AG93&gt;0,INDEX(BO$7:BO$106,$AG93),1),IF($AH93&gt;0,INDEX(BO$7:BO$106,$AH93),1),IF($AI93&gt;0,INDEX(BO$7:BO$106,$AI93),1),IF($AJ93&gt;0,INDEX(BO$7:BO$106,$AJ93),1))))</ns0:f>
        <ns0:v>1</ns0:v>
      </ns0:c>
      <ns0:c r="BQ93" t="n">
        <ns0:f>IF($A93="",1,IF(BP93=1,1,--AND(IF($AC93&gt;0,INDEX(BP$7:BP$106,$AC93),1),IF($AD93&gt;0,INDEX(BP$7:BP$106,$AD93),1),IF($AE93&gt;0,INDEX(BP$7:BP$106,$AE93),1),IF($AF93&gt;0,INDEX(BP$7:BP$106,$AF93),1),IF($AG93&gt;0,INDEX(BP$7:BP$106,$AG93),1),IF($AH93&gt;0,INDEX(BP$7:BP$106,$AH93),1),IF($AI93&gt;0,INDEX(BP$7:BP$106,$AI93),1),IF($AJ93&gt;0,INDEX(BP$7:BP$106,$AJ93),1))))</ns0:f>
        <ns0:v>1</ns0:v>
      </ns0:c>
      <ns0:c r="BR93" t="n">
        <ns0:f>IF($A93="",1,IF(BQ93=1,1,--AND(IF($AC93&gt;0,INDEX(BQ$7:BQ$106,$AC93),1),IF($AD93&gt;0,INDEX(BQ$7:BQ$106,$AD93),1),IF($AE93&gt;0,INDEX(BQ$7:BQ$106,$AE93),1),IF($AF93&gt;0,INDEX(BQ$7:BQ$106,$AF93),1),IF($AG93&gt;0,INDEX(BQ$7:BQ$106,$AG93),1),IF($AH93&gt;0,INDEX(BQ$7:BQ$106,$AH93),1),IF($AI93&gt;0,INDEX(BQ$7:BQ$106,$AI93),1),IF($AJ93&gt;0,INDEX(BQ$7:BQ$106,$AJ93),1))))</ns0:f>
        <ns0:v>1</ns0:v>
      </ns0:c>
      <ns0:c r="BS93" t="n">
        <ns0:f>IF($A93="",1,IF(BR93=1,1,--AND(IF($AC93&gt;0,INDEX(BR$7:BR$106,$AC93),1),IF($AD93&gt;0,INDEX(BR$7:BR$106,$AD93),1),IF($AE93&gt;0,INDEX(BR$7:BR$106,$AE93),1),IF($AF93&gt;0,INDEX(BR$7:BR$106,$AF93),1),IF($AG93&gt;0,INDEX(BR$7:BR$106,$AG93),1),IF($AH93&gt;0,INDEX(BR$7:BR$106,$AH93),1),IF($AI93&gt;0,INDEX(BR$7:BR$106,$AI93),1),IF($AJ93&gt;0,INDEX(BR$7:BR$106,$AJ93),1))))</ns0:f>
        <ns0:v>1</ns0:v>
      </ns0:c>
      <ns0:c r="BT93" t="n">
        <ns0:f>IF($A93="",1,IF(BS93=1,1,--AND(IF($AC93&gt;0,INDEX(BS$7:BS$106,$AC93),1),IF($AD93&gt;0,INDEX(BS$7:BS$106,$AD93),1),IF($AE93&gt;0,INDEX(BS$7:BS$106,$AE93),1),IF($AF93&gt;0,INDEX(BS$7:BS$106,$AF93),1),IF($AG93&gt;0,INDEX(BS$7:BS$106,$AG93),1),IF($AH93&gt;0,INDEX(BS$7:BS$106,$AH93),1),IF($AI93&gt;0,INDEX(BS$7:BS$106,$AI93),1),IF($AJ93&gt;0,INDEX(BS$7:BS$106,$AJ93),1))))</ns0:f>
        <ns0:v>1</ns0:v>
      </ns0:c>
      <ns0:c r="BU93" t="n">
        <ns0:f>IF($A93="",1,IF(BT93=1,1,--AND(IF($AC93&gt;0,INDEX(BT$7:BT$106,$AC93),1),IF($AD93&gt;0,INDEX(BT$7:BT$106,$AD93),1),IF($AE93&gt;0,INDEX(BT$7:BT$106,$AE93),1),IF($AF93&gt;0,INDEX(BT$7:BT$106,$AF93),1),IF($AG93&gt;0,INDEX(BT$7:BT$106,$AG93),1),IF($AH93&gt;0,INDEX(BT$7:BT$106,$AH93),1),IF($AI93&gt;0,INDEX(BT$7:BT$106,$AI93),1),IF($AJ93&gt;0,INDEX(BT$7:BT$106,$AJ93),1))))</ns0:f>
        <ns0:v>1</ns0:v>
      </ns0:c>
      <ns0:c r="BV93" t="n">
        <ns0:f>IF($A93="",1,IF(BU93=1,1,--AND(IF($AC93&gt;0,INDEX(BU$7:BU$106,$AC93),1),IF($AD93&gt;0,INDEX(BU$7:BU$106,$AD93),1),IF($AE93&gt;0,INDEX(BU$7:BU$106,$AE93),1),IF($AF93&gt;0,INDEX(BU$7:BU$106,$AF93),1),IF($AG93&gt;0,INDEX(BU$7:BU$106,$AG93),1),IF($AH93&gt;0,INDEX(BU$7:BU$106,$AH93),1),IF($AI93&gt;0,INDEX(BU$7:BU$106,$AI93),1),IF($AJ93&gt;0,INDEX(BU$7:BU$106,$AJ93),1))))</ns0:f>
        <ns0:v>1</ns0:v>
      </ns0:c>
      <ns0:c r="BW93" t="n">
        <ns0:f>IF($A93="",1,IF(BV93=1,1,--AND(IF($AC93&gt;0,INDEX(BV$7:BV$106,$AC93),1),IF($AD93&gt;0,INDEX(BV$7:BV$106,$AD93),1),IF($AE93&gt;0,INDEX(BV$7:BV$106,$AE93),1),IF($AF93&gt;0,INDEX(BV$7:BV$106,$AF93),1),IF($AG93&gt;0,INDEX(BV$7:BV$106,$AG93),1),IF($AH93&gt;0,INDEX(BV$7:BV$106,$AH93),1),IF($AI93&gt;0,INDEX(BV$7:BV$106,$AI93),1),IF($AJ93&gt;0,INDEX(BV$7:BV$106,$AJ93),1))))</ns0:f>
        <ns0:v>1</ns0:v>
      </ns0:c>
      <ns0:c r="BX93" t="n">
        <ns0:f>IF($A93="",1,IF(BW93=1,1,--AND(IF($AC93&gt;0,INDEX(BW$7:BW$106,$AC93),1),IF($AD93&gt;0,INDEX(BW$7:BW$106,$AD93),1),IF($AE93&gt;0,INDEX(BW$7:BW$106,$AE93),1),IF($AF93&gt;0,INDEX(BW$7:BW$106,$AF93),1),IF($AG93&gt;0,INDEX(BW$7:BW$106,$AG93),1),IF($AH93&gt;0,INDEX(BW$7:BW$106,$AH93),1),IF($AI93&gt;0,INDEX(BW$7:BW$106,$AI93),1),IF($AJ93&gt;0,INDEX(BW$7:BW$106,$AJ93),1))))</ns0:f>
        <ns0:v>1</ns0:v>
      </ns0:c>
      <ns0:c r="BY93" t="n">
        <ns0:f>IF($A93="",1,IF(BX93=1,1,--AND(IF($AC93&gt;0,INDEX(BX$7:BX$106,$AC93),1),IF($AD93&gt;0,INDEX(BX$7:BX$106,$AD93),1),IF($AE93&gt;0,INDEX(BX$7:BX$106,$AE93),1),IF($AF93&gt;0,INDEX(BX$7:BX$106,$AF93),1),IF($AG93&gt;0,INDEX(BX$7:BX$106,$AG93),1),IF($AH93&gt;0,INDEX(BX$7:BX$106,$AH93),1),IF($AI93&gt;0,INDEX(BX$7:BX$106,$AI93),1),IF($AJ93&gt;0,INDEX(BX$7:BX$106,$AJ93),1))))</ns0:f>
        <ns0:v>1</ns0:v>
      </ns0:c>
      <ns0:c r="BZ93" t="n">
        <ns0:f>IF($A93="",1,IF(BY93=1,1,--AND(IF($AC93&gt;0,INDEX(BY$7:BY$106,$AC93),1),IF($AD93&gt;0,INDEX(BY$7:BY$106,$AD93),1),IF($AE93&gt;0,INDEX(BY$7:BY$106,$AE93),1),IF($AF93&gt;0,INDEX(BY$7:BY$106,$AF93),1),IF($AG93&gt;0,INDEX(BY$7:BY$106,$AG93),1),IF($AH93&gt;0,INDEX(BY$7:BY$106,$AH93),1),IF($AI93&gt;0,INDEX(BY$7:BY$106,$AI93),1),IF($AJ93&gt;0,INDEX(BY$7:BY$106,$AJ93),1))))</ns0:f>
        <ns0:v>1</ns0:v>
      </ns0:c>
      <ns0:c r="CA93" t="n">
        <ns0:f>IF($A93="",1,IF(BZ93=1,1,--AND(IF($AC93&gt;0,INDEX(BZ$7:BZ$106,$AC93),1),IF($AD93&gt;0,INDEX(BZ$7:BZ$106,$AD93),1),IF($AE93&gt;0,INDEX(BZ$7:BZ$106,$AE93),1),IF($AF93&gt;0,INDEX(BZ$7:BZ$106,$AF93),1),IF($AG93&gt;0,INDEX(BZ$7:BZ$106,$AG93),1),IF($AH93&gt;0,INDEX(BZ$7:BZ$106,$AH93),1),IF($AI93&gt;0,INDEX(BZ$7:BZ$106,$AI93),1),IF($AJ93&gt;0,INDEX(BZ$7:BZ$106,$AJ93),1))))</ns0:f>
        <ns0:v>1</ns0:v>
      </ns0:c>
      <ns0:c r="CB93" t="n">
        <ns0:f>IF($A93="",1,IF(CA93=1,1,--AND(IF($AC93&gt;0,INDEX(CA$7:CA$106,$AC93),1),IF($AD93&gt;0,INDEX(CA$7:CA$106,$AD93),1),IF($AE93&gt;0,INDEX(CA$7:CA$106,$AE93),1),IF($AF93&gt;0,INDEX(CA$7:CA$106,$AF93),1),IF($AG93&gt;0,INDEX(CA$7:CA$106,$AG93),1),IF($AH93&gt;0,INDEX(CA$7:CA$106,$AH93),1),IF($AI93&gt;0,INDEX(CA$7:CA$106,$AI93),1),IF($AJ93&gt;0,INDEX(CA$7:CA$106,$AJ93),1))))</ns0:f>
        <ns0:v>1</ns0:v>
      </ns0:c>
      <ns0:c r="CC93" t="n">
        <ns0:f>IF($A93="",1,IF(CB93=1,1,--AND(IF($AC93&gt;0,INDEX(CB$7:CB$106,$AC93),1),IF($AD93&gt;0,INDEX(CB$7:CB$106,$AD93),1),IF($AE93&gt;0,INDEX(CB$7:CB$106,$AE93),1),IF($AF93&gt;0,INDEX(CB$7:CB$106,$AF93),1),IF($AG93&gt;0,INDEX(CB$7:CB$106,$AG93),1),IF($AH93&gt;0,INDEX(CB$7:CB$106,$AH93),1),IF($AI93&gt;0,INDEX(CB$7:CB$106,$AI93),1),IF($AJ93&gt;0,INDEX(CB$7:CB$106,$AJ93),1))))</ns0:f>
        <ns0:v>1</ns0:v>
      </ns0:c>
      <ns0:c r="CD93" t="n">
        <ns0:f>IF($A93="",1,IF(CC93=1,1,--AND(IF($AC93&gt;0,INDEX(CC$7:CC$106,$AC93),1),IF($AD93&gt;0,INDEX(CC$7:CC$106,$AD93),1),IF($AE93&gt;0,INDEX(CC$7:CC$106,$AE93),1),IF($AF93&gt;0,INDEX(CC$7:CC$106,$AF93),1),IF($AG93&gt;0,INDEX(CC$7:CC$106,$AG93),1),IF($AH93&gt;0,INDEX(CC$7:CC$106,$AH93),1),IF($AI93&gt;0,INDEX(CC$7:CC$106,$AI93),1),IF($AJ93&gt;0,INDEX(CC$7:CC$106,$AJ93),1))))</ns0:f>
        <ns0:v>1</ns0:v>
      </ns0:c>
      <ns0:c r="CE93" t="n">
        <ns0:f>IF($A93="",1,IF(CD93=1,1,--AND(IF($AC93&gt;0,INDEX(CD$7:CD$106,$AC93),1),IF($AD93&gt;0,INDEX(CD$7:CD$106,$AD93),1),IF($AE93&gt;0,INDEX(CD$7:CD$106,$AE93),1),IF($AF93&gt;0,INDEX(CD$7:CD$106,$AF93),1),IF($AG93&gt;0,INDEX(CD$7:CD$106,$AG93),1),IF($AH93&gt;0,INDEX(CD$7:CD$106,$AH93),1),IF($AI93&gt;0,INDEX(CD$7:CD$106,$AI93),1),IF($AJ93&gt;0,INDEX(CD$7:CD$106,$AJ93),1))))</ns0:f>
        <ns0:v>1</ns0:v>
      </ns0:c>
      <ns0:c r="CF93" t="n">
        <ns0:f>IF($A93="",1,IF(CE93=1,1,--AND(IF($AC93&gt;0,INDEX(CE$7:CE$106,$AC93),1),IF($AD93&gt;0,INDEX(CE$7:CE$106,$AD93),1),IF($AE93&gt;0,INDEX(CE$7:CE$106,$AE93),1),IF($AF93&gt;0,INDEX(CE$7:CE$106,$AF93),1),IF($AG93&gt;0,INDEX(CE$7:CE$106,$AG93),1),IF($AH93&gt;0,INDEX(CE$7:CE$106,$AH93),1),IF($AI93&gt;0,INDEX(CE$7:CE$106,$AI93),1),IF($AJ93&gt;0,INDEX(CE$7:CE$106,$AJ93),1))))</ns0:f>
        <ns0:v>1</ns0:v>
      </ns0:c>
      <ns0:c r="CG93" t="n">
        <ns0:f>IF($A93="",1,IF(CF93=1,1,--AND(IF($AC93&gt;0,INDEX(CF$7:CF$106,$AC93),1),IF($AD93&gt;0,INDEX(CF$7:CF$106,$AD93),1),IF($AE93&gt;0,INDEX(CF$7:CF$106,$AE93),1),IF($AF93&gt;0,INDEX(CF$7:CF$106,$AF93),1),IF($AG93&gt;0,INDEX(CF$7:CF$106,$AG93),1),IF($AH93&gt;0,INDEX(CF$7:CF$106,$AH93),1),IF($AI93&gt;0,INDEX(CF$7:CF$106,$AI93),1),IF($AJ93&gt;0,INDEX(CF$7:CF$106,$AJ93),1))))</ns0:f>
        <ns0:v>1</ns0:v>
      </ns0:c>
      <ns0:c r="CH93" t="n">
        <ns0:f>IF($A93="",1,IF(CG93=1,1,--AND(IF($AC93&gt;0,INDEX(CG$7:CG$106,$AC93),1),IF($AD93&gt;0,INDEX(CG$7:CG$106,$AD93),1),IF($AE93&gt;0,INDEX(CG$7:CG$106,$AE93),1),IF($AF93&gt;0,INDEX(CG$7:CG$106,$AF93),1),IF($AG93&gt;0,INDEX(CG$7:CG$106,$AG93),1),IF($AH93&gt;0,INDEX(CG$7:CG$106,$AH93),1),IF($AI93&gt;0,INDEX(CG$7:CG$106,$AI93),1),IF($AJ93&gt;0,INDEX(CG$7:CG$106,$AJ93),1))))</ns0:f>
        <ns0:v>1</ns0:v>
      </ns0:c>
      <ns0:c r="CI93" t="n">
        <ns0:f>IF($A93="",1,IF(CH93=1,1,--AND(IF($AC93&gt;0,INDEX(CH$7:CH$106,$AC93),1),IF($AD93&gt;0,INDEX(CH$7:CH$106,$AD93),1),IF($AE93&gt;0,INDEX(CH$7:CH$106,$AE93),1),IF($AF93&gt;0,INDEX(CH$7:CH$106,$AF93),1),IF($AG93&gt;0,INDEX(CH$7:CH$106,$AG93),1),IF($AH93&gt;0,INDEX(CH$7:CH$106,$AH93),1),IF($AI93&gt;0,INDEX(CH$7:CH$106,$AI93),1),IF($AJ93&gt;0,INDEX(CH$7:CH$106,$AJ93),1))))</ns0:f>
        <ns0:v>1</ns0:v>
      </ns0:c>
      <ns0:c r="CJ93" t="n">
        <ns0:f>IF($A93="",1,IF(CI93=1,1,--AND(IF($AC93&gt;0,INDEX(CI$7:CI$106,$AC93),1),IF($AD93&gt;0,INDEX(CI$7:CI$106,$AD93),1),IF($AE93&gt;0,INDEX(CI$7:CI$106,$AE93),1),IF($AF93&gt;0,INDEX(CI$7:CI$106,$AF93),1),IF($AG93&gt;0,INDEX(CI$7:CI$106,$AG93),1),IF($AH93&gt;0,INDEX(CI$7:CI$106,$AH93),1),IF($AI93&gt;0,INDEX(CI$7:CI$106,$AI93),1),IF($AJ93&gt;0,INDEX(CI$7:CI$106,$AJ93),1))))</ns0:f>
        <ns0:v>1</ns0:v>
      </ns0:c>
      <ns0:c r="CK93" t="n">
        <ns0:f>IF($A93="",1,IF(CJ93=1,1,--AND(IF($AC93&gt;0,INDEX(CJ$7:CJ$106,$AC93),1),IF($AD93&gt;0,INDEX(CJ$7:CJ$106,$AD93),1),IF($AE93&gt;0,INDEX(CJ$7:CJ$106,$AE93),1),IF($AF93&gt;0,INDEX(CJ$7:CJ$106,$AF93),1),IF($AG93&gt;0,INDEX(CJ$7:CJ$106,$AG93),1),IF($AH93&gt;0,INDEX(CJ$7:CJ$106,$AH93),1),IF($AI93&gt;0,INDEX(CJ$7:CJ$106,$AI93),1),IF($AJ93&gt;0,INDEX(CJ$7:CJ$106,$AJ93),1))))</ns0:f>
        <ns0:v>1</ns0:v>
      </ns0:c>
      <ns0:c r="CL93" t="n">
        <ns0:f>IF($A93="",1,IF(CK93=1,1,--AND(IF($AC93&gt;0,INDEX(CK$7:CK$106,$AC93),1),IF($AD93&gt;0,INDEX(CK$7:CK$106,$AD93),1),IF($AE93&gt;0,INDEX(CK$7:CK$106,$AE93),1),IF($AF93&gt;0,INDEX(CK$7:CK$106,$AF93),1),IF($AG93&gt;0,INDEX(CK$7:CK$106,$AG93),1),IF($AH93&gt;0,INDEX(CK$7:CK$106,$AH93),1),IF($AI93&gt;0,INDEX(CK$7:CK$106,$AI93),1),IF($AJ93&gt;0,INDEX(CK$7:CK$106,$AJ93),1))))</ns0:f>
        <ns0:v>1</ns0:v>
      </ns0:c>
      <ns0:c r="CM93" t="n">
        <ns0:f>IF($A93="",1,IF(CL93=1,1,--AND(IF($AC93&gt;0,INDEX(CL$7:CL$106,$AC93),1),IF($AD93&gt;0,INDEX(CL$7:CL$106,$AD93),1),IF($AE93&gt;0,INDEX(CL$7:CL$106,$AE93),1),IF($AF93&gt;0,INDEX(CL$7:CL$106,$AF93),1),IF($AG93&gt;0,INDEX(CL$7:CL$106,$AG93),1),IF($AH93&gt;0,INDEX(CL$7:CL$106,$AH93),1),IF($AI93&gt;0,INDEX(CL$7:CL$106,$AI93),1),IF($AJ93&gt;0,INDEX(CL$7:CL$106,$AJ93),1))))</ns0:f>
        <ns0:v>1</ns0:v>
      </ns0:c>
      <ns0:c r="CN93" t="n">
        <ns0:f>IF($A93="",1,IF(CM93=1,1,--AND(IF($AC93&gt;0,INDEX(CM$7:CM$106,$AC93),1),IF($AD93&gt;0,INDEX(CM$7:CM$106,$AD93),1),IF($AE93&gt;0,INDEX(CM$7:CM$106,$AE93),1),IF($AF93&gt;0,INDEX(CM$7:CM$106,$AF93),1),IF($AG93&gt;0,INDEX(CM$7:CM$106,$AG93),1),IF($AH93&gt;0,INDEX(CM$7:CM$106,$AH93),1),IF($AI93&gt;0,INDEX(CM$7:CM$106,$AI93),1),IF($AJ93&gt;0,INDEX(CM$7:CM$106,$AJ93),1))))</ns0:f>
        <ns0:v>1</ns0:v>
      </ns0:c>
      <ns0:c r="CO93" t="n">
        <ns0:f>IF($A93="",1,IF(CN93=1,1,--AND(IF($AC93&gt;0,INDEX(CN$7:CN$106,$AC93),1),IF($AD93&gt;0,INDEX(CN$7:CN$106,$AD93),1),IF($AE93&gt;0,INDEX(CN$7:CN$106,$AE93),1),IF($AF93&gt;0,INDEX(CN$7:CN$106,$AF93),1),IF($AG93&gt;0,INDEX(CN$7:CN$106,$AG93),1),IF($AH93&gt;0,INDEX(CN$7:CN$106,$AH93),1),IF($AI93&gt;0,INDEX(CN$7:CN$106,$AI93),1),IF($AJ93&gt;0,INDEX(CN$7:CN$106,$AJ93),1))))</ns0:f>
        <ns0:v>1</ns0:v>
      </ns0:c>
      <ns0:c r="CP93" t="n">
        <ns0:f>IF($A93="",1,IF(CO93=1,1,--AND(IF($AC93&gt;0,INDEX(CO$7:CO$106,$AC93),1),IF($AD93&gt;0,INDEX(CO$7:CO$106,$AD93),1),IF($AE93&gt;0,INDEX(CO$7:CO$106,$AE93),1),IF($AF93&gt;0,INDEX(CO$7:CO$106,$AF93),1),IF($AG93&gt;0,INDEX(CO$7:CO$106,$AG93),1),IF($AH93&gt;0,INDEX(CO$7:CO$106,$AH93),1),IF($AI93&gt;0,INDEX(CO$7:CO$106,$AI93),1),IF($AJ93&gt;0,INDEX(CO$7:CO$106,$AJ93),1))))</ns0:f>
        <ns0:v>1</ns0:v>
      </ns0:c>
      <ns0:c r="CQ93" t="n">
        <ns0:f>IF($A93="",1,IF(CP93=1,1,--AND(IF($AC93&gt;0,INDEX(CP$7:CP$106,$AC93),1),IF($AD93&gt;0,INDEX(CP$7:CP$106,$AD93),1),IF($AE93&gt;0,INDEX(CP$7:CP$106,$AE93),1),IF($AF93&gt;0,INDEX(CP$7:CP$106,$AF93),1),IF($AG93&gt;0,INDEX(CP$7:CP$106,$AG93),1),IF($AH93&gt;0,INDEX(CP$7:CP$106,$AH93),1),IF($AI93&gt;0,INDEX(CP$7:CP$106,$AI93),1),IF($AJ93&gt;0,INDEX(CP$7:CP$106,$AJ93),1))))</ns0:f>
        <ns0:v>1</ns0:v>
      </ns0:c>
      <ns0:c r="CR93" t="n">
        <ns0:f>IF($A93="",1,IF(CQ93=1,1,--AND(IF($AC93&gt;0,INDEX(CQ$7:CQ$106,$AC93),1),IF($AD93&gt;0,INDEX(CQ$7:CQ$106,$AD93),1),IF($AE93&gt;0,INDEX(CQ$7:CQ$106,$AE93),1),IF($AF93&gt;0,INDEX(CQ$7:CQ$106,$AF93),1),IF($AG93&gt;0,INDEX(CQ$7:CQ$106,$AG93),1),IF($AH93&gt;0,INDEX(CQ$7:CQ$106,$AH93),1),IF($AI93&gt;0,INDEX(CQ$7:CQ$106,$AI93),1),IF($AJ93&gt;0,INDEX(CQ$7:CQ$106,$AJ93),1))))</ns0:f>
        <ns0:v>1</ns0:v>
      </ns0:c>
      <ns0:c r="CS93" t="n">
        <ns0:f>IF($A93="",1,IF(CR93=1,1,--AND(IF($AC93&gt;0,INDEX(CR$7:CR$106,$AC93),1),IF($AD93&gt;0,INDEX(CR$7:CR$106,$AD93),1),IF($AE93&gt;0,INDEX(CR$7:CR$106,$AE93),1),IF($AF93&gt;0,INDEX(CR$7:CR$106,$AF93),1),IF($AG93&gt;0,INDEX(CR$7:CR$106,$AG93),1),IF($AH93&gt;0,INDEX(CR$7:CR$106,$AH93),1),IF($AI93&gt;0,INDEX(CR$7:CR$106,$AI93),1),IF($AJ93&gt;0,INDEX(CR$7:CR$106,$AJ93),1))))</ns0:f>
        <ns0:v>1</ns0:v>
      </ns0:c>
      <ns0:c r="CT93" t="n">
        <ns0:f>IF($A93="",1,IF(CS93=1,1,--AND(IF($AC93&gt;0,INDEX(CS$7:CS$106,$AC93),1),IF($AD93&gt;0,INDEX(CS$7:CS$106,$AD93),1),IF($AE93&gt;0,INDEX(CS$7:CS$106,$AE93),1),IF($AF93&gt;0,INDEX(CS$7:CS$106,$AF93),1),IF($AG93&gt;0,INDEX(CS$7:CS$106,$AG93),1),IF($AH93&gt;0,INDEX(CS$7:CS$106,$AH93),1),IF($AI93&gt;0,INDEX(CS$7:CS$106,$AI93),1),IF($AJ93&gt;0,INDEX(CS$7:CS$106,$AJ93),1))))</ns0:f>
        <ns0:v>1</ns0:v>
      </ns0:c>
      <ns0:c r="CU93" t="n">
        <ns0:f>IF($A93="",1,IF(CT93=1,1,--AND(IF($AC93&gt;0,INDEX(CT$7:CT$106,$AC93),1),IF($AD93&gt;0,INDEX(CT$7:CT$106,$AD93),1),IF($AE93&gt;0,INDEX(CT$7:CT$106,$AE93),1),IF($AF93&gt;0,INDEX(CT$7:CT$106,$AF93),1),IF($AG93&gt;0,INDEX(CT$7:CT$106,$AG93),1),IF($AH93&gt;0,INDEX(CT$7:CT$106,$AH93),1),IF($AI93&gt;0,INDEX(CT$7:CT$106,$AI93),1),IF($AJ93&gt;0,INDEX(CT$7:CT$106,$AJ93),1))))</ns0:f>
        <ns0:v>1</ns0:v>
      </ns0:c>
      <ns0:c r="CV93" t="n">
        <ns0:f>IF($A93="",1,IF(CU93=1,1,--AND(IF($AC93&gt;0,INDEX(CU$7:CU$106,$AC93),1),IF($AD93&gt;0,INDEX(CU$7:CU$106,$AD93),1),IF($AE93&gt;0,INDEX(CU$7:CU$106,$AE93),1),IF($AF93&gt;0,INDEX(CU$7:CU$106,$AF93),1),IF($AG93&gt;0,INDEX(CU$7:CU$106,$AG93),1),IF($AH93&gt;0,INDEX(CU$7:CU$106,$AH93),1),IF($AI93&gt;0,INDEX(CU$7:CU$106,$AI93),1),IF($AJ93&gt;0,INDEX(CU$7:CU$106,$AJ93),1))))</ns0:f>
        <ns0:v>1</ns0:v>
      </ns0:c>
      <ns0:c r="CW93" t="n">
        <ns0:f>IF($A93="",1,IF(CV93=1,1,--AND(IF($AC93&gt;0,INDEX(CV$7:CV$106,$AC93),1),IF($AD93&gt;0,INDEX(CV$7:CV$106,$AD93),1),IF($AE93&gt;0,INDEX(CV$7:CV$106,$AE93),1),IF($AF93&gt;0,INDEX(CV$7:CV$106,$AF93),1),IF($AG93&gt;0,INDEX(CV$7:CV$106,$AG93),1),IF($AH93&gt;0,INDEX(CV$7:CV$106,$AH93),1),IF($AI93&gt;0,INDEX(CV$7:CV$106,$AI93),1),IF($AJ93&gt;0,INDEX(CV$7:CV$106,$AJ93),1))))</ns0:f>
        <ns0:v>1</ns0:v>
      </ns0:c>
      <ns0:c r="CX93" t="n">
        <ns0:f>IF($A93="",1,IF(CW93=1,1,--AND(IF($AC93&gt;0,INDEX(CW$7:CW$106,$AC93),1),IF($AD93&gt;0,INDEX(CW$7:CW$106,$AD93),1),IF($AE93&gt;0,INDEX(CW$7:CW$106,$AE93),1),IF($AF93&gt;0,INDEX(CW$7:CW$106,$AF93),1),IF($AG93&gt;0,INDEX(CW$7:CW$106,$AG93),1),IF($AH93&gt;0,INDEX(CW$7:CW$106,$AH93),1),IF($AI93&gt;0,INDEX(CW$7:CW$106,$AI93),1),IF($AJ93&gt;0,INDEX(CW$7:CW$106,$AJ93),1))))</ns0:f>
        <ns0:v>1</ns0:v>
      </ns0:c>
      <ns0:c r="CY93" t="n">
        <ns0:f>IF($A93="",1,IF(CX93=1,1,--AND(IF($AC93&gt;0,INDEX(CX$7:CX$106,$AC93),1),IF($AD93&gt;0,INDEX(CX$7:CX$106,$AD93),1),IF($AE93&gt;0,INDEX(CX$7:CX$106,$AE93),1),IF($AF93&gt;0,INDEX(CX$7:CX$106,$AF93),1),IF($AG93&gt;0,INDEX(CX$7:CX$106,$AG93),1),IF($AH93&gt;0,INDEX(CX$7:CX$106,$AH93),1),IF($AI93&gt;0,INDEX(CX$7:CX$106,$AI93),1),IF($AJ93&gt;0,INDEX(CX$7:CX$106,$AJ93),1))))</ns0:f>
        <ns0:v>1</ns0:v>
      </ns0:c>
      <ns0:c r="CZ93" t="n">
        <ns0:f>IF($A93="",1,IF(CY93=1,1,--AND(IF($AC93&gt;0,INDEX(CY$7:CY$106,$AC93),1),IF($AD93&gt;0,INDEX(CY$7:CY$106,$AD93),1),IF($AE93&gt;0,INDEX(CY$7:CY$106,$AE93),1),IF($AF93&gt;0,INDEX(CY$7:CY$106,$AF93),1),IF($AG93&gt;0,INDEX(CY$7:CY$106,$AG93),1),IF($AH93&gt;0,INDEX(CY$7:CY$106,$AH93),1),IF($AI93&gt;0,INDEX(CY$7:CY$106,$AI93),1),IF($AJ93&gt;0,INDEX(CY$7:CY$106,$AJ93),1))))</ns0:f>
        <ns0:v>1</ns0:v>
      </ns0:c>
      <ns0:c r="DA93" t="n">
        <ns0:f>IF($A93="",1,IF(CZ93=1,1,--AND(IF($AC93&gt;0,INDEX(CZ$7:CZ$106,$AC93),1),IF($AD93&gt;0,INDEX(CZ$7:CZ$106,$AD93),1),IF($AE93&gt;0,INDEX(CZ$7:CZ$106,$AE93),1),IF($AF93&gt;0,INDEX(CZ$7:CZ$106,$AF93),1),IF($AG93&gt;0,INDEX(CZ$7:CZ$106,$AG93),1),IF($AH93&gt;0,INDEX(CZ$7:CZ$106,$AH93),1),IF($AI93&gt;0,INDEX(CZ$7:CZ$106,$AI93),1),IF($AJ93&gt;0,INDEX(CZ$7:CZ$106,$AJ93),1))))</ns0:f>
        <ns0:v>1</ns0:v>
      </ns0:c>
      <ns0:c r="DB93" t="n">
        <ns0:f>IF($A93="",1,IF(DA93=1,1,--AND(IF($AC93&gt;0,INDEX(DA$7:DA$106,$AC93),1),IF($AD93&gt;0,INDEX(DA$7:DA$106,$AD93),1),IF($AE93&gt;0,INDEX(DA$7:DA$106,$AE93),1),IF($AF93&gt;0,INDEX(DA$7:DA$106,$AF93),1),IF($AG93&gt;0,INDEX(DA$7:DA$106,$AG93),1),IF($AH93&gt;0,INDEX(DA$7:DA$106,$AH93),1),IF($AI93&gt;0,INDEX(DA$7:DA$106,$AI93),1),IF($AJ93&gt;0,INDEX(DA$7:DA$106,$AJ93),1))))</ns0:f>
        <ns0:v>1</ns0:v>
      </ns0:c>
      <ns0:c r="DC93" t="n">
        <ns0:f>IF($A93="",1,IF(DB93=1,1,--AND(IF($AC93&gt;0,INDEX(DB$7:DB$106,$AC93),1),IF($AD93&gt;0,INDEX(DB$7:DB$106,$AD93),1),IF($AE93&gt;0,INDEX(DB$7:DB$106,$AE93),1),IF($AF93&gt;0,INDEX(DB$7:DB$106,$AF93),1),IF($AG93&gt;0,INDEX(DB$7:DB$106,$AG93),1),IF($AH93&gt;0,INDEX(DB$7:DB$106,$AH93),1),IF($AI93&gt;0,INDEX(DB$7:DB$106,$AI93),1),IF($AJ93&gt;0,INDEX(DB$7:DB$106,$AJ93),1))))</ns0:f>
        <ns0:v>1</ns0:v>
      </ns0:c>
      <ns0:c r="DD93" t="n">
        <ns0:f>IF($A93="",1,IF(DC93=1,1,--AND(IF($AC93&gt;0,INDEX(DC$7:DC$106,$AC93),1),IF($AD93&gt;0,INDEX(DC$7:DC$106,$AD93),1),IF($AE93&gt;0,INDEX(DC$7:DC$106,$AE93),1),IF($AF93&gt;0,INDEX(DC$7:DC$106,$AF93),1),IF($AG93&gt;0,INDEX(DC$7:DC$106,$AG93),1),IF($AH93&gt;0,INDEX(DC$7:DC$106,$AH93),1),IF($AI93&gt;0,INDEX(DC$7:DC$106,$AI93),1),IF($AJ93&gt;0,INDEX(DC$7:DC$106,$AJ93),1))))</ns0:f>
        <ns0:v>1</ns0:v>
      </ns0:c>
      <ns0:c r="DE93" t="n">
        <ns0:f>IF($A93="",1,IF(DD93=1,1,--AND(IF($AC93&gt;0,INDEX(DD$7:DD$106,$AC93),1),IF($AD93&gt;0,INDEX(DD$7:DD$106,$AD93),1),IF($AE93&gt;0,INDEX(DD$7:DD$106,$AE93),1),IF($AF93&gt;0,INDEX(DD$7:DD$106,$AF93),1),IF($AG93&gt;0,INDEX(DD$7:DD$106,$AG93),1),IF($AH93&gt;0,INDEX(DD$7:DD$106,$AH93),1),IF($AI93&gt;0,INDEX(DD$7:DD$106,$AI93),1),IF($AJ93&gt;0,INDEX(DD$7:DD$106,$AJ93),1))))</ns0:f>
        <ns0:v>1</ns0:v>
      </ns0:c>
      <ns0:c r="DF93" t="n">
        <ns0:f>IF($A93="",1,IF(DE93=1,1,--AND(IF($AC93&gt;0,INDEX(DE$7:DE$106,$AC93),1),IF($AD93&gt;0,INDEX(DE$7:DE$106,$AD93),1),IF($AE93&gt;0,INDEX(DE$7:DE$106,$AE93),1),IF($AF93&gt;0,INDEX(DE$7:DE$106,$AF93),1),IF($AG93&gt;0,INDEX(DE$7:DE$106,$AG93),1),IF($AH93&gt;0,INDEX(DE$7:DE$106,$AH93),1),IF($AI93&gt;0,INDEX(DE$7:DE$106,$AI93),1),IF($AJ93&gt;0,INDEX(DE$7:DE$106,$AJ93),1))))</ns0:f>
        <ns0:v>1</ns0:v>
      </ns0:c>
      <ns0:c r="DG93" t="n">
        <ns0:f>IF($A93="",1,IF(DF93=1,1,--AND(IF($AC93&gt;0,INDEX(DF$7:DF$106,$AC93),1),IF($AD93&gt;0,INDEX(DF$7:DF$106,$AD93),1),IF($AE93&gt;0,INDEX(DF$7:DF$106,$AE93),1),IF($AF93&gt;0,INDEX(DF$7:DF$106,$AF93),1),IF($AG93&gt;0,INDEX(DF$7:DF$106,$AG93),1),IF($AH93&gt;0,INDEX(DF$7:DF$106,$AH93),1),IF($AI93&gt;0,INDEX(DF$7:DF$106,$AI93),1),IF($AJ93&gt;0,INDEX(DF$7:DF$106,$AJ93),1))))</ns0:f>
        <ns0:v>1</ns0:v>
      </ns0:c>
      <ns0:c r="DH93" t="n">
        <ns0:f>IF($A93="",1,IF(DG93=1,1,--AND(IF($AC93&gt;0,INDEX(DG$7:DG$106,$AC93),1),IF($AD93&gt;0,INDEX(DG$7:DG$106,$AD93),1),IF($AE93&gt;0,INDEX(DG$7:DG$106,$AE93),1),IF($AF93&gt;0,INDEX(DG$7:DG$106,$AF93),1),IF($AG93&gt;0,INDEX(DG$7:DG$106,$AG93),1),IF($AH93&gt;0,INDEX(DG$7:DG$106,$AH93),1),IF($AI93&gt;0,INDEX(DG$7:DG$106,$AI93),1),IF($AJ93&gt;0,INDEX(DG$7:DG$106,$AJ93),1))))</ns0:f>
        <ns0:v>1</ns0:v>
      </ns0:c>
      <ns0:c r="DI93" t="n">
        <ns0:f>IF($A93="",1,IF(DH93=1,1,--AND(IF($AC93&gt;0,INDEX(DH$7:DH$106,$AC93),1),IF($AD93&gt;0,INDEX(DH$7:DH$106,$AD93),1),IF($AE93&gt;0,INDEX(DH$7:DH$106,$AE93),1),IF($AF93&gt;0,INDEX(DH$7:DH$106,$AF93),1),IF($AG93&gt;0,INDEX(DH$7:DH$106,$AG93),1),IF($AH93&gt;0,INDEX(DH$7:DH$106,$AH93),1),IF($AI93&gt;0,INDEX(DH$7:DH$106,$AI93),1),IF($AJ93&gt;0,INDEX(DH$7:DH$106,$AJ93),1))))</ns0:f>
        <ns0:v>1</ns0:v>
      </ns0:c>
      <ns0:c r="DJ93" t="n">
        <ns0:f>IF($A93="",1,IF(DI93=1,1,--AND(IF($AC93&gt;0,INDEX(DI$7:DI$106,$AC93),1),IF($AD93&gt;0,INDEX(DI$7:DI$106,$AD93),1),IF($AE93&gt;0,INDEX(DI$7:DI$106,$AE93),1),IF($AF93&gt;0,INDEX(DI$7:DI$106,$AF93),1),IF($AG93&gt;0,INDEX(DI$7:DI$106,$AG93),1),IF($AH93&gt;0,INDEX(DI$7:DI$106,$AH93),1),IF($AI93&gt;0,INDEX(DI$7:DI$106,$AI93),1),IF($AJ93&gt;0,INDEX(DI$7:DI$106,$AJ93),1))))</ns0:f>
        <ns0:v>1</ns0:v>
      </ns0:c>
      <ns0:c r="DK93" t="n">
        <ns0:f>IF($A93="",1,IF(DJ93=1,1,--AND(IF($AC93&gt;0,INDEX(DJ$7:DJ$106,$AC93),1),IF($AD93&gt;0,INDEX(DJ$7:DJ$106,$AD93),1),IF($AE93&gt;0,INDEX(DJ$7:DJ$106,$AE93),1),IF($AF93&gt;0,INDEX(DJ$7:DJ$106,$AF93),1),IF($AG93&gt;0,INDEX(DJ$7:DJ$106,$AG93),1),IF($AH93&gt;0,INDEX(DJ$7:DJ$106,$AH93),1),IF($AI93&gt;0,INDEX(DJ$7:DJ$106,$AI93),1),IF($AJ93&gt;0,INDEX(DJ$7:DJ$106,$AJ93),1))))</ns0:f>
        <ns0:v>1</ns0:v>
      </ns0:c>
      <ns0:c r="DL93" t="n">
        <ns0:f>IF($A93="",1,IF(DK93=1,1,--AND(IF($AC93&gt;0,INDEX(DK$7:DK$106,$AC93),1),IF($AD93&gt;0,INDEX(DK$7:DK$106,$AD93),1),IF($AE93&gt;0,INDEX(DK$7:DK$106,$AE93),1),IF($AF93&gt;0,INDEX(DK$7:DK$106,$AF93),1),IF($AG93&gt;0,INDEX(DK$7:DK$106,$AG93),1),IF($AH93&gt;0,INDEX(DK$7:DK$106,$AH93),1),IF($AI93&gt;0,INDEX(DK$7:DK$106,$AI93),1),IF($AJ93&gt;0,INDEX(DK$7:DK$106,$AJ93),1))))</ns0:f>
        <ns0:v>1</ns0:v>
      </ns0:c>
      <ns0:c r="DM93" t="n">
        <ns0:f>IF($A93="",1,IF(DL93=1,1,--AND(IF($AC93&gt;0,INDEX(DL$7:DL$106,$AC93),1),IF($AD93&gt;0,INDEX(DL$7:DL$106,$AD93),1),IF($AE93&gt;0,INDEX(DL$7:DL$106,$AE93),1),IF($AF93&gt;0,INDEX(DL$7:DL$106,$AF93),1),IF($AG93&gt;0,INDEX(DL$7:DL$106,$AG93),1),IF($AH93&gt;0,INDEX(DL$7:DL$106,$AH93),1),IF($AI93&gt;0,INDEX(DL$7:DL$106,$AI93),1),IF($AJ93&gt;0,INDEX(DL$7:DL$106,$AJ93),1))))</ns0:f>
        <ns0:v>1</ns0:v>
      </ns0:c>
      <ns0:c r="DN93" t="n">
        <ns0:f>IF($A93="",1,IF(DM93=1,1,--AND(IF($AC93&gt;0,INDEX(DM$7:DM$106,$AC93),1),IF($AD93&gt;0,INDEX(DM$7:DM$106,$AD93),1),IF($AE93&gt;0,INDEX(DM$7:DM$106,$AE93),1),IF($AF93&gt;0,INDEX(DM$7:DM$106,$AF93),1),IF($AG93&gt;0,INDEX(DM$7:DM$106,$AG93),1),IF($AH93&gt;0,INDEX(DM$7:DM$106,$AH93),1),IF($AI93&gt;0,INDEX(DM$7:DM$106,$AI93),1),IF($AJ93&gt;0,INDEX(DM$7:DM$106,$AJ93),1))))</ns0:f>
        <ns0:v>1</ns0:v>
      </ns0:c>
      <ns0:c r="DO93" t="n">
        <ns0:f>IF($A93="",1,IF(DN93=1,1,--AND(IF($AC93&gt;0,INDEX(DN$7:DN$106,$AC93),1),IF($AD93&gt;0,INDEX(DN$7:DN$106,$AD93),1),IF($AE93&gt;0,INDEX(DN$7:DN$106,$AE93),1),IF($AF93&gt;0,INDEX(DN$7:DN$106,$AF93),1),IF($AG93&gt;0,INDEX(DN$7:DN$106,$AG93),1),IF($AH93&gt;0,INDEX(DN$7:DN$106,$AH93),1),IF($AI93&gt;0,INDEX(DN$7:DN$106,$AI93),1),IF($AJ93&gt;0,INDEX(DN$7:DN$106,$AJ93),1))))</ns0:f>
        <ns0:v>1</ns0:v>
      </ns0:c>
      <ns0:c r="DP93" t="n">
        <ns0:f>IF($A93="",1,IF(DO93=1,1,--AND(IF($AC93&gt;0,INDEX(DO$7:DO$106,$AC93),1),IF($AD93&gt;0,INDEX(DO$7:DO$106,$AD93),1),IF($AE93&gt;0,INDEX(DO$7:DO$106,$AE93),1),IF($AF93&gt;0,INDEX(DO$7:DO$106,$AF93),1),IF($AG93&gt;0,INDEX(DO$7:DO$106,$AG93),1),IF($AH93&gt;0,INDEX(DO$7:DO$106,$AH93),1),IF($AI93&gt;0,INDEX(DO$7:DO$106,$AI93),1),IF($AJ93&gt;0,INDEX(DO$7:DO$106,$AJ93),1))))</ns0:f>
        <ns0:v>1</ns0:v>
      </ns0:c>
      <ns0:c r="DQ93" t="n">
        <ns0:f>IF($A93="",1,IF(DP93=1,1,--AND(IF($AC93&gt;0,INDEX(DP$7:DP$106,$AC93),1),IF($AD93&gt;0,INDEX(DP$7:DP$106,$AD93),1),IF($AE93&gt;0,INDEX(DP$7:DP$106,$AE93),1),IF($AF93&gt;0,INDEX(DP$7:DP$106,$AF93),1),IF($AG93&gt;0,INDEX(DP$7:DP$106,$AG93),1),IF($AH93&gt;0,INDEX(DP$7:DP$106,$AH93),1),IF($AI93&gt;0,INDEX(DP$7:DP$106,$AI93),1),IF($AJ93&gt;0,INDEX(DP$7:DP$106,$AJ93),1))))</ns0:f>
        <ns0:v>1</ns0:v>
      </ns0:c>
      <ns0:c r="DR93" t="n">
        <ns0:f>IF($A93="",1,IF(DQ93=1,1,--AND(IF($AC93&gt;0,INDEX(DQ$7:DQ$106,$AC93),1),IF($AD93&gt;0,INDEX(DQ$7:DQ$106,$AD93),1),IF($AE93&gt;0,INDEX(DQ$7:DQ$106,$AE93),1),IF($AF93&gt;0,INDEX(DQ$7:DQ$106,$AF93),1),IF($AG93&gt;0,INDEX(DQ$7:DQ$106,$AG93),1),IF($AH93&gt;0,INDEX(DQ$7:DQ$106,$AH93),1),IF($AI93&gt;0,INDEX(DQ$7:DQ$106,$AI93),1),IF($AJ93&gt;0,INDEX(DQ$7:DQ$106,$AJ93),1))))</ns0:f>
        <ns0:v>1</ns0:v>
      </ns0:c>
      <ns0:c r="DS93" t="n">
        <ns0:f>IF($A93="",1,IF(DR93=1,1,--AND(IF($AC93&gt;0,INDEX(DR$7:DR$106,$AC93),1),IF($AD93&gt;0,INDEX(DR$7:DR$106,$AD93),1),IF($AE93&gt;0,INDEX(DR$7:DR$106,$AE93),1),IF($AF93&gt;0,INDEX(DR$7:DR$106,$AF93),1),IF($AG93&gt;0,INDEX(DR$7:DR$106,$AG93),1),IF($AH93&gt;0,INDEX(DR$7:DR$106,$AH93),1),IF($AI93&gt;0,INDEX(DR$7:DR$106,$AI93),1),IF($AJ93&gt;0,INDEX(DR$7:DR$106,$AJ93),1))))</ns0:f>
        <ns0:v>1</ns0:v>
      </ns0:c>
      <ns0:c r="DT93" t="n">
        <ns0:f>IF($A93="",1,IF(DS93=1,1,--AND(IF($AC93&gt;0,INDEX(DS$7:DS$106,$AC93),1),IF($AD93&gt;0,INDEX(DS$7:DS$106,$AD93),1),IF($AE93&gt;0,INDEX(DS$7:DS$106,$AE93),1),IF($AF93&gt;0,INDEX(DS$7:DS$106,$AF93),1),IF($AG93&gt;0,INDEX(DS$7:DS$106,$AG93),1),IF($AH93&gt;0,INDEX(DS$7:DS$106,$AH93),1),IF($AI93&gt;0,INDEX(DS$7:DS$106,$AI93),1),IF($AJ93&gt;0,INDEX(DS$7:DS$106,$AJ93),1))))</ns0:f>
        <ns0:v>1</ns0:v>
      </ns0:c>
      <ns0:c r="DU93" t="n">
        <ns0:f>IF($A93="",1,IF(DT93=1,1,--AND(IF($AC93&gt;0,INDEX(DT$7:DT$106,$AC93),1),IF($AD93&gt;0,INDEX(DT$7:DT$106,$AD93),1),IF($AE93&gt;0,INDEX(DT$7:DT$106,$AE93),1),IF($AF93&gt;0,INDEX(DT$7:DT$106,$AF93),1),IF($AG93&gt;0,INDEX(DT$7:DT$106,$AG93),1),IF($AH93&gt;0,INDEX(DT$7:DT$106,$AH93),1),IF($AI93&gt;0,INDEX(DT$7:DT$106,$AI93),1),IF($AJ93&gt;0,INDEX(DT$7:DT$106,$AJ93),1))))</ns0:f>
        <ns0:v>1</ns0:v>
      </ns0:c>
      <ns0:c r="DV93" t="n">
        <ns0:f>IF($A93="",1,IF(DU93=1,1,--AND(IF($AC93&gt;0,INDEX(DU$7:DU$106,$AC93),1),IF($AD93&gt;0,INDEX(DU$7:DU$106,$AD93),1),IF($AE93&gt;0,INDEX(DU$7:DU$106,$AE93),1),IF($AF93&gt;0,INDEX(DU$7:DU$106,$AF93),1),IF($AG93&gt;0,INDEX(DU$7:DU$106,$AG93),1),IF($AH93&gt;0,INDEX(DU$7:DU$106,$AH93),1),IF($AI93&gt;0,INDEX(DU$7:DU$106,$AI93),1),IF($AJ93&gt;0,INDEX(DU$7:DU$106,$AJ93),1))))</ns0:f>
        <ns0:v>1</ns0:v>
      </ns0:c>
      <ns0:c r="DW93" t="n">
        <ns0:f>IF($A93="",1,IF(DV93=1,1,--AND(IF($AC93&gt;0,INDEX(DV$7:DV$106,$AC93),1),IF($AD93&gt;0,INDEX(DV$7:DV$106,$AD93),1),IF($AE93&gt;0,INDEX(DV$7:DV$106,$AE93),1),IF($AF93&gt;0,INDEX(DV$7:DV$106,$AF93),1),IF($AG93&gt;0,INDEX(DV$7:DV$106,$AG93),1),IF($AH93&gt;0,INDEX(DV$7:DV$106,$AH93),1),IF($AI93&gt;0,INDEX(DV$7:DV$106,$AI93),1),IF($AJ93&gt;0,INDEX(DV$7:DV$106,$AJ93),1))))</ns0:f>
        <ns0:v>1</ns0:v>
      </ns0:c>
      <ns0:c r="DX93" t="n">
        <ns0:f>IF($A93="",1,IF(DW93=1,1,--AND(IF($AC93&gt;0,INDEX(DW$7:DW$106,$AC93),1),IF($AD93&gt;0,INDEX(DW$7:DW$106,$AD93),1),IF($AE93&gt;0,INDEX(DW$7:DW$106,$AE93),1),IF($AF93&gt;0,INDEX(DW$7:DW$106,$AF93),1),IF($AG93&gt;0,INDEX(DW$7:DW$106,$AG93),1),IF($AH93&gt;0,INDEX(DW$7:DW$106,$AH93),1),IF($AI93&gt;0,INDEX(DW$7:DW$106,$AI93),1),IF($AJ93&gt;0,INDEX(DW$7:DW$106,$AJ93),1))))</ns0:f>
        <ns0:v>1</ns0:v>
      </ns0:c>
      <ns0:c r="DY93" t="n">
        <ns0:f>IF($A93="",1,IF(DX93=1,1,--AND(IF($AC93&gt;0,INDEX(DX$7:DX$106,$AC93),1),IF($AD93&gt;0,INDEX(DX$7:DX$106,$AD93),1),IF($AE93&gt;0,INDEX(DX$7:DX$106,$AE93),1),IF($AF93&gt;0,INDEX(DX$7:DX$106,$AF93),1),IF($AG93&gt;0,INDEX(DX$7:DX$106,$AG93),1),IF($AH93&gt;0,INDEX(DX$7:DX$106,$AH93),1),IF($AI93&gt;0,INDEX(DX$7:DX$106,$AI93),1),IF($AJ93&gt;0,INDEX(DX$7:DX$106,$AJ93),1))))</ns0:f>
        <ns0:v>1</ns0:v>
      </ns0:c>
      <ns0:c r="DZ93" t="n">
        <ns0:f>IF($A93="",1,IF(DY93=1,1,--AND(IF($AC93&gt;0,INDEX(DY$7:DY$106,$AC93),1),IF($AD93&gt;0,INDEX(DY$7:DY$106,$AD93),1),IF($AE93&gt;0,INDEX(DY$7:DY$106,$AE93),1),IF($AF93&gt;0,INDEX(DY$7:DY$106,$AF93),1),IF($AG93&gt;0,INDEX(DY$7:DY$106,$AG93),1),IF($AH93&gt;0,INDEX(DY$7:DY$106,$AH93),1),IF($AI93&gt;0,INDEX(DY$7:DY$106,$AI93),1),IF($AJ93&gt;0,INDEX(DY$7:DY$106,$AJ93),1))))</ns0:f>
        <ns0:v>1</ns0:v>
      </ns0:c>
      <ns0:c r="EA93" t="n">
        <ns0:f>IF($A93="",1,IF(DZ93=1,1,--AND(IF($AC93&gt;0,INDEX(DZ$7:DZ$106,$AC93),1),IF($AD93&gt;0,INDEX(DZ$7:DZ$106,$AD93),1),IF($AE93&gt;0,INDEX(DZ$7:DZ$106,$AE93),1),IF($AF93&gt;0,INDEX(DZ$7:DZ$106,$AF93),1),IF($AG93&gt;0,INDEX(DZ$7:DZ$106,$AG93),1),IF($AH93&gt;0,INDEX(DZ$7:DZ$106,$AH93),1),IF($AI93&gt;0,INDEX(DZ$7:DZ$106,$AI93),1),IF($AJ93&gt;0,INDEX(DZ$7:DZ$106,$AJ93),1))))</ns0:f>
        <ns0:v>1</ns0:v>
      </ns0:c>
      <ns0:c r="EB93" t="n">
        <ns0:f>IF($A93="",1,IF(EA93=1,1,--AND(IF($AC93&gt;0,INDEX(EA$7:EA$106,$AC93),1),IF($AD93&gt;0,INDEX(EA$7:EA$106,$AD93),1),IF($AE93&gt;0,INDEX(EA$7:EA$106,$AE93),1),IF($AF93&gt;0,INDEX(EA$7:EA$106,$AF93),1),IF($AG93&gt;0,INDEX(EA$7:EA$106,$AG93),1),IF($AH93&gt;0,INDEX(EA$7:EA$106,$AH93),1),IF($AI93&gt;0,INDEX(EA$7:EA$106,$AI93),1),IF($AJ93&gt;0,INDEX(EA$7:EA$106,$AJ93),1))))</ns0:f>
        <ns0:v>1</ns0:v>
      </ns0:c>
      <ns0:c r="EC93" t="n">
        <ns0:f>IF($A93="",1,IF(EB93=1,1,--AND(IF($AC93&gt;0,INDEX(EB$7:EB$106,$AC93),1),IF($AD93&gt;0,INDEX(EB$7:EB$106,$AD93),1),IF($AE93&gt;0,INDEX(EB$7:EB$106,$AE93),1),IF($AF93&gt;0,INDEX(EB$7:EB$106,$AF93),1),IF($AG93&gt;0,INDEX(EB$7:EB$106,$AG93),1),IF($AH93&gt;0,INDEX(EB$7:EB$106,$AH93),1),IF($AI93&gt;0,INDEX(EB$7:EB$106,$AI93),1),IF($AJ93&gt;0,INDEX(EB$7:EB$106,$AJ93),1))))</ns0:f>
        <ns0:v>1</ns0:v>
      </ns0:c>
      <ns0:c r="ED93" t="n">
        <ns0:f>IF($A93="",1,IF(EC93=1,1,--AND(IF($AC93&gt;0,INDEX(EC$7:EC$106,$AC93),1),IF($AD93&gt;0,INDEX(EC$7:EC$106,$AD93),1),IF($AE93&gt;0,INDEX(EC$7:EC$106,$AE93),1),IF($AF93&gt;0,INDEX(EC$7:EC$106,$AF93),1),IF($AG93&gt;0,INDEX(EC$7:EC$106,$AG93),1),IF($AH93&gt;0,INDEX(EC$7:EC$106,$AH93),1),IF($AI93&gt;0,INDEX(EC$7:EC$106,$AI93),1),IF($AJ93&gt;0,INDEX(EC$7:EC$106,$AJ93),1))))</ns0:f>
        <ns0:v>1</ns0:v>
      </ns0:c>
      <ns0:c r="EE93" t="n">
        <ns0:f>IF($A93="",1,IF(ED93=1,1,--AND(IF($AC93&gt;0,INDEX(ED$7:ED$106,$AC93),1),IF($AD93&gt;0,INDEX(ED$7:ED$106,$AD93),1),IF($AE93&gt;0,INDEX(ED$7:ED$106,$AE93),1),IF($AF93&gt;0,INDEX(ED$7:ED$106,$AF93),1),IF($AG93&gt;0,INDEX(ED$7:ED$106,$AG93),1),IF($AH93&gt;0,INDEX(ED$7:ED$106,$AH93),1),IF($AI93&gt;0,INDEX(ED$7:ED$106,$AI93),1),IF($AJ93&gt;0,INDEX(ED$7:ED$106,$AJ93),1))))</ns0:f>
        <ns0:v>1</ns0:v>
      </ns0:c>
      <ns0:c r="EF93" t="n">
        <ns0:f>IF($A93="",1,IF(EE93=1,1,--AND(IF($AC93&gt;0,INDEX(EE$7:EE$106,$AC93),1),IF($AD93&gt;0,INDEX(EE$7:EE$106,$AD93),1),IF($AE93&gt;0,INDEX(EE$7:EE$106,$AE93),1),IF($AF93&gt;0,INDEX(EE$7:EE$106,$AF93),1),IF($AG93&gt;0,INDEX(EE$7:EE$106,$AG93),1),IF($AH93&gt;0,INDEX(EE$7:EE$106,$AH93),1),IF($AI93&gt;0,INDEX(EE$7:EE$106,$AI93),1),IF($AJ93&gt;0,INDEX(EE$7:EE$106,$AJ93),1))))</ns0:f>
        <ns0:v>1</ns0:v>
      </ns0:c>
      <ns0:c r="EG93" t="n">
        <ns0:f>IF($A93="",1,IF(EF93=1,1,--AND(IF($AC93&gt;0,INDEX(EF$7:EF$106,$AC93),1),IF($AD93&gt;0,INDEX(EF$7:EF$106,$AD93),1),IF($AE93&gt;0,INDEX(EF$7:EF$106,$AE93),1),IF($AF93&gt;0,INDEX(EF$7:EF$106,$AF93),1),IF($AG93&gt;0,INDEX(EF$7:EF$106,$AG93),1),IF($AH93&gt;0,INDEX(EF$7:EF$106,$AH93),1),IF($AI93&gt;0,INDEX(EF$7:EF$106,$AI93),1),IF($AJ93&gt;0,INDEX(EF$7:EF$106,$AJ93),1))))</ns0:f>
        <ns0:v>1</ns0:v>
      </ns0:c>
      <ns0:c r="EH93" t="n">
        <ns0:f>IF($A93="",1,IF(EG93=1,1,--AND(IF($AC93&gt;0,INDEX(EG$7:EG$106,$AC93),1),IF($AD93&gt;0,INDEX(EG$7:EG$106,$AD93),1),IF($AE93&gt;0,INDEX(EG$7:EG$106,$AE93),1),IF($AF93&gt;0,INDEX(EG$7:EG$106,$AF93),1),IF($AG93&gt;0,INDEX(EG$7:EG$106,$AG93),1),IF($AH93&gt;0,INDEX(EG$7:EG$106,$AH93),1),IF($AI93&gt;0,INDEX(EG$7:EG$106,$AI93),1),IF($AJ93&gt;0,INDEX(EG$7:EG$106,$AJ93),1))))</ns0:f>
        <ns0:v>1</ns0:v>
      </ns0:c>
      <ns0:c r="EI93" t="n">
        <ns0:f>IF($A93="",1,IF(EH93=1,1,--AND(IF($AC93&gt;0,INDEX(EH$7:EH$106,$AC93),1),IF($AD93&gt;0,INDEX(EH$7:EH$106,$AD93),1),IF($AE93&gt;0,INDEX(EH$7:EH$106,$AE93),1),IF($AF93&gt;0,INDEX(EH$7:EH$106,$AF93),1),IF($AG93&gt;0,INDEX(EH$7:EH$106,$AG93),1),IF($AH93&gt;0,INDEX(EH$7:EH$106,$AH93),1),IF($AI93&gt;0,INDEX(EH$7:EH$106,$AI93),1),IF($AJ93&gt;0,INDEX(EH$7:EH$106,$AJ93),1))))</ns0:f>
        <ns0:v>1</ns0:v>
      </ns0:c>
      <ns0:c r="EJ93" t="n">
        <ns0:f>IF($A93="",1,IF(EI93=1,1,--AND(IF($AC93&gt;0,INDEX(EI$7:EI$106,$AC93),1),IF($AD93&gt;0,INDEX(EI$7:EI$106,$AD93),1),IF($AE93&gt;0,INDEX(EI$7:EI$106,$AE93),1),IF($AF93&gt;0,INDEX(EI$7:EI$106,$AF93),1),IF($AG93&gt;0,INDEX(EI$7:EI$106,$AG93),1),IF($AH93&gt;0,INDEX(EI$7:EI$106,$AH93),1),IF($AI93&gt;0,INDEX(EI$7:EI$106,$AI93),1),IF($AJ93&gt;0,INDEX(EI$7:EI$106,$AJ93),1))))</ns0:f>
        <ns0:v>1</ns0:v>
      </ns0:c>
      <ns0:c r="EK93" t="n">
        <ns0:f>IF($A93="",1,IF(EJ93=1,1,--AND(IF($AC93&gt;0,INDEX(EJ$7:EJ$106,$AC93),1),IF($AD93&gt;0,INDEX(EJ$7:EJ$106,$AD93),1),IF($AE93&gt;0,INDEX(EJ$7:EJ$106,$AE93),1),IF($AF93&gt;0,INDEX(EJ$7:EJ$106,$AF93),1),IF($AG93&gt;0,INDEX(EJ$7:EJ$106,$AG93),1),IF($AH93&gt;0,INDEX(EJ$7:EJ$106,$AH93),1),IF($AI93&gt;0,INDEX(EJ$7:EJ$106,$AI93),1),IF($AJ93&gt;0,INDEX(EJ$7:EJ$106,$AJ93),1))))</ns0:f>
        <ns0:v>1</ns0:v>
      </ns0:c>
      <ns0:c r="EL93" t="n">
        <ns0:f>IF($A93="",1,IF(EK93=1,1,--AND(IF($AC93&gt;0,INDEX(EK$7:EK$106,$AC93),1),IF($AD93&gt;0,INDEX(EK$7:EK$106,$AD93),1),IF($AE93&gt;0,INDEX(EK$7:EK$106,$AE93),1),IF($AF93&gt;0,INDEX(EK$7:EK$106,$AF93),1),IF($AG93&gt;0,INDEX(EK$7:EK$106,$AG93),1),IF($AH93&gt;0,INDEX(EK$7:EK$106,$AH93),1),IF($AI93&gt;0,INDEX(EK$7:EK$106,$AI93),1),IF($AJ93&gt;0,INDEX(EK$7:EK$106,$AJ93),1))))</ns0:f>
        <ns0:v>1</ns0:v>
      </ns0:c>
      <ns0:c r="EM93" t="n">
        <ns0:f>IF($A93="",1,IF(EL93=1,1,--AND(IF($AC93&gt;0,INDEX(EL$7:EL$106,$AC93),1),IF($AD93&gt;0,INDEX(EL$7:EL$106,$AD93),1),IF($AE93&gt;0,INDEX(EL$7:EL$106,$AE93),1),IF($AF93&gt;0,INDEX(EL$7:EL$106,$AF93),1),IF($AG93&gt;0,INDEX(EL$7:EL$106,$AG93),1),IF($AH93&gt;0,INDEX(EL$7:EL$106,$AH93),1),IF($AI93&gt;0,INDEX(EL$7:EL$106,$AI93),1),IF($AJ93&gt;0,INDEX(EL$7:EL$106,$AJ93),1))))</ns0:f>
        <ns0:v>1</ns0:v>
      </ns0:c>
      <ns0:c r="EN93" t="n">
        <ns0:f>IF($A93="",1,IF(EM93=1,1,--AND(IF($AC93&gt;0,INDEX(EM$7:EM$106,$AC93),1),IF($AD93&gt;0,INDEX(EM$7:EM$106,$AD93),1),IF($AE93&gt;0,INDEX(EM$7:EM$106,$AE93),1),IF($AF93&gt;0,INDEX(EM$7:EM$106,$AF93),1),IF($AG93&gt;0,INDEX(EM$7:EM$106,$AG93),1),IF($AH93&gt;0,INDEX(EM$7:EM$106,$AH93),1),IF($AI93&gt;0,INDEX(EM$7:EM$106,$AI93),1),IF($AJ93&gt;0,INDEX(EM$7:EM$106,$AJ93),1))))</ns0:f>
        <ns0:v>1</ns0:v>
      </ns0:c>
      <ns0:c r="EO93" t="n">
        <ns0:f>IF($A93="",1,IF(EN93=1,1,--AND(IF($AC93&gt;0,INDEX(EN$7:EN$106,$AC93),1),IF($AD93&gt;0,INDEX(EN$7:EN$106,$AD93),1),IF($AE93&gt;0,INDEX(EN$7:EN$106,$AE93),1),IF($AF93&gt;0,INDEX(EN$7:EN$106,$AF93),1),IF($AG93&gt;0,INDEX(EN$7:EN$106,$AG93),1),IF($AH93&gt;0,INDEX(EN$7:EN$106,$AH93),1),IF($AI93&gt;0,INDEX(EN$7:EN$106,$AI93),1),IF($AJ93&gt;0,INDEX(EN$7:EN$106,$AJ93),1))))</ns0:f>
        <ns0:v>1</ns0:v>
      </ns0:c>
      <ns0:c r="EP93" t="n">
        <ns0:f>IF($A93="",1,IF(EO93=1,1,--AND(IF($AC93&gt;0,INDEX(EO$7:EO$106,$AC93),1),IF($AD93&gt;0,INDEX(EO$7:EO$106,$AD93),1),IF($AE93&gt;0,INDEX(EO$7:EO$106,$AE93),1),IF($AF93&gt;0,INDEX(EO$7:EO$106,$AF93),1),IF($AG93&gt;0,INDEX(EO$7:EO$106,$AG93),1),IF($AH93&gt;0,INDEX(EO$7:EO$106,$AH93),1),IF($AI93&gt;0,INDEX(EO$7:EO$106,$AI93),1),IF($AJ93&gt;0,INDEX(EO$7:EO$106,$AJ93),1))))</ns0:f>
        <ns0:v>1</ns0:v>
      </ns0:c>
      <ns0:c r="EQ93" t="n">
        <ns0:f>IF(OR(A93="",NOT(ISNUMBER(G93))),0,G93*N93)</ns0:f>
        <ns0:v>0</ns0:v>
      </ns0:c>
    </ns0:row>
    <ns0:row r="94" ht="62" customHeight="1">
      <ns0:c r="A94" s="48"/>
      <ns0:c r="B94" s="48"/>
      <ns0:c r="C94" s="48"/>
      <ns0:c r="D94" s="48"/>
      <ns0:c r="E94" s="49"/>
      <ns0:c r="F94" s="49"/>
      <ns0:c r="G94" s="13" t="str">
        <ns0:f>IF(A94="","",IF(OR(NOT(ISNUMBER(E94)),NOT(ISNUMBER(F94)),F94&lt;E94),"",IF(J94="Yes",0,F94-E94+1)))</ns0:f>
      </ns0:c>
      <ns0:c r="H94" s="48"/>
      <ns0:c r="I94" s="48"/>
      <ns0:c r="J94" s="48"/>
      <ns0:c r="K94" s="48"/>
      <ns0:c r="L94" s="48"/>
      <ns0:c r="M94" s="50" t="str">
        <ns0:f>IF(A94="","",IF(N94=1,"Completed",IF(N94&gt;0,"In Progress","Not Started")))</ns0:f>
      </ns0:c>
      <ns0:c r="N94" s="51"/>
      <ns0:c r="O94" s="13" t="str">
        <ns0:f>IF(A94="","",IF(R94&lt;&gt;"","[CONFLICT] "&amp;R94,IF(S94&lt;&gt;"","[CONFLICT] "&amp;S94,IF(OR(NOT(ISNUMBER(N94)),N94&lt;0,N94&gt;1),"[CONFLICT] Invalid progress",IF(AK94&gt;0,"[DEPENDENCY ISSUE] Missing ID / &gt;8 links",IF(AM94&gt;0,"[DEPENDENCY ISSUE] Cycle or blocked by cycle",IF(AND(H94&lt;&gt;"",ISNA(MATCH(I94,{"FS","SS","FF","SF"},0))),"[DEPENDENCY ISSUE] Invalid type",IF(AL94&gt;0,"[DEPENDENCY ISSUE] Timing conflict",IF(OR(E94&lt;ProjectStart,F94&gt;ProjectEnd),"[OUTSIDE WINDOW]",IF(AND(N94&lt;1,F94&lt;AsOfDate),"Overdue",IF(AND(M94&lt;&gt;Q94,M94&lt;&gt;""),"[CONFLICT] Status / progress","On track")))))))))))</ns0:f>
      </ns0:c>
      <ns0:c r="P94" s="52"/>
      <ns0:c r="Q94" t="str">
        <ns0:f>IF(A94="","",IF(OR(M94="On Hold",M94="Delayed"),M94,IF(N94=1,"Completed",IF(N94&gt;0,"In Progress","Not Started"))))</ns0:f>
      </ns0:c>
      <ns0:c r="R94" t="str">
        <ns0:f>IF(A94="","",IF(COUNTIFS(Tasks[Task ID],A94)&lt;&gt;1,"Duplicate ID",""))</ns0:f>
      </ns0:c>
      <ns0:c r="S94" t="str">
        <ns0:f>IF(A94="","",IF(OR(NOT(ISNUMBER(E94)),NOT(ISNUMBER(F94))),"Invalid / missing date",IF(OR(E94&lt;&gt;INT(E94),F94&lt;&gt;INT(F94),E94&lt;1,F94&gt;2958465),"Invalid date",IF(F94&lt;E94,"End before start",IF(AND(J94="Yes",E94&lt;&gt;F94),"Milestone needs one date","")))))</ns0:f>
      </ns0:c>
      <ns0:c r="T94" t="n">
        <ns0:f>IF(H94="",0,LEN(H94)-LEN(SUBSTITUTE(H94,",",""))+1)</ns0:f>
        <ns0:v>0</ns0:v>
      </ns0:c>
      <ns0:c r="U94" t="str">
        <ns0:f>TRIM(MID(SUBSTITUTE($H94,",",REPT(" ",100)),1,100))</ns0:f>
      </ns0:c>
      <ns0:c r="V94" t="str">
        <ns0:f>TRIM(MID(SUBSTITUTE($H94,",",REPT(" ",100)),101,100))</ns0:f>
      </ns0:c>
      <ns0:c r="W94" t="str">
        <ns0:f>TRIM(MID(SUBSTITUTE($H94,",",REPT(" ",100)),201,100))</ns0:f>
      </ns0:c>
      <ns0:c r="X94" t="str">
        <ns0:f>TRIM(MID(SUBSTITUTE($H94,",",REPT(" ",100)),301,100))</ns0:f>
      </ns0:c>
      <ns0:c r="Y94" t="str">
        <ns0:f>TRIM(MID(SUBSTITUTE($H94,",",REPT(" ",100)),401,100))</ns0:f>
      </ns0:c>
      <ns0:c r="Z94" t="str">
        <ns0:f>TRIM(MID(SUBSTITUTE($H94,",",REPT(" ",100)),501,100))</ns0:f>
      </ns0:c>
      <ns0:c r="AA94" t="str">
        <ns0:f>TRIM(MID(SUBSTITUTE($H94,",",REPT(" ",100)),601,100))</ns0:f>
      </ns0:c>
      <ns0:c r="AB94" t="str">
        <ns0:f>TRIM(MID(SUBSTITUTE($H94,",",REPT(" ",100)),701,100))</ns0:f>
      </ns0:c>
      <ns0:c r="AC94" t="n">
        <ns0:f>IF(U94="",0,IF(COUNTIFS(Tasks[Task ID],U94)=1,MATCH(U94,Tasks[Task ID],0),-1))</ns0:f>
        <ns0:v>0</ns0:v>
      </ns0:c>
      <ns0:c r="AD94" t="n">
        <ns0:f>IF(V94="",0,IF(COUNTIFS(Tasks[Task ID],V94)=1,MATCH(V94,Tasks[Task ID],0),-1))</ns0:f>
        <ns0:v>0</ns0:v>
      </ns0:c>
      <ns0:c r="AE94" t="n">
        <ns0:f>IF(W94="",0,IF(COUNTIFS(Tasks[Task ID],W94)=1,MATCH(W94,Tasks[Task ID],0),-1))</ns0:f>
        <ns0:v>0</ns0:v>
      </ns0:c>
      <ns0:c r="AF94" t="n">
        <ns0:f>IF(X94="",0,IF(COUNTIFS(Tasks[Task ID],X94)=1,MATCH(X94,Tasks[Task ID],0),-1))</ns0:f>
        <ns0:v>0</ns0:v>
      </ns0:c>
      <ns0:c r="AG94" t="n">
        <ns0:f>IF(Y94="",0,IF(COUNTIFS(Tasks[Task ID],Y94)=1,MATCH(Y94,Tasks[Task ID],0),-1))</ns0:f>
        <ns0:v>0</ns0:v>
      </ns0:c>
      <ns0:c r="AH94" t="n">
        <ns0:f>IF(Z94="",0,IF(COUNTIFS(Tasks[Task ID],Z94)=1,MATCH(Z94,Tasks[Task ID],0),-1))</ns0:f>
        <ns0:v>0</ns0:v>
      </ns0:c>
      <ns0:c r="AI94" t="n">
        <ns0:f>IF(AA94="",0,IF(COUNTIFS(Tasks[Task ID],AA94)=1,MATCH(AA94,Tasks[Task ID],0),-1))</ns0:f>
        <ns0:v>0</ns0:v>
      </ns0:c>
      <ns0:c r="AJ94" t="n">
        <ns0:f>IF(AB94="",0,IF(COUNTIFS(Tasks[Task ID],AB94)=1,MATCH(AB94,Tasks[Task ID],0),-1))</ns0:f>
        <ns0:v>0</ns0:v>
      </ns0:c>
      <ns0:c r="AK94" t="n">
        <ns0:f>COUNTIFS(AC94:AJ94,-1)+IF(T94&gt;8,1,0)</ns0:f>
        <ns0:v>0</ns0:v>
      </ns0:c>
      <ns0:c r="AL94" t="n">
        <ns0:f>IF(OR(A94="",S94&lt;&gt;""),0,SUM(IF(AC94&gt;0,IF($I94="FS",--($E94&lt;INDEX(Tasks[End Date],AC94)+IF(INDEX(Tasks[Milestone],AC94)="Yes",0,1)),IF($I94="SS",--($E94&lt;INDEX(Tasks[Start Date],AC94)),IF($I94="FF",--($F94&lt;INDEX(Tasks[End Date],AC94)),IF($I94="SF",--($F94&lt;INDEX(Tasks[Start Date],AC94)),0)))),0),IF(AD94&gt;0,IF($I94="FS",--($E94&lt;INDEX(Tasks[End Date],AD94)+IF(INDEX(Tasks[Milestone],AD94)="Yes",0,1)),IF($I94="SS",--($E94&lt;INDEX(Tasks[Start Date],AD94)),IF($I94="FF",--($F94&lt;INDEX(Tasks[End Date],AD94)),IF($I94="SF",--($F94&lt;INDEX(Tasks[Start Date],AD94)),0)))),0),IF(AE94&gt;0,IF($I94="FS",--($E94&lt;INDEX(Tasks[End Date],AE94)+IF(INDEX(Tasks[Milestone],AE94)="Yes",0,1)),IF($I94="SS",--($E94&lt;INDEX(Tasks[Start Date],AE94)),IF($I94="FF",--($F94&lt;INDEX(Tasks[End Date],AE94)),IF($I94="SF",--($F94&lt;INDEX(Tasks[Start Date],AE94)),0)))),0),IF(AF94&gt;0,IF($I94="FS",--($E94&lt;INDEX(Tasks[End Date],AF94)+IF(INDEX(Tasks[Milestone],AF94)="Yes",0,1)),IF($I94="SS",--($E94&lt;INDEX(Tasks[Start Date],AF94)),IF($I94="FF",--($F94&lt;INDEX(Tasks[End Date],AF94)),IF($I94="SF",--($F94&lt;INDEX(Tasks[Start Date],AF94)),0)))),0),IF(AG94&gt;0,IF($I94="FS",--($E94&lt;INDEX(Tasks[End Date],AG94)+IF(INDEX(Tasks[Milestone],AG94)="Yes",0,1)),IF($I94="SS",--($E94&lt;INDEX(Tasks[Start Date],AG94)),IF($I94="FF",--($F94&lt;INDEX(Tasks[End Date],AG94)),IF($I94="SF",--($F94&lt;INDEX(Tasks[Start Date],AG94)),0)))),0),IF(AH94&gt;0,IF($I94="FS",--($E94&lt;INDEX(Tasks[End Date],AH94)+IF(INDEX(Tasks[Milestone],AH94)="Yes",0,1)),IF($I94="SS",--($E94&lt;INDEX(Tasks[Start Date],AH94)),IF($I94="FF",--($F94&lt;INDEX(Tasks[End Date],AH94)),IF($I94="SF",--($F94&lt;INDEX(Tasks[Start Date],AH94)),0)))),0),IF(AI94&gt;0,IF($I94="FS",--($E94&lt;INDEX(Tasks[End Date],AI94)+IF(INDEX(Tasks[Milestone],AI94)="Yes",0,1)),IF($I94="SS",--($E94&lt;INDEX(Tasks[Start Date],AI94)),IF($I94="FF",--($F94&lt;INDEX(Tasks[End Date],AI94)),IF($I94="SF",--($F94&lt;INDEX(Tasks[Start Date],AI94)),0)))),0),IF(AJ94&gt;0,IF($I94="FS",--($E94&lt;INDEX(Tasks[End Date],AJ94)+IF(INDEX(Tasks[Milestone],AJ94)="Yes",0,1)),IF($I94="SS",--($E94&lt;INDEX(Tasks[Start Date],AJ94)),IF($I94="FF",--($F94&lt;INDEX(Tasks[End Date],AJ94)),IF($I94="SF",--($F94&lt;INDEX(Tasks[Start Date],AJ94)),0)))),0)))</ns0:f>
        <ns0:v>0</ns0:v>
      </ns0:c>
      <ns0:c r="AM94" t="n">
        <ns0:f>IF(AND(A94&lt;&gt;"",AK94=0,EP94=0),1,0)</ns0:f>
        <ns0:v>0</ns0:v>
      </ns0:c>
      <ns0:c r="AN94" t="str">
        <ns0:f>IF(OR(A94="",B94=""),"",IF(COUNTIFS($B$7:B94,B94)=1,MAX($AN$6:AN93)+1,""))</ns0:f>
      </ns0:c>
      <ns0:c r="AO94" t="n">
        <ns0:f>IF(AND(A94&lt;&gt;"",J94="No",N94&lt;1,E94&gt;=AsOfDate),E94+ROW()/10000,1E+9)</ns0:f>
        <ns0:v>1000000000</ns0:v>
      </ns0:c>
      <ns0:c r="AP94" t="n">
        <ns0:f>IF(AND(A94&lt;&gt;"",J94="Yes",N94&lt;1,E94&gt;=AsOfDate),E94+ROW()/10000,1E+9)</ns0:f>
        <ns0:v>1000000000</ns0:v>
      </ns0:c>
      <ns0:c r="AQ94" t="n">
        <ns0:f>IF(AND(A94&lt;&gt;"",J94="No",N94&lt;1,F94&gt;=AsOfDate,F94&lt;=AsOfDate+7),F94+ROW()/10000,1E+9)</ns0:f>
        <ns0:v>1000000000</ns0:v>
      </ns0:c>
      <ns0:c r="AR94" t="n">
        <ns0:f>IF(AND(A94&lt;&gt;"",OR(O94&lt;&gt;"On track",Q94="Delayed")),ROW(),1E+9)</ns0:f>
        <ns0:v>1000000000</ns0:v>
      </ns0:c>
      <ns0:c r="AS94" t="str">
        <ns0:f>IF(A94="","",";"&amp;K94&amp;";")</ns0:f>
      </ns0:c>
      <ns0:c r="AT94" t="n">
        <ns0:f>IF(A94="",1,--(T94=0))</ns0:f>
        <ns0:v>1</ns0:v>
      </ns0:c>
      <ns0:c r="AU94" t="n">
        <ns0:f>IF($A94="",1,IF(AT94=1,1,--AND(IF($AC94&gt;0,INDEX(AT$7:AT$106,$AC94),1),IF($AD94&gt;0,INDEX(AT$7:AT$106,$AD94),1),IF($AE94&gt;0,INDEX(AT$7:AT$106,$AE94),1),IF($AF94&gt;0,INDEX(AT$7:AT$106,$AF94),1),IF($AG94&gt;0,INDEX(AT$7:AT$106,$AG94),1),IF($AH94&gt;0,INDEX(AT$7:AT$106,$AH94),1),IF($AI94&gt;0,INDEX(AT$7:AT$106,$AI94),1),IF($AJ94&gt;0,INDEX(AT$7:AT$106,$AJ94),1))))</ns0:f>
        <ns0:v>1</ns0:v>
      </ns0:c>
      <ns0:c r="AV94" t="n">
        <ns0:f>IF($A94="",1,IF(AU94=1,1,--AND(IF($AC94&gt;0,INDEX(AU$7:AU$106,$AC94),1),IF($AD94&gt;0,INDEX(AU$7:AU$106,$AD94),1),IF($AE94&gt;0,INDEX(AU$7:AU$106,$AE94),1),IF($AF94&gt;0,INDEX(AU$7:AU$106,$AF94),1),IF($AG94&gt;0,INDEX(AU$7:AU$106,$AG94),1),IF($AH94&gt;0,INDEX(AU$7:AU$106,$AH94),1),IF($AI94&gt;0,INDEX(AU$7:AU$106,$AI94),1),IF($AJ94&gt;0,INDEX(AU$7:AU$106,$AJ94),1))))</ns0:f>
        <ns0:v>1</ns0:v>
      </ns0:c>
      <ns0:c r="AW94" t="n">
        <ns0:f>IF($A94="",1,IF(AV94=1,1,--AND(IF($AC94&gt;0,INDEX(AV$7:AV$106,$AC94),1),IF($AD94&gt;0,INDEX(AV$7:AV$106,$AD94),1),IF($AE94&gt;0,INDEX(AV$7:AV$106,$AE94),1),IF($AF94&gt;0,INDEX(AV$7:AV$106,$AF94),1),IF($AG94&gt;0,INDEX(AV$7:AV$106,$AG94),1),IF($AH94&gt;0,INDEX(AV$7:AV$106,$AH94),1),IF($AI94&gt;0,INDEX(AV$7:AV$106,$AI94),1),IF($AJ94&gt;0,INDEX(AV$7:AV$106,$AJ94),1))))</ns0:f>
        <ns0:v>1</ns0:v>
      </ns0:c>
      <ns0:c r="AX94" t="n">
        <ns0:f>IF($A94="",1,IF(AW94=1,1,--AND(IF($AC94&gt;0,INDEX(AW$7:AW$106,$AC94),1),IF($AD94&gt;0,INDEX(AW$7:AW$106,$AD94),1),IF($AE94&gt;0,INDEX(AW$7:AW$106,$AE94),1),IF($AF94&gt;0,INDEX(AW$7:AW$106,$AF94),1),IF($AG94&gt;0,INDEX(AW$7:AW$106,$AG94),1),IF($AH94&gt;0,INDEX(AW$7:AW$106,$AH94),1),IF($AI94&gt;0,INDEX(AW$7:AW$106,$AI94),1),IF($AJ94&gt;0,INDEX(AW$7:AW$106,$AJ94),1))))</ns0:f>
        <ns0:v>1</ns0:v>
      </ns0:c>
      <ns0:c r="AY94" t="n">
        <ns0:f>IF($A94="",1,IF(AX94=1,1,--AND(IF($AC94&gt;0,INDEX(AX$7:AX$106,$AC94),1),IF($AD94&gt;0,INDEX(AX$7:AX$106,$AD94),1),IF($AE94&gt;0,INDEX(AX$7:AX$106,$AE94),1),IF($AF94&gt;0,INDEX(AX$7:AX$106,$AF94),1),IF($AG94&gt;0,INDEX(AX$7:AX$106,$AG94),1),IF($AH94&gt;0,INDEX(AX$7:AX$106,$AH94),1),IF($AI94&gt;0,INDEX(AX$7:AX$106,$AI94),1),IF($AJ94&gt;0,INDEX(AX$7:AX$106,$AJ94),1))))</ns0:f>
        <ns0:v>1</ns0:v>
      </ns0:c>
      <ns0:c r="AZ94" t="n">
        <ns0:f>IF($A94="",1,IF(AY94=1,1,--AND(IF($AC94&gt;0,INDEX(AY$7:AY$106,$AC94),1),IF($AD94&gt;0,INDEX(AY$7:AY$106,$AD94),1),IF($AE94&gt;0,INDEX(AY$7:AY$106,$AE94),1),IF($AF94&gt;0,INDEX(AY$7:AY$106,$AF94),1),IF($AG94&gt;0,INDEX(AY$7:AY$106,$AG94),1),IF($AH94&gt;0,INDEX(AY$7:AY$106,$AH94),1),IF($AI94&gt;0,INDEX(AY$7:AY$106,$AI94),1),IF($AJ94&gt;0,INDEX(AY$7:AY$106,$AJ94),1))))</ns0:f>
        <ns0:v>1</ns0:v>
      </ns0:c>
      <ns0:c r="BA94" t="n">
        <ns0:f>IF($A94="",1,IF(AZ94=1,1,--AND(IF($AC94&gt;0,INDEX(AZ$7:AZ$106,$AC94),1),IF($AD94&gt;0,INDEX(AZ$7:AZ$106,$AD94),1),IF($AE94&gt;0,INDEX(AZ$7:AZ$106,$AE94),1),IF($AF94&gt;0,INDEX(AZ$7:AZ$106,$AF94),1),IF($AG94&gt;0,INDEX(AZ$7:AZ$106,$AG94),1),IF($AH94&gt;0,INDEX(AZ$7:AZ$106,$AH94),1),IF($AI94&gt;0,INDEX(AZ$7:AZ$106,$AI94),1),IF($AJ94&gt;0,INDEX(AZ$7:AZ$106,$AJ94),1))))</ns0:f>
        <ns0:v>1</ns0:v>
      </ns0:c>
      <ns0:c r="BB94" t="n">
        <ns0:f>IF($A94="",1,IF(BA94=1,1,--AND(IF($AC94&gt;0,INDEX(BA$7:BA$106,$AC94),1),IF($AD94&gt;0,INDEX(BA$7:BA$106,$AD94),1),IF($AE94&gt;0,INDEX(BA$7:BA$106,$AE94),1),IF($AF94&gt;0,INDEX(BA$7:BA$106,$AF94),1),IF($AG94&gt;0,INDEX(BA$7:BA$106,$AG94),1),IF($AH94&gt;0,INDEX(BA$7:BA$106,$AH94),1),IF($AI94&gt;0,INDEX(BA$7:BA$106,$AI94),1),IF($AJ94&gt;0,INDEX(BA$7:BA$106,$AJ94),1))))</ns0:f>
        <ns0:v>1</ns0:v>
      </ns0:c>
      <ns0:c r="BC94" t="n">
        <ns0:f>IF($A94="",1,IF(BB94=1,1,--AND(IF($AC94&gt;0,INDEX(BB$7:BB$106,$AC94),1),IF($AD94&gt;0,INDEX(BB$7:BB$106,$AD94),1),IF($AE94&gt;0,INDEX(BB$7:BB$106,$AE94),1),IF($AF94&gt;0,INDEX(BB$7:BB$106,$AF94),1),IF($AG94&gt;0,INDEX(BB$7:BB$106,$AG94),1),IF($AH94&gt;0,INDEX(BB$7:BB$106,$AH94),1),IF($AI94&gt;0,INDEX(BB$7:BB$106,$AI94),1),IF($AJ94&gt;0,INDEX(BB$7:BB$106,$AJ94),1))))</ns0:f>
        <ns0:v>1</ns0:v>
      </ns0:c>
      <ns0:c r="BD94" t="n">
        <ns0:f>IF($A94="",1,IF(BC94=1,1,--AND(IF($AC94&gt;0,INDEX(BC$7:BC$106,$AC94),1),IF($AD94&gt;0,INDEX(BC$7:BC$106,$AD94),1),IF($AE94&gt;0,INDEX(BC$7:BC$106,$AE94),1),IF($AF94&gt;0,INDEX(BC$7:BC$106,$AF94),1),IF($AG94&gt;0,INDEX(BC$7:BC$106,$AG94),1),IF($AH94&gt;0,INDEX(BC$7:BC$106,$AH94),1),IF($AI94&gt;0,INDEX(BC$7:BC$106,$AI94),1),IF($AJ94&gt;0,INDEX(BC$7:BC$106,$AJ94),1))))</ns0:f>
        <ns0:v>1</ns0:v>
      </ns0:c>
      <ns0:c r="BE94" t="n">
        <ns0:f>IF($A94="",1,IF(BD94=1,1,--AND(IF($AC94&gt;0,INDEX(BD$7:BD$106,$AC94),1),IF($AD94&gt;0,INDEX(BD$7:BD$106,$AD94),1),IF($AE94&gt;0,INDEX(BD$7:BD$106,$AE94),1),IF($AF94&gt;0,INDEX(BD$7:BD$106,$AF94),1),IF($AG94&gt;0,INDEX(BD$7:BD$106,$AG94),1),IF($AH94&gt;0,INDEX(BD$7:BD$106,$AH94),1),IF($AI94&gt;0,INDEX(BD$7:BD$106,$AI94),1),IF($AJ94&gt;0,INDEX(BD$7:BD$106,$AJ94),1))))</ns0:f>
        <ns0:v>1</ns0:v>
      </ns0:c>
      <ns0:c r="BF94" t="n">
        <ns0:f>IF($A94="",1,IF(BE94=1,1,--AND(IF($AC94&gt;0,INDEX(BE$7:BE$106,$AC94),1),IF($AD94&gt;0,INDEX(BE$7:BE$106,$AD94),1),IF($AE94&gt;0,INDEX(BE$7:BE$106,$AE94),1),IF($AF94&gt;0,INDEX(BE$7:BE$106,$AF94),1),IF($AG94&gt;0,INDEX(BE$7:BE$106,$AG94),1),IF($AH94&gt;0,INDEX(BE$7:BE$106,$AH94),1),IF($AI94&gt;0,INDEX(BE$7:BE$106,$AI94),1),IF($AJ94&gt;0,INDEX(BE$7:BE$106,$AJ94),1))))</ns0:f>
        <ns0:v>1</ns0:v>
      </ns0:c>
      <ns0:c r="BG94" t="n">
        <ns0:f>IF($A94="",1,IF(BF94=1,1,--AND(IF($AC94&gt;0,INDEX(BF$7:BF$106,$AC94),1),IF($AD94&gt;0,INDEX(BF$7:BF$106,$AD94),1),IF($AE94&gt;0,INDEX(BF$7:BF$106,$AE94),1),IF($AF94&gt;0,INDEX(BF$7:BF$106,$AF94),1),IF($AG94&gt;0,INDEX(BF$7:BF$106,$AG94),1),IF($AH94&gt;0,INDEX(BF$7:BF$106,$AH94),1),IF($AI94&gt;0,INDEX(BF$7:BF$106,$AI94),1),IF($AJ94&gt;0,INDEX(BF$7:BF$106,$AJ94),1))))</ns0:f>
        <ns0:v>1</ns0:v>
      </ns0:c>
      <ns0:c r="BH94" t="n">
        <ns0:f>IF($A94="",1,IF(BG94=1,1,--AND(IF($AC94&gt;0,INDEX(BG$7:BG$106,$AC94),1),IF($AD94&gt;0,INDEX(BG$7:BG$106,$AD94),1),IF($AE94&gt;0,INDEX(BG$7:BG$106,$AE94),1),IF($AF94&gt;0,INDEX(BG$7:BG$106,$AF94),1),IF($AG94&gt;0,INDEX(BG$7:BG$106,$AG94),1),IF($AH94&gt;0,INDEX(BG$7:BG$106,$AH94),1),IF($AI94&gt;0,INDEX(BG$7:BG$106,$AI94),1),IF($AJ94&gt;0,INDEX(BG$7:BG$106,$AJ94),1))))</ns0:f>
        <ns0:v>1</ns0:v>
      </ns0:c>
      <ns0:c r="BI94" t="n">
        <ns0:f>IF($A94="",1,IF(BH94=1,1,--AND(IF($AC94&gt;0,INDEX(BH$7:BH$106,$AC94),1),IF($AD94&gt;0,INDEX(BH$7:BH$106,$AD94),1),IF($AE94&gt;0,INDEX(BH$7:BH$106,$AE94),1),IF($AF94&gt;0,INDEX(BH$7:BH$106,$AF94),1),IF($AG94&gt;0,INDEX(BH$7:BH$106,$AG94),1),IF($AH94&gt;0,INDEX(BH$7:BH$106,$AH94),1),IF($AI94&gt;0,INDEX(BH$7:BH$106,$AI94),1),IF($AJ94&gt;0,INDEX(BH$7:BH$106,$AJ94),1))))</ns0:f>
        <ns0:v>1</ns0:v>
      </ns0:c>
      <ns0:c r="BJ94" t="n">
        <ns0:f>IF($A94="",1,IF(BI94=1,1,--AND(IF($AC94&gt;0,INDEX(BI$7:BI$106,$AC94),1),IF($AD94&gt;0,INDEX(BI$7:BI$106,$AD94),1),IF($AE94&gt;0,INDEX(BI$7:BI$106,$AE94),1),IF($AF94&gt;0,INDEX(BI$7:BI$106,$AF94),1),IF($AG94&gt;0,INDEX(BI$7:BI$106,$AG94),1),IF($AH94&gt;0,INDEX(BI$7:BI$106,$AH94),1),IF($AI94&gt;0,INDEX(BI$7:BI$106,$AI94),1),IF($AJ94&gt;0,INDEX(BI$7:BI$106,$AJ94),1))))</ns0:f>
        <ns0:v>1</ns0:v>
      </ns0:c>
      <ns0:c r="BK94" t="n">
        <ns0:f>IF($A94="",1,IF(BJ94=1,1,--AND(IF($AC94&gt;0,INDEX(BJ$7:BJ$106,$AC94),1),IF($AD94&gt;0,INDEX(BJ$7:BJ$106,$AD94),1),IF($AE94&gt;0,INDEX(BJ$7:BJ$106,$AE94),1),IF($AF94&gt;0,INDEX(BJ$7:BJ$106,$AF94),1),IF($AG94&gt;0,INDEX(BJ$7:BJ$106,$AG94),1),IF($AH94&gt;0,INDEX(BJ$7:BJ$106,$AH94),1),IF($AI94&gt;0,INDEX(BJ$7:BJ$106,$AI94),1),IF($AJ94&gt;0,INDEX(BJ$7:BJ$106,$AJ94),1))))</ns0:f>
        <ns0:v>1</ns0:v>
      </ns0:c>
      <ns0:c r="BL94" t="n">
        <ns0:f>IF($A94="",1,IF(BK94=1,1,--AND(IF($AC94&gt;0,INDEX(BK$7:BK$106,$AC94),1),IF($AD94&gt;0,INDEX(BK$7:BK$106,$AD94),1),IF($AE94&gt;0,INDEX(BK$7:BK$106,$AE94),1),IF($AF94&gt;0,INDEX(BK$7:BK$106,$AF94),1),IF($AG94&gt;0,INDEX(BK$7:BK$106,$AG94),1),IF($AH94&gt;0,INDEX(BK$7:BK$106,$AH94),1),IF($AI94&gt;0,INDEX(BK$7:BK$106,$AI94),1),IF($AJ94&gt;0,INDEX(BK$7:BK$106,$AJ94),1))))</ns0:f>
        <ns0:v>1</ns0:v>
      </ns0:c>
      <ns0:c r="BM94" t="n">
        <ns0:f>IF($A94="",1,IF(BL94=1,1,--AND(IF($AC94&gt;0,INDEX(BL$7:BL$106,$AC94),1),IF($AD94&gt;0,INDEX(BL$7:BL$106,$AD94),1),IF($AE94&gt;0,INDEX(BL$7:BL$106,$AE94),1),IF($AF94&gt;0,INDEX(BL$7:BL$106,$AF94),1),IF($AG94&gt;0,INDEX(BL$7:BL$106,$AG94),1),IF($AH94&gt;0,INDEX(BL$7:BL$106,$AH94),1),IF($AI94&gt;0,INDEX(BL$7:BL$106,$AI94),1),IF($AJ94&gt;0,INDEX(BL$7:BL$106,$AJ94),1))))</ns0:f>
        <ns0:v>1</ns0:v>
      </ns0:c>
      <ns0:c r="BN94" t="n">
        <ns0:f>IF($A94="",1,IF(BM94=1,1,--AND(IF($AC94&gt;0,INDEX(BM$7:BM$106,$AC94),1),IF($AD94&gt;0,INDEX(BM$7:BM$106,$AD94),1),IF($AE94&gt;0,INDEX(BM$7:BM$106,$AE94),1),IF($AF94&gt;0,INDEX(BM$7:BM$106,$AF94),1),IF($AG94&gt;0,INDEX(BM$7:BM$106,$AG94),1),IF($AH94&gt;0,INDEX(BM$7:BM$106,$AH94),1),IF($AI94&gt;0,INDEX(BM$7:BM$106,$AI94),1),IF($AJ94&gt;0,INDEX(BM$7:BM$106,$AJ94),1))))</ns0:f>
        <ns0:v>1</ns0:v>
      </ns0:c>
      <ns0:c r="BO94" t="n">
        <ns0:f>IF($A94="",1,IF(BN94=1,1,--AND(IF($AC94&gt;0,INDEX(BN$7:BN$106,$AC94),1),IF($AD94&gt;0,INDEX(BN$7:BN$106,$AD94),1),IF($AE94&gt;0,INDEX(BN$7:BN$106,$AE94),1),IF($AF94&gt;0,INDEX(BN$7:BN$106,$AF94),1),IF($AG94&gt;0,INDEX(BN$7:BN$106,$AG94),1),IF($AH94&gt;0,INDEX(BN$7:BN$106,$AH94),1),IF($AI94&gt;0,INDEX(BN$7:BN$106,$AI94),1),IF($AJ94&gt;0,INDEX(BN$7:BN$106,$AJ94),1))))</ns0:f>
        <ns0:v>1</ns0:v>
      </ns0:c>
      <ns0:c r="BP94" t="n">
        <ns0:f>IF($A94="",1,IF(BO94=1,1,--AND(IF($AC94&gt;0,INDEX(BO$7:BO$106,$AC94),1),IF($AD94&gt;0,INDEX(BO$7:BO$106,$AD94),1),IF($AE94&gt;0,INDEX(BO$7:BO$106,$AE94),1),IF($AF94&gt;0,INDEX(BO$7:BO$106,$AF94),1),IF($AG94&gt;0,INDEX(BO$7:BO$106,$AG94),1),IF($AH94&gt;0,INDEX(BO$7:BO$106,$AH94),1),IF($AI94&gt;0,INDEX(BO$7:BO$106,$AI94),1),IF($AJ94&gt;0,INDEX(BO$7:BO$106,$AJ94),1))))</ns0:f>
        <ns0:v>1</ns0:v>
      </ns0:c>
      <ns0:c r="BQ94" t="n">
        <ns0:f>IF($A94="",1,IF(BP94=1,1,--AND(IF($AC94&gt;0,INDEX(BP$7:BP$106,$AC94),1),IF($AD94&gt;0,INDEX(BP$7:BP$106,$AD94),1),IF($AE94&gt;0,INDEX(BP$7:BP$106,$AE94),1),IF($AF94&gt;0,INDEX(BP$7:BP$106,$AF94),1),IF($AG94&gt;0,INDEX(BP$7:BP$106,$AG94),1),IF($AH94&gt;0,INDEX(BP$7:BP$106,$AH94),1),IF($AI94&gt;0,INDEX(BP$7:BP$106,$AI94),1),IF($AJ94&gt;0,INDEX(BP$7:BP$106,$AJ94),1))))</ns0:f>
        <ns0:v>1</ns0:v>
      </ns0:c>
      <ns0:c r="BR94" t="n">
        <ns0:f>IF($A94="",1,IF(BQ94=1,1,--AND(IF($AC94&gt;0,INDEX(BQ$7:BQ$106,$AC94),1),IF($AD94&gt;0,INDEX(BQ$7:BQ$106,$AD94),1),IF($AE94&gt;0,INDEX(BQ$7:BQ$106,$AE94),1),IF($AF94&gt;0,INDEX(BQ$7:BQ$106,$AF94),1),IF($AG94&gt;0,INDEX(BQ$7:BQ$106,$AG94),1),IF($AH94&gt;0,INDEX(BQ$7:BQ$106,$AH94),1),IF($AI94&gt;0,INDEX(BQ$7:BQ$106,$AI94),1),IF($AJ94&gt;0,INDEX(BQ$7:BQ$106,$AJ94),1))))</ns0:f>
        <ns0:v>1</ns0:v>
      </ns0:c>
      <ns0:c r="BS94" t="n">
        <ns0:f>IF($A94="",1,IF(BR94=1,1,--AND(IF($AC94&gt;0,INDEX(BR$7:BR$106,$AC94),1),IF($AD94&gt;0,INDEX(BR$7:BR$106,$AD94),1),IF($AE94&gt;0,INDEX(BR$7:BR$106,$AE94),1),IF($AF94&gt;0,INDEX(BR$7:BR$106,$AF94),1),IF($AG94&gt;0,INDEX(BR$7:BR$106,$AG94),1),IF($AH94&gt;0,INDEX(BR$7:BR$106,$AH94),1),IF($AI94&gt;0,INDEX(BR$7:BR$106,$AI94),1),IF($AJ94&gt;0,INDEX(BR$7:BR$106,$AJ94),1))))</ns0:f>
        <ns0:v>1</ns0:v>
      </ns0:c>
      <ns0:c r="BT94" t="n">
        <ns0:f>IF($A94="",1,IF(BS94=1,1,--AND(IF($AC94&gt;0,INDEX(BS$7:BS$106,$AC94),1),IF($AD94&gt;0,INDEX(BS$7:BS$106,$AD94),1),IF($AE94&gt;0,INDEX(BS$7:BS$106,$AE94),1),IF($AF94&gt;0,INDEX(BS$7:BS$106,$AF94),1),IF($AG94&gt;0,INDEX(BS$7:BS$106,$AG94),1),IF($AH94&gt;0,INDEX(BS$7:BS$106,$AH94),1),IF($AI94&gt;0,INDEX(BS$7:BS$106,$AI94),1),IF($AJ94&gt;0,INDEX(BS$7:BS$106,$AJ94),1))))</ns0:f>
        <ns0:v>1</ns0:v>
      </ns0:c>
      <ns0:c r="BU94" t="n">
        <ns0:f>IF($A94="",1,IF(BT94=1,1,--AND(IF($AC94&gt;0,INDEX(BT$7:BT$106,$AC94),1),IF($AD94&gt;0,INDEX(BT$7:BT$106,$AD94),1),IF($AE94&gt;0,INDEX(BT$7:BT$106,$AE94),1),IF($AF94&gt;0,INDEX(BT$7:BT$106,$AF94),1),IF($AG94&gt;0,INDEX(BT$7:BT$106,$AG94),1),IF($AH94&gt;0,INDEX(BT$7:BT$106,$AH94),1),IF($AI94&gt;0,INDEX(BT$7:BT$106,$AI94),1),IF($AJ94&gt;0,INDEX(BT$7:BT$106,$AJ94),1))))</ns0:f>
        <ns0:v>1</ns0:v>
      </ns0:c>
      <ns0:c r="BV94" t="n">
        <ns0:f>IF($A94="",1,IF(BU94=1,1,--AND(IF($AC94&gt;0,INDEX(BU$7:BU$106,$AC94),1),IF($AD94&gt;0,INDEX(BU$7:BU$106,$AD94),1),IF($AE94&gt;0,INDEX(BU$7:BU$106,$AE94),1),IF($AF94&gt;0,INDEX(BU$7:BU$106,$AF94),1),IF($AG94&gt;0,INDEX(BU$7:BU$106,$AG94),1),IF($AH94&gt;0,INDEX(BU$7:BU$106,$AH94),1),IF($AI94&gt;0,INDEX(BU$7:BU$106,$AI94),1),IF($AJ94&gt;0,INDEX(BU$7:BU$106,$AJ94),1))))</ns0:f>
        <ns0:v>1</ns0:v>
      </ns0:c>
      <ns0:c r="BW94" t="n">
        <ns0:f>IF($A94="",1,IF(BV94=1,1,--AND(IF($AC94&gt;0,INDEX(BV$7:BV$106,$AC94),1),IF($AD94&gt;0,INDEX(BV$7:BV$106,$AD94),1),IF($AE94&gt;0,INDEX(BV$7:BV$106,$AE94),1),IF($AF94&gt;0,INDEX(BV$7:BV$106,$AF94),1),IF($AG94&gt;0,INDEX(BV$7:BV$106,$AG94),1),IF($AH94&gt;0,INDEX(BV$7:BV$106,$AH94),1),IF($AI94&gt;0,INDEX(BV$7:BV$106,$AI94),1),IF($AJ94&gt;0,INDEX(BV$7:BV$106,$AJ94),1))))</ns0:f>
        <ns0:v>1</ns0:v>
      </ns0:c>
      <ns0:c r="BX94" t="n">
        <ns0:f>IF($A94="",1,IF(BW94=1,1,--AND(IF($AC94&gt;0,INDEX(BW$7:BW$106,$AC94),1),IF($AD94&gt;0,INDEX(BW$7:BW$106,$AD94),1),IF($AE94&gt;0,INDEX(BW$7:BW$106,$AE94),1),IF($AF94&gt;0,INDEX(BW$7:BW$106,$AF94),1),IF($AG94&gt;0,INDEX(BW$7:BW$106,$AG94),1),IF($AH94&gt;0,INDEX(BW$7:BW$106,$AH94),1),IF($AI94&gt;0,INDEX(BW$7:BW$106,$AI94),1),IF($AJ94&gt;0,INDEX(BW$7:BW$106,$AJ94),1))))</ns0:f>
        <ns0:v>1</ns0:v>
      </ns0:c>
      <ns0:c r="BY94" t="n">
        <ns0:f>IF($A94="",1,IF(BX94=1,1,--AND(IF($AC94&gt;0,INDEX(BX$7:BX$106,$AC94),1),IF($AD94&gt;0,INDEX(BX$7:BX$106,$AD94),1),IF($AE94&gt;0,INDEX(BX$7:BX$106,$AE94),1),IF($AF94&gt;0,INDEX(BX$7:BX$106,$AF94),1),IF($AG94&gt;0,INDEX(BX$7:BX$106,$AG94),1),IF($AH94&gt;0,INDEX(BX$7:BX$106,$AH94),1),IF($AI94&gt;0,INDEX(BX$7:BX$106,$AI94),1),IF($AJ94&gt;0,INDEX(BX$7:BX$106,$AJ94),1))))</ns0:f>
        <ns0:v>1</ns0:v>
      </ns0:c>
      <ns0:c r="BZ94" t="n">
        <ns0:f>IF($A94="",1,IF(BY94=1,1,--AND(IF($AC94&gt;0,INDEX(BY$7:BY$106,$AC94),1),IF($AD94&gt;0,INDEX(BY$7:BY$106,$AD94),1),IF($AE94&gt;0,INDEX(BY$7:BY$106,$AE94),1),IF($AF94&gt;0,INDEX(BY$7:BY$106,$AF94),1),IF($AG94&gt;0,INDEX(BY$7:BY$106,$AG94),1),IF($AH94&gt;0,INDEX(BY$7:BY$106,$AH94),1),IF($AI94&gt;0,INDEX(BY$7:BY$106,$AI94),1),IF($AJ94&gt;0,INDEX(BY$7:BY$106,$AJ94),1))))</ns0:f>
        <ns0:v>1</ns0:v>
      </ns0:c>
      <ns0:c r="CA94" t="n">
        <ns0:f>IF($A94="",1,IF(BZ94=1,1,--AND(IF($AC94&gt;0,INDEX(BZ$7:BZ$106,$AC94),1),IF($AD94&gt;0,INDEX(BZ$7:BZ$106,$AD94),1),IF($AE94&gt;0,INDEX(BZ$7:BZ$106,$AE94),1),IF($AF94&gt;0,INDEX(BZ$7:BZ$106,$AF94),1),IF($AG94&gt;0,INDEX(BZ$7:BZ$106,$AG94),1),IF($AH94&gt;0,INDEX(BZ$7:BZ$106,$AH94),1),IF($AI94&gt;0,INDEX(BZ$7:BZ$106,$AI94),1),IF($AJ94&gt;0,INDEX(BZ$7:BZ$106,$AJ94),1))))</ns0:f>
        <ns0:v>1</ns0:v>
      </ns0:c>
      <ns0:c r="CB94" t="n">
        <ns0:f>IF($A94="",1,IF(CA94=1,1,--AND(IF($AC94&gt;0,INDEX(CA$7:CA$106,$AC94),1),IF($AD94&gt;0,INDEX(CA$7:CA$106,$AD94),1),IF($AE94&gt;0,INDEX(CA$7:CA$106,$AE94),1),IF($AF94&gt;0,INDEX(CA$7:CA$106,$AF94),1),IF($AG94&gt;0,INDEX(CA$7:CA$106,$AG94),1),IF($AH94&gt;0,INDEX(CA$7:CA$106,$AH94),1),IF($AI94&gt;0,INDEX(CA$7:CA$106,$AI94),1),IF($AJ94&gt;0,INDEX(CA$7:CA$106,$AJ94),1))))</ns0:f>
        <ns0:v>1</ns0:v>
      </ns0:c>
      <ns0:c r="CC94" t="n">
        <ns0:f>IF($A94="",1,IF(CB94=1,1,--AND(IF($AC94&gt;0,INDEX(CB$7:CB$106,$AC94),1),IF($AD94&gt;0,INDEX(CB$7:CB$106,$AD94),1),IF($AE94&gt;0,INDEX(CB$7:CB$106,$AE94),1),IF($AF94&gt;0,INDEX(CB$7:CB$106,$AF94),1),IF($AG94&gt;0,INDEX(CB$7:CB$106,$AG94),1),IF($AH94&gt;0,INDEX(CB$7:CB$106,$AH94),1),IF($AI94&gt;0,INDEX(CB$7:CB$106,$AI94),1),IF($AJ94&gt;0,INDEX(CB$7:CB$106,$AJ94),1))))</ns0:f>
        <ns0:v>1</ns0:v>
      </ns0:c>
      <ns0:c r="CD94" t="n">
        <ns0:f>IF($A94="",1,IF(CC94=1,1,--AND(IF($AC94&gt;0,INDEX(CC$7:CC$106,$AC94),1),IF($AD94&gt;0,INDEX(CC$7:CC$106,$AD94),1),IF($AE94&gt;0,INDEX(CC$7:CC$106,$AE94),1),IF($AF94&gt;0,INDEX(CC$7:CC$106,$AF94),1),IF($AG94&gt;0,INDEX(CC$7:CC$106,$AG94),1),IF($AH94&gt;0,INDEX(CC$7:CC$106,$AH94),1),IF($AI94&gt;0,INDEX(CC$7:CC$106,$AI94),1),IF($AJ94&gt;0,INDEX(CC$7:CC$106,$AJ94),1))))</ns0:f>
        <ns0:v>1</ns0:v>
      </ns0:c>
      <ns0:c r="CE94" t="n">
        <ns0:f>IF($A94="",1,IF(CD94=1,1,--AND(IF($AC94&gt;0,INDEX(CD$7:CD$106,$AC94),1),IF($AD94&gt;0,INDEX(CD$7:CD$106,$AD94),1),IF($AE94&gt;0,INDEX(CD$7:CD$106,$AE94),1),IF($AF94&gt;0,INDEX(CD$7:CD$106,$AF94),1),IF($AG94&gt;0,INDEX(CD$7:CD$106,$AG94),1),IF($AH94&gt;0,INDEX(CD$7:CD$106,$AH94),1),IF($AI94&gt;0,INDEX(CD$7:CD$106,$AI94),1),IF($AJ94&gt;0,INDEX(CD$7:CD$106,$AJ94),1))))</ns0:f>
        <ns0:v>1</ns0:v>
      </ns0:c>
      <ns0:c r="CF94" t="n">
        <ns0:f>IF($A94="",1,IF(CE94=1,1,--AND(IF($AC94&gt;0,INDEX(CE$7:CE$106,$AC94),1),IF($AD94&gt;0,INDEX(CE$7:CE$106,$AD94),1),IF($AE94&gt;0,INDEX(CE$7:CE$106,$AE94),1),IF($AF94&gt;0,INDEX(CE$7:CE$106,$AF94),1),IF($AG94&gt;0,INDEX(CE$7:CE$106,$AG94),1),IF($AH94&gt;0,INDEX(CE$7:CE$106,$AH94),1),IF($AI94&gt;0,INDEX(CE$7:CE$106,$AI94),1),IF($AJ94&gt;0,INDEX(CE$7:CE$106,$AJ94),1))))</ns0:f>
        <ns0:v>1</ns0:v>
      </ns0:c>
      <ns0:c r="CG94" t="n">
        <ns0:f>IF($A94="",1,IF(CF94=1,1,--AND(IF($AC94&gt;0,INDEX(CF$7:CF$106,$AC94),1),IF($AD94&gt;0,INDEX(CF$7:CF$106,$AD94),1),IF($AE94&gt;0,INDEX(CF$7:CF$106,$AE94),1),IF($AF94&gt;0,INDEX(CF$7:CF$106,$AF94),1),IF($AG94&gt;0,INDEX(CF$7:CF$106,$AG94),1),IF($AH94&gt;0,INDEX(CF$7:CF$106,$AH94),1),IF($AI94&gt;0,INDEX(CF$7:CF$106,$AI94),1),IF($AJ94&gt;0,INDEX(CF$7:CF$106,$AJ94),1))))</ns0:f>
        <ns0:v>1</ns0:v>
      </ns0:c>
      <ns0:c r="CH94" t="n">
        <ns0:f>IF($A94="",1,IF(CG94=1,1,--AND(IF($AC94&gt;0,INDEX(CG$7:CG$106,$AC94),1),IF($AD94&gt;0,INDEX(CG$7:CG$106,$AD94),1),IF($AE94&gt;0,INDEX(CG$7:CG$106,$AE94),1),IF($AF94&gt;0,INDEX(CG$7:CG$106,$AF94),1),IF($AG94&gt;0,INDEX(CG$7:CG$106,$AG94),1),IF($AH94&gt;0,INDEX(CG$7:CG$106,$AH94),1),IF($AI94&gt;0,INDEX(CG$7:CG$106,$AI94),1),IF($AJ94&gt;0,INDEX(CG$7:CG$106,$AJ94),1))))</ns0:f>
        <ns0:v>1</ns0:v>
      </ns0:c>
      <ns0:c r="CI94" t="n">
        <ns0:f>IF($A94="",1,IF(CH94=1,1,--AND(IF($AC94&gt;0,INDEX(CH$7:CH$106,$AC94),1),IF($AD94&gt;0,INDEX(CH$7:CH$106,$AD94),1),IF($AE94&gt;0,INDEX(CH$7:CH$106,$AE94),1),IF($AF94&gt;0,INDEX(CH$7:CH$106,$AF94),1),IF($AG94&gt;0,INDEX(CH$7:CH$106,$AG94),1),IF($AH94&gt;0,INDEX(CH$7:CH$106,$AH94),1),IF($AI94&gt;0,INDEX(CH$7:CH$106,$AI94),1),IF($AJ94&gt;0,INDEX(CH$7:CH$106,$AJ94),1))))</ns0:f>
        <ns0:v>1</ns0:v>
      </ns0:c>
      <ns0:c r="CJ94" t="n">
        <ns0:f>IF($A94="",1,IF(CI94=1,1,--AND(IF($AC94&gt;0,INDEX(CI$7:CI$106,$AC94),1),IF($AD94&gt;0,INDEX(CI$7:CI$106,$AD94),1),IF($AE94&gt;0,INDEX(CI$7:CI$106,$AE94),1),IF($AF94&gt;0,INDEX(CI$7:CI$106,$AF94),1),IF($AG94&gt;0,INDEX(CI$7:CI$106,$AG94),1),IF($AH94&gt;0,INDEX(CI$7:CI$106,$AH94),1),IF($AI94&gt;0,INDEX(CI$7:CI$106,$AI94),1),IF($AJ94&gt;0,INDEX(CI$7:CI$106,$AJ94),1))))</ns0:f>
        <ns0:v>1</ns0:v>
      </ns0:c>
      <ns0:c r="CK94" t="n">
        <ns0:f>IF($A94="",1,IF(CJ94=1,1,--AND(IF($AC94&gt;0,INDEX(CJ$7:CJ$106,$AC94),1),IF($AD94&gt;0,INDEX(CJ$7:CJ$106,$AD94),1),IF($AE94&gt;0,INDEX(CJ$7:CJ$106,$AE94),1),IF($AF94&gt;0,INDEX(CJ$7:CJ$106,$AF94),1),IF($AG94&gt;0,INDEX(CJ$7:CJ$106,$AG94),1),IF($AH94&gt;0,INDEX(CJ$7:CJ$106,$AH94),1),IF($AI94&gt;0,INDEX(CJ$7:CJ$106,$AI94),1),IF($AJ94&gt;0,INDEX(CJ$7:CJ$106,$AJ94),1))))</ns0:f>
        <ns0:v>1</ns0:v>
      </ns0:c>
      <ns0:c r="CL94" t="n">
        <ns0:f>IF($A94="",1,IF(CK94=1,1,--AND(IF($AC94&gt;0,INDEX(CK$7:CK$106,$AC94),1),IF($AD94&gt;0,INDEX(CK$7:CK$106,$AD94),1),IF($AE94&gt;0,INDEX(CK$7:CK$106,$AE94),1),IF($AF94&gt;0,INDEX(CK$7:CK$106,$AF94),1),IF($AG94&gt;0,INDEX(CK$7:CK$106,$AG94),1),IF($AH94&gt;0,INDEX(CK$7:CK$106,$AH94),1),IF($AI94&gt;0,INDEX(CK$7:CK$106,$AI94),1),IF($AJ94&gt;0,INDEX(CK$7:CK$106,$AJ94),1))))</ns0:f>
        <ns0:v>1</ns0:v>
      </ns0:c>
      <ns0:c r="CM94" t="n">
        <ns0:f>IF($A94="",1,IF(CL94=1,1,--AND(IF($AC94&gt;0,INDEX(CL$7:CL$106,$AC94),1),IF($AD94&gt;0,INDEX(CL$7:CL$106,$AD94),1),IF($AE94&gt;0,INDEX(CL$7:CL$106,$AE94),1),IF($AF94&gt;0,INDEX(CL$7:CL$106,$AF94),1),IF($AG94&gt;0,INDEX(CL$7:CL$106,$AG94),1),IF($AH94&gt;0,INDEX(CL$7:CL$106,$AH94),1),IF($AI94&gt;0,INDEX(CL$7:CL$106,$AI94),1),IF($AJ94&gt;0,INDEX(CL$7:CL$106,$AJ94),1))))</ns0:f>
        <ns0:v>1</ns0:v>
      </ns0:c>
      <ns0:c r="CN94" t="n">
        <ns0:f>IF($A94="",1,IF(CM94=1,1,--AND(IF($AC94&gt;0,INDEX(CM$7:CM$106,$AC94),1),IF($AD94&gt;0,INDEX(CM$7:CM$106,$AD94),1),IF($AE94&gt;0,INDEX(CM$7:CM$106,$AE94),1),IF($AF94&gt;0,INDEX(CM$7:CM$106,$AF94),1),IF($AG94&gt;0,INDEX(CM$7:CM$106,$AG94),1),IF($AH94&gt;0,INDEX(CM$7:CM$106,$AH94),1),IF($AI94&gt;0,INDEX(CM$7:CM$106,$AI94),1),IF($AJ94&gt;0,INDEX(CM$7:CM$106,$AJ94),1))))</ns0:f>
        <ns0:v>1</ns0:v>
      </ns0:c>
      <ns0:c r="CO94" t="n">
        <ns0:f>IF($A94="",1,IF(CN94=1,1,--AND(IF($AC94&gt;0,INDEX(CN$7:CN$106,$AC94),1),IF($AD94&gt;0,INDEX(CN$7:CN$106,$AD94),1),IF($AE94&gt;0,INDEX(CN$7:CN$106,$AE94),1),IF($AF94&gt;0,INDEX(CN$7:CN$106,$AF94),1),IF($AG94&gt;0,INDEX(CN$7:CN$106,$AG94),1),IF($AH94&gt;0,INDEX(CN$7:CN$106,$AH94),1),IF($AI94&gt;0,INDEX(CN$7:CN$106,$AI94),1),IF($AJ94&gt;0,INDEX(CN$7:CN$106,$AJ94),1))))</ns0:f>
        <ns0:v>1</ns0:v>
      </ns0:c>
      <ns0:c r="CP94" t="n">
        <ns0:f>IF($A94="",1,IF(CO94=1,1,--AND(IF($AC94&gt;0,INDEX(CO$7:CO$106,$AC94),1),IF($AD94&gt;0,INDEX(CO$7:CO$106,$AD94),1),IF($AE94&gt;0,INDEX(CO$7:CO$106,$AE94),1),IF($AF94&gt;0,INDEX(CO$7:CO$106,$AF94),1),IF($AG94&gt;0,INDEX(CO$7:CO$106,$AG94),1),IF($AH94&gt;0,INDEX(CO$7:CO$106,$AH94),1),IF($AI94&gt;0,INDEX(CO$7:CO$106,$AI94),1),IF($AJ94&gt;0,INDEX(CO$7:CO$106,$AJ94),1))))</ns0:f>
        <ns0:v>1</ns0:v>
      </ns0:c>
      <ns0:c r="CQ94" t="n">
        <ns0:f>IF($A94="",1,IF(CP94=1,1,--AND(IF($AC94&gt;0,INDEX(CP$7:CP$106,$AC94),1),IF($AD94&gt;0,INDEX(CP$7:CP$106,$AD94),1),IF($AE94&gt;0,INDEX(CP$7:CP$106,$AE94),1),IF($AF94&gt;0,INDEX(CP$7:CP$106,$AF94),1),IF($AG94&gt;0,INDEX(CP$7:CP$106,$AG94),1),IF($AH94&gt;0,INDEX(CP$7:CP$106,$AH94),1),IF($AI94&gt;0,INDEX(CP$7:CP$106,$AI94),1),IF($AJ94&gt;0,INDEX(CP$7:CP$106,$AJ94),1))))</ns0:f>
        <ns0:v>1</ns0:v>
      </ns0:c>
      <ns0:c r="CR94" t="n">
        <ns0:f>IF($A94="",1,IF(CQ94=1,1,--AND(IF($AC94&gt;0,INDEX(CQ$7:CQ$106,$AC94),1),IF($AD94&gt;0,INDEX(CQ$7:CQ$106,$AD94),1),IF($AE94&gt;0,INDEX(CQ$7:CQ$106,$AE94),1),IF($AF94&gt;0,INDEX(CQ$7:CQ$106,$AF94),1),IF($AG94&gt;0,INDEX(CQ$7:CQ$106,$AG94),1),IF($AH94&gt;0,INDEX(CQ$7:CQ$106,$AH94),1),IF($AI94&gt;0,INDEX(CQ$7:CQ$106,$AI94),1),IF($AJ94&gt;0,INDEX(CQ$7:CQ$106,$AJ94),1))))</ns0:f>
        <ns0:v>1</ns0:v>
      </ns0:c>
      <ns0:c r="CS94" t="n">
        <ns0:f>IF($A94="",1,IF(CR94=1,1,--AND(IF($AC94&gt;0,INDEX(CR$7:CR$106,$AC94),1),IF($AD94&gt;0,INDEX(CR$7:CR$106,$AD94),1),IF($AE94&gt;0,INDEX(CR$7:CR$106,$AE94),1),IF($AF94&gt;0,INDEX(CR$7:CR$106,$AF94),1),IF($AG94&gt;0,INDEX(CR$7:CR$106,$AG94),1),IF($AH94&gt;0,INDEX(CR$7:CR$106,$AH94),1),IF($AI94&gt;0,INDEX(CR$7:CR$106,$AI94),1),IF($AJ94&gt;0,INDEX(CR$7:CR$106,$AJ94),1))))</ns0:f>
        <ns0:v>1</ns0:v>
      </ns0:c>
      <ns0:c r="CT94" t="n">
        <ns0:f>IF($A94="",1,IF(CS94=1,1,--AND(IF($AC94&gt;0,INDEX(CS$7:CS$106,$AC94),1),IF($AD94&gt;0,INDEX(CS$7:CS$106,$AD94),1),IF($AE94&gt;0,INDEX(CS$7:CS$106,$AE94),1),IF($AF94&gt;0,INDEX(CS$7:CS$106,$AF94),1),IF($AG94&gt;0,INDEX(CS$7:CS$106,$AG94),1),IF($AH94&gt;0,INDEX(CS$7:CS$106,$AH94),1),IF($AI94&gt;0,INDEX(CS$7:CS$106,$AI94),1),IF($AJ94&gt;0,INDEX(CS$7:CS$106,$AJ94),1))))</ns0:f>
        <ns0:v>1</ns0:v>
      </ns0:c>
      <ns0:c r="CU94" t="n">
        <ns0:f>IF($A94="",1,IF(CT94=1,1,--AND(IF($AC94&gt;0,INDEX(CT$7:CT$106,$AC94),1),IF($AD94&gt;0,INDEX(CT$7:CT$106,$AD94),1),IF($AE94&gt;0,INDEX(CT$7:CT$106,$AE94),1),IF($AF94&gt;0,INDEX(CT$7:CT$106,$AF94),1),IF($AG94&gt;0,INDEX(CT$7:CT$106,$AG94),1),IF($AH94&gt;0,INDEX(CT$7:CT$106,$AH94),1),IF($AI94&gt;0,INDEX(CT$7:CT$106,$AI94),1),IF($AJ94&gt;0,INDEX(CT$7:CT$106,$AJ94),1))))</ns0:f>
        <ns0:v>1</ns0:v>
      </ns0:c>
      <ns0:c r="CV94" t="n">
        <ns0:f>IF($A94="",1,IF(CU94=1,1,--AND(IF($AC94&gt;0,INDEX(CU$7:CU$106,$AC94),1),IF($AD94&gt;0,INDEX(CU$7:CU$106,$AD94),1),IF($AE94&gt;0,INDEX(CU$7:CU$106,$AE94),1),IF($AF94&gt;0,INDEX(CU$7:CU$106,$AF94),1),IF($AG94&gt;0,INDEX(CU$7:CU$106,$AG94),1),IF($AH94&gt;0,INDEX(CU$7:CU$106,$AH94),1),IF($AI94&gt;0,INDEX(CU$7:CU$106,$AI94),1),IF($AJ94&gt;0,INDEX(CU$7:CU$106,$AJ94),1))))</ns0:f>
        <ns0:v>1</ns0:v>
      </ns0:c>
      <ns0:c r="CW94" t="n">
        <ns0:f>IF($A94="",1,IF(CV94=1,1,--AND(IF($AC94&gt;0,INDEX(CV$7:CV$106,$AC94),1),IF($AD94&gt;0,INDEX(CV$7:CV$106,$AD94),1),IF($AE94&gt;0,INDEX(CV$7:CV$106,$AE94),1),IF($AF94&gt;0,INDEX(CV$7:CV$106,$AF94),1),IF($AG94&gt;0,INDEX(CV$7:CV$106,$AG94),1),IF($AH94&gt;0,INDEX(CV$7:CV$106,$AH94),1),IF($AI94&gt;0,INDEX(CV$7:CV$106,$AI94),1),IF($AJ94&gt;0,INDEX(CV$7:CV$106,$AJ94),1))))</ns0:f>
        <ns0:v>1</ns0:v>
      </ns0:c>
      <ns0:c r="CX94" t="n">
        <ns0:f>IF($A94="",1,IF(CW94=1,1,--AND(IF($AC94&gt;0,INDEX(CW$7:CW$106,$AC94),1),IF($AD94&gt;0,INDEX(CW$7:CW$106,$AD94),1),IF($AE94&gt;0,INDEX(CW$7:CW$106,$AE94),1),IF($AF94&gt;0,INDEX(CW$7:CW$106,$AF94),1),IF($AG94&gt;0,INDEX(CW$7:CW$106,$AG94),1),IF($AH94&gt;0,INDEX(CW$7:CW$106,$AH94),1),IF($AI94&gt;0,INDEX(CW$7:CW$106,$AI94),1),IF($AJ94&gt;0,INDEX(CW$7:CW$106,$AJ94),1))))</ns0:f>
        <ns0:v>1</ns0:v>
      </ns0:c>
      <ns0:c r="CY94" t="n">
        <ns0:f>IF($A94="",1,IF(CX94=1,1,--AND(IF($AC94&gt;0,INDEX(CX$7:CX$106,$AC94),1),IF($AD94&gt;0,INDEX(CX$7:CX$106,$AD94),1),IF($AE94&gt;0,INDEX(CX$7:CX$106,$AE94),1),IF($AF94&gt;0,INDEX(CX$7:CX$106,$AF94),1),IF($AG94&gt;0,INDEX(CX$7:CX$106,$AG94),1),IF($AH94&gt;0,INDEX(CX$7:CX$106,$AH94),1),IF($AI94&gt;0,INDEX(CX$7:CX$106,$AI94),1),IF($AJ94&gt;0,INDEX(CX$7:CX$106,$AJ94),1))))</ns0:f>
        <ns0:v>1</ns0:v>
      </ns0:c>
      <ns0:c r="CZ94" t="n">
        <ns0:f>IF($A94="",1,IF(CY94=1,1,--AND(IF($AC94&gt;0,INDEX(CY$7:CY$106,$AC94),1),IF($AD94&gt;0,INDEX(CY$7:CY$106,$AD94),1),IF($AE94&gt;0,INDEX(CY$7:CY$106,$AE94),1),IF($AF94&gt;0,INDEX(CY$7:CY$106,$AF94),1),IF($AG94&gt;0,INDEX(CY$7:CY$106,$AG94),1),IF($AH94&gt;0,INDEX(CY$7:CY$106,$AH94),1),IF($AI94&gt;0,INDEX(CY$7:CY$106,$AI94),1),IF($AJ94&gt;0,INDEX(CY$7:CY$106,$AJ94),1))))</ns0:f>
        <ns0:v>1</ns0:v>
      </ns0:c>
      <ns0:c r="DA94" t="n">
        <ns0:f>IF($A94="",1,IF(CZ94=1,1,--AND(IF($AC94&gt;0,INDEX(CZ$7:CZ$106,$AC94),1),IF($AD94&gt;0,INDEX(CZ$7:CZ$106,$AD94),1),IF($AE94&gt;0,INDEX(CZ$7:CZ$106,$AE94),1),IF($AF94&gt;0,INDEX(CZ$7:CZ$106,$AF94),1),IF($AG94&gt;0,INDEX(CZ$7:CZ$106,$AG94),1),IF($AH94&gt;0,INDEX(CZ$7:CZ$106,$AH94),1),IF($AI94&gt;0,INDEX(CZ$7:CZ$106,$AI94),1),IF($AJ94&gt;0,INDEX(CZ$7:CZ$106,$AJ94),1))))</ns0:f>
        <ns0:v>1</ns0:v>
      </ns0:c>
      <ns0:c r="DB94" t="n">
        <ns0:f>IF($A94="",1,IF(DA94=1,1,--AND(IF($AC94&gt;0,INDEX(DA$7:DA$106,$AC94),1),IF($AD94&gt;0,INDEX(DA$7:DA$106,$AD94),1),IF($AE94&gt;0,INDEX(DA$7:DA$106,$AE94),1),IF($AF94&gt;0,INDEX(DA$7:DA$106,$AF94),1),IF($AG94&gt;0,INDEX(DA$7:DA$106,$AG94),1),IF($AH94&gt;0,INDEX(DA$7:DA$106,$AH94),1),IF($AI94&gt;0,INDEX(DA$7:DA$106,$AI94),1),IF($AJ94&gt;0,INDEX(DA$7:DA$106,$AJ94),1))))</ns0:f>
        <ns0:v>1</ns0:v>
      </ns0:c>
      <ns0:c r="DC94" t="n">
        <ns0:f>IF($A94="",1,IF(DB94=1,1,--AND(IF($AC94&gt;0,INDEX(DB$7:DB$106,$AC94),1),IF($AD94&gt;0,INDEX(DB$7:DB$106,$AD94),1),IF($AE94&gt;0,INDEX(DB$7:DB$106,$AE94),1),IF($AF94&gt;0,INDEX(DB$7:DB$106,$AF94),1),IF($AG94&gt;0,INDEX(DB$7:DB$106,$AG94),1),IF($AH94&gt;0,INDEX(DB$7:DB$106,$AH94),1),IF($AI94&gt;0,INDEX(DB$7:DB$106,$AI94),1),IF($AJ94&gt;0,INDEX(DB$7:DB$106,$AJ94),1))))</ns0:f>
        <ns0:v>1</ns0:v>
      </ns0:c>
      <ns0:c r="DD94" t="n">
        <ns0:f>IF($A94="",1,IF(DC94=1,1,--AND(IF($AC94&gt;0,INDEX(DC$7:DC$106,$AC94),1),IF($AD94&gt;0,INDEX(DC$7:DC$106,$AD94),1),IF($AE94&gt;0,INDEX(DC$7:DC$106,$AE94),1),IF($AF94&gt;0,INDEX(DC$7:DC$106,$AF94),1),IF($AG94&gt;0,INDEX(DC$7:DC$106,$AG94),1),IF($AH94&gt;0,INDEX(DC$7:DC$106,$AH94),1),IF($AI94&gt;0,INDEX(DC$7:DC$106,$AI94),1),IF($AJ94&gt;0,INDEX(DC$7:DC$106,$AJ94),1))))</ns0:f>
        <ns0:v>1</ns0:v>
      </ns0:c>
      <ns0:c r="DE94" t="n">
        <ns0:f>IF($A94="",1,IF(DD94=1,1,--AND(IF($AC94&gt;0,INDEX(DD$7:DD$106,$AC94),1),IF($AD94&gt;0,INDEX(DD$7:DD$106,$AD94),1),IF($AE94&gt;0,INDEX(DD$7:DD$106,$AE94),1),IF($AF94&gt;0,INDEX(DD$7:DD$106,$AF94),1),IF($AG94&gt;0,INDEX(DD$7:DD$106,$AG94),1),IF($AH94&gt;0,INDEX(DD$7:DD$106,$AH94),1),IF($AI94&gt;0,INDEX(DD$7:DD$106,$AI94),1),IF($AJ94&gt;0,INDEX(DD$7:DD$106,$AJ94),1))))</ns0:f>
        <ns0:v>1</ns0:v>
      </ns0:c>
      <ns0:c r="DF94" t="n">
        <ns0:f>IF($A94="",1,IF(DE94=1,1,--AND(IF($AC94&gt;0,INDEX(DE$7:DE$106,$AC94),1),IF($AD94&gt;0,INDEX(DE$7:DE$106,$AD94),1),IF($AE94&gt;0,INDEX(DE$7:DE$106,$AE94),1),IF($AF94&gt;0,INDEX(DE$7:DE$106,$AF94),1),IF($AG94&gt;0,INDEX(DE$7:DE$106,$AG94),1),IF($AH94&gt;0,INDEX(DE$7:DE$106,$AH94),1),IF($AI94&gt;0,INDEX(DE$7:DE$106,$AI94),1),IF($AJ94&gt;0,INDEX(DE$7:DE$106,$AJ94),1))))</ns0:f>
        <ns0:v>1</ns0:v>
      </ns0:c>
      <ns0:c r="DG94" t="n">
        <ns0:f>IF($A94="",1,IF(DF94=1,1,--AND(IF($AC94&gt;0,INDEX(DF$7:DF$106,$AC94),1),IF($AD94&gt;0,INDEX(DF$7:DF$106,$AD94),1),IF($AE94&gt;0,INDEX(DF$7:DF$106,$AE94),1),IF($AF94&gt;0,INDEX(DF$7:DF$106,$AF94),1),IF($AG94&gt;0,INDEX(DF$7:DF$106,$AG94),1),IF($AH94&gt;0,INDEX(DF$7:DF$106,$AH94),1),IF($AI94&gt;0,INDEX(DF$7:DF$106,$AI94),1),IF($AJ94&gt;0,INDEX(DF$7:DF$106,$AJ94),1))))</ns0:f>
        <ns0:v>1</ns0:v>
      </ns0:c>
      <ns0:c r="DH94" t="n">
        <ns0:f>IF($A94="",1,IF(DG94=1,1,--AND(IF($AC94&gt;0,INDEX(DG$7:DG$106,$AC94),1),IF($AD94&gt;0,INDEX(DG$7:DG$106,$AD94),1),IF($AE94&gt;0,INDEX(DG$7:DG$106,$AE94),1),IF($AF94&gt;0,INDEX(DG$7:DG$106,$AF94),1),IF($AG94&gt;0,INDEX(DG$7:DG$106,$AG94),1),IF($AH94&gt;0,INDEX(DG$7:DG$106,$AH94),1),IF($AI94&gt;0,INDEX(DG$7:DG$106,$AI94),1),IF($AJ94&gt;0,INDEX(DG$7:DG$106,$AJ94),1))))</ns0:f>
        <ns0:v>1</ns0:v>
      </ns0:c>
      <ns0:c r="DI94" t="n">
        <ns0:f>IF($A94="",1,IF(DH94=1,1,--AND(IF($AC94&gt;0,INDEX(DH$7:DH$106,$AC94),1),IF($AD94&gt;0,INDEX(DH$7:DH$106,$AD94),1),IF($AE94&gt;0,INDEX(DH$7:DH$106,$AE94),1),IF($AF94&gt;0,INDEX(DH$7:DH$106,$AF94),1),IF($AG94&gt;0,INDEX(DH$7:DH$106,$AG94),1),IF($AH94&gt;0,INDEX(DH$7:DH$106,$AH94),1),IF($AI94&gt;0,INDEX(DH$7:DH$106,$AI94),1),IF($AJ94&gt;0,INDEX(DH$7:DH$106,$AJ94),1))))</ns0:f>
        <ns0:v>1</ns0:v>
      </ns0:c>
      <ns0:c r="DJ94" t="n">
        <ns0:f>IF($A94="",1,IF(DI94=1,1,--AND(IF($AC94&gt;0,INDEX(DI$7:DI$106,$AC94),1),IF($AD94&gt;0,INDEX(DI$7:DI$106,$AD94),1),IF($AE94&gt;0,INDEX(DI$7:DI$106,$AE94),1),IF($AF94&gt;0,INDEX(DI$7:DI$106,$AF94),1),IF($AG94&gt;0,INDEX(DI$7:DI$106,$AG94),1),IF($AH94&gt;0,INDEX(DI$7:DI$106,$AH94),1),IF($AI94&gt;0,INDEX(DI$7:DI$106,$AI94),1),IF($AJ94&gt;0,INDEX(DI$7:DI$106,$AJ94),1))))</ns0:f>
        <ns0:v>1</ns0:v>
      </ns0:c>
      <ns0:c r="DK94" t="n">
        <ns0:f>IF($A94="",1,IF(DJ94=1,1,--AND(IF($AC94&gt;0,INDEX(DJ$7:DJ$106,$AC94),1),IF($AD94&gt;0,INDEX(DJ$7:DJ$106,$AD94),1),IF($AE94&gt;0,INDEX(DJ$7:DJ$106,$AE94),1),IF($AF94&gt;0,INDEX(DJ$7:DJ$106,$AF94),1),IF($AG94&gt;0,INDEX(DJ$7:DJ$106,$AG94),1),IF($AH94&gt;0,INDEX(DJ$7:DJ$106,$AH94),1),IF($AI94&gt;0,INDEX(DJ$7:DJ$106,$AI94),1),IF($AJ94&gt;0,INDEX(DJ$7:DJ$106,$AJ94),1))))</ns0:f>
        <ns0:v>1</ns0:v>
      </ns0:c>
      <ns0:c r="DL94" t="n">
        <ns0:f>IF($A94="",1,IF(DK94=1,1,--AND(IF($AC94&gt;0,INDEX(DK$7:DK$106,$AC94),1),IF($AD94&gt;0,INDEX(DK$7:DK$106,$AD94),1),IF($AE94&gt;0,INDEX(DK$7:DK$106,$AE94),1),IF($AF94&gt;0,INDEX(DK$7:DK$106,$AF94),1),IF($AG94&gt;0,INDEX(DK$7:DK$106,$AG94),1),IF($AH94&gt;0,INDEX(DK$7:DK$106,$AH94),1),IF($AI94&gt;0,INDEX(DK$7:DK$106,$AI94),1),IF($AJ94&gt;0,INDEX(DK$7:DK$106,$AJ94),1))))</ns0:f>
        <ns0:v>1</ns0:v>
      </ns0:c>
      <ns0:c r="DM94" t="n">
        <ns0:f>IF($A94="",1,IF(DL94=1,1,--AND(IF($AC94&gt;0,INDEX(DL$7:DL$106,$AC94),1),IF($AD94&gt;0,INDEX(DL$7:DL$106,$AD94),1),IF($AE94&gt;0,INDEX(DL$7:DL$106,$AE94),1),IF($AF94&gt;0,INDEX(DL$7:DL$106,$AF94),1),IF($AG94&gt;0,INDEX(DL$7:DL$106,$AG94),1),IF($AH94&gt;0,INDEX(DL$7:DL$106,$AH94),1),IF($AI94&gt;0,INDEX(DL$7:DL$106,$AI94),1),IF($AJ94&gt;0,INDEX(DL$7:DL$106,$AJ94),1))))</ns0:f>
        <ns0:v>1</ns0:v>
      </ns0:c>
      <ns0:c r="DN94" t="n">
        <ns0:f>IF($A94="",1,IF(DM94=1,1,--AND(IF($AC94&gt;0,INDEX(DM$7:DM$106,$AC94),1),IF($AD94&gt;0,INDEX(DM$7:DM$106,$AD94),1),IF($AE94&gt;0,INDEX(DM$7:DM$106,$AE94),1),IF($AF94&gt;0,INDEX(DM$7:DM$106,$AF94),1),IF($AG94&gt;0,INDEX(DM$7:DM$106,$AG94),1),IF($AH94&gt;0,INDEX(DM$7:DM$106,$AH94),1),IF($AI94&gt;0,INDEX(DM$7:DM$106,$AI94),1),IF($AJ94&gt;0,INDEX(DM$7:DM$106,$AJ94),1))))</ns0:f>
        <ns0:v>1</ns0:v>
      </ns0:c>
      <ns0:c r="DO94" t="n">
        <ns0:f>IF($A94="",1,IF(DN94=1,1,--AND(IF($AC94&gt;0,INDEX(DN$7:DN$106,$AC94),1),IF($AD94&gt;0,INDEX(DN$7:DN$106,$AD94),1),IF($AE94&gt;0,INDEX(DN$7:DN$106,$AE94),1),IF($AF94&gt;0,INDEX(DN$7:DN$106,$AF94),1),IF($AG94&gt;0,INDEX(DN$7:DN$106,$AG94),1),IF($AH94&gt;0,INDEX(DN$7:DN$106,$AH94),1),IF($AI94&gt;0,INDEX(DN$7:DN$106,$AI94),1),IF($AJ94&gt;0,INDEX(DN$7:DN$106,$AJ94),1))))</ns0:f>
        <ns0:v>1</ns0:v>
      </ns0:c>
      <ns0:c r="DP94" t="n">
        <ns0:f>IF($A94="",1,IF(DO94=1,1,--AND(IF($AC94&gt;0,INDEX(DO$7:DO$106,$AC94),1),IF($AD94&gt;0,INDEX(DO$7:DO$106,$AD94),1),IF($AE94&gt;0,INDEX(DO$7:DO$106,$AE94),1),IF($AF94&gt;0,INDEX(DO$7:DO$106,$AF94),1),IF($AG94&gt;0,INDEX(DO$7:DO$106,$AG94),1),IF($AH94&gt;0,INDEX(DO$7:DO$106,$AH94),1),IF($AI94&gt;0,INDEX(DO$7:DO$106,$AI94),1),IF($AJ94&gt;0,INDEX(DO$7:DO$106,$AJ94),1))))</ns0:f>
        <ns0:v>1</ns0:v>
      </ns0:c>
      <ns0:c r="DQ94" t="n">
        <ns0:f>IF($A94="",1,IF(DP94=1,1,--AND(IF($AC94&gt;0,INDEX(DP$7:DP$106,$AC94),1),IF($AD94&gt;0,INDEX(DP$7:DP$106,$AD94),1),IF($AE94&gt;0,INDEX(DP$7:DP$106,$AE94),1),IF($AF94&gt;0,INDEX(DP$7:DP$106,$AF94),1),IF($AG94&gt;0,INDEX(DP$7:DP$106,$AG94),1),IF($AH94&gt;0,INDEX(DP$7:DP$106,$AH94),1),IF($AI94&gt;0,INDEX(DP$7:DP$106,$AI94),1),IF($AJ94&gt;0,INDEX(DP$7:DP$106,$AJ94),1))))</ns0:f>
        <ns0:v>1</ns0:v>
      </ns0:c>
      <ns0:c r="DR94" t="n">
        <ns0:f>IF($A94="",1,IF(DQ94=1,1,--AND(IF($AC94&gt;0,INDEX(DQ$7:DQ$106,$AC94),1),IF($AD94&gt;0,INDEX(DQ$7:DQ$106,$AD94),1),IF($AE94&gt;0,INDEX(DQ$7:DQ$106,$AE94),1),IF($AF94&gt;0,INDEX(DQ$7:DQ$106,$AF94),1),IF($AG94&gt;0,INDEX(DQ$7:DQ$106,$AG94),1),IF($AH94&gt;0,INDEX(DQ$7:DQ$106,$AH94),1),IF($AI94&gt;0,INDEX(DQ$7:DQ$106,$AI94),1),IF($AJ94&gt;0,INDEX(DQ$7:DQ$106,$AJ94),1))))</ns0:f>
        <ns0:v>1</ns0:v>
      </ns0:c>
      <ns0:c r="DS94" t="n">
        <ns0:f>IF($A94="",1,IF(DR94=1,1,--AND(IF($AC94&gt;0,INDEX(DR$7:DR$106,$AC94),1),IF($AD94&gt;0,INDEX(DR$7:DR$106,$AD94),1),IF($AE94&gt;0,INDEX(DR$7:DR$106,$AE94),1),IF($AF94&gt;0,INDEX(DR$7:DR$106,$AF94),1),IF($AG94&gt;0,INDEX(DR$7:DR$106,$AG94),1),IF($AH94&gt;0,INDEX(DR$7:DR$106,$AH94),1),IF($AI94&gt;0,INDEX(DR$7:DR$106,$AI94),1),IF($AJ94&gt;0,INDEX(DR$7:DR$106,$AJ94),1))))</ns0:f>
        <ns0:v>1</ns0:v>
      </ns0:c>
      <ns0:c r="DT94" t="n">
        <ns0:f>IF($A94="",1,IF(DS94=1,1,--AND(IF($AC94&gt;0,INDEX(DS$7:DS$106,$AC94),1),IF($AD94&gt;0,INDEX(DS$7:DS$106,$AD94),1),IF($AE94&gt;0,INDEX(DS$7:DS$106,$AE94),1),IF($AF94&gt;0,INDEX(DS$7:DS$106,$AF94),1),IF($AG94&gt;0,INDEX(DS$7:DS$106,$AG94),1),IF($AH94&gt;0,INDEX(DS$7:DS$106,$AH94),1),IF($AI94&gt;0,INDEX(DS$7:DS$106,$AI94),1),IF($AJ94&gt;0,INDEX(DS$7:DS$106,$AJ94),1))))</ns0:f>
        <ns0:v>1</ns0:v>
      </ns0:c>
      <ns0:c r="DU94" t="n">
        <ns0:f>IF($A94="",1,IF(DT94=1,1,--AND(IF($AC94&gt;0,INDEX(DT$7:DT$106,$AC94),1),IF($AD94&gt;0,INDEX(DT$7:DT$106,$AD94),1),IF($AE94&gt;0,INDEX(DT$7:DT$106,$AE94),1),IF($AF94&gt;0,INDEX(DT$7:DT$106,$AF94),1),IF($AG94&gt;0,INDEX(DT$7:DT$106,$AG94),1),IF($AH94&gt;0,INDEX(DT$7:DT$106,$AH94),1),IF($AI94&gt;0,INDEX(DT$7:DT$106,$AI94),1),IF($AJ94&gt;0,INDEX(DT$7:DT$106,$AJ94),1))))</ns0:f>
        <ns0:v>1</ns0:v>
      </ns0:c>
      <ns0:c r="DV94" t="n">
        <ns0:f>IF($A94="",1,IF(DU94=1,1,--AND(IF($AC94&gt;0,INDEX(DU$7:DU$106,$AC94),1),IF($AD94&gt;0,INDEX(DU$7:DU$106,$AD94),1),IF($AE94&gt;0,INDEX(DU$7:DU$106,$AE94),1),IF($AF94&gt;0,INDEX(DU$7:DU$106,$AF94),1),IF($AG94&gt;0,INDEX(DU$7:DU$106,$AG94),1),IF($AH94&gt;0,INDEX(DU$7:DU$106,$AH94),1),IF($AI94&gt;0,INDEX(DU$7:DU$106,$AI94),1),IF($AJ94&gt;0,INDEX(DU$7:DU$106,$AJ94),1))))</ns0:f>
        <ns0:v>1</ns0:v>
      </ns0:c>
      <ns0:c r="DW94" t="n">
        <ns0:f>IF($A94="",1,IF(DV94=1,1,--AND(IF($AC94&gt;0,INDEX(DV$7:DV$106,$AC94),1),IF($AD94&gt;0,INDEX(DV$7:DV$106,$AD94),1),IF($AE94&gt;0,INDEX(DV$7:DV$106,$AE94),1),IF($AF94&gt;0,INDEX(DV$7:DV$106,$AF94),1),IF($AG94&gt;0,INDEX(DV$7:DV$106,$AG94),1),IF($AH94&gt;0,INDEX(DV$7:DV$106,$AH94),1),IF($AI94&gt;0,INDEX(DV$7:DV$106,$AI94),1),IF($AJ94&gt;0,INDEX(DV$7:DV$106,$AJ94),1))))</ns0:f>
        <ns0:v>1</ns0:v>
      </ns0:c>
      <ns0:c r="DX94" t="n">
        <ns0:f>IF($A94="",1,IF(DW94=1,1,--AND(IF($AC94&gt;0,INDEX(DW$7:DW$106,$AC94),1),IF($AD94&gt;0,INDEX(DW$7:DW$106,$AD94),1),IF($AE94&gt;0,INDEX(DW$7:DW$106,$AE94),1),IF($AF94&gt;0,INDEX(DW$7:DW$106,$AF94),1),IF($AG94&gt;0,INDEX(DW$7:DW$106,$AG94),1),IF($AH94&gt;0,INDEX(DW$7:DW$106,$AH94),1),IF($AI94&gt;0,INDEX(DW$7:DW$106,$AI94),1),IF($AJ94&gt;0,INDEX(DW$7:DW$106,$AJ94),1))))</ns0:f>
        <ns0:v>1</ns0:v>
      </ns0:c>
      <ns0:c r="DY94" t="n">
        <ns0:f>IF($A94="",1,IF(DX94=1,1,--AND(IF($AC94&gt;0,INDEX(DX$7:DX$106,$AC94),1),IF($AD94&gt;0,INDEX(DX$7:DX$106,$AD94),1),IF($AE94&gt;0,INDEX(DX$7:DX$106,$AE94),1),IF($AF94&gt;0,INDEX(DX$7:DX$106,$AF94),1),IF($AG94&gt;0,INDEX(DX$7:DX$106,$AG94),1),IF($AH94&gt;0,INDEX(DX$7:DX$106,$AH94),1),IF($AI94&gt;0,INDEX(DX$7:DX$106,$AI94),1),IF($AJ94&gt;0,INDEX(DX$7:DX$106,$AJ94),1))))</ns0:f>
        <ns0:v>1</ns0:v>
      </ns0:c>
      <ns0:c r="DZ94" t="n">
        <ns0:f>IF($A94="",1,IF(DY94=1,1,--AND(IF($AC94&gt;0,INDEX(DY$7:DY$106,$AC94),1),IF($AD94&gt;0,INDEX(DY$7:DY$106,$AD94),1),IF($AE94&gt;0,INDEX(DY$7:DY$106,$AE94),1),IF($AF94&gt;0,INDEX(DY$7:DY$106,$AF94),1),IF($AG94&gt;0,INDEX(DY$7:DY$106,$AG94),1),IF($AH94&gt;0,INDEX(DY$7:DY$106,$AH94),1),IF($AI94&gt;0,INDEX(DY$7:DY$106,$AI94),1),IF($AJ94&gt;0,INDEX(DY$7:DY$106,$AJ94),1))))</ns0:f>
        <ns0:v>1</ns0:v>
      </ns0:c>
      <ns0:c r="EA94" t="n">
        <ns0:f>IF($A94="",1,IF(DZ94=1,1,--AND(IF($AC94&gt;0,INDEX(DZ$7:DZ$106,$AC94),1),IF($AD94&gt;0,INDEX(DZ$7:DZ$106,$AD94),1),IF($AE94&gt;0,INDEX(DZ$7:DZ$106,$AE94),1),IF($AF94&gt;0,INDEX(DZ$7:DZ$106,$AF94),1),IF($AG94&gt;0,INDEX(DZ$7:DZ$106,$AG94),1),IF($AH94&gt;0,INDEX(DZ$7:DZ$106,$AH94),1),IF($AI94&gt;0,INDEX(DZ$7:DZ$106,$AI94),1),IF($AJ94&gt;0,INDEX(DZ$7:DZ$106,$AJ94),1))))</ns0:f>
        <ns0:v>1</ns0:v>
      </ns0:c>
      <ns0:c r="EB94" t="n">
        <ns0:f>IF($A94="",1,IF(EA94=1,1,--AND(IF($AC94&gt;0,INDEX(EA$7:EA$106,$AC94),1),IF($AD94&gt;0,INDEX(EA$7:EA$106,$AD94),1),IF($AE94&gt;0,INDEX(EA$7:EA$106,$AE94),1),IF($AF94&gt;0,INDEX(EA$7:EA$106,$AF94),1),IF($AG94&gt;0,INDEX(EA$7:EA$106,$AG94),1),IF($AH94&gt;0,INDEX(EA$7:EA$106,$AH94),1),IF($AI94&gt;0,INDEX(EA$7:EA$106,$AI94),1),IF($AJ94&gt;0,INDEX(EA$7:EA$106,$AJ94),1))))</ns0:f>
        <ns0:v>1</ns0:v>
      </ns0:c>
      <ns0:c r="EC94" t="n">
        <ns0:f>IF($A94="",1,IF(EB94=1,1,--AND(IF($AC94&gt;0,INDEX(EB$7:EB$106,$AC94),1),IF($AD94&gt;0,INDEX(EB$7:EB$106,$AD94),1),IF($AE94&gt;0,INDEX(EB$7:EB$106,$AE94),1),IF($AF94&gt;0,INDEX(EB$7:EB$106,$AF94),1),IF($AG94&gt;0,INDEX(EB$7:EB$106,$AG94),1),IF($AH94&gt;0,INDEX(EB$7:EB$106,$AH94),1),IF($AI94&gt;0,INDEX(EB$7:EB$106,$AI94),1),IF($AJ94&gt;0,INDEX(EB$7:EB$106,$AJ94),1))))</ns0:f>
        <ns0:v>1</ns0:v>
      </ns0:c>
      <ns0:c r="ED94" t="n">
        <ns0:f>IF($A94="",1,IF(EC94=1,1,--AND(IF($AC94&gt;0,INDEX(EC$7:EC$106,$AC94),1),IF($AD94&gt;0,INDEX(EC$7:EC$106,$AD94),1),IF($AE94&gt;0,INDEX(EC$7:EC$106,$AE94),1),IF($AF94&gt;0,INDEX(EC$7:EC$106,$AF94),1),IF($AG94&gt;0,INDEX(EC$7:EC$106,$AG94),1),IF($AH94&gt;0,INDEX(EC$7:EC$106,$AH94),1),IF($AI94&gt;0,INDEX(EC$7:EC$106,$AI94),1),IF($AJ94&gt;0,INDEX(EC$7:EC$106,$AJ94),1))))</ns0:f>
        <ns0:v>1</ns0:v>
      </ns0:c>
      <ns0:c r="EE94" t="n">
        <ns0:f>IF($A94="",1,IF(ED94=1,1,--AND(IF($AC94&gt;0,INDEX(ED$7:ED$106,$AC94),1),IF($AD94&gt;0,INDEX(ED$7:ED$106,$AD94),1),IF($AE94&gt;0,INDEX(ED$7:ED$106,$AE94),1),IF($AF94&gt;0,INDEX(ED$7:ED$106,$AF94),1),IF($AG94&gt;0,INDEX(ED$7:ED$106,$AG94),1),IF($AH94&gt;0,INDEX(ED$7:ED$106,$AH94),1),IF($AI94&gt;0,INDEX(ED$7:ED$106,$AI94),1),IF($AJ94&gt;0,INDEX(ED$7:ED$106,$AJ94),1))))</ns0:f>
        <ns0:v>1</ns0:v>
      </ns0:c>
      <ns0:c r="EF94" t="n">
        <ns0:f>IF($A94="",1,IF(EE94=1,1,--AND(IF($AC94&gt;0,INDEX(EE$7:EE$106,$AC94),1),IF($AD94&gt;0,INDEX(EE$7:EE$106,$AD94),1),IF($AE94&gt;0,INDEX(EE$7:EE$106,$AE94),1),IF($AF94&gt;0,INDEX(EE$7:EE$106,$AF94),1),IF($AG94&gt;0,INDEX(EE$7:EE$106,$AG94),1),IF($AH94&gt;0,INDEX(EE$7:EE$106,$AH94),1),IF($AI94&gt;0,INDEX(EE$7:EE$106,$AI94),1),IF($AJ94&gt;0,INDEX(EE$7:EE$106,$AJ94),1))))</ns0:f>
        <ns0:v>1</ns0:v>
      </ns0:c>
      <ns0:c r="EG94" t="n">
        <ns0:f>IF($A94="",1,IF(EF94=1,1,--AND(IF($AC94&gt;0,INDEX(EF$7:EF$106,$AC94),1),IF($AD94&gt;0,INDEX(EF$7:EF$106,$AD94),1),IF($AE94&gt;0,INDEX(EF$7:EF$106,$AE94),1),IF($AF94&gt;0,INDEX(EF$7:EF$106,$AF94),1),IF($AG94&gt;0,INDEX(EF$7:EF$106,$AG94),1),IF($AH94&gt;0,INDEX(EF$7:EF$106,$AH94),1),IF($AI94&gt;0,INDEX(EF$7:EF$106,$AI94),1),IF($AJ94&gt;0,INDEX(EF$7:EF$106,$AJ94),1))))</ns0:f>
        <ns0:v>1</ns0:v>
      </ns0:c>
      <ns0:c r="EH94" t="n">
        <ns0:f>IF($A94="",1,IF(EG94=1,1,--AND(IF($AC94&gt;0,INDEX(EG$7:EG$106,$AC94),1),IF($AD94&gt;0,INDEX(EG$7:EG$106,$AD94),1),IF($AE94&gt;0,INDEX(EG$7:EG$106,$AE94),1),IF($AF94&gt;0,INDEX(EG$7:EG$106,$AF94),1),IF($AG94&gt;0,INDEX(EG$7:EG$106,$AG94),1),IF($AH94&gt;0,INDEX(EG$7:EG$106,$AH94),1),IF($AI94&gt;0,INDEX(EG$7:EG$106,$AI94),1),IF($AJ94&gt;0,INDEX(EG$7:EG$106,$AJ94),1))))</ns0:f>
        <ns0:v>1</ns0:v>
      </ns0:c>
      <ns0:c r="EI94" t="n">
        <ns0:f>IF($A94="",1,IF(EH94=1,1,--AND(IF($AC94&gt;0,INDEX(EH$7:EH$106,$AC94),1),IF($AD94&gt;0,INDEX(EH$7:EH$106,$AD94),1),IF($AE94&gt;0,INDEX(EH$7:EH$106,$AE94),1),IF($AF94&gt;0,INDEX(EH$7:EH$106,$AF94),1),IF($AG94&gt;0,INDEX(EH$7:EH$106,$AG94),1),IF($AH94&gt;0,INDEX(EH$7:EH$106,$AH94),1),IF($AI94&gt;0,INDEX(EH$7:EH$106,$AI94),1),IF($AJ94&gt;0,INDEX(EH$7:EH$106,$AJ94),1))))</ns0:f>
        <ns0:v>1</ns0:v>
      </ns0:c>
      <ns0:c r="EJ94" t="n">
        <ns0:f>IF($A94="",1,IF(EI94=1,1,--AND(IF($AC94&gt;0,INDEX(EI$7:EI$106,$AC94),1),IF($AD94&gt;0,INDEX(EI$7:EI$106,$AD94),1),IF($AE94&gt;0,INDEX(EI$7:EI$106,$AE94),1),IF($AF94&gt;0,INDEX(EI$7:EI$106,$AF94),1),IF($AG94&gt;0,INDEX(EI$7:EI$106,$AG94),1),IF($AH94&gt;0,INDEX(EI$7:EI$106,$AH94),1),IF($AI94&gt;0,INDEX(EI$7:EI$106,$AI94),1),IF($AJ94&gt;0,INDEX(EI$7:EI$106,$AJ94),1))))</ns0:f>
        <ns0:v>1</ns0:v>
      </ns0:c>
      <ns0:c r="EK94" t="n">
        <ns0:f>IF($A94="",1,IF(EJ94=1,1,--AND(IF($AC94&gt;0,INDEX(EJ$7:EJ$106,$AC94),1),IF($AD94&gt;0,INDEX(EJ$7:EJ$106,$AD94),1),IF($AE94&gt;0,INDEX(EJ$7:EJ$106,$AE94),1),IF($AF94&gt;0,INDEX(EJ$7:EJ$106,$AF94),1),IF($AG94&gt;0,INDEX(EJ$7:EJ$106,$AG94),1),IF($AH94&gt;0,INDEX(EJ$7:EJ$106,$AH94),1),IF($AI94&gt;0,INDEX(EJ$7:EJ$106,$AI94),1),IF($AJ94&gt;0,INDEX(EJ$7:EJ$106,$AJ94),1))))</ns0:f>
        <ns0:v>1</ns0:v>
      </ns0:c>
      <ns0:c r="EL94" t="n">
        <ns0:f>IF($A94="",1,IF(EK94=1,1,--AND(IF($AC94&gt;0,INDEX(EK$7:EK$106,$AC94),1),IF($AD94&gt;0,INDEX(EK$7:EK$106,$AD94),1),IF($AE94&gt;0,INDEX(EK$7:EK$106,$AE94),1),IF($AF94&gt;0,INDEX(EK$7:EK$106,$AF94),1),IF($AG94&gt;0,INDEX(EK$7:EK$106,$AG94),1),IF($AH94&gt;0,INDEX(EK$7:EK$106,$AH94),1),IF($AI94&gt;0,INDEX(EK$7:EK$106,$AI94),1),IF($AJ94&gt;0,INDEX(EK$7:EK$106,$AJ94),1))))</ns0:f>
        <ns0:v>1</ns0:v>
      </ns0:c>
      <ns0:c r="EM94" t="n">
        <ns0:f>IF($A94="",1,IF(EL94=1,1,--AND(IF($AC94&gt;0,INDEX(EL$7:EL$106,$AC94),1),IF($AD94&gt;0,INDEX(EL$7:EL$106,$AD94),1),IF($AE94&gt;0,INDEX(EL$7:EL$106,$AE94),1),IF($AF94&gt;0,INDEX(EL$7:EL$106,$AF94),1),IF($AG94&gt;0,INDEX(EL$7:EL$106,$AG94),1),IF($AH94&gt;0,INDEX(EL$7:EL$106,$AH94),1),IF($AI94&gt;0,INDEX(EL$7:EL$106,$AI94),1),IF($AJ94&gt;0,INDEX(EL$7:EL$106,$AJ94),1))))</ns0:f>
        <ns0:v>1</ns0:v>
      </ns0:c>
      <ns0:c r="EN94" t="n">
        <ns0:f>IF($A94="",1,IF(EM94=1,1,--AND(IF($AC94&gt;0,INDEX(EM$7:EM$106,$AC94),1),IF($AD94&gt;0,INDEX(EM$7:EM$106,$AD94),1),IF($AE94&gt;0,INDEX(EM$7:EM$106,$AE94),1),IF($AF94&gt;0,INDEX(EM$7:EM$106,$AF94),1),IF($AG94&gt;0,INDEX(EM$7:EM$106,$AG94),1),IF($AH94&gt;0,INDEX(EM$7:EM$106,$AH94),1),IF($AI94&gt;0,INDEX(EM$7:EM$106,$AI94),1),IF($AJ94&gt;0,INDEX(EM$7:EM$106,$AJ94),1))))</ns0:f>
        <ns0:v>1</ns0:v>
      </ns0:c>
      <ns0:c r="EO94" t="n">
        <ns0:f>IF($A94="",1,IF(EN94=1,1,--AND(IF($AC94&gt;0,INDEX(EN$7:EN$106,$AC94),1),IF($AD94&gt;0,INDEX(EN$7:EN$106,$AD94),1),IF($AE94&gt;0,INDEX(EN$7:EN$106,$AE94),1),IF($AF94&gt;0,INDEX(EN$7:EN$106,$AF94),1),IF($AG94&gt;0,INDEX(EN$7:EN$106,$AG94),1),IF($AH94&gt;0,INDEX(EN$7:EN$106,$AH94),1),IF($AI94&gt;0,INDEX(EN$7:EN$106,$AI94),1),IF($AJ94&gt;0,INDEX(EN$7:EN$106,$AJ94),1))))</ns0:f>
        <ns0:v>1</ns0:v>
      </ns0:c>
      <ns0:c r="EP94" t="n">
        <ns0:f>IF($A94="",1,IF(EO94=1,1,--AND(IF($AC94&gt;0,INDEX(EO$7:EO$106,$AC94),1),IF($AD94&gt;0,INDEX(EO$7:EO$106,$AD94),1),IF($AE94&gt;0,INDEX(EO$7:EO$106,$AE94),1),IF($AF94&gt;0,INDEX(EO$7:EO$106,$AF94),1),IF($AG94&gt;0,INDEX(EO$7:EO$106,$AG94),1),IF($AH94&gt;0,INDEX(EO$7:EO$106,$AH94),1),IF($AI94&gt;0,INDEX(EO$7:EO$106,$AI94),1),IF($AJ94&gt;0,INDEX(EO$7:EO$106,$AJ94),1))))</ns0:f>
        <ns0:v>1</ns0:v>
      </ns0:c>
      <ns0:c r="EQ94" t="n">
        <ns0:f>IF(OR(A94="",NOT(ISNUMBER(G94))),0,G94*N94)</ns0:f>
        <ns0:v>0</ns0:v>
      </ns0:c>
    </ns0:row>
    <ns0:row r="95" ht="62" customHeight="1">
      <ns0:c r="A95" s="48"/>
      <ns0:c r="B95" s="48"/>
      <ns0:c r="C95" s="48"/>
      <ns0:c r="D95" s="48"/>
      <ns0:c r="E95" s="49"/>
      <ns0:c r="F95" s="49"/>
      <ns0:c r="G95" s="13" t="str">
        <ns0:f>IF(A95="","",IF(OR(NOT(ISNUMBER(E95)),NOT(ISNUMBER(F95)),F95&lt;E95),"",IF(J95="Yes",0,F95-E95+1)))</ns0:f>
      </ns0:c>
      <ns0:c r="H95" s="48"/>
      <ns0:c r="I95" s="48"/>
      <ns0:c r="J95" s="48"/>
      <ns0:c r="K95" s="48"/>
      <ns0:c r="L95" s="48"/>
      <ns0:c r="M95" s="50" t="str">
        <ns0:f>IF(A95="","",IF(N95=1,"Completed",IF(N95&gt;0,"In Progress","Not Started")))</ns0:f>
      </ns0:c>
      <ns0:c r="N95" s="51"/>
      <ns0:c r="O95" s="13" t="str">
        <ns0:f>IF(A95="","",IF(R95&lt;&gt;"","[CONFLICT] "&amp;R95,IF(S95&lt;&gt;"","[CONFLICT] "&amp;S95,IF(OR(NOT(ISNUMBER(N95)),N95&lt;0,N95&gt;1),"[CONFLICT] Invalid progress",IF(AK95&gt;0,"[DEPENDENCY ISSUE] Missing ID / &gt;8 links",IF(AM95&gt;0,"[DEPENDENCY ISSUE] Cycle or blocked by cycle",IF(AND(H95&lt;&gt;"",ISNA(MATCH(I95,{"FS","SS","FF","SF"},0))),"[DEPENDENCY ISSUE] Invalid type",IF(AL95&gt;0,"[DEPENDENCY ISSUE] Timing conflict",IF(OR(E95&lt;ProjectStart,F95&gt;ProjectEnd),"[OUTSIDE WINDOW]",IF(AND(N95&lt;1,F95&lt;AsOfDate),"Overdue",IF(AND(M95&lt;&gt;Q95,M95&lt;&gt;""),"[CONFLICT] Status / progress","On track")))))))))))</ns0:f>
      </ns0:c>
      <ns0:c r="P95" s="52"/>
      <ns0:c r="Q95" t="str">
        <ns0:f>IF(A95="","",IF(OR(M95="On Hold",M95="Delayed"),M95,IF(N95=1,"Completed",IF(N95&gt;0,"In Progress","Not Started"))))</ns0:f>
      </ns0:c>
      <ns0:c r="R95" t="str">
        <ns0:f>IF(A95="","",IF(COUNTIFS(Tasks[Task ID],A95)&lt;&gt;1,"Duplicate ID",""))</ns0:f>
      </ns0:c>
      <ns0:c r="S95" t="str">
        <ns0:f>IF(A95="","",IF(OR(NOT(ISNUMBER(E95)),NOT(ISNUMBER(F95))),"Invalid / missing date",IF(OR(E95&lt;&gt;INT(E95),F95&lt;&gt;INT(F95),E95&lt;1,F95&gt;2958465),"Invalid date",IF(F95&lt;E95,"End before start",IF(AND(J95="Yes",E95&lt;&gt;F95),"Milestone needs one date","")))))</ns0:f>
      </ns0:c>
      <ns0:c r="T95" t="n">
        <ns0:f>IF(H95="",0,LEN(H95)-LEN(SUBSTITUTE(H95,",",""))+1)</ns0:f>
        <ns0:v>0</ns0:v>
      </ns0:c>
      <ns0:c r="U95" t="str">
        <ns0:f>TRIM(MID(SUBSTITUTE($H95,",",REPT(" ",100)),1,100))</ns0:f>
      </ns0:c>
      <ns0:c r="V95" t="str">
        <ns0:f>TRIM(MID(SUBSTITUTE($H95,",",REPT(" ",100)),101,100))</ns0:f>
      </ns0:c>
      <ns0:c r="W95" t="str">
        <ns0:f>TRIM(MID(SUBSTITUTE($H95,",",REPT(" ",100)),201,100))</ns0:f>
      </ns0:c>
      <ns0:c r="X95" t="str">
        <ns0:f>TRIM(MID(SUBSTITUTE($H95,",",REPT(" ",100)),301,100))</ns0:f>
      </ns0:c>
      <ns0:c r="Y95" t="str">
        <ns0:f>TRIM(MID(SUBSTITUTE($H95,",",REPT(" ",100)),401,100))</ns0:f>
      </ns0:c>
      <ns0:c r="Z95" t="str">
        <ns0:f>TRIM(MID(SUBSTITUTE($H95,",",REPT(" ",100)),501,100))</ns0:f>
      </ns0:c>
      <ns0:c r="AA95" t="str">
        <ns0:f>TRIM(MID(SUBSTITUTE($H95,",",REPT(" ",100)),601,100))</ns0:f>
      </ns0:c>
      <ns0:c r="AB95" t="str">
        <ns0:f>TRIM(MID(SUBSTITUTE($H95,",",REPT(" ",100)),701,100))</ns0:f>
      </ns0:c>
      <ns0:c r="AC95" t="n">
        <ns0:f>IF(U95="",0,IF(COUNTIFS(Tasks[Task ID],U95)=1,MATCH(U95,Tasks[Task ID],0),-1))</ns0:f>
        <ns0:v>0</ns0:v>
      </ns0:c>
      <ns0:c r="AD95" t="n">
        <ns0:f>IF(V95="",0,IF(COUNTIFS(Tasks[Task ID],V95)=1,MATCH(V95,Tasks[Task ID],0),-1))</ns0:f>
        <ns0:v>0</ns0:v>
      </ns0:c>
      <ns0:c r="AE95" t="n">
        <ns0:f>IF(W95="",0,IF(COUNTIFS(Tasks[Task ID],W95)=1,MATCH(W95,Tasks[Task ID],0),-1))</ns0:f>
        <ns0:v>0</ns0:v>
      </ns0:c>
      <ns0:c r="AF95" t="n">
        <ns0:f>IF(X95="",0,IF(COUNTIFS(Tasks[Task ID],X95)=1,MATCH(X95,Tasks[Task ID],0),-1))</ns0:f>
        <ns0:v>0</ns0:v>
      </ns0:c>
      <ns0:c r="AG95" t="n">
        <ns0:f>IF(Y95="",0,IF(COUNTIFS(Tasks[Task ID],Y95)=1,MATCH(Y95,Tasks[Task ID],0),-1))</ns0:f>
        <ns0:v>0</ns0:v>
      </ns0:c>
      <ns0:c r="AH95" t="n">
        <ns0:f>IF(Z95="",0,IF(COUNTIFS(Tasks[Task ID],Z95)=1,MATCH(Z95,Tasks[Task ID],0),-1))</ns0:f>
        <ns0:v>0</ns0:v>
      </ns0:c>
      <ns0:c r="AI95" t="n">
        <ns0:f>IF(AA95="",0,IF(COUNTIFS(Tasks[Task ID],AA95)=1,MATCH(AA95,Tasks[Task ID],0),-1))</ns0:f>
        <ns0:v>0</ns0:v>
      </ns0:c>
      <ns0:c r="AJ95" t="n">
        <ns0:f>IF(AB95="",0,IF(COUNTIFS(Tasks[Task ID],AB95)=1,MATCH(AB95,Tasks[Task ID],0),-1))</ns0:f>
        <ns0:v>0</ns0:v>
      </ns0:c>
      <ns0:c r="AK95" t="n">
        <ns0:f>COUNTIFS(AC95:AJ95,-1)+IF(T95&gt;8,1,0)</ns0:f>
        <ns0:v>0</ns0:v>
      </ns0:c>
      <ns0:c r="AL95" t="n">
        <ns0:f>IF(OR(A95="",S95&lt;&gt;""),0,SUM(IF(AC95&gt;0,IF($I95="FS",--($E95&lt;INDEX(Tasks[End Date],AC95)+IF(INDEX(Tasks[Milestone],AC95)="Yes",0,1)),IF($I95="SS",--($E95&lt;INDEX(Tasks[Start Date],AC95)),IF($I95="FF",--($F95&lt;INDEX(Tasks[End Date],AC95)),IF($I95="SF",--($F95&lt;INDEX(Tasks[Start Date],AC95)),0)))),0),IF(AD95&gt;0,IF($I95="FS",--($E95&lt;INDEX(Tasks[End Date],AD95)+IF(INDEX(Tasks[Milestone],AD95)="Yes",0,1)),IF($I95="SS",--($E95&lt;INDEX(Tasks[Start Date],AD95)),IF($I95="FF",--($F95&lt;INDEX(Tasks[End Date],AD95)),IF($I95="SF",--($F95&lt;INDEX(Tasks[Start Date],AD95)),0)))),0),IF(AE95&gt;0,IF($I95="FS",--($E95&lt;INDEX(Tasks[End Date],AE95)+IF(INDEX(Tasks[Milestone],AE95)="Yes",0,1)),IF($I95="SS",--($E95&lt;INDEX(Tasks[Start Date],AE95)),IF($I95="FF",--($F95&lt;INDEX(Tasks[End Date],AE95)),IF($I95="SF",--($F95&lt;INDEX(Tasks[Start Date],AE95)),0)))),0),IF(AF95&gt;0,IF($I95="FS",--($E95&lt;INDEX(Tasks[End Date],AF95)+IF(INDEX(Tasks[Milestone],AF95)="Yes",0,1)),IF($I95="SS",--($E95&lt;INDEX(Tasks[Start Date],AF95)),IF($I95="FF",--($F95&lt;INDEX(Tasks[End Date],AF95)),IF($I95="SF",--($F95&lt;INDEX(Tasks[Start Date],AF95)),0)))),0),IF(AG95&gt;0,IF($I95="FS",--($E95&lt;INDEX(Tasks[End Date],AG95)+IF(INDEX(Tasks[Milestone],AG95)="Yes",0,1)),IF($I95="SS",--($E95&lt;INDEX(Tasks[Start Date],AG95)),IF($I95="FF",--($F95&lt;INDEX(Tasks[End Date],AG95)),IF($I95="SF",--($F95&lt;INDEX(Tasks[Start Date],AG95)),0)))),0),IF(AH95&gt;0,IF($I95="FS",--($E95&lt;INDEX(Tasks[End Date],AH95)+IF(INDEX(Tasks[Milestone],AH95)="Yes",0,1)),IF($I95="SS",--($E95&lt;INDEX(Tasks[Start Date],AH95)),IF($I95="FF",--($F95&lt;INDEX(Tasks[End Date],AH95)),IF($I95="SF",--($F95&lt;INDEX(Tasks[Start Date],AH95)),0)))),0),IF(AI95&gt;0,IF($I95="FS",--($E95&lt;INDEX(Tasks[End Date],AI95)+IF(INDEX(Tasks[Milestone],AI95)="Yes",0,1)),IF($I95="SS",--($E95&lt;INDEX(Tasks[Start Date],AI95)),IF($I95="FF",--($F95&lt;INDEX(Tasks[End Date],AI95)),IF($I95="SF",--($F95&lt;INDEX(Tasks[Start Date],AI95)),0)))),0),IF(AJ95&gt;0,IF($I95="FS",--($E95&lt;INDEX(Tasks[End Date],AJ95)+IF(INDEX(Tasks[Milestone],AJ95)="Yes",0,1)),IF($I95="SS",--($E95&lt;INDEX(Tasks[Start Date],AJ95)),IF($I95="FF",--($F95&lt;INDEX(Tasks[End Date],AJ95)),IF($I95="SF",--($F95&lt;INDEX(Tasks[Start Date],AJ95)),0)))),0)))</ns0:f>
        <ns0:v>0</ns0:v>
      </ns0:c>
      <ns0:c r="AM95" t="n">
        <ns0:f>IF(AND(A95&lt;&gt;"",AK95=0,EP95=0),1,0)</ns0:f>
        <ns0:v>0</ns0:v>
      </ns0:c>
      <ns0:c r="AN95" t="str">
        <ns0:f>IF(OR(A95="",B95=""),"",IF(COUNTIFS($B$7:B95,B95)=1,MAX($AN$6:AN94)+1,""))</ns0:f>
      </ns0:c>
      <ns0:c r="AO95" t="n">
        <ns0:f>IF(AND(A95&lt;&gt;"",J95="No",N95&lt;1,E95&gt;=AsOfDate),E95+ROW()/10000,1E+9)</ns0:f>
        <ns0:v>1000000000</ns0:v>
      </ns0:c>
      <ns0:c r="AP95" t="n">
        <ns0:f>IF(AND(A95&lt;&gt;"",J95="Yes",N95&lt;1,E95&gt;=AsOfDate),E95+ROW()/10000,1E+9)</ns0:f>
        <ns0:v>1000000000</ns0:v>
      </ns0:c>
      <ns0:c r="AQ95" t="n">
        <ns0:f>IF(AND(A95&lt;&gt;"",J95="No",N95&lt;1,F95&gt;=AsOfDate,F95&lt;=AsOfDate+7),F95+ROW()/10000,1E+9)</ns0:f>
        <ns0:v>1000000000</ns0:v>
      </ns0:c>
      <ns0:c r="AR95" t="n">
        <ns0:f>IF(AND(A95&lt;&gt;"",OR(O95&lt;&gt;"On track",Q95="Delayed")),ROW(),1E+9)</ns0:f>
        <ns0:v>1000000000</ns0:v>
      </ns0:c>
      <ns0:c r="AS95" t="str">
        <ns0:f>IF(A95="","",";"&amp;K95&amp;";")</ns0:f>
      </ns0:c>
      <ns0:c r="AT95" t="n">
        <ns0:f>IF(A95="",1,--(T95=0))</ns0:f>
        <ns0:v>1</ns0:v>
      </ns0:c>
      <ns0:c r="AU95" t="n">
        <ns0:f>IF($A95="",1,IF(AT95=1,1,--AND(IF($AC95&gt;0,INDEX(AT$7:AT$106,$AC95),1),IF($AD95&gt;0,INDEX(AT$7:AT$106,$AD95),1),IF($AE95&gt;0,INDEX(AT$7:AT$106,$AE95),1),IF($AF95&gt;0,INDEX(AT$7:AT$106,$AF95),1),IF($AG95&gt;0,INDEX(AT$7:AT$106,$AG95),1),IF($AH95&gt;0,INDEX(AT$7:AT$106,$AH95),1),IF($AI95&gt;0,INDEX(AT$7:AT$106,$AI95),1),IF($AJ95&gt;0,INDEX(AT$7:AT$106,$AJ95),1))))</ns0:f>
        <ns0:v>1</ns0:v>
      </ns0:c>
      <ns0:c r="AV95" t="n">
        <ns0:f>IF($A95="",1,IF(AU95=1,1,--AND(IF($AC95&gt;0,INDEX(AU$7:AU$106,$AC95),1),IF($AD95&gt;0,INDEX(AU$7:AU$106,$AD95),1),IF($AE95&gt;0,INDEX(AU$7:AU$106,$AE95),1),IF($AF95&gt;0,INDEX(AU$7:AU$106,$AF95),1),IF($AG95&gt;0,INDEX(AU$7:AU$106,$AG95),1),IF($AH95&gt;0,INDEX(AU$7:AU$106,$AH95),1),IF($AI95&gt;0,INDEX(AU$7:AU$106,$AI95),1),IF($AJ95&gt;0,INDEX(AU$7:AU$106,$AJ95),1))))</ns0:f>
        <ns0:v>1</ns0:v>
      </ns0:c>
      <ns0:c r="AW95" t="n">
        <ns0:f>IF($A95="",1,IF(AV95=1,1,--AND(IF($AC95&gt;0,INDEX(AV$7:AV$106,$AC95),1),IF($AD95&gt;0,INDEX(AV$7:AV$106,$AD95),1),IF($AE95&gt;0,INDEX(AV$7:AV$106,$AE95),1),IF($AF95&gt;0,INDEX(AV$7:AV$106,$AF95),1),IF($AG95&gt;0,INDEX(AV$7:AV$106,$AG95),1),IF($AH95&gt;0,INDEX(AV$7:AV$106,$AH95),1),IF($AI95&gt;0,INDEX(AV$7:AV$106,$AI95),1),IF($AJ95&gt;0,INDEX(AV$7:AV$106,$AJ95),1))))</ns0:f>
        <ns0:v>1</ns0:v>
      </ns0:c>
      <ns0:c r="AX95" t="n">
        <ns0:f>IF($A95="",1,IF(AW95=1,1,--AND(IF($AC95&gt;0,INDEX(AW$7:AW$106,$AC95),1),IF($AD95&gt;0,INDEX(AW$7:AW$106,$AD95),1),IF($AE95&gt;0,INDEX(AW$7:AW$106,$AE95),1),IF($AF95&gt;0,INDEX(AW$7:AW$106,$AF95),1),IF($AG95&gt;0,INDEX(AW$7:AW$106,$AG95),1),IF($AH95&gt;0,INDEX(AW$7:AW$106,$AH95),1),IF($AI95&gt;0,INDEX(AW$7:AW$106,$AI95),1),IF($AJ95&gt;0,INDEX(AW$7:AW$106,$AJ95),1))))</ns0:f>
        <ns0:v>1</ns0:v>
      </ns0:c>
      <ns0:c r="AY95" t="n">
        <ns0:f>IF($A95="",1,IF(AX95=1,1,--AND(IF($AC95&gt;0,INDEX(AX$7:AX$106,$AC95),1),IF($AD95&gt;0,INDEX(AX$7:AX$106,$AD95),1),IF($AE95&gt;0,INDEX(AX$7:AX$106,$AE95),1),IF($AF95&gt;0,INDEX(AX$7:AX$106,$AF95),1),IF($AG95&gt;0,INDEX(AX$7:AX$106,$AG95),1),IF($AH95&gt;0,INDEX(AX$7:AX$106,$AH95),1),IF($AI95&gt;0,INDEX(AX$7:AX$106,$AI95),1),IF($AJ95&gt;0,INDEX(AX$7:AX$106,$AJ95),1))))</ns0:f>
        <ns0:v>1</ns0:v>
      </ns0:c>
      <ns0:c r="AZ95" t="n">
        <ns0:f>IF($A95="",1,IF(AY95=1,1,--AND(IF($AC95&gt;0,INDEX(AY$7:AY$106,$AC95),1),IF($AD95&gt;0,INDEX(AY$7:AY$106,$AD95),1),IF($AE95&gt;0,INDEX(AY$7:AY$106,$AE95),1),IF($AF95&gt;0,INDEX(AY$7:AY$106,$AF95),1),IF($AG95&gt;0,INDEX(AY$7:AY$106,$AG95),1),IF($AH95&gt;0,INDEX(AY$7:AY$106,$AH95),1),IF($AI95&gt;0,INDEX(AY$7:AY$106,$AI95),1),IF($AJ95&gt;0,INDEX(AY$7:AY$106,$AJ95),1))))</ns0:f>
        <ns0:v>1</ns0:v>
      </ns0:c>
      <ns0:c r="BA95" t="n">
        <ns0:f>IF($A95="",1,IF(AZ95=1,1,--AND(IF($AC95&gt;0,INDEX(AZ$7:AZ$106,$AC95),1),IF($AD95&gt;0,INDEX(AZ$7:AZ$106,$AD95),1),IF($AE95&gt;0,INDEX(AZ$7:AZ$106,$AE95),1),IF($AF95&gt;0,INDEX(AZ$7:AZ$106,$AF95),1),IF($AG95&gt;0,INDEX(AZ$7:AZ$106,$AG95),1),IF($AH95&gt;0,INDEX(AZ$7:AZ$106,$AH95),1),IF($AI95&gt;0,INDEX(AZ$7:AZ$106,$AI95),1),IF($AJ95&gt;0,INDEX(AZ$7:AZ$106,$AJ95),1))))</ns0:f>
        <ns0:v>1</ns0:v>
      </ns0:c>
      <ns0:c r="BB95" t="n">
        <ns0:f>IF($A95="",1,IF(BA95=1,1,--AND(IF($AC95&gt;0,INDEX(BA$7:BA$106,$AC95),1),IF($AD95&gt;0,INDEX(BA$7:BA$106,$AD95),1),IF($AE95&gt;0,INDEX(BA$7:BA$106,$AE95),1),IF($AF95&gt;0,INDEX(BA$7:BA$106,$AF95),1),IF($AG95&gt;0,INDEX(BA$7:BA$106,$AG95),1),IF($AH95&gt;0,INDEX(BA$7:BA$106,$AH95),1),IF($AI95&gt;0,INDEX(BA$7:BA$106,$AI95),1),IF($AJ95&gt;0,INDEX(BA$7:BA$106,$AJ95),1))))</ns0:f>
        <ns0:v>1</ns0:v>
      </ns0:c>
      <ns0:c r="BC95" t="n">
        <ns0:f>IF($A95="",1,IF(BB95=1,1,--AND(IF($AC95&gt;0,INDEX(BB$7:BB$106,$AC95),1),IF($AD95&gt;0,INDEX(BB$7:BB$106,$AD95),1),IF($AE95&gt;0,INDEX(BB$7:BB$106,$AE95),1),IF($AF95&gt;0,INDEX(BB$7:BB$106,$AF95),1),IF($AG95&gt;0,INDEX(BB$7:BB$106,$AG95),1),IF($AH95&gt;0,INDEX(BB$7:BB$106,$AH95),1),IF($AI95&gt;0,INDEX(BB$7:BB$106,$AI95),1),IF($AJ95&gt;0,INDEX(BB$7:BB$106,$AJ95),1))))</ns0:f>
        <ns0:v>1</ns0:v>
      </ns0:c>
      <ns0:c r="BD95" t="n">
        <ns0:f>IF($A95="",1,IF(BC95=1,1,--AND(IF($AC95&gt;0,INDEX(BC$7:BC$106,$AC95),1),IF($AD95&gt;0,INDEX(BC$7:BC$106,$AD95),1),IF($AE95&gt;0,INDEX(BC$7:BC$106,$AE95),1),IF($AF95&gt;0,INDEX(BC$7:BC$106,$AF95),1),IF($AG95&gt;0,INDEX(BC$7:BC$106,$AG95),1),IF($AH95&gt;0,INDEX(BC$7:BC$106,$AH95),1),IF($AI95&gt;0,INDEX(BC$7:BC$106,$AI95),1),IF($AJ95&gt;0,INDEX(BC$7:BC$106,$AJ95),1))))</ns0:f>
        <ns0:v>1</ns0:v>
      </ns0:c>
      <ns0:c r="BE95" t="n">
        <ns0:f>IF($A95="",1,IF(BD95=1,1,--AND(IF($AC95&gt;0,INDEX(BD$7:BD$106,$AC95),1),IF($AD95&gt;0,INDEX(BD$7:BD$106,$AD95),1),IF($AE95&gt;0,INDEX(BD$7:BD$106,$AE95),1),IF($AF95&gt;0,INDEX(BD$7:BD$106,$AF95),1),IF($AG95&gt;0,INDEX(BD$7:BD$106,$AG95),1),IF($AH95&gt;0,INDEX(BD$7:BD$106,$AH95),1),IF($AI95&gt;0,INDEX(BD$7:BD$106,$AI95),1),IF($AJ95&gt;0,INDEX(BD$7:BD$106,$AJ95),1))))</ns0:f>
        <ns0:v>1</ns0:v>
      </ns0:c>
      <ns0:c r="BF95" t="n">
        <ns0:f>IF($A95="",1,IF(BE95=1,1,--AND(IF($AC95&gt;0,INDEX(BE$7:BE$106,$AC95),1),IF($AD95&gt;0,INDEX(BE$7:BE$106,$AD95),1),IF($AE95&gt;0,INDEX(BE$7:BE$106,$AE95),1),IF($AF95&gt;0,INDEX(BE$7:BE$106,$AF95),1),IF($AG95&gt;0,INDEX(BE$7:BE$106,$AG95),1),IF($AH95&gt;0,INDEX(BE$7:BE$106,$AH95),1),IF($AI95&gt;0,INDEX(BE$7:BE$106,$AI95),1),IF($AJ95&gt;0,INDEX(BE$7:BE$106,$AJ95),1))))</ns0:f>
        <ns0:v>1</ns0:v>
      </ns0:c>
      <ns0:c r="BG95" t="n">
        <ns0:f>IF($A95="",1,IF(BF95=1,1,--AND(IF($AC95&gt;0,INDEX(BF$7:BF$106,$AC95),1),IF($AD95&gt;0,INDEX(BF$7:BF$106,$AD95),1),IF($AE95&gt;0,INDEX(BF$7:BF$106,$AE95),1),IF($AF95&gt;0,INDEX(BF$7:BF$106,$AF95),1),IF($AG95&gt;0,INDEX(BF$7:BF$106,$AG95),1),IF($AH95&gt;0,INDEX(BF$7:BF$106,$AH95),1),IF($AI95&gt;0,INDEX(BF$7:BF$106,$AI95),1),IF($AJ95&gt;0,INDEX(BF$7:BF$106,$AJ95),1))))</ns0:f>
        <ns0:v>1</ns0:v>
      </ns0:c>
      <ns0:c r="BH95" t="n">
        <ns0:f>IF($A95="",1,IF(BG95=1,1,--AND(IF($AC95&gt;0,INDEX(BG$7:BG$106,$AC95),1),IF($AD95&gt;0,INDEX(BG$7:BG$106,$AD95),1),IF($AE95&gt;0,INDEX(BG$7:BG$106,$AE95),1),IF($AF95&gt;0,INDEX(BG$7:BG$106,$AF95),1),IF($AG95&gt;0,INDEX(BG$7:BG$106,$AG95),1),IF($AH95&gt;0,INDEX(BG$7:BG$106,$AH95),1),IF($AI95&gt;0,INDEX(BG$7:BG$106,$AI95),1),IF($AJ95&gt;0,INDEX(BG$7:BG$106,$AJ95),1))))</ns0:f>
        <ns0:v>1</ns0:v>
      </ns0:c>
      <ns0:c r="BI95" t="n">
        <ns0:f>IF($A95="",1,IF(BH95=1,1,--AND(IF($AC95&gt;0,INDEX(BH$7:BH$106,$AC95),1),IF($AD95&gt;0,INDEX(BH$7:BH$106,$AD95),1),IF($AE95&gt;0,INDEX(BH$7:BH$106,$AE95),1),IF($AF95&gt;0,INDEX(BH$7:BH$106,$AF95),1),IF($AG95&gt;0,INDEX(BH$7:BH$106,$AG95),1),IF($AH95&gt;0,INDEX(BH$7:BH$106,$AH95),1),IF($AI95&gt;0,INDEX(BH$7:BH$106,$AI95),1),IF($AJ95&gt;0,INDEX(BH$7:BH$106,$AJ95),1))))</ns0:f>
        <ns0:v>1</ns0:v>
      </ns0:c>
      <ns0:c r="BJ95" t="n">
        <ns0:f>IF($A95="",1,IF(BI95=1,1,--AND(IF($AC95&gt;0,INDEX(BI$7:BI$106,$AC95),1),IF($AD95&gt;0,INDEX(BI$7:BI$106,$AD95),1),IF($AE95&gt;0,INDEX(BI$7:BI$106,$AE95),1),IF($AF95&gt;0,INDEX(BI$7:BI$106,$AF95),1),IF($AG95&gt;0,INDEX(BI$7:BI$106,$AG95),1),IF($AH95&gt;0,INDEX(BI$7:BI$106,$AH95),1),IF($AI95&gt;0,INDEX(BI$7:BI$106,$AI95),1),IF($AJ95&gt;0,INDEX(BI$7:BI$106,$AJ95),1))))</ns0:f>
        <ns0:v>1</ns0:v>
      </ns0:c>
      <ns0:c r="BK95" t="n">
        <ns0:f>IF($A95="",1,IF(BJ95=1,1,--AND(IF($AC95&gt;0,INDEX(BJ$7:BJ$106,$AC95),1),IF($AD95&gt;0,INDEX(BJ$7:BJ$106,$AD95),1),IF($AE95&gt;0,INDEX(BJ$7:BJ$106,$AE95),1),IF($AF95&gt;0,INDEX(BJ$7:BJ$106,$AF95),1),IF($AG95&gt;0,INDEX(BJ$7:BJ$106,$AG95),1),IF($AH95&gt;0,INDEX(BJ$7:BJ$106,$AH95),1),IF($AI95&gt;0,INDEX(BJ$7:BJ$106,$AI95),1),IF($AJ95&gt;0,INDEX(BJ$7:BJ$106,$AJ95),1))))</ns0:f>
        <ns0:v>1</ns0:v>
      </ns0:c>
      <ns0:c r="BL95" t="n">
        <ns0:f>IF($A95="",1,IF(BK95=1,1,--AND(IF($AC95&gt;0,INDEX(BK$7:BK$106,$AC95),1),IF($AD95&gt;0,INDEX(BK$7:BK$106,$AD95),1),IF($AE95&gt;0,INDEX(BK$7:BK$106,$AE95),1),IF($AF95&gt;0,INDEX(BK$7:BK$106,$AF95),1),IF($AG95&gt;0,INDEX(BK$7:BK$106,$AG95),1),IF($AH95&gt;0,INDEX(BK$7:BK$106,$AH95),1),IF($AI95&gt;0,INDEX(BK$7:BK$106,$AI95),1),IF($AJ95&gt;0,INDEX(BK$7:BK$106,$AJ95),1))))</ns0:f>
        <ns0:v>1</ns0:v>
      </ns0:c>
      <ns0:c r="BM95" t="n">
        <ns0:f>IF($A95="",1,IF(BL95=1,1,--AND(IF($AC95&gt;0,INDEX(BL$7:BL$106,$AC95),1),IF($AD95&gt;0,INDEX(BL$7:BL$106,$AD95),1),IF($AE95&gt;0,INDEX(BL$7:BL$106,$AE95),1),IF($AF95&gt;0,INDEX(BL$7:BL$106,$AF95),1),IF($AG95&gt;0,INDEX(BL$7:BL$106,$AG95),1),IF($AH95&gt;0,INDEX(BL$7:BL$106,$AH95),1),IF($AI95&gt;0,INDEX(BL$7:BL$106,$AI95),1),IF($AJ95&gt;0,INDEX(BL$7:BL$106,$AJ95),1))))</ns0:f>
        <ns0:v>1</ns0:v>
      </ns0:c>
      <ns0:c r="BN95" t="n">
        <ns0:f>IF($A95="",1,IF(BM95=1,1,--AND(IF($AC95&gt;0,INDEX(BM$7:BM$106,$AC95),1),IF($AD95&gt;0,INDEX(BM$7:BM$106,$AD95),1),IF($AE95&gt;0,INDEX(BM$7:BM$106,$AE95),1),IF($AF95&gt;0,INDEX(BM$7:BM$106,$AF95),1),IF($AG95&gt;0,INDEX(BM$7:BM$106,$AG95),1),IF($AH95&gt;0,INDEX(BM$7:BM$106,$AH95),1),IF($AI95&gt;0,INDEX(BM$7:BM$106,$AI95),1),IF($AJ95&gt;0,INDEX(BM$7:BM$106,$AJ95),1))))</ns0:f>
        <ns0:v>1</ns0:v>
      </ns0:c>
      <ns0:c r="BO95" t="n">
        <ns0:f>IF($A95="",1,IF(BN95=1,1,--AND(IF($AC95&gt;0,INDEX(BN$7:BN$106,$AC95),1),IF($AD95&gt;0,INDEX(BN$7:BN$106,$AD95),1),IF($AE95&gt;0,INDEX(BN$7:BN$106,$AE95),1),IF($AF95&gt;0,INDEX(BN$7:BN$106,$AF95),1),IF($AG95&gt;0,INDEX(BN$7:BN$106,$AG95),1),IF($AH95&gt;0,INDEX(BN$7:BN$106,$AH95),1),IF($AI95&gt;0,INDEX(BN$7:BN$106,$AI95),1),IF($AJ95&gt;0,INDEX(BN$7:BN$106,$AJ95),1))))</ns0:f>
        <ns0:v>1</ns0:v>
      </ns0:c>
      <ns0:c r="BP95" t="n">
        <ns0:f>IF($A95="",1,IF(BO95=1,1,--AND(IF($AC95&gt;0,INDEX(BO$7:BO$106,$AC95),1),IF($AD95&gt;0,INDEX(BO$7:BO$106,$AD95),1),IF($AE95&gt;0,INDEX(BO$7:BO$106,$AE95),1),IF($AF95&gt;0,INDEX(BO$7:BO$106,$AF95),1),IF($AG95&gt;0,INDEX(BO$7:BO$106,$AG95),1),IF($AH95&gt;0,INDEX(BO$7:BO$106,$AH95),1),IF($AI95&gt;0,INDEX(BO$7:BO$106,$AI95),1),IF($AJ95&gt;0,INDEX(BO$7:BO$106,$AJ95),1))))</ns0:f>
        <ns0:v>1</ns0:v>
      </ns0:c>
      <ns0:c r="BQ95" t="n">
        <ns0:f>IF($A95="",1,IF(BP95=1,1,--AND(IF($AC95&gt;0,INDEX(BP$7:BP$106,$AC95),1),IF($AD95&gt;0,INDEX(BP$7:BP$106,$AD95),1),IF($AE95&gt;0,INDEX(BP$7:BP$106,$AE95),1),IF($AF95&gt;0,INDEX(BP$7:BP$106,$AF95),1),IF($AG95&gt;0,INDEX(BP$7:BP$106,$AG95),1),IF($AH95&gt;0,INDEX(BP$7:BP$106,$AH95),1),IF($AI95&gt;0,INDEX(BP$7:BP$106,$AI95),1),IF($AJ95&gt;0,INDEX(BP$7:BP$106,$AJ95),1))))</ns0:f>
        <ns0:v>1</ns0:v>
      </ns0:c>
      <ns0:c r="BR95" t="n">
        <ns0:f>IF($A95="",1,IF(BQ95=1,1,--AND(IF($AC95&gt;0,INDEX(BQ$7:BQ$106,$AC95),1),IF($AD95&gt;0,INDEX(BQ$7:BQ$106,$AD95),1),IF($AE95&gt;0,INDEX(BQ$7:BQ$106,$AE95),1),IF($AF95&gt;0,INDEX(BQ$7:BQ$106,$AF95),1),IF($AG95&gt;0,INDEX(BQ$7:BQ$106,$AG95),1),IF($AH95&gt;0,INDEX(BQ$7:BQ$106,$AH95),1),IF($AI95&gt;0,INDEX(BQ$7:BQ$106,$AI95),1),IF($AJ95&gt;0,INDEX(BQ$7:BQ$106,$AJ95),1))))</ns0:f>
        <ns0:v>1</ns0:v>
      </ns0:c>
      <ns0:c r="BS95" t="n">
        <ns0:f>IF($A95="",1,IF(BR95=1,1,--AND(IF($AC95&gt;0,INDEX(BR$7:BR$106,$AC95),1),IF($AD95&gt;0,INDEX(BR$7:BR$106,$AD95),1),IF($AE95&gt;0,INDEX(BR$7:BR$106,$AE95),1),IF($AF95&gt;0,INDEX(BR$7:BR$106,$AF95),1),IF($AG95&gt;0,INDEX(BR$7:BR$106,$AG95),1),IF($AH95&gt;0,INDEX(BR$7:BR$106,$AH95),1),IF($AI95&gt;0,INDEX(BR$7:BR$106,$AI95),1),IF($AJ95&gt;0,INDEX(BR$7:BR$106,$AJ95),1))))</ns0:f>
        <ns0:v>1</ns0:v>
      </ns0:c>
      <ns0:c r="BT95" t="n">
        <ns0:f>IF($A95="",1,IF(BS95=1,1,--AND(IF($AC95&gt;0,INDEX(BS$7:BS$106,$AC95),1),IF($AD95&gt;0,INDEX(BS$7:BS$106,$AD95),1),IF($AE95&gt;0,INDEX(BS$7:BS$106,$AE95),1),IF($AF95&gt;0,INDEX(BS$7:BS$106,$AF95),1),IF($AG95&gt;0,INDEX(BS$7:BS$106,$AG95),1),IF($AH95&gt;0,INDEX(BS$7:BS$106,$AH95),1),IF($AI95&gt;0,INDEX(BS$7:BS$106,$AI95),1),IF($AJ95&gt;0,INDEX(BS$7:BS$106,$AJ95),1))))</ns0:f>
        <ns0:v>1</ns0:v>
      </ns0:c>
      <ns0:c r="BU95" t="n">
        <ns0:f>IF($A95="",1,IF(BT95=1,1,--AND(IF($AC95&gt;0,INDEX(BT$7:BT$106,$AC95),1),IF($AD95&gt;0,INDEX(BT$7:BT$106,$AD95),1),IF($AE95&gt;0,INDEX(BT$7:BT$106,$AE95),1),IF($AF95&gt;0,INDEX(BT$7:BT$106,$AF95),1),IF($AG95&gt;0,INDEX(BT$7:BT$106,$AG95),1),IF($AH95&gt;0,INDEX(BT$7:BT$106,$AH95),1),IF($AI95&gt;0,INDEX(BT$7:BT$106,$AI95),1),IF($AJ95&gt;0,INDEX(BT$7:BT$106,$AJ95),1))))</ns0:f>
        <ns0:v>1</ns0:v>
      </ns0:c>
      <ns0:c r="BV95" t="n">
        <ns0:f>IF($A95="",1,IF(BU95=1,1,--AND(IF($AC95&gt;0,INDEX(BU$7:BU$106,$AC95),1),IF($AD95&gt;0,INDEX(BU$7:BU$106,$AD95),1),IF($AE95&gt;0,INDEX(BU$7:BU$106,$AE95),1),IF($AF95&gt;0,INDEX(BU$7:BU$106,$AF95),1),IF($AG95&gt;0,INDEX(BU$7:BU$106,$AG95),1),IF($AH95&gt;0,INDEX(BU$7:BU$106,$AH95),1),IF($AI95&gt;0,INDEX(BU$7:BU$106,$AI95),1),IF($AJ95&gt;0,INDEX(BU$7:BU$106,$AJ95),1))))</ns0:f>
        <ns0:v>1</ns0:v>
      </ns0:c>
      <ns0:c r="BW95" t="n">
        <ns0:f>IF($A95="",1,IF(BV95=1,1,--AND(IF($AC95&gt;0,INDEX(BV$7:BV$106,$AC95),1),IF($AD95&gt;0,INDEX(BV$7:BV$106,$AD95),1),IF($AE95&gt;0,INDEX(BV$7:BV$106,$AE95),1),IF($AF95&gt;0,INDEX(BV$7:BV$106,$AF95),1),IF($AG95&gt;0,INDEX(BV$7:BV$106,$AG95),1),IF($AH95&gt;0,INDEX(BV$7:BV$106,$AH95),1),IF($AI95&gt;0,INDEX(BV$7:BV$106,$AI95),1),IF($AJ95&gt;0,INDEX(BV$7:BV$106,$AJ95),1))))</ns0:f>
        <ns0:v>1</ns0:v>
      </ns0:c>
      <ns0:c r="BX95" t="n">
        <ns0:f>IF($A95="",1,IF(BW95=1,1,--AND(IF($AC95&gt;0,INDEX(BW$7:BW$106,$AC95),1),IF($AD95&gt;0,INDEX(BW$7:BW$106,$AD95),1),IF($AE95&gt;0,INDEX(BW$7:BW$106,$AE95),1),IF($AF95&gt;0,INDEX(BW$7:BW$106,$AF95),1),IF($AG95&gt;0,INDEX(BW$7:BW$106,$AG95),1),IF($AH95&gt;0,INDEX(BW$7:BW$106,$AH95),1),IF($AI95&gt;0,INDEX(BW$7:BW$106,$AI95),1),IF($AJ95&gt;0,INDEX(BW$7:BW$106,$AJ95),1))))</ns0:f>
        <ns0:v>1</ns0:v>
      </ns0:c>
      <ns0:c r="BY95" t="n">
        <ns0:f>IF($A95="",1,IF(BX95=1,1,--AND(IF($AC95&gt;0,INDEX(BX$7:BX$106,$AC95),1),IF($AD95&gt;0,INDEX(BX$7:BX$106,$AD95),1),IF($AE95&gt;0,INDEX(BX$7:BX$106,$AE95),1),IF($AF95&gt;0,INDEX(BX$7:BX$106,$AF95),1),IF($AG95&gt;0,INDEX(BX$7:BX$106,$AG95),1),IF($AH95&gt;0,INDEX(BX$7:BX$106,$AH95),1),IF($AI95&gt;0,INDEX(BX$7:BX$106,$AI95),1),IF($AJ95&gt;0,INDEX(BX$7:BX$106,$AJ95),1))))</ns0:f>
        <ns0:v>1</ns0:v>
      </ns0:c>
      <ns0:c r="BZ95" t="n">
        <ns0:f>IF($A95="",1,IF(BY95=1,1,--AND(IF($AC95&gt;0,INDEX(BY$7:BY$106,$AC95),1),IF($AD95&gt;0,INDEX(BY$7:BY$106,$AD95),1),IF($AE95&gt;0,INDEX(BY$7:BY$106,$AE95),1),IF($AF95&gt;0,INDEX(BY$7:BY$106,$AF95),1),IF($AG95&gt;0,INDEX(BY$7:BY$106,$AG95),1),IF($AH95&gt;0,INDEX(BY$7:BY$106,$AH95),1),IF($AI95&gt;0,INDEX(BY$7:BY$106,$AI95),1),IF($AJ95&gt;0,INDEX(BY$7:BY$106,$AJ95),1))))</ns0:f>
        <ns0:v>1</ns0:v>
      </ns0:c>
      <ns0:c r="CA95" t="n">
        <ns0:f>IF($A95="",1,IF(BZ95=1,1,--AND(IF($AC95&gt;0,INDEX(BZ$7:BZ$106,$AC95),1),IF($AD95&gt;0,INDEX(BZ$7:BZ$106,$AD95),1),IF($AE95&gt;0,INDEX(BZ$7:BZ$106,$AE95),1),IF($AF95&gt;0,INDEX(BZ$7:BZ$106,$AF95),1),IF($AG95&gt;0,INDEX(BZ$7:BZ$106,$AG95),1),IF($AH95&gt;0,INDEX(BZ$7:BZ$106,$AH95),1),IF($AI95&gt;0,INDEX(BZ$7:BZ$106,$AI95),1),IF($AJ95&gt;0,INDEX(BZ$7:BZ$106,$AJ95),1))))</ns0:f>
        <ns0:v>1</ns0:v>
      </ns0:c>
      <ns0:c r="CB95" t="n">
        <ns0:f>IF($A95="",1,IF(CA95=1,1,--AND(IF($AC95&gt;0,INDEX(CA$7:CA$106,$AC95),1),IF($AD95&gt;0,INDEX(CA$7:CA$106,$AD95),1),IF($AE95&gt;0,INDEX(CA$7:CA$106,$AE95),1),IF($AF95&gt;0,INDEX(CA$7:CA$106,$AF95),1),IF($AG95&gt;0,INDEX(CA$7:CA$106,$AG95),1),IF($AH95&gt;0,INDEX(CA$7:CA$106,$AH95),1),IF($AI95&gt;0,INDEX(CA$7:CA$106,$AI95),1),IF($AJ95&gt;0,INDEX(CA$7:CA$106,$AJ95),1))))</ns0:f>
        <ns0:v>1</ns0:v>
      </ns0:c>
      <ns0:c r="CC95" t="n">
        <ns0:f>IF($A95="",1,IF(CB95=1,1,--AND(IF($AC95&gt;0,INDEX(CB$7:CB$106,$AC95),1),IF($AD95&gt;0,INDEX(CB$7:CB$106,$AD95),1),IF($AE95&gt;0,INDEX(CB$7:CB$106,$AE95),1),IF($AF95&gt;0,INDEX(CB$7:CB$106,$AF95),1),IF($AG95&gt;0,INDEX(CB$7:CB$106,$AG95),1),IF($AH95&gt;0,INDEX(CB$7:CB$106,$AH95),1),IF($AI95&gt;0,INDEX(CB$7:CB$106,$AI95),1),IF($AJ95&gt;0,INDEX(CB$7:CB$106,$AJ95),1))))</ns0:f>
        <ns0:v>1</ns0:v>
      </ns0:c>
      <ns0:c r="CD95" t="n">
        <ns0:f>IF($A95="",1,IF(CC95=1,1,--AND(IF($AC95&gt;0,INDEX(CC$7:CC$106,$AC95),1),IF($AD95&gt;0,INDEX(CC$7:CC$106,$AD95),1),IF($AE95&gt;0,INDEX(CC$7:CC$106,$AE95),1),IF($AF95&gt;0,INDEX(CC$7:CC$106,$AF95),1),IF($AG95&gt;0,INDEX(CC$7:CC$106,$AG95),1),IF($AH95&gt;0,INDEX(CC$7:CC$106,$AH95),1),IF($AI95&gt;0,INDEX(CC$7:CC$106,$AI95),1),IF($AJ95&gt;0,INDEX(CC$7:CC$106,$AJ95),1))))</ns0:f>
        <ns0:v>1</ns0:v>
      </ns0:c>
      <ns0:c r="CE95" t="n">
        <ns0:f>IF($A95="",1,IF(CD95=1,1,--AND(IF($AC95&gt;0,INDEX(CD$7:CD$106,$AC95),1),IF($AD95&gt;0,INDEX(CD$7:CD$106,$AD95),1),IF($AE95&gt;0,INDEX(CD$7:CD$106,$AE95),1),IF($AF95&gt;0,INDEX(CD$7:CD$106,$AF95),1),IF($AG95&gt;0,INDEX(CD$7:CD$106,$AG95),1),IF($AH95&gt;0,INDEX(CD$7:CD$106,$AH95),1),IF($AI95&gt;0,INDEX(CD$7:CD$106,$AI95),1),IF($AJ95&gt;0,INDEX(CD$7:CD$106,$AJ95),1))))</ns0:f>
        <ns0:v>1</ns0:v>
      </ns0:c>
      <ns0:c r="CF95" t="n">
        <ns0:f>IF($A95="",1,IF(CE95=1,1,--AND(IF($AC95&gt;0,INDEX(CE$7:CE$106,$AC95),1),IF($AD95&gt;0,INDEX(CE$7:CE$106,$AD95),1),IF($AE95&gt;0,INDEX(CE$7:CE$106,$AE95),1),IF($AF95&gt;0,INDEX(CE$7:CE$106,$AF95),1),IF($AG95&gt;0,INDEX(CE$7:CE$106,$AG95),1),IF($AH95&gt;0,INDEX(CE$7:CE$106,$AH95),1),IF($AI95&gt;0,INDEX(CE$7:CE$106,$AI95),1),IF($AJ95&gt;0,INDEX(CE$7:CE$106,$AJ95),1))))</ns0:f>
        <ns0:v>1</ns0:v>
      </ns0:c>
      <ns0:c r="CG95" t="n">
        <ns0:f>IF($A95="",1,IF(CF95=1,1,--AND(IF($AC95&gt;0,INDEX(CF$7:CF$106,$AC95),1),IF($AD95&gt;0,INDEX(CF$7:CF$106,$AD95),1),IF($AE95&gt;0,INDEX(CF$7:CF$106,$AE95),1),IF($AF95&gt;0,INDEX(CF$7:CF$106,$AF95),1),IF($AG95&gt;0,INDEX(CF$7:CF$106,$AG95),1),IF($AH95&gt;0,INDEX(CF$7:CF$106,$AH95),1),IF($AI95&gt;0,INDEX(CF$7:CF$106,$AI95),1),IF($AJ95&gt;0,INDEX(CF$7:CF$106,$AJ95),1))))</ns0:f>
        <ns0:v>1</ns0:v>
      </ns0:c>
      <ns0:c r="CH95" t="n">
        <ns0:f>IF($A95="",1,IF(CG95=1,1,--AND(IF($AC95&gt;0,INDEX(CG$7:CG$106,$AC95),1),IF($AD95&gt;0,INDEX(CG$7:CG$106,$AD95),1),IF($AE95&gt;0,INDEX(CG$7:CG$106,$AE95),1),IF($AF95&gt;0,INDEX(CG$7:CG$106,$AF95),1),IF($AG95&gt;0,INDEX(CG$7:CG$106,$AG95),1),IF($AH95&gt;0,INDEX(CG$7:CG$106,$AH95),1),IF($AI95&gt;0,INDEX(CG$7:CG$106,$AI95),1),IF($AJ95&gt;0,INDEX(CG$7:CG$106,$AJ95),1))))</ns0:f>
        <ns0:v>1</ns0:v>
      </ns0:c>
      <ns0:c r="CI95" t="n">
        <ns0:f>IF($A95="",1,IF(CH95=1,1,--AND(IF($AC95&gt;0,INDEX(CH$7:CH$106,$AC95),1),IF($AD95&gt;0,INDEX(CH$7:CH$106,$AD95),1),IF($AE95&gt;0,INDEX(CH$7:CH$106,$AE95),1),IF($AF95&gt;0,INDEX(CH$7:CH$106,$AF95),1),IF($AG95&gt;0,INDEX(CH$7:CH$106,$AG95),1),IF($AH95&gt;0,INDEX(CH$7:CH$106,$AH95),1),IF($AI95&gt;0,INDEX(CH$7:CH$106,$AI95),1),IF($AJ95&gt;0,INDEX(CH$7:CH$106,$AJ95),1))))</ns0:f>
        <ns0:v>1</ns0:v>
      </ns0:c>
      <ns0:c r="CJ95" t="n">
        <ns0:f>IF($A95="",1,IF(CI95=1,1,--AND(IF($AC95&gt;0,INDEX(CI$7:CI$106,$AC95),1),IF($AD95&gt;0,INDEX(CI$7:CI$106,$AD95),1),IF($AE95&gt;0,INDEX(CI$7:CI$106,$AE95),1),IF($AF95&gt;0,INDEX(CI$7:CI$106,$AF95),1),IF($AG95&gt;0,INDEX(CI$7:CI$106,$AG95),1),IF($AH95&gt;0,INDEX(CI$7:CI$106,$AH95),1),IF($AI95&gt;0,INDEX(CI$7:CI$106,$AI95),1),IF($AJ95&gt;0,INDEX(CI$7:CI$106,$AJ95),1))))</ns0:f>
        <ns0:v>1</ns0:v>
      </ns0:c>
      <ns0:c r="CK95" t="n">
        <ns0:f>IF($A95="",1,IF(CJ95=1,1,--AND(IF($AC95&gt;0,INDEX(CJ$7:CJ$106,$AC95),1),IF($AD95&gt;0,INDEX(CJ$7:CJ$106,$AD95),1),IF($AE95&gt;0,INDEX(CJ$7:CJ$106,$AE95),1),IF($AF95&gt;0,INDEX(CJ$7:CJ$106,$AF95),1),IF($AG95&gt;0,INDEX(CJ$7:CJ$106,$AG95),1),IF($AH95&gt;0,INDEX(CJ$7:CJ$106,$AH95),1),IF($AI95&gt;0,INDEX(CJ$7:CJ$106,$AI95),1),IF($AJ95&gt;0,INDEX(CJ$7:CJ$106,$AJ95),1))))</ns0:f>
        <ns0:v>1</ns0:v>
      </ns0:c>
      <ns0:c r="CL95" t="n">
        <ns0:f>IF($A95="",1,IF(CK95=1,1,--AND(IF($AC95&gt;0,INDEX(CK$7:CK$106,$AC95),1),IF($AD95&gt;0,INDEX(CK$7:CK$106,$AD95),1),IF($AE95&gt;0,INDEX(CK$7:CK$106,$AE95),1),IF($AF95&gt;0,INDEX(CK$7:CK$106,$AF95),1),IF($AG95&gt;0,INDEX(CK$7:CK$106,$AG95),1),IF($AH95&gt;0,INDEX(CK$7:CK$106,$AH95),1),IF($AI95&gt;0,INDEX(CK$7:CK$106,$AI95),1),IF($AJ95&gt;0,INDEX(CK$7:CK$106,$AJ95),1))))</ns0:f>
        <ns0:v>1</ns0:v>
      </ns0:c>
      <ns0:c r="CM95" t="n">
        <ns0:f>IF($A95="",1,IF(CL95=1,1,--AND(IF($AC95&gt;0,INDEX(CL$7:CL$106,$AC95),1),IF($AD95&gt;0,INDEX(CL$7:CL$106,$AD95),1),IF($AE95&gt;0,INDEX(CL$7:CL$106,$AE95),1),IF($AF95&gt;0,INDEX(CL$7:CL$106,$AF95),1),IF($AG95&gt;0,INDEX(CL$7:CL$106,$AG95),1),IF($AH95&gt;0,INDEX(CL$7:CL$106,$AH95),1),IF($AI95&gt;0,INDEX(CL$7:CL$106,$AI95),1),IF($AJ95&gt;0,INDEX(CL$7:CL$106,$AJ95),1))))</ns0:f>
        <ns0:v>1</ns0:v>
      </ns0:c>
      <ns0:c r="CN95" t="n">
        <ns0:f>IF($A95="",1,IF(CM95=1,1,--AND(IF($AC95&gt;0,INDEX(CM$7:CM$106,$AC95),1),IF($AD95&gt;0,INDEX(CM$7:CM$106,$AD95),1),IF($AE95&gt;0,INDEX(CM$7:CM$106,$AE95),1),IF($AF95&gt;0,INDEX(CM$7:CM$106,$AF95),1),IF($AG95&gt;0,INDEX(CM$7:CM$106,$AG95),1),IF($AH95&gt;0,INDEX(CM$7:CM$106,$AH95),1),IF($AI95&gt;0,INDEX(CM$7:CM$106,$AI95),1),IF($AJ95&gt;0,INDEX(CM$7:CM$106,$AJ95),1))))</ns0:f>
        <ns0:v>1</ns0:v>
      </ns0:c>
      <ns0:c r="CO95" t="n">
        <ns0:f>IF($A95="",1,IF(CN95=1,1,--AND(IF($AC95&gt;0,INDEX(CN$7:CN$106,$AC95),1),IF($AD95&gt;0,INDEX(CN$7:CN$106,$AD95),1),IF($AE95&gt;0,INDEX(CN$7:CN$106,$AE95),1),IF($AF95&gt;0,INDEX(CN$7:CN$106,$AF95),1),IF($AG95&gt;0,INDEX(CN$7:CN$106,$AG95),1),IF($AH95&gt;0,INDEX(CN$7:CN$106,$AH95),1),IF($AI95&gt;0,INDEX(CN$7:CN$106,$AI95),1),IF($AJ95&gt;0,INDEX(CN$7:CN$106,$AJ95),1))))</ns0:f>
        <ns0:v>1</ns0:v>
      </ns0:c>
      <ns0:c r="CP95" t="n">
        <ns0:f>IF($A95="",1,IF(CO95=1,1,--AND(IF($AC95&gt;0,INDEX(CO$7:CO$106,$AC95),1),IF($AD95&gt;0,INDEX(CO$7:CO$106,$AD95),1),IF($AE95&gt;0,INDEX(CO$7:CO$106,$AE95),1),IF($AF95&gt;0,INDEX(CO$7:CO$106,$AF95),1),IF($AG95&gt;0,INDEX(CO$7:CO$106,$AG95),1),IF($AH95&gt;0,INDEX(CO$7:CO$106,$AH95),1),IF($AI95&gt;0,INDEX(CO$7:CO$106,$AI95),1),IF($AJ95&gt;0,INDEX(CO$7:CO$106,$AJ95),1))))</ns0:f>
        <ns0:v>1</ns0:v>
      </ns0:c>
      <ns0:c r="CQ95" t="n">
        <ns0:f>IF($A95="",1,IF(CP95=1,1,--AND(IF($AC95&gt;0,INDEX(CP$7:CP$106,$AC95),1),IF($AD95&gt;0,INDEX(CP$7:CP$106,$AD95),1),IF($AE95&gt;0,INDEX(CP$7:CP$106,$AE95),1),IF($AF95&gt;0,INDEX(CP$7:CP$106,$AF95),1),IF($AG95&gt;0,INDEX(CP$7:CP$106,$AG95),1),IF($AH95&gt;0,INDEX(CP$7:CP$106,$AH95),1),IF($AI95&gt;0,INDEX(CP$7:CP$106,$AI95),1),IF($AJ95&gt;0,INDEX(CP$7:CP$106,$AJ95),1))))</ns0:f>
        <ns0:v>1</ns0:v>
      </ns0:c>
      <ns0:c r="CR95" t="n">
        <ns0:f>IF($A95="",1,IF(CQ95=1,1,--AND(IF($AC95&gt;0,INDEX(CQ$7:CQ$106,$AC95),1),IF($AD95&gt;0,INDEX(CQ$7:CQ$106,$AD95),1),IF($AE95&gt;0,INDEX(CQ$7:CQ$106,$AE95),1),IF($AF95&gt;0,INDEX(CQ$7:CQ$106,$AF95),1),IF($AG95&gt;0,INDEX(CQ$7:CQ$106,$AG95),1),IF($AH95&gt;0,INDEX(CQ$7:CQ$106,$AH95),1),IF($AI95&gt;0,INDEX(CQ$7:CQ$106,$AI95),1),IF($AJ95&gt;0,INDEX(CQ$7:CQ$106,$AJ95),1))))</ns0:f>
        <ns0:v>1</ns0:v>
      </ns0:c>
      <ns0:c r="CS95" t="n">
        <ns0:f>IF($A95="",1,IF(CR95=1,1,--AND(IF($AC95&gt;0,INDEX(CR$7:CR$106,$AC95),1),IF($AD95&gt;0,INDEX(CR$7:CR$106,$AD95),1),IF($AE95&gt;0,INDEX(CR$7:CR$106,$AE95),1),IF($AF95&gt;0,INDEX(CR$7:CR$106,$AF95),1),IF($AG95&gt;0,INDEX(CR$7:CR$106,$AG95),1),IF($AH95&gt;0,INDEX(CR$7:CR$106,$AH95),1),IF($AI95&gt;0,INDEX(CR$7:CR$106,$AI95),1),IF($AJ95&gt;0,INDEX(CR$7:CR$106,$AJ95),1))))</ns0:f>
        <ns0:v>1</ns0:v>
      </ns0:c>
      <ns0:c r="CT95" t="n">
        <ns0:f>IF($A95="",1,IF(CS95=1,1,--AND(IF($AC95&gt;0,INDEX(CS$7:CS$106,$AC95),1),IF($AD95&gt;0,INDEX(CS$7:CS$106,$AD95),1),IF($AE95&gt;0,INDEX(CS$7:CS$106,$AE95),1),IF($AF95&gt;0,INDEX(CS$7:CS$106,$AF95),1),IF($AG95&gt;0,INDEX(CS$7:CS$106,$AG95),1),IF($AH95&gt;0,INDEX(CS$7:CS$106,$AH95),1),IF($AI95&gt;0,INDEX(CS$7:CS$106,$AI95),1),IF($AJ95&gt;0,INDEX(CS$7:CS$106,$AJ95),1))))</ns0:f>
        <ns0:v>1</ns0:v>
      </ns0:c>
      <ns0:c r="CU95" t="n">
        <ns0:f>IF($A95="",1,IF(CT95=1,1,--AND(IF($AC95&gt;0,INDEX(CT$7:CT$106,$AC95),1),IF($AD95&gt;0,INDEX(CT$7:CT$106,$AD95),1),IF($AE95&gt;0,INDEX(CT$7:CT$106,$AE95),1),IF($AF95&gt;0,INDEX(CT$7:CT$106,$AF95),1),IF($AG95&gt;0,INDEX(CT$7:CT$106,$AG95),1),IF($AH95&gt;0,INDEX(CT$7:CT$106,$AH95),1),IF($AI95&gt;0,INDEX(CT$7:CT$106,$AI95),1),IF($AJ95&gt;0,INDEX(CT$7:CT$106,$AJ95),1))))</ns0:f>
        <ns0:v>1</ns0:v>
      </ns0:c>
      <ns0:c r="CV95" t="n">
        <ns0:f>IF($A95="",1,IF(CU95=1,1,--AND(IF($AC95&gt;0,INDEX(CU$7:CU$106,$AC95),1),IF($AD95&gt;0,INDEX(CU$7:CU$106,$AD95),1),IF($AE95&gt;0,INDEX(CU$7:CU$106,$AE95),1),IF($AF95&gt;0,INDEX(CU$7:CU$106,$AF95),1),IF($AG95&gt;0,INDEX(CU$7:CU$106,$AG95),1),IF($AH95&gt;0,INDEX(CU$7:CU$106,$AH95),1),IF($AI95&gt;0,INDEX(CU$7:CU$106,$AI95),1),IF($AJ95&gt;0,INDEX(CU$7:CU$106,$AJ95),1))))</ns0:f>
        <ns0:v>1</ns0:v>
      </ns0:c>
      <ns0:c r="CW95" t="n">
        <ns0:f>IF($A95="",1,IF(CV95=1,1,--AND(IF($AC95&gt;0,INDEX(CV$7:CV$106,$AC95),1),IF($AD95&gt;0,INDEX(CV$7:CV$106,$AD95),1),IF($AE95&gt;0,INDEX(CV$7:CV$106,$AE95),1),IF($AF95&gt;0,INDEX(CV$7:CV$106,$AF95),1),IF($AG95&gt;0,INDEX(CV$7:CV$106,$AG95),1),IF($AH95&gt;0,INDEX(CV$7:CV$106,$AH95),1),IF($AI95&gt;0,INDEX(CV$7:CV$106,$AI95),1),IF($AJ95&gt;0,INDEX(CV$7:CV$106,$AJ95),1))))</ns0:f>
        <ns0:v>1</ns0:v>
      </ns0:c>
      <ns0:c r="CX95" t="n">
        <ns0:f>IF($A95="",1,IF(CW95=1,1,--AND(IF($AC95&gt;0,INDEX(CW$7:CW$106,$AC95),1),IF($AD95&gt;0,INDEX(CW$7:CW$106,$AD95),1),IF($AE95&gt;0,INDEX(CW$7:CW$106,$AE95),1),IF($AF95&gt;0,INDEX(CW$7:CW$106,$AF95),1),IF($AG95&gt;0,INDEX(CW$7:CW$106,$AG95),1),IF($AH95&gt;0,INDEX(CW$7:CW$106,$AH95),1),IF($AI95&gt;0,INDEX(CW$7:CW$106,$AI95),1),IF($AJ95&gt;0,INDEX(CW$7:CW$106,$AJ95),1))))</ns0:f>
        <ns0:v>1</ns0:v>
      </ns0:c>
      <ns0:c r="CY95" t="n">
        <ns0:f>IF($A95="",1,IF(CX95=1,1,--AND(IF($AC95&gt;0,INDEX(CX$7:CX$106,$AC95),1),IF($AD95&gt;0,INDEX(CX$7:CX$106,$AD95),1),IF($AE95&gt;0,INDEX(CX$7:CX$106,$AE95),1),IF($AF95&gt;0,INDEX(CX$7:CX$106,$AF95),1),IF($AG95&gt;0,INDEX(CX$7:CX$106,$AG95),1),IF($AH95&gt;0,INDEX(CX$7:CX$106,$AH95),1),IF($AI95&gt;0,INDEX(CX$7:CX$106,$AI95),1),IF($AJ95&gt;0,INDEX(CX$7:CX$106,$AJ95),1))))</ns0:f>
        <ns0:v>1</ns0:v>
      </ns0:c>
      <ns0:c r="CZ95" t="n">
        <ns0:f>IF($A95="",1,IF(CY95=1,1,--AND(IF($AC95&gt;0,INDEX(CY$7:CY$106,$AC95),1),IF($AD95&gt;0,INDEX(CY$7:CY$106,$AD95),1),IF($AE95&gt;0,INDEX(CY$7:CY$106,$AE95),1),IF($AF95&gt;0,INDEX(CY$7:CY$106,$AF95),1),IF($AG95&gt;0,INDEX(CY$7:CY$106,$AG95),1),IF($AH95&gt;0,INDEX(CY$7:CY$106,$AH95),1),IF($AI95&gt;0,INDEX(CY$7:CY$106,$AI95),1),IF($AJ95&gt;0,INDEX(CY$7:CY$106,$AJ95),1))))</ns0:f>
        <ns0:v>1</ns0:v>
      </ns0:c>
      <ns0:c r="DA95" t="n">
        <ns0:f>IF($A95="",1,IF(CZ95=1,1,--AND(IF($AC95&gt;0,INDEX(CZ$7:CZ$106,$AC95),1),IF($AD95&gt;0,INDEX(CZ$7:CZ$106,$AD95),1),IF($AE95&gt;0,INDEX(CZ$7:CZ$106,$AE95),1),IF($AF95&gt;0,INDEX(CZ$7:CZ$106,$AF95),1),IF($AG95&gt;0,INDEX(CZ$7:CZ$106,$AG95),1),IF($AH95&gt;0,INDEX(CZ$7:CZ$106,$AH95),1),IF($AI95&gt;0,INDEX(CZ$7:CZ$106,$AI95),1),IF($AJ95&gt;0,INDEX(CZ$7:CZ$106,$AJ95),1))))</ns0:f>
        <ns0:v>1</ns0:v>
      </ns0:c>
      <ns0:c r="DB95" t="n">
        <ns0:f>IF($A95="",1,IF(DA95=1,1,--AND(IF($AC95&gt;0,INDEX(DA$7:DA$106,$AC95),1),IF($AD95&gt;0,INDEX(DA$7:DA$106,$AD95),1),IF($AE95&gt;0,INDEX(DA$7:DA$106,$AE95),1),IF($AF95&gt;0,INDEX(DA$7:DA$106,$AF95),1),IF($AG95&gt;0,INDEX(DA$7:DA$106,$AG95),1),IF($AH95&gt;0,INDEX(DA$7:DA$106,$AH95),1),IF($AI95&gt;0,INDEX(DA$7:DA$106,$AI95),1),IF($AJ95&gt;0,INDEX(DA$7:DA$106,$AJ95),1))))</ns0:f>
        <ns0:v>1</ns0:v>
      </ns0:c>
      <ns0:c r="DC95" t="n">
        <ns0:f>IF($A95="",1,IF(DB95=1,1,--AND(IF($AC95&gt;0,INDEX(DB$7:DB$106,$AC95),1),IF($AD95&gt;0,INDEX(DB$7:DB$106,$AD95),1),IF($AE95&gt;0,INDEX(DB$7:DB$106,$AE95),1),IF($AF95&gt;0,INDEX(DB$7:DB$106,$AF95),1),IF($AG95&gt;0,INDEX(DB$7:DB$106,$AG95),1),IF($AH95&gt;0,INDEX(DB$7:DB$106,$AH95),1),IF($AI95&gt;0,INDEX(DB$7:DB$106,$AI95),1),IF($AJ95&gt;0,INDEX(DB$7:DB$106,$AJ95),1))))</ns0:f>
        <ns0:v>1</ns0:v>
      </ns0:c>
      <ns0:c r="DD95" t="n">
        <ns0:f>IF($A95="",1,IF(DC95=1,1,--AND(IF($AC95&gt;0,INDEX(DC$7:DC$106,$AC95),1),IF($AD95&gt;0,INDEX(DC$7:DC$106,$AD95),1),IF($AE95&gt;0,INDEX(DC$7:DC$106,$AE95),1),IF($AF95&gt;0,INDEX(DC$7:DC$106,$AF95),1),IF($AG95&gt;0,INDEX(DC$7:DC$106,$AG95),1),IF($AH95&gt;0,INDEX(DC$7:DC$106,$AH95),1),IF($AI95&gt;0,INDEX(DC$7:DC$106,$AI95),1),IF($AJ95&gt;0,INDEX(DC$7:DC$106,$AJ95),1))))</ns0:f>
        <ns0:v>1</ns0:v>
      </ns0:c>
      <ns0:c r="DE95" t="n">
        <ns0:f>IF($A95="",1,IF(DD95=1,1,--AND(IF($AC95&gt;0,INDEX(DD$7:DD$106,$AC95),1),IF($AD95&gt;0,INDEX(DD$7:DD$106,$AD95),1),IF($AE95&gt;0,INDEX(DD$7:DD$106,$AE95),1),IF($AF95&gt;0,INDEX(DD$7:DD$106,$AF95),1),IF($AG95&gt;0,INDEX(DD$7:DD$106,$AG95),1),IF($AH95&gt;0,INDEX(DD$7:DD$106,$AH95),1),IF($AI95&gt;0,INDEX(DD$7:DD$106,$AI95),1),IF($AJ95&gt;0,INDEX(DD$7:DD$106,$AJ95),1))))</ns0:f>
        <ns0:v>1</ns0:v>
      </ns0:c>
      <ns0:c r="DF95" t="n">
        <ns0:f>IF($A95="",1,IF(DE95=1,1,--AND(IF($AC95&gt;0,INDEX(DE$7:DE$106,$AC95),1),IF($AD95&gt;0,INDEX(DE$7:DE$106,$AD95),1),IF($AE95&gt;0,INDEX(DE$7:DE$106,$AE95),1),IF($AF95&gt;0,INDEX(DE$7:DE$106,$AF95),1),IF($AG95&gt;0,INDEX(DE$7:DE$106,$AG95),1),IF($AH95&gt;0,INDEX(DE$7:DE$106,$AH95),1),IF($AI95&gt;0,INDEX(DE$7:DE$106,$AI95),1),IF($AJ95&gt;0,INDEX(DE$7:DE$106,$AJ95),1))))</ns0:f>
        <ns0:v>1</ns0:v>
      </ns0:c>
      <ns0:c r="DG95" t="n">
        <ns0:f>IF($A95="",1,IF(DF95=1,1,--AND(IF($AC95&gt;0,INDEX(DF$7:DF$106,$AC95),1),IF($AD95&gt;0,INDEX(DF$7:DF$106,$AD95),1),IF($AE95&gt;0,INDEX(DF$7:DF$106,$AE95),1),IF($AF95&gt;0,INDEX(DF$7:DF$106,$AF95),1),IF($AG95&gt;0,INDEX(DF$7:DF$106,$AG95),1),IF($AH95&gt;0,INDEX(DF$7:DF$106,$AH95),1),IF($AI95&gt;0,INDEX(DF$7:DF$106,$AI95),1),IF($AJ95&gt;0,INDEX(DF$7:DF$106,$AJ95),1))))</ns0:f>
        <ns0:v>1</ns0:v>
      </ns0:c>
      <ns0:c r="DH95" t="n">
        <ns0:f>IF($A95="",1,IF(DG95=1,1,--AND(IF($AC95&gt;0,INDEX(DG$7:DG$106,$AC95),1),IF($AD95&gt;0,INDEX(DG$7:DG$106,$AD95),1),IF($AE95&gt;0,INDEX(DG$7:DG$106,$AE95),1),IF($AF95&gt;0,INDEX(DG$7:DG$106,$AF95),1),IF($AG95&gt;0,INDEX(DG$7:DG$106,$AG95),1),IF($AH95&gt;0,INDEX(DG$7:DG$106,$AH95),1),IF($AI95&gt;0,INDEX(DG$7:DG$106,$AI95),1),IF($AJ95&gt;0,INDEX(DG$7:DG$106,$AJ95),1))))</ns0:f>
        <ns0:v>1</ns0:v>
      </ns0:c>
      <ns0:c r="DI95" t="n">
        <ns0:f>IF($A95="",1,IF(DH95=1,1,--AND(IF($AC95&gt;0,INDEX(DH$7:DH$106,$AC95),1),IF($AD95&gt;0,INDEX(DH$7:DH$106,$AD95),1),IF($AE95&gt;0,INDEX(DH$7:DH$106,$AE95),1),IF($AF95&gt;0,INDEX(DH$7:DH$106,$AF95),1),IF($AG95&gt;0,INDEX(DH$7:DH$106,$AG95),1),IF($AH95&gt;0,INDEX(DH$7:DH$106,$AH95),1),IF($AI95&gt;0,INDEX(DH$7:DH$106,$AI95),1),IF($AJ95&gt;0,INDEX(DH$7:DH$106,$AJ95),1))))</ns0:f>
        <ns0:v>1</ns0:v>
      </ns0:c>
      <ns0:c r="DJ95" t="n">
        <ns0:f>IF($A95="",1,IF(DI95=1,1,--AND(IF($AC95&gt;0,INDEX(DI$7:DI$106,$AC95),1),IF($AD95&gt;0,INDEX(DI$7:DI$106,$AD95),1),IF($AE95&gt;0,INDEX(DI$7:DI$106,$AE95),1),IF($AF95&gt;0,INDEX(DI$7:DI$106,$AF95),1),IF($AG95&gt;0,INDEX(DI$7:DI$106,$AG95),1),IF($AH95&gt;0,INDEX(DI$7:DI$106,$AH95),1),IF($AI95&gt;0,INDEX(DI$7:DI$106,$AI95),1),IF($AJ95&gt;0,INDEX(DI$7:DI$106,$AJ95),1))))</ns0:f>
        <ns0:v>1</ns0:v>
      </ns0:c>
      <ns0:c r="DK95" t="n">
        <ns0:f>IF($A95="",1,IF(DJ95=1,1,--AND(IF($AC95&gt;0,INDEX(DJ$7:DJ$106,$AC95),1),IF($AD95&gt;0,INDEX(DJ$7:DJ$106,$AD95),1),IF($AE95&gt;0,INDEX(DJ$7:DJ$106,$AE95),1),IF($AF95&gt;0,INDEX(DJ$7:DJ$106,$AF95),1),IF($AG95&gt;0,INDEX(DJ$7:DJ$106,$AG95),1),IF($AH95&gt;0,INDEX(DJ$7:DJ$106,$AH95),1),IF($AI95&gt;0,INDEX(DJ$7:DJ$106,$AI95),1),IF($AJ95&gt;0,INDEX(DJ$7:DJ$106,$AJ95),1))))</ns0:f>
        <ns0:v>1</ns0:v>
      </ns0:c>
      <ns0:c r="DL95" t="n">
        <ns0:f>IF($A95="",1,IF(DK95=1,1,--AND(IF($AC95&gt;0,INDEX(DK$7:DK$106,$AC95),1),IF($AD95&gt;0,INDEX(DK$7:DK$106,$AD95),1),IF($AE95&gt;0,INDEX(DK$7:DK$106,$AE95),1),IF($AF95&gt;0,INDEX(DK$7:DK$106,$AF95),1),IF($AG95&gt;0,INDEX(DK$7:DK$106,$AG95),1),IF($AH95&gt;0,INDEX(DK$7:DK$106,$AH95),1),IF($AI95&gt;0,INDEX(DK$7:DK$106,$AI95),1),IF($AJ95&gt;0,INDEX(DK$7:DK$106,$AJ95),1))))</ns0:f>
        <ns0:v>1</ns0:v>
      </ns0:c>
      <ns0:c r="DM95" t="n">
        <ns0:f>IF($A95="",1,IF(DL95=1,1,--AND(IF($AC95&gt;0,INDEX(DL$7:DL$106,$AC95),1),IF($AD95&gt;0,INDEX(DL$7:DL$106,$AD95),1),IF($AE95&gt;0,INDEX(DL$7:DL$106,$AE95),1),IF($AF95&gt;0,INDEX(DL$7:DL$106,$AF95),1),IF($AG95&gt;0,INDEX(DL$7:DL$106,$AG95),1),IF($AH95&gt;0,INDEX(DL$7:DL$106,$AH95),1),IF($AI95&gt;0,INDEX(DL$7:DL$106,$AI95),1),IF($AJ95&gt;0,INDEX(DL$7:DL$106,$AJ95),1))))</ns0:f>
        <ns0:v>1</ns0:v>
      </ns0:c>
      <ns0:c r="DN95" t="n">
        <ns0:f>IF($A95="",1,IF(DM95=1,1,--AND(IF($AC95&gt;0,INDEX(DM$7:DM$106,$AC95),1),IF($AD95&gt;0,INDEX(DM$7:DM$106,$AD95),1),IF($AE95&gt;0,INDEX(DM$7:DM$106,$AE95),1),IF($AF95&gt;0,INDEX(DM$7:DM$106,$AF95),1),IF($AG95&gt;0,INDEX(DM$7:DM$106,$AG95),1),IF($AH95&gt;0,INDEX(DM$7:DM$106,$AH95),1),IF($AI95&gt;0,INDEX(DM$7:DM$106,$AI95),1),IF($AJ95&gt;0,INDEX(DM$7:DM$106,$AJ95),1))))</ns0:f>
        <ns0:v>1</ns0:v>
      </ns0:c>
      <ns0:c r="DO95" t="n">
        <ns0:f>IF($A95="",1,IF(DN95=1,1,--AND(IF($AC95&gt;0,INDEX(DN$7:DN$106,$AC95),1),IF($AD95&gt;0,INDEX(DN$7:DN$106,$AD95),1),IF($AE95&gt;0,INDEX(DN$7:DN$106,$AE95),1),IF($AF95&gt;0,INDEX(DN$7:DN$106,$AF95),1),IF($AG95&gt;0,INDEX(DN$7:DN$106,$AG95),1),IF($AH95&gt;0,INDEX(DN$7:DN$106,$AH95),1),IF($AI95&gt;0,INDEX(DN$7:DN$106,$AI95),1),IF($AJ95&gt;0,INDEX(DN$7:DN$106,$AJ95),1))))</ns0:f>
        <ns0:v>1</ns0:v>
      </ns0:c>
      <ns0:c r="DP95" t="n">
        <ns0:f>IF($A95="",1,IF(DO95=1,1,--AND(IF($AC95&gt;0,INDEX(DO$7:DO$106,$AC95),1),IF($AD95&gt;0,INDEX(DO$7:DO$106,$AD95),1),IF($AE95&gt;0,INDEX(DO$7:DO$106,$AE95),1),IF($AF95&gt;0,INDEX(DO$7:DO$106,$AF95),1),IF($AG95&gt;0,INDEX(DO$7:DO$106,$AG95),1),IF($AH95&gt;0,INDEX(DO$7:DO$106,$AH95),1),IF($AI95&gt;0,INDEX(DO$7:DO$106,$AI95),1),IF($AJ95&gt;0,INDEX(DO$7:DO$106,$AJ95),1))))</ns0:f>
        <ns0:v>1</ns0:v>
      </ns0:c>
      <ns0:c r="DQ95" t="n">
        <ns0:f>IF($A95="",1,IF(DP95=1,1,--AND(IF($AC95&gt;0,INDEX(DP$7:DP$106,$AC95),1),IF($AD95&gt;0,INDEX(DP$7:DP$106,$AD95),1),IF($AE95&gt;0,INDEX(DP$7:DP$106,$AE95),1),IF($AF95&gt;0,INDEX(DP$7:DP$106,$AF95),1),IF($AG95&gt;0,INDEX(DP$7:DP$106,$AG95),1),IF($AH95&gt;0,INDEX(DP$7:DP$106,$AH95),1),IF($AI95&gt;0,INDEX(DP$7:DP$106,$AI95),1),IF($AJ95&gt;0,INDEX(DP$7:DP$106,$AJ95),1))))</ns0:f>
        <ns0:v>1</ns0:v>
      </ns0:c>
      <ns0:c r="DR95" t="n">
        <ns0:f>IF($A95="",1,IF(DQ95=1,1,--AND(IF($AC95&gt;0,INDEX(DQ$7:DQ$106,$AC95),1),IF($AD95&gt;0,INDEX(DQ$7:DQ$106,$AD95),1),IF($AE95&gt;0,INDEX(DQ$7:DQ$106,$AE95),1),IF($AF95&gt;0,INDEX(DQ$7:DQ$106,$AF95),1),IF($AG95&gt;0,INDEX(DQ$7:DQ$106,$AG95),1),IF($AH95&gt;0,INDEX(DQ$7:DQ$106,$AH95),1),IF($AI95&gt;0,INDEX(DQ$7:DQ$106,$AI95),1),IF($AJ95&gt;0,INDEX(DQ$7:DQ$106,$AJ95),1))))</ns0:f>
        <ns0:v>1</ns0:v>
      </ns0:c>
      <ns0:c r="DS95" t="n">
        <ns0:f>IF($A95="",1,IF(DR95=1,1,--AND(IF($AC95&gt;0,INDEX(DR$7:DR$106,$AC95),1),IF($AD95&gt;0,INDEX(DR$7:DR$106,$AD95),1),IF($AE95&gt;0,INDEX(DR$7:DR$106,$AE95),1),IF($AF95&gt;0,INDEX(DR$7:DR$106,$AF95),1),IF($AG95&gt;0,INDEX(DR$7:DR$106,$AG95),1),IF($AH95&gt;0,INDEX(DR$7:DR$106,$AH95),1),IF($AI95&gt;0,INDEX(DR$7:DR$106,$AI95),1),IF($AJ95&gt;0,INDEX(DR$7:DR$106,$AJ95),1))))</ns0:f>
        <ns0:v>1</ns0:v>
      </ns0:c>
      <ns0:c r="DT95" t="n">
        <ns0:f>IF($A95="",1,IF(DS95=1,1,--AND(IF($AC95&gt;0,INDEX(DS$7:DS$106,$AC95),1),IF($AD95&gt;0,INDEX(DS$7:DS$106,$AD95),1),IF($AE95&gt;0,INDEX(DS$7:DS$106,$AE95),1),IF($AF95&gt;0,INDEX(DS$7:DS$106,$AF95),1),IF($AG95&gt;0,INDEX(DS$7:DS$106,$AG95),1),IF($AH95&gt;0,INDEX(DS$7:DS$106,$AH95),1),IF($AI95&gt;0,INDEX(DS$7:DS$106,$AI95),1),IF($AJ95&gt;0,INDEX(DS$7:DS$106,$AJ95),1))))</ns0:f>
        <ns0:v>1</ns0:v>
      </ns0:c>
      <ns0:c r="DU95" t="n">
        <ns0:f>IF($A95="",1,IF(DT95=1,1,--AND(IF($AC95&gt;0,INDEX(DT$7:DT$106,$AC95),1),IF($AD95&gt;0,INDEX(DT$7:DT$106,$AD95),1),IF($AE95&gt;0,INDEX(DT$7:DT$106,$AE95),1),IF($AF95&gt;0,INDEX(DT$7:DT$106,$AF95),1),IF($AG95&gt;0,INDEX(DT$7:DT$106,$AG95),1),IF($AH95&gt;0,INDEX(DT$7:DT$106,$AH95),1),IF($AI95&gt;0,INDEX(DT$7:DT$106,$AI95),1),IF($AJ95&gt;0,INDEX(DT$7:DT$106,$AJ95),1))))</ns0:f>
        <ns0:v>1</ns0:v>
      </ns0:c>
      <ns0:c r="DV95" t="n">
        <ns0:f>IF($A95="",1,IF(DU95=1,1,--AND(IF($AC95&gt;0,INDEX(DU$7:DU$106,$AC95),1),IF($AD95&gt;0,INDEX(DU$7:DU$106,$AD95),1),IF($AE95&gt;0,INDEX(DU$7:DU$106,$AE95),1),IF($AF95&gt;0,INDEX(DU$7:DU$106,$AF95),1),IF($AG95&gt;0,INDEX(DU$7:DU$106,$AG95),1),IF($AH95&gt;0,INDEX(DU$7:DU$106,$AH95),1),IF($AI95&gt;0,INDEX(DU$7:DU$106,$AI95),1),IF($AJ95&gt;0,INDEX(DU$7:DU$106,$AJ95),1))))</ns0:f>
        <ns0:v>1</ns0:v>
      </ns0:c>
      <ns0:c r="DW95" t="n">
        <ns0:f>IF($A95="",1,IF(DV95=1,1,--AND(IF($AC95&gt;0,INDEX(DV$7:DV$106,$AC95),1),IF($AD95&gt;0,INDEX(DV$7:DV$106,$AD95),1),IF($AE95&gt;0,INDEX(DV$7:DV$106,$AE95),1),IF($AF95&gt;0,INDEX(DV$7:DV$106,$AF95),1),IF($AG95&gt;0,INDEX(DV$7:DV$106,$AG95),1),IF($AH95&gt;0,INDEX(DV$7:DV$106,$AH95),1),IF($AI95&gt;0,INDEX(DV$7:DV$106,$AI95),1),IF($AJ95&gt;0,INDEX(DV$7:DV$106,$AJ95),1))))</ns0:f>
        <ns0:v>1</ns0:v>
      </ns0:c>
      <ns0:c r="DX95" t="n">
        <ns0:f>IF($A95="",1,IF(DW95=1,1,--AND(IF($AC95&gt;0,INDEX(DW$7:DW$106,$AC95),1),IF($AD95&gt;0,INDEX(DW$7:DW$106,$AD95),1),IF($AE95&gt;0,INDEX(DW$7:DW$106,$AE95),1),IF($AF95&gt;0,INDEX(DW$7:DW$106,$AF95),1),IF($AG95&gt;0,INDEX(DW$7:DW$106,$AG95),1),IF($AH95&gt;0,INDEX(DW$7:DW$106,$AH95),1),IF($AI95&gt;0,INDEX(DW$7:DW$106,$AI95),1),IF($AJ95&gt;0,INDEX(DW$7:DW$106,$AJ95),1))))</ns0:f>
        <ns0:v>1</ns0:v>
      </ns0:c>
      <ns0:c r="DY95" t="n">
        <ns0:f>IF($A95="",1,IF(DX95=1,1,--AND(IF($AC95&gt;0,INDEX(DX$7:DX$106,$AC95),1),IF($AD95&gt;0,INDEX(DX$7:DX$106,$AD95),1),IF($AE95&gt;0,INDEX(DX$7:DX$106,$AE95),1),IF($AF95&gt;0,INDEX(DX$7:DX$106,$AF95),1),IF($AG95&gt;0,INDEX(DX$7:DX$106,$AG95),1),IF($AH95&gt;0,INDEX(DX$7:DX$106,$AH95),1),IF($AI95&gt;0,INDEX(DX$7:DX$106,$AI95),1),IF($AJ95&gt;0,INDEX(DX$7:DX$106,$AJ95),1))))</ns0:f>
        <ns0:v>1</ns0:v>
      </ns0:c>
      <ns0:c r="DZ95" t="n">
        <ns0:f>IF($A95="",1,IF(DY95=1,1,--AND(IF($AC95&gt;0,INDEX(DY$7:DY$106,$AC95),1),IF($AD95&gt;0,INDEX(DY$7:DY$106,$AD95),1),IF($AE95&gt;0,INDEX(DY$7:DY$106,$AE95),1),IF($AF95&gt;0,INDEX(DY$7:DY$106,$AF95),1),IF($AG95&gt;0,INDEX(DY$7:DY$106,$AG95),1),IF($AH95&gt;0,INDEX(DY$7:DY$106,$AH95),1),IF($AI95&gt;0,INDEX(DY$7:DY$106,$AI95),1),IF($AJ95&gt;0,INDEX(DY$7:DY$106,$AJ95),1))))</ns0:f>
        <ns0:v>1</ns0:v>
      </ns0:c>
      <ns0:c r="EA95" t="n">
        <ns0:f>IF($A95="",1,IF(DZ95=1,1,--AND(IF($AC95&gt;0,INDEX(DZ$7:DZ$106,$AC95),1),IF($AD95&gt;0,INDEX(DZ$7:DZ$106,$AD95),1),IF($AE95&gt;0,INDEX(DZ$7:DZ$106,$AE95),1),IF($AF95&gt;0,INDEX(DZ$7:DZ$106,$AF95),1),IF($AG95&gt;0,INDEX(DZ$7:DZ$106,$AG95),1),IF($AH95&gt;0,INDEX(DZ$7:DZ$106,$AH95),1),IF($AI95&gt;0,INDEX(DZ$7:DZ$106,$AI95),1),IF($AJ95&gt;0,INDEX(DZ$7:DZ$106,$AJ95),1))))</ns0:f>
        <ns0:v>1</ns0:v>
      </ns0:c>
      <ns0:c r="EB95" t="n">
        <ns0:f>IF($A95="",1,IF(EA95=1,1,--AND(IF($AC95&gt;0,INDEX(EA$7:EA$106,$AC95),1),IF($AD95&gt;0,INDEX(EA$7:EA$106,$AD95),1),IF($AE95&gt;0,INDEX(EA$7:EA$106,$AE95),1),IF($AF95&gt;0,INDEX(EA$7:EA$106,$AF95),1),IF($AG95&gt;0,INDEX(EA$7:EA$106,$AG95),1),IF($AH95&gt;0,INDEX(EA$7:EA$106,$AH95),1),IF($AI95&gt;0,INDEX(EA$7:EA$106,$AI95),1),IF($AJ95&gt;0,INDEX(EA$7:EA$106,$AJ95),1))))</ns0:f>
        <ns0:v>1</ns0:v>
      </ns0:c>
      <ns0:c r="EC95" t="n">
        <ns0:f>IF($A95="",1,IF(EB95=1,1,--AND(IF($AC95&gt;0,INDEX(EB$7:EB$106,$AC95),1),IF($AD95&gt;0,INDEX(EB$7:EB$106,$AD95),1),IF($AE95&gt;0,INDEX(EB$7:EB$106,$AE95),1),IF($AF95&gt;0,INDEX(EB$7:EB$106,$AF95),1),IF($AG95&gt;0,INDEX(EB$7:EB$106,$AG95),1),IF($AH95&gt;0,INDEX(EB$7:EB$106,$AH95),1),IF($AI95&gt;0,INDEX(EB$7:EB$106,$AI95),1),IF($AJ95&gt;0,INDEX(EB$7:EB$106,$AJ95),1))))</ns0:f>
        <ns0:v>1</ns0:v>
      </ns0:c>
      <ns0:c r="ED95" t="n">
        <ns0:f>IF($A95="",1,IF(EC95=1,1,--AND(IF($AC95&gt;0,INDEX(EC$7:EC$106,$AC95),1),IF($AD95&gt;0,INDEX(EC$7:EC$106,$AD95),1),IF($AE95&gt;0,INDEX(EC$7:EC$106,$AE95),1),IF($AF95&gt;0,INDEX(EC$7:EC$106,$AF95),1),IF($AG95&gt;0,INDEX(EC$7:EC$106,$AG95),1),IF($AH95&gt;0,INDEX(EC$7:EC$106,$AH95),1),IF($AI95&gt;0,INDEX(EC$7:EC$106,$AI95),1),IF($AJ95&gt;0,INDEX(EC$7:EC$106,$AJ95),1))))</ns0:f>
        <ns0:v>1</ns0:v>
      </ns0:c>
      <ns0:c r="EE95" t="n">
        <ns0:f>IF($A95="",1,IF(ED95=1,1,--AND(IF($AC95&gt;0,INDEX(ED$7:ED$106,$AC95),1),IF($AD95&gt;0,INDEX(ED$7:ED$106,$AD95),1),IF($AE95&gt;0,INDEX(ED$7:ED$106,$AE95),1),IF($AF95&gt;0,INDEX(ED$7:ED$106,$AF95),1),IF($AG95&gt;0,INDEX(ED$7:ED$106,$AG95),1),IF($AH95&gt;0,INDEX(ED$7:ED$106,$AH95),1),IF($AI95&gt;0,INDEX(ED$7:ED$106,$AI95),1),IF($AJ95&gt;0,INDEX(ED$7:ED$106,$AJ95),1))))</ns0:f>
        <ns0:v>1</ns0:v>
      </ns0:c>
      <ns0:c r="EF95" t="n">
        <ns0:f>IF($A95="",1,IF(EE95=1,1,--AND(IF($AC95&gt;0,INDEX(EE$7:EE$106,$AC95),1),IF($AD95&gt;0,INDEX(EE$7:EE$106,$AD95),1),IF($AE95&gt;0,INDEX(EE$7:EE$106,$AE95),1),IF($AF95&gt;0,INDEX(EE$7:EE$106,$AF95),1),IF($AG95&gt;0,INDEX(EE$7:EE$106,$AG95),1),IF($AH95&gt;0,INDEX(EE$7:EE$106,$AH95),1),IF($AI95&gt;0,INDEX(EE$7:EE$106,$AI95),1),IF($AJ95&gt;0,INDEX(EE$7:EE$106,$AJ95),1))))</ns0:f>
        <ns0:v>1</ns0:v>
      </ns0:c>
      <ns0:c r="EG95" t="n">
        <ns0:f>IF($A95="",1,IF(EF95=1,1,--AND(IF($AC95&gt;0,INDEX(EF$7:EF$106,$AC95),1),IF($AD95&gt;0,INDEX(EF$7:EF$106,$AD95),1),IF($AE95&gt;0,INDEX(EF$7:EF$106,$AE95),1),IF($AF95&gt;0,INDEX(EF$7:EF$106,$AF95),1),IF($AG95&gt;0,INDEX(EF$7:EF$106,$AG95),1),IF($AH95&gt;0,INDEX(EF$7:EF$106,$AH95),1),IF($AI95&gt;0,INDEX(EF$7:EF$106,$AI95),1),IF($AJ95&gt;0,INDEX(EF$7:EF$106,$AJ95),1))))</ns0:f>
        <ns0:v>1</ns0:v>
      </ns0:c>
      <ns0:c r="EH95" t="n">
        <ns0:f>IF($A95="",1,IF(EG95=1,1,--AND(IF($AC95&gt;0,INDEX(EG$7:EG$106,$AC95),1),IF($AD95&gt;0,INDEX(EG$7:EG$106,$AD95),1),IF($AE95&gt;0,INDEX(EG$7:EG$106,$AE95),1),IF($AF95&gt;0,INDEX(EG$7:EG$106,$AF95),1),IF($AG95&gt;0,INDEX(EG$7:EG$106,$AG95),1),IF($AH95&gt;0,INDEX(EG$7:EG$106,$AH95),1),IF($AI95&gt;0,INDEX(EG$7:EG$106,$AI95),1),IF($AJ95&gt;0,INDEX(EG$7:EG$106,$AJ95),1))))</ns0:f>
        <ns0:v>1</ns0:v>
      </ns0:c>
      <ns0:c r="EI95" t="n">
        <ns0:f>IF($A95="",1,IF(EH95=1,1,--AND(IF($AC95&gt;0,INDEX(EH$7:EH$106,$AC95),1),IF($AD95&gt;0,INDEX(EH$7:EH$106,$AD95),1),IF($AE95&gt;0,INDEX(EH$7:EH$106,$AE95),1),IF($AF95&gt;0,INDEX(EH$7:EH$106,$AF95),1),IF($AG95&gt;0,INDEX(EH$7:EH$106,$AG95),1),IF($AH95&gt;0,INDEX(EH$7:EH$106,$AH95),1),IF($AI95&gt;0,INDEX(EH$7:EH$106,$AI95),1),IF($AJ95&gt;0,INDEX(EH$7:EH$106,$AJ95),1))))</ns0:f>
        <ns0:v>1</ns0:v>
      </ns0:c>
      <ns0:c r="EJ95" t="n">
        <ns0:f>IF($A95="",1,IF(EI95=1,1,--AND(IF($AC95&gt;0,INDEX(EI$7:EI$106,$AC95),1),IF($AD95&gt;0,INDEX(EI$7:EI$106,$AD95),1),IF($AE95&gt;0,INDEX(EI$7:EI$106,$AE95),1),IF($AF95&gt;0,INDEX(EI$7:EI$106,$AF95),1),IF($AG95&gt;0,INDEX(EI$7:EI$106,$AG95),1),IF($AH95&gt;0,INDEX(EI$7:EI$106,$AH95),1),IF($AI95&gt;0,INDEX(EI$7:EI$106,$AI95),1),IF($AJ95&gt;0,INDEX(EI$7:EI$106,$AJ95),1))))</ns0:f>
        <ns0:v>1</ns0:v>
      </ns0:c>
      <ns0:c r="EK95" t="n">
        <ns0:f>IF($A95="",1,IF(EJ95=1,1,--AND(IF($AC95&gt;0,INDEX(EJ$7:EJ$106,$AC95),1),IF($AD95&gt;0,INDEX(EJ$7:EJ$106,$AD95),1),IF($AE95&gt;0,INDEX(EJ$7:EJ$106,$AE95),1),IF($AF95&gt;0,INDEX(EJ$7:EJ$106,$AF95),1),IF($AG95&gt;0,INDEX(EJ$7:EJ$106,$AG95),1),IF($AH95&gt;0,INDEX(EJ$7:EJ$106,$AH95),1),IF($AI95&gt;0,INDEX(EJ$7:EJ$106,$AI95),1),IF($AJ95&gt;0,INDEX(EJ$7:EJ$106,$AJ95),1))))</ns0:f>
        <ns0:v>1</ns0:v>
      </ns0:c>
      <ns0:c r="EL95" t="n">
        <ns0:f>IF($A95="",1,IF(EK95=1,1,--AND(IF($AC95&gt;0,INDEX(EK$7:EK$106,$AC95),1),IF($AD95&gt;0,INDEX(EK$7:EK$106,$AD95),1),IF($AE95&gt;0,INDEX(EK$7:EK$106,$AE95),1),IF($AF95&gt;0,INDEX(EK$7:EK$106,$AF95),1),IF($AG95&gt;0,INDEX(EK$7:EK$106,$AG95),1),IF($AH95&gt;0,INDEX(EK$7:EK$106,$AH95),1),IF($AI95&gt;0,INDEX(EK$7:EK$106,$AI95),1),IF($AJ95&gt;0,INDEX(EK$7:EK$106,$AJ95),1))))</ns0:f>
        <ns0:v>1</ns0:v>
      </ns0:c>
      <ns0:c r="EM95" t="n">
        <ns0:f>IF($A95="",1,IF(EL95=1,1,--AND(IF($AC95&gt;0,INDEX(EL$7:EL$106,$AC95),1),IF($AD95&gt;0,INDEX(EL$7:EL$106,$AD95),1),IF($AE95&gt;0,INDEX(EL$7:EL$106,$AE95),1),IF($AF95&gt;0,INDEX(EL$7:EL$106,$AF95),1),IF($AG95&gt;0,INDEX(EL$7:EL$106,$AG95),1),IF($AH95&gt;0,INDEX(EL$7:EL$106,$AH95),1),IF($AI95&gt;0,INDEX(EL$7:EL$106,$AI95),1),IF($AJ95&gt;0,INDEX(EL$7:EL$106,$AJ95),1))))</ns0:f>
        <ns0:v>1</ns0:v>
      </ns0:c>
      <ns0:c r="EN95" t="n">
        <ns0:f>IF($A95="",1,IF(EM95=1,1,--AND(IF($AC95&gt;0,INDEX(EM$7:EM$106,$AC95),1),IF($AD95&gt;0,INDEX(EM$7:EM$106,$AD95),1),IF($AE95&gt;0,INDEX(EM$7:EM$106,$AE95),1),IF($AF95&gt;0,INDEX(EM$7:EM$106,$AF95),1),IF($AG95&gt;0,INDEX(EM$7:EM$106,$AG95),1),IF($AH95&gt;0,INDEX(EM$7:EM$106,$AH95),1),IF($AI95&gt;0,INDEX(EM$7:EM$106,$AI95),1),IF($AJ95&gt;0,INDEX(EM$7:EM$106,$AJ95),1))))</ns0:f>
        <ns0:v>1</ns0:v>
      </ns0:c>
      <ns0:c r="EO95" t="n">
        <ns0:f>IF($A95="",1,IF(EN95=1,1,--AND(IF($AC95&gt;0,INDEX(EN$7:EN$106,$AC95),1),IF($AD95&gt;0,INDEX(EN$7:EN$106,$AD95),1),IF($AE95&gt;0,INDEX(EN$7:EN$106,$AE95),1),IF($AF95&gt;0,INDEX(EN$7:EN$106,$AF95),1),IF($AG95&gt;0,INDEX(EN$7:EN$106,$AG95),1),IF($AH95&gt;0,INDEX(EN$7:EN$106,$AH95),1),IF($AI95&gt;0,INDEX(EN$7:EN$106,$AI95),1),IF($AJ95&gt;0,INDEX(EN$7:EN$106,$AJ95),1))))</ns0:f>
        <ns0:v>1</ns0:v>
      </ns0:c>
      <ns0:c r="EP95" t="n">
        <ns0:f>IF($A95="",1,IF(EO95=1,1,--AND(IF($AC95&gt;0,INDEX(EO$7:EO$106,$AC95),1),IF($AD95&gt;0,INDEX(EO$7:EO$106,$AD95),1),IF($AE95&gt;0,INDEX(EO$7:EO$106,$AE95),1),IF($AF95&gt;0,INDEX(EO$7:EO$106,$AF95),1),IF($AG95&gt;0,INDEX(EO$7:EO$106,$AG95),1),IF($AH95&gt;0,INDEX(EO$7:EO$106,$AH95),1),IF($AI95&gt;0,INDEX(EO$7:EO$106,$AI95),1),IF($AJ95&gt;0,INDEX(EO$7:EO$106,$AJ95),1))))</ns0:f>
        <ns0:v>1</ns0:v>
      </ns0:c>
      <ns0:c r="EQ95" t="n">
        <ns0:f>IF(OR(A95="",NOT(ISNUMBER(G95))),0,G95*N95)</ns0:f>
        <ns0:v>0</ns0:v>
      </ns0:c>
    </ns0:row>
    <ns0:row r="96" ht="62" customHeight="1">
      <ns0:c r="A96" s="48"/>
      <ns0:c r="B96" s="48"/>
      <ns0:c r="C96" s="48"/>
      <ns0:c r="D96" s="48"/>
      <ns0:c r="E96" s="49"/>
      <ns0:c r="F96" s="49"/>
      <ns0:c r="G96" s="13" t="str">
        <ns0:f>IF(A96="","",IF(OR(NOT(ISNUMBER(E96)),NOT(ISNUMBER(F96)),F96&lt;E96),"",IF(J96="Yes",0,F96-E96+1)))</ns0:f>
      </ns0:c>
      <ns0:c r="H96" s="48"/>
      <ns0:c r="I96" s="48"/>
      <ns0:c r="J96" s="48"/>
      <ns0:c r="K96" s="48"/>
      <ns0:c r="L96" s="48"/>
      <ns0:c r="M96" s="50" t="str">
        <ns0:f>IF(A96="","",IF(N96=1,"Completed",IF(N96&gt;0,"In Progress","Not Started")))</ns0:f>
      </ns0:c>
      <ns0:c r="N96" s="51"/>
      <ns0:c r="O96" s="13" t="str">
        <ns0:f>IF(A96="","",IF(R96&lt;&gt;"","[CONFLICT] "&amp;R96,IF(S96&lt;&gt;"","[CONFLICT] "&amp;S96,IF(OR(NOT(ISNUMBER(N96)),N96&lt;0,N96&gt;1),"[CONFLICT] Invalid progress",IF(AK96&gt;0,"[DEPENDENCY ISSUE] Missing ID / &gt;8 links",IF(AM96&gt;0,"[DEPENDENCY ISSUE] Cycle or blocked by cycle",IF(AND(H96&lt;&gt;"",ISNA(MATCH(I96,{"FS","SS","FF","SF"},0))),"[DEPENDENCY ISSUE] Invalid type",IF(AL96&gt;0,"[DEPENDENCY ISSUE] Timing conflict",IF(OR(E96&lt;ProjectStart,F96&gt;ProjectEnd),"[OUTSIDE WINDOW]",IF(AND(N96&lt;1,F96&lt;AsOfDate),"Overdue",IF(AND(M96&lt;&gt;Q96,M96&lt;&gt;""),"[CONFLICT] Status / progress","On track")))))))))))</ns0:f>
      </ns0:c>
      <ns0:c r="P96" s="52"/>
      <ns0:c r="Q96" t="str">
        <ns0:f>IF(A96="","",IF(OR(M96="On Hold",M96="Delayed"),M96,IF(N96=1,"Completed",IF(N96&gt;0,"In Progress","Not Started"))))</ns0:f>
      </ns0:c>
      <ns0:c r="R96" t="str">
        <ns0:f>IF(A96="","",IF(COUNTIFS(Tasks[Task ID],A96)&lt;&gt;1,"Duplicate ID",""))</ns0:f>
      </ns0:c>
      <ns0:c r="S96" t="str">
        <ns0:f>IF(A96="","",IF(OR(NOT(ISNUMBER(E96)),NOT(ISNUMBER(F96))),"Invalid / missing date",IF(OR(E96&lt;&gt;INT(E96),F96&lt;&gt;INT(F96),E96&lt;1,F96&gt;2958465),"Invalid date",IF(F96&lt;E96,"End before start",IF(AND(J96="Yes",E96&lt;&gt;F96),"Milestone needs one date","")))))</ns0:f>
      </ns0:c>
      <ns0:c r="T96" t="n">
        <ns0:f>IF(H96="",0,LEN(H96)-LEN(SUBSTITUTE(H96,",",""))+1)</ns0:f>
        <ns0:v>0</ns0:v>
      </ns0:c>
      <ns0:c r="U96" t="str">
        <ns0:f>TRIM(MID(SUBSTITUTE($H96,",",REPT(" ",100)),1,100))</ns0:f>
      </ns0:c>
      <ns0:c r="V96" t="str">
        <ns0:f>TRIM(MID(SUBSTITUTE($H96,",",REPT(" ",100)),101,100))</ns0:f>
      </ns0:c>
      <ns0:c r="W96" t="str">
        <ns0:f>TRIM(MID(SUBSTITUTE($H96,",",REPT(" ",100)),201,100))</ns0:f>
      </ns0:c>
      <ns0:c r="X96" t="str">
        <ns0:f>TRIM(MID(SUBSTITUTE($H96,",",REPT(" ",100)),301,100))</ns0:f>
      </ns0:c>
      <ns0:c r="Y96" t="str">
        <ns0:f>TRIM(MID(SUBSTITUTE($H96,",",REPT(" ",100)),401,100))</ns0:f>
      </ns0:c>
      <ns0:c r="Z96" t="str">
        <ns0:f>TRIM(MID(SUBSTITUTE($H96,",",REPT(" ",100)),501,100))</ns0:f>
      </ns0:c>
      <ns0:c r="AA96" t="str">
        <ns0:f>TRIM(MID(SUBSTITUTE($H96,",",REPT(" ",100)),601,100))</ns0:f>
      </ns0:c>
      <ns0:c r="AB96" t="str">
        <ns0:f>TRIM(MID(SUBSTITUTE($H96,",",REPT(" ",100)),701,100))</ns0:f>
      </ns0:c>
      <ns0:c r="AC96" t="n">
        <ns0:f>IF(U96="",0,IF(COUNTIFS(Tasks[Task ID],U96)=1,MATCH(U96,Tasks[Task ID],0),-1))</ns0:f>
        <ns0:v>0</ns0:v>
      </ns0:c>
      <ns0:c r="AD96" t="n">
        <ns0:f>IF(V96="",0,IF(COUNTIFS(Tasks[Task ID],V96)=1,MATCH(V96,Tasks[Task ID],0),-1))</ns0:f>
        <ns0:v>0</ns0:v>
      </ns0:c>
      <ns0:c r="AE96" t="n">
        <ns0:f>IF(W96="",0,IF(COUNTIFS(Tasks[Task ID],W96)=1,MATCH(W96,Tasks[Task ID],0),-1))</ns0:f>
        <ns0:v>0</ns0:v>
      </ns0:c>
      <ns0:c r="AF96" t="n">
        <ns0:f>IF(X96="",0,IF(COUNTIFS(Tasks[Task ID],X96)=1,MATCH(X96,Tasks[Task ID],0),-1))</ns0:f>
        <ns0:v>0</ns0:v>
      </ns0:c>
      <ns0:c r="AG96" t="n">
        <ns0:f>IF(Y96="",0,IF(COUNTIFS(Tasks[Task ID],Y96)=1,MATCH(Y96,Tasks[Task ID],0),-1))</ns0:f>
        <ns0:v>0</ns0:v>
      </ns0:c>
      <ns0:c r="AH96" t="n">
        <ns0:f>IF(Z96="",0,IF(COUNTIFS(Tasks[Task ID],Z96)=1,MATCH(Z96,Tasks[Task ID],0),-1))</ns0:f>
        <ns0:v>0</ns0:v>
      </ns0:c>
      <ns0:c r="AI96" t="n">
        <ns0:f>IF(AA96="",0,IF(COUNTIFS(Tasks[Task ID],AA96)=1,MATCH(AA96,Tasks[Task ID],0),-1))</ns0:f>
        <ns0:v>0</ns0:v>
      </ns0:c>
      <ns0:c r="AJ96" t="n">
        <ns0:f>IF(AB96="",0,IF(COUNTIFS(Tasks[Task ID],AB96)=1,MATCH(AB96,Tasks[Task ID],0),-1))</ns0:f>
        <ns0:v>0</ns0:v>
      </ns0:c>
      <ns0:c r="AK96" t="n">
        <ns0:f>COUNTIFS(AC96:AJ96,-1)+IF(T96&gt;8,1,0)</ns0:f>
        <ns0:v>0</ns0:v>
      </ns0:c>
      <ns0:c r="AL96" t="n">
        <ns0:f>IF(OR(A96="",S96&lt;&gt;""),0,SUM(IF(AC96&gt;0,IF($I96="FS",--($E96&lt;INDEX(Tasks[End Date],AC96)+IF(INDEX(Tasks[Milestone],AC96)="Yes",0,1)),IF($I96="SS",--($E96&lt;INDEX(Tasks[Start Date],AC96)),IF($I96="FF",--($F96&lt;INDEX(Tasks[End Date],AC96)),IF($I96="SF",--($F96&lt;INDEX(Tasks[Start Date],AC96)),0)))),0),IF(AD96&gt;0,IF($I96="FS",--($E96&lt;INDEX(Tasks[End Date],AD96)+IF(INDEX(Tasks[Milestone],AD96)="Yes",0,1)),IF($I96="SS",--($E96&lt;INDEX(Tasks[Start Date],AD96)),IF($I96="FF",--($F96&lt;INDEX(Tasks[End Date],AD96)),IF($I96="SF",--($F96&lt;INDEX(Tasks[Start Date],AD96)),0)))),0),IF(AE96&gt;0,IF($I96="FS",--($E96&lt;INDEX(Tasks[End Date],AE96)+IF(INDEX(Tasks[Milestone],AE96)="Yes",0,1)),IF($I96="SS",--($E96&lt;INDEX(Tasks[Start Date],AE96)),IF($I96="FF",--($F96&lt;INDEX(Tasks[End Date],AE96)),IF($I96="SF",--($F96&lt;INDEX(Tasks[Start Date],AE96)),0)))),0),IF(AF96&gt;0,IF($I96="FS",--($E96&lt;INDEX(Tasks[End Date],AF96)+IF(INDEX(Tasks[Milestone],AF96)="Yes",0,1)),IF($I96="SS",--($E96&lt;INDEX(Tasks[Start Date],AF96)),IF($I96="FF",--($F96&lt;INDEX(Tasks[End Date],AF96)),IF($I96="SF",--($F96&lt;INDEX(Tasks[Start Date],AF96)),0)))),0),IF(AG96&gt;0,IF($I96="FS",--($E96&lt;INDEX(Tasks[End Date],AG96)+IF(INDEX(Tasks[Milestone],AG96)="Yes",0,1)),IF($I96="SS",--($E96&lt;INDEX(Tasks[Start Date],AG96)),IF($I96="FF",--($F96&lt;INDEX(Tasks[End Date],AG96)),IF($I96="SF",--($F96&lt;INDEX(Tasks[Start Date],AG96)),0)))),0),IF(AH96&gt;0,IF($I96="FS",--($E96&lt;INDEX(Tasks[End Date],AH96)+IF(INDEX(Tasks[Milestone],AH96)="Yes",0,1)),IF($I96="SS",--($E96&lt;INDEX(Tasks[Start Date],AH96)),IF($I96="FF",--($F96&lt;INDEX(Tasks[End Date],AH96)),IF($I96="SF",--($F96&lt;INDEX(Tasks[Start Date],AH96)),0)))),0),IF(AI96&gt;0,IF($I96="FS",--($E96&lt;INDEX(Tasks[End Date],AI96)+IF(INDEX(Tasks[Milestone],AI96)="Yes",0,1)),IF($I96="SS",--($E96&lt;INDEX(Tasks[Start Date],AI96)),IF($I96="FF",--($F96&lt;INDEX(Tasks[End Date],AI96)),IF($I96="SF",--($F96&lt;INDEX(Tasks[Start Date],AI96)),0)))),0),IF(AJ96&gt;0,IF($I96="FS",--($E96&lt;INDEX(Tasks[End Date],AJ96)+IF(INDEX(Tasks[Milestone],AJ96)="Yes",0,1)),IF($I96="SS",--($E96&lt;INDEX(Tasks[Start Date],AJ96)),IF($I96="FF",--($F96&lt;INDEX(Tasks[End Date],AJ96)),IF($I96="SF",--($F96&lt;INDEX(Tasks[Start Date],AJ96)),0)))),0)))</ns0:f>
        <ns0:v>0</ns0:v>
      </ns0:c>
      <ns0:c r="AM96" t="n">
        <ns0:f>IF(AND(A96&lt;&gt;"",AK96=0,EP96=0),1,0)</ns0:f>
        <ns0:v>0</ns0:v>
      </ns0:c>
      <ns0:c r="AN96" t="str">
        <ns0:f>IF(OR(A96="",B96=""),"",IF(COUNTIFS($B$7:B96,B96)=1,MAX($AN$6:AN95)+1,""))</ns0:f>
      </ns0:c>
      <ns0:c r="AO96" t="n">
        <ns0:f>IF(AND(A96&lt;&gt;"",J96="No",N96&lt;1,E96&gt;=AsOfDate),E96+ROW()/10000,1E+9)</ns0:f>
        <ns0:v>1000000000</ns0:v>
      </ns0:c>
      <ns0:c r="AP96" t="n">
        <ns0:f>IF(AND(A96&lt;&gt;"",J96="Yes",N96&lt;1,E96&gt;=AsOfDate),E96+ROW()/10000,1E+9)</ns0:f>
        <ns0:v>1000000000</ns0:v>
      </ns0:c>
      <ns0:c r="AQ96" t="n">
        <ns0:f>IF(AND(A96&lt;&gt;"",J96="No",N96&lt;1,F96&gt;=AsOfDate,F96&lt;=AsOfDate+7),F96+ROW()/10000,1E+9)</ns0:f>
        <ns0:v>1000000000</ns0:v>
      </ns0:c>
      <ns0:c r="AR96" t="n">
        <ns0:f>IF(AND(A96&lt;&gt;"",OR(O96&lt;&gt;"On track",Q96="Delayed")),ROW(),1E+9)</ns0:f>
        <ns0:v>1000000000</ns0:v>
      </ns0:c>
      <ns0:c r="AS96" t="str">
        <ns0:f>IF(A96="","",";"&amp;K96&amp;";")</ns0:f>
      </ns0:c>
      <ns0:c r="AT96" t="n">
        <ns0:f>IF(A96="",1,--(T96=0))</ns0:f>
        <ns0:v>1</ns0:v>
      </ns0:c>
      <ns0:c r="AU96" t="n">
        <ns0:f>IF($A96="",1,IF(AT96=1,1,--AND(IF($AC96&gt;0,INDEX(AT$7:AT$106,$AC96),1),IF($AD96&gt;0,INDEX(AT$7:AT$106,$AD96),1),IF($AE96&gt;0,INDEX(AT$7:AT$106,$AE96),1),IF($AF96&gt;0,INDEX(AT$7:AT$106,$AF96),1),IF($AG96&gt;0,INDEX(AT$7:AT$106,$AG96),1),IF($AH96&gt;0,INDEX(AT$7:AT$106,$AH96),1),IF($AI96&gt;0,INDEX(AT$7:AT$106,$AI96),1),IF($AJ96&gt;0,INDEX(AT$7:AT$106,$AJ96),1))))</ns0:f>
        <ns0:v>1</ns0:v>
      </ns0:c>
      <ns0:c r="AV96" t="n">
        <ns0:f>IF($A96="",1,IF(AU96=1,1,--AND(IF($AC96&gt;0,INDEX(AU$7:AU$106,$AC96),1),IF($AD96&gt;0,INDEX(AU$7:AU$106,$AD96),1),IF($AE96&gt;0,INDEX(AU$7:AU$106,$AE96),1),IF($AF96&gt;0,INDEX(AU$7:AU$106,$AF96),1),IF($AG96&gt;0,INDEX(AU$7:AU$106,$AG96),1),IF($AH96&gt;0,INDEX(AU$7:AU$106,$AH96),1),IF($AI96&gt;0,INDEX(AU$7:AU$106,$AI96),1),IF($AJ96&gt;0,INDEX(AU$7:AU$106,$AJ96),1))))</ns0:f>
        <ns0:v>1</ns0:v>
      </ns0:c>
      <ns0:c r="AW96" t="n">
        <ns0:f>IF($A96="",1,IF(AV96=1,1,--AND(IF($AC96&gt;0,INDEX(AV$7:AV$106,$AC96),1),IF($AD96&gt;0,INDEX(AV$7:AV$106,$AD96),1),IF($AE96&gt;0,INDEX(AV$7:AV$106,$AE96),1),IF($AF96&gt;0,INDEX(AV$7:AV$106,$AF96),1),IF($AG96&gt;0,INDEX(AV$7:AV$106,$AG96),1),IF($AH96&gt;0,INDEX(AV$7:AV$106,$AH96),1),IF($AI96&gt;0,INDEX(AV$7:AV$106,$AI96),1),IF($AJ96&gt;0,INDEX(AV$7:AV$106,$AJ96),1))))</ns0:f>
        <ns0:v>1</ns0:v>
      </ns0:c>
      <ns0:c r="AX96" t="n">
        <ns0:f>IF($A96="",1,IF(AW96=1,1,--AND(IF($AC96&gt;0,INDEX(AW$7:AW$106,$AC96),1),IF($AD96&gt;0,INDEX(AW$7:AW$106,$AD96),1),IF($AE96&gt;0,INDEX(AW$7:AW$106,$AE96),1),IF($AF96&gt;0,INDEX(AW$7:AW$106,$AF96),1),IF($AG96&gt;0,INDEX(AW$7:AW$106,$AG96),1),IF($AH96&gt;0,INDEX(AW$7:AW$106,$AH96),1),IF($AI96&gt;0,INDEX(AW$7:AW$106,$AI96),1),IF($AJ96&gt;0,INDEX(AW$7:AW$106,$AJ96),1))))</ns0:f>
        <ns0:v>1</ns0:v>
      </ns0:c>
      <ns0:c r="AY96" t="n">
        <ns0:f>IF($A96="",1,IF(AX96=1,1,--AND(IF($AC96&gt;0,INDEX(AX$7:AX$106,$AC96),1),IF($AD96&gt;0,INDEX(AX$7:AX$106,$AD96),1),IF($AE96&gt;0,INDEX(AX$7:AX$106,$AE96),1),IF($AF96&gt;0,INDEX(AX$7:AX$106,$AF96),1),IF($AG96&gt;0,INDEX(AX$7:AX$106,$AG96),1),IF($AH96&gt;0,INDEX(AX$7:AX$106,$AH96),1),IF($AI96&gt;0,INDEX(AX$7:AX$106,$AI96),1),IF($AJ96&gt;0,INDEX(AX$7:AX$106,$AJ96),1))))</ns0:f>
        <ns0:v>1</ns0:v>
      </ns0:c>
      <ns0:c r="AZ96" t="n">
        <ns0:f>IF($A96="",1,IF(AY96=1,1,--AND(IF($AC96&gt;0,INDEX(AY$7:AY$106,$AC96),1),IF($AD96&gt;0,INDEX(AY$7:AY$106,$AD96),1),IF($AE96&gt;0,INDEX(AY$7:AY$106,$AE96),1),IF($AF96&gt;0,INDEX(AY$7:AY$106,$AF96),1),IF($AG96&gt;0,INDEX(AY$7:AY$106,$AG96),1),IF($AH96&gt;0,INDEX(AY$7:AY$106,$AH96),1),IF($AI96&gt;0,INDEX(AY$7:AY$106,$AI96),1),IF($AJ96&gt;0,INDEX(AY$7:AY$106,$AJ96),1))))</ns0:f>
        <ns0:v>1</ns0:v>
      </ns0:c>
      <ns0:c r="BA96" t="n">
        <ns0:f>IF($A96="",1,IF(AZ96=1,1,--AND(IF($AC96&gt;0,INDEX(AZ$7:AZ$106,$AC96),1),IF($AD96&gt;0,INDEX(AZ$7:AZ$106,$AD96),1),IF($AE96&gt;0,INDEX(AZ$7:AZ$106,$AE96),1),IF($AF96&gt;0,INDEX(AZ$7:AZ$106,$AF96),1),IF($AG96&gt;0,INDEX(AZ$7:AZ$106,$AG96),1),IF($AH96&gt;0,INDEX(AZ$7:AZ$106,$AH96),1),IF($AI96&gt;0,INDEX(AZ$7:AZ$106,$AI96),1),IF($AJ96&gt;0,INDEX(AZ$7:AZ$106,$AJ96),1))))</ns0:f>
        <ns0:v>1</ns0:v>
      </ns0:c>
      <ns0:c r="BB96" t="n">
        <ns0:f>IF($A96="",1,IF(BA96=1,1,--AND(IF($AC96&gt;0,INDEX(BA$7:BA$106,$AC96),1),IF($AD96&gt;0,INDEX(BA$7:BA$106,$AD96),1),IF($AE96&gt;0,INDEX(BA$7:BA$106,$AE96),1),IF($AF96&gt;0,INDEX(BA$7:BA$106,$AF96),1),IF($AG96&gt;0,INDEX(BA$7:BA$106,$AG96),1),IF($AH96&gt;0,INDEX(BA$7:BA$106,$AH96),1),IF($AI96&gt;0,INDEX(BA$7:BA$106,$AI96),1),IF($AJ96&gt;0,INDEX(BA$7:BA$106,$AJ96),1))))</ns0:f>
        <ns0:v>1</ns0:v>
      </ns0:c>
      <ns0:c r="BC96" t="n">
        <ns0:f>IF($A96="",1,IF(BB96=1,1,--AND(IF($AC96&gt;0,INDEX(BB$7:BB$106,$AC96),1),IF($AD96&gt;0,INDEX(BB$7:BB$106,$AD96),1),IF($AE96&gt;0,INDEX(BB$7:BB$106,$AE96),1),IF($AF96&gt;0,INDEX(BB$7:BB$106,$AF96),1),IF($AG96&gt;0,INDEX(BB$7:BB$106,$AG96),1),IF($AH96&gt;0,INDEX(BB$7:BB$106,$AH96),1),IF($AI96&gt;0,INDEX(BB$7:BB$106,$AI96),1),IF($AJ96&gt;0,INDEX(BB$7:BB$106,$AJ96),1))))</ns0:f>
        <ns0:v>1</ns0:v>
      </ns0:c>
      <ns0:c r="BD96" t="n">
        <ns0:f>IF($A96="",1,IF(BC96=1,1,--AND(IF($AC96&gt;0,INDEX(BC$7:BC$106,$AC96),1),IF($AD96&gt;0,INDEX(BC$7:BC$106,$AD96),1),IF($AE96&gt;0,INDEX(BC$7:BC$106,$AE96),1),IF($AF96&gt;0,INDEX(BC$7:BC$106,$AF96),1),IF($AG96&gt;0,INDEX(BC$7:BC$106,$AG96),1),IF($AH96&gt;0,INDEX(BC$7:BC$106,$AH96),1),IF($AI96&gt;0,INDEX(BC$7:BC$106,$AI96),1),IF($AJ96&gt;0,INDEX(BC$7:BC$106,$AJ96),1))))</ns0:f>
        <ns0:v>1</ns0:v>
      </ns0:c>
      <ns0:c r="BE96" t="n">
        <ns0:f>IF($A96="",1,IF(BD96=1,1,--AND(IF($AC96&gt;0,INDEX(BD$7:BD$106,$AC96),1),IF($AD96&gt;0,INDEX(BD$7:BD$106,$AD96),1),IF($AE96&gt;0,INDEX(BD$7:BD$106,$AE96),1),IF($AF96&gt;0,INDEX(BD$7:BD$106,$AF96),1),IF($AG96&gt;0,INDEX(BD$7:BD$106,$AG96),1),IF($AH96&gt;0,INDEX(BD$7:BD$106,$AH96),1),IF($AI96&gt;0,INDEX(BD$7:BD$106,$AI96),1),IF($AJ96&gt;0,INDEX(BD$7:BD$106,$AJ96),1))))</ns0:f>
        <ns0:v>1</ns0:v>
      </ns0:c>
      <ns0:c r="BF96" t="n">
        <ns0:f>IF($A96="",1,IF(BE96=1,1,--AND(IF($AC96&gt;0,INDEX(BE$7:BE$106,$AC96),1),IF($AD96&gt;0,INDEX(BE$7:BE$106,$AD96),1),IF($AE96&gt;0,INDEX(BE$7:BE$106,$AE96),1),IF($AF96&gt;0,INDEX(BE$7:BE$106,$AF96),1),IF($AG96&gt;0,INDEX(BE$7:BE$106,$AG96),1),IF($AH96&gt;0,INDEX(BE$7:BE$106,$AH96),1),IF($AI96&gt;0,INDEX(BE$7:BE$106,$AI96),1),IF($AJ96&gt;0,INDEX(BE$7:BE$106,$AJ96),1))))</ns0:f>
        <ns0:v>1</ns0:v>
      </ns0:c>
      <ns0:c r="BG96" t="n">
        <ns0:f>IF($A96="",1,IF(BF96=1,1,--AND(IF($AC96&gt;0,INDEX(BF$7:BF$106,$AC96),1),IF($AD96&gt;0,INDEX(BF$7:BF$106,$AD96),1),IF($AE96&gt;0,INDEX(BF$7:BF$106,$AE96),1),IF($AF96&gt;0,INDEX(BF$7:BF$106,$AF96),1),IF($AG96&gt;0,INDEX(BF$7:BF$106,$AG96),1),IF($AH96&gt;0,INDEX(BF$7:BF$106,$AH96),1),IF($AI96&gt;0,INDEX(BF$7:BF$106,$AI96),1),IF($AJ96&gt;0,INDEX(BF$7:BF$106,$AJ96),1))))</ns0:f>
        <ns0:v>1</ns0:v>
      </ns0:c>
      <ns0:c r="BH96" t="n">
        <ns0:f>IF($A96="",1,IF(BG96=1,1,--AND(IF($AC96&gt;0,INDEX(BG$7:BG$106,$AC96),1),IF($AD96&gt;0,INDEX(BG$7:BG$106,$AD96),1),IF($AE96&gt;0,INDEX(BG$7:BG$106,$AE96),1),IF($AF96&gt;0,INDEX(BG$7:BG$106,$AF96),1),IF($AG96&gt;0,INDEX(BG$7:BG$106,$AG96),1),IF($AH96&gt;0,INDEX(BG$7:BG$106,$AH96),1),IF($AI96&gt;0,INDEX(BG$7:BG$106,$AI96),1),IF($AJ96&gt;0,INDEX(BG$7:BG$106,$AJ96),1))))</ns0:f>
        <ns0:v>1</ns0:v>
      </ns0:c>
      <ns0:c r="BI96" t="n">
        <ns0:f>IF($A96="",1,IF(BH96=1,1,--AND(IF($AC96&gt;0,INDEX(BH$7:BH$106,$AC96),1),IF($AD96&gt;0,INDEX(BH$7:BH$106,$AD96),1),IF($AE96&gt;0,INDEX(BH$7:BH$106,$AE96),1),IF($AF96&gt;0,INDEX(BH$7:BH$106,$AF96),1),IF($AG96&gt;0,INDEX(BH$7:BH$106,$AG96),1),IF($AH96&gt;0,INDEX(BH$7:BH$106,$AH96),1),IF($AI96&gt;0,INDEX(BH$7:BH$106,$AI96),1),IF($AJ96&gt;0,INDEX(BH$7:BH$106,$AJ96),1))))</ns0:f>
        <ns0:v>1</ns0:v>
      </ns0:c>
      <ns0:c r="BJ96" t="n">
        <ns0:f>IF($A96="",1,IF(BI96=1,1,--AND(IF($AC96&gt;0,INDEX(BI$7:BI$106,$AC96),1),IF($AD96&gt;0,INDEX(BI$7:BI$106,$AD96),1),IF($AE96&gt;0,INDEX(BI$7:BI$106,$AE96),1),IF($AF96&gt;0,INDEX(BI$7:BI$106,$AF96),1),IF($AG96&gt;0,INDEX(BI$7:BI$106,$AG96),1),IF($AH96&gt;0,INDEX(BI$7:BI$106,$AH96),1),IF($AI96&gt;0,INDEX(BI$7:BI$106,$AI96),1),IF($AJ96&gt;0,INDEX(BI$7:BI$106,$AJ96),1))))</ns0:f>
        <ns0:v>1</ns0:v>
      </ns0:c>
      <ns0:c r="BK96" t="n">
        <ns0:f>IF($A96="",1,IF(BJ96=1,1,--AND(IF($AC96&gt;0,INDEX(BJ$7:BJ$106,$AC96),1),IF($AD96&gt;0,INDEX(BJ$7:BJ$106,$AD96),1),IF($AE96&gt;0,INDEX(BJ$7:BJ$106,$AE96),1),IF($AF96&gt;0,INDEX(BJ$7:BJ$106,$AF96),1),IF($AG96&gt;0,INDEX(BJ$7:BJ$106,$AG96),1),IF($AH96&gt;0,INDEX(BJ$7:BJ$106,$AH96),1),IF($AI96&gt;0,INDEX(BJ$7:BJ$106,$AI96),1),IF($AJ96&gt;0,INDEX(BJ$7:BJ$106,$AJ96),1))))</ns0:f>
        <ns0:v>1</ns0:v>
      </ns0:c>
      <ns0:c r="BL96" t="n">
        <ns0:f>IF($A96="",1,IF(BK96=1,1,--AND(IF($AC96&gt;0,INDEX(BK$7:BK$106,$AC96),1),IF($AD96&gt;0,INDEX(BK$7:BK$106,$AD96),1),IF($AE96&gt;0,INDEX(BK$7:BK$106,$AE96),1),IF($AF96&gt;0,INDEX(BK$7:BK$106,$AF96),1),IF($AG96&gt;0,INDEX(BK$7:BK$106,$AG96),1),IF($AH96&gt;0,INDEX(BK$7:BK$106,$AH96),1),IF($AI96&gt;0,INDEX(BK$7:BK$106,$AI96),1),IF($AJ96&gt;0,INDEX(BK$7:BK$106,$AJ96),1))))</ns0:f>
        <ns0:v>1</ns0:v>
      </ns0:c>
      <ns0:c r="BM96" t="n">
        <ns0:f>IF($A96="",1,IF(BL96=1,1,--AND(IF($AC96&gt;0,INDEX(BL$7:BL$106,$AC96),1),IF($AD96&gt;0,INDEX(BL$7:BL$106,$AD96),1),IF($AE96&gt;0,INDEX(BL$7:BL$106,$AE96),1),IF($AF96&gt;0,INDEX(BL$7:BL$106,$AF96),1),IF($AG96&gt;0,INDEX(BL$7:BL$106,$AG96),1),IF($AH96&gt;0,INDEX(BL$7:BL$106,$AH96),1),IF($AI96&gt;0,INDEX(BL$7:BL$106,$AI96),1),IF($AJ96&gt;0,INDEX(BL$7:BL$106,$AJ96),1))))</ns0:f>
        <ns0:v>1</ns0:v>
      </ns0:c>
      <ns0:c r="BN96" t="n">
        <ns0:f>IF($A96="",1,IF(BM96=1,1,--AND(IF($AC96&gt;0,INDEX(BM$7:BM$106,$AC96),1),IF($AD96&gt;0,INDEX(BM$7:BM$106,$AD96),1),IF($AE96&gt;0,INDEX(BM$7:BM$106,$AE96),1),IF($AF96&gt;0,INDEX(BM$7:BM$106,$AF96),1),IF($AG96&gt;0,INDEX(BM$7:BM$106,$AG96),1),IF($AH96&gt;0,INDEX(BM$7:BM$106,$AH96),1),IF($AI96&gt;0,INDEX(BM$7:BM$106,$AI96),1),IF($AJ96&gt;0,INDEX(BM$7:BM$106,$AJ96),1))))</ns0:f>
        <ns0:v>1</ns0:v>
      </ns0:c>
      <ns0:c r="BO96" t="n">
        <ns0:f>IF($A96="",1,IF(BN96=1,1,--AND(IF($AC96&gt;0,INDEX(BN$7:BN$106,$AC96),1),IF($AD96&gt;0,INDEX(BN$7:BN$106,$AD96),1),IF($AE96&gt;0,INDEX(BN$7:BN$106,$AE96),1),IF($AF96&gt;0,INDEX(BN$7:BN$106,$AF96),1),IF($AG96&gt;0,INDEX(BN$7:BN$106,$AG96),1),IF($AH96&gt;0,INDEX(BN$7:BN$106,$AH96),1),IF($AI96&gt;0,INDEX(BN$7:BN$106,$AI96),1),IF($AJ96&gt;0,INDEX(BN$7:BN$106,$AJ96),1))))</ns0:f>
        <ns0:v>1</ns0:v>
      </ns0:c>
      <ns0:c r="BP96" t="n">
        <ns0:f>IF($A96="",1,IF(BO96=1,1,--AND(IF($AC96&gt;0,INDEX(BO$7:BO$106,$AC96),1),IF($AD96&gt;0,INDEX(BO$7:BO$106,$AD96),1),IF($AE96&gt;0,INDEX(BO$7:BO$106,$AE96),1),IF($AF96&gt;0,INDEX(BO$7:BO$106,$AF96),1),IF($AG96&gt;0,INDEX(BO$7:BO$106,$AG96),1),IF($AH96&gt;0,INDEX(BO$7:BO$106,$AH96),1),IF($AI96&gt;0,INDEX(BO$7:BO$106,$AI96),1),IF($AJ96&gt;0,INDEX(BO$7:BO$106,$AJ96),1))))</ns0:f>
        <ns0:v>1</ns0:v>
      </ns0:c>
      <ns0:c r="BQ96" t="n">
        <ns0:f>IF($A96="",1,IF(BP96=1,1,--AND(IF($AC96&gt;0,INDEX(BP$7:BP$106,$AC96),1),IF($AD96&gt;0,INDEX(BP$7:BP$106,$AD96),1),IF($AE96&gt;0,INDEX(BP$7:BP$106,$AE96),1),IF($AF96&gt;0,INDEX(BP$7:BP$106,$AF96),1),IF($AG96&gt;0,INDEX(BP$7:BP$106,$AG96),1),IF($AH96&gt;0,INDEX(BP$7:BP$106,$AH96),1),IF($AI96&gt;0,INDEX(BP$7:BP$106,$AI96),1),IF($AJ96&gt;0,INDEX(BP$7:BP$106,$AJ96),1))))</ns0:f>
        <ns0:v>1</ns0:v>
      </ns0:c>
      <ns0:c r="BR96" t="n">
        <ns0:f>IF($A96="",1,IF(BQ96=1,1,--AND(IF($AC96&gt;0,INDEX(BQ$7:BQ$106,$AC96),1),IF($AD96&gt;0,INDEX(BQ$7:BQ$106,$AD96),1),IF($AE96&gt;0,INDEX(BQ$7:BQ$106,$AE96),1),IF($AF96&gt;0,INDEX(BQ$7:BQ$106,$AF96),1),IF($AG96&gt;0,INDEX(BQ$7:BQ$106,$AG96),1),IF($AH96&gt;0,INDEX(BQ$7:BQ$106,$AH96),1),IF($AI96&gt;0,INDEX(BQ$7:BQ$106,$AI96),1),IF($AJ96&gt;0,INDEX(BQ$7:BQ$106,$AJ96),1))))</ns0:f>
        <ns0:v>1</ns0:v>
      </ns0:c>
      <ns0:c r="BS96" t="n">
        <ns0:f>IF($A96="",1,IF(BR96=1,1,--AND(IF($AC96&gt;0,INDEX(BR$7:BR$106,$AC96),1),IF($AD96&gt;0,INDEX(BR$7:BR$106,$AD96),1),IF($AE96&gt;0,INDEX(BR$7:BR$106,$AE96),1),IF($AF96&gt;0,INDEX(BR$7:BR$106,$AF96),1),IF($AG96&gt;0,INDEX(BR$7:BR$106,$AG96),1),IF($AH96&gt;0,INDEX(BR$7:BR$106,$AH96),1),IF($AI96&gt;0,INDEX(BR$7:BR$106,$AI96),1),IF($AJ96&gt;0,INDEX(BR$7:BR$106,$AJ96),1))))</ns0:f>
        <ns0:v>1</ns0:v>
      </ns0:c>
      <ns0:c r="BT96" t="n">
        <ns0:f>IF($A96="",1,IF(BS96=1,1,--AND(IF($AC96&gt;0,INDEX(BS$7:BS$106,$AC96),1),IF($AD96&gt;0,INDEX(BS$7:BS$106,$AD96),1),IF($AE96&gt;0,INDEX(BS$7:BS$106,$AE96),1),IF($AF96&gt;0,INDEX(BS$7:BS$106,$AF96),1),IF($AG96&gt;0,INDEX(BS$7:BS$106,$AG96),1),IF($AH96&gt;0,INDEX(BS$7:BS$106,$AH96),1),IF($AI96&gt;0,INDEX(BS$7:BS$106,$AI96),1),IF($AJ96&gt;0,INDEX(BS$7:BS$106,$AJ96),1))))</ns0:f>
        <ns0:v>1</ns0:v>
      </ns0:c>
      <ns0:c r="BU96" t="n">
        <ns0:f>IF($A96="",1,IF(BT96=1,1,--AND(IF($AC96&gt;0,INDEX(BT$7:BT$106,$AC96),1),IF($AD96&gt;0,INDEX(BT$7:BT$106,$AD96),1),IF($AE96&gt;0,INDEX(BT$7:BT$106,$AE96),1),IF($AF96&gt;0,INDEX(BT$7:BT$106,$AF96),1),IF($AG96&gt;0,INDEX(BT$7:BT$106,$AG96),1),IF($AH96&gt;0,INDEX(BT$7:BT$106,$AH96),1),IF($AI96&gt;0,INDEX(BT$7:BT$106,$AI96),1),IF($AJ96&gt;0,INDEX(BT$7:BT$106,$AJ96),1))))</ns0:f>
        <ns0:v>1</ns0:v>
      </ns0:c>
      <ns0:c r="BV96" t="n">
        <ns0:f>IF($A96="",1,IF(BU96=1,1,--AND(IF($AC96&gt;0,INDEX(BU$7:BU$106,$AC96),1),IF($AD96&gt;0,INDEX(BU$7:BU$106,$AD96),1),IF($AE96&gt;0,INDEX(BU$7:BU$106,$AE96),1),IF($AF96&gt;0,INDEX(BU$7:BU$106,$AF96),1),IF($AG96&gt;0,INDEX(BU$7:BU$106,$AG96),1),IF($AH96&gt;0,INDEX(BU$7:BU$106,$AH96),1),IF($AI96&gt;0,INDEX(BU$7:BU$106,$AI96),1),IF($AJ96&gt;0,INDEX(BU$7:BU$106,$AJ96),1))))</ns0:f>
        <ns0:v>1</ns0:v>
      </ns0:c>
      <ns0:c r="BW96" t="n">
        <ns0:f>IF($A96="",1,IF(BV96=1,1,--AND(IF($AC96&gt;0,INDEX(BV$7:BV$106,$AC96),1),IF($AD96&gt;0,INDEX(BV$7:BV$106,$AD96),1),IF($AE96&gt;0,INDEX(BV$7:BV$106,$AE96),1),IF($AF96&gt;0,INDEX(BV$7:BV$106,$AF96),1),IF($AG96&gt;0,INDEX(BV$7:BV$106,$AG96),1),IF($AH96&gt;0,INDEX(BV$7:BV$106,$AH96),1),IF($AI96&gt;0,INDEX(BV$7:BV$106,$AI96),1),IF($AJ96&gt;0,INDEX(BV$7:BV$106,$AJ96),1))))</ns0:f>
        <ns0:v>1</ns0:v>
      </ns0:c>
      <ns0:c r="BX96" t="n">
        <ns0:f>IF($A96="",1,IF(BW96=1,1,--AND(IF($AC96&gt;0,INDEX(BW$7:BW$106,$AC96),1),IF($AD96&gt;0,INDEX(BW$7:BW$106,$AD96),1),IF($AE96&gt;0,INDEX(BW$7:BW$106,$AE96),1),IF($AF96&gt;0,INDEX(BW$7:BW$106,$AF96),1),IF($AG96&gt;0,INDEX(BW$7:BW$106,$AG96),1),IF($AH96&gt;0,INDEX(BW$7:BW$106,$AH96),1),IF($AI96&gt;0,INDEX(BW$7:BW$106,$AI96),1),IF($AJ96&gt;0,INDEX(BW$7:BW$106,$AJ96),1))))</ns0:f>
        <ns0:v>1</ns0:v>
      </ns0:c>
      <ns0:c r="BY96" t="n">
        <ns0:f>IF($A96="",1,IF(BX96=1,1,--AND(IF($AC96&gt;0,INDEX(BX$7:BX$106,$AC96),1),IF($AD96&gt;0,INDEX(BX$7:BX$106,$AD96),1),IF($AE96&gt;0,INDEX(BX$7:BX$106,$AE96),1),IF($AF96&gt;0,INDEX(BX$7:BX$106,$AF96),1),IF($AG96&gt;0,INDEX(BX$7:BX$106,$AG96),1),IF($AH96&gt;0,INDEX(BX$7:BX$106,$AH96),1),IF($AI96&gt;0,INDEX(BX$7:BX$106,$AI96),1),IF($AJ96&gt;0,INDEX(BX$7:BX$106,$AJ96),1))))</ns0:f>
        <ns0:v>1</ns0:v>
      </ns0:c>
      <ns0:c r="BZ96" t="n">
        <ns0:f>IF($A96="",1,IF(BY96=1,1,--AND(IF($AC96&gt;0,INDEX(BY$7:BY$106,$AC96),1),IF($AD96&gt;0,INDEX(BY$7:BY$106,$AD96),1),IF($AE96&gt;0,INDEX(BY$7:BY$106,$AE96),1),IF($AF96&gt;0,INDEX(BY$7:BY$106,$AF96),1),IF($AG96&gt;0,INDEX(BY$7:BY$106,$AG96),1),IF($AH96&gt;0,INDEX(BY$7:BY$106,$AH96),1),IF($AI96&gt;0,INDEX(BY$7:BY$106,$AI96),1),IF($AJ96&gt;0,INDEX(BY$7:BY$106,$AJ96),1))))</ns0:f>
        <ns0:v>1</ns0:v>
      </ns0:c>
      <ns0:c r="CA96" t="n">
        <ns0:f>IF($A96="",1,IF(BZ96=1,1,--AND(IF($AC96&gt;0,INDEX(BZ$7:BZ$106,$AC96),1),IF($AD96&gt;0,INDEX(BZ$7:BZ$106,$AD96),1),IF($AE96&gt;0,INDEX(BZ$7:BZ$106,$AE96),1),IF($AF96&gt;0,INDEX(BZ$7:BZ$106,$AF96),1),IF($AG96&gt;0,INDEX(BZ$7:BZ$106,$AG96),1),IF($AH96&gt;0,INDEX(BZ$7:BZ$106,$AH96),1),IF($AI96&gt;0,INDEX(BZ$7:BZ$106,$AI96),1),IF($AJ96&gt;0,INDEX(BZ$7:BZ$106,$AJ96),1))))</ns0:f>
        <ns0:v>1</ns0:v>
      </ns0:c>
      <ns0:c r="CB96" t="n">
        <ns0:f>IF($A96="",1,IF(CA96=1,1,--AND(IF($AC96&gt;0,INDEX(CA$7:CA$106,$AC96),1),IF($AD96&gt;0,INDEX(CA$7:CA$106,$AD96),1),IF($AE96&gt;0,INDEX(CA$7:CA$106,$AE96),1),IF($AF96&gt;0,INDEX(CA$7:CA$106,$AF96),1),IF($AG96&gt;0,INDEX(CA$7:CA$106,$AG96),1),IF($AH96&gt;0,INDEX(CA$7:CA$106,$AH96),1),IF($AI96&gt;0,INDEX(CA$7:CA$106,$AI96),1),IF($AJ96&gt;0,INDEX(CA$7:CA$106,$AJ96),1))))</ns0:f>
        <ns0:v>1</ns0:v>
      </ns0:c>
      <ns0:c r="CC96" t="n">
        <ns0:f>IF($A96="",1,IF(CB96=1,1,--AND(IF($AC96&gt;0,INDEX(CB$7:CB$106,$AC96),1),IF($AD96&gt;0,INDEX(CB$7:CB$106,$AD96),1),IF($AE96&gt;0,INDEX(CB$7:CB$106,$AE96),1),IF($AF96&gt;0,INDEX(CB$7:CB$106,$AF96),1),IF($AG96&gt;0,INDEX(CB$7:CB$106,$AG96),1),IF($AH96&gt;0,INDEX(CB$7:CB$106,$AH96),1),IF($AI96&gt;0,INDEX(CB$7:CB$106,$AI96),1),IF($AJ96&gt;0,INDEX(CB$7:CB$106,$AJ96),1))))</ns0:f>
        <ns0:v>1</ns0:v>
      </ns0:c>
      <ns0:c r="CD96" t="n">
        <ns0:f>IF($A96="",1,IF(CC96=1,1,--AND(IF($AC96&gt;0,INDEX(CC$7:CC$106,$AC96),1),IF($AD96&gt;0,INDEX(CC$7:CC$106,$AD96),1),IF($AE96&gt;0,INDEX(CC$7:CC$106,$AE96),1),IF($AF96&gt;0,INDEX(CC$7:CC$106,$AF96),1),IF($AG96&gt;0,INDEX(CC$7:CC$106,$AG96),1),IF($AH96&gt;0,INDEX(CC$7:CC$106,$AH96),1),IF($AI96&gt;0,INDEX(CC$7:CC$106,$AI96),1),IF($AJ96&gt;0,INDEX(CC$7:CC$106,$AJ96),1))))</ns0:f>
        <ns0:v>1</ns0:v>
      </ns0:c>
      <ns0:c r="CE96" t="n">
        <ns0:f>IF($A96="",1,IF(CD96=1,1,--AND(IF($AC96&gt;0,INDEX(CD$7:CD$106,$AC96),1),IF($AD96&gt;0,INDEX(CD$7:CD$106,$AD96),1),IF($AE96&gt;0,INDEX(CD$7:CD$106,$AE96),1),IF($AF96&gt;0,INDEX(CD$7:CD$106,$AF96),1),IF($AG96&gt;0,INDEX(CD$7:CD$106,$AG96),1),IF($AH96&gt;0,INDEX(CD$7:CD$106,$AH96),1),IF($AI96&gt;0,INDEX(CD$7:CD$106,$AI96),1),IF($AJ96&gt;0,INDEX(CD$7:CD$106,$AJ96),1))))</ns0:f>
        <ns0:v>1</ns0:v>
      </ns0:c>
      <ns0:c r="CF96" t="n">
        <ns0:f>IF($A96="",1,IF(CE96=1,1,--AND(IF($AC96&gt;0,INDEX(CE$7:CE$106,$AC96),1),IF($AD96&gt;0,INDEX(CE$7:CE$106,$AD96),1),IF($AE96&gt;0,INDEX(CE$7:CE$106,$AE96),1),IF($AF96&gt;0,INDEX(CE$7:CE$106,$AF96),1),IF($AG96&gt;0,INDEX(CE$7:CE$106,$AG96),1),IF($AH96&gt;0,INDEX(CE$7:CE$106,$AH96),1),IF($AI96&gt;0,INDEX(CE$7:CE$106,$AI96),1),IF($AJ96&gt;0,INDEX(CE$7:CE$106,$AJ96),1))))</ns0:f>
        <ns0:v>1</ns0:v>
      </ns0:c>
      <ns0:c r="CG96" t="n">
        <ns0:f>IF($A96="",1,IF(CF96=1,1,--AND(IF($AC96&gt;0,INDEX(CF$7:CF$106,$AC96),1),IF($AD96&gt;0,INDEX(CF$7:CF$106,$AD96),1),IF($AE96&gt;0,INDEX(CF$7:CF$106,$AE96),1),IF($AF96&gt;0,INDEX(CF$7:CF$106,$AF96),1),IF($AG96&gt;0,INDEX(CF$7:CF$106,$AG96),1),IF($AH96&gt;0,INDEX(CF$7:CF$106,$AH96),1),IF($AI96&gt;0,INDEX(CF$7:CF$106,$AI96),1),IF($AJ96&gt;0,INDEX(CF$7:CF$106,$AJ96),1))))</ns0:f>
        <ns0:v>1</ns0:v>
      </ns0:c>
      <ns0:c r="CH96" t="n">
        <ns0:f>IF($A96="",1,IF(CG96=1,1,--AND(IF($AC96&gt;0,INDEX(CG$7:CG$106,$AC96),1),IF($AD96&gt;0,INDEX(CG$7:CG$106,$AD96),1),IF($AE96&gt;0,INDEX(CG$7:CG$106,$AE96),1),IF($AF96&gt;0,INDEX(CG$7:CG$106,$AF96),1),IF($AG96&gt;0,INDEX(CG$7:CG$106,$AG96),1),IF($AH96&gt;0,INDEX(CG$7:CG$106,$AH96),1),IF($AI96&gt;0,INDEX(CG$7:CG$106,$AI96),1),IF($AJ96&gt;0,INDEX(CG$7:CG$106,$AJ96),1))))</ns0:f>
        <ns0:v>1</ns0:v>
      </ns0:c>
      <ns0:c r="CI96" t="n">
        <ns0:f>IF($A96="",1,IF(CH96=1,1,--AND(IF($AC96&gt;0,INDEX(CH$7:CH$106,$AC96),1),IF($AD96&gt;0,INDEX(CH$7:CH$106,$AD96),1),IF($AE96&gt;0,INDEX(CH$7:CH$106,$AE96),1),IF($AF96&gt;0,INDEX(CH$7:CH$106,$AF96),1),IF($AG96&gt;0,INDEX(CH$7:CH$106,$AG96),1),IF($AH96&gt;0,INDEX(CH$7:CH$106,$AH96),1),IF($AI96&gt;0,INDEX(CH$7:CH$106,$AI96),1),IF($AJ96&gt;0,INDEX(CH$7:CH$106,$AJ96),1))))</ns0:f>
        <ns0:v>1</ns0:v>
      </ns0:c>
      <ns0:c r="CJ96" t="n">
        <ns0:f>IF($A96="",1,IF(CI96=1,1,--AND(IF($AC96&gt;0,INDEX(CI$7:CI$106,$AC96),1),IF($AD96&gt;0,INDEX(CI$7:CI$106,$AD96),1),IF($AE96&gt;0,INDEX(CI$7:CI$106,$AE96),1),IF($AF96&gt;0,INDEX(CI$7:CI$106,$AF96),1),IF($AG96&gt;0,INDEX(CI$7:CI$106,$AG96),1),IF($AH96&gt;0,INDEX(CI$7:CI$106,$AH96),1),IF($AI96&gt;0,INDEX(CI$7:CI$106,$AI96),1),IF($AJ96&gt;0,INDEX(CI$7:CI$106,$AJ96),1))))</ns0:f>
        <ns0:v>1</ns0:v>
      </ns0:c>
      <ns0:c r="CK96" t="n">
        <ns0:f>IF($A96="",1,IF(CJ96=1,1,--AND(IF($AC96&gt;0,INDEX(CJ$7:CJ$106,$AC96),1),IF($AD96&gt;0,INDEX(CJ$7:CJ$106,$AD96),1),IF($AE96&gt;0,INDEX(CJ$7:CJ$106,$AE96),1),IF($AF96&gt;0,INDEX(CJ$7:CJ$106,$AF96),1),IF($AG96&gt;0,INDEX(CJ$7:CJ$106,$AG96),1),IF($AH96&gt;0,INDEX(CJ$7:CJ$106,$AH96),1),IF($AI96&gt;0,INDEX(CJ$7:CJ$106,$AI96),1),IF($AJ96&gt;0,INDEX(CJ$7:CJ$106,$AJ96),1))))</ns0:f>
        <ns0:v>1</ns0:v>
      </ns0:c>
      <ns0:c r="CL96" t="n">
        <ns0:f>IF($A96="",1,IF(CK96=1,1,--AND(IF($AC96&gt;0,INDEX(CK$7:CK$106,$AC96),1),IF($AD96&gt;0,INDEX(CK$7:CK$106,$AD96),1),IF($AE96&gt;0,INDEX(CK$7:CK$106,$AE96),1),IF($AF96&gt;0,INDEX(CK$7:CK$106,$AF96),1),IF($AG96&gt;0,INDEX(CK$7:CK$106,$AG96),1),IF($AH96&gt;0,INDEX(CK$7:CK$106,$AH96),1),IF($AI96&gt;0,INDEX(CK$7:CK$106,$AI96),1),IF($AJ96&gt;0,INDEX(CK$7:CK$106,$AJ96),1))))</ns0:f>
        <ns0:v>1</ns0:v>
      </ns0:c>
      <ns0:c r="CM96" t="n">
        <ns0:f>IF($A96="",1,IF(CL96=1,1,--AND(IF($AC96&gt;0,INDEX(CL$7:CL$106,$AC96),1),IF($AD96&gt;0,INDEX(CL$7:CL$106,$AD96),1),IF($AE96&gt;0,INDEX(CL$7:CL$106,$AE96),1),IF($AF96&gt;0,INDEX(CL$7:CL$106,$AF96),1),IF($AG96&gt;0,INDEX(CL$7:CL$106,$AG96),1),IF($AH96&gt;0,INDEX(CL$7:CL$106,$AH96),1),IF($AI96&gt;0,INDEX(CL$7:CL$106,$AI96),1),IF($AJ96&gt;0,INDEX(CL$7:CL$106,$AJ96),1))))</ns0:f>
        <ns0:v>1</ns0:v>
      </ns0:c>
      <ns0:c r="CN96" t="n">
        <ns0:f>IF($A96="",1,IF(CM96=1,1,--AND(IF($AC96&gt;0,INDEX(CM$7:CM$106,$AC96),1),IF($AD96&gt;0,INDEX(CM$7:CM$106,$AD96),1),IF($AE96&gt;0,INDEX(CM$7:CM$106,$AE96),1),IF($AF96&gt;0,INDEX(CM$7:CM$106,$AF96),1),IF($AG96&gt;0,INDEX(CM$7:CM$106,$AG96),1),IF($AH96&gt;0,INDEX(CM$7:CM$106,$AH96),1),IF($AI96&gt;0,INDEX(CM$7:CM$106,$AI96),1),IF($AJ96&gt;0,INDEX(CM$7:CM$106,$AJ96),1))))</ns0:f>
        <ns0:v>1</ns0:v>
      </ns0:c>
      <ns0:c r="CO96" t="n">
        <ns0:f>IF($A96="",1,IF(CN96=1,1,--AND(IF($AC96&gt;0,INDEX(CN$7:CN$106,$AC96),1),IF($AD96&gt;0,INDEX(CN$7:CN$106,$AD96),1),IF($AE96&gt;0,INDEX(CN$7:CN$106,$AE96),1),IF($AF96&gt;0,INDEX(CN$7:CN$106,$AF96),1),IF($AG96&gt;0,INDEX(CN$7:CN$106,$AG96),1),IF($AH96&gt;0,INDEX(CN$7:CN$106,$AH96),1),IF($AI96&gt;0,INDEX(CN$7:CN$106,$AI96),1),IF($AJ96&gt;0,INDEX(CN$7:CN$106,$AJ96),1))))</ns0:f>
        <ns0:v>1</ns0:v>
      </ns0:c>
      <ns0:c r="CP96" t="n">
        <ns0:f>IF($A96="",1,IF(CO96=1,1,--AND(IF($AC96&gt;0,INDEX(CO$7:CO$106,$AC96),1),IF($AD96&gt;0,INDEX(CO$7:CO$106,$AD96),1),IF($AE96&gt;0,INDEX(CO$7:CO$106,$AE96),1),IF($AF96&gt;0,INDEX(CO$7:CO$106,$AF96),1),IF($AG96&gt;0,INDEX(CO$7:CO$106,$AG96),1),IF($AH96&gt;0,INDEX(CO$7:CO$106,$AH96),1),IF($AI96&gt;0,INDEX(CO$7:CO$106,$AI96),1),IF($AJ96&gt;0,INDEX(CO$7:CO$106,$AJ96),1))))</ns0:f>
        <ns0:v>1</ns0:v>
      </ns0:c>
      <ns0:c r="CQ96" t="n">
        <ns0:f>IF($A96="",1,IF(CP96=1,1,--AND(IF($AC96&gt;0,INDEX(CP$7:CP$106,$AC96),1),IF($AD96&gt;0,INDEX(CP$7:CP$106,$AD96),1),IF($AE96&gt;0,INDEX(CP$7:CP$106,$AE96),1),IF($AF96&gt;0,INDEX(CP$7:CP$106,$AF96),1),IF($AG96&gt;0,INDEX(CP$7:CP$106,$AG96),1),IF($AH96&gt;0,INDEX(CP$7:CP$106,$AH96),1),IF($AI96&gt;0,INDEX(CP$7:CP$106,$AI96),1),IF($AJ96&gt;0,INDEX(CP$7:CP$106,$AJ96),1))))</ns0:f>
        <ns0:v>1</ns0:v>
      </ns0:c>
      <ns0:c r="CR96" t="n">
        <ns0:f>IF($A96="",1,IF(CQ96=1,1,--AND(IF($AC96&gt;0,INDEX(CQ$7:CQ$106,$AC96),1),IF($AD96&gt;0,INDEX(CQ$7:CQ$106,$AD96),1),IF($AE96&gt;0,INDEX(CQ$7:CQ$106,$AE96),1),IF($AF96&gt;0,INDEX(CQ$7:CQ$106,$AF96),1),IF($AG96&gt;0,INDEX(CQ$7:CQ$106,$AG96),1),IF($AH96&gt;0,INDEX(CQ$7:CQ$106,$AH96),1),IF($AI96&gt;0,INDEX(CQ$7:CQ$106,$AI96),1),IF($AJ96&gt;0,INDEX(CQ$7:CQ$106,$AJ96),1))))</ns0:f>
        <ns0:v>1</ns0:v>
      </ns0:c>
      <ns0:c r="CS96" t="n">
        <ns0:f>IF($A96="",1,IF(CR96=1,1,--AND(IF($AC96&gt;0,INDEX(CR$7:CR$106,$AC96),1),IF($AD96&gt;0,INDEX(CR$7:CR$106,$AD96),1),IF($AE96&gt;0,INDEX(CR$7:CR$106,$AE96),1),IF($AF96&gt;0,INDEX(CR$7:CR$106,$AF96),1),IF($AG96&gt;0,INDEX(CR$7:CR$106,$AG96),1),IF($AH96&gt;0,INDEX(CR$7:CR$106,$AH96),1),IF($AI96&gt;0,INDEX(CR$7:CR$106,$AI96),1),IF($AJ96&gt;0,INDEX(CR$7:CR$106,$AJ96),1))))</ns0:f>
        <ns0:v>1</ns0:v>
      </ns0:c>
      <ns0:c r="CT96" t="n">
        <ns0:f>IF($A96="",1,IF(CS96=1,1,--AND(IF($AC96&gt;0,INDEX(CS$7:CS$106,$AC96),1),IF($AD96&gt;0,INDEX(CS$7:CS$106,$AD96),1),IF($AE96&gt;0,INDEX(CS$7:CS$106,$AE96),1),IF($AF96&gt;0,INDEX(CS$7:CS$106,$AF96),1),IF($AG96&gt;0,INDEX(CS$7:CS$106,$AG96),1),IF($AH96&gt;0,INDEX(CS$7:CS$106,$AH96),1),IF($AI96&gt;0,INDEX(CS$7:CS$106,$AI96),1),IF($AJ96&gt;0,INDEX(CS$7:CS$106,$AJ96),1))))</ns0:f>
        <ns0:v>1</ns0:v>
      </ns0:c>
      <ns0:c r="CU96" t="n">
        <ns0:f>IF($A96="",1,IF(CT96=1,1,--AND(IF($AC96&gt;0,INDEX(CT$7:CT$106,$AC96),1),IF($AD96&gt;0,INDEX(CT$7:CT$106,$AD96),1),IF($AE96&gt;0,INDEX(CT$7:CT$106,$AE96),1),IF($AF96&gt;0,INDEX(CT$7:CT$106,$AF96),1),IF($AG96&gt;0,INDEX(CT$7:CT$106,$AG96),1),IF($AH96&gt;0,INDEX(CT$7:CT$106,$AH96),1),IF($AI96&gt;0,INDEX(CT$7:CT$106,$AI96),1),IF($AJ96&gt;0,INDEX(CT$7:CT$106,$AJ96),1))))</ns0:f>
        <ns0:v>1</ns0:v>
      </ns0:c>
      <ns0:c r="CV96" t="n">
        <ns0:f>IF($A96="",1,IF(CU96=1,1,--AND(IF($AC96&gt;0,INDEX(CU$7:CU$106,$AC96),1),IF($AD96&gt;0,INDEX(CU$7:CU$106,$AD96),1),IF($AE96&gt;0,INDEX(CU$7:CU$106,$AE96),1),IF($AF96&gt;0,INDEX(CU$7:CU$106,$AF96),1),IF($AG96&gt;0,INDEX(CU$7:CU$106,$AG96),1),IF($AH96&gt;0,INDEX(CU$7:CU$106,$AH96),1),IF($AI96&gt;0,INDEX(CU$7:CU$106,$AI96),1),IF($AJ96&gt;0,INDEX(CU$7:CU$106,$AJ96),1))))</ns0:f>
        <ns0:v>1</ns0:v>
      </ns0:c>
      <ns0:c r="CW96" t="n">
        <ns0:f>IF($A96="",1,IF(CV96=1,1,--AND(IF($AC96&gt;0,INDEX(CV$7:CV$106,$AC96),1),IF($AD96&gt;0,INDEX(CV$7:CV$106,$AD96),1),IF($AE96&gt;0,INDEX(CV$7:CV$106,$AE96),1),IF($AF96&gt;0,INDEX(CV$7:CV$106,$AF96),1),IF($AG96&gt;0,INDEX(CV$7:CV$106,$AG96),1),IF($AH96&gt;0,INDEX(CV$7:CV$106,$AH96),1),IF($AI96&gt;0,INDEX(CV$7:CV$106,$AI96),1),IF($AJ96&gt;0,INDEX(CV$7:CV$106,$AJ96),1))))</ns0:f>
        <ns0:v>1</ns0:v>
      </ns0:c>
      <ns0:c r="CX96" t="n">
        <ns0:f>IF($A96="",1,IF(CW96=1,1,--AND(IF($AC96&gt;0,INDEX(CW$7:CW$106,$AC96),1),IF($AD96&gt;0,INDEX(CW$7:CW$106,$AD96),1),IF($AE96&gt;0,INDEX(CW$7:CW$106,$AE96),1),IF($AF96&gt;0,INDEX(CW$7:CW$106,$AF96),1),IF($AG96&gt;0,INDEX(CW$7:CW$106,$AG96),1),IF($AH96&gt;0,INDEX(CW$7:CW$106,$AH96),1),IF($AI96&gt;0,INDEX(CW$7:CW$106,$AI96),1),IF($AJ96&gt;0,INDEX(CW$7:CW$106,$AJ96),1))))</ns0:f>
        <ns0:v>1</ns0:v>
      </ns0:c>
      <ns0:c r="CY96" t="n">
        <ns0:f>IF($A96="",1,IF(CX96=1,1,--AND(IF($AC96&gt;0,INDEX(CX$7:CX$106,$AC96),1),IF($AD96&gt;0,INDEX(CX$7:CX$106,$AD96),1),IF($AE96&gt;0,INDEX(CX$7:CX$106,$AE96),1),IF($AF96&gt;0,INDEX(CX$7:CX$106,$AF96),1),IF($AG96&gt;0,INDEX(CX$7:CX$106,$AG96),1),IF($AH96&gt;0,INDEX(CX$7:CX$106,$AH96),1),IF($AI96&gt;0,INDEX(CX$7:CX$106,$AI96),1),IF($AJ96&gt;0,INDEX(CX$7:CX$106,$AJ96),1))))</ns0:f>
        <ns0:v>1</ns0:v>
      </ns0:c>
      <ns0:c r="CZ96" t="n">
        <ns0:f>IF($A96="",1,IF(CY96=1,1,--AND(IF($AC96&gt;0,INDEX(CY$7:CY$106,$AC96),1),IF($AD96&gt;0,INDEX(CY$7:CY$106,$AD96),1),IF($AE96&gt;0,INDEX(CY$7:CY$106,$AE96),1),IF($AF96&gt;0,INDEX(CY$7:CY$106,$AF96),1),IF($AG96&gt;0,INDEX(CY$7:CY$106,$AG96),1),IF($AH96&gt;0,INDEX(CY$7:CY$106,$AH96),1),IF($AI96&gt;0,INDEX(CY$7:CY$106,$AI96),1),IF($AJ96&gt;0,INDEX(CY$7:CY$106,$AJ96),1))))</ns0:f>
        <ns0:v>1</ns0:v>
      </ns0:c>
      <ns0:c r="DA96" t="n">
        <ns0:f>IF($A96="",1,IF(CZ96=1,1,--AND(IF($AC96&gt;0,INDEX(CZ$7:CZ$106,$AC96),1),IF($AD96&gt;0,INDEX(CZ$7:CZ$106,$AD96),1),IF($AE96&gt;0,INDEX(CZ$7:CZ$106,$AE96),1),IF($AF96&gt;0,INDEX(CZ$7:CZ$106,$AF96),1),IF($AG96&gt;0,INDEX(CZ$7:CZ$106,$AG96),1),IF($AH96&gt;0,INDEX(CZ$7:CZ$106,$AH96),1),IF($AI96&gt;0,INDEX(CZ$7:CZ$106,$AI96),1),IF($AJ96&gt;0,INDEX(CZ$7:CZ$106,$AJ96),1))))</ns0:f>
        <ns0:v>1</ns0:v>
      </ns0:c>
      <ns0:c r="DB96" t="n">
        <ns0:f>IF($A96="",1,IF(DA96=1,1,--AND(IF($AC96&gt;0,INDEX(DA$7:DA$106,$AC96),1),IF($AD96&gt;0,INDEX(DA$7:DA$106,$AD96),1),IF($AE96&gt;0,INDEX(DA$7:DA$106,$AE96),1),IF($AF96&gt;0,INDEX(DA$7:DA$106,$AF96),1),IF($AG96&gt;0,INDEX(DA$7:DA$106,$AG96),1),IF($AH96&gt;0,INDEX(DA$7:DA$106,$AH96),1),IF($AI96&gt;0,INDEX(DA$7:DA$106,$AI96),1),IF($AJ96&gt;0,INDEX(DA$7:DA$106,$AJ96),1))))</ns0:f>
        <ns0:v>1</ns0:v>
      </ns0:c>
      <ns0:c r="DC96" t="n">
        <ns0:f>IF($A96="",1,IF(DB96=1,1,--AND(IF($AC96&gt;0,INDEX(DB$7:DB$106,$AC96),1),IF($AD96&gt;0,INDEX(DB$7:DB$106,$AD96),1),IF($AE96&gt;0,INDEX(DB$7:DB$106,$AE96),1),IF($AF96&gt;0,INDEX(DB$7:DB$106,$AF96),1),IF($AG96&gt;0,INDEX(DB$7:DB$106,$AG96),1),IF($AH96&gt;0,INDEX(DB$7:DB$106,$AH96),1),IF($AI96&gt;0,INDEX(DB$7:DB$106,$AI96),1),IF($AJ96&gt;0,INDEX(DB$7:DB$106,$AJ96),1))))</ns0:f>
        <ns0:v>1</ns0:v>
      </ns0:c>
      <ns0:c r="DD96" t="n">
        <ns0:f>IF($A96="",1,IF(DC96=1,1,--AND(IF($AC96&gt;0,INDEX(DC$7:DC$106,$AC96),1),IF($AD96&gt;0,INDEX(DC$7:DC$106,$AD96),1),IF($AE96&gt;0,INDEX(DC$7:DC$106,$AE96),1),IF($AF96&gt;0,INDEX(DC$7:DC$106,$AF96),1),IF($AG96&gt;0,INDEX(DC$7:DC$106,$AG96),1),IF($AH96&gt;0,INDEX(DC$7:DC$106,$AH96),1),IF($AI96&gt;0,INDEX(DC$7:DC$106,$AI96),1),IF($AJ96&gt;0,INDEX(DC$7:DC$106,$AJ96),1))))</ns0:f>
        <ns0:v>1</ns0:v>
      </ns0:c>
      <ns0:c r="DE96" t="n">
        <ns0:f>IF($A96="",1,IF(DD96=1,1,--AND(IF($AC96&gt;0,INDEX(DD$7:DD$106,$AC96),1),IF($AD96&gt;0,INDEX(DD$7:DD$106,$AD96),1),IF($AE96&gt;0,INDEX(DD$7:DD$106,$AE96),1),IF($AF96&gt;0,INDEX(DD$7:DD$106,$AF96),1),IF($AG96&gt;0,INDEX(DD$7:DD$106,$AG96),1),IF($AH96&gt;0,INDEX(DD$7:DD$106,$AH96),1),IF($AI96&gt;0,INDEX(DD$7:DD$106,$AI96),1),IF($AJ96&gt;0,INDEX(DD$7:DD$106,$AJ96),1))))</ns0:f>
        <ns0:v>1</ns0:v>
      </ns0:c>
      <ns0:c r="DF96" t="n">
        <ns0:f>IF($A96="",1,IF(DE96=1,1,--AND(IF($AC96&gt;0,INDEX(DE$7:DE$106,$AC96),1),IF($AD96&gt;0,INDEX(DE$7:DE$106,$AD96),1),IF($AE96&gt;0,INDEX(DE$7:DE$106,$AE96),1),IF($AF96&gt;0,INDEX(DE$7:DE$106,$AF96),1),IF($AG96&gt;0,INDEX(DE$7:DE$106,$AG96),1),IF($AH96&gt;0,INDEX(DE$7:DE$106,$AH96),1),IF($AI96&gt;0,INDEX(DE$7:DE$106,$AI96),1),IF($AJ96&gt;0,INDEX(DE$7:DE$106,$AJ96),1))))</ns0:f>
        <ns0:v>1</ns0:v>
      </ns0:c>
      <ns0:c r="DG96" t="n">
        <ns0:f>IF($A96="",1,IF(DF96=1,1,--AND(IF($AC96&gt;0,INDEX(DF$7:DF$106,$AC96),1),IF($AD96&gt;0,INDEX(DF$7:DF$106,$AD96),1),IF($AE96&gt;0,INDEX(DF$7:DF$106,$AE96),1),IF($AF96&gt;0,INDEX(DF$7:DF$106,$AF96),1),IF($AG96&gt;0,INDEX(DF$7:DF$106,$AG96),1),IF($AH96&gt;0,INDEX(DF$7:DF$106,$AH96),1),IF($AI96&gt;0,INDEX(DF$7:DF$106,$AI96),1),IF($AJ96&gt;0,INDEX(DF$7:DF$106,$AJ96),1))))</ns0:f>
        <ns0:v>1</ns0:v>
      </ns0:c>
      <ns0:c r="DH96" t="n">
        <ns0:f>IF($A96="",1,IF(DG96=1,1,--AND(IF($AC96&gt;0,INDEX(DG$7:DG$106,$AC96),1),IF($AD96&gt;0,INDEX(DG$7:DG$106,$AD96),1),IF($AE96&gt;0,INDEX(DG$7:DG$106,$AE96),1),IF($AF96&gt;0,INDEX(DG$7:DG$106,$AF96),1),IF($AG96&gt;0,INDEX(DG$7:DG$106,$AG96),1),IF($AH96&gt;0,INDEX(DG$7:DG$106,$AH96),1),IF($AI96&gt;0,INDEX(DG$7:DG$106,$AI96),1),IF($AJ96&gt;0,INDEX(DG$7:DG$106,$AJ96),1))))</ns0:f>
        <ns0:v>1</ns0:v>
      </ns0:c>
      <ns0:c r="DI96" t="n">
        <ns0:f>IF($A96="",1,IF(DH96=1,1,--AND(IF($AC96&gt;0,INDEX(DH$7:DH$106,$AC96),1),IF($AD96&gt;0,INDEX(DH$7:DH$106,$AD96),1),IF($AE96&gt;0,INDEX(DH$7:DH$106,$AE96),1),IF($AF96&gt;0,INDEX(DH$7:DH$106,$AF96),1),IF($AG96&gt;0,INDEX(DH$7:DH$106,$AG96),1),IF($AH96&gt;0,INDEX(DH$7:DH$106,$AH96),1),IF($AI96&gt;0,INDEX(DH$7:DH$106,$AI96),1),IF($AJ96&gt;0,INDEX(DH$7:DH$106,$AJ96),1))))</ns0:f>
        <ns0:v>1</ns0:v>
      </ns0:c>
      <ns0:c r="DJ96" t="n">
        <ns0:f>IF($A96="",1,IF(DI96=1,1,--AND(IF($AC96&gt;0,INDEX(DI$7:DI$106,$AC96),1),IF($AD96&gt;0,INDEX(DI$7:DI$106,$AD96),1),IF($AE96&gt;0,INDEX(DI$7:DI$106,$AE96),1),IF($AF96&gt;0,INDEX(DI$7:DI$106,$AF96),1),IF($AG96&gt;0,INDEX(DI$7:DI$106,$AG96),1),IF($AH96&gt;0,INDEX(DI$7:DI$106,$AH96),1),IF($AI96&gt;0,INDEX(DI$7:DI$106,$AI96),1),IF($AJ96&gt;0,INDEX(DI$7:DI$106,$AJ96),1))))</ns0:f>
        <ns0:v>1</ns0:v>
      </ns0:c>
      <ns0:c r="DK96" t="n">
        <ns0:f>IF($A96="",1,IF(DJ96=1,1,--AND(IF($AC96&gt;0,INDEX(DJ$7:DJ$106,$AC96),1),IF($AD96&gt;0,INDEX(DJ$7:DJ$106,$AD96),1),IF($AE96&gt;0,INDEX(DJ$7:DJ$106,$AE96),1),IF($AF96&gt;0,INDEX(DJ$7:DJ$106,$AF96),1),IF($AG96&gt;0,INDEX(DJ$7:DJ$106,$AG96),1),IF($AH96&gt;0,INDEX(DJ$7:DJ$106,$AH96),1),IF($AI96&gt;0,INDEX(DJ$7:DJ$106,$AI96),1),IF($AJ96&gt;0,INDEX(DJ$7:DJ$106,$AJ96),1))))</ns0:f>
        <ns0:v>1</ns0:v>
      </ns0:c>
      <ns0:c r="DL96" t="n">
        <ns0:f>IF($A96="",1,IF(DK96=1,1,--AND(IF($AC96&gt;0,INDEX(DK$7:DK$106,$AC96),1),IF($AD96&gt;0,INDEX(DK$7:DK$106,$AD96),1),IF($AE96&gt;0,INDEX(DK$7:DK$106,$AE96),1),IF($AF96&gt;0,INDEX(DK$7:DK$106,$AF96),1),IF($AG96&gt;0,INDEX(DK$7:DK$106,$AG96),1),IF($AH96&gt;0,INDEX(DK$7:DK$106,$AH96),1),IF($AI96&gt;0,INDEX(DK$7:DK$106,$AI96),1),IF($AJ96&gt;0,INDEX(DK$7:DK$106,$AJ96),1))))</ns0:f>
        <ns0:v>1</ns0:v>
      </ns0:c>
      <ns0:c r="DM96" t="n">
        <ns0:f>IF($A96="",1,IF(DL96=1,1,--AND(IF($AC96&gt;0,INDEX(DL$7:DL$106,$AC96),1),IF($AD96&gt;0,INDEX(DL$7:DL$106,$AD96),1),IF($AE96&gt;0,INDEX(DL$7:DL$106,$AE96),1),IF($AF96&gt;0,INDEX(DL$7:DL$106,$AF96),1),IF($AG96&gt;0,INDEX(DL$7:DL$106,$AG96),1),IF($AH96&gt;0,INDEX(DL$7:DL$106,$AH96),1),IF($AI96&gt;0,INDEX(DL$7:DL$106,$AI96),1),IF($AJ96&gt;0,INDEX(DL$7:DL$106,$AJ96),1))))</ns0:f>
        <ns0:v>1</ns0:v>
      </ns0:c>
      <ns0:c r="DN96" t="n">
        <ns0:f>IF($A96="",1,IF(DM96=1,1,--AND(IF($AC96&gt;0,INDEX(DM$7:DM$106,$AC96),1),IF($AD96&gt;0,INDEX(DM$7:DM$106,$AD96),1),IF($AE96&gt;0,INDEX(DM$7:DM$106,$AE96),1),IF($AF96&gt;0,INDEX(DM$7:DM$106,$AF96),1),IF($AG96&gt;0,INDEX(DM$7:DM$106,$AG96),1),IF($AH96&gt;0,INDEX(DM$7:DM$106,$AH96),1),IF($AI96&gt;0,INDEX(DM$7:DM$106,$AI96),1),IF($AJ96&gt;0,INDEX(DM$7:DM$106,$AJ96),1))))</ns0:f>
        <ns0:v>1</ns0:v>
      </ns0:c>
      <ns0:c r="DO96" t="n">
        <ns0:f>IF($A96="",1,IF(DN96=1,1,--AND(IF($AC96&gt;0,INDEX(DN$7:DN$106,$AC96),1),IF($AD96&gt;0,INDEX(DN$7:DN$106,$AD96),1),IF($AE96&gt;0,INDEX(DN$7:DN$106,$AE96),1),IF($AF96&gt;0,INDEX(DN$7:DN$106,$AF96),1),IF($AG96&gt;0,INDEX(DN$7:DN$106,$AG96),1),IF($AH96&gt;0,INDEX(DN$7:DN$106,$AH96),1),IF($AI96&gt;0,INDEX(DN$7:DN$106,$AI96),1),IF($AJ96&gt;0,INDEX(DN$7:DN$106,$AJ96),1))))</ns0:f>
        <ns0:v>1</ns0:v>
      </ns0:c>
      <ns0:c r="DP96" t="n">
        <ns0:f>IF($A96="",1,IF(DO96=1,1,--AND(IF($AC96&gt;0,INDEX(DO$7:DO$106,$AC96),1),IF($AD96&gt;0,INDEX(DO$7:DO$106,$AD96),1),IF($AE96&gt;0,INDEX(DO$7:DO$106,$AE96),1),IF($AF96&gt;0,INDEX(DO$7:DO$106,$AF96),1),IF($AG96&gt;0,INDEX(DO$7:DO$106,$AG96),1),IF($AH96&gt;0,INDEX(DO$7:DO$106,$AH96),1),IF($AI96&gt;0,INDEX(DO$7:DO$106,$AI96),1),IF($AJ96&gt;0,INDEX(DO$7:DO$106,$AJ96),1))))</ns0:f>
        <ns0:v>1</ns0:v>
      </ns0:c>
      <ns0:c r="DQ96" t="n">
        <ns0:f>IF($A96="",1,IF(DP96=1,1,--AND(IF($AC96&gt;0,INDEX(DP$7:DP$106,$AC96),1),IF($AD96&gt;0,INDEX(DP$7:DP$106,$AD96),1),IF($AE96&gt;0,INDEX(DP$7:DP$106,$AE96),1),IF($AF96&gt;0,INDEX(DP$7:DP$106,$AF96),1),IF($AG96&gt;0,INDEX(DP$7:DP$106,$AG96),1),IF($AH96&gt;0,INDEX(DP$7:DP$106,$AH96),1),IF($AI96&gt;0,INDEX(DP$7:DP$106,$AI96),1),IF($AJ96&gt;0,INDEX(DP$7:DP$106,$AJ96),1))))</ns0:f>
        <ns0:v>1</ns0:v>
      </ns0:c>
      <ns0:c r="DR96" t="n">
        <ns0:f>IF($A96="",1,IF(DQ96=1,1,--AND(IF($AC96&gt;0,INDEX(DQ$7:DQ$106,$AC96),1),IF($AD96&gt;0,INDEX(DQ$7:DQ$106,$AD96),1),IF($AE96&gt;0,INDEX(DQ$7:DQ$106,$AE96),1),IF($AF96&gt;0,INDEX(DQ$7:DQ$106,$AF96),1),IF($AG96&gt;0,INDEX(DQ$7:DQ$106,$AG96),1),IF($AH96&gt;0,INDEX(DQ$7:DQ$106,$AH96),1),IF($AI96&gt;0,INDEX(DQ$7:DQ$106,$AI96),1),IF($AJ96&gt;0,INDEX(DQ$7:DQ$106,$AJ96),1))))</ns0:f>
        <ns0:v>1</ns0:v>
      </ns0:c>
      <ns0:c r="DS96" t="n">
        <ns0:f>IF($A96="",1,IF(DR96=1,1,--AND(IF($AC96&gt;0,INDEX(DR$7:DR$106,$AC96),1),IF($AD96&gt;0,INDEX(DR$7:DR$106,$AD96),1),IF($AE96&gt;0,INDEX(DR$7:DR$106,$AE96),1),IF($AF96&gt;0,INDEX(DR$7:DR$106,$AF96),1),IF($AG96&gt;0,INDEX(DR$7:DR$106,$AG96),1),IF($AH96&gt;0,INDEX(DR$7:DR$106,$AH96),1),IF($AI96&gt;0,INDEX(DR$7:DR$106,$AI96),1),IF($AJ96&gt;0,INDEX(DR$7:DR$106,$AJ96),1))))</ns0:f>
        <ns0:v>1</ns0:v>
      </ns0:c>
      <ns0:c r="DT96" t="n">
        <ns0:f>IF($A96="",1,IF(DS96=1,1,--AND(IF($AC96&gt;0,INDEX(DS$7:DS$106,$AC96),1),IF($AD96&gt;0,INDEX(DS$7:DS$106,$AD96),1),IF($AE96&gt;0,INDEX(DS$7:DS$106,$AE96),1),IF($AF96&gt;0,INDEX(DS$7:DS$106,$AF96),1),IF($AG96&gt;0,INDEX(DS$7:DS$106,$AG96),1),IF($AH96&gt;0,INDEX(DS$7:DS$106,$AH96),1),IF($AI96&gt;0,INDEX(DS$7:DS$106,$AI96),1),IF($AJ96&gt;0,INDEX(DS$7:DS$106,$AJ96),1))))</ns0:f>
        <ns0:v>1</ns0:v>
      </ns0:c>
      <ns0:c r="DU96" t="n">
        <ns0:f>IF($A96="",1,IF(DT96=1,1,--AND(IF($AC96&gt;0,INDEX(DT$7:DT$106,$AC96),1),IF($AD96&gt;0,INDEX(DT$7:DT$106,$AD96),1),IF($AE96&gt;0,INDEX(DT$7:DT$106,$AE96),1),IF($AF96&gt;0,INDEX(DT$7:DT$106,$AF96),1),IF($AG96&gt;0,INDEX(DT$7:DT$106,$AG96),1),IF($AH96&gt;0,INDEX(DT$7:DT$106,$AH96),1),IF($AI96&gt;0,INDEX(DT$7:DT$106,$AI96),1),IF($AJ96&gt;0,INDEX(DT$7:DT$106,$AJ96),1))))</ns0:f>
        <ns0:v>1</ns0:v>
      </ns0:c>
      <ns0:c r="DV96" t="n">
        <ns0:f>IF($A96="",1,IF(DU96=1,1,--AND(IF($AC96&gt;0,INDEX(DU$7:DU$106,$AC96),1),IF($AD96&gt;0,INDEX(DU$7:DU$106,$AD96),1),IF($AE96&gt;0,INDEX(DU$7:DU$106,$AE96),1),IF($AF96&gt;0,INDEX(DU$7:DU$106,$AF96),1),IF($AG96&gt;0,INDEX(DU$7:DU$106,$AG96),1),IF($AH96&gt;0,INDEX(DU$7:DU$106,$AH96),1),IF($AI96&gt;0,INDEX(DU$7:DU$106,$AI96),1),IF($AJ96&gt;0,INDEX(DU$7:DU$106,$AJ96),1))))</ns0:f>
        <ns0:v>1</ns0:v>
      </ns0:c>
      <ns0:c r="DW96" t="n">
        <ns0:f>IF($A96="",1,IF(DV96=1,1,--AND(IF($AC96&gt;0,INDEX(DV$7:DV$106,$AC96),1),IF($AD96&gt;0,INDEX(DV$7:DV$106,$AD96),1),IF($AE96&gt;0,INDEX(DV$7:DV$106,$AE96),1),IF($AF96&gt;0,INDEX(DV$7:DV$106,$AF96),1),IF($AG96&gt;0,INDEX(DV$7:DV$106,$AG96),1),IF($AH96&gt;0,INDEX(DV$7:DV$106,$AH96),1),IF($AI96&gt;0,INDEX(DV$7:DV$106,$AI96),1),IF($AJ96&gt;0,INDEX(DV$7:DV$106,$AJ96),1))))</ns0:f>
        <ns0:v>1</ns0:v>
      </ns0:c>
      <ns0:c r="DX96" t="n">
        <ns0:f>IF($A96="",1,IF(DW96=1,1,--AND(IF($AC96&gt;0,INDEX(DW$7:DW$106,$AC96),1),IF($AD96&gt;0,INDEX(DW$7:DW$106,$AD96),1),IF($AE96&gt;0,INDEX(DW$7:DW$106,$AE96),1),IF($AF96&gt;0,INDEX(DW$7:DW$106,$AF96),1),IF($AG96&gt;0,INDEX(DW$7:DW$106,$AG96),1),IF($AH96&gt;0,INDEX(DW$7:DW$106,$AH96),1),IF($AI96&gt;0,INDEX(DW$7:DW$106,$AI96),1),IF($AJ96&gt;0,INDEX(DW$7:DW$106,$AJ96),1))))</ns0:f>
        <ns0:v>1</ns0:v>
      </ns0:c>
      <ns0:c r="DY96" t="n">
        <ns0:f>IF($A96="",1,IF(DX96=1,1,--AND(IF($AC96&gt;0,INDEX(DX$7:DX$106,$AC96),1),IF($AD96&gt;0,INDEX(DX$7:DX$106,$AD96),1),IF($AE96&gt;0,INDEX(DX$7:DX$106,$AE96),1),IF($AF96&gt;0,INDEX(DX$7:DX$106,$AF96),1),IF($AG96&gt;0,INDEX(DX$7:DX$106,$AG96),1),IF($AH96&gt;0,INDEX(DX$7:DX$106,$AH96),1),IF($AI96&gt;0,INDEX(DX$7:DX$106,$AI96),1),IF($AJ96&gt;0,INDEX(DX$7:DX$106,$AJ96),1))))</ns0:f>
        <ns0:v>1</ns0:v>
      </ns0:c>
      <ns0:c r="DZ96" t="n">
        <ns0:f>IF($A96="",1,IF(DY96=1,1,--AND(IF($AC96&gt;0,INDEX(DY$7:DY$106,$AC96),1),IF($AD96&gt;0,INDEX(DY$7:DY$106,$AD96),1),IF($AE96&gt;0,INDEX(DY$7:DY$106,$AE96),1),IF($AF96&gt;0,INDEX(DY$7:DY$106,$AF96),1),IF($AG96&gt;0,INDEX(DY$7:DY$106,$AG96),1),IF($AH96&gt;0,INDEX(DY$7:DY$106,$AH96),1),IF($AI96&gt;0,INDEX(DY$7:DY$106,$AI96),1),IF($AJ96&gt;0,INDEX(DY$7:DY$106,$AJ96),1))))</ns0:f>
        <ns0:v>1</ns0:v>
      </ns0:c>
      <ns0:c r="EA96" t="n">
        <ns0:f>IF($A96="",1,IF(DZ96=1,1,--AND(IF($AC96&gt;0,INDEX(DZ$7:DZ$106,$AC96),1),IF($AD96&gt;0,INDEX(DZ$7:DZ$106,$AD96),1),IF($AE96&gt;0,INDEX(DZ$7:DZ$106,$AE96),1),IF($AF96&gt;0,INDEX(DZ$7:DZ$106,$AF96),1),IF($AG96&gt;0,INDEX(DZ$7:DZ$106,$AG96),1),IF($AH96&gt;0,INDEX(DZ$7:DZ$106,$AH96),1),IF($AI96&gt;0,INDEX(DZ$7:DZ$106,$AI96),1),IF($AJ96&gt;0,INDEX(DZ$7:DZ$106,$AJ96),1))))</ns0:f>
        <ns0:v>1</ns0:v>
      </ns0:c>
      <ns0:c r="EB96" t="n">
        <ns0:f>IF($A96="",1,IF(EA96=1,1,--AND(IF($AC96&gt;0,INDEX(EA$7:EA$106,$AC96),1),IF($AD96&gt;0,INDEX(EA$7:EA$106,$AD96),1),IF($AE96&gt;0,INDEX(EA$7:EA$106,$AE96),1),IF($AF96&gt;0,INDEX(EA$7:EA$106,$AF96),1),IF($AG96&gt;0,INDEX(EA$7:EA$106,$AG96),1),IF($AH96&gt;0,INDEX(EA$7:EA$106,$AH96),1),IF($AI96&gt;0,INDEX(EA$7:EA$106,$AI96),1),IF($AJ96&gt;0,INDEX(EA$7:EA$106,$AJ96),1))))</ns0:f>
        <ns0:v>1</ns0:v>
      </ns0:c>
      <ns0:c r="EC96" t="n">
        <ns0:f>IF($A96="",1,IF(EB96=1,1,--AND(IF($AC96&gt;0,INDEX(EB$7:EB$106,$AC96),1),IF($AD96&gt;0,INDEX(EB$7:EB$106,$AD96),1),IF($AE96&gt;0,INDEX(EB$7:EB$106,$AE96),1),IF($AF96&gt;0,INDEX(EB$7:EB$106,$AF96),1),IF($AG96&gt;0,INDEX(EB$7:EB$106,$AG96),1),IF($AH96&gt;0,INDEX(EB$7:EB$106,$AH96),1),IF($AI96&gt;0,INDEX(EB$7:EB$106,$AI96),1),IF($AJ96&gt;0,INDEX(EB$7:EB$106,$AJ96),1))))</ns0:f>
        <ns0:v>1</ns0:v>
      </ns0:c>
      <ns0:c r="ED96" t="n">
        <ns0:f>IF($A96="",1,IF(EC96=1,1,--AND(IF($AC96&gt;0,INDEX(EC$7:EC$106,$AC96),1),IF($AD96&gt;0,INDEX(EC$7:EC$106,$AD96),1),IF($AE96&gt;0,INDEX(EC$7:EC$106,$AE96),1),IF($AF96&gt;0,INDEX(EC$7:EC$106,$AF96),1),IF($AG96&gt;0,INDEX(EC$7:EC$106,$AG96),1),IF($AH96&gt;0,INDEX(EC$7:EC$106,$AH96),1),IF($AI96&gt;0,INDEX(EC$7:EC$106,$AI96),1),IF($AJ96&gt;0,INDEX(EC$7:EC$106,$AJ96),1))))</ns0:f>
        <ns0:v>1</ns0:v>
      </ns0:c>
      <ns0:c r="EE96" t="n">
        <ns0:f>IF($A96="",1,IF(ED96=1,1,--AND(IF($AC96&gt;0,INDEX(ED$7:ED$106,$AC96),1),IF($AD96&gt;0,INDEX(ED$7:ED$106,$AD96),1),IF($AE96&gt;0,INDEX(ED$7:ED$106,$AE96),1),IF($AF96&gt;0,INDEX(ED$7:ED$106,$AF96),1),IF($AG96&gt;0,INDEX(ED$7:ED$106,$AG96),1),IF($AH96&gt;0,INDEX(ED$7:ED$106,$AH96),1),IF($AI96&gt;0,INDEX(ED$7:ED$106,$AI96),1),IF($AJ96&gt;0,INDEX(ED$7:ED$106,$AJ96),1))))</ns0:f>
        <ns0:v>1</ns0:v>
      </ns0:c>
      <ns0:c r="EF96" t="n">
        <ns0:f>IF($A96="",1,IF(EE96=1,1,--AND(IF($AC96&gt;0,INDEX(EE$7:EE$106,$AC96),1),IF($AD96&gt;0,INDEX(EE$7:EE$106,$AD96),1),IF($AE96&gt;0,INDEX(EE$7:EE$106,$AE96),1),IF($AF96&gt;0,INDEX(EE$7:EE$106,$AF96),1),IF($AG96&gt;0,INDEX(EE$7:EE$106,$AG96),1),IF($AH96&gt;0,INDEX(EE$7:EE$106,$AH96),1),IF($AI96&gt;0,INDEX(EE$7:EE$106,$AI96),1),IF($AJ96&gt;0,INDEX(EE$7:EE$106,$AJ96),1))))</ns0:f>
        <ns0:v>1</ns0:v>
      </ns0:c>
      <ns0:c r="EG96" t="n">
        <ns0:f>IF($A96="",1,IF(EF96=1,1,--AND(IF($AC96&gt;0,INDEX(EF$7:EF$106,$AC96),1),IF($AD96&gt;0,INDEX(EF$7:EF$106,$AD96),1),IF($AE96&gt;0,INDEX(EF$7:EF$106,$AE96),1),IF($AF96&gt;0,INDEX(EF$7:EF$106,$AF96),1),IF($AG96&gt;0,INDEX(EF$7:EF$106,$AG96),1),IF($AH96&gt;0,INDEX(EF$7:EF$106,$AH96),1),IF($AI96&gt;0,INDEX(EF$7:EF$106,$AI96),1),IF($AJ96&gt;0,INDEX(EF$7:EF$106,$AJ96),1))))</ns0:f>
        <ns0:v>1</ns0:v>
      </ns0:c>
      <ns0:c r="EH96" t="n">
        <ns0:f>IF($A96="",1,IF(EG96=1,1,--AND(IF($AC96&gt;0,INDEX(EG$7:EG$106,$AC96),1),IF($AD96&gt;0,INDEX(EG$7:EG$106,$AD96),1),IF($AE96&gt;0,INDEX(EG$7:EG$106,$AE96),1),IF($AF96&gt;0,INDEX(EG$7:EG$106,$AF96),1),IF($AG96&gt;0,INDEX(EG$7:EG$106,$AG96),1),IF($AH96&gt;0,INDEX(EG$7:EG$106,$AH96),1),IF($AI96&gt;0,INDEX(EG$7:EG$106,$AI96),1),IF($AJ96&gt;0,INDEX(EG$7:EG$106,$AJ96),1))))</ns0:f>
        <ns0:v>1</ns0:v>
      </ns0:c>
      <ns0:c r="EI96" t="n">
        <ns0:f>IF($A96="",1,IF(EH96=1,1,--AND(IF($AC96&gt;0,INDEX(EH$7:EH$106,$AC96),1),IF($AD96&gt;0,INDEX(EH$7:EH$106,$AD96),1),IF($AE96&gt;0,INDEX(EH$7:EH$106,$AE96),1),IF($AF96&gt;0,INDEX(EH$7:EH$106,$AF96),1),IF($AG96&gt;0,INDEX(EH$7:EH$106,$AG96),1),IF($AH96&gt;0,INDEX(EH$7:EH$106,$AH96),1),IF($AI96&gt;0,INDEX(EH$7:EH$106,$AI96),1),IF($AJ96&gt;0,INDEX(EH$7:EH$106,$AJ96),1))))</ns0:f>
        <ns0:v>1</ns0:v>
      </ns0:c>
      <ns0:c r="EJ96" t="n">
        <ns0:f>IF($A96="",1,IF(EI96=1,1,--AND(IF($AC96&gt;0,INDEX(EI$7:EI$106,$AC96),1),IF($AD96&gt;0,INDEX(EI$7:EI$106,$AD96),1),IF($AE96&gt;0,INDEX(EI$7:EI$106,$AE96),1),IF($AF96&gt;0,INDEX(EI$7:EI$106,$AF96),1),IF($AG96&gt;0,INDEX(EI$7:EI$106,$AG96),1),IF($AH96&gt;0,INDEX(EI$7:EI$106,$AH96),1),IF($AI96&gt;0,INDEX(EI$7:EI$106,$AI96),1),IF($AJ96&gt;0,INDEX(EI$7:EI$106,$AJ96),1))))</ns0:f>
        <ns0:v>1</ns0:v>
      </ns0:c>
      <ns0:c r="EK96" t="n">
        <ns0:f>IF($A96="",1,IF(EJ96=1,1,--AND(IF($AC96&gt;0,INDEX(EJ$7:EJ$106,$AC96),1),IF($AD96&gt;0,INDEX(EJ$7:EJ$106,$AD96),1),IF($AE96&gt;0,INDEX(EJ$7:EJ$106,$AE96),1),IF($AF96&gt;0,INDEX(EJ$7:EJ$106,$AF96),1),IF($AG96&gt;0,INDEX(EJ$7:EJ$106,$AG96),1),IF($AH96&gt;0,INDEX(EJ$7:EJ$106,$AH96),1),IF($AI96&gt;0,INDEX(EJ$7:EJ$106,$AI96),1),IF($AJ96&gt;0,INDEX(EJ$7:EJ$106,$AJ96),1))))</ns0:f>
        <ns0:v>1</ns0:v>
      </ns0:c>
      <ns0:c r="EL96" t="n">
        <ns0:f>IF($A96="",1,IF(EK96=1,1,--AND(IF($AC96&gt;0,INDEX(EK$7:EK$106,$AC96),1),IF($AD96&gt;0,INDEX(EK$7:EK$106,$AD96),1),IF($AE96&gt;0,INDEX(EK$7:EK$106,$AE96),1),IF($AF96&gt;0,INDEX(EK$7:EK$106,$AF96),1),IF($AG96&gt;0,INDEX(EK$7:EK$106,$AG96),1),IF($AH96&gt;0,INDEX(EK$7:EK$106,$AH96),1),IF($AI96&gt;0,INDEX(EK$7:EK$106,$AI96),1),IF($AJ96&gt;0,INDEX(EK$7:EK$106,$AJ96),1))))</ns0:f>
        <ns0:v>1</ns0:v>
      </ns0:c>
      <ns0:c r="EM96" t="n">
        <ns0:f>IF($A96="",1,IF(EL96=1,1,--AND(IF($AC96&gt;0,INDEX(EL$7:EL$106,$AC96),1),IF($AD96&gt;0,INDEX(EL$7:EL$106,$AD96),1),IF($AE96&gt;0,INDEX(EL$7:EL$106,$AE96),1),IF($AF96&gt;0,INDEX(EL$7:EL$106,$AF96),1),IF($AG96&gt;0,INDEX(EL$7:EL$106,$AG96),1),IF($AH96&gt;0,INDEX(EL$7:EL$106,$AH96),1),IF($AI96&gt;0,INDEX(EL$7:EL$106,$AI96),1),IF($AJ96&gt;0,INDEX(EL$7:EL$106,$AJ96),1))))</ns0:f>
        <ns0:v>1</ns0:v>
      </ns0:c>
      <ns0:c r="EN96" t="n">
        <ns0:f>IF($A96="",1,IF(EM96=1,1,--AND(IF($AC96&gt;0,INDEX(EM$7:EM$106,$AC96),1),IF($AD96&gt;0,INDEX(EM$7:EM$106,$AD96),1),IF($AE96&gt;0,INDEX(EM$7:EM$106,$AE96),1),IF($AF96&gt;0,INDEX(EM$7:EM$106,$AF96),1),IF($AG96&gt;0,INDEX(EM$7:EM$106,$AG96),1),IF($AH96&gt;0,INDEX(EM$7:EM$106,$AH96),1),IF($AI96&gt;0,INDEX(EM$7:EM$106,$AI96),1),IF($AJ96&gt;0,INDEX(EM$7:EM$106,$AJ96),1))))</ns0:f>
        <ns0:v>1</ns0:v>
      </ns0:c>
      <ns0:c r="EO96" t="n">
        <ns0:f>IF($A96="",1,IF(EN96=1,1,--AND(IF($AC96&gt;0,INDEX(EN$7:EN$106,$AC96),1),IF($AD96&gt;0,INDEX(EN$7:EN$106,$AD96),1),IF($AE96&gt;0,INDEX(EN$7:EN$106,$AE96),1),IF($AF96&gt;0,INDEX(EN$7:EN$106,$AF96),1),IF($AG96&gt;0,INDEX(EN$7:EN$106,$AG96),1),IF($AH96&gt;0,INDEX(EN$7:EN$106,$AH96),1),IF($AI96&gt;0,INDEX(EN$7:EN$106,$AI96),1),IF($AJ96&gt;0,INDEX(EN$7:EN$106,$AJ96),1))))</ns0:f>
        <ns0:v>1</ns0:v>
      </ns0:c>
      <ns0:c r="EP96" t="n">
        <ns0:f>IF($A96="",1,IF(EO96=1,1,--AND(IF($AC96&gt;0,INDEX(EO$7:EO$106,$AC96),1),IF($AD96&gt;0,INDEX(EO$7:EO$106,$AD96),1),IF($AE96&gt;0,INDEX(EO$7:EO$106,$AE96),1),IF($AF96&gt;0,INDEX(EO$7:EO$106,$AF96),1),IF($AG96&gt;0,INDEX(EO$7:EO$106,$AG96),1),IF($AH96&gt;0,INDEX(EO$7:EO$106,$AH96),1),IF($AI96&gt;0,INDEX(EO$7:EO$106,$AI96),1),IF($AJ96&gt;0,INDEX(EO$7:EO$106,$AJ96),1))))</ns0:f>
        <ns0:v>1</ns0:v>
      </ns0:c>
      <ns0:c r="EQ96" t="n">
        <ns0:f>IF(OR(A96="",NOT(ISNUMBER(G96))),0,G96*N96)</ns0:f>
        <ns0:v>0</ns0:v>
      </ns0:c>
    </ns0:row>
    <ns0:row r="97" ht="62" customHeight="1">
      <ns0:c r="A97" s="48"/>
      <ns0:c r="B97" s="48"/>
      <ns0:c r="C97" s="48"/>
      <ns0:c r="D97" s="48"/>
      <ns0:c r="E97" s="49"/>
      <ns0:c r="F97" s="49"/>
      <ns0:c r="G97" s="13" t="str">
        <ns0:f>IF(A97="","",IF(OR(NOT(ISNUMBER(E97)),NOT(ISNUMBER(F97)),F97&lt;E97),"",IF(J97="Yes",0,F97-E97+1)))</ns0:f>
      </ns0:c>
      <ns0:c r="H97" s="48"/>
      <ns0:c r="I97" s="48"/>
      <ns0:c r="J97" s="48"/>
      <ns0:c r="K97" s="48"/>
      <ns0:c r="L97" s="48"/>
      <ns0:c r="M97" s="50" t="str">
        <ns0:f>IF(A97="","",IF(N97=1,"Completed",IF(N97&gt;0,"In Progress","Not Started")))</ns0:f>
      </ns0:c>
      <ns0:c r="N97" s="51"/>
      <ns0:c r="O97" s="13" t="str">
        <ns0:f>IF(A97="","",IF(R97&lt;&gt;"","[CONFLICT] "&amp;R97,IF(S97&lt;&gt;"","[CONFLICT] "&amp;S97,IF(OR(NOT(ISNUMBER(N97)),N97&lt;0,N97&gt;1),"[CONFLICT] Invalid progress",IF(AK97&gt;0,"[DEPENDENCY ISSUE] Missing ID / &gt;8 links",IF(AM97&gt;0,"[DEPENDENCY ISSUE] Cycle or blocked by cycle",IF(AND(H97&lt;&gt;"",ISNA(MATCH(I97,{"FS","SS","FF","SF"},0))),"[DEPENDENCY ISSUE] Invalid type",IF(AL97&gt;0,"[DEPENDENCY ISSUE] Timing conflict",IF(OR(E97&lt;ProjectStart,F97&gt;ProjectEnd),"[OUTSIDE WINDOW]",IF(AND(N97&lt;1,F97&lt;AsOfDate),"Overdue",IF(AND(M97&lt;&gt;Q97,M97&lt;&gt;""),"[CONFLICT] Status / progress","On track")))))))))))</ns0:f>
      </ns0:c>
      <ns0:c r="P97" s="52"/>
      <ns0:c r="Q97" t="str">
        <ns0:f>IF(A97="","",IF(OR(M97="On Hold",M97="Delayed"),M97,IF(N97=1,"Completed",IF(N97&gt;0,"In Progress","Not Started"))))</ns0:f>
      </ns0:c>
      <ns0:c r="R97" t="str">
        <ns0:f>IF(A97="","",IF(COUNTIFS(Tasks[Task ID],A97)&lt;&gt;1,"Duplicate ID",""))</ns0:f>
      </ns0:c>
      <ns0:c r="S97" t="str">
        <ns0:f>IF(A97="","",IF(OR(NOT(ISNUMBER(E97)),NOT(ISNUMBER(F97))),"Invalid / missing date",IF(OR(E97&lt;&gt;INT(E97),F97&lt;&gt;INT(F97),E97&lt;1,F97&gt;2958465),"Invalid date",IF(F97&lt;E97,"End before start",IF(AND(J97="Yes",E97&lt;&gt;F97),"Milestone needs one date","")))))</ns0:f>
      </ns0:c>
      <ns0:c r="T97" t="n">
        <ns0:f>IF(H97="",0,LEN(H97)-LEN(SUBSTITUTE(H97,",",""))+1)</ns0:f>
        <ns0:v>0</ns0:v>
      </ns0:c>
      <ns0:c r="U97" t="str">
        <ns0:f>TRIM(MID(SUBSTITUTE($H97,",",REPT(" ",100)),1,100))</ns0:f>
      </ns0:c>
      <ns0:c r="V97" t="str">
        <ns0:f>TRIM(MID(SUBSTITUTE($H97,",",REPT(" ",100)),101,100))</ns0:f>
      </ns0:c>
      <ns0:c r="W97" t="str">
        <ns0:f>TRIM(MID(SUBSTITUTE($H97,",",REPT(" ",100)),201,100))</ns0:f>
      </ns0:c>
      <ns0:c r="X97" t="str">
        <ns0:f>TRIM(MID(SUBSTITUTE($H97,",",REPT(" ",100)),301,100))</ns0:f>
      </ns0:c>
      <ns0:c r="Y97" t="str">
        <ns0:f>TRIM(MID(SUBSTITUTE($H97,",",REPT(" ",100)),401,100))</ns0:f>
      </ns0:c>
      <ns0:c r="Z97" t="str">
        <ns0:f>TRIM(MID(SUBSTITUTE($H97,",",REPT(" ",100)),501,100))</ns0:f>
      </ns0:c>
      <ns0:c r="AA97" t="str">
        <ns0:f>TRIM(MID(SUBSTITUTE($H97,",",REPT(" ",100)),601,100))</ns0:f>
      </ns0:c>
      <ns0:c r="AB97" t="str">
        <ns0:f>TRIM(MID(SUBSTITUTE($H97,",",REPT(" ",100)),701,100))</ns0:f>
      </ns0:c>
      <ns0:c r="AC97" t="n">
        <ns0:f>IF(U97="",0,IF(COUNTIFS(Tasks[Task ID],U97)=1,MATCH(U97,Tasks[Task ID],0),-1))</ns0:f>
        <ns0:v>0</ns0:v>
      </ns0:c>
      <ns0:c r="AD97" t="n">
        <ns0:f>IF(V97="",0,IF(COUNTIFS(Tasks[Task ID],V97)=1,MATCH(V97,Tasks[Task ID],0),-1))</ns0:f>
        <ns0:v>0</ns0:v>
      </ns0:c>
      <ns0:c r="AE97" t="n">
        <ns0:f>IF(W97="",0,IF(COUNTIFS(Tasks[Task ID],W97)=1,MATCH(W97,Tasks[Task ID],0),-1))</ns0:f>
        <ns0:v>0</ns0:v>
      </ns0:c>
      <ns0:c r="AF97" t="n">
        <ns0:f>IF(X97="",0,IF(COUNTIFS(Tasks[Task ID],X97)=1,MATCH(X97,Tasks[Task ID],0),-1))</ns0:f>
        <ns0:v>0</ns0:v>
      </ns0:c>
      <ns0:c r="AG97" t="n">
        <ns0:f>IF(Y97="",0,IF(COUNTIFS(Tasks[Task ID],Y97)=1,MATCH(Y97,Tasks[Task ID],0),-1))</ns0:f>
        <ns0:v>0</ns0:v>
      </ns0:c>
      <ns0:c r="AH97" t="n">
        <ns0:f>IF(Z97="",0,IF(COUNTIFS(Tasks[Task ID],Z97)=1,MATCH(Z97,Tasks[Task ID],0),-1))</ns0:f>
        <ns0:v>0</ns0:v>
      </ns0:c>
      <ns0:c r="AI97" t="n">
        <ns0:f>IF(AA97="",0,IF(COUNTIFS(Tasks[Task ID],AA97)=1,MATCH(AA97,Tasks[Task ID],0),-1))</ns0:f>
        <ns0:v>0</ns0:v>
      </ns0:c>
      <ns0:c r="AJ97" t="n">
        <ns0:f>IF(AB97="",0,IF(COUNTIFS(Tasks[Task ID],AB97)=1,MATCH(AB97,Tasks[Task ID],0),-1))</ns0:f>
        <ns0:v>0</ns0:v>
      </ns0:c>
      <ns0:c r="AK97" t="n">
        <ns0:f>COUNTIFS(AC97:AJ97,-1)+IF(T97&gt;8,1,0)</ns0:f>
        <ns0:v>0</ns0:v>
      </ns0:c>
      <ns0:c r="AL97" t="n">
        <ns0:f>IF(OR(A97="",S97&lt;&gt;""),0,SUM(IF(AC97&gt;0,IF($I97="FS",--($E97&lt;INDEX(Tasks[End Date],AC97)+IF(INDEX(Tasks[Milestone],AC97)="Yes",0,1)),IF($I97="SS",--($E97&lt;INDEX(Tasks[Start Date],AC97)),IF($I97="FF",--($F97&lt;INDEX(Tasks[End Date],AC97)),IF($I97="SF",--($F97&lt;INDEX(Tasks[Start Date],AC97)),0)))),0),IF(AD97&gt;0,IF($I97="FS",--($E97&lt;INDEX(Tasks[End Date],AD97)+IF(INDEX(Tasks[Milestone],AD97)="Yes",0,1)),IF($I97="SS",--($E97&lt;INDEX(Tasks[Start Date],AD97)),IF($I97="FF",--($F97&lt;INDEX(Tasks[End Date],AD97)),IF($I97="SF",--($F97&lt;INDEX(Tasks[Start Date],AD97)),0)))),0),IF(AE97&gt;0,IF($I97="FS",--($E97&lt;INDEX(Tasks[End Date],AE97)+IF(INDEX(Tasks[Milestone],AE97)="Yes",0,1)),IF($I97="SS",--($E97&lt;INDEX(Tasks[Start Date],AE97)),IF($I97="FF",--($F97&lt;INDEX(Tasks[End Date],AE97)),IF($I97="SF",--($F97&lt;INDEX(Tasks[Start Date],AE97)),0)))),0),IF(AF97&gt;0,IF($I97="FS",--($E97&lt;INDEX(Tasks[End Date],AF97)+IF(INDEX(Tasks[Milestone],AF97)="Yes",0,1)),IF($I97="SS",--($E97&lt;INDEX(Tasks[Start Date],AF97)),IF($I97="FF",--($F97&lt;INDEX(Tasks[End Date],AF97)),IF($I97="SF",--($F97&lt;INDEX(Tasks[Start Date],AF97)),0)))),0),IF(AG97&gt;0,IF($I97="FS",--($E97&lt;INDEX(Tasks[End Date],AG97)+IF(INDEX(Tasks[Milestone],AG97)="Yes",0,1)),IF($I97="SS",--($E97&lt;INDEX(Tasks[Start Date],AG97)),IF($I97="FF",--($F97&lt;INDEX(Tasks[End Date],AG97)),IF($I97="SF",--($F97&lt;INDEX(Tasks[Start Date],AG97)),0)))),0),IF(AH97&gt;0,IF($I97="FS",--($E97&lt;INDEX(Tasks[End Date],AH97)+IF(INDEX(Tasks[Milestone],AH97)="Yes",0,1)),IF($I97="SS",--($E97&lt;INDEX(Tasks[Start Date],AH97)),IF($I97="FF",--($F97&lt;INDEX(Tasks[End Date],AH97)),IF($I97="SF",--($F97&lt;INDEX(Tasks[Start Date],AH97)),0)))),0),IF(AI97&gt;0,IF($I97="FS",--($E97&lt;INDEX(Tasks[End Date],AI97)+IF(INDEX(Tasks[Milestone],AI97)="Yes",0,1)),IF($I97="SS",--($E97&lt;INDEX(Tasks[Start Date],AI97)),IF($I97="FF",--($F97&lt;INDEX(Tasks[End Date],AI97)),IF($I97="SF",--($F97&lt;INDEX(Tasks[Start Date],AI97)),0)))),0),IF(AJ97&gt;0,IF($I97="FS",--($E97&lt;INDEX(Tasks[End Date],AJ97)+IF(INDEX(Tasks[Milestone],AJ97)="Yes",0,1)),IF($I97="SS",--($E97&lt;INDEX(Tasks[Start Date],AJ97)),IF($I97="FF",--($F97&lt;INDEX(Tasks[End Date],AJ97)),IF($I97="SF",--($F97&lt;INDEX(Tasks[Start Date],AJ97)),0)))),0)))</ns0:f>
        <ns0:v>0</ns0:v>
      </ns0:c>
      <ns0:c r="AM97" t="n">
        <ns0:f>IF(AND(A97&lt;&gt;"",AK97=0,EP97=0),1,0)</ns0:f>
        <ns0:v>0</ns0:v>
      </ns0:c>
      <ns0:c r="AN97" t="str">
        <ns0:f>IF(OR(A97="",B97=""),"",IF(COUNTIFS($B$7:B97,B97)=1,MAX($AN$6:AN96)+1,""))</ns0:f>
      </ns0:c>
      <ns0:c r="AO97" t="n">
        <ns0:f>IF(AND(A97&lt;&gt;"",J97="No",N97&lt;1,E97&gt;=AsOfDate),E97+ROW()/10000,1E+9)</ns0:f>
        <ns0:v>1000000000</ns0:v>
      </ns0:c>
      <ns0:c r="AP97" t="n">
        <ns0:f>IF(AND(A97&lt;&gt;"",J97="Yes",N97&lt;1,E97&gt;=AsOfDate),E97+ROW()/10000,1E+9)</ns0:f>
        <ns0:v>1000000000</ns0:v>
      </ns0:c>
      <ns0:c r="AQ97" t="n">
        <ns0:f>IF(AND(A97&lt;&gt;"",J97="No",N97&lt;1,F97&gt;=AsOfDate,F97&lt;=AsOfDate+7),F97+ROW()/10000,1E+9)</ns0:f>
        <ns0:v>1000000000</ns0:v>
      </ns0:c>
      <ns0:c r="AR97" t="n">
        <ns0:f>IF(AND(A97&lt;&gt;"",OR(O97&lt;&gt;"On track",Q97="Delayed")),ROW(),1E+9)</ns0:f>
        <ns0:v>1000000000</ns0:v>
      </ns0:c>
      <ns0:c r="AS97" t="str">
        <ns0:f>IF(A97="","",";"&amp;K97&amp;";")</ns0:f>
      </ns0:c>
      <ns0:c r="AT97" t="n">
        <ns0:f>IF(A97="",1,--(T97=0))</ns0:f>
        <ns0:v>1</ns0:v>
      </ns0:c>
      <ns0:c r="AU97" t="n">
        <ns0:f>IF($A97="",1,IF(AT97=1,1,--AND(IF($AC97&gt;0,INDEX(AT$7:AT$106,$AC97),1),IF($AD97&gt;0,INDEX(AT$7:AT$106,$AD97),1),IF($AE97&gt;0,INDEX(AT$7:AT$106,$AE97),1),IF($AF97&gt;0,INDEX(AT$7:AT$106,$AF97),1),IF($AG97&gt;0,INDEX(AT$7:AT$106,$AG97),1),IF($AH97&gt;0,INDEX(AT$7:AT$106,$AH97),1),IF($AI97&gt;0,INDEX(AT$7:AT$106,$AI97),1),IF($AJ97&gt;0,INDEX(AT$7:AT$106,$AJ97),1))))</ns0:f>
        <ns0:v>1</ns0:v>
      </ns0:c>
      <ns0:c r="AV97" t="n">
        <ns0:f>IF($A97="",1,IF(AU97=1,1,--AND(IF($AC97&gt;0,INDEX(AU$7:AU$106,$AC97),1),IF($AD97&gt;0,INDEX(AU$7:AU$106,$AD97),1),IF($AE97&gt;0,INDEX(AU$7:AU$106,$AE97),1),IF($AF97&gt;0,INDEX(AU$7:AU$106,$AF97),1),IF($AG97&gt;0,INDEX(AU$7:AU$106,$AG97),1),IF($AH97&gt;0,INDEX(AU$7:AU$106,$AH97),1),IF($AI97&gt;0,INDEX(AU$7:AU$106,$AI97),1),IF($AJ97&gt;0,INDEX(AU$7:AU$106,$AJ97),1))))</ns0:f>
        <ns0:v>1</ns0:v>
      </ns0:c>
      <ns0:c r="AW97" t="n">
        <ns0:f>IF($A97="",1,IF(AV97=1,1,--AND(IF($AC97&gt;0,INDEX(AV$7:AV$106,$AC97),1),IF($AD97&gt;0,INDEX(AV$7:AV$106,$AD97),1),IF($AE97&gt;0,INDEX(AV$7:AV$106,$AE97),1),IF($AF97&gt;0,INDEX(AV$7:AV$106,$AF97),1),IF($AG97&gt;0,INDEX(AV$7:AV$106,$AG97),1),IF($AH97&gt;0,INDEX(AV$7:AV$106,$AH97),1),IF($AI97&gt;0,INDEX(AV$7:AV$106,$AI97),1),IF($AJ97&gt;0,INDEX(AV$7:AV$106,$AJ97),1))))</ns0:f>
        <ns0:v>1</ns0:v>
      </ns0:c>
      <ns0:c r="AX97" t="n">
        <ns0:f>IF($A97="",1,IF(AW97=1,1,--AND(IF($AC97&gt;0,INDEX(AW$7:AW$106,$AC97),1),IF($AD97&gt;0,INDEX(AW$7:AW$106,$AD97),1),IF($AE97&gt;0,INDEX(AW$7:AW$106,$AE97),1),IF($AF97&gt;0,INDEX(AW$7:AW$106,$AF97),1),IF($AG97&gt;0,INDEX(AW$7:AW$106,$AG97),1),IF($AH97&gt;0,INDEX(AW$7:AW$106,$AH97),1),IF($AI97&gt;0,INDEX(AW$7:AW$106,$AI97),1),IF($AJ97&gt;0,INDEX(AW$7:AW$106,$AJ97),1))))</ns0:f>
        <ns0:v>1</ns0:v>
      </ns0:c>
      <ns0:c r="AY97" t="n">
        <ns0:f>IF($A97="",1,IF(AX97=1,1,--AND(IF($AC97&gt;0,INDEX(AX$7:AX$106,$AC97),1),IF($AD97&gt;0,INDEX(AX$7:AX$106,$AD97),1),IF($AE97&gt;0,INDEX(AX$7:AX$106,$AE97),1),IF($AF97&gt;0,INDEX(AX$7:AX$106,$AF97),1),IF($AG97&gt;0,INDEX(AX$7:AX$106,$AG97),1),IF($AH97&gt;0,INDEX(AX$7:AX$106,$AH97),1),IF($AI97&gt;0,INDEX(AX$7:AX$106,$AI97),1),IF($AJ97&gt;0,INDEX(AX$7:AX$106,$AJ97),1))))</ns0:f>
        <ns0:v>1</ns0:v>
      </ns0:c>
      <ns0:c r="AZ97" t="n">
        <ns0:f>IF($A97="",1,IF(AY97=1,1,--AND(IF($AC97&gt;0,INDEX(AY$7:AY$106,$AC97),1),IF($AD97&gt;0,INDEX(AY$7:AY$106,$AD97),1),IF($AE97&gt;0,INDEX(AY$7:AY$106,$AE97),1),IF($AF97&gt;0,INDEX(AY$7:AY$106,$AF97),1),IF($AG97&gt;0,INDEX(AY$7:AY$106,$AG97),1),IF($AH97&gt;0,INDEX(AY$7:AY$106,$AH97),1),IF($AI97&gt;0,INDEX(AY$7:AY$106,$AI97),1),IF($AJ97&gt;0,INDEX(AY$7:AY$106,$AJ97),1))))</ns0:f>
        <ns0:v>1</ns0:v>
      </ns0:c>
      <ns0:c r="BA97" t="n">
        <ns0:f>IF($A97="",1,IF(AZ97=1,1,--AND(IF($AC97&gt;0,INDEX(AZ$7:AZ$106,$AC97),1),IF($AD97&gt;0,INDEX(AZ$7:AZ$106,$AD97),1),IF($AE97&gt;0,INDEX(AZ$7:AZ$106,$AE97),1),IF($AF97&gt;0,INDEX(AZ$7:AZ$106,$AF97),1),IF($AG97&gt;0,INDEX(AZ$7:AZ$106,$AG97),1),IF($AH97&gt;0,INDEX(AZ$7:AZ$106,$AH97),1),IF($AI97&gt;0,INDEX(AZ$7:AZ$106,$AI97),1),IF($AJ97&gt;0,INDEX(AZ$7:AZ$106,$AJ97),1))))</ns0:f>
        <ns0:v>1</ns0:v>
      </ns0:c>
      <ns0:c r="BB97" t="n">
        <ns0:f>IF($A97="",1,IF(BA97=1,1,--AND(IF($AC97&gt;0,INDEX(BA$7:BA$106,$AC97),1),IF($AD97&gt;0,INDEX(BA$7:BA$106,$AD97),1),IF($AE97&gt;0,INDEX(BA$7:BA$106,$AE97),1),IF($AF97&gt;0,INDEX(BA$7:BA$106,$AF97),1),IF($AG97&gt;0,INDEX(BA$7:BA$106,$AG97),1),IF($AH97&gt;0,INDEX(BA$7:BA$106,$AH97),1),IF($AI97&gt;0,INDEX(BA$7:BA$106,$AI97),1),IF($AJ97&gt;0,INDEX(BA$7:BA$106,$AJ97),1))))</ns0:f>
        <ns0:v>1</ns0:v>
      </ns0:c>
      <ns0:c r="BC97" t="n">
        <ns0:f>IF($A97="",1,IF(BB97=1,1,--AND(IF($AC97&gt;0,INDEX(BB$7:BB$106,$AC97),1),IF($AD97&gt;0,INDEX(BB$7:BB$106,$AD97),1),IF($AE97&gt;0,INDEX(BB$7:BB$106,$AE97),1),IF($AF97&gt;0,INDEX(BB$7:BB$106,$AF97),1),IF($AG97&gt;0,INDEX(BB$7:BB$106,$AG97),1),IF($AH97&gt;0,INDEX(BB$7:BB$106,$AH97),1),IF($AI97&gt;0,INDEX(BB$7:BB$106,$AI97),1),IF($AJ97&gt;0,INDEX(BB$7:BB$106,$AJ97),1))))</ns0:f>
        <ns0:v>1</ns0:v>
      </ns0:c>
      <ns0:c r="BD97" t="n">
        <ns0:f>IF($A97="",1,IF(BC97=1,1,--AND(IF($AC97&gt;0,INDEX(BC$7:BC$106,$AC97),1),IF($AD97&gt;0,INDEX(BC$7:BC$106,$AD97),1),IF($AE97&gt;0,INDEX(BC$7:BC$106,$AE97),1),IF($AF97&gt;0,INDEX(BC$7:BC$106,$AF97),1),IF($AG97&gt;0,INDEX(BC$7:BC$106,$AG97),1),IF($AH97&gt;0,INDEX(BC$7:BC$106,$AH97),1),IF($AI97&gt;0,INDEX(BC$7:BC$106,$AI97),1),IF($AJ97&gt;0,INDEX(BC$7:BC$106,$AJ97),1))))</ns0:f>
        <ns0:v>1</ns0:v>
      </ns0:c>
      <ns0:c r="BE97" t="n">
        <ns0:f>IF($A97="",1,IF(BD97=1,1,--AND(IF($AC97&gt;0,INDEX(BD$7:BD$106,$AC97),1),IF($AD97&gt;0,INDEX(BD$7:BD$106,$AD97),1),IF($AE97&gt;0,INDEX(BD$7:BD$106,$AE97),1),IF($AF97&gt;0,INDEX(BD$7:BD$106,$AF97),1),IF($AG97&gt;0,INDEX(BD$7:BD$106,$AG97),1),IF($AH97&gt;0,INDEX(BD$7:BD$106,$AH97),1),IF($AI97&gt;0,INDEX(BD$7:BD$106,$AI97),1),IF($AJ97&gt;0,INDEX(BD$7:BD$106,$AJ97),1))))</ns0:f>
        <ns0:v>1</ns0:v>
      </ns0:c>
      <ns0:c r="BF97" t="n">
        <ns0:f>IF($A97="",1,IF(BE97=1,1,--AND(IF($AC97&gt;0,INDEX(BE$7:BE$106,$AC97),1),IF($AD97&gt;0,INDEX(BE$7:BE$106,$AD97),1),IF($AE97&gt;0,INDEX(BE$7:BE$106,$AE97),1),IF($AF97&gt;0,INDEX(BE$7:BE$106,$AF97),1),IF($AG97&gt;0,INDEX(BE$7:BE$106,$AG97),1),IF($AH97&gt;0,INDEX(BE$7:BE$106,$AH97),1),IF($AI97&gt;0,INDEX(BE$7:BE$106,$AI97),1),IF($AJ97&gt;0,INDEX(BE$7:BE$106,$AJ97),1))))</ns0:f>
        <ns0:v>1</ns0:v>
      </ns0:c>
      <ns0:c r="BG97" t="n">
        <ns0:f>IF($A97="",1,IF(BF97=1,1,--AND(IF($AC97&gt;0,INDEX(BF$7:BF$106,$AC97),1),IF($AD97&gt;0,INDEX(BF$7:BF$106,$AD97),1),IF($AE97&gt;0,INDEX(BF$7:BF$106,$AE97),1),IF($AF97&gt;0,INDEX(BF$7:BF$106,$AF97),1),IF($AG97&gt;0,INDEX(BF$7:BF$106,$AG97),1),IF($AH97&gt;0,INDEX(BF$7:BF$106,$AH97),1),IF($AI97&gt;0,INDEX(BF$7:BF$106,$AI97),1),IF($AJ97&gt;0,INDEX(BF$7:BF$106,$AJ97),1))))</ns0:f>
        <ns0:v>1</ns0:v>
      </ns0:c>
      <ns0:c r="BH97" t="n">
        <ns0:f>IF($A97="",1,IF(BG97=1,1,--AND(IF($AC97&gt;0,INDEX(BG$7:BG$106,$AC97),1),IF($AD97&gt;0,INDEX(BG$7:BG$106,$AD97),1),IF($AE97&gt;0,INDEX(BG$7:BG$106,$AE97),1),IF($AF97&gt;0,INDEX(BG$7:BG$106,$AF97),1),IF($AG97&gt;0,INDEX(BG$7:BG$106,$AG97),1),IF($AH97&gt;0,INDEX(BG$7:BG$106,$AH97),1),IF($AI97&gt;0,INDEX(BG$7:BG$106,$AI97),1),IF($AJ97&gt;0,INDEX(BG$7:BG$106,$AJ97),1))))</ns0:f>
        <ns0:v>1</ns0:v>
      </ns0:c>
      <ns0:c r="BI97" t="n">
        <ns0:f>IF($A97="",1,IF(BH97=1,1,--AND(IF($AC97&gt;0,INDEX(BH$7:BH$106,$AC97),1),IF($AD97&gt;0,INDEX(BH$7:BH$106,$AD97),1),IF($AE97&gt;0,INDEX(BH$7:BH$106,$AE97),1),IF($AF97&gt;0,INDEX(BH$7:BH$106,$AF97),1),IF($AG97&gt;0,INDEX(BH$7:BH$106,$AG97),1),IF($AH97&gt;0,INDEX(BH$7:BH$106,$AH97),1),IF($AI97&gt;0,INDEX(BH$7:BH$106,$AI97),1),IF($AJ97&gt;0,INDEX(BH$7:BH$106,$AJ97),1))))</ns0:f>
        <ns0:v>1</ns0:v>
      </ns0:c>
      <ns0:c r="BJ97" t="n">
        <ns0:f>IF($A97="",1,IF(BI97=1,1,--AND(IF($AC97&gt;0,INDEX(BI$7:BI$106,$AC97),1),IF($AD97&gt;0,INDEX(BI$7:BI$106,$AD97),1),IF($AE97&gt;0,INDEX(BI$7:BI$106,$AE97),1),IF($AF97&gt;0,INDEX(BI$7:BI$106,$AF97),1),IF($AG97&gt;0,INDEX(BI$7:BI$106,$AG97),1),IF($AH97&gt;0,INDEX(BI$7:BI$106,$AH97),1),IF($AI97&gt;0,INDEX(BI$7:BI$106,$AI97),1),IF($AJ97&gt;0,INDEX(BI$7:BI$106,$AJ97),1))))</ns0:f>
        <ns0:v>1</ns0:v>
      </ns0:c>
      <ns0:c r="BK97" t="n">
        <ns0:f>IF($A97="",1,IF(BJ97=1,1,--AND(IF($AC97&gt;0,INDEX(BJ$7:BJ$106,$AC97),1),IF($AD97&gt;0,INDEX(BJ$7:BJ$106,$AD97),1),IF($AE97&gt;0,INDEX(BJ$7:BJ$106,$AE97),1),IF($AF97&gt;0,INDEX(BJ$7:BJ$106,$AF97),1),IF($AG97&gt;0,INDEX(BJ$7:BJ$106,$AG97),1),IF($AH97&gt;0,INDEX(BJ$7:BJ$106,$AH97),1),IF($AI97&gt;0,INDEX(BJ$7:BJ$106,$AI97),1),IF($AJ97&gt;0,INDEX(BJ$7:BJ$106,$AJ97),1))))</ns0:f>
        <ns0:v>1</ns0:v>
      </ns0:c>
      <ns0:c r="BL97" t="n">
        <ns0:f>IF($A97="",1,IF(BK97=1,1,--AND(IF($AC97&gt;0,INDEX(BK$7:BK$106,$AC97),1),IF($AD97&gt;0,INDEX(BK$7:BK$106,$AD97),1),IF($AE97&gt;0,INDEX(BK$7:BK$106,$AE97),1),IF($AF97&gt;0,INDEX(BK$7:BK$106,$AF97),1),IF($AG97&gt;0,INDEX(BK$7:BK$106,$AG97),1),IF($AH97&gt;0,INDEX(BK$7:BK$106,$AH97),1),IF($AI97&gt;0,INDEX(BK$7:BK$106,$AI97),1),IF($AJ97&gt;0,INDEX(BK$7:BK$106,$AJ97),1))))</ns0:f>
        <ns0:v>1</ns0:v>
      </ns0:c>
      <ns0:c r="BM97" t="n">
        <ns0:f>IF($A97="",1,IF(BL97=1,1,--AND(IF($AC97&gt;0,INDEX(BL$7:BL$106,$AC97),1),IF($AD97&gt;0,INDEX(BL$7:BL$106,$AD97),1),IF($AE97&gt;0,INDEX(BL$7:BL$106,$AE97),1),IF($AF97&gt;0,INDEX(BL$7:BL$106,$AF97),1),IF($AG97&gt;0,INDEX(BL$7:BL$106,$AG97),1),IF($AH97&gt;0,INDEX(BL$7:BL$106,$AH97),1),IF($AI97&gt;0,INDEX(BL$7:BL$106,$AI97),1),IF($AJ97&gt;0,INDEX(BL$7:BL$106,$AJ97),1))))</ns0:f>
        <ns0:v>1</ns0:v>
      </ns0:c>
      <ns0:c r="BN97" t="n">
        <ns0:f>IF($A97="",1,IF(BM97=1,1,--AND(IF($AC97&gt;0,INDEX(BM$7:BM$106,$AC97),1),IF($AD97&gt;0,INDEX(BM$7:BM$106,$AD97),1),IF($AE97&gt;0,INDEX(BM$7:BM$106,$AE97),1),IF($AF97&gt;0,INDEX(BM$7:BM$106,$AF97),1),IF($AG97&gt;0,INDEX(BM$7:BM$106,$AG97),1),IF($AH97&gt;0,INDEX(BM$7:BM$106,$AH97),1),IF($AI97&gt;0,INDEX(BM$7:BM$106,$AI97),1),IF($AJ97&gt;0,INDEX(BM$7:BM$106,$AJ97),1))))</ns0:f>
        <ns0:v>1</ns0:v>
      </ns0:c>
      <ns0:c r="BO97" t="n">
        <ns0:f>IF($A97="",1,IF(BN97=1,1,--AND(IF($AC97&gt;0,INDEX(BN$7:BN$106,$AC97),1),IF($AD97&gt;0,INDEX(BN$7:BN$106,$AD97),1),IF($AE97&gt;0,INDEX(BN$7:BN$106,$AE97),1),IF($AF97&gt;0,INDEX(BN$7:BN$106,$AF97),1),IF($AG97&gt;0,INDEX(BN$7:BN$106,$AG97),1),IF($AH97&gt;0,INDEX(BN$7:BN$106,$AH97),1),IF($AI97&gt;0,INDEX(BN$7:BN$106,$AI97),1),IF($AJ97&gt;0,INDEX(BN$7:BN$106,$AJ97),1))))</ns0:f>
        <ns0:v>1</ns0:v>
      </ns0:c>
      <ns0:c r="BP97" t="n">
        <ns0:f>IF($A97="",1,IF(BO97=1,1,--AND(IF($AC97&gt;0,INDEX(BO$7:BO$106,$AC97),1),IF($AD97&gt;0,INDEX(BO$7:BO$106,$AD97),1),IF($AE97&gt;0,INDEX(BO$7:BO$106,$AE97),1),IF($AF97&gt;0,INDEX(BO$7:BO$106,$AF97),1),IF($AG97&gt;0,INDEX(BO$7:BO$106,$AG97),1),IF($AH97&gt;0,INDEX(BO$7:BO$106,$AH97),1),IF($AI97&gt;0,INDEX(BO$7:BO$106,$AI97),1),IF($AJ97&gt;0,INDEX(BO$7:BO$106,$AJ97),1))))</ns0:f>
        <ns0:v>1</ns0:v>
      </ns0:c>
      <ns0:c r="BQ97" t="n">
        <ns0:f>IF($A97="",1,IF(BP97=1,1,--AND(IF($AC97&gt;0,INDEX(BP$7:BP$106,$AC97),1),IF($AD97&gt;0,INDEX(BP$7:BP$106,$AD97),1),IF($AE97&gt;0,INDEX(BP$7:BP$106,$AE97),1),IF($AF97&gt;0,INDEX(BP$7:BP$106,$AF97),1),IF($AG97&gt;0,INDEX(BP$7:BP$106,$AG97),1),IF($AH97&gt;0,INDEX(BP$7:BP$106,$AH97),1),IF($AI97&gt;0,INDEX(BP$7:BP$106,$AI97),1),IF($AJ97&gt;0,INDEX(BP$7:BP$106,$AJ97),1))))</ns0:f>
        <ns0:v>1</ns0:v>
      </ns0:c>
      <ns0:c r="BR97" t="n">
        <ns0:f>IF($A97="",1,IF(BQ97=1,1,--AND(IF($AC97&gt;0,INDEX(BQ$7:BQ$106,$AC97),1),IF($AD97&gt;0,INDEX(BQ$7:BQ$106,$AD97),1),IF($AE97&gt;0,INDEX(BQ$7:BQ$106,$AE97),1),IF($AF97&gt;0,INDEX(BQ$7:BQ$106,$AF97),1),IF($AG97&gt;0,INDEX(BQ$7:BQ$106,$AG97),1),IF($AH97&gt;0,INDEX(BQ$7:BQ$106,$AH97),1),IF($AI97&gt;0,INDEX(BQ$7:BQ$106,$AI97),1),IF($AJ97&gt;0,INDEX(BQ$7:BQ$106,$AJ97),1))))</ns0:f>
        <ns0:v>1</ns0:v>
      </ns0:c>
      <ns0:c r="BS97" t="n">
        <ns0:f>IF($A97="",1,IF(BR97=1,1,--AND(IF($AC97&gt;0,INDEX(BR$7:BR$106,$AC97),1),IF($AD97&gt;0,INDEX(BR$7:BR$106,$AD97),1),IF($AE97&gt;0,INDEX(BR$7:BR$106,$AE97),1),IF($AF97&gt;0,INDEX(BR$7:BR$106,$AF97),1),IF($AG97&gt;0,INDEX(BR$7:BR$106,$AG97),1),IF($AH97&gt;0,INDEX(BR$7:BR$106,$AH97),1),IF($AI97&gt;0,INDEX(BR$7:BR$106,$AI97),1),IF($AJ97&gt;0,INDEX(BR$7:BR$106,$AJ97),1))))</ns0:f>
        <ns0:v>1</ns0:v>
      </ns0:c>
      <ns0:c r="BT97" t="n">
        <ns0:f>IF($A97="",1,IF(BS97=1,1,--AND(IF($AC97&gt;0,INDEX(BS$7:BS$106,$AC97),1),IF($AD97&gt;0,INDEX(BS$7:BS$106,$AD97),1),IF($AE97&gt;0,INDEX(BS$7:BS$106,$AE97),1),IF($AF97&gt;0,INDEX(BS$7:BS$106,$AF97),1),IF($AG97&gt;0,INDEX(BS$7:BS$106,$AG97),1),IF($AH97&gt;0,INDEX(BS$7:BS$106,$AH97),1),IF($AI97&gt;0,INDEX(BS$7:BS$106,$AI97),1),IF($AJ97&gt;0,INDEX(BS$7:BS$106,$AJ97),1))))</ns0:f>
        <ns0:v>1</ns0:v>
      </ns0:c>
      <ns0:c r="BU97" t="n">
        <ns0:f>IF($A97="",1,IF(BT97=1,1,--AND(IF($AC97&gt;0,INDEX(BT$7:BT$106,$AC97),1),IF($AD97&gt;0,INDEX(BT$7:BT$106,$AD97),1),IF($AE97&gt;0,INDEX(BT$7:BT$106,$AE97),1),IF($AF97&gt;0,INDEX(BT$7:BT$106,$AF97),1),IF($AG97&gt;0,INDEX(BT$7:BT$106,$AG97),1),IF($AH97&gt;0,INDEX(BT$7:BT$106,$AH97),1),IF($AI97&gt;0,INDEX(BT$7:BT$106,$AI97),1),IF($AJ97&gt;0,INDEX(BT$7:BT$106,$AJ97),1))))</ns0:f>
        <ns0:v>1</ns0:v>
      </ns0:c>
      <ns0:c r="BV97" t="n">
        <ns0:f>IF($A97="",1,IF(BU97=1,1,--AND(IF($AC97&gt;0,INDEX(BU$7:BU$106,$AC97),1),IF($AD97&gt;0,INDEX(BU$7:BU$106,$AD97),1),IF($AE97&gt;0,INDEX(BU$7:BU$106,$AE97),1),IF($AF97&gt;0,INDEX(BU$7:BU$106,$AF97),1),IF($AG97&gt;0,INDEX(BU$7:BU$106,$AG97),1),IF($AH97&gt;0,INDEX(BU$7:BU$106,$AH97),1),IF($AI97&gt;0,INDEX(BU$7:BU$106,$AI97),1),IF($AJ97&gt;0,INDEX(BU$7:BU$106,$AJ97),1))))</ns0:f>
        <ns0:v>1</ns0:v>
      </ns0:c>
      <ns0:c r="BW97" t="n">
        <ns0:f>IF($A97="",1,IF(BV97=1,1,--AND(IF($AC97&gt;0,INDEX(BV$7:BV$106,$AC97),1),IF($AD97&gt;0,INDEX(BV$7:BV$106,$AD97),1),IF($AE97&gt;0,INDEX(BV$7:BV$106,$AE97),1),IF($AF97&gt;0,INDEX(BV$7:BV$106,$AF97),1),IF($AG97&gt;0,INDEX(BV$7:BV$106,$AG97),1),IF($AH97&gt;0,INDEX(BV$7:BV$106,$AH97),1),IF($AI97&gt;0,INDEX(BV$7:BV$106,$AI97),1),IF($AJ97&gt;0,INDEX(BV$7:BV$106,$AJ97),1))))</ns0:f>
        <ns0:v>1</ns0:v>
      </ns0:c>
      <ns0:c r="BX97" t="n">
        <ns0:f>IF($A97="",1,IF(BW97=1,1,--AND(IF($AC97&gt;0,INDEX(BW$7:BW$106,$AC97),1),IF($AD97&gt;0,INDEX(BW$7:BW$106,$AD97),1),IF($AE97&gt;0,INDEX(BW$7:BW$106,$AE97),1),IF($AF97&gt;0,INDEX(BW$7:BW$106,$AF97),1),IF($AG97&gt;0,INDEX(BW$7:BW$106,$AG97),1),IF($AH97&gt;0,INDEX(BW$7:BW$106,$AH97),1),IF($AI97&gt;0,INDEX(BW$7:BW$106,$AI97),1),IF($AJ97&gt;0,INDEX(BW$7:BW$106,$AJ97),1))))</ns0:f>
        <ns0:v>1</ns0:v>
      </ns0:c>
      <ns0:c r="BY97" t="n">
        <ns0:f>IF($A97="",1,IF(BX97=1,1,--AND(IF($AC97&gt;0,INDEX(BX$7:BX$106,$AC97),1),IF($AD97&gt;0,INDEX(BX$7:BX$106,$AD97),1),IF($AE97&gt;0,INDEX(BX$7:BX$106,$AE97),1),IF($AF97&gt;0,INDEX(BX$7:BX$106,$AF97),1),IF($AG97&gt;0,INDEX(BX$7:BX$106,$AG97),1),IF($AH97&gt;0,INDEX(BX$7:BX$106,$AH97),1),IF($AI97&gt;0,INDEX(BX$7:BX$106,$AI97),1),IF($AJ97&gt;0,INDEX(BX$7:BX$106,$AJ97),1))))</ns0:f>
        <ns0:v>1</ns0:v>
      </ns0:c>
      <ns0:c r="BZ97" t="n">
        <ns0:f>IF($A97="",1,IF(BY97=1,1,--AND(IF($AC97&gt;0,INDEX(BY$7:BY$106,$AC97),1),IF($AD97&gt;0,INDEX(BY$7:BY$106,$AD97),1),IF($AE97&gt;0,INDEX(BY$7:BY$106,$AE97),1),IF($AF97&gt;0,INDEX(BY$7:BY$106,$AF97),1),IF($AG97&gt;0,INDEX(BY$7:BY$106,$AG97),1),IF($AH97&gt;0,INDEX(BY$7:BY$106,$AH97),1),IF($AI97&gt;0,INDEX(BY$7:BY$106,$AI97),1),IF($AJ97&gt;0,INDEX(BY$7:BY$106,$AJ97),1))))</ns0:f>
        <ns0:v>1</ns0:v>
      </ns0:c>
      <ns0:c r="CA97" t="n">
        <ns0:f>IF($A97="",1,IF(BZ97=1,1,--AND(IF($AC97&gt;0,INDEX(BZ$7:BZ$106,$AC97),1),IF($AD97&gt;0,INDEX(BZ$7:BZ$106,$AD97),1),IF($AE97&gt;0,INDEX(BZ$7:BZ$106,$AE97),1),IF($AF97&gt;0,INDEX(BZ$7:BZ$106,$AF97),1),IF($AG97&gt;0,INDEX(BZ$7:BZ$106,$AG97),1),IF($AH97&gt;0,INDEX(BZ$7:BZ$106,$AH97),1),IF($AI97&gt;0,INDEX(BZ$7:BZ$106,$AI97),1),IF($AJ97&gt;0,INDEX(BZ$7:BZ$106,$AJ97),1))))</ns0:f>
        <ns0:v>1</ns0:v>
      </ns0:c>
      <ns0:c r="CB97" t="n">
        <ns0:f>IF($A97="",1,IF(CA97=1,1,--AND(IF($AC97&gt;0,INDEX(CA$7:CA$106,$AC97),1),IF($AD97&gt;0,INDEX(CA$7:CA$106,$AD97),1),IF($AE97&gt;0,INDEX(CA$7:CA$106,$AE97),1),IF($AF97&gt;0,INDEX(CA$7:CA$106,$AF97),1),IF($AG97&gt;0,INDEX(CA$7:CA$106,$AG97),1),IF($AH97&gt;0,INDEX(CA$7:CA$106,$AH97),1),IF($AI97&gt;0,INDEX(CA$7:CA$106,$AI97),1),IF($AJ97&gt;0,INDEX(CA$7:CA$106,$AJ97),1))))</ns0:f>
        <ns0:v>1</ns0:v>
      </ns0:c>
      <ns0:c r="CC97" t="n">
        <ns0:f>IF($A97="",1,IF(CB97=1,1,--AND(IF($AC97&gt;0,INDEX(CB$7:CB$106,$AC97),1),IF($AD97&gt;0,INDEX(CB$7:CB$106,$AD97),1),IF($AE97&gt;0,INDEX(CB$7:CB$106,$AE97),1),IF($AF97&gt;0,INDEX(CB$7:CB$106,$AF97),1),IF($AG97&gt;0,INDEX(CB$7:CB$106,$AG97),1),IF($AH97&gt;0,INDEX(CB$7:CB$106,$AH97),1),IF($AI97&gt;0,INDEX(CB$7:CB$106,$AI97),1),IF($AJ97&gt;0,INDEX(CB$7:CB$106,$AJ97),1))))</ns0:f>
        <ns0:v>1</ns0:v>
      </ns0:c>
      <ns0:c r="CD97" t="n">
        <ns0:f>IF($A97="",1,IF(CC97=1,1,--AND(IF($AC97&gt;0,INDEX(CC$7:CC$106,$AC97),1),IF($AD97&gt;0,INDEX(CC$7:CC$106,$AD97),1),IF($AE97&gt;0,INDEX(CC$7:CC$106,$AE97),1),IF($AF97&gt;0,INDEX(CC$7:CC$106,$AF97),1),IF($AG97&gt;0,INDEX(CC$7:CC$106,$AG97),1),IF($AH97&gt;0,INDEX(CC$7:CC$106,$AH97),1),IF($AI97&gt;0,INDEX(CC$7:CC$106,$AI97),1),IF($AJ97&gt;0,INDEX(CC$7:CC$106,$AJ97),1))))</ns0:f>
        <ns0:v>1</ns0:v>
      </ns0:c>
      <ns0:c r="CE97" t="n">
        <ns0:f>IF($A97="",1,IF(CD97=1,1,--AND(IF($AC97&gt;0,INDEX(CD$7:CD$106,$AC97),1),IF($AD97&gt;0,INDEX(CD$7:CD$106,$AD97),1),IF($AE97&gt;0,INDEX(CD$7:CD$106,$AE97),1),IF($AF97&gt;0,INDEX(CD$7:CD$106,$AF97),1),IF($AG97&gt;0,INDEX(CD$7:CD$106,$AG97),1),IF($AH97&gt;0,INDEX(CD$7:CD$106,$AH97),1),IF($AI97&gt;0,INDEX(CD$7:CD$106,$AI97),1),IF($AJ97&gt;0,INDEX(CD$7:CD$106,$AJ97),1))))</ns0:f>
        <ns0:v>1</ns0:v>
      </ns0:c>
      <ns0:c r="CF97" t="n">
        <ns0:f>IF($A97="",1,IF(CE97=1,1,--AND(IF($AC97&gt;0,INDEX(CE$7:CE$106,$AC97),1),IF($AD97&gt;0,INDEX(CE$7:CE$106,$AD97),1),IF($AE97&gt;0,INDEX(CE$7:CE$106,$AE97),1),IF($AF97&gt;0,INDEX(CE$7:CE$106,$AF97),1),IF($AG97&gt;0,INDEX(CE$7:CE$106,$AG97),1),IF($AH97&gt;0,INDEX(CE$7:CE$106,$AH97),1),IF($AI97&gt;0,INDEX(CE$7:CE$106,$AI97),1),IF($AJ97&gt;0,INDEX(CE$7:CE$106,$AJ97),1))))</ns0:f>
        <ns0:v>1</ns0:v>
      </ns0:c>
      <ns0:c r="CG97" t="n">
        <ns0:f>IF($A97="",1,IF(CF97=1,1,--AND(IF($AC97&gt;0,INDEX(CF$7:CF$106,$AC97),1),IF($AD97&gt;0,INDEX(CF$7:CF$106,$AD97),1),IF($AE97&gt;0,INDEX(CF$7:CF$106,$AE97),1),IF($AF97&gt;0,INDEX(CF$7:CF$106,$AF97),1),IF($AG97&gt;0,INDEX(CF$7:CF$106,$AG97),1),IF($AH97&gt;0,INDEX(CF$7:CF$106,$AH97),1),IF($AI97&gt;0,INDEX(CF$7:CF$106,$AI97),1),IF($AJ97&gt;0,INDEX(CF$7:CF$106,$AJ97),1))))</ns0:f>
        <ns0:v>1</ns0:v>
      </ns0:c>
      <ns0:c r="CH97" t="n">
        <ns0:f>IF($A97="",1,IF(CG97=1,1,--AND(IF($AC97&gt;0,INDEX(CG$7:CG$106,$AC97),1),IF($AD97&gt;0,INDEX(CG$7:CG$106,$AD97),1),IF($AE97&gt;0,INDEX(CG$7:CG$106,$AE97),1),IF($AF97&gt;0,INDEX(CG$7:CG$106,$AF97),1),IF($AG97&gt;0,INDEX(CG$7:CG$106,$AG97),1),IF($AH97&gt;0,INDEX(CG$7:CG$106,$AH97),1),IF($AI97&gt;0,INDEX(CG$7:CG$106,$AI97),1),IF($AJ97&gt;0,INDEX(CG$7:CG$106,$AJ97),1))))</ns0:f>
        <ns0:v>1</ns0:v>
      </ns0:c>
      <ns0:c r="CI97" t="n">
        <ns0:f>IF($A97="",1,IF(CH97=1,1,--AND(IF($AC97&gt;0,INDEX(CH$7:CH$106,$AC97),1),IF($AD97&gt;0,INDEX(CH$7:CH$106,$AD97),1),IF($AE97&gt;0,INDEX(CH$7:CH$106,$AE97),1),IF($AF97&gt;0,INDEX(CH$7:CH$106,$AF97),1),IF($AG97&gt;0,INDEX(CH$7:CH$106,$AG97),1),IF($AH97&gt;0,INDEX(CH$7:CH$106,$AH97),1),IF($AI97&gt;0,INDEX(CH$7:CH$106,$AI97),1),IF($AJ97&gt;0,INDEX(CH$7:CH$106,$AJ97),1))))</ns0:f>
        <ns0:v>1</ns0:v>
      </ns0:c>
      <ns0:c r="CJ97" t="n">
        <ns0:f>IF($A97="",1,IF(CI97=1,1,--AND(IF($AC97&gt;0,INDEX(CI$7:CI$106,$AC97),1),IF($AD97&gt;0,INDEX(CI$7:CI$106,$AD97),1),IF($AE97&gt;0,INDEX(CI$7:CI$106,$AE97),1),IF($AF97&gt;0,INDEX(CI$7:CI$106,$AF97),1),IF($AG97&gt;0,INDEX(CI$7:CI$106,$AG97),1),IF($AH97&gt;0,INDEX(CI$7:CI$106,$AH97),1),IF($AI97&gt;0,INDEX(CI$7:CI$106,$AI97),1),IF($AJ97&gt;0,INDEX(CI$7:CI$106,$AJ97),1))))</ns0:f>
        <ns0:v>1</ns0:v>
      </ns0:c>
      <ns0:c r="CK97" t="n">
        <ns0:f>IF($A97="",1,IF(CJ97=1,1,--AND(IF($AC97&gt;0,INDEX(CJ$7:CJ$106,$AC97),1),IF($AD97&gt;0,INDEX(CJ$7:CJ$106,$AD97),1),IF($AE97&gt;0,INDEX(CJ$7:CJ$106,$AE97),1),IF($AF97&gt;0,INDEX(CJ$7:CJ$106,$AF97),1),IF($AG97&gt;0,INDEX(CJ$7:CJ$106,$AG97),1),IF($AH97&gt;0,INDEX(CJ$7:CJ$106,$AH97),1),IF($AI97&gt;0,INDEX(CJ$7:CJ$106,$AI97),1),IF($AJ97&gt;0,INDEX(CJ$7:CJ$106,$AJ97),1))))</ns0:f>
        <ns0:v>1</ns0:v>
      </ns0:c>
      <ns0:c r="CL97" t="n">
        <ns0:f>IF($A97="",1,IF(CK97=1,1,--AND(IF($AC97&gt;0,INDEX(CK$7:CK$106,$AC97),1),IF($AD97&gt;0,INDEX(CK$7:CK$106,$AD97),1),IF($AE97&gt;0,INDEX(CK$7:CK$106,$AE97),1),IF($AF97&gt;0,INDEX(CK$7:CK$106,$AF97),1),IF($AG97&gt;0,INDEX(CK$7:CK$106,$AG97),1),IF($AH97&gt;0,INDEX(CK$7:CK$106,$AH97),1),IF($AI97&gt;0,INDEX(CK$7:CK$106,$AI97),1),IF($AJ97&gt;0,INDEX(CK$7:CK$106,$AJ97),1))))</ns0:f>
        <ns0:v>1</ns0:v>
      </ns0:c>
      <ns0:c r="CM97" t="n">
        <ns0:f>IF($A97="",1,IF(CL97=1,1,--AND(IF($AC97&gt;0,INDEX(CL$7:CL$106,$AC97),1),IF($AD97&gt;0,INDEX(CL$7:CL$106,$AD97),1),IF($AE97&gt;0,INDEX(CL$7:CL$106,$AE97),1),IF($AF97&gt;0,INDEX(CL$7:CL$106,$AF97),1),IF($AG97&gt;0,INDEX(CL$7:CL$106,$AG97),1),IF($AH97&gt;0,INDEX(CL$7:CL$106,$AH97),1),IF($AI97&gt;0,INDEX(CL$7:CL$106,$AI97),1),IF($AJ97&gt;0,INDEX(CL$7:CL$106,$AJ97),1))))</ns0:f>
        <ns0:v>1</ns0:v>
      </ns0:c>
      <ns0:c r="CN97" t="n">
        <ns0:f>IF($A97="",1,IF(CM97=1,1,--AND(IF($AC97&gt;0,INDEX(CM$7:CM$106,$AC97),1),IF($AD97&gt;0,INDEX(CM$7:CM$106,$AD97),1),IF($AE97&gt;0,INDEX(CM$7:CM$106,$AE97),1),IF($AF97&gt;0,INDEX(CM$7:CM$106,$AF97),1),IF($AG97&gt;0,INDEX(CM$7:CM$106,$AG97),1),IF($AH97&gt;0,INDEX(CM$7:CM$106,$AH97),1),IF($AI97&gt;0,INDEX(CM$7:CM$106,$AI97),1),IF($AJ97&gt;0,INDEX(CM$7:CM$106,$AJ97),1))))</ns0:f>
        <ns0:v>1</ns0:v>
      </ns0:c>
      <ns0:c r="CO97" t="n">
        <ns0:f>IF($A97="",1,IF(CN97=1,1,--AND(IF($AC97&gt;0,INDEX(CN$7:CN$106,$AC97),1),IF($AD97&gt;0,INDEX(CN$7:CN$106,$AD97),1),IF($AE97&gt;0,INDEX(CN$7:CN$106,$AE97),1),IF($AF97&gt;0,INDEX(CN$7:CN$106,$AF97),1),IF($AG97&gt;0,INDEX(CN$7:CN$106,$AG97),1),IF($AH97&gt;0,INDEX(CN$7:CN$106,$AH97),1),IF($AI97&gt;0,INDEX(CN$7:CN$106,$AI97),1),IF($AJ97&gt;0,INDEX(CN$7:CN$106,$AJ97),1))))</ns0:f>
        <ns0:v>1</ns0:v>
      </ns0:c>
      <ns0:c r="CP97" t="n">
        <ns0:f>IF($A97="",1,IF(CO97=1,1,--AND(IF($AC97&gt;0,INDEX(CO$7:CO$106,$AC97),1),IF($AD97&gt;0,INDEX(CO$7:CO$106,$AD97),1),IF($AE97&gt;0,INDEX(CO$7:CO$106,$AE97),1),IF($AF97&gt;0,INDEX(CO$7:CO$106,$AF97),1),IF($AG97&gt;0,INDEX(CO$7:CO$106,$AG97),1),IF($AH97&gt;0,INDEX(CO$7:CO$106,$AH97),1),IF($AI97&gt;0,INDEX(CO$7:CO$106,$AI97),1),IF($AJ97&gt;0,INDEX(CO$7:CO$106,$AJ97),1))))</ns0:f>
        <ns0:v>1</ns0:v>
      </ns0:c>
      <ns0:c r="CQ97" t="n">
        <ns0:f>IF($A97="",1,IF(CP97=1,1,--AND(IF($AC97&gt;0,INDEX(CP$7:CP$106,$AC97),1),IF($AD97&gt;0,INDEX(CP$7:CP$106,$AD97),1),IF($AE97&gt;0,INDEX(CP$7:CP$106,$AE97),1),IF($AF97&gt;0,INDEX(CP$7:CP$106,$AF97),1),IF($AG97&gt;0,INDEX(CP$7:CP$106,$AG97),1),IF($AH97&gt;0,INDEX(CP$7:CP$106,$AH97),1),IF($AI97&gt;0,INDEX(CP$7:CP$106,$AI97),1),IF($AJ97&gt;0,INDEX(CP$7:CP$106,$AJ97),1))))</ns0:f>
        <ns0:v>1</ns0:v>
      </ns0:c>
      <ns0:c r="CR97" t="n">
        <ns0:f>IF($A97="",1,IF(CQ97=1,1,--AND(IF($AC97&gt;0,INDEX(CQ$7:CQ$106,$AC97),1),IF($AD97&gt;0,INDEX(CQ$7:CQ$106,$AD97),1),IF($AE97&gt;0,INDEX(CQ$7:CQ$106,$AE97),1),IF($AF97&gt;0,INDEX(CQ$7:CQ$106,$AF97),1),IF($AG97&gt;0,INDEX(CQ$7:CQ$106,$AG97),1),IF($AH97&gt;0,INDEX(CQ$7:CQ$106,$AH97),1),IF($AI97&gt;0,INDEX(CQ$7:CQ$106,$AI97),1),IF($AJ97&gt;0,INDEX(CQ$7:CQ$106,$AJ97),1))))</ns0:f>
        <ns0:v>1</ns0:v>
      </ns0:c>
      <ns0:c r="CS97" t="n">
        <ns0:f>IF($A97="",1,IF(CR97=1,1,--AND(IF($AC97&gt;0,INDEX(CR$7:CR$106,$AC97),1),IF($AD97&gt;0,INDEX(CR$7:CR$106,$AD97),1),IF($AE97&gt;0,INDEX(CR$7:CR$106,$AE97),1),IF($AF97&gt;0,INDEX(CR$7:CR$106,$AF97),1),IF($AG97&gt;0,INDEX(CR$7:CR$106,$AG97),1),IF($AH97&gt;0,INDEX(CR$7:CR$106,$AH97),1),IF($AI97&gt;0,INDEX(CR$7:CR$106,$AI97),1),IF($AJ97&gt;0,INDEX(CR$7:CR$106,$AJ97),1))))</ns0:f>
        <ns0:v>1</ns0:v>
      </ns0:c>
      <ns0:c r="CT97" t="n">
        <ns0:f>IF($A97="",1,IF(CS97=1,1,--AND(IF($AC97&gt;0,INDEX(CS$7:CS$106,$AC97),1),IF($AD97&gt;0,INDEX(CS$7:CS$106,$AD97),1),IF($AE97&gt;0,INDEX(CS$7:CS$106,$AE97),1),IF($AF97&gt;0,INDEX(CS$7:CS$106,$AF97),1),IF($AG97&gt;0,INDEX(CS$7:CS$106,$AG97),1),IF($AH97&gt;0,INDEX(CS$7:CS$106,$AH97),1),IF($AI97&gt;0,INDEX(CS$7:CS$106,$AI97),1),IF($AJ97&gt;0,INDEX(CS$7:CS$106,$AJ97),1))))</ns0:f>
        <ns0:v>1</ns0:v>
      </ns0:c>
      <ns0:c r="CU97" t="n">
        <ns0:f>IF($A97="",1,IF(CT97=1,1,--AND(IF($AC97&gt;0,INDEX(CT$7:CT$106,$AC97),1),IF($AD97&gt;0,INDEX(CT$7:CT$106,$AD97),1),IF($AE97&gt;0,INDEX(CT$7:CT$106,$AE97),1),IF($AF97&gt;0,INDEX(CT$7:CT$106,$AF97),1),IF($AG97&gt;0,INDEX(CT$7:CT$106,$AG97),1),IF($AH97&gt;0,INDEX(CT$7:CT$106,$AH97),1),IF($AI97&gt;0,INDEX(CT$7:CT$106,$AI97),1),IF($AJ97&gt;0,INDEX(CT$7:CT$106,$AJ97),1))))</ns0:f>
        <ns0:v>1</ns0:v>
      </ns0:c>
      <ns0:c r="CV97" t="n">
        <ns0:f>IF($A97="",1,IF(CU97=1,1,--AND(IF($AC97&gt;0,INDEX(CU$7:CU$106,$AC97),1),IF($AD97&gt;0,INDEX(CU$7:CU$106,$AD97),1),IF($AE97&gt;0,INDEX(CU$7:CU$106,$AE97),1),IF($AF97&gt;0,INDEX(CU$7:CU$106,$AF97),1),IF($AG97&gt;0,INDEX(CU$7:CU$106,$AG97),1),IF($AH97&gt;0,INDEX(CU$7:CU$106,$AH97),1),IF($AI97&gt;0,INDEX(CU$7:CU$106,$AI97),1),IF($AJ97&gt;0,INDEX(CU$7:CU$106,$AJ97),1))))</ns0:f>
        <ns0:v>1</ns0:v>
      </ns0:c>
      <ns0:c r="CW97" t="n">
        <ns0:f>IF($A97="",1,IF(CV97=1,1,--AND(IF($AC97&gt;0,INDEX(CV$7:CV$106,$AC97),1),IF($AD97&gt;0,INDEX(CV$7:CV$106,$AD97),1),IF($AE97&gt;0,INDEX(CV$7:CV$106,$AE97),1),IF($AF97&gt;0,INDEX(CV$7:CV$106,$AF97),1),IF($AG97&gt;0,INDEX(CV$7:CV$106,$AG97),1),IF($AH97&gt;0,INDEX(CV$7:CV$106,$AH97),1),IF($AI97&gt;0,INDEX(CV$7:CV$106,$AI97),1),IF($AJ97&gt;0,INDEX(CV$7:CV$106,$AJ97),1))))</ns0:f>
        <ns0:v>1</ns0:v>
      </ns0:c>
      <ns0:c r="CX97" t="n">
        <ns0:f>IF($A97="",1,IF(CW97=1,1,--AND(IF($AC97&gt;0,INDEX(CW$7:CW$106,$AC97),1),IF($AD97&gt;0,INDEX(CW$7:CW$106,$AD97),1),IF($AE97&gt;0,INDEX(CW$7:CW$106,$AE97),1),IF($AF97&gt;0,INDEX(CW$7:CW$106,$AF97),1),IF($AG97&gt;0,INDEX(CW$7:CW$106,$AG97),1),IF($AH97&gt;0,INDEX(CW$7:CW$106,$AH97),1),IF($AI97&gt;0,INDEX(CW$7:CW$106,$AI97),1),IF($AJ97&gt;0,INDEX(CW$7:CW$106,$AJ97),1))))</ns0:f>
        <ns0:v>1</ns0:v>
      </ns0:c>
      <ns0:c r="CY97" t="n">
        <ns0:f>IF($A97="",1,IF(CX97=1,1,--AND(IF($AC97&gt;0,INDEX(CX$7:CX$106,$AC97),1),IF($AD97&gt;0,INDEX(CX$7:CX$106,$AD97),1),IF($AE97&gt;0,INDEX(CX$7:CX$106,$AE97),1),IF($AF97&gt;0,INDEX(CX$7:CX$106,$AF97),1),IF($AG97&gt;0,INDEX(CX$7:CX$106,$AG97),1),IF($AH97&gt;0,INDEX(CX$7:CX$106,$AH97),1),IF($AI97&gt;0,INDEX(CX$7:CX$106,$AI97),1),IF($AJ97&gt;0,INDEX(CX$7:CX$106,$AJ97),1))))</ns0:f>
        <ns0:v>1</ns0:v>
      </ns0:c>
      <ns0:c r="CZ97" t="n">
        <ns0:f>IF($A97="",1,IF(CY97=1,1,--AND(IF($AC97&gt;0,INDEX(CY$7:CY$106,$AC97),1),IF($AD97&gt;0,INDEX(CY$7:CY$106,$AD97),1),IF($AE97&gt;0,INDEX(CY$7:CY$106,$AE97),1),IF($AF97&gt;0,INDEX(CY$7:CY$106,$AF97),1),IF($AG97&gt;0,INDEX(CY$7:CY$106,$AG97),1),IF($AH97&gt;0,INDEX(CY$7:CY$106,$AH97),1),IF($AI97&gt;0,INDEX(CY$7:CY$106,$AI97),1),IF($AJ97&gt;0,INDEX(CY$7:CY$106,$AJ97),1))))</ns0:f>
        <ns0:v>1</ns0:v>
      </ns0:c>
      <ns0:c r="DA97" t="n">
        <ns0:f>IF($A97="",1,IF(CZ97=1,1,--AND(IF($AC97&gt;0,INDEX(CZ$7:CZ$106,$AC97),1),IF($AD97&gt;0,INDEX(CZ$7:CZ$106,$AD97),1),IF($AE97&gt;0,INDEX(CZ$7:CZ$106,$AE97),1),IF($AF97&gt;0,INDEX(CZ$7:CZ$106,$AF97),1),IF($AG97&gt;0,INDEX(CZ$7:CZ$106,$AG97),1),IF($AH97&gt;0,INDEX(CZ$7:CZ$106,$AH97),1),IF($AI97&gt;0,INDEX(CZ$7:CZ$106,$AI97),1),IF($AJ97&gt;0,INDEX(CZ$7:CZ$106,$AJ97),1))))</ns0:f>
        <ns0:v>1</ns0:v>
      </ns0:c>
      <ns0:c r="DB97" t="n">
        <ns0:f>IF($A97="",1,IF(DA97=1,1,--AND(IF($AC97&gt;0,INDEX(DA$7:DA$106,$AC97),1),IF($AD97&gt;0,INDEX(DA$7:DA$106,$AD97),1),IF($AE97&gt;0,INDEX(DA$7:DA$106,$AE97),1),IF($AF97&gt;0,INDEX(DA$7:DA$106,$AF97),1),IF($AG97&gt;0,INDEX(DA$7:DA$106,$AG97),1),IF($AH97&gt;0,INDEX(DA$7:DA$106,$AH97),1),IF($AI97&gt;0,INDEX(DA$7:DA$106,$AI97),1),IF($AJ97&gt;0,INDEX(DA$7:DA$106,$AJ97),1))))</ns0:f>
        <ns0:v>1</ns0:v>
      </ns0:c>
      <ns0:c r="DC97" t="n">
        <ns0:f>IF($A97="",1,IF(DB97=1,1,--AND(IF($AC97&gt;0,INDEX(DB$7:DB$106,$AC97),1),IF($AD97&gt;0,INDEX(DB$7:DB$106,$AD97),1),IF($AE97&gt;0,INDEX(DB$7:DB$106,$AE97),1),IF($AF97&gt;0,INDEX(DB$7:DB$106,$AF97),1),IF($AG97&gt;0,INDEX(DB$7:DB$106,$AG97),1),IF($AH97&gt;0,INDEX(DB$7:DB$106,$AH97),1),IF($AI97&gt;0,INDEX(DB$7:DB$106,$AI97),1),IF($AJ97&gt;0,INDEX(DB$7:DB$106,$AJ97),1))))</ns0:f>
        <ns0:v>1</ns0:v>
      </ns0:c>
      <ns0:c r="DD97" t="n">
        <ns0:f>IF($A97="",1,IF(DC97=1,1,--AND(IF($AC97&gt;0,INDEX(DC$7:DC$106,$AC97),1),IF($AD97&gt;0,INDEX(DC$7:DC$106,$AD97),1),IF($AE97&gt;0,INDEX(DC$7:DC$106,$AE97),1),IF($AF97&gt;0,INDEX(DC$7:DC$106,$AF97),1),IF($AG97&gt;0,INDEX(DC$7:DC$106,$AG97),1),IF($AH97&gt;0,INDEX(DC$7:DC$106,$AH97),1),IF($AI97&gt;0,INDEX(DC$7:DC$106,$AI97),1),IF($AJ97&gt;0,INDEX(DC$7:DC$106,$AJ97),1))))</ns0:f>
        <ns0:v>1</ns0:v>
      </ns0:c>
      <ns0:c r="DE97" t="n">
        <ns0:f>IF($A97="",1,IF(DD97=1,1,--AND(IF($AC97&gt;0,INDEX(DD$7:DD$106,$AC97),1),IF($AD97&gt;0,INDEX(DD$7:DD$106,$AD97),1),IF($AE97&gt;0,INDEX(DD$7:DD$106,$AE97),1),IF($AF97&gt;0,INDEX(DD$7:DD$106,$AF97),1),IF($AG97&gt;0,INDEX(DD$7:DD$106,$AG97),1),IF($AH97&gt;0,INDEX(DD$7:DD$106,$AH97),1),IF($AI97&gt;0,INDEX(DD$7:DD$106,$AI97),1),IF($AJ97&gt;0,INDEX(DD$7:DD$106,$AJ97),1))))</ns0:f>
        <ns0:v>1</ns0:v>
      </ns0:c>
      <ns0:c r="DF97" t="n">
        <ns0:f>IF($A97="",1,IF(DE97=1,1,--AND(IF($AC97&gt;0,INDEX(DE$7:DE$106,$AC97),1),IF($AD97&gt;0,INDEX(DE$7:DE$106,$AD97),1),IF($AE97&gt;0,INDEX(DE$7:DE$106,$AE97),1),IF($AF97&gt;0,INDEX(DE$7:DE$106,$AF97),1),IF($AG97&gt;0,INDEX(DE$7:DE$106,$AG97),1),IF($AH97&gt;0,INDEX(DE$7:DE$106,$AH97),1),IF($AI97&gt;0,INDEX(DE$7:DE$106,$AI97),1),IF($AJ97&gt;0,INDEX(DE$7:DE$106,$AJ97),1))))</ns0:f>
        <ns0:v>1</ns0:v>
      </ns0:c>
      <ns0:c r="DG97" t="n">
        <ns0:f>IF($A97="",1,IF(DF97=1,1,--AND(IF($AC97&gt;0,INDEX(DF$7:DF$106,$AC97),1),IF($AD97&gt;0,INDEX(DF$7:DF$106,$AD97),1),IF($AE97&gt;0,INDEX(DF$7:DF$106,$AE97),1),IF($AF97&gt;0,INDEX(DF$7:DF$106,$AF97),1),IF($AG97&gt;0,INDEX(DF$7:DF$106,$AG97),1),IF($AH97&gt;0,INDEX(DF$7:DF$106,$AH97),1),IF($AI97&gt;0,INDEX(DF$7:DF$106,$AI97),1),IF($AJ97&gt;0,INDEX(DF$7:DF$106,$AJ97),1))))</ns0:f>
        <ns0:v>1</ns0:v>
      </ns0:c>
      <ns0:c r="DH97" t="n">
        <ns0:f>IF($A97="",1,IF(DG97=1,1,--AND(IF($AC97&gt;0,INDEX(DG$7:DG$106,$AC97),1),IF($AD97&gt;0,INDEX(DG$7:DG$106,$AD97),1),IF($AE97&gt;0,INDEX(DG$7:DG$106,$AE97),1),IF($AF97&gt;0,INDEX(DG$7:DG$106,$AF97),1),IF($AG97&gt;0,INDEX(DG$7:DG$106,$AG97),1),IF($AH97&gt;0,INDEX(DG$7:DG$106,$AH97),1),IF($AI97&gt;0,INDEX(DG$7:DG$106,$AI97),1),IF($AJ97&gt;0,INDEX(DG$7:DG$106,$AJ97),1))))</ns0:f>
        <ns0:v>1</ns0:v>
      </ns0:c>
      <ns0:c r="DI97" t="n">
        <ns0:f>IF($A97="",1,IF(DH97=1,1,--AND(IF($AC97&gt;0,INDEX(DH$7:DH$106,$AC97),1),IF($AD97&gt;0,INDEX(DH$7:DH$106,$AD97),1),IF($AE97&gt;0,INDEX(DH$7:DH$106,$AE97),1),IF($AF97&gt;0,INDEX(DH$7:DH$106,$AF97),1),IF($AG97&gt;0,INDEX(DH$7:DH$106,$AG97),1),IF($AH97&gt;0,INDEX(DH$7:DH$106,$AH97),1),IF($AI97&gt;0,INDEX(DH$7:DH$106,$AI97),1),IF($AJ97&gt;0,INDEX(DH$7:DH$106,$AJ97),1))))</ns0:f>
        <ns0:v>1</ns0:v>
      </ns0:c>
      <ns0:c r="DJ97" t="n">
        <ns0:f>IF($A97="",1,IF(DI97=1,1,--AND(IF($AC97&gt;0,INDEX(DI$7:DI$106,$AC97),1),IF($AD97&gt;0,INDEX(DI$7:DI$106,$AD97),1),IF($AE97&gt;0,INDEX(DI$7:DI$106,$AE97),1),IF($AF97&gt;0,INDEX(DI$7:DI$106,$AF97),1),IF($AG97&gt;0,INDEX(DI$7:DI$106,$AG97),1),IF($AH97&gt;0,INDEX(DI$7:DI$106,$AH97),1),IF($AI97&gt;0,INDEX(DI$7:DI$106,$AI97),1),IF($AJ97&gt;0,INDEX(DI$7:DI$106,$AJ97),1))))</ns0:f>
        <ns0:v>1</ns0:v>
      </ns0:c>
      <ns0:c r="DK97" t="n">
        <ns0:f>IF($A97="",1,IF(DJ97=1,1,--AND(IF($AC97&gt;0,INDEX(DJ$7:DJ$106,$AC97),1),IF($AD97&gt;0,INDEX(DJ$7:DJ$106,$AD97),1),IF($AE97&gt;0,INDEX(DJ$7:DJ$106,$AE97),1),IF($AF97&gt;0,INDEX(DJ$7:DJ$106,$AF97),1),IF($AG97&gt;0,INDEX(DJ$7:DJ$106,$AG97),1),IF($AH97&gt;0,INDEX(DJ$7:DJ$106,$AH97),1),IF($AI97&gt;0,INDEX(DJ$7:DJ$106,$AI97),1),IF($AJ97&gt;0,INDEX(DJ$7:DJ$106,$AJ97),1))))</ns0:f>
        <ns0:v>1</ns0:v>
      </ns0:c>
      <ns0:c r="DL97" t="n">
        <ns0:f>IF($A97="",1,IF(DK97=1,1,--AND(IF($AC97&gt;0,INDEX(DK$7:DK$106,$AC97),1),IF($AD97&gt;0,INDEX(DK$7:DK$106,$AD97),1),IF($AE97&gt;0,INDEX(DK$7:DK$106,$AE97),1),IF($AF97&gt;0,INDEX(DK$7:DK$106,$AF97),1),IF($AG97&gt;0,INDEX(DK$7:DK$106,$AG97),1),IF($AH97&gt;0,INDEX(DK$7:DK$106,$AH97),1),IF($AI97&gt;0,INDEX(DK$7:DK$106,$AI97),1),IF($AJ97&gt;0,INDEX(DK$7:DK$106,$AJ97),1))))</ns0:f>
        <ns0:v>1</ns0:v>
      </ns0:c>
      <ns0:c r="DM97" t="n">
        <ns0:f>IF($A97="",1,IF(DL97=1,1,--AND(IF($AC97&gt;0,INDEX(DL$7:DL$106,$AC97),1),IF($AD97&gt;0,INDEX(DL$7:DL$106,$AD97),1),IF($AE97&gt;0,INDEX(DL$7:DL$106,$AE97),1),IF($AF97&gt;0,INDEX(DL$7:DL$106,$AF97),1),IF($AG97&gt;0,INDEX(DL$7:DL$106,$AG97),1),IF($AH97&gt;0,INDEX(DL$7:DL$106,$AH97),1),IF($AI97&gt;0,INDEX(DL$7:DL$106,$AI97),1),IF($AJ97&gt;0,INDEX(DL$7:DL$106,$AJ97),1))))</ns0:f>
        <ns0:v>1</ns0:v>
      </ns0:c>
      <ns0:c r="DN97" t="n">
        <ns0:f>IF($A97="",1,IF(DM97=1,1,--AND(IF($AC97&gt;0,INDEX(DM$7:DM$106,$AC97),1),IF($AD97&gt;0,INDEX(DM$7:DM$106,$AD97),1),IF($AE97&gt;0,INDEX(DM$7:DM$106,$AE97),1),IF($AF97&gt;0,INDEX(DM$7:DM$106,$AF97),1),IF($AG97&gt;0,INDEX(DM$7:DM$106,$AG97),1),IF($AH97&gt;0,INDEX(DM$7:DM$106,$AH97),1),IF($AI97&gt;0,INDEX(DM$7:DM$106,$AI97),1),IF($AJ97&gt;0,INDEX(DM$7:DM$106,$AJ97),1))))</ns0:f>
        <ns0:v>1</ns0:v>
      </ns0:c>
      <ns0:c r="DO97" t="n">
        <ns0:f>IF($A97="",1,IF(DN97=1,1,--AND(IF($AC97&gt;0,INDEX(DN$7:DN$106,$AC97),1),IF($AD97&gt;0,INDEX(DN$7:DN$106,$AD97),1),IF($AE97&gt;0,INDEX(DN$7:DN$106,$AE97),1),IF($AF97&gt;0,INDEX(DN$7:DN$106,$AF97),1),IF($AG97&gt;0,INDEX(DN$7:DN$106,$AG97),1),IF($AH97&gt;0,INDEX(DN$7:DN$106,$AH97),1),IF($AI97&gt;0,INDEX(DN$7:DN$106,$AI97),1),IF($AJ97&gt;0,INDEX(DN$7:DN$106,$AJ97),1))))</ns0:f>
        <ns0:v>1</ns0:v>
      </ns0:c>
      <ns0:c r="DP97" t="n">
        <ns0:f>IF($A97="",1,IF(DO97=1,1,--AND(IF($AC97&gt;0,INDEX(DO$7:DO$106,$AC97),1),IF($AD97&gt;0,INDEX(DO$7:DO$106,$AD97),1),IF($AE97&gt;0,INDEX(DO$7:DO$106,$AE97),1),IF($AF97&gt;0,INDEX(DO$7:DO$106,$AF97),1),IF($AG97&gt;0,INDEX(DO$7:DO$106,$AG97),1),IF($AH97&gt;0,INDEX(DO$7:DO$106,$AH97),1),IF($AI97&gt;0,INDEX(DO$7:DO$106,$AI97),1),IF($AJ97&gt;0,INDEX(DO$7:DO$106,$AJ97),1))))</ns0:f>
        <ns0:v>1</ns0:v>
      </ns0:c>
      <ns0:c r="DQ97" t="n">
        <ns0:f>IF($A97="",1,IF(DP97=1,1,--AND(IF($AC97&gt;0,INDEX(DP$7:DP$106,$AC97),1),IF($AD97&gt;0,INDEX(DP$7:DP$106,$AD97),1),IF($AE97&gt;0,INDEX(DP$7:DP$106,$AE97),1),IF($AF97&gt;0,INDEX(DP$7:DP$106,$AF97),1),IF($AG97&gt;0,INDEX(DP$7:DP$106,$AG97),1),IF($AH97&gt;0,INDEX(DP$7:DP$106,$AH97),1),IF($AI97&gt;0,INDEX(DP$7:DP$106,$AI97),1),IF($AJ97&gt;0,INDEX(DP$7:DP$106,$AJ97),1))))</ns0:f>
        <ns0:v>1</ns0:v>
      </ns0:c>
      <ns0:c r="DR97" t="n">
        <ns0:f>IF($A97="",1,IF(DQ97=1,1,--AND(IF($AC97&gt;0,INDEX(DQ$7:DQ$106,$AC97),1),IF($AD97&gt;0,INDEX(DQ$7:DQ$106,$AD97),1),IF($AE97&gt;0,INDEX(DQ$7:DQ$106,$AE97),1),IF($AF97&gt;0,INDEX(DQ$7:DQ$106,$AF97),1),IF($AG97&gt;0,INDEX(DQ$7:DQ$106,$AG97),1),IF($AH97&gt;0,INDEX(DQ$7:DQ$106,$AH97),1),IF($AI97&gt;0,INDEX(DQ$7:DQ$106,$AI97),1),IF($AJ97&gt;0,INDEX(DQ$7:DQ$106,$AJ97),1))))</ns0:f>
        <ns0:v>1</ns0:v>
      </ns0:c>
      <ns0:c r="DS97" t="n">
        <ns0:f>IF($A97="",1,IF(DR97=1,1,--AND(IF($AC97&gt;0,INDEX(DR$7:DR$106,$AC97),1),IF($AD97&gt;0,INDEX(DR$7:DR$106,$AD97),1),IF($AE97&gt;0,INDEX(DR$7:DR$106,$AE97),1),IF($AF97&gt;0,INDEX(DR$7:DR$106,$AF97),1),IF($AG97&gt;0,INDEX(DR$7:DR$106,$AG97),1),IF($AH97&gt;0,INDEX(DR$7:DR$106,$AH97),1),IF($AI97&gt;0,INDEX(DR$7:DR$106,$AI97),1),IF($AJ97&gt;0,INDEX(DR$7:DR$106,$AJ97),1))))</ns0:f>
        <ns0:v>1</ns0:v>
      </ns0:c>
      <ns0:c r="DT97" t="n">
        <ns0:f>IF($A97="",1,IF(DS97=1,1,--AND(IF($AC97&gt;0,INDEX(DS$7:DS$106,$AC97),1),IF($AD97&gt;0,INDEX(DS$7:DS$106,$AD97),1),IF($AE97&gt;0,INDEX(DS$7:DS$106,$AE97),1),IF($AF97&gt;0,INDEX(DS$7:DS$106,$AF97),1),IF($AG97&gt;0,INDEX(DS$7:DS$106,$AG97),1),IF($AH97&gt;0,INDEX(DS$7:DS$106,$AH97),1),IF($AI97&gt;0,INDEX(DS$7:DS$106,$AI97),1),IF($AJ97&gt;0,INDEX(DS$7:DS$106,$AJ97),1))))</ns0:f>
        <ns0:v>1</ns0:v>
      </ns0:c>
      <ns0:c r="DU97" t="n">
        <ns0:f>IF($A97="",1,IF(DT97=1,1,--AND(IF($AC97&gt;0,INDEX(DT$7:DT$106,$AC97),1),IF($AD97&gt;0,INDEX(DT$7:DT$106,$AD97),1),IF($AE97&gt;0,INDEX(DT$7:DT$106,$AE97),1),IF($AF97&gt;0,INDEX(DT$7:DT$106,$AF97),1),IF($AG97&gt;0,INDEX(DT$7:DT$106,$AG97),1),IF($AH97&gt;0,INDEX(DT$7:DT$106,$AH97),1),IF($AI97&gt;0,INDEX(DT$7:DT$106,$AI97),1),IF($AJ97&gt;0,INDEX(DT$7:DT$106,$AJ97),1))))</ns0:f>
        <ns0:v>1</ns0:v>
      </ns0:c>
      <ns0:c r="DV97" t="n">
        <ns0:f>IF($A97="",1,IF(DU97=1,1,--AND(IF($AC97&gt;0,INDEX(DU$7:DU$106,$AC97),1),IF($AD97&gt;0,INDEX(DU$7:DU$106,$AD97),1),IF($AE97&gt;0,INDEX(DU$7:DU$106,$AE97),1),IF($AF97&gt;0,INDEX(DU$7:DU$106,$AF97),1),IF($AG97&gt;0,INDEX(DU$7:DU$106,$AG97),1),IF($AH97&gt;0,INDEX(DU$7:DU$106,$AH97),1),IF($AI97&gt;0,INDEX(DU$7:DU$106,$AI97),1),IF($AJ97&gt;0,INDEX(DU$7:DU$106,$AJ97),1))))</ns0:f>
        <ns0:v>1</ns0:v>
      </ns0:c>
      <ns0:c r="DW97" t="n">
        <ns0:f>IF($A97="",1,IF(DV97=1,1,--AND(IF($AC97&gt;0,INDEX(DV$7:DV$106,$AC97),1),IF($AD97&gt;0,INDEX(DV$7:DV$106,$AD97),1),IF($AE97&gt;0,INDEX(DV$7:DV$106,$AE97),1),IF($AF97&gt;0,INDEX(DV$7:DV$106,$AF97),1),IF($AG97&gt;0,INDEX(DV$7:DV$106,$AG97),1),IF($AH97&gt;0,INDEX(DV$7:DV$106,$AH97),1),IF($AI97&gt;0,INDEX(DV$7:DV$106,$AI97),1),IF($AJ97&gt;0,INDEX(DV$7:DV$106,$AJ97),1))))</ns0:f>
        <ns0:v>1</ns0:v>
      </ns0:c>
      <ns0:c r="DX97" t="n">
        <ns0:f>IF($A97="",1,IF(DW97=1,1,--AND(IF($AC97&gt;0,INDEX(DW$7:DW$106,$AC97),1),IF($AD97&gt;0,INDEX(DW$7:DW$106,$AD97),1),IF($AE97&gt;0,INDEX(DW$7:DW$106,$AE97),1),IF($AF97&gt;0,INDEX(DW$7:DW$106,$AF97),1),IF($AG97&gt;0,INDEX(DW$7:DW$106,$AG97),1),IF($AH97&gt;0,INDEX(DW$7:DW$106,$AH97),1),IF($AI97&gt;0,INDEX(DW$7:DW$106,$AI97),1),IF($AJ97&gt;0,INDEX(DW$7:DW$106,$AJ97),1))))</ns0:f>
        <ns0:v>1</ns0:v>
      </ns0:c>
      <ns0:c r="DY97" t="n">
        <ns0:f>IF($A97="",1,IF(DX97=1,1,--AND(IF($AC97&gt;0,INDEX(DX$7:DX$106,$AC97),1),IF($AD97&gt;0,INDEX(DX$7:DX$106,$AD97),1),IF($AE97&gt;0,INDEX(DX$7:DX$106,$AE97),1),IF($AF97&gt;0,INDEX(DX$7:DX$106,$AF97),1),IF($AG97&gt;0,INDEX(DX$7:DX$106,$AG97),1),IF($AH97&gt;0,INDEX(DX$7:DX$106,$AH97),1),IF($AI97&gt;0,INDEX(DX$7:DX$106,$AI97),1),IF($AJ97&gt;0,INDEX(DX$7:DX$106,$AJ97),1))))</ns0:f>
        <ns0:v>1</ns0:v>
      </ns0:c>
      <ns0:c r="DZ97" t="n">
        <ns0:f>IF($A97="",1,IF(DY97=1,1,--AND(IF($AC97&gt;0,INDEX(DY$7:DY$106,$AC97),1),IF($AD97&gt;0,INDEX(DY$7:DY$106,$AD97),1),IF($AE97&gt;0,INDEX(DY$7:DY$106,$AE97),1),IF($AF97&gt;0,INDEX(DY$7:DY$106,$AF97),1),IF($AG97&gt;0,INDEX(DY$7:DY$106,$AG97),1),IF($AH97&gt;0,INDEX(DY$7:DY$106,$AH97),1),IF($AI97&gt;0,INDEX(DY$7:DY$106,$AI97),1),IF($AJ97&gt;0,INDEX(DY$7:DY$106,$AJ97),1))))</ns0:f>
        <ns0:v>1</ns0:v>
      </ns0:c>
      <ns0:c r="EA97" t="n">
        <ns0:f>IF($A97="",1,IF(DZ97=1,1,--AND(IF($AC97&gt;0,INDEX(DZ$7:DZ$106,$AC97),1),IF($AD97&gt;0,INDEX(DZ$7:DZ$106,$AD97),1),IF($AE97&gt;0,INDEX(DZ$7:DZ$106,$AE97),1),IF($AF97&gt;0,INDEX(DZ$7:DZ$106,$AF97),1),IF($AG97&gt;0,INDEX(DZ$7:DZ$106,$AG97),1),IF($AH97&gt;0,INDEX(DZ$7:DZ$106,$AH97),1),IF($AI97&gt;0,INDEX(DZ$7:DZ$106,$AI97),1),IF($AJ97&gt;0,INDEX(DZ$7:DZ$106,$AJ97),1))))</ns0:f>
        <ns0:v>1</ns0:v>
      </ns0:c>
      <ns0:c r="EB97" t="n">
        <ns0:f>IF($A97="",1,IF(EA97=1,1,--AND(IF($AC97&gt;0,INDEX(EA$7:EA$106,$AC97),1),IF($AD97&gt;0,INDEX(EA$7:EA$106,$AD97),1),IF($AE97&gt;0,INDEX(EA$7:EA$106,$AE97),1),IF($AF97&gt;0,INDEX(EA$7:EA$106,$AF97),1),IF($AG97&gt;0,INDEX(EA$7:EA$106,$AG97),1),IF($AH97&gt;0,INDEX(EA$7:EA$106,$AH97),1),IF($AI97&gt;0,INDEX(EA$7:EA$106,$AI97),1),IF($AJ97&gt;0,INDEX(EA$7:EA$106,$AJ97),1))))</ns0:f>
        <ns0:v>1</ns0:v>
      </ns0:c>
      <ns0:c r="EC97" t="n">
        <ns0:f>IF($A97="",1,IF(EB97=1,1,--AND(IF($AC97&gt;0,INDEX(EB$7:EB$106,$AC97),1),IF($AD97&gt;0,INDEX(EB$7:EB$106,$AD97),1),IF($AE97&gt;0,INDEX(EB$7:EB$106,$AE97),1),IF($AF97&gt;0,INDEX(EB$7:EB$106,$AF97),1),IF($AG97&gt;0,INDEX(EB$7:EB$106,$AG97),1),IF($AH97&gt;0,INDEX(EB$7:EB$106,$AH97),1),IF($AI97&gt;0,INDEX(EB$7:EB$106,$AI97),1),IF($AJ97&gt;0,INDEX(EB$7:EB$106,$AJ97),1))))</ns0:f>
        <ns0:v>1</ns0:v>
      </ns0:c>
      <ns0:c r="ED97" t="n">
        <ns0:f>IF($A97="",1,IF(EC97=1,1,--AND(IF($AC97&gt;0,INDEX(EC$7:EC$106,$AC97),1),IF($AD97&gt;0,INDEX(EC$7:EC$106,$AD97),1),IF($AE97&gt;0,INDEX(EC$7:EC$106,$AE97),1),IF($AF97&gt;0,INDEX(EC$7:EC$106,$AF97),1),IF($AG97&gt;0,INDEX(EC$7:EC$106,$AG97),1),IF($AH97&gt;0,INDEX(EC$7:EC$106,$AH97),1),IF($AI97&gt;0,INDEX(EC$7:EC$106,$AI97),1),IF($AJ97&gt;0,INDEX(EC$7:EC$106,$AJ97),1))))</ns0:f>
        <ns0:v>1</ns0:v>
      </ns0:c>
      <ns0:c r="EE97" t="n">
        <ns0:f>IF($A97="",1,IF(ED97=1,1,--AND(IF($AC97&gt;0,INDEX(ED$7:ED$106,$AC97),1),IF($AD97&gt;0,INDEX(ED$7:ED$106,$AD97),1),IF($AE97&gt;0,INDEX(ED$7:ED$106,$AE97),1),IF($AF97&gt;0,INDEX(ED$7:ED$106,$AF97),1),IF($AG97&gt;0,INDEX(ED$7:ED$106,$AG97),1),IF($AH97&gt;0,INDEX(ED$7:ED$106,$AH97),1),IF($AI97&gt;0,INDEX(ED$7:ED$106,$AI97),1),IF($AJ97&gt;0,INDEX(ED$7:ED$106,$AJ97),1))))</ns0:f>
        <ns0:v>1</ns0:v>
      </ns0:c>
      <ns0:c r="EF97" t="n">
        <ns0:f>IF($A97="",1,IF(EE97=1,1,--AND(IF($AC97&gt;0,INDEX(EE$7:EE$106,$AC97),1),IF($AD97&gt;0,INDEX(EE$7:EE$106,$AD97),1),IF($AE97&gt;0,INDEX(EE$7:EE$106,$AE97),1),IF($AF97&gt;0,INDEX(EE$7:EE$106,$AF97),1),IF($AG97&gt;0,INDEX(EE$7:EE$106,$AG97),1),IF($AH97&gt;0,INDEX(EE$7:EE$106,$AH97),1),IF($AI97&gt;0,INDEX(EE$7:EE$106,$AI97),1),IF($AJ97&gt;0,INDEX(EE$7:EE$106,$AJ97),1))))</ns0:f>
        <ns0:v>1</ns0:v>
      </ns0:c>
      <ns0:c r="EG97" t="n">
        <ns0:f>IF($A97="",1,IF(EF97=1,1,--AND(IF($AC97&gt;0,INDEX(EF$7:EF$106,$AC97),1),IF($AD97&gt;0,INDEX(EF$7:EF$106,$AD97),1),IF($AE97&gt;0,INDEX(EF$7:EF$106,$AE97),1),IF($AF97&gt;0,INDEX(EF$7:EF$106,$AF97),1),IF($AG97&gt;0,INDEX(EF$7:EF$106,$AG97),1),IF($AH97&gt;0,INDEX(EF$7:EF$106,$AH97),1),IF($AI97&gt;0,INDEX(EF$7:EF$106,$AI97),1),IF($AJ97&gt;0,INDEX(EF$7:EF$106,$AJ97),1))))</ns0:f>
        <ns0:v>1</ns0:v>
      </ns0:c>
      <ns0:c r="EH97" t="n">
        <ns0:f>IF($A97="",1,IF(EG97=1,1,--AND(IF($AC97&gt;0,INDEX(EG$7:EG$106,$AC97),1),IF($AD97&gt;0,INDEX(EG$7:EG$106,$AD97),1),IF($AE97&gt;0,INDEX(EG$7:EG$106,$AE97),1),IF($AF97&gt;0,INDEX(EG$7:EG$106,$AF97),1),IF($AG97&gt;0,INDEX(EG$7:EG$106,$AG97),1),IF($AH97&gt;0,INDEX(EG$7:EG$106,$AH97),1),IF($AI97&gt;0,INDEX(EG$7:EG$106,$AI97),1),IF($AJ97&gt;0,INDEX(EG$7:EG$106,$AJ97),1))))</ns0:f>
        <ns0:v>1</ns0:v>
      </ns0:c>
      <ns0:c r="EI97" t="n">
        <ns0:f>IF($A97="",1,IF(EH97=1,1,--AND(IF($AC97&gt;0,INDEX(EH$7:EH$106,$AC97),1),IF($AD97&gt;0,INDEX(EH$7:EH$106,$AD97),1),IF($AE97&gt;0,INDEX(EH$7:EH$106,$AE97),1),IF($AF97&gt;0,INDEX(EH$7:EH$106,$AF97),1),IF($AG97&gt;0,INDEX(EH$7:EH$106,$AG97),1),IF($AH97&gt;0,INDEX(EH$7:EH$106,$AH97),1),IF($AI97&gt;0,INDEX(EH$7:EH$106,$AI97),1),IF($AJ97&gt;0,INDEX(EH$7:EH$106,$AJ97),1))))</ns0:f>
        <ns0:v>1</ns0:v>
      </ns0:c>
      <ns0:c r="EJ97" t="n">
        <ns0:f>IF($A97="",1,IF(EI97=1,1,--AND(IF($AC97&gt;0,INDEX(EI$7:EI$106,$AC97),1),IF($AD97&gt;0,INDEX(EI$7:EI$106,$AD97),1),IF($AE97&gt;0,INDEX(EI$7:EI$106,$AE97),1),IF($AF97&gt;0,INDEX(EI$7:EI$106,$AF97),1),IF($AG97&gt;0,INDEX(EI$7:EI$106,$AG97),1),IF($AH97&gt;0,INDEX(EI$7:EI$106,$AH97),1),IF($AI97&gt;0,INDEX(EI$7:EI$106,$AI97),1),IF($AJ97&gt;0,INDEX(EI$7:EI$106,$AJ97),1))))</ns0:f>
        <ns0:v>1</ns0:v>
      </ns0:c>
      <ns0:c r="EK97" t="n">
        <ns0:f>IF($A97="",1,IF(EJ97=1,1,--AND(IF($AC97&gt;0,INDEX(EJ$7:EJ$106,$AC97),1),IF($AD97&gt;0,INDEX(EJ$7:EJ$106,$AD97),1),IF($AE97&gt;0,INDEX(EJ$7:EJ$106,$AE97),1),IF($AF97&gt;0,INDEX(EJ$7:EJ$106,$AF97),1),IF($AG97&gt;0,INDEX(EJ$7:EJ$106,$AG97),1),IF($AH97&gt;0,INDEX(EJ$7:EJ$106,$AH97),1),IF($AI97&gt;0,INDEX(EJ$7:EJ$106,$AI97),1),IF($AJ97&gt;0,INDEX(EJ$7:EJ$106,$AJ97),1))))</ns0:f>
        <ns0:v>1</ns0:v>
      </ns0:c>
      <ns0:c r="EL97" t="n">
        <ns0:f>IF($A97="",1,IF(EK97=1,1,--AND(IF($AC97&gt;0,INDEX(EK$7:EK$106,$AC97),1),IF($AD97&gt;0,INDEX(EK$7:EK$106,$AD97),1),IF($AE97&gt;0,INDEX(EK$7:EK$106,$AE97),1),IF($AF97&gt;0,INDEX(EK$7:EK$106,$AF97),1),IF($AG97&gt;0,INDEX(EK$7:EK$106,$AG97),1),IF($AH97&gt;0,INDEX(EK$7:EK$106,$AH97),1),IF($AI97&gt;0,INDEX(EK$7:EK$106,$AI97),1),IF($AJ97&gt;0,INDEX(EK$7:EK$106,$AJ97),1))))</ns0:f>
        <ns0:v>1</ns0:v>
      </ns0:c>
      <ns0:c r="EM97" t="n">
        <ns0:f>IF($A97="",1,IF(EL97=1,1,--AND(IF($AC97&gt;0,INDEX(EL$7:EL$106,$AC97),1),IF($AD97&gt;0,INDEX(EL$7:EL$106,$AD97),1),IF($AE97&gt;0,INDEX(EL$7:EL$106,$AE97),1),IF($AF97&gt;0,INDEX(EL$7:EL$106,$AF97),1),IF($AG97&gt;0,INDEX(EL$7:EL$106,$AG97),1),IF($AH97&gt;0,INDEX(EL$7:EL$106,$AH97),1),IF($AI97&gt;0,INDEX(EL$7:EL$106,$AI97),1),IF($AJ97&gt;0,INDEX(EL$7:EL$106,$AJ97),1))))</ns0:f>
        <ns0:v>1</ns0:v>
      </ns0:c>
      <ns0:c r="EN97" t="n">
        <ns0:f>IF($A97="",1,IF(EM97=1,1,--AND(IF($AC97&gt;0,INDEX(EM$7:EM$106,$AC97),1),IF($AD97&gt;0,INDEX(EM$7:EM$106,$AD97),1),IF($AE97&gt;0,INDEX(EM$7:EM$106,$AE97),1),IF($AF97&gt;0,INDEX(EM$7:EM$106,$AF97),1),IF($AG97&gt;0,INDEX(EM$7:EM$106,$AG97),1),IF($AH97&gt;0,INDEX(EM$7:EM$106,$AH97),1),IF($AI97&gt;0,INDEX(EM$7:EM$106,$AI97),1),IF($AJ97&gt;0,INDEX(EM$7:EM$106,$AJ97),1))))</ns0:f>
        <ns0:v>1</ns0:v>
      </ns0:c>
      <ns0:c r="EO97" t="n">
        <ns0:f>IF($A97="",1,IF(EN97=1,1,--AND(IF($AC97&gt;0,INDEX(EN$7:EN$106,$AC97),1),IF($AD97&gt;0,INDEX(EN$7:EN$106,$AD97),1),IF($AE97&gt;0,INDEX(EN$7:EN$106,$AE97),1),IF($AF97&gt;0,INDEX(EN$7:EN$106,$AF97),1),IF($AG97&gt;0,INDEX(EN$7:EN$106,$AG97),1),IF($AH97&gt;0,INDEX(EN$7:EN$106,$AH97),1),IF($AI97&gt;0,INDEX(EN$7:EN$106,$AI97),1),IF($AJ97&gt;0,INDEX(EN$7:EN$106,$AJ97),1))))</ns0:f>
        <ns0:v>1</ns0:v>
      </ns0:c>
      <ns0:c r="EP97" t="n">
        <ns0:f>IF($A97="",1,IF(EO97=1,1,--AND(IF($AC97&gt;0,INDEX(EO$7:EO$106,$AC97),1),IF($AD97&gt;0,INDEX(EO$7:EO$106,$AD97),1),IF($AE97&gt;0,INDEX(EO$7:EO$106,$AE97),1),IF($AF97&gt;0,INDEX(EO$7:EO$106,$AF97),1),IF($AG97&gt;0,INDEX(EO$7:EO$106,$AG97),1),IF($AH97&gt;0,INDEX(EO$7:EO$106,$AH97),1),IF($AI97&gt;0,INDEX(EO$7:EO$106,$AI97),1),IF($AJ97&gt;0,INDEX(EO$7:EO$106,$AJ97),1))))</ns0:f>
        <ns0:v>1</ns0:v>
      </ns0:c>
      <ns0:c r="EQ97" t="n">
        <ns0:f>IF(OR(A97="",NOT(ISNUMBER(G97))),0,G97*N97)</ns0:f>
        <ns0:v>0</ns0:v>
      </ns0:c>
    </ns0:row>
    <ns0:row r="98" ht="62" customHeight="1">
      <ns0:c r="A98" s="48"/>
      <ns0:c r="B98" s="48"/>
      <ns0:c r="C98" s="48"/>
      <ns0:c r="D98" s="48"/>
      <ns0:c r="E98" s="49"/>
      <ns0:c r="F98" s="49"/>
      <ns0:c r="G98" s="13" t="str">
        <ns0:f>IF(A98="","",IF(OR(NOT(ISNUMBER(E98)),NOT(ISNUMBER(F98)),F98&lt;E98),"",IF(J98="Yes",0,F98-E98+1)))</ns0:f>
      </ns0:c>
      <ns0:c r="H98" s="48"/>
      <ns0:c r="I98" s="48"/>
      <ns0:c r="J98" s="48"/>
      <ns0:c r="K98" s="48"/>
      <ns0:c r="L98" s="48"/>
      <ns0:c r="M98" s="50" t="str">
        <ns0:f>IF(A98="","",IF(N98=1,"Completed",IF(N98&gt;0,"In Progress","Not Started")))</ns0:f>
      </ns0:c>
      <ns0:c r="N98" s="51"/>
      <ns0:c r="O98" s="13" t="str">
        <ns0:f>IF(A98="","",IF(R98&lt;&gt;"","[CONFLICT] "&amp;R98,IF(S98&lt;&gt;"","[CONFLICT] "&amp;S98,IF(OR(NOT(ISNUMBER(N98)),N98&lt;0,N98&gt;1),"[CONFLICT] Invalid progress",IF(AK98&gt;0,"[DEPENDENCY ISSUE] Missing ID / &gt;8 links",IF(AM98&gt;0,"[DEPENDENCY ISSUE] Cycle or blocked by cycle",IF(AND(H98&lt;&gt;"",ISNA(MATCH(I98,{"FS","SS","FF","SF"},0))),"[DEPENDENCY ISSUE] Invalid type",IF(AL98&gt;0,"[DEPENDENCY ISSUE] Timing conflict",IF(OR(E98&lt;ProjectStart,F98&gt;ProjectEnd),"[OUTSIDE WINDOW]",IF(AND(N98&lt;1,F98&lt;AsOfDate),"Overdue",IF(AND(M98&lt;&gt;Q98,M98&lt;&gt;""),"[CONFLICT] Status / progress","On track")))))))))))</ns0:f>
      </ns0:c>
      <ns0:c r="P98" s="52"/>
      <ns0:c r="Q98" t="str">
        <ns0:f>IF(A98="","",IF(OR(M98="On Hold",M98="Delayed"),M98,IF(N98=1,"Completed",IF(N98&gt;0,"In Progress","Not Started"))))</ns0:f>
      </ns0:c>
      <ns0:c r="R98" t="str">
        <ns0:f>IF(A98="","",IF(COUNTIFS(Tasks[Task ID],A98)&lt;&gt;1,"Duplicate ID",""))</ns0:f>
      </ns0:c>
      <ns0:c r="S98" t="str">
        <ns0:f>IF(A98="","",IF(OR(NOT(ISNUMBER(E98)),NOT(ISNUMBER(F98))),"Invalid / missing date",IF(OR(E98&lt;&gt;INT(E98),F98&lt;&gt;INT(F98),E98&lt;1,F98&gt;2958465),"Invalid date",IF(F98&lt;E98,"End before start",IF(AND(J98="Yes",E98&lt;&gt;F98),"Milestone needs one date","")))))</ns0:f>
      </ns0:c>
      <ns0:c r="T98" t="n">
        <ns0:f>IF(H98="",0,LEN(H98)-LEN(SUBSTITUTE(H98,",",""))+1)</ns0:f>
        <ns0:v>0</ns0:v>
      </ns0:c>
      <ns0:c r="U98" t="str">
        <ns0:f>TRIM(MID(SUBSTITUTE($H98,",",REPT(" ",100)),1,100))</ns0:f>
      </ns0:c>
      <ns0:c r="V98" t="str">
        <ns0:f>TRIM(MID(SUBSTITUTE($H98,",",REPT(" ",100)),101,100))</ns0:f>
      </ns0:c>
      <ns0:c r="W98" t="str">
        <ns0:f>TRIM(MID(SUBSTITUTE($H98,",",REPT(" ",100)),201,100))</ns0:f>
      </ns0:c>
      <ns0:c r="X98" t="str">
        <ns0:f>TRIM(MID(SUBSTITUTE($H98,",",REPT(" ",100)),301,100))</ns0:f>
      </ns0:c>
      <ns0:c r="Y98" t="str">
        <ns0:f>TRIM(MID(SUBSTITUTE($H98,",",REPT(" ",100)),401,100))</ns0:f>
      </ns0:c>
      <ns0:c r="Z98" t="str">
        <ns0:f>TRIM(MID(SUBSTITUTE($H98,",",REPT(" ",100)),501,100))</ns0:f>
      </ns0:c>
      <ns0:c r="AA98" t="str">
        <ns0:f>TRIM(MID(SUBSTITUTE($H98,",",REPT(" ",100)),601,100))</ns0:f>
      </ns0:c>
      <ns0:c r="AB98" t="str">
        <ns0:f>TRIM(MID(SUBSTITUTE($H98,",",REPT(" ",100)),701,100))</ns0:f>
      </ns0:c>
      <ns0:c r="AC98" t="n">
        <ns0:f>IF(U98="",0,IF(COUNTIFS(Tasks[Task ID],U98)=1,MATCH(U98,Tasks[Task ID],0),-1))</ns0:f>
        <ns0:v>0</ns0:v>
      </ns0:c>
      <ns0:c r="AD98" t="n">
        <ns0:f>IF(V98="",0,IF(COUNTIFS(Tasks[Task ID],V98)=1,MATCH(V98,Tasks[Task ID],0),-1))</ns0:f>
        <ns0:v>0</ns0:v>
      </ns0:c>
      <ns0:c r="AE98" t="n">
        <ns0:f>IF(W98="",0,IF(COUNTIFS(Tasks[Task ID],W98)=1,MATCH(W98,Tasks[Task ID],0),-1))</ns0:f>
        <ns0:v>0</ns0:v>
      </ns0:c>
      <ns0:c r="AF98" t="n">
        <ns0:f>IF(X98="",0,IF(COUNTIFS(Tasks[Task ID],X98)=1,MATCH(X98,Tasks[Task ID],0),-1))</ns0:f>
        <ns0:v>0</ns0:v>
      </ns0:c>
      <ns0:c r="AG98" t="n">
        <ns0:f>IF(Y98="",0,IF(COUNTIFS(Tasks[Task ID],Y98)=1,MATCH(Y98,Tasks[Task ID],0),-1))</ns0:f>
        <ns0:v>0</ns0:v>
      </ns0:c>
      <ns0:c r="AH98" t="n">
        <ns0:f>IF(Z98="",0,IF(COUNTIFS(Tasks[Task ID],Z98)=1,MATCH(Z98,Tasks[Task ID],0),-1))</ns0:f>
        <ns0:v>0</ns0:v>
      </ns0:c>
      <ns0:c r="AI98" t="n">
        <ns0:f>IF(AA98="",0,IF(COUNTIFS(Tasks[Task ID],AA98)=1,MATCH(AA98,Tasks[Task ID],0),-1))</ns0:f>
        <ns0:v>0</ns0:v>
      </ns0:c>
      <ns0:c r="AJ98" t="n">
        <ns0:f>IF(AB98="",0,IF(COUNTIFS(Tasks[Task ID],AB98)=1,MATCH(AB98,Tasks[Task ID],0),-1))</ns0:f>
        <ns0:v>0</ns0:v>
      </ns0:c>
      <ns0:c r="AK98" t="n">
        <ns0:f>COUNTIFS(AC98:AJ98,-1)+IF(T98&gt;8,1,0)</ns0:f>
        <ns0:v>0</ns0:v>
      </ns0:c>
      <ns0:c r="AL98" t="n">
        <ns0:f>IF(OR(A98="",S98&lt;&gt;""),0,SUM(IF(AC98&gt;0,IF($I98="FS",--($E98&lt;INDEX(Tasks[End Date],AC98)+IF(INDEX(Tasks[Milestone],AC98)="Yes",0,1)),IF($I98="SS",--($E98&lt;INDEX(Tasks[Start Date],AC98)),IF($I98="FF",--($F98&lt;INDEX(Tasks[End Date],AC98)),IF($I98="SF",--($F98&lt;INDEX(Tasks[Start Date],AC98)),0)))),0),IF(AD98&gt;0,IF($I98="FS",--($E98&lt;INDEX(Tasks[End Date],AD98)+IF(INDEX(Tasks[Milestone],AD98)="Yes",0,1)),IF($I98="SS",--($E98&lt;INDEX(Tasks[Start Date],AD98)),IF($I98="FF",--($F98&lt;INDEX(Tasks[End Date],AD98)),IF($I98="SF",--($F98&lt;INDEX(Tasks[Start Date],AD98)),0)))),0),IF(AE98&gt;0,IF($I98="FS",--($E98&lt;INDEX(Tasks[End Date],AE98)+IF(INDEX(Tasks[Milestone],AE98)="Yes",0,1)),IF($I98="SS",--($E98&lt;INDEX(Tasks[Start Date],AE98)),IF($I98="FF",--($F98&lt;INDEX(Tasks[End Date],AE98)),IF($I98="SF",--($F98&lt;INDEX(Tasks[Start Date],AE98)),0)))),0),IF(AF98&gt;0,IF($I98="FS",--($E98&lt;INDEX(Tasks[End Date],AF98)+IF(INDEX(Tasks[Milestone],AF98)="Yes",0,1)),IF($I98="SS",--($E98&lt;INDEX(Tasks[Start Date],AF98)),IF($I98="FF",--($F98&lt;INDEX(Tasks[End Date],AF98)),IF($I98="SF",--($F98&lt;INDEX(Tasks[Start Date],AF98)),0)))),0),IF(AG98&gt;0,IF($I98="FS",--($E98&lt;INDEX(Tasks[End Date],AG98)+IF(INDEX(Tasks[Milestone],AG98)="Yes",0,1)),IF($I98="SS",--($E98&lt;INDEX(Tasks[Start Date],AG98)),IF($I98="FF",--($F98&lt;INDEX(Tasks[End Date],AG98)),IF($I98="SF",--($F98&lt;INDEX(Tasks[Start Date],AG98)),0)))),0),IF(AH98&gt;0,IF($I98="FS",--($E98&lt;INDEX(Tasks[End Date],AH98)+IF(INDEX(Tasks[Milestone],AH98)="Yes",0,1)),IF($I98="SS",--($E98&lt;INDEX(Tasks[Start Date],AH98)),IF($I98="FF",--($F98&lt;INDEX(Tasks[End Date],AH98)),IF($I98="SF",--($F98&lt;INDEX(Tasks[Start Date],AH98)),0)))),0),IF(AI98&gt;0,IF($I98="FS",--($E98&lt;INDEX(Tasks[End Date],AI98)+IF(INDEX(Tasks[Milestone],AI98)="Yes",0,1)),IF($I98="SS",--($E98&lt;INDEX(Tasks[Start Date],AI98)),IF($I98="FF",--($F98&lt;INDEX(Tasks[End Date],AI98)),IF($I98="SF",--($F98&lt;INDEX(Tasks[Start Date],AI98)),0)))),0),IF(AJ98&gt;0,IF($I98="FS",--($E98&lt;INDEX(Tasks[End Date],AJ98)+IF(INDEX(Tasks[Milestone],AJ98)="Yes",0,1)),IF($I98="SS",--($E98&lt;INDEX(Tasks[Start Date],AJ98)),IF($I98="FF",--($F98&lt;INDEX(Tasks[End Date],AJ98)),IF($I98="SF",--($F98&lt;INDEX(Tasks[Start Date],AJ98)),0)))),0)))</ns0:f>
        <ns0:v>0</ns0:v>
      </ns0:c>
      <ns0:c r="AM98" t="n">
        <ns0:f>IF(AND(A98&lt;&gt;"",AK98=0,EP98=0),1,0)</ns0:f>
        <ns0:v>0</ns0:v>
      </ns0:c>
      <ns0:c r="AN98" t="str">
        <ns0:f>IF(OR(A98="",B98=""),"",IF(COUNTIFS($B$7:B98,B98)=1,MAX($AN$6:AN97)+1,""))</ns0:f>
      </ns0:c>
      <ns0:c r="AO98" t="n">
        <ns0:f>IF(AND(A98&lt;&gt;"",J98="No",N98&lt;1,E98&gt;=AsOfDate),E98+ROW()/10000,1E+9)</ns0:f>
        <ns0:v>1000000000</ns0:v>
      </ns0:c>
      <ns0:c r="AP98" t="n">
        <ns0:f>IF(AND(A98&lt;&gt;"",J98="Yes",N98&lt;1,E98&gt;=AsOfDate),E98+ROW()/10000,1E+9)</ns0:f>
        <ns0:v>1000000000</ns0:v>
      </ns0:c>
      <ns0:c r="AQ98" t="n">
        <ns0:f>IF(AND(A98&lt;&gt;"",J98="No",N98&lt;1,F98&gt;=AsOfDate,F98&lt;=AsOfDate+7),F98+ROW()/10000,1E+9)</ns0:f>
        <ns0:v>1000000000</ns0:v>
      </ns0:c>
      <ns0:c r="AR98" t="n">
        <ns0:f>IF(AND(A98&lt;&gt;"",OR(O98&lt;&gt;"On track",Q98="Delayed")),ROW(),1E+9)</ns0:f>
        <ns0:v>1000000000</ns0:v>
      </ns0:c>
      <ns0:c r="AS98" t="str">
        <ns0:f>IF(A98="","",";"&amp;K98&amp;";")</ns0:f>
      </ns0:c>
      <ns0:c r="AT98" t="n">
        <ns0:f>IF(A98="",1,--(T98=0))</ns0:f>
        <ns0:v>1</ns0:v>
      </ns0:c>
      <ns0:c r="AU98" t="n">
        <ns0:f>IF($A98="",1,IF(AT98=1,1,--AND(IF($AC98&gt;0,INDEX(AT$7:AT$106,$AC98),1),IF($AD98&gt;0,INDEX(AT$7:AT$106,$AD98),1),IF($AE98&gt;0,INDEX(AT$7:AT$106,$AE98),1),IF($AF98&gt;0,INDEX(AT$7:AT$106,$AF98),1),IF($AG98&gt;0,INDEX(AT$7:AT$106,$AG98),1),IF($AH98&gt;0,INDEX(AT$7:AT$106,$AH98),1),IF($AI98&gt;0,INDEX(AT$7:AT$106,$AI98),1),IF($AJ98&gt;0,INDEX(AT$7:AT$106,$AJ98),1))))</ns0:f>
        <ns0:v>1</ns0:v>
      </ns0:c>
      <ns0:c r="AV98" t="n">
        <ns0:f>IF($A98="",1,IF(AU98=1,1,--AND(IF($AC98&gt;0,INDEX(AU$7:AU$106,$AC98),1),IF($AD98&gt;0,INDEX(AU$7:AU$106,$AD98),1),IF($AE98&gt;0,INDEX(AU$7:AU$106,$AE98),1),IF($AF98&gt;0,INDEX(AU$7:AU$106,$AF98),1),IF($AG98&gt;0,INDEX(AU$7:AU$106,$AG98),1),IF($AH98&gt;0,INDEX(AU$7:AU$106,$AH98),1),IF($AI98&gt;0,INDEX(AU$7:AU$106,$AI98),1),IF($AJ98&gt;0,INDEX(AU$7:AU$106,$AJ98),1))))</ns0:f>
        <ns0:v>1</ns0:v>
      </ns0:c>
      <ns0:c r="AW98" t="n">
        <ns0:f>IF($A98="",1,IF(AV98=1,1,--AND(IF($AC98&gt;0,INDEX(AV$7:AV$106,$AC98),1),IF($AD98&gt;0,INDEX(AV$7:AV$106,$AD98),1),IF($AE98&gt;0,INDEX(AV$7:AV$106,$AE98),1),IF($AF98&gt;0,INDEX(AV$7:AV$106,$AF98),1),IF($AG98&gt;0,INDEX(AV$7:AV$106,$AG98),1),IF($AH98&gt;0,INDEX(AV$7:AV$106,$AH98),1),IF($AI98&gt;0,INDEX(AV$7:AV$106,$AI98),1),IF($AJ98&gt;0,INDEX(AV$7:AV$106,$AJ98),1))))</ns0:f>
        <ns0:v>1</ns0:v>
      </ns0:c>
      <ns0:c r="AX98" t="n">
        <ns0:f>IF($A98="",1,IF(AW98=1,1,--AND(IF($AC98&gt;0,INDEX(AW$7:AW$106,$AC98),1),IF($AD98&gt;0,INDEX(AW$7:AW$106,$AD98),1),IF($AE98&gt;0,INDEX(AW$7:AW$106,$AE98),1),IF($AF98&gt;0,INDEX(AW$7:AW$106,$AF98),1),IF($AG98&gt;0,INDEX(AW$7:AW$106,$AG98),1),IF($AH98&gt;0,INDEX(AW$7:AW$106,$AH98),1),IF($AI98&gt;0,INDEX(AW$7:AW$106,$AI98),1),IF($AJ98&gt;0,INDEX(AW$7:AW$106,$AJ98),1))))</ns0:f>
        <ns0:v>1</ns0:v>
      </ns0:c>
      <ns0:c r="AY98" t="n">
        <ns0:f>IF($A98="",1,IF(AX98=1,1,--AND(IF($AC98&gt;0,INDEX(AX$7:AX$106,$AC98),1),IF($AD98&gt;0,INDEX(AX$7:AX$106,$AD98),1),IF($AE98&gt;0,INDEX(AX$7:AX$106,$AE98),1),IF($AF98&gt;0,INDEX(AX$7:AX$106,$AF98),1),IF($AG98&gt;0,INDEX(AX$7:AX$106,$AG98),1),IF($AH98&gt;0,INDEX(AX$7:AX$106,$AH98),1),IF($AI98&gt;0,INDEX(AX$7:AX$106,$AI98),1),IF($AJ98&gt;0,INDEX(AX$7:AX$106,$AJ98),1))))</ns0:f>
        <ns0:v>1</ns0:v>
      </ns0:c>
      <ns0:c r="AZ98" t="n">
        <ns0:f>IF($A98="",1,IF(AY98=1,1,--AND(IF($AC98&gt;0,INDEX(AY$7:AY$106,$AC98),1),IF($AD98&gt;0,INDEX(AY$7:AY$106,$AD98),1),IF($AE98&gt;0,INDEX(AY$7:AY$106,$AE98),1),IF($AF98&gt;0,INDEX(AY$7:AY$106,$AF98),1),IF($AG98&gt;0,INDEX(AY$7:AY$106,$AG98),1),IF($AH98&gt;0,INDEX(AY$7:AY$106,$AH98),1),IF($AI98&gt;0,INDEX(AY$7:AY$106,$AI98),1),IF($AJ98&gt;0,INDEX(AY$7:AY$106,$AJ98),1))))</ns0:f>
        <ns0:v>1</ns0:v>
      </ns0:c>
      <ns0:c r="BA98" t="n">
        <ns0:f>IF($A98="",1,IF(AZ98=1,1,--AND(IF($AC98&gt;0,INDEX(AZ$7:AZ$106,$AC98),1),IF($AD98&gt;0,INDEX(AZ$7:AZ$106,$AD98),1),IF($AE98&gt;0,INDEX(AZ$7:AZ$106,$AE98),1),IF($AF98&gt;0,INDEX(AZ$7:AZ$106,$AF98),1),IF($AG98&gt;0,INDEX(AZ$7:AZ$106,$AG98),1),IF($AH98&gt;0,INDEX(AZ$7:AZ$106,$AH98),1),IF($AI98&gt;0,INDEX(AZ$7:AZ$106,$AI98),1),IF($AJ98&gt;0,INDEX(AZ$7:AZ$106,$AJ98),1))))</ns0:f>
        <ns0:v>1</ns0:v>
      </ns0:c>
      <ns0:c r="BB98" t="n">
        <ns0:f>IF($A98="",1,IF(BA98=1,1,--AND(IF($AC98&gt;0,INDEX(BA$7:BA$106,$AC98),1),IF($AD98&gt;0,INDEX(BA$7:BA$106,$AD98),1),IF($AE98&gt;0,INDEX(BA$7:BA$106,$AE98),1),IF($AF98&gt;0,INDEX(BA$7:BA$106,$AF98),1),IF($AG98&gt;0,INDEX(BA$7:BA$106,$AG98),1),IF($AH98&gt;0,INDEX(BA$7:BA$106,$AH98),1),IF($AI98&gt;0,INDEX(BA$7:BA$106,$AI98),1),IF($AJ98&gt;0,INDEX(BA$7:BA$106,$AJ98),1))))</ns0:f>
        <ns0:v>1</ns0:v>
      </ns0:c>
      <ns0:c r="BC98" t="n">
        <ns0:f>IF($A98="",1,IF(BB98=1,1,--AND(IF($AC98&gt;0,INDEX(BB$7:BB$106,$AC98),1),IF($AD98&gt;0,INDEX(BB$7:BB$106,$AD98),1),IF($AE98&gt;0,INDEX(BB$7:BB$106,$AE98),1),IF($AF98&gt;0,INDEX(BB$7:BB$106,$AF98),1),IF($AG98&gt;0,INDEX(BB$7:BB$106,$AG98),1),IF($AH98&gt;0,INDEX(BB$7:BB$106,$AH98),1),IF($AI98&gt;0,INDEX(BB$7:BB$106,$AI98),1),IF($AJ98&gt;0,INDEX(BB$7:BB$106,$AJ98),1))))</ns0:f>
        <ns0:v>1</ns0:v>
      </ns0:c>
      <ns0:c r="BD98" t="n">
        <ns0:f>IF($A98="",1,IF(BC98=1,1,--AND(IF($AC98&gt;0,INDEX(BC$7:BC$106,$AC98),1),IF($AD98&gt;0,INDEX(BC$7:BC$106,$AD98),1),IF($AE98&gt;0,INDEX(BC$7:BC$106,$AE98),1),IF($AF98&gt;0,INDEX(BC$7:BC$106,$AF98),1),IF($AG98&gt;0,INDEX(BC$7:BC$106,$AG98),1),IF($AH98&gt;0,INDEX(BC$7:BC$106,$AH98),1),IF($AI98&gt;0,INDEX(BC$7:BC$106,$AI98),1),IF($AJ98&gt;0,INDEX(BC$7:BC$106,$AJ98),1))))</ns0:f>
        <ns0:v>1</ns0:v>
      </ns0:c>
      <ns0:c r="BE98" t="n">
        <ns0:f>IF($A98="",1,IF(BD98=1,1,--AND(IF($AC98&gt;0,INDEX(BD$7:BD$106,$AC98),1),IF($AD98&gt;0,INDEX(BD$7:BD$106,$AD98),1),IF($AE98&gt;0,INDEX(BD$7:BD$106,$AE98),1),IF($AF98&gt;0,INDEX(BD$7:BD$106,$AF98),1),IF($AG98&gt;0,INDEX(BD$7:BD$106,$AG98),1),IF($AH98&gt;0,INDEX(BD$7:BD$106,$AH98),1),IF($AI98&gt;0,INDEX(BD$7:BD$106,$AI98),1),IF($AJ98&gt;0,INDEX(BD$7:BD$106,$AJ98),1))))</ns0:f>
        <ns0:v>1</ns0:v>
      </ns0:c>
      <ns0:c r="BF98" t="n">
        <ns0:f>IF($A98="",1,IF(BE98=1,1,--AND(IF($AC98&gt;0,INDEX(BE$7:BE$106,$AC98),1),IF($AD98&gt;0,INDEX(BE$7:BE$106,$AD98),1),IF($AE98&gt;0,INDEX(BE$7:BE$106,$AE98),1),IF($AF98&gt;0,INDEX(BE$7:BE$106,$AF98),1),IF($AG98&gt;0,INDEX(BE$7:BE$106,$AG98),1),IF($AH98&gt;0,INDEX(BE$7:BE$106,$AH98),1),IF($AI98&gt;0,INDEX(BE$7:BE$106,$AI98),1),IF($AJ98&gt;0,INDEX(BE$7:BE$106,$AJ98),1))))</ns0:f>
        <ns0:v>1</ns0:v>
      </ns0:c>
      <ns0:c r="BG98" t="n">
        <ns0:f>IF($A98="",1,IF(BF98=1,1,--AND(IF($AC98&gt;0,INDEX(BF$7:BF$106,$AC98),1),IF($AD98&gt;0,INDEX(BF$7:BF$106,$AD98),1),IF($AE98&gt;0,INDEX(BF$7:BF$106,$AE98),1),IF($AF98&gt;0,INDEX(BF$7:BF$106,$AF98),1),IF($AG98&gt;0,INDEX(BF$7:BF$106,$AG98),1),IF($AH98&gt;0,INDEX(BF$7:BF$106,$AH98),1),IF($AI98&gt;0,INDEX(BF$7:BF$106,$AI98),1),IF($AJ98&gt;0,INDEX(BF$7:BF$106,$AJ98),1))))</ns0:f>
        <ns0:v>1</ns0:v>
      </ns0:c>
      <ns0:c r="BH98" t="n">
        <ns0:f>IF($A98="",1,IF(BG98=1,1,--AND(IF($AC98&gt;0,INDEX(BG$7:BG$106,$AC98),1),IF($AD98&gt;0,INDEX(BG$7:BG$106,$AD98),1),IF($AE98&gt;0,INDEX(BG$7:BG$106,$AE98),1),IF($AF98&gt;0,INDEX(BG$7:BG$106,$AF98),1),IF($AG98&gt;0,INDEX(BG$7:BG$106,$AG98),1),IF($AH98&gt;0,INDEX(BG$7:BG$106,$AH98),1),IF($AI98&gt;0,INDEX(BG$7:BG$106,$AI98),1),IF($AJ98&gt;0,INDEX(BG$7:BG$106,$AJ98),1))))</ns0:f>
        <ns0:v>1</ns0:v>
      </ns0:c>
      <ns0:c r="BI98" t="n">
        <ns0:f>IF($A98="",1,IF(BH98=1,1,--AND(IF($AC98&gt;0,INDEX(BH$7:BH$106,$AC98),1),IF($AD98&gt;0,INDEX(BH$7:BH$106,$AD98),1),IF($AE98&gt;0,INDEX(BH$7:BH$106,$AE98),1),IF($AF98&gt;0,INDEX(BH$7:BH$106,$AF98),1),IF($AG98&gt;0,INDEX(BH$7:BH$106,$AG98),1),IF($AH98&gt;0,INDEX(BH$7:BH$106,$AH98),1),IF($AI98&gt;0,INDEX(BH$7:BH$106,$AI98),1),IF($AJ98&gt;0,INDEX(BH$7:BH$106,$AJ98),1))))</ns0:f>
        <ns0:v>1</ns0:v>
      </ns0:c>
      <ns0:c r="BJ98" t="n">
        <ns0:f>IF($A98="",1,IF(BI98=1,1,--AND(IF($AC98&gt;0,INDEX(BI$7:BI$106,$AC98),1),IF($AD98&gt;0,INDEX(BI$7:BI$106,$AD98),1),IF($AE98&gt;0,INDEX(BI$7:BI$106,$AE98),1),IF($AF98&gt;0,INDEX(BI$7:BI$106,$AF98),1),IF($AG98&gt;0,INDEX(BI$7:BI$106,$AG98),1),IF($AH98&gt;0,INDEX(BI$7:BI$106,$AH98),1),IF($AI98&gt;0,INDEX(BI$7:BI$106,$AI98),1),IF($AJ98&gt;0,INDEX(BI$7:BI$106,$AJ98),1))))</ns0:f>
        <ns0:v>1</ns0:v>
      </ns0:c>
      <ns0:c r="BK98" t="n">
        <ns0:f>IF($A98="",1,IF(BJ98=1,1,--AND(IF($AC98&gt;0,INDEX(BJ$7:BJ$106,$AC98),1),IF($AD98&gt;0,INDEX(BJ$7:BJ$106,$AD98),1),IF($AE98&gt;0,INDEX(BJ$7:BJ$106,$AE98),1),IF($AF98&gt;0,INDEX(BJ$7:BJ$106,$AF98),1),IF($AG98&gt;0,INDEX(BJ$7:BJ$106,$AG98),1),IF($AH98&gt;0,INDEX(BJ$7:BJ$106,$AH98),1),IF($AI98&gt;0,INDEX(BJ$7:BJ$106,$AI98),1),IF($AJ98&gt;0,INDEX(BJ$7:BJ$106,$AJ98),1))))</ns0:f>
        <ns0:v>1</ns0:v>
      </ns0:c>
      <ns0:c r="BL98" t="n">
        <ns0:f>IF($A98="",1,IF(BK98=1,1,--AND(IF($AC98&gt;0,INDEX(BK$7:BK$106,$AC98),1),IF($AD98&gt;0,INDEX(BK$7:BK$106,$AD98),1),IF($AE98&gt;0,INDEX(BK$7:BK$106,$AE98),1),IF($AF98&gt;0,INDEX(BK$7:BK$106,$AF98),1),IF($AG98&gt;0,INDEX(BK$7:BK$106,$AG98),1),IF($AH98&gt;0,INDEX(BK$7:BK$106,$AH98),1),IF($AI98&gt;0,INDEX(BK$7:BK$106,$AI98),1),IF($AJ98&gt;0,INDEX(BK$7:BK$106,$AJ98),1))))</ns0:f>
        <ns0:v>1</ns0:v>
      </ns0:c>
      <ns0:c r="BM98" t="n">
        <ns0:f>IF($A98="",1,IF(BL98=1,1,--AND(IF($AC98&gt;0,INDEX(BL$7:BL$106,$AC98),1),IF($AD98&gt;0,INDEX(BL$7:BL$106,$AD98),1),IF($AE98&gt;0,INDEX(BL$7:BL$106,$AE98),1),IF($AF98&gt;0,INDEX(BL$7:BL$106,$AF98),1),IF($AG98&gt;0,INDEX(BL$7:BL$106,$AG98),1),IF($AH98&gt;0,INDEX(BL$7:BL$106,$AH98),1),IF($AI98&gt;0,INDEX(BL$7:BL$106,$AI98),1),IF($AJ98&gt;0,INDEX(BL$7:BL$106,$AJ98),1))))</ns0:f>
        <ns0:v>1</ns0:v>
      </ns0:c>
      <ns0:c r="BN98" t="n">
        <ns0:f>IF($A98="",1,IF(BM98=1,1,--AND(IF($AC98&gt;0,INDEX(BM$7:BM$106,$AC98),1),IF($AD98&gt;0,INDEX(BM$7:BM$106,$AD98),1),IF($AE98&gt;0,INDEX(BM$7:BM$106,$AE98),1),IF($AF98&gt;0,INDEX(BM$7:BM$106,$AF98),1),IF($AG98&gt;0,INDEX(BM$7:BM$106,$AG98),1),IF($AH98&gt;0,INDEX(BM$7:BM$106,$AH98),1),IF($AI98&gt;0,INDEX(BM$7:BM$106,$AI98),1),IF($AJ98&gt;0,INDEX(BM$7:BM$106,$AJ98),1))))</ns0:f>
        <ns0:v>1</ns0:v>
      </ns0:c>
      <ns0:c r="BO98" t="n">
        <ns0:f>IF($A98="",1,IF(BN98=1,1,--AND(IF($AC98&gt;0,INDEX(BN$7:BN$106,$AC98),1),IF($AD98&gt;0,INDEX(BN$7:BN$106,$AD98),1),IF($AE98&gt;0,INDEX(BN$7:BN$106,$AE98),1),IF($AF98&gt;0,INDEX(BN$7:BN$106,$AF98),1),IF($AG98&gt;0,INDEX(BN$7:BN$106,$AG98),1),IF($AH98&gt;0,INDEX(BN$7:BN$106,$AH98),1),IF($AI98&gt;0,INDEX(BN$7:BN$106,$AI98),1),IF($AJ98&gt;0,INDEX(BN$7:BN$106,$AJ98),1))))</ns0:f>
        <ns0:v>1</ns0:v>
      </ns0:c>
      <ns0:c r="BP98" t="n">
        <ns0:f>IF($A98="",1,IF(BO98=1,1,--AND(IF($AC98&gt;0,INDEX(BO$7:BO$106,$AC98),1),IF($AD98&gt;0,INDEX(BO$7:BO$106,$AD98),1),IF($AE98&gt;0,INDEX(BO$7:BO$106,$AE98),1),IF($AF98&gt;0,INDEX(BO$7:BO$106,$AF98),1),IF($AG98&gt;0,INDEX(BO$7:BO$106,$AG98),1),IF($AH98&gt;0,INDEX(BO$7:BO$106,$AH98),1),IF($AI98&gt;0,INDEX(BO$7:BO$106,$AI98),1),IF($AJ98&gt;0,INDEX(BO$7:BO$106,$AJ98),1))))</ns0:f>
        <ns0:v>1</ns0:v>
      </ns0:c>
      <ns0:c r="BQ98" t="n">
        <ns0:f>IF($A98="",1,IF(BP98=1,1,--AND(IF($AC98&gt;0,INDEX(BP$7:BP$106,$AC98),1),IF($AD98&gt;0,INDEX(BP$7:BP$106,$AD98),1),IF($AE98&gt;0,INDEX(BP$7:BP$106,$AE98),1),IF($AF98&gt;0,INDEX(BP$7:BP$106,$AF98),1),IF($AG98&gt;0,INDEX(BP$7:BP$106,$AG98),1),IF($AH98&gt;0,INDEX(BP$7:BP$106,$AH98),1),IF($AI98&gt;0,INDEX(BP$7:BP$106,$AI98),1),IF($AJ98&gt;0,INDEX(BP$7:BP$106,$AJ98),1))))</ns0:f>
        <ns0:v>1</ns0:v>
      </ns0:c>
      <ns0:c r="BR98" t="n">
        <ns0:f>IF($A98="",1,IF(BQ98=1,1,--AND(IF($AC98&gt;0,INDEX(BQ$7:BQ$106,$AC98),1),IF($AD98&gt;0,INDEX(BQ$7:BQ$106,$AD98),1),IF($AE98&gt;0,INDEX(BQ$7:BQ$106,$AE98),1),IF($AF98&gt;0,INDEX(BQ$7:BQ$106,$AF98),1),IF($AG98&gt;0,INDEX(BQ$7:BQ$106,$AG98),1),IF($AH98&gt;0,INDEX(BQ$7:BQ$106,$AH98),1),IF($AI98&gt;0,INDEX(BQ$7:BQ$106,$AI98),1),IF($AJ98&gt;0,INDEX(BQ$7:BQ$106,$AJ98),1))))</ns0:f>
        <ns0:v>1</ns0:v>
      </ns0:c>
      <ns0:c r="BS98" t="n">
        <ns0:f>IF($A98="",1,IF(BR98=1,1,--AND(IF($AC98&gt;0,INDEX(BR$7:BR$106,$AC98),1),IF($AD98&gt;0,INDEX(BR$7:BR$106,$AD98),1),IF($AE98&gt;0,INDEX(BR$7:BR$106,$AE98),1),IF($AF98&gt;0,INDEX(BR$7:BR$106,$AF98),1),IF($AG98&gt;0,INDEX(BR$7:BR$106,$AG98),1),IF($AH98&gt;0,INDEX(BR$7:BR$106,$AH98),1),IF($AI98&gt;0,INDEX(BR$7:BR$106,$AI98),1),IF($AJ98&gt;0,INDEX(BR$7:BR$106,$AJ98),1))))</ns0:f>
        <ns0:v>1</ns0:v>
      </ns0:c>
      <ns0:c r="BT98" t="n">
        <ns0:f>IF($A98="",1,IF(BS98=1,1,--AND(IF($AC98&gt;0,INDEX(BS$7:BS$106,$AC98),1),IF($AD98&gt;0,INDEX(BS$7:BS$106,$AD98),1),IF($AE98&gt;0,INDEX(BS$7:BS$106,$AE98),1),IF($AF98&gt;0,INDEX(BS$7:BS$106,$AF98),1),IF($AG98&gt;0,INDEX(BS$7:BS$106,$AG98),1),IF($AH98&gt;0,INDEX(BS$7:BS$106,$AH98),1),IF($AI98&gt;0,INDEX(BS$7:BS$106,$AI98),1),IF($AJ98&gt;0,INDEX(BS$7:BS$106,$AJ98),1))))</ns0:f>
        <ns0:v>1</ns0:v>
      </ns0:c>
      <ns0:c r="BU98" t="n">
        <ns0:f>IF($A98="",1,IF(BT98=1,1,--AND(IF($AC98&gt;0,INDEX(BT$7:BT$106,$AC98),1),IF($AD98&gt;0,INDEX(BT$7:BT$106,$AD98),1),IF($AE98&gt;0,INDEX(BT$7:BT$106,$AE98),1),IF($AF98&gt;0,INDEX(BT$7:BT$106,$AF98),1),IF($AG98&gt;0,INDEX(BT$7:BT$106,$AG98),1),IF($AH98&gt;0,INDEX(BT$7:BT$106,$AH98),1),IF($AI98&gt;0,INDEX(BT$7:BT$106,$AI98),1),IF($AJ98&gt;0,INDEX(BT$7:BT$106,$AJ98),1))))</ns0:f>
        <ns0:v>1</ns0:v>
      </ns0:c>
      <ns0:c r="BV98" t="n">
        <ns0:f>IF($A98="",1,IF(BU98=1,1,--AND(IF($AC98&gt;0,INDEX(BU$7:BU$106,$AC98),1),IF($AD98&gt;0,INDEX(BU$7:BU$106,$AD98),1),IF($AE98&gt;0,INDEX(BU$7:BU$106,$AE98),1),IF($AF98&gt;0,INDEX(BU$7:BU$106,$AF98),1),IF($AG98&gt;0,INDEX(BU$7:BU$106,$AG98),1),IF($AH98&gt;0,INDEX(BU$7:BU$106,$AH98),1),IF($AI98&gt;0,INDEX(BU$7:BU$106,$AI98),1),IF($AJ98&gt;0,INDEX(BU$7:BU$106,$AJ98),1))))</ns0:f>
        <ns0:v>1</ns0:v>
      </ns0:c>
      <ns0:c r="BW98" t="n">
        <ns0:f>IF($A98="",1,IF(BV98=1,1,--AND(IF($AC98&gt;0,INDEX(BV$7:BV$106,$AC98),1),IF($AD98&gt;0,INDEX(BV$7:BV$106,$AD98),1),IF($AE98&gt;0,INDEX(BV$7:BV$106,$AE98),1),IF($AF98&gt;0,INDEX(BV$7:BV$106,$AF98),1),IF($AG98&gt;0,INDEX(BV$7:BV$106,$AG98),1),IF($AH98&gt;0,INDEX(BV$7:BV$106,$AH98),1),IF($AI98&gt;0,INDEX(BV$7:BV$106,$AI98),1),IF($AJ98&gt;0,INDEX(BV$7:BV$106,$AJ98),1))))</ns0:f>
        <ns0:v>1</ns0:v>
      </ns0:c>
      <ns0:c r="BX98" t="n">
        <ns0:f>IF($A98="",1,IF(BW98=1,1,--AND(IF($AC98&gt;0,INDEX(BW$7:BW$106,$AC98),1),IF($AD98&gt;0,INDEX(BW$7:BW$106,$AD98),1),IF($AE98&gt;0,INDEX(BW$7:BW$106,$AE98),1),IF($AF98&gt;0,INDEX(BW$7:BW$106,$AF98),1),IF($AG98&gt;0,INDEX(BW$7:BW$106,$AG98),1),IF($AH98&gt;0,INDEX(BW$7:BW$106,$AH98),1),IF($AI98&gt;0,INDEX(BW$7:BW$106,$AI98),1),IF($AJ98&gt;0,INDEX(BW$7:BW$106,$AJ98),1))))</ns0:f>
        <ns0:v>1</ns0:v>
      </ns0:c>
      <ns0:c r="BY98" t="n">
        <ns0:f>IF($A98="",1,IF(BX98=1,1,--AND(IF($AC98&gt;0,INDEX(BX$7:BX$106,$AC98),1),IF($AD98&gt;0,INDEX(BX$7:BX$106,$AD98),1),IF($AE98&gt;0,INDEX(BX$7:BX$106,$AE98),1),IF($AF98&gt;0,INDEX(BX$7:BX$106,$AF98),1),IF($AG98&gt;0,INDEX(BX$7:BX$106,$AG98),1),IF($AH98&gt;0,INDEX(BX$7:BX$106,$AH98),1),IF($AI98&gt;0,INDEX(BX$7:BX$106,$AI98),1),IF($AJ98&gt;0,INDEX(BX$7:BX$106,$AJ98),1))))</ns0:f>
        <ns0:v>1</ns0:v>
      </ns0:c>
      <ns0:c r="BZ98" t="n">
        <ns0:f>IF($A98="",1,IF(BY98=1,1,--AND(IF($AC98&gt;0,INDEX(BY$7:BY$106,$AC98),1),IF($AD98&gt;0,INDEX(BY$7:BY$106,$AD98),1),IF($AE98&gt;0,INDEX(BY$7:BY$106,$AE98),1),IF($AF98&gt;0,INDEX(BY$7:BY$106,$AF98),1),IF($AG98&gt;0,INDEX(BY$7:BY$106,$AG98),1),IF($AH98&gt;0,INDEX(BY$7:BY$106,$AH98),1),IF($AI98&gt;0,INDEX(BY$7:BY$106,$AI98),1),IF($AJ98&gt;0,INDEX(BY$7:BY$106,$AJ98),1))))</ns0:f>
        <ns0:v>1</ns0:v>
      </ns0:c>
      <ns0:c r="CA98" t="n">
        <ns0:f>IF($A98="",1,IF(BZ98=1,1,--AND(IF($AC98&gt;0,INDEX(BZ$7:BZ$106,$AC98),1),IF($AD98&gt;0,INDEX(BZ$7:BZ$106,$AD98),1),IF($AE98&gt;0,INDEX(BZ$7:BZ$106,$AE98),1),IF($AF98&gt;0,INDEX(BZ$7:BZ$106,$AF98),1),IF($AG98&gt;0,INDEX(BZ$7:BZ$106,$AG98),1),IF($AH98&gt;0,INDEX(BZ$7:BZ$106,$AH98),1),IF($AI98&gt;0,INDEX(BZ$7:BZ$106,$AI98),1),IF($AJ98&gt;0,INDEX(BZ$7:BZ$106,$AJ98),1))))</ns0:f>
        <ns0:v>1</ns0:v>
      </ns0:c>
      <ns0:c r="CB98" t="n">
        <ns0:f>IF($A98="",1,IF(CA98=1,1,--AND(IF($AC98&gt;0,INDEX(CA$7:CA$106,$AC98),1),IF($AD98&gt;0,INDEX(CA$7:CA$106,$AD98),1),IF($AE98&gt;0,INDEX(CA$7:CA$106,$AE98),1),IF($AF98&gt;0,INDEX(CA$7:CA$106,$AF98),1),IF($AG98&gt;0,INDEX(CA$7:CA$106,$AG98),1),IF($AH98&gt;0,INDEX(CA$7:CA$106,$AH98),1),IF($AI98&gt;0,INDEX(CA$7:CA$106,$AI98),1),IF($AJ98&gt;0,INDEX(CA$7:CA$106,$AJ98),1))))</ns0:f>
        <ns0:v>1</ns0:v>
      </ns0:c>
      <ns0:c r="CC98" t="n">
        <ns0:f>IF($A98="",1,IF(CB98=1,1,--AND(IF($AC98&gt;0,INDEX(CB$7:CB$106,$AC98),1),IF($AD98&gt;0,INDEX(CB$7:CB$106,$AD98),1),IF($AE98&gt;0,INDEX(CB$7:CB$106,$AE98),1),IF($AF98&gt;0,INDEX(CB$7:CB$106,$AF98),1),IF($AG98&gt;0,INDEX(CB$7:CB$106,$AG98),1),IF($AH98&gt;0,INDEX(CB$7:CB$106,$AH98),1),IF($AI98&gt;0,INDEX(CB$7:CB$106,$AI98),1),IF($AJ98&gt;0,INDEX(CB$7:CB$106,$AJ98),1))))</ns0:f>
        <ns0:v>1</ns0:v>
      </ns0:c>
      <ns0:c r="CD98" t="n">
        <ns0:f>IF($A98="",1,IF(CC98=1,1,--AND(IF($AC98&gt;0,INDEX(CC$7:CC$106,$AC98),1),IF($AD98&gt;0,INDEX(CC$7:CC$106,$AD98),1),IF($AE98&gt;0,INDEX(CC$7:CC$106,$AE98),1),IF($AF98&gt;0,INDEX(CC$7:CC$106,$AF98),1),IF($AG98&gt;0,INDEX(CC$7:CC$106,$AG98),1),IF($AH98&gt;0,INDEX(CC$7:CC$106,$AH98),1),IF($AI98&gt;0,INDEX(CC$7:CC$106,$AI98),1),IF($AJ98&gt;0,INDEX(CC$7:CC$106,$AJ98),1))))</ns0:f>
        <ns0:v>1</ns0:v>
      </ns0:c>
      <ns0:c r="CE98" t="n">
        <ns0:f>IF($A98="",1,IF(CD98=1,1,--AND(IF($AC98&gt;0,INDEX(CD$7:CD$106,$AC98),1),IF($AD98&gt;0,INDEX(CD$7:CD$106,$AD98),1),IF($AE98&gt;0,INDEX(CD$7:CD$106,$AE98),1),IF($AF98&gt;0,INDEX(CD$7:CD$106,$AF98),1),IF($AG98&gt;0,INDEX(CD$7:CD$106,$AG98),1),IF($AH98&gt;0,INDEX(CD$7:CD$106,$AH98),1),IF($AI98&gt;0,INDEX(CD$7:CD$106,$AI98),1),IF($AJ98&gt;0,INDEX(CD$7:CD$106,$AJ98),1))))</ns0:f>
        <ns0:v>1</ns0:v>
      </ns0:c>
      <ns0:c r="CF98" t="n">
        <ns0:f>IF($A98="",1,IF(CE98=1,1,--AND(IF($AC98&gt;0,INDEX(CE$7:CE$106,$AC98),1),IF($AD98&gt;0,INDEX(CE$7:CE$106,$AD98),1),IF($AE98&gt;0,INDEX(CE$7:CE$106,$AE98),1),IF($AF98&gt;0,INDEX(CE$7:CE$106,$AF98),1),IF($AG98&gt;0,INDEX(CE$7:CE$106,$AG98),1),IF($AH98&gt;0,INDEX(CE$7:CE$106,$AH98),1),IF($AI98&gt;0,INDEX(CE$7:CE$106,$AI98),1),IF($AJ98&gt;0,INDEX(CE$7:CE$106,$AJ98),1))))</ns0:f>
        <ns0:v>1</ns0:v>
      </ns0:c>
      <ns0:c r="CG98" t="n">
        <ns0:f>IF($A98="",1,IF(CF98=1,1,--AND(IF($AC98&gt;0,INDEX(CF$7:CF$106,$AC98),1),IF($AD98&gt;0,INDEX(CF$7:CF$106,$AD98),1),IF($AE98&gt;0,INDEX(CF$7:CF$106,$AE98),1),IF($AF98&gt;0,INDEX(CF$7:CF$106,$AF98),1),IF($AG98&gt;0,INDEX(CF$7:CF$106,$AG98),1),IF($AH98&gt;0,INDEX(CF$7:CF$106,$AH98),1),IF($AI98&gt;0,INDEX(CF$7:CF$106,$AI98),1),IF($AJ98&gt;0,INDEX(CF$7:CF$106,$AJ98),1))))</ns0:f>
        <ns0:v>1</ns0:v>
      </ns0:c>
      <ns0:c r="CH98" t="n">
        <ns0:f>IF($A98="",1,IF(CG98=1,1,--AND(IF($AC98&gt;0,INDEX(CG$7:CG$106,$AC98),1),IF($AD98&gt;0,INDEX(CG$7:CG$106,$AD98),1),IF($AE98&gt;0,INDEX(CG$7:CG$106,$AE98),1),IF($AF98&gt;0,INDEX(CG$7:CG$106,$AF98),1),IF($AG98&gt;0,INDEX(CG$7:CG$106,$AG98),1),IF($AH98&gt;0,INDEX(CG$7:CG$106,$AH98),1),IF($AI98&gt;0,INDEX(CG$7:CG$106,$AI98),1),IF($AJ98&gt;0,INDEX(CG$7:CG$106,$AJ98),1))))</ns0:f>
        <ns0:v>1</ns0:v>
      </ns0:c>
      <ns0:c r="CI98" t="n">
        <ns0:f>IF($A98="",1,IF(CH98=1,1,--AND(IF($AC98&gt;0,INDEX(CH$7:CH$106,$AC98),1),IF($AD98&gt;0,INDEX(CH$7:CH$106,$AD98),1),IF($AE98&gt;0,INDEX(CH$7:CH$106,$AE98),1),IF($AF98&gt;0,INDEX(CH$7:CH$106,$AF98),1),IF($AG98&gt;0,INDEX(CH$7:CH$106,$AG98),1),IF($AH98&gt;0,INDEX(CH$7:CH$106,$AH98),1),IF($AI98&gt;0,INDEX(CH$7:CH$106,$AI98),1),IF($AJ98&gt;0,INDEX(CH$7:CH$106,$AJ98),1))))</ns0:f>
        <ns0:v>1</ns0:v>
      </ns0:c>
      <ns0:c r="CJ98" t="n">
        <ns0:f>IF($A98="",1,IF(CI98=1,1,--AND(IF($AC98&gt;0,INDEX(CI$7:CI$106,$AC98),1),IF($AD98&gt;0,INDEX(CI$7:CI$106,$AD98),1),IF($AE98&gt;0,INDEX(CI$7:CI$106,$AE98),1),IF($AF98&gt;0,INDEX(CI$7:CI$106,$AF98),1),IF($AG98&gt;0,INDEX(CI$7:CI$106,$AG98),1),IF($AH98&gt;0,INDEX(CI$7:CI$106,$AH98),1),IF($AI98&gt;0,INDEX(CI$7:CI$106,$AI98),1),IF($AJ98&gt;0,INDEX(CI$7:CI$106,$AJ98),1))))</ns0:f>
        <ns0:v>1</ns0:v>
      </ns0:c>
      <ns0:c r="CK98" t="n">
        <ns0:f>IF($A98="",1,IF(CJ98=1,1,--AND(IF($AC98&gt;0,INDEX(CJ$7:CJ$106,$AC98),1),IF($AD98&gt;0,INDEX(CJ$7:CJ$106,$AD98),1),IF($AE98&gt;0,INDEX(CJ$7:CJ$106,$AE98),1),IF($AF98&gt;0,INDEX(CJ$7:CJ$106,$AF98),1),IF($AG98&gt;0,INDEX(CJ$7:CJ$106,$AG98),1),IF($AH98&gt;0,INDEX(CJ$7:CJ$106,$AH98),1),IF($AI98&gt;0,INDEX(CJ$7:CJ$106,$AI98),1),IF($AJ98&gt;0,INDEX(CJ$7:CJ$106,$AJ98),1))))</ns0:f>
        <ns0:v>1</ns0:v>
      </ns0:c>
      <ns0:c r="CL98" t="n">
        <ns0:f>IF($A98="",1,IF(CK98=1,1,--AND(IF($AC98&gt;0,INDEX(CK$7:CK$106,$AC98),1),IF($AD98&gt;0,INDEX(CK$7:CK$106,$AD98),1),IF($AE98&gt;0,INDEX(CK$7:CK$106,$AE98),1),IF($AF98&gt;0,INDEX(CK$7:CK$106,$AF98),1),IF($AG98&gt;0,INDEX(CK$7:CK$106,$AG98),1),IF($AH98&gt;0,INDEX(CK$7:CK$106,$AH98),1),IF($AI98&gt;0,INDEX(CK$7:CK$106,$AI98),1),IF($AJ98&gt;0,INDEX(CK$7:CK$106,$AJ98),1))))</ns0:f>
        <ns0:v>1</ns0:v>
      </ns0:c>
      <ns0:c r="CM98" t="n">
        <ns0:f>IF($A98="",1,IF(CL98=1,1,--AND(IF($AC98&gt;0,INDEX(CL$7:CL$106,$AC98),1),IF($AD98&gt;0,INDEX(CL$7:CL$106,$AD98),1),IF($AE98&gt;0,INDEX(CL$7:CL$106,$AE98),1),IF($AF98&gt;0,INDEX(CL$7:CL$106,$AF98),1),IF($AG98&gt;0,INDEX(CL$7:CL$106,$AG98),1),IF($AH98&gt;0,INDEX(CL$7:CL$106,$AH98),1),IF($AI98&gt;0,INDEX(CL$7:CL$106,$AI98),1),IF($AJ98&gt;0,INDEX(CL$7:CL$106,$AJ98),1))))</ns0:f>
        <ns0:v>1</ns0:v>
      </ns0:c>
      <ns0:c r="CN98" t="n">
        <ns0:f>IF($A98="",1,IF(CM98=1,1,--AND(IF($AC98&gt;0,INDEX(CM$7:CM$106,$AC98),1),IF($AD98&gt;0,INDEX(CM$7:CM$106,$AD98),1),IF($AE98&gt;0,INDEX(CM$7:CM$106,$AE98),1),IF($AF98&gt;0,INDEX(CM$7:CM$106,$AF98),1),IF($AG98&gt;0,INDEX(CM$7:CM$106,$AG98),1),IF($AH98&gt;0,INDEX(CM$7:CM$106,$AH98),1),IF($AI98&gt;0,INDEX(CM$7:CM$106,$AI98),1),IF($AJ98&gt;0,INDEX(CM$7:CM$106,$AJ98),1))))</ns0:f>
        <ns0:v>1</ns0:v>
      </ns0:c>
      <ns0:c r="CO98" t="n">
        <ns0:f>IF($A98="",1,IF(CN98=1,1,--AND(IF($AC98&gt;0,INDEX(CN$7:CN$106,$AC98),1),IF($AD98&gt;0,INDEX(CN$7:CN$106,$AD98),1),IF($AE98&gt;0,INDEX(CN$7:CN$106,$AE98),1),IF($AF98&gt;0,INDEX(CN$7:CN$106,$AF98),1),IF($AG98&gt;0,INDEX(CN$7:CN$106,$AG98),1),IF($AH98&gt;0,INDEX(CN$7:CN$106,$AH98),1),IF($AI98&gt;0,INDEX(CN$7:CN$106,$AI98),1),IF($AJ98&gt;0,INDEX(CN$7:CN$106,$AJ98),1))))</ns0:f>
        <ns0:v>1</ns0:v>
      </ns0:c>
      <ns0:c r="CP98" t="n">
        <ns0:f>IF($A98="",1,IF(CO98=1,1,--AND(IF($AC98&gt;0,INDEX(CO$7:CO$106,$AC98),1),IF($AD98&gt;0,INDEX(CO$7:CO$106,$AD98),1),IF($AE98&gt;0,INDEX(CO$7:CO$106,$AE98),1),IF($AF98&gt;0,INDEX(CO$7:CO$106,$AF98),1),IF($AG98&gt;0,INDEX(CO$7:CO$106,$AG98),1),IF($AH98&gt;0,INDEX(CO$7:CO$106,$AH98),1),IF($AI98&gt;0,INDEX(CO$7:CO$106,$AI98),1),IF($AJ98&gt;0,INDEX(CO$7:CO$106,$AJ98),1))))</ns0:f>
        <ns0:v>1</ns0:v>
      </ns0:c>
      <ns0:c r="CQ98" t="n">
        <ns0:f>IF($A98="",1,IF(CP98=1,1,--AND(IF($AC98&gt;0,INDEX(CP$7:CP$106,$AC98),1),IF($AD98&gt;0,INDEX(CP$7:CP$106,$AD98),1),IF($AE98&gt;0,INDEX(CP$7:CP$106,$AE98),1),IF($AF98&gt;0,INDEX(CP$7:CP$106,$AF98),1),IF($AG98&gt;0,INDEX(CP$7:CP$106,$AG98),1),IF($AH98&gt;0,INDEX(CP$7:CP$106,$AH98),1),IF($AI98&gt;0,INDEX(CP$7:CP$106,$AI98),1),IF($AJ98&gt;0,INDEX(CP$7:CP$106,$AJ98),1))))</ns0:f>
        <ns0:v>1</ns0:v>
      </ns0:c>
      <ns0:c r="CR98" t="n">
        <ns0:f>IF($A98="",1,IF(CQ98=1,1,--AND(IF($AC98&gt;0,INDEX(CQ$7:CQ$106,$AC98),1),IF($AD98&gt;0,INDEX(CQ$7:CQ$106,$AD98),1),IF($AE98&gt;0,INDEX(CQ$7:CQ$106,$AE98),1),IF($AF98&gt;0,INDEX(CQ$7:CQ$106,$AF98),1),IF($AG98&gt;0,INDEX(CQ$7:CQ$106,$AG98),1),IF($AH98&gt;0,INDEX(CQ$7:CQ$106,$AH98),1),IF($AI98&gt;0,INDEX(CQ$7:CQ$106,$AI98),1),IF($AJ98&gt;0,INDEX(CQ$7:CQ$106,$AJ98),1))))</ns0:f>
        <ns0:v>1</ns0:v>
      </ns0:c>
      <ns0:c r="CS98" t="n">
        <ns0:f>IF($A98="",1,IF(CR98=1,1,--AND(IF($AC98&gt;0,INDEX(CR$7:CR$106,$AC98),1),IF($AD98&gt;0,INDEX(CR$7:CR$106,$AD98),1),IF($AE98&gt;0,INDEX(CR$7:CR$106,$AE98),1),IF($AF98&gt;0,INDEX(CR$7:CR$106,$AF98),1),IF($AG98&gt;0,INDEX(CR$7:CR$106,$AG98),1),IF($AH98&gt;0,INDEX(CR$7:CR$106,$AH98),1),IF($AI98&gt;0,INDEX(CR$7:CR$106,$AI98),1),IF($AJ98&gt;0,INDEX(CR$7:CR$106,$AJ98),1))))</ns0:f>
        <ns0:v>1</ns0:v>
      </ns0:c>
      <ns0:c r="CT98" t="n">
        <ns0:f>IF($A98="",1,IF(CS98=1,1,--AND(IF($AC98&gt;0,INDEX(CS$7:CS$106,$AC98),1),IF($AD98&gt;0,INDEX(CS$7:CS$106,$AD98),1),IF($AE98&gt;0,INDEX(CS$7:CS$106,$AE98),1),IF($AF98&gt;0,INDEX(CS$7:CS$106,$AF98),1),IF($AG98&gt;0,INDEX(CS$7:CS$106,$AG98),1),IF($AH98&gt;0,INDEX(CS$7:CS$106,$AH98),1),IF($AI98&gt;0,INDEX(CS$7:CS$106,$AI98),1),IF($AJ98&gt;0,INDEX(CS$7:CS$106,$AJ98),1))))</ns0:f>
        <ns0:v>1</ns0:v>
      </ns0:c>
      <ns0:c r="CU98" t="n">
        <ns0:f>IF($A98="",1,IF(CT98=1,1,--AND(IF($AC98&gt;0,INDEX(CT$7:CT$106,$AC98),1),IF($AD98&gt;0,INDEX(CT$7:CT$106,$AD98),1),IF($AE98&gt;0,INDEX(CT$7:CT$106,$AE98),1),IF($AF98&gt;0,INDEX(CT$7:CT$106,$AF98),1),IF($AG98&gt;0,INDEX(CT$7:CT$106,$AG98),1),IF($AH98&gt;0,INDEX(CT$7:CT$106,$AH98),1),IF($AI98&gt;0,INDEX(CT$7:CT$106,$AI98),1),IF($AJ98&gt;0,INDEX(CT$7:CT$106,$AJ98),1))))</ns0:f>
        <ns0:v>1</ns0:v>
      </ns0:c>
      <ns0:c r="CV98" t="n">
        <ns0:f>IF($A98="",1,IF(CU98=1,1,--AND(IF($AC98&gt;0,INDEX(CU$7:CU$106,$AC98),1),IF($AD98&gt;0,INDEX(CU$7:CU$106,$AD98),1),IF($AE98&gt;0,INDEX(CU$7:CU$106,$AE98),1),IF($AF98&gt;0,INDEX(CU$7:CU$106,$AF98),1),IF($AG98&gt;0,INDEX(CU$7:CU$106,$AG98),1),IF($AH98&gt;0,INDEX(CU$7:CU$106,$AH98),1),IF($AI98&gt;0,INDEX(CU$7:CU$106,$AI98),1),IF($AJ98&gt;0,INDEX(CU$7:CU$106,$AJ98),1))))</ns0:f>
        <ns0:v>1</ns0:v>
      </ns0:c>
      <ns0:c r="CW98" t="n">
        <ns0:f>IF($A98="",1,IF(CV98=1,1,--AND(IF($AC98&gt;0,INDEX(CV$7:CV$106,$AC98),1),IF($AD98&gt;0,INDEX(CV$7:CV$106,$AD98),1),IF($AE98&gt;0,INDEX(CV$7:CV$106,$AE98),1),IF($AF98&gt;0,INDEX(CV$7:CV$106,$AF98),1),IF($AG98&gt;0,INDEX(CV$7:CV$106,$AG98),1),IF($AH98&gt;0,INDEX(CV$7:CV$106,$AH98),1),IF($AI98&gt;0,INDEX(CV$7:CV$106,$AI98),1),IF($AJ98&gt;0,INDEX(CV$7:CV$106,$AJ98),1))))</ns0:f>
        <ns0:v>1</ns0:v>
      </ns0:c>
      <ns0:c r="CX98" t="n">
        <ns0:f>IF($A98="",1,IF(CW98=1,1,--AND(IF($AC98&gt;0,INDEX(CW$7:CW$106,$AC98),1),IF($AD98&gt;0,INDEX(CW$7:CW$106,$AD98),1),IF($AE98&gt;0,INDEX(CW$7:CW$106,$AE98),1),IF($AF98&gt;0,INDEX(CW$7:CW$106,$AF98),1),IF($AG98&gt;0,INDEX(CW$7:CW$106,$AG98),1),IF($AH98&gt;0,INDEX(CW$7:CW$106,$AH98),1),IF($AI98&gt;0,INDEX(CW$7:CW$106,$AI98),1),IF($AJ98&gt;0,INDEX(CW$7:CW$106,$AJ98),1))))</ns0:f>
        <ns0:v>1</ns0:v>
      </ns0:c>
      <ns0:c r="CY98" t="n">
        <ns0:f>IF($A98="",1,IF(CX98=1,1,--AND(IF($AC98&gt;0,INDEX(CX$7:CX$106,$AC98),1),IF($AD98&gt;0,INDEX(CX$7:CX$106,$AD98),1),IF($AE98&gt;0,INDEX(CX$7:CX$106,$AE98),1),IF($AF98&gt;0,INDEX(CX$7:CX$106,$AF98),1),IF($AG98&gt;0,INDEX(CX$7:CX$106,$AG98),1),IF($AH98&gt;0,INDEX(CX$7:CX$106,$AH98),1),IF($AI98&gt;0,INDEX(CX$7:CX$106,$AI98),1),IF($AJ98&gt;0,INDEX(CX$7:CX$106,$AJ98),1))))</ns0:f>
        <ns0:v>1</ns0:v>
      </ns0:c>
      <ns0:c r="CZ98" t="n">
        <ns0:f>IF($A98="",1,IF(CY98=1,1,--AND(IF($AC98&gt;0,INDEX(CY$7:CY$106,$AC98),1),IF($AD98&gt;0,INDEX(CY$7:CY$106,$AD98),1),IF($AE98&gt;0,INDEX(CY$7:CY$106,$AE98),1),IF($AF98&gt;0,INDEX(CY$7:CY$106,$AF98),1),IF($AG98&gt;0,INDEX(CY$7:CY$106,$AG98),1),IF($AH98&gt;0,INDEX(CY$7:CY$106,$AH98),1),IF($AI98&gt;0,INDEX(CY$7:CY$106,$AI98),1),IF($AJ98&gt;0,INDEX(CY$7:CY$106,$AJ98),1))))</ns0:f>
        <ns0:v>1</ns0:v>
      </ns0:c>
      <ns0:c r="DA98" t="n">
        <ns0:f>IF($A98="",1,IF(CZ98=1,1,--AND(IF($AC98&gt;0,INDEX(CZ$7:CZ$106,$AC98),1),IF($AD98&gt;0,INDEX(CZ$7:CZ$106,$AD98),1),IF($AE98&gt;0,INDEX(CZ$7:CZ$106,$AE98),1),IF($AF98&gt;0,INDEX(CZ$7:CZ$106,$AF98),1),IF($AG98&gt;0,INDEX(CZ$7:CZ$106,$AG98),1),IF($AH98&gt;0,INDEX(CZ$7:CZ$106,$AH98),1),IF($AI98&gt;0,INDEX(CZ$7:CZ$106,$AI98),1),IF($AJ98&gt;0,INDEX(CZ$7:CZ$106,$AJ98),1))))</ns0:f>
        <ns0:v>1</ns0:v>
      </ns0:c>
      <ns0:c r="DB98" t="n">
        <ns0:f>IF($A98="",1,IF(DA98=1,1,--AND(IF($AC98&gt;0,INDEX(DA$7:DA$106,$AC98),1),IF($AD98&gt;0,INDEX(DA$7:DA$106,$AD98),1),IF($AE98&gt;0,INDEX(DA$7:DA$106,$AE98),1),IF($AF98&gt;0,INDEX(DA$7:DA$106,$AF98),1),IF($AG98&gt;0,INDEX(DA$7:DA$106,$AG98),1),IF($AH98&gt;0,INDEX(DA$7:DA$106,$AH98),1),IF($AI98&gt;0,INDEX(DA$7:DA$106,$AI98),1),IF($AJ98&gt;0,INDEX(DA$7:DA$106,$AJ98),1))))</ns0:f>
        <ns0:v>1</ns0:v>
      </ns0:c>
      <ns0:c r="DC98" t="n">
        <ns0:f>IF($A98="",1,IF(DB98=1,1,--AND(IF($AC98&gt;0,INDEX(DB$7:DB$106,$AC98),1),IF($AD98&gt;0,INDEX(DB$7:DB$106,$AD98),1),IF($AE98&gt;0,INDEX(DB$7:DB$106,$AE98),1),IF($AF98&gt;0,INDEX(DB$7:DB$106,$AF98),1),IF($AG98&gt;0,INDEX(DB$7:DB$106,$AG98),1),IF($AH98&gt;0,INDEX(DB$7:DB$106,$AH98),1),IF($AI98&gt;0,INDEX(DB$7:DB$106,$AI98),1),IF($AJ98&gt;0,INDEX(DB$7:DB$106,$AJ98),1))))</ns0:f>
        <ns0:v>1</ns0:v>
      </ns0:c>
      <ns0:c r="DD98" t="n">
        <ns0:f>IF($A98="",1,IF(DC98=1,1,--AND(IF($AC98&gt;0,INDEX(DC$7:DC$106,$AC98),1),IF($AD98&gt;0,INDEX(DC$7:DC$106,$AD98),1),IF($AE98&gt;0,INDEX(DC$7:DC$106,$AE98),1),IF($AF98&gt;0,INDEX(DC$7:DC$106,$AF98),1),IF($AG98&gt;0,INDEX(DC$7:DC$106,$AG98),1),IF($AH98&gt;0,INDEX(DC$7:DC$106,$AH98),1),IF($AI98&gt;0,INDEX(DC$7:DC$106,$AI98),1),IF($AJ98&gt;0,INDEX(DC$7:DC$106,$AJ98),1))))</ns0:f>
        <ns0:v>1</ns0:v>
      </ns0:c>
      <ns0:c r="DE98" t="n">
        <ns0:f>IF($A98="",1,IF(DD98=1,1,--AND(IF($AC98&gt;0,INDEX(DD$7:DD$106,$AC98),1),IF($AD98&gt;0,INDEX(DD$7:DD$106,$AD98),1),IF($AE98&gt;0,INDEX(DD$7:DD$106,$AE98),1),IF($AF98&gt;0,INDEX(DD$7:DD$106,$AF98),1),IF($AG98&gt;0,INDEX(DD$7:DD$106,$AG98),1),IF($AH98&gt;0,INDEX(DD$7:DD$106,$AH98),1),IF($AI98&gt;0,INDEX(DD$7:DD$106,$AI98),1),IF($AJ98&gt;0,INDEX(DD$7:DD$106,$AJ98),1))))</ns0:f>
        <ns0:v>1</ns0:v>
      </ns0:c>
      <ns0:c r="DF98" t="n">
        <ns0:f>IF($A98="",1,IF(DE98=1,1,--AND(IF($AC98&gt;0,INDEX(DE$7:DE$106,$AC98),1),IF($AD98&gt;0,INDEX(DE$7:DE$106,$AD98),1),IF($AE98&gt;0,INDEX(DE$7:DE$106,$AE98),1),IF($AF98&gt;0,INDEX(DE$7:DE$106,$AF98),1),IF($AG98&gt;0,INDEX(DE$7:DE$106,$AG98),1),IF($AH98&gt;0,INDEX(DE$7:DE$106,$AH98),1),IF($AI98&gt;0,INDEX(DE$7:DE$106,$AI98),1),IF($AJ98&gt;0,INDEX(DE$7:DE$106,$AJ98),1))))</ns0:f>
        <ns0:v>1</ns0:v>
      </ns0:c>
      <ns0:c r="DG98" t="n">
        <ns0:f>IF($A98="",1,IF(DF98=1,1,--AND(IF($AC98&gt;0,INDEX(DF$7:DF$106,$AC98),1),IF($AD98&gt;0,INDEX(DF$7:DF$106,$AD98),1),IF($AE98&gt;0,INDEX(DF$7:DF$106,$AE98),1),IF($AF98&gt;0,INDEX(DF$7:DF$106,$AF98),1),IF($AG98&gt;0,INDEX(DF$7:DF$106,$AG98),1),IF($AH98&gt;0,INDEX(DF$7:DF$106,$AH98),1),IF($AI98&gt;0,INDEX(DF$7:DF$106,$AI98),1),IF($AJ98&gt;0,INDEX(DF$7:DF$106,$AJ98),1))))</ns0:f>
        <ns0:v>1</ns0:v>
      </ns0:c>
      <ns0:c r="DH98" t="n">
        <ns0:f>IF($A98="",1,IF(DG98=1,1,--AND(IF($AC98&gt;0,INDEX(DG$7:DG$106,$AC98),1),IF($AD98&gt;0,INDEX(DG$7:DG$106,$AD98),1),IF($AE98&gt;0,INDEX(DG$7:DG$106,$AE98),1),IF($AF98&gt;0,INDEX(DG$7:DG$106,$AF98),1),IF($AG98&gt;0,INDEX(DG$7:DG$106,$AG98),1),IF($AH98&gt;0,INDEX(DG$7:DG$106,$AH98),1),IF($AI98&gt;0,INDEX(DG$7:DG$106,$AI98),1),IF($AJ98&gt;0,INDEX(DG$7:DG$106,$AJ98),1))))</ns0:f>
        <ns0:v>1</ns0:v>
      </ns0:c>
      <ns0:c r="DI98" t="n">
        <ns0:f>IF($A98="",1,IF(DH98=1,1,--AND(IF($AC98&gt;0,INDEX(DH$7:DH$106,$AC98),1),IF($AD98&gt;0,INDEX(DH$7:DH$106,$AD98),1),IF($AE98&gt;0,INDEX(DH$7:DH$106,$AE98),1),IF($AF98&gt;0,INDEX(DH$7:DH$106,$AF98),1),IF($AG98&gt;0,INDEX(DH$7:DH$106,$AG98),1),IF($AH98&gt;0,INDEX(DH$7:DH$106,$AH98),1),IF($AI98&gt;0,INDEX(DH$7:DH$106,$AI98),1),IF($AJ98&gt;0,INDEX(DH$7:DH$106,$AJ98),1))))</ns0:f>
        <ns0:v>1</ns0:v>
      </ns0:c>
      <ns0:c r="DJ98" t="n">
        <ns0:f>IF($A98="",1,IF(DI98=1,1,--AND(IF($AC98&gt;0,INDEX(DI$7:DI$106,$AC98),1),IF($AD98&gt;0,INDEX(DI$7:DI$106,$AD98),1),IF($AE98&gt;0,INDEX(DI$7:DI$106,$AE98),1),IF($AF98&gt;0,INDEX(DI$7:DI$106,$AF98),1),IF($AG98&gt;0,INDEX(DI$7:DI$106,$AG98),1),IF($AH98&gt;0,INDEX(DI$7:DI$106,$AH98),1),IF($AI98&gt;0,INDEX(DI$7:DI$106,$AI98),1),IF($AJ98&gt;0,INDEX(DI$7:DI$106,$AJ98),1))))</ns0:f>
        <ns0:v>1</ns0:v>
      </ns0:c>
      <ns0:c r="DK98" t="n">
        <ns0:f>IF($A98="",1,IF(DJ98=1,1,--AND(IF($AC98&gt;0,INDEX(DJ$7:DJ$106,$AC98),1),IF($AD98&gt;0,INDEX(DJ$7:DJ$106,$AD98),1),IF($AE98&gt;0,INDEX(DJ$7:DJ$106,$AE98),1),IF($AF98&gt;0,INDEX(DJ$7:DJ$106,$AF98),1),IF($AG98&gt;0,INDEX(DJ$7:DJ$106,$AG98),1),IF($AH98&gt;0,INDEX(DJ$7:DJ$106,$AH98),1),IF($AI98&gt;0,INDEX(DJ$7:DJ$106,$AI98),1),IF($AJ98&gt;0,INDEX(DJ$7:DJ$106,$AJ98),1))))</ns0:f>
        <ns0:v>1</ns0:v>
      </ns0:c>
      <ns0:c r="DL98" t="n">
        <ns0:f>IF($A98="",1,IF(DK98=1,1,--AND(IF($AC98&gt;0,INDEX(DK$7:DK$106,$AC98),1),IF($AD98&gt;0,INDEX(DK$7:DK$106,$AD98),1),IF($AE98&gt;0,INDEX(DK$7:DK$106,$AE98),1),IF($AF98&gt;0,INDEX(DK$7:DK$106,$AF98),1),IF($AG98&gt;0,INDEX(DK$7:DK$106,$AG98),1),IF($AH98&gt;0,INDEX(DK$7:DK$106,$AH98),1),IF($AI98&gt;0,INDEX(DK$7:DK$106,$AI98),1),IF($AJ98&gt;0,INDEX(DK$7:DK$106,$AJ98),1))))</ns0:f>
        <ns0:v>1</ns0:v>
      </ns0:c>
      <ns0:c r="DM98" t="n">
        <ns0:f>IF($A98="",1,IF(DL98=1,1,--AND(IF($AC98&gt;0,INDEX(DL$7:DL$106,$AC98),1),IF($AD98&gt;0,INDEX(DL$7:DL$106,$AD98),1),IF($AE98&gt;0,INDEX(DL$7:DL$106,$AE98),1),IF($AF98&gt;0,INDEX(DL$7:DL$106,$AF98),1),IF($AG98&gt;0,INDEX(DL$7:DL$106,$AG98),1),IF($AH98&gt;0,INDEX(DL$7:DL$106,$AH98),1),IF($AI98&gt;0,INDEX(DL$7:DL$106,$AI98),1),IF($AJ98&gt;0,INDEX(DL$7:DL$106,$AJ98),1))))</ns0:f>
        <ns0:v>1</ns0:v>
      </ns0:c>
      <ns0:c r="DN98" t="n">
        <ns0:f>IF($A98="",1,IF(DM98=1,1,--AND(IF($AC98&gt;0,INDEX(DM$7:DM$106,$AC98),1),IF($AD98&gt;0,INDEX(DM$7:DM$106,$AD98),1),IF($AE98&gt;0,INDEX(DM$7:DM$106,$AE98),1),IF($AF98&gt;0,INDEX(DM$7:DM$106,$AF98),1),IF($AG98&gt;0,INDEX(DM$7:DM$106,$AG98),1),IF($AH98&gt;0,INDEX(DM$7:DM$106,$AH98),1),IF($AI98&gt;0,INDEX(DM$7:DM$106,$AI98),1),IF($AJ98&gt;0,INDEX(DM$7:DM$106,$AJ98),1))))</ns0:f>
        <ns0:v>1</ns0:v>
      </ns0:c>
      <ns0:c r="DO98" t="n">
        <ns0:f>IF($A98="",1,IF(DN98=1,1,--AND(IF($AC98&gt;0,INDEX(DN$7:DN$106,$AC98),1),IF($AD98&gt;0,INDEX(DN$7:DN$106,$AD98),1),IF($AE98&gt;0,INDEX(DN$7:DN$106,$AE98),1),IF($AF98&gt;0,INDEX(DN$7:DN$106,$AF98),1),IF($AG98&gt;0,INDEX(DN$7:DN$106,$AG98),1),IF($AH98&gt;0,INDEX(DN$7:DN$106,$AH98),1),IF($AI98&gt;0,INDEX(DN$7:DN$106,$AI98),1),IF($AJ98&gt;0,INDEX(DN$7:DN$106,$AJ98),1))))</ns0:f>
        <ns0:v>1</ns0:v>
      </ns0:c>
      <ns0:c r="DP98" t="n">
        <ns0:f>IF($A98="",1,IF(DO98=1,1,--AND(IF($AC98&gt;0,INDEX(DO$7:DO$106,$AC98),1),IF($AD98&gt;0,INDEX(DO$7:DO$106,$AD98),1),IF($AE98&gt;0,INDEX(DO$7:DO$106,$AE98),1),IF($AF98&gt;0,INDEX(DO$7:DO$106,$AF98),1),IF($AG98&gt;0,INDEX(DO$7:DO$106,$AG98),1),IF($AH98&gt;0,INDEX(DO$7:DO$106,$AH98),1),IF($AI98&gt;0,INDEX(DO$7:DO$106,$AI98),1),IF($AJ98&gt;0,INDEX(DO$7:DO$106,$AJ98),1))))</ns0:f>
        <ns0:v>1</ns0:v>
      </ns0:c>
      <ns0:c r="DQ98" t="n">
        <ns0:f>IF($A98="",1,IF(DP98=1,1,--AND(IF($AC98&gt;0,INDEX(DP$7:DP$106,$AC98),1),IF($AD98&gt;0,INDEX(DP$7:DP$106,$AD98),1),IF($AE98&gt;0,INDEX(DP$7:DP$106,$AE98),1),IF($AF98&gt;0,INDEX(DP$7:DP$106,$AF98),1),IF($AG98&gt;0,INDEX(DP$7:DP$106,$AG98),1),IF($AH98&gt;0,INDEX(DP$7:DP$106,$AH98),1),IF($AI98&gt;0,INDEX(DP$7:DP$106,$AI98),1),IF($AJ98&gt;0,INDEX(DP$7:DP$106,$AJ98),1))))</ns0:f>
        <ns0:v>1</ns0:v>
      </ns0:c>
      <ns0:c r="DR98" t="n">
        <ns0:f>IF($A98="",1,IF(DQ98=1,1,--AND(IF($AC98&gt;0,INDEX(DQ$7:DQ$106,$AC98),1),IF($AD98&gt;0,INDEX(DQ$7:DQ$106,$AD98),1),IF($AE98&gt;0,INDEX(DQ$7:DQ$106,$AE98),1),IF($AF98&gt;0,INDEX(DQ$7:DQ$106,$AF98),1),IF($AG98&gt;0,INDEX(DQ$7:DQ$106,$AG98),1),IF($AH98&gt;0,INDEX(DQ$7:DQ$106,$AH98),1),IF($AI98&gt;0,INDEX(DQ$7:DQ$106,$AI98),1),IF($AJ98&gt;0,INDEX(DQ$7:DQ$106,$AJ98),1))))</ns0:f>
        <ns0:v>1</ns0:v>
      </ns0:c>
      <ns0:c r="DS98" t="n">
        <ns0:f>IF($A98="",1,IF(DR98=1,1,--AND(IF($AC98&gt;0,INDEX(DR$7:DR$106,$AC98),1),IF($AD98&gt;0,INDEX(DR$7:DR$106,$AD98),1),IF($AE98&gt;0,INDEX(DR$7:DR$106,$AE98),1),IF($AF98&gt;0,INDEX(DR$7:DR$106,$AF98),1),IF($AG98&gt;0,INDEX(DR$7:DR$106,$AG98),1),IF($AH98&gt;0,INDEX(DR$7:DR$106,$AH98),1),IF($AI98&gt;0,INDEX(DR$7:DR$106,$AI98),1),IF($AJ98&gt;0,INDEX(DR$7:DR$106,$AJ98),1))))</ns0:f>
        <ns0:v>1</ns0:v>
      </ns0:c>
      <ns0:c r="DT98" t="n">
        <ns0:f>IF($A98="",1,IF(DS98=1,1,--AND(IF($AC98&gt;0,INDEX(DS$7:DS$106,$AC98),1),IF($AD98&gt;0,INDEX(DS$7:DS$106,$AD98),1),IF($AE98&gt;0,INDEX(DS$7:DS$106,$AE98),1),IF($AF98&gt;0,INDEX(DS$7:DS$106,$AF98),1),IF($AG98&gt;0,INDEX(DS$7:DS$106,$AG98),1),IF($AH98&gt;0,INDEX(DS$7:DS$106,$AH98),1),IF($AI98&gt;0,INDEX(DS$7:DS$106,$AI98),1),IF($AJ98&gt;0,INDEX(DS$7:DS$106,$AJ98),1))))</ns0:f>
        <ns0:v>1</ns0:v>
      </ns0:c>
      <ns0:c r="DU98" t="n">
        <ns0:f>IF($A98="",1,IF(DT98=1,1,--AND(IF($AC98&gt;0,INDEX(DT$7:DT$106,$AC98),1),IF($AD98&gt;0,INDEX(DT$7:DT$106,$AD98),1),IF($AE98&gt;0,INDEX(DT$7:DT$106,$AE98),1),IF($AF98&gt;0,INDEX(DT$7:DT$106,$AF98),1),IF($AG98&gt;0,INDEX(DT$7:DT$106,$AG98),1),IF($AH98&gt;0,INDEX(DT$7:DT$106,$AH98),1),IF($AI98&gt;0,INDEX(DT$7:DT$106,$AI98),1),IF($AJ98&gt;0,INDEX(DT$7:DT$106,$AJ98),1))))</ns0:f>
        <ns0:v>1</ns0:v>
      </ns0:c>
      <ns0:c r="DV98" t="n">
        <ns0:f>IF($A98="",1,IF(DU98=1,1,--AND(IF($AC98&gt;0,INDEX(DU$7:DU$106,$AC98),1),IF($AD98&gt;0,INDEX(DU$7:DU$106,$AD98),1),IF($AE98&gt;0,INDEX(DU$7:DU$106,$AE98),1),IF($AF98&gt;0,INDEX(DU$7:DU$106,$AF98),1),IF($AG98&gt;0,INDEX(DU$7:DU$106,$AG98),1),IF($AH98&gt;0,INDEX(DU$7:DU$106,$AH98),1),IF($AI98&gt;0,INDEX(DU$7:DU$106,$AI98),1),IF($AJ98&gt;0,INDEX(DU$7:DU$106,$AJ98),1))))</ns0:f>
        <ns0:v>1</ns0:v>
      </ns0:c>
      <ns0:c r="DW98" t="n">
        <ns0:f>IF($A98="",1,IF(DV98=1,1,--AND(IF($AC98&gt;0,INDEX(DV$7:DV$106,$AC98),1),IF($AD98&gt;0,INDEX(DV$7:DV$106,$AD98),1),IF($AE98&gt;0,INDEX(DV$7:DV$106,$AE98),1),IF($AF98&gt;0,INDEX(DV$7:DV$106,$AF98),1),IF($AG98&gt;0,INDEX(DV$7:DV$106,$AG98),1),IF($AH98&gt;0,INDEX(DV$7:DV$106,$AH98),1),IF($AI98&gt;0,INDEX(DV$7:DV$106,$AI98),1),IF($AJ98&gt;0,INDEX(DV$7:DV$106,$AJ98),1))))</ns0:f>
        <ns0:v>1</ns0:v>
      </ns0:c>
      <ns0:c r="DX98" t="n">
        <ns0:f>IF($A98="",1,IF(DW98=1,1,--AND(IF($AC98&gt;0,INDEX(DW$7:DW$106,$AC98),1),IF($AD98&gt;0,INDEX(DW$7:DW$106,$AD98),1),IF($AE98&gt;0,INDEX(DW$7:DW$106,$AE98),1),IF($AF98&gt;0,INDEX(DW$7:DW$106,$AF98),1),IF($AG98&gt;0,INDEX(DW$7:DW$106,$AG98),1),IF($AH98&gt;0,INDEX(DW$7:DW$106,$AH98),1),IF($AI98&gt;0,INDEX(DW$7:DW$106,$AI98),1),IF($AJ98&gt;0,INDEX(DW$7:DW$106,$AJ98),1))))</ns0:f>
        <ns0:v>1</ns0:v>
      </ns0:c>
      <ns0:c r="DY98" t="n">
        <ns0:f>IF($A98="",1,IF(DX98=1,1,--AND(IF($AC98&gt;0,INDEX(DX$7:DX$106,$AC98),1),IF($AD98&gt;0,INDEX(DX$7:DX$106,$AD98),1),IF($AE98&gt;0,INDEX(DX$7:DX$106,$AE98),1),IF($AF98&gt;0,INDEX(DX$7:DX$106,$AF98),1),IF($AG98&gt;0,INDEX(DX$7:DX$106,$AG98),1),IF($AH98&gt;0,INDEX(DX$7:DX$106,$AH98),1),IF($AI98&gt;0,INDEX(DX$7:DX$106,$AI98),1),IF($AJ98&gt;0,INDEX(DX$7:DX$106,$AJ98),1))))</ns0:f>
        <ns0:v>1</ns0:v>
      </ns0:c>
      <ns0:c r="DZ98" t="n">
        <ns0:f>IF($A98="",1,IF(DY98=1,1,--AND(IF($AC98&gt;0,INDEX(DY$7:DY$106,$AC98),1),IF($AD98&gt;0,INDEX(DY$7:DY$106,$AD98),1),IF($AE98&gt;0,INDEX(DY$7:DY$106,$AE98),1),IF($AF98&gt;0,INDEX(DY$7:DY$106,$AF98),1),IF($AG98&gt;0,INDEX(DY$7:DY$106,$AG98),1),IF($AH98&gt;0,INDEX(DY$7:DY$106,$AH98),1),IF($AI98&gt;0,INDEX(DY$7:DY$106,$AI98),1),IF($AJ98&gt;0,INDEX(DY$7:DY$106,$AJ98),1))))</ns0:f>
        <ns0:v>1</ns0:v>
      </ns0:c>
      <ns0:c r="EA98" t="n">
        <ns0:f>IF($A98="",1,IF(DZ98=1,1,--AND(IF($AC98&gt;0,INDEX(DZ$7:DZ$106,$AC98),1),IF($AD98&gt;0,INDEX(DZ$7:DZ$106,$AD98),1),IF($AE98&gt;0,INDEX(DZ$7:DZ$106,$AE98),1),IF($AF98&gt;0,INDEX(DZ$7:DZ$106,$AF98),1),IF($AG98&gt;0,INDEX(DZ$7:DZ$106,$AG98),1),IF($AH98&gt;0,INDEX(DZ$7:DZ$106,$AH98),1),IF($AI98&gt;0,INDEX(DZ$7:DZ$106,$AI98),1),IF($AJ98&gt;0,INDEX(DZ$7:DZ$106,$AJ98),1))))</ns0:f>
        <ns0:v>1</ns0:v>
      </ns0:c>
      <ns0:c r="EB98" t="n">
        <ns0:f>IF($A98="",1,IF(EA98=1,1,--AND(IF($AC98&gt;0,INDEX(EA$7:EA$106,$AC98),1),IF($AD98&gt;0,INDEX(EA$7:EA$106,$AD98),1),IF($AE98&gt;0,INDEX(EA$7:EA$106,$AE98),1),IF($AF98&gt;0,INDEX(EA$7:EA$106,$AF98),1),IF($AG98&gt;0,INDEX(EA$7:EA$106,$AG98),1),IF($AH98&gt;0,INDEX(EA$7:EA$106,$AH98),1),IF($AI98&gt;0,INDEX(EA$7:EA$106,$AI98),1),IF($AJ98&gt;0,INDEX(EA$7:EA$106,$AJ98),1))))</ns0:f>
        <ns0:v>1</ns0:v>
      </ns0:c>
      <ns0:c r="EC98" t="n">
        <ns0:f>IF($A98="",1,IF(EB98=1,1,--AND(IF($AC98&gt;0,INDEX(EB$7:EB$106,$AC98),1),IF($AD98&gt;0,INDEX(EB$7:EB$106,$AD98),1),IF($AE98&gt;0,INDEX(EB$7:EB$106,$AE98),1),IF($AF98&gt;0,INDEX(EB$7:EB$106,$AF98),1),IF($AG98&gt;0,INDEX(EB$7:EB$106,$AG98),1),IF($AH98&gt;0,INDEX(EB$7:EB$106,$AH98),1),IF($AI98&gt;0,INDEX(EB$7:EB$106,$AI98),1),IF($AJ98&gt;0,INDEX(EB$7:EB$106,$AJ98),1))))</ns0:f>
        <ns0:v>1</ns0:v>
      </ns0:c>
      <ns0:c r="ED98" t="n">
        <ns0:f>IF($A98="",1,IF(EC98=1,1,--AND(IF($AC98&gt;0,INDEX(EC$7:EC$106,$AC98),1),IF($AD98&gt;0,INDEX(EC$7:EC$106,$AD98),1),IF($AE98&gt;0,INDEX(EC$7:EC$106,$AE98),1),IF($AF98&gt;0,INDEX(EC$7:EC$106,$AF98),1),IF($AG98&gt;0,INDEX(EC$7:EC$106,$AG98),1),IF($AH98&gt;0,INDEX(EC$7:EC$106,$AH98),1),IF($AI98&gt;0,INDEX(EC$7:EC$106,$AI98),1),IF($AJ98&gt;0,INDEX(EC$7:EC$106,$AJ98),1))))</ns0:f>
        <ns0:v>1</ns0:v>
      </ns0:c>
      <ns0:c r="EE98" t="n">
        <ns0:f>IF($A98="",1,IF(ED98=1,1,--AND(IF($AC98&gt;0,INDEX(ED$7:ED$106,$AC98),1),IF($AD98&gt;0,INDEX(ED$7:ED$106,$AD98),1),IF($AE98&gt;0,INDEX(ED$7:ED$106,$AE98),1),IF($AF98&gt;0,INDEX(ED$7:ED$106,$AF98),1),IF($AG98&gt;0,INDEX(ED$7:ED$106,$AG98),1),IF($AH98&gt;0,INDEX(ED$7:ED$106,$AH98),1),IF($AI98&gt;0,INDEX(ED$7:ED$106,$AI98),1),IF($AJ98&gt;0,INDEX(ED$7:ED$106,$AJ98),1))))</ns0:f>
        <ns0:v>1</ns0:v>
      </ns0:c>
      <ns0:c r="EF98" t="n">
        <ns0:f>IF($A98="",1,IF(EE98=1,1,--AND(IF($AC98&gt;0,INDEX(EE$7:EE$106,$AC98),1),IF($AD98&gt;0,INDEX(EE$7:EE$106,$AD98),1),IF($AE98&gt;0,INDEX(EE$7:EE$106,$AE98),1),IF($AF98&gt;0,INDEX(EE$7:EE$106,$AF98),1),IF($AG98&gt;0,INDEX(EE$7:EE$106,$AG98),1),IF($AH98&gt;0,INDEX(EE$7:EE$106,$AH98),1),IF($AI98&gt;0,INDEX(EE$7:EE$106,$AI98),1),IF($AJ98&gt;0,INDEX(EE$7:EE$106,$AJ98),1))))</ns0:f>
        <ns0:v>1</ns0:v>
      </ns0:c>
      <ns0:c r="EG98" t="n">
        <ns0:f>IF($A98="",1,IF(EF98=1,1,--AND(IF($AC98&gt;0,INDEX(EF$7:EF$106,$AC98),1),IF($AD98&gt;0,INDEX(EF$7:EF$106,$AD98),1),IF($AE98&gt;0,INDEX(EF$7:EF$106,$AE98),1),IF($AF98&gt;0,INDEX(EF$7:EF$106,$AF98),1),IF($AG98&gt;0,INDEX(EF$7:EF$106,$AG98),1),IF($AH98&gt;0,INDEX(EF$7:EF$106,$AH98),1),IF($AI98&gt;0,INDEX(EF$7:EF$106,$AI98),1),IF($AJ98&gt;0,INDEX(EF$7:EF$106,$AJ98),1))))</ns0:f>
        <ns0:v>1</ns0:v>
      </ns0:c>
      <ns0:c r="EH98" t="n">
        <ns0:f>IF($A98="",1,IF(EG98=1,1,--AND(IF($AC98&gt;0,INDEX(EG$7:EG$106,$AC98),1),IF($AD98&gt;0,INDEX(EG$7:EG$106,$AD98),1),IF($AE98&gt;0,INDEX(EG$7:EG$106,$AE98),1),IF($AF98&gt;0,INDEX(EG$7:EG$106,$AF98),1),IF($AG98&gt;0,INDEX(EG$7:EG$106,$AG98),1),IF($AH98&gt;0,INDEX(EG$7:EG$106,$AH98),1),IF($AI98&gt;0,INDEX(EG$7:EG$106,$AI98),1),IF($AJ98&gt;0,INDEX(EG$7:EG$106,$AJ98),1))))</ns0:f>
        <ns0:v>1</ns0:v>
      </ns0:c>
      <ns0:c r="EI98" t="n">
        <ns0:f>IF($A98="",1,IF(EH98=1,1,--AND(IF($AC98&gt;0,INDEX(EH$7:EH$106,$AC98),1),IF($AD98&gt;0,INDEX(EH$7:EH$106,$AD98),1),IF($AE98&gt;0,INDEX(EH$7:EH$106,$AE98),1),IF($AF98&gt;0,INDEX(EH$7:EH$106,$AF98),1),IF($AG98&gt;0,INDEX(EH$7:EH$106,$AG98),1),IF($AH98&gt;0,INDEX(EH$7:EH$106,$AH98),1),IF($AI98&gt;0,INDEX(EH$7:EH$106,$AI98),1),IF($AJ98&gt;0,INDEX(EH$7:EH$106,$AJ98),1))))</ns0:f>
        <ns0:v>1</ns0:v>
      </ns0:c>
      <ns0:c r="EJ98" t="n">
        <ns0:f>IF($A98="",1,IF(EI98=1,1,--AND(IF($AC98&gt;0,INDEX(EI$7:EI$106,$AC98),1),IF($AD98&gt;0,INDEX(EI$7:EI$106,$AD98),1),IF($AE98&gt;0,INDEX(EI$7:EI$106,$AE98),1),IF($AF98&gt;0,INDEX(EI$7:EI$106,$AF98),1),IF($AG98&gt;0,INDEX(EI$7:EI$106,$AG98),1),IF($AH98&gt;0,INDEX(EI$7:EI$106,$AH98),1),IF($AI98&gt;0,INDEX(EI$7:EI$106,$AI98),1),IF($AJ98&gt;0,INDEX(EI$7:EI$106,$AJ98),1))))</ns0:f>
        <ns0:v>1</ns0:v>
      </ns0:c>
      <ns0:c r="EK98" t="n">
        <ns0:f>IF($A98="",1,IF(EJ98=1,1,--AND(IF($AC98&gt;0,INDEX(EJ$7:EJ$106,$AC98),1),IF($AD98&gt;0,INDEX(EJ$7:EJ$106,$AD98),1),IF($AE98&gt;0,INDEX(EJ$7:EJ$106,$AE98),1),IF($AF98&gt;0,INDEX(EJ$7:EJ$106,$AF98),1),IF($AG98&gt;0,INDEX(EJ$7:EJ$106,$AG98),1),IF($AH98&gt;0,INDEX(EJ$7:EJ$106,$AH98),1),IF($AI98&gt;0,INDEX(EJ$7:EJ$106,$AI98),1),IF($AJ98&gt;0,INDEX(EJ$7:EJ$106,$AJ98),1))))</ns0:f>
        <ns0:v>1</ns0:v>
      </ns0:c>
      <ns0:c r="EL98" t="n">
        <ns0:f>IF($A98="",1,IF(EK98=1,1,--AND(IF($AC98&gt;0,INDEX(EK$7:EK$106,$AC98),1),IF($AD98&gt;0,INDEX(EK$7:EK$106,$AD98),1),IF($AE98&gt;0,INDEX(EK$7:EK$106,$AE98),1),IF($AF98&gt;0,INDEX(EK$7:EK$106,$AF98),1),IF($AG98&gt;0,INDEX(EK$7:EK$106,$AG98),1),IF($AH98&gt;0,INDEX(EK$7:EK$106,$AH98),1),IF($AI98&gt;0,INDEX(EK$7:EK$106,$AI98),1),IF($AJ98&gt;0,INDEX(EK$7:EK$106,$AJ98),1))))</ns0:f>
        <ns0:v>1</ns0:v>
      </ns0:c>
      <ns0:c r="EM98" t="n">
        <ns0:f>IF($A98="",1,IF(EL98=1,1,--AND(IF($AC98&gt;0,INDEX(EL$7:EL$106,$AC98),1),IF($AD98&gt;0,INDEX(EL$7:EL$106,$AD98),1),IF($AE98&gt;0,INDEX(EL$7:EL$106,$AE98),1),IF($AF98&gt;0,INDEX(EL$7:EL$106,$AF98),1),IF($AG98&gt;0,INDEX(EL$7:EL$106,$AG98),1),IF($AH98&gt;0,INDEX(EL$7:EL$106,$AH98),1),IF($AI98&gt;0,INDEX(EL$7:EL$106,$AI98),1),IF($AJ98&gt;0,INDEX(EL$7:EL$106,$AJ98),1))))</ns0:f>
        <ns0:v>1</ns0:v>
      </ns0:c>
      <ns0:c r="EN98" t="n">
        <ns0:f>IF($A98="",1,IF(EM98=1,1,--AND(IF($AC98&gt;0,INDEX(EM$7:EM$106,$AC98),1),IF($AD98&gt;0,INDEX(EM$7:EM$106,$AD98),1),IF($AE98&gt;0,INDEX(EM$7:EM$106,$AE98),1),IF($AF98&gt;0,INDEX(EM$7:EM$106,$AF98),1),IF($AG98&gt;0,INDEX(EM$7:EM$106,$AG98),1),IF($AH98&gt;0,INDEX(EM$7:EM$106,$AH98),1),IF($AI98&gt;0,INDEX(EM$7:EM$106,$AI98),1),IF($AJ98&gt;0,INDEX(EM$7:EM$106,$AJ98),1))))</ns0:f>
        <ns0:v>1</ns0:v>
      </ns0:c>
      <ns0:c r="EO98" t="n">
        <ns0:f>IF($A98="",1,IF(EN98=1,1,--AND(IF($AC98&gt;0,INDEX(EN$7:EN$106,$AC98),1),IF($AD98&gt;0,INDEX(EN$7:EN$106,$AD98),1),IF($AE98&gt;0,INDEX(EN$7:EN$106,$AE98),1),IF($AF98&gt;0,INDEX(EN$7:EN$106,$AF98),1),IF($AG98&gt;0,INDEX(EN$7:EN$106,$AG98),1),IF($AH98&gt;0,INDEX(EN$7:EN$106,$AH98),1),IF($AI98&gt;0,INDEX(EN$7:EN$106,$AI98),1),IF($AJ98&gt;0,INDEX(EN$7:EN$106,$AJ98),1))))</ns0:f>
        <ns0:v>1</ns0:v>
      </ns0:c>
      <ns0:c r="EP98" t="n">
        <ns0:f>IF($A98="",1,IF(EO98=1,1,--AND(IF($AC98&gt;0,INDEX(EO$7:EO$106,$AC98),1),IF($AD98&gt;0,INDEX(EO$7:EO$106,$AD98),1),IF($AE98&gt;0,INDEX(EO$7:EO$106,$AE98),1),IF($AF98&gt;0,INDEX(EO$7:EO$106,$AF98),1),IF($AG98&gt;0,INDEX(EO$7:EO$106,$AG98),1),IF($AH98&gt;0,INDEX(EO$7:EO$106,$AH98),1),IF($AI98&gt;0,INDEX(EO$7:EO$106,$AI98),1),IF($AJ98&gt;0,INDEX(EO$7:EO$106,$AJ98),1))))</ns0:f>
        <ns0:v>1</ns0:v>
      </ns0:c>
      <ns0:c r="EQ98" t="n">
        <ns0:f>IF(OR(A98="",NOT(ISNUMBER(G98))),0,G98*N98)</ns0:f>
        <ns0:v>0</ns0:v>
      </ns0:c>
    </ns0:row>
    <ns0:row r="99" ht="62" customHeight="1">
      <ns0:c r="A99" s="48"/>
      <ns0:c r="B99" s="48"/>
      <ns0:c r="C99" s="48"/>
      <ns0:c r="D99" s="48"/>
      <ns0:c r="E99" s="49"/>
      <ns0:c r="F99" s="49"/>
      <ns0:c r="G99" s="13" t="str">
        <ns0:f>IF(A99="","",IF(OR(NOT(ISNUMBER(E99)),NOT(ISNUMBER(F99)),F99&lt;E99),"",IF(J99="Yes",0,F99-E99+1)))</ns0:f>
      </ns0:c>
      <ns0:c r="H99" s="48"/>
      <ns0:c r="I99" s="48"/>
      <ns0:c r="J99" s="48"/>
      <ns0:c r="K99" s="48"/>
      <ns0:c r="L99" s="48"/>
      <ns0:c r="M99" s="50" t="str">
        <ns0:f>IF(A99="","",IF(N99=1,"Completed",IF(N99&gt;0,"In Progress","Not Started")))</ns0:f>
      </ns0:c>
      <ns0:c r="N99" s="51"/>
      <ns0:c r="O99" s="13" t="str">
        <ns0:f>IF(A99="","",IF(R99&lt;&gt;"","[CONFLICT] "&amp;R99,IF(S99&lt;&gt;"","[CONFLICT] "&amp;S99,IF(OR(NOT(ISNUMBER(N99)),N99&lt;0,N99&gt;1),"[CONFLICT] Invalid progress",IF(AK99&gt;0,"[DEPENDENCY ISSUE] Missing ID / &gt;8 links",IF(AM99&gt;0,"[DEPENDENCY ISSUE] Cycle or blocked by cycle",IF(AND(H99&lt;&gt;"",ISNA(MATCH(I99,{"FS","SS","FF","SF"},0))),"[DEPENDENCY ISSUE] Invalid type",IF(AL99&gt;0,"[DEPENDENCY ISSUE] Timing conflict",IF(OR(E99&lt;ProjectStart,F99&gt;ProjectEnd),"[OUTSIDE WINDOW]",IF(AND(N99&lt;1,F99&lt;AsOfDate),"Overdue",IF(AND(M99&lt;&gt;Q99,M99&lt;&gt;""),"[CONFLICT] Status / progress","On track")))))))))))</ns0:f>
      </ns0:c>
      <ns0:c r="P99" s="52"/>
      <ns0:c r="Q99" t="str">
        <ns0:f>IF(A99="","",IF(OR(M99="On Hold",M99="Delayed"),M99,IF(N99=1,"Completed",IF(N99&gt;0,"In Progress","Not Started"))))</ns0:f>
      </ns0:c>
      <ns0:c r="R99" t="str">
        <ns0:f>IF(A99="","",IF(COUNTIFS(Tasks[Task ID],A99)&lt;&gt;1,"Duplicate ID",""))</ns0:f>
      </ns0:c>
      <ns0:c r="S99" t="str">
        <ns0:f>IF(A99="","",IF(OR(NOT(ISNUMBER(E99)),NOT(ISNUMBER(F99))),"Invalid / missing date",IF(OR(E99&lt;&gt;INT(E99),F99&lt;&gt;INT(F99),E99&lt;1,F99&gt;2958465),"Invalid date",IF(F99&lt;E99,"End before start",IF(AND(J99="Yes",E99&lt;&gt;F99),"Milestone needs one date","")))))</ns0:f>
      </ns0:c>
      <ns0:c r="T99" t="n">
        <ns0:f>IF(H99="",0,LEN(H99)-LEN(SUBSTITUTE(H99,",",""))+1)</ns0:f>
        <ns0:v>0</ns0:v>
      </ns0:c>
      <ns0:c r="U99" t="str">
        <ns0:f>TRIM(MID(SUBSTITUTE($H99,",",REPT(" ",100)),1,100))</ns0:f>
      </ns0:c>
      <ns0:c r="V99" t="str">
        <ns0:f>TRIM(MID(SUBSTITUTE($H99,",",REPT(" ",100)),101,100))</ns0:f>
      </ns0:c>
      <ns0:c r="W99" t="str">
        <ns0:f>TRIM(MID(SUBSTITUTE($H99,",",REPT(" ",100)),201,100))</ns0:f>
      </ns0:c>
      <ns0:c r="X99" t="str">
        <ns0:f>TRIM(MID(SUBSTITUTE($H99,",",REPT(" ",100)),301,100))</ns0:f>
      </ns0:c>
      <ns0:c r="Y99" t="str">
        <ns0:f>TRIM(MID(SUBSTITUTE($H99,",",REPT(" ",100)),401,100))</ns0:f>
      </ns0:c>
      <ns0:c r="Z99" t="str">
        <ns0:f>TRIM(MID(SUBSTITUTE($H99,",",REPT(" ",100)),501,100))</ns0:f>
      </ns0:c>
      <ns0:c r="AA99" t="str">
        <ns0:f>TRIM(MID(SUBSTITUTE($H99,",",REPT(" ",100)),601,100))</ns0:f>
      </ns0:c>
      <ns0:c r="AB99" t="str">
        <ns0:f>TRIM(MID(SUBSTITUTE($H99,",",REPT(" ",100)),701,100))</ns0:f>
      </ns0:c>
      <ns0:c r="AC99" t="n">
        <ns0:f>IF(U99="",0,IF(COUNTIFS(Tasks[Task ID],U99)=1,MATCH(U99,Tasks[Task ID],0),-1))</ns0:f>
        <ns0:v>0</ns0:v>
      </ns0:c>
      <ns0:c r="AD99" t="n">
        <ns0:f>IF(V99="",0,IF(COUNTIFS(Tasks[Task ID],V99)=1,MATCH(V99,Tasks[Task ID],0),-1))</ns0:f>
        <ns0:v>0</ns0:v>
      </ns0:c>
      <ns0:c r="AE99" t="n">
        <ns0:f>IF(W99="",0,IF(COUNTIFS(Tasks[Task ID],W99)=1,MATCH(W99,Tasks[Task ID],0),-1))</ns0:f>
        <ns0:v>0</ns0:v>
      </ns0:c>
      <ns0:c r="AF99" t="n">
        <ns0:f>IF(X99="",0,IF(COUNTIFS(Tasks[Task ID],X99)=1,MATCH(X99,Tasks[Task ID],0),-1))</ns0:f>
        <ns0:v>0</ns0:v>
      </ns0:c>
      <ns0:c r="AG99" t="n">
        <ns0:f>IF(Y99="",0,IF(COUNTIFS(Tasks[Task ID],Y99)=1,MATCH(Y99,Tasks[Task ID],0),-1))</ns0:f>
        <ns0:v>0</ns0:v>
      </ns0:c>
      <ns0:c r="AH99" t="n">
        <ns0:f>IF(Z99="",0,IF(COUNTIFS(Tasks[Task ID],Z99)=1,MATCH(Z99,Tasks[Task ID],0),-1))</ns0:f>
        <ns0:v>0</ns0:v>
      </ns0:c>
      <ns0:c r="AI99" t="n">
        <ns0:f>IF(AA99="",0,IF(COUNTIFS(Tasks[Task ID],AA99)=1,MATCH(AA99,Tasks[Task ID],0),-1))</ns0:f>
        <ns0:v>0</ns0:v>
      </ns0:c>
      <ns0:c r="AJ99" t="n">
        <ns0:f>IF(AB99="",0,IF(COUNTIFS(Tasks[Task ID],AB99)=1,MATCH(AB99,Tasks[Task ID],0),-1))</ns0:f>
        <ns0:v>0</ns0:v>
      </ns0:c>
      <ns0:c r="AK99" t="n">
        <ns0:f>COUNTIFS(AC99:AJ99,-1)+IF(T99&gt;8,1,0)</ns0:f>
        <ns0:v>0</ns0:v>
      </ns0:c>
      <ns0:c r="AL99" t="n">
        <ns0:f>IF(OR(A99="",S99&lt;&gt;""),0,SUM(IF(AC99&gt;0,IF($I99="FS",--($E99&lt;INDEX(Tasks[End Date],AC99)+IF(INDEX(Tasks[Milestone],AC99)="Yes",0,1)),IF($I99="SS",--($E99&lt;INDEX(Tasks[Start Date],AC99)),IF($I99="FF",--($F99&lt;INDEX(Tasks[End Date],AC99)),IF($I99="SF",--($F99&lt;INDEX(Tasks[Start Date],AC99)),0)))),0),IF(AD99&gt;0,IF($I99="FS",--($E99&lt;INDEX(Tasks[End Date],AD99)+IF(INDEX(Tasks[Milestone],AD99)="Yes",0,1)),IF($I99="SS",--($E99&lt;INDEX(Tasks[Start Date],AD99)),IF($I99="FF",--($F99&lt;INDEX(Tasks[End Date],AD99)),IF($I99="SF",--($F99&lt;INDEX(Tasks[Start Date],AD99)),0)))),0),IF(AE99&gt;0,IF($I99="FS",--($E99&lt;INDEX(Tasks[End Date],AE99)+IF(INDEX(Tasks[Milestone],AE99)="Yes",0,1)),IF($I99="SS",--($E99&lt;INDEX(Tasks[Start Date],AE99)),IF($I99="FF",--($F99&lt;INDEX(Tasks[End Date],AE99)),IF($I99="SF",--($F99&lt;INDEX(Tasks[Start Date],AE99)),0)))),0),IF(AF99&gt;0,IF($I99="FS",--($E99&lt;INDEX(Tasks[End Date],AF99)+IF(INDEX(Tasks[Milestone],AF99)="Yes",0,1)),IF($I99="SS",--($E99&lt;INDEX(Tasks[Start Date],AF99)),IF($I99="FF",--($F99&lt;INDEX(Tasks[End Date],AF99)),IF($I99="SF",--($F99&lt;INDEX(Tasks[Start Date],AF99)),0)))),0),IF(AG99&gt;0,IF($I99="FS",--($E99&lt;INDEX(Tasks[End Date],AG99)+IF(INDEX(Tasks[Milestone],AG99)="Yes",0,1)),IF($I99="SS",--($E99&lt;INDEX(Tasks[Start Date],AG99)),IF($I99="FF",--($F99&lt;INDEX(Tasks[End Date],AG99)),IF($I99="SF",--($F99&lt;INDEX(Tasks[Start Date],AG99)),0)))),0),IF(AH99&gt;0,IF($I99="FS",--($E99&lt;INDEX(Tasks[End Date],AH99)+IF(INDEX(Tasks[Milestone],AH99)="Yes",0,1)),IF($I99="SS",--($E99&lt;INDEX(Tasks[Start Date],AH99)),IF($I99="FF",--($F99&lt;INDEX(Tasks[End Date],AH99)),IF($I99="SF",--($F99&lt;INDEX(Tasks[Start Date],AH99)),0)))),0),IF(AI99&gt;0,IF($I99="FS",--($E99&lt;INDEX(Tasks[End Date],AI99)+IF(INDEX(Tasks[Milestone],AI99)="Yes",0,1)),IF($I99="SS",--($E99&lt;INDEX(Tasks[Start Date],AI99)),IF($I99="FF",--($F99&lt;INDEX(Tasks[End Date],AI99)),IF($I99="SF",--($F99&lt;INDEX(Tasks[Start Date],AI99)),0)))),0),IF(AJ99&gt;0,IF($I99="FS",--($E99&lt;INDEX(Tasks[End Date],AJ99)+IF(INDEX(Tasks[Milestone],AJ99)="Yes",0,1)),IF($I99="SS",--($E99&lt;INDEX(Tasks[Start Date],AJ99)),IF($I99="FF",--($F99&lt;INDEX(Tasks[End Date],AJ99)),IF($I99="SF",--($F99&lt;INDEX(Tasks[Start Date],AJ99)),0)))),0)))</ns0:f>
        <ns0:v>0</ns0:v>
      </ns0:c>
      <ns0:c r="AM99" t="n">
        <ns0:f>IF(AND(A99&lt;&gt;"",AK99=0,EP99=0),1,0)</ns0:f>
        <ns0:v>0</ns0:v>
      </ns0:c>
      <ns0:c r="AN99" t="str">
        <ns0:f>IF(OR(A99="",B99=""),"",IF(COUNTIFS($B$7:B99,B99)=1,MAX($AN$6:AN98)+1,""))</ns0:f>
      </ns0:c>
      <ns0:c r="AO99" t="n">
        <ns0:f>IF(AND(A99&lt;&gt;"",J99="No",N99&lt;1,E99&gt;=AsOfDate),E99+ROW()/10000,1E+9)</ns0:f>
        <ns0:v>1000000000</ns0:v>
      </ns0:c>
      <ns0:c r="AP99" t="n">
        <ns0:f>IF(AND(A99&lt;&gt;"",J99="Yes",N99&lt;1,E99&gt;=AsOfDate),E99+ROW()/10000,1E+9)</ns0:f>
        <ns0:v>1000000000</ns0:v>
      </ns0:c>
      <ns0:c r="AQ99" t="n">
        <ns0:f>IF(AND(A99&lt;&gt;"",J99="No",N99&lt;1,F99&gt;=AsOfDate,F99&lt;=AsOfDate+7),F99+ROW()/10000,1E+9)</ns0:f>
        <ns0:v>1000000000</ns0:v>
      </ns0:c>
      <ns0:c r="AR99" t="n">
        <ns0:f>IF(AND(A99&lt;&gt;"",OR(O99&lt;&gt;"On track",Q99="Delayed")),ROW(),1E+9)</ns0:f>
        <ns0:v>1000000000</ns0:v>
      </ns0:c>
      <ns0:c r="AS99" t="str">
        <ns0:f>IF(A99="","",";"&amp;K99&amp;";")</ns0:f>
      </ns0:c>
      <ns0:c r="AT99" t="n">
        <ns0:f>IF(A99="",1,--(T99=0))</ns0:f>
        <ns0:v>1</ns0:v>
      </ns0:c>
      <ns0:c r="AU99" t="n">
        <ns0:f>IF($A99="",1,IF(AT99=1,1,--AND(IF($AC99&gt;0,INDEX(AT$7:AT$106,$AC99),1),IF($AD99&gt;0,INDEX(AT$7:AT$106,$AD99),1),IF($AE99&gt;0,INDEX(AT$7:AT$106,$AE99),1),IF($AF99&gt;0,INDEX(AT$7:AT$106,$AF99),1),IF($AG99&gt;0,INDEX(AT$7:AT$106,$AG99),1),IF($AH99&gt;0,INDEX(AT$7:AT$106,$AH99),1),IF($AI99&gt;0,INDEX(AT$7:AT$106,$AI99),1),IF($AJ99&gt;0,INDEX(AT$7:AT$106,$AJ99),1))))</ns0:f>
        <ns0:v>1</ns0:v>
      </ns0:c>
      <ns0:c r="AV99" t="n">
        <ns0:f>IF($A99="",1,IF(AU99=1,1,--AND(IF($AC99&gt;0,INDEX(AU$7:AU$106,$AC99),1),IF($AD99&gt;0,INDEX(AU$7:AU$106,$AD99),1),IF($AE99&gt;0,INDEX(AU$7:AU$106,$AE99),1),IF($AF99&gt;0,INDEX(AU$7:AU$106,$AF99),1),IF($AG99&gt;0,INDEX(AU$7:AU$106,$AG99),1),IF($AH99&gt;0,INDEX(AU$7:AU$106,$AH99),1),IF($AI99&gt;0,INDEX(AU$7:AU$106,$AI99),1),IF($AJ99&gt;0,INDEX(AU$7:AU$106,$AJ99),1))))</ns0:f>
        <ns0:v>1</ns0:v>
      </ns0:c>
      <ns0:c r="AW99" t="n">
        <ns0:f>IF($A99="",1,IF(AV99=1,1,--AND(IF($AC99&gt;0,INDEX(AV$7:AV$106,$AC99),1),IF($AD99&gt;0,INDEX(AV$7:AV$106,$AD99),1),IF($AE99&gt;0,INDEX(AV$7:AV$106,$AE99),1),IF($AF99&gt;0,INDEX(AV$7:AV$106,$AF99),1),IF($AG99&gt;0,INDEX(AV$7:AV$106,$AG99),1),IF($AH99&gt;0,INDEX(AV$7:AV$106,$AH99),1),IF($AI99&gt;0,INDEX(AV$7:AV$106,$AI99),1),IF($AJ99&gt;0,INDEX(AV$7:AV$106,$AJ99),1))))</ns0:f>
        <ns0:v>1</ns0:v>
      </ns0:c>
      <ns0:c r="AX99" t="n">
        <ns0:f>IF($A99="",1,IF(AW99=1,1,--AND(IF($AC99&gt;0,INDEX(AW$7:AW$106,$AC99),1),IF($AD99&gt;0,INDEX(AW$7:AW$106,$AD99),1),IF($AE99&gt;0,INDEX(AW$7:AW$106,$AE99),1),IF($AF99&gt;0,INDEX(AW$7:AW$106,$AF99),1),IF($AG99&gt;0,INDEX(AW$7:AW$106,$AG99),1),IF($AH99&gt;0,INDEX(AW$7:AW$106,$AH99),1),IF($AI99&gt;0,INDEX(AW$7:AW$106,$AI99),1),IF($AJ99&gt;0,INDEX(AW$7:AW$106,$AJ99),1))))</ns0:f>
        <ns0:v>1</ns0:v>
      </ns0:c>
      <ns0:c r="AY99" t="n">
        <ns0:f>IF($A99="",1,IF(AX99=1,1,--AND(IF($AC99&gt;0,INDEX(AX$7:AX$106,$AC99),1),IF($AD99&gt;0,INDEX(AX$7:AX$106,$AD99),1),IF($AE99&gt;0,INDEX(AX$7:AX$106,$AE99),1),IF($AF99&gt;0,INDEX(AX$7:AX$106,$AF99),1),IF($AG99&gt;0,INDEX(AX$7:AX$106,$AG99),1),IF($AH99&gt;0,INDEX(AX$7:AX$106,$AH99),1),IF($AI99&gt;0,INDEX(AX$7:AX$106,$AI99),1),IF($AJ99&gt;0,INDEX(AX$7:AX$106,$AJ99),1))))</ns0:f>
        <ns0:v>1</ns0:v>
      </ns0:c>
      <ns0:c r="AZ99" t="n">
        <ns0:f>IF($A99="",1,IF(AY99=1,1,--AND(IF($AC99&gt;0,INDEX(AY$7:AY$106,$AC99),1),IF($AD99&gt;0,INDEX(AY$7:AY$106,$AD99),1),IF($AE99&gt;0,INDEX(AY$7:AY$106,$AE99),1),IF($AF99&gt;0,INDEX(AY$7:AY$106,$AF99),1),IF($AG99&gt;0,INDEX(AY$7:AY$106,$AG99),1),IF($AH99&gt;0,INDEX(AY$7:AY$106,$AH99),1),IF($AI99&gt;0,INDEX(AY$7:AY$106,$AI99),1),IF($AJ99&gt;0,INDEX(AY$7:AY$106,$AJ99),1))))</ns0:f>
        <ns0:v>1</ns0:v>
      </ns0:c>
      <ns0:c r="BA99" t="n">
        <ns0:f>IF($A99="",1,IF(AZ99=1,1,--AND(IF($AC99&gt;0,INDEX(AZ$7:AZ$106,$AC99),1),IF($AD99&gt;0,INDEX(AZ$7:AZ$106,$AD99),1),IF($AE99&gt;0,INDEX(AZ$7:AZ$106,$AE99),1),IF($AF99&gt;0,INDEX(AZ$7:AZ$106,$AF99),1),IF($AG99&gt;0,INDEX(AZ$7:AZ$106,$AG99),1),IF($AH99&gt;0,INDEX(AZ$7:AZ$106,$AH99),1),IF($AI99&gt;0,INDEX(AZ$7:AZ$106,$AI99),1),IF($AJ99&gt;0,INDEX(AZ$7:AZ$106,$AJ99),1))))</ns0:f>
        <ns0:v>1</ns0:v>
      </ns0:c>
      <ns0:c r="BB99" t="n">
        <ns0:f>IF($A99="",1,IF(BA99=1,1,--AND(IF($AC99&gt;0,INDEX(BA$7:BA$106,$AC99),1),IF($AD99&gt;0,INDEX(BA$7:BA$106,$AD99),1),IF($AE99&gt;0,INDEX(BA$7:BA$106,$AE99),1),IF($AF99&gt;0,INDEX(BA$7:BA$106,$AF99),1),IF($AG99&gt;0,INDEX(BA$7:BA$106,$AG99),1),IF($AH99&gt;0,INDEX(BA$7:BA$106,$AH99),1),IF($AI99&gt;0,INDEX(BA$7:BA$106,$AI99),1),IF($AJ99&gt;0,INDEX(BA$7:BA$106,$AJ99),1))))</ns0:f>
        <ns0:v>1</ns0:v>
      </ns0:c>
      <ns0:c r="BC99" t="n">
        <ns0:f>IF($A99="",1,IF(BB99=1,1,--AND(IF($AC99&gt;0,INDEX(BB$7:BB$106,$AC99),1),IF($AD99&gt;0,INDEX(BB$7:BB$106,$AD99),1),IF($AE99&gt;0,INDEX(BB$7:BB$106,$AE99),1),IF($AF99&gt;0,INDEX(BB$7:BB$106,$AF99),1),IF($AG99&gt;0,INDEX(BB$7:BB$106,$AG99),1),IF($AH99&gt;0,INDEX(BB$7:BB$106,$AH99),1),IF($AI99&gt;0,INDEX(BB$7:BB$106,$AI99),1),IF($AJ99&gt;0,INDEX(BB$7:BB$106,$AJ99),1))))</ns0:f>
        <ns0:v>1</ns0:v>
      </ns0:c>
      <ns0:c r="BD99" t="n">
        <ns0:f>IF($A99="",1,IF(BC99=1,1,--AND(IF($AC99&gt;0,INDEX(BC$7:BC$106,$AC99),1),IF($AD99&gt;0,INDEX(BC$7:BC$106,$AD99),1),IF($AE99&gt;0,INDEX(BC$7:BC$106,$AE99),1),IF($AF99&gt;0,INDEX(BC$7:BC$106,$AF99),1),IF($AG99&gt;0,INDEX(BC$7:BC$106,$AG99),1),IF($AH99&gt;0,INDEX(BC$7:BC$106,$AH99),1),IF($AI99&gt;0,INDEX(BC$7:BC$106,$AI99),1),IF($AJ99&gt;0,INDEX(BC$7:BC$106,$AJ99),1))))</ns0:f>
        <ns0:v>1</ns0:v>
      </ns0:c>
      <ns0:c r="BE99" t="n">
        <ns0:f>IF($A99="",1,IF(BD99=1,1,--AND(IF($AC99&gt;0,INDEX(BD$7:BD$106,$AC99),1),IF($AD99&gt;0,INDEX(BD$7:BD$106,$AD99),1),IF($AE99&gt;0,INDEX(BD$7:BD$106,$AE99),1),IF($AF99&gt;0,INDEX(BD$7:BD$106,$AF99),1),IF($AG99&gt;0,INDEX(BD$7:BD$106,$AG99),1),IF($AH99&gt;0,INDEX(BD$7:BD$106,$AH99),1),IF($AI99&gt;0,INDEX(BD$7:BD$106,$AI99),1),IF($AJ99&gt;0,INDEX(BD$7:BD$106,$AJ99),1))))</ns0:f>
        <ns0:v>1</ns0:v>
      </ns0:c>
      <ns0:c r="BF99" t="n">
        <ns0:f>IF($A99="",1,IF(BE99=1,1,--AND(IF($AC99&gt;0,INDEX(BE$7:BE$106,$AC99),1),IF($AD99&gt;0,INDEX(BE$7:BE$106,$AD99),1),IF($AE99&gt;0,INDEX(BE$7:BE$106,$AE99),1),IF($AF99&gt;0,INDEX(BE$7:BE$106,$AF99),1),IF($AG99&gt;0,INDEX(BE$7:BE$106,$AG99),1),IF($AH99&gt;0,INDEX(BE$7:BE$106,$AH99),1),IF($AI99&gt;0,INDEX(BE$7:BE$106,$AI99),1),IF($AJ99&gt;0,INDEX(BE$7:BE$106,$AJ99),1))))</ns0:f>
        <ns0:v>1</ns0:v>
      </ns0:c>
      <ns0:c r="BG99" t="n">
        <ns0:f>IF($A99="",1,IF(BF99=1,1,--AND(IF($AC99&gt;0,INDEX(BF$7:BF$106,$AC99),1),IF($AD99&gt;0,INDEX(BF$7:BF$106,$AD99),1),IF($AE99&gt;0,INDEX(BF$7:BF$106,$AE99),1),IF($AF99&gt;0,INDEX(BF$7:BF$106,$AF99),1),IF($AG99&gt;0,INDEX(BF$7:BF$106,$AG99),1),IF($AH99&gt;0,INDEX(BF$7:BF$106,$AH99),1),IF($AI99&gt;0,INDEX(BF$7:BF$106,$AI99),1),IF($AJ99&gt;0,INDEX(BF$7:BF$106,$AJ99),1))))</ns0:f>
        <ns0:v>1</ns0:v>
      </ns0:c>
      <ns0:c r="BH99" t="n">
        <ns0:f>IF($A99="",1,IF(BG99=1,1,--AND(IF($AC99&gt;0,INDEX(BG$7:BG$106,$AC99),1),IF($AD99&gt;0,INDEX(BG$7:BG$106,$AD99),1),IF($AE99&gt;0,INDEX(BG$7:BG$106,$AE99),1),IF($AF99&gt;0,INDEX(BG$7:BG$106,$AF99),1),IF($AG99&gt;0,INDEX(BG$7:BG$106,$AG99),1),IF($AH99&gt;0,INDEX(BG$7:BG$106,$AH99),1),IF($AI99&gt;0,INDEX(BG$7:BG$106,$AI99),1),IF($AJ99&gt;0,INDEX(BG$7:BG$106,$AJ99),1))))</ns0:f>
        <ns0:v>1</ns0:v>
      </ns0:c>
      <ns0:c r="BI99" t="n">
        <ns0:f>IF($A99="",1,IF(BH99=1,1,--AND(IF($AC99&gt;0,INDEX(BH$7:BH$106,$AC99),1),IF($AD99&gt;0,INDEX(BH$7:BH$106,$AD99),1),IF($AE99&gt;0,INDEX(BH$7:BH$106,$AE99),1),IF($AF99&gt;0,INDEX(BH$7:BH$106,$AF99),1),IF($AG99&gt;0,INDEX(BH$7:BH$106,$AG99),1),IF($AH99&gt;0,INDEX(BH$7:BH$106,$AH99),1),IF($AI99&gt;0,INDEX(BH$7:BH$106,$AI99),1),IF($AJ99&gt;0,INDEX(BH$7:BH$106,$AJ99),1))))</ns0:f>
        <ns0:v>1</ns0:v>
      </ns0:c>
      <ns0:c r="BJ99" t="n">
        <ns0:f>IF($A99="",1,IF(BI99=1,1,--AND(IF($AC99&gt;0,INDEX(BI$7:BI$106,$AC99),1),IF($AD99&gt;0,INDEX(BI$7:BI$106,$AD99),1),IF($AE99&gt;0,INDEX(BI$7:BI$106,$AE99),1),IF($AF99&gt;0,INDEX(BI$7:BI$106,$AF99),1),IF($AG99&gt;0,INDEX(BI$7:BI$106,$AG99),1),IF($AH99&gt;0,INDEX(BI$7:BI$106,$AH99),1),IF($AI99&gt;0,INDEX(BI$7:BI$106,$AI99),1),IF($AJ99&gt;0,INDEX(BI$7:BI$106,$AJ99),1))))</ns0:f>
        <ns0:v>1</ns0:v>
      </ns0:c>
      <ns0:c r="BK99" t="n">
        <ns0:f>IF($A99="",1,IF(BJ99=1,1,--AND(IF($AC99&gt;0,INDEX(BJ$7:BJ$106,$AC99),1),IF($AD99&gt;0,INDEX(BJ$7:BJ$106,$AD99),1),IF($AE99&gt;0,INDEX(BJ$7:BJ$106,$AE99),1),IF($AF99&gt;0,INDEX(BJ$7:BJ$106,$AF99),1),IF($AG99&gt;0,INDEX(BJ$7:BJ$106,$AG99),1),IF($AH99&gt;0,INDEX(BJ$7:BJ$106,$AH99),1),IF($AI99&gt;0,INDEX(BJ$7:BJ$106,$AI99),1),IF($AJ99&gt;0,INDEX(BJ$7:BJ$106,$AJ99),1))))</ns0:f>
        <ns0:v>1</ns0:v>
      </ns0:c>
      <ns0:c r="BL99" t="n">
        <ns0:f>IF($A99="",1,IF(BK99=1,1,--AND(IF($AC99&gt;0,INDEX(BK$7:BK$106,$AC99),1),IF($AD99&gt;0,INDEX(BK$7:BK$106,$AD99),1),IF($AE99&gt;0,INDEX(BK$7:BK$106,$AE99),1),IF($AF99&gt;0,INDEX(BK$7:BK$106,$AF99),1),IF($AG99&gt;0,INDEX(BK$7:BK$106,$AG99),1),IF($AH99&gt;0,INDEX(BK$7:BK$106,$AH99),1),IF($AI99&gt;0,INDEX(BK$7:BK$106,$AI99),1),IF($AJ99&gt;0,INDEX(BK$7:BK$106,$AJ99),1))))</ns0:f>
        <ns0:v>1</ns0:v>
      </ns0:c>
      <ns0:c r="BM99" t="n">
        <ns0:f>IF($A99="",1,IF(BL99=1,1,--AND(IF($AC99&gt;0,INDEX(BL$7:BL$106,$AC99),1),IF($AD99&gt;0,INDEX(BL$7:BL$106,$AD99),1),IF($AE99&gt;0,INDEX(BL$7:BL$106,$AE99),1),IF($AF99&gt;0,INDEX(BL$7:BL$106,$AF99),1),IF($AG99&gt;0,INDEX(BL$7:BL$106,$AG99),1),IF($AH99&gt;0,INDEX(BL$7:BL$106,$AH99),1),IF($AI99&gt;0,INDEX(BL$7:BL$106,$AI99),1),IF($AJ99&gt;0,INDEX(BL$7:BL$106,$AJ99),1))))</ns0:f>
        <ns0:v>1</ns0:v>
      </ns0:c>
      <ns0:c r="BN99" t="n">
        <ns0:f>IF($A99="",1,IF(BM99=1,1,--AND(IF($AC99&gt;0,INDEX(BM$7:BM$106,$AC99),1),IF($AD99&gt;0,INDEX(BM$7:BM$106,$AD99),1),IF($AE99&gt;0,INDEX(BM$7:BM$106,$AE99),1),IF($AF99&gt;0,INDEX(BM$7:BM$106,$AF99),1),IF($AG99&gt;0,INDEX(BM$7:BM$106,$AG99),1),IF($AH99&gt;0,INDEX(BM$7:BM$106,$AH99),1),IF($AI99&gt;0,INDEX(BM$7:BM$106,$AI99),1),IF($AJ99&gt;0,INDEX(BM$7:BM$106,$AJ99),1))))</ns0:f>
        <ns0:v>1</ns0:v>
      </ns0:c>
      <ns0:c r="BO99" t="n">
        <ns0:f>IF($A99="",1,IF(BN99=1,1,--AND(IF($AC99&gt;0,INDEX(BN$7:BN$106,$AC99),1),IF($AD99&gt;0,INDEX(BN$7:BN$106,$AD99),1),IF($AE99&gt;0,INDEX(BN$7:BN$106,$AE99),1),IF($AF99&gt;0,INDEX(BN$7:BN$106,$AF99),1),IF($AG99&gt;0,INDEX(BN$7:BN$106,$AG99),1),IF($AH99&gt;0,INDEX(BN$7:BN$106,$AH99),1),IF($AI99&gt;0,INDEX(BN$7:BN$106,$AI99),1),IF($AJ99&gt;0,INDEX(BN$7:BN$106,$AJ99),1))))</ns0:f>
        <ns0:v>1</ns0:v>
      </ns0:c>
      <ns0:c r="BP99" t="n">
        <ns0:f>IF($A99="",1,IF(BO99=1,1,--AND(IF($AC99&gt;0,INDEX(BO$7:BO$106,$AC99),1),IF($AD99&gt;0,INDEX(BO$7:BO$106,$AD99),1),IF($AE99&gt;0,INDEX(BO$7:BO$106,$AE99),1),IF($AF99&gt;0,INDEX(BO$7:BO$106,$AF99),1),IF($AG99&gt;0,INDEX(BO$7:BO$106,$AG99),1),IF($AH99&gt;0,INDEX(BO$7:BO$106,$AH99),1),IF($AI99&gt;0,INDEX(BO$7:BO$106,$AI99),1),IF($AJ99&gt;0,INDEX(BO$7:BO$106,$AJ99),1))))</ns0:f>
        <ns0:v>1</ns0:v>
      </ns0:c>
      <ns0:c r="BQ99" t="n">
        <ns0:f>IF($A99="",1,IF(BP99=1,1,--AND(IF($AC99&gt;0,INDEX(BP$7:BP$106,$AC99),1),IF($AD99&gt;0,INDEX(BP$7:BP$106,$AD99),1),IF($AE99&gt;0,INDEX(BP$7:BP$106,$AE99),1),IF($AF99&gt;0,INDEX(BP$7:BP$106,$AF99),1),IF($AG99&gt;0,INDEX(BP$7:BP$106,$AG99),1),IF($AH99&gt;0,INDEX(BP$7:BP$106,$AH99),1),IF($AI99&gt;0,INDEX(BP$7:BP$106,$AI99),1),IF($AJ99&gt;0,INDEX(BP$7:BP$106,$AJ99),1))))</ns0:f>
        <ns0:v>1</ns0:v>
      </ns0:c>
      <ns0:c r="BR99" t="n">
        <ns0:f>IF($A99="",1,IF(BQ99=1,1,--AND(IF($AC99&gt;0,INDEX(BQ$7:BQ$106,$AC99),1),IF($AD99&gt;0,INDEX(BQ$7:BQ$106,$AD99),1),IF($AE99&gt;0,INDEX(BQ$7:BQ$106,$AE99),1),IF($AF99&gt;0,INDEX(BQ$7:BQ$106,$AF99),1),IF($AG99&gt;0,INDEX(BQ$7:BQ$106,$AG99),1),IF($AH99&gt;0,INDEX(BQ$7:BQ$106,$AH99),1),IF($AI99&gt;0,INDEX(BQ$7:BQ$106,$AI99),1),IF($AJ99&gt;0,INDEX(BQ$7:BQ$106,$AJ99),1))))</ns0:f>
        <ns0:v>1</ns0:v>
      </ns0:c>
      <ns0:c r="BS99" t="n">
        <ns0:f>IF($A99="",1,IF(BR99=1,1,--AND(IF($AC99&gt;0,INDEX(BR$7:BR$106,$AC99),1),IF($AD99&gt;0,INDEX(BR$7:BR$106,$AD99),1),IF($AE99&gt;0,INDEX(BR$7:BR$106,$AE99),1),IF($AF99&gt;0,INDEX(BR$7:BR$106,$AF99),1),IF($AG99&gt;0,INDEX(BR$7:BR$106,$AG99),1),IF($AH99&gt;0,INDEX(BR$7:BR$106,$AH99),1),IF($AI99&gt;0,INDEX(BR$7:BR$106,$AI99),1),IF($AJ99&gt;0,INDEX(BR$7:BR$106,$AJ99),1))))</ns0:f>
        <ns0:v>1</ns0:v>
      </ns0:c>
      <ns0:c r="BT99" t="n">
        <ns0:f>IF($A99="",1,IF(BS99=1,1,--AND(IF($AC99&gt;0,INDEX(BS$7:BS$106,$AC99),1),IF($AD99&gt;0,INDEX(BS$7:BS$106,$AD99),1),IF($AE99&gt;0,INDEX(BS$7:BS$106,$AE99),1),IF($AF99&gt;0,INDEX(BS$7:BS$106,$AF99),1),IF($AG99&gt;0,INDEX(BS$7:BS$106,$AG99),1),IF($AH99&gt;0,INDEX(BS$7:BS$106,$AH99),1),IF($AI99&gt;0,INDEX(BS$7:BS$106,$AI99),1),IF($AJ99&gt;0,INDEX(BS$7:BS$106,$AJ99),1))))</ns0:f>
        <ns0:v>1</ns0:v>
      </ns0:c>
      <ns0:c r="BU99" t="n">
        <ns0:f>IF($A99="",1,IF(BT99=1,1,--AND(IF($AC99&gt;0,INDEX(BT$7:BT$106,$AC99),1),IF($AD99&gt;0,INDEX(BT$7:BT$106,$AD99),1),IF($AE99&gt;0,INDEX(BT$7:BT$106,$AE99),1),IF($AF99&gt;0,INDEX(BT$7:BT$106,$AF99),1),IF($AG99&gt;0,INDEX(BT$7:BT$106,$AG99),1),IF($AH99&gt;0,INDEX(BT$7:BT$106,$AH99),1),IF($AI99&gt;0,INDEX(BT$7:BT$106,$AI99),1),IF($AJ99&gt;0,INDEX(BT$7:BT$106,$AJ99),1))))</ns0:f>
        <ns0:v>1</ns0:v>
      </ns0:c>
      <ns0:c r="BV99" t="n">
        <ns0:f>IF($A99="",1,IF(BU99=1,1,--AND(IF($AC99&gt;0,INDEX(BU$7:BU$106,$AC99),1),IF($AD99&gt;0,INDEX(BU$7:BU$106,$AD99),1),IF($AE99&gt;0,INDEX(BU$7:BU$106,$AE99),1),IF($AF99&gt;0,INDEX(BU$7:BU$106,$AF99),1),IF($AG99&gt;0,INDEX(BU$7:BU$106,$AG99),1),IF($AH99&gt;0,INDEX(BU$7:BU$106,$AH99),1),IF($AI99&gt;0,INDEX(BU$7:BU$106,$AI99),1),IF($AJ99&gt;0,INDEX(BU$7:BU$106,$AJ99),1))))</ns0:f>
        <ns0:v>1</ns0:v>
      </ns0:c>
      <ns0:c r="BW99" t="n">
        <ns0:f>IF($A99="",1,IF(BV99=1,1,--AND(IF($AC99&gt;0,INDEX(BV$7:BV$106,$AC99),1),IF($AD99&gt;0,INDEX(BV$7:BV$106,$AD99),1),IF($AE99&gt;0,INDEX(BV$7:BV$106,$AE99),1),IF($AF99&gt;0,INDEX(BV$7:BV$106,$AF99),1),IF($AG99&gt;0,INDEX(BV$7:BV$106,$AG99),1),IF($AH99&gt;0,INDEX(BV$7:BV$106,$AH99),1),IF($AI99&gt;0,INDEX(BV$7:BV$106,$AI99),1),IF($AJ99&gt;0,INDEX(BV$7:BV$106,$AJ99),1))))</ns0:f>
        <ns0:v>1</ns0:v>
      </ns0:c>
      <ns0:c r="BX99" t="n">
        <ns0:f>IF($A99="",1,IF(BW99=1,1,--AND(IF($AC99&gt;0,INDEX(BW$7:BW$106,$AC99),1),IF($AD99&gt;0,INDEX(BW$7:BW$106,$AD99),1),IF($AE99&gt;0,INDEX(BW$7:BW$106,$AE99),1),IF($AF99&gt;0,INDEX(BW$7:BW$106,$AF99),1),IF($AG99&gt;0,INDEX(BW$7:BW$106,$AG99),1),IF($AH99&gt;0,INDEX(BW$7:BW$106,$AH99),1),IF($AI99&gt;0,INDEX(BW$7:BW$106,$AI99),1),IF($AJ99&gt;0,INDEX(BW$7:BW$106,$AJ99),1))))</ns0:f>
        <ns0:v>1</ns0:v>
      </ns0:c>
      <ns0:c r="BY99" t="n">
        <ns0:f>IF($A99="",1,IF(BX99=1,1,--AND(IF($AC99&gt;0,INDEX(BX$7:BX$106,$AC99),1),IF($AD99&gt;0,INDEX(BX$7:BX$106,$AD99),1),IF($AE99&gt;0,INDEX(BX$7:BX$106,$AE99),1),IF($AF99&gt;0,INDEX(BX$7:BX$106,$AF99),1),IF($AG99&gt;0,INDEX(BX$7:BX$106,$AG99),1),IF($AH99&gt;0,INDEX(BX$7:BX$106,$AH99),1),IF($AI99&gt;0,INDEX(BX$7:BX$106,$AI99),1),IF($AJ99&gt;0,INDEX(BX$7:BX$106,$AJ99),1))))</ns0:f>
        <ns0:v>1</ns0:v>
      </ns0:c>
      <ns0:c r="BZ99" t="n">
        <ns0:f>IF($A99="",1,IF(BY99=1,1,--AND(IF($AC99&gt;0,INDEX(BY$7:BY$106,$AC99),1),IF($AD99&gt;0,INDEX(BY$7:BY$106,$AD99),1),IF($AE99&gt;0,INDEX(BY$7:BY$106,$AE99),1),IF($AF99&gt;0,INDEX(BY$7:BY$106,$AF99),1),IF($AG99&gt;0,INDEX(BY$7:BY$106,$AG99),1),IF($AH99&gt;0,INDEX(BY$7:BY$106,$AH99),1),IF($AI99&gt;0,INDEX(BY$7:BY$106,$AI99),1),IF($AJ99&gt;0,INDEX(BY$7:BY$106,$AJ99),1))))</ns0:f>
        <ns0:v>1</ns0:v>
      </ns0:c>
      <ns0:c r="CA99" t="n">
        <ns0:f>IF($A99="",1,IF(BZ99=1,1,--AND(IF($AC99&gt;0,INDEX(BZ$7:BZ$106,$AC99),1),IF($AD99&gt;0,INDEX(BZ$7:BZ$106,$AD99),1),IF($AE99&gt;0,INDEX(BZ$7:BZ$106,$AE99),1),IF($AF99&gt;0,INDEX(BZ$7:BZ$106,$AF99),1),IF($AG99&gt;0,INDEX(BZ$7:BZ$106,$AG99),1),IF($AH99&gt;0,INDEX(BZ$7:BZ$106,$AH99),1),IF($AI99&gt;0,INDEX(BZ$7:BZ$106,$AI99),1),IF($AJ99&gt;0,INDEX(BZ$7:BZ$106,$AJ99),1))))</ns0:f>
        <ns0:v>1</ns0:v>
      </ns0:c>
      <ns0:c r="CB99" t="n">
        <ns0:f>IF($A99="",1,IF(CA99=1,1,--AND(IF($AC99&gt;0,INDEX(CA$7:CA$106,$AC99),1),IF($AD99&gt;0,INDEX(CA$7:CA$106,$AD99),1),IF($AE99&gt;0,INDEX(CA$7:CA$106,$AE99),1),IF($AF99&gt;0,INDEX(CA$7:CA$106,$AF99),1),IF($AG99&gt;0,INDEX(CA$7:CA$106,$AG99),1),IF($AH99&gt;0,INDEX(CA$7:CA$106,$AH99),1),IF($AI99&gt;0,INDEX(CA$7:CA$106,$AI99),1),IF($AJ99&gt;0,INDEX(CA$7:CA$106,$AJ99),1))))</ns0:f>
        <ns0:v>1</ns0:v>
      </ns0:c>
      <ns0:c r="CC99" t="n">
        <ns0:f>IF($A99="",1,IF(CB99=1,1,--AND(IF($AC99&gt;0,INDEX(CB$7:CB$106,$AC99),1),IF($AD99&gt;0,INDEX(CB$7:CB$106,$AD99),1),IF($AE99&gt;0,INDEX(CB$7:CB$106,$AE99),1),IF($AF99&gt;0,INDEX(CB$7:CB$106,$AF99),1),IF($AG99&gt;0,INDEX(CB$7:CB$106,$AG99),1),IF($AH99&gt;0,INDEX(CB$7:CB$106,$AH99),1),IF($AI99&gt;0,INDEX(CB$7:CB$106,$AI99),1),IF($AJ99&gt;0,INDEX(CB$7:CB$106,$AJ99),1))))</ns0:f>
        <ns0:v>1</ns0:v>
      </ns0:c>
      <ns0:c r="CD99" t="n">
        <ns0:f>IF($A99="",1,IF(CC99=1,1,--AND(IF($AC99&gt;0,INDEX(CC$7:CC$106,$AC99),1),IF($AD99&gt;0,INDEX(CC$7:CC$106,$AD99),1),IF($AE99&gt;0,INDEX(CC$7:CC$106,$AE99),1),IF($AF99&gt;0,INDEX(CC$7:CC$106,$AF99),1),IF($AG99&gt;0,INDEX(CC$7:CC$106,$AG99),1),IF($AH99&gt;0,INDEX(CC$7:CC$106,$AH99),1),IF($AI99&gt;0,INDEX(CC$7:CC$106,$AI99),1),IF($AJ99&gt;0,INDEX(CC$7:CC$106,$AJ99),1))))</ns0:f>
        <ns0:v>1</ns0:v>
      </ns0:c>
      <ns0:c r="CE99" t="n">
        <ns0:f>IF($A99="",1,IF(CD99=1,1,--AND(IF($AC99&gt;0,INDEX(CD$7:CD$106,$AC99),1),IF($AD99&gt;0,INDEX(CD$7:CD$106,$AD99),1),IF($AE99&gt;0,INDEX(CD$7:CD$106,$AE99),1),IF($AF99&gt;0,INDEX(CD$7:CD$106,$AF99),1),IF($AG99&gt;0,INDEX(CD$7:CD$106,$AG99),1),IF($AH99&gt;0,INDEX(CD$7:CD$106,$AH99),1),IF($AI99&gt;0,INDEX(CD$7:CD$106,$AI99),1),IF($AJ99&gt;0,INDEX(CD$7:CD$106,$AJ99),1))))</ns0:f>
        <ns0:v>1</ns0:v>
      </ns0:c>
      <ns0:c r="CF99" t="n">
        <ns0:f>IF($A99="",1,IF(CE99=1,1,--AND(IF($AC99&gt;0,INDEX(CE$7:CE$106,$AC99),1),IF($AD99&gt;0,INDEX(CE$7:CE$106,$AD99),1),IF($AE99&gt;0,INDEX(CE$7:CE$106,$AE99),1),IF($AF99&gt;0,INDEX(CE$7:CE$106,$AF99),1),IF($AG99&gt;0,INDEX(CE$7:CE$106,$AG99),1),IF($AH99&gt;0,INDEX(CE$7:CE$106,$AH99),1),IF($AI99&gt;0,INDEX(CE$7:CE$106,$AI99),1),IF($AJ99&gt;0,INDEX(CE$7:CE$106,$AJ99),1))))</ns0:f>
        <ns0:v>1</ns0:v>
      </ns0:c>
      <ns0:c r="CG99" t="n">
        <ns0:f>IF($A99="",1,IF(CF99=1,1,--AND(IF($AC99&gt;0,INDEX(CF$7:CF$106,$AC99),1),IF($AD99&gt;0,INDEX(CF$7:CF$106,$AD99),1),IF($AE99&gt;0,INDEX(CF$7:CF$106,$AE99),1),IF($AF99&gt;0,INDEX(CF$7:CF$106,$AF99),1),IF($AG99&gt;0,INDEX(CF$7:CF$106,$AG99),1),IF($AH99&gt;0,INDEX(CF$7:CF$106,$AH99),1),IF($AI99&gt;0,INDEX(CF$7:CF$106,$AI99),1),IF($AJ99&gt;0,INDEX(CF$7:CF$106,$AJ99),1))))</ns0:f>
        <ns0:v>1</ns0:v>
      </ns0:c>
      <ns0:c r="CH99" t="n">
        <ns0:f>IF($A99="",1,IF(CG99=1,1,--AND(IF($AC99&gt;0,INDEX(CG$7:CG$106,$AC99),1),IF($AD99&gt;0,INDEX(CG$7:CG$106,$AD99),1),IF($AE99&gt;0,INDEX(CG$7:CG$106,$AE99),1),IF($AF99&gt;0,INDEX(CG$7:CG$106,$AF99),1),IF($AG99&gt;0,INDEX(CG$7:CG$106,$AG99),1),IF($AH99&gt;0,INDEX(CG$7:CG$106,$AH99),1),IF($AI99&gt;0,INDEX(CG$7:CG$106,$AI99),1),IF($AJ99&gt;0,INDEX(CG$7:CG$106,$AJ99),1))))</ns0:f>
        <ns0:v>1</ns0:v>
      </ns0:c>
      <ns0:c r="CI99" t="n">
        <ns0:f>IF($A99="",1,IF(CH99=1,1,--AND(IF($AC99&gt;0,INDEX(CH$7:CH$106,$AC99),1),IF($AD99&gt;0,INDEX(CH$7:CH$106,$AD99),1),IF($AE99&gt;0,INDEX(CH$7:CH$106,$AE99),1),IF($AF99&gt;0,INDEX(CH$7:CH$106,$AF99),1),IF($AG99&gt;0,INDEX(CH$7:CH$106,$AG99),1),IF($AH99&gt;0,INDEX(CH$7:CH$106,$AH99),1),IF($AI99&gt;0,INDEX(CH$7:CH$106,$AI99),1),IF($AJ99&gt;0,INDEX(CH$7:CH$106,$AJ99),1))))</ns0:f>
        <ns0:v>1</ns0:v>
      </ns0:c>
      <ns0:c r="CJ99" t="n">
        <ns0:f>IF($A99="",1,IF(CI99=1,1,--AND(IF($AC99&gt;0,INDEX(CI$7:CI$106,$AC99),1),IF($AD99&gt;0,INDEX(CI$7:CI$106,$AD99),1),IF($AE99&gt;0,INDEX(CI$7:CI$106,$AE99),1),IF($AF99&gt;0,INDEX(CI$7:CI$106,$AF99),1),IF($AG99&gt;0,INDEX(CI$7:CI$106,$AG99),1),IF($AH99&gt;0,INDEX(CI$7:CI$106,$AH99),1),IF($AI99&gt;0,INDEX(CI$7:CI$106,$AI99),1),IF($AJ99&gt;0,INDEX(CI$7:CI$106,$AJ99),1))))</ns0:f>
        <ns0:v>1</ns0:v>
      </ns0:c>
      <ns0:c r="CK99" t="n">
        <ns0:f>IF($A99="",1,IF(CJ99=1,1,--AND(IF($AC99&gt;0,INDEX(CJ$7:CJ$106,$AC99),1),IF($AD99&gt;0,INDEX(CJ$7:CJ$106,$AD99),1),IF($AE99&gt;0,INDEX(CJ$7:CJ$106,$AE99),1),IF($AF99&gt;0,INDEX(CJ$7:CJ$106,$AF99),1),IF($AG99&gt;0,INDEX(CJ$7:CJ$106,$AG99),1),IF($AH99&gt;0,INDEX(CJ$7:CJ$106,$AH99),1),IF($AI99&gt;0,INDEX(CJ$7:CJ$106,$AI99),1),IF($AJ99&gt;0,INDEX(CJ$7:CJ$106,$AJ99),1))))</ns0:f>
        <ns0:v>1</ns0:v>
      </ns0:c>
      <ns0:c r="CL99" t="n">
        <ns0:f>IF($A99="",1,IF(CK99=1,1,--AND(IF($AC99&gt;0,INDEX(CK$7:CK$106,$AC99),1),IF($AD99&gt;0,INDEX(CK$7:CK$106,$AD99),1),IF($AE99&gt;0,INDEX(CK$7:CK$106,$AE99),1),IF($AF99&gt;0,INDEX(CK$7:CK$106,$AF99),1),IF($AG99&gt;0,INDEX(CK$7:CK$106,$AG99),1),IF($AH99&gt;0,INDEX(CK$7:CK$106,$AH99),1),IF($AI99&gt;0,INDEX(CK$7:CK$106,$AI99),1),IF($AJ99&gt;0,INDEX(CK$7:CK$106,$AJ99),1))))</ns0:f>
        <ns0:v>1</ns0:v>
      </ns0:c>
      <ns0:c r="CM99" t="n">
        <ns0:f>IF($A99="",1,IF(CL99=1,1,--AND(IF($AC99&gt;0,INDEX(CL$7:CL$106,$AC99),1),IF($AD99&gt;0,INDEX(CL$7:CL$106,$AD99),1),IF($AE99&gt;0,INDEX(CL$7:CL$106,$AE99),1),IF($AF99&gt;0,INDEX(CL$7:CL$106,$AF99),1),IF($AG99&gt;0,INDEX(CL$7:CL$106,$AG99),1),IF($AH99&gt;0,INDEX(CL$7:CL$106,$AH99),1),IF($AI99&gt;0,INDEX(CL$7:CL$106,$AI99),1),IF($AJ99&gt;0,INDEX(CL$7:CL$106,$AJ99),1))))</ns0:f>
        <ns0:v>1</ns0:v>
      </ns0:c>
      <ns0:c r="CN99" t="n">
        <ns0:f>IF($A99="",1,IF(CM99=1,1,--AND(IF($AC99&gt;0,INDEX(CM$7:CM$106,$AC99),1),IF($AD99&gt;0,INDEX(CM$7:CM$106,$AD99),1),IF($AE99&gt;0,INDEX(CM$7:CM$106,$AE99),1),IF($AF99&gt;0,INDEX(CM$7:CM$106,$AF99),1),IF($AG99&gt;0,INDEX(CM$7:CM$106,$AG99),1),IF($AH99&gt;0,INDEX(CM$7:CM$106,$AH99),1),IF($AI99&gt;0,INDEX(CM$7:CM$106,$AI99),1),IF($AJ99&gt;0,INDEX(CM$7:CM$106,$AJ99),1))))</ns0:f>
        <ns0:v>1</ns0:v>
      </ns0:c>
      <ns0:c r="CO99" t="n">
        <ns0:f>IF($A99="",1,IF(CN99=1,1,--AND(IF($AC99&gt;0,INDEX(CN$7:CN$106,$AC99),1),IF($AD99&gt;0,INDEX(CN$7:CN$106,$AD99),1),IF($AE99&gt;0,INDEX(CN$7:CN$106,$AE99),1),IF($AF99&gt;0,INDEX(CN$7:CN$106,$AF99),1),IF($AG99&gt;0,INDEX(CN$7:CN$106,$AG99),1),IF($AH99&gt;0,INDEX(CN$7:CN$106,$AH99),1),IF($AI99&gt;0,INDEX(CN$7:CN$106,$AI99),1),IF($AJ99&gt;0,INDEX(CN$7:CN$106,$AJ99),1))))</ns0:f>
        <ns0:v>1</ns0:v>
      </ns0:c>
      <ns0:c r="CP99" t="n">
        <ns0:f>IF($A99="",1,IF(CO99=1,1,--AND(IF($AC99&gt;0,INDEX(CO$7:CO$106,$AC99),1),IF($AD99&gt;0,INDEX(CO$7:CO$106,$AD99),1),IF($AE99&gt;0,INDEX(CO$7:CO$106,$AE99),1),IF($AF99&gt;0,INDEX(CO$7:CO$106,$AF99),1),IF($AG99&gt;0,INDEX(CO$7:CO$106,$AG99),1),IF($AH99&gt;0,INDEX(CO$7:CO$106,$AH99),1),IF($AI99&gt;0,INDEX(CO$7:CO$106,$AI99),1),IF($AJ99&gt;0,INDEX(CO$7:CO$106,$AJ99),1))))</ns0:f>
        <ns0:v>1</ns0:v>
      </ns0:c>
      <ns0:c r="CQ99" t="n">
        <ns0:f>IF($A99="",1,IF(CP99=1,1,--AND(IF($AC99&gt;0,INDEX(CP$7:CP$106,$AC99),1),IF($AD99&gt;0,INDEX(CP$7:CP$106,$AD99),1),IF($AE99&gt;0,INDEX(CP$7:CP$106,$AE99),1),IF($AF99&gt;0,INDEX(CP$7:CP$106,$AF99),1),IF($AG99&gt;0,INDEX(CP$7:CP$106,$AG99),1),IF($AH99&gt;0,INDEX(CP$7:CP$106,$AH99),1),IF($AI99&gt;0,INDEX(CP$7:CP$106,$AI99),1),IF($AJ99&gt;0,INDEX(CP$7:CP$106,$AJ99),1))))</ns0:f>
        <ns0:v>1</ns0:v>
      </ns0:c>
      <ns0:c r="CR99" t="n">
        <ns0:f>IF($A99="",1,IF(CQ99=1,1,--AND(IF($AC99&gt;0,INDEX(CQ$7:CQ$106,$AC99),1),IF($AD99&gt;0,INDEX(CQ$7:CQ$106,$AD99),1),IF($AE99&gt;0,INDEX(CQ$7:CQ$106,$AE99),1),IF($AF99&gt;0,INDEX(CQ$7:CQ$106,$AF99),1),IF($AG99&gt;0,INDEX(CQ$7:CQ$106,$AG99),1),IF($AH99&gt;0,INDEX(CQ$7:CQ$106,$AH99),1),IF($AI99&gt;0,INDEX(CQ$7:CQ$106,$AI99),1),IF($AJ99&gt;0,INDEX(CQ$7:CQ$106,$AJ99),1))))</ns0:f>
        <ns0:v>1</ns0:v>
      </ns0:c>
      <ns0:c r="CS99" t="n">
        <ns0:f>IF($A99="",1,IF(CR99=1,1,--AND(IF($AC99&gt;0,INDEX(CR$7:CR$106,$AC99),1),IF($AD99&gt;0,INDEX(CR$7:CR$106,$AD99),1),IF($AE99&gt;0,INDEX(CR$7:CR$106,$AE99),1),IF($AF99&gt;0,INDEX(CR$7:CR$106,$AF99),1),IF($AG99&gt;0,INDEX(CR$7:CR$106,$AG99),1),IF($AH99&gt;0,INDEX(CR$7:CR$106,$AH99),1),IF($AI99&gt;0,INDEX(CR$7:CR$106,$AI99),1),IF($AJ99&gt;0,INDEX(CR$7:CR$106,$AJ99),1))))</ns0:f>
        <ns0:v>1</ns0:v>
      </ns0:c>
      <ns0:c r="CT99" t="n">
        <ns0:f>IF($A99="",1,IF(CS99=1,1,--AND(IF($AC99&gt;0,INDEX(CS$7:CS$106,$AC99),1),IF($AD99&gt;0,INDEX(CS$7:CS$106,$AD99),1),IF($AE99&gt;0,INDEX(CS$7:CS$106,$AE99),1),IF($AF99&gt;0,INDEX(CS$7:CS$106,$AF99),1),IF($AG99&gt;0,INDEX(CS$7:CS$106,$AG99),1),IF($AH99&gt;0,INDEX(CS$7:CS$106,$AH99),1),IF($AI99&gt;0,INDEX(CS$7:CS$106,$AI99),1),IF($AJ99&gt;0,INDEX(CS$7:CS$106,$AJ99),1))))</ns0:f>
        <ns0:v>1</ns0:v>
      </ns0:c>
      <ns0:c r="CU99" t="n">
        <ns0:f>IF($A99="",1,IF(CT99=1,1,--AND(IF($AC99&gt;0,INDEX(CT$7:CT$106,$AC99),1),IF($AD99&gt;0,INDEX(CT$7:CT$106,$AD99),1),IF($AE99&gt;0,INDEX(CT$7:CT$106,$AE99),1),IF($AF99&gt;0,INDEX(CT$7:CT$106,$AF99),1),IF($AG99&gt;0,INDEX(CT$7:CT$106,$AG99),1),IF($AH99&gt;0,INDEX(CT$7:CT$106,$AH99),1),IF($AI99&gt;0,INDEX(CT$7:CT$106,$AI99),1),IF($AJ99&gt;0,INDEX(CT$7:CT$106,$AJ99),1))))</ns0:f>
        <ns0:v>1</ns0:v>
      </ns0:c>
      <ns0:c r="CV99" t="n">
        <ns0:f>IF($A99="",1,IF(CU99=1,1,--AND(IF($AC99&gt;0,INDEX(CU$7:CU$106,$AC99),1),IF($AD99&gt;0,INDEX(CU$7:CU$106,$AD99),1),IF($AE99&gt;0,INDEX(CU$7:CU$106,$AE99),1),IF($AF99&gt;0,INDEX(CU$7:CU$106,$AF99),1),IF($AG99&gt;0,INDEX(CU$7:CU$106,$AG99),1),IF($AH99&gt;0,INDEX(CU$7:CU$106,$AH99),1),IF($AI99&gt;0,INDEX(CU$7:CU$106,$AI99),1),IF($AJ99&gt;0,INDEX(CU$7:CU$106,$AJ99),1))))</ns0:f>
        <ns0:v>1</ns0:v>
      </ns0:c>
      <ns0:c r="CW99" t="n">
        <ns0:f>IF($A99="",1,IF(CV99=1,1,--AND(IF($AC99&gt;0,INDEX(CV$7:CV$106,$AC99),1),IF($AD99&gt;0,INDEX(CV$7:CV$106,$AD99),1),IF($AE99&gt;0,INDEX(CV$7:CV$106,$AE99),1),IF($AF99&gt;0,INDEX(CV$7:CV$106,$AF99),1),IF($AG99&gt;0,INDEX(CV$7:CV$106,$AG99),1),IF($AH99&gt;0,INDEX(CV$7:CV$106,$AH99),1),IF($AI99&gt;0,INDEX(CV$7:CV$106,$AI99),1),IF($AJ99&gt;0,INDEX(CV$7:CV$106,$AJ99),1))))</ns0:f>
        <ns0:v>1</ns0:v>
      </ns0:c>
      <ns0:c r="CX99" t="n">
        <ns0:f>IF($A99="",1,IF(CW99=1,1,--AND(IF($AC99&gt;0,INDEX(CW$7:CW$106,$AC99),1),IF($AD99&gt;0,INDEX(CW$7:CW$106,$AD99),1),IF($AE99&gt;0,INDEX(CW$7:CW$106,$AE99),1),IF($AF99&gt;0,INDEX(CW$7:CW$106,$AF99),1),IF($AG99&gt;0,INDEX(CW$7:CW$106,$AG99),1),IF($AH99&gt;0,INDEX(CW$7:CW$106,$AH99),1),IF($AI99&gt;0,INDEX(CW$7:CW$106,$AI99),1),IF($AJ99&gt;0,INDEX(CW$7:CW$106,$AJ99),1))))</ns0:f>
        <ns0:v>1</ns0:v>
      </ns0:c>
      <ns0:c r="CY99" t="n">
        <ns0:f>IF($A99="",1,IF(CX99=1,1,--AND(IF($AC99&gt;0,INDEX(CX$7:CX$106,$AC99),1),IF($AD99&gt;0,INDEX(CX$7:CX$106,$AD99),1),IF($AE99&gt;0,INDEX(CX$7:CX$106,$AE99),1),IF($AF99&gt;0,INDEX(CX$7:CX$106,$AF99),1),IF($AG99&gt;0,INDEX(CX$7:CX$106,$AG99),1),IF($AH99&gt;0,INDEX(CX$7:CX$106,$AH99),1),IF($AI99&gt;0,INDEX(CX$7:CX$106,$AI99),1),IF($AJ99&gt;0,INDEX(CX$7:CX$106,$AJ99),1))))</ns0:f>
        <ns0:v>1</ns0:v>
      </ns0:c>
      <ns0:c r="CZ99" t="n">
        <ns0:f>IF($A99="",1,IF(CY99=1,1,--AND(IF($AC99&gt;0,INDEX(CY$7:CY$106,$AC99),1),IF($AD99&gt;0,INDEX(CY$7:CY$106,$AD99),1),IF($AE99&gt;0,INDEX(CY$7:CY$106,$AE99),1),IF($AF99&gt;0,INDEX(CY$7:CY$106,$AF99),1),IF($AG99&gt;0,INDEX(CY$7:CY$106,$AG99),1),IF($AH99&gt;0,INDEX(CY$7:CY$106,$AH99),1),IF($AI99&gt;0,INDEX(CY$7:CY$106,$AI99),1),IF($AJ99&gt;0,INDEX(CY$7:CY$106,$AJ99),1))))</ns0:f>
        <ns0:v>1</ns0:v>
      </ns0:c>
      <ns0:c r="DA99" t="n">
        <ns0:f>IF($A99="",1,IF(CZ99=1,1,--AND(IF($AC99&gt;0,INDEX(CZ$7:CZ$106,$AC99),1),IF($AD99&gt;0,INDEX(CZ$7:CZ$106,$AD99),1),IF($AE99&gt;0,INDEX(CZ$7:CZ$106,$AE99),1),IF($AF99&gt;0,INDEX(CZ$7:CZ$106,$AF99),1),IF($AG99&gt;0,INDEX(CZ$7:CZ$106,$AG99),1),IF($AH99&gt;0,INDEX(CZ$7:CZ$106,$AH99),1),IF($AI99&gt;0,INDEX(CZ$7:CZ$106,$AI99),1),IF($AJ99&gt;0,INDEX(CZ$7:CZ$106,$AJ99),1))))</ns0:f>
        <ns0:v>1</ns0:v>
      </ns0:c>
      <ns0:c r="DB99" t="n">
        <ns0:f>IF($A99="",1,IF(DA99=1,1,--AND(IF($AC99&gt;0,INDEX(DA$7:DA$106,$AC99),1),IF($AD99&gt;0,INDEX(DA$7:DA$106,$AD99),1),IF($AE99&gt;0,INDEX(DA$7:DA$106,$AE99),1),IF($AF99&gt;0,INDEX(DA$7:DA$106,$AF99),1),IF($AG99&gt;0,INDEX(DA$7:DA$106,$AG99),1),IF($AH99&gt;0,INDEX(DA$7:DA$106,$AH99),1),IF($AI99&gt;0,INDEX(DA$7:DA$106,$AI99),1),IF($AJ99&gt;0,INDEX(DA$7:DA$106,$AJ99),1))))</ns0:f>
        <ns0:v>1</ns0:v>
      </ns0:c>
      <ns0:c r="DC99" t="n">
        <ns0:f>IF($A99="",1,IF(DB99=1,1,--AND(IF($AC99&gt;0,INDEX(DB$7:DB$106,$AC99),1),IF($AD99&gt;0,INDEX(DB$7:DB$106,$AD99),1),IF($AE99&gt;0,INDEX(DB$7:DB$106,$AE99),1),IF($AF99&gt;0,INDEX(DB$7:DB$106,$AF99),1),IF($AG99&gt;0,INDEX(DB$7:DB$106,$AG99),1),IF($AH99&gt;0,INDEX(DB$7:DB$106,$AH99),1),IF($AI99&gt;0,INDEX(DB$7:DB$106,$AI99),1),IF($AJ99&gt;0,INDEX(DB$7:DB$106,$AJ99),1))))</ns0:f>
        <ns0:v>1</ns0:v>
      </ns0:c>
      <ns0:c r="DD99" t="n">
        <ns0:f>IF($A99="",1,IF(DC99=1,1,--AND(IF($AC99&gt;0,INDEX(DC$7:DC$106,$AC99),1),IF($AD99&gt;0,INDEX(DC$7:DC$106,$AD99),1),IF($AE99&gt;0,INDEX(DC$7:DC$106,$AE99),1),IF($AF99&gt;0,INDEX(DC$7:DC$106,$AF99),1),IF($AG99&gt;0,INDEX(DC$7:DC$106,$AG99),1),IF($AH99&gt;0,INDEX(DC$7:DC$106,$AH99),1),IF($AI99&gt;0,INDEX(DC$7:DC$106,$AI99),1),IF($AJ99&gt;0,INDEX(DC$7:DC$106,$AJ99),1))))</ns0:f>
        <ns0:v>1</ns0:v>
      </ns0:c>
      <ns0:c r="DE99" t="n">
        <ns0:f>IF($A99="",1,IF(DD99=1,1,--AND(IF($AC99&gt;0,INDEX(DD$7:DD$106,$AC99),1),IF($AD99&gt;0,INDEX(DD$7:DD$106,$AD99),1),IF($AE99&gt;0,INDEX(DD$7:DD$106,$AE99),1),IF($AF99&gt;0,INDEX(DD$7:DD$106,$AF99),1),IF($AG99&gt;0,INDEX(DD$7:DD$106,$AG99),1),IF($AH99&gt;0,INDEX(DD$7:DD$106,$AH99),1),IF($AI99&gt;0,INDEX(DD$7:DD$106,$AI99),1),IF($AJ99&gt;0,INDEX(DD$7:DD$106,$AJ99),1))))</ns0:f>
        <ns0:v>1</ns0:v>
      </ns0:c>
      <ns0:c r="DF99" t="n">
        <ns0:f>IF($A99="",1,IF(DE99=1,1,--AND(IF($AC99&gt;0,INDEX(DE$7:DE$106,$AC99),1),IF($AD99&gt;0,INDEX(DE$7:DE$106,$AD99),1),IF($AE99&gt;0,INDEX(DE$7:DE$106,$AE99),1),IF($AF99&gt;0,INDEX(DE$7:DE$106,$AF99),1),IF($AG99&gt;0,INDEX(DE$7:DE$106,$AG99),1),IF($AH99&gt;0,INDEX(DE$7:DE$106,$AH99),1),IF($AI99&gt;0,INDEX(DE$7:DE$106,$AI99),1),IF($AJ99&gt;0,INDEX(DE$7:DE$106,$AJ99),1))))</ns0:f>
        <ns0:v>1</ns0:v>
      </ns0:c>
      <ns0:c r="DG99" t="n">
        <ns0:f>IF($A99="",1,IF(DF99=1,1,--AND(IF($AC99&gt;0,INDEX(DF$7:DF$106,$AC99),1),IF($AD99&gt;0,INDEX(DF$7:DF$106,$AD99),1),IF($AE99&gt;0,INDEX(DF$7:DF$106,$AE99),1),IF($AF99&gt;0,INDEX(DF$7:DF$106,$AF99),1),IF($AG99&gt;0,INDEX(DF$7:DF$106,$AG99),1),IF($AH99&gt;0,INDEX(DF$7:DF$106,$AH99),1),IF($AI99&gt;0,INDEX(DF$7:DF$106,$AI99),1),IF($AJ99&gt;0,INDEX(DF$7:DF$106,$AJ99),1))))</ns0:f>
        <ns0:v>1</ns0:v>
      </ns0:c>
      <ns0:c r="DH99" t="n">
        <ns0:f>IF($A99="",1,IF(DG99=1,1,--AND(IF($AC99&gt;0,INDEX(DG$7:DG$106,$AC99),1),IF($AD99&gt;0,INDEX(DG$7:DG$106,$AD99),1),IF($AE99&gt;0,INDEX(DG$7:DG$106,$AE99),1),IF($AF99&gt;0,INDEX(DG$7:DG$106,$AF99),1),IF($AG99&gt;0,INDEX(DG$7:DG$106,$AG99),1),IF($AH99&gt;0,INDEX(DG$7:DG$106,$AH99),1),IF($AI99&gt;0,INDEX(DG$7:DG$106,$AI99),1),IF($AJ99&gt;0,INDEX(DG$7:DG$106,$AJ99),1))))</ns0:f>
        <ns0:v>1</ns0:v>
      </ns0:c>
      <ns0:c r="DI99" t="n">
        <ns0:f>IF($A99="",1,IF(DH99=1,1,--AND(IF($AC99&gt;0,INDEX(DH$7:DH$106,$AC99),1),IF($AD99&gt;0,INDEX(DH$7:DH$106,$AD99),1),IF($AE99&gt;0,INDEX(DH$7:DH$106,$AE99),1),IF($AF99&gt;0,INDEX(DH$7:DH$106,$AF99),1),IF($AG99&gt;0,INDEX(DH$7:DH$106,$AG99),1),IF($AH99&gt;0,INDEX(DH$7:DH$106,$AH99),1),IF($AI99&gt;0,INDEX(DH$7:DH$106,$AI99),1),IF($AJ99&gt;0,INDEX(DH$7:DH$106,$AJ99),1))))</ns0:f>
        <ns0:v>1</ns0:v>
      </ns0:c>
      <ns0:c r="DJ99" t="n">
        <ns0:f>IF($A99="",1,IF(DI99=1,1,--AND(IF($AC99&gt;0,INDEX(DI$7:DI$106,$AC99),1),IF($AD99&gt;0,INDEX(DI$7:DI$106,$AD99),1),IF($AE99&gt;0,INDEX(DI$7:DI$106,$AE99),1),IF($AF99&gt;0,INDEX(DI$7:DI$106,$AF99),1),IF($AG99&gt;0,INDEX(DI$7:DI$106,$AG99),1),IF($AH99&gt;0,INDEX(DI$7:DI$106,$AH99),1),IF($AI99&gt;0,INDEX(DI$7:DI$106,$AI99),1),IF($AJ99&gt;0,INDEX(DI$7:DI$106,$AJ99),1))))</ns0:f>
        <ns0:v>1</ns0:v>
      </ns0:c>
      <ns0:c r="DK99" t="n">
        <ns0:f>IF($A99="",1,IF(DJ99=1,1,--AND(IF($AC99&gt;0,INDEX(DJ$7:DJ$106,$AC99),1),IF($AD99&gt;0,INDEX(DJ$7:DJ$106,$AD99),1),IF($AE99&gt;0,INDEX(DJ$7:DJ$106,$AE99),1),IF($AF99&gt;0,INDEX(DJ$7:DJ$106,$AF99),1),IF($AG99&gt;0,INDEX(DJ$7:DJ$106,$AG99),1),IF($AH99&gt;0,INDEX(DJ$7:DJ$106,$AH99),1),IF($AI99&gt;0,INDEX(DJ$7:DJ$106,$AI99),1),IF($AJ99&gt;0,INDEX(DJ$7:DJ$106,$AJ99),1))))</ns0:f>
        <ns0:v>1</ns0:v>
      </ns0:c>
      <ns0:c r="DL99" t="n">
        <ns0:f>IF($A99="",1,IF(DK99=1,1,--AND(IF($AC99&gt;0,INDEX(DK$7:DK$106,$AC99),1),IF($AD99&gt;0,INDEX(DK$7:DK$106,$AD99),1),IF($AE99&gt;0,INDEX(DK$7:DK$106,$AE99),1),IF($AF99&gt;0,INDEX(DK$7:DK$106,$AF99),1),IF($AG99&gt;0,INDEX(DK$7:DK$106,$AG99),1),IF($AH99&gt;0,INDEX(DK$7:DK$106,$AH99),1),IF($AI99&gt;0,INDEX(DK$7:DK$106,$AI99),1),IF($AJ99&gt;0,INDEX(DK$7:DK$106,$AJ99),1))))</ns0:f>
        <ns0:v>1</ns0:v>
      </ns0:c>
      <ns0:c r="DM99" t="n">
        <ns0:f>IF($A99="",1,IF(DL99=1,1,--AND(IF($AC99&gt;0,INDEX(DL$7:DL$106,$AC99),1),IF($AD99&gt;0,INDEX(DL$7:DL$106,$AD99),1),IF($AE99&gt;0,INDEX(DL$7:DL$106,$AE99),1),IF($AF99&gt;0,INDEX(DL$7:DL$106,$AF99),1),IF($AG99&gt;0,INDEX(DL$7:DL$106,$AG99),1),IF($AH99&gt;0,INDEX(DL$7:DL$106,$AH99),1),IF($AI99&gt;0,INDEX(DL$7:DL$106,$AI99),1),IF($AJ99&gt;0,INDEX(DL$7:DL$106,$AJ99),1))))</ns0:f>
        <ns0:v>1</ns0:v>
      </ns0:c>
      <ns0:c r="DN99" t="n">
        <ns0:f>IF($A99="",1,IF(DM99=1,1,--AND(IF($AC99&gt;0,INDEX(DM$7:DM$106,$AC99),1),IF($AD99&gt;0,INDEX(DM$7:DM$106,$AD99),1),IF($AE99&gt;0,INDEX(DM$7:DM$106,$AE99),1),IF($AF99&gt;0,INDEX(DM$7:DM$106,$AF99),1),IF($AG99&gt;0,INDEX(DM$7:DM$106,$AG99),1),IF($AH99&gt;0,INDEX(DM$7:DM$106,$AH99),1),IF($AI99&gt;0,INDEX(DM$7:DM$106,$AI99),1),IF($AJ99&gt;0,INDEX(DM$7:DM$106,$AJ99),1))))</ns0:f>
        <ns0:v>1</ns0:v>
      </ns0:c>
      <ns0:c r="DO99" t="n">
        <ns0:f>IF($A99="",1,IF(DN99=1,1,--AND(IF($AC99&gt;0,INDEX(DN$7:DN$106,$AC99),1),IF($AD99&gt;0,INDEX(DN$7:DN$106,$AD99),1),IF($AE99&gt;0,INDEX(DN$7:DN$106,$AE99),1),IF($AF99&gt;0,INDEX(DN$7:DN$106,$AF99),1),IF($AG99&gt;0,INDEX(DN$7:DN$106,$AG99),1),IF($AH99&gt;0,INDEX(DN$7:DN$106,$AH99),1),IF($AI99&gt;0,INDEX(DN$7:DN$106,$AI99),1),IF($AJ99&gt;0,INDEX(DN$7:DN$106,$AJ99),1))))</ns0:f>
        <ns0:v>1</ns0:v>
      </ns0:c>
      <ns0:c r="DP99" t="n">
        <ns0:f>IF($A99="",1,IF(DO99=1,1,--AND(IF($AC99&gt;0,INDEX(DO$7:DO$106,$AC99),1),IF($AD99&gt;0,INDEX(DO$7:DO$106,$AD99),1),IF($AE99&gt;0,INDEX(DO$7:DO$106,$AE99),1),IF($AF99&gt;0,INDEX(DO$7:DO$106,$AF99),1),IF($AG99&gt;0,INDEX(DO$7:DO$106,$AG99),1),IF($AH99&gt;0,INDEX(DO$7:DO$106,$AH99),1),IF($AI99&gt;0,INDEX(DO$7:DO$106,$AI99),1),IF($AJ99&gt;0,INDEX(DO$7:DO$106,$AJ99),1))))</ns0:f>
        <ns0:v>1</ns0:v>
      </ns0:c>
      <ns0:c r="DQ99" t="n">
        <ns0:f>IF($A99="",1,IF(DP99=1,1,--AND(IF($AC99&gt;0,INDEX(DP$7:DP$106,$AC99),1),IF($AD99&gt;0,INDEX(DP$7:DP$106,$AD99),1),IF($AE99&gt;0,INDEX(DP$7:DP$106,$AE99),1),IF($AF99&gt;0,INDEX(DP$7:DP$106,$AF99),1),IF($AG99&gt;0,INDEX(DP$7:DP$106,$AG99),1),IF($AH99&gt;0,INDEX(DP$7:DP$106,$AH99),1),IF($AI99&gt;0,INDEX(DP$7:DP$106,$AI99),1),IF($AJ99&gt;0,INDEX(DP$7:DP$106,$AJ99),1))))</ns0:f>
        <ns0:v>1</ns0:v>
      </ns0:c>
      <ns0:c r="DR99" t="n">
        <ns0:f>IF($A99="",1,IF(DQ99=1,1,--AND(IF($AC99&gt;0,INDEX(DQ$7:DQ$106,$AC99),1),IF($AD99&gt;0,INDEX(DQ$7:DQ$106,$AD99),1),IF($AE99&gt;0,INDEX(DQ$7:DQ$106,$AE99),1),IF($AF99&gt;0,INDEX(DQ$7:DQ$106,$AF99),1),IF($AG99&gt;0,INDEX(DQ$7:DQ$106,$AG99),1),IF($AH99&gt;0,INDEX(DQ$7:DQ$106,$AH99),1),IF($AI99&gt;0,INDEX(DQ$7:DQ$106,$AI99),1),IF($AJ99&gt;0,INDEX(DQ$7:DQ$106,$AJ99),1))))</ns0:f>
        <ns0:v>1</ns0:v>
      </ns0:c>
      <ns0:c r="DS99" t="n">
        <ns0:f>IF($A99="",1,IF(DR99=1,1,--AND(IF($AC99&gt;0,INDEX(DR$7:DR$106,$AC99),1),IF($AD99&gt;0,INDEX(DR$7:DR$106,$AD99),1),IF($AE99&gt;0,INDEX(DR$7:DR$106,$AE99),1),IF($AF99&gt;0,INDEX(DR$7:DR$106,$AF99),1),IF($AG99&gt;0,INDEX(DR$7:DR$106,$AG99),1),IF($AH99&gt;0,INDEX(DR$7:DR$106,$AH99),1),IF($AI99&gt;0,INDEX(DR$7:DR$106,$AI99),1),IF($AJ99&gt;0,INDEX(DR$7:DR$106,$AJ99),1))))</ns0:f>
        <ns0:v>1</ns0:v>
      </ns0:c>
      <ns0:c r="DT99" t="n">
        <ns0:f>IF($A99="",1,IF(DS99=1,1,--AND(IF($AC99&gt;0,INDEX(DS$7:DS$106,$AC99),1),IF($AD99&gt;0,INDEX(DS$7:DS$106,$AD99),1),IF($AE99&gt;0,INDEX(DS$7:DS$106,$AE99),1),IF($AF99&gt;0,INDEX(DS$7:DS$106,$AF99),1),IF($AG99&gt;0,INDEX(DS$7:DS$106,$AG99),1),IF($AH99&gt;0,INDEX(DS$7:DS$106,$AH99),1),IF($AI99&gt;0,INDEX(DS$7:DS$106,$AI99),1),IF($AJ99&gt;0,INDEX(DS$7:DS$106,$AJ99),1))))</ns0:f>
        <ns0:v>1</ns0:v>
      </ns0:c>
      <ns0:c r="DU99" t="n">
        <ns0:f>IF($A99="",1,IF(DT99=1,1,--AND(IF($AC99&gt;0,INDEX(DT$7:DT$106,$AC99),1),IF($AD99&gt;0,INDEX(DT$7:DT$106,$AD99),1),IF($AE99&gt;0,INDEX(DT$7:DT$106,$AE99),1),IF($AF99&gt;0,INDEX(DT$7:DT$106,$AF99),1),IF($AG99&gt;0,INDEX(DT$7:DT$106,$AG99),1),IF($AH99&gt;0,INDEX(DT$7:DT$106,$AH99),1),IF($AI99&gt;0,INDEX(DT$7:DT$106,$AI99),1),IF($AJ99&gt;0,INDEX(DT$7:DT$106,$AJ99),1))))</ns0:f>
        <ns0:v>1</ns0:v>
      </ns0:c>
      <ns0:c r="DV99" t="n">
        <ns0:f>IF($A99="",1,IF(DU99=1,1,--AND(IF($AC99&gt;0,INDEX(DU$7:DU$106,$AC99),1),IF($AD99&gt;0,INDEX(DU$7:DU$106,$AD99),1),IF($AE99&gt;0,INDEX(DU$7:DU$106,$AE99),1),IF($AF99&gt;0,INDEX(DU$7:DU$106,$AF99),1),IF($AG99&gt;0,INDEX(DU$7:DU$106,$AG99),1),IF($AH99&gt;0,INDEX(DU$7:DU$106,$AH99),1),IF($AI99&gt;0,INDEX(DU$7:DU$106,$AI99),1),IF($AJ99&gt;0,INDEX(DU$7:DU$106,$AJ99),1))))</ns0:f>
        <ns0:v>1</ns0:v>
      </ns0:c>
      <ns0:c r="DW99" t="n">
        <ns0:f>IF($A99="",1,IF(DV99=1,1,--AND(IF($AC99&gt;0,INDEX(DV$7:DV$106,$AC99),1),IF($AD99&gt;0,INDEX(DV$7:DV$106,$AD99),1),IF($AE99&gt;0,INDEX(DV$7:DV$106,$AE99),1),IF($AF99&gt;0,INDEX(DV$7:DV$106,$AF99),1),IF($AG99&gt;0,INDEX(DV$7:DV$106,$AG99),1),IF($AH99&gt;0,INDEX(DV$7:DV$106,$AH99),1),IF($AI99&gt;0,INDEX(DV$7:DV$106,$AI99),1),IF($AJ99&gt;0,INDEX(DV$7:DV$106,$AJ99),1))))</ns0:f>
        <ns0:v>1</ns0:v>
      </ns0:c>
      <ns0:c r="DX99" t="n">
        <ns0:f>IF($A99="",1,IF(DW99=1,1,--AND(IF($AC99&gt;0,INDEX(DW$7:DW$106,$AC99),1),IF($AD99&gt;0,INDEX(DW$7:DW$106,$AD99),1),IF($AE99&gt;0,INDEX(DW$7:DW$106,$AE99),1),IF($AF99&gt;0,INDEX(DW$7:DW$106,$AF99),1),IF($AG99&gt;0,INDEX(DW$7:DW$106,$AG99),1),IF($AH99&gt;0,INDEX(DW$7:DW$106,$AH99),1),IF($AI99&gt;0,INDEX(DW$7:DW$106,$AI99),1),IF($AJ99&gt;0,INDEX(DW$7:DW$106,$AJ99),1))))</ns0:f>
        <ns0:v>1</ns0:v>
      </ns0:c>
      <ns0:c r="DY99" t="n">
        <ns0:f>IF($A99="",1,IF(DX99=1,1,--AND(IF($AC99&gt;0,INDEX(DX$7:DX$106,$AC99),1),IF($AD99&gt;0,INDEX(DX$7:DX$106,$AD99),1),IF($AE99&gt;0,INDEX(DX$7:DX$106,$AE99),1),IF($AF99&gt;0,INDEX(DX$7:DX$106,$AF99),1),IF($AG99&gt;0,INDEX(DX$7:DX$106,$AG99),1),IF($AH99&gt;0,INDEX(DX$7:DX$106,$AH99),1),IF($AI99&gt;0,INDEX(DX$7:DX$106,$AI99),1),IF($AJ99&gt;0,INDEX(DX$7:DX$106,$AJ99),1))))</ns0:f>
        <ns0:v>1</ns0:v>
      </ns0:c>
      <ns0:c r="DZ99" t="n">
        <ns0:f>IF($A99="",1,IF(DY99=1,1,--AND(IF($AC99&gt;0,INDEX(DY$7:DY$106,$AC99),1),IF($AD99&gt;0,INDEX(DY$7:DY$106,$AD99),1),IF($AE99&gt;0,INDEX(DY$7:DY$106,$AE99),1),IF($AF99&gt;0,INDEX(DY$7:DY$106,$AF99),1),IF($AG99&gt;0,INDEX(DY$7:DY$106,$AG99),1),IF($AH99&gt;0,INDEX(DY$7:DY$106,$AH99),1),IF($AI99&gt;0,INDEX(DY$7:DY$106,$AI99),1),IF($AJ99&gt;0,INDEX(DY$7:DY$106,$AJ99),1))))</ns0:f>
        <ns0:v>1</ns0:v>
      </ns0:c>
      <ns0:c r="EA99" t="n">
        <ns0:f>IF($A99="",1,IF(DZ99=1,1,--AND(IF($AC99&gt;0,INDEX(DZ$7:DZ$106,$AC99),1),IF($AD99&gt;0,INDEX(DZ$7:DZ$106,$AD99),1),IF($AE99&gt;0,INDEX(DZ$7:DZ$106,$AE99),1),IF($AF99&gt;0,INDEX(DZ$7:DZ$106,$AF99),1),IF($AG99&gt;0,INDEX(DZ$7:DZ$106,$AG99),1),IF($AH99&gt;0,INDEX(DZ$7:DZ$106,$AH99),1),IF($AI99&gt;0,INDEX(DZ$7:DZ$106,$AI99),1),IF($AJ99&gt;0,INDEX(DZ$7:DZ$106,$AJ99),1))))</ns0:f>
        <ns0:v>1</ns0:v>
      </ns0:c>
      <ns0:c r="EB99" t="n">
        <ns0:f>IF($A99="",1,IF(EA99=1,1,--AND(IF($AC99&gt;0,INDEX(EA$7:EA$106,$AC99),1),IF($AD99&gt;0,INDEX(EA$7:EA$106,$AD99),1),IF($AE99&gt;0,INDEX(EA$7:EA$106,$AE99),1),IF($AF99&gt;0,INDEX(EA$7:EA$106,$AF99),1),IF($AG99&gt;0,INDEX(EA$7:EA$106,$AG99),1),IF($AH99&gt;0,INDEX(EA$7:EA$106,$AH99),1),IF($AI99&gt;0,INDEX(EA$7:EA$106,$AI99),1),IF($AJ99&gt;0,INDEX(EA$7:EA$106,$AJ99),1))))</ns0:f>
        <ns0:v>1</ns0:v>
      </ns0:c>
      <ns0:c r="EC99" t="n">
        <ns0:f>IF($A99="",1,IF(EB99=1,1,--AND(IF($AC99&gt;0,INDEX(EB$7:EB$106,$AC99),1),IF($AD99&gt;0,INDEX(EB$7:EB$106,$AD99),1),IF($AE99&gt;0,INDEX(EB$7:EB$106,$AE99),1),IF($AF99&gt;0,INDEX(EB$7:EB$106,$AF99),1),IF($AG99&gt;0,INDEX(EB$7:EB$106,$AG99),1),IF($AH99&gt;0,INDEX(EB$7:EB$106,$AH99),1),IF($AI99&gt;0,INDEX(EB$7:EB$106,$AI99),1),IF($AJ99&gt;0,INDEX(EB$7:EB$106,$AJ99),1))))</ns0:f>
        <ns0:v>1</ns0:v>
      </ns0:c>
      <ns0:c r="ED99" t="n">
        <ns0:f>IF($A99="",1,IF(EC99=1,1,--AND(IF($AC99&gt;0,INDEX(EC$7:EC$106,$AC99),1),IF($AD99&gt;0,INDEX(EC$7:EC$106,$AD99),1),IF($AE99&gt;0,INDEX(EC$7:EC$106,$AE99),1),IF($AF99&gt;0,INDEX(EC$7:EC$106,$AF99),1),IF($AG99&gt;0,INDEX(EC$7:EC$106,$AG99),1),IF($AH99&gt;0,INDEX(EC$7:EC$106,$AH99),1),IF($AI99&gt;0,INDEX(EC$7:EC$106,$AI99),1),IF($AJ99&gt;0,INDEX(EC$7:EC$106,$AJ99),1))))</ns0:f>
        <ns0:v>1</ns0:v>
      </ns0:c>
      <ns0:c r="EE99" t="n">
        <ns0:f>IF($A99="",1,IF(ED99=1,1,--AND(IF($AC99&gt;0,INDEX(ED$7:ED$106,$AC99),1),IF($AD99&gt;0,INDEX(ED$7:ED$106,$AD99),1),IF($AE99&gt;0,INDEX(ED$7:ED$106,$AE99),1),IF($AF99&gt;0,INDEX(ED$7:ED$106,$AF99),1),IF($AG99&gt;0,INDEX(ED$7:ED$106,$AG99),1),IF($AH99&gt;0,INDEX(ED$7:ED$106,$AH99),1),IF($AI99&gt;0,INDEX(ED$7:ED$106,$AI99),1),IF($AJ99&gt;0,INDEX(ED$7:ED$106,$AJ99),1))))</ns0:f>
        <ns0:v>1</ns0:v>
      </ns0:c>
      <ns0:c r="EF99" t="n">
        <ns0:f>IF($A99="",1,IF(EE99=1,1,--AND(IF($AC99&gt;0,INDEX(EE$7:EE$106,$AC99),1),IF($AD99&gt;0,INDEX(EE$7:EE$106,$AD99),1),IF($AE99&gt;0,INDEX(EE$7:EE$106,$AE99),1),IF($AF99&gt;0,INDEX(EE$7:EE$106,$AF99),1),IF($AG99&gt;0,INDEX(EE$7:EE$106,$AG99),1),IF($AH99&gt;0,INDEX(EE$7:EE$106,$AH99),1),IF($AI99&gt;0,INDEX(EE$7:EE$106,$AI99),1),IF($AJ99&gt;0,INDEX(EE$7:EE$106,$AJ99),1))))</ns0:f>
        <ns0:v>1</ns0:v>
      </ns0:c>
      <ns0:c r="EG99" t="n">
        <ns0:f>IF($A99="",1,IF(EF99=1,1,--AND(IF($AC99&gt;0,INDEX(EF$7:EF$106,$AC99),1),IF($AD99&gt;0,INDEX(EF$7:EF$106,$AD99),1),IF($AE99&gt;0,INDEX(EF$7:EF$106,$AE99),1),IF($AF99&gt;0,INDEX(EF$7:EF$106,$AF99),1),IF($AG99&gt;0,INDEX(EF$7:EF$106,$AG99),1),IF($AH99&gt;0,INDEX(EF$7:EF$106,$AH99),1),IF($AI99&gt;0,INDEX(EF$7:EF$106,$AI99),1),IF($AJ99&gt;0,INDEX(EF$7:EF$106,$AJ99),1))))</ns0:f>
        <ns0:v>1</ns0:v>
      </ns0:c>
      <ns0:c r="EH99" t="n">
        <ns0:f>IF($A99="",1,IF(EG99=1,1,--AND(IF($AC99&gt;0,INDEX(EG$7:EG$106,$AC99),1),IF($AD99&gt;0,INDEX(EG$7:EG$106,$AD99),1),IF($AE99&gt;0,INDEX(EG$7:EG$106,$AE99),1),IF($AF99&gt;0,INDEX(EG$7:EG$106,$AF99),1),IF($AG99&gt;0,INDEX(EG$7:EG$106,$AG99),1),IF($AH99&gt;0,INDEX(EG$7:EG$106,$AH99),1),IF($AI99&gt;0,INDEX(EG$7:EG$106,$AI99),1),IF($AJ99&gt;0,INDEX(EG$7:EG$106,$AJ99),1))))</ns0:f>
        <ns0:v>1</ns0:v>
      </ns0:c>
      <ns0:c r="EI99" t="n">
        <ns0:f>IF($A99="",1,IF(EH99=1,1,--AND(IF($AC99&gt;0,INDEX(EH$7:EH$106,$AC99),1),IF($AD99&gt;0,INDEX(EH$7:EH$106,$AD99),1),IF($AE99&gt;0,INDEX(EH$7:EH$106,$AE99),1),IF($AF99&gt;0,INDEX(EH$7:EH$106,$AF99),1),IF($AG99&gt;0,INDEX(EH$7:EH$106,$AG99),1),IF($AH99&gt;0,INDEX(EH$7:EH$106,$AH99),1),IF($AI99&gt;0,INDEX(EH$7:EH$106,$AI99),1),IF($AJ99&gt;0,INDEX(EH$7:EH$106,$AJ99),1))))</ns0:f>
        <ns0:v>1</ns0:v>
      </ns0:c>
      <ns0:c r="EJ99" t="n">
        <ns0:f>IF($A99="",1,IF(EI99=1,1,--AND(IF($AC99&gt;0,INDEX(EI$7:EI$106,$AC99),1),IF($AD99&gt;0,INDEX(EI$7:EI$106,$AD99),1),IF($AE99&gt;0,INDEX(EI$7:EI$106,$AE99),1),IF($AF99&gt;0,INDEX(EI$7:EI$106,$AF99),1),IF($AG99&gt;0,INDEX(EI$7:EI$106,$AG99),1),IF($AH99&gt;0,INDEX(EI$7:EI$106,$AH99),1),IF($AI99&gt;0,INDEX(EI$7:EI$106,$AI99),1),IF($AJ99&gt;0,INDEX(EI$7:EI$106,$AJ99),1))))</ns0:f>
        <ns0:v>1</ns0:v>
      </ns0:c>
      <ns0:c r="EK99" t="n">
        <ns0:f>IF($A99="",1,IF(EJ99=1,1,--AND(IF($AC99&gt;0,INDEX(EJ$7:EJ$106,$AC99),1),IF($AD99&gt;0,INDEX(EJ$7:EJ$106,$AD99),1),IF($AE99&gt;0,INDEX(EJ$7:EJ$106,$AE99),1),IF($AF99&gt;0,INDEX(EJ$7:EJ$106,$AF99),1),IF($AG99&gt;0,INDEX(EJ$7:EJ$106,$AG99),1),IF($AH99&gt;0,INDEX(EJ$7:EJ$106,$AH99),1),IF($AI99&gt;0,INDEX(EJ$7:EJ$106,$AI99),1),IF($AJ99&gt;0,INDEX(EJ$7:EJ$106,$AJ99),1))))</ns0:f>
        <ns0:v>1</ns0:v>
      </ns0:c>
      <ns0:c r="EL99" t="n">
        <ns0:f>IF($A99="",1,IF(EK99=1,1,--AND(IF($AC99&gt;0,INDEX(EK$7:EK$106,$AC99),1),IF($AD99&gt;0,INDEX(EK$7:EK$106,$AD99),1),IF($AE99&gt;0,INDEX(EK$7:EK$106,$AE99),1),IF($AF99&gt;0,INDEX(EK$7:EK$106,$AF99),1),IF($AG99&gt;0,INDEX(EK$7:EK$106,$AG99),1),IF($AH99&gt;0,INDEX(EK$7:EK$106,$AH99),1),IF($AI99&gt;0,INDEX(EK$7:EK$106,$AI99),1),IF($AJ99&gt;0,INDEX(EK$7:EK$106,$AJ99),1))))</ns0:f>
        <ns0:v>1</ns0:v>
      </ns0:c>
      <ns0:c r="EM99" t="n">
        <ns0:f>IF($A99="",1,IF(EL99=1,1,--AND(IF($AC99&gt;0,INDEX(EL$7:EL$106,$AC99),1),IF($AD99&gt;0,INDEX(EL$7:EL$106,$AD99),1),IF($AE99&gt;0,INDEX(EL$7:EL$106,$AE99),1),IF($AF99&gt;0,INDEX(EL$7:EL$106,$AF99),1),IF($AG99&gt;0,INDEX(EL$7:EL$106,$AG99),1),IF($AH99&gt;0,INDEX(EL$7:EL$106,$AH99),1),IF($AI99&gt;0,INDEX(EL$7:EL$106,$AI99),1),IF($AJ99&gt;0,INDEX(EL$7:EL$106,$AJ99),1))))</ns0:f>
        <ns0:v>1</ns0:v>
      </ns0:c>
      <ns0:c r="EN99" t="n">
        <ns0:f>IF($A99="",1,IF(EM99=1,1,--AND(IF($AC99&gt;0,INDEX(EM$7:EM$106,$AC99),1),IF($AD99&gt;0,INDEX(EM$7:EM$106,$AD99),1),IF($AE99&gt;0,INDEX(EM$7:EM$106,$AE99),1),IF($AF99&gt;0,INDEX(EM$7:EM$106,$AF99),1),IF($AG99&gt;0,INDEX(EM$7:EM$106,$AG99),1),IF($AH99&gt;0,INDEX(EM$7:EM$106,$AH99),1),IF($AI99&gt;0,INDEX(EM$7:EM$106,$AI99),1),IF($AJ99&gt;0,INDEX(EM$7:EM$106,$AJ99),1))))</ns0:f>
        <ns0:v>1</ns0:v>
      </ns0:c>
      <ns0:c r="EO99" t="n">
        <ns0:f>IF($A99="",1,IF(EN99=1,1,--AND(IF($AC99&gt;0,INDEX(EN$7:EN$106,$AC99),1),IF($AD99&gt;0,INDEX(EN$7:EN$106,$AD99),1),IF($AE99&gt;0,INDEX(EN$7:EN$106,$AE99),1),IF($AF99&gt;0,INDEX(EN$7:EN$106,$AF99),1),IF($AG99&gt;0,INDEX(EN$7:EN$106,$AG99),1),IF($AH99&gt;0,INDEX(EN$7:EN$106,$AH99),1),IF($AI99&gt;0,INDEX(EN$7:EN$106,$AI99),1),IF($AJ99&gt;0,INDEX(EN$7:EN$106,$AJ99),1))))</ns0:f>
        <ns0:v>1</ns0:v>
      </ns0:c>
      <ns0:c r="EP99" t="n">
        <ns0:f>IF($A99="",1,IF(EO99=1,1,--AND(IF($AC99&gt;0,INDEX(EO$7:EO$106,$AC99),1),IF($AD99&gt;0,INDEX(EO$7:EO$106,$AD99),1),IF($AE99&gt;0,INDEX(EO$7:EO$106,$AE99),1),IF($AF99&gt;0,INDEX(EO$7:EO$106,$AF99),1),IF($AG99&gt;0,INDEX(EO$7:EO$106,$AG99),1),IF($AH99&gt;0,INDEX(EO$7:EO$106,$AH99),1),IF($AI99&gt;0,INDEX(EO$7:EO$106,$AI99),1),IF($AJ99&gt;0,INDEX(EO$7:EO$106,$AJ99),1))))</ns0:f>
        <ns0:v>1</ns0:v>
      </ns0:c>
      <ns0:c r="EQ99" t="n">
        <ns0:f>IF(OR(A99="",NOT(ISNUMBER(G99))),0,G99*N99)</ns0:f>
        <ns0:v>0</ns0:v>
      </ns0:c>
    </ns0:row>
    <ns0:row r="100" ht="62" customHeight="1">
      <ns0:c r="A100" s="48"/>
      <ns0:c r="B100" s="48"/>
      <ns0:c r="C100" s="48"/>
      <ns0:c r="D100" s="48"/>
      <ns0:c r="E100" s="49"/>
      <ns0:c r="F100" s="49"/>
      <ns0:c r="G100" s="13" t="str">
        <ns0:f>IF(A100="","",IF(OR(NOT(ISNUMBER(E100)),NOT(ISNUMBER(F100)),F100&lt;E100),"",IF(J100="Yes",0,F100-E100+1)))</ns0:f>
      </ns0:c>
      <ns0:c r="H100" s="48"/>
      <ns0:c r="I100" s="48"/>
      <ns0:c r="J100" s="48"/>
      <ns0:c r="K100" s="48"/>
      <ns0:c r="L100" s="48"/>
      <ns0:c r="M100" s="50" t="str">
        <ns0:f>IF(A100="","",IF(N100=1,"Completed",IF(N100&gt;0,"In Progress","Not Started")))</ns0:f>
      </ns0:c>
      <ns0:c r="N100" s="51"/>
      <ns0:c r="O100" s="13" t="str">
        <ns0:f>IF(A100="","",IF(R100&lt;&gt;"","[CONFLICT] "&amp;R100,IF(S100&lt;&gt;"","[CONFLICT] "&amp;S100,IF(OR(NOT(ISNUMBER(N100)),N100&lt;0,N100&gt;1),"[CONFLICT] Invalid progress",IF(AK100&gt;0,"[DEPENDENCY ISSUE] Missing ID / &gt;8 links",IF(AM100&gt;0,"[DEPENDENCY ISSUE] Cycle or blocked by cycle",IF(AND(H100&lt;&gt;"",ISNA(MATCH(I100,{"FS","SS","FF","SF"},0))),"[DEPENDENCY ISSUE] Invalid type",IF(AL100&gt;0,"[DEPENDENCY ISSUE] Timing conflict",IF(OR(E100&lt;ProjectStart,F100&gt;ProjectEnd),"[OUTSIDE WINDOW]",IF(AND(N100&lt;1,F100&lt;AsOfDate),"Overdue",IF(AND(M100&lt;&gt;Q100,M100&lt;&gt;""),"[CONFLICT] Status / progress","On track")))))))))))</ns0:f>
      </ns0:c>
      <ns0:c r="P100" s="52"/>
      <ns0:c r="Q100" t="str">
        <ns0:f>IF(A100="","",IF(OR(M100="On Hold",M100="Delayed"),M100,IF(N100=1,"Completed",IF(N100&gt;0,"In Progress","Not Started"))))</ns0:f>
      </ns0:c>
      <ns0:c r="R100" t="str">
        <ns0:f>IF(A100="","",IF(COUNTIFS(Tasks[Task ID],A100)&lt;&gt;1,"Duplicate ID",""))</ns0:f>
      </ns0:c>
      <ns0:c r="S100" t="str">
        <ns0:f>IF(A100="","",IF(OR(NOT(ISNUMBER(E100)),NOT(ISNUMBER(F100))),"Invalid / missing date",IF(OR(E100&lt;&gt;INT(E100),F100&lt;&gt;INT(F100),E100&lt;1,F100&gt;2958465),"Invalid date",IF(F100&lt;E100,"End before start",IF(AND(J100="Yes",E100&lt;&gt;F100),"Milestone needs one date","")))))</ns0:f>
      </ns0:c>
      <ns0:c r="T100" t="n">
        <ns0:f>IF(H100="",0,LEN(H100)-LEN(SUBSTITUTE(H100,",",""))+1)</ns0:f>
        <ns0:v>0</ns0:v>
      </ns0:c>
      <ns0:c r="U100" t="str">
        <ns0:f>TRIM(MID(SUBSTITUTE($H100,",",REPT(" ",100)),1,100))</ns0:f>
      </ns0:c>
      <ns0:c r="V100" t="str">
        <ns0:f>TRIM(MID(SUBSTITUTE($H100,",",REPT(" ",100)),101,100))</ns0:f>
      </ns0:c>
      <ns0:c r="W100" t="str">
        <ns0:f>TRIM(MID(SUBSTITUTE($H100,",",REPT(" ",100)),201,100))</ns0:f>
      </ns0:c>
      <ns0:c r="X100" t="str">
        <ns0:f>TRIM(MID(SUBSTITUTE($H100,",",REPT(" ",100)),301,100))</ns0:f>
      </ns0:c>
      <ns0:c r="Y100" t="str">
        <ns0:f>TRIM(MID(SUBSTITUTE($H100,",",REPT(" ",100)),401,100))</ns0:f>
      </ns0:c>
      <ns0:c r="Z100" t="str">
        <ns0:f>TRIM(MID(SUBSTITUTE($H100,",",REPT(" ",100)),501,100))</ns0:f>
      </ns0:c>
      <ns0:c r="AA100" t="str">
        <ns0:f>TRIM(MID(SUBSTITUTE($H100,",",REPT(" ",100)),601,100))</ns0:f>
      </ns0:c>
      <ns0:c r="AB100" t="str">
        <ns0:f>TRIM(MID(SUBSTITUTE($H100,",",REPT(" ",100)),701,100))</ns0:f>
      </ns0:c>
      <ns0:c r="AC100" t="n">
        <ns0:f>IF(U100="",0,IF(COUNTIFS(Tasks[Task ID],U100)=1,MATCH(U100,Tasks[Task ID],0),-1))</ns0:f>
        <ns0:v>0</ns0:v>
      </ns0:c>
      <ns0:c r="AD100" t="n">
        <ns0:f>IF(V100="",0,IF(COUNTIFS(Tasks[Task ID],V100)=1,MATCH(V100,Tasks[Task ID],0),-1))</ns0:f>
        <ns0:v>0</ns0:v>
      </ns0:c>
      <ns0:c r="AE100" t="n">
        <ns0:f>IF(W100="",0,IF(COUNTIFS(Tasks[Task ID],W100)=1,MATCH(W100,Tasks[Task ID],0),-1))</ns0:f>
        <ns0:v>0</ns0:v>
      </ns0:c>
      <ns0:c r="AF100" t="n">
        <ns0:f>IF(X100="",0,IF(COUNTIFS(Tasks[Task ID],X100)=1,MATCH(X100,Tasks[Task ID],0),-1))</ns0:f>
        <ns0:v>0</ns0:v>
      </ns0:c>
      <ns0:c r="AG100" t="n">
        <ns0:f>IF(Y100="",0,IF(COUNTIFS(Tasks[Task ID],Y100)=1,MATCH(Y100,Tasks[Task ID],0),-1))</ns0:f>
        <ns0:v>0</ns0:v>
      </ns0:c>
      <ns0:c r="AH100" t="n">
        <ns0:f>IF(Z100="",0,IF(COUNTIFS(Tasks[Task ID],Z100)=1,MATCH(Z100,Tasks[Task ID],0),-1))</ns0:f>
        <ns0:v>0</ns0:v>
      </ns0:c>
      <ns0:c r="AI100" t="n">
        <ns0:f>IF(AA100="",0,IF(COUNTIFS(Tasks[Task ID],AA100)=1,MATCH(AA100,Tasks[Task ID],0),-1))</ns0:f>
        <ns0:v>0</ns0:v>
      </ns0:c>
      <ns0:c r="AJ100" t="n">
        <ns0:f>IF(AB100="",0,IF(COUNTIFS(Tasks[Task ID],AB100)=1,MATCH(AB100,Tasks[Task ID],0),-1))</ns0:f>
        <ns0:v>0</ns0:v>
      </ns0:c>
      <ns0:c r="AK100" t="n">
        <ns0:f>COUNTIFS(AC100:AJ100,-1)+IF(T100&gt;8,1,0)</ns0:f>
        <ns0:v>0</ns0:v>
      </ns0:c>
      <ns0:c r="AL100" t="n">
        <ns0:f>IF(OR(A100="",S100&lt;&gt;""),0,SUM(IF(AC100&gt;0,IF($I100="FS",--($E100&lt;INDEX(Tasks[End Date],AC100)+IF(INDEX(Tasks[Milestone],AC100)="Yes",0,1)),IF($I100="SS",--($E100&lt;INDEX(Tasks[Start Date],AC100)),IF($I100="FF",--($F100&lt;INDEX(Tasks[End Date],AC100)),IF($I100="SF",--($F100&lt;INDEX(Tasks[Start Date],AC100)),0)))),0),IF(AD100&gt;0,IF($I100="FS",--($E100&lt;INDEX(Tasks[End Date],AD100)+IF(INDEX(Tasks[Milestone],AD100)="Yes",0,1)),IF($I100="SS",--($E100&lt;INDEX(Tasks[Start Date],AD100)),IF($I100="FF",--($F100&lt;INDEX(Tasks[End Date],AD100)),IF($I100="SF",--($F100&lt;INDEX(Tasks[Start Date],AD100)),0)))),0),IF(AE100&gt;0,IF($I100="FS",--($E100&lt;INDEX(Tasks[End Date],AE100)+IF(INDEX(Tasks[Milestone],AE100)="Yes",0,1)),IF($I100="SS",--($E100&lt;INDEX(Tasks[Start Date],AE100)),IF($I100="FF",--($F100&lt;INDEX(Tasks[End Date],AE100)),IF($I100="SF",--($F100&lt;INDEX(Tasks[Start Date],AE100)),0)))),0),IF(AF100&gt;0,IF($I100="FS",--($E100&lt;INDEX(Tasks[End Date],AF100)+IF(INDEX(Tasks[Milestone],AF100)="Yes",0,1)),IF($I100="SS",--($E100&lt;INDEX(Tasks[Start Date],AF100)),IF($I100="FF",--($F100&lt;INDEX(Tasks[End Date],AF100)),IF($I100="SF",--($F100&lt;INDEX(Tasks[Start Date],AF100)),0)))),0),IF(AG100&gt;0,IF($I100="FS",--($E100&lt;INDEX(Tasks[End Date],AG100)+IF(INDEX(Tasks[Milestone],AG100)="Yes",0,1)),IF($I100="SS",--($E100&lt;INDEX(Tasks[Start Date],AG100)),IF($I100="FF",--($F100&lt;INDEX(Tasks[End Date],AG100)),IF($I100="SF",--($F100&lt;INDEX(Tasks[Start Date],AG100)),0)))),0),IF(AH100&gt;0,IF($I100="FS",--($E100&lt;INDEX(Tasks[End Date],AH100)+IF(INDEX(Tasks[Milestone],AH100)="Yes",0,1)),IF($I100="SS",--($E100&lt;INDEX(Tasks[Start Date],AH100)),IF($I100="FF",--($F100&lt;INDEX(Tasks[End Date],AH100)),IF($I100="SF",--($F100&lt;INDEX(Tasks[Start Date],AH100)),0)))),0),IF(AI100&gt;0,IF($I100="FS",--($E100&lt;INDEX(Tasks[End Date],AI100)+IF(INDEX(Tasks[Milestone],AI100)="Yes",0,1)),IF($I100="SS",--($E100&lt;INDEX(Tasks[Start Date],AI100)),IF($I100="FF",--($F100&lt;INDEX(Tasks[End Date],AI100)),IF($I100="SF",--($F100&lt;INDEX(Tasks[Start Date],AI100)),0)))),0),IF(AJ100&gt;0,IF($I100="FS",--($E100&lt;INDEX(Tasks[End Date],AJ100)+IF(INDEX(Tasks[Milestone],AJ100)="Yes",0,1)),IF($I100="SS",--($E100&lt;INDEX(Tasks[Start Date],AJ100)),IF($I100="FF",--($F100&lt;INDEX(Tasks[End Date],AJ100)),IF($I100="SF",--($F100&lt;INDEX(Tasks[Start Date],AJ100)),0)))),0)))</ns0:f>
        <ns0:v>0</ns0:v>
      </ns0:c>
      <ns0:c r="AM100" t="n">
        <ns0:f>IF(AND(A100&lt;&gt;"",AK100=0,EP100=0),1,0)</ns0:f>
        <ns0:v>0</ns0:v>
      </ns0:c>
      <ns0:c r="AN100" t="str">
        <ns0:f>IF(OR(A100="",B100=""),"",IF(COUNTIFS($B$7:B100,B100)=1,MAX($AN$6:AN99)+1,""))</ns0:f>
      </ns0:c>
      <ns0:c r="AO100" t="n">
        <ns0:f>IF(AND(A100&lt;&gt;"",J100="No",N100&lt;1,E100&gt;=AsOfDate),E100+ROW()/10000,1E+9)</ns0:f>
        <ns0:v>1000000000</ns0:v>
      </ns0:c>
      <ns0:c r="AP100" t="n">
        <ns0:f>IF(AND(A100&lt;&gt;"",J100="Yes",N100&lt;1,E100&gt;=AsOfDate),E100+ROW()/10000,1E+9)</ns0:f>
        <ns0:v>1000000000</ns0:v>
      </ns0:c>
      <ns0:c r="AQ100" t="n">
        <ns0:f>IF(AND(A100&lt;&gt;"",J100="No",N100&lt;1,F100&gt;=AsOfDate,F100&lt;=AsOfDate+7),F100+ROW()/10000,1E+9)</ns0:f>
        <ns0:v>1000000000</ns0:v>
      </ns0:c>
      <ns0:c r="AR100" t="n">
        <ns0:f>IF(AND(A100&lt;&gt;"",OR(O100&lt;&gt;"On track",Q100="Delayed")),ROW(),1E+9)</ns0:f>
        <ns0:v>1000000000</ns0:v>
      </ns0:c>
      <ns0:c r="AS100" t="str">
        <ns0:f>IF(A100="","",";"&amp;K100&amp;";")</ns0:f>
      </ns0:c>
      <ns0:c r="AT100" t="n">
        <ns0:f>IF(A100="",1,--(T100=0))</ns0:f>
        <ns0:v>1</ns0:v>
      </ns0:c>
      <ns0:c r="AU100" t="n">
        <ns0:f>IF($A100="",1,IF(AT100=1,1,--AND(IF($AC100&gt;0,INDEX(AT$7:AT$106,$AC100),1),IF($AD100&gt;0,INDEX(AT$7:AT$106,$AD100),1),IF($AE100&gt;0,INDEX(AT$7:AT$106,$AE100),1),IF($AF100&gt;0,INDEX(AT$7:AT$106,$AF100),1),IF($AG100&gt;0,INDEX(AT$7:AT$106,$AG100),1),IF($AH100&gt;0,INDEX(AT$7:AT$106,$AH100),1),IF($AI100&gt;0,INDEX(AT$7:AT$106,$AI100),1),IF($AJ100&gt;0,INDEX(AT$7:AT$106,$AJ100),1))))</ns0:f>
        <ns0:v>1</ns0:v>
      </ns0:c>
      <ns0:c r="AV100" t="n">
        <ns0:f>IF($A100="",1,IF(AU100=1,1,--AND(IF($AC100&gt;0,INDEX(AU$7:AU$106,$AC100),1),IF($AD100&gt;0,INDEX(AU$7:AU$106,$AD100),1),IF($AE100&gt;0,INDEX(AU$7:AU$106,$AE100),1),IF($AF100&gt;0,INDEX(AU$7:AU$106,$AF100),1),IF($AG100&gt;0,INDEX(AU$7:AU$106,$AG100),1),IF($AH100&gt;0,INDEX(AU$7:AU$106,$AH100),1),IF($AI100&gt;0,INDEX(AU$7:AU$106,$AI100),1),IF($AJ100&gt;0,INDEX(AU$7:AU$106,$AJ100),1))))</ns0:f>
        <ns0:v>1</ns0:v>
      </ns0:c>
      <ns0:c r="AW100" t="n">
        <ns0:f>IF($A100="",1,IF(AV100=1,1,--AND(IF($AC100&gt;0,INDEX(AV$7:AV$106,$AC100),1),IF($AD100&gt;0,INDEX(AV$7:AV$106,$AD100),1),IF($AE100&gt;0,INDEX(AV$7:AV$106,$AE100),1),IF($AF100&gt;0,INDEX(AV$7:AV$106,$AF100),1),IF($AG100&gt;0,INDEX(AV$7:AV$106,$AG100),1),IF($AH100&gt;0,INDEX(AV$7:AV$106,$AH100),1),IF($AI100&gt;0,INDEX(AV$7:AV$106,$AI100),1),IF($AJ100&gt;0,INDEX(AV$7:AV$106,$AJ100),1))))</ns0:f>
        <ns0:v>1</ns0:v>
      </ns0:c>
      <ns0:c r="AX100" t="n">
        <ns0:f>IF($A100="",1,IF(AW100=1,1,--AND(IF($AC100&gt;0,INDEX(AW$7:AW$106,$AC100),1),IF($AD100&gt;0,INDEX(AW$7:AW$106,$AD100),1),IF($AE100&gt;0,INDEX(AW$7:AW$106,$AE100),1),IF($AF100&gt;0,INDEX(AW$7:AW$106,$AF100),1),IF($AG100&gt;0,INDEX(AW$7:AW$106,$AG100),1),IF($AH100&gt;0,INDEX(AW$7:AW$106,$AH100),1),IF($AI100&gt;0,INDEX(AW$7:AW$106,$AI100),1),IF($AJ100&gt;0,INDEX(AW$7:AW$106,$AJ100),1))))</ns0:f>
        <ns0:v>1</ns0:v>
      </ns0:c>
      <ns0:c r="AY100" t="n">
        <ns0:f>IF($A100="",1,IF(AX100=1,1,--AND(IF($AC100&gt;0,INDEX(AX$7:AX$106,$AC100),1),IF($AD100&gt;0,INDEX(AX$7:AX$106,$AD100),1),IF($AE100&gt;0,INDEX(AX$7:AX$106,$AE100),1),IF($AF100&gt;0,INDEX(AX$7:AX$106,$AF100),1),IF($AG100&gt;0,INDEX(AX$7:AX$106,$AG100),1),IF($AH100&gt;0,INDEX(AX$7:AX$106,$AH100),1),IF($AI100&gt;0,INDEX(AX$7:AX$106,$AI100),1),IF($AJ100&gt;0,INDEX(AX$7:AX$106,$AJ100),1))))</ns0:f>
        <ns0:v>1</ns0:v>
      </ns0:c>
      <ns0:c r="AZ100" t="n">
        <ns0:f>IF($A100="",1,IF(AY100=1,1,--AND(IF($AC100&gt;0,INDEX(AY$7:AY$106,$AC100),1),IF($AD100&gt;0,INDEX(AY$7:AY$106,$AD100),1),IF($AE100&gt;0,INDEX(AY$7:AY$106,$AE100),1),IF($AF100&gt;0,INDEX(AY$7:AY$106,$AF100),1),IF($AG100&gt;0,INDEX(AY$7:AY$106,$AG100),1),IF($AH100&gt;0,INDEX(AY$7:AY$106,$AH100),1),IF($AI100&gt;0,INDEX(AY$7:AY$106,$AI100),1),IF($AJ100&gt;0,INDEX(AY$7:AY$106,$AJ100),1))))</ns0:f>
        <ns0:v>1</ns0:v>
      </ns0:c>
      <ns0:c r="BA100" t="n">
        <ns0:f>IF($A100="",1,IF(AZ100=1,1,--AND(IF($AC100&gt;0,INDEX(AZ$7:AZ$106,$AC100),1),IF($AD100&gt;0,INDEX(AZ$7:AZ$106,$AD100),1),IF($AE100&gt;0,INDEX(AZ$7:AZ$106,$AE100),1),IF($AF100&gt;0,INDEX(AZ$7:AZ$106,$AF100),1),IF($AG100&gt;0,INDEX(AZ$7:AZ$106,$AG100),1),IF($AH100&gt;0,INDEX(AZ$7:AZ$106,$AH100),1),IF($AI100&gt;0,INDEX(AZ$7:AZ$106,$AI100),1),IF($AJ100&gt;0,INDEX(AZ$7:AZ$106,$AJ100),1))))</ns0:f>
        <ns0:v>1</ns0:v>
      </ns0:c>
      <ns0:c r="BB100" t="n">
        <ns0:f>IF($A100="",1,IF(BA100=1,1,--AND(IF($AC100&gt;0,INDEX(BA$7:BA$106,$AC100),1),IF($AD100&gt;0,INDEX(BA$7:BA$106,$AD100),1),IF($AE100&gt;0,INDEX(BA$7:BA$106,$AE100),1),IF($AF100&gt;0,INDEX(BA$7:BA$106,$AF100),1),IF($AG100&gt;0,INDEX(BA$7:BA$106,$AG100),1),IF($AH100&gt;0,INDEX(BA$7:BA$106,$AH100),1),IF($AI100&gt;0,INDEX(BA$7:BA$106,$AI100),1),IF($AJ100&gt;0,INDEX(BA$7:BA$106,$AJ100),1))))</ns0:f>
        <ns0:v>1</ns0:v>
      </ns0:c>
      <ns0:c r="BC100" t="n">
        <ns0:f>IF($A100="",1,IF(BB100=1,1,--AND(IF($AC100&gt;0,INDEX(BB$7:BB$106,$AC100),1),IF($AD100&gt;0,INDEX(BB$7:BB$106,$AD100),1),IF($AE100&gt;0,INDEX(BB$7:BB$106,$AE100),1),IF($AF100&gt;0,INDEX(BB$7:BB$106,$AF100),1),IF($AG100&gt;0,INDEX(BB$7:BB$106,$AG100),1),IF($AH100&gt;0,INDEX(BB$7:BB$106,$AH100),1),IF($AI100&gt;0,INDEX(BB$7:BB$106,$AI100),1),IF($AJ100&gt;0,INDEX(BB$7:BB$106,$AJ100),1))))</ns0:f>
        <ns0:v>1</ns0:v>
      </ns0:c>
      <ns0:c r="BD100" t="n">
        <ns0:f>IF($A100="",1,IF(BC100=1,1,--AND(IF($AC100&gt;0,INDEX(BC$7:BC$106,$AC100),1),IF($AD100&gt;0,INDEX(BC$7:BC$106,$AD100),1),IF($AE100&gt;0,INDEX(BC$7:BC$106,$AE100),1),IF($AF100&gt;0,INDEX(BC$7:BC$106,$AF100),1),IF($AG100&gt;0,INDEX(BC$7:BC$106,$AG100),1),IF($AH100&gt;0,INDEX(BC$7:BC$106,$AH100),1),IF($AI100&gt;0,INDEX(BC$7:BC$106,$AI100),1),IF($AJ100&gt;0,INDEX(BC$7:BC$106,$AJ100),1))))</ns0:f>
        <ns0:v>1</ns0:v>
      </ns0:c>
      <ns0:c r="BE100" t="n">
        <ns0:f>IF($A100="",1,IF(BD100=1,1,--AND(IF($AC100&gt;0,INDEX(BD$7:BD$106,$AC100),1),IF($AD100&gt;0,INDEX(BD$7:BD$106,$AD100),1),IF($AE100&gt;0,INDEX(BD$7:BD$106,$AE100),1),IF($AF100&gt;0,INDEX(BD$7:BD$106,$AF100),1),IF($AG100&gt;0,INDEX(BD$7:BD$106,$AG100),1),IF($AH100&gt;0,INDEX(BD$7:BD$106,$AH100),1),IF($AI100&gt;0,INDEX(BD$7:BD$106,$AI100),1),IF($AJ100&gt;0,INDEX(BD$7:BD$106,$AJ100),1))))</ns0:f>
        <ns0:v>1</ns0:v>
      </ns0:c>
      <ns0:c r="BF100" t="n">
        <ns0:f>IF($A100="",1,IF(BE100=1,1,--AND(IF($AC100&gt;0,INDEX(BE$7:BE$106,$AC100),1),IF($AD100&gt;0,INDEX(BE$7:BE$106,$AD100),1),IF($AE100&gt;0,INDEX(BE$7:BE$106,$AE100),1),IF($AF100&gt;0,INDEX(BE$7:BE$106,$AF100),1),IF($AG100&gt;0,INDEX(BE$7:BE$106,$AG100),1),IF($AH100&gt;0,INDEX(BE$7:BE$106,$AH100),1),IF($AI100&gt;0,INDEX(BE$7:BE$106,$AI100),1),IF($AJ100&gt;0,INDEX(BE$7:BE$106,$AJ100),1))))</ns0:f>
        <ns0:v>1</ns0:v>
      </ns0:c>
      <ns0:c r="BG100" t="n">
        <ns0:f>IF($A100="",1,IF(BF100=1,1,--AND(IF($AC100&gt;0,INDEX(BF$7:BF$106,$AC100),1),IF($AD100&gt;0,INDEX(BF$7:BF$106,$AD100),1),IF($AE100&gt;0,INDEX(BF$7:BF$106,$AE100),1),IF($AF100&gt;0,INDEX(BF$7:BF$106,$AF100),1),IF($AG100&gt;0,INDEX(BF$7:BF$106,$AG100),1),IF($AH100&gt;0,INDEX(BF$7:BF$106,$AH100),1),IF($AI100&gt;0,INDEX(BF$7:BF$106,$AI100),1),IF($AJ100&gt;0,INDEX(BF$7:BF$106,$AJ100),1))))</ns0:f>
        <ns0:v>1</ns0:v>
      </ns0:c>
      <ns0:c r="BH100" t="n">
        <ns0:f>IF($A100="",1,IF(BG100=1,1,--AND(IF($AC100&gt;0,INDEX(BG$7:BG$106,$AC100),1),IF($AD100&gt;0,INDEX(BG$7:BG$106,$AD100),1),IF($AE100&gt;0,INDEX(BG$7:BG$106,$AE100),1),IF($AF100&gt;0,INDEX(BG$7:BG$106,$AF100),1),IF($AG100&gt;0,INDEX(BG$7:BG$106,$AG100),1),IF($AH100&gt;0,INDEX(BG$7:BG$106,$AH100),1),IF($AI100&gt;0,INDEX(BG$7:BG$106,$AI100),1),IF($AJ100&gt;0,INDEX(BG$7:BG$106,$AJ100),1))))</ns0:f>
        <ns0:v>1</ns0:v>
      </ns0:c>
      <ns0:c r="BI100" t="n">
        <ns0:f>IF($A100="",1,IF(BH100=1,1,--AND(IF($AC100&gt;0,INDEX(BH$7:BH$106,$AC100),1),IF($AD100&gt;0,INDEX(BH$7:BH$106,$AD100),1),IF($AE100&gt;0,INDEX(BH$7:BH$106,$AE100),1),IF($AF100&gt;0,INDEX(BH$7:BH$106,$AF100),1),IF($AG100&gt;0,INDEX(BH$7:BH$106,$AG100),1),IF($AH100&gt;0,INDEX(BH$7:BH$106,$AH100),1),IF($AI100&gt;0,INDEX(BH$7:BH$106,$AI100),1),IF($AJ100&gt;0,INDEX(BH$7:BH$106,$AJ100),1))))</ns0:f>
        <ns0:v>1</ns0:v>
      </ns0:c>
      <ns0:c r="BJ100" t="n">
        <ns0:f>IF($A100="",1,IF(BI100=1,1,--AND(IF($AC100&gt;0,INDEX(BI$7:BI$106,$AC100),1),IF($AD100&gt;0,INDEX(BI$7:BI$106,$AD100),1),IF($AE100&gt;0,INDEX(BI$7:BI$106,$AE100),1),IF($AF100&gt;0,INDEX(BI$7:BI$106,$AF100),1),IF($AG100&gt;0,INDEX(BI$7:BI$106,$AG100),1),IF($AH100&gt;0,INDEX(BI$7:BI$106,$AH100),1),IF($AI100&gt;0,INDEX(BI$7:BI$106,$AI100),1),IF($AJ100&gt;0,INDEX(BI$7:BI$106,$AJ100),1))))</ns0:f>
        <ns0:v>1</ns0:v>
      </ns0:c>
      <ns0:c r="BK100" t="n">
        <ns0:f>IF($A100="",1,IF(BJ100=1,1,--AND(IF($AC100&gt;0,INDEX(BJ$7:BJ$106,$AC100),1),IF($AD100&gt;0,INDEX(BJ$7:BJ$106,$AD100),1),IF($AE100&gt;0,INDEX(BJ$7:BJ$106,$AE100),1),IF($AF100&gt;0,INDEX(BJ$7:BJ$106,$AF100),1),IF($AG100&gt;0,INDEX(BJ$7:BJ$106,$AG100),1),IF($AH100&gt;0,INDEX(BJ$7:BJ$106,$AH100),1),IF($AI100&gt;0,INDEX(BJ$7:BJ$106,$AI100),1),IF($AJ100&gt;0,INDEX(BJ$7:BJ$106,$AJ100),1))))</ns0:f>
        <ns0:v>1</ns0:v>
      </ns0:c>
      <ns0:c r="BL100" t="n">
        <ns0:f>IF($A100="",1,IF(BK100=1,1,--AND(IF($AC100&gt;0,INDEX(BK$7:BK$106,$AC100),1),IF($AD100&gt;0,INDEX(BK$7:BK$106,$AD100),1),IF($AE100&gt;0,INDEX(BK$7:BK$106,$AE100),1),IF($AF100&gt;0,INDEX(BK$7:BK$106,$AF100),1),IF($AG100&gt;0,INDEX(BK$7:BK$106,$AG100),1),IF($AH100&gt;0,INDEX(BK$7:BK$106,$AH100),1),IF($AI100&gt;0,INDEX(BK$7:BK$106,$AI100),1),IF($AJ100&gt;0,INDEX(BK$7:BK$106,$AJ100),1))))</ns0:f>
        <ns0:v>1</ns0:v>
      </ns0:c>
      <ns0:c r="BM100" t="n">
        <ns0:f>IF($A100="",1,IF(BL100=1,1,--AND(IF($AC100&gt;0,INDEX(BL$7:BL$106,$AC100),1),IF($AD100&gt;0,INDEX(BL$7:BL$106,$AD100),1),IF($AE100&gt;0,INDEX(BL$7:BL$106,$AE100),1),IF($AF100&gt;0,INDEX(BL$7:BL$106,$AF100),1),IF($AG100&gt;0,INDEX(BL$7:BL$106,$AG100),1),IF($AH100&gt;0,INDEX(BL$7:BL$106,$AH100),1),IF($AI100&gt;0,INDEX(BL$7:BL$106,$AI100),1),IF($AJ100&gt;0,INDEX(BL$7:BL$106,$AJ100),1))))</ns0:f>
        <ns0:v>1</ns0:v>
      </ns0:c>
      <ns0:c r="BN100" t="n">
        <ns0:f>IF($A100="",1,IF(BM100=1,1,--AND(IF($AC100&gt;0,INDEX(BM$7:BM$106,$AC100),1),IF($AD100&gt;0,INDEX(BM$7:BM$106,$AD100),1),IF($AE100&gt;0,INDEX(BM$7:BM$106,$AE100),1),IF($AF100&gt;0,INDEX(BM$7:BM$106,$AF100),1),IF($AG100&gt;0,INDEX(BM$7:BM$106,$AG100),1),IF($AH100&gt;0,INDEX(BM$7:BM$106,$AH100),1),IF($AI100&gt;0,INDEX(BM$7:BM$106,$AI100),1),IF($AJ100&gt;0,INDEX(BM$7:BM$106,$AJ100),1))))</ns0:f>
        <ns0:v>1</ns0:v>
      </ns0:c>
      <ns0:c r="BO100" t="n">
        <ns0:f>IF($A100="",1,IF(BN100=1,1,--AND(IF($AC100&gt;0,INDEX(BN$7:BN$106,$AC100),1),IF($AD100&gt;0,INDEX(BN$7:BN$106,$AD100),1),IF($AE100&gt;0,INDEX(BN$7:BN$106,$AE100),1),IF($AF100&gt;0,INDEX(BN$7:BN$106,$AF100),1),IF($AG100&gt;0,INDEX(BN$7:BN$106,$AG100),1),IF($AH100&gt;0,INDEX(BN$7:BN$106,$AH100),1),IF($AI100&gt;0,INDEX(BN$7:BN$106,$AI100),1),IF($AJ100&gt;0,INDEX(BN$7:BN$106,$AJ100),1))))</ns0:f>
        <ns0:v>1</ns0:v>
      </ns0:c>
      <ns0:c r="BP100" t="n">
        <ns0:f>IF($A100="",1,IF(BO100=1,1,--AND(IF($AC100&gt;0,INDEX(BO$7:BO$106,$AC100),1),IF($AD100&gt;0,INDEX(BO$7:BO$106,$AD100),1),IF($AE100&gt;0,INDEX(BO$7:BO$106,$AE100),1),IF($AF100&gt;0,INDEX(BO$7:BO$106,$AF100),1),IF($AG100&gt;0,INDEX(BO$7:BO$106,$AG100),1),IF($AH100&gt;0,INDEX(BO$7:BO$106,$AH100),1),IF($AI100&gt;0,INDEX(BO$7:BO$106,$AI100),1),IF($AJ100&gt;0,INDEX(BO$7:BO$106,$AJ100),1))))</ns0:f>
        <ns0:v>1</ns0:v>
      </ns0:c>
      <ns0:c r="BQ100" t="n">
        <ns0:f>IF($A100="",1,IF(BP100=1,1,--AND(IF($AC100&gt;0,INDEX(BP$7:BP$106,$AC100),1),IF($AD100&gt;0,INDEX(BP$7:BP$106,$AD100),1),IF($AE100&gt;0,INDEX(BP$7:BP$106,$AE100),1),IF($AF100&gt;0,INDEX(BP$7:BP$106,$AF100),1),IF($AG100&gt;0,INDEX(BP$7:BP$106,$AG100),1),IF($AH100&gt;0,INDEX(BP$7:BP$106,$AH100),1),IF($AI100&gt;0,INDEX(BP$7:BP$106,$AI100),1),IF($AJ100&gt;0,INDEX(BP$7:BP$106,$AJ100),1))))</ns0:f>
        <ns0:v>1</ns0:v>
      </ns0:c>
      <ns0:c r="BR100" t="n">
        <ns0:f>IF($A100="",1,IF(BQ100=1,1,--AND(IF($AC100&gt;0,INDEX(BQ$7:BQ$106,$AC100),1),IF($AD100&gt;0,INDEX(BQ$7:BQ$106,$AD100),1),IF($AE100&gt;0,INDEX(BQ$7:BQ$106,$AE100),1),IF($AF100&gt;0,INDEX(BQ$7:BQ$106,$AF100),1),IF($AG100&gt;0,INDEX(BQ$7:BQ$106,$AG100),1),IF($AH100&gt;0,INDEX(BQ$7:BQ$106,$AH100),1),IF($AI100&gt;0,INDEX(BQ$7:BQ$106,$AI100),1),IF($AJ100&gt;0,INDEX(BQ$7:BQ$106,$AJ100),1))))</ns0:f>
        <ns0:v>1</ns0:v>
      </ns0:c>
      <ns0:c r="BS100" t="n">
        <ns0:f>IF($A100="",1,IF(BR100=1,1,--AND(IF($AC100&gt;0,INDEX(BR$7:BR$106,$AC100),1),IF($AD100&gt;0,INDEX(BR$7:BR$106,$AD100),1),IF($AE100&gt;0,INDEX(BR$7:BR$106,$AE100),1),IF($AF100&gt;0,INDEX(BR$7:BR$106,$AF100),1),IF($AG100&gt;0,INDEX(BR$7:BR$106,$AG100),1),IF($AH100&gt;0,INDEX(BR$7:BR$106,$AH100),1),IF($AI100&gt;0,INDEX(BR$7:BR$106,$AI100),1),IF($AJ100&gt;0,INDEX(BR$7:BR$106,$AJ100),1))))</ns0:f>
        <ns0:v>1</ns0:v>
      </ns0:c>
      <ns0:c r="BT100" t="n">
        <ns0:f>IF($A100="",1,IF(BS100=1,1,--AND(IF($AC100&gt;0,INDEX(BS$7:BS$106,$AC100),1),IF($AD100&gt;0,INDEX(BS$7:BS$106,$AD100),1),IF($AE100&gt;0,INDEX(BS$7:BS$106,$AE100),1),IF($AF100&gt;0,INDEX(BS$7:BS$106,$AF100),1),IF($AG100&gt;0,INDEX(BS$7:BS$106,$AG100),1),IF($AH100&gt;0,INDEX(BS$7:BS$106,$AH100),1),IF($AI100&gt;0,INDEX(BS$7:BS$106,$AI100),1),IF($AJ100&gt;0,INDEX(BS$7:BS$106,$AJ100),1))))</ns0:f>
        <ns0:v>1</ns0:v>
      </ns0:c>
      <ns0:c r="BU100" t="n">
        <ns0:f>IF($A100="",1,IF(BT100=1,1,--AND(IF($AC100&gt;0,INDEX(BT$7:BT$106,$AC100),1),IF($AD100&gt;0,INDEX(BT$7:BT$106,$AD100),1),IF($AE100&gt;0,INDEX(BT$7:BT$106,$AE100),1),IF($AF100&gt;0,INDEX(BT$7:BT$106,$AF100),1),IF($AG100&gt;0,INDEX(BT$7:BT$106,$AG100),1),IF($AH100&gt;0,INDEX(BT$7:BT$106,$AH100),1),IF($AI100&gt;0,INDEX(BT$7:BT$106,$AI100),1),IF($AJ100&gt;0,INDEX(BT$7:BT$106,$AJ100),1))))</ns0:f>
        <ns0:v>1</ns0:v>
      </ns0:c>
      <ns0:c r="BV100" t="n">
        <ns0:f>IF($A100="",1,IF(BU100=1,1,--AND(IF($AC100&gt;0,INDEX(BU$7:BU$106,$AC100),1),IF($AD100&gt;0,INDEX(BU$7:BU$106,$AD100),1),IF($AE100&gt;0,INDEX(BU$7:BU$106,$AE100),1),IF($AF100&gt;0,INDEX(BU$7:BU$106,$AF100),1),IF($AG100&gt;0,INDEX(BU$7:BU$106,$AG100),1),IF($AH100&gt;0,INDEX(BU$7:BU$106,$AH100),1),IF($AI100&gt;0,INDEX(BU$7:BU$106,$AI100),1),IF($AJ100&gt;0,INDEX(BU$7:BU$106,$AJ100),1))))</ns0:f>
        <ns0:v>1</ns0:v>
      </ns0:c>
      <ns0:c r="BW100" t="n">
        <ns0:f>IF($A100="",1,IF(BV100=1,1,--AND(IF($AC100&gt;0,INDEX(BV$7:BV$106,$AC100),1),IF($AD100&gt;0,INDEX(BV$7:BV$106,$AD100),1),IF($AE100&gt;0,INDEX(BV$7:BV$106,$AE100),1),IF($AF100&gt;0,INDEX(BV$7:BV$106,$AF100),1),IF($AG100&gt;0,INDEX(BV$7:BV$106,$AG100),1),IF($AH100&gt;0,INDEX(BV$7:BV$106,$AH100),1),IF($AI100&gt;0,INDEX(BV$7:BV$106,$AI100),1),IF($AJ100&gt;0,INDEX(BV$7:BV$106,$AJ100),1))))</ns0:f>
        <ns0:v>1</ns0:v>
      </ns0:c>
      <ns0:c r="BX100" t="n">
        <ns0:f>IF($A100="",1,IF(BW100=1,1,--AND(IF($AC100&gt;0,INDEX(BW$7:BW$106,$AC100),1),IF($AD100&gt;0,INDEX(BW$7:BW$106,$AD100),1),IF($AE100&gt;0,INDEX(BW$7:BW$106,$AE100),1),IF($AF100&gt;0,INDEX(BW$7:BW$106,$AF100),1),IF($AG100&gt;0,INDEX(BW$7:BW$106,$AG100),1),IF($AH100&gt;0,INDEX(BW$7:BW$106,$AH100),1),IF($AI100&gt;0,INDEX(BW$7:BW$106,$AI100),1),IF($AJ100&gt;0,INDEX(BW$7:BW$106,$AJ100),1))))</ns0:f>
        <ns0:v>1</ns0:v>
      </ns0:c>
      <ns0:c r="BY100" t="n">
        <ns0:f>IF($A100="",1,IF(BX100=1,1,--AND(IF($AC100&gt;0,INDEX(BX$7:BX$106,$AC100),1),IF($AD100&gt;0,INDEX(BX$7:BX$106,$AD100),1),IF($AE100&gt;0,INDEX(BX$7:BX$106,$AE100),1),IF($AF100&gt;0,INDEX(BX$7:BX$106,$AF100),1),IF($AG100&gt;0,INDEX(BX$7:BX$106,$AG100),1),IF($AH100&gt;0,INDEX(BX$7:BX$106,$AH100),1),IF($AI100&gt;0,INDEX(BX$7:BX$106,$AI100),1),IF($AJ100&gt;0,INDEX(BX$7:BX$106,$AJ100),1))))</ns0:f>
        <ns0:v>1</ns0:v>
      </ns0:c>
      <ns0:c r="BZ100" t="n">
        <ns0:f>IF($A100="",1,IF(BY100=1,1,--AND(IF($AC100&gt;0,INDEX(BY$7:BY$106,$AC100),1),IF($AD100&gt;0,INDEX(BY$7:BY$106,$AD100),1),IF($AE100&gt;0,INDEX(BY$7:BY$106,$AE100),1),IF($AF100&gt;0,INDEX(BY$7:BY$106,$AF100),1),IF($AG100&gt;0,INDEX(BY$7:BY$106,$AG100),1),IF($AH100&gt;0,INDEX(BY$7:BY$106,$AH100),1),IF($AI100&gt;0,INDEX(BY$7:BY$106,$AI100),1),IF($AJ100&gt;0,INDEX(BY$7:BY$106,$AJ100),1))))</ns0:f>
        <ns0:v>1</ns0:v>
      </ns0:c>
      <ns0:c r="CA100" t="n">
        <ns0:f>IF($A100="",1,IF(BZ100=1,1,--AND(IF($AC100&gt;0,INDEX(BZ$7:BZ$106,$AC100),1),IF($AD100&gt;0,INDEX(BZ$7:BZ$106,$AD100),1),IF($AE100&gt;0,INDEX(BZ$7:BZ$106,$AE100),1),IF($AF100&gt;0,INDEX(BZ$7:BZ$106,$AF100),1),IF($AG100&gt;0,INDEX(BZ$7:BZ$106,$AG100),1),IF($AH100&gt;0,INDEX(BZ$7:BZ$106,$AH100),1),IF($AI100&gt;0,INDEX(BZ$7:BZ$106,$AI100),1),IF($AJ100&gt;0,INDEX(BZ$7:BZ$106,$AJ100),1))))</ns0:f>
        <ns0:v>1</ns0:v>
      </ns0:c>
      <ns0:c r="CB100" t="n">
        <ns0:f>IF($A100="",1,IF(CA100=1,1,--AND(IF($AC100&gt;0,INDEX(CA$7:CA$106,$AC100),1),IF($AD100&gt;0,INDEX(CA$7:CA$106,$AD100),1),IF($AE100&gt;0,INDEX(CA$7:CA$106,$AE100),1),IF($AF100&gt;0,INDEX(CA$7:CA$106,$AF100),1),IF($AG100&gt;0,INDEX(CA$7:CA$106,$AG100),1),IF($AH100&gt;0,INDEX(CA$7:CA$106,$AH100),1),IF($AI100&gt;0,INDEX(CA$7:CA$106,$AI100),1),IF($AJ100&gt;0,INDEX(CA$7:CA$106,$AJ100),1))))</ns0:f>
        <ns0:v>1</ns0:v>
      </ns0:c>
      <ns0:c r="CC100" t="n">
        <ns0:f>IF($A100="",1,IF(CB100=1,1,--AND(IF($AC100&gt;0,INDEX(CB$7:CB$106,$AC100),1),IF($AD100&gt;0,INDEX(CB$7:CB$106,$AD100),1),IF($AE100&gt;0,INDEX(CB$7:CB$106,$AE100),1),IF($AF100&gt;0,INDEX(CB$7:CB$106,$AF100),1),IF($AG100&gt;0,INDEX(CB$7:CB$106,$AG100),1),IF($AH100&gt;0,INDEX(CB$7:CB$106,$AH100),1),IF($AI100&gt;0,INDEX(CB$7:CB$106,$AI100),1),IF($AJ100&gt;0,INDEX(CB$7:CB$106,$AJ100),1))))</ns0:f>
        <ns0:v>1</ns0:v>
      </ns0:c>
      <ns0:c r="CD100" t="n">
        <ns0:f>IF($A100="",1,IF(CC100=1,1,--AND(IF($AC100&gt;0,INDEX(CC$7:CC$106,$AC100),1),IF($AD100&gt;0,INDEX(CC$7:CC$106,$AD100),1),IF($AE100&gt;0,INDEX(CC$7:CC$106,$AE100),1),IF($AF100&gt;0,INDEX(CC$7:CC$106,$AF100),1),IF($AG100&gt;0,INDEX(CC$7:CC$106,$AG100),1),IF($AH100&gt;0,INDEX(CC$7:CC$106,$AH100),1),IF($AI100&gt;0,INDEX(CC$7:CC$106,$AI100),1),IF($AJ100&gt;0,INDEX(CC$7:CC$106,$AJ100),1))))</ns0:f>
        <ns0:v>1</ns0:v>
      </ns0:c>
      <ns0:c r="CE100" t="n">
        <ns0:f>IF($A100="",1,IF(CD100=1,1,--AND(IF($AC100&gt;0,INDEX(CD$7:CD$106,$AC100),1),IF($AD100&gt;0,INDEX(CD$7:CD$106,$AD100),1),IF($AE100&gt;0,INDEX(CD$7:CD$106,$AE100),1),IF($AF100&gt;0,INDEX(CD$7:CD$106,$AF100),1),IF($AG100&gt;0,INDEX(CD$7:CD$106,$AG100),1),IF($AH100&gt;0,INDEX(CD$7:CD$106,$AH100),1),IF($AI100&gt;0,INDEX(CD$7:CD$106,$AI100),1),IF($AJ100&gt;0,INDEX(CD$7:CD$106,$AJ100),1))))</ns0:f>
        <ns0:v>1</ns0:v>
      </ns0:c>
      <ns0:c r="CF100" t="n">
        <ns0:f>IF($A100="",1,IF(CE100=1,1,--AND(IF($AC100&gt;0,INDEX(CE$7:CE$106,$AC100),1),IF($AD100&gt;0,INDEX(CE$7:CE$106,$AD100),1),IF($AE100&gt;0,INDEX(CE$7:CE$106,$AE100),1),IF($AF100&gt;0,INDEX(CE$7:CE$106,$AF100),1),IF($AG100&gt;0,INDEX(CE$7:CE$106,$AG100),1),IF($AH100&gt;0,INDEX(CE$7:CE$106,$AH100),1),IF($AI100&gt;0,INDEX(CE$7:CE$106,$AI100),1),IF($AJ100&gt;0,INDEX(CE$7:CE$106,$AJ100),1))))</ns0:f>
        <ns0:v>1</ns0:v>
      </ns0:c>
      <ns0:c r="CG100" t="n">
        <ns0:f>IF($A100="",1,IF(CF100=1,1,--AND(IF($AC100&gt;0,INDEX(CF$7:CF$106,$AC100),1),IF($AD100&gt;0,INDEX(CF$7:CF$106,$AD100),1),IF($AE100&gt;0,INDEX(CF$7:CF$106,$AE100),1),IF($AF100&gt;0,INDEX(CF$7:CF$106,$AF100),1),IF($AG100&gt;0,INDEX(CF$7:CF$106,$AG100),1),IF($AH100&gt;0,INDEX(CF$7:CF$106,$AH100),1),IF($AI100&gt;0,INDEX(CF$7:CF$106,$AI100),1),IF($AJ100&gt;0,INDEX(CF$7:CF$106,$AJ100),1))))</ns0:f>
        <ns0:v>1</ns0:v>
      </ns0:c>
      <ns0:c r="CH100" t="n">
        <ns0:f>IF($A100="",1,IF(CG100=1,1,--AND(IF($AC100&gt;0,INDEX(CG$7:CG$106,$AC100),1),IF($AD100&gt;0,INDEX(CG$7:CG$106,$AD100),1),IF($AE100&gt;0,INDEX(CG$7:CG$106,$AE100),1),IF($AF100&gt;0,INDEX(CG$7:CG$106,$AF100),1),IF($AG100&gt;0,INDEX(CG$7:CG$106,$AG100),1),IF($AH100&gt;0,INDEX(CG$7:CG$106,$AH100),1),IF($AI100&gt;0,INDEX(CG$7:CG$106,$AI100),1),IF($AJ100&gt;0,INDEX(CG$7:CG$106,$AJ100),1))))</ns0:f>
        <ns0:v>1</ns0:v>
      </ns0:c>
      <ns0:c r="CI100" t="n">
        <ns0:f>IF($A100="",1,IF(CH100=1,1,--AND(IF($AC100&gt;0,INDEX(CH$7:CH$106,$AC100),1),IF($AD100&gt;0,INDEX(CH$7:CH$106,$AD100),1),IF($AE100&gt;0,INDEX(CH$7:CH$106,$AE100),1),IF($AF100&gt;0,INDEX(CH$7:CH$106,$AF100),1),IF($AG100&gt;0,INDEX(CH$7:CH$106,$AG100),1),IF($AH100&gt;0,INDEX(CH$7:CH$106,$AH100),1),IF($AI100&gt;0,INDEX(CH$7:CH$106,$AI100),1),IF($AJ100&gt;0,INDEX(CH$7:CH$106,$AJ100),1))))</ns0:f>
        <ns0:v>1</ns0:v>
      </ns0:c>
      <ns0:c r="CJ100" t="n">
        <ns0:f>IF($A100="",1,IF(CI100=1,1,--AND(IF($AC100&gt;0,INDEX(CI$7:CI$106,$AC100),1),IF($AD100&gt;0,INDEX(CI$7:CI$106,$AD100),1),IF($AE100&gt;0,INDEX(CI$7:CI$106,$AE100),1),IF($AF100&gt;0,INDEX(CI$7:CI$106,$AF100),1),IF($AG100&gt;0,INDEX(CI$7:CI$106,$AG100),1),IF($AH100&gt;0,INDEX(CI$7:CI$106,$AH100),1),IF($AI100&gt;0,INDEX(CI$7:CI$106,$AI100),1),IF($AJ100&gt;0,INDEX(CI$7:CI$106,$AJ100),1))))</ns0:f>
        <ns0:v>1</ns0:v>
      </ns0:c>
      <ns0:c r="CK100" t="n">
        <ns0:f>IF($A100="",1,IF(CJ100=1,1,--AND(IF($AC100&gt;0,INDEX(CJ$7:CJ$106,$AC100),1),IF($AD100&gt;0,INDEX(CJ$7:CJ$106,$AD100),1),IF($AE100&gt;0,INDEX(CJ$7:CJ$106,$AE100),1),IF($AF100&gt;0,INDEX(CJ$7:CJ$106,$AF100),1),IF($AG100&gt;0,INDEX(CJ$7:CJ$106,$AG100),1),IF($AH100&gt;0,INDEX(CJ$7:CJ$106,$AH100),1),IF($AI100&gt;0,INDEX(CJ$7:CJ$106,$AI100),1),IF($AJ100&gt;0,INDEX(CJ$7:CJ$106,$AJ100),1))))</ns0:f>
        <ns0:v>1</ns0:v>
      </ns0:c>
      <ns0:c r="CL100" t="n">
        <ns0:f>IF($A100="",1,IF(CK100=1,1,--AND(IF($AC100&gt;0,INDEX(CK$7:CK$106,$AC100),1),IF($AD100&gt;0,INDEX(CK$7:CK$106,$AD100),1),IF($AE100&gt;0,INDEX(CK$7:CK$106,$AE100),1),IF($AF100&gt;0,INDEX(CK$7:CK$106,$AF100),1),IF($AG100&gt;0,INDEX(CK$7:CK$106,$AG100),1),IF($AH100&gt;0,INDEX(CK$7:CK$106,$AH100),1),IF($AI100&gt;0,INDEX(CK$7:CK$106,$AI100),1),IF($AJ100&gt;0,INDEX(CK$7:CK$106,$AJ100),1))))</ns0:f>
        <ns0:v>1</ns0:v>
      </ns0:c>
      <ns0:c r="CM100" t="n">
        <ns0:f>IF($A100="",1,IF(CL100=1,1,--AND(IF($AC100&gt;0,INDEX(CL$7:CL$106,$AC100),1),IF($AD100&gt;0,INDEX(CL$7:CL$106,$AD100),1),IF($AE100&gt;0,INDEX(CL$7:CL$106,$AE100),1),IF($AF100&gt;0,INDEX(CL$7:CL$106,$AF100),1),IF($AG100&gt;0,INDEX(CL$7:CL$106,$AG100),1),IF($AH100&gt;0,INDEX(CL$7:CL$106,$AH100),1),IF($AI100&gt;0,INDEX(CL$7:CL$106,$AI100),1),IF($AJ100&gt;0,INDEX(CL$7:CL$106,$AJ100),1))))</ns0:f>
        <ns0:v>1</ns0:v>
      </ns0:c>
      <ns0:c r="CN100" t="n">
        <ns0:f>IF($A100="",1,IF(CM100=1,1,--AND(IF($AC100&gt;0,INDEX(CM$7:CM$106,$AC100),1),IF($AD100&gt;0,INDEX(CM$7:CM$106,$AD100),1),IF($AE100&gt;0,INDEX(CM$7:CM$106,$AE100),1),IF($AF100&gt;0,INDEX(CM$7:CM$106,$AF100),1),IF($AG100&gt;0,INDEX(CM$7:CM$106,$AG100),1),IF($AH100&gt;0,INDEX(CM$7:CM$106,$AH100),1),IF($AI100&gt;0,INDEX(CM$7:CM$106,$AI100),1),IF($AJ100&gt;0,INDEX(CM$7:CM$106,$AJ100),1))))</ns0:f>
        <ns0:v>1</ns0:v>
      </ns0:c>
      <ns0:c r="CO100" t="n">
        <ns0:f>IF($A100="",1,IF(CN100=1,1,--AND(IF($AC100&gt;0,INDEX(CN$7:CN$106,$AC100),1),IF($AD100&gt;0,INDEX(CN$7:CN$106,$AD100),1),IF($AE100&gt;0,INDEX(CN$7:CN$106,$AE100),1),IF($AF100&gt;0,INDEX(CN$7:CN$106,$AF100),1),IF($AG100&gt;0,INDEX(CN$7:CN$106,$AG100),1),IF($AH100&gt;0,INDEX(CN$7:CN$106,$AH100),1),IF($AI100&gt;0,INDEX(CN$7:CN$106,$AI100),1),IF($AJ100&gt;0,INDEX(CN$7:CN$106,$AJ100),1))))</ns0:f>
        <ns0:v>1</ns0:v>
      </ns0:c>
      <ns0:c r="CP100" t="n">
        <ns0:f>IF($A100="",1,IF(CO100=1,1,--AND(IF($AC100&gt;0,INDEX(CO$7:CO$106,$AC100),1),IF($AD100&gt;0,INDEX(CO$7:CO$106,$AD100),1),IF($AE100&gt;0,INDEX(CO$7:CO$106,$AE100),1),IF($AF100&gt;0,INDEX(CO$7:CO$106,$AF100),1),IF($AG100&gt;0,INDEX(CO$7:CO$106,$AG100),1),IF($AH100&gt;0,INDEX(CO$7:CO$106,$AH100),1),IF($AI100&gt;0,INDEX(CO$7:CO$106,$AI100),1),IF($AJ100&gt;0,INDEX(CO$7:CO$106,$AJ100),1))))</ns0:f>
        <ns0:v>1</ns0:v>
      </ns0:c>
      <ns0:c r="CQ100" t="n">
        <ns0:f>IF($A100="",1,IF(CP100=1,1,--AND(IF($AC100&gt;0,INDEX(CP$7:CP$106,$AC100),1),IF($AD100&gt;0,INDEX(CP$7:CP$106,$AD100),1),IF($AE100&gt;0,INDEX(CP$7:CP$106,$AE100),1),IF($AF100&gt;0,INDEX(CP$7:CP$106,$AF100),1),IF($AG100&gt;0,INDEX(CP$7:CP$106,$AG100),1),IF($AH100&gt;0,INDEX(CP$7:CP$106,$AH100),1),IF($AI100&gt;0,INDEX(CP$7:CP$106,$AI100),1),IF($AJ100&gt;0,INDEX(CP$7:CP$106,$AJ100),1))))</ns0:f>
        <ns0:v>1</ns0:v>
      </ns0:c>
      <ns0:c r="CR100" t="n">
        <ns0:f>IF($A100="",1,IF(CQ100=1,1,--AND(IF($AC100&gt;0,INDEX(CQ$7:CQ$106,$AC100),1),IF($AD100&gt;0,INDEX(CQ$7:CQ$106,$AD100),1),IF($AE100&gt;0,INDEX(CQ$7:CQ$106,$AE100),1),IF($AF100&gt;0,INDEX(CQ$7:CQ$106,$AF100),1),IF($AG100&gt;0,INDEX(CQ$7:CQ$106,$AG100),1),IF($AH100&gt;0,INDEX(CQ$7:CQ$106,$AH100),1),IF($AI100&gt;0,INDEX(CQ$7:CQ$106,$AI100),1),IF($AJ100&gt;0,INDEX(CQ$7:CQ$106,$AJ100),1))))</ns0:f>
        <ns0:v>1</ns0:v>
      </ns0:c>
      <ns0:c r="CS100" t="n">
        <ns0:f>IF($A100="",1,IF(CR100=1,1,--AND(IF($AC100&gt;0,INDEX(CR$7:CR$106,$AC100),1),IF($AD100&gt;0,INDEX(CR$7:CR$106,$AD100),1),IF($AE100&gt;0,INDEX(CR$7:CR$106,$AE100),1),IF($AF100&gt;0,INDEX(CR$7:CR$106,$AF100),1),IF($AG100&gt;0,INDEX(CR$7:CR$106,$AG100),1),IF($AH100&gt;0,INDEX(CR$7:CR$106,$AH100),1),IF($AI100&gt;0,INDEX(CR$7:CR$106,$AI100),1),IF($AJ100&gt;0,INDEX(CR$7:CR$106,$AJ100),1))))</ns0:f>
        <ns0:v>1</ns0:v>
      </ns0:c>
      <ns0:c r="CT100" t="n">
        <ns0:f>IF($A100="",1,IF(CS100=1,1,--AND(IF($AC100&gt;0,INDEX(CS$7:CS$106,$AC100),1),IF($AD100&gt;0,INDEX(CS$7:CS$106,$AD100),1),IF($AE100&gt;0,INDEX(CS$7:CS$106,$AE100),1),IF($AF100&gt;0,INDEX(CS$7:CS$106,$AF100),1),IF($AG100&gt;0,INDEX(CS$7:CS$106,$AG100),1),IF($AH100&gt;0,INDEX(CS$7:CS$106,$AH100),1),IF($AI100&gt;0,INDEX(CS$7:CS$106,$AI100),1),IF($AJ100&gt;0,INDEX(CS$7:CS$106,$AJ100),1))))</ns0:f>
        <ns0:v>1</ns0:v>
      </ns0:c>
      <ns0:c r="CU100" t="n">
        <ns0:f>IF($A100="",1,IF(CT100=1,1,--AND(IF($AC100&gt;0,INDEX(CT$7:CT$106,$AC100),1),IF($AD100&gt;0,INDEX(CT$7:CT$106,$AD100),1),IF($AE100&gt;0,INDEX(CT$7:CT$106,$AE100),1),IF($AF100&gt;0,INDEX(CT$7:CT$106,$AF100),1),IF($AG100&gt;0,INDEX(CT$7:CT$106,$AG100),1),IF($AH100&gt;0,INDEX(CT$7:CT$106,$AH100),1),IF($AI100&gt;0,INDEX(CT$7:CT$106,$AI100),1),IF($AJ100&gt;0,INDEX(CT$7:CT$106,$AJ100),1))))</ns0:f>
        <ns0:v>1</ns0:v>
      </ns0:c>
      <ns0:c r="CV100" t="n">
        <ns0:f>IF($A100="",1,IF(CU100=1,1,--AND(IF($AC100&gt;0,INDEX(CU$7:CU$106,$AC100),1),IF($AD100&gt;0,INDEX(CU$7:CU$106,$AD100),1),IF($AE100&gt;0,INDEX(CU$7:CU$106,$AE100),1),IF($AF100&gt;0,INDEX(CU$7:CU$106,$AF100),1),IF($AG100&gt;0,INDEX(CU$7:CU$106,$AG100),1),IF($AH100&gt;0,INDEX(CU$7:CU$106,$AH100),1),IF($AI100&gt;0,INDEX(CU$7:CU$106,$AI100),1),IF($AJ100&gt;0,INDEX(CU$7:CU$106,$AJ100),1))))</ns0:f>
        <ns0:v>1</ns0:v>
      </ns0:c>
      <ns0:c r="CW100" t="n">
        <ns0:f>IF($A100="",1,IF(CV100=1,1,--AND(IF($AC100&gt;0,INDEX(CV$7:CV$106,$AC100),1),IF($AD100&gt;0,INDEX(CV$7:CV$106,$AD100),1),IF($AE100&gt;0,INDEX(CV$7:CV$106,$AE100),1),IF($AF100&gt;0,INDEX(CV$7:CV$106,$AF100),1),IF($AG100&gt;0,INDEX(CV$7:CV$106,$AG100),1),IF($AH100&gt;0,INDEX(CV$7:CV$106,$AH100),1),IF($AI100&gt;0,INDEX(CV$7:CV$106,$AI100),1),IF($AJ100&gt;0,INDEX(CV$7:CV$106,$AJ100),1))))</ns0:f>
        <ns0:v>1</ns0:v>
      </ns0:c>
      <ns0:c r="CX100" t="n">
        <ns0:f>IF($A100="",1,IF(CW100=1,1,--AND(IF($AC100&gt;0,INDEX(CW$7:CW$106,$AC100),1),IF($AD100&gt;0,INDEX(CW$7:CW$106,$AD100),1),IF($AE100&gt;0,INDEX(CW$7:CW$106,$AE100),1),IF($AF100&gt;0,INDEX(CW$7:CW$106,$AF100),1),IF($AG100&gt;0,INDEX(CW$7:CW$106,$AG100),1),IF($AH100&gt;0,INDEX(CW$7:CW$106,$AH100),1),IF($AI100&gt;0,INDEX(CW$7:CW$106,$AI100),1),IF($AJ100&gt;0,INDEX(CW$7:CW$106,$AJ100),1))))</ns0:f>
        <ns0:v>1</ns0:v>
      </ns0:c>
      <ns0:c r="CY100" t="n">
        <ns0:f>IF($A100="",1,IF(CX100=1,1,--AND(IF($AC100&gt;0,INDEX(CX$7:CX$106,$AC100),1),IF($AD100&gt;0,INDEX(CX$7:CX$106,$AD100),1),IF($AE100&gt;0,INDEX(CX$7:CX$106,$AE100),1),IF($AF100&gt;0,INDEX(CX$7:CX$106,$AF100),1),IF($AG100&gt;0,INDEX(CX$7:CX$106,$AG100),1),IF($AH100&gt;0,INDEX(CX$7:CX$106,$AH100),1),IF($AI100&gt;0,INDEX(CX$7:CX$106,$AI100),1),IF($AJ100&gt;0,INDEX(CX$7:CX$106,$AJ100),1))))</ns0:f>
        <ns0:v>1</ns0:v>
      </ns0:c>
      <ns0:c r="CZ100" t="n">
        <ns0:f>IF($A100="",1,IF(CY100=1,1,--AND(IF($AC100&gt;0,INDEX(CY$7:CY$106,$AC100),1),IF($AD100&gt;0,INDEX(CY$7:CY$106,$AD100),1),IF($AE100&gt;0,INDEX(CY$7:CY$106,$AE100),1),IF($AF100&gt;0,INDEX(CY$7:CY$106,$AF100),1),IF($AG100&gt;0,INDEX(CY$7:CY$106,$AG100),1),IF($AH100&gt;0,INDEX(CY$7:CY$106,$AH100),1),IF($AI100&gt;0,INDEX(CY$7:CY$106,$AI100),1),IF($AJ100&gt;0,INDEX(CY$7:CY$106,$AJ100),1))))</ns0:f>
        <ns0:v>1</ns0:v>
      </ns0:c>
      <ns0:c r="DA100" t="n">
        <ns0:f>IF($A100="",1,IF(CZ100=1,1,--AND(IF($AC100&gt;0,INDEX(CZ$7:CZ$106,$AC100),1),IF($AD100&gt;0,INDEX(CZ$7:CZ$106,$AD100),1),IF($AE100&gt;0,INDEX(CZ$7:CZ$106,$AE100),1),IF($AF100&gt;0,INDEX(CZ$7:CZ$106,$AF100),1),IF($AG100&gt;0,INDEX(CZ$7:CZ$106,$AG100),1),IF($AH100&gt;0,INDEX(CZ$7:CZ$106,$AH100),1),IF($AI100&gt;0,INDEX(CZ$7:CZ$106,$AI100),1),IF($AJ100&gt;0,INDEX(CZ$7:CZ$106,$AJ100),1))))</ns0:f>
        <ns0:v>1</ns0:v>
      </ns0:c>
      <ns0:c r="DB100" t="n">
        <ns0:f>IF($A100="",1,IF(DA100=1,1,--AND(IF($AC100&gt;0,INDEX(DA$7:DA$106,$AC100),1),IF($AD100&gt;0,INDEX(DA$7:DA$106,$AD100),1),IF($AE100&gt;0,INDEX(DA$7:DA$106,$AE100),1),IF($AF100&gt;0,INDEX(DA$7:DA$106,$AF100),1),IF($AG100&gt;0,INDEX(DA$7:DA$106,$AG100),1),IF($AH100&gt;0,INDEX(DA$7:DA$106,$AH100),1),IF($AI100&gt;0,INDEX(DA$7:DA$106,$AI100),1),IF($AJ100&gt;0,INDEX(DA$7:DA$106,$AJ100),1))))</ns0:f>
        <ns0:v>1</ns0:v>
      </ns0:c>
      <ns0:c r="DC100" t="n">
        <ns0:f>IF($A100="",1,IF(DB100=1,1,--AND(IF($AC100&gt;0,INDEX(DB$7:DB$106,$AC100),1),IF($AD100&gt;0,INDEX(DB$7:DB$106,$AD100),1),IF($AE100&gt;0,INDEX(DB$7:DB$106,$AE100),1),IF($AF100&gt;0,INDEX(DB$7:DB$106,$AF100),1),IF($AG100&gt;0,INDEX(DB$7:DB$106,$AG100),1),IF($AH100&gt;0,INDEX(DB$7:DB$106,$AH100),1),IF($AI100&gt;0,INDEX(DB$7:DB$106,$AI100),1),IF($AJ100&gt;0,INDEX(DB$7:DB$106,$AJ100),1))))</ns0:f>
        <ns0:v>1</ns0:v>
      </ns0:c>
      <ns0:c r="DD100" t="n">
        <ns0:f>IF($A100="",1,IF(DC100=1,1,--AND(IF($AC100&gt;0,INDEX(DC$7:DC$106,$AC100),1),IF($AD100&gt;0,INDEX(DC$7:DC$106,$AD100),1),IF($AE100&gt;0,INDEX(DC$7:DC$106,$AE100),1),IF($AF100&gt;0,INDEX(DC$7:DC$106,$AF100),1),IF($AG100&gt;0,INDEX(DC$7:DC$106,$AG100),1),IF($AH100&gt;0,INDEX(DC$7:DC$106,$AH100),1),IF($AI100&gt;0,INDEX(DC$7:DC$106,$AI100),1),IF($AJ100&gt;0,INDEX(DC$7:DC$106,$AJ100),1))))</ns0:f>
        <ns0:v>1</ns0:v>
      </ns0:c>
      <ns0:c r="DE100" t="n">
        <ns0:f>IF($A100="",1,IF(DD100=1,1,--AND(IF($AC100&gt;0,INDEX(DD$7:DD$106,$AC100),1),IF($AD100&gt;0,INDEX(DD$7:DD$106,$AD100),1),IF($AE100&gt;0,INDEX(DD$7:DD$106,$AE100),1),IF($AF100&gt;0,INDEX(DD$7:DD$106,$AF100),1),IF($AG100&gt;0,INDEX(DD$7:DD$106,$AG100),1),IF($AH100&gt;0,INDEX(DD$7:DD$106,$AH100),1),IF($AI100&gt;0,INDEX(DD$7:DD$106,$AI100),1),IF($AJ100&gt;0,INDEX(DD$7:DD$106,$AJ100),1))))</ns0:f>
        <ns0:v>1</ns0:v>
      </ns0:c>
      <ns0:c r="DF100" t="n">
        <ns0:f>IF($A100="",1,IF(DE100=1,1,--AND(IF($AC100&gt;0,INDEX(DE$7:DE$106,$AC100),1),IF($AD100&gt;0,INDEX(DE$7:DE$106,$AD100),1),IF($AE100&gt;0,INDEX(DE$7:DE$106,$AE100),1),IF($AF100&gt;0,INDEX(DE$7:DE$106,$AF100),1),IF($AG100&gt;0,INDEX(DE$7:DE$106,$AG100),1),IF($AH100&gt;0,INDEX(DE$7:DE$106,$AH100),1),IF($AI100&gt;0,INDEX(DE$7:DE$106,$AI100),1),IF($AJ100&gt;0,INDEX(DE$7:DE$106,$AJ100),1))))</ns0:f>
        <ns0:v>1</ns0:v>
      </ns0:c>
      <ns0:c r="DG100" t="n">
        <ns0:f>IF($A100="",1,IF(DF100=1,1,--AND(IF($AC100&gt;0,INDEX(DF$7:DF$106,$AC100),1),IF($AD100&gt;0,INDEX(DF$7:DF$106,$AD100),1),IF($AE100&gt;0,INDEX(DF$7:DF$106,$AE100),1),IF($AF100&gt;0,INDEX(DF$7:DF$106,$AF100),1),IF($AG100&gt;0,INDEX(DF$7:DF$106,$AG100),1),IF($AH100&gt;0,INDEX(DF$7:DF$106,$AH100),1),IF($AI100&gt;0,INDEX(DF$7:DF$106,$AI100),1),IF($AJ100&gt;0,INDEX(DF$7:DF$106,$AJ100),1))))</ns0:f>
        <ns0:v>1</ns0:v>
      </ns0:c>
      <ns0:c r="DH100" t="n">
        <ns0:f>IF($A100="",1,IF(DG100=1,1,--AND(IF($AC100&gt;0,INDEX(DG$7:DG$106,$AC100),1),IF($AD100&gt;0,INDEX(DG$7:DG$106,$AD100),1),IF($AE100&gt;0,INDEX(DG$7:DG$106,$AE100),1),IF($AF100&gt;0,INDEX(DG$7:DG$106,$AF100),1),IF($AG100&gt;0,INDEX(DG$7:DG$106,$AG100),1),IF($AH100&gt;0,INDEX(DG$7:DG$106,$AH100),1),IF($AI100&gt;0,INDEX(DG$7:DG$106,$AI100),1),IF($AJ100&gt;0,INDEX(DG$7:DG$106,$AJ100),1))))</ns0:f>
        <ns0:v>1</ns0:v>
      </ns0:c>
      <ns0:c r="DI100" t="n">
        <ns0:f>IF($A100="",1,IF(DH100=1,1,--AND(IF($AC100&gt;0,INDEX(DH$7:DH$106,$AC100),1),IF($AD100&gt;0,INDEX(DH$7:DH$106,$AD100),1),IF($AE100&gt;0,INDEX(DH$7:DH$106,$AE100),1),IF($AF100&gt;0,INDEX(DH$7:DH$106,$AF100),1),IF($AG100&gt;0,INDEX(DH$7:DH$106,$AG100),1),IF($AH100&gt;0,INDEX(DH$7:DH$106,$AH100),1),IF($AI100&gt;0,INDEX(DH$7:DH$106,$AI100),1),IF($AJ100&gt;0,INDEX(DH$7:DH$106,$AJ100),1))))</ns0:f>
        <ns0:v>1</ns0:v>
      </ns0:c>
      <ns0:c r="DJ100" t="n">
        <ns0:f>IF($A100="",1,IF(DI100=1,1,--AND(IF($AC100&gt;0,INDEX(DI$7:DI$106,$AC100),1),IF($AD100&gt;0,INDEX(DI$7:DI$106,$AD100),1),IF($AE100&gt;0,INDEX(DI$7:DI$106,$AE100),1),IF($AF100&gt;0,INDEX(DI$7:DI$106,$AF100),1),IF($AG100&gt;0,INDEX(DI$7:DI$106,$AG100),1),IF($AH100&gt;0,INDEX(DI$7:DI$106,$AH100),1),IF($AI100&gt;0,INDEX(DI$7:DI$106,$AI100),1),IF($AJ100&gt;0,INDEX(DI$7:DI$106,$AJ100),1))))</ns0:f>
        <ns0:v>1</ns0:v>
      </ns0:c>
      <ns0:c r="DK100" t="n">
        <ns0:f>IF($A100="",1,IF(DJ100=1,1,--AND(IF($AC100&gt;0,INDEX(DJ$7:DJ$106,$AC100),1),IF($AD100&gt;0,INDEX(DJ$7:DJ$106,$AD100),1),IF($AE100&gt;0,INDEX(DJ$7:DJ$106,$AE100),1),IF($AF100&gt;0,INDEX(DJ$7:DJ$106,$AF100),1),IF($AG100&gt;0,INDEX(DJ$7:DJ$106,$AG100),1),IF($AH100&gt;0,INDEX(DJ$7:DJ$106,$AH100),1),IF($AI100&gt;0,INDEX(DJ$7:DJ$106,$AI100),1),IF($AJ100&gt;0,INDEX(DJ$7:DJ$106,$AJ100),1))))</ns0:f>
        <ns0:v>1</ns0:v>
      </ns0:c>
      <ns0:c r="DL100" t="n">
        <ns0:f>IF($A100="",1,IF(DK100=1,1,--AND(IF($AC100&gt;0,INDEX(DK$7:DK$106,$AC100),1),IF($AD100&gt;0,INDEX(DK$7:DK$106,$AD100),1),IF($AE100&gt;0,INDEX(DK$7:DK$106,$AE100),1),IF($AF100&gt;0,INDEX(DK$7:DK$106,$AF100),1),IF($AG100&gt;0,INDEX(DK$7:DK$106,$AG100),1),IF($AH100&gt;0,INDEX(DK$7:DK$106,$AH100),1),IF($AI100&gt;0,INDEX(DK$7:DK$106,$AI100),1),IF($AJ100&gt;0,INDEX(DK$7:DK$106,$AJ100),1))))</ns0:f>
        <ns0:v>1</ns0:v>
      </ns0:c>
      <ns0:c r="DM100" t="n">
        <ns0:f>IF($A100="",1,IF(DL100=1,1,--AND(IF($AC100&gt;0,INDEX(DL$7:DL$106,$AC100),1),IF($AD100&gt;0,INDEX(DL$7:DL$106,$AD100),1),IF($AE100&gt;0,INDEX(DL$7:DL$106,$AE100),1),IF($AF100&gt;0,INDEX(DL$7:DL$106,$AF100),1),IF($AG100&gt;0,INDEX(DL$7:DL$106,$AG100),1),IF($AH100&gt;0,INDEX(DL$7:DL$106,$AH100),1),IF($AI100&gt;0,INDEX(DL$7:DL$106,$AI100),1),IF($AJ100&gt;0,INDEX(DL$7:DL$106,$AJ100),1))))</ns0:f>
        <ns0:v>1</ns0:v>
      </ns0:c>
      <ns0:c r="DN100" t="n">
        <ns0:f>IF($A100="",1,IF(DM100=1,1,--AND(IF($AC100&gt;0,INDEX(DM$7:DM$106,$AC100),1),IF($AD100&gt;0,INDEX(DM$7:DM$106,$AD100),1),IF($AE100&gt;0,INDEX(DM$7:DM$106,$AE100),1),IF($AF100&gt;0,INDEX(DM$7:DM$106,$AF100),1),IF($AG100&gt;0,INDEX(DM$7:DM$106,$AG100),1),IF($AH100&gt;0,INDEX(DM$7:DM$106,$AH100),1),IF($AI100&gt;0,INDEX(DM$7:DM$106,$AI100),1),IF($AJ100&gt;0,INDEX(DM$7:DM$106,$AJ100),1))))</ns0:f>
        <ns0:v>1</ns0:v>
      </ns0:c>
      <ns0:c r="DO100" t="n">
        <ns0:f>IF($A100="",1,IF(DN100=1,1,--AND(IF($AC100&gt;0,INDEX(DN$7:DN$106,$AC100),1),IF($AD100&gt;0,INDEX(DN$7:DN$106,$AD100),1),IF($AE100&gt;0,INDEX(DN$7:DN$106,$AE100),1),IF($AF100&gt;0,INDEX(DN$7:DN$106,$AF100),1),IF($AG100&gt;0,INDEX(DN$7:DN$106,$AG100),1),IF($AH100&gt;0,INDEX(DN$7:DN$106,$AH100),1),IF($AI100&gt;0,INDEX(DN$7:DN$106,$AI100),1),IF($AJ100&gt;0,INDEX(DN$7:DN$106,$AJ100),1))))</ns0:f>
        <ns0:v>1</ns0:v>
      </ns0:c>
      <ns0:c r="DP100" t="n">
        <ns0:f>IF($A100="",1,IF(DO100=1,1,--AND(IF($AC100&gt;0,INDEX(DO$7:DO$106,$AC100),1),IF($AD100&gt;0,INDEX(DO$7:DO$106,$AD100),1),IF($AE100&gt;0,INDEX(DO$7:DO$106,$AE100),1),IF($AF100&gt;0,INDEX(DO$7:DO$106,$AF100),1),IF($AG100&gt;0,INDEX(DO$7:DO$106,$AG100),1),IF($AH100&gt;0,INDEX(DO$7:DO$106,$AH100),1),IF($AI100&gt;0,INDEX(DO$7:DO$106,$AI100),1),IF($AJ100&gt;0,INDEX(DO$7:DO$106,$AJ100),1))))</ns0:f>
        <ns0:v>1</ns0:v>
      </ns0:c>
      <ns0:c r="DQ100" t="n">
        <ns0:f>IF($A100="",1,IF(DP100=1,1,--AND(IF($AC100&gt;0,INDEX(DP$7:DP$106,$AC100),1),IF($AD100&gt;0,INDEX(DP$7:DP$106,$AD100),1),IF($AE100&gt;0,INDEX(DP$7:DP$106,$AE100),1),IF($AF100&gt;0,INDEX(DP$7:DP$106,$AF100),1),IF($AG100&gt;0,INDEX(DP$7:DP$106,$AG100),1),IF($AH100&gt;0,INDEX(DP$7:DP$106,$AH100),1),IF($AI100&gt;0,INDEX(DP$7:DP$106,$AI100),1),IF($AJ100&gt;0,INDEX(DP$7:DP$106,$AJ100),1))))</ns0:f>
        <ns0:v>1</ns0:v>
      </ns0:c>
      <ns0:c r="DR100" t="n">
        <ns0:f>IF($A100="",1,IF(DQ100=1,1,--AND(IF($AC100&gt;0,INDEX(DQ$7:DQ$106,$AC100),1),IF($AD100&gt;0,INDEX(DQ$7:DQ$106,$AD100),1),IF($AE100&gt;0,INDEX(DQ$7:DQ$106,$AE100),1),IF($AF100&gt;0,INDEX(DQ$7:DQ$106,$AF100),1),IF($AG100&gt;0,INDEX(DQ$7:DQ$106,$AG100),1),IF($AH100&gt;0,INDEX(DQ$7:DQ$106,$AH100),1),IF($AI100&gt;0,INDEX(DQ$7:DQ$106,$AI100),1),IF($AJ100&gt;0,INDEX(DQ$7:DQ$106,$AJ100),1))))</ns0:f>
        <ns0:v>1</ns0:v>
      </ns0:c>
      <ns0:c r="DS100" t="n">
        <ns0:f>IF($A100="",1,IF(DR100=1,1,--AND(IF($AC100&gt;0,INDEX(DR$7:DR$106,$AC100),1),IF($AD100&gt;0,INDEX(DR$7:DR$106,$AD100),1),IF($AE100&gt;0,INDEX(DR$7:DR$106,$AE100),1),IF($AF100&gt;0,INDEX(DR$7:DR$106,$AF100),1),IF($AG100&gt;0,INDEX(DR$7:DR$106,$AG100),1),IF($AH100&gt;0,INDEX(DR$7:DR$106,$AH100),1),IF($AI100&gt;0,INDEX(DR$7:DR$106,$AI100),1),IF($AJ100&gt;0,INDEX(DR$7:DR$106,$AJ100),1))))</ns0:f>
        <ns0:v>1</ns0:v>
      </ns0:c>
      <ns0:c r="DT100" t="n">
        <ns0:f>IF($A100="",1,IF(DS100=1,1,--AND(IF($AC100&gt;0,INDEX(DS$7:DS$106,$AC100),1),IF($AD100&gt;0,INDEX(DS$7:DS$106,$AD100),1),IF($AE100&gt;0,INDEX(DS$7:DS$106,$AE100),1),IF($AF100&gt;0,INDEX(DS$7:DS$106,$AF100),1),IF($AG100&gt;0,INDEX(DS$7:DS$106,$AG100),1),IF($AH100&gt;0,INDEX(DS$7:DS$106,$AH100),1),IF($AI100&gt;0,INDEX(DS$7:DS$106,$AI100),1),IF($AJ100&gt;0,INDEX(DS$7:DS$106,$AJ100),1))))</ns0:f>
        <ns0:v>1</ns0:v>
      </ns0:c>
      <ns0:c r="DU100" t="n">
        <ns0:f>IF($A100="",1,IF(DT100=1,1,--AND(IF($AC100&gt;0,INDEX(DT$7:DT$106,$AC100),1),IF($AD100&gt;0,INDEX(DT$7:DT$106,$AD100),1),IF($AE100&gt;0,INDEX(DT$7:DT$106,$AE100),1),IF($AF100&gt;0,INDEX(DT$7:DT$106,$AF100),1),IF($AG100&gt;0,INDEX(DT$7:DT$106,$AG100),1),IF($AH100&gt;0,INDEX(DT$7:DT$106,$AH100),1),IF($AI100&gt;0,INDEX(DT$7:DT$106,$AI100),1),IF($AJ100&gt;0,INDEX(DT$7:DT$106,$AJ100),1))))</ns0:f>
        <ns0:v>1</ns0:v>
      </ns0:c>
      <ns0:c r="DV100" t="n">
        <ns0:f>IF($A100="",1,IF(DU100=1,1,--AND(IF($AC100&gt;0,INDEX(DU$7:DU$106,$AC100),1),IF($AD100&gt;0,INDEX(DU$7:DU$106,$AD100),1),IF($AE100&gt;0,INDEX(DU$7:DU$106,$AE100),1),IF($AF100&gt;0,INDEX(DU$7:DU$106,$AF100),1),IF($AG100&gt;0,INDEX(DU$7:DU$106,$AG100),1),IF($AH100&gt;0,INDEX(DU$7:DU$106,$AH100),1),IF($AI100&gt;0,INDEX(DU$7:DU$106,$AI100),1),IF($AJ100&gt;0,INDEX(DU$7:DU$106,$AJ100),1))))</ns0:f>
        <ns0:v>1</ns0:v>
      </ns0:c>
      <ns0:c r="DW100" t="n">
        <ns0:f>IF($A100="",1,IF(DV100=1,1,--AND(IF($AC100&gt;0,INDEX(DV$7:DV$106,$AC100),1),IF($AD100&gt;0,INDEX(DV$7:DV$106,$AD100),1),IF($AE100&gt;0,INDEX(DV$7:DV$106,$AE100),1),IF($AF100&gt;0,INDEX(DV$7:DV$106,$AF100),1),IF($AG100&gt;0,INDEX(DV$7:DV$106,$AG100),1),IF($AH100&gt;0,INDEX(DV$7:DV$106,$AH100),1),IF($AI100&gt;0,INDEX(DV$7:DV$106,$AI100),1),IF($AJ100&gt;0,INDEX(DV$7:DV$106,$AJ100),1))))</ns0:f>
        <ns0:v>1</ns0:v>
      </ns0:c>
      <ns0:c r="DX100" t="n">
        <ns0:f>IF($A100="",1,IF(DW100=1,1,--AND(IF($AC100&gt;0,INDEX(DW$7:DW$106,$AC100),1),IF($AD100&gt;0,INDEX(DW$7:DW$106,$AD100),1),IF($AE100&gt;0,INDEX(DW$7:DW$106,$AE100),1),IF($AF100&gt;0,INDEX(DW$7:DW$106,$AF100),1),IF($AG100&gt;0,INDEX(DW$7:DW$106,$AG100),1),IF($AH100&gt;0,INDEX(DW$7:DW$106,$AH100),1),IF($AI100&gt;0,INDEX(DW$7:DW$106,$AI100),1),IF($AJ100&gt;0,INDEX(DW$7:DW$106,$AJ100),1))))</ns0:f>
        <ns0:v>1</ns0:v>
      </ns0:c>
      <ns0:c r="DY100" t="n">
        <ns0:f>IF($A100="",1,IF(DX100=1,1,--AND(IF($AC100&gt;0,INDEX(DX$7:DX$106,$AC100),1),IF($AD100&gt;0,INDEX(DX$7:DX$106,$AD100),1),IF($AE100&gt;0,INDEX(DX$7:DX$106,$AE100),1),IF($AF100&gt;0,INDEX(DX$7:DX$106,$AF100),1),IF($AG100&gt;0,INDEX(DX$7:DX$106,$AG100),1),IF($AH100&gt;0,INDEX(DX$7:DX$106,$AH100),1),IF($AI100&gt;0,INDEX(DX$7:DX$106,$AI100),1),IF($AJ100&gt;0,INDEX(DX$7:DX$106,$AJ100),1))))</ns0:f>
        <ns0:v>1</ns0:v>
      </ns0:c>
      <ns0:c r="DZ100" t="n">
        <ns0:f>IF($A100="",1,IF(DY100=1,1,--AND(IF($AC100&gt;0,INDEX(DY$7:DY$106,$AC100),1),IF($AD100&gt;0,INDEX(DY$7:DY$106,$AD100),1),IF($AE100&gt;0,INDEX(DY$7:DY$106,$AE100),1),IF($AF100&gt;0,INDEX(DY$7:DY$106,$AF100),1),IF($AG100&gt;0,INDEX(DY$7:DY$106,$AG100),1),IF($AH100&gt;0,INDEX(DY$7:DY$106,$AH100),1),IF($AI100&gt;0,INDEX(DY$7:DY$106,$AI100),1),IF($AJ100&gt;0,INDEX(DY$7:DY$106,$AJ100),1))))</ns0:f>
        <ns0:v>1</ns0:v>
      </ns0:c>
      <ns0:c r="EA100" t="n">
        <ns0:f>IF($A100="",1,IF(DZ100=1,1,--AND(IF($AC100&gt;0,INDEX(DZ$7:DZ$106,$AC100),1),IF($AD100&gt;0,INDEX(DZ$7:DZ$106,$AD100),1),IF($AE100&gt;0,INDEX(DZ$7:DZ$106,$AE100),1),IF($AF100&gt;0,INDEX(DZ$7:DZ$106,$AF100),1),IF($AG100&gt;0,INDEX(DZ$7:DZ$106,$AG100),1),IF($AH100&gt;0,INDEX(DZ$7:DZ$106,$AH100),1),IF($AI100&gt;0,INDEX(DZ$7:DZ$106,$AI100),1),IF($AJ100&gt;0,INDEX(DZ$7:DZ$106,$AJ100),1))))</ns0:f>
        <ns0:v>1</ns0:v>
      </ns0:c>
      <ns0:c r="EB100" t="n">
        <ns0:f>IF($A100="",1,IF(EA100=1,1,--AND(IF($AC100&gt;0,INDEX(EA$7:EA$106,$AC100),1),IF($AD100&gt;0,INDEX(EA$7:EA$106,$AD100),1),IF($AE100&gt;0,INDEX(EA$7:EA$106,$AE100),1),IF($AF100&gt;0,INDEX(EA$7:EA$106,$AF100),1),IF($AG100&gt;0,INDEX(EA$7:EA$106,$AG100),1),IF($AH100&gt;0,INDEX(EA$7:EA$106,$AH100),1),IF($AI100&gt;0,INDEX(EA$7:EA$106,$AI100),1),IF($AJ100&gt;0,INDEX(EA$7:EA$106,$AJ100),1))))</ns0:f>
        <ns0:v>1</ns0:v>
      </ns0:c>
      <ns0:c r="EC100" t="n">
        <ns0:f>IF($A100="",1,IF(EB100=1,1,--AND(IF($AC100&gt;0,INDEX(EB$7:EB$106,$AC100),1),IF($AD100&gt;0,INDEX(EB$7:EB$106,$AD100),1),IF($AE100&gt;0,INDEX(EB$7:EB$106,$AE100),1),IF($AF100&gt;0,INDEX(EB$7:EB$106,$AF100),1),IF($AG100&gt;0,INDEX(EB$7:EB$106,$AG100),1),IF($AH100&gt;0,INDEX(EB$7:EB$106,$AH100),1),IF($AI100&gt;0,INDEX(EB$7:EB$106,$AI100),1),IF($AJ100&gt;0,INDEX(EB$7:EB$106,$AJ100),1))))</ns0:f>
        <ns0:v>1</ns0:v>
      </ns0:c>
      <ns0:c r="ED100" t="n">
        <ns0:f>IF($A100="",1,IF(EC100=1,1,--AND(IF($AC100&gt;0,INDEX(EC$7:EC$106,$AC100),1),IF($AD100&gt;0,INDEX(EC$7:EC$106,$AD100),1),IF($AE100&gt;0,INDEX(EC$7:EC$106,$AE100),1),IF($AF100&gt;0,INDEX(EC$7:EC$106,$AF100),1),IF($AG100&gt;0,INDEX(EC$7:EC$106,$AG100),1),IF($AH100&gt;0,INDEX(EC$7:EC$106,$AH100),1),IF($AI100&gt;0,INDEX(EC$7:EC$106,$AI100),1),IF($AJ100&gt;0,INDEX(EC$7:EC$106,$AJ100),1))))</ns0:f>
        <ns0:v>1</ns0:v>
      </ns0:c>
      <ns0:c r="EE100" t="n">
        <ns0:f>IF($A100="",1,IF(ED100=1,1,--AND(IF($AC100&gt;0,INDEX(ED$7:ED$106,$AC100),1),IF($AD100&gt;0,INDEX(ED$7:ED$106,$AD100),1),IF($AE100&gt;0,INDEX(ED$7:ED$106,$AE100),1),IF($AF100&gt;0,INDEX(ED$7:ED$106,$AF100),1),IF($AG100&gt;0,INDEX(ED$7:ED$106,$AG100),1),IF($AH100&gt;0,INDEX(ED$7:ED$106,$AH100),1),IF($AI100&gt;0,INDEX(ED$7:ED$106,$AI100),1),IF($AJ100&gt;0,INDEX(ED$7:ED$106,$AJ100),1))))</ns0:f>
        <ns0:v>1</ns0:v>
      </ns0:c>
      <ns0:c r="EF100" t="n">
        <ns0:f>IF($A100="",1,IF(EE100=1,1,--AND(IF($AC100&gt;0,INDEX(EE$7:EE$106,$AC100),1),IF($AD100&gt;0,INDEX(EE$7:EE$106,$AD100),1),IF($AE100&gt;0,INDEX(EE$7:EE$106,$AE100),1),IF($AF100&gt;0,INDEX(EE$7:EE$106,$AF100),1),IF($AG100&gt;0,INDEX(EE$7:EE$106,$AG100),1),IF($AH100&gt;0,INDEX(EE$7:EE$106,$AH100),1),IF($AI100&gt;0,INDEX(EE$7:EE$106,$AI100),1),IF($AJ100&gt;0,INDEX(EE$7:EE$106,$AJ100),1))))</ns0:f>
        <ns0:v>1</ns0:v>
      </ns0:c>
      <ns0:c r="EG100" t="n">
        <ns0:f>IF($A100="",1,IF(EF100=1,1,--AND(IF($AC100&gt;0,INDEX(EF$7:EF$106,$AC100),1),IF($AD100&gt;0,INDEX(EF$7:EF$106,$AD100),1),IF($AE100&gt;0,INDEX(EF$7:EF$106,$AE100),1),IF($AF100&gt;0,INDEX(EF$7:EF$106,$AF100),1),IF($AG100&gt;0,INDEX(EF$7:EF$106,$AG100),1),IF($AH100&gt;0,INDEX(EF$7:EF$106,$AH100),1),IF($AI100&gt;0,INDEX(EF$7:EF$106,$AI100),1),IF($AJ100&gt;0,INDEX(EF$7:EF$106,$AJ100),1))))</ns0:f>
        <ns0:v>1</ns0:v>
      </ns0:c>
      <ns0:c r="EH100" t="n">
        <ns0:f>IF($A100="",1,IF(EG100=1,1,--AND(IF($AC100&gt;0,INDEX(EG$7:EG$106,$AC100),1),IF($AD100&gt;0,INDEX(EG$7:EG$106,$AD100),1),IF($AE100&gt;0,INDEX(EG$7:EG$106,$AE100),1),IF($AF100&gt;0,INDEX(EG$7:EG$106,$AF100),1),IF($AG100&gt;0,INDEX(EG$7:EG$106,$AG100),1),IF($AH100&gt;0,INDEX(EG$7:EG$106,$AH100),1),IF($AI100&gt;0,INDEX(EG$7:EG$106,$AI100),1),IF($AJ100&gt;0,INDEX(EG$7:EG$106,$AJ100),1))))</ns0:f>
        <ns0:v>1</ns0:v>
      </ns0:c>
      <ns0:c r="EI100" t="n">
        <ns0:f>IF($A100="",1,IF(EH100=1,1,--AND(IF($AC100&gt;0,INDEX(EH$7:EH$106,$AC100),1),IF($AD100&gt;0,INDEX(EH$7:EH$106,$AD100),1),IF($AE100&gt;0,INDEX(EH$7:EH$106,$AE100),1),IF($AF100&gt;0,INDEX(EH$7:EH$106,$AF100),1),IF($AG100&gt;0,INDEX(EH$7:EH$106,$AG100),1),IF($AH100&gt;0,INDEX(EH$7:EH$106,$AH100),1),IF($AI100&gt;0,INDEX(EH$7:EH$106,$AI100),1),IF($AJ100&gt;0,INDEX(EH$7:EH$106,$AJ100),1))))</ns0:f>
        <ns0:v>1</ns0:v>
      </ns0:c>
      <ns0:c r="EJ100" t="n">
        <ns0:f>IF($A100="",1,IF(EI100=1,1,--AND(IF($AC100&gt;0,INDEX(EI$7:EI$106,$AC100),1),IF($AD100&gt;0,INDEX(EI$7:EI$106,$AD100),1),IF($AE100&gt;0,INDEX(EI$7:EI$106,$AE100),1),IF($AF100&gt;0,INDEX(EI$7:EI$106,$AF100),1),IF($AG100&gt;0,INDEX(EI$7:EI$106,$AG100),1),IF($AH100&gt;0,INDEX(EI$7:EI$106,$AH100),1),IF($AI100&gt;0,INDEX(EI$7:EI$106,$AI100),1),IF($AJ100&gt;0,INDEX(EI$7:EI$106,$AJ100),1))))</ns0:f>
        <ns0:v>1</ns0:v>
      </ns0:c>
      <ns0:c r="EK100" t="n">
        <ns0:f>IF($A100="",1,IF(EJ100=1,1,--AND(IF($AC100&gt;0,INDEX(EJ$7:EJ$106,$AC100),1),IF($AD100&gt;0,INDEX(EJ$7:EJ$106,$AD100),1),IF($AE100&gt;0,INDEX(EJ$7:EJ$106,$AE100),1),IF($AF100&gt;0,INDEX(EJ$7:EJ$106,$AF100),1),IF($AG100&gt;0,INDEX(EJ$7:EJ$106,$AG100),1),IF($AH100&gt;0,INDEX(EJ$7:EJ$106,$AH100),1),IF($AI100&gt;0,INDEX(EJ$7:EJ$106,$AI100),1),IF($AJ100&gt;0,INDEX(EJ$7:EJ$106,$AJ100),1))))</ns0:f>
        <ns0:v>1</ns0:v>
      </ns0:c>
      <ns0:c r="EL100" t="n">
        <ns0:f>IF($A100="",1,IF(EK100=1,1,--AND(IF($AC100&gt;0,INDEX(EK$7:EK$106,$AC100),1),IF($AD100&gt;0,INDEX(EK$7:EK$106,$AD100),1),IF($AE100&gt;0,INDEX(EK$7:EK$106,$AE100),1),IF($AF100&gt;0,INDEX(EK$7:EK$106,$AF100),1),IF($AG100&gt;0,INDEX(EK$7:EK$106,$AG100),1),IF($AH100&gt;0,INDEX(EK$7:EK$106,$AH100),1),IF($AI100&gt;0,INDEX(EK$7:EK$106,$AI100),1),IF($AJ100&gt;0,INDEX(EK$7:EK$106,$AJ100),1))))</ns0:f>
        <ns0:v>1</ns0:v>
      </ns0:c>
      <ns0:c r="EM100" t="n">
        <ns0:f>IF($A100="",1,IF(EL100=1,1,--AND(IF($AC100&gt;0,INDEX(EL$7:EL$106,$AC100),1),IF($AD100&gt;0,INDEX(EL$7:EL$106,$AD100),1),IF($AE100&gt;0,INDEX(EL$7:EL$106,$AE100),1),IF($AF100&gt;0,INDEX(EL$7:EL$106,$AF100),1),IF($AG100&gt;0,INDEX(EL$7:EL$106,$AG100),1),IF($AH100&gt;0,INDEX(EL$7:EL$106,$AH100),1),IF($AI100&gt;0,INDEX(EL$7:EL$106,$AI100),1),IF($AJ100&gt;0,INDEX(EL$7:EL$106,$AJ100),1))))</ns0:f>
        <ns0:v>1</ns0:v>
      </ns0:c>
      <ns0:c r="EN100" t="n">
        <ns0:f>IF($A100="",1,IF(EM100=1,1,--AND(IF($AC100&gt;0,INDEX(EM$7:EM$106,$AC100),1),IF($AD100&gt;0,INDEX(EM$7:EM$106,$AD100),1),IF($AE100&gt;0,INDEX(EM$7:EM$106,$AE100),1),IF($AF100&gt;0,INDEX(EM$7:EM$106,$AF100),1),IF($AG100&gt;0,INDEX(EM$7:EM$106,$AG100),1),IF($AH100&gt;0,INDEX(EM$7:EM$106,$AH100),1),IF($AI100&gt;0,INDEX(EM$7:EM$106,$AI100),1),IF($AJ100&gt;0,INDEX(EM$7:EM$106,$AJ100),1))))</ns0:f>
        <ns0:v>1</ns0:v>
      </ns0:c>
      <ns0:c r="EO100" t="n">
        <ns0:f>IF($A100="",1,IF(EN100=1,1,--AND(IF($AC100&gt;0,INDEX(EN$7:EN$106,$AC100),1),IF($AD100&gt;0,INDEX(EN$7:EN$106,$AD100),1),IF($AE100&gt;0,INDEX(EN$7:EN$106,$AE100),1),IF($AF100&gt;0,INDEX(EN$7:EN$106,$AF100),1),IF($AG100&gt;0,INDEX(EN$7:EN$106,$AG100),1),IF($AH100&gt;0,INDEX(EN$7:EN$106,$AH100),1),IF($AI100&gt;0,INDEX(EN$7:EN$106,$AI100),1),IF($AJ100&gt;0,INDEX(EN$7:EN$106,$AJ100),1))))</ns0:f>
        <ns0:v>1</ns0:v>
      </ns0:c>
      <ns0:c r="EP100" t="n">
        <ns0:f>IF($A100="",1,IF(EO100=1,1,--AND(IF($AC100&gt;0,INDEX(EO$7:EO$106,$AC100),1),IF($AD100&gt;0,INDEX(EO$7:EO$106,$AD100),1),IF($AE100&gt;0,INDEX(EO$7:EO$106,$AE100),1),IF($AF100&gt;0,INDEX(EO$7:EO$106,$AF100),1),IF($AG100&gt;0,INDEX(EO$7:EO$106,$AG100),1),IF($AH100&gt;0,INDEX(EO$7:EO$106,$AH100),1),IF($AI100&gt;0,INDEX(EO$7:EO$106,$AI100),1),IF($AJ100&gt;0,INDEX(EO$7:EO$106,$AJ100),1))))</ns0:f>
        <ns0:v>1</ns0:v>
      </ns0:c>
      <ns0:c r="EQ100" t="n">
        <ns0:f>IF(OR(A100="",NOT(ISNUMBER(G100))),0,G100*N100)</ns0:f>
        <ns0:v>0</ns0:v>
      </ns0:c>
    </ns0:row>
    <ns0:row r="101" ht="62" customHeight="1">
      <ns0:c r="A101" s="48"/>
      <ns0:c r="B101" s="48"/>
      <ns0:c r="C101" s="48"/>
      <ns0:c r="D101" s="48"/>
      <ns0:c r="E101" s="49"/>
      <ns0:c r="F101" s="49"/>
      <ns0:c r="G101" s="13" t="str">
        <ns0:f>IF(A101="","",IF(OR(NOT(ISNUMBER(E101)),NOT(ISNUMBER(F101)),F101&lt;E101),"",IF(J101="Yes",0,F101-E101+1)))</ns0:f>
      </ns0:c>
      <ns0:c r="H101" s="48"/>
      <ns0:c r="I101" s="48"/>
      <ns0:c r="J101" s="48"/>
      <ns0:c r="K101" s="48"/>
      <ns0:c r="L101" s="48"/>
      <ns0:c r="M101" s="50" t="str">
        <ns0:f>IF(A101="","",IF(N101=1,"Completed",IF(N101&gt;0,"In Progress","Not Started")))</ns0:f>
      </ns0:c>
      <ns0:c r="N101" s="51"/>
      <ns0:c r="O101" s="13" t="str">
        <ns0:f>IF(A101="","",IF(R101&lt;&gt;"","[CONFLICT] "&amp;R101,IF(S101&lt;&gt;"","[CONFLICT] "&amp;S101,IF(OR(NOT(ISNUMBER(N101)),N101&lt;0,N101&gt;1),"[CONFLICT] Invalid progress",IF(AK101&gt;0,"[DEPENDENCY ISSUE] Missing ID / &gt;8 links",IF(AM101&gt;0,"[DEPENDENCY ISSUE] Cycle or blocked by cycle",IF(AND(H101&lt;&gt;"",ISNA(MATCH(I101,{"FS","SS","FF","SF"},0))),"[DEPENDENCY ISSUE] Invalid type",IF(AL101&gt;0,"[DEPENDENCY ISSUE] Timing conflict",IF(OR(E101&lt;ProjectStart,F101&gt;ProjectEnd),"[OUTSIDE WINDOW]",IF(AND(N101&lt;1,F101&lt;AsOfDate),"Overdue",IF(AND(M101&lt;&gt;Q101,M101&lt;&gt;""),"[CONFLICT] Status / progress","On track")))))))))))</ns0:f>
      </ns0:c>
      <ns0:c r="P101" s="52"/>
      <ns0:c r="Q101" t="str">
        <ns0:f>IF(A101="","",IF(OR(M101="On Hold",M101="Delayed"),M101,IF(N101=1,"Completed",IF(N101&gt;0,"In Progress","Not Started"))))</ns0:f>
      </ns0:c>
      <ns0:c r="R101" t="str">
        <ns0:f>IF(A101="","",IF(COUNTIFS(Tasks[Task ID],A101)&lt;&gt;1,"Duplicate ID",""))</ns0:f>
      </ns0:c>
      <ns0:c r="S101" t="str">
        <ns0:f>IF(A101="","",IF(OR(NOT(ISNUMBER(E101)),NOT(ISNUMBER(F101))),"Invalid / missing date",IF(OR(E101&lt;&gt;INT(E101),F101&lt;&gt;INT(F101),E101&lt;1,F101&gt;2958465),"Invalid date",IF(F101&lt;E101,"End before start",IF(AND(J101="Yes",E101&lt;&gt;F101),"Milestone needs one date","")))))</ns0:f>
      </ns0:c>
      <ns0:c r="T101" t="n">
        <ns0:f>IF(H101="",0,LEN(H101)-LEN(SUBSTITUTE(H101,",",""))+1)</ns0:f>
        <ns0:v>0</ns0:v>
      </ns0:c>
      <ns0:c r="U101" t="str">
        <ns0:f>TRIM(MID(SUBSTITUTE($H101,",",REPT(" ",100)),1,100))</ns0:f>
      </ns0:c>
      <ns0:c r="V101" t="str">
        <ns0:f>TRIM(MID(SUBSTITUTE($H101,",",REPT(" ",100)),101,100))</ns0:f>
      </ns0:c>
      <ns0:c r="W101" t="str">
        <ns0:f>TRIM(MID(SUBSTITUTE($H101,",",REPT(" ",100)),201,100))</ns0:f>
      </ns0:c>
      <ns0:c r="X101" t="str">
        <ns0:f>TRIM(MID(SUBSTITUTE($H101,",",REPT(" ",100)),301,100))</ns0:f>
      </ns0:c>
      <ns0:c r="Y101" t="str">
        <ns0:f>TRIM(MID(SUBSTITUTE($H101,",",REPT(" ",100)),401,100))</ns0:f>
      </ns0:c>
      <ns0:c r="Z101" t="str">
        <ns0:f>TRIM(MID(SUBSTITUTE($H101,",",REPT(" ",100)),501,100))</ns0:f>
      </ns0:c>
      <ns0:c r="AA101" t="str">
        <ns0:f>TRIM(MID(SUBSTITUTE($H101,",",REPT(" ",100)),601,100))</ns0:f>
      </ns0:c>
      <ns0:c r="AB101" t="str">
        <ns0:f>TRIM(MID(SUBSTITUTE($H101,",",REPT(" ",100)),701,100))</ns0:f>
      </ns0:c>
      <ns0:c r="AC101" t="n">
        <ns0:f>IF(U101="",0,IF(COUNTIFS(Tasks[Task ID],U101)=1,MATCH(U101,Tasks[Task ID],0),-1))</ns0:f>
        <ns0:v>0</ns0:v>
      </ns0:c>
      <ns0:c r="AD101" t="n">
        <ns0:f>IF(V101="",0,IF(COUNTIFS(Tasks[Task ID],V101)=1,MATCH(V101,Tasks[Task ID],0),-1))</ns0:f>
        <ns0:v>0</ns0:v>
      </ns0:c>
      <ns0:c r="AE101" t="n">
        <ns0:f>IF(W101="",0,IF(COUNTIFS(Tasks[Task ID],W101)=1,MATCH(W101,Tasks[Task ID],0),-1))</ns0:f>
        <ns0:v>0</ns0:v>
      </ns0:c>
      <ns0:c r="AF101" t="n">
        <ns0:f>IF(X101="",0,IF(COUNTIFS(Tasks[Task ID],X101)=1,MATCH(X101,Tasks[Task ID],0),-1))</ns0:f>
        <ns0:v>0</ns0:v>
      </ns0:c>
      <ns0:c r="AG101" t="n">
        <ns0:f>IF(Y101="",0,IF(COUNTIFS(Tasks[Task ID],Y101)=1,MATCH(Y101,Tasks[Task ID],0),-1))</ns0:f>
        <ns0:v>0</ns0:v>
      </ns0:c>
      <ns0:c r="AH101" t="n">
        <ns0:f>IF(Z101="",0,IF(COUNTIFS(Tasks[Task ID],Z101)=1,MATCH(Z101,Tasks[Task ID],0),-1))</ns0:f>
        <ns0:v>0</ns0:v>
      </ns0:c>
      <ns0:c r="AI101" t="n">
        <ns0:f>IF(AA101="",0,IF(COUNTIFS(Tasks[Task ID],AA101)=1,MATCH(AA101,Tasks[Task ID],0),-1))</ns0:f>
        <ns0:v>0</ns0:v>
      </ns0:c>
      <ns0:c r="AJ101" t="n">
        <ns0:f>IF(AB101="",0,IF(COUNTIFS(Tasks[Task ID],AB101)=1,MATCH(AB101,Tasks[Task ID],0),-1))</ns0:f>
        <ns0:v>0</ns0:v>
      </ns0:c>
      <ns0:c r="AK101" t="n">
        <ns0:f>COUNTIFS(AC101:AJ101,-1)+IF(T101&gt;8,1,0)</ns0:f>
        <ns0:v>0</ns0:v>
      </ns0:c>
      <ns0:c r="AL101" t="n">
        <ns0:f>IF(OR(A101="",S101&lt;&gt;""),0,SUM(IF(AC101&gt;0,IF($I101="FS",--($E101&lt;INDEX(Tasks[End Date],AC101)+IF(INDEX(Tasks[Milestone],AC101)="Yes",0,1)),IF($I101="SS",--($E101&lt;INDEX(Tasks[Start Date],AC101)),IF($I101="FF",--($F101&lt;INDEX(Tasks[End Date],AC101)),IF($I101="SF",--($F101&lt;INDEX(Tasks[Start Date],AC101)),0)))),0),IF(AD101&gt;0,IF($I101="FS",--($E101&lt;INDEX(Tasks[End Date],AD101)+IF(INDEX(Tasks[Milestone],AD101)="Yes",0,1)),IF($I101="SS",--($E101&lt;INDEX(Tasks[Start Date],AD101)),IF($I101="FF",--($F101&lt;INDEX(Tasks[End Date],AD101)),IF($I101="SF",--($F101&lt;INDEX(Tasks[Start Date],AD101)),0)))),0),IF(AE101&gt;0,IF($I101="FS",--($E101&lt;INDEX(Tasks[End Date],AE101)+IF(INDEX(Tasks[Milestone],AE101)="Yes",0,1)),IF($I101="SS",--($E101&lt;INDEX(Tasks[Start Date],AE101)),IF($I101="FF",--($F101&lt;INDEX(Tasks[End Date],AE101)),IF($I101="SF",--($F101&lt;INDEX(Tasks[Start Date],AE101)),0)))),0),IF(AF101&gt;0,IF($I101="FS",--($E101&lt;INDEX(Tasks[End Date],AF101)+IF(INDEX(Tasks[Milestone],AF101)="Yes",0,1)),IF($I101="SS",--($E101&lt;INDEX(Tasks[Start Date],AF101)),IF($I101="FF",--($F101&lt;INDEX(Tasks[End Date],AF101)),IF($I101="SF",--($F101&lt;INDEX(Tasks[Start Date],AF101)),0)))),0),IF(AG101&gt;0,IF($I101="FS",--($E101&lt;INDEX(Tasks[End Date],AG101)+IF(INDEX(Tasks[Milestone],AG101)="Yes",0,1)),IF($I101="SS",--($E101&lt;INDEX(Tasks[Start Date],AG101)),IF($I101="FF",--($F101&lt;INDEX(Tasks[End Date],AG101)),IF($I101="SF",--($F101&lt;INDEX(Tasks[Start Date],AG101)),0)))),0),IF(AH101&gt;0,IF($I101="FS",--($E101&lt;INDEX(Tasks[End Date],AH101)+IF(INDEX(Tasks[Milestone],AH101)="Yes",0,1)),IF($I101="SS",--($E101&lt;INDEX(Tasks[Start Date],AH101)),IF($I101="FF",--($F101&lt;INDEX(Tasks[End Date],AH101)),IF($I101="SF",--($F101&lt;INDEX(Tasks[Start Date],AH101)),0)))),0),IF(AI101&gt;0,IF($I101="FS",--($E101&lt;INDEX(Tasks[End Date],AI101)+IF(INDEX(Tasks[Milestone],AI101)="Yes",0,1)),IF($I101="SS",--($E101&lt;INDEX(Tasks[Start Date],AI101)),IF($I101="FF",--($F101&lt;INDEX(Tasks[End Date],AI101)),IF($I101="SF",--($F101&lt;INDEX(Tasks[Start Date],AI101)),0)))),0),IF(AJ101&gt;0,IF($I101="FS",--($E101&lt;INDEX(Tasks[End Date],AJ101)+IF(INDEX(Tasks[Milestone],AJ101)="Yes",0,1)),IF($I101="SS",--($E101&lt;INDEX(Tasks[Start Date],AJ101)),IF($I101="FF",--($F101&lt;INDEX(Tasks[End Date],AJ101)),IF($I101="SF",--($F101&lt;INDEX(Tasks[Start Date],AJ101)),0)))),0)))</ns0:f>
        <ns0:v>0</ns0:v>
      </ns0:c>
      <ns0:c r="AM101" t="n">
        <ns0:f>IF(AND(A101&lt;&gt;"",AK101=0,EP101=0),1,0)</ns0:f>
        <ns0:v>0</ns0:v>
      </ns0:c>
      <ns0:c r="AN101" t="str">
        <ns0:f>IF(OR(A101="",B101=""),"",IF(COUNTIFS($B$7:B101,B101)=1,MAX($AN$6:AN100)+1,""))</ns0:f>
      </ns0:c>
      <ns0:c r="AO101" t="n">
        <ns0:f>IF(AND(A101&lt;&gt;"",J101="No",N101&lt;1,E101&gt;=AsOfDate),E101+ROW()/10000,1E+9)</ns0:f>
        <ns0:v>1000000000</ns0:v>
      </ns0:c>
      <ns0:c r="AP101" t="n">
        <ns0:f>IF(AND(A101&lt;&gt;"",J101="Yes",N101&lt;1,E101&gt;=AsOfDate),E101+ROW()/10000,1E+9)</ns0:f>
        <ns0:v>1000000000</ns0:v>
      </ns0:c>
      <ns0:c r="AQ101" t="n">
        <ns0:f>IF(AND(A101&lt;&gt;"",J101="No",N101&lt;1,F101&gt;=AsOfDate,F101&lt;=AsOfDate+7),F101+ROW()/10000,1E+9)</ns0:f>
        <ns0:v>1000000000</ns0:v>
      </ns0:c>
      <ns0:c r="AR101" t="n">
        <ns0:f>IF(AND(A101&lt;&gt;"",OR(O101&lt;&gt;"On track",Q101="Delayed")),ROW(),1E+9)</ns0:f>
        <ns0:v>1000000000</ns0:v>
      </ns0:c>
      <ns0:c r="AS101" t="str">
        <ns0:f>IF(A101="","",";"&amp;K101&amp;";")</ns0:f>
      </ns0:c>
      <ns0:c r="AT101" t="n">
        <ns0:f>IF(A101="",1,--(T101=0))</ns0:f>
        <ns0:v>1</ns0:v>
      </ns0:c>
      <ns0:c r="AU101" t="n">
        <ns0:f>IF($A101="",1,IF(AT101=1,1,--AND(IF($AC101&gt;0,INDEX(AT$7:AT$106,$AC101),1),IF($AD101&gt;0,INDEX(AT$7:AT$106,$AD101),1),IF($AE101&gt;0,INDEX(AT$7:AT$106,$AE101),1),IF($AF101&gt;0,INDEX(AT$7:AT$106,$AF101),1),IF($AG101&gt;0,INDEX(AT$7:AT$106,$AG101),1),IF($AH101&gt;0,INDEX(AT$7:AT$106,$AH101),1),IF($AI101&gt;0,INDEX(AT$7:AT$106,$AI101),1),IF($AJ101&gt;0,INDEX(AT$7:AT$106,$AJ101),1))))</ns0:f>
        <ns0:v>1</ns0:v>
      </ns0:c>
      <ns0:c r="AV101" t="n">
        <ns0:f>IF($A101="",1,IF(AU101=1,1,--AND(IF($AC101&gt;0,INDEX(AU$7:AU$106,$AC101),1),IF($AD101&gt;0,INDEX(AU$7:AU$106,$AD101),1),IF($AE101&gt;0,INDEX(AU$7:AU$106,$AE101),1),IF($AF101&gt;0,INDEX(AU$7:AU$106,$AF101),1),IF($AG101&gt;0,INDEX(AU$7:AU$106,$AG101),1),IF($AH101&gt;0,INDEX(AU$7:AU$106,$AH101),1),IF($AI101&gt;0,INDEX(AU$7:AU$106,$AI101),1),IF($AJ101&gt;0,INDEX(AU$7:AU$106,$AJ101),1))))</ns0:f>
        <ns0:v>1</ns0:v>
      </ns0:c>
      <ns0:c r="AW101" t="n">
        <ns0:f>IF($A101="",1,IF(AV101=1,1,--AND(IF($AC101&gt;0,INDEX(AV$7:AV$106,$AC101),1),IF($AD101&gt;0,INDEX(AV$7:AV$106,$AD101),1),IF($AE101&gt;0,INDEX(AV$7:AV$106,$AE101),1),IF($AF101&gt;0,INDEX(AV$7:AV$106,$AF101),1),IF($AG101&gt;0,INDEX(AV$7:AV$106,$AG101),1),IF($AH101&gt;0,INDEX(AV$7:AV$106,$AH101),1),IF($AI101&gt;0,INDEX(AV$7:AV$106,$AI101),1),IF($AJ101&gt;0,INDEX(AV$7:AV$106,$AJ101),1))))</ns0:f>
        <ns0:v>1</ns0:v>
      </ns0:c>
      <ns0:c r="AX101" t="n">
        <ns0:f>IF($A101="",1,IF(AW101=1,1,--AND(IF($AC101&gt;0,INDEX(AW$7:AW$106,$AC101),1),IF($AD101&gt;0,INDEX(AW$7:AW$106,$AD101),1),IF($AE101&gt;0,INDEX(AW$7:AW$106,$AE101),1),IF($AF101&gt;0,INDEX(AW$7:AW$106,$AF101),1),IF($AG101&gt;0,INDEX(AW$7:AW$106,$AG101),1),IF($AH101&gt;0,INDEX(AW$7:AW$106,$AH101),1),IF($AI101&gt;0,INDEX(AW$7:AW$106,$AI101),1),IF($AJ101&gt;0,INDEX(AW$7:AW$106,$AJ101),1))))</ns0:f>
        <ns0:v>1</ns0:v>
      </ns0:c>
      <ns0:c r="AY101" t="n">
        <ns0:f>IF($A101="",1,IF(AX101=1,1,--AND(IF($AC101&gt;0,INDEX(AX$7:AX$106,$AC101),1),IF($AD101&gt;0,INDEX(AX$7:AX$106,$AD101),1),IF($AE101&gt;0,INDEX(AX$7:AX$106,$AE101),1),IF($AF101&gt;0,INDEX(AX$7:AX$106,$AF101),1),IF($AG101&gt;0,INDEX(AX$7:AX$106,$AG101),1),IF($AH101&gt;0,INDEX(AX$7:AX$106,$AH101),1),IF($AI101&gt;0,INDEX(AX$7:AX$106,$AI101),1),IF($AJ101&gt;0,INDEX(AX$7:AX$106,$AJ101),1))))</ns0:f>
        <ns0:v>1</ns0:v>
      </ns0:c>
      <ns0:c r="AZ101" t="n">
        <ns0:f>IF($A101="",1,IF(AY101=1,1,--AND(IF($AC101&gt;0,INDEX(AY$7:AY$106,$AC101),1),IF($AD101&gt;0,INDEX(AY$7:AY$106,$AD101),1),IF($AE101&gt;0,INDEX(AY$7:AY$106,$AE101),1),IF($AF101&gt;0,INDEX(AY$7:AY$106,$AF101),1),IF($AG101&gt;0,INDEX(AY$7:AY$106,$AG101),1),IF($AH101&gt;0,INDEX(AY$7:AY$106,$AH101),1),IF($AI101&gt;0,INDEX(AY$7:AY$106,$AI101),1),IF($AJ101&gt;0,INDEX(AY$7:AY$106,$AJ101),1))))</ns0:f>
        <ns0:v>1</ns0:v>
      </ns0:c>
      <ns0:c r="BA101" t="n">
        <ns0:f>IF($A101="",1,IF(AZ101=1,1,--AND(IF($AC101&gt;0,INDEX(AZ$7:AZ$106,$AC101),1),IF($AD101&gt;0,INDEX(AZ$7:AZ$106,$AD101),1),IF($AE101&gt;0,INDEX(AZ$7:AZ$106,$AE101),1),IF($AF101&gt;0,INDEX(AZ$7:AZ$106,$AF101),1),IF($AG101&gt;0,INDEX(AZ$7:AZ$106,$AG101),1),IF($AH101&gt;0,INDEX(AZ$7:AZ$106,$AH101),1),IF($AI101&gt;0,INDEX(AZ$7:AZ$106,$AI101),1),IF($AJ101&gt;0,INDEX(AZ$7:AZ$106,$AJ101),1))))</ns0:f>
        <ns0:v>1</ns0:v>
      </ns0:c>
      <ns0:c r="BB101" t="n">
        <ns0:f>IF($A101="",1,IF(BA101=1,1,--AND(IF($AC101&gt;0,INDEX(BA$7:BA$106,$AC101),1),IF($AD101&gt;0,INDEX(BA$7:BA$106,$AD101),1),IF($AE101&gt;0,INDEX(BA$7:BA$106,$AE101),1),IF($AF101&gt;0,INDEX(BA$7:BA$106,$AF101),1),IF($AG101&gt;0,INDEX(BA$7:BA$106,$AG101),1),IF($AH101&gt;0,INDEX(BA$7:BA$106,$AH101),1),IF($AI101&gt;0,INDEX(BA$7:BA$106,$AI101),1),IF($AJ101&gt;0,INDEX(BA$7:BA$106,$AJ101),1))))</ns0:f>
        <ns0:v>1</ns0:v>
      </ns0:c>
      <ns0:c r="BC101" t="n">
        <ns0:f>IF($A101="",1,IF(BB101=1,1,--AND(IF($AC101&gt;0,INDEX(BB$7:BB$106,$AC101),1),IF($AD101&gt;0,INDEX(BB$7:BB$106,$AD101),1),IF($AE101&gt;0,INDEX(BB$7:BB$106,$AE101),1),IF($AF101&gt;0,INDEX(BB$7:BB$106,$AF101),1),IF($AG101&gt;0,INDEX(BB$7:BB$106,$AG101),1),IF($AH101&gt;0,INDEX(BB$7:BB$106,$AH101),1),IF($AI101&gt;0,INDEX(BB$7:BB$106,$AI101),1),IF($AJ101&gt;0,INDEX(BB$7:BB$106,$AJ101),1))))</ns0:f>
        <ns0:v>1</ns0:v>
      </ns0:c>
      <ns0:c r="BD101" t="n">
        <ns0:f>IF($A101="",1,IF(BC101=1,1,--AND(IF($AC101&gt;0,INDEX(BC$7:BC$106,$AC101),1),IF($AD101&gt;0,INDEX(BC$7:BC$106,$AD101),1),IF($AE101&gt;0,INDEX(BC$7:BC$106,$AE101),1),IF($AF101&gt;0,INDEX(BC$7:BC$106,$AF101),1),IF($AG101&gt;0,INDEX(BC$7:BC$106,$AG101),1),IF($AH101&gt;0,INDEX(BC$7:BC$106,$AH101),1),IF($AI101&gt;0,INDEX(BC$7:BC$106,$AI101),1),IF($AJ101&gt;0,INDEX(BC$7:BC$106,$AJ101),1))))</ns0:f>
        <ns0:v>1</ns0:v>
      </ns0:c>
      <ns0:c r="BE101" t="n">
        <ns0:f>IF($A101="",1,IF(BD101=1,1,--AND(IF($AC101&gt;0,INDEX(BD$7:BD$106,$AC101),1),IF($AD101&gt;0,INDEX(BD$7:BD$106,$AD101),1),IF($AE101&gt;0,INDEX(BD$7:BD$106,$AE101),1),IF($AF101&gt;0,INDEX(BD$7:BD$106,$AF101),1),IF($AG101&gt;0,INDEX(BD$7:BD$106,$AG101),1),IF($AH101&gt;0,INDEX(BD$7:BD$106,$AH101),1),IF($AI101&gt;0,INDEX(BD$7:BD$106,$AI101),1),IF($AJ101&gt;0,INDEX(BD$7:BD$106,$AJ101),1))))</ns0:f>
        <ns0:v>1</ns0:v>
      </ns0:c>
      <ns0:c r="BF101" t="n">
        <ns0:f>IF($A101="",1,IF(BE101=1,1,--AND(IF($AC101&gt;0,INDEX(BE$7:BE$106,$AC101),1),IF($AD101&gt;0,INDEX(BE$7:BE$106,$AD101),1),IF($AE101&gt;0,INDEX(BE$7:BE$106,$AE101),1),IF($AF101&gt;0,INDEX(BE$7:BE$106,$AF101),1),IF($AG101&gt;0,INDEX(BE$7:BE$106,$AG101),1),IF($AH101&gt;0,INDEX(BE$7:BE$106,$AH101),1),IF($AI101&gt;0,INDEX(BE$7:BE$106,$AI101),1),IF($AJ101&gt;0,INDEX(BE$7:BE$106,$AJ101),1))))</ns0:f>
        <ns0:v>1</ns0:v>
      </ns0:c>
      <ns0:c r="BG101" t="n">
        <ns0:f>IF($A101="",1,IF(BF101=1,1,--AND(IF($AC101&gt;0,INDEX(BF$7:BF$106,$AC101),1),IF($AD101&gt;0,INDEX(BF$7:BF$106,$AD101),1),IF($AE101&gt;0,INDEX(BF$7:BF$106,$AE101),1),IF($AF101&gt;0,INDEX(BF$7:BF$106,$AF101),1),IF($AG101&gt;0,INDEX(BF$7:BF$106,$AG101),1),IF($AH101&gt;0,INDEX(BF$7:BF$106,$AH101),1),IF($AI101&gt;0,INDEX(BF$7:BF$106,$AI101),1),IF($AJ101&gt;0,INDEX(BF$7:BF$106,$AJ101),1))))</ns0:f>
        <ns0:v>1</ns0:v>
      </ns0:c>
      <ns0:c r="BH101" t="n">
        <ns0:f>IF($A101="",1,IF(BG101=1,1,--AND(IF($AC101&gt;0,INDEX(BG$7:BG$106,$AC101),1),IF($AD101&gt;0,INDEX(BG$7:BG$106,$AD101),1),IF($AE101&gt;0,INDEX(BG$7:BG$106,$AE101),1),IF($AF101&gt;0,INDEX(BG$7:BG$106,$AF101),1),IF($AG101&gt;0,INDEX(BG$7:BG$106,$AG101),1),IF($AH101&gt;0,INDEX(BG$7:BG$106,$AH101),1),IF($AI101&gt;0,INDEX(BG$7:BG$106,$AI101),1),IF($AJ101&gt;0,INDEX(BG$7:BG$106,$AJ101),1))))</ns0:f>
        <ns0:v>1</ns0:v>
      </ns0:c>
      <ns0:c r="BI101" t="n">
        <ns0:f>IF($A101="",1,IF(BH101=1,1,--AND(IF($AC101&gt;0,INDEX(BH$7:BH$106,$AC101),1),IF($AD101&gt;0,INDEX(BH$7:BH$106,$AD101),1),IF($AE101&gt;0,INDEX(BH$7:BH$106,$AE101),1),IF($AF101&gt;0,INDEX(BH$7:BH$106,$AF101),1),IF($AG101&gt;0,INDEX(BH$7:BH$106,$AG101),1),IF($AH101&gt;0,INDEX(BH$7:BH$106,$AH101),1),IF($AI101&gt;0,INDEX(BH$7:BH$106,$AI101),1),IF($AJ101&gt;0,INDEX(BH$7:BH$106,$AJ101),1))))</ns0:f>
        <ns0:v>1</ns0:v>
      </ns0:c>
      <ns0:c r="BJ101" t="n">
        <ns0:f>IF($A101="",1,IF(BI101=1,1,--AND(IF($AC101&gt;0,INDEX(BI$7:BI$106,$AC101),1),IF($AD101&gt;0,INDEX(BI$7:BI$106,$AD101),1),IF($AE101&gt;0,INDEX(BI$7:BI$106,$AE101),1),IF($AF101&gt;0,INDEX(BI$7:BI$106,$AF101),1),IF($AG101&gt;0,INDEX(BI$7:BI$106,$AG101),1),IF($AH101&gt;0,INDEX(BI$7:BI$106,$AH101),1),IF($AI101&gt;0,INDEX(BI$7:BI$106,$AI101),1),IF($AJ101&gt;0,INDEX(BI$7:BI$106,$AJ101),1))))</ns0:f>
        <ns0:v>1</ns0:v>
      </ns0:c>
      <ns0:c r="BK101" t="n">
        <ns0:f>IF($A101="",1,IF(BJ101=1,1,--AND(IF($AC101&gt;0,INDEX(BJ$7:BJ$106,$AC101),1),IF($AD101&gt;0,INDEX(BJ$7:BJ$106,$AD101),1),IF($AE101&gt;0,INDEX(BJ$7:BJ$106,$AE101),1),IF($AF101&gt;0,INDEX(BJ$7:BJ$106,$AF101),1),IF($AG101&gt;0,INDEX(BJ$7:BJ$106,$AG101),1),IF($AH101&gt;0,INDEX(BJ$7:BJ$106,$AH101),1),IF($AI101&gt;0,INDEX(BJ$7:BJ$106,$AI101),1),IF($AJ101&gt;0,INDEX(BJ$7:BJ$106,$AJ101),1))))</ns0:f>
        <ns0:v>1</ns0:v>
      </ns0:c>
      <ns0:c r="BL101" t="n">
        <ns0:f>IF($A101="",1,IF(BK101=1,1,--AND(IF($AC101&gt;0,INDEX(BK$7:BK$106,$AC101),1),IF($AD101&gt;0,INDEX(BK$7:BK$106,$AD101),1),IF($AE101&gt;0,INDEX(BK$7:BK$106,$AE101),1),IF($AF101&gt;0,INDEX(BK$7:BK$106,$AF101),1),IF($AG101&gt;0,INDEX(BK$7:BK$106,$AG101),1),IF($AH101&gt;0,INDEX(BK$7:BK$106,$AH101),1),IF($AI101&gt;0,INDEX(BK$7:BK$106,$AI101),1),IF($AJ101&gt;0,INDEX(BK$7:BK$106,$AJ101),1))))</ns0:f>
        <ns0:v>1</ns0:v>
      </ns0:c>
      <ns0:c r="BM101" t="n">
        <ns0:f>IF($A101="",1,IF(BL101=1,1,--AND(IF($AC101&gt;0,INDEX(BL$7:BL$106,$AC101),1),IF($AD101&gt;0,INDEX(BL$7:BL$106,$AD101),1),IF($AE101&gt;0,INDEX(BL$7:BL$106,$AE101),1),IF($AF101&gt;0,INDEX(BL$7:BL$106,$AF101),1),IF($AG101&gt;0,INDEX(BL$7:BL$106,$AG101),1),IF($AH101&gt;0,INDEX(BL$7:BL$106,$AH101),1),IF($AI101&gt;0,INDEX(BL$7:BL$106,$AI101),1),IF($AJ101&gt;0,INDEX(BL$7:BL$106,$AJ101),1))))</ns0:f>
        <ns0:v>1</ns0:v>
      </ns0:c>
      <ns0:c r="BN101" t="n">
        <ns0:f>IF($A101="",1,IF(BM101=1,1,--AND(IF($AC101&gt;0,INDEX(BM$7:BM$106,$AC101),1),IF($AD101&gt;0,INDEX(BM$7:BM$106,$AD101),1),IF($AE101&gt;0,INDEX(BM$7:BM$106,$AE101),1),IF($AF101&gt;0,INDEX(BM$7:BM$106,$AF101),1),IF($AG101&gt;0,INDEX(BM$7:BM$106,$AG101),1),IF($AH101&gt;0,INDEX(BM$7:BM$106,$AH101),1),IF($AI101&gt;0,INDEX(BM$7:BM$106,$AI101),1),IF($AJ101&gt;0,INDEX(BM$7:BM$106,$AJ101),1))))</ns0:f>
        <ns0:v>1</ns0:v>
      </ns0:c>
      <ns0:c r="BO101" t="n">
        <ns0:f>IF($A101="",1,IF(BN101=1,1,--AND(IF($AC101&gt;0,INDEX(BN$7:BN$106,$AC101),1),IF($AD101&gt;0,INDEX(BN$7:BN$106,$AD101),1),IF($AE101&gt;0,INDEX(BN$7:BN$106,$AE101),1),IF($AF101&gt;0,INDEX(BN$7:BN$106,$AF101),1),IF($AG101&gt;0,INDEX(BN$7:BN$106,$AG101),1),IF($AH101&gt;0,INDEX(BN$7:BN$106,$AH101),1),IF($AI101&gt;0,INDEX(BN$7:BN$106,$AI101),1),IF($AJ101&gt;0,INDEX(BN$7:BN$106,$AJ101),1))))</ns0:f>
        <ns0:v>1</ns0:v>
      </ns0:c>
      <ns0:c r="BP101" t="n">
        <ns0:f>IF($A101="",1,IF(BO101=1,1,--AND(IF($AC101&gt;0,INDEX(BO$7:BO$106,$AC101),1),IF($AD101&gt;0,INDEX(BO$7:BO$106,$AD101),1),IF($AE101&gt;0,INDEX(BO$7:BO$106,$AE101),1),IF($AF101&gt;0,INDEX(BO$7:BO$106,$AF101),1),IF($AG101&gt;0,INDEX(BO$7:BO$106,$AG101),1),IF($AH101&gt;0,INDEX(BO$7:BO$106,$AH101),1),IF($AI101&gt;0,INDEX(BO$7:BO$106,$AI101),1),IF($AJ101&gt;0,INDEX(BO$7:BO$106,$AJ101),1))))</ns0:f>
        <ns0:v>1</ns0:v>
      </ns0:c>
      <ns0:c r="BQ101" t="n">
        <ns0:f>IF($A101="",1,IF(BP101=1,1,--AND(IF($AC101&gt;0,INDEX(BP$7:BP$106,$AC101),1),IF($AD101&gt;0,INDEX(BP$7:BP$106,$AD101),1),IF($AE101&gt;0,INDEX(BP$7:BP$106,$AE101),1),IF($AF101&gt;0,INDEX(BP$7:BP$106,$AF101),1),IF($AG101&gt;0,INDEX(BP$7:BP$106,$AG101),1),IF($AH101&gt;0,INDEX(BP$7:BP$106,$AH101),1),IF($AI101&gt;0,INDEX(BP$7:BP$106,$AI101),1),IF($AJ101&gt;0,INDEX(BP$7:BP$106,$AJ101),1))))</ns0:f>
        <ns0:v>1</ns0:v>
      </ns0:c>
      <ns0:c r="BR101" t="n">
        <ns0:f>IF($A101="",1,IF(BQ101=1,1,--AND(IF($AC101&gt;0,INDEX(BQ$7:BQ$106,$AC101),1),IF($AD101&gt;0,INDEX(BQ$7:BQ$106,$AD101),1),IF($AE101&gt;0,INDEX(BQ$7:BQ$106,$AE101),1),IF($AF101&gt;0,INDEX(BQ$7:BQ$106,$AF101),1),IF($AG101&gt;0,INDEX(BQ$7:BQ$106,$AG101),1),IF($AH101&gt;0,INDEX(BQ$7:BQ$106,$AH101),1),IF($AI101&gt;0,INDEX(BQ$7:BQ$106,$AI101),1),IF($AJ101&gt;0,INDEX(BQ$7:BQ$106,$AJ101),1))))</ns0:f>
        <ns0:v>1</ns0:v>
      </ns0:c>
      <ns0:c r="BS101" t="n">
        <ns0:f>IF($A101="",1,IF(BR101=1,1,--AND(IF($AC101&gt;0,INDEX(BR$7:BR$106,$AC101),1),IF($AD101&gt;0,INDEX(BR$7:BR$106,$AD101),1),IF($AE101&gt;0,INDEX(BR$7:BR$106,$AE101),1),IF($AF101&gt;0,INDEX(BR$7:BR$106,$AF101),1),IF($AG101&gt;0,INDEX(BR$7:BR$106,$AG101),1),IF($AH101&gt;0,INDEX(BR$7:BR$106,$AH101),1),IF($AI101&gt;0,INDEX(BR$7:BR$106,$AI101),1),IF($AJ101&gt;0,INDEX(BR$7:BR$106,$AJ101),1))))</ns0:f>
        <ns0:v>1</ns0:v>
      </ns0:c>
      <ns0:c r="BT101" t="n">
        <ns0:f>IF($A101="",1,IF(BS101=1,1,--AND(IF($AC101&gt;0,INDEX(BS$7:BS$106,$AC101),1),IF($AD101&gt;0,INDEX(BS$7:BS$106,$AD101),1),IF($AE101&gt;0,INDEX(BS$7:BS$106,$AE101),1),IF($AF101&gt;0,INDEX(BS$7:BS$106,$AF101),1),IF($AG101&gt;0,INDEX(BS$7:BS$106,$AG101),1),IF($AH101&gt;0,INDEX(BS$7:BS$106,$AH101),1),IF($AI101&gt;0,INDEX(BS$7:BS$106,$AI101),1),IF($AJ101&gt;0,INDEX(BS$7:BS$106,$AJ101),1))))</ns0:f>
        <ns0:v>1</ns0:v>
      </ns0:c>
      <ns0:c r="BU101" t="n">
        <ns0:f>IF($A101="",1,IF(BT101=1,1,--AND(IF($AC101&gt;0,INDEX(BT$7:BT$106,$AC101),1),IF($AD101&gt;0,INDEX(BT$7:BT$106,$AD101),1),IF($AE101&gt;0,INDEX(BT$7:BT$106,$AE101),1),IF($AF101&gt;0,INDEX(BT$7:BT$106,$AF101),1),IF($AG101&gt;0,INDEX(BT$7:BT$106,$AG101),1),IF($AH101&gt;0,INDEX(BT$7:BT$106,$AH101),1),IF($AI101&gt;0,INDEX(BT$7:BT$106,$AI101),1),IF($AJ101&gt;0,INDEX(BT$7:BT$106,$AJ101),1))))</ns0:f>
        <ns0:v>1</ns0:v>
      </ns0:c>
      <ns0:c r="BV101" t="n">
        <ns0:f>IF($A101="",1,IF(BU101=1,1,--AND(IF($AC101&gt;0,INDEX(BU$7:BU$106,$AC101),1),IF($AD101&gt;0,INDEX(BU$7:BU$106,$AD101),1),IF($AE101&gt;0,INDEX(BU$7:BU$106,$AE101),1),IF($AF101&gt;0,INDEX(BU$7:BU$106,$AF101),1),IF($AG101&gt;0,INDEX(BU$7:BU$106,$AG101),1),IF($AH101&gt;0,INDEX(BU$7:BU$106,$AH101),1),IF($AI101&gt;0,INDEX(BU$7:BU$106,$AI101),1),IF($AJ101&gt;0,INDEX(BU$7:BU$106,$AJ101),1))))</ns0:f>
        <ns0:v>1</ns0:v>
      </ns0:c>
      <ns0:c r="BW101" t="n">
        <ns0:f>IF($A101="",1,IF(BV101=1,1,--AND(IF($AC101&gt;0,INDEX(BV$7:BV$106,$AC101),1),IF($AD101&gt;0,INDEX(BV$7:BV$106,$AD101),1),IF($AE101&gt;0,INDEX(BV$7:BV$106,$AE101),1),IF($AF101&gt;0,INDEX(BV$7:BV$106,$AF101),1),IF($AG101&gt;0,INDEX(BV$7:BV$106,$AG101),1),IF($AH101&gt;0,INDEX(BV$7:BV$106,$AH101),1),IF($AI101&gt;0,INDEX(BV$7:BV$106,$AI101),1),IF($AJ101&gt;0,INDEX(BV$7:BV$106,$AJ101),1))))</ns0:f>
        <ns0:v>1</ns0:v>
      </ns0:c>
      <ns0:c r="BX101" t="n">
        <ns0:f>IF($A101="",1,IF(BW101=1,1,--AND(IF($AC101&gt;0,INDEX(BW$7:BW$106,$AC101),1),IF($AD101&gt;0,INDEX(BW$7:BW$106,$AD101),1),IF($AE101&gt;0,INDEX(BW$7:BW$106,$AE101),1),IF($AF101&gt;0,INDEX(BW$7:BW$106,$AF101),1),IF($AG101&gt;0,INDEX(BW$7:BW$106,$AG101),1),IF($AH101&gt;0,INDEX(BW$7:BW$106,$AH101),1),IF($AI101&gt;0,INDEX(BW$7:BW$106,$AI101),1),IF($AJ101&gt;0,INDEX(BW$7:BW$106,$AJ101),1))))</ns0:f>
        <ns0:v>1</ns0:v>
      </ns0:c>
      <ns0:c r="BY101" t="n">
        <ns0:f>IF($A101="",1,IF(BX101=1,1,--AND(IF($AC101&gt;0,INDEX(BX$7:BX$106,$AC101),1),IF($AD101&gt;0,INDEX(BX$7:BX$106,$AD101),1),IF($AE101&gt;0,INDEX(BX$7:BX$106,$AE101),1),IF($AF101&gt;0,INDEX(BX$7:BX$106,$AF101),1),IF($AG101&gt;0,INDEX(BX$7:BX$106,$AG101),1),IF($AH101&gt;0,INDEX(BX$7:BX$106,$AH101),1),IF($AI101&gt;0,INDEX(BX$7:BX$106,$AI101),1),IF($AJ101&gt;0,INDEX(BX$7:BX$106,$AJ101),1))))</ns0:f>
        <ns0:v>1</ns0:v>
      </ns0:c>
      <ns0:c r="BZ101" t="n">
        <ns0:f>IF($A101="",1,IF(BY101=1,1,--AND(IF($AC101&gt;0,INDEX(BY$7:BY$106,$AC101),1),IF($AD101&gt;0,INDEX(BY$7:BY$106,$AD101),1),IF($AE101&gt;0,INDEX(BY$7:BY$106,$AE101),1),IF($AF101&gt;0,INDEX(BY$7:BY$106,$AF101),1),IF($AG101&gt;0,INDEX(BY$7:BY$106,$AG101),1),IF($AH101&gt;0,INDEX(BY$7:BY$106,$AH101),1),IF($AI101&gt;0,INDEX(BY$7:BY$106,$AI101),1),IF($AJ101&gt;0,INDEX(BY$7:BY$106,$AJ101),1))))</ns0:f>
        <ns0:v>1</ns0:v>
      </ns0:c>
      <ns0:c r="CA101" t="n">
        <ns0:f>IF($A101="",1,IF(BZ101=1,1,--AND(IF($AC101&gt;0,INDEX(BZ$7:BZ$106,$AC101),1),IF($AD101&gt;0,INDEX(BZ$7:BZ$106,$AD101),1),IF($AE101&gt;0,INDEX(BZ$7:BZ$106,$AE101),1),IF($AF101&gt;0,INDEX(BZ$7:BZ$106,$AF101),1),IF($AG101&gt;0,INDEX(BZ$7:BZ$106,$AG101),1),IF($AH101&gt;0,INDEX(BZ$7:BZ$106,$AH101),1),IF($AI101&gt;0,INDEX(BZ$7:BZ$106,$AI101),1),IF($AJ101&gt;0,INDEX(BZ$7:BZ$106,$AJ101),1))))</ns0:f>
        <ns0:v>1</ns0:v>
      </ns0:c>
      <ns0:c r="CB101" t="n">
        <ns0:f>IF($A101="",1,IF(CA101=1,1,--AND(IF($AC101&gt;0,INDEX(CA$7:CA$106,$AC101),1),IF($AD101&gt;0,INDEX(CA$7:CA$106,$AD101),1),IF($AE101&gt;0,INDEX(CA$7:CA$106,$AE101),1),IF($AF101&gt;0,INDEX(CA$7:CA$106,$AF101),1),IF($AG101&gt;0,INDEX(CA$7:CA$106,$AG101),1),IF($AH101&gt;0,INDEX(CA$7:CA$106,$AH101),1),IF($AI101&gt;0,INDEX(CA$7:CA$106,$AI101),1),IF($AJ101&gt;0,INDEX(CA$7:CA$106,$AJ101),1))))</ns0:f>
        <ns0:v>1</ns0:v>
      </ns0:c>
      <ns0:c r="CC101" t="n">
        <ns0:f>IF($A101="",1,IF(CB101=1,1,--AND(IF($AC101&gt;0,INDEX(CB$7:CB$106,$AC101),1),IF($AD101&gt;0,INDEX(CB$7:CB$106,$AD101),1),IF($AE101&gt;0,INDEX(CB$7:CB$106,$AE101),1),IF($AF101&gt;0,INDEX(CB$7:CB$106,$AF101),1),IF($AG101&gt;0,INDEX(CB$7:CB$106,$AG101),1),IF($AH101&gt;0,INDEX(CB$7:CB$106,$AH101),1),IF($AI101&gt;0,INDEX(CB$7:CB$106,$AI101),1),IF($AJ101&gt;0,INDEX(CB$7:CB$106,$AJ101),1))))</ns0:f>
        <ns0:v>1</ns0:v>
      </ns0:c>
      <ns0:c r="CD101" t="n">
        <ns0:f>IF($A101="",1,IF(CC101=1,1,--AND(IF($AC101&gt;0,INDEX(CC$7:CC$106,$AC101),1),IF($AD101&gt;0,INDEX(CC$7:CC$106,$AD101),1),IF($AE101&gt;0,INDEX(CC$7:CC$106,$AE101),1),IF($AF101&gt;0,INDEX(CC$7:CC$106,$AF101),1),IF($AG101&gt;0,INDEX(CC$7:CC$106,$AG101),1),IF($AH101&gt;0,INDEX(CC$7:CC$106,$AH101),1),IF($AI101&gt;0,INDEX(CC$7:CC$106,$AI101),1),IF($AJ101&gt;0,INDEX(CC$7:CC$106,$AJ101),1))))</ns0:f>
        <ns0:v>1</ns0:v>
      </ns0:c>
      <ns0:c r="CE101" t="n">
        <ns0:f>IF($A101="",1,IF(CD101=1,1,--AND(IF($AC101&gt;0,INDEX(CD$7:CD$106,$AC101),1),IF($AD101&gt;0,INDEX(CD$7:CD$106,$AD101),1),IF($AE101&gt;0,INDEX(CD$7:CD$106,$AE101),1),IF($AF101&gt;0,INDEX(CD$7:CD$106,$AF101),1),IF($AG101&gt;0,INDEX(CD$7:CD$106,$AG101),1),IF($AH101&gt;0,INDEX(CD$7:CD$106,$AH101),1),IF($AI101&gt;0,INDEX(CD$7:CD$106,$AI101),1),IF($AJ101&gt;0,INDEX(CD$7:CD$106,$AJ101),1))))</ns0:f>
        <ns0:v>1</ns0:v>
      </ns0:c>
      <ns0:c r="CF101" t="n">
        <ns0:f>IF($A101="",1,IF(CE101=1,1,--AND(IF($AC101&gt;0,INDEX(CE$7:CE$106,$AC101),1),IF($AD101&gt;0,INDEX(CE$7:CE$106,$AD101),1),IF($AE101&gt;0,INDEX(CE$7:CE$106,$AE101),1),IF($AF101&gt;0,INDEX(CE$7:CE$106,$AF101),1),IF($AG101&gt;0,INDEX(CE$7:CE$106,$AG101),1),IF($AH101&gt;0,INDEX(CE$7:CE$106,$AH101),1),IF($AI101&gt;0,INDEX(CE$7:CE$106,$AI101),1),IF($AJ101&gt;0,INDEX(CE$7:CE$106,$AJ101),1))))</ns0:f>
        <ns0:v>1</ns0:v>
      </ns0:c>
      <ns0:c r="CG101" t="n">
        <ns0:f>IF($A101="",1,IF(CF101=1,1,--AND(IF($AC101&gt;0,INDEX(CF$7:CF$106,$AC101),1),IF($AD101&gt;0,INDEX(CF$7:CF$106,$AD101),1),IF($AE101&gt;0,INDEX(CF$7:CF$106,$AE101),1),IF($AF101&gt;0,INDEX(CF$7:CF$106,$AF101),1),IF($AG101&gt;0,INDEX(CF$7:CF$106,$AG101),1),IF($AH101&gt;0,INDEX(CF$7:CF$106,$AH101),1),IF($AI101&gt;0,INDEX(CF$7:CF$106,$AI101),1),IF($AJ101&gt;0,INDEX(CF$7:CF$106,$AJ101),1))))</ns0:f>
        <ns0:v>1</ns0:v>
      </ns0:c>
      <ns0:c r="CH101" t="n">
        <ns0:f>IF($A101="",1,IF(CG101=1,1,--AND(IF($AC101&gt;0,INDEX(CG$7:CG$106,$AC101),1),IF($AD101&gt;0,INDEX(CG$7:CG$106,$AD101),1),IF($AE101&gt;0,INDEX(CG$7:CG$106,$AE101),1),IF($AF101&gt;0,INDEX(CG$7:CG$106,$AF101),1),IF($AG101&gt;0,INDEX(CG$7:CG$106,$AG101),1),IF($AH101&gt;0,INDEX(CG$7:CG$106,$AH101),1),IF($AI101&gt;0,INDEX(CG$7:CG$106,$AI101),1),IF($AJ101&gt;0,INDEX(CG$7:CG$106,$AJ101),1))))</ns0:f>
        <ns0:v>1</ns0:v>
      </ns0:c>
      <ns0:c r="CI101" t="n">
        <ns0:f>IF($A101="",1,IF(CH101=1,1,--AND(IF($AC101&gt;0,INDEX(CH$7:CH$106,$AC101),1),IF($AD101&gt;0,INDEX(CH$7:CH$106,$AD101),1),IF($AE101&gt;0,INDEX(CH$7:CH$106,$AE101),1),IF($AF101&gt;0,INDEX(CH$7:CH$106,$AF101),1),IF($AG101&gt;0,INDEX(CH$7:CH$106,$AG101),1),IF($AH101&gt;0,INDEX(CH$7:CH$106,$AH101),1),IF($AI101&gt;0,INDEX(CH$7:CH$106,$AI101),1),IF($AJ101&gt;0,INDEX(CH$7:CH$106,$AJ101),1))))</ns0:f>
        <ns0:v>1</ns0:v>
      </ns0:c>
      <ns0:c r="CJ101" t="n">
        <ns0:f>IF($A101="",1,IF(CI101=1,1,--AND(IF($AC101&gt;0,INDEX(CI$7:CI$106,$AC101),1),IF($AD101&gt;0,INDEX(CI$7:CI$106,$AD101),1),IF($AE101&gt;0,INDEX(CI$7:CI$106,$AE101),1),IF($AF101&gt;0,INDEX(CI$7:CI$106,$AF101),1),IF($AG101&gt;0,INDEX(CI$7:CI$106,$AG101),1),IF($AH101&gt;0,INDEX(CI$7:CI$106,$AH101),1),IF($AI101&gt;0,INDEX(CI$7:CI$106,$AI101),1),IF($AJ101&gt;0,INDEX(CI$7:CI$106,$AJ101),1))))</ns0:f>
        <ns0:v>1</ns0:v>
      </ns0:c>
      <ns0:c r="CK101" t="n">
        <ns0:f>IF($A101="",1,IF(CJ101=1,1,--AND(IF($AC101&gt;0,INDEX(CJ$7:CJ$106,$AC101),1),IF($AD101&gt;0,INDEX(CJ$7:CJ$106,$AD101),1),IF($AE101&gt;0,INDEX(CJ$7:CJ$106,$AE101),1),IF($AF101&gt;0,INDEX(CJ$7:CJ$106,$AF101),1),IF($AG101&gt;0,INDEX(CJ$7:CJ$106,$AG101),1),IF($AH101&gt;0,INDEX(CJ$7:CJ$106,$AH101),1),IF($AI101&gt;0,INDEX(CJ$7:CJ$106,$AI101),1),IF($AJ101&gt;0,INDEX(CJ$7:CJ$106,$AJ101),1))))</ns0:f>
        <ns0:v>1</ns0:v>
      </ns0:c>
      <ns0:c r="CL101" t="n">
        <ns0:f>IF($A101="",1,IF(CK101=1,1,--AND(IF($AC101&gt;0,INDEX(CK$7:CK$106,$AC101),1),IF($AD101&gt;0,INDEX(CK$7:CK$106,$AD101),1),IF($AE101&gt;0,INDEX(CK$7:CK$106,$AE101),1),IF($AF101&gt;0,INDEX(CK$7:CK$106,$AF101),1),IF($AG101&gt;0,INDEX(CK$7:CK$106,$AG101),1),IF($AH101&gt;0,INDEX(CK$7:CK$106,$AH101),1),IF($AI101&gt;0,INDEX(CK$7:CK$106,$AI101),1),IF($AJ101&gt;0,INDEX(CK$7:CK$106,$AJ101),1))))</ns0:f>
        <ns0:v>1</ns0:v>
      </ns0:c>
      <ns0:c r="CM101" t="n">
        <ns0:f>IF($A101="",1,IF(CL101=1,1,--AND(IF($AC101&gt;0,INDEX(CL$7:CL$106,$AC101),1),IF($AD101&gt;0,INDEX(CL$7:CL$106,$AD101),1),IF($AE101&gt;0,INDEX(CL$7:CL$106,$AE101),1),IF($AF101&gt;0,INDEX(CL$7:CL$106,$AF101),1),IF($AG101&gt;0,INDEX(CL$7:CL$106,$AG101),1),IF($AH101&gt;0,INDEX(CL$7:CL$106,$AH101),1),IF($AI101&gt;0,INDEX(CL$7:CL$106,$AI101),1),IF($AJ101&gt;0,INDEX(CL$7:CL$106,$AJ101),1))))</ns0:f>
        <ns0:v>1</ns0:v>
      </ns0:c>
      <ns0:c r="CN101" t="n">
        <ns0:f>IF($A101="",1,IF(CM101=1,1,--AND(IF($AC101&gt;0,INDEX(CM$7:CM$106,$AC101),1),IF($AD101&gt;0,INDEX(CM$7:CM$106,$AD101),1),IF($AE101&gt;0,INDEX(CM$7:CM$106,$AE101),1),IF($AF101&gt;0,INDEX(CM$7:CM$106,$AF101),1),IF($AG101&gt;0,INDEX(CM$7:CM$106,$AG101),1),IF($AH101&gt;0,INDEX(CM$7:CM$106,$AH101),1),IF($AI101&gt;0,INDEX(CM$7:CM$106,$AI101),1),IF($AJ101&gt;0,INDEX(CM$7:CM$106,$AJ101),1))))</ns0:f>
        <ns0:v>1</ns0:v>
      </ns0:c>
      <ns0:c r="CO101" t="n">
        <ns0:f>IF($A101="",1,IF(CN101=1,1,--AND(IF($AC101&gt;0,INDEX(CN$7:CN$106,$AC101),1),IF($AD101&gt;0,INDEX(CN$7:CN$106,$AD101),1),IF($AE101&gt;0,INDEX(CN$7:CN$106,$AE101),1),IF($AF101&gt;0,INDEX(CN$7:CN$106,$AF101),1),IF($AG101&gt;0,INDEX(CN$7:CN$106,$AG101),1),IF($AH101&gt;0,INDEX(CN$7:CN$106,$AH101),1),IF($AI101&gt;0,INDEX(CN$7:CN$106,$AI101),1),IF($AJ101&gt;0,INDEX(CN$7:CN$106,$AJ101),1))))</ns0:f>
        <ns0:v>1</ns0:v>
      </ns0:c>
      <ns0:c r="CP101" t="n">
        <ns0:f>IF($A101="",1,IF(CO101=1,1,--AND(IF($AC101&gt;0,INDEX(CO$7:CO$106,$AC101),1),IF($AD101&gt;0,INDEX(CO$7:CO$106,$AD101),1),IF($AE101&gt;0,INDEX(CO$7:CO$106,$AE101),1),IF($AF101&gt;0,INDEX(CO$7:CO$106,$AF101),1),IF($AG101&gt;0,INDEX(CO$7:CO$106,$AG101),1),IF($AH101&gt;0,INDEX(CO$7:CO$106,$AH101),1),IF($AI101&gt;0,INDEX(CO$7:CO$106,$AI101),1),IF($AJ101&gt;0,INDEX(CO$7:CO$106,$AJ101),1))))</ns0:f>
        <ns0:v>1</ns0:v>
      </ns0:c>
      <ns0:c r="CQ101" t="n">
        <ns0:f>IF($A101="",1,IF(CP101=1,1,--AND(IF($AC101&gt;0,INDEX(CP$7:CP$106,$AC101),1),IF($AD101&gt;0,INDEX(CP$7:CP$106,$AD101),1),IF($AE101&gt;0,INDEX(CP$7:CP$106,$AE101),1),IF($AF101&gt;0,INDEX(CP$7:CP$106,$AF101),1),IF($AG101&gt;0,INDEX(CP$7:CP$106,$AG101),1),IF($AH101&gt;0,INDEX(CP$7:CP$106,$AH101),1),IF($AI101&gt;0,INDEX(CP$7:CP$106,$AI101),1),IF($AJ101&gt;0,INDEX(CP$7:CP$106,$AJ101),1))))</ns0:f>
        <ns0:v>1</ns0:v>
      </ns0:c>
      <ns0:c r="CR101" t="n">
        <ns0:f>IF($A101="",1,IF(CQ101=1,1,--AND(IF($AC101&gt;0,INDEX(CQ$7:CQ$106,$AC101),1),IF($AD101&gt;0,INDEX(CQ$7:CQ$106,$AD101),1),IF($AE101&gt;0,INDEX(CQ$7:CQ$106,$AE101),1),IF($AF101&gt;0,INDEX(CQ$7:CQ$106,$AF101),1),IF($AG101&gt;0,INDEX(CQ$7:CQ$106,$AG101),1),IF($AH101&gt;0,INDEX(CQ$7:CQ$106,$AH101),1),IF($AI101&gt;0,INDEX(CQ$7:CQ$106,$AI101),1),IF($AJ101&gt;0,INDEX(CQ$7:CQ$106,$AJ101),1))))</ns0:f>
        <ns0:v>1</ns0:v>
      </ns0:c>
      <ns0:c r="CS101" t="n">
        <ns0:f>IF($A101="",1,IF(CR101=1,1,--AND(IF($AC101&gt;0,INDEX(CR$7:CR$106,$AC101),1),IF($AD101&gt;0,INDEX(CR$7:CR$106,$AD101),1),IF($AE101&gt;0,INDEX(CR$7:CR$106,$AE101),1),IF($AF101&gt;0,INDEX(CR$7:CR$106,$AF101),1),IF($AG101&gt;0,INDEX(CR$7:CR$106,$AG101),1),IF($AH101&gt;0,INDEX(CR$7:CR$106,$AH101),1),IF($AI101&gt;0,INDEX(CR$7:CR$106,$AI101),1),IF($AJ101&gt;0,INDEX(CR$7:CR$106,$AJ101),1))))</ns0:f>
        <ns0:v>1</ns0:v>
      </ns0:c>
      <ns0:c r="CT101" t="n">
        <ns0:f>IF($A101="",1,IF(CS101=1,1,--AND(IF($AC101&gt;0,INDEX(CS$7:CS$106,$AC101),1),IF($AD101&gt;0,INDEX(CS$7:CS$106,$AD101),1),IF($AE101&gt;0,INDEX(CS$7:CS$106,$AE101),1),IF($AF101&gt;0,INDEX(CS$7:CS$106,$AF101),1),IF($AG101&gt;0,INDEX(CS$7:CS$106,$AG101),1),IF($AH101&gt;0,INDEX(CS$7:CS$106,$AH101),1),IF($AI101&gt;0,INDEX(CS$7:CS$106,$AI101),1),IF($AJ101&gt;0,INDEX(CS$7:CS$106,$AJ101),1))))</ns0:f>
        <ns0:v>1</ns0:v>
      </ns0:c>
      <ns0:c r="CU101" t="n">
        <ns0:f>IF($A101="",1,IF(CT101=1,1,--AND(IF($AC101&gt;0,INDEX(CT$7:CT$106,$AC101),1),IF($AD101&gt;0,INDEX(CT$7:CT$106,$AD101),1),IF($AE101&gt;0,INDEX(CT$7:CT$106,$AE101),1),IF($AF101&gt;0,INDEX(CT$7:CT$106,$AF101),1),IF($AG101&gt;0,INDEX(CT$7:CT$106,$AG101),1),IF($AH101&gt;0,INDEX(CT$7:CT$106,$AH101),1),IF($AI101&gt;0,INDEX(CT$7:CT$106,$AI101),1),IF($AJ101&gt;0,INDEX(CT$7:CT$106,$AJ101),1))))</ns0:f>
        <ns0:v>1</ns0:v>
      </ns0:c>
      <ns0:c r="CV101" t="n">
        <ns0:f>IF($A101="",1,IF(CU101=1,1,--AND(IF($AC101&gt;0,INDEX(CU$7:CU$106,$AC101),1),IF($AD101&gt;0,INDEX(CU$7:CU$106,$AD101),1),IF($AE101&gt;0,INDEX(CU$7:CU$106,$AE101),1),IF($AF101&gt;0,INDEX(CU$7:CU$106,$AF101),1),IF($AG101&gt;0,INDEX(CU$7:CU$106,$AG101),1),IF($AH101&gt;0,INDEX(CU$7:CU$106,$AH101),1),IF($AI101&gt;0,INDEX(CU$7:CU$106,$AI101),1),IF($AJ101&gt;0,INDEX(CU$7:CU$106,$AJ101),1))))</ns0:f>
        <ns0:v>1</ns0:v>
      </ns0:c>
      <ns0:c r="CW101" t="n">
        <ns0:f>IF($A101="",1,IF(CV101=1,1,--AND(IF($AC101&gt;0,INDEX(CV$7:CV$106,$AC101),1),IF($AD101&gt;0,INDEX(CV$7:CV$106,$AD101),1),IF($AE101&gt;0,INDEX(CV$7:CV$106,$AE101),1),IF($AF101&gt;0,INDEX(CV$7:CV$106,$AF101),1),IF($AG101&gt;0,INDEX(CV$7:CV$106,$AG101),1),IF($AH101&gt;0,INDEX(CV$7:CV$106,$AH101),1),IF($AI101&gt;0,INDEX(CV$7:CV$106,$AI101),1),IF($AJ101&gt;0,INDEX(CV$7:CV$106,$AJ101),1))))</ns0:f>
        <ns0:v>1</ns0:v>
      </ns0:c>
      <ns0:c r="CX101" t="n">
        <ns0:f>IF($A101="",1,IF(CW101=1,1,--AND(IF($AC101&gt;0,INDEX(CW$7:CW$106,$AC101),1),IF($AD101&gt;0,INDEX(CW$7:CW$106,$AD101),1),IF($AE101&gt;0,INDEX(CW$7:CW$106,$AE101),1),IF($AF101&gt;0,INDEX(CW$7:CW$106,$AF101),1),IF($AG101&gt;0,INDEX(CW$7:CW$106,$AG101),1),IF($AH101&gt;0,INDEX(CW$7:CW$106,$AH101),1),IF($AI101&gt;0,INDEX(CW$7:CW$106,$AI101),1),IF($AJ101&gt;0,INDEX(CW$7:CW$106,$AJ101),1))))</ns0:f>
        <ns0:v>1</ns0:v>
      </ns0:c>
      <ns0:c r="CY101" t="n">
        <ns0:f>IF($A101="",1,IF(CX101=1,1,--AND(IF($AC101&gt;0,INDEX(CX$7:CX$106,$AC101),1),IF($AD101&gt;0,INDEX(CX$7:CX$106,$AD101),1),IF($AE101&gt;0,INDEX(CX$7:CX$106,$AE101),1),IF($AF101&gt;0,INDEX(CX$7:CX$106,$AF101),1),IF($AG101&gt;0,INDEX(CX$7:CX$106,$AG101),1),IF($AH101&gt;0,INDEX(CX$7:CX$106,$AH101),1),IF($AI101&gt;0,INDEX(CX$7:CX$106,$AI101),1),IF($AJ101&gt;0,INDEX(CX$7:CX$106,$AJ101),1))))</ns0:f>
        <ns0:v>1</ns0:v>
      </ns0:c>
      <ns0:c r="CZ101" t="n">
        <ns0:f>IF($A101="",1,IF(CY101=1,1,--AND(IF($AC101&gt;0,INDEX(CY$7:CY$106,$AC101),1),IF($AD101&gt;0,INDEX(CY$7:CY$106,$AD101),1),IF($AE101&gt;0,INDEX(CY$7:CY$106,$AE101),1),IF($AF101&gt;0,INDEX(CY$7:CY$106,$AF101),1),IF($AG101&gt;0,INDEX(CY$7:CY$106,$AG101),1),IF($AH101&gt;0,INDEX(CY$7:CY$106,$AH101),1),IF($AI101&gt;0,INDEX(CY$7:CY$106,$AI101),1),IF($AJ101&gt;0,INDEX(CY$7:CY$106,$AJ101),1))))</ns0:f>
        <ns0:v>1</ns0:v>
      </ns0:c>
      <ns0:c r="DA101" t="n">
        <ns0:f>IF($A101="",1,IF(CZ101=1,1,--AND(IF($AC101&gt;0,INDEX(CZ$7:CZ$106,$AC101),1),IF($AD101&gt;0,INDEX(CZ$7:CZ$106,$AD101),1),IF($AE101&gt;0,INDEX(CZ$7:CZ$106,$AE101),1),IF($AF101&gt;0,INDEX(CZ$7:CZ$106,$AF101),1),IF($AG101&gt;0,INDEX(CZ$7:CZ$106,$AG101),1),IF($AH101&gt;0,INDEX(CZ$7:CZ$106,$AH101),1),IF($AI101&gt;0,INDEX(CZ$7:CZ$106,$AI101),1),IF($AJ101&gt;0,INDEX(CZ$7:CZ$106,$AJ101),1))))</ns0:f>
        <ns0:v>1</ns0:v>
      </ns0:c>
      <ns0:c r="DB101" t="n">
        <ns0:f>IF($A101="",1,IF(DA101=1,1,--AND(IF($AC101&gt;0,INDEX(DA$7:DA$106,$AC101),1),IF($AD101&gt;0,INDEX(DA$7:DA$106,$AD101),1),IF($AE101&gt;0,INDEX(DA$7:DA$106,$AE101),1),IF($AF101&gt;0,INDEX(DA$7:DA$106,$AF101),1),IF($AG101&gt;0,INDEX(DA$7:DA$106,$AG101),1),IF($AH101&gt;0,INDEX(DA$7:DA$106,$AH101),1),IF($AI101&gt;0,INDEX(DA$7:DA$106,$AI101),1),IF($AJ101&gt;0,INDEX(DA$7:DA$106,$AJ101),1))))</ns0:f>
        <ns0:v>1</ns0:v>
      </ns0:c>
      <ns0:c r="DC101" t="n">
        <ns0:f>IF($A101="",1,IF(DB101=1,1,--AND(IF($AC101&gt;0,INDEX(DB$7:DB$106,$AC101),1),IF($AD101&gt;0,INDEX(DB$7:DB$106,$AD101),1),IF($AE101&gt;0,INDEX(DB$7:DB$106,$AE101),1),IF($AF101&gt;0,INDEX(DB$7:DB$106,$AF101),1),IF($AG101&gt;0,INDEX(DB$7:DB$106,$AG101),1),IF($AH101&gt;0,INDEX(DB$7:DB$106,$AH101),1),IF($AI101&gt;0,INDEX(DB$7:DB$106,$AI101),1),IF($AJ101&gt;0,INDEX(DB$7:DB$106,$AJ101),1))))</ns0:f>
        <ns0:v>1</ns0:v>
      </ns0:c>
      <ns0:c r="DD101" t="n">
        <ns0:f>IF($A101="",1,IF(DC101=1,1,--AND(IF($AC101&gt;0,INDEX(DC$7:DC$106,$AC101),1),IF($AD101&gt;0,INDEX(DC$7:DC$106,$AD101),1),IF($AE101&gt;0,INDEX(DC$7:DC$106,$AE101),1),IF($AF101&gt;0,INDEX(DC$7:DC$106,$AF101),1),IF($AG101&gt;0,INDEX(DC$7:DC$106,$AG101),1),IF($AH101&gt;0,INDEX(DC$7:DC$106,$AH101),1),IF($AI101&gt;0,INDEX(DC$7:DC$106,$AI101),1),IF($AJ101&gt;0,INDEX(DC$7:DC$106,$AJ101),1))))</ns0:f>
        <ns0:v>1</ns0:v>
      </ns0:c>
      <ns0:c r="DE101" t="n">
        <ns0:f>IF($A101="",1,IF(DD101=1,1,--AND(IF($AC101&gt;0,INDEX(DD$7:DD$106,$AC101),1),IF($AD101&gt;0,INDEX(DD$7:DD$106,$AD101),1),IF($AE101&gt;0,INDEX(DD$7:DD$106,$AE101),1),IF($AF101&gt;0,INDEX(DD$7:DD$106,$AF101),1),IF($AG101&gt;0,INDEX(DD$7:DD$106,$AG101),1),IF($AH101&gt;0,INDEX(DD$7:DD$106,$AH101),1),IF($AI101&gt;0,INDEX(DD$7:DD$106,$AI101),1),IF($AJ101&gt;0,INDEX(DD$7:DD$106,$AJ101),1))))</ns0:f>
        <ns0:v>1</ns0:v>
      </ns0:c>
      <ns0:c r="DF101" t="n">
        <ns0:f>IF($A101="",1,IF(DE101=1,1,--AND(IF($AC101&gt;0,INDEX(DE$7:DE$106,$AC101),1),IF($AD101&gt;0,INDEX(DE$7:DE$106,$AD101),1),IF($AE101&gt;0,INDEX(DE$7:DE$106,$AE101),1),IF($AF101&gt;0,INDEX(DE$7:DE$106,$AF101),1),IF($AG101&gt;0,INDEX(DE$7:DE$106,$AG101),1),IF($AH101&gt;0,INDEX(DE$7:DE$106,$AH101),1),IF($AI101&gt;0,INDEX(DE$7:DE$106,$AI101),1),IF($AJ101&gt;0,INDEX(DE$7:DE$106,$AJ101),1))))</ns0:f>
        <ns0:v>1</ns0:v>
      </ns0:c>
      <ns0:c r="DG101" t="n">
        <ns0:f>IF($A101="",1,IF(DF101=1,1,--AND(IF($AC101&gt;0,INDEX(DF$7:DF$106,$AC101),1),IF($AD101&gt;0,INDEX(DF$7:DF$106,$AD101),1),IF($AE101&gt;0,INDEX(DF$7:DF$106,$AE101),1),IF($AF101&gt;0,INDEX(DF$7:DF$106,$AF101),1),IF($AG101&gt;0,INDEX(DF$7:DF$106,$AG101),1),IF($AH101&gt;0,INDEX(DF$7:DF$106,$AH101),1),IF($AI101&gt;0,INDEX(DF$7:DF$106,$AI101),1),IF($AJ101&gt;0,INDEX(DF$7:DF$106,$AJ101),1))))</ns0:f>
        <ns0:v>1</ns0:v>
      </ns0:c>
      <ns0:c r="DH101" t="n">
        <ns0:f>IF($A101="",1,IF(DG101=1,1,--AND(IF($AC101&gt;0,INDEX(DG$7:DG$106,$AC101),1),IF($AD101&gt;0,INDEX(DG$7:DG$106,$AD101),1),IF($AE101&gt;0,INDEX(DG$7:DG$106,$AE101),1),IF($AF101&gt;0,INDEX(DG$7:DG$106,$AF101),1),IF($AG101&gt;0,INDEX(DG$7:DG$106,$AG101),1),IF($AH101&gt;0,INDEX(DG$7:DG$106,$AH101),1),IF($AI101&gt;0,INDEX(DG$7:DG$106,$AI101),1),IF($AJ101&gt;0,INDEX(DG$7:DG$106,$AJ101),1))))</ns0:f>
        <ns0:v>1</ns0:v>
      </ns0:c>
      <ns0:c r="DI101" t="n">
        <ns0:f>IF($A101="",1,IF(DH101=1,1,--AND(IF($AC101&gt;0,INDEX(DH$7:DH$106,$AC101),1),IF($AD101&gt;0,INDEX(DH$7:DH$106,$AD101),1),IF($AE101&gt;0,INDEX(DH$7:DH$106,$AE101),1),IF($AF101&gt;0,INDEX(DH$7:DH$106,$AF101),1),IF($AG101&gt;0,INDEX(DH$7:DH$106,$AG101),1),IF($AH101&gt;0,INDEX(DH$7:DH$106,$AH101),1),IF($AI101&gt;0,INDEX(DH$7:DH$106,$AI101),1),IF($AJ101&gt;0,INDEX(DH$7:DH$106,$AJ101),1))))</ns0:f>
        <ns0:v>1</ns0:v>
      </ns0:c>
      <ns0:c r="DJ101" t="n">
        <ns0:f>IF($A101="",1,IF(DI101=1,1,--AND(IF($AC101&gt;0,INDEX(DI$7:DI$106,$AC101),1),IF($AD101&gt;0,INDEX(DI$7:DI$106,$AD101),1),IF($AE101&gt;0,INDEX(DI$7:DI$106,$AE101),1),IF($AF101&gt;0,INDEX(DI$7:DI$106,$AF101),1),IF($AG101&gt;0,INDEX(DI$7:DI$106,$AG101),1),IF($AH101&gt;0,INDEX(DI$7:DI$106,$AH101),1),IF($AI101&gt;0,INDEX(DI$7:DI$106,$AI101),1),IF($AJ101&gt;0,INDEX(DI$7:DI$106,$AJ101),1))))</ns0:f>
        <ns0:v>1</ns0:v>
      </ns0:c>
      <ns0:c r="DK101" t="n">
        <ns0:f>IF($A101="",1,IF(DJ101=1,1,--AND(IF($AC101&gt;0,INDEX(DJ$7:DJ$106,$AC101),1),IF($AD101&gt;0,INDEX(DJ$7:DJ$106,$AD101),1),IF($AE101&gt;0,INDEX(DJ$7:DJ$106,$AE101),1),IF($AF101&gt;0,INDEX(DJ$7:DJ$106,$AF101),1),IF($AG101&gt;0,INDEX(DJ$7:DJ$106,$AG101),1),IF($AH101&gt;0,INDEX(DJ$7:DJ$106,$AH101),1),IF($AI101&gt;0,INDEX(DJ$7:DJ$106,$AI101),1),IF($AJ101&gt;0,INDEX(DJ$7:DJ$106,$AJ101),1))))</ns0:f>
        <ns0:v>1</ns0:v>
      </ns0:c>
      <ns0:c r="DL101" t="n">
        <ns0:f>IF($A101="",1,IF(DK101=1,1,--AND(IF($AC101&gt;0,INDEX(DK$7:DK$106,$AC101),1),IF($AD101&gt;0,INDEX(DK$7:DK$106,$AD101),1),IF($AE101&gt;0,INDEX(DK$7:DK$106,$AE101),1),IF($AF101&gt;0,INDEX(DK$7:DK$106,$AF101),1),IF($AG101&gt;0,INDEX(DK$7:DK$106,$AG101),1),IF($AH101&gt;0,INDEX(DK$7:DK$106,$AH101),1),IF($AI101&gt;0,INDEX(DK$7:DK$106,$AI101),1),IF($AJ101&gt;0,INDEX(DK$7:DK$106,$AJ101),1))))</ns0:f>
        <ns0:v>1</ns0:v>
      </ns0:c>
      <ns0:c r="DM101" t="n">
        <ns0:f>IF($A101="",1,IF(DL101=1,1,--AND(IF($AC101&gt;0,INDEX(DL$7:DL$106,$AC101),1),IF($AD101&gt;0,INDEX(DL$7:DL$106,$AD101),1),IF($AE101&gt;0,INDEX(DL$7:DL$106,$AE101),1),IF($AF101&gt;0,INDEX(DL$7:DL$106,$AF101),1),IF($AG101&gt;0,INDEX(DL$7:DL$106,$AG101),1),IF($AH101&gt;0,INDEX(DL$7:DL$106,$AH101),1),IF($AI101&gt;0,INDEX(DL$7:DL$106,$AI101),1),IF($AJ101&gt;0,INDEX(DL$7:DL$106,$AJ101),1))))</ns0:f>
        <ns0:v>1</ns0:v>
      </ns0:c>
      <ns0:c r="DN101" t="n">
        <ns0:f>IF($A101="",1,IF(DM101=1,1,--AND(IF($AC101&gt;0,INDEX(DM$7:DM$106,$AC101),1),IF($AD101&gt;0,INDEX(DM$7:DM$106,$AD101),1),IF($AE101&gt;0,INDEX(DM$7:DM$106,$AE101),1),IF($AF101&gt;0,INDEX(DM$7:DM$106,$AF101),1),IF($AG101&gt;0,INDEX(DM$7:DM$106,$AG101),1),IF($AH101&gt;0,INDEX(DM$7:DM$106,$AH101),1),IF($AI101&gt;0,INDEX(DM$7:DM$106,$AI101),1),IF($AJ101&gt;0,INDEX(DM$7:DM$106,$AJ101),1))))</ns0:f>
        <ns0:v>1</ns0:v>
      </ns0:c>
      <ns0:c r="DO101" t="n">
        <ns0:f>IF($A101="",1,IF(DN101=1,1,--AND(IF($AC101&gt;0,INDEX(DN$7:DN$106,$AC101),1),IF($AD101&gt;0,INDEX(DN$7:DN$106,$AD101),1),IF($AE101&gt;0,INDEX(DN$7:DN$106,$AE101),1),IF($AF101&gt;0,INDEX(DN$7:DN$106,$AF101),1),IF($AG101&gt;0,INDEX(DN$7:DN$106,$AG101),1),IF($AH101&gt;0,INDEX(DN$7:DN$106,$AH101),1),IF($AI101&gt;0,INDEX(DN$7:DN$106,$AI101),1),IF($AJ101&gt;0,INDEX(DN$7:DN$106,$AJ101),1))))</ns0:f>
        <ns0:v>1</ns0:v>
      </ns0:c>
      <ns0:c r="DP101" t="n">
        <ns0:f>IF($A101="",1,IF(DO101=1,1,--AND(IF($AC101&gt;0,INDEX(DO$7:DO$106,$AC101),1),IF($AD101&gt;0,INDEX(DO$7:DO$106,$AD101),1),IF($AE101&gt;0,INDEX(DO$7:DO$106,$AE101),1),IF($AF101&gt;0,INDEX(DO$7:DO$106,$AF101),1),IF($AG101&gt;0,INDEX(DO$7:DO$106,$AG101),1),IF($AH101&gt;0,INDEX(DO$7:DO$106,$AH101),1),IF($AI101&gt;0,INDEX(DO$7:DO$106,$AI101),1),IF($AJ101&gt;0,INDEX(DO$7:DO$106,$AJ101),1))))</ns0:f>
        <ns0:v>1</ns0:v>
      </ns0:c>
      <ns0:c r="DQ101" t="n">
        <ns0:f>IF($A101="",1,IF(DP101=1,1,--AND(IF($AC101&gt;0,INDEX(DP$7:DP$106,$AC101),1),IF($AD101&gt;0,INDEX(DP$7:DP$106,$AD101),1),IF($AE101&gt;0,INDEX(DP$7:DP$106,$AE101),1),IF($AF101&gt;0,INDEX(DP$7:DP$106,$AF101),1),IF($AG101&gt;0,INDEX(DP$7:DP$106,$AG101),1),IF($AH101&gt;0,INDEX(DP$7:DP$106,$AH101),1),IF($AI101&gt;0,INDEX(DP$7:DP$106,$AI101),1),IF($AJ101&gt;0,INDEX(DP$7:DP$106,$AJ101),1))))</ns0:f>
        <ns0:v>1</ns0:v>
      </ns0:c>
      <ns0:c r="DR101" t="n">
        <ns0:f>IF($A101="",1,IF(DQ101=1,1,--AND(IF($AC101&gt;0,INDEX(DQ$7:DQ$106,$AC101),1),IF($AD101&gt;0,INDEX(DQ$7:DQ$106,$AD101),1),IF($AE101&gt;0,INDEX(DQ$7:DQ$106,$AE101),1),IF($AF101&gt;0,INDEX(DQ$7:DQ$106,$AF101),1),IF($AG101&gt;0,INDEX(DQ$7:DQ$106,$AG101),1),IF($AH101&gt;0,INDEX(DQ$7:DQ$106,$AH101),1),IF($AI101&gt;0,INDEX(DQ$7:DQ$106,$AI101),1),IF($AJ101&gt;0,INDEX(DQ$7:DQ$106,$AJ101),1))))</ns0:f>
        <ns0:v>1</ns0:v>
      </ns0:c>
      <ns0:c r="DS101" t="n">
        <ns0:f>IF($A101="",1,IF(DR101=1,1,--AND(IF($AC101&gt;0,INDEX(DR$7:DR$106,$AC101),1),IF($AD101&gt;0,INDEX(DR$7:DR$106,$AD101),1),IF($AE101&gt;0,INDEX(DR$7:DR$106,$AE101),1),IF($AF101&gt;0,INDEX(DR$7:DR$106,$AF101),1),IF($AG101&gt;0,INDEX(DR$7:DR$106,$AG101),1),IF($AH101&gt;0,INDEX(DR$7:DR$106,$AH101),1),IF($AI101&gt;0,INDEX(DR$7:DR$106,$AI101),1),IF($AJ101&gt;0,INDEX(DR$7:DR$106,$AJ101),1))))</ns0:f>
        <ns0:v>1</ns0:v>
      </ns0:c>
      <ns0:c r="DT101" t="n">
        <ns0:f>IF($A101="",1,IF(DS101=1,1,--AND(IF($AC101&gt;0,INDEX(DS$7:DS$106,$AC101),1),IF($AD101&gt;0,INDEX(DS$7:DS$106,$AD101),1),IF($AE101&gt;0,INDEX(DS$7:DS$106,$AE101),1),IF($AF101&gt;0,INDEX(DS$7:DS$106,$AF101),1),IF($AG101&gt;0,INDEX(DS$7:DS$106,$AG101),1),IF($AH101&gt;0,INDEX(DS$7:DS$106,$AH101),1),IF($AI101&gt;0,INDEX(DS$7:DS$106,$AI101),1),IF($AJ101&gt;0,INDEX(DS$7:DS$106,$AJ101),1))))</ns0:f>
        <ns0:v>1</ns0:v>
      </ns0:c>
      <ns0:c r="DU101" t="n">
        <ns0:f>IF($A101="",1,IF(DT101=1,1,--AND(IF($AC101&gt;0,INDEX(DT$7:DT$106,$AC101),1),IF($AD101&gt;0,INDEX(DT$7:DT$106,$AD101),1),IF($AE101&gt;0,INDEX(DT$7:DT$106,$AE101),1),IF($AF101&gt;0,INDEX(DT$7:DT$106,$AF101),1),IF($AG101&gt;0,INDEX(DT$7:DT$106,$AG101),1),IF($AH101&gt;0,INDEX(DT$7:DT$106,$AH101),1),IF($AI101&gt;0,INDEX(DT$7:DT$106,$AI101),1),IF($AJ101&gt;0,INDEX(DT$7:DT$106,$AJ101),1))))</ns0:f>
        <ns0:v>1</ns0:v>
      </ns0:c>
      <ns0:c r="DV101" t="n">
        <ns0:f>IF($A101="",1,IF(DU101=1,1,--AND(IF($AC101&gt;0,INDEX(DU$7:DU$106,$AC101),1),IF($AD101&gt;0,INDEX(DU$7:DU$106,$AD101),1),IF($AE101&gt;0,INDEX(DU$7:DU$106,$AE101),1),IF($AF101&gt;0,INDEX(DU$7:DU$106,$AF101),1),IF($AG101&gt;0,INDEX(DU$7:DU$106,$AG101),1),IF($AH101&gt;0,INDEX(DU$7:DU$106,$AH101),1),IF($AI101&gt;0,INDEX(DU$7:DU$106,$AI101),1),IF($AJ101&gt;0,INDEX(DU$7:DU$106,$AJ101),1))))</ns0:f>
        <ns0:v>1</ns0:v>
      </ns0:c>
      <ns0:c r="DW101" t="n">
        <ns0:f>IF($A101="",1,IF(DV101=1,1,--AND(IF($AC101&gt;0,INDEX(DV$7:DV$106,$AC101),1),IF($AD101&gt;0,INDEX(DV$7:DV$106,$AD101),1),IF($AE101&gt;0,INDEX(DV$7:DV$106,$AE101),1),IF($AF101&gt;0,INDEX(DV$7:DV$106,$AF101),1),IF($AG101&gt;0,INDEX(DV$7:DV$106,$AG101),1),IF($AH101&gt;0,INDEX(DV$7:DV$106,$AH101),1),IF($AI101&gt;0,INDEX(DV$7:DV$106,$AI101),1),IF($AJ101&gt;0,INDEX(DV$7:DV$106,$AJ101),1))))</ns0:f>
        <ns0:v>1</ns0:v>
      </ns0:c>
      <ns0:c r="DX101" t="n">
        <ns0:f>IF($A101="",1,IF(DW101=1,1,--AND(IF($AC101&gt;0,INDEX(DW$7:DW$106,$AC101),1),IF($AD101&gt;0,INDEX(DW$7:DW$106,$AD101),1),IF($AE101&gt;0,INDEX(DW$7:DW$106,$AE101),1),IF($AF101&gt;0,INDEX(DW$7:DW$106,$AF101),1),IF($AG101&gt;0,INDEX(DW$7:DW$106,$AG101),1),IF($AH101&gt;0,INDEX(DW$7:DW$106,$AH101),1),IF($AI101&gt;0,INDEX(DW$7:DW$106,$AI101),1),IF($AJ101&gt;0,INDEX(DW$7:DW$106,$AJ101),1))))</ns0:f>
        <ns0:v>1</ns0:v>
      </ns0:c>
      <ns0:c r="DY101" t="n">
        <ns0:f>IF($A101="",1,IF(DX101=1,1,--AND(IF($AC101&gt;0,INDEX(DX$7:DX$106,$AC101),1),IF($AD101&gt;0,INDEX(DX$7:DX$106,$AD101),1),IF($AE101&gt;0,INDEX(DX$7:DX$106,$AE101),1),IF($AF101&gt;0,INDEX(DX$7:DX$106,$AF101),1),IF($AG101&gt;0,INDEX(DX$7:DX$106,$AG101),1),IF($AH101&gt;0,INDEX(DX$7:DX$106,$AH101),1),IF($AI101&gt;0,INDEX(DX$7:DX$106,$AI101),1),IF($AJ101&gt;0,INDEX(DX$7:DX$106,$AJ101),1))))</ns0:f>
        <ns0:v>1</ns0:v>
      </ns0:c>
      <ns0:c r="DZ101" t="n">
        <ns0:f>IF($A101="",1,IF(DY101=1,1,--AND(IF($AC101&gt;0,INDEX(DY$7:DY$106,$AC101),1),IF($AD101&gt;0,INDEX(DY$7:DY$106,$AD101),1),IF($AE101&gt;0,INDEX(DY$7:DY$106,$AE101),1),IF($AF101&gt;0,INDEX(DY$7:DY$106,$AF101),1),IF($AG101&gt;0,INDEX(DY$7:DY$106,$AG101),1),IF($AH101&gt;0,INDEX(DY$7:DY$106,$AH101),1),IF($AI101&gt;0,INDEX(DY$7:DY$106,$AI101),1),IF($AJ101&gt;0,INDEX(DY$7:DY$106,$AJ101),1))))</ns0:f>
        <ns0:v>1</ns0:v>
      </ns0:c>
      <ns0:c r="EA101" t="n">
        <ns0:f>IF($A101="",1,IF(DZ101=1,1,--AND(IF($AC101&gt;0,INDEX(DZ$7:DZ$106,$AC101),1),IF($AD101&gt;0,INDEX(DZ$7:DZ$106,$AD101),1),IF($AE101&gt;0,INDEX(DZ$7:DZ$106,$AE101),1),IF($AF101&gt;0,INDEX(DZ$7:DZ$106,$AF101),1),IF($AG101&gt;0,INDEX(DZ$7:DZ$106,$AG101),1),IF($AH101&gt;0,INDEX(DZ$7:DZ$106,$AH101),1),IF($AI101&gt;0,INDEX(DZ$7:DZ$106,$AI101),1),IF($AJ101&gt;0,INDEX(DZ$7:DZ$106,$AJ101),1))))</ns0:f>
        <ns0:v>1</ns0:v>
      </ns0:c>
      <ns0:c r="EB101" t="n">
        <ns0:f>IF($A101="",1,IF(EA101=1,1,--AND(IF($AC101&gt;0,INDEX(EA$7:EA$106,$AC101),1),IF($AD101&gt;0,INDEX(EA$7:EA$106,$AD101),1),IF($AE101&gt;0,INDEX(EA$7:EA$106,$AE101),1),IF($AF101&gt;0,INDEX(EA$7:EA$106,$AF101),1),IF($AG101&gt;0,INDEX(EA$7:EA$106,$AG101),1),IF($AH101&gt;0,INDEX(EA$7:EA$106,$AH101),1),IF($AI101&gt;0,INDEX(EA$7:EA$106,$AI101),1),IF($AJ101&gt;0,INDEX(EA$7:EA$106,$AJ101),1))))</ns0:f>
        <ns0:v>1</ns0:v>
      </ns0:c>
      <ns0:c r="EC101" t="n">
        <ns0:f>IF($A101="",1,IF(EB101=1,1,--AND(IF($AC101&gt;0,INDEX(EB$7:EB$106,$AC101),1),IF($AD101&gt;0,INDEX(EB$7:EB$106,$AD101),1),IF($AE101&gt;0,INDEX(EB$7:EB$106,$AE101),1),IF($AF101&gt;0,INDEX(EB$7:EB$106,$AF101),1),IF($AG101&gt;0,INDEX(EB$7:EB$106,$AG101),1),IF($AH101&gt;0,INDEX(EB$7:EB$106,$AH101),1),IF($AI101&gt;0,INDEX(EB$7:EB$106,$AI101),1),IF($AJ101&gt;0,INDEX(EB$7:EB$106,$AJ101),1))))</ns0:f>
        <ns0:v>1</ns0:v>
      </ns0:c>
      <ns0:c r="ED101" t="n">
        <ns0:f>IF($A101="",1,IF(EC101=1,1,--AND(IF($AC101&gt;0,INDEX(EC$7:EC$106,$AC101),1),IF($AD101&gt;0,INDEX(EC$7:EC$106,$AD101),1),IF($AE101&gt;0,INDEX(EC$7:EC$106,$AE101),1),IF($AF101&gt;0,INDEX(EC$7:EC$106,$AF101),1),IF($AG101&gt;0,INDEX(EC$7:EC$106,$AG101),1),IF($AH101&gt;0,INDEX(EC$7:EC$106,$AH101),1),IF($AI101&gt;0,INDEX(EC$7:EC$106,$AI101),1),IF($AJ101&gt;0,INDEX(EC$7:EC$106,$AJ101),1))))</ns0:f>
        <ns0:v>1</ns0:v>
      </ns0:c>
      <ns0:c r="EE101" t="n">
        <ns0:f>IF($A101="",1,IF(ED101=1,1,--AND(IF($AC101&gt;0,INDEX(ED$7:ED$106,$AC101),1),IF($AD101&gt;0,INDEX(ED$7:ED$106,$AD101),1),IF($AE101&gt;0,INDEX(ED$7:ED$106,$AE101),1),IF($AF101&gt;0,INDEX(ED$7:ED$106,$AF101),1),IF($AG101&gt;0,INDEX(ED$7:ED$106,$AG101),1),IF($AH101&gt;0,INDEX(ED$7:ED$106,$AH101),1),IF($AI101&gt;0,INDEX(ED$7:ED$106,$AI101),1),IF($AJ101&gt;0,INDEX(ED$7:ED$106,$AJ101),1))))</ns0:f>
        <ns0:v>1</ns0:v>
      </ns0:c>
      <ns0:c r="EF101" t="n">
        <ns0:f>IF($A101="",1,IF(EE101=1,1,--AND(IF($AC101&gt;0,INDEX(EE$7:EE$106,$AC101),1),IF($AD101&gt;0,INDEX(EE$7:EE$106,$AD101),1),IF($AE101&gt;0,INDEX(EE$7:EE$106,$AE101),1),IF($AF101&gt;0,INDEX(EE$7:EE$106,$AF101),1),IF($AG101&gt;0,INDEX(EE$7:EE$106,$AG101),1),IF($AH101&gt;0,INDEX(EE$7:EE$106,$AH101),1),IF($AI101&gt;0,INDEX(EE$7:EE$106,$AI101),1),IF($AJ101&gt;0,INDEX(EE$7:EE$106,$AJ101),1))))</ns0:f>
        <ns0:v>1</ns0:v>
      </ns0:c>
      <ns0:c r="EG101" t="n">
        <ns0:f>IF($A101="",1,IF(EF101=1,1,--AND(IF($AC101&gt;0,INDEX(EF$7:EF$106,$AC101),1),IF($AD101&gt;0,INDEX(EF$7:EF$106,$AD101),1),IF($AE101&gt;0,INDEX(EF$7:EF$106,$AE101),1),IF($AF101&gt;0,INDEX(EF$7:EF$106,$AF101),1),IF($AG101&gt;0,INDEX(EF$7:EF$106,$AG101),1),IF($AH101&gt;0,INDEX(EF$7:EF$106,$AH101),1),IF($AI101&gt;0,INDEX(EF$7:EF$106,$AI101),1),IF($AJ101&gt;0,INDEX(EF$7:EF$106,$AJ101),1))))</ns0:f>
        <ns0:v>1</ns0:v>
      </ns0:c>
      <ns0:c r="EH101" t="n">
        <ns0:f>IF($A101="",1,IF(EG101=1,1,--AND(IF($AC101&gt;0,INDEX(EG$7:EG$106,$AC101),1),IF($AD101&gt;0,INDEX(EG$7:EG$106,$AD101),1),IF($AE101&gt;0,INDEX(EG$7:EG$106,$AE101),1),IF($AF101&gt;0,INDEX(EG$7:EG$106,$AF101),1),IF($AG101&gt;0,INDEX(EG$7:EG$106,$AG101),1),IF($AH101&gt;0,INDEX(EG$7:EG$106,$AH101),1),IF($AI101&gt;0,INDEX(EG$7:EG$106,$AI101),1),IF($AJ101&gt;0,INDEX(EG$7:EG$106,$AJ101),1))))</ns0:f>
        <ns0:v>1</ns0:v>
      </ns0:c>
      <ns0:c r="EI101" t="n">
        <ns0:f>IF($A101="",1,IF(EH101=1,1,--AND(IF($AC101&gt;0,INDEX(EH$7:EH$106,$AC101),1),IF($AD101&gt;0,INDEX(EH$7:EH$106,$AD101),1),IF($AE101&gt;0,INDEX(EH$7:EH$106,$AE101),1),IF($AF101&gt;0,INDEX(EH$7:EH$106,$AF101),1),IF($AG101&gt;0,INDEX(EH$7:EH$106,$AG101),1),IF($AH101&gt;0,INDEX(EH$7:EH$106,$AH101),1),IF($AI101&gt;0,INDEX(EH$7:EH$106,$AI101),1),IF($AJ101&gt;0,INDEX(EH$7:EH$106,$AJ101),1))))</ns0:f>
        <ns0:v>1</ns0:v>
      </ns0:c>
      <ns0:c r="EJ101" t="n">
        <ns0:f>IF($A101="",1,IF(EI101=1,1,--AND(IF($AC101&gt;0,INDEX(EI$7:EI$106,$AC101),1),IF($AD101&gt;0,INDEX(EI$7:EI$106,$AD101),1),IF($AE101&gt;0,INDEX(EI$7:EI$106,$AE101),1),IF($AF101&gt;0,INDEX(EI$7:EI$106,$AF101),1),IF($AG101&gt;0,INDEX(EI$7:EI$106,$AG101),1),IF($AH101&gt;0,INDEX(EI$7:EI$106,$AH101),1),IF($AI101&gt;0,INDEX(EI$7:EI$106,$AI101),1),IF($AJ101&gt;0,INDEX(EI$7:EI$106,$AJ101),1))))</ns0:f>
        <ns0:v>1</ns0:v>
      </ns0:c>
      <ns0:c r="EK101" t="n">
        <ns0:f>IF($A101="",1,IF(EJ101=1,1,--AND(IF($AC101&gt;0,INDEX(EJ$7:EJ$106,$AC101),1),IF($AD101&gt;0,INDEX(EJ$7:EJ$106,$AD101),1),IF($AE101&gt;0,INDEX(EJ$7:EJ$106,$AE101),1),IF($AF101&gt;0,INDEX(EJ$7:EJ$106,$AF101),1),IF($AG101&gt;0,INDEX(EJ$7:EJ$106,$AG101),1),IF($AH101&gt;0,INDEX(EJ$7:EJ$106,$AH101),1),IF($AI101&gt;0,INDEX(EJ$7:EJ$106,$AI101),1),IF($AJ101&gt;0,INDEX(EJ$7:EJ$106,$AJ101),1))))</ns0:f>
        <ns0:v>1</ns0:v>
      </ns0:c>
      <ns0:c r="EL101" t="n">
        <ns0:f>IF($A101="",1,IF(EK101=1,1,--AND(IF($AC101&gt;0,INDEX(EK$7:EK$106,$AC101),1),IF($AD101&gt;0,INDEX(EK$7:EK$106,$AD101),1),IF($AE101&gt;0,INDEX(EK$7:EK$106,$AE101),1),IF($AF101&gt;0,INDEX(EK$7:EK$106,$AF101),1),IF($AG101&gt;0,INDEX(EK$7:EK$106,$AG101),1),IF($AH101&gt;0,INDEX(EK$7:EK$106,$AH101),1),IF($AI101&gt;0,INDEX(EK$7:EK$106,$AI101),1),IF($AJ101&gt;0,INDEX(EK$7:EK$106,$AJ101),1))))</ns0:f>
        <ns0:v>1</ns0:v>
      </ns0:c>
      <ns0:c r="EM101" t="n">
        <ns0:f>IF($A101="",1,IF(EL101=1,1,--AND(IF($AC101&gt;0,INDEX(EL$7:EL$106,$AC101),1),IF($AD101&gt;0,INDEX(EL$7:EL$106,$AD101),1),IF($AE101&gt;0,INDEX(EL$7:EL$106,$AE101),1),IF($AF101&gt;0,INDEX(EL$7:EL$106,$AF101),1),IF($AG101&gt;0,INDEX(EL$7:EL$106,$AG101),1),IF($AH101&gt;0,INDEX(EL$7:EL$106,$AH101),1),IF($AI101&gt;0,INDEX(EL$7:EL$106,$AI101),1),IF($AJ101&gt;0,INDEX(EL$7:EL$106,$AJ101),1))))</ns0:f>
        <ns0:v>1</ns0:v>
      </ns0:c>
      <ns0:c r="EN101" t="n">
        <ns0:f>IF($A101="",1,IF(EM101=1,1,--AND(IF($AC101&gt;0,INDEX(EM$7:EM$106,$AC101),1),IF($AD101&gt;0,INDEX(EM$7:EM$106,$AD101),1),IF($AE101&gt;0,INDEX(EM$7:EM$106,$AE101),1),IF($AF101&gt;0,INDEX(EM$7:EM$106,$AF101),1),IF($AG101&gt;0,INDEX(EM$7:EM$106,$AG101),1),IF($AH101&gt;0,INDEX(EM$7:EM$106,$AH101),1),IF($AI101&gt;0,INDEX(EM$7:EM$106,$AI101),1),IF($AJ101&gt;0,INDEX(EM$7:EM$106,$AJ101),1))))</ns0:f>
        <ns0:v>1</ns0:v>
      </ns0:c>
      <ns0:c r="EO101" t="n">
        <ns0:f>IF($A101="",1,IF(EN101=1,1,--AND(IF($AC101&gt;0,INDEX(EN$7:EN$106,$AC101),1),IF($AD101&gt;0,INDEX(EN$7:EN$106,$AD101),1),IF($AE101&gt;0,INDEX(EN$7:EN$106,$AE101),1),IF($AF101&gt;0,INDEX(EN$7:EN$106,$AF101),1),IF($AG101&gt;0,INDEX(EN$7:EN$106,$AG101),1),IF($AH101&gt;0,INDEX(EN$7:EN$106,$AH101),1),IF($AI101&gt;0,INDEX(EN$7:EN$106,$AI101),1),IF($AJ101&gt;0,INDEX(EN$7:EN$106,$AJ101),1))))</ns0:f>
        <ns0:v>1</ns0:v>
      </ns0:c>
      <ns0:c r="EP101" t="n">
        <ns0:f>IF($A101="",1,IF(EO101=1,1,--AND(IF($AC101&gt;0,INDEX(EO$7:EO$106,$AC101),1),IF($AD101&gt;0,INDEX(EO$7:EO$106,$AD101),1),IF($AE101&gt;0,INDEX(EO$7:EO$106,$AE101),1),IF($AF101&gt;0,INDEX(EO$7:EO$106,$AF101),1),IF($AG101&gt;0,INDEX(EO$7:EO$106,$AG101),1),IF($AH101&gt;0,INDEX(EO$7:EO$106,$AH101),1),IF($AI101&gt;0,INDEX(EO$7:EO$106,$AI101),1),IF($AJ101&gt;0,INDEX(EO$7:EO$106,$AJ101),1))))</ns0:f>
        <ns0:v>1</ns0:v>
      </ns0:c>
      <ns0:c r="EQ101" t="n">
        <ns0:f>IF(OR(A101="",NOT(ISNUMBER(G101))),0,G101*N101)</ns0:f>
        <ns0:v>0</ns0:v>
      </ns0:c>
    </ns0:row>
    <ns0:row r="102" ht="62" customHeight="1">
      <ns0:c r="A102" s="48"/>
      <ns0:c r="B102" s="48"/>
      <ns0:c r="C102" s="48"/>
      <ns0:c r="D102" s="48"/>
      <ns0:c r="E102" s="49"/>
      <ns0:c r="F102" s="49"/>
      <ns0:c r="G102" s="13" t="str">
        <ns0:f>IF(A102="","",IF(OR(NOT(ISNUMBER(E102)),NOT(ISNUMBER(F102)),F102&lt;E102),"",IF(J102="Yes",0,F102-E102+1)))</ns0:f>
      </ns0:c>
      <ns0:c r="H102" s="48"/>
      <ns0:c r="I102" s="48"/>
      <ns0:c r="J102" s="48"/>
      <ns0:c r="K102" s="48"/>
      <ns0:c r="L102" s="48"/>
      <ns0:c r="M102" s="50" t="str">
        <ns0:f>IF(A102="","",IF(N102=1,"Completed",IF(N102&gt;0,"In Progress","Not Started")))</ns0:f>
      </ns0:c>
      <ns0:c r="N102" s="51"/>
      <ns0:c r="O102" s="13" t="str">
        <ns0:f>IF(A102="","",IF(R102&lt;&gt;"","[CONFLICT] "&amp;R102,IF(S102&lt;&gt;"","[CONFLICT] "&amp;S102,IF(OR(NOT(ISNUMBER(N102)),N102&lt;0,N102&gt;1),"[CONFLICT] Invalid progress",IF(AK102&gt;0,"[DEPENDENCY ISSUE] Missing ID / &gt;8 links",IF(AM102&gt;0,"[DEPENDENCY ISSUE] Cycle or blocked by cycle",IF(AND(H102&lt;&gt;"",ISNA(MATCH(I102,{"FS","SS","FF","SF"},0))),"[DEPENDENCY ISSUE] Invalid type",IF(AL102&gt;0,"[DEPENDENCY ISSUE] Timing conflict",IF(OR(E102&lt;ProjectStart,F102&gt;ProjectEnd),"[OUTSIDE WINDOW]",IF(AND(N102&lt;1,F102&lt;AsOfDate),"Overdue",IF(AND(M102&lt;&gt;Q102,M102&lt;&gt;""),"[CONFLICT] Status / progress","On track")))))))))))</ns0:f>
      </ns0:c>
      <ns0:c r="P102" s="52"/>
      <ns0:c r="Q102" t="str">
        <ns0:f>IF(A102="","",IF(OR(M102="On Hold",M102="Delayed"),M102,IF(N102=1,"Completed",IF(N102&gt;0,"In Progress","Not Started"))))</ns0:f>
      </ns0:c>
      <ns0:c r="R102" t="str">
        <ns0:f>IF(A102="","",IF(COUNTIFS(Tasks[Task ID],A102)&lt;&gt;1,"Duplicate ID",""))</ns0:f>
      </ns0:c>
      <ns0:c r="S102" t="str">
        <ns0:f>IF(A102="","",IF(OR(NOT(ISNUMBER(E102)),NOT(ISNUMBER(F102))),"Invalid / missing date",IF(OR(E102&lt;&gt;INT(E102),F102&lt;&gt;INT(F102),E102&lt;1,F102&gt;2958465),"Invalid date",IF(F102&lt;E102,"End before start",IF(AND(J102="Yes",E102&lt;&gt;F102),"Milestone needs one date","")))))</ns0:f>
      </ns0:c>
      <ns0:c r="T102" t="n">
        <ns0:f>IF(H102="",0,LEN(H102)-LEN(SUBSTITUTE(H102,",",""))+1)</ns0:f>
        <ns0:v>0</ns0:v>
      </ns0:c>
      <ns0:c r="U102" t="str">
        <ns0:f>TRIM(MID(SUBSTITUTE($H102,",",REPT(" ",100)),1,100))</ns0:f>
      </ns0:c>
      <ns0:c r="V102" t="str">
        <ns0:f>TRIM(MID(SUBSTITUTE($H102,",",REPT(" ",100)),101,100))</ns0:f>
      </ns0:c>
      <ns0:c r="W102" t="str">
        <ns0:f>TRIM(MID(SUBSTITUTE($H102,",",REPT(" ",100)),201,100))</ns0:f>
      </ns0:c>
      <ns0:c r="X102" t="str">
        <ns0:f>TRIM(MID(SUBSTITUTE($H102,",",REPT(" ",100)),301,100))</ns0:f>
      </ns0:c>
      <ns0:c r="Y102" t="str">
        <ns0:f>TRIM(MID(SUBSTITUTE($H102,",",REPT(" ",100)),401,100))</ns0:f>
      </ns0:c>
      <ns0:c r="Z102" t="str">
        <ns0:f>TRIM(MID(SUBSTITUTE($H102,",",REPT(" ",100)),501,100))</ns0:f>
      </ns0:c>
      <ns0:c r="AA102" t="str">
        <ns0:f>TRIM(MID(SUBSTITUTE($H102,",",REPT(" ",100)),601,100))</ns0:f>
      </ns0:c>
      <ns0:c r="AB102" t="str">
        <ns0:f>TRIM(MID(SUBSTITUTE($H102,",",REPT(" ",100)),701,100))</ns0:f>
      </ns0:c>
      <ns0:c r="AC102" t="n">
        <ns0:f>IF(U102="",0,IF(COUNTIFS(Tasks[Task ID],U102)=1,MATCH(U102,Tasks[Task ID],0),-1))</ns0:f>
        <ns0:v>0</ns0:v>
      </ns0:c>
      <ns0:c r="AD102" t="n">
        <ns0:f>IF(V102="",0,IF(COUNTIFS(Tasks[Task ID],V102)=1,MATCH(V102,Tasks[Task ID],0),-1))</ns0:f>
        <ns0:v>0</ns0:v>
      </ns0:c>
      <ns0:c r="AE102" t="n">
        <ns0:f>IF(W102="",0,IF(COUNTIFS(Tasks[Task ID],W102)=1,MATCH(W102,Tasks[Task ID],0),-1))</ns0:f>
        <ns0:v>0</ns0:v>
      </ns0:c>
      <ns0:c r="AF102" t="n">
        <ns0:f>IF(X102="",0,IF(COUNTIFS(Tasks[Task ID],X102)=1,MATCH(X102,Tasks[Task ID],0),-1))</ns0:f>
        <ns0:v>0</ns0:v>
      </ns0:c>
      <ns0:c r="AG102" t="n">
        <ns0:f>IF(Y102="",0,IF(COUNTIFS(Tasks[Task ID],Y102)=1,MATCH(Y102,Tasks[Task ID],0),-1))</ns0:f>
        <ns0:v>0</ns0:v>
      </ns0:c>
      <ns0:c r="AH102" t="n">
        <ns0:f>IF(Z102="",0,IF(COUNTIFS(Tasks[Task ID],Z102)=1,MATCH(Z102,Tasks[Task ID],0),-1))</ns0:f>
        <ns0:v>0</ns0:v>
      </ns0:c>
      <ns0:c r="AI102" t="n">
        <ns0:f>IF(AA102="",0,IF(COUNTIFS(Tasks[Task ID],AA102)=1,MATCH(AA102,Tasks[Task ID],0),-1))</ns0:f>
        <ns0:v>0</ns0:v>
      </ns0:c>
      <ns0:c r="AJ102" t="n">
        <ns0:f>IF(AB102="",0,IF(COUNTIFS(Tasks[Task ID],AB102)=1,MATCH(AB102,Tasks[Task ID],0),-1))</ns0:f>
        <ns0:v>0</ns0:v>
      </ns0:c>
      <ns0:c r="AK102" t="n">
        <ns0:f>COUNTIFS(AC102:AJ102,-1)+IF(T102&gt;8,1,0)</ns0:f>
        <ns0:v>0</ns0:v>
      </ns0:c>
      <ns0:c r="AL102" t="n">
        <ns0:f>IF(OR(A102="",S102&lt;&gt;""),0,SUM(IF(AC102&gt;0,IF($I102="FS",--($E102&lt;INDEX(Tasks[End Date],AC102)+IF(INDEX(Tasks[Milestone],AC102)="Yes",0,1)),IF($I102="SS",--($E102&lt;INDEX(Tasks[Start Date],AC102)),IF($I102="FF",--($F102&lt;INDEX(Tasks[End Date],AC102)),IF($I102="SF",--($F102&lt;INDEX(Tasks[Start Date],AC102)),0)))),0),IF(AD102&gt;0,IF($I102="FS",--($E102&lt;INDEX(Tasks[End Date],AD102)+IF(INDEX(Tasks[Milestone],AD102)="Yes",0,1)),IF($I102="SS",--($E102&lt;INDEX(Tasks[Start Date],AD102)),IF($I102="FF",--($F102&lt;INDEX(Tasks[End Date],AD102)),IF($I102="SF",--($F102&lt;INDEX(Tasks[Start Date],AD102)),0)))),0),IF(AE102&gt;0,IF($I102="FS",--($E102&lt;INDEX(Tasks[End Date],AE102)+IF(INDEX(Tasks[Milestone],AE102)="Yes",0,1)),IF($I102="SS",--($E102&lt;INDEX(Tasks[Start Date],AE102)),IF($I102="FF",--($F102&lt;INDEX(Tasks[End Date],AE102)),IF($I102="SF",--($F102&lt;INDEX(Tasks[Start Date],AE102)),0)))),0),IF(AF102&gt;0,IF($I102="FS",--($E102&lt;INDEX(Tasks[End Date],AF102)+IF(INDEX(Tasks[Milestone],AF102)="Yes",0,1)),IF($I102="SS",--($E102&lt;INDEX(Tasks[Start Date],AF102)),IF($I102="FF",--($F102&lt;INDEX(Tasks[End Date],AF102)),IF($I102="SF",--($F102&lt;INDEX(Tasks[Start Date],AF102)),0)))),0),IF(AG102&gt;0,IF($I102="FS",--($E102&lt;INDEX(Tasks[End Date],AG102)+IF(INDEX(Tasks[Milestone],AG102)="Yes",0,1)),IF($I102="SS",--($E102&lt;INDEX(Tasks[Start Date],AG102)),IF($I102="FF",--($F102&lt;INDEX(Tasks[End Date],AG102)),IF($I102="SF",--($F102&lt;INDEX(Tasks[Start Date],AG102)),0)))),0),IF(AH102&gt;0,IF($I102="FS",--($E102&lt;INDEX(Tasks[End Date],AH102)+IF(INDEX(Tasks[Milestone],AH102)="Yes",0,1)),IF($I102="SS",--($E102&lt;INDEX(Tasks[Start Date],AH102)),IF($I102="FF",--($F102&lt;INDEX(Tasks[End Date],AH102)),IF($I102="SF",--($F102&lt;INDEX(Tasks[Start Date],AH102)),0)))),0),IF(AI102&gt;0,IF($I102="FS",--($E102&lt;INDEX(Tasks[End Date],AI102)+IF(INDEX(Tasks[Milestone],AI102)="Yes",0,1)),IF($I102="SS",--($E102&lt;INDEX(Tasks[Start Date],AI102)),IF($I102="FF",--($F102&lt;INDEX(Tasks[End Date],AI102)),IF($I102="SF",--($F102&lt;INDEX(Tasks[Start Date],AI102)),0)))),0),IF(AJ102&gt;0,IF($I102="FS",--($E102&lt;INDEX(Tasks[End Date],AJ102)+IF(INDEX(Tasks[Milestone],AJ102)="Yes",0,1)),IF($I102="SS",--($E102&lt;INDEX(Tasks[Start Date],AJ102)),IF($I102="FF",--($F102&lt;INDEX(Tasks[End Date],AJ102)),IF($I102="SF",--($F102&lt;INDEX(Tasks[Start Date],AJ102)),0)))),0)))</ns0:f>
        <ns0:v>0</ns0:v>
      </ns0:c>
      <ns0:c r="AM102" t="n">
        <ns0:f>IF(AND(A102&lt;&gt;"",AK102=0,EP102=0),1,0)</ns0:f>
        <ns0:v>0</ns0:v>
      </ns0:c>
      <ns0:c r="AN102" t="str">
        <ns0:f>IF(OR(A102="",B102=""),"",IF(COUNTIFS($B$7:B102,B102)=1,MAX($AN$6:AN101)+1,""))</ns0:f>
      </ns0:c>
      <ns0:c r="AO102" t="n">
        <ns0:f>IF(AND(A102&lt;&gt;"",J102="No",N102&lt;1,E102&gt;=AsOfDate),E102+ROW()/10000,1E+9)</ns0:f>
        <ns0:v>1000000000</ns0:v>
      </ns0:c>
      <ns0:c r="AP102" t="n">
        <ns0:f>IF(AND(A102&lt;&gt;"",J102="Yes",N102&lt;1,E102&gt;=AsOfDate),E102+ROW()/10000,1E+9)</ns0:f>
        <ns0:v>1000000000</ns0:v>
      </ns0:c>
      <ns0:c r="AQ102" t="n">
        <ns0:f>IF(AND(A102&lt;&gt;"",J102="No",N102&lt;1,F102&gt;=AsOfDate,F102&lt;=AsOfDate+7),F102+ROW()/10000,1E+9)</ns0:f>
        <ns0:v>1000000000</ns0:v>
      </ns0:c>
      <ns0:c r="AR102" t="n">
        <ns0:f>IF(AND(A102&lt;&gt;"",OR(O102&lt;&gt;"On track",Q102="Delayed")),ROW(),1E+9)</ns0:f>
        <ns0:v>1000000000</ns0:v>
      </ns0:c>
      <ns0:c r="AS102" t="str">
        <ns0:f>IF(A102="","",";"&amp;K102&amp;";")</ns0:f>
      </ns0:c>
      <ns0:c r="AT102" t="n">
        <ns0:f>IF(A102="",1,--(T102=0))</ns0:f>
        <ns0:v>1</ns0:v>
      </ns0:c>
      <ns0:c r="AU102" t="n">
        <ns0:f>IF($A102="",1,IF(AT102=1,1,--AND(IF($AC102&gt;0,INDEX(AT$7:AT$106,$AC102),1),IF($AD102&gt;0,INDEX(AT$7:AT$106,$AD102),1),IF($AE102&gt;0,INDEX(AT$7:AT$106,$AE102),1),IF($AF102&gt;0,INDEX(AT$7:AT$106,$AF102),1),IF($AG102&gt;0,INDEX(AT$7:AT$106,$AG102),1),IF($AH102&gt;0,INDEX(AT$7:AT$106,$AH102),1),IF($AI102&gt;0,INDEX(AT$7:AT$106,$AI102),1),IF($AJ102&gt;0,INDEX(AT$7:AT$106,$AJ102),1))))</ns0:f>
        <ns0:v>1</ns0:v>
      </ns0:c>
      <ns0:c r="AV102" t="n">
        <ns0:f>IF($A102="",1,IF(AU102=1,1,--AND(IF($AC102&gt;0,INDEX(AU$7:AU$106,$AC102),1),IF($AD102&gt;0,INDEX(AU$7:AU$106,$AD102),1),IF($AE102&gt;0,INDEX(AU$7:AU$106,$AE102),1),IF($AF102&gt;0,INDEX(AU$7:AU$106,$AF102),1),IF($AG102&gt;0,INDEX(AU$7:AU$106,$AG102),1),IF($AH102&gt;0,INDEX(AU$7:AU$106,$AH102),1),IF($AI102&gt;0,INDEX(AU$7:AU$106,$AI102),1),IF($AJ102&gt;0,INDEX(AU$7:AU$106,$AJ102),1))))</ns0:f>
        <ns0:v>1</ns0:v>
      </ns0:c>
      <ns0:c r="AW102" t="n">
        <ns0:f>IF($A102="",1,IF(AV102=1,1,--AND(IF($AC102&gt;0,INDEX(AV$7:AV$106,$AC102),1),IF($AD102&gt;0,INDEX(AV$7:AV$106,$AD102),1),IF($AE102&gt;0,INDEX(AV$7:AV$106,$AE102),1),IF($AF102&gt;0,INDEX(AV$7:AV$106,$AF102),1),IF($AG102&gt;0,INDEX(AV$7:AV$106,$AG102),1),IF($AH102&gt;0,INDEX(AV$7:AV$106,$AH102),1),IF($AI102&gt;0,INDEX(AV$7:AV$106,$AI102),1),IF($AJ102&gt;0,INDEX(AV$7:AV$106,$AJ102),1))))</ns0:f>
        <ns0:v>1</ns0:v>
      </ns0:c>
      <ns0:c r="AX102" t="n">
        <ns0:f>IF($A102="",1,IF(AW102=1,1,--AND(IF($AC102&gt;0,INDEX(AW$7:AW$106,$AC102),1),IF($AD102&gt;0,INDEX(AW$7:AW$106,$AD102),1),IF($AE102&gt;0,INDEX(AW$7:AW$106,$AE102),1),IF($AF102&gt;0,INDEX(AW$7:AW$106,$AF102),1),IF($AG102&gt;0,INDEX(AW$7:AW$106,$AG102),1),IF($AH102&gt;0,INDEX(AW$7:AW$106,$AH102),1),IF($AI102&gt;0,INDEX(AW$7:AW$106,$AI102),1),IF($AJ102&gt;0,INDEX(AW$7:AW$106,$AJ102),1))))</ns0:f>
        <ns0:v>1</ns0:v>
      </ns0:c>
      <ns0:c r="AY102" t="n">
        <ns0:f>IF($A102="",1,IF(AX102=1,1,--AND(IF($AC102&gt;0,INDEX(AX$7:AX$106,$AC102),1),IF($AD102&gt;0,INDEX(AX$7:AX$106,$AD102),1),IF($AE102&gt;0,INDEX(AX$7:AX$106,$AE102),1),IF($AF102&gt;0,INDEX(AX$7:AX$106,$AF102),1),IF($AG102&gt;0,INDEX(AX$7:AX$106,$AG102),1),IF($AH102&gt;0,INDEX(AX$7:AX$106,$AH102),1),IF($AI102&gt;0,INDEX(AX$7:AX$106,$AI102),1),IF($AJ102&gt;0,INDEX(AX$7:AX$106,$AJ102),1))))</ns0:f>
        <ns0:v>1</ns0:v>
      </ns0:c>
      <ns0:c r="AZ102" t="n">
        <ns0:f>IF($A102="",1,IF(AY102=1,1,--AND(IF($AC102&gt;0,INDEX(AY$7:AY$106,$AC102),1),IF($AD102&gt;0,INDEX(AY$7:AY$106,$AD102),1),IF($AE102&gt;0,INDEX(AY$7:AY$106,$AE102),1),IF($AF102&gt;0,INDEX(AY$7:AY$106,$AF102),1),IF($AG102&gt;0,INDEX(AY$7:AY$106,$AG102),1),IF($AH102&gt;0,INDEX(AY$7:AY$106,$AH102),1),IF($AI102&gt;0,INDEX(AY$7:AY$106,$AI102),1),IF($AJ102&gt;0,INDEX(AY$7:AY$106,$AJ102),1))))</ns0:f>
        <ns0:v>1</ns0:v>
      </ns0:c>
      <ns0:c r="BA102" t="n">
        <ns0:f>IF($A102="",1,IF(AZ102=1,1,--AND(IF($AC102&gt;0,INDEX(AZ$7:AZ$106,$AC102),1),IF($AD102&gt;0,INDEX(AZ$7:AZ$106,$AD102),1),IF($AE102&gt;0,INDEX(AZ$7:AZ$106,$AE102),1),IF($AF102&gt;0,INDEX(AZ$7:AZ$106,$AF102),1),IF($AG102&gt;0,INDEX(AZ$7:AZ$106,$AG102),1),IF($AH102&gt;0,INDEX(AZ$7:AZ$106,$AH102),1),IF($AI102&gt;0,INDEX(AZ$7:AZ$106,$AI102),1),IF($AJ102&gt;0,INDEX(AZ$7:AZ$106,$AJ102),1))))</ns0:f>
        <ns0:v>1</ns0:v>
      </ns0:c>
      <ns0:c r="BB102" t="n">
        <ns0:f>IF($A102="",1,IF(BA102=1,1,--AND(IF($AC102&gt;0,INDEX(BA$7:BA$106,$AC102),1),IF($AD102&gt;0,INDEX(BA$7:BA$106,$AD102),1),IF($AE102&gt;0,INDEX(BA$7:BA$106,$AE102),1),IF($AF102&gt;0,INDEX(BA$7:BA$106,$AF102),1),IF($AG102&gt;0,INDEX(BA$7:BA$106,$AG102),1),IF($AH102&gt;0,INDEX(BA$7:BA$106,$AH102),1),IF($AI102&gt;0,INDEX(BA$7:BA$106,$AI102),1),IF($AJ102&gt;0,INDEX(BA$7:BA$106,$AJ102),1))))</ns0:f>
        <ns0:v>1</ns0:v>
      </ns0:c>
      <ns0:c r="BC102" t="n">
        <ns0:f>IF($A102="",1,IF(BB102=1,1,--AND(IF($AC102&gt;0,INDEX(BB$7:BB$106,$AC102),1),IF($AD102&gt;0,INDEX(BB$7:BB$106,$AD102),1),IF($AE102&gt;0,INDEX(BB$7:BB$106,$AE102),1),IF($AF102&gt;0,INDEX(BB$7:BB$106,$AF102),1),IF($AG102&gt;0,INDEX(BB$7:BB$106,$AG102),1),IF($AH102&gt;0,INDEX(BB$7:BB$106,$AH102),1),IF($AI102&gt;0,INDEX(BB$7:BB$106,$AI102),1),IF($AJ102&gt;0,INDEX(BB$7:BB$106,$AJ102),1))))</ns0:f>
        <ns0:v>1</ns0:v>
      </ns0:c>
      <ns0:c r="BD102" t="n">
        <ns0:f>IF($A102="",1,IF(BC102=1,1,--AND(IF($AC102&gt;0,INDEX(BC$7:BC$106,$AC102),1),IF($AD102&gt;0,INDEX(BC$7:BC$106,$AD102),1),IF($AE102&gt;0,INDEX(BC$7:BC$106,$AE102),1),IF($AF102&gt;0,INDEX(BC$7:BC$106,$AF102),1),IF($AG102&gt;0,INDEX(BC$7:BC$106,$AG102),1),IF($AH102&gt;0,INDEX(BC$7:BC$106,$AH102),1),IF($AI102&gt;0,INDEX(BC$7:BC$106,$AI102),1),IF($AJ102&gt;0,INDEX(BC$7:BC$106,$AJ102),1))))</ns0:f>
        <ns0:v>1</ns0:v>
      </ns0:c>
      <ns0:c r="BE102" t="n">
        <ns0:f>IF($A102="",1,IF(BD102=1,1,--AND(IF($AC102&gt;0,INDEX(BD$7:BD$106,$AC102),1),IF($AD102&gt;0,INDEX(BD$7:BD$106,$AD102),1),IF($AE102&gt;0,INDEX(BD$7:BD$106,$AE102),1),IF($AF102&gt;0,INDEX(BD$7:BD$106,$AF102),1),IF($AG102&gt;0,INDEX(BD$7:BD$106,$AG102),1),IF($AH102&gt;0,INDEX(BD$7:BD$106,$AH102),1),IF($AI102&gt;0,INDEX(BD$7:BD$106,$AI102),1),IF($AJ102&gt;0,INDEX(BD$7:BD$106,$AJ102),1))))</ns0:f>
        <ns0:v>1</ns0:v>
      </ns0:c>
      <ns0:c r="BF102" t="n">
        <ns0:f>IF($A102="",1,IF(BE102=1,1,--AND(IF($AC102&gt;0,INDEX(BE$7:BE$106,$AC102),1),IF($AD102&gt;0,INDEX(BE$7:BE$106,$AD102),1),IF($AE102&gt;0,INDEX(BE$7:BE$106,$AE102),1),IF($AF102&gt;0,INDEX(BE$7:BE$106,$AF102),1),IF($AG102&gt;0,INDEX(BE$7:BE$106,$AG102),1),IF($AH102&gt;0,INDEX(BE$7:BE$106,$AH102),1),IF($AI102&gt;0,INDEX(BE$7:BE$106,$AI102),1),IF($AJ102&gt;0,INDEX(BE$7:BE$106,$AJ102),1))))</ns0:f>
        <ns0:v>1</ns0:v>
      </ns0:c>
      <ns0:c r="BG102" t="n">
        <ns0:f>IF($A102="",1,IF(BF102=1,1,--AND(IF($AC102&gt;0,INDEX(BF$7:BF$106,$AC102),1),IF($AD102&gt;0,INDEX(BF$7:BF$106,$AD102),1),IF($AE102&gt;0,INDEX(BF$7:BF$106,$AE102),1),IF($AF102&gt;0,INDEX(BF$7:BF$106,$AF102),1),IF($AG102&gt;0,INDEX(BF$7:BF$106,$AG102),1),IF($AH102&gt;0,INDEX(BF$7:BF$106,$AH102),1),IF($AI102&gt;0,INDEX(BF$7:BF$106,$AI102),1),IF($AJ102&gt;0,INDEX(BF$7:BF$106,$AJ102),1))))</ns0:f>
        <ns0:v>1</ns0:v>
      </ns0:c>
      <ns0:c r="BH102" t="n">
        <ns0:f>IF($A102="",1,IF(BG102=1,1,--AND(IF($AC102&gt;0,INDEX(BG$7:BG$106,$AC102),1),IF($AD102&gt;0,INDEX(BG$7:BG$106,$AD102),1),IF($AE102&gt;0,INDEX(BG$7:BG$106,$AE102),1),IF($AF102&gt;0,INDEX(BG$7:BG$106,$AF102),1),IF($AG102&gt;0,INDEX(BG$7:BG$106,$AG102),1),IF($AH102&gt;0,INDEX(BG$7:BG$106,$AH102),1),IF($AI102&gt;0,INDEX(BG$7:BG$106,$AI102),1),IF($AJ102&gt;0,INDEX(BG$7:BG$106,$AJ102),1))))</ns0:f>
        <ns0:v>1</ns0:v>
      </ns0:c>
      <ns0:c r="BI102" t="n">
        <ns0:f>IF($A102="",1,IF(BH102=1,1,--AND(IF($AC102&gt;0,INDEX(BH$7:BH$106,$AC102),1),IF($AD102&gt;0,INDEX(BH$7:BH$106,$AD102),1),IF($AE102&gt;0,INDEX(BH$7:BH$106,$AE102),1),IF($AF102&gt;0,INDEX(BH$7:BH$106,$AF102),1),IF($AG102&gt;0,INDEX(BH$7:BH$106,$AG102),1),IF($AH102&gt;0,INDEX(BH$7:BH$106,$AH102),1),IF($AI102&gt;0,INDEX(BH$7:BH$106,$AI102),1),IF($AJ102&gt;0,INDEX(BH$7:BH$106,$AJ102),1))))</ns0:f>
        <ns0:v>1</ns0:v>
      </ns0:c>
      <ns0:c r="BJ102" t="n">
        <ns0:f>IF($A102="",1,IF(BI102=1,1,--AND(IF($AC102&gt;0,INDEX(BI$7:BI$106,$AC102),1),IF($AD102&gt;0,INDEX(BI$7:BI$106,$AD102),1),IF($AE102&gt;0,INDEX(BI$7:BI$106,$AE102),1),IF($AF102&gt;0,INDEX(BI$7:BI$106,$AF102),1),IF($AG102&gt;0,INDEX(BI$7:BI$106,$AG102),1),IF($AH102&gt;0,INDEX(BI$7:BI$106,$AH102),1),IF($AI102&gt;0,INDEX(BI$7:BI$106,$AI102),1),IF($AJ102&gt;0,INDEX(BI$7:BI$106,$AJ102),1))))</ns0:f>
        <ns0:v>1</ns0:v>
      </ns0:c>
      <ns0:c r="BK102" t="n">
        <ns0:f>IF($A102="",1,IF(BJ102=1,1,--AND(IF($AC102&gt;0,INDEX(BJ$7:BJ$106,$AC102),1),IF($AD102&gt;0,INDEX(BJ$7:BJ$106,$AD102),1),IF($AE102&gt;0,INDEX(BJ$7:BJ$106,$AE102),1),IF($AF102&gt;0,INDEX(BJ$7:BJ$106,$AF102),1),IF($AG102&gt;0,INDEX(BJ$7:BJ$106,$AG102),1),IF($AH102&gt;0,INDEX(BJ$7:BJ$106,$AH102),1),IF($AI102&gt;0,INDEX(BJ$7:BJ$106,$AI102),1),IF($AJ102&gt;0,INDEX(BJ$7:BJ$106,$AJ102),1))))</ns0:f>
        <ns0:v>1</ns0:v>
      </ns0:c>
      <ns0:c r="BL102" t="n">
        <ns0:f>IF($A102="",1,IF(BK102=1,1,--AND(IF($AC102&gt;0,INDEX(BK$7:BK$106,$AC102),1),IF($AD102&gt;0,INDEX(BK$7:BK$106,$AD102),1),IF($AE102&gt;0,INDEX(BK$7:BK$106,$AE102),1),IF($AF102&gt;0,INDEX(BK$7:BK$106,$AF102),1),IF($AG102&gt;0,INDEX(BK$7:BK$106,$AG102),1),IF($AH102&gt;0,INDEX(BK$7:BK$106,$AH102),1),IF($AI102&gt;0,INDEX(BK$7:BK$106,$AI102),1),IF($AJ102&gt;0,INDEX(BK$7:BK$106,$AJ102),1))))</ns0:f>
        <ns0:v>1</ns0:v>
      </ns0:c>
      <ns0:c r="BM102" t="n">
        <ns0:f>IF($A102="",1,IF(BL102=1,1,--AND(IF($AC102&gt;0,INDEX(BL$7:BL$106,$AC102),1),IF($AD102&gt;0,INDEX(BL$7:BL$106,$AD102),1),IF($AE102&gt;0,INDEX(BL$7:BL$106,$AE102),1),IF($AF102&gt;0,INDEX(BL$7:BL$106,$AF102),1),IF($AG102&gt;0,INDEX(BL$7:BL$106,$AG102),1),IF($AH102&gt;0,INDEX(BL$7:BL$106,$AH102),1),IF($AI102&gt;0,INDEX(BL$7:BL$106,$AI102),1),IF($AJ102&gt;0,INDEX(BL$7:BL$106,$AJ102),1))))</ns0:f>
        <ns0:v>1</ns0:v>
      </ns0:c>
      <ns0:c r="BN102" t="n">
        <ns0:f>IF($A102="",1,IF(BM102=1,1,--AND(IF($AC102&gt;0,INDEX(BM$7:BM$106,$AC102),1),IF($AD102&gt;0,INDEX(BM$7:BM$106,$AD102),1),IF($AE102&gt;0,INDEX(BM$7:BM$106,$AE102),1),IF($AF102&gt;0,INDEX(BM$7:BM$106,$AF102),1),IF($AG102&gt;0,INDEX(BM$7:BM$106,$AG102),1),IF($AH102&gt;0,INDEX(BM$7:BM$106,$AH102),1),IF($AI102&gt;0,INDEX(BM$7:BM$106,$AI102),1),IF($AJ102&gt;0,INDEX(BM$7:BM$106,$AJ102),1))))</ns0:f>
        <ns0:v>1</ns0:v>
      </ns0:c>
      <ns0:c r="BO102" t="n">
        <ns0:f>IF($A102="",1,IF(BN102=1,1,--AND(IF($AC102&gt;0,INDEX(BN$7:BN$106,$AC102),1),IF($AD102&gt;0,INDEX(BN$7:BN$106,$AD102),1),IF($AE102&gt;0,INDEX(BN$7:BN$106,$AE102),1),IF($AF102&gt;0,INDEX(BN$7:BN$106,$AF102),1),IF($AG102&gt;0,INDEX(BN$7:BN$106,$AG102),1),IF($AH102&gt;0,INDEX(BN$7:BN$106,$AH102),1),IF($AI102&gt;0,INDEX(BN$7:BN$106,$AI102),1),IF($AJ102&gt;0,INDEX(BN$7:BN$106,$AJ102),1))))</ns0:f>
        <ns0:v>1</ns0:v>
      </ns0:c>
      <ns0:c r="BP102" t="n">
        <ns0:f>IF($A102="",1,IF(BO102=1,1,--AND(IF($AC102&gt;0,INDEX(BO$7:BO$106,$AC102),1),IF($AD102&gt;0,INDEX(BO$7:BO$106,$AD102),1),IF($AE102&gt;0,INDEX(BO$7:BO$106,$AE102),1),IF($AF102&gt;0,INDEX(BO$7:BO$106,$AF102),1),IF($AG102&gt;0,INDEX(BO$7:BO$106,$AG102),1),IF($AH102&gt;0,INDEX(BO$7:BO$106,$AH102),1),IF($AI102&gt;0,INDEX(BO$7:BO$106,$AI102),1),IF($AJ102&gt;0,INDEX(BO$7:BO$106,$AJ102),1))))</ns0:f>
        <ns0:v>1</ns0:v>
      </ns0:c>
      <ns0:c r="BQ102" t="n">
        <ns0:f>IF($A102="",1,IF(BP102=1,1,--AND(IF($AC102&gt;0,INDEX(BP$7:BP$106,$AC102),1),IF($AD102&gt;0,INDEX(BP$7:BP$106,$AD102),1),IF($AE102&gt;0,INDEX(BP$7:BP$106,$AE102),1),IF($AF102&gt;0,INDEX(BP$7:BP$106,$AF102),1),IF($AG102&gt;0,INDEX(BP$7:BP$106,$AG102),1),IF($AH102&gt;0,INDEX(BP$7:BP$106,$AH102),1),IF($AI102&gt;0,INDEX(BP$7:BP$106,$AI102),1),IF($AJ102&gt;0,INDEX(BP$7:BP$106,$AJ102),1))))</ns0:f>
        <ns0:v>1</ns0:v>
      </ns0:c>
      <ns0:c r="BR102" t="n">
        <ns0:f>IF($A102="",1,IF(BQ102=1,1,--AND(IF($AC102&gt;0,INDEX(BQ$7:BQ$106,$AC102),1),IF($AD102&gt;0,INDEX(BQ$7:BQ$106,$AD102),1),IF($AE102&gt;0,INDEX(BQ$7:BQ$106,$AE102),1),IF($AF102&gt;0,INDEX(BQ$7:BQ$106,$AF102),1),IF($AG102&gt;0,INDEX(BQ$7:BQ$106,$AG102),1),IF($AH102&gt;0,INDEX(BQ$7:BQ$106,$AH102),1),IF($AI102&gt;0,INDEX(BQ$7:BQ$106,$AI102),1),IF($AJ102&gt;0,INDEX(BQ$7:BQ$106,$AJ102),1))))</ns0:f>
        <ns0:v>1</ns0:v>
      </ns0:c>
      <ns0:c r="BS102" t="n">
        <ns0:f>IF($A102="",1,IF(BR102=1,1,--AND(IF($AC102&gt;0,INDEX(BR$7:BR$106,$AC102),1),IF($AD102&gt;0,INDEX(BR$7:BR$106,$AD102),1),IF($AE102&gt;0,INDEX(BR$7:BR$106,$AE102),1),IF($AF102&gt;0,INDEX(BR$7:BR$106,$AF102),1),IF($AG102&gt;0,INDEX(BR$7:BR$106,$AG102),1),IF($AH102&gt;0,INDEX(BR$7:BR$106,$AH102),1),IF($AI102&gt;0,INDEX(BR$7:BR$106,$AI102),1),IF($AJ102&gt;0,INDEX(BR$7:BR$106,$AJ102),1))))</ns0:f>
        <ns0:v>1</ns0:v>
      </ns0:c>
      <ns0:c r="BT102" t="n">
        <ns0:f>IF($A102="",1,IF(BS102=1,1,--AND(IF($AC102&gt;0,INDEX(BS$7:BS$106,$AC102),1),IF($AD102&gt;0,INDEX(BS$7:BS$106,$AD102),1),IF($AE102&gt;0,INDEX(BS$7:BS$106,$AE102),1),IF($AF102&gt;0,INDEX(BS$7:BS$106,$AF102),1),IF($AG102&gt;0,INDEX(BS$7:BS$106,$AG102),1),IF($AH102&gt;0,INDEX(BS$7:BS$106,$AH102),1),IF($AI102&gt;0,INDEX(BS$7:BS$106,$AI102),1),IF($AJ102&gt;0,INDEX(BS$7:BS$106,$AJ102),1))))</ns0:f>
        <ns0:v>1</ns0:v>
      </ns0:c>
      <ns0:c r="BU102" t="n">
        <ns0:f>IF($A102="",1,IF(BT102=1,1,--AND(IF($AC102&gt;0,INDEX(BT$7:BT$106,$AC102),1),IF($AD102&gt;0,INDEX(BT$7:BT$106,$AD102),1),IF($AE102&gt;0,INDEX(BT$7:BT$106,$AE102),1),IF($AF102&gt;0,INDEX(BT$7:BT$106,$AF102),1),IF($AG102&gt;0,INDEX(BT$7:BT$106,$AG102),1),IF($AH102&gt;0,INDEX(BT$7:BT$106,$AH102),1),IF($AI102&gt;0,INDEX(BT$7:BT$106,$AI102),1),IF($AJ102&gt;0,INDEX(BT$7:BT$106,$AJ102),1))))</ns0:f>
        <ns0:v>1</ns0:v>
      </ns0:c>
      <ns0:c r="BV102" t="n">
        <ns0:f>IF($A102="",1,IF(BU102=1,1,--AND(IF($AC102&gt;0,INDEX(BU$7:BU$106,$AC102),1),IF($AD102&gt;0,INDEX(BU$7:BU$106,$AD102),1),IF($AE102&gt;0,INDEX(BU$7:BU$106,$AE102),1),IF($AF102&gt;0,INDEX(BU$7:BU$106,$AF102),1),IF($AG102&gt;0,INDEX(BU$7:BU$106,$AG102),1),IF($AH102&gt;0,INDEX(BU$7:BU$106,$AH102),1),IF($AI102&gt;0,INDEX(BU$7:BU$106,$AI102),1),IF($AJ102&gt;0,INDEX(BU$7:BU$106,$AJ102),1))))</ns0:f>
        <ns0:v>1</ns0:v>
      </ns0:c>
      <ns0:c r="BW102" t="n">
        <ns0:f>IF($A102="",1,IF(BV102=1,1,--AND(IF($AC102&gt;0,INDEX(BV$7:BV$106,$AC102),1),IF($AD102&gt;0,INDEX(BV$7:BV$106,$AD102),1),IF($AE102&gt;0,INDEX(BV$7:BV$106,$AE102),1),IF($AF102&gt;0,INDEX(BV$7:BV$106,$AF102),1),IF($AG102&gt;0,INDEX(BV$7:BV$106,$AG102),1),IF($AH102&gt;0,INDEX(BV$7:BV$106,$AH102),1),IF($AI102&gt;0,INDEX(BV$7:BV$106,$AI102),1),IF($AJ102&gt;0,INDEX(BV$7:BV$106,$AJ102),1))))</ns0:f>
        <ns0:v>1</ns0:v>
      </ns0:c>
      <ns0:c r="BX102" t="n">
        <ns0:f>IF($A102="",1,IF(BW102=1,1,--AND(IF($AC102&gt;0,INDEX(BW$7:BW$106,$AC102),1),IF($AD102&gt;0,INDEX(BW$7:BW$106,$AD102),1),IF($AE102&gt;0,INDEX(BW$7:BW$106,$AE102),1),IF($AF102&gt;0,INDEX(BW$7:BW$106,$AF102),1),IF($AG102&gt;0,INDEX(BW$7:BW$106,$AG102),1),IF($AH102&gt;0,INDEX(BW$7:BW$106,$AH102),1),IF($AI102&gt;0,INDEX(BW$7:BW$106,$AI102),1),IF($AJ102&gt;0,INDEX(BW$7:BW$106,$AJ102),1))))</ns0:f>
        <ns0:v>1</ns0:v>
      </ns0:c>
      <ns0:c r="BY102" t="n">
        <ns0:f>IF($A102="",1,IF(BX102=1,1,--AND(IF($AC102&gt;0,INDEX(BX$7:BX$106,$AC102),1),IF($AD102&gt;0,INDEX(BX$7:BX$106,$AD102),1),IF($AE102&gt;0,INDEX(BX$7:BX$106,$AE102),1),IF($AF102&gt;0,INDEX(BX$7:BX$106,$AF102),1),IF($AG102&gt;0,INDEX(BX$7:BX$106,$AG102),1),IF($AH102&gt;0,INDEX(BX$7:BX$106,$AH102),1),IF($AI102&gt;0,INDEX(BX$7:BX$106,$AI102),1),IF($AJ102&gt;0,INDEX(BX$7:BX$106,$AJ102),1))))</ns0:f>
        <ns0:v>1</ns0:v>
      </ns0:c>
      <ns0:c r="BZ102" t="n">
        <ns0:f>IF($A102="",1,IF(BY102=1,1,--AND(IF($AC102&gt;0,INDEX(BY$7:BY$106,$AC102),1),IF($AD102&gt;0,INDEX(BY$7:BY$106,$AD102),1),IF($AE102&gt;0,INDEX(BY$7:BY$106,$AE102),1),IF($AF102&gt;0,INDEX(BY$7:BY$106,$AF102),1),IF($AG102&gt;0,INDEX(BY$7:BY$106,$AG102),1),IF($AH102&gt;0,INDEX(BY$7:BY$106,$AH102),1),IF($AI102&gt;0,INDEX(BY$7:BY$106,$AI102),1),IF($AJ102&gt;0,INDEX(BY$7:BY$106,$AJ102),1))))</ns0:f>
        <ns0:v>1</ns0:v>
      </ns0:c>
      <ns0:c r="CA102" t="n">
        <ns0:f>IF($A102="",1,IF(BZ102=1,1,--AND(IF($AC102&gt;0,INDEX(BZ$7:BZ$106,$AC102),1),IF($AD102&gt;0,INDEX(BZ$7:BZ$106,$AD102),1),IF($AE102&gt;0,INDEX(BZ$7:BZ$106,$AE102),1),IF($AF102&gt;0,INDEX(BZ$7:BZ$106,$AF102),1),IF($AG102&gt;0,INDEX(BZ$7:BZ$106,$AG102),1),IF($AH102&gt;0,INDEX(BZ$7:BZ$106,$AH102),1),IF($AI102&gt;0,INDEX(BZ$7:BZ$106,$AI102),1),IF($AJ102&gt;0,INDEX(BZ$7:BZ$106,$AJ102),1))))</ns0:f>
        <ns0:v>1</ns0:v>
      </ns0:c>
      <ns0:c r="CB102" t="n">
        <ns0:f>IF($A102="",1,IF(CA102=1,1,--AND(IF($AC102&gt;0,INDEX(CA$7:CA$106,$AC102),1),IF($AD102&gt;0,INDEX(CA$7:CA$106,$AD102),1),IF($AE102&gt;0,INDEX(CA$7:CA$106,$AE102),1),IF($AF102&gt;0,INDEX(CA$7:CA$106,$AF102),1),IF($AG102&gt;0,INDEX(CA$7:CA$106,$AG102),1),IF($AH102&gt;0,INDEX(CA$7:CA$106,$AH102),1),IF($AI102&gt;0,INDEX(CA$7:CA$106,$AI102),1),IF($AJ102&gt;0,INDEX(CA$7:CA$106,$AJ102),1))))</ns0:f>
        <ns0:v>1</ns0:v>
      </ns0:c>
      <ns0:c r="CC102" t="n">
        <ns0:f>IF($A102="",1,IF(CB102=1,1,--AND(IF($AC102&gt;0,INDEX(CB$7:CB$106,$AC102),1),IF($AD102&gt;0,INDEX(CB$7:CB$106,$AD102),1),IF($AE102&gt;0,INDEX(CB$7:CB$106,$AE102),1),IF($AF102&gt;0,INDEX(CB$7:CB$106,$AF102),1),IF($AG102&gt;0,INDEX(CB$7:CB$106,$AG102),1),IF($AH102&gt;0,INDEX(CB$7:CB$106,$AH102),1),IF($AI102&gt;0,INDEX(CB$7:CB$106,$AI102),1),IF($AJ102&gt;0,INDEX(CB$7:CB$106,$AJ102),1))))</ns0:f>
        <ns0:v>1</ns0:v>
      </ns0:c>
      <ns0:c r="CD102" t="n">
        <ns0:f>IF($A102="",1,IF(CC102=1,1,--AND(IF($AC102&gt;0,INDEX(CC$7:CC$106,$AC102),1),IF($AD102&gt;0,INDEX(CC$7:CC$106,$AD102),1),IF($AE102&gt;0,INDEX(CC$7:CC$106,$AE102),1),IF($AF102&gt;0,INDEX(CC$7:CC$106,$AF102),1),IF($AG102&gt;0,INDEX(CC$7:CC$106,$AG102),1),IF($AH102&gt;0,INDEX(CC$7:CC$106,$AH102),1),IF($AI102&gt;0,INDEX(CC$7:CC$106,$AI102),1),IF($AJ102&gt;0,INDEX(CC$7:CC$106,$AJ102),1))))</ns0:f>
        <ns0:v>1</ns0:v>
      </ns0:c>
      <ns0:c r="CE102" t="n">
        <ns0:f>IF($A102="",1,IF(CD102=1,1,--AND(IF($AC102&gt;0,INDEX(CD$7:CD$106,$AC102),1),IF($AD102&gt;0,INDEX(CD$7:CD$106,$AD102),1),IF($AE102&gt;0,INDEX(CD$7:CD$106,$AE102),1),IF($AF102&gt;0,INDEX(CD$7:CD$106,$AF102),1),IF($AG102&gt;0,INDEX(CD$7:CD$106,$AG102),1),IF($AH102&gt;0,INDEX(CD$7:CD$106,$AH102),1),IF($AI102&gt;0,INDEX(CD$7:CD$106,$AI102),1),IF($AJ102&gt;0,INDEX(CD$7:CD$106,$AJ102),1))))</ns0:f>
        <ns0:v>1</ns0:v>
      </ns0:c>
      <ns0:c r="CF102" t="n">
        <ns0:f>IF($A102="",1,IF(CE102=1,1,--AND(IF($AC102&gt;0,INDEX(CE$7:CE$106,$AC102),1),IF($AD102&gt;0,INDEX(CE$7:CE$106,$AD102),1),IF($AE102&gt;0,INDEX(CE$7:CE$106,$AE102),1),IF($AF102&gt;0,INDEX(CE$7:CE$106,$AF102),1),IF($AG102&gt;0,INDEX(CE$7:CE$106,$AG102),1),IF($AH102&gt;0,INDEX(CE$7:CE$106,$AH102),1),IF($AI102&gt;0,INDEX(CE$7:CE$106,$AI102),1),IF($AJ102&gt;0,INDEX(CE$7:CE$106,$AJ102),1))))</ns0:f>
        <ns0:v>1</ns0:v>
      </ns0:c>
      <ns0:c r="CG102" t="n">
        <ns0:f>IF($A102="",1,IF(CF102=1,1,--AND(IF($AC102&gt;0,INDEX(CF$7:CF$106,$AC102),1),IF($AD102&gt;0,INDEX(CF$7:CF$106,$AD102),1),IF($AE102&gt;0,INDEX(CF$7:CF$106,$AE102),1),IF($AF102&gt;0,INDEX(CF$7:CF$106,$AF102),1),IF($AG102&gt;0,INDEX(CF$7:CF$106,$AG102),1),IF($AH102&gt;0,INDEX(CF$7:CF$106,$AH102),1),IF($AI102&gt;0,INDEX(CF$7:CF$106,$AI102),1),IF($AJ102&gt;0,INDEX(CF$7:CF$106,$AJ102),1))))</ns0:f>
        <ns0:v>1</ns0:v>
      </ns0:c>
      <ns0:c r="CH102" t="n">
        <ns0:f>IF($A102="",1,IF(CG102=1,1,--AND(IF($AC102&gt;0,INDEX(CG$7:CG$106,$AC102),1),IF($AD102&gt;0,INDEX(CG$7:CG$106,$AD102),1),IF($AE102&gt;0,INDEX(CG$7:CG$106,$AE102),1),IF($AF102&gt;0,INDEX(CG$7:CG$106,$AF102),1),IF($AG102&gt;0,INDEX(CG$7:CG$106,$AG102),1),IF($AH102&gt;0,INDEX(CG$7:CG$106,$AH102),1),IF($AI102&gt;0,INDEX(CG$7:CG$106,$AI102),1),IF($AJ102&gt;0,INDEX(CG$7:CG$106,$AJ102),1))))</ns0:f>
        <ns0:v>1</ns0:v>
      </ns0:c>
      <ns0:c r="CI102" t="n">
        <ns0:f>IF($A102="",1,IF(CH102=1,1,--AND(IF($AC102&gt;0,INDEX(CH$7:CH$106,$AC102),1),IF($AD102&gt;0,INDEX(CH$7:CH$106,$AD102),1),IF($AE102&gt;0,INDEX(CH$7:CH$106,$AE102),1),IF($AF102&gt;0,INDEX(CH$7:CH$106,$AF102),1),IF($AG102&gt;0,INDEX(CH$7:CH$106,$AG102),1),IF($AH102&gt;0,INDEX(CH$7:CH$106,$AH102),1),IF($AI102&gt;0,INDEX(CH$7:CH$106,$AI102),1),IF($AJ102&gt;0,INDEX(CH$7:CH$106,$AJ102),1))))</ns0:f>
        <ns0:v>1</ns0:v>
      </ns0:c>
      <ns0:c r="CJ102" t="n">
        <ns0:f>IF($A102="",1,IF(CI102=1,1,--AND(IF($AC102&gt;0,INDEX(CI$7:CI$106,$AC102),1),IF($AD102&gt;0,INDEX(CI$7:CI$106,$AD102),1),IF($AE102&gt;0,INDEX(CI$7:CI$106,$AE102),1),IF($AF102&gt;0,INDEX(CI$7:CI$106,$AF102),1),IF($AG102&gt;0,INDEX(CI$7:CI$106,$AG102),1),IF($AH102&gt;0,INDEX(CI$7:CI$106,$AH102),1),IF($AI102&gt;0,INDEX(CI$7:CI$106,$AI102),1),IF($AJ102&gt;0,INDEX(CI$7:CI$106,$AJ102),1))))</ns0:f>
        <ns0:v>1</ns0:v>
      </ns0:c>
      <ns0:c r="CK102" t="n">
        <ns0:f>IF($A102="",1,IF(CJ102=1,1,--AND(IF($AC102&gt;0,INDEX(CJ$7:CJ$106,$AC102),1),IF($AD102&gt;0,INDEX(CJ$7:CJ$106,$AD102),1),IF($AE102&gt;0,INDEX(CJ$7:CJ$106,$AE102),1),IF($AF102&gt;0,INDEX(CJ$7:CJ$106,$AF102),1),IF($AG102&gt;0,INDEX(CJ$7:CJ$106,$AG102),1),IF($AH102&gt;0,INDEX(CJ$7:CJ$106,$AH102),1),IF($AI102&gt;0,INDEX(CJ$7:CJ$106,$AI102),1),IF($AJ102&gt;0,INDEX(CJ$7:CJ$106,$AJ102),1))))</ns0:f>
        <ns0:v>1</ns0:v>
      </ns0:c>
      <ns0:c r="CL102" t="n">
        <ns0:f>IF($A102="",1,IF(CK102=1,1,--AND(IF($AC102&gt;0,INDEX(CK$7:CK$106,$AC102),1),IF($AD102&gt;0,INDEX(CK$7:CK$106,$AD102),1),IF($AE102&gt;0,INDEX(CK$7:CK$106,$AE102),1),IF($AF102&gt;0,INDEX(CK$7:CK$106,$AF102),1),IF($AG102&gt;0,INDEX(CK$7:CK$106,$AG102),1),IF($AH102&gt;0,INDEX(CK$7:CK$106,$AH102),1),IF($AI102&gt;0,INDEX(CK$7:CK$106,$AI102),1),IF($AJ102&gt;0,INDEX(CK$7:CK$106,$AJ102),1))))</ns0:f>
        <ns0:v>1</ns0:v>
      </ns0:c>
      <ns0:c r="CM102" t="n">
        <ns0:f>IF($A102="",1,IF(CL102=1,1,--AND(IF($AC102&gt;0,INDEX(CL$7:CL$106,$AC102),1),IF($AD102&gt;0,INDEX(CL$7:CL$106,$AD102),1),IF($AE102&gt;0,INDEX(CL$7:CL$106,$AE102),1),IF($AF102&gt;0,INDEX(CL$7:CL$106,$AF102),1),IF($AG102&gt;0,INDEX(CL$7:CL$106,$AG102),1),IF($AH102&gt;0,INDEX(CL$7:CL$106,$AH102),1),IF($AI102&gt;0,INDEX(CL$7:CL$106,$AI102),1),IF($AJ102&gt;0,INDEX(CL$7:CL$106,$AJ102),1))))</ns0:f>
        <ns0:v>1</ns0:v>
      </ns0:c>
      <ns0:c r="CN102" t="n">
        <ns0:f>IF($A102="",1,IF(CM102=1,1,--AND(IF($AC102&gt;0,INDEX(CM$7:CM$106,$AC102),1),IF($AD102&gt;0,INDEX(CM$7:CM$106,$AD102),1),IF($AE102&gt;0,INDEX(CM$7:CM$106,$AE102),1),IF($AF102&gt;0,INDEX(CM$7:CM$106,$AF102),1),IF($AG102&gt;0,INDEX(CM$7:CM$106,$AG102),1),IF($AH102&gt;0,INDEX(CM$7:CM$106,$AH102),1),IF($AI102&gt;0,INDEX(CM$7:CM$106,$AI102),1),IF($AJ102&gt;0,INDEX(CM$7:CM$106,$AJ102),1))))</ns0:f>
        <ns0:v>1</ns0:v>
      </ns0:c>
      <ns0:c r="CO102" t="n">
        <ns0:f>IF($A102="",1,IF(CN102=1,1,--AND(IF($AC102&gt;0,INDEX(CN$7:CN$106,$AC102),1),IF($AD102&gt;0,INDEX(CN$7:CN$106,$AD102),1),IF($AE102&gt;0,INDEX(CN$7:CN$106,$AE102),1),IF($AF102&gt;0,INDEX(CN$7:CN$106,$AF102),1),IF($AG102&gt;0,INDEX(CN$7:CN$106,$AG102),1),IF($AH102&gt;0,INDEX(CN$7:CN$106,$AH102),1),IF($AI102&gt;0,INDEX(CN$7:CN$106,$AI102),1),IF($AJ102&gt;0,INDEX(CN$7:CN$106,$AJ102),1))))</ns0:f>
        <ns0:v>1</ns0:v>
      </ns0:c>
      <ns0:c r="CP102" t="n">
        <ns0:f>IF($A102="",1,IF(CO102=1,1,--AND(IF($AC102&gt;0,INDEX(CO$7:CO$106,$AC102),1),IF($AD102&gt;0,INDEX(CO$7:CO$106,$AD102),1),IF($AE102&gt;0,INDEX(CO$7:CO$106,$AE102),1),IF($AF102&gt;0,INDEX(CO$7:CO$106,$AF102),1),IF($AG102&gt;0,INDEX(CO$7:CO$106,$AG102),1),IF($AH102&gt;0,INDEX(CO$7:CO$106,$AH102),1),IF($AI102&gt;0,INDEX(CO$7:CO$106,$AI102),1),IF($AJ102&gt;0,INDEX(CO$7:CO$106,$AJ102),1))))</ns0:f>
        <ns0:v>1</ns0:v>
      </ns0:c>
      <ns0:c r="CQ102" t="n">
        <ns0:f>IF($A102="",1,IF(CP102=1,1,--AND(IF($AC102&gt;0,INDEX(CP$7:CP$106,$AC102),1),IF($AD102&gt;0,INDEX(CP$7:CP$106,$AD102),1),IF($AE102&gt;0,INDEX(CP$7:CP$106,$AE102),1),IF($AF102&gt;0,INDEX(CP$7:CP$106,$AF102),1),IF($AG102&gt;0,INDEX(CP$7:CP$106,$AG102),1),IF($AH102&gt;0,INDEX(CP$7:CP$106,$AH102),1),IF($AI102&gt;0,INDEX(CP$7:CP$106,$AI102),1),IF($AJ102&gt;0,INDEX(CP$7:CP$106,$AJ102),1))))</ns0:f>
        <ns0:v>1</ns0:v>
      </ns0:c>
      <ns0:c r="CR102" t="n">
        <ns0:f>IF($A102="",1,IF(CQ102=1,1,--AND(IF($AC102&gt;0,INDEX(CQ$7:CQ$106,$AC102),1),IF($AD102&gt;0,INDEX(CQ$7:CQ$106,$AD102),1),IF($AE102&gt;0,INDEX(CQ$7:CQ$106,$AE102),1),IF($AF102&gt;0,INDEX(CQ$7:CQ$106,$AF102),1),IF($AG102&gt;0,INDEX(CQ$7:CQ$106,$AG102),1),IF($AH102&gt;0,INDEX(CQ$7:CQ$106,$AH102),1),IF($AI102&gt;0,INDEX(CQ$7:CQ$106,$AI102),1),IF($AJ102&gt;0,INDEX(CQ$7:CQ$106,$AJ102),1))))</ns0:f>
        <ns0:v>1</ns0:v>
      </ns0:c>
      <ns0:c r="CS102" t="n">
        <ns0:f>IF($A102="",1,IF(CR102=1,1,--AND(IF($AC102&gt;0,INDEX(CR$7:CR$106,$AC102),1),IF($AD102&gt;0,INDEX(CR$7:CR$106,$AD102),1),IF($AE102&gt;0,INDEX(CR$7:CR$106,$AE102),1),IF($AF102&gt;0,INDEX(CR$7:CR$106,$AF102),1),IF($AG102&gt;0,INDEX(CR$7:CR$106,$AG102),1),IF($AH102&gt;0,INDEX(CR$7:CR$106,$AH102),1),IF($AI102&gt;0,INDEX(CR$7:CR$106,$AI102),1),IF($AJ102&gt;0,INDEX(CR$7:CR$106,$AJ102),1))))</ns0:f>
        <ns0:v>1</ns0:v>
      </ns0:c>
      <ns0:c r="CT102" t="n">
        <ns0:f>IF($A102="",1,IF(CS102=1,1,--AND(IF($AC102&gt;0,INDEX(CS$7:CS$106,$AC102),1),IF($AD102&gt;0,INDEX(CS$7:CS$106,$AD102),1),IF($AE102&gt;0,INDEX(CS$7:CS$106,$AE102),1),IF($AF102&gt;0,INDEX(CS$7:CS$106,$AF102),1),IF($AG102&gt;0,INDEX(CS$7:CS$106,$AG102),1),IF($AH102&gt;0,INDEX(CS$7:CS$106,$AH102),1),IF($AI102&gt;0,INDEX(CS$7:CS$106,$AI102),1),IF($AJ102&gt;0,INDEX(CS$7:CS$106,$AJ102),1))))</ns0:f>
        <ns0:v>1</ns0:v>
      </ns0:c>
      <ns0:c r="CU102" t="n">
        <ns0:f>IF($A102="",1,IF(CT102=1,1,--AND(IF($AC102&gt;0,INDEX(CT$7:CT$106,$AC102),1),IF($AD102&gt;0,INDEX(CT$7:CT$106,$AD102),1),IF($AE102&gt;0,INDEX(CT$7:CT$106,$AE102),1),IF($AF102&gt;0,INDEX(CT$7:CT$106,$AF102),1),IF($AG102&gt;0,INDEX(CT$7:CT$106,$AG102),1),IF($AH102&gt;0,INDEX(CT$7:CT$106,$AH102),1),IF($AI102&gt;0,INDEX(CT$7:CT$106,$AI102),1),IF($AJ102&gt;0,INDEX(CT$7:CT$106,$AJ102),1))))</ns0:f>
        <ns0:v>1</ns0:v>
      </ns0:c>
      <ns0:c r="CV102" t="n">
        <ns0:f>IF($A102="",1,IF(CU102=1,1,--AND(IF($AC102&gt;0,INDEX(CU$7:CU$106,$AC102),1),IF($AD102&gt;0,INDEX(CU$7:CU$106,$AD102),1),IF($AE102&gt;0,INDEX(CU$7:CU$106,$AE102),1),IF($AF102&gt;0,INDEX(CU$7:CU$106,$AF102),1),IF($AG102&gt;0,INDEX(CU$7:CU$106,$AG102),1),IF($AH102&gt;0,INDEX(CU$7:CU$106,$AH102),1),IF($AI102&gt;0,INDEX(CU$7:CU$106,$AI102),1),IF($AJ102&gt;0,INDEX(CU$7:CU$106,$AJ102),1))))</ns0:f>
        <ns0:v>1</ns0:v>
      </ns0:c>
      <ns0:c r="CW102" t="n">
        <ns0:f>IF($A102="",1,IF(CV102=1,1,--AND(IF($AC102&gt;0,INDEX(CV$7:CV$106,$AC102),1),IF($AD102&gt;0,INDEX(CV$7:CV$106,$AD102),1),IF($AE102&gt;0,INDEX(CV$7:CV$106,$AE102),1),IF($AF102&gt;0,INDEX(CV$7:CV$106,$AF102),1),IF($AG102&gt;0,INDEX(CV$7:CV$106,$AG102),1),IF($AH102&gt;0,INDEX(CV$7:CV$106,$AH102),1),IF($AI102&gt;0,INDEX(CV$7:CV$106,$AI102),1),IF($AJ102&gt;0,INDEX(CV$7:CV$106,$AJ102),1))))</ns0:f>
        <ns0:v>1</ns0:v>
      </ns0:c>
      <ns0:c r="CX102" t="n">
        <ns0:f>IF($A102="",1,IF(CW102=1,1,--AND(IF($AC102&gt;0,INDEX(CW$7:CW$106,$AC102),1),IF($AD102&gt;0,INDEX(CW$7:CW$106,$AD102),1),IF($AE102&gt;0,INDEX(CW$7:CW$106,$AE102),1),IF($AF102&gt;0,INDEX(CW$7:CW$106,$AF102),1),IF($AG102&gt;0,INDEX(CW$7:CW$106,$AG102),1),IF($AH102&gt;0,INDEX(CW$7:CW$106,$AH102),1),IF($AI102&gt;0,INDEX(CW$7:CW$106,$AI102),1),IF($AJ102&gt;0,INDEX(CW$7:CW$106,$AJ102),1))))</ns0:f>
        <ns0:v>1</ns0:v>
      </ns0:c>
      <ns0:c r="CY102" t="n">
        <ns0:f>IF($A102="",1,IF(CX102=1,1,--AND(IF($AC102&gt;0,INDEX(CX$7:CX$106,$AC102),1),IF($AD102&gt;0,INDEX(CX$7:CX$106,$AD102),1),IF($AE102&gt;0,INDEX(CX$7:CX$106,$AE102),1),IF($AF102&gt;0,INDEX(CX$7:CX$106,$AF102),1),IF($AG102&gt;0,INDEX(CX$7:CX$106,$AG102),1),IF($AH102&gt;0,INDEX(CX$7:CX$106,$AH102),1),IF($AI102&gt;0,INDEX(CX$7:CX$106,$AI102),1),IF($AJ102&gt;0,INDEX(CX$7:CX$106,$AJ102),1))))</ns0:f>
        <ns0:v>1</ns0:v>
      </ns0:c>
      <ns0:c r="CZ102" t="n">
        <ns0:f>IF($A102="",1,IF(CY102=1,1,--AND(IF($AC102&gt;0,INDEX(CY$7:CY$106,$AC102),1),IF($AD102&gt;0,INDEX(CY$7:CY$106,$AD102),1),IF($AE102&gt;0,INDEX(CY$7:CY$106,$AE102),1),IF($AF102&gt;0,INDEX(CY$7:CY$106,$AF102),1),IF($AG102&gt;0,INDEX(CY$7:CY$106,$AG102),1),IF($AH102&gt;0,INDEX(CY$7:CY$106,$AH102),1),IF($AI102&gt;0,INDEX(CY$7:CY$106,$AI102),1),IF($AJ102&gt;0,INDEX(CY$7:CY$106,$AJ102),1))))</ns0:f>
        <ns0:v>1</ns0:v>
      </ns0:c>
      <ns0:c r="DA102" t="n">
        <ns0:f>IF($A102="",1,IF(CZ102=1,1,--AND(IF($AC102&gt;0,INDEX(CZ$7:CZ$106,$AC102),1),IF($AD102&gt;0,INDEX(CZ$7:CZ$106,$AD102),1),IF($AE102&gt;0,INDEX(CZ$7:CZ$106,$AE102),1),IF($AF102&gt;0,INDEX(CZ$7:CZ$106,$AF102),1),IF($AG102&gt;0,INDEX(CZ$7:CZ$106,$AG102),1),IF($AH102&gt;0,INDEX(CZ$7:CZ$106,$AH102),1),IF($AI102&gt;0,INDEX(CZ$7:CZ$106,$AI102),1),IF($AJ102&gt;0,INDEX(CZ$7:CZ$106,$AJ102),1))))</ns0:f>
        <ns0:v>1</ns0:v>
      </ns0:c>
      <ns0:c r="DB102" t="n">
        <ns0:f>IF($A102="",1,IF(DA102=1,1,--AND(IF($AC102&gt;0,INDEX(DA$7:DA$106,$AC102),1),IF($AD102&gt;0,INDEX(DA$7:DA$106,$AD102),1),IF($AE102&gt;0,INDEX(DA$7:DA$106,$AE102),1),IF($AF102&gt;0,INDEX(DA$7:DA$106,$AF102),1),IF($AG102&gt;0,INDEX(DA$7:DA$106,$AG102),1),IF($AH102&gt;0,INDEX(DA$7:DA$106,$AH102),1),IF($AI102&gt;0,INDEX(DA$7:DA$106,$AI102),1),IF($AJ102&gt;0,INDEX(DA$7:DA$106,$AJ102),1))))</ns0:f>
        <ns0:v>1</ns0:v>
      </ns0:c>
      <ns0:c r="DC102" t="n">
        <ns0:f>IF($A102="",1,IF(DB102=1,1,--AND(IF($AC102&gt;0,INDEX(DB$7:DB$106,$AC102),1),IF($AD102&gt;0,INDEX(DB$7:DB$106,$AD102),1),IF($AE102&gt;0,INDEX(DB$7:DB$106,$AE102),1),IF($AF102&gt;0,INDEX(DB$7:DB$106,$AF102),1),IF($AG102&gt;0,INDEX(DB$7:DB$106,$AG102),1),IF($AH102&gt;0,INDEX(DB$7:DB$106,$AH102),1),IF($AI102&gt;0,INDEX(DB$7:DB$106,$AI102),1),IF($AJ102&gt;0,INDEX(DB$7:DB$106,$AJ102),1))))</ns0:f>
        <ns0:v>1</ns0:v>
      </ns0:c>
      <ns0:c r="DD102" t="n">
        <ns0:f>IF($A102="",1,IF(DC102=1,1,--AND(IF($AC102&gt;0,INDEX(DC$7:DC$106,$AC102),1),IF($AD102&gt;0,INDEX(DC$7:DC$106,$AD102),1),IF($AE102&gt;0,INDEX(DC$7:DC$106,$AE102),1),IF($AF102&gt;0,INDEX(DC$7:DC$106,$AF102),1),IF($AG102&gt;0,INDEX(DC$7:DC$106,$AG102),1),IF($AH102&gt;0,INDEX(DC$7:DC$106,$AH102),1),IF($AI102&gt;0,INDEX(DC$7:DC$106,$AI102),1),IF($AJ102&gt;0,INDEX(DC$7:DC$106,$AJ102),1))))</ns0:f>
        <ns0:v>1</ns0:v>
      </ns0:c>
      <ns0:c r="DE102" t="n">
        <ns0:f>IF($A102="",1,IF(DD102=1,1,--AND(IF($AC102&gt;0,INDEX(DD$7:DD$106,$AC102),1),IF($AD102&gt;0,INDEX(DD$7:DD$106,$AD102),1),IF($AE102&gt;0,INDEX(DD$7:DD$106,$AE102),1),IF($AF102&gt;0,INDEX(DD$7:DD$106,$AF102),1),IF($AG102&gt;0,INDEX(DD$7:DD$106,$AG102),1),IF($AH102&gt;0,INDEX(DD$7:DD$106,$AH102),1),IF($AI102&gt;0,INDEX(DD$7:DD$106,$AI102),1),IF($AJ102&gt;0,INDEX(DD$7:DD$106,$AJ102),1))))</ns0:f>
        <ns0:v>1</ns0:v>
      </ns0:c>
      <ns0:c r="DF102" t="n">
        <ns0:f>IF($A102="",1,IF(DE102=1,1,--AND(IF($AC102&gt;0,INDEX(DE$7:DE$106,$AC102),1),IF($AD102&gt;0,INDEX(DE$7:DE$106,$AD102),1),IF($AE102&gt;0,INDEX(DE$7:DE$106,$AE102),1),IF($AF102&gt;0,INDEX(DE$7:DE$106,$AF102),1),IF($AG102&gt;0,INDEX(DE$7:DE$106,$AG102),1),IF($AH102&gt;0,INDEX(DE$7:DE$106,$AH102),1),IF($AI102&gt;0,INDEX(DE$7:DE$106,$AI102),1),IF($AJ102&gt;0,INDEX(DE$7:DE$106,$AJ102),1))))</ns0:f>
        <ns0:v>1</ns0:v>
      </ns0:c>
      <ns0:c r="DG102" t="n">
        <ns0:f>IF($A102="",1,IF(DF102=1,1,--AND(IF($AC102&gt;0,INDEX(DF$7:DF$106,$AC102),1),IF($AD102&gt;0,INDEX(DF$7:DF$106,$AD102),1),IF($AE102&gt;0,INDEX(DF$7:DF$106,$AE102),1),IF($AF102&gt;0,INDEX(DF$7:DF$106,$AF102),1),IF($AG102&gt;0,INDEX(DF$7:DF$106,$AG102),1),IF($AH102&gt;0,INDEX(DF$7:DF$106,$AH102),1),IF($AI102&gt;0,INDEX(DF$7:DF$106,$AI102),1),IF($AJ102&gt;0,INDEX(DF$7:DF$106,$AJ102),1))))</ns0:f>
        <ns0:v>1</ns0:v>
      </ns0:c>
      <ns0:c r="DH102" t="n">
        <ns0:f>IF($A102="",1,IF(DG102=1,1,--AND(IF($AC102&gt;0,INDEX(DG$7:DG$106,$AC102),1),IF($AD102&gt;0,INDEX(DG$7:DG$106,$AD102),1),IF($AE102&gt;0,INDEX(DG$7:DG$106,$AE102),1),IF($AF102&gt;0,INDEX(DG$7:DG$106,$AF102),1),IF($AG102&gt;0,INDEX(DG$7:DG$106,$AG102),1),IF($AH102&gt;0,INDEX(DG$7:DG$106,$AH102),1),IF($AI102&gt;0,INDEX(DG$7:DG$106,$AI102),1),IF($AJ102&gt;0,INDEX(DG$7:DG$106,$AJ102),1))))</ns0:f>
        <ns0:v>1</ns0:v>
      </ns0:c>
      <ns0:c r="DI102" t="n">
        <ns0:f>IF($A102="",1,IF(DH102=1,1,--AND(IF($AC102&gt;0,INDEX(DH$7:DH$106,$AC102),1),IF($AD102&gt;0,INDEX(DH$7:DH$106,$AD102),1),IF($AE102&gt;0,INDEX(DH$7:DH$106,$AE102),1),IF($AF102&gt;0,INDEX(DH$7:DH$106,$AF102),1),IF($AG102&gt;0,INDEX(DH$7:DH$106,$AG102),1),IF($AH102&gt;0,INDEX(DH$7:DH$106,$AH102),1),IF($AI102&gt;0,INDEX(DH$7:DH$106,$AI102),1),IF($AJ102&gt;0,INDEX(DH$7:DH$106,$AJ102),1))))</ns0:f>
        <ns0:v>1</ns0:v>
      </ns0:c>
      <ns0:c r="DJ102" t="n">
        <ns0:f>IF($A102="",1,IF(DI102=1,1,--AND(IF($AC102&gt;0,INDEX(DI$7:DI$106,$AC102),1),IF($AD102&gt;0,INDEX(DI$7:DI$106,$AD102),1),IF($AE102&gt;0,INDEX(DI$7:DI$106,$AE102),1),IF($AF102&gt;0,INDEX(DI$7:DI$106,$AF102),1),IF($AG102&gt;0,INDEX(DI$7:DI$106,$AG102),1),IF($AH102&gt;0,INDEX(DI$7:DI$106,$AH102),1),IF($AI102&gt;0,INDEX(DI$7:DI$106,$AI102),1),IF($AJ102&gt;0,INDEX(DI$7:DI$106,$AJ102),1))))</ns0:f>
        <ns0:v>1</ns0:v>
      </ns0:c>
      <ns0:c r="DK102" t="n">
        <ns0:f>IF($A102="",1,IF(DJ102=1,1,--AND(IF($AC102&gt;0,INDEX(DJ$7:DJ$106,$AC102),1),IF($AD102&gt;0,INDEX(DJ$7:DJ$106,$AD102),1),IF($AE102&gt;0,INDEX(DJ$7:DJ$106,$AE102),1),IF($AF102&gt;0,INDEX(DJ$7:DJ$106,$AF102),1),IF($AG102&gt;0,INDEX(DJ$7:DJ$106,$AG102),1),IF($AH102&gt;0,INDEX(DJ$7:DJ$106,$AH102),1),IF($AI102&gt;0,INDEX(DJ$7:DJ$106,$AI102),1),IF($AJ102&gt;0,INDEX(DJ$7:DJ$106,$AJ102),1))))</ns0:f>
        <ns0:v>1</ns0:v>
      </ns0:c>
      <ns0:c r="DL102" t="n">
        <ns0:f>IF($A102="",1,IF(DK102=1,1,--AND(IF($AC102&gt;0,INDEX(DK$7:DK$106,$AC102),1),IF($AD102&gt;0,INDEX(DK$7:DK$106,$AD102),1),IF($AE102&gt;0,INDEX(DK$7:DK$106,$AE102),1),IF($AF102&gt;0,INDEX(DK$7:DK$106,$AF102),1),IF($AG102&gt;0,INDEX(DK$7:DK$106,$AG102),1),IF($AH102&gt;0,INDEX(DK$7:DK$106,$AH102),1),IF($AI102&gt;0,INDEX(DK$7:DK$106,$AI102),1),IF($AJ102&gt;0,INDEX(DK$7:DK$106,$AJ102),1))))</ns0:f>
        <ns0:v>1</ns0:v>
      </ns0:c>
      <ns0:c r="DM102" t="n">
        <ns0:f>IF($A102="",1,IF(DL102=1,1,--AND(IF($AC102&gt;0,INDEX(DL$7:DL$106,$AC102),1),IF($AD102&gt;0,INDEX(DL$7:DL$106,$AD102),1),IF($AE102&gt;0,INDEX(DL$7:DL$106,$AE102),1),IF($AF102&gt;0,INDEX(DL$7:DL$106,$AF102),1),IF($AG102&gt;0,INDEX(DL$7:DL$106,$AG102),1),IF($AH102&gt;0,INDEX(DL$7:DL$106,$AH102),1),IF($AI102&gt;0,INDEX(DL$7:DL$106,$AI102),1),IF($AJ102&gt;0,INDEX(DL$7:DL$106,$AJ102),1))))</ns0:f>
        <ns0:v>1</ns0:v>
      </ns0:c>
      <ns0:c r="DN102" t="n">
        <ns0:f>IF($A102="",1,IF(DM102=1,1,--AND(IF($AC102&gt;0,INDEX(DM$7:DM$106,$AC102),1),IF($AD102&gt;0,INDEX(DM$7:DM$106,$AD102),1),IF($AE102&gt;0,INDEX(DM$7:DM$106,$AE102),1),IF($AF102&gt;0,INDEX(DM$7:DM$106,$AF102),1),IF($AG102&gt;0,INDEX(DM$7:DM$106,$AG102),1),IF($AH102&gt;0,INDEX(DM$7:DM$106,$AH102),1),IF($AI102&gt;0,INDEX(DM$7:DM$106,$AI102),1),IF($AJ102&gt;0,INDEX(DM$7:DM$106,$AJ102),1))))</ns0:f>
        <ns0:v>1</ns0:v>
      </ns0:c>
      <ns0:c r="DO102" t="n">
        <ns0:f>IF($A102="",1,IF(DN102=1,1,--AND(IF($AC102&gt;0,INDEX(DN$7:DN$106,$AC102),1),IF($AD102&gt;0,INDEX(DN$7:DN$106,$AD102),1),IF($AE102&gt;0,INDEX(DN$7:DN$106,$AE102),1),IF($AF102&gt;0,INDEX(DN$7:DN$106,$AF102),1),IF($AG102&gt;0,INDEX(DN$7:DN$106,$AG102),1),IF($AH102&gt;0,INDEX(DN$7:DN$106,$AH102),1),IF($AI102&gt;0,INDEX(DN$7:DN$106,$AI102),1),IF($AJ102&gt;0,INDEX(DN$7:DN$106,$AJ102),1))))</ns0:f>
        <ns0:v>1</ns0:v>
      </ns0:c>
      <ns0:c r="DP102" t="n">
        <ns0:f>IF($A102="",1,IF(DO102=1,1,--AND(IF($AC102&gt;0,INDEX(DO$7:DO$106,$AC102),1),IF($AD102&gt;0,INDEX(DO$7:DO$106,$AD102),1),IF($AE102&gt;0,INDEX(DO$7:DO$106,$AE102),1),IF($AF102&gt;0,INDEX(DO$7:DO$106,$AF102),1),IF($AG102&gt;0,INDEX(DO$7:DO$106,$AG102),1),IF($AH102&gt;0,INDEX(DO$7:DO$106,$AH102),1),IF($AI102&gt;0,INDEX(DO$7:DO$106,$AI102),1),IF($AJ102&gt;0,INDEX(DO$7:DO$106,$AJ102),1))))</ns0:f>
        <ns0:v>1</ns0:v>
      </ns0:c>
      <ns0:c r="DQ102" t="n">
        <ns0:f>IF($A102="",1,IF(DP102=1,1,--AND(IF($AC102&gt;0,INDEX(DP$7:DP$106,$AC102),1),IF($AD102&gt;0,INDEX(DP$7:DP$106,$AD102),1),IF($AE102&gt;0,INDEX(DP$7:DP$106,$AE102),1),IF($AF102&gt;0,INDEX(DP$7:DP$106,$AF102),1),IF($AG102&gt;0,INDEX(DP$7:DP$106,$AG102),1),IF($AH102&gt;0,INDEX(DP$7:DP$106,$AH102),1),IF($AI102&gt;0,INDEX(DP$7:DP$106,$AI102),1),IF($AJ102&gt;0,INDEX(DP$7:DP$106,$AJ102),1))))</ns0:f>
        <ns0:v>1</ns0:v>
      </ns0:c>
      <ns0:c r="DR102" t="n">
        <ns0:f>IF($A102="",1,IF(DQ102=1,1,--AND(IF($AC102&gt;0,INDEX(DQ$7:DQ$106,$AC102),1),IF($AD102&gt;0,INDEX(DQ$7:DQ$106,$AD102),1),IF($AE102&gt;0,INDEX(DQ$7:DQ$106,$AE102),1),IF($AF102&gt;0,INDEX(DQ$7:DQ$106,$AF102),1),IF($AG102&gt;0,INDEX(DQ$7:DQ$106,$AG102),1),IF($AH102&gt;0,INDEX(DQ$7:DQ$106,$AH102),1),IF($AI102&gt;0,INDEX(DQ$7:DQ$106,$AI102),1),IF($AJ102&gt;0,INDEX(DQ$7:DQ$106,$AJ102),1))))</ns0:f>
        <ns0:v>1</ns0:v>
      </ns0:c>
      <ns0:c r="DS102" t="n">
        <ns0:f>IF($A102="",1,IF(DR102=1,1,--AND(IF($AC102&gt;0,INDEX(DR$7:DR$106,$AC102),1),IF($AD102&gt;0,INDEX(DR$7:DR$106,$AD102),1),IF($AE102&gt;0,INDEX(DR$7:DR$106,$AE102),1),IF($AF102&gt;0,INDEX(DR$7:DR$106,$AF102),1),IF($AG102&gt;0,INDEX(DR$7:DR$106,$AG102),1),IF($AH102&gt;0,INDEX(DR$7:DR$106,$AH102),1),IF($AI102&gt;0,INDEX(DR$7:DR$106,$AI102),1),IF($AJ102&gt;0,INDEX(DR$7:DR$106,$AJ102),1))))</ns0:f>
        <ns0:v>1</ns0:v>
      </ns0:c>
      <ns0:c r="DT102" t="n">
        <ns0:f>IF($A102="",1,IF(DS102=1,1,--AND(IF($AC102&gt;0,INDEX(DS$7:DS$106,$AC102),1),IF($AD102&gt;0,INDEX(DS$7:DS$106,$AD102),1),IF($AE102&gt;0,INDEX(DS$7:DS$106,$AE102),1),IF($AF102&gt;0,INDEX(DS$7:DS$106,$AF102),1),IF($AG102&gt;0,INDEX(DS$7:DS$106,$AG102),1),IF($AH102&gt;0,INDEX(DS$7:DS$106,$AH102),1),IF($AI102&gt;0,INDEX(DS$7:DS$106,$AI102),1),IF($AJ102&gt;0,INDEX(DS$7:DS$106,$AJ102),1))))</ns0:f>
        <ns0:v>1</ns0:v>
      </ns0:c>
      <ns0:c r="DU102" t="n">
        <ns0:f>IF($A102="",1,IF(DT102=1,1,--AND(IF($AC102&gt;0,INDEX(DT$7:DT$106,$AC102),1),IF($AD102&gt;0,INDEX(DT$7:DT$106,$AD102),1),IF($AE102&gt;0,INDEX(DT$7:DT$106,$AE102),1),IF($AF102&gt;0,INDEX(DT$7:DT$106,$AF102),1),IF($AG102&gt;0,INDEX(DT$7:DT$106,$AG102),1),IF($AH102&gt;0,INDEX(DT$7:DT$106,$AH102),1),IF($AI102&gt;0,INDEX(DT$7:DT$106,$AI102),1),IF($AJ102&gt;0,INDEX(DT$7:DT$106,$AJ102),1))))</ns0:f>
        <ns0:v>1</ns0:v>
      </ns0:c>
      <ns0:c r="DV102" t="n">
        <ns0:f>IF($A102="",1,IF(DU102=1,1,--AND(IF($AC102&gt;0,INDEX(DU$7:DU$106,$AC102),1),IF($AD102&gt;0,INDEX(DU$7:DU$106,$AD102),1),IF($AE102&gt;0,INDEX(DU$7:DU$106,$AE102),1),IF($AF102&gt;0,INDEX(DU$7:DU$106,$AF102),1),IF($AG102&gt;0,INDEX(DU$7:DU$106,$AG102),1),IF($AH102&gt;0,INDEX(DU$7:DU$106,$AH102),1),IF($AI102&gt;0,INDEX(DU$7:DU$106,$AI102),1),IF($AJ102&gt;0,INDEX(DU$7:DU$106,$AJ102),1))))</ns0:f>
        <ns0:v>1</ns0:v>
      </ns0:c>
      <ns0:c r="DW102" t="n">
        <ns0:f>IF($A102="",1,IF(DV102=1,1,--AND(IF($AC102&gt;0,INDEX(DV$7:DV$106,$AC102),1),IF($AD102&gt;0,INDEX(DV$7:DV$106,$AD102),1),IF($AE102&gt;0,INDEX(DV$7:DV$106,$AE102),1),IF($AF102&gt;0,INDEX(DV$7:DV$106,$AF102),1),IF($AG102&gt;0,INDEX(DV$7:DV$106,$AG102),1),IF($AH102&gt;0,INDEX(DV$7:DV$106,$AH102),1),IF($AI102&gt;0,INDEX(DV$7:DV$106,$AI102),1),IF($AJ102&gt;0,INDEX(DV$7:DV$106,$AJ102),1))))</ns0:f>
        <ns0:v>1</ns0:v>
      </ns0:c>
      <ns0:c r="DX102" t="n">
        <ns0:f>IF($A102="",1,IF(DW102=1,1,--AND(IF($AC102&gt;0,INDEX(DW$7:DW$106,$AC102),1),IF($AD102&gt;0,INDEX(DW$7:DW$106,$AD102),1),IF($AE102&gt;0,INDEX(DW$7:DW$106,$AE102),1),IF($AF102&gt;0,INDEX(DW$7:DW$106,$AF102),1),IF($AG102&gt;0,INDEX(DW$7:DW$106,$AG102),1),IF($AH102&gt;0,INDEX(DW$7:DW$106,$AH102),1),IF($AI102&gt;0,INDEX(DW$7:DW$106,$AI102),1),IF($AJ102&gt;0,INDEX(DW$7:DW$106,$AJ102),1))))</ns0:f>
        <ns0:v>1</ns0:v>
      </ns0:c>
      <ns0:c r="DY102" t="n">
        <ns0:f>IF($A102="",1,IF(DX102=1,1,--AND(IF($AC102&gt;0,INDEX(DX$7:DX$106,$AC102),1),IF($AD102&gt;0,INDEX(DX$7:DX$106,$AD102),1),IF($AE102&gt;0,INDEX(DX$7:DX$106,$AE102),1),IF($AF102&gt;0,INDEX(DX$7:DX$106,$AF102),1),IF($AG102&gt;0,INDEX(DX$7:DX$106,$AG102),1),IF($AH102&gt;0,INDEX(DX$7:DX$106,$AH102),1),IF($AI102&gt;0,INDEX(DX$7:DX$106,$AI102),1),IF($AJ102&gt;0,INDEX(DX$7:DX$106,$AJ102),1))))</ns0:f>
        <ns0:v>1</ns0:v>
      </ns0:c>
      <ns0:c r="DZ102" t="n">
        <ns0:f>IF($A102="",1,IF(DY102=1,1,--AND(IF($AC102&gt;0,INDEX(DY$7:DY$106,$AC102),1),IF($AD102&gt;0,INDEX(DY$7:DY$106,$AD102),1),IF($AE102&gt;0,INDEX(DY$7:DY$106,$AE102),1),IF($AF102&gt;0,INDEX(DY$7:DY$106,$AF102),1),IF($AG102&gt;0,INDEX(DY$7:DY$106,$AG102),1),IF($AH102&gt;0,INDEX(DY$7:DY$106,$AH102),1),IF($AI102&gt;0,INDEX(DY$7:DY$106,$AI102),1),IF($AJ102&gt;0,INDEX(DY$7:DY$106,$AJ102),1))))</ns0:f>
        <ns0:v>1</ns0:v>
      </ns0:c>
      <ns0:c r="EA102" t="n">
        <ns0:f>IF($A102="",1,IF(DZ102=1,1,--AND(IF($AC102&gt;0,INDEX(DZ$7:DZ$106,$AC102),1),IF($AD102&gt;0,INDEX(DZ$7:DZ$106,$AD102),1),IF($AE102&gt;0,INDEX(DZ$7:DZ$106,$AE102),1),IF($AF102&gt;0,INDEX(DZ$7:DZ$106,$AF102),1),IF($AG102&gt;0,INDEX(DZ$7:DZ$106,$AG102),1),IF($AH102&gt;0,INDEX(DZ$7:DZ$106,$AH102),1),IF($AI102&gt;0,INDEX(DZ$7:DZ$106,$AI102),1),IF($AJ102&gt;0,INDEX(DZ$7:DZ$106,$AJ102),1))))</ns0:f>
        <ns0:v>1</ns0:v>
      </ns0:c>
      <ns0:c r="EB102" t="n">
        <ns0:f>IF($A102="",1,IF(EA102=1,1,--AND(IF($AC102&gt;0,INDEX(EA$7:EA$106,$AC102),1),IF($AD102&gt;0,INDEX(EA$7:EA$106,$AD102),1),IF($AE102&gt;0,INDEX(EA$7:EA$106,$AE102),1),IF($AF102&gt;0,INDEX(EA$7:EA$106,$AF102),1),IF($AG102&gt;0,INDEX(EA$7:EA$106,$AG102),1),IF($AH102&gt;0,INDEX(EA$7:EA$106,$AH102),1),IF($AI102&gt;0,INDEX(EA$7:EA$106,$AI102),1),IF($AJ102&gt;0,INDEX(EA$7:EA$106,$AJ102),1))))</ns0:f>
        <ns0:v>1</ns0:v>
      </ns0:c>
      <ns0:c r="EC102" t="n">
        <ns0:f>IF($A102="",1,IF(EB102=1,1,--AND(IF($AC102&gt;0,INDEX(EB$7:EB$106,$AC102),1),IF($AD102&gt;0,INDEX(EB$7:EB$106,$AD102),1),IF($AE102&gt;0,INDEX(EB$7:EB$106,$AE102),1),IF($AF102&gt;0,INDEX(EB$7:EB$106,$AF102),1),IF($AG102&gt;0,INDEX(EB$7:EB$106,$AG102),1),IF($AH102&gt;0,INDEX(EB$7:EB$106,$AH102),1),IF($AI102&gt;0,INDEX(EB$7:EB$106,$AI102),1),IF($AJ102&gt;0,INDEX(EB$7:EB$106,$AJ102),1))))</ns0:f>
        <ns0:v>1</ns0:v>
      </ns0:c>
      <ns0:c r="ED102" t="n">
        <ns0:f>IF($A102="",1,IF(EC102=1,1,--AND(IF($AC102&gt;0,INDEX(EC$7:EC$106,$AC102),1),IF($AD102&gt;0,INDEX(EC$7:EC$106,$AD102),1),IF($AE102&gt;0,INDEX(EC$7:EC$106,$AE102),1),IF($AF102&gt;0,INDEX(EC$7:EC$106,$AF102),1),IF($AG102&gt;0,INDEX(EC$7:EC$106,$AG102),1),IF($AH102&gt;0,INDEX(EC$7:EC$106,$AH102),1),IF($AI102&gt;0,INDEX(EC$7:EC$106,$AI102),1),IF($AJ102&gt;0,INDEX(EC$7:EC$106,$AJ102),1))))</ns0:f>
        <ns0:v>1</ns0:v>
      </ns0:c>
      <ns0:c r="EE102" t="n">
        <ns0:f>IF($A102="",1,IF(ED102=1,1,--AND(IF($AC102&gt;0,INDEX(ED$7:ED$106,$AC102),1),IF($AD102&gt;0,INDEX(ED$7:ED$106,$AD102),1),IF($AE102&gt;0,INDEX(ED$7:ED$106,$AE102),1),IF($AF102&gt;0,INDEX(ED$7:ED$106,$AF102),1),IF($AG102&gt;0,INDEX(ED$7:ED$106,$AG102),1),IF($AH102&gt;0,INDEX(ED$7:ED$106,$AH102),1),IF($AI102&gt;0,INDEX(ED$7:ED$106,$AI102),1),IF($AJ102&gt;0,INDEX(ED$7:ED$106,$AJ102),1))))</ns0:f>
        <ns0:v>1</ns0:v>
      </ns0:c>
      <ns0:c r="EF102" t="n">
        <ns0:f>IF($A102="",1,IF(EE102=1,1,--AND(IF($AC102&gt;0,INDEX(EE$7:EE$106,$AC102),1),IF($AD102&gt;0,INDEX(EE$7:EE$106,$AD102),1),IF($AE102&gt;0,INDEX(EE$7:EE$106,$AE102),1),IF($AF102&gt;0,INDEX(EE$7:EE$106,$AF102),1),IF($AG102&gt;0,INDEX(EE$7:EE$106,$AG102),1),IF($AH102&gt;0,INDEX(EE$7:EE$106,$AH102),1),IF($AI102&gt;0,INDEX(EE$7:EE$106,$AI102),1),IF($AJ102&gt;0,INDEX(EE$7:EE$106,$AJ102),1))))</ns0:f>
        <ns0:v>1</ns0:v>
      </ns0:c>
      <ns0:c r="EG102" t="n">
        <ns0:f>IF($A102="",1,IF(EF102=1,1,--AND(IF($AC102&gt;0,INDEX(EF$7:EF$106,$AC102),1),IF($AD102&gt;0,INDEX(EF$7:EF$106,$AD102),1),IF($AE102&gt;0,INDEX(EF$7:EF$106,$AE102),1),IF($AF102&gt;0,INDEX(EF$7:EF$106,$AF102),1),IF($AG102&gt;0,INDEX(EF$7:EF$106,$AG102),1),IF($AH102&gt;0,INDEX(EF$7:EF$106,$AH102),1),IF($AI102&gt;0,INDEX(EF$7:EF$106,$AI102),1),IF($AJ102&gt;0,INDEX(EF$7:EF$106,$AJ102),1))))</ns0:f>
        <ns0:v>1</ns0:v>
      </ns0:c>
      <ns0:c r="EH102" t="n">
        <ns0:f>IF($A102="",1,IF(EG102=1,1,--AND(IF($AC102&gt;0,INDEX(EG$7:EG$106,$AC102),1),IF($AD102&gt;0,INDEX(EG$7:EG$106,$AD102),1),IF($AE102&gt;0,INDEX(EG$7:EG$106,$AE102),1),IF($AF102&gt;0,INDEX(EG$7:EG$106,$AF102),1),IF($AG102&gt;0,INDEX(EG$7:EG$106,$AG102),1),IF($AH102&gt;0,INDEX(EG$7:EG$106,$AH102),1),IF($AI102&gt;0,INDEX(EG$7:EG$106,$AI102),1),IF($AJ102&gt;0,INDEX(EG$7:EG$106,$AJ102),1))))</ns0:f>
        <ns0:v>1</ns0:v>
      </ns0:c>
      <ns0:c r="EI102" t="n">
        <ns0:f>IF($A102="",1,IF(EH102=1,1,--AND(IF($AC102&gt;0,INDEX(EH$7:EH$106,$AC102),1),IF($AD102&gt;0,INDEX(EH$7:EH$106,$AD102),1),IF($AE102&gt;0,INDEX(EH$7:EH$106,$AE102),1),IF($AF102&gt;0,INDEX(EH$7:EH$106,$AF102),1),IF($AG102&gt;0,INDEX(EH$7:EH$106,$AG102),1),IF($AH102&gt;0,INDEX(EH$7:EH$106,$AH102),1),IF($AI102&gt;0,INDEX(EH$7:EH$106,$AI102),1),IF($AJ102&gt;0,INDEX(EH$7:EH$106,$AJ102),1))))</ns0:f>
        <ns0:v>1</ns0:v>
      </ns0:c>
      <ns0:c r="EJ102" t="n">
        <ns0:f>IF($A102="",1,IF(EI102=1,1,--AND(IF($AC102&gt;0,INDEX(EI$7:EI$106,$AC102),1),IF($AD102&gt;0,INDEX(EI$7:EI$106,$AD102),1),IF($AE102&gt;0,INDEX(EI$7:EI$106,$AE102),1),IF($AF102&gt;0,INDEX(EI$7:EI$106,$AF102),1),IF($AG102&gt;0,INDEX(EI$7:EI$106,$AG102),1),IF($AH102&gt;0,INDEX(EI$7:EI$106,$AH102),1),IF($AI102&gt;0,INDEX(EI$7:EI$106,$AI102),1),IF($AJ102&gt;0,INDEX(EI$7:EI$106,$AJ102),1))))</ns0:f>
        <ns0:v>1</ns0:v>
      </ns0:c>
      <ns0:c r="EK102" t="n">
        <ns0:f>IF($A102="",1,IF(EJ102=1,1,--AND(IF($AC102&gt;0,INDEX(EJ$7:EJ$106,$AC102),1),IF($AD102&gt;0,INDEX(EJ$7:EJ$106,$AD102),1),IF($AE102&gt;0,INDEX(EJ$7:EJ$106,$AE102),1),IF($AF102&gt;0,INDEX(EJ$7:EJ$106,$AF102),1),IF($AG102&gt;0,INDEX(EJ$7:EJ$106,$AG102),1),IF($AH102&gt;0,INDEX(EJ$7:EJ$106,$AH102),1),IF($AI102&gt;0,INDEX(EJ$7:EJ$106,$AI102),1),IF($AJ102&gt;0,INDEX(EJ$7:EJ$106,$AJ102),1))))</ns0:f>
        <ns0:v>1</ns0:v>
      </ns0:c>
      <ns0:c r="EL102" t="n">
        <ns0:f>IF($A102="",1,IF(EK102=1,1,--AND(IF($AC102&gt;0,INDEX(EK$7:EK$106,$AC102),1),IF($AD102&gt;0,INDEX(EK$7:EK$106,$AD102),1),IF($AE102&gt;0,INDEX(EK$7:EK$106,$AE102),1),IF($AF102&gt;0,INDEX(EK$7:EK$106,$AF102),1),IF($AG102&gt;0,INDEX(EK$7:EK$106,$AG102),1),IF($AH102&gt;0,INDEX(EK$7:EK$106,$AH102),1),IF($AI102&gt;0,INDEX(EK$7:EK$106,$AI102),1),IF($AJ102&gt;0,INDEX(EK$7:EK$106,$AJ102),1))))</ns0:f>
        <ns0:v>1</ns0:v>
      </ns0:c>
      <ns0:c r="EM102" t="n">
        <ns0:f>IF($A102="",1,IF(EL102=1,1,--AND(IF($AC102&gt;0,INDEX(EL$7:EL$106,$AC102),1),IF($AD102&gt;0,INDEX(EL$7:EL$106,$AD102),1),IF($AE102&gt;0,INDEX(EL$7:EL$106,$AE102),1),IF($AF102&gt;0,INDEX(EL$7:EL$106,$AF102),1),IF($AG102&gt;0,INDEX(EL$7:EL$106,$AG102),1),IF($AH102&gt;0,INDEX(EL$7:EL$106,$AH102),1),IF($AI102&gt;0,INDEX(EL$7:EL$106,$AI102),1),IF($AJ102&gt;0,INDEX(EL$7:EL$106,$AJ102),1))))</ns0:f>
        <ns0:v>1</ns0:v>
      </ns0:c>
      <ns0:c r="EN102" t="n">
        <ns0:f>IF($A102="",1,IF(EM102=1,1,--AND(IF($AC102&gt;0,INDEX(EM$7:EM$106,$AC102),1),IF($AD102&gt;0,INDEX(EM$7:EM$106,$AD102),1),IF($AE102&gt;0,INDEX(EM$7:EM$106,$AE102),1),IF($AF102&gt;0,INDEX(EM$7:EM$106,$AF102),1),IF($AG102&gt;0,INDEX(EM$7:EM$106,$AG102),1),IF($AH102&gt;0,INDEX(EM$7:EM$106,$AH102),1),IF($AI102&gt;0,INDEX(EM$7:EM$106,$AI102),1),IF($AJ102&gt;0,INDEX(EM$7:EM$106,$AJ102),1))))</ns0:f>
        <ns0:v>1</ns0:v>
      </ns0:c>
      <ns0:c r="EO102" t="n">
        <ns0:f>IF($A102="",1,IF(EN102=1,1,--AND(IF($AC102&gt;0,INDEX(EN$7:EN$106,$AC102),1),IF($AD102&gt;0,INDEX(EN$7:EN$106,$AD102),1),IF($AE102&gt;0,INDEX(EN$7:EN$106,$AE102),1),IF($AF102&gt;0,INDEX(EN$7:EN$106,$AF102),1),IF($AG102&gt;0,INDEX(EN$7:EN$106,$AG102),1),IF($AH102&gt;0,INDEX(EN$7:EN$106,$AH102),1),IF($AI102&gt;0,INDEX(EN$7:EN$106,$AI102),1),IF($AJ102&gt;0,INDEX(EN$7:EN$106,$AJ102),1))))</ns0:f>
        <ns0:v>1</ns0:v>
      </ns0:c>
      <ns0:c r="EP102" t="n">
        <ns0:f>IF($A102="",1,IF(EO102=1,1,--AND(IF($AC102&gt;0,INDEX(EO$7:EO$106,$AC102),1),IF($AD102&gt;0,INDEX(EO$7:EO$106,$AD102),1),IF($AE102&gt;0,INDEX(EO$7:EO$106,$AE102),1),IF($AF102&gt;0,INDEX(EO$7:EO$106,$AF102),1),IF($AG102&gt;0,INDEX(EO$7:EO$106,$AG102),1),IF($AH102&gt;0,INDEX(EO$7:EO$106,$AH102),1),IF($AI102&gt;0,INDEX(EO$7:EO$106,$AI102),1),IF($AJ102&gt;0,INDEX(EO$7:EO$106,$AJ102),1))))</ns0:f>
        <ns0:v>1</ns0:v>
      </ns0:c>
      <ns0:c r="EQ102" t="n">
        <ns0:f>IF(OR(A102="",NOT(ISNUMBER(G102))),0,G102*N102)</ns0:f>
        <ns0:v>0</ns0:v>
      </ns0:c>
    </ns0:row>
    <ns0:row r="103" ht="62" customHeight="1">
      <ns0:c r="A103" s="48"/>
      <ns0:c r="B103" s="48"/>
      <ns0:c r="C103" s="48"/>
      <ns0:c r="D103" s="48"/>
      <ns0:c r="E103" s="49"/>
      <ns0:c r="F103" s="49"/>
      <ns0:c r="G103" s="13" t="str">
        <ns0:f>IF(A103="","",IF(OR(NOT(ISNUMBER(E103)),NOT(ISNUMBER(F103)),F103&lt;E103),"",IF(J103="Yes",0,F103-E103+1)))</ns0:f>
      </ns0:c>
      <ns0:c r="H103" s="48"/>
      <ns0:c r="I103" s="48"/>
      <ns0:c r="J103" s="48"/>
      <ns0:c r="K103" s="48"/>
      <ns0:c r="L103" s="48"/>
      <ns0:c r="M103" s="50" t="str">
        <ns0:f>IF(A103="","",IF(N103=1,"Completed",IF(N103&gt;0,"In Progress","Not Started")))</ns0:f>
      </ns0:c>
      <ns0:c r="N103" s="51"/>
      <ns0:c r="O103" s="13" t="str">
        <ns0:f>IF(A103="","",IF(R103&lt;&gt;"","[CONFLICT] "&amp;R103,IF(S103&lt;&gt;"","[CONFLICT] "&amp;S103,IF(OR(NOT(ISNUMBER(N103)),N103&lt;0,N103&gt;1),"[CONFLICT] Invalid progress",IF(AK103&gt;0,"[DEPENDENCY ISSUE] Missing ID / &gt;8 links",IF(AM103&gt;0,"[DEPENDENCY ISSUE] Cycle or blocked by cycle",IF(AND(H103&lt;&gt;"",ISNA(MATCH(I103,{"FS","SS","FF","SF"},0))),"[DEPENDENCY ISSUE] Invalid type",IF(AL103&gt;0,"[DEPENDENCY ISSUE] Timing conflict",IF(OR(E103&lt;ProjectStart,F103&gt;ProjectEnd),"[OUTSIDE WINDOW]",IF(AND(N103&lt;1,F103&lt;AsOfDate),"Overdue",IF(AND(M103&lt;&gt;Q103,M103&lt;&gt;""),"[CONFLICT] Status / progress","On track")))))))))))</ns0:f>
      </ns0:c>
      <ns0:c r="P103" s="52"/>
      <ns0:c r="Q103" t="str">
        <ns0:f>IF(A103="","",IF(OR(M103="On Hold",M103="Delayed"),M103,IF(N103=1,"Completed",IF(N103&gt;0,"In Progress","Not Started"))))</ns0:f>
      </ns0:c>
      <ns0:c r="R103" t="str">
        <ns0:f>IF(A103="","",IF(COUNTIFS(Tasks[Task ID],A103)&lt;&gt;1,"Duplicate ID",""))</ns0:f>
      </ns0:c>
      <ns0:c r="S103" t="str">
        <ns0:f>IF(A103="","",IF(OR(NOT(ISNUMBER(E103)),NOT(ISNUMBER(F103))),"Invalid / missing date",IF(OR(E103&lt;&gt;INT(E103),F103&lt;&gt;INT(F103),E103&lt;1,F103&gt;2958465),"Invalid date",IF(F103&lt;E103,"End before start",IF(AND(J103="Yes",E103&lt;&gt;F103),"Milestone needs one date","")))))</ns0:f>
      </ns0:c>
      <ns0:c r="T103" t="n">
        <ns0:f>IF(H103="",0,LEN(H103)-LEN(SUBSTITUTE(H103,",",""))+1)</ns0:f>
        <ns0:v>0</ns0:v>
      </ns0:c>
      <ns0:c r="U103" t="str">
        <ns0:f>TRIM(MID(SUBSTITUTE($H103,",",REPT(" ",100)),1,100))</ns0:f>
      </ns0:c>
      <ns0:c r="V103" t="str">
        <ns0:f>TRIM(MID(SUBSTITUTE($H103,",",REPT(" ",100)),101,100))</ns0:f>
      </ns0:c>
      <ns0:c r="W103" t="str">
        <ns0:f>TRIM(MID(SUBSTITUTE($H103,",",REPT(" ",100)),201,100))</ns0:f>
      </ns0:c>
      <ns0:c r="X103" t="str">
        <ns0:f>TRIM(MID(SUBSTITUTE($H103,",",REPT(" ",100)),301,100))</ns0:f>
      </ns0:c>
      <ns0:c r="Y103" t="str">
        <ns0:f>TRIM(MID(SUBSTITUTE($H103,",",REPT(" ",100)),401,100))</ns0:f>
      </ns0:c>
      <ns0:c r="Z103" t="str">
        <ns0:f>TRIM(MID(SUBSTITUTE($H103,",",REPT(" ",100)),501,100))</ns0:f>
      </ns0:c>
      <ns0:c r="AA103" t="str">
        <ns0:f>TRIM(MID(SUBSTITUTE($H103,",",REPT(" ",100)),601,100))</ns0:f>
      </ns0:c>
      <ns0:c r="AB103" t="str">
        <ns0:f>TRIM(MID(SUBSTITUTE($H103,",",REPT(" ",100)),701,100))</ns0:f>
      </ns0:c>
      <ns0:c r="AC103" t="n">
        <ns0:f>IF(U103="",0,IF(COUNTIFS(Tasks[Task ID],U103)=1,MATCH(U103,Tasks[Task ID],0),-1))</ns0:f>
        <ns0:v>0</ns0:v>
      </ns0:c>
      <ns0:c r="AD103" t="n">
        <ns0:f>IF(V103="",0,IF(COUNTIFS(Tasks[Task ID],V103)=1,MATCH(V103,Tasks[Task ID],0),-1))</ns0:f>
        <ns0:v>0</ns0:v>
      </ns0:c>
      <ns0:c r="AE103" t="n">
        <ns0:f>IF(W103="",0,IF(COUNTIFS(Tasks[Task ID],W103)=1,MATCH(W103,Tasks[Task ID],0),-1))</ns0:f>
        <ns0:v>0</ns0:v>
      </ns0:c>
      <ns0:c r="AF103" t="n">
        <ns0:f>IF(X103="",0,IF(COUNTIFS(Tasks[Task ID],X103)=1,MATCH(X103,Tasks[Task ID],0),-1))</ns0:f>
        <ns0:v>0</ns0:v>
      </ns0:c>
      <ns0:c r="AG103" t="n">
        <ns0:f>IF(Y103="",0,IF(COUNTIFS(Tasks[Task ID],Y103)=1,MATCH(Y103,Tasks[Task ID],0),-1))</ns0:f>
        <ns0:v>0</ns0:v>
      </ns0:c>
      <ns0:c r="AH103" t="n">
        <ns0:f>IF(Z103="",0,IF(COUNTIFS(Tasks[Task ID],Z103)=1,MATCH(Z103,Tasks[Task ID],0),-1))</ns0:f>
        <ns0:v>0</ns0:v>
      </ns0:c>
      <ns0:c r="AI103" t="n">
        <ns0:f>IF(AA103="",0,IF(COUNTIFS(Tasks[Task ID],AA103)=1,MATCH(AA103,Tasks[Task ID],0),-1))</ns0:f>
        <ns0:v>0</ns0:v>
      </ns0:c>
      <ns0:c r="AJ103" t="n">
        <ns0:f>IF(AB103="",0,IF(COUNTIFS(Tasks[Task ID],AB103)=1,MATCH(AB103,Tasks[Task ID],0),-1))</ns0:f>
        <ns0:v>0</ns0:v>
      </ns0:c>
      <ns0:c r="AK103" t="n">
        <ns0:f>COUNTIFS(AC103:AJ103,-1)+IF(T103&gt;8,1,0)</ns0:f>
        <ns0:v>0</ns0:v>
      </ns0:c>
      <ns0:c r="AL103" t="n">
        <ns0:f>IF(OR(A103="",S103&lt;&gt;""),0,SUM(IF(AC103&gt;0,IF($I103="FS",--($E103&lt;INDEX(Tasks[End Date],AC103)+IF(INDEX(Tasks[Milestone],AC103)="Yes",0,1)),IF($I103="SS",--($E103&lt;INDEX(Tasks[Start Date],AC103)),IF($I103="FF",--($F103&lt;INDEX(Tasks[End Date],AC103)),IF($I103="SF",--($F103&lt;INDEX(Tasks[Start Date],AC103)),0)))),0),IF(AD103&gt;0,IF($I103="FS",--($E103&lt;INDEX(Tasks[End Date],AD103)+IF(INDEX(Tasks[Milestone],AD103)="Yes",0,1)),IF($I103="SS",--($E103&lt;INDEX(Tasks[Start Date],AD103)),IF($I103="FF",--($F103&lt;INDEX(Tasks[End Date],AD103)),IF($I103="SF",--($F103&lt;INDEX(Tasks[Start Date],AD103)),0)))),0),IF(AE103&gt;0,IF($I103="FS",--($E103&lt;INDEX(Tasks[End Date],AE103)+IF(INDEX(Tasks[Milestone],AE103)="Yes",0,1)),IF($I103="SS",--($E103&lt;INDEX(Tasks[Start Date],AE103)),IF($I103="FF",--($F103&lt;INDEX(Tasks[End Date],AE103)),IF($I103="SF",--($F103&lt;INDEX(Tasks[Start Date],AE103)),0)))),0),IF(AF103&gt;0,IF($I103="FS",--($E103&lt;INDEX(Tasks[End Date],AF103)+IF(INDEX(Tasks[Milestone],AF103)="Yes",0,1)),IF($I103="SS",--($E103&lt;INDEX(Tasks[Start Date],AF103)),IF($I103="FF",--($F103&lt;INDEX(Tasks[End Date],AF103)),IF($I103="SF",--($F103&lt;INDEX(Tasks[Start Date],AF103)),0)))),0),IF(AG103&gt;0,IF($I103="FS",--($E103&lt;INDEX(Tasks[End Date],AG103)+IF(INDEX(Tasks[Milestone],AG103)="Yes",0,1)),IF($I103="SS",--($E103&lt;INDEX(Tasks[Start Date],AG103)),IF($I103="FF",--($F103&lt;INDEX(Tasks[End Date],AG103)),IF($I103="SF",--($F103&lt;INDEX(Tasks[Start Date],AG103)),0)))),0),IF(AH103&gt;0,IF($I103="FS",--($E103&lt;INDEX(Tasks[End Date],AH103)+IF(INDEX(Tasks[Milestone],AH103)="Yes",0,1)),IF($I103="SS",--($E103&lt;INDEX(Tasks[Start Date],AH103)),IF($I103="FF",--($F103&lt;INDEX(Tasks[End Date],AH103)),IF($I103="SF",--($F103&lt;INDEX(Tasks[Start Date],AH103)),0)))),0),IF(AI103&gt;0,IF($I103="FS",--($E103&lt;INDEX(Tasks[End Date],AI103)+IF(INDEX(Tasks[Milestone],AI103)="Yes",0,1)),IF($I103="SS",--($E103&lt;INDEX(Tasks[Start Date],AI103)),IF($I103="FF",--($F103&lt;INDEX(Tasks[End Date],AI103)),IF($I103="SF",--($F103&lt;INDEX(Tasks[Start Date],AI103)),0)))),0),IF(AJ103&gt;0,IF($I103="FS",--($E103&lt;INDEX(Tasks[End Date],AJ103)+IF(INDEX(Tasks[Milestone],AJ103)="Yes",0,1)),IF($I103="SS",--($E103&lt;INDEX(Tasks[Start Date],AJ103)),IF($I103="FF",--($F103&lt;INDEX(Tasks[End Date],AJ103)),IF($I103="SF",--($F103&lt;INDEX(Tasks[Start Date],AJ103)),0)))),0)))</ns0:f>
        <ns0:v>0</ns0:v>
      </ns0:c>
      <ns0:c r="AM103" t="n">
        <ns0:f>IF(AND(A103&lt;&gt;"",AK103=0,EP103=0),1,0)</ns0:f>
        <ns0:v>0</ns0:v>
      </ns0:c>
      <ns0:c r="AN103" t="str">
        <ns0:f>IF(OR(A103="",B103=""),"",IF(COUNTIFS($B$7:B103,B103)=1,MAX($AN$6:AN102)+1,""))</ns0:f>
      </ns0:c>
      <ns0:c r="AO103" t="n">
        <ns0:f>IF(AND(A103&lt;&gt;"",J103="No",N103&lt;1,E103&gt;=AsOfDate),E103+ROW()/10000,1E+9)</ns0:f>
        <ns0:v>1000000000</ns0:v>
      </ns0:c>
      <ns0:c r="AP103" t="n">
        <ns0:f>IF(AND(A103&lt;&gt;"",J103="Yes",N103&lt;1,E103&gt;=AsOfDate),E103+ROW()/10000,1E+9)</ns0:f>
        <ns0:v>1000000000</ns0:v>
      </ns0:c>
      <ns0:c r="AQ103" t="n">
        <ns0:f>IF(AND(A103&lt;&gt;"",J103="No",N103&lt;1,F103&gt;=AsOfDate,F103&lt;=AsOfDate+7),F103+ROW()/10000,1E+9)</ns0:f>
        <ns0:v>1000000000</ns0:v>
      </ns0:c>
      <ns0:c r="AR103" t="n">
        <ns0:f>IF(AND(A103&lt;&gt;"",OR(O103&lt;&gt;"On track",Q103="Delayed")),ROW(),1E+9)</ns0:f>
        <ns0:v>1000000000</ns0:v>
      </ns0:c>
      <ns0:c r="AS103" t="str">
        <ns0:f>IF(A103="","",";"&amp;K103&amp;";")</ns0:f>
      </ns0:c>
      <ns0:c r="AT103" t="n">
        <ns0:f>IF(A103="",1,--(T103=0))</ns0:f>
        <ns0:v>1</ns0:v>
      </ns0:c>
      <ns0:c r="AU103" t="n">
        <ns0:f>IF($A103="",1,IF(AT103=1,1,--AND(IF($AC103&gt;0,INDEX(AT$7:AT$106,$AC103),1),IF($AD103&gt;0,INDEX(AT$7:AT$106,$AD103),1),IF($AE103&gt;0,INDEX(AT$7:AT$106,$AE103),1),IF($AF103&gt;0,INDEX(AT$7:AT$106,$AF103),1),IF($AG103&gt;0,INDEX(AT$7:AT$106,$AG103),1),IF($AH103&gt;0,INDEX(AT$7:AT$106,$AH103),1),IF($AI103&gt;0,INDEX(AT$7:AT$106,$AI103),1),IF($AJ103&gt;0,INDEX(AT$7:AT$106,$AJ103),1))))</ns0:f>
        <ns0:v>1</ns0:v>
      </ns0:c>
      <ns0:c r="AV103" t="n">
        <ns0:f>IF($A103="",1,IF(AU103=1,1,--AND(IF($AC103&gt;0,INDEX(AU$7:AU$106,$AC103),1),IF($AD103&gt;0,INDEX(AU$7:AU$106,$AD103),1),IF($AE103&gt;0,INDEX(AU$7:AU$106,$AE103),1),IF($AF103&gt;0,INDEX(AU$7:AU$106,$AF103),1),IF($AG103&gt;0,INDEX(AU$7:AU$106,$AG103),1),IF($AH103&gt;0,INDEX(AU$7:AU$106,$AH103),1),IF($AI103&gt;0,INDEX(AU$7:AU$106,$AI103),1),IF($AJ103&gt;0,INDEX(AU$7:AU$106,$AJ103),1))))</ns0:f>
        <ns0:v>1</ns0:v>
      </ns0:c>
      <ns0:c r="AW103" t="n">
        <ns0:f>IF($A103="",1,IF(AV103=1,1,--AND(IF($AC103&gt;0,INDEX(AV$7:AV$106,$AC103),1),IF($AD103&gt;0,INDEX(AV$7:AV$106,$AD103),1),IF($AE103&gt;0,INDEX(AV$7:AV$106,$AE103),1),IF($AF103&gt;0,INDEX(AV$7:AV$106,$AF103),1),IF($AG103&gt;0,INDEX(AV$7:AV$106,$AG103),1),IF($AH103&gt;0,INDEX(AV$7:AV$106,$AH103),1),IF($AI103&gt;0,INDEX(AV$7:AV$106,$AI103),1),IF($AJ103&gt;0,INDEX(AV$7:AV$106,$AJ103),1))))</ns0:f>
        <ns0:v>1</ns0:v>
      </ns0:c>
      <ns0:c r="AX103" t="n">
        <ns0:f>IF($A103="",1,IF(AW103=1,1,--AND(IF($AC103&gt;0,INDEX(AW$7:AW$106,$AC103),1),IF($AD103&gt;0,INDEX(AW$7:AW$106,$AD103),1),IF($AE103&gt;0,INDEX(AW$7:AW$106,$AE103),1),IF($AF103&gt;0,INDEX(AW$7:AW$106,$AF103),1),IF($AG103&gt;0,INDEX(AW$7:AW$106,$AG103),1),IF($AH103&gt;0,INDEX(AW$7:AW$106,$AH103),1),IF($AI103&gt;0,INDEX(AW$7:AW$106,$AI103),1),IF($AJ103&gt;0,INDEX(AW$7:AW$106,$AJ103),1))))</ns0:f>
        <ns0:v>1</ns0:v>
      </ns0:c>
      <ns0:c r="AY103" t="n">
        <ns0:f>IF($A103="",1,IF(AX103=1,1,--AND(IF($AC103&gt;0,INDEX(AX$7:AX$106,$AC103),1),IF($AD103&gt;0,INDEX(AX$7:AX$106,$AD103),1),IF($AE103&gt;0,INDEX(AX$7:AX$106,$AE103),1),IF($AF103&gt;0,INDEX(AX$7:AX$106,$AF103),1),IF($AG103&gt;0,INDEX(AX$7:AX$106,$AG103),1),IF($AH103&gt;0,INDEX(AX$7:AX$106,$AH103),1),IF($AI103&gt;0,INDEX(AX$7:AX$106,$AI103),1),IF($AJ103&gt;0,INDEX(AX$7:AX$106,$AJ103),1))))</ns0:f>
        <ns0:v>1</ns0:v>
      </ns0:c>
      <ns0:c r="AZ103" t="n">
        <ns0:f>IF($A103="",1,IF(AY103=1,1,--AND(IF($AC103&gt;0,INDEX(AY$7:AY$106,$AC103),1),IF($AD103&gt;0,INDEX(AY$7:AY$106,$AD103),1),IF($AE103&gt;0,INDEX(AY$7:AY$106,$AE103),1),IF($AF103&gt;0,INDEX(AY$7:AY$106,$AF103),1),IF($AG103&gt;0,INDEX(AY$7:AY$106,$AG103),1),IF($AH103&gt;0,INDEX(AY$7:AY$106,$AH103),1),IF($AI103&gt;0,INDEX(AY$7:AY$106,$AI103),1),IF($AJ103&gt;0,INDEX(AY$7:AY$106,$AJ103),1))))</ns0:f>
        <ns0:v>1</ns0:v>
      </ns0:c>
      <ns0:c r="BA103" t="n">
        <ns0:f>IF($A103="",1,IF(AZ103=1,1,--AND(IF($AC103&gt;0,INDEX(AZ$7:AZ$106,$AC103),1),IF($AD103&gt;0,INDEX(AZ$7:AZ$106,$AD103),1),IF($AE103&gt;0,INDEX(AZ$7:AZ$106,$AE103),1),IF($AF103&gt;0,INDEX(AZ$7:AZ$106,$AF103),1),IF($AG103&gt;0,INDEX(AZ$7:AZ$106,$AG103),1),IF($AH103&gt;0,INDEX(AZ$7:AZ$106,$AH103),1),IF($AI103&gt;0,INDEX(AZ$7:AZ$106,$AI103),1),IF($AJ103&gt;0,INDEX(AZ$7:AZ$106,$AJ103),1))))</ns0:f>
        <ns0:v>1</ns0:v>
      </ns0:c>
      <ns0:c r="BB103" t="n">
        <ns0:f>IF($A103="",1,IF(BA103=1,1,--AND(IF($AC103&gt;0,INDEX(BA$7:BA$106,$AC103),1),IF($AD103&gt;0,INDEX(BA$7:BA$106,$AD103),1),IF($AE103&gt;0,INDEX(BA$7:BA$106,$AE103),1),IF($AF103&gt;0,INDEX(BA$7:BA$106,$AF103),1),IF($AG103&gt;0,INDEX(BA$7:BA$106,$AG103),1),IF($AH103&gt;0,INDEX(BA$7:BA$106,$AH103),1),IF($AI103&gt;0,INDEX(BA$7:BA$106,$AI103),1),IF($AJ103&gt;0,INDEX(BA$7:BA$106,$AJ103),1))))</ns0:f>
        <ns0:v>1</ns0:v>
      </ns0:c>
      <ns0:c r="BC103" t="n">
        <ns0:f>IF($A103="",1,IF(BB103=1,1,--AND(IF($AC103&gt;0,INDEX(BB$7:BB$106,$AC103),1),IF($AD103&gt;0,INDEX(BB$7:BB$106,$AD103),1),IF($AE103&gt;0,INDEX(BB$7:BB$106,$AE103),1),IF($AF103&gt;0,INDEX(BB$7:BB$106,$AF103),1),IF($AG103&gt;0,INDEX(BB$7:BB$106,$AG103),1),IF($AH103&gt;0,INDEX(BB$7:BB$106,$AH103),1),IF($AI103&gt;0,INDEX(BB$7:BB$106,$AI103),1),IF($AJ103&gt;0,INDEX(BB$7:BB$106,$AJ103),1))))</ns0:f>
        <ns0:v>1</ns0:v>
      </ns0:c>
      <ns0:c r="BD103" t="n">
        <ns0:f>IF($A103="",1,IF(BC103=1,1,--AND(IF($AC103&gt;0,INDEX(BC$7:BC$106,$AC103),1),IF($AD103&gt;0,INDEX(BC$7:BC$106,$AD103),1),IF($AE103&gt;0,INDEX(BC$7:BC$106,$AE103),1),IF($AF103&gt;0,INDEX(BC$7:BC$106,$AF103),1),IF($AG103&gt;0,INDEX(BC$7:BC$106,$AG103),1),IF($AH103&gt;0,INDEX(BC$7:BC$106,$AH103),1),IF($AI103&gt;0,INDEX(BC$7:BC$106,$AI103),1),IF($AJ103&gt;0,INDEX(BC$7:BC$106,$AJ103),1))))</ns0:f>
        <ns0:v>1</ns0:v>
      </ns0:c>
      <ns0:c r="BE103" t="n">
        <ns0:f>IF($A103="",1,IF(BD103=1,1,--AND(IF($AC103&gt;0,INDEX(BD$7:BD$106,$AC103),1),IF($AD103&gt;0,INDEX(BD$7:BD$106,$AD103),1),IF($AE103&gt;0,INDEX(BD$7:BD$106,$AE103),1),IF($AF103&gt;0,INDEX(BD$7:BD$106,$AF103),1),IF($AG103&gt;0,INDEX(BD$7:BD$106,$AG103),1),IF($AH103&gt;0,INDEX(BD$7:BD$106,$AH103),1),IF($AI103&gt;0,INDEX(BD$7:BD$106,$AI103),1),IF($AJ103&gt;0,INDEX(BD$7:BD$106,$AJ103),1))))</ns0:f>
        <ns0:v>1</ns0:v>
      </ns0:c>
      <ns0:c r="BF103" t="n">
        <ns0:f>IF($A103="",1,IF(BE103=1,1,--AND(IF($AC103&gt;0,INDEX(BE$7:BE$106,$AC103),1),IF($AD103&gt;0,INDEX(BE$7:BE$106,$AD103),1),IF($AE103&gt;0,INDEX(BE$7:BE$106,$AE103),1),IF($AF103&gt;0,INDEX(BE$7:BE$106,$AF103),1),IF($AG103&gt;0,INDEX(BE$7:BE$106,$AG103),1),IF($AH103&gt;0,INDEX(BE$7:BE$106,$AH103),1),IF($AI103&gt;0,INDEX(BE$7:BE$106,$AI103),1),IF($AJ103&gt;0,INDEX(BE$7:BE$106,$AJ103),1))))</ns0:f>
        <ns0:v>1</ns0:v>
      </ns0:c>
      <ns0:c r="BG103" t="n">
        <ns0:f>IF($A103="",1,IF(BF103=1,1,--AND(IF($AC103&gt;0,INDEX(BF$7:BF$106,$AC103),1),IF($AD103&gt;0,INDEX(BF$7:BF$106,$AD103),1),IF($AE103&gt;0,INDEX(BF$7:BF$106,$AE103),1),IF($AF103&gt;0,INDEX(BF$7:BF$106,$AF103),1),IF($AG103&gt;0,INDEX(BF$7:BF$106,$AG103),1),IF($AH103&gt;0,INDEX(BF$7:BF$106,$AH103),1),IF($AI103&gt;0,INDEX(BF$7:BF$106,$AI103),1),IF($AJ103&gt;0,INDEX(BF$7:BF$106,$AJ103),1))))</ns0:f>
        <ns0:v>1</ns0:v>
      </ns0:c>
      <ns0:c r="BH103" t="n">
        <ns0:f>IF($A103="",1,IF(BG103=1,1,--AND(IF($AC103&gt;0,INDEX(BG$7:BG$106,$AC103),1),IF($AD103&gt;0,INDEX(BG$7:BG$106,$AD103),1),IF($AE103&gt;0,INDEX(BG$7:BG$106,$AE103),1),IF($AF103&gt;0,INDEX(BG$7:BG$106,$AF103),1),IF($AG103&gt;0,INDEX(BG$7:BG$106,$AG103),1),IF($AH103&gt;0,INDEX(BG$7:BG$106,$AH103),1),IF($AI103&gt;0,INDEX(BG$7:BG$106,$AI103),1),IF($AJ103&gt;0,INDEX(BG$7:BG$106,$AJ103),1))))</ns0:f>
        <ns0:v>1</ns0:v>
      </ns0:c>
      <ns0:c r="BI103" t="n">
        <ns0:f>IF($A103="",1,IF(BH103=1,1,--AND(IF($AC103&gt;0,INDEX(BH$7:BH$106,$AC103),1),IF($AD103&gt;0,INDEX(BH$7:BH$106,$AD103),1),IF($AE103&gt;0,INDEX(BH$7:BH$106,$AE103),1),IF($AF103&gt;0,INDEX(BH$7:BH$106,$AF103),1),IF($AG103&gt;0,INDEX(BH$7:BH$106,$AG103),1),IF($AH103&gt;0,INDEX(BH$7:BH$106,$AH103),1),IF($AI103&gt;0,INDEX(BH$7:BH$106,$AI103),1),IF($AJ103&gt;0,INDEX(BH$7:BH$106,$AJ103),1))))</ns0:f>
        <ns0:v>1</ns0:v>
      </ns0:c>
      <ns0:c r="BJ103" t="n">
        <ns0:f>IF($A103="",1,IF(BI103=1,1,--AND(IF($AC103&gt;0,INDEX(BI$7:BI$106,$AC103),1),IF($AD103&gt;0,INDEX(BI$7:BI$106,$AD103),1),IF($AE103&gt;0,INDEX(BI$7:BI$106,$AE103),1),IF($AF103&gt;0,INDEX(BI$7:BI$106,$AF103),1),IF($AG103&gt;0,INDEX(BI$7:BI$106,$AG103),1),IF($AH103&gt;0,INDEX(BI$7:BI$106,$AH103),1),IF($AI103&gt;0,INDEX(BI$7:BI$106,$AI103),1),IF($AJ103&gt;0,INDEX(BI$7:BI$106,$AJ103),1))))</ns0:f>
        <ns0:v>1</ns0:v>
      </ns0:c>
      <ns0:c r="BK103" t="n">
        <ns0:f>IF($A103="",1,IF(BJ103=1,1,--AND(IF($AC103&gt;0,INDEX(BJ$7:BJ$106,$AC103),1),IF($AD103&gt;0,INDEX(BJ$7:BJ$106,$AD103),1),IF($AE103&gt;0,INDEX(BJ$7:BJ$106,$AE103),1),IF($AF103&gt;0,INDEX(BJ$7:BJ$106,$AF103),1),IF($AG103&gt;0,INDEX(BJ$7:BJ$106,$AG103),1),IF($AH103&gt;0,INDEX(BJ$7:BJ$106,$AH103),1),IF($AI103&gt;0,INDEX(BJ$7:BJ$106,$AI103),1),IF($AJ103&gt;0,INDEX(BJ$7:BJ$106,$AJ103),1))))</ns0:f>
        <ns0:v>1</ns0:v>
      </ns0:c>
      <ns0:c r="BL103" t="n">
        <ns0:f>IF($A103="",1,IF(BK103=1,1,--AND(IF($AC103&gt;0,INDEX(BK$7:BK$106,$AC103),1),IF($AD103&gt;0,INDEX(BK$7:BK$106,$AD103),1),IF($AE103&gt;0,INDEX(BK$7:BK$106,$AE103),1),IF($AF103&gt;0,INDEX(BK$7:BK$106,$AF103),1),IF($AG103&gt;0,INDEX(BK$7:BK$106,$AG103),1),IF($AH103&gt;0,INDEX(BK$7:BK$106,$AH103),1),IF($AI103&gt;0,INDEX(BK$7:BK$106,$AI103),1),IF($AJ103&gt;0,INDEX(BK$7:BK$106,$AJ103),1))))</ns0:f>
        <ns0:v>1</ns0:v>
      </ns0:c>
      <ns0:c r="BM103" t="n">
        <ns0:f>IF($A103="",1,IF(BL103=1,1,--AND(IF($AC103&gt;0,INDEX(BL$7:BL$106,$AC103),1),IF($AD103&gt;0,INDEX(BL$7:BL$106,$AD103),1),IF($AE103&gt;0,INDEX(BL$7:BL$106,$AE103),1),IF($AF103&gt;0,INDEX(BL$7:BL$106,$AF103),1),IF($AG103&gt;0,INDEX(BL$7:BL$106,$AG103),1),IF($AH103&gt;0,INDEX(BL$7:BL$106,$AH103),1),IF($AI103&gt;0,INDEX(BL$7:BL$106,$AI103),1),IF($AJ103&gt;0,INDEX(BL$7:BL$106,$AJ103),1))))</ns0:f>
        <ns0:v>1</ns0:v>
      </ns0:c>
      <ns0:c r="BN103" t="n">
        <ns0:f>IF($A103="",1,IF(BM103=1,1,--AND(IF($AC103&gt;0,INDEX(BM$7:BM$106,$AC103),1),IF($AD103&gt;0,INDEX(BM$7:BM$106,$AD103),1),IF($AE103&gt;0,INDEX(BM$7:BM$106,$AE103),1),IF($AF103&gt;0,INDEX(BM$7:BM$106,$AF103),1),IF($AG103&gt;0,INDEX(BM$7:BM$106,$AG103),1),IF($AH103&gt;0,INDEX(BM$7:BM$106,$AH103),1),IF($AI103&gt;0,INDEX(BM$7:BM$106,$AI103),1),IF($AJ103&gt;0,INDEX(BM$7:BM$106,$AJ103),1))))</ns0:f>
        <ns0:v>1</ns0:v>
      </ns0:c>
      <ns0:c r="BO103" t="n">
        <ns0:f>IF($A103="",1,IF(BN103=1,1,--AND(IF($AC103&gt;0,INDEX(BN$7:BN$106,$AC103),1),IF($AD103&gt;0,INDEX(BN$7:BN$106,$AD103),1),IF($AE103&gt;0,INDEX(BN$7:BN$106,$AE103),1),IF($AF103&gt;0,INDEX(BN$7:BN$106,$AF103),1),IF($AG103&gt;0,INDEX(BN$7:BN$106,$AG103),1),IF($AH103&gt;0,INDEX(BN$7:BN$106,$AH103),1),IF($AI103&gt;0,INDEX(BN$7:BN$106,$AI103),1),IF($AJ103&gt;0,INDEX(BN$7:BN$106,$AJ103),1))))</ns0:f>
        <ns0:v>1</ns0:v>
      </ns0:c>
      <ns0:c r="BP103" t="n">
        <ns0:f>IF($A103="",1,IF(BO103=1,1,--AND(IF($AC103&gt;0,INDEX(BO$7:BO$106,$AC103),1),IF($AD103&gt;0,INDEX(BO$7:BO$106,$AD103),1),IF($AE103&gt;0,INDEX(BO$7:BO$106,$AE103),1),IF($AF103&gt;0,INDEX(BO$7:BO$106,$AF103),1),IF($AG103&gt;0,INDEX(BO$7:BO$106,$AG103),1),IF($AH103&gt;0,INDEX(BO$7:BO$106,$AH103),1),IF($AI103&gt;0,INDEX(BO$7:BO$106,$AI103),1),IF($AJ103&gt;0,INDEX(BO$7:BO$106,$AJ103),1))))</ns0:f>
        <ns0:v>1</ns0:v>
      </ns0:c>
      <ns0:c r="BQ103" t="n">
        <ns0:f>IF($A103="",1,IF(BP103=1,1,--AND(IF($AC103&gt;0,INDEX(BP$7:BP$106,$AC103),1),IF($AD103&gt;0,INDEX(BP$7:BP$106,$AD103),1),IF($AE103&gt;0,INDEX(BP$7:BP$106,$AE103),1),IF($AF103&gt;0,INDEX(BP$7:BP$106,$AF103),1),IF($AG103&gt;0,INDEX(BP$7:BP$106,$AG103),1),IF($AH103&gt;0,INDEX(BP$7:BP$106,$AH103),1),IF($AI103&gt;0,INDEX(BP$7:BP$106,$AI103),1),IF($AJ103&gt;0,INDEX(BP$7:BP$106,$AJ103),1))))</ns0:f>
        <ns0:v>1</ns0:v>
      </ns0:c>
      <ns0:c r="BR103" t="n">
        <ns0:f>IF($A103="",1,IF(BQ103=1,1,--AND(IF($AC103&gt;0,INDEX(BQ$7:BQ$106,$AC103),1),IF($AD103&gt;0,INDEX(BQ$7:BQ$106,$AD103),1),IF($AE103&gt;0,INDEX(BQ$7:BQ$106,$AE103),1),IF($AF103&gt;0,INDEX(BQ$7:BQ$106,$AF103),1),IF($AG103&gt;0,INDEX(BQ$7:BQ$106,$AG103),1),IF($AH103&gt;0,INDEX(BQ$7:BQ$106,$AH103),1),IF($AI103&gt;0,INDEX(BQ$7:BQ$106,$AI103),1),IF($AJ103&gt;0,INDEX(BQ$7:BQ$106,$AJ103),1))))</ns0:f>
        <ns0:v>1</ns0:v>
      </ns0:c>
      <ns0:c r="BS103" t="n">
        <ns0:f>IF($A103="",1,IF(BR103=1,1,--AND(IF($AC103&gt;0,INDEX(BR$7:BR$106,$AC103),1),IF($AD103&gt;0,INDEX(BR$7:BR$106,$AD103),1),IF($AE103&gt;0,INDEX(BR$7:BR$106,$AE103),1),IF($AF103&gt;0,INDEX(BR$7:BR$106,$AF103),1),IF($AG103&gt;0,INDEX(BR$7:BR$106,$AG103),1),IF($AH103&gt;0,INDEX(BR$7:BR$106,$AH103),1),IF($AI103&gt;0,INDEX(BR$7:BR$106,$AI103),1),IF($AJ103&gt;0,INDEX(BR$7:BR$106,$AJ103),1))))</ns0:f>
        <ns0:v>1</ns0:v>
      </ns0:c>
      <ns0:c r="BT103" t="n">
        <ns0:f>IF($A103="",1,IF(BS103=1,1,--AND(IF($AC103&gt;0,INDEX(BS$7:BS$106,$AC103),1),IF($AD103&gt;0,INDEX(BS$7:BS$106,$AD103),1),IF($AE103&gt;0,INDEX(BS$7:BS$106,$AE103),1),IF($AF103&gt;0,INDEX(BS$7:BS$106,$AF103),1),IF($AG103&gt;0,INDEX(BS$7:BS$106,$AG103),1),IF($AH103&gt;0,INDEX(BS$7:BS$106,$AH103),1),IF($AI103&gt;0,INDEX(BS$7:BS$106,$AI103),1),IF($AJ103&gt;0,INDEX(BS$7:BS$106,$AJ103),1))))</ns0:f>
        <ns0:v>1</ns0:v>
      </ns0:c>
      <ns0:c r="BU103" t="n">
        <ns0:f>IF($A103="",1,IF(BT103=1,1,--AND(IF($AC103&gt;0,INDEX(BT$7:BT$106,$AC103),1),IF($AD103&gt;0,INDEX(BT$7:BT$106,$AD103),1),IF($AE103&gt;0,INDEX(BT$7:BT$106,$AE103),1),IF($AF103&gt;0,INDEX(BT$7:BT$106,$AF103),1),IF($AG103&gt;0,INDEX(BT$7:BT$106,$AG103),1),IF($AH103&gt;0,INDEX(BT$7:BT$106,$AH103),1),IF($AI103&gt;0,INDEX(BT$7:BT$106,$AI103),1),IF($AJ103&gt;0,INDEX(BT$7:BT$106,$AJ103),1))))</ns0:f>
        <ns0:v>1</ns0:v>
      </ns0:c>
      <ns0:c r="BV103" t="n">
        <ns0:f>IF($A103="",1,IF(BU103=1,1,--AND(IF($AC103&gt;0,INDEX(BU$7:BU$106,$AC103),1),IF($AD103&gt;0,INDEX(BU$7:BU$106,$AD103),1),IF($AE103&gt;0,INDEX(BU$7:BU$106,$AE103),1),IF($AF103&gt;0,INDEX(BU$7:BU$106,$AF103),1),IF($AG103&gt;0,INDEX(BU$7:BU$106,$AG103),1),IF($AH103&gt;0,INDEX(BU$7:BU$106,$AH103),1),IF($AI103&gt;0,INDEX(BU$7:BU$106,$AI103),1),IF($AJ103&gt;0,INDEX(BU$7:BU$106,$AJ103),1))))</ns0:f>
        <ns0:v>1</ns0:v>
      </ns0:c>
      <ns0:c r="BW103" t="n">
        <ns0:f>IF($A103="",1,IF(BV103=1,1,--AND(IF($AC103&gt;0,INDEX(BV$7:BV$106,$AC103),1),IF($AD103&gt;0,INDEX(BV$7:BV$106,$AD103),1),IF($AE103&gt;0,INDEX(BV$7:BV$106,$AE103),1),IF($AF103&gt;0,INDEX(BV$7:BV$106,$AF103),1),IF($AG103&gt;0,INDEX(BV$7:BV$106,$AG103),1),IF($AH103&gt;0,INDEX(BV$7:BV$106,$AH103),1),IF($AI103&gt;0,INDEX(BV$7:BV$106,$AI103),1),IF($AJ103&gt;0,INDEX(BV$7:BV$106,$AJ103),1))))</ns0:f>
        <ns0:v>1</ns0:v>
      </ns0:c>
      <ns0:c r="BX103" t="n">
        <ns0:f>IF($A103="",1,IF(BW103=1,1,--AND(IF($AC103&gt;0,INDEX(BW$7:BW$106,$AC103),1),IF($AD103&gt;0,INDEX(BW$7:BW$106,$AD103),1),IF($AE103&gt;0,INDEX(BW$7:BW$106,$AE103),1),IF($AF103&gt;0,INDEX(BW$7:BW$106,$AF103),1),IF($AG103&gt;0,INDEX(BW$7:BW$106,$AG103),1),IF($AH103&gt;0,INDEX(BW$7:BW$106,$AH103),1),IF($AI103&gt;0,INDEX(BW$7:BW$106,$AI103),1),IF($AJ103&gt;0,INDEX(BW$7:BW$106,$AJ103),1))))</ns0:f>
        <ns0:v>1</ns0:v>
      </ns0:c>
      <ns0:c r="BY103" t="n">
        <ns0:f>IF($A103="",1,IF(BX103=1,1,--AND(IF($AC103&gt;0,INDEX(BX$7:BX$106,$AC103),1),IF($AD103&gt;0,INDEX(BX$7:BX$106,$AD103),1),IF($AE103&gt;0,INDEX(BX$7:BX$106,$AE103),1),IF($AF103&gt;0,INDEX(BX$7:BX$106,$AF103),1),IF($AG103&gt;0,INDEX(BX$7:BX$106,$AG103),1),IF($AH103&gt;0,INDEX(BX$7:BX$106,$AH103),1),IF($AI103&gt;0,INDEX(BX$7:BX$106,$AI103),1),IF($AJ103&gt;0,INDEX(BX$7:BX$106,$AJ103),1))))</ns0:f>
        <ns0:v>1</ns0:v>
      </ns0:c>
      <ns0:c r="BZ103" t="n">
        <ns0:f>IF($A103="",1,IF(BY103=1,1,--AND(IF($AC103&gt;0,INDEX(BY$7:BY$106,$AC103),1),IF($AD103&gt;0,INDEX(BY$7:BY$106,$AD103),1),IF($AE103&gt;0,INDEX(BY$7:BY$106,$AE103),1),IF($AF103&gt;0,INDEX(BY$7:BY$106,$AF103),1),IF($AG103&gt;0,INDEX(BY$7:BY$106,$AG103),1),IF($AH103&gt;0,INDEX(BY$7:BY$106,$AH103),1),IF($AI103&gt;0,INDEX(BY$7:BY$106,$AI103),1),IF($AJ103&gt;0,INDEX(BY$7:BY$106,$AJ103),1))))</ns0:f>
        <ns0:v>1</ns0:v>
      </ns0:c>
      <ns0:c r="CA103" t="n">
        <ns0:f>IF($A103="",1,IF(BZ103=1,1,--AND(IF($AC103&gt;0,INDEX(BZ$7:BZ$106,$AC103),1),IF($AD103&gt;0,INDEX(BZ$7:BZ$106,$AD103),1),IF($AE103&gt;0,INDEX(BZ$7:BZ$106,$AE103),1),IF($AF103&gt;0,INDEX(BZ$7:BZ$106,$AF103),1),IF($AG103&gt;0,INDEX(BZ$7:BZ$106,$AG103),1),IF($AH103&gt;0,INDEX(BZ$7:BZ$106,$AH103),1),IF($AI103&gt;0,INDEX(BZ$7:BZ$106,$AI103),1),IF($AJ103&gt;0,INDEX(BZ$7:BZ$106,$AJ103),1))))</ns0:f>
        <ns0:v>1</ns0:v>
      </ns0:c>
      <ns0:c r="CB103" t="n">
        <ns0:f>IF($A103="",1,IF(CA103=1,1,--AND(IF($AC103&gt;0,INDEX(CA$7:CA$106,$AC103),1),IF($AD103&gt;0,INDEX(CA$7:CA$106,$AD103),1),IF($AE103&gt;0,INDEX(CA$7:CA$106,$AE103),1),IF($AF103&gt;0,INDEX(CA$7:CA$106,$AF103),1),IF($AG103&gt;0,INDEX(CA$7:CA$106,$AG103),1),IF($AH103&gt;0,INDEX(CA$7:CA$106,$AH103),1),IF($AI103&gt;0,INDEX(CA$7:CA$106,$AI103),1),IF($AJ103&gt;0,INDEX(CA$7:CA$106,$AJ103),1))))</ns0:f>
        <ns0:v>1</ns0:v>
      </ns0:c>
      <ns0:c r="CC103" t="n">
        <ns0:f>IF($A103="",1,IF(CB103=1,1,--AND(IF($AC103&gt;0,INDEX(CB$7:CB$106,$AC103),1),IF($AD103&gt;0,INDEX(CB$7:CB$106,$AD103),1),IF($AE103&gt;0,INDEX(CB$7:CB$106,$AE103),1),IF($AF103&gt;0,INDEX(CB$7:CB$106,$AF103),1),IF($AG103&gt;0,INDEX(CB$7:CB$106,$AG103),1),IF($AH103&gt;0,INDEX(CB$7:CB$106,$AH103),1),IF($AI103&gt;0,INDEX(CB$7:CB$106,$AI103),1),IF($AJ103&gt;0,INDEX(CB$7:CB$106,$AJ103),1))))</ns0:f>
        <ns0:v>1</ns0:v>
      </ns0:c>
      <ns0:c r="CD103" t="n">
        <ns0:f>IF($A103="",1,IF(CC103=1,1,--AND(IF($AC103&gt;0,INDEX(CC$7:CC$106,$AC103),1),IF($AD103&gt;0,INDEX(CC$7:CC$106,$AD103),1),IF($AE103&gt;0,INDEX(CC$7:CC$106,$AE103),1),IF($AF103&gt;0,INDEX(CC$7:CC$106,$AF103),1),IF($AG103&gt;0,INDEX(CC$7:CC$106,$AG103),1),IF($AH103&gt;0,INDEX(CC$7:CC$106,$AH103),1),IF($AI103&gt;0,INDEX(CC$7:CC$106,$AI103),1),IF($AJ103&gt;0,INDEX(CC$7:CC$106,$AJ103),1))))</ns0:f>
        <ns0:v>1</ns0:v>
      </ns0:c>
      <ns0:c r="CE103" t="n">
        <ns0:f>IF($A103="",1,IF(CD103=1,1,--AND(IF($AC103&gt;0,INDEX(CD$7:CD$106,$AC103),1),IF($AD103&gt;0,INDEX(CD$7:CD$106,$AD103),1),IF($AE103&gt;0,INDEX(CD$7:CD$106,$AE103),1),IF($AF103&gt;0,INDEX(CD$7:CD$106,$AF103),1),IF($AG103&gt;0,INDEX(CD$7:CD$106,$AG103),1),IF($AH103&gt;0,INDEX(CD$7:CD$106,$AH103),1),IF($AI103&gt;0,INDEX(CD$7:CD$106,$AI103),1),IF($AJ103&gt;0,INDEX(CD$7:CD$106,$AJ103),1))))</ns0:f>
        <ns0:v>1</ns0:v>
      </ns0:c>
      <ns0:c r="CF103" t="n">
        <ns0:f>IF($A103="",1,IF(CE103=1,1,--AND(IF($AC103&gt;0,INDEX(CE$7:CE$106,$AC103),1),IF($AD103&gt;0,INDEX(CE$7:CE$106,$AD103),1),IF($AE103&gt;0,INDEX(CE$7:CE$106,$AE103),1),IF($AF103&gt;0,INDEX(CE$7:CE$106,$AF103),1),IF($AG103&gt;0,INDEX(CE$7:CE$106,$AG103),1),IF($AH103&gt;0,INDEX(CE$7:CE$106,$AH103),1),IF($AI103&gt;0,INDEX(CE$7:CE$106,$AI103),1),IF($AJ103&gt;0,INDEX(CE$7:CE$106,$AJ103),1))))</ns0:f>
        <ns0:v>1</ns0:v>
      </ns0:c>
      <ns0:c r="CG103" t="n">
        <ns0:f>IF($A103="",1,IF(CF103=1,1,--AND(IF($AC103&gt;0,INDEX(CF$7:CF$106,$AC103),1),IF($AD103&gt;0,INDEX(CF$7:CF$106,$AD103),1),IF($AE103&gt;0,INDEX(CF$7:CF$106,$AE103),1),IF($AF103&gt;0,INDEX(CF$7:CF$106,$AF103),1),IF($AG103&gt;0,INDEX(CF$7:CF$106,$AG103),1),IF($AH103&gt;0,INDEX(CF$7:CF$106,$AH103),1),IF($AI103&gt;0,INDEX(CF$7:CF$106,$AI103),1),IF($AJ103&gt;0,INDEX(CF$7:CF$106,$AJ103),1))))</ns0:f>
        <ns0:v>1</ns0:v>
      </ns0:c>
      <ns0:c r="CH103" t="n">
        <ns0:f>IF($A103="",1,IF(CG103=1,1,--AND(IF($AC103&gt;0,INDEX(CG$7:CG$106,$AC103),1),IF($AD103&gt;0,INDEX(CG$7:CG$106,$AD103),1),IF($AE103&gt;0,INDEX(CG$7:CG$106,$AE103),1),IF($AF103&gt;0,INDEX(CG$7:CG$106,$AF103),1),IF($AG103&gt;0,INDEX(CG$7:CG$106,$AG103),1),IF($AH103&gt;0,INDEX(CG$7:CG$106,$AH103),1),IF($AI103&gt;0,INDEX(CG$7:CG$106,$AI103),1),IF($AJ103&gt;0,INDEX(CG$7:CG$106,$AJ103),1))))</ns0:f>
        <ns0:v>1</ns0:v>
      </ns0:c>
      <ns0:c r="CI103" t="n">
        <ns0:f>IF($A103="",1,IF(CH103=1,1,--AND(IF($AC103&gt;0,INDEX(CH$7:CH$106,$AC103),1),IF($AD103&gt;0,INDEX(CH$7:CH$106,$AD103),1),IF($AE103&gt;0,INDEX(CH$7:CH$106,$AE103),1),IF($AF103&gt;0,INDEX(CH$7:CH$106,$AF103),1),IF($AG103&gt;0,INDEX(CH$7:CH$106,$AG103),1),IF($AH103&gt;0,INDEX(CH$7:CH$106,$AH103),1),IF($AI103&gt;0,INDEX(CH$7:CH$106,$AI103),1),IF($AJ103&gt;0,INDEX(CH$7:CH$106,$AJ103),1))))</ns0:f>
        <ns0:v>1</ns0:v>
      </ns0:c>
      <ns0:c r="CJ103" t="n">
        <ns0:f>IF($A103="",1,IF(CI103=1,1,--AND(IF($AC103&gt;0,INDEX(CI$7:CI$106,$AC103),1),IF($AD103&gt;0,INDEX(CI$7:CI$106,$AD103),1),IF($AE103&gt;0,INDEX(CI$7:CI$106,$AE103),1),IF($AF103&gt;0,INDEX(CI$7:CI$106,$AF103),1),IF($AG103&gt;0,INDEX(CI$7:CI$106,$AG103),1),IF($AH103&gt;0,INDEX(CI$7:CI$106,$AH103),1),IF($AI103&gt;0,INDEX(CI$7:CI$106,$AI103),1),IF($AJ103&gt;0,INDEX(CI$7:CI$106,$AJ103),1))))</ns0:f>
        <ns0:v>1</ns0:v>
      </ns0:c>
      <ns0:c r="CK103" t="n">
        <ns0:f>IF($A103="",1,IF(CJ103=1,1,--AND(IF($AC103&gt;0,INDEX(CJ$7:CJ$106,$AC103),1),IF($AD103&gt;0,INDEX(CJ$7:CJ$106,$AD103),1),IF($AE103&gt;0,INDEX(CJ$7:CJ$106,$AE103),1),IF($AF103&gt;0,INDEX(CJ$7:CJ$106,$AF103),1),IF($AG103&gt;0,INDEX(CJ$7:CJ$106,$AG103),1),IF($AH103&gt;0,INDEX(CJ$7:CJ$106,$AH103),1),IF($AI103&gt;0,INDEX(CJ$7:CJ$106,$AI103),1),IF($AJ103&gt;0,INDEX(CJ$7:CJ$106,$AJ103),1))))</ns0:f>
        <ns0:v>1</ns0:v>
      </ns0:c>
      <ns0:c r="CL103" t="n">
        <ns0:f>IF($A103="",1,IF(CK103=1,1,--AND(IF($AC103&gt;0,INDEX(CK$7:CK$106,$AC103),1),IF($AD103&gt;0,INDEX(CK$7:CK$106,$AD103),1),IF($AE103&gt;0,INDEX(CK$7:CK$106,$AE103),1),IF($AF103&gt;0,INDEX(CK$7:CK$106,$AF103),1),IF($AG103&gt;0,INDEX(CK$7:CK$106,$AG103),1),IF($AH103&gt;0,INDEX(CK$7:CK$106,$AH103),1),IF($AI103&gt;0,INDEX(CK$7:CK$106,$AI103),1),IF($AJ103&gt;0,INDEX(CK$7:CK$106,$AJ103),1))))</ns0:f>
        <ns0:v>1</ns0:v>
      </ns0:c>
      <ns0:c r="CM103" t="n">
        <ns0:f>IF($A103="",1,IF(CL103=1,1,--AND(IF($AC103&gt;0,INDEX(CL$7:CL$106,$AC103),1),IF($AD103&gt;0,INDEX(CL$7:CL$106,$AD103),1),IF($AE103&gt;0,INDEX(CL$7:CL$106,$AE103),1),IF($AF103&gt;0,INDEX(CL$7:CL$106,$AF103),1),IF($AG103&gt;0,INDEX(CL$7:CL$106,$AG103),1),IF($AH103&gt;0,INDEX(CL$7:CL$106,$AH103),1),IF($AI103&gt;0,INDEX(CL$7:CL$106,$AI103),1),IF($AJ103&gt;0,INDEX(CL$7:CL$106,$AJ103),1))))</ns0:f>
        <ns0:v>1</ns0:v>
      </ns0:c>
      <ns0:c r="CN103" t="n">
        <ns0:f>IF($A103="",1,IF(CM103=1,1,--AND(IF($AC103&gt;0,INDEX(CM$7:CM$106,$AC103),1),IF($AD103&gt;0,INDEX(CM$7:CM$106,$AD103),1),IF($AE103&gt;0,INDEX(CM$7:CM$106,$AE103),1),IF($AF103&gt;0,INDEX(CM$7:CM$106,$AF103),1),IF($AG103&gt;0,INDEX(CM$7:CM$106,$AG103),1),IF($AH103&gt;0,INDEX(CM$7:CM$106,$AH103),1),IF($AI103&gt;0,INDEX(CM$7:CM$106,$AI103),1),IF($AJ103&gt;0,INDEX(CM$7:CM$106,$AJ103),1))))</ns0:f>
        <ns0:v>1</ns0:v>
      </ns0:c>
      <ns0:c r="CO103" t="n">
        <ns0:f>IF($A103="",1,IF(CN103=1,1,--AND(IF($AC103&gt;0,INDEX(CN$7:CN$106,$AC103),1),IF($AD103&gt;0,INDEX(CN$7:CN$106,$AD103),1),IF($AE103&gt;0,INDEX(CN$7:CN$106,$AE103),1),IF($AF103&gt;0,INDEX(CN$7:CN$106,$AF103),1),IF($AG103&gt;0,INDEX(CN$7:CN$106,$AG103),1),IF($AH103&gt;0,INDEX(CN$7:CN$106,$AH103),1),IF($AI103&gt;0,INDEX(CN$7:CN$106,$AI103),1),IF($AJ103&gt;0,INDEX(CN$7:CN$106,$AJ103),1))))</ns0:f>
        <ns0:v>1</ns0:v>
      </ns0:c>
      <ns0:c r="CP103" t="n">
        <ns0:f>IF($A103="",1,IF(CO103=1,1,--AND(IF($AC103&gt;0,INDEX(CO$7:CO$106,$AC103),1),IF($AD103&gt;0,INDEX(CO$7:CO$106,$AD103),1),IF($AE103&gt;0,INDEX(CO$7:CO$106,$AE103),1),IF($AF103&gt;0,INDEX(CO$7:CO$106,$AF103),1),IF($AG103&gt;0,INDEX(CO$7:CO$106,$AG103),1),IF($AH103&gt;0,INDEX(CO$7:CO$106,$AH103),1),IF($AI103&gt;0,INDEX(CO$7:CO$106,$AI103),1),IF($AJ103&gt;0,INDEX(CO$7:CO$106,$AJ103),1))))</ns0:f>
        <ns0:v>1</ns0:v>
      </ns0:c>
      <ns0:c r="CQ103" t="n">
        <ns0:f>IF($A103="",1,IF(CP103=1,1,--AND(IF($AC103&gt;0,INDEX(CP$7:CP$106,$AC103),1),IF($AD103&gt;0,INDEX(CP$7:CP$106,$AD103),1),IF($AE103&gt;0,INDEX(CP$7:CP$106,$AE103),1),IF($AF103&gt;0,INDEX(CP$7:CP$106,$AF103),1),IF($AG103&gt;0,INDEX(CP$7:CP$106,$AG103),1),IF($AH103&gt;0,INDEX(CP$7:CP$106,$AH103),1),IF($AI103&gt;0,INDEX(CP$7:CP$106,$AI103),1),IF($AJ103&gt;0,INDEX(CP$7:CP$106,$AJ103),1))))</ns0:f>
        <ns0:v>1</ns0:v>
      </ns0:c>
      <ns0:c r="CR103" t="n">
        <ns0:f>IF($A103="",1,IF(CQ103=1,1,--AND(IF($AC103&gt;0,INDEX(CQ$7:CQ$106,$AC103),1),IF($AD103&gt;0,INDEX(CQ$7:CQ$106,$AD103),1),IF($AE103&gt;0,INDEX(CQ$7:CQ$106,$AE103),1),IF($AF103&gt;0,INDEX(CQ$7:CQ$106,$AF103),1),IF($AG103&gt;0,INDEX(CQ$7:CQ$106,$AG103),1),IF($AH103&gt;0,INDEX(CQ$7:CQ$106,$AH103),1),IF($AI103&gt;0,INDEX(CQ$7:CQ$106,$AI103),1),IF($AJ103&gt;0,INDEX(CQ$7:CQ$106,$AJ103),1))))</ns0:f>
        <ns0:v>1</ns0:v>
      </ns0:c>
      <ns0:c r="CS103" t="n">
        <ns0:f>IF($A103="",1,IF(CR103=1,1,--AND(IF($AC103&gt;0,INDEX(CR$7:CR$106,$AC103),1),IF($AD103&gt;0,INDEX(CR$7:CR$106,$AD103),1),IF($AE103&gt;0,INDEX(CR$7:CR$106,$AE103),1),IF($AF103&gt;0,INDEX(CR$7:CR$106,$AF103),1),IF($AG103&gt;0,INDEX(CR$7:CR$106,$AG103),1),IF($AH103&gt;0,INDEX(CR$7:CR$106,$AH103),1),IF($AI103&gt;0,INDEX(CR$7:CR$106,$AI103),1),IF($AJ103&gt;0,INDEX(CR$7:CR$106,$AJ103),1))))</ns0:f>
        <ns0:v>1</ns0:v>
      </ns0:c>
      <ns0:c r="CT103" t="n">
        <ns0:f>IF($A103="",1,IF(CS103=1,1,--AND(IF($AC103&gt;0,INDEX(CS$7:CS$106,$AC103),1),IF($AD103&gt;0,INDEX(CS$7:CS$106,$AD103),1),IF($AE103&gt;0,INDEX(CS$7:CS$106,$AE103),1),IF($AF103&gt;0,INDEX(CS$7:CS$106,$AF103),1),IF($AG103&gt;0,INDEX(CS$7:CS$106,$AG103),1),IF($AH103&gt;0,INDEX(CS$7:CS$106,$AH103),1),IF($AI103&gt;0,INDEX(CS$7:CS$106,$AI103),1),IF($AJ103&gt;0,INDEX(CS$7:CS$106,$AJ103),1))))</ns0:f>
        <ns0:v>1</ns0:v>
      </ns0:c>
      <ns0:c r="CU103" t="n">
        <ns0:f>IF($A103="",1,IF(CT103=1,1,--AND(IF($AC103&gt;0,INDEX(CT$7:CT$106,$AC103),1),IF($AD103&gt;0,INDEX(CT$7:CT$106,$AD103),1),IF($AE103&gt;0,INDEX(CT$7:CT$106,$AE103),1),IF($AF103&gt;0,INDEX(CT$7:CT$106,$AF103),1),IF($AG103&gt;0,INDEX(CT$7:CT$106,$AG103),1),IF($AH103&gt;0,INDEX(CT$7:CT$106,$AH103),1),IF($AI103&gt;0,INDEX(CT$7:CT$106,$AI103),1),IF($AJ103&gt;0,INDEX(CT$7:CT$106,$AJ103),1))))</ns0:f>
        <ns0:v>1</ns0:v>
      </ns0:c>
      <ns0:c r="CV103" t="n">
        <ns0:f>IF($A103="",1,IF(CU103=1,1,--AND(IF($AC103&gt;0,INDEX(CU$7:CU$106,$AC103),1),IF($AD103&gt;0,INDEX(CU$7:CU$106,$AD103),1),IF($AE103&gt;0,INDEX(CU$7:CU$106,$AE103),1),IF($AF103&gt;0,INDEX(CU$7:CU$106,$AF103),1),IF($AG103&gt;0,INDEX(CU$7:CU$106,$AG103),1),IF($AH103&gt;0,INDEX(CU$7:CU$106,$AH103),1),IF($AI103&gt;0,INDEX(CU$7:CU$106,$AI103),1),IF($AJ103&gt;0,INDEX(CU$7:CU$106,$AJ103),1))))</ns0:f>
        <ns0:v>1</ns0:v>
      </ns0:c>
      <ns0:c r="CW103" t="n">
        <ns0:f>IF($A103="",1,IF(CV103=1,1,--AND(IF($AC103&gt;0,INDEX(CV$7:CV$106,$AC103),1),IF($AD103&gt;0,INDEX(CV$7:CV$106,$AD103),1),IF($AE103&gt;0,INDEX(CV$7:CV$106,$AE103),1),IF($AF103&gt;0,INDEX(CV$7:CV$106,$AF103),1),IF($AG103&gt;0,INDEX(CV$7:CV$106,$AG103),1),IF($AH103&gt;0,INDEX(CV$7:CV$106,$AH103),1),IF($AI103&gt;0,INDEX(CV$7:CV$106,$AI103),1),IF($AJ103&gt;0,INDEX(CV$7:CV$106,$AJ103),1))))</ns0:f>
        <ns0:v>1</ns0:v>
      </ns0:c>
      <ns0:c r="CX103" t="n">
        <ns0:f>IF($A103="",1,IF(CW103=1,1,--AND(IF($AC103&gt;0,INDEX(CW$7:CW$106,$AC103),1),IF($AD103&gt;0,INDEX(CW$7:CW$106,$AD103),1),IF($AE103&gt;0,INDEX(CW$7:CW$106,$AE103),1),IF($AF103&gt;0,INDEX(CW$7:CW$106,$AF103),1),IF($AG103&gt;0,INDEX(CW$7:CW$106,$AG103),1),IF($AH103&gt;0,INDEX(CW$7:CW$106,$AH103),1),IF($AI103&gt;0,INDEX(CW$7:CW$106,$AI103),1),IF($AJ103&gt;0,INDEX(CW$7:CW$106,$AJ103),1))))</ns0:f>
        <ns0:v>1</ns0:v>
      </ns0:c>
      <ns0:c r="CY103" t="n">
        <ns0:f>IF($A103="",1,IF(CX103=1,1,--AND(IF($AC103&gt;0,INDEX(CX$7:CX$106,$AC103),1),IF($AD103&gt;0,INDEX(CX$7:CX$106,$AD103),1),IF($AE103&gt;0,INDEX(CX$7:CX$106,$AE103),1),IF($AF103&gt;0,INDEX(CX$7:CX$106,$AF103),1),IF($AG103&gt;0,INDEX(CX$7:CX$106,$AG103),1),IF($AH103&gt;0,INDEX(CX$7:CX$106,$AH103),1),IF($AI103&gt;0,INDEX(CX$7:CX$106,$AI103),1),IF($AJ103&gt;0,INDEX(CX$7:CX$106,$AJ103),1))))</ns0:f>
        <ns0:v>1</ns0:v>
      </ns0:c>
      <ns0:c r="CZ103" t="n">
        <ns0:f>IF($A103="",1,IF(CY103=1,1,--AND(IF($AC103&gt;0,INDEX(CY$7:CY$106,$AC103),1),IF($AD103&gt;0,INDEX(CY$7:CY$106,$AD103),1),IF($AE103&gt;0,INDEX(CY$7:CY$106,$AE103),1),IF($AF103&gt;0,INDEX(CY$7:CY$106,$AF103),1),IF($AG103&gt;0,INDEX(CY$7:CY$106,$AG103),1),IF($AH103&gt;0,INDEX(CY$7:CY$106,$AH103),1),IF($AI103&gt;0,INDEX(CY$7:CY$106,$AI103),1),IF($AJ103&gt;0,INDEX(CY$7:CY$106,$AJ103),1))))</ns0:f>
        <ns0:v>1</ns0:v>
      </ns0:c>
      <ns0:c r="DA103" t="n">
        <ns0:f>IF($A103="",1,IF(CZ103=1,1,--AND(IF($AC103&gt;0,INDEX(CZ$7:CZ$106,$AC103),1),IF($AD103&gt;0,INDEX(CZ$7:CZ$106,$AD103),1),IF($AE103&gt;0,INDEX(CZ$7:CZ$106,$AE103),1),IF($AF103&gt;0,INDEX(CZ$7:CZ$106,$AF103),1),IF($AG103&gt;0,INDEX(CZ$7:CZ$106,$AG103),1),IF($AH103&gt;0,INDEX(CZ$7:CZ$106,$AH103),1),IF($AI103&gt;0,INDEX(CZ$7:CZ$106,$AI103),1),IF($AJ103&gt;0,INDEX(CZ$7:CZ$106,$AJ103),1))))</ns0:f>
        <ns0:v>1</ns0:v>
      </ns0:c>
      <ns0:c r="DB103" t="n">
        <ns0:f>IF($A103="",1,IF(DA103=1,1,--AND(IF($AC103&gt;0,INDEX(DA$7:DA$106,$AC103),1),IF($AD103&gt;0,INDEX(DA$7:DA$106,$AD103),1),IF($AE103&gt;0,INDEX(DA$7:DA$106,$AE103),1),IF($AF103&gt;0,INDEX(DA$7:DA$106,$AF103),1),IF($AG103&gt;0,INDEX(DA$7:DA$106,$AG103),1),IF($AH103&gt;0,INDEX(DA$7:DA$106,$AH103),1),IF($AI103&gt;0,INDEX(DA$7:DA$106,$AI103),1),IF($AJ103&gt;0,INDEX(DA$7:DA$106,$AJ103),1))))</ns0:f>
        <ns0:v>1</ns0:v>
      </ns0:c>
      <ns0:c r="DC103" t="n">
        <ns0:f>IF($A103="",1,IF(DB103=1,1,--AND(IF($AC103&gt;0,INDEX(DB$7:DB$106,$AC103),1),IF($AD103&gt;0,INDEX(DB$7:DB$106,$AD103),1),IF($AE103&gt;0,INDEX(DB$7:DB$106,$AE103),1),IF($AF103&gt;0,INDEX(DB$7:DB$106,$AF103),1),IF($AG103&gt;0,INDEX(DB$7:DB$106,$AG103),1),IF($AH103&gt;0,INDEX(DB$7:DB$106,$AH103),1),IF($AI103&gt;0,INDEX(DB$7:DB$106,$AI103),1),IF($AJ103&gt;0,INDEX(DB$7:DB$106,$AJ103),1))))</ns0:f>
        <ns0:v>1</ns0:v>
      </ns0:c>
      <ns0:c r="DD103" t="n">
        <ns0:f>IF($A103="",1,IF(DC103=1,1,--AND(IF($AC103&gt;0,INDEX(DC$7:DC$106,$AC103),1),IF($AD103&gt;0,INDEX(DC$7:DC$106,$AD103),1),IF($AE103&gt;0,INDEX(DC$7:DC$106,$AE103),1),IF($AF103&gt;0,INDEX(DC$7:DC$106,$AF103),1),IF($AG103&gt;0,INDEX(DC$7:DC$106,$AG103),1),IF($AH103&gt;0,INDEX(DC$7:DC$106,$AH103),1),IF($AI103&gt;0,INDEX(DC$7:DC$106,$AI103),1),IF($AJ103&gt;0,INDEX(DC$7:DC$106,$AJ103),1))))</ns0:f>
        <ns0:v>1</ns0:v>
      </ns0:c>
      <ns0:c r="DE103" t="n">
        <ns0:f>IF($A103="",1,IF(DD103=1,1,--AND(IF($AC103&gt;0,INDEX(DD$7:DD$106,$AC103),1),IF($AD103&gt;0,INDEX(DD$7:DD$106,$AD103),1),IF($AE103&gt;0,INDEX(DD$7:DD$106,$AE103),1),IF($AF103&gt;0,INDEX(DD$7:DD$106,$AF103),1),IF($AG103&gt;0,INDEX(DD$7:DD$106,$AG103),1),IF($AH103&gt;0,INDEX(DD$7:DD$106,$AH103),1),IF($AI103&gt;0,INDEX(DD$7:DD$106,$AI103),1),IF($AJ103&gt;0,INDEX(DD$7:DD$106,$AJ103),1))))</ns0:f>
        <ns0:v>1</ns0:v>
      </ns0:c>
      <ns0:c r="DF103" t="n">
        <ns0:f>IF($A103="",1,IF(DE103=1,1,--AND(IF($AC103&gt;0,INDEX(DE$7:DE$106,$AC103),1),IF($AD103&gt;0,INDEX(DE$7:DE$106,$AD103),1),IF($AE103&gt;0,INDEX(DE$7:DE$106,$AE103),1),IF($AF103&gt;0,INDEX(DE$7:DE$106,$AF103),1),IF($AG103&gt;0,INDEX(DE$7:DE$106,$AG103),1),IF($AH103&gt;0,INDEX(DE$7:DE$106,$AH103),1),IF($AI103&gt;0,INDEX(DE$7:DE$106,$AI103),1),IF($AJ103&gt;0,INDEX(DE$7:DE$106,$AJ103),1))))</ns0:f>
        <ns0:v>1</ns0:v>
      </ns0:c>
      <ns0:c r="DG103" t="n">
        <ns0:f>IF($A103="",1,IF(DF103=1,1,--AND(IF($AC103&gt;0,INDEX(DF$7:DF$106,$AC103),1),IF($AD103&gt;0,INDEX(DF$7:DF$106,$AD103),1),IF($AE103&gt;0,INDEX(DF$7:DF$106,$AE103),1),IF($AF103&gt;0,INDEX(DF$7:DF$106,$AF103),1),IF($AG103&gt;0,INDEX(DF$7:DF$106,$AG103),1),IF($AH103&gt;0,INDEX(DF$7:DF$106,$AH103),1),IF($AI103&gt;0,INDEX(DF$7:DF$106,$AI103),1),IF($AJ103&gt;0,INDEX(DF$7:DF$106,$AJ103),1))))</ns0:f>
        <ns0:v>1</ns0:v>
      </ns0:c>
      <ns0:c r="DH103" t="n">
        <ns0:f>IF($A103="",1,IF(DG103=1,1,--AND(IF($AC103&gt;0,INDEX(DG$7:DG$106,$AC103),1),IF($AD103&gt;0,INDEX(DG$7:DG$106,$AD103),1),IF($AE103&gt;0,INDEX(DG$7:DG$106,$AE103),1),IF($AF103&gt;0,INDEX(DG$7:DG$106,$AF103),1),IF($AG103&gt;0,INDEX(DG$7:DG$106,$AG103),1),IF($AH103&gt;0,INDEX(DG$7:DG$106,$AH103),1),IF($AI103&gt;0,INDEX(DG$7:DG$106,$AI103),1),IF($AJ103&gt;0,INDEX(DG$7:DG$106,$AJ103),1))))</ns0:f>
        <ns0:v>1</ns0:v>
      </ns0:c>
      <ns0:c r="DI103" t="n">
        <ns0:f>IF($A103="",1,IF(DH103=1,1,--AND(IF($AC103&gt;0,INDEX(DH$7:DH$106,$AC103),1),IF($AD103&gt;0,INDEX(DH$7:DH$106,$AD103),1),IF($AE103&gt;0,INDEX(DH$7:DH$106,$AE103),1),IF($AF103&gt;0,INDEX(DH$7:DH$106,$AF103),1),IF($AG103&gt;0,INDEX(DH$7:DH$106,$AG103),1),IF($AH103&gt;0,INDEX(DH$7:DH$106,$AH103),1),IF($AI103&gt;0,INDEX(DH$7:DH$106,$AI103),1),IF($AJ103&gt;0,INDEX(DH$7:DH$106,$AJ103),1))))</ns0:f>
        <ns0:v>1</ns0:v>
      </ns0:c>
      <ns0:c r="DJ103" t="n">
        <ns0:f>IF($A103="",1,IF(DI103=1,1,--AND(IF($AC103&gt;0,INDEX(DI$7:DI$106,$AC103),1),IF($AD103&gt;0,INDEX(DI$7:DI$106,$AD103),1),IF($AE103&gt;0,INDEX(DI$7:DI$106,$AE103),1),IF($AF103&gt;0,INDEX(DI$7:DI$106,$AF103),1),IF($AG103&gt;0,INDEX(DI$7:DI$106,$AG103),1),IF($AH103&gt;0,INDEX(DI$7:DI$106,$AH103),1),IF($AI103&gt;0,INDEX(DI$7:DI$106,$AI103),1),IF($AJ103&gt;0,INDEX(DI$7:DI$106,$AJ103),1))))</ns0:f>
        <ns0:v>1</ns0:v>
      </ns0:c>
      <ns0:c r="DK103" t="n">
        <ns0:f>IF($A103="",1,IF(DJ103=1,1,--AND(IF($AC103&gt;0,INDEX(DJ$7:DJ$106,$AC103),1),IF($AD103&gt;0,INDEX(DJ$7:DJ$106,$AD103),1),IF($AE103&gt;0,INDEX(DJ$7:DJ$106,$AE103),1),IF($AF103&gt;0,INDEX(DJ$7:DJ$106,$AF103),1),IF($AG103&gt;0,INDEX(DJ$7:DJ$106,$AG103),1),IF($AH103&gt;0,INDEX(DJ$7:DJ$106,$AH103),1),IF($AI103&gt;0,INDEX(DJ$7:DJ$106,$AI103),1),IF($AJ103&gt;0,INDEX(DJ$7:DJ$106,$AJ103),1))))</ns0:f>
        <ns0:v>1</ns0:v>
      </ns0:c>
      <ns0:c r="DL103" t="n">
        <ns0:f>IF($A103="",1,IF(DK103=1,1,--AND(IF($AC103&gt;0,INDEX(DK$7:DK$106,$AC103),1),IF($AD103&gt;0,INDEX(DK$7:DK$106,$AD103),1),IF($AE103&gt;0,INDEX(DK$7:DK$106,$AE103),1),IF($AF103&gt;0,INDEX(DK$7:DK$106,$AF103),1),IF($AG103&gt;0,INDEX(DK$7:DK$106,$AG103),1),IF($AH103&gt;0,INDEX(DK$7:DK$106,$AH103),1),IF($AI103&gt;0,INDEX(DK$7:DK$106,$AI103),1),IF($AJ103&gt;0,INDEX(DK$7:DK$106,$AJ103),1))))</ns0:f>
        <ns0:v>1</ns0:v>
      </ns0:c>
      <ns0:c r="DM103" t="n">
        <ns0:f>IF($A103="",1,IF(DL103=1,1,--AND(IF($AC103&gt;0,INDEX(DL$7:DL$106,$AC103),1),IF($AD103&gt;0,INDEX(DL$7:DL$106,$AD103),1),IF($AE103&gt;0,INDEX(DL$7:DL$106,$AE103),1),IF($AF103&gt;0,INDEX(DL$7:DL$106,$AF103),1),IF($AG103&gt;0,INDEX(DL$7:DL$106,$AG103),1),IF($AH103&gt;0,INDEX(DL$7:DL$106,$AH103),1),IF($AI103&gt;0,INDEX(DL$7:DL$106,$AI103),1),IF($AJ103&gt;0,INDEX(DL$7:DL$106,$AJ103),1))))</ns0:f>
        <ns0:v>1</ns0:v>
      </ns0:c>
      <ns0:c r="DN103" t="n">
        <ns0:f>IF($A103="",1,IF(DM103=1,1,--AND(IF($AC103&gt;0,INDEX(DM$7:DM$106,$AC103),1),IF($AD103&gt;0,INDEX(DM$7:DM$106,$AD103),1),IF($AE103&gt;0,INDEX(DM$7:DM$106,$AE103),1),IF($AF103&gt;0,INDEX(DM$7:DM$106,$AF103),1),IF($AG103&gt;0,INDEX(DM$7:DM$106,$AG103),1),IF($AH103&gt;0,INDEX(DM$7:DM$106,$AH103),1),IF($AI103&gt;0,INDEX(DM$7:DM$106,$AI103),1),IF($AJ103&gt;0,INDEX(DM$7:DM$106,$AJ103),1))))</ns0:f>
        <ns0:v>1</ns0:v>
      </ns0:c>
      <ns0:c r="DO103" t="n">
        <ns0:f>IF($A103="",1,IF(DN103=1,1,--AND(IF($AC103&gt;0,INDEX(DN$7:DN$106,$AC103),1),IF($AD103&gt;0,INDEX(DN$7:DN$106,$AD103),1),IF($AE103&gt;0,INDEX(DN$7:DN$106,$AE103),1),IF($AF103&gt;0,INDEX(DN$7:DN$106,$AF103),1),IF($AG103&gt;0,INDEX(DN$7:DN$106,$AG103),1),IF($AH103&gt;0,INDEX(DN$7:DN$106,$AH103),1),IF($AI103&gt;0,INDEX(DN$7:DN$106,$AI103),1),IF($AJ103&gt;0,INDEX(DN$7:DN$106,$AJ103),1))))</ns0:f>
        <ns0:v>1</ns0:v>
      </ns0:c>
      <ns0:c r="DP103" t="n">
        <ns0:f>IF($A103="",1,IF(DO103=1,1,--AND(IF($AC103&gt;0,INDEX(DO$7:DO$106,$AC103),1),IF($AD103&gt;0,INDEX(DO$7:DO$106,$AD103),1),IF($AE103&gt;0,INDEX(DO$7:DO$106,$AE103),1),IF($AF103&gt;0,INDEX(DO$7:DO$106,$AF103),1),IF($AG103&gt;0,INDEX(DO$7:DO$106,$AG103),1),IF($AH103&gt;0,INDEX(DO$7:DO$106,$AH103),1),IF($AI103&gt;0,INDEX(DO$7:DO$106,$AI103),1),IF($AJ103&gt;0,INDEX(DO$7:DO$106,$AJ103),1))))</ns0:f>
        <ns0:v>1</ns0:v>
      </ns0:c>
      <ns0:c r="DQ103" t="n">
        <ns0:f>IF($A103="",1,IF(DP103=1,1,--AND(IF($AC103&gt;0,INDEX(DP$7:DP$106,$AC103),1),IF($AD103&gt;0,INDEX(DP$7:DP$106,$AD103),1),IF($AE103&gt;0,INDEX(DP$7:DP$106,$AE103),1),IF($AF103&gt;0,INDEX(DP$7:DP$106,$AF103),1),IF($AG103&gt;0,INDEX(DP$7:DP$106,$AG103),1),IF($AH103&gt;0,INDEX(DP$7:DP$106,$AH103),1),IF($AI103&gt;0,INDEX(DP$7:DP$106,$AI103),1),IF($AJ103&gt;0,INDEX(DP$7:DP$106,$AJ103),1))))</ns0:f>
        <ns0:v>1</ns0:v>
      </ns0:c>
      <ns0:c r="DR103" t="n">
        <ns0:f>IF($A103="",1,IF(DQ103=1,1,--AND(IF($AC103&gt;0,INDEX(DQ$7:DQ$106,$AC103),1),IF($AD103&gt;0,INDEX(DQ$7:DQ$106,$AD103),1),IF($AE103&gt;0,INDEX(DQ$7:DQ$106,$AE103),1),IF($AF103&gt;0,INDEX(DQ$7:DQ$106,$AF103),1),IF($AG103&gt;0,INDEX(DQ$7:DQ$106,$AG103),1),IF($AH103&gt;0,INDEX(DQ$7:DQ$106,$AH103),1),IF($AI103&gt;0,INDEX(DQ$7:DQ$106,$AI103),1),IF($AJ103&gt;0,INDEX(DQ$7:DQ$106,$AJ103),1))))</ns0:f>
        <ns0:v>1</ns0:v>
      </ns0:c>
      <ns0:c r="DS103" t="n">
        <ns0:f>IF($A103="",1,IF(DR103=1,1,--AND(IF($AC103&gt;0,INDEX(DR$7:DR$106,$AC103),1),IF($AD103&gt;0,INDEX(DR$7:DR$106,$AD103),1),IF($AE103&gt;0,INDEX(DR$7:DR$106,$AE103),1),IF($AF103&gt;0,INDEX(DR$7:DR$106,$AF103),1),IF($AG103&gt;0,INDEX(DR$7:DR$106,$AG103),1),IF($AH103&gt;0,INDEX(DR$7:DR$106,$AH103),1),IF($AI103&gt;0,INDEX(DR$7:DR$106,$AI103),1),IF($AJ103&gt;0,INDEX(DR$7:DR$106,$AJ103),1))))</ns0:f>
        <ns0:v>1</ns0:v>
      </ns0:c>
      <ns0:c r="DT103" t="n">
        <ns0:f>IF($A103="",1,IF(DS103=1,1,--AND(IF($AC103&gt;0,INDEX(DS$7:DS$106,$AC103),1),IF($AD103&gt;0,INDEX(DS$7:DS$106,$AD103),1),IF($AE103&gt;0,INDEX(DS$7:DS$106,$AE103),1),IF($AF103&gt;0,INDEX(DS$7:DS$106,$AF103),1),IF($AG103&gt;0,INDEX(DS$7:DS$106,$AG103),1),IF($AH103&gt;0,INDEX(DS$7:DS$106,$AH103),1),IF($AI103&gt;0,INDEX(DS$7:DS$106,$AI103),1),IF($AJ103&gt;0,INDEX(DS$7:DS$106,$AJ103),1))))</ns0:f>
        <ns0:v>1</ns0:v>
      </ns0:c>
      <ns0:c r="DU103" t="n">
        <ns0:f>IF($A103="",1,IF(DT103=1,1,--AND(IF($AC103&gt;0,INDEX(DT$7:DT$106,$AC103),1),IF($AD103&gt;0,INDEX(DT$7:DT$106,$AD103),1),IF($AE103&gt;0,INDEX(DT$7:DT$106,$AE103),1),IF($AF103&gt;0,INDEX(DT$7:DT$106,$AF103),1),IF($AG103&gt;0,INDEX(DT$7:DT$106,$AG103),1),IF($AH103&gt;0,INDEX(DT$7:DT$106,$AH103),1),IF($AI103&gt;0,INDEX(DT$7:DT$106,$AI103),1),IF($AJ103&gt;0,INDEX(DT$7:DT$106,$AJ103),1))))</ns0:f>
        <ns0:v>1</ns0:v>
      </ns0:c>
      <ns0:c r="DV103" t="n">
        <ns0:f>IF($A103="",1,IF(DU103=1,1,--AND(IF($AC103&gt;0,INDEX(DU$7:DU$106,$AC103),1),IF($AD103&gt;0,INDEX(DU$7:DU$106,$AD103),1),IF($AE103&gt;0,INDEX(DU$7:DU$106,$AE103),1),IF($AF103&gt;0,INDEX(DU$7:DU$106,$AF103),1),IF($AG103&gt;0,INDEX(DU$7:DU$106,$AG103),1),IF($AH103&gt;0,INDEX(DU$7:DU$106,$AH103),1),IF($AI103&gt;0,INDEX(DU$7:DU$106,$AI103),1),IF($AJ103&gt;0,INDEX(DU$7:DU$106,$AJ103),1))))</ns0:f>
        <ns0:v>1</ns0:v>
      </ns0:c>
      <ns0:c r="DW103" t="n">
        <ns0:f>IF($A103="",1,IF(DV103=1,1,--AND(IF($AC103&gt;0,INDEX(DV$7:DV$106,$AC103),1),IF($AD103&gt;0,INDEX(DV$7:DV$106,$AD103),1),IF($AE103&gt;0,INDEX(DV$7:DV$106,$AE103),1),IF($AF103&gt;0,INDEX(DV$7:DV$106,$AF103),1),IF($AG103&gt;0,INDEX(DV$7:DV$106,$AG103),1),IF($AH103&gt;0,INDEX(DV$7:DV$106,$AH103),1),IF($AI103&gt;0,INDEX(DV$7:DV$106,$AI103),1),IF($AJ103&gt;0,INDEX(DV$7:DV$106,$AJ103),1))))</ns0:f>
        <ns0:v>1</ns0:v>
      </ns0:c>
      <ns0:c r="DX103" t="n">
        <ns0:f>IF($A103="",1,IF(DW103=1,1,--AND(IF($AC103&gt;0,INDEX(DW$7:DW$106,$AC103),1),IF($AD103&gt;0,INDEX(DW$7:DW$106,$AD103),1),IF($AE103&gt;0,INDEX(DW$7:DW$106,$AE103),1),IF($AF103&gt;0,INDEX(DW$7:DW$106,$AF103),1),IF($AG103&gt;0,INDEX(DW$7:DW$106,$AG103),1),IF($AH103&gt;0,INDEX(DW$7:DW$106,$AH103),1),IF($AI103&gt;0,INDEX(DW$7:DW$106,$AI103),1),IF($AJ103&gt;0,INDEX(DW$7:DW$106,$AJ103),1))))</ns0:f>
        <ns0:v>1</ns0:v>
      </ns0:c>
      <ns0:c r="DY103" t="n">
        <ns0:f>IF($A103="",1,IF(DX103=1,1,--AND(IF($AC103&gt;0,INDEX(DX$7:DX$106,$AC103),1),IF($AD103&gt;0,INDEX(DX$7:DX$106,$AD103),1),IF($AE103&gt;0,INDEX(DX$7:DX$106,$AE103),1),IF($AF103&gt;0,INDEX(DX$7:DX$106,$AF103),1),IF($AG103&gt;0,INDEX(DX$7:DX$106,$AG103),1),IF($AH103&gt;0,INDEX(DX$7:DX$106,$AH103),1),IF($AI103&gt;0,INDEX(DX$7:DX$106,$AI103),1),IF($AJ103&gt;0,INDEX(DX$7:DX$106,$AJ103),1))))</ns0:f>
        <ns0:v>1</ns0:v>
      </ns0:c>
      <ns0:c r="DZ103" t="n">
        <ns0:f>IF($A103="",1,IF(DY103=1,1,--AND(IF($AC103&gt;0,INDEX(DY$7:DY$106,$AC103),1),IF($AD103&gt;0,INDEX(DY$7:DY$106,$AD103),1),IF($AE103&gt;0,INDEX(DY$7:DY$106,$AE103),1),IF($AF103&gt;0,INDEX(DY$7:DY$106,$AF103),1),IF($AG103&gt;0,INDEX(DY$7:DY$106,$AG103),1),IF($AH103&gt;0,INDEX(DY$7:DY$106,$AH103),1),IF($AI103&gt;0,INDEX(DY$7:DY$106,$AI103),1),IF($AJ103&gt;0,INDEX(DY$7:DY$106,$AJ103),1))))</ns0:f>
        <ns0:v>1</ns0:v>
      </ns0:c>
      <ns0:c r="EA103" t="n">
        <ns0:f>IF($A103="",1,IF(DZ103=1,1,--AND(IF($AC103&gt;0,INDEX(DZ$7:DZ$106,$AC103),1),IF($AD103&gt;0,INDEX(DZ$7:DZ$106,$AD103),1),IF($AE103&gt;0,INDEX(DZ$7:DZ$106,$AE103),1),IF($AF103&gt;0,INDEX(DZ$7:DZ$106,$AF103),1),IF($AG103&gt;0,INDEX(DZ$7:DZ$106,$AG103),1),IF($AH103&gt;0,INDEX(DZ$7:DZ$106,$AH103),1),IF($AI103&gt;0,INDEX(DZ$7:DZ$106,$AI103),1),IF($AJ103&gt;0,INDEX(DZ$7:DZ$106,$AJ103),1))))</ns0:f>
        <ns0:v>1</ns0:v>
      </ns0:c>
      <ns0:c r="EB103" t="n">
        <ns0:f>IF($A103="",1,IF(EA103=1,1,--AND(IF($AC103&gt;0,INDEX(EA$7:EA$106,$AC103),1),IF($AD103&gt;0,INDEX(EA$7:EA$106,$AD103),1),IF($AE103&gt;0,INDEX(EA$7:EA$106,$AE103),1),IF($AF103&gt;0,INDEX(EA$7:EA$106,$AF103),1),IF($AG103&gt;0,INDEX(EA$7:EA$106,$AG103),1),IF($AH103&gt;0,INDEX(EA$7:EA$106,$AH103),1),IF($AI103&gt;0,INDEX(EA$7:EA$106,$AI103),1),IF($AJ103&gt;0,INDEX(EA$7:EA$106,$AJ103),1))))</ns0:f>
        <ns0:v>1</ns0:v>
      </ns0:c>
      <ns0:c r="EC103" t="n">
        <ns0:f>IF($A103="",1,IF(EB103=1,1,--AND(IF($AC103&gt;0,INDEX(EB$7:EB$106,$AC103),1),IF($AD103&gt;0,INDEX(EB$7:EB$106,$AD103),1),IF($AE103&gt;0,INDEX(EB$7:EB$106,$AE103),1),IF($AF103&gt;0,INDEX(EB$7:EB$106,$AF103),1),IF($AG103&gt;0,INDEX(EB$7:EB$106,$AG103),1),IF($AH103&gt;0,INDEX(EB$7:EB$106,$AH103),1),IF($AI103&gt;0,INDEX(EB$7:EB$106,$AI103),1),IF($AJ103&gt;0,INDEX(EB$7:EB$106,$AJ103),1))))</ns0:f>
        <ns0:v>1</ns0:v>
      </ns0:c>
      <ns0:c r="ED103" t="n">
        <ns0:f>IF($A103="",1,IF(EC103=1,1,--AND(IF($AC103&gt;0,INDEX(EC$7:EC$106,$AC103),1),IF($AD103&gt;0,INDEX(EC$7:EC$106,$AD103),1),IF($AE103&gt;0,INDEX(EC$7:EC$106,$AE103),1),IF($AF103&gt;0,INDEX(EC$7:EC$106,$AF103),1),IF($AG103&gt;0,INDEX(EC$7:EC$106,$AG103),1),IF($AH103&gt;0,INDEX(EC$7:EC$106,$AH103),1),IF($AI103&gt;0,INDEX(EC$7:EC$106,$AI103),1),IF($AJ103&gt;0,INDEX(EC$7:EC$106,$AJ103),1))))</ns0:f>
        <ns0:v>1</ns0:v>
      </ns0:c>
      <ns0:c r="EE103" t="n">
        <ns0:f>IF($A103="",1,IF(ED103=1,1,--AND(IF($AC103&gt;0,INDEX(ED$7:ED$106,$AC103),1),IF($AD103&gt;0,INDEX(ED$7:ED$106,$AD103),1),IF($AE103&gt;0,INDEX(ED$7:ED$106,$AE103),1),IF($AF103&gt;0,INDEX(ED$7:ED$106,$AF103),1),IF($AG103&gt;0,INDEX(ED$7:ED$106,$AG103),1),IF($AH103&gt;0,INDEX(ED$7:ED$106,$AH103),1),IF($AI103&gt;0,INDEX(ED$7:ED$106,$AI103),1),IF($AJ103&gt;0,INDEX(ED$7:ED$106,$AJ103),1))))</ns0:f>
        <ns0:v>1</ns0:v>
      </ns0:c>
      <ns0:c r="EF103" t="n">
        <ns0:f>IF($A103="",1,IF(EE103=1,1,--AND(IF($AC103&gt;0,INDEX(EE$7:EE$106,$AC103),1),IF($AD103&gt;0,INDEX(EE$7:EE$106,$AD103),1),IF($AE103&gt;0,INDEX(EE$7:EE$106,$AE103),1),IF($AF103&gt;0,INDEX(EE$7:EE$106,$AF103),1),IF($AG103&gt;0,INDEX(EE$7:EE$106,$AG103),1),IF($AH103&gt;0,INDEX(EE$7:EE$106,$AH103),1),IF($AI103&gt;0,INDEX(EE$7:EE$106,$AI103),1),IF($AJ103&gt;0,INDEX(EE$7:EE$106,$AJ103),1))))</ns0:f>
        <ns0:v>1</ns0:v>
      </ns0:c>
      <ns0:c r="EG103" t="n">
        <ns0:f>IF($A103="",1,IF(EF103=1,1,--AND(IF($AC103&gt;0,INDEX(EF$7:EF$106,$AC103),1),IF($AD103&gt;0,INDEX(EF$7:EF$106,$AD103),1),IF($AE103&gt;0,INDEX(EF$7:EF$106,$AE103),1),IF($AF103&gt;0,INDEX(EF$7:EF$106,$AF103),1),IF($AG103&gt;0,INDEX(EF$7:EF$106,$AG103),1),IF($AH103&gt;0,INDEX(EF$7:EF$106,$AH103),1),IF($AI103&gt;0,INDEX(EF$7:EF$106,$AI103),1),IF($AJ103&gt;0,INDEX(EF$7:EF$106,$AJ103),1))))</ns0:f>
        <ns0:v>1</ns0:v>
      </ns0:c>
      <ns0:c r="EH103" t="n">
        <ns0:f>IF($A103="",1,IF(EG103=1,1,--AND(IF($AC103&gt;0,INDEX(EG$7:EG$106,$AC103),1),IF($AD103&gt;0,INDEX(EG$7:EG$106,$AD103),1),IF($AE103&gt;0,INDEX(EG$7:EG$106,$AE103),1),IF($AF103&gt;0,INDEX(EG$7:EG$106,$AF103),1),IF($AG103&gt;0,INDEX(EG$7:EG$106,$AG103),1),IF($AH103&gt;0,INDEX(EG$7:EG$106,$AH103),1),IF($AI103&gt;0,INDEX(EG$7:EG$106,$AI103),1),IF($AJ103&gt;0,INDEX(EG$7:EG$106,$AJ103),1))))</ns0:f>
        <ns0:v>1</ns0:v>
      </ns0:c>
      <ns0:c r="EI103" t="n">
        <ns0:f>IF($A103="",1,IF(EH103=1,1,--AND(IF($AC103&gt;0,INDEX(EH$7:EH$106,$AC103),1),IF($AD103&gt;0,INDEX(EH$7:EH$106,$AD103),1),IF($AE103&gt;0,INDEX(EH$7:EH$106,$AE103),1),IF($AF103&gt;0,INDEX(EH$7:EH$106,$AF103),1),IF($AG103&gt;0,INDEX(EH$7:EH$106,$AG103),1),IF($AH103&gt;0,INDEX(EH$7:EH$106,$AH103),1),IF($AI103&gt;0,INDEX(EH$7:EH$106,$AI103),1),IF($AJ103&gt;0,INDEX(EH$7:EH$106,$AJ103),1))))</ns0:f>
        <ns0:v>1</ns0:v>
      </ns0:c>
      <ns0:c r="EJ103" t="n">
        <ns0:f>IF($A103="",1,IF(EI103=1,1,--AND(IF($AC103&gt;0,INDEX(EI$7:EI$106,$AC103),1),IF($AD103&gt;0,INDEX(EI$7:EI$106,$AD103),1),IF($AE103&gt;0,INDEX(EI$7:EI$106,$AE103),1),IF($AF103&gt;0,INDEX(EI$7:EI$106,$AF103),1),IF($AG103&gt;0,INDEX(EI$7:EI$106,$AG103),1),IF($AH103&gt;0,INDEX(EI$7:EI$106,$AH103),1),IF($AI103&gt;0,INDEX(EI$7:EI$106,$AI103),1),IF($AJ103&gt;0,INDEX(EI$7:EI$106,$AJ103),1))))</ns0:f>
        <ns0:v>1</ns0:v>
      </ns0:c>
      <ns0:c r="EK103" t="n">
        <ns0:f>IF($A103="",1,IF(EJ103=1,1,--AND(IF($AC103&gt;0,INDEX(EJ$7:EJ$106,$AC103),1),IF($AD103&gt;0,INDEX(EJ$7:EJ$106,$AD103),1),IF($AE103&gt;0,INDEX(EJ$7:EJ$106,$AE103),1),IF($AF103&gt;0,INDEX(EJ$7:EJ$106,$AF103),1),IF($AG103&gt;0,INDEX(EJ$7:EJ$106,$AG103),1),IF($AH103&gt;0,INDEX(EJ$7:EJ$106,$AH103),1),IF($AI103&gt;0,INDEX(EJ$7:EJ$106,$AI103),1),IF($AJ103&gt;0,INDEX(EJ$7:EJ$106,$AJ103),1))))</ns0:f>
        <ns0:v>1</ns0:v>
      </ns0:c>
      <ns0:c r="EL103" t="n">
        <ns0:f>IF($A103="",1,IF(EK103=1,1,--AND(IF($AC103&gt;0,INDEX(EK$7:EK$106,$AC103),1),IF($AD103&gt;0,INDEX(EK$7:EK$106,$AD103),1),IF($AE103&gt;0,INDEX(EK$7:EK$106,$AE103),1),IF($AF103&gt;0,INDEX(EK$7:EK$106,$AF103),1),IF($AG103&gt;0,INDEX(EK$7:EK$106,$AG103),1),IF($AH103&gt;0,INDEX(EK$7:EK$106,$AH103),1),IF($AI103&gt;0,INDEX(EK$7:EK$106,$AI103),1),IF($AJ103&gt;0,INDEX(EK$7:EK$106,$AJ103),1))))</ns0:f>
        <ns0:v>1</ns0:v>
      </ns0:c>
      <ns0:c r="EM103" t="n">
        <ns0:f>IF($A103="",1,IF(EL103=1,1,--AND(IF($AC103&gt;0,INDEX(EL$7:EL$106,$AC103),1),IF($AD103&gt;0,INDEX(EL$7:EL$106,$AD103),1),IF($AE103&gt;0,INDEX(EL$7:EL$106,$AE103),1),IF($AF103&gt;0,INDEX(EL$7:EL$106,$AF103),1),IF($AG103&gt;0,INDEX(EL$7:EL$106,$AG103),1),IF($AH103&gt;0,INDEX(EL$7:EL$106,$AH103),1),IF($AI103&gt;0,INDEX(EL$7:EL$106,$AI103),1),IF($AJ103&gt;0,INDEX(EL$7:EL$106,$AJ103),1))))</ns0:f>
        <ns0:v>1</ns0:v>
      </ns0:c>
      <ns0:c r="EN103" t="n">
        <ns0:f>IF($A103="",1,IF(EM103=1,1,--AND(IF($AC103&gt;0,INDEX(EM$7:EM$106,$AC103),1),IF($AD103&gt;0,INDEX(EM$7:EM$106,$AD103),1),IF($AE103&gt;0,INDEX(EM$7:EM$106,$AE103),1),IF($AF103&gt;0,INDEX(EM$7:EM$106,$AF103),1),IF($AG103&gt;0,INDEX(EM$7:EM$106,$AG103),1),IF($AH103&gt;0,INDEX(EM$7:EM$106,$AH103),1),IF($AI103&gt;0,INDEX(EM$7:EM$106,$AI103),1),IF($AJ103&gt;0,INDEX(EM$7:EM$106,$AJ103),1))))</ns0:f>
        <ns0:v>1</ns0:v>
      </ns0:c>
      <ns0:c r="EO103" t="n">
        <ns0:f>IF($A103="",1,IF(EN103=1,1,--AND(IF($AC103&gt;0,INDEX(EN$7:EN$106,$AC103),1),IF($AD103&gt;0,INDEX(EN$7:EN$106,$AD103),1),IF($AE103&gt;0,INDEX(EN$7:EN$106,$AE103),1),IF($AF103&gt;0,INDEX(EN$7:EN$106,$AF103),1),IF($AG103&gt;0,INDEX(EN$7:EN$106,$AG103),1),IF($AH103&gt;0,INDEX(EN$7:EN$106,$AH103),1),IF($AI103&gt;0,INDEX(EN$7:EN$106,$AI103),1),IF($AJ103&gt;0,INDEX(EN$7:EN$106,$AJ103),1))))</ns0:f>
        <ns0:v>1</ns0:v>
      </ns0:c>
      <ns0:c r="EP103" t="n">
        <ns0:f>IF($A103="",1,IF(EO103=1,1,--AND(IF($AC103&gt;0,INDEX(EO$7:EO$106,$AC103),1),IF($AD103&gt;0,INDEX(EO$7:EO$106,$AD103),1),IF($AE103&gt;0,INDEX(EO$7:EO$106,$AE103),1),IF($AF103&gt;0,INDEX(EO$7:EO$106,$AF103),1),IF($AG103&gt;0,INDEX(EO$7:EO$106,$AG103),1),IF($AH103&gt;0,INDEX(EO$7:EO$106,$AH103),1),IF($AI103&gt;0,INDEX(EO$7:EO$106,$AI103),1),IF($AJ103&gt;0,INDEX(EO$7:EO$106,$AJ103),1))))</ns0:f>
        <ns0:v>1</ns0:v>
      </ns0:c>
      <ns0:c r="EQ103" t="n">
        <ns0:f>IF(OR(A103="",NOT(ISNUMBER(G103))),0,G103*N103)</ns0:f>
        <ns0:v>0</ns0:v>
      </ns0:c>
    </ns0:row>
    <ns0:row r="104" ht="62" customHeight="1">
      <ns0:c r="A104" s="48"/>
      <ns0:c r="B104" s="48"/>
      <ns0:c r="C104" s="48"/>
      <ns0:c r="D104" s="48"/>
      <ns0:c r="E104" s="49"/>
      <ns0:c r="F104" s="49"/>
      <ns0:c r="G104" s="13" t="str">
        <ns0:f>IF(A104="","",IF(OR(NOT(ISNUMBER(E104)),NOT(ISNUMBER(F104)),F104&lt;E104),"",IF(J104="Yes",0,F104-E104+1)))</ns0:f>
      </ns0:c>
      <ns0:c r="H104" s="48"/>
      <ns0:c r="I104" s="48"/>
      <ns0:c r="J104" s="48"/>
      <ns0:c r="K104" s="48"/>
      <ns0:c r="L104" s="48"/>
      <ns0:c r="M104" s="50" t="str">
        <ns0:f>IF(A104="","",IF(N104=1,"Completed",IF(N104&gt;0,"In Progress","Not Started")))</ns0:f>
      </ns0:c>
      <ns0:c r="N104" s="51"/>
      <ns0:c r="O104" s="13" t="str">
        <ns0:f>IF(A104="","",IF(R104&lt;&gt;"","[CONFLICT] "&amp;R104,IF(S104&lt;&gt;"","[CONFLICT] "&amp;S104,IF(OR(NOT(ISNUMBER(N104)),N104&lt;0,N104&gt;1),"[CONFLICT] Invalid progress",IF(AK104&gt;0,"[DEPENDENCY ISSUE] Missing ID / &gt;8 links",IF(AM104&gt;0,"[DEPENDENCY ISSUE] Cycle or blocked by cycle",IF(AND(H104&lt;&gt;"",ISNA(MATCH(I104,{"FS","SS","FF","SF"},0))),"[DEPENDENCY ISSUE] Invalid type",IF(AL104&gt;0,"[DEPENDENCY ISSUE] Timing conflict",IF(OR(E104&lt;ProjectStart,F104&gt;ProjectEnd),"[OUTSIDE WINDOW]",IF(AND(N104&lt;1,F104&lt;AsOfDate),"Overdue",IF(AND(M104&lt;&gt;Q104,M104&lt;&gt;""),"[CONFLICT] Status / progress","On track")))))))))))</ns0:f>
      </ns0:c>
      <ns0:c r="P104" s="52"/>
      <ns0:c r="Q104" t="str">
        <ns0:f>IF(A104="","",IF(OR(M104="On Hold",M104="Delayed"),M104,IF(N104=1,"Completed",IF(N104&gt;0,"In Progress","Not Started"))))</ns0:f>
      </ns0:c>
      <ns0:c r="R104" t="str">
        <ns0:f>IF(A104="","",IF(COUNTIFS(Tasks[Task ID],A104)&lt;&gt;1,"Duplicate ID",""))</ns0:f>
      </ns0:c>
      <ns0:c r="S104" t="str">
        <ns0:f>IF(A104="","",IF(OR(NOT(ISNUMBER(E104)),NOT(ISNUMBER(F104))),"Invalid / missing date",IF(OR(E104&lt;&gt;INT(E104),F104&lt;&gt;INT(F104),E104&lt;1,F104&gt;2958465),"Invalid date",IF(F104&lt;E104,"End before start",IF(AND(J104="Yes",E104&lt;&gt;F104),"Milestone needs one date","")))))</ns0:f>
      </ns0:c>
      <ns0:c r="T104" t="n">
        <ns0:f>IF(H104="",0,LEN(H104)-LEN(SUBSTITUTE(H104,",",""))+1)</ns0:f>
        <ns0:v>0</ns0:v>
      </ns0:c>
      <ns0:c r="U104" t="str">
        <ns0:f>TRIM(MID(SUBSTITUTE($H104,",",REPT(" ",100)),1,100))</ns0:f>
      </ns0:c>
      <ns0:c r="V104" t="str">
        <ns0:f>TRIM(MID(SUBSTITUTE($H104,",",REPT(" ",100)),101,100))</ns0:f>
      </ns0:c>
      <ns0:c r="W104" t="str">
        <ns0:f>TRIM(MID(SUBSTITUTE($H104,",",REPT(" ",100)),201,100))</ns0:f>
      </ns0:c>
      <ns0:c r="X104" t="str">
        <ns0:f>TRIM(MID(SUBSTITUTE($H104,",",REPT(" ",100)),301,100))</ns0:f>
      </ns0:c>
      <ns0:c r="Y104" t="str">
        <ns0:f>TRIM(MID(SUBSTITUTE($H104,",",REPT(" ",100)),401,100))</ns0:f>
      </ns0:c>
      <ns0:c r="Z104" t="str">
        <ns0:f>TRIM(MID(SUBSTITUTE($H104,",",REPT(" ",100)),501,100))</ns0:f>
      </ns0:c>
      <ns0:c r="AA104" t="str">
        <ns0:f>TRIM(MID(SUBSTITUTE($H104,",",REPT(" ",100)),601,100))</ns0:f>
      </ns0:c>
      <ns0:c r="AB104" t="str">
        <ns0:f>TRIM(MID(SUBSTITUTE($H104,",",REPT(" ",100)),701,100))</ns0:f>
      </ns0:c>
      <ns0:c r="AC104" t="n">
        <ns0:f>IF(U104="",0,IF(COUNTIFS(Tasks[Task ID],U104)=1,MATCH(U104,Tasks[Task ID],0),-1))</ns0:f>
        <ns0:v>0</ns0:v>
      </ns0:c>
      <ns0:c r="AD104" t="n">
        <ns0:f>IF(V104="",0,IF(COUNTIFS(Tasks[Task ID],V104)=1,MATCH(V104,Tasks[Task ID],0),-1))</ns0:f>
        <ns0:v>0</ns0:v>
      </ns0:c>
      <ns0:c r="AE104" t="n">
        <ns0:f>IF(W104="",0,IF(COUNTIFS(Tasks[Task ID],W104)=1,MATCH(W104,Tasks[Task ID],0),-1))</ns0:f>
        <ns0:v>0</ns0:v>
      </ns0:c>
      <ns0:c r="AF104" t="n">
        <ns0:f>IF(X104="",0,IF(COUNTIFS(Tasks[Task ID],X104)=1,MATCH(X104,Tasks[Task ID],0),-1))</ns0:f>
        <ns0:v>0</ns0:v>
      </ns0:c>
      <ns0:c r="AG104" t="n">
        <ns0:f>IF(Y104="",0,IF(COUNTIFS(Tasks[Task ID],Y104)=1,MATCH(Y104,Tasks[Task ID],0),-1))</ns0:f>
        <ns0:v>0</ns0:v>
      </ns0:c>
      <ns0:c r="AH104" t="n">
        <ns0:f>IF(Z104="",0,IF(COUNTIFS(Tasks[Task ID],Z104)=1,MATCH(Z104,Tasks[Task ID],0),-1))</ns0:f>
        <ns0:v>0</ns0:v>
      </ns0:c>
      <ns0:c r="AI104" t="n">
        <ns0:f>IF(AA104="",0,IF(COUNTIFS(Tasks[Task ID],AA104)=1,MATCH(AA104,Tasks[Task ID],0),-1))</ns0:f>
        <ns0:v>0</ns0:v>
      </ns0:c>
      <ns0:c r="AJ104" t="n">
        <ns0:f>IF(AB104="",0,IF(COUNTIFS(Tasks[Task ID],AB104)=1,MATCH(AB104,Tasks[Task ID],0),-1))</ns0:f>
        <ns0:v>0</ns0:v>
      </ns0:c>
      <ns0:c r="AK104" t="n">
        <ns0:f>COUNTIFS(AC104:AJ104,-1)+IF(T104&gt;8,1,0)</ns0:f>
        <ns0:v>0</ns0:v>
      </ns0:c>
      <ns0:c r="AL104" t="n">
        <ns0:f>IF(OR(A104="",S104&lt;&gt;""),0,SUM(IF(AC104&gt;0,IF($I104="FS",--($E104&lt;INDEX(Tasks[End Date],AC104)+IF(INDEX(Tasks[Milestone],AC104)="Yes",0,1)),IF($I104="SS",--($E104&lt;INDEX(Tasks[Start Date],AC104)),IF($I104="FF",--($F104&lt;INDEX(Tasks[End Date],AC104)),IF($I104="SF",--($F104&lt;INDEX(Tasks[Start Date],AC104)),0)))),0),IF(AD104&gt;0,IF($I104="FS",--($E104&lt;INDEX(Tasks[End Date],AD104)+IF(INDEX(Tasks[Milestone],AD104)="Yes",0,1)),IF($I104="SS",--($E104&lt;INDEX(Tasks[Start Date],AD104)),IF($I104="FF",--($F104&lt;INDEX(Tasks[End Date],AD104)),IF($I104="SF",--($F104&lt;INDEX(Tasks[Start Date],AD104)),0)))),0),IF(AE104&gt;0,IF($I104="FS",--($E104&lt;INDEX(Tasks[End Date],AE104)+IF(INDEX(Tasks[Milestone],AE104)="Yes",0,1)),IF($I104="SS",--($E104&lt;INDEX(Tasks[Start Date],AE104)),IF($I104="FF",--($F104&lt;INDEX(Tasks[End Date],AE104)),IF($I104="SF",--($F104&lt;INDEX(Tasks[Start Date],AE104)),0)))),0),IF(AF104&gt;0,IF($I104="FS",--($E104&lt;INDEX(Tasks[End Date],AF104)+IF(INDEX(Tasks[Milestone],AF104)="Yes",0,1)),IF($I104="SS",--($E104&lt;INDEX(Tasks[Start Date],AF104)),IF($I104="FF",--($F104&lt;INDEX(Tasks[End Date],AF104)),IF($I104="SF",--($F104&lt;INDEX(Tasks[Start Date],AF104)),0)))),0),IF(AG104&gt;0,IF($I104="FS",--($E104&lt;INDEX(Tasks[End Date],AG104)+IF(INDEX(Tasks[Milestone],AG104)="Yes",0,1)),IF($I104="SS",--($E104&lt;INDEX(Tasks[Start Date],AG104)),IF($I104="FF",--($F104&lt;INDEX(Tasks[End Date],AG104)),IF($I104="SF",--($F104&lt;INDEX(Tasks[Start Date],AG104)),0)))),0),IF(AH104&gt;0,IF($I104="FS",--($E104&lt;INDEX(Tasks[End Date],AH104)+IF(INDEX(Tasks[Milestone],AH104)="Yes",0,1)),IF($I104="SS",--($E104&lt;INDEX(Tasks[Start Date],AH104)),IF($I104="FF",--($F104&lt;INDEX(Tasks[End Date],AH104)),IF($I104="SF",--($F104&lt;INDEX(Tasks[Start Date],AH104)),0)))),0),IF(AI104&gt;0,IF($I104="FS",--($E104&lt;INDEX(Tasks[End Date],AI104)+IF(INDEX(Tasks[Milestone],AI104)="Yes",0,1)),IF($I104="SS",--($E104&lt;INDEX(Tasks[Start Date],AI104)),IF($I104="FF",--($F104&lt;INDEX(Tasks[End Date],AI104)),IF($I104="SF",--($F104&lt;INDEX(Tasks[Start Date],AI104)),0)))),0),IF(AJ104&gt;0,IF($I104="FS",--($E104&lt;INDEX(Tasks[End Date],AJ104)+IF(INDEX(Tasks[Milestone],AJ104)="Yes",0,1)),IF($I104="SS",--($E104&lt;INDEX(Tasks[Start Date],AJ104)),IF($I104="FF",--($F104&lt;INDEX(Tasks[End Date],AJ104)),IF($I104="SF",--($F104&lt;INDEX(Tasks[Start Date],AJ104)),0)))),0)))</ns0:f>
        <ns0:v>0</ns0:v>
      </ns0:c>
      <ns0:c r="AM104" t="n">
        <ns0:f>IF(AND(A104&lt;&gt;"",AK104=0,EP104=0),1,0)</ns0:f>
        <ns0:v>0</ns0:v>
      </ns0:c>
      <ns0:c r="AN104" t="str">
        <ns0:f>IF(OR(A104="",B104=""),"",IF(COUNTIFS($B$7:B104,B104)=1,MAX($AN$6:AN103)+1,""))</ns0:f>
      </ns0:c>
      <ns0:c r="AO104" t="n">
        <ns0:f>IF(AND(A104&lt;&gt;"",J104="No",N104&lt;1,E104&gt;=AsOfDate),E104+ROW()/10000,1E+9)</ns0:f>
        <ns0:v>1000000000</ns0:v>
      </ns0:c>
      <ns0:c r="AP104" t="n">
        <ns0:f>IF(AND(A104&lt;&gt;"",J104="Yes",N104&lt;1,E104&gt;=AsOfDate),E104+ROW()/10000,1E+9)</ns0:f>
        <ns0:v>1000000000</ns0:v>
      </ns0:c>
      <ns0:c r="AQ104" t="n">
        <ns0:f>IF(AND(A104&lt;&gt;"",J104="No",N104&lt;1,F104&gt;=AsOfDate,F104&lt;=AsOfDate+7),F104+ROW()/10000,1E+9)</ns0:f>
        <ns0:v>1000000000</ns0:v>
      </ns0:c>
      <ns0:c r="AR104" t="n">
        <ns0:f>IF(AND(A104&lt;&gt;"",OR(O104&lt;&gt;"On track",Q104="Delayed")),ROW(),1E+9)</ns0:f>
        <ns0:v>1000000000</ns0:v>
      </ns0:c>
      <ns0:c r="AS104" t="str">
        <ns0:f>IF(A104="","",";"&amp;K104&amp;";")</ns0:f>
      </ns0:c>
      <ns0:c r="AT104" t="n">
        <ns0:f>IF(A104="",1,--(T104=0))</ns0:f>
        <ns0:v>1</ns0:v>
      </ns0:c>
      <ns0:c r="AU104" t="n">
        <ns0:f>IF($A104="",1,IF(AT104=1,1,--AND(IF($AC104&gt;0,INDEX(AT$7:AT$106,$AC104),1),IF($AD104&gt;0,INDEX(AT$7:AT$106,$AD104),1),IF($AE104&gt;0,INDEX(AT$7:AT$106,$AE104),1),IF($AF104&gt;0,INDEX(AT$7:AT$106,$AF104),1),IF($AG104&gt;0,INDEX(AT$7:AT$106,$AG104),1),IF($AH104&gt;0,INDEX(AT$7:AT$106,$AH104),1),IF($AI104&gt;0,INDEX(AT$7:AT$106,$AI104),1),IF($AJ104&gt;0,INDEX(AT$7:AT$106,$AJ104),1))))</ns0:f>
        <ns0:v>1</ns0:v>
      </ns0:c>
      <ns0:c r="AV104" t="n">
        <ns0:f>IF($A104="",1,IF(AU104=1,1,--AND(IF($AC104&gt;0,INDEX(AU$7:AU$106,$AC104),1),IF($AD104&gt;0,INDEX(AU$7:AU$106,$AD104),1),IF($AE104&gt;0,INDEX(AU$7:AU$106,$AE104),1),IF($AF104&gt;0,INDEX(AU$7:AU$106,$AF104),1),IF($AG104&gt;0,INDEX(AU$7:AU$106,$AG104),1),IF($AH104&gt;0,INDEX(AU$7:AU$106,$AH104),1),IF($AI104&gt;0,INDEX(AU$7:AU$106,$AI104),1),IF($AJ104&gt;0,INDEX(AU$7:AU$106,$AJ104),1))))</ns0:f>
        <ns0:v>1</ns0:v>
      </ns0:c>
      <ns0:c r="AW104" t="n">
        <ns0:f>IF($A104="",1,IF(AV104=1,1,--AND(IF($AC104&gt;0,INDEX(AV$7:AV$106,$AC104),1),IF($AD104&gt;0,INDEX(AV$7:AV$106,$AD104),1),IF($AE104&gt;0,INDEX(AV$7:AV$106,$AE104),1),IF($AF104&gt;0,INDEX(AV$7:AV$106,$AF104),1),IF($AG104&gt;0,INDEX(AV$7:AV$106,$AG104),1),IF($AH104&gt;0,INDEX(AV$7:AV$106,$AH104),1),IF($AI104&gt;0,INDEX(AV$7:AV$106,$AI104),1),IF($AJ104&gt;0,INDEX(AV$7:AV$106,$AJ104),1))))</ns0:f>
        <ns0:v>1</ns0:v>
      </ns0:c>
      <ns0:c r="AX104" t="n">
        <ns0:f>IF($A104="",1,IF(AW104=1,1,--AND(IF($AC104&gt;0,INDEX(AW$7:AW$106,$AC104),1),IF($AD104&gt;0,INDEX(AW$7:AW$106,$AD104),1),IF($AE104&gt;0,INDEX(AW$7:AW$106,$AE104),1),IF($AF104&gt;0,INDEX(AW$7:AW$106,$AF104),1),IF($AG104&gt;0,INDEX(AW$7:AW$106,$AG104),1),IF($AH104&gt;0,INDEX(AW$7:AW$106,$AH104),1),IF($AI104&gt;0,INDEX(AW$7:AW$106,$AI104),1),IF($AJ104&gt;0,INDEX(AW$7:AW$106,$AJ104),1))))</ns0:f>
        <ns0:v>1</ns0:v>
      </ns0:c>
      <ns0:c r="AY104" t="n">
        <ns0:f>IF($A104="",1,IF(AX104=1,1,--AND(IF($AC104&gt;0,INDEX(AX$7:AX$106,$AC104),1),IF($AD104&gt;0,INDEX(AX$7:AX$106,$AD104),1),IF($AE104&gt;0,INDEX(AX$7:AX$106,$AE104),1),IF($AF104&gt;0,INDEX(AX$7:AX$106,$AF104),1),IF($AG104&gt;0,INDEX(AX$7:AX$106,$AG104),1),IF($AH104&gt;0,INDEX(AX$7:AX$106,$AH104),1),IF($AI104&gt;0,INDEX(AX$7:AX$106,$AI104),1),IF($AJ104&gt;0,INDEX(AX$7:AX$106,$AJ104),1))))</ns0:f>
        <ns0:v>1</ns0:v>
      </ns0:c>
      <ns0:c r="AZ104" t="n">
        <ns0:f>IF($A104="",1,IF(AY104=1,1,--AND(IF($AC104&gt;0,INDEX(AY$7:AY$106,$AC104),1),IF($AD104&gt;0,INDEX(AY$7:AY$106,$AD104),1),IF($AE104&gt;0,INDEX(AY$7:AY$106,$AE104),1),IF($AF104&gt;0,INDEX(AY$7:AY$106,$AF104),1),IF($AG104&gt;0,INDEX(AY$7:AY$106,$AG104),1),IF($AH104&gt;0,INDEX(AY$7:AY$106,$AH104),1),IF($AI104&gt;0,INDEX(AY$7:AY$106,$AI104),1),IF($AJ104&gt;0,INDEX(AY$7:AY$106,$AJ104),1))))</ns0:f>
        <ns0:v>1</ns0:v>
      </ns0:c>
      <ns0:c r="BA104" t="n">
        <ns0:f>IF($A104="",1,IF(AZ104=1,1,--AND(IF($AC104&gt;0,INDEX(AZ$7:AZ$106,$AC104),1),IF($AD104&gt;0,INDEX(AZ$7:AZ$106,$AD104),1),IF($AE104&gt;0,INDEX(AZ$7:AZ$106,$AE104),1),IF($AF104&gt;0,INDEX(AZ$7:AZ$106,$AF104),1),IF($AG104&gt;0,INDEX(AZ$7:AZ$106,$AG104),1),IF($AH104&gt;0,INDEX(AZ$7:AZ$106,$AH104),1),IF($AI104&gt;0,INDEX(AZ$7:AZ$106,$AI104),1),IF($AJ104&gt;0,INDEX(AZ$7:AZ$106,$AJ104),1))))</ns0:f>
        <ns0:v>1</ns0:v>
      </ns0:c>
      <ns0:c r="BB104" t="n">
        <ns0:f>IF($A104="",1,IF(BA104=1,1,--AND(IF($AC104&gt;0,INDEX(BA$7:BA$106,$AC104),1),IF($AD104&gt;0,INDEX(BA$7:BA$106,$AD104),1),IF($AE104&gt;0,INDEX(BA$7:BA$106,$AE104),1),IF($AF104&gt;0,INDEX(BA$7:BA$106,$AF104),1),IF($AG104&gt;0,INDEX(BA$7:BA$106,$AG104),1),IF($AH104&gt;0,INDEX(BA$7:BA$106,$AH104),1),IF($AI104&gt;0,INDEX(BA$7:BA$106,$AI104),1),IF($AJ104&gt;0,INDEX(BA$7:BA$106,$AJ104),1))))</ns0:f>
        <ns0:v>1</ns0:v>
      </ns0:c>
      <ns0:c r="BC104" t="n">
        <ns0:f>IF($A104="",1,IF(BB104=1,1,--AND(IF($AC104&gt;0,INDEX(BB$7:BB$106,$AC104),1),IF($AD104&gt;0,INDEX(BB$7:BB$106,$AD104),1),IF($AE104&gt;0,INDEX(BB$7:BB$106,$AE104),1),IF($AF104&gt;0,INDEX(BB$7:BB$106,$AF104),1),IF($AG104&gt;0,INDEX(BB$7:BB$106,$AG104),1),IF($AH104&gt;0,INDEX(BB$7:BB$106,$AH104),1),IF($AI104&gt;0,INDEX(BB$7:BB$106,$AI104),1),IF($AJ104&gt;0,INDEX(BB$7:BB$106,$AJ104),1))))</ns0:f>
        <ns0:v>1</ns0:v>
      </ns0:c>
      <ns0:c r="BD104" t="n">
        <ns0:f>IF($A104="",1,IF(BC104=1,1,--AND(IF($AC104&gt;0,INDEX(BC$7:BC$106,$AC104),1),IF($AD104&gt;0,INDEX(BC$7:BC$106,$AD104),1),IF($AE104&gt;0,INDEX(BC$7:BC$106,$AE104),1),IF($AF104&gt;0,INDEX(BC$7:BC$106,$AF104),1),IF($AG104&gt;0,INDEX(BC$7:BC$106,$AG104),1),IF($AH104&gt;0,INDEX(BC$7:BC$106,$AH104),1),IF($AI104&gt;0,INDEX(BC$7:BC$106,$AI104),1),IF($AJ104&gt;0,INDEX(BC$7:BC$106,$AJ104),1))))</ns0:f>
        <ns0:v>1</ns0:v>
      </ns0:c>
      <ns0:c r="BE104" t="n">
        <ns0:f>IF($A104="",1,IF(BD104=1,1,--AND(IF($AC104&gt;0,INDEX(BD$7:BD$106,$AC104),1),IF($AD104&gt;0,INDEX(BD$7:BD$106,$AD104),1),IF($AE104&gt;0,INDEX(BD$7:BD$106,$AE104),1),IF($AF104&gt;0,INDEX(BD$7:BD$106,$AF104),1),IF($AG104&gt;0,INDEX(BD$7:BD$106,$AG104),1),IF($AH104&gt;0,INDEX(BD$7:BD$106,$AH104),1),IF($AI104&gt;0,INDEX(BD$7:BD$106,$AI104),1),IF($AJ104&gt;0,INDEX(BD$7:BD$106,$AJ104),1))))</ns0:f>
        <ns0:v>1</ns0:v>
      </ns0:c>
      <ns0:c r="BF104" t="n">
        <ns0:f>IF($A104="",1,IF(BE104=1,1,--AND(IF($AC104&gt;0,INDEX(BE$7:BE$106,$AC104),1),IF($AD104&gt;0,INDEX(BE$7:BE$106,$AD104),1),IF($AE104&gt;0,INDEX(BE$7:BE$106,$AE104),1),IF($AF104&gt;0,INDEX(BE$7:BE$106,$AF104),1),IF($AG104&gt;0,INDEX(BE$7:BE$106,$AG104),1),IF($AH104&gt;0,INDEX(BE$7:BE$106,$AH104),1),IF($AI104&gt;0,INDEX(BE$7:BE$106,$AI104),1),IF($AJ104&gt;0,INDEX(BE$7:BE$106,$AJ104),1))))</ns0:f>
        <ns0:v>1</ns0:v>
      </ns0:c>
      <ns0:c r="BG104" t="n">
        <ns0:f>IF($A104="",1,IF(BF104=1,1,--AND(IF($AC104&gt;0,INDEX(BF$7:BF$106,$AC104),1),IF($AD104&gt;0,INDEX(BF$7:BF$106,$AD104),1),IF($AE104&gt;0,INDEX(BF$7:BF$106,$AE104),1),IF($AF104&gt;0,INDEX(BF$7:BF$106,$AF104),1),IF($AG104&gt;0,INDEX(BF$7:BF$106,$AG104),1),IF($AH104&gt;0,INDEX(BF$7:BF$106,$AH104),1),IF($AI104&gt;0,INDEX(BF$7:BF$106,$AI104),1),IF($AJ104&gt;0,INDEX(BF$7:BF$106,$AJ104),1))))</ns0:f>
        <ns0:v>1</ns0:v>
      </ns0:c>
      <ns0:c r="BH104" t="n">
        <ns0:f>IF($A104="",1,IF(BG104=1,1,--AND(IF($AC104&gt;0,INDEX(BG$7:BG$106,$AC104),1),IF($AD104&gt;0,INDEX(BG$7:BG$106,$AD104),1),IF($AE104&gt;0,INDEX(BG$7:BG$106,$AE104),1),IF($AF104&gt;0,INDEX(BG$7:BG$106,$AF104),1),IF($AG104&gt;0,INDEX(BG$7:BG$106,$AG104),1),IF($AH104&gt;0,INDEX(BG$7:BG$106,$AH104),1),IF($AI104&gt;0,INDEX(BG$7:BG$106,$AI104),1),IF($AJ104&gt;0,INDEX(BG$7:BG$106,$AJ104),1))))</ns0:f>
        <ns0:v>1</ns0:v>
      </ns0:c>
      <ns0:c r="BI104" t="n">
        <ns0:f>IF($A104="",1,IF(BH104=1,1,--AND(IF($AC104&gt;0,INDEX(BH$7:BH$106,$AC104),1),IF($AD104&gt;0,INDEX(BH$7:BH$106,$AD104),1),IF($AE104&gt;0,INDEX(BH$7:BH$106,$AE104),1),IF($AF104&gt;0,INDEX(BH$7:BH$106,$AF104),1),IF($AG104&gt;0,INDEX(BH$7:BH$106,$AG104),1),IF($AH104&gt;0,INDEX(BH$7:BH$106,$AH104),1),IF($AI104&gt;0,INDEX(BH$7:BH$106,$AI104),1),IF($AJ104&gt;0,INDEX(BH$7:BH$106,$AJ104),1))))</ns0:f>
        <ns0:v>1</ns0:v>
      </ns0:c>
      <ns0:c r="BJ104" t="n">
        <ns0:f>IF($A104="",1,IF(BI104=1,1,--AND(IF($AC104&gt;0,INDEX(BI$7:BI$106,$AC104),1),IF($AD104&gt;0,INDEX(BI$7:BI$106,$AD104),1),IF($AE104&gt;0,INDEX(BI$7:BI$106,$AE104),1),IF($AF104&gt;0,INDEX(BI$7:BI$106,$AF104),1),IF($AG104&gt;0,INDEX(BI$7:BI$106,$AG104),1),IF($AH104&gt;0,INDEX(BI$7:BI$106,$AH104),1),IF($AI104&gt;0,INDEX(BI$7:BI$106,$AI104),1),IF($AJ104&gt;0,INDEX(BI$7:BI$106,$AJ104),1))))</ns0:f>
        <ns0:v>1</ns0:v>
      </ns0:c>
      <ns0:c r="BK104" t="n">
        <ns0:f>IF($A104="",1,IF(BJ104=1,1,--AND(IF($AC104&gt;0,INDEX(BJ$7:BJ$106,$AC104),1),IF($AD104&gt;0,INDEX(BJ$7:BJ$106,$AD104),1),IF($AE104&gt;0,INDEX(BJ$7:BJ$106,$AE104),1),IF($AF104&gt;0,INDEX(BJ$7:BJ$106,$AF104),1),IF($AG104&gt;0,INDEX(BJ$7:BJ$106,$AG104),1),IF($AH104&gt;0,INDEX(BJ$7:BJ$106,$AH104),1),IF($AI104&gt;0,INDEX(BJ$7:BJ$106,$AI104),1),IF($AJ104&gt;0,INDEX(BJ$7:BJ$106,$AJ104),1))))</ns0:f>
        <ns0:v>1</ns0:v>
      </ns0:c>
      <ns0:c r="BL104" t="n">
        <ns0:f>IF($A104="",1,IF(BK104=1,1,--AND(IF($AC104&gt;0,INDEX(BK$7:BK$106,$AC104),1),IF($AD104&gt;0,INDEX(BK$7:BK$106,$AD104),1),IF($AE104&gt;0,INDEX(BK$7:BK$106,$AE104),1),IF($AF104&gt;0,INDEX(BK$7:BK$106,$AF104),1),IF($AG104&gt;0,INDEX(BK$7:BK$106,$AG104),1),IF($AH104&gt;0,INDEX(BK$7:BK$106,$AH104),1),IF($AI104&gt;0,INDEX(BK$7:BK$106,$AI104),1),IF($AJ104&gt;0,INDEX(BK$7:BK$106,$AJ104),1))))</ns0:f>
        <ns0:v>1</ns0:v>
      </ns0:c>
      <ns0:c r="BM104" t="n">
        <ns0:f>IF($A104="",1,IF(BL104=1,1,--AND(IF($AC104&gt;0,INDEX(BL$7:BL$106,$AC104),1),IF($AD104&gt;0,INDEX(BL$7:BL$106,$AD104),1),IF($AE104&gt;0,INDEX(BL$7:BL$106,$AE104),1),IF($AF104&gt;0,INDEX(BL$7:BL$106,$AF104),1),IF($AG104&gt;0,INDEX(BL$7:BL$106,$AG104),1),IF($AH104&gt;0,INDEX(BL$7:BL$106,$AH104),1),IF($AI104&gt;0,INDEX(BL$7:BL$106,$AI104),1),IF($AJ104&gt;0,INDEX(BL$7:BL$106,$AJ104),1))))</ns0:f>
        <ns0:v>1</ns0:v>
      </ns0:c>
      <ns0:c r="BN104" t="n">
        <ns0:f>IF($A104="",1,IF(BM104=1,1,--AND(IF($AC104&gt;0,INDEX(BM$7:BM$106,$AC104),1),IF($AD104&gt;0,INDEX(BM$7:BM$106,$AD104),1),IF($AE104&gt;0,INDEX(BM$7:BM$106,$AE104),1),IF($AF104&gt;0,INDEX(BM$7:BM$106,$AF104),1),IF($AG104&gt;0,INDEX(BM$7:BM$106,$AG104),1),IF($AH104&gt;0,INDEX(BM$7:BM$106,$AH104),1),IF($AI104&gt;0,INDEX(BM$7:BM$106,$AI104),1),IF($AJ104&gt;0,INDEX(BM$7:BM$106,$AJ104),1))))</ns0:f>
        <ns0:v>1</ns0:v>
      </ns0:c>
      <ns0:c r="BO104" t="n">
        <ns0:f>IF($A104="",1,IF(BN104=1,1,--AND(IF($AC104&gt;0,INDEX(BN$7:BN$106,$AC104),1),IF($AD104&gt;0,INDEX(BN$7:BN$106,$AD104),1),IF($AE104&gt;0,INDEX(BN$7:BN$106,$AE104),1),IF($AF104&gt;0,INDEX(BN$7:BN$106,$AF104),1),IF($AG104&gt;0,INDEX(BN$7:BN$106,$AG104),1),IF($AH104&gt;0,INDEX(BN$7:BN$106,$AH104),1),IF($AI104&gt;0,INDEX(BN$7:BN$106,$AI104),1),IF($AJ104&gt;0,INDEX(BN$7:BN$106,$AJ104),1))))</ns0:f>
        <ns0:v>1</ns0:v>
      </ns0:c>
      <ns0:c r="BP104" t="n">
        <ns0:f>IF($A104="",1,IF(BO104=1,1,--AND(IF($AC104&gt;0,INDEX(BO$7:BO$106,$AC104),1),IF($AD104&gt;0,INDEX(BO$7:BO$106,$AD104),1),IF($AE104&gt;0,INDEX(BO$7:BO$106,$AE104),1),IF($AF104&gt;0,INDEX(BO$7:BO$106,$AF104),1),IF($AG104&gt;0,INDEX(BO$7:BO$106,$AG104),1),IF($AH104&gt;0,INDEX(BO$7:BO$106,$AH104),1),IF($AI104&gt;0,INDEX(BO$7:BO$106,$AI104),1),IF($AJ104&gt;0,INDEX(BO$7:BO$106,$AJ104),1))))</ns0:f>
        <ns0:v>1</ns0:v>
      </ns0:c>
      <ns0:c r="BQ104" t="n">
        <ns0:f>IF($A104="",1,IF(BP104=1,1,--AND(IF($AC104&gt;0,INDEX(BP$7:BP$106,$AC104),1),IF($AD104&gt;0,INDEX(BP$7:BP$106,$AD104),1),IF($AE104&gt;0,INDEX(BP$7:BP$106,$AE104),1),IF($AF104&gt;0,INDEX(BP$7:BP$106,$AF104),1),IF($AG104&gt;0,INDEX(BP$7:BP$106,$AG104),1),IF($AH104&gt;0,INDEX(BP$7:BP$106,$AH104),1),IF($AI104&gt;0,INDEX(BP$7:BP$106,$AI104),1),IF($AJ104&gt;0,INDEX(BP$7:BP$106,$AJ104),1))))</ns0:f>
        <ns0:v>1</ns0:v>
      </ns0:c>
      <ns0:c r="BR104" t="n">
        <ns0:f>IF($A104="",1,IF(BQ104=1,1,--AND(IF($AC104&gt;0,INDEX(BQ$7:BQ$106,$AC104),1),IF($AD104&gt;0,INDEX(BQ$7:BQ$106,$AD104),1),IF($AE104&gt;0,INDEX(BQ$7:BQ$106,$AE104),1),IF($AF104&gt;0,INDEX(BQ$7:BQ$106,$AF104),1),IF($AG104&gt;0,INDEX(BQ$7:BQ$106,$AG104),1),IF($AH104&gt;0,INDEX(BQ$7:BQ$106,$AH104),1),IF($AI104&gt;0,INDEX(BQ$7:BQ$106,$AI104),1),IF($AJ104&gt;0,INDEX(BQ$7:BQ$106,$AJ104),1))))</ns0:f>
        <ns0:v>1</ns0:v>
      </ns0:c>
      <ns0:c r="BS104" t="n">
        <ns0:f>IF($A104="",1,IF(BR104=1,1,--AND(IF($AC104&gt;0,INDEX(BR$7:BR$106,$AC104),1),IF($AD104&gt;0,INDEX(BR$7:BR$106,$AD104),1),IF($AE104&gt;0,INDEX(BR$7:BR$106,$AE104),1),IF($AF104&gt;0,INDEX(BR$7:BR$106,$AF104),1),IF($AG104&gt;0,INDEX(BR$7:BR$106,$AG104),1),IF($AH104&gt;0,INDEX(BR$7:BR$106,$AH104),1),IF($AI104&gt;0,INDEX(BR$7:BR$106,$AI104),1),IF($AJ104&gt;0,INDEX(BR$7:BR$106,$AJ104),1))))</ns0:f>
        <ns0:v>1</ns0:v>
      </ns0:c>
      <ns0:c r="BT104" t="n">
        <ns0:f>IF($A104="",1,IF(BS104=1,1,--AND(IF($AC104&gt;0,INDEX(BS$7:BS$106,$AC104),1),IF($AD104&gt;0,INDEX(BS$7:BS$106,$AD104),1),IF($AE104&gt;0,INDEX(BS$7:BS$106,$AE104),1),IF($AF104&gt;0,INDEX(BS$7:BS$106,$AF104),1),IF($AG104&gt;0,INDEX(BS$7:BS$106,$AG104),1),IF($AH104&gt;0,INDEX(BS$7:BS$106,$AH104),1),IF($AI104&gt;0,INDEX(BS$7:BS$106,$AI104),1),IF($AJ104&gt;0,INDEX(BS$7:BS$106,$AJ104),1))))</ns0:f>
        <ns0:v>1</ns0:v>
      </ns0:c>
      <ns0:c r="BU104" t="n">
        <ns0:f>IF($A104="",1,IF(BT104=1,1,--AND(IF($AC104&gt;0,INDEX(BT$7:BT$106,$AC104),1),IF($AD104&gt;0,INDEX(BT$7:BT$106,$AD104),1),IF($AE104&gt;0,INDEX(BT$7:BT$106,$AE104),1),IF($AF104&gt;0,INDEX(BT$7:BT$106,$AF104),1),IF($AG104&gt;0,INDEX(BT$7:BT$106,$AG104),1),IF($AH104&gt;0,INDEX(BT$7:BT$106,$AH104),1),IF($AI104&gt;0,INDEX(BT$7:BT$106,$AI104),1),IF($AJ104&gt;0,INDEX(BT$7:BT$106,$AJ104),1))))</ns0:f>
        <ns0:v>1</ns0:v>
      </ns0:c>
      <ns0:c r="BV104" t="n">
        <ns0:f>IF($A104="",1,IF(BU104=1,1,--AND(IF($AC104&gt;0,INDEX(BU$7:BU$106,$AC104),1),IF($AD104&gt;0,INDEX(BU$7:BU$106,$AD104),1),IF($AE104&gt;0,INDEX(BU$7:BU$106,$AE104),1),IF($AF104&gt;0,INDEX(BU$7:BU$106,$AF104),1),IF($AG104&gt;0,INDEX(BU$7:BU$106,$AG104),1),IF($AH104&gt;0,INDEX(BU$7:BU$106,$AH104),1),IF($AI104&gt;0,INDEX(BU$7:BU$106,$AI104),1),IF($AJ104&gt;0,INDEX(BU$7:BU$106,$AJ104),1))))</ns0:f>
        <ns0:v>1</ns0:v>
      </ns0:c>
      <ns0:c r="BW104" t="n">
        <ns0:f>IF($A104="",1,IF(BV104=1,1,--AND(IF($AC104&gt;0,INDEX(BV$7:BV$106,$AC104),1),IF($AD104&gt;0,INDEX(BV$7:BV$106,$AD104),1),IF($AE104&gt;0,INDEX(BV$7:BV$106,$AE104),1),IF($AF104&gt;0,INDEX(BV$7:BV$106,$AF104),1),IF($AG104&gt;0,INDEX(BV$7:BV$106,$AG104),1),IF($AH104&gt;0,INDEX(BV$7:BV$106,$AH104),1),IF($AI104&gt;0,INDEX(BV$7:BV$106,$AI104),1),IF($AJ104&gt;0,INDEX(BV$7:BV$106,$AJ104),1))))</ns0:f>
        <ns0:v>1</ns0:v>
      </ns0:c>
      <ns0:c r="BX104" t="n">
        <ns0:f>IF($A104="",1,IF(BW104=1,1,--AND(IF($AC104&gt;0,INDEX(BW$7:BW$106,$AC104),1),IF($AD104&gt;0,INDEX(BW$7:BW$106,$AD104),1),IF($AE104&gt;0,INDEX(BW$7:BW$106,$AE104),1),IF($AF104&gt;0,INDEX(BW$7:BW$106,$AF104),1),IF($AG104&gt;0,INDEX(BW$7:BW$106,$AG104),1),IF($AH104&gt;0,INDEX(BW$7:BW$106,$AH104),1),IF($AI104&gt;0,INDEX(BW$7:BW$106,$AI104),1),IF($AJ104&gt;0,INDEX(BW$7:BW$106,$AJ104),1))))</ns0:f>
        <ns0:v>1</ns0:v>
      </ns0:c>
      <ns0:c r="BY104" t="n">
        <ns0:f>IF($A104="",1,IF(BX104=1,1,--AND(IF($AC104&gt;0,INDEX(BX$7:BX$106,$AC104),1),IF($AD104&gt;0,INDEX(BX$7:BX$106,$AD104),1),IF($AE104&gt;0,INDEX(BX$7:BX$106,$AE104),1),IF($AF104&gt;0,INDEX(BX$7:BX$106,$AF104),1),IF($AG104&gt;0,INDEX(BX$7:BX$106,$AG104),1),IF($AH104&gt;0,INDEX(BX$7:BX$106,$AH104),1),IF($AI104&gt;0,INDEX(BX$7:BX$106,$AI104),1),IF($AJ104&gt;0,INDEX(BX$7:BX$106,$AJ104),1))))</ns0:f>
        <ns0:v>1</ns0:v>
      </ns0:c>
      <ns0:c r="BZ104" t="n">
        <ns0:f>IF($A104="",1,IF(BY104=1,1,--AND(IF($AC104&gt;0,INDEX(BY$7:BY$106,$AC104),1),IF($AD104&gt;0,INDEX(BY$7:BY$106,$AD104),1),IF($AE104&gt;0,INDEX(BY$7:BY$106,$AE104),1),IF($AF104&gt;0,INDEX(BY$7:BY$106,$AF104),1),IF($AG104&gt;0,INDEX(BY$7:BY$106,$AG104),1),IF($AH104&gt;0,INDEX(BY$7:BY$106,$AH104),1),IF($AI104&gt;0,INDEX(BY$7:BY$106,$AI104),1),IF($AJ104&gt;0,INDEX(BY$7:BY$106,$AJ104),1))))</ns0:f>
        <ns0:v>1</ns0:v>
      </ns0:c>
      <ns0:c r="CA104" t="n">
        <ns0:f>IF($A104="",1,IF(BZ104=1,1,--AND(IF($AC104&gt;0,INDEX(BZ$7:BZ$106,$AC104),1),IF($AD104&gt;0,INDEX(BZ$7:BZ$106,$AD104),1),IF($AE104&gt;0,INDEX(BZ$7:BZ$106,$AE104),1),IF($AF104&gt;0,INDEX(BZ$7:BZ$106,$AF104),1),IF($AG104&gt;0,INDEX(BZ$7:BZ$106,$AG104),1),IF($AH104&gt;0,INDEX(BZ$7:BZ$106,$AH104),1),IF($AI104&gt;0,INDEX(BZ$7:BZ$106,$AI104),1),IF($AJ104&gt;0,INDEX(BZ$7:BZ$106,$AJ104),1))))</ns0:f>
        <ns0:v>1</ns0:v>
      </ns0:c>
      <ns0:c r="CB104" t="n">
        <ns0:f>IF($A104="",1,IF(CA104=1,1,--AND(IF($AC104&gt;0,INDEX(CA$7:CA$106,$AC104),1),IF($AD104&gt;0,INDEX(CA$7:CA$106,$AD104),1),IF($AE104&gt;0,INDEX(CA$7:CA$106,$AE104),1),IF($AF104&gt;0,INDEX(CA$7:CA$106,$AF104),1),IF($AG104&gt;0,INDEX(CA$7:CA$106,$AG104),1),IF($AH104&gt;0,INDEX(CA$7:CA$106,$AH104),1),IF($AI104&gt;0,INDEX(CA$7:CA$106,$AI104),1),IF($AJ104&gt;0,INDEX(CA$7:CA$106,$AJ104),1))))</ns0:f>
        <ns0:v>1</ns0:v>
      </ns0:c>
      <ns0:c r="CC104" t="n">
        <ns0:f>IF($A104="",1,IF(CB104=1,1,--AND(IF($AC104&gt;0,INDEX(CB$7:CB$106,$AC104),1),IF($AD104&gt;0,INDEX(CB$7:CB$106,$AD104),1),IF($AE104&gt;0,INDEX(CB$7:CB$106,$AE104),1),IF($AF104&gt;0,INDEX(CB$7:CB$106,$AF104),1),IF($AG104&gt;0,INDEX(CB$7:CB$106,$AG104),1),IF($AH104&gt;0,INDEX(CB$7:CB$106,$AH104),1),IF($AI104&gt;0,INDEX(CB$7:CB$106,$AI104),1),IF($AJ104&gt;0,INDEX(CB$7:CB$106,$AJ104),1))))</ns0:f>
        <ns0:v>1</ns0:v>
      </ns0:c>
      <ns0:c r="CD104" t="n">
        <ns0:f>IF($A104="",1,IF(CC104=1,1,--AND(IF($AC104&gt;0,INDEX(CC$7:CC$106,$AC104),1),IF($AD104&gt;0,INDEX(CC$7:CC$106,$AD104),1),IF($AE104&gt;0,INDEX(CC$7:CC$106,$AE104),1),IF($AF104&gt;0,INDEX(CC$7:CC$106,$AF104),1),IF($AG104&gt;0,INDEX(CC$7:CC$106,$AG104),1),IF($AH104&gt;0,INDEX(CC$7:CC$106,$AH104),1),IF($AI104&gt;0,INDEX(CC$7:CC$106,$AI104),1),IF($AJ104&gt;0,INDEX(CC$7:CC$106,$AJ104),1))))</ns0:f>
        <ns0:v>1</ns0:v>
      </ns0:c>
      <ns0:c r="CE104" t="n">
        <ns0:f>IF($A104="",1,IF(CD104=1,1,--AND(IF($AC104&gt;0,INDEX(CD$7:CD$106,$AC104),1),IF($AD104&gt;0,INDEX(CD$7:CD$106,$AD104),1),IF($AE104&gt;0,INDEX(CD$7:CD$106,$AE104),1),IF($AF104&gt;0,INDEX(CD$7:CD$106,$AF104),1),IF($AG104&gt;0,INDEX(CD$7:CD$106,$AG104),1),IF($AH104&gt;0,INDEX(CD$7:CD$106,$AH104),1),IF($AI104&gt;0,INDEX(CD$7:CD$106,$AI104),1),IF($AJ104&gt;0,INDEX(CD$7:CD$106,$AJ104),1))))</ns0:f>
        <ns0:v>1</ns0:v>
      </ns0:c>
      <ns0:c r="CF104" t="n">
        <ns0:f>IF($A104="",1,IF(CE104=1,1,--AND(IF($AC104&gt;0,INDEX(CE$7:CE$106,$AC104),1),IF($AD104&gt;0,INDEX(CE$7:CE$106,$AD104),1),IF($AE104&gt;0,INDEX(CE$7:CE$106,$AE104),1),IF($AF104&gt;0,INDEX(CE$7:CE$106,$AF104),1),IF($AG104&gt;0,INDEX(CE$7:CE$106,$AG104),1),IF($AH104&gt;0,INDEX(CE$7:CE$106,$AH104),1),IF($AI104&gt;0,INDEX(CE$7:CE$106,$AI104),1),IF($AJ104&gt;0,INDEX(CE$7:CE$106,$AJ104),1))))</ns0:f>
        <ns0:v>1</ns0:v>
      </ns0:c>
      <ns0:c r="CG104" t="n">
        <ns0:f>IF($A104="",1,IF(CF104=1,1,--AND(IF($AC104&gt;0,INDEX(CF$7:CF$106,$AC104),1),IF($AD104&gt;0,INDEX(CF$7:CF$106,$AD104),1),IF($AE104&gt;0,INDEX(CF$7:CF$106,$AE104),1),IF($AF104&gt;0,INDEX(CF$7:CF$106,$AF104),1),IF($AG104&gt;0,INDEX(CF$7:CF$106,$AG104),1),IF($AH104&gt;0,INDEX(CF$7:CF$106,$AH104),1),IF($AI104&gt;0,INDEX(CF$7:CF$106,$AI104),1),IF($AJ104&gt;0,INDEX(CF$7:CF$106,$AJ104),1))))</ns0:f>
        <ns0:v>1</ns0:v>
      </ns0:c>
      <ns0:c r="CH104" t="n">
        <ns0:f>IF($A104="",1,IF(CG104=1,1,--AND(IF($AC104&gt;0,INDEX(CG$7:CG$106,$AC104),1),IF($AD104&gt;0,INDEX(CG$7:CG$106,$AD104),1),IF($AE104&gt;0,INDEX(CG$7:CG$106,$AE104),1),IF($AF104&gt;0,INDEX(CG$7:CG$106,$AF104),1),IF($AG104&gt;0,INDEX(CG$7:CG$106,$AG104),1),IF($AH104&gt;0,INDEX(CG$7:CG$106,$AH104),1),IF($AI104&gt;0,INDEX(CG$7:CG$106,$AI104),1),IF($AJ104&gt;0,INDEX(CG$7:CG$106,$AJ104),1))))</ns0:f>
        <ns0:v>1</ns0:v>
      </ns0:c>
      <ns0:c r="CI104" t="n">
        <ns0:f>IF($A104="",1,IF(CH104=1,1,--AND(IF($AC104&gt;0,INDEX(CH$7:CH$106,$AC104),1),IF($AD104&gt;0,INDEX(CH$7:CH$106,$AD104),1),IF($AE104&gt;0,INDEX(CH$7:CH$106,$AE104),1),IF($AF104&gt;0,INDEX(CH$7:CH$106,$AF104),1),IF($AG104&gt;0,INDEX(CH$7:CH$106,$AG104),1),IF($AH104&gt;0,INDEX(CH$7:CH$106,$AH104),1),IF($AI104&gt;0,INDEX(CH$7:CH$106,$AI104),1),IF($AJ104&gt;0,INDEX(CH$7:CH$106,$AJ104),1))))</ns0:f>
        <ns0:v>1</ns0:v>
      </ns0:c>
      <ns0:c r="CJ104" t="n">
        <ns0:f>IF($A104="",1,IF(CI104=1,1,--AND(IF($AC104&gt;0,INDEX(CI$7:CI$106,$AC104),1),IF($AD104&gt;0,INDEX(CI$7:CI$106,$AD104),1),IF($AE104&gt;0,INDEX(CI$7:CI$106,$AE104),1),IF($AF104&gt;0,INDEX(CI$7:CI$106,$AF104),1),IF($AG104&gt;0,INDEX(CI$7:CI$106,$AG104),1),IF($AH104&gt;0,INDEX(CI$7:CI$106,$AH104),1),IF($AI104&gt;0,INDEX(CI$7:CI$106,$AI104),1),IF($AJ104&gt;0,INDEX(CI$7:CI$106,$AJ104),1))))</ns0:f>
        <ns0:v>1</ns0:v>
      </ns0:c>
      <ns0:c r="CK104" t="n">
        <ns0:f>IF($A104="",1,IF(CJ104=1,1,--AND(IF($AC104&gt;0,INDEX(CJ$7:CJ$106,$AC104),1),IF($AD104&gt;0,INDEX(CJ$7:CJ$106,$AD104),1),IF($AE104&gt;0,INDEX(CJ$7:CJ$106,$AE104),1),IF($AF104&gt;0,INDEX(CJ$7:CJ$106,$AF104),1),IF($AG104&gt;0,INDEX(CJ$7:CJ$106,$AG104),1),IF($AH104&gt;0,INDEX(CJ$7:CJ$106,$AH104),1),IF($AI104&gt;0,INDEX(CJ$7:CJ$106,$AI104),1),IF($AJ104&gt;0,INDEX(CJ$7:CJ$106,$AJ104),1))))</ns0:f>
        <ns0:v>1</ns0:v>
      </ns0:c>
      <ns0:c r="CL104" t="n">
        <ns0:f>IF($A104="",1,IF(CK104=1,1,--AND(IF($AC104&gt;0,INDEX(CK$7:CK$106,$AC104),1),IF($AD104&gt;0,INDEX(CK$7:CK$106,$AD104),1),IF($AE104&gt;0,INDEX(CK$7:CK$106,$AE104),1),IF($AF104&gt;0,INDEX(CK$7:CK$106,$AF104),1),IF($AG104&gt;0,INDEX(CK$7:CK$106,$AG104),1),IF($AH104&gt;0,INDEX(CK$7:CK$106,$AH104),1),IF($AI104&gt;0,INDEX(CK$7:CK$106,$AI104),1),IF($AJ104&gt;0,INDEX(CK$7:CK$106,$AJ104),1))))</ns0:f>
        <ns0:v>1</ns0:v>
      </ns0:c>
      <ns0:c r="CM104" t="n">
        <ns0:f>IF($A104="",1,IF(CL104=1,1,--AND(IF($AC104&gt;0,INDEX(CL$7:CL$106,$AC104),1),IF($AD104&gt;0,INDEX(CL$7:CL$106,$AD104),1),IF($AE104&gt;0,INDEX(CL$7:CL$106,$AE104),1),IF($AF104&gt;0,INDEX(CL$7:CL$106,$AF104),1),IF($AG104&gt;0,INDEX(CL$7:CL$106,$AG104),1),IF($AH104&gt;0,INDEX(CL$7:CL$106,$AH104),1),IF($AI104&gt;0,INDEX(CL$7:CL$106,$AI104),1),IF($AJ104&gt;0,INDEX(CL$7:CL$106,$AJ104),1))))</ns0:f>
        <ns0:v>1</ns0:v>
      </ns0:c>
      <ns0:c r="CN104" t="n">
        <ns0:f>IF($A104="",1,IF(CM104=1,1,--AND(IF($AC104&gt;0,INDEX(CM$7:CM$106,$AC104),1),IF($AD104&gt;0,INDEX(CM$7:CM$106,$AD104),1),IF($AE104&gt;0,INDEX(CM$7:CM$106,$AE104),1),IF($AF104&gt;0,INDEX(CM$7:CM$106,$AF104),1),IF($AG104&gt;0,INDEX(CM$7:CM$106,$AG104),1),IF($AH104&gt;0,INDEX(CM$7:CM$106,$AH104),1),IF($AI104&gt;0,INDEX(CM$7:CM$106,$AI104),1),IF($AJ104&gt;0,INDEX(CM$7:CM$106,$AJ104),1))))</ns0:f>
        <ns0:v>1</ns0:v>
      </ns0:c>
      <ns0:c r="CO104" t="n">
        <ns0:f>IF($A104="",1,IF(CN104=1,1,--AND(IF($AC104&gt;0,INDEX(CN$7:CN$106,$AC104),1),IF($AD104&gt;0,INDEX(CN$7:CN$106,$AD104),1),IF($AE104&gt;0,INDEX(CN$7:CN$106,$AE104),1),IF($AF104&gt;0,INDEX(CN$7:CN$106,$AF104),1),IF($AG104&gt;0,INDEX(CN$7:CN$106,$AG104),1),IF($AH104&gt;0,INDEX(CN$7:CN$106,$AH104),1),IF($AI104&gt;0,INDEX(CN$7:CN$106,$AI104),1),IF($AJ104&gt;0,INDEX(CN$7:CN$106,$AJ104),1))))</ns0:f>
        <ns0:v>1</ns0:v>
      </ns0:c>
      <ns0:c r="CP104" t="n">
        <ns0:f>IF($A104="",1,IF(CO104=1,1,--AND(IF($AC104&gt;0,INDEX(CO$7:CO$106,$AC104),1),IF($AD104&gt;0,INDEX(CO$7:CO$106,$AD104),1),IF($AE104&gt;0,INDEX(CO$7:CO$106,$AE104),1),IF($AF104&gt;0,INDEX(CO$7:CO$106,$AF104),1),IF($AG104&gt;0,INDEX(CO$7:CO$106,$AG104),1),IF($AH104&gt;0,INDEX(CO$7:CO$106,$AH104),1),IF($AI104&gt;0,INDEX(CO$7:CO$106,$AI104),1),IF($AJ104&gt;0,INDEX(CO$7:CO$106,$AJ104),1))))</ns0:f>
        <ns0:v>1</ns0:v>
      </ns0:c>
      <ns0:c r="CQ104" t="n">
        <ns0:f>IF($A104="",1,IF(CP104=1,1,--AND(IF($AC104&gt;0,INDEX(CP$7:CP$106,$AC104),1),IF($AD104&gt;0,INDEX(CP$7:CP$106,$AD104),1),IF($AE104&gt;0,INDEX(CP$7:CP$106,$AE104),1),IF($AF104&gt;0,INDEX(CP$7:CP$106,$AF104),1),IF($AG104&gt;0,INDEX(CP$7:CP$106,$AG104),1),IF($AH104&gt;0,INDEX(CP$7:CP$106,$AH104),1),IF($AI104&gt;0,INDEX(CP$7:CP$106,$AI104),1),IF($AJ104&gt;0,INDEX(CP$7:CP$106,$AJ104),1))))</ns0:f>
        <ns0:v>1</ns0:v>
      </ns0:c>
      <ns0:c r="CR104" t="n">
        <ns0:f>IF($A104="",1,IF(CQ104=1,1,--AND(IF($AC104&gt;0,INDEX(CQ$7:CQ$106,$AC104),1),IF($AD104&gt;0,INDEX(CQ$7:CQ$106,$AD104),1),IF($AE104&gt;0,INDEX(CQ$7:CQ$106,$AE104),1),IF($AF104&gt;0,INDEX(CQ$7:CQ$106,$AF104),1),IF($AG104&gt;0,INDEX(CQ$7:CQ$106,$AG104),1),IF($AH104&gt;0,INDEX(CQ$7:CQ$106,$AH104),1),IF($AI104&gt;0,INDEX(CQ$7:CQ$106,$AI104),1),IF($AJ104&gt;0,INDEX(CQ$7:CQ$106,$AJ104),1))))</ns0:f>
        <ns0:v>1</ns0:v>
      </ns0:c>
      <ns0:c r="CS104" t="n">
        <ns0:f>IF($A104="",1,IF(CR104=1,1,--AND(IF($AC104&gt;0,INDEX(CR$7:CR$106,$AC104),1),IF($AD104&gt;0,INDEX(CR$7:CR$106,$AD104),1),IF($AE104&gt;0,INDEX(CR$7:CR$106,$AE104),1),IF($AF104&gt;0,INDEX(CR$7:CR$106,$AF104),1),IF($AG104&gt;0,INDEX(CR$7:CR$106,$AG104),1),IF($AH104&gt;0,INDEX(CR$7:CR$106,$AH104),1),IF($AI104&gt;0,INDEX(CR$7:CR$106,$AI104),1),IF($AJ104&gt;0,INDEX(CR$7:CR$106,$AJ104),1))))</ns0:f>
        <ns0:v>1</ns0:v>
      </ns0:c>
      <ns0:c r="CT104" t="n">
        <ns0:f>IF($A104="",1,IF(CS104=1,1,--AND(IF($AC104&gt;0,INDEX(CS$7:CS$106,$AC104),1),IF($AD104&gt;0,INDEX(CS$7:CS$106,$AD104),1),IF($AE104&gt;0,INDEX(CS$7:CS$106,$AE104),1),IF($AF104&gt;0,INDEX(CS$7:CS$106,$AF104),1),IF($AG104&gt;0,INDEX(CS$7:CS$106,$AG104),1),IF($AH104&gt;0,INDEX(CS$7:CS$106,$AH104),1),IF($AI104&gt;0,INDEX(CS$7:CS$106,$AI104),1),IF($AJ104&gt;0,INDEX(CS$7:CS$106,$AJ104),1))))</ns0:f>
        <ns0:v>1</ns0:v>
      </ns0:c>
      <ns0:c r="CU104" t="n">
        <ns0:f>IF($A104="",1,IF(CT104=1,1,--AND(IF($AC104&gt;0,INDEX(CT$7:CT$106,$AC104),1),IF($AD104&gt;0,INDEX(CT$7:CT$106,$AD104),1),IF($AE104&gt;0,INDEX(CT$7:CT$106,$AE104),1),IF($AF104&gt;0,INDEX(CT$7:CT$106,$AF104),1),IF($AG104&gt;0,INDEX(CT$7:CT$106,$AG104),1),IF($AH104&gt;0,INDEX(CT$7:CT$106,$AH104),1),IF($AI104&gt;0,INDEX(CT$7:CT$106,$AI104),1),IF($AJ104&gt;0,INDEX(CT$7:CT$106,$AJ104),1))))</ns0:f>
        <ns0:v>1</ns0:v>
      </ns0:c>
      <ns0:c r="CV104" t="n">
        <ns0:f>IF($A104="",1,IF(CU104=1,1,--AND(IF($AC104&gt;0,INDEX(CU$7:CU$106,$AC104),1),IF($AD104&gt;0,INDEX(CU$7:CU$106,$AD104),1),IF($AE104&gt;0,INDEX(CU$7:CU$106,$AE104),1),IF($AF104&gt;0,INDEX(CU$7:CU$106,$AF104),1),IF($AG104&gt;0,INDEX(CU$7:CU$106,$AG104),1),IF($AH104&gt;0,INDEX(CU$7:CU$106,$AH104),1),IF($AI104&gt;0,INDEX(CU$7:CU$106,$AI104),1),IF($AJ104&gt;0,INDEX(CU$7:CU$106,$AJ104),1))))</ns0:f>
        <ns0:v>1</ns0:v>
      </ns0:c>
      <ns0:c r="CW104" t="n">
        <ns0:f>IF($A104="",1,IF(CV104=1,1,--AND(IF($AC104&gt;0,INDEX(CV$7:CV$106,$AC104),1),IF($AD104&gt;0,INDEX(CV$7:CV$106,$AD104),1),IF($AE104&gt;0,INDEX(CV$7:CV$106,$AE104),1),IF($AF104&gt;0,INDEX(CV$7:CV$106,$AF104),1),IF($AG104&gt;0,INDEX(CV$7:CV$106,$AG104),1),IF($AH104&gt;0,INDEX(CV$7:CV$106,$AH104),1),IF($AI104&gt;0,INDEX(CV$7:CV$106,$AI104),1),IF($AJ104&gt;0,INDEX(CV$7:CV$106,$AJ104),1))))</ns0:f>
        <ns0:v>1</ns0:v>
      </ns0:c>
      <ns0:c r="CX104" t="n">
        <ns0:f>IF($A104="",1,IF(CW104=1,1,--AND(IF($AC104&gt;0,INDEX(CW$7:CW$106,$AC104),1),IF($AD104&gt;0,INDEX(CW$7:CW$106,$AD104),1),IF($AE104&gt;0,INDEX(CW$7:CW$106,$AE104),1),IF($AF104&gt;0,INDEX(CW$7:CW$106,$AF104),1),IF($AG104&gt;0,INDEX(CW$7:CW$106,$AG104),1),IF($AH104&gt;0,INDEX(CW$7:CW$106,$AH104),1),IF($AI104&gt;0,INDEX(CW$7:CW$106,$AI104),1),IF($AJ104&gt;0,INDEX(CW$7:CW$106,$AJ104),1))))</ns0:f>
        <ns0:v>1</ns0:v>
      </ns0:c>
      <ns0:c r="CY104" t="n">
        <ns0:f>IF($A104="",1,IF(CX104=1,1,--AND(IF($AC104&gt;0,INDEX(CX$7:CX$106,$AC104),1),IF($AD104&gt;0,INDEX(CX$7:CX$106,$AD104),1),IF($AE104&gt;0,INDEX(CX$7:CX$106,$AE104),1),IF($AF104&gt;0,INDEX(CX$7:CX$106,$AF104),1),IF($AG104&gt;0,INDEX(CX$7:CX$106,$AG104),1),IF($AH104&gt;0,INDEX(CX$7:CX$106,$AH104),1),IF($AI104&gt;0,INDEX(CX$7:CX$106,$AI104),1),IF($AJ104&gt;0,INDEX(CX$7:CX$106,$AJ104),1))))</ns0:f>
        <ns0:v>1</ns0:v>
      </ns0:c>
      <ns0:c r="CZ104" t="n">
        <ns0:f>IF($A104="",1,IF(CY104=1,1,--AND(IF($AC104&gt;0,INDEX(CY$7:CY$106,$AC104),1),IF($AD104&gt;0,INDEX(CY$7:CY$106,$AD104),1),IF($AE104&gt;0,INDEX(CY$7:CY$106,$AE104),1),IF($AF104&gt;0,INDEX(CY$7:CY$106,$AF104),1),IF($AG104&gt;0,INDEX(CY$7:CY$106,$AG104),1),IF($AH104&gt;0,INDEX(CY$7:CY$106,$AH104),1),IF($AI104&gt;0,INDEX(CY$7:CY$106,$AI104),1),IF($AJ104&gt;0,INDEX(CY$7:CY$106,$AJ104),1))))</ns0:f>
        <ns0:v>1</ns0:v>
      </ns0:c>
      <ns0:c r="DA104" t="n">
        <ns0:f>IF($A104="",1,IF(CZ104=1,1,--AND(IF($AC104&gt;0,INDEX(CZ$7:CZ$106,$AC104),1),IF($AD104&gt;0,INDEX(CZ$7:CZ$106,$AD104),1),IF($AE104&gt;0,INDEX(CZ$7:CZ$106,$AE104),1),IF($AF104&gt;0,INDEX(CZ$7:CZ$106,$AF104),1),IF($AG104&gt;0,INDEX(CZ$7:CZ$106,$AG104),1),IF($AH104&gt;0,INDEX(CZ$7:CZ$106,$AH104),1),IF($AI104&gt;0,INDEX(CZ$7:CZ$106,$AI104),1),IF($AJ104&gt;0,INDEX(CZ$7:CZ$106,$AJ104),1))))</ns0:f>
        <ns0:v>1</ns0:v>
      </ns0:c>
      <ns0:c r="DB104" t="n">
        <ns0:f>IF($A104="",1,IF(DA104=1,1,--AND(IF($AC104&gt;0,INDEX(DA$7:DA$106,$AC104),1),IF($AD104&gt;0,INDEX(DA$7:DA$106,$AD104),1),IF($AE104&gt;0,INDEX(DA$7:DA$106,$AE104),1),IF($AF104&gt;0,INDEX(DA$7:DA$106,$AF104),1),IF($AG104&gt;0,INDEX(DA$7:DA$106,$AG104),1),IF($AH104&gt;0,INDEX(DA$7:DA$106,$AH104),1),IF($AI104&gt;0,INDEX(DA$7:DA$106,$AI104),1),IF($AJ104&gt;0,INDEX(DA$7:DA$106,$AJ104),1))))</ns0:f>
        <ns0:v>1</ns0:v>
      </ns0:c>
      <ns0:c r="DC104" t="n">
        <ns0:f>IF($A104="",1,IF(DB104=1,1,--AND(IF($AC104&gt;0,INDEX(DB$7:DB$106,$AC104),1),IF($AD104&gt;0,INDEX(DB$7:DB$106,$AD104),1),IF($AE104&gt;0,INDEX(DB$7:DB$106,$AE104),1),IF($AF104&gt;0,INDEX(DB$7:DB$106,$AF104),1),IF($AG104&gt;0,INDEX(DB$7:DB$106,$AG104),1),IF($AH104&gt;0,INDEX(DB$7:DB$106,$AH104),1),IF($AI104&gt;0,INDEX(DB$7:DB$106,$AI104),1),IF($AJ104&gt;0,INDEX(DB$7:DB$106,$AJ104),1))))</ns0:f>
        <ns0:v>1</ns0:v>
      </ns0:c>
      <ns0:c r="DD104" t="n">
        <ns0:f>IF($A104="",1,IF(DC104=1,1,--AND(IF($AC104&gt;0,INDEX(DC$7:DC$106,$AC104),1),IF($AD104&gt;0,INDEX(DC$7:DC$106,$AD104),1),IF($AE104&gt;0,INDEX(DC$7:DC$106,$AE104),1),IF($AF104&gt;0,INDEX(DC$7:DC$106,$AF104),1),IF($AG104&gt;0,INDEX(DC$7:DC$106,$AG104),1),IF($AH104&gt;0,INDEX(DC$7:DC$106,$AH104),1),IF($AI104&gt;0,INDEX(DC$7:DC$106,$AI104),1),IF($AJ104&gt;0,INDEX(DC$7:DC$106,$AJ104),1))))</ns0:f>
        <ns0:v>1</ns0:v>
      </ns0:c>
      <ns0:c r="DE104" t="n">
        <ns0:f>IF($A104="",1,IF(DD104=1,1,--AND(IF($AC104&gt;0,INDEX(DD$7:DD$106,$AC104),1),IF($AD104&gt;0,INDEX(DD$7:DD$106,$AD104),1),IF($AE104&gt;0,INDEX(DD$7:DD$106,$AE104),1),IF($AF104&gt;0,INDEX(DD$7:DD$106,$AF104),1),IF($AG104&gt;0,INDEX(DD$7:DD$106,$AG104),1),IF($AH104&gt;0,INDEX(DD$7:DD$106,$AH104),1),IF($AI104&gt;0,INDEX(DD$7:DD$106,$AI104),1),IF($AJ104&gt;0,INDEX(DD$7:DD$106,$AJ104),1))))</ns0:f>
        <ns0:v>1</ns0:v>
      </ns0:c>
      <ns0:c r="DF104" t="n">
        <ns0:f>IF($A104="",1,IF(DE104=1,1,--AND(IF($AC104&gt;0,INDEX(DE$7:DE$106,$AC104),1),IF($AD104&gt;0,INDEX(DE$7:DE$106,$AD104),1),IF($AE104&gt;0,INDEX(DE$7:DE$106,$AE104),1),IF($AF104&gt;0,INDEX(DE$7:DE$106,$AF104),1),IF($AG104&gt;0,INDEX(DE$7:DE$106,$AG104),1),IF($AH104&gt;0,INDEX(DE$7:DE$106,$AH104),1),IF($AI104&gt;0,INDEX(DE$7:DE$106,$AI104),1),IF($AJ104&gt;0,INDEX(DE$7:DE$106,$AJ104),1))))</ns0:f>
        <ns0:v>1</ns0:v>
      </ns0:c>
      <ns0:c r="DG104" t="n">
        <ns0:f>IF($A104="",1,IF(DF104=1,1,--AND(IF($AC104&gt;0,INDEX(DF$7:DF$106,$AC104),1),IF($AD104&gt;0,INDEX(DF$7:DF$106,$AD104),1),IF($AE104&gt;0,INDEX(DF$7:DF$106,$AE104),1),IF($AF104&gt;0,INDEX(DF$7:DF$106,$AF104),1),IF($AG104&gt;0,INDEX(DF$7:DF$106,$AG104),1),IF($AH104&gt;0,INDEX(DF$7:DF$106,$AH104),1),IF($AI104&gt;0,INDEX(DF$7:DF$106,$AI104),1),IF($AJ104&gt;0,INDEX(DF$7:DF$106,$AJ104),1))))</ns0:f>
        <ns0:v>1</ns0:v>
      </ns0:c>
      <ns0:c r="DH104" t="n">
        <ns0:f>IF($A104="",1,IF(DG104=1,1,--AND(IF($AC104&gt;0,INDEX(DG$7:DG$106,$AC104),1),IF($AD104&gt;0,INDEX(DG$7:DG$106,$AD104),1),IF($AE104&gt;0,INDEX(DG$7:DG$106,$AE104),1),IF($AF104&gt;0,INDEX(DG$7:DG$106,$AF104),1),IF($AG104&gt;0,INDEX(DG$7:DG$106,$AG104),1),IF($AH104&gt;0,INDEX(DG$7:DG$106,$AH104),1),IF($AI104&gt;0,INDEX(DG$7:DG$106,$AI104),1),IF($AJ104&gt;0,INDEX(DG$7:DG$106,$AJ104),1))))</ns0:f>
        <ns0:v>1</ns0:v>
      </ns0:c>
      <ns0:c r="DI104" t="n">
        <ns0:f>IF($A104="",1,IF(DH104=1,1,--AND(IF($AC104&gt;0,INDEX(DH$7:DH$106,$AC104),1),IF($AD104&gt;0,INDEX(DH$7:DH$106,$AD104),1),IF($AE104&gt;0,INDEX(DH$7:DH$106,$AE104),1),IF($AF104&gt;0,INDEX(DH$7:DH$106,$AF104),1),IF($AG104&gt;0,INDEX(DH$7:DH$106,$AG104),1),IF($AH104&gt;0,INDEX(DH$7:DH$106,$AH104),1),IF($AI104&gt;0,INDEX(DH$7:DH$106,$AI104),1),IF($AJ104&gt;0,INDEX(DH$7:DH$106,$AJ104),1))))</ns0:f>
        <ns0:v>1</ns0:v>
      </ns0:c>
      <ns0:c r="DJ104" t="n">
        <ns0:f>IF($A104="",1,IF(DI104=1,1,--AND(IF($AC104&gt;0,INDEX(DI$7:DI$106,$AC104),1),IF($AD104&gt;0,INDEX(DI$7:DI$106,$AD104),1),IF($AE104&gt;0,INDEX(DI$7:DI$106,$AE104),1),IF($AF104&gt;0,INDEX(DI$7:DI$106,$AF104),1),IF($AG104&gt;0,INDEX(DI$7:DI$106,$AG104),1),IF($AH104&gt;0,INDEX(DI$7:DI$106,$AH104),1),IF($AI104&gt;0,INDEX(DI$7:DI$106,$AI104),1),IF($AJ104&gt;0,INDEX(DI$7:DI$106,$AJ104),1))))</ns0:f>
        <ns0:v>1</ns0:v>
      </ns0:c>
      <ns0:c r="DK104" t="n">
        <ns0:f>IF($A104="",1,IF(DJ104=1,1,--AND(IF($AC104&gt;0,INDEX(DJ$7:DJ$106,$AC104),1),IF($AD104&gt;0,INDEX(DJ$7:DJ$106,$AD104),1),IF($AE104&gt;0,INDEX(DJ$7:DJ$106,$AE104),1),IF($AF104&gt;0,INDEX(DJ$7:DJ$106,$AF104),1),IF($AG104&gt;0,INDEX(DJ$7:DJ$106,$AG104),1),IF($AH104&gt;0,INDEX(DJ$7:DJ$106,$AH104),1),IF($AI104&gt;0,INDEX(DJ$7:DJ$106,$AI104),1),IF($AJ104&gt;0,INDEX(DJ$7:DJ$106,$AJ104),1))))</ns0:f>
        <ns0:v>1</ns0:v>
      </ns0:c>
      <ns0:c r="DL104" t="n">
        <ns0:f>IF($A104="",1,IF(DK104=1,1,--AND(IF($AC104&gt;0,INDEX(DK$7:DK$106,$AC104),1),IF($AD104&gt;0,INDEX(DK$7:DK$106,$AD104),1),IF($AE104&gt;0,INDEX(DK$7:DK$106,$AE104),1),IF($AF104&gt;0,INDEX(DK$7:DK$106,$AF104),1),IF($AG104&gt;0,INDEX(DK$7:DK$106,$AG104),1),IF($AH104&gt;0,INDEX(DK$7:DK$106,$AH104),1),IF($AI104&gt;0,INDEX(DK$7:DK$106,$AI104),1),IF($AJ104&gt;0,INDEX(DK$7:DK$106,$AJ104),1))))</ns0:f>
        <ns0:v>1</ns0:v>
      </ns0:c>
      <ns0:c r="DM104" t="n">
        <ns0:f>IF($A104="",1,IF(DL104=1,1,--AND(IF($AC104&gt;0,INDEX(DL$7:DL$106,$AC104),1),IF($AD104&gt;0,INDEX(DL$7:DL$106,$AD104),1),IF($AE104&gt;0,INDEX(DL$7:DL$106,$AE104),1),IF($AF104&gt;0,INDEX(DL$7:DL$106,$AF104),1),IF($AG104&gt;0,INDEX(DL$7:DL$106,$AG104),1),IF($AH104&gt;0,INDEX(DL$7:DL$106,$AH104),1),IF($AI104&gt;0,INDEX(DL$7:DL$106,$AI104),1),IF($AJ104&gt;0,INDEX(DL$7:DL$106,$AJ104),1))))</ns0:f>
        <ns0:v>1</ns0:v>
      </ns0:c>
      <ns0:c r="DN104" t="n">
        <ns0:f>IF($A104="",1,IF(DM104=1,1,--AND(IF($AC104&gt;0,INDEX(DM$7:DM$106,$AC104),1),IF($AD104&gt;0,INDEX(DM$7:DM$106,$AD104),1),IF($AE104&gt;0,INDEX(DM$7:DM$106,$AE104),1),IF($AF104&gt;0,INDEX(DM$7:DM$106,$AF104),1),IF($AG104&gt;0,INDEX(DM$7:DM$106,$AG104),1),IF($AH104&gt;0,INDEX(DM$7:DM$106,$AH104),1),IF($AI104&gt;0,INDEX(DM$7:DM$106,$AI104),1),IF($AJ104&gt;0,INDEX(DM$7:DM$106,$AJ104),1))))</ns0:f>
        <ns0:v>1</ns0:v>
      </ns0:c>
      <ns0:c r="DO104" t="n">
        <ns0:f>IF($A104="",1,IF(DN104=1,1,--AND(IF($AC104&gt;0,INDEX(DN$7:DN$106,$AC104),1),IF($AD104&gt;0,INDEX(DN$7:DN$106,$AD104),1),IF($AE104&gt;0,INDEX(DN$7:DN$106,$AE104),1),IF($AF104&gt;0,INDEX(DN$7:DN$106,$AF104),1),IF($AG104&gt;0,INDEX(DN$7:DN$106,$AG104),1),IF($AH104&gt;0,INDEX(DN$7:DN$106,$AH104),1),IF($AI104&gt;0,INDEX(DN$7:DN$106,$AI104),1),IF($AJ104&gt;0,INDEX(DN$7:DN$106,$AJ104),1))))</ns0:f>
        <ns0:v>1</ns0:v>
      </ns0:c>
      <ns0:c r="DP104" t="n">
        <ns0:f>IF($A104="",1,IF(DO104=1,1,--AND(IF($AC104&gt;0,INDEX(DO$7:DO$106,$AC104),1),IF($AD104&gt;0,INDEX(DO$7:DO$106,$AD104),1),IF($AE104&gt;0,INDEX(DO$7:DO$106,$AE104),1),IF($AF104&gt;0,INDEX(DO$7:DO$106,$AF104),1),IF($AG104&gt;0,INDEX(DO$7:DO$106,$AG104),1),IF($AH104&gt;0,INDEX(DO$7:DO$106,$AH104),1),IF($AI104&gt;0,INDEX(DO$7:DO$106,$AI104),1),IF($AJ104&gt;0,INDEX(DO$7:DO$106,$AJ104),1))))</ns0:f>
        <ns0:v>1</ns0:v>
      </ns0:c>
      <ns0:c r="DQ104" t="n">
        <ns0:f>IF($A104="",1,IF(DP104=1,1,--AND(IF($AC104&gt;0,INDEX(DP$7:DP$106,$AC104),1),IF($AD104&gt;0,INDEX(DP$7:DP$106,$AD104),1),IF($AE104&gt;0,INDEX(DP$7:DP$106,$AE104),1),IF($AF104&gt;0,INDEX(DP$7:DP$106,$AF104),1),IF($AG104&gt;0,INDEX(DP$7:DP$106,$AG104),1),IF($AH104&gt;0,INDEX(DP$7:DP$106,$AH104),1),IF($AI104&gt;0,INDEX(DP$7:DP$106,$AI104),1),IF($AJ104&gt;0,INDEX(DP$7:DP$106,$AJ104),1))))</ns0:f>
        <ns0:v>1</ns0:v>
      </ns0:c>
      <ns0:c r="DR104" t="n">
        <ns0:f>IF($A104="",1,IF(DQ104=1,1,--AND(IF($AC104&gt;0,INDEX(DQ$7:DQ$106,$AC104),1),IF($AD104&gt;0,INDEX(DQ$7:DQ$106,$AD104),1),IF($AE104&gt;0,INDEX(DQ$7:DQ$106,$AE104),1),IF($AF104&gt;0,INDEX(DQ$7:DQ$106,$AF104),1),IF($AG104&gt;0,INDEX(DQ$7:DQ$106,$AG104),1),IF($AH104&gt;0,INDEX(DQ$7:DQ$106,$AH104),1),IF($AI104&gt;0,INDEX(DQ$7:DQ$106,$AI104),1),IF($AJ104&gt;0,INDEX(DQ$7:DQ$106,$AJ104),1))))</ns0:f>
        <ns0:v>1</ns0:v>
      </ns0:c>
      <ns0:c r="DS104" t="n">
        <ns0:f>IF($A104="",1,IF(DR104=1,1,--AND(IF($AC104&gt;0,INDEX(DR$7:DR$106,$AC104),1),IF($AD104&gt;0,INDEX(DR$7:DR$106,$AD104),1),IF($AE104&gt;0,INDEX(DR$7:DR$106,$AE104),1),IF($AF104&gt;0,INDEX(DR$7:DR$106,$AF104),1),IF($AG104&gt;0,INDEX(DR$7:DR$106,$AG104),1),IF($AH104&gt;0,INDEX(DR$7:DR$106,$AH104),1),IF($AI104&gt;0,INDEX(DR$7:DR$106,$AI104),1),IF($AJ104&gt;0,INDEX(DR$7:DR$106,$AJ104),1))))</ns0:f>
        <ns0:v>1</ns0:v>
      </ns0:c>
      <ns0:c r="DT104" t="n">
        <ns0:f>IF($A104="",1,IF(DS104=1,1,--AND(IF($AC104&gt;0,INDEX(DS$7:DS$106,$AC104),1),IF($AD104&gt;0,INDEX(DS$7:DS$106,$AD104),1),IF($AE104&gt;0,INDEX(DS$7:DS$106,$AE104),1),IF($AF104&gt;0,INDEX(DS$7:DS$106,$AF104),1),IF($AG104&gt;0,INDEX(DS$7:DS$106,$AG104),1),IF($AH104&gt;0,INDEX(DS$7:DS$106,$AH104),1),IF($AI104&gt;0,INDEX(DS$7:DS$106,$AI104),1),IF($AJ104&gt;0,INDEX(DS$7:DS$106,$AJ104),1))))</ns0:f>
        <ns0:v>1</ns0:v>
      </ns0:c>
      <ns0:c r="DU104" t="n">
        <ns0:f>IF($A104="",1,IF(DT104=1,1,--AND(IF($AC104&gt;0,INDEX(DT$7:DT$106,$AC104),1),IF($AD104&gt;0,INDEX(DT$7:DT$106,$AD104),1),IF($AE104&gt;0,INDEX(DT$7:DT$106,$AE104),1),IF($AF104&gt;0,INDEX(DT$7:DT$106,$AF104),1),IF($AG104&gt;0,INDEX(DT$7:DT$106,$AG104),1),IF($AH104&gt;0,INDEX(DT$7:DT$106,$AH104),1),IF($AI104&gt;0,INDEX(DT$7:DT$106,$AI104),1),IF($AJ104&gt;0,INDEX(DT$7:DT$106,$AJ104),1))))</ns0:f>
        <ns0:v>1</ns0:v>
      </ns0:c>
      <ns0:c r="DV104" t="n">
        <ns0:f>IF($A104="",1,IF(DU104=1,1,--AND(IF($AC104&gt;0,INDEX(DU$7:DU$106,$AC104),1),IF($AD104&gt;0,INDEX(DU$7:DU$106,$AD104),1),IF($AE104&gt;0,INDEX(DU$7:DU$106,$AE104),1),IF($AF104&gt;0,INDEX(DU$7:DU$106,$AF104),1),IF($AG104&gt;0,INDEX(DU$7:DU$106,$AG104),1),IF($AH104&gt;0,INDEX(DU$7:DU$106,$AH104),1),IF($AI104&gt;0,INDEX(DU$7:DU$106,$AI104),1),IF($AJ104&gt;0,INDEX(DU$7:DU$106,$AJ104),1))))</ns0:f>
        <ns0:v>1</ns0:v>
      </ns0:c>
      <ns0:c r="DW104" t="n">
        <ns0:f>IF($A104="",1,IF(DV104=1,1,--AND(IF($AC104&gt;0,INDEX(DV$7:DV$106,$AC104),1),IF($AD104&gt;0,INDEX(DV$7:DV$106,$AD104),1),IF($AE104&gt;0,INDEX(DV$7:DV$106,$AE104),1),IF($AF104&gt;0,INDEX(DV$7:DV$106,$AF104),1),IF($AG104&gt;0,INDEX(DV$7:DV$106,$AG104),1),IF($AH104&gt;0,INDEX(DV$7:DV$106,$AH104),1),IF($AI104&gt;0,INDEX(DV$7:DV$106,$AI104),1),IF($AJ104&gt;0,INDEX(DV$7:DV$106,$AJ104),1))))</ns0:f>
        <ns0:v>1</ns0:v>
      </ns0:c>
      <ns0:c r="DX104" t="n">
        <ns0:f>IF($A104="",1,IF(DW104=1,1,--AND(IF($AC104&gt;0,INDEX(DW$7:DW$106,$AC104),1),IF($AD104&gt;0,INDEX(DW$7:DW$106,$AD104),1),IF($AE104&gt;0,INDEX(DW$7:DW$106,$AE104),1),IF($AF104&gt;0,INDEX(DW$7:DW$106,$AF104),1),IF($AG104&gt;0,INDEX(DW$7:DW$106,$AG104),1),IF($AH104&gt;0,INDEX(DW$7:DW$106,$AH104),1),IF($AI104&gt;0,INDEX(DW$7:DW$106,$AI104),1),IF($AJ104&gt;0,INDEX(DW$7:DW$106,$AJ104),1))))</ns0:f>
        <ns0:v>1</ns0:v>
      </ns0:c>
      <ns0:c r="DY104" t="n">
        <ns0:f>IF($A104="",1,IF(DX104=1,1,--AND(IF($AC104&gt;0,INDEX(DX$7:DX$106,$AC104),1),IF($AD104&gt;0,INDEX(DX$7:DX$106,$AD104),1),IF($AE104&gt;0,INDEX(DX$7:DX$106,$AE104),1),IF($AF104&gt;0,INDEX(DX$7:DX$106,$AF104),1),IF($AG104&gt;0,INDEX(DX$7:DX$106,$AG104),1),IF($AH104&gt;0,INDEX(DX$7:DX$106,$AH104),1),IF($AI104&gt;0,INDEX(DX$7:DX$106,$AI104),1),IF($AJ104&gt;0,INDEX(DX$7:DX$106,$AJ104),1))))</ns0:f>
        <ns0:v>1</ns0:v>
      </ns0:c>
      <ns0:c r="DZ104" t="n">
        <ns0:f>IF($A104="",1,IF(DY104=1,1,--AND(IF($AC104&gt;0,INDEX(DY$7:DY$106,$AC104),1),IF($AD104&gt;0,INDEX(DY$7:DY$106,$AD104),1),IF($AE104&gt;0,INDEX(DY$7:DY$106,$AE104),1),IF($AF104&gt;0,INDEX(DY$7:DY$106,$AF104),1),IF($AG104&gt;0,INDEX(DY$7:DY$106,$AG104),1),IF($AH104&gt;0,INDEX(DY$7:DY$106,$AH104),1),IF($AI104&gt;0,INDEX(DY$7:DY$106,$AI104),1),IF($AJ104&gt;0,INDEX(DY$7:DY$106,$AJ104),1))))</ns0:f>
        <ns0:v>1</ns0:v>
      </ns0:c>
      <ns0:c r="EA104" t="n">
        <ns0:f>IF($A104="",1,IF(DZ104=1,1,--AND(IF($AC104&gt;0,INDEX(DZ$7:DZ$106,$AC104),1),IF($AD104&gt;0,INDEX(DZ$7:DZ$106,$AD104),1),IF($AE104&gt;0,INDEX(DZ$7:DZ$106,$AE104),1),IF($AF104&gt;0,INDEX(DZ$7:DZ$106,$AF104),1),IF($AG104&gt;0,INDEX(DZ$7:DZ$106,$AG104),1),IF($AH104&gt;0,INDEX(DZ$7:DZ$106,$AH104),1),IF($AI104&gt;0,INDEX(DZ$7:DZ$106,$AI104),1),IF($AJ104&gt;0,INDEX(DZ$7:DZ$106,$AJ104),1))))</ns0:f>
        <ns0:v>1</ns0:v>
      </ns0:c>
      <ns0:c r="EB104" t="n">
        <ns0:f>IF($A104="",1,IF(EA104=1,1,--AND(IF($AC104&gt;0,INDEX(EA$7:EA$106,$AC104),1),IF($AD104&gt;0,INDEX(EA$7:EA$106,$AD104),1),IF($AE104&gt;0,INDEX(EA$7:EA$106,$AE104),1),IF($AF104&gt;0,INDEX(EA$7:EA$106,$AF104),1),IF($AG104&gt;0,INDEX(EA$7:EA$106,$AG104),1),IF($AH104&gt;0,INDEX(EA$7:EA$106,$AH104),1),IF($AI104&gt;0,INDEX(EA$7:EA$106,$AI104),1),IF($AJ104&gt;0,INDEX(EA$7:EA$106,$AJ104),1))))</ns0:f>
        <ns0:v>1</ns0:v>
      </ns0:c>
      <ns0:c r="EC104" t="n">
        <ns0:f>IF($A104="",1,IF(EB104=1,1,--AND(IF($AC104&gt;0,INDEX(EB$7:EB$106,$AC104),1),IF($AD104&gt;0,INDEX(EB$7:EB$106,$AD104),1),IF($AE104&gt;0,INDEX(EB$7:EB$106,$AE104),1),IF($AF104&gt;0,INDEX(EB$7:EB$106,$AF104),1),IF($AG104&gt;0,INDEX(EB$7:EB$106,$AG104),1),IF($AH104&gt;0,INDEX(EB$7:EB$106,$AH104),1),IF($AI104&gt;0,INDEX(EB$7:EB$106,$AI104),1),IF($AJ104&gt;0,INDEX(EB$7:EB$106,$AJ104),1))))</ns0:f>
        <ns0:v>1</ns0:v>
      </ns0:c>
      <ns0:c r="ED104" t="n">
        <ns0:f>IF($A104="",1,IF(EC104=1,1,--AND(IF($AC104&gt;0,INDEX(EC$7:EC$106,$AC104),1),IF($AD104&gt;0,INDEX(EC$7:EC$106,$AD104),1),IF($AE104&gt;0,INDEX(EC$7:EC$106,$AE104),1),IF($AF104&gt;0,INDEX(EC$7:EC$106,$AF104),1),IF($AG104&gt;0,INDEX(EC$7:EC$106,$AG104),1),IF($AH104&gt;0,INDEX(EC$7:EC$106,$AH104),1),IF($AI104&gt;0,INDEX(EC$7:EC$106,$AI104),1),IF($AJ104&gt;0,INDEX(EC$7:EC$106,$AJ104),1))))</ns0:f>
        <ns0:v>1</ns0:v>
      </ns0:c>
      <ns0:c r="EE104" t="n">
        <ns0:f>IF($A104="",1,IF(ED104=1,1,--AND(IF($AC104&gt;0,INDEX(ED$7:ED$106,$AC104),1),IF($AD104&gt;0,INDEX(ED$7:ED$106,$AD104),1),IF($AE104&gt;0,INDEX(ED$7:ED$106,$AE104),1),IF($AF104&gt;0,INDEX(ED$7:ED$106,$AF104),1),IF($AG104&gt;0,INDEX(ED$7:ED$106,$AG104),1),IF($AH104&gt;0,INDEX(ED$7:ED$106,$AH104),1),IF($AI104&gt;0,INDEX(ED$7:ED$106,$AI104),1),IF($AJ104&gt;0,INDEX(ED$7:ED$106,$AJ104),1))))</ns0:f>
        <ns0:v>1</ns0:v>
      </ns0:c>
      <ns0:c r="EF104" t="n">
        <ns0:f>IF($A104="",1,IF(EE104=1,1,--AND(IF($AC104&gt;0,INDEX(EE$7:EE$106,$AC104),1),IF($AD104&gt;0,INDEX(EE$7:EE$106,$AD104),1),IF($AE104&gt;0,INDEX(EE$7:EE$106,$AE104),1),IF($AF104&gt;0,INDEX(EE$7:EE$106,$AF104),1),IF($AG104&gt;0,INDEX(EE$7:EE$106,$AG104),1),IF($AH104&gt;0,INDEX(EE$7:EE$106,$AH104),1),IF($AI104&gt;0,INDEX(EE$7:EE$106,$AI104),1),IF($AJ104&gt;0,INDEX(EE$7:EE$106,$AJ104),1))))</ns0:f>
        <ns0:v>1</ns0:v>
      </ns0:c>
      <ns0:c r="EG104" t="n">
        <ns0:f>IF($A104="",1,IF(EF104=1,1,--AND(IF($AC104&gt;0,INDEX(EF$7:EF$106,$AC104),1),IF($AD104&gt;0,INDEX(EF$7:EF$106,$AD104),1),IF($AE104&gt;0,INDEX(EF$7:EF$106,$AE104),1),IF($AF104&gt;0,INDEX(EF$7:EF$106,$AF104),1),IF($AG104&gt;0,INDEX(EF$7:EF$106,$AG104),1),IF($AH104&gt;0,INDEX(EF$7:EF$106,$AH104),1),IF($AI104&gt;0,INDEX(EF$7:EF$106,$AI104),1),IF($AJ104&gt;0,INDEX(EF$7:EF$106,$AJ104),1))))</ns0:f>
        <ns0:v>1</ns0:v>
      </ns0:c>
      <ns0:c r="EH104" t="n">
        <ns0:f>IF($A104="",1,IF(EG104=1,1,--AND(IF($AC104&gt;0,INDEX(EG$7:EG$106,$AC104),1),IF($AD104&gt;0,INDEX(EG$7:EG$106,$AD104),1),IF($AE104&gt;0,INDEX(EG$7:EG$106,$AE104),1),IF($AF104&gt;0,INDEX(EG$7:EG$106,$AF104),1),IF($AG104&gt;0,INDEX(EG$7:EG$106,$AG104),1),IF($AH104&gt;0,INDEX(EG$7:EG$106,$AH104),1),IF($AI104&gt;0,INDEX(EG$7:EG$106,$AI104),1),IF($AJ104&gt;0,INDEX(EG$7:EG$106,$AJ104),1))))</ns0:f>
        <ns0:v>1</ns0:v>
      </ns0:c>
      <ns0:c r="EI104" t="n">
        <ns0:f>IF($A104="",1,IF(EH104=1,1,--AND(IF($AC104&gt;0,INDEX(EH$7:EH$106,$AC104),1),IF($AD104&gt;0,INDEX(EH$7:EH$106,$AD104),1),IF($AE104&gt;0,INDEX(EH$7:EH$106,$AE104),1),IF($AF104&gt;0,INDEX(EH$7:EH$106,$AF104),1),IF($AG104&gt;0,INDEX(EH$7:EH$106,$AG104),1),IF($AH104&gt;0,INDEX(EH$7:EH$106,$AH104),1),IF($AI104&gt;0,INDEX(EH$7:EH$106,$AI104),1),IF($AJ104&gt;0,INDEX(EH$7:EH$106,$AJ104),1))))</ns0:f>
        <ns0:v>1</ns0:v>
      </ns0:c>
      <ns0:c r="EJ104" t="n">
        <ns0:f>IF($A104="",1,IF(EI104=1,1,--AND(IF($AC104&gt;0,INDEX(EI$7:EI$106,$AC104),1),IF($AD104&gt;0,INDEX(EI$7:EI$106,$AD104),1),IF($AE104&gt;0,INDEX(EI$7:EI$106,$AE104),1),IF($AF104&gt;0,INDEX(EI$7:EI$106,$AF104),1),IF($AG104&gt;0,INDEX(EI$7:EI$106,$AG104),1),IF($AH104&gt;0,INDEX(EI$7:EI$106,$AH104),1),IF($AI104&gt;0,INDEX(EI$7:EI$106,$AI104),1),IF($AJ104&gt;0,INDEX(EI$7:EI$106,$AJ104),1))))</ns0:f>
        <ns0:v>1</ns0:v>
      </ns0:c>
      <ns0:c r="EK104" t="n">
        <ns0:f>IF($A104="",1,IF(EJ104=1,1,--AND(IF($AC104&gt;0,INDEX(EJ$7:EJ$106,$AC104),1),IF($AD104&gt;0,INDEX(EJ$7:EJ$106,$AD104),1),IF($AE104&gt;0,INDEX(EJ$7:EJ$106,$AE104),1),IF($AF104&gt;0,INDEX(EJ$7:EJ$106,$AF104),1),IF($AG104&gt;0,INDEX(EJ$7:EJ$106,$AG104),1),IF($AH104&gt;0,INDEX(EJ$7:EJ$106,$AH104),1),IF($AI104&gt;0,INDEX(EJ$7:EJ$106,$AI104),1),IF($AJ104&gt;0,INDEX(EJ$7:EJ$106,$AJ104),1))))</ns0:f>
        <ns0:v>1</ns0:v>
      </ns0:c>
      <ns0:c r="EL104" t="n">
        <ns0:f>IF($A104="",1,IF(EK104=1,1,--AND(IF($AC104&gt;0,INDEX(EK$7:EK$106,$AC104),1),IF($AD104&gt;0,INDEX(EK$7:EK$106,$AD104),1),IF($AE104&gt;0,INDEX(EK$7:EK$106,$AE104),1),IF($AF104&gt;0,INDEX(EK$7:EK$106,$AF104),1),IF($AG104&gt;0,INDEX(EK$7:EK$106,$AG104),1),IF($AH104&gt;0,INDEX(EK$7:EK$106,$AH104),1),IF($AI104&gt;0,INDEX(EK$7:EK$106,$AI104),1),IF($AJ104&gt;0,INDEX(EK$7:EK$106,$AJ104),1))))</ns0:f>
        <ns0:v>1</ns0:v>
      </ns0:c>
      <ns0:c r="EM104" t="n">
        <ns0:f>IF($A104="",1,IF(EL104=1,1,--AND(IF($AC104&gt;0,INDEX(EL$7:EL$106,$AC104),1),IF($AD104&gt;0,INDEX(EL$7:EL$106,$AD104),1),IF($AE104&gt;0,INDEX(EL$7:EL$106,$AE104),1),IF($AF104&gt;0,INDEX(EL$7:EL$106,$AF104),1),IF($AG104&gt;0,INDEX(EL$7:EL$106,$AG104),1),IF($AH104&gt;0,INDEX(EL$7:EL$106,$AH104),1),IF($AI104&gt;0,INDEX(EL$7:EL$106,$AI104),1),IF($AJ104&gt;0,INDEX(EL$7:EL$106,$AJ104),1))))</ns0:f>
        <ns0:v>1</ns0:v>
      </ns0:c>
      <ns0:c r="EN104" t="n">
        <ns0:f>IF($A104="",1,IF(EM104=1,1,--AND(IF($AC104&gt;0,INDEX(EM$7:EM$106,$AC104),1),IF($AD104&gt;0,INDEX(EM$7:EM$106,$AD104),1),IF($AE104&gt;0,INDEX(EM$7:EM$106,$AE104),1),IF($AF104&gt;0,INDEX(EM$7:EM$106,$AF104),1),IF($AG104&gt;0,INDEX(EM$7:EM$106,$AG104),1),IF($AH104&gt;0,INDEX(EM$7:EM$106,$AH104),1),IF($AI104&gt;0,INDEX(EM$7:EM$106,$AI104),1),IF($AJ104&gt;0,INDEX(EM$7:EM$106,$AJ104),1))))</ns0:f>
        <ns0:v>1</ns0:v>
      </ns0:c>
      <ns0:c r="EO104" t="n">
        <ns0:f>IF($A104="",1,IF(EN104=1,1,--AND(IF($AC104&gt;0,INDEX(EN$7:EN$106,$AC104),1),IF($AD104&gt;0,INDEX(EN$7:EN$106,$AD104),1),IF($AE104&gt;0,INDEX(EN$7:EN$106,$AE104),1),IF($AF104&gt;0,INDEX(EN$7:EN$106,$AF104),1),IF($AG104&gt;0,INDEX(EN$7:EN$106,$AG104),1),IF($AH104&gt;0,INDEX(EN$7:EN$106,$AH104),1),IF($AI104&gt;0,INDEX(EN$7:EN$106,$AI104),1),IF($AJ104&gt;0,INDEX(EN$7:EN$106,$AJ104),1))))</ns0:f>
        <ns0:v>1</ns0:v>
      </ns0:c>
      <ns0:c r="EP104" t="n">
        <ns0:f>IF($A104="",1,IF(EO104=1,1,--AND(IF($AC104&gt;0,INDEX(EO$7:EO$106,$AC104),1),IF($AD104&gt;0,INDEX(EO$7:EO$106,$AD104),1),IF($AE104&gt;0,INDEX(EO$7:EO$106,$AE104),1),IF($AF104&gt;0,INDEX(EO$7:EO$106,$AF104),1),IF($AG104&gt;0,INDEX(EO$7:EO$106,$AG104),1),IF($AH104&gt;0,INDEX(EO$7:EO$106,$AH104),1),IF($AI104&gt;0,INDEX(EO$7:EO$106,$AI104),1),IF($AJ104&gt;0,INDEX(EO$7:EO$106,$AJ104),1))))</ns0:f>
        <ns0:v>1</ns0:v>
      </ns0:c>
      <ns0:c r="EQ104" t="n">
        <ns0:f>IF(OR(A104="",NOT(ISNUMBER(G104))),0,G104*N104)</ns0:f>
        <ns0:v>0</ns0:v>
      </ns0:c>
    </ns0:row>
    <ns0:row r="105" ht="62" customHeight="1">
      <ns0:c r="A105" s="48"/>
      <ns0:c r="B105" s="48"/>
      <ns0:c r="C105" s="48"/>
      <ns0:c r="D105" s="48"/>
      <ns0:c r="E105" s="49"/>
      <ns0:c r="F105" s="49"/>
      <ns0:c r="G105" s="13" t="str">
        <ns0:f>IF(A105="","",IF(OR(NOT(ISNUMBER(E105)),NOT(ISNUMBER(F105)),F105&lt;E105),"",IF(J105="Yes",0,F105-E105+1)))</ns0:f>
      </ns0:c>
      <ns0:c r="H105" s="48"/>
      <ns0:c r="I105" s="48"/>
      <ns0:c r="J105" s="48"/>
      <ns0:c r="K105" s="48"/>
      <ns0:c r="L105" s="48"/>
      <ns0:c r="M105" s="50" t="str">
        <ns0:f>IF(A105="","",IF(N105=1,"Completed",IF(N105&gt;0,"In Progress","Not Started")))</ns0:f>
      </ns0:c>
      <ns0:c r="N105" s="51"/>
      <ns0:c r="O105" s="13" t="str">
        <ns0:f>IF(A105="","",IF(R105&lt;&gt;"","[CONFLICT] "&amp;R105,IF(S105&lt;&gt;"","[CONFLICT] "&amp;S105,IF(OR(NOT(ISNUMBER(N105)),N105&lt;0,N105&gt;1),"[CONFLICT] Invalid progress",IF(AK105&gt;0,"[DEPENDENCY ISSUE] Missing ID / &gt;8 links",IF(AM105&gt;0,"[DEPENDENCY ISSUE] Cycle or blocked by cycle",IF(AND(H105&lt;&gt;"",ISNA(MATCH(I105,{"FS","SS","FF","SF"},0))),"[DEPENDENCY ISSUE] Invalid type",IF(AL105&gt;0,"[DEPENDENCY ISSUE] Timing conflict",IF(OR(E105&lt;ProjectStart,F105&gt;ProjectEnd),"[OUTSIDE WINDOW]",IF(AND(N105&lt;1,F105&lt;AsOfDate),"Overdue",IF(AND(M105&lt;&gt;Q105,M105&lt;&gt;""),"[CONFLICT] Status / progress","On track")))))))))))</ns0:f>
      </ns0:c>
      <ns0:c r="P105" s="52"/>
      <ns0:c r="Q105" t="str">
        <ns0:f>IF(A105="","",IF(OR(M105="On Hold",M105="Delayed"),M105,IF(N105=1,"Completed",IF(N105&gt;0,"In Progress","Not Started"))))</ns0:f>
      </ns0:c>
      <ns0:c r="R105" t="str">
        <ns0:f>IF(A105="","",IF(COUNTIFS(Tasks[Task ID],A105)&lt;&gt;1,"Duplicate ID",""))</ns0:f>
      </ns0:c>
      <ns0:c r="S105" t="str">
        <ns0:f>IF(A105="","",IF(OR(NOT(ISNUMBER(E105)),NOT(ISNUMBER(F105))),"Invalid / missing date",IF(OR(E105&lt;&gt;INT(E105),F105&lt;&gt;INT(F105),E105&lt;1,F105&gt;2958465),"Invalid date",IF(F105&lt;E105,"End before start",IF(AND(J105="Yes",E105&lt;&gt;F105),"Milestone needs one date","")))))</ns0:f>
      </ns0:c>
      <ns0:c r="T105" t="n">
        <ns0:f>IF(H105="",0,LEN(H105)-LEN(SUBSTITUTE(H105,",",""))+1)</ns0:f>
        <ns0:v>0</ns0:v>
      </ns0:c>
      <ns0:c r="U105" t="str">
        <ns0:f>TRIM(MID(SUBSTITUTE($H105,",",REPT(" ",100)),1,100))</ns0:f>
      </ns0:c>
      <ns0:c r="V105" t="str">
        <ns0:f>TRIM(MID(SUBSTITUTE($H105,",",REPT(" ",100)),101,100))</ns0:f>
      </ns0:c>
      <ns0:c r="W105" t="str">
        <ns0:f>TRIM(MID(SUBSTITUTE($H105,",",REPT(" ",100)),201,100))</ns0:f>
      </ns0:c>
      <ns0:c r="X105" t="str">
        <ns0:f>TRIM(MID(SUBSTITUTE($H105,",",REPT(" ",100)),301,100))</ns0:f>
      </ns0:c>
      <ns0:c r="Y105" t="str">
        <ns0:f>TRIM(MID(SUBSTITUTE($H105,",",REPT(" ",100)),401,100))</ns0:f>
      </ns0:c>
      <ns0:c r="Z105" t="str">
        <ns0:f>TRIM(MID(SUBSTITUTE($H105,",",REPT(" ",100)),501,100))</ns0:f>
      </ns0:c>
      <ns0:c r="AA105" t="str">
        <ns0:f>TRIM(MID(SUBSTITUTE($H105,",",REPT(" ",100)),601,100))</ns0:f>
      </ns0:c>
      <ns0:c r="AB105" t="str">
        <ns0:f>TRIM(MID(SUBSTITUTE($H105,",",REPT(" ",100)),701,100))</ns0:f>
      </ns0:c>
      <ns0:c r="AC105" t="n">
        <ns0:f>IF(U105="",0,IF(COUNTIFS(Tasks[Task ID],U105)=1,MATCH(U105,Tasks[Task ID],0),-1))</ns0:f>
        <ns0:v>0</ns0:v>
      </ns0:c>
      <ns0:c r="AD105" t="n">
        <ns0:f>IF(V105="",0,IF(COUNTIFS(Tasks[Task ID],V105)=1,MATCH(V105,Tasks[Task ID],0),-1))</ns0:f>
        <ns0:v>0</ns0:v>
      </ns0:c>
      <ns0:c r="AE105" t="n">
        <ns0:f>IF(W105="",0,IF(COUNTIFS(Tasks[Task ID],W105)=1,MATCH(W105,Tasks[Task ID],0),-1))</ns0:f>
        <ns0:v>0</ns0:v>
      </ns0:c>
      <ns0:c r="AF105" t="n">
        <ns0:f>IF(X105="",0,IF(COUNTIFS(Tasks[Task ID],X105)=1,MATCH(X105,Tasks[Task ID],0),-1))</ns0:f>
        <ns0:v>0</ns0:v>
      </ns0:c>
      <ns0:c r="AG105" t="n">
        <ns0:f>IF(Y105="",0,IF(COUNTIFS(Tasks[Task ID],Y105)=1,MATCH(Y105,Tasks[Task ID],0),-1))</ns0:f>
        <ns0:v>0</ns0:v>
      </ns0:c>
      <ns0:c r="AH105" t="n">
        <ns0:f>IF(Z105="",0,IF(COUNTIFS(Tasks[Task ID],Z105)=1,MATCH(Z105,Tasks[Task ID],0),-1))</ns0:f>
        <ns0:v>0</ns0:v>
      </ns0:c>
      <ns0:c r="AI105" t="n">
        <ns0:f>IF(AA105="",0,IF(COUNTIFS(Tasks[Task ID],AA105)=1,MATCH(AA105,Tasks[Task ID],0),-1))</ns0:f>
        <ns0:v>0</ns0:v>
      </ns0:c>
      <ns0:c r="AJ105" t="n">
        <ns0:f>IF(AB105="",0,IF(COUNTIFS(Tasks[Task ID],AB105)=1,MATCH(AB105,Tasks[Task ID],0),-1))</ns0:f>
        <ns0:v>0</ns0:v>
      </ns0:c>
      <ns0:c r="AK105" t="n">
        <ns0:f>COUNTIFS(AC105:AJ105,-1)+IF(T105&gt;8,1,0)</ns0:f>
        <ns0:v>0</ns0:v>
      </ns0:c>
      <ns0:c r="AL105" t="n">
        <ns0:f>IF(OR(A105="",S105&lt;&gt;""),0,SUM(IF(AC105&gt;0,IF($I105="FS",--($E105&lt;INDEX(Tasks[End Date],AC105)+IF(INDEX(Tasks[Milestone],AC105)="Yes",0,1)),IF($I105="SS",--($E105&lt;INDEX(Tasks[Start Date],AC105)),IF($I105="FF",--($F105&lt;INDEX(Tasks[End Date],AC105)),IF($I105="SF",--($F105&lt;INDEX(Tasks[Start Date],AC105)),0)))),0),IF(AD105&gt;0,IF($I105="FS",--($E105&lt;INDEX(Tasks[End Date],AD105)+IF(INDEX(Tasks[Milestone],AD105)="Yes",0,1)),IF($I105="SS",--($E105&lt;INDEX(Tasks[Start Date],AD105)),IF($I105="FF",--($F105&lt;INDEX(Tasks[End Date],AD105)),IF($I105="SF",--($F105&lt;INDEX(Tasks[Start Date],AD105)),0)))),0),IF(AE105&gt;0,IF($I105="FS",--($E105&lt;INDEX(Tasks[End Date],AE105)+IF(INDEX(Tasks[Milestone],AE105)="Yes",0,1)),IF($I105="SS",--($E105&lt;INDEX(Tasks[Start Date],AE105)),IF($I105="FF",--($F105&lt;INDEX(Tasks[End Date],AE105)),IF($I105="SF",--($F105&lt;INDEX(Tasks[Start Date],AE105)),0)))),0),IF(AF105&gt;0,IF($I105="FS",--($E105&lt;INDEX(Tasks[End Date],AF105)+IF(INDEX(Tasks[Milestone],AF105)="Yes",0,1)),IF($I105="SS",--($E105&lt;INDEX(Tasks[Start Date],AF105)),IF($I105="FF",--($F105&lt;INDEX(Tasks[End Date],AF105)),IF($I105="SF",--($F105&lt;INDEX(Tasks[Start Date],AF105)),0)))),0),IF(AG105&gt;0,IF($I105="FS",--($E105&lt;INDEX(Tasks[End Date],AG105)+IF(INDEX(Tasks[Milestone],AG105)="Yes",0,1)),IF($I105="SS",--($E105&lt;INDEX(Tasks[Start Date],AG105)),IF($I105="FF",--($F105&lt;INDEX(Tasks[End Date],AG105)),IF($I105="SF",--($F105&lt;INDEX(Tasks[Start Date],AG105)),0)))),0),IF(AH105&gt;0,IF($I105="FS",--($E105&lt;INDEX(Tasks[End Date],AH105)+IF(INDEX(Tasks[Milestone],AH105)="Yes",0,1)),IF($I105="SS",--($E105&lt;INDEX(Tasks[Start Date],AH105)),IF($I105="FF",--($F105&lt;INDEX(Tasks[End Date],AH105)),IF($I105="SF",--($F105&lt;INDEX(Tasks[Start Date],AH105)),0)))),0),IF(AI105&gt;0,IF($I105="FS",--($E105&lt;INDEX(Tasks[End Date],AI105)+IF(INDEX(Tasks[Milestone],AI105)="Yes",0,1)),IF($I105="SS",--($E105&lt;INDEX(Tasks[Start Date],AI105)),IF($I105="FF",--($F105&lt;INDEX(Tasks[End Date],AI105)),IF($I105="SF",--($F105&lt;INDEX(Tasks[Start Date],AI105)),0)))),0),IF(AJ105&gt;0,IF($I105="FS",--($E105&lt;INDEX(Tasks[End Date],AJ105)+IF(INDEX(Tasks[Milestone],AJ105)="Yes",0,1)),IF($I105="SS",--($E105&lt;INDEX(Tasks[Start Date],AJ105)),IF($I105="FF",--($F105&lt;INDEX(Tasks[End Date],AJ105)),IF($I105="SF",--($F105&lt;INDEX(Tasks[Start Date],AJ105)),0)))),0)))</ns0:f>
        <ns0:v>0</ns0:v>
      </ns0:c>
      <ns0:c r="AM105" t="n">
        <ns0:f>IF(AND(A105&lt;&gt;"",AK105=0,EP105=0),1,0)</ns0:f>
        <ns0:v>0</ns0:v>
      </ns0:c>
      <ns0:c r="AN105" t="str">
        <ns0:f>IF(OR(A105="",B105=""),"",IF(COUNTIFS($B$7:B105,B105)=1,MAX($AN$6:AN104)+1,""))</ns0:f>
      </ns0:c>
      <ns0:c r="AO105" t="n">
        <ns0:f>IF(AND(A105&lt;&gt;"",J105="No",N105&lt;1,E105&gt;=AsOfDate),E105+ROW()/10000,1E+9)</ns0:f>
        <ns0:v>1000000000</ns0:v>
      </ns0:c>
      <ns0:c r="AP105" t="n">
        <ns0:f>IF(AND(A105&lt;&gt;"",J105="Yes",N105&lt;1,E105&gt;=AsOfDate),E105+ROW()/10000,1E+9)</ns0:f>
        <ns0:v>1000000000</ns0:v>
      </ns0:c>
      <ns0:c r="AQ105" t="n">
        <ns0:f>IF(AND(A105&lt;&gt;"",J105="No",N105&lt;1,F105&gt;=AsOfDate,F105&lt;=AsOfDate+7),F105+ROW()/10000,1E+9)</ns0:f>
        <ns0:v>1000000000</ns0:v>
      </ns0:c>
      <ns0:c r="AR105" t="n">
        <ns0:f>IF(AND(A105&lt;&gt;"",OR(O105&lt;&gt;"On track",Q105="Delayed")),ROW(),1E+9)</ns0:f>
        <ns0:v>1000000000</ns0:v>
      </ns0:c>
      <ns0:c r="AS105" t="str">
        <ns0:f>IF(A105="","",";"&amp;K105&amp;";")</ns0:f>
      </ns0:c>
      <ns0:c r="AT105" t="n">
        <ns0:f>IF(A105="",1,--(T105=0))</ns0:f>
        <ns0:v>1</ns0:v>
      </ns0:c>
      <ns0:c r="AU105" t="n">
        <ns0:f>IF($A105="",1,IF(AT105=1,1,--AND(IF($AC105&gt;0,INDEX(AT$7:AT$106,$AC105),1),IF($AD105&gt;0,INDEX(AT$7:AT$106,$AD105),1),IF($AE105&gt;0,INDEX(AT$7:AT$106,$AE105),1),IF($AF105&gt;0,INDEX(AT$7:AT$106,$AF105),1),IF($AG105&gt;0,INDEX(AT$7:AT$106,$AG105),1),IF($AH105&gt;0,INDEX(AT$7:AT$106,$AH105),1),IF($AI105&gt;0,INDEX(AT$7:AT$106,$AI105),1),IF($AJ105&gt;0,INDEX(AT$7:AT$106,$AJ105),1))))</ns0:f>
        <ns0:v>1</ns0:v>
      </ns0:c>
      <ns0:c r="AV105" t="n">
        <ns0:f>IF($A105="",1,IF(AU105=1,1,--AND(IF($AC105&gt;0,INDEX(AU$7:AU$106,$AC105),1),IF($AD105&gt;0,INDEX(AU$7:AU$106,$AD105),1),IF($AE105&gt;0,INDEX(AU$7:AU$106,$AE105),1),IF($AF105&gt;0,INDEX(AU$7:AU$106,$AF105),1),IF($AG105&gt;0,INDEX(AU$7:AU$106,$AG105),1),IF($AH105&gt;0,INDEX(AU$7:AU$106,$AH105),1),IF($AI105&gt;0,INDEX(AU$7:AU$106,$AI105),1),IF($AJ105&gt;0,INDEX(AU$7:AU$106,$AJ105),1))))</ns0:f>
        <ns0:v>1</ns0:v>
      </ns0:c>
      <ns0:c r="AW105" t="n">
        <ns0:f>IF($A105="",1,IF(AV105=1,1,--AND(IF($AC105&gt;0,INDEX(AV$7:AV$106,$AC105),1),IF($AD105&gt;0,INDEX(AV$7:AV$106,$AD105),1),IF($AE105&gt;0,INDEX(AV$7:AV$106,$AE105),1),IF($AF105&gt;0,INDEX(AV$7:AV$106,$AF105),1),IF($AG105&gt;0,INDEX(AV$7:AV$106,$AG105),1),IF($AH105&gt;0,INDEX(AV$7:AV$106,$AH105),1),IF($AI105&gt;0,INDEX(AV$7:AV$106,$AI105),1),IF($AJ105&gt;0,INDEX(AV$7:AV$106,$AJ105),1))))</ns0:f>
        <ns0:v>1</ns0:v>
      </ns0:c>
      <ns0:c r="AX105" t="n">
        <ns0:f>IF($A105="",1,IF(AW105=1,1,--AND(IF($AC105&gt;0,INDEX(AW$7:AW$106,$AC105),1),IF($AD105&gt;0,INDEX(AW$7:AW$106,$AD105),1),IF($AE105&gt;0,INDEX(AW$7:AW$106,$AE105),1),IF($AF105&gt;0,INDEX(AW$7:AW$106,$AF105),1),IF($AG105&gt;0,INDEX(AW$7:AW$106,$AG105),1),IF($AH105&gt;0,INDEX(AW$7:AW$106,$AH105),1),IF($AI105&gt;0,INDEX(AW$7:AW$106,$AI105),1),IF($AJ105&gt;0,INDEX(AW$7:AW$106,$AJ105),1))))</ns0:f>
        <ns0:v>1</ns0:v>
      </ns0:c>
      <ns0:c r="AY105" t="n">
        <ns0:f>IF($A105="",1,IF(AX105=1,1,--AND(IF($AC105&gt;0,INDEX(AX$7:AX$106,$AC105),1),IF($AD105&gt;0,INDEX(AX$7:AX$106,$AD105),1),IF($AE105&gt;0,INDEX(AX$7:AX$106,$AE105),1),IF($AF105&gt;0,INDEX(AX$7:AX$106,$AF105),1),IF($AG105&gt;0,INDEX(AX$7:AX$106,$AG105),1),IF($AH105&gt;0,INDEX(AX$7:AX$106,$AH105),1),IF($AI105&gt;0,INDEX(AX$7:AX$106,$AI105),1),IF($AJ105&gt;0,INDEX(AX$7:AX$106,$AJ105),1))))</ns0:f>
        <ns0:v>1</ns0:v>
      </ns0:c>
      <ns0:c r="AZ105" t="n">
        <ns0:f>IF($A105="",1,IF(AY105=1,1,--AND(IF($AC105&gt;0,INDEX(AY$7:AY$106,$AC105),1),IF($AD105&gt;0,INDEX(AY$7:AY$106,$AD105),1),IF($AE105&gt;0,INDEX(AY$7:AY$106,$AE105),1),IF($AF105&gt;0,INDEX(AY$7:AY$106,$AF105),1),IF($AG105&gt;0,INDEX(AY$7:AY$106,$AG105),1),IF($AH105&gt;0,INDEX(AY$7:AY$106,$AH105),1),IF($AI105&gt;0,INDEX(AY$7:AY$106,$AI105),1),IF($AJ105&gt;0,INDEX(AY$7:AY$106,$AJ105),1))))</ns0:f>
        <ns0:v>1</ns0:v>
      </ns0:c>
      <ns0:c r="BA105" t="n">
        <ns0:f>IF($A105="",1,IF(AZ105=1,1,--AND(IF($AC105&gt;0,INDEX(AZ$7:AZ$106,$AC105),1),IF($AD105&gt;0,INDEX(AZ$7:AZ$106,$AD105),1),IF($AE105&gt;0,INDEX(AZ$7:AZ$106,$AE105),1),IF($AF105&gt;0,INDEX(AZ$7:AZ$106,$AF105),1),IF($AG105&gt;0,INDEX(AZ$7:AZ$106,$AG105),1),IF($AH105&gt;0,INDEX(AZ$7:AZ$106,$AH105),1),IF($AI105&gt;0,INDEX(AZ$7:AZ$106,$AI105),1),IF($AJ105&gt;0,INDEX(AZ$7:AZ$106,$AJ105),1))))</ns0:f>
        <ns0:v>1</ns0:v>
      </ns0:c>
      <ns0:c r="BB105" t="n">
        <ns0:f>IF($A105="",1,IF(BA105=1,1,--AND(IF($AC105&gt;0,INDEX(BA$7:BA$106,$AC105),1),IF($AD105&gt;0,INDEX(BA$7:BA$106,$AD105),1),IF($AE105&gt;0,INDEX(BA$7:BA$106,$AE105),1),IF($AF105&gt;0,INDEX(BA$7:BA$106,$AF105),1),IF($AG105&gt;0,INDEX(BA$7:BA$106,$AG105),1),IF($AH105&gt;0,INDEX(BA$7:BA$106,$AH105),1),IF($AI105&gt;0,INDEX(BA$7:BA$106,$AI105),1),IF($AJ105&gt;0,INDEX(BA$7:BA$106,$AJ105),1))))</ns0:f>
        <ns0:v>1</ns0:v>
      </ns0:c>
      <ns0:c r="BC105" t="n">
        <ns0:f>IF($A105="",1,IF(BB105=1,1,--AND(IF($AC105&gt;0,INDEX(BB$7:BB$106,$AC105),1),IF($AD105&gt;0,INDEX(BB$7:BB$106,$AD105),1),IF($AE105&gt;0,INDEX(BB$7:BB$106,$AE105),1),IF($AF105&gt;0,INDEX(BB$7:BB$106,$AF105),1),IF($AG105&gt;0,INDEX(BB$7:BB$106,$AG105),1),IF($AH105&gt;0,INDEX(BB$7:BB$106,$AH105),1),IF($AI105&gt;0,INDEX(BB$7:BB$106,$AI105),1),IF($AJ105&gt;0,INDEX(BB$7:BB$106,$AJ105),1))))</ns0:f>
        <ns0:v>1</ns0:v>
      </ns0:c>
      <ns0:c r="BD105" t="n">
        <ns0:f>IF($A105="",1,IF(BC105=1,1,--AND(IF($AC105&gt;0,INDEX(BC$7:BC$106,$AC105),1),IF($AD105&gt;0,INDEX(BC$7:BC$106,$AD105),1),IF($AE105&gt;0,INDEX(BC$7:BC$106,$AE105),1),IF($AF105&gt;0,INDEX(BC$7:BC$106,$AF105),1),IF($AG105&gt;0,INDEX(BC$7:BC$106,$AG105),1),IF($AH105&gt;0,INDEX(BC$7:BC$106,$AH105),1),IF($AI105&gt;0,INDEX(BC$7:BC$106,$AI105),1),IF($AJ105&gt;0,INDEX(BC$7:BC$106,$AJ105),1))))</ns0:f>
        <ns0:v>1</ns0:v>
      </ns0:c>
      <ns0:c r="BE105" t="n">
        <ns0:f>IF($A105="",1,IF(BD105=1,1,--AND(IF($AC105&gt;0,INDEX(BD$7:BD$106,$AC105),1),IF($AD105&gt;0,INDEX(BD$7:BD$106,$AD105),1),IF($AE105&gt;0,INDEX(BD$7:BD$106,$AE105),1),IF($AF105&gt;0,INDEX(BD$7:BD$106,$AF105),1),IF($AG105&gt;0,INDEX(BD$7:BD$106,$AG105),1),IF($AH105&gt;0,INDEX(BD$7:BD$106,$AH105),1),IF($AI105&gt;0,INDEX(BD$7:BD$106,$AI105),1),IF($AJ105&gt;0,INDEX(BD$7:BD$106,$AJ105),1))))</ns0:f>
        <ns0:v>1</ns0:v>
      </ns0:c>
      <ns0:c r="BF105" t="n">
        <ns0:f>IF($A105="",1,IF(BE105=1,1,--AND(IF($AC105&gt;0,INDEX(BE$7:BE$106,$AC105),1),IF($AD105&gt;0,INDEX(BE$7:BE$106,$AD105),1),IF($AE105&gt;0,INDEX(BE$7:BE$106,$AE105),1),IF($AF105&gt;0,INDEX(BE$7:BE$106,$AF105),1),IF($AG105&gt;0,INDEX(BE$7:BE$106,$AG105),1),IF($AH105&gt;0,INDEX(BE$7:BE$106,$AH105),1),IF($AI105&gt;0,INDEX(BE$7:BE$106,$AI105),1),IF($AJ105&gt;0,INDEX(BE$7:BE$106,$AJ105),1))))</ns0:f>
        <ns0:v>1</ns0:v>
      </ns0:c>
      <ns0:c r="BG105" t="n">
        <ns0:f>IF($A105="",1,IF(BF105=1,1,--AND(IF($AC105&gt;0,INDEX(BF$7:BF$106,$AC105),1),IF($AD105&gt;0,INDEX(BF$7:BF$106,$AD105),1),IF($AE105&gt;0,INDEX(BF$7:BF$106,$AE105),1),IF($AF105&gt;0,INDEX(BF$7:BF$106,$AF105),1),IF($AG105&gt;0,INDEX(BF$7:BF$106,$AG105),1),IF($AH105&gt;0,INDEX(BF$7:BF$106,$AH105),1),IF($AI105&gt;0,INDEX(BF$7:BF$106,$AI105),1),IF($AJ105&gt;0,INDEX(BF$7:BF$106,$AJ105),1))))</ns0:f>
        <ns0:v>1</ns0:v>
      </ns0:c>
      <ns0:c r="BH105" t="n">
        <ns0:f>IF($A105="",1,IF(BG105=1,1,--AND(IF($AC105&gt;0,INDEX(BG$7:BG$106,$AC105),1),IF($AD105&gt;0,INDEX(BG$7:BG$106,$AD105),1),IF($AE105&gt;0,INDEX(BG$7:BG$106,$AE105),1),IF($AF105&gt;0,INDEX(BG$7:BG$106,$AF105),1),IF($AG105&gt;0,INDEX(BG$7:BG$106,$AG105),1),IF($AH105&gt;0,INDEX(BG$7:BG$106,$AH105),1),IF($AI105&gt;0,INDEX(BG$7:BG$106,$AI105),1),IF($AJ105&gt;0,INDEX(BG$7:BG$106,$AJ105),1))))</ns0:f>
        <ns0:v>1</ns0:v>
      </ns0:c>
      <ns0:c r="BI105" t="n">
        <ns0:f>IF($A105="",1,IF(BH105=1,1,--AND(IF($AC105&gt;0,INDEX(BH$7:BH$106,$AC105),1),IF($AD105&gt;0,INDEX(BH$7:BH$106,$AD105),1),IF($AE105&gt;0,INDEX(BH$7:BH$106,$AE105),1),IF($AF105&gt;0,INDEX(BH$7:BH$106,$AF105),1),IF($AG105&gt;0,INDEX(BH$7:BH$106,$AG105),1),IF($AH105&gt;0,INDEX(BH$7:BH$106,$AH105),1),IF($AI105&gt;0,INDEX(BH$7:BH$106,$AI105),1),IF($AJ105&gt;0,INDEX(BH$7:BH$106,$AJ105),1))))</ns0:f>
        <ns0:v>1</ns0:v>
      </ns0:c>
      <ns0:c r="BJ105" t="n">
        <ns0:f>IF($A105="",1,IF(BI105=1,1,--AND(IF($AC105&gt;0,INDEX(BI$7:BI$106,$AC105),1),IF($AD105&gt;0,INDEX(BI$7:BI$106,$AD105),1),IF($AE105&gt;0,INDEX(BI$7:BI$106,$AE105),1),IF($AF105&gt;0,INDEX(BI$7:BI$106,$AF105),1),IF($AG105&gt;0,INDEX(BI$7:BI$106,$AG105),1),IF($AH105&gt;0,INDEX(BI$7:BI$106,$AH105),1),IF($AI105&gt;0,INDEX(BI$7:BI$106,$AI105),1),IF($AJ105&gt;0,INDEX(BI$7:BI$106,$AJ105),1))))</ns0:f>
        <ns0:v>1</ns0:v>
      </ns0:c>
      <ns0:c r="BK105" t="n">
        <ns0:f>IF($A105="",1,IF(BJ105=1,1,--AND(IF($AC105&gt;0,INDEX(BJ$7:BJ$106,$AC105),1),IF($AD105&gt;0,INDEX(BJ$7:BJ$106,$AD105),1),IF($AE105&gt;0,INDEX(BJ$7:BJ$106,$AE105),1),IF($AF105&gt;0,INDEX(BJ$7:BJ$106,$AF105),1),IF($AG105&gt;0,INDEX(BJ$7:BJ$106,$AG105),1),IF($AH105&gt;0,INDEX(BJ$7:BJ$106,$AH105),1),IF($AI105&gt;0,INDEX(BJ$7:BJ$106,$AI105),1),IF($AJ105&gt;0,INDEX(BJ$7:BJ$106,$AJ105),1))))</ns0:f>
        <ns0:v>1</ns0:v>
      </ns0:c>
      <ns0:c r="BL105" t="n">
        <ns0:f>IF($A105="",1,IF(BK105=1,1,--AND(IF($AC105&gt;0,INDEX(BK$7:BK$106,$AC105),1),IF($AD105&gt;0,INDEX(BK$7:BK$106,$AD105),1),IF($AE105&gt;0,INDEX(BK$7:BK$106,$AE105),1),IF($AF105&gt;0,INDEX(BK$7:BK$106,$AF105),1),IF($AG105&gt;0,INDEX(BK$7:BK$106,$AG105),1),IF($AH105&gt;0,INDEX(BK$7:BK$106,$AH105),1),IF($AI105&gt;0,INDEX(BK$7:BK$106,$AI105),1),IF($AJ105&gt;0,INDEX(BK$7:BK$106,$AJ105),1))))</ns0:f>
        <ns0:v>1</ns0:v>
      </ns0:c>
      <ns0:c r="BM105" t="n">
        <ns0:f>IF($A105="",1,IF(BL105=1,1,--AND(IF($AC105&gt;0,INDEX(BL$7:BL$106,$AC105),1),IF($AD105&gt;0,INDEX(BL$7:BL$106,$AD105),1),IF($AE105&gt;0,INDEX(BL$7:BL$106,$AE105),1),IF($AF105&gt;0,INDEX(BL$7:BL$106,$AF105),1),IF($AG105&gt;0,INDEX(BL$7:BL$106,$AG105),1),IF($AH105&gt;0,INDEX(BL$7:BL$106,$AH105),1),IF($AI105&gt;0,INDEX(BL$7:BL$106,$AI105),1),IF($AJ105&gt;0,INDEX(BL$7:BL$106,$AJ105),1))))</ns0:f>
        <ns0:v>1</ns0:v>
      </ns0:c>
      <ns0:c r="BN105" t="n">
        <ns0:f>IF($A105="",1,IF(BM105=1,1,--AND(IF($AC105&gt;0,INDEX(BM$7:BM$106,$AC105),1),IF($AD105&gt;0,INDEX(BM$7:BM$106,$AD105),1),IF($AE105&gt;0,INDEX(BM$7:BM$106,$AE105),1),IF($AF105&gt;0,INDEX(BM$7:BM$106,$AF105),1),IF($AG105&gt;0,INDEX(BM$7:BM$106,$AG105),1),IF($AH105&gt;0,INDEX(BM$7:BM$106,$AH105),1),IF($AI105&gt;0,INDEX(BM$7:BM$106,$AI105),1),IF($AJ105&gt;0,INDEX(BM$7:BM$106,$AJ105),1))))</ns0:f>
        <ns0:v>1</ns0:v>
      </ns0:c>
      <ns0:c r="BO105" t="n">
        <ns0:f>IF($A105="",1,IF(BN105=1,1,--AND(IF($AC105&gt;0,INDEX(BN$7:BN$106,$AC105),1),IF($AD105&gt;0,INDEX(BN$7:BN$106,$AD105),1),IF($AE105&gt;0,INDEX(BN$7:BN$106,$AE105),1),IF($AF105&gt;0,INDEX(BN$7:BN$106,$AF105),1),IF($AG105&gt;0,INDEX(BN$7:BN$106,$AG105),1),IF($AH105&gt;0,INDEX(BN$7:BN$106,$AH105),1),IF($AI105&gt;0,INDEX(BN$7:BN$106,$AI105),1),IF($AJ105&gt;0,INDEX(BN$7:BN$106,$AJ105),1))))</ns0:f>
        <ns0:v>1</ns0:v>
      </ns0:c>
      <ns0:c r="BP105" t="n">
        <ns0:f>IF($A105="",1,IF(BO105=1,1,--AND(IF($AC105&gt;0,INDEX(BO$7:BO$106,$AC105),1),IF($AD105&gt;0,INDEX(BO$7:BO$106,$AD105),1),IF($AE105&gt;0,INDEX(BO$7:BO$106,$AE105),1),IF($AF105&gt;0,INDEX(BO$7:BO$106,$AF105),1),IF($AG105&gt;0,INDEX(BO$7:BO$106,$AG105),1),IF($AH105&gt;0,INDEX(BO$7:BO$106,$AH105),1),IF($AI105&gt;0,INDEX(BO$7:BO$106,$AI105),1),IF($AJ105&gt;0,INDEX(BO$7:BO$106,$AJ105),1))))</ns0:f>
        <ns0:v>1</ns0:v>
      </ns0:c>
      <ns0:c r="BQ105" t="n">
        <ns0:f>IF($A105="",1,IF(BP105=1,1,--AND(IF($AC105&gt;0,INDEX(BP$7:BP$106,$AC105),1),IF($AD105&gt;0,INDEX(BP$7:BP$106,$AD105),1),IF($AE105&gt;0,INDEX(BP$7:BP$106,$AE105),1),IF($AF105&gt;0,INDEX(BP$7:BP$106,$AF105),1),IF($AG105&gt;0,INDEX(BP$7:BP$106,$AG105),1),IF($AH105&gt;0,INDEX(BP$7:BP$106,$AH105),1),IF($AI105&gt;0,INDEX(BP$7:BP$106,$AI105),1),IF($AJ105&gt;0,INDEX(BP$7:BP$106,$AJ105),1))))</ns0:f>
        <ns0:v>1</ns0:v>
      </ns0:c>
      <ns0:c r="BR105" t="n">
        <ns0:f>IF($A105="",1,IF(BQ105=1,1,--AND(IF($AC105&gt;0,INDEX(BQ$7:BQ$106,$AC105),1),IF($AD105&gt;0,INDEX(BQ$7:BQ$106,$AD105),1),IF($AE105&gt;0,INDEX(BQ$7:BQ$106,$AE105),1),IF($AF105&gt;0,INDEX(BQ$7:BQ$106,$AF105),1),IF($AG105&gt;0,INDEX(BQ$7:BQ$106,$AG105),1),IF($AH105&gt;0,INDEX(BQ$7:BQ$106,$AH105),1),IF($AI105&gt;0,INDEX(BQ$7:BQ$106,$AI105),1),IF($AJ105&gt;0,INDEX(BQ$7:BQ$106,$AJ105),1))))</ns0:f>
        <ns0:v>1</ns0:v>
      </ns0:c>
      <ns0:c r="BS105" t="n">
        <ns0:f>IF($A105="",1,IF(BR105=1,1,--AND(IF($AC105&gt;0,INDEX(BR$7:BR$106,$AC105),1),IF($AD105&gt;0,INDEX(BR$7:BR$106,$AD105),1),IF($AE105&gt;0,INDEX(BR$7:BR$106,$AE105),1),IF($AF105&gt;0,INDEX(BR$7:BR$106,$AF105),1),IF($AG105&gt;0,INDEX(BR$7:BR$106,$AG105),1),IF($AH105&gt;0,INDEX(BR$7:BR$106,$AH105),1),IF($AI105&gt;0,INDEX(BR$7:BR$106,$AI105),1),IF($AJ105&gt;0,INDEX(BR$7:BR$106,$AJ105),1))))</ns0:f>
        <ns0:v>1</ns0:v>
      </ns0:c>
      <ns0:c r="BT105" t="n">
        <ns0:f>IF($A105="",1,IF(BS105=1,1,--AND(IF($AC105&gt;0,INDEX(BS$7:BS$106,$AC105),1),IF($AD105&gt;0,INDEX(BS$7:BS$106,$AD105),1),IF($AE105&gt;0,INDEX(BS$7:BS$106,$AE105),1),IF($AF105&gt;0,INDEX(BS$7:BS$106,$AF105),1),IF($AG105&gt;0,INDEX(BS$7:BS$106,$AG105),1),IF($AH105&gt;0,INDEX(BS$7:BS$106,$AH105),1),IF($AI105&gt;0,INDEX(BS$7:BS$106,$AI105),1),IF($AJ105&gt;0,INDEX(BS$7:BS$106,$AJ105),1))))</ns0:f>
        <ns0:v>1</ns0:v>
      </ns0:c>
      <ns0:c r="BU105" t="n">
        <ns0:f>IF($A105="",1,IF(BT105=1,1,--AND(IF($AC105&gt;0,INDEX(BT$7:BT$106,$AC105),1),IF($AD105&gt;0,INDEX(BT$7:BT$106,$AD105),1),IF($AE105&gt;0,INDEX(BT$7:BT$106,$AE105),1),IF($AF105&gt;0,INDEX(BT$7:BT$106,$AF105),1),IF($AG105&gt;0,INDEX(BT$7:BT$106,$AG105),1),IF($AH105&gt;0,INDEX(BT$7:BT$106,$AH105),1),IF($AI105&gt;0,INDEX(BT$7:BT$106,$AI105),1),IF($AJ105&gt;0,INDEX(BT$7:BT$106,$AJ105),1))))</ns0:f>
        <ns0:v>1</ns0:v>
      </ns0:c>
      <ns0:c r="BV105" t="n">
        <ns0:f>IF($A105="",1,IF(BU105=1,1,--AND(IF($AC105&gt;0,INDEX(BU$7:BU$106,$AC105),1),IF($AD105&gt;0,INDEX(BU$7:BU$106,$AD105),1),IF($AE105&gt;0,INDEX(BU$7:BU$106,$AE105),1),IF($AF105&gt;0,INDEX(BU$7:BU$106,$AF105),1),IF($AG105&gt;0,INDEX(BU$7:BU$106,$AG105),1),IF($AH105&gt;0,INDEX(BU$7:BU$106,$AH105),1),IF($AI105&gt;0,INDEX(BU$7:BU$106,$AI105),1),IF($AJ105&gt;0,INDEX(BU$7:BU$106,$AJ105),1))))</ns0:f>
        <ns0:v>1</ns0:v>
      </ns0:c>
      <ns0:c r="BW105" t="n">
        <ns0:f>IF($A105="",1,IF(BV105=1,1,--AND(IF($AC105&gt;0,INDEX(BV$7:BV$106,$AC105),1),IF($AD105&gt;0,INDEX(BV$7:BV$106,$AD105),1),IF($AE105&gt;0,INDEX(BV$7:BV$106,$AE105),1),IF($AF105&gt;0,INDEX(BV$7:BV$106,$AF105),1),IF($AG105&gt;0,INDEX(BV$7:BV$106,$AG105),1),IF($AH105&gt;0,INDEX(BV$7:BV$106,$AH105),1),IF($AI105&gt;0,INDEX(BV$7:BV$106,$AI105),1),IF($AJ105&gt;0,INDEX(BV$7:BV$106,$AJ105),1))))</ns0:f>
        <ns0:v>1</ns0:v>
      </ns0:c>
      <ns0:c r="BX105" t="n">
        <ns0:f>IF($A105="",1,IF(BW105=1,1,--AND(IF($AC105&gt;0,INDEX(BW$7:BW$106,$AC105),1),IF($AD105&gt;0,INDEX(BW$7:BW$106,$AD105),1),IF($AE105&gt;0,INDEX(BW$7:BW$106,$AE105),1),IF($AF105&gt;0,INDEX(BW$7:BW$106,$AF105),1),IF($AG105&gt;0,INDEX(BW$7:BW$106,$AG105),1),IF($AH105&gt;0,INDEX(BW$7:BW$106,$AH105),1),IF($AI105&gt;0,INDEX(BW$7:BW$106,$AI105),1),IF($AJ105&gt;0,INDEX(BW$7:BW$106,$AJ105),1))))</ns0:f>
        <ns0:v>1</ns0:v>
      </ns0:c>
      <ns0:c r="BY105" t="n">
        <ns0:f>IF($A105="",1,IF(BX105=1,1,--AND(IF($AC105&gt;0,INDEX(BX$7:BX$106,$AC105),1),IF($AD105&gt;0,INDEX(BX$7:BX$106,$AD105),1),IF($AE105&gt;0,INDEX(BX$7:BX$106,$AE105),1),IF($AF105&gt;0,INDEX(BX$7:BX$106,$AF105),1),IF($AG105&gt;0,INDEX(BX$7:BX$106,$AG105),1),IF($AH105&gt;0,INDEX(BX$7:BX$106,$AH105),1),IF($AI105&gt;0,INDEX(BX$7:BX$106,$AI105),1),IF($AJ105&gt;0,INDEX(BX$7:BX$106,$AJ105),1))))</ns0:f>
        <ns0:v>1</ns0:v>
      </ns0:c>
      <ns0:c r="BZ105" t="n">
        <ns0:f>IF($A105="",1,IF(BY105=1,1,--AND(IF($AC105&gt;0,INDEX(BY$7:BY$106,$AC105),1),IF($AD105&gt;0,INDEX(BY$7:BY$106,$AD105),1),IF($AE105&gt;0,INDEX(BY$7:BY$106,$AE105),1),IF($AF105&gt;0,INDEX(BY$7:BY$106,$AF105),1),IF($AG105&gt;0,INDEX(BY$7:BY$106,$AG105),1),IF($AH105&gt;0,INDEX(BY$7:BY$106,$AH105),1),IF($AI105&gt;0,INDEX(BY$7:BY$106,$AI105),1),IF($AJ105&gt;0,INDEX(BY$7:BY$106,$AJ105),1))))</ns0:f>
        <ns0:v>1</ns0:v>
      </ns0:c>
      <ns0:c r="CA105" t="n">
        <ns0:f>IF($A105="",1,IF(BZ105=1,1,--AND(IF($AC105&gt;0,INDEX(BZ$7:BZ$106,$AC105),1),IF($AD105&gt;0,INDEX(BZ$7:BZ$106,$AD105),1),IF($AE105&gt;0,INDEX(BZ$7:BZ$106,$AE105),1),IF($AF105&gt;0,INDEX(BZ$7:BZ$106,$AF105),1),IF($AG105&gt;0,INDEX(BZ$7:BZ$106,$AG105),1),IF($AH105&gt;0,INDEX(BZ$7:BZ$106,$AH105),1),IF($AI105&gt;0,INDEX(BZ$7:BZ$106,$AI105),1),IF($AJ105&gt;0,INDEX(BZ$7:BZ$106,$AJ105),1))))</ns0:f>
        <ns0:v>1</ns0:v>
      </ns0:c>
      <ns0:c r="CB105" t="n">
        <ns0:f>IF($A105="",1,IF(CA105=1,1,--AND(IF($AC105&gt;0,INDEX(CA$7:CA$106,$AC105),1),IF($AD105&gt;0,INDEX(CA$7:CA$106,$AD105),1),IF($AE105&gt;0,INDEX(CA$7:CA$106,$AE105),1),IF($AF105&gt;0,INDEX(CA$7:CA$106,$AF105),1),IF($AG105&gt;0,INDEX(CA$7:CA$106,$AG105),1),IF($AH105&gt;0,INDEX(CA$7:CA$106,$AH105),1),IF($AI105&gt;0,INDEX(CA$7:CA$106,$AI105),1),IF($AJ105&gt;0,INDEX(CA$7:CA$106,$AJ105),1))))</ns0:f>
        <ns0:v>1</ns0:v>
      </ns0:c>
      <ns0:c r="CC105" t="n">
        <ns0:f>IF($A105="",1,IF(CB105=1,1,--AND(IF($AC105&gt;0,INDEX(CB$7:CB$106,$AC105),1),IF($AD105&gt;0,INDEX(CB$7:CB$106,$AD105),1),IF($AE105&gt;0,INDEX(CB$7:CB$106,$AE105),1),IF($AF105&gt;0,INDEX(CB$7:CB$106,$AF105),1),IF($AG105&gt;0,INDEX(CB$7:CB$106,$AG105),1),IF($AH105&gt;0,INDEX(CB$7:CB$106,$AH105),1),IF($AI105&gt;0,INDEX(CB$7:CB$106,$AI105),1),IF($AJ105&gt;0,INDEX(CB$7:CB$106,$AJ105),1))))</ns0:f>
        <ns0:v>1</ns0:v>
      </ns0:c>
      <ns0:c r="CD105" t="n">
        <ns0:f>IF($A105="",1,IF(CC105=1,1,--AND(IF($AC105&gt;0,INDEX(CC$7:CC$106,$AC105),1),IF($AD105&gt;0,INDEX(CC$7:CC$106,$AD105),1),IF($AE105&gt;0,INDEX(CC$7:CC$106,$AE105),1),IF($AF105&gt;0,INDEX(CC$7:CC$106,$AF105),1),IF($AG105&gt;0,INDEX(CC$7:CC$106,$AG105),1),IF($AH105&gt;0,INDEX(CC$7:CC$106,$AH105),1),IF($AI105&gt;0,INDEX(CC$7:CC$106,$AI105),1),IF($AJ105&gt;0,INDEX(CC$7:CC$106,$AJ105),1))))</ns0:f>
        <ns0:v>1</ns0:v>
      </ns0:c>
      <ns0:c r="CE105" t="n">
        <ns0:f>IF($A105="",1,IF(CD105=1,1,--AND(IF($AC105&gt;0,INDEX(CD$7:CD$106,$AC105),1),IF($AD105&gt;0,INDEX(CD$7:CD$106,$AD105),1),IF($AE105&gt;0,INDEX(CD$7:CD$106,$AE105),1),IF($AF105&gt;0,INDEX(CD$7:CD$106,$AF105),1),IF($AG105&gt;0,INDEX(CD$7:CD$106,$AG105),1),IF($AH105&gt;0,INDEX(CD$7:CD$106,$AH105),1),IF($AI105&gt;0,INDEX(CD$7:CD$106,$AI105),1),IF($AJ105&gt;0,INDEX(CD$7:CD$106,$AJ105),1))))</ns0:f>
        <ns0:v>1</ns0:v>
      </ns0:c>
      <ns0:c r="CF105" t="n">
        <ns0:f>IF($A105="",1,IF(CE105=1,1,--AND(IF($AC105&gt;0,INDEX(CE$7:CE$106,$AC105),1),IF($AD105&gt;0,INDEX(CE$7:CE$106,$AD105),1),IF($AE105&gt;0,INDEX(CE$7:CE$106,$AE105),1),IF($AF105&gt;0,INDEX(CE$7:CE$106,$AF105),1),IF($AG105&gt;0,INDEX(CE$7:CE$106,$AG105),1),IF($AH105&gt;0,INDEX(CE$7:CE$106,$AH105),1),IF($AI105&gt;0,INDEX(CE$7:CE$106,$AI105),1),IF($AJ105&gt;0,INDEX(CE$7:CE$106,$AJ105),1))))</ns0:f>
        <ns0:v>1</ns0:v>
      </ns0:c>
      <ns0:c r="CG105" t="n">
        <ns0:f>IF($A105="",1,IF(CF105=1,1,--AND(IF($AC105&gt;0,INDEX(CF$7:CF$106,$AC105),1),IF($AD105&gt;0,INDEX(CF$7:CF$106,$AD105),1),IF($AE105&gt;0,INDEX(CF$7:CF$106,$AE105),1),IF($AF105&gt;0,INDEX(CF$7:CF$106,$AF105),1),IF($AG105&gt;0,INDEX(CF$7:CF$106,$AG105),1),IF($AH105&gt;0,INDEX(CF$7:CF$106,$AH105),1),IF($AI105&gt;0,INDEX(CF$7:CF$106,$AI105),1),IF($AJ105&gt;0,INDEX(CF$7:CF$106,$AJ105),1))))</ns0:f>
        <ns0:v>1</ns0:v>
      </ns0:c>
      <ns0:c r="CH105" t="n">
        <ns0:f>IF($A105="",1,IF(CG105=1,1,--AND(IF($AC105&gt;0,INDEX(CG$7:CG$106,$AC105),1),IF($AD105&gt;0,INDEX(CG$7:CG$106,$AD105),1),IF($AE105&gt;0,INDEX(CG$7:CG$106,$AE105),1),IF($AF105&gt;0,INDEX(CG$7:CG$106,$AF105),1),IF($AG105&gt;0,INDEX(CG$7:CG$106,$AG105),1),IF($AH105&gt;0,INDEX(CG$7:CG$106,$AH105),1),IF($AI105&gt;0,INDEX(CG$7:CG$106,$AI105),1),IF($AJ105&gt;0,INDEX(CG$7:CG$106,$AJ105),1))))</ns0:f>
        <ns0:v>1</ns0:v>
      </ns0:c>
      <ns0:c r="CI105" t="n">
        <ns0:f>IF($A105="",1,IF(CH105=1,1,--AND(IF($AC105&gt;0,INDEX(CH$7:CH$106,$AC105),1),IF($AD105&gt;0,INDEX(CH$7:CH$106,$AD105),1),IF($AE105&gt;0,INDEX(CH$7:CH$106,$AE105),1),IF($AF105&gt;0,INDEX(CH$7:CH$106,$AF105),1),IF($AG105&gt;0,INDEX(CH$7:CH$106,$AG105),1),IF($AH105&gt;0,INDEX(CH$7:CH$106,$AH105),1),IF($AI105&gt;0,INDEX(CH$7:CH$106,$AI105),1),IF($AJ105&gt;0,INDEX(CH$7:CH$106,$AJ105),1))))</ns0:f>
        <ns0:v>1</ns0:v>
      </ns0:c>
      <ns0:c r="CJ105" t="n">
        <ns0:f>IF($A105="",1,IF(CI105=1,1,--AND(IF($AC105&gt;0,INDEX(CI$7:CI$106,$AC105),1),IF($AD105&gt;0,INDEX(CI$7:CI$106,$AD105),1),IF($AE105&gt;0,INDEX(CI$7:CI$106,$AE105),1),IF($AF105&gt;0,INDEX(CI$7:CI$106,$AF105),1),IF($AG105&gt;0,INDEX(CI$7:CI$106,$AG105),1),IF($AH105&gt;0,INDEX(CI$7:CI$106,$AH105),1),IF($AI105&gt;0,INDEX(CI$7:CI$106,$AI105),1),IF($AJ105&gt;0,INDEX(CI$7:CI$106,$AJ105),1))))</ns0:f>
        <ns0:v>1</ns0:v>
      </ns0:c>
      <ns0:c r="CK105" t="n">
        <ns0:f>IF($A105="",1,IF(CJ105=1,1,--AND(IF($AC105&gt;0,INDEX(CJ$7:CJ$106,$AC105),1),IF($AD105&gt;0,INDEX(CJ$7:CJ$106,$AD105),1),IF($AE105&gt;0,INDEX(CJ$7:CJ$106,$AE105),1),IF($AF105&gt;0,INDEX(CJ$7:CJ$106,$AF105),1),IF($AG105&gt;0,INDEX(CJ$7:CJ$106,$AG105),1),IF($AH105&gt;0,INDEX(CJ$7:CJ$106,$AH105),1),IF($AI105&gt;0,INDEX(CJ$7:CJ$106,$AI105),1),IF($AJ105&gt;0,INDEX(CJ$7:CJ$106,$AJ105),1))))</ns0:f>
        <ns0:v>1</ns0:v>
      </ns0:c>
      <ns0:c r="CL105" t="n">
        <ns0:f>IF($A105="",1,IF(CK105=1,1,--AND(IF($AC105&gt;0,INDEX(CK$7:CK$106,$AC105),1),IF($AD105&gt;0,INDEX(CK$7:CK$106,$AD105),1),IF($AE105&gt;0,INDEX(CK$7:CK$106,$AE105),1),IF($AF105&gt;0,INDEX(CK$7:CK$106,$AF105),1),IF($AG105&gt;0,INDEX(CK$7:CK$106,$AG105),1),IF($AH105&gt;0,INDEX(CK$7:CK$106,$AH105),1),IF($AI105&gt;0,INDEX(CK$7:CK$106,$AI105),1),IF($AJ105&gt;0,INDEX(CK$7:CK$106,$AJ105),1))))</ns0:f>
        <ns0:v>1</ns0:v>
      </ns0:c>
      <ns0:c r="CM105" t="n">
        <ns0:f>IF($A105="",1,IF(CL105=1,1,--AND(IF($AC105&gt;0,INDEX(CL$7:CL$106,$AC105),1),IF($AD105&gt;0,INDEX(CL$7:CL$106,$AD105),1),IF($AE105&gt;0,INDEX(CL$7:CL$106,$AE105),1),IF($AF105&gt;0,INDEX(CL$7:CL$106,$AF105),1),IF($AG105&gt;0,INDEX(CL$7:CL$106,$AG105),1),IF($AH105&gt;0,INDEX(CL$7:CL$106,$AH105),1),IF($AI105&gt;0,INDEX(CL$7:CL$106,$AI105),1),IF($AJ105&gt;0,INDEX(CL$7:CL$106,$AJ105),1))))</ns0:f>
        <ns0:v>1</ns0:v>
      </ns0:c>
      <ns0:c r="CN105" t="n">
        <ns0:f>IF($A105="",1,IF(CM105=1,1,--AND(IF($AC105&gt;0,INDEX(CM$7:CM$106,$AC105),1),IF($AD105&gt;0,INDEX(CM$7:CM$106,$AD105),1),IF($AE105&gt;0,INDEX(CM$7:CM$106,$AE105),1),IF($AF105&gt;0,INDEX(CM$7:CM$106,$AF105),1),IF($AG105&gt;0,INDEX(CM$7:CM$106,$AG105),1),IF($AH105&gt;0,INDEX(CM$7:CM$106,$AH105),1),IF($AI105&gt;0,INDEX(CM$7:CM$106,$AI105),1),IF($AJ105&gt;0,INDEX(CM$7:CM$106,$AJ105),1))))</ns0:f>
        <ns0:v>1</ns0:v>
      </ns0:c>
      <ns0:c r="CO105" t="n">
        <ns0:f>IF($A105="",1,IF(CN105=1,1,--AND(IF($AC105&gt;0,INDEX(CN$7:CN$106,$AC105),1),IF($AD105&gt;0,INDEX(CN$7:CN$106,$AD105),1),IF($AE105&gt;0,INDEX(CN$7:CN$106,$AE105),1),IF($AF105&gt;0,INDEX(CN$7:CN$106,$AF105),1),IF($AG105&gt;0,INDEX(CN$7:CN$106,$AG105),1),IF($AH105&gt;0,INDEX(CN$7:CN$106,$AH105),1),IF($AI105&gt;0,INDEX(CN$7:CN$106,$AI105),1),IF($AJ105&gt;0,INDEX(CN$7:CN$106,$AJ105),1))))</ns0:f>
        <ns0:v>1</ns0:v>
      </ns0:c>
      <ns0:c r="CP105" t="n">
        <ns0:f>IF($A105="",1,IF(CO105=1,1,--AND(IF($AC105&gt;0,INDEX(CO$7:CO$106,$AC105),1),IF($AD105&gt;0,INDEX(CO$7:CO$106,$AD105),1),IF($AE105&gt;0,INDEX(CO$7:CO$106,$AE105),1),IF($AF105&gt;0,INDEX(CO$7:CO$106,$AF105),1),IF($AG105&gt;0,INDEX(CO$7:CO$106,$AG105),1),IF($AH105&gt;0,INDEX(CO$7:CO$106,$AH105),1),IF($AI105&gt;0,INDEX(CO$7:CO$106,$AI105),1),IF($AJ105&gt;0,INDEX(CO$7:CO$106,$AJ105),1))))</ns0:f>
        <ns0:v>1</ns0:v>
      </ns0:c>
      <ns0:c r="CQ105" t="n">
        <ns0:f>IF($A105="",1,IF(CP105=1,1,--AND(IF($AC105&gt;0,INDEX(CP$7:CP$106,$AC105),1),IF($AD105&gt;0,INDEX(CP$7:CP$106,$AD105),1),IF($AE105&gt;0,INDEX(CP$7:CP$106,$AE105),1),IF($AF105&gt;0,INDEX(CP$7:CP$106,$AF105),1),IF($AG105&gt;0,INDEX(CP$7:CP$106,$AG105),1),IF($AH105&gt;0,INDEX(CP$7:CP$106,$AH105),1),IF($AI105&gt;0,INDEX(CP$7:CP$106,$AI105),1),IF($AJ105&gt;0,INDEX(CP$7:CP$106,$AJ105),1))))</ns0:f>
        <ns0:v>1</ns0:v>
      </ns0:c>
      <ns0:c r="CR105" t="n">
        <ns0:f>IF($A105="",1,IF(CQ105=1,1,--AND(IF($AC105&gt;0,INDEX(CQ$7:CQ$106,$AC105),1),IF($AD105&gt;0,INDEX(CQ$7:CQ$106,$AD105),1),IF($AE105&gt;0,INDEX(CQ$7:CQ$106,$AE105),1),IF($AF105&gt;0,INDEX(CQ$7:CQ$106,$AF105),1),IF($AG105&gt;0,INDEX(CQ$7:CQ$106,$AG105),1),IF($AH105&gt;0,INDEX(CQ$7:CQ$106,$AH105),1),IF($AI105&gt;0,INDEX(CQ$7:CQ$106,$AI105),1),IF($AJ105&gt;0,INDEX(CQ$7:CQ$106,$AJ105),1))))</ns0:f>
        <ns0:v>1</ns0:v>
      </ns0:c>
      <ns0:c r="CS105" t="n">
        <ns0:f>IF($A105="",1,IF(CR105=1,1,--AND(IF($AC105&gt;0,INDEX(CR$7:CR$106,$AC105),1),IF($AD105&gt;0,INDEX(CR$7:CR$106,$AD105),1),IF($AE105&gt;0,INDEX(CR$7:CR$106,$AE105),1),IF($AF105&gt;0,INDEX(CR$7:CR$106,$AF105),1),IF($AG105&gt;0,INDEX(CR$7:CR$106,$AG105),1),IF($AH105&gt;0,INDEX(CR$7:CR$106,$AH105),1),IF($AI105&gt;0,INDEX(CR$7:CR$106,$AI105),1),IF($AJ105&gt;0,INDEX(CR$7:CR$106,$AJ105),1))))</ns0:f>
        <ns0:v>1</ns0:v>
      </ns0:c>
      <ns0:c r="CT105" t="n">
        <ns0:f>IF($A105="",1,IF(CS105=1,1,--AND(IF($AC105&gt;0,INDEX(CS$7:CS$106,$AC105),1),IF($AD105&gt;0,INDEX(CS$7:CS$106,$AD105),1),IF($AE105&gt;0,INDEX(CS$7:CS$106,$AE105),1),IF($AF105&gt;0,INDEX(CS$7:CS$106,$AF105),1),IF($AG105&gt;0,INDEX(CS$7:CS$106,$AG105),1),IF($AH105&gt;0,INDEX(CS$7:CS$106,$AH105),1),IF($AI105&gt;0,INDEX(CS$7:CS$106,$AI105),1),IF($AJ105&gt;0,INDEX(CS$7:CS$106,$AJ105),1))))</ns0:f>
        <ns0:v>1</ns0:v>
      </ns0:c>
      <ns0:c r="CU105" t="n">
        <ns0:f>IF($A105="",1,IF(CT105=1,1,--AND(IF($AC105&gt;0,INDEX(CT$7:CT$106,$AC105),1),IF($AD105&gt;0,INDEX(CT$7:CT$106,$AD105),1),IF($AE105&gt;0,INDEX(CT$7:CT$106,$AE105),1),IF($AF105&gt;0,INDEX(CT$7:CT$106,$AF105),1),IF($AG105&gt;0,INDEX(CT$7:CT$106,$AG105),1),IF($AH105&gt;0,INDEX(CT$7:CT$106,$AH105),1),IF($AI105&gt;0,INDEX(CT$7:CT$106,$AI105),1),IF($AJ105&gt;0,INDEX(CT$7:CT$106,$AJ105),1))))</ns0:f>
        <ns0:v>1</ns0:v>
      </ns0:c>
      <ns0:c r="CV105" t="n">
        <ns0:f>IF($A105="",1,IF(CU105=1,1,--AND(IF($AC105&gt;0,INDEX(CU$7:CU$106,$AC105),1),IF($AD105&gt;0,INDEX(CU$7:CU$106,$AD105),1),IF($AE105&gt;0,INDEX(CU$7:CU$106,$AE105),1),IF($AF105&gt;0,INDEX(CU$7:CU$106,$AF105),1),IF($AG105&gt;0,INDEX(CU$7:CU$106,$AG105),1),IF($AH105&gt;0,INDEX(CU$7:CU$106,$AH105),1),IF($AI105&gt;0,INDEX(CU$7:CU$106,$AI105),1),IF($AJ105&gt;0,INDEX(CU$7:CU$106,$AJ105),1))))</ns0:f>
        <ns0:v>1</ns0:v>
      </ns0:c>
      <ns0:c r="CW105" t="n">
        <ns0:f>IF($A105="",1,IF(CV105=1,1,--AND(IF($AC105&gt;0,INDEX(CV$7:CV$106,$AC105),1),IF($AD105&gt;0,INDEX(CV$7:CV$106,$AD105),1),IF($AE105&gt;0,INDEX(CV$7:CV$106,$AE105),1),IF($AF105&gt;0,INDEX(CV$7:CV$106,$AF105),1),IF($AG105&gt;0,INDEX(CV$7:CV$106,$AG105),1),IF($AH105&gt;0,INDEX(CV$7:CV$106,$AH105),1),IF($AI105&gt;0,INDEX(CV$7:CV$106,$AI105),1),IF($AJ105&gt;0,INDEX(CV$7:CV$106,$AJ105),1))))</ns0:f>
        <ns0:v>1</ns0:v>
      </ns0:c>
      <ns0:c r="CX105" t="n">
        <ns0:f>IF($A105="",1,IF(CW105=1,1,--AND(IF($AC105&gt;0,INDEX(CW$7:CW$106,$AC105),1),IF($AD105&gt;0,INDEX(CW$7:CW$106,$AD105),1),IF($AE105&gt;0,INDEX(CW$7:CW$106,$AE105),1),IF($AF105&gt;0,INDEX(CW$7:CW$106,$AF105),1),IF($AG105&gt;0,INDEX(CW$7:CW$106,$AG105),1),IF($AH105&gt;0,INDEX(CW$7:CW$106,$AH105),1),IF($AI105&gt;0,INDEX(CW$7:CW$106,$AI105),1),IF($AJ105&gt;0,INDEX(CW$7:CW$106,$AJ105),1))))</ns0:f>
        <ns0:v>1</ns0:v>
      </ns0:c>
      <ns0:c r="CY105" t="n">
        <ns0:f>IF($A105="",1,IF(CX105=1,1,--AND(IF($AC105&gt;0,INDEX(CX$7:CX$106,$AC105),1),IF($AD105&gt;0,INDEX(CX$7:CX$106,$AD105),1),IF($AE105&gt;0,INDEX(CX$7:CX$106,$AE105),1),IF($AF105&gt;0,INDEX(CX$7:CX$106,$AF105),1),IF($AG105&gt;0,INDEX(CX$7:CX$106,$AG105),1),IF($AH105&gt;0,INDEX(CX$7:CX$106,$AH105),1),IF($AI105&gt;0,INDEX(CX$7:CX$106,$AI105),1),IF($AJ105&gt;0,INDEX(CX$7:CX$106,$AJ105),1))))</ns0:f>
        <ns0:v>1</ns0:v>
      </ns0:c>
      <ns0:c r="CZ105" t="n">
        <ns0:f>IF($A105="",1,IF(CY105=1,1,--AND(IF($AC105&gt;0,INDEX(CY$7:CY$106,$AC105),1),IF($AD105&gt;0,INDEX(CY$7:CY$106,$AD105),1),IF($AE105&gt;0,INDEX(CY$7:CY$106,$AE105),1),IF($AF105&gt;0,INDEX(CY$7:CY$106,$AF105),1),IF($AG105&gt;0,INDEX(CY$7:CY$106,$AG105),1),IF($AH105&gt;0,INDEX(CY$7:CY$106,$AH105),1),IF($AI105&gt;0,INDEX(CY$7:CY$106,$AI105),1),IF($AJ105&gt;0,INDEX(CY$7:CY$106,$AJ105),1))))</ns0:f>
        <ns0:v>1</ns0:v>
      </ns0:c>
      <ns0:c r="DA105" t="n">
        <ns0:f>IF($A105="",1,IF(CZ105=1,1,--AND(IF($AC105&gt;0,INDEX(CZ$7:CZ$106,$AC105),1),IF($AD105&gt;0,INDEX(CZ$7:CZ$106,$AD105),1),IF($AE105&gt;0,INDEX(CZ$7:CZ$106,$AE105),1),IF($AF105&gt;0,INDEX(CZ$7:CZ$106,$AF105),1),IF($AG105&gt;0,INDEX(CZ$7:CZ$106,$AG105),1),IF($AH105&gt;0,INDEX(CZ$7:CZ$106,$AH105),1),IF($AI105&gt;0,INDEX(CZ$7:CZ$106,$AI105),1),IF($AJ105&gt;0,INDEX(CZ$7:CZ$106,$AJ105),1))))</ns0:f>
        <ns0:v>1</ns0:v>
      </ns0:c>
      <ns0:c r="DB105" t="n">
        <ns0:f>IF($A105="",1,IF(DA105=1,1,--AND(IF($AC105&gt;0,INDEX(DA$7:DA$106,$AC105),1),IF($AD105&gt;0,INDEX(DA$7:DA$106,$AD105),1),IF($AE105&gt;0,INDEX(DA$7:DA$106,$AE105),1),IF($AF105&gt;0,INDEX(DA$7:DA$106,$AF105),1),IF($AG105&gt;0,INDEX(DA$7:DA$106,$AG105),1),IF($AH105&gt;0,INDEX(DA$7:DA$106,$AH105),1),IF($AI105&gt;0,INDEX(DA$7:DA$106,$AI105),1),IF($AJ105&gt;0,INDEX(DA$7:DA$106,$AJ105),1))))</ns0:f>
        <ns0:v>1</ns0:v>
      </ns0:c>
      <ns0:c r="DC105" t="n">
        <ns0:f>IF($A105="",1,IF(DB105=1,1,--AND(IF($AC105&gt;0,INDEX(DB$7:DB$106,$AC105),1),IF($AD105&gt;0,INDEX(DB$7:DB$106,$AD105),1),IF($AE105&gt;0,INDEX(DB$7:DB$106,$AE105),1),IF($AF105&gt;0,INDEX(DB$7:DB$106,$AF105),1),IF($AG105&gt;0,INDEX(DB$7:DB$106,$AG105),1),IF($AH105&gt;0,INDEX(DB$7:DB$106,$AH105),1),IF($AI105&gt;0,INDEX(DB$7:DB$106,$AI105),1),IF($AJ105&gt;0,INDEX(DB$7:DB$106,$AJ105),1))))</ns0:f>
        <ns0:v>1</ns0:v>
      </ns0:c>
      <ns0:c r="DD105" t="n">
        <ns0:f>IF($A105="",1,IF(DC105=1,1,--AND(IF($AC105&gt;0,INDEX(DC$7:DC$106,$AC105),1),IF($AD105&gt;0,INDEX(DC$7:DC$106,$AD105),1),IF($AE105&gt;0,INDEX(DC$7:DC$106,$AE105),1),IF($AF105&gt;0,INDEX(DC$7:DC$106,$AF105),1),IF($AG105&gt;0,INDEX(DC$7:DC$106,$AG105),1),IF($AH105&gt;0,INDEX(DC$7:DC$106,$AH105),1),IF($AI105&gt;0,INDEX(DC$7:DC$106,$AI105),1),IF($AJ105&gt;0,INDEX(DC$7:DC$106,$AJ105),1))))</ns0:f>
        <ns0:v>1</ns0:v>
      </ns0:c>
      <ns0:c r="DE105" t="n">
        <ns0:f>IF($A105="",1,IF(DD105=1,1,--AND(IF($AC105&gt;0,INDEX(DD$7:DD$106,$AC105),1),IF($AD105&gt;0,INDEX(DD$7:DD$106,$AD105),1),IF($AE105&gt;0,INDEX(DD$7:DD$106,$AE105),1),IF($AF105&gt;0,INDEX(DD$7:DD$106,$AF105),1),IF($AG105&gt;0,INDEX(DD$7:DD$106,$AG105),1),IF($AH105&gt;0,INDEX(DD$7:DD$106,$AH105),1),IF($AI105&gt;0,INDEX(DD$7:DD$106,$AI105),1),IF($AJ105&gt;0,INDEX(DD$7:DD$106,$AJ105),1))))</ns0:f>
        <ns0:v>1</ns0:v>
      </ns0:c>
      <ns0:c r="DF105" t="n">
        <ns0:f>IF($A105="",1,IF(DE105=1,1,--AND(IF($AC105&gt;0,INDEX(DE$7:DE$106,$AC105),1),IF($AD105&gt;0,INDEX(DE$7:DE$106,$AD105),1),IF($AE105&gt;0,INDEX(DE$7:DE$106,$AE105),1),IF($AF105&gt;0,INDEX(DE$7:DE$106,$AF105),1),IF($AG105&gt;0,INDEX(DE$7:DE$106,$AG105),1),IF($AH105&gt;0,INDEX(DE$7:DE$106,$AH105),1),IF($AI105&gt;0,INDEX(DE$7:DE$106,$AI105),1),IF($AJ105&gt;0,INDEX(DE$7:DE$106,$AJ105),1))))</ns0:f>
        <ns0:v>1</ns0:v>
      </ns0:c>
      <ns0:c r="DG105" t="n">
        <ns0:f>IF($A105="",1,IF(DF105=1,1,--AND(IF($AC105&gt;0,INDEX(DF$7:DF$106,$AC105),1),IF($AD105&gt;0,INDEX(DF$7:DF$106,$AD105),1),IF($AE105&gt;0,INDEX(DF$7:DF$106,$AE105),1),IF($AF105&gt;0,INDEX(DF$7:DF$106,$AF105),1),IF($AG105&gt;0,INDEX(DF$7:DF$106,$AG105),1),IF($AH105&gt;0,INDEX(DF$7:DF$106,$AH105),1),IF($AI105&gt;0,INDEX(DF$7:DF$106,$AI105),1),IF($AJ105&gt;0,INDEX(DF$7:DF$106,$AJ105),1))))</ns0:f>
        <ns0:v>1</ns0:v>
      </ns0:c>
      <ns0:c r="DH105" t="n">
        <ns0:f>IF($A105="",1,IF(DG105=1,1,--AND(IF($AC105&gt;0,INDEX(DG$7:DG$106,$AC105),1),IF($AD105&gt;0,INDEX(DG$7:DG$106,$AD105),1),IF($AE105&gt;0,INDEX(DG$7:DG$106,$AE105),1),IF($AF105&gt;0,INDEX(DG$7:DG$106,$AF105),1),IF($AG105&gt;0,INDEX(DG$7:DG$106,$AG105),1),IF($AH105&gt;0,INDEX(DG$7:DG$106,$AH105),1),IF($AI105&gt;0,INDEX(DG$7:DG$106,$AI105),1),IF($AJ105&gt;0,INDEX(DG$7:DG$106,$AJ105),1))))</ns0:f>
        <ns0:v>1</ns0:v>
      </ns0:c>
      <ns0:c r="DI105" t="n">
        <ns0:f>IF($A105="",1,IF(DH105=1,1,--AND(IF($AC105&gt;0,INDEX(DH$7:DH$106,$AC105),1),IF($AD105&gt;0,INDEX(DH$7:DH$106,$AD105),1),IF($AE105&gt;0,INDEX(DH$7:DH$106,$AE105),1),IF($AF105&gt;0,INDEX(DH$7:DH$106,$AF105),1),IF($AG105&gt;0,INDEX(DH$7:DH$106,$AG105),1),IF($AH105&gt;0,INDEX(DH$7:DH$106,$AH105),1),IF($AI105&gt;0,INDEX(DH$7:DH$106,$AI105),1),IF($AJ105&gt;0,INDEX(DH$7:DH$106,$AJ105),1))))</ns0:f>
        <ns0:v>1</ns0:v>
      </ns0:c>
      <ns0:c r="DJ105" t="n">
        <ns0:f>IF($A105="",1,IF(DI105=1,1,--AND(IF($AC105&gt;0,INDEX(DI$7:DI$106,$AC105),1),IF($AD105&gt;0,INDEX(DI$7:DI$106,$AD105),1),IF($AE105&gt;0,INDEX(DI$7:DI$106,$AE105),1),IF($AF105&gt;0,INDEX(DI$7:DI$106,$AF105),1),IF($AG105&gt;0,INDEX(DI$7:DI$106,$AG105),1),IF($AH105&gt;0,INDEX(DI$7:DI$106,$AH105),1),IF($AI105&gt;0,INDEX(DI$7:DI$106,$AI105),1),IF($AJ105&gt;0,INDEX(DI$7:DI$106,$AJ105),1))))</ns0:f>
        <ns0:v>1</ns0:v>
      </ns0:c>
      <ns0:c r="DK105" t="n">
        <ns0:f>IF($A105="",1,IF(DJ105=1,1,--AND(IF($AC105&gt;0,INDEX(DJ$7:DJ$106,$AC105),1),IF($AD105&gt;0,INDEX(DJ$7:DJ$106,$AD105),1),IF($AE105&gt;0,INDEX(DJ$7:DJ$106,$AE105),1),IF($AF105&gt;0,INDEX(DJ$7:DJ$106,$AF105),1),IF($AG105&gt;0,INDEX(DJ$7:DJ$106,$AG105),1),IF($AH105&gt;0,INDEX(DJ$7:DJ$106,$AH105),1),IF($AI105&gt;0,INDEX(DJ$7:DJ$106,$AI105),1),IF($AJ105&gt;0,INDEX(DJ$7:DJ$106,$AJ105),1))))</ns0:f>
        <ns0:v>1</ns0:v>
      </ns0:c>
      <ns0:c r="DL105" t="n">
        <ns0:f>IF($A105="",1,IF(DK105=1,1,--AND(IF($AC105&gt;0,INDEX(DK$7:DK$106,$AC105),1),IF($AD105&gt;0,INDEX(DK$7:DK$106,$AD105),1),IF($AE105&gt;0,INDEX(DK$7:DK$106,$AE105),1),IF($AF105&gt;0,INDEX(DK$7:DK$106,$AF105),1),IF($AG105&gt;0,INDEX(DK$7:DK$106,$AG105),1),IF($AH105&gt;0,INDEX(DK$7:DK$106,$AH105),1),IF($AI105&gt;0,INDEX(DK$7:DK$106,$AI105),1),IF($AJ105&gt;0,INDEX(DK$7:DK$106,$AJ105),1))))</ns0:f>
        <ns0:v>1</ns0:v>
      </ns0:c>
      <ns0:c r="DM105" t="n">
        <ns0:f>IF($A105="",1,IF(DL105=1,1,--AND(IF($AC105&gt;0,INDEX(DL$7:DL$106,$AC105),1),IF($AD105&gt;0,INDEX(DL$7:DL$106,$AD105),1),IF($AE105&gt;0,INDEX(DL$7:DL$106,$AE105),1),IF($AF105&gt;0,INDEX(DL$7:DL$106,$AF105),1),IF($AG105&gt;0,INDEX(DL$7:DL$106,$AG105),1),IF($AH105&gt;0,INDEX(DL$7:DL$106,$AH105),1),IF($AI105&gt;0,INDEX(DL$7:DL$106,$AI105),1),IF($AJ105&gt;0,INDEX(DL$7:DL$106,$AJ105),1))))</ns0:f>
        <ns0:v>1</ns0:v>
      </ns0:c>
      <ns0:c r="DN105" t="n">
        <ns0:f>IF($A105="",1,IF(DM105=1,1,--AND(IF($AC105&gt;0,INDEX(DM$7:DM$106,$AC105),1),IF($AD105&gt;0,INDEX(DM$7:DM$106,$AD105),1),IF($AE105&gt;0,INDEX(DM$7:DM$106,$AE105),1),IF($AF105&gt;0,INDEX(DM$7:DM$106,$AF105),1),IF($AG105&gt;0,INDEX(DM$7:DM$106,$AG105),1),IF($AH105&gt;0,INDEX(DM$7:DM$106,$AH105),1),IF($AI105&gt;0,INDEX(DM$7:DM$106,$AI105),1),IF($AJ105&gt;0,INDEX(DM$7:DM$106,$AJ105),1))))</ns0:f>
        <ns0:v>1</ns0:v>
      </ns0:c>
      <ns0:c r="DO105" t="n">
        <ns0:f>IF($A105="",1,IF(DN105=1,1,--AND(IF($AC105&gt;0,INDEX(DN$7:DN$106,$AC105),1),IF($AD105&gt;0,INDEX(DN$7:DN$106,$AD105),1),IF($AE105&gt;0,INDEX(DN$7:DN$106,$AE105),1),IF($AF105&gt;0,INDEX(DN$7:DN$106,$AF105),1),IF($AG105&gt;0,INDEX(DN$7:DN$106,$AG105),1),IF($AH105&gt;0,INDEX(DN$7:DN$106,$AH105),1),IF($AI105&gt;0,INDEX(DN$7:DN$106,$AI105),1),IF($AJ105&gt;0,INDEX(DN$7:DN$106,$AJ105),1))))</ns0:f>
        <ns0:v>1</ns0:v>
      </ns0:c>
      <ns0:c r="DP105" t="n">
        <ns0:f>IF($A105="",1,IF(DO105=1,1,--AND(IF($AC105&gt;0,INDEX(DO$7:DO$106,$AC105),1),IF($AD105&gt;0,INDEX(DO$7:DO$106,$AD105),1),IF($AE105&gt;0,INDEX(DO$7:DO$106,$AE105),1),IF($AF105&gt;0,INDEX(DO$7:DO$106,$AF105),1),IF($AG105&gt;0,INDEX(DO$7:DO$106,$AG105),1),IF($AH105&gt;0,INDEX(DO$7:DO$106,$AH105),1),IF($AI105&gt;0,INDEX(DO$7:DO$106,$AI105),1),IF($AJ105&gt;0,INDEX(DO$7:DO$106,$AJ105),1))))</ns0:f>
        <ns0:v>1</ns0:v>
      </ns0:c>
      <ns0:c r="DQ105" t="n">
        <ns0:f>IF($A105="",1,IF(DP105=1,1,--AND(IF($AC105&gt;0,INDEX(DP$7:DP$106,$AC105),1),IF($AD105&gt;0,INDEX(DP$7:DP$106,$AD105),1),IF($AE105&gt;0,INDEX(DP$7:DP$106,$AE105),1),IF($AF105&gt;0,INDEX(DP$7:DP$106,$AF105),1),IF($AG105&gt;0,INDEX(DP$7:DP$106,$AG105),1),IF($AH105&gt;0,INDEX(DP$7:DP$106,$AH105),1),IF($AI105&gt;0,INDEX(DP$7:DP$106,$AI105),1),IF($AJ105&gt;0,INDEX(DP$7:DP$106,$AJ105),1))))</ns0:f>
        <ns0:v>1</ns0:v>
      </ns0:c>
      <ns0:c r="DR105" t="n">
        <ns0:f>IF($A105="",1,IF(DQ105=1,1,--AND(IF($AC105&gt;0,INDEX(DQ$7:DQ$106,$AC105),1),IF($AD105&gt;0,INDEX(DQ$7:DQ$106,$AD105),1),IF($AE105&gt;0,INDEX(DQ$7:DQ$106,$AE105),1),IF($AF105&gt;0,INDEX(DQ$7:DQ$106,$AF105),1),IF($AG105&gt;0,INDEX(DQ$7:DQ$106,$AG105),1),IF($AH105&gt;0,INDEX(DQ$7:DQ$106,$AH105),1),IF($AI105&gt;0,INDEX(DQ$7:DQ$106,$AI105),1),IF($AJ105&gt;0,INDEX(DQ$7:DQ$106,$AJ105),1))))</ns0:f>
        <ns0:v>1</ns0:v>
      </ns0:c>
      <ns0:c r="DS105" t="n">
        <ns0:f>IF($A105="",1,IF(DR105=1,1,--AND(IF($AC105&gt;0,INDEX(DR$7:DR$106,$AC105),1),IF($AD105&gt;0,INDEX(DR$7:DR$106,$AD105),1),IF($AE105&gt;0,INDEX(DR$7:DR$106,$AE105),1),IF($AF105&gt;0,INDEX(DR$7:DR$106,$AF105),1),IF($AG105&gt;0,INDEX(DR$7:DR$106,$AG105),1),IF($AH105&gt;0,INDEX(DR$7:DR$106,$AH105),1),IF($AI105&gt;0,INDEX(DR$7:DR$106,$AI105),1),IF($AJ105&gt;0,INDEX(DR$7:DR$106,$AJ105),1))))</ns0:f>
        <ns0:v>1</ns0:v>
      </ns0:c>
      <ns0:c r="DT105" t="n">
        <ns0:f>IF($A105="",1,IF(DS105=1,1,--AND(IF($AC105&gt;0,INDEX(DS$7:DS$106,$AC105),1),IF($AD105&gt;0,INDEX(DS$7:DS$106,$AD105),1),IF($AE105&gt;0,INDEX(DS$7:DS$106,$AE105),1),IF($AF105&gt;0,INDEX(DS$7:DS$106,$AF105),1),IF($AG105&gt;0,INDEX(DS$7:DS$106,$AG105),1),IF($AH105&gt;0,INDEX(DS$7:DS$106,$AH105),1),IF($AI105&gt;0,INDEX(DS$7:DS$106,$AI105),1),IF($AJ105&gt;0,INDEX(DS$7:DS$106,$AJ105),1))))</ns0:f>
        <ns0:v>1</ns0:v>
      </ns0:c>
      <ns0:c r="DU105" t="n">
        <ns0:f>IF($A105="",1,IF(DT105=1,1,--AND(IF($AC105&gt;0,INDEX(DT$7:DT$106,$AC105),1),IF($AD105&gt;0,INDEX(DT$7:DT$106,$AD105),1),IF($AE105&gt;0,INDEX(DT$7:DT$106,$AE105),1),IF($AF105&gt;0,INDEX(DT$7:DT$106,$AF105),1),IF($AG105&gt;0,INDEX(DT$7:DT$106,$AG105),1),IF($AH105&gt;0,INDEX(DT$7:DT$106,$AH105),1),IF($AI105&gt;0,INDEX(DT$7:DT$106,$AI105),1),IF($AJ105&gt;0,INDEX(DT$7:DT$106,$AJ105),1))))</ns0:f>
        <ns0:v>1</ns0:v>
      </ns0:c>
      <ns0:c r="DV105" t="n">
        <ns0:f>IF($A105="",1,IF(DU105=1,1,--AND(IF($AC105&gt;0,INDEX(DU$7:DU$106,$AC105),1),IF($AD105&gt;0,INDEX(DU$7:DU$106,$AD105),1),IF($AE105&gt;0,INDEX(DU$7:DU$106,$AE105),1),IF($AF105&gt;0,INDEX(DU$7:DU$106,$AF105),1),IF($AG105&gt;0,INDEX(DU$7:DU$106,$AG105),1),IF($AH105&gt;0,INDEX(DU$7:DU$106,$AH105),1),IF($AI105&gt;0,INDEX(DU$7:DU$106,$AI105),1),IF($AJ105&gt;0,INDEX(DU$7:DU$106,$AJ105),1))))</ns0:f>
        <ns0:v>1</ns0:v>
      </ns0:c>
      <ns0:c r="DW105" t="n">
        <ns0:f>IF($A105="",1,IF(DV105=1,1,--AND(IF($AC105&gt;0,INDEX(DV$7:DV$106,$AC105),1),IF($AD105&gt;0,INDEX(DV$7:DV$106,$AD105),1),IF($AE105&gt;0,INDEX(DV$7:DV$106,$AE105),1),IF($AF105&gt;0,INDEX(DV$7:DV$106,$AF105),1),IF($AG105&gt;0,INDEX(DV$7:DV$106,$AG105),1),IF($AH105&gt;0,INDEX(DV$7:DV$106,$AH105),1),IF($AI105&gt;0,INDEX(DV$7:DV$106,$AI105),1),IF($AJ105&gt;0,INDEX(DV$7:DV$106,$AJ105),1))))</ns0:f>
        <ns0:v>1</ns0:v>
      </ns0:c>
      <ns0:c r="DX105" t="n">
        <ns0:f>IF($A105="",1,IF(DW105=1,1,--AND(IF($AC105&gt;0,INDEX(DW$7:DW$106,$AC105),1),IF($AD105&gt;0,INDEX(DW$7:DW$106,$AD105),1),IF($AE105&gt;0,INDEX(DW$7:DW$106,$AE105),1),IF($AF105&gt;0,INDEX(DW$7:DW$106,$AF105),1),IF($AG105&gt;0,INDEX(DW$7:DW$106,$AG105),1),IF($AH105&gt;0,INDEX(DW$7:DW$106,$AH105),1),IF($AI105&gt;0,INDEX(DW$7:DW$106,$AI105),1),IF($AJ105&gt;0,INDEX(DW$7:DW$106,$AJ105),1))))</ns0:f>
        <ns0:v>1</ns0:v>
      </ns0:c>
      <ns0:c r="DY105" t="n">
        <ns0:f>IF($A105="",1,IF(DX105=1,1,--AND(IF($AC105&gt;0,INDEX(DX$7:DX$106,$AC105),1),IF($AD105&gt;0,INDEX(DX$7:DX$106,$AD105),1),IF($AE105&gt;0,INDEX(DX$7:DX$106,$AE105),1),IF($AF105&gt;0,INDEX(DX$7:DX$106,$AF105),1),IF($AG105&gt;0,INDEX(DX$7:DX$106,$AG105),1),IF($AH105&gt;0,INDEX(DX$7:DX$106,$AH105),1),IF($AI105&gt;0,INDEX(DX$7:DX$106,$AI105),1),IF($AJ105&gt;0,INDEX(DX$7:DX$106,$AJ105),1))))</ns0:f>
        <ns0:v>1</ns0:v>
      </ns0:c>
      <ns0:c r="DZ105" t="n">
        <ns0:f>IF($A105="",1,IF(DY105=1,1,--AND(IF($AC105&gt;0,INDEX(DY$7:DY$106,$AC105),1),IF($AD105&gt;0,INDEX(DY$7:DY$106,$AD105),1),IF($AE105&gt;0,INDEX(DY$7:DY$106,$AE105),1),IF($AF105&gt;0,INDEX(DY$7:DY$106,$AF105),1),IF($AG105&gt;0,INDEX(DY$7:DY$106,$AG105),1),IF($AH105&gt;0,INDEX(DY$7:DY$106,$AH105),1),IF($AI105&gt;0,INDEX(DY$7:DY$106,$AI105),1),IF($AJ105&gt;0,INDEX(DY$7:DY$106,$AJ105),1))))</ns0:f>
        <ns0:v>1</ns0:v>
      </ns0:c>
      <ns0:c r="EA105" t="n">
        <ns0:f>IF($A105="",1,IF(DZ105=1,1,--AND(IF($AC105&gt;0,INDEX(DZ$7:DZ$106,$AC105),1),IF($AD105&gt;0,INDEX(DZ$7:DZ$106,$AD105),1),IF($AE105&gt;0,INDEX(DZ$7:DZ$106,$AE105),1),IF($AF105&gt;0,INDEX(DZ$7:DZ$106,$AF105),1),IF($AG105&gt;0,INDEX(DZ$7:DZ$106,$AG105),1),IF($AH105&gt;0,INDEX(DZ$7:DZ$106,$AH105),1),IF($AI105&gt;0,INDEX(DZ$7:DZ$106,$AI105),1),IF($AJ105&gt;0,INDEX(DZ$7:DZ$106,$AJ105),1))))</ns0:f>
        <ns0:v>1</ns0:v>
      </ns0:c>
      <ns0:c r="EB105" t="n">
        <ns0:f>IF($A105="",1,IF(EA105=1,1,--AND(IF($AC105&gt;0,INDEX(EA$7:EA$106,$AC105),1),IF($AD105&gt;0,INDEX(EA$7:EA$106,$AD105),1),IF($AE105&gt;0,INDEX(EA$7:EA$106,$AE105),1),IF($AF105&gt;0,INDEX(EA$7:EA$106,$AF105),1),IF($AG105&gt;0,INDEX(EA$7:EA$106,$AG105),1),IF($AH105&gt;0,INDEX(EA$7:EA$106,$AH105),1),IF($AI105&gt;0,INDEX(EA$7:EA$106,$AI105),1),IF($AJ105&gt;0,INDEX(EA$7:EA$106,$AJ105),1))))</ns0:f>
        <ns0:v>1</ns0:v>
      </ns0:c>
      <ns0:c r="EC105" t="n">
        <ns0:f>IF($A105="",1,IF(EB105=1,1,--AND(IF($AC105&gt;0,INDEX(EB$7:EB$106,$AC105),1),IF($AD105&gt;0,INDEX(EB$7:EB$106,$AD105),1),IF($AE105&gt;0,INDEX(EB$7:EB$106,$AE105),1),IF($AF105&gt;0,INDEX(EB$7:EB$106,$AF105),1),IF($AG105&gt;0,INDEX(EB$7:EB$106,$AG105),1),IF($AH105&gt;0,INDEX(EB$7:EB$106,$AH105),1),IF($AI105&gt;0,INDEX(EB$7:EB$106,$AI105),1),IF($AJ105&gt;0,INDEX(EB$7:EB$106,$AJ105),1))))</ns0:f>
        <ns0:v>1</ns0:v>
      </ns0:c>
      <ns0:c r="ED105" t="n">
        <ns0:f>IF($A105="",1,IF(EC105=1,1,--AND(IF($AC105&gt;0,INDEX(EC$7:EC$106,$AC105),1),IF($AD105&gt;0,INDEX(EC$7:EC$106,$AD105),1),IF($AE105&gt;0,INDEX(EC$7:EC$106,$AE105),1),IF($AF105&gt;0,INDEX(EC$7:EC$106,$AF105),1),IF($AG105&gt;0,INDEX(EC$7:EC$106,$AG105),1),IF($AH105&gt;0,INDEX(EC$7:EC$106,$AH105),1),IF($AI105&gt;0,INDEX(EC$7:EC$106,$AI105),1),IF($AJ105&gt;0,INDEX(EC$7:EC$106,$AJ105),1))))</ns0:f>
        <ns0:v>1</ns0:v>
      </ns0:c>
      <ns0:c r="EE105" t="n">
        <ns0:f>IF($A105="",1,IF(ED105=1,1,--AND(IF($AC105&gt;0,INDEX(ED$7:ED$106,$AC105),1),IF($AD105&gt;0,INDEX(ED$7:ED$106,$AD105),1),IF($AE105&gt;0,INDEX(ED$7:ED$106,$AE105),1),IF($AF105&gt;0,INDEX(ED$7:ED$106,$AF105),1),IF($AG105&gt;0,INDEX(ED$7:ED$106,$AG105),1),IF($AH105&gt;0,INDEX(ED$7:ED$106,$AH105),1),IF($AI105&gt;0,INDEX(ED$7:ED$106,$AI105),1),IF($AJ105&gt;0,INDEX(ED$7:ED$106,$AJ105),1))))</ns0:f>
        <ns0:v>1</ns0:v>
      </ns0:c>
      <ns0:c r="EF105" t="n">
        <ns0:f>IF($A105="",1,IF(EE105=1,1,--AND(IF($AC105&gt;0,INDEX(EE$7:EE$106,$AC105),1),IF($AD105&gt;0,INDEX(EE$7:EE$106,$AD105),1),IF($AE105&gt;0,INDEX(EE$7:EE$106,$AE105),1),IF($AF105&gt;0,INDEX(EE$7:EE$106,$AF105),1),IF($AG105&gt;0,INDEX(EE$7:EE$106,$AG105),1),IF($AH105&gt;0,INDEX(EE$7:EE$106,$AH105),1),IF($AI105&gt;0,INDEX(EE$7:EE$106,$AI105),1),IF($AJ105&gt;0,INDEX(EE$7:EE$106,$AJ105),1))))</ns0:f>
        <ns0:v>1</ns0:v>
      </ns0:c>
      <ns0:c r="EG105" t="n">
        <ns0:f>IF($A105="",1,IF(EF105=1,1,--AND(IF($AC105&gt;0,INDEX(EF$7:EF$106,$AC105),1),IF($AD105&gt;0,INDEX(EF$7:EF$106,$AD105),1),IF($AE105&gt;0,INDEX(EF$7:EF$106,$AE105),1),IF($AF105&gt;0,INDEX(EF$7:EF$106,$AF105),1),IF($AG105&gt;0,INDEX(EF$7:EF$106,$AG105),1),IF($AH105&gt;0,INDEX(EF$7:EF$106,$AH105),1),IF($AI105&gt;0,INDEX(EF$7:EF$106,$AI105),1),IF($AJ105&gt;0,INDEX(EF$7:EF$106,$AJ105),1))))</ns0:f>
        <ns0:v>1</ns0:v>
      </ns0:c>
      <ns0:c r="EH105" t="n">
        <ns0:f>IF($A105="",1,IF(EG105=1,1,--AND(IF($AC105&gt;0,INDEX(EG$7:EG$106,$AC105),1),IF($AD105&gt;0,INDEX(EG$7:EG$106,$AD105),1),IF($AE105&gt;0,INDEX(EG$7:EG$106,$AE105),1),IF($AF105&gt;0,INDEX(EG$7:EG$106,$AF105),1),IF($AG105&gt;0,INDEX(EG$7:EG$106,$AG105),1),IF($AH105&gt;0,INDEX(EG$7:EG$106,$AH105),1),IF($AI105&gt;0,INDEX(EG$7:EG$106,$AI105),1),IF($AJ105&gt;0,INDEX(EG$7:EG$106,$AJ105),1))))</ns0:f>
        <ns0:v>1</ns0:v>
      </ns0:c>
      <ns0:c r="EI105" t="n">
        <ns0:f>IF($A105="",1,IF(EH105=1,1,--AND(IF($AC105&gt;0,INDEX(EH$7:EH$106,$AC105),1),IF($AD105&gt;0,INDEX(EH$7:EH$106,$AD105),1),IF($AE105&gt;0,INDEX(EH$7:EH$106,$AE105),1),IF($AF105&gt;0,INDEX(EH$7:EH$106,$AF105),1),IF($AG105&gt;0,INDEX(EH$7:EH$106,$AG105),1),IF($AH105&gt;0,INDEX(EH$7:EH$106,$AH105),1),IF($AI105&gt;0,INDEX(EH$7:EH$106,$AI105),1),IF($AJ105&gt;0,INDEX(EH$7:EH$106,$AJ105),1))))</ns0:f>
        <ns0:v>1</ns0:v>
      </ns0:c>
      <ns0:c r="EJ105" t="n">
        <ns0:f>IF($A105="",1,IF(EI105=1,1,--AND(IF($AC105&gt;0,INDEX(EI$7:EI$106,$AC105),1),IF($AD105&gt;0,INDEX(EI$7:EI$106,$AD105),1),IF($AE105&gt;0,INDEX(EI$7:EI$106,$AE105),1),IF($AF105&gt;0,INDEX(EI$7:EI$106,$AF105),1),IF($AG105&gt;0,INDEX(EI$7:EI$106,$AG105),1),IF($AH105&gt;0,INDEX(EI$7:EI$106,$AH105),1),IF($AI105&gt;0,INDEX(EI$7:EI$106,$AI105),1),IF($AJ105&gt;0,INDEX(EI$7:EI$106,$AJ105),1))))</ns0:f>
        <ns0:v>1</ns0:v>
      </ns0:c>
      <ns0:c r="EK105" t="n">
        <ns0:f>IF($A105="",1,IF(EJ105=1,1,--AND(IF($AC105&gt;0,INDEX(EJ$7:EJ$106,$AC105),1),IF($AD105&gt;0,INDEX(EJ$7:EJ$106,$AD105),1),IF($AE105&gt;0,INDEX(EJ$7:EJ$106,$AE105),1),IF($AF105&gt;0,INDEX(EJ$7:EJ$106,$AF105),1),IF($AG105&gt;0,INDEX(EJ$7:EJ$106,$AG105),1),IF($AH105&gt;0,INDEX(EJ$7:EJ$106,$AH105),1),IF($AI105&gt;0,INDEX(EJ$7:EJ$106,$AI105),1),IF($AJ105&gt;0,INDEX(EJ$7:EJ$106,$AJ105),1))))</ns0:f>
        <ns0:v>1</ns0:v>
      </ns0:c>
      <ns0:c r="EL105" t="n">
        <ns0:f>IF($A105="",1,IF(EK105=1,1,--AND(IF($AC105&gt;0,INDEX(EK$7:EK$106,$AC105),1),IF($AD105&gt;0,INDEX(EK$7:EK$106,$AD105),1),IF($AE105&gt;0,INDEX(EK$7:EK$106,$AE105),1),IF($AF105&gt;0,INDEX(EK$7:EK$106,$AF105),1),IF($AG105&gt;0,INDEX(EK$7:EK$106,$AG105),1),IF($AH105&gt;0,INDEX(EK$7:EK$106,$AH105),1),IF($AI105&gt;0,INDEX(EK$7:EK$106,$AI105),1),IF($AJ105&gt;0,INDEX(EK$7:EK$106,$AJ105),1))))</ns0:f>
        <ns0:v>1</ns0:v>
      </ns0:c>
      <ns0:c r="EM105" t="n">
        <ns0:f>IF($A105="",1,IF(EL105=1,1,--AND(IF($AC105&gt;0,INDEX(EL$7:EL$106,$AC105),1),IF($AD105&gt;0,INDEX(EL$7:EL$106,$AD105),1),IF($AE105&gt;0,INDEX(EL$7:EL$106,$AE105),1),IF($AF105&gt;0,INDEX(EL$7:EL$106,$AF105),1),IF($AG105&gt;0,INDEX(EL$7:EL$106,$AG105),1),IF($AH105&gt;0,INDEX(EL$7:EL$106,$AH105),1),IF($AI105&gt;0,INDEX(EL$7:EL$106,$AI105),1),IF($AJ105&gt;0,INDEX(EL$7:EL$106,$AJ105),1))))</ns0:f>
        <ns0:v>1</ns0:v>
      </ns0:c>
      <ns0:c r="EN105" t="n">
        <ns0:f>IF($A105="",1,IF(EM105=1,1,--AND(IF($AC105&gt;0,INDEX(EM$7:EM$106,$AC105),1),IF($AD105&gt;0,INDEX(EM$7:EM$106,$AD105),1),IF($AE105&gt;0,INDEX(EM$7:EM$106,$AE105),1),IF($AF105&gt;0,INDEX(EM$7:EM$106,$AF105),1),IF($AG105&gt;0,INDEX(EM$7:EM$106,$AG105),1),IF($AH105&gt;0,INDEX(EM$7:EM$106,$AH105),1),IF($AI105&gt;0,INDEX(EM$7:EM$106,$AI105),1),IF($AJ105&gt;0,INDEX(EM$7:EM$106,$AJ105),1))))</ns0:f>
        <ns0:v>1</ns0:v>
      </ns0:c>
      <ns0:c r="EO105" t="n">
        <ns0:f>IF($A105="",1,IF(EN105=1,1,--AND(IF($AC105&gt;0,INDEX(EN$7:EN$106,$AC105),1),IF($AD105&gt;0,INDEX(EN$7:EN$106,$AD105),1),IF($AE105&gt;0,INDEX(EN$7:EN$106,$AE105),1),IF($AF105&gt;0,INDEX(EN$7:EN$106,$AF105),1),IF($AG105&gt;0,INDEX(EN$7:EN$106,$AG105),1),IF($AH105&gt;0,INDEX(EN$7:EN$106,$AH105),1),IF($AI105&gt;0,INDEX(EN$7:EN$106,$AI105),1),IF($AJ105&gt;0,INDEX(EN$7:EN$106,$AJ105),1))))</ns0:f>
        <ns0:v>1</ns0:v>
      </ns0:c>
      <ns0:c r="EP105" t="n">
        <ns0:f>IF($A105="",1,IF(EO105=1,1,--AND(IF($AC105&gt;0,INDEX(EO$7:EO$106,$AC105),1),IF($AD105&gt;0,INDEX(EO$7:EO$106,$AD105),1),IF($AE105&gt;0,INDEX(EO$7:EO$106,$AE105),1),IF($AF105&gt;0,INDEX(EO$7:EO$106,$AF105),1),IF($AG105&gt;0,INDEX(EO$7:EO$106,$AG105),1),IF($AH105&gt;0,INDEX(EO$7:EO$106,$AH105),1),IF($AI105&gt;0,INDEX(EO$7:EO$106,$AI105),1),IF($AJ105&gt;0,INDEX(EO$7:EO$106,$AJ105),1))))</ns0:f>
        <ns0:v>1</ns0:v>
      </ns0:c>
      <ns0:c r="EQ105" t="n">
        <ns0:f>IF(OR(A105="",NOT(ISNUMBER(G105))),0,G105*N105)</ns0:f>
        <ns0:v>0</ns0:v>
      </ns0:c>
    </ns0:row>
    <ns0:row r="106" ht="62" customHeight="1">
      <ns0:c r="A106" s="48"/>
      <ns0:c r="B106" s="48"/>
      <ns0:c r="C106" s="48"/>
      <ns0:c r="D106" s="48"/>
      <ns0:c r="E106" s="49"/>
      <ns0:c r="F106" s="49"/>
      <ns0:c r="G106" s="13" t="str">
        <ns0:f>IF(A106="","",IF(OR(NOT(ISNUMBER(E106)),NOT(ISNUMBER(F106)),F106&lt;E106),"",IF(J106="Yes",0,F106-E106+1)))</ns0:f>
      </ns0:c>
      <ns0:c r="H106" s="48"/>
      <ns0:c r="I106" s="48"/>
      <ns0:c r="J106" s="48"/>
      <ns0:c r="K106" s="48"/>
      <ns0:c r="L106" s="48"/>
      <ns0:c r="M106" s="50" t="str">
        <ns0:f>IF(A106="","",IF(N106=1,"Completed",IF(N106&gt;0,"In Progress","Not Started")))</ns0:f>
      </ns0:c>
      <ns0:c r="N106" s="51"/>
      <ns0:c r="O106" s="13" t="str">
        <ns0:f>IF(A106="","",IF(R106&lt;&gt;"","[CONFLICT] "&amp;R106,IF(S106&lt;&gt;"","[CONFLICT] "&amp;S106,IF(OR(NOT(ISNUMBER(N106)),N106&lt;0,N106&gt;1),"[CONFLICT] Invalid progress",IF(AK106&gt;0,"[DEPENDENCY ISSUE] Missing ID / &gt;8 links",IF(AM106&gt;0,"[DEPENDENCY ISSUE] Cycle or blocked by cycle",IF(AND(H106&lt;&gt;"",ISNA(MATCH(I106,{"FS","SS","FF","SF"},0))),"[DEPENDENCY ISSUE] Invalid type",IF(AL106&gt;0,"[DEPENDENCY ISSUE] Timing conflict",IF(OR(E106&lt;ProjectStart,F106&gt;ProjectEnd),"[OUTSIDE WINDOW]",IF(AND(N106&lt;1,F106&lt;AsOfDate),"Overdue",IF(AND(M106&lt;&gt;Q106,M106&lt;&gt;""),"[CONFLICT] Status / progress","On track")))))))))))</ns0:f>
      </ns0:c>
      <ns0:c r="P106" s="52"/>
      <ns0:c r="Q106" t="str">
        <ns0:f>IF(A106="","",IF(OR(M106="On Hold",M106="Delayed"),M106,IF(N106=1,"Completed",IF(N106&gt;0,"In Progress","Not Started"))))</ns0:f>
      </ns0:c>
      <ns0:c r="R106" t="str">
        <ns0:f>IF(A106="","",IF(COUNTIFS(Tasks[Task ID],A106)&lt;&gt;1,"Duplicate ID",""))</ns0:f>
      </ns0:c>
      <ns0:c r="S106" t="str">
        <ns0:f>IF(A106="","",IF(OR(NOT(ISNUMBER(E106)),NOT(ISNUMBER(F106))),"Invalid / missing date",IF(OR(E106&lt;&gt;INT(E106),F106&lt;&gt;INT(F106),E106&lt;1,F106&gt;2958465),"Invalid date",IF(F106&lt;E106,"End before start",IF(AND(J106="Yes",E106&lt;&gt;F106),"Milestone needs one date","")))))</ns0:f>
      </ns0:c>
      <ns0:c r="T106" t="n">
        <ns0:f>IF(H106="",0,LEN(H106)-LEN(SUBSTITUTE(H106,",",""))+1)</ns0:f>
        <ns0:v>0</ns0:v>
      </ns0:c>
      <ns0:c r="U106" t="str">
        <ns0:f>TRIM(MID(SUBSTITUTE($H106,",",REPT(" ",100)),1,100))</ns0:f>
      </ns0:c>
      <ns0:c r="V106" t="str">
        <ns0:f>TRIM(MID(SUBSTITUTE($H106,",",REPT(" ",100)),101,100))</ns0:f>
      </ns0:c>
      <ns0:c r="W106" t="str">
        <ns0:f>TRIM(MID(SUBSTITUTE($H106,",",REPT(" ",100)),201,100))</ns0:f>
      </ns0:c>
      <ns0:c r="X106" t="str">
        <ns0:f>TRIM(MID(SUBSTITUTE($H106,",",REPT(" ",100)),301,100))</ns0:f>
      </ns0:c>
      <ns0:c r="Y106" t="str">
        <ns0:f>TRIM(MID(SUBSTITUTE($H106,",",REPT(" ",100)),401,100))</ns0:f>
      </ns0:c>
      <ns0:c r="Z106" t="str">
        <ns0:f>TRIM(MID(SUBSTITUTE($H106,",",REPT(" ",100)),501,100))</ns0:f>
      </ns0:c>
      <ns0:c r="AA106" t="str">
        <ns0:f>TRIM(MID(SUBSTITUTE($H106,",",REPT(" ",100)),601,100))</ns0:f>
      </ns0:c>
      <ns0:c r="AB106" t="str">
        <ns0:f>TRIM(MID(SUBSTITUTE($H106,",",REPT(" ",100)),701,100))</ns0:f>
      </ns0:c>
      <ns0:c r="AC106" t="n">
        <ns0:f>IF(U106="",0,IF(COUNTIFS(Tasks[Task ID],U106)=1,MATCH(U106,Tasks[Task ID],0),-1))</ns0:f>
        <ns0:v>0</ns0:v>
      </ns0:c>
      <ns0:c r="AD106" t="n">
        <ns0:f>IF(V106="",0,IF(COUNTIFS(Tasks[Task ID],V106)=1,MATCH(V106,Tasks[Task ID],0),-1))</ns0:f>
        <ns0:v>0</ns0:v>
      </ns0:c>
      <ns0:c r="AE106" t="n">
        <ns0:f>IF(W106="",0,IF(COUNTIFS(Tasks[Task ID],W106)=1,MATCH(W106,Tasks[Task ID],0),-1))</ns0:f>
        <ns0:v>0</ns0:v>
      </ns0:c>
      <ns0:c r="AF106" t="n">
        <ns0:f>IF(X106="",0,IF(COUNTIFS(Tasks[Task ID],X106)=1,MATCH(X106,Tasks[Task ID],0),-1))</ns0:f>
        <ns0:v>0</ns0:v>
      </ns0:c>
      <ns0:c r="AG106" t="n">
        <ns0:f>IF(Y106="",0,IF(COUNTIFS(Tasks[Task ID],Y106)=1,MATCH(Y106,Tasks[Task ID],0),-1))</ns0:f>
        <ns0:v>0</ns0:v>
      </ns0:c>
      <ns0:c r="AH106" t="n">
        <ns0:f>IF(Z106="",0,IF(COUNTIFS(Tasks[Task ID],Z106)=1,MATCH(Z106,Tasks[Task ID],0),-1))</ns0:f>
        <ns0:v>0</ns0:v>
      </ns0:c>
      <ns0:c r="AI106" t="n">
        <ns0:f>IF(AA106="",0,IF(COUNTIFS(Tasks[Task ID],AA106)=1,MATCH(AA106,Tasks[Task ID],0),-1))</ns0:f>
        <ns0:v>0</ns0:v>
      </ns0:c>
      <ns0:c r="AJ106" t="n">
        <ns0:f>IF(AB106="",0,IF(COUNTIFS(Tasks[Task ID],AB106)=1,MATCH(AB106,Tasks[Task ID],0),-1))</ns0:f>
        <ns0:v>0</ns0:v>
      </ns0:c>
      <ns0:c r="AK106" t="n">
        <ns0:f>COUNTIFS(AC106:AJ106,-1)+IF(T106&gt;8,1,0)</ns0:f>
        <ns0:v>0</ns0:v>
      </ns0:c>
      <ns0:c r="AL106" t="n">
        <ns0:f>IF(OR(A106="",S106&lt;&gt;""),0,SUM(IF(AC106&gt;0,IF($I106="FS",--($E106&lt;INDEX(Tasks[End Date],AC106)+IF(INDEX(Tasks[Milestone],AC106)="Yes",0,1)),IF($I106="SS",--($E106&lt;INDEX(Tasks[Start Date],AC106)),IF($I106="FF",--($F106&lt;INDEX(Tasks[End Date],AC106)),IF($I106="SF",--($F106&lt;INDEX(Tasks[Start Date],AC106)),0)))),0),IF(AD106&gt;0,IF($I106="FS",--($E106&lt;INDEX(Tasks[End Date],AD106)+IF(INDEX(Tasks[Milestone],AD106)="Yes",0,1)),IF($I106="SS",--($E106&lt;INDEX(Tasks[Start Date],AD106)),IF($I106="FF",--($F106&lt;INDEX(Tasks[End Date],AD106)),IF($I106="SF",--($F106&lt;INDEX(Tasks[Start Date],AD106)),0)))),0),IF(AE106&gt;0,IF($I106="FS",--($E106&lt;INDEX(Tasks[End Date],AE106)+IF(INDEX(Tasks[Milestone],AE106)="Yes",0,1)),IF($I106="SS",--($E106&lt;INDEX(Tasks[Start Date],AE106)),IF($I106="FF",--($F106&lt;INDEX(Tasks[End Date],AE106)),IF($I106="SF",--($F106&lt;INDEX(Tasks[Start Date],AE106)),0)))),0),IF(AF106&gt;0,IF($I106="FS",--($E106&lt;INDEX(Tasks[End Date],AF106)+IF(INDEX(Tasks[Milestone],AF106)="Yes",0,1)),IF($I106="SS",--($E106&lt;INDEX(Tasks[Start Date],AF106)),IF($I106="FF",--($F106&lt;INDEX(Tasks[End Date],AF106)),IF($I106="SF",--($F106&lt;INDEX(Tasks[Start Date],AF106)),0)))),0),IF(AG106&gt;0,IF($I106="FS",--($E106&lt;INDEX(Tasks[End Date],AG106)+IF(INDEX(Tasks[Milestone],AG106)="Yes",0,1)),IF($I106="SS",--($E106&lt;INDEX(Tasks[Start Date],AG106)),IF($I106="FF",--($F106&lt;INDEX(Tasks[End Date],AG106)),IF($I106="SF",--($F106&lt;INDEX(Tasks[Start Date],AG106)),0)))),0),IF(AH106&gt;0,IF($I106="FS",--($E106&lt;INDEX(Tasks[End Date],AH106)+IF(INDEX(Tasks[Milestone],AH106)="Yes",0,1)),IF($I106="SS",--($E106&lt;INDEX(Tasks[Start Date],AH106)),IF($I106="FF",--($F106&lt;INDEX(Tasks[End Date],AH106)),IF($I106="SF",--($F106&lt;INDEX(Tasks[Start Date],AH106)),0)))),0),IF(AI106&gt;0,IF($I106="FS",--($E106&lt;INDEX(Tasks[End Date],AI106)+IF(INDEX(Tasks[Milestone],AI106)="Yes",0,1)),IF($I106="SS",--($E106&lt;INDEX(Tasks[Start Date],AI106)),IF($I106="FF",--($F106&lt;INDEX(Tasks[End Date],AI106)),IF($I106="SF",--($F106&lt;INDEX(Tasks[Start Date],AI106)),0)))),0),IF(AJ106&gt;0,IF($I106="FS",--($E106&lt;INDEX(Tasks[End Date],AJ106)+IF(INDEX(Tasks[Milestone],AJ106)="Yes",0,1)),IF($I106="SS",--($E106&lt;INDEX(Tasks[Start Date],AJ106)),IF($I106="FF",--($F106&lt;INDEX(Tasks[End Date],AJ106)),IF($I106="SF",--($F106&lt;INDEX(Tasks[Start Date],AJ106)),0)))),0)))</ns0:f>
        <ns0:v>0</ns0:v>
      </ns0:c>
      <ns0:c r="AM106" t="n">
        <ns0:f>IF(AND(A106&lt;&gt;"",AK106=0,EP106=0),1,0)</ns0:f>
        <ns0:v>0</ns0:v>
      </ns0:c>
      <ns0:c r="AN106" t="str">
        <ns0:f>IF(OR(A106="",B106=""),"",IF(COUNTIFS($B$7:B106,B106)=1,MAX($AN$6:AN105)+1,""))</ns0:f>
      </ns0:c>
      <ns0:c r="AO106" t="n">
        <ns0:f>IF(AND(A106&lt;&gt;"",J106="No",N106&lt;1,E106&gt;=AsOfDate),E106+ROW()/10000,1E+9)</ns0:f>
        <ns0:v>1000000000</ns0:v>
      </ns0:c>
      <ns0:c r="AP106" t="n">
        <ns0:f>IF(AND(A106&lt;&gt;"",J106="Yes",N106&lt;1,E106&gt;=AsOfDate),E106+ROW()/10000,1E+9)</ns0:f>
        <ns0:v>1000000000</ns0:v>
      </ns0:c>
      <ns0:c r="AQ106" t="n">
        <ns0:f>IF(AND(A106&lt;&gt;"",J106="No",N106&lt;1,F106&gt;=AsOfDate,F106&lt;=AsOfDate+7),F106+ROW()/10000,1E+9)</ns0:f>
        <ns0:v>1000000000</ns0:v>
      </ns0:c>
      <ns0:c r="AR106" t="n">
        <ns0:f>IF(AND(A106&lt;&gt;"",OR(O106&lt;&gt;"On track",Q106="Delayed")),ROW(),1E+9)</ns0:f>
        <ns0:v>1000000000</ns0:v>
      </ns0:c>
      <ns0:c r="AS106" t="str">
        <ns0:f>IF(A106="","",";"&amp;K106&amp;";")</ns0:f>
      </ns0:c>
      <ns0:c r="AT106" t="n">
        <ns0:f>IF(A106="",1,--(T106=0))</ns0:f>
        <ns0:v>1</ns0:v>
      </ns0:c>
      <ns0:c r="AU106" t="n">
        <ns0:f>IF($A106="",1,IF(AT106=1,1,--AND(IF($AC106&gt;0,INDEX(AT$7:AT$106,$AC106),1),IF($AD106&gt;0,INDEX(AT$7:AT$106,$AD106),1),IF($AE106&gt;0,INDEX(AT$7:AT$106,$AE106),1),IF($AF106&gt;0,INDEX(AT$7:AT$106,$AF106),1),IF($AG106&gt;0,INDEX(AT$7:AT$106,$AG106),1),IF($AH106&gt;0,INDEX(AT$7:AT$106,$AH106),1),IF($AI106&gt;0,INDEX(AT$7:AT$106,$AI106),1),IF($AJ106&gt;0,INDEX(AT$7:AT$106,$AJ106),1))))</ns0:f>
        <ns0:v>1</ns0:v>
      </ns0:c>
      <ns0:c r="AV106" t="n">
        <ns0:f>IF($A106="",1,IF(AU106=1,1,--AND(IF($AC106&gt;0,INDEX(AU$7:AU$106,$AC106),1),IF($AD106&gt;0,INDEX(AU$7:AU$106,$AD106),1),IF($AE106&gt;0,INDEX(AU$7:AU$106,$AE106),1),IF($AF106&gt;0,INDEX(AU$7:AU$106,$AF106),1),IF($AG106&gt;0,INDEX(AU$7:AU$106,$AG106),1),IF($AH106&gt;0,INDEX(AU$7:AU$106,$AH106),1),IF($AI106&gt;0,INDEX(AU$7:AU$106,$AI106),1),IF($AJ106&gt;0,INDEX(AU$7:AU$106,$AJ106),1))))</ns0:f>
        <ns0:v>1</ns0:v>
      </ns0:c>
      <ns0:c r="AW106" t="n">
        <ns0:f>IF($A106="",1,IF(AV106=1,1,--AND(IF($AC106&gt;0,INDEX(AV$7:AV$106,$AC106),1),IF($AD106&gt;0,INDEX(AV$7:AV$106,$AD106),1),IF($AE106&gt;0,INDEX(AV$7:AV$106,$AE106),1),IF($AF106&gt;0,INDEX(AV$7:AV$106,$AF106),1),IF($AG106&gt;0,INDEX(AV$7:AV$106,$AG106),1),IF($AH106&gt;0,INDEX(AV$7:AV$106,$AH106),1),IF($AI106&gt;0,INDEX(AV$7:AV$106,$AI106),1),IF($AJ106&gt;0,INDEX(AV$7:AV$106,$AJ106),1))))</ns0:f>
        <ns0:v>1</ns0:v>
      </ns0:c>
      <ns0:c r="AX106" t="n">
        <ns0:f>IF($A106="",1,IF(AW106=1,1,--AND(IF($AC106&gt;0,INDEX(AW$7:AW$106,$AC106),1),IF($AD106&gt;0,INDEX(AW$7:AW$106,$AD106),1),IF($AE106&gt;0,INDEX(AW$7:AW$106,$AE106),1),IF($AF106&gt;0,INDEX(AW$7:AW$106,$AF106),1),IF($AG106&gt;0,INDEX(AW$7:AW$106,$AG106),1),IF($AH106&gt;0,INDEX(AW$7:AW$106,$AH106),1),IF($AI106&gt;0,INDEX(AW$7:AW$106,$AI106),1),IF($AJ106&gt;0,INDEX(AW$7:AW$106,$AJ106),1))))</ns0:f>
        <ns0:v>1</ns0:v>
      </ns0:c>
      <ns0:c r="AY106" t="n">
        <ns0:f>IF($A106="",1,IF(AX106=1,1,--AND(IF($AC106&gt;0,INDEX(AX$7:AX$106,$AC106),1),IF($AD106&gt;0,INDEX(AX$7:AX$106,$AD106),1),IF($AE106&gt;0,INDEX(AX$7:AX$106,$AE106),1),IF($AF106&gt;0,INDEX(AX$7:AX$106,$AF106),1),IF($AG106&gt;0,INDEX(AX$7:AX$106,$AG106),1),IF($AH106&gt;0,INDEX(AX$7:AX$106,$AH106),1),IF($AI106&gt;0,INDEX(AX$7:AX$106,$AI106),1),IF($AJ106&gt;0,INDEX(AX$7:AX$106,$AJ106),1))))</ns0:f>
        <ns0:v>1</ns0:v>
      </ns0:c>
      <ns0:c r="AZ106" t="n">
        <ns0:f>IF($A106="",1,IF(AY106=1,1,--AND(IF($AC106&gt;0,INDEX(AY$7:AY$106,$AC106),1),IF($AD106&gt;0,INDEX(AY$7:AY$106,$AD106),1),IF($AE106&gt;0,INDEX(AY$7:AY$106,$AE106),1),IF($AF106&gt;0,INDEX(AY$7:AY$106,$AF106),1),IF($AG106&gt;0,INDEX(AY$7:AY$106,$AG106),1),IF($AH106&gt;0,INDEX(AY$7:AY$106,$AH106),1),IF($AI106&gt;0,INDEX(AY$7:AY$106,$AI106),1),IF($AJ106&gt;0,INDEX(AY$7:AY$106,$AJ106),1))))</ns0:f>
        <ns0:v>1</ns0:v>
      </ns0:c>
      <ns0:c r="BA106" t="n">
        <ns0:f>IF($A106="",1,IF(AZ106=1,1,--AND(IF($AC106&gt;0,INDEX(AZ$7:AZ$106,$AC106),1),IF($AD106&gt;0,INDEX(AZ$7:AZ$106,$AD106),1),IF($AE106&gt;0,INDEX(AZ$7:AZ$106,$AE106),1),IF($AF106&gt;0,INDEX(AZ$7:AZ$106,$AF106),1),IF($AG106&gt;0,INDEX(AZ$7:AZ$106,$AG106),1),IF($AH106&gt;0,INDEX(AZ$7:AZ$106,$AH106),1),IF($AI106&gt;0,INDEX(AZ$7:AZ$106,$AI106),1),IF($AJ106&gt;0,INDEX(AZ$7:AZ$106,$AJ106),1))))</ns0:f>
        <ns0:v>1</ns0:v>
      </ns0:c>
      <ns0:c r="BB106" t="n">
        <ns0:f>IF($A106="",1,IF(BA106=1,1,--AND(IF($AC106&gt;0,INDEX(BA$7:BA$106,$AC106),1),IF($AD106&gt;0,INDEX(BA$7:BA$106,$AD106),1),IF($AE106&gt;0,INDEX(BA$7:BA$106,$AE106),1),IF($AF106&gt;0,INDEX(BA$7:BA$106,$AF106),1),IF($AG106&gt;0,INDEX(BA$7:BA$106,$AG106),1),IF($AH106&gt;0,INDEX(BA$7:BA$106,$AH106),1),IF($AI106&gt;0,INDEX(BA$7:BA$106,$AI106),1),IF($AJ106&gt;0,INDEX(BA$7:BA$106,$AJ106),1))))</ns0:f>
        <ns0:v>1</ns0:v>
      </ns0:c>
      <ns0:c r="BC106" t="n">
        <ns0:f>IF($A106="",1,IF(BB106=1,1,--AND(IF($AC106&gt;0,INDEX(BB$7:BB$106,$AC106),1),IF($AD106&gt;0,INDEX(BB$7:BB$106,$AD106),1),IF($AE106&gt;0,INDEX(BB$7:BB$106,$AE106),1),IF($AF106&gt;0,INDEX(BB$7:BB$106,$AF106),1),IF($AG106&gt;0,INDEX(BB$7:BB$106,$AG106),1),IF($AH106&gt;0,INDEX(BB$7:BB$106,$AH106),1),IF($AI106&gt;0,INDEX(BB$7:BB$106,$AI106),1),IF($AJ106&gt;0,INDEX(BB$7:BB$106,$AJ106),1))))</ns0:f>
        <ns0:v>1</ns0:v>
      </ns0:c>
      <ns0:c r="BD106" t="n">
        <ns0:f>IF($A106="",1,IF(BC106=1,1,--AND(IF($AC106&gt;0,INDEX(BC$7:BC$106,$AC106),1),IF($AD106&gt;0,INDEX(BC$7:BC$106,$AD106),1),IF($AE106&gt;0,INDEX(BC$7:BC$106,$AE106),1),IF($AF106&gt;0,INDEX(BC$7:BC$106,$AF106),1),IF($AG106&gt;0,INDEX(BC$7:BC$106,$AG106),1),IF($AH106&gt;0,INDEX(BC$7:BC$106,$AH106),1),IF($AI106&gt;0,INDEX(BC$7:BC$106,$AI106),1),IF($AJ106&gt;0,INDEX(BC$7:BC$106,$AJ106),1))))</ns0:f>
        <ns0:v>1</ns0:v>
      </ns0:c>
      <ns0:c r="BE106" t="n">
        <ns0:f>IF($A106="",1,IF(BD106=1,1,--AND(IF($AC106&gt;0,INDEX(BD$7:BD$106,$AC106),1),IF($AD106&gt;0,INDEX(BD$7:BD$106,$AD106),1),IF($AE106&gt;0,INDEX(BD$7:BD$106,$AE106),1),IF($AF106&gt;0,INDEX(BD$7:BD$106,$AF106),1),IF($AG106&gt;0,INDEX(BD$7:BD$106,$AG106),1),IF($AH106&gt;0,INDEX(BD$7:BD$106,$AH106),1),IF($AI106&gt;0,INDEX(BD$7:BD$106,$AI106),1),IF($AJ106&gt;0,INDEX(BD$7:BD$106,$AJ106),1))))</ns0:f>
        <ns0:v>1</ns0:v>
      </ns0:c>
      <ns0:c r="BF106" t="n">
        <ns0:f>IF($A106="",1,IF(BE106=1,1,--AND(IF($AC106&gt;0,INDEX(BE$7:BE$106,$AC106),1),IF($AD106&gt;0,INDEX(BE$7:BE$106,$AD106),1),IF($AE106&gt;0,INDEX(BE$7:BE$106,$AE106),1),IF($AF106&gt;0,INDEX(BE$7:BE$106,$AF106),1),IF($AG106&gt;0,INDEX(BE$7:BE$106,$AG106),1),IF($AH106&gt;0,INDEX(BE$7:BE$106,$AH106),1),IF($AI106&gt;0,INDEX(BE$7:BE$106,$AI106),1),IF($AJ106&gt;0,INDEX(BE$7:BE$106,$AJ106),1))))</ns0:f>
        <ns0:v>1</ns0:v>
      </ns0:c>
      <ns0:c r="BG106" t="n">
        <ns0:f>IF($A106="",1,IF(BF106=1,1,--AND(IF($AC106&gt;0,INDEX(BF$7:BF$106,$AC106),1),IF($AD106&gt;0,INDEX(BF$7:BF$106,$AD106),1),IF($AE106&gt;0,INDEX(BF$7:BF$106,$AE106),1),IF($AF106&gt;0,INDEX(BF$7:BF$106,$AF106),1),IF($AG106&gt;0,INDEX(BF$7:BF$106,$AG106),1),IF($AH106&gt;0,INDEX(BF$7:BF$106,$AH106),1),IF($AI106&gt;0,INDEX(BF$7:BF$106,$AI106),1),IF($AJ106&gt;0,INDEX(BF$7:BF$106,$AJ106),1))))</ns0:f>
        <ns0:v>1</ns0:v>
      </ns0:c>
      <ns0:c r="BH106" t="n">
        <ns0:f>IF($A106="",1,IF(BG106=1,1,--AND(IF($AC106&gt;0,INDEX(BG$7:BG$106,$AC106),1),IF($AD106&gt;0,INDEX(BG$7:BG$106,$AD106),1),IF($AE106&gt;0,INDEX(BG$7:BG$106,$AE106),1),IF($AF106&gt;0,INDEX(BG$7:BG$106,$AF106),1),IF($AG106&gt;0,INDEX(BG$7:BG$106,$AG106),1),IF($AH106&gt;0,INDEX(BG$7:BG$106,$AH106),1),IF($AI106&gt;0,INDEX(BG$7:BG$106,$AI106),1),IF($AJ106&gt;0,INDEX(BG$7:BG$106,$AJ106),1))))</ns0:f>
        <ns0:v>1</ns0:v>
      </ns0:c>
      <ns0:c r="BI106" t="n">
        <ns0:f>IF($A106="",1,IF(BH106=1,1,--AND(IF($AC106&gt;0,INDEX(BH$7:BH$106,$AC106),1),IF($AD106&gt;0,INDEX(BH$7:BH$106,$AD106),1),IF($AE106&gt;0,INDEX(BH$7:BH$106,$AE106),1),IF($AF106&gt;0,INDEX(BH$7:BH$106,$AF106),1),IF($AG106&gt;0,INDEX(BH$7:BH$106,$AG106),1),IF($AH106&gt;0,INDEX(BH$7:BH$106,$AH106),1),IF($AI106&gt;0,INDEX(BH$7:BH$106,$AI106),1),IF($AJ106&gt;0,INDEX(BH$7:BH$106,$AJ106),1))))</ns0:f>
        <ns0:v>1</ns0:v>
      </ns0:c>
      <ns0:c r="BJ106" t="n">
        <ns0:f>IF($A106="",1,IF(BI106=1,1,--AND(IF($AC106&gt;0,INDEX(BI$7:BI$106,$AC106),1),IF($AD106&gt;0,INDEX(BI$7:BI$106,$AD106),1),IF($AE106&gt;0,INDEX(BI$7:BI$106,$AE106),1),IF($AF106&gt;0,INDEX(BI$7:BI$106,$AF106),1),IF($AG106&gt;0,INDEX(BI$7:BI$106,$AG106),1),IF($AH106&gt;0,INDEX(BI$7:BI$106,$AH106),1),IF($AI106&gt;0,INDEX(BI$7:BI$106,$AI106),1),IF($AJ106&gt;0,INDEX(BI$7:BI$106,$AJ106),1))))</ns0:f>
        <ns0:v>1</ns0:v>
      </ns0:c>
      <ns0:c r="BK106" t="n">
        <ns0:f>IF($A106="",1,IF(BJ106=1,1,--AND(IF($AC106&gt;0,INDEX(BJ$7:BJ$106,$AC106),1),IF($AD106&gt;0,INDEX(BJ$7:BJ$106,$AD106),1),IF($AE106&gt;0,INDEX(BJ$7:BJ$106,$AE106),1),IF($AF106&gt;0,INDEX(BJ$7:BJ$106,$AF106),1),IF($AG106&gt;0,INDEX(BJ$7:BJ$106,$AG106),1),IF($AH106&gt;0,INDEX(BJ$7:BJ$106,$AH106),1),IF($AI106&gt;0,INDEX(BJ$7:BJ$106,$AI106),1),IF($AJ106&gt;0,INDEX(BJ$7:BJ$106,$AJ106),1))))</ns0:f>
        <ns0:v>1</ns0:v>
      </ns0:c>
      <ns0:c r="BL106" t="n">
        <ns0:f>IF($A106="",1,IF(BK106=1,1,--AND(IF($AC106&gt;0,INDEX(BK$7:BK$106,$AC106),1),IF($AD106&gt;0,INDEX(BK$7:BK$106,$AD106),1),IF($AE106&gt;0,INDEX(BK$7:BK$106,$AE106),1),IF($AF106&gt;0,INDEX(BK$7:BK$106,$AF106),1),IF($AG106&gt;0,INDEX(BK$7:BK$106,$AG106),1),IF($AH106&gt;0,INDEX(BK$7:BK$106,$AH106),1),IF($AI106&gt;0,INDEX(BK$7:BK$106,$AI106),1),IF($AJ106&gt;0,INDEX(BK$7:BK$106,$AJ106),1))))</ns0:f>
        <ns0:v>1</ns0:v>
      </ns0:c>
      <ns0:c r="BM106" t="n">
        <ns0:f>IF($A106="",1,IF(BL106=1,1,--AND(IF($AC106&gt;0,INDEX(BL$7:BL$106,$AC106),1),IF($AD106&gt;0,INDEX(BL$7:BL$106,$AD106),1),IF($AE106&gt;0,INDEX(BL$7:BL$106,$AE106),1),IF($AF106&gt;0,INDEX(BL$7:BL$106,$AF106),1),IF($AG106&gt;0,INDEX(BL$7:BL$106,$AG106),1),IF($AH106&gt;0,INDEX(BL$7:BL$106,$AH106),1),IF($AI106&gt;0,INDEX(BL$7:BL$106,$AI106),1),IF($AJ106&gt;0,INDEX(BL$7:BL$106,$AJ106),1))))</ns0:f>
        <ns0:v>1</ns0:v>
      </ns0:c>
      <ns0:c r="BN106" t="n">
        <ns0:f>IF($A106="",1,IF(BM106=1,1,--AND(IF($AC106&gt;0,INDEX(BM$7:BM$106,$AC106),1),IF($AD106&gt;0,INDEX(BM$7:BM$106,$AD106),1),IF($AE106&gt;0,INDEX(BM$7:BM$106,$AE106),1),IF($AF106&gt;0,INDEX(BM$7:BM$106,$AF106),1),IF($AG106&gt;0,INDEX(BM$7:BM$106,$AG106),1),IF($AH106&gt;0,INDEX(BM$7:BM$106,$AH106),1),IF($AI106&gt;0,INDEX(BM$7:BM$106,$AI106),1),IF($AJ106&gt;0,INDEX(BM$7:BM$106,$AJ106),1))))</ns0:f>
        <ns0:v>1</ns0:v>
      </ns0:c>
      <ns0:c r="BO106" t="n">
        <ns0:f>IF($A106="",1,IF(BN106=1,1,--AND(IF($AC106&gt;0,INDEX(BN$7:BN$106,$AC106),1),IF($AD106&gt;0,INDEX(BN$7:BN$106,$AD106),1),IF($AE106&gt;0,INDEX(BN$7:BN$106,$AE106),1),IF($AF106&gt;0,INDEX(BN$7:BN$106,$AF106),1),IF($AG106&gt;0,INDEX(BN$7:BN$106,$AG106),1),IF($AH106&gt;0,INDEX(BN$7:BN$106,$AH106),1),IF($AI106&gt;0,INDEX(BN$7:BN$106,$AI106),1),IF($AJ106&gt;0,INDEX(BN$7:BN$106,$AJ106),1))))</ns0:f>
        <ns0:v>1</ns0:v>
      </ns0:c>
      <ns0:c r="BP106" t="n">
        <ns0:f>IF($A106="",1,IF(BO106=1,1,--AND(IF($AC106&gt;0,INDEX(BO$7:BO$106,$AC106),1),IF($AD106&gt;0,INDEX(BO$7:BO$106,$AD106),1),IF($AE106&gt;0,INDEX(BO$7:BO$106,$AE106),1),IF($AF106&gt;0,INDEX(BO$7:BO$106,$AF106),1),IF($AG106&gt;0,INDEX(BO$7:BO$106,$AG106),1),IF($AH106&gt;0,INDEX(BO$7:BO$106,$AH106),1),IF($AI106&gt;0,INDEX(BO$7:BO$106,$AI106),1),IF($AJ106&gt;0,INDEX(BO$7:BO$106,$AJ106),1))))</ns0:f>
        <ns0:v>1</ns0:v>
      </ns0:c>
      <ns0:c r="BQ106" t="n">
        <ns0:f>IF($A106="",1,IF(BP106=1,1,--AND(IF($AC106&gt;0,INDEX(BP$7:BP$106,$AC106),1),IF($AD106&gt;0,INDEX(BP$7:BP$106,$AD106),1),IF($AE106&gt;0,INDEX(BP$7:BP$106,$AE106),1),IF($AF106&gt;0,INDEX(BP$7:BP$106,$AF106),1),IF($AG106&gt;0,INDEX(BP$7:BP$106,$AG106),1),IF($AH106&gt;0,INDEX(BP$7:BP$106,$AH106),1),IF($AI106&gt;0,INDEX(BP$7:BP$106,$AI106),1),IF($AJ106&gt;0,INDEX(BP$7:BP$106,$AJ106),1))))</ns0:f>
        <ns0:v>1</ns0:v>
      </ns0:c>
      <ns0:c r="BR106" t="n">
        <ns0:f>IF($A106="",1,IF(BQ106=1,1,--AND(IF($AC106&gt;0,INDEX(BQ$7:BQ$106,$AC106),1),IF($AD106&gt;0,INDEX(BQ$7:BQ$106,$AD106),1),IF($AE106&gt;0,INDEX(BQ$7:BQ$106,$AE106),1),IF($AF106&gt;0,INDEX(BQ$7:BQ$106,$AF106),1),IF($AG106&gt;0,INDEX(BQ$7:BQ$106,$AG106),1),IF($AH106&gt;0,INDEX(BQ$7:BQ$106,$AH106),1),IF($AI106&gt;0,INDEX(BQ$7:BQ$106,$AI106),1),IF($AJ106&gt;0,INDEX(BQ$7:BQ$106,$AJ106),1))))</ns0:f>
        <ns0:v>1</ns0:v>
      </ns0:c>
      <ns0:c r="BS106" t="n">
        <ns0:f>IF($A106="",1,IF(BR106=1,1,--AND(IF($AC106&gt;0,INDEX(BR$7:BR$106,$AC106),1),IF($AD106&gt;0,INDEX(BR$7:BR$106,$AD106),1),IF($AE106&gt;0,INDEX(BR$7:BR$106,$AE106),1),IF($AF106&gt;0,INDEX(BR$7:BR$106,$AF106),1),IF($AG106&gt;0,INDEX(BR$7:BR$106,$AG106),1),IF($AH106&gt;0,INDEX(BR$7:BR$106,$AH106),1),IF($AI106&gt;0,INDEX(BR$7:BR$106,$AI106),1),IF($AJ106&gt;0,INDEX(BR$7:BR$106,$AJ106),1))))</ns0:f>
        <ns0:v>1</ns0:v>
      </ns0:c>
      <ns0:c r="BT106" t="n">
        <ns0:f>IF($A106="",1,IF(BS106=1,1,--AND(IF($AC106&gt;0,INDEX(BS$7:BS$106,$AC106),1),IF($AD106&gt;0,INDEX(BS$7:BS$106,$AD106),1),IF($AE106&gt;0,INDEX(BS$7:BS$106,$AE106),1),IF($AF106&gt;0,INDEX(BS$7:BS$106,$AF106),1),IF($AG106&gt;0,INDEX(BS$7:BS$106,$AG106),1),IF($AH106&gt;0,INDEX(BS$7:BS$106,$AH106),1),IF($AI106&gt;0,INDEX(BS$7:BS$106,$AI106),1),IF($AJ106&gt;0,INDEX(BS$7:BS$106,$AJ106),1))))</ns0:f>
        <ns0:v>1</ns0:v>
      </ns0:c>
      <ns0:c r="BU106" t="n">
        <ns0:f>IF($A106="",1,IF(BT106=1,1,--AND(IF($AC106&gt;0,INDEX(BT$7:BT$106,$AC106),1),IF($AD106&gt;0,INDEX(BT$7:BT$106,$AD106),1),IF($AE106&gt;0,INDEX(BT$7:BT$106,$AE106),1),IF($AF106&gt;0,INDEX(BT$7:BT$106,$AF106),1),IF($AG106&gt;0,INDEX(BT$7:BT$106,$AG106),1),IF($AH106&gt;0,INDEX(BT$7:BT$106,$AH106),1),IF($AI106&gt;0,INDEX(BT$7:BT$106,$AI106),1),IF($AJ106&gt;0,INDEX(BT$7:BT$106,$AJ106),1))))</ns0:f>
        <ns0:v>1</ns0:v>
      </ns0:c>
      <ns0:c r="BV106" t="n">
        <ns0:f>IF($A106="",1,IF(BU106=1,1,--AND(IF($AC106&gt;0,INDEX(BU$7:BU$106,$AC106),1),IF($AD106&gt;0,INDEX(BU$7:BU$106,$AD106),1),IF($AE106&gt;0,INDEX(BU$7:BU$106,$AE106),1),IF($AF106&gt;0,INDEX(BU$7:BU$106,$AF106),1),IF($AG106&gt;0,INDEX(BU$7:BU$106,$AG106),1),IF($AH106&gt;0,INDEX(BU$7:BU$106,$AH106),1),IF($AI106&gt;0,INDEX(BU$7:BU$106,$AI106),1),IF($AJ106&gt;0,INDEX(BU$7:BU$106,$AJ106),1))))</ns0:f>
        <ns0:v>1</ns0:v>
      </ns0:c>
      <ns0:c r="BW106" t="n">
        <ns0:f>IF($A106="",1,IF(BV106=1,1,--AND(IF($AC106&gt;0,INDEX(BV$7:BV$106,$AC106),1),IF($AD106&gt;0,INDEX(BV$7:BV$106,$AD106),1),IF($AE106&gt;0,INDEX(BV$7:BV$106,$AE106),1),IF($AF106&gt;0,INDEX(BV$7:BV$106,$AF106),1),IF($AG106&gt;0,INDEX(BV$7:BV$106,$AG106),1),IF($AH106&gt;0,INDEX(BV$7:BV$106,$AH106),1),IF($AI106&gt;0,INDEX(BV$7:BV$106,$AI106),1),IF($AJ106&gt;0,INDEX(BV$7:BV$106,$AJ106),1))))</ns0:f>
        <ns0:v>1</ns0:v>
      </ns0:c>
      <ns0:c r="BX106" t="n">
        <ns0:f>IF($A106="",1,IF(BW106=1,1,--AND(IF($AC106&gt;0,INDEX(BW$7:BW$106,$AC106),1),IF($AD106&gt;0,INDEX(BW$7:BW$106,$AD106),1),IF($AE106&gt;0,INDEX(BW$7:BW$106,$AE106),1),IF($AF106&gt;0,INDEX(BW$7:BW$106,$AF106),1),IF($AG106&gt;0,INDEX(BW$7:BW$106,$AG106),1),IF($AH106&gt;0,INDEX(BW$7:BW$106,$AH106),1),IF($AI106&gt;0,INDEX(BW$7:BW$106,$AI106),1),IF($AJ106&gt;0,INDEX(BW$7:BW$106,$AJ106),1))))</ns0:f>
        <ns0:v>1</ns0:v>
      </ns0:c>
      <ns0:c r="BY106" t="n">
        <ns0:f>IF($A106="",1,IF(BX106=1,1,--AND(IF($AC106&gt;0,INDEX(BX$7:BX$106,$AC106),1),IF($AD106&gt;0,INDEX(BX$7:BX$106,$AD106),1),IF($AE106&gt;0,INDEX(BX$7:BX$106,$AE106),1),IF($AF106&gt;0,INDEX(BX$7:BX$106,$AF106),1),IF($AG106&gt;0,INDEX(BX$7:BX$106,$AG106),1),IF($AH106&gt;0,INDEX(BX$7:BX$106,$AH106),1),IF($AI106&gt;0,INDEX(BX$7:BX$106,$AI106),1),IF($AJ106&gt;0,INDEX(BX$7:BX$106,$AJ106),1))))</ns0:f>
        <ns0:v>1</ns0:v>
      </ns0:c>
      <ns0:c r="BZ106" t="n">
        <ns0:f>IF($A106="",1,IF(BY106=1,1,--AND(IF($AC106&gt;0,INDEX(BY$7:BY$106,$AC106),1),IF($AD106&gt;0,INDEX(BY$7:BY$106,$AD106),1),IF($AE106&gt;0,INDEX(BY$7:BY$106,$AE106),1),IF($AF106&gt;0,INDEX(BY$7:BY$106,$AF106),1),IF($AG106&gt;0,INDEX(BY$7:BY$106,$AG106),1),IF($AH106&gt;0,INDEX(BY$7:BY$106,$AH106),1),IF($AI106&gt;0,INDEX(BY$7:BY$106,$AI106),1),IF($AJ106&gt;0,INDEX(BY$7:BY$106,$AJ106),1))))</ns0:f>
        <ns0:v>1</ns0:v>
      </ns0:c>
      <ns0:c r="CA106" t="n">
        <ns0:f>IF($A106="",1,IF(BZ106=1,1,--AND(IF($AC106&gt;0,INDEX(BZ$7:BZ$106,$AC106),1),IF($AD106&gt;0,INDEX(BZ$7:BZ$106,$AD106),1),IF($AE106&gt;0,INDEX(BZ$7:BZ$106,$AE106),1),IF($AF106&gt;0,INDEX(BZ$7:BZ$106,$AF106),1),IF($AG106&gt;0,INDEX(BZ$7:BZ$106,$AG106),1),IF($AH106&gt;0,INDEX(BZ$7:BZ$106,$AH106),1),IF($AI106&gt;0,INDEX(BZ$7:BZ$106,$AI106),1),IF($AJ106&gt;0,INDEX(BZ$7:BZ$106,$AJ106),1))))</ns0:f>
        <ns0:v>1</ns0:v>
      </ns0:c>
      <ns0:c r="CB106" t="n">
        <ns0:f>IF($A106="",1,IF(CA106=1,1,--AND(IF($AC106&gt;0,INDEX(CA$7:CA$106,$AC106),1),IF($AD106&gt;0,INDEX(CA$7:CA$106,$AD106),1),IF($AE106&gt;0,INDEX(CA$7:CA$106,$AE106),1),IF($AF106&gt;0,INDEX(CA$7:CA$106,$AF106),1),IF($AG106&gt;0,INDEX(CA$7:CA$106,$AG106),1),IF($AH106&gt;0,INDEX(CA$7:CA$106,$AH106),1),IF($AI106&gt;0,INDEX(CA$7:CA$106,$AI106),1),IF($AJ106&gt;0,INDEX(CA$7:CA$106,$AJ106),1))))</ns0:f>
        <ns0:v>1</ns0:v>
      </ns0:c>
      <ns0:c r="CC106" t="n">
        <ns0:f>IF($A106="",1,IF(CB106=1,1,--AND(IF($AC106&gt;0,INDEX(CB$7:CB$106,$AC106),1),IF($AD106&gt;0,INDEX(CB$7:CB$106,$AD106),1),IF($AE106&gt;0,INDEX(CB$7:CB$106,$AE106),1),IF($AF106&gt;0,INDEX(CB$7:CB$106,$AF106),1),IF($AG106&gt;0,INDEX(CB$7:CB$106,$AG106),1),IF($AH106&gt;0,INDEX(CB$7:CB$106,$AH106),1),IF($AI106&gt;0,INDEX(CB$7:CB$106,$AI106),1),IF($AJ106&gt;0,INDEX(CB$7:CB$106,$AJ106),1))))</ns0:f>
        <ns0:v>1</ns0:v>
      </ns0:c>
      <ns0:c r="CD106" t="n">
        <ns0:f>IF($A106="",1,IF(CC106=1,1,--AND(IF($AC106&gt;0,INDEX(CC$7:CC$106,$AC106),1),IF($AD106&gt;0,INDEX(CC$7:CC$106,$AD106),1),IF($AE106&gt;0,INDEX(CC$7:CC$106,$AE106),1),IF($AF106&gt;0,INDEX(CC$7:CC$106,$AF106),1),IF($AG106&gt;0,INDEX(CC$7:CC$106,$AG106),1),IF($AH106&gt;0,INDEX(CC$7:CC$106,$AH106),1),IF($AI106&gt;0,INDEX(CC$7:CC$106,$AI106),1),IF($AJ106&gt;0,INDEX(CC$7:CC$106,$AJ106),1))))</ns0:f>
        <ns0:v>1</ns0:v>
      </ns0:c>
      <ns0:c r="CE106" t="n">
        <ns0:f>IF($A106="",1,IF(CD106=1,1,--AND(IF($AC106&gt;0,INDEX(CD$7:CD$106,$AC106),1),IF($AD106&gt;0,INDEX(CD$7:CD$106,$AD106),1),IF($AE106&gt;0,INDEX(CD$7:CD$106,$AE106),1),IF($AF106&gt;0,INDEX(CD$7:CD$106,$AF106),1),IF($AG106&gt;0,INDEX(CD$7:CD$106,$AG106),1),IF($AH106&gt;0,INDEX(CD$7:CD$106,$AH106),1),IF($AI106&gt;0,INDEX(CD$7:CD$106,$AI106),1),IF($AJ106&gt;0,INDEX(CD$7:CD$106,$AJ106),1))))</ns0:f>
        <ns0:v>1</ns0:v>
      </ns0:c>
      <ns0:c r="CF106" t="n">
        <ns0:f>IF($A106="",1,IF(CE106=1,1,--AND(IF($AC106&gt;0,INDEX(CE$7:CE$106,$AC106),1),IF($AD106&gt;0,INDEX(CE$7:CE$106,$AD106),1),IF($AE106&gt;0,INDEX(CE$7:CE$106,$AE106),1),IF($AF106&gt;0,INDEX(CE$7:CE$106,$AF106),1),IF($AG106&gt;0,INDEX(CE$7:CE$106,$AG106),1),IF($AH106&gt;0,INDEX(CE$7:CE$106,$AH106),1),IF($AI106&gt;0,INDEX(CE$7:CE$106,$AI106),1),IF($AJ106&gt;0,INDEX(CE$7:CE$106,$AJ106),1))))</ns0:f>
        <ns0:v>1</ns0:v>
      </ns0:c>
      <ns0:c r="CG106" t="n">
        <ns0:f>IF($A106="",1,IF(CF106=1,1,--AND(IF($AC106&gt;0,INDEX(CF$7:CF$106,$AC106),1),IF($AD106&gt;0,INDEX(CF$7:CF$106,$AD106),1),IF($AE106&gt;0,INDEX(CF$7:CF$106,$AE106),1),IF($AF106&gt;0,INDEX(CF$7:CF$106,$AF106),1),IF($AG106&gt;0,INDEX(CF$7:CF$106,$AG106),1),IF($AH106&gt;0,INDEX(CF$7:CF$106,$AH106),1),IF($AI106&gt;0,INDEX(CF$7:CF$106,$AI106),1),IF($AJ106&gt;0,INDEX(CF$7:CF$106,$AJ106),1))))</ns0:f>
        <ns0:v>1</ns0:v>
      </ns0:c>
      <ns0:c r="CH106" t="n">
        <ns0:f>IF($A106="",1,IF(CG106=1,1,--AND(IF($AC106&gt;0,INDEX(CG$7:CG$106,$AC106),1),IF($AD106&gt;0,INDEX(CG$7:CG$106,$AD106),1),IF($AE106&gt;0,INDEX(CG$7:CG$106,$AE106),1),IF($AF106&gt;0,INDEX(CG$7:CG$106,$AF106),1),IF($AG106&gt;0,INDEX(CG$7:CG$106,$AG106),1),IF($AH106&gt;0,INDEX(CG$7:CG$106,$AH106),1),IF($AI106&gt;0,INDEX(CG$7:CG$106,$AI106),1),IF($AJ106&gt;0,INDEX(CG$7:CG$106,$AJ106),1))))</ns0:f>
        <ns0:v>1</ns0:v>
      </ns0:c>
      <ns0:c r="CI106" t="n">
        <ns0:f>IF($A106="",1,IF(CH106=1,1,--AND(IF($AC106&gt;0,INDEX(CH$7:CH$106,$AC106),1),IF($AD106&gt;0,INDEX(CH$7:CH$106,$AD106),1),IF($AE106&gt;0,INDEX(CH$7:CH$106,$AE106),1),IF($AF106&gt;0,INDEX(CH$7:CH$106,$AF106),1),IF($AG106&gt;0,INDEX(CH$7:CH$106,$AG106),1),IF($AH106&gt;0,INDEX(CH$7:CH$106,$AH106),1),IF($AI106&gt;0,INDEX(CH$7:CH$106,$AI106),1),IF($AJ106&gt;0,INDEX(CH$7:CH$106,$AJ106),1))))</ns0:f>
        <ns0:v>1</ns0:v>
      </ns0:c>
      <ns0:c r="CJ106" t="n">
        <ns0:f>IF($A106="",1,IF(CI106=1,1,--AND(IF($AC106&gt;0,INDEX(CI$7:CI$106,$AC106),1),IF($AD106&gt;0,INDEX(CI$7:CI$106,$AD106),1),IF($AE106&gt;0,INDEX(CI$7:CI$106,$AE106),1),IF($AF106&gt;0,INDEX(CI$7:CI$106,$AF106),1),IF($AG106&gt;0,INDEX(CI$7:CI$106,$AG106),1),IF($AH106&gt;0,INDEX(CI$7:CI$106,$AH106),1),IF($AI106&gt;0,INDEX(CI$7:CI$106,$AI106),1),IF($AJ106&gt;0,INDEX(CI$7:CI$106,$AJ106),1))))</ns0:f>
        <ns0:v>1</ns0:v>
      </ns0:c>
      <ns0:c r="CK106" t="n">
        <ns0:f>IF($A106="",1,IF(CJ106=1,1,--AND(IF($AC106&gt;0,INDEX(CJ$7:CJ$106,$AC106),1),IF($AD106&gt;0,INDEX(CJ$7:CJ$106,$AD106),1),IF($AE106&gt;0,INDEX(CJ$7:CJ$106,$AE106),1),IF($AF106&gt;0,INDEX(CJ$7:CJ$106,$AF106),1),IF($AG106&gt;0,INDEX(CJ$7:CJ$106,$AG106),1),IF($AH106&gt;0,INDEX(CJ$7:CJ$106,$AH106),1),IF($AI106&gt;0,INDEX(CJ$7:CJ$106,$AI106),1),IF($AJ106&gt;0,INDEX(CJ$7:CJ$106,$AJ106),1))))</ns0:f>
        <ns0:v>1</ns0:v>
      </ns0:c>
      <ns0:c r="CL106" t="n">
        <ns0:f>IF($A106="",1,IF(CK106=1,1,--AND(IF($AC106&gt;0,INDEX(CK$7:CK$106,$AC106),1),IF($AD106&gt;0,INDEX(CK$7:CK$106,$AD106),1),IF($AE106&gt;0,INDEX(CK$7:CK$106,$AE106),1),IF($AF106&gt;0,INDEX(CK$7:CK$106,$AF106),1),IF($AG106&gt;0,INDEX(CK$7:CK$106,$AG106),1),IF($AH106&gt;0,INDEX(CK$7:CK$106,$AH106),1),IF($AI106&gt;0,INDEX(CK$7:CK$106,$AI106),1),IF($AJ106&gt;0,INDEX(CK$7:CK$106,$AJ106),1))))</ns0:f>
        <ns0:v>1</ns0:v>
      </ns0:c>
      <ns0:c r="CM106" t="n">
        <ns0:f>IF($A106="",1,IF(CL106=1,1,--AND(IF($AC106&gt;0,INDEX(CL$7:CL$106,$AC106),1),IF($AD106&gt;0,INDEX(CL$7:CL$106,$AD106),1),IF($AE106&gt;0,INDEX(CL$7:CL$106,$AE106),1),IF($AF106&gt;0,INDEX(CL$7:CL$106,$AF106),1),IF($AG106&gt;0,INDEX(CL$7:CL$106,$AG106),1),IF($AH106&gt;0,INDEX(CL$7:CL$106,$AH106),1),IF($AI106&gt;0,INDEX(CL$7:CL$106,$AI106),1),IF($AJ106&gt;0,INDEX(CL$7:CL$106,$AJ106),1))))</ns0:f>
        <ns0:v>1</ns0:v>
      </ns0:c>
      <ns0:c r="CN106" t="n">
        <ns0:f>IF($A106="",1,IF(CM106=1,1,--AND(IF($AC106&gt;0,INDEX(CM$7:CM$106,$AC106),1),IF($AD106&gt;0,INDEX(CM$7:CM$106,$AD106),1),IF($AE106&gt;0,INDEX(CM$7:CM$106,$AE106),1),IF($AF106&gt;0,INDEX(CM$7:CM$106,$AF106),1),IF($AG106&gt;0,INDEX(CM$7:CM$106,$AG106),1),IF($AH106&gt;0,INDEX(CM$7:CM$106,$AH106),1),IF($AI106&gt;0,INDEX(CM$7:CM$106,$AI106),1),IF($AJ106&gt;0,INDEX(CM$7:CM$106,$AJ106),1))))</ns0:f>
        <ns0:v>1</ns0:v>
      </ns0:c>
      <ns0:c r="CO106" t="n">
        <ns0:f>IF($A106="",1,IF(CN106=1,1,--AND(IF($AC106&gt;0,INDEX(CN$7:CN$106,$AC106),1),IF($AD106&gt;0,INDEX(CN$7:CN$106,$AD106),1),IF($AE106&gt;0,INDEX(CN$7:CN$106,$AE106),1),IF($AF106&gt;0,INDEX(CN$7:CN$106,$AF106),1),IF($AG106&gt;0,INDEX(CN$7:CN$106,$AG106),1),IF($AH106&gt;0,INDEX(CN$7:CN$106,$AH106),1),IF($AI106&gt;0,INDEX(CN$7:CN$106,$AI106),1),IF($AJ106&gt;0,INDEX(CN$7:CN$106,$AJ106),1))))</ns0:f>
        <ns0:v>1</ns0:v>
      </ns0:c>
      <ns0:c r="CP106" t="n">
        <ns0:f>IF($A106="",1,IF(CO106=1,1,--AND(IF($AC106&gt;0,INDEX(CO$7:CO$106,$AC106),1),IF($AD106&gt;0,INDEX(CO$7:CO$106,$AD106),1),IF($AE106&gt;0,INDEX(CO$7:CO$106,$AE106),1),IF($AF106&gt;0,INDEX(CO$7:CO$106,$AF106),1),IF($AG106&gt;0,INDEX(CO$7:CO$106,$AG106),1),IF($AH106&gt;0,INDEX(CO$7:CO$106,$AH106),1),IF($AI106&gt;0,INDEX(CO$7:CO$106,$AI106),1),IF($AJ106&gt;0,INDEX(CO$7:CO$106,$AJ106),1))))</ns0:f>
        <ns0:v>1</ns0:v>
      </ns0:c>
      <ns0:c r="CQ106" t="n">
        <ns0:f>IF($A106="",1,IF(CP106=1,1,--AND(IF($AC106&gt;0,INDEX(CP$7:CP$106,$AC106),1),IF($AD106&gt;0,INDEX(CP$7:CP$106,$AD106),1),IF($AE106&gt;0,INDEX(CP$7:CP$106,$AE106),1),IF($AF106&gt;0,INDEX(CP$7:CP$106,$AF106),1),IF($AG106&gt;0,INDEX(CP$7:CP$106,$AG106),1),IF($AH106&gt;0,INDEX(CP$7:CP$106,$AH106),1),IF($AI106&gt;0,INDEX(CP$7:CP$106,$AI106),1),IF($AJ106&gt;0,INDEX(CP$7:CP$106,$AJ106),1))))</ns0:f>
        <ns0:v>1</ns0:v>
      </ns0:c>
      <ns0:c r="CR106" t="n">
        <ns0:f>IF($A106="",1,IF(CQ106=1,1,--AND(IF($AC106&gt;0,INDEX(CQ$7:CQ$106,$AC106),1),IF($AD106&gt;0,INDEX(CQ$7:CQ$106,$AD106),1),IF($AE106&gt;0,INDEX(CQ$7:CQ$106,$AE106),1),IF($AF106&gt;0,INDEX(CQ$7:CQ$106,$AF106),1),IF($AG106&gt;0,INDEX(CQ$7:CQ$106,$AG106),1),IF($AH106&gt;0,INDEX(CQ$7:CQ$106,$AH106),1),IF($AI106&gt;0,INDEX(CQ$7:CQ$106,$AI106),1),IF($AJ106&gt;0,INDEX(CQ$7:CQ$106,$AJ106),1))))</ns0:f>
        <ns0:v>1</ns0:v>
      </ns0:c>
      <ns0:c r="CS106" t="n">
        <ns0:f>IF($A106="",1,IF(CR106=1,1,--AND(IF($AC106&gt;0,INDEX(CR$7:CR$106,$AC106),1),IF($AD106&gt;0,INDEX(CR$7:CR$106,$AD106),1),IF($AE106&gt;0,INDEX(CR$7:CR$106,$AE106),1),IF($AF106&gt;0,INDEX(CR$7:CR$106,$AF106),1),IF($AG106&gt;0,INDEX(CR$7:CR$106,$AG106),1),IF($AH106&gt;0,INDEX(CR$7:CR$106,$AH106),1),IF($AI106&gt;0,INDEX(CR$7:CR$106,$AI106),1),IF($AJ106&gt;0,INDEX(CR$7:CR$106,$AJ106),1))))</ns0:f>
        <ns0:v>1</ns0:v>
      </ns0:c>
      <ns0:c r="CT106" t="n">
        <ns0:f>IF($A106="",1,IF(CS106=1,1,--AND(IF($AC106&gt;0,INDEX(CS$7:CS$106,$AC106),1),IF($AD106&gt;0,INDEX(CS$7:CS$106,$AD106),1),IF($AE106&gt;0,INDEX(CS$7:CS$106,$AE106),1),IF($AF106&gt;0,INDEX(CS$7:CS$106,$AF106),1),IF($AG106&gt;0,INDEX(CS$7:CS$106,$AG106),1),IF($AH106&gt;0,INDEX(CS$7:CS$106,$AH106),1),IF($AI106&gt;0,INDEX(CS$7:CS$106,$AI106),1),IF($AJ106&gt;0,INDEX(CS$7:CS$106,$AJ106),1))))</ns0:f>
        <ns0:v>1</ns0:v>
      </ns0:c>
      <ns0:c r="CU106" t="n">
        <ns0:f>IF($A106="",1,IF(CT106=1,1,--AND(IF($AC106&gt;0,INDEX(CT$7:CT$106,$AC106),1),IF($AD106&gt;0,INDEX(CT$7:CT$106,$AD106),1),IF($AE106&gt;0,INDEX(CT$7:CT$106,$AE106),1),IF($AF106&gt;0,INDEX(CT$7:CT$106,$AF106),1),IF($AG106&gt;0,INDEX(CT$7:CT$106,$AG106),1),IF($AH106&gt;0,INDEX(CT$7:CT$106,$AH106),1),IF($AI106&gt;0,INDEX(CT$7:CT$106,$AI106),1),IF($AJ106&gt;0,INDEX(CT$7:CT$106,$AJ106),1))))</ns0:f>
        <ns0:v>1</ns0:v>
      </ns0:c>
      <ns0:c r="CV106" t="n">
        <ns0:f>IF($A106="",1,IF(CU106=1,1,--AND(IF($AC106&gt;0,INDEX(CU$7:CU$106,$AC106),1),IF($AD106&gt;0,INDEX(CU$7:CU$106,$AD106),1),IF($AE106&gt;0,INDEX(CU$7:CU$106,$AE106),1),IF($AF106&gt;0,INDEX(CU$7:CU$106,$AF106),1),IF($AG106&gt;0,INDEX(CU$7:CU$106,$AG106),1),IF($AH106&gt;0,INDEX(CU$7:CU$106,$AH106),1),IF($AI106&gt;0,INDEX(CU$7:CU$106,$AI106),1),IF($AJ106&gt;0,INDEX(CU$7:CU$106,$AJ106),1))))</ns0:f>
        <ns0:v>1</ns0:v>
      </ns0:c>
      <ns0:c r="CW106" t="n">
        <ns0:f>IF($A106="",1,IF(CV106=1,1,--AND(IF($AC106&gt;0,INDEX(CV$7:CV$106,$AC106),1),IF($AD106&gt;0,INDEX(CV$7:CV$106,$AD106),1),IF($AE106&gt;0,INDEX(CV$7:CV$106,$AE106),1),IF($AF106&gt;0,INDEX(CV$7:CV$106,$AF106),1),IF($AG106&gt;0,INDEX(CV$7:CV$106,$AG106),1),IF($AH106&gt;0,INDEX(CV$7:CV$106,$AH106),1),IF($AI106&gt;0,INDEX(CV$7:CV$106,$AI106),1),IF($AJ106&gt;0,INDEX(CV$7:CV$106,$AJ106),1))))</ns0:f>
        <ns0:v>1</ns0:v>
      </ns0:c>
      <ns0:c r="CX106" t="n">
        <ns0:f>IF($A106="",1,IF(CW106=1,1,--AND(IF($AC106&gt;0,INDEX(CW$7:CW$106,$AC106),1),IF($AD106&gt;0,INDEX(CW$7:CW$106,$AD106),1),IF($AE106&gt;0,INDEX(CW$7:CW$106,$AE106),1),IF($AF106&gt;0,INDEX(CW$7:CW$106,$AF106),1),IF($AG106&gt;0,INDEX(CW$7:CW$106,$AG106),1),IF($AH106&gt;0,INDEX(CW$7:CW$106,$AH106),1),IF($AI106&gt;0,INDEX(CW$7:CW$106,$AI106),1),IF($AJ106&gt;0,INDEX(CW$7:CW$106,$AJ106),1))))</ns0:f>
        <ns0:v>1</ns0:v>
      </ns0:c>
      <ns0:c r="CY106" t="n">
        <ns0:f>IF($A106="",1,IF(CX106=1,1,--AND(IF($AC106&gt;0,INDEX(CX$7:CX$106,$AC106),1),IF($AD106&gt;0,INDEX(CX$7:CX$106,$AD106),1),IF($AE106&gt;0,INDEX(CX$7:CX$106,$AE106),1),IF($AF106&gt;0,INDEX(CX$7:CX$106,$AF106),1),IF($AG106&gt;0,INDEX(CX$7:CX$106,$AG106),1),IF($AH106&gt;0,INDEX(CX$7:CX$106,$AH106),1),IF($AI106&gt;0,INDEX(CX$7:CX$106,$AI106),1),IF($AJ106&gt;0,INDEX(CX$7:CX$106,$AJ106),1))))</ns0:f>
        <ns0:v>1</ns0:v>
      </ns0:c>
      <ns0:c r="CZ106" t="n">
        <ns0:f>IF($A106="",1,IF(CY106=1,1,--AND(IF($AC106&gt;0,INDEX(CY$7:CY$106,$AC106),1),IF($AD106&gt;0,INDEX(CY$7:CY$106,$AD106),1),IF($AE106&gt;0,INDEX(CY$7:CY$106,$AE106),1),IF($AF106&gt;0,INDEX(CY$7:CY$106,$AF106),1),IF($AG106&gt;0,INDEX(CY$7:CY$106,$AG106),1),IF($AH106&gt;0,INDEX(CY$7:CY$106,$AH106),1),IF($AI106&gt;0,INDEX(CY$7:CY$106,$AI106),1),IF($AJ106&gt;0,INDEX(CY$7:CY$106,$AJ106),1))))</ns0:f>
        <ns0:v>1</ns0:v>
      </ns0:c>
      <ns0:c r="DA106" t="n">
        <ns0:f>IF($A106="",1,IF(CZ106=1,1,--AND(IF($AC106&gt;0,INDEX(CZ$7:CZ$106,$AC106),1),IF($AD106&gt;0,INDEX(CZ$7:CZ$106,$AD106),1),IF($AE106&gt;0,INDEX(CZ$7:CZ$106,$AE106),1),IF($AF106&gt;0,INDEX(CZ$7:CZ$106,$AF106),1),IF($AG106&gt;0,INDEX(CZ$7:CZ$106,$AG106),1),IF($AH106&gt;0,INDEX(CZ$7:CZ$106,$AH106),1),IF($AI106&gt;0,INDEX(CZ$7:CZ$106,$AI106),1),IF($AJ106&gt;0,INDEX(CZ$7:CZ$106,$AJ106),1))))</ns0:f>
        <ns0:v>1</ns0:v>
      </ns0:c>
      <ns0:c r="DB106" t="n">
        <ns0:f>IF($A106="",1,IF(DA106=1,1,--AND(IF($AC106&gt;0,INDEX(DA$7:DA$106,$AC106),1),IF($AD106&gt;0,INDEX(DA$7:DA$106,$AD106),1),IF($AE106&gt;0,INDEX(DA$7:DA$106,$AE106),1),IF($AF106&gt;0,INDEX(DA$7:DA$106,$AF106),1),IF($AG106&gt;0,INDEX(DA$7:DA$106,$AG106),1),IF($AH106&gt;0,INDEX(DA$7:DA$106,$AH106),1),IF($AI106&gt;0,INDEX(DA$7:DA$106,$AI106),1),IF($AJ106&gt;0,INDEX(DA$7:DA$106,$AJ106),1))))</ns0:f>
        <ns0:v>1</ns0:v>
      </ns0:c>
      <ns0:c r="DC106" t="n">
        <ns0:f>IF($A106="",1,IF(DB106=1,1,--AND(IF($AC106&gt;0,INDEX(DB$7:DB$106,$AC106),1),IF($AD106&gt;0,INDEX(DB$7:DB$106,$AD106),1),IF($AE106&gt;0,INDEX(DB$7:DB$106,$AE106),1),IF($AF106&gt;0,INDEX(DB$7:DB$106,$AF106),1),IF($AG106&gt;0,INDEX(DB$7:DB$106,$AG106),1),IF($AH106&gt;0,INDEX(DB$7:DB$106,$AH106),1),IF($AI106&gt;0,INDEX(DB$7:DB$106,$AI106),1),IF($AJ106&gt;0,INDEX(DB$7:DB$106,$AJ106),1))))</ns0:f>
        <ns0:v>1</ns0:v>
      </ns0:c>
      <ns0:c r="DD106" t="n">
        <ns0:f>IF($A106="",1,IF(DC106=1,1,--AND(IF($AC106&gt;0,INDEX(DC$7:DC$106,$AC106),1),IF($AD106&gt;0,INDEX(DC$7:DC$106,$AD106),1),IF($AE106&gt;0,INDEX(DC$7:DC$106,$AE106),1),IF($AF106&gt;0,INDEX(DC$7:DC$106,$AF106),1),IF($AG106&gt;0,INDEX(DC$7:DC$106,$AG106),1),IF($AH106&gt;0,INDEX(DC$7:DC$106,$AH106),1),IF($AI106&gt;0,INDEX(DC$7:DC$106,$AI106),1),IF($AJ106&gt;0,INDEX(DC$7:DC$106,$AJ106),1))))</ns0:f>
        <ns0:v>1</ns0:v>
      </ns0:c>
      <ns0:c r="DE106" t="n">
        <ns0:f>IF($A106="",1,IF(DD106=1,1,--AND(IF($AC106&gt;0,INDEX(DD$7:DD$106,$AC106),1),IF($AD106&gt;0,INDEX(DD$7:DD$106,$AD106),1),IF($AE106&gt;0,INDEX(DD$7:DD$106,$AE106),1),IF($AF106&gt;0,INDEX(DD$7:DD$106,$AF106),1),IF($AG106&gt;0,INDEX(DD$7:DD$106,$AG106),1),IF($AH106&gt;0,INDEX(DD$7:DD$106,$AH106),1),IF($AI106&gt;0,INDEX(DD$7:DD$106,$AI106),1),IF($AJ106&gt;0,INDEX(DD$7:DD$106,$AJ106),1))))</ns0:f>
        <ns0:v>1</ns0:v>
      </ns0:c>
      <ns0:c r="DF106" t="n">
        <ns0:f>IF($A106="",1,IF(DE106=1,1,--AND(IF($AC106&gt;0,INDEX(DE$7:DE$106,$AC106),1),IF($AD106&gt;0,INDEX(DE$7:DE$106,$AD106),1),IF($AE106&gt;0,INDEX(DE$7:DE$106,$AE106),1),IF($AF106&gt;0,INDEX(DE$7:DE$106,$AF106),1),IF($AG106&gt;0,INDEX(DE$7:DE$106,$AG106),1),IF($AH106&gt;0,INDEX(DE$7:DE$106,$AH106),1),IF($AI106&gt;0,INDEX(DE$7:DE$106,$AI106),1),IF($AJ106&gt;0,INDEX(DE$7:DE$106,$AJ106),1))))</ns0:f>
        <ns0:v>1</ns0:v>
      </ns0:c>
      <ns0:c r="DG106" t="n">
        <ns0:f>IF($A106="",1,IF(DF106=1,1,--AND(IF($AC106&gt;0,INDEX(DF$7:DF$106,$AC106),1),IF($AD106&gt;0,INDEX(DF$7:DF$106,$AD106),1),IF($AE106&gt;0,INDEX(DF$7:DF$106,$AE106),1),IF($AF106&gt;0,INDEX(DF$7:DF$106,$AF106),1),IF($AG106&gt;0,INDEX(DF$7:DF$106,$AG106),1),IF($AH106&gt;0,INDEX(DF$7:DF$106,$AH106),1),IF($AI106&gt;0,INDEX(DF$7:DF$106,$AI106),1),IF($AJ106&gt;0,INDEX(DF$7:DF$106,$AJ106),1))))</ns0:f>
        <ns0:v>1</ns0:v>
      </ns0:c>
      <ns0:c r="DH106" t="n">
        <ns0:f>IF($A106="",1,IF(DG106=1,1,--AND(IF($AC106&gt;0,INDEX(DG$7:DG$106,$AC106),1),IF($AD106&gt;0,INDEX(DG$7:DG$106,$AD106),1),IF($AE106&gt;0,INDEX(DG$7:DG$106,$AE106),1),IF($AF106&gt;0,INDEX(DG$7:DG$106,$AF106),1),IF($AG106&gt;0,INDEX(DG$7:DG$106,$AG106),1),IF($AH106&gt;0,INDEX(DG$7:DG$106,$AH106),1),IF($AI106&gt;0,INDEX(DG$7:DG$106,$AI106),1),IF($AJ106&gt;0,INDEX(DG$7:DG$106,$AJ106),1))))</ns0:f>
        <ns0:v>1</ns0:v>
      </ns0:c>
      <ns0:c r="DI106" t="n">
        <ns0:f>IF($A106="",1,IF(DH106=1,1,--AND(IF($AC106&gt;0,INDEX(DH$7:DH$106,$AC106),1),IF($AD106&gt;0,INDEX(DH$7:DH$106,$AD106),1),IF($AE106&gt;0,INDEX(DH$7:DH$106,$AE106),1),IF($AF106&gt;0,INDEX(DH$7:DH$106,$AF106),1),IF($AG106&gt;0,INDEX(DH$7:DH$106,$AG106),1),IF($AH106&gt;0,INDEX(DH$7:DH$106,$AH106),1),IF($AI106&gt;0,INDEX(DH$7:DH$106,$AI106),1),IF($AJ106&gt;0,INDEX(DH$7:DH$106,$AJ106),1))))</ns0:f>
        <ns0:v>1</ns0:v>
      </ns0:c>
      <ns0:c r="DJ106" t="n">
        <ns0:f>IF($A106="",1,IF(DI106=1,1,--AND(IF($AC106&gt;0,INDEX(DI$7:DI$106,$AC106),1),IF($AD106&gt;0,INDEX(DI$7:DI$106,$AD106),1),IF($AE106&gt;0,INDEX(DI$7:DI$106,$AE106),1),IF($AF106&gt;0,INDEX(DI$7:DI$106,$AF106),1),IF($AG106&gt;0,INDEX(DI$7:DI$106,$AG106),1),IF($AH106&gt;0,INDEX(DI$7:DI$106,$AH106),1),IF($AI106&gt;0,INDEX(DI$7:DI$106,$AI106),1),IF($AJ106&gt;0,INDEX(DI$7:DI$106,$AJ106),1))))</ns0:f>
        <ns0:v>1</ns0:v>
      </ns0:c>
      <ns0:c r="DK106" t="n">
        <ns0:f>IF($A106="",1,IF(DJ106=1,1,--AND(IF($AC106&gt;0,INDEX(DJ$7:DJ$106,$AC106),1),IF($AD106&gt;0,INDEX(DJ$7:DJ$106,$AD106),1),IF($AE106&gt;0,INDEX(DJ$7:DJ$106,$AE106),1),IF($AF106&gt;0,INDEX(DJ$7:DJ$106,$AF106),1),IF($AG106&gt;0,INDEX(DJ$7:DJ$106,$AG106),1),IF($AH106&gt;0,INDEX(DJ$7:DJ$106,$AH106),1),IF($AI106&gt;0,INDEX(DJ$7:DJ$106,$AI106),1),IF($AJ106&gt;0,INDEX(DJ$7:DJ$106,$AJ106),1))))</ns0:f>
        <ns0:v>1</ns0:v>
      </ns0:c>
      <ns0:c r="DL106" t="n">
        <ns0:f>IF($A106="",1,IF(DK106=1,1,--AND(IF($AC106&gt;0,INDEX(DK$7:DK$106,$AC106),1),IF($AD106&gt;0,INDEX(DK$7:DK$106,$AD106),1),IF($AE106&gt;0,INDEX(DK$7:DK$106,$AE106),1),IF($AF106&gt;0,INDEX(DK$7:DK$106,$AF106),1),IF($AG106&gt;0,INDEX(DK$7:DK$106,$AG106),1),IF($AH106&gt;0,INDEX(DK$7:DK$106,$AH106),1),IF($AI106&gt;0,INDEX(DK$7:DK$106,$AI106),1),IF($AJ106&gt;0,INDEX(DK$7:DK$106,$AJ106),1))))</ns0:f>
        <ns0:v>1</ns0:v>
      </ns0:c>
      <ns0:c r="DM106" t="n">
        <ns0:f>IF($A106="",1,IF(DL106=1,1,--AND(IF($AC106&gt;0,INDEX(DL$7:DL$106,$AC106),1),IF($AD106&gt;0,INDEX(DL$7:DL$106,$AD106),1),IF($AE106&gt;0,INDEX(DL$7:DL$106,$AE106),1),IF($AF106&gt;0,INDEX(DL$7:DL$106,$AF106),1),IF($AG106&gt;0,INDEX(DL$7:DL$106,$AG106),1),IF($AH106&gt;0,INDEX(DL$7:DL$106,$AH106),1),IF($AI106&gt;0,INDEX(DL$7:DL$106,$AI106),1),IF($AJ106&gt;0,INDEX(DL$7:DL$106,$AJ106),1))))</ns0:f>
        <ns0:v>1</ns0:v>
      </ns0:c>
      <ns0:c r="DN106" t="n">
        <ns0:f>IF($A106="",1,IF(DM106=1,1,--AND(IF($AC106&gt;0,INDEX(DM$7:DM$106,$AC106),1),IF($AD106&gt;0,INDEX(DM$7:DM$106,$AD106),1),IF($AE106&gt;0,INDEX(DM$7:DM$106,$AE106),1),IF($AF106&gt;0,INDEX(DM$7:DM$106,$AF106),1),IF($AG106&gt;0,INDEX(DM$7:DM$106,$AG106),1),IF($AH106&gt;0,INDEX(DM$7:DM$106,$AH106),1),IF($AI106&gt;0,INDEX(DM$7:DM$106,$AI106),1),IF($AJ106&gt;0,INDEX(DM$7:DM$106,$AJ106),1))))</ns0:f>
        <ns0:v>1</ns0:v>
      </ns0:c>
      <ns0:c r="DO106" t="n">
        <ns0:f>IF($A106="",1,IF(DN106=1,1,--AND(IF($AC106&gt;0,INDEX(DN$7:DN$106,$AC106),1),IF($AD106&gt;0,INDEX(DN$7:DN$106,$AD106),1),IF($AE106&gt;0,INDEX(DN$7:DN$106,$AE106),1),IF($AF106&gt;0,INDEX(DN$7:DN$106,$AF106),1),IF($AG106&gt;0,INDEX(DN$7:DN$106,$AG106),1),IF($AH106&gt;0,INDEX(DN$7:DN$106,$AH106),1),IF($AI106&gt;0,INDEX(DN$7:DN$106,$AI106),1),IF($AJ106&gt;0,INDEX(DN$7:DN$106,$AJ106),1))))</ns0:f>
        <ns0:v>1</ns0:v>
      </ns0:c>
      <ns0:c r="DP106" t="n">
        <ns0:f>IF($A106="",1,IF(DO106=1,1,--AND(IF($AC106&gt;0,INDEX(DO$7:DO$106,$AC106),1),IF($AD106&gt;0,INDEX(DO$7:DO$106,$AD106),1),IF($AE106&gt;0,INDEX(DO$7:DO$106,$AE106),1),IF($AF106&gt;0,INDEX(DO$7:DO$106,$AF106),1),IF($AG106&gt;0,INDEX(DO$7:DO$106,$AG106),1),IF($AH106&gt;0,INDEX(DO$7:DO$106,$AH106),1),IF($AI106&gt;0,INDEX(DO$7:DO$106,$AI106),1),IF($AJ106&gt;0,INDEX(DO$7:DO$106,$AJ106),1))))</ns0:f>
        <ns0:v>1</ns0:v>
      </ns0:c>
      <ns0:c r="DQ106" t="n">
        <ns0:f>IF($A106="",1,IF(DP106=1,1,--AND(IF($AC106&gt;0,INDEX(DP$7:DP$106,$AC106),1),IF($AD106&gt;0,INDEX(DP$7:DP$106,$AD106),1),IF($AE106&gt;0,INDEX(DP$7:DP$106,$AE106),1),IF($AF106&gt;0,INDEX(DP$7:DP$106,$AF106),1),IF($AG106&gt;0,INDEX(DP$7:DP$106,$AG106),1),IF($AH106&gt;0,INDEX(DP$7:DP$106,$AH106),1),IF($AI106&gt;0,INDEX(DP$7:DP$106,$AI106),1),IF($AJ106&gt;0,INDEX(DP$7:DP$106,$AJ106),1))))</ns0:f>
        <ns0:v>1</ns0:v>
      </ns0:c>
      <ns0:c r="DR106" t="n">
        <ns0:f>IF($A106="",1,IF(DQ106=1,1,--AND(IF($AC106&gt;0,INDEX(DQ$7:DQ$106,$AC106),1),IF($AD106&gt;0,INDEX(DQ$7:DQ$106,$AD106),1),IF($AE106&gt;0,INDEX(DQ$7:DQ$106,$AE106),1),IF($AF106&gt;0,INDEX(DQ$7:DQ$106,$AF106),1),IF($AG106&gt;0,INDEX(DQ$7:DQ$106,$AG106),1),IF($AH106&gt;0,INDEX(DQ$7:DQ$106,$AH106),1),IF($AI106&gt;0,INDEX(DQ$7:DQ$106,$AI106),1),IF($AJ106&gt;0,INDEX(DQ$7:DQ$106,$AJ106),1))))</ns0:f>
        <ns0:v>1</ns0:v>
      </ns0:c>
      <ns0:c r="DS106" t="n">
        <ns0:f>IF($A106="",1,IF(DR106=1,1,--AND(IF($AC106&gt;0,INDEX(DR$7:DR$106,$AC106),1),IF($AD106&gt;0,INDEX(DR$7:DR$106,$AD106),1),IF($AE106&gt;0,INDEX(DR$7:DR$106,$AE106),1),IF($AF106&gt;0,INDEX(DR$7:DR$106,$AF106),1),IF($AG106&gt;0,INDEX(DR$7:DR$106,$AG106),1),IF($AH106&gt;0,INDEX(DR$7:DR$106,$AH106),1),IF($AI106&gt;0,INDEX(DR$7:DR$106,$AI106),1),IF($AJ106&gt;0,INDEX(DR$7:DR$106,$AJ106),1))))</ns0:f>
        <ns0:v>1</ns0:v>
      </ns0:c>
      <ns0:c r="DT106" t="n">
        <ns0:f>IF($A106="",1,IF(DS106=1,1,--AND(IF($AC106&gt;0,INDEX(DS$7:DS$106,$AC106),1),IF($AD106&gt;0,INDEX(DS$7:DS$106,$AD106),1),IF($AE106&gt;0,INDEX(DS$7:DS$106,$AE106),1),IF($AF106&gt;0,INDEX(DS$7:DS$106,$AF106),1),IF($AG106&gt;0,INDEX(DS$7:DS$106,$AG106),1),IF($AH106&gt;0,INDEX(DS$7:DS$106,$AH106),1),IF($AI106&gt;0,INDEX(DS$7:DS$106,$AI106),1),IF($AJ106&gt;0,INDEX(DS$7:DS$106,$AJ106),1))))</ns0:f>
        <ns0:v>1</ns0:v>
      </ns0:c>
      <ns0:c r="DU106" t="n">
        <ns0:f>IF($A106="",1,IF(DT106=1,1,--AND(IF($AC106&gt;0,INDEX(DT$7:DT$106,$AC106),1),IF($AD106&gt;0,INDEX(DT$7:DT$106,$AD106),1),IF($AE106&gt;0,INDEX(DT$7:DT$106,$AE106),1),IF($AF106&gt;0,INDEX(DT$7:DT$106,$AF106),1),IF($AG106&gt;0,INDEX(DT$7:DT$106,$AG106),1),IF($AH106&gt;0,INDEX(DT$7:DT$106,$AH106),1),IF($AI106&gt;0,INDEX(DT$7:DT$106,$AI106),1),IF($AJ106&gt;0,INDEX(DT$7:DT$106,$AJ106),1))))</ns0:f>
        <ns0:v>1</ns0:v>
      </ns0:c>
      <ns0:c r="DV106" t="n">
        <ns0:f>IF($A106="",1,IF(DU106=1,1,--AND(IF($AC106&gt;0,INDEX(DU$7:DU$106,$AC106),1),IF($AD106&gt;0,INDEX(DU$7:DU$106,$AD106),1),IF($AE106&gt;0,INDEX(DU$7:DU$106,$AE106),1),IF($AF106&gt;0,INDEX(DU$7:DU$106,$AF106),1),IF($AG106&gt;0,INDEX(DU$7:DU$106,$AG106),1),IF($AH106&gt;0,INDEX(DU$7:DU$106,$AH106),1),IF($AI106&gt;0,INDEX(DU$7:DU$106,$AI106),1),IF($AJ106&gt;0,INDEX(DU$7:DU$106,$AJ106),1))))</ns0:f>
        <ns0:v>1</ns0:v>
      </ns0:c>
      <ns0:c r="DW106" t="n">
        <ns0:f>IF($A106="",1,IF(DV106=1,1,--AND(IF($AC106&gt;0,INDEX(DV$7:DV$106,$AC106),1),IF($AD106&gt;0,INDEX(DV$7:DV$106,$AD106),1),IF($AE106&gt;0,INDEX(DV$7:DV$106,$AE106),1),IF($AF106&gt;0,INDEX(DV$7:DV$106,$AF106),1),IF($AG106&gt;0,INDEX(DV$7:DV$106,$AG106),1),IF($AH106&gt;0,INDEX(DV$7:DV$106,$AH106),1),IF($AI106&gt;0,INDEX(DV$7:DV$106,$AI106),1),IF($AJ106&gt;0,INDEX(DV$7:DV$106,$AJ106),1))))</ns0:f>
        <ns0:v>1</ns0:v>
      </ns0:c>
      <ns0:c r="DX106" t="n">
        <ns0:f>IF($A106="",1,IF(DW106=1,1,--AND(IF($AC106&gt;0,INDEX(DW$7:DW$106,$AC106),1),IF($AD106&gt;0,INDEX(DW$7:DW$106,$AD106),1),IF($AE106&gt;0,INDEX(DW$7:DW$106,$AE106),1),IF($AF106&gt;0,INDEX(DW$7:DW$106,$AF106),1),IF($AG106&gt;0,INDEX(DW$7:DW$106,$AG106),1),IF($AH106&gt;0,INDEX(DW$7:DW$106,$AH106),1),IF($AI106&gt;0,INDEX(DW$7:DW$106,$AI106),1),IF($AJ106&gt;0,INDEX(DW$7:DW$106,$AJ106),1))))</ns0:f>
        <ns0:v>1</ns0:v>
      </ns0:c>
      <ns0:c r="DY106" t="n">
        <ns0:f>IF($A106="",1,IF(DX106=1,1,--AND(IF($AC106&gt;0,INDEX(DX$7:DX$106,$AC106),1),IF($AD106&gt;0,INDEX(DX$7:DX$106,$AD106),1),IF($AE106&gt;0,INDEX(DX$7:DX$106,$AE106),1),IF($AF106&gt;0,INDEX(DX$7:DX$106,$AF106),1),IF($AG106&gt;0,INDEX(DX$7:DX$106,$AG106),1),IF($AH106&gt;0,INDEX(DX$7:DX$106,$AH106),1),IF($AI106&gt;0,INDEX(DX$7:DX$106,$AI106),1),IF($AJ106&gt;0,INDEX(DX$7:DX$106,$AJ106),1))))</ns0:f>
        <ns0:v>1</ns0:v>
      </ns0:c>
      <ns0:c r="DZ106" t="n">
        <ns0:f>IF($A106="",1,IF(DY106=1,1,--AND(IF($AC106&gt;0,INDEX(DY$7:DY$106,$AC106),1),IF($AD106&gt;0,INDEX(DY$7:DY$106,$AD106),1),IF($AE106&gt;0,INDEX(DY$7:DY$106,$AE106),1),IF($AF106&gt;0,INDEX(DY$7:DY$106,$AF106),1),IF($AG106&gt;0,INDEX(DY$7:DY$106,$AG106),1),IF($AH106&gt;0,INDEX(DY$7:DY$106,$AH106),1),IF($AI106&gt;0,INDEX(DY$7:DY$106,$AI106),1),IF($AJ106&gt;0,INDEX(DY$7:DY$106,$AJ106),1))))</ns0:f>
        <ns0:v>1</ns0:v>
      </ns0:c>
      <ns0:c r="EA106" t="n">
        <ns0:f>IF($A106="",1,IF(DZ106=1,1,--AND(IF($AC106&gt;0,INDEX(DZ$7:DZ$106,$AC106),1),IF($AD106&gt;0,INDEX(DZ$7:DZ$106,$AD106),1),IF($AE106&gt;0,INDEX(DZ$7:DZ$106,$AE106),1),IF($AF106&gt;0,INDEX(DZ$7:DZ$106,$AF106),1),IF($AG106&gt;0,INDEX(DZ$7:DZ$106,$AG106),1),IF($AH106&gt;0,INDEX(DZ$7:DZ$106,$AH106),1),IF($AI106&gt;0,INDEX(DZ$7:DZ$106,$AI106),1),IF($AJ106&gt;0,INDEX(DZ$7:DZ$106,$AJ106),1))))</ns0:f>
        <ns0:v>1</ns0:v>
      </ns0:c>
      <ns0:c r="EB106" t="n">
        <ns0:f>IF($A106="",1,IF(EA106=1,1,--AND(IF($AC106&gt;0,INDEX(EA$7:EA$106,$AC106),1),IF($AD106&gt;0,INDEX(EA$7:EA$106,$AD106),1),IF($AE106&gt;0,INDEX(EA$7:EA$106,$AE106),1),IF($AF106&gt;0,INDEX(EA$7:EA$106,$AF106),1),IF($AG106&gt;0,INDEX(EA$7:EA$106,$AG106),1),IF($AH106&gt;0,INDEX(EA$7:EA$106,$AH106),1),IF($AI106&gt;0,INDEX(EA$7:EA$106,$AI106),1),IF($AJ106&gt;0,INDEX(EA$7:EA$106,$AJ106),1))))</ns0:f>
        <ns0:v>1</ns0:v>
      </ns0:c>
      <ns0:c r="EC106" t="n">
        <ns0:f>IF($A106="",1,IF(EB106=1,1,--AND(IF($AC106&gt;0,INDEX(EB$7:EB$106,$AC106),1),IF($AD106&gt;0,INDEX(EB$7:EB$106,$AD106),1),IF($AE106&gt;0,INDEX(EB$7:EB$106,$AE106),1),IF($AF106&gt;0,INDEX(EB$7:EB$106,$AF106),1),IF($AG106&gt;0,INDEX(EB$7:EB$106,$AG106),1),IF($AH106&gt;0,INDEX(EB$7:EB$106,$AH106),1),IF($AI106&gt;0,INDEX(EB$7:EB$106,$AI106),1),IF($AJ106&gt;0,INDEX(EB$7:EB$106,$AJ106),1))))</ns0:f>
        <ns0:v>1</ns0:v>
      </ns0:c>
      <ns0:c r="ED106" t="n">
        <ns0:f>IF($A106="",1,IF(EC106=1,1,--AND(IF($AC106&gt;0,INDEX(EC$7:EC$106,$AC106),1),IF($AD106&gt;0,INDEX(EC$7:EC$106,$AD106),1),IF($AE106&gt;0,INDEX(EC$7:EC$106,$AE106),1),IF($AF106&gt;0,INDEX(EC$7:EC$106,$AF106),1),IF($AG106&gt;0,INDEX(EC$7:EC$106,$AG106),1),IF($AH106&gt;0,INDEX(EC$7:EC$106,$AH106),1),IF($AI106&gt;0,INDEX(EC$7:EC$106,$AI106),1),IF($AJ106&gt;0,INDEX(EC$7:EC$106,$AJ106),1))))</ns0:f>
        <ns0:v>1</ns0:v>
      </ns0:c>
      <ns0:c r="EE106" t="n">
        <ns0:f>IF($A106="",1,IF(ED106=1,1,--AND(IF($AC106&gt;0,INDEX(ED$7:ED$106,$AC106),1),IF($AD106&gt;0,INDEX(ED$7:ED$106,$AD106),1),IF($AE106&gt;0,INDEX(ED$7:ED$106,$AE106),1),IF($AF106&gt;0,INDEX(ED$7:ED$106,$AF106),1),IF($AG106&gt;0,INDEX(ED$7:ED$106,$AG106),1),IF($AH106&gt;0,INDEX(ED$7:ED$106,$AH106),1),IF($AI106&gt;0,INDEX(ED$7:ED$106,$AI106),1),IF($AJ106&gt;0,INDEX(ED$7:ED$106,$AJ106),1))))</ns0:f>
        <ns0:v>1</ns0:v>
      </ns0:c>
      <ns0:c r="EF106" t="n">
        <ns0:f>IF($A106="",1,IF(EE106=1,1,--AND(IF($AC106&gt;0,INDEX(EE$7:EE$106,$AC106),1),IF($AD106&gt;0,INDEX(EE$7:EE$106,$AD106),1),IF($AE106&gt;0,INDEX(EE$7:EE$106,$AE106),1),IF($AF106&gt;0,INDEX(EE$7:EE$106,$AF106),1),IF($AG106&gt;0,INDEX(EE$7:EE$106,$AG106),1),IF($AH106&gt;0,INDEX(EE$7:EE$106,$AH106),1),IF($AI106&gt;0,INDEX(EE$7:EE$106,$AI106),1),IF($AJ106&gt;0,INDEX(EE$7:EE$106,$AJ106),1))))</ns0:f>
        <ns0:v>1</ns0:v>
      </ns0:c>
      <ns0:c r="EG106" t="n">
        <ns0:f>IF($A106="",1,IF(EF106=1,1,--AND(IF($AC106&gt;0,INDEX(EF$7:EF$106,$AC106),1),IF($AD106&gt;0,INDEX(EF$7:EF$106,$AD106),1),IF($AE106&gt;0,INDEX(EF$7:EF$106,$AE106),1),IF($AF106&gt;0,INDEX(EF$7:EF$106,$AF106),1),IF($AG106&gt;0,INDEX(EF$7:EF$106,$AG106),1),IF($AH106&gt;0,INDEX(EF$7:EF$106,$AH106),1),IF($AI106&gt;0,INDEX(EF$7:EF$106,$AI106),1),IF($AJ106&gt;0,INDEX(EF$7:EF$106,$AJ106),1))))</ns0:f>
        <ns0:v>1</ns0:v>
      </ns0:c>
      <ns0:c r="EH106" t="n">
        <ns0:f>IF($A106="",1,IF(EG106=1,1,--AND(IF($AC106&gt;0,INDEX(EG$7:EG$106,$AC106),1),IF($AD106&gt;0,INDEX(EG$7:EG$106,$AD106),1),IF($AE106&gt;0,INDEX(EG$7:EG$106,$AE106),1),IF($AF106&gt;0,INDEX(EG$7:EG$106,$AF106),1),IF($AG106&gt;0,INDEX(EG$7:EG$106,$AG106),1),IF($AH106&gt;0,INDEX(EG$7:EG$106,$AH106),1),IF($AI106&gt;0,INDEX(EG$7:EG$106,$AI106),1),IF($AJ106&gt;0,INDEX(EG$7:EG$106,$AJ106),1))))</ns0:f>
        <ns0:v>1</ns0:v>
      </ns0:c>
      <ns0:c r="EI106" t="n">
        <ns0:f>IF($A106="",1,IF(EH106=1,1,--AND(IF($AC106&gt;0,INDEX(EH$7:EH$106,$AC106),1),IF($AD106&gt;0,INDEX(EH$7:EH$106,$AD106),1),IF($AE106&gt;0,INDEX(EH$7:EH$106,$AE106),1),IF($AF106&gt;0,INDEX(EH$7:EH$106,$AF106),1),IF($AG106&gt;0,INDEX(EH$7:EH$106,$AG106),1),IF($AH106&gt;0,INDEX(EH$7:EH$106,$AH106),1),IF($AI106&gt;0,INDEX(EH$7:EH$106,$AI106),1),IF($AJ106&gt;0,INDEX(EH$7:EH$106,$AJ106),1))))</ns0:f>
        <ns0:v>1</ns0:v>
      </ns0:c>
      <ns0:c r="EJ106" t="n">
        <ns0:f>IF($A106="",1,IF(EI106=1,1,--AND(IF($AC106&gt;0,INDEX(EI$7:EI$106,$AC106),1),IF($AD106&gt;0,INDEX(EI$7:EI$106,$AD106),1),IF($AE106&gt;0,INDEX(EI$7:EI$106,$AE106),1),IF($AF106&gt;0,INDEX(EI$7:EI$106,$AF106),1),IF($AG106&gt;0,INDEX(EI$7:EI$106,$AG106),1),IF($AH106&gt;0,INDEX(EI$7:EI$106,$AH106),1),IF($AI106&gt;0,INDEX(EI$7:EI$106,$AI106),1),IF($AJ106&gt;0,INDEX(EI$7:EI$106,$AJ106),1))))</ns0:f>
        <ns0:v>1</ns0:v>
      </ns0:c>
      <ns0:c r="EK106" t="n">
        <ns0:f>IF($A106="",1,IF(EJ106=1,1,--AND(IF($AC106&gt;0,INDEX(EJ$7:EJ$106,$AC106),1),IF($AD106&gt;0,INDEX(EJ$7:EJ$106,$AD106),1),IF($AE106&gt;0,INDEX(EJ$7:EJ$106,$AE106),1),IF($AF106&gt;0,INDEX(EJ$7:EJ$106,$AF106),1),IF($AG106&gt;0,INDEX(EJ$7:EJ$106,$AG106),1),IF($AH106&gt;0,INDEX(EJ$7:EJ$106,$AH106),1),IF($AI106&gt;0,INDEX(EJ$7:EJ$106,$AI106),1),IF($AJ106&gt;0,INDEX(EJ$7:EJ$106,$AJ106),1))))</ns0:f>
        <ns0:v>1</ns0:v>
      </ns0:c>
      <ns0:c r="EL106" t="n">
        <ns0:f>IF($A106="",1,IF(EK106=1,1,--AND(IF($AC106&gt;0,INDEX(EK$7:EK$106,$AC106),1),IF($AD106&gt;0,INDEX(EK$7:EK$106,$AD106),1),IF($AE106&gt;0,INDEX(EK$7:EK$106,$AE106),1),IF($AF106&gt;0,INDEX(EK$7:EK$106,$AF106),1),IF($AG106&gt;0,INDEX(EK$7:EK$106,$AG106),1),IF($AH106&gt;0,INDEX(EK$7:EK$106,$AH106),1),IF($AI106&gt;0,INDEX(EK$7:EK$106,$AI106),1),IF($AJ106&gt;0,INDEX(EK$7:EK$106,$AJ106),1))))</ns0:f>
        <ns0:v>1</ns0:v>
      </ns0:c>
      <ns0:c r="EM106" t="n">
        <ns0:f>IF($A106="",1,IF(EL106=1,1,--AND(IF($AC106&gt;0,INDEX(EL$7:EL$106,$AC106),1),IF($AD106&gt;0,INDEX(EL$7:EL$106,$AD106),1),IF($AE106&gt;0,INDEX(EL$7:EL$106,$AE106),1),IF($AF106&gt;0,INDEX(EL$7:EL$106,$AF106),1),IF($AG106&gt;0,INDEX(EL$7:EL$106,$AG106),1),IF($AH106&gt;0,INDEX(EL$7:EL$106,$AH106),1),IF($AI106&gt;0,INDEX(EL$7:EL$106,$AI106),1),IF($AJ106&gt;0,INDEX(EL$7:EL$106,$AJ106),1))))</ns0:f>
        <ns0:v>1</ns0:v>
      </ns0:c>
      <ns0:c r="EN106" t="n">
        <ns0:f>IF($A106="",1,IF(EM106=1,1,--AND(IF($AC106&gt;0,INDEX(EM$7:EM$106,$AC106),1),IF($AD106&gt;0,INDEX(EM$7:EM$106,$AD106),1),IF($AE106&gt;0,INDEX(EM$7:EM$106,$AE106),1),IF($AF106&gt;0,INDEX(EM$7:EM$106,$AF106),1),IF($AG106&gt;0,INDEX(EM$7:EM$106,$AG106),1),IF($AH106&gt;0,INDEX(EM$7:EM$106,$AH106),1),IF($AI106&gt;0,INDEX(EM$7:EM$106,$AI106),1),IF($AJ106&gt;0,INDEX(EM$7:EM$106,$AJ106),1))))</ns0:f>
        <ns0:v>1</ns0:v>
      </ns0:c>
      <ns0:c r="EO106" t="n">
        <ns0:f>IF($A106="",1,IF(EN106=1,1,--AND(IF($AC106&gt;0,INDEX(EN$7:EN$106,$AC106),1),IF($AD106&gt;0,INDEX(EN$7:EN$106,$AD106),1),IF($AE106&gt;0,INDEX(EN$7:EN$106,$AE106),1),IF($AF106&gt;0,INDEX(EN$7:EN$106,$AF106),1),IF($AG106&gt;0,INDEX(EN$7:EN$106,$AG106),1),IF($AH106&gt;0,INDEX(EN$7:EN$106,$AH106),1),IF($AI106&gt;0,INDEX(EN$7:EN$106,$AI106),1),IF($AJ106&gt;0,INDEX(EN$7:EN$106,$AJ106),1))))</ns0:f>
        <ns0:v>1</ns0:v>
      </ns0:c>
      <ns0:c r="EP106" t="n">
        <ns0:f>IF($A106="",1,IF(EO106=1,1,--AND(IF($AC106&gt;0,INDEX(EO$7:EO$106,$AC106),1),IF($AD106&gt;0,INDEX(EO$7:EO$106,$AD106),1),IF($AE106&gt;0,INDEX(EO$7:EO$106,$AE106),1),IF($AF106&gt;0,INDEX(EO$7:EO$106,$AF106),1),IF($AG106&gt;0,INDEX(EO$7:EO$106,$AG106),1),IF($AH106&gt;0,INDEX(EO$7:EO$106,$AH106),1),IF($AI106&gt;0,INDEX(EO$7:EO$106,$AI106),1),IF($AJ106&gt;0,INDEX(EO$7:EO$106,$AJ106),1))))</ns0:f>
        <ns0:v>1</ns0:v>
      </ns0:c>
      <ns0:c r="EQ106" t="n">
        <ns0:f>IF(OR(A106="",NOT(ISNUMBER(G106))),0,G106*N106)</ns0:f>
        <ns0:v>0</ns0:v>
      </ns0:c>
    </ns0:row>
  </ns0:sheetData>
  <ns0:sheetProtection sheet="1" objects="1" scenarios="1" formatCells="0" formatColumns="0" formatRows="0" selectLockedCells="0" selectUnlockedCells="0" autoFilter="0" sort="0"/>
  <ns0:conditionalFormatting sqref="A7:P106">
    <ns0:cfRule type="expression" dxfId="0" priority="1">
      <ns0:formula>AND($A7&lt;&gt;"",$J7="Yes")</ns0:formula>
    </ns0:cfRule>
  </ns0:conditionalFormatting>
  <ns0:conditionalFormatting sqref="O7:O106">
    <ns0:cfRule type="expression" dxfId="1" priority="2">
      <ns0:formula>AND($A7&lt;&gt;"",$O7&lt;&gt;"On track")</ns0:formula>
    </ns0:cfRule>
  </ns0:conditionalFormatting>
  <ns0:conditionalFormatting sqref="N7:N106">
    <ns0:cfRule type="dataBar" priority="3">
      <ns0:dataBar minLength="0" maxLength="100" showValue="0">
        <ns0:cfvo type="num" val="0"/>
        <ns0:cfvo type="num" val="1"/>
        <ns0:color rgb="FFB9D3F9"/>
      </ns0:dataBar>
    </ns0:cfRule>
  </ns0:conditionalFormatting>
  <ns0:dataValidations count="6">
    <ns0:dataValidation type="list" sqref="I7:I106" showErrorMessage="1" errorStyle="stop" errorTitle="Invalid input" error="Choose a listed value or enter a value within the allowed range." allowBlank="1">
      <ns0:formula1>"FS,SS,FF,SF"</ns0:formula1>
    </ns0:dataValidation>
    <ns0:dataValidation type="list" sqref="J7:J106" showErrorMessage="1" errorStyle="stop" errorTitle="Invalid input" error="Choose a listed value or enter a value within the allowed range." allowBlank="1">
      <ns0:formula1>"Yes,No"</ns0:formula1>
    </ns0:dataValidation>
    <ns0:dataValidation type="list" sqref="L7:L106" showErrorMessage="1" errorStyle="stop" errorTitle="Invalid input" error="Choose a listed value or enter a value within the allowed range." allowBlank="1">
      <ns0:formula1>"High,Medium,Low"</ns0:formula1>
    </ns0:dataValidation>
    <ns0:dataValidation type="list" sqref="M7:M106" showErrorMessage="1" errorStyle="stop" errorTitle="Invalid input" error="Choose a listed value or enter a value within the allowed range." allowBlank="1">
      <ns0:formula1>"Not Started,In Progress,Completed,On Hold,Delayed"</ns0:formula1>
    </ns0:dataValidation>
    <ns0:dataValidation type="decimal" operator="between" sqref="N7:N106" showErrorMessage="1" errorStyle="stop" errorTitle="Invalid input" error="Choose a listed value or enter a value within the allowed range." allowBlank="1">
      <ns0:formula1>0</ns0:formula1>
      <ns0:formula2>1</ns0:formula2>
    </ns0:dataValidation>
    <ns0:dataValidation type="date" operator="between" sqref="E7:F106" showErrorMessage="1" errorStyle="stop" errorTitle="Invalid input" error="Choose a listed value or enter a value within the allowed range." allowBlank="1">
      <ns0:formula1>1</ns0:formula1>
      <ns0:formula2>2958465</ns0:formula2>
    </ns0:dataValidation>
  </ns0:dataValidations>
  <ns0:pageMargins left="0.7" right="0.7" top="0.75" bottom="0.75" header="0.3" footer="0.3"/>
  <ns0:tableParts count="1">
    <ns0:tablePart ns1:id="Rbd65def74b0241ec"/>
  </ns0:tableParts>
</ns0:worksheet>
</file>

<file path=xl/worksheets/sheet2.xml><?xml version="1.0" encoding="utf-8"?>
<ns0:worksheet xmlns:ns0="http://schemas.openxmlformats.org/spreadsheetml/2006/main" xmlns:ns1="http://schemas.microsoft.com/office/spreadsheetml/2009/9/main" xmlns:ns2="http://schemas.microsoft.com/office/excel/2006/main">
  <ns0:sheetPr>
    <ns0:tabColor rgb="FF24364B"/>
  </ns0:sheetPr>
  <ns0:sheetViews>
    <ns0:sheetView showGridLines="0" workbookViewId="0" zoomScale="85">
      <ns0:pane xSplit="3" ySplit="6" topLeftCell="D7" activePane="bottomRight" state="frozen"/>
    </ns0:sheetView>
  </ns0:sheetViews>
  <ns0:sheetFormatPr defaultRowHeight="15"/>
  <ns0:cols>
    <ns0:col min="11" max="11" width="4.5" hidden="0" customWidth="1"/>
    <ns0:col min="12" max="12" width="4.5" hidden="0" customWidth="1"/>
    <ns0:col min="13" max="13" width="4.5" hidden="0" customWidth="1"/>
    <ns0:col min="14" max="14" width="4.5" hidden="0" customWidth="1"/>
    <ns0:col min="15" max="15" width="4.5" hidden="0" customWidth="1"/>
    <ns0:col min="16" max="16" width="4.5" hidden="0" customWidth="1"/>
    <ns0:col min="17" max="17" width="4.5" hidden="0" customWidth="1"/>
    <ns0:col min="18" max="18" width="4.5" hidden="0" customWidth="1"/>
    <ns0:col min="19" max="19" width="4.5" hidden="0" customWidth="1"/>
    <ns0:col min="20" max="20" width="4.5" hidden="0" customWidth="1"/>
    <ns0:col min="21" max="21" width="4.5" hidden="0" customWidth="1"/>
    <ns0:col min="22" max="22" width="4.5" hidden="0" customWidth="1"/>
    <ns0:col min="23" max="23" width="4.5" hidden="0" customWidth="1"/>
    <ns0:col min="24" max="24" width="4.5" hidden="0" customWidth="1"/>
    <ns0:col min="25" max="25" width="4.5" hidden="0" customWidth="1"/>
    <ns0:col min="26" max="26" width="4.5" hidden="0" customWidth="1"/>
    <ns0:col min="27" max="27" width="4.5" hidden="0" customWidth="1"/>
    <ns0:col min="28" max="28" width="4.5" hidden="0" customWidth="1"/>
    <ns0:col min="29" max="29" width="4.5" hidden="0" customWidth="1"/>
    <ns0:col min="30" max="30" width="4.5" hidden="0" customWidth="1"/>
    <ns0:col min="31" max="31" width="4.5" hidden="0" customWidth="1"/>
    <ns0:col min="32" max="32" width="4.5" hidden="0" customWidth="1"/>
    <ns0:col min="33" max="33" width="4.5" hidden="0" customWidth="1"/>
    <ns0:col min="34" max="34" width="4.5" hidden="0" customWidth="1"/>
    <ns0:col min="35" max="35" width="4.5" hidden="0" customWidth="1"/>
    <ns0:col min="36" max="36" width="4.5" hidden="0" customWidth="1"/>
    <ns0:col min="37" max="37" width="4.5" hidden="0" customWidth="1"/>
    <ns0:col min="38" max="38" width="4.5" hidden="0" customWidth="1"/>
    <ns0:col min="39" max="39" width="4.5" hidden="0" customWidth="1"/>
    <ns0:col min="40" max="40" width="4.5" hidden="0" customWidth="1"/>
    <ns0:col min="41" max="41" width="4.5" hidden="0" customWidth="1"/>
    <ns0:col min="42" max="42" width="4.5" hidden="0" customWidth="1"/>
    <ns0:col min="43" max="43" width="4.5" hidden="0" customWidth="1"/>
    <ns0:col min="44" max="44" width="4.5" hidden="0" customWidth="1"/>
    <ns0:col min="1" max="1" width="10" hidden="0" customWidth="1"/>
    <ns0:col min="2" max="2" width="23" hidden="0" customWidth="1"/>
    <ns0:col min="3" max="3" width="56" hidden="0" customWidth="1"/>
    <ns0:col min="4" max="4" width="13" hidden="0" customWidth="1"/>
    <ns0:col min="5" max="5" width="13" hidden="0" customWidth="1"/>
    <ns0:col min="6" max="6" width="10" hidden="0" customWidth="1"/>
    <ns0:col min="7" max="7" width="10" hidden="0" customWidth="1"/>
    <ns0:col min="8" max="8" width="17" hidden="0" customWidth="1"/>
    <ns0:col min="9" max="9" width="11" hidden="0" customWidth="1"/>
    <ns0:col min="10" max="10" width="41" hidden="0" customWidth="1"/>
  </ns0:cols>
  <ns0:sheetData>
    <ns0:row r="1" ht="24" customHeight="1">
      <ns0:c r="A1" s="2"/>
      <ns0:c r="B1" s="2"/>
      <ns0:c r="C1" s="2"/>
      <ns0:c r="D1" s="2"/>
      <ns0:c r="E1" s="2"/>
      <ns0:c r="F1" s="2"/>
      <ns0:c r="G1" s="2"/>
      <ns0:c r="H1" s="2"/>
      <ns0:c r="I1" s="2"/>
      <ns0:c r="J1" s="2"/>
      <ns0:c r="K1" s="2"/>
      <ns0:c r="L1" s="2"/>
      <ns0:c r="M1" s="2"/>
      <ns0:c r="N1" s="2"/>
      <ns0:c r="O1" s="2"/>
      <ns0:c r="P1" s="2"/>
      <ns0:c r="Q1" s="2"/>
      <ns0:c r="R1" s="2"/>
      <ns0:c r="S1" s="2"/>
      <ns0:c r="T1" s="2"/>
      <ns0:c r="U1" s="2"/>
      <ns0:c r="V1" s="2"/>
      <ns0:c r="W1" s="2"/>
      <ns0:c r="X1" s="2"/>
      <ns0:c r="Y1" s="2"/>
      <ns0:c r="Z1" s="2"/>
      <ns0:c r="AA1" s="2"/>
      <ns0:c r="AB1" s="2"/>
      <ns0:c r="AC1" s="2"/>
      <ns0:c r="AD1" s="2"/>
      <ns0:c r="AE1" s="2"/>
      <ns0:c r="AF1" s="2"/>
      <ns0:c r="AG1" s="2"/>
      <ns0:c r="AH1" s="2"/>
      <ns0:c r="AI1" s="2"/>
      <ns0:c r="AJ1" s="2"/>
      <ns0:c r="AK1" s="2"/>
      <ns0:c r="AL1" s="2"/>
      <ns0:c r="AM1" s="2"/>
      <ns0:c r="AN1" s="2"/>
      <ns0:c r="AO1" s="2"/>
      <ns0:c r="AP1" s="2"/>
      <ns0:c r="AQ1" s="2"/>
      <ns0:c r="AR1" s="2"/>
    </ns0:row>
    <ns0:row r="2" ht="24" customHeight="1">
      <ns0:c r="A2" s="3" t="str">
        <ns0:v>Project Gantt</ns0:v>
      </ns0:c>
      <ns0:c r="B2" s="2"/>
      <ns0:c r="C2" s="2"/>
      <ns0:c r="D2" s="2"/>
      <ns0:c r="E2" s="2"/>
      <ns0:c r="F2" s="2"/>
      <ns0:c r="G2" s="2"/>
      <ns0:c r="H2" s="2"/>
      <ns0:c r="I2" s="2"/>
      <ns0:c r="J2" s="2"/>
      <ns0:c r="K2" s="15" t="str">
        <ns0:v>SEPTEMBER 2026</ns0:v>
      </ns0:c>
      <ns0:c r="L2" s="15"/>
      <ns0:c r="M2" s="15"/>
      <ns0:c r="N2" s="15"/>
      <ns0:c r="O2" s="15"/>
      <ns0:c r="P2" s="15"/>
      <ns0:c r="Q2" s="15"/>
      <ns0:c r="R2" s="15"/>
      <ns0:c r="S2" s="15"/>
      <ns0:c r="T2" s="15"/>
      <ns0:c r="U2" s="15"/>
      <ns0:c r="V2" s="15"/>
      <ns0:c r="W2" s="15"/>
      <ns0:c r="X2" s="15"/>
      <ns0:c r="Y2" s="15"/>
      <ns0:c r="Z2" s="15"/>
      <ns0:c r="AA2" s="15"/>
      <ns0:c r="AB2" s="15"/>
      <ns0:c r="AC2" s="15"/>
      <ns0:c r="AD2" s="15"/>
      <ns0:c r="AE2" s="15" t="str">
        <ns0:v>OCTOBER 2026</ns0:v>
      </ns0:c>
      <ns0:c r="AF2" s="15"/>
      <ns0:c r="AG2" s="15"/>
      <ns0:c r="AH2" s="15"/>
      <ns0:c r="AI2" s="15"/>
      <ns0:c r="AJ2" s="15"/>
      <ns0:c r="AK2" s="15"/>
      <ns0:c r="AL2" s="15"/>
      <ns0:c r="AM2" s="15"/>
      <ns0:c r="AN2" s="15"/>
      <ns0:c r="AO2" s="15"/>
      <ns0:c r="AP2" s="15"/>
      <ns0:c r="AQ2" s="15"/>
      <ns0:c r="AR2" s="15"/>
    </ns0:row>
    <ns0:row r="3" ht="24" customHeight="1">
      <ns0:c r="A3" s="2"/>
      <ns0:c r="B3" s="2"/>
      <ns0:c r="C3" s="2"/>
      <ns0:c r="D3" s="2"/>
      <ns0:c r="E3" s="2"/>
      <ns0:c r="F3" s="2"/>
      <ns0:c r="G3" s="2"/>
      <ns0:c r="H3" s="2"/>
      <ns0:c r="I3" s="2"/>
      <ns0:c r="J3" s="2"/>
      <ns0:c r="K3" s="16" t="n">
        <ns0:v>46276</ns0:v>
      </ns0:c>
      <ns0:c r="L3" s="16" t="n">
        <ns0:v>46277</ns0:v>
      </ns0:c>
      <ns0:c r="M3" s="16" t="n">
        <ns0:v>46278</ns0:v>
      </ns0:c>
      <ns0:c r="N3" s="16" t="n">
        <ns0:v>46279</ns0:v>
      </ns0:c>
      <ns0:c r="O3" s="16" t="n">
        <ns0:v>46280</ns0:v>
      </ns0:c>
      <ns0:c r="P3" s="16" t="n">
        <ns0:v>46281</ns0:v>
      </ns0:c>
      <ns0:c r="Q3" s="16" t="n">
        <ns0:v>46282</ns0:v>
      </ns0:c>
      <ns0:c r="R3" s="16" t="n">
        <ns0:v>46283</ns0:v>
      </ns0:c>
      <ns0:c r="S3" s="16" t="n">
        <ns0:v>46284</ns0:v>
      </ns0:c>
      <ns0:c r="T3" s="16" t="n">
        <ns0:v>46285</ns0:v>
      </ns0:c>
      <ns0:c r="U3" s="16" t="n">
        <ns0:v>46286</ns0:v>
      </ns0:c>
      <ns0:c r="V3" s="16" t="n">
        <ns0:v>46287</ns0:v>
      </ns0:c>
      <ns0:c r="W3" s="16" t="n">
        <ns0:v>46288</ns0:v>
      </ns0:c>
      <ns0:c r="X3" s="16" t="n">
        <ns0:v>46289</ns0:v>
      </ns0:c>
      <ns0:c r="Y3" s="16" t="n">
        <ns0:v>46290</ns0:v>
      </ns0:c>
      <ns0:c r="Z3" s="16" t="n">
        <ns0:v>46291</ns0:v>
      </ns0:c>
      <ns0:c r="AA3" s="16" t="n">
        <ns0:v>46292</ns0:v>
      </ns0:c>
      <ns0:c r="AB3" s="16" t="n">
        <ns0:v>46293</ns0:v>
      </ns0:c>
      <ns0:c r="AC3" s="16" t="n">
        <ns0:v>46294</ns0:v>
      </ns0:c>
      <ns0:c r="AD3" s="16" t="n">
        <ns0:v>46295</ns0:v>
      </ns0:c>
      <ns0:c r="AE3" s="16" t="n">
        <ns0:v>46296</ns0:v>
      </ns0:c>
      <ns0:c r="AF3" s="16" t="n">
        <ns0:v>46297</ns0:v>
      </ns0:c>
      <ns0:c r="AG3" s="16" t="n">
        <ns0:v>46298</ns0:v>
      </ns0:c>
      <ns0:c r="AH3" s="16" t="n">
        <ns0:v>46299</ns0:v>
      </ns0:c>
      <ns0:c r="AI3" s="16" t="n">
        <ns0:v>46300</ns0:v>
      </ns0:c>
      <ns0:c r="AJ3" s="16" t="n">
        <ns0:v>46301</ns0:v>
      </ns0:c>
      <ns0:c r="AK3" s="16" t="n">
        <ns0:v>46302</ns0:v>
      </ns0:c>
      <ns0:c r="AL3" s="16" t="n">
        <ns0:v>46303</ns0:v>
      </ns0:c>
      <ns0:c r="AM3" s="16" t="n">
        <ns0:v>46304</ns0:v>
      </ns0:c>
      <ns0:c r="AN3" s="16" t="n">
        <ns0:v>46305</ns0:v>
      </ns0:c>
      <ns0:c r="AO3" s="16" t="n">
        <ns0:v>46306</ns0:v>
      </ns0:c>
      <ns0:c r="AP3" s="16" t="n">
        <ns0:v>46307</ns0:v>
      </ns0:c>
      <ns0:c r="AQ3" s="16" t="n">
        <ns0:v>46308</ns0:v>
      </ns0:c>
      <ns0:c r="AR3" s="16" t="n">
        <ns0:v>46309</ns0:v>
      </ns0:c>
    </ns0:row>
    <ns0:row r="4" ht="24" customHeight="1">
      <ns0:c r="A4" s="2" t="str">
        <ns0:v>Gray = not started. Blue = in progress. Green = complete. Red = delayed / overdue. Amber = on hold. ◆ milestone.</ns0:v>
      </ns0:c>
      <ns0:c r="B4" s="2"/>
      <ns0:c r="C4" s="2"/>
      <ns0:c r="D4" s="2"/>
      <ns0:c r="E4" s="2"/>
      <ns0:c r="F4" s="2"/>
      <ns0:c r="G4" s="2"/>
      <ns0:c r="H4" s="2"/>
      <ns0:c r="I4" s="2"/>
      <ns0:c r="J4" s="2"/>
      <ns0:c r="K4" s="2"/>
      <ns0:c r="L4" s="2"/>
      <ns0:c r="M4" s="2"/>
      <ns0:c r="N4" s="2"/>
      <ns0:c r="O4" s="2"/>
      <ns0:c r="P4" s="2"/>
      <ns0:c r="Q4" s="2"/>
      <ns0:c r="R4" s="2"/>
      <ns0:c r="S4" s="2"/>
      <ns0:c r="T4" s="2"/>
      <ns0:c r="U4" s="2"/>
      <ns0:c r="V4" s="2"/>
      <ns0:c r="W4" s="2"/>
      <ns0:c r="X4" s="2"/>
      <ns0:c r="Y4" s="2"/>
      <ns0:c r="Z4" s="2"/>
      <ns0:c r="AA4" s="2"/>
      <ns0:c r="AB4" s="2"/>
      <ns0:c r="AC4" s="2"/>
      <ns0:c r="AD4" s="2"/>
      <ns0:c r="AE4" s="2"/>
      <ns0:c r="AF4" s="2"/>
      <ns0:c r="AG4" s="2"/>
      <ns0:c r="AH4" s="2"/>
      <ns0:c r="AI4" s="2"/>
      <ns0:c r="AJ4" s="2"/>
      <ns0:c r="AK4" s="2"/>
      <ns0:c r="AL4" s="2"/>
      <ns0:c r="AM4" s="2"/>
      <ns0:c r="AN4" s="2"/>
      <ns0:c r="AO4" s="2"/>
      <ns0:c r="AP4" s="2"/>
      <ns0:c r="AQ4" s="2"/>
      <ns0:c r="AR4" s="2"/>
    </ns0:row>
    <ns0:row r="5" ht="24" customHeight="1">
      <ns0:c r="A5" s="2" t="str">
        <ns0:v>Green completion bars show the completed fraction of each day. Schedule conflicts appear in Health.</ns0:v>
      </ns0:c>
      <ns0:c r="B5" s="2"/>
      <ns0:c r="C5" s="2"/>
      <ns0:c r="D5" s="2"/>
      <ns0:c r="E5" s="2"/>
      <ns0:c r="F5" s="2"/>
      <ns0:c r="G5" s="2"/>
      <ns0:c r="H5" s="2"/>
      <ns0:c r="I5" s="2"/>
      <ns0:c r="J5" s="2"/>
      <ns0:c r="K5" s="2"/>
      <ns0:c r="L5" s="2"/>
      <ns0:c r="M5" s="2"/>
      <ns0:c r="N5" s="2"/>
      <ns0:c r="O5" s="2"/>
      <ns0:c r="P5" s="2"/>
      <ns0:c r="Q5" s="2"/>
      <ns0:c r="R5" s="2"/>
      <ns0:c r="S5" s="2"/>
      <ns0:c r="T5" s="2"/>
      <ns0:c r="U5" s="2"/>
      <ns0:c r="V5" s="2"/>
      <ns0:c r="W5" s="2"/>
      <ns0:c r="X5" s="2"/>
      <ns0:c r="Y5" s="2"/>
      <ns0:c r="Z5" s="2"/>
      <ns0:c r="AA5" s="2"/>
      <ns0:c r="AB5" s="2"/>
      <ns0:c r="AC5" s="2"/>
      <ns0:c r="AD5" s="2"/>
      <ns0:c r="AE5" s="2"/>
      <ns0:c r="AF5" s="2"/>
      <ns0:c r="AG5" s="2"/>
      <ns0:c r="AH5" s="2"/>
      <ns0:c r="AI5" s="2"/>
      <ns0:c r="AJ5" s="2"/>
      <ns0:c r="AK5" s="2"/>
      <ns0:c r="AL5" s="2"/>
      <ns0:c r="AM5" s="2"/>
      <ns0:c r="AN5" s="2"/>
      <ns0:c r="AO5" s="2"/>
      <ns0:c r="AP5" s="2"/>
      <ns0:c r="AQ5" s="2"/>
      <ns0:c r="AR5" s="2"/>
    </ns0:row>
    <ns0:row r="6" ht="34" customHeight="1">
      <ns0:c r="A6" s="7" t="str">
        <ns0:v>Task ID</ns0:v>
      </ns0:c>
      <ns0:c r="B6" s="7" t="str">
        <ns0:v>Phase</ns0:v>
      </ns0:c>
      <ns0:c r="C6" s="7" t="str">
        <ns0:v>Task / Activity</ns0:v>
      </ns0:c>
      <ns0:c r="D6" s="7" t="str">
        <ns0:v>Start</ns0:v>
      </ns0:c>
      <ns0:c r="E6" s="7" t="str">
        <ns0:v>End</ns0:v>
      </ns0:c>
      <ns0:c r="F6" s="7" t="str">
        <ns0:v>Days</ns0:v>
      </ns0:c>
      <ns0:c r="G6" s="7" t="str">
        <ns0:v>Progress</ns0:v>
      </ns0:c>
      <ns0:c r="H6" s="7" t="str">
        <ns0:v>Effective Status</ns0:v>
      </ns0:c>
      <ns0:c r="I6" s="7" t="str">
        <ns0:v>Milestone</ns0:v>
      </ns0:c>
      <ns0:c r="J6" s="7" t="str">
        <ns0:v>Health</ns0:v>
      </ns0:c>
      <ns0:c r="K6" s="17" t="n">
        <ns0:v>46276</ns0:v>
      </ns0:c>
      <ns0:c r="L6" s="17" t="n">
        <ns0:v>46277</ns0:v>
      </ns0:c>
      <ns0:c r="M6" s="17" t="n">
        <ns0:v>46278</ns0:v>
      </ns0:c>
      <ns0:c r="N6" s="17" t="n">
        <ns0:v>46279</ns0:v>
      </ns0:c>
      <ns0:c r="O6" s="17" t="n">
        <ns0:v>46280</ns0:v>
      </ns0:c>
      <ns0:c r="P6" s="17" t="n">
        <ns0:v>46281</ns0:v>
      </ns0:c>
      <ns0:c r="Q6" s="17" t="n">
        <ns0:v>46282</ns0:v>
      </ns0:c>
      <ns0:c r="R6" s="17" t="n">
        <ns0:v>46283</ns0:v>
      </ns0:c>
      <ns0:c r="S6" s="17" t="n">
        <ns0:v>46284</ns0:v>
      </ns0:c>
      <ns0:c r="T6" s="17" t="n">
        <ns0:v>46285</ns0:v>
      </ns0:c>
      <ns0:c r="U6" s="17" t="n">
        <ns0:v>46286</ns0:v>
      </ns0:c>
      <ns0:c r="V6" s="17" t="n">
        <ns0:v>46287</ns0:v>
      </ns0:c>
      <ns0:c r="W6" s="17" t="n">
        <ns0:v>46288</ns0:v>
      </ns0:c>
      <ns0:c r="X6" s="17" t="n">
        <ns0:v>46289</ns0:v>
      </ns0:c>
      <ns0:c r="Y6" s="17" t="n">
        <ns0:v>46290</ns0:v>
      </ns0:c>
      <ns0:c r="Z6" s="17" t="n">
        <ns0:v>46291</ns0:v>
      </ns0:c>
      <ns0:c r="AA6" s="17" t="n">
        <ns0:v>46292</ns0:v>
      </ns0:c>
      <ns0:c r="AB6" s="17" t="n">
        <ns0:v>46293</ns0:v>
      </ns0:c>
      <ns0:c r="AC6" s="17" t="n">
        <ns0:v>46294</ns0:v>
      </ns0:c>
      <ns0:c r="AD6" s="17" t="n">
        <ns0:v>46295</ns0:v>
      </ns0:c>
      <ns0:c r="AE6" s="17" t="n">
        <ns0:v>46296</ns0:v>
      </ns0:c>
      <ns0:c r="AF6" s="17" t="n">
        <ns0:v>46297</ns0:v>
      </ns0:c>
      <ns0:c r="AG6" s="17" t="n">
        <ns0:v>46298</ns0:v>
      </ns0:c>
      <ns0:c r="AH6" s="17" t="n">
        <ns0:v>46299</ns0:v>
      </ns0:c>
      <ns0:c r="AI6" s="17" t="n">
        <ns0:v>46300</ns0:v>
      </ns0:c>
      <ns0:c r="AJ6" s="17" t="n">
        <ns0:v>46301</ns0:v>
      </ns0:c>
      <ns0:c r="AK6" s="17" t="n">
        <ns0:v>46302</ns0:v>
      </ns0:c>
      <ns0:c r="AL6" s="17" t="n">
        <ns0:v>46303</ns0:v>
      </ns0:c>
      <ns0:c r="AM6" s="17" t="n">
        <ns0:v>46304</ns0:v>
      </ns0:c>
      <ns0:c r="AN6" s="17" t="n">
        <ns0:v>46305</ns0:v>
      </ns0:c>
      <ns0:c r="AO6" s="17" t="n">
        <ns0:v>46306</ns0:v>
      </ns0:c>
      <ns0:c r="AP6" s="17" t="n">
        <ns0:v>46307</ns0:v>
      </ns0:c>
      <ns0:c r="AQ6" s="17" t="n">
        <ns0:v>46308</ns0:v>
      </ns0:c>
      <ns0:c r="AR6" s="17" t="n">
        <ns0:v>46309</ns0:v>
      </ns0:c>
    </ns0:row>
    <ns0:row r="7" ht="48" customHeight="1">
      <ns0:c r="A7" s="8" t="str">
        <ns0:f>IF(INDEX(Tasks[Task ID],1)="","",INDEX(Tasks[Task ID],1))</ns0:f>
        <ns0:v>T01</ns0:v>
      </ns0:c>
      <ns0:c r="B7" s="8" t="str">
        <ns0:f>IF(INDEX(Tasks[Task ID],1)="","",INDEX(Tasks[Phase],1))</ns0:f>
        <ns0:v>Governance &amp; state</ns0:v>
      </ns0:c>
      <ns0:c r="C7" s="8" t="str">
        <ns0:f>IF(INDEX(Tasks[Task ID],1)="","",INDEX(Tasks[Task Name],1))</ns0:f>
        <ns0:v>Define enterprise objectives, tenant scopes, and budget boundaries</ns0:v>
      </ns0:c>
      <ns0:c r="D7" s="18" t="n">
        <ns0:f>IF(INDEX(Tasks[Task ID],1)="","",INDEX(Tasks[Start Date],1))</ns0:f>
        <ns0:v>46276</ns0:v>
      </ns0:c>
      <ns0:c r="E7" s="18" t="n">
        <ns0:f>IF(INDEX(Tasks[Task ID],1)="","",INDEX(Tasks[End Date],1))</ns0:f>
        <ns0:v>46276</ns0:v>
      </ns0:c>
      <ns0:c r="F7" s="8" t="n">
        <ns0:f>IF(INDEX(Tasks[Task ID],1)="","",INDEX(Tasks[Duration],1))</ns0:f>
        <ns0:v>1</ns0:v>
      </ns0:c>
      <ns0:c r="G7" s="19" t="n">
        <ns0:f>IF(INDEX(Tasks[Task ID],1)="","",INDEX(Tasks[Progress %],1))</ns0:f>
        <ns0:v>0</ns0:v>
      </ns0:c>
      <ns0:c r="H7" s="8" t="str">
        <ns0:f>IF(INDEX(Tasks[Task ID],1)="","",INDEX('Project Tracker'!$Q$7:$Q$106,1))</ns0:f>
        <ns0:v>Not Started</ns0:v>
      </ns0:c>
      <ns0:c r="I7" s="8" t="str">
        <ns0:f>IF(INDEX(Tasks[Task ID],1)="","",INDEX(Tasks[Milestone],1))</ns0:f>
        <ns0:v>No</ns0:v>
      </ns0:c>
      <ns0:c r="J7" s="8" t="str">
        <ns0:f>IF(INDEX(Tasks[Task ID],1)="","",INDEX(Tasks[Schedule Health],1))</ns0:f>
        <ns0:v>On track</ns0:v>
      </ns0:c>
      <ns0:c r="K7" s="22" t="n">
        <ns0:f>IF($A7="","",IF($I7="Yes",IF(K$6=$D7,"◆",""),IF(AND(K$6&gt;=$D7,K$6&lt;=$E7),MAX(0,MIN(1,$G7*$F7-(K$6-$D7))),"")))</ns0:f>
        <ns0:v>0</ns0:v>
      </ns0:c>
      <ns0:c r="L7" s="22" t="str">
        <ns0:f>IF($A7="","",IF($I7="Yes",IF(L$6=$D7,"◆",""),IF(AND(L$6&gt;=$D7,L$6&lt;=$E7),MAX(0,MIN(1,$G7*$F7-(L$6-$D7))),"")))</ns0:f>
      </ns0:c>
      <ns0:c r="M7" s="22" t="str">
        <ns0:f>IF($A7="","",IF($I7="Yes",IF(M$6=$D7,"◆",""),IF(AND(M$6&gt;=$D7,M$6&lt;=$E7),MAX(0,MIN(1,$G7*$F7-(M$6-$D7))),"")))</ns0:f>
      </ns0:c>
      <ns0:c r="N7" s="22" t="str">
        <ns0:f>IF($A7="","",IF($I7="Yes",IF(N$6=$D7,"◆",""),IF(AND(N$6&gt;=$D7,N$6&lt;=$E7),MAX(0,MIN(1,$G7*$F7-(N$6-$D7))),"")))</ns0:f>
      </ns0:c>
      <ns0:c r="O7" s="22" t="str">
        <ns0:f>IF($A7="","",IF($I7="Yes",IF(O$6=$D7,"◆",""),IF(AND(O$6&gt;=$D7,O$6&lt;=$E7),MAX(0,MIN(1,$G7*$F7-(O$6-$D7))),"")))</ns0:f>
      </ns0:c>
      <ns0:c r="P7" s="22" t="str">
        <ns0:f>IF($A7="","",IF($I7="Yes",IF(P$6=$D7,"◆",""),IF(AND(P$6&gt;=$D7,P$6&lt;=$E7),MAX(0,MIN(1,$G7*$F7-(P$6-$D7))),"")))</ns0:f>
      </ns0:c>
      <ns0:c r="Q7" s="22" t="str">
        <ns0:f>IF($A7="","",IF($I7="Yes",IF(Q$6=$D7,"◆",""),IF(AND(Q$6&gt;=$D7,Q$6&lt;=$E7),MAX(0,MIN(1,$G7*$F7-(Q$6-$D7))),"")))</ns0:f>
      </ns0:c>
      <ns0:c r="R7" s="22" t="str">
        <ns0:f>IF($A7="","",IF($I7="Yes",IF(R$6=$D7,"◆",""),IF(AND(R$6&gt;=$D7,R$6&lt;=$E7),MAX(0,MIN(1,$G7*$F7-(R$6-$D7))),"")))</ns0:f>
      </ns0:c>
      <ns0:c r="S7" s="22" t="str">
        <ns0:f>IF($A7="","",IF($I7="Yes",IF(S$6=$D7,"◆",""),IF(AND(S$6&gt;=$D7,S$6&lt;=$E7),MAX(0,MIN(1,$G7*$F7-(S$6-$D7))),"")))</ns0:f>
      </ns0:c>
      <ns0:c r="T7" s="22" t="str">
        <ns0:f>IF($A7="","",IF($I7="Yes",IF(T$6=$D7,"◆",""),IF(AND(T$6&gt;=$D7,T$6&lt;=$E7),MAX(0,MIN(1,$G7*$F7-(T$6-$D7))),"")))</ns0:f>
      </ns0:c>
      <ns0:c r="U7" s="22" t="str">
        <ns0:f>IF($A7="","",IF($I7="Yes",IF(U$6=$D7,"◆",""),IF(AND(U$6&gt;=$D7,U$6&lt;=$E7),MAX(0,MIN(1,$G7*$F7-(U$6-$D7))),"")))</ns0:f>
      </ns0:c>
      <ns0:c r="V7" s="22" t="str">
        <ns0:f>IF($A7="","",IF($I7="Yes",IF(V$6=$D7,"◆",""),IF(AND(V$6&gt;=$D7,V$6&lt;=$E7),MAX(0,MIN(1,$G7*$F7-(V$6-$D7))),"")))</ns0:f>
      </ns0:c>
      <ns0:c r="W7" s="22" t="str">
        <ns0:f>IF($A7="","",IF($I7="Yes",IF(W$6=$D7,"◆",""),IF(AND(W$6&gt;=$D7,W$6&lt;=$E7),MAX(0,MIN(1,$G7*$F7-(W$6-$D7))),"")))</ns0:f>
      </ns0:c>
      <ns0:c r="X7" s="22" t="str">
        <ns0:f>IF($A7="","",IF($I7="Yes",IF(X$6=$D7,"◆",""),IF(AND(X$6&gt;=$D7,X$6&lt;=$E7),MAX(0,MIN(1,$G7*$F7-(X$6-$D7))),"")))</ns0:f>
      </ns0:c>
      <ns0:c r="Y7" s="22" t="str">
        <ns0:f>IF($A7="","",IF($I7="Yes",IF(Y$6=$D7,"◆",""),IF(AND(Y$6&gt;=$D7,Y$6&lt;=$E7),MAX(0,MIN(1,$G7*$F7-(Y$6-$D7))),"")))</ns0:f>
      </ns0:c>
      <ns0:c r="Z7" s="22" t="str">
        <ns0:f>IF($A7="","",IF($I7="Yes",IF(Z$6=$D7,"◆",""),IF(AND(Z$6&gt;=$D7,Z$6&lt;=$E7),MAX(0,MIN(1,$G7*$F7-(Z$6-$D7))),"")))</ns0:f>
      </ns0:c>
      <ns0:c r="AA7" s="22" t="str">
        <ns0:f>IF($A7="","",IF($I7="Yes",IF(AA$6=$D7,"◆",""),IF(AND(AA$6&gt;=$D7,AA$6&lt;=$E7),MAX(0,MIN(1,$G7*$F7-(AA$6-$D7))),"")))</ns0:f>
      </ns0:c>
      <ns0:c r="AB7" s="22" t="str">
        <ns0:f>IF($A7="","",IF($I7="Yes",IF(AB$6=$D7,"◆",""),IF(AND(AB$6&gt;=$D7,AB$6&lt;=$E7),MAX(0,MIN(1,$G7*$F7-(AB$6-$D7))),"")))</ns0:f>
      </ns0:c>
      <ns0:c r="AC7" s="22" t="str">
        <ns0:f>IF($A7="","",IF($I7="Yes",IF(AC$6=$D7,"◆",""),IF(AND(AC$6&gt;=$D7,AC$6&lt;=$E7),MAX(0,MIN(1,$G7*$F7-(AC$6-$D7))),"")))</ns0:f>
      </ns0:c>
      <ns0:c r="AD7" s="22" t="str">
        <ns0:f>IF($A7="","",IF($I7="Yes",IF(AD$6=$D7,"◆",""),IF(AND(AD$6&gt;=$D7,AD$6&lt;=$E7),MAX(0,MIN(1,$G7*$F7-(AD$6-$D7))),"")))</ns0:f>
      </ns0:c>
      <ns0:c r="AE7" s="22" t="str">
        <ns0:f>IF($A7="","",IF($I7="Yes",IF(AE$6=$D7,"◆",""),IF(AND(AE$6&gt;=$D7,AE$6&lt;=$E7),MAX(0,MIN(1,$G7*$F7-(AE$6-$D7))),"")))</ns0:f>
      </ns0:c>
      <ns0:c r="AF7" s="22" t="str">
        <ns0:f>IF($A7="","",IF($I7="Yes",IF(AF$6=$D7,"◆",""),IF(AND(AF$6&gt;=$D7,AF$6&lt;=$E7),MAX(0,MIN(1,$G7*$F7-(AF$6-$D7))),"")))</ns0:f>
      </ns0:c>
      <ns0:c r="AG7" s="22" t="str">
        <ns0:f>IF($A7="","",IF($I7="Yes",IF(AG$6=$D7,"◆",""),IF(AND(AG$6&gt;=$D7,AG$6&lt;=$E7),MAX(0,MIN(1,$G7*$F7-(AG$6-$D7))),"")))</ns0:f>
      </ns0:c>
      <ns0:c r="AH7" s="22" t="str">
        <ns0:f>IF($A7="","",IF($I7="Yes",IF(AH$6=$D7,"◆",""),IF(AND(AH$6&gt;=$D7,AH$6&lt;=$E7),MAX(0,MIN(1,$G7*$F7-(AH$6-$D7))),"")))</ns0:f>
      </ns0:c>
      <ns0:c r="AI7" s="22" t="str">
        <ns0:f>IF($A7="","",IF($I7="Yes",IF(AI$6=$D7,"◆",""),IF(AND(AI$6&gt;=$D7,AI$6&lt;=$E7),MAX(0,MIN(1,$G7*$F7-(AI$6-$D7))),"")))</ns0:f>
      </ns0:c>
      <ns0:c r="AJ7" s="22" t="str">
        <ns0:f>IF($A7="","",IF($I7="Yes",IF(AJ$6=$D7,"◆",""),IF(AND(AJ$6&gt;=$D7,AJ$6&lt;=$E7),MAX(0,MIN(1,$G7*$F7-(AJ$6-$D7))),"")))</ns0:f>
      </ns0:c>
      <ns0:c r="AK7" s="22" t="str">
        <ns0:f>IF($A7="","",IF($I7="Yes",IF(AK$6=$D7,"◆",""),IF(AND(AK$6&gt;=$D7,AK$6&lt;=$E7),MAX(0,MIN(1,$G7*$F7-(AK$6-$D7))),"")))</ns0:f>
      </ns0:c>
      <ns0:c r="AL7" s="22" t="str">
        <ns0:f>IF($A7="","",IF($I7="Yes",IF(AL$6=$D7,"◆",""),IF(AND(AL$6&gt;=$D7,AL$6&lt;=$E7),MAX(0,MIN(1,$G7*$F7-(AL$6-$D7))),"")))</ns0:f>
      </ns0:c>
      <ns0:c r="AM7" s="22" t="str">
        <ns0:f>IF($A7="","",IF($I7="Yes",IF(AM$6=$D7,"◆",""),IF(AND(AM$6&gt;=$D7,AM$6&lt;=$E7),MAX(0,MIN(1,$G7*$F7-(AM$6-$D7))),"")))</ns0:f>
      </ns0:c>
      <ns0:c r="AN7" s="22" t="str">
        <ns0:f>IF($A7="","",IF($I7="Yes",IF(AN$6=$D7,"◆",""),IF(AND(AN$6&gt;=$D7,AN$6&lt;=$E7),MAX(0,MIN(1,$G7*$F7-(AN$6-$D7))),"")))</ns0:f>
      </ns0:c>
      <ns0:c r="AO7" s="22" t="str">
        <ns0:f>IF($A7="","",IF($I7="Yes",IF(AO$6=$D7,"◆",""),IF(AND(AO$6&gt;=$D7,AO$6&lt;=$E7),MAX(0,MIN(1,$G7*$F7-(AO$6-$D7))),"")))</ns0:f>
      </ns0:c>
      <ns0:c r="AP7" s="22" t="str">
        <ns0:f>IF($A7="","",IF($I7="Yes",IF(AP$6=$D7,"◆",""),IF(AND(AP$6&gt;=$D7,AP$6&lt;=$E7),MAX(0,MIN(1,$G7*$F7-(AP$6-$D7))),"")))</ns0:f>
      </ns0:c>
      <ns0:c r="AQ7" s="22" t="str">
        <ns0:f>IF($A7="","",IF($I7="Yes",IF(AQ$6=$D7,"◆",""),IF(AND(AQ$6&gt;=$D7,AQ$6&lt;=$E7),MAX(0,MIN(1,$G7*$F7-(AQ$6-$D7))),"")))</ns0:f>
      </ns0:c>
      <ns0:c r="AR7" s="22" t="str">
        <ns0:f>IF($A7="","",IF($I7="Yes",IF(AR$6=$D7,"◆",""),IF(AND(AR$6&gt;=$D7,AR$6&lt;=$E7),MAX(0,MIN(1,$G7*$F7-(AR$6-$D7))),"")))</ns0:f>
      </ns0:c>
    </ns0:row>
    <ns0:row r="8" ht="48" customHeight="1">
      <ns0:c r="A8" s="8" t="str">
        <ns0:f>IF(INDEX(Tasks[Task ID],2)="","",INDEX(Tasks[Task ID],2))</ns0:f>
        <ns0:v>T02</ns0:v>
      </ns0:c>
      <ns0:c r="B8" s="8" t="str">
        <ns0:f>IF(INDEX(Tasks[Task ID],2)="","",INDEX(Tasks[Phase],2))</ns0:f>
        <ns0:v>Governance &amp; state</ns0:v>
      </ns0:c>
      <ns0:c r="C8" s="8" t="str">
        <ns0:f>IF(INDEX(Tasks[Task ID],2)="","",INDEX(Tasks[Task Name],2))</ns0:f>
        <ns0:v>Configure machine-readable policy rules, autonomy tiers, and claim limits</ns0:v>
      </ns0:c>
      <ns0:c r="D8" s="18" t="n">
        <ns0:f>IF(INDEX(Tasks[Task ID],2)="","",INDEX(Tasks[Start Date],2))</ns0:f>
        <ns0:v>46276</ns0:v>
      </ns0:c>
      <ns0:c r="E8" s="18" t="n">
        <ns0:f>IF(INDEX(Tasks[Task ID],2)="","",INDEX(Tasks[End Date],2))</ns0:f>
        <ns0:v>46276</ns0:v>
      </ns0:c>
      <ns0:c r="F8" s="8" t="n">
        <ns0:f>IF(INDEX(Tasks[Task ID],2)="","",INDEX(Tasks[Duration],2))</ns0:f>
        <ns0:v>1</ns0:v>
      </ns0:c>
      <ns0:c r="G8" s="19" t="n">
        <ns0:f>IF(INDEX(Tasks[Task ID],2)="","",INDEX(Tasks[Progress %],2))</ns0:f>
        <ns0:v>0</ns0:v>
      </ns0:c>
      <ns0:c r="H8" s="8" t="str">
        <ns0:f>IF(INDEX(Tasks[Task ID],2)="","",INDEX('Project Tracker'!$Q$7:$Q$106,2))</ns0:f>
        <ns0:v>Not Started</ns0:v>
      </ns0:c>
      <ns0:c r="I8" s="8" t="str">
        <ns0:f>IF(INDEX(Tasks[Task ID],2)="","",INDEX(Tasks[Milestone],2))</ns0:f>
        <ns0:v>No</ns0:v>
      </ns0:c>
      <ns0:c r="J8" s="8" t="str">
        <ns0:f>IF(INDEX(Tasks[Task ID],2)="","",INDEX(Tasks[Schedule Health],2))</ns0:f>
        <ns0:v>On track</ns0:v>
      </ns0:c>
      <ns0:c r="K8" s="22" t="n">
        <ns0:f>IF($A8="","",IF($I8="Yes",IF(K$6=$D8,"◆",""),IF(AND(K$6&gt;=$D8,K$6&lt;=$E8),MAX(0,MIN(1,$G8*$F8-(K$6-$D8))),"")))</ns0:f>
        <ns0:v>0</ns0:v>
      </ns0:c>
      <ns0:c r="L8" s="22" t="str">
        <ns0:f>IF($A8="","",IF($I8="Yes",IF(L$6=$D8,"◆",""),IF(AND(L$6&gt;=$D8,L$6&lt;=$E8),MAX(0,MIN(1,$G8*$F8-(L$6-$D8))),"")))</ns0:f>
      </ns0:c>
      <ns0:c r="M8" s="22" t="str">
        <ns0:f>IF($A8="","",IF($I8="Yes",IF(M$6=$D8,"◆",""),IF(AND(M$6&gt;=$D8,M$6&lt;=$E8),MAX(0,MIN(1,$G8*$F8-(M$6-$D8))),"")))</ns0:f>
      </ns0:c>
      <ns0:c r="N8" s="22" t="str">
        <ns0:f>IF($A8="","",IF($I8="Yes",IF(N$6=$D8,"◆",""),IF(AND(N$6&gt;=$D8,N$6&lt;=$E8),MAX(0,MIN(1,$G8*$F8-(N$6-$D8))),"")))</ns0:f>
      </ns0:c>
      <ns0:c r="O8" s="22" t="str">
        <ns0:f>IF($A8="","",IF($I8="Yes",IF(O$6=$D8,"◆",""),IF(AND(O$6&gt;=$D8,O$6&lt;=$E8),MAX(0,MIN(1,$G8*$F8-(O$6-$D8))),"")))</ns0:f>
      </ns0:c>
      <ns0:c r="P8" s="22" t="str">
        <ns0:f>IF($A8="","",IF($I8="Yes",IF(P$6=$D8,"◆",""),IF(AND(P$6&gt;=$D8,P$6&lt;=$E8),MAX(0,MIN(1,$G8*$F8-(P$6-$D8))),"")))</ns0:f>
      </ns0:c>
      <ns0:c r="Q8" s="22" t="str">
        <ns0:f>IF($A8="","",IF($I8="Yes",IF(Q$6=$D8,"◆",""),IF(AND(Q$6&gt;=$D8,Q$6&lt;=$E8),MAX(0,MIN(1,$G8*$F8-(Q$6-$D8))),"")))</ns0:f>
      </ns0:c>
      <ns0:c r="R8" s="22" t="str">
        <ns0:f>IF($A8="","",IF($I8="Yes",IF(R$6=$D8,"◆",""),IF(AND(R$6&gt;=$D8,R$6&lt;=$E8),MAX(0,MIN(1,$G8*$F8-(R$6-$D8))),"")))</ns0:f>
      </ns0:c>
      <ns0:c r="S8" s="22" t="str">
        <ns0:f>IF($A8="","",IF($I8="Yes",IF(S$6=$D8,"◆",""),IF(AND(S$6&gt;=$D8,S$6&lt;=$E8),MAX(0,MIN(1,$G8*$F8-(S$6-$D8))),"")))</ns0:f>
      </ns0:c>
      <ns0:c r="T8" s="22" t="str">
        <ns0:f>IF($A8="","",IF($I8="Yes",IF(T$6=$D8,"◆",""),IF(AND(T$6&gt;=$D8,T$6&lt;=$E8),MAX(0,MIN(1,$G8*$F8-(T$6-$D8))),"")))</ns0:f>
      </ns0:c>
      <ns0:c r="U8" s="22" t="str">
        <ns0:f>IF($A8="","",IF($I8="Yes",IF(U$6=$D8,"◆",""),IF(AND(U$6&gt;=$D8,U$6&lt;=$E8),MAX(0,MIN(1,$G8*$F8-(U$6-$D8))),"")))</ns0:f>
      </ns0:c>
      <ns0:c r="V8" s="22" t="str">
        <ns0:f>IF($A8="","",IF($I8="Yes",IF(V$6=$D8,"◆",""),IF(AND(V$6&gt;=$D8,V$6&lt;=$E8),MAX(0,MIN(1,$G8*$F8-(V$6-$D8))),"")))</ns0:f>
      </ns0:c>
      <ns0:c r="W8" s="22" t="str">
        <ns0:f>IF($A8="","",IF($I8="Yes",IF(W$6=$D8,"◆",""),IF(AND(W$6&gt;=$D8,W$6&lt;=$E8),MAX(0,MIN(1,$G8*$F8-(W$6-$D8))),"")))</ns0:f>
      </ns0:c>
      <ns0:c r="X8" s="22" t="str">
        <ns0:f>IF($A8="","",IF($I8="Yes",IF(X$6=$D8,"◆",""),IF(AND(X$6&gt;=$D8,X$6&lt;=$E8),MAX(0,MIN(1,$G8*$F8-(X$6-$D8))),"")))</ns0:f>
      </ns0:c>
      <ns0:c r="Y8" s="22" t="str">
        <ns0:f>IF($A8="","",IF($I8="Yes",IF(Y$6=$D8,"◆",""),IF(AND(Y$6&gt;=$D8,Y$6&lt;=$E8),MAX(0,MIN(1,$G8*$F8-(Y$6-$D8))),"")))</ns0:f>
      </ns0:c>
      <ns0:c r="Z8" s="22" t="str">
        <ns0:f>IF($A8="","",IF($I8="Yes",IF(Z$6=$D8,"◆",""),IF(AND(Z$6&gt;=$D8,Z$6&lt;=$E8),MAX(0,MIN(1,$G8*$F8-(Z$6-$D8))),"")))</ns0:f>
      </ns0:c>
      <ns0:c r="AA8" s="22" t="str">
        <ns0:f>IF($A8="","",IF($I8="Yes",IF(AA$6=$D8,"◆",""),IF(AND(AA$6&gt;=$D8,AA$6&lt;=$E8),MAX(0,MIN(1,$G8*$F8-(AA$6-$D8))),"")))</ns0:f>
      </ns0:c>
      <ns0:c r="AB8" s="22" t="str">
        <ns0:f>IF($A8="","",IF($I8="Yes",IF(AB$6=$D8,"◆",""),IF(AND(AB$6&gt;=$D8,AB$6&lt;=$E8),MAX(0,MIN(1,$G8*$F8-(AB$6-$D8))),"")))</ns0:f>
      </ns0:c>
      <ns0:c r="AC8" s="22" t="str">
        <ns0:f>IF($A8="","",IF($I8="Yes",IF(AC$6=$D8,"◆",""),IF(AND(AC$6&gt;=$D8,AC$6&lt;=$E8),MAX(0,MIN(1,$G8*$F8-(AC$6-$D8))),"")))</ns0:f>
      </ns0:c>
      <ns0:c r="AD8" s="22" t="str">
        <ns0:f>IF($A8="","",IF($I8="Yes",IF(AD$6=$D8,"◆",""),IF(AND(AD$6&gt;=$D8,AD$6&lt;=$E8),MAX(0,MIN(1,$G8*$F8-(AD$6-$D8))),"")))</ns0:f>
      </ns0:c>
      <ns0:c r="AE8" s="22" t="str">
        <ns0:f>IF($A8="","",IF($I8="Yes",IF(AE$6=$D8,"◆",""),IF(AND(AE$6&gt;=$D8,AE$6&lt;=$E8),MAX(0,MIN(1,$G8*$F8-(AE$6-$D8))),"")))</ns0:f>
      </ns0:c>
      <ns0:c r="AF8" s="22" t="str">
        <ns0:f>IF($A8="","",IF($I8="Yes",IF(AF$6=$D8,"◆",""),IF(AND(AF$6&gt;=$D8,AF$6&lt;=$E8),MAX(0,MIN(1,$G8*$F8-(AF$6-$D8))),"")))</ns0:f>
      </ns0:c>
      <ns0:c r="AG8" s="22" t="str">
        <ns0:f>IF($A8="","",IF($I8="Yes",IF(AG$6=$D8,"◆",""),IF(AND(AG$6&gt;=$D8,AG$6&lt;=$E8),MAX(0,MIN(1,$G8*$F8-(AG$6-$D8))),"")))</ns0:f>
      </ns0:c>
      <ns0:c r="AH8" s="22" t="str">
        <ns0:f>IF($A8="","",IF($I8="Yes",IF(AH$6=$D8,"◆",""),IF(AND(AH$6&gt;=$D8,AH$6&lt;=$E8),MAX(0,MIN(1,$G8*$F8-(AH$6-$D8))),"")))</ns0:f>
      </ns0:c>
      <ns0:c r="AI8" s="22" t="str">
        <ns0:f>IF($A8="","",IF($I8="Yes",IF(AI$6=$D8,"◆",""),IF(AND(AI$6&gt;=$D8,AI$6&lt;=$E8),MAX(0,MIN(1,$G8*$F8-(AI$6-$D8))),"")))</ns0:f>
      </ns0:c>
      <ns0:c r="AJ8" s="22" t="str">
        <ns0:f>IF($A8="","",IF($I8="Yes",IF(AJ$6=$D8,"◆",""),IF(AND(AJ$6&gt;=$D8,AJ$6&lt;=$E8),MAX(0,MIN(1,$G8*$F8-(AJ$6-$D8))),"")))</ns0:f>
      </ns0:c>
      <ns0:c r="AK8" s="22" t="str">
        <ns0:f>IF($A8="","",IF($I8="Yes",IF(AK$6=$D8,"◆",""),IF(AND(AK$6&gt;=$D8,AK$6&lt;=$E8),MAX(0,MIN(1,$G8*$F8-(AK$6-$D8))),"")))</ns0:f>
      </ns0:c>
      <ns0:c r="AL8" s="22" t="str">
        <ns0:f>IF($A8="","",IF($I8="Yes",IF(AL$6=$D8,"◆",""),IF(AND(AL$6&gt;=$D8,AL$6&lt;=$E8),MAX(0,MIN(1,$G8*$F8-(AL$6-$D8))),"")))</ns0:f>
      </ns0:c>
      <ns0:c r="AM8" s="22" t="str">
        <ns0:f>IF($A8="","",IF($I8="Yes",IF(AM$6=$D8,"◆",""),IF(AND(AM$6&gt;=$D8,AM$6&lt;=$E8),MAX(0,MIN(1,$G8*$F8-(AM$6-$D8))),"")))</ns0:f>
      </ns0:c>
      <ns0:c r="AN8" s="22" t="str">
        <ns0:f>IF($A8="","",IF($I8="Yes",IF(AN$6=$D8,"◆",""),IF(AND(AN$6&gt;=$D8,AN$6&lt;=$E8),MAX(0,MIN(1,$G8*$F8-(AN$6-$D8))),"")))</ns0:f>
      </ns0:c>
      <ns0:c r="AO8" s="22" t="str">
        <ns0:f>IF($A8="","",IF($I8="Yes",IF(AO$6=$D8,"◆",""),IF(AND(AO$6&gt;=$D8,AO$6&lt;=$E8),MAX(0,MIN(1,$G8*$F8-(AO$6-$D8))),"")))</ns0:f>
      </ns0:c>
      <ns0:c r="AP8" s="22" t="str">
        <ns0:f>IF($A8="","",IF($I8="Yes",IF(AP$6=$D8,"◆",""),IF(AND(AP$6&gt;=$D8,AP$6&lt;=$E8),MAX(0,MIN(1,$G8*$F8-(AP$6-$D8))),"")))</ns0:f>
      </ns0:c>
      <ns0:c r="AQ8" s="22" t="str">
        <ns0:f>IF($A8="","",IF($I8="Yes",IF(AQ$6=$D8,"◆",""),IF(AND(AQ$6&gt;=$D8,AQ$6&lt;=$E8),MAX(0,MIN(1,$G8*$F8-(AQ$6-$D8))),"")))</ns0:f>
      </ns0:c>
      <ns0:c r="AR8" s="22" t="str">
        <ns0:f>IF($A8="","",IF($I8="Yes",IF(AR$6=$D8,"◆",""),IF(AND(AR$6&gt;=$D8,AR$6&lt;=$E8),MAX(0,MIN(1,$G8*$F8-(AR$6-$D8))),"")))</ns0:f>
      </ns0:c>
    </ns0:row>
    <ns0:row r="9" ht="48" customHeight="1">
      <ns0:c r="A9" s="8" t="str">
        <ns0:f>IF(INDEX(Tasks[Task ID],3)="","",INDEX(Tasks[Task ID],3))</ns0:f>
        <ns0:v>T03</ns0:v>
      </ns0:c>
      <ns0:c r="B9" s="8" t="str">
        <ns0:f>IF(INDEX(Tasks[Task ID],3)="","",INDEX(Tasks[Phase],3))</ns0:f>
        <ns0:v>Governance &amp; state</ns0:v>
      </ns0:c>
      <ns0:c r="C9" s="8" t="str">
        <ns0:f>IF(INDEX(Tasks[Task ID],3)="","",INDEX(Tasks[Task Name],3))</ns0:f>
        <ns0:v>Establish Policy &amp; Authorization Boundary (PAB) evaluation rules</ns0:v>
      </ns0:c>
      <ns0:c r="D9" s="18" t="n">
        <ns0:f>IF(INDEX(Tasks[Task ID],3)="","",INDEX(Tasks[Start Date],3))</ns0:f>
        <ns0:v>46277</ns0:v>
      </ns0:c>
      <ns0:c r="E9" s="18" t="n">
        <ns0:f>IF(INDEX(Tasks[Task ID],3)="","",INDEX(Tasks[End Date],3))</ns0:f>
        <ns0:v>46278</ns0:v>
      </ns0:c>
      <ns0:c r="F9" s="8" t="n">
        <ns0:f>IF(INDEX(Tasks[Task ID],3)="","",INDEX(Tasks[Duration],3))</ns0:f>
        <ns0:v>2</ns0:v>
      </ns0:c>
      <ns0:c r="G9" s="19" t="n">
        <ns0:f>IF(INDEX(Tasks[Task ID],3)="","",INDEX(Tasks[Progress %],3))</ns0:f>
        <ns0:v>0</ns0:v>
      </ns0:c>
      <ns0:c r="H9" s="8" t="str">
        <ns0:f>IF(INDEX(Tasks[Task ID],3)="","",INDEX('Project Tracker'!$Q$7:$Q$106,3))</ns0:f>
        <ns0:v>Not Started</ns0:v>
      </ns0:c>
      <ns0:c r="I9" s="8" t="str">
        <ns0:f>IF(INDEX(Tasks[Task ID],3)="","",INDEX(Tasks[Milestone],3))</ns0:f>
        <ns0:v>No</ns0:v>
      </ns0:c>
      <ns0:c r="J9" s="8" t="str">
        <ns0:f>IF(INDEX(Tasks[Task ID],3)="","",INDEX(Tasks[Schedule Health],3))</ns0:f>
        <ns0:v>On track</ns0:v>
      </ns0:c>
      <ns0:c r="K9" s="22" t="str">
        <ns0:f>IF($A9="","",IF($I9="Yes",IF(K$6=$D9,"◆",""),IF(AND(K$6&gt;=$D9,K$6&lt;=$E9),MAX(0,MIN(1,$G9*$F9-(K$6-$D9))),"")))</ns0:f>
      </ns0:c>
      <ns0:c r="L9" s="22" t="n">
        <ns0:f>IF($A9="","",IF($I9="Yes",IF(L$6=$D9,"◆",""),IF(AND(L$6&gt;=$D9,L$6&lt;=$E9),MAX(0,MIN(1,$G9*$F9-(L$6-$D9))),"")))</ns0:f>
        <ns0:v>0</ns0:v>
      </ns0:c>
      <ns0:c r="M9" s="22" t="n">
        <ns0:f>IF($A9="","",IF($I9="Yes",IF(M$6=$D9,"◆",""),IF(AND(M$6&gt;=$D9,M$6&lt;=$E9),MAX(0,MIN(1,$G9*$F9-(M$6-$D9))),"")))</ns0:f>
        <ns0:v>0</ns0:v>
      </ns0:c>
      <ns0:c r="N9" s="22" t="str">
        <ns0:f>IF($A9="","",IF($I9="Yes",IF(N$6=$D9,"◆",""),IF(AND(N$6&gt;=$D9,N$6&lt;=$E9),MAX(0,MIN(1,$G9*$F9-(N$6-$D9))),"")))</ns0:f>
      </ns0:c>
      <ns0:c r="O9" s="22" t="str">
        <ns0:f>IF($A9="","",IF($I9="Yes",IF(O$6=$D9,"◆",""),IF(AND(O$6&gt;=$D9,O$6&lt;=$E9),MAX(0,MIN(1,$G9*$F9-(O$6-$D9))),"")))</ns0:f>
      </ns0:c>
      <ns0:c r="P9" s="22" t="str">
        <ns0:f>IF($A9="","",IF($I9="Yes",IF(P$6=$D9,"◆",""),IF(AND(P$6&gt;=$D9,P$6&lt;=$E9),MAX(0,MIN(1,$G9*$F9-(P$6-$D9))),"")))</ns0:f>
      </ns0:c>
      <ns0:c r="Q9" s="22" t="str">
        <ns0:f>IF($A9="","",IF($I9="Yes",IF(Q$6=$D9,"◆",""),IF(AND(Q$6&gt;=$D9,Q$6&lt;=$E9),MAX(0,MIN(1,$G9*$F9-(Q$6-$D9))),"")))</ns0:f>
      </ns0:c>
      <ns0:c r="R9" s="22" t="str">
        <ns0:f>IF($A9="","",IF($I9="Yes",IF(R$6=$D9,"◆",""),IF(AND(R$6&gt;=$D9,R$6&lt;=$E9),MAX(0,MIN(1,$G9*$F9-(R$6-$D9))),"")))</ns0:f>
      </ns0:c>
      <ns0:c r="S9" s="22" t="str">
        <ns0:f>IF($A9="","",IF($I9="Yes",IF(S$6=$D9,"◆",""),IF(AND(S$6&gt;=$D9,S$6&lt;=$E9),MAX(0,MIN(1,$G9*$F9-(S$6-$D9))),"")))</ns0:f>
      </ns0:c>
      <ns0:c r="T9" s="22" t="str">
        <ns0:f>IF($A9="","",IF($I9="Yes",IF(T$6=$D9,"◆",""),IF(AND(T$6&gt;=$D9,T$6&lt;=$E9),MAX(0,MIN(1,$G9*$F9-(T$6-$D9))),"")))</ns0:f>
      </ns0:c>
      <ns0:c r="U9" s="22" t="str">
        <ns0:f>IF($A9="","",IF($I9="Yes",IF(U$6=$D9,"◆",""),IF(AND(U$6&gt;=$D9,U$6&lt;=$E9),MAX(0,MIN(1,$G9*$F9-(U$6-$D9))),"")))</ns0:f>
      </ns0:c>
      <ns0:c r="V9" s="22" t="str">
        <ns0:f>IF($A9="","",IF($I9="Yes",IF(V$6=$D9,"◆",""),IF(AND(V$6&gt;=$D9,V$6&lt;=$E9),MAX(0,MIN(1,$G9*$F9-(V$6-$D9))),"")))</ns0:f>
      </ns0:c>
      <ns0:c r="W9" s="22" t="str">
        <ns0:f>IF($A9="","",IF($I9="Yes",IF(W$6=$D9,"◆",""),IF(AND(W$6&gt;=$D9,W$6&lt;=$E9),MAX(0,MIN(1,$G9*$F9-(W$6-$D9))),"")))</ns0:f>
      </ns0:c>
      <ns0:c r="X9" s="22" t="str">
        <ns0:f>IF($A9="","",IF($I9="Yes",IF(X$6=$D9,"◆",""),IF(AND(X$6&gt;=$D9,X$6&lt;=$E9),MAX(0,MIN(1,$G9*$F9-(X$6-$D9))),"")))</ns0:f>
      </ns0:c>
      <ns0:c r="Y9" s="22" t="str">
        <ns0:f>IF($A9="","",IF($I9="Yes",IF(Y$6=$D9,"◆",""),IF(AND(Y$6&gt;=$D9,Y$6&lt;=$E9),MAX(0,MIN(1,$G9*$F9-(Y$6-$D9))),"")))</ns0:f>
      </ns0:c>
      <ns0:c r="Z9" s="22" t="str">
        <ns0:f>IF($A9="","",IF($I9="Yes",IF(Z$6=$D9,"◆",""),IF(AND(Z$6&gt;=$D9,Z$6&lt;=$E9),MAX(0,MIN(1,$G9*$F9-(Z$6-$D9))),"")))</ns0:f>
      </ns0:c>
      <ns0:c r="AA9" s="22" t="str">
        <ns0:f>IF($A9="","",IF($I9="Yes",IF(AA$6=$D9,"◆",""),IF(AND(AA$6&gt;=$D9,AA$6&lt;=$E9),MAX(0,MIN(1,$G9*$F9-(AA$6-$D9))),"")))</ns0:f>
      </ns0:c>
      <ns0:c r="AB9" s="22" t="str">
        <ns0:f>IF($A9="","",IF($I9="Yes",IF(AB$6=$D9,"◆",""),IF(AND(AB$6&gt;=$D9,AB$6&lt;=$E9),MAX(0,MIN(1,$G9*$F9-(AB$6-$D9))),"")))</ns0:f>
      </ns0:c>
      <ns0:c r="AC9" s="22" t="str">
        <ns0:f>IF($A9="","",IF($I9="Yes",IF(AC$6=$D9,"◆",""),IF(AND(AC$6&gt;=$D9,AC$6&lt;=$E9),MAX(0,MIN(1,$G9*$F9-(AC$6-$D9))),"")))</ns0:f>
      </ns0:c>
      <ns0:c r="AD9" s="22" t="str">
        <ns0:f>IF($A9="","",IF($I9="Yes",IF(AD$6=$D9,"◆",""),IF(AND(AD$6&gt;=$D9,AD$6&lt;=$E9),MAX(0,MIN(1,$G9*$F9-(AD$6-$D9))),"")))</ns0:f>
      </ns0:c>
      <ns0:c r="AE9" s="22" t="str">
        <ns0:f>IF($A9="","",IF($I9="Yes",IF(AE$6=$D9,"◆",""),IF(AND(AE$6&gt;=$D9,AE$6&lt;=$E9),MAX(0,MIN(1,$G9*$F9-(AE$6-$D9))),"")))</ns0:f>
      </ns0:c>
      <ns0:c r="AF9" s="22" t="str">
        <ns0:f>IF($A9="","",IF($I9="Yes",IF(AF$6=$D9,"◆",""),IF(AND(AF$6&gt;=$D9,AF$6&lt;=$E9),MAX(0,MIN(1,$G9*$F9-(AF$6-$D9))),"")))</ns0:f>
      </ns0:c>
      <ns0:c r="AG9" s="22" t="str">
        <ns0:f>IF($A9="","",IF($I9="Yes",IF(AG$6=$D9,"◆",""),IF(AND(AG$6&gt;=$D9,AG$6&lt;=$E9),MAX(0,MIN(1,$G9*$F9-(AG$6-$D9))),"")))</ns0:f>
      </ns0:c>
      <ns0:c r="AH9" s="22" t="str">
        <ns0:f>IF($A9="","",IF($I9="Yes",IF(AH$6=$D9,"◆",""),IF(AND(AH$6&gt;=$D9,AH$6&lt;=$E9),MAX(0,MIN(1,$G9*$F9-(AH$6-$D9))),"")))</ns0:f>
      </ns0:c>
      <ns0:c r="AI9" s="22" t="str">
        <ns0:f>IF($A9="","",IF($I9="Yes",IF(AI$6=$D9,"◆",""),IF(AND(AI$6&gt;=$D9,AI$6&lt;=$E9),MAX(0,MIN(1,$G9*$F9-(AI$6-$D9))),"")))</ns0:f>
      </ns0:c>
      <ns0:c r="AJ9" s="22" t="str">
        <ns0:f>IF($A9="","",IF($I9="Yes",IF(AJ$6=$D9,"◆",""),IF(AND(AJ$6&gt;=$D9,AJ$6&lt;=$E9),MAX(0,MIN(1,$G9*$F9-(AJ$6-$D9))),"")))</ns0:f>
      </ns0:c>
      <ns0:c r="AK9" s="22" t="str">
        <ns0:f>IF($A9="","",IF($I9="Yes",IF(AK$6=$D9,"◆",""),IF(AND(AK$6&gt;=$D9,AK$6&lt;=$E9),MAX(0,MIN(1,$G9*$F9-(AK$6-$D9))),"")))</ns0:f>
      </ns0:c>
      <ns0:c r="AL9" s="22" t="str">
        <ns0:f>IF($A9="","",IF($I9="Yes",IF(AL$6=$D9,"◆",""),IF(AND(AL$6&gt;=$D9,AL$6&lt;=$E9),MAX(0,MIN(1,$G9*$F9-(AL$6-$D9))),"")))</ns0:f>
      </ns0:c>
      <ns0:c r="AM9" s="22" t="str">
        <ns0:f>IF($A9="","",IF($I9="Yes",IF(AM$6=$D9,"◆",""),IF(AND(AM$6&gt;=$D9,AM$6&lt;=$E9),MAX(0,MIN(1,$G9*$F9-(AM$6-$D9))),"")))</ns0:f>
      </ns0:c>
      <ns0:c r="AN9" s="22" t="str">
        <ns0:f>IF($A9="","",IF($I9="Yes",IF(AN$6=$D9,"◆",""),IF(AND(AN$6&gt;=$D9,AN$6&lt;=$E9),MAX(0,MIN(1,$G9*$F9-(AN$6-$D9))),"")))</ns0:f>
      </ns0:c>
      <ns0:c r="AO9" s="22" t="str">
        <ns0:f>IF($A9="","",IF($I9="Yes",IF(AO$6=$D9,"◆",""),IF(AND(AO$6&gt;=$D9,AO$6&lt;=$E9),MAX(0,MIN(1,$G9*$F9-(AO$6-$D9))),"")))</ns0:f>
      </ns0:c>
      <ns0:c r="AP9" s="22" t="str">
        <ns0:f>IF($A9="","",IF($I9="Yes",IF(AP$6=$D9,"◆",""),IF(AND(AP$6&gt;=$D9,AP$6&lt;=$E9),MAX(0,MIN(1,$G9*$F9-(AP$6-$D9))),"")))</ns0:f>
      </ns0:c>
      <ns0:c r="AQ9" s="22" t="str">
        <ns0:f>IF($A9="","",IF($I9="Yes",IF(AQ$6=$D9,"◆",""),IF(AND(AQ$6&gt;=$D9,AQ$6&lt;=$E9),MAX(0,MIN(1,$G9*$F9-(AQ$6-$D9))),"")))</ns0:f>
      </ns0:c>
      <ns0:c r="AR9" s="22" t="str">
        <ns0:f>IF($A9="","",IF($I9="Yes",IF(AR$6=$D9,"◆",""),IF(AND(AR$6&gt;=$D9,AR$6&lt;=$E9),MAX(0,MIN(1,$G9*$F9-(AR$6-$D9))),"")))</ns0:f>
      </ns0:c>
    </ns0:row>
    <ns0:row r="10" ht="48" customHeight="1">
      <ns0:c r="A10" s="8" t="str">
        <ns0:f>IF(INDEX(Tasks[Task ID],4)="","",INDEX(Tasks[Task ID],4))</ns0:f>
        <ns0:v>T04</ns0:v>
      </ns0:c>
      <ns0:c r="B10" s="8" t="str">
        <ns0:f>IF(INDEX(Tasks[Task ID],4)="","",INDEX(Tasks[Phase],4))</ns0:f>
        <ns0:v>Governance &amp; state</ns0:v>
      </ns0:c>
      <ns0:c r="C10" s="8" t="str">
        <ns0:f>IF(INDEX(Tasks[Task ID],4)="","",INDEX(Tasks[Task Name],4))</ns0:f>
        <ns0:v>Initialize Canonical Task State Machine (CTS) and DAG execution schema</ns0:v>
      </ns0:c>
      <ns0:c r="D10" s="18" t="n">
        <ns0:f>IF(INDEX(Tasks[Task ID],4)="","",INDEX(Tasks[Start Date],4))</ns0:f>
        <ns0:v>46277</ns0:v>
      </ns0:c>
      <ns0:c r="E10" s="18" t="n">
        <ns0:f>IF(INDEX(Tasks[Task ID],4)="","",INDEX(Tasks[End Date],4))</ns0:f>
        <ns0:v>46278</ns0:v>
      </ns0:c>
      <ns0:c r="F10" s="8" t="n">
        <ns0:f>IF(INDEX(Tasks[Task ID],4)="","",INDEX(Tasks[Duration],4))</ns0:f>
        <ns0:v>2</ns0:v>
      </ns0:c>
      <ns0:c r="G10" s="19" t="n">
        <ns0:f>IF(INDEX(Tasks[Task ID],4)="","",INDEX(Tasks[Progress %],4))</ns0:f>
        <ns0:v>0</ns0:v>
      </ns0:c>
      <ns0:c r="H10" s="8" t="str">
        <ns0:f>IF(INDEX(Tasks[Task ID],4)="","",INDEX('Project Tracker'!$Q$7:$Q$106,4))</ns0:f>
        <ns0:v>Not Started</ns0:v>
      </ns0:c>
      <ns0:c r="I10" s="8" t="str">
        <ns0:f>IF(INDEX(Tasks[Task ID],4)="","",INDEX(Tasks[Milestone],4))</ns0:f>
        <ns0:v>No</ns0:v>
      </ns0:c>
      <ns0:c r="J10" s="8" t="str">
        <ns0:f>IF(INDEX(Tasks[Task ID],4)="","",INDEX(Tasks[Schedule Health],4))</ns0:f>
        <ns0:v>On track</ns0:v>
      </ns0:c>
      <ns0:c r="K10" s="22" t="str">
        <ns0:f>IF($A10="","",IF($I10="Yes",IF(K$6=$D10,"◆",""),IF(AND(K$6&gt;=$D10,K$6&lt;=$E10),MAX(0,MIN(1,$G10*$F10-(K$6-$D10))),"")))</ns0:f>
      </ns0:c>
      <ns0:c r="L10" s="22" t="n">
        <ns0:f>IF($A10="","",IF($I10="Yes",IF(L$6=$D10,"◆",""),IF(AND(L$6&gt;=$D10,L$6&lt;=$E10),MAX(0,MIN(1,$G10*$F10-(L$6-$D10))),"")))</ns0:f>
        <ns0:v>0</ns0:v>
      </ns0:c>
      <ns0:c r="M10" s="22" t="n">
        <ns0:f>IF($A10="","",IF($I10="Yes",IF(M$6=$D10,"◆",""),IF(AND(M$6&gt;=$D10,M$6&lt;=$E10),MAX(0,MIN(1,$G10*$F10-(M$6-$D10))),"")))</ns0:f>
        <ns0:v>0</ns0:v>
      </ns0:c>
      <ns0:c r="N10" s="22" t="str">
        <ns0:f>IF($A10="","",IF($I10="Yes",IF(N$6=$D10,"◆",""),IF(AND(N$6&gt;=$D10,N$6&lt;=$E10),MAX(0,MIN(1,$G10*$F10-(N$6-$D10))),"")))</ns0:f>
      </ns0:c>
      <ns0:c r="O10" s="22" t="str">
        <ns0:f>IF($A10="","",IF($I10="Yes",IF(O$6=$D10,"◆",""),IF(AND(O$6&gt;=$D10,O$6&lt;=$E10),MAX(0,MIN(1,$G10*$F10-(O$6-$D10))),"")))</ns0:f>
      </ns0:c>
      <ns0:c r="P10" s="22" t="str">
        <ns0:f>IF($A10="","",IF($I10="Yes",IF(P$6=$D10,"◆",""),IF(AND(P$6&gt;=$D10,P$6&lt;=$E10),MAX(0,MIN(1,$G10*$F10-(P$6-$D10))),"")))</ns0:f>
      </ns0:c>
      <ns0:c r="Q10" s="22" t="str">
        <ns0:f>IF($A10="","",IF($I10="Yes",IF(Q$6=$D10,"◆",""),IF(AND(Q$6&gt;=$D10,Q$6&lt;=$E10),MAX(0,MIN(1,$G10*$F10-(Q$6-$D10))),"")))</ns0:f>
      </ns0:c>
      <ns0:c r="R10" s="22" t="str">
        <ns0:f>IF($A10="","",IF($I10="Yes",IF(R$6=$D10,"◆",""),IF(AND(R$6&gt;=$D10,R$6&lt;=$E10),MAX(0,MIN(1,$G10*$F10-(R$6-$D10))),"")))</ns0:f>
      </ns0:c>
      <ns0:c r="S10" s="22" t="str">
        <ns0:f>IF($A10="","",IF($I10="Yes",IF(S$6=$D10,"◆",""),IF(AND(S$6&gt;=$D10,S$6&lt;=$E10),MAX(0,MIN(1,$G10*$F10-(S$6-$D10))),"")))</ns0:f>
      </ns0:c>
      <ns0:c r="T10" s="22" t="str">
        <ns0:f>IF($A10="","",IF($I10="Yes",IF(T$6=$D10,"◆",""),IF(AND(T$6&gt;=$D10,T$6&lt;=$E10),MAX(0,MIN(1,$G10*$F10-(T$6-$D10))),"")))</ns0:f>
      </ns0:c>
      <ns0:c r="U10" s="22" t="str">
        <ns0:f>IF($A10="","",IF($I10="Yes",IF(U$6=$D10,"◆",""),IF(AND(U$6&gt;=$D10,U$6&lt;=$E10),MAX(0,MIN(1,$G10*$F10-(U$6-$D10))),"")))</ns0:f>
      </ns0:c>
      <ns0:c r="V10" s="22" t="str">
        <ns0:f>IF($A10="","",IF($I10="Yes",IF(V$6=$D10,"◆",""),IF(AND(V$6&gt;=$D10,V$6&lt;=$E10),MAX(0,MIN(1,$G10*$F10-(V$6-$D10))),"")))</ns0:f>
      </ns0:c>
      <ns0:c r="W10" s="22" t="str">
        <ns0:f>IF($A10="","",IF($I10="Yes",IF(W$6=$D10,"◆",""),IF(AND(W$6&gt;=$D10,W$6&lt;=$E10),MAX(0,MIN(1,$G10*$F10-(W$6-$D10))),"")))</ns0:f>
      </ns0:c>
      <ns0:c r="X10" s="22" t="str">
        <ns0:f>IF($A10="","",IF($I10="Yes",IF(X$6=$D10,"◆",""),IF(AND(X$6&gt;=$D10,X$6&lt;=$E10),MAX(0,MIN(1,$G10*$F10-(X$6-$D10))),"")))</ns0:f>
      </ns0:c>
      <ns0:c r="Y10" s="22" t="str">
        <ns0:f>IF($A10="","",IF($I10="Yes",IF(Y$6=$D10,"◆",""),IF(AND(Y$6&gt;=$D10,Y$6&lt;=$E10),MAX(0,MIN(1,$G10*$F10-(Y$6-$D10))),"")))</ns0:f>
      </ns0:c>
      <ns0:c r="Z10" s="22" t="str">
        <ns0:f>IF($A10="","",IF($I10="Yes",IF(Z$6=$D10,"◆",""),IF(AND(Z$6&gt;=$D10,Z$6&lt;=$E10),MAX(0,MIN(1,$G10*$F10-(Z$6-$D10))),"")))</ns0:f>
      </ns0:c>
      <ns0:c r="AA10" s="22" t="str">
        <ns0:f>IF($A10="","",IF($I10="Yes",IF(AA$6=$D10,"◆",""),IF(AND(AA$6&gt;=$D10,AA$6&lt;=$E10),MAX(0,MIN(1,$G10*$F10-(AA$6-$D10))),"")))</ns0:f>
      </ns0:c>
      <ns0:c r="AB10" s="22" t="str">
        <ns0:f>IF($A10="","",IF($I10="Yes",IF(AB$6=$D10,"◆",""),IF(AND(AB$6&gt;=$D10,AB$6&lt;=$E10),MAX(0,MIN(1,$G10*$F10-(AB$6-$D10))),"")))</ns0:f>
      </ns0:c>
      <ns0:c r="AC10" s="22" t="str">
        <ns0:f>IF($A10="","",IF($I10="Yes",IF(AC$6=$D10,"◆",""),IF(AND(AC$6&gt;=$D10,AC$6&lt;=$E10),MAX(0,MIN(1,$G10*$F10-(AC$6-$D10))),"")))</ns0:f>
      </ns0:c>
      <ns0:c r="AD10" s="22" t="str">
        <ns0:f>IF($A10="","",IF($I10="Yes",IF(AD$6=$D10,"◆",""),IF(AND(AD$6&gt;=$D10,AD$6&lt;=$E10),MAX(0,MIN(1,$G10*$F10-(AD$6-$D10))),"")))</ns0:f>
      </ns0:c>
      <ns0:c r="AE10" s="22" t="str">
        <ns0:f>IF($A10="","",IF($I10="Yes",IF(AE$6=$D10,"◆",""),IF(AND(AE$6&gt;=$D10,AE$6&lt;=$E10),MAX(0,MIN(1,$G10*$F10-(AE$6-$D10))),"")))</ns0:f>
      </ns0:c>
      <ns0:c r="AF10" s="22" t="str">
        <ns0:f>IF($A10="","",IF($I10="Yes",IF(AF$6=$D10,"◆",""),IF(AND(AF$6&gt;=$D10,AF$6&lt;=$E10),MAX(0,MIN(1,$G10*$F10-(AF$6-$D10))),"")))</ns0:f>
      </ns0:c>
      <ns0:c r="AG10" s="22" t="str">
        <ns0:f>IF($A10="","",IF($I10="Yes",IF(AG$6=$D10,"◆",""),IF(AND(AG$6&gt;=$D10,AG$6&lt;=$E10),MAX(0,MIN(1,$G10*$F10-(AG$6-$D10))),"")))</ns0:f>
      </ns0:c>
      <ns0:c r="AH10" s="22" t="str">
        <ns0:f>IF($A10="","",IF($I10="Yes",IF(AH$6=$D10,"◆",""),IF(AND(AH$6&gt;=$D10,AH$6&lt;=$E10),MAX(0,MIN(1,$G10*$F10-(AH$6-$D10))),"")))</ns0:f>
      </ns0:c>
      <ns0:c r="AI10" s="22" t="str">
        <ns0:f>IF($A10="","",IF($I10="Yes",IF(AI$6=$D10,"◆",""),IF(AND(AI$6&gt;=$D10,AI$6&lt;=$E10),MAX(0,MIN(1,$G10*$F10-(AI$6-$D10))),"")))</ns0:f>
      </ns0:c>
      <ns0:c r="AJ10" s="22" t="str">
        <ns0:f>IF($A10="","",IF($I10="Yes",IF(AJ$6=$D10,"◆",""),IF(AND(AJ$6&gt;=$D10,AJ$6&lt;=$E10),MAX(0,MIN(1,$G10*$F10-(AJ$6-$D10))),"")))</ns0:f>
      </ns0:c>
      <ns0:c r="AK10" s="22" t="str">
        <ns0:f>IF($A10="","",IF($I10="Yes",IF(AK$6=$D10,"◆",""),IF(AND(AK$6&gt;=$D10,AK$6&lt;=$E10),MAX(0,MIN(1,$G10*$F10-(AK$6-$D10))),"")))</ns0:f>
      </ns0:c>
      <ns0:c r="AL10" s="22" t="str">
        <ns0:f>IF($A10="","",IF($I10="Yes",IF(AL$6=$D10,"◆",""),IF(AND(AL$6&gt;=$D10,AL$6&lt;=$E10),MAX(0,MIN(1,$G10*$F10-(AL$6-$D10))),"")))</ns0:f>
      </ns0:c>
      <ns0:c r="AM10" s="22" t="str">
        <ns0:f>IF($A10="","",IF($I10="Yes",IF(AM$6=$D10,"◆",""),IF(AND(AM$6&gt;=$D10,AM$6&lt;=$E10),MAX(0,MIN(1,$G10*$F10-(AM$6-$D10))),"")))</ns0:f>
      </ns0:c>
      <ns0:c r="AN10" s="22" t="str">
        <ns0:f>IF($A10="","",IF($I10="Yes",IF(AN$6=$D10,"◆",""),IF(AND(AN$6&gt;=$D10,AN$6&lt;=$E10),MAX(0,MIN(1,$G10*$F10-(AN$6-$D10))),"")))</ns0:f>
      </ns0:c>
      <ns0:c r="AO10" s="22" t="str">
        <ns0:f>IF($A10="","",IF($I10="Yes",IF(AO$6=$D10,"◆",""),IF(AND(AO$6&gt;=$D10,AO$6&lt;=$E10),MAX(0,MIN(1,$G10*$F10-(AO$6-$D10))),"")))</ns0:f>
      </ns0:c>
      <ns0:c r="AP10" s="22" t="str">
        <ns0:f>IF($A10="","",IF($I10="Yes",IF(AP$6=$D10,"◆",""),IF(AND(AP$6&gt;=$D10,AP$6&lt;=$E10),MAX(0,MIN(1,$G10*$F10-(AP$6-$D10))),"")))</ns0:f>
      </ns0:c>
      <ns0:c r="AQ10" s="22" t="str">
        <ns0:f>IF($A10="","",IF($I10="Yes",IF(AQ$6=$D10,"◆",""),IF(AND(AQ$6&gt;=$D10,AQ$6&lt;=$E10),MAX(0,MIN(1,$G10*$F10-(AQ$6-$D10))),"")))</ns0:f>
      </ns0:c>
      <ns0:c r="AR10" s="22" t="str">
        <ns0:f>IF($A10="","",IF($I10="Yes",IF(AR$6=$D10,"◆",""),IF(AND(AR$6&gt;=$D10,AR$6&lt;=$E10),MAX(0,MIN(1,$G10*$F10-(AR$6-$D10))),"")))</ns0:f>
      </ns0:c>
    </ns0:row>
    <ns0:row r="11" ht="48" customHeight="1">
      <ns0:c r="A11" s="8" t="str">
        <ns0:f>IF(INDEX(Tasks[Task ID],5)="","",INDEX(Tasks[Task ID],5))</ns0:f>
        <ns0:v>M1</ns0:v>
      </ns0:c>
      <ns0:c r="B11" s="8" t="str">
        <ns0:f>IF(INDEX(Tasks[Task ID],5)="","",INDEX(Tasks[Phase],5))</ns0:f>
        <ns0:v>Governance &amp; state</ns0:v>
      </ns0:c>
      <ns0:c r="C11" s="8" t="str">
        <ns0:f>IF(INDEX(Tasks[Task ID],5)="","",INDEX(Tasks[Task Name],5))</ns0:f>
        <ns0:v>Governance, Policy &amp; Canonical State Initialization</ns0:v>
      </ns0:c>
      <ns0:c r="D11" s="18" t="n">
        <ns0:f>IF(INDEX(Tasks[Task ID],5)="","",INDEX(Tasks[Start Date],5))</ns0:f>
        <ns0:v>46279</ns0:v>
      </ns0:c>
      <ns0:c r="E11" s="18" t="n">
        <ns0:f>IF(INDEX(Tasks[Task ID],5)="","",INDEX(Tasks[End Date],5))</ns0:f>
        <ns0:v>46279</ns0:v>
      </ns0:c>
      <ns0:c r="F11" s="8" t="n">
        <ns0:f>IF(INDEX(Tasks[Task ID],5)="","",INDEX(Tasks[Duration],5))</ns0:f>
        <ns0:v>0</ns0:v>
      </ns0:c>
      <ns0:c r="G11" s="19" t="n">
        <ns0:f>IF(INDEX(Tasks[Task ID],5)="","",INDEX(Tasks[Progress %],5))</ns0:f>
        <ns0:v>0</ns0:v>
      </ns0:c>
      <ns0:c r="H11" s="8" t="str">
        <ns0:f>IF(INDEX(Tasks[Task ID],5)="","",INDEX('Project Tracker'!$Q$7:$Q$106,5))</ns0:f>
        <ns0:v>Not Started</ns0:v>
      </ns0:c>
      <ns0:c r="I11" s="8" t="str">
        <ns0:f>IF(INDEX(Tasks[Task ID],5)="","",INDEX(Tasks[Milestone],5))</ns0:f>
        <ns0:v>Yes</ns0:v>
      </ns0:c>
      <ns0:c r="J11" s="8" t="str">
        <ns0:f>IF(INDEX(Tasks[Task ID],5)="","",INDEX(Tasks[Schedule Health],5))</ns0:f>
        <ns0:v>On track</ns0:v>
      </ns0:c>
      <ns0:c r="K11" s="22" t="str">
        <ns0:f>IF($A11="","",IF($I11="Yes",IF(K$6=$D11,"◆",""),IF(AND(K$6&gt;=$D11,K$6&lt;=$E11),MAX(0,MIN(1,$G11*$F11-(K$6-$D11))),"")))</ns0:f>
      </ns0:c>
      <ns0:c r="L11" s="22" t="str">
        <ns0:f>IF($A11="","",IF($I11="Yes",IF(L$6=$D11,"◆",""),IF(AND(L$6&gt;=$D11,L$6&lt;=$E11),MAX(0,MIN(1,$G11*$F11-(L$6-$D11))),"")))</ns0:f>
      </ns0:c>
      <ns0:c r="M11" s="22" t="str">
        <ns0:f>IF($A11="","",IF($I11="Yes",IF(M$6=$D11,"◆",""),IF(AND(M$6&gt;=$D11,M$6&lt;=$E11),MAX(0,MIN(1,$G11*$F11-(M$6-$D11))),"")))</ns0:f>
      </ns0:c>
      <ns0:c r="N11" s="22" t="str">
        <ns0:f>IF($A11="","",IF($I11="Yes",IF(N$6=$D11,"◆",""),IF(AND(N$6&gt;=$D11,N$6&lt;=$E11),MAX(0,MIN(1,$G11*$F11-(N$6-$D11))),"")))</ns0:f>
        <ns0:v>◆</ns0:v>
      </ns0:c>
      <ns0:c r="O11" s="22" t="str">
        <ns0:f>IF($A11="","",IF($I11="Yes",IF(O$6=$D11,"◆",""),IF(AND(O$6&gt;=$D11,O$6&lt;=$E11),MAX(0,MIN(1,$G11*$F11-(O$6-$D11))),"")))</ns0:f>
      </ns0:c>
      <ns0:c r="P11" s="22" t="str">
        <ns0:f>IF($A11="","",IF($I11="Yes",IF(P$6=$D11,"◆",""),IF(AND(P$6&gt;=$D11,P$6&lt;=$E11),MAX(0,MIN(1,$G11*$F11-(P$6-$D11))),"")))</ns0:f>
      </ns0:c>
      <ns0:c r="Q11" s="22" t="str">
        <ns0:f>IF($A11="","",IF($I11="Yes",IF(Q$6=$D11,"◆",""),IF(AND(Q$6&gt;=$D11,Q$6&lt;=$E11),MAX(0,MIN(1,$G11*$F11-(Q$6-$D11))),"")))</ns0:f>
      </ns0:c>
      <ns0:c r="R11" s="22" t="str">
        <ns0:f>IF($A11="","",IF($I11="Yes",IF(R$6=$D11,"◆",""),IF(AND(R$6&gt;=$D11,R$6&lt;=$E11),MAX(0,MIN(1,$G11*$F11-(R$6-$D11))),"")))</ns0:f>
      </ns0:c>
      <ns0:c r="S11" s="22" t="str">
        <ns0:f>IF($A11="","",IF($I11="Yes",IF(S$6=$D11,"◆",""),IF(AND(S$6&gt;=$D11,S$6&lt;=$E11),MAX(0,MIN(1,$G11*$F11-(S$6-$D11))),"")))</ns0:f>
      </ns0:c>
      <ns0:c r="T11" s="22" t="str">
        <ns0:f>IF($A11="","",IF($I11="Yes",IF(T$6=$D11,"◆",""),IF(AND(T$6&gt;=$D11,T$6&lt;=$E11),MAX(0,MIN(1,$G11*$F11-(T$6-$D11))),"")))</ns0:f>
      </ns0:c>
      <ns0:c r="U11" s="22" t="str">
        <ns0:f>IF($A11="","",IF($I11="Yes",IF(U$6=$D11,"◆",""),IF(AND(U$6&gt;=$D11,U$6&lt;=$E11),MAX(0,MIN(1,$G11*$F11-(U$6-$D11))),"")))</ns0:f>
      </ns0:c>
      <ns0:c r="V11" s="22" t="str">
        <ns0:f>IF($A11="","",IF($I11="Yes",IF(V$6=$D11,"◆",""),IF(AND(V$6&gt;=$D11,V$6&lt;=$E11),MAX(0,MIN(1,$G11*$F11-(V$6-$D11))),"")))</ns0:f>
      </ns0:c>
      <ns0:c r="W11" s="22" t="str">
        <ns0:f>IF($A11="","",IF($I11="Yes",IF(W$6=$D11,"◆",""),IF(AND(W$6&gt;=$D11,W$6&lt;=$E11),MAX(0,MIN(1,$G11*$F11-(W$6-$D11))),"")))</ns0:f>
      </ns0:c>
      <ns0:c r="X11" s="22" t="str">
        <ns0:f>IF($A11="","",IF($I11="Yes",IF(X$6=$D11,"◆",""),IF(AND(X$6&gt;=$D11,X$6&lt;=$E11),MAX(0,MIN(1,$G11*$F11-(X$6-$D11))),"")))</ns0:f>
      </ns0:c>
      <ns0:c r="Y11" s="22" t="str">
        <ns0:f>IF($A11="","",IF($I11="Yes",IF(Y$6=$D11,"◆",""),IF(AND(Y$6&gt;=$D11,Y$6&lt;=$E11),MAX(0,MIN(1,$G11*$F11-(Y$6-$D11))),"")))</ns0:f>
      </ns0:c>
      <ns0:c r="Z11" s="22" t="str">
        <ns0:f>IF($A11="","",IF($I11="Yes",IF(Z$6=$D11,"◆",""),IF(AND(Z$6&gt;=$D11,Z$6&lt;=$E11),MAX(0,MIN(1,$G11*$F11-(Z$6-$D11))),"")))</ns0:f>
      </ns0:c>
      <ns0:c r="AA11" s="22" t="str">
        <ns0:f>IF($A11="","",IF($I11="Yes",IF(AA$6=$D11,"◆",""),IF(AND(AA$6&gt;=$D11,AA$6&lt;=$E11),MAX(0,MIN(1,$G11*$F11-(AA$6-$D11))),"")))</ns0:f>
      </ns0:c>
      <ns0:c r="AB11" s="22" t="str">
        <ns0:f>IF($A11="","",IF($I11="Yes",IF(AB$6=$D11,"◆",""),IF(AND(AB$6&gt;=$D11,AB$6&lt;=$E11),MAX(0,MIN(1,$G11*$F11-(AB$6-$D11))),"")))</ns0:f>
      </ns0:c>
      <ns0:c r="AC11" s="22" t="str">
        <ns0:f>IF($A11="","",IF($I11="Yes",IF(AC$6=$D11,"◆",""),IF(AND(AC$6&gt;=$D11,AC$6&lt;=$E11),MAX(0,MIN(1,$G11*$F11-(AC$6-$D11))),"")))</ns0:f>
      </ns0:c>
      <ns0:c r="AD11" s="22" t="str">
        <ns0:f>IF($A11="","",IF($I11="Yes",IF(AD$6=$D11,"◆",""),IF(AND(AD$6&gt;=$D11,AD$6&lt;=$E11),MAX(0,MIN(1,$G11*$F11-(AD$6-$D11))),"")))</ns0:f>
      </ns0:c>
      <ns0:c r="AE11" s="22" t="str">
        <ns0:f>IF($A11="","",IF($I11="Yes",IF(AE$6=$D11,"◆",""),IF(AND(AE$6&gt;=$D11,AE$6&lt;=$E11),MAX(0,MIN(1,$G11*$F11-(AE$6-$D11))),"")))</ns0:f>
      </ns0:c>
      <ns0:c r="AF11" s="22" t="str">
        <ns0:f>IF($A11="","",IF($I11="Yes",IF(AF$6=$D11,"◆",""),IF(AND(AF$6&gt;=$D11,AF$6&lt;=$E11),MAX(0,MIN(1,$G11*$F11-(AF$6-$D11))),"")))</ns0:f>
      </ns0:c>
      <ns0:c r="AG11" s="22" t="str">
        <ns0:f>IF($A11="","",IF($I11="Yes",IF(AG$6=$D11,"◆",""),IF(AND(AG$6&gt;=$D11,AG$6&lt;=$E11),MAX(0,MIN(1,$G11*$F11-(AG$6-$D11))),"")))</ns0:f>
      </ns0:c>
      <ns0:c r="AH11" s="22" t="str">
        <ns0:f>IF($A11="","",IF($I11="Yes",IF(AH$6=$D11,"◆",""),IF(AND(AH$6&gt;=$D11,AH$6&lt;=$E11),MAX(0,MIN(1,$G11*$F11-(AH$6-$D11))),"")))</ns0:f>
      </ns0:c>
      <ns0:c r="AI11" s="22" t="str">
        <ns0:f>IF($A11="","",IF($I11="Yes",IF(AI$6=$D11,"◆",""),IF(AND(AI$6&gt;=$D11,AI$6&lt;=$E11),MAX(0,MIN(1,$G11*$F11-(AI$6-$D11))),"")))</ns0:f>
      </ns0:c>
      <ns0:c r="AJ11" s="22" t="str">
        <ns0:f>IF($A11="","",IF($I11="Yes",IF(AJ$6=$D11,"◆",""),IF(AND(AJ$6&gt;=$D11,AJ$6&lt;=$E11),MAX(0,MIN(1,$G11*$F11-(AJ$6-$D11))),"")))</ns0:f>
      </ns0:c>
      <ns0:c r="AK11" s="22" t="str">
        <ns0:f>IF($A11="","",IF($I11="Yes",IF(AK$6=$D11,"◆",""),IF(AND(AK$6&gt;=$D11,AK$6&lt;=$E11),MAX(0,MIN(1,$G11*$F11-(AK$6-$D11))),"")))</ns0:f>
      </ns0:c>
      <ns0:c r="AL11" s="22" t="str">
        <ns0:f>IF($A11="","",IF($I11="Yes",IF(AL$6=$D11,"◆",""),IF(AND(AL$6&gt;=$D11,AL$6&lt;=$E11),MAX(0,MIN(1,$G11*$F11-(AL$6-$D11))),"")))</ns0:f>
      </ns0:c>
      <ns0:c r="AM11" s="22" t="str">
        <ns0:f>IF($A11="","",IF($I11="Yes",IF(AM$6=$D11,"◆",""),IF(AND(AM$6&gt;=$D11,AM$6&lt;=$E11),MAX(0,MIN(1,$G11*$F11-(AM$6-$D11))),"")))</ns0:f>
      </ns0:c>
      <ns0:c r="AN11" s="22" t="str">
        <ns0:f>IF($A11="","",IF($I11="Yes",IF(AN$6=$D11,"◆",""),IF(AND(AN$6&gt;=$D11,AN$6&lt;=$E11),MAX(0,MIN(1,$G11*$F11-(AN$6-$D11))),"")))</ns0:f>
      </ns0:c>
      <ns0:c r="AO11" s="22" t="str">
        <ns0:f>IF($A11="","",IF($I11="Yes",IF(AO$6=$D11,"◆",""),IF(AND(AO$6&gt;=$D11,AO$6&lt;=$E11),MAX(0,MIN(1,$G11*$F11-(AO$6-$D11))),"")))</ns0:f>
      </ns0:c>
      <ns0:c r="AP11" s="22" t="str">
        <ns0:f>IF($A11="","",IF($I11="Yes",IF(AP$6=$D11,"◆",""),IF(AND(AP$6&gt;=$D11,AP$6&lt;=$E11),MAX(0,MIN(1,$G11*$F11-(AP$6-$D11))),"")))</ns0:f>
      </ns0:c>
      <ns0:c r="AQ11" s="22" t="str">
        <ns0:f>IF($A11="","",IF($I11="Yes",IF(AQ$6=$D11,"◆",""),IF(AND(AQ$6&gt;=$D11,AQ$6&lt;=$E11),MAX(0,MIN(1,$G11*$F11-(AQ$6-$D11))),"")))</ns0:f>
      </ns0:c>
      <ns0:c r="AR11" s="22" t="str">
        <ns0:f>IF($A11="","",IF($I11="Yes",IF(AR$6=$D11,"◆",""),IF(AND(AR$6&gt;=$D11,AR$6&lt;=$E11),MAX(0,MIN(1,$G11*$F11-(AR$6-$D11))),"")))</ns0:f>
      </ns0:c>
    </ns0:row>
    <ns0:row r="12" ht="48" customHeight="1">
      <ns0:c r="A12" s="8" t="str">
        <ns0:f>IF(INDEX(Tasks[Task ID],6)="","",INDEX(Tasks[Task ID],6))</ns0:f>
        <ns0:v>T05</ns0:v>
      </ns0:c>
      <ns0:c r="B12" s="8" t="str">
        <ns0:f>IF(INDEX(Tasks[Task ID],6)="","",INDEX(Tasks[Phase],6))</ns0:f>
        <ns0:v>Data &amp; storage</ns0:v>
      </ns0:c>
      <ns0:c r="C12" s="8" t="str">
        <ns0:f>IF(INDEX(Tasks[Task ID],6)="","",INDEX(Tasks[Task Name],6))</ns0:f>
        <ns0:v>Provision Central Enterprise Database (CDB) relational tables &amp; vector stores</ns0:v>
      </ns0:c>
      <ns0:c r="D12" s="18" t="n">
        <ns0:f>IF(INDEX(Tasks[Task ID],6)="","",INDEX(Tasks[Start Date],6))</ns0:f>
        <ns0:v>46279</ns0:v>
      </ns0:c>
      <ns0:c r="E12" s="18" t="n">
        <ns0:f>IF(INDEX(Tasks[Task ID],6)="","",INDEX(Tasks[End Date],6))</ns0:f>
        <ns0:v>46280</ns0:v>
      </ns0:c>
      <ns0:c r="F12" s="8" t="n">
        <ns0:f>IF(INDEX(Tasks[Task ID],6)="","",INDEX(Tasks[Duration],6))</ns0:f>
        <ns0:v>2</ns0:v>
      </ns0:c>
      <ns0:c r="G12" s="19" t="n">
        <ns0:f>IF(INDEX(Tasks[Task ID],6)="","",INDEX(Tasks[Progress %],6))</ns0:f>
        <ns0:v>0</ns0:v>
      </ns0:c>
      <ns0:c r="H12" s="8" t="str">
        <ns0:f>IF(INDEX(Tasks[Task ID],6)="","",INDEX('Project Tracker'!$Q$7:$Q$106,6))</ns0:f>
        <ns0:v>Not Started</ns0:v>
      </ns0:c>
      <ns0:c r="I12" s="8" t="str">
        <ns0:f>IF(INDEX(Tasks[Task ID],6)="","",INDEX(Tasks[Milestone],6))</ns0:f>
        <ns0:v>No</ns0:v>
      </ns0:c>
      <ns0:c r="J12" s="8" t="str">
        <ns0:f>IF(INDEX(Tasks[Task ID],6)="","",INDEX(Tasks[Schedule Health],6))</ns0:f>
        <ns0:v>On track</ns0:v>
      </ns0:c>
      <ns0:c r="K12" s="22" t="str">
        <ns0:f>IF($A12="","",IF($I12="Yes",IF(K$6=$D12,"◆",""),IF(AND(K$6&gt;=$D12,K$6&lt;=$E12),MAX(0,MIN(1,$G12*$F12-(K$6-$D12))),"")))</ns0:f>
      </ns0:c>
      <ns0:c r="L12" s="22" t="str">
        <ns0:f>IF($A12="","",IF($I12="Yes",IF(L$6=$D12,"◆",""),IF(AND(L$6&gt;=$D12,L$6&lt;=$E12),MAX(0,MIN(1,$G12*$F12-(L$6-$D12))),"")))</ns0:f>
      </ns0:c>
      <ns0:c r="M12" s="22" t="str">
        <ns0:f>IF($A12="","",IF($I12="Yes",IF(M$6=$D12,"◆",""),IF(AND(M$6&gt;=$D12,M$6&lt;=$E12),MAX(0,MIN(1,$G12*$F12-(M$6-$D12))),"")))</ns0:f>
      </ns0:c>
      <ns0:c r="N12" s="22" t="n">
        <ns0:f>IF($A12="","",IF($I12="Yes",IF(N$6=$D12,"◆",""),IF(AND(N$6&gt;=$D12,N$6&lt;=$E12),MAX(0,MIN(1,$G12*$F12-(N$6-$D12))),"")))</ns0:f>
        <ns0:v>0</ns0:v>
      </ns0:c>
      <ns0:c r="O12" s="22" t="n">
        <ns0:f>IF($A12="","",IF($I12="Yes",IF(O$6=$D12,"◆",""),IF(AND(O$6&gt;=$D12,O$6&lt;=$E12),MAX(0,MIN(1,$G12*$F12-(O$6-$D12))),"")))</ns0:f>
        <ns0:v>0</ns0:v>
      </ns0:c>
      <ns0:c r="P12" s="22" t="str">
        <ns0:f>IF($A12="","",IF($I12="Yes",IF(P$6=$D12,"◆",""),IF(AND(P$6&gt;=$D12,P$6&lt;=$E12),MAX(0,MIN(1,$G12*$F12-(P$6-$D12))),"")))</ns0:f>
      </ns0:c>
      <ns0:c r="Q12" s="22" t="str">
        <ns0:f>IF($A12="","",IF($I12="Yes",IF(Q$6=$D12,"◆",""),IF(AND(Q$6&gt;=$D12,Q$6&lt;=$E12),MAX(0,MIN(1,$G12*$F12-(Q$6-$D12))),"")))</ns0:f>
      </ns0:c>
      <ns0:c r="R12" s="22" t="str">
        <ns0:f>IF($A12="","",IF($I12="Yes",IF(R$6=$D12,"◆",""),IF(AND(R$6&gt;=$D12,R$6&lt;=$E12),MAX(0,MIN(1,$G12*$F12-(R$6-$D12))),"")))</ns0:f>
      </ns0:c>
      <ns0:c r="S12" s="22" t="str">
        <ns0:f>IF($A12="","",IF($I12="Yes",IF(S$6=$D12,"◆",""),IF(AND(S$6&gt;=$D12,S$6&lt;=$E12),MAX(0,MIN(1,$G12*$F12-(S$6-$D12))),"")))</ns0:f>
      </ns0:c>
      <ns0:c r="T12" s="22" t="str">
        <ns0:f>IF($A12="","",IF($I12="Yes",IF(T$6=$D12,"◆",""),IF(AND(T$6&gt;=$D12,T$6&lt;=$E12),MAX(0,MIN(1,$G12*$F12-(T$6-$D12))),"")))</ns0:f>
      </ns0:c>
      <ns0:c r="U12" s="22" t="str">
        <ns0:f>IF($A12="","",IF($I12="Yes",IF(U$6=$D12,"◆",""),IF(AND(U$6&gt;=$D12,U$6&lt;=$E12),MAX(0,MIN(1,$G12*$F12-(U$6-$D12))),"")))</ns0:f>
      </ns0:c>
      <ns0:c r="V12" s="22" t="str">
        <ns0:f>IF($A12="","",IF($I12="Yes",IF(V$6=$D12,"◆",""),IF(AND(V$6&gt;=$D12,V$6&lt;=$E12),MAX(0,MIN(1,$G12*$F12-(V$6-$D12))),"")))</ns0:f>
      </ns0:c>
      <ns0:c r="W12" s="22" t="str">
        <ns0:f>IF($A12="","",IF($I12="Yes",IF(W$6=$D12,"◆",""),IF(AND(W$6&gt;=$D12,W$6&lt;=$E12),MAX(0,MIN(1,$G12*$F12-(W$6-$D12))),"")))</ns0:f>
      </ns0:c>
      <ns0:c r="X12" s="22" t="str">
        <ns0:f>IF($A12="","",IF($I12="Yes",IF(X$6=$D12,"◆",""),IF(AND(X$6&gt;=$D12,X$6&lt;=$E12),MAX(0,MIN(1,$G12*$F12-(X$6-$D12))),"")))</ns0:f>
      </ns0:c>
      <ns0:c r="Y12" s="22" t="str">
        <ns0:f>IF($A12="","",IF($I12="Yes",IF(Y$6=$D12,"◆",""),IF(AND(Y$6&gt;=$D12,Y$6&lt;=$E12),MAX(0,MIN(1,$G12*$F12-(Y$6-$D12))),"")))</ns0:f>
      </ns0:c>
      <ns0:c r="Z12" s="22" t="str">
        <ns0:f>IF($A12="","",IF($I12="Yes",IF(Z$6=$D12,"◆",""),IF(AND(Z$6&gt;=$D12,Z$6&lt;=$E12),MAX(0,MIN(1,$G12*$F12-(Z$6-$D12))),"")))</ns0:f>
      </ns0:c>
      <ns0:c r="AA12" s="22" t="str">
        <ns0:f>IF($A12="","",IF($I12="Yes",IF(AA$6=$D12,"◆",""),IF(AND(AA$6&gt;=$D12,AA$6&lt;=$E12),MAX(0,MIN(1,$G12*$F12-(AA$6-$D12))),"")))</ns0:f>
      </ns0:c>
      <ns0:c r="AB12" s="22" t="str">
        <ns0:f>IF($A12="","",IF($I12="Yes",IF(AB$6=$D12,"◆",""),IF(AND(AB$6&gt;=$D12,AB$6&lt;=$E12),MAX(0,MIN(1,$G12*$F12-(AB$6-$D12))),"")))</ns0:f>
      </ns0:c>
      <ns0:c r="AC12" s="22" t="str">
        <ns0:f>IF($A12="","",IF($I12="Yes",IF(AC$6=$D12,"◆",""),IF(AND(AC$6&gt;=$D12,AC$6&lt;=$E12),MAX(0,MIN(1,$G12*$F12-(AC$6-$D12))),"")))</ns0:f>
      </ns0:c>
      <ns0:c r="AD12" s="22" t="str">
        <ns0:f>IF($A12="","",IF($I12="Yes",IF(AD$6=$D12,"◆",""),IF(AND(AD$6&gt;=$D12,AD$6&lt;=$E12),MAX(0,MIN(1,$G12*$F12-(AD$6-$D12))),"")))</ns0:f>
      </ns0:c>
      <ns0:c r="AE12" s="22" t="str">
        <ns0:f>IF($A12="","",IF($I12="Yes",IF(AE$6=$D12,"◆",""),IF(AND(AE$6&gt;=$D12,AE$6&lt;=$E12),MAX(0,MIN(1,$G12*$F12-(AE$6-$D12))),"")))</ns0:f>
      </ns0:c>
      <ns0:c r="AF12" s="22" t="str">
        <ns0:f>IF($A12="","",IF($I12="Yes",IF(AF$6=$D12,"◆",""),IF(AND(AF$6&gt;=$D12,AF$6&lt;=$E12),MAX(0,MIN(1,$G12*$F12-(AF$6-$D12))),"")))</ns0:f>
      </ns0:c>
      <ns0:c r="AG12" s="22" t="str">
        <ns0:f>IF($A12="","",IF($I12="Yes",IF(AG$6=$D12,"◆",""),IF(AND(AG$6&gt;=$D12,AG$6&lt;=$E12),MAX(0,MIN(1,$G12*$F12-(AG$6-$D12))),"")))</ns0:f>
      </ns0:c>
      <ns0:c r="AH12" s="22" t="str">
        <ns0:f>IF($A12="","",IF($I12="Yes",IF(AH$6=$D12,"◆",""),IF(AND(AH$6&gt;=$D12,AH$6&lt;=$E12),MAX(0,MIN(1,$G12*$F12-(AH$6-$D12))),"")))</ns0:f>
      </ns0:c>
      <ns0:c r="AI12" s="22" t="str">
        <ns0:f>IF($A12="","",IF($I12="Yes",IF(AI$6=$D12,"◆",""),IF(AND(AI$6&gt;=$D12,AI$6&lt;=$E12),MAX(0,MIN(1,$G12*$F12-(AI$6-$D12))),"")))</ns0:f>
      </ns0:c>
      <ns0:c r="AJ12" s="22" t="str">
        <ns0:f>IF($A12="","",IF($I12="Yes",IF(AJ$6=$D12,"◆",""),IF(AND(AJ$6&gt;=$D12,AJ$6&lt;=$E12),MAX(0,MIN(1,$G12*$F12-(AJ$6-$D12))),"")))</ns0:f>
      </ns0:c>
      <ns0:c r="AK12" s="22" t="str">
        <ns0:f>IF($A12="","",IF($I12="Yes",IF(AK$6=$D12,"◆",""),IF(AND(AK$6&gt;=$D12,AK$6&lt;=$E12),MAX(0,MIN(1,$G12*$F12-(AK$6-$D12))),"")))</ns0:f>
      </ns0:c>
      <ns0:c r="AL12" s="22" t="str">
        <ns0:f>IF($A12="","",IF($I12="Yes",IF(AL$6=$D12,"◆",""),IF(AND(AL$6&gt;=$D12,AL$6&lt;=$E12),MAX(0,MIN(1,$G12*$F12-(AL$6-$D12))),"")))</ns0:f>
      </ns0:c>
      <ns0:c r="AM12" s="22" t="str">
        <ns0:f>IF($A12="","",IF($I12="Yes",IF(AM$6=$D12,"◆",""),IF(AND(AM$6&gt;=$D12,AM$6&lt;=$E12),MAX(0,MIN(1,$G12*$F12-(AM$6-$D12))),"")))</ns0:f>
      </ns0:c>
      <ns0:c r="AN12" s="22" t="str">
        <ns0:f>IF($A12="","",IF($I12="Yes",IF(AN$6=$D12,"◆",""),IF(AND(AN$6&gt;=$D12,AN$6&lt;=$E12),MAX(0,MIN(1,$G12*$F12-(AN$6-$D12))),"")))</ns0:f>
      </ns0:c>
      <ns0:c r="AO12" s="22" t="str">
        <ns0:f>IF($A12="","",IF($I12="Yes",IF(AO$6=$D12,"◆",""),IF(AND(AO$6&gt;=$D12,AO$6&lt;=$E12),MAX(0,MIN(1,$G12*$F12-(AO$6-$D12))),"")))</ns0:f>
      </ns0:c>
      <ns0:c r="AP12" s="22" t="str">
        <ns0:f>IF($A12="","",IF($I12="Yes",IF(AP$6=$D12,"◆",""),IF(AND(AP$6&gt;=$D12,AP$6&lt;=$E12),MAX(0,MIN(1,$G12*$F12-(AP$6-$D12))),"")))</ns0:f>
      </ns0:c>
      <ns0:c r="AQ12" s="22" t="str">
        <ns0:f>IF($A12="","",IF($I12="Yes",IF(AQ$6=$D12,"◆",""),IF(AND(AQ$6&gt;=$D12,AQ$6&lt;=$E12),MAX(0,MIN(1,$G12*$F12-(AQ$6-$D12))),"")))</ns0:f>
      </ns0:c>
      <ns0:c r="AR12" s="22" t="str">
        <ns0:f>IF($A12="","",IF($I12="Yes",IF(AR$6=$D12,"◆",""),IF(AND(AR$6&gt;=$D12,AR$6&lt;=$E12),MAX(0,MIN(1,$G12*$F12-(AR$6-$D12))),"")))</ns0:f>
      </ns0:c>
    </ns0:row>
    <ns0:row r="13" ht="48" customHeight="1">
      <ns0:c r="A13" s="8" t="str">
        <ns0:f>IF(INDEX(Tasks[Task ID],7)="","",INDEX(Tasks[Task ID],7))</ns0:f>
        <ns0:v>T06</ns0:v>
      </ns0:c>
      <ns0:c r="B13" s="8" t="str">
        <ns0:f>IF(INDEX(Tasks[Task ID],7)="","",INDEX(Tasks[Phase],7))</ns0:f>
        <ns0:v>Data &amp; storage</ns0:v>
      </ns0:c>
      <ns0:c r="C13" s="8" t="str">
        <ns0:f>IF(INDEX(Tasks[Task ID],7)="","",INDEX(Tasks[Task Name],7))</ns0:f>
        <ns0:v>Connect Headless CMS content models and staging layout schemas</ns0:v>
      </ns0:c>
      <ns0:c r="D13" s="18" t="n">
        <ns0:f>IF(INDEX(Tasks[Task ID],7)="","",INDEX(Tasks[Start Date],7))</ns0:f>
        <ns0:v>46279</ns0:v>
      </ns0:c>
      <ns0:c r="E13" s="18" t="n">
        <ns0:f>IF(INDEX(Tasks[Task ID],7)="","",INDEX(Tasks[End Date],7))</ns0:f>
        <ns0:v>46280</ns0:v>
      </ns0:c>
      <ns0:c r="F13" s="8" t="n">
        <ns0:f>IF(INDEX(Tasks[Task ID],7)="","",INDEX(Tasks[Duration],7))</ns0:f>
        <ns0:v>2</ns0:v>
      </ns0:c>
      <ns0:c r="G13" s="19" t="n">
        <ns0:f>IF(INDEX(Tasks[Task ID],7)="","",INDEX(Tasks[Progress %],7))</ns0:f>
        <ns0:v>0</ns0:v>
      </ns0:c>
      <ns0:c r="H13" s="8" t="str">
        <ns0:f>IF(INDEX(Tasks[Task ID],7)="","",INDEX('Project Tracker'!$Q$7:$Q$106,7))</ns0:f>
        <ns0:v>Not Started</ns0:v>
      </ns0:c>
      <ns0:c r="I13" s="8" t="str">
        <ns0:f>IF(INDEX(Tasks[Task ID],7)="","",INDEX(Tasks[Milestone],7))</ns0:f>
        <ns0:v>No</ns0:v>
      </ns0:c>
      <ns0:c r="J13" s="8" t="str">
        <ns0:f>IF(INDEX(Tasks[Task ID],7)="","",INDEX(Tasks[Schedule Health],7))</ns0:f>
        <ns0:v>On track</ns0:v>
      </ns0:c>
      <ns0:c r="K13" s="22" t="str">
        <ns0:f>IF($A13="","",IF($I13="Yes",IF(K$6=$D13,"◆",""),IF(AND(K$6&gt;=$D13,K$6&lt;=$E13),MAX(0,MIN(1,$G13*$F13-(K$6-$D13))),"")))</ns0:f>
      </ns0:c>
      <ns0:c r="L13" s="22" t="str">
        <ns0:f>IF($A13="","",IF($I13="Yes",IF(L$6=$D13,"◆",""),IF(AND(L$6&gt;=$D13,L$6&lt;=$E13),MAX(0,MIN(1,$G13*$F13-(L$6-$D13))),"")))</ns0:f>
      </ns0:c>
      <ns0:c r="M13" s="22" t="str">
        <ns0:f>IF($A13="","",IF($I13="Yes",IF(M$6=$D13,"◆",""),IF(AND(M$6&gt;=$D13,M$6&lt;=$E13),MAX(0,MIN(1,$G13*$F13-(M$6-$D13))),"")))</ns0:f>
      </ns0:c>
      <ns0:c r="N13" s="22" t="n">
        <ns0:f>IF($A13="","",IF($I13="Yes",IF(N$6=$D13,"◆",""),IF(AND(N$6&gt;=$D13,N$6&lt;=$E13),MAX(0,MIN(1,$G13*$F13-(N$6-$D13))),"")))</ns0:f>
        <ns0:v>0</ns0:v>
      </ns0:c>
      <ns0:c r="O13" s="22" t="n">
        <ns0:f>IF($A13="","",IF($I13="Yes",IF(O$6=$D13,"◆",""),IF(AND(O$6&gt;=$D13,O$6&lt;=$E13),MAX(0,MIN(1,$G13*$F13-(O$6-$D13))),"")))</ns0:f>
        <ns0:v>0</ns0:v>
      </ns0:c>
      <ns0:c r="P13" s="22" t="str">
        <ns0:f>IF($A13="","",IF($I13="Yes",IF(P$6=$D13,"◆",""),IF(AND(P$6&gt;=$D13,P$6&lt;=$E13),MAX(0,MIN(1,$G13*$F13-(P$6-$D13))),"")))</ns0:f>
      </ns0:c>
      <ns0:c r="Q13" s="22" t="str">
        <ns0:f>IF($A13="","",IF($I13="Yes",IF(Q$6=$D13,"◆",""),IF(AND(Q$6&gt;=$D13,Q$6&lt;=$E13),MAX(0,MIN(1,$G13*$F13-(Q$6-$D13))),"")))</ns0:f>
      </ns0:c>
      <ns0:c r="R13" s="22" t="str">
        <ns0:f>IF($A13="","",IF($I13="Yes",IF(R$6=$D13,"◆",""),IF(AND(R$6&gt;=$D13,R$6&lt;=$E13),MAX(0,MIN(1,$G13*$F13-(R$6-$D13))),"")))</ns0:f>
      </ns0:c>
      <ns0:c r="S13" s="22" t="str">
        <ns0:f>IF($A13="","",IF($I13="Yes",IF(S$6=$D13,"◆",""),IF(AND(S$6&gt;=$D13,S$6&lt;=$E13),MAX(0,MIN(1,$G13*$F13-(S$6-$D13))),"")))</ns0:f>
      </ns0:c>
      <ns0:c r="T13" s="22" t="str">
        <ns0:f>IF($A13="","",IF($I13="Yes",IF(T$6=$D13,"◆",""),IF(AND(T$6&gt;=$D13,T$6&lt;=$E13),MAX(0,MIN(1,$G13*$F13-(T$6-$D13))),"")))</ns0:f>
      </ns0:c>
      <ns0:c r="U13" s="22" t="str">
        <ns0:f>IF($A13="","",IF($I13="Yes",IF(U$6=$D13,"◆",""),IF(AND(U$6&gt;=$D13,U$6&lt;=$E13),MAX(0,MIN(1,$G13*$F13-(U$6-$D13))),"")))</ns0:f>
      </ns0:c>
      <ns0:c r="V13" s="22" t="str">
        <ns0:f>IF($A13="","",IF($I13="Yes",IF(V$6=$D13,"◆",""),IF(AND(V$6&gt;=$D13,V$6&lt;=$E13),MAX(0,MIN(1,$G13*$F13-(V$6-$D13))),"")))</ns0:f>
      </ns0:c>
      <ns0:c r="W13" s="22" t="str">
        <ns0:f>IF($A13="","",IF($I13="Yes",IF(W$6=$D13,"◆",""),IF(AND(W$6&gt;=$D13,W$6&lt;=$E13),MAX(0,MIN(1,$G13*$F13-(W$6-$D13))),"")))</ns0:f>
      </ns0:c>
      <ns0:c r="X13" s="22" t="str">
        <ns0:f>IF($A13="","",IF($I13="Yes",IF(X$6=$D13,"◆",""),IF(AND(X$6&gt;=$D13,X$6&lt;=$E13),MAX(0,MIN(1,$G13*$F13-(X$6-$D13))),"")))</ns0:f>
      </ns0:c>
      <ns0:c r="Y13" s="22" t="str">
        <ns0:f>IF($A13="","",IF($I13="Yes",IF(Y$6=$D13,"◆",""),IF(AND(Y$6&gt;=$D13,Y$6&lt;=$E13),MAX(0,MIN(1,$G13*$F13-(Y$6-$D13))),"")))</ns0:f>
      </ns0:c>
      <ns0:c r="Z13" s="22" t="str">
        <ns0:f>IF($A13="","",IF($I13="Yes",IF(Z$6=$D13,"◆",""),IF(AND(Z$6&gt;=$D13,Z$6&lt;=$E13),MAX(0,MIN(1,$G13*$F13-(Z$6-$D13))),"")))</ns0:f>
      </ns0:c>
      <ns0:c r="AA13" s="22" t="str">
        <ns0:f>IF($A13="","",IF($I13="Yes",IF(AA$6=$D13,"◆",""),IF(AND(AA$6&gt;=$D13,AA$6&lt;=$E13),MAX(0,MIN(1,$G13*$F13-(AA$6-$D13))),"")))</ns0:f>
      </ns0:c>
      <ns0:c r="AB13" s="22" t="str">
        <ns0:f>IF($A13="","",IF($I13="Yes",IF(AB$6=$D13,"◆",""),IF(AND(AB$6&gt;=$D13,AB$6&lt;=$E13),MAX(0,MIN(1,$G13*$F13-(AB$6-$D13))),"")))</ns0:f>
      </ns0:c>
      <ns0:c r="AC13" s="22" t="str">
        <ns0:f>IF($A13="","",IF($I13="Yes",IF(AC$6=$D13,"◆",""),IF(AND(AC$6&gt;=$D13,AC$6&lt;=$E13),MAX(0,MIN(1,$G13*$F13-(AC$6-$D13))),"")))</ns0:f>
      </ns0:c>
      <ns0:c r="AD13" s="22" t="str">
        <ns0:f>IF($A13="","",IF($I13="Yes",IF(AD$6=$D13,"◆",""),IF(AND(AD$6&gt;=$D13,AD$6&lt;=$E13),MAX(0,MIN(1,$G13*$F13-(AD$6-$D13))),"")))</ns0:f>
      </ns0:c>
      <ns0:c r="AE13" s="22" t="str">
        <ns0:f>IF($A13="","",IF($I13="Yes",IF(AE$6=$D13,"◆",""),IF(AND(AE$6&gt;=$D13,AE$6&lt;=$E13),MAX(0,MIN(1,$G13*$F13-(AE$6-$D13))),"")))</ns0:f>
      </ns0:c>
      <ns0:c r="AF13" s="22" t="str">
        <ns0:f>IF($A13="","",IF($I13="Yes",IF(AF$6=$D13,"◆",""),IF(AND(AF$6&gt;=$D13,AF$6&lt;=$E13),MAX(0,MIN(1,$G13*$F13-(AF$6-$D13))),"")))</ns0:f>
      </ns0:c>
      <ns0:c r="AG13" s="22" t="str">
        <ns0:f>IF($A13="","",IF($I13="Yes",IF(AG$6=$D13,"◆",""),IF(AND(AG$6&gt;=$D13,AG$6&lt;=$E13),MAX(0,MIN(1,$G13*$F13-(AG$6-$D13))),"")))</ns0:f>
      </ns0:c>
      <ns0:c r="AH13" s="22" t="str">
        <ns0:f>IF($A13="","",IF($I13="Yes",IF(AH$6=$D13,"◆",""),IF(AND(AH$6&gt;=$D13,AH$6&lt;=$E13),MAX(0,MIN(1,$G13*$F13-(AH$6-$D13))),"")))</ns0:f>
      </ns0:c>
      <ns0:c r="AI13" s="22" t="str">
        <ns0:f>IF($A13="","",IF($I13="Yes",IF(AI$6=$D13,"◆",""),IF(AND(AI$6&gt;=$D13,AI$6&lt;=$E13),MAX(0,MIN(1,$G13*$F13-(AI$6-$D13))),"")))</ns0:f>
      </ns0:c>
      <ns0:c r="AJ13" s="22" t="str">
        <ns0:f>IF($A13="","",IF($I13="Yes",IF(AJ$6=$D13,"◆",""),IF(AND(AJ$6&gt;=$D13,AJ$6&lt;=$E13),MAX(0,MIN(1,$G13*$F13-(AJ$6-$D13))),"")))</ns0:f>
      </ns0:c>
      <ns0:c r="AK13" s="22" t="str">
        <ns0:f>IF($A13="","",IF($I13="Yes",IF(AK$6=$D13,"◆",""),IF(AND(AK$6&gt;=$D13,AK$6&lt;=$E13),MAX(0,MIN(1,$G13*$F13-(AK$6-$D13))),"")))</ns0:f>
      </ns0:c>
      <ns0:c r="AL13" s="22" t="str">
        <ns0:f>IF($A13="","",IF($I13="Yes",IF(AL$6=$D13,"◆",""),IF(AND(AL$6&gt;=$D13,AL$6&lt;=$E13),MAX(0,MIN(1,$G13*$F13-(AL$6-$D13))),"")))</ns0:f>
      </ns0:c>
      <ns0:c r="AM13" s="22" t="str">
        <ns0:f>IF($A13="","",IF($I13="Yes",IF(AM$6=$D13,"◆",""),IF(AND(AM$6&gt;=$D13,AM$6&lt;=$E13),MAX(0,MIN(1,$G13*$F13-(AM$6-$D13))),"")))</ns0:f>
      </ns0:c>
      <ns0:c r="AN13" s="22" t="str">
        <ns0:f>IF($A13="","",IF($I13="Yes",IF(AN$6=$D13,"◆",""),IF(AND(AN$6&gt;=$D13,AN$6&lt;=$E13),MAX(0,MIN(1,$G13*$F13-(AN$6-$D13))),"")))</ns0:f>
      </ns0:c>
      <ns0:c r="AO13" s="22" t="str">
        <ns0:f>IF($A13="","",IF($I13="Yes",IF(AO$6=$D13,"◆",""),IF(AND(AO$6&gt;=$D13,AO$6&lt;=$E13),MAX(0,MIN(1,$G13*$F13-(AO$6-$D13))),"")))</ns0:f>
      </ns0:c>
      <ns0:c r="AP13" s="22" t="str">
        <ns0:f>IF($A13="","",IF($I13="Yes",IF(AP$6=$D13,"◆",""),IF(AND(AP$6&gt;=$D13,AP$6&lt;=$E13),MAX(0,MIN(1,$G13*$F13-(AP$6-$D13))),"")))</ns0:f>
      </ns0:c>
      <ns0:c r="AQ13" s="22" t="str">
        <ns0:f>IF($A13="","",IF($I13="Yes",IF(AQ$6=$D13,"◆",""),IF(AND(AQ$6&gt;=$D13,AQ$6&lt;=$E13),MAX(0,MIN(1,$G13*$F13-(AQ$6-$D13))),"")))</ns0:f>
      </ns0:c>
      <ns0:c r="AR13" s="22" t="str">
        <ns0:f>IF($A13="","",IF($I13="Yes",IF(AR$6=$D13,"◆",""),IF(AND(AR$6&gt;=$D13,AR$6&lt;=$E13),MAX(0,MIN(1,$G13*$F13-(AR$6-$D13))),"")))</ns0:f>
      </ns0:c>
    </ns0:row>
    <ns0:row r="14" ht="48" customHeight="1">
      <ns0:c r="A14" s="8" t="str">
        <ns0:f>IF(INDEX(Tasks[Task ID],8)="","",INDEX(Tasks[Task ID],8))</ns0:f>
        <ns0:v>T07</ns0:v>
      </ns0:c>
      <ns0:c r="B14" s="8" t="str">
        <ns0:f>IF(INDEX(Tasks[Task ID],8)="","",INDEX(Tasks[Phase],8))</ns0:f>
        <ns0:v>Data &amp; storage</ns0:v>
      </ns0:c>
      <ns0:c r="C14" s="8" t="str">
        <ns0:f>IF(INDEX(Tasks[Task ID],8)="","",INDEX(Tasks[Task Name],8))</ns0:f>
        <ns0:v>Instantiate Institutional Memory Store (MEM) for brand heuristics &amp; rules</ns0:v>
      </ns0:c>
      <ns0:c r="D14" s="18" t="n">
        <ns0:f>IF(INDEX(Tasks[Task ID],8)="","",INDEX(Tasks[Start Date],8))</ns0:f>
        <ns0:v>46279</ns0:v>
      </ns0:c>
      <ns0:c r="E14" s="18" t="n">
        <ns0:f>IF(INDEX(Tasks[Task ID],8)="","",INDEX(Tasks[End Date],8))</ns0:f>
        <ns0:v>46280</ns0:v>
      </ns0:c>
      <ns0:c r="F14" s="8" t="n">
        <ns0:f>IF(INDEX(Tasks[Task ID],8)="","",INDEX(Tasks[Duration],8))</ns0:f>
        <ns0:v>2</ns0:v>
      </ns0:c>
      <ns0:c r="G14" s="19" t="n">
        <ns0:f>IF(INDEX(Tasks[Task ID],8)="","",INDEX(Tasks[Progress %],8))</ns0:f>
        <ns0:v>0</ns0:v>
      </ns0:c>
      <ns0:c r="H14" s="8" t="str">
        <ns0:f>IF(INDEX(Tasks[Task ID],8)="","",INDEX('Project Tracker'!$Q$7:$Q$106,8))</ns0:f>
        <ns0:v>Not Started</ns0:v>
      </ns0:c>
      <ns0:c r="I14" s="8" t="str">
        <ns0:f>IF(INDEX(Tasks[Task ID],8)="","",INDEX(Tasks[Milestone],8))</ns0:f>
        <ns0:v>No</ns0:v>
      </ns0:c>
      <ns0:c r="J14" s="8" t="str">
        <ns0:f>IF(INDEX(Tasks[Task ID],8)="","",INDEX(Tasks[Schedule Health],8))</ns0:f>
        <ns0:v>On track</ns0:v>
      </ns0:c>
      <ns0:c r="K14" s="22" t="str">
        <ns0:f>IF($A14="","",IF($I14="Yes",IF(K$6=$D14,"◆",""),IF(AND(K$6&gt;=$D14,K$6&lt;=$E14),MAX(0,MIN(1,$G14*$F14-(K$6-$D14))),"")))</ns0:f>
      </ns0:c>
      <ns0:c r="L14" s="22" t="str">
        <ns0:f>IF($A14="","",IF($I14="Yes",IF(L$6=$D14,"◆",""),IF(AND(L$6&gt;=$D14,L$6&lt;=$E14),MAX(0,MIN(1,$G14*$F14-(L$6-$D14))),"")))</ns0:f>
      </ns0:c>
      <ns0:c r="M14" s="22" t="str">
        <ns0:f>IF($A14="","",IF($I14="Yes",IF(M$6=$D14,"◆",""),IF(AND(M$6&gt;=$D14,M$6&lt;=$E14),MAX(0,MIN(1,$G14*$F14-(M$6-$D14))),"")))</ns0:f>
      </ns0:c>
      <ns0:c r="N14" s="22" t="n">
        <ns0:f>IF($A14="","",IF($I14="Yes",IF(N$6=$D14,"◆",""),IF(AND(N$6&gt;=$D14,N$6&lt;=$E14),MAX(0,MIN(1,$G14*$F14-(N$6-$D14))),"")))</ns0:f>
        <ns0:v>0</ns0:v>
      </ns0:c>
      <ns0:c r="O14" s="22" t="n">
        <ns0:f>IF($A14="","",IF($I14="Yes",IF(O$6=$D14,"◆",""),IF(AND(O$6&gt;=$D14,O$6&lt;=$E14),MAX(0,MIN(1,$G14*$F14-(O$6-$D14))),"")))</ns0:f>
        <ns0:v>0</ns0:v>
      </ns0:c>
      <ns0:c r="P14" s="22" t="str">
        <ns0:f>IF($A14="","",IF($I14="Yes",IF(P$6=$D14,"◆",""),IF(AND(P$6&gt;=$D14,P$6&lt;=$E14),MAX(0,MIN(1,$G14*$F14-(P$6-$D14))),"")))</ns0:f>
      </ns0:c>
      <ns0:c r="Q14" s="22" t="str">
        <ns0:f>IF($A14="","",IF($I14="Yes",IF(Q$6=$D14,"◆",""),IF(AND(Q$6&gt;=$D14,Q$6&lt;=$E14),MAX(0,MIN(1,$G14*$F14-(Q$6-$D14))),"")))</ns0:f>
      </ns0:c>
      <ns0:c r="R14" s="22" t="str">
        <ns0:f>IF($A14="","",IF($I14="Yes",IF(R$6=$D14,"◆",""),IF(AND(R$6&gt;=$D14,R$6&lt;=$E14),MAX(0,MIN(1,$G14*$F14-(R$6-$D14))),"")))</ns0:f>
      </ns0:c>
      <ns0:c r="S14" s="22" t="str">
        <ns0:f>IF($A14="","",IF($I14="Yes",IF(S$6=$D14,"◆",""),IF(AND(S$6&gt;=$D14,S$6&lt;=$E14),MAX(0,MIN(1,$G14*$F14-(S$6-$D14))),"")))</ns0:f>
      </ns0:c>
      <ns0:c r="T14" s="22" t="str">
        <ns0:f>IF($A14="","",IF($I14="Yes",IF(T$6=$D14,"◆",""),IF(AND(T$6&gt;=$D14,T$6&lt;=$E14),MAX(0,MIN(1,$G14*$F14-(T$6-$D14))),"")))</ns0:f>
      </ns0:c>
      <ns0:c r="U14" s="22" t="str">
        <ns0:f>IF($A14="","",IF($I14="Yes",IF(U$6=$D14,"◆",""),IF(AND(U$6&gt;=$D14,U$6&lt;=$E14),MAX(0,MIN(1,$G14*$F14-(U$6-$D14))),"")))</ns0:f>
      </ns0:c>
      <ns0:c r="V14" s="22" t="str">
        <ns0:f>IF($A14="","",IF($I14="Yes",IF(V$6=$D14,"◆",""),IF(AND(V$6&gt;=$D14,V$6&lt;=$E14),MAX(0,MIN(1,$G14*$F14-(V$6-$D14))),"")))</ns0:f>
      </ns0:c>
      <ns0:c r="W14" s="22" t="str">
        <ns0:f>IF($A14="","",IF($I14="Yes",IF(W$6=$D14,"◆",""),IF(AND(W$6&gt;=$D14,W$6&lt;=$E14),MAX(0,MIN(1,$G14*$F14-(W$6-$D14))),"")))</ns0:f>
      </ns0:c>
      <ns0:c r="X14" s="22" t="str">
        <ns0:f>IF($A14="","",IF($I14="Yes",IF(X$6=$D14,"◆",""),IF(AND(X$6&gt;=$D14,X$6&lt;=$E14),MAX(0,MIN(1,$G14*$F14-(X$6-$D14))),"")))</ns0:f>
      </ns0:c>
      <ns0:c r="Y14" s="22" t="str">
        <ns0:f>IF($A14="","",IF($I14="Yes",IF(Y$6=$D14,"◆",""),IF(AND(Y$6&gt;=$D14,Y$6&lt;=$E14),MAX(0,MIN(1,$G14*$F14-(Y$6-$D14))),"")))</ns0:f>
      </ns0:c>
      <ns0:c r="Z14" s="22" t="str">
        <ns0:f>IF($A14="","",IF($I14="Yes",IF(Z$6=$D14,"◆",""),IF(AND(Z$6&gt;=$D14,Z$6&lt;=$E14),MAX(0,MIN(1,$G14*$F14-(Z$6-$D14))),"")))</ns0:f>
      </ns0:c>
      <ns0:c r="AA14" s="22" t="str">
        <ns0:f>IF($A14="","",IF($I14="Yes",IF(AA$6=$D14,"◆",""),IF(AND(AA$6&gt;=$D14,AA$6&lt;=$E14),MAX(0,MIN(1,$G14*$F14-(AA$6-$D14))),"")))</ns0:f>
      </ns0:c>
      <ns0:c r="AB14" s="22" t="str">
        <ns0:f>IF($A14="","",IF($I14="Yes",IF(AB$6=$D14,"◆",""),IF(AND(AB$6&gt;=$D14,AB$6&lt;=$E14),MAX(0,MIN(1,$G14*$F14-(AB$6-$D14))),"")))</ns0:f>
      </ns0:c>
      <ns0:c r="AC14" s="22" t="str">
        <ns0:f>IF($A14="","",IF($I14="Yes",IF(AC$6=$D14,"◆",""),IF(AND(AC$6&gt;=$D14,AC$6&lt;=$E14),MAX(0,MIN(1,$G14*$F14-(AC$6-$D14))),"")))</ns0:f>
      </ns0:c>
      <ns0:c r="AD14" s="22" t="str">
        <ns0:f>IF($A14="","",IF($I14="Yes",IF(AD$6=$D14,"◆",""),IF(AND(AD$6&gt;=$D14,AD$6&lt;=$E14),MAX(0,MIN(1,$G14*$F14-(AD$6-$D14))),"")))</ns0:f>
      </ns0:c>
      <ns0:c r="AE14" s="22" t="str">
        <ns0:f>IF($A14="","",IF($I14="Yes",IF(AE$6=$D14,"◆",""),IF(AND(AE$6&gt;=$D14,AE$6&lt;=$E14),MAX(0,MIN(1,$G14*$F14-(AE$6-$D14))),"")))</ns0:f>
      </ns0:c>
      <ns0:c r="AF14" s="22" t="str">
        <ns0:f>IF($A14="","",IF($I14="Yes",IF(AF$6=$D14,"◆",""),IF(AND(AF$6&gt;=$D14,AF$6&lt;=$E14),MAX(0,MIN(1,$G14*$F14-(AF$6-$D14))),"")))</ns0:f>
      </ns0:c>
      <ns0:c r="AG14" s="22" t="str">
        <ns0:f>IF($A14="","",IF($I14="Yes",IF(AG$6=$D14,"◆",""),IF(AND(AG$6&gt;=$D14,AG$6&lt;=$E14),MAX(0,MIN(1,$G14*$F14-(AG$6-$D14))),"")))</ns0:f>
      </ns0:c>
      <ns0:c r="AH14" s="22" t="str">
        <ns0:f>IF($A14="","",IF($I14="Yes",IF(AH$6=$D14,"◆",""),IF(AND(AH$6&gt;=$D14,AH$6&lt;=$E14),MAX(0,MIN(1,$G14*$F14-(AH$6-$D14))),"")))</ns0:f>
      </ns0:c>
      <ns0:c r="AI14" s="22" t="str">
        <ns0:f>IF($A14="","",IF($I14="Yes",IF(AI$6=$D14,"◆",""),IF(AND(AI$6&gt;=$D14,AI$6&lt;=$E14),MAX(0,MIN(1,$G14*$F14-(AI$6-$D14))),"")))</ns0:f>
      </ns0:c>
      <ns0:c r="AJ14" s="22" t="str">
        <ns0:f>IF($A14="","",IF($I14="Yes",IF(AJ$6=$D14,"◆",""),IF(AND(AJ$6&gt;=$D14,AJ$6&lt;=$E14),MAX(0,MIN(1,$G14*$F14-(AJ$6-$D14))),"")))</ns0:f>
      </ns0:c>
      <ns0:c r="AK14" s="22" t="str">
        <ns0:f>IF($A14="","",IF($I14="Yes",IF(AK$6=$D14,"◆",""),IF(AND(AK$6&gt;=$D14,AK$6&lt;=$E14),MAX(0,MIN(1,$G14*$F14-(AK$6-$D14))),"")))</ns0:f>
      </ns0:c>
      <ns0:c r="AL14" s="22" t="str">
        <ns0:f>IF($A14="","",IF($I14="Yes",IF(AL$6=$D14,"◆",""),IF(AND(AL$6&gt;=$D14,AL$6&lt;=$E14),MAX(0,MIN(1,$G14*$F14-(AL$6-$D14))),"")))</ns0:f>
      </ns0:c>
      <ns0:c r="AM14" s="22" t="str">
        <ns0:f>IF($A14="","",IF($I14="Yes",IF(AM$6=$D14,"◆",""),IF(AND(AM$6&gt;=$D14,AM$6&lt;=$E14),MAX(0,MIN(1,$G14*$F14-(AM$6-$D14))),"")))</ns0:f>
      </ns0:c>
      <ns0:c r="AN14" s="22" t="str">
        <ns0:f>IF($A14="","",IF($I14="Yes",IF(AN$6=$D14,"◆",""),IF(AND(AN$6&gt;=$D14,AN$6&lt;=$E14),MAX(0,MIN(1,$G14*$F14-(AN$6-$D14))),"")))</ns0:f>
      </ns0:c>
      <ns0:c r="AO14" s="22" t="str">
        <ns0:f>IF($A14="","",IF($I14="Yes",IF(AO$6=$D14,"◆",""),IF(AND(AO$6&gt;=$D14,AO$6&lt;=$E14),MAX(0,MIN(1,$G14*$F14-(AO$6-$D14))),"")))</ns0:f>
      </ns0:c>
      <ns0:c r="AP14" s="22" t="str">
        <ns0:f>IF($A14="","",IF($I14="Yes",IF(AP$6=$D14,"◆",""),IF(AND(AP$6&gt;=$D14,AP$6&lt;=$E14),MAX(0,MIN(1,$G14*$F14-(AP$6-$D14))),"")))</ns0:f>
      </ns0:c>
      <ns0:c r="AQ14" s="22" t="str">
        <ns0:f>IF($A14="","",IF($I14="Yes",IF(AQ$6=$D14,"◆",""),IF(AND(AQ$6&gt;=$D14,AQ$6&lt;=$E14),MAX(0,MIN(1,$G14*$F14-(AQ$6-$D14))),"")))</ns0:f>
      </ns0:c>
      <ns0:c r="AR14" s="22" t="str">
        <ns0:f>IF($A14="","",IF($I14="Yes",IF(AR$6=$D14,"◆",""),IF(AND(AR$6&gt;=$D14,AR$6&lt;=$E14),MAX(0,MIN(1,$G14*$F14-(AR$6-$D14))),"")))</ns0:f>
      </ns0:c>
    </ns0:row>
    <ns0:row r="15" ht="48" customHeight="1">
      <ns0:c r="A15" s="8" t="str">
        <ns0:f>IF(INDEX(Tasks[Task ID],9)="","",INDEX(Tasks[Task ID],9))</ns0:f>
        <ns0:v>T08</ns0:v>
      </ns0:c>
      <ns0:c r="B15" s="8" t="str">
        <ns0:f>IF(INDEX(Tasks[Task ID],9)="","",INDEX(Tasks[Phase],9))</ns0:f>
        <ns0:v>Data &amp; storage</ns0:v>
      </ns0:c>
      <ns0:c r="C15" s="8" t="str">
        <ns0:f>IF(INDEX(Tasks[Task ID],9)="","",INDEX(Tasks[Task Name],9))</ns0:f>
        <ns0:v>Configure Artifact &amp; Evidence Registry (ART) for UUID/hash deliverables</ns0:v>
      </ns0:c>
      <ns0:c r="D15" s="18" t="n">
        <ns0:f>IF(INDEX(Tasks[Task ID],9)="","",INDEX(Tasks[Start Date],9))</ns0:f>
        <ns0:v>46281</ns0:v>
      </ns0:c>
      <ns0:c r="E15" s="18" t="n">
        <ns0:f>IF(INDEX(Tasks[Task ID],9)="","",INDEX(Tasks[End Date],9))</ns0:f>
        <ns0:v>46283</ns0:v>
      </ns0:c>
      <ns0:c r="F15" s="8" t="n">
        <ns0:f>IF(INDEX(Tasks[Task ID],9)="","",INDEX(Tasks[Duration],9))</ns0:f>
        <ns0:v>3</ns0:v>
      </ns0:c>
      <ns0:c r="G15" s="19" t="n">
        <ns0:f>IF(INDEX(Tasks[Task ID],9)="","",INDEX(Tasks[Progress %],9))</ns0:f>
        <ns0:v>0</ns0:v>
      </ns0:c>
      <ns0:c r="H15" s="8" t="str">
        <ns0:f>IF(INDEX(Tasks[Task ID],9)="","",INDEX('Project Tracker'!$Q$7:$Q$106,9))</ns0:f>
        <ns0:v>Not Started</ns0:v>
      </ns0:c>
      <ns0:c r="I15" s="8" t="str">
        <ns0:f>IF(INDEX(Tasks[Task ID],9)="","",INDEX(Tasks[Milestone],9))</ns0:f>
        <ns0:v>No</ns0:v>
      </ns0:c>
      <ns0:c r="J15" s="8" t="str">
        <ns0:f>IF(INDEX(Tasks[Task ID],9)="","",INDEX(Tasks[Schedule Health],9))</ns0:f>
        <ns0:v>On track</ns0:v>
      </ns0:c>
      <ns0:c r="K15" s="22" t="str">
        <ns0:f>IF($A15="","",IF($I15="Yes",IF(K$6=$D15,"◆",""),IF(AND(K$6&gt;=$D15,K$6&lt;=$E15),MAX(0,MIN(1,$G15*$F15-(K$6-$D15))),"")))</ns0:f>
      </ns0:c>
      <ns0:c r="L15" s="22" t="str">
        <ns0:f>IF($A15="","",IF($I15="Yes",IF(L$6=$D15,"◆",""),IF(AND(L$6&gt;=$D15,L$6&lt;=$E15),MAX(0,MIN(1,$G15*$F15-(L$6-$D15))),"")))</ns0:f>
      </ns0:c>
      <ns0:c r="M15" s="22" t="str">
        <ns0:f>IF($A15="","",IF($I15="Yes",IF(M$6=$D15,"◆",""),IF(AND(M$6&gt;=$D15,M$6&lt;=$E15),MAX(0,MIN(1,$G15*$F15-(M$6-$D15))),"")))</ns0:f>
      </ns0:c>
      <ns0:c r="N15" s="22" t="str">
        <ns0:f>IF($A15="","",IF($I15="Yes",IF(N$6=$D15,"◆",""),IF(AND(N$6&gt;=$D15,N$6&lt;=$E15),MAX(0,MIN(1,$G15*$F15-(N$6-$D15))),"")))</ns0:f>
      </ns0:c>
      <ns0:c r="O15" s="22" t="str">
        <ns0:f>IF($A15="","",IF($I15="Yes",IF(O$6=$D15,"◆",""),IF(AND(O$6&gt;=$D15,O$6&lt;=$E15),MAX(0,MIN(1,$G15*$F15-(O$6-$D15))),"")))</ns0:f>
      </ns0:c>
      <ns0:c r="P15" s="22" t="n">
        <ns0:f>IF($A15="","",IF($I15="Yes",IF(P$6=$D15,"◆",""),IF(AND(P$6&gt;=$D15,P$6&lt;=$E15),MAX(0,MIN(1,$G15*$F15-(P$6-$D15))),"")))</ns0:f>
        <ns0:v>0</ns0:v>
      </ns0:c>
      <ns0:c r="Q15" s="22" t="n">
        <ns0:f>IF($A15="","",IF($I15="Yes",IF(Q$6=$D15,"◆",""),IF(AND(Q$6&gt;=$D15,Q$6&lt;=$E15),MAX(0,MIN(1,$G15*$F15-(Q$6-$D15))),"")))</ns0:f>
        <ns0:v>0</ns0:v>
      </ns0:c>
      <ns0:c r="R15" s="22" t="n">
        <ns0:f>IF($A15="","",IF($I15="Yes",IF(R$6=$D15,"◆",""),IF(AND(R$6&gt;=$D15,R$6&lt;=$E15),MAX(0,MIN(1,$G15*$F15-(R$6-$D15))),"")))</ns0:f>
        <ns0:v>0</ns0:v>
      </ns0:c>
      <ns0:c r="S15" s="22" t="str">
        <ns0:f>IF($A15="","",IF($I15="Yes",IF(S$6=$D15,"◆",""),IF(AND(S$6&gt;=$D15,S$6&lt;=$E15),MAX(0,MIN(1,$G15*$F15-(S$6-$D15))),"")))</ns0:f>
      </ns0:c>
      <ns0:c r="T15" s="22" t="str">
        <ns0:f>IF($A15="","",IF($I15="Yes",IF(T$6=$D15,"◆",""),IF(AND(T$6&gt;=$D15,T$6&lt;=$E15),MAX(0,MIN(1,$G15*$F15-(T$6-$D15))),"")))</ns0:f>
      </ns0:c>
      <ns0:c r="U15" s="22" t="str">
        <ns0:f>IF($A15="","",IF($I15="Yes",IF(U$6=$D15,"◆",""),IF(AND(U$6&gt;=$D15,U$6&lt;=$E15),MAX(0,MIN(1,$G15*$F15-(U$6-$D15))),"")))</ns0:f>
      </ns0:c>
      <ns0:c r="V15" s="22" t="str">
        <ns0:f>IF($A15="","",IF($I15="Yes",IF(V$6=$D15,"◆",""),IF(AND(V$6&gt;=$D15,V$6&lt;=$E15),MAX(0,MIN(1,$G15*$F15-(V$6-$D15))),"")))</ns0:f>
      </ns0:c>
      <ns0:c r="W15" s="22" t="str">
        <ns0:f>IF($A15="","",IF($I15="Yes",IF(W$6=$D15,"◆",""),IF(AND(W$6&gt;=$D15,W$6&lt;=$E15),MAX(0,MIN(1,$G15*$F15-(W$6-$D15))),"")))</ns0:f>
      </ns0:c>
      <ns0:c r="X15" s="22" t="str">
        <ns0:f>IF($A15="","",IF($I15="Yes",IF(X$6=$D15,"◆",""),IF(AND(X$6&gt;=$D15,X$6&lt;=$E15),MAX(0,MIN(1,$G15*$F15-(X$6-$D15))),"")))</ns0:f>
      </ns0:c>
      <ns0:c r="Y15" s="22" t="str">
        <ns0:f>IF($A15="","",IF($I15="Yes",IF(Y$6=$D15,"◆",""),IF(AND(Y$6&gt;=$D15,Y$6&lt;=$E15),MAX(0,MIN(1,$G15*$F15-(Y$6-$D15))),"")))</ns0:f>
      </ns0:c>
      <ns0:c r="Z15" s="22" t="str">
        <ns0:f>IF($A15="","",IF($I15="Yes",IF(Z$6=$D15,"◆",""),IF(AND(Z$6&gt;=$D15,Z$6&lt;=$E15),MAX(0,MIN(1,$G15*$F15-(Z$6-$D15))),"")))</ns0:f>
      </ns0:c>
      <ns0:c r="AA15" s="22" t="str">
        <ns0:f>IF($A15="","",IF($I15="Yes",IF(AA$6=$D15,"◆",""),IF(AND(AA$6&gt;=$D15,AA$6&lt;=$E15),MAX(0,MIN(1,$G15*$F15-(AA$6-$D15))),"")))</ns0:f>
      </ns0:c>
      <ns0:c r="AB15" s="22" t="str">
        <ns0:f>IF($A15="","",IF($I15="Yes",IF(AB$6=$D15,"◆",""),IF(AND(AB$6&gt;=$D15,AB$6&lt;=$E15),MAX(0,MIN(1,$G15*$F15-(AB$6-$D15))),"")))</ns0:f>
      </ns0:c>
      <ns0:c r="AC15" s="22" t="str">
        <ns0:f>IF($A15="","",IF($I15="Yes",IF(AC$6=$D15,"◆",""),IF(AND(AC$6&gt;=$D15,AC$6&lt;=$E15),MAX(0,MIN(1,$G15*$F15-(AC$6-$D15))),"")))</ns0:f>
      </ns0:c>
      <ns0:c r="AD15" s="22" t="str">
        <ns0:f>IF($A15="","",IF($I15="Yes",IF(AD$6=$D15,"◆",""),IF(AND(AD$6&gt;=$D15,AD$6&lt;=$E15),MAX(0,MIN(1,$G15*$F15-(AD$6-$D15))),"")))</ns0:f>
      </ns0:c>
      <ns0:c r="AE15" s="22" t="str">
        <ns0:f>IF($A15="","",IF($I15="Yes",IF(AE$6=$D15,"◆",""),IF(AND(AE$6&gt;=$D15,AE$6&lt;=$E15),MAX(0,MIN(1,$G15*$F15-(AE$6-$D15))),"")))</ns0:f>
      </ns0:c>
      <ns0:c r="AF15" s="22" t="str">
        <ns0:f>IF($A15="","",IF($I15="Yes",IF(AF$6=$D15,"◆",""),IF(AND(AF$6&gt;=$D15,AF$6&lt;=$E15),MAX(0,MIN(1,$G15*$F15-(AF$6-$D15))),"")))</ns0:f>
      </ns0:c>
      <ns0:c r="AG15" s="22" t="str">
        <ns0:f>IF($A15="","",IF($I15="Yes",IF(AG$6=$D15,"◆",""),IF(AND(AG$6&gt;=$D15,AG$6&lt;=$E15),MAX(0,MIN(1,$G15*$F15-(AG$6-$D15))),"")))</ns0:f>
      </ns0:c>
      <ns0:c r="AH15" s="22" t="str">
        <ns0:f>IF($A15="","",IF($I15="Yes",IF(AH$6=$D15,"◆",""),IF(AND(AH$6&gt;=$D15,AH$6&lt;=$E15),MAX(0,MIN(1,$G15*$F15-(AH$6-$D15))),"")))</ns0:f>
      </ns0:c>
      <ns0:c r="AI15" s="22" t="str">
        <ns0:f>IF($A15="","",IF($I15="Yes",IF(AI$6=$D15,"◆",""),IF(AND(AI$6&gt;=$D15,AI$6&lt;=$E15),MAX(0,MIN(1,$G15*$F15-(AI$6-$D15))),"")))</ns0:f>
      </ns0:c>
      <ns0:c r="AJ15" s="22" t="str">
        <ns0:f>IF($A15="","",IF($I15="Yes",IF(AJ$6=$D15,"◆",""),IF(AND(AJ$6&gt;=$D15,AJ$6&lt;=$E15),MAX(0,MIN(1,$G15*$F15-(AJ$6-$D15))),"")))</ns0:f>
      </ns0:c>
      <ns0:c r="AK15" s="22" t="str">
        <ns0:f>IF($A15="","",IF($I15="Yes",IF(AK$6=$D15,"◆",""),IF(AND(AK$6&gt;=$D15,AK$6&lt;=$E15),MAX(0,MIN(1,$G15*$F15-(AK$6-$D15))),"")))</ns0:f>
      </ns0:c>
      <ns0:c r="AL15" s="22" t="str">
        <ns0:f>IF($A15="","",IF($I15="Yes",IF(AL$6=$D15,"◆",""),IF(AND(AL$6&gt;=$D15,AL$6&lt;=$E15),MAX(0,MIN(1,$G15*$F15-(AL$6-$D15))),"")))</ns0:f>
      </ns0:c>
      <ns0:c r="AM15" s="22" t="str">
        <ns0:f>IF($A15="","",IF($I15="Yes",IF(AM$6=$D15,"◆",""),IF(AND(AM$6&gt;=$D15,AM$6&lt;=$E15),MAX(0,MIN(1,$G15*$F15-(AM$6-$D15))),"")))</ns0:f>
      </ns0:c>
      <ns0:c r="AN15" s="22" t="str">
        <ns0:f>IF($A15="","",IF($I15="Yes",IF(AN$6=$D15,"◆",""),IF(AND(AN$6&gt;=$D15,AN$6&lt;=$E15),MAX(0,MIN(1,$G15*$F15-(AN$6-$D15))),"")))</ns0:f>
      </ns0:c>
      <ns0:c r="AO15" s="22" t="str">
        <ns0:f>IF($A15="","",IF($I15="Yes",IF(AO$6=$D15,"◆",""),IF(AND(AO$6&gt;=$D15,AO$6&lt;=$E15),MAX(0,MIN(1,$G15*$F15-(AO$6-$D15))),"")))</ns0:f>
      </ns0:c>
      <ns0:c r="AP15" s="22" t="str">
        <ns0:f>IF($A15="","",IF($I15="Yes",IF(AP$6=$D15,"◆",""),IF(AND(AP$6&gt;=$D15,AP$6&lt;=$E15),MAX(0,MIN(1,$G15*$F15-(AP$6-$D15))),"")))</ns0:f>
      </ns0:c>
      <ns0:c r="AQ15" s="22" t="str">
        <ns0:f>IF($A15="","",IF($I15="Yes",IF(AQ$6=$D15,"◆",""),IF(AND(AQ$6&gt;=$D15,AQ$6&lt;=$E15),MAX(0,MIN(1,$G15*$F15-(AQ$6-$D15))),"")))</ns0:f>
      </ns0:c>
      <ns0:c r="AR15" s="22" t="str">
        <ns0:f>IF($A15="","",IF($I15="Yes",IF(AR$6=$D15,"◆",""),IF(AND(AR$6&gt;=$D15,AR$6&lt;=$E15),MAX(0,MIN(1,$G15*$F15-(AR$6-$D15))),"")))</ns0:f>
      </ns0:c>
    </ns0:row>
    <ns0:row r="16" ht="48" customHeight="1">
      <ns0:c r="A16" s="8" t="str">
        <ns0:f>IF(INDEX(Tasks[Task ID],10)="","",INDEX(Tasks[Task ID],10))</ns0:f>
        <ns0:v>T09</ns0:v>
      </ns0:c>
      <ns0:c r="B16" s="8" t="str">
        <ns0:f>IF(INDEX(Tasks[Task ID],10)="","",INDEX(Tasks[Phase],10))</ns0:f>
        <ns0:v>Data &amp; storage</ns0:v>
      </ns0:c>
      <ns0:c r="C16" s="8" t="str">
        <ns0:f>IF(INDEX(Tasks[Task ID],10)="","",INDEX(Tasks[Task Name],10))</ns0:f>
        <ns0:v>Deploy Governed MCP Data Boundary CRUD gateways &amp; connection pools</ns0:v>
      </ns0:c>
      <ns0:c r="D16" s="18" t="n">
        <ns0:f>IF(INDEX(Tasks[Task ID],10)="","",INDEX(Tasks[Start Date],10))</ns0:f>
        <ns0:v>46281</ns0:v>
      </ns0:c>
      <ns0:c r="E16" s="18" t="n">
        <ns0:f>IF(INDEX(Tasks[Task ID],10)="","",INDEX(Tasks[End Date],10))</ns0:f>
        <ns0:v>46282</ns0:v>
      </ns0:c>
      <ns0:c r="F16" s="8" t="n">
        <ns0:f>IF(INDEX(Tasks[Task ID],10)="","",INDEX(Tasks[Duration],10))</ns0:f>
        <ns0:v>2</ns0:v>
      </ns0:c>
      <ns0:c r="G16" s="19" t="n">
        <ns0:f>IF(INDEX(Tasks[Task ID],10)="","",INDEX(Tasks[Progress %],10))</ns0:f>
        <ns0:v>0</ns0:v>
      </ns0:c>
      <ns0:c r="H16" s="8" t="str">
        <ns0:f>IF(INDEX(Tasks[Task ID],10)="","",INDEX('Project Tracker'!$Q$7:$Q$106,10))</ns0:f>
        <ns0:v>Not Started</ns0:v>
      </ns0:c>
      <ns0:c r="I16" s="8" t="str">
        <ns0:f>IF(INDEX(Tasks[Task ID],10)="","",INDEX(Tasks[Milestone],10))</ns0:f>
        <ns0:v>No</ns0:v>
      </ns0:c>
      <ns0:c r="J16" s="8" t="str">
        <ns0:f>IF(INDEX(Tasks[Task ID],10)="","",INDEX(Tasks[Schedule Health],10))</ns0:f>
        <ns0:v>On track</ns0:v>
      </ns0:c>
      <ns0:c r="K16" s="22" t="str">
        <ns0:f>IF($A16="","",IF($I16="Yes",IF(K$6=$D16,"◆",""),IF(AND(K$6&gt;=$D16,K$6&lt;=$E16),MAX(0,MIN(1,$G16*$F16-(K$6-$D16))),"")))</ns0:f>
      </ns0:c>
      <ns0:c r="L16" s="22" t="str">
        <ns0:f>IF($A16="","",IF($I16="Yes",IF(L$6=$D16,"◆",""),IF(AND(L$6&gt;=$D16,L$6&lt;=$E16),MAX(0,MIN(1,$G16*$F16-(L$6-$D16))),"")))</ns0:f>
      </ns0:c>
      <ns0:c r="M16" s="22" t="str">
        <ns0:f>IF($A16="","",IF($I16="Yes",IF(M$6=$D16,"◆",""),IF(AND(M$6&gt;=$D16,M$6&lt;=$E16),MAX(0,MIN(1,$G16*$F16-(M$6-$D16))),"")))</ns0:f>
      </ns0:c>
      <ns0:c r="N16" s="22" t="str">
        <ns0:f>IF($A16="","",IF($I16="Yes",IF(N$6=$D16,"◆",""),IF(AND(N$6&gt;=$D16,N$6&lt;=$E16),MAX(0,MIN(1,$G16*$F16-(N$6-$D16))),"")))</ns0:f>
      </ns0:c>
      <ns0:c r="O16" s="22" t="str">
        <ns0:f>IF($A16="","",IF($I16="Yes",IF(O$6=$D16,"◆",""),IF(AND(O$6&gt;=$D16,O$6&lt;=$E16),MAX(0,MIN(1,$G16*$F16-(O$6-$D16))),"")))</ns0:f>
      </ns0:c>
      <ns0:c r="P16" s="22" t="n">
        <ns0:f>IF($A16="","",IF($I16="Yes",IF(P$6=$D16,"◆",""),IF(AND(P$6&gt;=$D16,P$6&lt;=$E16),MAX(0,MIN(1,$G16*$F16-(P$6-$D16))),"")))</ns0:f>
        <ns0:v>0</ns0:v>
      </ns0:c>
      <ns0:c r="Q16" s="22" t="n">
        <ns0:f>IF($A16="","",IF($I16="Yes",IF(Q$6=$D16,"◆",""),IF(AND(Q$6&gt;=$D16,Q$6&lt;=$E16),MAX(0,MIN(1,$G16*$F16-(Q$6-$D16))),"")))</ns0:f>
        <ns0:v>0</ns0:v>
      </ns0:c>
      <ns0:c r="R16" s="22" t="str">
        <ns0:f>IF($A16="","",IF($I16="Yes",IF(R$6=$D16,"◆",""),IF(AND(R$6&gt;=$D16,R$6&lt;=$E16),MAX(0,MIN(1,$G16*$F16-(R$6-$D16))),"")))</ns0:f>
      </ns0:c>
      <ns0:c r="S16" s="22" t="str">
        <ns0:f>IF($A16="","",IF($I16="Yes",IF(S$6=$D16,"◆",""),IF(AND(S$6&gt;=$D16,S$6&lt;=$E16),MAX(0,MIN(1,$G16*$F16-(S$6-$D16))),"")))</ns0:f>
      </ns0:c>
      <ns0:c r="T16" s="22" t="str">
        <ns0:f>IF($A16="","",IF($I16="Yes",IF(T$6=$D16,"◆",""),IF(AND(T$6&gt;=$D16,T$6&lt;=$E16),MAX(0,MIN(1,$G16*$F16-(T$6-$D16))),"")))</ns0:f>
      </ns0:c>
      <ns0:c r="U16" s="22" t="str">
        <ns0:f>IF($A16="","",IF($I16="Yes",IF(U$6=$D16,"◆",""),IF(AND(U$6&gt;=$D16,U$6&lt;=$E16),MAX(0,MIN(1,$G16*$F16-(U$6-$D16))),"")))</ns0:f>
      </ns0:c>
      <ns0:c r="V16" s="22" t="str">
        <ns0:f>IF($A16="","",IF($I16="Yes",IF(V$6=$D16,"◆",""),IF(AND(V$6&gt;=$D16,V$6&lt;=$E16),MAX(0,MIN(1,$G16*$F16-(V$6-$D16))),"")))</ns0:f>
      </ns0:c>
      <ns0:c r="W16" s="22" t="str">
        <ns0:f>IF($A16="","",IF($I16="Yes",IF(W$6=$D16,"◆",""),IF(AND(W$6&gt;=$D16,W$6&lt;=$E16),MAX(0,MIN(1,$G16*$F16-(W$6-$D16))),"")))</ns0:f>
      </ns0:c>
      <ns0:c r="X16" s="22" t="str">
        <ns0:f>IF($A16="","",IF($I16="Yes",IF(X$6=$D16,"◆",""),IF(AND(X$6&gt;=$D16,X$6&lt;=$E16),MAX(0,MIN(1,$G16*$F16-(X$6-$D16))),"")))</ns0:f>
      </ns0:c>
      <ns0:c r="Y16" s="22" t="str">
        <ns0:f>IF($A16="","",IF($I16="Yes",IF(Y$6=$D16,"◆",""),IF(AND(Y$6&gt;=$D16,Y$6&lt;=$E16),MAX(0,MIN(1,$G16*$F16-(Y$6-$D16))),"")))</ns0:f>
      </ns0:c>
      <ns0:c r="Z16" s="22" t="str">
        <ns0:f>IF($A16="","",IF($I16="Yes",IF(Z$6=$D16,"◆",""),IF(AND(Z$6&gt;=$D16,Z$6&lt;=$E16),MAX(0,MIN(1,$G16*$F16-(Z$6-$D16))),"")))</ns0:f>
      </ns0:c>
      <ns0:c r="AA16" s="22" t="str">
        <ns0:f>IF($A16="","",IF($I16="Yes",IF(AA$6=$D16,"◆",""),IF(AND(AA$6&gt;=$D16,AA$6&lt;=$E16),MAX(0,MIN(1,$G16*$F16-(AA$6-$D16))),"")))</ns0:f>
      </ns0:c>
      <ns0:c r="AB16" s="22" t="str">
        <ns0:f>IF($A16="","",IF($I16="Yes",IF(AB$6=$D16,"◆",""),IF(AND(AB$6&gt;=$D16,AB$6&lt;=$E16),MAX(0,MIN(1,$G16*$F16-(AB$6-$D16))),"")))</ns0:f>
      </ns0:c>
      <ns0:c r="AC16" s="22" t="str">
        <ns0:f>IF($A16="","",IF($I16="Yes",IF(AC$6=$D16,"◆",""),IF(AND(AC$6&gt;=$D16,AC$6&lt;=$E16),MAX(0,MIN(1,$G16*$F16-(AC$6-$D16))),"")))</ns0:f>
      </ns0:c>
      <ns0:c r="AD16" s="22" t="str">
        <ns0:f>IF($A16="","",IF($I16="Yes",IF(AD$6=$D16,"◆",""),IF(AND(AD$6&gt;=$D16,AD$6&lt;=$E16),MAX(0,MIN(1,$G16*$F16-(AD$6-$D16))),"")))</ns0:f>
      </ns0:c>
      <ns0:c r="AE16" s="22" t="str">
        <ns0:f>IF($A16="","",IF($I16="Yes",IF(AE$6=$D16,"◆",""),IF(AND(AE$6&gt;=$D16,AE$6&lt;=$E16),MAX(0,MIN(1,$G16*$F16-(AE$6-$D16))),"")))</ns0:f>
      </ns0:c>
      <ns0:c r="AF16" s="22" t="str">
        <ns0:f>IF($A16="","",IF($I16="Yes",IF(AF$6=$D16,"◆",""),IF(AND(AF$6&gt;=$D16,AF$6&lt;=$E16),MAX(0,MIN(1,$G16*$F16-(AF$6-$D16))),"")))</ns0:f>
      </ns0:c>
      <ns0:c r="AG16" s="22" t="str">
        <ns0:f>IF($A16="","",IF($I16="Yes",IF(AG$6=$D16,"◆",""),IF(AND(AG$6&gt;=$D16,AG$6&lt;=$E16),MAX(0,MIN(1,$G16*$F16-(AG$6-$D16))),"")))</ns0:f>
      </ns0:c>
      <ns0:c r="AH16" s="22" t="str">
        <ns0:f>IF($A16="","",IF($I16="Yes",IF(AH$6=$D16,"◆",""),IF(AND(AH$6&gt;=$D16,AH$6&lt;=$E16),MAX(0,MIN(1,$G16*$F16-(AH$6-$D16))),"")))</ns0:f>
      </ns0:c>
      <ns0:c r="AI16" s="22" t="str">
        <ns0:f>IF($A16="","",IF($I16="Yes",IF(AI$6=$D16,"◆",""),IF(AND(AI$6&gt;=$D16,AI$6&lt;=$E16),MAX(0,MIN(1,$G16*$F16-(AI$6-$D16))),"")))</ns0:f>
      </ns0:c>
      <ns0:c r="AJ16" s="22" t="str">
        <ns0:f>IF($A16="","",IF($I16="Yes",IF(AJ$6=$D16,"◆",""),IF(AND(AJ$6&gt;=$D16,AJ$6&lt;=$E16),MAX(0,MIN(1,$G16*$F16-(AJ$6-$D16))),"")))</ns0:f>
      </ns0:c>
      <ns0:c r="AK16" s="22" t="str">
        <ns0:f>IF($A16="","",IF($I16="Yes",IF(AK$6=$D16,"◆",""),IF(AND(AK$6&gt;=$D16,AK$6&lt;=$E16),MAX(0,MIN(1,$G16*$F16-(AK$6-$D16))),"")))</ns0:f>
      </ns0:c>
      <ns0:c r="AL16" s="22" t="str">
        <ns0:f>IF($A16="","",IF($I16="Yes",IF(AL$6=$D16,"◆",""),IF(AND(AL$6&gt;=$D16,AL$6&lt;=$E16),MAX(0,MIN(1,$G16*$F16-(AL$6-$D16))),"")))</ns0:f>
      </ns0:c>
      <ns0:c r="AM16" s="22" t="str">
        <ns0:f>IF($A16="","",IF($I16="Yes",IF(AM$6=$D16,"◆",""),IF(AND(AM$6&gt;=$D16,AM$6&lt;=$E16),MAX(0,MIN(1,$G16*$F16-(AM$6-$D16))),"")))</ns0:f>
      </ns0:c>
      <ns0:c r="AN16" s="22" t="str">
        <ns0:f>IF($A16="","",IF($I16="Yes",IF(AN$6=$D16,"◆",""),IF(AND(AN$6&gt;=$D16,AN$6&lt;=$E16),MAX(0,MIN(1,$G16*$F16-(AN$6-$D16))),"")))</ns0:f>
      </ns0:c>
      <ns0:c r="AO16" s="22" t="str">
        <ns0:f>IF($A16="","",IF($I16="Yes",IF(AO$6=$D16,"◆",""),IF(AND(AO$6&gt;=$D16,AO$6&lt;=$E16),MAX(0,MIN(1,$G16*$F16-(AO$6-$D16))),"")))</ns0:f>
      </ns0:c>
      <ns0:c r="AP16" s="22" t="str">
        <ns0:f>IF($A16="","",IF($I16="Yes",IF(AP$6=$D16,"◆",""),IF(AND(AP$6&gt;=$D16,AP$6&lt;=$E16),MAX(0,MIN(1,$G16*$F16-(AP$6-$D16))),"")))</ns0:f>
      </ns0:c>
      <ns0:c r="AQ16" s="22" t="str">
        <ns0:f>IF($A16="","",IF($I16="Yes",IF(AQ$6=$D16,"◆",""),IF(AND(AQ$6&gt;=$D16,AQ$6&lt;=$E16),MAX(0,MIN(1,$G16*$F16-(AQ$6-$D16))),"")))</ns0:f>
      </ns0:c>
      <ns0:c r="AR16" s="22" t="str">
        <ns0:f>IF($A16="","",IF($I16="Yes",IF(AR$6=$D16,"◆",""),IF(AND(AR$6&gt;=$D16,AR$6&lt;=$E16),MAX(0,MIN(1,$G16*$F16-(AR$6-$D16))),"")))</ns0:f>
      </ns0:c>
    </ns0:row>
    <ns0:row r="17" ht="48" customHeight="1">
      <ns0:c r="A17" s="8" t="str">
        <ns0:f>IF(INDEX(Tasks[Task ID],11)="","",INDEX(Tasks[Task ID],11))</ns0:f>
        <ns0:v>T10</ns0:v>
      </ns0:c>
      <ns0:c r="B17" s="8" t="str">
        <ns0:f>IF(INDEX(Tasks[Task ID],11)="","",INDEX(Tasks[Phase],11))</ns0:f>
        <ns0:v>Data &amp; storage</ns0:v>
      </ns0:c>
      <ns0:c r="C17" s="8" t="str">
        <ns0:f>IF(INDEX(Tasks[Task ID],11)="","",INDEX(Tasks[Task Name],11))</ns0:f>
        <ns0:v>Configure Agentic RAG Controller with tenant isolation &amp; freshness gates</ns0:v>
      </ns0:c>
      <ns0:c r="D17" s="18" t="n">
        <ns0:f>IF(INDEX(Tasks[Task ID],11)="","",INDEX(Tasks[Start Date],11))</ns0:f>
        <ns0:v>46283</ns0:v>
      </ns0:c>
      <ns0:c r="E17" s="18" t="n">
        <ns0:f>IF(INDEX(Tasks[Task ID],11)="","",INDEX(Tasks[End Date],11))</ns0:f>
        <ns0:v>46283</ns0:v>
      </ns0:c>
      <ns0:c r="F17" s="8" t="n">
        <ns0:f>IF(INDEX(Tasks[Task ID],11)="","",INDEX(Tasks[Duration],11))</ns0:f>
        <ns0:v>1</ns0:v>
      </ns0:c>
      <ns0:c r="G17" s="19" t="n">
        <ns0:f>IF(INDEX(Tasks[Task ID],11)="","",INDEX(Tasks[Progress %],11))</ns0:f>
        <ns0:v>0</ns0:v>
      </ns0:c>
      <ns0:c r="H17" s="8" t="str">
        <ns0:f>IF(INDEX(Tasks[Task ID],11)="","",INDEX('Project Tracker'!$Q$7:$Q$106,11))</ns0:f>
        <ns0:v>Not Started</ns0:v>
      </ns0:c>
      <ns0:c r="I17" s="8" t="str">
        <ns0:f>IF(INDEX(Tasks[Task ID],11)="","",INDEX(Tasks[Milestone],11))</ns0:f>
        <ns0:v>No</ns0:v>
      </ns0:c>
      <ns0:c r="J17" s="8" t="str">
        <ns0:f>IF(INDEX(Tasks[Task ID],11)="","",INDEX(Tasks[Schedule Health],11))</ns0:f>
        <ns0:v>On track</ns0:v>
      </ns0:c>
      <ns0:c r="K17" s="22" t="str">
        <ns0:f>IF($A17="","",IF($I17="Yes",IF(K$6=$D17,"◆",""),IF(AND(K$6&gt;=$D17,K$6&lt;=$E17),MAX(0,MIN(1,$G17*$F17-(K$6-$D17))),"")))</ns0:f>
      </ns0:c>
      <ns0:c r="L17" s="22" t="str">
        <ns0:f>IF($A17="","",IF($I17="Yes",IF(L$6=$D17,"◆",""),IF(AND(L$6&gt;=$D17,L$6&lt;=$E17),MAX(0,MIN(1,$G17*$F17-(L$6-$D17))),"")))</ns0:f>
      </ns0:c>
      <ns0:c r="M17" s="22" t="str">
        <ns0:f>IF($A17="","",IF($I17="Yes",IF(M$6=$D17,"◆",""),IF(AND(M$6&gt;=$D17,M$6&lt;=$E17),MAX(0,MIN(1,$G17*$F17-(M$6-$D17))),"")))</ns0:f>
      </ns0:c>
      <ns0:c r="N17" s="22" t="str">
        <ns0:f>IF($A17="","",IF($I17="Yes",IF(N$6=$D17,"◆",""),IF(AND(N$6&gt;=$D17,N$6&lt;=$E17),MAX(0,MIN(1,$G17*$F17-(N$6-$D17))),"")))</ns0:f>
      </ns0:c>
      <ns0:c r="O17" s="22" t="str">
        <ns0:f>IF($A17="","",IF($I17="Yes",IF(O$6=$D17,"◆",""),IF(AND(O$6&gt;=$D17,O$6&lt;=$E17),MAX(0,MIN(1,$G17*$F17-(O$6-$D17))),"")))</ns0:f>
      </ns0:c>
      <ns0:c r="P17" s="22" t="str">
        <ns0:f>IF($A17="","",IF($I17="Yes",IF(P$6=$D17,"◆",""),IF(AND(P$6&gt;=$D17,P$6&lt;=$E17),MAX(0,MIN(1,$G17*$F17-(P$6-$D17))),"")))</ns0:f>
      </ns0:c>
      <ns0:c r="Q17" s="22" t="str">
        <ns0:f>IF($A17="","",IF($I17="Yes",IF(Q$6=$D17,"◆",""),IF(AND(Q$6&gt;=$D17,Q$6&lt;=$E17),MAX(0,MIN(1,$G17*$F17-(Q$6-$D17))),"")))</ns0:f>
      </ns0:c>
      <ns0:c r="R17" s="22" t="n">
        <ns0:f>IF($A17="","",IF($I17="Yes",IF(R$6=$D17,"◆",""),IF(AND(R$6&gt;=$D17,R$6&lt;=$E17),MAX(0,MIN(1,$G17*$F17-(R$6-$D17))),"")))</ns0:f>
        <ns0:v>0</ns0:v>
      </ns0:c>
      <ns0:c r="S17" s="22" t="str">
        <ns0:f>IF($A17="","",IF($I17="Yes",IF(S$6=$D17,"◆",""),IF(AND(S$6&gt;=$D17,S$6&lt;=$E17),MAX(0,MIN(1,$G17*$F17-(S$6-$D17))),"")))</ns0:f>
      </ns0:c>
      <ns0:c r="T17" s="22" t="str">
        <ns0:f>IF($A17="","",IF($I17="Yes",IF(T$6=$D17,"◆",""),IF(AND(T$6&gt;=$D17,T$6&lt;=$E17),MAX(0,MIN(1,$G17*$F17-(T$6-$D17))),"")))</ns0:f>
      </ns0:c>
      <ns0:c r="U17" s="22" t="str">
        <ns0:f>IF($A17="","",IF($I17="Yes",IF(U$6=$D17,"◆",""),IF(AND(U$6&gt;=$D17,U$6&lt;=$E17),MAX(0,MIN(1,$G17*$F17-(U$6-$D17))),"")))</ns0:f>
      </ns0:c>
      <ns0:c r="V17" s="22" t="str">
        <ns0:f>IF($A17="","",IF($I17="Yes",IF(V$6=$D17,"◆",""),IF(AND(V$6&gt;=$D17,V$6&lt;=$E17),MAX(0,MIN(1,$G17*$F17-(V$6-$D17))),"")))</ns0:f>
      </ns0:c>
      <ns0:c r="W17" s="22" t="str">
        <ns0:f>IF($A17="","",IF($I17="Yes",IF(W$6=$D17,"◆",""),IF(AND(W$6&gt;=$D17,W$6&lt;=$E17),MAX(0,MIN(1,$G17*$F17-(W$6-$D17))),"")))</ns0:f>
      </ns0:c>
      <ns0:c r="X17" s="22" t="str">
        <ns0:f>IF($A17="","",IF($I17="Yes",IF(X$6=$D17,"◆",""),IF(AND(X$6&gt;=$D17,X$6&lt;=$E17),MAX(0,MIN(1,$G17*$F17-(X$6-$D17))),"")))</ns0:f>
      </ns0:c>
      <ns0:c r="Y17" s="22" t="str">
        <ns0:f>IF($A17="","",IF($I17="Yes",IF(Y$6=$D17,"◆",""),IF(AND(Y$6&gt;=$D17,Y$6&lt;=$E17),MAX(0,MIN(1,$G17*$F17-(Y$6-$D17))),"")))</ns0:f>
      </ns0:c>
      <ns0:c r="Z17" s="22" t="str">
        <ns0:f>IF($A17="","",IF($I17="Yes",IF(Z$6=$D17,"◆",""),IF(AND(Z$6&gt;=$D17,Z$6&lt;=$E17),MAX(0,MIN(1,$G17*$F17-(Z$6-$D17))),"")))</ns0:f>
      </ns0:c>
      <ns0:c r="AA17" s="22" t="str">
        <ns0:f>IF($A17="","",IF($I17="Yes",IF(AA$6=$D17,"◆",""),IF(AND(AA$6&gt;=$D17,AA$6&lt;=$E17),MAX(0,MIN(1,$G17*$F17-(AA$6-$D17))),"")))</ns0:f>
      </ns0:c>
      <ns0:c r="AB17" s="22" t="str">
        <ns0:f>IF($A17="","",IF($I17="Yes",IF(AB$6=$D17,"◆",""),IF(AND(AB$6&gt;=$D17,AB$6&lt;=$E17),MAX(0,MIN(1,$G17*$F17-(AB$6-$D17))),"")))</ns0:f>
      </ns0:c>
      <ns0:c r="AC17" s="22" t="str">
        <ns0:f>IF($A17="","",IF($I17="Yes",IF(AC$6=$D17,"◆",""),IF(AND(AC$6&gt;=$D17,AC$6&lt;=$E17),MAX(0,MIN(1,$G17*$F17-(AC$6-$D17))),"")))</ns0:f>
      </ns0:c>
      <ns0:c r="AD17" s="22" t="str">
        <ns0:f>IF($A17="","",IF($I17="Yes",IF(AD$6=$D17,"◆",""),IF(AND(AD$6&gt;=$D17,AD$6&lt;=$E17),MAX(0,MIN(1,$G17*$F17-(AD$6-$D17))),"")))</ns0:f>
      </ns0:c>
      <ns0:c r="AE17" s="22" t="str">
        <ns0:f>IF($A17="","",IF($I17="Yes",IF(AE$6=$D17,"◆",""),IF(AND(AE$6&gt;=$D17,AE$6&lt;=$E17),MAX(0,MIN(1,$G17*$F17-(AE$6-$D17))),"")))</ns0:f>
      </ns0:c>
      <ns0:c r="AF17" s="22" t="str">
        <ns0:f>IF($A17="","",IF($I17="Yes",IF(AF$6=$D17,"◆",""),IF(AND(AF$6&gt;=$D17,AF$6&lt;=$E17),MAX(0,MIN(1,$G17*$F17-(AF$6-$D17))),"")))</ns0:f>
      </ns0:c>
      <ns0:c r="AG17" s="22" t="str">
        <ns0:f>IF($A17="","",IF($I17="Yes",IF(AG$6=$D17,"◆",""),IF(AND(AG$6&gt;=$D17,AG$6&lt;=$E17),MAX(0,MIN(1,$G17*$F17-(AG$6-$D17))),"")))</ns0:f>
      </ns0:c>
      <ns0:c r="AH17" s="22" t="str">
        <ns0:f>IF($A17="","",IF($I17="Yes",IF(AH$6=$D17,"◆",""),IF(AND(AH$6&gt;=$D17,AH$6&lt;=$E17),MAX(0,MIN(1,$G17*$F17-(AH$6-$D17))),"")))</ns0:f>
      </ns0:c>
      <ns0:c r="AI17" s="22" t="str">
        <ns0:f>IF($A17="","",IF($I17="Yes",IF(AI$6=$D17,"◆",""),IF(AND(AI$6&gt;=$D17,AI$6&lt;=$E17),MAX(0,MIN(1,$G17*$F17-(AI$6-$D17))),"")))</ns0:f>
      </ns0:c>
      <ns0:c r="AJ17" s="22" t="str">
        <ns0:f>IF($A17="","",IF($I17="Yes",IF(AJ$6=$D17,"◆",""),IF(AND(AJ$6&gt;=$D17,AJ$6&lt;=$E17),MAX(0,MIN(1,$G17*$F17-(AJ$6-$D17))),"")))</ns0:f>
      </ns0:c>
      <ns0:c r="AK17" s="22" t="str">
        <ns0:f>IF($A17="","",IF($I17="Yes",IF(AK$6=$D17,"◆",""),IF(AND(AK$6&gt;=$D17,AK$6&lt;=$E17),MAX(0,MIN(1,$G17*$F17-(AK$6-$D17))),"")))</ns0:f>
      </ns0:c>
      <ns0:c r="AL17" s="22" t="str">
        <ns0:f>IF($A17="","",IF($I17="Yes",IF(AL$6=$D17,"◆",""),IF(AND(AL$6&gt;=$D17,AL$6&lt;=$E17),MAX(0,MIN(1,$G17*$F17-(AL$6-$D17))),"")))</ns0:f>
      </ns0:c>
      <ns0:c r="AM17" s="22" t="str">
        <ns0:f>IF($A17="","",IF($I17="Yes",IF(AM$6=$D17,"◆",""),IF(AND(AM$6&gt;=$D17,AM$6&lt;=$E17),MAX(0,MIN(1,$G17*$F17-(AM$6-$D17))),"")))</ns0:f>
      </ns0:c>
      <ns0:c r="AN17" s="22" t="str">
        <ns0:f>IF($A17="","",IF($I17="Yes",IF(AN$6=$D17,"◆",""),IF(AND(AN$6&gt;=$D17,AN$6&lt;=$E17),MAX(0,MIN(1,$G17*$F17-(AN$6-$D17))),"")))</ns0:f>
      </ns0:c>
      <ns0:c r="AO17" s="22" t="str">
        <ns0:f>IF($A17="","",IF($I17="Yes",IF(AO$6=$D17,"◆",""),IF(AND(AO$6&gt;=$D17,AO$6&lt;=$E17),MAX(0,MIN(1,$G17*$F17-(AO$6-$D17))),"")))</ns0:f>
      </ns0:c>
      <ns0:c r="AP17" s="22" t="str">
        <ns0:f>IF($A17="","",IF($I17="Yes",IF(AP$6=$D17,"◆",""),IF(AND(AP$6&gt;=$D17,AP$6&lt;=$E17),MAX(0,MIN(1,$G17*$F17-(AP$6-$D17))),"")))</ns0:f>
      </ns0:c>
      <ns0:c r="AQ17" s="22" t="str">
        <ns0:f>IF($A17="","",IF($I17="Yes",IF(AQ$6=$D17,"◆",""),IF(AND(AQ$6&gt;=$D17,AQ$6&lt;=$E17),MAX(0,MIN(1,$G17*$F17-(AQ$6-$D17))),"")))</ns0:f>
      </ns0:c>
      <ns0:c r="AR17" s="22" t="str">
        <ns0:f>IF($A17="","",IF($I17="Yes",IF(AR$6=$D17,"◆",""),IF(AND(AR$6&gt;=$D17,AR$6&lt;=$E17),MAX(0,MIN(1,$G17*$F17-(AR$6-$D17))),"")))</ns0:f>
      </ns0:c>
    </ns0:row>
    <ns0:row r="18" ht="48" customHeight="1">
      <ns0:c r="A18" s="8" t="str">
        <ns0:f>IF(INDEX(Tasks[Task ID],12)="","",INDEX(Tasks[Task ID],12))</ns0:f>
        <ns0:v>M2</ns0:v>
      </ns0:c>
      <ns0:c r="B18" s="8" t="str">
        <ns0:f>IF(INDEX(Tasks[Task ID],12)="","",INDEX(Tasks[Phase],12))</ns0:f>
        <ns0:v>Data &amp; storage</ns0:v>
      </ns0:c>
      <ns0:c r="C18" s="8" t="str">
        <ns0:f>IF(INDEX(Tasks[Task ID],12)="","",INDEX(Tasks[Task Name],12))</ns0:f>
        <ns0:v>Governed Data Plane &amp; Central Storage Integration (Model A)</ns0:v>
      </ns0:c>
      <ns0:c r="D18" s="18" t="n">
        <ns0:f>IF(INDEX(Tasks[Task ID],12)="","",INDEX(Tasks[Start Date],12))</ns0:f>
        <ns0:v>46284</ns0:v>
      </ns0:c>
      <ns0:c r="E18" s="18" t="n">
        <ns0:f>IF(INDEX(Tasks[Task ID],12)="","",INDEX(Tasks[End Date],12))</ns0:f>
        <ns0:v>46284</ns0:v>
      </ns0:c>
      <ns0:c r="F18" s="8" t="n">
        <ns0:f>IF(INDEX(Tasks[Task ID],12)="","",INDEX(Tasks[Duration],12))</ns0:f>
        <ns0:v>0</ns0:v>
      </ns0:c>
      <ns0:c r="G18" s="19" t="n">
        <ns0:f>IF(INDEX(Tasks[Task ID],12)="","",INDEX(Tasks[Progress %],12))</ns0:f>
        <ns0:v>0</ns0:v>
      </ns0:c>
      <ns0:c r="H18" s="8" t="str">
        <ns0:f>IF(INDEX(Tasks[Task ID],12)="","",INDEX('Project Tracker'!$Q$7:$Q$106,12))</ns0:f>
        <ns0:v>Not Started</ns0:v>
      </ns0:c>
      <ns0:c r="I18" s="8" t="str">
        <ns0:f>IF(INDEX(Tasks[Task ID],12)="","",INDEX(Tasks[Milestone],12))</ns0:f>
        <ns0:v>Yes</ns0:v>
      </ns0:c>
      <ns0:c r="J18" s="8" t="str">
        <ns0:f>IF(INDEX(Tasks[Task ID],12)="","",INDEX(Tasks[Schedule Health],12))</ns0:f>
        <ns0:v>On track</ns0:v>
      </ns0:c>
      <ns0:c r="K18" s="22" t="str">
        <ns0:f>IF($A18="","",IF($I18="Yes",IF(K$6=$D18,"◆",""),IF(AND(K$6&gt;=$D18,K$6&lt;=$E18),MAX(0,MIN(1,$G18*$F18-(K$6-$D18))),"")))</ns0:f>
      </ns0:c>
      <ns0:c r="L18" s="22" t="str">
        <ns0:f>IF($A18="","",IF($I18="Yes",IF(L$6=$D18,"◆",""),IF(AND(L$6&gt;=$D18,L$6&lt;=$E18),MAX(0,MIN(1,$G18*$F18-(L$6-$D18))),"")))</ns0:f>
      </ns0:c>
      <ns0:c r="M18" s="22" t="str">
        <ns0:f>IF($A18="","",IF($I18="Yes",IF(M$6=$D18,"◆",""),IF(AND(M$6&gt;=$D18,M$6&lt;=$E18),MAX(0,MIN(1,$G18*$F18-(M$6-$D18))),"")))</ns0:f>
      </ns0:c>
      <ns0:c r="N18" s="22" t="str">
        <ns0:f>IF($A18="","",IF($I18="Yes",IF(N$6=$D18,"◆",""),IF(AND(N$6&gt;=$D18,N$6&lt;=$E18),MAX(0,MIN(1,$G18*$F18-(N$6-$D18))),"")))</ns0:f>
      </ns0:c>
      <ns0:c r="O18" s="22" t="str">
        <ns0:f>IF($A18="","",IF($I18="Yes",IF(O$6=$D18,"◆",""),IF(AND(O$6&gt;=$D18,O$6&lt;=$E18),MAX(0,MIN(1,$G18*$F18-(O$6-$D18))),"")))</ns0:f>
      </ns0:c>
      <ns0:c r="P18" s="22" t="str">
        <ns0:f>IF($A18="","",IF($I18="Yes",IF(P$6=$D18,"◆",""),IF(AND(P$6&gt;=$D18,P$6&lt;=$E18),MAX(0,MIN(1,$G18*$F18-(P$6-$D18))),"")))</ns0:f>
      </ns0:c>
      <ns0:c r="Q18" s="22" t="str">
        <ns0:f>IF($A18="","",IF($I18="Yes",IF(Q$6=$D18,"◆",""),IF(AND(Q$6&gt;=$D18,Q$6&lt;=$E18),MAX(0,MIN(1,$G18*$F18-(Q$6-$D18))),"")))</ns0:f>
      </ns0:c>
      <ns0:c r="R18" s="22" t="str">
        <ns0:f>IF($A18="","",IF($I18="Yes",IF(R$6=$D18,"◆",""),IF(AND(R$6&gt;=$D18,R$6&lt;=$E18),MAX(0,MIN(1,$G18*$F18-(R$6-$D18))),"")))</ns0:f>
      </ns0:c>
      <ns0:c r="S18" s="22" t="str">
        <ns0:f>IF($A18="","",IF($I18="Yes",IF(S$6=$D18,"◆",""),IF(AND(S$6&gt;=$D18,S$6&lt;=$E18),MAX(0,MIN(1,$G18*$F18-(S$6-$D18))),"")))</ns0:f>
        <ns0:v>◆</ns0:v>
      </ns0:c>
      <ns0:c r="T18" s="22" t="str">
        <ns0:f>IF($A18="","",IF($I18="Yes",IF(T$6=$D18,"◆",""),IF(AND(T$6&gt;=$D18,T$6&lt;=$E18),MAX(0,MIN(1,$G18*$F18-(T$6-$D18))),"")))</ns0:f>
      </ns0:c>
      <ns0:c r="U18" s="22" t="str">
        <ns0:f>IF($A18="","",IF($I18="Yes",IF(U$6=$D18,"◆",""),IF(AND(U$6&gt;=$D18,U$6&lt;=$E18),MAX(0,MIN(1,$G18*$F18-(U$6-$D18))),"")))</ns0:f>
      </ns0:c>
      <ns0:c r="V18" s="22" t="str">
        <ns0:f>IF($A18="","",IF($I18="Yes",IF(V$6=$D18,"◆",""),IF(AND(V$6&gt;=$D18,V$6&lt;=$E18),MAX(0,MIN(1,$G18*$F18-(V$6-$D18))),"")))</ns0:f>
      </ns0:c>
      <ns0:c r="W18" s="22" t="str">
        <ns0:f>IF($A18="","",IF($I18="Yes",IF(W$6=$D18,"◆",""),IF(AND(W$6&gt;=$D18,W$6&lt;=$E18),MAX(0,MIN(1,$G18*$F18-(W$6-$D18))),"")))</ns0:f>
      </ns0:c>
      <ns0:c r="X18" s="22" t="str">
        <ns0:f>IF($A18="","",IF($I18="Yes",IF(X$6=$D18,"◆",""),IF(AND(X$6&gt;=$D18,X$6&lt;=$E18),MAX(0,MIN(1,$G18*$F18-(X$6-$D18))),"")))</ns0:f>
      </ns0:c>
      <ns0:c r="Y18" s="22" t="str">
        <ns0:f>IF($A18="","",IF($I18="Yes",IF(Y$6=$D18,"◆",""),IF(AND(Y$6&gt;=$D18,Y$6&lt;=$E18),MAX(0,MIN(1,$G18*$F18-(Y$6-$D18))),"")))</ns0:f>
      </ns0:c>
      <ns0:c r="Z18" s="22" t="str">
        <ns0:f>IF($A18="","",IF($I18="Yes",IF(Z$6=$D18,"◆",""),IF(AND(Z$6&gt;=$D18,Z$6&lt;=$E18),MAX(0,MIN(1,$G18*$F18-(Z$6-$D18))),"")))</ns0:f>
      </ns0:c>
      <ns0:c r="AA18" s="22" t="str">
        <ns0:f>IF($A18="","",IF($I18="Yes",IF(AA$6=$D18,"◆",""),IF(AND(AA$6&gt;=$D18,AA$6&lt;=$E18),MAX(0,MIN(1,$G18*$F18-(AA$6-$D18))),"")))</ns0:f>
      </ns0:c>
      <ns0:c r="AB18" s="22" t="str">
        <ns0:f>IF($A18="","",IF($I18="Yes",IF(AB$6=$D18,"◆",""),IF(AND(AB$6&gt;=$D18,AB$6&lt;=$E18),MAX(0,MIN(1,$G18*$F18-(AB$6-$D18))),"")))</ns0:f>
      </ns0:c>
      <ns0:c r="AC18" s="22" t="str">
        <ns0:f>IF($A18="","",IF($I18="Yes",IF(AC$6=$D18,"◆",""),IF(AND(AC$6&gt;=$D18,AC$6&lt;=$E18),MAX(0,MIN(1,$G18*$F18-(AC$6-$D18))),"")))</ns0:f>
      </ns0:c>
      <ns0:c r="AD18" s="22" t="str">
        <ns0:f>IF($A18="","",IF($I18="Yes",IF(AD$6=$D18,"◆",""),IF(AND(AD$6&gt;=$D18,AD$6&lt;=$E18),MAX(0,MIN(1,$G18*$F18-(AD$6-$D18))),"")))</ns0:f>
      </ns0:c>
      <ns0:c r="AE18" s="22" t="str">
        <ns0:f>IF($A18="","",IF($I18="Yes",IF(AE$6=$D18,"◆",""),IF(AND(AE$6&gt;=$D18,AE$6&lt;=$E18),MAX(0,MIN(1,$G18*$F18-(AE$6-$D18))),"")))</ns0:f>
      </ns0:c>
      <ns0:c r="AF18" s="22" t="str">
        <ns0:f>IF($A18="","",IF($I18="Yes",IF(AF$6=$D18,"◆",""),IF(AND(AF$6&gt;=$D18,AF$6&lt;=$E18),MAX(0,MIN(1,$G18*$F18-(AF$6-$D18))),"")))</ns0:f>
      </ns0:c>
      <ns0:c r="AG18" s="22" t="str">
        <ns0:f>IF($A18="","",IF($I18="Yes",IF(AG$6=$D18,"◆",""),IF(AND(AG$6&gt;=$D18,AG$6&lt;=$E18),MAX(0,MIN(1,$G18*$F18-(AG$6-$D18))),"")))</ns0:f>
      </ns0:c>
      <ns0:c r="AH18" s="22" t="str">
        <ns0:f>IF($A18="","",IF($I18="Yes",IF(AH$6=$D18,"◆",""),IF(AND(AH$6&gt;=$D18,AH$6&lt;=$E18),MAX(0,MIN(1,$G18*$F18-(AH$6-$D18))),"")))</ns0:f>
      </ns0:c>
      <ns0:c r="AI18" s="22" t="str">
        <ns0:f>IF($A18="","",IF($I18="Yes",IF(AI$6=$D18,"◆",""),IF(AND(AI$6&gt;=$D18,AI$6&lt;=$E18),MAX(0,MIN(1,$G18*$F18-(AI$6-$D18))),"")))</ns0:f>
      </ns0:c>
      <ns0:c r="AJ18" s="22" t="str">
        <ns0:f>IF($A18="","",IF($I18="Yes",IF(AJ$6=$D18,"◆",""),IF(AND(AJ$6&gt;=$D18,AJ$6&lt;=$E18),MAX(0,MIN(1,$G18*$F18-(AJ$6-$D18))),"")))</ns0:f>
      </ns0:c>
      <ns0:c r="AK18" s="22" t="str">
        <ns0:f>IF($A18="","",IF($I18="Yes",IF(AK$6=$D18,"◆",""),IF(AND(AK$6&gt;=$D18,AK$6&lt;=$E18),MAX(0,MIN(1,$G18*$F18-(AK$6-$D18))),"")))</ns0:f>
      </ns0:c>
      <ns0:c r="AL18" s="22" t="str">
        <ns0:f>IF($A18="","",IF($I18="Yes",IF(AL$6=$D18,"◆",""),IF(AND(AL$6&gt;=$D18,AL$6&lt;=$E18),MAX(0,MIN(1,$G18*$F18-(AL$6-$D18))),"")))</ns0:f>
      </ns0:c>
      <ns0:c r="AM18" s="22" t="str">
        <ns0:f>IF($A18="","",IF($I18="Yes",IF(AM$6=$D18,"◆",""),IF(AND(AM$6&gt;=$D18,AM$6&lt;=$E18),MAX(0,MIN(1,$G18*$F18-(AM$6-$D18))),"")))</ns0:f>
      </ns0:c>
      <ns0:c r="AN18" s="22" t="str">
        <ns0:f>IF($A18="","",IF($I18="Yes",IF(AN$6=$D18,"◆",""),IF(AND(AN$6&gt;=$D18,AN$6&lt;=$E18),MAX(0,MIN(1,$G18*$F18-(AN$6-$D18))),"")))</ns0:f>
      </ns0:c>
      <ns0:c r="AO18" s="22" t="str">
        <ns0:f>IF($A18="","",IF($I18="Yes",IF(AO$6=$D18,"◆",""),IF(AND(AO$6&gt;=$D18,AO$6&lt;=$E18),MAX(0,MIN(1,$G18*$F18-(AO$6-$D18))),"")))</ns0:f>
      </ns0:c>
      <ns0:c r="AP18" s="22" t="str">
        <ns0:f>IF($A18="","",IF($I18="Yes",IF(AP$6=$D18,"◆",""),IF(AND(AP$6&gt;=$D18,AP$6&lt;=$E18),MAX(0,MIN(1,$G18*$F18-(AP$6-$D18))),"")))</ns0:f>
      </ns0:c>
      <ns0:c r="AQ18" s="22" t="str">
        <ns0:f>IF($A18="","",IF($I18="Yes",IF(AQ$6=$D18,"◆",""),IF(AND(AQ$6&gt;=$D18,AQ$6&lt;=$E18),MAX(0,MIN(1,$G18*$F18-(AQ$6-$D18))),"")))</ns0:f>
      </ns0:c>
      <ns0:c r="AR18" s="22" t="str">
        <ns0:f>IF($A18="","",IF($I18="Yes",IF(AR$6=$D18,"◆",""),IF(AND(AR$6&gt;=$D18,AR$6&lt;=$E18),MAX(0,MIN(1,$G18*$F18-(AR$6-$D18))),"")))</ns0:f>
      </ns0:c>
    </ns0:row>
    <ns0:row r="19" ht="48" customHeight="1">
      <ns0:c r="A19" s="8" t="str">
        <ns0:f>IF(INDEX(Tasks[Task ID],13)="","",INDEX(Tasks[Task ID],13))</ns0:f>
        <ns0:v>T11</ns0:v>
      </ns0:c>
      <ns0:c r="B19" s="8" t="str">
        <ns0:f>IF(INDEX(Tasks[Task ID],13)="","",INDEX(Tasks[Phase],13))</ns0:f>
        <ns0:v>Sandbox &amp; tools</ns0:v>
      </ns0:c>
      <ns0:c r="C19" s="8" t="str">
        <ns0:f>IF(INDEX(Tasks[Task ID],13)="","",INDEX(Tasks[Task Name],13))</ns0:f>
        <ns0:v>Deploy agent_sandbox with cgroups, seccomp, and tmpfs isolation</ns0:v>
      </ns0:c>
      <ns0:c r="D19" s="18" t="n">
        <ns0:f>IF(INDEX(Tasks[Task ID],13)="","",INDEX(Tasks[Start Date],13))</ns0:f>
        <ns0:v>46279</ns0:v>
      </ns0:c>
      <ns0:c r="E19" s="18" t="n">
        <ns0:f>IF(INDEX(Tasks[Task ID],13)="","",INDEX(Tasks[End Date],13))</ns0:f>
        <ns0:v>46280</ns0:v>
      </ns0:c>
      <ns0:c r="F19" s="8" t="n">
        <ns0:f>IF(INDEX(Tasks[Task ID],13)="","",INDEX(Tasks[Duration],13))</ns0:f>
        <ns0:v>2</ns0:v>
      </ns0:c>
      <ns0:c r="G19" s="19" t="n">
        <ns0:f>IF(INDEX(Tasks[Task ID],13)="","",INDEX(Tasks[Progress %],13))</ns0:f>
        <ns0:v>0</ns0:v>
      </ns0:c>
      <ns0:c r="H19" s="8" t="str">
        <ns0:f>IF(INDEX(Tasks[Task ID],13)="","",INDEX('Project Tracker'!$Q$7:$Q$106,13))</ns0:f>
        <ns0:v>Not Started</ns0:v>
      </ns0:c>
      <ns0:c r="I19" s="8" t="str">
        <ns0:f>IF(INDEX(Tasks[Task ID],13)="","",INDEX(Tasks[Milestone],13))</ns0:f>
        <ns0:v>No</ns0:v>
      </ns0:c>
      <ns0:c r="J19" s="8" t="str">
        <ns0:f>IF(INDEX(Tasks[Task ID],13)="","",INDEX(Tasks[Schedule Health],13))</ns0:f>
        <ns0:v>On track</ns0:v>
      </ns0:c>
      <ns0:c r="K19" s="22" t="str">
        <ns0:f>IF($A19="","",IF($I19="Yes",IF(K$6=$D19,"◆",""),IF(AND(K$6&gt;=$D19,K$6&lt;=$E19),MAX(0,MIN(1,$G19*$F19-(K$6-$D19))),"")))</ns0:f>
      </ns0:c>
      <ns0:c r="L19" s="22" t="str">
        <ns0:f>IF($A19="","",IF($I19="Yes",IF(L$6=$D19,"◆",""),IF(AND(L$6&gt;=$D19,L$6&lt;=$E19),MAX(0,MIN(1,$G19*$F19-(L$6-$D19))),"")))</ns0:f>
      </ns0:c>
      <ns0:c r="M19" s="22" t="str">
        <ns0:f>IF($A19="","",IF($I19="Yes",IF(M$6=$D19,"◆",""),IF(AND(M$6&gt;=$D19,M$6&lt;=$E19),MAX(0,MIN(1,$G19*$F19-(M$6-$D19))),"")))</ns0:f>
      </ns0:c>
      <ns0:c r="N19" s="22" t="n">
        <ns0:f>IF($A19="","",IF($I19="Yes",IF(N$6=$D19,"◆",""),IF(AND(N$6&gt;=$D19,N$6&lt;=$E19),MAX(0,MIN(1,$G19*$F19-(N$6-$D19))),"")))</ns0:f>
        <ns0:v>0</ns0:v>
      </ns0:c>
      <ns0:c r="O19" s="22" t="n">
        <ns0:f>IF($A19="","",IF($I19="Yes",IF(O$6=$D19,"◆",""),IF(AND(O$6&gt;=$D19,O$6&lt;=$E19),MAX(0,MIN(1,$G19*$F19-(O$6-$D19))),"")))</ns0:f>
        <ns0:v>0</ns0:v>
      </ns0:c>
      <ns0:c r="P19" s="22" t="str">
        <ns0:f>IF($A19="","",IF($I19="Yes",IF(P$6=$D19,"◆",""),IF(AND(P$6&gt;=$D19,P$6&lt;=$E19),MAX(0,MIN(1,$G19*$F19-(P$6-$D19))),"")))</ns0:f>
      </ns0:c>
      <ns0:c r="Q19" s="22" t="str">
        <ns0:f>IF($A19="","",IF($I19="Yes",IF(Q$6=$D19,"◆",""),IF(AND(Q$6&gt;=$D19,Q$6&lt;=$E19),MAX(0,MIN(1,$G19*$F19-(Q$6-$D19))),"")))</ns0:f>
      </ns0:c>
      <ns0:c r="R19" s="22" t="str">
        <ns0:f>IF($A19="","",IF($I19="Yes",IF(R$6=$D19,"◆",""),IF(AND(R$6&gt;=$D19,R$6&lt;=$E19),MAX(0,MIN(1,$G19*$F19-(R$6-$D19))),"")))</ns0:f>
      </ns0:c>
      <ns0:c r="S19" s="22" t="str">
        <ns0:f>IF($A19="","",IF($I19="Yes",IF(S$6=$D19,"◆",""),IF(AND(S$6&gt;=$D19,S$6&lt;=$E19),MAX(0,MIN(1,$G19*$F19-(S$6-$D19))),"")))</ns0:f>
      </ns0:c>
      <ns0:c r="T19" s="22" t="str">
        <ns0:f>IF($A19="","",IF($I19="Yes",IF(T$6=$D19,"◆",""),IF(AND(T$6&gt;=$D19,T$6&lt;=$E19),MAX(0,MIN(1,$G19*$F19-(T$6-$D19))),"")))</ns0:f>
      </ns0:c>
      <ns0:c r="U19" s="22" t="str">
        <ns0:f>IF($A19="","",IF($I19="Yes",IF(U$6=$D19,"◆",""),IF(AND(U$6&gt;=$D19,U$6&lt;=$E19),MAX(0,MIN(1,$G19*$F19-(U$6-$D19))),"")))</ns0:f>
      </ns0:c>
      <ns0:c r="V19" s="22" t="str">
        <ns0:f>IF($A19="","",IF($I19="Yes",IF(V$6=$D19,"◆",""),IF(AND(V$6&gt;=$D19,V$6&lt;=$E19),MAX(0,MIN(1,$G19*$F19-(V$6-$D19))),"")))</ns0:f>
      </ns0:c>
      <ns0:c r="W19" s="22" t="str">
        <ns0:f>IF($A19="","",IF($I19="Yes",IF(W$6=$D19,"◆",""),IF(AND(W$6&gt;=$D19,W$6&lt;=$E19),MAX(0,MIN(1,$G19*$F19-(W$6-$D19))),"")))</ns0:f>
      </ns0:c>
      <ns0:c r="X19" s="22" t="str">
        <ns0:f>IF($A19="","",IF($I19="Yes",IF(X$6=$D19,"◆",""),IF(AND(X$6&gt;=$D19,X$6&lt;=$E19),MAX(0,MIN(1,$G19*$F19-(X$6-$D19))),"")))</ns0:f>
      </ns0:c>
      <ns0:c r="Y19" s="22" t="str">
        <ns0:f>IF($A19="","",IF($I19="Yes",IF(Y$6=$D19,"◆",""),IF(AND(Y$6&gt;=$D19,Y$6&lt;=$E19),MAX(0,MIN(1,$G19*$F19-(Y$6-$D19))),"")))</ns0:f>
      </ns0:c>
      <ns0:c r="Z19" s="22" t="str">
        <ns0:f>IF($A19="","",IF($I19="Yes",IF(Z$6=$D19,"◆",""),IF(AND(Z$6&gt;=$D19,Z$6&lt;=$E19),MAX(0,MIN(1,$G19*$F19-(Z$6-$D19))),"")))</ns0:f>
      </ns0:c>
      <ns0:c r="AA19" s="22" t="str">
        <ns0:f>IF($A19="","",IF($I19="Yes",IF(AA$6=$D19,"◆",""),IF(AND(AA$6&gt;=$D19,AA$6&lt;=$E19),MAX(0,MIN(1,$G19*$F19-(AA$6-$D19))),"")))</ns0:f>
      </ns0:c>
      <ns0:c r="AB19" s="22" t="str">
        <ns0:f>IF($A19="","",IF($I19="Yes",IF(AB$6=$D19,"◆",""),IF(AND(AB$6&gt;=$D19,AB$6&lt;=$E19),MAX(0,MIN(1,$G19*$F19-(AB$6-$D19))),"")))</ns0:f>
      </ns0:c>
      <ns0:c r="AC19" s="22" t="str">
        <ns0:f>IF($A19="","",IF($I19="Yes",IF(AC$6=$D19,"◆",""),IF(AND(AC$6&gt;=$D19,AC$6&lt;=$E19),MAX(0,MIN(1,$G19*$F19-(AC$6-$D19))),"")))</ns0:f>
      </ns0:c>
      <ns0:c r="AD19" s="22" t="str">
        <ns0:f>IF($A19="","",IF($I19="Yes",IF(AD$6=$D19,"◆",""),IF(AND(AD$6&gt;=$D19,AD$6&lt;=$E19),MAX(0,MIN(1,$G19*$F19-(AD$6-$D19))),"")))</ns0:f>
      </ns0:c>
      <ns0:c r="AE19" s="22" t="str">
        <ns0:f>IF($A19="","",IF($I19="Yes",IF(AE$6=$D19,"◆",""),IF(AND(AE$6&gt;=$D19,AE$6&lt;=$E19),MAX(0,MIN(1,$G19*$F19-(AE$6-$D19))),"")))</ns0:f>
      </ns0:c>
      <ns0:c r="AF19" s="22" t="str">
        <ns0:f>IF($A19="","",IF($I19="Yes",IF(AF$6=$D19,"◆",""),IF(AND(AF$6&gt;=$D19,AF$6&lt;=$E19),MAX(0,MIN(1,$G19*$F19-(AF$6-$D19))),"")))</ns0:f>
      </ns0:c>
      <ns0:c r="AG19" s="22" t="str">
        <ns0:f>IF($A19="","",IF($I19="Yes",IF(AG$6=$D19,"◆",""),IF(AND(AG$6&gt;=$D19,AG$6&lt;=$E19),MAX(0,MIN(1,$G19*$F19-(AG$6-$D19))),"")))</ns0:f>
      </ns0:c>
      <ns0:c r="AH19" s="22" t="str">
        <ns0:f>IF($A19="","",IF($I19="Yes",IF(AH$6=$D19,"◆",""),IF(AND(AH$6&gt;=$D19,AH$6&lt;=$E19),MAX(0,MIN(1,$G19*$F19-(AH$6-$D19))),"")))</ns0:f>
      </ns0:c>
      <ns0:c r="AI19" s="22" t="str">
        <ns0:f>IF($A19="","",IF($I19="Yes",IF(AI$6=$D19,"◆",""),IF(AND(AI$6&gt;=$D19,AI$6&lt;=$E19),MAX(0,MIN(1,$G19*$F19-(AI$6-$D19))),"")))</ns0:f>
      </ns0:c>
      <ns0:c r="AJ19" s="22" t="str">
        <ns0:f>IF($A19="","",IF($I19="Yes",IF(AJ$6=$D19,"◆",""),IF(AND(AJ$6&gt;=$D19,AJ$6&lt;=$E19),MAX(0,MIN(1,$G19*$F19-(AJ$6-$D19))),"")))</ns0:f>
      </ns0:c>
      <ns0:c r="AK19" s="22" t="str">
        <ns0:f>IF($A19="","",IF($I19="Yes",IF(AK$6=$D19,"◆",""),IF(AND(AK$6&gt;=$D19,AK$6&lt;=$E19),MAX(0,MIN(1,$G19*$F19-(AK$6-$D19))),"")))</ns0:f>
      </ns0:c>
      <ns0:c r="AL19" s="22" t="str">
        <ns0:f>IF($A19="","",IF($I19="Yes",IF(AL$6=$D19,"◆",""),IF(AND(AL$6&gt;=$D19,AL$6&lt;=$E19),MAX(0,MIN(1,$G19*$F19-(AL$6-$D19))),"")))</ns0:f>
      </ns0:c>
      <ns0:c r="AM19" s="22" t="str">
        <ns0:f>IF($A19="","",IF($I19="Yes",IF(AM$6=$D19,"◆",""),IF(AND(AM$6&gt;=$D19,AM$6&lt;=$E19),MAX(0,MIN(1,$G19*$F19-(AM$6-$D19))),"")))</ns0:f>
      </ns0:c>
      <ns0:c r="AN19" s="22" t="str">
        <ns0:f>IF($A19="","",IF($I19="Yes",IF(AN$6=$D19,"◆",""),IF(AND(AN$6&gt;=$D19,AN$6&lt;=$E19),MAX(0,MIN(1,$G19*$F19-(AN$6-$D19))),"")))</ns0:f>
      </ns0:c>
      <ns0:c r="AO19" s="22" t="str">
        <ns0:f>IF($A19="","",IF($I19="Yes",IF(AO$6=$D19,"◆",""),IF(AND(AO$6&gt;=$D19,AO$6&lt;=$E19),MAX(0,MIN(1,$G19*$F19-(AO$6-$D19))),"")))</ns0:f>
      </ns0:c>
      <ns0:c r="AP19" s="22" t="str">
        <ns0:f>IF($A19="","",IF($I19="Yes",IF(AP$6=$D19,"◆",""),IF(AND(AP$6&gt;=$D19,AP$6&lt;=$E19),MAX(0,MIN(1,$G19*$F19-(AP$6-$D19))),"")))</ns0:f>
      </ns0:c>
      <ns0:c r="AQ19" s="22" t="str">
        <ns0:f>IF($A19="","",IF($I19="Yes",IF(AQ$6=$D19,"◆",""),IF(AND(AQ$6&gt;=$D19,AQ$6&lt;=$E19),MAX(0,MIN(1,$G19*$F19-(AQ$6-$D19))),"")))</ns0:f>
      </ns0:c>
      <ns0:c r="AR19" s="22" t="str">
        <ns0:f>IF($A19="","",IF($I19="Yes",IF(AR$6=$D19,"◆",""),IF(AND(AR$6&gt;=$D19,AR$6&lt;=$E19),MAX(0,MIN(1,$G19*$F19-(AR$6-$D19))),"")))</ns0:f>
      </ns0:c>
    </ns0:row>
    <ns0:row r="20" ht="48" customHeight="1">
      <ns0:c r="A20" s="8" t="str">
        <ns0:f>IF(INDEX(Tasks[Task ID],14)="","",INDEX(Tasks[Task ID],14))</ns0:f>
        <ns0:v>T12</ns0:v>
      </ns0:c>
      <ns0:c r="B20" s="8" t="str">
        <ns0:f>IF(INDEX(Tasks[Task ID],14)="","",INDEX(Tasks[Phase],14))</ns0:f>
        <ns0:v>Sandbox &amp; tools</ns0:v>
      </ns0:c>
      <ns0:c r="C20" s="8" t="str">
        <ns0:f>IF(INDEX(Tasks[Task ID],14)="","",INDEX(Tasks[Task Name],14))</ns0:f>
        <ns0:v>Configure sandbox network proxy with strict egress allowlisting (DENY_ALL)</ns0:v>
      </ns0:c>
      <ns0:c r="D20" s="18" t="n">
        <ns0:f>IF(INDEX(Tasks[Task ID],14)="","",INDEX(Tasks[Start Date],14))</ns0:f>
        <ns0:v>46281</ns0:v>
      </ns0:c>
      <ns0:c r="E20" s="18" t="n">
        <ns0:f>IF(INDEX(Tasks[Task ID],14)="","",INDEX(Tasks[End Date],14))</ns0:f>
        <ns0:v>46282</ns0:v>
      </ns0:c>
      <ns0:c r="F20" s="8" t="n">
        <ns0:f>IF(INDEX(Tasks[Task ID],14)="","",INDEX(Tasks[Duration],14))</ns0:f>
        <ns0:v>2</ns0:v>
      </ns0:c>
      <ns0:c r="G20" s="19" t="n">
        <ns0:f>IF(INDEX(Tasks[Task ID],14)="","",INDEX(Tasks[Progress %],14))</ns0:f>
        <ns0:v>0</ns0:v>
      </ns0:c>
      <ns0:c r="H20" s="8" t="str">
        <ns0:f>IF(INDEX(Tasks[Task ID],14)="","",INDEX('Project Tracker'!$Q$7:$Q$106,14))</ns0:f>
        <ns0:v>Not Started</ns0:v>
      </ns0:c>
      <ns0:c r="I20" s="8" t="str">
        <ns0:f>IF(INDEX(Tasks[Task ID],14)="","",INDEX(Tasks[Milestone],14))</ns0:f>
        <ns0:v>No</ns0:v>
      </ns0:c>
      <ns0:c r="J20" s="8" t="str">
        <ns0:f>IF(INDEX(Tasks[Task ID],14)="","",INDEX(Tasks[Schedule Health],14))</ns0:f>
        <ns0:v>On track</ns0:v>
      </ns0:c>
      <ns0:c r="K20" s="22" t="str">
        <ns0:f>IF($A20="","",IF($I20="Yes",IF(K$6=$D20,"◆",""),IF(AND(K$6&gt;=$D20,K$6&lt;=$E20),MAX(0,MIN(1,$G20*$F20-(K$6-$D20))),"")))</ns0:f>
      </ns0:c>
      <ns0:c r="L20" s="22" t="str">
        <ns0:f>IF($A20="","",IF($I20="Yes",IF(L$6=$D20,"◆",""),IF(AND(L$6&gt;=$D20,L$6&lt;=$E20),MAX(0,MIN(1,$G20*$F20-(L$6-$D20))),"")))</ns0:f>
      </ns0:c>
      <ns0:c r="M20" s="22" t="str">
        <ns0:f>IF($A20="","",IF($I20="Yes",IF(M$6=$D20,"◆",""),IF(AND(M$6&gt;=$D20,M$6&lt;=$E20),MAX(0,MIN(1,$G20*$F20-(M$6-$D20))),"")))</ns0:f>
      </ns0:c>
      <ns0:c r="N20" s="22" t="str">
        <ns0:f>IF($A20="","",IF($I20="Yes",IF(N$6=$D20,"◆",""),IF(AND(N$6&gt;=$D20,N$6&lt;=$E20),MAX(0,MIN(1,$G20*$F20-(N$6-$D20))),"")))</ns0:f>
      </ns0:c>
      <ns0:c r="O20" s="22" t="str">
        <ns0:f>IF($A20="","",IF($I20="Yes",IF(O$6=$D20,"◆",""),IF(AND(O$6&gt;=$D20,O$6&lt;=$E20),MAX(0,MIN(1,$G20*$F20-(O$6-$D20))),"")))</ns0:f>
      </ns0:c>
      <ns0:c r="P20" s="22" t="n">
        <ns0:f>IF($A20="","",IF($I20="Yes",IF(P$6=$D20,"◆",""),IF(AND(P$6&gt;=$D20,P$6&lt;=$E20),MAX(0,MIN(1,$G20*$F20-(P$6-$D20))),"")))</ns0:f>
        <ns0:v>0</ns0:v>
      </ns0:c>
      <ns0:c r="Q20" s="22" t="n">
        <ns0:f>IF($A20="","",IF($I20="Yes",IF(Q$6=$D20,"◆",""),IF(AND(Q$6&gt;=$D20,Q$6&lt;=$E20),MAX(0,MIN(1,$G20*$F20-(Q$6-$D20))),"")))</ns0:f>
        <ns0:v>0</ns0:v>
      </ns0:c>
      <ns0:c r="R20" s="22" t="str">
        <ns0:f>IF($A20="","",IF($I20="Yes",IF(R$6=$D20,"◆",""),IF(AND(R$6&gt;=$D20,R$6&lt;=$E20),MAX(0,MIN(1,$G20*$F20-(R$6-$D20))),"")))</ns0:f>
      </ns0:c>
      <ns0:c r="S20" s="22" t="str">
        <ns0:f>IF($A20="","",IF($I20="Yes",IF(S$6=$D20,"◆",""),IF(AND(S$6&gt;=$D20,S$6&lt;=$E20),MAX(0,MIN(1,$G20*$F20-(S$6-$D20))),"")))</ns0:f>
      </ns0:c>
      <ns0:c r="T20" s="22" t="str">
        <ns0:f>IF($A20="","",IF($I20="Yes",IF(T$6=$D20,"◆",""),IF(AND(T$6&gt;=$D20,T$6&lt;=$E20),MAX(0,MIN(1,$G20*$F20-(T$6-$D20))),"")))</ns0:f>
      </ns0:c>
      <ns0:c r="U20" s="22" t="str">
        <ns0:f>IF($A20="","",IF($I20="Yes",IF(U$6=$D20,"◆",""),IF(AND(U$6&gt;=$D20,U$6&lt;=$E20),MAX(0,MIN(1,$G20*$F20-(U$6-$D20))),"")))</ns0:f>
      </ns0:c>
      <ns0:c r="V20" s="22" t="str">
        <ns0:f>IF($A20="","",IF($I20="Yes",IF(V$6=$D20,"◆",""),IF(AND(V$6&gt;=$D20,V$6&lt;=$E20),MAX(0,MIN(1,$G20*$F20-(V$6-$D20))),"")))</ns0:f>
      </ns0:c>
      <ns0:c r="W20" s="22" t="str">
        <ns0:f>IF($A20="","",IF($I20="Yes",IF(W$6=$D20,"◆",""),IF(AND(W$6&gt;=$D20,W$6&lt;=$E20),MAX(0,MIN(1,$G20*$F20-(W$6-$D20))),"")))</ns0:f>
      </ns0:c>
      <ns0:c r="X20" s="22" t="str">
        <ns0:f>IF($A20="","",IF($I20="Yes",IF(X$6=$D20,"◆",""),IF(AND(X$6&gt;=$D20,X$6&lt;=$E20),MAX(0,MIN(1,$G20*$F20-(X$6-$D20))),"")))</ns0:f>
      </ns0:c>
      <ns0:c r="Y20" s="22" t="str">
        <ns0:f>IF($A20="","",IF($I20="Yes",IF(Y$6=$D20,"◆",""),IF(AND(Y$6&gt;=$D20,Y$6&lt;=$E20),MAX(0,MIN(1,$G20*$F20-(Y$6-$D20))),"")))</ns0:f>
      </ns0:c>
      <ns0:c r="Z20" s="22" t="str">
        <ns0:f>IF($A20="","",IF($I20="Yes",IF(Z$6=$D20,"◆",""),IF(AND(Z$6&gt;=$D20,Z$6&lt;=$E20),MAX(0,MIN(1,$G20*$F20-(Z$6-$D20))),"")))</ns0:f>
      </ns0:c>
      <ns0:c r="AA20" s="22" t="str">
        <ns0:f>IF($A20="","",IF($I20="Yes",IF(AA$6=$D20,"◆",""),IF(AND(AA$6&gt;=$D20,AA$6&lt;=$E20),MAX(0,MIN(1,$G20*$F20-(AA$6-$D20))),"")))</ns0:f>
      </ns0:c>
      <ns0:c r="AB20" s="22" t="str">
        <ns0:f>IF($A20="","",IF($I20="Yes",IF(AB$6=$D20,"◆",""),IF(AND(AB$6&gt;=$D20,AB$6&lt;=$E20),MAX(0,MIN(1,$G20*$F20-(AB$6-$D20))),"")))</ns0:f>
      </ns0:c>
      <ns0:c r="AC20" s="22" t="str">
        <ns0:f>IF($A20="","",IF($I20="Yes",IF(AC$6=$D20,"◆",""),IF(AND(AC$6&gt;=$D20,AC$6&lt;=$E20),MAX(0,MIN(1,$G20*$F20-(AC$6-$D20))),"")))</ns0:f>
      </ns0:c>
      <ns0:c r="AD20" s="22" t="str">
        <ns0:f>IF($A20="","",IF($I20="Yes",IF(AD$6=$D20,"◆",""),IF(AND(AD$6&gt;=$D20,AD$6&lt;=$E20),MAX(0,MIN(1,$G20*$F20-(AD$6-$D20))),"")))</ns0:f>
      </ns0:c>
      <ns0:c r="AE20" s="22" t="str">
        <ns0:f>IF($A20="","",IF($I20="Yes",IF(AE$6=$D20,"◆",""),IF(AND(AE$6&gt;=$D20,AE$6&lt;=$E20),MAX(0,MIN(1,$G20*$F20-(AE$6-$D20))),"")))</ns0:f>
      </ns0:c>
      <ns0:c r="AF20" s="22" t="str">
        <ns0:f>IF($A20="","",IF($I20="Yes",IF(AF$6=$D20,"◆",""),IF(AND(AF$6&gt;=$D20,AF$6&lt;=$E20),MAX(0,MIN(1,$G20*$F20-(AF$6-$D20))),"")))</ns0:f>
      </ns0:c>
      <ns0:c r="AG20" s="22" t="str">
        <ns0:f>IF($A20="","",IF($I20="Yes",IF(AG$6=$D20,"◆",""),IF(AND(AG$6&gt;=$D20,AG$6&lt;=$E20),MAX(0,MIN(1,$G20*$F20-(AG$6-$D20))),"")))</ns0:f>
      </ns0:c>
      <ns0:c r="AH20" s="22" t="str">
        <ns0:f>IF($A20="","",IF($I20="Yes",IF(AH$6=$D20,"◆",""),IF(AND(AH$6&gt;=$D20,AH$6&lt;=$E20),MAX(0,MIN(1,$G20*$F20-(AH$6-$D20))),"")))</ns0:f>
      </ns0:c>
      <ns0:c r="AI20" s="22" t="str">
        <ns0:f>IF($A20="","",IF($I20="Yes",IF(AI$6=$D20,"◆",""),IF(AND(AI$6&gt;=$D20,AI$6&lt;=$E20),MAX(0,MIN(1,$G20*$F20-(AI$6-$D20))),"")))</ns0:f>
      </ns0:c>
      <ns0:c r="AJ20" s="22" t="str">
        <ns0:f>IF($A20="","",IF($I20="Yes",IF(AJ$6=$D20,"◆",""),IF(AND(AJ$6&gt;=$D20,AJ$6&lt;=$E20),MAX(0,MIN(1,$G20*$F20-(AJ$6-$D20))),"")))</ns0:f>
      </ns0:c>
      <ns0:c r="AK20" s="22" t="str">
        <ns0:f>IF($A20="","",IF($I20="Yes",IF(AK$6=$D20,"◆",""),IF(AND(AK$6&gt;=$D20,AK$6&lt;=$E20),MAX(0,MIN(1,$G20*$F20-(AK$6-$D20))),"")))</ns0:f>
      </ns0:c>
      <ns0:c r="AL20" s="22" t="str">
        <ns0:f>IF($A20="","",IF($I20="Yes",IF(AL$6=$D20,"◆",""),IF(AND(AL$6&gt;=$D20,AL$6&lt;=$E20),MAX(0,MIN(1,$G20*$F20-(AL$6-$D20))),"")))</ns0:f>
      </ns0:c>
      <ns0:c r="AM20" s="22" t="str">
        <ns0:f>IF($A20="","",IF($I20="Yes",IF(AM$6=$D20,"◆",""),IF(AND(AM$6&gt;=$D20,AM$6&lt;=$E20),MAX(0,MIN(1,$G20*$F20-(AM$6-$D20))),"")))</ns0:f>
      </ns0:c>
      <ns0:c r="AN20" s="22" t="str">
        <ns0:f>IF($A20="","",IF($I20="Yes",IF(AN$6=$D20,"◆",""),IF(AND(AN$6&gt;=$D20,AN$6&lt;=$E20),MAX(0,MIN(1,$G20*$F20-(AN$6-$D20))),"")))</ns0:f>
      </ns0:c>
      <ns0:c r="AO20" s="22" t="str">
        <ns0:f>IF($A20="","",IF($I20="Yes",IF(AO$6=$D20,"◆",""),IF(AND(AO$6&gt;=$D20,AO$6&lt;=$E20),MAX(0,MIN(1,$G20*$F20-(AO$6-$D20))),"")))</ns0:f>
      </ns0:c>
      <ns0:c r="AP20" s="22" t="str">
        <ns0:f>IF($A20="","",IF($I20="Yes",IF(AP$6=$D20,"◆",""),IF(AND(AP$6&gt;=$D20,AP$6&lt;=$E20),MAX(0,MIN(1,$G20*$F20-(AP$6-$D20))),"")))</ns0:f>
      </ns0:c>
      <ns0:c r="AQ20" s="22" t="str">
        <ns0:f>IF($A20="","",IF($I20="Yes",IF(AQ$6=$D20,"◆",""),IF(AND(AQ$6&gt;=$D20,AQ$6&lt;=$E20),MAX(0,MIN(1,$G20*$F20-(AQ$6-$D20))),"")))</ns0:f>
      </ns0:c>
      <ns0:c r="AR20" s="22" t="str">
        <ns0:f>IF($A20="","",IF($I20="Yes",IF(AR$6=$D20,"◆",""),IF(AND(AR$6&gt;=$D20,AR$6&lt;=$E20),MAX(0,MIN(1,$G20*$F20-(AR$6-$D20))),"")))</ns0:f>
      </ns0:c>
    </ns0:row>
    <ns0:row r="21" ht="48" customHeight="1">
      <ns0:c r="A21" s="8" t="str">
        <ns0:f>IF(INDEX(Tasks[Task ID],15)="","",INDEX(Tasks[Task ID],15))</ns0:f>
        <ns0:v>T13</ns0:v>
      </ns0:c>
      <ns0:c r="B21" s="8" t="str">
        <ns0:f>IF(INDEX(Tasks[Task ID],15)="","",INDEX(Tasks[Phase],15))</ns0:f>
        <ns0:v>Sandbox &amp; tools</ns0:v>
      </ns0:c>
      <ns0:c r="C21" s="8" t="str">
        <ns0:f>IF(INDEX(Tasks[Task ID],15)="","",INDEX(Tasks[Task Name],15))</ns0:f>
        <ns0:v>Implement sandbox execution audit interception to W3C PROV ledger</ns0:v>
      </ns0:c>
      <ns0:c r="D21" s="18" t="n">
        <ns0:f>IF(INDEX(Tasks[Task ID],15)="","",INDEX(Tasks[Start Date],15))</ns0:f>
        <ns0:v>46283</ns0:v>
      </ns0:c>
      <ns0:c r="E21" s="18" t="n">
        <ns0:f>IF(INDEX(Tasks[Task ID],15)="","",INDEX(Tasks[End Date],15))</ns0:f>
        <ns0:v>46284</ns0:v>
      </ns0:c>
      <ns0:c r="F21" s="8" t="n">
        <ns0:f>IF(INDEX(Tasks[Task ID],15)="","",INDEX(Tasks[Duration],15))</ns0:f>
        <ns0:v>2</ns0:v>
      </ns0:c>
      <ns0:c r="G21" s="19" t="n">
        <ns0:f>IF(INDEX(Tasks[Task ID],15)="","",INDEX(Tasks[Progress %],15))</ns0:f>
        <ns0:v>0</ns0:v>
      </ns0:c>
      <ns0:c r="H21" s="8" t="str">
        <ns0:f>IF(INDEX(Tasks[Task ID],15)="","",INDEX('Project Tracker'!$Q$7:$Q$106,15))</ns0:f>
        <ns0:v>Not Started</ns0:v>
      </ns0:c>
      <ns0:c r="I21" s="8" t="str">
        <ns0:f>IF(INDEX(Tasks[Task ID],15)="","",INDEX(Tasks[Milestone],15))</ns0:f>
        <ns0:v>No</ns0:v>
      </ns0:c>
      <ns0:c r="J21" s="8" t="str">
        <ns0:f>IF(INDEX(Tasks[Task ID],15)="","",INDEX(Tasks[Schedule Health],15))</ns0:f>
        <ns0:v>On track</ns0:v>
      </ns0:c>
      <ns0:c r="K21" s="22" t="str">
        <ns0:f>IF($A21="","",IF($I21="Yes",IF(K$6=$D21,"◆",""),IF(AND(K$6&gt;=$D21,K$6&lt;=$E21),MAX(0,MIN(1,$G21*$F21-(K$6-$D21))),"")))</ns0:f>
      </ns0:c>
      <ns0:c r="L21" s="22" t="str">
        <ns0:f>IF($A21="","",IF($I21="Yes",IF(L$6=$D21,"◆",""),IF(AND(L$6&gt;=$D21,L$6&lt;=$E21),MAX(0,MIN(1,$G21*$F21-(L$6-$D21))),"")))</ns0:f>
      </ns0:c>
      <ns0:c r="M21" s="22" t="str">
        <ns0:f>IF($A21="","",IF($I21="Yes",IF(M$6=$D21,"◆",""),IF(AND(M$6&gt;=$D21,M$6&lt;=$E21),MAX(0,MIN(1,$G21*$F21-(M$6-$D21))),"")))</ns0:f>
      </ns0:c>
      <ns0:c r="N21" s="22" t="str">
        <ns0:f>IF($A21="","",IF($I21="Yes",IF(N$6=$D21,"◆",""),IF(AND(N$6&gt;=$D21,N$6&lt;=$E21),MAX(0,MIN(1,$G21*$F21-(N$6-$D21))),"")))</ns0:f>
      </ns0:c>
      <ns0:c r="O21" s="22" t="str">
        <ns0:f>IF($A21="","",IF($I21="Yes",IF(O$6=$D21,"◆",""),IF(AND(O$6&gt;=$D21,O$6&lt;=$E21),MAX(0,MIN(1,$G21*$F21-(O$6-$D21))),"")))</ns0:f>
      </ns0:c>
      <ns0:c r="P21" s="22" t="str">
        <ns0:f>IF($A21="","",IF($I21="Yes",IF(P$6=$D21,"◆",""),IF(AND(P$6&gt;=$D21,P$6&lt;=$E21),MAX(0,MIN(1,$G21*$F21-(P$6-$D21))),"")))</ns0:f>
      </ns0:c>
      <ns0:c r="Q21" s="22" t="str">
        <ns0:f>IF($A21="","",IF($I21="Yes",IF(Q$6=$D21,"◆",""),IF(AND(Q$6&gt;=$D21,Q$6&lt;=$E21),MAX(0,MIN(1,$G21*$F21-(Q$6-$D21))),"")))</ns0:f>
      </ns0:c>
      <ns0:c r="R21" s="22" t="n">
        <ns0:f>IF($A21="","",IF($I21="Yes",IF(R$6=$D21,"◆",""),IF(AND(R$6&gt;=$D21,R$6&lt;=$E21),MAX(0,MIN(1,$G21*$F21-(R$6-$D21))),"")))</ns0:f>
        <ns0:v>0</ns0:v>
      </ns0:c>
      <ns0:c r="S21" s="22" t="n">
        <ns0:f>IF($A21="","",IF($I21="Yes",IF(S$6=$D21,"◆",""),IF(AND(S$6&gt;=$D21,S$6&lt;=$E21),MAX(0,MIN(1,$G21*$F21-(S$6-$D21))),"")))</ns0:f>
        <ns0:v>0</ns0:v>
      </ns0:c>
      <ns0:c r="T21" s="22" t="str">
        <ns0:f>IF($A21="","",IF($I21="Yes",IF(T$6=$D21,"◆",""),IF(AND(T$6&gt;=$D21,T$6&lt;=$E21),MAX(0,MIN(1,$G21*$F21-(T$6-$D21))),"")))</ns0:f>
      </ns0:c>
      <ns0:c r="U21" s="22" t="str">
        <ns0:f>IF($A21="","",IF($I21="Yes",IF(U$6=$D21,"◆",""),IF(AND(U$6&gt;=$D21,U$6&lt;=$E21),MAX(0,MIN(1,$G21*$F21-(U$6-$D21))),"")))</ns0:f>
      </ns0:c>
      <ns0:c r="V21" s="22" t="str">
        <ns0:f>IF($A21="","",IF($I21="Yes",IF(V$6=$D21,"◆",""),IF(AND(V$6&gt;=$D21,V$6&lt;=$E21),MAX(0,MIN(1,$G21*$F21-(V$6-$D21))),"")))</ns0:f>
      </ns0:c>
      <ns0:c r="W21" s="22" t="str">
        <ns0:f>IF($A21="","",IF($I21="Yes",IF(W$6=$D21,"◆",""),IF(AND(W$6&gt;=$D21,W$6&lt;=$E21),MAX(0,MIN(1,$G21*$F21-(W$6-$D21))),"")))</ns0:f>
      </ns0:c>
      <ns0:c r="X21" s="22" t="str">
        <ns0:f>IF($A21="","",IF($I21="Yes",IF(X$6=$D21,"◆",""),IF(AND(X$6&gt;=$D21,X$6&lt;=$E21),MAX(0,MIN(1,$G21*$F21-(X$6-$D21))),"")))</ns0:f>
      </ns0:c>
      <ns0:c r="Y21" s="22" t="str">
        <ns0:f>IF($A21="","",IF($I21="Yes",IF(Y$6=$D21,"◆",""),IF(AND(Y$6&gt;=$D21,Y$6&lt;=$E21),MAX(0,MIN(1,$G21*$F21-(Y$6-$D21))),"")))</ns0:f>
      </ns0:c>
      <ns0:c r="Z21" s="22" t="str">
        <ns0:f>IF($A21="","",IF($I21="Yes",IF(Z$6=$D21,"◆",""),IF(AND(Z$6&gt;=$D21,Z$6&lt;=$E21),MAX(0,MIN(1,$G21*$F21-(Z$6-$D21))),"")))</ns0:f>
      </ns0:c>
      <ns0:c r="AA21" s="22" t="str">
        <ns0:f>IF($A21="","",IF($I21="Yes",IF(AA$6=$D21,"◆",""),IF(AND(AA$6&gt;=$D21,AA$6&lt;=$E21),MAX(0,MIN(1,$G21*$F21-(AA$6-$D21))),"")))</ns0:f>
      </ns0:c>
      <ns0:c r="AB21" s="22" t="str">
        <ns0:f>IF($A21="","",IF($I21="Yes",IF(AB$6=$D21,"◆",""),IF(AND(AB$6&gt;=$D21,AB$6&lt;=$E21),MAX(0,MIN(1,$G21*$F21-(AB$6-$D21))),"")))</ns0:f>
      </ns0:c>
      <ns0:c r="AC21" s="22" t="str">
        <ns0:f>IF($A21="","",IF($I21="Yes",IF(AC$6=$D21,"◆",""),IF(AND(AC$6&gt;=$D21,AC$6&lt;=$E21),MAX(0,MIN(1,$G21*$F21-(AC$6-$D21))),"")))</ns0:f>
      </ns0:c>
      <ns0:c r="AD21" s="22" t="str">
        <ns0:f>IF($A21="","",IF($I21="Yes",IF(AD$6=$D21,"◆",""),IF(AND(AD$6&gt;=$D21,AD$6&lt;=$E21),MAX(0,MIN(1,$G21*$F21-(AD$6-$D21))),"")))</ns0:f>
      </ns0:c>
      <ns0:c r="AE21" s="22" t="str">
        <ns0:f>IF($A21="","",IF($I21="Yes",IF(AE$6=$D21,"◆",""),IF(AND(AE$6&gt;=$D21,AE$6&lt;=$E21),MAX(0,MIN(1,$G21*$F21-(AE$6-$D21))),"")))</ns0:f>
      </ns0:c>
      <ns0:c r="AF21" s="22" t="str">
        <ns0:f>IF($A21="","",IF($I21="Yes",IF(AF$6=$D21,"◆",""),IF(AND(AF$6&gt;=$D21,AF$6&lt;=$E21),MAX(0,MIN(1,$G21*$F21-(AF$6-$D21))),"")))</ns0:f>
      </ns0:c>
      <ns0:c r="AG21" s="22" t="str">
        <ns0:f>IF($A21="","",IF($I21="Yes",IF(AG$6=$D21,"◆",""),IF(AND(AG$6&gt;=$D21,AG$6&lt;=$E21),MAX(0,MIN(1,$G21*$F21-(AG$6-$D21))),"")))</ns0:f>
      </ns0:c>
      <ns0:c r="AH21" s="22" t="str">
        <ns0:f>IF($A21="","",IF($I21="Yes",IF(AH$6=$D21,"◆",""),IF(AND(AH$6&gt;=$D21,AH$6&lt;=$E21),MAX(0,MIN(1,$G21*$F21-(AH$6-$D21))),"")))</ns0:f>
      </ns0:c>
      <ns0:c r="AI21" s="22" t="str">
        <ns0:f>IF($A21="","",IF($I21="Yes",IF(AI$6=$D21,"◆",""),IF(AND(AI$6&gt;=$D21,AI$6&lt;=$E21),MAX(0,MIN(1,$G21*$F21-(AI$6-$D21))),"")))</ns0:f>
      </ns0:c>
      <ns0:c r="AJ21" s="22" t="str">
        <ns0:f>IF($A21="","",IF($I21="Yes",IF(AJ$6=$D21,"◆",""),IF(AND(AJ$6&gt;=$D21,AJ$6&lt;=$E21),MAX(0,MIN(1,$G21*$F21-(AJ$6-$D21))),"")))</ns0:f>
      </ns0:c>
      <ns0:c r="AK21" s="22" t="str">
        <ns0:f>IF($A21="","",IF($I21="Yes",IF(AK$6=$D21,"◆",""),IF(AND(AK$6&gt;=$D21,AK$6&lt;=$E21),MAX(0,MIN(1,$G21*$F21-(AK$6-$D21))),"")))</ns0:f>
      </ns0:c>
      <ns0:c r="AL21" s="22" t="str">
        <ns0:f>IF($A21="","",IF($I21="Yes",IF(AL$6=$D21,"◆",""),IF(AND(AL$6&gt;=$D21,AL$6&lt;=$E21),MAX(0,MIN(1,$G21*$F21-(AL$6-$D21))),"")))</ns0:f>
      </ns0:c>
      <ns0:c r="AM21" s="22" t="str">
        <ns0:f>IF($A21="","",IF($I21="Yes",IF(AM$6=$D21,"◆",""),IF(AND(AM$6&gt;=$D21,AM$6&lt;=$E21),MAX(0,MIN(1,$G21*$F21-(AM$6-$D21))),"")))</ns0:f>
      </ns0:c>
      <ns0:c r="AN21" s="22" t="str">
        <ns0:f>IF($A21="","",IF($I21="Yes",IF(AN$6=$D21,"◆",""),IF(AND(AN$6&gt;=$D21,AN$6&lt;=$E21),MAX(0,MIN(1,$G21*$F21-(AN$6-$D21))),"")))</ns0:f>
      </ns0:c>
      <ns0:c r="AO21" s="22" t="str">
        <ns0:f>IF($A21="","",IF($I21="Yes",IF(AO$6=$D21,"◆",""),IF(AND(AO$6&gt;=$D21,AO$6&lt;=$E21),MAX(0,MIN(1,$G21*$F21-(AO$6-$D21))),"")))</ns0:f>
      </ns0:c>
      <ns0:c r="AP21" s="22" t="str">
        <ns0:f>IF($A21="","",IF($I21="Yes",IF(AP$6=$D21,"◆",""),IF(AND(AP$6&gt;=$D21,AP$6&lt;=$E21),MAX(0,MIN(1,$G21*$F21-(AP$6-$D21))),"")))</ns0:f>
      </ns0:c>
      <ns0:c r="AQ21" s="22" t="str">
        <ns0:f>IF($A21="","",IF($I21="Yes",IF(AQ$6=$D21,"◆",""),IF(AND(AQ$6&gt;=$D21,AQ$6&lt;=$E21),MAX(0,MIN(1,$G21*$F21-(AQ$6-$D21))),"")))</ns0:f>
      </ns0:c>
      <ns0:c r="AR21" s="22" t="str">
        <ns0:f>IF($A21="","",IF($I21="Yes",IF(AR$6=$D21,"◆",""),IF(AND(AR$6&gt;=$D21,AR$6&lt;=$E21),MAX(0,MIN(1,$G21*$F21-(AR$6-$D21))),"")))</ns0:f>
      </ns0:c>
    </ns0:row>
    <ns0:row r="22" ht="48" customHeight="1">
      <ns0:c r="A22" s="8" t="str">
        <ns0:f>IF(INDEX(Tasks[Task ID],16)="","",INDEX(Tasks[Task ID],16))</ns0:f>
        <ns0:v>T14</ns0:v>
      </ns0:c>
      <ns0:c r="B22" s="8" t="str">
        <ns0:f>IF(INDEX(Tasks[Task ID],16)="","",INDEX(Tasks[Phase],16))</ns0:f>
        <ns0:v>Sandbox &amp; tools</ns0:v>
      </ns0:c>
      <ns0:c r="C22" s="8" t="str">
        <ns0:f>IF(INDEX(Tasks[Task ID],16)="","",INDEX(Tasks[Task Name],16))</ns0:f>
        <ns0:v>Instantiate specialist sub-agent micro-tools (S_CODE to S_ATTR) in sandbox</ns0:v>
      </ns0:c>
      <ns0:c r="D22" s="18" t="n">
        <ns0:f>IF(INDEX(Tasks[Task ID],16)="","",INDEX(Tasks[Start Date],16))</ns0:f>
        <ns0:v>46283</ns0:v>
      </ns0:c>
      <ns0:c r="E22" s="18" t="n">
        <ns0:f>IF(INDEX(Tasks[Task ID],16)="","",INDEX(Tasks[End Date],16))</ns0:f>
        <ns0:v>46284</ns0:v>
      </ns0:c>
      <ns0:c r="F22" s="8" t="n">
        <ns0:f>IF(INDEX(Tasks[Task ID],16)="","",INDEX(Tasks[Duration],16))</ns0:f>
        <ns0:v>2</ns0:v>
      </ns0:c>
      <ns0:c r="G22" s="19" t="n">
        <ns0:f>IF(INDEX(Tasks[Task ID],16)="","",INDEX(Tasks[Progress %],16))</ns0:f>
        <ns0:v>0</ns0:v>
      </ns0:c>
      <ns0:c r="H22" s="8" t="str">
        <ns0:f>IF(INDEX(Tasks[Task ID],16)="","",INDEX('Project Tracker'!$Q$7:$Q$106,16))</ns0:f>
        <ns0:v>Not Started</ns0:v>
      </ns0:c>
      <ns0:c r="I22" s="8" t="str">
        <ns0:f>IF(INDEX(Tasks[Task ID],16)="","",INDEX(Tasks[Milestone],16))</ns0:f>
        <ns0:v>No</ns0:v>
      </ns0:c>
      <ns0:c r="J22" s="8" t="str">
        <ns0:f>IF(INDEX(Tasks[Task ID],16)="","",INDEX(Tasks[Schedule Health],16))</ns0:f>
        <ns0:v>On track</ns0:v>
      </ns0:c>
      <ns0:c r="K22" s="22" t="str">
        <ns0:f>IF($A22="","",IF($I22="Yes",IF(K$6=$D22,"◆",""),IF(AND(K$6&gt;=$D22,K$6&lt;=$E22),MAX(0,MIN(1,$G22*$F22-(K$6-$D22))),"")))</ns0:f>
      </ns0:c>
      <ns0:c r="L22" s="22" t="str">
        <ns0:f>IF($A22="","",IF($I22="Yes",IF(L$6=$D22,"◆",""),IF(AND(L$6&gt;=$D22,L$6&lt;=$E22),MAX(0,MIN(1,$G22*$F22-(L$6-$D22))),"")))</ns0:f>
      </ns0:c>
      <ns0:c r="M22" s="22" t="str">
        <ns0:f>IF($A22="","",IF($I22="Yes",IF(M$6=$D22,"◆",""),IF(AND(M$6&gt;=$D22,M$6&lt;=$E22),MAX(0,MIN(1,$G22*$F22-(M$6-$D22))),"")))</ns0:f>
      </ns0:c>
      <ns0:c r="N22" s="22" t="str">
        <ns0:f>IF($A22="","",IF($I22="Yes",IF(N$6=$D22,"◆",""),IF(AND(N$6&gt;=$D22,N$6&lt;=$E22),MAX(0,MIN(1,$G22*$F22-(N$6-$D22))),"")))</ns0:f>
      </ns0:c>
      <ns0:c r="O22" s="22" t="str">
        <ns0:f>IF($A22="","",IF($I22="Yes",IF(O$6=$D22,"◆",""),IF(AND(O$6&gt;=$D22,O$6&lt;=$E22),MAX(0,MIN(1,$G22*$F22-(O$6-$D22))),"")))</ns0:f>
      </ns0:c>
      <ns0:c r="P22" s="22" t="str">
        <ns0:f>IF($A22="","",IF($I22="Yes",IF(P$6=$D22,"◆",""),IF(AND(P$6&gt;=$D22,P$6&lt;=$E22),MAX(0,MIN(1,$G22*$F22-(P$6-$D22))),"")))</ns0:f>
      </ns0:c>
      <ns0:c r="Q22" s="22" t="str">
        <ns0:f>IF($A22="","",IF($I22="Yes",IF(Q$6=$D22,"◆",""),IF(AND(Q$6&gt;=$D22,Q$6&lt;=$E22),MAX(0,MIN(1,$G22*$F22-(Q$6-$D22))),"")))</ns0:f>
      </ns0:c>
      <ns0:c r="R22" s="22" t="n">
        <ns0:f>IF($A22="","",IF($I22="Yes",IF(R$6=$D22,"◆",""),IF(AND(R$6&gt;=$D22,R$6&lt;=$E22),MAX(0,MIN(1,$G22*$F22-(R$6-$D22))),"")))</ns0:f>
        <ns0:v>0</ns0:v>
      </ns0:c>
      <ns0:c r="S22" s="22" t="n">
        <ns0:f>IF($A22="","",IF($I22="Yes",IF(S$6=$D22,"◆",""),IF(AND(S$6&gt;=$D22,S$6&lt;=$E22),MAX(0,MIN(1,$G22*$F22-(S$6-$D22))),"")))</ns0:f>
        <ns0:v>0</ns0:v>
      </ns0:c>
      <ns0:c r="T22" s="22" t="str">
        <ns0:f>IF($A22="","",IF($I22="Yes",IF(T$6=$D22,"◆",""),IF(AND(T$6&gt;=$D22,T$6&lt;=$E22),MAX(0,MIN(1,$G22*$F22-(T$6-$D22))),"")))</ns0:f>
      </ns0:c>
      <ns0:c r="U22" s="22" t="str">
        <ns0:f>IF($A22="","",IF($I22="Yes",IF(U$6=$D22,"◆",""),IF(AND(U$6&gt;=$D22,U$6&lt;=$E22),MAX(0,MIN(1,$G22*$F22-(U$6-$D22))),"")))</ns0:f>
      </ns0:c>
      <ns0:c r="V22" s="22" t="str">
        <ns0:f>IF($A22="","",IF($I22="Yes",IF(V$6=$D22,"◆",""),IF(AND(V$6&gt;=$D22,V$6&lt;=$E22),MAX(0,MIN(1,$G22*$F22-(V$6-$D22))),"")))</ns0:f>
      </ns0:c>
      <ns0:c r="W22" s="22" t="str">
        <ns0:f>IF($A22="","",IF($I22="Yes",IF(W$6=$D22,"◆",""),IF(AND(W$6&gt;=$D22,W$6&lt;=$E22),MAX(0,MIN(1,$G22*$F22-(W$6-$D22))),"")))</ns0:f>
      </ns0:c>
      <ns0:c r="X22" s="22" t="str">
        <ns0:f>IF($A22="","",IF($I22="Yes",IF(X$6=$D22,"◆",""),IF(AND(X$6&gt;=$D22,X$6&lt;=$E22),MAX(0,MIN(1,$G22*$F22-(X$6-$D22))),"")))</ns0:f>
      </ns0:c>
      <ns0:c r="Y22" s="22" t="str">
        <ns0:f>IF($A22="","",IF($I22="Yes",IF(Y$6=$D22,"◆",""),IF(AND(Y$6&gt;=$D22,Y$6&lt;=$E22),MAX(0,MIN(1,$G22*$F22-(Y$6-$D22))),"")))</ns0:f>
      </ns0:c>
      <ns0:c r="Z22" s="22" t="str">
        <ns0:f>IF($A22="","",IF($I22="Yes",IF(Z$6=$D22,"◆",""),IF(AND(Z$6&gt;=$D22,Z$6&lt;=$E22),MAX(0,MIN(1,$G22*$F22-(Z$6-$D22))),"")))</ns0:f>
      </ns0:c>
      <ns0:c r="AA22" s="22" t="str">
        <ns0:f>IF($A22="","",IF($I22="Yes",IF(AA$6=$D22,"◆",""),IF(AND(AA$6&gt;=$D22,AA$6&lt;=$E22),MAX(0,MIN(1,$G22*$F22-(AA$6-$D22))),"")))</ns0:f>
      </ns0:c>
      <ns0:c r="AB22" s="22" t="str">
        <ns0:f>IF($A22="","",IF($I22="Yes",IF(AB$6=$D22,"◆",""),IF(AND(AB$6&gt;=$D22,AB$6&lt;=$E22),MAX(0,MIN(1,$G22*$F22-(AB$6-$D22))),"")))</ns0:f>
      </ns0:c>
      <ns0:c r="AC22" s="22" t="str">
        <ns0:f>IF($A22="","",IF($I22="Yes",IF(AC$6=$D22,"◆",""),IF(AND(AC$6&gt;=$D22,AC$6&lt;=$E22),MAX(0,MIN(1,$G22*$F22-(AC$6-$D22))),"")))</ns0:f>
      </ns0:c>
      <ns0:c r="AD22" s="22" t="str">
        <ns0:f>IF($A22="","",IF($I22="Yes",IF(AD$6=$D22,"◆",""),IF(AND(AD$6&gt;=$D22,AD$6&lt;=$E22),MAX(0,MIN(1,$G22*$F22-(AD$6-$D22))),"")))</ns0:f>
      </ns0:c>
      <ns0:c r="AE22" s="22" t="str">
        <ns0:f>IF($A22="","",IF($I22="Yes",IF(AE$6=$D22,"◆",""),IF(AND(AE$6&gt;=$D22,AE$6&lt;=$E22),MAX(0,MIN(1,$G22*$F22-(AE$6-$D22))),"")))</ns0:f>
      </ns0:c>
      <ns0:c r="AF22" s="22" t="str">
        <ns0:f>IF($A22="","",IF($I22="Yes",IF(AF$6=$D22,"◆",""),IF(AND(AF$6&gt;=$D22,AF$6&lt;=$E22),MAX(0,MIN(1,$G22*$F22-(AF$6-$D22))),"")))</ns0:f>
      </ns0:c>
      <ns0:c r="AG22" s="22" t="str">
        <ns0:f>IF($A22="","",IF($I22="Yes",IF(AG$6=$D22,"◆",""),IF(AND(AG$6&gt;=$D22,AG$6&lt;=$E22),MAX(0,MIN(1,$G22*$F22-(AG$6-$D22))),"")))</ns0:f>
      </ns0:c>
      <ns0:c r="AH22" s="22" t="str">
        <ns0:f>IF($A22="","",IF($I22="Yes",IF(AH$6=$D22,"◆",""),IF(AND(AH$6&gt;=$D22,AH$6&lt;=$E22),MAX(0,MIN(1,$G22*$F22-(AH$6-$D22))),"")))</ns0:f>
      </ns0:c>
      <ns0:c r="AI22" s="22" t="str">
        <ns0:f>IF($A22="","",IF($I22="Yes",IF(AI$6=$D22,"◆",""),IF(AND(AI$6&gt;=$D22,AI$6&lt;=$E22),MAX(0,MIN(1,$G22*$F22-(AI$6-$D22))),"")))</ns0:f>
      </ns0:c>
      <ns0:c r="AJ22" s="22" t="str">
        <ns0:f>IF($A22="","",IF($I22="Yes",IF(AJ$6=$D22,"◆",""),IF(AND(AJ$6&gt;=$D22,AJ$6&lt;=$E22),MAX(0,MIN(1,$G22*$F22-(AJ$6-$D22))),"")))</ns0:f>
      </ns0:c>
      <ns0:c r="AK22" s="22" t="str">
        <ns0:f>IF($A22="","",IF($I22="Yes",IF(AK$6=$D22,"◆",""),IF(AND(AK$6&gt;=$D22,AK$6&lt;=$E22),MAX(0,MIN(1,$G22*$F22-(AK$6-$D22))),"")))</ns0:f>
      </ns0:c>
      <ns0:c r="AL22" s="22" t="str">
        <ns0:f>IF($A22="","",IF($I22="Yes",IF(AL$6=$D22,"◆",""),IF(AND(AL$6&gt;=$D22,AL$6&lt;=$E22),MAX(0,MIN(1,$G22*$F22-(AL$6-$D22))),"")))</ns0:f>
      </ns0:c>
      <ns0:c r="AM22" s="22" t="str">
        <ns0:f>IF($A22="","",IF($I22="Yes",IF(AM$6=$D22,"◆",""),IF(AND(AM$6&gt;=$D22,AM$6&lt;=$E22),MAX(0,MIN(1,$G22*$F22-(AM$6-$D22))),"")))</ns0:f>
      </ns0:c>
      <ns0:c r="AN22" s="22" t="str">
        <ns0:f>IF($A22="","",IF($I22="Yes",IF(AN$6=$D22,"◆",""),IF(AND(AN$6&gt;=$D22,AN$6&lt;=$E22),MAX(0,MIN(1,$G22*$F22-(AN$6-$D22))),"")))</ns0:f>
      </ns0:c>
      <ns0:c r="AO22" s="22" t="str">
        <ns0:f>IF($A22="","",IF($I22="Yes",IF(AO$6=$D22,"◆",""),IF(AND(AO$6&gt;=$D22,AO$6&lt;=$E22),MAX(0,MIN(1,$G22*$F22-(AO$6-$D22))),"")))</ns0:f>
      </ns0:c>
      <ns0:c r="AP22" s="22" t="str">
        <ns0:f>IF($A22="","",IF($I22="Yes",IF(AP$6=$D22,"◆",""),IF(AND(AP$6&gt;=$D22,AP$6&lt;=$E22),MAX(0,MIN(1,$G22*$F22-(AP$6-$D22))),"")))</ns0:f>
      </ns0:c>
      <ns0:c r="AQ22" s="22" t="str">
        <ns0:f>IF($A22="","",IF($I22="Yes",IF(AQ$6=$D22,"◆",""),IF(AND(AQ$6&gt;=$D22,AQ$6&lt;=$E22),MAX(0,MIN(1,$G22*$F22-(AQ$6-$D22))),"")))</ns0:f>
      </ns0:c>
      <ns0:c r="AR22" s="22" t="str">
        <ns0:f>IF($A22="","",IF($I22="Yes",IF(AR$6=$D22,"◆",""),IF(AND(AR$6&gt;=$D22,AR$6&lt;=$E22),MAX(0,MIN(1,$G22*$F22-(AR$6-$D22))),"")))</ns0:f>
      </ns0:c>
    </ns0:row>
    <ns0:row r="23" ht="48" customHeight="1">
      <ns0:c r="A23" s="8" t="str">
        <ns0:f>IF(INDEX(Tasks[Task ID],17)="","",INDEX(Tasks[Task ID],17))</ns0:f>
        <ns0:v>M3</ns0:v>
      </ns0:c>
      <ns0:c r="B23" s="8" t="str">
        <ns0:f>IF(INDEX(Tasks[Task ID],17)="","",INDEX(Tasks[Phase],17))</ns0:f>
        <ns0:v>Sandbox &amp; tools</ns0:v>
      </ns0:c>
      <ns0:c r="C23" s="8" t="str">
        <ns0:f>IF(INDEX(Tasks[Task ID],17)="","",INDEX(Tasks[Task Name],17))</ns0:f>
        <ns0:v>Sandbox Isolation &amp; Specialist Sub-Agent Readiness</ns0:v>
      </ns0:c>
      <ns0:c r="D23" s="18" t="n">
        <ns0:f>IF(INDEX(Tasks[Task ID],17)="","",INDEX(Tasks[Start Date],17))</ns0:f>
        <ns0:v>46288</ns0:v>
      </ns0:c>
      <ns0:c r="E23" s="18" t="n">
        <ns0:f>IF(INDEX(Tasks[Task ID],17)="","",INDEX(Tasks[End Date],17))</ns0:f>
        <ns0:v>46288</ns0:v>
      </ns0:c>
      <ns0:c r="F23" s="8" t="n">
        <ns0:f>IF(INDEX(Tasks[Task ID],17)="","",INDEX(Tasks[Duration],17))</ns0:f>
        <ns0:v>0</ns0:v>
      </ns0:c>
      <ns0:c r="G23" s="19" t="n">
        <ns0:f>IF(INDEX(Tasks[Task ID],17)="","",INDEX(Tasks[Progress %],17))</ns0:f>
        <ns0:v>0</ns0:v>
      </ns0:c>
      <ns0:c r="H23" s="8" t="str">
        <ns0:f>IF(INDEX(Tasks[Task ID],17)="","",INDEX('Project Tracker'!$Q$7:$Q$106,17))</ns0:f>
        <ns0:v>Not Started</ns0:v>
      </ns0:c>
      <ns0:c r="I23" s="8" t="str">
        <ns0:f>IF(INDEX(Tasks[Task ID],17)="","",INDEX(Tasks[Milestone],17))</ns0:f>
        <ns0:v>Yes</ns0:v>
      </ns0:c>
      <ns0:c r="J23" s="8" t="str">
        <ns0:f>IF(INDEX(Tasks[Task ID],17)="","",INDEX(Tasks[Schedule Health],17))</ns0:f>
        <ns0:v>On track</ns0:v>
      </ns0:c>
      <ns0:c r="K23" s="22" t="str">
        <ns0:f>IF($A23="","",IF($I23="Yes",IF(K$6=$D23,"◆",""),IF(AND(K$6&gt;=$D23,K$6&lt;=$E23),MAX(0,MIN(1,$G23*$F23-(K$6-$D23))),"")))</ns0:f>
      </ns0:c>
      <ns0:c r="L23" s="22" t="str">
        <ns0:f>IF($A23="","",IF($I23="Yes",IF(L$6=$D23,"◆",""),IF(AND(L$6&gt;=$D23,L$6&lt;=$E23),MAX(0,MIN(1,$G23*$F23-(L$6-$D23))),"")))</ns0:f>
      </ns0:c>
      <ns0:c r="M23" s="22" t="str">
        <ns0:f>IF($A23="","",IF($I23="Yes",IF(M$6=$D23,"◆",""),IF(AND(M$6&gt;=$D23,M$6&lt;=$E23),MAX(0,MIN(1,$G23*$F23-(M$6-$D23))),"")))</ns0:f>
      </ns0:c>
      <ns0:c r="N23" s="22" t="str">
        <ns0:f>IF($A23="","",IF($I23="Yes",IF(N$6=$D23,"◆",""),IF(AND(N$6&gt;=$D23,N$6&lt;=$E23),MAX(0,MIN(1,$G23*$F23-(N$6-$D23))),"")))</ns0:f>
      </ns0:c>
      <ns0:c r="O23" s="22" t="str">
        <ns0:f>IF($A23="","",IF($I23="Yes",IF(O$6=$D23,"◆",""),IF(AND(O$6&gt;=$D23,O$6&lt;=$E23),MAX(0,MIN(1,$G23*$F23-(O$6-$D23))),"")))</ns0:f>
      </ns0:c>
      <ns0:c r="P23" s="22" t="str">
        <ns0:f>IF($A23="","",IF($I23="Yes",IF(P$6=$D23,"◆",""),IF(AND(P$6&gt;=$D23,P$6&lt;=$E23),MAX(0,MIN(1,$G23*$F23-(P$6-$D23))),"")))</ns0:f>
      </ns0:c>
      <ns0:c r="Q23" s="22" t="str">
        <ns0:f>IF($A23="","",IF($I23="Yes",IF(Q$6=$D23,"◆",""),IF(AND(Q$6&gt;=$D23,Q$6&lt;=$E23),MAX(0,MIN(1,$G23*$F23-(Q$6-$D23))),"")))</ns0:f>
      </ns0:c>
      <ns0:c r="R23" s="22" t="str">
        <ns0:f>IF($A23="","",IF($I23="Yes",IF(R$6=$D23,"◆",""),IF(AND(R$6&gt;=$D23,R$6&lt;=$E23),MAX(0,MIN(1,$G23*$F23-(R$6-$D23))),"")))</ns0:f>
      </ns0:c>
      <ns0:c r="S23" s="22" t="str">
        <ns0:f>IF($A23="","",IF($I23="Yes",IF(S$6=$D23,"◆",""),IF(AND(S$6&gt;=$D23,S$6&lt;=$E23),MAX(0,MIN(1,$G23*$F23-(S$6-$D23))),"")))</ns0:f>
      </ns0:c>
      <ns0:c r="T23" s="22" t="str">
        <ns0:f>IF($A23="","",IF($I23="Yes",IF(T$6=$D23,"◆",""),IF(AND(T$6&gt;=$D23,T$6&lt;=$E23),MAX(0,MIN(1,$G23*$F23-(T$6-$D23))),"")))</ns0:f>
      </ns0:c>
      <ns0:c r="U23" s="22" t="str">
        <ns0:f>IF($A23="","",IF($I23="Yes",IF(U$6=$D23,"◆",""),IF(AND(U$6&gt;=$D23,U$6&lt;=$E23),MAX(0,MIN(1,$G23*$F23-(U$6-$D23))),"")))</ns0:f>
      </ns0:c>
      <ns0:c r="V23" s="22" t="str">
        <ns0:f>IF($A23="","",IF($I23="Yes",IF(V$6=$D23,"◆",""),IF(AND(V$6&gt;=$D23,V$6&lt;=$E23),MAX(0,MIN(1,$G23*$F23-(V$6-$D23))),"")))</ns0:f>
      </ns0:c>
      <ns0:c r="W23" s="22" t="str">
        <ns0:f>IF($A23="","",IF($I23="Yes",IF(W$6=$D23,"◆",""),IF(AND(W$6&gt;=$D23,W$6&lt;=$E23),MAX(0,MIN(1,$G23*$F23-(W$6-$D23))),"")))</ns0:f>
        <ns0:v>◆</ns0:v>
      </ns0:c>
      <ns0:c r="X23" s="22" t="str">
        <ns0:f>IF($A23="","",IF($I23="Yes",IF(X$6=$D23,"◆",""),IF(AND(X$6&gt;=$D23,X$6&lt;=$E23),MAX(0,MIN(1,$G23*$F23-(X$6-$D23))),"")))</ns0:f>
      </ns0:c>
      <ns0:c r="Y23" s="22" t="str">
        <ns0:f>IF($A23="","",IF($I23="Yes",IF(Y$6=$D23,"◆",""),IF(AND(Y$6&gt;=$D23,Y$6&lt;=$E23),MAX(0,MIN(1,$G23*$F23-(Y$6-$D23))),"")))</ns0:f>
      </ns0:c>
      <ns0:c r="Z23" s="22" t="str">
        <ns0:f>IF($A23="","",IF($I23="Yes",IF(Z$6=$D23,"◆",""),IF(AND(Z$6&gt;=$D23,Z$6&lt;=$E23),MAX(0,MIN(1,$G23*$F23-(Z$6-$D23))),"")))</ns0:f>
      </ns0:c>
      <ns0:c r="AA23" s="22" t="str">
        <ns0:f>IF($A23="","",IF($I23="Yes",IF(AA$6=$D23,"◆",""),IF(AND(AA$6&gt;=$D23,AA$6&lt;=$E23),MAX(0,MIN(1,$G23*$F23-(AA$6-$D23))),"")))</ns0:f>
      </ns0:c>
      <ns0:c r="AB23" s="22" t="str">
        <ns0:f>IF($A23="","",IF($I23="Yes",IF(AB$6=$D23,"◆",""),IF(AND(AB$6&gt;=$D23,AB$6&lt;=$E23),MAX(0,MIN(1,$G23*$F23-(AB$6-$D23))),"")))</ns0:f>
      </ns0:c>
      <ns0:c r="AC23" s="22" t="str">
        <ns0:f>IF($A23="","",IF($I23="Yes",IF(AC$6=$D23,"◆",""),IF(AND(AC$6&gt;=$D23,AC$6&lt;=$E23),MAX(0,MIN(1,$G23*$F23-(AC$6-$D23))),"")))</ns0:f>
      </ns0:c>
      <ns0:c r="AD23" s="22" t="str">
        <ns0:f>IF($A23="","",IF($I23="Yes",IF(AD$6=$D23,"◆",""),IF(AND(AD$6&gt;=$D23,AD$6&lt;=$E23),MAX(0,MIN(1,$G23*$F23-(AD$6-$D23))),"")))</ns0:f>
      </ns0:c>
      <ns0:c r="AE23" s="22" t="str">
        <ns0:f>IF($A23="","",IF($I23="Yes",IF(AE$6=$D23,"◆",""),IF(AND(AE$6&gt;=$D23,AE$6&lt;=$E23),MAX(0,MIN(1,$G23*$F23-(AE$6-$D23))),"")))</ns0:f>
      </ns0:c>
      <ns0:c r="AF23" s="22" t="str">
        <ns0:f>IF($A23="","",IF($I23="Yes",IF(AF$6=$D23,"◆",""),IF(AND(AF$6&gt;=$D23,AF$6&lt;=$E23),MAX(0,MIN(1,$G23*$F23-(AF$6-$D23))),"")))</ns0:f>
      </ns0:c>
      <ns0:c r="AG23" s="22" t="str">
        <ns0:f>IF($A23="","",IF($I23="Yes",IF(AG$6=$D23,"◆",""),IF(AND(AG$6&gt;=$D23,AG$6&lt;=$E23),MAX(0,MIN(1,$G23*$F23-(AG$6-$D23))),"")))</ns0:f>
      </ns0:c>
      <ns0:c r="AH23" s="22" t="str">
        <ns0:f>IF($A23="","",IF($I23="Yes",IF(AH$6=$D23,"◆",""),IF(AND(AH$6&gt;=$D23,AH$6&lt;=$E23),MAX(0,MIN(1,$G23*$F23-(AH$6-$D23))),"")))</ns0:f>
      </ns0:c>
      <ns0:c r="AI23" s="22" t="str">
        <ns0:f>IF($A23="","",IF($I23="Yes",IF(AI$6=$D23,"◆",""),IF(AND(AI$6&gt;=$D23,AI$6&lt;=$E23),MAX(0,MIN(1,$G23*$F23-(AI$6-$D23))),"")))</ns0:f>
      </ns0:c>
      <ns0:c r="AJ23" s="22" t="str">
        <ns0:f>IF($A23="","",IF($I23="Yes",IF(AJ$6=$D23,"◆",""),IF(AND(AJ$6&gt;=$D23,AJ$6&lt;=$E23),MAX(0,MIN(1,$G23*$F23-(AJ$6-$D23))),"")))</ns0:f>
      </ns0:c>
      <ns0:c r="AK23" s="22" t="str">
        <ns0:f>IF($A23="","",IF($I23="Yes",IF(AK$6=$D23,"◆",""),IF(AND(AK$6&gt;=$D23,AK$6&lt;=$E23),MAX(0,MIN(1,$G23*$F23-(AK$6-$D23))),"")))</ns0:f>
      </ns0:c>
      <ns0:c r="AL23" s="22" t="str">
        <ns0:f>IF($A23="","",IF($I23="Yes",IF(AL$6=$D23,"◆",""),IF(AND(AL$6&gt;=$D23,AL$6&lt;=$E23),MAX(0,MIN(1,$G23*$F23-(AL$6-$D23))),"")))</ns0:f>
      </ns0:c>
      <ns0:c r="AM23" s="22" t="str">
        <ns0:f>IF($A23="","",IF($I23="Yes",IF(AM$6=$D23,"◆",""),IF(AND(AM$6&gt;=$D23,AM$6&lt;=$E23),MAX(0,MIN(1,$G23*$F23-(AM$6-$D23))),"")))</ns0:f>
      </ns0:c>
      <ns0:c r="AN23" s="22" t="str">
        <ns0:f>IF($A23="","",IF($I23="Yes",IF(AN$6=$D23,"◆",""),IF(AND(AN$6&gt;=$D23,AN$6&lt;=$E23),MAX(0,MIN(1,$G23*$F23-(AN$6-$D23))),"")))</ns0:f>
      </ns0:c>
      <ns0:c r="AO23" s="22" t="str">
        <ns0:f>IF($A23="","",IF($I23="Yes",IF(AO$6=$D23,"◆",""),IF(AND(AO$6&gt;=$D23,AO$6&lt;=$E23),MAX(0,MIN(1,$G23*$F23-(AO$6-$D23))),"")))</ns0:f>
      </ns0:c>
      <ns0:c r="AP23" s="22" t="str">
        <ns0:f>IF($A23="","",IF($I23="Yes",IF(AP$6=$D23,"◆",""),IF(AND(AP$6&gt;=$D23,AP$6&lt;=$E23),MAX(0,MIN(1,$G23*$F23-(AP$6-$D23))),"")))</ns0:f>
      </ns0:c>
      <ns0:c r="AQ23" s="22" t="str">
        <ns0:f>IF($A23="","",IF($I23="Yes",IF(AQ$6=$D23,"◆",""),IF(AND(AQ$6&gt;=$D23,AQ$6&lt;=$E23),MAX(0,MIN(1,$G23*$F23-(AQ$6-$D23))),"")))</ns0:f>
      </ns0:c>
      <ns0:c r="AR23" s="22" t="str">
        <ns0:f>IF($A23="","",IF($I23="Yes",IF(AR$6=$D23,"◆",""),IF(AND(AR$6&gt;=$D23,AR$6&lt;=$E23),MAX(0,MIN(1,$G23*$F23-(AR$6-$D23))),"")))</ns0:f>
      </ns0:c>
    </ns0:row>
    <ns0:row r="24" ht="48" customHeight="1">
      <ns0:c r="A24" s="8" t="str">
        <ns0:f>IF(INDEX(Tasks[Task ID],18)="","",INDEX(Tasks[Task ID],18))</ns0:f>
        <ns0:v>T15</ns0:v>
      </ns0:c>
      <ns0:c r="B24" s="8" t="str">
        <ns0:f>IF(INDEX(Tasks[Task ID],18)="","",INDEX(Tasks[Phase],18))</ns0:f>
        <ns0:v>Intelligence &amp; assets</ns0:v>
      </ns0:c>
      <ns0:c r="C24" s="8" t="str">
        <ns0:f>IF(INDEX(Tasks[Task ID],18)="","",INDEX(Tasks[Task Name],18))</ns0:f>
        <ns0:v>Configure Intelligence Engine context assembly &amp; brand persona layer</ns0:v>
      </ns0:c>
      <ns0:c r="D24" s="18" t="n">
        <ns0:f>IF(INDEX(Tasks[Task ID],18)="","",INDEX(Tasks[Start Date],18))</ns0:f>
        <ns0:v>46284</ns0:v>
      </ns0:c>
      <ns0:c r="E24" s="18" t="n">
        <ns0:f>IF(INDEX(Tasks[Task ID],18)="","",INDEX(Tasks[End Date],18))</ns0:f>
        <ns0:v>46284</ns0:v>
      </ns0:c>
      <ns0:c r="F24" s="8" t="n">
        <ns0:f>IF(INDEX(Tasks[Task ID],18)="","",INDEX(Tasks[Duration],18))</ns0:f>
        <ns0:v>1</ns0:v>
      </ns0:c>
      <ns0:c r="G24" s="19" t="n">
        <ns0:f>IF(INDEX(Tasks[Task ID],18)="","",INDEX(Tasks[Progress %],18))</ns0:f>
        <ns0:v>0</ns0:v>
      </ns0:c>
      <ns0:c r="H24" s="8" t="str">
        <ns0:f>IF(INDEX(Tasks[Task ID],18)="","",INDEX('Project Tracker'!$Q$7:$Q$106,18))</ns0:f>
        <ns0:v>Not Started</ns0:v>
      </ns0:c>
      <ns0:c r="I24" s="8" t="str">
        <ns0:f>IF(INDEX(Tasks[Task ID],18)="","",INDEX(Tasks[Milestone],18))</ns0:f>
        <ns0:v>No</ns0:v>
      </ns0:c>
      <ns0:c r="J24" s="8" t="str">
        <ns0:f>IF(INDEX(Tasks[Task ID],18)="","",INDEX(Tasks[Schedule Health],18))</ns0:f>
        <ns0:v>On track</ns0:v>
      </ns0:c>
      <ns0:c r="K24" s="22" t="str">
        <ns0:f>IF($A24="","",IF($I24="Yes",IF(K$6=$D24,"◆",""),IF(AND(K$6&gt;=$D24,K$6&lt;=$E24),MAX(0,MIN(1,$G24*$F24-(K$6-$D24))),"")))</ns0:f>
      </ns0:c>
      <ns0:c r="L24" s="22" t="str">
        <ns0:f>IF($A24="","",IF($I24="Yes",IF(L$6=$D24,"◆",""),IF(AND(L$6&gt;=$D24,L$6&lt;=$E24),MAX(0,MIN(1,$G24*$F24-(L$6-$D24))),"")))</ns0:f>
      </ns0:c>
      <ns0:c r="M24" s="22" t="str">
        <ns0:f>IF($A24="","",IF($I24="Yes",IF(M$6=$D24,"◆",""),IF(AND(M$6&gt;=$D24,M$6&lt;=$E24),MAX(0,MIN(1,$G24*$F24-(M$6-$D24))),"")))</ns0:f>
      </ns0:c>
      <ns0:c r="N24" s="22" t="str">
        <ns0:f>IF($A24="","",IF($I24="Yes",IF(N$6=$D24,"◆",""),IF(AND(N$6&gt;=$D24,N$6&lt;=$E24),MAX(0,MIN(1,$G24*$F24-(N$6-$D24))),"")))</ns0:f>
      </ns0:c>
      <ns0:c r="O24" s="22" t="str">
        <ns0:f>IF($A24="","",IF($I24="Yes",IF(O$6=$D24,"◆",""),IF(AND(O$6&gt;=$D24,O$6&lt;=$E24),MAX(0,MIN(1,$G24*$F24-(O$6-$D24))),"")))</ns0:f>
      </ns0:c>
      <ns0:c r="P24" s="22" t="str">
        <ns0:f>IF($A24="","",IF($I24="Yes",IF(P$6=$D24,"◆",""),IF(AND(P$6&gt;=$D24,P$6&lt;=$E24),MAX(0,MIN(1,$G24*$F24-(P$6-$D24))),"")))</ns0:f>
      </ns0:c>
      <ns0:c r="Q24" s="22" t="str">
        <ns0:f>IF($A24="","",IF($I24="Yes",IF(Q$6=$D24,"◆",""),IF(AND(Q$6&gt;=$D24,Q$6&lt;=$E24),MAX(0,MIN(1,$G24*$F24-(Q$6-$D24))),"")))</ns0:f>
      </ns0:c>
      <ns0:c r="R24" s="22" t="str">
        <ns0:f>IF($A24="","",IF($I24="Yes",IF(R$6=$D24,"◆",""),IF(AND(R$6&gt;=$D24,R$6&lt;=$E24),MAX(0,MIN(1,$G24*$F24-(R$6-$D24))),"")))</ns0:f>
      </ns0:c>
      <ns0:c r="S24" s="22" t="n">
        <ns0:f>IF($A24="","",IF($I24="Yes",IF(S$6=$D24,"◆",""),IF(AND(S$6&gt;=$D24,S$6&lt;=$E24),MAX(0,MIN(1,$G24*$F24-(S$6-$D24))),"")))</ns0:f>
        <ns0:v>0</ns0:v>
      </ns0:c>
      <ns0:c r="T24" s="22" t="str">
        <ns0:f>IF($A24="","",IF($I24="Yes",IF(T$6=$D24,"◆",""),IF(AND(T$6&gt;=$D24,T$6&lt;=$E24),MAX(0,MIN(1,$G24*$F24-(T$6-$D24))),"")))</ns0:f>
      </ns0:c>
      <ns0:c r="U24" s="22" t="str">
        <ns0:f>IF($A24="","",IF($I24="Yes",IF(U$6=$D24,"◆",""),IF(AND(U$6&gt;=$D24,U$6&lt;=$E24),MAX(0,MIN(1,$G24*$F24-(U$6-$D24))),"")))</ns0:f>
      </ns0:c>
      <ns0:c r="V24" s="22" t="str">
        <ns0:f>IF($A24="","",IF($I24="Yes",IF(V$6=$D24,"◆",""),IF(AND(V$6&gt;=$D24,V$6&lt;=$E24),MAX(0,MIN(1,$G24*$F24-(V$6-$D24))),"")))</ns0:f>
      </ns0:c>
      <ns0:c r="W24" s="22" t="str">
        <ns0:f>IF($A24="","",IF($I24="Yes",IF(W$6=$D24,"◆",""),IF(AND(W$6&gt;=$D24,W$6&lt;=$E24),MAX(0,MIN(1,$G24*$F24-(W$6-$D24))),"")))</ns0:f>
      </ns0:c>
      <ns0:c r="X24" s="22" t="str">
        <ns0:f>IF($A24="","",IF($I24="Yes",IF(X$6=$D24,"◆",""),IF(AND(X$6&gt;=$D24,X$6&lt;=$E24),MAX(0,MIN(1,$G24*$F24-(X$6-$D24))),"")))</ns0:f>
      </ns0:c>
      <ns0:c r="Y24" s="22" t="str">
        <ns0:f>IF($A24="","",IF($I24="Yes",IF(Y$6=$D24,"◆",""),IF(AND(Y$6&gt;=$D24,Y$6&lt;=$E24),MAX(0,MIN(1,$G24*$F24-(Y$6-$D24))),"")))</ns0:f>
      </ns0:c>
      <ns0:c r="Z24" s="22" t="str">
        <ns0:f>IF($A24="","",IF($I24="Yes",IF(Z$6=$D24,"◆",""),IF(AND(Z$6&gt;=$D24,Z$6&lt;=$E24),MAX(0,MIN(1,$G24*$F24-(Z$6-$D24))),"")))</ns0:f>
      </ns0:c>
      <ns0:c r="AA24" s="22" t="str">
        <ns0:f>IF($A24="","",IF($I24="Yes",IF(AA$6=$D24,"◆",""),IF(AND(AA$6&gt;=$D24,AA$6&lt;=$E24),MAX(0,MIN(1,$G24*$F24-(AA$6-$D24))),"")))</ns0:f>
      </ns0:c>
      <ns0:c r="AB24" s="22" t="str">
        <ns0:f>IF($A24="","",IF($I24="Yes",IF(AB$6=$D24,"◆",""),IF(AND(AB$6&gt;=$D24,AB$6&lt;=$E24),MAX(0,MIN(1,$G24*$F24-(AB$6-$D24))),"")))</ns0:f>
      </ns0:c>
      <ns0:c r="AC24" s="22" t="str">
        <ns0:f>IF($A24="","",IF($I24="Yes",IF(AC$6=$D24,"◆",""),IF(AND(AC$6&gt;=$D24,AC$6&lt;=$E24),MAX(0,MIN(1,$G24*$F24-(AC$6-$D24))),"")))</ns0:f>
      </ns0:c>
      <ns0:c r="AD24" s="22" t="str">
        <ns0:f>IF($A24="","",IF($I24="Yes",IF(AD$6=$D24,"◆",""),IF(AND(AD$6&gt;=$D24,AD$6&lt;=$E24),MAX(0,MIN(1,$G24*$F24-(AD$6-$D24))),"")))</ns0:f>
      </ns0:c>
      <ns0:c r="AE24" s="22" t="str">
        <ns0:f>IF($A24="","",IF($I24="Yes",IF(AE$6=$D24,"◆",""),IF(AND(AE$6&gt;=$D24,AE$6&lt;=$E24),MAX(0,MIN(1,$G24*$F24-(AE$6-$D24))),"")))</ns0:f>
      </ns0:c>
      <ns0:c r="AF24" s="22" t="str">
        <ns0:f>IF($A24="","",IF($I24="Yes",IF(AF$6=$D24,"◆",""),IF(AND(AF$6&gt;=$D24,AF$6&lt;=$E24),MAX(0,MIN(1,$G24*$F24-(AF$6-$D24))),"")))</ns0:f>
      </ns0:c>
      <ns0:c r="AG24" s="22" t="str">
        <ns0:f>IF($A24="","",IF($I24="Yes",IF(AG$6=$D24,"◆",""),IF(AND(AG$6&gt;=$D24,AG$6&lt;=$E24),MAX(0,MIN(1,$G24*$F24-(AG$6-$D24))),"")))</ns0:f>
      </ns0:c>
      <ns0:c r="AH24" s="22" t="str">
        <ns0:f>IF($A24="","",IF($I24="Yes",IF(AH$6=$D24,"◆",""),IF(AND(AH$6&gt;=$D24,AH$6&lt;=$E24),MAX(0,MIN(1,$G24*$F24-(AH$6-$D24))),"")))</ns0:f>
      </ns0:c>
      <ns0:c r="AI24" s="22" t="str">
        <ns0:f>IF($A24="","",IF($I24="Yes",IF(AI$6=$D24,"◆",""),IF(AND(AI$6&gt;=$D24,AI$6&lt;=$E24),MAX(0,MIN(1,$G24*$F24-(AI$6-$D24))),"")))</ns0:f>
      </ns0:c>
      <ns0:c r="AJ24" s="22" t="str">
        <ns0:f>IF($A24="","",IF($I24="Yes",IF(AJ$6=$D24,"◆",""),IF(AND(AJ$6&gt;=$D24,AJ$6&lt;=$E24),MAX(0,MIN(1,$G24*$F24-(AJ$6-$D24))),"")))</ns0:f>
      </ns0:c>
      <ns0:c r="AK24" s="22" t="str">
        <ns0:f>IF($A24="","",IF($I24="Yes",IF(AK$6=$D24,"◆",""),IF(AND(AK$6&gt;=$D24,AK$6&lt;=$E24),MAX(0,MIN(1,$G24*$F24-(AK$6-$D24))),"")))</ns0:f>
      </ns0:c>
      <ns0:c r="AL24" s="22" t="str">
        <ns0:f>IF($A24="","",IF($I24="Yes",IF(AL$6=$D24,"◆",""),IF(AND(AL$6&gt;=$D24,AL$6&lt;=$E24),MAX(0,MIN(1,$G24*$F24-(AL$6-$D24))),"")))</ns0:f>
      </ns0:c>
      <ns0:c r="AM24" s="22" t="str">
        <ns0:f>IF($A24="","",IF($I24="Yes",IF(AM$6=$D24,"◆",""),IF(AND(AM$6&gt;=$D24,AM$6&lt;=$E24),MAX(0,MIN(1,$G24*$F24-(AM$6-$D24))),"")))</ns0:f>
      </ns0:c>
      <ns0:c r="AN24" s="22" t="str">
        <ns0:f>IF($A24="","",IF($I24="Yes",IF(AN$6=$D24,"◆",""),IF(AND(AN$6&gt;=$D24,AN$6&lt;=$E24),MAX(0,MIN(1,$G24*$F24-(AN$6-$D24))),"")))</ns0:f>
      </ns0:c>
      <ns0:c r="AO24" s="22" t="str">
        <ns0:f>IF($A24="","",IF($I24="Yes",IF(AO$6=$D24,"◆",""),IF(AND(AO$6&gt;=$D24,AO$6&lt;=$E24),MAX(0,MIN(1,$G24*$F24-(AO$6-$D24))),"")))</ns0:f>
      </ns0:c>
      <ns0:c r="AP24" s="22" t="str">
        <ns0:f>IF($A24="","",IF($I24="Yes",IF(AP$6=$D24,"◆",""),IF(AND(AP$6&gt;=$D24,AP$6&lt;=$E24),MAX(0,MIN(1,$G24*$F24-(AP$6-$D24))),"")))</ns0:f>
      </ns0:c>
      <ns0:c r="AQ24" s="22" t="str">
        <ns0:f>IF($A24="","",IF($I24="Yes",IF(AQ$6=$D24,"◆",""),IF(AND(AQ$6&gt;=$D24,AQ$6&lt;=$E24),MAX(0,MIN(1,$G24*$F24-(AQ$6-$D24))),"")))</ns0:f>
      </ns0:c>
      <ns0:c r="AR24" s="22" t="str">
        <ns0:f>IF($A24="","",IF($I24="Yes",IF(AR$6=$D24,"◆",""),IF(AND(AR$6&gt;=$D24,AR$6&lt;=$E24),MAX(0,MIN(1,$G24*$F24-(AR$6-$D24))),"")))</ns0:f>
      </ns0:c>
    </ns0:row>
    <ns0:row r="25" ht="48" customHeight="1">
      <ns0:c r="A25" s="8" t="str">
        <ns0:f>IF(INDEX(Tasks[Task ID],19)="","",INDEX(Tasks[Task ID],19))</ns0:f>
        <ns0:v>T16</ns0:v>
      </ns0:c>
      <ns0:c r="B25" s="8" t="str">
        <ns0:f>IF(INDEX(Tasks[Task ID],19)="","",INDEX(Tasks[Phase],19))</ns0:f>
        <ns0:v>Intelligence &amp; assets</ns0:v>
      </ns0:c>
      <ns0:c r="C25" s="8" t="str">
        <ns0:f>IF(INDEX(Tasks[Task ID],19)="","",INDEX(Tasks[Task Name],19))</ns0:f>
        <ns0:v>Ingest &amp; verify product formulations and compliance dossiers (W_PROD)</ns0:v>
      </ns0:c>
      <ns0:c r="D25" s="18" t="n">
        <ns0:f>IF(INDEX(Tasks[Task ID],19)="","",INDEX(Tasks[Start Date],19))</ns0:f>
        <ns0:v>46285</ns0:v>
      </ns0:c>
      <ns0:c r="E25" s="18" t="n">
        <ns0:f>IF(INDEX(Tasks[Task ID],19)="","",INDEX(Tasks[End Date],19))</ns0:f>
        <ns0:v>46286</ns0:v>
      </ns0:c>
      <ns0:c r="F25" s="8" t="n">
        <ns0:f>IF(INDEX(Tasks[Task ID],19)="","",INDEX(Tasks[Duration],19))</ns0:f>
        <ns0:v>2</ns0:v>
      </ns0:c>
      <ns0:c r="G25" s="19" t="n">
        <ns0:f>IF(INDEX(Tasks[Task ID],19)="","",INDEX(Tasks[Progress %],19))</ns0:f>
        <ns0:v>0</ns0:v>
      </ns0:c>
      <ns0:c r="H25" s="8" t="str">
        <ns0:f>IF(INDEX(Tasks[Task ID],19)="","",INDEX('Project Tracker'!$Q$7:$Q$106,19))</ns0:f>
        <ns0:v>Not Started</ns0:v>
      </ns0:c>
      <ns0:c r="I25" s="8" t="str">
        <ns0:f>IF(INDEX(Tasks[Task ID],19)="","",INDEX(Tasks[Milestone],19))</ns0:f>
        <ns0:v>No</ns0:v>
      </ns0:c>
      <ns0:c r="J25" s="8" t="str">
        <ns0:f>IF(INDEX(Tasks[Task ID],19)="","",INDEX(Tasks[Schedule Health],19))</ns0:f>
        <ns0:v>On track</ns0:v>
      </ns0:c>
      <ns0:c r="K25" s="22" t="str">
        <ns0:f>IF($A25="","",IF($I25="Yes",IF(K$6=$D25,"◆",""),IF(AND(K$6&gt;=$D25,K$6&lt;=$E25),MAX(0,MIN(1,$G25*$F25-(K$6-$D25))),"")))</ns0:f>
      </ns0:c>
      <ns0:c r="L25" s="22" t="str">
        <ns0:f>IF($A25="","",IF($I25="Yes",IF(L$6=$D25,"◆",""),IF(AND(L$6&gt;=$D25,L$6&lt;=$E25),MAX(0,MIN(1,$G25*$F25-(L$6-$D25))),"")))</ns0:f>
      </ns0:c>
      <ns0:c r="M25" s="22" t="str">
        <ns0:f>IF($A25="","",IF($I25="Yes",IF(M$6=$D25,"◆",""),IF(AND(M$6&gt;=$D25,M$6&lt;=$E25),MAX(0,MIN(1,$G25*$F25-(M$6-$D25))),"")))</ns0:f>
      </ns0:c>
      <ns0:c r="N25" s="22" t="str">
        <ns0:f>IF($A25="","",IF($I25="Yes",IF(N$6=$D25,"◆",""),IF(AND(N$6&gt;=$D25,N$6&lt;=$E25),MAX(0,MIN(1,$G25*$F25-(N$6-$D25))),"")))</ns0:f>
      </ns0:c>
      <ns0:c r="O25" s="22" t="str">
        <ns0:f>IF($A25="","",IF($I25="Yes",IF(O$6=$D25,"◆",""),IF(AND(O$6&gt;=$D25,O$6&lt;=$E25),MAX(0,MIN(1,$G25*$F25-(O$6-$D25))),"")))</ns0:f>
      </ns0:c>
      <ns0:c r="P25" s="22" t="str">
        <ns0:f>IF($A25="","",IF($I25="Yes",IF(P$6=$D25,"◆",""),IF(AND(P$6&gt;=$D25,P$6&lt;=$E25),MAX(0,MIN(1,$G25*$F25-(P$6-$D25))),"")))</ns0:f>
      </ns0:c>
      <ns0:c r="Q25" s="22" t="str">
        <ns0:f>IF($A25="","",IF($I25="Yes",IF(Q$6=$D25,"◆",""),IF(AND(Q$6&gt;=$D25,Q$6&lt;=$E25),MAX(0,MIN(1,$G25*$F25-(Q$6-$D25))),"")))</ns0:f>
      </ns0:c>
      <ns0:c r="R25" s="22" t="str">
        <ns0:f>IF($A25="","",IF($I25="Yes",IF(R$6=$D25,"◆",""),IF(AND(R$6&gt;=$D25,R$6&lt;=$E25),MAX(0,MIN(1,$G25*$F25-(R$6-$D25))),"")))</ns0:f>
      </ns0:c>
      <ns0:c r="S25" s="22" t="str">
        <ns0:f>IF($A25="","",IF($I25="Yes",IF(S$6=$D25,"◆",""),IF(AND(S$6&gt;=$D25,S$6&lt;=$E25),MAX(0,MIN(1,$G25*$F25-(S$6-$D25))),"")))</ns0:f>
      </ns0:c>
      <ns0:c r="T25" s="22" t="n">
        <ns0:f>IF($A25="","",IF($I25="Yes",IF(T$6=$D25,"◆",""),IF(AND(T$6&gt;=$D25,T$6&lt;=$E25),MAX(0,MIN(1,$G25*$F25-(T$6-$D25))),"")))</ns0:f>
        <ns0:v>0</ns0:v>
      </ns0:c>
      <ns0:c r="U25" s="22" t="n">
        <ns0:f>IF($A25="","",IF($I25="Yes",IF(U$6=$D25,"◆",""),IF(AND(U$6&gt;=$D25,U$6&lt;=$E25),MAX(0,MIN(1,$G25*$F25-(U$6-$D25))),"")))</ns0:f>
        <ns0:v>0</ns0:v>
      </ns0:c>
      <ns0:c r="V25" s="22" t="str">
        <ns0:f>IF($A25="","",IF($I25="Yes",IF(V$6=$D25,"◆",""),IF(AND(V$6&gt;=$D25,V$6&lt;=$E25),MAX(0,MIN(1,$G25*$F25-(V$6-$D25))),"")))</ns0:f>
      </ns0:c>
      <ns0:c r="W25" s="22" t="str">
        <ns0:f>IF($A25="","",IF($I25="Yes",IF(W$6=$D25,"◆",""),IF(AND(W$6&gt;=$D25,W$6&lt;=$E25),MAX(0,MIN(1,$G25*$F25-(W$6-$D25))),"")))</ns0:f>
      </ns0:c>
      <ns0:c r="X25" s="22" t="str">
        <ns0:f>IF($A25="","",IF($I25="Yes",IF(X$6=$D25,"◆",""),IF(AND(X$6&gt;=$D25,X$6&lt;=$E25),MAX(0,MIN(1,$G25*$F25-(X$6-$D25))),"")))</ns0:f>
      </ns0:c>
      <ns0:c r="Y25" s="22" t="str">
        <ns0:f>IF($A25="","",IF($I25="Yes",IF(Y$6=$D25,"◆",""),IF(AND(Y$6&gt;=$D25,Y$6&lt;=$E25),MAX(0,MIN(1,$G25*$F25-(Y$6-$D25))),"")))</ns0:f>
      </ns0:c>
      <ns0:c r="Z25" s="22" t="str">
        <ns0:f>IF($A25="","",IF($I25="Yes",IF(Z$6=$D25,"◆",""),IF(AND(Z$6&gt;=$D25,Z$6&lt;=$E25),MAX(0,MIN(1,$G25*$F25-(Z$6-$D25))),"")))</ns0:f>
      </ns0:c>
      <ns0:c r="AA25" s="22" t="str">
        <ns0:f>IF($A25="","",IF($I25="Yes",IF(AA$6=$D25,"◆",""),IF(AND(AA$6&gt;=$D25,AA$6&lt;=$E25),MAX(0,MIN(1,$G25*$F25-(AA$6-$D25))),"")))</ns0:f>
      </ns0:c>
      <ns0:c r="AB25" s="22" t="str">
        <ns0:f>IF($A25="","",IF($I25="Yes",IF(AB$6=$D25,"◆",""),IF(AND(AB$6&gt;=$D25,AB$6&lt;=$E25),MAX(0,MIN(1,$G25*$F25-(AB$6-$D25))),"")))</ns0:f>
      </ns0:c>
      <ns0:c r="AC25" s="22" t="str">
        <ns0:f>IF($A25="","",IF($I25="Yes",IF(AC$6=$D25,"◆",""),IF(AND(AC$6&gt;=$D25,AC$6&lt;=$E25),MAX(0,MIN(1,$G25*$F25-(AC$6-$D25))),"")))</ns0:f>
      </ns0:c>
      <ns0:c r="AD25" s="22" t="str">
        <ns0:f>IF($A25="","",IF($I25="Yes",IF(AD$6=$D25,"◆",""),IF(AND(AD$6&gt;=$D25,AD$6&lt;=$E25),MAX(0,MIN(1,$G25*$F25-(AD$6-$D25))),"")))</ns0:f>
      </ns0:c>
      <ns0:c r="AE25" s="22" t="str">
        <ns0:f>IF($A25="","",IF($I25="Yes",IF(AE$6=$D25,"◆",""),IF(AND(AE$6&gt;=$D25,AE$6&lt;=$E25),MAX(0,MIN(1,$G25*$F25-(AE$6-$D25))),"")))</ns0:f>
      </ns0:c>
      <ns0:c r="AF25" s="22" t="str">
        <ns0:f>IF($A25="","",IF($I25="Yes",IF(AF$6=$D25,"◆",""),IF(AND(AF$6&gt;=$D25,AF$6&lt;=$E25),MAX(0,MIN(1,$G25*$F25-(AF$6-$D25))),"")))</ns0:f>
      </ns0:c>
      <ns0:c r="AG25" s="22" t="str">
        <ns0:f>IF($A25="","",IF($I25="Yes",IF(AG$6=$D25,"◆",""),IF(AND(AG$6&gt;=$D25,AG$6&lt;=$E25),MAX(0,MIN(1,$G25*$F25-(AG$6-$D25))),"")))</ns0:f>
      </ns0:c>
      <ns0:c r="AH25" s="22" t="str">
        <ns0:f>IF($A25="","",IF($I25="Yes",IF(AH$6=$D25,"◆",""),IF(AND(AH$6&gt;=$D25,AH$6&lt;=$E25),MAX(0,MIN(1,$G25*$F25-(AH$6-$D25))),"")))</ns0:f>
      </ns0:c>
      <ns0:c r="AI25" s="22" t="str">
        <ns0:f>IF($A25="","",IF($I25="Yes",IF(AI$6=$D25,"◆",""),IF(AND(AI$6&gt;=$D25,AI$6&lt;=$E25),MAX(0,MIN(1,$G25*$F25-(AI$6-$D25))),"")))</ns0:f>
      </ns0:c>
      <ns0:c r="AJ25" s="22" t="str">
        <ns0:f>IF($A25="","",IF($I25="Yes",IF(AJ$6=$D25,"◆",""),IF(AND(AJ$6&gt;=$D25,AJ$6&lt;=$E25),MAX(0,MIN(1,$G25*$F25-(AJ$6-$D25))),"")))</ns0:f>
      </ns0:c>
      <ns0:c r="AK25" s="22" t="str">
        <ns0:f>IF($A25="","",IF($I25="Yes",IF(AK$6=$D25,"◆",""),IF(AND(AK$6&gt;=$D25,AK$6&lt;=$E25),MAX(0,MIN(1,$G25*$F25-(AK$6-$D25))),"")))</ns0:f>
      </ns0:c>
      <ns0:c r="AL25" s="22" t="str">
        <ns0:f>IF($A25="","",IF($I25="Yes",IF(AL$6=$D25,"◆",""),IF(AND(AL$6&gt;=$D25,AL$6&lt;=$E25),MAX(0,MIN(1,$G25*$F25-(AL$6-$D25))),"")))</ns0:f>
      </ns0:c>
      <ns0:c r="AM25" s="22" t="str">
        <ns0:f>IF($A25="","",IF($I25="Yes",IF(AM$6=$D25,"◆",""),IF(AND(AM$6&gt;=$D25,AM$6&lt;=$E25),MAX(0,MIN(1,$G25*$F25-(AM$6-$D25))),"")))</ns0:f>
      </ns0:c>
      <ns0:c r="AN25" s="22" t="str">
        <ns0:f>IF($A25="","",IF($I25="Yes",IF(AN$6=$D25,"◆",""),IF(AND(AN$6&gt;=$D25,AN$6&lt;=$E25),MAX(0,MIN(1,$G25*$F25-(AN$6-$D25))),"")))</ns0:f>
      </ns0:c>
      <ns0:c r="AO25" s="22" t="str">
        <ns0:f>IF($A25="","",IF($I25="Yes",IF(AO$6=$D25,"◆",""),IF(AND(AO$6&gt;=$D25,AO$6&lt;=$E25),MAX(0,MIN(1,$G25*$F25-(AO$6-$D25))),"")))</ns0:f>
      </ns0:c>
      <ns0:c r="AP25" s="22" t="str">
        <ns0:f>IF($A25="","",IF($I25="Yes",IF(AP$6=$D25,"◆",""),IF(AND(AP$6&gt;=$D25,AP$6&lt;=$E25),MAX(0,MIN(1,$G25*$F25-(AP$6-$D25))),"")))</ns0:f>
      </ns0:c>
      <ns0:c r="AQ25" s="22" t="str">
        <ns0:f>IF($A25="","",IF($I25="Yes",IF(AQ$6=$D25,"◆",""),IF(AND(AQ$6&gt;=$D25,AQ$6&lt;=$E25),MAX(0,MIN(1,$G25*$F25-(AQ$6-$D25))),"")))</ns0:f>
      </ns0:c>
      <ns0:c r="AR25" s="22" t="str">
        <ns0:f>IF($A25="","",IF($I25="Yes",IF(AR$6=$D25,"◆",""),IF(AND(AR$6&gt;=$D25,AR$6&lt;=$E25),MAX(0,MIN(1,$G25*$F25-(AR$6-$D25))),"")))</ns0:f>
      </ns0:c>
    </ns0:row>
    <ns0:row r="26" ht="48" customHeight="1">
      <ns0:c r="A26" s="8" t="str">
        <ns0:f>IF(INDEX(Tasks[Task ID],20)="","",INDEX(Tasks[Task ID],20))</ns0:f>
        <ns0:v>T17</ns0:v>
      </ns0:c>
      <ns0:c r="B26" s="8" t="str">
        <ns0:f>IF(INDEX(Tasks[Task ID],20)="","",INDEX(Tasks[Phase],20))</ns0:f>
        <ns0:v>Intelligence &amp; assets</ns0:v>
      </ns0:c>
      <ns0:c r="C26" s="8" t="str">
        <ns0:f>IF(INDEX(Tasks[Task ID],20)="","",INDEX(Tasks[Task Name],20))</ns0:f>
        <ns0:v>Ingest &amp; parse customer support tickets and review sentiment (W_VOICE)</ns0:v>
      </ns0:c>
      <ns0:c r="D26" s="18" t="n">
        <ns0:f>IF(INDEX(Tasks[Task ID],20)="","",INDEX(Tasks[Start Date],20))</ns0:f>
        <ns0:v>46285</ns0:v>
      </ns0:c>
      <ns0:c r="E26" s="18" t="n">
        <ns0:f>IF(INDEX(Tasks[Task ID],20)="","",INDEX(Tasks[End Date],20))</ns0:f>
        <ns0:v>46286</ns0:v>
      </ns0:c>
      <ns0:c r="F26" s="8" t="n">
        <ns0:f>IF(INDEX(Tasks[Task ID],20)="","",INDEX(Tasks[Duration],20))</ns0:f>
        <ns0:v>2</ns0:v>
      </ns0:c>
      <ns0:c r="G26" s="19" t="n">
        <ns0:f>IF(INDEX(Tasks[Task ID],20)="","",INDEX(Tasks[Progress %],20))</ns0:f>
        <ns0:v>0</ns0:v>
      </ns0:c>
      <ns0:c r="H26" s="8" t="str">
        <ns0:f>IF(INDEX(Tasks[Task ID],20)="","",INDEX('Project Tracker'!$Q$7:$Q$106,20))</ns0:f>
        <ns0:v>Not Started</ns0:v>
      </ns0:c>
      <ns0:c r="I26" s="8" t="str">
        <ns0:f>IF(INDEX(Tasks[Task ID],20)="","",INDEX(Tasks[Milestone],20))</ns0:f>
        <ns0:v>No</ns0:v>
      </ns0:c>
      <ns0:c r="J26" s="8" t="str">
        <ns0:f>IF(INDEX(Tasks[Task ID],20)="","",INDEX(Tasks[Schedule Health],20))</ns0:f>
        <ns0:v>On track</ns0:v>
      </ns0:c>
      <ns0:c r="K26" s="22" t="str">
        <ns0:f>IF($A26="","",IF($I26="Yes",IF(K$6=$D26,"◆",""),IF(AND(K$6&gt;=$D26,K$6&lt;=$E26),MAX(0,MIN(1,$G26*$F26-(K$6-$D26))),"")))</ns0:f>
      </ns0:c>
      <ns0:c r="L26" s="22" t="str">
        <ns0:f>IF($A26="","",IF($I26="Yes",IF(L$6=$D26,"◆",""),IF(AND(L$6&gt;=$D26,L$6&lt;=$E26),MAX(0,MIN(1,$G26*$F26-(L$6-$D26))),"")))</ns0:f>
      </ns0:c>
      <ns0:c r="M26" s="22" t="str">
        <ns0:f>IF($A26="","",IF($I26="Yes",IF(M$6=$D26,"◆",""),IF(AND(M$6&gt;=$D26,M$6&lt;=$E26),MAX(0,MIN(1,$G26*$F26-(M$6-$D26))),"")))</ns0:f>
      </ns0:c>
      <ns0:c r="N26" s="22" t="str">
        <ns0:f>IF($A26="","",IF($I26="Yes",IF(N$6=$D26,"◆",""),IF(AND(N$6&gt;=$D26,N$6&lt;=$E26),MAX(0,MIN(1,$G26*$F26-(N$6-$D26))),"")))</ns0:f>
      </ns0:c>
      <ns0:c r="O26" s="22" t="str">
        <ns0:f>IF($A26="","",IF($I26="Yes",IF(O$6=$D26,"◆",""),IF(AND(O$6&gt;=$D26,O$6&lt;=$E26),MAX(0,MIN(1,$G26*$F26-(O$6-$D26))),"")))</ns0:f>
      </ns0:c>
      <ns0:c r="P26" s="22" t="str">
        <ns0:f>IF($A26="","",IF($I26="Yes",IF(P$6=$D26,"◆",""),IF(AND(P$6&gt;=$D26,P$6&lt;=$E26),MAX(0,MIN(1,$G26*$F26-(P$6-$D26))),"")))</ns0:f>
      </ns0:c>
      <ns0:c r="Q26" s="22" t="str">
        <ns0:f>IF($A26="","",IF($I26="Yes",IF(Q$6=$D26,"◆",""),IF(AND(Q$6&gt;=$D26,Q$6&lt;=$E26),MAX(0,MIN(1,$G26*$F26-(Q$6-$D26))),"")))</ns0:f>
      </ns0:c>
      <ns0:c r="R26" s="22" t="str">
        <ns0:f>IF($A26="","",IF($I26="Yes",IF(R$6=$D26,"◆",""),IF(AND(R$6&gt;=$D26,R$6&lt;=$E26),MAX(0,MIN(1,$G26*$F26-(R$6-$D26))),"")))</ns0:f>
      </ns0:c>
      <ns0:c r="S26" s="22" t="str">
        <ns0:f>IF($A26="","",IF($I26="Yes",IF(S$6=$D26,"◆",""),IF(AND(S$6&gt;=$D26,S$6&lt;=$E26),MAX(0,MIN(1,$G26*$F26-(S$6-$D26))),"")))</ns0:f>
      </ns0:c>
      <ns0:c r="T26" s="22" t="n">
        <ns0:f>IF($A26="","",IF($I26="Yes",IF(T$6=$D26,"◆",""),IF(AND(T$6&gt;=$D26,T$6&lt;=$E26),MAX(0,MIN(1,$G26*$F26-(T$6-$D26))),"")))</ns0:f>
        <ns0:v>0</ns0:v>
      </ns0:c>
      <ns0:c r="U26" s="22" t="n">
        <ns0:f>IF($A26="","",IF($I26="Yes",IF(U$6=$D26,"◆",""),IF(AND(U$6&gt;=$D26,U$6&lt;=$E26),MAX(0,MIN(1,$G26*$F26-(U$6-$D26))),"")))</ns0:f>
        <ns0:v>0</ns0:v>
      </ns0:c>
      <ns0:c r="V26" s="22" t="str">
        <ns0:f>IF($A26="","",IF($I26="Yes",IF(V$6=$D26,"◆",""),IF(AND(V$6&gt;=$D26,V$6&lt;=$E26),MAX(0,MIN(1,$G26*$F26-(V$6-$D26))),"")))</ns0:f>
      </ns0:c>
      <ns0:c r="W26" s="22" t="str">
        <ns0:f>IF($A26="","",IF($I26="Yes",IF(W$6=$D26,"◆",""),IF(AND(W$6&gt;=$D26,W$6&lt;=$E26),MAX(0,MIN(1,$G26*$F26-(W$6-$D26))),"")))</ns0:f>
      </ns0:c>
      <ns0:c r="X26" s="22" t="str">
        <ns0:f>IF($A26="","",IF($I26="Yes",IF(X$6=$D26,"◆",""),IF(AND(X$6&gt;=$D26,X$6&lt;=$E26),MAX(0,MIN(1,$G26*$F26-(X$6-$D26))),"")))</ns0:f>
      </ns0:c>
      <ns0:c r="Y26" s="22" t="str">
        <ns0:f>IF($A26="","",IF($I26="Yes",IF(Y$6=$D26,"◆",""),IF(AND(Y$6&gt;=$D26,Y$6&lt;=$E26),MAX(0,MIN(1,$G26*$F26-(Y$6-$D26))),"")))</ns0:f>
      </ns0:c>
      <ns0:c r="Z26" s="22" t="str">
        <ns0:f>IF($A26="","",IF($I26="Yes",IF(Z$6=$D26,"◆",""),IF(AND(Z$6&gt;=$D26,Z$6&lt;=$E26),MAX(0,MIN(1,$G26*$F26-(Z$6-$D26))),"")))</ns0:f>
      </ns0:c>
      <ns0:c r="AA26" s="22" t="str">
        <ns0:f>IF($A26="","",IF($I26="Yes",IF(AA$6=$D26,"◆",""),IF(AND(AA$6&gt;=$D26,AA$6&lt;=$E26),MAX(0,MIN(1,$G26*$F26-(AA$6-$D26))),"")))</ns0:f>
      </ns0:c>
      <ns0:c r="AB26" s="22" t="str">
        <ns0:f>IF($A26="","",IF($I26="Yes",IF(AB$6=$D26,"◆",""),IF(AND(AB$6&gt;=$D26,AB$6&lt;=$E26),MAX(0,MIN(1,$G26*$F26-(AB$6-$D26))),"")))</ns0:f>
      </ns0:c>
      <ns0:c r="AC26" s="22" t="str">
        <ns0:f>IF($A26="","",IF($I26="Yes",IF(AC$6=$D26,"◆",""),IF(AND(AC$6&gt;=$D26,AC$6&lt;=$E26),MAX(0,MIN(1,$G26*$F26-(AC$6-$D26))),"")))</ns0:f>
      </ns0:c>
      <ns0:c r="AD26" s="22" t="str">
        <ns0:f>IF($A26="","",IF($I26="Yes",IF(AD$6=$D26,"◆",""),IF(AND(AD$6&gt;=$D26,AD$6&lt;=$E26),MAX(0,MIN(1,$G26*$F26-(AD$6-$D26))),"")))</ns0:f>
      </ns0:c>
      <ns0:c r="AE26" s="22" t="str">
        <ns0:f>IF($A26="","",IF($I26="Yes",IF(AE$6=$D26,"◆",""),IF(AND(AE$6&gt;=$D26,AE$6&lt;=$E26),MAX(0,MIN(1,$G26*$F26-(AE$6-$D26))),"")))</ns0:f>
      </ns0:c>
      <ns0:c r="AF26" s="22" t="str">
        <ns0:f>IF($A26="","",IF($I26="Yes",IF(AF$6=$D26,"◆",""),IF(AND(AF$6&gt;=$D26,AF$6&lt;=$E26),MAX(0,MIN(1,$G26*$F26-(AF$6-$D26))),"")))</ns0:f>
      </ns0:c>
      <ns0:c r="AG26" s="22" t="str">
        <ns0:f>IF($A26="","",IF($I26="Yes",IF(AG$6=$D26,"◆",""),IF(AND(AG$6&gt;=$D26,AG$6&lt;=$E26),MAX(0,MIN(1,$G26*$F26-(AG$6-$D26))),"")))</ns0:f>
      </ns0:c>
      <ns0:c r="AH26" s="22" t="str">
        <ns0:f>IF($A26="","",IF($I26="Yes",IF(AH$6=$D26,"◆",""),IF(AND(AH$6&gt;=$D26,AH$6&lt;=$E26),MAX(0,MIN(1,$G26*$F26-(AH$6-$D26))),"")))</ns0:f>
      </ns0:c>
      <ns0:c r="AI26" s="22" t="str">
        <ns0:f>IF($A26="","",IF($I26="Yes",IF(AI$6=$D26,"◆",""),IF(AND(AI$6&gt;=$D26,AI$6&lt;=$E26),MAX(0,MIN(1,$G26*$F26-(AI$6-$D26))),"")))</ns0:f>
      </ns0:c>
      <ns0:c r="AJ26" s="22" t="str">
        <ns0:f>IF($A26="","",IF($I26="Yes",IF(AJ$6=$D26,"◆",""),IF(AND(AJ$6&gt;=$D26,AJ$6&lt;=$E26),MAX(0,MIN(1,$G26*$F26-(AJ$6-$D26))),"")))</ns0:f>
      </ns0:c>
      <ns0:c r="AK26" s="22" t="str">
        <ns0:f>IF($A26="","",IF($I26="Yes",IF(AK$6=$D26,"◆",""),IF(AND(AK$6&gt;=$D26,AK$6&lt;=$E26),MAX(0,MIN(1,$G26*$F26-(AK$6-$D26))),"")))</ns0:f>
      </ns0:c>
      <ns0:c r="AL26" s="22" t="str">
        <ns0:f>IF($A26="","",IF($I26="Yes",IF(AL$6=$D26,"◆",""),IF(AND(AL$6&gt;=$D26,AL$6&lt;=$E26),MAX(0,MIN(1,$G26*$F26-(AL$6-$D26))),"")))</ns0:f>
      </ns0:c>
      <ns0:c r="AM26" s="22" t="str">
        <ns0:f>IF($A26="","",IF($I26="Yes",IF(AM$6=$D26,"◆",""),IF(AND(AM$6&gt;=$D26,AM$6&lt;=$E26),MAX(0,MIN(1,$G26*$F26-(AM$6-$D26))),"")))</ns0:f>
      </ns0:c>
      <ns0:c r="AN26" s="22" t="str">
        <ns0:f>IF($A26="","",IF($I26="Yes",IF(AN$6=$D26,"◆",""),IF(AND(AN$6&gt;=$D26,AN$6&lt;=$E26),MAX(0,MIN(1,$G26*$F26-(AN$6-$D26))),"")))</ns0:f>
      </ns0:c>
      <ns0:c r="AO26" s="22" t="str">
        <ns0:f>IF($A26="","",IF($I26="Yes",IF(AO$6=$D26,"◆",""),IF(AND(AO$6&gt;=$D26,AO$6&lt;=$E26),MAX(0,MIN(1,$G26*$F26-(AO$6-$D26))),"")))</ns0:f>
      </ns0:c>
      <ns0:c r="AP26" s="22" t="str">
        <ns0:f>IF($A26="","",IF($I26="Yes",IF(AP$6=$D26,"◆",""),IF(AND(AP$6&gt;=$D26,AP$6&lt;=$E26),MAX(0,MIN(1,$G26*$F26-(AP$6-$D26))),"")))</ns0:f>
      </ns0:c>
      <ns0:c r="AQ26" s="22" t="str">
        <ns0:f>IF($A26="","",IF($I26="Yes",IF(AQ$6=$D26,"◆",""),IF(AND(AQ$6&gt;=$D26,AQ$6&lt;=$E26),MAX(0,MIN(1,$G26*$F26-(AQ$6-$D26))),"")))</ns0:f>
      </ns0:c>
      <ns0:c r="AR26" s="22" t="str">
        <ns0:f>IF($A26="","",IF($I26="Yes",IF(AR$6=$D26,"◆",""),IF(AND(AR$6&gt;=$D26,AR$6&lt;=$E26),MAX(0,MIN(1,$G26*$F26-(AR$6-$D26))),"")))</ns0:f>
      </ns0:c>
    </ns0:row>
    <ns0:row r="27" ht="48" customHeight="1">
      <ns0:c r="A27" s="8" t="str">
        <ns0:f>IF(INDEX(Tasks[Task ID],21)="","",INDEX(Tasks[Task ID],21))</ns0:f>
        <ns0:v>T18</ns0:v>
      </ns0:c>
      <ns0:c r="B27" s="8" t="str">
        <ns0:f>IF(INDEX(Tasks[Task ID],21)="","",INDEX(Tasks[Phase],21))</ns0:f>
        <ns0:v>Intelligence &amp; assets</ns0:v>
      </ns0:c>
      <ns0:c r="C27" s="8" t="str">
        <ns0:f>IF(INDEX(Tasks[Task ID],21)="","",INDEX(Tasks[Task Name],21))</ns0:f>
        <ns0:v>Scrape competitor ad libraries, pricing, and market positioning (W_COMP)</ns0:v>
      </ns0:c>
      <ns0:c r="D27" s="18" t="n">
        <ns0:f>IF(INDEX(Tasks[Task ID],21)="","",INDEX(Tasks[Start Date],21))</ns0:f>
        <ns0:v>46285</ns0:v>
      </ns0:c>
      <ns0:c r="E27" s="18" t="n">
        <ns0:f>IF(INDEX(Tasks[Task ID],21)="","",INDEX(Tasks[End Date],21))</ns0:f>
        <ns0:v>46286</ns0:v>
      </ns0:c>
      <ns0:c r="F27" s="8" t="n">
        <ns0:f>IF(INDEX(Tasks[Task ID],21)="","",INDEX(Tasks[Duration],21))</ns0:f>
        <ns0:v>2</ns0:v>
      </ns0:c>
      <ns0:c r="G27" s="19" t="n">
        <ns0:f>IF(INDEX(Tasks[Task ID],21)="","",INDEX(Tasks[Progress %],21))</ns0:f>
        <ns0:v>0</ns0:v>
      </ns0:c>
      <ns0:c r="H27" s="8" t="str">
        <ns0:f>IF(INDEX(Tasks[Task ID],21)="","",INDEX('Project Tracker'!$Q$7:$Q$106,21))</ns0:f>
        <ns0:v>Not Started</ns0:v>
      </ns0:c>
      <ns0:c r="I27" s="8" t="str">
        <ns0:f>IF(INDEX(Tasks[Task ID],21)="","",INDEX(Tasks[Milestone],21))</ns0:f>
        <ns0:v>No</ns0:v>
      </ns0:c>
      <ns0:c r="J27" s="8" t="str">
        <ns0:f>IF(INDEX(Tasks[Task ID],21)="","",INDEX(Tasks[Schedule Health],21))</ns0:f>
        <ns0:v>On track</ns0:v>
      </ns0:c>
      <ns0:c r="K27" s="22" t="str">
        <ns0:f>IF($A27="","",IF($I27="Yes",IF(K$6=$D27,"◆",""),IF(AND(K$6&gt;=$D27,K$6&lt;=$E27),MAX(0,MIN(1,$G27*$F27-(K$6-$D27))),"")))</ns0:f>
      </ns0:c>
      <ns0:c r="L27" s="22" t="str">
        <ns0:f>IF($A27="","",IF($I27="Yes",IF(L$6=$D27,"◆",""),IF(AND(L$6&gt;=$D27,L$6&lt;=$E27),MAX(0,MIN(1,$G27*$F27-(L$6-$D27))),"")))</ns0:f>
      </ns0:c>
      <ns0:c r="M27" s="22" t="str">
        <ns0:f>IF($A27="","",IF($I27="Yes",IF(M$6=$D27,"◆",""),IF(AND(M$6&gt;=$D27,M$6&lt;=$E27),MAX(0,MIN(1,$G27*$F27-(M$6-$D27))),"")))</ns0:f>
      </ns0:c>
      <ns0:c r="N27" s="22" t="str">
        <ns0:f>IF($A27="","",IF($I27="Yes",IF(N$6=$D27,"◆",""),IF(AND(N$6&gt;=$D27,N$6&lt;=$E27),MAX(0,MIN(1,$G27*$F27-(N$6-$D27))),"")))</ns0:f>
      </ns0:c>
      <ns0:c r="O27" s="22" t="str">
        <ns0:f>IF($A27="","",IF($I27="Yes",IF(O$6=$D27,"◆",""),IF(AND(O$6&gt;=$D27,O$6&lt;=$E27),MAX(0,MIN(1,$G27*$F27-(O$6-$D27))),"")))</ns0:f>
      </ns0:c>
      <ns0:c r="P27" s="22" t="str">
        <ns0:f>IF($A27="","",IF($I27="Yes",IF(P$6=$D27,"◆",""),IF(AND(P$6&gt;=$D27,P$6&lt;=$E27),MAX(0,MIN(1,$G27*$F27-(P$6-$D27))),"")))</ns0:f>
      </ns0:c>
      <ns0:c r="Q27" s="22" t="str">
        <ns0:f>IF($A27="","",IF($I27="Yes",IF(Q$6=$D27,"◆",""),IF(AND(Q$6&gt;=$D27,Q$6&lt;=$E27),MAX(0,MIN(1,$G27*$F27-(Q$6-$D27))),"")))</ns0:f>
      </ns0:c>
      <ns0:c r="R27" s="22" t="str">
        <ns0:f>IF($A27="","",IF($I27="Yes",IF(R$6=$D27,"◆",""),IF(AND(R$6&gt;=$D27,R$6&lt;=$E27),MAX(0,MIN(1,$G27*$F27-(R$6-$D27))),"")))</ns0:f>
      </ns0:c>
      <ns0:c r="S27" s="22" t="str">
        <ns0:f>IF($A27="","",IF($I27="Yes",IF(S$6=$D27,"◆",""),IF(AND(S$6&gt;=$D27,S$6&lt;=$E27),MAX(0,MIN(1,$G27*$F27-(S$6-$D27))),"")))</ns0:f>
      </ns0:c>
      <ns0:c r="T27" s="22" t="n">
        <ns0:f>IF($A27="","",IF($I27="Yes",IF(T$6=$D27,"◆",""),IF(AND(T$6&gt;=$D27,T$6&lt;=$E27),MAX(0,MIN(1,$G27*$F27-(T$6-$D27))),"")))</ns0:f>
        <ns0:v>0</ns0:v>
      </ns0:c>
      <ns0:c r="U27" s="22" t="n">
        <ns0:f>IF($A27="","",IF($I27="Yes",IF(U$6=$D27,"◆",""),IF(AND(U$6&gt;=$D27,U$6&lt;=$E27),MAX(0,MIN(1,$G27*$F27-(U$6-$D27))),"")))</ns0:f>
        <ns0:v>0</ns0:v>
      </ns0:c>
      <ns0:c r="V27" s="22" t="str">
        <ns0:f>IF($A27="","",IF($I27="Yes",IF(V$6=$D27,"◆",""),IF(AND(V$6&gt;=$D27,V$6&lt;=$E27),MAX(0,MIN(1,$G27*$F27-(V$6-$D27))),"")))</ns0:f>
      </ns0:c>
      <ns0:c r="W27" s="22" t="str">
        <ns0:f>IF($A27="","",IF($I27="Yes",IF(W$6=$D27,"◆",""),IF(AND(W$6&gt;=$D27,W$6&lt;=$E27),MAX(0,MIN(1,$G27*$F27-(W$6-$D27))),"")))</ns0:f>
      </ns0:c>
      <ns0:c r="X27" s="22" t="str">
        <ns0:f>IF($A27="","",IF($I27="Yes",IF(X$6=$D27,"◆",""),IF(AND(X$6&gt;=$D27,X$6&lt;=$E27),MAX(0,MIN(1,$G27*$F27-(X$6-$D27))),"")))</ns0:f>
      </ns0:c>
      <ns0:c r="Y27" s="22" t="str">
        <ns0:f>IF($A27="","",IF($I27="Yes",IF(Y$6=$D27,"◆",""),IF(AND(Y$6&gt;=$D27,Y$6&lt;=$E27),MAX(0,MIN(1,$G27*$F27-(Y$6-$D27))),"")))</ns0:f>
      </ns0:c>
      <ns0:c r="Z27" s="22" t="str">
        <ns0:f>IF($A27="","",IF($I27="Yes",IF(Z$6=$D27,"◆",""),IF(AND(Z$6&gt;=$D27,Z$6&lt;=$E27),MAX(0,MIN(1,$G27*$F27-(Z$6-$D27))),"")))</ns0:f>
      </ns0:c>
      <ns0:c r="AA27" s="22" t="str">
        <ns0:f>IF($A27="","",IF($I27="Yes",IF(AA$6=$D27,"◆",""),IF(AND(AA$6&gt;=$D27,AA$6&lt;=$E27),MAX(0,MIN(1,$G27*$F27-(AA$6-$D27))),"")))</ns0:f>
      </ns0:c>
      <ns0:c r="AB27" s="22" t="str">
        <ns0:f>IF($A27="","",IF($I27="Yes",IF(AB$6=$D27,"◆",""),IF(AND(AB$6&gt;=$D27,AB$6&lt;=$E27),MAX(0,MIN(1,$G27*$F27-(AB$6-$D27))),"")))</ns0:f>
      </ns0:c>
      <ns0:c r="AC27" s="22" t="str">
        <ns0:f>IF($A27="","",IF($I27="Yes",IF(AC$6=$D27,"◆",""),IF(AND(AC$6&gt;=$D27,AC$6&lt;=$E27),MAX(0,MIN(1,$G27*$F27-(AC$6-$D27))),"")))</ns0:f>
      </ns0:c>
      <ns0:c r="AD27" s="22" t="str">
        <ns0:f>IF($A27="","",IF($I27="Yes",IF(AD$6=$D27,"◆",""),IF(AND(AD$6&gt;=$D27,AD$6&lt;=$E27),MAX(0,MIN(1,$G27*$F27-(AD$6-$D27))),"")))</ns0:f>
      </ns0:c>
      <ns0:c r="AE27" s="22" t="str">
        <ns0:f>IF($A27="","",IF($I27="Yes",IF(AE$6=$D27,"◆",""),IF(AND(AE$6&gt;=$D27,AE$6&lt;=$E27),MAX(0,MIN(1,$G27*$F27-(AE$6-$D27))),"")))</ns0:f>
      </ns0:c>
      <ns0:c r="AF27" s="22" t="str">
        <ns0:f>IF($A27="","",IF($I27="Yes",IF(AF$6=$D27,"◆",""),IF(AND(AF$6&gt;=$D27,AF$6&lt;=$E27),MAX(0,MIN(1,$G27*$F27-(AF$6-$D27))),"")))</ns0:f>
      </ns0:c>
      <ns0:c r="AG27" s="22" t="str">
        <ns0:f>IF($A27="","",IF($I27="Yes",IF(AG$6=$D27,"◆",""),IF(AND(AG$6&gt;=$D27,AG$6&lt;=$E27),MAX(0,MIN(1,$G27*$F27-(AG$6-$D27))),"")))</ns0:f>
      </ns0:c>
      <ns0:c r="AH27" s="22" t="str">
        <ns0:f>IF($A27="","",IF($I27="Yes",IF(AH$6=$D27,"◆",""),IF(AND(AH$6&gt;=$D27,AH$6&lt;=$E27),MAX(0,MIN(1,$G27*$F27-(AH$6-$D27))),"")))</ns0:f>
      </ns0:c>
      <ns0:c r="AI27" s="22" t="str">
        <ns0:f>IF($A27="","",IF($I27="Yes",IF(AI$6=$D27,"◆",""),IF(AND(AI$6&gt;=$D27,AI$6&lt;=$E27),MAX(0,MIN(1,$G27*$F27-(AI$6-$D27))),"")))</ns0:f>
      </ns0:c>
      <ns0:c r="AJ27" s="22" t="str">
        <ns0:f>IF($A27="","",IF($I27="Yes",IF(AJ$6=$D27,"◆",""),IF(AND(AJ$6&gt;=$D27,AJ$6&lt;=$E27),MAX(0,MIN(1,$G27*$F27-(AJ$6-$D27))),"")))</ns0:f>
      </ns0:c>
      <ns0:c r="AK27" s="22" t="str">
        <ns0:f>IF($A27="","",IF($I27="Yes",IF(AK$6=$D27,"◆",""),IF(AND(AK$6&gt;=$D27,AK$6&lt;=$E27),MAX(0,MIN(1,$G27*$F27-(AK$6-$D27))),"")))</ns0:f>
      </ns0:c>
      <ns0:c r="AL27" s="22" t="str">
        <ns0:f>IF($A27="","",IF($I27="Yes",IF(AL$6=$D27,"◆",""),IF(AND(AL$6&gt;=$D27,AL$6&lt;=$E27),MAX(0,MIN(1,$G27*$F27-(AL$6-$D27))),"")))</ns0:f>
      </ns0:c>
      <ns0:c r="AM27" s="22" t="str">
        <ns0:f>IF($A27="","",IF($I27="Yes",IF(AM$6=$D27,"◆",""),IF(AND(AM$6&gt;=$D27,AM$6&lt;=$E27),MAX(0,MIN(1,$G27*$F27-(AM$6-$D27))),"")))</ns0:f>
      </ns0:c>
      <ns0:c r="AN27" s="22" t="str">
        <ns0:f>IF($A27="","",IF($I27="Yes",IF(AN$6=$D27,"◆",""),IF(AND(AN$6&gt;=$D27,AN$6&lt;=$E27),MAX(0,MIN(1,$G27*$F27-(AN$6-$D27))),"")))</ns0:f>
      </ns0:c>
      <ns0:c r="AO27" s="22" t="str">
        <ns0:f>IF($A27="","",IF($I27="Yes",IF(AO$6=$D27,"◆",""),IF(AND(AO$6&gt;=$D27,AO$6&lt;=$E27),MAX(0,MIN(1,$G27*$F27-(AO$6-$D27))),"")))</ns0:f>
      </ns0:c>
      <ns0:c r="AP27" s="22" t="str">
        <ns0:f>IF($A27="","",IF($I27="Yes",IF(AP$6=$D27,"◆",""),IF(AND(AP$6&gt;=$D27,AP$6&lt;=$E27),MAX(0,MIN(1,$G27*$F27-(AP$6-$D27))),"")))</ns0:f>
      </ns0:c>
      <ns0:c r="AQ27" s="22" t="str">
        <ns0:f>IF($A27="","",IF($I27="Yes",IF(AQ$6=$D27,"◆",""),IF(AND(AQ$6&gt;=$D27,AQ$6&lt;=$E27),MAX(0,MIN(1,$G27*$F27-(AQ$6-$D27))),"")))</ns0:f>
      </ns0:c>
      <ns0:c r="AR27" s="22" t="str">
        <ns0:f>IF($A27="","",IF($I27="Yes",IF(AR$6=$D27,"◆",""),IF(AND(AR$6&gt;=$D27,AR$6&lt;=$E27),MAX(0,MIN(1,$G27*$F27-(AR$6-$D27))),"")))</ns0:f>
      </ns0:c>
    </ns0:row>
    <ns0:row r="28" ht="48" customHeight="1">
      <ns0:c r="A28" s="8" t="str">
        <ns0:f>IF(INDEX(Tasks[Task ID],22)="","",INDEX(Tasks[Task ID],22))</ns0:f>
        <ns0:v>T19</ns0:v>
      </ns0:c>
      <ns0:c r="B28" s="8" t="str">
        <ns0:f>IF(INDEX(Tasks[Task ID],22)="","",INDEX(Tasks[Phase],22))</ns0:f>
        <ns0:v>Intelligence &amp; assets</ns0:v>
      </ns0:c>
      <ns0:c r="C28" s="8" t="str">
        <ns0:f>IF(INDEX(Tasks[Task ID],22)="","",INDEX(Tasks[Task Name],22))</ns0:f>
        <ns0:v>Develop omnichannel marketing roadmaps &amp; budget allocations (W_STRAT)</ns0:v>
      </ns0:c>
      <ns0:c r="D28" s="18" t="n">
        <ns0:f>IF(INDEX(Tasks[Task ID],22)="","",INDEX(Tasks[Start Date],22))</ns0:f>
        <ns0:v>46287</ns0:v>
      </ns0:c>
      <ns0:c r="E28" s="18" t="n">
        <ns0:f>IF(INDEX(Tasks[Task ID],22)="","",INDEX(Tasks[End Date],22))</ns0:f>
        <ns0:v>46289</ns0:v>
      </ns0:c>
      <ns0:c r="F28" s="8" t="n">
        <ns0:f>IF(INDEX(Tasks[Task ID],22)="","",INDEX(Tasks[Duration],22))</ns0:f>
        <ns0:v>3</ns0:v>
      </ns0:c>
      <ns0:c r="G28" s="19" t="n">
        <ns0:f>IF(INDEX(Tasks[Task ID],22)="","",INDEX(Tasks[Progress %],22))</ns0:f>
        <ns0:v>0</ns0:v>
      </ns0:c>
      <ns0:c r="H28" s="8" t="str">
        <ns0:f>IF(INDEX(Tasks[Task ID],22)="","",INDEX('Project Tracker'!$Q$7:$Q$106,22))</ns0:f>
        <ns0:v>Not Started</ns0:v>
      </ns0:c>
      <ns0:c r="I28" s="8" t="str">
        <ns0:f>IF(INDEX(Tasks[Task ID],22)="","",INDEX(Tasks[Milestone],22))</ns0:f>
        <ns0:v>No</ns0:v>
      </ns0:c>
      <ns0:c r="J28" s="8" t="str">
        <ns0:f>IF(INDEX(Tasks[Task ID],22)="","",INDEX(Tasks[Schedule Health],22))</ns0:f>
        <ns0:v>On track</ns0:v>
      </ns0:c>
      <ns0:c r="K28" s="22" t="str">
        <ns0:f>IF($A28="","",IF($I28="Yes",IF(K$6=$D28,"◆",""),IF(AND(K$6&gt;=$D28,K$6&lt;=$E28),MAX(0,MIN(1,$G28*$F28-(K$6-$D28))),"")))</ns0:f>
      </ns0:c>
      <ns0:c r="L28" s="22" t="str">
        <ns0:f>IF($A28="","",IF($I28="Yes",IF(L$6=$D28,"◆",""),IF(AND(L$6&gt;=$D28,L$6&lt;=$E28),MAX(0,MIN(1,$G28*$F28-(L$6-$D28))),"")))</ns0:f>
      </ns0:c>
      <ns0:c r="M28" s="22" t="str">
        <ns0:f>IF($A28="","",IF($I28="Yes",IF(M$6=$D28,"◆",""),IF(AND(M$6&gt;=$D28,M$6&lt;=$E28),MAX(0,MIN(1,$G28*$F28-(M$6-$D28))),"")))</ns0:f>
      </ns0:c>
      <ns0:c r="N28" s="22" t="str">
        <ns0:f>IF($A28="","",IF($I28="Yes",IF(N$6=$D28,"◆",""),IF(AND(N$6&gt;=$D28,N$6&lt;=$E28),MAX(0,MIN(1,$G28*$F28-(N$6-$D28))),"")))</ns0:f>
      </ns0:c>
      <ns0:c r="O28" s="22" t="str">
        <ns0:f>IF($A28="","",IF($I28="Yes",IF(O$6=$D28,"◆",""),IF(AND(O$6&gt;=$D28,O$6&lt;=$E28),MAX(0,MIN(1,$G28*$F28-(O$6-$D28))),"")))</ns0:f>
      </ns0:c>
      <ns0:c r="P28" s="22" t="str">
        <ns0:f>IF($A28="","",IF($I28="Yes",IF(P$6=$D28,"◆",""),IF(AND(P$6&gt;=$D28,P$6&lt;=$E28),MAX(0,MIN(1,$G28*$F28-(P$6-$D28))),"")))</ns0:f>
      </ns0:c>
      <ns0:c r="Q28" s="22" t="str">
        <ns0:f>IF($A28="","",IF($I28="Yes",IF(Q$6=$D28,"◆",""),IF(AND(Q$6&gt;=$D28,Q$6&lt;=$E28),MAX(0,MIN(1,$G28*$F28-(Q$6-$D28))),"")))</ns0:f>
      </ns0:c>
      <ns0:c r="R28" s="22" t="str">
        <ns0:f>IF($A28="","",IF($I28="Yes",IF(R$6=$D28,"◆",""),IF(AND(R$6&gt;=$D28,R$6&lt;=$E28),MAX(0,MIN(1,$G28*$F28-(R$6-$D28))),"")))</ns0:f>
      </ns0:c>
      <ns0:c r="S28" s="22" t="str">
        <ns0:f>IF($A28="","",IF($I28="Yes",IF(S$6=$D28,"◆",""),IF(AND(S$6&gt;=$D28,S$6&lt;=$E28),MAX(0,MIN(1,$G28*$F28-(S$6-$D28))),"")))</ns0:f>
      </ns0:c>
      <ns0:c r="T28" s="22" t="str">
        <ns0:f>IF($A28="","",IF($I28="Yes",IF(T$6=$D28,"◆",""),IF(AND(T$6&gt;=$D28,T$6&lt;=$E28),MAX(0,MIN(1,$G28*$F28-(T$6-$D28))),"")))</ns0:f>
      </ns0:c>
      <ns0:c r="U28" s="22" t="str">
        <ns0:f>IF($A28="","",IF($I28="Yes",IF(U$6=$D28,"◆",""),IF(AND(U$6&gt;=$D28,U$6&lt;=$E28),MAX(0,MIN(1,$G28*$F28-(U$6-$D28))),"")))</ns0:f>
      </ns0:c>
      <ns0:c r="V28" s="22" t="n">
        <ns0:f>IF($A28="","",IF($I28="Yes",IF(V$6=$D28,"◆",""),IF(AND(V$6&gt;=$D28,V$6&lt;=$E28),MAX(0,MIN(1,$G28*$F28-(V$6-$D28))),"")))</ns0:f>
        <ns0:v>0</ns0:v>
      </ns0:c>
      <ns0:c r="W28" s="22" t="n">
        <ns0:f>IF($A28="","",IF($I28="Yes",IF(W$6=$D28,"◆",""),IF(AND(W$6&gt;=$D28,W$6&lt;=$E28),MAX(0,MIN(1,$G28*$F28-(W$6-$D28))),"")))</ns0:f>
        <ns0:v>0</ns0:v>
      </ns0:c>
      <ns0:c r="X28" s="22" t="n">
        <ns0:f>IF($A28="","",IF($I28="Yes",IF(X$6=$D28,"◆",""),IF(AND(X$6&gt;=$D28,X$6&lt;=$E28),MAX(0,MIN(1,$G28*$F28-(X$6-$D28))),"")))</ns0:f>
        <ns0:v>0</ns0:v>
      </ns0:c>
      <ns0:c r="Y28" s="22" t="str">
        <ns0:f>IF($A28="","",IF($I28="Yes",IF(Y$6=$D28,"◆",""),IF(AND(Y$6&gt;=$D28,Y$6&lt;=$E28),MAX(0,MIN(1,$G28*$F28-(Y$6-$D28))),"")))</ns0:f>
      </ns0:c>
      <ns0:c r="Z28" s="22" t="str">
        <ns0:f>IF($A28="","",IF($I28="Yes",IF(Z$6=$D28,"◆",""),IF(AND(Z$6&gt;=$D28,Z$6&lt;=$E28),MAX(0,MIN(1,$G28*$F28-(Z$6-$D28))),"")))</ns0:f>
      </ns0:c>
      <ns0:c r="AA28" s="22" t="str">
        <ns0:f>IF($A28="","",IF($I28="Yes",IF(AA$6=$D28,"◆",""),IF(AND(AA$6&gt;=$D28,AA$6&lt;=$E28),MAX(0,MIN(1,$G28*$F28-(AA$6-$D28))),"")))</ns0:f>
      </ns0:c>
      <ns0:c r="AB28" s="22" t="str">
        <ns0:f>IF($A28="","",IF($I28="Yes",IF(AB$6=$D28,"◆",""),IF(AND(AB$6&gt;=$D28,AB$6&lt;=$E28),MAX(0,MIN(1,$G28*$F28-(AB$6-$D28))),"")))</ns0:f>
      </ns0:c>
      <ns0:c r="AC28" s="22" t="str">
        <ns0:f>IF($A28="","",IF($I28="Yes",IF(AC$6=$D28,"◆",""),IF(AND(AC$6&gt;=$D28,AC$6&lt;=$E28),MAX(0,MIN(1,$G28*$F28-(AC$6-$D28))),"")))</ns0:f>
      </ns0:c>
      <ns0:c r="AD28" s="22" t="str">
        <ns0:f>IF($A28="","",IF($I28="Yes",IF(AD$6=$D28,"◆",""),IF(AND(AD$6&gt;=$D28,AD$6&lt;=$E28),MAX(0,MIN(1,$G28*$F28-(AD$6-$D28))),"")))</ns0:f>
      </ns0:c>
      <ns0:c r="AE28" s="22" t="str">
        <ns0:f>IF($A28="","",IF($I28="Yes",IF(AE$6=$D28,"◆",""),IF(AND(AE$6&gt;=$D28,AE$6&lt;=$E28),MAX(0,MIN(1,$G28*$F28-(AE$6-$D28))),"")))</ns0:f>
      </ns0:c>
      <ns0:c r="AF28" s="22" t="str">
        <ns0:f>IF($A28="","",IF($I28="Yes",IF(AF$6=$D28,"◆",""),IF(AND(AF$6&gt;=$D28,AF$6&lt;=$E28),MAX(0,MIN(1,$G28*$F28-(AF$6-$D28))),"")))</ns0:f>
      </ns0:c>
      <ns0:c r="AG28" s="22" t="str">
        <ns0:f>IF($A28="","",IF($I28="Yes",IF(AG$6=$D28,"◆",""),IF(AND(AG$6&gt;=$D28,AG$6&lt;=$E28),MAX(0,MIN(1,$G28*$F28-(AG$6-$D28))),"")))</ns0:f>
      </ns0:c>
      <ns0:c r="AH28" s="22" t="str">
        <ns0:f>IF($A28="","",IF($I28="Yes",IF(AH$6=$D28,"◆",""),IF(AND(AH$6&gt;=$D28,AH$6&lt;=$E28),MAX(0,MIN(1,$G28*$F28-(AH$6-$D28))),"")))</ns0:f>
      </ns0:c>
      <ns0:c r="AI28" s="22" t="str">
        <ns0:f>IF($A28="","",IF($I28="Yes",IF(AI$6=$D28,"◆",""),IF(AND(AI$6&gt;=$D28,AI$6&lt;=$E28),MAX(0,MIN(1,$G28*$F28-(AI$6-$D28))),"")))</ns0:f>
      </ns0:c>
      <ns0:c r="AJ28" s="22" t="str">
        <ns0:f>IF($A28="","",IF($I28="Yes",IF(AJ$6=$D28,"◆",""),IF(AND(AJ$6&gt;=$D28,AJ$6&lt;=$E28),MAX(0,MIN(1,$G28*$F28-(AJ$6-$D28))),"")))</ns0:f>
      </ns0:c>
      <ns0:c r="AK28" s="22" t="str">
        <ns0:f>IF($A28="","",IF($I28="Yes",IF(AK$6=$D28,"◆",""),IF(AND(AK$6&gt;=$D28,AK$6&lt;=$E28),MAX(0,MIN(1,$G28*$F28-(AK$6-$D28))),"")))</ns0:f>
      </ns0:c>
      <ns0:c r="AL28" s="22" t="str">
        <ns0:f>IF($A28="","",IF($I28="Yes",IF(AL$6=$D28,"◆",""),IF(AND(AL$6&gt;=$D28,AL$6&lt;=$E28),MAX(0,MIN(1,$G28*$F28-(AL$6-$D28))),"")))</ns0:f>
      </ns0:c>
      <ns0:c r="AM28" s="22" t="str">
        <ns0:f>IF($A28="","",IF($I28="Yes",IF(AM$6=$D28,"◆",""),IF(AND(AM$6&gt;=$D28,AM$6&lt;=$E28),MAX(0,MIN(1,$G28*$F28-(AM$6-$D28))),"")))</ns0:f>
      </ns0:c>
      <ns0:c r="AN28" s="22" t="str">
        <ns0:f>IF($A28="","",IF($I28="Yes",IF(AN$6=$D28,"◆",""),IF(AND(AN$6&gt;=$D28,AN$6&lt;=$E28),MAX(0,MIN(1,$G28*$F28-(AN$6-$D28))),"")))</ns0:f>
      </ns0:c>
      <ns0:c r="AO28" s="22" t="str">
        <ns0:f>IF($A28="","",IF($I28="Yes",IF(AO$6=$D28,"◆",""),IF(AND(AO$6&gt;=$D28,AO$6&lt;=$E28),MAX(0,MIN(1,$G28*$F28-(AO$6-$D28))),"")))</ns0:f>
      </ns0:c>
      <ns0:c r="AP28" s="22" t="str">
        <ns0:f>IF($A28="","",IF($I28="Yes",IF(AP$6=$D28,"◆",""),IF(AND(AP$6&gt;=$D28,AP$6&lt;=$E28),MAX(0,MIN(1,$G28*$F28-(AP$6-$D28))),"")))</ns0:f>
      </ns0:c>
      <ns0:c r="AQ28" s="22" t="str">
        <ns0:f>IF($A28="","",IF($I28="Yes",IF(AQ$6=$D28,"◆",""),IF(AND(AQ$6&gt;=$D28,AQ$6&lt;=$E28),MAX(0,MIN(1,$G28*$F28-(AQ$6-$D28))),"")))</ns0:f>
      </ns0:c>
      <ns0:c r="AR28" s="22" t="str">
        <ns0:f>IF($A28="","",IF($I28="Yes",IF(AR$6=$D28,"◆",""),IF(AND(AR$6&gt;=$D28,AR$6&lt;=$E28),MAX(0,MIN(1,$G28*$F28-(AR$6-$D28))),"")))</ns0:f>
      </ns0:c>
    </ns0:row>
    <ns0:row r="29" ht="48" customHeight="1">
      <ns0:c r="A29" s="8" t="str">
        <ns0:f>IF(INDEX(Tasks[Task ID],23)="","",INDEX(Tasks[Task ID],23))</ns0:f>
        <ns0:v>T20</ns0:v>
      </ns0:c>
      <ns0:c r="B29" s="8" t="str">
        <ns0:f>IF(INDEX(Tasks[Task ID],23)="","",INDEX(Tasks[Phase],23))</ns0:f>
        <ns0:v>Intelligence &amp; assets</ns0:v>
      </ns0:c>
      <ns0:c r="C29" s="8" t="str">
        <ns0:f>IF(INDEX(Tasks[Task ID],23)="","",INDEX(Tasks[Task Name],23))</ns0:f>
        <ns0:v>Generate creative ad copy variants, hooks, visual briefs &amp; posts (W_CREAT)</ns0:v>
      </ns0:c>
      <ns0:c r="D29" s="18" t="n">
        <ns0:f>IF(INDEX(Tasks[Task ID],23)="","",INDEX(Tasks[Start Date],23))</ns0:f>
        <ns0:v>46290</ns0:v>
      </ns0:c>
      <ns0:c r="E29" s="18" t="n">
        <ns0:f>IF(INDEX(Tasks[Task ID],23)="","",INDEX(Tasks[End Date],23))</ns0:f>
        <ns0:v>46292</ns0:v>
      </ns0:c>
      <ns0:c r="F29" s="8" t="n">
        <ns0:f>IF(INDEX(Tasks[Task ID],23)="","",INDEX(Tasks[Duration],23))</ns0:f>
        <ns0:v>3</ns0:v>
      </ns0:c>
      <ns0:c r="G29" s="19" t="n">
        <ns0:f>IF(INDEX(Tasks[Task ID],23)="","",INDEX(Tasks[Progress %],23))</ns0:f>
        <ns0:v>0</ns0:v>
      </ns0:c>
      <ns0:c r="H29" s="8" t="str">
        <ns0:f>IF(INDEX(Tasks[Task ID],23)="","",INDEX('Project Tracker'!$Q$7:$Q$106,23))</ns0:f>
        <ns0:v>Not Started</ns0:v>
      </ns0:c>
      <ns0:c r="I29" s="8" t="str">
        <ns0:f>IF(INDEX(Tasks[Task ID],23)="","",INDEX(Tasks[Milestone],23))</ns0:f>
        <ns0:v>No</ns0:v>
      </ns0:c>
      <ns0:c r="J29" s="8" t="str">
        <ns0:f>IF(INDEX(Tasks[Task ID],23)="","",INDEX(Tasks[Schedule Health],23))</ns0:f>
        <ns0:v>On track</ns0:v>
      </ns0:c>
      <ns0:c r="K29" s="22" t="str">
        <ns0:f>IF($A29="","",IF($I29="Yes",IF(K$6=$D29,"◆",""),IF(AND(K$6&gt;=$D29,K$6&lt;=$E29),MAX(0,MIN(1,$G29*$F29-(K$6-$D29))),"")))</ns0:f>
      </ns0:c>
      <ns0:c r="L29" s="22" t="str">
        <ns0:f>IF($A29="","",IF($I29="Yes",IF(L$6=$D29,"◆",""),IF(AND(L$6&gt;=$D29,L$6&lt;=$E29),MAX(0,MIN(1,$G29*$F29-(L$6-$D29))),"")))</ns0:f>
      </ns0:c>
      <ns0:c r="M29" s="22" t="str">
        <ns0:f>IF($A29="","",IF($I29="Yes",IF(M$6=$D29,"◆",""),IF(AND(M$6&gt;=$D29,M$6&lt;=$E29),MAX(0,MIN(1,$G29*$F29-(M$6-$D29))),"")))</ns0:f>
      </ns0:c>
      <ns0:c r="N29" s="22" t="str">
        <ns0:f>IF($A29="","",IF($I29="Yes",IF(N$6=$D29,"◆",""),IF(AND(N$6&gt;=$D29,N$6&lt;=$E29),MAX(0,MIN(1,$G29*$F29-(N$6-$D29))),"")))</ns0:f>
      </ns0:c>
      <ns0:c r="O29" s="22" t="str">
        <ns0:f>IF($A29="","",IF($I29="Yes",IF(O$6=$D29,"◆",""),IF(AND(O$6&gt;=$D29,O$6&lt;=$E29),MAX(0,MIN(1,$G29*$F29-(O$6-$D29))),"")))</ns0:f>
      </ns0:c>
      <ns0:c r="P29" s="22" t="str">
        <ns0:f>IF($A29="","",IF($I29="Yes",IF(P$6=$D29,"◆",""),IF(AND(P$6&gt;=$D29,P$6&lt;=$E29),MAX(0,MIN(1,$G29*$F29-(P$6-$D29))),"")))</ns0:f>
      </ns0:c>
      <ns0:c r="Q29" s="22" t="str">
        <ns0:f>IF($A29="","",IF($I29="Yes",IF(Q$6=$D29,"◆",""),IF(AND(Q$6&gt;=$D29,Q$6&lt;=$E29),MAX(0,MIN(1,$G29*$F29-(Q$6-$D29))),"")))</ns0:f>
      </ns0:c>
      <ns0:c r="R29" s="22" t="str">
        <ns0:f>IF($A29="","",IF($I29="Yes",IF(R$6=$D29,"◆",""),IF(AND(R$6&gt;=$D29,R$6&lt;=$E29),MAX(0,MIN(1,$G29*$F29-(R$6-$D29))),"")))</ns0:f>
      </ns0:c>
      <ns0:c r="S29" s="22" t="str">
        <ns0:f>IF($A29="","",IF($I29="Yes",IF(S$6=$D29,"◆",""),IF(AND(S$6&gt;=$D29,S$6&lt;=$E29),MAX(0,MIN(1,$G29*$F29-(S$6-$D29))),"")))</ns0:f>
      </ns0:c>
      <ns0:c r="T29" s="22" t="str">
        <ns0:f>IF($A29="","",IF($I29="Yes",IF(T$6=$D29,"◆",""),IF(AND(T$6&gt;=$D29,T$6&lt;=$E29),MAX(0,MIN(1,$G29*$F29-(T$6-$D29))),"")))</ns0:f>
      </ns0:c>
      <ns0:c r="U29" s="22" t="str">
        <ns0:f>IF($A29="","",IF($I29="Yes",IF(U$6=$D29,"◆",""),IF(AND(U$6&gt;=$D29,U$6&lt;=$E29),MAX(0,MIN(1,$G29*$F29-(U$6-$D29))),"")))</ns0:f>
      </ns0:c>
      <ns0:c r="V29" s="22" t="str">
        <ns0:f>IF($A29="","",IF($I29="Yes",IF(V$6=$D29,"◆",""),IF(AND(V$6&gt;=$D29,V$6&lt;=$E29),MAX(0,MIN(1,$G29*$F29-(V$6-$D29))),"")))</ns0:f>
      </ns0:c>
      <ns0:c r="W29" s="22" t="str">
        <ns0:f>IF($A29="","",IF($I29="Yes",IF(W$6=$D29,"◆",""),IF(AND(W$6&gt;=$D29,W$6&lt;=$E29),MAX(0,MIN(1,$G29*$F29-(W$6-$D29))),"")))</ns0:f>
      </ns0:c>
      <ns0:c r="X29" s="22" t="str">
        <ns0:f>IF($A29="","",IF($I29="Yes",IF(X$6=$D29,"◆",""),IF(AND(X$6&gt;=$D29,X$6&lt;=$E29),MAX(0,MIN(1,$G29*$F29-(X$6-$D29))),"")))</ns0:f>
      </ns0:c>
      <ns0:c r="Y29" s="22" t="n">
        <ns0:f>IF($A29="","",IF($I29="Yes",IF(Y$6=$D29,"◆",""),IF(AND(Y$6&gt;=$D29,Y$6&lt;=$E29),MAX(0,MIN(1,$G29*$F29-(Y$6-$D29))),"")))</ns0:f>
        <ns0:v>0</ns0:v>
      </ns0:c>
      <ns0:c r="Z29" s="22" t="n">
        <ns0:f>IF($A29="","",IF($I29="Yes",IF(Z$6=$D29,"◆",""),IF(AND(Z$6&gt;=$D29,Z$6&lt;=$E29),MAX(0,MIN(1,$G29*$F29-(Z$6-$D29))),"")))</ns0:f>
        <ns0:v>0</ns0:v>
      </ns0:c>
      <ns0:c r="AA29" s="22" t="n">
        <ns0:f>IF($A29="","",IF($I29="Yes",IF(AA$6=$D29,"◆",""),IF(AND(AA$6&gt;=$D29,AA$6&lt;=$E29),MAX(0,MIN(1,$G29*$F29-(AA$6-$D29))),"")))</ns0:f>
        <ns0:v>0</ns0:v>
      </ns0:c>
      <ns0:c r="AB29" s="22" t="str">
        <ns0:f>IF($A29="","",IF($I29="Yes",IF(AB$6=$D29,"◆",""),IF(AND(AB$6&gt;=$D29,AB$6&lt;=$E29),MAX(0,MIN(1,$G29*$F29-(AB$6-$D29))),"")))</ns0:f>
      </ns0:c>
      <ns0:c r="AC29" s="22" t="str">
        <ns0:f>IF($A29="","",IF($I29="Yes",IF(AC$6=$D29,"◆",""),IF(AND(AC$6&gt;=$D29,AC$6&lt;=$E29),MAX(0,MIN(1,$G29*$F29-(AC$6-$D29))),"")))</ns0:f>
      </ns0:c>
      <ns0:c r="AD29" s="22" t="str">
        <ns0:f>IF($A29="","",IF($I29="Yes",IF(AD$6=$D29,"◆",""),IF(AND(AD$6&gt;=$D29,AD$6&lt;=$E29),MAX(0,MIN(1,$G29*$F29-(AD$6-$D29))),"")))</ns0:f>
      </ns0:c>
      <ns0:c r="AE29" s="22" t="str">
        <ns0:f>IF($A29="","",IF($I29="Yes",IF(AE$6=$D29,"◆",""),IF(AND(AE$6&gt;=$D29,AE$6&lt;=$E29),MAX(0,MIN(1,$G29*$F29-(AE$6-$D29))),"")))</ns0:f>
      </ns0:c>
      <ns0:c r="AF29" s="22" t="str">
        <ns0:f>IF($A29="","",IF($I29="Yes",IF(AF$6=$D29,"◆",""),IF(AND(AF$6&gt;=$D29,AF$6&lt;=$E29),MAX(0,MIN(1,$G29*$F29-(AF$6-$D29))),"")))</ns0:f>
      </ns0:c>
      <ns0:c r="AG29" s="22" t="str">
        <ns0:f>IF($A29="","",IF($I29="Yes",IF(AG$6=$D29,"◆",""),IF(AND(AG$6&gt;=$D29,AG$6&lt;=$E29),MAX(0,MIN(1,$G29*$F29-(AG$6-$D29))),"")))</ns0:f>
      </ns0:c>
      <ns0:c r="AH29" s="22" t="str">
        <ns0:f>IF($A29="","",IF($I29="Yes",IF(AH$6=$D29,"◆",""),IF(AND(AH$6&gt;=$D29,AH$6&lt;=$E29),MAX(0,MIN(1,$G29*$F29-(AH$6-$D29))),"")))</ns0:f>
      </ns0:c>
      <ns0:c r="AI29" s="22" t="str">
        <ns0:f>IF($A29="","",IF($I29="Yes",IF(AI$6=$D29,"◆",""),IF(AND(AI$6&gt;=$D29,AI$6&lt;=$E29),MAX(0,MIN(1,$G29*$F29-(AI$6-$D29))),"")))</ns0:f>
      </ns0:c>
      <ns0:c r="AJ29" s="22" t="str">
        <ns0:f>IF($A29="","",IF($I29="Yes",IF(AJ$6=$D29,"◆",""),IF(AND(AJ$6&gt;=$D29,AJ$6&lt;=$E29),MAX(0,MIN(1,$G29*$F29-(AJ$6-$D29))),"")))</ns0:f>
      </ns0:c>
      <ns0:c r="AK29" s="22" t="str">
        <ns0:f>IF($A29="","",IF($I29="Yes",IF(AK$6=$D29,"◆",""),IF(AND(AK$6&gt;=$D29,AK$6&lt;=$E29),MAX(0,MIN(1,$G29*$F29-(AK$6-$D29))),"")))</ns0:f>
      </ns0:c>
      <ns0:c r="AL29" s="22" t="str">
        <ns0:f>IF($A29="","",IF($I29="Yes",IF(AL$6=$D29,"◆",""),IF(AND(AL$6&gt;=$D29,AL$6&lt;=$E29),MAX(0,MIN(1,$G29*$F29-(AL$6-$D29))),"")))</ns0:f>
      </ns0:c>
      <ns0:c r="AM29" s="22" t="str">
        <ns0:f>IF($A29="","",IF($I29="Yes",IF(AM$6=$D29,"◆",""),IF(AND(AM$6&gt;=$D29,AM$6&lt;=$E29),MAX(0,MIN(1,$G29*$F29-(AM$6-$D29))),"")))</ns0:f>
      </ns0:c>
      <ns0:c r="AN29" s="22" t="str">
        <ns0:f>IF($A29="","",IF($I29="Yes",IF(AN$6=$D29,"◆",""),IF(AND(AN$6&gt;=$D29,AN$6&lt;=$E29),MAX(0,MIN(1,$G29*$F29-(AN$6-$D29))),"")))</ns0:f>
      </ns0:c>
      <ns0:c r="AO29" s="22" t="str">
        <ns0:f>IF($A29="","",IF($I29="Yes",IF(AO$6=$D29,"◆",""),IF(AND(AO$6&gt;=$D29,AO$6&lt;=$E29),MAX(0,MIN(1,$G29*$F29-(AO$6-$D29))),"")))</ns0:f>
      </ns0:c>
      <ns0:c r="AP29" s="22" t="str">
        <ns0:f>IF($A29="","",IF($I29="Yes",IF(AP$6=$D29,"◆",""),IF(AND(AP$6&gt;=$D29,AP$6&lt;=$E29),MAX(0,MIN(1,$G29*$F29-(AP$6-$D29))),"")))</ns0:f>
      </ns0:c>
      <ns0:c r="AQ29" s="22" t="str">
        <ns0:f>IF($A29="","",IF($I29="Yes",IF(AQ$6=$D29,"◆",""),IF(AND(AQ$6&gt;=$D29,AQ$6&lt;=$E29),MAX(0,MIN(1,$G29*$F29-(AQ$6-$D29))),"")))</ns0:f>
      </ns0:c>
      <ns0:c r="AR29" s="22" t="str">
        <ns0:f>IF($A29="","",IF($I29="Yes",IF(AR$6=$D29,"◆",""),IF(AND(AR$6&gt;=$D29,AR$6&lt;=$E29),MAX(0,MIN(1,$G29*$F29-(AR$6-$D29))),"")))</ns0:f>
      </ns0:c>
    </ns0:row>
    <ns0:row r="30" ht="48" customHeight="1">
      <ns0:c r="A30" s="8" t="str">
        <ns0:f>IF(INDEX(Tasks[Task ID],24)="","",INDEX(Tasks[Task ID],24))</ns0:f>
        <ns0:v>T21</ns0:v>
      </ns0:c>
      <ns0:c r="B30" s="8" t="str">
        <ns0:f>IF(INDEX(Tasks[Task ID],24)="","",INDEX(Tasks[Phase],24))</ns0:f>
        <ns0:v>Intelligence &amp; assets</ns0:v>
      </ns0:c>
      <ns0:c r="C30" s="8" t="str">
        <ns0:f>IF(INDEX(Tasks[Task ID],24)="","",INDEX(Tasks[Task Name],24))</ns0:f>
        <ns0:v>Engineer responsive UI templates, CMS schemas &amp; code diffs (W_DEV)</ns0:v>
      </ns0:c>
      <ns0:c r="D30" s="18" t="n">
        <ns0:f>IF(INDEX(Tasks[Task ID],24)="","",INDEX(Tasks[Start Date],24))</ns0:f>
        <ns0:v>46285</ns0:v>
      </ns0:c>
      <ns0:c r="E30" s="18" t="n">
        <ns0:f>IF(INDEX(Tasks[Task ID],24)="","",INDEX(Tasks[End Date],24))</ns0:f>
        <ns0:v>46291</ns0:v>
      </ns0:c>
      <ns0:c r="F30" s="8" t="n">
        <ns0:f>IF(INDEX(Tasks[Task ID],24)="","",INDEX(Tasks[Duration],24))</ns0:f>
        <ns0:v>7</ns0:v>
      </ns0:c>
      <ns0:c r="G30" s="19" t="n">
        <ns0:f>IF(INDEX(Tasks[Task ID],24)="","",INDEX(Tasks[Progress %],24))</ns0:f>
        <ns0:v>0</ns0:v>
      </ns0:c>
      <ns0:c r="H30" s="8" t="str">
        <ns0:f>IF(INDEX(Tasks[Task ID],24)="","",INDEX('Project Tracker'!$Q$7:$Q$106,24))</ns0:f>
        <ns0:v>Not Started</ns0:v>
      </ns0:c>
      <ns0:c r="I30" s="8" t="str">
        <ns0:f>IF(INDEX(Tasks[Task ID],24)="","",INDEX(Tasks[Milestone],24))</ns0:f>
        <ns0:v>No</ns0:v>
      </ns0:c>
      <ns0:c r="J30" s="8" t="str">
        <ns0:f>IF(INDEX(Tasks[Task ID],24)="","",INDEX(Tasks[Schedule Health],24))</ns0:f>
        <ns0:v>On track</ns0:v>
      </ns0:c>
      <ns0:c r="K30" s="22" t="str">
        <ns0:f>IF($A30="","",IF($I30="Yes",IF(K$6=$D30,"◆",""),IF(AND(K$6&gt;=$D30,K$6&lt;=$E30),MAX(0,MIN(1,$G30*$F30-(K$6-$D30))),"")))</ns0:f>
      </ns0:c>
      <ns0:c r="L30" s="22" t="str">
        <ns0:f>IF($A30="","",IF($I30="Yes",IF(L$6=$D30,"◆",""),IF(AND(L$6&gt;=$D30,L$6&lt;=$E30),MAX(0,MIN(1,$G30*$F30-(L$6-$D30))),"")))</ns0:f>
      </ns0:c>
      <ns0:c r="M30" s="22" t="str">
        <ns0:f>IF($A30="","",IF($I30="Yes",IF(M$6=$D30,"◆",""),IF(AND(M$6&gt;=$D30,M$6&lt;=$E30),MAX(0,MIN(1,$G30*$F30-(M$6-$D30))),"")))</ns0:f>
      </ns0:c>
      <ns0:c r="N30" s="22" t="str">
        <ns0:f>IF($A30="","",IF($I30="Yes",IF(N$6=$D30,"◆",""),IF(AND(N$6&gt;=$D30,N$6&lt;=$E30),MAX(0,MIN(1,$G30*$F30-(N$6-$D30))),"")))</ns0:f>
      </ns0:c>
      <ns0:c r="O30" s="22" t="str">
        <ns0:f>IF($A30="","",IF($I30="Yes",IF(O$6=$D30,"◆",""),IF(AND(O$6&gt;=$D30,O$6&lt;=$E30),MAX(0,MIN(1,$G30*$F30-(O$6-$D30))),"")))</ns0:f>
      </ns0:c>
      <ns0:c r="P30" s="22" t="str">
        <ns0:f>IF($A30="","",IF($I30="Yes",IF(P$6=$D30,"◆",""),IF(AND(P$6&gt;=$D30,P$6&lt;=$E30),MAX(0,MIN(1,$G30*$F30-(P$6-$D30))),"")))</ns0:f>
      </ns0:c>
      <ns0:c r="Q30" s="22" t="str">
        <ns0:f>IF($A30="","",IF($I30="Yes",IF(Q$6=$D30,"◆",""),IF(AND(Q$6&gt;=$D30,Q$6&lt;=$E30),MAX(0,MIN(1,$G30*$F30-(Q$6-$D30))),"")))</ns0:f>
      </ns0:c>
      <ns0:c r="R30" s="22" t="str">
        <ns0:f>IF($A30="","",IF($I30="Yes",IF(R$6=$D30,"◆",""),IF(AND(R$6&gt;=$D30,R$6&lt;=$E30),MAX(0,MIN(1,$G30*$F30-(R$6-$D30))),"")))</ns0:f>
      </ns0:c>
      <ns0:c r="S30" s="22" t="str">
        <ns0:f>IF($A30="","",IF($I30="Yes",IF(S$6=$D30,"◆",""),IF(AND(S$6&gt;=$D30,S$6&lt;=$E30),MAX(0,MIN(1,$G30*$F30-(S$6-$D30))),"")))</ns0:f>
      </ns0:c>
      <ns0:c r="T30" s="22" t="n">
        <ns0:f>IF($A30="","",IF($I30="Yes",IF(T$6=$D30,"◆",""),IF(AND(T$6&gt;=$D30,T$6&lt;=$E30),MAX(0,MIN(1,$G30*$F30-(T$6-$D30))),"")))</ns0:f>
        <ns0:v>0</ns0:v>
      </ns0:c>
      <ns0:c r="U30" s="22" t="n">
        <ns0:f>IF($A30="","",IF($I30="Yes",IF(U$6=$D30,"◆",""),IF(AND(U$6&gt;=$D30,U$6&lt;=$E30),MAX(0,MIN(1,$G30*$F30-(U$6-$D30))),"")))</ns0:f>
        <ns0:v>0</ns0:v>
      </ns0:c>
      <ns0:c r="V30" s="22" t="n">
        <ns0:f>IF($A30="","",IF($I30="Yes",IF(V$6=$D30,"◆",""),IF(AND(V$6&gt;=$D30,V$6&lt;=$E30),MAX(0,MIN(1,$G30*$F30-(V$6-$D30))),"")))</ns0:f>
        <ns0:v>0</ns0:v>
      </ns0:c>
      <ns0:c r="W30" s="22" t="n">
        <ns0:f>IF($A30="","",IF($I30="Yes",IF(W$6=$D30,"◆",""),IF(AND(W$6&gt;=$D30,W$6&lt;=$E30),MAX(0,MIN(1,$G30*$F30-(W$6-$D30))),"")))</ns0:f>
        <ns0:v>0</ns0:v>
      </ns0:c>
      <ns0:c r="X30" s="22" t="n">
        <ns0:f>IF($A30="","",IF($I30="Yes",IF(X$6=$D30,"◆",""),IF(AND(X$6&gt;=$D30,X$6&lt;=$E30),MAX(0,MIN(1,$G30*$F30-(X$6-$D30))),"")))</ns0:f>
        <ns0:v>0</ns0:v>
      </ns0:c>
      <ns0:c r="Y30" s="22" t="n">
        <ns0:f>IF($A30="","",IF($I30="Yes",IF(Y$6=$D30,"◆",""),IF(AND(Y$6&gt;=$D30,Y$6&lt;=$E30),MAX(0,MIN(1,$G30*$F30-(Y$6-$D30))),"")))</ns0:f>
        <ns0:v>0</ns0:v>
      </ns0:c>
      <ns0:c r="Z30" s="22" t="n">
        <ns0:f>IF($A30="","",IF($I30="Yes",IF(Z$6=$D30,"◆",""),IF(AND(Z$6&gt;=$D30,Z$6&lt;=$E30),MAX(0,MIN(1,$G30*$F30-(Z$6-$D30))),"")))</ns0:f>
        <ns0:v>0</ns0:v>
      </ns0:c>
      <ns0:c r="AA30" s="22" t="str">
        <ns0:f>IF($A30="","",IF($I30="Yes",IF(AA$6=$D30,"◆",""),IF(AND(AA$6&gt;=$D30,AA$6&lt;=$E30),MAX(0,MIN(1,$G30*$F30-(AA$6-$D30))),"")))</ns0:f>
      </ns0:c>
      <ns0:c r="AB30" s="22" t="str">
        <ns0:f>IF($A30="","",IF($I30="Yes",IF(AB$6=$D30,"◆",""),IF(AND(AB$6&gt;=$D30,AB$6&lt;=$E30),MAX(0,MIN(1,$G30*$F30-(AB$6-$D30))),"")))</ns0:f>
      </ns0:c>
      <ns0:c r="AC30" s="22" t="str">
        <ns0:f>IF($A30="","",IF($I30="Yes",IF(AC$6=$D30,"◆",""),IF(AND(AC$6&gt;=$D30,AC$6&lt;=$E30),MAX(0,MIN(1,$G30*$F30-(AC$6-$D30))),"")))</ns0:f>
      </ns0:c>
      <ns0:c r="AD30" s="22" t="str">
        <ns0:f>IF($A30="","",IF($I30="Yes",IF(AD$6=$D30,"◆",""),IF(AND(AD$6&gt;=$D30,AD$6&lt;=$E30),MAX(0,MIN(1,$G30*$F30-(AD$6-$D30))),"")))</ns0:f>
      </ns0:c>
      <ns0:c r="AE30" s="22" t="str">
        <ns0:f>IF($A30="","",IF($I30="Yes",IF(AE$6=$D30,"◆",""),IF(AND(AE$6&gt;=$D30,AE$6&lt;=$E30),MAX(0,MIN(1,$G30*$F30-(AE$6-$D30))),"")))</ns0:f>
      </ns0:c>
      <ns0:c r="AF30" s="22" t="str">
        <ns0:f>IF($A30="","",IF($I30="Yes",IF(AF$6=$D30,"◆",""),IF(AND(AF$6&gt;=$D30,AF$6&lt;=$E30),MAX(0,MIN(1,$G30*$F30-(AF$6-$D30))),"")))</ns0:f>
      </ns0:c>
      <ns0:c r="AG30" s="22" t="str">
        <ns0:f>IF($A30="","",IF($I30="Yes",IF(AG$6=$D30,"◆",""),IF(AND(AG$6&gt;=$D30,AG$6&lt;=$E30),MAX(0,MIN(1,$G30*$F30-(AG$6-$D30))),"")))</ns0:f>
      </ns0:c>
      <ns0:c r="AH30" s="22" t="str">
        <ns0:f>IF($A30="","",IF($I30="Yes",IF(AH$6=$D30,"◆",""),IF(AND(AH$6&gt;=$D30,AH$6&lt;=$E30),MAX(0,MIN(1,$G30*$F30-(AH$6-$D30))),"")))</ns0:f>
      </ns0:c>
      <ns0:c r="AI30" s="22" t="str">
        <ns0:f>IF($A30="","",IF($I30="Yes",IF(AI$6=$D30,"◆",""),IF(AND(AI$6&gt;=$D30,AI$6&lt;=$E30),MAX(0,MIN(1,$G30*$F30-(AI$6-$D30))),"")))</ns0:f>
      </ns0:c>
      <ns0:c r="AJ30" s="22" t="str">
        <ns0:f>IF($A30="","",IF($I30="Yes",IF(AJ$6=$D30,"◆",""),IF(AND(AJ$6&gt;=$D30,AJ$6&lt;=$E30),MAX(0,MIN(1,$G30*$F30-(AJ$6-$D30))),"")))</ns0:f>
      </ns0:c>
      <ns0:c r="AK30" s="22" t="str">
        <ns0:f>IF($A30="","",IF($I30="Yes",IF(AK$6=$D30,"◆",""),IF(AND(AK$6&gt;=$D30,AK$6&lt;=$E30),MAX(0,MIN(1,$G30*$F30-(AK$6-$D30))),"")))</ns0:f>
      </ns0:c>
      <ns0:c r="AL30" s="22" t="str">
        <ns0:f>IF($A30="","",IF($I30="Yes",IF(AL$6=$D30,"◆",""),IF(AND(AL$6&gt;=$D30,AL$6&lt;=$E30),MAX(0,MIN(1,$G30*$F30-(AL$6-$D30))),"")))</ns0:f>
      </ns0:c>
      <ns0:c r="AM30" s="22" t="str">
        <ns0:f>IF($A30="","",IF($I30="Yes",IF(AM$6=$D30,"◆",""),IF(AND(AM$6&gt;=$D30,AM$6&lt;=$E30),MAX(0,MIN(1,$G30*$F30-(AM$6-$D30))),"")))</ns0:f>
      </ns0:c>
      <ns0:c r="AN30" s="22" t="str">
        <ns0:f>IF($A30="","",IF($I30="Yes",IF(AN$6=$D30,"◆",""),IF(AND(AN$6&gt;=$D30,AN$6&lt;=$E30),MAX(0,MIN(1,$G30*$F30-(AN$6-$D30))),"")))</ns0:f>
      </ns0:c>
      <ns0:c r="AO30" s="22" t="str">
        <ns0:f>IF($A30="","",IF($I30="Yes",IF(AO$6=$D30,"◆",""),IF(AND(AO$6&gt;=$D30,AO$6&lt;=$E30),MAX(0,MIN(1,$G30*$F30-(AO$6-$D30))),"")))</ns0:f>
      </ns0:c>
      <ns0:c r="AP30" s="22" t="str">
        <ns0:f>IF($A30="","",IF($I30="Yes",IF(AP$6=$D30,"◆",""),IF(AND(AP$6&gt;=$D30,AP$6&lt;=$E30),MAX(0,MIN(1,$G30*$F30-(AP$6-$D30))),"")))</ns0:f>
      </ns0:c>
      <ns0:c r="AQ30" s="22" t="str">
        <ns0:f>IF($A30="","",IF($I30="Yes",IF(AQ$6=$D30,"◆",""),IF(AND(AQ$6&gt;=$D30,AQ$6&lt;=$E30),MAX(0,MIN(1,$G30*$F30-(AQ$6-$D30))),"")))</ns0:f>
      </ns0:c>
      <ns0:c r="AR30" s="22" t="str">
        <ns0:f>IF($A30="","",IF($I30="Yes",IF(AR$6=$D30,"◆",""),IF(AND(AR$6&gt;=$D30,AR$6&lt;=$E30),MAX(0,MIN(1,$G30*$F30-(AR$6-$D30))),"")))</ns0:f>
      </ns0:c>
    </ns0:row>
    <ns0:row r="31" ht="48" customHeight="1">
      <ns0:c r="A31" s="8" t="str">
        <ns0:f>IF(INDEX(Tasks[Task ID],25)="","",INDEX(Tasks[Task ID],25))</ns0:f>
        <ns0:v>M4</ns0:v>
      </ns0:c>
      <ns0:c r="B31" s="8" t="str">
        <ns0:f>IF(INDEX(Tasks[Task ID],25)="","",INDEX(Tasks[Phase],25))</ns0:f>
        <ns0:v>Intelligence &amp; assets</ns0:v>
      </ns0:c>
      <ns0:c r="C31" s="8" t="str">
        <ns0:f>IF(INDEX(Tasks[Task ID],25)="","",INDEX(Tasks[Task Name],25))</ns0:f>
        <ns0:v>Domain Intelligence Ingestion &amp; Asset Synthesis Complete</ns0:v>
      </ns0:c>
      <ns0:c r="D31" s="18" t="n">
        <ns0:f>IF(INDEX(Tasks[Task ID],25)="","",INDEX(Tasks[Start Date],25))</ns0:f>
        <ns0:v>46297</ns0:v>
      </ns0:c>
      <ns0:c r="E31" s="18" t="n">
        <ns0:f>IF(INDEX(Tasks[Task ID],25)="","",INDEX(Tasks[End Date],25))</ns0:f>
        <ns0:v>46297</ns0:v>
      </ns0:c>
      <ns0:c r="F31" s="8" t="n">
        <ns0:f>IF(INDEX(Tasks[Task ID],25)="","",INDEX(Tasks[Duration],25))</ns0:f>
        <ns0:v>0</ns0:v>
      </ns0:c>
      <ns0:c r="G31" s="19" t="n">
        <ns0:f>IF(INDEX(Tasks[Task ID],25)="","",INDEX(Tasks[Progress %],25))</ns0:f>
        <ns0:v>0</ns0:v>
      </ns0:c>
      <ns0:c r="H31" s="8" t="str">
        <ns0:f>IF(INDEX(Tasks[Task ID],25)="","",INDEX('Project Tracker'!$Q$7:$Q$106,25))</ns0:f>
        <ns0:v>Not Started</ns0:v>
      </ns0:c>
      <ns0:c r="I31" s="8" t="str">
        <ns0:f>IF(INDEX(Tasks[Task ID],25)="","",INDEX(Tasks[Milestone],25))</ns0:f>
        <ns0:v>Yes</ns0:v>
      </ns0:c>
      <ns0:c r="J31" s="8" t="str">
        <ns0:f>IF(INDEX(Tasks[Task ID],25)="","",INDEX(Tasks[Schedule Health],25))</ns0:f>
        <ns0:v>On track</ns0:v>
      </ns0:c>
      <ns0:c r="K31" s="22" t="str">
        <ns0:f>IF($A31="","",IF($I31="Yes",IF(K$6=$D31,"◆",""),IF(AND(K$6&gt;=$D31,K$6&lt;=$E31),MAX(0,MIN(1,$G31*$F31-(K$6-$D31))),"")))</ns0:f>
      </ns0:c>
      <ns0:c r="L31" s="22" t="str">
        <ns0:f>IF($A31="","",IF($I31="Yes",IF(L$6=$D31,"◆",""),IF(AND(L$6&gt;=$D31,L$6&lt;=$E31),MAX(0,MIN(1,$G31*$F31-(L$6-$D31))),"")))</ns0:f>
      </ns0:c>
      <ns0:c r="M31" s="22" t="str">
        <ns0:f>IF($A31="","",IF($I31="Yes",IF(M$6=$D31,"◆",""),IF(AND(M$6&gt;=$D31,M$6&lt;=$E31),MAX(0,MIN(1,$G31*$F31-(M$6-$D31))),"")))</ns0:f>
      </ns0:c>
      <ns0:c r="N31" s="22" t="str">
        <ns0:f>IF($A31="","",IF($I31="Yes",IF(N$6=$D31,"◆",""),IF(AND(N$6&gt;=$D31,N$6&lt;=$E31),MAX(0,MIN(1,$G31*$F31-(N$6-$D31))),"")))</ns0:f>
      </ns0:c>
      <ns0:c r="O31" s="22" t="str">
        <ns0:f>IF($A31="","",IF($I31="Yes",IF(O$6=$D31,"◆",""),IF(AND(O$6&gt;=$D31,O$6&lt;=$E31),MAX(0,MIN(1,$G31*$F31-(O$6-$D31))),"")))</ns0:f>
      </ns0:c>
      <ns0:c r="P31" s="22" t="str">
        <ns0:f>IF($A31="","",IF($I31="Yes",IF(P$6=$D31,"◆",""),IF(AND(P$6&gt;=$D31,P$6&lt;=$E31),MAX(0,MIN(1,$G31*$F31-(P$6-$D31))),"")))</ns0:f>
      </ns0:c>
      <ns0:c r="Q31" s="22" t="str">
        <ns0:f>IF($A31="","",IF($I31="Yes",IF(Q$6=$D31,"◆",""),IF(AND(Q$6&gt;=$D31,Q$6&lt;=$E31),MAX(0,MIN(1,$G31*$F31-(Q$6-$D31))),"")))</ns0:f>
      </ns0:c>
      <ns0:c r="R31" s="22" t="str">
        <ns0:f>IF($A31="","",IF($I31="Yes",IF(R$6=$D31,"◆",""),IF(AND(R$6&gt;=$D31,R$6&lt;=$E31),MAX(0,MIN(1,$G31*$F31-(R$6-$D31))),"")))</ns0:f>
      </ns0:c>
      <ns0:c r="S31" s="22" t="str">
        <ns0:f>IF($A31="","",IF($I31="Yes",IF(S$6=$D31,"◆",""),IF(AND(S$6&gt;=$D31,S$6&lt;=$E31),MAX(0,MIN(1,$G31*$F31-(S$6-$D31))),"")))</ns0:f>
      </ns0:c>
      <ns0:c r="T31" s="22" t="str">
        <ns0:f>IF($A31="","",IF($I31="Yes",IF(T$6=$D31,"◆",""),IF(AND(T$6&gt;=$D31,T$6&lt;=$E31),MAX(0,MIN(1,$G31*$F31-(T$6-$D31))),"")))</ns0:f>
      </ns0:c>
      <ns0:c r="U31" s="22" t="str">
        <ns0:f>IF($A31="","",IF($I31="Yes",IF(U$6=$D31,"◆",""),IF(AND(U$6&gt;=$D31,U$6&lt;=$E31),MAX(0,MIN(1,$G31*$F31-(U$6-$D31))),"")))</ns0:f>
      </ns0:c>
      <ns0:c r="V31" s="22" t="str">
        <ns0:f>IF($A31="","",IF($I31="Yes",IF(V$6=$D31,"◆",""),IF(AND(V$6&gt;=$D31,V$6&lt;=$E31),MAX(0,MIN(1,$G31*$F31-(V$6-$D31))),"")))</ns0:f>
      </ns0:c>
      <ns0:c r="W31" s="22" t="str">
        <ns0:f>IF($A31="","",IF($I31="Yes",IF(W$6=$D31,"◆",""),IF(AND(W$6&gt;=$D31,W$6&lt;=$E31),MAX(0,MIN(1,$G31*$F31-(W$6-$D31))),"")))</ns0:f>
      </ns0:c>
      <ns0:c r="X31" s="22" t="str">
        <ns0:f>IF($A31="","",IF($I31="Yes",IF(X$6=$D31,"◆",""),IF(AND(X$6&gt;=$D31,X$6&lt;=$E31),MAX(0,MIN(1,$G31*$F31-(X$6-$D31))),"")))</ns0:f>
      </ns0:c>
      <ns0:c r="Y31" s="22" t="str">
        <ns0:f>IF($A31="","",IF($I31="Yes",IF(Y$6=$D31,"◆",""),IF(AND(Y$6&gt;=$D31,Y$6&lt;=$E31),MAX(0,MIN(1,$G31*$F31-(Y$6-$D31))),"")))</ns0:f>
      </ns0:c>
      <ns0:c r="Z31" s="22" t="str">
        <ns0:f>IF($A31="","",IF($I31="Yes",IF(Z$6=$D31,"◆",""),IF(AND(Z$6&gt;=$D31,Z$6&lt;=$E31),MAX(0,MIN(1,$G31*$F31-(Z$6-$D31))),"")))</ns0:f>
      </ns0:c>
      <ns0:c r="AA31" s="22" t="str">
        <ns0:f>IF($A31="","",IF($I31="Yes",IF(AA$6=$D31,"◆",""),IF(AND(AA$6&gt;=$D31,AA$6&lt;=$E31),MAX(0,MIN(1,$G31*$F31-(AA$6-$D31))),"")))</ns0:f>
      </ns0:c>
      <ns0:c r="AB31" s="22" t="str">
        <ns0:f>IF($A31="","",IF($I31="Yes",IF(AB$6=$D31,"◆",""),IF(AND(AB$6&gt;=$D31,AB$6&lt;=$E31),MAX(0,MIN(1,$G31*$F31-(AB$6-$D31))),"")))</ns0:f>
      </ns0:c>
      <ns0:c r="AC31" s="22" t="str">
        <ns0:f>IF($A31="","",IF($I31="Yes",IF(AC$6=$D31,"◆",""),IF(AND(AC$6&gt;=$D31,AC$6&lt;=$E31),MAX(0,MIN(1,$G31*$F31-(AC$6-$D31))),"")))</ns0:f>
      </ns0:c>
      <ns0:c r="AD31" s="22" t="str">
        <ns0:f>IF($A31="","",IF($I31="Yes",IF(AD$6=$D31,"◆",""),IF(AND(AD$6&gt;=$D31,AD$6&lt;=$E31),MAX(0,MIN(1,$G31*$F31-(AD$6-$D31))),"")))</ns0:f>
      </ns0:c>
      <ns0:c r="AE31" s="22" t="str">
        <ns0:f>IF($A31="","",IF($I31="Yes",IF(AE$6=$D31,"◆",""),IF(AND(AE$6&gt;=$D31,AE$6&lt;=$E31),MAX(0,MIN(1,$G31*$F31-(AE$6-$D31))),"")))</ns0:f>
      </ns0:c>
      <ns0:c r="AF31" s="22" t="str">
        <ns0:f>IF($A31="","",IF($I31="Yes",IF(AF$6=$D31,"◆",""),IF(AND(AF$6&gt;=$D31,AF$6&lt;=$E31),MAX(0,MIN(1,$G31*$F31-(AF$6-$D31))),"")))</ns0:f>
        <ns0:v>◆</ns0:v>
      </ns0:c>
      <ns0:c r="AG31" s="22" t="str">
        <ns0:f>IF($A31="","",IF($I31="Yes",IF(AG$6=$D31,"◆",""),IF(AND(AG$6&gt;=$D31,AG$6&lt;=$E31),MAX(0,MIN(1,$G31*$F31-(AG$6-$D31))),"")))</ns0:f>
      </ns0:c>
      <ns0:c r="AH31" s="22" t="str">
        <ns0:f>IF($A31="","",IF($I31="Yes",IF(AH$6=$D31,"◆",""),IF(AND(AH$6&gt;=$D31,AH$6&lt;=$E31),MAX(0,MIN(1,$G31*$F31-(AH$6-$D31))),"")))</ns0:f>
      </ns0:c>
      <ns0:c r="AI31" s="22" t="str">
        <ns0:f>IF($A31="","",IF($I31="Yes",IF(AI$6=$D31,"◆",""),IF(AND(AI$6&gt;=$D31,AI$6&lt;=$E31),MAX(0,MIN(1,$G31*$F31-(AI$6-$D31))),"")))</ns0:f>
      </ns0:c>
      <ns0:c r="AJ31" s="22" t="str">
        <ns0:f>IF($A31="","",IF($I31="Yes",IF(AJ$6=$D31,"◆",""),IF(AND(AJ$6&gt;=$D31,AJ$6&lt;=$E31),MAX(0,MIN(1,$G31*$F31-(AJ$6-$D31))),"")))</ns0:f>
      </ns0:c>
      <ns0:c r="AK31" s="22" t="str">
        <ns0:f>IF($A31="","",IF($I31="Yes",IF(AK$6=$D31,"◆",""),IF(AND(AK$6&gt;=$D31,AK$6&lt;=$E31),MAX(0,MIN(1,$G31*$F31-(AK$6-$D31))),"")))</ns0:f>
      </ns0:c>
      <ns0:c r="AL31" s="22" t="str">
        <ns0:f>IF($A31="","",IF($I31="Yes",IF(AL$6=$D31,"◆",""),IF(AND(AL$6&gt;=$D31,AL$6&lt;=$E31),MAX(0,MIN(1,$G31*$F31-(AL$6-$D31))),"")))</ns0:f>
      </ns0:c>
      <ns0:c r="AM31" s="22" t="str">
        <ns0:f>IF($A31="","",IF($I31="Yes",IF(AM$6=$D31,"◆",""),IF(AND(AM$6&gt;=$D31,AM$6&lt;=$E31),MAX(0,MIN(1,$G31*$F31-(AM$6-$D31))),"")))</ns0:f>
      </ns0:c>
      <ns0:c r="AN31" s="22" t="str">
        <ns0:f>IF($A31="","",IF($I31="Yes",IF(AN$6=$D31,"◆",""),IF(AND(AN$6&gt;=$D31,AN$6&lt;=$E31),MAX(0,MIN(1,$G31*$F31-(AN$6-$D31))),"")))</ns0:f>
      </ns0:c>
      <ns0:c r="AO31" s="22" t="str">
        <ns0:f>IF($A31="","",IF($I31="Yes",IF(AO$6=$D31,"◆",""),IF(AND(AO$6&gt;=$D31,AO$6&lt;=$E31),MAX(0,MIN(1,$G31*$F31-(AO$6-$D31))),"")))</ns0:f>
      </ns0:c>
      <ns0:c r="AP31" s="22" t="str">
        <ns0:f>IF($A31="","",IF($I31="Yes",IF(AP$6=$D31,"◆",""),IF(AND(AP$6&gt;=$D31,AP$6&lt;=$E31),MAX(0,MIN(1,$G31*$F31-(AP$6-$D31))),"")))</ns0:f>
      </ns0:c>
      <ns0:c r="AQ31" s="22" t="str">
        <ns0:f>IF($A31="","",IF($I31="Yes",IF(AQ$6=$D31,"◆",""),IF(AND(AQ$6&gt;=$D31,AQ$6&lt;=$E31),MAX(0,MIN(1,$G31*$F31-(AQ$6-$D31))),"")))</ns0:f>
      </ns0:c>
      <ns0:c r="AR31" s="22" t="str">
        <ns0:f>IF($A31="","",IF($I31="Yes",IF(AR$6=$D31,"◆",""),IF(AND(AR$6&gt;=$D31,AR$6&lt;=$E31),MAX(0,MIN(1,$G31*$F31-(AR$6-$D31))),"")))</ns0:f>
      </ns0:c>
    </ns0:row>
    <ns0:row r="32" ht="48" customHeight="1">
      <ns0:c r="A32" s="8" t="str">
        <ns0:f>IF(INDEX(Tasks[Task ID],26)="","",INDEX(Tasks[Task ID],26))</ns0:f>
        <ns0:v>T22</ns0:v>
      </ns0:c>
      <ns0:c r="B32" s="8" t="str">
        <ns0:f>IF(INDEX(Tasks[Task ID],26)="","",INDEX(Tasks[Phase],26))</ns0:f>
        <ns0:v>Evidence &amp; approval</ns0:v>
      </ns0:c>
      <ns0:c r="C32" s="8" t="str">
        <ns0:f>IF(INDEX(Tasks[Task ID],26)="","",INDEX(Tasks[Task Name],26))</ns0:f>
        <ns0:v>Consolidate worker evidence envelopes &amp; verify confidence intervals</ns0:v>
      </ns0:c>
      <ns0:c r="D32" s="18" t="n">
        <ns0:f>IF(INDEX(Tasks[Task ID],26)="","",INDEX(Tasks[Start Date],26))</ns0:f>
        <ns0:v>46293</ns0:v>
      </ns0:c>
      <ns0:c r="E32" s="18" t="n">
        <ns0:f>IF(INDEX(Tasks[Task ID],26)="","",INDEX(Tasks[End Date],26))</ns0:f>
        <ns0:v>46294</ns0:v>
      </ns0:c>
      <ns0:c r="F32" s="8" t="n">
        <ns0:f>IF(INDEX(Tasks[Task ID],26)="","",INDEX(Tasks[Duration],26))</ns0:f>
        <ns0:v>2</ns0:v>
      </ns0:c>
      <ns0:c r="G32" s="19" t="n">
        <ns0:f>IF(INDEX(Tasks[Task ID],26)="","",INDEX(Tasks[Progress %],26))</ns0:f>
        <ns0:v>0</ns0:v>
      </ns0:c>
      <ns0:c r="H32" s="8" t="str">
        <ns0:f>IF(INDEX(Tasks[Task ID],26)="","",INDEX('Project Tracker'!$Q$7:$Q$106,26))</ns0:f>
        <ns0:v>Not Started</ns0:v>
      </ns0:c>
      <ns0:c r="I32" s="8" t="str">
        <ns0:f>IF(INDEX(Tasks[Task ID],26)="","",INDEX(Tasks[Milestone],26))</ns0:f>
        <ns0:v>No</ns0:v>
      </ns0:c>
      <ns0:c r="J32" s="8" t="str">
        <ns0:f>IF(INDEX(Tasks[Task ID],26)="","",INDEX(Tasks[Schedule Health],26))</ns0:f>
        <ns0:v>On track</ns0:v>
      </ns0:c>
      <ns0:c r="K32" s="22" t="str">
        <ns0:f>IF($A32="","",IF($I32="Yes",IF(K$6=$D32,"◆",""),IF(AND(K$6&gt;=$D32,K$6&lt;=$E32),MAX(0,MIN(1,$G32*$F32-(K$6-$D32))),"")))</ns0:f>
      </ns0:c>
      <ns0:c r="L32" s="22" t="str">
        <ns0:f>IF($A32="","",IF($I32="Yes",IF(L$6=$D32,"◆",""),IF(AND(L$6&gt;=$D32,L$6&lt;=$E32),MAX(0,MIN(1,$G32*$F32-(L$6-$D32))),"")))</ns0:f>
      </ns0:c>
      <ns0:c r="M32" s="22" t="str">
        <ns0:f>IF($A32="","",IF($I32="Yes",IF(M$6=$D32,"◆",""),IF(AND(M$6&gt;=$D32,M$6&lt;=$E32),MAX(0,MIN(1,$G32*$F32-(M$6-$D32))),"")))</ns0:f>
      </ns0:c>
      <ns0:c r="N32" s="22" t="str">
        <ns0:f>IF($A32="","",IF($I32="Yes",IF(N$6=$D32,"◆",""),IF(AND(N$6&gt;=$D32,N$6&lt;=$E32),MAX(0,MIN(1,$G32*$F32-(N$6-$D32))),"")))</ns0:f>
      </ns0:c>
      <ns0:c r="O32" s="22" t="str">
        <ns0:f>IF($A32="","",IF($I32="Yes",IF(O$6=$D32,"◆",""),IF(AND(O$6&gt;=$D32,O$6&lt;=$E32),MAX(0,MIN(1,$G32*$F32-(O$6-$D32))),"")))</ns0:f>
      </ns0:c>
      <ns0:c r="P32" s="22" t="str">
        <ns0:f>IF($A32="","",IF($I32="Yes",IF(P$6=$D32,"◆",""),IF(AND(P$6&gt;=$D32,P$6&lt;=$E32),MAX(0,MIN(1,$G32*$F32-(P$6-$D32))),"")))</ns0:f>
      </ns0:c>
      <ns0:c r="Q32" s="22" t="str">
        <ns0:f>IF($A32="","",IF($I32="Yes",IF(Q$6=$D32,"◆",""),IF(AND(Q$6&gt;=$D32,Q$6&lt;=$E32),MAX(0,MIN(1,$G32*$F32-(Q$6-$D32))),"")))</ns0:f>
      </ns0:c>
      <ns0:c r="R32" s="22" t="str">
        <ns0:f>IF($A32="","",IF($I32="Yes",IF(R$6=$D32,"◆",""),IF(AND(R$6&gt;=$D32,R$6&lt;=$E32),MAX(0,MIN(1,$G32*$F32-(R$6-$D32))),"")))</ns0:f>
      </ns0:c>
      <ns0:c r="S32" s="22" t="str">
        <ns0:f>IF($A32="","",IF($I32="Yes",IF(S$6=$D32,"◆",""),IF(AND(S$6&gt;=$D32,S$6&lt;=$E32),MAX(0,MIN(1,$G32*$F32-(S$6-$D32))),"")))</ns0:f>
      </ns0:c>
      <ns0:c r="T32" s="22" t="str">
        <ns0:f>IF($A32="","",IF($I32="Yes",IF(T$6=$D32,"◆",""),IF(AND(T$6&gt;=$D32,T$6&lt;=$E32),MAX(0,MIN(1,$G32*$F32-(T$6-$D32))),"")))</ns0:f>
      </ns0:c>
      <ns0:c r="U32" s="22" t="str">
        <ns0:f>IF($A32="","",IF($I32="Yes",IF(U$6=$D32,"◆",""),IF(AND(U$6&gt;=$D32,U$6&lt;=$E32),MAX(0,MIN(1,$G32*$F32-(U$6-$D32))),"")))</ns0:f>
      </ns0:c>
      <ns0:c r="V32" s="22" t="str">
        <ns0:f>IF($A32="","",IF($I32="Yes",IF(V$6=$D32,"◆",""),IF(AND(V$6&gt;=$D32,V$6&lt;=$E32),MAX(0,MIN(1,$G32*$F32-(V$6-$D32))),"")))</ns0:f>
      </ns0:c>
      <ns0:c r="W32" s="22" t="str">
        <ns0:f>IF($A32="","",IF($I32="Yes",IF(W$6=$D32,"◆",""),IF(AND(W$6&gt;=$D32,W$6&lt;=$E32),MAX(0,MIN(1,$G32*$F32-(W$6-$D32))),"")))</ns0:f>
      </ns0:c>
      <ns0:c r="X32" s="22" t="str">
        <ns0:f>IF($A32="","",IF($I32="Yes",IF(X$6=$D32,"◆",""),IF(AND(X$6&gt;=$D32,X$6&lt;=$E32),MAX(0,MIN(1,$G32*$F32-(X$6-$D32))),"")))</ns0:f>
      </ns0:c>
      <ns0:c r="Y32" s="22" t="str">
        <ns0:f>IF($A32="","",IF($I32="Yes",IF(Y$6=$D32,"◆",""),IF(AND(Y$6&gt;=$D32,Y$6&lt;=$E32),MAX(0,MIN(1,$G32*$F32-(Y$6-$D32))),"")))</ns0:f>
      </ns0:c>
      <ns0:c r="Z32" s="22" t="str">
        <ns0:f>IF($A32="","",IF($I32="Yes",IF(Z$6=$D32,"◆",""),IF(AND(Z$6&gt;=$D32,Z$6&lt;=$E32),MAX(0,MIN(1,$G32*$F32-(Z$6-$D32))),"")))</ns0:f>
      </ns0:c>
      <ns0:c r="AA32" s="22" t="str">
        <ns0:f>IF($A32="","",IF($I32="Yes",IF(AA$6=$D32,"◆",""),IF(AND(AA$6&gt;=$D32,AA$6&lt;=$E32),MAX(0,MIN(1,$G32*$F32-(AA$6-$D32))),"")))</ns0:f>
      </ns0:c>
      <ns0:c r="AB32" s="22" t="n">
        <ns0:f>IF($A32="","",IF($I32="Yes",IF(AB$6=$D32,"◆",""),IF(AND(AB$6&gt;=$D32,AB$6&lt;=$E32),MAX(0,MIN(1,$G32*$F32-(AB$6-$D32))),"")))</ns0:f>
        <ns0:v>0</ns0:v>
      </ns0:c>
      <ns0:c r="AC32" s="22" t="n">
        <ns0:f>IF($A32="","",IF($I32="Yes",IF(AC$6=$D32,"◆",""),IF(AND(AC$6&gt;=$D32,AC$6&lt;=$E32),MAX(0,MIN(1,$G32*$F32-(AC$6-$D32))),"")))</ns0:f>
        <ns0:v>0</ns0:v>
      </ns0:c>
      <ns0:c r="AD32" s="22" t="str">
        <ns0:f>IF($A32="","",IF($I32="Yes",IF(AD$6=$D32,"◆",""),IF(AND(AD$6&gt;=$D32,AD$6&lt;=$E32),MAX(0,MIN(1,$G32*$F32-(AD$6-$D32))),"")))</ns0:f>
      </ns0:c>
      <ns0:c r="AE32" s="22" t="str">
        <ns0:f>IF($A32="","",IF($I32="Yes",IF(AE$6=$D32,"◆",""),IF(AND(AE$6&gt;=$D32,AE$6&lt;=$E32),MAX(0,MIN(1,$G32*$F32-(AE$6-$D32))),"")))</ns0:f>
      </ns0:c>
      <ns0:c r="AF32" s="22" t="str">
        <ns0:f>IF($A32="","",IF($I32="Yes",IF(AF$6=$D32,"◆",""),IF(AND(AF$6&gt;=$D32,AF$6&lt;=$E32),MAX(0,MIN(1,$G32*$F32-(AF$6-$D32))),"")))</ns0:f>
      </ns0:c>
      <ns0:c r="AG32" s="22" t="str">
        <ns0:f>IF($A32="","",IF($I32="Yes",IF(AG$6=$D32,"◆",""),IF(AND(AG$6&gt;=$D32,AG$6&lt;=$E32),MAX(0,MIN(1,$G32*$F32-(AG$6-$D32))),"")))</ns0:f>
      </ns0:c>
      <ns0:c r="AH32" s="22" t="str">
        <ns0:f>IF($A32="","",IF($I32="Yes",IF(AH$6=$D32,"◆",""),IF(AND(AH$6&gt;=$D32,AH$6&lt;=$E32),MAX(0,MIN(1,$G32*$F32-(AH$6-$D32))),"")))</ns0:f>
      </ns0:c>
      <ns0:c r="AI32" s="22" t="str">
        <ns0:f>IF($A32="","",IF($I32="Yes",IF(AI$6=$D32,"◆",""),IF(AND(AI$6&gt;=$D32,AI$6&lt;=$E32),MAX(0,MIN(1,$G32*$F32-(AI$6-$D32))),"")))</ns0:f>
      </ns0:c>
      <ns0:c r="AJ32" s="22" t="str">
        <ns0:f>IF($A32="","",IF($I32="Yes",IF(AJ$6=$D32,"◆",""),IF(AND(AJ$6&gt;=$D32,AJ$6&lt;=$E32),MAX(0,MIN(1,$G32*$F32-(AJ$6-$D32))),"")))</ns0:f>
      </ns0:c>
      <ns0:c r="AK32" s="22" t="str">
        <ns0:f>IF($A32="","",IF($I32="Yes",IF(AK$6=$D32,"◆",""),IF(AND(AK$6&gt;=$D32,AK$6&lt;=$E32),MAX(0,MIN(1,$G32*$F32-(AK$6-$D32))),"")))</ns0:f>
      </ns0:c>
      <ns0:c r="AL32" s="22" t="str">
        <ns0:f>IF($A32="","",IF($I32="Yes",IF(AL$6=$D32,"◆",""),IF(AND(AL$6&gt;=$D32,AL$6&lt;=$E32),MAX(0,MIN(1,$G32*$F32-(AL$6-$D32))),"")))</ns0:f>
      </ns0:c>
      <ns0:c r="AM32" s="22" t="str">
        <ns0:f>IF($A32="","",IF($I32="Yes",IF(AM$6=$D32,"◆",""),IF(AND(AM$6&gt;=$D32,AM$6&lt;=$E32),MAX(0,MIN(1,$G32*$F32-(AM$6-$D32))),"")))</ns0:f>
      </ns0:c>
      <ns0:c r="AN32" s="22" t="str">
        <ns0:f>IF($A32="","",IF($I32="Yes",IF(AN$6=$D32,"◆",""),IF(AND(AN$6&gt;=$D32,AN$6&lt;=$E32),MAX(0,MIN(1,$G32*$F32-(AN$6-$D32))),"")))</ns0:f>
      </ns0:c>
      <ns0:c r="AO32" s="22" t="str">
        <ns0:f>IF($A32="","",IF($I32="Yes",IF(AO$6=$D32,"◆",""),IF(AND(AO$6&gt;=$D32,AO$6&lt;=$E32),MAX(0,MIN(1,$G32*$F32-(AO$6-$D32))),"")))</ns0:f>
      </ns0:c>
      <ns0:c r="AP32" s="22" t="str">
        <ns0:f>IF($A32="","",IF($I32="Yes",IF(AP$6=$D32,"◆",""),IF(AND(AP$6&gt;=$D32,AP$6&lt;=$E32),MAX(0,MIN(1,$G32*$F32-(AP$6-$D32))),"")))</ns0:f>
      </ns0:c>
      <ns0:c r="AQ32" s="22" t="str">
        <ns0:f>IF($A32="","",IF($I32="Yes",IF(AQ$6=$D32,"◆",""),IF(AND(AQ$6&gt;=$D32,AQ$6&lt;=$E32),MAX(0,MIN(1,$G32*$F32-(AQ$6-$D32))),"")))</ns0:f>
      </ns0:c>
      <ns0:c r="AR32" s="22" t="str">
        <ns0:f>IF($A32="","",IF($I32="Yes",IF(AR$6=$D32,"◆",""),IF(AND(AR$6&gt;=$D32,AR$6&lt;=$E32),MAX(0,MIN(1,$G32*$F32-(AR$6-$D32))),"")))</ns0:f>
      </ns0:c>
    </ns0:row>
    <ns0:row r="33" ht="48" customHeight="1">
      <ns0:c r="A33" s="8" t="str">
        <ns0:f>IF(INDEX(Tasks[Task ID],27)="","",INDEX(Tasks[Task ID],27))</ns0:f>
        <ns0:v>T23</ns0:v>
      </ns0:c>
      <ns0:c r="B33" s="8" t="str">
        <ns0:f>IF(INDEX(Tasks[Task ID],27)="","",INDEX(Tasks[Phase],27))</ns0:f>
        <ns0:v>Evidence &amp; approval</ns0:v>
      </ns0:c>
      <ns0:c r="C33" s="8" t="str">
        <ns0:f>IF(INDEX(Tasks[Task ID],27)="","",INDEX(Tasks[Task Name],27))</ns0:f>
        <ns0:v>Generate structured action previews (spend, code diffs, claims, copy)</ns0:v>
      </ns0:c>
      <ns0:c r="D33" s="18" t="n">
        <ns0:f>IF(INDEX(Tasks[Task ID],27)="","",INDEX(Tasks[Start Date],27))</ns0:f>
        <ns0:v>46295</ns0:v>
      </ns0:c>
      <ns0:c r="E33" s="18" t="n">
        <ns0:f>IF(INDEX(Tasks[Task ID],27)="","",INDEX(Tasks[End Date],27))</ns0:f>
        <ns0:v>46295</ns0:v>
      </ns0:c>
      <ns0:c r="F33" s="8" t="n">
        <ns0:f>IF(INDEX(Tasks[Task ID],27)="","",INDEX(Tasks[Duration],27))</ns0:f>
        <ns0:v>1</ns0:v>
      </ns0:c>
      <ns0:c r="G33" s="19" t="n">
        <ns0:f>IF(INDEX(Tasks[Task ID],27)="","",INDEX(Tasks[Progress %],27))</ns0:f>
        <ns0:v>0</ns0:v>
      </ns0:c>
      <ns0:c r="H33" s="8" t="str">
        <ns0:f>IF(INDEX(Tasks[Task ID],27)="","",INDEX('Project Tracker'!$Q$7:$Q$106,27))</ns0:f>
        <ns0:v>Not Started</ns0:v>
      </ns0:c>
      <ns0:c r="I33" s="8" t="str">
        <ns0:f>IF(INDEX(Tasks[Task ID],27)="","",INDEX(Tasks[Milestone],27))</ns0:f>
        <ns0:v>No</ns0:v>
      </ns0:c>
      <ns0:c r="J33" s="8" t="str">
        <ns0:f>IF(INDEX(Tasks[Task ID],27)="","",INDEX(Tasks[Schedule Health],27))</ns0:f>
        <ns0:v>On track</ns0:v>
      </ns0:c>
      <ns0:c r="K33" s="22" t="str">
        <ns0:f>IF($A33="","",IF($I33="Yes",IF(K$6=$D33,"◆",""),IF(AND(K$6&gt;=$D33,K$6&lt;=$E33),MAX(0,MIN(1,$G33*$F33-(K$6-$D33))),"")))</ns0:f>
      </ns0:c>
      <ns0:c r="L33" s="22" t="str">
        <ns0:f>IF($A33="","",IF($I33="Yes",IF(L$6=$D33,"◆",""),IF(AND(L$6&gt;=$D33,L$6&lt;=$E33),MAX(0,MIN(1,$G33*$F33-(L$6-$D33))),"")))</ns0:f>
      </ns0:c>
      <ns0:c r="M33" s="22" t="str">
        <ns0:f>IF($A33="","",IF($I33="Yes",IF(M$6=$D33,"◆",""),IF(AND(M$6&gt;=$D33,M$6&lt;=$E33),MAX(0,MIN(1,$G33*$F33-(M$6-$D33))),"")))</ns0:f>
      </ns0:c>
      <ns0:c r="N33" s="22" t="str">
        <ns0:f>IF($A33="","",IF($I33="Yes",IF(N$6=$D33,"◆",""),IF(AND(N$6&gt;=$D33,N$6&lt;=$E33),MAX(0,MIN(1,$G33*$F33-(N$6-$D33))),"")))</ns0:f>
      </ns0:c>
      <ns0:c r="O33" s="22" t="str">
        <ns0:f>IF($A33="","",IF($I33="Yes",IF(O$6=$D33,"◆",""),IF(AND(O$6&gt;=$D33,O$6&lt;=$E33),MAX(0,MIN(1,$G33*$F33-(O$6-$D33))),"")))</ns0:f>
      </ns0:c>
      <ns0:c r="P33" s="22" t="str">
        <ns0:f>IF($A33="","",IF($I33="Yes",IF(P$6=$D33,"◆",""),IF(AND(P$6&gt;=$D33,P$6&lt;=$E33),MAX(0,MIN(1,$G33*$F33-(P$6-$D33))),"")))</ns0:f>
      </ns0:c>
      <ns0:c r="Q33" s="22" t="str">
        <ns0:f>IF($A33="","",IF($I33="Yes",IF(Q$6=$D33,"◆",""),IF(AND(Q$6&gt;=$D33,Q$6&lt;=$E33),MAX(0,MIN(1,$G33*$F33-(Q$6-$D33))),"")))</ns0:f>
      </ns0:c>
      <ns0:c r="R33" s="22" t="str">
        <ns0:f>IF($A33="","",IF($I33="Yes",IF(R$6=$D33,"◆",""),IF(AND(R$6&gt;=$D33,R$6&lt;=$E33),MAX(0,MIN(1,$G33*$F33-(R$6-$D33))),"")))</ns0:f>
      </ns0:c>
      <ns0:c r="S33" s="22" t="str">
        <ns0:f>IF($A33="","",IF($I33="Yes",IF(S$6=$D33,"◆",""),IF(AND(S$6&gt;=$D33,S$6&lt;=$E33),MAX(0,MIN(1,$G33*$F33-(S$6-$D33))),"")))</ns0:f>
      </ns0:c>
      <ns0:c r="T33" s="22" t="str">
        <ns0:f>IF($A33="","",IF($I33="Yes",IF(T$6=$D33,"◆",""),IF(AND(T$6&gt;=$D33,T$6&lt;=$E33),MAX(0,MIN(1,$G33*$F33-(T$6-$D33))),"")))</ns0:f>
      </ns0:c>
      <ns0:c r="U33" s="22" t="str">
        <ns0:f>IF($A33="","",IF($I33="Yes",IF(U$6=$D33,"◆",""),IF(AND(U$6&gt;=$D33,U$6&lt;=$E33),MAX(0,MIN(1,$G33*$F33-(U$6-$D33))),"")))</ns0:f>
      </ns0:c>
      <ns0:c r="V33" s="22" t="str">
        <ns0:f>IF($A33="","",IF($I33="Yes",IF(V$6=$D33,"◆",""),IF(AND(V$6&gt;=$D33,V$6&lt;=$E33),MAX(0,MIN(1,$G33*$F33-(V$6-$D33))),"")))</ns0:f>
      </ns0:c>
      <ns0:c r="W33" s="22" t="str">
        <ns0:f>IF($A33="","",IF($I33="Yes",IF(W$6=$D33,"◆",""),IF(AND(W$6&gt;=$D33,W$6&lt;=$E33),MAX(0,MIN(1,$G33*$F33-(W$6-$D33))),"")))</ns0:f>
      </ns0:c>
      <ns0:c r="X33" s="22" t="str">
        <ns0:f>IF($A33="","",IF($I33="Yes",IF(X$6=$D33,"◆",""),IF(AND(X$6&gt;=$D33,X$6&lt;=$E33),MAX(0,MIN(1,$G33*$F33-(X$6-$D33))),"")))</ns0:f>
      </ns0:c>
      <ns0:c r="Y33" s="22" t="str">
        <ns0:f>IF($A33="","",IF($I33="Yes",IF(Y$6=$D33,"◆",""),IF(AND(Y$6&gt;=$D33,Y$6&lt;=$E33),MAX(0,MIN(1,$G33*$F33-(Y$6-$D33))),"")))</ns0:f>
      </ns0:c>
      <ns0:c r="Z33" s="22" t="str">
        <ns0:f>IF($A33="","",IF($I33="Yes",IF(Z$6=$D33,"◆",""),IF(AND(Z$6&gt;=$D33,Z$6&lt;=$E33),MAX(0,MIN(1,$G33*$F33-(Z$6-$D33))),"")))</ns0:f>
      </ns0:c>
      <ns0:c r="AA33" s="22" t="str">
        <ns0:f>IF($A33="","",IF($I33="Yes",IF(AA$6=$D33,"◆",""),IF(AND(AA$6&gt;=$D33,AA$6&lt;=$E33),MAX(0,MIN(1,$G33*$F33-(AA$6-$D33))),"")))</ns0:f>
      </ns0:c>
      <ns0:c r="AB33" s="22" t="str">
        <ns0:f>IF($A33="","",IF($I33="Yes",IF(AB$6=$D33,"◆",""),IF(AND(AB$6&gt;=$D33,AB$6&lt;=$E33),MAX(0,MIN(1,$G33*$F33-(AB$6-$D33))),"")))</ns0:f>
      </ns0:c>
      <ns0:c r="AC33" s="22" t="str">
        <ns0:f>IF($A33="","",IF($I33="Yes",IF(AC$6=$D33,"◆",""),IF(AND(AC$6&gt;=$D33,AC$6&lt;=$E33),MAX(0,MIN(1,$G33*$F33-(AC$6-$D33))),"")))</ns0:f>
      </ns0:c>
      <ns0:c r="AD33" s="22" t="n">
        <ns0:f>IF($A33="","",IF($I33="Yes",IF(AD$6=$D33,"◆",""),IF(AND(AD$6&gt;=$D33,AD$6&lt;=$E33),MAX(0,MIN(1,$G33*$F33-(AD$6-$D33))),"")))</ns0:f>
        <ns0:v>0</ns0:v>
      </ns0:c>
      <ns0:c r="AE33" s="22" t="str">
        <ns0:f>IF($A33="","",IF($I33="Yes",IF(AE$6=$D33,"◆",""),IF(AND(AE$6&gt;=$D33,AE$6&lt;=$E33),MAX(0,MIN(1,$G33*$F33-(AE$6-$D33))),"")))</ns0:f>
      </ns0:c>
      <ns0:c r="AF33" s="22" t="str">
        <ns0:f>IF($A33="","",IF($I33="Yes",IF(AF$6=$D33,"◆",""),IF(AND(AF$6&gt;=$D33,AF$6&lt;=$E33),MAX(0,MIN(1,$G33*$F33-(AF$6-$D33))),"")))</ns0:f>
      </ns0:c>
      <ns0:c r="AG33" s="22" t="str">
        <ns0:f>IF($A33="","",IF($I33="Yes",IF(AG$6=$D33,"◆",""),IF(AND(AG$6&gt;=$D33,AG$6&lt;=$E33),MAX(0,MIN(1,$G33*$F33-(AG$6-$D33))),"")))</ns0:f>
      </ns0:c>
      <ns0:c r="AH33" s="22" t="str">
        <ns0:f>IF($A33="","",IF($I33="Yes",IF(AH$6=$D33,"◆",""),IF(AND(AH$6&gt;=$D33,AH$6&lt;=$E33),MAX(0,MIN(1,$G33*$F33-(AH$6-$D33))),"")))</ns0:f>
      </ns0:c>
      <ns0:c r="AI33" s="22" t="str">
        <ns0:f>IF($A33="","",IF($I33="Yes",IF(AI$6=$D33,"◆",""),IF(AND(AI$6&gt;=$D33,AI$6&lt;=$E33),MAX(0,MIN(1,$G33*$F33-(AI$6-$D33))),"")))</ns0:f>
      </ns0:c>
      <ns0:c r="AJ33" s="22" t="str">
        <ns0:f>IF($A33="","",IF($I33="Yes",IF(AJ$6=$D33,"◆",""),IF(AND(AJ$6&gt;=$D33,AJ$6&lt;=$E33),MAX(0,MIN(1,$G33*$F33-(AJ$6-$D33))),"")))</ns0:f>
      </ns0:c>
      <ns0:c r="AK33" s="22" t="str">
        <ns0:f>IF($A33="","",IF($I33="Yes",IF(AK$6=$D33,"◆",""),IF(AND(AK$6&gt;=$D33,AK$6&lt;=$E33),MAX(0,MIN(1,$G33*$F33-(AK$6-$D33))),"")))</ns0:f>
      </ns0:c>
      <ns0:c r="AL33" s="22" t="str">
        <ns0:f>IF($A33="","",IF($I33="Yes",IF(AL$6=$D33,"◆",""),IF(AND(AL$6&gt;=$D33,AL$6&lt;=$E33),MAX(0,MIN(1,$G33*$F33-(AL$6-$D33))),"")))</ns0:f>
      </ns0:c>
      <ns0:c r="AM33" s="22" t="str">
        <ns0:f>IF($A33="","",IF($I33="Yes",IF(AM$6=$D33,"◆",""),IF(AND(AM$6&gt;=$D33,AM$6&lt;=$E33),MAX(0,MIN(1,$G33*$F33-(AM$6-$D33))),"")))</ns0:f>
      </ns0:c>
      <ns0:c r="AN33" s="22" t="str">
        <ns0:f>IF($A33="","",IF($I33="Yes",IF(AN$6=$D33,"◆",""),IF(AND(AN$6&gt;=$D33,AN$6&lt;=$E33),MAX(0,MIN(1,$G33*$F33-(AN$6-$D33))),"")))</ns0:f>
      </ns0:c>
      <ns0:c r="AO33" s="22" t="str">
        <ns0:f>IF($A33="","",IF($I33="Yes",IF(AO$6=$D33,"◆",""),IF(AND(AO$6&gt;=$D33,AO$6&lt;=$E33),MAX(0,MIN(1,$G33*$F33-(AO$6-$D33))),"")))</ns0:f>
      </ns0:c>
      <ns0:c r="AP33" s="22" t="str">
        <ns0:f>IF($A33="","",IF($I33="Yes",IF(AP$6=$D33,"◆",""),IF(AND(AP$6&gt;=$D33,AP$6&lt;=$E33),MAX(0,MIN(1,$G33*$F33-(AP$6-$D33))),"")))</ns0:f>
      </ns0:c>
      <ns0:c r="AQ33" s="22" t="str">
        <ns0:f>IF($A33="","",IF($I33="Yes",IF(AQ$6=$D33,"◆",""),IF(AND(AQ$6&gt;=$D33,AQ$6&lt;=$E33),MAX(0,MIN(1,$G33*$F33-(AQ$6-$D33))),"")))</ns0:f>
      </ns0:c>
      <ns0:c r="AR33" s="22" t="str">
        <ns0:f>IF($A33="","",IF($I33="Yes",IF(AR$6=$D33,"◆",""),IF(AND(AR$6&gt;=$D33,AR$6&lt;=$E33),MAX(0,MIN(1,$G33*$F33-(AR$6-$D33))),"")))</ns0:f>
      </ns0:c>
    </ns0:row>
    <ns0:row r="34" ht="48" customHeight="1">
      <ns0:c r="A34" s="8" t="str">
        <ns0:f>IF(INDEX(Tasks[Task ID],28)="","",INDEX(Tasks[Task ID],28))</ns0:f>
        <ns0:v>T24</ns0:v>
      </ns0:c>
      <ns0:c r="B34" s="8" t="str">
        <ns0:f>IF(INDEX(Tasks[Task ID],28)="","",INDEX(Tasks[Phase],28))</ns0:f>
        <ns0:v>Evidence &amp; approval</ns0:v>
      </ns0:c>
      <ns0:c r="C34" s="8" t="str">
        <ns0:f>IF(INDEX(Tasks[Task ID],28)="","",INDEX(Tasks[Task Name],28))</ns0:f>
        <ns0:v>Execute Human-in-the-Loop (HITL) quality, legal, and deploy sign-off</ns0:v>
      </ns0:c>
      <ns0:c r="D34" s="18" t="n">
        <ns0:f>IF(INDEX(Tasks[Task ID],28)="","",INDEX(Tasks[Start Date],28))</ns0:f>
        <ns0:v>46296</ns0:v>
      </ns0:c>
      <ns0:c r="E34" s="18" t="n">
        <ns0:f>IF(INDEX(Tasks[Task ID],28)="","",INDEX(Tasks[End Date],28))</ns0:f>
        <ns0:v>46296</ns0:v>
      </ns0:c>
      <ns0:c r="F34" s="8" t="n">
        <ns0:f>IF(INDEX(Tasks[Task ID],28)="","",INDEX(Tasks[Duration],28))</ns0:f>
        <ns0:v>1</ns0:v>
      </ns0:c>
      <ns0:c r="G34" s="19" t="n">
        <ns0:f>IF(INDEX(Tasks[Task ID],28)="","",INDEX(Tasks[Progress %],28))</ns0:f>
        <ns0:v>0</ns0:v>
      </ns0:c>
      <ns0:c r="H34" s="8" t="str">
        <ns0:f>IF(INDEX(Tasks[Task ID],28)="","",INDEX('Project Tracker'!$Q$7:$Q$106,28))</ns0:f>
        <ns0:v>Not Started</ns0:v>
      </ns0:c>
      <ns0:c r="I34" s="8" t="str">
        <ns0:f>IF(INDEX(Tasks[Task ID],28)="","",INDEX(Tasks[Milestone],28))</ns0:f>
        <ns0:v>No</ns0:v>
      </ns0:c>
      <ns0:c r="J34" s="8" t="str">
        <ns0:f>IF(INDEX(Tasks[Task ID],28)="","",INDEX(Tasks[Schedule Health],28))</ns0:f>
        <ns0:v>On track</ns0:v>
      </ns0:c>
      <ns0:c r="K34" s="22" t="str">
        <ns0:f>IF($A34="","",IF($I34="Yes",IF(K$6=$D34,"◆",""),IF(AND(K$6&gt;=$D34,K$6&lt;=$E34),MAX(0,MIN(1,$G34*$F34-(K$6-$D34))),"")))</ns0:f>
      </ns0:c>
      <ns0:c r="L34" s="22" t="str">
        <ns0:f>IF($A34="","",IF($I34="Yes",IF(L$6=$D34,"◆",""),IF(AND(L$6&gt;=$D34,L$6&lt;=$E34),MAX(0,MIN(1,$G34*$F34-(L$6-$D34))),"")))</ns0:f>
      </ns0:c>
      <ns0:c r="M34" s="22" t="str">
        <ns0:f>IF($A34="","",IF($I34="Yes",IF(M$6=$D34,"◆",""),IF(AND(M$6&gt;=$D34,M$6&lt;=$E34),MAX(0,MIN(1,$G34*$F34-(M$6-$D34))),"")))</ns0:f>
      </ns0:c>
      <ns0:c r="N34" s="22" t="str">
        <ns0:f>IF($A34="","",IF($I34="Yes",IF(N$6=$D34,"◆",""),IF(AND(N$6&gt;=$D34,N$6&lt;=$E34),MAX(0,MIN(1,$G34*$F34-(N$6-$D34))),"")))</ns0:f>
      </ns0:c>
      <ns0:c r="O34" s="22" t="str">
        <ns0:f>IF($A34="","",IF($I34="Yes",IF(O$6=$D34,"◆",""),IF(AND(O$6&gt;=$D34,O$6&lt;=$E34),MAX(0,MIN(1,$G34*$F34-(O$6-$D34))),"")))</ns0:f>
      </ns0:c>
      <ns0:c r="P34" s="22" t="str">
        <ns0:f>IF($A34="","",IF($I34="Yes",IF(P$6=$D34,"◆",""),IF(AND(P$6&gt;=$D34,P$6&lt;=$E34),MAX(0,MIN(1,$G34*$F34-(P$6-$D34))),"")))</ns0:f>
      </ns0:c>
      <ns0:c r="Q34" s="22" t="str">
        <ns0:f>IF($A34="","",IF($I34="Yes",IF(Q$6=$D34,"◆",""),IF(AND(Q$6&gt;=$D34,Q$6&lt;=$E34),MAX(0,MIN(1,$G34*$F34-(Q$6-$D34))),"")))</ns0:f>
      </ns0:c>
      <ns0:c r="R34" s="22" t="str">
        <ns0:f>IF($A34="","",IF($I34="Yes",IF(R$6=$D34,"◆",""),IF(AND(R$6&gt;=$D34,R$6&lt;=$E34),MAX(0,MIN(1,$G34*$F34-(R$6-$D34))),"")))</ns0:f>
      </ns0:c>
      <ns0:c r="S34" s="22" t="str">
        <ns0:f>IF($A34="","",IF($I34="Yes",IF(S$6=$D34,"◆",""),IF(AND(S$6&gt;=$D34,S$6&lt;=$E34),MAX(0,MIN(1,$G34*$F34-(S$6-$D34))),"")))</ns0:f>
      </ns0:c>
      <ns0:c r="T34" s="22" t="str">
        <ns0:f>IF($A34="","",IF($I34="Yes",IF(T$6=$D34,"◆",""),IF(AND(T$6&gt;=$D34,T$6&lt;=$E34),MAX(0,MIN(1,$G34*$F34-(T$6-$D34))),"")))</ns0:f>
      </ns0:c>
      <ns0:c r="U34" s="22" t="str">
        <ns0:f>IF($A34="","",IF($I34="Yes",IF(U$6=$D34,"◆",""),IF(AND(U$6&gt;=$D34,U$6&lt;=$E34),MAX(0,MIN(1,$G34*$F34-(U$6-$D34))),"")))</ns0:f>
      </ns0:c>
      <ns0:c r="V34" s="22" t="str">
        <ns0:f>IF($A34="","",IF($I34="Yes",IF(V$6=$D34,"◆",""),IF(AND(V$6&gt;=$D34,V$6&lt;=$E34),MAX(0,MIN(1,$G34*$F34-(V$6-$D34))),"")))</ns0:f>
      </ns0:c>
      <ns0:c r="W34" s="22" t="str">
        <ns0:f>IF($A34="","",IF($I34="Yes",IF(W$6=$D34,"◆",""),IF(AND(W$6&gt;=$D34,W$6&lt;=$E34),MAX(0,MIN(1,$G34*$F34-(W$6-$D34))),"")))</ns0:f>
      </ns0:c>
      <ns0:c r="X34" s="22" t="str">
        <ns0:f>IF($A34="","",IF($I34="Yes",IF(X$6=$D34,"◆",""),IF(AND(X$6&gt;=$D34,X$6&lt;=$E34),MAX(0,MIN(1,$G34*$F34-(X$6-$D34))),"")))</ns0:f>
      </ns0:c>
      <ns0:c r="Y34" s="22" t="str">
        <ns0:f>IF($A34="","",IF($I34="Yes",IF(Y$6=$D34,"◆",""),IF(AND(Y$6&gt;=$D34,Y$6&lt;=$E34),MAX(0,MIN(1,$G34*$F34-(Y$6-$D34))),"")))</ns0:f>
      </ns0:c>
      <ns0:c r="Z34" s="22" t="str">
        <ns0:f>IF($A34="","",IF($I34="Yes",IF(Z$6=$D34,"◆",""),IF(AND(Z$6&gt;=$D34,Z$6&lt;=$E34),MAX(0,MIN(1,$G34*$F34-(Z$6-$D34))),"")))</ns0:f>
      </ns0:c>
      <ns0:c r="AA34" s="22" t="str">
        <ns0:f>IF($A34="","",IF($I34="Yes",IF(AA$6=$D34,"◆",""),IF(AND(AA$6&gt;=$D34,AA$6&lt;=$E34),MAX(0,MIN(1,$G34*$F34-(AA$6-$D34))),"")))</ns0:f>
      </ns0:c>
      <ns0:c r="AB34" s="22" t="str">
        <ns0:f>IF($A34="","",IF($I34="Yes",IF(AB$6=$D34,"◆",""),IF(AND(AB$6&gt;=$D34,AB$6&lt;=$E34),MAX(0,MIN(1,$G34*$F34-(AB$6-$D34))),"")))</ns0:f>
      </ns0:c>
      <ns0:c r="AC34" s="22" t="str">
        <ns0:f>IF($A34="","",IF($I34="Yes",IF(AC$6=$D34,"◆",""),IF(AND(AC$6&gt;=$D34,AC$6&lt;=$E34),MAX(0,MIN(1,$G34*$F34-(AC$6-$D34))),"")))</ns0:f>
      </ns0:c>
      <ns0:c r="AD34" s="22" t="str">
        <ns0:f>IF($A34="","",IF($I34="Yes",IF(AD$6=$D34,"◆",""),IF(AND(AD$6&gt;=$D34,AD$6&lt;=$E34),MAX(0,MIN(1,$G34*$F34-(AD$6-$D34))),"")))</ns0:f>
      </ns0:c>
      <ns0:c r="AE34" s="22" t="n">
        <ns0:f>IF($A34="","",IF($I34="Yes",IF(AE$6=$D34,"◆",""),IF(AND(AE$6&gt;=$D34,AE$6&lt;=$E34),MAX(0,MIN(1,$G34*$F34-(AE$6-$D34))),"")))</ns0:f>
        <ns0:v>0</ns0:v>
      </ns0:c>
      <ns0:c r="AF34" s="22" t="str">
        <ns0:f>IF($A34="","",IF($I34="Yes",IF(AF$6=$D34,"◆",""),IF(AND(AF$6&gt;=$D34,AF$6&lt;=$E34),MAX(0,MIN(1,$G34*$F34-(AF$6-$D34))),"")))</ns0:f>
      </ns0:c>
      <ns0:c r="AG34" s="22" t="str">
        <ns0:f>IF($A34="","",IF($I34="Yes",IF(AG$6=$D34,"◆",""),IF(AND(AG$6&gt;=$D34,AG$6&lt;=$E34),MAX(0,MIN(1,$G34*$F34-(AG$6-$D34))),"")))</ns0:f>
      </ns0:c>
      <ns0:c r="AH34" s="22" t="str">
        <ns0:f>IF($A34="","",IF($I34="Yes",IF(AH$6=$D34,"◆",""),IF(AND(AH$6&gt;=$D34,AH$6&lt;=$E34),MAX(0,MIN(1,$G34*$F34-(AH$6-$D34))),"")))</ns0:f>
      </ns0:c>
      <ns0:c r="AI34" s="22" t="str">
        <ns0:f>IF($A34="","",IF($I34="Yes",IF(AI$6=$D34,"◆",""),IF(AND(AI$6&gt;=$D34,AI$6&lt;=$E34),MAX(0,MIN(1,$G34*$F34-(AI$6-$D34))),"")))</ns0:f>
      </ns0:c>
      <ns0:c r="AJ34" s="22" t="str">
        <ns0:f>IF($A34="","",IF($I34="Yes",IF(AJ$6=$D34,"◆",""),IF(AND(AJ$6&gt;=$D34,AJ$6&lt;=$E34),MAX(0,MIN(1,$G34*$F34-(AJ$6-$D34))),"")))</ns0:f>
      </ns0:c>
      <ns0:c r="AK34" s="22" t="str">
        <ns0:f>IF($A34="","",IF($I34="Yes",IF(AK$6=$D34,"◆",""),IF(AND(AK$6&gt;=$D34,AK$6&lt;=$E34),MAX(0,MIN(1,$G34*$F34-(AK$6-$D34))),"")))</ns0:f>
      </ns0:c>
      <ns0:c r="AL34" s="22" t="str">
        <ns0:f>IF($A34="","",IF($I34="Yes",IF(AL$6=$D34,"◆",""),IF(AND(AL$6&gt;=$D34,AL$6&lt;=$E34),MAX(0,MIN(1,$G34*$F34-(AL$6-$D34))),"")))</ns0:f>
      </ns0:c>
      <ns0:c r="AM34" s="22" t="str">
        <ns0:f>IF($A34="","",IF($I34="Yes",IF(AM$6=$D34,"◆",""),IF(AND(AM$6&gt;=$D34,AM$6&lt;=$E34),MAX(0,MIN(1,$G34*$F34-(AM$6-$D34))),"")))</ns0:f>
      </ns0:c>
      <ns0:c r="AN34" s="22" t="str">
        <ns0:f>IF($A34="","",IF($I34="Yes",IF(AN$6=$D34,"◆",""),IF(AND(AN$6&gt;=$D34,AN$6&lt;=$E34),MAX(0,MIN(1,$G34*$F34-(AN$6-$D34))),"")))</ns0:f>
      </ns0:c>
      <ns0:c r="AO34" s="22" t="str">
        <ns0:f>IF($A34="","",IF($I34="Yes",IF(AO$6=$D34,"◆",""),IF(AND(AO$6&gt;=$D34,AO$6&lt;=$E34),MAX(0,MIN(1,$G34*$F34-(AO$6-$D34))),"")))</ns0:f>
      </ns0:c>
      <ns0:c r="AP34" s="22" t="str">
        <ns0:f>IF($A34="","",IF($I34="Yes",IF(AP$6=$D34,"◆",""),IF(AND(AP$6&gt;=$D34,AP$6&lt;=$E34),MAX(0,MIN(1,$G34*$F34-(AP$6-$D34))),"")))</ns0:f>
      </ns0:c>
      <ns0:c r="AQ34" s="22" t="str">
        <ns0:f>IF($A34="","",IF($I34="Yes",IF(AQ$6=$D34,"◆",""),IF(AND(AQ$6&gt;=$D34,AQ$6&lt;=$E34),MAX(0,MIN(1,$G34*$F34-(AQ$6-$D34))),"")))</ns0:f>
      </ns0:c>
      <ns0:c r="AR34" s="22" t="str">
        <ns0:f>IF($A34="","",IF($I34="Yes",IF(AR$6=$D34,"◆",""),IF(AND(AR$6&gt;=$D34,AR$6&lt;=$E34),MAX(0,MIN(1,$G34*$F34-(AR$6-$D34))),"")))</ns0:f>
      </ns0:c>
    </ns0:row>
    <ns0:row r="35" ht="48" customHeight="1">
      <ns0:c r="A35" s="8" t="str">
        <ns0:f>IF(INDEX(Tasks[Task ID],29)="","",INDEX(Tasks[Task ID],29))</ns0:f>
        <ns0:v>M5</ns0:v>
      </ns0:c>
      <ns0:c r="B35" s="8" t="str">
        <ns0:f>IF(INDEX(Tasks[Task ID],29)="","",INDEX(Tasks[Phase],29))</ns0:f>
        <ns0:v>Evidence &amp; approval</ns0:v>
      </ns0:c>
      <ns0:c r="C35" s="8" t="str">
        <ns0:f>IF(INDEX(Tasks[Task ID],29)="","",INDEX(Tasks[Task Name],29))</ns0:f>
        <ns0:v>HITL Gateway Clearance &amp; Cryptographic Authorization</ns0:v>
      </ns0:c>
      <ns0:c r="D35" s="18" t="n">
        <ns0:f>IF(INDEX(Tasks[Task ID],29)="","",INDEX(Tasks[Start Date],29))</ns0:f>
        <ns0:v>46301</ns0:v>
      </ns0:c>
      <ns0:c r="E35" s="18" t="n">
        <ns0:f>IF(INDEX(Tasks[Task ID],29)="","",INDEX(Tasks[End Date],29))</ns0:f>
        <ns0:v>46301</ns0:v>
      </ns0:c>
      <ns0:c r="F35" s="8" t="n">
        <ns0:f>IF(INDEX(Tasks[Task ID],29)="","",INDEX(Tasks[Duration],29))</ns0:f>
        <ns0:v>0</ns0:v>
      </ns0:c>
      <ns0:c r="G35" s="19" t="n">
        <ns0:f>IF(INDEX(Tasks[Task ID],29)="","",INDEX(Tasks[Progress %],29))</ns0:f>
        <ns0:v>0</ns0:v>
      </ns0:c>
      <ns0:c r="H35" s="8" t="str">
        <ns0:f>IF(INDEX(Tasks[Task ID],29)="","",INDEX('Project Tracker'!$Q$7:$Q$106,29))</ns0:f>
        <ns0:v>Not Started</ns0:v>
      </ns0:c>
      <ns0:c r="I35" s="8" t="str">
        <ns0:f>IF(INDEX(Tasks[Task ID],29)="","",INDEX(Tasks[Milestone],29))</ns0:f>
        <ns0:v>Yes</ns0:v>
      </ns0:c>
      <ns0:c r="J35" s="8" t="str">
        <ns0:f>IF(INDEX(Tasks[Task ID],29)="","",INDEX(Tasks[Schedule Health],29))</ns0:f>
        <ns0:v>On track</ns0:v>
      </ns0:c>
      <ns0:c r="K35" s="22" t="str">
        <ns0:f>IF($A35="","",IF($I35="Yes",IF(K$6=$D35,"◆",""),IF(AND(K$6&gt;=$D35,K$6&lt;=$E35),MAX(0,MIN(1,$G35*$F35-(K$6-$D35))),"")))</ns0:f>
      </ns0:c>
      <ns0:c r="L35" s="22" t="str">
        <ns0:f>IF($A35="","",IF($I35="Yes",IF(L$6=$D35,"◆",""),IF(AND(L$6&gt;=$D35,L$6&lt;=$E35),MAX(0,MIN(1,$G35*$F35-(L$6-$D35))),"")))</ns0:f>
      </ns0:c>
      <ns0:c r="M35" s="22" t="str">
        <ns0:f>IF($A35="","",IF($I35="Yes",IF(M$6=$D35,"◆",""),IF(AND(M$6&gt;=$D35,M$6&lt;=$E35),MAX(0,MIN(1,$G35*$F35-(M$6-$D35))),"")))</ns0:f>
      </ns0:c>
      <ns0:c r="N35" s="22" t="str">
        <ns0:f>IF($A35="","",IF($I35="Yes",IF(N$6=$D35,"◆",""),IF(AND(N$6&gt;=$D35,N$6&lt;=$E35),MAX(0,MIN(1,$G35*$F35-(N$6-$D35))),"")))</ns0:f>
      </ns0:c>
      <ns0:c r="O35" s="22" t="str">
        <ns0:f>IF($A35="","",IF($I35="Yes",IF(O$6=$D35,"◆",""),IF(AND(O$6&gt;=$D35,O$6&lt;=$E35),MAX(0,MIN(1,$G35*$F35-(O$6-$D35))),"")))</ns0:f>
      </ns0:c>
      <ns0:c r="P35" s="22" t="str">
        <ns0:f>IF($A35="","",IF($I35="Yes",IF(P$6=$D35,"◆",""),IF(AND(P$6&gt;=$D35,P$6&lt;=$E35),MAX(0,MIN(1,$G35*$F35-(P$6-$D35))),"")))</ns0:f>
      </ns0:c>
      <ns0:c r="Q35" s="22" t="str">
        <ns0:f>IF($A35="","",IF($I35="Yes",IF(Q$6=$D35,"◆",""),IF(AND(Q$6&gt;=$D35,Q$6&lt;=$E35),MAX(0,MIN(1,$G35*$F35-(Q$6-$D35))),"")))</ns0:f>
      </ns0:c>
      <ns0:c r="R35" s="22" t="str">
        <ns0:f>IF($A35="","",IF($I35="Yes",IF(R$6=$D35,"◆",""),IF(AND(R$6&gt;=$D35,R$6&lt;=$E35),MAX(0,MIN(1,$G35*$F35-(R$6-$D35))),"")))</ns0:f>
      </ns0:c>
      <ns0:c r="S35" s="22" t="str">
        <ns0:f>IF($A35="","",IF($I35="Yes",IF(S$6=$D35,"◆",""),IF(AND(S$6&gt;=$D35,S$6&lt;=$E35),MAX(0,MIN(1,$G35*$F35-(S$6-$D35))),"")))</ns0:f>
      </ns0:c>
      <ns0:c r="T35" s="22" t="str">
        <ns0:f>IF($A35="","",IF($I35="Yes",IF(T$6=$D35,"◆",""),IF(AND(T$6&gt;=$D35,T$6&lt;=$E35),MAX(0,MIN(1,$G35*$F35-(T$6-$D35))),"")))</ns0:f>
      </ns0:c>
      <ns0:c r="U35" s="22" t="str">
        <ns0:f>IF($A35="","",IF($I35="Yes",IF(U$6=$D35,"◆",""),IF(AND(U$6&gt;=$D35,U$6&lt;=$E35),MAX(0,MIN(1,$G35*$F35-(U$6-$D35))),"")))</ns0:f>
      </ns0:c>
      <ns0:c r="V35" s="22" t="str">
        <ns0:f>IF($A35="","",IF($I35="Yes",IF(V$6=$D35,"◆",""),IF(AND(V$6&gt;=$D35,V$6&lt;=$E35),MAX(0,MIN(1,$G35*$F35-(V$6-$D35))),"")))</ns0:f>
      </ns0:c>
      <ns0:c r="W35" s="22" t="str">
        <ns0:f>IF($A35="","",IF($I35="Yes",IF(W$6=$D35,"◆",""),IF(AND(W$6&gt;=$D35,W$6&lt;=$E35),MAX(0,MIN(1,$G35*$F35-(W$6-$D35))),"")))</ns0:f>
      </ns0:c>
      <ns0:c r="X35" s="22" t="str">
        <ns0:f>IF($A35="","",IF($I35="Yes",IF(X$6=$D35,"◆",""),IF(AND(X$6&gt;=$D35,X$6&lt;=$E35),MAX(0,MIN(1,$G35*$F35-(X$6-$D35))),"")))</ns0:f>
      </ns0:c>
      <ns0:c r="Y35" s="22" t="str">
        <ns0:f>IF($A35="","",IF($I35="Yes",IF(Y$6=$D35,"◆",""),IF(AND(Y$6&gt;=$D35,Y$6&lt;=$E35),MAX(0,MIN(1,$G35*$F35-(Y$6-$D35))),"")))</ns0:f>
      </ns0:c>
      <ns0:c r="Z35" s="22" t="str">
        <ns0:f>IF($A35="","",IF($I35="Yes",IF(Z$6=$D35,"◆",""),IF(AND(Z$6&gt;=$D35,Z$6&lt;=$E35),MAX(0,MIN(1,$G35*$F35-(Z$6-$D35))),"")))</ns0:f>
      </ns0:c>
      <ns0:c r="AA35" s="22" t="str">
        <ns0:f>IF($A35="","",IF($I35="Yes",IF(AA$6=$D35,"◆",""),IF(AND(AA$6&gt;=$D35,AA$6&lt;=$E35),MAX(0,MIN(1,$G35*$F35-(AA$6-$D35))),"")))</ns0:f>
      </ns0:c>
      <ns0:c r="AB35" s="22" t="str">
        <ns0:f>IF($A35="","",IF($I35="Yes",IF(AB$6=$D35,"◆",""),IF(AND(AB$6&gt;=$D35,AB$6&lt;=$E35),MAX(0,MIN(1,$G35*$F35-(AB$6-$D35))),"")))</ns0:f>
      </ns0:c>
      <ns0:c r="AC35" s="22" t="str">
        <ns0:f>IF($A35="","",IF($I35="Yes",IF(AC$6=$D35,"◆",""),IF(AND(AC$6&gt;=$D35,AC$6&lt;=$E35),MAX(0,MIN(1,$G35*$F35-(AC$6-$D35))),"")))</ns0:f>
      </ns0:c>
      <ns0:c r="AD35" s="22" t="str">
        <ns0:f>IF($A35="","",IF($I35="Yes",IF(AD$6=$D35,"◆",""),IF(AND(AD$6&gt;=$D35,AD$6&lt;=$E35),MAX(0,MIN(1,$G35*$F35-(AD$6-$D35))),"")))</ns0:f>
      </ns0:c>
      <ns0:c r="AE35" s="22" t="str">
        <ns0:f>IF($A35="","",IF($I35="Yes",IF(AE$6=$D35,"◆",""),IF(AND(AE$6&gt;=$D35,AE$6&lt;=$E35),MAX(0,MIN(1,$G35*$F35-(AE$6-$D35))),"")))</ns0:f>
      </ns0:c>
      <ns0:c r="AF35" s="22" t="str">
        <ns0:f>IF($A35="","",IF($I35="Yes",IF(AF$6=$D35,"◆",""),IF(AND(AF$6&gt;=$D35,AF$6&lt;=$E35),MAX(0,MIN(1,$G35*$F35-(AF$6-$D35))),"")))</ns0:f>
      </ns0:c>
      <ns0:c r="AG35" s="22" t="str">
        <ns0:f>IF($A35="","",IF($I35="Yes",IF(AG$6=$D35,"◆",""),IF(AND(AG$6&gt;=$D35,AG$6&lt;=$E35),MAX(0,MIN(1,$G35*$F35-(AG$6-$D35))),"")))</ns0:f>
      </ns0:c>
      <ns0:c r="AH35" s="22" t="str">
        <ns0:f>IF($A35="","",IF($I35="Yes",IF(AH$6=$D35,"◆",""),IF(AND(AH$6&gt;=$D35,AH$6&lt;=$E35),MAX(0,MIN(1,$G35*$F35-(AH$6-$D35))),"")))</ns0:f>
      </ns0:c>
      <ns0:c r="AI35" s="22" t="str">
        <ns0:f>IF($A35="","",IF($I35="Yes",IF(AI$6=$D35,"◆",""),IF(AND(AI$6&gt;=$D35,AI$6&lt;=$E35),MAX(0,MIN(1,$G35*$F35-(AI$6-$D35))),"")))</ns0:f>
      </ns0:c>
      <ns0:c r="AJ35" s="22" t="str">
        <ns0:f>IF($A35="","",IF($I35="Yes",IF(AJ$6=$D35,"◆",""),IF(AND(AJ$6&gt;=$D35,AJ$6&lt;=$E35),MAX(0,MIN(1,$G35*$F35-(AJ$6-$D35))),"")))</ns0:f>
        <ns0:v>◆</ns0:v>
      </ns0:c>
      <ns0:c r="AK35" s="22" t="str">
        <ns0:f>IF($A35="","",IF($I35="Yes",IF(AK$6=$D35,"◆",""),IF(AND(AK$6&gt;=$D35,AK$6&lt;=$E35),MAX(0,MIN(1,$G35*$F35-(AK$6-$D35))),"")))</ns0:f>
      </ns0:c>
      <ns0:c r="AL35" s="22" t="str">
        <ns0:f>IF($A35="","",IF($I35="Yes",IF(AL$6=$D35,"◆",""),IF(AND(AL$6&gt;=$D35,AL$6&lt;=$E35),MAX(0,MIN(1,$G35*$F35-(AL$6-$D35))),"")))</ns0:f>
      </ns0:c>
      <ns0:c r="AM35" s="22" t="str">
        <ns0:f>IF($A35="","",IF($I35="Yes",IF(AM$6=$D35,"◆",""),IF(AND(AM$6&gt;=$D35,AM$6&lt;=$E35),MAX(0,MIN(1,$G35*$F35-(AM$6-$D35))),"")))</ns0:f>
      </ns0:c>
      <ns0:c r="AN35" s="22" t="str">
        <ns0:f>IF($A35="","",IF($I35="Yes",IF(AN$6=$D35,"◆",""),IF(AND(AN$6&gt;=$D35,AN$6&lt;=$E35),MAX(0,MIN(1,$G35*$F35-(AN$6-$D35))),"")))</ns0:f>
      </ns0:c>
      <ns0:c r="AO35" s="22" t="str">
        <ns0:f>IF($A35="","",IF($I35="Yes",IF(AO$6=$D35,"◆",""),IF(AND(AO$6&gt;=$D35,AO$6&lt;=$E35),MAX(0,MIN(1,$G35*$F35-(AO$6-$D35))),"")))</ns0:f>
      </ns0:c>
      <ns0:c r="AP35" s="22" t="str">
        <ns0:f>IF($A35="","",IF($I35="Yes",IF(AP$6=$D35,"◆",""),IF(AND(AP$6&gt;=$D35,AP$6&lt;=$E35),MAX(0,MIN(1,$G35*$F35-(AP$6-$D35))),"")))</ns0:f>
      </ns0:c>
      <ns0:c r="AQ35" s="22" t="str">
        <ns0:f>IF($A35="","",IF($I35="Yes",IF(AQ$6=$D35,"◆",""),IF(AND(AQ$6&gt;=$D35,AQ$6&lt;=$E35),MAX(0,MIN(1,$G35*$F35-(AQ$6-$D35))),"")))</ns0:f>
      </ns0:c>
      <ns0:c r="AR35" s="22" t="str">
        <ns0:f>IF($A35="","",IF($I35="Yes",IF(AR$6=$D35,"◆",""),IF(AND(AR$6&gt;=$D35,AR$6&lt;=$E35),MAX(0,MIN(1,$G35*$F35-(AR$6-$D35))),"")))</ns0:f>
      </ns0:c>
    </ns0:row>
    <ns0:row r="36" ht="48" customHeight="1">
      <ns0:c r="A36" s="8" t="str">
        <ns0:f>IF(INDEX(Tasks[Task ID],30)="","",INDEX(Tasks[Task ID],30))</ns0:f>
        <ns0:v>T25</ns0:v>
      </ns0:c>
      <ns0:c r="B36" s="8" t="str">
        <ns0:f>IF(INDEX(Tasks[Task ID],30)="","",INDEX(Tasks[Phase],30))</ns0:f>
        <ns0:v>Launch &amp; telemetry</ns0:v>
      </ns0:c>
      <ns0:c r="C36" s="8" t="str">
        <ns0:f>IF(INDEX(Tasks[Task ID],30)="","",INDEX(Tasks[Task Name],30))</ns0:f>
        <ns0:v>Initialize Outbound Actuation MCP Boundary with audience tokens</ns0:v>
      </ns0:c>
      <ns0:c r="D36" s="18" t="n">
        <ns0:f>IF(INDEX(Tasks[Task ID],30)="","",INDEX(Tasks[Start Date],30))</ns0:f>
        <ns0:v>46297</ns0:v>
      </ns0:c>
      <ns0:c r="E36" s="18" t="n">
        <ns0:f>IF(INDEX(Tasks[Task ID],30)="","",INDEX(Tasks[End Date],30))</ns0:f>
        <ns0:v>46298</ns0:v>
      </ns0:c>
      <ns0:c r="F36" s="8" t="n">
        <ns0:f>IF(INDEX(Tasks[Task ID],30)="","",INDEX(Tasks[Duration],30))</ns0:f>
        <ns0:v>2</ns0:v>
      </ns0:c>
      <ns0:c r="G36" s="19" t="n">
        <ns0:f>IF(INDEX(Tasks[Task ID],30)="","",INDEX(Tasks[Progress %],30))</ns0:f>
        <ns0:v>0</ns0:v>
      </ns0:c>
      <ns0:c r="H36" s="8" t="str">
        <ns0:f>IF(INDEX(Tasks[Task ID],30)="","",INDEX('Project Tracker'!$Q$7:$Q$106,30))</ns0:f>
        <ns0:v>Not Started</ns0:v>
      </ns0:c>
      <ns0:c r="I36" s="8" t="str">
        <ns0:f>IF(INDEX(Tasks[Task ID],30)="","",INDEX(Tasks[Milestone],30))</ns0:f>
        <ns0:v>No</ns0:v>
      </ns0:c>
      <ns0:c r="J36" s="8" t="str">
        <ns0:f>IF(INDEX(Tasks[Task ID],30)="","",INDEX(Tasks[Schedule Health],30))</ns0:f>
        <ns0:v>On track</ns0:v>
      </ns0:c>
      <ns0:c r="K36" s="22" t="str">
        <ns0:f>IF($A36="","",IF($I36="Yes",IF(K$6=$D36,"◆",""),IF(AND(K$6&gt;=$D36,K$6&lt;=$E36),MAX(0,MIN(1,$G36*$F36-(K$6-$D36))),"")))</ns0:f>
      </ns0:c>
      <ns0:c r="L36" s="22" t="str">
        <ns0:f>IF($A36="","",IF($I36="Yes",IF(L$6=$D36,"◆",""),IF(AND(L$6&gt;=$D36,L$6&lt;=$E36),MAX(0,MIN(1,$G36*$F36-(L$6-$D36))),"")))</ns0:f>
      </ns0:c>
      <ns0:c r="M36" s="22" t="str">
        <ns0:f>IF($A36="","",IF($I36="Yes",IF(M$6=$D36,"◆",""),IF(AND(M$6&gt;=$D36,M$6&lt;=$E36),MAX(0,MIN(1,$G36*$F36-(M$6-$D36))),"")))</ns0:f>
      </ns0:c>
      <ns0:c r="N36" s="22" t="str">
        <ns0:f>IF($A36="","",IF($I36="Yes",IF(N$6=$D36,"◆",""),IF(AND(N$6&gt;=$D36,N$6&lt;=$E36),MAX(0,MIN(1,$G36*$F36-(N$6-$D36))),"")))</ns0:f>
      </ns0:c>
      <ns0:c r="O36" s="22" t="str">
        <ns0:f>IF($A36="","",IF($I36="Yes",IF(O$6=$D36,"◆",""),IF(AND(O$6&gt;=$D36,O$6&lt;=$E36),MAX(0,MIN(1,$G36*$F36-(O$6-$D36))),"")))</ns0:f>
      </ns0:c>
      <ns0:c r="P36" s="22" t="str">
        <ns0:f>IF($A36="","",IF($I36="Yes",IF(P$6=$D36,"◆",""),IF(AND(P$6&gt;=$D36,P$6&lt;=$E36),MAX(0,MIN(1,$G36*$F36-(P$6-$D36))),"")))</ns0:f>
      </ns0:c>
      <ns0:c r="Q36" s="22" t="str">
        <ns0:f>IF($A36="","",IF($I36="Yes",IF(Q$6=$D36,"◆",""),IF(AND(Q$6&gt;=$D36,Q$6&lt;=$E36),MAX(0,MIN(1,$G36*$F36-(Q$6-$D36))),"")))</ns0:f>
      </ns0:c>
      <ns0:c r="R36" s="22" t="str">
        <ns0:f>IF($A36="","",IF($I36="Yes",IF(R$6=$D36,"◆",""),IF(AND(R$6&gt;=$D36,R$6&lt;=$E36),MAX(0,MIN(1,$G36*$F36-(R$6-$D36))),"")))</ns0:f>
      </ns0:c>
      <ns0:c r="S36" s="22" t="str">
        <ns0:f>IF($A36="","",IF($I36="Yes",IF(S$6=$D36,"◆",""),IF(AND(S$6&gt;=$D36,S$6&lt;=$E36),MAX(0,MIN(1,$G36*$F36-(S$6-$D36))),"")))</ns0:f>
      </ns0:c>
      <ns0:c r="T36" s="22" t="str">
        <ns0:f>IF($A36="","",IF($I36="Yes",IF(T$6=$D36,"◆",""),IF(AND(T$6&gt;=$D36,T$6&lt;=$E36),MAX(0,MIN(1,$G36*$F36-(T$6-$D36))),"")))</ns0:f>
      </ns0:c>
      <ns0:c r="U36" s="22" t="str">
        <ns0:f>IF($A36="","",IF($I36="Yes",IF(U$6=$D36,"◆",""),IF(AND(U$6&gt;=$D36,U$6&lt;=$E36),MAX(0,MIN(1,$G36*$F36-(U$6-$D36))),"")))</ns0:f>
      </ns0:c>
      <ns0:c r="V36" s="22" t="str">
        <ns0:f>IF($A36="","",IF($I36="Yes",IF(V$6=$D36,"◆",""),IF(AND(V$6&gt;=$D36,V$6&lt;=$E36),MAX(0,MIN(1,$G36*$F36-(V$6-$D36))),"")))</ns0:f>
      </ns0:c>
      <ns0:c r="W36" s="22" t="str">
        <ns0:f>IF($A36="","",IF($I36="Yes",IF(W$6=$D36,"◆",""),IF(AND(W$6&gt;=$D36,W$6&lt;=$E36),MAX(0,MIN(1,$G36*$F36-(W$6-$D36))),"")))</ns0:f>
      </ns0:c>
      <ns0:c r="X36" s="22" t="str">
        <ns0:f>IF($A36="","",IF($I36="Yes",IF(X$6=$D36,"◆",""),IF(AND(X$6&gt;=$D36,X$6&lt;=$E36),MAX(0,MIN(1,$G36*$F36-(X$6-$D36))),"")))</ns0:f>
      </ns0:c>
      <ns0:c r="Y36" s="22" t="str">
        <ns0:f>IF($A36="","",IF($I36="Yes",IF(Y$6=$D36,"◆",""),IF(AND(Y$6&gt;=$D36,Y$6&lt;=$E36),MAX(0,MIN(1,$G36*$F36-(Y$6-$D36))),"")))</ns0:f>
      </ns0:c>
      <ns0:c r="Z36" s="22" t="str">
        <ns0:f>IF($A36="","",IF($I36="Yes",IF(Z$6=$D36,"◆",""),IF(AND(Z$6&gt;=$D36,Z$6&lt;=$E36),MAX(0,MIN(1,$G36*$F36-(Z$6-$D36))),"")))</ns0:f>
      </ns0:c>
      <ns0:c r="AA36" s="22" t="str">
        <ns0:f>IF($A36="","",IF($I36="Yes",IF(AA$6=$D36,"◆",""),IF(AND(AA$6&gt;=$D36,AA$6&lt;=$E36),MAX(0,MIN(1,$G36*$F36-(AA$6-$D36))),"")))</ns0:f>
      </ns0:c>
      <ns0:c r="AB36" s="22" t="str">
        <ns0:f>IF($A36="","",IF($I36="Yes",IF(AB$6=$D36,"◆",""),IF(AND(AB$6&gt;=$D36,AB$6&lt;=$E36),MAX(0,MIN(1,$G36*$F36-(AB$6-$D36))),"")))</ns0:f>
      </ns0:c>
      <ns0:c r="AC36" s="22" t="str">
        <ns0:f>IF($A36="","",IF($I36="Yes",IF(AC$6=$D36,"◆",""),IF(AND(AC$6&gt;=$D36,AC$6&lt;=$E36),MAX(0,MIN(1,$G36*$F36-(AC$6-$D36))),"")))</ns0:f>
      </ns0:c>
      <ns0:c r="AD36" s="22" t="str">
        <ns0:f>IF($A36="","",IF($I36="Yes",IF(AD$6=$D36,"◆",""),IF(AND(AD$6&gt;=$D36,AD$6&lt;=$E36),MAX(0,MIN(1,$G36*$F36-(AD$6-$D36))),"")))</ns0:f>
      </ns0:c>
      <ns0:c r="AE36" s="22" t="str">
        <ns0:f>IF($A36="","",IF($I36="Yes",IF(AE$6=$D36,"◆",""),IF(AND(AE$6&gt;=$D36,AE$6&lt;=$E36),MAX(0,MIN(1,$G36*$F36-(AE$6-$D36))),"")))</ns0:f>
      </ns0:c>
      <ns0:c r="AF36" s="22" t="n">
        <ns0:f>IF($A36="","",IF($I36="Yes",IF(AF$6=$D36,"◆",""),IF(AND(AF$6&gt;=$D36,AF$6&lt;=$E36),MAX(0,MIN(1,$G36*$F36-(AF$6-$D36))),"")))</ns0:f>
        <ns0:v>0</ns0:v>
      </ns0:c>
      <ns0:c r="AG36" s="22" t="n">
        <ns0:f>IF($A36="","",IF($I36="Yes",IF(AG$6=$D36,"◆",""),IF(AND(AG$6&gt;=$D36,AG$6&lt;=$E36),MAX(0,MIN(1,$G36*$F36-(AG$6-$D36))),"")))</ns0:f>
        <ns0:v>0</ns0:v>
      </ns0:c>
      <ns0:c r="AH36" s="22" t="str">
        <ns0:f>IF($A36="","",IF($I36="Yes",IF(AH$6=$D36,"◆",""),IF(AND(AH$6&gt;=$D36,AH$6&lt;=$E36),MAX(0,MIN(1,$G36*$F36-(AH$6-$D36))),"")))</ns0:f>
      </ns0:c>
      <ns0:c r="AI36" s="22" t="str">
        <ns0:f>IF($A36="","",IF($I36="Yes",IF(AI$6=$D36,"◆",""),IF(AND(AI$6&gt;=$D36,AI$6&lt;=$E36),MAX(0,MIN(1,$G36*$F36-(AI$6-$D36))),"")))</ns0:f>
      </ns0:c>
      <ns0:c r="AJ36" s="22" t="str">
        <ns0:f>IF($A36="","",IF($I36="Yes",IF(AJ$6=$D36,"◆",""),IF(AND(AJ$6&gt;=$D36,AJ$6&lt;=$E36),MAX(0,MIN(1,$G36*$F36-(AJ$6-$D36))),"")))</ns0:f>
      </ns0:c>
      <ns0:c r="AK36" s="22" t="str">
        <ns0:f>IF($A36="","",IF($I36="Yes",IF(AK$6=$D36,"◆",""),IF(AND(AK$6&gt;=$D36,AK$6&lt;=$E36),MAX(0,MIN(1,$G36*$F36-(AK$6-$D36))),"")))</ns0:f>
      </ns0:c>
      <ns0:c r="AL36" s="22" t="str">
        <ns0:f>IF($A36="","",IF($I36="Yes",IF(AL$6=$D36,"◆",""),IF(AND(AL$6&gt;=$D36,AL$6&lt;=$E36),MAX(0,MIN(1,$G36*$F36-(AL$6-$D36))),"")))</ns0:f>
      </ns0:c>
      <ns0:c r="AM36" s="22" t="str">
        <ns0:f>IF($A36="","",IF($I36="Yes",IF(AM$6=$D36,"◆",""),IF(AND(AM$6&gt;=$D36,AM$6&lt;=$E36),MAX(0,MIN(1,$G36*$F36-(AM$6-$D36))),"")))</ns0:f>
      </ns0:c>
      <ns0:c r="AN36" s="22" t="str">
        <ns0:f>IF($A36="","",IF($I36="Yes",IF(AN$6=$D36,"◆",""),IF(AND(AN$6&gt;=$D36,AN$6&lt;=$E36),MAX(0,MIN(1,$G36*$F36-(AN$6-$D36))),"")))</ns0:f>
      </ns0:c>
      <ns0:c r="AO36" s="22" t="str">
        <ns0:f>IF($A36="","",IF($I36="Yes",IF(AO$6=$D36,"◆",""),IF(AND(AO$6&gt;=$D36,AO$6&lt;=$E36),MAX(0,MIN(1,$G36*$F36-(AO$6-$D36))),"")))</ns0:f>
      </ns0:c>
      <ns0:c r="AP36" s="22" t="str">
        <ns0:f>IF($A36="","",IF($I36="Yes",IF(AP$6=$D36,"◆",""),IF(AND(AP$6&gt;=$D36,AP$6&lt;=$E36),MAX(0,MIN(1,$G36*$F36-(AP$6-$D36))),"")))</ns0:f>
      </ns0:c>
      <ns0:c r="AQ36" s="22" t="str">
        <ns0:f>IF($A36="","",IF($I36="Yes",IF(AQ$6=$D36,"◆",""),IF(AND(AQ$6&gt;=$D36,AQ$6&lt;=$E36),MAX(0,MIN(1,$G36*$F36-(AQ$6-$D36))),"")))</ns0:f>
      </ns0:c>
      <ns0:c r="AR36" s="22" t="str">
        <ns0:f>IF($A36="","",IF($I36="Yes",IF(AR$6=$D36,"◆",""),IF(AND(AR$6&gt;=$D36,AR$6&lt;=$E36),MAX(0,MIN(1,$G36*$F36-(AR$6-$D36))),"")))</ns0:f>
      </ns0:c>
    </ns0:row>
    <ns0:row r="37" ht="48" customHeight="1">
      <ns0:c r="A37" s="8" t="str">
        <ns0:f>IF(INDEX(Tasks[Task ID],31)="","",INDEX(Tasks[Task ID],31))</ns0:f>
        <ns0:v>T26</ns0:v>
      </ns0:c>
      <ns0:c r="B37" s="8" t="str">
        <ns0:f>IF(INDEX(Tasks[Task ID],31)="","",INDEX(Tasks[Phase],31))</ns0:f>
        <ns0:v>Launch &amp; telemetry</ns0:v>
      </ns0:c>
      <ns0:c r="C37" s="8" t="str">
        <ns0:f>IF(INDEX(Tasks[Task ID],31)="","",INDEX(Tasks[Task Name],31))</ns0:f>
        <ns0:v>Deploy live schemas, catalog updates &amp; layout code to Website &amp; CMS</ns0:v>
      </ns0:c>
      <ns0:c r="D37" s="18" t="n">
        <ns0:f>IF(INDEX(Tasks[Task ID],31)="","",INDEX(Tasks[Start Date],31))</ns0:f>
        <ns0:v>46299</ns0:v>
      </ns0:c>
      <ns0:c r="E37" s="18" t="n">
        <ns0:f>IF(INDEX(Tasks[Task ID],31)="","",INDEX(Tasks[End Date],31))</ns0:f>
        <ns0:v>46300</ns0:v>
      </ns0:c>
      <ns0:c r="F37" s="8" t="n">
        <ns0:f>IF(INDEX(Tasks[Task ID],31)="","",INDEX(Tasks[Duration],31))</ns0:f>
        <ns0:v>2</ns0:v>
      </ns0:c>
      <ns0:c r="G37" s="19" t="n">
        <ns0:f>IF(INDEX(Tasks[Task ID],31)="","",INDEX(Tasks[Progress %],31))</ns0:f>
        <ns0:v>0</ns0:v>
      </ns0:c>
      <ns0:c r="H37" s="8" t="str">
        <ns0:f>IF(INDEX(Tasks[Task ID],31)="","",INDEX('Project Tracker'!$Q$7:$Q$106,31))</ns0:f>
        <ns0:v>Not Started</ns0:v>
      </ns0:c>
      <ns0:c r="I37" s="8" t="str">
        <ns0:f>IF(INDEX(Tasks[Task ID],31)="","",INDEX(Tasks[Milestone],31))</ns0:f>
        <ns0:v>No</ns0:v>
      </ns0:c>
      <ns0:c r="J37" s="8" t="str">
        <ns0:f>IF(INDEX(Tasks[Task ID],31)="","",INDEX(Tasks[Schedule Health],31))</ns0:f>
        <ns0:v>On track</ns0:v>
      </ns0:c>
      <ns0:c r="K37" s="22" t="str">
        <ns0:f>IF($A37="","",IF($I37="Yes",IF(K$6=$D37,"◆",""),IF(AND(K$6&gt;=$D37,K$6&lt;=$E37),MAX(0,MIN(1,$G37*$F37-(K$6-$D37))),"")))</ns0:f>
      </ns0:c>
      <ns0:c r="L37" s="22" t="str">
        <ns0:f>IF($A37="","",IF($I37="Yes",IF(L$6=$D37,"◆",""),IF(AND(L$6&gt;=$D37,L$6&lt;=$E37),MAX(0,MIN(1,$G37*$F37-(L$6-$D37))),"")))</ns0:f>
      </ns0:c>
      <ns0:c r="M37" s="22" t="str">
        <ns0:f>IF($A37="","",IF($I37="Yes",IF(M$6=$D37,"◆",""),IF(AND(M$6&gt;=$D37,M$6&lt;=$E37),MAX(0,MIN(1,$G37*$F37-(M$6-$D37))),"")))</ns0:f>
      </ns0:c>
      <ns0:c r="N37" s="22" t="str">
        <ns0:f>IF($A37="","",IF($I37="Yes",IF(N$6=$D37,"◆",""),IF(AND(N$6&gt;=$D37,N$6&lt;=$E37),MAX(0,MIN(1,$G37*$F37-(N$6-$D37))),"")))</ns0:f>
      </ns0:c>
      <ns0:c r="O37" s="22" t="str">
        <ns0:f>IF($A37="","",IF($I37="Yes",IF(O$6=$D37,"◆",""),IF(AND(O$6&gt;=$D37,O$6&lt;=$E37),MAX(0,MIN(1,$G37*$F37-(O$6-$D37))),"")))</ns0:f>
      </ns0:c>
      <ns0:c r="P37" s="22" t="str">
        <ns0:f>IF($A37="","",IF($I37="Yes",IF(P$6=$D37,"◆",""),IF(AND(P$6&gt;=$D37,P$6&lt;=$E37),MAX(0,MIN(1,$G37*$F37-(P$6-$D37))),"")))</ns0:f>
      </ns0:c>
      <ns0:c r="Q37" s="22" t="str">
        <ns0:f>IF($A37="","",IF($I37="Yes",IF(Q$6=$D37,"◆",""),IF(AND(Q$6&gt;=$D37,Q$6&lt;=$E37),MAX(0,MIN(1,$G37*$F37-(Q$6-$D37))),"")))</ns0:f>
      </ns0:c>
      <ns0:c r="R37" s="22" t="str">
        <ns0:f>IF($A37="","",IF($I37="Yes",IF(R$6=$D37,"◆",""),IF(AND(R$6&gt;=$D37,R$6&lt;=$E37),MAX(0,MIN(1,$G37*$F37-(R$6-$D37))),"")))</ns0:f>
      </ns0:c>
      <ns0:c r="S37" s="22" t="str">
        <ns0:f>IF($A37="","",IF($I37="Yes",IF(S$6=$D37,"◆",""),IF(AND(S$6&gt;=$D37,S$6&lt;=$E37),MAX(0,MIN(1,$G37*$F37-(S$6-$D37))),"")))</ns0:f>
      </ns0:c>
      <ns0:c r="T37" s="22" t="str">
        <ns0:f>IF($A37="","",IF($I37="Yes",IF(T$6=$D37,"◆",""),IF(AND(T$6&gt;=$D37,T$6&lt;=$E37),MAX(0,MIN(1,$G37*$F37-(T$6-$D37))),"")))</ns0:f>
      </ns0:c>
      <ns0:c r="U37" s="22" t="str">
        <ns0:f>IF($A37="","",IF($I37="Yes",IF(U$6=$D37,"◆",""),IF(AND(U$6&gt;=$D37,U$6&lt;=$E37),MAX(0,MIN(1,$G37*$F37-(U$6-$D37))),"")))</ns0:f>
      </ns0:c>
      <ns0:c r="V37" s="22" t="str">
        <ns0:f>IF($A37="","",IF($I37="Yes",IF(V$6=$D37,"◆",""),IF(AND(V$6&gt;=$D37,V$6&lt;=$E37),MAX(0,MIN(1,$G37*$F37-(V$6-$D37))),"")))</ns0:f>
      </ns0:c>
      <ns0:c r="W37" s="22" t="str">
        <ns0:f>IF($A37="","",IF($I37="Yes",IF(W$6=$D37,"◆",""),IF(AND(W$6&gt;=$D37,W$6&lt;=$E37),MAX(0,MIN(1,$G37*$F37-(W$6-$D37))),"")))</ns0:f>
      </ns0:c>
      <ns0:c r="X37" s="22" t="str">
        <ns0:f>IF($A37="","",IF($I37="Yes",IF(X$6=$D37,"◆",""),IF(AND(X$6&gt;=$D37,X$6&lt;=$E37),MAX(0,MIN(1,$G37*$F37-(X$6-$D37))),"")))</ns0:f>
      </ns0:c>
      <ns0:c r="Y37" s="22" t="str">
        <ns0:f>IF($A37="","",IF($I37="Yes",IF(Y$6=$D37,"◆",""),IF(AND(Y$6&gt;=$D37,Y$6&lt;=$E37),MAX(0,MIN(1,$G37*$F37-(Y$6-$D37))),"")))</ns0:f>
      </ns0:c>
      <ns0:c r="Z37" s="22" t="str">
        <ns0:f>IF($A37="","",IF($I37="Yes",IF(Z$6=$D37,"◆",""),IF(AND(Z$6&gt;=$D37,Z$6&lt;=$E37),MAX(0,MIN(1,$G37*$F37-(Z$6-$D37))),"")))</ns0:f>
      </ns0:c>
      <ns0:c r="AA37" s="22" t="str">
        <ns0:f>IF($A37="","",IF($I37="Yes",IF(AA$6=$D37,"◆",""),IF(AND(AA$6&gt;=$D37,AA$6&lt;=$E37),MAX(0,MIN(1,$G37*$F37-(AA$6-$D37))),"")))</ns0:f>
      </ns0:c>
      <ns0:c r="AB37" s="22" t="str">
        <ns0:f>IF($A37="","",IF($I37="Yes",IF(AB$6=$D37,"◆",""),IF(AND(AB$6&gt;=$D37,AB$6&lt;=$E37),MAX(0,MIN(1,$G37*$F37-(AB$6-$D37))),"")))</ns0:f>
      </ns0:c>
      <ns0:c r="AC37" s="22" t="str">
        <ns0:f>IF($A37="","",IF($I37="Yes",IF(AC$6=$D37,"◆",""),IF(AND(AC$6&gt;=$D37,AC$6&lt;=$E37),MAX(0,MIN(1,$G37*$F37-(AC$6-$D37))),"")))</ns0:f>
      </ns0:c>
      <ns0:c r="AD37" s="22" t="str">
        <ns0:f>IF($A37="","",IF($I37="Yes",IF(AD$6=$D37,"◆",""),IF(AND(AD$6&gt;=$D37,AD$6&lt;=$E37),MAX(0,MIN(1,$G37*$F37-(AD$6-$D37))),"")))</ns0:f>
      </ns0:c>
      <ns0:c r="AE37" s="22" t="str">
        <ns0:f>IF($A37="","",IF($I37="Yes",IF(AE$6=$D37,"◆",""),IF(AND(AE$6&gt;=$D37,AE$6&lt;=$E37),MAX(0,MIN(1,$G37*$F37-(AE$6-$D37))),"")))</ns0:f>
      </ns0:c>
      <ns0:c r="AF37" s="22" t="str">
        <ns0:f>IF($A37="","",IF($I37="Yes",IF(AF$6=$D37,"◆",""),IF(AND(AF$6&gt;=$D37,AF$6&lt;=$E37),MAX(0,MIN(1,$G37*$F37-(AF$6-$D37))),"")))</ns0:f>
      </ns0:c>
      <ns0:c r="AG37" s="22" t="str">
        <ns0:f>IF($A37="","",IF($I37="Yes",IF(AG$6=$D37,"◆",""),IF(AND(AG$6&gt;=$D37,AG$6&lt;=$E37),MAX(0,MIN(1,$G37*$F37-(AG$6-$D37))),"")))</ns0:f>
      </ns0:c>
      <ns0:c r="AH37" s="22" t="n">
        <ns0:f>IF($A37="","",IF($I37="Yes",IF(AH$6=$D37,"◆",""),IF(AND(AH$6&gt;=$D37,AH$6&lt;=$E37),MAX(0,MIN(1,$G37*$F37-(AH$6-$D37))),"")))</ns0:f>
        <ns0:v>0</ns0:v>
      </ns0:c>
      <ns0:c r="AI37" s="22" t="n">
        <ns0:f>IF($A37="","",IF($I37="Yes",IF(AI$6=$D37,"◆",""),IF(AND(AI$6&gt;=$D37,AI$6&lt;=$E37),MAX(0,MIN(1,$G37*$F37-(AI$6-$D37))),"")))</ns0:f>
        <ns0:v>0</ns0:v>
      </ns0:c>
      <ns0:c r="AJ37" s="22" t="str">
        <ns0:f>IF($A37="","",IF($I37="Yes",IF(AJ$6=$D37,"◆",""),IF(AND(AJ$6&gt;=$D37,AJ$6&lt;=$E37),MAX(0,MIN(1,$G37*$F37-(AJ$6-$D37))),"")))</ns0:f>
      </ns0:c>
      <ns0:c r="AK37" s="22" t="str">
        <ns0:f>IF($A37="","",IF($I37="Yes",IF(AK$6=$D37,"◆",""),IF(AND(AK$6&gt;=$D37,AK$6&lt;=$E37),MAX(0,MIN(1,$G37*$F37-(AK$6-$D37))),"")))</ns0:f>
      </ns0:c>
      <ns0:c r="AL37" s="22" t="str">
        <ns0:f>IF($A37="","",IF($I37="Yes",IF(AL$6=$D37,"◆",""),IF(AND(AL$6&gt;=$D37,AL$6&lt;=$E37),MAX(0,MIN(1,$G37*$F37-(AL$6-$D37))),"")))</ns0:f>
      </ns0:c>
      <ns0:c r="AM37" s="22" t="str">
        <ns0:f>IF($A37="","",IF($I37="Yes",IF(AM$6=$D37,"◆",""),IF(AND(AM$6&gt;=$D37,AM$6&lt;=$E37),MAX(0,MIN(1,$G37*$F37-(AM$6-$D37))),"")))</ns0:f>
      </ns0:c>
      <ns0:c r="AN37" s="22" t="str">
        <ns0:f>IF($A37="","",IF($I37="Yes",IF(AN$6=$D37,"◆",""),IF(AND(AN$6&gt;=$D37,AN$6&lt;=$E37),MAX(0,MIN(1,$G37*$F37-(AN$6-$D37))),"")))</ns0:f>
      </ns0:c>
      <ns0:c r="AO37" s="22" t="str">
        <ns0:f>IF($A37="","",IF($I37="Yes",IF(AO$6=$D37,"◆",""),IF(AND(AO$6&gt;=$D37,AO$6&lt;=$E37),MAX(0,MIN(1,$G37*$F37-(AO$6-$D37))),"")))</ns0:f>
      </ns0:c>
      <ns0:c r="AP37" s="22" t="str">
        <ns0:f>IF($A37="","",IF($I37="Yes",IF(AP$6=$D37,"◆",""),IF(AND(AP$6&gt;=$D37,AP$6&lt;=$E37),MAX(0,MIN(1,$G37*$F37-(AP$6-$D37))),"")))</ns0:f>
      </ns0:c>
      <ns0:c r="AQ37" s="22" t="str">
        <ns0:f>IF($A37="","",IF($I37="Yes",IF(AQ$6=$D37,"◆",""),IF(AND(AQ$6&gt;=$D37,AQ$6&lt;=$E37),MAX(0,MIN(1,$G37*$F37-(AQ$6-$D37))),"")))</ns0:f>
      </ns0:c>
      <ns0:c r="AR37" s="22" t="str">
        <ns0:f>IF($A37="","",IF($I37="Yes",IF(AR$6=$D37,"◆",""),IF(AND(AR$6&gt;=$D37,AR$6&lt;=$E37),MAX(0,MIN(1,$G37*$F37-(AR$6-$D37))),"")))</ns0:f>
      </ns0:c>
    </ns0:row>
    <ns0:row r="38" ht="48" customHeight="1">
      <ns0:c r="A38" s="8" t="str">
        <ns0:f>IF(INDEX(Tasks[Task ID],32)="","",INDEX(Tasks[Task ID],32))</ns0:f>
        <ns0:v>T27</ns0:v>
      </ns0:c>
      <ns0:c r="B38" s="8" t="str">
        <ns0:f>IF(INDEX(Tasks[Task ID],32)="","",INDEX(Tasks[Phase],32))</ns0:f>
        <ns0:v>Launch &amp; telemetry</ns0:v>
      </ns0:c>
      <ns0:c r="C38" s="8" t="str">
        <ns0:f>IF(INDEX(Tasks[Task ID],32)="","",INDEX(Tasks[Task Name],32))</ns0:f>
        <ns0:v>Publish ad campaigns and bid targets to Paid Ad Platforms</ns0:v>
      </ns0:c>
      <ns0:c r="D38" s="18" t="n">
        <ns0:f>IF(INDEX(Tasks[Task ID],32)="","",INDEX(Tasks[Start Date],32))</ns0:f>
        <ns0:v>46299</ns0:v>
      </ns0:c>
      <ns0:c r="E38" s="18" t="n">
        <ns0:f>IF(INDEX(Tasks[Task ID],32)="","",INDEX(Tasks[End Date],32))</ns0:f>
        <ns0:v>46300</ns0:v>
      </ns0:c>
      <ns0:c r="F38" s="8" t="n">
        <ns0:f>IF(INDEX(Tasks[Task ID],32)="","",INDEX(Tasks[Duration],32))</ns0:f>
        <ns0:v>2</ns0:v>
      </ns0:c>
      <ns0:c r="G38" s="19" t="n">
        <ns0:f>IF(INDEX(Tasks[Task ID],32)="","",INDEX(Tasks[Progress %],32))</ns0:f>
        <ns0:v>0</ns0:v>
      </ns0:c>
      <ns0:c r="H38" s="8" t="str">
        <ns0:f>IF(INDEX(Tasks[Task ID],32)="","",INDEX('Project Tracker'!$Q$7:$Q$106,32))</ns0:f>
        <ns0:v>Not Started</ns0:v>
      </ns0:c>
      <ns0:c r="I38" s="8" t="str">
        <ns0:f>IF(INDEX(Tasks[Task ID],32)="","",INDEX(Tasks[Milestone],32))</ns0:f>
        <ns0:v>No</ns0:v>
      </ns0:c>
      <ns0:c r="J38" s="8" t="str">
        <ns0:f>IF(INDEX(Tasks[Task ID],32)="","",INDEX(Tasks[Schedule Health],32))</ns0:f>
        <ns0:v>On track</ns0:v>
      </ns0:c>
      <ns0:c r="K38" s="22" t="str">
        <ns0:f>IF($A38="","",IF($I38="Yes",IF(K$6=$D38,"◆",""),IF(AND(K$6&gt;=$D38,K$6&lt;=$E38),MAX(0,MIN(1,$G38*$F38-(K$6-$D38))),"")))</ns0:f>
      </ns0:c>
      <ns0:c r="L38" s="22" t="str">
        <ns0:f>IF($A38="","",IF($I38="Yes",IF(L$6=$D38,"◆",""),IF(AND(L$6&gt;=$D38,L$6&lt;=$E38),MAX(0,MIN(1,$G38*$F38-(L$6-$D38))),"")))</ns0:f>
      </ns0:c>
      <ns0:c r="M38" s="22" t="str">
        <ns0:f>IF($A38="","",IF($I38="Yes",IF(M$6=$D38,"◆",""),IF(AND(M$6&gt;=$D38,M$6&lt;=$E38),MAX(0,MIN(1,$G38*$F38-(M$6-$D38))),"")))</ns0:f>
      </ns0:c>
      <ns0:c r="N38" s="22" t="str">
        <ns0:f>IF($A38="","",IF($I38="Yes",IF(N$6=$D38,"◆",""),IF(AND(N$6&gt;=$D38,N$6&lt;=$E38),MAX(0,MIN(1,$G38*$F38-(N$6-$D38))),"")))</ns0:f>
      </ns0:c>
      <ns0:c r="O38" s="22" t="str">
        <ns0:f>IF($A38="","",IF($I38="Yes",IF(O$6=$D38,"◆",""),IF(AND(O$6&gt;=$D38,O$6&lt;=$E38),MAX(0,MIN(1,$G38*$F38-(O$6-$D38))),"")))</ns0:f>
      </ns0:c>
      <ns0:c r="P38" s="22" t="str">
        <ns0:f>IF($A38="","",IF($I38="Yes",IF(P$6=$D38,"◆",""),IF(AND(P$6&gt;=$D38,P$6&lt;=$E38),MAX(0,MIN(1,$G38*$F38-(P$6-$D38))),"")))</ns0:f>
      </ns0:c>
      <ns0:c r="Q38" s="22" t="str">
        <ns0:f>IF($A38="","",IF($I38="Yes",IF(Q$6=$D38,"◆",""),IF(AND(Q$6&gt;=$D38,Q$6&lt;=$E38),MAX(0,MIN(1,$G38*$F38-(Q$6-$D38))),"")))</ns0:f>
      </ns0:c>
      <ns0:c r="R38" s="22" t="str">
        <ns0:f>IF($A38="","",IF($I38="Yes",IF(R$6=$D38,"◆",""),IF(AND(R$6&gt;=$D38,R$6&lt;=$E38),MAX(0,MIN(1,$G38*$F38-(R$6-$D38))),"")))</ns0:f>
      </ns0:c>
      <ns0:c r="S38" s="22" t="str">
        <ns0:f>IF($A38="","",IF($I38="Yes",IF(S$6=$D38,"◆",""),IF(AND(S$6&gt;=$D38,S$6&lt;=$E38),MAX(0,MIN(1,$G38*$F38-(S$6-$D38))),"")))</ns0:f>
      </ns0:c>
      <ns0:c r="T38" s="22" t="str">
        <ns0:f>IF($A38="","",IF($I38="Yes",IF(T$6=$D38,"◆",""),IF(AND(T$6&gt;=$D38,T$6&lt;=$E38),MAX(0,MIN(1,$G38*$F38-(T$6-$D38))),"")))</ns0:f>
      </ns0:c>
      <ns0:c r="U38" s="22" t="str">
        <ns0:f>IF($A38="","",IF($I38="Yes",IF(U$6=$D38,"◆",""),IF(AND(U$6&gt;=$D38,U$6&lt;=$E38),MAX(0,MIN(1,$G38*$F38-(U$6-$D38))),"")))</ns0:f>
      </ns0:c>
      <ns0:c r="V38" s="22" t="str">
        <ns0:f>IF($A38="","",IF($I38="Yes",IF(V$6=$D38,"◆",""),IF(AND(V$6&gt;=$D38,V$6&lt;=$E38),MAX(0,MIN(1,$G38*$F38-(V$6-$D38))),"")))</ns0:f>
      </ns0:c>
      <ns0:c r="W38" s="22" t="str">
        <ns0:f>IF($A38="","",IF($I38="Yes",IF(W$6=$D38,"◆",""),IF(AND(W$6&gt;=$D38,W$6&lt;=$E38),MAX(0,MIN(1,$G38*$F38-(W$6-$D38))),"")))</ns0:f>
      </ns0:c>
      <ns0:c r="X38" s="22" t="str">
        <ns0:f>IF($A38="","",IF($I38="Yes",IF(X$6=$D38,"◆",""),IF(AND(X$6&gt;=$D38,X$6&lt;=$E38),MAX(0,MIN(1,$G38*$F38-(X$6-$D38))),"")))</ns0:f>
      </ns0:c>
      <ns0:c r="Y38" s="22" t="str">
        <ns0:f>IF($A38="","",IF($I38="Yes",IF(Y$6=$D38,"◆",""),IF(AND(Y$6&gt;=$D38,Y$6&lt;=$E38),MAX(0,MIN(1,$G38*$F38-(Y$6-$D38))),"")))</ns0:f>
      </ns0:c>
      <ns0:c r="Z38" s="22" t="str">
        <ns0:f>IF($A38="","",IF($I38="Yes",IF(Z$6=$D38,"◆",""),IF(AND(Z$6&gt;=$D38,Z$6&lt;=$E38),MAX(0,MIN(1,$G38*$F38-(Z$6-$D38))),"")))</ns0:f>
      </ns0:c>
      <ns0:c r="AA38" s="22" t="str">
        <ns0:f>IF($A38="","",IF($I38="Yes",IF(AA$6=$D38,"◆",""),IF(AND(AA$6&gt;=$D38,AA$6&lt;=$E38),MAX(0,MIN(1,$G38*$F38-(AA$6-$D38))),"")))</ns0:f>
      </ns0:c>
      <ns0:c r="AB38" s="22" t="str">
        <ns0:f>IF($A38="","",IF($I38="Yes",IF(AB$6=$D38,"◆",""),IF(AND(AB$6&gt;=$D38,AB$6&lt;=$E38),MAX(0,MIN(1,$G38*$F38-(AB$6-$D38))),"")))</ns0:f>
      </ns0:c>
      <ns0:c r="AC38" s="22" t="str">
        <ns0:f>IF($A38="","",IF($I38="Yes",IF(AC$6=$D38,"◆",""),IF(AND(AC$6&gt;=$D38,AC$6&lt;=$E38),MAX(0,MIN(1,$G38*$F38-(AC$6-$D38))),"")))</ns0:f>
      </ns0:c>
      <ns0:c r="AD38" s="22" t="str">
        <ns0:f>IF($A38="","",IF($I38="Yes",IF(AD$6=$D38,"◆",""),IF(AND(AD$6&gt;=$D38,AD$6&lt;=$E38),MAX(0,MIN(1,$G38*$F38-(AD$6-$D38))),"")))</ns0:f>
      </ns0:c>
      <ns0:c r="AE38" s="22" t="str">
        <ns0:f>IF($A38="","",IF($I38="Yes",IF(AE$6=$D38,"◆",""),IF(AND(AE$6&gt;=$D38,AE$6&lt;=$E38),MAX(0,MIN(1,$G38*$F38-(AE$6-$D38))),"")))</ns0:f>
      </ns0:c>
      <ns0:c r="AF38" s="22" t="str">
        <ns0:f>IF($A38="","",IF($I38="Yes",IF(AF$6=$D38,"◆",""),IF(AND(AF$6&gt;=$D38,AF$6&lt;=$E38),MAX(0,MIN(1,$G38*$F38-(AF$6-$D38))),"")))</ns0:f>
      </ns0:c>
      <ns0:c r="AG38" s="22" t="str">
        <ns0:f>IF($A38="","",IF($I38="Yes",IF(AG$6=$D38,"◆",""),IF(AND(AG$6&gt;=$D38,AG$6&lt;=$E38),MAX(0,MIN(1,$G38*$F38-(AG$6-$D38))),"")))</ns0:f>
      </ns0:c>
      <ns0:c r="AH38" s="22" t="n">
        <ns0:f>IF($A38="","",IF($I38="Yes",IF(AH$6=$D38,"◆",""),IF(AND(AH$6&gt;=$D38,AH$6&lt;=$E38),MAX(0,MIN(1,$G38*$F38-(AH$6-$D38))),"")))</ns0:f>
        <ns0:v>0</ns0:v>
      </ns0:c>
      <ns0:c r="AI38" s="22" t="n">
        <ns0:f>IF($A38="","",IF($I38="Yes",IF(AI$6=$D38,"◆",""),IF(AND(AI$6&gt;=$D38,AI$6&lt;=$E38),MAX(0,MIN(1,$G38*$F38-(AI$6-$D38))),"")))</ns0:f>
        <ns0:v>0</ns0:v>
      </ns0:c>
      <ns0:c r="AJ38" s="22" t="str">
        <ns0:f>IF($A38="","",IF($I38="Yes",IF(AJ$6=$D38,"◆",""),IF(AND(AJ$6&gt;=$D38,AJ$6&lt;=$E38),MAX(0,MIN(1,$G38*$F38-(AJ$6-$D38))),"")))</ns0:f>
      </ns0:c>
      <ns0:c r="AK38" s="22" t="str">
        <ns0:f>IF($A38="","",IF($I38="Yes",IF(AK$6=$D38,"◆",""),IF(AND(AK$6&gt;=$D38,AK$6&lt;=$E38),MAX(0,MIN(1,$G38*$F38-(AK$6-$D38))),"")))</ns0:f>
      </ns0:c>
      <ns0:c r="AL38" s="22" t="str">
        <ns0:f>IF($A38="","",IF($I38="Yes",IF(AL$6=$D38,"◆",""),IF(AND(AL$6&gt;=$D38,AL$6&lt;=$E38),MAX(0,MIN(1,$G38*$F38-(AL$6-$D38))),"")))</ns0:f>
      </ns0:c>
      <ns0:c r="AM38" s="22" t="str">
        <ns0:f>IF($A38="","",IF($I38="Yes",IF(AM$6=$D38,"◆",""),IF(AND(AM$6&gt;=$D38,AM$6&lt;=$E38),MAX(0,MIN(1,$G38*$F38-(AM$6-$D38))),"")))</ns0:f>
      </ns0:c>
      <ns0:c r="AN38" s="22" t="str">
        <ns0:f>IF($A38="","",IF($I38="Yes",IF(AN$6=$D38,"◆",""),IF(AND(AN$6&gt;=$D38,AN$6&lt;=$E38),MAX(0,MIN(1,$G38*$F38-(AN$6-$D38))),"")))</ns0:f>
      </ns0:c>
      <ns0:c r="AO38" s="22" t="str">
        <ns0:f>IF($A38="","",IF($I38="Yes",IF(AO$6=$D38,"◆",""),IF(AND(AO$6&gt;=$D38,AO$6&lt;=$E38),MAX(0,MIN(1,$G38*$F38-(AO$6-$D38))),"")))</ns0:f>
      </ns0:c>
      <ns0:c r="AP38" s="22" t="str">
        <ns0:f>IF($A38="","",IF($I38="Yes",IF(AP$6=$D38,"◆",""),IF(AND(AP$6&gt;=$D38,AP$6&lt;=$E38),MAX(0,MIN(1,$G38*$F38-(AP$6-$D38))),"")))</ns0:f>
      </ns0:c>
      <ns0:c r="AQ38" s="22" t="str">
        <ns0:f>IF($A38="","",IF($I38="Yes",IF(AQ$6=$D38,"◆",""),IF(AND(AQ$6&gt;=$D38,AQ$6&lt;=$E38),MAX(0,MIN(1,$G38*$F38-(AQ$6-$D38))),"")))</ns0:f>
      </ns0:c>
      <ns0:c r="AR38" s="22" t="str">
        <ns0:f>IF($A38="","",IF($I38="Yes",IF(AR$6=$D38,"◆",""),IF(AND(AR$6&gt;=$D38,AR$6&lt;=$E38),MAX(0,MIN(1,$G38*$F38-(AR$6-$D38))),"")))</ns0:f>
      </ns0:c>
    </ns0:row>
    <ns0:row r="39" ht="48" customHeight="1">
      <ns0:c r="A39" s="8" t="str">
        <ns0:f>IF(INDEX(Tasks[Task ID],33)="","",INDEX(Tasks[Task ID],33))</ns0:f>
        <ns0:v>T28</ns0:v>
      </ns0:c>
      <ns0:c r="B39" s="8" t="str">
        <ns0:f>IF(INDEX(Tasks[Task ID],33)="","",INDEX(Tasks[Phase],33))</ns0:f>
        <ns0:v>Launch &amp; telemetry</ns0:v>
      </ns0:c>
      <ns0:c r="C39" s="8" t="str">
        <ns0:f>IF(INDEX(Tasks[Task ID],33)="","",INDEX(Tasks[Task Name],33))</ns0:f>
        <ns0:v>Publish scheduled social media posts and assets to Social Channels</ns0:v>
      </ns0:c>
      <ns0:c r="D39" s="18" t="n">
        <ns0:f>IF(INDEX(Tasks[Task ID],33)="","",INDEX(Tasks[Start Date],33))</ns0:f>
        <ns0:v>46299</ns0:v>
      </ns0:c>
      <ns0:c r="E39" s="18" t="n">
        <ns0:f>IF(INDEX(Tasks[Task ID],33)="","",INDEX(Tasks[End Date],33))</ns0:f>
        <ns0:v>46300</ns0:v>
      </ns0:c>
      <ns0:c r="F39" s="8" t="n">
        <ns0:f>IF(INDEX(Tasks[Task ID],33)="","",INDEX(Tasks[Duration],33))</ns0:f>
        <ns0:v>2</ns0:v>
      </ns0:c>
      <ns0:c r="G39" s="19" t="n">
        <ns0:f>IF(INDEX(Tasks[Task ID],33)="","",INDEX(Tasks[Progress %],33))</ns0:f>
        <ns0:v>0</ns0:v>
      </ns0:c>
      <ns0:c r="H39" s="8" t="str">
        <ns0:f>IF(INDEX(Tasks[Task ID],33)="","",INDEX('Project Tracker'!$Q$7:$Q$106,33))</ns0:f>
        <ns0:v>Not Started</ns0:v>
      </ns0:c>
      <ns0:c r="I39" s="8" t="str">
        <ns0:f>IF(INDEX(Tasks[Task ID],33)="","",INDEX(Tasks[Milestone],33))</ns0:f>
        <ns0:v>No</ns0:v>
      </ns0:c>
      <ns0:c r="J39" s="8" t="str">
        <ns0:f>IF(INDEX(Tasks[Task ID],33)="","",INDEX(Tasks[Schedule Health],33))</ns0:f>
        <ns0:v>On track</ns0:v>
      </ns0:c>
      <ns0:c r="K39" s="22" t="str">
        <ns0:f>IF($A39="","",IF($I39="Yes",IF(K$6=$D39,"◆",""),IF(AND(K$6&gt;=$D39,K$6&lt;=$E39),MAX(0,MIN(1,$G39*$F39-(K$6-$D39))),"")))</ns0:f>
      </ns0:c>
      <ns0:c r="L39" s="22" t="str">
        <ns0:f>IF($A39="","",IF($I39="Yes",IF(L$6=$D39,"◆",""),IF(AND(L$6&gt;=$D39,L$6&lt;=$E39),MAX(0,MIN(1,$G39*$F39-(L$6-$D39))),"")))</ns0:f>
      </ns0:c>
      <ns0:c r="M39" s="22" t="str">
        <ns0:f>IF($A39="","",IF($I39="Yes",IF(M$6=$D39,"◆",""),IF(AND(M$6&gt;=$D39,M$6&lt;=$E39),MAX(0,MIN(1,$G39*$F39-(M$6-$D39))),"")))</ns0:f>
      </ns0:c>
      <ns0:c r="N39" s="22" t="str">
        <ns0:f>IF($A39="","",IF($I39="Yes",IF(N$6=$D39,"◆",""),IF(AND(N$6&gt;=$D39,N$6&lt;=$E39),MAX(0,MIN(1,$G39*$F39-(N$6-$D39))),"")))</ns0:f>
      </ns0:c>
      <ns0:c r="O39" s="22" t="str">
        <ns0:f>IF($A39="","",IF($I39="Yes",IF(O$6=$D39,"◆",""),IF(AND(O$6&gt;=$D39,O$6&lt;=$E39),MAX(0,MIN(1,$G39*$F39-(O$6-$D39))),"")))</ns0:f>
      </ns0:c>
      <ns0:c r="P39" s="22" t="str">
        <ns0:f>IF($A39="","",IF($I39="Yes",IF(P$6=$D39,"◆",""),IF(AND(P$6&gt;=$D39,P$6&lt;=$E39),MAX(0,MIN(1,$G39*$F39-(P$6-$D39))),"")))</ns0:f>
      </ns0:c>
      <ns0:c r="Q39" s="22" t="str">
        <ns0:f>IF($A39="","",IF($I39="Yes",IF(Q$6=$D39,"◆",""),IF(AND(Q$6&gt;=$D39,Q$6&lt;=$E39),MAX(0,MIN(1,$G39*$F39-(Q$6-$D39))),"")))</ns0:f>
      </ns0:c>
      <ns0:c r="R39" s="22" t="str">
        <ns0:f>IF($A39="","",IF($I39="Yes",IF(R$6=$D39,"◆",""),IF(AND(R$6&gt;=$D39,R$6&lt;=$E39),MAX(0,MIN(1,$G39*$F39-(R$6-$D39))),"")))</ns0:f>
      </ns0:c>
      <ns0:c r="S39" s="22" t="str">
        <ns0:f>IF($A39="","",IF($I39="Yes",IF(S$6=$D39,"◆",""),IF(AND(S$6&gt;=$D39,S$6&lt;=$E39),MAX(0,MIN(1,$G39*$F39-(S$6-$D39))),"")))</ns0:f>
      </ns0:c>
      <ns0:c r="T39" s="22" t="str">
        <ns0:f>IF($A39="","",IF($I39="Yes",IF(T$6=$D39,"◆",""),IF(AND(T$6&gt;=$D39,T$6&lt;=$E39),MAX(0,MIN(1,$G39*$F39-(T$6-$D39))),"")))</ns0:f>
      </ns0:c>
      <ns0:c r="U39" s="22" t="str">
        <ns0:f>IF($A39="","",IF($I39="Yes",IF(U$6=$D39,"◆",""),IF(AND(U$6&gt;=$D39,U$6&lt;=$E39),MAX(0,MIN(1,$G39*$F39-(U$6-$D39))),"")))</ns0:f>
      </ns0:c>
      <ns0:c r="V39" s="22" t="str">
        <ns0:f>IF($A39="","",IF($I39="Yes",IF(V$6=$D39,"◆",""),IF(AND(V$6&gt;=$D39,V$6&lt;=$E39),MAX(0,MIN(1,$G39*$F39-(V$6-$D39))),"")))</ns0:f>
      </ns0:c>
      <ns0:c r="W39" s="22" t="str">
        <ns0:f>IF($A39="","",IF($I39="Yes",IF(W$6=$D39,"◆",""),IF(AND(W$6&gt;=$D39,W$6&lt;=$E39),MAX(0,MIN(1,$G39*$F39-(W$6-$D39))),"")))</ns0:f>
      </ns0:c>
      <ns0:c r="X39" s="22" t="str">
        <ns0:f>IF($A39="","",IF($I39="Yes",IF(X$6=$D39,"◆",""),IF(AND(X$6&gt;=$D39,X$6&lt;=$E39),MAX(0,MIN(1,$G39*$F39-(X$6-$D39))),"")))</ns0:f>
      </ns0:c>
      <ns0:c r="Y39" s="22" t="str">
        <ns0:f>IF($A39="","",IF($I39="Yes",IF(Y$6=$D39,"◆",""),IF(AND(Y$6&gt;=$D39,Y$6&lt;=$E39),MAX(0,MIN(1,$G39*$F39-(Y$6-$D39))),"")))</ns0:f>
      </ns0:c>
      <ns0:c r="Z39" s="22" t="str">
        <ns0:f>IF($A39="","",IF($I39="Yes",IF(Z$6=$D39,"◆",""),IF(AND(Z$6&gt;=$D39,Z$6&lt;=$E39),MAX(0,MIN(1,$G39*$F39-(Z$6-$D39))),"")))</ns0:f>
      </ns0:c>
      <ns0:c r="AA39" s="22" t="str">
        <ns0:f>IF($A39="","",IF($I39="Yes",IF(AA$6=$D39,"◆",""),IF(AND(AA$6&gt;=$D39,AA$6&lt;=$E39),MAX(0,MIN(1,$G39*$F39-(AA$6-$D39))),"")))</ns0:f>
      </ns0:c>
      <ns0:c r="AB39" s="22" t="str">
        <ns0:f>IF($A39="","",IF($I39="Yes",IF(AB$6=$D39,"◆",""),IF(AND(AB$6&gt;=$D39,AB$6&lt;=$E39),MAX(0,MIN(1,$G39*$F39-(AB$6-$D39))),"")))</ns0:f>
      </ns0:c>
      <ns0:c r="AC39" s="22" t="str">
        <ns0:f>IF($A39="","",IF($I39="Yes",IF(AC$6=$D39,"◆",""),IF(AND(AC$6&gt;=$D39,AC$6&lt;=$E39),MAX(0,MIN(1,$G39*$F39-(AC$6-$D39))),"")))</ns0:f>
      </ns0:c>
      <ns0:c r="AD39" s="22" t="str">
        <ns0:f>IF($A39="","",IF($I39="Yes",IF(AD$6=$D39,"◆",""),IF(AND(AD$6&gt;=$D39,AD$6&lt;=$E39),MAX(0,MIN(1,$G39*$F39-(AD$6-$D39))),"")))</ns0:f>
      </ns0:c>
      <ns0:c r="AE39" s="22" t="str">
        <ns0:f>IF($A39="","",IF($I39="Yes",IF(AE$6=$D39,"◆",""),IF(AND(AE$6&gt;=$D39,AE$6&lt;=$E39),MAX(0,MIN(1,$G39*$F39-(AE$6-$D39))),"")))</ns0:f>
      </ns0:c>
      <ns0:c r="AF39" s="22" t="str">
        <ns0:f>IF($A39="","",IF($I39="Yes",IF(AF$6=$D39,"◆",""),IF(AND(AF$6&gt;=$D39,AF$6&lt;=$E39),MAX(0,MIN(1,$G39*$F39-(AF$6-$D39))),"")))</ns0:f>
      </ns0:c>
      <ns0:c r="AG39" s="22" t="str">
        <ns0:f>IF($A39="","",IF($I39="Yes",IF(AG$6=$D39,"◆",""),IF(AND(AG$6&gt;=$D39,AG$6&lt;=$E39),MAX(0,MIN(1,$G39*$F39-(AG$6-$D39))),"")))</ns0:f>
      </ns0:c>
      <ns0:c r="AH39" s="22" t="n">
        <ns0:f>IF($A39="","",IF($I39="Yes",IF(AH$6=$D39,"◆",""),IF(AND(AH$6&gt;=$D39,AH$6&lt;=$E39),MAX(0,MIN(1,$G39*$F39-(AH$6-$D39))),"")))</ns0:f>
        <ns0:v>0</ns0:v>
      </ns0:c>
      <ns0:c r="AI39" s="22" t="n">
        <ns0:f>IF($A39="","",IF($I39="Yes",IF(AI$6=$D39,"◆",""),IF(AND(AI$6&gt;=$D39,AI$6&lt;=$E39),MAX(0,MIN(1,$G39*$F39-(AI$6-$D39))),"")))</ns0:f>
        <ns0:v>0</ns0:v>
      </ns0:c>
      <ns0:c r="AJ39" s="22" t="str">
        <ns0:f>IF($A39="","",IF($I39="Yes",IF(AJ$6=$D39,"◆",""),IF(AND(AJ$6&gt;=$D39,AJ$6&lt;=$E39),MAX(0,MIN(1,$G39*$F39-(AJ$6-$D39))),"")))</ns0:f>
      </ns0:c>
      <ns0:c r="AK39" s="22" t="str">
        <ns0:f>IF($A39="","",IF($I39="Yes",IF(AK$6=$D39,"◆",""),IF(AND(AK$6&gt;=$D39,AK$6&lt;=$E39),MAX(0,MIN(1,$G39*$F39-(AK$6-$D39))),"")))</ns0:f>
      </ns0:c>
      <ns0:c r="AL39" s="22" t="str">
        <ns0:f>IF($A39="","",IF($I39="Yes",IF(AL$6=$D39,"◆",""),IF(AND(AL$6&gt;=$D39,AL$6&lt;=$E39),MAX(0,MIN(1,$G39*$F39-(AL$6-$D39))),"")))</ns0:f>
      </ns0:c>
      <ns0:c r="AM39" s="22" t="str">
        <ns0:f>IF($A39="","",IF($I39="Yes",IF(AM$6=$D39,"◆",""),IF(AND(AM$6&gt;=$D39,AM$6&lt;=$E39),MAX(0,MIN(1,$G39*$F39-(AM$6-$D39))),"")))</ns0:f>
      </ns0:c>
      <ns0:c r="AN39" s="22" t="str">
        <ns0:f>IF($A39="","",IF($I39="Yes",IF(AN$6=$D39,"◆",""),IF(AND(AN$6&gt;=$D39,AN$6&lt;=$E39),MAX(0,MIN(1,$G39*$F39-(AN$6-$D39))),"")))</ns0:f>
      </ns0:c>
      <ns0:c r="AO39" s="22" t="str">
        <ns0:f>IF($A39="","",IF($I39="Yes",IF(AO$6=$D39,"◆",""),IF(AND(AO$6&gt;=$D39,AO$6&lt;=$E39),MAX(0,MIN(1,$G39*$F39-(AO$6-$D39))),"")))</ns0:f>
      </ns0:c>
      <ns0:c r="AP39" s="22" t="str">
        <ns0:f>IF($A39="","",IF($I39="Yes",IF(AP$6=$D39,"◆",""),IF(AND(AP$6&gt;=$D39,AP$6&lt;=$E39),MAX(0,MIN(1,$G39*$F39-(AP$6-$D39))),"")))</ns0:f>
      </ns0:c>
      <ns0:c r="AQ39" s="22" t="str">
        <ns0:f>IF($A39="","",IF($I39="Yes",IF(AQ$6=$D39,"◆",""),IF(AND(AQ$6&gt;=$D39,AQ$6&lt;=$E39),MAX(0,MIN(1,$G39*$F39-(AQ$6-$D39))),"")))</ns0:f>
      </ns0:c>
      <ns0:c r="AR39" s="22" t="str">
        <ns0:f>IF($A39="","",IF($I39="Yes",IF(AR$6=$D39,"◆",""),IF(AND(AR$6&gt;=$D39,AR$6&lt;=$E39),MAX(0,MIN(1,$G39*$F39-(AR$6-$D39))),"")))</ns0:f>
      </ns0:c>
    </ns0:row>
    <ns0:row r="40" ht="48" customHeight="1">
      <ns0:c r="A40" s="8" t="str">
        <ns0:f>IF(INDEX(Tasks[Task ID],34)="","",INDEX(Tasks[Task ID],34))</ns0:f>
        <ns0:v>T29</ns0:v>
      </ns0:c>
      <ns0:c r="B40" s="8" t="str">
        <ns0:f>IF(INDEX(Tasks[Task ID],34)="","",INDEX(Tasks[Phase],34))</ns0:f>
        <ns0:v>Launch &amp; telemetry</ns0:v>
      </ns0:c>
      <ns0:c r="C40" s="8" t="str">
        <ns0:f>IF(INDEX(Tasks[Task ID],34)="","",INDEX(Tasks[Task Name],34))</ns0:f>
        <ns0:v>Connect Omnichannel Telemetry Engine webhooks, pixel events &amp; logs</ns0:v>
      </ns0:c>
      <ns0:c r="D40" s="18" t="n">
        <ns0:f>IF(INDEX(Tasks[Task ID],34)="","",INDEX(Tasks[Start Date],34))</ns0:f>
        <ns0:v>46301</ns0:v>
      </ns0:c>
      <ns0:c r="E40" s="18" t="n">
        <ns0:f>IF(INDEX(Tasks[Task ID],34)="","",INDEX(Tasks[End Date],34))</ns0:f>
        <ns0:v>46302</ns0:v>
      </ns0:c>
      <ns0:c r="F40" s="8" t="n">
        <ns0:f>IF(INDEX(Tasks[Task ID],34)="","",INDEX(Tasks[Duration],34))</ns0:f>
        <ns0:v>2</ns0:v>
      </ns0:c>
      <ns0:c r="G40" s="19" t="n">
        <ns0:f>IF(INDEX(Tasks[Task ID],34)="","",INDEX(Tasks[Progress %],34))</ns0:f>
        <ns0:v>0</ns0:v>
      </ns0:c>
      <ns0:c r="H40" s="8" t="str">
        <ns0:f>IF(INDEX(Tasks[Task ID],34)="","",INDEX('Project Tracker'!$Q$7:$Q$106,34))</ns0:f>
        <ns0:v>Not Started</ns0:v>
      </ns0:c>
      <ns0:c r="I40" s="8" t="str">
        <ns0:f>IF(INDEX(Tasks[Task ID],34)="","",INDEX(Tasks[Milestone],34))</ns0:f>
        <ns0:v>No</ns0:v>
      </ns0:c>
      <ns0:c r="J40" s="8" t="str">
        <ns0:f>IF(INDEX(Tasks[Task ID],34)="","",INDEX(Tasks[Schedule Health],34))</ns0:f>
        <ns0:v>On track</ns0:v>
      </ns0:c>
      <ns0:c r="K40" s="22" t="str">
        <ns0:f>IF($A40="","",IF($I40="Yes",IF(K$6=$D40,"◆",""),IF(AND(K$6&gt;=$D40,K$6&lt;=$E40),MAX(0,MIN(1,$G40*$F40-(K$6-$D40))),"")))</ns0:f>
      </ns0:c>
      <ns0:c r="L40" s="22" t="str">
        <ns0:f>IF($A40="","",IF($I40="Yes",IF(L$6=$D40,"◆",""),IF(AND(L$6&gt;=$D40,L$6&lt;=$E40),MAX(0,MIN(1,$G40*$F40-(L$6-$D40))),"")))</ns0:f>
      </ns0:c>
      <ns0:c r="M40" s="22" t="str">
        <ns0:f>IF($A40="","",IF($I40="Yes",IF(M$6=$D40,"◆",""),IF(AND(M$6&gt;=$D40,M$6&lt;=$E40),MAX(0,MIN(1,$G40*$F40-(M$6-$D40))),"")))</ns0:f>
      </ns0:c>
      <ns0:c r="N40" s="22" t="str">
        <ns0:f>IF($A40="","",IF($I40="Yes",IF(N$6=$D40,"◆",""),IF(AND(N$6&gt;=$D40,N$6&lt;=$E40),MAX(0,MIN(1,$G40*$F40-(N$6-$D40))),"")))</ns0:f>
      </ns0:c>
      <ns0:c r="O40" s="22" t="str">
        <ns0:f>IF($A40="","",IF($I40="Yes",IF(O$6=$D40,"◆",""),IF(AND(O$6&gt;=$D40,O$6&lt;=$E40),MAX(0,MIN(1,$G40*$F40-(O$6-$D40))),"")))</ns0:f>
      </ns0:c>
      <ns0:c r="P40" s="22" t="str">
        <ns0:f>IF($A40="","",IF($I40="Yes",IF(P$6=$D40,"◆",""),IF(AND(P$6&gt;=$D40,P$6&lt;=$E40),MAX(0,MIN(1,$G40*$F40-(P$6-$D40))),"")))</ns0:f>
      </ns0:c>
      <ns0:c r="Q40" s="22" t="str">
        <ns0:f>IF($A40="","",IF($I40="Yes",IF(Q$6=$D40,"◆",""),IF(AND(Q$6&gt;=$D40,Q$6&lt;=$E40),MAX(0,MIN(1,$G40*$F40-(Q$6-$D40))),"")))</ns0:f>
      </ns0:c>
      <ns0:c r="R40" s="22" t="str">
        <ns0:f>IF($A40="","",IF($I40="Yes",IF(R$6=$D40,"◆",""),IF(AND(R$6&gt;=$D40,R$6&lt;=$E40),MAX(0,MIN(1,$G40*$F40-(R$6-$D40))),"")))</ns0:f>
      </ns0:c>
      <ns0:c r="S40" s="22" t="str">
        <ns0:f>IF($A40="","",IF($I40="Yes",IF(S$6=$D40,"◆",""),IF(AND(S$6&gt;=$D40,S$6&lt;=$E40),MAX(0,MIN(1,$G40*$F40-(S$6-$D40))),"")))</ns0:f>
      </ns0:c>
      <ns0:c r="T40" s="22" t="str">
        <ns0:f>IF($A40="","",IF($I40="Yes",IF(T$6=$D40,"◆",""),IF(AND(T$6&gt;=$D40,T$6&lt;=$E40),MAX(0,MIN(1,$G40*$F40-(T$6-$D40))),"")))</ns0:f>
      </ns0:c>
      <ns0:c r="U40" s="22" t="str">
        <ns0:f>IF($A40="","",IF($I40="Yes",IF(U$6=$D40,"◆",""),IF(AND(U$6&gt;=$D40,U$6&lt;=$E40),MAX(0,MIN(1,$G40*$F40-(U$6-$D40))),"")))</ns0:f>
      </ns0:c>
      <ns0:c r="V40" s="22" t="str">
        <ns0:f>IF($A40="","",IF($I40="Yes",IF(V$6=$D40,"◆",""),IF(AND(V$6&gt;=$D40,V$6&lt;=$E40),MAX(0,MIN(1,$G40*$F40-(V$6-$D40))),"")))</ns0:f>
      </ns0:c>
      <ns0:c r="W40" s="22" t="str">
        <ns0:f>IF($A40="","",IF($I40="Yes",IF(W$6=$D40,"◆",""),IF(AND(W$6&gt;=$D40,W$6&lt;=$E40),MAX(0,MIN(1,$G40*$F40-(W$6-$D40))),"")))</ns0:f>
      </ns0:c>
      <ns0:c r="X40" s="22" t="str">
        <ns0:f>IF($A40="","",IF($I40="Yes",IF(X$6=$D40,"◆",""),IF(AND(X$6&gt;=$D40,X$6&lt;=$E40),MAX(0,MIN(1,$G40*$F40-(X$6-$D40))),"")))</ns0:f>
      </ns0:c>
      <ns0:c r="Y40" s="22" t="str">
        <ns0:f>IF($A40="","",IF($I40="Yes",IF(Y$6=$D40,"◆",""),IF(AND(Y$6&gt;=$D40,Y$6&lt;=$E40),MAX(0,MIN(1,$G40*$F40-(Y$6-$D40))),"")))</ns0:f>
      </ns0:c>
      <ns0:c r="Z40" s="22" t="str">
        <ns0:f>IF($A40="","",IF($I40="Yes",IF(Z$6=$D40,"◆",""),IF(AND(Z$6&gt;=$D40,Z$6&lt;=$E40),MAX(0,MIN(1,$G40*$F40-(Z$6-$D40))),"")))</ns0:f>
      </ns0:c>
      <ns0:c r="AA40" s="22" t="str">
        <ns0:f>IF($A40="","",IF($I40="Yes",IF(AA$6=$D40,"◆",""),IF(AND(AA$6&gt;=$D40,AA$6&lt;=$E40),MAX(0,MIN(1,$G40*$F40-(AA$6-$D40))),"")))</ns0:f>
      </ns0:c>
      <ns0:c r="AB40" s="22" t="str">
        <ns0:f>IF($A40="","",IF($I40="Yes",IF(AB$6=$D40,"◆",""),IF(AND(AB$6&gt;=$D40,AB$6&lt;=$E40),MAX(0,MIN(1,$G40*$F40-(AB$6-$D40))),"")))</ns0:f>
      </ns0:c>
      <ns0:c r="AC40" s="22" t="str">
        <ns0:f>IF($A40="","",IF($I40="Yes",IF(AC$6=$D40,"◆",""),IF(AND(AC$6&gt;=$D40,AC$6&lt;=$E40),MAX(0,MIN(1,$G40*$F40-(AC$6-$D40))),"")))</ns0:f>
      </ns0:c>
      <ns0:c r="AD40" s="22" t="str">
        <ns0:f>IF($A40="","",IF($I40="Yes",IF(AD$6=$D40,"◆",""),IF(AND(AD$6&gt;=$D40,AD$6&lt;=$E40),MAX(0,MIN(1,$G40*$F40-(AD$6-$D40))),"")))</ns0:f>
      </ns0:c>
      <ns0:c r="AE40" s="22" t="str">
        <ns0:f>IF($A40="","",IF($I40="Yes",IF(AE$6=$D40,"◆",""),IF(AND(AE$6&gt;=$D40,AE$6&lt;=$E40),MAX(0,MIN(1,$G40*$F40-(AE$6-$D40))),"")))</ns0:f>
      </ns0:c>
      <ns0:c r="AF40" s="22" t="str">
        <ns0:f>IF($A40="","",IF($I40="Yes",IF(AF$6=$D40,"◆",""),IF(AND(AF$6&gt;=$D40,AF$6&lt;=$E40),MAX(0,MIN(1,$G40*$F40-(AF$6-$D40))),"")))</ns0:f>
      </ns0:c>
      <ns0:c r="AG40" s="22" t="str">
        <ns0:f>IF($A40="","",IF($I40="Yes",IF(AG$6=$D40,"◆",""),IF(AND(AG$6&gt;=$D40,AG$6&lt;=$E40),MAX(0,MIN(1,$G40*$F40-(AG$6-$D40))),"")))</ns0:f>
      </ns0:c>
      <ns0:c r="AH40" s="22" t="str">
        <ns0:f>IF($A40="","",IF($I40="Yes",IF(AH$6=$D40,"◆",""),IF(AND(AH$6&gt;=$D40,AH$6&lt;=$E40),MAX(0,MIN(1,$G40*$F40-(AH$6-$D40))),"")))</ns0:f>
      </ns0:c>
      <ns0:c r="AI40" s="22" t="str">
        <ns0:f>IF($A40="","",IF($I40="Yes",IF(AI$6=$D40,"◆",""),IF(AND(AI$6&gt;=$D40,AI$6&lt;=$E40),MAX(0,MIN(1,$G40*$F40-(AI$6-$D40))),"")))</ns0:f>
      </ns0:c>
      <ns0:c r="AJ40" s="22" t="n">
        <ns0:f>IF($A40="","",IF($I40="Yes",IF(AJ$6=$D40,"◆",""),IF(AND(AJ$6&gt;=$D40,AJ$6&lt;=$E40),MAX(0,MIN(1,$G40*$F40-(AJ$6-$D40))),"")))</ns0:f>
        <ns0:v>0</ns0:v>
      </ns0:c>
      <ns0:c r="AK40" s="22" t="n">
        <ns0:f>IF($A40="","",IF($I40="Yes",IF(AK$6=$D40,"◆",""),IF(AND(AK$6&gt;=$D40,AK$6&lt;=$E40),MAX(0,MIN(1,$G40*$F40-(AK$6-$D40))),"")))</ns0:f>
        <ns0:v>0</ns0:v>
      </ns0:c>
      <ns0:c r="AL40" s="22" t="str">
        <ns0:f>IF($A40="","",IF($I40="Yes",IF(AL$6=$D40,"◆",""),IF(AND(AL$6&gt;=$D40,AL$6&lt;=$E40),MAX(0,MIN(1,$G40*$F40-(AL$6-$D40))),"")))</ns0:f>
      </ns0:c>
      <ns0:c r="AM40" s="22" t="str">
        <ns0:f>IF($A40="","",IF($I40="Yes",IF(AM$6=$D40,"◆",""),IF(AND(AM$6&gt;=$D40,AM$6&lt;=$E40),MAX(0,MIN(1,$G40*$F40-(AM$6-$D40))),"")))</ns0:f>
      </ns0:c>
      <ns0:c r="AN40" s="22" t="str">
        <ns0:f>IF($A40="","",IF($I40="Yes",IF(AN$6=$D40,"◆",""),IF(AND(AN$6&gt;=$D40,AN$6&lt;=$E40),MAX(0,MIN(1,$G40*$F40-(AN$6-$D40))),"")))</ns0:f>
      </ns0:c>
      <ns0:c r="AO40" s="22" t="str">
        <ns0:f>IF($A40="","",IF($I40="Yes",IF(AO$6=$D40,"◆",""),IF(AND(AO$6&gt;=$D40,AO$6&lt;=$E40),MAX(0,MIN(1,$G40*$F40-(AO$6-$D40))),"")))</ns0:f>
      </ns0:c>
      <ns0:c r="AP40" s="22" t="str">
        <ns0:f>IF($A40="","",IF($I40="Yes",IF(AP$6=$D40,"◆",""),IF(AND(AP$6&gt;=$D40,AP$6&lt;=$E40),MAX(0,MIN(1,$G40*$F40-(AP$6-$D40))),"")))</ns0:f>
      </ns0:c>
      <ns0:c r="AQ40" s="22" t="str">
        <ns0:f>IF($A40="","",IF($I40="Yes",IF(AQ$6=$D40,"◆",""),IF(AND(AQ$6&gt;=$D40,AQ$6&lt;=$E40),MAX(0,MIN(1,$G40*$F40-(AQ$6-$D40))),"")))</ns0:f>
      </ns0:c>
      <ns0:c r="AR40" s="22" t="str">
        <ns0:f>IF($A40="","",IF($I40="Yes",IF(AR$6=$D40,"◆",""),IF(AND(AR$6&gt;=$D40,AR$6&lt;=$E40),MAX(0,MIN(1,$G40*$F40-(AR$6-$D40))),"")))</ns0:f>
      </ns0:c>
    </ns0:row>
    <ns0:row r="41" ht="48" customHeight="1">
      <ns0:c r="A41" s="8" t="str">
        <ns0:f>IF(INDEX(Tasks[Task ID],35)="","",INDEX(Tasks[Task ID],35))</ns0:f>
        <ns0:v>M6</ns0:v>
      </ns0:c>
      <ns0:c r="B41" s="8" t="str">
        <ns0:f>IF(INDEX(Tasks[Task ID],35)="","",INDEX(Tasks[Phase],35))</ns0:f>
        <ns0:v>Launch &amp; telemetry</ns0:v>
      </ns0:c>
      <ns0:c r="C41" s="8" t="str">
        <ns0:f>IF(INDEX(Tasks[Task ID],35)="","",INDEX(Tasks[Task Name],35))</ns0:f>
        <ns0:v>Outbound Actuation, Telemetry &amp; Omnichannel Go-Live</ns0:v>
      </ns0:c>
      <ns0:c r="D41" s="18" t="n">
        <ns0:f>IF(INDEX(Tasks[Task ID],35)="","",INDEX(Tasks[Start Date],35))</ns0:f>
        <ns0:v>46305</ns0:v>
      </ns0:c>
      <ns0:c r="E41" s="18" t="n">
        <ns0:f>IF(INDEX(Tasks[Task ID],35)="","",INDEX(Tasks[End Date],35))</ns0:f>
        <ns0:v>46305</ns0:v>
      </ns0:c>
      <ns0:c r="F41" s="8" t="n">
        <ns0:f>IF(INDEX(Tasks[Task ID],35)="","",INDEX(Tasks[Duration],35))</ns0:f>
        <ns0:v>0</ns0:v>
      </ns0:c>
      <ns0:c r="G41" s="19" t="n">
        <ns0:f>IF(INDEX(Tasks[Task ID],35)="","",INDEX(Tasks[Progress %],35))</ns0:f>
        <ns0:v>0</ns0:v>
      </ns0:c>
      <ns0:c r="H41" s="8" t="str">
        <ns0:f>IF(INDEX(Tasks[Task ID],35)="","",INDEX('Project Tracker'!$Q$7:$Q$106,35))</ns0:f>
        <ns0:v>Not Started</ns0:v>
      </ns0:c>
      <ns0:c r="I41" s="8" t="str">
        <ns0:f>IF(INDEX(Tasks[Task ID],35)="","",INDEX(Tasks[Milestone],35))</ns0:f>
        <ns0:v>Yes</ns0:v>
      </ns0:c>
      <ns0:c r="J41" s="8" t="str">
        <ns0:f>IF(INDEX(Tasks[Task ID],35)="","",INDEX(Tasks[Schedule Health],35))</ns0:f>
        <ns0:v>On track</ns0:v>
      </ns0:c>
      <ns0:c r="K41" s="22" t="str">
        <ns0:f>IF($A41="","",IF($I41="Yes",IF(K$6=$D41,"◆",""),IF(AND(K$6&gt;=$D41,K$6&lt;=$E41),MAX(0,MIN(1,$G41*$F41-(K$6-$D41))),"")))</ns0:f>
      </ns0:c>
      <ns0:c r="L41" s="22" t="str">
        <ns0:f>IF($A41="","",IF($I41="Yes",IF(L$6=$D41,"◆",""),IF(AND(L$6&gt;=$D41,L$6&lt;=$E41),MAX(0,MIN(1,$G41*$F41-(L$6-$D41))),"")))</ns0:f>
      </ns0:c>
      <ns0:c r="M41" s="22" t="str">
        <ns0:f>IF($A41="","",IF($I41="Yes",IF(M$6=$D41,"◆",""),IF(AND(M$6&gt;=$D41,M$6&lt;=$E41),MAX(0,MIN(1,$G41*$F41-(M$6-$D41))),"")))</ns0:f>
      </ns0:c>
      <ns0:c r="N41" s="22" t="str">
        <ns0:f>IF($A41="","",IF($I41="Yes",IF(N$6=$D41,"◆",""),IF(AND(N$6&gt;=$D41,N$6&lt;=$E41),MAX(0,MIN(1,$G41*$F41-(N$6-$D41))),"")))</ns0:f>
      </ns0:c>
      <ns0:c r="O41" s="22" t="str">
        <ns0:f>IF($A41="","",IF($I41="Yes",IF(O$6=$D41,"◆",""),IF(AND(O$6&gt;=$D41,O$6&lt;=$E41),MAX(0,MIN(1,$G41*$F41-(O$6-$D41))),"")))</ns0:f>
      </ns0:c>
      <ns0:c r="P41" s="22" t="str">
        <ns0:f>IF($A41="","",IF($I41="Yes",IF(P$6=$D41,"◆",""),IF(AND(P$6&gt;=$D41,P$6&lt;=$E41),MAX(0,MIN(1,$G41*$F41-(P$6-$D41))),"")))</ns0:f>
      </ns0:c>
      <ns0:c r="Q41" s="22" t="str">
        <ns0:f>IF($A41="","",IF($I41="Yes",IF(Q$6=$D41,"◆",""),IF(AND(Q$6&gt;=$D41,Q$6&lt;=$E41),MAX(0,MIN(1,$G41*$F41-(Q$6-$D41))),"")))</ns0:f>
      </ns0:c>
      <ns0:c r="R41" s="22" t="str">
        <ns0:f>IF($A41="","",IF($I41="Yes",IF(R$6=$D41,"◆",""),IF(AND(R$6&gt;=$D41,R$6&lt;=$E41),MAX(0,MIN(1,$G41*$F41-(R$6-$D41))),"")))</ns0:f>
      </ns0:c>
      <ns0:c r="S41" s="22" t="str">
        <ns0:f>IF($A41="","",IF($I41="Yes",IF(S$6=$D41,"◆",""),IF(AND(S$6&gt;=$D41,S$6&lt;=$E41),MAX(0,MIN(1,$G41*$F41-(S$6-$D41))),"")))</ns0:f>
      </ns0:c>
      <ns0:c r="T41" s="22" t="str">
        <ns0:f>IF($A41="","",IF($I41="Yes",IF(T$6=$D41,"◆",""),IF(AND(T$6&gt;=$D41,T$6&lt;=$E41),MAX(0,MIN(1,$G41*$F41-(T$6-$D41))),"")))</ns0:f>
      </ns0:c>
      <ns0:c r="U41" s="22" t="str">
        <ns0:f>IF($A41="","",IF($I41="Yes",IF(U$6=$D41,"◆",""),IF(AND(U$6&gt;=$D41,U$6&lt;=$E41),MAX(0,MIN(1,$G41*$F41-(U$6-$D41))),"")))</ns0:f>
      </ns0:c>
      <ns0:c r="V41" s="22" t="str">
        <ns0:f>IF($A41="","",IF($I41="Yes",IF(V$6=$D41,"◆",""),IF(AND(V$6&gt;=$D41,V$6&lt;=$E41),MAX(0,MIN(1,$G41*$F41-(V$6-$D41))),"")))</ns0:f>
      </ns0:c>
      <ns0:c r="W41" s="22" t="str">
        <ns0:f>IF($A41="","",IF($I41="Yes",IF(W$6=$D41,"◆",""),IF(AND(W$6&gt;=$D41,W$6&lt;=$E41),MAX(0,MIN(1,$G41*$F41-(W$6-$D41))),"")))</ns0:f>
      </ns0:c>
      <ns0:c r="X41" s="22" t="str">
        <ns0:f>IF($A41="","",IF($I41="Yes",IF(X$6=$D41,"◆",""),IF(AND(X$6&gt;=$D41,X$6&lt;=$E41),MAX(0,MIN(1,$G41*$F41-(X$6-$D41))),"")))</ns0:f>
      </ns0:c>
      <ns0:c r="Y41" s="22" t="str">
        <ns0:f>IF($A41="","",IF($I41="Yes",IF(Y$6=$D41,"◆",""),IF(AND(Y$6&gt;=$D41,Y$6&lt;=$E41),MAX(0,MIN(1,$G41*$F41-(Y$6-$D41))),"")))</ns0:f>
      </ns0:c>
      <ns0:c r="Z41" s="22" t="str">
        <ns0:f>IF($A41="","",IF($I41="Yes",IF(Z$6=$D41,"◆",""),IF(AND(Z$6&gt;=$D41,Z$6&lt;=$E41),MAX(0,MIN(1,$G41*$F41-(Z$6-$D41))),"")))</ns0:f>
      </ns0:c>
      <ns0:c r="AA41" s="22" t="str">
        <ns0:f>IF($A41="","",IF($I41="Yes",IF(AA$6=$D41,"◆",""),IF(AND(AA$6&gt;=$D41,AA$6&lt;=$E41),MAX(0,MIN(1,$G41*$F41-(AA$6-$D41))),"")))</ns0:f>
      </ns0:c>
      <ns0:c r="AB41" s="22" t="str">
        <ns0:f>IF($A41="","",IF($I41="Yes",IF(AB$6=$D41,"◆",""),IF(AND(AB$6&gt;=$D41,AB$6&lt;=$E41),MAX(0,MIN(1,$G41*$F41-(AB$6-$D41))),"")))</ns0:f>
      </ns0:c>
      <ns0:c r="AC41" s="22" t="str">
        <ns0:f>IF($A41="","",IF($I41="Yes",IF(AC$6=$D41,"◆",""),IF(AND(AC$6&gt;=$D41,AC$6&lt;=$E41),MAX(0,MIN(1,$G41*$F41-(AC$6-$D41))),"")))</ns0:f>
      </ns0:c>
      <ns0:c r="AD41" s="22" t="str">
        <ns0:f>IF($A41="","",IF($I41="Yes",IF(AD$6=$D41,"◆",""),IF(AND(AD$6&gt;=$D41,AD$6&lt;=$E41),MAX(0,MIN(1,$G41*$F41-(AD$6-$D41))),"")))</ns0:f>
      </ns0:c>
      <ns0:c r="AE41" s="22" t="str">
        <ns0:f>IF($A41="","",IF($I41="Yes",IF(AE$6=$D41,"◆",""),IF(AND(AE$6&gt;=$D41,AE$6&lt;=$E41),MAX(0,MIN(1,$G41*$F41-(AE$6-$D41))),"")))</ns0:f>
      </ns0:c>
      <ns0:c r="AF41" s="22" t="str">
        <ns0:f>IF($A41="","",IF($I41="Yes",IF(AF$6=$D41,"◆",""),IF(AND(AF$6&gt;=$D41,AF$6&lt;=$E41),MAX(0,MIN(1,$G41*$F41-(AF$6-$D41))),"")))</ns0:f>
      </ns0:c>
      <ns0:c r="AG41" s="22" t="str">
        <ns0:f>IF($A41="","",IF($I41="Yes",IF(AG$6=$D41,"◆",""),IF(AND(AG$6&gt;=$D41,AG$6&lt;=$E41),MAX(0,MIN(1,$G41*$F41-(AG$6-$D41))),"")))</ns0:f>
      </ns0:c>
      <ns0:c r="AH41" s="22" t="str">
        <ns0:f>IF($A41="","",IF($I41="Yes",IF(AH$6=$D41,"◆",""),IF(AND(AH$6&gt;=$D41,AH$6&lt;=$E41),MAX(0,MIN(1,$G41*$F41-(AH$6-$D41))),"")))</ns0:f>
      </ns0:c>
      <ns0:c r="AI41" s="22" t="str">
        <ns0:f>IF($A41="","",IF($I41="Yes",IF(AI$6=$D41,"◆",""),IF(AND(AI$6&gt;=$D41,AI$6&lt;=$E41),MAX(0,MIN(1,$G41*$F41-(AI$6-$D41))),"")))</ns0:f>
      </ns0:c>
      <ns0:c r="AJ41" s="22" t="str">
        <ns0:f>IF($A41="","",IF($I41="Yes",IF(AJ$6=$D41,"◆",""),IF(AND(AJ$6&gt;=$D41,AJ$6&lt;=$E41),MAX(0,MIN(1,$G41*$F41-(AJ$6-$D41))),"")))</ns0:f>
      </ns0:c>
      <ns0:c r="AK41" s="22" t="str">
        <ns0:f>IF($A41="","",IF($I41="Yes",IF(AK$6=$D41,"◆",""),IF(AND(AK$6&gt;=$D41,AK$6&lt;=$E41),MAX(0,MIN(1,$G41*$F41-(AK$6-$D41))),"")))</ns0:f>
      </ns0:c>
      <ns0:c r="AL41" s="22" t="str">
        <ns0:f>IF($A41="","",IF($I41="Yes",IF(AL$6=$D41,"◆",""),IF(AND(AL$6&gt;=$D41,AL$6&lt;=$E41),MAX(0,MIN(1,$G41*$F41-(AL$6-$D41))),"")))</ns0:f>
      </ns0:c>
      <ns0:c r="AM41" s="22" t="str">
        <ns0:f>IF($A41="","",IF($I41="Yes",IF(AM$6=$D41,"◆",""),IF(AND(AM$6&gt;=$D41,AM$6&lt;=$E41),MAX(0,MIN(1,$G41*$F41-(AM$6-$D41))),"")))</ns0:f>
      </ns0:c>
      <ns0:c r="AN41" s="22" t="str">
        <ns0:f>IF($A41="","",IF($I41="Yes",IF(AN$6=$D41,"◆",""),IF(AND(AN$6&gt;=$D41,AN$6&lt;=$E41),MAX(0,MIN(1,$G41*$F41-(AN$6-$D41))),"")))</ns0:f>
        <ns0:v>◆</ns0:v>
      </ns0:c>
      <ns0:c r="AO41" s="22" t="str">
        <ns0:f>IF($A41="","",IF($I41="Yes",IF(AO$6=$D41,"◆",""),IF(AND(AO$6&gt;=$D41,AO$6&lt;=$E41),MAX(0,MIN(1,$G41*$F41-(AO$6-$D41))),"")))</ns0:f>
      </ns0:c>
      <ns0:c r="AP41" s="22" t="str">
        <ns0:f>IF($A41="","",IF($I41="Yes",IF(AP$6=$D41,"◆",""),IF(AND(AP$6&gt;=$D41,AP$6&lt;=$E41),MAX(0,MIN(1,$G41*$F41-(AP$6-$D41))),"")))</ns0:f>
      </ns0:c>
      <ns0:c r="AQ41" s="22" t="str">
        <ns0:f>IF($A41="","",IF($I41="Yes",IF(AQ$6=$D41,"◆",""),IF(AND(AQ$6&gt;=$D41,AQ$6&lt;=$E41),MAX(0,MIN(1,$G41*$F41-(AQ$6-$D41))),"")))</ns0:f>
      </ns0:c>
      <ns0:c r="AR41" s="22" t="str">
        <ns0:f>IF($A41="","",IF($I41="Yes",IF(AR$6=$D41,"◆",""),IF(AND(AR$6&gt;=$D41,AR$6&lt;=$E41),MAX(0,MIN(1,$G41*$F41-(AR$6-$D41))),"")))</ns0:f>
      </ns0:c>
    </ns0:row>
    <ns0:row r="42" ht="48" customHeight="1">
      <ns0:c r="A42" s="8" t="str">
        <ns0:f>IF(INDEX(Tasks[Task ID],36)="","",INDEX(Tasks[Task ID],36))</ns0:f>
        <ns0:v>T30</ns0:v>
      </ns0:c>
      <ns0:c r="B42" s="8" t="str">
        <ns0:f>IF(INDEX(Tasks[Task ID],36)="","",INDEX(Tasks[Phase],36))</ns0:f>
        <ns0:v>Learning &amp; closeout</ns0:v>
      </ns0:c>
      <ns0:c r="C42" s="8" t="str">
        <ns0:f>IF(INDEX(Tasks[Task ID],36)="","",INDEX(Tasks[Task Name],36))</ns0:f>
        <ns0:v>Ingest live store traffic, checkout transactions &amp; conversion logs into CDB</ns0:v>
      </ns0:c>
      <ns0:c r="D42" s="18" t="n">
        <ns0:f>IF(INDEX(Tasks[Task ID],36)="","",INDEX(Tasks[Start Date],36))</ns0:f>
        <ns0:v>46303</ns0:v>
      </ns0:c>
      <ns0:c r="E42" s="18" t="n">
        <ns0:f>IF(INDEX(Tasks[Task ID],36)="","",INDEX(Tasks[End Date],36))</ns0:f>
        <ns0:v>46304</ns0:v>
      </ns0:c>
      <ns0:c r="F42" s="8" t="n">
        <ns0:f>IF(INDEX(Tasks[Task ID],36)="","",INDEX(Tasks[Duration],36))</ns0:f>
        <ns0:v>2</ns0:v>
      </ns0:c>
      <ns0:c r="G42" s="19" t="n">
        <ns0:f>IF(INDEX(Tasks[Task ID],36)="","",INDEX(Tasks[Progress %],36))</ns0:f>
        <ns0:v>0</ns0:v>
      </ns0:c>
      <ns0:c r="H42" s="8" t="str">
        <ns0:f>IF(INDEX(Tasks[Task ID],36)="","",INDEX('Project Tracker'!$Q$7:$Q$106,36))</ns0:f>
        <ns0:v>Not Started</ns0:v>
      </ns0:c>
      <ns0:c r="I42" s="8" t="str">
        <ns0:f>IF(INDEX(Tasks[Task ID],36)="","",INDEX(Tasks[Milestone],36))</ns0:f>
        <ns0:v>No</ns0:v>
      </ns0:c>
      <ns0:c r="J42" s="8" t="str">
        <ns0:f>IF(INDEX(Tasks[Task ID],36)="","",INDEX(Tasks[Schedule Health],36))</ns0:f>
        <ns0:v>On track</ns0:v>
      </ns0:c>
      <ns0:c r="K42" s="22" t="str">
        <ns0:f>IF($A42="","",IF($I42="Yes",IF(K$6=$D42,"◆",""),IF(AND(K$6&gt;=$D42,K$6&lt;=$E42),MAX(0,MIN(1,$G42*$F42-(K$6-$D42))),"")))</ns0:f>
      </ns0:c>
      <ns0:c r="L42" s="22" t="str">
        <ns0:f>IF($A42="","",IF($I42="Yes",IF(L$6=$D42,"◆",""),IF(AND(L$6&gt;=$D42,L$6&lt;=$E42),MAX(0,MIN(1,$G42*$F42-(L$6-$D42))),"")))</ns0:f>
      </ns0:c>
      <ns0:c r="M42" s="22" t="str">
        <ns0:f>IF($A42="","",IF($I42="Yes",IF(M$6=$D42,"◆",""),IF(AND(M$6&gt;=$D42,M$6&lt;=$E42),MAX(0,MIN(1,$G42*$F42-(M$6-$D42))),"")))</ns0:f>
      </ns0:c>
      <ns0:c r="N42" s="22" t="str">
        <ns0:f>IF($A42="","",IF($I42="Yes",IF(N$6=$D42,"◆",""),IF(AND(N$6&gt;=$D42,N$6&lt;=$E42),MAX(0,MIN(1,$G42*$F42-(N$6-$D42))),"")))</ns0:f>
      </ns0:c>
      <ns0:c r="O42" s="22" t="str">
        <ns0:f>IF($A42="","",IF($I42="Yes",IF(O$6=$D42,"◆",""),IF(AND(O$6&gt;=$D42,O$6&lt;=$E42),MAX(0,MIN(1,$G42*$F42-(O$6-$D42))),"")))</ns0:f>
      </ns0:c>
      <ns0:c r="P42" s="22" t="str">
        <ns0:f>IF($A42="","",IF($I42="Yes",IF(P$6=$D42,"◆",""),IF(AND(P$6&gt;=$D42,P$6&lt;=$E42),MAX(0,MIN(1,$G42*$F42-(P$6-$D42))),"")))</ns0:f>
      </ns0:c>
      <ns0:c r="Q42" s="22" t="str">
        <ns0:f>IF($A42="","",IF($I42="Yes",IF(Q$6=$D42,"◆",""),IF(AND(Q$6&gt;=$D42,Q$6&lt;=$E42),MAX(0,MIN(1,$G42*$F42-(Q$6-$D42))),"")))</ns0:f>
      </ns0:c>
      <ns0:c r="R42" s="22" t="str">
        <ns0:f>IF($A42="","",IF($I42="Yes",IF(R$6=$D42,"◆",""),IF(AND(R$6&gt;=$D42,R$6&lt;=$E42),MAX(0,MIN(1,$G42*$F42-(R$6-$D42))),"")))</ns0:f>
      </ns0:c>
      <ns0:c r="S42" s="22" t="str">
        <ns0:f>IF($A42="","",IF($I42="Yes",IF(S$6=$D42,"◆",""),IF(AND(S$6&gt;=$D42,S$6&lt;=$E42),MAX(0,MIN(1,$G42*$F42-(S$6-$D42))),"")))</ns0:f>
      </ns0:c>
      <ns0:c r="T42" s="22" t="str">
        <ns0:f>IF($A42="","",IF($I42="Yes",IF(T$6=$D42,"◆",""),IF(AND(T$6&gt;=$D42,T$6&lt;=$E42),MAX(0,MIN(1,$G42*$F42-(T$6-$D42))),"")))</ns0:f>
      </ns0:c>
      <ns0:c r="U42" s="22" t="str">
        <ns0:f>IF($A42="","",IF($I42="Yes",IF(U$6=$D42,"◆",""),IF(AND(U$6&gt;=$D42,U$6&lt;=$E42),MAX(0,MIN(1,$G42*$F42-(U$6-$D42))),"")))</ns0:f>
      </ns0:c>
      <ns0:c r="V42" s="22" t="str">
        <ns0:f>IF($A42="","",IF($I42="Yes",IF(V$6=$D42,"◆",""),IF(AND(V$6&gt;=$D42,V$6&lt;=$E42),MAX(0,MIN(1,$G42*$F42-(V$6-$D42))),"")))</ns0:f>
      </ns0:c>
      <ns0:c r="W42" s="22" t="str">
        <ns0:f>IF($A42="","",IF($I42="Yes",IF(W$6=$D42,"◆",""),IF(AND(W$6&gt;=$D42,W$6&lt;=$E42),MAX(0,MIN(1,$G42*$F42-(W$6-$D42))),"")))</ns0:f>
      </ns0:c>
      <ns0:c r="X42" s="22" t="str">
        <ns0:f>IF($A42="","",IF($I42="Yes",IF(X$6=$D42,"◆",""),IF(AND(X$6&gt;=$D42,X$6&lt;=$E42),MAX(0,MIN(1,$G42*$F42-(X$6-$D42))),"")))</ns0:f>
      </ns0:c>
      <ns0:c r="Y42" s="22" t="str">
        <ns0:f>IF($A42="","",IF($I42="Yes",IF(Y$6=$D42,"◆",""),IF(AND(Y$6&gt;=$D42,Y$6&lt;=$E42),MAX(0,MIN(1,$G42*$F42-(Y$6-$D42))),"")))</ns0:f>
      </ns0:c>
      <ns0:c r="Z42" s="22" t="str">
        <ns0:f>IF($A42="","",IF($I42="Yes",IF(Z$6=$D42,"◆",""),IF(AND(Z$6&gt;=$D42,Z$6&lt;=$E42),MAX(0,MIN(1,$G42*$F42-(Z$6-$D42))),"")))</ns0:f>
      </ns0:c>
      <ns0:c r="AA42" s="22" t="str">
        <ns0:f>IF($A42="","",IF($I42="Yes",IF(AA$6=$D42,"◆",""),IF(AND(AA$6&gt;=$D42,AA$6&lt;=$E42),MAX(0,MIN(1,$G42*$F42-(AA$6-$D42))),"")))</ns0:f>
      </ns0:c>
      <ns0:c r="AB42" s="22" t="str">
        <ns0:f>IF($A42="","",IF($I42="Yes",IF(AB$6=$D42,"◆",""),IF(AND(AB$6&gt;=$D42,AB$6&lt;=$E42),MAX(0,MIN(1,$G42*$F42-(AB$6-$D42))),"")))</ns0:f>
      </ns0:c>
      <ns0:c r="AC42" s="22" t="str">
        <ns0:f>IF($A42="","",IF($I42="Yes",IF(AC$6=$D42,"◆",""),IF(AND(AC$6&gt;=$D42,AC$6&lt;=$E42),MAX(0,MIN(1,$G42*$F42-(AC$6-$D42))),"")))</ns0:f>
      </ns0:c>
      <ns0:c r="AD42" s="22" t="str">
        <ns0:f>IF($A42="","",IF($I42="Yes",IF(AD$6=$D42,"◆",""),IF(AND(AD$6&gt;=$D42,AD$6&lt;=$E42),MAX(0,MIN(1,$G42*$F42-(AD$6-$D42))),"")))</ns0:f>
      </ns0:c>
      <ns0:c r="AE42" s="22" t="str">
        <ns0:f>IF($A42="","",IF($I42="Yes",IF(AE$6=$D42,"◆",""),IF(AND(AE$6&gt;=$D42,AE$6&lt;=$E42),MAX(0,MIN(1,$G42*$F42-(AE$6-$D42))),"")))</ns0:f>
      </ns0:c>
      <ns0:c r="AF42" s="22" t="str">
        <ns0:f>IF($A42="","",IF($I42="Yes",IF(AF$6=$D42,"◆",""),IF(AND(AF$6&gt;=$D42,AF$6&lt;=$E42),MAX(0,MIN(1,$G42*$F42-(AF$6-$D42))),"")))</ns0:f>
      </ns0:c>
      <ns0:c r="AG42" s="22" t="str">
        <ns0:f>IF($A42="","",IF($I42="Yes",IF(AG$6=$D42,"◆",""),IF(AND(AG$6&gt;=$D42,AG$6&lt;=$E42),MAX(0,MIN(1,$G42*$F42-(AG$6-$D42))),"")))</ns0:f>
      </ns0:c>
      <ns0:c r="AH42" s="22" t="str">
        <ns0:f>IF($A42="","",IF($I42="Yes",IF(AH$6=$D42,"◆",""),IF(AND(AH$6&gt;=$D42,AH$6&lt;=$E42),MAX(0,MIN(1,$G42*$F42-(AH$6-$D42))),"")))</ns0:f>
      </ns0:c>
      <ns0:c r="AI42" s="22" t="str">
        <ns0:f>IF($A42="","",IF($I42="Yes",IF(AI$6=$D42,"◆",""),IF(AND(AI$6&gt;=$D42,AI$6&lt;=$E42),MAX(0,MIN(1,$G42*$F42-(AI$6-$D42))),"")))</ns0:f>
      </ns0:c>
      <ns0:c r="AJ42" s="22" t="str">
        <ns0:f>IF($A42="","",IF($I42="Yes",IF(AJ$6=$D42,"◆",""),IF(AND(AJ$6&gt;=$D42,AJ$6&lt;=$E42),MAX(0,MIN(1,$G42*$F42-(AJ$6-$D42))),"")))</ns0:f>
      </ns0:c>
      <ns0:c r="AK42" s="22" t="str">
        <ns0:f>IF($A42="","",IF($I42="Yes",IF(AK$6=$D42,"◆",""),IF(AND(AK$6&gt;=$D42,AK$6&lt;=$E42),MAX(0,MIN(1,$G42*$F42-(AK$6-$D42))),"")))</ns0:f>
      </ns0:c>
      <ns0:c r="AL42" s="22" t="n">
        <ns0:f>IF($A42="","",IF($I42="Yes",IF(AL$6=$D42,"◆",""),IF(AND(AL$6&gt;=$D42,AL$6&lt;=$E42),MAX(0,MIN(1,$G42*$F42-(AL$6-$D42))),"")))</ns0:f>
        <ns0:v>0</ns0:v>
      </ns0:c>
      <ns0:c r="AM42" s="22" t="n">
        <ns0:f>IF($A42="","",IF($I42="Yes",IF(AM$6=$D42,"◆",""),IF(AND(AM$6&gt;=$D42,AM$6&lt;=$E42),MAX(0,MIN(1,$G42*$F42-(AM$6-$D42))),"")))</ns0:f>
        <ns0:v>0</ns0:v>
      </ns0:c>
      <ns0:c r="AN42" s="22" t="str">
        <ns0:f>IF($A42="","",IF($I42="Yes",IF(AN$6=$D42,"◆",""),IF(AND(AN$6&gt;=$D42,AN$6&lt;=$E42),MAX(0,MIN(1,$G42*$F42-(AN$6-$D42))),"")))</ns0:f>
      </ns0:c>
      <ns0:c r="AO42" s="22" t="str">
        <ns0:f>IF($A42="","",IF($I42="Yes",IF(AO$6=$D42,"◆",""),IF(AND(AO$6&gt;=$D42,AO$6&lt;=$E42),MAX(0,MIN(1,$G42*$F42-(AO$6-$D42))),"")))</ns0:f>
      </ns0:c>
      <ns0:c r="AP42" s="22" t="str">
        <ns0:f>IF($A42="","",IF($I42="Yes",IF(AP$6=$D42,"◆",""),IF(AND(AP$6&gt;=$D42,AP$6&lt;=$E42),MAX(0,MIN(1,$G42*$F42-(AP$6-$D42))),"")))</ns0:f>
      </ns0:c>
      <ns0:c r="AQ42" s="22" t="str">
        <ns0:f>IF($A42="","",IF($I42="Yes",IF(AQ$6=$D42,"◆",""),IF(AND(AQ$6&gt;=$D42,AQ$6&lt;=$E42),MAX(0,MIN(1,$G42*$F42-(AQ$6-$D42))),"")))</ns0:f>
      </ns0:c>
      <ns0:c r="AR42" s="22" t="str">
        <ns0:f>IF($A42="","",IF($I42="Yes",IF(AR$6=$D42,"◆",""),IF(AND(AR$6&gt;=$D42,AR$6&lt;=$E42),MAX(0,MIN(1,$G42*$F42-(AR$6-$D42))),"")))</ns0:f>
      </ns0:c>
    </ns0:row>
    <ns0:row r="43" ht="48" customHeight="1">
      <ns0:c r="A43" s="8" t="str">
        <ns0:f>IF(INDEX(Tasks[Task ID],37)="","",INDEX(Tasks[Task ID],37))</ns0:f>
        <ns0:v>T31</ns0:v>
      </ns0:c>
      <ns0:c r="B43" s="8" t="str">
        <ns0:f>IF(INDEX(Tasks[Task ID],37)="","",INDEX(Tasks[Phase],37))</ns0:f>
        <ns0:v>Learning &amp; closeout</ns0:v>
      </ns0:c>
      <ns0:c r="C43" s="8" t="str">
        <ns0:f>IF(INDEX(Tasks[Task ID],37)="","",INDEX(Tasks[Task Name],37))</ns0:f>
        <ns0:v>Calculate multi-touch attribution, creative decay &amp; ROAS (W_LEARN)</ns0:v>
      </ns0:c>
      <ns0:c r="D43" s="18" t="n">
        <ns0:f>IF(INDEX(Tasks[Task ID],37)="","",INDEX(Tasks[Start Date],37))</ns0:f>
        <ns0:v>46305</ns0:v>
      </ns0:c>
      <ns0:c r="E43" s="18" t="n">
        <ns0:f>IF(INDEX(Tasks[Task ID],37)="","",INDEX(Tasks[End Date],37))</ns0:f>
        <ns0:v>46306</ns0:v>
      </ns0:c>
      <ns0:c r="F43" s="8" t="n">
        <ns0:f>IF(INDEX(Tasks[Task ID],37)="","",INDEX(Tasks[Duration],37))</ns0:f>
        <ns0:v>2</ns0:v>
      </ns0:c>
      <ns0:c r="G43" s="19" t="n">
        <ns0:f>IF(INDEX(Tasks[Task ID],37)="","",INDEX(Tasks[Progress %],37))</ns0:f>
        <ns0:v>0</ns0:v>
      </ns0:c>
      <ns0:c r="H43" s="8" t="str">
        <ns0:f>IF(INDEX(Tasks[Task ID],37)="","",INDEX('Project Tracker'!$Q$7:$Q$106,37))</ns0:f>
        <ns0:v>Not Started</ns0:v>
      </ns0:c>
      <ns0:c r="I43" s="8" t="str">
        <ns0:f>IF(INDEX(Tasks[Task ID],37)="","",INDEX(Tasks[Milestone],37))</ns0:f>
        <ns0:v>No</ns0:v>
      </ns0:c>
      <ns0:c r="J43" s="8" t="str">
        <ns0:f>IF(INDEX(Tasks[Task ID],37)="","",INDEX(Tasks[Schedule Health],37))</ns0:f>
        <ns0:v>On track</ns0:v>
      </ns0:c>
      <ns0:c r="K43" s="22" t="str">
        <ns0:f>IF($A43="","",IF($I43="Yes",IF(K$6=$D43,"◆",""),IF(AND(K$6&gt;=$D43,K$6&lt;=$E43),MAX(0,MIN(1,$G43*$F43-(K$6-$D43))),"")))</ns0:f>
      </ns0:c>
      <ns0:c r="L43" s="22" t="str">
        <ns0:f>IF($A43="","",IF($I43="Yes",IF(L$6=$D43,"◆",""),IF(AND(L$6&gt;=$D43,L$6&lt;=$E43),MAX(0,MIN(1,$G43*$F43-(L$6-$D43))),"")))</ns0:f>
      </ns0:c>
      <ns0:c r="M43" s="22" t="str">
        <ns0:f>IF($A43="","",IF($I43="Yes",IF(M$6=$D43,"◆",""),IF(AND(M$6&gt;=$D43,M$6&lt;=$E43),MAX(0,MIN(1,$G43*$F43-(M$6-$D43))),"")))</ns0:f>
      </ns0:c>
      <ns0:c r="N43" s="22" t="str">
        <ns0:f>IF($A43="","",IF($I43="Yes",IF(N$6=$D43,"◆",""),IF(AND(N$6&gt;=$D43,N$6&lt;=$E43),MAX(0,MIN(1,$G43*$F43-(N$6-$D43))),"")))</ns0:f>
      </ns0:c>
      <ns0:c r="O43" s="22" t="str">
        <ns0:f>IF($A43="","",IF($I43="Yes",IF(O$6=$D43,"◆",""),IF(AND(O$6&gt;=$D43,O$6&lt;=$E43),MAX(0,MIN(1,$G43*$F43-(O$6-$D43))),"")))</ns0:f>
      </ns0:c>
      <ns0:c r="P43" s="22" t="str">
        <ns0:f>IF($A43="","",IF($I43="Yes",IF(P$6=$D43,"◆",""),IF(AND(P$6&gt;=$D43,P$6&lt;=$E43),MAX(0,MIN(1,$G43*$F43-(P$6-$D43))),"")))</ns0:f>
      </ns0:c>
      <ns0:c r="Q43" s="22" t="str">
        <ns0:f>IF($A43="","",IF($I43="Yes",IF(Q$6=$D43,"◆",""),IF(AND(Q$6&gt;=$D43,Q$6&lt;=$E43),MAX(0,MIN(1,$G43*$F43-(Q$6-$D43))),"")))</ns0:f>
      </ns0:c>
      <ns0:c r="R43" s="22" t="str">
        <ns0:f>IF($A43="","",IF($I43="Yes",IF(R$6=$D43,"◆",""),IF(AND(R$6&gt;=$D43,R$6&lt;=$E43),MAX(0,MIN(1,$G43*$F43-(R$6-$D43))),"")))</ns0:f>
      </ns0:c>
      <ns0:c r="S43" s="22" t="str">
        <ns0:f>IF($A43="","",IF($I43="Yes",IF(S$6=$D43,"◆",""),IF(AND(S$6&gt;=$D43,S$6&lt;=$E43),MAX(0,MIN(1,$G43*$F43-(S$6-$D43))),"")))</ns0:f>
      </ns0:c>
      <ns0:c r="T43" s="22" t="str">
        <ns0:f>IF($A43="","",IF($I43="Yes",IF(T$6=$D43,"◆",""),IF(AND(T$6&gt;=$D43,T$6&lt;=$E43),MAX(0,MIN(1,$G43*$F43-(T$6-$D43))),"")))</ns0:f>
      </ns0:c>
      <ns0:c r="U43" s="22" t="str">
        <ns0:f>IF($A43="","",IF($I43="Yes",IF(U$6=$D43,"◆",""),IF(AND(U$6&gt;=$D43,U$6&lt;=$E43),MAX(0,MIN(1,$G43*$F43-(U$6-$D43))),"")))</ns0:f>
      </ns0:c>
      <ns0:c r="V43" s="22" t="str">
        <ns0:f>IF($A43="","",IF($I43="Yes",IF(V$6=$D43,"◆",""),IF(AND(V$6&gt;=$D43,V$6&lt;=$E43),MAX(0,MIN(1,$G43*$F43-(V$6-$D43))),"")))</ns0:f>
      </ns0:c>
      <ns0:c r="W43" s="22" t="str">
        <ns0:f>IF($A43="","",IF($I43="Yes",IF(W$6=$D43,"◆",""),IF(AND(W$6&gt;=$D43,W$6&lt;=$E43),MAX(0,MIN(1,$G43*$F43-(W$6-$D43))),"")))</ns0:f>
      </ns0:c>
      <ns0:c r="X43" s="22" t="str">
        <ns0:f>IF($A43="","",IF($I43="Yes",IF(X$6=$D43,"◆",""),IF(AND(X$6&gt;=$D43,X$6&lt;=$E43),MAX(0,MIN(1,$G43*$F43-(X$6-$D43))),"")))</ns0:f>
      </ns0:c>
      <ns0:c r="Y43" s="22" t="str">
        <ns0:f>IF($A43="","",IF($I43="Yes",IF(Y$6=$D43,"◆",""),IF(AND(Y$6&gt;=$D43,Y$6&lt;=$E43),MAX(0,MIN(1,$G43*$F43-(Y$6-$D43))),"")))</ns0:f>
      </ns0:c>
      <ns0:c r="Z43" s="22" t="str">
        <ns0:f>IF($A43="","",IF($I43="Yes",IF(Z$6=$D43,"◆",""),IF(AND(Z$6&gt;=$D43,Z$6&lt;=$E43),MAX(0,MIN(1,$G43*$F43-(Z$6-$D43))),"")))</ns0:f>
      </ns0:c>
      <ns0:c r="AA43" s="22" t="str">
        <ns0:f>IF($A43="","",IF($I43="Yes",IF(AA$6=$D43,"◆",""),IF(AND(AA$6&gt;=$D43,AA$6&lt;=$E43),MAX(0,MIN(1,$G43*$F43-(AA$6-$D43))),"")))</ns0:f>
      </ns0:c>
      <ns0:c r="AB43" s="22" t="str">
        <ns0:f>IF($A43="","",IF($I43="Yes",IF(AB$6=$D43,"◆",""),IF(AND(AB$6&gt;=$D43,AB$6&lt;=$E43),MAX(0,MIN(1,$G43*$F43-(AB$6-$D43))),"")))</ns0:f>
      </ns0:c>
      <ns0:c r="AC43" s="22" t="str">
        <ns0:f>IF($A43="","",IF($I43="Yes",IF(AC$6=$D43,"◆",""),IF(AND(AC$6&gt;=$D43,AC$6&lt;=$E43),MAX(0,MIN(1,$G43*$F43-(AC$6-$D43))),"")))</ns0:f>
      </ns0:c>
      <ns0:c r="AD43" s="22" t="str">
        <ns0:f>IF($A43="","",IF($I43="Yes",IF(AD$6=$D43,"◆",""),IF(AND(AD$6&gt;=$D43,AD$6&lt;=$E43),MAX(0,MIN(1,$G43*$F43-(AD$6-$D43))),"")))</ns0:f>
      </ns0:c>
      <ns0:c r="AE43" s="22" t="str">
        <ns0:f>IF($A43="","",IF($I43="Yes",IF(AE$6=$D43,"◆",""),IF(AND(AE$6&gt;=$D43,AE$6&lt;=$E43),MAX(0,MIN(1,$G43*$F43-(AE$6-$D43))),"")))</ns0:f>
      </ns0:c>
      <ns0:c r="AF43" s="22" t="str">
        <ns0:f>IF($A43="","",IF($I43="Yes",IF(AF$6=$D43,"◆",""),IF(AND(AF$6&gt;=$D43,AF$6&lt;=$E43),MAX(0,MIN(1,$G43*$F43-(AF$6-$D43))),"")))</ns0:f>
      </ns0:c>
      <ns0:c r="AG43" s="22" t="str">
        <ns0:f>IF($A43="","",IF($I43="Yes",IF(AG$6=$D43,"◆",""),IF(AND(AG$6&gt;=$D43,AG$6&lt;=$E43),MAX(0,MIN(1,$G43*$F43-(AG$6-$D43))),"")))</ns0:f>
      </ns0:c>
      <ns0:c r="AH43" s="22" t="str">
        <ns0:f>IF($A43="","",IF($I43="Yes",IF(AH$6=$D43,"◆",""),IF(AND(AH$6&gt;=$D43,AH$6&lt;=$E43),MAX(0,MIN(1,$G43*$F43-(AH$6-$D43))),"")))</ns0:f>
      </ns0:c>
      <ns0:c r="AI43" s="22" t="str">
        <ns0:f>IF($A43="","",IF($I43="Yes",IF(AI$6=$D43,"◆",""),IF(AND(AI$6&gt;=$D43,AI$6&lt;=$E43),MAX(0,MIN(1,$G43*$F43-(AI$6-$D43))),"")))</ns0:f>
      </ns0:c>
      <ns0:c r="AJ43" s="22" t="str">
        <ns0:f>IF($A43="","",IF($I43="Yes",IF(AJ$6=$D43,"◆",""),IF(AND(AJ$6&gt;=$D43,AJ$6&lt;=$E43),MAX(0,MIN(1,$G43*$F43-(AJ$6-$D43))),"")))</ns0:f>
      </ns0:c>
      <ns0:c r="AK43" s="22" t="str">
        <ns0:f>IF($A43="","",IF($I43="Yes",IF(AK$6=$D43,"◆",""),IF(AND(AK$6&gt;=$D43,AK$6&lt;=$E43),MAX(0,MIN(1,$G43*$F43-(AK$6-$D43))),"")))</ns0:f>
      </ns0:c>
      <ns0:c r="AL43" s="22" t="str">
        <ns0:f>IF($A43="","",IF($I43="Yes",IF(AL$6=$D43,"◆",""),IF(AND(AL$6&gt;=$D43,AL$6&lt;=$E43),MAX(0,MIN(1,$G43*$F43-(AL$6-$D43))),"")))</ns0:f>
      </ns0:c>
      <ns0:c r="AM43" s="22" t="str">
        <ns0:f>IF($A43="","",IF($I43="Yes",IF(AM$6=$D43,"◆",""),IF(AND(AM$6&gt;=$D43,AM$6&lt;=$E43),MAX(0,MIN(1,$G43*$F43-(AM$6-$D43))),"")))</ns0:f>
      </ns0:c>
      <ns0:c r="AN43" s="22" t="n">
        <ns0:f>IF($A43="","",IF($I43="Yes",IF(AN$6=$D43,"◆",""),IF(AND(AN$6&gt;=$D43,AN$6&lt;=$E43),MAX(0,MIN(1,$G43*$F43-(AN$6-$D43))),"")))</ns0:f>
        <ns0:v>0</ns0:v>
      </ns0:c>
      <ns0:c r="AO43" s="22" t="n">
        <ns0:f>IF($A43="","",IF($I43="Yes",IF(AO$6=$D43,"◆",""),IF(AND(AO$6&gt;=$D43,AO$6&lt;=$E43),MAX(0,MIN(1,$G43*$F43-(AO$6-$D43))),"")))</ns0:f>
        <ns0:v>0</ns0:v>
      </ns0:c>
      <ns0:c r="AP43" s="22" t="str">
        <ns0:f>IF($A43="","",IF($I43="Yes",IF(AP$6=$D43,"◆",""),IF(AND(AP$6&gt;=$D43,AP$6&lt;=$E43),MAX(0,MIN(1,$G43*$F43-(AP$6-$D43))),"")))</ns0:f>
      </ns0:c>
      <ns0:c r="AQ43" s="22" t="str">
        <ns0:f>IF($A43="","",IF($I43="Yes",IF(AQ$6=$D43,"◆",""),IF(AND(AQ$6&gt;=$D43,AQ$6&lt;=$E43),MAX(0,MIN(1,$G43*$F43-(AQ$6-$D43))),"")))</ns0:f>
      </ns0:c>
      <ns0:c r="AR43" s="22" t="str">
        <ns0:f>IF($A43="","",IF($I43="Yes",IF(AR$6=$D43,"◆",""),IF(AND(AR$6&gt;=$D43,AR$6&lt;=$E43),MAX(0,MIN(1,$G43*$F43-(AR$6-$D43))),"")))</ns0:f>
      </ns0:c>
    </ns0:row>
    <ns0:row r="44" ht="48" customHeight="1">
      <ns0:c r="A44" s="8" t="str">
        <ns0:f>IF(INDEX(Tasks[Task ID],38)="","",INDEX(Tasks[Task ID],38))</ns0:f>
        <ns0:v>T32</ns0:v>
      </ns0:c>
      <ns0:c r="B44" s="8" t="str">
        <ns0:f>IF(INDEX(Tasks[Task ID],38)="","",INDEX(Tasks[Phase],38))</ns0:f>
        <ns0:v>Learning &amp; closeout</ns0:v>
      </ns0:c>
      <ns0:c r="C44" s="8" t="str">
        <ns0:f>IF(INDEX(Tasks[Task ID],38)="","",INDEX(Tasks[Task Name],38))</ns0:f>
        <ns0:v>Promote validated memory deltas into Institutional Memory and IE</ns0:v>
      </ns0:c>
      <ns0:c r="D44" s="18" t="n">
        <ns0:f>IF(INDEX(Tasks[Task ID],38)="","",INDEX(Tasks[Start Date],38))</ns0:f>
        <ns0:v>46307</ns0:v>
      </ns0:c>
      <ns0:c r="E44" s="18" t="n">
        <ns0:f>IF(INDEX(Tasks[Task ID],38)="","",INDEX(Tasks[End Date],38))</ns0:f>
        <ns0:v>46308</ns0:v>
      </ns0:c>
      <ns0:c r="F44" s="8" t="n">
        <ns0:f>IF(INDEX(Tasks[Task ID],38)="","",INDEX(Tasks[Duration],38))</ns0:f>
        <ns0:v>2</ns0:v>
      </ns0:c>
      <ns0:c r="G44" s="19" t="n">
        <ns0:f>IF(INDEX(Tasks[Task ID],38)="","",INDEX(Tasks[Progress %],38))</ns0:f>
        <ns0:v>0</ns0:v>
      </ns0:c>
      <ns0:c r="H44" s="8" t="str">
        <ns0:f>IF(INDEX(Tasks[Task ID],38)="","",INDEX('Project Tracker'!$Q$7:$Q$106,38))</ns0:f>
        <ns0:v>Not Started</ns0:v>
      </ns0:c>
      <ns0:c r="I44" s="8" t="str">
        <ns0:f>IF(INDEX(Tasks[Task ID],38)="","",INDEX(Tasks[Milestone],38))</ns0:f>
        <ns0:v>No</ns0:v>
      </ns0:c>
      <ns0:c r="J44" s="8" t="str">
        <ns0:f>IF(INDEX(Tasks[Task ID],38)="","",INDEX(Tasks[Schedule Health],38))</ns0:f>
        <ns0:v>On track</ns0:v>
      </ns0:c>
      <ns0:c r="K44" s="22" t="str">
        <ns0:f>IF($A44="","",IF($I44="Yes",IF(K$6=$D44,"◆",""),IF(AND(K$6&gt;=$D44,K$6&lt;=$E44),MAX(0,MIN(1,$G44*$F44-(K$6-$D44))),"")))</ns0:f>
      </ns0:c>
      <ns0:c r="L44" s="22" t="str">
        <ns0:f>IF($A44="","",IF($I44="Yes",IF(L$6=$D44,"◆",""),IF(AND(L$6&gt;=$D44,L$6&lt;=$E44),MAX(0,MIN(1,$G44*$F44-(L$6-$D44))),"")))</ns0:f>
      </ns0:c>
      <ns0:c r="M44" s="22" t="str">
        <ns0:f>IF($A44="","",IF($I44="Yes",IF(M$6=$D44,"◆",""),IF(AND(M$6&gt;=$D44,M$6&lt;=$E44),MAX(0,MIN(1,$G44*$F44-(M$6-$D44))),"")))</ns0:f>
      </ns0:c>
      <ns0:c r="N44" s="22" t="str">
        <ns0:f>IF($A44="","",IF($I44="Yes",IF(N$6=$D44,"◆",""),IF(AND(N$6&gt;=$D44,N$6&lt;=$E44),MAX(0,MIN(1,$G44*$F44-(N$6-$D44))),"")))</ns0:f>
      </ns0:c>
      <ns0:c r="O44" s="22" t="str">
        <ns0:f>IF($A44="","",IF($I44="Yes",IF(O$6=$D44,"◆",""),IF(AND(O$6&gt;=$D44,O$6&lt;=$E44),MAX(0,MIN(1,$G44*$F44-(O$6-$D44))),"")))</ns0:f>
      </ns0:c>
      <ns0:c r="P44" s="22" t="str">
        <ns0:f>IF($A44="","",IF($I44="Yes",IF(P$6=$D44,"◆",""),IF(AND(P$6&gt;=$D44,P$6&lt;=$E44),MAX(0,MIN(1,$G44*$F44-(P$6-$D44))),"")))</ns0:f>
      </ns0:c>
      <ns0:c r="Q44" s="22" t="str">
        <ns0:f>IF($A44="","",IF($I44="Yes",IF(Q$6=$D44,"◆",""),IF(AND(Q$6&gt;=$D44,Q$6&lt;=$E44),MAX(0,MIN(1,$G44*$F44-(Q$6-$D44))),"")))</ns0:f>
      </ns0:c>
      <ns0:c r="R44" s="22" t="str">
        <ns0:f>IF($A44="","",IF($I44="Yes",IF(R$6=$D44,"◆",""),IF(AND(R$6&gt;=$D44,R$6&lt;=$E44),MAX(0,MIN(1,$G44*$F44-(R$6-$D44))),"")))</ns0:f>
      </ns0:c>
      <ns0:c r="S44" s="22" t="str">
        <ns0:f>IF($A44="","",IF($I44="Yes",IF(S$6=$D44,"◆",""),IF(AND(S$6&gt;=$D44,S$6&lt;=$E44),MAX(0,MIN(1,$G44*$F44-(S$6-$D44))),"")))</ns0:f>
      </ns0:c>
      <ns0:c r="T44" s="22" t="str">
        <ns0:f>IF($A44="","",IF($I44="Yes",IF(T$6=$D44,"◆",""),IF(AND(T$6&gt;=$D44,T$6&lt;=$E44),MAX(0,MIN(1,$G44*$F44-(T$6-$D44))),"")))</ns0:f>
      </ns0:c>
      <ns0:c r="U44" s="22" t="str">
        <ns0:f>IF($A44="","",IF($I44="Yes",IF(U$6=$D44,"◆",""),IF(AND(U$6&gt;=$D44,U$6&lt;=$E44),MAX(0,MIN(1,$G44*$F44-(U$6-$D44))),"")))</ns0:f>
      </ns0:c>
      <ns0:c r="V44" s="22" t="str">
        <ns0:f>IF($A44="","",IF($I44="Yes",IF(V$6=$D44,"◆",""),IF(AND(V$6&gt;=$D44,V$6&lt;=$E44),MAX(0,MIN(1,$G44*$F44-(V$6-$D44))),"")))</ns0:f>
      </ns0:c>
      <ns0:c r="W44" s="22" t="str">
        <ns0:f>IF($A44="","",IF($I44="Yes",IF(W$6=$D44,"◆",""),IF(AND(W$6&gt;=$D44,W$6&lt;=$E44),MAX(0,MIN(1,$G44*$F44-(W$6-$D44))),"")))</ns0:f>
      </ns0:c>
      <ns0:c r="X44" s="22" t="str">
        <ns0:f>IF($A44="","",IF($I44="Yes",IF(X$6=$D44,"◆",""),IF(AND(X$6&gt;=$D44,X$6&lt;=$E44),MAX(0,MIN(1,$G44*$F44-(X$6-$D44))),"")))</ns0:f>
      </ns0:c>
      <ns0:c r="Y44" s="22" t="str">
        <ns0:f>IF($A44="","",IF($I44="Yes",IF(Y$6=$D44,"◆",""),IF(AND(Y$6&gt;=$D44,Y$6&lt;=$E44),MAX(0,MIN(1,$G44*$F44-(Y$6-$D44))),"")))</ns0:f>
      </ns0:c>
      <ns0:c r="Z44" s="22" t="str">
        <ns0:f>IF($A44="","",IF($I44="Yes",IF(Z$6=$D44,"◆",""),IF(AND(Z$6&gt;=$D44,Z$6&lt;=$E44),MAX(0,MIN(1,$G44*$F44-(Z$6-$D44))),"")))</ns0:f>
      </ns0:c>
      <ns0:c r="AA44" s="22" t="str">
        <ns0:f>IF($A44="","",IF($I44="Yes",IF(AA$6=$D44,"◆",""),IF(AND(AA$6&gt;=$D44,AA$6&lt;=$E44),MAX(0,MIN(1,$G44*$F44-(AA$6-$D44))),"")))</ns0:f>
      </ns0:c>
      <ns0:c r="AB44" s="22" t="str">
        <ns0:f>IF($A44="","",IF($I44="Yes",IF(AB$6=$D44,"◆",""),IF(AND(AB$6&gt;=$D44,AB$6&lt;=$E44),MAX(0,MIN(1,$G44*$F44-(AB$6-$D44))),"")))</ns0:f>
      </ns0:c>
      <ns0:c r="AC44" s="22" t="str">
        <ns0:f>IF($A44="","",IF($I44="Yes",IF(AC$6=$D44,"◆",""),IF(AND(AC$6&gt;=$D44,AC$6&lt;=$E44),MAX(0,MIN(1,$G44*$F44-(AC$6-$D44))),"")))</ns0:f>
      </ns0:c>
      <ns0:c r="AD44" s="22" t="str">
        <ns0:f>IF($A44="","",IF($I44="Yes",IF(AD$6=$D44,"◆",""),IF(AND(AD$6&gt;=$D44,AD$6&lt;=$E44),MAX(0,MIN(1,$G44*$F44-(AD$6-$D44))),"")))</ns0:f>
      </ns0:c>
      <ns0:c r="AE44" s="22" t="str">
        <ns0:f>IF($A44="","",IF($I44="Yes",IF(AE$6=$D44,"◆",""),IF(AND(AE$6&gt;=$D44,AE$6&lt;=$E44),MAX(0,MIN(1,$G44*$F44-(AE$6-$D44))),"")))</ns0:f>
      </ns0:c>
      <ns0:c r="AF44" s="22" t="str">
        <ns0:f>IF($A44="","",IF($I44="Yes",IF(AF$6=$D44,"◆",""),IF(AND(AF$6&gt;=$D44,AF$6&lt;=$E44),MAX(0,MIN(1,$G44*$F44-(AF$6-$D44))),"")))</ns0:f>
      </ns0:c>
      <ns0:c r="AG44" s="22" t="str">
        <ns0:f>IF($A44="","",IF($I44="Yes",IF(AG$6=$D44,"◆",""),IF(AND(AG$6&gt;=$D44,AG$6&lt;=$E44),MAX(0,MIN(1,$G44*$F44-(AG$6-$D44))),"")))</ns0:f>
      </ns0:c>
      <ns0:c r="AH44" s="22" t="str">
        <ns0:f>IF($A44="","",IF($I44="Yes",IF(AH$6=$D44,"◆",""),IF(AND(AH$6&gt;=$D44,AH$6&lt;=$E44),MAX(0,MIN(1,$G44*$F44-(AH$6-$D44))),"")))</ns0:f>
      </ns0:c>
      <ns0:c r="AI44" s="22" t="str">
        <ns0:f>IF($A44="","",IF($I44="Yes",IF(AI$6=$D44,"◆",""),IF(AND(AI$6&gt;=$D44,AI$6&lt;=$E44),MAX(0,MIN(1,$G44*$F44-(AI$6-$D44))),"")))</ns0:f>
      </ns0:c>
      <ns0:c r="AJ44" s="22" t="str">
        <ns0:f>IF($A44="","",IF($I44="Yes",IF(AJ$6=$D44,"◆",""),IF(AND(AJ$6&gt;=$D44,AJ$6&lt;=$E44),MAX(0,MIN(1,$G44*$F44-(AJ$6-$D44))),"")))</ns0:f>
      </ns0:c>
      <ns0:c r="AK44" s="22" t="str">
        <ns0:f>IF($A44="","",IF($I44="Yes",IF(AK$6=$D44,"◆",""),IF(AND(AK$6&gt;=$D44,AK$6&lt;=$E44),MAX(0,MIN(1,$G44*$F44-(AK$6-$D44))),"")))</ns0:f>
      </ns0:c>
      <ns0:c r="AL44" s="22" t="str">
        <ns0:f>IF($A44="","",IF($I44="Yes",IF(AL$6=$D44,"◆",""),IF(AND(AL$6&gt;=$D44,AL$6&lt;=$E44),MAX(0,MIN(1,$G44*$F44-(AL$6-$D44))),"")))</ns0:f>
      </ns0:c>
      <ns0:c r="AM44" s="22" t="str">
        <ns0:f>IF($A44="","",IF($I44="Yes",IF(AM$6=$D44,"◆",""),IF(AND(AM$6&gt;=$D44,AM$6&lt;=$E44),MAX(0,MIN(1,$G44*$F44-(AM$6-$D44))),"")))</ns0:f>
      </ns0:c>
      <ns0:c r="AN44" s="22" t="str">
        <ns0:f>IF($A44="","",IF($I44="Yes",IF(AN$6=$D44,"◆",""),IF(AND(AN$6&gt;=$D44,AN$6&lt;=$E44),MAX(0,MIN(1,$G44*$F44-(AN$6-$D44))),"")))</ns0:f>
      </ns0:c>
      <ns0:c r="AO44" s="22" t="str">
        <ns0:f>IF($A44="","",IF($I44="Yes",IF(AO$6=$D44,"◆",""),IF(AND(AO$6&gt;=$D44,AO$6&lt;=$E44),MAX(0,MIN(1,$G44*$F44-(AO$6-$D44))),"")))</ns0:f>
      </ns0:c>
      <ns0:c r="AP44" s="22" t="n">
        <ns0:f>IF($A44="","",IF($I44="Yes",IF(AP$6=$D44,"◆",""),IF(AND(AP$6&gt;=$D44,AP$6&lt;=$E44),MAX(0,MIN(1,$G44*$F44-(AP$6-$D44))),"")))</ns0:f>
        <ns0:v>0</ns0:v>
      </ns0:c>
      <ns0:c r="AQ44" s="22" t="n">
        <ns0:f>IF($A44="","",IF($I44="Yes",IF(AQ$6=$D44,"◆",""),IF(AND(AQ$6&gt;=$D44,AQ$6&lt;=$E44),MAX(0,MIN(1,$G44*$F44-(AQ$6-$D44))),"")))</ns0:f>
        <ns0:v>0</ns0:v>
      </ns0:c>
      <ns0:c r="AR44" s="22" t="str">
        <ns0:f>IF($A44="","",IF($I44="Yes",IF(AR$6=$D44,"◆",""),IF(AND(AR$6&gt;=$D44,AR$6&lt;=$E44),MAX(0,MIN(1,$G44*$F44-(AR$6-$D44))),"")))</ns0:f>
      </ns0:c>
    </ns0:row>
    <ns0:row r="45" ht="48" customHeight="1">
      <ns0:c r="A45" s="8" t="str">
        <ns0:f>IF(INDEX(Tasks[Task ID],39)="","",INDEX(Tasks[Task ID],39))</ns0:f>
        <ns0:v>T33</ns0:v>
      </ns0:c>
      <ns0:c r="B45" s="8" t="str">
        <ns0:f>IF(INDEX(Tasks[Task ID],39)="","",INDEX(Tasks[Phase],39))</ns0:f>
        <ns0:v>Learning &amp; closeout</ns0:v>
      </ns0:c>
      <ns0:c r="C45" s="8" t="str">
        <ns0:f>IF(INDEX(Tasks[Task ID],39)="","",INDEX(Tasks[Task Name],39))</ns0:f>
        <ns0:v>Validate end-to-end W3C PROV audit lineage, state integrity &amp; logs</ns0:v>
      </ns0:c>
      <ns0:c r="D45" s="18" t="n">
        <ns0:f>IF(INDEX(Tasks[Task ID],39)="","",INDEX(Tasks[Start Date],39))</ns0:f>
        <ns0:v>46307</ns0:v>
      </ns0:c>
      <ns0:c r="E45" s="18" t="n">
        <ns0:f>IF(INDEX(Tasks[Task ID],39)="","",INDEX(Tasks[End Date],39))</ns0:f>
        <ns0:v>46308</ns0:v>
      </ns0:c>
      <ns0:c r="F45" s="8" t="n">
        <ns0:f>IF(INDEX(Tasks[Task ID],39)="","",INDEX(Tasks[Duration],39))</ns0:f>
        <ns0:v>2</ns0:v>
      </ns0:c>
      <ns0:c r="G45" s="19" t="n">
        <ns0:f>IF(INDEX(Tasks[Task ID],39)="","",INDEX(Tasks[Progress %],39))</ns0:f>
        <ns0:v>0</ns0:v>
      </ns0:c>
      <ns0:c r="H45" s="8" t="str">
        <ns0:f>IF(INDEX(Tasks[Task ID],39)="","",INDEX('Project Tracker'!$Q$7:$Q$106,39))</ns0:f>
        <ns0:v>Not Started</ns0:v>
      </ns0:c>
      <ns0:c r="I45" s="8" t="str">
        <ns0:f>IF(INDEX(Tasks[Task ID],39)="","",INDEX(Tasks[Milestone],39))</ns0:f>
        <ns0:v>No</ns0:v>
      </ns0:c>
      <ns0:c r="J45" s="8" t="str">
        <ns0:f>IF(INDEX(Tasks[Task ID],39)="","",INDEX(Tasks[Schedule Health],39))</ns0:f>
        <ns0:v>On track</ns0:v>
      </ns0:c>
      <ns0:c r="K45" s="22" t="str">
        <ns0:f>IF($A45="","",IF($I45="Yes",IF(K$6=$D45,"◆",""),IF(AND(K$6&gt;=$D45,K$6&lt;=$E45),MAX(0,MIN(1,$G45*$F45-(K$6-$D45))),"")))</ns0:f>
      </ns0:c>
      <ns0:c r="L45" s="22" t="str">
        <ns0:f>IF($A45="","",IF($I45="Yes",IF(L$6=$D45,"◆",""),IF(AND(L$6&gt;=$D45,L$6&lt;=$E45),MAX(0,MIN(1,$G45*$F45-(L$6-$D45))),"")))</ns0:f>
      </ns0:c>
      <ns0:c r="M45" s="22" t="str">
        <ns0:f>IF($A45="","",IF($I45="Yes",IF(M$6=$D45,"◆",""),IF(AND(M$6&gt;=$D45,M$6&lt;=$E45),MAX(0,MIN(1,$G45*$F45-(M$6-$D45))),"")))</ns0:f>
      </ns0:c>
      <ns0:c r="N45" s="22" t="str">
        <ns0:f>IF($A45="","",IF($I45="Yes",IF(N$6=$D45,"◆",""),IF(AND(N$6&gt;=$D45,N$6&lt;=$E45),MAX(0,MIN(1,$G45*$F45-(N$6-$D45))),"")))</ns0:f>
      </ns0:c>
      <ns0:c r="O45" s="22" t="str">
        <ns0:f>IF($A45="","",IF($I45="Yes",IF(O$6=$D45,"◆",""),IF(AND(O$6&gt;=$D45,O$6&lt;=$E45),MAX(0,MIN(1,$G45*$F45-(O$6-$D45))),"")))</ns0:f>
      </ns0:c>
      <ns0:c r="P45" s="22" t="str">
        <ns0:f>IF($A45="","",IF($I45="Yes",IF(P$6=$D45,"◆",""),IF(AND(P$6&gt;=$D45,P$6&lt;=$E45),MAX(0,MIN(1,$G45*$F45-(P$6-$D45))),"")))</ns0:f>
      </ns0:c>
      <ns0:c r="Q45" s="22" t="str">
        <ns0:f>IF($A45="","",IF($I45="Yes",IF(Q$6=$D45,"◆",""),IF(AND(Q$6&gt;=$D45,Q$6&lt;=$E45),MAX(0,MIN(1,$G45*$F45-(Q$6-$D45))),"")))</ns0:f>
      </ns0:c>
      <ns0:c r="R45" s="22" t="str">
        <ns0:f>IF($A45="","",IF($I45="Yes",IF(R$6=$D45,"◆",""),IF(AND(R$6&gt;=$D45,R$6&lt;=$E45),MAX(0,MIN(1,$G45*$F45-(R$6-$D45))),"")))</ns0:f>
      </ns0:c>
      <ns0:c r="S45" s="22" t="str">
        <ns0:f>IF($A45="","",IF($I45="Yes",IF(S$6=$D45,"◆",""),IF(AND(S$6&gt;=$D45,S$6&lt;=$E45),MAX(0,MIN(1,$G45*$F45-(S$6-$D45))),"")))</ns0:f>
      </ns0:c>
      <ns0:c r="T45" s="22" t="str">
        <ns0:f>IF($A45="","",IF($I45="Yes",IF(T$6=$D45,"◆",""),IF(AND(T$6&gt;=$D45,T$6&lt;=$E45),MAX(0,MIN(1,$G45*$F45-(T$6-$D45))),"")))</ns0:f>
      </ns0:c>
      <ns0:c r="U45" s="22" t="str">
        <ns0:f>IF($A45="","",IF($I45="Yes",IF(U$6=$D45,"◆",""),IF(AND(U$6&gt;=$D45,U$6&lt;=$E45),MAX(0,MIN(1,$G45*$F45-(U$6-$D45))),"")))</ns0:f>
      </ns0:c>
      <ns0:c r="V45" s="22" t="str">
        <ns0:f>IF($A45="","",IF($I45="Yes",IF(V$6=$D45,"◆",""),IF(AND(V$6&gt;=$D45,V$6&lt;=$E45),MAX(0,MIN(1,$G45*$F45-(V$6-$D45))),"")))</ns0:f>
      </ns0:c>
      <ns0:c r="W45" s="22" t="str">
        <ns0:f>IF($A45="","",IF($I45="Yes",IF(W$6=$D45,"◆",""),IF(AND(W$6&gt;=$D45,W$6&lt;=$E45),MAX(0,MIN(1,$G45*$F45-(W$6-$D45))),"")))</ns0:f>
      </ns0:c>
      <ns0:c r="X45" s="22" t="str">
        <ns0:f>IF($A45="","",IF($I45="Yes",IF(X$6=$D45,"◆",""),IF(AND(X$6&gt;=$D45,X$6&lt;=$E45),MAX(0,MIN(1,$G45*$F45-(X$6-$D45))),"")))</ns0:f>
      </ns0:c>
      <ns0:c r="Y45" s="22" t="str">
        <ns0:f>IF($A45="","",IF($I45="Yes",IF(Y$6=$D45,"◆",""),IF(AND(Y$6&gt;=$D45,Y$6&lt;=$E45),MAX(0,MIN(1,$G45*$F45-(Y$6-$D45))),"")))</ns0:f>
      </ns0:c>
      <ns0:c r="Z45" s="22" t="str">
        <ns0:f>IF($A45="","",IF($I45="Yes",IF(Z$6=$D45,"◆",""),IF(AND(Z$6&gt;=$D45,Z$6&lt;=$E45),MAX(0,MIN(1,$G45*$F45-(Z$6-$D45))),"")))</ns0:f>
      </ns0:c>
      <ns0:c r="AA45" s="22" t="str">
        <ns0:f>IF($A45="","",IF($I45="Yes",IF(AA$6=$D45,"◆",""),IF(AND(AA$6&gt;=$D45,AA$6&lt;=$E45),MAX(0,MIN(1,$G45*$F45-(AA$6-$D45))),"")))</ns0:f>
      </ns0:c>
      <ns0:c r="AB45" s="22" t="str">
        <ns0:f>IF($A45="","",IF($I45="Yes",IF(AB$6=$D45,"◆",""),IF(AND(AB$6&gt;=$D45,AB$6&lt;=$E45),MAX(0,MIN(1,$G45*$F45-(AB$6-$D45))),"")))</ns0:f>
      </ns0:c>
      <ns0:c r="AC45" s="22" t="str">
        <ns0:f>IF($A45="","",IF($I45="Yes",IF(AC$6=$D45,"◆",""),IF(AND(AC$6&gt;=$D45,AC$6&lt;=$E45),MAX(0,MIN(1,$G45*$F45-(AC$6-$D45))),"")))</ns0:f>
      </ns0:c>
      <ns0:c r="AD45" s="22" t="str">
        <ns0:f>IF($A45="","",IF($I45="Yes",IF(AD$6=$D45,"◆",""),IF(AND(AD$6&gt;=$D45,AD$6&lt;=$E45),MAX(0,MIN(1,$G45*$F45-(AD$6-$D45))),"")))</ns0:f>
      </ns0:c>
      <ns0:c r="AE45" s="22" t="str">
        <ns0:f>IF($A45="","",IF($I45="Yes",IF(AE$6=$D45,"◆",""),IF(AND(AE$6&gt;=$D45,AE$6&lt;=$E45),MAX(0,MIN(1,$G45*$F45-(AE$6-$D45))),"")))</ns0:f>
      </ns0:c>
      <ns0:c r="AF45" s="22" t="str">
        <ns0:f>IF($A45="","",IF($I45="Yes",IF(AF$6=$D45,"◆",""),IF(AND(AF$6&gt;=$D45,AF$6&lt;=$E45),MAX(0,MIN(1,$G45*$F45-(AF$6-$D45))),"")))</ns0:f>
      </ns0:c>
      <ns0:c r="AG45" s="22" t="str">
        <ns0:f>IF($A45="","",IF($I45="Yes",IF(AG$6=$D45,"◆",""),IF(AND(AG$6&gt;=$D45,AG$6&lt;=$E45),MAX(0,MIN(1,$G45*$F45-(AG$6-$D45))),"")))</ns0:f>
      </ns0:c>
      <ns0:c r="AH45" s="22" t="str">
        <ns0:f>IF($A45="","",IF($I45="Yes",IF(AH$6=$D45,"◆",""),IF(AND(AH$6&gt;=$D45,AH$6&lt;=$E45),MAX(0,MIN(1,$G45*$F45-(AH$6-$D45))),"")))</ns0:f>
      </ns0:c>
      <ns0:c r="AI45" s="22" t="str">
        <ns0:f>IF($A45="","",IF($I45="Yes",IF(AI$6=$D45,"◆",""),IF(AND(AI$6&gt;=$D45,AI$6&lt;=$E45),MAX(0,MIN(1,$G45*$F45-(AI$6-$D45))),"")))</ns0:f>
      </ns0:c>
      <ns0:c r="AJ45" s="22" t="str">
        <ns0:f>IF($A45="","",IF($I45="Yes",IF(AJ$6=$D45,"◆",""),IF(AND(AJ$6&gt;=$D45,AJ$6&lt;=$E45),MAX(0,MIN(1,$G45*$F45-(AJ$6-$D45))),"")))</ns0:f>
      </ns0:c>
      <ns0:c r="AK45" s="22" t="str">
        <ns0:f>IF($A45="","",IF($I45="Yes",IF(AK$6=$D45,"◆",""),IF(AND(AK$6&gt;=$D45,AK$6&lt;=$E45),MAX(0,MIN(1,$G45*$F45-(AK$6-$D45))),"")))</ns0:f>
      </ns0:c>
      <ns0:c r="AL45" s="22" t="str">
        <ns0:f>IF($A45="","",IF($I45="Yes",IF(AL$6=$D45,"◆",""),IF(AND(AL$6&gt;=$D45,AL$6&lt;=$E45),MAX(0,MIN(1,$G45*$F45-(AL$6-$D45))),"")))</ns0:f>
      </ns0:c>
      <ns0:c r="AM45" s="22" t="str">
        <ns0:f>IF($A45="","",IF($I45="Yes",IF(AM$6=$D45,"◆",""),IF(AND(AM$6&gt;=$D45,AM$6&lt;=$E45),MAX(0,MIN(1,$G45*$F45-(AM$6-$D45))),"")))</ns0:f>
      </ns0:c>
      <ns0:c r="AN45" s="22" t="str">
        <ns0:f>IF($A45="","",IF($I45="Yes",IF(AN$6=$D45,"◆",""),IF(AND(AN$6&gt;=$D45,AN$6&lt;=$E45),MAX(0,MIN(1,$G45*$F45-(AN$6-$D45))),"")))</ns0:f>
      </ns0:c>
      <ns0:c r="AO45" s="22" t="str">
        <ns0:f>IF($A45="","",IF($I45="Yes",IF(AO$6=$D45,"◆",""),IF(AND(AO$6&gt;=$D45,AO$6&lt;=$E45),MAX(0,MIN(1,$G45*$F45-(AO$6-$D45))),"")))</ns0:f>
      </ns0:c>
      <ns0:c r="AP45" s="22" t="n">
        <ns0:f>IF($A45="","",IF($I45="Yes",IF(AP$6=$D45,"◆",""),IF(AND(AP$6&gt;=$D45,AP$6&lt;=$E45),MAX(0,MIN(1,$G45*$F45-(AP$6-$D45))),"")))</ns0:f>
        <ns0:v>0</ns0:v>
      </ns0:c>
      <ns0:c r="AQ45" s="22" t="n">
        <ns0:f>IF($A45="","",IF($I45="Yes",IF(AQ$6=$D45,"◆",""),IF(AND(AQ$6&gt;=$D45,AQ$6&lt;=$E45),MAX(0,MIN(1,$G45*$F45-(AQ$6-$D45))),"")))</ns0:f>
        <ns0:v>0</ns0:v>
      </ns0:c>
      <ns0:c r="AR45" s="22" t="str">
        <ns0:f>IF($A45="","",IF($I45="Yes",IF(AR$6=$D45,"◆",""),IF(AND(AR$6&gt;=$D45,AR$6&lt;=$E45),MAX(0,MIN(1,$G45*$F45-(AR$6-$D45))),"")))</ns0:f>
      </ns0:c>
    </ns0:row>
    <ns0:row r="46" ht="48" customHeight="1">
      <ns0:c r="A46" s="8" t="str">
        <ns0:f>IF(INDEX(Tasks[Task ID],40)="","",INDEX(Tasks[Task ID],40))</ns0:f>
        <ns0:v>T34</ns0:v>
      </ns0:c>
      <ns0:c r="B46" s="8" t="str">
        <ns0:f>IF(INDEX(Tasks[Task ID],40)="","",INDEX(Tasks[Phase],40))</ns0:f>
        <ns0:v>Learning &amp; closeout</ns0:v>
      </ns0:c>
      <ns0:c r="C46" s="8" t="str">
        <ns0:f>IF(INDEX(Tasks[Task ID],40)="","",INDEX(Tasks[Task Name],40))</ns0:f>
        <ns0:v>Perform final project verification against acceptance criteria &amp; close</ns0:v>
      </ns0:c>
      <ns0:c r="D46" s="18" t="n">
        <ns0:f>IF(INDEX(Tasks[Task ID],40)="","",INDEX(Tasks[Start Date],40))</ns0:f>
        <ns0:v>46309</ns0:v>
      </ns0:c>
      <ns0:c r="E46" s="18" t="n">
        <ns0:f>IF(INDEX(Tasks[Task ID],40)="","",INDEX(Tasks[End Date],40))</ns0:f>
        <ns0:v>46309</ns0:v>
      </ns0:c>
      <ns0:c r="F46" s="8" t="n">
        <ns0:f>IF(INDEX(Tasks[Task ID],40)="","",INDEX(Tasks[Duration],40))</ns0:f>
        <ns0:v>1</ns0:v>
      </ns0:c>
      <ns0:c r="G46" s="19" t="n">
        <ns0:f>IF(INDEX(Tasks[Task ID],40)="","",INDEX(Tasks[Progress %],40))</ns0:f>
        <ns0:v>0</ns0:v>
      </ns0:c>
      <ns0:c r="H46" s="8" t="str">
        <ns0:f>IF(INDEX(Tasks[Task ID],40)="","",INDEX('Project Tracker'!$Q$7:$Q$106,40))</ns0:f>
        <ns0:v>Not Started</ns0:v>
      </ns0:c>
      <ns0:c r="I46" s="8" t="str">
        <ns0:f>IF(INDEX(Tasks[Task ID],40)="","",INDEX(Tasks[Milestone],40))</ns0:f>
        <ns0:v>No</ns0:v>
      </ns0:c>
      <ns0:c r="J46" s="8" t="str">
        <ns0:f>IF(INDEX(Tasks[Task ID],40)="","",INDEX(Tasks[Schedule Health],40))</ns0:f>
        <ns0:v>On track</ns0:v>
      </ns0:c>
      <ns0:c r="K46" s="22" t="str">
        <ns0:f>IF($A46="","",IF($I46="Yes",IF(K$6=$D46,"◆",""),IF(AND(K$6&gt;=$D46,K$6&lt;=$E46),MAX(0,MIN(1,$G46*$F46-(K$6-$D46))),"")))</ns0:f>
      </ns0:c>
      <ns0:c r="L46" s="22" t="str">
        <ns0:f>IF($A46="","",IF($I46="Yes",IF(L$6=$D46,"◆",""),IF(AND(L$6&gt;=$D46,L$6&lt;=$E46),MAX(0,MIN(1,$G46*$F46-(L$6-$D46))),"")))</ns0:f>
      </ns0:c>
      <ns0:c r="M46" s="22" t="str">
        <ns0:f>IF($A46="","",IF($I46="Yes",IF(M$6=$D46,"◆",""),IF(AND(M$6&gt;=$D46,M$6&lt;=$E46),MAX(0,MIN(1,$G46*$F46-(M$6-$D46))),"")))</ns0:f>
      </ns0:c>
      <ns0:c r="N46" s="22" t="str">
        <ns0:f>IF($A46="","",IF($I46="Yes",IF(N$6=$D46,"◆",""),IF(AND(N$6&gt;=$D46,N$6&lt;=$E46),MAX(0,MIN(1,$G46*$F46-(N$6-$D46))),"")))</ns0:f>
      </ns0:c>
      <ns0:c r="O46" s="22" t="str">
        <ns0:f>IF($A46="","",IF($I46="Yes",IF(O$6=$D46,"◆",""),IF(AND(O$6&gt;=$D46,O$6&lt;=$E46),MAX(0,MIN(1,$G46*$F46-(O$6-$D46))),"")))</ns0:f>
      </ns0:c>
      <ns0:c r="P46" s="22" t="str">
        <ns0:f>IF($A46="","",IF($I46="Yes",IF(P$6=$D46,"◆",""),IF(AND(P$6&gt;=$D46,P$6&lt;=$E46),MAX(0,MIN(1,$G46*$F46-(P$6-$D46))),"")))</ns0:f>
      </ns0:c>
      <ns0:c r="Q46" s="22" t="str">
        <ns0:f>IF($A46="","",IF($I46="Yes",IF(Q$6=$D46,"◆",""),IF(AND(Q$6&gt;=$D46,Q$6&lt;=$E46),MAX(0,MIN(1,$G46*$F46-(Q$6-$D46))),"")))</ns0:f>
      </ns0:c>
      <ns0:c r="R46" s="22" t="str">
        <ns0:f>IF($A46="","",IF($I46="Yes",IF(R$6=$D46,"◆",""),IF(AND(R$6&gt;=$D46,R$6&lt;=$E46),MAX(0,MIN(1,$G46*$F46-(R$6-$D46))),"")))</ns0:f>
      </ns0:c>
      <ns0:c r="S46" s="22" t="str">
        <ns0:f>IF($A46="","",IF($I46="Yes",IF(S$6=$D46,"◆",""),IF(AND(S$6&gt;=$D46,S$6&lt;=$E46),MAX(0,MIN(1,$G46*$F46-(S$6-$D46))),"")))</ns0:f>
      </ns0:c>
      <ns0:c r="T46" s="22" t="str">
        <ns0:f>IF($A46="","",IF($I46="Yes",IF(T$6=$D46,"◆",""),IF(AND(T$6&gt;=$D46,T$6&lt;=$E46),MAX(0,MIN(1,$G46*$F46-(T$6-$D46))),"")))</ns0:f>
      </ns0:c>
      <ns0:c r="U46" s="22" t="str">
        <ns0:f>IF($A46="","",IF($I46="Yes",IF(U$6=$D46,"◆",""),IF(AND(U$6&gt;=$D46,U$6&lt;=$E46),MAX(0,MIN(1,$G46*$F46-(U$6-$D46))),"")))</ns0:f>
      </ns0:c>
      <ns0:c r="V46" s="22" t="str">
        <ns0:f>IF($A46="","",IF($I46="Yes",IF(V$6=$D46,"◆",""),IF(AND(V$6&gt;=$D46,V$6&lt;=$E46),MAX(0,MIN(1,$G46*$F46-(V$6-$D46))),"")))</ns0:f>
      </ns0:c>
      <ns0:c r="W46" s="22" t="str">
        <ns0:f>IF($A46="","",IF($I46="Yes",IF(W$6=$D46,"◆",""),IF(AND(W$6&gt;=$D46,W$6&lt;=$E46),MAX(0,MIN(1,$G46*$F46-(W$6-$D46))),"")))</ns0:f>
      </ns0:c>
      <ns0:c r="X46" s="22" t="str">
        <ns0:f>IF($A46="","",IF($I46="Yes",IF(X$6=$D46,"◆",""),IF(AND(X$6&gt;=$D46,X$6&lt;=$E46),MAX(0,MIN(1,$G46*$F46-(X$6-$D46))),"")))</ns0:f>
      </ns0:c>
      <ns0:c r="Y46" s="22" t="str">
        <ns0:f>IF($A46="","",IF($I46="Yes",IF(Y$6=$D46,"◆",""),IF(AND(Y$6&gt;=$D46,Y$6&lt;=$E46),MAX(0,MIN(1,$G46*$F46-(Y$6-$D46))),"")))</ns0:f>
      </ns0:c>
      <ns0:c r="Z46" s="22" t="str">
        <ns0:f>IF($A46="","",IF($I46="Yes",IF(Z$6=$D46,"◆",""),IF(AND(Z$6&gt;=$D46,Z$6&lt;=$E46),MAX(0,MIN(1,$G46*$F46-(Z$6-$D46))),"")))</ns0:f>
      </ns0:c>
      <ns0:c r="AA46" s="22" t="str">
        <ns0:f>IF($A46="","",IF($I46="Yes",IF(AA$6=$D46,"◆",""),IF(AND(AA$6&gt;=$D46,AA$6&lt;=$E46),MAX(0,MIN(1,$G46*$F46-(AA$6-$D46))),"")))</ns0:f>
      </ns0:c>
      <ns0:c r="AB46" s="22" t="str">
        <ns0:f>IF($A46="","",IF($I46="Yes",IF(AB$6=$D46,"◆",""),IF(AND(AB$6&gt;=$D46,AB$6&lt;=$E46),MAX(0,MIN(1,$G46*$F46-(AB$6-$D46))),"")))</ns0:f>
      </ns0:c>
      <ns0:c r="AC46" s="22" t="str">
        <ns0:f>IF($A46="","",IF($I46="Yes",IF(AC$6=$D46,"◆",""),IF(AND(AC$6&gt;=$D46,AC$6&lt;=$E46),MAX(0,MIN(1,$G46*$F46-(AC$6-$D46))),"")))</ns0:f>
      </ns0:c>
      <ns0:c r="AD46" s="22" t="str">
        <ns0:f>IF($A46="","",IF($I46="Yes",IF(AD$6=$D46,"◆",""),IF(AND(AD$6&gt;=$D46,AD$6&lt;=$E46),MAX(0,MIN(1,$G46*$F46-(AD$6-$D46))),"")))</ns0:f>
      </ns0:c>
      <ns0:c r="AE46" s="22" t="str">
        <ns0:f>IF($A46="","",IF($I46="Yes",IF(AE$6=$D46,"◆",""),IF(AND(AE$6&gt;=$D46,AE$6&lt;=$E46),MAX(0,MIN(1,$G46*$F46-(AE$6-$D46))),"")))</ns0:f>
      </ns0:c>
      <ns0:c r="AF46" s="22" t="str">
        <ns0:f>IF($A46="","",IF($I46="Yes",IF(AF$6=$D46,"◆",""),IF(AND(AF$6&gt;=$D46,AF$6&lt;=$E46),MAX(0,MIN(1,$G46*$F46-(AF$6-$D46))),"")))</ns0:f>
      </ns0:c>
      <ns0:c r="AG46" s="22" t="str">
        <ns0:f>IF($A46="","",IF($I46="Yes",IF(AG$6=$D46,"◆",""),IF(AND(AG$6&gt;=$D46,AG$6&lt;=$E46),MAX(0,MIN(1,$G46*$F46-(AG$6-$D46))),"")))</ns0:f>
      </ns0:c>
      <ns0:c r="AH46" s="22" t="str">
        <ns0:f>IF($A46="","",IF($I46="Yes",IF(AH$6=$D46,"◆",""),IF(AND(AH$6&gt;=$D46,AH$6&lt;=$E46),MAX(0,MIN(1,$G46*$F46-(AH$6-$D46))),"")))</ns0:f>
      </ns0:c>
      <ns0:c r="AI46" s="22" t="str">
        <ns0:f>IF($A46="","",IF($I46="Yes",IF(AI$6=$D46,"◆",""),IF(AND(AI$6&gt;=$D46,AI$6&lt;=$E46),MAX(0,MIN(1,$G46*$F46-(AI$6-$D46))),"")))</ns0:f>
      </ns0:c>
      <ns0:c r="AJ46" s="22" t="str">
        <ns0:f>IF($A46="","",IF($I46="Yes",IF(AJ$6=$D46,"◆",""),IF(AND(AJ$6&gt;=$D46,AJ$6&lt;=$E46),MAX(0,MIN(1,$G46*$F46-(AJ$6-$D46))),"")))</ns0:f>
      </ns0:c>
      <ns0:c r="AK46" s="22" t="str">
        <ns0:f>IF($A46="","",IF($I46="Yes",IF(AK$6=$D46,"◆",""),IF(AND(AK$6&gt;=$D46,AK$6&lt;=$E46),MAX(0,MIN(1,$G46*$F46-(AK$6-$D46))),"")))</ns0:f>
      </ns0:c>
      <ns0:c r="AL46" s="22" t="str">
        <ns0:f>IF($A46="","",IF($I46="Yes",IF(AL$6=$D46,"◆",""),IF(AND(AL$6&gt;=$D46,AL$6&lt;=$E46),MAX(0,MIN(1,$G46*$F46-(AL$6-$D46))),"")))</ns0:f>
      </ns0:c>
      <ns0:c r="AM46" s="22" t="str">
        <ns0:f>IF($A46="","",IF($I46="Yes",IF(AM$6=$D46,"◆",""),IF(AND(AM$6&gt;=$D46,AM$6&lt;=$E46),MAX(0,MIN(1,$G46*$F46-(AM$6-$D46))),"")))</ns0:f>
      </ns0:c>
      <ns0:c r="AN46" s="22" t="str">
        <ns0:f>IF($A46="","",IF($I46="Yes",IF(AN$6=$D46,"◆",""),IF(AND(AN$6&gt;=$D46,AN$6&lt;=$E46),MAX(0,MIN(1,$G46*$F46-(AN$6-$D46))),"")))</ns0:f>
      </ns0:c>
      <ns0:c r="AO46" s="22" t="str">
        <ns0:f>IF($A46="","",IF($I46="Yes",IF(AO$6=$D46,"◆",""),IF(AND(AO$6&gt;=$D46,AO$6&lt;=$E46),MAX(0,MIN(1,$G46*$F46-(AO$6-$D46))),"")))</ns0:f>
      </ns0:c>
      <ns0:c r="AP46" s="22" t="str">
        <ns0:f>IF($A46="","",IF($I46="Yes",IF(AP$6=$D46,"◆",""),IF(AND(AP$6&gt;=$D46,AP$6&lt;=$E46),MAX(0,MIN(1,$G46*$F46-(AP$6-$D46))),"")))</ns0:f>
      </ns0:c>
      <ns0:c r="AQ46" s="22" t="str">
        <ns0:f>IF($A46="","",IF($I46="Yes",IF(AQ$6=$D46,"◆",""),IF(AND(AQ$6&gt;=$D46,AQ$6&lt;=$E46),MAX(0,MIN(1,$G46*$F46-(AQ$6-$D46))),"")))</ns0:f>
      </ns0:c>
      <ns0:c r="AR46" s="22" t="n">
        <ns0:f>IF($A46="","",IF($I46="Yes",IF(AR$6=$D46,"◆",""),IF(AND(AR$6&gt;=$D46,AR$6&lt;=$E46),MAX(0,MIN(1,$G46*$F46-(AR$6-$D46))),"")))</ns0:f>
        <ns0:v>0</ns0:v>
      </ns0:c>
    </ns0:row>
    <ns0:row r="47" ht="48" customHeight="1">
      <ns0:c r="A47" s="8" t="str">
        <ns0:f>IF(INDEX(Tasks[Task ID],41)="","",INDEX(Tasks[Task ID],41))</ns0:f>
        <ns0:v>M7</ns0:v>
      </ns0:c>
      <ns0:c r="B47" s="8" t="str">
        <ns0:f>IF(INDEX(Tasks[Task ID],41)="","",INDEX(Tasks[Phase],41))</ns0:f>
        <ns0:v>Learning &amp; closeout</ns0:v>
      </ns0:c>
      <ns0:c r="C47" s="8" t="str">
        <ns0:f>IF(INDEX(Tasks[Task ID],41)="","",INDEX(Tasks[Task Name],41))</ns0:f>
        <ns0:v>Closed-Loop Telemetry Optimization &amp; Final Project Closeout</ns0:v>
      </ns0:c>
      <ns0:c r="D47" s="18" t="n">
        <ns0:f>IF(INDEX(Tasks[Task ID],41)="","",INDEX(Tasks[Start Date],41))</ns0:f>
        <ns0:v>46309</ns0:v>
      </ns0:c>
      <ns0:c r="E47" s="18" t="n">
        <ns0:f>IF(INDEX(Tasks[Task ID],41)="","",INDEX(Tasks[End Date],41))</ns0:f>
        <ns0:v>46309</ns0:v>
      </ns0:c>
      <ns0:c r="F47" s="8" t="n">
        <ns0:f>IF(INDEX(Tasks[Task ID],41)="","",INDEX(Tasks[Duration],41))</ns0:f>
        <ns0:v>0</ns0:v>
      </ns0:c>
      <ns0:c r="G47" s="19" t="n">
        <ns0:f>IF(INDEX(Tasks[Task ID],41)="","",INDEX(Tasks[Progress %],41))</ns0:f>
        <ns0:v>0</ns0:v>
      </ns0:c>
      <ns0:c r="H47" s="8" t="str">
        <ns0:f>IF(INDEX(Tasks[Task ID],41)="","",INDEX('Project Tracker'!$Q$7:$Q$106,41))</ns0:f>
        <ns0:v>Not Started</ns0:v>
      </ns0:c>
      <ns0:c r="I47" s="8" t="str">
        <ns0:f>IF(INDEX(Tasks[Task ID],41)="","",INDEX(Tasks[Milestone],41))</ns0:f>
        <ns0:v>Yes</ns0:v>
      </ns0:c>
      <ns0:c r="J47" s="8" t="str">
        <ns0:f>IF(INDEX(Tasks[Task ID],41)="","",INDEX(Tasks[Schedule Health],41))</ns0:f>
        <ns0:v>On track</ns0:v>
      </ns0:c>
      <ns0:c r="K47" s="22" t="str">
        <ns0:f>IF($A47="","",IF($I47="Yes",IF(K$6=$D47,"◆",""),IF(AND(K$6&gt;=$D47,K$6&lt;=$E47),MAX(0,MIN(1,$G47*$F47-(K$6-$D47))),"")))</ns0:f>
      </ns0:c>
      <ns0:c r="L47" s="22" t="str">
        <ns0:f>IF($A47="","",IF($I47="Yes",IF(L$6=$D47,"◆",""),IF(AND(L$6&gt;=$D47,L$6&lt;=$E47),MAX(0,MIN(1,$G47*$F47-(L$6-$D47))),"")))</ns0:f>
      </ns0:c>
      <ns0:c r="M47" s="22" t="str">
        <ns0:f>IF($A47="","",IF($I47="Yes",IF(M$6=$D47,"◆",""),IF(AND(M$6&gt;=$D47,M$6&lt;=$E47),MAX(0,MIN(1,$G47*$F47-(M$6-$D47))),"")))</ns0:f>
      </ns0:c>
      <ns0:c r="N47" s="22" t="str">
        <ns0:f>IF($A47="","",IF($I47="Yes",IF(N$6=$D47,"◆",""),IF(AND(N$6&gt;=$D47,N$6&lt;=$E47),MAX(0,MIN(1,$G47*$F47-(N$6-$D47))),"")))</ns0:f>
      </ns0:c>
      <ns0:c r="O47" s="22" t="str">
        <ns0:f>IF($A47="","",IF($I47="Yes",IF(O$6=$D47,"◆",""),IF(AND(O$6&gt;=$D47,O$6&lt;=$E47),MAX(0,MIN(1,$G47*$F47-(O$6-$D47))),"")))</ns0:f>
      </ns0:c>
      <ns0:c r="P47" s="22" t="str">
        <ns0:f>IF($A47="","",IF($I47="Yes",IF(P$6=$D47,"◆",""),IF(AND(P$6&gt;=$D47,P$6&lt;=$E47),MAX(0,MIN(1,$G47*$F47-(P$6-$D47))),"")))</ns0:f>
      </ns0:c>
      <ns0:c r="Q47" s="22" t="str">
        <ns0:f>IF($A47="","",IF($I47="Yes",IF(Q$6=$D47,"◆",""),IF(AND(Q$6&gt;=$D47,Q$6&lt;=$E47),MAX(0,MIN(1,$G47*$F47-(Q$6-$D47))),"")))</ns0:f>
      </ns0:c>
      <ns0:c r="R47" s="22" t="str">
        <ns0:f>IF($A47="","",IF($I47="Yes",IF(R$6=$D47,"◆",""),IF(AND(R$6&gt;=$D47,R$6&lt;=$E47),MAX(0,MIN(1,$G47*$F47-(R$6-$D47))),"")))</ns0:f>
      </ns0:c>
      <ns0:c r="S47" s="22" t="str">
        <ns0:f>IF($A47="","",IF($I47="Yes",IF(S$6=$D47,"◆",""),IF(AND(S$6&gt;=$D47,S$6&lt;=$E47),MAX(0,MIN(1,$G47*$F47-(S$6-$D47))),"")))</ns0:f>
      </ns0:c>
      <ns0:c r="T47" s="22" t="str">
        <ns0:f>IF($A47="","",IF($I47="Yes",IF(T$6=$D47,"◆",""),IF(AND(T$6&gt;=$D47,T$6&lt;=$E47),MAX(0,MIN(1,$G47*$F47-(T$6-$D47))),"")))</ns0:f>
      </ns0:c>
      <ns0:c r="U47" s="22" t="str">
        <ns0:f>IF($A47="","",IF($I47="Yes",IF(U$6=$D47,"◆",""),IF(AND(U$6&gt;=$D47,U$6&lt;=$E47),MAX(0,MIN(1,$G47*$F47-(U$6-$D47))),"")))</ns0:f>
      </ns0:c>
      <ns0:c r="V47" s="22" t="str">
        <ns0:f>IF($A47="","",IF($I47="Yes",IF(V$6=$D47,"◆",""),IF(AND(V$6&gt;=$D47,V$6&lt;=$E47),MAX(0,MIN(1,$G47*$F47-(V$6-$D47))),"")))</ns0:f>
      </ns0:c>
      <ns0:c r="W47" s="22" t="str">
        <ns0:f>IF($A47="","",IF($I47="Yes",IF(W$6=$D47,"◆",""),IF(AND(W$6&gt;=$D47,W$6&lt;=$E47),MAX(0,MIN(1,$G47*$F47-(W$6-$D47))),"")))</ns0:f>
      </ns0:c>
      <ns0:c r="X47" s="22" t="str">
        <ns0:f>IF($A47="","",IF($I47="Yes",IF(X$6=$D47,"◆",""),IF(AND(X$6&gt;=$D47,X$6&lt;=$E47),MAX(0,MIN(1,$G47*$F47-(X$6-$D47))),"")))</ns0:f>
      </ns0:c>
      <ns0:c r="Y47" s="22" t="str">
        <ns0:f>IF($A47="","",IF($I47="Yes",IF(Y$6=$D47,"◆",""),IF(AND(Y$6&gt;=$D47,Y$6&lt;=$E47),MAX(0,MIN(1,$G47*$F47-(Y$6-$D47))),"")))</ns0:f>
      </ns0:c>
      <ns0:c r="Z47" s="22" t="str">
        <ns0:f>IF($A47="","",IF($I47="Yes",IF(Z$6=$D47,"◆",""),IF(AND(Z$6&gt;=$D47,Z$6&lt;=$E47),MAX(0,MIN(1,$G47*$F47-(Z$6-$D47))),"")))</ns0:f>
      </ns0:c>
      <ns0:c r="AA47" s="22" t="str">
        <ns0:f>IF($A47="","",IF($I47="Yes",IF(AA$6=$D47,"◆",""),IF(AND(AA$6&gt;=$D47,AA$6&lt;=$E47),MAX(0,MIN(1,$G47*$F47-(AA$6-$D47))),"")))</ns0:f>
      </ns0:c>
      <ns0:c r="AB47" s="22" t="str">
        <ns0:f>IF($A47="","",IF($I47="Yes",IF(AB$6=$D47,"◆",""),IF(AND(AB$6&gt;=$D47,AB$6&lt;=$E47),MAX(0,MIN(1,$G47*$F47-(AB$6-$D47))),"")))</ns0:f>
      </ns0:c>
      <ns0:c r="AC47" s="22" t="str">
        <ns0:f>IF($A47="","",IF($I47="Yes",IF(AC$6=$D47,"◆",""),IF(AND(AC$6&gt;=$D47,AC$6&lt;=$E47),MAX(0,MIN(1,$G47*$F47-(AC$6-$D47))),"")))</ns0:f>
      </ns0:c>
      <ns0:c r="AD47" s="22" t="str">
        <ns0:f>IF($A47="","",IF($I47="Yes",IF(AD$6=$D47,"◆",""),IF(AND(AD$6&gt;=$D47,AD$6&lt;=$E47),MAX(0,MIN(1,$G47*$F47-(AD$6-$D47))),"")))</ns0:f>
      </ns0:c>
      <ns0:c r="AE47" s="22" t="str">
        <ns0:f>IF($A47="","",IF($I47="Yes",IF(AE$6=$D47,"◆",""),IF(AND(AE$6&gt;=$D47,AE$6&lt;=$E47),MAX(0,MIN(1,$G47*$F47-(AE$6-$D47))),"")))</ns0:f>
      </ns0:c>
      <ns0:c r="AF47" s="22" t="str">
        <ns0:f>IF($A47="","",IF($I47="Yes",IF(AF$6=$D47,"◆",""),IF(AND(AF$6&gt;=$D47,AF$6&lt;=$E47),MAX(0,MIN(1,$G47*$F47-(AF$6-$D47))),"")))</ns0:f>
      </ns0:c>
      <ns0:c r="AG47" s="22" t="str">
        <ns0:f>IF($A47="","",IF($I47="Yes",IF(AG$6=$D47,"◆",""),IF(AND(AG$6&gt;=$D47,AG$6&lt;=$E47),MAX(0,MIN(1,$G47*$F47-(AG$6-$D47))),"")))</ns0:f>
      </ns0:c>
      <ns0:c r="AH47" s="22" t="str">
        <ns0:f>IF($A47="","",IF($I47="Yes",IF(AH$6=$D47,"◆",""),IF(AND(AH$6&gt;=$D47,AH$6&lt;=$E47),MAX(0,MIN(1,$G47*$F47-(AH$6-$D47))),"")))</ns0:f>
      </ns0:c>
      <ns0:c r="AI47" s="22" t="str">
        <ns0:f>IF($A47="","",IF($I47="Yes",IF(AI$6=$D47,"◆",""),IF(AND(AI$6&gt;=$D47,AI$6&lt;=$E47),MAX(0,MIN(1,$G47*$F47-(AI$6-$D47))),"")))</ns0:f>
      </ns0:c>
      <ns0:c r="AJ47" s="22" t="str">
        <ns0:f>IF($A47="","",IF($I47="Yes",IF(AJ$6=$D47,"◆",""),IF(AND(AJ$6&gt;=$D47,AJ$6&lt;=$E47),MAX(0,MIN(1,$G47*$F47-(AJ$6-$D47))),"")))</ns0:f>
      </ns0:c>
      <ns0:c r="AK47" s="22" t="str">
        <ns0:f>IF($A47="","",IF($I47="Yes",IF(AK$6=$D47,"◆",""),IF(AND(AK$6&gt;=$D47,AK$6&lt;=$E47),MAX(0,MIN(1,$G47*$F47-(AK$6-$D47))),"")))</ns0:f>
      </ns0:c>
      <ns0:c r="AL47" s="22" t="str">
        <ns0:f>IF($A47="","",IF($I47="Yes",IF(AL$6=$D47,"◆",""),IF(AND(AL$6&gt;=$D47,AL$6&lt;=$E47),MAX(0,MIN(1,$G47*$F47-(AL$6-$D47))),"")))</ns0:f>
      </ns0:c>
      <ns0:c r="AM47" s="22" t="str">
        <ns0:f>IF($A47="","",IF($I47="Yes",IF(AM$6=$D47,"◆",""),IF(AND(AM$6&gt;=$D47,AM$6&lt;=$E47),MAX(0,MIN(1,$G47*$F47-(AM$6-$D47))),"")))</ns0:f>
      </ns0:c>
      <ns0:c r="AN47" s="22" t="str">
        <ns0:f>IF($A47="","",IF($I47="Yes",IF(AN$6=$D47,"◆",""),IF(AND(AN$6&gt;=$D47,AN$6&lt;=$E47),MAX(0,MIN(1,$G47*$F47-(AN$6-$D47))),"")))</ns0:f>
      </ns0:c>
      <ns0:c r="AO47" s="22" t="str">
        <ns0:f>IF($A47="","",IF($I47="Yes",IF(AO$6=$D47,"◆",""),IF(AND(AO$6&gt;=$D47,AO$6&lt;=$E47),MAX(0,MIN(1,$G47*$F47-(AO$6-$D47))),"")))</ns0:f>
      </ns0:c>
      <ns0:c r="AP47" s="22" t="str">
        <ns0:f>IF($A47="","",IF($I47="Yes",IF(AP$6=$D47,"◆",""),IF(AND(AP$6&gt;=$D47,AP$6&lt;=$E47),MAX(0,MIN(1,$G47*$F47-(AP$6-$D47))),"")))</ns0:f>
      </ns0:c>
      <ns0:c r="AQ47" s="22" t="str">
        <ns0:f>IF($A47="","",IF($I47="Yes",IF(AQ$6=$D47,"◆",""),IF(AND(AQ$6&gt;=$D47,AQ$6&lt;=$E47),MAX(0,MIN(1,$G47*$F47-(AQ$6-$D47))),"")))</ns0:f>
      </ns0:c>
      <ns0:c r="AR47" s="22" t="str">
        <ns0:f>IF($A47="","",IF($I47="Yes",IF(AR$6=$D47,"◆",""),IF(AND(AR$6&gt;=$D47,AR$6&lt;=$E47),MAX(0,MIN(1,$G47*$F47-(AR$6-$D47))),"")))</ns0:f>
        <ns0:v>◆</ns0:v>
      </ns0:c>
    </ns0:row>
    <ns0:row r="48" ht="48" customHeight="1">
      <ns0:c r="A48" s="8" t="str">
        <ns0:f>IF(INDEX(Tasks[Task ID],42)="","",INDEX(Tasks[Task ID],42))</ns0:f>
      </ns0:c>
      <ns0:c r="B48" s="8" t="str">
        <ns0:f>IF(INDEX(Tasks[Task ID],42)="","",INDEX(Tasks[Phase],42))</ns0:f>
      </ns0:c>
      <ns0:c r="C48" s="8" t="str">
        <ns0:f>IF(INDEX(Tasks[Task ID],42)="","",INDEX(Tasks[Task Name],42))</ns0:f>
      </ns0:c>
      <ns0:c r="D48" s="18" t="str">
        <ns0:f>IF(INDEX(Tasks[Task ID],42)="","",INDEX(Tasks[Start Date],42))</ns0:f>
      </ns0:c>
      <ns0:c r="E48" s="18" t="str">
        <ns0:f>IF(INDEX(Tasks[Task ID],42)="","",INDEX(Tasks[End Date],42))</ns0:f>
      </ns0:c>
      <ns0:c r="F48" s="8" t="str">
        <ns0:f>IF(INDEX(Tasks[Task ID],42)="","",INDEX(Tasks[Duration],42))</ns0:f>
      </ns0:c>
      <ns0:c r="G48" s="19" t="str">
        <ns0:f>IF(INDEX(Tasks[Task ID],42)="","",INDEX(Tasks[Progress %],42))</ns0:f>
      </ns0:c>
      <ns0:c r="H48" s="8" t="str">
        <ns0:f>IF(INDEX(Tasks[Task ID],42)="","",INDEX('Project Tracker'!$Q$7:$Q$106,42))</ns0:f>
      </ns0:c>
      <ns0:c r="I48" s="8" t="str">
        <ns0:f>IF(INDEX(Tasks[Task ID],42)="","",INDEX(Tasks[Milestone],42))</ns0:f>
      </ns0:c>
      <ns0:c r="J48" s="8" t="str">
        <ns0:f>IF(INDEX(Tasks[Task ID],42)="","",INDEX(Tasks[Schedule Health],42))</ns0:f>
      </ns0:c>
      <ns0:c r="K48" s="22" t="str">
        <ns0:f>IF($A48="","",IF($I48="Yes",IF(K$6=$D48,"◆",""),IF(AND(K$6&gt;=$D48,K$6&lt;=$E48),MAX(0,MIN(1,$G48*$F48-(K$6-$D48))),"")))</ns0:f>
      </ns0:c>
      <ns0:c r="L48" s="22" t="str">
        <ns0:f>IF($A48="","",IF($I48="Yes",IF(L$6=$D48,"◆",""),IF(AND(L$6&gt;=$D48,L$6&lt;=$E48),MAX(0,MIN(1,$G48*$F48-(L$6-$D48))),"")))</ns0:f>
      </ns0:c>
      <ns0:c r="M48" s="22" t="str">
        <ns0:f>IF($A48="","",IF($I48="Yes",IF(M$6=$D48,"◆",""),IF(AND(M$6&gt;=$D48,M$6&lt;=$E48),MAX(0,MIN(1,$G48*$F48-(M$6-$D48))),"")))</ns0:f>
      </ns0:c>
      <ns0:c r="N48" s="22" t="str">
        <ns0:f>IF($A48="","",IF($I48="Yes",IF(N$6=$D48,"◆",""),IF(AND(N$6&gt;=$D48,N$6&lt;=$E48),MAX(0,MIN(1,$G48*$F48-(N$6-$D48))),"")))</ns0:f>
      </ns0:c>
      <ns0:c r="O48" s="22" t="str">
        <ns0:f>IF($A48="","",IF($I48="Yes",IF(O$6=$D48,"◆",""),IF(AND(O$6&gt;=$D48,O$6&lt;=$E48),MAX(0,MIN(1,$G48*$F48-(O$6-$D48))),"")))</ns0:f>
      </ns0:c>
      <ns0:c r="P48" s="22" t="str">
        <ns0:f>IF($A48="","",IF($I48="Yes",IF(P$6=$D48,"◆",""),IF(AND(P$6&gt;=$D48,P$6&lt;=$E48),MAX(0,MIN(1,$G48*$F48-(P$6-$D48))),"")))</ns0:f>
      </ns0:c>
      <ns0:c r="Q48" s="22" t="str">
        <ns0:f>IF($A48="","",IF($I48="Yes",IF(Q$6=$D48,"◆",""),IF(AND(Q$6&gt;=$D48,Q$6&lt;=$E48),MAX(0,MIN(1,$G48*$F48-(Q$6-$D48))),"")))</ns0:f>
      </ns0:c>
      <ns0:c r="R48" s="22" t="str">
        <ns0:f>IF($A48="","",IF($I48="Yes",IF(R$6=$D48,"◆",""),IF(AND(R$6&gt;=$D48,R$6&lt;=$E48),MAX(0,MIN(1,$G48*$F48-(R$6-$D48))),"")))</ns0:f>
      </ns0:c>
      <ns0:c r="S48" s="22" t="str">
        <ns0:f>IF($A48="","",IF($I48="Yes",IF(S$6=$D48,"◆",""),IF(AND(S$6&gt;=$D48,S$6&lt;=$E48),MAX(0,MIN(1,$G48*$F48-(S$6-$D48))),"")))</ns0:f>
      </ns0:c>
      <ns0:c r="T48" s="22" t="str">
        <ns0:f>IF($A48="","",IF($I48="Yes",IF(T$6=$D48,"◆",""),IF(AND(T$6&gt;=$D48,T$6&lt;=$E48),MAX(0,MIN(1,$G48*$F48-(T$6-$D48))),"")))</ns0:f>
      </ns0:c>
      <ns0:c r="U48" s="22" t="str">
        <ns0:f>IF($A48="","",IF($I48="Yes",IF(U$6=$D48,"◆",""),IF(AND(U$6&gt;=$D48,U$6&lt;=$E48),MAX(0,MIN(1,$G48*$F48-(U$6-$D48))),"")))</ns0:f>
      </ns0:c>
      <ns0:c r="V48" s="22" t="str">
        <ns0:f>IF($A48="","",IF($I48="Yes",IF(V$6=$D48,"◆",""),IF(AND(V$6&gt;=$D48,V$6&lt;=$E48),MAX(0,MIN(1,$G48*$F48-(V$6-$D48))),"")))</ns0:f>
      </ns0:c>
      <ns0:c r="W48" s="22" t="str">
        <ns0:f>IF($A48="","",IF($I48="Yes",IF(W$6=$D48,"◆",""),IF(AND(W$6&gt;=$D48,W$6&lt;=$E48),MAX(0,MIN(1,$G48*$F48-(W$6-$D48))),"")))</ns0:f>
      </ns0:c>
      <ns0:c r="X48" s="22" t="str">
        <ns0:f>IF($A48="","",IF($I48="Yes",IF(X$6=$D48,"◆",""),IF(AND(X$6&gt;=$D48,X$6&lt;=$E48),MAX(0,MIN(1,$G48*$F48-(X$6-$D48))),"")))</ns0:f>
      </ns0:c>
      <ns0:c r="Y48" s="22" t="str">
        <ns0:f>IF($A48="","",IF($I48="Yes",IF(Y$6=$D48,"◆",""),IF(AND(Y$6&gt;=$D48,Y$6&lt;=$E48),MAX(0,MIN(1,$G48*$F48-(Y$6-$D48))),"")))</ns0:f>
      </ns0:c>
      <ns0:c r="Z48" s="22" t="str">
        <ns0:f>IF($A48="","",IF($I48="Yes",IF(Z$6=$D48,"◆",""),IF(AND(Z$6&gt;=$D48,Z$6&lt;=$E48),MAX(0,MIN(1,$G48*$F48-(Z$6-$D48))),"")))</ns0:f>
      </ns0:c>
      <ns0:c r="AA48" s="22" t="str">
        <ns0:f>IF($A48="","",IF($I48="Yes",IF(AA$6=$D48,"◆",""),IF(AND(AA$6&gt;=$D48,AA$6&lt;=$E48),MAX(0,MIN(1,$G48*$F48-(AA$6-$D48))),"")))</ns0:f>
      </ns0:c>
      <ns0:c r="AB48" s="22" t="str">
        <ns0:f>IF($A48="","",IF($I48="Yes",IF(AB$6=$D48,"◆",""),IF(AND(AB$6&gt;=$D48,AB$6&lt;=$E48),MAX(0,MIN(1,$G48*$F48-(AB$6-$D48))),"")))</ns0:f>
      </ns0:c>
      <ns0:c r="AC48" s="22" t="str">
        <ns0:f>IF($A48="","",IF($I48="Yes",IF(AC$6=$D48,"◆",""),IF(AND(AC$6&gt;=$D48,AC$6&lt;=$E48),MAX(0,MIN(1,$G48*$F48-(AC$6-$D48))),"")))</ns0:f>
      </ns0:c>
      <ns0:c r="AD48" s="22" t="str">
        <ns0:f>IF($A48="","",IF($I48="Yes",IF(AD$6=$D48,"◆",""),IF(AND(AD$6&gt;=$D48,AD$6&lt;=$E48),MAX(0,MIN(1,$G48*$F48-(AD$6-$D48))),"")))</ns0:f>
      </ns0:c>
      <ns0:c r="AE48" s="22" t="str">
        <ns0:f>IF($A48="","",IF($I48="Yes",IF(AE$6=$D48,"◆",""),IF(AND(AE$6&gt;=$D48,AE$6&lt;=$E48),MAX(0,MIN(1,$G48*$F48-(AE$6-$D48))),"")))</ns0:f>
      </ns0:c>
      <ns0:c r="AF48" s="22" t="str">
        <ns0:f>IF($A48="","",IF($I48="Yes",IF(AF$6=$D48,"◆",""),IF(AND(AF$6&gt;=$D48,AF$6&lt;=$E48),MAX(0,MIN(1,$G48*$F48-(AF$6-$D48))),"")))</ns0:f>
      </ns0:c>
      <ns0:c r="AG48" s="22" t="str">
        <ns0:f>IF($A48="","",IF($I48="Yes",IF(AG$6=$D48,"◆",""),IF(AND(AG$6&gt;=$D48,AG$6&lt;=$E48),MAX(0,MIN(1,$G48*$F48-(AG$6-$D48))),"")))</ns0:f>
      </ns0:c>
      <ns0:c r="AH48" s="22" t="str">
        <ns0:f>IF($A48="","",IF($I48="Yes",IF(AH$6=$D48,"◆",""),IF(AND(AH$6&gt;=$D48,AH$6&lt;=$E48),MAX(0,MIN(1,$G48*$F48-(AH$6-$D48))),"")))</ns0:f>
      </ns0:c>
      <ns0:c r="AI48" s="22" t="str">
        <ns0:f>IF($A48="","",IF($I48="Yes",IF(AI$6=$D48,"◆",""),IF(AND(AI$6&gt;=$D48,AI$6&lt;=$E48),MAX(0,MIN(1,$G48*$F48-(AI$6-$D48))),"")))</ns0:f>
      </ns0:c>
      <ns0:c r="AJ48" s="22" t="str">
        <ns0:f>IF($A48="","",IF($I48="Yes",IF(AJ$6=$D48,"◆",""),IF(AND(AJ$6&gt;=$D48,AJ$6&lt;=$E48),MAX(0,MIN(1,$G48*$F48-(AJ$6-$D48))),"")))</ns0:f>
      </ns0:c>
      <ns0:c r="AK48" s="22" t="str">
        <ns0:f>IF($A48="","",IF($I48="Yes",IF(AK$6=$D48,"◆",""),IF(AND(AK$6&gt;=$D48,AK$6&lt;=$E48),MAX(0,MIN(1,$G48*$F48-(AK$6-$D48))),"")))</ns0:f>
      </ns0:c>
      <ns0:c r="AL48" s="22" t="str">
        <ns0:f>IF($A48="","",IF($I48="Yes",IF(AL$6=$D48,"◆",""),IF(AND(AL$6&gt;=$D48,AL$6&lt;=$E48),MAX(0,MIN(1,$G48*$F48-(AL$6-$D48))),"")))</ns0:f>
      </ns0:c>
      <ns0:c r="AM48" s="22" t="str">
        <ns0:f>IF($A48="","",IF($I48="Yes",IF(AM$6=$D48,"◆",""),IF(AND(AM$6&gt;=$D48,AM$6&lt;=$E48),MAX(0,MIN(1,$G48*$F48-(AM$6-$D48))),"")))</ns0:f>
      </ns0:c>
      <ns0:c r="AN48" s="22" t="str">
        <ns0:f>IF($A48="","",IF($I48="Yes",IF(AN$6=$D48,"◆",""),IF(AND(AN$6&gt;=$D48,AN$6&lt;=$E48),MAX(0,MIN(1,$G48*$F48-(AN$6-$D48))),"")))</ns0:f>
      </ns0:c>
      <ns0:c r="AO48" s="22" t="str">
        <ns0:f>IF($A48="","",IF($I48="Yes",IF(AO$6=$D48,"◆",""),IF(AND(AO$6&gt;=$D48,AO$6&lt;=$E48),MAX(0,MIN(1,$G48*$F48-(AO$6-$D48))),"")))</ns0:f>
      </ns0:c>
      <ns0:c r="AP48" s="22" t="str">
        <ns0:f>IF($A48="","",IF($I48="Yes",IF(AP$6=$D48,"◆",""),IF(AND(AP$6&gt;=$D48,AP$6&lt;=$E48),MAX(0,MIN(1,$G48*$F48-(AP$6-$D48))),"")))</ns0:f>
      </ns0:c>
      <ns0:c r="AQ48" s="22" t="str">
        <ns0:f>IF($A48="","",IF($I48="Yes",IF(AQ$6=$D48,"◆",""),IF(AND(AQ$6&gt;=$D48,AQ$6&lt;=$E48),MAX(0,MIN(1,$G48*$F48-(AQ$6-$D48))),"")))</ns0:f>
      </ns0:c>
      <ns0:c r="AR48" s="22" t="str">
        <ns0:f>IF($A48="","",IF($I48="Yes",IF(AR$6=$D48,"◆",""),IF(AND(AR$6&gt;=$D48,AR$6&lt;=$E48),MAX(0,MIN(1,$G48*$F48-(AR$6-$D48))),"")))</ns0:f>
      </ns0:c>
    </ns0:row>
    <ns0:row r="49" ht="48" customHeight="1">
      <ns0:c r="A49" s="8" t="str">
        <ns0:f>IF(INDEX(Tasks[Task ID],43)="","",INDEX(Tasks[Task ID],43))</ns0:f>
      </ns0:c>
      <ns0:c r="B49" s="8" t="str">
        <ns0:f>IF(INDEX(Tasks[Task ID],43)="","",INDEX(Tasks[Phase],43))</ns0:f>
      </ns0:c>
      <ns0:c r="C49" s="8" t="str">
        <ns0:f>IF(INDEX(Tasks[Task ID],43)="","",INDEX(Tasks[Task Name],43))</ns0:f>
      </ns0:c>
      <ns0:c r="D49" s="18" t="str">
        <ns0:f>IF(INDEX(Tasks[Task ID],43)="","",INDEX(Tasks[Start Date],43))</ns0:f>
      </ns0:c>
      <ns0:c r="E49" s="18" t="str">
        <ns0:f>IF(INDEX(Tasks[Task ID],43)="","",INDEX(Tasks[End Date],43))</ns0:f>
      </ns0:c>
      <ns0:c r="F49" s="8" t="str">
        <ns0:f>IF(INDEX(Tasks[Task ID],43)="","",INDEX(Tasks[Duration],43))</ns0:f>
      </ns0:c>
      <ns0:c r="G49" s="19" t="str">
        <ns0:f>IF(INDEX(Tasks[Task ID],43)="","",INDEX(Tasks[Progress %],43))</ns0:f>
      </ns0:c>
      <ns0:c r="H49" s="8" t="str">
        <ns0:f>IF(INDEX(Tasks[Task ID],43)="","",INDEX('Project Tracker'!$Q$7:$Q$106,43))</ns0:f>
      </ns0:c>
      <ns0:c r="I49" s="8" t="str">
        <ns0:f>IF(INDEX(Tasks[Task ID],43)="","",INDEX(Tasks[Milestone],43))</ns0:f>
      </ns0:c>
      <ns0:c r="J49" s="8" t="str">
        <ns0:f>IF(INDEX(Tasks[Task ID],43)="","",INDEX(Tasks[Schedule Health],43))</ns0:f>
      </ns0:c>
      <ns0:c r="K49" s="22" t="str">
        <ns0:f>IF($A49="","",IF($I49="Yes",IF(K$6=$D49,"◆",""),IF(AND(K$6&gt;=$D49,K$6&lt;=$E49),MAX(0,MIN(1,$G49*$F49-(K$6-$D49))),"")))</ns0:f>
      </ns0:c>
      <ns0:c r="L49" s="22" t="str">
        <ns0:f>IF($A49="","",IF($I49="Yes",IF(L$6=$D49,"◆",""),IF(AND(L$6&gt;=$D49,L$6&lt;=$E49),MAX(0,MIN(1,$G49*$F49-(L$6-$D49))),"")))</ns0:f>
      </ns0:c>
      <ns0:c r="M49" s="22" t="str">
        <ns0:f>IF($A49="","",IF($I49="Yes",IF(M$6=$D49,"◆",""),IF(AND(M$6&gt;=$D49,M$6&lt;=$E49),MAX(0,MIN(1,$G49*$F49-(M$6-$D49))),"")))</ns0:f>
      </ns0:c>
      <ns0:c r="N49" s="22" t="str">
        <ns0:f>IF($A49="","",IF($I49="Yes",IF(N$6=$D49,"◆",""),IF(AND(N$6&gt;=$D49,N$6&lt;=$E49),MAX(0,MIN(1,$G49*$F49-(N$6-$D49))),"")))</ns0:f>
      </ns0:c>
      <ns0:c r="O49" s="22" t="str">
        <ns0:f>IF($A49="","",IF($I49="Yes",IF(O$6=$D49,"◆",""),IF(AND(O$6&gt;=$D49,O$6&lt;=$E49),MAX(0,MIN(1,$G49*$F49-(O$6-$D49))),"")))</ns0:f>
      </ns0:c>
      <ns0:c r="P49" s="22" t="str">
        <ns0:f>IF($A49="","",IF($I49="Yes",IF(P$6=$D49,"◆",""),IF(AND(P$6&gt;=$D49,P$6&lt;=$E49),MAX(0,MIN(1,$G49*$F49-(P$6-$D49))),"")))</ns0:f>
      </ns0:c>
      <ns0:c r="Q49" s="22" t="str">
        <ns0:f>IF($A49="","",IF($I49="Yes",IF(Q$6=$D49,"◆",""),IF(AND(Q$6&gt;=$D49,Q$6&lt;=$E49),MAX(0,MIN(1,$G49*$F49-(Q$6-$D49))),"")))</ns0:f>
      </ns0:c>
      <ns0:c r="R49" s="22" t="str">
        <ns0:f>IF($A49="","",IF($I49="Yes",IF(R$6=$D49,"◆",""),IF(AND(R$6&gt;=$D49,R$6&lt;=$E49),MAX(0,MIN(1,$G49*$F49-(R$6-$D49))),"")))</ns0:f>
      </ns0:c>
      <ns0:c r="S49" s="22" t="str">
        <ns0:f>IF($A49="","",IF($I49="Yes",IF(S$6=$D49,"◆",""),IF(AND(S$6&gt;=$D49,S$6&lt;=$E49),MAX(0,MIN(1,$G49*$F49-(S$6-$D49))),"")))</ns0:f>
      </ns0:c>
      <ns0:c r="T49" s="22" t="str">
        <ns0:f>IF($A49="","",IF($I49="Yes",IF(T$6=$D49,"◆",""),IF(AND(T$6&gt;=$D49,T$6&lt;=$E49),MAX(0,MIN(1,$G49*$F49-(T$6-$D49))),"")))</ns0:f>
      </ns0:c>
      <ns0:c r="U49" s="22" t="str">
        <ns0:f>IF($A49="","",IF($I49="Yes",IF(U$6=$D49,"◆",""),IF(AND(U$6&gt;=$D49,U$6&lt;=$E49),MAX(0,MIN(1,$G49*$F49-(U$6-$D49))),"")))</ns0:f>
      </ns0:c>
      <ns0:c r="V49" s="22" t="str">
        <ns0:f>IF($A49="","",IF($I49="Yes",IF(V$6=$D49,"◆",""),IF(AND(V$6&gt;=$D49,V$6&lt;=$E49),MAX(0,MIN(1,$G49*$F49-(V$6-$D49))),"")))</ns0:f>
      </ns0:c>
      <ns0:c r="W49" s="22" t="str">
        <ns0:f>IF($A49="","",IF($I49="Yes",IF(W$6=$D49,"◆",""),IF(AND(W$6&gt;=$D49,W$6&lt;=$E49),MAX(0,MIN(1,$G49*$F49-(W$6-$D49))),"")))</ns0:f>
      </ns0:c>
      <ns0:c r="X49" s="22" t="str">
        <ns0:f>IF($A49="","",IF($I49="Yes",IF(X$6=$D49,"◆",""),IF(AND(X$6&gt;=$D49,X$6&lt;=$E49),MAX(0,MIN(1,$G49*$F49-(X$6-$D49))),"")))</ns0:f>
      </ns0:c>
      <ns0:c r="Y49" s="22" t="str">
        <ns0:f>IF($A49="","",IF($I49="Yes",IF(Y$6=$D49,"◆",""),IF(AND(Y$6&gt;=$D49,Y$6&lt;=$E49),MAX(0,MIN(1,$G49*$F49-(Y$6-$D49))),"")))</ns0:f>
      </ns0:c>
      <ns0:c r="Z49" s="22" t="str">
        <ns0:f>IF($A49="","",IF($I49="Yes",IF(Z$6=$D49,"◆",""),IF(AND(Z$6&gt;=$D49,Z$6&lt;=$E49),MAX(0,MIN(1,$G49*$F49-(Z$6-$D49))),"")))</ns0:f>
      </ns0:c>
      <ns0:c r="AA49" s="22" t="str">
        <ns0:f>IF($A49="","",IF($I49="Yes",IF(AA$6=$D49,"◆",""),IF(AND(AA$6&gt;=$D49,AA$6&lt;=$E49),MAX(0,MIN(1,$G49*$F49-(AA$6-$D49))),"")))</ns0:f>
      </ns0:c>
      <ns0:c r="AB49" s="22" t="str">
        <ns0:f>IF($A49="","",IF($I49="Yes",IF(AB$6=$D49,"◆",""),IF(AND(AB$6&gt;=$D49,AB$6&lt;=$E49),MAX(0,MIN(1,$G49*$F49-(AB$6-$D49))),"")))</ns0:f>
      </ns0:c>
      <ns0:c r="AC49" s="22" t="str">
        <ns0:f>IF($A49="","",IF($I49="Yes",IF(AC$6=$D49,"◆",""),IF(AND(AC$6&gt;=$D49,AC$6&lt;=$E49),MAX(0,MIN(1,$G49*$F49-(AC$6-$D49))),"")))</ns0:f>
      </ns0:c>
      <ns0:c r="AD49" s="22" t="str">
        <ns0:f>IF($A49="","",IF($I49="Yes",IF(AD$6=$D49,"◆",""),IF(AND(AD$6&gt;=$D49,AD$6&lt;=$E49),MAX(0,MIN(1,$G49*$F49-(AD$6-$D49))),"")))</ns0:f>
      </ns0:c>
      <ns0:c r="AE49" s="22" t="str">
        <ns0:f>IF($A49="","",IF($I49="Yes",IF(AE$6=$D49,"◆",""),IF(AND(AE$6&gt;=$D49,AE$6&lt;=$E49),MAX(0,MIN(1,$G49*$F49-(AE$6-$D49))),"")))</ns0:f>
      </ns0:c>
      <ns0:c r="AF49" s="22" t="str">
        <ns0:f>IF($A49="","",IF($I49="Yes",IF(AF$6=$D49,"◆",""),IF(AND(AF$6&gt;=$D49,AF$6&lt;=$E49),MAX(0,MIN(1,$G49*$F49-(AF$6-$D49))),"")))</ns0:f>
      </ns0:c>
      <ns0:c r="AG49" s="22" t="str">
        <ns0:f>IF($A49="","",IF($I49="Yes",IF(AG$6=$D49,"◆",""),IF(AND(AG$6&gt;=$D49,AG$6&lt;=$E49),MAX(0,MIN(1,$G49*$F49-(AG$6-$D49))),"")))</ns0:f>
      </ns0:c>
      <ns0:c r="AH49" s="22" t="str">
        <ns0:f>IF($A49="","",IF($I49="Yes",IF(AH$6=$D49,"◆",""),IF(AND(AH$6&gt;=$D49,AH$6&lt;=$E49),MAX(0,MIN(1,$G49*$F49-(AH$6-$D49))),"")))</ns0:f>
      </ns0:c>
      <ns0:c r="AI49" s="22" t="str">
        <ns0:f>IF($A49="","",IF($I49="Yes",IF(AI$6=$D49,"◆",""),IF(AND(AI$6&gt;=$D49,AI$6&lt;=$E49),MAX(0,MIN(1,$G49*$F49-(AI$6-$D49))),"")))</ns0:f>
      </ns0:c>
      <ns0:c r="AJ49" s="22" t="str">
        <ns0:f>IF($A49="","",IF($I49="Yes",IF(AJ$6=$D49,"◆",""),IF(AND(AJ$6&gt;=$D49,AJ$6&lt;=$E49),MAX(0,MIN(1,$G49*$F49-(AJ$6-$D49))),"")))</ns0:f>
      </ns0:c>
      <ns0:c r="AK49" s="22" t="str">
        <ns0:f>IF($A49="","",IF($I49="Yes",IF(AK$6=$D49,"◆",""),IF(AND(AK$6&gt;=$D49,AK$6&lt;=$E49),MAX(0,MIN(1,$G49*$F49-(AK$6-$D49))),"")))</ns0:f>
      </ns0:c>
      <ns0:c r="AL49" s="22" t="str">
        <ns0:f>IF($A49="","",IF($I49="Yes",IF(AL$6=$D49,"◆",""),IF(AND(AL$6&gt;=$D49,AL$6&lt;=$E49),MAX(0,MIN(1,$G49*$F49-(AL$6-$D49))),"")))</ns0:f>
      </ns0:c>
      <ns0:c r="AM49" s="22" t="str">
        <ns0:f>IF($A49="","",IF($I49="Yes",IF(AM$6=$D49,"◆",""),IF(AND(AM$6&gt;=$D49,AM$6&lt;=$E49),MAX(0,MIN(1,$G49*$F49-(AM$6-$D49))),"")))</ns0:f>
      </ns0:c>
      <ns0:c r="AN49" s="22" t="str">
        <ns0:f>IF($A49="","",IF($I49="Yes",IF(AN$6=$D49,"◆",""),IF(AND(AN$6&gt;=$D49,AN$6&lt;=$E49),MAX(0,MIN(1,$G49*$F49-(AN$6-$D49))),"")))</ns0:f>
      </ns0:c>
      <ns0:c r="AO49" s="22" t="str">
        <ns0:f>IF($A49="","",IF($I49="Yes",IF(AO$6=$D49,"◆",""),IF(AND(AO$6&gt;=$D49,AO$6&lt;=$E49),MAX(0,MIN(1,$G49*$F49-(AO$6-$D49))),"")))</ns0:f>
      </ns0:c>
      <ns0:c r="AP49" s="22" t="str">
        <ns0:f>IF($A49="","",IF($I49="Yes",IF(AP$6=$D49,"◆",""),IF(AND(AP$6&gt;=$D49,AP$6&lt;=$E49),MAX(0,MIN(1,$G49*$F49-(AP$6-$D49))),"")))</ns0:f>
      </ns0:c>
      <ns0:c r="AQ49" s="22" t="str">
        <ns0:f>IF($A49="","",IF($I49="Yes",IF(AQ$6=$D49,"◆",""),IF(AND(AQ$6&gt;=$D49,AQ$6&lt;=$E49),MAX(0,MIN(1,$G49*$F49-(AQ$6-$D49))),"")))</ns0:f>
      </ns0:c>
      <ns0:c r="AR49" s="22" t="str">
        <ns0:f>IF($A49="","",IF($I49="Yes",IF(AR$6=$D49,"◆",""),IF(AND(AR$6&gt;=$D49,AR$6&lt;=$E49),MAX(0,MIN(1,$G49*$F49-(AR$6-$D49))),"")))</ns0:f>
      </ns0:c>
    </ns0:row>
    <ns0:row r="50" ht="48" customHeight="1">
      <ns0:c r="A50" s="8" t="str">
        <ns0:f>IF(INDEX(Tasks[Task ID],44)="","",INDEX(Tasks[Task ID],44))</ns0:f>
      </ns0:c>
      <ns0:c r="B50" s="8" t="str">
        <ns0:f>IF(INDEX(Tasks[Task ID],44)="","",INDEX(Tasks[Phase],44))</ns0:f>
      </ns0:c>
      <ns0:c r="C50" s="8" t="str">
        <ns0:f>IF(INDEX(Tasks[Task ID],44)="","",INDEX(Tasks[Task Name],44))</ns0:f>
      </ns0:c>
      <ns0:c r="D50" s="18" t="str">
        <ns0:f>IF(INDEX(Tasks[Task ID],44)="","",INDEX(Tasks[Start Date],44))</ns0:f>
      </ns0:c>
      <ns0:c r="E50" s="18" t="str">
        <ns0:f>IF(INDEX(Tasks[Task ID],44)="","",INDEX(Tasks[End Date],44))</ns0:f>
      </ns0:c>
      <ns0:c r="F50" s="8" t="str">
        <ns0:f>IF(INDEX(Tasks[Task ID],44)="","",INDEX(Tasks[Duration],44))</ns0:f>
      </ns0:c>
      <ns0:c r="G50" s="19" t="str">
        <ns0:f>IF(INDEX(Tasks[Task ID],44)="","",INDEX(Tasks[Progress %],44))</ns0:f>
      </ns0:c>
      <ns0:c r="H50" s="8" t="str">
        <ns0:f>IF(INDEX(Tasks[Task ID],44)="","",INDEX('Project Tracker'!$Q$7:$Q$106,44))</ns0:f>
      </ns0:c>
      <ns0:c r="I50" s="8" t="str">
        <ns0:f>IF(INDEX(Tasks[Task ID],44)="","",INDEX(Tasks[Milestone],44))</ns0:f>
      </ns0:c>
      <ns0:c r="J50" s="8" t="str">
        <ns0:f>IF(INDEX(Tasks[Task ID],44)="","",INDEX(Tasks[Schedule Health],44))</ns0:f>
      </ns0:c>
      <ns0:c r="K50" s="22" t="str">
        <ns0:f>IF($A50="","",IF($I50="Yes",IF(K$6=$D50,"◆",""),IF(AND(K$6&gt;=$D50,K$6&lt;=$E50),MAX(0,MIN(1,$G50*$F50-(K$6-$D50))),"")))</ns0:f>
      </ns0:c>
      <ns0:c r="L50" s="22" t="str">
        <ns0:f>IF($A50="","",IF($I50="Yes",IF(L$6=$D50,"◆",""),IF(AND(L$6&gt;=$D50,L$6&lt;=$E50),MAX(0,MIN(1,$G50*$F50-(L$6-$D50))),"")))</ns0:f>
      </ns0:c>
      <ns0:c r="M50" s="22" t="str">
        <ns0:f>IF($A50="","",IF($I50="Yes",IF(M$6=$D50,"◆",""),IF(AND(M$6&gt;=$D50,M$6&lt;=$E50),MAX(0,MIN(1,$G50*$F50-(M$6-$D50))),"")))</ns0:f>
      </ns0:c>
      <ns0:c r="N50" s="22" t="str">
        <ns0:f>IF($A50="","",IF($I50="Yes",IF(N$6=$D50,"◆",""),IF(AND(N$6&gt;=$D50,N$6&lt;=$E50),MAX(0,MIN(1,$G50*$F50-(N$6-$D50))),"")))</ns0:f>
      </ns0:c>
      <ns0:c r="O50" s="22" t="str">
        <ns0:f>IF($A50="","",IF($I50="Yes",IF(O$6=$D50,"◆",""),IF(AND(O$6&gt;=$D50,O$6&lt;=$E50),MAX(0,MIN(1,$G50*$F50-(O$6-$D50))),"")))</ns0:f>
      </ns0:c>
      <ns0:c r="P50" s="22" t="str">
        <ns0:f>IF($A50="","",IF($I50="Yes",IF(P$6=$D50,"◆",""),IF(AND(P$6&gt;=$D50,P$6&lt;=$E50),MAX(0,MIN(1,$G50*$F50-(P$6-$D50))),"")))</ns0:f>
      </ns0:c>
      <ns0:c r="Q50" s="22" t="str">
        <ns0:f>IF($A50="","",IF($I50="Yes",IF(Q$6=$D50,"◆",""),IF(AND(Q$6&gt;=$D50,Q$6&lt;=$E50),MAX(0,MIN(1,$G50*$F50-(Q$6-$D50))),"")))</ns0:f>
      </ns0:c>
      <ns0:c r="R50" s="22" t="str">
        <ns0:f>IF($A50="","",IF($I50="Yes",IF(R$6=$D50,"◆",""),IF(AND(R$6&gt;=$D50,R$6&lt;=$E50),MAX(0,MIN(1,$G50*$F50-(R$6-$D50))),"")))</ns0:f>
      </ns0:c>
      <ns0:c r="S50" s="22" t="str">
        <ns0:f>IF($A50="","",IF($I50="Yes",IF(S$6=$D50,"◆",""),IF(AND(S$6&gt;=$D50,S$6&lt;=$E50),MAX(0,MIN(1,$G50*$F50-(S$6-$D50))),"")))</ns0:f>
      </ns0:c>
      <ns0:c r="T50" s="22" t="str">
        <ns0:f>IF($A50="","",IF($I50="Yes",IF(T$6=$D50,"◆",""),IF(AND(T$6&gt;=$D50,T$6&lt;=$E50),MAX(0,MIN(1,$G50*$F50-(T$6-$D50))),"")))</ns0:f>
      </ns0:c>
      <ns0:c r="U50" s="22" t="str">
        <ns0:f>IF($A50="","",IF($I50="Yes",IF(U$6=$D50,"◆",""),IF(AND(U$6&gt;=$D50,U$6&lt;=$E50),MAX(0,MIN(1,$G50*$F50-(U$6-$D50))),"")))</ns0:f>
      </ns0:c>
      <ns0:c r="V50" s="22" t="str">
        <ns0:f>IF($A50="","",IF($I50="Yes",IF(V$6=$D50,"◆",""),IF(AND(V$6&gt;=$D50,V$6&lt;=$E50),MAX(0,MIN(1,$G50*$F50-(V$6-$D50))),"")))</ns0:f>
      </ns0:c>
      <ns0:c r="W50" s="22" t="str">
        <ns0:f>IF($A50="","",IF($I50="Yes",IF(W$6=$D50,"◆",""),IF(AND(W$6&gt;=$D50,W$6&lt;=$E50),MAX(0,MIN(1,$G50*$F50-(W$6-$D50))),"")))</ns0:f>
      </ns0:c>
      <ns0:c r="X50" s="22" t="str">
        <ns0:f>IF($A50="","",IF($I50="Yes",IF(X$6=$D50,"◆",""),IF(AND(X$6&gt;=$D50,X$6&lt;=$E50),MAX(0,MIN(1,$G50*$F50-(X$6-$D50))),"")))</ns0:f>
      </ns0:c>
      <ns0:c r="Y50" s="22" t="str">
        <ns0:f>IF($A50="","",IF($I50="Yes",IF(Y$6=$D50,"◆",""),IF(AND(Y$6&gt;=$D50,Y$6&lt;=$E50),MAX(0,MIN(1,$G50*$F50-(Y$6-$D50))),"")))</ns0:f>
      </ns0:c>
      <ns0:c r="Z50" s="22" t="str">
        <ns0:f>IF($A50="","",IF($I50="Yes",IF(Z$6=$D50,"◆",""),IF(AND(Z$6&gt;=$D50,Z$6&lt;=$E50),MAX(0,MIN(1,$G50*$F50-(Z$6-$D50))),"")))</ns0:f>
      </ns0:c>
      <ns0:c r="AA50" s="22" t="str">
        <ns0:f>IF($A50="","",IF($I50="Yes",IF(AA$6=$D50,"◆",""),IF(AND(AA$6&gt;=$D50,AA$6&lt;=$E50),MAX(0,MIN(1,$G50*$F50-(AA$6-$D50))),"")))</ns0:f>
      </ns0:c>
      <ns0:c r="AB50" s="22" t="str">
        <ns0:f>IF($A50="","",IF($I50="Yes",IF(AB$6=$D50,"◆",""),IF(AND(AB$6&gt;=$D50,AB$6&lt;=$E50),MAX(0,MIN(1,$G50*$F50-(AB$6-$D50))),"")))</ns0:f>
      </ns0:c>
      <ns0:c r="AC50" s="22" t="str">
        <ns0:f>IF($A50="","",IF($I50="Yes",IF(AC$6=$D50,"◆",""),IF(AND(AC$6&gt;=$D50,AC$6&lt;=$E50),MAX(0,MIN(1,$G50*$F50-(AC$6-$D50))),"")))</ns0:f>
      </ns0:c>
      <ns0:c r="AD50" s="22" t="str">
        <ns0:f>IF($A50="","",IF($I50="Yes",IF(AD$6=$D50,"◆",""),IF(AND(AD$6&gt;=$D50,AD$6&lt;=$E50),MAX(0,MIN(1,$G50*$F50-(AD$6-$D50))),"")))</ns0:f>
      </ns0:c>
      <ns0:c r="AE50" s="22" t="str">
        <ns0:f>IF($A50="","",IF($I50="Yes",IF(AE$6=$D50,"◆",""),IF(AND(AE$6&gt;=$D50,AE$6&lt;=$E50),MAX(0,MIN(1,$G50*$F50-(AE$6-$D50))),"")))</ns0:f>
      </ns0:c>
      <ns0:c r="AF50" s="22" t="str">
        <ns0:f>IF($A50="","",IF($I50="Yes",IF(AF$6=$D50,"◆",""),IF(AND(AF$6&gt;=$D50,AF$6&lt;=$E50),MAX(0,MIN(1,$G50*$F50-(AF$6-$D50))),"")))</ns0:f>
      </ns0:c>
      <ns0:c r="AG50" s="22" t="str">
        <ns0:f>IF($A50="","",IF($I50="Yes",IF(AG$6=$D50,"◆",""),IF(AND(AG$6&gt;=$D50,AG$6&lt;=$E50),MAX(0,MIN(1,$G50*$F50-(AG$6-$D50))),"")))</ns0:f>
      </ns0:c>
      <ns0:c r="AH50" s="22" t="str">
        <ns0:f>IF($A50="","",IF($I50="Yes",IF(AH$6=$D50,"◆",""),IF(AND(AH$6&gt;=$D50,AH$6&lt;=$E50),MAX(0,MIN(1,$G50*$F50-(AH$6-$D50))),"")))</ns0:f>
      </ns0:c>
      <ns0:c r="AI50" s="22" t="str">
        <ns0:f>IF($A50="","",IF($I50="Yes",IF(AI$6=$D50,"◆",""),IF(AND(AI$6&gt;=$D50,AI$6&lt;=$E50),MAX(0,MIN(1,$G50*$F50-(AI$6-$D50))),"")))</ns0:f>
      </ns0:c>
      <ns0:c r="AJ50" s="22" t="str">
        <ns0:f>IF($A50="","",IF($I50="Yes",IF(AJ$6=$D50,"◆",""),IF(AND(AJ$6&gt;=$D50,AJ$6&lt;=$E50),MAX(0,MIN(1,$G50*$F50-(AJ$6-$D50))),"")))</ns0:f>
      </ns0:c>
      <ns0:c r="AK50" s="22" t="str">
        <ns0:f>IF($A50="","",IF($I50="Yes",IF(AK$6=$D50,"◆",""),IF(AND(AK$6&gt;=$D50,AK$6&lt;=$E50),MAX(0,MIN(1,$G50*$F50-(AK$6-$D50))),"")))</ns0:f>
      </ns0:c>
      <ns0:c r="AL50" s="22" t="str">
        <ns0:f>IF($A50="","",IF($I50="Yes",IF(AL$6=$D50,"◆",""),IF(AND(AL$6&gt;=$D50,AL$6&lt;=$E50),MAX(0,MIN(1,$G50*$F50-(AL$6-$D50))),"")))</ns0:f>
      </ns0:c>
      <ns0:c r="AM50" s="22" t="str">
        <ns0:f>IF($A50="","",IF($I50="Yes",IF(AM$6=$D50,"◆",""),IF(AND(AM$6&gt;=$D50,AM$6&lt;=$E50),MAX(0,MIN(1,$G50*$F50-(AM$6-$D50))),"")))</ns0:f>
      </ns0:c>
      <ns0:c r="AN50" s="22" t="str">
        <ns0:f>IF($A50="","",IF($I50="Yes",IF(AN$6=$D50,"◆",""),IF(AND(AN$6&gt;=$D50,AN$6&lt;=$E50),MAX(0,MIN(1,$G50*$F50-(AN$6-$D50))),"")))</ns0:f>
      </ns0:c>
      <ns0:c r="AO50" s="22" t="str">
        <ns0:f>IF($A50="","",IF($I50="Yes",IF(AO$6=$D50,"◆",""),IF(AND(AO$6&gt;=$D50,AO$6&lt;=$E50),MAX(0,MIN(1,$G50*$F50-(AO$6-$D50))),"")))</ns0:f>
      </ns0:c>
      <ns0:c r="AP50" s="22" t="str">
        <ns0:f>IF($A50="","",IF($I50="Yes",IF(AP$6=$D50,"◆",""),IF(AND(AP$6&gt;=$D50,AP$6&lt;=$E50),MAX(0,MIN(1,$G50*$F50-(AP$6-$D50))),"")))</ns0:f>
      </ns0:c>
      <ns0:c r="AQ50" s="22" t="str">
        <ns0:f>IF($A50="","",IF($I50="Yes",IF(AQ$6=$D50,"◆",""),IF(AND(AQ$6&gt;=$D50,AQ$6&lt;=$E50),MAX(0,MIN(1,$G50*$F50-(AQ$6-$D50))),"")))</ns0:f>
      </ns0:c>
      <ns0:c r="AR50" s="22" t="str">
        <ns0:f>IF($A50="","",IF($I50="Yes",IF(AR$6=$D50,"◆",""),IF(AND(AR$6&gt;=$D50,AR$6&lt;=$E50),MAX(0,MIN(1,$G50*$F50-(AR$6-$D50))),"")))</ns0:f>
      </ns0:c>
    </ns0:row>
    <ns0:row r="51" ht="48" customHeight="1">
      <ns0:c r="A51" s="8" t="str">
        <ns0:f>IF(INDEX(Tasks[Task ID],45)="","",INDEX(Tasks[Task ID],45))</ns0:f>
      </ns0:c>
      <ns0:c r="B51" s="8" t="str">
        <ns0:f>IF(INDEX(Tasks[Task ID],45)="","",INDEX(Tasks[Phase],45))</ns0:f>
      </ns0:c>
      <ns0:c r="C51" s="8" t="str">
        <ns0:f>IF(INDEX(Tasks[Task ID],45)="","",INDEX(Tasks[Task Name],45))</ns0:f>
      </ns0:c>
      <ns0:c r="D51" s="18" t="str">
        <ns0:f>IF(INDEX(Tasks[Task ID],45)="","",INDEX(Tasks[Start Date],45))</ns0:f>
      </ns0:c>
      <ns0:c r="E51" s="18" t="str">
        <ns0:f>IF(INDEX(Tasks[Task ID],45)="","",INDEX(Tasks[End Date],45))</ns0:f>
      </ns0:c>
      <ns0:c r="F51" s="8" t="str">
        <ns0:f>IF(INDEX(Tasks[Task ID],45)="","",INDEX(Tasks[Duration],45))</ns0:f>
      </ns0:c>
      <ns0:c r="G51" s="19" t="str">
        <ns0:f>IF(INDEX(Tasks[Task ID],45)="","",INDEX(Tasks[Progress %],45))</ns0:f>
      </ns0:c>
      <ns0:c r="H51" s="8" t="str">
        <ns0:f>IF(INDEX(Tasks[Task ID],45)="","",INDEX('Project Tracker'!$Q$7:$Q$106,45))</ns0:f>
      </ns0:c>
      <ns0:c r="I51" s="8" t="str">
        <ns0:f>IF(INDEX(Tasks[Task ID],45)="","",INDEX(Tasks[Milestone],45))</ns0:f>
      </ns0:c>
      <ns0:c r="J51" s="8" t="str">
        <ns0:f>IF(INDEX(Tasks[Task ID],45)="","",INDEX(Tasks[Schedule Health],45))</ns0:f>
      </ns0:c>
      <ns0:c r="K51" s="22" t="str">
        <ns0:f>IF($A51="","",IF($I51="Yes",IF(K$6=$D51,"◆",""),IF(AND(K$6&gt;=$D51,K$6&lt;=$E51),MAX(0,MIN(1,$G51*$F51-(K$6-$D51))),"")))</ns0:f>
      </ns0:c>
      <ns0:c r="L51" s="22" t="str">
        <ns0:f>IF($A51="","",IF($I51="Yes",IF(L$6=$D51,"◆",""),IF(AND(L$6&gt;=$D51,L$6&lt;=$E51),MAX(0,MIN(1,$G51*$F51-(L$6-$D51))),"")))</ns0:f>
      </ns0:c>
      <ns0:c r="M51" s="22" t="str">
        <ns0:f>IF($A51="","",IF($I51="Yes",IF(M$6=$D51,"◆",""),IF(AND(M$6&gt;=$D51,M$6&lt;=$E51),MAX(0,MIN(1,$G51*$F51-(M$6-$D51))),"")))</ns0:f>
      </ns0:c>
      <ns0:c r="N51" s="22" t="str">
        <ns0:f>IF($A51="","",IF($I51="Yes",IF(N$6=$D51,"◆",""),IF(AND(N$6&gt;=$D51,N$6&lt;=$E51),MAX(0,MIN(1,$G51*$F51-(N$6-$D51))),"")))</ns0:f>
      </ns0:c>
      <ns0:c r="O51" s="22" t="str">
        <ns0:f>IF($A51="","",IF($I51="Yes",IF(O$6=$D51,"◆",""),IF(AND(O$6&gt;=$D51,O$6&lt;=$E51),MAX(0,MIN(1,$G51*$F51-(O$6-$D51))),"")))</ns0:f>
      </ns0:c>
      <ns0:c r="P51" s="22" t="str">
        <ns0:f>IF($A51="","",IF($I51="Yes",IF(P$6=$D51,"◆",""),IF(AND(P$6&gt;=$D51,P$6&lt;=$E51),MAX(0,MIN(1,$G51*$F51-(P$6-$D51))),"")))</ns0:f>
      </ns0:c>
      <ns0:c r="Q51" s="22" t="str">
        <ns0:f>IF($A51="","",IF($I51="Yes",IF(Q$6=$D51,"◆",""),IF(AND(Q$6&gt;=$D51,Q$6&lt;=$E51),MAX(0,MIN(1,$G51*$F51-(Q$6-$D51))),"")))</ns0:f>
      </ns0:c>
      <ns0:c r="R51" s="22" t="str">
        <ns0:f>IF($A51="","",IF($I51="Yes",IF(R$6=$D51,"◆",""),IF(AND(R$6&gt;=$D51,R$6&lt;=$E51),MAX(0,MIN(1,$G51*$F51-(R$6-$D51))),"")))</ns0:f>
      </ns0:c>
      <ns0:c r="S51" s="22" t="str">
        <ns0:f>IF($A51="","",IF($I51="Yes",IF(S$6=$D51,"◆",""),IF(AND(S$6&gt;=$D51,S$6&lt;=$E51),MAX(0,MIN(1,$G51*$F51-(S$6-$D51))),"")))</ns0:f>
      </ns0:c>
      <ns0:c r="T51" s="22" t="str">
        <ns0:f>IF($A51="","",IF($I51="Yes",IF(T$6=$D51,"◆",""),IF(AND(T$6&gt;=$D51,T$6&lt;=$E51),MAX(0,MIN(1,$G51*$F51-(T$6-$D51))),"")))</ns0:f>
      </ns0:c>
      <ns0:c r="U51" s="22" t="str">
        <ns0:f>IF($A51="","",IF($I51="Yes",IF(U$6=$D51,"◆",""),IF(AND(U$6&gt;=$D51,U$6&lt;=$E51),MAX(0,MIN(1,$G51*$F51-(U$6-$D51))),"")))</ns0:f>
      </ns0:c>
      <ns0:c r="V51" s="22" t="str">
        <ns0:f>IF($A51="","",IF($I51="Yes",IF(V$6=$D51,"◆",""),IF(AND(V$6&gt;=$D51,V$6&lt;=$E51),MAX(0,MIN(1,$G51*$F51-(V$6-$D51))),"")))</ns0:f>
      </ns0:c>
      <ns0:c r="W51" s="22" t="str">
        <ns0:f>IF($A51="","",IF($I51="Yes",IF(W$6=$D51,"◆",""),IF(AND(W$6&gt;=$D51,W$6&lt;=$E51),MAX(0,MIN(1,$G51*$F51-(W$6-$D51))),"")))</ns0:f>
      </ns0:c>
      <ns0:c r="X51" s="22" t="str">
        <ns0:f>IF($A51="","",IF($I51="Yes",IF(X$6=$D51,"◆",""),IF(AND(X$6&gt;=$D51,X$6&lt;=$E51),MAX(0,MIN(1,$G51*$F51-(X$6-$D51))),"")))</ns0:f>
      </ns0:c>
      <ns0:c r="Y51" s="22" t="str">
        <ns0:f>IF($A51="","",IF($I51="Yes",IF(Y$6=$D51,"◆",""),IF(AND(Y$6&gt;=$D51,Y$6&lt;=$E51),MAX(0,MIN(1,$G51*$F51-(Y$6-$D51))),"")))</ns0:f>
      </ns0:c>
      <ns0:c r="Z51" s="22" t="str">
        <ns0:f>IF($A51="","",IF($I51="Yes",IF(Z$6=$D51,"◆",""),IF(AND(Z$6&gt;=$D51,Z$6&lt;=$E51),MAX(0,MIN(1,$G51*$F51-(Z$6-$D51))),"")))</ns0:f>
      </ns0:c>
      <ns0:c r="AA51" s="22" t="str">
        <ns0:f>IF($A51="","",IF($I51="Yes",IF(AA$6=$D51,"◆",""),IF(AND(AA$6&gt;=$D51,AA$6&lt;=$E51),MAX(0,MIN(1,$G51*$F51-(AA$6-$D51))),"")))</ns0:f>
      </ns0:c>
      <ns0:c r="AB51" s="22" t="str">
        <ns0:f>IF($A51="","",IF($I51="Yes",IF(AB$6=$D51,"◆",""),IF(AND(AB$6&gt;=$D51,AB$6&lt;=$E51),MAX(0,MIN(1,$G51*$F51-(AB$6-$D51))),"")))</ns0:f>
      </ns0:c>
      <ns0:c r="AC51" s="22" t="str">
        <ns0:f>IF($A51="","",IF($I51="Yes",IF(AC$6=$D51,"◆",""),IF(AND(AC$6&gt;=$D51,AC$6&lt;=$E51),MAX(0,MIN(1,$G51*$F51-(AC$6-$D51))),"")))</ns0:f>
      </ns0:c>
      <ns0:c r="AD51" s="22" t="str">
        <ns0:f>IF($A51="","",IF($I51="Yes",IF(AD$6=$D51,"◆",""),IF(AND(AD$6&gt;=$D51,AD$6&lt;=$E51),MAX(0,MIN(1,$G51*$F51-(AD$6-$D51))),"")))</ns0:f>
      </ns0:c>
      <ns0:c r="AE51" s="22" t="str">
        <ns0:f>IF($A51="","",IF($I51="Yes",IF(AE$6=$D51,"◆",""),IF(AND(AE$6&gt;=$D51,AE$6&lt;=$E51),MAX(0,MIN(1,$G51*$F51-(AE$6-$D51))),"")))</ns0:f>
      </ns0:c>
      <ns0:c r="AF51" s="22" t="str">
        <ns0:f>IF($A51="","",IF($I51="Yes",IF(AF$6=$D51,"◆",""),IF(AND(AF$6&gt;=$D51,AF$6&lt;=$E51),MAX(0,MIN(1,$G51*$F51-(AF$6-$D51))),"")))</ns0:f>
      </ns0:c>
      <ns0:c r="AG51" s="22" t="str">
        <ns0:f>IF($A51="","",IF($I51="Yes",IF(AG$6=$D51,"◆",""),IF(AND(AG$6&gt;=$D51,AG$6&lt;=$E51),MAX(0,MIN(1,$G51*$F51-(AG$6-$D51))),"")))</ns0:f>
      </ns0:c>
      <ns0:c r="AH51" s="22" t="str">
        <ns0:f>IF($A51="","",IF($I51="Yes",IF(AH$6=$D51,"◆",""),IF(AND(AH$6&gt;=$D51,AH$6&lt;=$E51),MAX(0,MIN(1,$G51*$F51-(AH$6-$D51))),"")))</ns0:f>
      </ns0:c>
      <ns0:c r="AI51" s="22" t="str">
        <ns0:f>IF($A51="","",IF($I51="Yes",IF(AI$6=$D51,"◆",""),IF(AND(AI$6&gt;=$D51,AI$6&lt;=$E51),MAX(0,MIN(1,$G51*$F51-(AI$6-$D51))),"")))</ns0:f>
      </ns0:c>
      <ns0:c r="AJ51" s="22" t="str">
        <ns0:f>IF($A51="","",IF($I51="Yes",IF(AJ$6=$D51,"◆",""),IF(AND(AJ$6&gt;=$D51,AJ$6&lt;=$E51),MAX(0,MIN(1,$G51*$F51-(AJ$6-$D51))),"")))</ns0:f>
      </ns0:c>
      <ns0:c r="AK51" s="22" t="str">
        <ns0:f>IF($A51="","",IF($I51="Yes",IF(AK$6=$D51,"◆",""),IF(AND(AK$6&gt;=$D51,AK$6&lt;=$E51),MAX(0,MIN(1,$G51*$F51-(AK$6-$D51))),"")))</ns0:f>
      </ns0:c>
      <ns0:c r="AL51" s="22" t="str">
        <ns0:f>IF($A51="","",IF($I51="Yes",IF(AL$6=$D51,"◆",""),IF(AND(AL$6&gt;=$D51,AL$6&lt;=$E51),MAX(0,MIN(1,$G51*$F51-(AL$6-$D51))),"")))</ns0:f>
      </ns0:c>
      <ns0:c r="AM51" s="22" t="str">
        <ns0:f>IF($A51="","",IF($I51="Yes",IF(AM$6=$D51,"◆",""),IF(AND(AM$6&gt;=$D51,AM$6&lt;=$E51),MAX(0,MIN(1,$G51*$F51-(AM$6-$D51))),"")))</ns0:f>
      </ns0:c>
      <ns0:c r="AN51" s="22" t="str">
        <ns0:f>IF($A51="","",IF($I51="Yes",IF(AN$6=$D51,"◆",""),IF(AND(AN$6&gt;=$D51,AN$6&lt;=$E51),MAX(0,MIN(1,$G51*$F51-(AN$6-$D51))),"")))</ns0:f>
      </ns0:c>
      <ns0:c r="AO51" s="22" t="str">
        <ns0:f>IF($A51="","",IF($I51="Yes",IF(AO$6=$D51,"◆",""),IF(AND(AO$6&gt;=$D51,AO$6&lt;=$E51),MAX(0,MIN(1,$G51*$F51-(AO$6-$D51))),"")))</ns0:f>
      </ns0:c>
      <ns0:c r="AP51" s="22" t="str">
        <ns0:f>IF($A51="","",IF($I51="Yes",IF(AP$6=$D51,"◆",""),IF(AND(AP$6&gt;=$D51,AP$6&lt;=$E51),MAX(0,MIN(1,$G51*$F51-(AP$6-$D51))),"")))</ns0:f>
      </ns0:c>
      <ns0:c r="AQ51" s="22" t="str">
        <ns0:f>IF($A51="","",IF($I51="Yes",IF(AQ$6=$D51,"◆",""),IF(AND(AQ$6&gt;=$D51,AQ$6&lt;=$E51),MAX(0,MIN(1,$G51*$F51-(AQ$6-$D51))),"")))</ns0:f>
      </ns0:c>
      <ns0:c r="AR51" s="22" t="str">
        <ns0:f>IF($A51="","",IF($I51="Yes",IF(AR$6=$D51,"◆",""),IF(AND(AR$6&gt;=$D51,AR$6&lt;=$E51),MAX(0,MIN(1,$G51*$F51-(AR$6-$D51))),"")))</ns0:f>
      </ns0:c>
    </ns0:row>
    <ns0:row r="52" ht="48" customHeight="1">
      <ns0:c r="A52" s="8" t="str">
        <ns0:f>IF(INDEX(Tasks[Task ID],46)="","",INDEX(Tasks[Task ID],46))</ns0:f>
      </ns0:c>
      <ns0:c r="B52" s="8" t="str">
        <ns0:f>IF(INDEX(Tasks[Task ID],46)="","",INDEX(Tasks[Phase],46))</ns0:f>
      </ns0:c>
      <ns0:c r="C52" s="8" t="str">
        <ns0:f>IF(INDEX(Tasks[Task ID],46)="","",INDEX(Tasks[Task Name],46))</ns0:f>
      </ns0:c>
      <ns0:c r="D52" s="18" t="str">
        <ns0:f>IF(INDEX(Tasks[Task ID],46)="","",INDEX(Tasks[Start Date],46))</ns0:f>
      </ns0:c>
      <ns0:c r="E52" s="18" t="str">
        <ns0:f>IF(INDEX(Tasks[Task ID],46)="","",INDEX(Tasks[End Date],46))</ns0:f>
      </ns0:c>
      <ns0:c r="F52" s="8" t="str">
        <ns0:f>IF(INDEX(Tasks[Task ID],46)="","",INDEX(Tasks[Duration],46))</ns0:f>
      </ns0:c>
      <ns0:c r="G52" s="19" t="str">
        <ns0:f>IF(INDEX(Tasks[Task ID],46)="","",INDEX(Tasks[Progress %],46))</ns0:f>
      </ns0:c>
      <ns0:c r="H52" s="8" t="str">
        <ns0:f>IF(INDEX(Tasks[Task ID],46)="","",INDEX('Project Tracker'!$Q$7:$Q$106,46))</ns0:f>
      </ns0:c>
      <ns0:c r="I52" s="8" t="str">
        <ns0:f>IF(INDEX(Tasks[Task ID],46)="","",INDEX(Tasks[Milestone],46))</ns0:f>
      </ns0:c>
      <ns0:c r="J52" s="8" t="str">
        <ns0:f>IF(INDEX(Tasks[Task ID],46)="","",INDEX(Tasks[Schedule Health],46))</ns0:f>
      </ns0:c>
      <ns0:c r="K52" s="22" t="str">
        <ns0:f>IF($A52="","",IF($I52="Yes",IF(K$6=$D52,"◆",""),IF(AND(K$6&gt;=$D52,K$6&lt;=$E52),MAX(0,MIN(1,$G52*$F52-(K$6-$D52))),"")))</ns0:f>
      </ns0:c>
      <ns0:c r="L52" s="22" t="str">
        <ns0:f>IF($A52="","",IF($I52="Yes",IF(L$6=$D52,"◆",""),IF(AND(L$6&gt;=$D52,L$6&lt;=$E52),MAX(0,MIN(1,$G52*$F52-(L$6-$D52))),"")))</ns0:f>
      </ns0:c>
      <ns0:c r="M52" s="22" t="str">
        <ns0:f>IF($A52="","",IF($I52="Yes",IF(M$6=$D52,"◆",""),IF(AND(M$6&gt;=$D52,M$6&lt;=$E52),MAX(0,MIN(1,$G52*$F52-(M$6-$D52))),"")))</ns0:f>
      </ns0:c>
      <ns0:c r="N52" s="22" t="str">
        <ns0:f>IF($A52="","",IF($I52="Yes",IF(N$6=$D52,"◆",""),IF(AND(N$6&gt;=$D52,N$6&lt;=$E52),MAX(0,MIN(1,$G52*$F52-(N$6-$D52))),"")))</ns0:f>
      </ns0:c>
      <ns0:c r="O52" s="22" t="str">
        <ns0:f>IF($A52="","",IF($I52="Yes",IF(O$6=$D52,"◆",""),IF(AND(O$6&gt;=$D52,O$6&lt;=$E52),MAX(0,MIN(1,$G52*$F52-(O$6-$D52))),"")))</ns0:f>
      </ns0:c>
      <ns0:c r="P52" s="22" t="str">
        <ns0:f>IF($A52="","",IF($I52="Yes",IF(P$6=$D52,"◆",""),IF(AND(P$6&gt;=$D52,P$6&lt;=$E52),MAX(0,MIN(1,$G52*$F52-(P$6-$D52))),"")))</ns0:f>
      </ns0:c>
      <ns0:c r="Q52" s="22" t="str">
        <ns0:f>IF($A52="","",IF($I52="Yes",IF(Q$6=$D52,"◆",""),IF(AND(Q$6&gt;=$D52,Q$6&lt;=$E52),MAX(0,MIN(1,$G52*$F52-(Q$6-$D52))),"")))</ns0:f>
      </ns0:c>
      <ns0:c r="R52" s="22" t="str">
        <ns0:f>IF($A52="","",IF($I52="Yes",IF(R$6=$D52,"◆",""),IF(AND(R$6&gt;=$D52,R$6&lt;=$E52),MAX(0,MIN(1,$G52*$F52-(R$6-$D52))),"")))</ns0:f>
      </ns0:c>
      <ns0:c r="S52" s="22" t="str">
        <ns0:f>IF($A52="","",IF($I52="Yes",IF(S$6=$D52,"◆",""),IF(AND(S$6&gt;=$D52,S$6&lt;=$E52),MAX(0,MIN(1,$G52*$F52-(S$6-$D52))),"")))</ns0:f>
      </ns0:c>
      <ns0:c r="T52" s="22" t="str">
        <ns0:f>IF($A52="","",IF($I52="Yes",IF(T$6=$D52,"◆",""),IF(AND(T$6&gt;=$D52,T$6&lt;=$E52),MAX(0,MIN(1,$G52*$F52-(T$6-$D52))),"")))</ns0:f>
      </ns0:c>
      <ns0:c r="U52" s="22" t="str">
        <ns0:f>IF($A52="","",IF($I52="Yes",IF(U$6=$D52,"◆",""),IF(AND(U$6&gt;=$D52,U$6&lt;=$E52),MAX(0,MIN(1,$G52*$F52-(U$6-$D52))),"")))</ns0:f>
      </ns0:c>
      <ns0:c r="V52" s="22" t="str">
        <ns0:f>IF($A52="","",IF($I52="Yes",IF(V$6=$D52,"◆",""),IF(AND(V$6&gt;=$D52,V$6&lt;=$E52),MAX(0,MIN(1,$G52*$F52-(V$6-$D52))),"")))</ns0:f>
      </ns0:c>
      <ns0:c r="W52" s="22" t="str">
        <ns0:f>IF($A52="","",IF($I52="Yes",IF(W$6=$D52,"◆",""),IF(AND(W$6&gt;=$D52,W$6&lt;=$E52),MAX(0,MIN(1,$G52*$F52-(W$6-$D52))),"")))</ns0:f>
      </ns0:c>
      <ns0:c r="X52" s="22" t="str">
        <ns0:f>IF($A52="","",IF($I52="Yes",IF(X$6=$D52,"◆",""),IF(AND(X$6&gt;=$D52,X$6&lt;=$E52),MAX(0,MIN(1,$G52*$F52-(X$6-$D52))),"")))</ns0:f>
      </ns0:c>
      <ns0:c r="Y52" s="22" t="str">
        <ns0:f>IF($A52="","",IF($I52="Yes",IF(Y$6=$D52,"◆",""),IF(AND(Y$6&gt;=$D52,Y$6&lt;=$E52),MAX(0,MIN(1,$G52*$F52-(Y$6-$D52))),"")))</ns0:f>
      </ns0:c>
      <ns0:c r="Z52" s="22" t="str">
        <ns0:f>IF($A52="","",IF($I52="Yes",IF(Z$6=$D52,"◆",""),IF(AND(Z$6&gt;=$D52,Z$6&lt;=$E52),MAX(0,MIN(1,$G52*$F52-(Z$6-$D52))),"")))</ns0:f>
      </ns0:c>
      <ns0:c r="AA52" s="22" t="str">
        <ns0:f>IF($A52="","",IF($I52="Yes",IF(AA$6=$D52,"◆",""),IF(AND(AA$6&gt;=$D52,AA$6&lt;=$E52),MAX(0,MIN(1,$G52*$F52-(AA$6-$D52))),"")))</ns0:f>
      </ns0:c>
      <ns0:c r="AB52" s="22" t="str">
        <ns0:f>IF($A52="","",IF($I52="Yes",IF(AB$6=$D52,"◆",""),IF(AND(AB$6&gt;=$D52,AB$6&lt;=$E52),MAX(0,MIN(1,$G52*$F52-(AB$6-$D52))),"")))</ns0:f>
      </ns0:c>
      <ns0:c r="AC52" s="22" t="str">
        <ns0:f>IF($A52="","",IF($I52="Yes",IF(AC$6=$D52,"◆",""),IF(AND(AC$6&gt;=$D52,AC$6&lt;=$E52),MAX(0,MIN(1,$G52*$F52-(AC$6-$D52))),"")))</ns0:f>
      </ns0:c>
      <ns0:c r="AD52" s="22" t="str">
        <ns0:f>IF($A52="","",IF($I52="Yes",IF(AD$6=$D52,"◆",""),IF(AND(AD$6&gt;=$D52,AD$6&lt;=$E52),MAX(0,MIN(1,$G52*$F52-(AD$6-$D52))),"")))</ns0:f>
      </ns0:c>
      <ns0:c r="AE52" s="22" t="str">
        <ns0:f>IF($A52="","",IF($I52="Yes",IF(AE$6=$D52,"◆",""),IF(AND(AE$6&gt;=$D52,AE$6&lt;=$E52),MAX(0,MIN(1,$G52*$F52-(AE$6-$D52))),"")))</ns0:f>
      </ns0:c>
      <ns0:c r="AF52" s="22" t="str">
        <ns0:f>IF($A52="","",IF($I52="Yes",IF(AF$6=$D52,"◆",""),IF(AND(AF$6&gt;=$D52,AF$6&lt;=$E52),MAX(0,MIN(1,$G52*$F52-(AF$6-$D52))),"")))</ns0:f>
      </ns0:c>
      <ns0:c r="AG52" s="22" t="str">
        <ns0:f>IF($A52="","",IF($I52="Yes",IF(AG$6=$D52,"◆",""),IF(AND(AG$6&gt;=$D52,AG$6&lt;=$E52),MAX(0,MIN(1,$G52*$F52-(AG$6-$D52))),"")))</ns0:f>
      </ns0:c>
      <ns0:c r="AH52" s="22" t="str">
        <ns0:f>IF($A52="","",IF($I52="Yes",IF(AH$6=$D52,"◆",""),IF(AND(AH$6&gt;=$D52,AH$6&lt;=$E52),MAX(0,MIN(1,$G52*$F52-(AH$6-$D52))),"")))</ns0:f>
      </ns0:c>
      <ns0:c r="AI52" s="22" t="str">
        <ns0:f>IF($A52="","",IF($I52="Yes",IF(AI$6=$D52,"◆",""),IF(AND(AI$6&gt;=$D52,AI$6&lt;=$E52),MAX(0,MIN(1,$G52*$F52-(AI$6-$D52))),"")))</ns0:f>
      </ns0:c>
      <ns0:c r="AJ52" s="22" t="str">
        <ns0:f>IF($A52="","",IF($I52="Yes",IF(AJ$6=$D52,"◆",""),IF(AND(AJ$6&gt;=$D52,AJ$6&lt;=$E52),MAX(0,MIN(1,$G52*$F52-(AJ$6-$D52))),"")))</ns0:f>
      </ns0:c>
      <ns0:c r="AK52" s="22" t="str">
        <ns0:f>IF($A52="","",IF($I52="Yes",IF(AK$6=$D52,"◆",""),IF(AND(AK$6&gt;=$D52,AK$6&lt;=$E52),MAX(0,MIN(1,$G52*$F52-(AK$6-$D52))),"")))</ns0:f>
      </ns0:c>
      <ns0:c r="AL52" s="22" t="str">
        <ns0:f>IF($A52="","",IF($I52="Yes",IF(AL$6=$D52,"◆",""),IF(AND(AL$6&gt;=$D52,AL$6&lt;=$E52),MAX(0,MIN(1,$G52*$F52-(AL$6-$D52))),"")))</ns0:f>
      </ns0:c>
      <ns0:c r="AM52" s="22" t="str">
        <ns0:f>IF($A52="","",IF($I52="Yes",IF(AM$6=$D52,"◆",""),IF(AND(AM$6&gt;=$D52,AM$6&lt;=$E52),MAX(0,MIN(1,$G52*$F52-(AM$6-$D52))),"")))</ns0:f>
      </ns0:c>
      <ns0:c r="AN52" s="22" t="str">
        <ns0:f>IF($A52="","",IF($I52="Yes",IF(AN$6=$D52,"◆",""),IF(AND(AN$6&gt;=$D52,AN$6&lt;=$E52),MAX(0,MIN(1,$G52*$F52-(AN$6-$D52))),"")))</ns0:f>
      </ns0:c>
      <ns0:c r="AO52" s="22" t="str">
        <ns0:f>IF($A52="","",IF($I52="Yes",IF(AO$6=$D52,"◆",""),IF(AND(AO$6&gt;=$D52,AO$6&lt;=$E52),MAX(0,MIN(1,$G52*$F52-(AO$6-$D52))),"")))</ns0:f>
      </ns0:c>
      <ns0:c r="AP52" s="22" t="str">
        <ns0:f>IF($A52="","",IF($I52="Yes",IF(AP$6=$D52,"◆",""),IF(AND(AP$6&gt;=$D52,AP$6&lt;=$E52),MAX(0,MIN(1,$G52*$F52-(AP$6-$D52))),"")))</ns0:f>
      </ns0:c>
      <ns0:c r="AQ52" s="22" t="str">
        <ns0:f>IF($A52="","",IF($I52="Yes",IF(AQ$6=$D52,"◆",""),IF(AND(AQ$6&gt;=$D52,AQ$6&lt;=$E52),MAX(0,MIN(1,$G52*$F52-(AQ$6-$D52))),"")))</ns0:f>
      </ns0:c>
      <ns0:c r="AR52" s="22" t="str">
        <ns0:f>IF($A52="","",IF($I52="Yes",IF(AR$6=$D52,"◆",""),IF(AND(AR$6&gt;=$D52,AR$6&lt;=$E52),MAX(0,MIN(1,$G52*$F52-(AR$6-$D52))),"")))</ns0:f>
      </ns0:c>
    </ns0:row>
    <ns0:row r="53" ht="48" customHeight="1">
      <ns0:c r="A53" s="8" t="str">
        <ns0:f>IF(INDEX(Tasks[Task ID],47)="","",INDEX(Tasks[Task ID],47))</ns0:f>
      </ns0:c>
      <ns0:c r="B53" s="8" t="str">
        <ns0:f>IF(INDEX(Tasks[Task ID],47)="","",INDEX(Tasks[Phase],47))</ns0:f>
      </ns0:c>
      <ns0:c r="C53" s="8" t="str">
        <ns0:f>IF(INDEX(Tasks[Task ID],47)="","",INDEX(Tasks[Task Name],47))</ns0:f>
      </ns0:c>
      <ns0:c r="D53" s="18" t="str">
        <ns0:f>IF(INDEX(Tasks[Task ID],47)="","",INDEX(Tasks[Start Date],47))</ns0:f>
      </ns0:c>
      <ns0:c r="E53" s="18" t="str">
        <ns0:f>IF(INDEX(Tasks[Task ID],47)="","",INDEX(Tasks[End Date],47))</ns0:f>
      </ns0:c>
      <ns0:c r="F53" s="8" t="str">
        <ns0:f>IF(INDEX(Tasks[Task ID],47)="","",INDEX(Tasks[Duration],47))</ns0:f>
      </ns0:c>
      <ns0:c r="G53" s="19" t="str">
        <ns0:f>IF(INDEX(Tasks[Task ID],47)="","",INDEX(Tasks[Progress %],47))</ns0:f>
      </ns0:c>
      <ns0:c r="H53" s="8" t="str">
        <ns0:f>IF(INDEX(Tasks[Task ID],47)="","",INDEX('Project Tracker'!$Q$7:$Q$106,47))</ns0:f>
      </ns0:c>
      <ns0:c r="I53" s="8" t="str">
        <ns0:f>IF(INDEX(Tasks[Task ID],47)="","",INDEX(Tasks[Milestone],47))</ns0:f>
      </ns0:c>
      <ns0:c r="J53" s="8" t="str">
        <ns0:f>IF(INDEX(Tasks[Task ID],47)="","",INDEX(Tasks[Schedule Health],47))</ns0:f>
      </ns0:c>
      <ns0:c r="K53" s="22" t="str">
        <ns0:f>IF($A53="","",IF($I53="Yes",IF(K$6=$D53,"◆",""),IF(AND(K$6&gt;=$D53,K$6&lt;=$E53),MAX(0,MIN(1,$G53*$F53-(K$6-$D53))),"")))</ns0:f>
      </ns0:c>
      <ns0:c r="L53" s="22" t="str">
        <ns0:f>IF($A53="","",IF($I53="Yes",IF(L$6=$D53,"◆",""),IF(AND(L$6&gt;=$D53,L$6&lt;=$E53),MAX(0,MIN(1,$G53*$F53-(L$6-$D53))),"")))</ns0:f>
      </ns0:c>
      <ns0:c r="M53" s="22" t="str">
        <ns0:f>IF($A53="","",IF($I53="Yes",IF(M$6=$D53,"◆",""),IF(AND(M$6&gt;=$D53,M$6&lt;=$E53),MAX(0,MIN(1,$G53*$F53-(M$6-$D53))),"")))</ns0:f>
      </ns0:c>
      <ns0:c r="N53" s="22" t="str">
        <ns0:f>IF($A53="","",IF($I53="Yes",IF(N$6=$D53,"◆",""),IF(AND(N$6&gt;=$D53,N$6&lt;=$E53),MAX(0,MIN(1,$G53*$F53-(N$6-$D53))),"")))</ns0:f>
      </ns0:c>
      <ns0:c r="O53" s="22" t="str">
        <ns0:f>IF($A53="","",IF($I53="Yes",IF(O$6=$D53,"◆",""),IF(AND(O$6&gt;=$D53,O$6&lt;=$E53),MAX(0,MIN(1,$G53*$F53-(O$6-$D53))),"")))</ns0:f>
      </ns0:c>
      <ns0:c r="P53" s="22" t="str">
        <ns0:f>IF($A53="","",IF($I53="Yes",IF(P$6=$D53,"◆",""),IF(AND(P$6&gt;=$D53,P$6&lt;=$E53),MAX(0,MIN(1,$G53*$F53-(P$6-$D53))),"")))</ns0:f>
      </ns0:c>
      <ns0:c r="Q53" s="22" t="str">
        <ns0:f>IF($A53="","",IF($I53="Yes",IF(Q$6=$D53,"◆",""),IF(AND(Q$6&gt;=$D53,Q$6&lt;=$E53),MAX(0,MIN(1,$G53*$F53-(Q$6-$D53))),"")))</ns0:f>
      </ns0:c>
      <ns0:c r="R53" s="22" t="str">
        <ns0:f>IF($A53="","",IF($I53="Yes",IF(R$6=$D53,"◆",""),IF(AND(R$6&gt;=$D53,R$6&lt;=$E53),MAX(0,MIN(1,$G53*$F53-(R$6-$D53))),"")))</ns0:f>
      </ns0:c>
      <ns0:c r="S53" s="22" t="str">
        <ns0:f>IF($A53="","",IF($I53="Yes",IF(S$6=$D53,"◆",""),IF(AND(S$6&gt;=$D53,S$6&lt;=$E53),MAX(0,MIN(1,$G53*$F53-(S$6-$D53))),"")))</ns0:f>
      </ns0:c>
      <ns0:c r="T53" s="22" t="str">
        <ns0:f>IF($A53="","",IF($I53="Yes",IF(T$6=$D53,"◆",""),IF(AND(T$6&gt;=$D53,T$6&lt;=$E53),MAX(0,MIN(1,$G53*$F53-(T$6-$D53))),"")))</ns0:f>
      </ns0:c>
      <ns0:c r="U53" s="22" t="str">
        <ns0:f>IF($A53="","",IF($I53="Yes",IF(U$6=$D53,"◆",""),IF(AND(U$6&gt;=$D53,U$6&lt;=$E53),MAX(0,MIN(1,$G53*$F53-(U$6-$D53))),"")))</ns0:f>
      </ns0:c>
      <ns0:c r="V53" s="22" t="str">
        <ns0:f>IF($A53="","",IF($I53="Yes",IF(V$6=$D53,"◆",""),IF(AND(V$6&gt;=$D53,V$6&lt;=$E53),MAX(0,MIN(1,$G53*$F53-(V$6-$D53))),"")))</ns0:f>
      </ns0:c>
      <ns0:c r="W53" s="22" t="str">
        <ns0:f>IF($A53="","",IF($I53="Yes",IF(W$6=$D53,"◆",""),IF(AND(W$6&gt;=$D53,W$6&lt;=$E53),MAX(0,MIN(1,$G53*$F53-(W$6-$D53))),"")))</ns0:f>
      </ns0:c>
      <ns0:c r="X53" s="22" t="str">
        <ns0:f>IF($A53="","",IF($I53="Yes",IF(X$6=$D53,"◆",""),IF(AND(X$6&gt;=$D53,X$6&lt;=$E53),MAX(0,MIN(1,$G53*$F53-(X$6-$D53))),"")))</ns0:f>
      </ns0:c>
      <ns0:c r="Y53" s="22" t="str">
        <ns0:f>IF($A53="","",IF($I53="Yes",IF(Y$6=$D53,"◆",""),IF(AND(Y$6&gt;=$D53,Y$6&lt;=$E53),MAX(0,MIN(1,$G53*$F53-(Y$6-$D53))),"")))</ns0:f>
      </ns0:c>
      <ns0:c r="Z53" s="22" t="str">
        <ns0:f>IF($A53="","",IF($I53="Yes",IF(Z$6=$D53,"◆",""),IF(AND(Z$6&gt;=$D53,Z$6&lt;=$E53),MAX(0,MIN(1,$G53*$F53-(Z$6-$D53))),"")))</ns0:f>
      </ns0:c>
      <ns0:c r="AA53" s="22" t="str">
        <ns0:f>IF($A53="","",IF($I53="Yes",IF(AA$6=$D53,"◆",""),IF(AND(AA$6&gt;=$D53,AA$6&lt;=$E53),MAX(0,MIN(1,$G53*$F53-(AA$6-$D53))),"")))</ns0:f>
      </ns0:c>
      <ns0:c r="AB53" s="22" t="str">
        <ns0:f>IF($A53="","",IF($I53="Yes",IF(AB$6=$D53,"◆",""),IF(AND(AB$6&gt;=$D53,AB$6&lt;=$E53),MAX(0,MIN(1,$G53*$F53-(AB$6-$D53))),"")))</ns0:f>
      </ns0:c>
      <ns0:c r="AC53" s="22" t="str">
        <ns0:f>IF($A53="","",IF($I53="Yes",IF(AC$6=$D53,"◆",""),IF(AND(AC$6&gt;=$D53,AC$6&lt;=$E53),MAX(0,MIN(1,$G53*$F53-(AC$6-$D53))),"")))</ns0:f>
      </ns0:c>
      <ns0:c r="AD53" s="22" t="str">
        <ns0:f>IF($A53="","",IF($I53="Yes",IF(AD$6=$D53,"◆",""),IF(AND(AD$6&gt;=$D53,AD$6&lt;=$E53),MAX(0,MIN(1,$G53*$F53-(AD$6-$D53))),"")))</ns0:f>
      </ns0:c>
      <ns0:c r="AE53" s="22" t="str">
        <ns0:f>IF($A53="","",IF($I53="Yes",IF(AE$6=$D53,"◆",""),IF(AND(AE$6&gt;=$D53,AE$6&lt;=$E53),MAX(0,MIN(1,$G53*$F53-(AE$6-$D53))),"")))</ns0:f>
      </ns0:c>
      <ns0:c r="AF53" s="22" t="str">
        <ns0:f>IF($A53="","",IF($I53="Yes",IF(AF$6=$D53,"◆",""),IF(AND(AF$6&gt;=$D53,AF$6&lt;=$E53),MAX(0,MIN(1,$G53*$F53-(AF$6-$D53))),"")))</ns0:f>
      </ns0:c>
      <ns0:c r="AG53" s="22" t="str">
        <ns0:f>IF($A53="","",IF($I53="Yes",IF(AG$6=$D53,"◆",""),IF(AND(AG$6&gt;=$D53,AG$6&lt;=$E53),MAX(0,MIN(1,$G53*$F53-(AG$6-$D53))),"")))</ns0:f>
      </ns0:c>
      <ns0:c r="AH53" s="22" t="str">
        <ns0:f>IF($A53="","",IF($I53="Yes",IF(AH$6=$D53,"◆",""),IF(AND(AH$6&gt;=$D53,AH$6&lt;=$E53),MAX(0,MIN(1,$G53*$F53-(AH$6-$D53))),"")))</ns0:f>
      </ns0:c>
      <ns0:c r="AI53" s="22" t="str">
        <ns0:f>IF($A53="","",IF($I53="Yes",IF(AI$6=$D53,"◆",""),IF(AND(AI$6&gt;=$D53,AI$6&lt;=$E53),MAX(0,MIN(1,$G53*$F53-(AI$6-$D53))),"")))</ns0:f>
      </ns0:c>
      <ns0:c r="AJ53" s="22" t="str">
        <ns0:f>IF($A53="","",IF($I53="Yes",IF(AJ$6=$D53,"◆",""),IF(AND(AJ$6&gt;=$D53,AJ$6&lt;=$E53),MAX(0,MIN(1,$G53*$F53-(AJ$6-$D53))),"")))</ns0:f>
      </ns0:c>
      <ns0:c r="AK53" s="22" t="str">
        <ns0:f>IF($A53="","",IF($I53="Yes",IF(AK$6=$D53,"◆",""),IF(AND(AK$6&gt;=$D53,AK$6&lt;=$E53),MAX(0,MIN(1,$G53*$F53-(AK$6-$D53))),"")))</ns0:f>
      </ns0:c>
      <ns0:c r="AL53" s="22" t="str">
        <ns0:f>IF($A53="","",IF($I53="Yes",IF(AL$6=$D53,"◆",""),IF(AND(AL$6&gt;=$D53,AL$6&lt;=$E53),MAX(0,MIN(1,$G53*$F53-(AL$6-$D53))),"")))</ns0:f>
      </ns0:c>
      <ns0:c r="AM53" s="22" t="str">
        <ns0:f>IF($A53="","",IF($I53="Yes",IF(AM$6=$D53,"◆",""),IF(AND(AM$6&gt;=$D53,AM$6&lt;=$E53),MAX(0,MIN(1,$G53*$F53-(AM$6-$D53))),"")))</ns0:f>
      </ns0:c>
      <ns0:c r="AN53" s="22" t="str">
        <ns0:f>IF($A53="","",IF($I53="Yes",IF(AN$6=$D53,"◆",""),IF(AND(AN$6&gt;=$D53,AN$6&lt;=$E53),MAX(0,MIN(1,$G53*$F53-(AN$6-$D53))),"")))</ns0:f>
      </ns0:c>
      <ns0:c r="AO53" s="22" t="str">
        <ns0:f>IF($A53="","",IF($I53="Yes",IF(AO$6=$D53,"◆",""),IF(AND(AO$6&gt;=$D53,AO$6&lt;=$E53),MAX(0,MIN(1,$G53*$F53-(AO$6-$D53))),"")))</ns0:f>
      </ns0:c>
      <ns0:c r="AP53" s="22" t="str">
        <ns0:f>IF($A53="","",IF($I53="Yes",IF(AP$6=$D53,"◆",""),IF(AND(AP$6&gt;=$D53,AP$6&lt;=$E53),MAX(0,MIN(1,$G53*$F53-(AP$6-$D53))),"")))</ns0:f>
      </ns0:c>
      <ns0:c r="AQ53" s="22" t="str">
        <ns0:f>IF($A53="","",IF($I53="Yes",IF(AQ$6=$D53,"◆",""),IF(AND(AQ$6&gt;=$D53,AQ$6&lt;=$E53),MAX(0,MIN(1,$G53*$F53-(AQ$6-$D53))),"")))</ns0:f>
      </ns0:c>
      <ns0:c r="AR53" s="22" t="str">
        <ns0:f>IF($A53="","",IF($I53="Yes",IF(AR$6=$D53,"◆",""),IF(AND(AR$6&gt;=$D53,AR$6&lt;=$E53),MAX(0,MIN(1,$G53*$F53-(AR$6-$D53))),"")))</ns0:f>
      </ns0:c>
    </ns0:row>
    <ns0:row r="54" ht="48" customHeight="1">
      <ns0:c r="A54" s="8" t="str">
        <ns0:f>IF(INDEX(Tasks[Task ID],48)="","",INDEX(Tasks[Task ID],48))</ns0:f>
      </ns0:c>
      <ns0:c r="B54" s="8" t="str">
        <ns0:f>IF(INDEX(Tasks[Task ID],48)="","",INDEX(Tasks[Phase],48))</ns0:f>
      </ns0:c>
      <ns0:c r="C54" s="8" t="str">
        <ns0:f>IF(INDEX(Tasks[Task ID],48)="","",INDEX(Tasks[Task Name],48))</ns0:f>
      </ns0:c>
      <ns0:c r="D54" s="18" t="str">
        <ns0:f>IF(INDEX(Tasks[Task ID],48)="","",INDEX(Tasks[Start Date],48))</ns0:f>
      </ns0:c>
      <ns0:c r="E54" s="18" t="str">
        <ns0:f>IF(INDEX(Tasks[Task ID],48)="","",INDEX(Tasks[End Date],48))</ns0:f>
      </ns0:c>
      <ns0:c r="F54" s="8" t="str">
        <ns0:f>IF(INDEX(Tasks[Task ID],48)="","",INDEX(Tasks[Duration],48))</ns0:f>
      </ns0:c>
      <ns0:c r="G54" s="19" t="str">
        <ns0:f>IF(INDEX(Tasks[Task ID],48)="","",INDEX(Tasks[Progress %],48))</ns0:f>
      </ns0:c>
      <ns0:c r="H54" s="8" t="str">
        <ns0:f>IF(INDEX(Tasks[Task ID],48)="","",INDEX('Project Tracker'!$Q$7:$Q$106,48))</ns0:f>
      </ns0:c>
      <ns0:c r="I54" s="8" t="str">
        <ns0:f>IF(INDEX(Tasks[Task ID],48)="","",INDEX(Tasks[Milestone],48))</ns0:f>
      </ns0:c>
      <ns0:c r="J54" s="8" t="str">
        <ns0:f>IF(INDEX(Tasks[Task ID],48)="","",INDEX(Tasks[Schedule Health],48))</ns0:f>
      </ns0:c>
      <ns0:c r="K54" s="22" t="str">
        <ns0:f>IF($A54="","",IF($I54="Yes",IF(K$6=$D54,"◆",""),IF(AND(K$6&gt;=$D54,K$6&lt;=$E54),MAX(0,MIN(1,$G54*$F54-(K$6-$D54))),"")))</ns0:f>
      </ns0:c>
      <ns0:c r="L54" s="22" t="str">
        <ns0:f>IF($A54="","",IF($I54="Yes",IF(L$6=$D54,"◆",""),IF(AND(L$6&gt;=$D54,L$6&lt;=$E54),MAX(0,MIN(1,$G54*$F54-(L$6-$D54))),"")))</ns0:f>
      </ns0:c>
      <ns0:c r="M54" s="22" t="str">
        <ns0:f>IF($A54="","",IF($I54="Yes",IF(M$6=$D54,"◆",""),IF(AND(M$6&gt;=$D54,M$6&lt;=$E54),MAX(0,MIN(1,$G54*$F54-(M$6-$D54))),"")))</ns0:f>
      </ns0:c>
      <ns0:c r="N54" s="22" t="str">
        <ns0:f>IF($A54="","",IF($I54="Yes",IF(N$6=$D54,"◆",""),IF(AND(N$6&gt;=$D54,N$6&lt;=$E54),MAX(0,MIN(1,$G54*$F54-(N$6-$D54))),"")))</ns0:f>
      </ns0:c>
      <ns0:c r="O54" s="22" t="str">
        <ns0:f>IF($A54="","",IF($I54="Yes",IF(O$6=$D54,"◆",""),IF(AND(O$6&gt;=$D54,O$6&lt;=$E54),MAX(0,MIN(1,$G54*$F54-(O$6-$D54))),"")))</ns0:f>
      </ns0:c>
      <ns0:c r="P54" s="22" t="str">
        <ns0:f>IF($A54="","",IF($I54="Yes",IF(P$6=$D54,"◆",""),IF(AND(P$6&gt;=$D54,P$6&lt;=$E54),MAX(0,MIN(1,$G54*$F54-(P$6-$D54))),"")))</ns0:f>
      </ns0:c>
      <ns0:c r="Q54" s="22" t="str">
        <ns0:f>IF($A54="","",IF($I54="Yes",IF(Q$6=$D54,"◆",""),IF(AND(Q$6&gt;=$D54,Q$6&lt;=$E54),MAX(0,MIN(1,$G54*$F54-(Q$6-$D54))),"")))</ns0:f>
      </ns0:c>
      <ns0:c r="R54" s="22" t="str">
        <ns0:f>IF($A54="","",IF($I54="Yes",IF(R$6=$D54,"◆",""),IF(AND(R$6&gt;=$D54,R$6&lt;=$E54),MAX(0,MIN(1,$G54*$F54-(R$6-$D54))),"")))</ns0:f>
      </ns0:c>
      <ns0:c r="S54" s="22" t="str">
        <ns0:f>IF($A54="","",IF($I54="Yes",IF(S$6=$D54,"◆",""),IF(AND(S$6&gt;=$D54,S$6&lt;=$E54),MAX(0,MIN(1,$G54*$F54-(S$6-$D54))),"")))</ns0:f>
      </ns0:c>
      <ns0:c r="T54" s="22" t="str">
        <ns0:f>IF($A54="","",IF($I54="Yes",IF(T$6=$D54,"◆",""),IF(AND(T$6&gt;=$D54,T$6&lt;=$E54),MAX(0,MIN(1,$G54*$F54-(T$6-$D54))),"")))</ns0:f>
      </ns0:c>
      <ns0:c r="U54" s="22" t="str">
        <ns0:f>IF($A54="","",IF($I54="Yes",IF(U$6=$D54,"◆",""),IF(AND(U$6&gt;=$D54,U$6&lt;=$E54),MAX(0,MIN(1,$G54*$F54-(U$6-$D54))),"")))</ns0:f>
      </ns0:c>
      <ns0:c r="V54" s="22" t="str">
        <ns0:f>IF($A54="","",IF($I54="Yes",IF(V$6=$D54,"◆",""),IF(AND(V$6&gt;=$D54,V$6&lt;=$E54),MAX(0,MIN(1,$G54*$F54-(V$6-$D54))),"")))</ns0:f>
      </ns0:c>
      <ns0:c r="W54" s="22" t="str">
        <ns0:f>IF($A54="","",IF($I54="Yes",IF(W$6=$D54,"◆",""),IF(AND(W$6&gt;=$D54,W$6&lt;=$E54),MAX(0,MIN(1,$G54*$F54-(W$6-$D54))),"")))</ns0:f>
      </ns0:c>
      <ns0:c r="X54" s="22" t="str">
        <ns0:f>IF($A54="","",IF($I54="Yes",IF(X$6=$D54,"◆",""),IF(AND(X$6&gt;=$D54,X$6&lt;=$E54),MAX(0,MIN(1,$G54*$F54-(X$6-$D54))),"")))</ns0:f>
      </ns0:c>
      <ns0:c r="Y54" s="22" t="str">
        <ns0:f>IF($A54="","",IF($I54="Yes",IF(Y$6=$D54,"◆",""),IF(AND(Y$6&gt;=$D54,Y$6&lt;=$E54),MAX(0,MIN(1,$G54*$F54-(Y$6-$D54))),"")))</ns0:f>
      </ns0:c>
      <ns0:c r="Z54" s="22" t="str">
        <ns0:f>IF($A54="","",IF($I54="Yes",IF(Z$6=$D54,"◆",""),IF(AND(Z$6&gt;=$D54,Z$6&lt;=$E54),MAX(0,MIN(1,$G54*$F54-(Z$6-$D54))),"")))</ns0:f>
      </ns0:c>
      <ns0:c r="AA54" s="22" t="str">
        <ns0:f>IF($A54="","",IF($I54="Yes",IF(AA$6=$D54,"◆",""),IF(AND(AA$6&gt;=$D54,AA$6&lt;=$E54),MAX(0,MIN(1,$G54*$F54-(AA$6-$D54))),"")))</ns0:f>
      </ns0:c>
      <ns0:c r="AB54" s="22" t="str">
        <ns0:f>IF($A54="","",IF($I54="Yes",IF(AB$6=$D54,"◆",""),IF(AND(AB$6&gt;=$D54,AB$6&lt;=$E54),MAX(0,MIN(1,$G54*$F54-(AB$6-$D54))),"")))</ns0:f>
      </ns0:c>
      <ns0:c r="AC54" s="22" t="str">
        <ns0:f>IF($A54="","",IF($I54="Yes",IF(AC$6=$D54,"◆",""),IF(AND(AC$6&gt;=$D54,AC$6&lt;=$E54),MAX(0,MIN(1,$G54*$F54-(AC$6-$D54))),"")))</ns0:f>
      </ns0:c>
      <ns0:c r="AD54" s="22" t="str">
        <ns0:f>IF($A54="","",IF($I54="Yes",IF(AD$6=$D54,"◆",""),IF(AND(AD$6&gt;=$D54,AD$6&lt;=$E54),MAX(0,MIN(1,$G54*$F54-(AD$6-$D54))),"")))</ns0:f>
      </ns0:c>
      <ns0:c r="AE54" s="22" t="str">
        <ns0:f>IF($A54="","",IF($I54="Yes",IF(AE$6=$D54,"◆",""),IF(AND(AE$6&gt;=$D54,AE$6&lt;=$E54),MAX(0,MIN(1,$G54*$F54-(AE$6-$D54))),"")))</ns0:f>
      </ns0:c>
      <ns0:c r="AF54" s="22" t="str">
        <ns0:f>IF($A54="","",IF($I54="Yes",IF(AF$6=$D54,"◆",""),IF(AND(AF$6&gt;=$D54,AF$6&lt;=$E54),MAX(0,MIN(1,$G54*$F54-(AF$6-$D54))),"")))</ns0:f>
      </ns0:c>
      <ns0:c r="AG54" s="22" t="str">
        <ns0:f>IF($A54="","",IF($I54="Yes",IF(AG$6=$D54,"◆",""),IF(AND(AG$6&gt;=$D54,AG$6&lt;=$E54),MAX(0,MIN(1,$G54*$F54-(AG$6-$D54))),"")))</ns0:f>
      </ns0:c>
      <ns0:c r="AH54" s="22" t="str">
        <ns0:f>IF($A54="","",IF($I54="Yes",IF(AH$6=$D54,"◆",""),IF(AND(AH$6&gt;=$D54,AH$6&lt;=$E54),MAX(0,MIN(1,$G54*$F54-(AH$6-$D54))),"")))</ns0:f>
      </ns0:c>
      <ns0:c r="AI54" s="22" t="str">
        <ns0:f>IF($A54="","",IF($I54="Yes",IF(AI$6=$D54,"◆",""),IF(AND(AI$6&gt;=$D54,AI$6&lt;=$E54),MAX(0,MIN(1,$G54*$F54-(AI$6-$D54))),"")))</ns0:f>
      </ns0:c>
      <ns0:c r="AJ54" s="22" t="str">
        <ns0:f>IF($A54="","",IF($I54="Yes",IF(AJ$6=$D54,"◆",""),IF(AND(AJ$6&gt;=$D54,AJ$6&lt;=$E54),MAX(0,MIN(1,$G54*$F54-(AJ$6-$D54))),"")))</ns0:f>
      </ns0:c>
      <ns0:c r="AK54" s="22" t="str">
        <ns0:f>IF($A54="","",IF($I54="Yes",IF(AK$6=$D54,"◆",""),IF(AND(AK$6&gt;=$D54,AK$6&lt;=$E54),MAX(0,MIN(1,$G54*$F54-(AK$6-$D54))),"")))</ns0:f>
      </ns0:c>
      <ns0:c r="AL54" s="22" t="str">
        <ns0:f>IF($A54="","",IF($I54="Yes",IF(AL$6=$D54,"◆",""),IF(AND(AL$6&gt;=$D54,AL$6&lt;=$E54),MAX(0,MIN(1,$G54*$F54-(AL$6-$D54))),"")))</ns0:f>
      </ns0:c>
      <ns0:c r="AM54" s="22" t="str">
        <ns0:f>IF($A54="","",IF($I54="Yes",IF(AM$6=$D54,"◆",""),IF(AND(AM$6&gt;=$D54,AM$6&lt;=$E54),MAX(0,MIN(1,$G54*$F54-(AM$6-$D54))),"")))</ns0:f>
      </ns0:c>
      <ns0:c r="AN54" s="22" t="str">
        <ns0:f>IF($A54="","",IF($I54="Yes",IF(AN$6=$D54,"◆",""),IF(AND(AN$6&gt;=$D54,AN$6&lt;=$E54),MAX(0,MIN(1,$G54*$F54-(AN$6-$D54))),"")))</ns0:f>
      </ns0:c>
      <ns0:c r="AO54" s="22" t="str">
        <ns0:f>IF($A54="","",IF($I54="Yes",IF(AO$6=$D54,"◆",""),IF(AND(AO$6&gt;=$D54,AO$6&lt;=$E54),MAX(0,MIN(1,$G54*$F54-(AO$6-$D54))),"")))</ns0:f>
      </ns0:c>
      <ns0:c r="AP54" s="22" t="str">
        <ns0:f>IF($A54="","",IF($I54="Yes",IF(AP$6=$D54,"◆",""),IF(AND(AP$6&gt;=$D54,AP$6&lt;=$E54),MAX(0,MIN(1,$G54*$F54-(AP$6-$D54))),"")))</ns0:f>
      </ns0:c>
      <ns0:c r="AQ54" s="22" t="str">
        <ns0:f>IF($A54="","",IF($I54="Yes",IF(AQ$6=$D54,"◆",""),IF(AND(AQ$6&gt;=$D54,AQ$6&lt;=$E54),MAX(0,MIN(1,$G54*$F54-(AQ$6-$D54))),"")))</ns0:f>
      </ns0:c>
      <ns0:c r="AR54" s="22" t="str">
        <ns0:f>IF($A54="","",IF($I54="Yes",IF(AR$6=$D54,"◆",""),IF(AND(AR$6&gt;=$D54,AR$6&lt;=$E54),MAX(0,MIN(1,$G54*$F54-(AR$6-$D54))),"")))</ns0:f>
      </ns0:c>
    </ns0:row>
    <ns0:row r="55" ht="48" customHeight="1">
      <ns0:c r="A55" s="8" t="str">
        <ns0:f>IF(INDEX(Tasks[Task ID],49)="","",INDEX(Tasks[Task ID],49))</ns0:f>
      </ns0:c>
      <ns0:c r="B55" s="8" t="str">
        <ns0:f>IF(INDEX(Tasks[Task ID],49)="","",INDEX(Tasks[Phase],49))</ns0:f>
      </ns0:c>
      <ns0:c r="C55" s="8" t="str">
        <ns0:f>IF(INDEX(Tasks[Task ID],49)="","",INDEX(Tasks[Task Name],49))</ns0:f>
      </ns0:c>
      <ns0:c r="D55" s="18" t="str">
        <ns0:f>IF(INDEX(Tasks[Task ID],49)="","",INDEX(Tasks[Start Date],49))</ns0:f>
      </ns0:c>
      <ns0:c r="E55" s="18" t="str">
        <ns0:f>IF(INDEX(Tasks[Task ID],49)="","",INDEX(Tasks[End Date],49))</ns0:f>
      </ns0:c>
      <ns0:c r="F55" s="8" t="str">
        <ns0:f>IF(INDEX(Tasks[Task ID],49)="","",INDEX(Tasks[Duration],49))</ns0:f>
      </ns0:c>
      <ns0:c r="G55" s="19" t="str">
        <ns0:f>IF(INDEX(Tasks[Task ID],49)="","",INDEX(Tasks[Progress %],49))</ns0:f>
      </ns0:c>
      <ns0:c r="H55" s="8" t="str">
        <ns0:f>IF(INDEX(Tasks[Task ID],49)="","",INDEX('Project Tracker'!$Q$7:$Q$106,49))</ns0:f>
      </ns0:c>
      <ns0:c r="I55" s="8" t="str">
        <ns0:f>IF(INDEX(Tasks[Task ID],49)="","",INDEX(Tasks[Milestone],49))</ns0:f>
      </ns0:c>
      <ns0:c r="J55" s="8" t="str">
        <ns0:f>IF(INDEX(Tasks[Task ID],49)="","",INDEX(Tasks[Schedule Health],49))</ns0:f>
      </ns0:c>
      <ns0:c r="K55" s="22" t="str">
        <ns0:f>IF($A55="","",IF($I55="Yes",IF(K$6=$D55,"◆",""),IF(AND(K$6&gt;=$D55,K$6&lt;=$E55),MAX(0,MIN(1,$G55*$F55-(K$6-$D55))),"")))</ns0:f>
      </ns0:c>
      <ns0:c r="L55" s="22" t="str">
        <ns0:f>IF($A55="","",IF($I55="Yes",IF(L$6=$D55,"◆",""),IF(AND(L$6&gt;=$D55,L$6&lt;=$E55),MAX(0,MIN(1,$G55*$F55-(L$6-$D55))),"")))</ns0:f>
      </ns0:c>
      <ns0:c r="M55" s="22" t="str">
        <ns0:f>IF($A55="","",IF($I55="Yes",IF(M$6=$D55,"◆",""),IF(AND(M$6&gt;=$D55,M$6&lt;=$E55),MAX(0,MIN(1,$G55*$F55-(M$6-$D55))),"")))</ns0:f>
      </ns0:c>
      <ns0:c r="N55" s="22" t="str">
        <ns0:f>IF($A55="","",IF($I55="Yes",IF(N$6=$D55,"◆",""),IF(AND(N$6&gt;=$D55,N$6&lt;=$E55),MAX(0,MIN(1,$G55*$F55-(N$6-$D55))),"")))</ns0:f>
      </ns0:c>
      <ns0:c r="O55" s="22" t="str">
        <ns0:f>IF($A55="","",IF($I55="Yes",IF(O$6=$D55,"◆",""),IF(AND(O$6&gt;=$D55,O$6&lt;=$E55),MAX(0,MIN(1,$G55*$F55-(O$6-$D55))),"")))</ns0:f>
      </ns0:c>
      <ns0:c r="P55" s="22" t="str">
        <ns0:f>IF($A55="","",IF($I55="Yes",IF(P$6=$D55,"◆",""),IF(AND(P$6&gt;=$D55,P$6&lt;=$E55),MAX(0,MIN(1,$G55*$F55-(P$6-$D55))),"")))</ns0:f>
      </ns0:c>
      <ns0:c r="Q55" s="22" t="str">
        <ns0:f>IF($A55="","",IF($I55="Yes",IF(Q$6=$D55,"◆",""),IF(AND(Q$6&gt;=$D55,Q$6&lt;=$E55),MAX(0,MIN(1,$G55*$F55-(Q$6-$D55))),"")))</ns0:f>
      </ns0:c>
      <ns0:c r="R55" s="22" t="str">
        <ns0:f>IF($A55="","",IF($I55="Yes",IF(R$6=$D55,"◆",""),IF(AND(R$6&gt;=$D55,R$6&lt;=$E55),MAX(0,MIN(1,$G55*$F55-(R$6-$D55))),"")))</ns0:f>
      </ns0:c>
      <ns0:c r="S55" s="22" t="str">
        <ns0:f>IF($A55="","",IF($I55="Yes",IF(S$6=$D55,"◆",""),IF(AND(S$6&gt;=$D55,S$6&lt;=$E55),MAX(0,MIN(1,$G55*$F55-(S$6-$D55))),"")))</ns0:f>
      </ns0:c>
      <ns0:c r="T55" s="22" t="str">
        <ns0:f>IF($A55="","",IF($I55="Yes",IF(T$6=$D55,"◆",""),IF(AND(T$6&gt;=$D55,T$6&lt;=$E55),MAX(0,MIN(1,$G55*$F55-(T$6-$D55))),"")))</ns0:f>
      </ns0:c>
      <ns0:c r="U55" s="22" t="str">
        <ns0:f>IF($A55="","",IF($I55="Yes",IF(U$6=$D55,"◆",""),IF(AND(U$6&gt;=$D55,U$6&lt;=$E55),MAX(0,MIN(1,$G55*$F55-(U$6-$D55))),"")))</ns0:f>
      </ns0:c>
      <ns0:c r="V55" s="22" t="str">
        <ns0:f>IF($A55="","",IF($I55="Yes",IF(V$6=$D55,"◆",""),IF(AND(V$6&gt;=$D55,V$6&lt;=$E55),MAX(0,MIN(1,$G55*$F55-(V$6-$D55))),"")))</ns0:f>
      </ns0:c>
      <ns0:c r="W55" s="22" t="str">
        <ns0:f>IF($A55="","",IF($I55="Yes",IF(W$6=$D55,"◆",""),IF(AND(W$6&gt;=$D55,W$6&lt;=$E55),MAX(0,MIN(1,$G55*$F55-(W$6-$D55))),"")))</ns0:f>
      </ns0:c>
      <ns0:c r="X55" s="22" t="str">
        <ns0:f>IF($A55="","",IF($I55="Yes",IF(X$6=$D55,"◆",""),IF(AND(X$6&gt;=$D55,X$6&lt;=$E55),MAX(0,MIN(1,$G55*$F55-(X$6-$D55))),"")))</ns0:f>
      </ns0:c>
      <ns0:c r="Y55" s="22" t="str">
        <ns0:f>IF($A55="","",IF($I55="Yes",IF(Y$6=$D55,"◆",""),IF(AND(Y$6&gt;=$D55,Y$6&lt;=$E55),MAX(0,MIN(1,$G55*$F55-(Y$6-$D55))),"")))</ns0:f>
      </ns0:c>
      <ns0:c r="Z55" s="22" t="str">
        <ns0:f>IF($A55="","",IF($I55="Yes",IF(Z$6=$D55,"◆",""),IF(AND(Z$6&gt;=$D55,Z$6&lt;=$E55),MAX(0,MIN(1,$G55*$F55-(Z$6-$D55))),"")))</ns0:f>
      </ns0:c>
      <ns0:c r="AA55" s="22" t="str">
        <ns0:f>IF($A55="","",IF($I55="Yes",IF(AA$6=$D55,"◆",""),IF(AND(AA$6&gt;=$D55,AA$6&lt;=$E55),MAX(0,MIN(1,$G55*$F55-(AA$6-$D55))),"")))</ns0:f>
      </ns0:c>
      <ns0:c r="AB55" s="22" t="str">
        <ns0:f>IF($A55="","",IF($I55="Yes",IF(AB$6=$D55,"◆",""),IF(AND(AB$6&gt;=$D55,AB$6&lt;=$E55),MAX(0,MIN(1,$G55*$F55-(AB$6-$D55))),"")))</ns0:f>
      </ns0:c>
      <ns0:c r="AC55" s="22" t="str">
        <ns0:f>IF($A55="","",IF($I55="Yes",IF(AC$6=$D55,"◆",""),IF(AND(AC$6&gt;=$D55,AC$6&lt;=$E55),MAX(0,MIN(1,$G55*$F55-(AC$6-$D55))),"")))</ns0:f>
      </ns0:c>
      <ns0:c r="AD55" s="22" t="str">
        <ns0:f>IF($A55="","",IF($I55="Yes",IF(AD$6=$D55,"◆",""),IF(AND(AD$6&gt;=$D55,AD$6&lt;=$E55),MAX(0,MIN(1,$G55*$F55-(AD$6-$D55))),"")))</ns0:f>
      </ns0:c>
      <ns0:c r="AE55" s="22" t="str">
        <ns0:f>IF($A55="","",IF($I55="Yes",IF(AE$6=$D55,"◆",""),IF(AND(AE$6&gt;=$D55,AE$6&lt;=$E55),MAX(0,MIN(1,$G55*$F55-(AE$6-$D55))),"")))</ns0:f>
      </ns0:c>
      <ns0:c r="AF55" s="22" t="str">
        <ns0:f>IF($A55="","",IF($I55="Yes",IF(AF$6=$D55,"◆",""),IF(AND(AF$6&gt;=$D55,AF$6&lt;=$E55),MAX(0,MIN(1,$G55*$F55-(AF$6-$D55))),"")))</ns0:f>
      </ns0:c>
      <ns0:c r="AG55" s="22" t="str">
        <ns0:f>IF($A55="","",IF($I55="Yes",IF(AG$6=$D55,"◆",""),IF(AND(AG$6&gt;=$D55,AG$6&lt;=$E55),MAX(0,MIN(1,$G55*$F55-(AG$6-$D55))),"")))</ns0:f>
      </ns0:c>
      <ns0:c r="AH55" s="22" t="str">
        <ns0:f>IF($A55="","",IF($I55="Yes",IF(AH$6=$D55,"◆",""),IF(AND(AH$6&gt;=$D55,AH$6&lt;=$E55),MAX(0,MIN(1,$G55*$F55-(AH$6-$D55))),"")))</ns0:f>
      </ns0:c>
      <ns0:c r="AI55" s="22" t="str">
        <ns0:f>IF($A55="","",IF($I55="Yes",IF(AI$6=$D55,"◆",""),IF(AND(AI$6&gt;=$D55,AI$6&lt;=$E55),MAX(0,MIN(1,$G55*$F55-(AI$6-$D55))),"")))</ns0:f>
      </ns0:c>
      <ns0:c r="AJ55" s="22" t="str">
        <ns0:f>IF($A55="","",IF($I55="Yes",IF(AJ$6=$D55,"◆",""),IF(AND(AJ$6&gt;=$D55,AJ$6&lt;=$E55),MAX(0,MIN(1,$G55*$F55-(AJ$6-$D55))),"")))</ns0:f>
      </ns0:c>
      <ns0:c r="AK55" s="22" t="str">
        <ns0:f>IF($A55="","",IF($I55="Yes",IF(AK$6=$D55,"◆",""),IF(AND(AK$6&gt;=$D55,AK$6&lt;=$E55),MAX(0,MIN(1,$G55*$F55-(AK$6-$D55))),"")))</ns0:f>
      </ns0:c>
      <ns0:c r="AL55" s="22" t="str">
        <ns0:f>IF($A55="","",IF($I55="Yes",IF(AL$6=$D55,"◆",""),IF(AND(AL$6&gt;=$D55,AL$6&lt;=$E55),MAX(0,MIN(1,$G55*$F55-(AL$6-$D55))),"")))</ns0:f>
      </ns0:c>
      <ns0:c r="AM55" s="22" t="str">
        <ns0:f>IF($A55="","",IF($I55="Yes",IF(AM$6=$D55,"◆",""),IF(AND(AM$6&gt;=$D55,AM$6&lt;=$E55),MAX(0,MIN(1,$G55*$F55-(AM$6-$D55))),"")))</ns0:f>
      </ns0:c>
      <ns0:c r="AN55" s="22" t="str">
        <ns0:f>IF($A55="","",IF($I55="Yes",IF(AN$6=$D55,"◆",""),IF(AND(AN$6&gt;=$D55,AN$6&lt;=$E55),MAX(0,MIN(1,$G55*$F55-(AN$6-$D55))),"")))</ns0:f>
      </ns0:c>
      <ns0:c r="AO55" s="22" t="str">
        <ns0:f>IF($A55="","",IF($I55="Yes",IF(AO$6=$D55,"◆",""),IF(AND(AO$6&gt;=$D55,AO$6&lt;=$E55),MAX(0,MIN(1,$G55*$F55-(AO$6-$D55))),"")))</ns0:f>
      </ns0:c>
      <ns0:c r="AP55" s="22" t="str">
        <ns0:f>IF($A55="","",IF($I55="Yes",IF(AP$6=$D55,"◆",""),IF(AND(AP$6&gt;=$D55,AP$6&lt;=$E55),MAX(0,MIN(1,$G55*$F55-(AP$6-$D55))),"")))</ns0:f>
      </ns0:c>
      <ns0:c r="AQ55" s="22" t="str">
        <ns0:f>IF($A55="","",IF($I55="Yes",IF(AQ$6=$D55,"◆",""),IF(AND(AQ$6&gt;=$D55,AQ$6&lt;=$E55),MAX(0,MIN(1,$G55*$F55-(AQ$6-$D55))),"")))</ns0:f>
      </ns0:c>
      <ns0:c r="AR55" s="22" t="str">
        <ns0:f>IF($A55="","",IF($I55="Yes",IF(AR$6=$D55,"◆",""),IF(AND(AR$6&gt;=$D55,AR$6&lt;=$E55),MAX(0,MIN(1,$G55*$F55-(AR$6-$D55))),"")))</ns0:f>
      </ns0:c>
    </ns0:row>
    <ns0:row r="56" ht="48" customHeight="1">
      <ns0:c r="A56" s="8" t="str">
        <ns0:f>IF(INDEX(Tasks[Task ID],50)="","",INDEX(Tasks[Task ID],50))</ns0:f>
      </ns0:c>
      <ns0:c r="B56" s="8" t="str">
        <ns0:f>IF(INDEX(Tasks[Task ID],50)="","",INDEX(Tasks[Phase],50))</ns0:f>
      </ns0:c>
      <ns0:c r="C56" s="8" t="str">
        <ns0:f>IF(INDEX(Tasks[Task ID],50)="","",INDEX(Tasks[Task Name],50))</ns0:f>
      </ns0:c>
      <ns0:c r="D56" s="18" t="str">
        <ns0:f>IF(INDEX(Tasks[Task ID],50)="","",INDEX(Tasks[Start Date],50))</ns0:f>
      </ns0:c>
      <ns0:c r="E56" s="18" t="str">
        <ns0:f>IF(INDEX(Tasks[Task ID],50)="","",INDEX(Tasks[End Date],50))</ns0:f>
      </ns0:c>
      <ns0:c r="F56" s="8" t="str">
        <ns0:f>IF(INDEX(Tasks[Task ID],50)="","",INDEX(Tasks[Duration],50))</ns0:f>
      </ns0:c>
      <ns0:c r="G56" s="19" t="str">
        <ns0:f>IF(INDEX(Tasks[Task ID],50)="","",INDEX(Tasks[Progress %],50))</ns0:f>
      </ns0:c>
      <ns0:c r="H56" s="8" t="str">
        <ns0:f>IF(INDEX(Tasks[Task ID],50)="","",INDEX('Project Tracker'!$Q$7:$Q$106,50))</ns0:f>
      </ns0:c>
      <ns0:c r="I56" s="8" t="str">
        <ns0:f>IF(INDEX(Tasks[Task ID],50)="","",INDEX(Tasks[Milestone],50))</ns0:f>
      </ns0:c>
      <ns0:c r="J56" s="8" t="str">
        <ns0:f>IF(INDEX(Tasks[Task ID],50)="","",INDEX(Tasks[Schedule Health],50))</ns0:f>
      </ns0:c>
      <ns0:c r="K56" s="22" t="str">
        <ns0:f>IF($A56="","",IF($I56="Yes",IF(K$6=$D56,"◆",""),IF(AND(K$6&gt;=$D56,K$6&lt;=$E56),MAX(0,MIN(1,$G56*$F56-(K$6-$D56))),"")))</ns0:f>
      </ns0:c>
      <ns0:c r="L56" s="22" t="str">
        <ns0:f>IF($A56="","",IF($I56="Yes",IF(L$6=$D56,"◆",""),IF(AND(L$6&gt;=$D56,L$6&lt;=$E56),MAX(0,MIN(1,$G56*$F56-(L$6-$D56))),"")))</ns0:f>
      </ns0:c>
      <ns0:c r="M56" s="22" t="str">
        <ns0:f>IF($A56="","",IF($I56="Yes",IF(M$6=$D56,"◆",""),IF(AND(M$6&gt;=$D56,M$6&lt;=$E56),MAX(0,MIN(1,$G56*$F56-(M$6-$D56))),"")))</ns0:f>
      </ns0:c>
      <ns0:c r="N56" s="22" t="str">
        <ns0:f>IF($A56="","",IF($I56="Yes",IF(N$6=$D56,"◆",""),IF(AND(N$6&gt;=$D56,N$6&lt;=$E56),MAX(0,MIN(1,$G56*$F56-(N$6-$D56))),"")))</ns0:f>
      </ns0:c>
      <ns0:c r="O56" s="22" t="str">
        <ns0:f>IF($A56="","",IF($I56="Yes",IF(O$6=$D56,"◆",""),IF(AND(O$6&gt;=$D56,O$6&lt;=$E56),MAX(0,MIN(1,$G56*$F56-(O$6-$D56))),"")))</ns0:f>
      </ns0:c>
      <ns0:c r="P56" s="22" t="str">
        <ns0:f>IF($A56="","",IF($I56="Yes",IF(P$6=$D56,"◆",""),IF(AND(P$6&gt;=$D56,P$6&lt;=$E56),MAX(0,MIN(1,$G56*$F56-(P$6-$D56))),"")))</ns0:f>
      </ns0:c>
      <ns0:c r="Q56" s="22" t="str">
        <ns0:f>IF($A56="","",IF($I56="Yes",IF(Q$6=$D56,"◆",""),IF(AND(Q$6&gt;=$D56,Q$6&lt;=$E56),MAX(0,MIN(1,$G56*$F56-(Q$6-$D56))),"")))</ns0:f>
      </ns0:c>
      <ns0:c r="R56" s="22" t="str">
        <ns0:f>IF($A56="","",IF($I56="Yes",IF(R$6=$D56,"◆",""),IF(AND(R$6&gt;=$D56,R$6&lt;=$E56),MAX(0,MIN(1,$G56*$F56-(R$6-$D56))),"")))</ns0:f>
      </ns0:c>
      <ns0:c r="S56" s="22" t="str">
        <ns0:f>IF($A56="","",IF($I56="Yes",IF(S$6=$D56,"◆",""),IF(AND(S$6&gt;=$D56,S$6&lt;=$E56),MAX(0,MIN(1,$G56*$F56-(S$6-$D56))),"")))</ns0:f>
      </ns0:c>
      <ns0:c r="T56" s="22" t="str">
        <ns0:f>IF($A56="","",IF($I56="Yes",IF(T$6=$D56,"◆",""),IF(AND(T$6&gt;=$D56,T$6&lt;=$E56),MAX(0,MIN(1,$G56*$F56-(T$6-$D56))),"")))</ns0:f>
      </ns0:c>
      <ns0:c r="U56" s="22" t="str">
        <ns0:f>IF($A56="","",IF($I56="Yes",IF(U$6=$D56,"◆",""),IF(AND(U$6&gt;=$D56,U$6&lt;=$E56),MAX(0,MIN(1,$G56*$F56-(U$6-$D56))),"")))</ns0:f>
      </ns0:c>
      <ns0:c r="V56" s="22" t="str">
        <ns0:f>IF($A56="","",IF($I56="Yes",IF(V$6=$D56,"◆",""),IF(AND(V$6&gt;=$D56,V$6&lt;=$E56),MAX(0,MIN(1,$G56*$F56-(V$6-$D56))),"")))</ns0:f>
      </ns0:c>
      <ns0:c r="W56" s="22" t="str">
        <ns0:f>IF($A56="","",IF($I56="Yes",IF(W$6=$D56,"◆",""),IF(AND(W$6&gt;=$D56,W$6&lt;=$E56),MAX(0,MIN(1,$G56*$F56-(W$6-$D56))),"")))</ns0:f>
      </ns0:c>
      <ns0:c r="X56" s="22" t="str">
        <ns0:f>IF($A56="","",IF($I56="Yes",IF(X$6=$D56,"◆",""),IF(AND(X$6&gt;=$D56,X$6&lt;=$E56),MAX(0,MIN(1,$G56*$F56-(X$6-$D56))),"")))</ns0:f>
      </ns0:c>
      <ns0:c r="Y56" s="22" t="str">
        <ns0:f>IF($A56="","",IF($I56="Yes",IF(Y$6=$D56,"◆",""),IF(AND(Y$6&gt;=$D56,Y$6&lt;=$E56),MAX(0,MIN(1,$G56*$F56-(Y$6-$D56))),"")))</ns0:f>
      </ns0:c>
      <ns0:c r="Z56" s="22" t="str">
        <ns0:f>IF($A56="","",IF($I56="Yes",IF(Z$6=$D56,"◆",""),IF(AND(Z$6&gt;=$D56,Z$6&lt;=$E56),MAX(0,MIN(1,$G56*$F56-(Z$6-$D56))),"")))</ns0:f>
      </ns0:c>
      <ns0:c r="AA56" s="22" t="str">
        <ns0:f>IF($A56="","",IF($I56="Yes",IF(AA$6=$D56,"◆",""),IF(AND(AA$6&gt;=$D56,AA$6&lt;=$E56),MAX(0,MIN(1,$G56*$F56-(AA$6-$D56))),"")))</ns0:f>
      </ns0:c>
      <ns0:c r="AB56" s="22" t="str">
        <ns0:f>IF($A56="","",IF($I56="Yes",IF(AB$6=$D56,"◆",""),IF(AND(AB$6&gt;=$D56,AB$6&lt;=$E56),MAX(0,MIN(1,$G56*$F56-(AB$6-$D56))),"")))</ns0:f>
      </ns0:c>
      <ns0:c r="AC56" s="22" t="str">
        <ns0:f>IF($A56="","",IF($I56="Yes",IF(AC$6=$D56,"◆",""),IF(AND(AC$6&gt;=$D56,AC$6&lt;=$E56),MAX(0,MIN(1,$G56*$F56-(AC$6-$D56))),"")))</ns0:f>
      </ns0:c>
      <ns0:c r="AD56" s="22" t="str">
        <ns0:f>IF($A56="","",IF($I56="Yes",IF(AD$6=$D56,"◆",""),IF(AND(AD$6&gt;=$D56,AD$6&lt;=$E56),MAX(0,MIN(1,$G56*$F56-(AD$6-$D56))),"")))</ns0:f>
      </ns0:c>
      <ns0:c r="AE56" s="22" t="str">
        <ns0:f>IF($A56="","",IF($I56="Yes",IF(AE$6=$D56,"◆",""),IF(AND(AE$6&gt;=$D56,AE$6&lt;=$E56),MAX(0,MIN(1,$G56*$F56-(AE$6-$D56))),"")))</ns0:f>
      </ns0:c>
      <ns0:c r="AF56" s="22" t="str">
        <ns0:f>IF($A56="","",IF($I56="Yes",IF(AF$6=$D56,"◆",""),IF(AND(AF$6&gt;=$D56,AF$6&lt;=$E56),MAX(0,MIN(1,$G56*$F56-(AF$6-$D56))),"")))</ns0:f>
      </ns0:c>
      <ns0:c r="AG56" s="22" t="str">
        <ns0:f>IF($A56="","",IF($I56="Yes",IF(AG$6=$D56,"◆",""),IF(AND(AG$6&gt;=$D56,AG$6&lt;=$E56),MAX(0,MIN(1,$G56*$F56-(AG$6-$D56))),"")))</ns0:f>
      </ns0:c>
      <ns0:c r="AH56" s="22" t="str">
        <ns0:f>IF($A56="","",IF($I56="Yes",IF(AH$6=$D56,"◆",""),IF(AND(AH$6&gt;=$D56,AH$6&lt;=$E56),MAX(0,MIN(1,$G56*$F56-(AH$6-$D56))),"")))</ns0:f>
      </ns0:c>
      <ns0:c r="AI56" s="22" t="str">
        <ns0:f>IF($A56="","",IF($I56="Yes",IF(AI$6=$D56,"◆",""),IF(AND(AI$6&gt;=$D56,AI$6&lt;=$E56),MAX(0,MIN(1,$G56*$F56-(AI$6-$D56))),"")))</ns0:f>
      </ns0:c>
      <ns0:c r="AJ56" s="22" t="str">
        <ns0:f>IF($A56="","",IF($I56="Yes",IF(AJ$6=$D56,"◆",""),IF(AND(AJ$6&gt;=$D56,AJ$6&lt;=$E56),MAX(0,MIN(1,$G56*$F56-(AJ$6-$D56))),"")))</ns0:f>
      </ns0:c>
      <ns0:c r="AK56" s="22" t="str">
        <ns0:f>IF($A56="","",IF($I56="Yes",IF(AK$6=$D56,"◆",""),IF(AND(AK$6&gt;=$D56,AK$6&lt;=$E56),MAX(0,MIN(1,$G56*$F56-(AK$6-$D56))),"")))</ns0:f>
      </ns0:c>
      <ns0:c r="AL56" s="22" t="str">
        <ns0:f>IF($A56="","",IF($I56="Yes",IF(AL$6=$D56,"◆",""),IF(AND(AL$6&gt;=$D56,AL$6&lt;=$E56),MAX(0,MIN(1,$G56*$F56-(AL$6-$D56))),"")))</ns0:f>
      </ns0:c>
      <ns0:c r="AM56" s="22" t="str">
        <ns0:f>IF($A56="","",IF($I56="Yes",IF(AM$6=$D56,"◆",""),IF(AND(AM$6&gt;=$D56,AM$6&lt;=$E56),MAX(0,MIN(1,$G56*$F56-(AM$6-$D56))),"")))</ns0:f>
      </ns0:c>
      <ns0:c r="AN56" s="22" t="str">
        <ns0:f>IF($A56="","",IF($I56="Yes",IF(AN$6=$D56,"◆",""),IF(AND(AN$6&gt;=$D56,AN$6&lt;=$E56),MAX(0,MIN(1,$G56*$F56-(AN$6-$D56))),"")))</ns0:f>
      </ns0:c>
      <ns0:c r="AO56" s="22" t="str">
        <ns0:f>IF($A56="","",IF($I56="Yes",IF(AO$6=$D56,"◆",""),IF(AND(AO$6&gt;=$D56,AO$6&lt;=$E56),MAX(0,MIN(1,$G56*$F56-(AO$6-$D56))),"")))</ns0:f>
      </ns0:c>
      <ns0:c r="AP56" s="22" t="str">
        <ns0:f>IF($A56="","",IF($I56="Yes",IF(AP$6=$D56,"◆",""),IF(AND(AP$6&gt;=$D56,AP$6&lt;=$E56),MAX(0,MIN(1,$G56*$F56-(AP$6-$D56))),"")))</ns0:f>
      </ns0:c>
      <ns0:c r="AQ56" s="22" t="str">
        <ns0:f>IF($A56="","",IF($I56="Yes",IF(AQ$6=$D56,"◆",""),IF(AND(AQ$6&gt;=$D56,AQ$6&lt;=$E56),MAX(0,MIN(1,$G56*$F56-(AQ$6-$D56))),"")))</ns0:f>
      </ns0:c>
      <ns0:c r="AR56" s="22" t="str">
        <ns0:f>IF($A56="","",IF($I56="Yes",IF(AR$6=$D56,"◆",""),IF(AND(AR$6&gt;=$D56,AR$6&lt;=$E56),MAX(0,MIN(1,$G56*$F56-(AR$6-$D56))),"")))</ns0:f>
      </ns0:c>
    </ns0:row>
    <ns0:row r="57" ht="48" customHeight="1">
      <ns0:c r="A57" s="8" t="str">
        <ns0:f>IF(INDEX(Tasks[Task ID],51)="","",INDEX(Tasks[Task ID],51))</ns0:f>
      </ns0:c>
      <ns0:c r="B57" s="8" t="str">
        <ns0:f>IF(INDEX(Tasks[Task ID],51)="","",INDEX(Tasks[Phase],51))</ns0:f>
      </ns0:c>
      <ns0:c r="C57" s="8" t="str">
        <ns0:f>IF(INDEX(Tasks[Task ID],51)="","",INDEX(Tasks[Task Name],51))</ns0:f>
      </ns0:c>
      <ns0:c r="D57" s="18" t="str">
        <ns0:f>IF(INDEX(Tasks[Task ID],51)="","",INDEX(Tasks[Start Date],51))</ns0:f>
      </ns0:c>
      <ns0:c r="E57" s="18" t="str">
        <ns0:f>IF(INDEX(Tasks[Task ID],51)="","",INDEX(Tasks[End Date],51))</ns0:f>
      </ns0:c>
      <ns0:c r="F57" s="8" t="str">
        <ns0:f>IF(INDEX(Tasks[Task ID],51)="","",INDEX(Tasks[Duration],51))</ns0:f>
      </ns0:c>
      <ns0:c r="G57" s="19" t="str">
        <ns0:f>IF(INDEX(Tasks[Task ID],51)="","",INDEX(Tasks[Progress %],51))</ns0:f>
      </ns0:c>
      <ns0:c r="H57" s="8" t="str">
        <ns0:f>IF(INDEX(Tasks[Task ID],51)="","",INDEX('Project Tracker'!$Q$7:$Q$106,51))</ns0:f>
      </ns0:c>
      <ns0:c r="I57" s="8" t="str">
        <ns0:f>IF(INDEX(Tasks[Task ID],51)="","",INDEX(Tasks[Milestone],51))</ns0:f>
      </ns0:c>
      <ns0:c r="J57" s="8" t="str">
        <ns0:f>IF(INDEX(Tasks[Task ID],51)="","",INDEX(Tasks[Schedule Health],51))</ns0:f>
      </ns0:c>
      <ns0:c r="K57" s="22" t="str">
        <ns0:f>IF($A57="","",IF($I57="Yes",IF(K$6=$D57,"◆",""),IF(AND(K$6&gt;=$D57,K$6&lt;=$E57),MAX(0,MIN(1,$G57*$F57-(K$6-$D57))),"")))</ns0:f>
      </ns0:c>
      <ns0:c r="L57" s="22" t="str">
        <ns0:f>IF($A57="","",IF($I57="Yes",IF(L$6=$D57,"◆",""),IF(AND(L$6&gt;=$D57,L$6&lt;=$E57),MAX(0,MIN(1,$G57*$F57-(L$6-$D57))),"")))</ns0:f>
      </ns0:c>
      <ns0:c r="M57" s="22" t="str">
        <ns0:f>IF($A57="","",IF($I57="Yes",IF(M$6=$D57,"◆",""),IF(AND(M$6&gt;=$D57,M$6&lt;=$E57),MAX(0,MIN(1,$G57*$F57-(M$6-$D57))),"")))</ns0:f>
      </ns0:c>
      <ns0:c r="N57" s="22" t="str">
        <ns0:f>IF($A57="","",IF($I57="Yes",IF(N$6=$D57,"◆",""),IF(AND(N$6&gt;=$D57,N$6&lt;=$E57),MAX(0,MIN(1,$G57*$F57-(N$6-$D57))),"")))</ns0:f>
      </ns0:c>
      <ns0:c r="O57" s="22" t="str">
        <ns0:f>IF($A57="","",IF($I57="Yes",IF(O$6=$D57,"◆",""),IF(AND(O$6&gt;=$D57,O$6&lt;=$E57),MAX(0,MIN(1,$G57*$F57-(O$6-$D57))),"")))</ns0:f>
      </ns0:c>
      <ns0:c r="P57" s="22" t="str">
        <ns0:f>IF($A57="","",IF($I57="Yes",IF(P$6=$D57,"◆",""),IF(AND(P$6&gt;=$D57,P$6&lt;=$E57),MAX(0,MIN(1,$G57*$F57-(P$6-$D57))),"")))</ns0:f>
      </ns0:c>
      <ns0:c r="Q57" s="22" t="str">
        <ns0:f>IF($A57="","",IF($I57="Yes",IF(Q$6=$D57,"◆",""),IF(AND(Q$6&gt;=$D57,Q$6&lt;=$E57),MAX(0,MIN(1,$G57*$F57-(Q$6-$D57))),"")))</ns0:f>
      </ns0:c>
      <ns0:c r="R57" s="22" t="str">
        <ns0:f>IF($A57="","",IF($I57="Yes",IF(R$6=$D57,"◆",""),IF(AND(R$6&gt;=$D57,R$6&lt;=$E57),MAX(0,MIN(1,$G57*$F57-(R$6-$D57))),"")))</ns0:f>
      </ns0:c>
      <ns0:c r="S57" s="22" t="str">
        <ns0:f>IF($A57="","",IF($I57="Yes",IF(S$6=$D57,"◆",""),IF(AND(S$6&gt;=$D57,S$6&lt;=$E57),MAX(0,MIN(1,$G57*$F57-(S$6-$D57))),"")))</ns0:f>
      </ns0:c>
      <ns0:c r="T57" s="22" t="str">
        <ns0:f>IF($A57="","",IF($I57="Yes",IF(T$6=$D57,"◆",""),IF(AND(T$6&gt;=$D57,T$6&lt;=$E57),MAX(0,MIN(1,$G57*$F57-(T$6-$D57))),"")))</ns0:f>
      </ns0:c>
      <ns0:c r="U57" s="22" t="str">
        <ns0:f>IF($A57="","",IF($I57="Yes",IF(U$6=$D57,"◆",""),IF(AND(U$6&gt;=$D57,U$6&lt;=$E57),MAX(0,MIN(1,$G57*$F57-(U$6-$D57))),"")))</ns0:f>
      </ns0:c>
      <ns0:c r="V57" s="22" t="str">
        <ns0:f>IF($A57="","",IF($I57="Yes",IF(V$6=$D57,"◆",""),IF(AND(V$6&gt;=$D57,V$6&lt;=$E57),MAX(0,MIN(1,$G57*$F57-(V$6-$D57))),"")))</ns0:f>
      </ns0:c>
      <ns0:c r="W57" s="22" t="str">
        <ns0:f>IF($A57="","",IF($I57="Yes",IF(W$6=$D57,"◆",""),IF(AND(W$6&gt;=$D57,W$6&lt;=$E57),MAX(0,MIN(1,$G57*$F57-(W$6-$D57))),"")))</ns0:f>
      </ns0:c>
      <ns0:c r="X57" s="22" t="str">
        <ns0:f>IF($A57="","",IF($I57="Yes",IF(X$6=$D57,"◆",""),IF(AND(X$6&gt;=$D57,X$6&lt;=$E57),MAX(0,MIN(1,$G57*$F57-(X$6-$D57))),"")))</ns0:f>
      </ns0:c>
      <ns0:c r="Y57" s="22" t="str">
        <ns0:f>IF($A57="","",IF($I57="Yes",IF(Y$6=$D57,"◆",""),IF(AND(Y$6&gt;=$D57,Y$6&lt;=$E57),MAX(0,MIN(1,$G57*$F57-(Y$6-$D57))),"")))</ns0:f>
      </ns0:c>
      <ns0:c r="Z57" s="22" t="str">
        <ns0:f>IF($A57="","",IF($I57="Yes",IF(Z$6=$D57,"◆",""),IF(AND(Z$6&gt;=$D57,Z$6&lt;=$E57),MAX(0,MIN(1,$G57*$F57-(Z$6-$D57))),"")))</ns0:f>
      </ns0:c>
      <ns0:c r="AA57" s="22" t="str">
        <ns0:f>IF($A57="","",IF($I57="Yes",IF(AA$6=$D57,"◆",""),IF(AND(AA$6&gt;=$D57,AA$6&lt;=$E57),MAX(0,MIN(1,$G57*$F57-(AA$6-$D57))),"")))</ns0:f>
      </ns0:c>
      <ns0:c r="AB57" s="22" t="str">
        <ns0:f>IF($A57="","",IF($I57="Yes",IF(AB$6=$D57,"◆",""),IF(AND(AB$6&gt;=$D57,AB$6&lt;=$E57),MAX(0,MIN(1,$G57*$F57-(AB$6-$D57))),"")))</ns0:f>
      </ns0:c>
      <ns0:c r="AC57" s="22" t="str">
        <ns0:f>IF($A57="","",IF($I57="Yes",IF(AC$6=$D57,"◆",""),IF(AND(AC$6&gt;=$D57,AC$6&lt;=$E57),MAX(0,MIN(1,$G57*$F57-(AC$6-$D57))),"")))</ns0:f>
      </ns0:c>
      <ns0:c r="AD57" s="22" t="str">
        <ns0:f>IF($A57="","",IF($I57="Yes",IF(AD$6=$D57,"◆",""),IF(AND(AD$6&gt;=$D57,AD$6&lt;=$E57),MAX(0,MIN(1,$G57*$F57-(AD$6-$D57))),"")))</ns0:f>
      </ns0:c>
      <ns0:c r="AE57" s="22" t="str">
        <ns0:f>IF($A57="","",IF($I57="Yes",IF(AE$6=$D57,"◆",""),IF(AND(AE$6&gt;=$D57,AE$6&lt;=$E57),MAX(0,MIN(1,$G57*$F57-(AE$6-$D57))),"")))</ns0:f>
      </ns0:c>
      <ns0:c r="AF57" s="22" t="str">
        <ns0:f>IF($A57="","",IF($I57="Yes",IF(AF$6=$D57,"◆",""),IF(AND(AF$6&gt;=$D57,AF$6&lt;=$E57),MAX(0,MIN(1,$G57*$F57-(AF$6-$D57))),"")))</ns0:f>
      </ns0:c>
      <ns0:c r="AG57" s="22" t="str">
        <ns0:f>IF($A57="","",IF($I57="Yes",IF(AG$6=$D57,"◆",""),IF(AND(AG$6&gt;=$D57,AG$6&lt;=$E57),MAX(0,MIN(1,$G57*$F57-(AG$6-$D57))),"")))</ns0:f>
      </ns0:c>
      <ns0:c r="AH57" s="22" t="str">
        <ns0:f>IF($A57="","",IF($I57="Yes",IF(AH$6=$D57,"◆",""),IF(AND(AH$6&gt;=$D57,AH$6&lt;=$E57),MAX(0,MIN(1,$G57*$F57-(AH$6-$D57))),"")))</ns0:f>
      </ns0:c>
      <ns0:c r="AI57" s="22" t="str">
        <ns0:f>IF($A57="","",IF($I57="Yes",IF(AI$6=$D57,"◆",""),IF(AND(AI$6&gt;=$D57,AI$6&lt;=$E57),MAX(0,MIN(1,$G57*$F57-(AI$6-$D57))),"")))</ns0:f>
      </ns0:c>
      <ns0:c r="AJ57" s="22" t="str">
        <ns0:f>IF($A57="","",IF($I57="Yes",IF(AJ$6=$D57,"◆",""),IF(AND(AJ$6&gt;=$D57,AJ$6&lt;=$E57),MAX(0,MIN(1,$G57*$F57-(AJ$6-$D57))),"")))</ns0:f>
      </ns0:c>
      <ns0:c r="AK57" s="22" t="str">
        <ns0:f>IF($A57="","",IF($I57="Yes",IF(AK$6=$D57,"◆",""),IF(AND(AK$6&gt;=$D57,AK$6&lt;=$E57),MAX(0,MIN(1,$G57*$F57-(AK$6-$D57))),"")))</ns0:f>
      </ns0:c>
      <ns0:c r="AL57" s="22" t="str">
        <ns0:f>IF($A57="","",IF($I57="Yes",IF(AL$6=$D57,"◆",""),IF(AND(AL$6&gt;=$D57,AL$6&lt;=$E57),MAX(0,MIN(1,$G57*$F57-(AL$6-$D57))),"")))</ns0:f>
      </ns0:c>
      <ns0:c r="AM57" s="22" t="str">
        <ns0:f>IF($A57="","",IF($I57="Yes",IF(AM$6=$D57,"◆",""),IF(AND(AM$6&gt;=$D57,AM$6&lt;=$E57),MAX(0,MIN(1,$G57*$F57-(AM$6-$D57))),"")))</ns0:f>
      </ns0:c>
      <ns0:c r="AN57" s="22" t="str">
        <ns0:f>IF($A57="","",IF($I57="Yes",IF(AN$6=$D57,"◆",""),IF(AND(AN$6&gt;=$D57,AN$6&lt;=$E57),MAX(0,MIN(1,$G57*$F57-(AN$6-$D57))),"")))</ns0:f>
      </ns0:c>
      <ns0:c r="AO57" s="22" t="str">
        <ns0:f>IF($A57="","",IF($I57="Yes",IF(AO$6=$D57,"◆",""),IF(AND(AO$6&gt;=$D57,AO$6&lt;=$E57),MAX(0,MIN(1,$G57*$F57-(AO$6-$D57))),"")))</ns0:f>
      </ns0:c>
      <ns0:c r="AP57" s="22" t="str">
        <ns0:f>IF($A57="","",IF($I57="Yes",IF(AP$6=$D57,"◆",""),IF(AND(AP$6&gt;=$D57,AP$6&lt;=$E57),MAX(0,MIN(1,$G57*$F57-(AP$6-$D57))),"")))</ns0:f>
      </ns0:c>
      <ns0:c r="AQ57" s="22" t="str">
        <ns0:f>IF($A57="","",IF($I57="Yes",IF(AQ$6=$D57,"◆",""),IF(AND(AQ$6&gt;=$D57,AQ$6&lt;=$E57),MAX(0,MIN(1,$G57*$F57-(AQ$6-$D57))),"")))</ns0:f>
      </ns0:c>
      <ns0:c r="AR57" s="22" t="str">
        <ns0:f>IF($A57="","",IF($I57="Yes",IF(AR$6=$D57,"◆",""),IF(AND(AR$6&gt;=$D57,AR$6&lt;=$E57),MAX(0,MIN(1,$G57*$F57-(AR$6-$D57))),"")))</ns0:f>
      </ns0:c>
    </ns0:row>
    <ns0:row r="58" ht="48" customHeight="1">
      <ns0:c r="A58" s="8" t="str">
        <ns0:f>IF(INDEX(Tasks[Task ID],52)="","",INDEX(Tasks[Task ID],52))</ns0:f>
      </ns0:c>
      <ns0:c r="B58" s="8" t="str">
        <ns0:f>IF(INDEX(Tasks[Task ID],52)="","",INDEX(Tasks[Phase],52))</ns0:f>
      </ns0:c>
      <ns0:c r="C58" s="8" t="str">
        <ns0:f>IF(INDEX(Tasks[Task ID],52)="","",INDEX(Tasks[Task Name],52))</ns0:f>
      </ns0:c>
      <ns0:c r="D58" s="18" t="str">
        <ns0:f>IF(INDEX(Tasks[Task ID],52)="","",INDEX(Tasks[Start Date],52))</ns0:f>
      </ns0:c>
      <ns0:c r="E58" s="18" t="str">
        <ns0:f>IF(INDEX(Tasks[Task ID],52)="","",INDEX(Tasks[End Date],52))</ns0:f>
      </ns0:c>
      <ns0:c r="F58" s="8" t="str">
        <ns0:f>IF(INDEX(Tasks[Task ID],52)="","",INDEX(Tasks[Duration],52))</ns0:f>
      </ns0:c>
      <ns0:c r="G58" s="19" t="str">
        <ns0:f>IF(INDEX(Tasks[Task ID],52)="","",INDEX(Tasks[Progress %],52))</ns0:f>
      </ns0:c>
      <ns0:c r="H58" s="8" t="str">
        <ns0:f>IF(INDEX(Tasks[Task ID],52)="","",INDEX('Project Tracker'!$Q$7:$Q$106,52))</ns0:f>
      </ns0:c>
      <ns0:c r="I58" s="8" t="str">
        <ns0:f>IF(INDEX(Tasks[Task ID],52)="","",INDEX(Tasks[Milestone],52))</ns0:f>
      </ns0:c>
      <ns0:c r="J58" s="8" t="str">
        <ns0:f>IF(INDEX(Tasks[Task ID],52)="","",INDEX(Tasks[Schedule Health],52))</ns0:f>
      </ns0:c>
      <ns0:c r="K58" s="22" t="str">
        <ns0:f>IF($A58="","",IF($I58="Yes",IF(K$6=$D58,"◆",""),IF(AND(K$6&gt;=$D58,K$6&lt;=$E58),MAX(0,MIN(1,$G58*$F58-(K$6-$D58))),"")))</ns0:f>
      </ns0:c>
      <ns0:c r="L58" s="22" t="str">
        <ns0:f>IF($A58="","",IF($I58="Yes",IF(L$6=$D58,"◆",""),IF(AND(L$6&gt;=$D58,L$6&lt;=$E58),MAX(0,MIN(1,$G58*$F58-(L$6-$D58))),"")))</ns0:f>
      </ns0:c>
      <ns0:c r="M58" s="22" t="str">
        <ns0:f>IF($A58="","",IF($I58="Yes",IF(M$6=$D58,"◆",""),IF(AND(M$6&gt;=$D58,M$6&lt;=$E58),MAX(0,MIN(1,$G58*$F58-(M$6-$D58))),"")))</ns0:f>
      </ns0:c>
      <ns0:c r="N58" s="22" t="str">
        <ns0:f>IF($A58="","",IF($I58="Yes",IF(N$6=$D58,"◆",""),IF(AND(N$6&gt;=$D58,N$6&lt;=$E58),MAX(0,MIN(1,$G58*$F58-(N$6-$D58))),"")))</ns0:f>
      </ns0:c>
      <ns0:c r="O58" s="22" t="str">
        <ns0:f>IF($A58="","",IF($I58="Yes",IF(O$6=$D58,"◆",""),IF(AND(O$6&gt;=$D58,O$6&lt;=$E58),MAX(0,MIN(1,$G58*$F58-(O$6-$D58))),"")))</ns0:f>
      </ns0:c>
      <ns0:c r="P58" s="22" t="str">
        <ns0:f>IF($A58="","",IF($I58="Yes",IF(P$6=$D58,"◆",""),IF(AND(P$6&gt;=$D58,P$6&lt;=$E58),MAX(0,MIN(1,$G58*$F58-(P$6-$D58))),"")))</ns0:f>
      </ns0:c>
      <ns0:c r="Q58" s="22" t="str">
        <ns0:f>IF($A58="","",IF($I58="Yes",IF(Q$6=$D58,"◆",""),IF(AND(Q$6&gt;=$D58,Q$6&lt;=$E58),MAX(0,MIN(1,$G58*$F58-(Q$6-$D58))),"")))</ns0:f>
      </ns0:c>
      <ns0:c r="R58" s="22" t="str">
        <ns0:f>IF($A58="","",IF($I58="Yes",IF(R$6=$D58,"◆",""),IF(AND(R$6&gt;=$D58,R$6&lt;=$E58),MAX(0,MIN(1,$G58*$F58-(R$6-$D58))),"")))</ns0:f>
      </ns0:c>
      <ns0:c r="S58" s="22" t="str">
        <ns0:f>IF($A58="","",IF($I58="Yes",IF(S$6=$D58,"◆",""),IF(AND(S$6&gt;=$D58,S$6&lt;=$E58),MAX(0,MIN(1,$G58*$F58-(S$6-$D58))),"")))</ns0:f>
      </ns0:c>
      <ns0:c r="T58" s="22" t="str">
        <ns0:f>IF($A58="","",IF($I58="Yes",IF(T$6=$D58,"◆",""),IF(AND(T$6&gt;=$D58,T$6&lt;=$E58),MAX(0,MIN(1,$G58*$F58-(T$6-$D58))),"")))</ns0:f>
      </ns0:c>
      <ns0:c r="U58" s="22" t="str">
        <ns0:f>IF($A58="","",IF($I58="Yes",IF(U$6=$D58,"◆",""),IF(AND(U$6&gt;=$D58,U$6&lt;=$E58),MAX(0,MIN(1,$G58*$F58-(U$6-$D58))),"")))</ns0:f>
      </ns0:c>
      <ns0:c r="V58" s="22" t="str">
        <ns0:f>IF($A58="","",IF($I58="Yes",IF(V$6=$D58,"◆",""),IF(AND(V$6&gt;=$D58,V$6&lt;=$E58),MAX(0,MIN(1,$G58*$F58-(V$6-$D58))),"")))</ns0:f>
      </ns0:c>
      <ns0:c r="W58" s="22" t="str">
        <ns0:f>IF($A58="","",IF($I58="Yes",IF(W$6=$D58,"◆",""),IF(AND(W$6&gt;=$D58,W$6&lt;=$E58),MAX(0,MIN(1,$G58*$F58-(W$6-$D58))),"")))</ns0:f>
      </ns0:c>
      <ns0:c r="X58" s="22" t="str">
        <ns0:f>IF($A58="","",IF($I58="Yes",IF(X$6=$D58,"◆",""),IF(AND(X$6&gt;=$D58,X$6&lt;=$E58),MAX(0,MIN(1,$G58*$F58-(X$6-$D58))),"")))</ns0:f>
      </ns0:c>
      <ns0:c r="Y58" s="22" t="str">
        <ns0:f>IF($A58="","",IF($I58="Yes",IF(Y$6=$D58,"◆",""),IF(AND(Y$6&gt;=$D58,Y$6&lt;=$E58),MAX(0,MIN(1,$G58*$F58-(Y$6-$D58))),"")))</ns0:f>
      </ns0:c>
      <ns0:c r="Z58" s="22" t="str">
        <ns0:f>IF($A58="","",IF($I58="Yes",IF(Z$6=$D58,"◆",""),IF(AND(Z$6&gt;=$D58,Z$6&lt;=$E58),MAX(0,MIN(1,$G58*$F58-(Z$6-$D58))),"")))</ns0:f>
      </ns0:c>
      <ns0:c r="AA58" s="22" t="str">
        <ns0:f>IF($A58="","",IF($I58="Yes",IF(AA$6=$D58,"◆",""),IF(AND(AA$6&gt;=$D58,AA$6&lt;=$E58),MAX(0,MIN(1,$G58*$F58-(AA$6-$D58))),"")))</ns0:f>
      </ns0:c>
      <ns0:c r="AB58" s="22" t="str">
        <ns0:f>IF($A58="","",IF($I58="Yes",IF(AB$6=$D58,"◆",""),IF(AND(AB$6&gt;=$D58,AB$6&lt;=$E58),MAX(0,MIN(1,$G58*$F58-(AB$6-$D58))),"")))</ns0:f>
      </ns0:c>
      <ns0:c r="AC58" s="22" t="str">
        <ns0:f>IF($A58="","",IF($I58="Yes",IF(AC$6=$D58,"◆",""),IF(AND(AC$6&gt;=$D58,AC$6&lt;=$E58),MAX(0,MIN(1,$G58*$F58-(AC$6-$D58))),"")))</ns0:f>
      </ns0:c>
      <ns0:c r="AD58" s="22" t="str">
        <ns0:f>IF($A58="","",IF($I58="Yes",IF(AD$6=$D58,"◆",""),IF(AND(AD$6&gt;=$D58,AD$6&lt;=$E58),MAX(0,MIN(1,$G58*$F58-(AD$6-$D58))),"")))</ns0:f>
      </ns0:c>
      <ns0:c r="AE58" s="22" t="str">
        <ns0:f>IF($A58="","",IF($I58="Yes",IF(AE$6=$D58,"◆",""),IF(AND(AE$6&gt;=$D58,AE$6&lt;=$E58),MAX(0,MIN(1,$G58*$F58-(AE$6-$D58))),"")))</ns0:f>
      </ns0:c>
      <ns0:c r="AF58" s="22" t="str">
        <ns0:f>IF($A58="","",IF($I58="Yes",IF(AF$6=$D58,"◆",""),IF(AND(AF$6&gt;=$D58,AF$6&lt;=$E58),MAX(0,MIN(1,$G58*$F58-(AF$6-$D58))),"")))</ns0:f>
      </ns0:c>
      <ns0:c r="AG58" s="22" t="str">
        <ns0:f>IF($A58="","",IF($I58="Yes",IF(AG$6=$D58,"◆",""),IF(AND(AG$6&gt;=$D58,AG$6&lt;=$E58),MAX(0,MIN(1,$G58*$F58-(AG$6-$D58))),"")))</ns0:f>
      </ns0:c>
      <ns0:c r="AH58" s="22" t="str">
        <ns0:f>IF($A58="","",IF($I58="Yes",IF(AH$6=$D58,"◆",""),IF(AND(AH$6&gt;=$D58,AH$6&lt;=$E58),MAX(0,MIN(1,$G58*$F58-(AH$6-$D58))),"")))</ns0:f>
      </ns0:c>
      <ns0:c r="AI58" s="22" t="str">
        <ns0:f>IF($A58="","",IF($I58="Yes",IF(AI$6=$D58,"◆",""),IF(AND(AI$6&gt;=$D58,AI$6&lt;=$E58),MAX(0,MIN(1,$G58*$F58-(AI$6-$D58))),"")))</ns0:f>
      </ns0:c>
      <ns0:c r="AJ58" s="22" t="str">
        <ns0:f>IF($A58="","",IF($I58="Yes",IF(AJ$6=$D58,"◆",""),IF(AND(AJ$6&gt;=$D58,AJ$6&lt;=$E58),MAX(0,MIN(1,$G58*$F58-(AJ$6-$D58))),"")))</ns0:f>
      </ns0:c>
      <ns0:c r="AK58" s="22" t="str">
        <ns0:f>IF($A58="","",IF($I58="Yes",IF(AK$6=$D58,"◆",""),IF(AND(AK$6&gt;=$D58,AK$6&lt;=$E58),MAX(0,MIN(1,$G58*$F58-(AK$6-$D58))),"")))</ns0:f>
      </ns0:c>
      <ns0:c r="AL58" s="22" t="str">
        <ns0:f>IF($A58="","",IF($I58="Yes",IF(AL$6=$D58,"◆",""),IF(AND(AL$6&gt;=$D58,AL$6&lt;=$E58),MAX(0,MIN(1,$G58*$F58-(AL$6-$D58))),"")))</ns0:f>
      </ns0:c>
      <ns0:c r="AM58" s="22" t="str">
        <ns0:f>IF($A58="","",IF($I58="Yes",IF(AM$6=$D58,"◆",""),IF(AND(AM$6&gt;=$D58,AM$6&lt;=$E58),MAX(0,MIN(1,$G58*$F58-(AM$6-$D58))),"")))</ns0:f>
      </ns0:c>
      <ns0:c r="AN58" s="22" t="str">
        <ns0:f>IF($A58="","",IF($I58="Yes",IF(AN$6=$D58,"◆",""),IF(AND(AN$6&gt;=$D58,AN$6&lt;=$E58),MAX(0,MIN(1,$G58*$F58-(AN$6-$D58))),"")))</ns0:f>
      </ns0:c>
      <ns0:c r="AO58" s="22" t="str">
        <ns0:f>IF($A58="","",IF($I58="Yes",IF(AO$6=$D58,"◆",""),IF(AND(AO$6&gt;=$D58,AO$6&lt;=$E58),MAX(0,MIN(1,$G58*$F58-(AO$6-$D58))),"")))</ns0:f>
      </ns0:c>
      <ns0:c r="AP58" s="22" t="str">
        <ns0:f>IF($A58="","",IF($I58="Yes",IF(AP$6=$D58,"◆",""),IF(AND(AP$6&gt;=$D58,AP$6&lt;=$E58),MAX(0,MIN(1,$G58*$F58-(AP$6-$D58))),"")))</ns0:f>
      </ns0:c>
      <ns0:c r="AQ58" s="22" t="str">
        <ns0:f>IF($A58="","",IF($I58="Yes",IF(AQ$6=$D58,"◆",""),IF(AND(AQ$6&gt;=$D58,AQ$6&lt;=$E58),MAX(0,MIN(1,$G58*$F58-(AQ$6-$D58))),"")))</ns0:f>
      </ns0:c>
      <ns0:c r="AR58" s="22" t="str">
        <ns0:f>IF($A58="","",IF($I58="Yes",IF(AR$6=$D58,"◆",""),IF(AND(AR$6&gt;=$D58,AR$6&lt;=$E58),MAX(0,MIN(1,$G58*$F58-(AR$6-$D58))),"")))</ns0:f>
      </ns0:c>
    </ns0:row>
    <ns0:row r="59" ht="48" customHeight="1">
      <ns0:c r="A59" s="8" t="str">
        <ns0:f>IF(INDEX(Tasks[Task ID],53)="","",INDEX(Tasks[Task ID],53))</ns0:f>
      </ns0:c>
      <ns0:c r="B59" s="8" t="str">
        <ns0:f>IF(INDEX(Tasks[Task ID],53)="","",INDEX(Tasks[Phase],53))</ns0:f>
      </ns0:c>
      <ns0:c r="C59" s="8" t="str">
        <ns0:f>IF(INDEX(Tasks[Task ID],53)="","",INDEX(Tasks[Task Name],53))</ns0:f>
      </ns0:c>
      <ns0:c r="D59" s="18" t="str">
        <ns0:f>IF(INDEX(Tasks[Task ID],53)="","",INDEX(Tasks[Start Date],53))</ns0:f>
      </ns0:c>
      <ns0:c r="E59" s="18" t="str">
        <ns0:f>IF(INDEX(Tasks[Task ID],53)="","",INDEX(Tasks[End Date],53))</ns0:f>
      </ns0:c>
      <ns0:c r="F59" s="8" t="str">
        <ns0:f>IF(INDEX(Tasks[Task ID],53)="","",INDEX(Tasks[Duration],53))</ns0:f>
      </ns0:c>
      <ns0:c r="G59" s="19" t="str">
        <ns0:f>IF(INDEX(Tasks[Task ID],53)="","",INDEX(Tasks[Progress %],53))</ns0:f>
      </ns0:c>
      <ns0:c r="H59" s="8" t="str">
        <ns0:f>IF(INDEX(Tasks[Task ID],53)="","",INDEX('Project Tracker'!$Q$7:$Q$106,53))</ns0:f>
      </ns0:c>
      <ns0:c r="I59" s="8" t="str">
        <ns0:f>IF(INDEX(Tasks[Task ID],53)="","",INDEX(Tasks[Milestone],53))</ns0:f>
      </ns0:c>
      <ns0:c r="J59" s="8" t="str">
        <ns0:f>IF(INDEX(Tasks[Task ID],53)="","",INDEX(Tasks[Schedule Health],53))</ns0:f>
      </ns0:c>
      <ns0:c r="K59" s="22" t="str">
        <ns0:f>IF($A59="","",IF($I59="Yes",IF(K$6=$D59,"◆",""),IF(AND(K$6&gt;=$D59,K$6&lt;=$E59),MAX(0,MIN(1,$G59*$F59-(K$6-$D59))),"")))</ns0:f>
      </ns0:c>
      <ns0:c r="L59" s="22" t="str">
        <ns0:f>IF($A59="","",IF($I59="Yes",IF(L$6=$D59,"◆",""),IF(AND(L$6&gt;=$D59,L$6&lt;=$E59),MAX(0,MIN(1,$G59*$F59-(L$6-$D59))),"")))</ns0:f>
      </ns0:c>
      <ns0:c r="M59" s="22" t="str">
        <ns0:f>IF($A59="","",IF($I59="Yes",IF(M$6=$D59,"◆",""),IF(AND(M$6&gt;=$D59,M$6&lt;=$E59),MAX(0,MIN(1,$G59*$F59-(M$6-$D59))),"")))</ns0:f>
      </ns0:c>
      <ns0:c r="N59" s="22" t="str">
        <ns0:f>IF($A59="","",IF($I59="Yes",IF(N$6=$D59,"◆",""),IF(AND(N$6&gt;=$D59,N$6&lt;=$E59),MAX(0,MIN(1,$G59*$F59-(N$6-$D59))),"")))</ns0:f>
      </ns0:c>
      <ns0:c r="O59" s="22" t="str">
        <ns0:f>IF($A59="","",IF($I59="Yes",IF(O$6=$D59,"◆",""),IF(AND(O$6&gt;=$D59,O$6&lt;=$E59),MAX(0,MIN(1,$G59*$F59-(O$6-$D59))),"")))</ns0:f>
      </ns0:c>
      <ns0:c r="P59" s="22" t="str">
        <ns0:f>IF($A59="","",IF($I59="Yes",IF(P$6=$D59,"◆",""),IF(AND(P$6&gt;=$D59,P$6&lt;=$E59),MAX(0,MIN(1,$G59*$F59-(P$6-$D59))),"")))</ns0:f>
      </ns0:c>
      <ns0:c r="Q59" s="22" t="str">
        <ns0:f>IF($A59="","",IF($I59="Yes",IF(Q$6=$D59,"◆",""),IF(AND(Q$6&gt;=$D59,Q$6&lt;=$E59),MAX(0,MIN(1,$G59*$F59-(Q$6-$D59))),"")))</ns0:f>
      </ns0:c>
      <ns0:c r="R59" s="22" t="str">
        <ns0:f>IF($A59="","",IF($I59="Yes",IF(R$6=$D59,"◆",""),IF(AND(R$6&gt;=$D59,R$6&lt;=$E59),MAX(0,MIN(1,$G59*$F59-(R$6-$D59))),"")))</ns0:f>
      </ns0:c>
      <ns0:c r="S59" s="22" t="str">
        <ns0:f>IF($A59="","",IF($I59="Yes",IF(S$6=$D59,"◆",""),IF(AND(S$6&gt;=$D59,S$6&lt;=$E59),MAX(0,MIN(1,$G59*$F59-(S$6-$D59))),"")))</ns0:f>
      </ns0:c>
      <ns0:c r="T59" s="22" t="str">
        <ns0:f>IF($A59="","",IF($I59="Yes",IF(T$6=$D59,"◆",""),IF(AND(T$6&gt;=$D59,T$6&lt;=$E59),MAX(0,MIN(1,$G59*$F59-(T$6-$D59))),"")))</ns0:f>
      </ns0:c>
      <ns0:c r="U59" s="22" t="str">
        <ns0:f>IF($A59="","",IF($I59="Yes",IF(U$6=$D59,"◆",""),IF(AND(U$6&gt;=$D59,U$6&lt;=$E59),MAX(0,MIN(1,$G59*$F59-(U$6-$D59))),"")))</ns0:f>
      </ns0:c>
      <ns0:c r="V59" s="22" t="str">
        <ns0:f>IF($A59="","",IF($I59="Yes",IF(V$6=$D59,"◆",""),IF(AND(V$6&gt;=$D59,V$6&lt;=$E59),MAX(0,MIN(1,$G59*$F59-(V$6-$D59))),"")))</ns0:f>
      </ns0:c>
      <ns0:c r="W59" s="22" t="str">
        <ns0:f>IF($A59="","",IF($I59="Yes",IF(W$6=$D59,"◆",""),IF(AND(W$6&gt;=$D59,W$6&lt;=$E59),MAX(0,MIN(1,$G59*$F59-(W$6-$D59))),"")))</ns0:f>
      </ns0:c>
      <ns0:c r="X59" s="22" t="str">
        <ns0:f>IF($A59="","",IF($I59="Yes",IF(X$6=$D59,"◆",""),IF(AND(X$6&gt;=$D59,X$6&lt;=$E59),MAX(0,MIN(1,$G59*$F59-(X$6-$D59))),"")))</ns0:f>
      </ns0:c>
      <ns0:c r="Y59" s="22" t="str">
        <ns0:f>IF($A59="","",IF($I59="Yes",IF(Y$6=$D59,"◆",""),IF(AND(Y$6&gt;=$D59,Y$6&lt;=$E59),MAX(0,MIN(1,$G59*$F59-(Y$6-$D59))),"")))</ns0:f>
      </ns0:c>
      <ns0:c r="Z59" s="22" t="str">
        <ns0:f>IF($A59="","",IF($I59="Yes",IF(Z$6=$D59,"◆",""),IF(AND(Z$6&gt;=$D59,Z$6&lt;=$E59),MAX(0,MIN(1,$G59*$F59-(Z$6-$D59))),"")))</ns0:f>
      </ns0:c>
      <ns0:c r="AA59" s="22" t="str">
        <ns0:f>IF($A59="","",IF($I59="Yes",IF(AA$6=$D59,"◆",""),IF(AND(AA$6&gt;=$D59,AA$6&lt;=$E59),MAX(0,MIN(1,$G59*$F59-(AA$6-$D59))),"")))</ns0:f>
      </ns0:c>
      <ns0:c r="AB59" s="22" t="str">
        <ns0:f>IF($A59="","",IF($I59="Yes",IF(AB$6=$D59,"◆",""),IF(AND(AB$6&gt;=$D59,AB$6&lt;=$E59),MAX(0,MIN(1,$G59*$F59-(AB$6-$D59))),"")))</ns0:f>
      </ns0:c>
      <ns0:c r="AC59" s="22" t="str">
        <ns0:f>IF($A59="","",IF($I59="Yes",IF(AC$6=$D59,"◆",""),IF(AND(AC$6&gt;=$D59,AC$6&lt;=$E59),MAX(0,MIN(1,$G59*$F59-(AC$6-$D59))),"")))</ns0:f>
      </ns0:c>
      <ns0:c r="AD59" s="22" t="str">
        <ns0:f>IF($A59="","",IF($I59="Yes",IF(AD$6=$D59,"◆",""),IF(AND(AD$6&gt;=$D59,AD$6&lt;=$E59),MAX(0,MIN(1,$G59*$F59-(AD$6-$D59))),"")))</ns0:f>
      </ns0:c>
      <ns0:c r="AE59" s="22" t="str">
        <ns0:f>IF($A59="","",IF($I59="Yes",IF(AE$6=$D59,"◆",""),IF(AND(AE$6&gt;=$D59,AE$6&lt;=$E59),MAX(0,MIN(1,$G59*$F59-(AE$6-$D59))),"")))</ns0:f>
      </ns0:c>
      <ns0:c r="AF59" s="22" t="str">
        <ns0:f>IF($A59="","",IF($I59="Yes",IF(AF$6=$D59,"◆",""),IF(AND(AF$6&gt;=$D59,AF$6&lt;=$E59),MAX(0,MIN(1,$G59*$F59-(AF$6-$D59))),"")))</ns0:f>
      </ns0:c>
      <ns0:c r="AG59" s="22" t="str">
        <ns0:f>IF($A59="","",IF($I59="Yes",IF(AG$6=$D59,"◆",""),IF(AND(AG$6&gt;=$D59,AG$6&lt;=$E59),MAX(0,MIN(1,$G59*$F59-(AG$6-$D59))),"")))</ns0:f>
      </ns0:c>
      <ns0:c r="AH59" s="22" t="str">
        <ns0:f>IF($A59="","",IF($I59="Yes",IF(AH$6=$D59,"◆",""),IF(AND(AH$6&gt;=$D59,AH$6&lt;=$E59),MAX(0,MIN(1,$G59*$F59-(AH$6-$D59))),"")))</ns0:f>
      </ns0:c>
      <ns0:c r="AI59" s="22" t="str">
        <ns0:f>IF($A59="","",IF($I59="Yes",IF(AI$6=$D59,"◆",""),IF(AND(AI$6&gt;=$D59,AI$6&lt;=$E59),MAX(0,MIN(1,$G59*$F59-(AI$6-$D59))),"")))</ns0:f>
      </ns0:c>
      <ns0:c r="AJ59" s="22" t="str">
        <ns0:f>IF($A59="","",IF($I59="Yes",IF(AJ$6=$D59,"◆",""),IF(AND(AJ$6&gt;=$D59,AJ$6&lt;=$E59),MAX(0,MIN(1,$G59*$F59-(AJ$6-$D59))),"")))</ns0:f>
      </ns0:c>
      <ns0:c r="AK59" s="22" t="str">
        <ns0:f>IF($A59="","",IF($I59="Yes",IF(AK$6=$D59,"◆",""),IF(AND(AK$6&gt;=$D59,AK$6&lt;=$E59),MAX(0,MIN(1,$G59*$F59-(AK$6-$D59))),"")))</ns0:f>
      </ns0:c>
      <ns0:c r="AL59" s="22" t="str">
        <ns0:f>IF($A59="","",IF($I59="Yes",IF(AL$6=$D59,"◆",""),IF(AND(AL$6&gt;=$D59,AL$6&lt;=$E59),MAX(0,MIN(1,$G59*$F59-(AL$6-$D59))),"")))</ns0:f>
      </ns0:c>
      <ns0:c r="AM59" s="22" t="str">
        <ns0:f>IF($A59="","",IF($I59="Yes",IF(AM$6=$D59,"◆",""),IF(AND(AM$6&gt;=$D59,AM$6&lt;=$E59),MAX(0,MIN(1,$G59*$F59-(AM$6-$D59))),"")))</ns0:f>
      </ns0:c>
      <ns0:c r="AN59" s="22" t="str">
        <ns0:f>IF($A59="","",IF($I59="Yes",IF(AN$6=$D59,"◆",""),IF(AND(AN$6&gt;=$D59,AN$6&lt;=$E59),MAX(0,MIN(1,$G59*$F59-(AN$6-$D59))),"")))</ns0:f>
      </ns0:c>
      <ns0:c r="AO59" s="22" t="str">
        <ns0:f>IF($A59="","",IF($I59="Yes",IF(AO$6=$D59,"◆",""),IF(AND(AO$6&gt;=$D59,AO$6&lt;=$E59),MAX(0,MIN(1,$G59*$F59-(AO$6-$D59))),"")))</ns0:f>
      </ns0:c>
      <ns0:c r="AP59" s="22" t="str">
        <ns0:f>IF($A59="","",IF($I59="Yes",IF(AP$6=$D59,"◆",""),IF(AND(AP$6&gt;=$D59,AP$6&lt;=$E59),MAX(0,MIN(1,$G59*$F59-(AP$6-$D59))),"")))</ns0:f>
      </ns0:c>
      <ns0:c r="AQ59" s="22" t="str">
        <ns0:f>IF($A59="","",IF($I59="Yes",IF(AQ$6=$D59,"◆",""),IF(AND(AQ$6&gt;=$D59,AQ$6&lt;=$E59),MAX(0,MIN(1,$G59*$F59-(AQ$6-$D59))),"")))</ns0:f>
      </ns0:c>
      <ns0:c r="AR59" s="22" t="str">
        <ns0:f>IF($A59="","",IF($I59="Yes",IF(AR$6=$D59,"◆",""),IF(AND(AR$6&gt;=$D59,AR$6&lt;=$E59),MAX(0,MIN(1,$G59*$F59-(AR$6-$D59))),"")))</ns0:f>
      </ns0:c>
    </ns0:row>
    <ns0:row r="60" ht="48" customHeight="1">
      <ns0:c r="A60" s="8" t="str">
        <ns0:f>IF(INDEX(Tasks[Task ID],54)="","",INDEX(Tasks[Task ID],54))</ns0:f>
      </ns0:c>
      <ns0:c r="B60" s="8" t="str">
        <ns0:f>IF(INDEX(Tasks[Task ID],54)="","",INDEX(Tasks[Phase],54))</ns0:f>
      </ns0:c>
      <ns0:c r="C60" s="8" t="str">
        <ns0:f>IF(INDEX(Tasks[Task ID],54)="","",INDEX(Tasks[Task Name],54))</ns0:f>
      </ns0:c>
      <ns0:c r="D60" s="18" t="str">
        <ns0:f>IF(INDEX(Tasks[Task ID],54)="","",INDEX(Tasks[Start Date],54))</ns0:f>
      </ns0:c>
      <ns0:c r="E60" s="18" t="str">
        <ns0:f>IF(INDEX(Tasks[Task ID],54)="","",INDEX(Tasks[End Date],54))</ns0:f>
      </ns0:c>
      <ns0:c r="F60" s="8" t="str">
        <ns0:f>IF(INDEX(Tasks[Task ID],54)="","",INDEX(Tasks[Duration],54))</ns0:f>
      </ns0:c>
      <ns0:c r="G60" s="19" t="str">
        <ns0:f>IF(INDEX(Tasks[Task ID],54)="","",INDEX(Tasks[Progress %],54))</ns0:f>
      </ns0:c>
      <ns0:c r="H60" s="8" t="str">
        <ns0:f>IF(INDEX(Tasks[Task ID],54)="","",INDEX('Project Tracker'!$Q$7:$Q$106,54))</ns0:f>
      </ns0:c>
      <ns0:c r="I60" s="8" t="str">
        <ns0:f>IF(INDEX(Tasks[Task ID],54)="","",INDEX(Tasks[Milestone],54))</ns0:f>
      </ns0:c>
      <ns0:c r="J60" s="8" t="str">
        <ns0:f>IF(INDEX(Tasks[Task ID],54)="","",INDEX(Tasks[Schedule Health],54))</ns0:f>
      </ns0:c>
      <ns0:c r="K60" s="22" t="str">
        <ns0:f>IF($A60="","",IF($I60="Yes",IF(K$6=$D60,"◆",""),IF(AND(K$6&gt;=$D60,K$6&lt;=$E60),MAX(0,MIN(1,$G60*$F60-(K$6-$D60))),"")))</ns0:f>
      </ns0:c>
      <ns0:c r="L60" s="22" t="str">
        <ns0:f>IF($A60="","",IF($I60="Yes",IF(L$6=$D60,"◆",""),IF(AND(L$6&gt;=$D60,L$6&lt;=$E60),MAX(0,MIN(1,$G60*$F60-(L$6-$D60))),"")))</ns0:f>
      </ns0:c>
      <ns0:c r="M60" s="22" t="str">
        <ns0:f>IF($A60="","",IF($I60="Yes",IF(M$6=$D60,"◆",""),IF(AND(M$6&gt;=$D60,M$6&lt;=$E60),MAX(0,MIN(1,$G60*$F60-(M$6-$D60))),"")))</ns0:f>
      </ns0:c>
      <ns0:c r="N60" s="22" t="str">
        <ns0:f>IF($A60="","",IF($I60="Yes",IF(N$6=$D60,"◆",""),IF(AND(N$6&gt;=$D60,N$6&lt;=$E60),MAX(0,MIN(1,$G60*$F60-(N$6-$D60))),"")))</ns0:f>
      </ns0:c>
      <ns0:c r="O60" s="22" t="str">
        <ns0:f>IF($A60="","",IF($I60="Yes",IF(O$6=$D60,"◆",""),IF(AND(O$6&gt;=$D60,O$6&lt;=$E60),MAX(0,MIN(1,$G60*$F60-(O$6-$D60))),"")))</ns0:f>
      </ns0:c>
      <ns0:c r="P60" s="22" t="str">
        <ns0:f>IF($A60="","",IF($I60="Yes",IF(P$6=$D60,"◆",""),IF(AND(P$6&gt;=$D60,P$6&lt;=$E60),MAX(0,MIN(1,$G60*$F60-(P$6-$D60))),"")))</ns0:f>
      </ns0:c>
      <ns0:c r="Q60" s="22" t="str">
        <ns0:f>IF($A60="","",IF($I60="Yes",IF(Q$6=$D60,"◆",""),IF(AND(Q$6&gt;=$D60,Q$6&lt;=$E60),MAX(0,MIN(1,$G60*$F60-(Q$6-$D60))),"")))</ns0:f>
      </ns0:c>
      <ns0:c r="R60" s="22" t="str">
        <ns0:f>IF($A60="","",IF($I60="Yes",IF(R$6=$D60,"◆",""),IF(AND(R$6&gt;=$D60,R$6&lt;=$E60),MAX(0,MIN(1,$G60*$F60-(R$6-$D60))),"")))</ns0:f>
      </ns0:c>
      <ns0:c r="S60" s="22" t="str">
        <ns0:f>IF($A60="","",IF($I60="Yes",IF(S$6=$D60,"◆",""),IF(AND(S$6&gt;=$D60,S$6&lt;=$E60),MAX(0,MIN(1,$G60*$F60-(S$6-$D60))),"")))</ns0:f>
      </ns0:c>
      <ns0:c r="T60" s="22" t="str">
        <ns0:f>IF($A60="","",IF($I60="Yes",IF(T$6=$D60,"◆",""),IF(AND(T$6&gt;=$D60,T$6&lt;=$E60),MAX(0,MIN(1,$G60*$F60-(T$6-$D60))),"")))</ns0:f>
      </ns0:c>
      <ns0:c r="U60" s="22" t="str">
        <ns0:f>IF($A60="","",IF($I60="Yes",IF(U$6=$D60,"◆",""),IF(AND(U$6&gt;=$D60,U$6&lt;=$E60),MAX(0,MIN(1,$G60*$F60-(U$6-$D60))),"")))</ns0:f>
      </ns0:c>
      <ns0:c r="V60" s="22" t="str">
        <ns0:f>IF($A60="","",IF($I60="Yes",IF(V$6=$D60,"◆",""),IF(AND(V$6&gt;=$D60,V$6&lt;=$E60),MAX(0,MIN(1,$G60*$F60-(V$6-$D60))),"")))</ns0:f>
      </ns0:c>
      <ns0:c r="W60" s="22" t="str">
        <ns0:f>IF($A60="","",IF($I60="Yes",IF(W$6=$D60,"◆",""),IF(AND(W$6&gt;=$D60,W$6&lt;=$E60),MAX(0,MIN(1,$G60*$F60-(W$6-$D60))),"")))</ns0:f>
      </ns0:c>
      <ns0:c r="X60" s="22" t="str">
        <ns0:f>IF($A60="","",IF($I60="Yes",IF(X$6=$D60,"◆",""),IF(AND(X$6&gt;=$D60,X$6&lt;=$E60),MAX(0,MIN(1,$G60*$F60-(X$6-$D60))),"")))</ns0:f>
      </ns0:c>
      <ns0:c r="Y60" s="22" t="str">
        <ns0:f>IF($A60="","",IF($I60="Yes",IF(Y$6=$D60,"◆",""),IF(AND(Y$6&gt;=$D60,Y$6&lt;=$E60),MAX(0,MIN(1,$G60*$F60-(Y$6-$D60))),"")))</ns0:f>
      </ns0:c>
      <ns0:c r="Z60" s="22" t="str">
        <ns0:f>IF($A60="","",IF($I60="Yes",IF(Z$6=$D60,"◆",""),IF(AND(Z$6&gt;=$D60,Z$6&lt;=$E60),MAX(0,MIN(1,$G60*$F60-(Z$6-$D60))),"")))</ns0:f>
      </ns0:c>
      <ns0:c r="AA60" s="22" t="str">
        <ns0:f>IF($A60="","",IF($I60="Yes",IF(AA$6=$D60,"◆",""),IF(AND(AA$6&gt;=$D60,AA$6&lt;=$E60),MAX(0,MIN(1,$G60*$F60-(AA$6-$D60))),"")))</ns0:f>
      </ns0:c>
      <ns0:c r="AB60" s="22" t="str">
        <ns0:f>IF($A60="","",IF($I60="Yes",IF(AB$6=$D60,"◆",""),IF(AND(AB$6&gt;=$D60,AB$6&lt;=$E60),MAX(0,MIN(1,$G60*$F60-(AB$6-$D60))),"")))</ns0:f>
      </ns0:c>
      <ns0:c r="AC60" s="22" t="str">
        <ns0:f>IF($A60="","",IF($I60="Yes",IF(AC$6=$D60,"◆",""),IF(AND(AC$6&gt;=$D60,AC$6&lt;=$E60),MAX(0,MIN(1,$G60*$F60-(AC$6-$D60))),"")))</ns0:f>
      </ns0:c>
      <ns0:c r="AD60" s="22" t="str">
        <ns0:f>IF($A60="","",IF($I60="Yes",IF(AD$6=$D60,"◆",""),IF(AND(AD$6&gt;=$D60,AD$6&lt;=$E60),MAX(0,MIN(1,$G60*$F60-(AD$6-$D60))),"")))</ns0:f>
      </ns0:c>
      <ns0:c r="AE60" s="22" t="str">
        <ns0:f>IF($A60="","",IF($I60="Yes",IF(AE$6=$D60,"◆",""),IF(AND(AE$6&gt;=$D60,AE$6&lt;=$E60),MAX(0,MIN(1,$G60*$F60-(AE$6-$D60))),"")))</ns0:f>
      </ns0:c>
      <ns0:c r="AF60" s="22" t="str">
        <ns0:f>IF($A60="","",IF($I60="Yes",IF(AF$6=$D60,"◆",""),IF(AND(AF$6&gt;=$D60,AF$6&lt;=$E60),MAX(0,MIN(1,$G60*$F60-(AF$6-$D60))),"")))</ns0:f>
      </ns0:c>
      <ns0:c r="AG60" s="22" t="str">
        <ns0:f>IF($A60="","",IF($I60="Yes",IF(AG$6=$D60,"◆",""),IF(AND(AG$6&gt;=$D60,AG$6&lt;=$E60),MAX(0,MIN(1,$G60*$F60-(AG$6-$D60))),"")))</ns0:f>
      </ns0:c>
      <ns0:c r="AH60" s="22" t="str">
        <ns0:f>IF($A60="","",IF($I60="Yes",IF(AH$6=$D60,"◆",""),IF(AND(AH$6&gt;=$D60,AH$6&lt;=$E60),MAX(0,MIN(1,$G60*$F60-(AH$6-$D60))),"")))</ns0:f>
      </ns0:c>
      <ns0:c r="AI60" s="22" t="str">
        <ns0:f>IF($A60="","",IF($I60="Yes",IF(AI$6=$D60,"◆",""),IF(AND(AI$6&gt;=$D60,AI$6&lt;=$E60),MAX(0,MIN(1,$G60*$F60-(AI$6-$D60))),"")))</ns0:f>
      </ns0:c>
      <ns0:c r="AJ60" s="22" t="str">
        <ns0:f>IF($A60="","",IF($I60="Yes",IF(AJ$6=$D60,"◆",""),IF(AND(AJ$6&gt;=$D60,AJ$6&lt;=$E60),MAX(0,MIN(1,$G60*$F60-(AJ$6-$D60))),"")))</ns0:f>
      </ns0:c>
      <ns0:c r="AK60" s="22" t="str">
        <ns0:f>IF($A60="","",IF($I60="Yes",IF(AK$6=$D60,"◆",""),IF(AND(AK$6&gt;=$D60,AK$6&lt;=$E60),MAX(0,MIN(1,$G60*$F60-(AK$6-$D60))),"")))</ns0:f>
      </ns0:c>
      <ns0:c r="AL60" s="22" t="str">
        <ns0:f>IF($A60="","",IF($I60="Yes",IF(AL$6=$D60,"◆",""),IF(AND(AL$6&gt;=$D60,AL$6&lt;=$E60),MAX(0,MIN(1,$G60*$F60-(AL$6-$D60))),"")))</ns0:f>
      </ns0:c>
      <ns0:c r="AM60" s="22" t="str">
        <ns0:f>IF($A60="","",IF($I60="Yes",IF(AM$6=$D60,"◆",""),IF(AND(AM$6&gt;=$D60,AM$6&lt;=$E60),MAX(0,MIN(1,$G60*$F60-(AM$6-$D60))),"")))</ns0:f>
      </ns0:c>
      <ns0:c r="AN60" s="22" t="str">
        <ns0:f>IF($A60="","",IF($I60="Yes",IF(AN$6=$D60,"◆",""),IF(AND(AN$6&gt;=$D60,AN$6&lt;=$E60),MAX(0,MIN(1,$G60*$F60-(AN$6-$D60))),"")))</ns0:f>
      </ns0:c>
      <ns0:c r="AO60" s="22" t="str">
        <ns0:f>IF($A60="","",IF($I60="Yes",IF(AO$6=$D60,"◆",""),IF(AND(AO$6&gt;=$D60,AO$6&lt;=$E60),MAX(0,MIN(1,$G60*$F60-(AO$6-$D60))),"")))</ns0:f>
      </ns0:c>
      <ns0:c r="AP60" s="22" t="str">
        <ns0:f>IF($A60="","",IF($I60="Yes",IF(AP$6=$D60,"◆",""),IF(AND(AP$6&gt;=$D60,AP$6&lt;=$E60),MAX(0,MIN(1,$G60*$F60-(AP$6-$D60))),"")))</ns0:f>
      </ns0:c>
      <ns0:c r="AQ60" s="22" t="str">
        <ns0:f>IF($A60="","",IF($I60="Yes",IF(AQ$6=$D60,"◆",""),IF(AND(AQ$6&gt;=$D60,AQ$6&lt;=$E60),MAX(0,MIN(1,$G60*$F60-(AQ$6-$D60))),"")))</ns0:f>
      </ns0:c>
      <ns0:c r="AR60" s="22" t="str">
        <ns0:f>IF($A60="","",IF($I60="Yes",IF(AR$6=$D60,"◆",""),IF(AND(AR$6&gt;=$D60,AR$6&lt;=$E60),MAX(0,MIN(1,$G60*$F60-(AR$6-$D60))),"")))</ns0:f>
      </ns0:c>
    </ns0:row>
    <ns0:row r="61" ht="48" customHeight="1">
      <ns0:c r="A61" s="8" t="str">
        <ns0:f>IF(INDEX(Tasks[Task ID],55)="","",INDEX(Tasks[Task ID],55))</ns0:f>
      </ns0:c>
      <ns0:c r="B61" s="8" t="str">
        <ns0:f>IF(INDEX(Tasks[Task ID],55)="","",INDEX(Tasks[Phase],55))</ns0:f>
      </ns0:c>
      <ns0:c r="C61" s="8" t="str">
        <ns0:f>IF(INDEX(Tasks[Task ID],55)="","",INDEX(Tasks[Task Name],55))</ns0:f>
      </ns0:c>
      <ns0:c r="D61" s="18" t="str">
        <ns0:f>IF(INDEX(Tasks[Task ID],55)="","",INDEX(Tasks[Start Date],55))</ns0:f>
      </ns0:c>
      <ns0:c r="E61" s="18" t="str">
        <ns0:f>IF(INDEX(Tasks[Task ID],55)="","",INDEX(Tasks[End Date],55))</ns0:f>
      </ns0:c>
      <ns0:c r="F61" s="8" t="str">
        <ns0:f>IF(INDEX(Tasks[Task ID],55)="","",INDEX(Tasks[Duration],55))</ns0:f>
      </ns0:c>
      <ns0:c r="G61" s="19" t="str">
        <ns0:f>IF(INDEX(Tasks[Task ID],55)="","",INDEX(Tasks[Progress %],55))</ns0:f>
      </ns0:c>
      <ns0:c r="H61" s="8" t="str">
        <ns0:f>IF(INDEX(Tasks[Task ID],55)="","",INDEX('Project Tracker'!$Q$7:$Q$106,55))</ns0:f>
      </ns0:c>
      <ns0:c r="I61" s="8" t="str">
        <ns0:f>IF(INDEX(Tasks[Task ID],55)="","",INDEX(Tasks[Milestone],55))</ns0:f>
      </ns0:c>
      <ns0:c r="J61" s="8" t="str">
        <ns0:f>IF(INDEX(Tasks[Task ID],55)="","",INDEX(Tasks[Schedule Health],55))</ns0:f>
      </ns0:c>
      <ns0:c r="K61" s="22" t="str">
        <ns0:f>IF($A61="","",IF($I61="Yes",IF(K$6=$D61,"◆",""),IF(AND(K$6&gt;=$D61,K$6&lt;=$E61),MAX(0,MIN(1,$G61*$F61-(K$6-$D61))),"")))</ns0:f>
      </ns0:c>
      <ns0:c r="L61" s="22" t="str">
        <ns0:f>IF($A61="","",IF($I61="Yes",IF(L$6=$D61,"◆",""),IF(AND(L$6&gt;=$D61,L$6&lt;=$E61),MAX(0,MIN(1,$G61*$F61-(L$6-$D61))),"")))</ns0:f>
      </ns0:c>
      <ns0:c r="M61" s="22" t="str">
        <ns0:f>IF($A61="","",IF($I61="Yes",IF(M$6=$D61,"◆",""),IF(AND(M$6&gt;=$D61,M$6&lt;=$E61),MAX(0,MIN(1,$G61*$F61-(M$6-$D61))),"")))</ns0:f>
      </ns0:c>
      <ns0:c r="N61" s="22" t="str">
        <ns0:f>IF($A61="","",IF($I61="Yes",IF(N$6=$D61,"◆",""),IF(AND(N$6&gt;=$D61,N$6&lt;=$E61),MAX(0,MIN(1,$G61*$F61-(N$6-$D61))),"")))</ns0:f>
      </ns0:c>
      <ns0:c r="O61" s="22" t="str">
        <ns0:f>IF($A61="","",IF($I61="Yes",IF(O$6=$D61,"◆",""),IF(AND(O$6&gt;=$D61,O$6&lt;=$E61),MAX(0,MIN(1,$G61*$F61-(O$6-$D61))),"")))</ns0:f>
      </ns0:c>
      <ns0:c r="P61" s="22" t="str">
        <ns0:f>IF($A61="","",IF($I61="Yes",IF(P$6=$D61,"◆",""),IF(AND(P$6&gt;=$D61,P$6&lt;=$E61),MAX(0,MIN(1,$G61*$F61-(P$6-$D61))),"")))</ns0:f>
      </ns0:c>
      <ns0:c r="Q61" s="22" t="str">
        <ns0:f>IF($A61="","",IF($I61="Yes",IF(Q$6=$D61,"◆",""),IF(AND(Q$6&gt;=$D61,Q$6&lt;=$E61),MAX(0,MIN(1,$G61*$F61-(Q$6-$D61))),"")))</ns0:f>
      </ns0:c>
      <ns0:c r="R61" s="22" t="str">
        <ns0:f>IF($A61="","",IF($I61="Yes",IF(R$6=$D61,"◆",""),IF(AND(R$6&gt;=$D61,R$6&lt;=$E61),MAX(0,MIN(1,$G61*$F61-(R$6-$D61))),"")))</ns0:f>
      </ns0:c>
      <ns0:c r="S61" s="22" t="str">
        <ns0:f>IF($A61="","",IF($I61="Yes",IF(S$6=$D61,"◆",""),IF(AND(S$6&gt;=$D61,S$6&lt;=$E61),MAX(0,MIN(1,$G61*$F61-(S$6-$D61))),"")))</ns0:f>
      </ns0:c>
      <ns0:c r="T61" s="22" t="str">
        <ns0:f>IF($A61="","",IF($I61="Yes",IF(T$6=$D61,"◆",""),IF(AND(T$6&gt;=$D61,T$6&lt;=$E61),MAX(0,MIN(1,$G61*$F61-(T$6-$D61))),"")))</ns0:f>
      </ns0:c>
      <ns0:c r="U61" s="22" t="str">
        <ns0:f>IF($A61="","",IF($I61="Yes",IF(U$6=$D61,"◆",""),IF(AND(U$6&gt;=$D61,U$6&lt;=$E61),MAX(0,MIN(1,$G61*$F61-(U$6-$D61))),"")))</ns0:f>
      </ns0:c>
      <ns0:c r="V61" s="22" t="str">
        <ns0:f>IF($A61="","",IF($I61="Yes",IF(V$6=$D61,"◆",""),IF(AND(V$6&gt;=$D61,V$6&lt;=$E61),MAX(0,MIN(1,$G61*$F61-(V$6-$D61))),"")))</ns0:f>
      </ns0:c>
      <ns0:c r="W61" s="22" t="str">
        <ns0:f>IF($A61="","",IF($I61="Yes",IF(W$6=$D61,"◆",""),IF(AND(W$6&gt;=$D61,W$6&lt;=$E61),MAX(0,MIN(1,$G61*$F61-(W$6-$D61))),"")))</ns0:f>
      </ns0:c>
      <ns0:c r="X61" s="22" t="str">
        <ns0:f>IF($A61="","",IF($I61="Yes",IF(X$6=$D61,"◆",""),IF(AND(X$6&gt;=$D61,X$6&lt;=$E61),MAX(0,MIN(1,$G61*$F61-(X$6-$D61))),"")))</ns0:f>
      </ns0:c>
      <ns0:c r="Y61" s="22" t="str">
        <ns0:f>IF($A61="","",IF($I61="Yes",IF(Y$6=$D61,"◆",""),IF(AND(Y$6&gt;=$D61,Y$6&lt;=$E61),MAX(0,MIN(1,$G61*$F61-(Y$6-$D61))),"")))</ns0:f>
      </ns0:c>
      <ns0:c r="Z61" s="22" t="str">
        <ns0:f>IF($A61="","",IF($I61="Yes",IF(Z$6=$D61,"◆",""),IF(AND(Z$6&gt;=$D61,Z$6&lt;=$E61),MAX(0,MIN(1,$G61*$F61-(Z$6-$D61))),"")))</ns0:f>
      </ns0:c>
      <ns0:c r="AA61" s="22" t="str">
        <ns0:f>IF($A61="","",IF($I61="Yes",IF(AA$6=$D61,"◆",""),IF(AND(AA$6&gt;=$D61,AA$6&lt;=$E61),MAX(0,MIN(1,$G61*$F61-(AA$6-$D61))),"")))</ns0:f>
      </ns0:c>
      <ns0:c r="AB61" s="22" t="str">
        <ns0:f>IF($A61="","",IF($I61="Yes",IF(AB$6=$D61,"◆",""),IF(AND(AB$6&gt;=$D61,AB$6&lt;=$E61),MAX(0,MIN(1,$G61*$F61-(AB$6-$D61))),"")))</ns0:f>
      </ns0:c>
      <ns0:c r="AC61" s="22" t="str">
        <ns0:f>IF($A61="","",IF($I61="Yes",IF(AC$6=$D61,"◆",""),IF(AND(AC$6&gt;=$D61,AC$6&lt;=$E61),MAX(0,MIN(1,$G61*$F61-(AC$6-$D61))),"")))</ns0:f>
      </ns0:c>
      <ns0:c r="AD61" s="22" t="str">
        <ns0:f>IF($A61="","",IF($I61="Yes",IF(AD$6=$D61,"◆",""),IF(AND(AD$6&gt;=$D61,AD$6&lt;=$E61),MAX(0,MIN(1,$G61*$F61-(AD$6-$D61))),"")))</ns0:f>
      </ns0:c>
      <ns0:c r="AE61" s="22" t="str">
        <ns0:f>IF($A61="","",IF($I61="Yes",IF(AE$6=$D61,"◆",""),IF(AND(AE$6&gt;=$D61,AE$6&lt;=$E61),MAX(0,MIN(1,$G61*$F61-(AE$6-$D61))),"")))</ns0:f>
      </ns0:c>
      <ns0:c r="AF61" s="22" t="str">
        <ns0:f>IF($A61="","",IF($I61="Yes",IF(AF$6=$D61,"◆",""),IF(AND(AF$6&gt;=$D61,AF$6&lt;=$E61),MAX(0,MIN(1,$G61*$F61-(AF$6-$D61))),"")))</ns0:f>
      </ns0:c>
      <ns0:c r="AG61" s="22" t="str">
        <ns0:f>IF($A61="","",IF($I61="Yes",IF(AG$6=$D61,"◆",""),IF(AND(AG$6&gt;=$D61,AG$6&lt;=$E61),MAX(0,MIN(1,$G61*$F61-(AG$6-$D61))),"")))</ns0:f>
      </ns0:c>
      <ns0:c r="AH61" s="22" t="str">
        <ns0:f>IF($A61="","",IF($I61="Yes",IF(AH$6=$D61,"◆",""),IF(AND(AH$6&gt;=$D61,AH$6&lt;=$E61),MAX(0,MIN(1,$G61*$F61-(AH$6-$D61))),"")))</ns0:f>
      </ns0:c>
      <ns0:c r="AI61" s="22" t="str">
        <ns0:f>IF($A61="","",IF($I61="Yes",IF(AI$6=$D61,"◆",""),IF(AND(AI$6&gt;=$D61,AI$6&lt;=$E61),MAX(0,MIN(1,$G61*$F61-(AI$6-$D61))),"")))</ns0:f>
      </ns0:c>
      <ns0:c r="AJ61" s="22" t="str">
        <ns0:f>IF($A61="","",IF($I61="Yes",IF(AJ$6=$D61,"◆",""),IF(AND(AJ$6&gt;=$D61,AJ$6&lt;=$E61),MAX(0,MIN(1,$G61*$F61-(AJ$6-$D61))),"")))</ns0:f>
      </ns0:c>
      <ns0:c r="AK61" s="22" t="str">
        <ns0:f>IF($A61="","",IF($I61="Yes",IF(AK$6=$D61,"◆",""),IF(AND(AK$6&gt;=$D61,AK$6&lt;=$E61),MAX(0,MIN(1,$G61*$F61-(AK$6-$D61))),"")))</ns0:f>
      </ns0:c>
      <ns0:c r="AL61" s="22" t="str">
        <ns0:f>IF($A61="","",IF($I61="Yes",IF(AL$6=$D61,"◆",""),IF(AND(AL$6&gt;=$D61,AL$6&lt;=$E61),MAX(0,MIN(1,$G61*$F61-(AL$6-$D61))),"")))</ns0:f>
      </ns0:c>
      <ns0:c r="AM61" s="22" t="str">
        <ns0:f>IF($A61="","",IF($I61="Yes",IF(AM$6=$D61,"◆",""),IF(AND(AM$6&gt;=$D61,AM$6&lt;=$E61),MAX(0,MIN(1,$G61*$F61-(AM$6-$D61))),"")))</ns0:f>
      </ns0:c>
      <ns0:c r="AN61" s="22" t="str">
        <ns0:f>IF($A61="","",IF($I61="Yes",IF(AN$6=$D61,"◆",""),IF(AND(AN$6&gt;=$D61,AN$6&lt;=$E61),MAX(0,MIN(1,$G61*$F61-(AN$6-$D61))),"")))</ns0:f>
      </ns0:c>
      <ns0:c r="AO61" s="22" t="str">
        <ns0:f>IF($A61="","",IF($I61="Yes",IF(AO$6=$D61,"◆",""),IF(AND(AO$6&gt;=$D61,AO$6&lt;=$E61),MAX(0,MIN(1,$G61*$F61-(AO$6-$D61))),"")))</ns0:f>
      </ns0:c>
      <ns0:c r="AP61" s="22" t="str">
        <ns0:f>IF($A61="","",IF($I61="Yes",IF(AP$6=$D61,"◆",""),IF(AND(AP$6&gt;=$D61,AP$6&lt;=$E61),MAX(0,MIN(1,$G61*$F61-(AP$6-$D61))),"")))</ns0:f>
      </ns0:c>
      <ns0:c r="AQ61" s="22" t="str">
        <ns0:f>IF($A61="","",IF($I61="Yes",IF(AQ$6=$D61,"◆",""),IF(AND(AQ$6&gt;=$D61,AQ$6&lt;=$E61),MAX(0,MIN(1,$G61*$F61-(AQ$6-$D61))),"")))</ns0:f>
      </ns0:c>
      <ns0:c r="AR61" s="22" t="str">
        <ns0:f>IF($A61="","",IF($I61="Yes",IF(AR$6=$D61,"◆",""),IF(AND(AR$6&gt;=$D61,AR$6&lt;=$E61),MAX(0,MIN(1,$G61*$F61-(AR$6-$D61))),"")))</ns0:f>
      </ns0:c>
    </ns0:row>
    <ns0:row r="62" ht="48" customHeight="1">
      <ns0:c r="A62" s="8" t="str">
        <ns0:f>IF(INDEX(Tasks[Task ID],56)="","",INDEX(Tasks[Task ID],56))</ns0:f>
      </ns0:c>
      <ns0:c r="B62" s="8" t="str">
        <ns0:f>IF(INDEX(Tasks[Task ID],56)="","",INDEX(Tasks[Phase],56))</ns0:f>
      </ns0:c>
      <ns0:c r="C62" s="8" t="str">
        <ns0:f>IF(INDEX(Tasks[Task ID],56)="","",INDEX(Tasks[Task Name],56))</ns0:f>
      </ns0:c>
      <ns0:c r="D62" s="18" t="str">
        <ns0:f>IF(INDEX(Tasks[Task ID],56)="","",INDEX(Tasks[Start Date],56))</ns0:f>
      </ns0:c>
      <ns0:c r="E62" s="18" t="str">
        <ns0:f>IF(INDEX(Tasks[Task ID],56)="","",INDEX(Tasks[End Date],56))</ns0:f>
      </ns0:c>
      <ns0:c r="F62" s="8" t="str">
        <ns0:f>IF(INDEX(Tasks[Task ID],56)="","",INDEX(Tasks[Duration],56))</ns0:f>
      </ns0:c>
      <ns0:c r="G62" s="19" t="str">
        <ns0:f>IF(INDEX(Tasks[Task ID],56)="","",INDEX(Tasks[Progress %],56))</ns0:f>
      </ns0:c>
      <ns0:c r="H62" s="8" t="str">
        <ns0:f>IF(INDEX(Tasks[Task ID],56)="","",INDEX('Project Tracker'!$Q$7:$Q$106,56))</ns0:f>
      </ns0:c>
      <ns0:c r="I62" s="8" t="str">
        <ns0:f>IF(INDEX(Tasks[Task ID],56)="","",INDEX(Tasks[Milestone],56))</ns0:f>
      </ns0:c>
      <ns0:c r="J62" s="8" t="str">
        <ns0:f>IF(INDEX(Tasks[Task ID],56)="","",INDEX(Tasks[Schedule Health],56))</ns0:f>
      </ns0:c>
      <ns0:c r="K62" s="22" t="str">
        <ns0:f>IF($A62="","",IF($I62="Yes",IF(K$6=$D62,"◆",""),IF(AND(K$6&gt;=$D62,K$6&lt;=$E62),MAX(0,MIN(1,$G62*$F62-(K$6-$D62))),"")))</ns0:f>
      </ns0:c>
      <ns0:c r="L62" s="22" t="str">
        <ns0:f>IF($A62="","",IF($I62="Yes",IF(L$6=$D62,"◆",""),IF(AND(L$6&gt;=$D62,L$6&lt;=$E62),MAX(0,MIN(1,$G62*$F62-(L$6-$D62))),"")))</ns0:f>
      </ns0:c>
      <ns0:c r="M62" s="22" t="str">
        <ns0:f>IF($A62="","",IF($I62="Yes",IF(M$6=$D62,"◆",""),IF(AND(M$6&gt;=$D62,M$6&lt;=$E62),MAX(0,MIN(1,$G62*$F62-(M$6-$D62))),"")))</ns0:f>
      </ns0:c>
      <ns0:c r="N62" s="22" t="str">
        <ns0:f>IF($A62="","",IF($I62="Yes",IF(N$6=$D62,"◆",""),IF(AND(N$6&gt;=$D62,N$6&lt;=$E62),MAX(0,MIN(1,$G62*$F62-(N$6-$D62))),"")))</ns0:f>
      </ns0:c>
      <ns0:c r="O62" s="22" t="str">
        <ns0:f>IF($A62="","",IF($I62="Yes",IF(O$6=$D62,"◆",""),IF(AND(O$6&gt;=$D62,O$6&lt;=$E62),MAX(0,MIN(1,$G62*$F62-(O$6-$D62))),"")))</ns0:f>
      </ns0:c>
      <ns0:c r="P62" s="22" t="str">
        <ns0:f>IF($A62="","",IF($I62="Yes",IF(P$6=$D62,"◆",""),IF(AND(P$6&gt;=$D62,P$6&lt;=$E62),MAX(0,MIN(1,$G62*$F62-(P$6-$D62))),"")))</ns0:f>
      </ns0:c>
      <ns0:c r="Q62" s="22" t="str">
        <ns0:f>IF($A62="","",IF($I62="Yes",IF(Q$6=$D62,"◆",""),IF(AND(Q$6&gt;=$D62,Q$6&lt;=$E62),MAX(0,MIN(1,$G62*$F62-(Q$6-$D62))),"")))</ns0:f>
      </ns0:c>
      <ns0:c r="R62" s="22" t="str">
        <ns0:f>IF($A62="","",IF($I62="Yes",IF(R$6=$D62,"◆",""),IF(AND(R$6&gt;=$D62,R$6&lt;=$E62),MAX(0,MIN(1,$G62*$F62-(R$6-$D62))),"")))</ns0:f>
      </ns0:c>
      <ns0:c r="S62" s="22" t="str">
        <ns0:f>IF($A62="","",IF($I62="Yes",IF(S$6=$D62,"◆",""),IF(AND(S$6&gt;=$D62,S$6&lt;=$E62),MAX(0,MIN(1,$G62*$F62-(S$6-$D62))),"")))</ns0:f>
      </ns0:c>
      <ns0:c r="T62" s="22" t="str">
        <ns0:f>IF($A62="","",IF($I62="Yes",IF(T$6=$D62,"◆",""),IF(AND(T$6&gt;=$D62,T$6&lt;=$E62),MAX(0,MIN(1,$G62*$F62-(T$6-$D62))),"")))</ns0:f>
      </ns0:c>
      <ns0:c r="U62" s="22" t="str">
        <ns0:f>IF($A62="","",IF($I62="Yes",IF(U$6=$D62,"◆",""),IF(AND(U$6&gt;=$D62,U$6&lt;=$E62),MAX(0,MIN(1,$G62*$F62-(U$6-$D62))),"")))</ns0:f>
      </ns0:c>
      <ns0:c r="V62" s="22" t="str">
        <ns0:f>IF($A62="","",IF($I62="Yes",IF(V$6=$D62,"◆",""),IF(AND(V$6&gt;=$D62,V$6&lt;=$E62),MAX(0,MIN(1,$G62*$F62-(V$6-$D62))),"")))</ns0:f>
      </ns0:c>
      <ns0:c r="W62" s="22" t="str">
        <ns0:f>IF($A62="","",IF($I62="Yes",IF(W$6=$D62,"◆",""),IF(AND(W$6&gt;=$D62,W$6&lt;=$E62),MAX(0,MIN(1,$G62*$F62-(W$6-$D62))),"")))</ns0:f>
      </ns0:c>
      <ns0:c r="X62" s="22" t="str">
        <ns0:f>IF($A62="","",IF($I62="Yes",IF(X$6=$D62,"◆",""),IF(AND(X$6&gt;=$D62,X$6&lt;=$E62),MAX(0,MIN(1,$G62*$F62-(X$6-$D62))),"")))</ns0:f>
      </ns0:c>
      <ns0:c r="Y62" s="22" t="str">
        <ns0:f>IF($A62="","",IF($I62="Yes",IF(Y$6=$D62,"◆",""),IF(AND(Y$6&gt;=$D62,Y$6&lt;=$E62),MAX(0,MIN(1,$G62*$F62-(Y$6-$D62))),"")))</ns0:f>
      </ns0:c>
      <ns0:c r="Z62" s="22" t="str">
        <ns0:f>IF($A62="","",IF($I62="Yes",IF(Z$6=$D62,"◆",""),IF(AND(Z$6&gt;=$D62,Z$6&lt;=$E62),MAX(0,MIN(1,$G62*$F62-(Z$6-$D62))),"")))</ns0:f>
      </ns0:c>
      <ns0:c r="AA62" s="22" t="str">
        <ns0:f>IF($A62="","",IF($I62="Yes",IF(AA$6=$D62,"◆",""),IF(AND(AA$6&gt;=$D62,AA$6&lt;=$E62),MAX(0,MIN(1,$G62*$F62-(AA$6-$D62))),"")))</ns0:f>
      </ns0:c>
      <ns0:c r="AB62" s="22" t="str">
        <ns0:f>IF($A62="","",IF($I62="Yes",IF(AB$6=$D62,"◆",""),IF(AND(AB$6&gt;=$D62,AB$6&lt;=$E62),MAX(0,MIN(1,$G62*$F62-(AB$6-$D62))),"")))</ns0:f>
      </ns0:c>
      <ns0:c r="AC62" s="22" t="str">
        <ns0:f>IF($A62="","",IF($I62="Yes",IF(AC$6=$D62,"◆",""),IF(AND(AC$6&gt;=$D62,AC$6&lt;=$E62),MAX(0,MIN(1,$G62*$F62-(AC$6-$D62))),"")))</ns0:f>
      </ns0:c>
      <ns0:c r="AD62" s="22" t="str">
        <ns0:f>IF($A62="","",IF($I62="Yes",IF(AD$6=$D62,"◆",""),IF(AND(AD$6&gt;=$D62,AD$6&lt;=$E62),MAX(0,MIN(1,$G62*$F62-(AD$6-$D62))),"")))</ns0:f>
      </ns0:c>
      <ns0:c r="AE62" s="22" t="str">
        <ns0:f>IF($A62="","",IF($I62="Yes",IF(AE$6=$D62,"◆",""),IF(AND(AE$6&gt;=$D62,AE$6&lt;=$E62),MAX(0,MIN(1,$G62*$F62-(AE$6-$D62))),"")))</ns0:f>
      </ns0:c>
      <ns0:c r="AF62" s="22" t="str">
        <ns0:f>IF($A62="","",IF($I62="Yes",IF(AF$6=$D62,"◆",""),IF(AND(AF$6&gt;=$D62,AF$6&lt;=$E62),MAX(0,MIN(1,$G62*$F62-(AF$6-$D62))),"")))</ns0:f>
      </ns0:c>
      <ns0:c r="AG62" s="22" t="str">
        <ns0:f>IF($A62="","",IF($I62="Yes",IF(AG$6=$D62,"◆",""),IF(AND(AG$6&gt;=$D62,AG$6&lt;=$E62),MAX(0,MIN(1,$G62*$F62-(AG$6-$D62))),"")))</ns0:f>
      </ns0:c>
      <ns0:c r="AH62" s="22" t="str">
        <ns0:f>IF($A62="","",IF($I62="Yes",IF(AH$6=$D62,"◆",""),IF(AND(AH$6&gt;=$D62,AH$6&lt;=$E62),MAX(0,MIN(1,$G62*$F62-(AH$6-$D62))),"")))</ns0:f>
      </ns0:c>
      <ns0:c r="AI62" s="22" t="str">
        <ns0:f>IF($A62="","",IF($I62="Yes",IF(AI$6=$D62,"◆",""),IF(AND(AI$6&gt;=$D62,AI$6&lt;=$E62),MAX(0,MIN(1,$G62*$F62-(AI$6-$D62))),"")))</ns0:f>
      </ns0:c>
      <ns0:c r="AJ62" s="22" t="str">
        <ns0:f>IF($A62="","",IF($I62="Yes",IF(AJ$6=$D62,"◆",""),IF(AND(AJ$6&gt;=$D62,AJ$6&lt;=$E62),MAX(0,MIN(1,$G62*$F62-(AJ$6-$D62))),"")))</ns0:f>
      </ns0:c>
      <ns0:c r="AK62" s="22" t="str">
        <ns0:f>IF($A62="","",IF($I62="Yes",IF(AK$6=$D62,"◆",""),IF(AND(AK$6&gt;=$D62,AK$6&lt;=$E62),MAX(0,MIN(1,$G62*$F62-(AK$6-$D62))),"")))</ns0:f>
      </ns0:c>
      <ns0:c r="AL62" s="22" t="str">
        <ns0:f>IF($A62="","",IF($I62="Yes",IF(AL$6=$D62,"◆",""),IF(AND(AL$6&gt;=$D62,AL$6&lt;=$E62),MAX(0,MIN(1,$G62*$F62-(AL$6-$D62))),"")))</ns0:f>
      </ns0:c>
      <ns0:c r="AM62" s="22" t="str">
        <ns0:f>IF($A62="","",IF($I62="Yes",IF(AM$6=$D62,"◆",""),IF(AND(AM$6&gt;=$D62,AM$6&lt;=$E62),MAX(0,MIN(1,$G62*$F62-(AM$6-$D62))),"")))</ns0:f>
      </ns0:c>
      <ns0:c r="AN62" s="22" t="str">
        <ns0:f>IF($A62="","",IF($I62="Yes",IF(AN$6=$D62,"◆",""),IF(AND(AN$6&gt;=$D62,AN$6&lt;=$E62),MAX(0,MIN(1,$G62*$F62-(AN$6-$D62))),"")))</ns0:f>
      </ns0:c>
      <ns0:c r="AO62" s="22" t="str">
        <ns0:f>IF($A62="","",IF($I62="Yes",IF(AO$6=$D62,"◆",""),IF(AND(AO$6&gt;=$D62,AO$6&lt;=$E62),MAX(0,MIN(1,$G62*$F62-(AO$6-$D62))),"")))</ns0:f>
      </ns0:c>
      <ns0:c r="AP62" s="22" t="str">
        <ns0:f>IF($A62="","",IF($I62="Yes",IF(AP$6=$D62,"◆",""),IF(AND(AP$6&gt;=$D62,AP$6&lt;=$E62),MAX(0,MIN(1,$G62*$F62-(AP$6-$D62))),"")))</ns0:f>
      </ns0:c>
      <ns0:c r="AQ62" s="22" t="str">
        <ns0:f>IF($A62="","",IF($I62="Yes",IF(AQ$6=$D62,"◆",""),IF(AND(AQ$6&gt;=$D62,AQ$6&lt;=$E62),MAX(0,MIN(1,$G62*$F62-(AQ$6-$D62))),"")))</ns0:f>
      </ns0:c>
      <ns0:c r="AR62" s="22" t="str">
        <ns0:f>IF($A62="","",IF($I62="Yes",IF(AR$6=$D62,"◆",""),IF(AND(AR$6&gt;=$D62,AR$6&lt;=$E62),MAX(0,MIN(1,$G62*$F62-(AR$6-$D62))),"")))</ns0:f>
      </ns0:c>
    </ns0:row>
    <ns0:row r="63" ht="48" customHeight="1">
      <ns0:c r="A63" s="8" t="str">
        <ns0:f>IF(INDEX(Tasks[Task ID],57)="","",INDEX(Tasks[Task ID],57))</ns0:f>
      </ns0:c>
      <ns0:c r="B63" s="8" t="str">
        <ns0:f>IF(INDEX(Tasks[Task ID],57)="","",INDEX(Tasks[Phase],57))</ns0:f>
      </ns0:c>
      <ns0:c r="C63" s="8" t="str">
        <ns0:f>IF(INDEX(Tasks[Task ID],57)="","",INDEX(Tasks[Task Name],57))</ns0:f>
      </ns0:c>
      <ns0:c r="D63" s="18" t="str">
        <ns0:f>IF(INDEX(Tasks[Task ID],57)="","",INDEX(Tasks[Start Date],57))</ns0:f>
      </ns0:c>
      <ns0:c r="E63" s="18" t="str">
        <ns0:f>IF(INDEX(Tasks[Task ID],57)="","",INDEX(Tasks[End Date],57))</ns0:f>
      </ns0:c>
      <ns0:c r="F63" s="8" t="str">
        <ns0:f>IF(INDEX(Tasks[Task ID],57)="","",INDEX(Tasks[Duration],57))</ns0:f>
      </ns0:c>
      <ns0:c r="G63" s="19" t="str">
        <ns0:f>IF(INDEX(Tasks[Task ID],57)="","",INDEX(Tasks[Progress %],57))</ns0:f>
      </ns0:c>
      <ns0:c r="H63" s="8" t="str">
        <ns0:f>IF(INDEX(Tasks[Task ID],57)="","",INDEX('Project Tracker'!$Q$7:$Q$106,57))</ns0:f>
      </ns0:c>
      <ns0:c r="I63" s="8" t="str">
        <ns0:f>IF(INDEX(Tasks[Task ID],57)="","",INDEX(Tasks[Milestone],57))</ns0:f>
      </ns0:c>
      <ns0:c r="J63" s="8" t="str">
        <ns0:f>IF(INDEX(Tasks[Task ID],57)="","",INDEX(Tasks[Schedule Health],57))</ns0:f>
      </ns0:c>
      <ns0:c r="K63" s="22" t="str">
        <ns0:f>IF($A63="","",IF($I63="Yes",IF(K$6=$D63,"◆",""),IF(AND(K$6&gt;=$D63,K$6&lt;=$E63),MAX(0,MIN(1,$G63*$F63-(K$6-$D63))),"")))</ns0:f>
      </ns0:c>
      <ns0:c r="L63" s="22" t="str">
        <ns0:f>IF($A63="","",IF($I63="Yes",IF(L$6=$D63,"◆",""),IF(AND(L$6&gt;=$D63,L$6&lt;=$E63),MAX(0,MIN(1,$G63*$F63-(L$6-$D63))),"")))</ns0:f>
      </ns0:c>
      <ns0:c r="M63" s="22" t="str">
        <ns0:f>IF($A63="","",IF($I63="Yes",IF(M$6=$D63,"◆",""),IF(AND(M$6&gt;=$D63,M$6&lt;=$E63),MAX(0,MIN(1,$G63*$F63-(M$6-$D63))),"")))</ns0:f>
      </ns0:c>
      <ns0:c r="N63" s="22" t="str">
        <ns0:f>IF($A63="","",IF($I63="Yes",IF(N$6=$D63,"◆",""),IF(AND(N$6&gt;=$D63,N$6&lt;=$E63),MAX(0,MIN(1,$G63*$F63-(N$6-$D63))),"")))</ns0:f>
      </ns0:c>
      <ns0:c r="O63" s="22" t="str">
        <ns0:f>IF($A63="","",IF($I63="Yes",IF(O$6=$D63,"◆",""),IF(AND(O$6&gt;=$D63,O$6&lt;=$E63),MAX(0,MIN(1,$G63*$F63-(O$6-$D63))),"")))</ns0:f>
      </ns0:c>
      <ns0:c r="P63" s="22" t="str">
        <ns0:f>IF($A63="","",IF($I63="Yes",IF(P$6=$D63,"◆",""),IF(AND(P$6&gt;=$D63,P$6&lt;=$E63),MAX(0,MIN(1,$G63*$F63-(P$6-$D63))),"")))</ns0:f>
      </ns0:c>
      <ns0:c r="Q63" s="22" t="str">
        <ns0:f>IF($A63="","",IF($I63="Yes",IF(Q$6=$D63,"◆",""),IF(AND(Q$6&gt;=$D63,Q$6&lt;=$E63),MAX(0,MIN(1,$G63*$F63-(Q$6-$D63))),"")))</ns0:f>
      </ns0:c>
      <ns0:c r="R63" s="22" t="str">
        <ns0:f>IF($A63="","",IF($I63="Yes",IF(R$6=$D63,"◆",""),IF(AND(R$6&gt;=$D63,R$6&lt;=$E63),MAX(0,MIN(1,$G63*$F63-(R$6-$D63))),"")))</ns0:f>
      </ns0:c>
      <ns0:c r="S63" s="22" t="str">
        <ns0:f>IF($A63="","",IF($I63="Yes",IF(S$6=$D63,"◆",""),IF(AND(S$6&gt;=$D63,S$6&lt;=$E63),MAX(0,MIN(1,$G63*$F63-(S$6-$D63))),"")))</ns0:f>
      </ns0:c>
      <ns0:c r="T63" s="22" t="str">
        <ns0:f>IF($A63="","",IF($I63="Yes",IF(T$6=$D63,"◆",""),IF(AND(T$6&gt;=$D63,T$6&lt;=$E63),MAX(0,MIN(1,$G63*$F63-(T$6-$D63))),"")))</ns0:f>
      </ns0:c>
      <ns0:c r="U63" s="22" t="str">
        <ns0:f>IF($A63="","",IF($I63="Yes",IF(U$6=$D63,"◆",""),IF(AND(U$6&gt;=$D63,U$6&lt;=$E63),MAX(0,MIN(1,$G63*$F63-(U$6-$D63))),"")))</ns0:f>
      </ns0:c>
      <ns0:c r="V63" s="22" t="str">
        <ns0:f>IF($A63="","",IF($I63="Yes",IF(V$6=$D63,"◆",""),IF(AND(V$6&gt;=$D63,V$6&lt;=$E63),MAX(0,MIN(1,$G63*$F63-(V$6-$D63))),"")))</ns0:f>
      </ns0:c>
      <ns0:c r="W63" s="22" t="str">
        <ns0:f>IF($A63="","",IF($I63="Yes",IF(W$6=$D63,"◆",""),IF(AND(W$6&gt;=$D63,W$6&lt;=$E63),MAX(0,MIN(1,$G63*$F63-(W$6-$D63))),"")))</ns0:f>
      </ns0:c>
      <ns0:c r="X63" s="22" t="str">
        <ns0:f>IF($A63="","",IF($I63="Yes",IF(X$6=$D63,"◆",""),IF(AND(X$6&gt;=$D63,X$6&lt;=$E63),MAX(0,MIN(1,$G63*$F63-(X$6-$D63))),"")))</ns0:f>
      </ns0:c>
      <ns0:c r="Y63" s="22" t="str">
        <ns0:f>IF($A63="","",IF($I63="Yes",IF(Y$6=$D63,"◆",""),IF(AND(Y$6&gt;=$D63,Y$6&lt;=$E63),MAX(0,MIN(1,$G63*$F63-(Y$6-$D63))),"")))</ns0:f>
      </ns0:c>
      <ns0:c r="Z63" s="22" t="str">
        <ns0:f>IF($A63="","",IF($I63="Yes",IF(Z$6=$D63,"◆",""),IF(AND(Z$6&gt;=$D63,Z$6&lt;=$E63),MAX(0,MIN(1,$G63*$F63-(Z$6-$D63))),"")))</ns0:f>
      </ns0:c>
      <ns0:c r="AA63" s="22" t="str">
        <ns0:f>IF($A63="","",IF($I63="Yes",IF(AA$6=$D63,"◆",""),IF(AND(AA$6&gt;=$D63,AA$6&lt;=$E63),MAX(0,MIN(1,$G63*$F63-(AA$6-$D63))),"")))</ns0:f>
      </ns0:c>
      <ns0:c r="AB63" s="22" t="str">
        <ns0:f>IF($A63="","",IF($I63="Yes",IF(AB$6=$D63,"◆",""),IF(AND(AB$6&gt;=$D63,AB$6&lt;=$E63),MAX(0,MIN(1,$G63*$F63-(AB$6-$D63))),"")))</ns0:f>
      </ns0:c>
      <ns0:c r="AC63" s="22" t="str">
        <ns0:f>IF($A63="","",IF($I63="Yes",IF(AC$6=$D63,"◆",""),IF(AND(AC$6&gt;=$D63,AC$6&lt;=$E63),MAX(0,MIN(1,$G63*$F63-(AC$6-$D63))),"")))</ns0:f>
      </ns0:c>
      <ns0:c r="AD63" s="22" t="str">
        <ns0:f>IF($A63="","",IF($I63="Yes",IF(AD$6=$D63,"◆",""),IF(AND(AD$6&gt;=$D63,AD$6&lt;=$E63),MAX(0,MIN(1,$G63*$F63-(AD$6-$D63))),"")))</ns0:f>
      </ns0:c>
      <ns0:c r="AE63" s="22" t="str">
        <ns0:f>IF($A63="","",IF($I63="Yes",IF(AE$6=$D63,"◆",""),IF(AND(AE$6&gt;=$D63,AE$6&lt;=$E63),MAX(0,MIN(1,$G63*$F63-(AE$6-$D63))),"")))</ns0:f>
      </ns0:c>
      <ns0:c r="AF63" s="22" t="str">
        <ns0:f>IF($A63="","",IF($I63="Yes",IF(AF$6=$D63,"◆",""),IF(AND(AF$6&gt;=$D63,AF$6&lt;=$E63),MAX(0,MIN(1,$G63*$F63-(AF$6-$D63))),"")))</ns0:f>
      </ns0:c>
      <ns0:c r="AG63" s="22" t="str">
        <ns0:f>IF($A63="","",IF($I63="Yes",IF(AG$6=$D63,"◆",""),IF(AND(AG$6&gt;=$D63,AG$6&lt;=$E63),MAX(0,MIN(1,$G63*$F63-(AG$6-$D63))),"")))</ns0:f>
      </ns0:c>
      <ns0:c r="AH63" s="22" t="str">
        <ns0:f>IF($A63="","",IF($I63="Yes",IF(AH$6=$D63,"◆",""),IF(AND(AH$6&gt;=$D63,AH$6&lt;=$E63),MAX(0,MIN(1,$G63*$F63-(AH$6-$D63))),"")))</ns0:f>
      </ns0:c>
      <ns0:c r="AI63" s="22" t="str">
        <ns0:f>IF($A63="","",IF($I63="Yes",IF(AI$6=$D63,"◆",""),IF(AND(AI$6&gt;=$D63,AI$6&lt;=$E63),MAX(0,MIN(1,$G63*$F63-(AI$6-$D63))),"")))</ns0:f>
      </ns0:c>
      <ns0:c r="AJ63" s="22" t="str">
        <ns0:f>IF($A63="","",IF($I63="Yes",IF(AJ$6=$D63,"◆",""),IF(AND(AJ$6&gt;=$D63,AJ$6&lt;=$E63),MAX(0,MIN(1,$G63*$F63-(AJ$6-$D63))),"")))</ns0:f>
      </ns0:c>
      <ns0:c r="AK63" s="22" t="str">
        <ns0:f>IF($A63="","",IF($I63="Yes",IF(AK$6=$D63,"◆",""),IF(AND(AK$6&gt;=$D63,AK$6&lt;=$E63),MAX(0,MIN(1,$G63*$F63-(AK$6-$D63))),"")))</ns0:f>
      </ns0:c>
      <ns0:c r="AL63" s="22" t="str">
        <ns0:f>IF($A63="","",IF($I63="Yes",IF(AL$6=$D63,"◆",""),IF(AND(AL$6&gt;=$D63,AL$6&lt;=$E63),MAX(0,MIN(1,$G63*$F63-(AL$6-$D63))),"")))</ns0:f>
      </ns0:c>
      <ns0:c r="AM63" s="22" t="str">
        <ns0:f>IF($A63="","",IF($I63="Yes",IF(AM$6=$D63,"◆",""),IF(AND(AM$6&gt;=$D63,AM$6&lt;=$E63),MAX(0,MIN(1,$G63*$F63-(AM$6-$D63))),"")))</ns0:f>
      </ns0:c>
      <ns0:c r="AN63" s="22" t="str">
        <ns0:f>IF($A63="","",IF($I63="Yes",IF(AN$6=$D63,"◆",""),IF(AND(AN$6&gt;=$D63,AN$6&lt;=$E63),MAX(0,MIN(1,$G63*$F63-(AN$6-$D63))),"")))</ns0:f>
      </ns0:c>
      <ns0:c r="AO63" s="22" t="str">
        <ns0:f>IF($A63="","",IF($I63="Yes",IF(AO$6=$D63,"◆",""),IF(AND(AO$6&gt;=$D63,AO$6&lt;=$E63),MAX(0,MIN(1,$G63*$F63-(AO$6-$D63))),"")))</ns0:f>
      </ns0:c>
      <ns0:c r="AP63" s="22" t="str">
        <ns0:f>IF($A63="","",IF($I63="Yes",IF(AP$6=$D63,"◆",""),IF(AND(AP$6&gt;=$D63,AP$6&lt;=$E63),MAX(0,MIN(1,$G63*$F63-(AP$6-$D63))),"")))</ns0:f>
      </ns0:c>
      <ns0:c r="AQ63" s="22" t="str">
        <ns0:f>IF($A63="","",IF($I63="Yes",IF(AQ$6=$D63,"◆",""),IF(AND(AQ$6&gt;=$D63,AQ$6&lt;=$E63),MAX(0,MIN(1,$G63*$F63-(AQ$6-$D63))),"")))</ns0:f>
      </ns0:c>
      <ns0:c r="AR63" s="22" t="str">
        <ns0:f>IF($A63="","",IF($I63="Yes",IF(AR$6=$D63,"◆",""),IF(AND(AR$6&gt;=$D63,AR$6&lt;=$E63),MAX(0,MIN(1,$G63*$F63-(AR$6-$D63))),"")))</ns0:f>
      </ns0:c>
    </ns0:row>
    <ns0:row r="64" ht="48" customHeight="1">
      <ns0:c r="A64" s="8" t="str">
        <ns0:f>IF(INDEX(Tasks[Task ID],58)="","",INDEX(Tasks[Task ID],58))</ns0:f>
      </ns0:c>
      <ns0:c r="B64" s="8" t="str">
        <ns0:f>IF(INDEX(Tasks[Task ID],58)="","",INDEX(Tasks[Phase],58))</ns0:f>
      </ns0:c>
      <ns0:c r="C64" s="8" t="str">
        <ns0:f>IF(INDEX(Tasks[Task ID],58)="","",INDEX(Tasks[Task Name],58))</ns0:f>
      </ns0:c>
      <ns0:c r="D64" s="18" t="str">
        <ns0:f>IF(INDEX(Tasks[Task ID],58)="","",INDEX(Tasks[Start Date],58))</ns0:f>
      </ns0:c>
      <ns0:c r="E64" s="18" t="str">
        <ns0:f>IF(INDEX(Tasks[Task ID],58)="","",INDEX(Tasks[End Date],58))</ns0:f>
      </ns0:c>
      <ns0:c r="F64" s="8" t="str">
        <ns0:f>IF(INDEX(Tasks[Task ID],58)="","",INDEX(Tasks[Duration],58))</ns0:f>
      </ns0:c>
      <ns0:c r="G64" s="19" t="str">
        <ns0:f>IF(INDEX(Tasks[Task ID],58)="","",INDEX(Tasks[Progress %],58))</ns0:f>
      </ns0:c>
      <ns0:c r="H64" s="8" t="str">
        <ns0:f>IF(INDEX(Tasks[Task ID],58)="","",INDEX('Project Tracker'!$Q$7:$Q$106,58))</ns0:f>
      </ns0:c>
      <ns0:c r="I64" s="8" t="str">
        <ns0:f>IF(INDEX(Tasks[Task ID],58)="","",INDEX(Tasks[Milestone],58))</ns0:f>
      </ns0:c>
      <ns0:c r="J64" s="8" t="str">
        <ns0:f>IF(INDEX(Tasks[Task ID],58)="","",INDEX(Tasks[Schedule Health],58))</ns0:f>
      </ns0:c>
      <ns0:c r="K64" s="22" t="str">
        <ns0:f>IF($A64="","",IF($I64="Yes",IF(K$6=$D64,"◆",""),IF(AND(K$6&gt;=$D64,K$6&lt;=$E64),MAX(0,MIN(1,$G64*$F64-(K$6-$D64))),"")))</ns0:f>
      </ns0:c>
      <ns0:c r="L64" s="22" t="str">
        <ns0:f>IF($A64="","",IF($I64="Yes",IF(L$6=$D64,"◆",""),IF(AND(L$6&gt;=$D64,L$6&lt;=$E64),MAX(0,MIN(1,$G64*$F64-(L$6-$D64))),"")))</ns0:f>
      </ns0:c>
      <ns0:c r="M64" s="22" t="str">
        <ns0:f>IF($A64="","",IF($I64="Yes",IF(M$6=$D64,"◆",""),IF(AND(M$6&gt;=$D64,M$6&lt;=$E64),MAX(0,MIN(1,$G64*$F64-(M$6-$D64))),"")))</ns0:f>
      </ns0:c>
      <ns0:c r="N64" s="22" t="str">
        <ns0:f>IF($A64="","",IF($I64="Yes",IF(N$6=$D64,"◆",""),IF(AND(N$6&gt;=$D64,N$6&lt;=$E64),MAX(0,MIN(1,$G64*$F64-(N$6-$D64))),"")))</ns0:f>
      </ns0:c>
      <ns0:c r="O64" s="22" t="str">
        <ns0:f>IF($A64="","",IF($I64="Yes",IF(O$6=$D64,"◆",""),IF(AND(O$6&gt;=$D64,O$6&lt;=$E64),MAX(0,MIN(1,$G64*$F64-(O$6-$D64))),"")))</ns0:f>
      </ns0:c>
      <ns0:c r="P64" s="22" t="str">
        <ns0:f>IF($A64="","",IF($I64="Yes",IF(P$6=$D64,"◆",""),IF(AND(P$6&gt;=$D64,P$6&lt;=$E64),MAX(0,MIN(1,$G64*$F64-(P$6-$D64))),"")))</ns0:f>
      </ns0:c>
      <ns0:c r="Q64" s="22" t="str">
        <ns0:f>IF($A64="","",IF($I64="Yes",IF(Q$6=$D64,"◆",""),IF(AND(Q$6&gt;=$D64,Q$6&lt;=$E64),MAX(0,MIN(1,$G64*$F64-(Q$6-$D64))),"")))</ns0:f>
      </ns0:c>
      <ns0:c r="R64" s="22" t="str">
        <ns0:f>IF($A64="","",IF($I64="Yes",IF(R$6=$D64,"◆",""),IF(AND(R$6&gt;=$D64,R$6&lt;=$E64),MAX(0,MIN(1,$G64*$F64-(R$6-$D64))),"")))</ns0:f>
      </ns0:c>
      <ns0:c r="S64" s="22" t="str">
        <ns0:f>IF($A64="","",IF($I64="Yes",IF(S$6=$D64,"◆",""),IF(AND(S$6&gt;=$D64,S$6&lt;=$E64),MAX(0,MIN(1,$G64*$F64-(S$6-$D64))),"")))</ns0:f>
      </ns0:c>
      <ns0:c r="T64" s="22" t="str">
        <ns0:f>IF($A64="","",IF($I64="Yes",IF(T$6=$D64,"◆",""),IF(AND(T$6&gt;=$D64,T$6&lt;=$E64),MAX(0,MIN(1,$G64*$F64-(T$6-$D64))),"")))</ns0:f>
      </ns0:c>
      <ns0:c r="U64" s="22" t="str">
        <ns0:f>IF($A64="","",IF($I64="Yes",IF(U$6=$D64,"◆",""),IF(AND(U$6&gt;=$D64,U$6&lt;=$E64),MAX(0,MIN(1,$G64*$F64-(U$6-$D64))),"")))</ns0:f>
      </ns0:c>
      <ns0:c r="V64" s="22" t="str">
        <ns0:f>IF($A64="","",IF($I64="Yes",IF(V$6=$D64,"◆",""),IF(AND(V$6&gt;=$D64,V$6&lt;=$E64),MAX(0,MIN(1,$G64*$F64-(V$6-$D64))),"")))</ns0:f>
      </ns0:c>
      <ns0:c r="W64" s="22" t="str">
        <ns0:f>IF($A64="","",IF($I64="Yes",IF(W$6=$D64,"◆",""),IF(AND(W$6&gt;=$D64,W$6&lt;=$E64),MAX(0,MIN(1,$G64*$F64-(W$6-$D64))),"")))</ns0:f>
      </ns0:c>
      <ns0:c r="X64" s="22" t="str">
        <ns0:f>IF($A64="","",IF($I64="Yes",IF(X$6=$D64,"◆",""),IF(AND(X$6&gt;=$D64,X$6&lt;=$E64),MAX(0,MIN(1,$G64*$F64-(X$6-$D64))),"")))</ns0:f>
      </ns0:c>
      <ns0:c r="Y64" s="22" t="str">
        <ns0:f>IF($A64="","",IF($I64="Yes",IF(Y$6=$D64,"◆",""),IF(AND(Y$6&gt;=$D64,Y$6&lt;=$E64),MAX(0,MIN(1,$G64*$F64-(Y$6-$D64))),"")))</ns0:f>
      </ns0:c>
      <ns0:c r="Z64" s="22" t="str">
        <ns0:f>IF($A64="","",IF($I64="Yes",IF(Z$6=$D64,"◆",""),IF(AND(Z$6&gt;=$D64,Z$6&lt;=$E64),MAX(0,MIN(1,$G64*$F64-(Z$6-$D64))),"")))</ns0:f>
      </ns0:c>
      <ns0:c r="AA64" s="22" t="str">
        <ns0:f>IF($A64="","",IF($I64="Yes",IF(AA$6=$D64,"◆",""),IF(AND(AA$6&gt;=$D64,AA$6&lt;=$E64),MAX(0,MIN(1,$G64*$F64-(AA$6-$D64))),"")))</ns0:f>
      </ns0:c>
      <ns0:c r="AB64" s="22" t="str">
        <ns0:f>IF($A64="","",IF($I64="Yes",IF(AB$6=$D64,"◆",""),IF(AND(AB$6&gt;=$D64,AB$6&lt;=$E64),MAX(0,MIN(1,$G64*$F64-(AB$6-$D64))),"")))</ns0:f>
      </ns0:c>
      <ns0:c r="AC64" s="22" t="str">
        <ns0:f>IF($A64="","",IF($I64="Yes",IF(AC$6=$D64,"◆",""),IF(AND(AC$6&gt;=$D64,AC$6&lt;=$E64),MAX(0,MIN(1,$G64*$F64-(AC$6-$D64))),"")))</ns0:f>
      </ns0:c>
      <ns0:c r="AD64" s="22" t="str">
        <ns0:f>IF($A64="","",IF($I64="Yes",IF(AD$6=$D64,"◆",""),IF(AND(AD$6&gt;=$D64,AD$6&lt;=$E64),MAX(0,MIN(1,$G64*$F64-(AD$6-$D64))),"")))</ns0:f>
      </ns0:c>
      <ns0:c r="AE64" s="22" t="str">
        <ns0:f>IF($A64="","",IF($I64="Yes",IF(AE$6=$D64,"◆",""),IF(AND(AE$6&gt;=$D64,AE$6&lt;=$E64),MAX(0,MIN(1,$G64*$F64-(AE$6-$D64))),"")))</ns0:f>
      </ns0:c>
      <ns0:c r="AF64" s="22" t="str">
        <ns0:f>IF($A64="","",IF($I64="Yes",IF(AF$6=$D64,"◆",""),IF(AND(AF$6&gt;=$D64,AF$6&lt;=$E64),MAX(0,MIN(1,$G64*$F64-(AF$6-$D64))),"")))</ns0:f>
      </ns0:c>
      <ns0:c r="AG64" s="22" t="str">
        <ns0:f>IF($A64="","",IF($I64="Yes",IF(AG$6=$D64,"◆",""),IF(AND(AG$6&gt;=$D64,AG$6&lt;=$E64),MAX(0,MIN(1,$G64*$F64-(AG$6-$D64))),"")))</ns0:f>
      </ns0:c>
      <ns0:c r="AH64" s="22" t="str">
        <ns0:f>IF($A64="","",IF($I64="Yes",IF(AH$6=$D64,"◆",""),IF(AND(AH$6&gt;=$D64,AH$6&lt;=$E64),MAX(0,MIN(1,$G64*$F64-(AH$6-$D64))),"")))</ns0:f>
      </ns0:c>
      <ns0:c r="AI64" s="22" t="str">
        <ns0:f>IF($A64="","",IF($I64="Yes",IF(AI$6=$D64,"◆",""),IF(AND(AI$6&gt;=$D64,AI$6&lt;=$E64),MAX(0,MIN(1,$G64*$F64-(AI$6-$D64))),"")))</ns0:f>
      </ns0:c>
      <ns0:c r="AJ64" s="22" t="str">
        <ns0:f>IF($A64="","",IF($I64="Yes",IF(AJ$6=$D64,"◆",""),IF(AND(AJ$6&gt;=$D64,AJ$6&lt;=$E64),MAX(0,MIN(1,$G64*$F64-(AJ$6-$D64))),"")))</ns0:f>
      </ns0:c>
      <ns0:c r="AK64" s="22" t="str">
        <ns0:f>IF($A64="","",IF($I64="Yes",IF(AK$6=$D64,"◆",""),IF(AND(AK$6&gt;=$D64,AK$6&lt;=$E64),MAX(0,MIN(1,$G64*$F64-(AK$6-$D64))),"")))</ns0:f>
      </ns0:c>
      <ns0:c r="AL64" s="22" t="str">
        <ns0:f>IF($A64="","",IF($I64="Yes",IF(AL$6=$D64,"◆",""),IF(AND(AL$6&gt;=$D64,AL$6&lt;=$E64),MAX(0,MIN(1,$G64*$F64-(AL$6-$D64))),"")))</ns0:f>
      </ns0:c>
      <ns0:c r="AM64" s="22" t="str">
        <ns0:f>IF($A64="","",IF($I64="Yes",IF(AM$6=$D64,"◆",""),IF(AND(AM$6&gt;=$D64,AM$6&lt;=$E64),MAX(0,MIN(1,$G64*$F64-(AM$6-$D64))),"")))</ns0:f>
      </ns0:c>
      <ns0:c r="AN64" s="22" t="str">
        <ns0:f>IF($A64="","",IF($I64="Yes",IF(AN$6=$D64,"◆",""),IF(AND(AN$6&gt;=$D64,AN$6&lt;=$E64),MAX(0,MIN(1,$G64*$F64-(AN$6-$D64))),"")))</ns0:f>
      </ns0:c>
      <ns0:c r="AO64" s="22" t="str">
        <ns0:f>IF($A64="","",IF($I64="Yes",IF(AO$6=$D64,"◆",""),IF(AND(AO$6&gt;=$D64,AO$6&lt;=$E64),MAX(0,MIN(1,$G64*$F64-(AO$6-$D64))),"")))</ns0:f>
      </ns0:c>
      <ns0:c r="AP64" s="22" t="str">
        <ns0:f>IF($A64="","",IF($I64="Yes",IF(AP$6=$D64,"◆",""),IF(AND(AP$6&gt;=$D64,AP$6&lt;=$E64),MAX(0,MIN(1,$G64*$F64-(AP$6-$D64))),"")))</ns0:f>
      </ns0:c>
      <ns0:c r="AQ64" s="22" t="str">
        <ns0:f>IF($A64="","",IF($I64="Yes",IF(AQ$6=$D64,"◆",""),IF(AND(AQ$6&gt;=$D64,AQ$6&lt;=$E64),MAX(0,MIN(1,$G64*$F64-(AQ$6-$D64))),"")))</ns0:f>
      </ns0:c>
      <ns0:c r="AR64" s="22" t="str">
        <ns0:f>IF($A64="","",IF($I64="Yes",IF(AR$6=$D64,"◆",""),IF(AND(AR$6&gt;=$D64,AR$6&lt;=$E64),MAX(0,MIN(1,$G64*$F64-(AR$6-$D64))),"")))</ns0:f>
      </ns0:c>
    </ns0:row>
    <ns0:row r="65" ht="48" customHeight="1">
      <ns0:c r="A65" s="8" t="str">
        <ns0:f>IF(INDEX(Tasks[Task ID],59)="","",INDEX(Tasks[Task ID],59))</ns0:f>
      </ns0:c>
      <ns0:c r="B65" s="8" t="str">
        <ns0:f>IF(INDEX(Tasks[Task ID],59)="","",INDEX(Tasks[Phase],59))</ns0:f>
      </ns0:c>
      <ns0:c r="C65" s="8" t="str">
        <ns0:f>IF(INDEX(Tasks[Task ID],59)="","",INDEX(Tasks[Task Name],59))</ns0:f>
      </ns0:c>
      <ns0:c r="D65" s="18" t="str">
        <ns0:f>IF(INDEX(Tasks[Task ID],59)="","",INDEX(Tasks[Start Date],59))</ns0:f>
      </ns0:c>
      <ns0:c r="E65" s="18" t="str">
        <ns0:f>IF(INDEX(Tasks[Task ID],59)="","",INDEX(Tasks[End Date],59))</ns0:f>
      </ns0:c>
      <ns0:c r="F65" s="8" t="str">
        <ns0:f>IF(INDEX(Tasks[Task ID],59)="","",INDEX(Tasks[Duration],59))</ns0:f>
      </ns0:c>
      <ns0:c r="G65" s="19" t="str">
        <ns0:f>IF(INDEX(Tasks[Task ID],59)="","",INDEX(Tasks[Progress %],59))</ns0:f>
      </ns0:c>
      <ns0:c r="H65" s="8" t="str">
        <ns0:f>IF(INDEX(Tasks[Task ID],59)="","",INDEX('Project Tracker'!$Q$7:$Q$106,59))</ns0:f>
      </ns0:c>
      <ns0:c r="I65" s="8" t="str">
        <ns0:f>IF(INDEX(Tasks[Task ID],59)="","",INDEX(Tasks[Milestone],59))</ns0:f>
      </ns0:c>
      <ns0:c r="J65" s="8" t="str">
        <ns0:f>IF(INDEX(Tasks[Task ID],59)="","",INDEX(Tasks[Schedule Health],59))</ns0:f>
      </ns0:c>
      <ns0:c r="K65" s="22" t="str">
        <ns0:f>IF($A65="","",IF($I65="Yes",IF(K$6=$D65,"◆",""),IF(AND(K$6&gt;=$D65,K$6&lt;=$E65),MAX(0,MIN(1,$G65*$F65-(K$6-$D65))),"")))</ns0:f>
      </ns0:c>
      <ns0:c r="L65" s="22" t="str">
        <ns0:f>IF($A65="","",IF($I65="Yes",IF(L$6=$D65,"◆",""),IF(AND(L$6&gt;=$D65,L$6&lt;=$E65),MAX(0,MIN(1,$G65*$F65-(L$6-$D65))),"")))</ns0:f>
      </ns0:c>
      <ns0:c r="M65" s="22" t="str">
        <ns0:f>IF($A65="","",IF($I65="Yes",IF(M$6=$D65,"◆",""),IF(AND(M$6&gt;=$D65,M$6&lt;=$E65),MAX(0,MIN(1,$G65*$F65-(M$6-$D65))),"")))</ns0:f>
      </ns0:c>
      <ns0:c r="N65" s="22" t="str">
        <ns0:f>IF($A65="","",IF($I65="Yes",IF(N$6=$D65,"◆",""),IF(AND(N$6&gt;=$D65,N$6&lt;=$E65),MAX(0,MIN(1,$G65*$F65-(N$6-$D65))),"")))</ns0:f>
      </ns0:c>
      <ns0:c r="O65" s="22" t="str">
        <ns0:f>IF($A65="","",IF($I65="Yes",IF(O$6=$D65,"◆",""),IF(AND(O$6&gt;=$D65,O$6&lt;=$E65),MAX(0,MIN(1,$G65*$F65-(O$6-$D65))),"")))</ns0:f>
      </ns0:c>
      <ns0:c r="P65" s="22" t="str">
        <ns0:f>IF($A65="","",IF($I65="Yes",IF(P$6=$D65,"◆",""),IF(AND(P$6&gt;=$D65,P$6&lt;=$E65),MAX(0,MIN(1,$G65*$F65-(P$6-$D65))),"")))</ns0:f>
      </ns0:c>
      <ns0:c r="Q65" s="22" t="str">
        <ns0:f>IF($A65="","",IF($I65="Yes",IF(Q$6=$D65,"◆",""),IF(AND(Q$6&gt;=$D65,Q$6&lt;=$E65),MAX(0,MIN(1,$G65*$F65-(Q$6-$D65))),"")))</ns0:f>
      </ns0:c>
      <ns0:c r="R65" s="22" t="str">
        <ns0:f>IF($A65="","",IF($I65="Yes",IF(R$6=$D65,"◆",""),IF(AND(R$6&gt;=$D65,R$6&lt;=$E65),MAX(0,MIN(1,$G65*$F65-(R$6-$D65))),"")))</ns0:f>
      </ns0:c>
      <ns0:c r="S65" s="22" t="str">
        <ns0:f>IF($A65="","",IF($I65="Yes",IF(S$6=$D65,"◆",""),IF(AND(S$6&gt;=$D65,S$6&lt;=$E65),MAX(0,MIN(1,$G65*$F65-(S$6-$D65))),"")))</ns0:f>
      </ns0:c>
      <ns0:c r="T65" s="22" t="str">
        <ns0:f>IF($A65="","",IF($I65="Yes",IF(T$6=$D65,"◆",""),IF(AND(T$6&gt;=$D65,T$6&lt;=$E65),MAX(0,MIN(1,$G65*$F65-(T$6-$D65))),"")))</ns0:f>
      </ns0:c>
      <ns0:c r="U65" s="22" t="str">
        <ns0:f>IF($A65="","",IF($I65="Yes",IF(U$6=$D65,"◆",""),IF(AND(U$6&gt;=$D65,U$6&lt;=$E65),MAX(0,MIN(1,$G65*$F65-(U$6-$D65))),"")))</ns0:f>
      </ns0:c>
      <ns0:c r="V65" s="22" t="str">
        <ns0:f>IF($A65="","",IF($I65="Yes",IF(V$6=$D65,"◆",""),IF(AND(V$6&gt;=$D65,V$6&lt;=$E65),MAX(0,MIN(1,$G65*$F65-(V$6-$D65))),"")))</ns0:f>
      </ns0:c>
      <ns0:c r="W65" s="22" t="str">
        <ns0:f>IF($A65="","",IF($I65="Yes",IF(W$6=$D65,"◆",""),IF(AND(W$6&gt;=$D65,W$6&lt;=$E65),MAX(0,MIN(1,$G65*$F65-(W$6-$D65))),"")))</ns0:f>
      </ns0:c>
      <ns0:c r="X65" s="22" t="str">
        <ns0:f>IF($A65="","",IF($I65="Yes",IF(X$6=$D65,"◆",""),IF(AND(X$6&gt;=$D65,X$6&lt;=$E65),MAX(0,MIN(1,$G65*$F65-(X$6-$D65))),"")))</ns0:f>
      </ns0:c>
      <ns0:c r="Y65" s="22" t="str">
        <ns0:f>IF($A65="","",IF($I65="Yes",IF(Y$6=$D65,"◆",""),IF(AND(Y$6&gt;=$D65,Y$6&lt;=$E65),MAX(0,MIN(1,$G65*$F65-(Y$6-$D65))),"")))</ns0:f>
      </ns0:c>
      <ns0:c r="Z65" s="22" t="str">
        <ns0:f>IF($A65="","",IF($I65="Yes",IF(Z$6=$D65,"◆",""),IF(AND(Z$6&gt;=$D65,Z$6&lt;=$E65),MAX(0,MIN(1,$G65*$F65-(Z$6-$D65))),"")))</ns0:f>
      </ns0:c>
      <ns0:c r="AA65" s="22" t="str">
        <ns0:f>IF($A65="","",IF($I65="Yes",IF(AA$6=$D65,"◆",""),IF(AND(AA$6&gt;=$D65,AA$6&lt;=$E65),MAX(0,MIN(1,$G65*$F65-(AA$6-$D65))),"")))</ns0:f>
      </ns0:c>
      <ns0:c r="AB65" s="22" t="str">
        <ns0:f>IF($A65="","",IF($I65="Yes",IF(AB$6=$D65,"◆",""),IF(AND(AB$6&gt;=$D65,AB$6&lt;=$E65),MAX(0,MIN(1,$G65*$F65-(AB$6-$D65))),"")))</ns0:f>
      </ns0:c>
      <ns0:c r="AC65" s="22" t="str">
        <ns0:f>IF($A65="","",IF($I65="Yes",IF(AC$6=$D65,"◆",""),IF(AND(AC$6&gt;=$D65,AC$6&lt;=$E65),MAX(0,MIN(1,$G65*$F65-(AC$6-$D65))),"")))</ns0:f>
      </ns0:c>
      <ns0:c r="AD65" s="22" t="str">
        <ns0:f>IF($A65="","",IF($I65="Yes",IF(AD$6=$D65,"◆",""),IF(AND(AD$6&gt;=$D65,AD$6&lt;=$E65),MAX(0,MIN(1,$G65*$F65-(AD$6-$D65))),"")))</ns0:f>
      </ns0:c>
      <ns0:c r="AE65" s="22" t="str">
        <ns0:f>IF($A65="","",IF($I65="Yes",IF(AE$6=$D65,"◆",""),IF(AND(AE$6&gt;=$D65,AE$6&lt;=$E65),MAX(0,MIN(1,$G65*$F65-(AE$6-$D65))),"")))</ns0:f>
      </ns0:c>
      <ns0:c r="AF65" s="22" t="str">
        <ns0:f>IF($A65="","",IF($I65="Yes",IF(AF$6=$D65,"◆",""),IF(AND(AF$6&gt;=$D65,AF$6&lt;=$E65),MAX(0,MIN(1,$G65*$F65-(AF$6-$D65))),"")))</ns0:f>
      </ns0:c>
      <ns0:c r="AG65" s="22" t="str">
        <ns0:f>IF($A65="","",IF($I65="Yes",IF(AG$6=$D65,"◆",""),IF(AND(AG$6&gt;=$D65,AG$6&lt;=$E65),MAX(0,MIN(1,$G65*$F65-(AG$6-$D65))),"")))</ns0:f>
      </ns0:c>
      <ns0:c r="AH65" s="22" t="str">
        <ns0:f>IF($A65="","",IF($I65="Yes",IF(AH$6=$D65,"◆",""),IF(AND(AH$6&gt;=$D65,AH$6&lt;=$E65),MAX(0,MIN(1,$G65*$F65-(AH$6-$D65))),"")))</ns0:f>
      </ns0:c>
      <ns0:c r="AI65" s="22" t="str">
        <ns0:f>IF($A65="","",IF($I65="Yes",IF(AI$6=$D65,"◆",""),IF(AND(AI$6&gt;=$D65,AI$6&lt;=$E65),MAX(0,MIN(1,$G65*$F65-(AI$6-$D65))),"")))</ns0:f>
      </ns0:c>
      <ns0:c r="AJ65" s="22" t="str">
        <ns0:f>IF($A65="","",IF($I65="Yes",IF(AJ$6=$D65,"◆",""),IF(AND(AJ$6&gt;=$D65,AJ$6&lt;=$E65),MAX(0,MIN(1,$G65*$F65-(AJ$6-$D65))),"")))</ns0:f>
      </ns0:c>
      <ns0:c r="AK65" s="22" t="str">
        <ns0:f>IF($A65="","",IF($I65="Yes",IF(AK$6=$D65,"◆",""),IF(AND(AK$6&gt;=$D65,AK$6&lt;=$E65),MAX(0,MIN(1,$G65*$F65-(AK$6-$D65))),"")))</ns0:f>
      </ns0:c>
      <ns0:c r="AL65" s="22" t="str">
        <ns0:f>IF($A65="","",IF($I65="Yes",IF(AL$6=$D65,"◆",""),IF(AND(AL$6&gt;=$D65,AL$6&lt;=$E65),MAX(0,MIN(1,$G65*$F65-(AL$6-$D65))),"")))</ns0:f>
      </ns0:c>
      <ns0:c r="AM65" s="22" t="str">
        <ns0:f>IF($A65="","",IF($I65="Yes",IF(AM$6=$D65,"◆",""),IF(AND(AM$6&gt;=$D65,AM$6&lt;=$E65),MAX(0,MIN(1,$G65*$F65-(AM$6-$D65))),"")))</ns0:f>
      </ns0:c>
      <ns0:c r="AN65" s="22" t="str">
        <ns0:f>IF($A65="","",IF($I65="Yes",IF(AN$6=$D65,"◆",""),IF(AND(AN$6&gt;=$D65,AN$6&lt;=$E65),MAX(0,MIN(1,$G65*$F65-(AN$6-$D65))),"")))</ns0:f>
      </ns0:c>
      <ns0:c r="AO65" s="22" t="str">
        <ns0:f>IF($A65="","",IF($I65="Yes",IF(AO$6=$D65,"◆",""),IF(AND(AO$6&gt;=$D65,AO$6&lt;=$E65),MAX(0,MIN(1,$G65*$F65-(AO$6-$D65))),"")))</ns0:f>
      </ns0:c>
      <ns0:c r="AP65" s="22" t="str">
        <ns0:f>IF($A65="","",IF($I65="Yes",IF(AP$6=$D65,"◆",""),IF(AND(AP$6&gt;=$D65,AP$6&lt;=$E65),MAX(0,MIN(1,$G65*$F65-(AP$6-$D65))),"")))</ns0:f>
      </ns0:c>
      <ns0:c r="AQ65" s="22" t="str">
        <ns0:f>IF($A65="","",IF($I65="Yes",IF(AQ$6=$D65,"◆",""),IF(AND(AQ$6&gt;=$D65,AQ$6&lt;=$E65),MAX(0,MIN(1,$G65*$F65-(AQ$6-$D65))),"")))</ns0:f>
      </ns0:c>
      <ns0:c r="AR65" s="22" t="str">
        <ns0:f>IF($A65="","",IF($I65="Yes",IF(AR$6=$D65,"◆",""),IF(AND(AR$6&gt;=$D65,AR$6&lt;=$E65),MAX(0,MIN(1,$G65*$F65-(AR$6-$D65))),"")))</ns0:f>
      </ns0:c>
    </ns0:row>
    <ns0:row r="66" ht="48" customHeight="1">
      <ns0:c r="A66" s="8" t="str">
        <ns0:f>IF(INDEX(Tasks[Task ID],60)="","",INDEX(Tasks[Task ID],60))</ns0:f>
      </ns0:c>
      <ns0:c r="B66" s="8" t="str">
        <ns0:f>IF(INDEX(Tasks[Task ID],60)="","",INDEX(Tasks[Phase],60))</ns0:f>
      </ns0:c>
      <ns0:c r="C66" s="8" t="str">
        <ns0:f>IF(INDEX(Tasks[Task ID],60)="","",INDEX(Tasks[Task Name],60))</ns0:f>
      </ns0:c>
      <ns0:c r="D66" s="18" t="str">
        <ns0:f>IF(INDEX(Tasks[Task ID],60)="","",INDEX(Tasks[Start Date],60))</ns0:f>
      </ns0:c>
      <ns0:c r="E66" s="18" t="str">
        <ns0:f>IF(INDEX(Tasks[Task ID],60)="","",INDEX(Tasks[End Date],60))</ns0:f>
      </ns0:c>
      <ns0:c r="F66" s="8" t="str">
        <ns0:f>IF(INDEX(Tasks[Task ID],60)="","",INDEX(Tasks[Duration],60))</ns0:f>
      </ns0:c>
      <ns0:c r="G66" s="19" t="str">
        <ns0:f>IF(INDEX(Tasks[Task ID],60)="","",INDEX(Tasks[Progress %],60))</ns0:f>
      </ns0:c>
      <ns0:c r="H66" s="8" t="str">
        <ns0:f>IF(INDEX(Tasks[Task ID],60)="","",INDEX('Project Tracker'!$Q$7:$Q$106,60))</ns0:f>
      </ns0:c>
      <ns0:c r="I66" s="8" t="str">
        <ns0:f>IF(INDEX(Tasks[Task ID],60)="","",INDEX(Tasks[Milestone],60))</ns0:f>
      </ns0:c>
      <ns0:c r="J66" s="8" t="str">
        <ns0:f>IF(INDEX(Tasks[Task ID],60)="","",INDEX(Tasks[Schedule Health],60))</ns0:f>
      </ns0:c>
      <ns0:c r="K66" s="22" t="str">
        <ns0:f>IF($A66="","",IF($I66="Yes",IF(K$6=$D66,"◆",""),IF(AND(K$6&gt;=$D66,K$6&lt;=$E66),MAX(0,MIN(1,$G66*$F66-(K$6-$D66))),"")))</ns0:f>
      </ns0:c>
      <ns0:c r="L66" s="22" t="str">
        <ns0:f>IF($A66="","",IF($I66="Yes",IF(L$6=$D66,"◆",""),IF(AND(L$6&gt;=$D66,L$6&lt;=$E66),MAX(0,MIN(1,$G66*$F66-(L$6-$D66))),"")))</ns0:f>
      </ns0:c>
      <ns0:c r="M66" s="22" t="str">
        <ns0:f>IF($A66="","",IF($I66="Yes",IF(M$6=$D66,"◆",""),IF(AND(M$6&gt;=$D66,M$6&lt;=$E66),MAX(0,MIN(1,$G66*$F66-(M$6-$D66))),"")))</ns0:f>
      </ns0:c>
      <ns0:c r="N66" s="22" t="str">
        <ns0:f>IF($A66="","",IF($I66="Yes",IF(N$6=$D66,"◆",""),IF(AND(N$6&gt;=$D66,N$6&lt;=$E66),MAX(0,MIN(1,$G66*$F66-(N$6-$D66))),"")))</ns0:f>
      </ns0:c>
      <ns0:c r="O66" s="22" t="str">
        <ns0:f>IF($A66="","",IF($I66="Yes",IF(O$6=$D66,"◆",""),IF(AND(O$6&gt;=$D66,O$6&lt;=$E66),MAX(0,MIN(1,$G66*$F66-(O$6-$D66))),"")))</ns0:f>
      </ns0:c>
      <ns0:c r="P66" s="22" t="str">
        <ns0:f>IF($A66="","",IF($I66="Yes",IF(P$6=$D66,"◆",""),IF(AND(P$6&gt;=$D66,P$6&lt;=$E66),MAX(0,MIN(1,$G66*$F66-(P$6-$D66))),"")))</ns0:f>
      </ns0:c>
      <ns0:c r="Q66" s="22" t="str">
        <ns0:f>IF($A66="","",IF($I66="Yes",IF(Q$6=$D66,"◆",""),IF(AND(Q$6&gt;=$D66,Q$6&lt;=$E66),MAX(0,MIN(1,$G66*$F66-(Q$6-$D66))),"")))</ns0:f>
      </ns0:c>
      <ns0:c r="R66" s="22" t="str">
        <ns0:f>IF($A66="","",IF($I66="Yes",IF(R$6=$D66,"◆",""),IF(AND(R$6&gt;=$D66,R$6&lt;=$E66),MAX(0,MIN(1,$G66*$F66-(R$6-$D66))),"")))</ns0:f>
      </ns0:c>
      <ns0:c r="S66" s="22" t="str">
        <ns0:f>IF($A66="","",IF($I66="Yes",IF(S$6=$D66,"◆",""),IF(AND(S$6&gt;=$D66,S$6&lt;=$E66),MAX(0,MIN(1,$G66*$F66-(S$6-$D66))),"")))</ns0:f>
      </ns0:c>
      <ns0:c r="T66" s="22" t="str">
        <ns0:f>IF($A66="","",IF($I66="Yes",IF(T$6=$D66,"◆",""),IF(AND(T$6&gt;=$D66,T$6&lt;=$E66),MAX(0,MIN(1,$G66*$F66-(T$6-$D66))),"")))</ns0:f>
      </ns0:c>
      <ns0:c r="U66" s="22" t="str">
        <ns0:f>IF($A66="","",IF($I66="Yes",IF(U$6=$D66,"◆",""),IF(AND(U$6&gt;=$D66,U$6&lt;=$E66),MAX(0,MIN(1,$G66*$F66-(U$6-$D66))),"")))</ns0:f>
      </ns0:c>
      <ns0:c r="V66" s="22" t="str">
        <ns0:f>IF($A66="","",IF($I66="Yes",IF(V$6=$D66,"◆",""),IF(AND(V$6&gt;=$D66,V$6&lt;=$E66),MAX(0,MIN(1,$G66*$F66-(V$6-$D66))),"")))</ns0:f>
      </ns0:c>
      <ns0:c r="W66" s="22" t="str">
        <ns0:f>IF($A66="","",IF($I66="Yes",IF(W$6=$D66,"◆",""),IF(AND(W$6&gt;=$D66,W$6&lt;=$E66),MAX(0,MIN(1,$G66*$F66-(W$6-$D66))),"")))</ns0:f>
      </ns0:c>
      <ns0:c r="X66" s="22" t="str">
        <ns0:f>IF($A66="","",IF($I66="Yes",IF(X$6=$D66,"◆",""),IF(AND(X$6&gt;=$D66,X$6&lt;=$E66),MAX(0,MIN(1,$G66*$F66-(X$6-$D66))),"")))</ns0:f>
      </ns0:c>
      <ns0:c r="Y66" s="22" t="str">
        <ns0:f>IF($A66="","",IF($I66="Yes",IF(Y$6=$D66,"◆",""),IF(AND(Y$6&gt;=$D66,Y$6&lt;=$E66),MAX(0,MIN(1,$G66*$F66-(Y$6-$D66))),"")))</ns0:f>
      </ns0:c>
      <ns0:c r="Z66" s="22" t="str">
        <ns0:f>IF($A66="","",IF($I66="Yes",IF(Z$6=$D66,"◆",""),IF(AND(Z$6&gt;=$D66,Z$6&lt;=$E66),MAX(0,MIN(1,$G66*$F66-(Z$6-$D66))),"")))</ns0:f>
      </ns0:c>
      <ns0:c r="AA66" s="22" t="str">
        <ns0:f>IF($A66="","",IF($I66="Yes",IF(AA$6=$D66,"◆",""),IF(AND(AA$6&gt;=$D66,AA$6&lt;=$E66),MAX(0,MIN(1,$G66*$F66-(AA$6-$D66))),"")))</ns0:f>
      </ns0:c>
      <ns0:c r="AB66" s="22" t="str">
        <ns0:f>IF($A66="","",IF($I66="Yes",IF(AB$6=$D66,"◆",""),IF(AND(AB$6&gt;=$D66,AB$6&lt;=$E66),MAX(0,MIN(1,$G66*$F66-(AB$6-$D66))),"")))</ns0:f>
      </ns0:c>
      <ns0:c r="AC66" s="22" t="str">
        <ns0:f>IF($A66="","",IF($I66="Yes",IF(AC$6=$D66,"◆",""),IF(AND(AC$6&gt;=$D66,AC$6&lt;=$E66),MAX(0,MIN(1,$G66*$F66-(AC$6-$D66))),"")))</ns0:f>
      </ns0:c>
      <ns0:c r="AD66" s="22" t="str">
        <ns0:f>IF($A66="","",IF($I66="Yes",IF(AD$6=$D66,"◆",""),IF(AND(AD$6&gt;=$D66,AD$6&lt;=$E66),MAX(0,MIN(1,$G66*$F66-(AD$6-$D66))),"")))</ns0:f>
      </ns0:c>
      <ns0:c r="AE66" s="22" t="str">
        <ns0:f>IF($A66="","",IF($I66="Yes",IF(AE$6=$D66,"◆",""),IF(AND(AE$6&gt;=$D66,AE$6&lt;=$E66),MAX(0,MIN(1,$G66*$F66-(AE$6-$D66))),"")))</ns0:f>
      </ns0:c>
      <ns0:c r="AF66" s="22" t="str">
        <ns0:f>IF($A66="","",IF($I66="Yes",IF(AF$6=$D66,"◆",""),IF(AND(AF$6&gt;=$D66,AF$6&lt;=$E66),MAX(0,MIN(1,$G66*$F66-(AF$6-$D66))),"")))</ns0:f>
      </ns0:c>
      <ns0:c r="AG66" s="22" t="str">
        <ns0:f>IF($A66="","",IF($I66="Yes",IF(AG$6=$D66,"◆",""),IF(AND(AG$6&gt;=$D66,AG$6&lt;=$E66),MAX(0,MIN(1,$G66*$F66-(AG$6-$D66))),"")))</ns0:f>
      </ns0:c>
      <ns0:c r="AH66" s="22" t="str">
        <ns0:f>IF($A66="","",IF($I66="Yes",IF(AH$6=$D66,"◆",""),IF(AND(AH$6&gt;=$D66,AH$6&lt;=$E66),MAX(0,MIN(1,$G66*$F66-(AH$6-$D66))),"")))</ns0:f>
      </ns0:c>
      <ns0:c r="AI66" s="22" t="str">
        <ns0:f>IF($A66="","",IF($I66="Yes",IF(AI$6=$D66,"◆",""),IF(AND(AI$6&gt;=$D66,AI$6&lt;=$E66),MAX(0,MIN(1,$G66*$F66-(AI$6-$D66))),"")))</ns0:f>
      </ns0:c>
      <ns0:c r="AJ66" s="22" t="str">
        <ns0:f>IF($A66="","",IF($I66="Yes",IF(AJ$6=$D66,"◆",""),IF(AND(AJ$6&gt;=$D66,AJ$6&lt;=$E66),MAX(0,MIN(1,$G66*$F66-(AJ$6-$D66))),"")))</ns0:f>
      </ns0:c>
      <ns0:c r="AK66" s="22" t="str">
        <ns0:f>IF($A66="","",IF($I66="Yes",IF(AK$6=$D66,"◆",""),IF(AND(AK$6&gt;=$D66,AK$6&lt;=$E66),MAX(0,MIN(1,$G66*$F66-(AK$6-$D66))),"")))</ns0:f>
      </ns0:c>
      <ns0:c r="AL66" s="22" t="str">
        <ns0:f>IF($A66="","",IF($I66="Yes",IF(AL$6=$D66,"◆",""),IF(AND(AL$6&gt;=$D66,AL$6&lt;=$E66),MAX(0,MIN(1,$G66*$F66-(AL$6-$D66))),"")))</ns0:f>
      </ns0:c>
      <ns0:c r="AM66" s="22" t="str">
        <ns0:f>IF($A66="","",IF($I66="Yes",IF(AM$6=$D66,"◆",""),IF(AND(AM$6&gt;=$D66,AM$6&lt;=$E66),MAX(0,MIN(1,$G66*$F66-(AM$6-$D66))),"")))</ns0:f>
      </ns0:c>
      <ns0:c r="AN66" s="22" t="str">
        <ns0:f>IF($A66="","",IF($I66="Yes",IF(AN$6=$D66,"◆",""),IF(AND(AN$6&gt;=$D66,AN$6&lt;=$E66),MAX(0,MIN(1,$G66*$F66-(AN$6-$D66))),"")))</ns0:f>
      </ns0:c>
      <ns0:c r="AO66" s="22" t="str">
        <ns0:f>IF($A66="","",IF($I66="Yes",IF(AO$6=$D66,"◆",""),IF(AND(AO$6&gt;=$D66,AO$6&lt;=$E66),MAX(0,MIN(1,$G66*$F66-(AO$6-$D66))),"")))</ns0:f>
      </ns0:c>
      <ns0:c r="AP66" s="22" t="str">
        <ns0:f>IF($A66="","",IF($I66="Yes",IF(AP$6=$D66,"◆",""),IF(AND(AP$6&gt;=$D66,AP$6&lt;=$E66),MAX(0,MIN(1,$G66*$F66-(AP$6-$D66))),"")))</ns0:f>
      </ns0:c>
      <ns0:c r="AQ66" s="22" t="str">
        <ns0:f>IF($A66="","",IF($I66="Yes",IF(AQ$6=$D66,"◆",""),IF(AND(AQ$6&gt;=$D66,AQ$6&lt;=$E66),MAX(0,MIN(1,$G66*$F66-(AQ$6-$D66))),"")))</ns0:f>
      </ns0:c>
      <ns0:c r="AR66" s="22" t="str">
        <ns0:f>IF($A66="","",IF($I66="Yes",IF(AR$6=$D66,"◆",""),IF(AND(AR$6&gt;=$D66,AR$6&lt;=$E66),MAX(0,MIN(1,$G66*$F66-(AR$6-$D66))),"")))</ns0:f>
      </ns0:c>
    </ns0:row>
    <ns0:row r="67" ht="48" customHeight="1">
      <ns0:c r="A67" s="8" t="str">
        <ns0:f>IF(INDEX(Tasks[Task ID],61)="","",INDEX(Tasks[Task ID],61))</ns0:f>
      </ns0:c>
      <ns0:c r="B67" s="8" t="str">
        <ns0:f>IF(INDEX(Tasks[Task ID],61)="","",INDEX(Tasks[Phase],61))</ns0:f>
      </ns0:c>
      <ns0:c r="C67" s="8" t="str">
        <ns0:f>IF(INDEX(Tasks[Task ID],61)="","",INDEX(Tasks[Task Name],61))</ns0:f>
      </ns0:c>
      <ns0:c r="D67" s="18" t="str">
        <ns0:f>IF(INDEX(Tasks[Task ID],61)="","",INDEX(Tasks[Start Date],61))</ns0:f>
      </ns0:c>
      <ns0:c r="E67" s="18" t="str">
        <ns0:f>IF(INDEX(Tasks[Task ID],61)="","",INDEX(Tasks[End Date],61))</ns0:f>
      </ns0:c>
      <ns0:c r="F67" s="8" t="str">
        <ns0:f>IF(INDEX(Tasks[Task ID],61)="","",INDEX(Tasks[Duration],61))</ns0:f>
      </ns0:c>
      <ns0:c r="G67" s="19" t="str">
        <ns0:f>IF(INDEX(Tasks[Task ID],61)="","",INDEX(Tasks[Progress %],61))</ns0:f>
      </ns0:c>
      <ns0:c r="H67" s="8" t="str">
        <ns0:f>IF(INDEX(Tasks[Task ID],61)="","",INDEX('Project Tracker'!$Q$7:$Q$106,61))</ns0:f>
      </ns0:c>
      <ns0:c r="I67" s="8" t="str">
        <ns0:f>IF(INDEX(Tasks[Task ID],61)="","",INDEX(Tasks[Milestone],61))</ns0:f>
      </ns0:c>
      <ns0:c r="J67" s="8" t="str">
        <ns0:f>IF(INDEX(Tasks[Task ID],61)="","",INDEX(Tasks[Schedule Health],61))</ns0:f>
      </ns0:c>
      <ns0:c r="K67" s="22" t="str">
        <ns0:f>IF($A67="","",IF($I67="Yes",IF(K$6=$D67,"◆",""),IF(AND(K$6&gt;=$D67,K$6&lt;=$E67),MAX(0,MIN(1,$G67*$F67-(K$6-$D67))),"")))</ns0:f>
      </ns0:c>
      <ns0:c r="L67" s="22" t="str">
        <ns0:f>IF($A67="","",IF($I67="Yes",IF(L$6=$D67,"◆",""),IF(AND(L$6&gt;=$D67,L$6&lt;=$E67),MAX(0,MIN(1,$G67*$F67-(L$6-$D67))),"")))</ns0:f>
      </ns0:c>
      <ns0:c r="M67" s="22" t="str">
        <ns0:f>IF($A67="","",IF($I67="Yes",IF(M$6=$D67,"◆",""),IF(AND(M$6&gt;=$D67,M$6&lt;=$E67),MAX(0,MIN(1,$G67*$F67-(M$6-$D67))),"")))</ns0:f>
      </ns0:c>
      <ns0:c r="N67" s="22" t="str">
        <ns0:f>IF($A67="","",IF($I67="Yes",IF(N$6=$D67,"◆",""),IF(AND(N$6&gt;=$D67,N$6&lt;=$E67),MAX(0,MIN(1,$G67*$F67-(N$6-$D67))),"")))</ns0:f>
      </ns0:c>
      <ns0:c r="O67" s="22" t="str">
        <ns0:f>IF($A67="","",IF($I67="Yes",IF(O$6=$D67,"◆",""),IF(AND(O$6&gt;=$D67,O$6&lt;=$E67),MAX(0,MIN(1,$G67*$F67-(O$6-$D67))),"")))</ns0:f>
      </ns0:c>
      <ns0:c r="P67" s="22" t="str">
        <ns0:f>IF($A67="","",IF($I67="Yes",IF(P$6=$D67,"◆",""),IF(AND(P$6&gt;=$D67,P$6&lt;=$E67),MAX(0,MIN(1,$G67*$F67-(P$6-$D67))),"")))</ns0:f>
      </ns0:c>
      <ns0:c r="Q67" s="22" t="str">
        <ns0:f>IF($A67="","",IF($I67="Yes",IF(Q$6=$D67,"◆",""),IF(AND(Q$6&gt;=$D67,Q$6&lt;=$E67),MAX(0,MIN(1,$G67*$F67-(Q$6-$D67))),"")))</ns0:f>
      </ns0:c>
      <ns0:c r="R67" s="22" t="str">
        <ns0:f>IF($A67="","",IF($I67="Yes",IF(R$6=$D67,"◆",""),IF(AND(R$6&gt;=$D67,R$6&lt;=$E67),MAX(0,MIN(1,$G67*$F67-(R$6-$D67))),"")))</ns0:f>
      </ns0:c>
      <ns0:c r="S67" s="22" t="str">
        <ns0:f>IF($A67="","",IF($I67="Yes",IF(S$6=$D67,"◆",""),IF(AND(S$6&gt;=$D67,S$6&lt;=$E67),MAX(0,MIN(1,$G67*$F67-(S$6-$D67))),"")))</ns0:f>
      </ns0:c>
      <ns0:c r="T67" s="22" t="str">
        <ns0:f>IF($A67="","",IF($I67="Yes",IF(T$6=$D67,"◆",""),IF(AND(T$6&gt;=$D67,T$6&lt;=$E67),MAX(0,MIN(1,$G67*$F67-(T$6-$D67))),"")))</ns0:f>
      </ns0:c>
      <ns0:c r="U67" s="22" t="str">
        <ns0:f>IF($A67="","",IF($I67="Yes",IF(U$6=$D67,"◆",""),IF(AND(U$6&gt;=$D67,U$6&lt;=$E67),MAX(0,MIN(1,$G67*$F67-(U$6-$D67))),"")))</ns0:f>
      </ns0:c>
      <ns0:c r="V67" s="22" t="str">
        <ns0:f>IF($A67="","",IF($I67="Yes",IF(V$6=$D67,"◆",""),IF(AND(V$6&gt;=$D67,V$6&lt;=$E67),MAX(0,MIN(1,$G67*$F67-(V$6-$D67))),"")))</ns0:f>
      </ns0:c>
      <ns0:c r="W67" s="22" t="str">
        <ns0:f>IF($A67="","",IF($I67="Yes",IF(W$6=$D67,"◆",""),IF(AND(W$6&gt;=$D67,W$6&lt;=$E67),MAX(0,MIN(1,$G67*$F67-(W$6-$D67))),"")))</ns0:f>
      </ns0:c>
      <ns0:c r="X67" s="22" t="str">
        <ns0:f>IF($A67="","",IF($I67="Yes",IF(X$6=$D67,"◆",""),IF(AND(X$6&gt;=$D67,X$6&lt;=$E67),MAX(0,MIN(1,$G67*$F67-(X$6-$D67))),"")))</ns0:f>
      </ns0:c>
      <ns0:c r="Y67" s="22" t="str">
        <ns0:f>IF($A67="","",IF($I67="Yes",IF(Y$6=$D67,"◆",""),IF(AND(Y$6&gt;=$D67,Y$6&lt;=$E67),MAX(0,MIN(1,$G67*$F67-(Y$6-$D67))),"")))</ns0:f>
      </ns0:c>
      <ns0:c r="Z67" s="22" t="str">
        <ns0:f>IF($A67="","",IF($I67="Yes",IF(Z$6=$D67,"◆",""),IF(AND(Z$6&gt;=$D67,Z$6&lt;=$E67),MAX(0,MIN(1,$G67*$F67-(Z$6-$D67))),"")))</ns0:f>
      </ns0:c>
      <ns0:c r="AA67" s="22" t="str">
        <ns0:f>IF($A67="","",IF($I67="Yes",IF(AA$6=$D67,"◆",""),IF(AND(AA$6&gt;=$D67,AA$6&lt;=$E67),MAX(0,MIN(1,$G67*$F67-(AA$6-$D67))),"")))</ns0:f>
      </ns0:c>
      <ns0:c r="AB67" s="22" t="str">
        <ns0:f>IF($A67="","",IF($I67="Yes",IF(AB$6=$D67,"◆",""),IF(AND(AB$6&gt;=$D67,AB$6&lt;=$E67),MAX(0,MIN(1,$G67*$F67-(AB$6-$D67))),"")))</ns0:f>
      </ns0:c>
      <ns0:c r="AC67" s="22" t="str">
        <ns0:f>IF($A67="","",IF($I67="Yes",IF(AC$6=$D67,"◆",""),IF(AND(AC$6&gt;=$D67,AC$6&lt;=$E67),MAX(0,MIN(1,$G67*$F67-(AC$6-$D67))),"")))</ns0:f>
      </ns0:c>
      <ns0:c r="AD67" s="22" t="str">
        <ns0:f>IF($A67="","",IF($I67="Yes",IF(AD$6=$D67,"◆",""),IF(AND(AD$6&gt;=$D67,AD$6&lt;=$E67),MAX(0,MIN(1,$G67*$F67-(AD$6-$D67))),"")))</ns0:f>
      </ns0:c>
      <ns0:c r="AE67" s="22" t="str">
        <ns0:f>IF($A67="","",IF($I67="Yes",IF(AE$6=$D67,"◆",""),IF(AND(AE$6&gt;=$D67,AE$6&lt;=$E67),MAX(0,MIN(1,$G67*$F67-(AE$6-$D67))),"")))</ns0:f>
      </ns0:c>
      <ns0:c r="AF67" s="22" t="str">
        <ns0:f>IF($A67="","",IF($I67="Yes",IF(AF$6=$D67,"◆",""),IF(AND(AF$6&gt;=$D67,AF$6&lt;=$E67),MAX(0,MIN(1,$G67*$F67-(AF$6-$D67))),"")))</ns0:f>
      </ns0:c>
      <ns0:c r="AG67" s="22" t="str">
        <ns0:f>IF($A67="","",IF($I67="Yes",IF(AG$6=$D67,"◆",""),IF(AND(AG$6&gt;=$D67,AG$6&lt;=$E67),MAX(0,MIN(1,$G67*$F67-(AG$6-$D67))),"")))</ns0:f>
      </ns0:c>
      <ns0:c r="AH67" s="22" t="str">
        <ns0:f>IF($A67="","",IF($I67="Yes",IF(AH$6=$D67,"◆",""),IF(AND(AH$6&gt;=$D67,AH$6&lt;=$E67),MAX(0,MIN(1,$G67*$F67-(AH$6-$D67))),"")))</ns0:f>
      </ns0:c>
      <ns0:c r="AI67" s="22" t="str">
        <ns0:f>IF($A67="","",IF($I67="Yes",IF(AI$6=$D67,"◆",""),IF(AND(AI$6&gt;=$D67,AI$6&lt;=$E67),MAX(0,MIN(1,$G67*$F67-(AI$6-$D67))),"")))</ns0:f>
      </ns0:c>
      <ns0:c r="AJ67" s="22" t="str">
        <ns0:f>IF($A67="","",IF($I67="Yes",IF(AJ$6=$D67,"◆",""),IF(AND(AJ$6&gt;=$D67,AJ$6&lt;=$E67),MAX(0,MIN(1,$G67*$F67-(AJ$6-$D67))),"")))</ns0:f>
      </ns0:c>
      <ns0:c r="AK67" s="22" t="str">
        <ns0:f>IF($A67="","",IF($I67="Yes",IF(AK$6=$D67,"◆",""),IF(AND(AK$6&gt;=$D67,AK$6&lt;=$E67),MAX(0,MIN(1,$G67*$F67-(AK$6-$D67))),"")))</ns0:f>
      </ns0:c>
      <ns0:c r="AL67" s="22" t="str">
        <ns0:f>IF($A67="","",IF($I67="Yes",IF(AL$6=$D67,"◆",""),IF(AND(AL$6&gt;=$D67,AL$6&lt;=$E67),MAX(0,MIN(1,$G67*$F67-(AL$6-$D67))),"")))</ns0:f>
      </ns0:c>
      <ns0:c r="AM67" s="22" t="str">
        <ns0:f>IF($A67="","",IF($I67="Yes",IF(AM$6=$D67,"◆",""),IF(AND(AM$6&gt;=$D67,AM$6&lt;=$E67),MAX(0,MIN(1,$G67*$F67-(AM$6-$D67))),"")))</ns0:f>
      </ns0:c>
      <ns0:c r="AN67" s="22" t="str">
        <ns0:f>IF($A67="","",IF($I67="Yes",IF(AN$6=$D67,"◆",""),IF(AND(AN$6&gt;=$D67,AN$6&lt;=$E67),MAX(0,MIN(1,$G67*$F67-(AN$6-$D67))),"")))</ns0:f>
      </ns0:c>
      <ns0:c r="AO67" s="22" t="str">
        <ns0:f>IF($A67="","",IF($I67="Yes",IF(AO$6=$D67,"◆",""),IF(AND(AO$6&gt;=$D67,AO$6&lt;=$E67),MAX(0,MIN(1,$G67*$F67-(AO$6-$D67))),"")))</ns0:f>
      </ns0:c>
      <ns0:c r="AP67" s="22" t="str">
        <ns0:f>IF($A67="","",IF($I67="Yes",IF(AP$6=$D67,"◆",""),IF(AND(AP$6&gt;=$D67,AP$6&lt;=$E67),MAX(0,MIN(1,$G67*$F67-(AP$6-$D67))),"")))</ns0:f>
      </ns0:c>
      <ns0:c r="AQ67" s="22" t="str">
        <ns0:f>IF($A67="","",IF($I67="Yes",IF(AQ$6=$D67,"◆",""),IF(AND(AQ$6&gt;=$D67,AQ$6&lt;=$E67),MAX(0,MIN(1,$G67*$F67-(AQ$6-$D67))),"")))</ns0:f>
      </ns0:c>
      <ns0:c r="AR67" s="22" t="str">
        <ns0:f>IF($A67="","",IF($I67="Yes",IF(AR$6=$D67,"◆",""),IF(AND(AR$6&gt;=$D67,AR$6&lt;=$E67),MAX(0,MIN(1,$G67*$F67-(AR$6-$D67))),"")))</ns0:f>
      </ns0:c>
    </ns0:row>
    <ns0:row r="68" ht="48" customHeight="1">
      <ns0:c r="A68" s="8" t="str">
        <ns0:f>IF(INDEX(Tasks[Task ID],62)="","",INDEX(Tasks[Task ID],62))</ns0:f>
      </ns0:c>
      <ns0:c r="B68" s="8" t="str">
        <ns0:f>IF(INDEX(Tasks[Task ID],62)="","",INDEX(Tasks[Phase],62))</ns0:f>
      </ns0:c>
      <ns0:c r="C68" s="8" t="str">
        <ns0:f>IF(INDEX(Tasks[Task ID],62)="","",INDEX(Tasks[Task Name],62))</ns0:f>
      </ns0:c>
      <ns0:c r="D68" s="18" t="str">
        <ns0:f>IF(INDEX(Tasks[Task ID],62)="","",INDEX(Tasks[Start Date],62))</ns0:f>
      </ns0:c>
      <ns0:c r="E68" s="18" t="str">
        <ns0:f>IF(INDEX(Tasks[Task ID],62)="","",INDEX(Tasks[End Date],62))</ns0:f>
      </ns0:c>
      <ns0:c r="F68" s="8" t="str">
        <ns0:f>IF(INDEX(Tasks[Task ID],62)="","",INDEX(Tasks[Duration],62))</ns0:f>
      </ns0:c>
      <ns0:c r="G68" s="19" t="str">
        <ns0:f>IF(INDEX(Tasks[Task ID],62)="","",INDEX(Tasks[Progress %],62))</ns0:f>
      </ns0:c>
      <ns0:c r="H68" s="8" t="str">
        <ns0:f>IF(INDEX(Tasks[Task ID],62)="","",INDEX('Project Tracker'!$Q$7:$Q$106,62))</ns0:f>
      </ns0:c>
      <ns0:c r="I68" s="8" t="str">
        <ns0:f>IF(INDEX(Tasks[Task ID],62)="","",INDEX(Tasks[Milestone],62))</ns0:f>
      </ns0:c>
      <ns0:c r="J68" s="8" t="str">
        <ns0:f>IF(INDEX(Tasks[Task ID],62)="","",INDEX(Tasks[Schedule Health],62))</ns0:f>
      </ns0:c>
      <ns0:c r="K68" s="22" t="str">
        <ns0:f>IF($A68="","",IF($I68="Yes",IF(K$6=$D68,"◆",""),IF(AND(K$6&gt;=$D68,K$6&lt;=$E68),MAX(0,MIN(1,$G68*$F68-(K$6-$D68))),"")))</ns0:f>
      </ns0:c>
      <ns0:c r="L68" s="22" t="str">
        <ns0:f>IF($A68="","",IF($I68="Yes",IF(L$6=$D68,"◆",""),IF(AND(L$6&gt;=$D68,L$6&lt;=$E68),MAX(0,MIN(1,$G68*$F68-(L$6-$D68))),"")))</ns0:f>
      </ns0:c>
      <ns0:c r="M68" s="22" t="str">
        <ns0:f>IF($A68="","",IF($I68="Yes",IF(M$6=$D68,"◆",""),IF(AND(M$6&gt;=$D68,M$6&lt;=$E68),MAX(0,MIN(1,$G68*$F68-(M$6-$D68))),"")))</ns0:f>
      </ns0:c>
      <ns0:c r="N68" s="22" t="str">
        <ns0:f>IF($A68="","",IF($I68="Yes",IF(N$6=$D68,"◆",""),IF(AND(N$6&gt;=$D68,N$6&lt;=$E68),MAX(0,MIN(1,$G68*$F68-(N$6-$D68))),"")))</ns0:f>
      </ns0:c>
      <ns0:c r="O68" s="22" t="str">
        <ns0:f>IF($A68="","",IF($I68="Yes",IF(O$6=$D68,"◆",""),IF(AND(O$6&gt;=$D68,O$6&lt;=$E68),MAX(0,MIN(1,$G68*$F68-(O$6-$D68))),"")))</ns0:f>
      </ns0:c>
      <ns0:c r="P68" s="22" t="str">
        <ns0:f>IF($A68="","",IF($I68="Yes",IF(P$6=$D68,"◆",""),IF(AND(P$6&gt;=$D68,P$6&lt;=$E68),MAX(0,MIN(1,$G68*$F68-(P$6-$D68))),"")))</ns0:f>
      </ns0:c>
      <ns0:c r="Q68" s="22" t="str">
        <ns0:f>IF($A68="","",IF($I68="Yes",IF(Q$6=$D68,"◆",""),IF(AND(Q$6&gt;=$D68,Q$6&lt;=$E68),MAX(0,MIN(1,$G68*$F68-(Q$6-$D68))),"")))</ns0:f>
      </ns0:c>
      <ns0:c r="R68" s="22" t="str">
        <ns0:f>IF($A68="","",IF($I68="Yes",IF(R$6=$D68,"◆",""),IF(AND(R$6&gt;=$D68,R$6&lt;=$E68),MAX(0,MIN(1,$G68*$F68-(R$6-$D68))),"")))</ns0:f>
      </ns0:c>
      <ns0:c r="S68" s="22" t="str">
        <ns0:f>IF($A68="","",IF($I68="Yes",IF(S$6=$D68,"◆",""),IF(AND(S$6&gt;=$D68,S$6&lt;=$E68),MAX(0,MIN(1,$G68*$F68-(S$6-$D68))),"")))</ns0:f>
      </ns0:c>
      <ns0:c r="T68" s="22" t="str">
        <ns0:f>IF($A68="","",IF($I68="Yes",IF(T$6=$D68,"◆",""),IF(AND(T$6&gt;=$D68,T$6&lt;=$E68),MAX(0,MIN(1,$G68*$F68-(T$6-$D68))),"")))</ns0:f>
      </ns0:c>
      <ns0:c r="U68" s="22" t="str">
        <ns0:f>IF($A68="","",IF($I68="Yes",IF(U$6=$D68,"◆",""),IF(AND(U$6&gt;=$D68,U$6&lt;=$E68),MAX(0,MIN(1,$G68*$F68-(U$6-$D68))),"")))</ns0:f>
      </ns0:c>
      <ns0:c r="V68" s="22" t="str">
        <ns0:f>IF($A68="","",IF($I68="Yes",IF(V$6=$D68,"◆",""),IF(AND(V$6&gt;=$D68,V$6&lt;=$E68),MAX(0,MIN(1,$G68*$F68-(V$6-$D68))),"")))</ns0:f>
      </ns0:c>
      <ns0:c r="W68" s="22" t="str">
        <ns0:f>IF($A68="","",IF($I68="Yes",IF(W$6=$D68,"◆",""),IF(AND(W$6&gt;=$D68,W$6&lt;=$E68),MAX(0,MIN(1,$G68*$F68-(W$6-$D68))),"")))</ns0:f>
      </ns0:c>
      <ns0:c r="X68" s="22" t="str">
        <ns0:f>IF($A68="","",IF($I68="Yes",IF(X$6=$D68,"◆",""),IF(AND(X$6&gt;=$D68,X$6&lt;=$E68),MAX(0,MIN(1,$G68*$F68-(X$6-$D68))),"")))</ns0:f>
      </ns0:c>
      <ns0:c r="Y68" s="22" t="str">
        <ns0:f>IF($A68="","",IF($I68="Yes",IF(Y$6=$D68,"◆",""),IF(AND(Y$6&gt;=$D68,Y$6&lt;=$E68),MAX(0,MIN(1,$G68*$F68-(Y$6-$D68))),"")))</ns0:f>
      </ns0:c>
      <ns0:c r="Z68" s="22" t="str">
        <ns0:f>IF($A68="","",IF($I68="Yes",IF(Z$6=$D68,"◆",""),IF(AND(Z$6&gt;=$D68,Z$6&lt;=$E68),MAX(0,MIN(1,$G68*$F68-(Z$6-$D68))),"")))</ns0:f>
      </ns0:c>
      <ns0:c r="AA68" s="22" t="str">
        <ns0:f>IF($A68="","",IF($I68="Yes",IF(AA$6=$D68,"◆",""),IF(AND(AA$6&gt;=$D68,AA$6&lt;=$E68),MAX(0,MIN(1,$G68*$F68-(AA$6-$D68))),"")))</ns0:f>
      </ns0:c>
      <ns0:c r="AB68" s="22" t="str">
        <ns0:f>IF($A68="","",IF($I68="Yes",IF(AB$6=$D68,"◆",""),IF(AND(AB$6&gt;=$D68,AB$6&lt;=$E68),MAX(0,MIN(1,$G68*$F68-(AB$6-$D68))),"")))</ns0:f>
      </ns0:c>
      <ns0:c r="AC68" s="22" t="str">
        <ns0:f>IF($A68="","",IF($I68="Yes",IF(AC$6=$D68,"◆",""),IF(AND(AC$6&gt;=$D68,AC$6&lt;=$E68),MAX(0,MIN(1,$G68*$F68-(AC$6-$D68))),"")))</ns0:f>
      </ns0:c>
      <ns0:c r="AD68" s="22" t="str">
        <ns0:f>IF($A68="","",IF($I68="Yes",IF(AD$6=$D68,"◆",""),IF(AND(AD$6&gt;=$D68,AD$6&lt;=$E68),MAX(0,MIN(1,$G68*$F68-(AD$6-$D68))),"")))</ns0:f>
      </ns0:c>
      <ns0:c r="AE68" s="22" t="str">
        <ns0:f>IF($A68="","",IF($I68="Yes",IF(AE$6=$D68,"◆",""),IF(AND(AE$6&gt;=$D68,AE$6&lt;=$E68),MAX(0,MIN(1,$G68*$F68-(AE$6-$D68))),"")))</ns0:f>
      </ns0:c>
      <ns0:c r="AF68" s="22" t="str">
        <ns0:f>IF($A68="","",IF($I68="Yes",IF(AF$6=$D68,"◆",""),IF(AND(AF$6&gt;=$D68,AF$6&lt;=$E68),MAX(0,MIN(1,$G68*$F68-(AF$6-$D68))),"")))</ns0:f>
      </ns0:c>
      <ns0:c r="AG68" s="22" t="str">
        <ns0:f>IF($A68="","",IF($I68="Yes",IF(AG$6=$D68,"◆",""),IF(AND(AG$6&gt;=$D68,AG$6&lt;=$E68),MAX(0,MIN(1,$G68*$F68-(AG$6-$D68))),"")))</ns0:f>
      </ns0:c>
      <ns0:c r="AH68" s="22" t="str">
        <ns0:f>IF($A68="","",IF($I68="Yes",IF(AH$6=$D68,"◆",""),IF(AND(AH$6&gt;=$D68,AH$6&lt;=$E68),MAX(0,MIN(1,$G68*$F68-(AH$6-$D68))),"")))</ns0:f>
      </ns0:c>
      <ns0:c r="AI68" s="22" t="str">
        <ns0:f>IF($A68="","",IF($I68="Yes",IF(AI$6=$D68,"◆",""),IF(AND(AI$6&gt;=$D68,AI$6&lt;=$E68),MAX(0,MIN(1,$G68*$F68-(AI$6-$D68))),"")))</ns0:f>
      </ns0:c>
      <ns0:c r="AJ68" s="22" t="str">
        <ns0:f>IF($A68="","",IF($I68="Yes",IF(AJ$6=$D68,"◆",""),IF(AND(AJ$6&gt;=$D68,AJ$6&lt;=$E68),MAX(0,MIN(1,$G68*$F68-(AJ$6-$D68))),"")))</ns0:f>
      </ns0:c>
      <ns0:c r="AK68" s="22" t="str">
        <ns0:f>IF($A68="","",IF($I68="Yes",IF(AK$6=$D68,"◆",""),IF(AND(AK$6&gt;=$D68,AK$6&lt;=$E68),MAX(0,MIN(1,$G68*$F68-(AK$6-$D68))),"")))</ns0:f>
      </ns0:c>
      <ns0:c r="AL68" s="22" t="str">
        <ns0:f>IF($A68="","",IF($I68="Yes",IF(AL$6=$D68,"◆",""),IF(AND(AL$6&gt;=$D68,AL$6&lt;=$E68),MAX(0,MIN(1,$G68*$F68-(AL$6-$D68))),"")))</ns0:f>
      </ns0:c>
      <ns0:c r="AM68" s="22" t="str">
        <ns0:f>IF($A68="","",IF($I68="Yes",IF(AM$6=$D68,"◆",""),IF(AND(AM$6&gt;=$D68,AM$6&lt;=$E68),MAX(0,MIN(1,$G68*$F68-(AM$6-$D68))),"")))</ns0:f>
      </ns0:c>
      <ns0:c r="AN68" s="22" t="str">
        <ns0:f>IF($A68="","",IF($I68="Yes",IF(AN$6=$D68,"◆",""),IF(AND(AN$6&gt;=$D68,AN$6&lt;=$E68),MAX(0,MIN(1,$G68*$F68-(AN$6-$D68))),"")))</ns0:f>
      </ns0:c>
      <ns0:c r="AO68" s="22" t="str">
        <ns0:f>IF($A68="","",IF($I68="Yes",IF(AO$6=$D68,"◆",""),IF(AND(AO$6&gt;=$D68,AO$6&lt;=$E68),MAX(0,MIN(1,$G68*$F68-(AO$6-$D68))),"")))</ns0:f>
      </ns0:c>
      <ns0:c r="AP68" s="22" t="str">
        <ns0:f>IF($A68="","",IF($I68="Yes",IF(AP$6=$D68,"◆",""),IF(AND(AP$6&gt;=$D68,AP$6&lt;=$E68),MAX(0,MIN(1,$G68*$F68-(AP$6-$D68))),"")))</ns0:f>
      </ns0:c>
      <ns0:c r="AQ68" s="22" t="str">
        <ns0:f>IF($A68="","",IF($I68="Yes",IF(AQ$6=$D68,"◆",""),IF(AND(AQ$6&gt;=$D68,AQ$6&lt;=$E68),MAX(0,MIN(1,$G68*$F68-(AQ$6-$D68))),"")))</ns0:f>
      </ns0:c>
      <ns0:c r="AR68" s="22" t="str">
        <ns0:f>IF($A68="","",IF($I68="Yes",IF(AR$6=$D68,"◆",""),IF(AND(AR$6&gt;=$D68,AR$6&lt;=$E68),MAX(0,MIN(1,$G68*$F68-(AR$6-$D68))),"")))</ns0:f>
      </ns0:c>
    </ns0:row>
    <ns0:row r="69" ht="48" customHeight="1">
      <ns0:c r="A69" s="8" t="str">
        <ns0:f>IF(INDEX(Tasks[Task ID],63)="","",INDEX(Tasks[Task ID],63))</ns0:f>
      </ns0:c>
      <ns0:c r="B69" s="8" t="str">
        <ns0:f>IF(INDEX(Tasks[Task ID],63)="","",INDEX(Tasks[Phase],63))</ns0:f>
      </ns0:c>
      <ns0:c r="C69" s="8" t="str">
        <ns0:f>IF(INDEX(Tasks[Task ID],63)="","",INDEX(Tasks[Task Name],63))</ns0:f>
      </ns0:c>
      <ns0:c r="D69" s="18" t="str">
        <ns0:f>IF(INDEX(Tasks[Task ID],63)="","",INDEX(Tasks[Start Date],63))</ns0:f>
      </ns0:c>
      <ns0:c r="E69" s="18" t="str">
        <ns0:f>IF(INDEX(Tasks[Task ID],63)="","",INDEX(Tasks[End Date],63))</ns0:f>
      </ns0:c>
      <ns0:c r="F69" s="8" t="str">
        <ns0:f>IF(INDEX(Tasks[Task ID],63)="","",INDEX(Tasks[Duration],63))</ns0:f>
      </ns0:c>
      <ns0:c r="G69" s="19" t="str">
        <ns0:f>IF(INDEX(Tasks[Task ID],63)="","",INDEX(Tasks[Progress %],63))</ns0:f>
      </ns0:c>
      <ns0:c r="H69" s="8" t="str">
        <ns0:f>IF(INDEX(Tasks[Task ID],63)="","",INDEX('Project Tracker'!$Q$7:$Q$106,63))</ns0:f>
      </ns0:c>
      <ns0:c r="I69" s="8" t="str">
        <ns0:f>IF(INDEX(Tasks[Task ID],63)="","",INDEX(Tasks[Milestone],63))</ns0:f>
      </ns0:c>
      <ns0:c r="J69" s="8" t="str">
        <ns0:f>IF(INDEX(Tasks[Task ID],63)="","",INDEX(Tasks[Schedule Health],63))</ns0:f>
      </ns0:c>
      <ns0:c r="K69" s="22" t="str">
        <ns0:f>IF($A69="","",IF($I69="Yes",IF(K$6=$D69,"◆",""),IF(AND(K$6&gt;=$D69,K$6&lt;=$E69),MAX(0,MIN(1,$G69*$F69-(K$6-$D69))),"")))</ns0:f>
      </ns0:c>
      <ns0:c r="L69" s="22" t="str">
        <ns0:f>IF($A69="","",IF($I69="Yes",IF(L$6=$D69,"◆",""),IF(AND(L$6&gt;=$D69,L$6&lt;=$E69),MAX(0,MIN(1,$G69*$F69-(L$6-$D69))),"")))</ns0:f>
      </ns0:c>
      <ns0:c r="M69" s="22" t="str">
        <ns0:f>IF($A69="","",IF($I69="Yes",IF(M$6=$D69,"◆",""),IF(AND(M$6&gt;=$D69,M$6&lt;=$E69),MAX(0,MIN(1,$G69*$F69-(M$6-$D69))),"")))</ns0:f>
      </ns0:c>
      <ns0:c r="N69" s="22" t="str">
        <ns0:f>IF($A69="","",IF($I69="Yes",IF(N$6=$D69,"◆",""),IF(AND(N$6&gt;=$D69,N$6&lt;=$E69),MAX(0,MIN(1,$G69*$F69-(N$6-$D69))),"")))</ns0:f>
      </ns0:c>
      <ns0:c r="O69" s="22" t="str">
        <ns0:f>IF($A69="","",IF($I69="Yes",IF(O$6=$D69,"◆",""),IF(AND(O$6&gt;=$D69,O$6&lt;=$E69),MAX(0,MIN(1,$G69*$F69-(O$6-$D69))),"")))</ns0:f>
      </ns0:c>
      <ns0:c r="P69" s="22" t="str">
        <ns0:f>IF($A69="","",IF($I69="Yes",IF(P$6=$D69,"◆",""),IF(AND(P$6&gt;=$D69,P$6&lt;=$E69),MAX(0,MIN(1,$G69*$F69-(P$6-$D69))),"")))</ns0:f>
      </ns0:c>
      <ns0:c r="Q69" s="22" t="str">
        <ns0:f>IF($A69="","",IF($I69="Yes",IF(Q$6=$D69,"◆",""),IF(AND(Q$6&gt;=$D69,Q$6&lt;=$E69),MAX(0,MIN(1,$G69*$F69-(Q$6-$D69))),"")))</ns0:f>
      </ns0:c>
      <ns0:c r="R69" s="22" t="str">
        <ns0:f>IF($A69="","",IF($I69="Yes",IF(R$6=$D69,"◆",""),IF(AND(R$6&gt;=$D69,R$6&lt;=$E69),MAX(0,MIN(1,$G69*$F69-(R$6-$D69))),"")))</ns0:f>
      </ns0:c>
      <ns0:c r="S69" s="22" t="str">
        <ns0:f>IF($A69="","",IF($I69="Yes",IF(S$6=$D69,"◆",""),IF(AND(S$6&gt;=$D69,S$6&lt;=$E69),MAX(0,MIN(1,$G69*$F69-(S$6-$D69))),"")))</ns0:f>
      </ns0:c>
      <ns0:c r="T69" s="22" t="str">
        <ns0:f>IF($A69="","",IF($I69="Yes",IF(T$6=$D69,"◆",""),IF(AND(T$6&gt;=$D69,T$6&lt;=$E69),MAX(0,MIN(1,$G69*$F69-(T$6-$D69))),"")))</ns0:f>
      </ns0:c>
      <ns0:c r="U69" s="22" t="str">
        <ns0:f>IF($A69="","",IF($I69="Yes",IF(U$6=$D69,"◆",""),IF(AND(U$6&gt;=$D69,U$6&lt;=$E69),MAX(0,MIN(1,$G69*$F69-(U$6-$D69))),"")))</ns0:f>
      </ns0:c>
      <ns0:c r="V69" s="22" t="str">
        <ns0:f>IF($A69="","",IF($I69="Yes",IF(V$6=$D69,"◆",""),IF(AND(V$6&gt;=$D69,V$6&lt;=$E69),MAX(0,MIN(1,$G69*$F69-(V$6-$D69))),"")))</ns0:f>
      </ns0:c>
      <ns0:c r="W69" s="22" t="str">
        <ns0:f>IF($A69="","",IF($I69="Yes",IF(W$6=$D69,"◆",""),IF(AND(W$6&gt;=$D69,W$6&lt;=$E69),MAX(0,MIN(1,$G69*$F69-(W$6-$D69))),"")))</ns0:f>
      </ns0:c>
      <ns0:c r="X69" s="22" t="str">
        <ns0:f>IF($A69="","",IF($I69="Yes",IF(X$6=$D69,"◆",""),IF(AND(X$6&gt;=$D69,X$6&lt;=$E69),MAX(0,MIN(1,$G69*$F69-(X$6-$D69))),"")))</ns0:f>
      </ns0:c>
      <ns0:c r="Y69" s="22" t="str">
        <ns0:f>IF($A69="","",IF($I69="Yes",IF(Y$6=$D69,"◆",""),IF(AND(Y$6&gt;=$D69,Y$6&lt;=$E69),MAX(0,MIN(1,$G69*$F69-(Y$6-$D69))),"")))</ns0:f>
      </ns0:c>
      <ns0:c r="Z69" s="22" t="str">
        <ns0:f>IF($A69="","",IF($I69="Yes",IF(Z$6=$D69,"◆",""),IF(AND(Z$6&gt;=$D69,Z$6&lt;=$E69),MAX(0,MIN(1,$G69*$F69-(Z$6-$D69))),"")))</ns0:f>
      </ns0:c>
      <ns0:c r="AA69" s="22" t="str">
        <ns0:f>IF($A69="","",IF($I69="Yes",IF(AA$6=$D69,"◆",""),IF(AND(AA$6&gt;=$D69,AA$6&lt;=$E69),MAX(0,MIN(1,$G69*$F69-(AA$6-$D69))),"")))</ns0:f>
      </ns0:c>
      <ns0:c r="AB69" s="22" t="str">
        <ns0:f>IF($A69="","",IF($I69="Yes",IF(AB$6=$D69,"◆",""),IF(AND(AB$6&gt;=$D69,AB$6&lt;=$E69),MAX(0,MIN(1,$G69*$F69-(AB$6-$D69))),"")))</ns0:f>
      </ns0:c>
      <ns0:c r="AC69" s="22" t="str">
        <ns0:f>IF($A69="","",IF($I69="Yes",IF(AC$6=$D69,"◆",""),IF(AND(AC$6&gt;=$D69,AC$6&lt;=$E69),MAX(0,MIN(1,$G69*$F69-(AC$6-$D69))),"")))</ns0:f>
      </ns0:c>
      <ns0:c r="AD69" s="22" t="str">
        <ns0:f>IF($A69="","",IF($I69="Yes",IF(AD$6=$D69,"◆",""),IF(AND(AD$6&gt;=$D69,AD$6&lt;=$E69),MAX(0,MIN(1,$G69*$F69-(AD$6-$D69))),"")))</ns0:f>
      </ns0:c>
      <ns0:c r="AE69" s="22" t="str">
        <ns0:f>IF($A69="","",IF($I69="Yes",IF(AE$6=$D69,"◆",""),IF(AND(AE$6&gt;=$D69,AE$6&lt;=$E69),MAX(0,MIN(1,$G69*$F69-(AE$6-$D69))),"")))</ns0:f>
      </ns0:c>
      <ns0:c r="AF69" s="22" t="str">
        <ns0:f>IF($A69="","",IF($I69="Yes",IF(AF$6=$D69,"◆",""),IF(AND(AF$6&gt;=$D69,AF$6&lt;=$E69),MAX(0,MIN(1,$G69*$F69-(AF$6-$D69))),"")))</ns0:f>
      </ns0:c>
      <ns0:c r="AG69" s="22" t="str">
        <ns0:f>IF($A69="","",IF($I69="Yes",IF(AG$6=$D69,"◆",""),IF(AND(AG$6&gt;=$D69,AG$6&lt;=$E69),MAX(0,MIN(1,$G69*$F69-(AG$6-$D69))),"")))</ns0:f>
      </ns0:c>
      <ns0:c r="AH69" s="22" t="str">
        <ns0:f>IF($A69="","",IF($I69="Yes",IF(AH$6=$D69,"◆",""),IF(AND(AH$6&gt;=$D69,AH$6&lt;=$E69),MAX(0,MIN(1,$G69*$F69-(AH$6-$D69))),"")))</ns0:f>
      </ns0:c>
      <ns0:c r="AI69" s="22" t="str">
        <ns0:f>IF($A69="","",IF($I69="Yes",IF(AI$6=$D69,"◆",""),IF(AND(AI$6&gt;=$D69,AI$6&lt;=$E69),MAX(0,MIN(1,$G69*$F69-(AI$6-$D69))),"")))</ns0:f>
      </ns0:c>
      <ns0:c r="AJ69" s="22" t="str">
        <ns0:f>IF($A69="","",IF($I69="Yes",IF(AJ$6=$D69,"◆",""),IF(AND(AJ$6&gt;=$D69,AJ$6&lt;=$E69),MAX(0,MIN(1,$G69*$F69-(AJ$6-$D69))),"")))</ns0:f>
      </ns0:c>
      <ns0:c r="AK69" s="22" t="str">
        <ns0:f>IF($A69="","",IF($I69="Yes",IF(AK$6=$D69,"◆",""),IF(AND(AK$6&gt;=$D69,AK$6&lt;=$E69),MAX(0,MIN(1,$G69*$F69-(AK$6-$D69))),"")))</ns0:f>
      </ns0:c>
      <ns0:c r="AL69" s="22" t="str">
        <ns0:f>IF($A69="","",IF($I69="Yes",IF(AL$6=$D69,"◆",""),IF(AND(AL$6&gt;=$D69,AL$6&lt;=$E69),MAX(0,MIN(1,$G69*$F69-(AL$6-$D69))),"")))</ns0:f>
      </ns0:c>
      <ns0:c r="AM69" s="22" t="str">
        <ns0:f>IF($A69="","",IF($I69="Yes",IF(AM$6=$D69,"◆",""),IF(AND(AM$6&gt;=$D69,AM$6&lt;=$E69),MAX(0,MIN(1,$G69*$F69-(AM$6-$D69))),"")))</ns0:f>
      </ns0:c>
      <ns0:c r="AN69" s="22" t="str">
        <ns0:f>IF($A69="","",IF($I69="Yes",IF(AN$6=$D69,"◆",""),IF(AND(AN$6&gt;=$D69,AN$6&lt;=$E69),MAX(0,MIN(1,$G69*$F69-(AN$6-$D69))),"")))</ns0:f>
      </ns0:c>
      <ns0:c r="AO69" s="22" t="str">
        <ns0:f>IF($A69="","",IF($I69="Yes",IF(AO$6=$D69,"◆",""),IF(AND(AO$6&gt;=$D69,AO$6&lt;=$E69),MAX(0,MIN(1,$G69*$F69-(AO$6-$D69))),"")))</ns0:f>
      </ns0:c>
      <ns0:c r="AP69" s="22" t="str">
        <ns0:f>IF($A69="","",IF($I69="Yes",IF(AP$6=$D69,"◆",""),IF(AND(AP$6&gt;=$D69,AP$6&lt;=$E69),MAX(0,MIN(1,$G69*$F69-(AP$6-$D69))),"")))</ns0:f>
      </ns0:c>
      <ns0:c r="AQ69" s="22" t="str">
        <ns0:f>IF($A69="","",IF($I69="Yes",IF(AQ$6=$D69,"◆",""),IF(AND(AQ$6&gt;=$D69,AQ$6&lt;=$E69),MAX(0,MIN(1,$G69*$F69-(AQ$6-$D69))),"")))</ns0:f>
      </ns0:c>
      <ns0:c r="AR69" s="22" t="str">
        <ns0:f>IF($A69="","",IF($I69="Yes",IF(AR$6=$D69,"◆",""),IF(AND(AR$6&gt;=$D69,AR$6&lt;=$E69),MAX(0,MIN(1,$G69*$F69-(AR$6-$D69))),"")))</ns0:f>
      </ns0:c>
    </ns0:row>
    <ns0:row r="70" ht="48" customHeight="1">
      <ns0:c r="A70" s="8" t="str">
        <ns0:f>IF(INDEX(Tasks[Task ID],64)="","",INDEX(Tasks[Task ID],64))</ns0:f>
      </ns0:c>
      <ns0:c r="B70" s="8" t="str">
        <ns0:f>IF(INDEX(Tasks[Task ID],64)="","",INDEX(Tasks[Phase],64))</ns0:f>
      </ns0:c>
      <ns0:c r="C70" s="8" t="str">
        <ns0:f>IF(INDEX(Tasks[Task ID],64)="","",INDEX(Tasks[Task Name],64))</ns0:f>
      </ns0:c>
      <ns0:c r="D70" s="18" t="str">
        <ns0:f>IF(INDEX(Tasks[Task ID],64)="","",INDEX(Tasks[Start Date],64))</ns0:f>
      </ns0:c>
      <ns0:c r="E70" s="18" t="str">
        <ns0:f>IF(INDEX(Tasks[Task ID],64)="","",INDEX(Tasks[End Date],64))</ns0:f>
      </ns0:c>
      <ns0:c r="F70" s="8" t="str">
        <ns0:f>IF(INDEX(Tasks[Task ID],64)="","",INDEX(Tasks[Duration],64))</ns0:f>
      </ns0:c>
      <ns0:c r="G70" s="19" t="str">
        <ns0:f>IF(INDEX(Tasks[Task ID],64)="","",INDEX(Tasks[Progress %],64))</ns0:f>
      </ns0:c>
      <ns0:c r="H70" s="8" t="str">
        <ns0:f>IF(INDEX(Tasks[Task ID],64)="","",INDEX('Project Tracker'!$Q$7:$Q$106,64))</ns0:f>
      </ns0:c>
      <ns0:c r="I70" s="8" t="str">
        <ns0:f>IF(INDEX(Tasks[Task ID],64)="","",INDEX(Tasks[Milestone],64))</ns0:f>
      </ns0:c>
      <ns0:c r="J70" s="8" t="str">
        <ns0:f>IF(INDEX(Tasks[Task ID],64)="","",INDEX(Tasks[Schedule Health],64))</ns0:f>
      </ns0:c>
      <ns0:c r="K70" s="22" t="str">
        <ns0:f>IF($A70="","",IF($I70="Yes",IF(K$6=$D70,"◆",""),IF(AND(K$6&gt;=$D70,K$6&lt;=$E70),MAX(0,MIN(1,$G70*$F70-(K$6-$D70))),"")))</ns0:f>
      </ns0:c>
      <ns0:c r="L70" s="22" t="str">
        <ns0:f>IF($A70="","",IF($I70="Yes",IF(L$6=$D70,"◆",""),IF(AND(L$6&gt;=$D70,L$6&lt;=$E70),MAX(0,MIN(1,$G70*$F70-(L$6-$D70))),"")))</ns0:f>
      </ns0:c>
      <ns0:c r="M70" s="22" t="str">
        <ns0:f>IF($A70="","",IF($I70="Yes",IF(M$6=$D70,"◆",""),IF(AND(M$6&gt;=$D70,M$6&lt;=$E70),MAX(0,MIN(1,$G70*$F70-(M$6-$D70))),"")))</ns0:f>
      </ns0:c>
      <ns0:c r="N70" s="22" t="str">
        <ns0:f>IF($A70="","",IF($I70="Yes",IF(N$6=$D70,"◆",""),IF(AND(N$6&gt;=$D70,N$6&lt;=$E70),MAX(0,MIN(1,$G70*$F70-(N$6-$D70))),"")))</ns0:f>
      </ns0:c>
      <ns0:c r="O70" s="22" t="str">
        <ns0:f>IF($A70="","",IF($I70="Yes",IF(O$6=$D70,"◆",""),IF(AND(O$6&gt;=$D70,O$6&lt;=$E70),MAX(0,MIN(1,$G70*$F70-(O$6-$D70))),"")))</ns0:f>
      </ns0:c>
      <ns0:c r="P70" s="22" t="str">
        <ns0:f>IF($A70="","",IF($I70="Yes",IF(P$6=$D70,"◆",""),IF(AND(P$6&gt;=$D70,P$6&lt;=$E70),MAX(0,MIN(1,$G70*$F70-(P$6-$D70))),"")))</ns0:f>
      </ns0:c>
      <ns0:c r="Q70" s="22" t="str">
        <ns0:f>IF($A70="","",IF($I70="Yes",IF(Q$6=$D70,"◆",""),IF(AND(Q$6&gt;=$D70,Q$6&lt;=$E70),MAX(0,MIN(1,$G70*$F70-(Q$6-$D70))),"")))</ns0:f>
      </ns0:c>
      <ns0:c r="R70" s="22" t="str">
        <ns0:f>IF($A70="","",IF($I70="Yes",IF(R$6=$D70,"◆",""),IF(AND(R$6&gt;=$D70,R$6&lt;=$E70),MAX(0,MIN(1,$G70*$F70-(R$6-$D70))),"")))</ns0:f>
      </ns0:c>
      <ns0:c r="S70" s="22" t="str">
        <ns0:f>IF($A70="","",IF($I70="Yes",IF(S$6=$D70,"◆",""),IF(AND(S$6&gt;=$D70,S$6&lt;=$E70),MAX(0,MIN(1,$G70*$F70-(S$6-$D70))),"")))</ns0:f>
      </ns0:c>
      <ns0:c r="T70" s="22" t="str">
        <ns0:f>IF($A70="","",IF($I70="Yes",IF(T$6=$D70,"◆",""),IF(AND(T$6&gt;=$D70,T$6&lt;=$E70),MAX(0,MIN(1,$G70*$F70-(T$6-$D70))),"")))</ns0:f>
      </ns0:c>
      <ns0:c r="U70" s="22" t="str">
        <ns0:f>IF($A70="","",IF($I70="Yes",IF(U$6=$D70,"◆",""),IF(AND(U$6&gt;=$D70,U$6&lt;=$E70),MAX(0,MIN(1,$G70*$F70-(U$6-$D70))),"")))</ns0:f>
      </ns0:c>
      <ns0:c r="V70" s="22" t="str">
        <ns0:f>IF($A70="","",IF($I70="Yes",IF(V$6=$D70,"◆",""),IF(AND(V$6&gt;=$D70,V$6&lt;=$E70),MAX(0,MIN(1,$G70*$F70-(V$6-$D70))),"")))</ns0:f>
      </ns0:c>
      <ns0:c r="W70" s="22" t="str">
        <ns0:f>IF($A70="","",IF($I70="Yes",IF(W$6=$D70,"◆",""),IF(AND(W$6&gt;=$D70,W$6&lt;=$E70),MAX(0,MIN(1,$G70*$F70-(W$6-$D70))),"")))</ns0:f>
      </ns0:c>
      <ns0:c r="X70" s="22" t="str">
        <ns0:f>IF($A70="","",IF($I70="Yes",IF(X$6=$D70,"◆",""),IF(AND(X$6&gt;=$D70,X$6&lt;=$E70),MAX(0,MIN(1,$G70*$F70-(X$6-$D70))),"")))</ns0:f>
      </ns0:c>
      <ns0:c r="Y70" s="22" t="str">
        <ns0:f>IF($A70="","",IF($I70="Yes",IF(Y$6=$D70,"◆",""),IF(AND(Y$6&gt;=$D70,Y$6&lt;=$E70),MAX(0,MIN(1,$G70*$F70-(Y$6-$D70))),"")))</ns0:f>
      </ns0:c>
      <ns0:c r="Z70" s="22" t="str">
        <ns0:f>IF($A70="","",IF($I70="Yes",IF(Z$6=$D70,"◆",""),IF(AND(Z$6&gt;=$D70,Z$6&lt;=$E70),MAX(0,MIN(1,$G70*$F70-(Z$6-$D70))),"")))</ns0:f>
      </ns0:c>
      <ns0:c r="AA70" s="22" t="str">
        <ns0:f>IF($A70="","",IF($I70="Yes",IF(AA$6=$D70,"◆",""),IF(AND(AA$6&gt;=$D70,AA$6&lt;=$E70),MAX(0,MIN(1,$G70*$F70-(AA$6-$D70))),"")))</ns0:f>
      </ns0:c>
      <ns0:c r="AB70" s="22" t="str">
        <ns0:f>IF($A70="","",IF($I70="Yes",IF(AB$6=$D70,"◆",""),IF(AND(AB$6&gt;=$D70,AB$6&lt;=$E70),MAX(0,MIN(1,$G70*$F70-(AB$6-$D70))),"")))</ns0:f>
      </ns0:c>
      <ns0:c r="AC70" s="22" t="str">
        <ns0:f>IF($A70="","",IF($I70="Yes",IF(AC$6=$D70,"◆",""),IF(AND(AC$6&gt;=$D70,AC$6&lt;=$E70),MAX(0,MIN(1,$G70*$F70-(AC$6-$D70))),"")))</ns0:f>
      </ns0:c>
      <ns0:c r="AD70" s="22" t="str">
        <ns0:f>IF($A70="","",IF($I70="Yes",IF(AD$6=$D70,"◆",""),IF(AND(AD$6&gt;=$D70,AD$6&lt;=$E70),MAX(0,MIN(1,$G70*$F70-(AD$6-$D70))),"")))</ns0:f>
      </ns0:c>
      <ns0:c r="AE70" s="22" t="str">
        <ns0:f>IF($A70="","",IF($I70="Yes",IF(AE$6=$D70,"◆",""),IF(AND(AE$6&gt;=$D70,AE$6&lt;=$E70),MAX(0,MIN(1,$G70*$F70-(AE$6-$D70))),"")))</ns0:f>
      </ns0:c>
      <ns0:c r="AF70" s="22" t="str">
        <ns0:f>IF($A70="","",IF($I70="Yes",IF(AF$6=$D70,"◆",""),IF(AND(AF$6&gt;=$D70,AF$6&lt;=$E70),MAX(0,MIN(1,$G70*$F70-(AF$6-$D70))),"")))</ns0:f>
      </ns0:c>
      <ns0:c r="AG70" s="22" t="str">
        <ns0:f>IF($A70="","",IF($I70="Yes",IF(AG$6=$D70,"◆",""),IF(AND(AG$6&gt;=$D70,AG$6&lt;=$E70),MAX(0,MIN(1,$G70*$F70-(AG$6-$D70))),"")))</ns0:f>
      </ns0:c>
      <ns0:c r="AH70" s="22" t="str">
        <ns0:f>IF($A70="","",IF($I70="Yes",IF(AH$6=$D70,"◆",""),IF(AND(AH$6&gt;=$D70,AH$6&lt;=$E70),MAX(0,MIN(1,$G70*$F70-(AH$6-$D70))),"")))</ns0:f>
      </ns0:c>
      <ns0:c r="AI70" s="22" t="str">
        <ns0:f>IF($A70="","",IF($I70="Yes",IF(AI$6=$D70,"◆",""),IF(AND(AI$6&gt;=$D70,AI$6&lt;=$E70),MAX(0,MIN(1,$G70*$F70-(AI$6-$D70))),"")))</ns0:f>
      </ns0:c>
      <ns0:c r="AJ70" s="22" t="str">
        <ns0:f>IF($A70="","",IF($I70="Yes",IF(AJ$6=$D70,"◆",""),IF(AND(AJ$6&gt;=$D70,AJ$6&lt;=$E70),MAX(0,MIN(1,$G70*$F70-(AJ$6-$D70))),"")))</ns0:f>
      </ns0:c>
      <ns0:c r="AK70" s="22" t="str">
        <ns0:f>IF($A70="","",IF($I70="Yes",IF(AK$6=$D70,"◆",""),IF(AND(AK$6&gt;=$D70,AK$6&lt;=$E70),MAX(0,MIN(1,$G70*$F70-(AK$6-$D70))),"")))</ns0:f>
      </ns0:c>
      <ns0:c r="AL70" s="22" t="str">
        <ns0:f>IF($A70="","",IF($I70="Yes",IF(AL$6=$D70,"◆",""),IF(AND(AL$6&gt;=$D70,AL$6&lt;=$E70),MAX(0,MIN(1,$G70*$F70-(AL$6-$D70))),"")))</ns0:f>
      </ns0:c>
      <ns0:c r="AM70" s="22" t="str">
        <ns0:f>IF($A70="","",IF($I70="Yes",IF(AM$6=$D70,"◆",""),IF(AND(AM$6&gt;=$D70,AM$6&lt;=$E70),MAX(0,MIN(1,$G70*$F70-(AM$6-$D70))),"")))</ns0:f>
      </ns0:c>
      <ns0:c r="AN70" s="22" t="str">
        <ns0:f>IF($A70="","",IF($I70="Yes",IF(AN$6=$D70,"◆",""),IF(AND(AN$6&gt;=$D70,AN$6&lt;=$E70),MAX(0,MIN(1,$G70*$F70-(AN$6-$D70))),"")))</ns0:f>
      </ns0:c>
      <ns0:c r="AO70" s="22" t="str">
        <ns0:f>IF($A70="","",IF($I70="Yes",IF(AO$6=$D70,"◆",""),IF(AND(AO$6&gt;=$D70,AO$6&lt;=$E70),MAX(0,MIN(1,$G70*$F70-(AO$6-$D70))),"")))</ns0:f>
      </ns0:c>
      <ns0:c r="AP70" s="22" t="str">
        <ns0:f>IF($A70="","",IF($I70="Yes",IF(AP$6=$D70,"◆",""),IF(AND(AP$6&gt;=$D70,AP$6&lt;=$E70),MAX(0,MIN(1,$G70*$F70-(AP$6-$D70))),"")))</ns0:f>
      </ns0:c>
      <ns0:c r="AQ70" s="22" t="str">
        <ns0:f>IF($A70="","",IF($I70="Yes",IF(AQ$6=$D70,"◆",""),IF(AND(AQ$6&gt;=$D70,AQ$6&lt;=$E70),MAX(0,MIN(1,$G70*$F70-(AQ$6-$D70))),"")))</ns0:f>
      </ns0:c>
      <ns0:c r="AR70" s="22" t="str">
        <ns0:f>IF($A70="","",IF($I70="Yes",IF(AR$6=$D70,"◆",""),IF(AND(AR$6&gt;=$D70,AR$6&lt;=$E70),MAX(0,MIN(1,$G70*$F70-(AR$6-$D70))),"")))</ns0:f>
      </ns0:c>
    </ns0:row>
    <ns0:row r="71" ht="48" customHeight="1">
      <ns0:c r="A71" s="8" t="str">
        <ns0:f>IF(INDEX(Tasks[Task ID],65)="","",INDEX(Tasks[Task ID],65))</ns0:f>
      </ns0:c>
      <ns0:c r="B71" s="8" t="str">
        <ns0:f>IF(INDEX(Tasks[Task ID],65)="","",INDEX(Tasks[Phase],65))</ns0:f>
      </ns0:c>
      <ns0:c r="C71" s="8" t="str">
        <ns0:f>IF(INDEX(Tasks[Task ID],65)="","",INDEX(Tasks[Task Name],65))</ns0:f>
      </ns0:c>
      <ns0:c r="D71" s="18" t="str">
        <ns0:f>IF(INDEX(Tasks[Task ID],65)="","",INDEX(Tasks[Start Date],65))</ns0:f>
      </ns0:c>
      <ns0:c r="E71" s="18" t="str">
        <ns0:f>IF(INDEX(Tasks[Task ID],65)="","",INDEX(Tasks[End Date],65))</ns0:f>
      </ns0:c>
      <ns0:c r="F71" s="8" t="str">
        <ns0:f>IF(INDEX(Tasks[Task ID],65)="","",INDEX(Tasks[Duration],65))</ns0:f>
      </ns0:c>
      <ns0:c r="G71" s="19" t="str">
        <ns0:f>IF(INDEX(Tasks[Task ID],65)="","",INDEX(Tasks[Progress %],65))</ns0:f>
      </ns0:c>
      <ns0:c r="H71" s="8" t="str">
        <ns0:f>IF(INDEX(Tasks[Task ID],65)="","",INDEX('Project Tracker'!$Q$7:$Q$106,65))</ns0:f>
      </ns0:c>
      <ns0:c r="I71" s="8" t="str">
        <ns0:f>IF(INDEX(Tasks[Task ID],65)="","",INDEX(Tasks[Milestone],65))</ns0:f>
      </ns0:c>
      <ns0:c r="J71" s="8" t="str">
        <ns0:f>IF(INDEX(Tasks[Task ID],65)="","",INDEX(Tasks[Schedule Health],65))</ns0:f>
      </ns0:c>
      <ns0:c r="K71" s="22" t="str">
        <ns0:f>IF($A71="","",IF($I71="Yes",IF(K$6=$D71,"◆",""),IF(AND(K$6&gt;=$D71,K$6&lt;=$E71),MAX(0,MIN(1,$G71*$F71-(K$6-$D71))),"")))</ns0:f>
      </ns0:c>
      <ns0:c r="L71" s="22" t="str">
        <ns0:f>IF($A71="","",IF($I71="Yes",IF(L$6=$D71,"◆",""),IF(AND(L$6&gt;=$D71,L$6&lt;=$E71),MAX(0,MIN(1,$G71*$F71-(L$6-$D71))),"")))</ns0:f>
      </ns0:c>
      <ns0:c r="M71" s="22" t="str">
        <ns0:f>IF($A71="","",IF($I71="Yes",IF(M$6=$D71,"◆",""),IF(AND(M$6&gt;=$D71,M$6&lt;=$E71),MAX(0,MIN(1,$G71*$F71-(M$6-$D71))),"")))</ns0:f>
      </ns0:c>
      <ns0:c r="N71" s="22" t="str">
        <ns0:f>IF($A71="","",IF($I71="Yes",IF(N$6=$D71,"◆",""),IF(AND(N$6&gt;=$D71,N$6&lt;=$E71),MAX(0,MIN(1,$G71*$F71-(N$6-$D71))),"")))</ns0:f>
      </ns0:c>
      <ns0:c r="O71" s="22" t="str">
        <ns0:f>IF($A71="","",IF($I71="Yes",IF(O$6=$D71,"◆",""),IF(AND(O$6&gt;=$D71,O$6&lt;=$E71),MAX(0,MIN(1,$G71*$F71-(O$6-$D71))),"")))</ns0:f>
      </ns0:c>
      <ns0:c r="P71" s="22" t="str">
        <ns0:f>IF($A71="","",IF($I71="Yes",IF(P$6=$D71,"◆",""),IF(AND(P$6&gt;=$D71,P$6&lt;=$E71),MAX(0,MIN(1,$G71*$F71-(P$6-$D71))),"")))</ns0:f>
      </ns0:c>
      <ns0:c r="Q71" s="22" t="str">
        <ns0:f>IF($A71="","",IF($I71="Yes",IF(Q$6=$D71,"◆",""),IF(AND(Q$6&gt;=$D71,Q$6&lt;=$E71),MAX(0,MIN(1,$G71*$F71-(Q$6-$D71))),"")))</ns0:f>
      </ns0:c>
      <ns0:c r="R71" s="22" t="str">
        <ns0:f>IF($A71="","",IF($I71="Yes",IF(R$6=$D71,"◆",""),IF(AND(R$6&gt;=$D71,R$6&lt;=$E71),MAX(0,MIN(1,$G71*$F71-(R$6-$D71))),"")))</ns0:f>
      </ns0:c>
      <ns0:c r="S71" s="22" t="str">
        <ns0:f>IF($A71="","",IF($I71="Yes",IF(S$6=$D71,"◆",""),IF(AND(S$6&gt;=$D71,S$6&lt;=$E71),MAX(0,MIN(1,$G71*$F71-(S$6-$D71))),"")))</ns0:f>
      </ns0:c>
      <ns0:c r="T71" s="22" t="str">
        <ns0:f>IF($A71="","",IF($I71="Yes",IF(T$6=$D71,"◆",""),IF(AND(T$6&gt;=$D71,T$6&lt;=$E71),MAX(0,MIN(1,$G71*$F71-(T$6-$D71))),"")))</ns0:f>
      </ns0:c>
      <ns0:c r="U71" s="22" t="str">
        <ns0:f>IF($A71="","",IF($I71="Yes",IF(U$6=$D71,"◆",""),IF(AND(U$6&gt;=$D71,U$6&lt;=$E71),MAX(0,MIN(1,$G71*$F71-(U$6-$D71))),"")))</ns0:f>
      </ns0:c>
      <ns0:c r="V71" s="22" t="str">
        <ns0:f>IF($A71="","",IF($I71="Yes",IF(V$6=$D71,"◆",""),IF(AND(V$6&gt;=$D71,V$6&lt;=$E71),MAX(0,MIN(1,$G71*$F71-(V$6-$D71))),"")))</ns0:f>
      </ns0:c>
      <ns0:c r="W71" s="22" t="str">
        <ns0:f>IF($A71="","",IF($I71="Yes",IF(W$6=$D71,"◆",""),IF(AND(W$6&gt;=$D71,W$6&lt;=$E71),MAX(0,MIN(1,$G71*$F71-(W$6-$D71))),"")))</ns0:f>
      </ns0:c>
      <ns0:c r="X71" s="22" t="str">
        <ns0:f>IF($A71="","",IF($I71="Yes",IF(X$6=$D71,"◆",""),IF(AND(X$6&gt;=$D71,X$6&lt;=$E71),MAX(0,MIN(1,$G71*$F71-(X$6-$D71))),"")))</ns0:f>
      </ns0:c>
      <ns0:c r="Y71" s="22" t="str">
        <ns0:f>IF($A71="","",IF($I71="Yes",IF(Y$6=$D71,"◆",""),IF(AND(Y$6&gt;=$D71,Y$6&lt;=$E71),MAX(0,MIN(1,$G71*$F71-(Y$6-$D71))),"")))</ns0:f>
      </ns0:c>
      <ns0:c r="Z71" s="22" t="str">
        <ns0:f>IF($A71="","",IF($I71="Yes",IF(Z$6=$D71,"◆",""),IF(AND(Z$6&gt;=$D71,Z$6&lt;=$E71),MAX(0,MIN(1,$G71*$F71-(Z$6-$D71))),"")))</ns0:f>
      </ns0:c>
      <ns0:c r="AA71" s="22" t="str">
        <ns0:f>IF($A71="","",IF($I71="Yes",IF(AA$6=$D71,"◆",""),IF(AND(AA$6&gt;=$D71,AA$6&lt;=$E71),MAX(0,MIN(1,$G71*$F71-(AA$6-$D71))),"")))</ns0:f>
      </ns0:c>
      <ns0:c r="AB71" s="22" t="str">
        <ns0:f>IF($A71="","",IF($I71="Yes",IF(AB$6=$D71,"◆",""),IF(AND(AB$6&gt;=$D71,AB$6&lt;=$E71),MAX(0,MIN(1,$G71*$F71-(AB$6-$D71))),"")))</ns0:f>
      </ns0:c>
      <ns0:c r="AC71" s="22" t="str">
        <ns0:f>IF($A71="","",IF($I71="Yes",IF(AC$6=$D71,"◆",""),IF(AND(AC$6&gt;=$D71,AC$6&lt;=$E71),MAX(0,MIN(1,$G71*$F71-(AC$6-$D71))),"")))</ns0:f>
      </ns0:c>
      <ns0:c r="AD71" s="22" t="str">
        <ns0:f>IF($A71="","",IF($I71="Yes",IF(AD$6=$D71,"◆",""),IF(AND(AD$6&gt;=$D71,AD$6&lt;=$E71),MAX(0,MIN(1,$G71*$F71-(AD$6-$D71))),"")))</ns0:f>
      </ns0:c>
      <ns0:c r="AE71" s="22" t="str">
        <ns0:f>IF($A71="","",IF($I71="Yes",IF(AE$6=$D71,"◆",""),IF(AND(AE$6&gt;=$D71,AE$6&lt;=$E71),MAX(0,MIN(1,$G71*$F71-(AE$6-$D71))),"")))</ns0:f>
      </ns0:c>
      <ns0:c r="AF71" s="22" t="str">
        <ns0:f>IF($A71="","",IF($I71="Yes",IF(AF$6=$D71,"◆",""),IF(AND(AF$6&gt;=$D71,AF$6&lt;=$E71),MAX(0,MIN(1,$G71*$F71-(AF$6-$D71))),"")))</ns0:f>
      </ns0:c>
      <ns0:c r="AG71" s="22" t="str">
        <ns0:f>IF($A71="","",IF($I71="Yes",IF(AG$6=$D71,"◆",""),IF(AND(AG$6&gt;=$D71,AG$6&lt;=$E71),MAX(0,MIN(1,$G71*$F71-(AG$6-$D71))),"")))</ns0:f>
      </ns0:c>
      <ns0:c r="AH71" s="22" t="str">
        <ns0:f>IF($A71="","",IF($I71="Yes",IF(AH$6=$D71,"◆",""),IF(AND(AH$6&gt;=$D71,AH$6&lt;=$E71),MAX(0,MIN(1,$G71*$F71-(AH$6-$D71))),"")))</ns0:f>
      </ns0:c>
      <ns0:c r="AI71" s="22" t="str">
        <ns0:f>IF($A71="","",IF($I71="Yes",IF(AI$6=$D71,"◆",""),IF(AND(AI$6&gt;=$D71,AI$6&lt;=$E71),MAX(0,MIN(1,$G71*$F71-(AI$6-$D71))),"")))</ns0:f>
      </ns0:c>
      <ns0:c r="AJ71" s="22" t="str">
        <ns0:f>IF($A71="","",IF($I71="Yes",IF(AJ$6=$D71,"◆",""),IF(AND(AJ$6&gt;=$D71,AJ$6&lt;=$E71),MAX(0,MIN(1,$G71*$F71-(AJ$6-$D71))),"")))</ns0:f>
      </ns0:c>
      <ns0:c r="AK71" s="22" t="str">
        <ns0:f>IF($A71="","",IF($I71="Yes",IF(AK$6=$D71,"◆",""),IF(AND(AK$6&gt;=$D71,AK$6&lt;=$E71),MAX(0,MIN(1,$G71*$F71-(AK$6-$D71))),"")))</ns0:f>
      </ns0:c>
      <ns0:c r="AL71" s="22" t="str">
        <ns0:f>IF($A71="","",IF($I71="Yes",IF(AL$6=$D71,"◆",""),IF(AND(AL$6&gt;=$D71,AL$6&lt;=$E71),MAX(0,MIN(1,$G71*$F71-(AL$6-$D71))),"")))</ns0:f>
      </ns0:c>
      <ns0:c r="AM71" s="22" t="str">
        <ns0:f>IF($A71="","",IF($I71="Yes",IF(AM$6=$D71,"◆",""),IF(AND(AM$6&gt;=$D71,AM$6&lt;=$E71),MAX(0,MIN(1,$G71*$F71-(AM$6-$D71))),"")))</ns0:f>
      </ns0:c>
      <ns0:c r="AN71" s="22" t="str">
        <ns0:f>IF($A71="","",IF($I71="Yes",IF(AN$6=$D71,"◆",""),IF(AND(AN$6&gt;=$D71,AN$6&lt;=$E71),MAX(0,MIN(1,$G71*$F71-(AN$6-$D71))),"")))</ns0:f>
      </ns0:c>
      <ns0:c r="AO71" s="22" t="str">
        <ns0:f>IF($A71="","",IF($I71="Yes",IF(AO$6=$D71,"◆",""),IF(AND(AO$6&gt;=$D71,AO$6&lt;=$E71),MAX(0,MIN(1,$G71*$F71-(AO$6-$D71))),"")))</ns0:f>
      </ns0:c>
      <ns0:c r="AP71" s="22" t="str">
        <ns0:f>IF($A71="","",IF($I71="Yes",IF(AP$6=$D71,"◆",""),IF(AND(AP$6&gt;=$D71,AP$6&lt;=$E71),MAX(0,MIN(1,$G71*$F71-(AP$6-$D71))),"")))</ns0:f>
      </ns0:c>
      <ns0:c r="AQ71" s="22" t="str">
        <ns0:f>IF($A71="","",IF($I71="Yes",IF(AQ$6=$D71,"◆",""),IF(AND(AQ$6&gt;=$D71,AQ$6&lt;=$E71),MAX(0,MIN(1,$G71*$F71-(AQ$6-$D71))),"")))</ns0:f>
      </ns0:c>
      <ns0:c r="AR71" s="22" t="str">
        <ns0:f>IF($A71="","",IF($I71="Yes",IF(AR$6=$D71,"◆",""),IF(AND(AR$6&gt;=$D71,AR$6&lt;=$E71),MAX(0,MIN(1,$G71*$F71-(AR$6-$D71))),"")))</ns0:f>
      </ns0:c>
    </ns0:row>
    <ns0:row r="72" ht="48" customHeight="1">
      <ns0:c r="A72" s="8" t="str">
        <ns0:f>IF(INDEX(Tasks[Task ID],66)="","",INDEX(Tasks[Task ID],66))</ns0:f>
      </ns0:c>
      <ns0:c r="B72" s="8" t="str">
        <ns0:f>IF(INDEX(Tasks[Task ID],66)="","",INDEX(Tasks[Phase],66))</ns0:f>
      </ns0:c>
      <ns0:c r="C72" s="8" t="str">
        <ns0:f>IF(INDEX(Tasks[Task ID],66)="","",INDEX(Tasks[Task Name],66))</ns0:f>
      </ns0:c>
      <ns0:c r="D72" s="18" t="str">
        <ns0:f>IF(INDEX(Tasks[Task ID],66)="","",INDEX(Tasks[Start Date],66))</ns0:f>
      </ns0:c>
      <ns0:c r="E72" s="18" t="str">
        <ns0:f>IF(INDEX(Tasks[Task ID],66)="","",INDEX(Tasks[End Date],66))</ns0:f>
      </ns0:c>
      <ns0:c r="F72" s="8" t="str">
        <ns0:f>IF(INDEX(Tasks[Task ID],66)="","",INDEX(Tasks[Duration],66))</ns0:f>
      </ns0:c>
      <ns0:c r="G72" s="19" t="str">
        <ns0:f>IF(INDEX(Tasks[Task ID],66)="","",INDEX(Tasks[Progress %],66))</ns0:f>
      </ns0:c>
      <ns0:c r="H72" s="8" t="str">
        <ns0:f>IF(INDEX(Tasks[Task ID],66)="","",INDEX('Project Tracker'!$Q$7:$Q$106,66))</ns0:f>
      </ns0:c>
      <ns0:c r="I72" s="8" t="str">
        <ns0:f>IF(INDEX(Tasks[Task ID],66)="","",INDEX(Tasks[Milestone],66))</ns0:f>
      </ns0:c>
      <ns0:c r="J72" s="8" t="str">
        <ns0:f>IF(INDEX(Tasks[Task ID],66)="","",INDEX(Tasks[Schedule Health],66))</ns0:f>
      </ns0:c>
      <ns0:c r="K72" s="22" t="str">
        <ns0:f>IF($A72="","",IF($I72="Yes",IF(K$6=$D72,"◆",""),IF(AND(K$6&gt;=$D72,K$6&lt;=$E72),MAX(0,MIN(1,$G72*$F72-(K$6-$D72))),"")))</ns0:f>
      </ns0:c>
      <ns0:c r="L72" s="22" t="str">
        <ns0:f>IF($A72="","",IF($I72="Yes",IF(L$6=$D72,"◆",""),IF(AND(L$6&gt;=$D72,L$6&lt;=$E72),MAX(0,MIN(1,$G72*$F72-(L$6-$D72))),"")))</ns0:f>
      </ns0:c>
      <ns0:c r="M72" s="22" t="str">
        <ns0:f>IF($A72="","",IF($I72="Yes",IF(M$6=$D72,"◆",""),IF(AND(M$6&gt;=$D72,M$6&lt;=$E72),MAX(0,MIN(1,$G72*$F72-(M$6-$D72))),"")))</ns0:f>
      </ns0:c>
      <ns0:c r="N72" s="22" t="str">
        <ns0:f>IF($A72="","",IF($I72="Yes",IF(N$6=$D72,"◆",""),IF(AND(N$6&gt;=$D72,N$6&lt;=$E72),MAX(0,MIN(1,$G72*$F72-(N$6-$D72))),"")))</ns0:f>
      </ns0:c>
      <ns0:c r="O72" s="22" t="str">
        <ns0:f>IF($A72="","",IF($I72="Yes",IF(O$6=$D72,"◆",""),IF(AND(O$6&gt;=$D72,O$6&lt;=$E72),MAX(0,MIN(1,$G72*$F72-(O$6-$D72))),"")))</ns0:f>
      </ns0:c>
      <ns0:c r="P72" s="22" t="str">
        <ns0:f>IF($A72="","",IF($I72="Yes",IF(P$6=$D72,"◆",""),IF(AND(P$6&gt;=$D72,P$6&lt;=$E72),MAX(0,MIN(1,$G72*$F72-(P$6-$D72))),"")))</ns0:f>
      </ns0:c>
      <ns0:c r="Q72" s="22" t="str">
        <ns0:f>IF($A72="","",IF($I72="Yes",IF(Q$6=$D72,"◆",""),IF(AND(Q$6&gt;=$D72,Q$6&lt;=$E72),MAX(0,MIN(1,$G72*$F72-(Q$6-$D72))),"")))</ns0:f>
      </ns0:c>
      <ns0:c r="R72" s="22" t="str">
        <ns0:f>IF($A72="","",IF($I72="Yes",IF(R$6=$D72,"◆",""),IF(AND(R$6&gt;=$D72,R$6&lt;=$E72),MAX(0,MIN(1,$G72*$F72-(R$6-$D72))),"")))</ns0:f>
      </ns0:c>
      <ns0:c r="S72" s="22" t="str">
        <ns0:f>IF($A72="","",IF($I72="Yes",IF(S$6=$D72,"◆",""),IF(AND(S$6&gt;=$D72,S$6&lt;=$E72),MAX(0,MIN(1,$G72*$F72-(S$6-$D72))),"")))</ns0:f>
      </ns0:c>
      <ns0:c r="T72" s="22" t="str">
        <ns0:f>IF($A72="","",IF($I72="Yes",IF(T$6=$D72,"◆",""),IF(AND(T$6&gt;=$D72,T$6&lt;=$E72),MAX(0,MIN(1,$G72*$F72-(T$6-$D72))),"")))</ns0:f>
      </ns0:c>
      <ns0:c r="U72" s="22" t="str">
        <ns0:f>IF($A72="","",IF($I72="Yes",IF(U$6=$D72,"◆",""),IF(AND(U$6&gt;=$D72,U$6&lt;=$E72),MAX(0,MIN(1,$G72*$F72-(U$6-$D72))),"")))</ns0:f>
      </ns0:c>
      <ns0:c r="V72" s="22" t="str">
        <ns0:f>IF($A72="","",IF($I72="Yes",IF(V$6=$D72,"◆",""),IF(AND(V$6&gt;=$D72,V$6&lt;=$E72),MAX(0,MIN(1,$G72*$F72-(V$6-$D72))),"")))</ns0:f>
      </ns0:c>
      <ns0:c r="W72" s="22" t="str">
        <ns0:f>IF($A72="","",IF($I72="Yes",IF(W$6=$D72,"◆",""),IF(AND(W$6&gt;=$D72,W$6&lt;=$E72),MAX(0,MIN(1,$G72*$F72-(W$6-$D72))),"")))</ns0:f>
      </ns0:c>
      <ns0:c r="X72" s="22" t="str">
        <ns0:f>IF($A72="","",IF($I72="Yes",IF(X$6=$D72,"◆",""),IF(AND(X$6&gt;=$D72,X$6&lt;=$E72),MAX(0,MIN(1,$G72*$F72-(X$6-$D72))),"")))</ns0:f>
      </ns0:c>
      <ns0:c r="Y72" s="22" t="str">
        <ns0:f>IF($A72="","",IF($I72="Yes",IF(Y$6=$D72,"◆",""),IF(AND(Y$6&gt;=$D72,Y$6&lt;=$E72),MAX(0,MIN(1,$G72*$F72-(Y$6-$D72))),"")))</ns0:f>
      </ns0:c>
      <ns0:c r="Z72" s="22" t="str">
        <ns0:f>IF($A72="","",IF($I72="Yes",IF(Z$6=$D72,"◆",""),IF(AND(Z$6&gt;=$D72,Z$6&lt;=$E72),MAX(0,MIN(1,$G72*$F72-(Z$6-$D72))),"")))</ns0:f>
      </ns0:c>
      <ns0:c r="AA72" s="22" t="str">
        <ns0:f>IF($A72="","",IF($I72="Yes",IF(AA$6=$D72,"◆",""),IF(AND(AA$6&gt;=$D72,AA$6&lt;=$E72),MAX(0,MIN(1,$G72*$F72-(AA$6-$D72))),"")))</ns0:f>
      </ns0:c>
      <ns0:c r="AB72" s="22" t="str">
        <ns0:f>IF($A72="","",IF($I72="Yes",IF(AB$6=$D72,"◆",""),IF(AND(AB$6&gt;=$D72,AB$6&lt;=$E72),MAX(0,MIN(1,$G72*$F72-(AB$6-$D72))),"")))</ns0:f>
      </ns0:c>
      <ns0:c r="AC72" s="22" t="str">
        <ns0:f>IF($A72="","",IF($I72="Yes",IF(AC$6=$D72,"◆",""),IF(AND(AC$6&gt;=$D72,AC$6&lt;=$E72),MAX(0,MIN(1,$G72*$F72-(AC$6-$D72))),"")))</ns0:f>
      </ns0:c>
      <ns0:c r="AD72" s="22" t="str">
        <ns0:f>IF($A72="","",IF($I72="Yes",IF(AD$6=$D72,"◆",""),IF(AND(AD$6&gt;=$D72,AD$6&lt;=$E72),MAX(0,MIN(1,$G72*$F72-(AD$6-$D72))),"")))</ns0:f>
      </ns0:c>
      <ns0:c r="AE72" s="22" t="str">
        <ns0:f>IF($A72="","",IF($I72="Yes",IF(AE$6=$D72,"◆",""),IF(AND(AE$6&gt;=$D72,AE$6&lt;=$E72),MAX(0,MIN(1,$G72*$F72-(AE$6-$D72))),"")))</ns0:f>
      </ns0:c>
      <ns0:c r="AF72" s="22" t="str">
        <ns0:f>IF($A72="","",IF($I72="Yes",IF(AF$6=$D72,"◆",""),IF(AND(AF$6&gt;=$D72,AF$6&lt;=$E72),MAX(0,MIN(1,$G72*$F72-(AF$6-$D72))),"")))</ns0:f>
      </ns0:c>
      <ns0:c r="AG72" s="22" t="str">
        <ns0:f>IF($A72="","",IF($I72="Yes",IF(AG$6=$D72,"◆",""),IF(AND(AG$6&gt;=$D72,AG$6&lt;=$E72),MAX(0,MIN(1,$G72*$F72-(AG$6-$D72))),"")))</ns0:f>
      </ns0:c>
      <ns0:c r="AH72" s="22" t="str">
        <ns0:f>IF($A72="","",IF($I72="Yes",IF(AH$6=$D72,"◆",""),IF(AND(AH$6&gt;=$D72,AH$6&lt;=$E72),MAX(0,MIN(1,$G72*$F72-(AH$6-$D72))),"")))</ns0:f>
      </ns0:c>
      <ns0:c r="AI72" s="22" t="str">
        <ns0:f>IF($A72="","",IF($I72="Yes",IF(AI$6=$D72,"◆",""),IF(AND(AI$6&gt;=$D72,AI$6&lt;=$E72),MAX(0,MIN(1,$G72*$F72-(AI$6-$D72))),"")))</ns0:f>
      </ns0:c>
      <ns0:c r="AJ72" s="22" t="str">
        <ns0:f>IF($A72="","",IF($I72="Yes",IF(AJ$6=$D72,"◆",""),IF(AND(AJ$6&gt;=$D72,AJ$6&lt;=$E72),MAX(0,MIN(1,$G72*$F72-(AJ$6-$D72))),"")))</ns0:f>
      </ns0:c>
      <ns0:c r="AK72" s="22" t="str">
        <ns0:f>IF($A72="","",IF($I72="Yes",IF(AK$6=$D72,"◆",""),IF(AND(AK$6&gt;=$D72,AK$6&lt;=$E72),MAX(0,MIN(1,$G72*$F72-(AK$6-$D72))),"")))</ns0:f>
      </ns0:c>
      <ns0:c r="AL72" s="22" t="str">
        <ns0:f>IF($A72="","",IF($I72="Yes",IF(AL$6=$D72,"◆",""),IF(AND(AL$6&gt;=$D72,AL$6&lt;=$E72),MAX(0,MIN(1,$G72*$F72-(AL$6-$D72))),"")))</ns0:f>
      </ns0:c>
      <ns0:c r="AM72" s="22" t="str">
        <ns0:f>IF($A72="","",IF($I72="Yes",IF(AM$6=$D72,"◆",""),IF(AND(AM$6&gt;=$D72,AM$6&lt;=$E72),MAX(0,MIN(1,$G72*$F72-(AM$6-$D72))),"")))</ns0:f>
      </ns0:c>
      <ns0:c r="AN72" s="22" t="str">
        <ns0:f>IF($A72="","",IF($I72="Yes",IF(AN$6=$D72,"◆",""),IF(AND(AN$6&gt;=$D72,AN$6&lt;=$E72),MAX(0,MIN(1,$G72*$F72-(AN$6-$D72))),"")))</ns0:f>
      </ns0:c>
      <ns0:c r="AO72" s="22" t="str">
        <ns0:f>IF($A72="","",IF($I72="Yes",IF(AO$6=$D72,"◆",""),IF(AND(AO$6&gt;=$D72,AO$6&lt;=$E72),MAX(0,MIN(1,$G72*$F72-(AO$6-$D72))),"")))</ns0:f>
      </ns0:c>
      <ns0:c r="AP72" s="22" t="str">
        <ns0:f>IF($A72="","",IF($I72="Yes",IF(AP$6=$D72,"◆",""),IF(AND(AP$6&gt;=$D72,AP$6&lt;=$E72),MAX(0,MIN(1,$G72*$F72-(AP$6-$D72))),"")))</ns0:f>
      </ns0:c>
      <ns0:c r="AQ72" s="22" t="str">
        <ns0:f>IF($A72="","",IF($I72="Yes",IF(AQ$6=$D72,"◆",""),IF(AND(AQ$6&gt;=$D72,AQ$6&lt;=$E72),MAX(0,MIN(1,$G72*$F72-(AQ$6-$D72))),"")))</ns0:f>
      </ns0:c>
      <ns0:c r="AR72" s="22" t="str">
        <ns0:f>IF($A72="","",IF($I72="Yes",IF(AR$6=$D72,"◆",""),IF(AND(AR$6&gt;=$D72,AR$6&lt;=$E72),MAX(0,MIN(1,$G72*$F72-(AR$6-$D72))),"")))</ns0:f>
      </ns0:c>
    </ns0:row>
    <ns0:row r="73" ht="48" customHeight="1">
      <ns0:c r="A73" s="8" t="str">
        <ns0:f>IF(INDEX(Tasks[Task ID],67)="","",INDEX(Tasks[Task ID],67))</ns0:f>
      </ns0:c>
      <ns0:c r="B73" s="8" t="str">
        <ns0:f>IF(INDEX(Tasks[Task ID],67)="","",INDEX(Tasks[Phase],67))</ns0:f>
      </ns0:c>
      <ns0:c r="C73" s="8" t="str">
        <ns0:f>IF(INDEX(Tasks[Task ID],67)="","",INDEX(Tasks[Task Name],67))</ns0:f>
      </ns0:c>
      <ns0:c r="D73" s="18" t="str">
        <ns0:f>IF(INDEX(Tasks[Task ID],67)="","",INDEX(Tasks[Start Date],67))</ns0:f>
      </ns0:c>
      <ns0:c r="E73" s="18" t="str">
        <ns0:f>IF(INDEX(Tasks[Task ID],67)="","",INDEX(Tasks[End Date],67))</ns0:f>
      </ns0:c>
      <ns0:c r="F73" s="8" t="str">
        <ns0:f>IF(INDEX(Tasks[Task ID],67)="","",INDEX(Tasks[Duration],67))</ns0:f>
      </ns0:c>
      <ns0:c r="G73" s="19" t="str">
        <ns0:f>IF(INDEX(Tasks[Task ID],67)="","",INDEX(Tasks[Progress %],67))</ns0:f>
      </ns0:c>
      <ns0:c r="H73" s="8" t="str">
        <ns0:f>IF(INDEX(Tasks[Task ID],67)="","",INDEX('Project Tracker'!$Q$7:$Q$106,67))</ns0:f>
      </ns0:c>
      <ns0:c r="I73" s="8" t="str">
        <ns0:f>IF(INDEX(Tasks[Task ID],67)="","",INDEX(Tasks[Milestone],67))</ns0:f>
      </ns0:c>
      <ns0:c r="J73" s="8" t="str">
        <ns0:f>IF(INDEX(Tasks[Task ID],67)="","",INDEX(Tasks[Schedule Health],67))</ns0:f>
      </ns0:c>
      <ns0:c r="K73" s="22" t="str">
        <ns0:f>IF($A73="","",IF($I73="Yes",IF(K$6=$D73,"◆",""),IF(AND(K$6&gt;=$D73,K$6&lt;=$E73),MAX(0,MIN(1,$G73*$F73-(K$6-$D73))),"")))</ns0:f>
      </ns0:c>
      <ns0:c r="L73" s="22" t="str">
        <ns0:f>IF($A73="","",IF($I73="Yes",IF(L$6=$D73,"◆",""),IF(AND(L$6&gt;=$D73,L$6&lt;=$E73),MAX(0,MIN(1,$G73*$F73-(L$6-$D73))),"")))</ns0:f>
      </ns0:c>
      <ns0:c r="M73" s="22" t="str">
        <ns0:f>IF($A73="","",IF($I73="Yes",IF(M$6=$D73,"◆",""),IF(AND(M$6&gt;=$D73,M$6&lt;=$E73),MAX(0,MIN(1,$G73*$F73-(M$6-$D73))),"")))</ns0:f>
      </ns0:c>
      <ns0:c r="N73" s="22" t="str">
        <ns0:f>IF($A73="","",IF($I73="Yes",IF(N$6=$D73,"◆",""),IF(AND(N$6&gt;=$D73,N$6&lt;=$E73),MAX(0,MIN(1,$G73*$F73-(N$6-$D73))),"")))</ns0:f>
      </ns0:c>
      <ns0:c r="O73" s="22" t="str">
        <ns0:f>IF($A73="","",IF($I73="Yes",IF(O$6=$D73,"◆",""),IF(AND(O$6&gt;=$D73,O$6&lt;=$E73),MAX(0,MIN(1,$G73*$F73-(O$6-$D73))),"")))</ns0:f>
      </ns0:c>
      <ns0:c r="P73" s="22" t="str">
        <ns0:f>IF($A73="","",IF($I73="Yes",IF(P$6=$D73,"◆",""),IF(AND(P$6&gt;=$D73,P$6&lt;=$E73),MAX(0,MIN(1,$G73*$F73-(P$6-$D73))),"")))</ns0:f>
      </ns0:c>
      <ns0:c r="Q73" s="22" t="str">
        <ns0:f>IF($A73="","",IF($I73="Yes",IF(Q$6=$D73,"◆",""),IF(AND(Q$6&gt;=$D73,Q$6&lt;=$E73),MAX(0,MIN(1,$G73*$F73-(Q$6-$D73))),"")))</ns0:f>
      </ns0:c>
      <ns0:c r="R73" s="22" t="str">
        <ns0:f>IF($A73="","",IF($I73="Yes",IF(R$6=$D73,"◆",""),IF(AND(R$6&gt;=$D73,R$6&lt;=$E73),MAX(0,MIN(1,$G73*$F73-(R$6-$D73))),"")))</ns0:f>
      </ns0:c>
      <ns0:c r="S73" s="22" t="str">
        <ns0:f>IF($A73="","",IF($I73="Yes",IF(S$6=$D73,"◆",""),IF(AND(S$6&gt;=$D73,S$6&lt;=$E73),MAX(0,MIN(1,$G73*$F73-(S$6-$D73))),"")))</ns0:f>
      </ns0:c>
      <ns0:c r="T73" s="22" t="str">
        <ns0:f>IF($A73="","",IF($I73="Yes",IF(T$6=$D73,"◆",""),IF(AND(T$6&gt;=$D73,T$6&lt;=$E73),MAX(0,MIN(1,$G73*$F73-(T$6-$D73))),"")))</ns0:f>
      </ns0:c>
      <ns0:c r="U73" s="22" t="str">
        <ns0:f>IF($A73="","",IF($I73="Yes",IF(U$6=$D73,"◆",""),IF(AND(U$6&gt;=$D73,U$6&lt;=$E73),MAX(0,MIN(1,$G73*$F73-(U$6-$D73))),"")))</ns0:f>
      </ns0:c>
      <ns0:c r="V73" s="22" t="str">
        <ns0:f>IF($A73="","",IF($I73="Yes",IF(V$6=$D73,"◆",""),IF(AND(V$6&gt;=$D73,V$6&lt;=$E73),MAX(0,MIN(1,$G73*$F73-(V$6-$D73))),"")))</ns0:f>
      </ns0:c>
      <ns0:c r="W73" s="22" t="str">
        <ns0:f>IF($A73="","",IF($I73="Yes",IF(W$6=$D73,"◆",""),IF(AND(W$6&gt;=$D73,W$6&lt;=$E73),MAX(0,MIN(1,$G73*$F73-(W$6-$D73))),"")))</ns0:f>
      </ns0:c>
      <ns0:c r="X73" s="22" t="str">
        <ns0:f>IF($A73="","",IF($I73="Yes",IF(X$6=$D73,"◆",""),IF(AND(X$6&gt;=$D73,X$6&lt;=$E73),MAX(0,MIN(1,$G73*$F73-(X$6-$D73))),"")))</ns0:f>
      </ns0:c>
      <ns0:c r="Y73" s="22" t="str">
        <ns0:f>IF($A73="","",IF($I73="Yes",IF(Y$6=$D73,"◆",""),IF(AND(Y$6&gt;=$D73,Y$6&lt;=$E73),MAX(0,MIN(1,$G73*$F73-(Y$6-$D73))),"")))</ns0:f>
      </ns0:c>
      <ns0:c r="Z73" s="22" t="str">
        <ns0:f>IF($A73="","",IF($I73="Yes",IF(Z$6=$D73,"◆",""),IF(AND(Z$6&gt;=$D73,Z$6&lt;=$E73),MAX(0,MIN(1,$G73*$F73-(Z$6-$D73))),"")))</ns0:f>
      </ns0:c>
      <ns0:c r="AA73" s="22" t="str">
        <ns0:f>IF($A73="","",IF($I73="Yes",IF(AA$6=$D73,"◆",""),IF(AND(AA$6&gt;=$D73,AA$6&lt;=$E73),MAX(0,MIN(1,$G73*$F73-(AA$6-$D73))),"")))</ns0:f>
      </ns0:c>
      <ns0:c r="AB73" s="22" t="str">
        <ns0:f>IF($A73="","",IF($I73="Yes",IF(AB$6=$D73,"◆",""),IF(AND(AB$6&gt;=$D73,AB$6&lt;=$E73),MAX(0,MIN(1,$G73*$F73-(AB$6-$D73))),"")))</ns0:f>
      </ns0:c>
      <ns0:c r="AC73" s="22" t="str">
        <ns0:f>IF($A73="","",IF($I73="Yes",IF(AC$6=$D73,"◆",""),IF(AND(AC$6&gt;=$D73,AC$6&lt;=$E73),MAX(0,MIN(1,$G73*$F73-(AC$6-$D73))),"")))</ns0:f>
      </ns0:c>
      <ns0:c r="AD73" s="22" t="str">
        <ns0:f>IF($A73="","",IF($I73="Yes",IF(AD$6=$D73,"◆",""),IF(AND(AD$6&gt;=$D73,AD$6&lt;=$E73),MAX(0,MIN(1,$G73*$F73-(AD$6-$D73))),"")))</ns0:f>
      </ns0:c>
      <ns0:c r="AE73" s="22" t="str">
        <ns0:f>IF($A73="","",IF($I73="Yes",IF(AE$6=$D73,"◆",""),IF(AND(AE$6&gt;=$D73,AE$6&lt;=$E73),MAX(0,MIN(1,$G73*$F73-(AE$6-$D73))),"")))</ns0:f>
      </ns0:c>
      <ns0:c r="AF73" s="22" t="str">
        <ns0:f>IF($A73="","",IF($I73="Yes",IF(AF$6=$D73,"◆",""),IF(AND(AF$6&gt;=$D73,AF$6&lt;=$E73),MAX(0,MIN(1,$G73*$F73-(AF$6-$D73))),"")))</ns0:f>
      </ns0:c>
      <ns0:c r="AG73" s="22" t="str">
        <ns0:f>IF($A73="","",IF($I73="Yes",IF(AG$6=$D73,"◆",""),IF(AND(AG$6&gt;=$D73,AG$6&lt;=$E73),MAX(0,MIN(1,$G73*$F73-(AG$6-$D73))),"")))</ns0:f>
      </ns0:c>
      <ns0:c r="AH73" s="22" t="str">
        <ns0:f>IF($A73="","",IF($I73="Yes",IF(AH$6=$D73,"◆",""),IF(AND(AH$6&gt;=$D73,AH$6&lt;=$E73),MAX(0,MIN(1,$G73*$F73-(AH$6-$D73))),"")))</ns0:f>
      </ns0:c>
      <ns0:c r="AI73" s="22" t="str">
        <ns0:f>IF($A73="","",IF($I73="Yes",IF(AI$6=$D73,"◆",""),IF(AND(AI$6&gt;=$D73,AI$6&lt;=$E73),MAX(0,MIN(1,$G73*$F73-(AI$6-$D73))),"")))</ns0:f>
      </ns0:c>
      <ns0:c r="AJ73" s="22" t="str">
        <ns0:f>IF($A73="","",IF($I73="Yes",IF(AJ$6=$D73,"◆",""),IF(AND(AJ$6&gt;=$D73,AJ$6&lt;=$E73),MAX(0,MIN(1,$G73*$F73-(AJ$6-$D73))),"")))</ns0:f>
      </ns0:c>
      <ns0:c r="AK73" s="22" t="str">
        <ns0:f>IF($A73="","",IF($I73="Yes",IF(AK$6=$D73,"◆",""),IF(AND(AK$6&gt;=$D73,AK$6&lt;=$E73),MAX(0,MIN(1,$G73*$F73-(AK$6-$D73))),"")))</ns0:f>
      </ns0:c>
      <ns0:c r="AL73" s="22" t="str">
        <ns0:f>IF($A73="","",IF($I73="Yes",IF(AL$6=$D73,"◆",""),IF(AND(AL$6&gt;=$D73,AL$6&lt;=$E73),MAX(0,MIN(1,$G73*$F73-(AL$6-$D73))),"")))</ns0:f>
      </ns0:c>
      <ns0:c r="AM73" s="22" t="str">
        <ns0:f>IF($A73="","",IF($I73="Yes",IF(AM$6=$D73,"◆",""),IF(AND(AM$6&gt;=$D73,AM$6&lt;=$E73),MAX(0,MIN(1,$G73*$F73-(AM$6-$D73))),"")))</ns0:f>
      </ns0:c>
      <ns0:c r="AN73" s="22" t="str">
        <ns0:f>IF($A73="","",IF($I73="Yes",IF(AN$6=$D73,"◆",""),IF(AND(AN$6&gt;=$D73,AN$6&lt;=$E73),MAX(0,MIN(1,$G73*$F73-(AN$6-$D73))),"")))</ns0:f>
      </ns0:c>
      <ns0:c r="AO73" s="22" t="str">
        <ns0:f>IF($A73="","",IF($I73="Yes",IF(AO$6=$D73,"◆",""),IF(AND(AO$6&gt;=$D73,AO$6&lt;=$E73),MAX(0,MIN(1,$G73*$F73-(AO$6-$D73))),"")))</ns0:f>
      </ns0:c>
      <ns0:c r="AP73" s="22" t="str">
        <ns0:f>IF($A73="","",IF($I73="Yes",IF(AP$6=$D73,"◆",""),IF(AND(AP$6&gt;=$D73,AP$6&lt;=$E73),MAX(0,MIN(1,$G73*$F73-(AP$6-$D73))),"")))</ns0:f>
      </ns0:c>
      <ns0:c r="AQ73" s="22" t="str">
        <ns0:f>IF($A73="","",IF($I73="Yes",IF(AQ$6=$D73,"◆",""),IF(AND(AQ$6&gt;=$D73,AQ$6&lt;=$E73),MAX(0,MIN(1,$G73*$F73-(AQ$6-$D73))),"")))</ns0:f>
      </ns0:c>
      <ns0:c r="AR73" s="22" t="str">
        <ns0:f>IF($A73="","",IF($I73="Yes",IF(AR$6=$D73,"◆",""),IF(AND(AR$6&gt;=$D73,AR$6&lt;=$E73),MAX(0,MIN(1,$G73*$F73-(AR$6-$D73))),"")))</ns0:f>
      </ns0:c>
    </ns0:row>
    <ns0:row r="74" ht="48" customHeight="1">
      <ns0:c r="A74" s="8" t="str">
        <ns0:f>IF(INDEX(Tasks[Task ID],68)="","",INDEX(Tasks[Task ID],68))</ns0:f>
      </ns0:c>
      <ns0:c r="B74" s="8" t="str">
        <ns0:f>IF(INDEX(Tasks[Task ID],68)="","",INDEX(Tasks[Phase],68))</ns0:f>
      </ns0:c>
      <ns0:c r="C74" s="8" t="str">
        <ns0:f>IF(INDEX(Tasks[Task ID],68)="","",INDEX(Tasks[Task Name],68))</ns0:f>
      </ns0:c>
      <ns0:c r="D74" s="18" t="str">
        <ns0:f>IF(INDEX(Tasks[Task ID],68)="","",INDEX(Tasks[Start Date],68))</ns0:f>
      </ns0:c>
      <ns0:c r="E74" s="18" t="str">
        <ns0:f>IF(INDEX(Tasks[Task ID],68)="","",INDEX(Tasks[End Date],68))</ns0:f>
      </ns0:c>
      <ns0:c r="F74" s="8" t="str">
        <ns0:f>IF(INDEX(Tasks[Task ID],68)="","",INDEX(Tasks[Duration],68))</ns0:f>
      </ns0:c>
      <ns0:c r="G74" s="19" t="str">
        <ns0:f>IF(INDEX(Tasks[Task ID],68)="","",INDEX(Tasks[Progress %],68))</ns0:f>
      </ns0:c>
      <ns0:c r="H74" s="8" t="str">
        <ns0:f>IF(INDEX(Tasks[Task ID],68)="","",INDEX('Project Tracker'!$Q$7:$Q$106,68))</ns0:f>
      </ns0:c>
      <ns0:c r="I74" s="8" t="str">
        <ns0:f>IF(INDEX(Tasks[Task ID],68)="","",INDEX(Tasks[Milestone],68))</ns0:f>
      </ns0:c>
      <ns0:c r="J74" s="8" t="str">
        <ns0:f>IF(INDEX(Tasks[Task ID],68)="","",INDEX(Tasks[Schedule Health],68))</ns0:f>
      </ns0:c>
      <ns0:c r="K74" s="22" t="str">
        <ns0:f>IF($A74="","",IF($I74="Yes",IF(K$6=$D74,"◆",""),IF(AND(K$6&gt;=$D74,K$6&lt;=$E74),MAX(0,MIN(1,$G74*$F74-(K$6-$D74))),"")))</ns0:f>
      </ns0:c>
      <ns0:c r="L74" s="22" t="str">
        <ns0:f>IF($A74="","",IF($I74="Yes",IF(L$6=$D74,"◆",""),IF(AND(L$6&gt;=$D74,L$6&lt;=$E74),MAX(0,MIN(1,$G74*$F74-(L$6-$D74))),"")))</ns0:f>
      </ns0:c>
      <ns0:c r="M74" s="22" t="str">
        <ns0:f>IF($A74="","",IF($I74="Yes",IF(M$6=$D74,"◆",""),IF(AND(M$6&gt;=$D74,M$6&lt;=$E74),MAX(0,MIN(1,$G74*$F74-(M$6-$D74))),"")))</ns0:f>
      </ns0:c>
      <ns0:c r="N74" s="22" t="str">
        <ns0:f>IF($A74="","",IF($I74="Yes",IF(N$6=$D74,"◆",""),IF(AND(N$6&gt;=$D74,N$6&lt;=$E74),MAX(0,MIN(1,$G74*$F74-(N$6-$D74))),"")))</ns0:f>
      </ns0:c>
      <ns0:c r="O74" s="22" t="str">
        <ns0:f>IF($A74="","",IF($I74="Yes",IF(O$6=$D74,"◆",""),IF(AND(O$6&gt;=$D74,O$6&lt;=$E74),MAX(0,MIN(1,$G74*$F74-(O$6-$D74))),"")))</ns0:f>
      </ns0:c>
      <ns0:c r="P74" s="22" t="str">
        <ns0:f>IF($A74="","",IF($I74="Yes",IF(P$6=$D74,"◆",""),IF(AND(P$6&gt;=$D74,P$6&lt;=$E74),MAX(0,MIN(1,$G74*$F74-(P$6-$D74))),"")))</ns0:f>
      </ns0:c>
      <ns0:c r="Q74" s="22" t="str">
        <ns0:f>IF($A74="","",IF($I74="Yes",IF(Q$6=$D74,"◆",""),IF(AND(Q$6&gt;=$D74,Q$6&lt;=$E74),MAX(0,MIN(1,$G74*$F74-(Q$6-$D74))),"")))</ns0:f>
      </ns0:c>
      <ns0:c r="R74" s="22" t="str">
        <ns0:f>IF($A74="","",IF($I74="Yes",IF(R$6=$D74,"◆",""),IF(AND(R$6&gt;=$D74,R$6&lt;=$E74),MAX(0,MIN(1,$G74*$F74-(R$6-$D74))),"")))</ns0:f>
      </ns0:c>
      <ns0:c r="S74" s="22" t="str">
        <ns0:f>IF($A74="","",IF($I74="Yes",IF(S$6=$D74,"◆",""),IF(AND(S$6&gt;=$D74,S$6&lt;=$E74),MAX(0,MIN(1,$G74*$F74-(S$6-$D74))),"")))</ns0:f>
      </ns0:c>
      <ns0:c r="T74" s="22" t="str">
        <ns0:f>IF($A74="","",IF($I74="Yes",IF(T$6=$D74,"◆",""),IF(AND(T$6&gt;=$D74,T$6&lt;=$E74),MAX(0,MIN(1,$G74*$F74-(T$6-$D74))),"")))</ns0:f>
      </ns0:c>
      <ns0:c r="U74" s="22" t="str">
        <ns0:f>IF($A74="","",IF($I74="Yes",IF(U$6=$D74,"◆",""),IF(AND(U$6&gt;=$D74,U$6&lt;=$E74),MAX(0,MIN(1,$G74*$F74-(U$6-$D74))),"")))</ns0:f>
      </ns0:c>
      <ns0:c r="V74" s="22" t="str">
        <ns0:f>IF($A74="","",IF($I74="Yes",IF(V$6=$D74,"◆",""),IF(AND(V$6&gt;=$D74,V$6&lt;=$E74),MAX(0,MIN(1,$G74*$F74-(V$6-$D74))),"")))</ns0:f>
      </ns0:c>
      <ns0:c r="W74" s="22" t="str">
        <ns0:f>IF($A74="","",IF($I74="Yes",IF(W$6=$D74,"◆",""),IF(AND(W$6&gt;=$D74,W$6&lt;=$E74),MAX(0,MIN(1,$G74*$F74-(W$6-$D74))),"")))</ns0:f>
      </ns0:c>
      <ns0:c r="X74" s="22" t="str">
        <ns0:f>IF($A74="","",IF($I74="Yes",IF(X$6=$D74,"◆",""),IF(AND(X$6&gt;=$D74,X$6&lt;=$E74),MAX(0,MIN(1,$G74*$F74-(X$6-$D74))),"")))</ns0:f>
      </ns0:c>
      <ns0:c r="Y74" s="22" t="str">
        <ns0:f>IF($A74="","",IF($I74="Yes",IF(Y$6=$D74,"◆",""),IF(AND(Y$6&gt;=$D74,Y$6&lt;=$E74),MAX(0,MIN(1,$G74*$F74-(Y$6-$D74))),"")))</ns0:f>
      </ns0:c>
      <ns0:c r="Z74" s="22" t="str">
        <ns0:f>IF($A74="","",IF($I74="Yes",IF(Z$6=$D74,"◆",""),IF(AND(Z$6&gt;=$D74,Z$6&lt;=$E74),MAX(0,MIN(1,$G74*$F74-(Z$6-$D74))),"")))</ns0:f>
      </ns0:c>
      <ns0:c r="AA74" s="22" t="str">
        <ns0:f>IF($A74="","",IF($I74="Yes",IF(AA$6=$D74,"◆",""),IF(AND(AA$6&gt;=$D74,AA$6&lt;=$E74),MAX(0,MIN(1,$G74*$F74-(AA$6-$D74))),"")))</ns0:f>
      </ns0:c>
      <ns0:c r="AB74" s="22" t="str">
        <ns0:f>IF($A74="","",IF($I74="Yes",IF(AB$6=$D74,"◆",""),IF(AND(AB$6&gt;=$D74,AB$6&lt;=$E74),MAX(0,MIN(1,$G74*$F74-(AB$6-$D74))),"")))</ns0:f>
      </ns0:c>
      <ns0:c r="AC74" s="22" t="str">
        <ns0:f>IF($A74="","",IF($I74="Yes",IF(AC$6=$D74,"◆",""),IF(AND(AC$6&gt;=$D74,AC$6&lt;=$E74),MAX(0,MIN(1,$G74*$F74-(AC$6-$D74))),"")))</ns0:f>
      </ns0:c>
      <ns0:c r="AD74" s="22" t="str">
        <ns0:f>IF($A74="","",IF($I74="Yes",IF(AD$6=$D74,"◆",""),IF(AND(AD$6&gt;=$D74,AD$6&lt;=$E74),MAX(0,MIN(1,$G74*$F74-(AD$6-$D74))),"")))</ns0:f>
      </ns0:c>
      <ns0:c r="AE74" s="22" t="str">
        <ns0:f>IF($A74="","",IF($I74="Yes",IF(AE$6=$D74,"◆",""),IF(AND(AE$6&gt;=$D74,AE$6&lt;=$E74),MAX(0,MIN(1,$G74*$F74-(AE$6-$D74))),"")))</ns0:f>
      </ns0:c>
      <ns0:c r="AF74" s="22" t="str">
        <ns0:f>IF($A74="","",IF($I74="Yes",IF(AF$6=$D74,"◆",""),IF(AND(AF$6&gt;=$D74,AF$6&lt;=$E74),MAX(0,MIN(1,$G74*$F74-(AF$6-$D74))),"")))</ns0:f>
      </ns0:c>
      <ns0:c r="AG74" s="22" t="str">
        <ns0:f>IF($A74="","",IF($I74="Yes",IF(AG$6=$D74,"◆",""),IF(AND(AG$6&gt;=$D74,AG$6&lt;=$E74),MAX(0,MIN(1,$G74*$F74-(AG$6-$D74))),"")))</ns0:f>
      </ns0:c>
      <ns0:c r="AH74" s="22" t="str">
        <ns0:f>IF($A74="","",IF($I74="Yes",IF(AH$6=$D74,"◆",""),IF(AND(AH$6&gt;=$D74,AH$6&lt;=$E74),MAX(0,MIN(1,$G74*$F74-(AH$6-$D74))),"")))</ns0:f>
      </ns0:c>
      <ns0:c r="AI74" s="22" t="str">
        <ns0:f>IF($A74="","",IF($I74="Yes",IF(AI$6=$D74,"◆",""),IF(AND(AI$6&gt;=$D74,AI$6&lt;=$E74),MAX(0,MIN(1,$G74*$F74-(AI$6-$D74))),"")))</ns0:f>
      </ns0:c>
      <ns0:c r="AJ74" s="22" t="str">
        <ns0:f>IF($A74="","",IF($I74="Yes",IF(AJ$6=$D74,"◆",""),IF(AND(AJ$6&gt;=$D74,AJ$6&lt;=$E74),MAX(0,MIN(1,$G74*$F74-(AJ$6-$D74))),"")))</ns0:f>
      </ns0:c>
      <ns0:c r="AK74" s="22" t="str">
        <ns0:f>IF($A74="","",IF($I74="Yes",IF(AK$6=$D74,"◆",""),IF(AND(AK$6&gt;=$D74,AK$6&lt;=$E74),MAX(0,MIN(1,$G74*$F74-(AK$6-$D74))),"")))</ns0:f>
      </ns0:c>
      <ns0:c r="AL74" s="22" t="str">
        <ns0:f>IF($A74="","",IF($I74="Yes",IF(AL$6=$D74,"◆",""),IF(AND(AL$6&gt;=$D74,AL$6&lt;=$E74),MAX(0,MIN(1,$G74*$F74-(AL$6-$D74))),"")))</ns0:f>
      </ns0:c>
      <ns0:c r="AM74" s="22" t="str">
        <ns0:f>IF($A74="","",IF($I74="Yes",IF(AM$6=$D74,"◆",""),IF(AND(AM$6&gt;=$D74,AM$6&lt;=$E74),MAX(0,MIN(1,$G74*$F74-(AM$6-$D74))),"")))</ns0:f>
      </ns0:c>
      <ns0:c r="AN74" s="22" t="str">
        <ns0:f>IF($A74="","",IF($I74="Yes",IF(AN$6=$D74,"◆",""),IF(AND(AN$6&gt;=$D74,AN$6&lt;=$E74),MAX(0,MIN(1,$G74*$F74-(AN$6-$D74))),"")))</ns0:f>
      </ns0:c>
      <ns0:c r="AO74" s="22" t="str">
        <ns0:f>IF($A74="","",IF($I74="Yes",IF(AO$6=$D74,"◆",""),IF(AND(AO$6&gt;=$D74,AO$6&lt;=$E74),MAX(0,MIN(1,$G74*$F74-(AO$6-$D74))),"")))</ns0:f>
      </ns0:c>
      <ns0:c r="AP74" s="22" t="str">
        <ns0:f>IF($A74="","",IF($I74="Yes",IF(AP$6=$D74,"◆",""),IF(AND(AP$6&gt;=$D74,AP$6&lt;=$E74),MAX(0,MIN(1,$G74*$F74-(AP$6-$D74))),"")))</ns0:f>
      </ns0:c>
      <ns0:c r="AQ74" s="22" t="str">
        <ns0:f>IF($A74="","",IF($I74="Yes",IF(AQ$6=$D74,"◆",""),IF(AND(AQ$6&gt;=$D74,AQ$6&lt;=$E74),MAX(0,MIN(1,$G74*$F74-(AQ$6-$D74))),"")))</ns0:f>
      </ns0:c>
      <ns0:c r="AR74" s="22" t="str">
        <ns0:f>IF($A74="","",IF($I74="Yes",IF(AR$6=$D74,"◆",""),IF(AND(AR$6&gt;=$D74,AR$6&lt;=$E74),MAX(0,MIN(1,$G74*$F74-(AR$6-$D74))),"")))</ns0:f>
      </ns0:c>
    </ns0:row>
    <ns0:row r="75" ht="48" customHeight="1">
      <ns0:c r="A75" s="8" t="str">
        <ns0:f>IF(INDEX(Tasks[Task ID],69)="","",INDEX(Tasks[Task ID],69))</ns0:f>
      </ns0:c>
      <ns0:c r="B75" s="8" t="str">
        <ns0:f>IF(INDEX(Tasks[Task ID],69)="","",INDEX(Tasks[Phase],69))</ns0:f>
      </ns0:c>
      <ns0:c r="C75" s="8" t="str">
        <ns0:f>IF(INDEX(Tasks[Task ID],69)="","",INDEX(Tasks[Task Name],69))</ns0:f>
      </ns0:c>
      <ns0:c r="D75" s="18" t="str">
        <ns0:f>IF(INDEX(Tasks[Task ID],69)="","",INDEX(Tasks[Start Date],69))</ns0:f>
      </ns0:c>
      <ns0:c r="E75" s="18" t="str">
        <ns0:f>IF(INDEX(Tasks[Task ID],69)="","",INDEX(Tasks[End Date],69))</ns0:f>
      </ns0:c>
      <ns0:c r="F75" s="8" t="str">
        <ns0:f>IF(INDEX(Tasks[Task ID],69)="","",INDEX(Tasks[Duration],69))</ns0:f>
      </ns0:c>
      <ns0:c r="G75" s="19" t="str">
        <ns0:f>IF(INDEX(Tasks[Task ID],69)="","",INDEX(Tasks[Progress %],69))</ns0:f>
      </ns0:c>
      <ns0:c r="H75" s="8" t="str">
        <ns0:f>IF(INDEX(Tasks[Task ID],69)="","",INDEX('Project Tracker'!$Q$7:$Q$106,69))</ns0:f>
      </ns0:c>
      <ns0:c r="I75" s="8" t="str">
        <ns0:f>IF(INDEX(Tasks[Task ID],69)="","",INDEX(Tasks[Milestone],69))</ns0:f>
      </ns0:c>
      <ns0:c r="J75" s="8" t="str">
        <ns0:f>IF(INDEX(Tasks[Task ID],69)="","",INDEX(Tasks[Schedule Health],69))</ns0:f>
      </ns0:c>
      <ns0:c r="K75" s="22" t="str">
        <ns0:f>IF($A75="","",IF($I75="Yes",IF(K$6=$D75,"◆",""),IF(AND(K$6&gt;=$D75,K$6&lt;=$E75),MAX(0,MIN(1,$G75*$F75-(K$6-$D75))),"")))</ns0:f>
      </ns0:c>
      <ns0:c r="L75" s="22" t="str">
        <ns0:f>IF($A75="","",IF($I75="Yes",IF(L$6=$D75,"◆",""),IF(AND(L$6&gt;=$D75,L$6&lt;=$E75),MAX(0,MIN(1,$G75*$F75-(L$6-$D75))),"")))</ns0:f>
      </ns0:c>
      <ns0:c r="M75" s="22" t="str">
        <ns0:f>IF($A75="","",IF($I75="Yes",IF(M$6=$D75,"◆",""),IF(AND(M$6&gt;=$D75,M$6&lt;=$E75),MAX(0,MIN(1,$G75*$F75-(M$6-$D75))),"")))</ns0:f>
      </ns0:c>
      <ns0:c r="N75" s="22" t="str">
        <ns0:f>IF($A75="","",IF($I75="Yes",IF(N$6=$D75,"◆",""),IF(AND(N$6&gt;=$D75,N$6&lt;=$E75),MAX(0,MIN(1,$G75*$F75-(N$6-$D75))),"")))</ns0:f>
      </ns0:c>
      <ns0:c r="O75" s="22" t="str">
        <ns0:f>IF($A75="","",IF($I75="Yes",IF(O$6=$D75,"◆",""),IF(AND(O$6&gt;=$D75,O$6&lt;=$E75),MAX(0,MIN(1,$G75*$F75-(O$6-$D75))),"")))</ns0:f>
      </ns0:c>
      <ns0:c r="P75" s="22" t="str">
        <ns0:f>IF($A75="","",IF($I75="Yes",IF(P$6=$D75,"◆",""),IF(AND(P$6&gt;=$D75,P$6&lt;=$E75),MAX(0,MIN(1,$G75*$F75-(P$6-$D75))),"")))</ns0:f>
      </ns0:c>
      <ns0:c r="Q75" s="22" t="str">
        <ns0:f>IF($A75="","",IF($I75="Yes",IF(Q$6=$D75,"◆",""),IF(AND(Q$6&gt;=$D75,Q$6&lt;=$E75),MAX(0,MIN(1,$G75*$F75-(Q$6-$D75))),"")))</ns0:f>
      </ns0:c>
      <ns0:c r="R75" s="22" t="str">
        <ns0:f>IF($A75="","",IF($I75="Yes",IF(R$6=$D75,"◆",""),IF(AND(R$6&gt;=$D75,R$6&lt;=$E75),MAX(0,MIN(1,$G75*$F75-(R$6-$D75))),"")))</ns0:f>
      </ns0:c>
      <ns0:c r="S75" s="22" t="str">
        <ns0:f>IF($A75="","",IF($I75="Yes",IF(S$6=$D75,"◆",""),IF(AND(S$6&gt;=$D75,S$6&lt;=$E75),MAX(0,MIN(1,$G75*$F75-(S$6-$D75))),"")))</ns0:f>
      </ns0:c>
      <ns0:c r="T75" s="22" t="str">
        <ns0:f>IF($A75="","",IF($I75="Yes",IF(T$6=$D75,"◆",""),IF(AND(T$6&gt;=$D75,T$6&lt;=$E75),MAX(0,MIN(1,$G75*$F75-(T$6-$D75))),"")))</ns0:f>
      </ns0:c>
      <ns0:c r="U75" s="22" t="str">
        <ns0:f>IF($A75="","",IF($I75="Yes",IF(U$6=$D75,"◆",""),IF(AND(U$6&gt;=$D75,U$6&lt;=$E75),MAX(0,MIN(1,$G75*$F75-(U$6-$D75))),"")))</ns0:f>
      </ns0:c>
      <ns0:c r="V75" s="22" t="str">
        <ns0:f>IF($A75="","",IF($I75="Yes",IF(V$6=$D75,"◆",""),IF(AND(V$6&gt;=$D75,V$6&lt;=$E75),MAX(0,MIN(1,$G75*$F75-(V$6-$D75))),"")))</ns0:f>
      </ns0:c>
      <ns0:c r="W75" s="22" t="str">
        <ns0:f>IF($A75="","",IF($I75="Yes",IF(W$6=$D75,"◆",""),IF(AND(W$6&gt;=$D75,W$6&lt;=$E75),MAX(0,MIN(1,$G75*$F75-(W$6-$D75))),"")))</ns0:f>
      </ns0:c>
      <ns0:c r="X75" s="22" t="str">
        <ns0:f>IF($A75="","",IF($I75="Yes",IF(X$6=$D75,"◆",""),IF(AND(X$6&gt;=$D75,X$6&lt;=$E75),MAX(0,MIN(1,$G75*$F75-(X$6-$D75))),"")))</ns0:f>
      </ns0:c>
      <ns0:c r="Y75" s="22" t="str">
        <ns0:f>IF($A75="","",IF($I75="Yes",IF(Y$6=$D75,"◆",""),IF(AND(Y$6&gt;=$D75,Y$6&lt;=$E75),MAX(0,MIN(1,$G75*$F75-(Y$6-$D75))),"")))</ns0:f>
      </ns0:c>
      <ns0:c r="Z75" s="22" t="str">
        <ns0:f>IF($A75="","",IF($I75="Yes",IF(Z$6=$D75,"◆",""),IF(AND(Z$6&gt;=$D75,Z$6&lt;=$E75),MAX(0,MIN(1,$G75*$F75-(Z$6-$D75))),"")))</ns0:f>
      </ns0:c>
      <ns0:c r="AA75" s="22" t="str">
        <ns0:f>IF($A75="","",IF($I75="Yes",IF(AA$6=$D75,"◆",""),IF(AND(AA$6&gt;=$D75,AA$6&lt;=$E75),MAX(0,MIN(1,$G75*$F75-(AA$6-$D75))),"")))</ns0:f>
      </ns0:c>
      <ns0:c r="AB75" s="22" t="str">
        <ns0:f>IF($A75="","",IF($I75="Yes",IF(AB$6=$D75,"◆",""),IF(AND(AB$6&gt;=$D75,AB$6&lt;=$E75),MAX(0,MIN(1,$G75*$F75-(AB$6-$D75))),"")))</ns0:f>
      </ns0:c>
      <ns0:c r="AC75" s="22" t="str">
        <ns0:f>IF($A75="","",IF($I75="Yes",IF(AC$6=$D75,"◆",""),IF(AND(AC$6&gt;=$D75,AC$6&lt;=$E75),MAX(0,MIN(1,$G75*$F75-(AC$6-$D75))),"")))</ns0:f>
      </ns0:c>
      <ns0:c r="AD75" s="22" t="str">
        <ns0:f>IF($A75="","",IF($I75="Yes",IF(AD$6=$D75,"◆",""),IF(AND(AD$6&gt;=$D75,AD$6&lt;=$E75),MAX(0,MIN(1,$G75*$F75-(AD$6-$D75))),"")))</ns0:f>
      </ns0:c>
      <ns0:c r="AE75" s="22" t="str">
        <ns0:f>IF($A75="","",IF($I75="Yes",IF(AE$6=$D75,"◆",""),IF(AND(AE$6&gt;=$D75,AE$6&lt;=$E75),MAX(0,MIN(1,$G75*$F75-(AE$6-$D75))),"")))</ns0:f>
      </ns0:c>
      <ns0:c r="AF75" s="22" t="str">
        <ns0:f>IF($A75="","",IF($I75="Yes",IF(AF$6=$D75,"◆",""),IF(AND(AF$6&gt;=$D75,AF$6&lt;=$E75),MAX(0,MIN(1,$G75*$F75-(AF$6-$D75))),"")))</ns0:f>
      </ns0:c>
      <ns0:c r="AG75" s="22" t="str">
        <ns0:f>IF($A75="","",IF($I75="Yes",IF(AG$6=$D75,"◆",""),IF(AND(AG$6&gt;=$D75,AG$6&lt;=$E75),MAX(0,MIN(1,$G75*$F75-(AG$6-$D75))),"")))</ns0:f>
      </ns0:c>
      <ns0:c r="AH75" s="22" t="str">
        <ns0:f>IF($A75="","",IF($I75="Yes",IF(AH$6=$D75,"◆",""),IF(AND(AH$6&gt;=$D75,AH$6&lt;=$E75),MAX(0,MIN(1,$G75*$F75-(AH$6-$D75))),"")))</ns0:f>
      </ns0:c>
      <ns0:c r="AI75" s="22" t="str">
        <ns0:f>IF($A75="","",IF($I75="Yes",IF(AI$6=$D75,"◆",""),IF(AND(AI$6&gt;=$D75,AI$6&lt;=$E75),MAX(0,MIN(1,$G75*$F75-(AI$6-$D75))),"")))</ns0:f>
      </ns0:c>
      <ns0:c r="AJ75" s="22" t="str">
        <ns0:f>IF($A75="","",IF($I75="Yes",IF(AJ$6=$D75,"◆",""),IF(AND(AJ$6&gt;=$D75,AJ$6&lt;=$E75),MAX(0,MIN(1,$G75*$F75-(AJ$6-$D75))),"")))</ns0:f>
      </ns0:c>
      <ns0:c r="AK75" s="22" t="str">
        <ns0:f>IF($A75="","",IF($I75="Yes",IF(AK$6=$D75,"◆",""),IF(AND(AK$6&gt;=$D75,AK$6&lt;=$E75),MAX(0,MIN(1,$G75*$F75-(AK$6-$D75))),"")))</ns0:f>
      </ns0:c>
      <ns0:c r="AL75" s="22" t="str">
        <ns0:f>IF($A75="","",IF($I75="Yes",IF(AL$6=$D75,"◆",""),IF(AND(AL$6&gt;=$D75,AL$6&lt;=$E75),MAX(0,MIN(1,$G75*$F75-(AL$6-$D75))),"")))</ns0:f>
      </ns0:c>
      <ns0:c r="AM75" s="22" t="str">
        <ns0:f>IF($A75="","",IF($I75="Yes",IF(AM$6=$D75,"◆",""),IF(AND(AM$6&gt;=$D75,AM$6&lt;=$E75),MAX(0,MIN(1,$G75*$F75-(AM$6-$D75))),"")))</ns0:f>
      </ns0:c>
      <ns0:c r="AN75" s="22" t="str">
        <ns0:f>IF($A75="","",IF($I75="Yes",IF(AN$6=$D75,"◆",""),IF(AND(AN$6&gt;=$D75,AN$6&lt;=$E75),MAX(0,MIN(1,$G75*$F75-(AN$6-$D75))),"")))</ns0:f>
      </ns0:c>
      <ns0:c r="AO75" s="22" t="str">
        <ns0:f>IF($A75="","",IF($I75="Yes",IF(AO$6=$D75,"◆",""),IF(AND(AO$6&gt;=$D75,AO$6&lt;=$E75),MAX(0,MIN(1,$G75*$F75-(AO$6-$D75))),"")))</ns0:f>
      </ns0:c>
      <ns0:c r="AP75" s="22" t="str">
        <ns0:f>IF($A75="","",IF($I75="Yes",IF(AP$6=$D75,"◆",""),IF(AND(AP$6&gt;=$D75,AP$6&lt;=$E75),MAX(0,MIN(1,$G75*$F75-(AP$6-$D75))),"")))</ns0:f>
      </ns0:c>
      <ns0:c r="AQ75" s="22" t="str">
        <ns0:f>IF($A75="","",IF($I75="Yes",IF(AQ$6=$D75,"◆",""),IF(AND(AQ$6&gt;=$D75,AQ$6&lt;=$E75),MAX(0,MIN(1,$G75*$F75-(AQ$6-$D75))),"")))</ns0:f>
      </ns0:c>
      <ns0:c r="AR75" s="22" t="str">
        <ns0:f>IF($A75="","",IF($I75="Yes",IF(AR$6=$D75,"◆",""),IF(AND(AR$6&gt;=$D75,AR$6&lt;=$E75),MAX(0,MIN(1,$G75*$F75-(AR$6-$D75))),"")))</ns0:f>
      </ns0:c>
    </ns0:row>
    <ns0:row r="76" ht="48" customHeight="1">
      <ns0:c r="A76" s="8" t="str">
        <ns0:f>IF(INDEX(Tasks[Task ID],70)="","",INDEX(Tasks[Task ID],70))</ns0:f>
      </ns0:c>
      <ns0:c r="B76" s="8" t="str">
        <ns0:f>IF(INDEX(Tasks[Task ID],70)="","",INDEX(Tasks[Phase],70))</ns0:f>
      </ns0:c>
      <ns0:c r="C76" s="8" t="str">
        <ns0:f>IF(INDEX(Tasks[Task ID],70)="","",INDEX(Tasks[Task Name],70))</ns0:f>
      </ns0:c>
      <ns0:c r="D76" s="18" t="str">
        <ns0:f>IF(INDEX(Tasks[Task ID],70)="","",INDEX(Tasks[Start Date],70))</ns0:f>
      </ns0:c>
      <ns0:c r="E76" s="18" t="str">
        <ns0:f>IF(INDEX(Tasks[Task ID],70)="","",INDEX(Tasks[End Date],70))</ns0:f>
      </ns0:c>
      <ns0:c r="F76" s="8" t="str">
        <ns0:f>IF(INDEX(Tasks[Task ID],70)="","",INDEX(Tasks[Duration],70))</ns0:f>
      </ns0:c>
      <ns0:c r="G76" s="19" t="str">
        <ns0:f>IF(INDEX(Tasks[Task ID],70)="","",INDEX(Tasks[Progress %],70))</ns0:f>
      </ns0:c>
      <ns0:c r="H76" s="8" t="str">
        <ns0:f>IF(INDEX(Tasks[Task ID],70)="","",INDEX('Project Tracker'!$Q$7:$Q$106,70))</ns0:f>
      </ns0:c>
      <ns0:c r="I76" s="8" t="str">
        <ns0:f>IF(INDEX(Tasks[Task ID],70)="","",INDEX(Tasks[Milestone],70))</ns0:f>
      </ns0:c>
      <ns0:c r="J76" s="8" t="str">
        <ns0:f>IF(INDEX(Tasks[Task ID],70)="","",INDEX(Tasks[Schedule Health],70))</ns0:f>
      </ns0:c>
      <ns0:c r="K76" s="22" t="str">
        <ns0:f>IF($A76="","",IF($I76="Yes",IF(K$6=$D76,"◆",""),IF(AND(K$6&gt;=$D76,K$6&lt;=$E76),MAX(0,MIN(1,$G76*$F76-(K$6-$D76))),"")))</ns0:f>
      </ns0:c>
      <ns0:c r="L76" s="22" t="str">
        <ns0:f>IF($A76="","",IF($I76="Yes",IF(L$6=$D76,"◆",""),IF(AND(L$6&gt;=$D76,L$6&lt;=$E76),MAX(0,MIN(1,$G76*$F76-(L$6-$D76))),"")))</ns0:f>
      </ns0:c>
      <ns0:c r="M76" s="22" t="str">
        <ns0:f>IF($A76="","",IF($I76="Yes",IF(M$6=$D76,"◆",""),IF(AND(M$6&gt;=$D76,M$6&lt;=$E76),MAX(0,MIN(1,$G76*$F76-(M$6-$D76))),"")))</ns0:f>
      </ns0:c>
      <ns0:c r="N76" s="22" t="str">
        <ns0:f>IF($A76="","",IF($I76="Yes",IF(N$6=$D76,"◆",""),IF(AND(N$6&gt;=$D76,N$6&lt;=$E76),MAX(0,MIN(1,$G76*$F76-(N$6-$D76))),"")))</ns0:f>
      </ns0:c>
      <ns0:c r="O76" s="22" t="str">
        <ns0:f>IF($A76="","",IF($I76="Yes",IF(O$6=$D76,"◆",""),IF(AND(O$6&gt;=$D76,O$6&lt;=$E76),MAX(0,MIN(1,$G76*$F76-(O$6-$D76))),"")))</ns0:f>
      </ns0:c>
      <ns0:c r="P76" s="22" t="str">
        <ns0:f>IF($A76="","",IF($I76="Yes",IF(P$6=$D76,"◆",""),IF(AND(P$6&gt;=$D76,P$6&lt;=$E76),MAX(0,MIN(1,$G76*$F76-(P$6-$D76))),"")))</ns0:f>
      </ns0:c>
      <ns0:c r="Q76" s="22" t="str">
        <ns0:f>IF($A76="","",IF($I76="Yes",IF(Q$6=$D76,"◆",""),IF(AND(Q$6&gt;=$D76,Q$6&lt;=$E76),MAX(0,MIN(1,$G76*$F76-(Q$6-$D76))),"")))</ns0:f>
      </ns0:c>
      <ns0:c r="R76" s="22" t="str">
        <ns0:f>IF($A76="","",IF($I76="Yes",IF(R$6=$D76,"◆",""),IF(AND(R$6&gt;=$D76,R$6&lt;=$E76),MAX(0,MIN(1,$G76*$F76-(R$6-$D76))),"")))</ns0:f>
      </ns0:c>
      <ns0:c r="S76" s="22" t="str">
        <ns0:f>IF($A76="","",IF($I76="Yes",IF(S$6=$D76,"◆",""),IF(AND(S$6&gt;=$D76,S$6&lt;=$E76),MAX(0,MIN(1,$G76*$F76-(S$6-$D76))),"")))</ns0:f>
      </ns0:c>
      <ns0:c r="T76" s="22" t="str">
        <ns0:f>IF($A76="","",IF($I76="Yes",IF(T$6=$D76,"◆",""),IF(AND(T$6&gt;=$D76,T$6&lt;=$E76),MAX(0,MIN(1,$G76*$F76-(T$6-$D76))),"")))</ns0:f>
      </ns0:c>
      <ns0:c r="U76" s="22" t="str">
        <ns0:f>IF($A76="","",IF($I76="Yes",IF(U$6=$D76,"◆",""),IF(AND(U$6&gt;=$D76,U$6&lt;=$E76),MAX(0,MIN(1,$G76*$F76-(U$6-$D76))),"")))</ns0:f>
      </ns0:c>
      <ns0:c r="V76" s="22" t="str">
        <ns0:f>IF($A76="","",IF($I76="Yes",IF(V$6=$D76,"◆",""),IF(AND(V$6&gt;=$D76,V$6&lt;=$E76),MAX(0,MIN(1,$G76*$F76-(V$6-$D76))),"")))</ns0:f>
      </ns0:c>
      <ns0:c r="W76" s="22" t="str">
        <ns0:f>IF($A76="","",IF($I76="Yes",IF(W$6=$D76,"◆",""),IF(AND(W$6&gt;=$D76,W$6&lt;=$E76),MAX(0,MIN(1,$G76*$F76-(W$6-$D76))),"")))</ns0:f>
      </ns0:c>
      <ns0:c r="X76" s="22" t="str">
        <ns0:f>IF($A76="","",IF($I76="Yes",IF(X$6=$D76,"◆",""),IF(AND(X$6&gt;=$D76,X$6&lt;=$E76),MAX(0,MIN(1,$G76*$F76-(X$6-$D76))),"")))</ns0:f>
      </ns0:c>
      <ns0:c r="Y76" s="22" t="str">
        <ns0:f>IF($A76="","",IF($I76="Yes",IF(Y$6=$D76,"◆",""),IF(AND(Y$6&gt;=$D76,Y$6&lt;=$E76),MAX(0,MIN(1,$G76*$F76-(Y$6-$D76))),"")))</ns0:f>
      </ns0:c>
      <ns0:c r="Z76" s="22" t="str">
        <ns0:f>IF($A76="","",IF($I76="Yes",IF(Z$6=$D76,"◆",""),IF(AND(Z$6&gt;=$D76,Z$6&lt;=$E76),MAX(0,MIN(1,$G76*$F76-(Z$6-$D76))),"")))</ns0:f>
      </ns0:c>
      <ns0:c r="AA76" s="22" t="str">
        <ns0:f>IF($A76="","",IF($I76="Yes",IF(AA$6=$D76,"◆",""),IF(AND(AA$6&gt;=$D76,AA$6&lt;=$E76),MAX(0,MIN(1,$G76*$F76-(AA$6-$D76))),"")))</ns0:f>
      </ns0:c>
      <ns0:c r="AB76" s="22" t="str">
        <ns0:f>IF($A76="","",IF($I76="Yes",IF(AB$6=$D76,"◆",""),IF(AND(AB$6&gt;=$D76,AB$6&lt;=$E76),MAX(0,MIN(1,$G76*$F76-(AB$6-$D76))),"")))</ns0:f>
      </ns0:c>
      <ns0:c r="AC76" s="22" t="str">
        <ns0:f>IF($A76="","",IF($I76="Yes",IF(AC$6=$D76,"◆",""),IF(AND(AC$6&gt;=$D76,AC$6&lt;=$E76),MAX(0,MIN(1,$G76*$F76-(AC$6-$D76))),"")))</ns0:f>
      </ns0:c>
      <ns0:c r="AD76" s="22" t="str">
        <ns0:f>IF($A76="","",IF($I76="Yes",IF(AD$6=$D76,"◆",""),IF(AND(AD$6&gt;=$D76,AD$6&lt;=$E76),MAX(0,MIN(1,$G76*$F76-(AD$6-$D76))),"")))</ns0:f>
      </ns0:c>
      <ns0:c r="AE76" s="22" t="str">
        <ns0:f>IF($A76="","",IF($I76="Yes",IF(AE$6=$D76,"◆",""),IF(AND(AE$6&gt;=$D76,AE$6&lt;=$E76),MAX(0,MIN(1,$G76*$F76-(AE$6-$D76))),"")))</ns0:f>
      </ns0:c>
      <ns0:c r="AF76" s="22" t="str">
        <ns0:f>IF($A76="","",IF($I76="Yes",IF(AF$6=$D76,"◆",""),IF(AND(AF$6&gt;=$D76,AF$6&lt;=$E76),MAX(0,MIN(1,$G76*$F76-(AF$6-$D76))),"")))</ns0:f>
      </ns0:c>
      <ns0:c r="AG76" s="22" t="str">
        <ns0:f>IF($A76="","",IF($I76="Yes",IF(AG$6=$D76,"◆",""),IF(AND(AG$6&gt;=$D76,AG$6&lt;=$E76),MAX(0,MIN(1,$G76*$F76-(AG$6-$D76))),"")))</ns0:f>
      </ns0:c>
      <ns0:c r="AH76" s="22" t="str">
        <ns0:f>IF($A76="","",IF($I76="Yes",IF(AH$6=$D76,"◆",""),IF(AND(AH$6&gt;=$D76,AH$6&lt;=$E76),MAX(0,MIN(1,$G76*$F76-(AH$6-$D76))),"")))</ns0:f>
      </ns0:c>
      <ns0:c r="AI76" s="22" t="str">
        <ns0:f>IF($A76="","",IF($I76="Yes",IF(AI$6=$D76,"◆",""),IF(AND(AI$6&gt;=$D76,AI$6&lt;=$E76),MAX(0,MIN(1,$G76*$F76-(AI$6-$D76))),"")))</ns0:f>
      </ns0:c>
      <ns0:c r="AJ76" s="22" t="str">
        <ns0:f>IF($A76="","",IF($I76="Yes",IF(AJ$6=$D76,"◆",""),IF(AND(AJ$6&gt;=$D76,AJ$6&lt;=$E76),MAX(0,MIN(1,$G76*$F76-(AJ$6-$D76))),"")))</ns0:f>
      </ns0:c>
      <ns0:c r="AK76" s="22" t="str">
        <ns0:f>IF($A76="","",IF($I76="Yes",IF(AK$6=$D76,"◆",""),IF(AND(AK$6&gt;=$D76,AK$6&lt;=$E76),MAX(0,MIN(1,$G76*$F76-(AK$6-$D76))),"")))</ns0:f>
      </ns0:c>
      <ns0:c r="AL76" s="22" t="str">
        <ns0:f>IF($A76="","",IF($I76="Yes",IF(AL$6=$D76,"◆",""),IF(AND(AL$6&gt;=$D76,AL$6&lt;=$E76),MAX(0,MIN(1,$G76*$F76-(AL$6-$D76))),"")))</ns0:f>
      </ns0:c>
      <ns0:c r="AM76" s="22" t="str">
        <ns0:f>IF($A76="","",IF($I76="Yes",IF(AM$6=$D76,"◆",""),IF(AND(AM$6&gt;=$D76,AM$6&lt;=$E76),MAX(0,MIN(1,$G76*$F76-(AM$6-$D76))),"")))</ns0:f>
      </ns0:c>
      <ns0:c r="AN76" s="22" t="str">
        <ns0:f>IF($A76="","",IF($I76="Yes",IF(AN$6=$D76,"◆",""),IF(AND(AN$6&gt;=$D76,AN$6&lt;=$E76),MAX(0,MIN(1,$G76*$F76-(AN$6-$D76))),"")))</ns0:f>
      </ns0:c>
      <ns0:c r="AO76" s="22" t="str">
        <ns0:f>IF($A76="","",IF($I76="Yes",IF(AO$6=$D76,"◆",""),IF(AND(AO$6&gt;=$D76,AO$6&lt;=$E76),MAX(0,MIN(1,$G76*$F76-(AO$6-$D76))),"")))</ns0:f>
      </ns0:c>
      <ns0:c r="AP76" s="22" t="str">
        <ns0:f>IF($A76="","",IF($I76="Yes",IF(AP$6=$D76,"◆",""),IF(AND(AP$6&gt;=$D76,AP$6&lt;=$E76),MAX(0,MIN(1,$G76*$F76-(AP$6-$D76))),"")))</ns0:f>
      </ns0:c>
      <ns0:c r="AQ76" s="22" t="str">
        <ns0:f>IF($A76="","",IF($I76="Yes",IF(AQ$6=$D76,"◆",""),IF(AND(AQ$6&gt;=$D76,AQ$6&lt;=$E76),MAX(0,MIN(1,$G76*$F76-(AQ$6-$D76))),"")))</ns0:f>
      </ns0:c>
      <ns0:c r="AR76" s="22" t="str">
        <ns0:f>IF($A76="","",IF($I76="Yes",IF(AR$6=$D76,"◆",""),IF(AND(AR$6&gt;=$D76,AR$6&lt;=$E76),MAX(0,MIN(1,$G76*$F76-(AR$6-$D76))),"")))</ns0:f>
      </ns0:c>
    </ns0:row>
    <ns0:row r="77" ht="48" customHeight="1">
      <ns0:c r="A77" s="8" t="str">
        <ns0:f>IF(INDEX(Tasks[Task ID],71)="","",INDEX(Tasks[Task ID],71))</ns0:f>
      </ns0:c>
      <ns0:c r="B77" s="8" t="str">
        <ns0:f>IF(INDEX(Tasks[Task ID],71)="","",INDEX(Tasks[Phase],71))</ns0:f>
      </ns0:c>
      <ns0:c r="C77" s="8" t="str">
        <ns0:f>IF(INDEX(Tasks[Task ID],71)="","",INDEX(Tasks[Task Name],71))</ns0:f>
      </ns0:c>
      <ns0:c r="D77" s="18" t="str">
        <ns0:f>IF(INDEX(Tasks[Task ID],71)="","",INDEX(Tasks[Start Date],71))</ns0:f>
      </ns0:c>
      <ns0:c r="E77" s="18" t="str">
        <ns0:f>IF(INDEX(Tasks[Task ID],71)="","",INDEX(Tasks[End Date],71))</ns0:f>
      </ns0:c>
      <ns0:c r="F77" s="8" t="str">
        <ns0:f>IF(INDEX(Tasks[Task ID],71)="","",INDEX(Tasks[Duration],71))</ns0:f>
      </ns0:c>
      <ns0:c r="G77" s="19" t="str">
        <ns0:f>IF(INDEX(Tasks[Task ID],71)="","",INDEX(Tasks[Progress %],71))</ns0:f>
      </ns0:c>
      <ns0:c r="H77" s="8" t="str">
        <ns0:f>IF(INDEX(Tasks[Task ID],71)="","",INDEX('Project Tracker'!$Q$7:$Q$106,71))</ns0:f>
      </ns0:c>
      <ns0:c r="I77" s="8" t="str">
        <ns0:f>IF(INDEX(Tasks[Task ID],71)="","",INDEX(Tasks[Milestone],71))</ns0:f>
      </ns0:c>
      <ns0:c r="J77" s="8" t="str">
        <ns0:f>IF(INDEX(Tasks[Task ID],71)="","",INDEX(Tasks[Schedule Health],71))</ns0:f>
      </ns0:c>
      <ns0:c r="K77" s="22" t="str">
        <ns0:f>IF($A77="","",IF($I77="Yes",IF(K$6=$D77,"◆",""),IF(AND(K$6&gt;=$D77,K$6&lt;=$E77),MAX(0,MIN(1,$G77*$F77-(K$6-$D77))),"")))</ns0:f>
      </ns0:c>
      <ns0:c r="L77" s="22" t="str">
        <ns0:f>IF($A77="","",IF($I77="Yes",IF(L$6=$D77,"◆",""),IF(AND(L$6&gt;=$D77,L$6&lt;=$E77),MAX(0,MIN(1,$G77*$F77-(L$6-$D77))),"")))</ns0:f>
      </ns0:c>
      <ns0:c r="M77" s="22" t="str">
        <ns0:f>IF($A77="","",IF($I77="Yes",IF(M$6=$D77,"◆",""),IF(AND(M$6&gt;=$D77,M$6&lt;=$E77),MAX(0,MIN(1,$G77*$F77-(M$6-$D77))),"")))</ns0:f>
      </ns0:c>
      <ns0:c r="N77" s="22" t="str">
        <ns0:f>IF($A77="","",IF($I77="Yes",IF(N$6=$D77,"◆",""),IF(AND(N$6&gt;=$D77,N$6&lt;=$E77),MAX(0,MIN(1,$G77*$F77-(N$6-$D77))),"")))</ns0:f>
      </ns0:c>
      <ns0:c r="O77" s="22" t="str">
        <ns0:f>IF($A77="","",IF($I77="Yes",IF(O$6=$D77,"◆",""),IF(AND(O$6&gt;=$D77,O$6&lt;=$E77),MAX(0,MIN(1,$G77*$F77-(O$6-$D77))),"")))</ns0:f>
      </ns0:c>
      <ns0:c r="P77" s="22" t="str">
        <ns0:f>IF($A77="","",IF($I77="Yes",IF(P$6=$D77,"◆",""),IF(AND(P$6&gt;=$D77,P$6&lt;=$E77),MAX(0,MIN(1,$G77*$F77-(P$6-$D77))),"")))</ns0:f>
      </ns0:c>
      <ns0:c r="Q77" s="22" t="str">
        <ns0:f>IF($A77="","",IF($I77="Yes",IF(Q$6=$D77,"◆",""),IF(AND(Q$6&gt;=$D77,Q$6&lt;=$E77),MAX(0,MIN(1,$G77*$F77-(Q$6-$D77))),"")))</ns0:f>
      </ns0:c>
      <ns0:c r="R77" s="22" t="str">
        <ns0:f>IF($A77="","",IF($I77="Yes",IF(R$6=$D77,"◆",""),IF(AND(R$6&gt;=$D77,R$6&lt;=$E77),MAX(0,MIN(1,$G77*$F77-(R$6-$D77))),"")))</ns0:f>
      </ns0:c>
      <ns0:c r="S77" s="22" t="str">
        <ns0:f>IF($A77="","",IF($I77="Yes",IF(S$6=$D77,"◆",""),IF(AND(S$6&gt;=$D77,S$6&lt;=$E77),MAX(0,MIN(1,$G77*$F77-(S$6-$D77))),"")))</ns0:f>
      </ns0:c>
      <ns0:c r="T77" s="22" t="str">
        <ns0:f>IF($A77="","",IF($I77="Yes",IF(T$6=$D77,"◆",""),IF(AND(T$6&gt;=$D77,T$6&lt;=$E77),MAX(0,MIN(1,$G77*$F77-(T$6-$D77))),"")))</ns0:f>
      </ns0:c>
      <ns0:c r="U77" s="22" t="str">
        <ns0:f>IF($A77="","",IF($I77="Yes",IF(U$6=$D77,"◆",""),IF(AND(U$6&gt;=$D77,U$6&lt;=$E77),MAX(0,MIN(1,$G77*$F77-(U$6-$D77))),"")))</ns0:f>
      </ns0:c>
      <ns0:c r="V77" s="22" t="str">
        <ns0:f>IF($A77="","",IF($I77="Yes",IF(V$6=$D77,"◆",""),IF(AND(V$6&gt;=$D77,V$6&lt;=$E77),MAX(0,MIN(1,$G77*$F77-(V$6-$D77))),"")))</ns0:f>
      </ns0:c>
      <ns0:c r="W77" s="22" t="str">
        <ns0:f>IF($A77="","",IF($I77="Yes",IF(W$6=$D77,"◆",""),IF(AND(W$6&gt;=$D77,W$6&lt;=$E77),MAX(0,MIN(1,$G77*$F77-(W$6-$D77))),"")))</ns0:f>
      </ns0:c>
      <ns0:c r="X77" s="22" t="str">
        <ns0:f>IF($A77="","",IF($I77="Yes",IF(X$6=$D77,"◆",""),IF(AND(X$6&gt;=$D77,X$6&lt;=$E77),MAX(0,MIN(1,$G77*$F77-(X$6-$D77))),"")))</ns0:f>
      </ns0:c>
      <ns0:c r="Y77" s="22" t="str">
        <ns0:f>IF($A77="","",IF($I77="Yes",IF(Y$6=$D77,"◆",""),IF(AND(Y$6&gt;=$D77,Y$6&lt;=$E77),MAX(0,MIN(1,$G77*$F77-(Y$6-$D77))),"")))</ns0:f>
      </ns0:c>
      <ns0:c r="Z77" s="22" t="str">
        <ns0:f>IF($A77="","",IF($I77="Yes",IF(Z$6=$D77,"◆",""),IF(AND(Z$6&gt;=$D77,Z$6&lt;=$E77),MAX(0,MIN(1,$G77*$F77-(Z$6-$D77))),"")))</ns0:f>
      </ns0:c>
      <ns0:c r="AA77" s="22" t="str">
        <ns0:f>IF($A77="","",IF($I77="Yes",IF(AA$6=$D77,"◆",""),IF(AND(AA$6&gt;=$D77,AA$6&lt;=$E77),MAX(0,MIN(1,$G77*$F77-(AA$6-$D77))),"")))</ns0:f>
      </ns0:c>
      <ns0:c r="AB77" s="22" t="str">
        <ns0:f>IF($A77="","",IF($I77="Yes",IF(AB$6=$D77,"◆",""),IF(AND(AB$6&gt;=$D77,AB$6&lt;=$E77),MAX(0,MIN(1,$G77*$F77-(AB$6-$D77))),"")))</ns0:f>
      </ns0:c>
      <ns0:c r="AC77" s="22" t="str">
        <ns0:f>IF($A77="","",IF($I77="Yes",IF(AC$6=$D77,"◆",""),IF(AND(AC$6&gt;=$D77,AC$6&lt;=$E77),MAX(0,MIN(1,$G77*$F77-(AC$6-$D77))),"")))</ns0:f>
      </ns0:c>
      <ns0:c r="AD77" s="22" t="str">
        <ns0:f>IF($A77="","",IF($I77="Yes",IF(AD$6=$D77,"◆",""),IF(AND(AD$6&gt;=$D77,AD$6&lt;=$E77),MAX(0,MIN(1,$G77*$F77-(AD$6-$D77))),"")))</ns0:f>
      </ns0:c>
      <ns0:c r="AE77" s="22" t="str">
        <ns0:f>IF($A77="","",IF($I77="Yes",IF(AE$6=$D77,"◆",""),IF(AND(AE$6&gt;=$D77,AE$6&lt;=$E77),MAX(0,MIN(1,$G77*$F77-(AE$6-$D77))),"")))</ns0:f>
      </ns0:c>
      <ns0:c r="AF77" s="22" t="str">
        <ns0:f>IF($A77="","",IF($I77="Yes",IF(AF$6=$D77,"◆",""),IF(AND(AF$6&gt;=$D77,AF$6&lt;=$E77),MAX(0,MIN(1,$G77*$F77-(AF$6-$D77))),"")))</ns0:f>
      </ns0:c>
      <ns0:c r="AG77" s="22" t="str">
        <ns0:f>IF($A77="","",IF($I77="Yes",IF(AG$6=$D77,"◆",""),IF(AND(AG$6&gt;=$D77,AG$6&lt;=$E77),MAX(0,MIN(1,$G77*$F77-(AG$6-$D77))),"")))</ns0:f>
      </ns0:c>
      <ns0:c r="AH77" s="22" t="str">
        <ns0:f>IF($A77="","",IF($I77="Yes",IF(AH$6=$D77,"◆",""),IF(AND(AH$6&gt;=$D77,AH$6&lt;=$E77),MAX(0,MIN(1,$G77*$F77-(AH$6-$D77))),"")))</ns0:f>
      </ns0:c>
      <ns0:c r="AI77" s="22" t="str">
        <ns0:f>IF($A77="","",IF($I77="Yes",IF(AI$6=$D77,"◆",""),IF(AND(AI$6&gt;=$D77,AI$6&lt;=$E77),MAX(0,MIN(1,$G77*$F77-(AI$6-$D77))),"")))</ns0:f>
      </ns0:c>
      <ns0:c r="AJ77" s="22" t="str">
        <ns0:f>IF($A77="","",IF($I77="Yes",IF(AJ$6=$D77,"◆",""),IF(AND(AJ$6&gt;=$D77,AJ$6&lt;=$E77),MAX(0,MIN(1,$G77*$F77-(AJ$6-$D77))),"")))</ns0:f>
      </ns0:c>
      <ns0:c r="AK77" s="22" t="str">
        <ns0:f>IF($A77="","",IF($I77="Yes",IF(AK$6=$D77,"◆",""),IF(AND(AK$6&gt;=$D77,AK$6&lt;=$E77),MAX(0,MIN(1,$G77*$F77-(AK$6-$D77))),"")))</ns0:f>
      </ns0:c>
      <ns0:c r="AL77" s="22" t="str">
        <ns0:f>IF($A77="","",IF($I77="Yes",IF(AL$6=$D77,"◆",""),IF(AND(AL$6&gt;=$D77,AL$6&lt;=$E77),MAX(0,MIN(1,$G77*$F77-(AL$6-$D77))),"")))</ns0:f>
      </ns0:c>
      <ns0:c r="AM77" s="22" t="str">
        <ns0:f>IF($A77="","",IF($I77="Yes",IF(AM$6=$D77,"◆",""),IF(AND(AM$6&gt;=$D77,AM$6&lt;=$E77),MAX(0,MIN(1,$G77*$F77-(AM$6-$D77))),"")))</ns0:f>
      </ns0:c>
      <ns0:c r="AN77" s="22" t="str">
        <ns0:f>IF($A77="","",IF($I77="Yes",IF(AN$6=$D77,"◆",""),IF(AND(AN$6&gt;=$D77,AN$6&lt;=$E77),MAX(0,MIN(1,$G77*$F77-(AN$6-$D77))),"")))</ns0:f>
      </ns0:c>
      <ns0:c r="AO77" s="22" t="str">
        <ns0:f>IF($A77="","",IF($I77="Yes",IF(AO$6=$D77,"◆",""),IF(AND(AO$6&gt;=$D77,AO$6&lt;=$E77),MAX(0,MIN(1,$G77*$F77-(AO$6-$D77))),"")))</ns0:f>
      </ns0:c>
      <ns0:c r="AP77" s="22" t="str">
        <ns0:f>IF($A77="","",IF($I77="Yes",IF(AP$6=$D77,"◆",""),IF(AND(AP$6&gt;=$D77,AP$6&lt;=$E77),MAX(0,MIN(1,$G77*$F77-(AP$6-$D77))),"")))</ns0:f>
      </ns0:c>
      <ns0:c r="AQ77" s="22" t="str">
        <ns0:f>IF($A77="","",IF($I77="Yes",IF(AQ$6=$D77,"◆",""),IF(AND(AQ$6&gt;=$D77,AQ$6&lt;=$E77),MAX(0,MIN(1,$G77*$F77-(AQ$6-$D77))),"")))</ns0:f>
      </ns0:c>
      <ns0:c r="AR77" s="22" t="str">
        <ns0:f>IF($A77="","",IF($I77="Yes",IF(AR$6=$D77,"◆",""),IF(AND(AR$6&gt;=$D77,AR$6&lt;=$E77),MAX(0,MIN(1,$G77*$F77-(AR$6-$D77))),"")))</ns0:f>
      </ns0:c>
    </ns0:row>
    <ns0:row r="78" ht="48" customHeight="1">
      <ns0:c r="A78" s="8" t="str">
        <ns0:f>IF(INDEX(Tasks[Task ID],72)="","",INDEX(Tasks[Task ID],72))</ns0:f>
      </ns0:c>
      <ns0:c r="B78" s="8" t="str">
        <ns0:f>IF(INDEX(Tasks[Task ID],72)="","",INDEX(Tasks[Phase],72))</ns0:f>
      </ns0:c>
      <ns0:c r="C78" s="8" t="str">
        <ns0:f>IF(INDEX(Tasks[Task ID],72)="","",INDEX(Tasks[Task Name],72))</ns0:f>
      </ns0:c>
      <ns0:c r="D78" s="18" t="str">
        <ns0:f>IF(INDEX(Tasks[Task ID],72)="","",INDEX(Tasks[Start Date],72))</ns0:f>
      </ns0:c>
      <ns0:c r="E78" s="18" t="str">
        <ns0:f>IF(INDEX(Tasks[Task ID],72)="","",INDEX(Tasks[End Date],72))</ns0:f>
      </ns0:c>
      <ns0:c r="F78" s="8" t="str">
        <ns0:f>IF(INDEX(Tasks[Task ID],72)="","",INDEX(Tasks[Duration],72))</ns0:f>
      </ns0:c>
      <ns0:c r="G78" s="19" t="str">
        <ns0:f>IF(INDEX(Tasks[Task ID],72)="","",INDEX(Tasks[Progress %],72))</ns0:f>
      </ns0:c>
      <ns0:c r="H78" s="8" t="str">
        <ns0:f>IF(INDEX(Tasks[Task ID],72)="","",INDEX('Project Tracker'!$Q$7:$Q$106,72))</ns0:f>
      </ns0:c>
      <ns0:c r="I78" s="8" t="str">
        <ns0:f>IF(INDEX(Tasks[Task ID],72)="","",INDEX(Tasks[Milestone],72))</ns0:f>
      </ns0:c>
      <ns0:c r="J78" s="8" t="str">
        <ns0:f>IF(INDEX(Tasks[Task ID],72)="","",INDEX(Tasks[Schedule Health],72))</ns0:f>
      </ns0:c>
      <ns0:c r="K78" s="22" t="str">
        <ns0:f>IF($A78="","",IF($I78="Yes",IF(K$6=$D78,"◆",""),IF(AND(K$6&gt;=$D78,K$6&lt;=$E78),MAX(0,MIN(1,$G78*$F78-(K$6-$D78))),"")))</ns0:f>
      </ns0:c>
      <ns0:c r="L78" s="22" t="str">
        <ns0:f>IF($A78="","",IF($I78="Yes",IF(L$6=$D78,"◆",""),IF(AND(L$6&gt;=$D78,L$6&lt;=$E78),MAX(0,MIN(1,$G78*$F78-(L$6-$D78))),"")))</ns0:f>
      </ns0:c>
      <ns0:c r="M78" s="22" t="str">
        <ns0:f>IF($A78="","",IF($I78="Yes",IF(M$6=$D78,"◆",""),IF(AND(M$6&gt;=$D78,M$6&lt;=$E78),MAX(0,MIN(1,$G78*$F78-(M$6-$D78))),"")))</ns0:f>
      </ns0:c>
      <ns0:c r="N78" s="22" t="str">
        <ns0:f>IF($A78="","",IF($I78="Yes",IF(N$6=$D78,"◆",""),IF(AND(N$6&gt;=$D78,N$6&lt;=$E78),MAX(0,MIN(1,$G78*$F78-(N$6-$D78))),"")))</ns0:f>
      </ns0:c>
      <ns0:c r="O78" s="22" t="str">
        <ns0:f>IF($A78="","",IF($I78="Yes",IF(O$6=$D78,"◆",""),IF(AND(O$6&gt;=$D78,O$6&lt;=$E78),MAX(0,MIN(1,$G78*$F78-(O$6-$D78))),"")))</ns0:f>
      </ns0:c>
      <ns0:c r="P78" s="22" t="str">
        <ns0:f>IF($A78="","",IF($I78="Yes",IF(P$6=$D78,"◆",""),IF(AND(P$6&gt;=$D78,P$6&lt;=$E78),MAX(0,MIN(1,$G78*$F78-(P$6-$D78))),"")))</ns0:f>
      </ns0:c>
      <ns0:c r="Q78" s="22" t="str">
        <ns0:f>IF($A78="","",IF($I78="Yes",IF(Q$6=$D78,"◆",""),IF(AND(Q$6&gt;=$D78,Q$6&lt;=$E78),MAX(0,MIN(1,$G78*$F78-(Q$6-$D78))),"")))</ns0:f>
      </ns0:c>
      <ns0:c r="R78" s="22" t="str">
        <ns0:f>IF($A78="","",IF($I78="Yes",IF(R$6=$D78,"◆",""),IF(AND(R$6&gt;=$D78,R$6&lt;=$E78),MAX(0,MIN(1,$G78*$F78-(R$6-$D78))),"")))</ns0:f>
      </ns0:c>
      <ns0:c r="S78" s="22" t="str">
        <ns0:f>IF($A78="","",IF($I78="Yes",IF(S$6=$D78,"◆",""),IF(AND(S$6&gt;=$D78,S$6&lt;=$E78),MAX(0,MIN(1,$G78*$F78-(S$6-$D78))),"")))</ns0:f>
      </ns0:c>
      <ns0:c r="T78" s="22" t="str">
        <ns0:f>IF($A78="","",IF($I78="Yes",IF(T$6=$D78,"◆",""),IF(AND(T$6&gt;=$D78,T$6&lt;=$E78),MAX(0,MIN(1,$G78*$F78-(T$6-$D78))),"")))</ns0:f>
      </ns0:c>
      <ns0:c r="U78" s="22" t="str">
        <ns0:f>IF($A78="","",IF($I78="Yes",IF(U$6=$D78,"◆",""),IF(AND(U$6&gt;=$D78,U$6&lt;=$E78),MAX(0,MIN(1,$G78*$F78-(U$6-$D78))),"")))</ns0:f>
      </ns0:c>
      <ns0:c r="V78" s="22" t="str">
        <ns0:f>IF($A78="","",IF($I78="Yes",IF(V$6=$D78,"◆",""),IF(AND(V$6&gt;=$D78,V$6&lt;=$E78),MAX(0,MIN(1,$G78*$F78-(V$6-$D78))),"")))</ns0:f>
      </ns0:c>
      <ns0:c r="W78" s="22" t="str">
        <ns0:f>IF($A78="","",IF($I78="Yes",IF(W$6=$D78,"◆",""),IF(AND(W$6&gt;=$D78,W$6&lt;=$E78),MAX(0,MIN(1,$G78*$F78-(W$6-$D78))),"")))</ns0:f>
      </ns0:c>
      <ns0:c r="X78" s="22" t="str">
        <ns0:f>IF($A78="","",IF($I78="Yes",IF(X$6=$D78,"◆",""),IF(AND(X$6&gt;=$D78,X$6&lt;=$E78),MAX(0,MIN(1,$G78*$F78-(X$6-$D78))),"")))</ns0:f>
      </ns0:c>
      <ns0:c r="Y78" s="22" t="str">
        <ns0:f>IF($A78="","",IF($I78="Yes",IF(Y$6=$D78,"◆",""),IF(AND(Y$6&gt;=$D78,Y$6&lt;=$E78),MAX(0,MIN(1,$G78*$F78-(Y$6-$D78))),"")))</ns0:f>
      </ns0:c>
      <ns0:c r="Z78" s="22" t="str">
        <ns0:f>IF($A78="","",IF($I78="Yes",IF(Z$6=$D78,"◆",""),IF(AND(Z$6&gt;=$D78,Z$6&lt;=$E78),MAX(0,MIN(1,$G78*$F78-(Z$6-$D78))),"")))</ns0:f>
      </ns0:c>
      <ns0:c r="AA78" s="22" t="str">
        <ns0:f>IF($A78="","",IF($I78="Yes",IF(AA$6=$D78,"◆",""),IF(AND(AA$6&gt;=$D78,AA$6&lt;=$E78),MAX(0,MIN(1,$G78*$F78-(AA$6-$D78))),"")))</ns0:f>
      </ns0:c>
      <ns0:c r="AB78" s="22" t="str">
        <ns0:f>IF($A78="","",IF($I78="Yes",IF(AB$6=$D78,"◆",""),IF(AND(AB$6&gt;=$D78,AB$6&lt;=$E78),MAX(0,MIN(1,$G78*$F78-(AB$6-$D78))),"")))</ns0:f>
      </ns0:c>
      <ns0:c r="AC78" s="22" t="str">
        <ns0:f>IF($A78="","",IF($I78="Yes",IF(AC$6=$D78,"◆",""),IF(AND(AC$6&gt;=$D78,AC$6&lt;=$E78),MAX(0,MIN(1,$G78*$F78-(AC$6-$D78))),"")))</ns0:f>
      </ns0:c>
      <ns0:c r="AD78" s="22" t="str">
        <ns0:f>IF($A78="","",IF($I78="Yes",IF(AD$6=$D78,"◆",""),IF(AND(AD$6&gt;=$D78,AD$6&lt;=$E78),MAX(0,MIN(1,$G78*$F78-(AD$6-$D78))),"")))</ns0:f>
      </ns0:c>
      <ns0:c r="AE78" s="22" t="str">
        <ns0:f>IF($A78="","",IF($I78="Yes",IF(AE$6=$D78,"◆",""),IF(AND(AE$6&gt;=$D78,AE$6&lt;=$E78),MAX(0,MIN(1,$G78*$F78-(AE$6-$D78))),"")))</ns0:f>
      </ns0:c>
      <ns0:c r="AF78" s="22" t="str">
        <ns0:f>IF($A78="","",IF($I78="Yes",IF(AF$6=$D78,"◆",""),IF(AND(AF$6&gt;=$D78,AF$6&lt;=$E78),MAX(0,MIN(1,$G78*$F78-(AF$6-$D78))),"")))</ns0:f>
      </ns0:c>
      <ns0:c r="AG78" s="22" t="str">
        <ns0:f>IF($A78="","",IF($I78="Yes",IF(AG$6=$D78,"◆",""),IF(AND(AG$6&gt;=$D78,AG$6&lt;=$E78),MAX(0,MIN(1,$G78*$F78-(AG$6-$D78))),"")))</ns0:f>
      </ns0:c>
      <ns0:c r="AH78" s="22" t="str">
        <ns0:f>IF($A78="","",IF($I78="Yes",IF(AH$6=$D78,"◆",""),IF(AND(AH$6&gt;=$D78,AH$6&lt;=$E78),MAX(0,MIN(1,$G78*$F78-(AH$6-$D78))),"")))</ns0:f>
      </ns0:c>
      <ns0:c r="AI78" s="22" t="str">
        <ns0:f>IF($A78="","",IF($I78="Yes",IF(AI$6=$D78,"◆",""),IF(AND(AI$6&gt;=$D78,AI$6&lt;=$E78),MAX(0,MIN(1,$G78*$F78-(AI$6-$D78))),"")))</ns0:f>
      </ns0:c>
      <ns0:c r="AJ78" s="22" t="str">
        <ns0:f>IF($A78="","",IF($I78="Yes",IF(AJ$6=$D78,"◆",""),IF(AND(AJ$6&gt;=$D78,AJ$6&lt;=$E78),MAX(0,MIN(1,$G78*$F78-(AJ$6-$D78))),"")))</ns0:f>
      </ns0:c>
      <ns0:c r="AK78" s="22" t="str">
        <ns0:f>IF($A78="","",IF($I78="Yes",IF(AK$6=$D78,"◆",""),IF(AND(AK$6&gt;=$D78,AK$6&lt;=$E78),MAX(0,MIN(1,$G78*$F78-(AK$6-$D78))),"")))</ns0:f>
      </ns0:c>
      <ns0:c r="AL78" s="22" t="str">
        <ns0:f>IF($A78="","",IF($I78="Yes",IF(AL$6=$D78,"◆",""),IF(AND(AL$6&gt;=$D78,AL$6&lt;=$E78),MAX(0,MIN(1,$G78*$F78-(AL$6-$D78))),"")))</ns0:f>
      </ns0:c>
      <ns0:c r="AM78" s="22" t="str">
        <ns0:f>IF($A78="","",IF($I78="Yes",IF(AM$6=$D78,"◆",""),IF(AND(AM$6&gt;=$D78,AM$6&lt;=$E78),MAX(0,MIN(1,$G78*$F78-(AM$6-$D78))),"")))</ns0:f>
      </ns0:c>
      <ns0:c r="AN78" s="22" t="str">
        <ns0:f>IF($A78="","",IF($I78="Yes",IF(AN$6=$D78,"◆",""),IF(AND(AN$6&gt;=$D78,AN$6&lt;=$E78),MAX(0,MIN(1,$G78*$F78-(AN$6-$D78))),"")))</ns0:f>
      </ns0:c>
      <ns0:c r="AO78" s="22" t="str">
        <ns0:f>IF($A78="","",IF($I78="Yes",IF(AO$6=$D78,"◆",""),IF(AND(AO$6&gt;=$D78,AO$6&lt;=$E78),MAX(0,MIN(1,$G78*$F78-(AO$6-$D78))),"")))</ns0:f>
      </ns0:c>
      <ns0:c r="AP78" s="22" t="str">
        <ns0:f>IF($A78="","",IF($I78="Yes",IF(AP$6=$D78,"◆",""),IF(AND(AP$6&gt;=$D78,AP$6&lt;=$E78),MAX(0,MIN(1,$G78*$F78-(AP$6-$D78))),"")))</ns0:f>
      </ns0:c>
      <ns0:c r="AQ78" s="22" t="str">
        <ns0:f>IF($A78="","",IF($I78="Yes",IF(AQ$6=$D78,"◆",""),IF(AND(AQ$6&gt;=$D78,AQ$6&lt;=$E78),MAX(0,MIN(1,$G78*$F78-(AQ$6-$D78))),"")))</ns0:f>
      </ns0:c>
      <ns0:c r="AR78" s="22" t="str">
        <ns0:f>IF($A78="","",IF($I78="Yes",IF(AR$6=$D78,"◆",""),IF(AND(AR$6&gt;=$D78,AR$6&lt;=$E78),MAX(0,MIN(1,$G78*$F78-(AR$6-$D78))),"")))</ns0:f>
      </ns0:c>
    </ns0:row>
    <ns0:row r="79" ht="48" customHeight="1">
      <ns0:c r="A79" s="8" t="str">
        <ns0:f>IF(INDEX(Tasks[Task ID],73)="","",INDEX(Tasks[Task ID],73))</ns0:f>
      </ns0:c>
      <ns0:c r="B79" s="8" t="str">
        <ns0:f>IF(INDEX(Tasks[Task ID],73)="","",INDEX(Tasks[Phase],73))</ns0:f>
      </ns0:c>
      <ns0:c r="C79" s="8" t="str">
        <ns0:f>IF(INDEX(Tasks[Task ID],73)="","",INDEX(Tasks[Task Name],73))</ns0:f>
      </ns0:c>
      <ns0:c r="D79" s="18" t="str">
        <ns0:f>IF(INDEX(Tasks[Task ID],73)="","",INDEX(Tasks[Start Date],73))</ns0:f>
      </ns0:c>
      <ns0:c r="E79" s="18" t="str">
        <ns0:f>IF(INDEX(Tasks[Task ID],73)="","",INDEX(Tasks[End Date],73))</ns0:f>
      </ns0:c>
      <ns0:c r="F79" s="8" t="str">
        <ns0:f>IF(INDEX(Tasks[Task ID],73)="","",INDEX(Tasks[Duration],73))</ns0:f>
      </ns0:c>
      <ns0:c r="G79" s="19" t="str">
        <ns0:f>IF(INDEX(Tasks[Task ID],73)="","",INDEX(Tasks[Progress %],73))</ns0:f>
      </ns0:c>
      <ns0:c r="H79" s="8" t="str">
        <ns0:f>IF(INDEX(Tasks[Task ID],73)="","",INDEX('Project Tracker'!$Q$7:$Q$106,73))</ns0:f>
      </ns0:c>
      <ns0:c r="I79" s="8" t="str">
        <ns0:f>IF(INDEX(Tasks[Task ID],73)="","",INDEX(Tasks[Milestone],73))</ns0:f>
      </ns0:c>
      <ns0:c r="J79" s="8" t="str">
        <ns0:f>IF(INDEX(Tasks[Task ID],73)="","",INDEX(Tasks[Schedule Health],73))</ns0:f>
      </ns0:c>
      <ns0:c r="K79" s="22" t="str">
        <ns0:f>IF($A79="","",IF($I79="Yes",IF(K$6=$D79,"◆",""),IF(AND(K$6&gt;=$D79,K$6&lt;=$E79),MAX(0,MIN(1,$G79*$F79-(K$6-$D79))),"")))</ns0:f>
      </ns0:c>
      <ns0:c r="L79" s="22" t="str">
        <ns0:f>IF($A79="","",IF($I79="Yes",IF(L$6=$D79,"◆",""),IF(AND(L$6&gt;=$D79,L$6&lt;=$E79),MAX(0,MIN(1,$G79*$F79-(L$6-$D79))),"")))</ns0:f>
      </ns0:c>
      <ns0:c r="M79" s="22" t="str">
        <ns0:f>IF($A79="","",IF($I79="Yes",IF(M$6=$D79,"◆",""),IF(AND(M$6&gt;=$D79,M$6&lt;=$E79),MAX(0,MIN(1,$G79*$F79-(M$6-$D79))),"")))</ns0:f>
      </ns0:c>
      <ns0:c r="N79" s="22" t="str">
        <ns0:f>IF($A79="","",IF($I79="Yes",IF(N$6=$D79,"◆",""),IF(AND(N$6&gt;=$D79,N$6&lt;=$E79),MAX(0,MIN(1,$G79*$F79-(N$6-$D79))),"")))</ns0:f>
      </ns0:c>
      <ns0:c r="O79" s="22" t="str">
        <ns0:f>IF($A79="","",IF($I79="Yes",IF(O$6=$D79,"◆",""),IF(AND(O$6&gt;=$D79,O$6&lt;=$E79),MAX(0,MIN(1,$G79*$F79-(O$6-$D79))),"")))</ns0:f>
      </ns0:c>
      <ns0:c r="P79" s="22" t="str">
        <ns0:f>IF($A79="","",IF($I79="Yes",IF(P$6=$D79,"◆",""),IF(AND(P$6&gt;=$D79,P$6&lt;=$E79),MAX(0,MIN(1,$G79*$F79-(P$6-$D79))),"")))</ns0:f>
      </ns0:c>
      <ns0:c r="Q79" s="22" t="str">
        <ns0:f>IF($A79="","",IF($I79="Yes",IF(Q$6=$D79,"◆",""),IF(AND(Q$6&gt;=$D79,Q$6&lt;=$E79),MAX(0,MIN(1,$G79*$F79-(Q$6-$D79))),"")))</ns0:f>
      </ns0:c>
      <ns0:c r="R79" s="22" t="str">
        <ns0:f>IF($A79="","",IF($I79="Yes",IF(R$6=$D79,"◆",""),IF(AND(R$6&gt;=$D79,R$6&lt;=$E79),MAX(0,MIN(1,$G79*$F79-(R$6-$D79))),"")))</ns0:f>
      </ns0:c>
      <ns0:c r="S79" s="22" t="str">
        <ns0:f>IF($A79="","",IF($I79="Yes",IF(S$6=$D79,"◆",""),IF(AND(S$6&gt;=$D79,S$6&lt;=$E79),MAX(0,MIN(1,$G79*$F79-(S$6-$D79))),"")))</ns0:f>
      </ns0:c>
      <ns0:c r="T79" s="22" t="str">
        <ns0:f>IF($A79="","",IF($I79="Yes",IF(T$6=$D79,"◆",""),IF(AND(T$6&gt;=$D79,T$6&lt;=$E79),MAX(0,MIN(1,$G79*$F79-(T$6-$D79))),"")))</ns0:f>
      </ns0:c>
      <ns0:c r="U79" s="22" t="str">
        <ns0:f>IF($A79="","",IF($I79="Yes",IF(U$6=$D79,"◆",""),IF(AND(U$6&gt;=$D79,U$6&lt;=$E79),MAX(0,MIN(1,$G79*$F79-(U$6-$D79))),"")))</ns0:f>
      </ns0:c>
      <ns0:c r="V79" s="22" t="str">
        <ns0:f>IF($A79="","",IF($I79="Yes",IF(V$6=$D79,"◆",""),IF(AND(V$6&gt;=$D79,V$6&lt;=$E79),MAX(0,MIN(1,$G79*$F79-(V$6-$D79))),"")))</ns0:f>
      </ns0:c>
      <ns0:c r="W79" s="22" t="str">
        <ns0:f>IF($A79="","",IF($I79="Yes",IF(W$6=$D79,"◆",""),IF(AND(W$6&gt;=$D79,W$6&lt;=$E79),MAX(0,MIN(1,$G79*$F79-(W$6-$D79))),"")))</ns0:f>
      </ns0:c>
      <ns0:c r="X79" s="22" t="str">
        <ns0:f>IF($A79="","",IF($I79="Yes",IF(X$6=$D79,"◆",""),IF(AND(X$6&gt;=$D79,X$6&lt;=$E79),MAX(0,MIN(1,$G79*$F79-(X$6-$D79))),"")))</ns0:f>
      </ns0:c>
      <ns0:c r="Y79" s="22" t="str">
        <ns0:f>IF($A79="","",IF($I79="Yes",IF(Y$6=$D79,"◆",""),IF(AND(Y$6&gt;=$D79,Y$6&lt;=$E79),MAX(0,MIN(1,$G79*$F79-(Y$6-$D79))),"")))</ns0:f>
      </ns0:c>
      <ns0:c r="Z79" s="22" t="str">
        <ns0:f>IF($A79="","",IF($I79="Yes",IF(Z$6=$D79,"◆",""),IF(AND(Z$6&gt;=$D79,Z$6&lt;=$E79),MAX(0,MIN(1,$G79*$F79-(Z$6-$D79))),"")))</ns0:f>
      </ns0:c>
      <ns0:c r="AA79" s="22" t="str">
        <ns0:f>IF($A79="","",IF($I79="Yes",IF(AA$6=$D79,"◆",""),IF(AND(AA$6&gt;=$D79,AA$6&lt;=$E79),MAX(0,MIN(1,$G79*$F79-(AA$6-$D79))),"")))</ns0:f>
      </ns0:c>
      <ns0:c r="AB79" s="22" t="str">
        <ns0:f>IF($A79="","",IF($I79="Yes",IF(AB$6=$D79,"◆",""),IF(AND(AB$6&gt;=$D79,AB$6&lt;=$E79),MAX(0,MIN(1,$G79*$F79-(AB$6-$D79))),"")))</ns0:f>
      </ns0:c>
      <ns0:c r="AC79" s="22" t="str">
        <ns0:f>IF($A79="","",IF($I79="Yes",IF(AC$6=$D79,"◆",""),IF(AND(AC$6&gt;=$D79,AC$6&lt;=$E79),MAX(0,MIN(1,$G79*$F79-(AC$6-$D79))),"")))</ns0:f>
      </ns0:c>
      <ns0:c r="AD79" s="22" t="str">
        <ns0:f>IF($A79="","",IF($I79="Yes",IF(AD$6=$D79,"◆",""),IF(AND(AD$6&gt;=$D79,AD$6&lt;=$E79),MAX(0,MIN(1,$G79*$F79-(AD$6-$D79))),"")))</ns0:f>
      </ns0:c>
      <ns0:c r="AE79" s="22" t="str">
        <ns0:f>IF($A79="","",IF($I79="Yes",IF(AE$6=$D79,"◆",""),IF(AND(AE$6&gt;=$D79,AE$6&lt;=$E79),MAX(0,MIN(1,$G79*$F79-(AE$6-$D79))),"")))</ns0:f>
      </ns0:c>
      <ns0:c r="AF79" s="22" t="str">
        <ns0:f>IF($A79="","",IF($I79="Yes",IF(AF$6=$D79,"◆",""),IF(AND(AF$6&gt;=$D79,AF$6&lt;=$E79),MAX(0,MIN(1,$G79*$F79-(AF$6-$D79))),"")))</ns0:f>
      </ns0:c>
      <ns0:c r="AG79" s="22" t="str">
        <ns0:f>IF($A79="","",IF($I79="Yes",IF(AG$6=$D79,"◆",""),IF(AND(AG$6&gt;=$D79,AG$6&lt;=$E79),MAX(0,MIN(1,$G79*$F79-(AG$6-$D79))),"")))</ns0:f>
      </ns0:c>
      <ns0:c r="AH79" s="22" t="str">
        <ns0:f>IF($A79="","",IF($I79="Yes",IF(AH$6=$D79,"◆",""),IF(AND(AH$6&gt;=$D79,AH$6&lt;=$E79),MAX(0,MIN(1,$G79*$F79-(AH$6-$D79))),"")))</ns0:f>
      </ns0:c>
      <ns0:c r="AI79" s="22" t="str">
        <ns0:f>IF($A79="","",IF($I79="Yes",IF(AI$6=$D79,"◆",""),IF(AND(AI$6&gt;=$D79,AI$6&lt;=$E79),MAX(0,MIN(1,$G79*$F79-(AI$6-$D79))),"")))</ns0:f>
      </ns0:c>
      <ns0:c r="AJ79" s="22" t="str">
        <ns0:f>IF($A79="","",IF($I79="Yes",IF(AJ$6=$D79,"◆",""),IF(AND(AJ$6&gt;=$D79,AJ$6&lt;=$E79),MAX(0,MIN(1,$G79*$F79-(AJ$6-$D79))),"")))</ns0:f>
      </ns0:c>
      <ns0:c r="AK79" s="22" t="str">
        <ns0:f>IF($A79="","",IF($I79="Yes",IF(AK$6=$D79,"◆",""),IF(AND(AK$6&gt;=$D79,AK$6&lt;=$E79),MAX(0,MIN(1,$G79*$F79-(AK$6-$D79))),"")))</ns0:f>
      </ns0:c>
      <ns0:c r="AL79" s="22" t="str">
        <ns0:f>IF($A79="","",IF($I79="Yes",IF(AL$6=$D79,"◆",""),IF(AND(AL$6&gt;=$D79,AL$6&lt;=$E79),MAX(0,MIN(1,$G79*$F79-(AL$6-$D79))),"")))</ns0:f>
      </ns0:c>
      <ns0:c r="AM79" s="22" t="str">
        <ns0:f>IF($A79="","",IF($I79="Yes",IF(AM$6=$D79,"◆",""),IF(AND(AM$6&gt;=$D79,AM$6&lt;=$E79),MAX(0,MIN(1,$G79*$F79-(AM$6-$D79))),"")))</ns0:f>
      </ns0:c>
      <ns0:c r="AN79" s="22" t="str">
        <ns0:f>IF($A79="","",IF($I79="Yes",IF(AN$6=$D79,"◆",""),IF(AND(AN$6&gt;=$D79,AN$6&lt;=$E79),MAX(0,MIN(1,$G79*$F79-(AN$6-$D79))),"")))</ns0:f>
      </ns0:c>
      <ns0:c r="AO79" s="22" t="str">
        <ns0:f>IF($A79="","",IF($I79="Yes",IF(AO$6=$D79,"◆",""),IF(AND(AO$6&gt;=$D79,AO$6&lt;=$E79),MAX(0,MIN(1,$G79*$F79-(AO$6-$D79))),"")))</ns0:f>
      </ns0:c>
      <ns0:c r="AP79" s="22" t="str">
        <ns0:f>IF($A79="","",IF($I79="Yes",IF(AP$6=$D79,"◆",""),IF(AND(AP$6&gt;=$D79,AP$6&lt;=$E79),MAX(0,MIN(1,$G79*$F79-(AP$6-$D79))),"")))</ns0:f>
      </ns0:c>
      <ns0:c r="AQ79" s="22" t="str">
        <ns0:f>IF($A79="","",IF($I79="Yes",IF(AQ$6=$D79,"◆",""),IF(AND(AQ$6&gt;=$D79,AQ$6&lt;=$E79),MAX(0,MIN(1,$G79*$F79-(AQ$6-$D79))),"")))</ns0:f>
      </ns0:c>
      <ns0:c r="AR79" s="22" t="str">
        <ns0:f>IF($A79="","",IF($I79="Yes",IF(AR$6=$D79,"◆",""),IF(AND(AR$6&gt;=$D79,AR$6&lt;=$E79),MAX(0,MIN(1,$G79*$F79-(AR$6-$D79))),"")))</ns0:f>
      </ns0:c>
    </ns0:row>
    <ns0:row r="80" ht="48" customHeight="1">
      <ns0:c r="A80" s="8" t="str">
        <ns0:f>IF(INDEX(Tasks[Task ID],74)="","",INDEX(Tasks[Task ID],74))</ns0:f>
      </ns0:c>
      <ns0:c r="B80" s="8" t="str">
        <ns0:f>IF(INDEX(Tasks[Task ID],74)="","",INDEX(Tasks[Phase],74))</ns0:f>
      </ns0:c>
      <ns0:c r="C80" s="8" t="str">
        <ns0:f>IF(INDEX(Tasks[Task ID],74)="","",INDEX(Tasks[Task Name],74))</ns0:f>
      </ns0:c>
      <ns0:c r="D80" s="18" t="str">
        <ns0:f>IF(INDEX(Tasks[Task ID],74)="","",INDEX(Tasks[Start Date],74))</ns0:f>
      </ns0:c>
      <ns0:c r="E80" s="18" t="str">
        <ns0:f>IF(INDEX(Tasks[Task ID],74)="","",INDEX(Tasks[End Date],74))</ns0:f>
      </ns0:c>
      <ns0:c r="F80" s="8" t="str">
        <ns0:f>IF(INDEX(Tasks[Task ID],74)="","",INDEX(Tasks[Duration],74))</ns0:f>
      </ns0:c>
      <ns0:c r="G80" s="19" t="str">
        <ns0:f>IF(INDEX(Tasks[Task ID],74)="","",INDEX(Tasks[Progress %],74))</ns0:f>
      </ns0:c>
      <ns0:c r="H80" s="8" t="str">
        <ns0:f>IF(INDEX(Tasks[Task ID],74)="","",INDEX('Project Tracker'!$Q$7:$Q$106,74))</ns0:f>
      </ns0:c>
      <ns0:c r="I80" s="8" t="str">
        <ns0:f>IF(INDEX(Tasks[Task ID],74)="","",INDEX(Tasks[Milestone],74))</ns0:f>
      </ns0:c>
      <ns0:c r="J80" s="8" t="str">
        <ns0:f>IF(INDEX(Tasks[Task ID],74)="","",INDEX(Tasks[Schedule Health],74))</ns0:f>
      </ns0:c>
      <ns0:c r="K80" s="22" t="str">
        <ns0:f>IF($A80="","",IF($I80="Yes",IF(K$6=$D80,"◆",""),IF(AND(K$6&gt;=$D80,K$6&lt;=$E80),MAX(0,MIN(1,$G80*$F80-(K$6-$D80))),"")))</ns0:f>
      </ns0:c>
      <ns0:c r="L80" s="22" t="str">
        <ns0:f>IF($A80="","",IF($I80="Yes",IF(L$6=$D80,"◆",""),IF(AND(L$6&gt;=$D80,L$6&lt;=$E80),MAX(0,MIN(1,$G80*$F80-(L$6-$D80))),"")))</ns0:f>
      </ns0:c>
      <ns0:c r="M80" s="22" t="str">
        <ns0:f>IF($A80="","",IF($I80="Yes",IF(M$6=$D80,"◆",""),IF(AND(M$6&gt;=$D80,M$6&lt;=$E80),MAX(0,MIN(1,$G80*$F80-(M$6-$D80))),"")))</ns0:f>
      </ns0:c>
      <ns0:c r="N80" s="22" t="str">
        <ns0:f>IF($A80="","",IF($I80="Yes",IF(N$6=$D80,"◆",""),IF(AND(N$6&gt;=$D80,N$6&lt;=$E80),MAX(0,MIN(1,$G80*$F80-(N$6-$D80))),"")))</ns0:f>
      </ns0:c>
      <ns0:c r="O80" s="22" t="str">
        <ns0:f>IF($A80="","",IF($I80="Yes",IF(O$6=$D80,"◆",""),IF(AND(O$6&gt;=$D80,O$6&lt;=$E80),MAX(0,MIN(1,$G80*$F80-(O$6-$D80))),"")))</ns0:f>
      </ns0:c>
      <ns0:c r="P80" s="22" t="str">
        <ns0:f>IF($A80="","",IF($I80="Yes",IF(P$6=$D80,"◆",""),IF(AND(P$6&gt;=$D80,P$6&lt;=$E80),MAX(0,MIN(1,$G80*$F80-(P$6-$D80))),"")))</ns0:f>
      </ns0:c>
      <ns0:c r="Q80" s="22" t="str">
        <ns0:f>IF($A80="","",IF($I80="Yes",IF(Q$6=$D80,"◆",""),IF(AND(Q$6&gt;=$D80,Q$6&lt;=$E80),MAX(0,MIN(1,$G80*$F80-(Q$6-$D80))),"")))</ns0:f>
      </ns0:c>
      <ns0:c r="R80" s="22" t="str">
        <ns0:f>IF($A80="","",IF($I80="Yes",IF(R$6=$D80,"◆",""),IF(AND(R$6&gt;=$D80,R$6&lt;=$E80),MAX(0,MIN(1,$G80*$F80-(R$6-$D80))),"")))</ns0:f>
      </ns0:c>
      <ns0:c r="S80" s="22" t="str">
        <ns0:f>IF($A80="","",IF($I80="Yes",IF(S$6=$D80,"◆",""),IF(AND(S$6&gt;=$D80,S$6&lt;=$E80),MAX(0,MIN(1,$G80*$F80-(S$6-$D80))),"")))</ns0:f>
      </ns0:c>
      <ns0:c r="T80" s="22" t="str">
        <ns0:f>IF($A80="","",IF($I80="Yes",IF(T$6=$D80,"◆",""),IF(AND(T$6&gt;=$D80,T$6&lt;=$E80),MAX(0,MIN(1,$G80*$F80-(T$6-$D80))),"")))</ns0:f>
      </ns0:c>
      <ns0:c r="U80" s="22" t="str">
        <ns0:f>IF($A80="","",IF($I80="Yes",IF(U$6=$D80,"◆",""),IF(AND(U$6&gt;=$D80,U$6&lt;=$E80),MAX(0,MIN(1,$G80*$F80-(U$6-$D80))),"")))</ns0:f>
      </ns0:c>
      <ns0:c r="V80" s="22" t="str">
        <ns0:f>IF($A80="","",IF($I80="Yes",IF(V$6=$D80,"◆",""),IF(AND(V$6&gt;=$D80,V$6&lt;=$E80),MAX(0,MIN(1,$G80*$F80-(V$6-$D80))),"")))</ns0:f>
      </ns0:c>
      <ns0:c r="W80" s="22" t="str">
        <ns0:f>IF($A80="","",IF($I80="Yes",IF(W$6=$D80,"◆",""),IF(AND(W$6&gt;=$D80,W$6&lt;=$E80),MAX(0,MIN(1,$G80*$F80-(W$6-$D80))),"")))</ns0:f>
      </ns0:c>
      <ns0:c r="X80" s="22" t="str">
        <ns0:f>IF($A80="","",IF($I80="Yes",IF(X$6=$D80,"◆",""),IF(AND(X$6&gt;=$D80,X$6&lt;=$E80),MAX(0,MIN(1,$G80*$F80-(X$6-$D80))),"")))</ns0:f>
      </ns0:c>
      <ns0:c r="Y80" s="22" t="str">
        <ns0:f>IF($A80="","",IF($I80="Yes",IF(Y$6=$D80,"◆",""),IF(AND(Y$6&gt;=$D80,Y$6&lt;=$E80),MAX(0,MIN(1,$G80*$F80-(Y$6-$D80))),"")))</ns0:f>
      </ns0:c>
      <ns0:c r="Z80" s="22" t="str">
        <ns0:f>IF($A80="","",IF($I80="Yes",IF(Z$6=$D80,"◆",""),IF(AND(Z$6&gt;=$D80,Z$6&lt;=$E80),MAX(0,MIN(1,$G80*$F80-(Z$6-$D80))),"")))</ns0:f>
      </ns0:c>
      <ns0:c r="AA80" s="22" t="str">
        <ns0:f>IF($A80="","",IF($I80="Yes",IF(AA$6=$D80,"◆",""),IF(AND(AA$6&gt;=$D80,AA$6&lt;=$E80),MAX(0,MIN(1,$G80*$F80-(AA$6-$D80))),"")))</ns0:f>
      </ns0:c>
      <ns0:c r="AB80" s="22" t="str">
        <ns0:f>IF($A80="","",IF($I80="Yes",IF(AB$6=$D80,"◆",""),IF(AND(AB$6&gt;=$D80,AB$6&lt;=$E80),MAX(0,MIN(1,$G80*$F80-(AB$6-$D80))),"")))</ns0:f>
      </ns0:c>
      <ns0:c r="AC80" s="22" t="str">
        <ns0:f>IF($A80="","",IF($I80="Yes",IF(AC$6=$D80,"◆",""),IF(AND(AC$6&gt;=$D80,AC$6&lt;=$E80),MAX(0,MIN(1,$G80*$F80-(AC$6-$D80))),"")))</ns0:f>
      </ns0:c>
      <ns0:c r="AD80" s="22" t="str">
        <ns0:f>IF($A80="","",IF($I80="Yes",IF(AD$6=$D80,"◆",""),IF(AND(AD$6&gt;=$D80,AD$6&lt;=$E80),MAX(0,MIN(1,$G80*$F80-(AD$6-$D80))),"")))</ns0:f>
      </ns0:c>
      <ns0:c r="AE80" s="22" t="str">
        <ns0:f>IF($A80="","",IF($I80="Yes",IF(AE$6=$D80,"◆",""),IF(AND(AE$6&gt;=$D80,AE$6&lt;=$E80),MAX(0,MIN(1,$G80*$F80-(AE$6-$D80))),"")))</ns0:f>
      </ns0:c>
      <ns0:c r="AF80" s="22" t="str">
        <ns0:f>IF($A80="","",IF($I80="Yes",IF(AF$6=$D80,"◆",""),IF(AND(AF$6&gt;=$D80,AF$6&lt;=$E80),MAX(0,MIN(1,$G80*$F80-(AF$6-$D80))),"")))</ns0:f>
      </ns0:c>
      <ns0:c r="AG80" s="22" t="str">
        <ns0:f>IF($A80="","",IF($I80="Yes",IF(AG$6=$D80,"◆",""),IF(AND(AG$6&gt;=$D80,AG$6&lt;=$E80),MAX(0,MIN(1,$G80*$F80-(AG$6-$D80))),"")))</ns0:f>
      </ns0:c>
      <ns0:c r="AH80" s="22" t="str">
        <ns0:f>IF($A80="","",IF($I80="Yes",IF(AH$6=$D80,"◆",""),IF(AND(AH$6&gt;=$D80,AH$6&lt;=$E80),MAX(0,MIN(1,$G80*$F80-(AH$6-$D80))),"")))</ns0:f>
      </ns0:c>
      <ns0:c r="AI80" s="22" t="str">
        <ns0:f>IF($A80="","",IF($I80="Yes",IF(AI$6=$D80,"◆",""),IF(AND(AI$6&gt;=$D80,AI$6&lt;=$E80),MAX(0,MIN(1,$G80*$F80-(AI$6-$D80))),"")))</ns0:f>
      </ns0:c>
      <ns0:c r="AJ80" s="22" t="str">
        <ns0:f>IF($A80="","",IF($I80="Yes",IF(AJ$6=$D80,"◆",""),IF(AND(AJ$6&gt;=$D80,AJ$6&lt;=$E80),MAX(0,MIN(1,$G80*$F80-(AJ$6-$D80))),"")))</ns0:f>
      </ns0:c>
      <ns0:c r="AK80" s="22" t="str">
        <ns0:f>IF($A80="","",IF($I80="Yes",IF(AK$6=$D80,"◆",""),IF(AND(AK$6&gt;=$D80,AK$6&lt;=$E80),MAX(0,MIN(1,$G80*$F80-(AK$6-$D80))),"")))</ns0:f>
      </ns0:c>
      <ns0:c r="AL80" s="22" t="str">
        <ns0:f>IF($A80="","",IF($I80="Yes",IF(AL$6=$D80,"◆",""),IF(AND(AL$6&gt;=$D80,AL$6&lt;=$E80),MAX(0,MIN(1,$G80*$F80-(AL$6-$D80))),"")))</ns0:f>
      </ns0:c>
      <ns0:c r="AM80" s="22" t="str">
        <ns0:f>IF($A80="","",IF($I80="Yes",IF(AM$6=$D80,"◆",""),IF(AND(AM$6&gt;=$D80,AM$6&lt;=$E80),MAX(0,MIN(1,$G80*$F80-(AM$6-$D80))),"")))</ns0:f>
      </ns0:c>
      <ns0:c r="AN80" s="22" t="str">
        <ns0:f>IF($A80="","",IF($I80="Yes",IF(AN$6=$D80,"◆",""),IF(AND(AN$6&gt;=$D80,AN$6&lt;=$E80),MAX(0,MIN(1,$G80*$F80-(AN$6-$D80))),"")))</ns0:f>
      </ns0:c>
      <ns0:c r="AO80" s="22" t="str">
        <ns0:f>IF($A80="","",IF($I80="Yes",IF(AO$6=$D80,"◆",""),IF(AND(AO$6&gt;=$D80,AO$6&lt;=$E80),MAX(0,MIN(1,$G80*$F80-(AO$6-$D80))),"")))</ns0:f>
      </ns0:c>
      <ns0:c r="AP80" s="22" t="str">
        <ns0:f>IF($A80="","",IF($I80="Yes",IF(AP$6=$D80,"◆",""),IF(AND(AP$6&gt;=$D80,AP$6&lt;=$E80),MAX(0,MIN(1,$G80*$F80-(AP$6-$D80))),"")))</ns0:f>
      </ns0:c>
      <ns0:c r="AQ80" s="22" t="str">
        <ns0:f>IF($A80="","",IF($I80="Yes",IF(AQ$6=$D80,"◆",""),IF(AND(AQ$6&gt;=$D80,AQ$6&lt;=$E80),MAX(0,MIN(1,$G80*$F80-(AQ$6-$D80))),"")))</ns0:f>
      </ns0:c>
      <ns0:c r="AR80" s="22" t="str">
        <ns0:f>IF($A80="","",IF($I80="Yes",IF(AR$6=$D80,"◆",""),IF(AND(AR$6&gt;=$D80,AR$6&lt;=$E80),MAX(0,MIN(1,$G80*$F80-(AR$6-$D80))),"")))</ns0:f>
      </ns0:c>
    </ns0:row>
    <ns0:row r="81" ht="48" customHeight="1">
      <ns0:c r="A81" s="8" t="str">
        <ns0:f>IF(INDEX(Tasks[Task ID],75)="","",INDEX(Tasks[Task ID],75))</ns0:f>
      </ns0:c>
      <ns0:c r="B81" s="8" t="str">
        <ns0:f>IF(INDEX(Tasks[Task ID],75)="","",INDEX(Tasks[Phase],75))</ns0:f>
      </ns0:c>
      <ns0:c r="C81" s="8" t="str">
        <ns0:f>IF(INDEX(Tasks[Task ID],75)="","",INDEX(Tasks[Task Name],75))</ns0:f>
      </ns0:c>
      <ns0:c r="D81" s="18" t="str">
        <ns0:f>IF(INDEX(Tasks[Task ID],75)="","",INDEX(Tasks[Start Date],75))</ns0:f>
      </ns0:c>
      <ns0:c r="E81" s="18" t="str">
        <ns0:f>IF(INDEX(Tasks[Task ID],75)="","",INDEX(Tasks[End Date],75))</ns0:f>
      </ns0:c>
      <ns0:c r="F81" s="8" t="str">
        <ns0:f>IF(INDEX(Tasks[Task ID],75)="","",INDEX(Tasks[Duration],75))</ns0:f>
      </ns0:c>
      <ns0:c r="G81" s="19" t="str">
        <ns0:f>IF(INDEX(Tasks[Task ID],75)="","",INDEX(Tasks[Progress %],75))</ns0:f>
      </ns0:c>
      <ns0:c r="H81" s="8" t="str">
        <ns0:f>IF(INDEX(Tasks[Task ID],75)="","",INDEX('Project Tracker'!$Q$7:$Q$106,75))</ns0:f>
      </ns0:c>
      <ns0:c r="I81" s="8" t="str">
        <ns0:f>IF(INDEX(Tasks[Task ID],75)="","",INDEX(Tasks[Milestone],75))</ns0:f>
      </ns0:c>
      <ns0:c r="J81" s="8" t="str">
        <ns0:f>IF(INDEX(Tasks[Task ID],75)="","",INDEX(Tasks[Schedule Health],75))</ns0:f>
      </ns0:c>
      <ns0:c r="K81" s="22" t="str">
        <ns0:f>IF($A81="","",IF($I81="Yes",IF(K$6=$D81,"◆",""),IF(AND(K$6&gt;=$D81,K$6&lt;=$E81),MAX(0,MIN(1,$G81*$F81-(K$6-$D81))),"")))</ns0:f>
      </ns0:c>
      <ns0:c r="L81" s="22" t="str">
        <ns0:f>IF($A81="","",IF($I81="Yes",IF(L$6=$D81,"◆",""),IF(AND(L$6&gt;=$D81,L$6&lt;=$E81),MAX(0,MIN(1,$G81*$F81-(L$6-$D81))),"")))</ns0:f>
      </ns0:c>
      <ns0:c r="M81" s="22" t="str">
        <ns0:f>IF($A81="","",IF($I81="Yes",IF(M$6=$D81,"◆",""),IF(AND(M$6&gt;=$D81,M$6&lt;=$E81),MAX(0,MIN(1,$G81*$F81-(M$6-$D81))),"")))</ns0:f>
      </ns0:c>
      <ns0:c r="N81" s="22" t="str">
        <ns0:f>IF($A81="","",IF($I81="Yes",IF(N$6=$D81,"◆",""),IF(AND(N$6&gt;=$D81,N$6&lt;=$E81),MAX(0,MIN(1,$G81*$F81-(N$6-$D81))),"")))</ns0:f>
      </ns0:c>
      <ns0:c r="O81" s="22" t="str">
        <ns0:f>IF($A81="","",IF($I81="Yes",IF(O$6=$D81,"◆",""),IF(AND(O$6&gt;=$D81,O$6&lt;=$E81),MAX(0,MIN(1,$G81*$F81-(O$6-$D81))),"")))</ns0:f>
      </ns0:c>
      <ns0:c r="P81" s="22" t="str">
        <ns0:f>IF($A81="","",IF($I81="Yes",IF(P$6=$D81,"◆",""),IF(AND(P$6&gt;=$D81,P$6&lt;=$E81),MAX(0,MIN(1,$G81*$F81-(P$6-$D81))),"")))</ns0:f>
      </ns0:c>
      <ns0:c r="Q81" s="22" t="str">
        <ns0:f>IF($A81="","",IF($I81="Yes",IF(Q$6=$D81,"◆",""),IF(AND(Q$6&gt;=$D81,Q$6&lt;=$E81),MAX(0,MIN(1,$G81*$F81-(Q$6-$D81))),"")))</ns0:f>
      </ns0:c>
      <ns0:c r="R81" s="22" t="str">
        <ns0:f>IF($A81="","",IF($I81="Yes",IF(R$6=$D81,"◆",""),IF(AND(R$6&gt;=$D81,R$6&lt;=$E81),MAX(0,MIN(1,$G81*$F81-(R$6-$D81))),"")))</ns0:f>
      </ns0:c>
      <ns0:c r="S81" s="22" t="str">
        <ns0:f>IF($A81="","",IF($I81="Yes",IF(S$6=$D81,"◆",""),IF(AND(S$6&gt;=$D81,S$6&lt;=$E81),MAX(0,MIN(1,$G81*$F81-(S$6-$D81))),"")))</ns0:f>
      </ns0:c>
      <ns0:c r="T81" s="22" t="str">
        <ns0:f>IF($A81="","",IF($I81="Yes",IF(T$6=$D81,"◆",""),IF(AND(T$6&gt;=$D81,T$6&lt;=$E81),MAX(0,MIN(1,$G81*$F81-(T$6-$D81))),"")))</ns0:f>
      </ns0:c>
      <ns0:c r="U81" s="22" t="str">
        <ns0:f>IF($A81="","",IF($I81="Yes",IF(U$6=$D81,"◆",""),IF(AND(U$6&gt;=$D81,U$6&lt;=$E81),MAX(0,MIN(1,$G81*$F81-(U$6-$D81))),"")))</ns0:f>
      </ns0:c>
      <ns0:c r="V81" s="22" t="str">
        <ns0:f>IF($A81="","",IF($I81="Yes",IF(V$6=$D81,"◆",""),IF(AND(V$6&gt;=$D81,V$6&lt;=$E81),MAX(0,MIN(1,$G81*$F81-(V$6-$D81))),"")))</ns0:f>
      </ns0:c>
      <ns0:c r="W81" s="22" t="str">
        <ns0:f>IF($A81="","",IF($I81="Yes",IF(W$6=$D81,"◆",""),IF(AND(W$6&gt;=$D81,W$6&lt;=$E81),MAX(0,MIN(1,$G81*$F81-(W$6-$D81))),"")))</ns0:f>
      </ns0:c>
      <ns0:c r="X81" s="22" t="str">
        <ns0:f>IF($A81="","",IF($I81="Yes",IF(X$6=$D81,"◆",""),IF(AND(X$6&gt;=$D81,X$6&lt;=$E81),MAX(0,MIN(1,$G81*$F81-(X$6-$D81))),"")))</ns0:f>
      </ns0:c>
      <ns0:c r="Y81" s="22" t="str">
        <ns0:f>IF($A81="","",IF($I81="Yes",IF(Y$6=$D81,"◆",""),IF(AND(Y$6&gt;=$D81,Y$6&lt;=$E81),MAX(0,MIN(1,$G81*$F81-(Y$6-$D81))),"")))</ns0:f>
      </ns0:c>
      <ns0:c r="Z81" s="22" t="str">
        <ns0:f>IF($A81="","",IF($I81="Yes",IF(Z$6=$D81,"◆",""),IF(AND(Z$6&gt;=$D81,Z$6&lt;=$E81),MAX(0,MIN(1,$G81*$F81-(Z$6-$D81))),"")))</ns0:f>
      </ns0:c>
      <ns0:c r="AA81" s="22" t="str">
        <ns0:f>IF($A81="","",IF($I81="Yes",IF(AA$6=$D81,"◆",""),IF(AND(AA$6&gt;=$D81,AA$6&lt;=$E81),MAX(0,MIN(1,$G81*$F81-(AA$6-$D81))),"")))</ns0:f>
      </ns0:c>
      <ns0:c r="AB81" s="22" t="str">
        <ns0:f>IF($A81="","",IF($I81="Yes",IF(AB$6=$D81,"◆",""),IF(AND(AB$6&gt;=$D81,AB$6&lt;=$E81),MAX(0,MIN(1,$G81*$F81-(AB$6-$D81))),"")))</ns0:f>
      </ns0:c>
      <ns0:c r="AC81" s="22" t="str">
        <ns0:f>IF($A81="","",IF($I81="Yes",IF(AC$6=$D81,"◆",""),IF(AND(AC$6&gt;=$D81,AC$6&lt;=$E81),MAX(0,MIN(1,$G81*$F81-(AC$6-$D81))),"")))</ns0:f>
      </ns0:c>
      <ns0:c r="AD81" s="22" t="str">
        <ns0:f>IF($A81="","",IF($I81="Yes",IF(AD$6=$D81,"◆",""),IF(AND(AD$6&gt;=$D81,AD$6&lt;=$E81),MAX(0,MIN(1,$G81*$F81-(AD$6-$D81))),"")))</ns0:f>
      </ns0:c>
      <ns0:c r="AE81" s="22" t="str">
        <ns0:f>IF($A81="","",IF($I81="Yes",IF(AE$6=$D81,"◆",""),IF(AND(AE$6&gt;=$D81,AE$6&lt;=$E81),MAX(0,MIN(1,$G81*$F81-(AE$6-$D81))),"")))</ns0:f>
      </ns0:c>
      <ns0:c r="AF81" s="22" t="str">
        <ns0:f>IF($A81="","",IF($I81="Yes",IF(AF$6=$D81,"◆",""),IF(AND(AF$6&gt;=$D81,AF$6&lt;=$E81),MAX(0,MIN(1,$G81*$F81-(AF$6-$D81))),"")))</ns0:f>
      </ns0:c>
      <ns0:c r="AG81" s="22" t="str">
        <ns0:f>IF($A81="","",IF($I81="Yes",IF(AG$6=$D81,"◆",""),IF(AND(AG$6&gt;=$D81,AG$6&lt;=$E81),MAX(0,MIN(1,$G81*$F81-(AG$6-$D81))),"")))</ns0:f>
      </ns0:c>
      <ns0:c r="AH81" s="22" t="str">
        <ns0:f>IF($A81="","",IF($I81="Yes",IF(AH$6=$D81,"◆",""),IF(AND(AH$6&gt;=$D81,AH$6&lt;=$E81),MAX(0,MIN(1,$G81*$F81-(AH$6-$D81))),"")))</ns0:f>
      </ns0:c>
      <ns0:c r="AI81" s="22" t="str">
        <ns0:f>IF($A81="","",IF($I81="Yes",IF(AI$6=$D81,"◆",""),IF(AND(AI$6&gt;=$D81,AI$6&lt;=$E81),MAX(0,MIN(1,$G81*$F81-(AI$6-$D81))),"")))</ns0:f>
      </ns0:c>
      <ns0:c r="AJ81" s="22" t="str">
        <ns0:f>IF($A81="","",IF($I81="Yes",IF(AJ$6=$D81,"◆",""),IF(AND(AJ$6&gt;=$D81,AJ$6&lt;=$E81),MAX(0,MIN(1,$G81*$F81-(AJ$6-$D81))),"")))</ns0:f>
      </ns0:c>
      <ns0:c r="AK81" s="22" t="str">
        <ns0:f>IF($A81="","",IF($I81="Yes",IF(AK$6=$D81,"◆",""),IF(AND(AK$6&gt;=$D81,AK$6&lt;=$E81),MAX(0,MIN(1,$G81*$F81-(AK$6-$D81))),"")))</ns0:f>
      </ns0:c>
      <ns0:c r="AL81" s="22" t="str">
        <ns0:f>IF($A81="","",IF($I81="Yes",IF(AL$6=$D81,"◆",""),IF(AND(AL$6&gt;=$D81,AL$6&lt;=$E81),MAX(0,MIN(1,$G81*$F81-(AL$6-$D81))),"")))</ns0:f>
      </ns0:c>
      <ns0:c r="AM81" s="22" t="str">
        <ns0:f>IF($A81="","",IF($I81="Yes",IF(AM$6=$D81,"◆",""),IF(AND(AM$6&gt;=$D81,AM$6&lt;=$E81),MAX(0,MIN(1,$G81*$F81-(AM$6-$D81))),"")))</ns0:f>
      </ns0:c>
      <ns0:c r="AN81" s="22" t="str">
        <ns0:f>IF($A81="","",IF($I81="Yes",IF(AN$6=$D81,"◆",""),IF(AND(AN$6&gt;=$D81,AN$6&lt;=$E81),MAX(0,MIN(1,$G81*$F81-(AN$6-$D81))),"")))</ns0:f>
      </ns0:c>
      <ns0:c r="AO81" s="22" t="str">
        <ns0:f>IF($A81="","",IF($I81="Yes",IF(AO$6=$D81,"◆",""),IF(AND(AO$6&gt;=$D81,AO$6&lt;=$E81),MAX(0,MIN(1,$G81*$F81-(AO$6-$D81))),"")))</ns0:f>
      </ns0:c>
      <ns0:c r="AP81" s="22" t="str">
        <ns0:f>IF($A81="","",IF($I81="Yes",IF(AP$6=$D81,"◆",""),IF(AND(AP$6&gt;=$D81,AP$6&lt;=$E81),MAX(0,MIN(1,$G81*$F81-(AP$6-$D81))),"")))</ns0:f>
      </ns0:c>
      <ns0:c r="AQ81" s="22" t="str">
        <ns0:f>IF($A81="","",IF($I81="Yes",IF(AQ$6=$D81,"◆",""),IF(AND(AQ$6&gt;=$D81,AQ$6&lt;=$E81),MAX(0,MIN(1,$G81*$F81-(AQ$6-$D81))),"")))</ns0:f>
      </ns0:c>
      <ns0:c r="AR81" s="22" t="str">
        <ns0:f>IF($A81="","",IF($I81="Yes",IF(AR$6=$D81,"◆",""),IF(AND(AR$6&gt;=$D81,AR$6&lt;=$E81),MAX(0,MIN(1,$G81*$F81-(AR$6-$D81))),"")))</ns0:f>
      </ns0:c>
    </ns0:row>
    <ns0:row r="82" ht="48" customHeight="1">
      <ns0:c r="A82" s="8" t="str">
        <ns0:f>IF(INDEX(Tasks[Task ID],76)="","",INDEX(Tasks[Task ID],76))</ns0:f>
      </ns0:c>
      <ns0:c r="B82" s="8" t="str">
        <ns0:f>IF(INDEX(Tasks[Task ID],76)="","",INDEX(Tasks[Phase],76))</ns0:f>
      </ns0:c>
      <ns0:c r="C82" s="8" t="str">
        <ns0:f>IF(INDEX(Tasks[Task ID],76)="","",INDEX(Tasks[Task Name],76))</ns0:f>
      </ns0:c>
      <ns0:c r="D82" s="18" t="str">
        <ns0:f>IF(INDEX(Tasks[Task ID],76)="","",INDEX(Tasks[Start Date],76))</ns0:f>
      </ns0:c>
      <ns0:c r="E82" s="18" t="str">
        <ns0:f>IF(INDEX(Tasks[Task ID],76)="","",INDEX(Tasks[End Date],76))</ns0:f>
      </ns0:c>
      <ns0:c r="F82" s="8" t="str">
        <ns0:f>IF(INDEX(Tasks[Task ID],76)="","",INDEX(Tasks[Duration],76))</ns0:f>
      </ns0:c>
      <ns0:c r="G82" s="19" t="str">
        <ns0:f>IF(INDEX(Tasks[Task ID],76)="","",INDEX(Tasks[Progress %],76))</ns0:f>
      </ns0:c>
      <ns0:c r="H82" s="8" t="str">
        <ns0:f>IF(INDEX(Tasks[Task ID],76)="","",INDEX('Project Tracker'!$Q$7:$Q$106,76))</ns0:f>
      </ns0:c>
      <ns0:c r="I82" s="8" t="str">
        <ns0:f>IF(INDEX(Tasks[Task ID],76)="","",INDEX(Tasks[Milestone],76))</ns0:f>
      </ns0:c>
      <ns0:c r="J82" s="8" t="str">
        <ns0:f>IF(INDEX(Tasks[Task ID],76)="","",INDEX(Tasks[Schedule Health],76))</ns0:f>
      </ns0:c>
      <ns0:c r="K82" s="22" t="str">
        <ns0:f>IF($A82="","",IF($I82="Yes",IF(K$6=$D82,"◆",""),IF(AND(K$6&gt;=$D82,K$6&lt;=$E82),MAX(0,MIN(1,$G82*$F82-(K$6-$D82))),"")))</ns0:f>
      </ns0:c>
      <ns0:c r="L82" s="22" t="str">
        <ns0:f>IF($A82="","",IF($I82="Yes",IF(L$6=$D82,"◆",""),IF(AND(L$6&gt;=$D82,L$6&lt;=$E82),MAX(0,MIN(1,$G82*$F82-(L$6-$D82))),"")))</ns0:f>
      </ns0:c>
      <ns0:c r="M82" s="22" t="str">
        <ns0:f>IF($A82="","",IF($I82="Yes",IF(M$6=$D82,"◆",""),IF(AND(M$6&gt;=$D82,M$6&lt;=$E82),MAX(0,MIN(1,$G82*$F82-(M$6-$D82))),"")))</ns0:f>
      </ns0:c>
      <ns0:c r="N82" s="22" t="str">
        <ns0:f>IF($A82="","",IF($I82="Yes",IF(N$6=$D82,"◆",""),IF(AND(N$6&gt;=$D82,N$6&lt;=$E82),MAX(0,MIN(1,$G82*$F82-(N$6-$D82))),"")))</ns0:f>
      </ns0:c>
      <ns0:c r="O82" s="22" t="str">
        <ns0:f>IF($A82="","",IF($I82="Yes",IF(O$6=$D82,"◆",""),IF(AND(O$6&gt;=$D82,O$6&lt;=$E82),MAX(0,MIN(1,$G82*$F82-(O$6-$D82))),"")))</ns0:f>
      </ns0:c>
      <ns0:c r="P82" s="22" t="str">
        <ns0:f>IF($A82="","",IF($I82="Yes",IF(P$6=$D82,"◆",""),IF(AND(P$6&gt;=$D82,P$6&lt;=$E82),MAX(0,MIN(1,$G82*$F82-(P$6-$D82))),"")))</ns0:f>
      </ns0:c>
      <ns0:c r="Q82" s="22" t="str">
        <ns0:f>IF($A82="","",IF($I82="Yes",IF(Q$6=$D82,"◆",""),IF(AND(Q$6&gt;=$D82,Q$6&lt;=$E82),MAX(0,MIN(1,$G82*$F82-(Q$6-$D82))),"")))</ns0:f>
      </ns0:c>
      <ns0:c r="R82" s="22" t="str">
        <ns0:f>IF($A82="","",IF($I82="Yes",IF(R$6=$D82,"◆",""),IF(AND(R$6&gt;=$D82,R$6&lt;=$E82),MAX(0,MIN(1,$G82*$F82-(R$6-$D82))),"")))</ns0:f>
      </ns0:c>
      <ns0:c r="S82" s="22" t="str">
        <ns0:f>IF($A82="","",IF($I82="Yes",IF(S$6=$D82,"◆",""),IF(AND(S$6&gt;=$D82,S$6&lt;=$E82),MAX(0,MIN(1,$G82*$F82-(S$6-$D82))),"")))</ns0:f>
      </ns0:c>
      <ns0:c r="T82" s="22" t="str">
        <ns0:f>IF($A82="","",IF($I82="Yes",IF(T$6=$D82,"◆",""),IF(AND(T$6&gt;=$D82,T$6&lt;=$E82),MAX(0,MIN(1,$G82*$F82-(T$6-$D82))),"")))</ns0:f>
      </ns0:c>
      <ns0:c r="U82" s="22" t="str">
        <ns0:f>IF($A82="","",IF($I82="Yes",IF(U$6=$D82,"◆",""),IF(AND(U$6&gt;=$D82,U$6&lt;=$E82),MAX(0,MIN(1,$G82*$F82-(U$6-$D82))),"")))</ns0:f>
      </ns0:c>
      <ns0:c r="V82" s="22" t="str">
        <ns0:f>IF($A82="","",IF($I82="Yes",IF(V$6=$D82,"◆",""),IF(AND(V$6&gt;=$D82,V$6&lt;=$E82),MAX(0,MIN(1,$G82*$F82-(V$6-$D82))),"")))</ns0:f>
      </ns0:c>
      <ns0:c r="W82" s="22" t="str">
        <ns0:f>IF($A82="","",IF($I82="Yes",IF(W$6=$D82,"◆",""),IF(AND(W$6&gt;=$D82,W$6&lt;=$E82),MAX(0,MIN(1,$G82*$F82-(W$6-$D82))),"")))</ns0:f>
      </ns0:c>
      <ns0:c r="X82" s="22" t="str">
        <ns0:f>IF($A82="","",IF($I82="Yes",IF(X$6=$D82,"◆",""),IF(AND(X$6&gt;=$D82,X$6&lt;=$E82),MAX(0,MIN(1,$G82*$F82-(X$6-$D82))),"")))</ns0:f>
      </ns0:c>
      <ns0:c r="Y82" s="22" t="str">
        <ns0:f>IF($A82="","",IF($I82="Yes",IF(Y$6=$D82,"◆",""),IF(AND(Y$6&gt;=$D82,Y$6&lt;=$E82),MAX(0,MIN(1,$G82*$F82-(Y$6-$D82))),"")))</ns0:f>
      </ns0:c>
      <ns0:c r="Z82" s="22" t="str">
        <ns0:f>IF($A82="","",IF($I82="Yes",IF(Z$6=$D82,"◆",""),IF(AND(Z$6&gt;=$D82,Z$6&lt;=$E82),MAX(0,MIN(1,$G82*$F82-(Z$6-$D82))),"")))</ns0:f>
      </ns0:c>
      <ns0:c r="AA82" s="22" t="str">
        <ns0:f>IF($A82="","",IF($I82="Yes",IF(AA$6=$D82,"◆",""),IF(AND(AA$6&gt;=$D82,AA$6&lt;=$E82),MAX(0,MIN(1,$G82*$F82-(AA$6-$D82))),"")))</ns0:f>
      </ns0:c>
      <ns0:c r="AB82" s="22" t="str">
        <ns0:f>IF($A82="","",IF($I82="Yes",IF(AB$6=$D82,"◆",""),IF(AND(AB$6&gt;=$D82,AB$6&lt;=$E82),MAX(0,MIN(1,$G82*$F82-(AB$6-$D82))),"")))</ns0:f>
      </ns0:c>
      <ns0:c r="AC82" s="22" t="str">
        <ns0:f>IF($A82="","",IF($I82="Yes",IF(AC$6=$D82,"◆",""),IF(AND(AC$6&gt;=$D82,AC$6&lt;=$E82),MAX(0,MIN(1,$G82*$F82-(AC$6-$D82))),"")))</ns0:f>
      </ns0:c>
      <ns0:c r="AD82" s="22" t="str">
        <ns0:f>IF($A82="","",IF($I82="Yes",IF(AD$6=$D82,"◆",""),IF(AND(AD$6&gt;=$D82,AD$6&lt;=$E82),MAX(0,MIN(1,$G82*$F82-(AD$6-$D82))),"")))</ns0:f>
      </ns0:c>
      <ns0:c r="AE82" s="22" t="str">
        <ns0:f>IF($A82="","",IF($I82="Yes",IF(AE$6=$D82,"◆",""),IF(AND(AE$6&gt;=$D82,AE$6&lt;=$E82),MAX(0,MIN(1,$G82*$F82-(AE$6-$D82))),"")))</ns0:f>
      </ns0:c>
      <ns0:c r="AF82" s="22" t="str">
        <ns0:f>IF($A82="","",IF($I82="Yes",IF(AF$6=$D82,"◆",""),IF(AND(AF$6&gt;=$D82,AF$6&lt;=$E82),MAX(0,MIN(1,$G82*$F82-(AF$6-$D82))),"")))</ns0:f>
      </ns0:c>
      <ns0:c r="AG82" s="22" t="str">
        <ns0:f>IF($A82="","",IF($I82="Yes",IF(AG$6=$D82,"◆",""),IF(AND(AG$6&gt;=$D82,AG$6&lt;=$E82),MAX(0,MIN(1,$G82*$F82-(AG$6-$D82))),"")))</ns0:f>
      </ns0:c>
      <ns0:c r="AH82" s="22" t="str">
        <ns0:f>IF($A82="","",IF($I82="Yes",IF(AH$6=$D82,"◆",""),IF(AND(AH$6&gt;=$D82,AH$6&lt;=$E82),MAX(0,MIN(1,$G82*$F82-(AH$6-$D82))),"")))</ns0:f>
      </ns0:c>
      <ns0:c r="AI82" s="22" t="str">
        <ns0:f>IF($A82="","",IF($I82="Yes",IF(AI$6=$D82,"◆",""),IF(AND(AI$6&gt;=$D82,AI$6&lt;=$E82),MAX(0,MIN(1,$G82*$F82-(AI$6-$D82))),"")))</ns0:f>
      </ns0:c>
      <ns0:c r="AJ82" s="22" t="str">
        <ns0:f>IF($A82="","",IF($I82="Yes",IF(AJ$6=$D82,"◆",""),IF(AND(AJ$6&gt;=$D82,AJ$6&lt;=$E82),MAX(0,MIN(1,$G82*$F82-(AJ$6-$D82))),"")))</ns0:f>
      </ns0:c>
      <ns0:c r="AK82" s="22" t="str">
        <ns0:f>IF($A82="","",IF($I82="Yes",IF(AK$6=$D82,"◆",""),IF(AND(AK$6&gt;=$D82,AK$6&lt;=$E82),MAX(0,MIN(1,$G82*$F82-(AK$6-$D82))),"")))</ns0:f>
      </ns0:c>
      <ns0:c r="AL82" s="22" t="str">
        <ns0:f>IF($A82="","",IF($I82="Yes",IF(AL$6=$D82,"◆",""),IF(AND(AL$6&gt;=$D82,AL$6&lt;=$E82),MAX(0,MIN(1,$G82*$F82-(AL$6-$D82))),"")))</ns0:f>
      </ns0:c>
      <ns0:c r="AM82" s="22" t="str">
        <ns0:f>IF($A82="","",IF($I82="Yes",IF(AM$6=$D82,"◆",""),IF(AND(AM$6&gt;=$D82,AM$6&lt;=$E82),MAX(0,MIN(1,$G82*$F82-(AM$6-$D82))),"")))</ns0:f>
      </ns0:c>
      <ns0:c r="AN82" s="22" t="str">
        <ns0:f>IF($A82="","",IF($I82="Yes",IF(AN$6=$D82,"◆",""),IF(AND(AN$6&gt;=$D82,AN$6&lt;=$E82),MAX(0,MIN(1,$G82*$F82-(AN$6-$D82))),"")))</ns0:f>
      </ns0:c>
      <ns0:c r="AO82" s="22" t="str">
        <ns0:f>IF($A82="","",IF($I82="Yes",IF(AO$6=$D82,"◆",""),IF(AND(AO$6&gt;=$D82,AO$6&lt;=$E82),MAX(0,MIN(1,$G82*$F82-(AO$6-$D82))),"")))</ns0:f>
      </ns0:c>
      <ns0:c r="AP82" s="22" t="str">
        <ns0:f>IF($A82="","",IF($I82="Yes",IF(AP$6=$D82,"◆",""),IF(AND(AP$6&gt;=$D82,AP$6&lt;=$E82),MAX(0,MIN(1,$G82*$F82-(AP$6-$D82))),"")))</ns0:f>
      </ns0:c>
      <ns0:c r="AQ82" s="22" t="str">
        <ns0:f>IF($A82="","",IF($I82="Yes",IF(AQ$6=$D82,"◆",""),IF(AND(AQ$6&gt;=$D82,AQ$6&lt;=$E82),MAX(0,MIN(1,$G82*$F82-(AQ$6-$D82))),"")))</ns0:f>
      </ns0:c>
      <ns0:c r="AR82" s="22" t="str">
        <ns0:f>IF($A82="","",IF($I82="Yes",IF(AR$6=$D82,"◆",""),IF(AND(AR$6&gt;=$D82,AR$6&lt;=$E82),MAX(0,MIN(1,$G82*$F82-(AR$6-$D82))),"")))</ns0:f>
      </ns0:c>
    </ns0:row>
    <ns0:row r="83" ht="48" customHeight="1">
      <ns0:c r="A83" s="8" t="str">
        <ns0:f>IF(INDEX(Tasks[Task ID],77)="","",INDEX(Tasks[Task ID],77))</ns0:f>
      </ns0:c>
      <ns0:c r="B83" s="8" t="str">
        <ns0:f>IF(INDEX(Tasks[Task ID],77)="","",INDEX(Tasks[Phase],77))</ns0:f>
      </ns0:c>
      <ns0:c r="C83" s="8" t="str">
        <ns0:f>IF(INDEX(Tasks[Task ID],77)="","",INDEX(Tasks[Task Name],77))</ns0:f>
      </ns0:c>
      <ns0:c r="D83" s="18" t="str">
        <ns0:f>IF(INDEX(Tasks[Task ID],77)="","",INDEX(Tasks[Start Date],77))</ns0:f>
      </ns0:c>
      <ns0:c r="E83" s="18" t="str">
        <ns0:f>IF(INDEX(Tasks[Task ID],77)="","",INDEX(Tasks[End Date],77))</ns0:f>
      </ns0:c>
      <ns0:c r="F83" s="8" t="str">
        <ns0:f>IF(INDEX(Tasks[Task ID],77)="","",INDEX(Tasks[Duration],77))</ns0:f>
      </ns0:c>
      <ns0:c r="G83" s="19" t="str">
        <ns0:f>IF(INDEX(Tasks[Task ID],77)="","",INDEX(Tasks[Progress %],77))</ns0:f>
      </ns0:c>
      <ns0:c r="H83" s="8" t="str">
        <ns0:f>IF(INDEX(Tasks[Task ID],77)="","",INDEX('Project Tracker'!$Q$7:$Q$106,77))</ns0:f>
      </ns0:c>
      <ns0:c r="I83" s="8" t="str">
        <ns0:f>IF(INDEX(Tasks[Task ID],77)="","",INDEX(Tasks[Milestone],77))</ns0:f>
      </ns0:c>
      <ns0:c r="J83" s="8" t="str">
        <ns0:f>IF(INDEX(Tasks[Task ID],77)="","",INDEX(Tasks[Schedule Health],77))</ns0:f>
      </ns0:c>
      <ns0:c r="K83" s="22" t="str">
        <ns0:f>IF($A83="","",IF($I83="Yes",IF(K$6=$D83,"◆",""),IF(AND(K$6&gt;=$D83,K$6&lt;=$E83),MAX(0,MIN(1,$G83*$F83-(K$6-$D83))),"")))</ns0:f>
      </ns0:c>
      <ns0:c r="L83" s="22" t="str">
        <ns0:f>IF($A83="","",IF($I83="Yes",IF(L$6=$D83,"◆",""),IF(AND(L$6&gt;=$D83,L$6&lt;=$E83),MAX(0,MIN(1,$G83*$F83-(L$6-$D83))),"")))</ns0:f>
      </ns0:c>
      <ns0:c r="M83" s="22" t="str">
        <ns0:f>IF($A83="","",IF($I83="Yes",IF(M$6=$D83,"◆",""),IF(AND(M$6&gt;=$D83,M$6&lt;=$E83),MAX(0,MIN(1,$G83*$F83-(M$6-$D83))),"")))</ns0:f>
      </ns0:c>
      <ns0:c r="N83" s="22" t="str">
        <ns0:f>IF($A83="","",IF($I83="Yes",IF(N$6=$D83,"◆",""),IF(AND(N$6&gt;=$D83,N$6&lt;=$E83),MAX(0,MIN(1,$G83*$F83-(N$6-$D83))),"")))</ns0:f>
      </ns0:c>
      <ns0:c r="O83" s="22" t="str">
        <ns0:f>IF($A83="","",IF($I83="Yes",IF(O$6=$D83,"◆",""),IF(AND(O$6&gt;=$D83,O$6&lt;=$E83),MAX(0,MIN(1,$G83*$F83-(O$6-$D83))),"")))</ns0:f>
      </ns0:c>
      <ns0:c r="P83" s="22" t="str">
        <ns0:f>IF($A83="","",IF($I83="Yes",IF(P$6=$D83,"◆",""),IF(AND(P$6&gt;=$D83,P$6&lt;=$E83),MAX(0,MIN(1,$G83*$F83-(P$6-$D83))),"")))</ns0:f>
      </ns0:c>
      <ns0:c r="Q83" s="22" t="str">
        <ns0:f>IF($A83="","",IF($I83="Yes",IF(Q$6=$D83,"◆",""),IF(AND(Q$6&gt;=$D83,Q$6&lt;=$E83),MAX(0,MIN(1,$G83*$F83-(Q$6-$D83))),"")))</ns0:f>
      </ns0:c>
      <ns0:c r="R83" s="22" t="str">
        <ns0:f>IF($A83="","",IF($I83="Yes",IF(R$6=$D83,"◆",""),IF(AND(R$6&gt;=$D83,R$6&lt;=$E83),MAX(0,MIN(1,$G83*$F83-(R$6-$D83))),"")))</ns0:f>
      </ns0:c>
      <ns0:c r="S83" s="22" t="str">
        <ns0:f>IF($A83="","",IF($I83="Yes",IF(S$6=$D83,"◆",""),IF(AND(S$6&gt;=$D83,S$6&lt;=$E83),MAX(0,MIN(1,$G83*$F83-(S$6-$D83))),"")))</ns0:f>
      </ns0:c>
      <ns0:c r="T83" s="22" t="str">
        <ns0:f>IF($A83="","",IF($I83="Yes",IF(T$6=$D83,"◆",""),IF(AND(T$6&gt;=$D83,T$6&lt;=$E83),MAX(0,MIN(1,$G83*$F83-(T$6-$D83))),"")))</ns0:f>
      </ns0:c>
      <ns0:c r="U83" s="22" t="str">
        <ns0:f>IF($A83="","",IF($I83="Yes",IF(U$6=$D83,"◆",""),IF(AND(U$6&gt;=$D83,U$6&lt;=$E83),MAX(0,MIN(1,$G83*$F83-(U$6-$D83))),"")))</ns0:f>
      </ns0:c>
      <ns0:c r="V83" s="22" t="str">
        <ns0:f>IF($A83="","",IF($I83="Yes",IF(V$6=$D83,"◆",""),IF(AND(V$6&gt;=$D83,V$6&lt;=$E83),MAX(0,MIN(1,$G83*$F83-(V$6-$D83))),"")))</ns0:f>
      </ns0:c>
      <ns0:c r="W83" s="22" t="str">
        <ns0:f>IF($A83="","",IF($I83="Yes",IF(W$6=$D83,"◆",""),IF(AND(W$6&gt;=$D83,W$6&lt;=$E83),MAX(0,MIN(1,$G83*$F83-(W$6-$D83))),"")))</ns0:f>
      </ns0:c>
      <ns0:c r="X83" s="22" t="str">
        <ns0:f>IF($A83="","",IF($I83="Yes",IF(X$6=$D83,"◆",""),IF(AND(X$6&gt;=$D83,X$6&lt;=$E83),MAX(0,MIN(1,$G83*$F83-(X$6-$D83))),"")))</ns0:f>
      </ns0:c>
      <ns0:c r="Y83" s="22" t="str">
        <ns0:f>IF($A83="","",IF($I83="Yes",IF(Y$6=$D83,"◆",""),IF(AND(Y$6&gt;=$D83,Y$6&lt;=$E83),MAX(0,MIN(1,$G83*$F83-(Y$6-$D83))),"")))</ns0:f>
      </ns0:c>
      <ns0:c r="Z83" s="22" t="str">
        <ns0:f>IF($A83="","",IF($I83="Yes",IF(Z$6=$D83,"◆",""),IF(AND(Z$6&gt;=$D83,Z$6&lt;=$E83),MAX(0,MIN(1,$G83*$F83-(Z$6-$D83))),"")))</ns0:f>
      </ns0:c>
      <ns0:c r="AA83" s="22" t="str">
        <ns0:f>IF($A83="","",IF($I83="Yes",IF(AA$6=$D83,"◆",""),IF(AND(AA$6&gt;=$D83,AA$6&lt;=$E83),MAX(0,MIN(1,$G83*$F83-(AA$6-$D83))),"")))</ns0:f>
      </ns0:c>
      <ns0:c r="AB83" s="22" t="str">
        <ns0:f>IF($A83="","",IF($I83="Yes",IF(AB$6=$D83,"◆",""),IF(AND(AB$6&gt;=$D83,AB$6&lt;=$E83),MAX(0,MIN(1,$G83*$F83-(AB$6-$D83))),"")))</ns0:f>
      </ns0:c>
      <ns0:c r="AC83" s="22" t="str">
        <ns0:f>IF($A83="","",IF($I83="Yes",IF(AC$6=$D83,"◆",""),IF(AND(AC$6&gt;=$D83,AC$6&lt;=$E83),MAX(0,MIN(1,$G83*$F83-(AC$6-$D83))),"")))</ns0:f>
      </ns0:c>
      <ns0:c r="AD83" s="22" t="str">
        <ns0:f>IF($A83="","",IF($I83="Yes",IF(AD$6=$D83,"◆",""),IF(AND(AD$6&gt;=$D83,AD$6&lt;=$E83),MAX(0,MIN(1,$G83*$F83-(AD$6-$D83))),"")))</ns0:f>
      </ns0:c>
      <ns0:c r="AE83" s="22" t="str">
        <ns0:f>IF($A83="","",IF($I83="Yes",IF(AE$6=$D83,"◆",""),IF(AND(AE$6&gt;=$D83,AE$6&lt;=$E83),MAX(0,MIN(1,$G83*$F83-(AE$6-$D83))),"")))</ns0:f>
      </ns0:c>
      <ns0:c r="AF83" s="22" t="str">
        <ns0:f>IF($A83="","",IF($I83="Yes",IF(AF$6=$D83,"◆",""),IF(AND(AF$6&gt;=$D83,AF$6&lt;=$E83),MAX(0,MIN(1,$G83*$F83-(AF$6-$D83))),"")))</ns0:f>
      </ns0:c>
      <ns0:c r="AG83" s="22" t="str">
        <ns0:f>IF($A83="","",IF($I83="Yes",IF(AG$6=$D83,"◆",""),IF(AND(AG$6&gt;=$D83,AG$6&lt;=$E83),MAX(0,MIN(1,$G83*$F83-(AG$6-$D83))),"")))</ns0:f>
      </ns0:c>
      <ns0:c r="AH83" s="22" t="str">
        <ns0:f>IF($A83="","",IF($I83="Yes",IF(AH$6=$D83,"◆",""),IF(AND(AH$6&gt;=$D83,AH$6&lt;=$E83),MAX(0,MIN(1,$G83*$F83-(AH$6-$D83))),"")))</ns0:f>
      </ns0:c>
      <ns0:c r="AI83" s="22" t="str">
        <ns0:f>IF($A83="","",IF($I83="Yes",IF(AI$6=$D83,"◆",""),IF(AND(AI$6&gt;=$D83,AI$6&lt;=$E83),MAX(0,MIN(1,$G83*$F83-(AI$6-$D83))),"")))</ns0:f>
      </ns0:c>
      <ns0:c r="AJ83" s="22" t="str">
        <ns0:f>IF($A83="","",IF($I83="Yes",IF(AJ$6=$D83,"◆",""),IF(AND(AJ$6&gt;=$D83,AJ$6&lt;=$E83),MAX(0,MIN(1,$G83*$F83-(AJ$6-$D83))),"")))</ns0:f>
      </ns0:c>
      <ns0:c r="AK83" s="22" t="str">
        <ns0:f>IF($A83="","",IF($I83="Yes",IF(AK$6=$D83,"◆",""),IF(AND(AK$6&gt;=$D83,AK$6&lt;=$E83),MAX(0,MIN(1,$G83*$F83-(AK$6-$D83))),"")))</ns0:f>
      </ns0:c>
      <ns0:c r="AL83" s="22" t="str">
        <ns0:f>IF($A83="","",IF($I83="Yes",IF(AL$6=$D83,"◆",""),IF(AND(AL$6&gt;=$D83,AL$6&lt;=$E83),MAX(0,MIN(1,$G83*$F83-(AL$6-$D83))),"")))</ns0:f>
      </ns0:c>
      <ns0:c r="AM83" s="22" t="str">
        <ns0:f>IF($A83="","",IF($I83="Yes",IF(AM$6=$D83,"◆",""),IF(AND(AM$6&gt;=$D83,AM$6&lt;=$E83),MAX(0,MIN(1,$G83*$F83-(AM$6-$D83))),"")))</ns0:f>
      </ns0:c>
      <ns0:c r="AN83" s="22" t="str">
        <ns0:f>IF($A83="","",IF($I83="Yes",IF(AN$6=$D83,"◆",""),IF(AND(AN$6&gt;=$D83,AN$6&lt;=$E83),MAX(0,MIN(1,$G83*$F83-(AN$6-$D83))),"")))</ns0:f>
      </ns0:c>
      <ns0:c r="AO83" s="22" t="str">
        <ns0:f>IF($A83="","",IF($I83="Yes",IF(AO$6=$D83,"◆",""),IF(AND(AO$6&gt;=$D83,AO$6&lt;=$E83),MAX(0,MIN(1,$G83*$F83-(AO$6-$D83))),"")))</ns0:f>
      </ns0:c>
      <ns0:c r="AP83" s="22" t="str">
        <ns0:f>IF($A83="","",IF($I83="Yes",IF(AP$6=$D83,"◆",""),IF(AND(AP$6&gt;=$D83,AP$6&lt;=$E83),MAX(0,MIN(1,$G83*$F83-(AP$6-$D83))),"")))</ns0:f>
      </ns0:c>
      <ns0:c r="AQ83" s="22" t="str">
        <ns0:f>IF($A83="","",IF($I83="Yes",IF(AQ$6=$D83,"◆",""),IF(AND(AQ$6&gt;=$D83,AQ$6&lt;=$E83),MAX(0,MIN(1,$G83*$F83-(AQ$6-$D83))),"")))</ns0:f>
      </ns0:c>
      <ns0:c r="AR83" s="22" t="str">
        <ns0:f>IF($A83="","",IF($I83="Yes",IF(AR$6=$D83,"◆",""),IF(AND(AR$6&gt;=$D83,AR$6&lt;=$E83),MAX(0,MIN(1,$G83*$F83-(AR$6-$D83))),"")))</ns0:f>
      </ns0:c>
    </ns0:row>
    <ns0:row r="84" ht="48" customHeight="1">
      <ns0:c r="A84" s="8" t="str">
        <ns0:f>IF(INDEX(Tasks[Task ID],78)="","",INDEX(Tasks[Task ID],78))</ns0:f>
      </ns0:c>
      <ns0:c r="B84" s="8" t="str">
        <ns0:f>IF(INDEX(Tasks[Task ID],78)="","",INDEX(Tasks[Phase],78))</ns0:f>
      </ns0:c>
      <ns0:c r="C84" s="8" t="str">
        <ns0:f>IF(INDEX(Tasks[Task ID],78)="","",INDEX(Tasks[Task Name],78))</ns0:f>
      </ns0:c>
      <ns0:c r="D84" s="18" t="str">
        <ns0:f>IF(INDEX(Tasks[Task ID],78)="","",INDEX(Tasks[Start Date],78))</ns0:f>
      </ns0:c>
      <ns0:c r="E84" s="18" t="str">
        <ns0:f>IF(INDEX(Tasks[Task ID],78)="","",INDEX(Tasks[End Date],78))</ns0:f>
      </ns0:c>
      <ns0:c r="F84" s="8" t="str">
        <ns0:f>IF(INDEX(Tasks[Task ID],78)="","",INDEX(Tasks[Duration],78))</ns0:f>
      </ns0:c>
      <ns0:c r="G84" s="19" t="str">
        <ns0:f>IF(INDEX(Tasks[Task ID],78)="","",INDEX(Tasks[Progress %],78))</ns0:f>
      </ns0:c>
      <ns0:c r="H84" s="8" t="str">
        <ns0:f>IF(INDEX(Tasks[Task ID],78)="","",INDEX('Project Tracker'!$Q$7:$Q$106,78))</ns0:f>
      </ns0:c>
      <ns0:c r="I84" s="8" t="str">
        <ns0:f>IF(INDEX(Tasks[Task ID],78)="","",INDEX(Tasks[Milestone],78))</ns0:f>
      </ns0:c>
      <ns0:c r="J84" s="8" t="str">
        <ns0:f>IF(INDEX(Tasks[Task ID],78)="","",INDEX(Tasks[Schedule Health],78))</ns0:f>
      </ns0:c>
      <ns0:c r="K84" s="22" t="str">
        <ns0:f>IF($A84="","",IF($I84="Yes",IF(K$6=$D84,"◆",""),IF(AND(K$6&gt;=$D84,K$6&lt;=$E84),MAX(0,MIN(1,$G84*$F84-(K$6-$D84))),"")))</ns0:f>
      </ns0:c>
      <ns0:c r="L84" s="22" t="str">
        <ns0:f>IF($A84="","",IF($I84="Yes",IF(L$6=$D84,"◆",""),IF(AND(L$6&gt;=$D84,L$6&lt;=$E84),MAX(0,MIN(1,$G84*$F84-(L$6-$D84))),"")))</ns0:f>
      </ns0:c>
      <ns0:c r="M84" s="22" t="str">
        <ns0:f>IF($A84="","",IF($I84="Yes",IF(M$6=$D84,"◆",""),IF(AND(M$6&gt;=$D84,M$6&lt;=$E84),MAX(0,MIN(1,$G84*$F84-(M$6-$D84))),"")))</ns0:f>
      </ns0:c>
      <ns0:c r="N84" s="22" t="str">
        <ns0:f>IF($A84="","",IF($I84="Yes",IF(N$6=$D84,"◆",""),IF(AND(N$6&gt;=$D84,N$6&lt;=$E84),MAX(0,MIN(1,$G84*$F84-(N$6-$D84))),"")))</ns0:f>
      </ns0:c>
      <ns0:c r="O84" s="22" t="str">
        <ns0:f>IF($A84="","",IF($I84="Yes",IF(O$6=$D84,"◆",""),IF(AND(O$6&gt;=$D84,O$6&lt;=$E84),MAX(0,MIN(1,$G84*$F84-(O$6-$D84))),"")))</ns0:f>
      </ns0:c>
      <ns0:c r="P84" s="22" t="str">
        <ns0:f>IF($A84="","",IF($I84="Yes",IF(P$6=$D84,"◆",""),IF(AND(P$6&gt;=$D84,P$6&lt;=$E84),MAX(0,MIN(1,$G84*$F84-(P$6-$D84))),"")))</ns0:f>
      </ns0:c>
      <ns0:c r="Q84" s="22" t="str">
        <ns0:f>IF($A84="","",IF($I84="Yes",IF(Q$6=$D84,"◆",""),IF(AND(Q$6&gt;=$D84,Q$6&lt;=$E84),MAX(0,MIN(1,$G84*$F84-(Q$6-$D84))),"")))</ns0:f>
      </ns0:c>
      <ns0:c r="R84" s="22" t="str">
        <ns0:f>IF($A84="","",IF($I84="Yes",IF(R$6=$D84,"◆",""),IF(AND(R$6&gt;=$D84,R$6&lt;=$E84),MAX(0,MIN(1,$G84*$F84-(R$6-$D84))),"")))</ns0:f>
      </ns0:c>
      <ns0:c r="S84" s="22" t="str">
        <ns0:f>IF($A84="","",IF($I84="Yes",IF(S$6=$D84,"◆",""),IF(AND(S$6&gt;=$D84,S$6&lt;=$E84),MAX(0,MIN(1,$G84*$F84-(S$6-$D84))),"")))</ns0:f>
      </ns0:c>
      <ns0:c r="T84" s="22" t="str">
        <ns0:f>IF($A84="","",IF($I84="Yes",IF(T$6=$D84,"◆",""),IF(AND(T$6&gt;=$D84,T$6&lt;=$E84),MAX(0,MIN(1,$G84*$F84-(T$6-$D84))),"")))</ns0:f>
      </ns0:c>
      <ns0:c r="U84" s="22" t="str">
        <ns0:f>IF($A84="","",IF($I84="Yes",IF(U$6=$D84,"◆",""),IF(AND(U$6&gt;=$D84,U$6&lt;=$E84),MAX(0,MIN(1,$G84*$F84-(U$6-$D84))),"")))</ns0:f>
      </ns0:c>
      <ns0:c r="V84" s="22" t="str">
        <ns0:f>IF($A84="","",IF($I84="Yes",IF(V$6=$D84,"◆",""),IF(AND(V$6&gt;=$D84,V$6&lt;=$E84),MAX(0,MIN(1,$G84*$F84-(V$6-$D84))),"")))</ns0:f>
      </ns0:c>
      <ns0:c r="W84" s="22" t="str">
        <ns0:f>IF($A84="","",IF($I84="Yes",IF(W$6=$D84,"◆",""),IF(AND(W$6&gt;=$D84,W$6&lt;=$E84),MAX(0,MIN(1,$G84*$F84-(W$6-$D84))),"")))</ns0:f>
      </ns0:c>
      <ns0:c r="X84" s="22" t="str">
        <ns0:f>IF($A84="","",IF($I84="Yes",IF(X$6=$D84,"◆",""),IF(AND(X$6&gt;=$D84,X$6&lt;=$E84),MAX(0,MIN(1,$G84*$F84-(X$6-$D84))),"")))</ns0:f>
      </ns0:c>
      <ns0:c r="Y84" s="22" t="str">
        <ns0:f>IF($A84="","",IF($I84="Yes",IF(Y$6=$D84,"◆",""),IF(AND(Y$6&gt;=$D84,Y$6&lt;=$E84),MAX(0,MIN(1,$G84*$F84-(Y$6-$D84))),"")))</ns0:f>
      </ns0:c>
      <ns0:c r="Z84" s="22" t="str">
        <ns0:f>IF($A84="","",IF($I84="Yes",IF(Z$6=$D84,"◆",""),IF(AND(Z$6&gt;=$D84,Z$6&lt;=$E84),MAX(0,MIN(1,$G84*$F84-(Z$6-$D84))),"")))</ns0:f>
      </ns0:c>
      <ns0:c r="AA84" s="22" t="str">
        <ns0:f>IF($A84="","",IF($I84="Yes",IF(AA$6=$D84,"◆",""),IF(AND(AA$6&gt;=$D84,AA$6&lt;=$E84),MAX(0,MIN(1,$G84*$F84-(AA$6-$D84))),"")))</ns0:f>
      </ns0:c>
      <ns0:c r="AB84" s="22" t="str">
        <ns0:f>IF($A84="","",IF($I84="Yes",IF(AB$6=$D84,"◆",""),IF(AND(AB$6&gt;=$D84,AB$6&lt;=$E84),MAX(0,MIN(1,$G84*$F84-(AB$6-$D84))),"")))</ns0:f>
      </ns0:c>
      <ns0:c r="AC84" s="22" t="str">
        <ns0:f>IF($A84="","",IF($I84="Yes",IF(AC$6=$D84,"◆",""),IF(AND(AC$6&gt;=$D84,AC$6&lt;=$E84),MAX(0,MIN(1,$G84*$F84-(AC$6-$D84))),"")))</ns0:f>
      </ns0:c>
      <ns0:c r="AD84" s="22" t="str">
        <ns0:f>IF($A84="","",IF($I84="Yes",IF(AD$6=$D84,"◆",""),IF(AND(AD$6&gt;=$D84,AD$6&lt;=$E84),MAX(0,MIN(1,$G84*$F84-(AD$6-$D84))),"")))</ns0:f>
      </ns0:c>
      <ns0:c r="AE84" s="22" t="str">
        <ns0:f>IF($A84="","",IF($I84="Yes",IF(AE$6=$D84,"◆",""),IF(AND(AE$6&gt;=$D84,AE$6&lt;=$E84),MAX(0,MIN(1,$G84*$F84-(AE$6-$D84))),"")))</ns0:f>
      </ns0:c>
      <ns0:c r="AF84" s="22" t="str">
        <ns0:f>IF($A84="","",IF($I84="Yes",IF(AF$6=$D84,"◆",""),IF(AND(AF$6&gt;=$D84,AF$6&lt;=$E84),MAX(0,MIN(1,$G84*$F84-(AF$6-$D84))),"")))</ns0:f>
      </ns0:c>
      <ns0:c r="AG84" s="22" t="str">
        <ns0:f>IF($A84="","",IF($I84="Yes",IF(AG$6=$D84,"◆",""),IF(AND(AG$6&gt;=$D84,AG$6&lt;=$E84),MAX(0,MIN(1,$G84*$F84-(AG$6-$D84))),"")))</ns0:f>
      </ns0:c>
      <ns0:c r="AH84" s="22" t="str">
        <ns0:f>IF($A84="","",IF($I84="Yes",IF(AH$6=$D84,"◆",""),IF(AND(AH$6&gt;=$D84,AH$6&lt;=$E84),MAX(0,MIN(1,$G84*$F84-(AH$6-$D84))),"")))</ns0:f>
      </ns0:c>
      <ns0:c r="AI84" s="22" t="str">
        <ns0:f>IF($A84="","",IF($I84="Yes",IF(AI$6=$D84,"◆",""),IF(AND(AI$6&gt;=$D84,AI$6&lt;=$E84),MAX(0,MIN(1,$G84*$F84-(AI$6-$D84))),"")))</ns0:f>
      </ns0:c>
      <ns0:c r="AJ84" s="22" t="str">
        <ns0:f>IF($A84="","",IF($I84="Yes",IF(AJ$6=$D84,"◆",""),IF(AND(AJ$6&gt;=$D84,AJ$6&lt;=$E84),MAX(0,MIN(1,$G84*$F84-(AJ$6-$D84))),"")))</ns0:f>
      </ns0:c>
      <ns0:c r="AK84" s="22" t="str">
        <ns0:f>IF($A84="","",IF($I84="Yes",IF(AK$6=$D84,"◆",""),IF(AND(AK$6&gt;=$D84,AK$6&lt;=$E84),MAX(0,MIN(1,$G84*$F84-(AK$6-$D84))),"")))</ns0:f>
      </ns0:c>
      <ns0:c r="AL84" s="22" t="str">
        <ns0:f>IF($A84="","",IF($I84="Yes",IF(AL$6=$D84,"◆",""),IF(AND(AL$6&gt;=$D84,AL$6&lt;=$E84),MAX(0,MIN(1,$G84*$F84-(AL$6-$D84))),"")))</ns0:f>
      </ns0:c>
      <ns0:c r="AM84" s="22" t="str">
        <ns0:f>IF($A84="","",IF($I84="Yes",IF(AM$6=$D84,"◆",""),IF(AND(AM$6&gt;=$D84,AM$6&lt;=$E84),MAX(0,MIN(1,$G84*$F84-(AM$6-$D84))),"")))</ns0:f>
      </ns0:c>
      <ns0:c r="AN84" s="22" t="str">
        <ns0:f>IF($A84="","",IF($I84="Yes",IF(AN$6=$D84,"◆",""),IF(AND(AN$6&gt;=$D84,AN$6&lt;=$E84),MAX(0,MIN(1,$G84*$F84-(AN$6-$D84))),"")))</ns0:f>
      </ns0:c>
      <ns0:c r="AO84" s="22" t="str">
        <ns0:f>IF($A84="","",IF($I84="Yes",IF(AO$6=$D84,"◆",""),IF(AND(AO$6&gt;=$D84,AO$6&lt;=$E84),MAX(0,MIN(1,$G84*$F84-(AO$6-$D84))),"")))</ns0:f>
      </ns0:c>
      <ns0:c r="AP84" s="22" t="str">
        <ns0:f>IF($A84="","",IF($I84="Yes",IF(AP$6=$D84,"◆",""),IF(AND(AP$6&gt;=$D84,AP$6&lt;=$E84),MAX(0,MIN(1,$G84*$F84-(AP$6-$D84))),"")))</ns0:f>
      </ns0:c>
      <ns0:c r="AQ84" s="22" t="str">
        <ns0:f>IF($A84="","",IF($I84="Yes",IF(AQ$6=$D84,"◆",""),IF(AND(AQ$6&gt;=$D84,AQ$6&lt;=$E84),MAX(0,MIN(1,$G84*$F84-(AQ$6-$D84))),"")))</ns0:f>
      </ns0:c>
      <ns0:c r="AR84" s="22" t="str">
        <ns0:f>IF($A84="","",IF($I84="Yes",IF(AR$6=$D84,"◆",""),IF(AND(AR$6&gt;=$D84,AR$6&lt;=$E84),MAX(0,MIN(1,$G84*$F84-(AR$6-$D84))),"")))</ns0:f>
      </ns0:c>
    </ns0:row>
    <ns0:row r="85" ht="48" customHeight="1">
      <ns0:c r="A85" s="8" t="str">
        <ns0:f>IF(INDEX(Tasks[Task ID],79)="","",INDEX(Tasks[Task ID],79))</ns0:f>
      </ns0:c>
      <ns0:c r="B85" s="8" t="str">
        <ns0:f>IF(INDEX(Tasks[Task ID],79)="","",INDEX(Tasks[Phase],79))</ns0:f>
      </ns0:c>
      <ns0:c r="C85" s="8" t="str">
        <ns0:f>IF(INDEX(Tasks[Task ID],79)="","",INDEX(Tasks[Task Name],79))</ns0:f>
      </ns0:c>
      <ns0:c r="D85" s="18" t="str">
        <ns0:f>IF(INDEX(Tasks[Task ID],79)="","",INDEX(Tasks[Start Date],79))</ns0:f>
      </ns0:c>
      <ns0:c r="E85" s="18" t="str">
        <ns0:f>IF(INDEX(Tasks[Task ID],79)="","",INDEX(Tasks[End Date],79))</ns0:f>
      </ns0:c>
      <ns0:c r="F85" s="8" t="str">
        <ns0:f>IF(INDEX(Tasks[Task ID],79)="","",INDEX(Tasks[Duration],79))</ns0:f>
      </ns0:c>
      <ns0:c r="G85" s="19" t="str">
        <ns0:f>IF(INDEX(Tasks[Task ID],79)="","",INDEX(Tasks[Progress %],79))</ns0:f>
      </ns0:c>
      <ns0:c r="H85" s="8" t="str">
        <ns0:f>IF(INDEX(Tasks[Task ID],79)="","",INDEX('Project Tracker'!$Q$7:$Q$106,79))</ns0:f>
      </ns0:c>
      <ns0:c r="I85" s="8" t="str">
        <ns0:f>IF(INDEX(Tasks[Task ID],79)="","",INDEX(Tasks[Milestone],79))</ns0:f>
      </ns0:c>
      <ns0:c r="J85" s="8" t="str">
        <ns0:f>IF(INDEX(Tasks[Task ID],79)="","",INDEX(Tasks[Schedule Health],79))</ns0:f>
      </ns0:c>
      <ns0:c r="K85" s="22" t="str">
        <ns0:f>IF($A85="","",IF($I85="Yes",IF(K$6=$D85,"◆",""),IF(AND(K$6&gt;=$D85,K$6&lt;=$E85),MAX(0,MIN(1,$G85*$F85-(K$6-$D85))),"")))</ns0:f>
      </ns0:c>
      <ns0:c r="L85" s="22" t="str">
        <ns0:f>IF($A85="","",IF($I85="Yes",IF(L$6=$D85,"◆",""),IF(AND(L$6&gt;=$D85,L$6&lt;=$E85),MAX(0,MIN(1,$G85*$F85-(L$6-$D85))),"")))</ns0:f>
      </ns0:c>
      <ns0:c r="M85" s="22" t="str">
        <ns0:f>IF($A85="","",IF($I85="Yes",IF(M$6=$D85,"◆",""),IF(AND(M$6&gt;=$D85,M$6&lt;=$E85),MAX(0,MIN(1,$G85*$F85-(M$6-$D85))),"")))</ns0:f>
      </ns0:c>
      <ns0:c r="N85" s="22" t="str">
        <ns0:f>IF($A85="","",IF($I85="Yes",IF(N$6=$D85,"◆",""),IF(AND(N$6&gt;=$D85,N$6&lt;=$E85),MAX(0,MIN(1,$G85*$F85-(N$6-$D85))),"")))</ns0:f>
      </ns0:c>
      <ns0:c r="O85" s="22" t="str">
        <ns0:f>IF($A85="","",IF($I85="Yes",IF(O$6=$D85,"◆",""),IF(AND(O$6&gt;=$D85,O$6&lt;=$E85),MAX(0,MIN(1,$G85*$F85-(O$6-$D85))),"")))</ns0:f>
      </ns0:c>
      <ns0:c r="P85" s="22" t="str">
        <ns0:f>IF($A85="","",IF($I85="Yes",IF(P$6=$D85,"◆",""),IF(AND(P$6&gt;=$D85,P$6&lt;=$E85),MAX(0,MIN(1,$G85*$F85-(P$6-$D85))),"")))</ns0:f>
      </ns0:c>
      <ns0:c r="Q85" s="22" t="str">
        <ns0:f>IF($A85="","",IF($I85="Yes",IF(Q$6=$D85,"◆",""),IF(AND(Q$6&gt;=$D85,Q$6&lt;=$E85),MAX(0,MIN(1,$G85*$F85-(Q$6-$D85))),"")))</ns0:f>
      </ns0:c>
      <ns0:c r="R85" s="22" t="str">
        <ns0:f>IF($A85="","",IF($I85="Yes",IF(R$6=$D85,"◆",""),IF(AND(R$6&gt;=$D85,R$6&lt;=$E85),MAX(0,MIN(1,$G85*$F85-(R$6-$D85))),"")))</ns0:f>
      </ns0:c>
      <ns0:c r="S85" s="22" t="str">
        <ns0:f>IF($A85="","",IF($I85="Yes",IF(S$6=$D85,"◆",""),IF(AND(S$6&gt;=$D85,S$6&lt;=$E85),MAX(0,MIN(1,$G85*$F85-(S$6-$D85))),"")))</ns0:f>
      </ns0:c>
      <ns0:c r="T85" s="22" t="str">
        <ns0:f>IF($A85="","",IF($I85="Yes",IF(T$6=$D85,"◆",""),IF(AND(T$6&gt;=$D85,T$6&lt;=$E85),MAX(0,MIN(1,$G85*$F85-(T$6-$D85))),"")))</ns0:f>
      </ns0:c>
      <ns0:c r="U85" s="22" t="str">
        <ns0:f>IF($A85="","",IF($I85="Yes",IF(U$6=$D85,"◆",""),IF(AND(U$6&gt;=$D85,U$6&lt;=$E85),MAX(0,MIN(1,$G85*$F85-(U$6-$D85))),"")))</ns0:f>
      </ns0:c>
      <ns0:c r="V85" s="22" t="str">
        <ns0:f>IF($A85="","",IF($I85="Yes",IF(V$6=$D85,"◆",""),IF(AND(V$6&gt;=$D85,V$6&lt;=$E85),MAX(0,MIN(1,$G85*$F85-(V$6-$D85))),"")))</ns0:f>
      </ns0:c>
      <ns0:c r="W85" s="22" t="str">
        <ns0:f>IF($A85="","",IF($I85="Yes",IF(W$6=$D85,"◆",""),IF(AND(W$6&gt;=$D85,W$6&lt;=$E85),MAX(0,MIN(1,$G85*$F85-(W$6-$D85))),"")))</ns0:f>
      </ns0:c>
      <ns0:c r="X85" s="22" t="str">
        <ns0:f>IF($A85="","",IF($I85="Yes",IF(X$6=$D85,"◆",""),IF(AND(X$6&gt;=$D85,X$6&lt;=$E85),MAX(0,MIN(1,$G85*$F85-(X$6-$D85))),"")))</ns0:f>
      </ns0:c>
      <ns0:c r="Y85" s="22" t="str">
        <ns0:f>IF($A85="","",IF($I85="Yes",IF(Y$6=$D85,"◆",""),IF(AND(Y$6&gt;=$D85,Y$6&lt;=$E85),MAX(0,MIN(1,$G85*$F85-(Y$6-$D85))),"")))</ns0:f>
      </ns0:c>
      <ns0:c r="Z85" s="22" t="str">
        <ns0:f>IF($A85="","",IF($I85="Yes",IF(Z$6=$D85,"◆",""),IF(AND(Z$6&gt;=$D85,Z$6&lt;=$E85),MAX(0,MIN(1,$G85*$F85-(Z$6-$D85))),"")))</ns0:f>
      </ns0:c>
      <ns0:c r="AA85" s="22" t="str">
        <ns0:f>IF($A85="","",IF($I85="Yes",IF(AA$6=$D85,"◆",""),IF(AND(AA$6&gt;=$D85,AA$6&lt;=$E85),MAX(0,MIN(1,$G85*$F85-(AA$6-$D85))),"")))</ns0:f>
      </ns0:c>
      <ns0:c r="AB85" s="22" t="str">
        <ns0:f>IF($A85="","",IF($I85="Yes",IF(AB$6=$D85,"◆",""),IF(AND(AB$6&gt;=$D85,AB$6&lt;=$E85),MAX(0,MIN(1,$G85*$F85-(AB$6-$D85))),"")))</ns0:f>
      </ns0:c>
      <ns0:c r="AC85" s="22" t="str">
        <ns0:f>IF($A85="","",IF($I85="Yes",IF(AC$6=$D85,"◆",""),IF(AND(AC$6&gt;=$D85,AC$6&lt;=$E85),MAX(0,MIN(1,$G85*$F85-(AC$6-$D85))),"")))</ns0:f>
      </ns0:c>
      <ns0:c r="AD85" s="22" t="str">
        <ns0:f>IF($A85="","",IF($I85="Yes",IF(AD$6=$D85,"◆",""),IF(AND(AD$6&gt;=$D85,AD$6&lt;=$E85),MAX(0,MIN(1,$G85*$F85-(AD$6-$D85))),"")))</ns0:f>
      </ns0:c>
      <ns0:c r="AE85" s="22" t="str">
        <ns0:f>IF($A85="","",IF($I85="Yes",IF(AE$6=$D85,"◆",""),IF(AND(AE$6&gt;=$D85,AE$6&lt;=$E85),MAX(0,MIN(1,$G85*$F85-(AE$6-$D85))),"")))</ns0:f>
      </ns0:c>
      <ns0:c r="AF85" s="22" t="str">
        <ns0:f>IF($A85="","",IF($I85="Yes",IF(AF$6=$D85,"◆",""),IF(AND(AF$6&gt;=$D85,AF$6&lt;=$E85),MAX(0,MIN(1,$G85*$F85-(AF$6-$D85))),"")))</ns0:f>
      </ns0:c>
      <ns0:c r="AG85" s="22" t="str">
        <ns0:f>IF($A85="","",IF($I85="Yes",IF(AG$6=$D85,"◆",""),IF(AND(AG$6&gt;=$D85,AG$6&lt;=$E85),MAX(0,MIN(1,$G85*$F85-(AG$6-$D85))),"")))</ns0:f>
      </ns0:c>
      <ns0:c r="AH85" s="22" t="str">
        <ns0:f>IF($A85="","",IF($I85="Yes",IF(AH$6=$D85,"◆",""),IF(AND(AH$6&gt;=$D85,AH$6&lt;=$E85),MAX(0,MIN(1,$G85*$F85-(AH$6-$D85))),"")))</ns0:f>
      </ns0:c>
      <ns0:c r="AI85" s="22" t="str">
        <ns0:f>IF($A85="","",IF($I85="Yes",IF(AI$6=$D85,"◆",""),IF(AND(AI$6&gt;=$D85,AI$6&lt;=$E85),MAX(0,MIN(1,$G85*$F85-(AI$6-$D85))),"")))</ns0:f>
      </ns0:c>
      <ns0:c r="AJ85" s="22" t="str">
        <ns0:f>IF($A85="","",IF($I85="Yes",IF(AJ$6=$D85,"◆",""),IF(AND(AJ$6&gt;=$D85,AJ$6&lt;=$E85),MAX(0,MIN(1,$G85*$F85-(AJ$6-$D85))),"")))</ns0:f>
      </ns0:c>
      <ns0:c r="AK85" s="22" t="str">
        <ns0:f>IF($A85="","",IF($I85="Yes",IF(AK$6=$D85,"◆",""),IF(AND(AK$6&gt;=$D85,AK$6&lt;=$E85),MAX(0,MIN(1,$G85*$F85-(AK$6-$D85))),"")))</ns0:f>
      </ns0:c>
      <ns0:c r="AL85" s="22" t="str">
        <ns0:f>IF($A85="","",IF($I85="Yes",IF(AL$6=$D85,"◆",""),IF(AND(AL$6&gt;=$D85,AL$6&lt;=$E85),MAX(0,MIN(1,$G85*$F85-(AL$6-$D85))),"")))</ns0:f>
      </ns0:c>
      <ns0:c r="AM85" s="22" t="str">
        <ns0:f>IF($A85="","",IF($I85="Yes",IF(AM$6=$D85,"◆",""),IF(AND(AM$6&gt;=$D85,AM$6&lt;=$E85),MAX(0,MIN(1,$G85*$F85-(AM$6-$D85))),"")))</ns0:f>
      </ns0:c>
      <ns0:c r="AN85" s="22" t="str">
        <ns0:f>IF($A85="","",IF($I85="Yes",IF(AN$6=$D85,"◆",""),IF(AND(AN$6&gt;=$D85,AN$6&lt;=$E85),MAX(0,MIN(1,$G85*$F85-(AN$6-$D85))),"")))</ns0:f>
      </ns0:c>
      <ns0:c r="AO85" s="22" t="str">
        <ns0:f>IF($A85="","",IF($I85="Yes",IF(AO$6=$D85,"◆",""),IF(AND(AO$6&gt;=$D85,AO$6&lt;=$E85),MAX(0,MIN(1,$G85*$F85-(AO$6-$D85))),"")))</ns0:f>
      </ns0:c>
      <ns0:c r="AP85" s="22" t="str">
        <ns0:f>IF($A85="","",IF($I85="Yes",IF(AP$6=$D85,"◆",""),IF(AND(AP$6&gt;=$D85,AP$6&lt;=$E85),MAX(0,MIN(1,$G85*$F85-(AP$6-$D85))),"")))</ns0:f>
      </ns0:c>
      <ns0:c r="AQ85" s="22" t="str">
        <ns0:f>IF($A85="","",IF($I85="Yes",IF(AQ$6=$D85,"◆",""),IF(AND(AQ$6&gt;=$D85,AQ$6&lt;=$E85),MAX(0,MIN(1,$G85*$F85-(AQ$6-$D85))),"")))</ns0:f>
      </ns0:c>
      <ns0:c r="AR85" s="22" t="str">
        <ns0:f>IF($A85="","",IF($I85="Yes",IF(AR$6=$D85,"◆",""),IF(AND(AR$6&gt;=$D85,AR$6&lt;=$E85),MAX(0,MIN(1,$G85*$F85-(AR$6-$D85))),"")))</ns0:f>
      </ns0:c>
    </ns0:row>
    <ns0:row r="86" ht="48" customHeight="1">
      <ns0:c r="A86" s="8" t="str">
        <ns0:f>IF(INDEX(Tasks[Task ID],80)="","",INDEX(Tasks[Task ID],80))</ns0:f>
      </ns0:c>
      <ns0:c r="B86" s="8" t="str">
        <ns0:f>IF(INDEX(Tasks[Task ID],80)="","",INDEX(Tasks[Phase],80))</ns0:f>
      </ns0:c>
      <ns0:c r="C86" s="8" t="str">
        <ns0:f>IF(INDEX(Tasks[Task ID],80)="","",INDEX(Tasks[Task Name],80))</ns0:f>
      </ns0:c>
      <ns0:c r="D86" s="18" t="str">
        <ns0:f>IF(INDEX(Tasks[Task ID],80)="","",INDEX(Tasks[Start Date],80))</ns0:f>
      </ns0:c>
      <ns0:c r="E86" s="18" t="str">
        <ns0:f>IF(INDEX(Tasks[Task ID],80)="","",INDEX(Tasks[End Date],80))</ns0:f>
      </ns0:c>
      <ns0:c r="F86" s="8" t="str">
        <ns0:f>IF(INDEX(Tasks[Task ID],80)="","",INDEX(Tasks[Duration],80))</ns0:f>
      </ns0:c>
      <ns0:c r="G86" s="19" t="str">
        <ns0:f>IF(INDEX(Tasks[Task ID],80)="","",INDEX(Tasks[Progress %],80))</ns0:f>
      </ns0:c>
      <ns0:c r="H86" s="8" t="str">
        <ns0:f>IF(INDEX(Tasks[Task ID],80)="","",INDEX('Project Tracker'!$Q$7:$Q$106,80))</ns0:f>
      </ns0:c>
      <ns0:c r="I86" s="8" t="str">
        <ns0:f>IF(INDEX(Tasks[Task ID],80)="","",INDEX(Tasks[Milestone],80))</ns0:f>
      </ns0:c>
      <ns0:c r="J86" s="8" t="str">
        <ns0:f>IF(INDEX(Tasks[Task ID],80)="","",INDEX(Tasks[Schedule Health],80))</ns0:f>
      </ns0:c>
      <ns0:c r="K86" s="22" t="str">
        <ns0:f>IF($A86="","",IF($I86="Yes",IF(K$6=$D86,"◆",""),IF(AND(K$6&gt;=$D86,K$6&lt;=$E86),MAX(0,MIN(1,$G86*$F86-(K$6-$D86))),"")))</ns0:f>
      </ns0:c>
      <ns0:c r="L86" s="22" t="str">
        <ns0:f>IF($A86="","",IF($I86="Yes",IF(L$6=$D86,"◆",""),IF(AND(L$6&gt;=$D86,L$6&lt;=$E86),MAX(0,MIN(1,$G86*$F86-(L$6-$D86))),"")))</ns0:f>
      </ns0:c>
      <ns0:c r="M86" s="22" t="str">
        <ns0:f>IF($A86="","",IF($I86="Yes",IF(M$6=$D86,"◆",""),IF(AND(M$6&gt;=$D86,M$6&lt;=$E86),MAX(0,MIN(1,$G86*$F86-(M$6-$D86))),"")))</ns0:f>
      </ns0:c>
      <ns0:c r="N86" s="22" t="str">
        <ns0:f>IF($A86="","",IF($I86="Yes",IF(N$6=$D86,"◆",""),IF(AND(N$6&gt;=$D86,N$6&lt;=$E86),MAX(0,MIN(1,$G86*$F86-(N$6-$D86))),"")))</ns0:f>
      </ns0:c>
      <ns0:c r="O86" s="22" t="str">
        <ns0:f>IF($A86="","",IF($I86="Yes",IF(O$6=$D86,"◆",""),IF(AND(O$6&gt;=$D86,O$6&lt;=$E86),MAX(0,MIN(1,$G86*$F86-(O$6-$D86))),"")))</ns0:f>
      </ns0:c>
      <ns0:c r="P86" s="22" t="str">
        <ns0:f>IF($A86="","",IF($I86="Yes",IF(P$6=$D86,"◆",""),IF(AND(P$6&gt;=$D86,P$6&lt;=$E86),MAX(0,MIN(1,$G86*$F86-(P$6-$D86))),"")))</ns0:f>
      </ns0:c>
      <ns0:c r="Q86" s="22" t="str">
        <ns0:f>IF($A86="","",IF($I86="Yes",IF(Q$6=$D86,"◆",""),IF(AND(Q$6&gt;=$D86,Q$6&lt;=$E86),MAX(0,MIN(1,$G86*$F86-(Q$6-$D86))),"")))</ns0:f>
      </ns0:c>
      <ns0:c r="R86" s="22" t="str">
        <ns0:f>IF($A86="","",IF($I86="Yes",IF(R$6=$D86,"◆",""),IF(AND(R$6&gt;=$D86,R$6&lt;=$E86),MAX(0,MIN(1,$G86*$F86-(R$6-$D86))),"")))</ns0:f>
      </ns0:c>
      <ns0:c r="S86" s="22" t="str">
        <ns0:f>IF($A86="","",IF($I86="Yes",IF(S$6=$D86,"◆",""),IF(AND(S$6&gt;=$D86,S$6&lt;=$E86),MAX(0,MIN(1,$G86*$F86-(S$6-$D86))),"")))</ns0:f>
      </ns0:c>
      <ns0:c r="T86" s="22" t="str">
        <ns0:f>IF($A86="","",IF($I86="Yes",IF(T$6=$D86,"◆",""),IF(AND(T$6&gt;=$D86,T$6&lt;=$E86),MAX(0,MIN(1,$G86*$F86-(T$6-$D86))),"")))</ns0:f>
      </ns0:c>
      <ns0:c r="U86" s="22" t="str">
        <ns0:f>IF($A86="","",IF($I86="Yes",IF(U$6=$D86,"◆",""),IF(AND(U$6&gt;=$D86,U$6&lt;=$E86),MAX(0,MIN(1,$G86*$F86-(U$6-$D86))),"")))</ns0:f>
      </ns0:c>
      <ns0:c r="V86" s="22" t="str">
        <ns0:f>IF($A86="","",IF($I86="Yes",IF(V$6=$D86,"◆",""),IF(AND(V$6&gt;=$D86,V$6&lt;=$E86),MAX(0,MIN(1,$G86*$F86-(V$6-$D86))),"")))</ns0:f>
      </ns0:c>
      <ns0:c r="W86" s="22" t="str">
        <ns0:f>IF($A86="","",IF($I86="Yes",IF(W$6=$D86,"◆",""),IF(AND(W$6&gt;=$D86,W$6&lt;=$E86),MAX(0,MIN(1,$G86*$F86-(W$6-$D86))),"")))</ns0:f>
      </ns0:c>
      <ns0:c r="X86" s="22" t="str">
        <ns0:f>IF($A86="","",IF($I86="Yes",IF(X$6=$D86,"◆",""),IF(AND(X$6&gt;=$D86,X$6&lt;=$E86),MAX(0,MIN(1,$G86*$F86-(X$6-$D86))),"")))</ns0:f>
      </ns0:c>
      <ns0:c r="Y86" s="22" t="str">
        <ns0:f>IF($A86="","",IF($I86="Yes",IF(Y$6=$D86,"◆",""),IF(AND(Y$6&gt;=$D86,Y$6&lt;=$E86),MAX(0,MIN(1,$G86*$F86-(Y$6-$D86))),"")))</ns0:f>
      </ns0:c>
      <ns0:c r="Z86" s="22" t="str">
        <ns0:f>IF($A86="","",IF($I86="Yes",IF(Z$6=$D86,"◆",""),IF(AND(Z$6&gt;=$D86,Z$6&lt;=$E86),MAX(0,MIN(1,$G86*$F86-(Z$6-$D86))),"")))</ns0:f>
      </ns0:c>
      <ns0:c r="AA86" s="22" t="str">
        <ns0:f>IF($A86="","",IF($I86="Yes",IF(AA$6=$D86,"◆",""),IF(AND(AA$6&gt;=$D86,AA$6&lt;=$E86),MAX(0,MIN(1,$G86*$F86-(AA$6-$D86))),"")))</ns0:f>
      </ns0:c>
      <ns0:c r="AB86" s="22" t="str">
        <ns0:f>IF($A86="","",IF($I86="Yes",IF(AB$6=$D86,"◆",""),IF(AND(AB$6&gt;=$D86,AB$6&lt;=$E86),MAX(0,MIN(1,$G86*$F86-(AB$6-$D86))),"")))</ns0:f>
      </ns0:c>
      <ns0:c r="AC86" s="22" t="str">
        <ns0:f>IF($A86="","",IF($I86="Yes",IF(AC$6=$D86,"◆",""),IF(AND(AC$6&gt;=$D86,AC$6&lt;=$E86),MAX(0,MIN(1,$G86*$F86-(AC$6-$D86))),"")))</ns0:f>
      </ns0:c>
      <ns0:c r="AD86" s="22" t="str">
        <ns0:f>IF($A86="","",IF($I86="Yes",IF(AD$6=$D86,"◆",""),IF(AND(AD$6&gt;=$D86,AD$6&lt;=$E86),MAX(0,MIN(1,$G86*$F86-(AD$6-$D86))),"")))</ns0:f>
      </ns0:c>
      <ns0:c r="AE86" s="22" t="str">
        <ns0:f>IF($A86="","",IF($I86="Yes",IF(AE$6=$D86,"◆",""),IF(AND(AE$6&gt;=$D86,AE$6&lt;=$E86),MAX(0,MIN(1,$G86*$F86-(AE$6-$D86))),"")))</ns0:f>
      </ns0:c>
      <ns0:c r="AF86" s="22" t="str">
        <ns0:f>IF($A86="","",IF($I86="Yes",IF(AF$6=$D86,"◆",""),IF(AND(AF$6&gt;=$D86,AF$6&lt;=$E86),MAX(0,MIN(1,$G86*$F86-(AF$6-$D86))),"")))</ns0:f>
      </ns0:c>
      <ns0:c r="AG86" s="22" t="str">
        <ns0:f>IF($A86="","",IF($I86="Yes",IF(AG$6=$D86,"◆",""),IF(AND(AG$6&gt;=$D86,AG$6&lt;=$E86),MAX(0,MIN(1,$G86*$F86-(AG$6-$D86))),"")))</ns0:f>
      </ns0:c>
      <ns0:c r="AH86" s="22" t="str">
        <ns0:f>IF($A86="","",IF($I86="Yes",IF(AH$6=$D86,"◆",""),IF(AND(AH$6&gt;=$D86,AH$6&lt;=$E86),MAX(0,MIN(1,$G86*$F86-(AH$6-$D86))),"")))</ns0:f>
      </ns0:c>
      <ns0:c r="AI86" s="22" t="str">
        <ns0:f>IF($A86="","",IF($I86="Yes",IF(AI$6=$D86,"◆",""),IF(AND(AI$6&gt;=$D86,AI$6&lt;=$E86),MAX(0,MIN(1,$G86*$F86-(AI$6-$D86))),"")))</ns0:f>
      </ns0:c>
      <ns0:c r="AJ86" s="22" t="str">
        <ns0:f>IF($A86="","",IF($I86="Yes",IF(AJ$6=$D86,"◆",""),IF(AND(AJ$6&gt;=$D86,AJ$6&lt;=$E86),MAX(0,MIN(1,$G86*$F86-(AJ$6-$D86))),"")))</ns0:f>
      </ns0:c>
      <ns0:c r="AK86" s="22" t="str">
        <ns0:f>IF($A86="","",IF($I86="Yes",IF(AK$6=$D86,"◆",""),IF(AND(AK$6&gt;=$D86,AK$6&lt;=$E86),MAX(0,MIN(1,$G86*$F86-(AK$6-$D86))),"")))</ns0:f>
      </ns0:c>
      <ns0:c r="AL86" s="22" t="str">
        <ns0:f>IF($A86="","",IF($I86="Yes",IF(AL$6=$D86,"◆",""),IF(AND(AL$6&gt;=$D86,AL$6&lt;=$E86),MAX(0,MIN(1,$G86*$F86-(AL$6-$D86))),"")))</ns0:f>
      </ns0:c>
      <ns0:c r="AM86" s="22" t="str">
        <ns0:f>IF($A86="","",IF($I86="Yes",IF(AM$6=$D86,"◆",""),IF(AND(AM$6&gt;=$D86,AM$6&lt;=$E86),MAX(0,MIN(1,$G86*$F86-(AM$6-$D86))),"")))</ns0:f>
      </ns0:c>
      <ns0:c r="AN86" s="22" t="str">
        <ns0:f>IF($A86="","",IF($I86="Yes",IF(AN$6=$D86,"◆",""),IF(AND(AN$6&gt;=$D86,AN$6&lt;=$E86),MAX(0,MIN(1,$G86*$F86-(AN$6-$D86))),"")))</ns0:f>
      </ns0:c>
      <ns0:c r="AO86" s="22" t="str">
        <ns0:f>IF($A86="","",IF($I86="Yes",IF(AO$6=$D86,"◆",""),IF(AND(AO$6&gt;=$D86,AO$6&lt;=$E86),MAX(0,MIN(1,$G86*$F86-(AO$6-$D86))),"")))</ns0:f>
      </ns0:c>
      <ns0:c r="AP86" s="22" t="str">
        <ns0:f>IF($A86="","",IF($I86="Yes",IF(AP$6=$D86,"◆",""),IF(AND(AP$6&gt;=$D86,AP$6&lt;=$E86),MAX(0,MIN(1,$G86*$F86-(AP$6-$D86))),"")))</ns0:f>
      </ns0:c>
      <ns0:c r="AQ86" s="22" t="str">
        <ns0:f>IF($A86="","",IF($I86="Yes",IF(AQ$6=$D86,"◆",""),IF(AND(AQ$6&gt;=$D86,AQ$6&lt;=$E86),MAX(0,MIN(1,$G86*$F86-(AQ$6-$D86))),"")))</ns0:f>
      </ns0:c>
      <ns0:c r="AR86" s="22" t="str">
        <ns0:f>IF($A86="","",IF($I86="Yes",IF(AR$6=$D86,"◆",""),IF(AND(AR$6&gt;=$D86,AR$6&lt;=$E86),MAX(0,MIN(1,$G86*$F86-(AR$6-$D86))),"")))</ns0:f>
      </ns0:c>
    </ns0:row>
    <ns0:row r="87" ht="48" customHeight="1">
      <ns0:c r="A87" s="8" t="str">
        <ns0:f>IF(INDEX(Tasks[Task ID],81)="","",INDEX(Tasks[Task ID],81))</ns0:f>
      </ns0:c>
      <ns0:c r="B87" s="8" t="str">
        <ns0:f>IF(INDEX(Tasks[Task ID],81)="","",INDEX(Tasks[Phase],81))</ns0:f>
      </ns0:c>
      <ns0:c r="C87" s="8" t="str">
        <ns0:f>IF(INDEX(Tasks[Task ID],81)="","",INDEX(Tasks[Task Name],81))</ns0:f>
      </ns0:c>
      <ns0:c r="D87" s="18" t="str">
        <ns0:f>IF(INDEX(Tasks[Task ID],81)="","",INDEX(Tasks[Start Date],81))</ns0:f>
      </ns0:c>
      <ns0:c r="E87" s="18" t="str">
        <ns0:f>IF(INDEX(Tasks[Task ID],81)="","",INDEX(Tasks[End Date],81))</ns0:f>
      </ns0:c>
      <ns0:c r="F87" s="8" t="str">
        <ns0:f>IF(INDEX(Tasks[Task ID],81)="","",INDEX(Tasks[Duration],81))</ns0:f>
      </ns0:c>
      <ns0:c r="G87" s="19" t="str">
        <ns0:f>IF(INDEX(Tasks[Task ID],81)="","",INDEX(Tasks[Progress %],81))</ns0:f>
      </ns0:c>
      <ns0:c r="H87" s="8" t="str">
        <ns0:f>IF(INDEX(Tasks[Task ID],81)="","",INDEX('Project Tracker'!$Q$7:$Q$106,81))</ns0:f>
      </ns0:c>
      <ns0:c r="I87" s="8" t="str">
        <ns0:f>IF(INDEX(Tasks[Task ID],81)="","",INDEX(Tasks[Milestone],81))</ns0:f>
      </ns0:c>
      <ns0:c r="J87" s="8" t="str">
        <ns0:f>IF(INDEX(Tasks[Task ID],81)="","",INDEX(Tasks[Schedule Health],81))</ns0:f>
      </ns0:c>
      <ns0:c r="K87" s="22" t="str">
        <ns0:f>IF($A87="","",IF($I87="Yes",IF(K$6=$D87,"◆",""),IF(AND(K$6&gt;=$D87,K$6&lt;=$E87),MAX(0,MIN(1,$G87*$F87-(K$6-$D87))),"")))</ns0:f>
      </ns0:c>
      <ns0:c r="L87" s="22" t="str">
        <ns0:f>IF($A87="","",IF($I87="Yes",IF(L$6=$D87,"◆",""),IF(AND(L$6&gt;=$D87,L$6&lt;=$E87),MAX(0,MIN(1,$G87*$F87-(L$6-$D87))),"")))</ns0:f>
      </ns0:c>
      <ns0:c r="M87" s="22" t="str">
        <ns0:f>IF($A87="","",IF($I87="Yes",IF(M$6=$D87,"◆",""),IF(AND(M$6&gt;=$D87,M$6&lt;=$E87),MAX(0,MIN(1,$G87*$F87-(M$6-$D87))),"")))</ns0:f>
      </ns0:c>
      <ns0:c r="N87" s="22" t="str">
        <ns0:f>IF($A87="","",IF($I87="Yes",IF(N$6=$D87,"◆",""),IF(AND(N$6&gt;=$D87,N$6&lt;=$E87),MAX(0,MIN(1,$G87*$F87-(N$6-$D87))),"")))</ns0:f>
      </ns0:c>
      <ns0:c r="O87" s="22" t="str">
        <ns0:f>IF($A87="","",IF($I87="Yes",IF(O$6=$D87,"◆",""),IF(AND(O$6&gt;=$D87,O$6&lt;=$E87),MAX(0,MIN(1,$G87*$F87-(O$6-$D87))),"")))</ns0:f>
      </ns0:c>
      <ns0:c r="P87" s="22" t="str">
        <ns0:f>IF($A87="","",IF($I87="Yes",IF(P$6=$D87,"◆",""),IF(AND(P$6&gt;=$D87,P$6&lt;=$E87),MAX(0,MIN(1,$G87*$F87-(P$6-$D87))),"")))</ns0:f>
      </ns0:c>
      <ns0:c r="Q87" s="22" t="str">
        <ns0:f>IF($A87="","",IF($I87="Yes",IF(Q$6=$D87,"◆",""),IF(AND(Q$6&gt;=$D87,Q$6&lt;=$E87),MAX(0,MIN(1,$G87*$F87-(Q$6-$D87))),"")))</ns0:f>
      </ns0:c>
      <ns0:c r="R87" s="22" t="str">
        <ns0:f>IF($A87="","",IF($I87="Yes",IF(R$6=$D87,"◆",""),IF(AND(R$6&gt;=$D87,R$6&lt;=$E87),MAX(0,MIN(1,$G87*$F87-(R$6-$D87))),"")))</ns0:f>
      </ns0:c>
      <ns0:c r="S87" s="22" t="str">
        <ns0:f>IF($A87="","",IF($I87="Yes",IF(S$6=$D87,"◆",""),IF(AND(S$6&gt;=$D87,S$6&lt;=$E87),MAX(0,MIN(1,$G87*$F87-(S$6-$D87))),"")))</ns0:f>
      </ns0:c>
      <ns0:c r="T87" s="22" t="str">
        <ns0:f>IF($A87="","",IF($I87="Yes",IF(T$6=$D87,"◆",""),IF(AND(T$6&gt;=$D87,T$6&lt;=$E87),MAX(0,MIN(1,$G87*$F87-(T$6-$D87))),"")))</ns0:f>
      </ns0:c>
      <ns0:c r="U87" s="22" t="str">
        <ns0:f>IF($A87="","",IF($I87="Yes",IF(U$6=$D87,"◆",""),IF(AND(U$6&gt;=$D87,U$6&lt;=$E87),MAX(0,MIN(1,$G87*$F87-(U$6-$D87))),"")))</ns0:f>
      </ns0:c>
      <ns0:c r="V87" s="22" t="str">
        <ns0:f>IF($A87="","",IF($I87="Yes",IF(V$6=$D87,"◆",""),IF(AND(V$6&gt;=$D87,V$6&lt;=$E87),MAX(0,MIN(1,$G87*$F87-(V$6-$D87))),"")))</ns0:f>
      </ns0:c>
      <ns0:c r="W87" s="22" t="str">
        <ns0:f>IF($A87="","",IF($I87="Yes",IF(W$6=$D87,"◆",""),IF(AND(W$6&gt;=$D87,W$6&lt;=$E87),MAX(0,MIN(1,$G87*$F87-(W$6-$D87))),"")))</ns0:f>
      </ns0:c>
      <ns0:c r="X87" s="22" t="str">
        <ns0:f>IF($A87="","",IF($I87="Yes",IF(X$6=$D87,"◆",""),IF(AND(X$6&gt;=$D87,X$6&lt;=$E87),MAX(0,MIN(1,$G87*$F87-(X$6-$D87))),"")))</ns0:f>
      </ns0:c>
      <ns0:c r="Y87" s="22" t="str">
        <ns0:f>IF($A87="","",IF($I87="Yes",IF(Y$6=$D87,"◆",""),IF(AND(Y$6&gt;=$D87,Y$6&lt;=$E87),MAX(0,MIN(1,$G87*$F87-(Y$6-$D87))),"")))</ns0:f>
      </ns0:c>
      <ns0:c r="Z87" s="22" t="str">
        <ns0:f>IF($A87="","",IF($I87="Yes",IF(Z$6=$D87,"◆",""),IF(AND(Z$6&gt;=$D87,Z$6&lt;=$E87),MAX(0,MIN(1,$G87*$F87-(Z$6-$D87))),"")))</ns0:f>
      </ns0:c>
      <ns0:c r="AA87" s="22" t="str">
        <ns0:f>IF($A87="","",IF($I87="Yes",IF(AA$6=$D87,"◆",""),IF(AND(AA$6&gt;=$D87,AA$6&lt;=$E87),MAX(0,MIN(1,$G87*$F87-(AA$6-$D87))),"")))</ns0:f>
      </ns0:c>
      <ns0:c r="AB87" s="22" t="str">
        <ns0:f>IF($A87="","",IF($I87="Yes",IF(AB$6=$D87,"◆",""),IF(AND(AB$6&gt;=$D87,AB$6&lt;=$E87),MAX(0,MIN(1,$G87*$F87-(AB$6-$D87))),"")))</ns0:f>
      </ns0:c>
      <ns0:c r="AC87" s="22" t="str">
        <ns0:f>IF($A87="","",IF($I87="Yes",IF(AC$6=$D87,"◆",""),IF(AND(AC$6&gt;=$D87,AC$6&lt;=$E87),MAX(0,MIN(1,$G87*$F87-(AC$6-$D87))),"")))</ns0:f>
      </ns0:c>
      <ns0:c r="AD87" s="22" t="str">
        <ns0:f>IF($A87="","",IF($I87="Yes",IF(AD$6=$D87,"◆",""),IF(AND(AD$6&gt;=$D87,AD$6&lt;=$E87),MAX(0,MIN(1,$G87*$F87-(AD$6-$D87))),"")))</ns0:f>
      </ns0:c>
      <ns0:c r="AE87" s="22" t="str">
        <ns0:f>IF($A87="","",IF($I87="Yes",IF(AE$6=$D87,"◆",""),IF(AND(AE$6&gt;=$D87,AE$6&lt;=$E87),MAX(0,MIN(1,$G87*$F87-(AE$6-$D87))),"")))</ns0:f>
      </ns0:c>
      <ns0:c r="AF87" s="22" t="str">
        <ns0:f>IF($A87="","",IF($I87="Yes",IF(AF$6=$D87,"◆",""),IF(AND(AF$6&gt;=$D87,AF$6&lt;=$E87),MAX(0,MIN(1,$G87*$F87-(AF$6-$D87))),"")))</ns0:f>
      </ns0:c>
      <ns0:c r="AG87" s="22" t="str">
        <ns0:f>IF($A87="","",IF($I87="Yes",IF(AG$6=$D87,"◆",""),IF(AND(AG$6&gt;=$D87,AG$6&lt;=$E87),MAX(0,MIN(1,$G87*$F87-(AG$6-$D87))),"")))</ns0:f>
      </ns0:c>
      <ns0:c r="AH87" s="22" t="str">
        <ns0:f>IF($A87="","",IF($I87="Yes",IF(AH$6=$D87,"◆",""),IF(AND(AH$6&gt;=$D87,AH$6&lt;=$E87),MAX(0,MIN(1,$G87*$F87-(AH$6-$D87))),"")))</ns0:f>
      </ns0:c>
      <ns0:c r="AI87" s="22" t="str">
        <ns0:f>IF($A87="","",IF($I87="Yes",IF(AI$6=$D87,"◆",""),IF(AND(AI$6&gt;=$D87,AI$6&lt;=$E87),MAX(0,MIN(1,$G87*$F87-(AI$6-$D87))),"")))</ns0:f>
      </ns0:c>
      <ns0:c r="AJ87" s="22" t="str">
        <ns0:f>IF($A87="","",IF($I87="Yes",IF(AJ$6=$D87,"◆",""),IF(AND(AJ$6&gt;=$D87,AJ$6&lt;=$E87),MAX(0,MIN(1,$G87*$F87-(AJ$6-$D87))),"")))</ns0:f>
      </ns0:c>
      <ns0:c r="AK87" s="22" t="str">
        <ns0:f>IF($A87="","",IF($I87="Yes",IF(AK$6=$D87,"◆",""),IF(AND(AK$6&gt;=$D87,AK$6&lt;=$E87),MAX(0,MIN(1,$G87*$F87-(AK$6-$D87))),"")))</ns0:f>
      </ns0:c>
      <ns0:c r="AL87" s="22" t="str">
        <ns0:f>IF($A87="","",IF($I87="Yes",IF(AL$6=$D87,"◆",""),IF(AND(AL$6&gt;=$D87,AL$6&lt;=$E87),MAX(0,MIN(1,$G87*$F87-(AL$6-$D87))),"")))</ns0:f>
      </ns0:c>
      <ns0:c r="AM87" s="22" t="str">
        <ns0:f>IF($A87="","",IF($I87="Yes",IF(AM$6=$D87,"◆",""),IF(AND(AM$6&gt;=$D87,AM$6&lt;=$E87),MAX(0,MIN(1,$G87*$F87-(AM$6-$D87))),"")))</ns0:f>
      </ns0:c>
      <ns0:c r="AN87" s="22" t="str">
        <ns0:f>IF($A87="","",IF($I87="Yes",IF(AN$6=$D87,"◆",""),IF(AND(AN$6&gt;=$D87,AN$6&lt;=$E87),MAX(0,MIN(1,$G87*$F87-(AN$6-$D87))),"")))</ns0:f>
      </ns0:c>
      <ns0:c r="AO87" s="22" t="str">
        <ns0:f>IF($A87="","",IF($I87="Yes",IF(AO$6=$D87,"◆",""),IF(AND(AO$6&gt;=$D87,AO$6&lt;=$E87),MAX(0,MIN(1,$G87*$F87-(AO$6-$D87))),"")))</ns0:f>
      </ns0:c>
      <ns0:c r="AP87" s="22" t="str">
        <ns0:f>IF($A87="","",IF($I87="Yes",IF(AP$6=$D87,"◆",""),IF(AND(AP$6&gt;=$D87,AP$6&lt;=$E87),MAX(0,MIN(1,$G87*$F87-(AP$6-$D87))),"")))</ns0:f>
      </ns0:c>
      <ns0:c r="AQ87" s="22" t="str">
        <ns0:f>IF($A87="","",IF($I87="Yes",IF(AQ$6=$D87,"◆",""),IF(AND(AQ$6&gt;=$D87,AQ$6&lt;=$E87),MAX(0,MIN(1,$G87*$F87-(AQ$6-$D87))),"")))</ns0:f>
      </ns0:c>
      <ns0:c r="AR87" s="22" t="str">
        <ns0:f>IF($A87="","",IF($I87="Yes",IF(AR$6=$D87,"◆",""),IF(AND(AR$6&gt;=$D87,AR$6&lt;=$E87),MAX(0,MIN(1,$G87*$F87-(AR$6-$D87))),"")))</ns0:f>
      </ns0:c>
    </ns0:row>
    <ns0:row r="88" ht="48" customHeight="1">
      <ns0:c r="A88" s="8" t="str">
        <ns0:f>IF(INDEX(Tasks[Task ID],82)="","",INDEX(Tasks[Task ID],82))</ns0:f>
      </ns0:c>
      <ns0:c r="B88" s="8" t="str">
        <ns0:f>IF(INDEX(Tasks[Task ID],82)="","",INDEX(Tasks[Phase],82))</ns0:f>
      </ns0:c>
      <ns0:c r="C88" s="8" t="str">
        <ns0:f>IF(INDEX(Tasks[Task ID],82)="","",INDEX(Tasks[Task Name],82))</ns0:f>
      </ns0:c>
      <ns0:c r="D88" s="18" t="str">
        <ns0:f>IF(INDEX(Tasks[Task ID],82)="","",INDEX(Tasks[Start Date],82))</ns0:f>
      </ns0:c>
      <ns0:c r="E88" s="18" t="str">
        <ns0:f>IF(INDEX(Tasks[Task ID],82)="","",INDEX(Tasks[End Date],82))</ns0:f>
      </ns0:c>
      <ns0:c r="F88" s="8" t="str">
        <ns0:f>IF(INDEX(Tasks[Task ID],82)="","",INDEX(Tasks[Duration],82))</ns0:f>
      </ns0:c>
      <ns0:c r="G88" s="19" t="str">
        <ns0:f>IF(INDEX(Tasks[Task ID],82)="","",INDEX(Tasks[Progress %],82))</ns0:f>
      </ns0:c>
      <ns0:c r="H88" s="8" t="str">
        <ns0:f>IF(INDEX(Tasks[Task ID],82)="","",INDEX('Project Tracker'!$Q$7:$Q$106,82))</ns0:f>
      </ns0:c>
      <ns0:c r="I88" s="8" t="str">
        <ns0:f>IF(INDEX(Tasks[Task ID],82)="","",INDEX(Tasks[Milestone],82))</ns0:f>
      </ns0:c>
      <ns0:c r="J88" s="8" t="str">
        <ns0:f>IF(INDEX(Tasks[Task ID],82)="","",INDEX(Tasks[Schedule Health],82))</ns0:f>
      </ns0:c>
      <ns0:c r="K88" s="22" t="str">
        <ns0:f>IF($A88="","",IF($I88="Yes",IF(K$6=$D88,"◆",""),IF(AND(K$6&gt;=$D88,K$6&lt;=$E88),MAX(0,MIN(1,$G88*$F88-(K$6-$D88))),"")))</ns0:f>
      </ns0:c>
      <ns0:c r="L88" s="22" t="str">
        <ns0:f>IF($A88="","",IF($I88="Yes",IF(L$6=$D88,"◆",""),IF(AND(L$6&gt;=$D88,L$6&lt;=$E88),MAX(0,MIN(1,$G88*$F88-(L$6-$D88))),"")))</ns0:f>
      </ns0:c>
      <ns0:c r="M88" s="22" t="str">
        <ns0:f>IF($A88="","",IF($I88="Yes",IF(M$6=$D88,"◆",""),IF(AND(M$6&gt;=$D88,M$6&lt;=$E88),MAX(0,MIN(1,$G88*$F88-(M$6-$D88))),"")))</ns0:f>
      </ns0:c>
      <ns0:c r="N88" s="22" t="str">
        <ns0:f>IF($A88="","",IF($I88="Yes",IF(N$6=$D88,"◆",""),IF(AND(N$6&gt;=$D88,N$6&lt;=$E88),MAX(0,MIN(1,$G88*$F88-(N$6-$D88))),"")))</ns0:f>
      </ns0:c>
      <ns0:c r="O88" s="22" t="str">
        <ns0:f>IF($A88="","",IF($I88="Yes",IF(O$6=$D88,"◆",""),IF(AND(O$6&gt;=$D88,O$6&lt;=$E88),MAX(0,MIN(1,$G88*$F88-(O$6-$D88))),"")))</ns0:f>
      </ns0:c>
      <ns0:c r="P88" s="22" t="str">
        <ns0:f>IF($A88="","",IF($I88="Yes",IF(P$6=$D88,"◆",""),IF(AND(P$6&gt;=$D88,P$6&lt;=$E88),MAX(0,MIN(1,$G88*$F88-(P$6-$D88))),"")))</ns0:f>
      </ns0:c>
      <ns0:c r="Q88" s="22" t="str">
        <ns0:f>IF($A88="","",IF($I88="Yes",IF(Q$6=$D88,"◆",""),IF(AND(Q$6&gt;=$D88,Q$6&lt;=$E88),MAX(0,MIN(1,$G88*$F88-(Q$6-$D88))),"")))</ns0:f>
      </ns0:c>
      <ns0:c r="R88" s="22" t="str">
        <ns0:f>IF($A88="","",IF($I88="Yes",IF(R$6=$D88,"◆",""),IF(AND(R$6&gt;=$D88,R$6&lt;=$E88),MAX(0,MIN(1,$G88*$F88-(R$6-$D88))),"")))</ns0:f>
      </ns0:c>
      <ns0:c r="S88" s="22" t="str">
        <ns0:f>IF($A88="","",IF($I88="Yes",IF(S$6=$D88,"◆",""),IF(AND(S$6&gt;=$D88,S$6&lt;=$E88),MAX(0,MIN(1,$G88*$F88-(S$6-$D88))),"")))</ns0:f>
      </ns0:c>
      <ns0:c r="T88" s="22" t="str">
        <ns0:f>IF($A88="","",IF($I88="Yes",IF(T$6=$D88,"◆",""),IF(AND(T$6&gt;=$D88,T$6&lt;=$E88),MAX(0,MIN(1,$G88*$F88-(T$6-$D88))),"")))</ns0:f>
      </ns0:c>
      <ns0:c r="U88" s="22" t="str">
        <ns0:f>IF($A88="","",IF($I88="Yes",IF(U$6=$D88,"◆",""),IF(AND(U$6&gt;=$D88,U$6&lt;=$E88),MAX(0,MIN(1,$G88*$F88-(U$6-$D88))),"")))</ns0:f>
      </ns0:c>
      <ns0:c r="V88" s="22" t="str">
        <ns0:f>IF($A88="","",IF($I88="Yes",IF(V$6=$D88,"◆",""),IF(AND(V$6&gt;=$D88,V$6&lt;=$E88),MAX(0,MIN(1,$G88*$F88-(V$6-$D88))),"")))</ns0:f>
      </ns0:c>
      <ns0:c r="W88" s="22" t="str">
        <ns0:f>IF($A88="","",IF($I88="Yes",IF(W$6=$D88,"◆",""),IF(AND(W$6&gt;=$D88,W$6&lt;=$E88),MAX(0,MIN(1,$G88*$F88-(W$6-$D88))),"")))</ns0:f>
      </ns0:c>
      <ns0:c r="X88" s="22" t="str">
        <ns0:f>IF($A88="","",IF($I88="Yes",IF(X$6=$D88,"◆",""),IF(AND(X$6&gt;=$D88,X$6&lt;=$E88),MAX(0,MIN(1,$G88*$F88-(X$6-$D88))),"")))</ns0:f>
      </ns0:c>
      <ns0:c r="Y88" s="22" t="str">
        <ns0:f>IF($A88="","",IF($I88="Yes",IF(Y$6=$D88,"◆",""),IF(AND(Y$6&gt;=$D88,Y$6&lt;=$E88),MAX(0,MIN(1,$G88*$F88-(Y$6-$D88))),"")))</ns0:f>
      </ns0:c>
      <ns0:c r="Z88" s="22" t="str">
        <ns0:f>IF($A88="","",IF($I88="Yes",IF(Z$6=$D88,"◆",""),IF(AND(Z$6&gt;=$D88,Z$6&lt;=$E88),MAX(0,MIN(1,$G88*$F88-(Z$6-$D88))),"")))</ns0:f>
      </ns0:c>
      <ns0:c r="AA88" s="22" t="str">
        <ns0:f>IF($A88="","",IF($I88="Yes",IF(AA$6=$D88,"◆",""),IF(AND(AA$6&gt;=$D88,AA$6&lt;=$E88),MAX(0,MIN(1,$G88*$F88-(AA$6-$D88))),"")))</ns0:f>
      </ns0:c>
      <ns0:c r="AB88" s="22" t="str">
        <ns0:f>IF($A88="","",IF($I88="Yes",IF(AB$6=$D88,"◆",""),IF(AND(AB$6&gt;=$D88,AB$6&lt;=$E88),MAX(0,MIN(1,$G88*$F88-(AB$6-$D88))),"")))</ns0:f>
      </ns0:c>
      <ns0:c r="AC88" s="22" t="str">
        <ns0:f>IF($A88="","",IF($I88="Yes",IF(AC$6=$D88,"◆",""),IF(AND(AC$6&gt;=$D88,AC$6&lt;=$E88),MAX(0,MIN(1,$G88*$F88-(AC$6-$D88))),"")))</ns0:f>
      </ns0:c>
      <ns0:c r="AD88" s="22" t="str">
        <ns0:f>IF($A88="","",IF($I88="Yes",IF(AD$6=$D88,"◆",""),IF(AND(AD$6&gt;=$D88,AD$6&lt;=$E88),MAX(0,MIN(1,$G88*$F88-(AD$6-$D88))),"")))</ns0:f>
      </ns0:c>
      <ns0:c r="AE88" s="22" t="str">
        <ns0:f>IF($A88="","",IF($I88="Yes",IF(AE$6=$D88,"◆",""),IF(AND(AE$6&gt;=$D88,AE$6&lt;=$E88),MAX(0,MIN(1,$G88*$F88-(AE$6-$D88))),"")))</ns0:f>
      </ns0:c>
      <ns0:c r="AF88" s="22" t="str">
        <ns0:f>IF($A88="","",IF($I88="Yes",IF(AF$6=$D88,"◆",""),IF(AND(AF$6&gt;=$D88,AF$6&lt;=$E88),MAX(0,MIN(1,$G88*$F88-(AF$6-$D88))),"")))</ns0:f>
      </ns0:c>
      <ns0:c r="AG88" s="22" t="str">
        <ns0:f>IF($A88="","",IF($I88="Yes",IF(AG$6=$D88,"◆",""),IF(AND(AG$6&gt;=$D88,AG$6&lt;=$E88),MAX(0,MIN(1,$G88*$F88-(AG$6-$D88))),"")))</ns0:f>
      </ns0:c>
      <ns0:c r="AH88" s="22" t="str">
        <ns0:f>IF($A88="","",IF($I88="Yes",IF(AH$6=$D88,"◆",""),IF(AND(AH$6&gt;=$D88,AH$6&lt;=$E88),MAX(0,MIN(1,$G88*$F88-(AH$6-$D88))),"")))</ns0:f>
      </ns0:c>
      <ns0:c r="AI88" s="22" t="str">
        <ns0:f>IF($A88="","",IF($I88="Yes",IF(AI$6=$D88,"◆",""),IF(AND(AI$6&gt;=$D88,AI$6&lt;=$E88),MAX(0,MIN(1,$G88*$F88-(AI$6-$D88))),"")))</ns0:f>
      </ns0:c>
      <ns0:c r="AJ88" s="22" t="str">
        <ns0:f>IF($A88="","",IF($I88="Yes",IF(AJ$6=$D88,"◆",""),IF(AND(AJ$6&gt;=$D88,AJ$6&lt;=$E88),MAX(0,MIN(1,$G88*$F88-(AJ$6-$D88))),"")))</ns0:f>
      </ns0:c>
      <ns0:c r="AK88" s="22" t="str">
        <ns0:f>IF($A88="","",IF($I88="Yes",IF(AK$6=$D88,"◆",""),IF(AND(AK$6&gt;=$D88,AK$6&lt;=$E88),MAX(0,MIN(1,$G88*$F88-(AK$6-$D88))),"")))</ns0:f>
      </ns0:c>
      <ns0:c r="AL88" s="22" t="str">
        <ns0:f>IF($A88="","",IF($I88="Yes",IF(AL$6=$D88,"◆",""),IF(AND(AL$6&gt;=$D88,AL$6&lt;=$E88),MAX(0,MIN(1,$G88*$F88-(AL$6-$D88))),"")))</ns0:f>
      </ns0:c>
      <ns0:c r="AM88" s="22" t="str">
        <ns0:f>IF($A88="","",IF($I88="Yes",IF(AM$6=$D88,"◆",""),IF(AND(AM$6&gt;=$D88,AM$6&lt;=$E88),MAX(0,MIN(1,$G88*$F88-(AM$6-$D88))),"")))</ns0:f>
      </ns0:c>
      <ns0:c r="AN88" s="22" t="str">
        <ns0:f>IF($A88="","",IF($I88="Yes",IF(AN$6=$D88,"◆",""),IF(AND(AN$6&gt;=$D88,AN$6&lt;=$E88),MAX(0,MIN(1,$G88*$F88-(AN$6-$D88))),"")))</ns0:f>
      </ns0:c>
      <ns0:c r="AO88" s="22" t="str">
        <ns0:f>IF($A88="","",IF($I88="Yes",IF(AO$6=$D88,"◆",""),IF(AND(AO$6&gt;=$D88,AO$6&lt;=$E88),MAX(0,MIN(1,$G88*$F88-(AO$6-$D88))),"")))</ns0:f>
      </ns0:c>
      <ns0:c r="AP88" s="22" t="str">
        <ns0:f>IF($A88="","",IF($I88="Yes",IF(AP$6=$D88,"◆",""),IF(AND(AP$6&gt;=$D88,AP$6&lt;=$E88),MAX(0,MIN(1,$G88*$F88-(AP$6-$D88))),"")))</ns0:f>
      </ns0:c>
      <ns0:c r="AQ88" s="22" t="str">
        <ns0:f>IF($A88="","",IF($I88="Yes",IF(AQ$6=$D88,"◆",""),IF(AND(AQ$6&gt;=$D88,AQ$6&lt;=$E88),MAX(0,MIN(1,$G88*$F88-(AQ$6-$D88))),"")))</ns0:f>
      </ns0:c>
      <ns0:c r="AR88" s="22" t="str">
        <ns0:f>IF($A88="","",IF($I88="Yes",IF(AR$6=$D88,"◆",""),IF(AND(AR$6&gt;=$D88,AR$6&lt;=$E88),MAX(0,MIN(1,$G88*$F88-(AR$6-$D88))),"")))</ns0:f>
      </ns0:c>
    </ns0:row>
    <ns0:row r="89" ht="48" customHeight="1">
      <ns0:c r="A89" s="8" t="str">
        <ns0:f>IF(INDEX(Tasks[Task ID],83)="","",INDEX(Tasks[Task ID],83))</ns0:f>
      </ns0:c>
      <ns0:c r="B89" s="8" t="str">
        <ns0:f>IF(INDEX(Tasks[Task ID],83)="","",INDEX(Tasks[Phase],83))</ns0:f>
      </ns0:c>
      <ns0:c r="C89" s="8" t="str">
        <ns0:f>IF(INDEX(Tasks[Task ID],83)="","",INDEX(Tasks[Task Name],83))</ns0:f>
      </ns0:c>
      <ns0:c r="D89" s="18" t="str">
        <ns0:f>IF(INDEX(Tasks[Task ID],83)="","",INDEX(Tasks[Start Date],83))</ns0:f>
      </ns0:c>
      <ns0:c r="E89" s="18" t="str">
        <ns0:f>IF(INDEX(Tasks[Task ID],83)="","",INDEX(Tasks[End Date],83))</ns0:f>
      </ns0:c>
      <ns0:c r="F89" s="8" t="str">
        <ns0:f>IF(INDEX(Tasks[Task ID],83)="","",INDEX(Tasks[Duration],83))</ns0:f>
      </ns0:c>
      <ns0:c r="G89" s="19" t="str">
        <ns0:f>IF(INDEX(Tasks[Task ID],83)="","",INDEX(Tasks[Progress %],83))</ns0:f>
      </ns0:c>
      <ns0:c r="H89" s="8" t="str">
        <ns0:f>IF(INDEX(Tasks[Task ID],83)="","",INDEX('Project Tracker'!$Q$7:$Q$106,83))</ns0:f>
      </ns0:c>
      <ns0:c r="I89" s="8" t="str">
        <ns0:f>IF(INDEX(Tasks[Task ID],83)="","",INDEX(Tasks[Milestone],83))</ns0:f>
      </ns0:c>
      <ns0:c r="J89" s="8" t="str">
        <ns0:f>IF(INDEX(Tasks[Task ID],83)="","",INDEX(Tasks[Schedule Health],83))</ns0:f>
      </ns0:c>
      <ns0:c r="K89" s="22" t="str">
        <ns0:f>IF($A89="","",IF($I89="Yes",IF(K$6=$D89,"◆",""),IF(AND(K$6&gt;=$D89,K$6&lt;=$E89),MAX(0,MIN(1,$G89*$F89-(K$6-$D89))),"")))</ns0:f>
      </ns0:c>
      <ns0:c r="L89" s="22" t="str">
        <ns0:f>IF($A89="","",IF($I89="Yes",IF(L$6=$D89,"◆",""),IF(AND(L$6&gt;=$D89,L$6&lt;=$E89),MAX(0,MIN(1,$G89*$F89-(L$6-$D89))),"")))</ns0:f>
      </ns0:c>
      <ns0:c r="M89" s="22" t="str">
        <ns0:f>IF($A89="","",IF($I89="Yes",IF(M$6=$D89,"◆",""),IF(AND(M$6&gt;=$D89,M$6&lt;=$E89),MAX(0,MIN(1,$G89*$F89-(M$6-$D89))),"")))</ns0:f>
      </ns0:c>
      <ns0:c r="N89" s="22" t="str">
        <ns0:f>IF($A89="","",IF($I89="Yes",IF(N$6=$D89,"◆",""),IF(AND(N$6&gt;=$D89,N$6&lt;=$E89),MAX(0,MIN(1,$G89*$F89-(N$6-$D89))),"")))</ns0:f>
      </ns0:c>
      <ns0:c r="O89" s="22" t="str">
        <ns0:f>IF($A89="","",IF($I89="Yes",IF(O$6=$D89,"◆",""),IF(AND(O$6&gt;=$D89,O$6&lt;=$E89),MAX(0,MIN(1,$G89*$F89-(O$6-$D89))),"")))</ns0:f>
      </ns0:c>
      <ns0:c r="P89" s="22" t="str">
        <ns0:f>IF($A89="","",IF($I89="Yes",IF(P$6=$D89,"◆",""),IF(AND(P$6&gt;=$D89,P$6&lt;=$E89),MAX(0,MIN(1,$G89*$F89-(P$6-$D89))),"")))</ns0:f>
      </ns0:c>
      <ns0:c r="Q89" s="22" t="str">
        <ns0:f>IF($A89="","",IF($I89="Yes",IF(Q$6=$D89,"◆",""),IF(AND(Q$6&gt;=$D89,Q$6&lt;=$E89),MAX(0,MIN(1,$G89*$F89-(Q$6-$D89))),"")))</ns0:f>
      </ns0:c>
      <ns0:c r="R89" s="22" t="str">
        <ns0:f>IF($A89="","",IF($I89="Yes",IF(R$6=$D89,"◆",""),IF(AND(R$6&gt;=$D89,R$6&lt;=$E89),MAX(0,MIN(1,$G89*$F89-(R$6-$D89))),"")))</ns0:f>
      </ns0:c>
      <ns0:c r="S89" s="22" t="str">
        <ns0:f>IF($A89="","",IF($I89="Yes",IF(S$6=$D89,"◆",""),IF(AND(S$6&gt;=$D89,S$6&lt;=$E89),MAX(0,MIN(1,$G89*$F89-(S$6-$D89))),"")))</ns0:f>
      </ns0:c>
      <ns0:c r="T89" s="22" t="str">
        <ns0:f>IF($A89="","",IF($I89="Yes",IF(T$6=$D89,"◆",""),IF(AND(T$6&gt;=$D89,T$6&lt;=$E89),MAX(0,MIN(1,$G89*$F89-(T$6-$D89))),"")))</ns0:f>
      </ns0:c>
      <ns0:c r="U89" s="22" t="str">
        <ns0:f>IF($A89="","",IF($I89="Yes",IF(U$6=$D89,"◆",""),IF(AND(U$6&gt;=$D89,U$6&lt;=$E89),MAX(0,MIN(1,$G89*$F89-(U$6-$D89))),"")))</ns0:f>
      </ns0:c>
      <ns0:c r="V89" s="22" t="str">
        <ns0:f>IF($A89="","",IF($I89="Yes",IF(V$6=$D89,"◆",""),IF(AND(V$6&gt;=$D89,V$6&lt;=$E89),MAX(0,MIN(1,$G89*$F89-(V$6-$D89))),"")))</ns0:f>
      </ns0:c>
      <ns0:c r="W89" s="22" t="str">
        <ns0:f>IF($A89="","",IF($I89="Yes",IF(W$6=$D89,"◆",""),IF(AND(W$6&gt;=$D89,W$6&lt;=$E89),MAX(0,MIN(1,$G89*$F89-(W$6-$D89))),"")))</ns0:f>
      </ns0:c>
      <ns0:c r="X89" s="22" t="str">
        <ns0:f>IF($A89="","",IF($I89="Yes",IF(X$6=$D89,"◆",""),IF(AND(X$6&gt;=$D89,X$6&lt;=$E89),MAX(0,MIN(1,$G89*$F89-(X$6-$D89))),"")))</ns0:f>
      </ns0:c>
      <ns0:c r="Y89" s="22" t="str">
        <ns0:f>IF($A89="","",IF($I89="Yes",IF(Y$6=$D89,"◆",""),IF(AND(Y$6&gt;=$D89,Y$6&lt;=$E89),MAX(0,MIN(1,$G89*$F89-(Y$6-$D89))),"")))</ns0:f>
      </ns0:c>
      <ns0:c r="Z89" s="22" t="str">
        <ns0:f>IF($A89="","",IF($I89="Yes",IF(Z$6=$D89,"◆",""),IF(AND(Z$6&gt;=$D89,Z$6&lt;=$E89),MAX(0,MIN(1,$G89*$F89-(Z$6-$D89))),"")))</ns0:f>
      </ns0:c>
      <ns0:c r="AA89" s="22" t="str">
        <ns0:f>IF($A89="","",IF($I89="Yes",IF(AA$6=$D89,"◆",""),IF(AND(AA$6&gt;=$D89,AA$6&lt;=$E89),MAX(0,MIN(1,$G89*$F89-(AA$6-$D89))),"")))</ns0:f>
      </ns0:c>
      <ns0:c r="AB89" s="22" t="str">
        <ns0:f>IF($A89="","",IF($I89="Yes",IF(AB$6=$D89,"◆",""),IF(AND(AB$6&gt;=$D89,AB$6&lt;=$E89),MAX(0,MIN(1,$G89*$F89-(AB$6-$D89))),"")))</ns0:f>
      </ns0:c>
      <ns0:c r="AC89" s="22" t="str">
        <ns0:f>IF($A89="","",IF($I89="Yes",IF(AC$6=$D89,"◆",""),IF(AND(AC$6&gt;=$D89,AC$6&lt;=$E89),MAX(0,MIN(1,$G89*$F89-(AC$6-$D89))),"")))</ns0:f>
      </ns0:c>
      <ns0:c r="AD89" s="22" t="str">
        <ns0:f>IF($A89="","",IF($I89="Yes",IF(AD$6=$D89,"◆",""),IF(AND(AD$6&gt;=$D89,AD$6&lt;=$E89),MAX(0,MIN(1,$G89*$F89-(AD$6-$D89))),"")))</ns0:f>
      </ns0:c>
      <ns0:c r="AE89" s="22" t="str">
        <ns0:f>IF($A89="","",IF($I89="Yes",IF(AE$6=$D89,"◆",""),IF(AND(AE$6&gt;=$D89,AE$6&lt;=$E89),MAX(0,MIN(1,$G89*$F89-(AE$6-$D89))),"")))</ns0:f>
      </ns0:c>
      <ns0:c r="AF89" s="22" t="str">
        <ns0:f>IF($A89="","",IF($I89="Yes",IF(AF$6=$D89,"◆",""),IF(AND(AF$6&gt;=$D89,AF$6&lt;=$E89),MAX(0,MIN(1,$G89*$F89-(AF$6-$D89))),"")))</ns0:f>
      </ns0:c>
      <ns0:c r="AG89" s="22" t="str">
        <ns0:f>IF($A89="","",IF($I89="Yes",IF(AG$6=$D89,"◆",""),IF(AND(AG$6&gt;=$D89,AG$6&lt;=$E89),MAX(0,MIN(1,$G89*$F89-(AG$6-$D89))),"")))</ns0:f>
      </ns0:c>
      <ns0:c r="AH89" s="22" t="str">
        <ns0:f>IF($A89="","",IF($I89="Yes",IF(AH$6=$D89,"◆",""),IF(AND(AH$6&gt;=$D89,AH$6&lt;=$E89),MAX(0,MIN(1,$G89*$F89-(AH$6-$D89))),"")))</ns0:f>
      </ns0:c>
      <ns0:c r="AI89" s="22" t="str">
        <ns0:f>IF($A89="","",IF($I89="Yes",IF(AI$6=$D89,"◆",""),IF(AND(AI$6&gt;=$D89,AI$6&lt;=$E89),MAX(0,MIN(1,$G89*$F89-(AI$6-$D89))),"")))</ns0:f>
      </ns0:c>
      <ns0:c r="AJ89" s="22" t="str">
        <ns0:f>IF($A89="","",IF($I89="Yes",IF(AJ$6=$D89,"◆",""),IF(AND(AJ$6&gt;=$D89,AJ$6&lt;=$E89),MAX(0,MIN(1,$G89*$F89-(AJ$6-$D89))),"")))</ns0:f>
      </ns0:c>
      <ns0:c r="AK89" s="22" t="str">
        <ns0:f>IF($A89="","",IF($I89="Yes",IF(AK$6=$D89,"◆",""),IF(AND(AK$6&gt;=$D89,AK$6&lt;=$E89),MAX(0,MIN(1,$G89*$F89-(AK$6-$D89))),"")))</ns0:f>
      </ns0:c>
      <ns0:c r="AL89" s="22" t="str">
        <ns0:f>IF($A89="","",IF($I89="Yes",IF(AL$6=$D89,"◆",""),IF(AND(AL$6&gt;=$D89,AL$6&lt;=$E89),MAX(0,MIN(1,$G89*$F89-(AL$6-$D89))),"")))</ns0:f>
      </ns0:c>
      <ns0:c r="AM89" s="22" t="str">
        <ns0:f>IF($A89="","",IF($I89="Yes",IF(AM$6=$D89,"◆",""),IF(AND(AM$6&gt;=$D89,AM$6&lt;=$E89),MAX(0,MIN(1,$G89*$F89-(AM$6-$D89))),"")))</ns0:f>
      </ns0:c>
      <ns0:c r="AN89" s="22" t="str">
        <ns0:f>IF($A89="","",IF($I89="Yes",IF(AN$6=$D89,"◆",""),IF(AND(AN$6&gt;=$D89,AN$6&lt;=$E89),MAX(0,MIN(1,$G89*$F89-(AN$6-$D89))),"")))</ns0:f>
      </ns0:c>
      <ns0:c r="AO89" s="22" t="str">
        <ns0:f>IF($A89="","",IF($I89="Yes",IF(AO$6=$D89,"◆",""),IF(AND(AO$6&gt;=$D89,AO$6&lt;=$E89),MAX(0,MIN(1,$G89*$F89-(AO$6-$D89))),"")))</ns0:f>
      </ns0:c>
      <ns0:c r="AP89" s="22" t="str">
        <ns0:f>IF($A89="","",IF($I89="Yes",IF(AP$6=$D89,"◆",""),IF(AND(AP$6&gt;=$D89,AP$6&lt;=$E89),MAX(0,MIN(1,$G89*$F89-(AP$6-$D89))),"")))</ns0:f>
      </ns0:c>
      <ns0:c r="AQ89" s="22" t="str">
        <ns0:f>IF($A89="","",IF($I89="Yes",IF(AQ$6=$D89,"◆",""),IF(AND(AQ$6&gt;=$D89,AQ$6&lt;=$E89),MAX(0,MIN(1,$G89*$F89-(AQ$6-$D89))),"")))</ns0:f>
      </ns0:c>
      <ns0:c r="AR89" s="22" t="str">
        <ns0:f>IF($A89="","",IF($I89="Yes",IF(AR$6=$D89,"◆",""),IF(AND(AR$6&gt;=$D89,AR$6&lt;=$E89),MAX(0,MIN(1,$G89*$F89-(AR$6-$D89))),"")))</ns0:f>
      </ns0:c>
    </ns0:row>
    <ns0:row r="90" ht="48" customHeight="1">
      <ns0:c r="A90" s="8" t="str">
        <ns0:f>IF(INDEX(Tasks[Task ID],84)="","",INDEX(Tasks[Task ID],84))</ns0:f>
      </ns0:c>
      <ns0:c r="B90" s="8" t="str">
        <ns0:f>IF(INDEX(Tasks[Task ID],84)="","",INDEX(Tasks[Phase],84))</ns0:f>
      </ns0:c>
      <ns0:c r="C90" s="8" t="str">
        <ns0:f>IF(INDEX(Tasks[Task ID],84)="","",INDEX(Tasks[Task Name],84))</ns0:f>
      </ns0:c>
      <ns0:c r="D90" s="18" t="str">
        <ns0:f>IF(INDEX(Tasks[Task ID],84)="","",INDEX(Tasks[Start Date],84))</ns0:f>
      </ns0:c>
      <ns0:c r="E90" s="18" t="str">
        <ns0:f>IF(INDEX(Tasks[Task ID],84)="","",INDEX(Tasks[End Date],84))</ns0:f>
      </ns0:c>
      <ns0:c r="F90" s="8" t="str">
        <ns0:f>IF(INDEX(Tasks[Task ID],84)="","",INDEX(Tasks[Duration],84))</ns0:f>
      </ns0:c>
      <ns0:c r="G90" s="19" t="str">
        <ns0:f>IF(INDEX(Tasks[Task ID],84)="","",INDEX(Tasks[Progress %],84))</ns0:f>
      </ns0:c>
      <ns0:c r="H90" s="8" t="str">
        <ns0:f>IF(INDEX(Tasks[Task ID],84)="","",INDEX('Project Tracker'!$Q$7:$Q$106,84))</ns0:f>
      </ns0:c>
      <ns0:c r="I90" s="8" t="str">
        <ns0:f>IF(INDEX(Tasks[Task ID],84)="","",INDEX(Tasks[Milestone],84))</ns0:f>
      </ns0:c>
      <ns0:c r="J90" s="8" t="str">
        <ns0:f>IF(INDEX(Tasks[Task ID],84)="","",INDEX(Tasks[Schedule Health],84))</ns0:f>
      </ns0:c>
      <ns0:c r="K90" s="22" t="str">
        <ns0:f>IF($A90="","",IF($I90="Yes",IF(K$6=$D90,"◆",""),IF(AND(K$6&gt;=$D90,K$6&lt;=$E90),MAX(0,MIN(1,$G90*$F90-(K$6-$D90))),"")))</ns0:f>
      </ns0:c>
      <ns0:c r="L90" s="22" t="str">
        <ns0:f>IF($A90="","",IF($I90="Yes",IF(L$6=$D90,"◆",""),IF(AND(L$6&gt;=$D90,L$6&lt;=$E90),MAX(0,MIN(1,$G90*$F90-(L$6-$D90))),"")))</ns0:f>
      </ns0:c>
      <ns0:c r="M90" s="22" t="str">
        <ns0:f>IF($A90="","",IF($I90="Yes",IF(M$6=$D90,"◆",""),IF(AND(M$6&gt;=$D90,M$6&lt;=$E90),MAX(0,MIN(1,$G90*$F90-(M$6-$D90))),"")))</ns0:f>
      </ns0:c>
      <ns0:c r="N90" s="22" t="str">
        <ns0:f>IF($A90="","",IF($I90="Yes",IF(N$6=$D90,"◆",""),IF(AND(N$6&gt;=$D90,N$6&lt;=$E90),MAX(0,MIN(1,$G90*$F90-(N$6-$D90))),"")))</ns0:f>
      </ns0:c>
      <ns0:c r="O90" s="22" t="str">
        <ns0:f>IF($A90="","",IF($I90="Yes",IF(O$6=$D90,"◆",""),IF(AND(O$6&gt;=$D90,O$6&lt;=$E90),MAX(0,MIN(1,$G90*$F90-(O$6-$D90))),"")))</ns0:f>
      </ns0:c>
      <ns0:c r="P90" s="22" t="str">
        <ns0:f>IF($A90="","",IF($I90="Yes",IF(P$6=$D90,"◆",""),IF(AND(P$6&gt;=$D90,P$6&lt;=$E90),MAX(0,MIN(1,$G90*$F90-(P$6-$D90))),"")))</ns0:f>
      </ns0:c>
      <ns0:c r="Q90" s="22" t="str">
        <ns0:f>IF($A90="","",IF($I90="Yes",IF(Q$6=$D90,"◆",""),IF(AND(Q$6&gt;=$D90,Q$6&lt;=$E90),MAX(0,MIN(1,$G90*$F90-(Q$6-$D90))),"")))</ns0:f>
      </ns0:c>
      <ns0:c r="R90" s="22" t="str">
        <ns0:f>IF($A90="","",IF($I90="Yes",IF(R$6=$D90,"◆",""),IF(AND(R$6&gt;=$D90,R$6&lt;=$E90),MAX(0,MIN(1,$G90*$F90-(R$6-$D90))),"")))</ns0:f>
      </ns0:c>
      <ns0:c r="S90" s="22" t="str">
        <ns0:f>IF($A90="","",IF($I90="Yes",IF(S$6=$D90,"◆",""),IF(AND(S$6&gt;=$D90,S$6&lt;=$E90),MAX(0,MIN(1,$G90*$F90-(S$6-$D90))),"")))</ns0:f>
      </ns0:c>
      <ns0:c r="T90" s="22" t="str">
        <ns0:f>IF($A90="","",IF($I90="Yes",IF(T$6=$D90,"◆",""),IF(AND(T$6&gt;=$D90,T$6&lt;=$E90),MAX(0,MIN(1,$G90*$F90-(T$6-$D90))),"")))</ns0:f>
      </ns0:c>
      <ns0:c r="U90" s="22" t="str">
        <ns0:f>IF($A90="","",IF($I90="Yes",IF(U$6=$D90,"◆",""),IF(AND(U$6&gt;=$D90,U$6&lt;=$E90),MAX(0,MIN(1,$G90*$F90-(U$6-$D90))),"")))</ns0:f>
      </ns0:c>
      <ns0:c r="V90" s="22" t="str">
        <ns0:f>IF($A90="","",IF($I90="Yes",IF(V$6=$D90,"◆",""),IF(AND(V$6&gt;=$D90,V$6&lt;=$E90),MAX(0,MIN(1,$G90*$F90-(V$6-$D90))),"")))</ns0:f>
      </ns0:c>
      <ns0:c r="W90" s="22" t="str">
        <ns0:f>IF($A90="","",IF($I90="Yes",IF(W$6=$D90,"◆",""),IF(AND(W$6&gt;=$D90,W$6&lt;=$E90),MAX(0,MIN(1,$G90*$F90-(W$6-$D90))),"")))</ns0:f>
      </ns0:c>
      <ns0:c r="X90" s="22" t="str">
        <ns0:f>IF($A90="","",IF($I90="Yes",IF(X$6=$D90,"◆",""),IF(AND(X$6&gt;=$D90,X$6&lt;=$E90),MAX(0,MIN(1,$G90*$F90-(X$6-$D90))),"")))</ns0:f>
      </ns0:c>
      <ns0:c r="Y90" s="22" t="str">
        <ns0:f>IF($A90="","",IF($I90="Yes",IF(Y$6=$D90,"◆",""),IF(AND(Y$6&gt;=$D90,Y$6&lt;=$E90),MAX(0,MIN(1,$G90*$F90-(Y$6-$D90))),"")))</ns0:f>
      </ns0:c>
      <ns0:c r="Z90" s="22" t="str">
        <ns0:f>IF($A90="","",IF($I90="Yes",IF(Z$6=$D90,"◆",""),IF(AND(Z$6&gt;=$D90,Z$6&lt;=$E90),MAX(0,MIN(1,$G90*$F90-(Z$6-$D90))),"")))</ns0:f>
      </ns0:c>
      <ns0:c r="AA90" s="22" t="str">
        <ns0:f>IF($A90="","",IF($I90="Yes",IF(AA$6=$D90,"◆",""),IF(AND(AA$6&gt;=$D90,AA$6&lt;=$E90),MAX(0,MIN(1,$G90*$F90-(AA$6-$D90))),"")))</ns0:f>
      </ns0:c>
      <ns0:c r="AB90" s="22" t="str">
        <ns0:f>IF($A90="","",IF($I90="Yes",IF(AB$6=$D90,"◆",""),IF(AND(AB$6&gt;=$D90,AB$6&lt;=$E90),MAX(0,MIN(1,$G90*$F90-(AB$6-$D90))),"")))</ns0:f>
      </ns0:c>
      <ns0:c r="AC90" s="22" t="str">
        <ns0:f>IF($A90="","",IF($I90="Yes",IF(AC$6=$D90,"◆",""),IF(AND(AC$6&gt;=$D90,AC$6&lt;=$E90),MAX(0,MIN(1,$G90*$F90-(AC$6-$D90))),"")))</ns0:f>
      </ns0:c>
      <ns0:c r="AD90" s="22" t="str">
        <ns0:f>IF($A90="","",IF($I90="Yes",IF(AD$6=$D90,"◆",""),IF(AND(AD$6&gt;=$D90,AD$6&lt;=$E90),MAX(0,MIN(1,$G90*$F90-(AD$6-$D90))),"")))</ns0:f>
      </ns0:c>
      <ns0:c r="AE90" s="22" t="str">
        <ns0:f>IF($A90="","",IF($I90="Yes",IF(AE$6=$D90,"◆",""),IF(AND(AE$6&gt;=$D90,AE$6&lt;=$E90),MAX(0,MIN(1,$G90*$F90-(AE$6-$D90))),"")))</ns0:f>
      </ns0:c>
      <ns0:c r="AF90" s="22" t="str">
        <ns0:f>IF($A90="","",IF($I90="Yes",IF(AF$6=$D90,"◆",""),IF(AND(AF$6&gt;=$D90,AF$6&lt;=$E90),MAX(0,MIN(1,$G90*$F90-(AF$6-$D90))),"")))</ns0:f>
      </ns0:c>
      <ns0:c r="AG90" s="22" t="str">
        <ns0:f>IF($A90="","",IF($I90="Yes",IF(AG$6=$D90,"◆",""),IF(AND(AG$6&gt;=$D90,AG$6&lt;=$E90),MAX(0,MIN(1,$G90*$F90-(AG$6-$D90))),"")))</ns0:f>
      </ns0:c>
      <ns0:c r="AH90" s="22" t="str">
        <ns0:f>IF($A90="","",IF($I90="Yes",IF(AH$6=$D90,"◆",""),IF(AND(AH$6&gt;=$D90,AH$6&lt;=$E90),MAX(0,MIN(1,$G90*$F90-(AH$6-$D90))),"")))</ns0:f>
      </ns0:c>
      <ns0:c r="AI90" s="22" t="str">
        <ns0:f>IF($A90="","",IF($I90="Yes",IF(AI$6=$D90,"◆",""),IF(AND(AI$6&gt;=$D90,AI$6&lt;=$E90),MAX(0,MIN(1,$G90*$F90-(AI$6-$D90))),"")))</ns0:f>
      </ns0:c>
      <ns0:c r="AJ90" s="22" t="str">
        <ns0:f>IF($A90="","",IF($I90="Yes",IF(AJ$6=$D90,"◆",""),IF(AND(AJ$6&gt;=$D90,AJ$6&lt;=$E90),MAX(0,MIN(1,$G90*$F90-(AJ$6-$D90))),"")))</ns0:f>
      </ns0:c>
      <ns0:c r="AK90" s="22" t="str">
        <ns0:f>IF($A90="","",IF($I90="Yes",IF(AK$6=$D90,"◆",""),IF(AND(AK$6&gt;=$D90,AK$6&lt;=$E90),MAX(0,MIN(1,$G90*$F90-(AK$6-$D90))),"")))</ns0:f>
      </ns0:c>
      <ns0:c r="AL90" s="22" t="str">
        <ns0:f>IF($A90="","",IF($I90="Yes",IF(AL$6=$D90,"◆",""),IF(AND(AL$6&gt;=$D90,AL$6&lt;=$E90),MAX(0,MIN(1,$G90*$F90-(AL$6-$D90))),"")))</ns0:f>
      </ns0:c>
      <ns0:c r="AM90" s="22" t="str">
        <ns0:f>IF($A90="","",IF($I90="Yes",IF(AM$6=$D90,"◆",""),IF(AND(AM$6&gt;=$D90,AM$6&lt;=$E90),MAX(0,MIN(1,$G90*$F90-(AM$6-$D90))),"")))</ns0:f>
      </ns0:c>
      <ns0:c r="AN90" s="22" t="str">
        <ns0:f>IF($A90="","",IF($I90="Yes",IF(AN$6=$D90,"◆",""),IF(AND(AN$6&gt;=$D90,AN$6&lt;=$E90),MAX(0,MIN(1,$G90*$F90-(AN$6-$D90))),"")))</ns0:f>
      </ns0:c>
      <ns0:c r="AO90" s="22" t="str">
        <ns0:f>IF($A90="","",IF($I90="Yes",IF(AO$6=$D90,"◆",""),IF(AND(AO$6&gt;=$D90,AO$6&lt;=$E90),MAX(0,MIN(1,$G90*$F90-(AO$6-$D90))),"")))</ns0:f>
      </ns0:c>
      <ns0:c r="AP90" s="22" t="str">
        <ns0:f>IF($A90="","",IF($I90="Yes",IF(AP$6=$D90,"◆",""),IF(AND(AP$6&gt;=$D90,AP$6&lt;=$E90),MAX(0,MIN(1,$G90*$F90-(AP$6-$D90))),"")))</ns0:f>
      </ns0:c>
      <ns0:c r="AQ90" s="22" t="str">
        <ns0:f>IF($A90="","",IF($I90="Yes",IF(AQ$6=$D90,"◆",""),IF(AND(AQ$6&gt;=$D90,AQ$6&lt;=$E90),MAX(0,MIN(1,$G90*$F90-(AQ$6-$D90))),"")))</ns0:f>
      </ns0:c>
      <ns0:c r="AR90" s="22" t="str">
        <ns0:f>IF($A90="","",IF($I90="Yes",IF(AR$6=$D90,"◆",""),IF(AND(AR$6&gt;=$D90,AR$6&lt;=$E90),MAX(0,MIN(1,$G90*$F90-(AR$6-$D90))),"")))</ns0:f>
      </ns0:c>
    </ns0:row>
    <ns0:row r="91" ht="48" customHeight="1">
      <ns0:c r="A91" s="8" t="str">
        <ns0:f>IF(INDEX(Tasks[Task ID],85)="","",INDEX(Tasks[Task ID],85))</ns0:f>
      </ns0:c>
      <ns0:c r="B91" s="8" t="str">
        <ns0:f>IF(INDEX(Tasks[Task ID],85)="","",INDEX(Tasks[Phase],85))</ns0:f>
      </ns0:c>
      <ns0:c r="C91" s="8" t="str">
        <ns0:f>IF(INDEX(Tasks[Task ID],85)="","",INDEX(Tasks[Task Name],85))</ns0:f>
      </ns0:c>
      <ns0:c r="D91" s="18" t="str">
        <ns0:f>IF(INDEX(Tasks[Task ID],85)="","",INDEX(Tasks[Start Date],85))</ns0:f>
      </ns0:c>
      <ns0:c r="E91" s="18" t="str">
        <ns0:f>IF(INDEX(Tasks[Task ID],85)="","",INDEX(Tasks[End Date],85))</ns0:f>
      </ns0:c>
      <ns0:c r="F91" s="8" t="str">
        <ns0:f>IF(INDEX(Tasks[Task ID],85)="","",INDEX(Tasks[Duration],85))</ns0:f>
      </ns0:c>
      <ns0:c r="G91" s="19" t="str">
        <ns0:f>IF(INDEX(Tasks[Task ID],85)="","",INDEX(Tasks[Progress %],85))</ns0:f>
      </ns0:c>
      <ns0:c r="H91" s="8" t="str">
        <ns0:f>IF(INDEX(Tasks[Task ID],85)="","",INDEX('Project Tracker'!$Q$7:$Q$106,85))</ns0:f>
      </ns0:c>
      <ns0:c r="I91" s="8" t="str">
        <ns0:f>IF(INDEX(Tasks[Task ID],85)="","",INDEX(Tasks[Milestone],85))</ns0:f>
      </ns0:c>
      <ns0:c r="J91" s="8" t="str">
        <ns0:f>IF(INDEX(Tasks[Task ID],85)="","",INDEX(Tasks[Schedule Health],85))</ns0:f>
      </ns0:c>
      <ns0:c r="K91" s="22" t="str">
        <ns0:f>IF($A91="","",IF($I91="Yes",IF(K$6=$D91,"◆",""),IF(AND(K$6&gt;=$D91,K$6&lt;=$E91),MAX(0,MIN(1,$G91*$F91-(K$6-$D91))),"")))</ns0:f>
      </ns0:c>
      <ns0:c r="L91" s="22" t="str">
        <ns0:f>IF($A91="","",IF($I91="Yes",IF(L$6=$D91,"◆",""),IF(AND(L$6&gt;=$D91,L$6&lt;=$E91),MAX(0,MIN(1,$G91*$F91-(L$6-$D91))),"")))</ns0:f>
      </ns0:c>
      <ns0:c r="M91" s="22" t="str">
        <ns0:f>IF($A91="","",IF($I91="Yes",IF(M$6=$D91,"◆",""),IF(AND(M$6&gt;=$D91,M$6&lt;=$E91),MAX(0,MIN(1,$G91*$F91-(M$6-$D91))),"")))</ns0:f>
      </ns0:c>
      <ns0:c r="N91" s="22" t="str">
        <ns0:f>IF($A91="","",IF($I91="Yes",IF(N$6=$D91,"◆",""),IF(AND(N$6&gt;=$D91,N$6&lt;=$E91),MAX(0,MIN(1,$G91*$F91-(N$6-$D91))),"")))</ns0:f>
      </ns0:c>
      <ns0:c r="O91" s="22" t="str">
        <ns0:f>IF($A91="","",IF($I91="Yes",IF(O$6=$D91,"◆",""),IF(AND(O$6&gt;=$D91,O$6&lt;=$E91),MAX(0,MIN(1,$G91*$F91-(O$6-$D91))),"")))</ns0:f>
      </ns0:c>
      <ns0:c r="P91" s="22" t="str">
        <ns0:f>IF($A91="","",IF($I91="Yes",IF(P$6=$D91,"◆",""),IF(AND(P$6&gt;=$D91,P$6&lt;=$E91),MAX(0,MIN(1,$G91*$F91-(P$6-$D91))),"")))</ns0:f>
      </ns0:c>
      <ns0:c r="Q91" s="22" t="str">
        <ns0:f>IF($A91="","",IF($I91="Yes",IF(Q$6=$D91,"◆",""),IF(AND(Q$6&gt;=$D91,Q$6&lt;=$E91),MAX(0,MIN(1,$G91*$F91-(Q$6-$D91))),"")))</ns0:f>
      </ns0:c>
      <ns0:c r="R91" s="22" t="str">
        <ns0:f>IF($A91="","",IF($I91="Yes",IF(R$6=$D91,"◆",""),IF(AND(R$6&gt;=$D91,R$6&lt;=$E91),MAX(0,MIN(1,$G91*$F91-(R$6-$D91))),"")))</ns0:f>
      </ns0:c>
      <ns0:c r="S91" s="22" t="str">
        <ns0:f>IF($A91="","",IF($I91="Yes",IF(S$6=$D91,"◆",""),IF(AND(S$6&gt;=$D91,S$6&lt;=$E91),MAX(0,MIN(1,$G91*$F91-(S$6-$D91))),"")))</ns0:f>
      </ns0:c>
      <ns0:c r="T91" s="22" t="str">
        <ns0:f>IF($A91="","",IF($I91="Yes",IF(T$6=$D91,"◆",""),IF(AND(T$6&gt;=$D91,T$6&lt;=$E91),MAX(0,MIN(1,$G91*$F91-(T$6-$D91))),"")))</ns0:f>
      </ns0:c>
      <ns0:c r="U91" s="22" t="str">
        <ns0:f>IF($A91="","",IF($I91="Yes",IF(U$6=$D91,"◆",""),IF(AND(U$6&gt;=$D91,U$6&lt;=$E91),MAX(0,MIN(1,$G91*$F91-(U$6-$D91))),"")))</ns0:f>
      </ns0:c>
      <ns0:c r="V91" s="22" t="str">
        <ns0:f>IF($A91="","",IF($I91="Yes",IF(V$6=$D91,"◆",""),IF(AND(V$6&gt;=$D91,V$6&lt;=$E91),MAX(0,MIN(1,$G91*$F91-(V$6-$D91))),"")))</ns0:f>
      </ns0:c>
      <ns0:c r="W91" s="22" t="str">
        <ns0:f>IF($A91="","",IF($I91="Yes",IF(W$6=$D91,"◆",""),IF(AND(W$6&gt;=$D91,W$6&lt;=$E91),MAX(0,MIN(1,$G91*$F91-(W$6-$D91))),"")))</ns0:f>
      </ns0:c>
      <ns0:c r="X91" s="22" t="str">
        <ns0:f>IF($A91="","",IF($I91="Yes",IF(X$6=$D91,"◆",""),IF(AND(X$6&gt;=$D91,X$6&lt;=$E91),MAX(0,MIN(1,$G91*$F91-(X$6-$D91))),"")))</ns0:f>
      </ns0:c>
      <ns0:c r="Y91" s="22" t="str">
        <ns0:f>IF($A91="","",IF($I91="Yes",IF(Y$6=$D91,"◆",""),IF(AND(Y$6&gt;=$D91,Y$6&lt;=$E91),MAX(0,MIN(1,$G91*$F91-(Y$6-$D91))),"")))</ns0:f>
      </ns0:c>
      <ns0:c r="Z91" s="22" t="str">
        <ns0:f>IF($A91="","",IF($I91="Yes",IF(Z$6=$D91,"◆",""),IF(AND(Z$6&gt;=$D91,Z$6&lt;=$E91),MAX(0,MIN(1,$G91*$F91-(Z$6-$D91))),"")))</ns0:f>
      </ns0:c>
      <ns0:c r="AA91" s="22" t="str">
        <ns0:f>IF($A91="","",IF($I91="Yes",IF(AA$6=$D91,"◆",""),IF(AND(AA$6&gt;=$D91,AA$6&lt;=$E91),MAX(0,MIN(1,$G91*$F91-(AA$6-$D91))),"")))</ns0:f>
      </ns0:c>
      <ns0:c r="AB91" s="22" t="str">
        <ns0:f>IF($A91="","",IF($I91="Yes",IF(AB$6=$D91,"◆",""),IF(AND(AB$6&gt;=$D91,AB$6&lt;=$E91),MAX(0,MIN(1,$G91*$F91-(AB$6-$D91))),"")))</ns0:f>
      </ns0:c>
      <ns0:c r="AC91" s="22" t="str">
        <ns0:f>IF($A91="","",IF($I91="Yes",IF(AC$6=$D91,"◆",""),IF(AND(AC$6&gt;=$D91,AC$6&lt;=$E91),MAX(0,MIN(1,$G91*$F91-(AC$6-$D91))),"")))</ns0:f>
      </ns0:c>
      <ns0:c r="AD91" s="22" t="str">
        <ns0:f>IF($A91="","",IF($I91="Yes",IF(AD$6=$D91,"◆",""),IF(AND(AD$6&gt;=$D91,AD$6&lt;=$E91),MAX(0,MIN(1,$G91*$F91-(AD$6-$D91))),"")))</ns0:f>
      </ns0:c>
      <ns0:c r="AE91" s="22" t="str">
        <ns0:f>IF($A91="","",IF($I91="Yes",IF(AE$6=$D91,"◆",""),IF(AND(AE$6&gt;=$D91,AE$6&lt;=$E91),MAX(0,MIN(1,$G91*$F91-(AE$6-$D91))),"")))</ns0:f>
      </ns0:c>
      <ns0:c r="AF91" s="22" t="str">
        <ns0:f>IF($A91="","",IF($I91="Yes",IF(AF$6=$D91,"◆",""),IF(AND(AF$6&gt;=$D91,AF$6&lt;=$E91),MAX(0,MIN(1,$G91*$F91-(AF$6-$D91))),"")))</ns0:f>
      </ns0:c>
      <ns0:c r="AG91" s="22" t="str">
        <ns0:f>IF($A91="","",IF($I91="Yes",IF(AG$6=$D91,"◆",""),IF(AND(AG$6&gt;=$D91,AG$6&lt;=$E91),MAX(0,MIN(1,$G91*$F91-(AG$6-$D91))),"")))</ns0:f>
      </ns0:c>
      <ns0:c r="AH91" s="22" t="str">
        <ns0:f>IF($A91="","",IF($I91="Yes",IF(AH$6=$D91,"◆",""),IF(AND(AH$6&gt;=$D91,AH$6&lt;=$E91),MAX(0,MIN(1,$G91*$F91-(AH$6-$D91))),"")))</ns0:f>
      </ns0:c>
      <ns0:c r="AI91" s="22" t="str">
        <ns0:f>IF($A91="","",IF($I91="Yes",IF(AI$6=$D91,"◆",""),IF(AND(AI$6&gt;=$D91,AI$6&lt;=$E91),MAX(0,MIN(1,$G91*$F91-(AI$6-$D91))),"")))</ns0:f>
      </ns0:c>
      <ns0:c r="AJ91" s="22" t="str">
        <ns0:f>IF($A91="","",IF($I91="Yes",IF(AJ$6=$D91,"◆",""),IF(AND(AJ$6&gt;=$D91,AJ$6&lt;=$E91),MAX(0,MIN(1,$G91*$F91-(AJ$6-$D91))),"")))</ns0:f>
      </ns0:c>
      <ns0:c r="AK91" s="22" t="str">
        <ns0:f>IF($A91="","",IF($I91="Yes",IF(AK$6=$D91,"◆",""),IF(AND(AK$6&gt;=$D91,AK$6&lt;=$E91),MAX(0,MIN(1,$G91*$F91-(AK$6-$D91))),"")))</ns0:f>
      </ns0:c>
      <ns0:c r="AL91" s="22" t="str">
        <ns0:f>IF($A91="","",IF($I91="Yes",IF(AL$6=$D91,"◆",""),IF(AND(AL$6&gt;=$D91,AL$6&lt;=$E91),MAX(0,MIN(1,$G91*$F91-(AL$6-$D91))),"")))</ns0:f>
      </ns0:c>
      <ns0:c r="AM91" s="22" t="str">
        <ns0:f>IF($A91="","",IF($I91="Yes",IF(AM$6=$D91,"◆",""),IF(AND(AM$6&gt;=$D91,AM$6&lt;=$E91),MAX(0,MIN(1,$G91*$F91-(AM$6-$D91))),"")))</ns0:f>
      </ns0:c>
      <ns0:c r="AN91" s="22" t="str">
        <ns0:f>IF($A91="","",IF($I91="Yes",IF(AN$6=$D91,"◆",""),IF(AND(AN$6&gt;=$D91,AN$6&lt;=$E91),MAX(0,MIN(1,$G91*$F91-(AN$6-$D91))),"")))</ns0:f>
      </ns0:c>
      <ns0:c r="AO91" s="22" t="str">
        <ns0:f>IF($A91="","",IF($I91="Yes",IF(AO$6=$D91,"◆",""),IF(AND(AO$6&gt;=$D91,AO$6&lt;=$E91),MAX(0,MIN(1,$G91*$F91-(AO$6-$D91))),"")))</ns0:f>
      </ns0:c>
      <ns0:c r="AP91" s="22" t="str">
        <ns0:f>IF($A91="","",IF($I91="Yes",IF(AP$6=$D91,"◆",""),IF(AND(AP$6&gt;=$D91,AP$6&lt;=$E91),MAX(0,MIN(1,$G91*$F91-(AP$6-$D91))),"")))</ns0:f>
      </ns0:c>
      <ns0:c r="AQ91" s="22" t="str">
        <ns0:f>IF($A91="","",IF($I91="Yes",IF(AQ$6=$D91,"◆",""),IF(AND(AQ$6&gt;=$D91,AQ$6&lt;=$E91),MAX(0,MIN(1,$G91*$F91-(AQ$6-$D91))),"")))</ns0:f>
      </ns0:c>
      <ns0:c r="AR91" s="22" t="str">
        <ns0:f>IF($A91="","",IF($I91="Yes",IF(AR$6=$D91,"◆",""),IF(AND(AR$6&gt;=$D91,AR$6&lt;=$E91),MAX(0,MIN(1,$G91*$F91-(AR$6-$D91))),"")))</ns0:f>
      </ns0:c>
    </ns0:row>
    <ns0:row r="92" ht="48" customHeight="1">
      <ns0:c r="A92" s="8" t="str">
        <ns0:f>IF(INDEX(Tasks[Task ID],86)="","",INDEX(Tasks[Task ID],86))</ns0:f>
      </ns0:c>
      <ns0:c r="B92" s="8" t="str">
        <ns0:f>IF(INDEX(Tasks[Task ID],86)="","",INDEX(Tasks[Phase],86))</ns0:f>
      </ns0:c>
      <ns0:c r="C92" s="8" t="str">
        <ns0:f>IF(INDEX(Tasks[Task ID],86)="","",INDEX(Tasks[Task Name],86))</ns0:f>
      </ns0:c>
      <ns0:c r="D92" s="18" t="str">
        <ns0:f>IF(INDEX(Tasks[Task ID],86)="","",INDEX(Tasks[Start Date],86))</ns0:f>
      </ns0:c>
      <ns0:c r="E92" s="18" t="str">
        <ns0:f>IF(INDEX(Tasks[Task ID],86)="","",INDEX(Tasks[End Date],86))</ns0:f>
      </ns0:c>
      <ns0:c r="F92" s="8" t="str">
        <ns0:f>IF(INDEX(Tasks[Task ID],86)="","",INDEX(Tasks[Duration],86))</ns0:f>
      </ns0:c>
      <ns0:c r="G92" s="19" t="str">
        <ns0:f>IF(INDEX(Tasks[Task ID],86)="","",INDEX(Tasks[Progress %],86))</ns0:f>
      </ns0:c>
      <ns0:c r="H92" s="8" t="str">
        <ns0:f>IF(INDEX(Tasks[Task ID],86)="","",INDEX('Project Tracker'!$Q$7:$Q$106,86))</ns0:f>
      </ns0:c>
      <ns0:c r="I92" s="8" t="str">
        <ns0:f>IF(INDEX(Tasks[Task ID],86)="","",INDEX(Tasks[Milestone],86))</ns0:f>
      </ns0:c>
      <ns0:c r="J92" s="8" t="str">
        <ns0:f>IF(INDEX(Tasks[Task ID],86)="","",INDEX(Tasks[Schedule Health],86))</ns0:f>
      </ns0:c>
      <ns0:c r="K92" s="22" t="str">
        <ns0:f>IF($A92="","",IF($I92="Yes",IF(K$6=$D92,"◆",""),IF(AND(K$6&gt;=$D92,K$6&lt;=$E92),MAX(0,MIN(1,$G92*$F92-(K$6-$D92))),"")))</ns0:f>
      </ns0:c>
      <ns0:c r="L92" s="22" t="str">
        <ns0:f>IF($A92="","",IF($I92="Yes",IF(L$6=$D92,"◆",""),IF(AND(L$6&gt;=$D92,L$6&lt;=$E92),MAX(0,MIN(1,$G92*$F92-(L$6-$D92))),"")))</ns0:f>
      </ns0:c>
      <ns0:c r="M92" s="22" t="str">
        <ns0:f>IF($A92="","",IF($I92="Yes",IF(M$6=$D92,"◆",""),IF(AND(M$6&gt;=$D92,M$6&lt;=$E92),MAX(0,MIN(1,$G92*$F92-(M$6-$D92))),"")))</ns0:f>
      </ns0:c>
      <ns0:c r="N92" s="22" t="str">
        <ns0:f>IF($A92="","",IF($I92="Yes",IF(N$6=$D92,"◆",""),IF(AND(N$6&gt;=$D92,N$6&lt;=$E92),MAX(0,MIN(1,$G92*$F92-(N$6-$D92))),"")))</ns0:f>
      </ns0:c>
      <ns0:c r="O92" s="22" t="str">
        <ns0:f>IF($A92="","",IF($I92="Yes",IF(O$6=$D92,"◆",""),IF(AND(O$6&gt;=$D92,O$6&lt;=$E92),MAX(0,MIN(1,$G92*$F92-(O$6-$D92))),"")))</ns0:f>
      </ns0:c>
      <ns0:c r="P92" s="22" t="str">
        <ns0:f>IF($A92="","",IF($I92="Yes",IF(P$6=$D92,"◆",""),IF(AND(P$6&gt;=$D92,P$6&lt;=$E92),MAX(0,MIN(1,$G92*$F92-(P$6-$D92))),"")))</ns0:f>
      </ns0:c>
      <ns0:c r="Q92" s="22" t="str">
        <ns0:f>IF($A92="","",IF($I92="Yes",IF(Q$6=$D92,"◆",""),IF(AND(Q$6&gt;=$D92,Q$6&lt;=$E92),MAX(0,MIN(1,$G92*$F92-(Q$6-$D92))),"")))</ns0:f>
      </ns0:c>
      <ns0:c r="R92" s="22" t="str">
        <ns0:f>IF($A92="","",IF($I92="Yes",IF(R$6=$D92,"◆",""),IF(AND(R$6&gt;=$D92,R$6&lt;=$E92),MAX(0,MIN(1,$G92*$F92-(R$6-$D92))),"")))</ns0:f>
      </ns0:c>
      <ns0:c r="S92" s="22" t="str">
        <ns0:f>IF($A92="","",IF($I92="Yes",IF(S$6=$D92,"◆",""),IF(AND(S$6&gt;=$D92,S$6&lt;=$E92),MAX(0,MIN(1,$G92*$F92-(S$6-$D92))),"")))</ns0:f>
      </ns0:c>
      <ns0:c r="T92" s="22" t="str">
        <ns0:f>IF($A92="","",IF($I92="Yes",IF(T$6=$D92,"◆",""),IF(AND(T$6&gt;=$D92,T$6&lt;=$E92),MAX(0,MIN(1,$G92*$F92-(T$6-$D92))),"")))</ns0:f>
      </ns0:c>
      <ns0:c r="U92" s="22" t="str">
        <ns0:f>IF($A92="","",IF($I92="Yes",IF(U$6=$D92,"◆",""),IF(AND(U$6&gt;=$D92,U$6&lt;=$E92),MAX(0,MIN(1,$G92*$F92-(U$6-$D92))),"")))</ns0:f>
      </ns0:c>
      <ns0:c r="V92" s="22" t="str">
        <ns0:f>IF($A92="","",IF($I92="Yes",IF(V$6=$D92,"◆",""),IF(AND(V$6&gt;=$D92,V$6&lt;=$E92),MAX(0,MIN(1,$G92*$F92-(V$6-$D92))),"")))</ns0:f>
      </ns0:c>
      <ns0:c r="W92" s="22" t="str">
        <ns0:f>IF($A92="","",IF($I92="Yes",IF(W$6=$D92,"◆",""),IF(AND(W$6&gt;=$D92,W$6&lt;=$E92),MAX(0,MIN(1,$G92*$F92-(W$6-$D92))),"")))</ns0:f>
      </ns0:c>
      <ns0:c r="X92" s="22" t="str">
        <ns0:f>IF($A92="","",IF($I92="Yes",IF(X$6=$D92,"◆",""),IF(AND(X$6&gt;=$D92,X$6&lt;=$E92),MAX(0,MIN(1,$G92*$F92-(X$6-$D92))),"")))</ns0:f>
      </ns0:c>
      <ns0:c r="Y92" s="22" t="str">
        <ns0:f>IF($A92="","",IF($I92="Yes",IF(Y$6=$D92,"◆",""),IF(AND(Y$6&gt;=$D92,Y$6&lt;=$E92),MAX(0,MIN(1,$G92*$F92-(Y$6-$D92))),"")))</ns0:f>
      </ns0:c>
      <ns0:c r="Z92" s="22" t="str">
        <ns0:f>IF($A92="","",IF($I92="Yes",IF(Z$6=$D92,"◆",""),IF(AND(Z$6&gt;=$D92,Z$6&lt;=$E92),MAX(0,MIN(1,$G92*$F92-(Z$6-$D92))),"")))</ns0:f>
      </ns0:c>
      <ns0:c r="AA92" s="22" t="str">
        <ns0:f>IF($A92="","",IF($I92="Yes",IF(AA$6=$D92,"◆",""),IF(AND(AA$6&gt;=$D92,AA$6&lt;=$E92),MAX(0,MIN(1,$G92*$F92-(AA$6-$D92))),"")))</ns0:f>
      </ns0:c>
      <ns0:c r="AB92" s="22" t="str">
        <ns0:f>IF($A92="","",IF($I92="Yes",IF(AB$6=$D92,"◆",""),IF(AND(AB$6&gt;=$D92,AB$6&lt;=$E92),MAX(0,MIN(1,$G92*$F92-(AB$6-$D92))),"")))</ns0:f>
      </ns0:c>
      <ns0:c r="AC92" s="22" t="str">
        <ns0:f>IF($A92="","",IF($I92="Yes",IF(AC$6=$D92,"◆",""),IF(AND(AC$6&gt;=$D92,AC$6&lt;=$E92),MAX(0,MIN(1,$G92*$F92-(AC$6-$D92))),"")))</ns0:f>
      </ns0:c>
      <ns0:c r="AD92" s="22" t="str">
        <ns0:f>IF($A92="","",IF($I92="Yes",IF(AD$6=$D92,"◆",""),IF(AND(AD$6&gt;=$D92,AD$6&lt;=$E92),MAX(0,MIN(1,$G92*$F92-(AD$6-$D92))),"")))</ns0:f>
      </ns0:c>
      <ns0:c r="AE92" s="22" t="str">
        <ns0:f>IF($A92="","",IF($I92="Yes",IF(AE$6=$D92,"◆",""),IF(AND(AE$6&gt;=$D92,AE$6&lt;=$E92),MAX(0,MIN(1,$G92*$F92-(AE$6-$D92))),"")))</ns0:f>
      </ns0:c>
      <ns0:c r="AF92" s="22" t="str">
        <ns0:f>IF($A92="","",IF($I92="Yes",IF(AF$6=$D92,"◆",""),IF(AND(AF$6&gt;=$D92,AF$6&lt;=$E92),MAX(0,MIN(1,$G92*$F92-(AF$6-$D92))),"")))</ns0:f>
      </ns0:c>
      <ns0:c r="AG92" s="22" t="str">
        <ns0:f>IF($A92="","",IF($I92="Yes",IF(AG$6=$D92,"◆",""),IF(AND(AG$6&gt;=$D92,AG$6&lt;=$E92),MAX(0,MIN(1,$G92*$F92-(AG$6-$D92))),"")))</ns0:f>
      </ns0:c>
      <ns0:c r="AH92" s="22" t="str">
        <ns0:f>IF($A92="","",IF($I92="Yes",IF(AH$6=$D92,"◆",""),IF(AND(AH$6&gt;=$D92,AH$6&lt;=$E92),MAX(0,MIN(1,$G92*$F92-(AH$6-$D92))),"")))</ns0:f>
      </ns0:c>
      <ns0:c r="AI92" s="22" t="str">
        <ns0:f>IF($A92="","",IF($I92="Yes",IF(AI$6=$D92,"◆",""),IF(AND(AI$6&gt;=$D92,AI$6&lt;=$E92),MAX(0,MIN(1,$G92*$F92-(AI$6-$D92))),"")))</ns0:f>
      </ns0:c>
      <ns0:c r="AJ92" s="22" t="str">
        <ns0:f>IF($A92="","",IF($I92="Yes",IF(AJ$6=$D92,"◆",""),IF(AND(AJ$6&gt;=$D92,AJ$6&lt;=$E92),MAX(0,MIN(1,$G92*$F92-(AJ$6-$D92))),"")))</ns0:f>
      </ns0:c>
      <ns0:c r="AK92" s="22" t="str">
        <ns0:f>IF($A92="","",IF($I92="Yes",IF(AK$6=$D92,"◆",""),IF(AND(AK$6&gt;=$D92,AK$6&lt;=$E92),MAX(0,MIN(1,$G92*$F92-(AK$6-$D92))),"")))</ns0:f>
      </ns0:c>
      <ns0:c r="AL92" s="22" t="str">
        <ns0:f>IF($A92="","",IF($I92="Yes",IF(AL$6=$D92,"◆",""),IF(AND(AL$6&gt;=$D92,AL$6&lt;=$E92),MAX(0,MIN(1,$G92*$F92-(AL$6-$D92))),"")))</ns0:f>
      </ns0:c>
      <ns0:c r="AM92" s="22" t="str">
        <ns0:f>IF($A92="","",IF($I92="Yes",IF(AM$6=$D92,"◆",""),IF(AND(AM$6&gt;=$D92,AM$6&lt;=$E92),MAX(0,MIN(1,$G92*$F92-(AM$6-$D92))),"")))</ns0:f>
      </ns0:c>
      <ns0:c r="AN92" s="22" t="str">
        <ns0:f>IF($A92="","",IF($I92="Yes",IF(AN$6=$D92,"◆",""),IF(AND(AN$6&gt;=$D92,AN$6&lt;=$E92),MAX(0,MIN(1,$G92*$F92-(AN$6-$D92))),"")))</ns0:f>
      </ns0:c>
      <ns0:c r="AO92" s="22" t="str">
        <ns0:f>IF($A92="","",IF($I92="Yes",IF(AO$6=$D92,"◆",""),IF(AND(AO$6&gt;=$D92,AO$6&lt;=$E92),MAX(0,MIN(1,$G92*$F92-(AO$6-$D92))),"")))</ns0:f>
      </ns0:c>
      <ns0:c r="AP92" s="22" t="str">
        <ns0:f>IF($A92="","",IF($I92="Yes",IF(AP$6=$D92,"◆",""),IF(AND(AP$6&gt;=$D92,AP$6&lt;=$E92),MAX(0,MIN(1,$G92*$F92-(AP$6-$D92))),"")))</ns0:f>
      </ns0:c>
      <ns0:c r="AQ92" s="22" t="str">
        <ns0:f>IF($A92="","",IF($I92="Yes",IF(AQ$6=$D92,"◆",""),IF(AND(AQ$6&gt;=$D92,AQ$6&lt;=$E92),MAX(0,MIN(1,$G92*$F92-(AQ$6-$D92))),"")))</ns0:f>
      </ns0:c>
      <ns0:c r="AR92" s="22" t="str">
        <ns0:f>IF($A92="","",IF($I92="Yes",IF(AR$6=$D92,"◆",""),IF(AND(AR$6&gt;=$D92,AR$6&lt;=$E92),MAX(0,MIN(1,$G92*$F92-(AR$6-$D92))),"")))</ns0:f>
      </ns0:c>
    </ns0:row>
    <ns0:row r="93" ht="48" customHeight="1">
      <ns0:c r="A93" s="8" t="str">
        <ns0:f>IF(INDEX(Tasks[Task ID],87)="","",INDEX(Tasks[Task ID],87))</ns0:f>
      </ns0:c>
      <ns0:c r="B93" s="8" t="str">
        <ns0:f>IF(INDEX(Tasks[Task ID],87)="","",INDEX(Tasks[Phase],87))</ns0:f>
      </ns0:c>
      <ns0:c r="C93" s="8" t="str">
        <ns0:f>IF(INDEX(Tasks[Task ID],87)="","",INDEX(Tasks[Task Name],87))</ns0:f>
      </ns0:c>
      <ns0:c r="D93" s="18" t="str">
        <ns0:f>IF(INDEX(Tasks[Task ID],87)="","",INDEX(Tasks[Start Date],87))</ns0:f>
      </ns0:c>
      <ns0:c r="E93" s="18" t="str">
        <ns0:f>IF(INDEX(Tasks[Task ID],87)="","",INDEX(Tasks[End Date],87))</ns0:f>
      </ns0:c>
      <ns0:c r="F93" s="8" t="str">
        <ns0:f>IF(INDEX(Tasks[Task ID],87)="","",INDEX(Tasks[Duration],87))</ns0:f>
      </ns0:c>
      <ns0:c r="G93" s="19" t="str">
        <ns0:f>IF(INDEX(Tasks[Task ID],87)="","",INDEX(Tasks[Progress %],87))</ns0:f>
      </ns0:c>
      <ns0:c r="H93" s="8" t="str">
        <ns0:f>IF(INDEX(Tasks[Task ID],87)="","",INDEX('Project Tracker'!$Q$7:$Q$106,87))</ns0:f>
      </ns0:c>
      <ns0:c r="I93" s="8" t="str">
        <ns0:f>IF(INDEX(Tasks[Task ID],87)="","",INDEX(Tasks[Milestone],87))</ns0:f>
      </ns0:c>
      <ns0:c r="J93" s="8" t="str">
        <ns0:f>IF(INDEX(Tasks[Task ID],87)="","",INDEX(Tasks[Schedule Health],87))</ns0:f>
      </ns0:c>
      <ns0:c r="K93" s="22" t="str">
        <ns0:f>IF($A93="","",IF($I93="Yes",IF(K$6=$D93,"◆",""),IF(AND(K$6&gt;=$D93,K$6&lt;=$E93),MAX(0,MIN(1,$G93*$F93-(K$6-$D93))),"")))</ns0:f>
      </ns0:c>
      <ns0:c r="L93" s="22" t="str">
        <ns0:f>IF($A93="","",IF($I93="Yes",IF(L$6=$D93,"◆",""),IF(AND(L$6&gt;=$D93,L$6&lt;=$E93),MAX(0,MIN(1,$G93*$F93-(L$6-$D93))),"")))</ns0:f>
      </ns0:c>
      <ns0:c r="M93" s="22" t="str">
        <ns0:f>IF($A93="","",IF($I93="Yes",IF(M$6=$D93,"◆",""),IF(AND(M$6&gt;=$D93,M$6&lt;=$E93),MAX(0,MIN(1,$G93*$F93-(M$6-$D93))),"")))</ns0:f>
      </ns0:c>
      <ns0:c r="N93" s="22" t="str">
        <ns0:f>IF($A93="","",IF($I93="Yes",IF(N$6=$D93,"◆",""),IF(AND(N$6&gt;=$D93,N$6&lt;=$E93),MAX(0,MIN(1,$G93*$F93-(N$6-$D93))),"")))</ns0:f>
      </ns0:c>
      <ns0:c r="O93" s="22" t="str">
        <ns0:f>IF($A93="","",IF($I93="Yes",IF(O$6=$D93,"◆",""),IF(AND(O$6&gt;=$D93,O$6&lt;=$E93),MAX(0,MIN(1,$G93*$F93-(O$6-$D93))),"")))</ns0:f>
      </ns0:c>
      <ns0:c r="P93" s="22" t="str">
        <ns0:f>IF($A93="","",IF($I93="Yes",IF(P$6=$D93,"◆",""),IF(AND(P$6&gt;=$D93,P$6&lt;=$E93),MAX(0,MIN(1,$G93*$F93-(P$6-$D93))),"")))</ns0:f>
      </ns0:c>
      <ns0:c r="Q93" s="22" t="str">
        <ns0:f>IF($A93="","",IF($I93="Yes",IF(Q$6=$D93,"◆",""),IF(AND(Q$6&gt;=$D93,Q$6&lt;=$E93),MAX(0,MIN(1,$G93*$F93-(Q$6-$D93))),"")))</ns0:f>
      </ns0:c>
      <ns0:c r="R93" s="22" t="str">
        <ns0:f>IF($A93="","",IF($I93="Yes",IF(R$6=$D93,"◆",""),IF(AND(R$6&gt;=$D93,R$6&lt;=$E93),MAX(0,MIN(1,$G93*$F93-(R$6-$D93))),"")))</ns0:f>
      </ns0:c>
      <ns0:c r="S93" s="22" t="str">
        <ns0:f>IF($A93="","",IF($I93="Yes",IF(S$6=$D93,"◆",""),IF(AND(S$6&gt;=$D93,S$6&lt;=$E93),MAX(0,MIN(1,$G93*$F93-(S$6-$D93))),"")))</ns0:f>
      </ns0:c>
      <ns0:c r="T93" s="22" t="str">
        <ns0:f>IF($A93="","",IF($I93="Yes",IF(T$6=$D93,"◆",""),IF(AND(T$6&gt;=$D93,T$6&lt;=$E93),MAX(0,MIN(1,$G93*$F93-(T$6-$D93))),"")))</ns0:f>
      </ns0:c>
      <ns0:c r="U93" s="22" t="str">
        <ns0:f>IF($A93="","",IF($I93="Yes",IF(U$6=$D93,"◆",""),IF(AND(U$6&gt;=$D93,U$6&lt;=$E93),MAX(0,MIN(1,$G93*$F93-(U$6-$D93))),"")))</ns0:f>
      </ns0:c>
      <ns0:c r="V93" s="22" t="str">
        <ns0:f>IF($A93="","",IF($I93="Yes",IF(V$6=$D93,"◆",""),IF(AND(V$6&gt;=$D93,V$6&lt;=$E93),MAX(0,MIN(1,$G93*$F93-(V$6-$D93))),"")))</ns0:f>
      </ns0:c>
      <ns0:c r="W93" s="22" t="str">
        <ns0:f>IF($A93="","",IF($I93="Yes",IF(W$6=$D93,"◆",""),IF(AND(W$6&gt;=$D93,W$6&lt;=$E93),MAX(0,MIN(1,$G93*$F93-(W$6-$D93))),"")))</ns0:f>
      </ns0:c>
      <ns0:c r="X93" s="22" t="str">
        <ns0:f>IF($A93="","",IF($I93="Yes",IF(X$6=$D93,"◆",""),IF(AND(X$6&gt;=$D93,X$6&lt;=$E93),MAX(0,MIN(1,$G93*$F93-(X$6-$D93))),"")))</ns0:f>
      </ns0:c>
      <ns0:c r="Y93" s="22" t="str">
        <ns0:f>IF($A93="","",IF($I93="Yes",IF(Y$6=$D93,"◆",""),IF(AND(Y$6&gt;=$D93,Y$6&lt;=$E93),MAX(0,MIN(1,$G93*$F93-(Y$6-$D93))),"")))</ns0:f>
      </ns0:c>
      <ns0:c r="Z93" s="22" t="str">
        <ns0:f>IF($A93="","",IF($I93="Yes",IF(Z$6=$D93,"◆",""),IF(AND(Z$6&gt;=$D93,Z$6&lt;=$E93),MAX(0,MIN(1,$G93*$F93-(Z$6-$D93))),"")))</ns0:f>
      </ns0:c>
      <ns0:c r="AA93" s="22" t="str">
        <ns0:f>IF($A93="","",IF($I93="Yes",IF(AA$6=$D93,"◆",""),IF(AND(AA$6&gt;=$D93,AA$6&lt;=$E93),MAX(0,MIN(1,$G93*$F93-(AA$6-$D93))),"")))</ns0:f>
      </ns0:c>
      <ns0:c r="AB93" s="22" t="str">
        <ns0:f>IF($A93="","",IF($I93="Yes",IF(AB$6=$D93,"◆",""),IF(AND(AB$6&gt;=$D93,AB$6&lt;=$E93),MAX(0,MIN(1,$G93*$F93-(AB$6-$D93))),"")))</ns0:f>
      </ns0:c>
      <ns0:c r="AC93" s="22" t="str">
        <ns0:f>IF($A93="","",IF($I93="Yes",IF(AC$6=$D93,"◆",""),IF(AND(AC$6&gt;=$D93,AC$6&lt;=$E93),MAX(0,MIN(1,$G93*$F93-(AC$6-$D93))),"")))</ns0:f>
      </ns0:c>
      <ns0:c r="AD93" s="22" t="str">
        <ns0:f>IF($A93="","",IF($I93="Yes",IF(AD$6=$D93,"◆",""),IF(AND(AD$6&gt;=$D93,AD$6&lt;=$E93),MAX(0,MIN(1,$G93*$F93-(AD$6-$D93))),"")))</ns0:f>
      </ns0:c>
      <ns0:c r="AE93" s="22" t="str">
        <ns0:f>IF($A93="","",IF($I93="Yes",IF(AE$6=$D93,"◆",""),IF(AND(AE$6&gt;=$D93,AE$6&lt;=$E93),MAX(0,MIN(1,$G93*$F93-(AE$6-$D93))),"")))</ns0:f>
      </ns0:c>
      <ns0:c r="AF93" s="22" t="str">
        <ns0:f>IF($A93="","",IF($I93="Yes",IF(AF$6=$D93,"◆",""),IF(AND(AF$6&gt;=$D93,AF$6&lt;=$E93),MAX(0,MIN(1,$G93*$F93-(AF$6-$D93))),"")))</ns0:f>
      </ns0:c>
      <ns0:c r="AG93" s="22" t="str">
        <ns0:f>IF($A93="","",IF($I93="Yes",IF(AG$6=$D93,"◆",""),IF(AND(AG$6&gt;=$D93,AG$6&lt;=$E93),MAX(0,MIN(1,$G93*$F93-(AG$6-$D93))),"")))</ns0:f>
      </ns0:c>
      <ns0:c r="AH93" s="22" t="str">
        <ns0:f>IF($A93="","",IF($I93="Yes",IF(AH$6=$D93,"◆",""),IF(AND(AH$6&gt;=$D93,AH$6&lt;=$E93),MAX(0,MIN(1,$G93*$F93-(AH$6-$D93))),"")))</ns0:f>
      </ns0:c>
      <ns0:c r="AI93" s="22" t="str">
        <ns0:f>IF($A93="","",IF($I93="Yes",IF(AI$6=$D93,"◆",""),IF(AND(AI$6&gt;=$D93,AI$6&lt;=$E93),MAX(0,MIN(1,$G93*$F93-(AI$6-$D93))),"")))</ns0:f>
      </ns0:c>
      <ns0:c r="AJ93" s="22" t="str">
        <ns0:f>IF($A93="","",IF($I93="Yes",IF(AJ$6=$D93,"◆",""),IF(AND(AJ$6&gt;=$D93,AJ$6&lt;=$E93),MAX(0,MIN(1,$G93*$F93-(AJ$6-$D93))),"")))</ns0:f>
      </ns0:c>
      <ns0:c r="AK93" s="22" t="str">
        <ns0:f>IF($A93="","",IF($I93="Yes",IF(AK$6=$D93,"◆",""),IF(AND(AK$6&gt;=$D93,AK$6&lt;=$E93),MAX(0,MIN(1,$G93*$F93-(AK$6-$D93))),"")))</ns0:f>
      </ns0:c>
      <ns0:c r="AL93" s="22" t="str">
        <ns0:f>IF($A93="","",IF($I93="Yes",IF(AL$6=$D93,"◆",""),IF(AND(AL$6&gt;=$D93,AL$6&lt;=$E93),MAX(0,MIN(1,$G93*$F93-(AL$6-$D93))),"")))</ns0:f>
      </ns0:c>
      <ns0:c r="AM93" s="22" t="str">
        <ns0:f>IF($A93="","",IF($I93="Yes",IF(AM$6=$D93,"◆",""),IF(AND(AM$6&gt;=$D93,AM$6&lt;=$E93),MAX(0,MIN(1,$G93*$F93-(AM$6-$D93))),"")))</ns0:f>
      </ns0:c>
      <ns0:c r="AN93" s="22" t="str">
        <ns0:f>IF($A93="","",IF($I93="Yes",IF(AN$6=$D93,"◆",""),IF(AND(AN$6&gt;=$D93,AN$6&lt;=$E93),MAX(0,MIN(1,$G93*$F93-(AN$6-$D93))),"")))</ns0:f>
      </ns0:c>
      <ns0:c r="AO93" s="22" t="str">
        <ns0:f>IF($A93="","",IF($I93="Yes",IF(AO$6=$D93,"◆",""),IF(AND(AO$6&gt;=$D93,AO$6&lt;=$E93),MAX(0,MIN(1,$G93*$F93-(AO$6-$D93))),"")))</ns0:f>
      </ns0:c>
      <ns0:c r="AP93" s="22" t="str">
        <ns0:f>IF($A93="","",IF($I93="Yes",IF(AP$6=$D93,"◆",""),IF(AND(AP$6&gt;=$D93,AP$6&lt;=$E93),MAX(0,MIN(1,$G93*$F93-(AP$6-$D93))),"")))</ns0:f>
      </ns0:c>
      <ns0:c r="AQ93" s="22" t="str">
        <ns0:f>IF($A93="","",IF($I93="Yes",IF(AQ$6=$D93,"◆",""),IF(AND(AQ$6&gt;=$D93,AQ$6&lt;=$E93),MAX(0,MIN(1,$G93*$F93-(AQ$6-$D93))),"")))</ns0:f>
      </ns0:c>
      <ns0:c r="AR93" s="22" t="str">
        <ns0:f>IF($A93="","",IF($I93="Yes",IF(AR$6=$D93,"◆",""),IF(AND(AR$6&gt;=$D93,AR$6&lt;=$E93),MAX(0,MIN(1,$G93*$F93-(AR$6-$D93))),"")))</ns0:f>
      </ns0:c>
    </ns0:row>
    <ns0:row r="94" ht="48" customHeight="1">
      <ns0:c r="A94" s="8" t="str">
        <ns0:f>IF(INDEX(Tasks[Task ID],88)="","",INDEX(Tasks[Task ID],88))</ns0:f>
      </ns0:c>
      <ns0:c r="B94" s="8" t="str">
        <ns0:f>IF(INDEX(Tasks[Task ID],88)="","",INDEX(Tasks[Phase],88))</ns0:f>
      </ns0:c>
      <ns0:c r="C94" s="8" t="str">
        <ns0:f>IF(INDEX(Tasks[Task ID],88)="","",INDEX(Tasks[Task Name],88))</ns0:f>
      </ns0:c>
      <ns0:c r="D94" s="18" t="str">
        <ns0:f>IF(INDEX(Tasks[Task ID],88)="","",INDEX(Tasks[Start Date],88))</ns0:f>
      </ns0:c>
      <ns0:c r="E94" s="18" t="str">
        <ns0:f>IF(INDEX(Tasks[Task ID],88)="","",INDEX(Tasks[End Date],88))</ns0:f>
      </ns0:c>
      <ns0:c r="F94" s="8" t="str">
        <ns0:f>IF(INDEX(Tasks[Task ID],88)="","",INDEX(Tasks[Duration],88))</ns0:f>
      </ns0:c>
      <ns0:c r="G94" s="19" t="str">
        <ns0:f>IF(INDEX(Tasks[Task ID],88)="","",INDEX(Tasks[Progress %],88))</ns0:f>
      </ns0:c>
      <ns0:c r="H94" s="8" t="str">
        <ns0:f>IF(INDEX(Tasks[Task ID],88)="","",INDEX('Project Tracker'!$Q$7:$Q$106,88))</ns0:f>
      </ns0:c>
      <ns0:c r="I94" s="8" t="str">
        <ns0:f>IF(INDEX(Tasks[Task ID],88)="","",INDEX(Tasks[Milestone],88))</ns0:f>
      </ns0:c>
      <ns0:c r="J94" s="8" t="str">
        <ns0:f>IF(INDEX(Tasks[Task ID],88)="","",INDEX(Tasks[Schedule Health],88))</ns0:f>
      </ns0:c>
      <ns0:c r="K94" s="22" t="str">
        <ns0:f>IF($A94="","",IF($I94="Yes",IF(K$6=$D94,"◆",""),IF(AND(K$6&gt;=$D94,K$6&lt;=$E94),MAX(0,MIN(1,$G94*$F94-(K$6-$D94))),"")))</ns0:f>
      </ns0:c>
      <ns0:c r="L94" s="22" t="str">
        <ns0:f>IF($A94="","",IF($I94="Yes",IF(L$6=$D94,"◆",""),IF(AND(L$6&gt;=$D94,L$6&lt;=$E94),MAX(0,MIN(1,$G94*$F94-(L$6-$D94))),"")))</ns0:f>
      </ns0:c>
      <ns0:c r="M94" s="22" t="str">
        <ns0:f>IF($A94="","",IF($I94="Yes",IF(M$6=$D94,"◆",""),IF(AND(M$6&gt;=$D94,M$6&lt;=$E94),MAX(0,MIN(1,$G94*$F94-(M$6-$D94))),"")))</ns0:f>
      </ns0:c>
      <ns0:c r="N94" s="22" t="str">
        <ns0:f>IF($A94="","",IF($I94="Yes",IF(N$6=$D94,"◆",""),IF(AND(N$6&gt;=$D94,N$6&lt;=$E94),MAX(0,MIN(1,$G94*$F94-(N$6-$D94))),"")))</ns0:f>
      </ns0:c>
      <ns0:c r="O94" s="22" t="str">
        <ns0:f>IF($A94="","",IF($I94="Yes",IF(O$6=$D94,"◆",""),IF(AND(O$6&gt;=$D94,O$6&lt;=$E94),MAX(0,MIN(1,$G94*$F94-(O$6-$D94))),"")))</ns0:f>
      </ns0:c>
      <ns0:c r="P94" s="22" t="str">
        <ns0:f>IF($A94="","",IF($I94="Yes",IF(P$6=$D94,"◆",""),IF(AND(P$6&gt;=$D94,P$6&lt;=$E94),MAX(0,MIN(1,$G94*$F94-(P$6-$D94))),"")))</ns0:f>
      </ns0:c>
      <ns0:c r="Q94" s="22" t="str">
        <ns0:f>IF($A94="","",IF($I94="Yes",IF(Q$6=$D94,"◆",""),IF(AND(Q$6&gt;=$D94,Q$6&lt;=$E94),MAX(0,MIN(1,$G94*$F94-(Q$6-$D94))),"")))</ns0:f>
      </ns0:c>
      <ns0:c r="R94" s="22" t="str">
        <ns0:f>IF($A94="","",IF($I94="Yes",IF(R$6=$D94,"◆",""),IF(AND(R$6&gt;=$D94,R$6&lt;=$E94),MAX(0,MIN(1,$G94*$F94-(R$6-$D94))),"")))</ns0:f>
      </ns0:c>
      <ns0:c r="S94" s="22" t="str">
        <ns0:f>IF($A94="","",IF($I94="Yes",IF(S$6=$D94,"◆",""),IF(AND(S$6&gt;=$D94,S$6&lt;=$E94),MAX(0,MIN(1,$G94*$F94-(S$6-$D94))),"")))</ns0:f>
      </ns0:c>
      <ns0:c r="T94" s="22" t="str">
        <ns0:f>IF($A94="","",IF($I94="Yes",IF(T$6=$D94,"◆",""),IF(AND(T$6&gt;=$D94,T$6&lt;=$E94),MAX(0,MIN(1,$G94*$F94-(T$6-$D94))),"")))</ns0:f>
      </ns0:c>
      <ns0:c r="U94" s="22" t="str">
        <ns0:f>IF($A94="","",IF($I94="Yes",IF(U$6=$D94,"◆",""),IF(AND(U$6&gt;=$D94,U$6&lt;=$E94),MAX(0,MIN(1,$G94*$F94-(U$6-$D94))),"")))</ns0:f>
      </ns0:c>
      <ns0:c r="V94" s="22" t="str">
        <ns0:f>IF($A94="","",IF($I94="Yes",IF(V$6=$D94,"◆",""),IF(AND(V$6&gt;=$D94,V$6&lt;=$E94),MAX(0,MIN(1,$G94*$F94-(V$6-$D94))),"")))</ns0:f>
      </ns0:c>
      <ns0:c r="W94" s="22" t="str">
        <ns0:f>IF($A94="","",IF($I94="Yes",IF(W$6=$D94,"◆",""),IF(AND(W$6&gt;=$D94,W$6&lt;=$E94),MAX(0,MIN(1,$G94*$F94-(W$6-$D94))),"")))</ns0:f>
      </ns0:c>
      <ns0:c r="X94" s="22" t="str">
        <ns0:f>IF($A94="","",IF($I94="Yes",IF(X$6=$D94,"◆",""),IF(AND(X$6&gt;=$D94,X$6&lt;=$E94),MAX(0,MIN(1,$G94*$F94-(X$6-$D94))),"")))</ns0:f>
      </ns0:c>
      <ns0:c r="Y94" s="22" t="str">
        <ns0:f>IF($A94="","",IF($I94="Yes",IF(Y$6=$D94,"◆",""),IF(AND(Y$6&gt;=$D94,Y$6&lt;=$E94),MAX(0,MIN(1,$G94*$F94-(Y$6-$D94))),"")))</ns0:f>
      </ns0:c>
      <ns0:c r="Z94" s="22" t="str">
        <ns0:f>IF($A94="","",IF($I94="Yes",IF(Z$6=$D94,"◆",""),IF(AND(Z$6&gt;=$D94,Z$6&lt;=$E94),MAX(0,MIN(1,$G94*$F94-(Z$6-$D94))),"")))</ns0:f>
      </ns0:c>
      <ns0:c r="AA94" s="22" t="str">
        <ns0:f>IF($A94="","",IF($I94="Yes",IF(AA$6=$D94,"◆",""),IF(AND(AA$6&gt;=$D94,AA$6&lt;=$E94),MAX(0,MIN(1,$G94*$F94-(AA$6-$D94))),"")))</ns0:f>
      </ns0:c>
      <ns0:c r="AB94" s="22" t="str">
        <ns0:f>IF($A94="","",IF($I94="Yes",IF(AB$6=$D94,"◆",""),IF(AND(AB$6&gt;=$D94,AB$6&lt;=$E94),MAX(0,MIN(1,$G94*$F94-(AB$6-$D94))),"")))</ns0:f>
      </ns0:c>
      <ns0:c r="AC94" s="22" t="str">
        <ns0:f>IF($A94="","",IF($I94="Yes",IF(AC$6=$D94,"◆",""),IF(AND(AC$6&gt;=$D94,AC$6&lt;=$E94),MAX(0,MIN(1,$G94*$F94-(AC$6-$D94))),"")))</ns0:f>
      </ns0:c>
      <ns0:c r="AD94" s="22" t="str">
        <ns0:f>IF($A94="","",IF($I94="Yes",IF(AD$6=$D94,"◆",""),IF(AND(AD$6&gt;=$D94,AD$6&lt;=$E94),MAX(0,MIN(1,$G94*$F94-(AD$6-$D94))),"")))</ns0:f>
      </ns0:c>
      <ns0:c r="AE94" s="22" t="str">
        <ns0:f>IF($A94="","",IF($I94="Yes",IF(AE$6=$D94,"◆",""),IF(AND(AE$6&gt;=$D94,AE$6&lt;=$E94),MAX(0,MIN(1,$G94*$F94-(AE$6-$D94))),"")))</ns0:f>
      </ns0:c>
      <ns0:c r="AF94" s="22" t="str">
        <ns0:f>IF($A94="","",IF($I94="Yes",IF(AF$6=$D94,"◆",""),IF(AND(AF$6&gt;=$D94,AF$6&lt;=$E94),MAX(0,MIN(1,$G94*$F94-(AF$6-$D94))),"")))</ns0:f>
      </ns0:c>
      <ns0:c r="AG94" s="22" t="str">
        <ns0:f>IF($A94="","",IF($I94="Yes",IF(AG$6=$D94,"◆",""),IF(AND(AG$6&gt;=$D94,AG$6&lt;=$E94),MAX(0,MIN(1,$G94*$F94-(AG$6-$D94))),"")))</ns0:f>
      </ns0:c>
      <ns0:c r="AH94" s="22" t="str">
        <ns0:f>IF($A94="","",IF($I94="Yes",IF(AH$6=$D94,"◆",""),IF(AND(AH$6&gt;=$D94,AH$6&lt;=$E94),MAX(0,MIN(1,$G94*$F94-(AH$6-$D94))),"")))</ns0:f>
      </ns0:c>
      <ns0:c r="AI94" s="22" t="str">
        <ns0:f>IF($A94="","",IF($I94="Yes",IF(AI$6=$D94,"◆",""),IF(AND(AI$6&gt;=$D94,AI$6&lt;=$E94),MAX(0,MIN(1,$G94*$F94-(AI$6-$D94))),"")))</ns0:f>
      </ns0:c>
      <ns0:c r="AJ94" s="22" t="str">
        <ns0:f>IF($A94="","",IF($I94="Yes",IF(AJ$6=$D94,"◆",""),IF(AND(AJ$6&gt;=$D94,AJ$6&lt;=$E94),MAX(0,MIN(1,$G94*$F94-(AJ$6-$D94))),"")))</ns0:f>
      </ns0:c>
      <ns0:c r="AK94" s="22" t="str">
        <ns0:f>IF($A94="","",IF($I94="Yes",IF(AK$6=$D94,"◆",""),IF(AND(AK$6&gt;=$D94,AK$6&lt;=$E94),MAX(0,MIN(1,$G94*$F94-(AK$6-$D94))),"")))</ns0:f>
      </ns0:c>
      <ns0:c r="AL94" s="22" t="str">
        <ns0:f>IF($A94="","",IF($I94="Yes",IF(AL$6=$D94,"◆",""),IF(AND(AL$6&gt;=$D94,AL$6&lt;=$E94),MAX(0,MIN(1,$G94*$F94-(AL$6-$D94))),"")))</ns0:f>
      </ns0:c>
      <ns0:c r="AM94" s="22" t="str">
        <ns0:f>IF($A94="","",IF($I94="Yes",IF(AM$6=$D94,"◆",""),IF(AND(AM$6&gt;=$D94,AM$6&lt;=$E94),MAX(0,MIN(1,$G94*$F94-(AM$6-$D94))),"")))</ns0:f>
      </ns0:c>
      <ns0:c r="AN94" s="22" t="str">
        <ns0:f>IF($A94="","",IF($I94="Yes",IF(AN$6=$D94,"◆",""),IF(AND(AN$6&gt;=$D94,AN$6&lt;=$E94),MAX(0,MIN(1,$G94*$F94-(AN$6-$D94))),"")))</ns0:f>
      </ns0:c>
      <ns0:c r="AO94" s="22" t="str">
        <ns0:f>IF($A94="","",IF($I94="Yes",IF(AO$6=$D94,"◆",""),IF(AND(AO$6&gt;=$D94,AO$6&lt;=$E94),MAX(0,MIN(1,$G94*$F94-(AO$6-$D94))),"")))</ns0:f>
      </ns0:c>
      <ns0:c r="AP94" s="22" t="str">
        <ns0:f>IF($A94="","",IF($I94="Yes",IF(AP$6=$D94,"◆",""),IF(AND(AP$6&gt;=$D94,AP$6&lt;=$E94),MAX(0,MIN(1,$G94*$F94-(AP$6-$D94))),"")))</ns0:f>
      </ns0:c>
      <ns0:c r="AQ94" s="22" t="str">
        <ns0:f>IF($A94="","",IF($I94="Yes",IF(AQ$6=$D94,"◆",""),IF(AND(AQ$6&gt;=$D94,AQ$6&lt;=$E94),MAX(0,MIN(1,$G94*$F94-(AQ$6-$D94))),"")))</ns0:f>
      </ns0:c>
      <ns0:c r="AR94" s="22" t="str">
        <ns0:f>IF($A94="","",IF($I94="Yes",IF(AR$6=$D94,"◆",""),IF(AND(AR$6&gt;=$D94,AR$6&lt;=$E94),MAX(0,MIN(1,$G94*$F94-(AR$6-$D94))),"")))</ns0:f>
      </ns0:c>
    </ns0:row>
    <ns0:row r="95" ht="48" customHeight="1">
      <ns0:c r="A95" s="8" t="str">
        <ns0:f>IF(INDEX(Tasks[Task ID],89)="","",INDEX(Tasks[Task ID],89))</ns0:f>
      </ns0:c>
      <ns0:c r="B95" s="8" t="str">
        <ns0:f>IF(INDEX(Tasks[Task ID],89)="","",INDEX(Tasks[Phase],89))</ns0:f>
      </ns0:c>
      <ns0:c r="C95" s="8" t="str">
        <ns0:f>IF(INDEX(Tasks[Task ID],89)="","",INDEX(Tasks[Task Name],89))</ns0:f>
      </ns0:c>
      <ns0:c r="D95" s="18" t="str">
        <ns0:f>IF(INDEX(Tasks[Task ID],89)="","",INDEX(Tasks[Start Date],89))</ns0:f>
      </ns0:c>
      <ns0:c r="E95" s="18" t="str">
        <ns0:f>IF(INDEX(Tasks[Task ID],89)="","",INDEX(Tasks[End Date],89))</ns0:f>
      </ns0:c>
      <ns0:c r="F95" s="8" t="str">
        <ns0:f>IF(INDEX(Tasks[Task ID],89)="","",INDEX(Tasks[Duration],89))</ns0:f>
      </ns0:c>
      <ns0:c r="G95" s="19" t="str">
        <ns0:f>IF(INDEX(Tasks[Task ID],89)="","",INDEX(Tasks[Progress %],89))</ns0:f>
      </ns0:c>
      <ns0:c r="H95" s="8" t="str">
        <ns0:f>IF(INDEX(Tasks[Task ID],89)="","",INDEX('Project Tracker'!$Q$7:$Q$106,89))</ns0:f>
      </ns0:c>
      <ns0:c r="I95" s="8" t="str">
        <ns0:f>IF(INDEX(Tasks[Task ID],89)="","",INDEX(Tasks[Milestone],89))</ns0:f>
      </ns0:c>
      <ns0:c r="J95" s="8" t="str">
        <ns0:f>IF(INDEX(Tasks[Task ID],89)="","",INDEX(Tasks[Schedule Health],89))</ns0:f>
      </ns0:c>
      <ns0:c r="K95" s="22" t="str">
        <ns0:f>IF($A95="","",IF($I95="Yes",IF(K$6=$D95,"◆",""),IF(AND(K$6&gt;=$D95,K$6&lt;=$E95),MAX(0,MIN(1,$G95*$F95-(K$6-$D95))),"")))</ns0:f>
      </ns0:c>
      <ns0:c r="L95" s="22" t="str">
        <ns0:f>IF($A95="","",IF($I95="Yes",IF(L$6=$D95,"◆",""),IF(AND(L$6&gt;=$D95,L$6&lt;=$E95),MAX(0,MIN(1,$G95*$F95-(L$6-$D95))),"")))</ns0:f>
      </ns0:c>
      <ns0:c r="M95" s="22" t="str">
        <ns0:f>IF($A95="","",IF($I95="Yes",IF(M$6=$D95,"◆",""),IF(AND(M$6&gt;=$D95,M$6&lt;=$E95),MAX(0,MIN(1,$G95*$F95-(M$6-$D95))),"")))</ns0:f>
      </ns0:c>
      <ns0:c r="N95" s="22" t="str">
        <ns0:f>IF($A95="","",IF($I95="Yes",IF(N$6=$D95,"◆",""),IF(AND(N$6&gt;=$D95,N$6&lt;=$E95),MAX(0,MIN(1,$G95*$F95-(N$6-$D95))),"")))</ns0:f>
      </ns0:c>
      <ns0:c r="O95" s="22" t="str">
        <ns0:f>IF($A95="","",IF($I95="Yes",IF(O$6=$D95,"◆",""),IF(AND(O$6&gt;=$D95,O$6&lt;=$E95),MAX(0,MIN(1,$G95*$F95-(O$6-$D95))),"")))</ns0:f>
      </ns0:c>
      <ns0:c r="P95" s="22" t="str">
        <ns0:f>IF($A95="","",IF($I95="Yes",IF(P$6=$D95,"◆",""),IF(AND(P$6&gt;=$D95,P$6&lt;=$E95),MAX(0,MIN(1,$G95*$F95-(P$6-$D95))),"")))</ns0:f>
      </ns0:c>
      <ns0:c r="Q95" s="22" t="str">
        <ns0:f>IF($A95="","",IF($I95="Yes",IF(Q$6=$D95,"◆",""),IF(AND(Q$6&gt;=$D95,Q$6&lt;=$E95),MAX(0,MIN(1,$G95*$F95-(Q$6-$D95))),"")))</ns0:f>
      </ns0:c>
      <ns0:c r="R95" s="22" t="str">
        <ns0:f>IF($A95="","",IF($I95="Yes",IF(R$6=$D95,"◆",""),IF(AND(R$6&gt;=$D95,R$6&lt;=$E95),MAX(0,MIN(1,$G95*$F95-(R$6-$D95))),"")))</ns0:f>
      </ns0:c>
      <ns0:c r="S95" s="22" t="str">
        <ns0:f>IF($A95="","",IF($I95="Yes",IF(S$6=$D95,"◆",""),IF(AND(S$6&gt;=$D95,S$6&lt;=$E95),MAX(0,MIN(1,$G95*$F95-(S$6-$D95))),"")))</ns0:f>
      </ns0:c>
      <ns0:c r="T95" s="22" t="str">
        <ns0:f>IF($A95="","",IF($I95="Yes",IF(T$6=$D95,"◆",""),IF(AND(T$6&gt;=$D95,T$6&lt;=$E95),MAX(0,MIN(1,$G95*$F95-(T$6-$D95))),"")))</ns0:f>
      </ns0:c>
      <ns0:c r="U95" s="22" t="str">
        <ns0:f>IF($A95="","",IF($I95="Yes",IF(U$6=$D95,"◆",""),IF(AND(U$6&gt;=$D95,U$6&lt;=$E95),MAX(0,MIN(1,$G95*$F95-(U$6-$D95))),"")))</ns0:f>
      </ns0:c>
      <ns0:c r="V95" s="22" t="str">
        <ns0:f>IF($A95="","",IF($I95="Yes",IF(V$6=$D95,"◆",""),IF(AND(V$6&gt;=$D95,V$6&lt;=$E95),MAX(0,MIN(1,$G95*$F95-(V$6-$D95))),"")))</ns0:f>
      </ns0:c>
      <ns0:c r="W95" s="22" t="str">
        <ns0:f>IF($A95="","",IF($I95="Yes",IF(W$6=$D95,"◆",""),IF(AND(W$6&gt;=$D95,W$6&lt;=$E95),MAX(0,MIN(1,$G95*$F95-(W$6-$D95))),"")))</ns0:f>
      </ns0:c>
      <ns0:c r="X95" s="22" t="str">
        <ns0:f>IF($A95="","",IF($I95="Yes",IF(X$6=$D95,"◆",""),IF(AND(X$6&gt;=$D95,X$6&lt;=$E95),MAX(0,MIN(1,$G95*$F95-(X$6-$D95))),"")))</ns0:f>
      </ns0:c>
      <ns0:c r="Y95" s="22" t="str">
        <ns0:f>IF($A95="","",IF($I95="Yes",IF(Y$6=$D95,"◆",""),IF(AND(Y$6&gt;=$D95,Y$6&lt;=$E95),MAX(0,MIN(1,$G95*$F95-(Y$6-$D95))),"")))</ns0:f>
      </ns0:c>
      <ns0:c r="Z95" s="22" t="str">
        <ns0:f>IF($A95="","",IF($I95="Yes",IF(Z$6=$D95,"◆",""),IF(AND(Z$6&gt;=$D95,Z$6&lt;=$E95),MAX(0,MIN(1,$G95*$F95-(Z$6-$D95))),"")))</ns0:f>
      </ns0:c>
      <ns0:c r="AA95" s="22" t="str">
        <ns0:f>IF($A95="","",IF($I95="Yes",IF(AA$6=$D95,"◆",""),IF(AND(AA$6&gt;=$D95,AA$6&lt;=$E95),MAX(0,MIN(1,$G95*$F95-(AA$6-$D95))),"")))</ns0:f>
      </ns0:c>
      <ns0:c r="AB95" s="22" t="str">
        <ns0:f>IF($A95="","",IF($I95="Yes",IF(AB$6=$D95,"◆",""),IF(AND(AB$6&gt;=$D95,AB$6&lt;=$E95),MAX(0,MIN(1,$G95*$F95-(AB$6-$D95))),"")))</ns0:f>
      </ns0:c>
      <ns0:c r="AC95" s="22" t="str">
        <ns0:f>IF($A95="","",IF($I95="Yes",IF(AC$6=$D95,"◆",""),IF(AND(AC$6&gt;=$D95,AC$6&lt;=$E95),MAX(0,MIN(1,$G95*$F95-(AC$6-$D95))),"")))</ns0:f>
      </ns0:c>
      <ns0:c r="AD95" s="22" t="str">
        <ns0:f>IF($A95="","",IF($I95="Yes",IF(AD$6=$D95,"◆",""),IF(AND(AD$6&gt;=$D95,AD$6&lt;=$E95),MAX(0,MIN(1,$G95*$F95-(AD$6-$D95))),"")))</ns0:f>
      </ns0:c>
      <ns0:c r="AE95" s="22" t="str">
        <ns0:f>IF($A95="","",IF($I95="Yes",IF(AE$6=$D95,"◆",""),IF(AND(AE$6&gt;=$D95,AE$6&lt;=$E95),MAX(0,MIN(1,$G95*$F95-(AE$6-$D95))),"")))</ns0:f>
      </ns0:c>
      <ns0:c r="AF95" s="22" t="str">
        <ns0:f>IF($A95="","",IF($I95="Yes",IF(AF$6=$D95,"◆",""),IF(AND(AF$6&gt;=$D95,AF$6&lt;=$E95),MAX(0,MIN(1,$G95*$F95-(AF$6-$D95))),"")))</ns0:f>
      </ns0:c>
      <ns0:c r="AG95" s="22" t="str">
        <ns0:f>IF($A95="","",IF($I95="Yes",IF(AG$6=$D95,"◆",""),IF(AND(AG$6&gt;=$D95,AG$6&lt;=$E95),MAX(0,MIN(1,$G95*$F95-(AG$6-$D95))),"")))</ns0:f>
      </ns0:c>
      <ns0:c r="AH95" s="22" t="str">
        <ns0:f>IF($A95="","",IF($I95="Yes",IF(AH$6=$D95,"◆",""),IF(AND(AH$6&gt;=$D95,AH$6&lt;=$E95),MAX(0,MIN(1,$G95*$F95-(AH$6-$D95))),"")))</ns0:f>
      </ns0:c>
      <ns0:c r="AI95" s="22" t="str">
        <ns0:f>IF($A95="","",IF($I95="Yes",IF(AI$6=$D95,"◆",""),IF(AND(AI$6&gt;=$D95,AI$6&lt;=$E95),MAX(0,MIN(1,$G95*$F95-(AI$6-$D95))),"")))</ns0:f>
      </ns0:c>
      <ns0:c r="AJ95" s="22" t="str">
        <ns0:f>IF($A95="","",IF($I95="Yes",IF(AJ$6=$D95,"◆",""),IF(AND(AJ$6&gt;=$D95,AJ$6&lt;=$E95),MAX(0,MIN(1,$G95*$F95-(AJ$6-$D95))),"")))</ns0:f>
      </ns0:c>
      <ns0:c r="AK95" s="22" t="str">
        <ns0:f>IF($A95="","",IF($I95="Yes",IF(AK$6=$D95,"◆",""),IF(AND(AK$6&gt;=$D95,AK$6&lt;=$E95),MAX(0,MIN(1,$G95*$F95-(AK$6-$D95))),"")))</ns0:f>
      </ns0:c>
      <ns0:c r="AL95" s="22" t="str">
        <ns0:f>IF($A95="","",IF($I95="Yes",IF(AL$6=$D95,"◆",""),IF(AND(AL$6&gt;=$D95,AL$6&lt;=$E95),MAX(0,MIN(1,$G95*$F95-(AL$6-$D95))),"")))</ns0:f>
      </ns0:c>
      <ns0:c r="AM95" s="22" t="str">
        <ns0:f>IF($A95="","",IF($I95="Yes",IF(AM$6=$D95,"◆",""),IF(AND(AM$6&gt;=$D95,AM$6&lt;=$E95),MAX(0,MIN(1,$G95*$F95-(AM$6-$D95))),"")))</ns0:f>
      </ns0:c>
      <ns0:c r="AN95" s="22" t="str">
        <ns0:f>IF($A95="","",IF($I95="Yes",IF(AN$6=$D95,"◆",""),IF(AND(AN$6&gt;=$D95,AN$6&lt;=$E95),MAX(0,MIN(1,$G95*$F95-(AN$6-$D95))),"")))</ns0:f>
      </ns0:c>
      <ns0:c r="AO95" s="22" t="str">
        <ns0:f>IF($A95="","",IF($I95="Yes",IF(AO$6=$D95,"◆",""),IF(AND(AO$6&gt;=$D95,AO$6&lt;=$E95),MAX(0,MIN(1,$G95*$F95-(AO$6-$D95))),"")))</ns0:f>
      </ns0:c>
      <ns0:c r="AP95" s="22" t="str">
        <ns0:f>IF($A95="","",IF($I95="Yes",IF(AP$6=$D95,"◆",""),IF(AND(AP$6&gt;=$D95,AP$6&lt;=$E95),MAX(0,MIN(1,$G95*$F95-(AP$6-$D95))),"")))</ns0:f>
      </ns0:c>
      <ns0:c r="AQ95" s="22" t="str">
        <ns0:f>IF($A95="","",IF($I95="Yes",IF(AQ$6=$D95,"◆",""),IF(AND(AQ$6&gt;=$D95,AQ$6&lt;=$E95),MAX(0,MIN(1,$G95*$F95-(AQ$6-$D95))),"")))</ns0:f>
      </ns0:c>
      <ns0:c r="AR95" s="22" t="str">
        <ns0:f>IF($A95="","",IF($I95="Yes",IF(AR$6=$D95,"◆",""),IF(AND(AR$6&gt;=$D95,AR$6&lt;=$E95),MAX(0,MIN(1,$G95*$F95-(AR$6-$D95))),"")))</ns0:f>
      </ns0:c>
    </ns0:row>
    <ns0:row r="96" ht="48" customHeight="1">
      <ns0:c r="A96" s="8" t="str">
        <ns0:f>IF(INDEX(Tasks[Task ID],90)="","",INDEX(Tasks[Task ID],90))</ns0:f>
      </ns0:c>
      <ns0:c r="B96" s="8" t="str">
        <ns0:f>IF(INDEX(Tasks[Task ID],90)="","",INDEX(Tasks[Phase],90))</ns0:f>
      </ns0:c>
      <ns0:c r="C96" s="8" t="str">
        <ns0:f>IF(INDEX(Tasks[Task ID],90)="","",INDEX(Tasks[Task Name],90))</ns0:f>
      </ns0:c>
      <ns0:c r="D96" s="18" t="str">
        <ns0:f>IF(INDEX(Tasks[Task ID],90)="","",INDEX(Tasks[Start Date],90))</ns0:f>
      </ns0:c>
      <ns0:c r="E96" s="18" t="str">
        <ns0:f>IF(INDEX(Tasks[Task ID],90)="","",INDEX(Tasks[End Date],90))</ns0:f>
      </ns0:c>
      <ns0:c r="F96" s="8" t="str">
        <ns0:f>IF(INDEX(Tasks[Task ID],90)="","",INDEX(Tasks[Duration],90))</ns0:f>
      </ns0:c>
      <ns0:c r="G96" s="19" t="str">
        <ns0:f>IF(INDEX(Tasks[Task ID],90)="","",INDEX(Tasks[Progress %],90))</ns0:f>
      </ns0:c>
      <ns0:c r="H96" s="8" t="str">
        <ns0:f>IF(INDEX(Tasks[Task ID],90)="","",INDEX('Project Tracker'!$Q$7:$Q$106,90))</ns0:f>
      </ns0:c>
      <ns0:c r="I96" s="8" t="str">
        <ns0:f>IF(INDEX(Tasks[Task ID],90)="","",INDEX(Tasks[Milestone],90))</ns0:f>
      </ns0:c>
      <ns0:c r="J96" s="8" t="str">
        <ns0:f>IF(INDEX(Tasks[Task ID],90)="","",INDEX(Tasks[Schedule Health],90))</ns0:f>
      </ns0:c>
      <ns0:c r="K96" s="22" t="str">
        <ns0:f>IF($A96="","",IF($I96="Yes",IF(K$6=$D96,"◆",""),IF(AND(K$6&gt;=$D96,K$6&lt;=$E96),MAX(0,MIN(1,$G96*$F96-(K$6-$D96))),"")))</ns0:f>
      </ns0:c>
      <ns0:c r="L96" s="22" t="str">
        <ns0:f>IF($A96="","",IF($I96="Yes",IF(L$6=$D96,"◆",""),IF(AND(L$6&gt;=$D96,L$6&lt;=$E96),MAX(0,MIN(1,$G96*$F96-(L$6-$D96))),"")))</ns0:f>
      </ns0:c>
      <ns0:c r="M96" s="22" t="str">
        <ns0:f>IF($A96="","",IF($I96="Yes",IF(M$6=$D96,"◆",""),IF(AND(M$6&gt;=$D96,M$6&lt;=$E96),MAX(0,MIN(1,$G96*$F96-(M$6-$D96))),"")))</ns0:f>
      </ns0:c>
      <ns0:c r="N96" s="22" t="str">
        <ns0:f>IF($A96="","",IF($I96="Yes",IF(N$6=$D96,"◆",""),IF(AND(N$6&gt;=$D96,N$6&lt;=$E96),MAX(0,MIN(1,$G96*$F96-(N$6-$D96))),"")))</ns0:f>
      </ns0:c>
      <ns0:c r="O96" s="22" t="str">
        <ns0:f>IF($A96="","",IF($I96="Yes",IF(O$6=$D96,"◆",""),IF(AND(O$6&gt;=$D96,O$6&lt;=$E96),MAX(0,MIN(1,$G96*$F96-(O$6-$D96))),"")))</ns0:f>
      </ns0:c>
      <ns0:c r="P96" s="22" t="str">
        <ns0:f>IF($A96="","",IF($I96="Yes",IF(P$6=$D96,"◆",""),IF(AND(P$6&gt;=$D96,P$6&lt;=$E96),MAX(0,MIN(1,$G96*$F96-(P$6-$D96))),"")))</ns0:f>
      </ns0:c>
      <ns0:c r="Q96" s="22" t="str">
        <ns0:f>IF($A96="","",IF($I96="Yes",IF(Q$6=$D96,"◆",""),IF(AND(Q$6&gt;=$D96,Q$6&lt;=$E96),MAX(0,MIN(1,$G96*$F96-(Q$6-$D96))),"")))</ns0:f>
      </ns0:c>
      <ns0:c r="R96" s="22" t="str">
        <ns0:f>IF($A96="","",IF($I96="Yes",IF(R$6=$D96,"◆",""),IF(AND(R$6&gt;=$D96,R$6&lt;=$E96),MAX(0,MIN(1,$G96*$F96-(R$6-$D96))),"")))</ns0:f>
      </ns0:c>
      <ns0:c r="S96" s="22" t="str">
        <ns0:f>IF($A96="","",IF($I96="Yes",IF(S$6=$D96,"◆",""),IF(AND(S$6&gt;=$D96,S$6&lt;=$E96),MAX(0,MIN(1,$G96*$F96-(S$6-$D96))),"")))</ns0:f>
      </ns0:c>
      <ns0:c r="T96" s="22" t="str">
        <ns0:f>IF($A96="","",IF($I96="Yes",IF(T$6=$D96,"◆",""),IF(AND(T$6&gt;=$D96,T$6&lt;=$E96),MAX(0,MIN(1,$G96*$F96-(T$6-$D96))),"")))</ns0:f>
      </ns0:c>
      <ns0:c r="U96" s="22" t="str">
        <ns0:f>IF($A96="","",IF($I96="Yes",IF(U$6=$D96,"◆",""),IF(AND(U$6&gt;=$D96,U$6&lt;=$E96),MAX(0,MIN(1,$G96*$F96-(U$6-$D96))),"")))</ns0:f>
      </ns0:c>
      <ns0:c r="V96" s="22" t="str">
        <ns0:f>IF($A96="","",IF($I96="Yes",IF(V$6=$D96,"◆",""),IF(AND(V$6&gt;=$D96,V$6&lt;=$E96),MAX(0,MIN(1,$G96*$F96-(V$6-$D96))),"")))</ns0:f>
      </ns0:c>
      <ns0:c r="W96" s="22" t="str">
        <ns0:f>IF($A96="","",IF($I96="Yes",IF(W$6=$D96,"◆",""),IF(AND(W$6&gt;=$D96,W$6&lt;=$E96),MAX(0,MIN(1,$G96*$F96-(W$6-$D96))),"")))</ns0:f>
      </ns0:c>
      <ns0:c r="X96" s="22" t="str">
        <ns0:f>IF($A96="","",IF($I96="Yes",IF(X$6=$D96,"◆",""),IF(AND(X$6&gt;=$D96,X$6&lt;=$E96),MAX(0,MIN(1,$G96*$F96-(X$6-$D96))),"")))</ns0:f>
      </ns0:c>
      <ns0:c r="Y96" s="22" t="str">
        <ns0:f>IF($A96="","",IF($I96="Yes",IF(Y$6=$D96,"◆",""),IF(AND(Y$6&gt;=$D96,Y$6&lt;=$E96),MAX(0,MIN(1,$G96*$F96-(Y$6-$D96))),"")))</ns0:f>
      </ns0:c>
      <ns0:c r="Z96" s="22" t="str">
        <ns0:f>IF($A96="","",IF($I96="Yes",IF(Z$6=$D96,"◆",""),IF(AND(Z$6&gt;=$D96,Z$6&lt;=$E96),MAX(0,MIN(1,$G96*$F96-(Z$6-$D96))),"")))</ns0:f>
      </ns0:c>
      <ns0:c r="AA96" s="22" t="str">
        <ns0:f>IF($A96="","",IF($I96="Yes",IF(AA$6=$D96,"◆",""),IF(AND(AA$6&gt;=$D96,AA$6&lt;=$E96),MAX(0,MIN(1,$G96*$F96-(AA$6-$D96))),"")))</ns0:f>
      </ns0:c>
      <ns0:c r="AB96" s="22" t="str">
        <ns0:f>IF($A96="","",IF($I96="Yes",IF(AB$6=$D96,"◆",""),IF(AND(AB$6&gt;=$D96,AB$6&lt;=$E96),MAX(0,MIN(1,$G96*$F96-(AB$6-$D96))),"")))</ns0:f>
      </ns0:c>
      <ns0:c r="AC96" s="22" t="str">
        <ns0:f>IF($A96="","",IF($I96="Yes",IF(AC$6=$D96,"◆",""),IF(AND(AC$6&gt;=$D96,AC$6&lt;=$E96),MAX(0,MIN(1,$G96*$F96-(AC$6-$D96))),"")))</ns0:f>
      </ns0:c>
      <ns0:c r="AD96" s="22" t="str">
        <ns0:f>IF($A96="","",IF($I96="Yes",IF(AD$6=$D96,"◆",""),IF(AND(AD$6&gt;=$D96,AD$6&lt;=$E96),MAX(0,MIN(1,$G96*$F96-(AD$6-$D96))),"")))</ns0:f>
      </ns0:c>
      <ns0:c r="AE96" s="22" t="str">
        <ns0:f>IF($A96="","",IF($I96="Yes",IF(AE$6=$D96,"◆",""),IF(AND(AE$6&gt;=$D96,AE$6&lt;=$E96),MAX(0,MIN(1,$G96*$F96-(AE$6-$D96))),"")))</ns0:f>
      </ns0:c>
      <ns0:c r="AF96" s="22" t="str">
        <ns0:f>IF($A96="","",IF($I96="Yes",IF(AF$6=$D96,"◆",""),IF(AND(AF$6&gt;=$D96,AF$6&lt;=$E96),MAX(0,MIN(1,$G96*$F96-(AF$6-$D96))),"")))</ns0:f>
      </ns0:c>
      <ns0:c r="AG96" s="22" t="str">
        <ns0:f>IF($A96="","",IF($I96="Yes",IF(AG$6=$D96,"◆",""),IF(AND(AG$6&gt;=$D96,AG$6&lt;=$E96),MAX(0,MIN(1,$G96*$F96-(AG$6-$D96))),"")))</ns0:f>
      </ns0:c>
      <ns0:c r="AH96" s="22" t="str">
        <ns0:f>IF($A96="","",IF($I96="Yes",IF(AH$6=$D96,"◆",""),IF(AND(AH$6&gt;=$D96,AH$6&lt;=$E96),MAX(0,MIN(1,$G96*$F96-(AH$6-$D96))),"")))</ns0:f>
      </ns0:c>
      <ns0:c r="AI96" s="22" t="str">
        <ns0:f>IF($A96="","",IF($I96="Yes",IF(AI$6=$D96,"◆",""),IF(AND(AI$6&gt;=$D96,AI$6&lt;=$E96),MAX(0,MIN(1,$G96*$F96-(AI$6-$D96))),"")))</ns0:f>
      </ns0:c>
      <ns0:c r="AJ96" s="22" t="str">
        <ns0:f>IF($A96="","",IF($I96="Yes",IF(AJ$6=$D96,"◆",""),IF(AND(AJ$6&gt;=$D96,AJ$6&lt;=$E96),MAX(0,MIN(1,$G96*$F96-(AJ$6-$D96))),"")))</ns0:f>
      </ns0:c>
      <ns0:c r="AK96" s="22" t="str">
        <ns0:f>IF($A96="","",IF($I96="Yes",IF(AK$6=$D96,"◆",""),IF(AND(AK$6&gt;=$D96,AK$6&lt;=$E96),MAX(0,MIN(1,$G96*$F96-(AK$6-$D96))),"")))</ns0:f>
      </ns0:c>
      <ns0:c r="AL96" s="22" t="str">
        <ns0:f>IF($A96="","",IF($I96="Yes",IF(AL$6=$D96,"◆",""),IF(AND(AL$6&gt;=$D96,AL$6&lt;=$E96),MAX(0,MIN(1,$G96*$F96-(AL$6-$D96))),"")))</ns0:f>
      </ns0:c>
      <ns0:c r="AM96" s="22" t="str">
        <ns0:f>IF($A96="","",IF($I96="Yes",IF(AM$6=$D96,"◆",""),IF(AND(AM$6&gt;=$D96,AM$6&lt;=$E96),MAX(0,MIN(1,$G96*$F96-(AM$6-$D96))),"")))</ns0:f>
      </ns0:c>
      <ns0:c r="AN96" s="22" t="str">
        <ns0:f>IF($A96="","",IF($I96="Yes",IF(AN$6=$D96,"◆",""),IF(AND(AN$6&gt;=$D96,AN$6&lt;=$E96),MAX(0,MIN(1,$G96*$F96-(AN$6-$D96))),"")))</ns0:f>
      </ns0:c>
      <ns0:c r="AO96" s="22" t="str">
        <ns0:f>IF($A96="","",IF($I96="Yes",IF(AO$6=$D96,"◆",""),IF(AND(AO$6&gt;=$D96,AO$6&lt;=$E96),MAX(0,MIN(1,$G96*$F96-(AO$6-$D96))),"")))</ns0:f>
      </ns0:c>
      <ns0:c r="AP96" s="22" t="str">
        <ns0:f>IF($A96="","",IF($I96="Yes",IF(AP$6=$D96,"◆",""),IF(AND(AP$6&gt;=$D96,AP$6&lt;=$E96),MAX(0,MIN(1,$G96*$F96-(AP$6-$D96))),"")))</ns0:f>
      </ns0:c>
      <ns0:c r="AQ96" s="22" t="str">
        <ns0:f>IF($A96="","",IF($I96="Yes",IF(AQ$6=$D96,"◆",""),IF(AND(AQ$6&gt;=$D96,AQ$6&lt;=$E96),MAX(0,MIN(1,$G96*$F96-(AQ$6-$D96))),"")))</ns0:f>
      </ns0:c>
      <ns0:c r="AR96" s="22" t="str">
        <ns0:f>IF($A96="","",IF($I96="Yes",IF(AR$6=$D96,"◆",""),IF(AND(AR$6&gt;=$D96,AR$6&lt;=$E96),MAX(0,MIN(1,$G96*$F96-(AR$6-$D96))),"")))</ns0:f>
      </ns0:c>
    </ns0:row>
    <ns0:row r="97" ht="48" customHeight="1">
      <ns0:c r="A97" s="8" t="str">
        <ns0:f>IF(INDEX(Tasks[Task ID],91)="","",INDEX(Tasks[Task ID],91))</ns0:f>
      </ns0:c>
      <ns0:c r="B97" s="8" t="str">
        <ns0:f>IF(INDEX(Tasks[Task ID],91)="","",INDEX(Tasks[Phase],91))</ns0:f>
      </ns0:c>
      <ns0:c r="C97" s="8" t="str">
        <ns0:f>IF(INDEX(Tasks[Task ID],91)="","",INDEX(Tasks[Task Name],91))</ns0:f>
      </ns0:c>
      <ns0:c r="D97" s="18" t="str">
        <ns0:f>IF(INDEX(Tasks[Task ID],91)="","",INDEX(Tasks[Start Date],91))</ns0:f>
      </ns0:c>
      <ns0:c r="E97" s="18" t="str">
        <ns0:f>IF(INDEX(Tasks[Task ID],91)="","",INDEX(Tasks[End Date],91))</ns0:f>
      </ns0:c>
      <ns0:c r="F97" s="8" t="str">
        <ns0:f>IF(INDEX(Tasks[Task ID],91)="","",INDEX(Tasks[Duration],91))</ns0:f>
      </ns0:c>
      <ns0:c r="G97" s="19" t="str">
        <ns0:f>IF(INDEX(Tasks[Task ID],91)="","",INDEX(Tasks[Progress %],91))</ns0:f>
      </ns0:c>
      <ns0:c r="H97" s="8" t="str">
        <ns0:f>IF(INDEX(Tasks[Task ID],91)="","",INDEX('Project Tracker'!$Q$7:$Q$106,91))</ns0:f>
      </ns0:c>
      <ns0:c r="I97" s="8" t="str">
        <ns0:f>IF(INDEX(Tasks[Task ID],91)="","",INDEX(Tasks[Milestone],91))</ns0:f>
      </ns0:c>
      <ns0:c r="J97" s="8" t="str">
        <ns0:f>IF(INDEX(Tasks[Task ID],91)="","",INDEX(Tasks[Schedule Health],91))</ns0:f>
      </ns0:c>
      <ns0:c r="K97" s="22" t="str">
        <ns0:f>IF($A97="","",IF($I97="Yes",IF(K$6=$D97,"◆",""),IF(AND(K$6&gt;=$D97,K$6&lt;=$E97),MAX(0,MIN(1,$G97*$F97-(K$6-$D97))),"")))</ns0:f>
      </ns0:c>
      <ns0:c r="L97" s="22" t="str">
        <ns0:f>IF($A97="","",IF($I97="Yes",IF(L$6=$D97,"◆",""),IF(AND(L$6&gt;=$D97,L$6&lt;=$E97),MAX(0,MIN(1,$G97*$F97-(L$6-$D97))),"")))</ns0:f>
      </ns0:c>
      <ns0:c r="M97" s="22" t="str">
        <ns0:f>IF($A97="","",IF($I97="Yes",IF(M$6=$D97,"◆",""),IF(AND(M$6&gt;=$D97,M$6&lt;=$E97),MAX(0,MIN(1,$G97*$F97-(M$6-$D97))),"")))</ns0:f>
      </ns0:c>
      <ns0:c r="N97" s="22" t="str">
        <ns0:f>IF($A97="","",IF($I97="Yes",IF(N$6=$D97,"◆",""),IF(AND(N$6&gt;=$D97,N$6&lt;=$E97),MAX(0,MIN(1,$G97*$F97-(N$6-$D97))),"")))</ns0:f>
      </ns0:c>
      <ns0:c r="O97" s="22" t="str">
        <ns0:f>IF($A97="","",IF($I97="Yes",IF(O$6=$D97,"◆",""),IF(AND(O$6&gt;=$D97,O$6&lt;=$E97),MAX(0,MIN(1,$G97*$F97-(O$6-$D97))),"")))</ns0:f>
      </ns0:c>
      <ns0:c r="P97" s="22" t="str">
        <ns0:f>IF($A97="","",IF($I97="Yes",IF(P$6=$D97,"◆",""),IF(AND(P$6&gt;=$D97,P$6&lt;=$E97),MAX(0,MIN(1,$G97*$F97-(P$6-$D97))),"")))</ns0:f>
      </ns0:c>
      <ns0:c r="Q97" s="22" t="str">
        <ns0:f>IF($A97="","",IF($I97="Yes",IF(Q$6=$D97,"◆",""),IF(AND(Q$6&gt;=$D97,Q$6&lt;=$E97),MAX(0,MIN(1,$G97*$F97-(Q$6-$D97))),"")))</ns0:f>
      </ns0:c>
      <ns0:c r="R97" s="22" t="str">
        <ns0:f>IF($A97="","",IF($I97="Yes",IF(R$6=$D97,"◆",""),IF(AND(R$6&gt;=$D97,R$6&lt;=$E97),MAX(0,MIN(1,$G97*$F97-(R$6-$D97))),"")))</ns0:f>
      </ns0:c>
      <ns0:c r="S97" s="22" t="str">
        <ns0:f>IF($A97="","",IF($I97="Yes",IF(S$6=$D97,"◆",""),IF(AND(S$6&gt;=$D97,S$6&lt;=$E97),MAX(0,MIN(1,$G97*$F97-(S$6-$D97))),"")))</ns0:f>
      </ns0:c>
      <ns0:c r="T97" s="22" t="str">
        <ns0:f>IF($A97="","",IF($I97="Yes",IF(T$6=$D97,"◆",""),IF(AND(T$6&gt;=$D97,T$6&lt;=$E97),MAX(0,MIN(1,$G97*$F97-(T$6-$D97))),"")))</ns0:f>
      </ns0:c>
      <ns0:c r="U97" s="22" t="str">
        <ns0:f>IF($A97="","",IF($I97="Yes",IF(U$6=$D97,"◆",""),IF(AND(U$6&gt;=$D97,U$6&lt;=$E97),MAX(0,MIN(1,$G97*$F97-(U$6-$D97))),"")))</ns0:f>
      </ns0:c>
      <ns0:c r="V97" s="22" t="str">
        <ns0:f>IF($A97="","",IF($I97="Yes",IF(V$6=$D97,"◆",""),IF(AND(V$6&gt;=$D97,V$6&lt;=$E97),MAX(0,MIN(1,$G97*$F97-(V$6-$D97))),"")))</ns0:f>
      </ns0:c>
      <ns0:c r="W97" s="22" t="str">
        <ns0:f>IF($A97="","",IF($I97="Yes",IF(W$6=$D97,"◆",""),IF(AND(W$6&gt;=$D97,W$6&lt;=$E97),MAX(0,MIN(1,$G97*$F97-(W$6-$D97))),"")))</ns0:f>
      </ns0:c>
      <ns0:c r="X97" s="22" t="str">
        <ns0:f>IF($A97="","",IF($I97="Yes",IF(X$6=$D97,"◆",""),IF(AND(X$6&gt;=$D97,X$6&lt;=$E97),MAX(0,MIN(1,$G97*$F97-(X$6-$D97))),"")))</ns0:f>
      </ns0:c>
      <ns0:c r="Y97" s="22" t="str">
        <ns0:f>IF($A97="","",IF($I97="Yes",IF(Y$6=$D97,"◆",""),IF(AND(Y$6&gt;=$D97,Y$6&lt;=$E97),MAX(0,MIN(1,$G97*$F97-(Y$6-$D97))),"")))</ns0:f>
      </ns0:c>
      <ns0:c r="Z97" s="22" t="str">
        <ns0:f>IF($A97="","",IF($I97="Yes",IF(Z$6=$D97,"◆",""),IF(AND(Z$6&gt;=$D97,Z$6&lt;=$E97),MAX(0,MIN(1,$G97*$F97-(Z$6-$D97))),"")))</ns0:f>
      </ns0:c>
      <ns0:c r="AA97" s="22" t="str">
        <ns0:f>IF($A97="","",IF($I97="Yes",IF(AA$6=$D97,"◆",""),IF(AND(AA$6&gt;=$D97,AA$6&lt;=$E97),MAX(0,MIN(1,$G97*$F97-(AA$6-$D97))),"")))</ns0:f>
      </ns0:c>
      <ns0:c r="AB97" s="22" t="str">
        <ns0:f>IF($A97="","",IF($I97="Yes",IF(AB$6=$D97,"◆",""),IF(AND(AB$6&gt;=$D97,AB$6&lt;=$E97),MAX(0,MIN(1,$G97*$F97-(AB$6-$D97))),"")))</ns0:f>
      </ns0:c>
      <ns0:c r="AC97" s="22" t="str">
        <ns0:f>IF($A97="","",IF($I97="Yes",IF(AC$6=$D97,"◆",""),IF(AND(AC$6&gt;=$D97,AC$6&lt;=$E97),MAX(0,MIN(1,$G97*$F97-(AC$6-$D97))),"")))</ns0:f>
      </ns0:c>
      <ns0:c r="AD97" s="22" t="str">
        <ns0:f>IF($A97="","",IF($I97="Yes",IF(AD$6=$D97,"◆",""),IF(AND(AD$6&gt;=$D97,AD$6&lt;=$E97),MAX(0,MIN(1,$G97*$F97-(AD$6-$D97))),"")))</ns0:f>
      </ns0:c>
      <ns0:c r="AE97" s="22" t="str">
        <ns0:f>IF($A97="","",IF($I97="Yes",IF(AE$6=$D97,"◆",""),IF(AND(AE$6&gt;=$D97,AE$6&lt;=$E97),MAX(0,MIN(1,$G97*$F97-(AE$6-$D97))),"")))</ns0:f>
      </ns0:c>
      <ns0:c r="AF97" s="22" t="str">
        <ns0:f>IF($A97="","",IF($I97="Yes",IF(AF$6=$D97,"◆",""),IF(AND(AF$6&gt;=$D97,AF$6&lt;=$E97),MAX(0,MIN(1,$G97*$F97-(AF$6-$D97))),"")))</ns0:f>
      </ns0:c>
      <ns0:c r="AG97" s="22" t="str">
        <ns0:f>IF($A97="","",IF($I97="Yes",IF(AG$6=$D97,"◆",""),IF(AND(AG$6&gt;=$D97,AG$6&lt;=$E97),MAX(0,MIN(1,$G97*$F97-(AG$6-$D97))),"")))</ns0:f>
      </ns0:c>
      <ns0:c r="AH97" s="22" t="str">
        <ns0:f>IF($A97="","",IF($I97="Yes",IF(AH$6=$D97,"◆",""),IF(AND(AH$6&gt;=$D97,AH$6&lt;=$E97),MAX(0,MIN(1,$G97*$F97-(AH$6-$D97))),"")))</ns0:f>
      </ns0:c>
      <ns0:c r="AI97" s="22" t="str">
        <ns0:f>IF($A97="","",IF($I97="Yes",IF(AI$6=$D97,"◆",""),IF(AND(AI$6&gt;=$D97,AI$6&lt;=$E97),MAX(0,MIN(1,$G97*$F97-(AI$6-$D97))),"")))</ns0:f>
      </ns0:c>
      <ns0:c r="AJ97" s="22" t="str">
        <ns0:f>IF($A97="","",IF($I97="Yes",IF(AJ$6=$D97,"◆",""),IF(AND(AJ$6&gt;=$D97,AJ$6&lt;=$E97),MAX(0,MIN(1,$G97*$F97-(AJ$6-$D97))),"")))</ns0:f>
      </ns0:c>
      <ns0:c r="AK97" s="22" t="str">
        <ns0:f>IF($A97="","",IF($I97="Yes",IF(AK$6=$D97,"◆",""),IF(AND(AK$6&gt;=$D97,AK$6&lt;=$E97),MAX(0,MIN(1,$G97*$F97-(AK$6-$D97))),"")))</ns0:f>
      </ns0:c>
      <ns0:c r="AL97" s="22" t="str">
        <ns0:f>IF($A97="","",IF($I97="Yes",IF(AL$6=$D97,"◆",""),IF(AND(AL$6&gt;=$D97,AL$6&lt;=$E97),MAX(0,MIN(1,$G97*$F97-(AL$6-$D97))),"")))</ns0:f>
      </ns0:c>
      <ns0:c r="AM97" s="22" t="str">
        <ns0:f>IF($A97="","",IF($I97="Yes",IF(AM$6=$D97,"◆",""),IF(AND(AM$6&gt;=$D97,AM$6&lt;=$E97),MAX(0,MIN(1,$G97*$F97-(AM$6-$D97))),"")))</ns0:f>
      </ns0:c>
      <ns0:c r="AN97" s="22" t="str">
        <ns0:f>IF($A97="","",IF($I97="Yes",IF(AN$6=$D97,"◆",""),IF(AND(AN$6&gt;=$D97,AN$6&lt;=$E97),MAX(0,MIN(1,$G97*$F97-(AN$6-$D97))),"")))</ns0:f>
      </ns0:c>
      <ns0:c r="AO97" s="22" t="str">
        <ns0:f>IF($A97="","",IF($I97="Yes",IF(AO$6=$D97,"◆",""),IF(AND(AO$6&gt;=$D97,AO$6&lt;=$E97),MAX(0,MIN(1,$G97*$F97-(AO$6-$D97))),"")))</ns0:f>
      </ns0:c>
      <ns0:c r="AP97" s="22" t="str">
        <ns0:f>IF($A97="","",IF($I97="Yes",IF(AP$6=$D97,"◆",""),IF(AND(AP$6&gt;=$D97,AP$6&lt;=$E97),MAX(0,MIN(1,$G97*$F97-(AP$6-$D97))),"")))</ns0:f>
      </ns0:c>
      <ns0:c r="AQ97" s="22" t="str">
        <ns0:f>IF($A97="","",IF($I97="Yes",IF(AQ$6=$D97,"◆",""),IF(AND(AQ$6&gt;=$D97,AQ$6&lt;=$E97),MAX(0,MIN(1,$G97*$F97-(AQ$6-$D97))),"")))</ns0:f>
      </ns0:c>
      <ns0:c r="AR97" s="22" t="str">
        <ns0:f>IF($A97="","",IF($I97="Yes",IF(AR$6=$D97,"◆",""),IF(AND(AR$6&gt;=$D97,AR$6&lt;=$E97),MAX(0,MIN(1,$G97*$F97-(AR$6-$D97))),"")))</ns0:f>
      </ns0:c>
    </ns0:row>
    <ns0:row r="98" ht="48" customHeight="1">
      <ns0:c r="A98" s="8" t="str">
        <ns0:f>IF(INDEX(Tasks[Task ID],92)="","",INDEX(Tasks[Task ID],92))</ns0:f>
      </ns0:c>
      <ns0:c r="B98" s="8" t="str">
        <ns0:f>IF(INDEX(Tasks[Task ID],92)="","",INDEX(Tasks[Phase],92))</ns0:f>
      </ns0:c>
      <ns0:c r="C98" s="8" t="str">
        <ns0:f>IF(INDEX(Tasks[Task ID],92)="","",INDEX(Tasks[Task Name],92))</ns0:f>
      </ns0:c>
      <ns0:c r="D98" s="18" t="str">
        <ns0:f>IF(INDEX(Tasks[Task ID],92)="","",INDEX(Tasks[Start Date],92))</ns0:f>
      </ns0:c>
      <ns0:c r="E98" s="18" t="str">
        <ns0:f>IF(INDEX(Tasks[Task ID],92)="","",INDEX(Tasks[End Date],92))</ns0:f>
      </ns0:c>
      <ns0:c r="F98" s="8" t="str">
        <ns0:f>IF(INDEX(Tasks[Task ID],92)="","",INDEX(Tasks[Duration],92))</ns0:f>
      </ns0:c>
      <ns0:c r="G98" s="19" t="str">
        <ns0:f>IF(INDEX(Tasks[Task ID],92)="","",INDEX(Tasks[Progress %],92))</ns0:f>
      </ns0:c>
      <ns0:c r="H98" s="8" t="str">
        <ns0:f>IF(INDEX(Tasks[Task ID],92)="","",INDEX('Project Tracker'!$Q$7:$Q$106,92))</ns0:f>
      </ns0:c>
      <ns0:c r="I98" s="8" t="str">
        <ns0:f>IF(INDEX(Tasks[Task ID],92)="","",INDEX(Tasks[Milestone],92))</ns0:f>
      </ns0:c>
      <ns0:c r="J98" s="8" t="str">
        <ns0:f>IF(INDEX(Tasks[Task ID],92)="","",INDEX(Tasks[Schedule Health],92))</ns0:f>
      </ns0:c>
      <ns0:c r="K98" s="22" t="str">
        <ns0:f>IF($A98="","",IF($I98="Yes",IF(K$6=$D98,"◆",""),IF(AND(K$6&gt;=$D98,K$6&lt;=$E98),MAX(0,MIN(1,$G98*$F98-(K$6-$D98))),"")))</ns0:f>
      </ns0:c>
      <ns0:c r="L98" s="22" t="str">
        <ns0:f>IF($A98="","",IF($I98="Yes",IF(L$6=$D98,"◆",""),IF(AND(L$6&gt;=$D98,L$6&lt;=$E98),MAX(0,MIN(1,$G98*$F98-(L$6-$D98))),"")))</ns0:f>
      </ns0:c>
      <ns0:c r="M98" s="22" t="str">
        <ns0:f>IF($A98="","",IF($I98="Yes",IF(M$6=$D98,"◆",""),IF(AND(M$6&gt;=$D98,M$6&lt;=$E98),MAX(0,MIN(1,$G98*$F98-(M$6-$D98))),"")))</ns0:f>
      </ns0:c>
      <ns0:c r="N98" s="22" t="str">
        <ns0:f>IF($A98="","",IF($I98="Yes",IF(N$6=$D98,"◆",""),IF(AND(N$6&gt;=$D98,N$6&lt;=$E98),MAX(0,MIN(1,$G98*$F98-(N$6-$D98))),"")))</ns0:f>
      </ns0:c>
      <ns0:c r="O98" s="22" t="str">
        <ns0:f>IF($A98="","",IF($I98="Yes",IF(O$6=$D98,"◆",""),IF(AND(O$6&gt;=$D98,O$6&lt;=$E98),MAX(0,MIN(1,$G98*$F98-(O$6-$D98))),"")))</ns0:f>
      </ns0:c>
      <ns0:c r="P98" s="22" t="str">
        <ns0:f>IF($A98="","",IF($I98="Yes",IF(P$6=$D98,"◆",""),IF(AND(P$6&gt;=$D98,P$6&lt;=$E98),MAX(0,MIN(1,$G98*$F98-(P$6-$D98))),"")))</ns0:f>
      </ns0:c>
      <ns0:c r="Q98" s="22" t="str">
        <ns0:f>IF($A98="","",IF($I98="Yes",IF(Q$6=$D98,"◆",""),IF(AND(Q$6&gt;=$D98,Q$6&lt;=$E98),MAX(0,MIN(1,$G98*$F98-(Q$6-$D98))),"")))</ns0:f>
      </ns0:c>
      <ns0:c r="R98" s="22" t="str">
        <ns0:f>IF($A98="","",IF($I98="Yes",IF(R$6=$D98,"◆",""),IF(AND(R$6&gt;=$D98,R$6&lt;=$E98),MAX(0,MIN(1,$G98*$F98-(R$6-$D98))),"")))</ns0:f>
      </ns0:c>
      <ns0:c r="S98" s="22" t="str">
        <ns0:f>IF($A98="","",IF($I98="Yes",IF(S$6=$D98,"◆",""),IF(AND(S$6&gt;=$D98,S$6&lt;=$E98),MAX(0,MIN(1,$G98*$F98-(S$6-$D98))),"")))</ns0:f>
      </ns0:c>
      <ns0:c r="T98" s="22" t="str">
        <ns0:f>IF($A98="","",IF($I98="Yes",IF(T$6=$D98,"◆",""),IF(AND(T$6&gt;=$D98,T$6&lt;=$E98),MAX(0,MIN(1,$G98*$F98-(T$6-$D98))),"")))</ns0:f>
      </ns0:c>
      <ns0:c r="U98" s="22" t="str">
        <ns0:f>IF($A98="","",IF($I98="Yes",IF(U$6=$D98,"◆",""),IF(AND(U$6&gt;=$D98,U$6&lt;=$E98),MAX(0,MIN(1,$G98*$F98-(U$6-$D98))),"")))</ns0:f>
      </ns0:c>
      <ns0:c r="V98" s="22" t="str">
        <ns0:f>IF($A98="","",IF($I98="Yes",IF(V$6=$D98,"◆",""),IF(AND(V$6&gt;=$D98,V$6&lt;=$E98),MAX(0,MIN(1,$G98*$F98-(V$6-$D98))),"")))</ns0:f>
      </ns0:c>
      <ns0:c r="W98" s="22" t="str">
        <ns0:f>IF($A98="","",IF($I98="Yes",IF(W$6=$D98,"◆",""),IF(AND(W$6&gt;=$D98,W$6&lt;=$E98),MAX(0,MIN(1,$G98*$F98-(W$6-$D98))),"")))</ns0:f>
      </ns0:c>
      <ns0:c r="X98" s="22" t="str">
        <ns0:f>IF($A98="","",IF($I98="Yes",IF(X$6=$D98,"◆",""),IF(AND(X$6&gt;=$D98,X$6&lt;=$E98),MAX(0,MIN(1,$G98*$F98-(X$6-$D98))),"")))</ns0:f>
      </ns0:c>
      <ns0:c r="Y98" s="22" t="str">
        <ns0:f>IF($A98="","",IF($I98="Yes",IF(Y$6=$D98,"◆",""),IF(AND(Y$6&gt;=$D98,Y$6&lt;=$E98),MAX(0,MIN(1,$G98*$F98-(Y$6-$D98))),"")))</ns0:f>
      </ns0:c>
      <ns0:c r="Z98" s="22" t="str">
        <ns0:f>IF($A98="","",IF($I98="Yes",IF(Z$6=$D98,"◆",""),IF(AND(Z$6&gt;=$D98,Z$6&lt;=$E98),MAX(0,MIN(1,$G98*$F98-(Z$6-$D98))),"")))</ns0:f>
      </ns0:c>
      <ns0:c r="AA98" s="22" t="str">
        <ns0:f>IF($A98="","",IF($I98="Yes",IF(AA$6=$D98,"◆",""),IF(AND(AA$6&gt;=$D98,AA$6&lt;=$E98),MAX(0,MIN(1,$G98*$F98-(AA$6-$D98))),"")))</ns0:f>
      </ns0:c>
      <ns0:c r="AB98" s="22" t="str">
        <ns0:f>IF($A98="","",IF($I98="Yes",IF(AB$6=$D98,"◆",""),IF(AND(AB$6&gt;=$D98,AB$6&lt;=$E98),MAX(0,MIN(1,$G98*$F98-(AB$6-$D98))),"")))</ns0:f>
      </ns0:c>
      <ns0:c r="AC98" s="22" t="str">
        <ns0:f>IF($A98="","",IF($I98="Yes",IF(AC$6=$D98,"◆",""),IF(AND(AC$6&gt;=$D98,AC$6&lt;=$E98),MAX(0,MIN(1,$G98*$F98-(AC$6-$D98))),"")))</ns0:f>
      </ns0:c>
      <ns0:c r="AD98" s="22" t="str">
        <ns0:f>IF($A98="","",IF($I98="Yes",IF(AD$6=$D98,"◆",""),IF(AND(AD$6&gt;=$D98,AD$6&lt;=$E98),MAX(0,MIN(1,$G98*$F98-(AD$6-$D98))),"")))</ns0:f>
      </ns0:c>
      <ns0:c r="AE98" s="22" t="str">
        <ns0:f>IF($A98="","",IF($I98="Yes",IF(AE$6=$D98,"◆",""),IF(AND(AE$6&gt;=$D98,AE$6&lt;=$E98),MAX(0,MIN(1,$G98*$F98-(AE$6-$D98))),"")))</ns0:f>
      </ns0:c>
      <ns0:c r="AF98" s="22" t="str">
        <ns0:f>IF($A98="","",IF($I98="Yes",IF(AF$6=$D98,"◆",""),IF(AND(AF$6&gt;=$D98,AF$6&lt;=$E98),MAX(0,MIN(1,$G98*$F98-(AF$6-$D98))),"")))</ns0:f>
      </ns0:c>
      <ns0:c r="AG98" s="22" t="str">
        <ns0:f>IF($A98="","",IF($I98="Yes",IF(AG$6=$D98,"◆",""),IF(AND(AG$6&gt;=$D98,AG$6&lt;=$E98),MAX(0,MIN(1,$G98*$F98-(AG$6-$D98))),"")))</ns0:f>
      </ns0:c>
      <ns0:c r="AH98" s="22" t="str">
        <ns0:f>IF($A98="","",IF($I98="Yes",IF(AH$6=$D98,"◆",""),IF(AND(AH$6&gt;=$D98,AH$6&lt;=$E98),MAX(0,MIN(1,$G98*$F98-(AH$6-$D98))),"")))</ns0:f>
      </ns0:c>
      <ns0:c r="AI98" s="22" t="str">
        <ns0:f>IF($A98="","",IF($I98="Yes",IF(AI$6=$D98,"◆",""),IF(AND(AI$6&gt;=$D98,AI$6&lt;=$E98),MAX(0,MIN(1,$G98*$F98-(AI$6-$D98))),"")))</ns0:f>
      </ns0:c>
      <ns0:c r="AJ98" s="22" t="str">
        <ns0:f>IF($A98="","",IF($I98="Yes",IF(AJ$6=$D98,"◆",""),IF(AND(AJ$6&gt;=$D98,AJ$6&lt;=$E98),MAX(0,MIN(1,$G98*$F98-(AJ$6-$D98))),"")))</ns0:f>
      </ns0:c>
      <ns0:c r="AK98" s="22" t="str">
        <ns0:f>IF($A98="","",IF($I98="Yes",IF(AK$6=$D98,"◆",""),IF(AND(AK$6&gt;=$D98,AK$6&lt;=$E98),MAX(0,MIN(1,$G98*$F98-(AK$6-$D98))),"")))</ns0:f>
      </ns0:c>
      <ns0:c r="AL98" s="22" t="str">
        <ns0:f>IF($A98="","",IF($I98="Yes",IF(AL$6=$D98,"◆",""),IF(AND(AL$6&gt;=$D98,AL$6&lt;=$E98),MAX(0,MIN(1,$G98*$F98-(AL$6-$D98))),"")))</ns0:f>
      </ns0:c>
      <ns0:c r="AM98" s="22" t="str">
        <ns0:f>IF($A98="","",IF($I98="Yes",IF(AM$6=$D98,"◆",""),IF(AND(AM$6&gt;=$D98,AM$6&lt;=$E98),MAX(0,MIN(1,$G98*$F98-(AM$6-$D98))),"")))</ns0:f>
      </ns0:c>
      <ns0:c r="AN98" s="22" t="str">
        <ns0:f>IF($A98="","",IF($I98="Yes",IF(AN$6=$D98,"◆",""),IF(AND(AN$6&gt;=$D98,AN$6&lt;=$E98),MAX(0,MIN(1,$G98*$F98-(AN$6-$D98))),"")))</ns0:f>
      </ns0:c>
      <ns0:c r="AO98" s="22" t="str">
        <ns0:f>IF($A98="","",IF($I98="Yes",IF(AO$6=$D98,"◆",""),IF(AND(AO$6&gt;=$D98,AO$6&lt;=$E98),MAX(0,MIN(1,$G98*$F98-(AO$6-$D98))),"")))</ns0:f>
      </ns0:c>
      <ns0:c r="AP98" s="22" t="str">
        <ns0:f>IF($A98="","",IF($I98="Yes",IF(AP$6=$D98,"◆",""),IF(AND(AP$6&gt;=$D98,AP$6&lt;=$E98),MAX(0,MIN(1,$G98*$F98-(AP$6-$D98))),"")))</ns0:f>
      </ns0:c>
      <ns0:c r="AQ98" s="22" t="str">
        <ns0:f>IF($A98="","",IF($I98="Yes",IF(AQ$6=$D98,"◆",""),IF(AND(AQ$6&gt;=$D98,AQ$6&lt;=$E98),MAX(0,MIN(1,$G98*$F98-(AQ$6-$D98))),"")))</ns0:f>
      </ns0:c>
      <ns0:c r="AR98" s="22" t="str">
        <ns0:f>IF($A98="","",IF($I98="Yes",IF(AR$6=$D98,"◆",""),IF(AND(AR$6&gt;=$D98,AR$6&lt;=$E98),MAX(0,MIN(1,$G98*$F98-(AR$6-$D98))),"")))</ns0:f>
      </ns0:c>
    </ns0:row>
    <ns0:row r="99" ht="48" customHeight="1">
      <ns0:c r="A99" s="8" t="str">
        <ns0:f>IF(INDEX(Tasks[Task ID],93)="","",INDEX(Tasks[Task ID],93))</ns0:f>
      </ns0:c>
      <ns0:c r="B99" s="8" t="str">
        <ns0:f>IF(INDEX(Tasks[Task ID],93)="","",INDEX(Tasks[Phase],93))</ns0:f>
      </ns0:c>
      <ns0:c r="C99" s="8" t="str">
        <ns0:f>IF(INDEX(Tasks[Task ID],93)="","",INDEX(Tasks[Task Name],93))</ns0:f>
      </ns0:c>
      <ns0:c r="D99" s="18" t="str">
        <ns0:f>IF(INDEX(Tasks[Task ID],93)="","",INDEX(Tasks[Start Date],93))</ns0:f>
      </ns0:c>
      <ns0:c r="E99" s="18" t="str">
        <ns0:f>IF(INDEX(Tasks[Task ID],93)="","",INDEX(Tasks[End Date],93))</ns0:f>
      </ns0:c>
      <ns0:c r="F99" s="8" t="str">
        <ns0:f>IF(INDEX(Tasks[Task ID],93)="","",INDEX(Tasks[Duration],93))</ns0:f>
      </ns0:c>
      <ns0:c r="G99" s="19" t="str">
        <ns0:f>IF(INDEX(Tasks[Task ID],93)="","",INDEX(Tasks[Progress %],93))</ns0:f>
      </ns0:c>
      <ns0:c r="H99" s="8" t="str">
        <ns0:f>IF(INDEX(Tasks[Task ID],93)="","",INDEX('Project Tracker'!$Q$7:$Q$106,93))</ns0:f>
      </ns0:c>
      <ns0:c r="I99" s="8" t="str">
        <ns0:f>IF(INDEX(Tasks[Task ID],93)="","",INDEX(Tasks[Milestone],93))</ns0:f>
      </ns0:c>
      <ns0:c r="J99" s="8" t="str">
        <ns0:f>IF(INDEX(Tasks[Task ID],93)="","",INDEX(Tasks[Schedule Health],93))</ns0:f>
      </ns0:c>
      <ns0:c r="K99" s="22" t="str">
        <ns0:f>IF($A99="","",IF($I99="Yes",IF(K$6=$D99,"◆",""),IF(AND(K$6&gt;=$D99,K$6&lt;=$E99),MAX(0,MIN(1,$G99*$F99-(K$6-$D99))),"")))</ns0:f>
      </ns0:c>
      <ns0:c r="L99" s="22" t="str">
        <ns0:f>IF($A99="","",IF($I99="Yes",IF(L$6=$D99,"◆",""),IF(AND(L$6&gt;=$D99,L$6&lt;=$E99),MAX(0,MIN(1,$G99*$F99-(L$6-$D99))),"")))</ns0:f>
      </ns0:c>
      <ns0:c r="M99" s="22" t="str">
        <ns0:f>IF($A99="","",IF($I99="Yes",IF(M$6=$D99,"◆",""),IF(AND(M$6&gt;=$D99,M$6&lt;=$E99),MAX(0,MIN(1,$G99*$F99-(M$6-$D99))),"")))</ns0:f>
      </ns0:c>
      <ns0:c r="N99" s="22" t="str">
        <ns0:f>IF($A99="","",IF($I99="Yes",IF(N$6=$D99,"◆",""),IF(AND(N$6&gt;=$D99,N$6&lt;=$E99),MAX(0,MIN(1,$G99*$F99-(N$6-$D99))),"")))</ns0:f>
      </ns0:c>
      <ns0:c r="O99" s="22" t="str">
        <ns0:f>IF($A99="","",IF($I99="Yes",IF(O$6=$D99,"◆",""),IF(AND(O$6&gt;=$D99,O$6&lt;=$E99),MAX(0,MIN(1,$G99*$F99-(O$6-$D99))),"")))</ns0:f>
      </ns0:c>
      <ns0:c r="P99" s="22" t="str">
        <ns0:f>IF($A99="","",IF($I99="Yes",IF(P$6=$D99,"◆",""),IF(AND(P$6&gt;=$D99,P$6&lt;=$E99),MAX(0,MIN(1,$G99*$F99-(P$6-$D99))),"")))</ns0:f>
      </ns0:c>
      <ns0:c r="Q99" s="22" t="str">
        <ns0:f>IF($A99="","",IF($I99="Yes",IF(Q$6=$D99,"◆",""),IF(AND(Q$6&gt;=$D99,Q$6&lt;=$E99),MAX(0,MIN(1,$G99*$F99-(Q$6-$D99))),"")))</ns0:f>
      </ns0:c>
      <ns0:c r="R99" s="22" t="str">
        <ns0:f>IF($A99="","",IF($I99="Yes",IF(R$6=$D99,"◆",""),IF(AND(R$6&gt;=$D99,R$6&lt;=$E99),MAX(0,MIN(1,$G99*$F99-(R$6-$D99))),"")))</ns0:f>
      </ns0:c>
      <ns0:c r="S99" s="22" t="str">
        <ns0:f>IF($A99="","",IF($I99="Yes",IF(S$6=$D99,"◆",""),IF(AND(S$6&gt;=$D99,S$6&lt;=$E99),MAX(0,MIN(1,$G99*$F99-(S$6-$D99))),"")))</ns0:f>
      </ns0:c>
      <ns0:c r="T99" s="22" t="str">
        <ns0:f>IF($A99="","",IF($I99="Yes",IF(T$6=$D99,"◆",""),IF(AND(T$6&gt;=$D99,T$6&lt;=$E99),MAX(0,MIN(1,$G99*$F99-(T$6-$D99))),"")))</ns0:f>
      </ns0:c>
      <ns0:c r="U99" s="22" t="str">
        <ns0:f>IF($A99="","",IF($I99="Yes",IF(U$6=$D99,"◆",""),IF(AND(U$6&gt;=$D99,U$6&lt;=$E99),MAX(0,MIN(1,$G99*$F99-(U$6-$D99))),"")))</ns0:f>
      </ns0:c>
      <ns0:c r="V99" s="22" t="str">
        <ns0:f>IF($A99="","",IF($I99="Yes",IF(V$6=$D99,"◆",""),IF(AND(V$6&gt;=$D99,V$6&lt;=$E99),MAX(0,MIN(1,$G99*$F99-(V$6-$D99))),"")))</ns0:f>
      </ns0:c>
      <ns0:c r="W99" s="22" t="str">
        <ns0:f>IF($A99="","",IF($I99="Yes",IF(W$6=$D99,"◆",""),IF(AND(W$6&gt;=$D99,W$6&lt;=$E99),MAX(0,MIN(1,$G99*$F99-(W$6-$D99))),"")))</ns0:f>
      </ns0:c>
      <ns0:c r="X99" s="22" t="str">
        <ns0:f>IF($A99="","",IF($I99="Yes",IF(X$6=$D99,"◆",""),IF(AND(X$6&gt;=$D99,X$6&lt;=$E99),MAX(0,MIN(1,$G99*$F99-(X$6-$D99))),"")))</ns0:f>
      </ns0:c>
      <ns0:c r="Y99" s="22" t="str">
        <ns0:f>IF($A99="","",IF($I99="Yes",IF(Y$6=$D99,"◆",""),IF(AND(Y$6&gt;=$D99,Y$6&lt;=$E99),MAX(0,MIN(1,$G99*$F99-(Y$6-$D99))),"")))</ns0:f>
      </ns0:c>
      <ns0:c r="Z99" s="22" t="str">
        <ns0:f>IF($A99="","",IF($I99="Yes",IF(Z$6=$D99,"◆",""),IF(AND(Z$6&gt;=$D99,Z$6&lt;=$E99),MAX(0,MIN(1,$G99*$F99-(Z$6-$D99))),"")))</ns0:f>
      </ns0:c>
      <ns0:c r="AA99" s="22" t="str">
        <ns0:f>IF($A99="","",IF($I99="Yes",IF(AA$6=$D99,"◆",""),IF(AND(AA$6&gt;=$D99,AA$6&lt;=$E99),MAX(0,MIN(1,$G99*$F99-(AA$6-$D99))),"")))</ns0:f>
      </ns0:c>
      <ns0:c r="AB99" s="22" t="str">
        <ns0:f>IF($A99="","",IF($I99="Yes",IF(AB$6=$D99,"◆",""),IF(AND(AB$6&gt;=$D99,AB$6&lt;=$E99),MAX(0,MIN(1,$G99*$F99-(AB$6-$D99))),"")))</ns0:f>
      </ns0:c>
      <ns0:c r="AC99" s="22" t="str">
        <ns0:f>IF($A99="","",IF($I99="Yes",IF(AC$6=$D99,"◆",""),IF(AND(AC$6&gt;=$D99,AC$6&lt;=$E99),MAX(0,MIN(1,$G99*$F99-(AC$6-$D99))),"")))</ns0:f>
      </ns0:c>
      <ns0:c r="AD99" s="22" t="str">
        <ns0:f>IF($A99="","",IF($I99="Yes",IF(AD$6=$D99,"◆",""),IF(AND(AD$6&gt;=$D99,AD$6&lt;=$E99),MAX(0,MIN(1,$G99*$F99-(AD$6-$D99))),"")))</ns0:f>
      </ns0:c>
      <ns0:c r="AE99" s="22" t="str">
        <ns0:f>IF($A99="","",IF($I99="Yes",IF(AE$6=$D99,"◆",""),IF(AND(AE$6&gt;=$D99,AE$6&lt;=$E99),MAX(0,MIN(1,$G99*$F99-(AE$6-$D99))),"")))</ns0:f>
      </ns0:c>
      <ns0:c r="AF99" s="22" t="str">
        <ns0:f>IF($A99="","",IF($I99="Yes",IF(AF$6=$D99,"◆",""),IF(AND(AF$6&gt;=$D99,AF$6&lt;=$E99),MAX(0,MIN(1,$G99*$F99-(AF$6-$D99))),"")))</ns0:f>
      </ns0:c>
      <ns0:c r="AG99" s="22" t="str">
        <ns0:f>IF($A99="","",IF($I99="Yes",IF(AG$6=$D99,"◆",""),IF(AND(AG$6&gt;=$D99,AG$6&lt;=$E99),MAX(0,MIN(1,$G99*$F99-(AG$6-$D99))),"")))</ns0:f>
      </ns0:c>
      <ns0:c r="AH99" s="22" t="str">
        <ns0:f>IF($A99="","",IF($I99="Yes",IF(AH$6=$D99,"◆",""),IF(AND(AH$6&gt;=$D99,AH$6&lt;=$E99),MAX(0,MIN(1,$G99*$F99-(AH$6-$D99))),"")))</ns0:f>
      </ns0:c>
      <ns0:c r="AI99" s="22" t="str">
        <ns0:f>IF($A99="","",IF($I99="Yes",IF(AI$6=$D99,"◆",""),IF(AND(AI$6&gt;=$D99,AI$6&lt;=$E99),MAX(0,MIN(1,$G99*$F99-(AI$6-$D99))),"")))</ns0:f>
      </ns0:c>
      <ns0:c r="AJ99" s="22" t="str">
        <ns0:f>IF($A99="","",IF($I99="Yes",IF(AJ$6=$D99,"◆",""),IF(AND(AJ$6&gt;=$D99,AJ$6&lt;=$E99),MAX(0,MIN(1,$G99*$F99-(AJ$6-$D99))),"")))</ns0:f>
      </ns0:c>
      <ns0:c r="AK99" s="22" t="str">
        <ns0:f>IF($A99="","",IF($I99="Yes",IF(AK$6=$D99,"◆",""),IF(AND(AK$6&gt;=$D99,AK$6&lt;=$E99),MAX(0,MIN(1,$G99*$F99-(AK$6-$D99))),"")))</ns0:f>
      </ns0:c>
      <ns0:c r="AL99" s="22" t="str">
        <ns0:f>IF($A99="","",IF($I99="Yes",IF(AL$6=$D99,"◆",""),IF(AND(AL$6&gt;=$D99,AL$6&lt;=$E99),MAX(0,MIN(1,$G99*$F99-(AL$6-$D99))),"")))</ns0:f>
      </ns0:c>
      <ns0:c r="AM99" s="22" t="str">
        <ns0:f>IF($A99="","",IF($I99="Yes",IF(AM$6=$D99,"◆",""),IF(AND(AM$6&gt;=$D99,AM$6&lt;=$E99),MAX(0,MIN(1,$G99*$F99-(AM$6-$D99))),"")))</ns0:f>
      </ns0:c>
      <ns0:c r="AN99" s="22" t="str">
        <ns0:f>IF($A99="","",IF($I99="Yes",IF(AN$6=$D99,"◆",""),IF(AND(AN$6&gt;=$D99,AN$6&lt;=$E99),MAX(0,MIN(1,$G99*$F99-(AN$6-$D99))),"")))</ns0:f>
      </ns0:c>
      <ns0:c r="AO99" s="22" t="str">
        <ns0:f>IF($A99="","",IF($I99="Yes",IF(AO$6=$D99,"◆",""),IF(AND(AO$6&gt;=$D99,AO$6&lt;=$E99),MAX(0,MIN(1,$G99*$F99-(AO$6-$D99))),"")))</ns0:f>
      </ns0:c>
      <ns0:c r="AP99" s="22" t="str">
        <ns0:f>IF($A99="","",IF($I99="Yes",IF(AP$6=$D99,"◆",""),IF(AND(AP$6&gt;=$D99,AP$6&lt;=$E99),MAX(0,MIN(1,$G99*$F99-(AP$6-$D99))),"")))</ns0:f>
      </ns0:c>
      <ns0:c r="AQ99" s="22" t="str">
        <ns0:f>IF($A99="","",IF($I99="Yes",IF(AQ$6=$D99,"◆",""),IF(AND(AQ$6&gt;=$D99,AQ$6&lt;=$E99),MAX(0,MIN(1,$G99*$F99-(AQ$6-$D99))),"")))</ns0:f>
      </ns0:c>
      <ns0:c r="AR99" s="22" t="str">
        <ns0:f>IF($A99="","",IF($I99="Yes",IF(AR$6=$D99,"◆",""),IF(AND(AR$6&gt;=$D99,AR$6&lt;=$E99),MAX(0,MIN(1,$G99*$F99-(AR$6-$D99))),"")))</ns0:f>
      </ns0:c>
    </ns0:row>
    <ns0:row r="100" ht="48" customHeight="1">
      <ns0:c r="A100" s="8" t="str">
        <ns0:f>IF(INDEX(Tasks[Task ID],94)="","",INDEX(Tasks[Task ID],94))</ns0:f>
      </ns0:c>
      <ns0:c r="B100" s="8" t="str">
        <ns0:f>IF(INDEX(Tasks[Task ID],94)="","",INDEX(Tasks[Phase],94))</ns0:f>
      </ns0:c>
      <ns0:c r="C100" s="8" t="str">
        <ns0:f>IF(INDEX(Tasks[Task ID],94)="","",INDEX(Tasks[Task Name],94))</ns0:f>
      </ns0:c>
      <ns0:c r="D100" s="18" t="str">
        <ns0:f>IF(INDEX(Tasks[Task ID],94)="","",INDEX(Tasks[Start Date],94))</ns0:f>
      </ns0:c>
      <ns0:c r="E100" s="18" t="str">
        <ns0:f>IF(INDEX(Tasks[Task ID],94)="","",INDEX(Tasks[End Date],94))</ns0:f>
      </ns0:c>
      <ns0:c r="F100" s="8" t="str">
        <ns0:f>IF(INDEX(Tasks[Task ID],94)="","",INDEX(Tasks[Duration],94))</ns0:f>
      </ns0:c>
      <ns0:c r="G100" s="19" t="str">
        <ns0:f>IF(INDEX(Tasks[Task ID],94)="","",INDEX(Tasks[Progress %],94))</ns0:f>
      </ns0:c>
      <ns0:c r="H100" s="8" t="str">
        <ns0:f>IF(INDEX(Tasks[Task ID],94)="","",INDEX('Project Tracker'!$Q$7:$Q$106,94))</ns0:f>
      </ns0:c>
      <ns0:c r="I100" s="8" t="str">
        <ns0:f>IF(INDEX(Tasks[Task ID],94)="","",INDEX(Tasks[Milestone],94))</ns0:f>
      </ns0:c>
      <ns0:c r="J100" s="8" t="str">
        <ns0:f>IF(INDEX(Tasks[Task ID],94)="","",INDEX(Tasks[Schedule Health],94))</ns0:f>
      </ns0:c>
      <ns0:c r="K100" s="22" t="str">
        <ns0:f>IF($A100="","",IF($I100="Yes",IF(K$6=$D100,"◆",""),IF(AND(K$6&gt;=$D100,K$6&lt;=$E100),MAX(0,MIN(1,$G100*$F100-(K$6-$D100))),"")))</ns0:f>
      </ns0:c>
      <ns0:c r="L100" s="22" t="str">
        <ns0:f>IF($A100="","",IF($I100="Yes",IF(L$6=$D100,"◆",""),IF(AND(L$6&gt;=$D100,L$6&lt;=$E100),MAX(0,MIN(1,$G100*$F100-(L$6-$D100))),"")))</ns0:f>
      </ns0:c>
      <ns0:c r="M100" s="22" t="str">
        <ns0:f>IF($A100="","",IF($I100="Yes",IF(M$6=$D100,"◆",""),IF(AND(M$6&gt;=$D100,M$6&lt;=$E100),MAX(0,MIN(1,$G100*$F100-(M$6-$D100))),"")))</ns0:f>
      </ns0:c>
      <ns0:c r="N100" s="22" t="str">
        <ns0:f>IF($A100="","",IF($I100="Yes",IF(N$6=$D100,"◆",""),IF(AND(N$6&gt;=$D100,N$6&lt;=$E100),MAX(0,MIN(1,$G100*$F100-(N$6-$D100))),"")))</ns0:f>
      </ns0:c>
      <ns0:c r="O100" s="22" t="str">
        <ns0:f>IF($A100="","",IF($I100="Yes",IF(O$6=$D100,"◆",""),IF(AND(O$6&gt;=$D100,O$6&lt;=$E100),MAX(0,MIN(1,$G100*$F100-(O$6-$D100))),"")))</ns0:f>
      </ns0:c>
      <ns0:c r="P100" s="22" t="str">
        <ns0:f>IF($A100="","",IF($I100="Yes",IF(P$6=$D100,"◆",""),IF(AND(P$6&gt;=$D100,P$6&lt;=$E100),MAX(0,MIN(1,$G100*$F100-(P$6-$D100))),"")))</ns0:f>
      </ns0:c>
      <ns0:c r="Q100" s="22" t="str">
        <ns0:f>IF($A100="","",IF($I100="Yes",IF(Q$6=$D100,"◆",""),IF(AND(Q$6&gt;=$D100,Q$6&lt;=$E100),MAX(0,MIN(1,$G100*$F100-(Q$6-$D100))),"")))</ns0:f>
      </ns0:c>
      <ns0:c r="R100" s="22" t="str">
        <ns0:f>IF($A100="","",IF($I100="Yes",IF(R$6=$D100,"◆",""),IF(AND(R$6&gt;=$D100,R$6&lt;=$E100),MAX(0,MIN(1,$G100*$F100-(R$6-$D100))),"")))</ns0:f>
      </ns0:c>
      <ns0:c r="S100" s="22" t="str">
        <ns0:f>IF($A100="","",IF($I100="Yes",IF(S$6=$D100,"◆",""),IF(AND(S$6&gt;=$D100,S$6&lt;=$E100),MAX(0,MIN(1,$G100*$F100-(S$6-$D100))),"")))</ns0:f>
      </ns0:c>
      <ns0:c r="T100" s="22" t="str">
        <ns0:f>IF($A100="","",IF($I100="Yes",IF(T$6=$D100,"◆",""),IF(AND(T$6&gt;=$D100,T$6&lt;=$E100),MAX(0,MIN(1,$G100*$F100-(T$6-$D100))),"")))</ns0:f>
      </ns0:c>
      <ns0:c r="U100" s="22" t="str">
        <ns0:f>IF($A100="","",IF($I100="Yes",IF(U$6=$D100,"◆",""),IF(AND(U$6&gt;=$D100,U$6&lt;=$E100),MAX(0,MIN(1,$G100*$F100-(U$6-$D100))),"")))</ns0:f>
      </ns0:c>
      <ns0:c r="V100" s="22" t="str">
        <ns0:f>IF($A100="","",IF($I100="Yes",IF(V$6=$D100,"◆",""),IF(AND(V$6&gt;=$D100,V$6&lt;=$E100),MAX(0,MIN(1,$G100*$F100-(V$6-$D100))),"")))</ns0:f>
      </ns0:c>
      <ns0:c r="W100" s="22" t="str">
        <ns0:f>IF($A100="","",IF($I100="Yes",IF(W$6=$D100,"◆",""),IF(AND(W$6&gt;=$D100,W$6&lt;=$E100),MAX(0,MIN(1,$G100*$F100-(W$6-$D100))),"")))</ns0:f>
      </ns0:c>
      <ns0:c r="X100" s="22" t="str">
        <ns0:f>IF($A100="","",IF($I100="Yes",IF(X$6=$D100,"◆",""),IF(AND(X$6&gt;=$D100,X$6&lt;=$E100),MAX(0,MIN(1,$G100*$F100-(X$6-$D100))),"")))</ns0:f>
      </ns0:c>
      <ns0:c r="Y100" s="22" t="str">
        <ns0:f>IF($A100="","",IF($I100="Yes",IF(Y$6=$D100,"◆",""),IF(AND(Y$6&gt;=$D100,Y$6&lt;=$E100),MAX(0,MIN(1,$G100*$F100-(Y$6-$D100))),"")))</ns0:f>
      </ns0:c>
      <ns0:c r="Z100" s="22" t="str">
        <ns0:f>IF($A100="","",IF($I100="Yes",IF(Z$6=$D100,"◆",""),IF(AND(Z$6&gt;=$D100,Z$6&lt;=$E100),MAX(0,MIN(1,$G100*$F100-(Z$6-$D100))),"")))</ns0:f>
      </ns0:c>
      <ns0:c r="AA100" s="22" t="str">
        <ns0:f>IF($A100="","",IF($I100="Yes",IF(AA$6=$D100,"◆",""),IF(AND(AA$6&gt;=$D100,AA$6&lt;=$E100),MAX(0,MIN(1,$G100*$F100-(AA$6-$D100))),"")))</ns0:f>
      </ns0:c>
      <ns0:c r="AB100" s="22" t="str">
        <ns0:f>IF($A100="","",IF($I100="Yes",IF(AB$6=$D100,"◆",""),IF(AND(AB$6&gt;=$D100,AB$6&lt;=$E100),MAX(0,MIN(1,$G100*$F100-(AB$6-$D100))),"")))</ns0:f>
      </ns0:c>
      <ns0:c r="AC100" s="22" t="str">
        <ns0:f>IF($A100="","",IF($I100="Yes",IF(AC$6=$D100,"◆",""),IF(AND(AC$6&gt;=$D100,AC$6&lt;=$E100),MAX(0,MIN(1,$G100*$F100-(AC$6-$D100))),"")))</ns0:f>
      </ns0:c>
      <ns0:c r="AD100" s="22" t="str">
        <ns0:f>IF($A100="","",IF($I100="Yes",IF(AD$6=$D100,"◆",""),IF(AND(AD$6&gt;=$D100,AD$6&lt;=$E100),MAX(0,MIN(1,$G100*$F100-(AD$6-$D100))),"")))</ns0:f>
      </ns0:c>
      <ns0:c r="AE100" s="22" t="str">
        <ns0:f>IF($A100="","",IF($I100="Yes",IF(AE$6=$D100,"◆",""),IF(AND(AE$6&gt;=$D100,AE$6&lt;=$E100),MAX(0,MIN(1,$G100*$F100-(AE$6-$D100))),"")))</ns0:f>
      </ns0:c>
      <ns0:c r="AF100" s="22" t="str">
        <ns0:f>IF($A100="","",IF($I100="Yes",IF(AF$6=$D100,"◆",""),IF(AND(AF$6&gt;=$D100,AF$6&lt;=$E100),MAX(0,MIN(1,$G100*$F100-(AF$6-$D100))),"")))</ns0:f>
      </ns0:c>
      <ns0:c r="AG100" s="22" t="str">
        <ns0:f>IF($A100="","",IF($I100="Yes",IF(AG$6=$D100,"◆",""),IF(AND(AG$6&gt;=$D100,AG$6&lt;=$E100),MAX(0,MIN(1,$G100*$F100-(AG$6-$D100))),"")))</ns0:f>
      </ns0:c>
      <ns0:c r="AH100" s="22" t="str">
        <ns0:f>IF($A100="","",IF($I100="Yes",IF(AH$6=$D100,"◆",""),IF(AND(AH$6&gt;=$D100,AH$6&lt;=$E100),MAX(0,MIN(1,$G100*$F100-(AH$6-$D100))),"")))</ns0:f>
      </ns0:c>
      <ns0:c r="AI100" s="22" t="str">
        <ns0:f>IF($A100="","",IF($I100="Yes",IF(AI$6=$D100,"◆",""),IF(AND(AI$6&gt;=$D100,AI$6&lt;=$E100),MAX(0,MIN(1,$G100*$F100-(AI$6-$D100))),"")))</ns0:f>
      </ns0:c>
      <ns0:c r="AJ100" s="22" t="str">
        <ns0:f>IF($A100="","",IF($I100="Yes",IF(AJ$6=$D100,"◆",""),IF(AND(AJ$6&gt;=$D100,AJ$6&lt;=$E100),MAX(0,MIN(1,$G100*$F100-(AJ$6-$D100))),"")))</ns0:f>
      </ns0:c>
      <ns0:c r="AK100" s="22" t="str">
        <ns0:f>IF($A100="","",IF($I100="Yes",IF(AK$6=$D100,"◆",""),IF(AND(AK$6&gt;=$D100,AK$6&lt;=$E100),MAX(0,MIN(1,$G100*$F100-(AK$6-$D100))),"")))</ns0:f>
      </ns0:c>
      <ns0:c r="AL100" s="22" t="str">
        <ns0:f>IF($A100="","",IF($I100="Yes",IF(AL$6=$D100,"◆",""),IF(AND(AL$6&gt;=$D100,AL$6&lt;=$E100),MAX(0,MIN(1,$G100*$F100-(AL$6-$D100))),"")))</ns0:f>
      </ns0:c>
      <ns0:c r="AM100" s="22" t="str">
        <ns0:f>IF($A100="","",IF($I100="Yes",IF(AM$6=$D100,"◆",""),IF(AND(AM$6&gt;=$D100,AM$6&lt;=$E100),MAX(0,MIN(1,$G100*$F100-(AM$6-$D100))),"")))</ns0:f>
      </ns0:c>
      <ns0:c r="AN100" s="22" t="str">
        <ns0:f>IF($A100="","",IF($I100="Yes",IF(AN$6=$D100,"◆",""),IF(AND(AN$6&gt;=$D100,AN$6&lt;=$E100),MAX(0,MIN(1,$G100*$F100-(AN$6-$D100))),"")))</ns0:f>
      </ns0:c>
      <ns0:c r="AO100" s="22" t="str">
        <ns0:f>IF($A100="","",IF($I100="Yes",IF(AO$6=$D100,"◆",""),IF(AND(AO$6&gt;=$D100,AO$6&lt;=$E100),MAX(0,MIN(1,$G100*$F100-(AO$6-$D100))),"")))</ns0:f>
      </ns0:c>
      <ns0:c r="AP100" s="22" t="str">
        <ns0:f>IF($A100="","",IF($I100="Yes",IF(AP$6=$D100,"◆",""),IF(AND(AP$6&gt;=$D100,AP$6&lt;=$E100),MAX(0,MIN(1,$G100*$F100-(AP$6-$D100))),"")))</ns0:f>
      </ns0:c>
      <ns0:c r="AQ100" s="22" t="str">
        <ns0:f>IF($A100="","",IF($I100="Yes",IF(AQ$6=$D100,"◆",""),IF(AND(AQ$6&gt;=$D100,AQ$6&lt;=$E100),MAX(0,MIN(1,$G100*$F100-(AQ$6-$D100))),"")))</ns0:f>
      </ns0:c>
      <ns0:c r="AR100" s="22" t="str">
        <ns0:f>IF($A100="","",IF($I100="Yes",IF(AR$6=$D100,"◆",""),IF(AND(AR$6&gt;=$D100,AR$6&lt;=$E100),MAX(0,MIN(1,$G100*$F100-(AR$6-$D100))),"")))</ns0:f>
      </ns0:c>
    </ns0:row>
    <ns0:row r="101" ht="48" customHeight="1">
      <ns0:c r="A101" s="8" t="str">
        <ns0:f>IF(INDEX(Tasks[Task ID],95)="","",INDEX(Tasks[Task ID],95))</ns0:f>
      </ns0:c>
      <ns0:c r="B101" s="8" t="str">
        <ns0:f>IF(INDEX(Tasks[Task ID],95)="","",INDEX(Tasks[Phase],95))</ns0:f>
      </ns0:c>
      <ns0:c r="C101" s="8" t="str">
        <ns0:f>IF(INDEX(Tasks[Task ID],95)="","",INDEX(Tasks[Task Name],95))</ns0:f>
      </ns0:c>
      <ns0:c r="D101" s="18" t="str">
        <ns0:f>IF(INDEX(Tasks[Task ID],95)="","",INDEX(Tasks[Start Date],95))</ns0:f>
      </ns0:c>
      <ns0:c r="E101" s="18" t="str">
        <ns0:f>IF(INDEX(Tasks[Task ID],95)="","",INDEX(Tasks[End Date],95))</ns0:f>
      </ns0:c>
      <ns0:c r="F101" s="8" t="str">
        <ns0:f>IF(INDEX(Tasks[Task ID],95)="","",INDEX(Tasks[Duration],95))</ns0:f>
      </ns0:c>
      <ns0:c r="G101" s="19" t="str">
        <ns0:f>IF(INDEX(Tasks[Task ID],95)="","",INDEX(Tasks[Progress %],95))</ns0:f>
      </ns0:c>
      <ns0:c r="H101" s="8" t="str">
        <ns0:f>IF(INDEX(Tasks[Task ID],95)="","",INDEX('Project Tracker'!$Q$7:$Q$106,95))</ns0:f>
      </ns0:c>
      <ns0:c r="I101" s="8" t="str">
        <ns0:f>IF(INDEX(Tasks[Task ID],95)="","",INDEX(Tasks[Milestone],95))</ns0:f>
      </ns0:c>
      <ns0:c r="J101" s="8" t="str">
        <ns0:f>IF(INDEX(Tasks[Task ID],95)="","",INDEX(Tasks[Schedule Health],95))</ns0:f>
      </ns0:c>
      <ns0:c r="K101" s="22" t="str">
        <ns0:f>IF($A101="","",IF($I101="Yes",IF(K$6=$D101,"◆",""),IF(AND(K$6&gt;=$D101,K$6&lt;=$E101),MAX(0,MIN(1,$G101*$F101-(K$6-$D101))),"")))</ns0:f>
      </ns0:c>
      <ns0:c r="L101" s="22" t="str">
        <ns0:f>IF($A101="","",IF($I101="Yes",IF(L$6=$D101,"◆",""),IF(AND(L$6&gt;=$D101,L$6&lt;=$E101),MAX(0,MIN(1,$G101*$F101-(L$6-$D101))),"")))</ns0:f>
      </ns0:c>
      <ns0:c r="M101" s="22" t="str">
        <ns0:f>IF($A101="","",IF($I101="Yes",IF(M$6=$D101,"◆",""),IF(AND(M$6&gt;=$D101,M$6&lt;=$E101),MAX(0,MIN(1,$G101*$F101-(M$6-$D101))),"")))</ns0:f>
      </ns0:c>
      <ns0:c r="N101" s="22" t="str">
        <ns0:f>IF($A101="","",IF($I101="Yes",IF(N$6=$D101,"◆",""),IF(AND(N$6&gt;=$D101,N$6&lt;=$E101),MAX(0,MIN(1,$G101*$F101-(N$6-$D101))),"")))</ns0:f>
      </ns0:c>
      <ns0:c r="O101" s="22" t="str">
        <ns0:f>IF($A101="","",IF($I101="Yes",IF(O$6=$D101,"◆",""),IF(AND(O$6&gt;=$D101,O$6&lt;=$E101),MAX(0,MIN(1,$G101*$F101-(O$6-$D101))),"")))</ns0:f>
      </ns0:c>
      <ns0:c r="P101" s="22" t="str">
        <ns0:f>IF($A101="","",IF($I101="Yes",IF(P$6=$D101,"◆",""),IF(AND(P$6&gt;=$D101,P$6&lt;=$E101),MAX(0,MIN(1,$G101*$F101-(P$6-$D101))),"")))</ns0:f>
      </ns0:c>
      <ns0:c r="Q101" s="22" t="str">
        <ns0:f>IF($A101="","",IF($I101="Yes",IF(Q$6=$D101,"◆",""),IF(AND(Q$6&gt;=$D101,Q$6&lt;=$E101),MAX(0,MIN(1,$G101*$F101-(Q$6-$D101))),"")))</ns0:f>
      </ns0:c>
      <ns0:c r="R101" s="22" t="str">
        <ns0:f>IF($A101="","",IF($I101="Yes",IF(R$6=$D101,"◆",""),IF(AND(R$6&gt;=$D101,R$6&lt;=$E101),MAX(0,MIN(1,$G101*$F101-(R$6-$D101))),"")))</ns0:f>
      </ns0:c>
      <ns0:c r="S101" s="22" t="str">
        <ns0:f>IF($A101="","",IF($I101="Yes",IF(S$6=$D101,"◆",""),IF(AND(S$6&gt;=$D101,S$6&lt;=$E101),MAX(0,MIN(1,$G101*$F101-(S$6-$D101))),"")))</ns0:f>
      </ns0:c>
      <ns0:c r="T101" s="22" t="str">
        <ns0:f>IF($A101="","",IF($I101="Yes",IF(T$6=$D101,"◆",""),IF(AND(T$6&gt;=$D101,T$6&lt;=$E101),MAX(0,MIN(1,$G101*$F101-(T$6-$D101))),"")))</ns0:f>
      </ns0:c>
      <ns0:c r="U101" s="22" t="str">
        <ns0:f>IF($A101="","",IF($I101="Yes",IF(U$6=$D101,"◆",""),IF(AND(U$6&gt;=$D101,U$6&lt;=$E101),MAX(0,MIN(1,$G101*$F101-(U$6-$D101))),"")))</ns0:f>
      </ns0:c>
      <ns0:c r="V101" s="22" t="str">
        <ns0:f>IF($A101="","",IF($I101="Yes",IF(V$6=$D101,"◆",""),IF(AND(V$6&gt;=$D101,V$6&lt;=$E101),MAX(0,MIN(1,$G101*$F101-(V$6-$D101))),"")))</ns0:f>
      </ns0:c>
      <ns0:c r="W101" s="22" t="str">
        <ns0:f>IF($A101="","",IF($I101="Yes",IF(W$6=$D101,"◆",""),IF(AND(W$6&gt;=$D101,W$6&lt;=$E101),MAX(0,MIN(1,$G101*$F101-(W$6-$D101))),"")))</ns0:f>
      </ns0:c>
      <ns0:c r="X101" s="22" t="str">
        <ns0:f>IF($A101="","",IF($I101="Yes",IF(X$6=$D101,"◆",""),IF(AND(X$6&gt;=$D101,X$6&lt;=$E101),MAX(0,MIN(1,$G101*$F101-(X$6-$D101))),"")))</ns0:f>
      </ns0:c>
      <ns0:c r="Y101" s="22" t="str">
        <ns0:f>IF($A101="","",IF($I101="Yes",IF(Y$6=$D101,"◆",""),IF(AND(Y$6&gt;=$D101,Y$6&lt;=$E101),MAX(0,MIN(1,$G101*$F101-(Y$6-$D101))),"")))</ns0:f>
      </ns0:c>
      <ns0:c r="Z101" s="22" t="str">
        <ns0:f>IF($A101="","",IF($I101="Yes",IF(Z$6=$D101,"◆",""),IF(AND(Z$6&gt;=$D101,Z$6&lt;=$E101),MAX(0,MIN(1,$G101*$F101-(Z$6-$D101))),"")))</ns0:f>
      </ns0:c>
      <ns0:c r="AA101" s="22" t="str">
        <ns0:f>IF($A101="","",IF($I101="Yes",IF(AA$6=$D101,"◆",""),IF(AND(AA$6&gt;=$D101,AA$6&lt;=$E101),MAX(0,MIN(1,$G101*$F101-(AA$6-$D101))),"")))</ns0:f>
      </ns0:c>
      <ns0:c r="AB101" s="22" t="str">
        <ns0:f>IF($A101="","",IF($I101="Yes",IF(AB$6=$D101,"◆",""),IF(AND(AB$6&gt;=$D101,AB$6&lt;=$E101),MAX(0,MIN(1,$G101*$F101-(AB$6-$D101))),"")))</ns0:f>
      </ns0:c>
      <ns0:c r="AC101" s="22" t="str">
        <ns0:f>IF($A101="","",IF($I101="Yes",IF(AC$6=$D101,"◆",""),IF(AND(AC$6&gt;=$D101,AC$6&lt;=$E101),MAX(0,MIN(1,$G101*$F101-(AC$6-$D101))),"")))</ns0:f>
      </ns0:c>
      <ns0:c r="AD101" s="22" t="str">
        <ns0:f>IF($A101="","",IF($I101="Yes",IF(AD$6=$D101,"◆",""),IF(AND(AD$6&gt;=$D101,AD$6&lt;=$E101),MAX(0,MIN(1,$G101*$F101-(AD$6-$D101))),"")))</ns0:f>
      </ns0:c>
      <ns0:c r="AE101" s="22" t="str">
        <ns0:f>IF($A101="","",IF($I101="Yes",IF(AE$6=$D101,"◆",""),IF(AND(AE$6&gt;=$D101,AE$6&lt;=$E101),MAX(0,MIN(1,$G101*$F101-(AE$6-$D101))),"")))</ns0:f>
      </ns0:c>
      <ns0:c r="AF101" s="22" t="str">
        <ns0:f>IF($A101="","",IF($I101="Yes",IF(AF$6=$D101,"◆",""),IF(AND(AF$6&gt;=$D101,AF$6&lt;=$E101),MAX(0,MIN(1,$G101*$F101-(AF$6-$D101))),"")))</ns0:f>
      </ns0:c>
      <ns0:c r="AG101" s="22" t="str">
        <ns0:f>IF($A101="","",IF($I101="Yes",IF(AG$6=$D101,"◆",""),IF(AND(AG$6&gt;=$D101,AG$6&lt;=$E101),MAX(0,MIN(1,$G101*$F101-(AG$6-$D101))),"")))</ns0:f>
      </ns0:c>
      <ns0:c r="AH101" s="22" t="str">
        <ns0:f>IF($A101="","",IF($I101="Yes",IF(AH$6=$D101,"◆",""),IF(AND(AH$6&gt;=$D101,AH$6&lt;=$E101),MAX(0,MIN(1,$G101*$F101-(AH$6-$D101))),"")))</ns0:f>
      </ns0:c>
      <ns0:c r="AI101" s="22" t="str">
        <ns0:f>IF($A101="","",IF($I101="Yes",IF(AI$6=$D101,"◆",""),IF(AND(AI$6&gt;=$D101,AI$6&lt;=$E101),MAX(0,MIN(1,$G101*$F101-(AI$6-$D101))),"")))</ns0:f>
      </ns0:c>
      <ns0:c r="AJ101" s="22" t="str">
        <ns0:f>IF($A101="","",IF($I101="Yes",IF(AJ$6=$D101,"◆",""),IF(AND(AJ$6&gt;=$D101,AJ$6&lt;=$E101),MAX(0,MIN(1,$G101*$F101-(AJ$6-$D101))),"")))</ns0:f>
      </ns0:c>
      <ns0:c r="AK101" s="22" t="str">
        <ns0:f>IF($A101="","",IF($I101="Yes",IF(AK$6=$D101,"◆",""),IF(AND(AK$6&gt;=$D101,AK$6&lt;=$E101),MAX(0,MIN(1,$G101*$F101-(AK$6-$D101))),"")))</ns0:f>
      </ns0:c>
      <ns0:c r="AL101" s="22" t="str">
        <ns0:f>IF($A101="","",IF($I101="Yes",IF(AL$6=$D101,"◆",""),IF(AND(AL$6&gt;=$D101,AL$6&lt;=$E101),MAX(0,MIN(1,$G101*$F101-(AL$6-$D101))),"")))</ns0:f>
      </ns0:c>
      <ns0:c r="AM101" s="22" t="str">
        <ns0:f>IF($A101="","",IF($I101="Yes",IF(AM$6=$D101,"◆",""),IF(AND(AM$6&gt;=$D101,AM$6&lt;=$E101),MAX(0,MIN(1,$G101*$F101-(AM$6-$D101))),"")))</ns0:f>
      </ns0:c>
      <ns0:c r="AN101" s="22" t="str">
        <ns0:f>IF($A101="","",IF($I101="Yes",IF(AN$6=$D101,"◆",""),IF(AND(AN$6&gt;=$D101,AN$6&lt;=$E101),MAX(0,MIN(1,$G101*$F101-(AN$6-$D101))),"")))</ns0:f>
      </ns0:c>
      <ns0:c r="AO101" s="22" t="str">
        <ns0:f>IF($A101="","",IF($I101="Yes",IF(AO$6=$D101,"◆",""),IF(AND(AO$6&gt;=$D101,AO$6&lt;=$E101),MAX(0,MIN(1,$G101*$F101-(AO$6-$D101))),"")))</ns0:f>
      </ns0:c>
      <ns0:c r="AP101" s="22" t="str">
        <ns0:f>IF($A101="","",IF($I101="Yes",IF(AP$6=$D101,"◆",""),IF(AND(AP$6&gt;=$D101,AP$6&lt;=$E101),MAX(0,MIN(1,$G101*$F101-(AP$6-$D101))),"")))</ns0:f>
      </ns0:c>
      <ns0:c r="AQ101" s="22" t="str">
        <ns0:f>IF($A101="","",IF($I101="Yes",IF(AQ$6=$D101,"◆",""),IF(AND(AQ$6&gt;=$D101,AQ$6&lt;=$E101),MAX(0,MIN(1,$G101*$F101-(AQ$6-$D101))),"")))</ns0:f>
      </ns0:c>
      <ns0:c r="AR101" s="22" t="str">
        <ns0:f>IF($A101="","",IF($I101="Yes",IF(AR$6=$D101,"◆",""),IF(AND(AR$6&gt;=$D101,AR$6&lt;=$E101),MAX(0,MIN(1,$G101*$F101-(AR$6-$D101))),"")))</ns0:f>
      </ns0:c>
    </ns0:row>
    <ns0:row r="102" ht="48" customHeight="1">
      <ns0:c r="A102" s="8" t="str">
        <ns0:f>IF(INDEX(Tasks[Task ID],96)="","",INDEX(Tasks[Task ID],96))</ns0:f>
      </ns0:c>
      <ns0:c r="B102" s="8" t="str">
        <ns0:f>IF(INDEX(Tasks[Task ID],96)="","",INDEX(Tasks[Phase],96))</ns0:f>
      </ns0:c>
      <ns0:c r="C102" s="8" t="str">
        <ns0:f>IF(INDEX(Tasks[Task ID],96)="","",INDEX(Tasks[Task Name],96))</ns0:f>
      </ns0:c>
      <ns0:c r="D102" s="18" t="str">
        <ns0:f>IF(INDEX(Tasks[Task ID],96)="","",INDEX(Tasks[Start Date],96))</ns0:f>
      </ns0:c>
      <ns0:c r="E102" s="18" t="str">
        <ns0:f>IF(INDEX(Tasks[Task ID],96)="","",INDEX(Tasks[End Date],96))</ns0:f>
      </ns0:c>
      <ns0:c r="F102" s="8" t="str">
        <ns0:f>IF(INDEX(Tasks[Task ID],96)="","",INDEX(Tasks[Duration],96))</ns0:f>
      </ns0:c>
      <ns0:c r="G102" s="19" t="str">
        <ns0:f>IF(INDEX(Tasks[Task ID],96)="","",INDEX(Tasks[Progress %],96))</ns0:f>
      </ns0:c>
      <ns0:c r="H102" s="8" t="str">
        <ns0:f>IF(INDEX(Tasks[Task ID],96)="","",INDEX('Project Tracker'!$Q$7:$Q$106,96))</ns0:f>
      </ns0:c>
      <ns0:c r="I102" s="8" t="str">
        <ns0:f>IF(INDEX(Tasks[Task ID],96)="","",INDEX(Tasks[Milestone],96))</ns0:f>
      </ns0:c>
      <ns0:c r="J102" s="8" t="str">
        <ns0:f>IF(INDEX(Tasks[Task ID],96)="","",INDEX(Tasks[Schedule Health],96))</ns0:f>
      </ns0:c>
      <ns0:c r="K102" s="22" t="str">
        <ns0:f>IF($A102="","",IF($I102="Yes",IF(K$6=$D102,"◆",""),IF(AND(K$6&gt;=$D102,K$6&lt;=$E102),MAX(0,MIN(1,$G102*$F102-(K$6-$D102))),"")))</ns0:f>
      </ns0:c>
      <ns0:c r="L102" s="22" t="str">
        <ns0:f>IF($A102="","",IF($I102="Yes",IF(L$6=$D102,"◆",""),IF(AND(L$6&gt;=$D102,L$6&lt;=$E102),MAX(0,MIN(1,$G102*$F102-(L$6-$D102))),"")))</ns0:f>
      </ns0:c>
      <ns0:c r="M102" s="22" t="str">
        <ns0:f>IF($A102="","",IF($I102="Yes",IF(M$6=$D102,"◆",""),IF(AND(M$6&gt;=$D102,M$6&lt;=$E102),MAX(0,MIN(1,$G102*$F102-(M$6-$D102))),"")))</ns0:f>
      </ns0:c>
      <ns0:c r="N102" s="22" t="str">
        <ns0:f>IF($A102="","",IF($I102="Yes",IF(N$6=$D102,"◆",""),IF(AND(N$6&gt;=$D102,N$6&lt;=$E102),MAX(0,MIN(1,$G102*$F102-(N$6-$D102))),"")))</ns0:f>
      </ns0:c>
      <ns0:c r="O102" s="22" t="str">
        <ns0:f>IF($A102="","",IF($I102="Yes",IF(O$6=$D102,"◆",""),IF(AND(O$6&gt;=$D102,O$6&lt;=$E102),MAX(0,MIN(1,$G102*$F102-(O$6-$D102))),"")))</ns0:f>
      </ns0:c>
      <ns0:c r="P102" s="22" t="str">
        <ns0:f>IF($A102="","",IF($I102="Yes",IF(P$6=$D102,"◆",""),IF(AND(P$6&gt;=$D102,P$6&lt;=$E102),MAX(0,MIN(1,$G102*$F102-(P$6-$D102))),"")))</ns0:f>
      </ns0:c>
      <ns0:c r="Q102" s="22" t="str">
        <ns0:f>IF($A102="","",IF($I102="Yes",IF(Q$6=$D102,"◆",""),IF(AND(Q$6&gt;=$D102,Q$6&lt;=$E102),MAX(0,MIN(1,$G102*$F102-(Q$6-$D102))),"")))</ns0:f>
      </ns0:c>
      <ns0:c r="R102" s="22" t="str">
        <ns0:f>IF($A102="","",IF($I102="Yes",IF(R$6=$D102,"◆",""),IF(AND(R$6&gt;=$D102,R$6&lt;=$E102),MAX(0,MIN(1,$G102*$F102-(R$6-$D102))),"")))</ns0:f>
      </ns0:c>
      <ns0:c r="S102" s="22" t="str">
        <ns0:f>IF($A102="","",IF($I102="Yes",IF(S$6=$D102,"◆",""),IF(AND(S$6&gt;=$D102,S$6&lt;=$E102),MAX(0,MIN(1,$G102*$F102-(S$6-$D102))),"")))</ns0:f>
      </ns0:c>
      <ns0:c r="T102" s="22" t="str">
        <ns0:f>IF($A102="","",IF($I102="Yes",IF(T$6=$D102,"◆",""),IF(AND(T$6&gt;=$D102,T$6&lt;=$E102),MAX(0,MIN(1,$G102*$F102-(T$6-$D102))),"")))</ns0:f>
      </ns0:c>
      <ns0:c r="U102" s="22" t="str">
        <ns0:f>IF($A102="","",IF($I102="Yes",IF(U$6=$D102,"◆",""),IF(AND(U$6&gt;=$D102,U$6&lt;=$E102),MAX(0,MIN(1,$G102*$F102-(U$6-$D102))),"")))</ns0:f>
      </ns0:c>
      <ns0:c r="V102" s="22" t="str">
        <ns0:f>IF($A102="","",IF($I102="Yes",IF(V$6=$D102,"◆",""),IF(AND(V$6&gt;=$D102,V$6&lt;=$E102),MAX(0,MIN(1,$G102*$F102-(V$6-$D102))),"")))</ns0:f>
      </ns0:c>
      <ns0:c r="W102" s="22" t="str">
        <ns0:f>IF($A102="","",IF($I102="Yes",IF(W$6=$D102,"◆",""),IF(AND(W$6&gt;=$D102,W$6&lt;=$E102),MAX(0,MIN(1,$G102*$F102-(W$6-$D102))),"")))</ns0:f>
      </ns0:c>
      <ns0:c r="X102" s="22" t="str">
        <ns0:f>IF($A102="","",IF($I102="Yes",IF(X$6=$D102,"◆",""),IF(AND(X$6&gt;=$D102,X$6&lt;=$E102),MAX(0,MIN(1,$G102*$F102-(X$6-$D102))),"")))</ns0:f>
      </ns0:c>
      <ns0:c r="Y102" s="22" t="str">
        <ns0:f>IF($A102="","",IF($I102="Yes",IF(Y$6=$D102,"◆",""),IF(AND(Y$6&gt;=$D102,Y$6&lt;=$E102),MAX(0,MIN(1,$G102*$F102-(Y$6-$D102))),"")))</ns0:f>
      </ns0:c>
      <ns0:c r="Z102" s="22" t="str">
        <ns0:f>IF($A102="","",IF($I102="Yes",IF(Z$6=$D102,"◆",""),IF(AND(Z$6&gt;=$D102,Z$6&lt;=$E102),MAX(0,MIN(1,$G102*$F102-(Z$6-$D102))),"")))</ns0:f>
      </ns0:c>
      <ns0:c r="AA102" s="22" t="str">
        <ns0:f>IF($A102="","",IF($I102="Yes",IF(AA$6=$D102,"◆",""),IF(AND(AA$6&gt;=$D102,AA$6&lt;=$E102),MAX(0,MIN(1,$G102*$F102-(AA$6-$D102))),"")))</ns0:f>
      </ns0:c>
      <ns0:c r="AB102" s="22" t="str">
        <ns0:f>IF($A102="","",IF($I102="Yes",IF(AB$6=$D102,"◆",""),IF(AND(AB$6&gt;=$D102,AB$6&lt;=$E102),MAX(0,MIN(1,$G102*$F102-(AB$6-$D102))),"")))</ns0:f>
      </ns0:c>
      <ns0:c r="AC102" s="22" t="str">
        <ns0:f>IF($A102="","",IF($I102="Yes",IF(AC$6=$D102,"◆",""),IF(AND(AC$6&gt;=$D102,AC$6&lt;=$E102),MAX(0,MIN(1,$G102*$F102-(AC$6-$D102))),"")))</ns0:f>
      </ns0:c>
      <ns0:c r="AD102" s="22" t="str">
        <ns0:f>IF($A102="","",IF($I102="Yes",IF(AD$6=$D102,"◆",""),IF(AND(AD$6&gt;=$D102,AD$6&lt;=$E102),MAX(0,MIN(1,$G102*$F102-(AD$6-$D102))),"")))</ns0:f>
      </ns0:c>
      <ns0:c r="AE102" s="22" t="str">
        <ns0:f>IF($A102="","",IF($I102="Yes",IF(AE$6=$D102,"◆",""),IF(AND(AE$6&gt;=$D102,AE$6&lt;=$E102),MAX(0,MIN(1,$G102*$F102-(AE$6-$D102))),"")))</ns0:f>
      </ns0:c>
      <ns0:c r="AF102" s="22" t="str">
        <ns0:f>IF($A102="","",IF($I102="Yes",IF(AF$6=$D102,"◆",""),IF(AND(AF$6&gt;=$D102,AF$6&lt;=$E102),MAX(0,MIN(1,$G102*$F102-(AF$6-$D102))),"")))</ns0:f>
      </ns0:c>
      <ns0:c r="AG102" s="22" t="str">
        <ns0:f>IF($A102="","",IF($I102="Yes",IF(AG$6=$D102,"◆",""),IF(AND(AG$6&gt;=$D102,AG$6&lt;=$E102),MAX(0,MIN(1,$G102*$F102-(AG$6-$D102))),"")))</ns0:f>
      </ns0:c>
      <ns0:c r="AH102" s="22" t="str">
        <ns0:f>IF($A102="","",IF($I102="Yes",IF(AH$6=$D102,"◆",""),IF(AND(AH$6&gt;=$D102,AH$6&lt;=$E102),MAX(0,MIN(1,$G102*$F102-(AH$6-$D102))),"")))</ns0:f>
      </ns0:c>
      <ns0:c r="AI102" s="22" t="str">
        <ns0:f>IF($A102="","",IF($I102="Yes",IF(AI$6=$D102,"◆",""),IF(AND(AI$6&gt;=$D102,AI$6&lt;=$E102),MAX(0,MIN(1,$G102*$F102-(AI$6-$D102))),"")))</ns0:f>
      </ns0:c>
      <ns0:c r="AJ102" s="22" t="str">
        <ns0:f>IF($A102="","",IF($I102="Yes",IF(AJ$6=$D102,"◆",""),IF(AND(AJ$6&gt;=$D102,AJ$6&lt;=$E102),MAX(0,MIN(1,$G102*$F102-(AJ$6-$D102))),"")))</ns0:f>
      </ns0:c>
      <ns0:c r="AK102" s="22" t="str">
        <ns0:f>IF($A102="","",IF($I102="Yes",IF(AK$6=$D102,"◆",""),IF(AND(AK$6&gt;=$D102,AK$6&lt;=$E102),MAX(0,MIN(1,$G102*$F102-(AK$6-$D102))),"")))</ns0:f>
      </ns0:c>
      <ns0:c r="AL102" s="22" t="str">
        <ns0:f>IF($A102="","",IF($I102="Yes",IF(AL$6=$D102,"◆",""),IF(AND(AL$6&gt;=$D102,AL$6&lt;=$E102),MAX(0,MIN(1,$G102*$F102-(AL$6-$D102))),"")))</ns0:f>
      </ns0:c>
      <ns0:c r="AM102" s="22" t="str">
        <ns0:f>IF($A102="","",IF($I102="Yes",IF(AM$6=$D102,"◆",""),IF(AND(AM$6&gt;=$D102,AM$6&lt;=$E102),MAX(0,MIN(1,$G102*$F102-(AM$6-$D102))),"")))</ns0:f>
      </ns0:c>
      <ns0:c r="AN102" s="22" t="str">
        <ns0:f>IF($A102="","",IF($I102="Yes",IF(AN$6=$D102,"◆",""),IF(AND(AN$6&gt;=$D102,AN$6&lt;=$E102),MAX(0,MIN(1,$G102*$F102-(AN$6-$D102))),"")))</ns0:f>
      </ns0:c>
      <ns0:c r="AO102" s="22" t="str">
        <ns0:f>IF($A102="","",IF($I102="Yes",IF(AO$6=$D102,"◆",""),IF(AND(AO$6&gt;=$D102,AO$6&lt;=$E102),MAX(0,MIN(1,$G102*$F102-(AO$6-$D102))),"")))</ns0:f>
      </ns0:c>
      <ns0:c r="AP102" s="22" t="str">
        <ns0:f>IF($A102="","",IF($I102="Yes",IF(AP$6=$D102,"◆",""),IF(AND(AP$6&gt;=$D102,AP$6&lt;=$E102),MAX(0,MIN(1,$G102*$F102-(AP$6-$D102))),"")))</ns0:f>
      </ns0:c>
      <ns0:c r="AQ102" s="22" t="str">
        <ns0:f>IF($A102="","",IF($I102="Yes",IF(AQ$6=$D102,"◆",""),IF(AND(AQ$6&gt;=$D102,AQ$6&lt;=$E102),MAX(0,MIN(1,$G102*$F102-(AQ$6-$D102))),"")))</ns0:f>
      </ns0:c>
      <ns0:c r="AR102" s="22" t="str">
        <ns0:f>IF($A102="","",IF($I102="Yes",IF(AR$6=$D102,"◆",""),IF(AND(AR$6&gt;=$D102,AR$6&lt;=$E102),MAX(0,MIN(1,$G102*$F102-(AR$6-$D102))),"")))</ns0:f>
      </ns0:c>
    </ns0:row>
    <ns0:row r="103" ht="48" customHeight="1">
      <ns0:c r="A103" s="8" t="str">
        <ns0:f>IF(INDEX(Tasks[Task ID],97)="","",INDEX(Tasks[Task ID],97))</ns0:f>
      </ns0:c>
      <ns0:c r="B103" s="8" t="str">
        <ns0:f>IF(INDEX(Tasks[Task ID],97)="","",INDEX(Tasks[Phase],97))</ns0:f>
      </ns0:c>
      <ns0:c r="C103" s="8" t="str">
        <ns0:f>IF(INDEX(Tasks[Task ID],97)="","",INDEX(Tasks[Task Name],97))</ns0:f>
      </ns0:c>
      <ns0:c r="D103" s="18" t="str">
        <ns0:f>IF(INDEX(Tasks[Task ID],97)="","",INDEX(Tasks[Start Date],97))</ns0:f>
      </ns0:c>
      <ns0:c r="E103" s="18" t="str">
        <ns0:f>IF(INDEX(Tasks[Task ID],97)="","",INDEX(Tasks[End Date],97))</ns0:f>
      </ns0:c>
      <ns0:c r="F103" s="8" t="str">
        <ns0:f>IF(INDEX(Tasks[Task ID],97)="","",INDEX(Tasks[Duration],97))</ns0:f>
      </ns0:c>
      <ns0:c r="G103" s="19" t="str">
        <ns0:f>IF(INDEX(Tasks[Task ID],97)="","",INDEX(Tasks[Progress %],97))</ns0:f>
      </ns0:c>
      <ns0:c r="H103" s="8" t="str">
        <ns0:f>IF(INDEX(Tasks[Task ID],97)="","",INDEX('Project Tracker'!$Q$7:$Q$106,97))</ns0:f>
      </ns0:c>
      <ns0:c r="I103" s="8" t="str">
        <ns0:f>IF(INDEX(Tasks[Task ID],97)="","",INDEX(Tasks[Milestone],97))</ns0:f>
      </ns0:c>
      <ns0:c r="J103" s="8" t="str">
        <ns0:f>IF(INDEX(Tasks[Task ID],97)="","",INDEX(Tasks[Schedule Health],97))</ns0:f>
      </ns0:c>
      <ns0:c r="K103" s="22" t="str">
        <ns0:f>IF($A103="","",IF($I103="Yes",IF(K$6=$D103,"◆",""),IF(AND(K$6&gt;=$D103,K$6&lt;=$E103),MAX(0,MIN(1,$G103*$F103-(K$6-$D103))),"")))</ns0:f>
      </ns0:c>
      <ns0:c r="L103" s="22" t="str">
        <ns0:f>IF($A103="","",IF($I103="Yes",IF(L$6=$D103,"◆",""),IF(AND(L$6&gt;=$D103,L$6&lt;=$E103),MAX(0,MIN(1,$G103*$F103-(L$6-$D103))),"")))</ns0:f>
      </ns0:c>
      <ns0:c r="M103" s="22" t="str">
        <ns0:f>IF($A103="","",IF($I103="Yes",IF(M$6=$D103,"◆",""),IF(AND(M$6&gt;=$D103,M$6&lt;=$E103),MAX(0,MIN(1,$G103*$F103-(M$6-$D103))),"")))</ns0:f>
      </ns0:c>
      <ns0:c r="N103" s="22" t="str">
        <ns0:f>IF($A103="","",IF($I103="Yes",IF(N$6=$D103,"◆",""),IF(AND(N$6&gt;=$D103,N$6&lt;=$E103),MAX(0,MIN(1,$G103*$F103-(N$6-$D103))),"")))</ns0:f>
      </ns0:c>
      <ns0:c r="O103" s="22" t="str">
        <ns0:f>IF($A103="","",IF($I103="Yes",IF(O$6=$D103,"◆",""),IF(AND(O$6&gt;=$D103,O$6&lt;=$E103),MAX(0,MIN(1,$G103*$F103-(O$6-$D103))),"")))</ns0:f>
      </ns0:c>
      <ns0:c r="P103" s="22" t="str">
        <ns0:f>IF($A103="","",IF($I103="Yes",IF(P$6=$D103,"◆",""),IF(AND(P$6&gt;=$D103,P$6&lt;=$E103),MAX(0,MIN(1,$G103*$F103-(P$6-$D103))),"")))</ns0:f>
      </ns0:c>
      <ns0:c r="Q103" s="22" t="str">
        <ns0:f>IF($A103="","",IF($I103="Yes",IF(Q$6=$D103,"◆",""),IF(AND(Q$6&gt;=$D103,Q$6&lt;=$E103),MAX(0,MIN(1,$G103*$F103-(Q$6-$D103))),"")))</ns0:f>
      </ns0:c>
      <ns0:c r="R103" s="22" t="str">
        <ns0:f>IF($A103="","",IF($I103="Yes",IF(R$6=$D103,"◆",""),IF(AND(R$6&gt;=$D103,R$6&lt;=$E103),MAX(0,MIN(1,$G103*$F103-(R$6-$D103))),"")))</ns0:f>
      </ns0:c>
      <ns0:c r="S103" s="22" t="str">
        <ns0:f>IF($A103="","",IF($I103="Yes",IF(S$6=$D103,"◆",""),IF(AND(S$6&gt;=$D103,S$6&lt;=$E103),MAX(0,MIN(1,$G103*$F103-(S$6-$D103))),"")))</ns0:f>
      </ns0:c>
      <ns0:c r="T103" s="22" t="str">
        <ns0:f>IF($A103="","",IF($I103="Yes",IF(T$6=$D103,"◆",""),IF(AND(T$6&gt;=$D103,T$6&lt;=$E103),MAX(0,MIN(1,$G103*$F103-(T$6-$D103))),"")))</ns0:f>
      </ns0:c>
      <ns0:c r="U103" s="22" t="str">
        <ns0:f>IF($A103="","",IF($I103="Yes",IF(U$6=$D103,"◆",""),IF(AND(U$6&gt;=$D103,U$6&lt;=$E103),MAX(0,MIN(1,$G103*$F103-(U$6-$D103))),"")))</ns0:f>
      </ns0:c>
      <ns0:c r="V103" s="22" t="str">
        <ns0:f>IF($A103="","",IF($I103="Yes",IF(V$6=$D103,"◆",""),IF(AND(V$6&gt;=$D103,V$6&lt;=$E103),MAX(0,MIN(1,$G103*$F103-(V$6-$D103))),"")))</ns0:f>
      </ns0:c>
      <ns0:c r="W103" s="22" t="str">
        <ns0:f>IF($A103="","",IF($I103="Yes",IF(W$6=$D103,"◆",""),IF(AND(W$6&gt;=$D103,W$6&lt;=$E103),MAX(0,MIN(1,$G103*$F103-(W$6-$D103))),"")))</ns0:f>
      </ns0:c>
      <ns0:c r="X103" s="22" t="str">
        <ns0:f>IF($A103="","",IF($I103="Yes",IF(X$6=$D103,"◆",""),IF(AND(X$6&gt;=$D103,X$6&lt;=$E103),MAX(0,MIN(1,$G103*$F103-(X$6-$D103))),"")))</ns0:f>
      </ns0:c>
      <ns0:c r="Y103" s="22" t="str">
        <ns0:f>IF($A103="","",IF($I103="Yes",IF(Y$6=$D103,"◆",""),IF(AND(Y$6&gt;=$D103,Y$6&lt;=$E103),MAX(0,MIN(1,$G103*$F103-(Y$6-$D103))),"")))</ns0:f>
      </ns0:c>
      <ns0:c r="Z103" s="22" t="str">
        <ns0:f>IF($A103="","",IF($I103="Yes",IF(Z$6=$D103,"◆",""),IF(AND(Z$6&gt;=$D103,Z$6&lt;=$E103),MAX(0,MIN(1,$G103*$F103-(Z$6-$D103))),"")))</ns0:f>
      </ns0:c>
      <ns0:c r="AA103" s="22" t="str">
        <ns0:f>IF($A103="","",IF($I103="Yes",IF(AA$6=$D103,"◆",""),IF(AND(AA$6&gt;=$D103,AA$6&lt;=$E103),MAX(0,MIN(1,$G103*$F103-(AA$6-$D103))),"")))</ns0:f>
      </ns0:c>
      <ns0:c r="AB103" s="22" t="str">
        <ns0:f>IF($A103="","",IF($I103="Yes",IF(AB$6=$D103,"◆",""),IF(AND(AB$6&gt;=$D103,AB$6&lt;=$E103),MAX(0,MIN(1,$G103*$F103-(AB$6-$D103))),"")))</ns0:f>
      </ns0:c>
      <ns0:c r="AC103" s="22" t="str">
        <ns0:f>IF($A103="","",IF($I103="Yes",IF(AC$6=$D103,"◆",""),IF(AND(AC$6&gt;=$D103,AC$6&lt;=$E103),MAX(0,MIN(1,$G103*$F103-(AC$6-$D103))),"")))</ns0:f>
      </ns0:c>
      <ns0:c r="AD103" s="22" t="str">
        <ns0:f>IF($A103="","",IF($I103="Yes",IF(AD$6=$D103,"◆",""),IF(AND(AD$6&gt;=$D103,AD$6&lt;=$E103),MAX(0,MIN(1,$G103*$F103-(AD$6-$D103))),"")))</ns0:f>
      </ns0:c>
      <ns0:c r="AE103" s="22" t="str">
        <ns0:f>IF($A103="","",IF($I103="Yes",IF(AE$6=$D103,"◆",""),IF(AND(AE$6&gt;=$D103,AE$6&lt;=$E103),MAX(0,MIN(1,$G103*$F103-(AE$6-$D103))),"")))</ns0:f>
      </ns0:c>
      <ns0:c r="AF103" s="22" t="str">
        <ns0:f>IF($A103="","",IF($I103="Yes",IF(AF$6=$D103,"◆",""),IF(AND(AF$6&gt;=$D103,AF$6&lt;=$E103),MAX(0,MIN(1,$G103*$F103-(AF$6-$D103))),"")))</ns0:f>
      </ns0:c>
      <ns0:c r="AG103" s="22" t="str">
        <ns0:f>IF($A103="","",IF($I103="Yes",IF(AG$6=$D103,"◆",""),IF(AND(AG$6&gt;=$D103,AG$6&lt;=$E103),MAX(0,MIN(1,$G103*$F103-(AG$6-$D103))),"")))</ns0:f>
      </ns0:c>
      <ns0:c r="AH103" s="22" t="str">
        <ns0:f>IF($A103="","",IF($I103="Yes",IF(AH$6=$D103,"◆",""),IF(AND(AH$6&gt;=$D103,AH$6&lt;=$E103),MAX(0,MIN(1,$G103*$F103-(AH$6-$D103))),"")))</ns0:f>
      </ns0:c>
      <ns0:c r="AI103" s="22" t="str">
        <ns0:f>IF($A103="","",IF($I103="Yes",IF(AI$6=$D103,"◆",""),IF(AND(AI$6&gt;=$D103,AI$6&lt;=$E103),MAX(0,MIN(1,$G103*$F103-(AI$6-$D103))),"")))</ns0:f>
      </ns0:c>
      <ns0:c r="AJ103" s="22" t="str">
        <ns0:f>IF($A103="","",IF($I103="Yes",IF(AJ$6=$D103,"◆",""),IF(AND(AJ$6&gt;=$D103,AJ$6&lt;=$E103),MAX(0,MIN(1,$G103*$F103-(AJ$6-$D103))),"")))</ns0:f>
      </ns0:c>
      <ns0:c r="AK103" s="22" t="str">
        <ns0:f>IF($A103="","",IF($I103="Yes",IF(AK$6=$D103,"◆",""),IF(AND(AK$6&gt;=$D103,AK$6&lt;=$E103),MAX(0,MIN(1,$G103*$F103-(AK$6-$D103))),"")))</ns0:f>
      </ns0:c>
      <ns0:c r="AL103" s="22" t="str">
        <ns0:f>IF($A103="","",IF($I103="Yes",IF(AL$6=$D103,"◆",""),IF(AND(AL$6&gt;=$D103,AL$6&lt;=$E103),MAX(0,MIN(1,$G103*$F103-(AL$6-$D103))),"")))</ns0:f>
      </ns0:c>
      <ns0:c r="AM103" s="22" t="str">
        <ns0:f>IF($A103="","",IF($I103="Yes",IF(AM$6=$D103,"◆",""),IF(AND(AM$6&gt;=$D103,AM$6&lt;=$E103),MAX(0,MIN(1,$G103*$F103-(AM$6-$D103))),"")))</ns0:f>
      </ns0:c>
      <ns0:c r="AN103" s="22" t="str">
        <ns0:f>IF($A103="","",IF($I103="Yes",IF(AN$6=$D103,"◆",""),IF(AND(AN$6&gt;=$D103,AN$6&lt;=$E103),MAX(0,MIN(1,$G103*$F103-(AN$6-$D103))),"")))</ns0:f>
      </ns0:c>
      <ns0:c r="AO103" s="22" t="str">
        <ns0:f>IF($A103="","",IF($I103="Yes",IF(AO$6=$D103,"◆",""),IF(AND(AO$6&gt;=$D103,AO$6&lt;=$E103),MAX(0,MIN(1,$G103*$F103-(AO$6-$D103))),"")))</ns0:f>
      </ns0:c>
      <ns0:c r="AP103" s="22" t="str">
        <ns0:f>IF($A103="","",IF($I103="Yes",IF(AP$6=$D103,"◆",""),IF(AND(AP$6&gt;=$D103,AP$6&lt;=$E103),MAX(0,MIN(1,$G103*$F103-(AP$6-$D103))),"")))</ns0:f>
      </ns0:c>
      <ns0:c r="AQ103" s="22" t="str">
        <ns0:f>IF($A103="","",IF($I103="Yes",IF(AQ$6=$D103,"◆",""),IF(AND(AQ$6&gt;=$D103,AQ$6&lt;=$E103),MAX(0,MIN(1,$G103*$F103-(AQ$6-$D103))),"")))</ns0:f>
      </ns0:c>
      <ns0:c r="AR103" s="22" t="str">
        <ns0:f>IF($A103="","",IF($I103="Yes",IF(AR$6=$D103,"◆",""),IF(AND(AR$6&gt;=$D103,AR$6&lt;=$E103),MAX(0,MIN(1,$G103*$F103-(AR$6-$D103))),"")))</ns0:f>
      </ns0:c>
    </ns0:row>
    <ns0:row r="104" ht="48" customHeight="1">
      <ns0:c r="A104" s="8" t="str">
        <ns0:f>IF(INDEX(Tasks[Task ID],98)="","",INDEX(Tasks[Task ID],98))</ns0:f>
      </ns0:c>
      <ns0:c r="B104" s="8" t="str">
        <ns0:f>IF(INDEX(Tasks[Task ID],98)="","",INDEX(Tasks[Phase],98))</ns0:f>
      </ns0:c>
      <ns0:c r="C104" s="8" t="str">
        <ns0:f>IF(INDEX(Tasks[Task ID],98)="","",INDEX(Tasks[Task Name],98))</ns0:f>
      </ns0:c>
      <ns0:c r="D104" s="18" t="str">
        <ns0:f>IF(INDEX(Tasks[Task ID],98)="","",INDEX(Tasks[Start Date],98))</ns0:f>
      </ns0:c>
      <ns0:c r="E104" s="18" t="str">
        <ns0:f>IF(INDEX(Tasks[Task ID],98)="","",INDEX(Tasks[End Date],98))</ns0:f>
      </ns0:c>
      <ns0:c r="F104" s="8" t="str">
        <ns0:f>IF(INDEX(Tasks[Task ID],98)="","",INDEX(Tasks[Duration],98))</ns0:f>
      </ns0:c>
      <ns0:c r="G104" s="19" t="str">
        <ns0:f>IF(INDEX(Tasks[Task ID],98)="","",INDEX(Tasks[Progress %],98))</ns0:f>
      </ns0:c>
      <ns0:c r="H104" s="8" t="str">
        <ns0:f>IF(INDEX(Tasks[Task ID],98)="","",INDEX('Project Tracker'!$Q$7:$Q$106,98))</ns0:f>
      </ns0:c>
      <ns0:c r="I104" s="8" t="str">
        <ns0:f>IF(INDEX(Tasks[Task ID],98)="","",INDEX(Tasks[Milestone],98))</ns0:f>
      </ns0:c>
      <ns0:c r="J104" s="8" t="str">
        <ns0:f>IF(INDEX(Tasks[Task ID],98)="","",INDEX(Tasks[Schedule Health],98))</ns0:f>
      </ns0:c>
      <ns0:c r="K104" s="22" t="str">
        <ns0:f>IF($A104="","",IF($I104="Yes",IF(K$6=$D104,"◆",""),IF(AND(K$6&gt;=$D104,K$6&lt;=$E104),MAX(0,MIN(1,$G104*$F104-(K$6-$D104))),"")))</ns0:f>
      </ns0:c>
      <ns0:c r="L104" s="22" t="str">
        <ns0:f>IF($A104="","",IF($I104="Yes",IF(L$6=$D104,"◆",""),IF(AND(L$6&gt;=$D104,L$6&lt;=$E104),MAX(0,MIN(1,$G104*$F104-(L$6-$D104))),"")))</ns0:f>
      </ns0:c>
      <ns0:c r="M104" s="22" t="str">
        <ns0:f>IF($A104="","",IF($I104="Yes",IF(M$6=$D104,"◆",""),IF(AND(M$6&gt;=$D104,M$6&lt;=$E104),MAX(0,MIN(1,$G104*$F104-(M$6-$D104))),"")))</ns0:f>
      </ns0:c>
      <ns0:c r="N104" s="22" t="str">
        <ns0:f>IF($A104="","",IF($I104="Yes",IF(N$6=$D104,"◆",""),IF(AND(N$6&gt;=$D104,N$6&lt;=$E104),MAX(0,MIN(1,$G104*$F104-(N$6-$D104))),"")))</ns0:f>
      </ns0:c>
      <ns0:c r="O104" s="22" t="str">
        <ns0:f>IF($A104="","",IF($I104="Yes",IF(O$6=$D104,"◆",""),IF(AND(O$6&gt;=$D104,O$6&lt;=$E104),MAX(0,MIN(1,$G104*$F104-(O$6-$D104))),"")))</ns0:f>
      </ns0:c>
      <ns0:c r="P104" s="22" t="str">
        <ns0:f>IF($A104="","",IF($I104="Yes",IF(P$6=$D104,"◆",""),IF(AND(P$6&gt;=$D104,P$6&lt;=$E104),MAX(0,MIN(1,$G104*$F104-(P$6-$D104))),"")))</ns0:f>
      </ns0:c>
      <ns0:c r="Q104" s="22" t="str">
        <ns0:f>IF($A104="","",IF($I104="Yes",IF(Q$6=$D104,"◆",""),IF(AND(Q$6&gt;=$D104,Q$6&lt;=$E104),MAX(0,MIN(1,$G104*$F104-(Q$6-$D104))),"")))</ns0:f>
      </ns0:c>
      <ns0:c r="R104" s="22" t="str">
        <ns0:f>IF($A104="","",IF($I104="Yes",IF(R$6=$D104,"◆",""),IF(AND(R$6&gt;=$D104,R$6&lt;=$E104),MAX(0,MIN(1,$G104*$F104-(R$6-$D104))),"")))</ns0:f>
      </ns0:c>
      <ns0:c r="S104" s="22" t="str">
        <ns0:f>IF($A104="","",IF($I104="Yes",IF(S$6=$D104,"◆",""),IF(AND(S$6&gt;=$D104,S$6&lt;=$E104),MAX(0,MIN(1,$G104*$F104-(S$6-$D104))),"")))</ns0:f>
      </ns0:c>
      <ns0:c r="T104" s="22" t="str">
        <ns0:f>IF($A104="","",IF($I104="Yes",IF(T$6=$D104,"◆",""),IF(AND(T$6&gt;=$D104,T$6&lt;=$E104),MAX(0,MIN(1,$G104*$F104-(T$6-$D104))),"")))</ns0:f>
      </ns0:c>
      <ns0:c r="U104" s="22" t="str">
        <ns0:f>IF($A104="","",IF($I104="Yes",IF(U$6=$D104,"◆",""),IF(AND(U$6&gt;=$D104,U$6&lt;=$E104),MAX(0,MIN(1,$G104*$F104-(U$6-$D104))),"")))</ns0:f>
      </ns0:c>
      <ns0:c r="V104" s="22" t="str">
        <ns0:f>IF($A104="","",IF($I104="Yes",IF(V$6=$D104,"◆",""),IF(AND(V$6&gt;=$D104,V$6&lt;=$E104),MAX(0,MIN(1,$G104*$F104-(V$6-$D104))),"")))</ns0:f>
      </ns0:c>
      <ns0:c r="W104" s="22" t="str">
        <ns0:f>IF($A104="","",IF($I104="Yes",IF(W$6=$D104,"◆",""),IF(AND(W$6&gt;=$D104,W$6&lt;=$E104),MAX(0,MIN(1,$G104*$F104-(W$6-$D104))),"")))</ns0:f>
      </ns0:c>
      <ns0:c r="X104" s="22" t="str">
        <ns0:f>IF($A104="","",IF($I104="Yes",IF(X$6=$D104,"◆",""),IF(AND(X$6&gt;=$D104,X$6&lt;=$E104),MAX(0,MIN(1,$G104*$F104-(X$6-$D104))),"")))</ns0:f>
      </ns0:c>
      <ns0:c r="Y104" s="22" t="str">
        <ns0:f>IF($A104="","",IF($I104="Yes",IF(Y$6=$D104,"◆",""),IF(AND(Y$6&gt;=$D104,Y$6&lt;=$E104),MAX(0,MIN(1,$G104*$F104-(Y$6-$D104))),"")))</ns0:f>
      </ns0:c>
      <ns0:c r="Z104" s="22" t="str">
        <ns0:f>IF($A104="","",IF($I104="Yes",IF(Z$6=$D104,"◆",""),IF(AND(Z$6&gt;=$D104,Z$6&lt;=$E104),MAX(0,MIN(1,$G104*$F104-(Z$6-$D104))),"")))</ns0:f>
      </ns0:c>
      <ns0:c r="AA104" s="22" t="str">
        <ns0:f>IF($A104="","",IF($I104="Yes",IF(AA$6=$D104,"◆",""),IF(AND(AA$6&gt;=$D104,AA$6&lt;=$E104),MAX(0,MIN(1,$G104*$F104-(AA$6-$D104))),"")))</ns0:f>
      </ns0:c>
      <ns0:c r="AB104" s="22" t="str">
        <ns0:f>IF($A104="","",IF($I104="Yes",IF(AB$6=$D104,"◆",""),IF(AND(AB$6&gt;=$D104,AB$6&lt;=$E104),MAX(0,MIN(1,$G104*$F104-(AB$6-$D104))),"")))</ns0:f>
      </ns0:c>
      <ns0:c r="AC104" s="22" t="str">
        <ns0:f>IF($A104="","",IF($I104="Yes",IF(AC$6=$D104,"◆",""),IF(AND(AC$6&gt;=$D104,AC$6&lt;=$E104),MAX(0,MIN(1,$G104*$F104-(AC$6-$D104))),"")))</ns0:f>
      </ns0:c>
      <ns0:c r="AD104" s="22" t="str">
        <ns0:f>IF($A104="","",IF($I104="Yes",IF(AD$6=$D104,"◆",""),IF(AND(AD$6&gt;=$D104,AD$6&lt;=$E104),MAX(0,MIN(1,$G104*$F104-(AD$6-$D104))),"")))</ns0:f>
      </ns0:c>
      <ns0:c r="AE104" s="22" t="str">
        <ns0:f>IF($A104="","",IF($I104="Yes",IF(AE$6=$D104,"◆",""),IF(AND(AE$6&gt;=$D104,AE$6&lt;=$E104),MAX(0,MIN(1,$G104*$F104-(AE$6-$D104))),"")))</ns0:f>
      </ns0:c>
      <ns0:c r="AF104" s="22" t="str">
        <ns0:f>IF($A104="","",IF($I104="Yes",IF(AF$6=$D104,"◆",""),IF(AND(AF$6&gt;=$D104,AF$6&lt;=$E104),MAX(0,MIN(1,$G104*$F104-(AF$6-$D104))),"")))</ns0:f>
      </ns0:c>
      <ns0:c r="AG104" s="22" t="str">
        <ns0:f>IF($A104="","",IF($I104="Yes",IF(AG$6=$D104,"◆",""),IF(AND(AG$6&gt;=$D104,AG$6&lt;=$E104),MAX(0,MIN(1,$G104*$F104-(AG$6-$D104))),"")))</ns0:f>
      </ns0:c>
      <ns0:c r="AH104" s="22" t="str">
        <ns0:f>IF($A104="","",IF($I104="Yes",IF(AH$6=$D104,"◆",""),IF(AND(AH$6&gt;=$D104,AH$6&lt;=$E104),MAX(0,MIN(1,$G104*$F104-(AH$6-$D104))),"")))</ns0:f>
      </ns0:c>
      <ns0:c r="AI104" s="22" t="str">
        <ns0:f>IF($A104="","",IF($I104="Yes",IF(AI$6=$D104,"◆",""),IF(AND(AI$6&gt;=$D104,AI$6&lt;=$E104),MAX(0,MIN(1,$G104*$F104-(AI$6-$D104))),"")))</ns0:f>
      </ns0:c>
      <ns0:c r="AJ104" s="22" t="str">
        <ns0:f>IF($A104="","",IF($I104="Yes",IF(AJ$6=$D104,"◆",""),IF(AND(AJ$6&gt;=$D104,AJ$6&lt;=$E104),MAX(0,MIN(1,$G104*$F104-(AJ$6-$D104))),"")))</ns0:f>
      </ns0:c>
      <ns0:c r="AK104" s="22" t="str">
        <ns0:f>IF($A104="","",IF($I104="Yes",IF(AK$6=$D104,"◆",""),IF(AND(AK$6&gt;=$D104,AK$6&lt;=$E104),MAX(0,MIN(1,$G104*$F104-(AK$6-$D104))),"")))</ns0:f>
      </ns0:c>
      <ns0:c r="AL104" s="22" t="str">
        <ns0:f>IF($A104="","",IF($I104="Yes",IF(AL$6=$D104,"◆",""),IF(AND(AL$6&gt;=$D104,AL$6&lt;=$E104),MAX(0,MIN(1,$G104*$F104-(AL$6-$D104))),"")))</ns0:f>
      </ns0:c>
      <ns0:c r="AM104" s="22" t="str">
        <ns0:f>IF($A104="","",IF($I104="Yes",IF(AM$6=$D104,"◆",""),IF(AND(AM$6&gt;=$D104,AM$6&lt;=$E104),MAX(0,MIN(1,$G104*$F104-(AM$6-$D104))),"")))</ns0:f>
      </ns0:c>
      <ns0:c r="AN104" s="22" t="str">
        <ns0:f>IF($A104="","",IF($I104="Yes",IF(AN$6=$D104,"◆",""),IF(AND(AN$6&gt;=$D104,AN$6&lt;=$E104),MAX(0,MIN(1,$G104*$F104-(AN$6-$D104))),"")))</ns0:f>
      </ns0:c>
      <ns0:c r="AO104" s="22" t="str">
        <ns0:f>IF($A104="","",IF($I104="Yes",IF(AO$6=$D104,"◆",""),IF(AND(AO$6&gt;=$D104,AO$6&lt;=$E104),MAX(0,MIN(1,$G104*$F104-(AO$6-$D104))),"")))</ns0:f>
      </ns0:c>
      <ns0:c r="AP104" s="22" t="str">
        <ns0:f>IF($A104="","",IF($I104="Yes",IF(AP$6=$D104,"◆",""),IF(AND(AP$6&gt;=$D104,AP$6&lt;=$E104),MAX(0,MIN(1,$G104*$F104-(AP$6-$D104))),"")))</ns0:f>
      </ns0:c>
      <ns0:c r="AQ104" s="22" t="str">
        <ns0:f>IF($A104="","",IF($I104="Yes",IF(AQ$6=$D104,"◆",""),IF(AND(AQ$6&gt;=$D104,AQ$6&lt;=$E104),MAX(0,MIN(1,$G104*$F104-(AQ$6-$D104))),"")))</ns0:f>
      </ns0:c>
      <ns0:c r="AR104" s="22" t="str">
        <ns0:f>IF($A104="","",IF($I104="Yes",IF(AR$6=$D104,"◆",""),IF(AND(AR$6&gt;=$D104,AR$6&lt;=$E104),MAX(0,MIN(1,$G104*$F104-(AR$6-$D104))),"")))</ns0:f>
      </ns0:c>
    </ns0:row>
    <ns0:row r="105" ht="48" customHeight="1">
      <ns0:c r="A105" s="8" t="str">
        <ns0:f>IF(INDEX(Tasks[Task ID],99)="","",INDEX(Tasks[Task ID],99))</ns0:f>
      </ns0:c>
      <ns0:c r="B105" s="8" t="str">
        <ns0:f>IF(INDEX(Tasks[Task ID],99)="","",INDEX(Tasks[Phase],99))</ns0:f>
      </ns0:c>
      <ns0:c r="C105" s="8" t="str">
        <ns0:f>IF(INDEX(Tasks[Task ID],99)="","",INDEX(Tasks[Task Name],99))</ns0:f>
      </ns0:c>
      <ns0:c r="D105" s="18" t="str">
        <ns0:f>IF(INDEX(Tasks[Task ID],99)="","",INDEX(Tasks[Start Date],99))</ns0:f>
      </ns0:c>
      <ns0:c r="E105" s="18" t="str">
        <ns0:f>IF(INDEX(Tasks[Task ID],99)="","",INDEX(Tasks[End Date],99))</ns0:f>
      </ns0:c>
      <ns0:c r="F105" s="8" t="str">
        <ns0:f>IF(INDEX(Tasks[Task ID],99)="","",INDEX(Tasks[Duration],99))</ns0:f>
      </ns0:c>
      <ns0:c r="G105" s="19" t="str">
        <ns0:f>IF(INDEX(Tasks[Task ID],99)="","",INDEX(Tasks[Progress %],99))</ns0:f>
      </ns0:c>
      <ns0:c r="H105" s="8" t="str">
        <ns0:f>IF(INDEX(Tasks[Task ID],99)="","",INDEX('Project Tracker'!$Q$7:$Q$106,99))</ns0:f>
      </ns0:c>
      <ns0:c r="I105" s="8" t="str">
        <ns0:f>IF(INDEX(Tasks[Task ID],99)="","",INDEX(Tasks[Milestone],99))</ns0:f>
      </ns0:c>
      <ns0:c r="J105" s="8" t="str">
        <ns0:f>IF(INDEX(Tasks[Task ID],99)="","",INDEX(Tasks[Schedule Health],99))</ns0:f>
      </ns0:c>
      <ns0:c r="K105" s="22" t="str">
        <ns0:f>IF($A105="","",IF($I105="Yes",IF(K$6=$D105,"◆",""),IF(AND(K$6&gt;=$D105,K$6&lt;=$E105),MAX(0,MIN(1,$G105*$F105-(K$6-$D105))),"")))</ns0:f>
      </ns0:c>
      <ns0:c r="L105" s="22" t="str">
        <ns0:f>IF($A105="","",IF($I105="Yes",IF(L$6=$D105,"◆",""),IF(AND(L$6&gt;=$D105,L$6&lt;=$E105),MAX(0,MIN(1,$G105*$F105-(L$6-$D105))),"")))</ns0:f>
      </ns0:c>
      <ns0:c r="M105" s="22" t="str">
        <ns0:f>IF($A105="","",IF($I105="Yes",IF(M$6=$D105,"◆",""),IF(AND(M$6&gt;=$D105,M$6&lt;=$E105),MAX(0,MIN(1,$G105*$F105-(M$6-$D105))),"")))</ns0:f>
      </ns0:c>
      <ns0:c r="N105" s="22" t="str">
        <ns0:f>IF($A105="","",IF($I105="Yes",IF(N$6=$D105,"◆",""),IF(AND(N$6&gt;=$D105,N$6&lt;=$E105),MAX(0,MIN(1,$G105*$F105-(N$6-$D105))),"")))</ns0:f>
      </ns0:c>
      <ns0:c r="O105" s="22" t="str">
        <ns0:f>IF($A105="","",IF($I105="Yes",IF(O$6=$D105,"◆",""),IF(AND(O$6&gt;=$D105,O$6&lt;=$E105),MAX(0,MIN(1,$G105*$F105-(O$6-$D105))),"")))</ns0:f>
      </ns0:c>
      <ns0:c r="P105" s="22" t="str">
        <ns0:f>IF($A105="","",IF($I105="Yes",IF(P$6=$D105,"◆",""),IF(AND(P$6&gt;=$D105,P$6&lt;=$E105),MAX(0,MIN(1,$G105*$F105-(P$6-$D105))),"")))</ns0:f>
      </ns0:c>
      <ns0:c r="Q105" s="22" t="str">
        <ns0:f>IF($A105="","",IF($I105="Yes",IF(Q$6=$D105,"◆",""),IF(AND(Q$6&gt;=$D105,Q$6&lt;=$E105),MAX(0,MIN(1,$G105*$F105-(Q$6-$D105))),"")))</ns0:f>
      </ns0:c>
      <ns0:c r="R105" s="22" t="str">
        <ns0:f>IF($A105="","",IF($I105="Yes",IF(R$6=$D105,"◆",""),IF(AND(R$6&gt;=$D105,R$6&lt;=$E105),MAX(0,MIN(1,$G105*$F105-(R$6-$D105))),"")))</ns0:f>
      </ns0:c>
      <ns0:c r="S105" s="22" t="str">
        <ns0:f>IF($A105="","",IF($I105="Yes",IF(S$6=$D105,"◆",""),IF(AND(S$6&gt;=$D105,S$6&lt;=$E105),MAX(0,MIN(1,$G105*$F105-(S$6-$D105))),"")))</ns0:f>
      </ns0:c>
      <ns0:c r="T105" s="22" t="str">
        <ns0:f>IF($A105="","",IF($I105="Yes",IF(T$6=$D105,"◆",""),IF(AND(T$6&gt;=$D105,T$6&lt;=$E105),MAX(0,MIN(1,$G105*$F105-(T$6-$D105))),"")))</ns0:f>
      </ns0:c>
      <ns0:c r="U105" s="22" t="str">
        <ns0:f>IF($A105="","",IF($I105="Yes",IF(U$6=$D105,"◆",""),IF(AND(U$6&gt;=$D105,U$6&lt;=$E105),MAX(0,MIN(1,$G105*$F105-(U$6-$D105))),"")))</ns0:f>
      </ns0:c>
      <ns0:c r="V105" s="22" t="str">
        <ns0:f>IF($A105="","",IF($I105="Yes",IF(V$6=$D105,"◆",""),IF(AND(V$6&gt;=$D105,V$6&lt;=$E105),MAX(0,MIN(1,$G105*$F105-(V$6-$D105))),"")))</ns0:f>
      </ns0:c>
      <ns0:c r="W105" s="22" t="str">
        <ns0:f>IF($A105="","",IF($I105="Yes",IF(W$6=$D105,"◆",""),IF(AND(W$6&gt;=$D105,W$6&lt;=$E105),MAX(0,MIN(1,$G105*$F105-(W$6-$D105))),"")))</ns0:f>
      </ns0:c>
      <ns0:c r="X105" s="22" t="str">
        <ns0:f>IF($A105="","",IF($I105="Yes",IF(X$6=$D105,"◆",""),IF(AND(X$6&gt;=$D105,X$6&lt;=$E105),MAX(0,MIN(1,$G105*$F105-(X$6-$D105))),"")))</ns0:f>
      </ns0:c>
      <ns0:c r="Y105" s="22" t="str">
        <ns0:f>IF($A105="","",IF($I105="Yes",IF(Y$6=$D105,"◆",""),IF(AND(Y$6&gt;=$D105,Y$6&lt;=$E105),MAX(0,MIN(1,$G105*$F105-(Y$6-$D105))),"")))</ns0:f>
      </ns0:c>
      <ns0:c r="Z105" s="22" t="str">
        <ns0:f>IF($A105="","",IF($I105="Yes",IF(Z$6=$D105,"◆",""),IF(AND(Z$6&gt;=$D105,Z$6&lt;=$E105),MAX(0,MIN(1,$G105*$F105-(Z$6-$D105))),"")))</ns0:f>
      </ns0:c>
      <ns0:c r="AA105" s="22" t="str">
        <ns0:f>IF($A105="","",IF($I105="Yes",IF(AA$6=$D105,"◆",""),IF(AND(AA$6&gt;=$D105,AA$6&lt;=$E105),MAX(0,MIN(1,$G105*$F105-(AA$6-$D105))),"")))</ns0:f>
      </ns0:c>
      <ns0:c r="AB105" s="22" t="str">
        <ns0:f>IF($A105="","",IF($I105="Yes",IF(AB$6=$D105,"◆",""),IF(AND(AB$6&gt;=$D105,AB$6&lt;=$E105),MAX(0,MIN(1,$G105*$F105-(AB$6-$D105))),"")))</ns0:f>
      </ns0:c>
      <ns0:c r="AC105" s="22" t="str">
        <ns0:f>IF($A105="","",IF($I105="Yes",IF(AC$6=$D105,"◆",""),IF(AND(AC$6&gt;=$D105,AC$6&lt;=$E105),MAX(0,MIN(1,$G105*$F105-(AC$6-$D105))),"")))</ns0:f>
      </ns0:c>
      <ns0:c r="AD105" s="22" t="str">
        <ns0:f>IF($A105="","",IF($I105="Yes",IF(AD$6=$D105,"◆",""),IF(AND(AD$6&gt;=$D105,AD$6&lt;=$E105),MAX(0,MIN(1,$G105*$F105-(AD$6-$D105))),"")))</ns0:f>
      </ns0:c>
      <ns0:c r="AE105" s="22" t="str">
        <ns0:f>IF($A105="","",IF($I105="Yes",IF(AE$6=$D105,"◆",""),IF(AND(AE$6&gt;=$D105,AE$6&lt;=$E105),MAX(0,MIN(1,$G105*$F105-(AE$6-$D105))),"")))</ns0:f>
      </ns0:c>
      <ns0:c r="AF105" s="22" t="str">
        <ns0:f>IF($A105="","",IF($I105="Yes",IF(AF$6=$D105,"◆",""),IF(AND(AF$6&gt;=$D105,AF$6&lt;=$E105),MAX(0,MIN(1,$G105*$F105-(AF$6-$D105))),"")))</ns0:f>
      </ns0:c>
      <ns0:c r="AG105" s="22" t="str">
        <ns0:f>IF($A105="","",IF($I105="Yes",IF(AG$6=$D105,"◆",""),IF(AND(AG$6&gt;=$D105,AG$6&lt;=$E105),MAX(0,MIN(1,$G105*$F105-(AG$6-$D105))),"")))</ns0:f>
      </ns0:c>
      <ns0:c r="AH105" s="22" t="str">
        <ns0:f>IF($A105="","",IF($I105="Yes",IF(AH$6=$D105,"◆",""),IF(AND(AH$6&gt;=$D105,AH$6&lt;=$E105),MAX(0,MIN(1,$G105*$F105-(AH$6-$D105))),"")))</ns0:f>
      </ns0:c>
      <ns0:c r="AI105" s="22" t="str">
        <ns0:f>IF($A105="","",IF($I105="Yes",IF(AI$6=$D105,"◆",""),IF(AND(AI$6&gt;=$D105,AI$6&lt;=$E105),MAX(0,MIN(1,$G105*$F105-(AI$6-$D105))),"")))</ns0:f>
      </ns0:c>
      <ns0:c r="AJ105" s="22" t="str">
        <ns0:f>IF($A105="","",IF($I105="Yes",IF(AJ$6=$D105,"◆",""),IF(AND(AJ$6&gt;=$D105,AJ$6&lt;=$E105),MAX(0,MIN(1,$G105*$F105-(AJ$6-$D105))),"")))</ns0:f>
      </ns0:c>
      <ns0:c r="AK105" s="22" t="str">
        <ns0:f>IF($A105="","",IF($I105="Yes",IF(AK$6=$D105,"◆",""),IF(AND(AK$6&gt;=$D105,AK$6&lt;=$E105),MAX(0,MIN(1,$G105*$F105-(AK$6-$D105))),"")))</ns0:f>
      </ns0:c>
      <ns0:c r="AL105" s="22" t="str">
        <ns0:f>IF($A105="","",IF($I105="Yes",IF(AL$6=$D105,"◆",""),IF(AND(AL$6&gt;=$D105,AL$6&lt;=$E105),MAX(0,MIN(1,$G105*$F105-(AL$6-$D105))),"")))</ns0:f>
      </ns0:c>
      <ns0:c r="AM105" s="22" t="str">
        <ns0:f>IF($A105="","",IF($I105="Yes",IF(AM$6=$D105,"◆",""),IF(AND(AM$6&gt;=$D105,AM$6&lt;=$E105),MAX(0,MIN(1,$G105*$F105-(AM$6-$D105))),"")))</ns0:f>
      </ns0:c>
      <ns0:c r="AN105" s="22" t="str">
        <ns0:f>IF($A105="","",IF($I105="Yes",IF(AN$6=$D105,"◆",""),IF(AND(AN$6&gt;=$D105,AN$6&lt;=$E105),MAX(0,MIN(1,$G105*$F105-(AN$6-$D105))),"")))</ns0:f>
      </ns0:c>
      <ns0:c r="AO105" s="22" t="str">
        <ns0:f>IF($A105="","",IF($I105="Yes",IF(AO$6=$D105,"◆",""),IF(AND(AO$6&gt;=$D105,AO$6&lt;=$E105),MAX(0,MIN(1,$G105*$F105-(AO$6-$D105))),"")))</ns0:f>
      </ns0:c>
      <ns0:c r="AP105" s="22" t="str">
        <ns0:f>IF($A105="","",IF($I105="Yes",IF(AP$6=$D105,"◆",""),IF(AND(AP$6&gt;=$D105,AP$6&lt;=$E105),MAX(0,MIN(1,$G105*$F105-(AP$6-$D105))),"")))</ns0:f>
      </ns0:c>
      <ns0:c r="AQ105" s="22" t="str">
        <ns0:f>IF($A105="","",IF($I105="Yes",IF(AQ$6=$D105,"◆",""),IF(AND(AQ$6&gt;=$D105,AQ$6&lt;=$E105),MAX(0,MIN(1,$G105*$F105-(AQ$6-$D105))),"")))</ns0:f>
      </ns0:c>
      <ns0:c r="AR105" s="22" t="str">
        <ns0:f>IF($A105="","",IF($I105="Yes",IF(AR$6=$D105,"◆",""),IF(AND(AR$6&gt;=$D105,AR$6&lt;=$E105),MAX(0,MIN(1,$G105*$F105-(AR$6-$D105))),"")))</ns0:f>
      </ns0:c>
    </ns0:row>
    <ns0:row r="106" ht="48" customHeight="1">
      <ns0:c r="A106" s="8" t="str">
        <ns0:f>IF(INDEX(Tasks[Task ID],100)="","",INDEX(Tasks[Task ID],100))</ns0:f>
      </ns0:c>
      <ns0:c r="B106" s="8" t="str">
        <ns0:f>IF(INDEX(Tasks[Task ID],100)="","",INDEX(Tasks[Phase],100))</ns0:f>
      </ns0:c>
      <ns0:c r="C106" s="8" t="str">
        <ns0:f>IF(INDEX(Tasks[Task ID],100)="","",INDEX(Tasks[Task Name],100))</ns0:f>
      </ns0:c>
      <ns0:c r="D106" s="18" t="str">
        <ns0:f>IF(INDEX(Tasks[Task ID],100)="","",INDEX(Tasks[Start Date],100))</ns0:f>
      </ns0:c>
      <ns0:c r="E106" s="18" t="str">
        <ns0:f>IF(INDEX(Tasks[Task ID],100)="","",INDEX(Tasks[End Date],100))</ns0:f>
      </ns0:c>
      <ns0:c r="F106" s="8" t="str">
        <ns0:f>IF(INDEX(Tasks[Task ID],100)="","",INDEX(Tasks[Duration],100))</ns0:f>
      </ns0:c>
      <ns0:c r="G106" s="19" t="str">
        <ns0:f>IF(INDEX(Tasks[Task ID],100)="","",INDEX(Tasks[Progress %],100))</ns0:f>
      </ns0:c>
      <ns0:c r="H106" s="8" t="str">
        <ns0:f>IF(INDEX(Tasks[Task ID],100)="","",INDEX('Project Tracker'!$Q$7:$Q$106,100))</ns0:f>
      </ns0:c>
      <ns0:c r="I106" s="8" t="str">
        <ns0:f>IF(INDEX(Tasks[Task ID],100)="","",INDEX(Tasks[Milestone],100))</ns0:f>
      </ns0:c>
      <ns0:c r="J106" s="8" t="str">
        <ns0:f>IF(INDEX(Tasks[Task ID],100)="","",INDEX(Tasks[Schedule Health],100))</ns0:f>
      </ns0:c>
      <ns0:c r="K106" s="22" t="str">
        <ns0:f>IF($A106="","",IF($I106="Yes",IF(K$6=$D106,"◆",""),IF(AND(K$6&gt;=$D106,K$6&lt;=$E106),MAX(0,MIN(1,$G106*$F106-(K$6-$D106))),"")))</ns0:f>
      </ns0:c>
      <ns0:c r="L106" s="22" t="str">
        <ns0:f>IF($A106="","",IF($I106="Yes",IF(L$6=$D106,"◆",""),IF(AND(L$6&gt;=$D106,L$6&lt;=$E106),MAX(0,MIN(1,$G106*$F106-(L$6-$D106))),"")))</ns0:f>
      </ns0:c>
      <ns0:c r="M106" s="22" t="str">
        <ns0:f>IF($A106="","",IF($I106="Yes",IF(M$6=$D106,"◆",""),IF(AND(M$6&gt;=$D106,M$6&lt;=$E106),MAX(0,MIN(1,$G106*$F106-(M$6-$D106))),"")))</ns0:f>
      </ns0:c>
      <ns0:c r="N106" s="22" t="str">
        <ns0:f>IF($A106="","",IF($I106="Yes",IF(N$6=$D106,"◆",""),IF(AND(N$6&gt;=$D106,N$6&lt;=$E106),MAX(0,MIN(1,$G106*$F106-(N$6-$D106))),"")))</ns0:f>
      </ns0:c>
      <ns0:c r="O106" s="22" t="str">
        <ns0:f>IF($A106="","",IF($I106="Yes",IF(O$6=$D106,"◆",""),IF(AND(O$6&gt;=$D106,O$6&lt;=$E106),MAX(0,MIN(1,$G106*$F106-(O$6-$D106))),"")))</ns0:f>
      </ns0:c>
      <ns0:c r="P106" s="22" t="str">
        <ns0:f>IF($A106="","",IF($I106="Yes",IF(P$6=$D106,"◆",""),IF(AND(P$6&gt;=$D106,P$6&lt;=$E106),MAX(0,MIN(1,$G106*$F106-(P$6-$D106))),"")))</ns0:f>
      </ns0:c>
      <ns0:c r="Q106" s="22" t="str">
        <ns0:f>IF($A106="","",IF($I106="Yes",IF(Q$6=$D106,"◆",""),IF(AND(Q$6&gt;=$D106,Q$6&lt;=$E106),MAX(0,MIN(1,$G106*$F106-(Q$6-$D106))),"")))</ns0:f>
      </ns0:c>
      <ns0:c r="R106" s="22" t="str">
        <ns0:f>IF($A106="","",IF($I106="Yes",IF(R$6=$D106,"◆",""),IF(AND(R$6&gt;=$D106,R$6&lt;=$E106),MAX(0,MIN(1,$G106*$F106-(R$6-$D106))),"")))</ns0:f>
      </ns0:c>
      <ns0:c r="S106" s="22" t="str">
        <ns0:f>IF($A106="","",IF($I106="Yes",IF(S$6=$D106,"◆",""),IF(AND(S$6&gt;=$D106,S$6&lt;=$E106),MAX(0,MIN(1,$G106*$F106-(S$6-$D106))),"")))</ns0:f>
      </ns0:c>
      <ns0:c r="T106" s="22" t="str">
        <ns0:f>IF($A106="","",IF($I106="Yes",IF(T$6=$D106,"◆",""),IF(AND(T$6&gt;=$D106,T$6&lt;=$E106),MAX(0,MIN(1,$G106*$F106-(T$6-$D106))),"")))</ns0:f>
      </ns0:c>
      <ns0:c r="U106" s="22" t="str">
        <ns0:f>IF($A106="","",IF($I106="Yes",IF(U$6=$D106,"◆",""),IF(AND(U$6&gt;=$D106,U$6&lt;=$E106),MAX(0,MIN(1,$G106*$F106-(U$6-$D106))),"")))</ns0:f>
      </ns0:c>
      <ns0:c r="V106" s="22" t="str">
        <ns0:f>IF($A106="","",IF($I106="Yes",IF(V$6=$D106,"◆",""),IF(AND(V$6&gt;=$D106,V$6&lt;=$E106),MAX(0,MIN(1,$G106*$F106-(V$6-$D106))),"")))</ns0:f>
      </ns0:c>
      <ns0:c r="W106" s="22" t="str">
        <ns0:f>IF($A106="","",IF($I106="Yes",IF(W$6=$D106,"◆",""),IF(AND(W$6&gt;=$D106,W$6&lt;=$E106),MAX(0,MIN(1,$G106*$F106-(W$6-$D106))),"")))</ns0:f>
      </ns0:c>
      <ns0:c r="X106" s="22" t="str">
        <ns0:f>IF($A106="","",IF($I106="Yes",IF(X$6=$D106,"◆",""),IF(AND(X$6&gt;=$D106,X$6&lt;=$E106),MAX(0,MIN(1,$G106*$F106-(X$6-$D106))),"")))</ns0:f>
      </ns0:c>
      <ns0:c r="Y106" s="22" t="str">
        <ns0:f>IF($A106="","",IF($I106="Yes",IF(Y$6=$D106,"◆",""),IF(AND(Y$6&gt;=$D106,Y$6&lt;=$E106),MAX(0,MIN(1,$G106*$F106-(Y$6-$D106))),"")))</ns0:f>
      </ns0:c>
      <ns0:c r="Z106" s="22" t="str">
        <ns0:f>IF($A106="","",IF($I106="Yes",IF(Z$6=$D106,"◆",""),IF(AND(Z$6&gt;=$D106,Z$6&lt;=$E106),MAX(0,MIN(1,$G106*$F106-(Z$6-$D106))),"")))</ns0:f>
      </ns0:c>
      <ns0:c r="AA106" s="22" t="str">
        <ns0:f>IF($A106="","",IF($I106="Yes",IF(AA$6=$D106,"◆",""),IF(AND(AA$6&gt;=$D106,AA$6&lt;=$E106),MAX(0,MIN(1,$G106*$F106-(AA$6-$D106))),"")))</ns0:f>
      </ns0:c>
      <ns0:c r="AB106" s="22" t="str">
        <ns0:f>IF($A106="","",IF($I106="Yes",IF(AB$6=$D106,"◆",""),IF(AND(AB$6&gt;=$D106,AB$6&lt;=$E106),MAX(0,MIN(1,$G106*$F106-(AB$6-$D106))),"")))</ns0:f>
      </ns0:c>
      <ns0:c r="AC106" s="22" t="str">
        <ns0:f>IF($A106="","",IF($I106="Yes",IF(AC$6=$D106,"◆",""),IF(AND(AC$6&gt;=$D106,AC$6&lt;=$E106),MAX(0,MIN(1,$G106*$F106-(AC$6-$D106))),"")))</ns0:f>
      </ns0:c>
      <ns0:c r="AD106" s="22" t="str">
        <ns0:f>IF($A106="","",IF($I106="Yes",IF(AD$6=$D106,"◆",""),IF(AND(AD$6&gt;=$D106,AD$6&lt;=$E106),MAX(0,MIN(1,$G106*$F106-(AD$6-$D106))),"")))</ns0:f>
      </ns0:c>
      <ns0:c r="AE106" s="22" t="str">
        <ns0:f>IF($A106="","",IF($I106="Yes",IF(AE$6=$D106,"◆",""),IF(AND(AE$6&gt;=$D106,AE$6&lt;=$E106),MAX(0,MIN(1,$G106*$F106-(AE$6-$D106))),"")))</ns0:f>
      </ns0:c>
      <ns0:c r="AF106" s="22" t="str">
        <ns0:f>IF($A106="","",IF($I106="Yes",IF(AF$6=$D106,"◆",""),IF(AND(AF$6&gt;=$D106,AF$6&lt;=$E106),MAX(0,MIN(1,$G106*$F106-(AF$6-$D106))),"")))</ns0:f>
      </ns0:c>
      <ns0:c r="AG106" s="22" t="str">
        <ns0:f>IF($A106="","",IF($I106="Yes",IF(AG$6=$D106,"◆",""),IF(AND(AG$6&gt;=$D106,AG$6&lt;=$E106),MAX(0,MIN(1,$G106*$F106-(AG$6-$D106))),"")))</ns0:f>
      </ns0:c>
      <ns0:c r="AH106" s="22" t="str">
        <ns0:f>IF($A106="","",IF($I106="Yes",IF(AH$6=$D106,"◆",""),IF(AND(AH$6&gt;=$D106,AH$6&lt;=$E106),MAX(0,MIN(1,$G106*$F106-(AH$6-$D106))),"")))</ns0:f>
      </ns0:c>
      <ns0:c r="AI106" s="22" t="str">
        <ns0:f>IF($A106="","",IF($I106="Yes",IF(AI$6=$D106,"◆",""),IF(AND(AI$6&gt;=$D106,AI$6&lt;=$E106),MAX(0,MIN(1,$G106*$F106-(AI$6-$D106))),"")))</ns0:f>
      </ns0:c>
      <ns0:c r="AJ106" s="22" t="str">
        <ns0:f>IF($A106="","",IF($I106="Yes",IF(AJ$6=$D106,"◆",""),IF(AND(AJ$6&gt;=$D106,AJ$6&lt;=$E106),MAX(0,MIN(1,$G106*$F106-(AJ$6-$D106))),"")))</ns0:f>
      </ns0:c>
      <ns0:c r="AK106" s="22" t="str">
        <ns0:f>IF($A106="","",IF($I106="Yes",IF(AK$6=$D106,"◆",""),IF(AND(AK$6&gt;=$D106,AK$6&lt;=$E106),MAX(0,MIN(1,$G106*$F106-(AK$6-$D106))),"")))</ns0:f>
      </ns0:c>
      <ns0:c r="AL106" s="22" t="str">
        <ns0:f>IF($A106="","",IF($I106="Yes",IF(AL$6=$D106,"◆",""),IF(AND(AL$6&gt;=$D106,AL$6&lt;=$E106),MAX(0,MIN(1,$G106*$F106-(AL$6-$D106))),"")))</ns0:f>
      </ns0:c>
      <ns0:c r="AM106" s="22" t="str">
        <ns0:f>IF($A106="","",IF($I106="Yes",IF(AM$6=$D106,"◆",""),IF(AND(AM$6&gt;=$D106,AM$6&lt;=$E106),MAX(0,MIN(1,$G106*$F106-(AM$6-$D106))),"")))</ns0:f>
      </ns0:c>
      <ns0:c r="AN106" s="22" t="str">
        <ns0:f>IF($A106="","",IF($I106="Yes",IF(AN$6=$D106,"◆",""),IF(AND(AN$6&gt;=$D106,AN$6&lt;=$E106),MAX(0,MIN(1,$G106*$F106-(AN$6-$D106))),"")))</ns0:f>
      </ns0:c>
      <ns0:c r="AO106" s="22" t="str">
        <ns0:f>IF($A106="","",IF($I106="Yes",IF(AO$6=$D106,"◆",""),IF(AND(AO$6&gt;=$D106,AO$6&lt;=$E106),MAX(0,MIN(1,$G106*$F106-(AO$6-$D106))),"")))</ns0:f>
      </ns0:c>
      <ns0:c r="AP106" s="22" t="str">
        <ns0:f>IF($A106="","",IF($I106="Yes",IF(AP$6=$D106,"◆",""),IF(AND(AP$6&gt;=$D106,AP$6&lt;=$E106),MAX(0,MIN(1,$G106*$F106-(AP$6-$D106))),"")))</ns0:f>
      </ns0:c>
      <ns0:c r="AQ106" s="22" t="str">
        <ns0:f>IF($A106="","",IF($I106="Yes",IF(AQ$6=$D106,"◆",""),IF(AND(AQ$6&gt;=$D106,AQ$6&lt;=$E106),MAX(0,MIN(1,$G106*$F106-(AQ$6-$D106))),"")))</ns0:f>
      </ns0:c>
      <ns0:c r="AR106" s="22" t="str">
        <ns0:f>IF($A106="","",IF($I106="Yes",IF(AR$6=$D106,"◆",""),IF(AND(AR$6&gt;=$D106,AR$6&lt;=$E106),MAX(0,MIN(1,$G106*$F106-(AR$6-$D106))),"")))</ns0:f>
      </ns0:c>
    </ns0:row>
  </ns0:sheetData>
  <ns0:sheetProtection sheet="1" objects="1" scenarios="1" formatCells="0" formatColumns="0" formatRows="0" selectLockedCells="0" selectUnlockedCells="0" autoFilter="0" sort="0"/>
  <ns0:mergeCells>
    <ns0:mergeCell ref="K2:AD2"/>
    <ns0:mergeCell ref="AE2:AR2"/>
  </ns0:mergeCells>
  <ns0:conditionalFormatting sqref="K3:AR3">
    <ns0:cfRule type="expression" dxfId="2" priority="1">
      <ns0:formula>WEEKDAY(K$3,2)&gt;5</ns0:formula>
    </ns0:cfRule>
  </ns0:conditionalFormatting>
  <ns0:conditionalFormatting sqref="K7:AR106">
    <ns0:cfRule type="expression" dxfId="3" priority="2">
      <ns0:formula>AND(NOT(ISNUMBER(K7)),K7&lt;&gt;"◆",WEEKDAY(K$6,2)&gt;5)</ns0:formula>
    </ns0:cfRule>
    <ns0:cfRule type="expression" dxfId="4" priority="3">
      <ns0:formula>AND(ISNUMBER(K7),$H7="Not Started")</ns0:formula>
    </ns0:cfRule>
    <ns0:cfRule type="expression" dxfId="5" priority="4">
      <ns0:formula>AND(ISNUMBER(K7),$H7="In Progress")</ns0:formula>
    </ns0:cfRule>
    <ns0:cfRule type="expression" dxfId="6" priority="5">
      <ns0:formula>AND(ISNUMBER(K7),$H7="Completed")</ns0:formula>
    </ns0:cfRule>
    <ns0:cfRule type="expression" dxfId="7" priority="6">
      <ns0:formula>AND(ISNUMBER(K7),$H7="Delayed")</ns0:formula>
    </ns0:cfRule>
    <ns0:cfRule type="expression" dxfId="8" priority="7">
      <ns0:formula>AND(ISNUMBER(K7),$H7="On Hold")</ns0:formula>
    </ns0:cfRule>
    <ns0:cfRule type="expression" dxfId="9" priority="8">
      <ns0:formula>AND(ISNUMBER(K7),$G7&lt;1,$E7&lt;AsOfDate,$H7&lt;&gt;"On Hold")</ns0:formula>
    </ns0:cfRule>
    <ns0:cfRule type="dataBar" priority="9">
      <ns0:dataBar minLength="0" maxLength="100" showValue="0">
        <ns0:cfvo type="num" val="0"/>
        <ns0:cfvo type="num" val="1"/>
        <ns0:color rgb="FF168251"/>
      </ns0:dataBar>
      <ns0:extLst>
        <ns0:ext uri="{B025F937-C7B1-47D3-B67F-A62EFF666E3E}">
          <ns1:id>{3F22B49B-9ACE-ABA2-7B28-010D919B4ADC}</ns1:id>
        </ns0:ext>
      </ns0:extLst>
    </ns0:cfRule>
    <ns0:cfRule type="expression" dxfId="10" priority="10">
      <ns0:formula>AND(K7="◆",$G7&lt;1)</ns0:formula>
    </ns0:cfRule>
    <ns0:cfRule type="expression" dxfId="11" priority="11">
      <ns0:formula>AND(K7="◆",$G7=1)</ns0:formula>
    </ns0:cfRule>
  </ns0:conditionalFormatting>
  <ns0:conditionalFormatting sqref="A7:J106">
    <ns0:cfRule type="expression" dxfId="12" priority="12">
      <ns0:formula>AND($A7&lt;&gt;"",$I7="Yes")</ns0:formula>
    </ns0:cfRule>
  </ns0:conditionalFormatting>
  <ns0:conditionalFormatting sqref="J7:J106">
    <ns0:cfRule type="expression" dxfId="13" priority="13">
      <ns0:formula>AND($A7&lt;&gt;"",$J7&lt;&gt;"On track")</ns0:formula>
    </ns0:cfRule>
  </ns0:conditionalFormatting>
  <ns0:conditionalFormatting sqref="A7:AR106">
    <ns0:cfRule type="expression" dxfId="14" priority="14">
      <ns0:formula>AND($A7&lt;&gt;"",$B7&lt;&gt;$B6)</ns0:formula>
    </ns0:cfRule>
  </ns0:conditionalFormatting>
  <ns0:pageMargins left="0.7" right="0.7" top="0.75" bottom="0.75" header="0.3" footer="0.3"/>
  <ns0:extLst>
    <ns0:ext uri="{78C0D931-6437-407d-A8EE-F0AAD7539E65}">
      <ns1:conditionalFormattings>
        <ns1:conditionalFormatting>
          <ns1:cfRule type="dataBar" priority="9" id="{3F22B49B-9ACE-ABA2-7B28-010D919B4ADC}">
            <ns1:dataBar gradient="0">
              <ns1:cfvo type="num">
                <ns2:f>0</ns2:f>
              </ns1:cfvo>
              <ns1:cfvo type="num">
                <ns2:f>1</ns2:f>
              </ns1:cfvo>
              <ns1:fillColor rgb="FF168251"/>
            </ns1:dataBar>
          </ns1:cfRule>
          <ns2:sqref>K7:AR106</ns2:sqref>
        </ns1:conditionalFormatting>
      </ns1:conditionalFormattings>
    </ns0:ext>
  </ns0:extLst>
</ns0:worksheet>
</file>

<file path=xl/worksheets/sheet3.xml><?xml version="1.0" encoding="utf-8"?>
<ns0:worksheet xmlns:ns0="http://schemas.openxmlformats.org/spreadsheetml/2006/main" xmlns:ns1="http://schemas.openxmlformats.org/officeDocument/2006/relationships">
  <ns0:sheetPr>
    <ns0:tabColor rgb="FF24364B"/>
  </ns0:sheetPr>
  <ns0:sheetViews>
    <ns0:sheetView showGridLines="0" workbookViewId="0" zoomScale="95"/>
  </ns0:sheetViews>
  <ns0:sheetFormatPr defaultRowHeight="15"/>
  <ns0:cols>
    <ns0:col min="1" max="1" width="12" hidden="0" customWidth="1"/>
    <ns0:col min="2" max="2" width="12" hidden="0" customWidth="1"/>
    <ns0:col min="3" max="3" width="12" hidden="0" customWidth="1"/>
    <ns0:col min="4" max="4" width="12" hidden="0" customWidth="1"/>
    <ns0:col min="5" max="5" width="12" hidden="0" customWidth="1"/>
    <ns0:col min="6" max="6" width="12" hidden="0" customWidth="1"/>
    <ns0:col min="7" max="7" width="12" hidden="0" customWidth="1"/>
    <ns0:col min="8" max="8" width="12" hidden="0" customWidth="1"/>
    <ns0:col min="9" max="9" width="12" hidden="0" customWidth="1"/>
    <ns0:col min="10" max="10" width="12" hidden="0" customWidth="1"/>
    <ns0:col min="11" max="11" width="12" hidden="0" customWidth="1"/>
    <ns0:col min="12" max="12" width="12" hidden="0" customWidth="1"/>
    <ns0:col min="13" max="13" width="12" hidden="0" customWidth="1"/>
    <ns0:col min="14" max="14" width="12" hidden="0" customWidth="1"/>
    <ns0:col min="15" max="15" width="12" hidden="0" customWidth="1"/>
    <ns0:col min="16" max="16" width="12" hidden="0" customWidth="1"/>
    <ns0:col min="18" max="30" hidden="1" width="12" customWidth="1"/>
  </ns0:cols>
  <ns0:sheetData>
    <ns0:row r="1" ht="24" customHeight="1">
      <ns0:c r="A1" s="2"/>
      <ns0:c r="B1" s="2"/>
      <ns0:c r="C1" s="2"/>
      <ns0:c r="D1" s="2"/>
      <ns0:c r="E1" s="2"/>
      <ns0:c r="F1" s="2"/>
      <ns0:c r="G1" s="2"/>
      <ns0:c r="H1" s="2"/>
      <ns0:c r="I1" s="2"/>
      <ns0:c r="J1" s="2"/>
      <ns0:c r="K1" s="2"/>
      <ns0:c r="L1" s="2"/>
      <ns0:c r="M1" s="2"/>
      <ns0:c r="N1" s="2"/>
      <ns0:c r="O1" s="2"/>
      <ns0:c r="P1" s="2"/>
    </ns0:row>
    <ns0:row r="2" ht="24" customHeight="1">
      <ns0:c r="A2" s="3" t="str">
        <ns0:v>Project dashboard</ns0:v>
      </ns0:c>
      <ns0:c r="B2" s="2"/>
      <ns0:c r="C2" s="2"/>
      <ns0:c r="D2" s="2"/>
      <ns0:c r="E2" s="2"/>
      <ns0:c r="F2" s="2"/>
      <ns0:c r="G2" s="2"/>
      <ns0:c r="H2" s="2"/>
      <ns0:c r="I2" s="2"/>
      <ns0:c r="J2" s="2"/>
      <ns0:c r="K2" s="2"/>
      <ns0:c r="L2" s="2"/>
      <ns0:c r="M2" s="2"/>
      <ns0:c r="N2" s="2"/>
      <ns0:c r="O2" s="2"/>
      <ns0:c r="P2" s="2"/>
    </ns0:row>
    <ns0:row r="3" ht="24" customHeight="1">
      <ns0:c r="A3" s="2"/>
      <ns0:c r="B3" s="2"/>
      <ns0:c r="C3" s="2"/>
      <ns0:c r="D3" s="2"/>
      <ns0:c r="E3" s="2"/>
      <ns0:c r="F3" s="2"/>
      <ns0:c r="G3" s="2"/>
      <ns0:c r="H3" s="2"/>
      <ns0:c r="I3" s="2"/>
      <ns0:c r="J3" s="2"/>
      <ns0:c r="K3" s="2"/>
      <ns0:c r="L3" s="2"/>
      <ns0:c r="M3" s="2"/>
      <ns0:c r="N3" s="2"/>
      <ns0:c r="O3" s="2"/>
      <ns0:c r="P3" s="2"/>
    </ns0:row>
    <ns0:row r="4" ht="24" customHeight="1">
      <ns0:c r="A4" s="2" t="str">
        <ns0:v>Reporting date</ns0:v>
      </ns0:c>
      <ns0:c r="B4" s="2"/>
      <ns0:c r="C4" s="23" t="n">
        <ns0:f>AsOfDate</ns0:f>
        <ns0:v>46275</ns0:v>
      </ns0:c>
      <ns0:c r="D4" s="2"/>
      <ns0:c r="E4" s="2" t="str">
        <ns0:v>Activities exclude milestones. Progress is duration-weighted.</ns0:v>
      </ns0:c>
      <ns0:c r="F4" s="2"/>
      <ns0:c r="G4" s="2"/>
      <ns0:c r="H4" s="2"/>
      <ns0:c r="I4" s="2"/>
      <ns0:c r="J4" s="2"/>
      <ns0:c r="K4" s="2"/>
      <ns0:c r="L4" s="2"/>
      <ns0:c r="M4" s="2"/>
      <ns0:c r="N4" s="2"/>
      <ns0:c r="O4" s="2"/>
      <ns0:c r="P4" s="2"/>
    </ns0:row>
    <ns0:row r="5" ht="24" customHeight="1">
      <ns0:c r="A5" s="2"/>
      <ns0:c r="B5" s="2"/>
      <ns0:c r="C5" s="2"/>
      <ns0:c r="D5" s="2"/>
      <ns0:c r="E5" s="2"/>
      <ns0:c r="F5" s="2"/>
      <ns0:c r="G5" s="2"/>
      <ns0:c r="H5" s="2"/>
      <ns0:c r="I5" s="2"/>
      <ns0:c r="J5" s="2"/>
      <ns0:c r="K5" s="2"/>
      <ns0:c r="L5" s="2"/>
      <ns0:c r="M5" s="2"/>
      <ns0:c r="N5" s="2"/>
      <ns0:c r="O5" s="2"/>
      <ns0:c r="P5" s="2"/>
    </ns0:row>
    <ns0:row r="6" ht="24" customHeight="1">
      <ns0:c r="A6" s="25" t="str">
        <ns0:v>Total Tasks</ns0:v>
      </ns0:c>
      <ns0:c r="B6" s="24"/>
      <ns0:c r="C6" s="24"/>
      <ns0:c r="D6" s="25" t="str">
        <ns0:v>Completed Tasks</ns0:v>
      </ns0:c>
      <ns0:c r="E6" s="24"/>
      <ns0:c r="F6" s="24"/>
      <ns0:c r="G6" s="25" t="str">
        <ns0:v>In-Progress Tasks</ns0:v>
      </ns0:c>
      <ns0:c r="H6" s="24"/>
      <ns0:c r="I6" s="24"/>
      <ns0:c r="J6" s="25" t="str">
        <ns0:v>Not Started Tasks</ns0:v>
      </ns0:c>
      <ns0:c r="K6" s="24"/>
      <ns0:c r="L6" s="24"/>
      <ns0:c r="M6" s="25" t="str">
        <ns0:v>Delayed Tasks</ns0:v>
      </ns0:c>
      <ns0:c r="N6" s="24"/>
      <ns0:c r="O6" s="24"/>
      <ns0:c r="P6" s="2"/>
      <ns0:c r="R6" t="str">
        <ns0:v>Status</ns0:v>
      </ns0:c>
      <ns0:c r="S6" t="str">
        <ns0:v>Tasks</ns0:v>
      </ns0:c>
      <ns0:c r="U6" t="str">
        <ns0:v>Phase</ns0:v>
      </ns0:c>
      <ns0:c r="V6" t="str">
        <ns0:v>Progress</ns0:v>
      </ns0:c>
      <ns0:c r="X6" t="str">
        <ns0:v>Milestones</ns0:v>
      </ns0:c>
      <ns0:c r="Y6" t="str">
        <ns0:v>Count</ns0:v>
      </ns0:c>
      <ns0:c r="AA6" t="str">
        <ns0:v>Resource (top 10)</ns0:v>
      </ns0:c>
      <ns0:c r="AB6" t="str">
        <ns0:v>Assigned tasks</ns0:v>
      </ns0:c>
    </ns0:row>
    <ns0:row r="7" ht="24" customHeight="1">
      <ns0:c r="A7" s="26" t="n">
        <ns0:f>COUNTIFS(Tasks[Task ID],"&lt;&gt;",Tasks[Milestone],"No")</ns0:f>
        <ns0:v>34</ns0:v>
      </ns0:c>
      <ns0:c r="B7" s="24"/>
      <ns0:c r="C7" s="24"/>
      <ns0:c r="D7" s="26" t="n">
        <ns0:f>COUNTIFS(Tasks[Task ID],"&lt;&gt;",Tasks[Milestone],"No",'Project Tracker'!$Q$7:$Q$106,"Completed")</ns0:f>
        <ns0:v>0</ns0:v>
      </ns0:c>
      <ns0:c r="E7" s="24"/>
      <ns0:c r="F7" s="24"/>
      <ns0:c r="G7" s="26" t="n">
        <ns0:f>COUNTIFS(Tasks[Task ID],"&lt;&gt;",Tasks[Milestone],"No",'Project Tracker'!$Q$7:$Q$106,"In Progress")</ns0:f>
        <ns0:v>0</ns0:v>
      </ns0:c>
      <ns0:c r="H7" s="24"/>
      <ns0:c r="I7" s="24"/>
      <ns0:c r="J7" s="26" t="n">
        <ns0:f>COUNTIFS(Tasks[Task ID],"&lt;&gt;",Tasks[Milestone],"No",'Project Tracker'!$Q$7:$Q$106,"Not Started")</ns0:f>
        <ns0:v>34</ns0:v>
      </ns0:c>
      <ns0:c r="K7" s="24"/>
      <ns0:c r="L7" s="24"/>
      <ns0:c r="M7" s="26" t="n">
        <ns0:f>COUNTIFS(Tasks[Task ID],"&lt;&gt;",Tasks[Milestone],"No",'Project Tracker'!$Q$7:$Q$106,"Delayed")</ns0:f>
        <ns0:v>0</ns0:v>
      </ns0:c>
      <ns0:c r="N7" s="24"/>
      <ns0:c r="O7" s="24"/>
      <ns0:c r="P7" s="2"/>
      <ns0:c r="R7" t="str">
        <ns0:v>Not Started</ns0:v>
      </ns0:c>
      <ns0:c r="S7" t="n">
        <ns0:f>COUNTIFS(Tasks[Task ID],"&lt;&gt;",Tasks[Milestone],"No",'Project Tracker'!$Q$7:$Q$106,"Not Started")</ns0:f>
        <ns0:v>34</ns0:v>
      </ns0:c>
      <ns0:c r="U7" t="str">
        <ns0:f>IF(ROW()-6&gt;MAX('Project Tracker'!$AN$7:$AN$106),"",INDEX(Tasks[Phase],MATCH(ROW()-6,'Project Tracker'!$AN$7:$AN$106,0)))</ns0:f>
        <ns0:v>Governance &amp; state</ns0:v>
      </ns0:c>
      <ns0:c r="V7" t="n">
        <ns0:f>IF(U7="","",IF(SUMIFS(Tasks[Duration],Tasks[Phase],U7)=0,0,SUMIFS('Project Tracker'!$EQ$7:$EQ$106,Tasks[Phase],U7)/SUMIFS(Tasks[Duration],Tasks[Phase],U7)))</ns0:f>
        <ns0:v>0</ns0:v>
      </ns0:c>
      <ns0:c r="X7" t="str">
        <ns0:v>Completed</ns0:v>
      </ns0:c>
      <ns0:c r="Y7" t="n">
        <ns0:f>G11</ns0:f>
        <ns0:v>0</ns0:v>
      </ns0:c>
      <ns0:c r="AA7" t="str">
        <ns0:f>IF(LARGE(Resources!$L$7:$L$106,ROW()-6)=0,"",INDEX(Resources!$A$7:$A$106,MATCH(LARGE(Resources!$L$7:$L$106,ROW()-6),Resources!$L$7:$L$106,0)))</ns0:f>
        <ns0:v>Specialist Sub-Agents (L4_SUBS)</ns0:v>
      </ns0:c>
      <ns0:c r="AB7" t="n">
        <ns0:f>IF(AA7="",0,INDEX(Resources!$B$7:$B$106,MATCH(AA7,Resources!$A$7:$A$106,0)))</ns0:f>
        <ns0:v>8</ns0:v>
      </ns0:c>
    </ns0:row>
    <ns0:row r="8" ht="24" customHeight="1">
      <ns0:c r="A8" s="24"/>
      <ns0:c r="B8" s="24"/>
      <ns0:c r="C8" s="24"/>
      <ns0:c r="D8" s="24"/>
      <ns0:c r="E8" s="24"/>
      <ns0:c r="F8" s="24"/>
      <ns0:c r="G8" s="24"/>
      <ns0:c r="H8" s="24"/>
      <ns0:c r="I8" s="24"/>
      <ns0:c r="J8" s="24"/>
      <ns0:c r="K8" s="24"/>
      <ns0:c r="L8" s="24"/>
      <ns0:c r="M8" s="24"/>
      <ns0:c r="N8" s="24"/>
      <ns0:c r="O8" s="24"/>
      <ns0:c r="P8" s="2"/>
      <ns0:c r="R8" t="str">
        <ns0:v>In Progress</ns0:v>
      </ns0:c>
      <ns0:c r="S8" t="n">
        <ns0:f>COUNTIFS(Tasks[Task ID],"&lt;&gt;",Tasks[Milestone],"No",'Project Tracker'!$Q$7:$Q$106,"In Progress")</ns0:f>
        <ns0:v>0</ns0:v>
      </ns0:c>
      <ns0:c r="U8" t="str">
        <ns0:f>IF(ROW()-6&gt;MAX('Project Tracker'!$AN$7:$AN$106),"",INDEX(Tasks[Phase],MATCH(ROW()-6,'Project Tracker'!$AN$7:$AN$106,0)))</ns0:f>
        <ns0:v>Data &amp; storage</ns0:v>
      </ns0:c>
      <ns0:c r="V8" t="n">
        <ns0:f>IF(U8="","",IF(SUMIFS(Tasks[Duration],Tasks[Phase],U8)=0,0,SUMIFS('Project Tracker'!$EQ$7:$EQ$106,Tasks[Phase],U8)/SUMIFS(Tasks[Duration],Tasks[Phase],U8)))</ns0:f>
        <ns0:v>0</ns0:v>
      </ns0:c>
      <ns0:c r="X8" t="str">
        <ns0:v>Remaining</ns0:v>
      </ns0:c>
      <ns0:c r="Y8" t="n">
        <ns0:f>J11</ns0:f>
        <ns0:v>7</ns0:v>
      </ns0:c>
      <ns0:c r="AA8" t="str">
        <ns0:f>IF(LARGE(Resources!$L$7:$L$106,ROW()-6)=0,"",INDEX(Resources!$A$7:$A$106,MATCH(LARGE(Resources!$L$7:$L$106,ROW()-6),Resources!$L$7:$L$106,0)))</ns0:f>
        <ns0:v>Unassigned</ns0:v>
      </ns0:c>
      <ns0:c r="AB8" t="n">
        <ns0:f>IF(AA8="",0,INDEX(Resources!$B$7:$B$106,MATCH(AA8,Resources!$A$7:$A$106,0)))</ns0:f>
        <ns0:v>7</ns0:v>
      </ns0:c>
    </ns0:row>
    <ns0:row r="9" ht="24" customHeight="1">
      <ns0:c r="A9" s="2"/>
      <ns0:c r="B9" s="2"/>
      <ns0:c r="C9" s="2"/>
      <ns0:c r="D9" s="2"/>
      <ns0:c r="E9" s="2"/>
      <ns0:c r="F9" s="2"/>
      <ns0:c r="G9" s="2"/>
      <ns0:c r="H9" s="2"/>
      <ns0:c r="I9" s="2"/>
      <ns0:c r="J9" s="2"/>
      <ns0:c r="K9" s="2"/>
      <ns0:c r="L9" s="2"/>
      <ns0:c r="M9" s="2"/>
      <ns0:c r="N9" s="2"/>
      <ns0:c r="O9" s="2"/>
      <ns0:c r="P9" s="2"/>
      <ns0:c r="R9" t="str">
        <ns0:v>Completed</ns0:v>
      </ns0:c>
      <ns0:c r="S9" t="n">
        <ns0:f>COUNTIFS(Tasks[Task ID],"&lt;&gt;",Tasks[Milestone],"No",'Project Tracker'!$Q$7:$Q$106,"Completed")</ns0:f>
        <ns0:v>0</ns0:v>
      </ns0:c>
      <ns0:c r="U9" t="str">
        <ns0:f>IF(ROW()-6&gt;MAX('Project Tracker'!$AN$7:$AN$106),"",INDEX(Tasks[Phase],MATCH(ROW()-6,'Project Tracker'!$AN$7:$AN$106,0)))</ns0:f>
        <ns0:v>Sandbox &amp; tools</ns0:v>
      </ns0:c>
      <ns0:c r="V9" t="n">
        <ns0:f>IF(U9="","",IF(SUMIFS(Tasks[Duration],Tasks[Phase],U9)=0,0,SUMIFS('Project Tracker'!$EQ$7:$EQ$106,Tasks[Phase],U9)/SUMIFS(Tasks[Duration],Tasks[Phase],U9)))</ns0:f>
        <ns0:v>0</ns0:v>
      </ns0:c>
      <ns0:c r="AA9" t="str">
        <ns0:f>IF(LARGE(Resources!$L$7:$L$106,ROW()-6)=0,"",INDEX(Resources!$A$7:$A$106,MATCH(LARGE(Resources!$L$7:$L$106,ROW()-6),Resources!$L$7:$L$106,0)))</ns0:f>
        <ns0:v>Intelligence Engine (IE / Orchestrator)</ns0:v>
      </ns0:c>
      <ns0:c r="AB9" t="n">
        <ns0:f>IF(AA9="",0,INDEX(Resources!$B$7:$B$106,MATCH(AA9,Resources!$A$7:$A$106,0)))</ns0:f>
        <ns0:v>5</ns0:v>
      </ns0:c>
    </ns0:row>
    <ns0:row r="10" ht="24" customHeight="1">
      <ns0:c r="A10" s="25" t="str">
        <ns0:v>Overall Progress %</ns0:v>
      </ns0:c>
      <ns0:c r="B10" s="24"/>
      <ns0:c r="C10" s="24"/>
      <ns0:c r="D10" s="25" t="str">
        <ns0:v>Total Milestones</ns0:v>
      </ns0:c>
      <ns0:c r="E10" s="24"/>
      <ns0:c r="F10" s="24"/>
      <ns0:c r="G10" s="25" t="str">
        <ns0:v>Completed Milestones</ns0:v>
      </ns0:c>
      <ns0:c r="H10" s="24"/>
      <ns0:c r="I10" s="24"/>
      <ns0:c r="J10" s="25" t="str">
        <ns0:v>Remaining Milestones</ns0:v>
      </ns0:c>
      <ns0:c r="K10" s="24"/>
      <ns0:c r="L10" s="24"/>
      <ns0:c r="M10" s="25" t="str">
        <ns0:v>Project Days Remaining</ns0:v>
      </ns0:c>
      <ns0:c r="N10" s="24"/>
      <ns0:c r="O10" s="24"/>
      <ns0:c r="P10" s="2"/>
      <ns0:c r="R10" t="str">
        <ns0:v>Delayed</ns0:v>
      </ns0:c>
      <ns0:c r="S10" t="n">
        <ns0:f>COUNTIFS(Tasks[Task ID],"&lt;&gt;",Tasks[Milestone],"No",'Project Tracker'!$Q$7:$Q$106,"Delayed")</ns0:f>
        <ns0:v>0</ns0:v>
      </ns0:c>
      <ns0:c r="U10" t="str">
        <ns0:f>IF(ROW()-6&gt;MAX('Project Tracker'!$AN$7:$AN$106),"",INDEX(Tasks[Phase],MATCH(ROW()-6,'Project Tracker'!$AN$7:$AN$106,0)))</ns0:f>
        <ns0:v>Intelligence &amp; assets</ns0:v>
      </ns0:c>
      <ns0:c r="V10" t="n">
        <ns0:f>IF(U10="","",IF(SUMIFS(Tasks[Duration],Tasks[Phase],U10)=0,0,SUMIFS('Project Tracker'!$EQ$7:$EQ$106,Tasks[Phase],U10)/SUMIFS(Tasks[Duration],Tasks[Phase],U10)))</ns0:f>
        <ns0:v>0</ns0:v>
      </ns0:c>
      <ns0:c r="AA10" t="str">
        <ns0:f>IF(LARGE(Resources!$L$7:$L$106,ROW()-6)=0,"",INDEX(Resources!$A$7:$A$106,MATCH(LARGE(Resources!$L$7:$L$106,ROW()-6),Resources!$L$7:$L$106,0)))</ns0:f>
        <ns0:v>Outbound Actuation MCP Boundary</ns0:v>
      </ns0:c>
      <ns0:c r="AB10" t="n">
        <ns0:f>IF(AA10="",0,INDEX(Resources!$B$7:$B$106,MATCH(AA10,Resources!$A$7:$A$106,0)))</ns0:f>
        <ns0:v>4</ns0:v>
      </ns0:c>
    </ns0:row>
    <ns0:row r="11" ht="24" customHeight="1">
      <ns0:c r="A11" s="27" t="n">
        <ns0:f>IF(SUM(Tasks[Duration])=0,0,SUMPRODUCT(Tasks[Duration],Tasks[Progress %])/SUM(Tasks[Duration]))</ns0:f>
        <ns0:v>0</ns0:v>
      </ns0:c>
      <ns0:c r="B11" s="24"/>
      <ns0:c r="C11" s="24"/>
      <ns0:c r="D11" s="26" t="n">
        <ns0:f>COUNTIFS(Tasks[Task ID],"&lt;&gt;",Tasks[Milestone],"Yes")</ns0:f>
        <ns0:v>7</ns0:v>
      </ns0:c>
      <ns0:c r="E11" s="24"/>
      <ns0:c r="F11" s="24"/>
      <ns0:c r="G11" s="26" t="n">
        <ns0:f>COUNTIFS(Tasks[Task ID],"&lt;&gt;",Tasks[Milestone],"Yes",Tasks[Progress %],1)</ns0:f>
        <ns0:v>0</ns0:v>
      </ns0:c>
      <ns0:c r="H11" s="24"/>
      <ns0:c r="I11" s="24"/>
      <ns0:c r="J11" s="26" t="n">
        <ns0:f>COUNTIFS(Tasks[Task ID],"&lt;&gt;",Tasks[Milestone],"Yes",Tasks[Progress %],"&lt;1")</ns0:f>
        <ns0:v>7</ns0:v>
      </ns0:c>
      <ns0:c r="K11" s="24"/>
      <ns0:c r="L11" s="24"/>
      <ns0:c r="M11" s="26" t="n">
        <ns0:f>MAX(0,ProjectEnd-MAX(ProjectStart,AsOfDate)+1)</ns0:f>
        <ns0:v>34</ns0:v>
      </ns0:c>
      <ns0:c r="N11" s="24"/>
      <ns0:c r="O11" s="24"/>
      <ns0:c r="P11" s="2"/>
      <ns0:c r="R11" t="str">
        <ns0:v>On Hold</ns0:v>
      </ns0:c>
      <ns0:c r="S11" t="n">
        <ns0:f>COUNTIFS(Tasks[Task ID],"&lt;&gt;",Tasks[Milestone],"No",'Project Tracker'!$Q$7:$Q$106,"On Hold")</ns0:f>
        <ns0:v>0</ns0:v>
      </ns0:c>
      <ns0:c r="U11" t="str">
        <ns0:f>IF(ROW()-6&gt;MAX('Project Tracker'!$AN$7:$AN$106),"",INDEX(Tasks[Phase],MATCH(ROW()-6,'Project Tracker'!$AN$7:$AN$106,0)))</ns0:f>
        <ns0:v>Evidence &amp; approval</ns0:v>
      </ns0:c>
      <ns0:c r="V11" t="n">
        <ns0:f>IF(U11="","",IF(SUMIFS(Tasks[Duration],Tasks[Phase],U11)=0,0,SUMIFS('Project Tracker'!$EQ$7:$EQ$106,Tasks[Phase],U11)/SUMIFS(Tasks[Duration],Tasks[Phase],U11)))</ns0:f>
        <ns0:v>0</ns0:v>
      </ns0:c>
      <ns0:c r="AA11" t="str">
        <ns0:f>IF(LARGE(Resources!$L$7:$L$106,ROW()-6)=0,"",INDEX(Resources!$A$7:$A$106,MATCH(LARGE(Resources!$L$7:$L$106,ROW()-6),Resources!$L$7:$L$106,0)))</ns0:f>
        <ns0:v>Sandbox Controller (agent_sandbox)</ns0:v>
      </ns0:c>
      <ns0:c r="AB11" t="n">
        <ns0:f>IF(AA11="",0,INDEX(Resources!$B$7:$B$106,MATCH(AA11,Resources!$A$7:$A$106,0)))</ns0:f>
        <ns0:v>3</ns0:v>
      </ns0:c>
    </ns0:row>
    <ns0:row r="12" ht="24" customHeight="1">
      <ns0:c r="A12" s="24"/>
      <ns0:c r="B12" s="24"/>
      <ns0:c r="C12" s="24"/>
      <ns0:c r="D12" s="24"/>
      <ns0:c r="E12" s="24"/>
      <ns0:c r="F12" s="24"/>
      <ns0:c r="G12" s="24"/>
      <ns0:c r="H12" s="24"/>
      <ns0:c r="I12" s="24"/>
      <ns0:c r="J12" s="24"/>
      <ns0:c r="K12" s="24"/>
      <ns0:c r="L12" s="24"/>
      <ns0:c r="M12" s="24"/>
      <ns0:c r="N12" s="24"/>
      <ns0:c r="O12" s="24"/>
      <ns0:c r="P12" s="2"/>
      <ns0:c r="U12" t="str">
        <ns0:f>IF(ROW()-6&gt;MAX('Project Tracker'!$AN$7:$AN$106),"",INDEX(Tasks[Phase],MATCH(ROW()-6,'Project Tracker'!$AN$7:$AN$106,0)))</ns0:f>
        <ns0:v>Launch &amp; telemetry</ns0:v>
      </ns0:c>
      <ns0:c r="V12" t="n">
        <ns0:f>IF(U12="","",IF(SUMIFS(Tasks[Duration],Tasks[Phase],U12)=0,0,SUMIFS('Project Tracker'!$EQ$7:$EQ$106,Tasks[Phase],U12)/SUMIFS(Tasks[Duration],Tasks[Phase],U12)))</ns0:f>
        <ns0:v>0</ns0:v>
      </ns0:c>
      <ns0:c r="AA12" t="str">
        <ns0:f>IF(LARGE(Resources!$L$7:$L$106,ROW()-6)=0,"",INDEX(Resources!$A$7:$A$106,MATCH(LARGE(Resources!$L$7:$L$106,ROW()-6),Resources!$L$7:$L$106,0)))</ns0:f>
        <ns0:v>Brand Stakeholder / Portfolio Owner</ns0:v>
      </ns0:c>
      <ns0:c r="AB12" t="n">
        <ns0:f>IF(AA12="",0,INDEX(Resources!$B$7:$B$106,MATCH(AA12,Resources!$A$7:$A$106,0)))</ns0:f>
        <ns0:v>2</ns0:v>
      </ns0:c>
    </ns0:row>
    <ns0:row r="13" ht="24" customHeight="1">
      <ns0:c r="A13" s="2"/>
      <ns0:c r="B13" s="2"/>
      <ns0:c r="C13" s="2"/>
      <ns0:c r="D13" s="2"/>
      <ns0:c r="E13" s="2"/>
      <ns0:c r="F13" s="2"/>
      <ns0:c r="G13" s="2"/>
      <ns0:c r="H13" s="2"/>
      <ns0:c r="I13" s="2"/>
      <ns0:c r="J13" s="2"/>
      <ns0:c r="K13" s="2"/>
      <ns0:c r="L13" s="2"/>
      <ns0:c r="M13" s="2"/>
      <ns0:c r="N13" s="2"/>
      <ns0:c r="O13" s="2"/>
      <ns0:c r="P13" s="2"/>
      <ns0:c r="U13" t="str">
        <ns0:f>IF(ROW()-6&gt;MAX('Project Tracker'!$AN$7:$AN$106),"",INDEX(Tasks[Phase],MATCH(ROW()-6,'Project Tracker'!$AN$7:$AN$106,0)))</ns0:f>
        <ns0:v>Learning &amp; closeout</ns0:v>
      </ns0:c>
      <ns0:c r="V13" t="n">
        <ns0:f>IF(U13="","",IF(SUMIFS(Tasks[Duration],Tasks[Phase],U13)=0,0,SUMIFS('Project Tracker'!$EQ$7:$EQ$106,Tasks[Phase],U13)/SUMIFS(Tasks[Duration],Tasks[Phase],U13)))</ns0:f>
        <ns0:v>0</ns0:v>
      </ns0:c>
      <ns0:c r="AA13" t="str">
        <ns0:f>IF(LARGE(Resources!$L$7:$L$106,ROW()-6)=0,"",INDEX(Resources!$A$7:$A$106,MATCH(LARGE(Resources!$L$7:$L$106,ROW()-6),Resources!$L$7:$L$106,0)))</ns0:f>
        <ns0:v>Central Enterprise Database (CDB)</ns0:v>
      </ns0:c>
      <ns0:c r="AB13" t="n">
        <ns0:f>IF(AA13="",0,INDEX(Resources!$B$7:$B$106,MATCH(AA13,Resources!$A$7:$A$106,0)))</ns0:f>
        <ns0:v>2</ns0:v>
      </ns0:c>
    </ns0:row>
    <ns0:row r="14" ht="24" customHeight="1">
      <ns0:c r="A14" s="2" t="str">
        <ns0:v>Schedule exceptions</ns0:v>
      </ns0:c>
      <ns0:c r="B14" s="2"/>
      <ns0:c r="C14" s="2" t="n">
        <ns0:f>COUNTIFS(Tasks[Task ID],"&lt;&gt;",Tasks[Schedule Health],"&lt;&gt;On track")</ns0:f>
        <ns0:v>0</ns0:v>
      </ns0:c>
      <ns0:c r="D14" s="2"/>
      <ns0:c r="E14" s="2" t="str">
        <ns0:v>Overdue activities</ns0:v>
      </ns0:c>
      <ns0:c r="F14" s="2"/>
      <ns0:c r="G14" s="2" t="n">
        <ns0:f>COUNTIFS(Tasks[Milestone],"No",Tasks[Progress %],"&lt;1",Tasks[End Date],"&lt;"&amp;AsOfDate)</ns0:f>
        <ns0:v>0</ns0:v>
      </ns0:c>
      <ns0:c r="H14" s="2"/>
      <ns0:c r="I14" s="2" t="str">
        <ns0:v>On hold</ns0:v>
      </ns0:c>
      <ns0:c r="J14" s="2"/>
      <ns0:c r="K14" s="2" t="n">
        <ns0:f>COUNTIFS(Tasks[Task ID],"&lt;&gt;",Tasks[Milestone],"No",'Project Tracker'!$Q$7:$Q$106,"On Hold")</ns0:f>
        <ns0:v>0</ns0:v>
      </ns0:c>
      <ns0:c r="L14" s="2"/>
      <ns0:c r="M14" s="2"/>
      <ns0:c r="N14" s="2"/>
      <ns0:c r="O14" s="2"/>
      <ns0:c r="P14" s="2"/>
      <ns0:c r="U14" t="str">
        <ns0:f>IF(ROW()-6&gt;MAX('Project Tracker'!$AN$7:$AN$106),"",INDEX(Tasks[Phase],MATCH(ROW()-6,'Project Tracker'!$AN$7:$AN$106,0)))</ns0:f>
      </ns0:c>
      <ns0:c r="V14" t="str">
        <ns0:f>IF(U14="","",IF(SUMIFS(Tasks[Duration],Tasks[Phase],U14)=0,0,SUMIFS('Project Tracker'!$EQ$7:$EQ$106,Tasks[Phase],U14)/SUMIFS(Tasks[Duration],Tasks[Phase],U14)))</ns0:f>
      </ns0:c>
      <ns0:c r="AA14" t="str">
        <ns0:f>IF(LARGE(Resources!$L$7:$L$106,ROW()-6)=0,"",INDEX(Resources!$A$7:$A$106,MATCH(LARGE(Resources!$L$7:$L$106,ROW()-6),Resources!$L$7:$L$106,0)))</ns0:f>
        <ns0:v>Headless CMS &amp; Web Store (CMS)</ns0:v>
      </ns0:c>
      <ns0:c r="AB14" t="n">
        <ns0:f>IF(AA14="",0,INDEX(Resources!$B$7:$B$106,MATCH(AA14,Resources!$A$7:$A$106,0)))</ns0:f>
        <ns0:v>2</ns0:v>
      </ns0:c>
    </ns0:row>
    <ns0:row r="15" ht="24" customHeight="1">
      <ns0:c r="A15" s="2"/>
      <ns0:c r="B15" s="2"/>
      <ns0:c r="C15" s="2"/>
      <ns0:c r="D15" s="2"/>
      <ns0:c r="E15" s="2"/>
      <ns0:c r="F15" s="2"/>
      <ns0:c r="G15" s="2"/>
      <ns0:c r="H15" s="2"/>
      <ns0:c r="I15" s="2"/>
      <ns0:c r="J15" s="2"/>
      <ns0:c r="K15" s="2"/>
      <ns0:c r="L15" s="2"/>
      <ns0:c r="M15" s="2"/>
      <ns0:c r="N15" s="2"/>
      <ns0:c r="O15" s="2"/>
      <ns0:c r="P15" s="2"/>
      <ns0:c r="U15" t="str">
        <ns0:f>IF(ROW()-6&gt;MAX('Project Tracker'!$AN$7:$AN$106),"",INDEX(Tasks[Phase],MATCH(ROW()-6,'Project Tracker'!$AN$7:$AN$106,0)))</ns0:f>
      </ns0:c>
      <ns0:c r="V15" t="str">
        <ns0:f>IF(U15="","",IF(SUMIFS(Tasks[Duration],Tasks[Phase],U15)=0,0,SUMIFS('Project Tracker'!$EQ$7:$EQ$106,Tasks[Phase],U15)/SUMIFS(Tasks[Duration],Tasks[Phase],U15)))</ns0:f>
      </ns0:c>
      <ns0:c r="AA15" t="str">
        <ns0:f>IF(LARGE(Resources!$L$7:$L$106,ROW()-6)=0,"",INDEX(Resources!$A$7:$A$106,MATCH(LARGE(Resources!$L$7:$L$106,ROW()-6),Resources!$L$7:$L$106,0)))</ns0:f>
        <ns0:v>Institutional Memory Store (MEM)</ns0:v>
      </ns0:c>
      <ns0:c r="AB15" t="n">
        <ns0:f>IF(AA15="",0,INDEX(Resources!$B$7:$B$106,MATCH(AA15,Resources!$A$7:$A$106,0)))</ns0:f>
        <ns0:v>2</ns0:v>
      </ns0:c>
    </ns0:row>
    <ns0:row r="16" ht="24" customHeight="1">
      <ns0:c r="A16" s="2"/>
      <ns0:c r="B16" s="2"/>
      <ns0:c r="C16" s="2"/>
      <ns0:c r="D16" s="2"/>
      <ns0:c r="E16" s="2"/>
      <ns0:c r="F16" s="2"/>
      <ns0:c r="G16" s="2"/>
      <ns0:c r="H16" s="2"/>
      <ns0:c r="I16" s="2"/>
      <ns0:c r="J16" s="2"/>
      <ns0:c r="K16" s="2"/>
      <ns0:c r="L16" s="2"/>
      <ns0:c r="M16" s="2"/>
      <ns0:c r="N16" s="2"/>
      <ns0:c r="O16" s="2"/>
      <ns0:c r="P16" s="2"/>
      <ns0:c r="U16" t="str">
        <ns0:f>IF(ROW()-6&gt;MAX('Project Tracker'!$AN$7:$AN$106),"",INDEX(Tasks[Phase],MATCH(ROW()-6,'Project Tracker'!$AN$7:$AN$106,0)))</ns0:f>
      </ns0:c>
      <ns0:c r="V16" t="str">
        <ns0:f>IF(U16="","",IF(SUMIFS(Tasks[Duration],Tasks[Phase],U16)=0,0,SUMIFS('Project Tracker'!$EQ$7:$EQ$106,Tasks[Phase],U16)/SUMIFS(Tasks[Duration],Tasks[Phase],U16)))</ns0:f>
      </ns0:c>
      <ns0:c r="AA16" t="str">
        <ns0:f>IF(LARGE(Resources!$L$7:$L$106,ROW()-6)=0,"",INDEX(Resources!$A$7:$A$106,MATCH(LARGE(Resources!$L$7:$L$106,ROW()-6),Resources!$L$7:$L$106,0)))</ns0:f>
        <ns0:v>W3C PROV Immutable Ledger</ns0:v>
      </ns0:c>
      <ns0:c r="AB16" t="n">
        <ns0:f>IF(AA16="",0,INDEX(Resources!$B$7:$B$106,MATCH(AA16,Resources!$A$7:$A$106,0)))</ns0:f>
        <ns0:v>2</ns0:v>
      </ns0:c>
    </ns0:row>
    <ns0:row r="17" ht="24" customHeight="1">
      <ns0:c r="A17" s="2"/>
      <ns0:c r="B17" s="2"/>
      <ns0:c r="C17" s="2"/>
      <ns0:c r="D17" s="2"/>
      <ns0:c r="E17" s="2"/>
      <ns0:c r="F17" s="2"/>
      <ns0:c r="G17" s="2"/>
      <ns0:c r="H17" s="2"/>
      <ns0:c r="I17" s="2"/>
      <ns0:c r="J17" s="2"/>
      <ns0:c r="K17" s="2"/>
      <ns0:c r="L17" s="2"/>
      <ns0:c r="M17" s="2"/>
      <ns0:c r="N17" s="2"/>
      <ns0:c r="O17" s="2"/>
      <ns0:c r="P17" s="2"/>
      <ns0:c r="U17" t="str">
        <ns0:f>IF(ROW()-6&gt;MAX('Project Tracker'!$AN$7:$AN$106),"",INDEX(Tasks[Phase],MATCH(ROW()-6,'Project Tracker'!$AN$7:$AN$106,0)))</ns0:f>
      </ns0:c>
      <ns0:c r="V17" t="str">
        <ns0:f>IF(U17="","",IF(SUMIFS(Tasks[Duration],Tasks[Phase],U17)=0,0,SUMIFS('Project Tracker'!$EQ$7:$EQ$106,Tasks[Phase],U17)/SUMIFS(Tasks[Duration],Tasks[Phase],U17)))</ns0:f>
      </ns0:c>
    </ns0:row>
    <ns0:row r="18" ht="24" customHeight="1">
      <ns0:c r="A18" s="2"/>
      <ns0:c r="B18" s="2"/>
      <ns0:c r="C18" s="2"/>
      <ns0:c r="D18" s="2"/>
      <ns0:c r="E18" s="2"/>
      <ns0:c r="F18" s="2"/>
      <ns0:c r="G18" s="2"/>
      <ns0:c r="H18" s="2"/>
      <ns0:c r="I18" s="2"/>
      <ns0:c r="J18" s="2"/>
      <ns0:c r="K18" s="2"/>
      <ns0:c r="L18" s="2"/>
      <ns0:c r="M18" s="2"/>
      <ns0:c r="N18" s="2"/>
      <ns0:c r="O18" s="2"/>
      <ns0:c r="P18" s="2"/>
      <ns0:c r="U18" t="str">
        <ns0:f>IF(ROW()-6&gt;MAX('Project Tracker'!$AN$7:$AN$106),"",INDEX(Tasks[Phase],MATCH(ROW()-6,'Project Tracker'!$AN$7:$AN$106,0)))</ns0:f>
      </ns0:c>
      <ns0:c r="V18" t="str">
        <ns0:f>IF(U18="","",IF(SUMIFS(Tasks[Duration],Tasks[Phase],U18)=0,0,SUMIFS('Project Tracker'!$EQ$7:$EQ$106,Tasks[Phase],U18)/SUMIFS(Tasks[Duration],Tasks[Phase],U18)))</ns0:f>
      </ns0:c>
    </ns0:row>
    <ns0:row r="19" ht="24" customHeight="1">
      <ns0:c r="A19" s="2"/>
      <ns0:c r="B19" s="2"/>
      <ns0:c r="C19" s="2"/>
      <ns0:c r="D19" s="2"/>
      <ns0:c r="E19" s="2"/>
      <ns0:c r="F19" s="2"/>
      <ns0:c r="G19" s="2"/>
      <ns0:c r="H19" s="2"/>
      <ns0:c r="I19" s="2"/>
      <ns0:c r="J19" s="2"/>
      <ns0:c r="K19" s="2"/>
      <ns0:c r="L19" s="2"/>
      <ns0:c r="M19" s="2"/>
      <ns0:c r="N19" s="2"/>
      <ns0:c r="O19" s="2"/>
      <ns0:c r="P19" s="2"/>
      <ns0:c r="U19" t="str">
        <ns0:f>IF(ROW()-6&gt;MAX('Project Tracker'!$AN$7:$AN$106),"",INDEX(Tasks[Phase],MATCH(ROW()-6,'Project Tracker'!$AN$7:$AN$106,0)))</ns0:f>
      </ns0:c>
      <ns0:c r="V19" t="str">
        <ns0:f>IF(U19="","",IF(SUMIFS(Tasks[Duration],Tasks[Phase],U19)=0,0,SUMIFS('Project Tracker'!$EQ$7:$EQ$106,Tasks[Phase],U19)/SUMIFS(Tasks[Duration],Tasks[Phase],U19)))</ns0:f>
      </ns0:c>
    </ns0:row>
    <ns0:row r="20" ht="24" customHeight="1">
      <ns0:c r="A20" s="2"/>
      <ns0:c r="B20" s="2"/>
      <ns0:c r="C20" s="2"/>
      <ns0:c r="D20" s="2"/>
      <ns0:c r="E20" s="2"/>
      <ns0:c r="F20" s="2"/>
      <ns0:c r="G20" s="2"/>
      <ns0:c r="H20" s="2"/>
      <ns0:c r="I20" s="2"/>
      <ns0:c r="J20" s="2"/>
      <ns0:c r="K20" s="2"/>
      <ns0:c r="L20" s="2"/>
      <ns0:c r="M20" s="2"/>
      <ns0:c r="N20" s="2"/>
      <ns0:c r="O20" s="2"/>
      <ns0:c r="P20" s="2"/>
      <ns0:c r="U20" t="str">
        <ns0:f>IF(ROW()-6&gt;MAX('Project Tracker'!$AN$7:$AN$106),"",INDEX(Tasks[Phase],MATCH(ROW()-6,'Project Tracker'!$AN$7:$AN$106,0)))</ns0:f>
      </ns0:c>
      <ns0:c r="V20" t="str">
        <ns0:f>IF(U20="","",IF(SUMIFS(Tasks[Duration],Tasks[Phase],U20)=0,0,SUMIFS('Project Tracker'!$EQ$7:$EQ$106,Tasks[Phase],U20)/SUMIFS(Tasks[Duration],Tasks[Phase],U20)))</ns0:f>
      </ns0:c>
    </ns0:row>
    <ns0:row r="21" ht="24" customHeight="1">
      <ns0:c r="A21" s="2"/>
      <ns0:c r="B21" s="2"/>
      <ns0:c r="C21" s="2"/>
      <ns0:c r="D21" s="2"/>
      <ns0:c r="E21" s="2"/>
      <ns0:c r="F21" s="2"/>
      <ns0:c r="G21" s="2"/>
      <ns0:c r="H21" s="2"/>
      <ns0:c r="I21" s="2"/>
      <ns0:c r="J21" s="2"/>
      <ns0:c r="K21" s="2"/>
      <ns0:c r="L21" s="2"/>
      <ns0:c r="M21" s="2"/>
      <ns0:c r="N21" s="2"/>
      <ns0:c r="O21" s="2"/>
      <ns0:c r="P21" s="2"/>
      <ns0:c r="U21" t="str">
        <ns0:f>IF(ROW()-6&gt;MAX('Project Tracker'!$AN$7:$AN$106),"",INDEX(Tasks[Phase],MATCH(ROW()-6,'Project Tracker'!$AN$7:$AN$106,0)))</ns0:f>
      </ns0:c>
      <ns0:c r="V21" t="str">
        <ns0:f>IF(U21="","",IF(SUMIFS(Tasks[Duration],Tasks[Phase],U21)=0,0,SUMIFS('Project Tracker'!$EQ$7:$EQ$106,Tasks[Phase],U21)/SUMIFS(Tasks[Duration],Tasks[Phase],U21)))</ns0:f>
      </ns0:c>
    </ns0:row>
    <ns0:row r="22" ht="24" customHeight="1">
      <ns0:c r="A22" s="2"/>
      <ns0:c r="B22" s="2"/>
      <ns0:c r="C22" s="2"/>
      <ns0:c r="D22" s="2"/>
      <ns0:c r="E22" s="2"/>
      <ns0:c r="F22" s="2"/>
      <ns0:c r="G22" s="2"/>
      <ns0:c r="H22" s="2"/>
      <ns0:c r="I22" s="2"/>
      <ns0:c r="J22" s="2"/>
      <ns0:c r="K22" s="2"/>
      <ns0:c r="L22" s="2"/>
      <ns0:c r="M22" s="2"/>
      <ns0:c r="N22" s="2"/>
      <ns0:c r="O22" s="2"/>
      <ns0:c r="P22" s="2"/>
      <ns0:c r="U22" t="str">
        <ns0:f>IF(ROW()-6&gt;MAX('Project Tracker'!$AN$7:$AN$106),"",INDEX(Tasks[Phase],MATCH(ROW()-6,'Project Tracker'!$AN$7:$AN$106,0)))</ns0:f>
      </ns0:c>
      <ns0:c r="V22" t="str">
        <ns0:f>IF(U22="","",IF(SUMIFS(Tasks[Duration],Tasks[Phase],U22)=0,0,SUMIFS('Project Tracker'!$EQ$7:$EQ$106,Tasks[Phase],U22)/SUMIFS(Tasks[Duration],Tasks[Phase],U22)))</ns0:f>
      </ns0:c>
    </ns0:row>
    <ns0:row r="23" ht="24" customHeight="1">
      <ns0:c r="A23" s="2"/>
      <ns0:c r="B23" s="2"/>
      <ns0:c r="C23" s="2"/>
      <ns0:c r="D23" s="2"/>
      <ns0:c r="E23" s="2"/>
      <ns0:c r="F23" s="2"/>
      <ns0:c r="G23" s="2"/>
      <ns0:c r="H23" s="2"/>
      <ns0:c r="I23" s="2"/>
      <ns0:c r="J23" s="2"/>
      <ns0:c r="K23" s="2"/>
      <ns0:c r="L23" s="2"/>
      <ns0:c r="M23" s="2"/>
      <ns0:c r="N23" s="2"/>
      <ns0:c r="O23" s="2"/>
      <ns0:c r="P23" s="2"/>
      <ns0:c r="U23" t="str">
        <ns0:f>IF(ROW()-6&gt;MAX('Project Tracker'!$AN$7:$AN$106),"",INDEX(Tasks[Phase],MATCH(ROW()-6,'Project Tracker'!$AN$7:$AN$106,0)))</ns0:f>
      </ns0:c>
      <ns0:c r="V23" t="str">
        <ns0:f>IF(U23="","",IF(SUMIFS(Tasks[Duration],Tasks[Phase],U23)=0,0,SUMIFS('Project Tracker'!$EQ$7:$EQ$106,Tasks[Phase],U23)/SUMIFS(Tasks[Duration],Tasks[Phase],U23)))</ns0:f>
      </ns0:c>
    </ns0:row>
    <ns0:row r="24" ht="24" customHeight="1">
      <ns0:c r="A24" s="2"/>
      <ns0:c r="B24" s="2"/>
      <ns0:c r="C24" s="2"/>
      <ns0:c r="D24" s="2"/>
      <ns0:c r="E24" s="2"/>
      <ns0:c r="F24" s="2"/>
      <ns0:c r="G24" s="2"/>
      <ns0:c r="H24" s="2"/>
      <ns0:c r="I24" s="2"/>
      <ns0:c r="J24" s="2"/>
      <ns0:c r="K24" s="2"/>
      <ns0:c r="L24" s="2"/>
      <ns0:c r="M24" s="2"/>
      <ns0:c r="N24" s="2"/>
      <ns0:c r="O24" s="2"/>
      <ns0:c r="P24" s="2"/>
      <ns0:c r="U24" t="str">
        <ns0:f>IF(ROW()-6&gt;MAX('Project Tracker'!$AN$7:$AN$106),"",INDEX(Tasks[Phase],MATCH(ROW()-6,'Project Tracker'!$AN$7:$AN$106,0)))</ns0:f>
      </ns0:c>
      <ns0:c r="V24" t="str">
        <ns0:f>IF(U24="","",IF(SUMIFS(Tasks[Duration],Tasks[Phase],U24)=0,0,SUMIFS('Project Tracker'!$EQ$7:$EQ$106,Tasks[Phase],U24)/SUMIFS(Tasks[Duration],Tasks[Phase],U24)))</ns0:f>
      </ns0:c>
    </ns0:row>
    <ns0:row r="25" ht="24" customHeight="1">
      <ns0:c r="A25" s="2"/>
      <ns0:c r="B25" s="2"/>
      <ns0:c r="C25" s="2"/>
      <ns0:c r="D25" s="2"/>
      <ns0:c r="E25" s="2"/>
      <ns0:c r="F25" s="2"/>
      <ns0:c r="G25" s="2"/>
      <ns0:c r="H25" s="2"/>
      <ns0:c r="I25" s="2"/>
      <ns0:c r="J25" s="2"/>
      <ns0:c r="K25" s="2"/>
      <ns0:c r="L25" s="2"/>
      <ns0:c r="M25" s="2"/>
      <ns0:c r="N25" s="2"/>
      <ns0:c r="O25" s="2"/>
      <ns0:c r="P25" s="2"/>
      <ns0:c r="U25" t="str">
        <ns0:f>IF(ROW()-6&gt;MAX('Project Tracker'!$AN$7:$AN$106),"",INDEX(Tasks[Phase],MATCH(ROW()-6,'Project Tracker'!$AN$7:$AN$106,0)))</ns0:f>
      </ns0:c>
      <ns0:c r="V25" t="str">
        <ns0:f>IF(U25="","",IF(SUMIFS(Tasks[Duration],Tasks[Phase],U25)=0,0,SUMIFS('Project Tracker'!$EQ$7:$EQ$106,Tasks[Phase],U25)/SUMIFS(Tasks[Duration],Tasks[Phase],U25)))</ns0:f>
      </ns0:c>
    </ns0:row>
    <ns0:row r="26" ht="24" customHeight="1">
      <ns0:c r="A26" s="2"/>
      <ns0:c r="B26" s="2"/>
      <ns0:c r="C26" s="2"/>
      <ns0:c r="D26" s="2"/>
      <ns0:c r="E26" s="2"/>
      <ns0:c r="F26" s="2"/>
      <ns0:c r="G26" s="2"/>
      <ns0:c r="H26" s="2"/>
      <ns0:c r="I26" s="2"/>
      <ns0:c r="J26" s="2"/>
      <ns0:c r="K26" s="2"/>
      <ns0:c r="L26" s="2"/>
      <ns0:c r="M26" s="2"/>
      <ns0:c r="N26" s="2"/>
      <ns0:c r="O26" s="2"/>
      <ns0:c r="P26" s="2"/>
      <ns0:c r="U26" t="str">
        <ns0:f>IF(ROW()-6&gt;MAX('Project Tracker'!$AN$7:$AN$106),"",INDEX(Tasks[Phase],MATCH(ROW()-6,'Project Tracker'!$AN$7:$AN$106,0)))</ns0:f>
      </ns0:c>
      <ns0:c r="V26" t="str">
        <ns0:f>IF(U26="","",IF(SUMIFS(Tasks[Duration],Tasks[Phase],U26)=0,0,SUMIFS('Project Tracker'!$EQ$7:$EQ$106,Tasks[Phase],U26)/SUMIFS(Tasks[Duration],Tasks[Phase],U26)))</ns0:f>
      </ns0:c>
    </ns0:row>
    <ns0:row r="27" ht="24" customHeight="1">
      <ns0:c r="A27" s="2"/>
      <ns0:c r="B27" s="2"/>
      <ns0:c r="C27" s="2"/>
      <ns0:c r="D27" s="2"/>
      <ns0:c r="E27" s="2"/>
      <ns0:c r="F27" s="2"/>
      <ns0:c r="G27" s="2"/>
      <ns0:c r="H27" s="2"/>
      <ns0:c r="I27" s="2"/>
      <ns0:c r="J27" s="2"/>
      <ns0:c r="K27" s="2"/>
      <ns0:c r="L27" s="2"/>
      <ns0:c r="M27" s="2"/>
      <ns0:c r="N27" s="2"/>
      <ns0:c r="O27" s="2"/>
      <ns0:c r="P27" s="2"/>
      <ns0:c r="U27" t="str">
        <ns0:f>IF(ROW()-6&gt;MAX('Project Tracker'!$AN$7:$AN$106),"",INDEX(Tasks[Phase],MATCH(ROW()-6,'Project Tracker'!$AN$7:$AN$106,0)))</ns0:f>
      </ns0:c>
      <ns0:c r="V27" t="str">
        <ns0:f>IF(U27="","",IF(SUMIFS(Tasks[Duration],Tasks[Phase],U27)=0,0,SUMIFS('Project Tracker'!$EQ$7:$EQ$106,Tasks[Phase],U27)/SUMIFS(Tasks[Duration],Tasks[Phase],U27)))</ns0:f>
      </ns0:c>
    </ns0:row>
    <ns0:row r="28" ht="24" customHeight="1">
      <ns0:c r="A28" s="2"/>
      <ns0:c r="B28" s="2"/>
      <ns0:c r="C28" s="2"/>
      <ns0:c r="D28" s="2"/>
      <ns0:c r="E28" s="2"/>
      <ns0:c r="F28" s="2"/>
      <ns0:c r="G28" s="2"/>
      <ns0:c r="H28" s="2"/>
      <ns0:c r="I28" s="2"/>
      <ns0:c r="J28" s="2"/>
      <ns0:c r="K28" s="2"/>
      <ns0:c r="L28" s="2"/>
      <ns0:c r="M28" s="2"/>
      <ns0:c r="N28" s="2"/>
      <ns0:c r="O28" s="2"/>
      <ns0:c r="P28" s="2"/>
      <ns0:c r="U28" t="str">
        <ns0:f>IF(ROW()-6&gt;MAX('Project Tracker'!$AN$7:$AN$106),"",INDEX(Tasks[Phase],MATCH(ROW()-6,'Project Tracker'!$AN$7:$AN$106,0)))</ns0:f>
      </ns0:c>
      <ns0:c r="V28" t="str">
        <ns0:f>IF(U28="","",IF(SUMIFS(Tasks[Duration],Tasks[Phase],U28)=0,0,SUMIFS('Project Tracker'!$EQ$7:$EQ$106,Tasks[Phase],U28)/SUMIFS(Tasks[Duration],Tasks[Phase],U28)))</ns0:f>
      </ns0:c>
    </ns0:row>
    <ns0:row r="29" ht="24" customHeight="1">
      <ns0:c r="A29" s="2"/>
      <ns0:c r="B29" s="2"/>
      <ns0:c r="C29" s="2"/>
      <ns0:c r="D29" s="2"/>
      <ns0:c r="E29" s="2"/>
      <ns0:c r="F29" s="2"/>
      <ns0:c r="G29" s="2"/>
      <ns0:c r="H29" s="2"/>
      <ns0:c r="I29" s="2"/>
      <ns0:c r="J29" s="2"/>
      <ns0:c r="K29" s="2"/>
      <ns0:c r="L29" s="2"/>
      <ns0:c r="M29" s="2"/>
      <ns0:c r="N29" s="2"/>
      <ns0:c r="O29" s="2"/>
      <ns0:c r="P29" s="2"/>
      <ns0:c r="U29" t="str">
        <ns0:f>IF(ROW()-6&gt;MAX('Project Tracker'!$AN$7:$AN$106),"",INDEX(Tasks[Phase],MATCH(ROW()-6,'Project Tracker'!$AN$7:$AN$106,0)))</ns0:f>
      </ns0:c>
      <ns0:c r="V29" t="str">
        <ns0:f>IF(U29="","",IF(SUMIFS(Tasks[Duration],Tasks[Phase],U29)=0,0,SUMIFS('Project Tracker'!$EQ$7:$EQ$106,Tasks[Phase],U29)/SUMIFS(Tasks[Duration],Tasks[Phase],U29)))</ns0:f>
      </ns0:c>
    </ns0:row>
    <ns0:row r="30" ht="24" customHeight="1">
      <ns0:c r="A30" s="2"/>
      <ns0:c r="B30" s="2"/>
      <ns0:c r="C30" s="2"/>
      <ns0:c r="D30" s="2"/>
      <ns0:c r="E30" s="2"/>
      <ns0:c r="F30" s="2"/>
      <ns0:c r="G30" s="2"/>
      <ns0:c r="H30" s="2"/>
      <ns0:c r="I30" s="2"/>
      <ns0:c r="J30" s="2"/>
      <ns0:c r="K30" s="2"/>
      <ns0:c r="L30" s="2"/>
      <ns0:c r="M30" s="2"/>
      <ns0:c r="N30" s="2"/>
      <ns0:c r="O30" s="2"/>
      <ns0:c r="P30" s="2"/>
      <ns0:c r="U30" t="str">
        <ns0:f>IF(ROW()-6&gt;MAX('Project Tracker'!$AN$7:$AN$106),"",INDEX(Tasks[Phase],MATCH(ROW()-6,'Project Tracker'!$AN$7:$AN$106,0)))</ns0:f>
      </ns0:c>
      <ns0:c r="V30" t="str">
        <ns0:f>IF(U30="","",IF(SUMIFS(Tasks[Duration],Tasks[Phase],U30)=0,0,SUMIFS('Project Tracker'!$EQ$7:$EQ$106,Tasks[Phase],U30)/SUMIFS(Tasks[Duration],Tasks[Phase],U30)))</ns0:f>
      </ns0:c>
    </ns0:row>
    <ns0:row r="31" ht="24" customHeight="1">
      <ns0:c r="A31" s="2"/>
      <ns0:c r="B31" s="2"/>
      <ns0:c r="C31" s="2"/>
      <ns0:c r="D31" s="2"/>
      <ns0:c r="E31" s="2"/>
      <ns0:c r="F31" s="2"/>
      <ns0:c r="G31" s="2"/>
      <ns0:c r="H31" s="2"/>
      <ns0:c r="I31" s="2"/>
      <ns0:c r="J31" s="2"/>
      <ns0:c r="K31" s="2"/>
      <ns0:c r="L31" s="2"/>
      <ns0:c r="M31" s="2"/>
      <ns0:c r="N31" s="2"/>
      <ns0:c r="O31" s="2"/>
      <ns0:c r="P31" s="2"/>
      <ns0:c r="U31" t="str">
        <ns0:f>IF(ROW()-6&gt;MAX('Project Tracker'!$AN$7:$AN$106),"",INDEX(Tasks[Phase],MATCH(ROW()-6,'Project Tracker'!$AN$7:$AN$106,0)))</ns0:f>
      </ns0:c>
      <ns0:c r="V31" t="str">
        <ns0:f>IF(U31="","",IF(SUMIFS(Tasks[Duration],Tasks[Phase],U31)=0,0,SUMIFS('Project Tracker'!$EQ$7:$EQ$106,Tasks[Phase],U31)/SUMIFS(Tasks[Duration],Tasks[Phase],U31)))</ns0:f>
      </ns0:c>
    </ns0:row>
    <ns0:row r="32" ht="24" customHeight="1">
      <ns0:c r="A32" s="2"/>
      <ns0:c r="B32" s="2"/>
      <ns0:c r="C32" s="2"/>
      <ns0:c r="D32" s="2"/>
      <ns0:c r="E32" s="2"/>
      <ns0:c r="F32" s="2"/>
      <ns0:c r="G32" s="2"/>
      <ns0:c r="H32" s="2"/>
      <ns0:c r="I32" s="2"/>
      <ns0:c r="J32" s="2"/>
      <ns0:c r="K32" s="2"/>
      <ns0:c r="L32" s="2"/>
      <ns0:c r="M32" s="2"/>
      <ns0:c r="N32" s="2"/>
      <ns0:c r="O32" s="2"/>
      <ns0:c r="P32" s="2"/>
      <ns0:c r="U32" t="str">
        <ns0:f>IF(ROW()-6&gt;MAX('Project Tracker'!$AN$7:$AN$106),"",INDEX(Tasks[Phase],MATCH(ROW()-6,'Project Tracker'!$AN$7:$AN$106,0)))</ns0:f>
      </ns0:c>
      <ns0:c r="V32" t="str">
        <ns0:f>IF(U32="","",IF(SUMIFS(Tasks[Duration],Tasks[Phase],U32)=0,0,SUMIFS('Project Tracker'!$EQ$7:$EQ$106,Tasks[Phase],U32)/SUMIFS(Tasks[Duration],Tasks[Phase],U32)))</ns0:f>
      </ns0:c>
    </ns0:row>
    <ns0:row r="33" ht="24" customHeight="1">
      <ns0:c r="A33" s="2"/>
      <ns0:c r="B33" s="2"/>
      <ns0:c r="C33" s="2"/>
      <ns0:c r="D33" s="2"/>
      <ns0:c r="E33" s="2"/>
      <ns0:c r="F33" s="2"/>
      <ns0:c r="G33" s="2"/>
      <ns0:c r="H33" s="2"/>
      <ns0:c r="I33" s="2"/>
      <ns0:c r="J33" s="2"/>
      <ns0:c r="K33" s="2"/>
      <ns0:c r="L33" s="2"/>
      <ns0:c r="M33" s="2"/>
      <ns0:c r="N33" s="2"/>
      <ns0:c r="O33" s="2"/>
      <ns0:c r="P33" s="2"/>
      <ns0:c r="U33" t="str">
        <ns0:f>IF(ROW()-6&gt;MAX('Project Tracker'!$AN$7:$AN$106),"",INDEX(Tasks[Phase],MATCH(ROW()-6,'Project Tracker'!$AN$7:$AN$106,0)))</ns0:f>
      </ns0:c>
      <ns0:c r="V33" t="str">
        <ns0:f>IF(U33="","",IF(SUMIFS(Tasks[Duration],Tasks[Phase],U33)=0,0,SUMIFS('Project Tracker'!$EQ$7:$EQ$106,Tasks[Phase],U33)/SUMIFS(Tasks[Duration],Tasks[Phase],U33)))</ns0:f>
      </ns0:c>
    </ns0:row>
    <ns0:row r="34" ht="24" customHeight="1">
      <ns0:c r="A34" s="2"/>
      <ns0:c r="B34" s="2"/>
      <ns0:c r="C34" s="2"/>
      <ns0:c r="D34" s="2"/>
      <ns0:c r="E34" s="2"/>
      <ns0:c r="F34" s="2"/>
      <ns0:c r="G34" s="2"/>
      <ns0:c r="H34" s="2"/>
      <ns0:c r="I34" s="2"/>
      <ns0:c r="J34" s="2"/>
      <ns0:c r="K34" s="2"/>
      <ns0:c r="L34" s="2"/>
      <ns0:c r="M34" s="2"/>
      <ns0:c r="N34" s="2"/>
      <ns0:c r="O34" s="2"/>
      <ns0:c r="P34" s="2"/>
      <ns0:c r="U34" t="str">
        <ns0:f>IF(ROW()-6&gt;MAX('Project Tracker'!$AN$7:$AN$106),"",INDEX(Tasks[Phase],MATCH(ROW()-6,'Project Tracker'!$AN$7:$AN$106,0)))</ns0:f>
      </ns0:c>
      <ns0:c r="V34" t="str">
        <ns0:f>IF(U34="","",IF(SUMIFS(Tasks[Duration],Tasks[Phase],U34)=0,0,SUMIFS('Project Tracker'!$EQ$7:$EQ$106,Tasks[Phase],U34)/SUMIFS(Tasks[Duration],Tasks[Phase],U34)))</ns0:f>
      </ns0:c>
    </ns0:row>
    <ns0:row r="35" ht="24" customHeight="1">
      <ns0:c r="A35" s="2"/>
      <ns0:c r="B35" s="2"/>
      <ns0:c r="C35" s="2"/>
      <ns0:c r="D35" s="2"/>
      <ns0:c r="E35" s="2"/>
      <ns0:c r="F35" s="2"/>
      <ns0:c r="G35" s="2"/>
      <ns0:c r="H35" s="2"/>
      <ns0:c r="I35" s="2"/>
      <ns0:c r="J35" s="2"/>
      <ns0:c r="K35" s="2"/>
      <ns0:c r="L35" s="2"/>
      <ns0:c r="M35" s="2"/>
      <ns0:c r="N35" s="2"/>
      <ns0:c r="O35" s="2"/>
      <ns0:c r="P35" s="2"/>
      <ns0:c r="U35" t="str">
        <ns0:f>IF(ROW()-6&gt;MAX('Project Tracker'!$AN$7:$AN$106),"",INDEX(Tasks[Phase],MATCH(ROW()-6,'Project Tracker'!$AN$7:$AN$106,0)))</ns0:f>
      </ns0:c>
      <ns0:c r="V35" t="str">
        <ns0:f>IF(U35="","",IF(SUMIFS(Tasks[Duration],Tasks[Phase],U35)=0,0,SUMIFS('Project Tracker'!$EQ$7:$EQ$106,Tasks[Phase],U35)/SUMIFS(Tasks[Duration],Tasks[Phase],U35)))</ns0:f>
      </ns0:c>
    </ns0:row>
    <ns0:row r="36" ht="24" customHeight="1">
      <ns0:c r="A36" s="2"/>
      <ns0:c r="B36" s="2"/>
      <ns0:c r="C36" s="2"/>
      <ns0:c r="D36" s="2"/>
      <ns0:c r="E36" s="2"/>
      <ns0:c r="F36" s="2"/>
      <ns0:c r="G36" s="2"/>
      <ns0:c r="H36" s="2"/>
      <ns0:c r="I36" s="2"/>
      <ns0:c r="J36" s="2"/>
      <ns0:c r="K36" s="2"/>
      <ns0:c r="L36" s="2"/>
      <ns0:c r="M36" s="2"/>
      <ns0:c r="N36" s="2"/>
      <ns0:c r="O36" s="2"/>
      <ns0:c r="P36" s="2"/>
      <ns0:c r="U36" t="str">
        <ns0:f>IF(ROW()-6&gt;MAX('Project Tracker'!$AN$7:$AN$106),"",INDEX(Tasks[Phase],MATCH(ROW()-6,'Project Tracker'!$AN$7:$AN$106,0)))</ns0:f>
      </ns0:c>
      <ns0:c r="V36" t="str">
        <ns0:f>IF(U36="","",IF(SUMIFS(Tasks[Duration],Tasks[Phase],U36)=0,0,SUMIFS('Project Tracker'!$EQ$7:$EQ$106,Tasks[Phase],U36)/SUMIFS(Tasks[Duration],Tasks[Phase],U36)))</ns0:f>
      </ns0:c>
    </ns0:row>
    <ns0:row r="37" ht="24" customHeight="1">
      <ns0:c r="A37" s="2"/>
      <ns0:c r="B37" s="2"/>
      <ns0:c r="C37" s="2"/>
      <ns0:c r="D37" s="2"/>
      <ns0:c r="E37" s="2"/>
      <ns0:c r="F37" s="2"/>
      <ns0:c r="G37" s="2"/>
      <ns0:c r="H37" s="2"/>
      <ns0:c r="I37" s="2"/>
      <ns0:c r="J37" s="2"/>
      <ns0:c r="K37" s="2"/>
      <ns0:c r="L37" s="2"/>
      <ns0:c r="M37" s="2"/>
      <ns0:c r="N37" s="2"/>
      <ns0:c r="O37" s="2"/>
      <ns0:c r="P37" s="2"/>
      <ns0:c r="U37" t="str">
        <ns0:f>IF(ROW()-6&gt;MAX('Project Tracker'!$AN$7:$AN$106),"",INDEX(Tasks[Phase],MATCH(ROW()-6,'Project Tracker'!$AN$7:$AN$106,0)))</ns0:f>
      </ns0:c>
      <ns0:c r="V37" t="str">
        <ns0:f>IF(U37="","",IF(SUMIFS(Tasks[Duration],Tasks[Phase],U37)=0,0,SUMIFS('Project Tracker'!$EQ$7:$EQ$106,Tasks[Phase],U37)/SUMIFS(Tasks[Duration],Tasks[Phase],U37)))</ns0:f>
      </ns0:c>
    </ns0:row>
    <ns0:row r="38" ht="24" customHeight="1">
      <ns0:c r="A38" s="2"/>
      <ns0:c r="B38" s="2"/>
      <ns0:c r="C38" s="2"/>
      <ns0:c r="D38" s="2"/>
      <ns0:c r="E38" s="2"/>
      <ns0:c r="F38" s="2"/>
      <ns0:c r="G38" s="2"/>
      <ns0:c r="H38" s="2"/>
      <ns0:c r="I38" s="2"/>
      <ns0:c r="J38" s="2"/>
      <ns0:c r="K38" s="2"/>
      <ns0:c r="L38" s="2"/>
      <ns0:c r="M38" s="2"/>
      <ns0:c r="N38" s="2"/>
      <ns0:c r="O38" s="2"/>
      <ns0:c r="P38" s="2"/>
      <ns0:c r="U38" t="str">
        <ns0:f>IF(ROW()-6&gt;MAX('Project Tracker'!$AN$7:$AN$106),"",INDEX(Tasks[Phase],MATCH(ROW()-6,'Project Tracker'!$AN$7:$AN$106,0)))</ns0:f>
      </ns0:c>
      <ns0:c r="V38" t="str">
        <ns0:f>IF(U38="","",IF(SUMIFS(Tasks[Duration],Tasks[Phase],U38)=0,0,SUMIFS('Project Tracker'!$EQ$7:$EQ$106,Tasks[Phase],U38)/SUMIFS(Tasks[Duration],Tasks[Phase],U38)))</ns0:f>
      </ns0:c>
    </ns0:row>
    <ns0:row r="39" ht="24" customHeight="1">
      <ns0:c r="A39" s="2"/>
      <ns0:c r="B39" s="2"/>
      <ns0:c r="C39" s="2"/>
      <ns0:c r="D39" s="2"/>
      <ns0:c r="E39" s="2"/>
      <ns0:c r="F39" s="2"/>
      <ns0:c r="G39" s="2"/>
      <ns0:c r="H39" s="2"/>
      <ns0:c r="I39" s="2"/>
      <ns0:c r="J39" s="2"/>
      <ns0:c r="K39" s="2"/>
      <ns0:c r="L39" s="2"/>
      <ns0:c r="M39" s="2"/>
      <ns0:c r="N39" s="2"/>
      <ns0:c r="O39" s="2"/>
      <ns0:c r="P39" s="2"/>
      <ns0:c r="U39" t="str">
        <ns0:f>IF(ROW()-6&gt;MAX('Project Tracker'!$AN$7:$AN$106),"",INDEX(Tasks[Phase],MATCH(ROW()-6,'Project Tracker'!$AN$7:$AN$106,0)))</ns0:f>
      </ns0:c>
      <ns0:c r="V39" t="str">
        <ns0:f>IF(U39="","",IF(SUMIFS(Tasks[Duration],Tasks[Phase],U39)=0,0,SUMIFS('Project Tracker'!$EQ$7:$EQ$106,Tasks[Phase],U39)/SUMIFS(Tasks[Duration],Tasks[Phase],U39)))</ns0:f>
      </ns0:c>
    </ns0:row>
    <ns0:row r="40" ht="24" customHeight="1">
      <ns0:c r="A40" s="2"/>
      <ns0:c r="B40" s="2"/>
      <ns0:c r="C40" s="2"/>
      <ns0:c r="D40" s="2"/>
      <ns0:c r="E40" s="2"/>
      <ns0:c r="F40" s="2"/>
      <ns0:c r="G40" s="2"/>
      <ns0:c r="H40" s="2"/>
      <ns0:c r="I40" s="2"/>
      <ns0:c r="J40" s="2"/>
      <ns0:c r="K40" s="2"/>
      <ns0:c r="L40" s="2"/>
      <ns0:c r="M40" s="2"/>
      <ns0:c r="N40" s="2"/>
      <ns0:c r="O40" s="2"/>
      <ns0:c r="P40" s="2"/>
      <ns0:c r="U40" t="str">
        <ns0:f>IF(ROW()-6&gt;MAX('Project Tracker'!$AN$7:$AN$106),"",INDEX(Tasks[Phase],MATCH(ROW()-6,'Project Tracker'!$AN$7:$AN$106,0)))</ns0:f>
      </ns0:c>
      <ns0:c r="V40" t="str">
        <ns0:f>IF(U40="","",IF(SUMIFS(Tasks[Duration],Tasks[Phase],U40)=0,0,SUMIFS('Project Tracker'!$EQ$7:$EQ$106,Tasks[Phase],U40)/SUMIFS(Tasks[Duration],Tasks[Phase],U40)))</ns0:f>
      </ns0:c>
    </ns0:row>
    <ns0:row r="41" ht="24" customHeight="1">
      <ns0:c r="A41" s="2"/>
      <ns0:c r="B41" s="2"/>
      <ns0:c r="C41" s="2"/>
      <ns0:c r="D41" s="2"/>
      <ns0:c r="E41" s="2"/>
      <ns0:c r="F41" s="2"/>
      <ns0:c r="G41" s="2"/>
      <ns0:c r="H41" s="2"/>
      <ns0:c r="I41" s="2"/>
      <ns0:c r="J41" s="2"/>
      <ns0:c r="K41" s="2"/>
      <ns0:c r="L41" s="2"/>
      <ns0:c r="M41" s="2"/>
      <ns0:c r="N41" s="2"/>
      <ns0:c r="O41" s="2"/>
      <ns0:c r="P41" s="2"/>
      <ns0:c r="U41" t="str">
        <ns0:f>IF(ROW()-6&gt;MAX('Project Tracker'!$AN$7:$AN$106),"",INDEX(Tasks[Phase],MATCH(ROW()-6,'Project Tracker'!$AN$7:$AN$106,0)))</ns0:f>
      </ns0:c>
      <ns0:c r="V41" t="str">
        <ns0:f>IF(U41="","",IF(SUMIFS(Tasks[Duration],Tasks[Phase],U41)=0,0,SUMIFS('Project Tracker'!$EQ$7:$EQ$106,Tasks[Phase],U41)/SUMIFS(Tasks[Duration],Tasks[Phase],U41)))</ns0:f>
      </ns0:c>
    </ns0:row>
    <ns0:row r="42" ht="24" customHeight="1">
      <ns0:c r="A42" s="2"/>
      <ns0:c r="B42" s="2"/>
      <ns0:c r="C42" s="2"/>
      <ns0:c r="D42" s="2"/>
      <ns0:c r="E42" s="2"/>
      <ns0:c r="F42" s="2"/>
      <ns0:c r="G42" s="2"/>
      <ns0:c r="H42" s="2"/>
      <ns0:c r="I42" s="2"/>
      <ns0:c r="J42" s="2"/>
      <ns0:c r="K42" s="2"/>
      <ns0:c r="L42" s="2"/>
      <ns0:c r="M42" s="2"/>
      <ns0:c r="N42" s="2"/>
      <ns0:c r="O42" s="2"/>
      <ns0:c r="P42" s="2"/>
      <ns0:c r="U42" t="str">
        <ns0:f>IF(ROW()-6&gt;MAX('Project Tracker'!$AN$7:$AN$106),"",INDEX(Tasks[Phase],MATCH(ROW()-6,'Project Tracker'!$AN$7:$AN$106,0)))</ns0:f>
      </ns0:c>
      <ns0:c r="V42" t="str">
        <ns0:f>IF(U42="","",IF(SUMIFS(Tasks[Duration],Tasks[Phase],U42)=0,0,SUMIFS('Project Tracker'!$EQ$7:$EQ$106,Tasks[Phase],U42)/SUMIFS(Tasks[Duration],Tasks[Phase],U42)))</ns0:f>
      </ns0:c>
    </ns0:row>
    <ns0:row r="43" ht="24" customHeight="1">
      <ns0:c r="A43" s="2"/>
      <ns0:c r="B43" s="2"/>
      <ns0:c r="C43" s="2"/>
      <ns0:c r="D43" s="2"/>
      <ns0:c r="E43" s="2"/>
      <ns0:c r="F43" s="2"/>
      <ns0:c r="G43" s="2"/>
      <ns0:c r="H43" s="2"/>
      <ns0:c r="I43" s="2"/>
      <ns0:c r="J43" s="2"/>
      <ns0:c r="K43" s="2"/>
      <ns0:c r="L43" s="2"/>
      <ns0:c r="M43" s="2"/>
      <ns0:c r="N43" s="2"/>
      <ns0:c r="O43" s="2"/>
      <ns0:c r="P43" s="2"/>
      <ns0:c r="U43" t="str">
        <ns0:f>IF(ROW()-6&gt;MAX('Project Tracker'!$AN$7:$AN$106),"",INDEX(Tasks[Phase],MATCH(ROW()-6,'Project Tracker'!$AN$7:$AN$106,0)))</ns0:f>
      </ns0:c>
      <ns0:c r="V43" t="str">
        <ns0:f>IF(U43="","",IF(SUMIFS(Tasks[Duration],Tasks[Phase],U43)=0,0,SUMIFS('Project Tracker'!$EQ$7:$EQ$106,Tasks[Phase],U43)/SUMIFS(Tasks[Duration],Tasks[Phase],U43)))</ns0:f>
      </ns0:c>
    </ns0:row>
    <ns0:row r="44" ht="24" customHeight="1">
      <ns0:c r="A44" s="2"/>
      <ns0:c r="B44" s="2"/>
      <ns0:c r="C44" s="2"/>
      <ns0:c r="D44" s="2"/>
      <ns0:c r="E44" s="2"/>
      <ns0:c r="F44" s="2"/>
      <ns0:c r="G44" s="2"/>
      <ns0:c r="H44" s="2"/>
      <ns0:c r="I44" s="2"/>
      <ns0:c r="J44" s="2"/>
      <ns0:c r="K44" s="2"/>
      <ns0:c r="L44" s="2"/>
      <ns0:c r="M44" s="2"/>
      <ns0:c r="N44" s="2"/>
      <ns0:c r="O44" s="2"/>
      <ns0:c r="P44" s="2"/>
      <ns0:c r="U44" t="str">
        <ns0:f>IF(ROW()-6&gt;MAX('Project Tracker'!$AN$7:$AN$106),"",INDEX(Tasks[Phase],MATCH(ROW()-6,'Project Tracker'!$AN$7:$AN$106,0)))</ns0:f>
      </ns0:c>
      <ns0:c r="V44" t="str">
        <ns0:f>IF(U44="","",IF(SUMIFS(Tasks[Duration],Tasks[Phase],U44)=0,0,SUMIFS('Project Tracker'!$EQ$7:$EQ$106,Tasks[Phase],U44)/SUMIFS(Tasks[Duration],Tasks[Phase],U44)))</ns0:f>
      </ns0:c>
    </ns0:row>
    <ns0:row r="45" ht="24" customHeight="1">
      <ns0:c r="A45" s="2"/>
      <ns0:c r="B45" s="2"/>
      <ns0:c r="C45" s="2"/>
      <ns0:c r="D45" s="2"/>
      <ns0:c r="E45" s="2"/>
      <ns0:c r="F45" s="2"/>
      <ns0:c r="G45" s="2"/>
      <ns0:c r="H45" s="2"/>
      <ns0:c r="I45" s="2"/>
      <ns0:c r="J45" s="2"/>
      <ns0:c r="K45" s="2"/>
      <ns0:c r="L45" s="2"/>
      <ns0:c r="M45" s="2"/>
      <ns0:c r="N45" s="2"/>
      <ns0:c r="O45" s="2"/>
      <ns0:c r="P45" s="2"/>
      <ns0:c r="U45" t="str">
        <ns0:f>IF(ROW()-6&gt;MAX('Project Tracker'!$AN$7:$AN$106),"",INDEX(Tasks[Phase],MATCH(ROW()-6,'Project Tracker'!$AN$7:$AN$106,0)))</ns0:f>
      </ns0:c>
      <ns0:c r="V45" t="str">
        <ns0:f>IF(U45="","",IF(SUMIFS(Tasks[Duration],Tasks[Phase],U45)=0,0,SUMIFS('Project Tracker'!$EQ$7:$EQ$106,Tasks[Phase],U45)/SUMIFS(Tasks[Duration],Tasks[Phase],U45)))</ns0:f>
      </ns0:c>
    </ns0:row>
    <ns0:row r="46" ht="24" customHeight="1">
      <ns0:c r="A46" s="2"/>
      <ns0:c r="B46" s="2"/>
      <ns0:c r="C46" s="2"/>
      <ns0:c r="D46" s="2"/>
      <ns0:c r="E46" s="2"/>
      <ns0:c r="F46" s="2"/>
      <ns0:c r="G46" s="2"/>
      <ns0:c r="H46" s="2"/>
      <ns0:c r="I46" s="2"/>
      <ns0:c r="J46" s="2"/>
      <ns0:c r="K46" s="2"/>
      <ns0:c r="L46" s="2"/>
      <ns0:c r="M46" s="2"/>
      <ns0:c r="N46" s="2"/>
      <ns0:c r="O46" s="2"/>
      <ns0:c r="P46" s="2"/>
      <ns0:c r="U46" t="str">
        <ns0:f>IF(ROW()-6&gt;MAX('Project Tracker'!$AN$7:$AN$106),"",INDEX(Tasks[Phase],MATCH(ROW()-6,'Project Tracker'!$AN$7:$AN$106,0)))</ns0:f>
      </ns0:c>
      <ns0:c r="V46" t="str">
        <ns0:f>IF(U46="","",IF(SUMIFS(Tasks[Duration],Tasks[Phase],U46)=0,0,SUMIFS('Project Tracker'!$EQ$7:$EQ$106,Tasks[Phase],U46)/SUMIFS(Tasks[Duration],Tasks[Phase],U46)))</ns0:f>
      </ns0:c>
    </ns0:row>
    <ns0:row r="47" ht="24" customHeight="1">
      <ns0:c r="A47" s="2"/>
      <ns0:c r="B47" s="2"/>
      <ns0:c r="C47" s="2"/>
      <ns0:c r="D47" s="2"/>
      <ns0:c r="E47" s="2"/>
      <ns0:c r="F47" s="2"/>
      <ns0:c r="G47" s="2"/>
      <ns0:c r="H47" s="2"/>
      <ns0:c r="I47" s="2"/>
      <ns0:c r="J47" s="2"/>
      <ns0:c r="K47" s="2"/>
      <ns0:c r="L47" s="2"/>
      <ns0:c r="M47" s="2"/>
      <ns0:c r="N47" s="2"/>
      <ns0:c r="O47" s="2"/>
      <ns0:c r="P47" s="2"/>
      <ns0:c r="U47" t="str">
        <ns0:f>IF(ROW()-6&gt;MAX('Project Tracker'!$AN$7:$AN$106),"",INDEX(Tasks[Phase],MATCH(ROW()-6,'Project Tracker'!$AN$7:$AN$106,0)))</ns0:f>
      </ns0:c>
      <ns0:c r="V47" t="str">
        <ns0:f>IF(U47="","",IF(SUMIFS(Tasks[Duration],Tasks[Phase],U47)=0,0,SUMIFS('Project Tracker'!$EQ$7:$EQ$106,Tasks[Phase],U47)/SUMIFS(Tasks[Duration],Tasks[Phase],U47)))</ns0:f>
      </ns0:c>
    </ns0:row>
    <ns0:row r="48" ht="24" customHeight="1">
      <ns0:c r="A48" s="2"/>
      <ns0:c r="B48" s="2"/>
      <ns0:c r="C48" s="2"/>
      <ns0:c r="D48" s="2"/>
      <ns0:c r="E48" s="2"/>
      <ns0:c r="F48" s="2"/>
      <ns0:c r="G48" s="2"/>
      <ns0:c r="H48" s="2"/>
      <ns0:c r="I48" s="2"/>
      <ns0:c r="J48" s="2"/>
      <ns0:c r="K48" s="2"/>
      <ns0:c r="L48" s="2"/>
      <ns0:c r="M48" s="2"/>
      <ns0:c r="N48" s="2"/>
      <ns0:c r="O48" s="2"/>
      <ns0:c r="P48" s="2"/>
      <ns0:c r="U48" t="str">
        <ns0:f>IF(ROW()-6&gt;MAX('Project Tracker'!$AN$7:$AN$106),"",INDEX(Tasks[Phase],MATCH(ROW()-6,'Project Tracker'!$AN$7:$AN$106,0)))</ns0:f>
      </ns0:c>
      <ns0:c r="V48" t="str">
        <ns0:f>IF(U48="","",IF(SUMIFS(Tasks[Duration],Tasks[Phase],U48)=0,0,SUMIFS('Project Tracker'!$EQ$7:$EQ$106,Tasks[Phase],U48)/SUMIFS(Tasks[Duration],Tasks[Phase],U48)))</ns0:f>
      </ns0:c>
    </ns0:row>
    <ns0:row r="49" ht="24" customHeight="1">
      <ns0:c r="A49" s="2"/>
      <ns0:c r="B49" s="2"/>
      <ns0:c r="C49" s="2"/>
      <ns0:c r="D49" s="2"/>
      <ns0:c r="E49" s="2"/>
      <ns0:c r="F49" s="2"/>
      <ns0:c r="G49" s="2"/>
      <ns0:c r="H49" s="2"/>
      <ns0:c r="I49" s="2"/>
      <ns0:c r="J49" s="2"/>
      <ns0:c r="K49" s="2"/>
      <ns0:c r="L49" s="2"/>
      <ns0:c r="M49" s="2"/>
      <ns0:c r="N49" s="2"/>
      <ns0:c r="O49" s="2"/>
      <ns0:c r="P49" s="2"/>
      <ns0:c r="U49" t="str">
        <ns0:f>IF(ROW()-6&gt;MAX('Project Tracker'!$AN$7:$AN$106),"",INDEX(Tasks[Phase],MATCH(ROW()-6,'Project Tracker'!$AN$7:$AN$106,0)))</ns0:f>
      </ns0:c>
      <ns0:c r="V49" t="str">
        <ns0:f>IF(U49="","",IF(SUMIFS(Tasks[Duration],Tasks[Phase],U49)=0,0,SUMIFS('Project Tracker'!$EQ$7:$EQ$106,Tasks[Phase],U49)/SUMIFS(Tasks[Duration],Tasks[Phase],U49)))</ns0:f>
      </ns0:c>
    </ns0:row>
    <ns0:row r="50" ht="24" customHeight="1">
      <ns0:c r="A50" s="2"/>
      <ns0:c r="B50" s="2"/>
      <ns0:c r="C50" s="2"/>
      <ns0:c r="D50" s="2"/>
      <ns0:c r="E50" s="2"/>
      <ns0:c r="F50" s="2"/>
      <ns0:c r="G50" s="2"/>
      <ns0:c r="H50" s="2"/>
      <ns0:c r="I50" s="2"/>
      <ns0:c r="J50" s="2"/>
      <ns0:c r="K50" s="2"/>
      <ns0:c r="L50" s="2"/>
      <ns0:c r="M50" s="2"/>
      <ns0:c r="N50" s="2"/>
      <ns0:c r="O50" s="2"/>
      <ns0:c r="P50" s="2"/>
      <ns0:c r="U50" t="str">
        <ns0:f>IF(ROW()-6&gt;MAX('Project Tracker'!$AN$7:$AN$106),"",INDEX(Tasks[Phase],MATCH(ROW()-6,'Project Tracker'!$AN$7:$AN$106,0)))</ns0:f>
      </ns0:c>
      <ns0:c r="V50" t="str">
        <ns0:f>IF(U50="","",IF(SUMIFS(Tasks[Duration],Tasks[Phase],U50)=0,0,SUMIFS('Project Tracker'!$EQ$7:$EQ$106,Tasks[Phase],U50)/SUMIFS(Tasks[Duration],Tasks[Phase],U50)))</ns0:f>
      </ns0:c>
    </ns0:row>
    <ns0:row r="51" ht="24" customHeight="1">
      <ns0:c r="A51" s="2"/>
      <ns0:c r="B51" s="2"/>
      <ns0:c r="C51" s="2"/>
      <ns0:c r="D51" s="2"/>
      <ns0:c r="E51" s="2"/>
      <ns0:c r="F51" s="2"/>
      <ns0:c r="G51" s="2"/>
      <ns0:c r="H51" s="2"/>
      <ns0:c r="I51" s="2"/>
      <ns0:c r="J51" s="2"/>
      <ns0:c r="K51" s="2"/>
      <ns0:c r="L51" s="2"/>
      <ns0:c r="M51" s="2"/>
      <ns0:c r="N51" s="2"/>
      <ns0:c r="O51" s="2"/>
      <ns0:c r="P51" s="2"/>
      <ns0:c r="U51" t="str">
        <ns0:f>IF(ROW()-6&gt;MAX('Project Tracker'!$AN$7:$AN$106),"",INDEX(Tasks[Phase],MATCH(ROW()-6,'Project Tracker'!$AN$7:$AN$106,0)))</ns0:f>
      </ns0:c>
      <ns0:c r="V51" t="str">
        <ns0:f>IF(U51="","",IF(SUMIFS(Tasks[Duration],Tasks[Phase],U51)=0,0,SUMIFS('Project Tracker'!$EQ$7:$EQ$106,Tasks[Phase],U51)/SUMIFS(Tasks[Duration],Tasks[Phase],U51)))</ns0:f>
      </ns0:c>
    </ns0:row>
    <ns0:row r="52" ht="24" customHeight="1">
      <ns0:c r="A52" s="2"/>
      <ns0:c r="B52" s="2"/>
      <ns0:c r="C52" s="2"/>
      <ns0:c r="D52" s="2"/>
      <ns0:c r="E52" s="2"/>
      <ns0:c r="F52" s="2"/>
      <ns0:c r="G52" s="2"/>
      <ns0:c r="H52" s="2"/>
      <ns0:c r="I52" s="2"/>
      <ns0:c r="J52" s="2"/>
      <ns0:c r="K52" s="2"/>
      <ns0:c r="L52" s="2"/>
      <ns0:c r="M52" s="2"/>
      <ns0:c r="N52" s="2"/>
      <ns0:c r="O52" s="2"/>
      <ns0:c r="P52" s="2"/>
      <ns0:c r="U52" t="str">
        <ns0:f>IF(ROW()-6&gt;MAX('Project Tracker'!$AN$7:$AN$106),"",INDEX(Tasks[Phase],MATCH(ROW()-6,'Project Tracker'!$AN$7:$AN$106,0)))</ns0:f>
      </ns0:c>
      <ns0:c r="V52" t="str">
        <ns0:f>IF(U52="","",IF(SUMIFS(Tasks[Duration],Tasks[Phase],U52)=0,0,SUMIFS('Project Tracker'!$EQ$7:$EQ$106,Tasks[Phase],U52)/SUMIFS(Tasks[Duration],Tasks[Phase],U52)))</ns0:f>
      </ns0:c>
    </ns0:row>
    <ns0:row r="53" ht="24" customHeight="1">
      <ns0:c r="A53" s="2"/>
      <ns0:c r="B53" s="2"/>
      <ns0:c r="C53" s="2"/>
      <ns0:c r="D53" s="2"/>
      <ns0:c r="E53" s="2"/>
      <ns0:c r="F53" s="2"/>
      <ns0:c r="G53" s="2"/>
      <ns0:c r="H53" s="2"/>
      <ns0:c r="I53" s="2"/>
      <ns0:c r="J53" s="2"/>
      <ns0:c r="K53" s="2"/>
      <ns0:c r="L53" s="2"/>
      <ns0:c r="M53" s="2"/>
      <ns0:c r="N53" s="2"/>
      <ns0:c r="O53" s="2"/>
      <ns0:c r="P53" s="2"/>
      <ns0:c r="U53" t="str">
        <ns0:f>IF(ROW()-6&gt;MAX('Project Tracker'!$AN$7:$AN$106),"",INDEX(Tasks[Phase],MATCH(ROW()-6,'Project Tracker'!$AN$7:$AN$106,0)))</ns0:f>
      </ns0:c>
      <ns0:c r="V53" t="str">
        <ns0:f>IF(U53="","",IF(SUMIFS(Tasks[Duration],Tasks[Phase],U53)=0,0,SUMIFS('Project Tracker'!$EQ$7:$EQ$106,Tasks[Phase],U53)/SUMIFS(Tasks[Duration],Tasks[Phase],U53)))</ns0:f>
      </ns0:c>
    </ns0:row>
    <ns0:row r="54" ht="24" customHeight="1">
      <ns0:c r="A54" s="28" t="str">
        <ns0:v>Next upcoming activities</ns0:v>
      </ns0:c>
      <ns0:c r="B54" s="2"/>
      <ns0:c r="C54" s="2"/>
      <ns0:c r="D54" s="2"/>
      <ns0:c r="E54" s="2"/>
      <ns0:c r="F54" s="2"/>
      <ns0:c r="G54" s="2"/>
      <ns0:c r="H54" s="2"/>
      <ns0:c r="I54" s="2"/>
      <ns0:c r="J54" s="2"/>
      <ns0:c r="K54" s="2"/>
      <ns0:c r="L54" s="2"/>
      <ns0:c r="M54" s="2"/>
      <ns0:c r="N54" s="2"/>
      <ns0:c r="O54" s="2"/>
      <ns0:c r="P54" s="2"/>
      <ns0:c r="U54" t="str">
        <ns0:f>IF(ROW()-6&gt;MAX('Project Tracker'!$AN$7:$AN$106),"",INDEX(Tasks[Phase],MATCH(ROW()-6,'Project Tracker'!$AN$7:$AN$106,0)))</ns0:f>
      </ns0:c>
      <ns0:c r="V54" t="str">
        <ns0:f>IF(U54="","",IF(SUMIFS(Tasks[Duration],Tasks[Phase],U54)=0,0,SUMIFS('Project Tracker'!$EQ$7:$EQ$106,Tasks[Phase],U54)/SUMIFS(Tasks[Duration],Tasks[Phase],U54)))</ns0:f>
      </ns0:c>
    </ns0:row>
    <ns0:row r="55" ht="34" customHeight="1">
      <ns0:c r="A55" s="7" t="str">
        <ns0:v>Task ID</ns0:v>
      </ns0:c>
      <ns0:c r="B55" s="7" t="str">
        <ns0:v>Task / Activity</ns0:v>
      </ns0:c>
      <ns0:c r="C55" s="7"/>
      <ns0:c r="D55" s="7"/>
      <ns0:c r="E55" s="7"/>
      <ns0:c r="F55" s="7"/>
      <ns0:c r="G55" s="7" t="str">
        <ns0:v>Start</ns0:v>
      </ns0:c>
      <ns0:c r="H55" s="7"/>
      <ns0:c r="I55" s="7" t="str">
        <ns0:v>End</ns0:v>
      </ns0:c>
      <ns0:c r="J55" s="7"/>
      <ns0:c r="K55" s="7" t="str">
        <ns0:v>Status</ns0:v>
      </ns0:c>
      <ns0:c r="L55" s="7"/>
      <ns0:c r="M55" s="7" t="str">
        <ns0:v>Schedule Health</ns0:v>
      </ns0:c>
      <ns0:c r="N55" s="7"/>
      <ns0:c r="O55" s="7"/>
      <ns0:c r="P55" s="7"/>
      <ns0:c r="U55" t="str">
        <ns0:f>IF(ROW()-6&gt;MAX('Project Tracker'!$AN$7:$AN$106),"",INDEX(Tasks[Phase],MATCH(ROW()-6,'Project Tracker'!$AN$7:$AN$106,0)))</ns0:f>
      </ns0:c>
      <ns0:c r="V55" t="str">
        <ns0:f>IF(U55="","",IF(SUMIFS(Tasks[Duration],Tasks[Phase],U55)=0,0,SUMIFS('Project Tracker'!$EQ$7:$EQ$106,Tasks[Phase],U55)/SUMIFS(Tasks[Duration],Tasks[Phase],U55)))</ns0:f>
      </ns0:c>
    </ns0:row>
    <ns0:row r="56" ht="42" customHeight="1">
      <ns0:c r="A56" s="13" t="str">
        <ns0:f>IF($AD56=0,"",INDEX(Tasks[Task ID],$AD56))</ns0:f>
        <ns0:v>T01</ns0:v>
      </ns0:c>
      <ns0:c r="B56" s="13" t="str">
        <ns0:f>IF($AD56=0,"",INDEX(Tasks[Task Name],$AD56))</ns0:f>
        <ns0:v>Define enterprise objectives, tenant scopes, and budget boundaries</ns0:v>
      </ns0:c>
      <ns0:c r="C56" s="31"/>
      <ns0:c r="D56" s="31"/>
      <ns0:c r="E56" s="13"/>
      <ns0:c r="F56" s="13"/>
      <ns0:c r="G56" s="31" t="n">
        <ns0:f>IF($AD56=0,"",INDEX(Tasks[Start Date],$AD56))</ns0:f>
        <ns0:v>46276</ns0:v>
      </ns0:c>
      <ns0:c r="H56" s="31"/>
      <ns0:c r="I56" s="31" t="n">
        <ns0:f>IF($AD56=0,"",INDEX(Tasks[End Date],$AD56))</ns0:f>
        <ns0:v>46276</ns0:v>
      </ns0:c>
      <ns0:c r="J56" s="31"/>
      <ns0:c r="K56" s="13" t="str">
        <ns0:f>IF($AD56=0,"",INDEX('Project Tracker'!$Q$7:$Q$106,$AD56))</ns0:f>
        <ns0:v>Not Started</ns0:v>
      </ns0:c>
      <ns0:c r="L56" s="13"/>
      <ns0:c r="M56" s="13" t="str">
        <ns0:f>IF($AD56=0,"",INDEX(Tasks[Schedule Health],$AD56))</ns0:f>
        <ns0:v>On track</ns0:v>
      </ns0:c>
      <ns0:c r="N56" s="13"/>
      <ns0:c r="O56" s="13"/>
      <ns0:c r="P56" s="13"/>
      <ns0:c r="U56" t="str">
        <ns0:f>IF(ROW()-6&gt;MAX('Project Tracker'!$AN$7:$AN$106),"",INDEX(Tasks[Phase],MATCH(ROW()-6,'Project Tracker'!$AN$7:$AN$106,0)))</ns0:f>
      </ns0:c>
      <ns0:c r="V56" t="str">
        <ns0:f>IF(U56="","",IF(SUMIFS(Tasks[Duration],Tasks[Phase],U56)=0,0,SUMIFS('Project Tracker'!$EQ$7:$EQ$106,Tasks[Phase],U56)/SUMIFS(Tasks[Duration],Tasks[Phase],U56)))</ns0:f>
      </ns0:c>
      <ns0:c r="AD56" t="n">
        <ns0:f>IF(SMALL('Project Tracker'!$AO$7:$AO$106,1)&gt;=1E+9,0,MATCH(SMALL('Project Tracker'!$AO$7:$AO$106,1),'Project Tracker'!$AO$7:$AO$106,0))</ns0:f>
        <ns0:v>1</ns0:v>
      </ns0:c>
    </ns0:row>
    <ns0:row r="57" ht="42" customHeight="1">
      <ns0:c r="A57" s="8" t="str">
        <ns0:f>IF($AD57=0,"",INDEX(Tasks[Task ID],$AD57))</ns0:f>
        <ns0:v>T02</ns0:v>
      </ns0:c>
      <ns0:c r="B57" s="8" t="str">
        <ns0:f>IF($AD57=0,"",INDEX(Tasks[Task Name],$AD57))</ns0:f>
        <ns0:v>Configure machine-readable policy rules, autonomy tiers, and claim limits</ns0:v>
      </ns0:c>
      <ns0:c r="C57" s="18"/>
      <ns0:c r="D57" s="18"/>
      <ns0:c r="E57" s="8"/>
      <ns0:c r="F57" s="8"/>
      <ns0:c r="G57" s="18" t="n">
        <ns0:f>IF($AD57=0,"",INDEX(Tasks[Start Date],$AD57))</ns0:f>
        <ns0:v>46276</ns0:v>
      </ns0:c>
      <ns0:c r="H57" s="18"/>
      <ns0:c r="I57" s="18" t="n">
        <ns0:f>IF($AD57=0,"",INDEX(Tasks[End Date],$AD57))</ns0:f>
        <ns0:v>46276</ns0:v>
      </ns0:c>
      <ns0:c r="J57" s="18"/>
      <ns0:c r="K57" s="8" t="str">
        <ns0:f>IF($AD57=0,"",INDEX('Project Tracker'!$Q$7:$Q$106,$AD57))</ns0:f>
        <ns0:v>Not Started</ns0:v>
      </ns0:c>
      <ns0:c r="L57" s="8"/>
      <ns0:c r="M57" s="8" t="str">
        <ns0:f>IF($AD57=0,"",INDEX(Tasks[Schedule Health],$AD57))</ns0:f>
        <ns0:v>On track</ns0:v>
      </ns0:c>
      <ns0:c r="N57" s="8"/>
      <ns0:c r="O57" s="8"/>
      <ns0:c r="P57" s="8"/>
      <ns0:c r="U57" t="str">
        <ns0:f>IF(ROW()-6&gt;MAX('Project Tracker'!$AN$7:$AN$106),"",INDEX(Tasks[Phase],MATCH(ROW()-6,'Project Tracker'!$AN$7:$AN$106,0)))</ns0:f>
      </ns0:c>
      <ns0:c r="V57" t="str">
        <ns0:f>IF(U57="","",IF(SUMIFS(Tasks[Duration],Tasks[Phase],U57)=0,0,SUMIFS('Project Tracker'!$EQ$7:$EQ$106,Tasks[Phase],U57)/SUMIFS(Tasks[Duration],Tasks[Phase],U57)))</ns0:f>
      </ns0:c>
      <ns0:c r="AD57" t="n">
        <ns0:f>IF(SMALL('Project Tracker'!$AO$7:$AO$106,2)&gt;=1E+9,0,MATCH(SMALL('Project Tracker'!$AO$7:$AO$106,2),'Project Tracker'!$AO$7:$AO$106,0))</ns0:f>
        <ns0:v>2</ns0:v>
      </ns0:c>
    </ns0:row>
    <ns0:row r="58" ht="42" customHeight="1">
      <ns0:c r="A58" s="13" t="str">
        <ns0:f>IF($AD58=0,"",INDEX(Tasks[Task ID],$AD58))</ns0:f>
        <ns0:v>T03</ns0:v>
      </ns0:c>
      <ns0:c r="B58" s="13" t="str">
        <ns0:f>IF($AD58=0,"",INDEX(Tasks[Task Name],$AD58))</ns0:f>
        <ns0:v>Establish Policy &amp; Authorization Boundary (PAB) evaluation rules</ns0:v>
      </ns0:c>
      <ns0:c r="C58" s="31"/>
      <ns0:c r="D58" s="31"/>
      <ns0:c r="E58" s="13"/>
      <ns0:c r="F58" s="13"/>
      <ns0:c r="G58" s="31" t="n">
        <ns0:f>IF($AD58=0,"",INDEX(Tasks[Start Date],$AD58))</ns0:f>
        <ns0:v>46277</ns0:v>
      </ns0:c>
      <ns0:c r="H58" s="31"/>
      <ns0:c r="I58" s="31" t="n">
        <ns0:f>IF($AD58=0,"",INDEX(Tasks[End Date],$AD58))</ns0:f>
        <ns0:v>46278</ns0:v>
      </ns0:c>
      <ns0:c r="J58" s="31"/>
      <ns0:c r="K58" s="13" t="str">
        <ns0:f>IF($AD58=0,"",INDEX('Project Tracker'!$Q$7:$Q$106,$AD58))</ns0:f>
        <ns0:v>Not Started</ns0:v>
      </ns0:c>
      <ns0:c r="L58" s="13"/>
      <ns0:c r="M58" s="13" t="str">
        <ns0:f>IF($AD58=0,"",INDEX(Tasks[Schedule Health],$AD58))</ns0:f>
        <ns0:v>On track</ns0:v>
      </ns0:c>
      <ns0:c r="N58" s="13"/>
      <ns0:c r="O58" s="13"/>
      <ns0:c r="P58" s="13"/>
      <ns0:c r="U58" t="str">
        <ns0:f>IF(ROW()-6&gt;MAX('Project Tracker'!$AN$7:$AN$106),"",INDEX(Tasks[Phase],MATCH(ROW()-6,'Project Tracker'!$AN$7:$AN$106,0)))</ns0:f>
      </ns0:c>
      <ns0:c r="V58" t="str">
        <ns0:f>IF(U58="","",IF(SUMIFS(Tasks[Duration],Tasks[Phase],U58)=0,0,SUMIFS('Project Tracker'!$EQ$7:$EQ$106,Tasks[Phase],U58)/SUMIFS(Tasks[Duration],Tasks[Phase],U58)))</ns0:f>
      </ns0:c>
      <ns0:c r="AD58" t="n">
        <ns0:f>IF(SMALL('Project Tracker'!$AO$7:$AO$106,3)&gt;=1E+9,0,MATCH(SMALL('Project Tracker'!$AO$7:$AO$106,3),'Project Tracker'!$AO$7:$AO$106,0))</ns0:f>
        <ns0:v>3</ns0:v>
      </ns0:c>
    </ns0:row>
    <ns0:row r="59" ht="42" customHeight="1">
      <ns0:c r="A59" s="8" t="str">
        <ns0:f>IF($AD59=0,"",INDEX(Tasks[Task ID],$AD59))</ns0:f>
        <ns0:v>T04</ns0:v>
      </ns0:c>
      <ns0:c r="B59" s="8" t="str">
        <ns0:f>IF($AD59=0,"",INDEX(Tasks[Task Name],$AD59))</ns0:f>
        <ns0:v>Initialize Canonical Task State Machine (CTS) and DAG execution schema</ns0:v>
      </ns0:c>
      <ns0:c r="C59" s="18"/>
      <ns0:c r="D59" s="18"/>
      <ns0:c r="E59" s="8"/>
      <ns0:c r="F59" s="8"/>
      <ns0:c r="G59" s="18" t="n">
        <ns0:f>IF($AD59=0,"",INDEX(Tasks[Start Date],$AD59))</ns0:f>
        <ns0:v>46277</ns0:v>
      </ns0:c>
      <ns0:c r="H59" s="18"/>
      <ns0:c r="I59" s="18" t="n">
        <ns0:f>IF($AD59=0,"",INDEX(Tasks[End Date],$AD59))</ns0:f>
        <ns0:v>46278</ns0:v>
      </ns0:c>
      <ns0:c r="J59" s="18"/>
      <ns0:c r="K59" s="8" t="str">
        <ns0:f>IF($AD59=0,"",INDEX('Project Tracker'!$Q$7:$Q$106,$AD59))</ns0:f>
        <ns0:v>Not Started</ns0:v>
      </ns0:c>
      <ns0:c r="L59" s="8"/>
      <ns0:c r="M59" s="8" t="str">
        <ns0:f>IF($AD59=0,"",INDEX(Tasks[Schedule Health],$AD59))</ns0:f>
        <ns0:v>On track</ns0:v>
      </ns0:c>
      <ns0:c r="N59" s="8"/>
      <ns0:c r="O59" s="8"/>
      <ns0:c r="P59" s="8"/>
      <ns0:c r="U59" t="str">
        <ns0:f>IF(ROW()-6&gt;MAX('Project Tracker'!$AN$7:$AN$106),"",INDEX(Tasks[Phase],MATCH(ROW()-6,'Project Tracker'!$AN$7:$AN$106,0)))</ns0:f>
      </ns0:c>
      <ns0:c r="V59" t="str">
        <ns0:f>IF(U59="","",IF(SUMIFS(Tasks[Duration],Tasks[Phase],U59)=0,0,SUMIFS('Project Tracker'!$EQ$7:$EQ$106,Tasks[Phase],U59)/SUMIFS(Tasks[Duration],Tasks[Phase],U59)))</ns0:f>
      </ns0:c>
      <ns0:c r="AD59" t="n">
        <ns0:f>IF(SMALL('Project Tracker'!$AO$7:$AO$106,4)&gt;=1E+9,0,MATCH(SMALL('Project Tracker'!$AO$7:$AO$106,4),'Project Tracker'!$AO$7:$AO$106,0))</ns0:f>
        <ns0:v>4</ns0:v>
      </ns0:c>
    </ns0:row>
    <ns0:row r="60" ht="42" customHeight="1">
      <ns0:c r="A60" s="13" t="str">
        <ns0:f>IF($AD60=0,"",INDEX(Tasks[Task ID],$AD60))</ns0:f>
        <ns0:v>T05</ns0:v>
      </ns0:c>
      <ns0:c r="B60" s="13" t="str">
        <ns0:f>IF($AD60=0,"",INDEX(Tasks[Task Name],$AD60))</ns0:f>
        <ns0:v>Provision Central Enterprise Database (CDB) relational tables &amp; vector stores</ns0:v>
      </ns0:c>
      <ns0:c r="C60" s="31"/>
      <ns0:c r="D60" s="31"/>
      <ns0:c r="E60" s="13"/>
      <ns0:c r="F60" s="13"/>
      <ns0:c r="G60" s="31" t="n">
        <ns0:f>IF($AD60=0,"",INDEX(Tasks[Start Date],$AD60))</ns0:f>
        <ns0:v>46279</ns0:v>
      </ns0:c>
      <ns0:c r="H60" s="31"/>
      <ns0:c r="I60" s="31" t="n">
        <ns0:f>IF($AD60=0,"",INDEX(Tasks[End Date],$AD60))</ns0:f>
        <ns0:v>46280</ns0:v>
      </ns0:c>
      <ns0:c r="J60" s="31"/>
      <ns0:c r="K60" s="13" t="str">
        <ns0:f>IF($AD60=0,"",INDEX('Project Tracker'!$Q$7:$Q$106,$AD60))</ns0:f>
        <ns0:v>Not Started</ns0:v>
      </ns0:c>
      <ns0:c r="L60" s="13"/>
      <ns0:c r="M60" s="13" t="str">
        <ns0:f>IF($AD60=0,"",INDEX(Tasks[Schedule Health],$AD60))</ns0:f>
        <ns0:v>On track</ns0:v>
      </ns0:c>
      <ns0:c r="N60" s="13"/>
      <ns0:c r="O60" s="13"/>
      <ns0:c r="P60" s="13"/>
      <ns0:c r="U60" t="str">
        <ns0:f>IF(ROW()-6&gt;MAX('Project Tracker'!$AN$7:$AN$106),"",INDEX(Tasks[Phase],MATCH(ROW()-6,'Project Tracker'!$AN$7:$AN$106,0)))</ns0:f>
      </ns0:c>
      <ns0:c r="V60" t="str">
        <ns0:f>IF(U60="","",IF(SUMIFS(Tasks[Duration],Tasks[Phase],U60)=0,0,SUMIFS('Project Tracker'!$EQ$7:$EQ$106,Tasks[Phase],U60)/SUMIFS(Tasks[Duration],Tasks[Phase],U60)))</ns0:f>
      </ns0:c>
      <ns0:c r="AD60" t="n">
        <ns0:f>IF(SMALL('Project Tracker'!$AO$7:$AO$106,5)&gt;=1E+9,0,MATCH(SMALL('Project Tracker'!$AO$7:$AO$106,5),'Project Tracker'!$AO$7:$AO$106,0))</ns0:f>
        <ns0:v>6</ns0:v>
      </ns0:c>
    </ns0:row>
    <ns0:row r="61" ht="24" customHeight="1">
      <ns0:c r="A61" s="2"/>
      <ns0:c r="B61" s="2"/>
      <ns0:c r="C61" s="2"/>
      <ns0:c r="D61" s="2"/>
      <ns0:c r="E61" s="2"/>
      <ns0:c r="F61" s="2"/>
      <ns0:c r="G61" s="2"/>
      <ns0:c r="H61" s="2"/>
      <ns0:c r="I61" s="2"/>
      <ns0:c r="J61" s="2"/>
      <ns0:c r="K61" s="2"/>
      <ns0:c r="L61" s="2"/>
      <ns0:c r="M61" s="2"/>
      <ns0:c r="N61" s="2"/>
      <ns0:c r="O61" s="2"/>
      <ns0:c r="P61" s="2"/>
      <ns0:c r="U61" t="str">
        <ns0:f>IF(ROW()-6&gt;MAX('Project Tracker'!$AN$7:$AN$106),"",INDEX(Tasks[Phase],MATCH(ROW()-6,'Project Tracker'!$AN$7:$AN$106,0)))</ns0:f>
      </ns0:c>
      <ns0:c r="V61" t="str">
        <ns0:f>IF(U61="","",IF(SUMIFS(Tasks[Duration],Tasks[Phase],U61)=0,0,SUMIFS('Project Tracker'!$EQ$7:$EQ$106,Tasks[Phase],U61)/SUMIFS(Tasks[Duration],Tasks[Phase],U61)))</ns0:f>
      </ns0:c>
    </ns0:row>
    <ns0:row r="62" ht="24" customHeight="1">
      <ns0:c r="A62" s="2"/>
      <ns0:c r="B62" s="2"/>
      <ns0:c r="C62" s="2"/>
      <ns0:c r="D62" s="2"/>
      <ns0:c r="E62" s="2"/>
      <ns0:c r="F62" s="2"/>
      <ns0:c r="G62" s="2"/>
      <ns0:c r="H62" s="2"/>
      <ns0:c r="I62" s="2"/>
      <ns0:c r="J62" s="2"/>
      <ns0:c r="K62" s="2"/>
      <ns0:c r="L62" s="2"/>
      <ns0:c r="M62" s="2"/>
      <ns0:c r="N62" s="2"/>
      <ns0:c r="O62" s="2"/>
      <ns0:c r="P62" s="2"/>
      <ns0:c r="U62" t="str">
        <ns0:f>IF(ROW()-6&gt;MAX('Project Tracker'!$AN$7:$AN$106),"",INDEX(Tasks[Phase],MATCH(ROW()-6,'Project Tracker'!$AN$7:$AN$106,0)))</ns0:f>
      </ns0:c>
      <ns0:c r="V62" t="str">
        <ns0:f>IF(U62="","",IF(SUMIFS(Tasks[Duration],Tasks[Phase],U62)=0,0,SUMIFS('Project Tracker'!$EQ$7:$EQ$106,Tasks[Phase],U62)/SUMIFS(Tasks[Duration],Tasks[Phase],U62)))</ns0:f>
      </ns0:c>
    </ns0:row>
    <ns0:row r="63" ht="24" customHeight="1">
      <ns0:c r="A63" s="2"/>
      <ns0:c r="B63" s="2"/>
      <ns0:c r="C63" s="2"/>
      <ns0:c r="D63" s="2"/>
      <ns0:c r="E63" s="2"/>
      <ns0:c r="F63" s="2"/>
      <ns0:c r="G63" s="2"/>
      <ns0:c r="H63" s="2"/>
      <ns0:c r="I63" s="2"/>
      <ns0:c r="J63" s="2"/>
      <ns0:c r="K63" s="2"/>
      <ns0:c r="L63" s="2"/>
      <ns0:c r="M63" s="2"/>
      <ns0:c r="N63" s="2"/>
      <ns0:c r="O63" s="2"/>
      <ns0:c r="P63" s="2"/>
      <ns0:c r="U63" t="str">
        <ns0:f>IF(ROW()-6&gt;MAX('Project Tracker'!$AN$7:$AN$106),"",INDEX(Tasks[Phase],MATCH(ROW()-6,'Project Tracker'!$AN$7:$AN$106,0)))</ns0:f>
      </ns0:c>
      <ns0:c r="V63" t="str">
        <ns0:f>IF(U63="","",IF(SUMIFS(Tasks[Duration],Tasks[Phase],U63)=0,0,SUMIFS('Project Tracker'!$EQ$7:$EQ$106,Tasks[Phase],U63)/SUMIFS(Tasks[Duration],Tasks[Phase],U63)))</ns0:f>
      </ns0:c>
    </ns0:row>
    <ns0:row r="64" ht="24" customHeight="1">
      <ns0:c r="A64" s="28" t="str">
        <ns0:v>Upcoming milestones</ns0:v>
      </ns0:c>
      <ns0:c r="B64" s="2"/>
      <ns0:c r="C64" s="2"/>
      <ns0:c r="D64" s="2"/>
      <ns0:c r="E64" s="2"/>
      <ns0:c r="F64" s="2"/>
      <ns0:c r="G64" s="2"/>
      <ns0:c r="H64" s="2"/>
      <ns0:c r="I64" s="2"/>
      <ns0:c r="J64" s="2"/>
      <ns0:c r="K64" s="2"/>
      <ns0:c r="L64" s="2"/>
      <ns0:c r="M64" s="2"/>
      <ns0:c r="N64" s="2"/>
      <ns0:c r="O64" s="2"/>
      <ns0:c r="P64" s="2"/>
      <ns0:c r="U64" t="str">
        <ns0:f>IF(ROW()-6&gt;MAX('Project Tracker'!$AN$7:$AN$106),"",INDEX(Tasks[Phase],MATCH(ROW()-6,'Project Tracker'!$AN$7:$AN$106,0)))</ns0:f>
      </ns0:c>
      <ns0:c r="V64" t="str">
        <ns0:f>IF(U64="","",IF(SUMIFS(Tasks[Duration],Tasks[Phase],U64)=0,0,SUMIFS('Project Tracker'!$EQ$7:$EQ$106,Tasks[Phase],U64)/SUMIFS(Tasks[Duration],Tasks[Phase],U64)))</ns0:f>
      </ns0:c>
    </ns0:row>
    <ns0:row r="65" ht="34" customHeight="1">
      <ns0:c r="A65" s="7" t="str">
        <ns0:v>Task ID</ns0:v>
      </ns0:c>
      <ns0:c r="B65" s="7" t="str">
        <ns0:v>Task / Activity</ns0:v>
      </ns0:c>
      <ns0:c r="C65" s="7"/>
      <ns0:c r="D65" s="7"/>
      <ns0:c r="E65" s="7"/>
      <ns0:c r="F65" s="7"/>
      <ns0:c r="G65" s="7" t="str">
        <ns0:v>Start</ns0:v>
      </ns0:c>
      <ns0:c r="H65" s="7"/>
      <ns0:c r="I65" s="7" t="str">
        <ns0:v>End</ns0:v>
      </ns0:c>
      <ns0:c r="J65" s="7"/>
      <ns0:c r="K65" s="7" t="str">
        <ns0:v>Status</ns0:v>
      </ns0:c>
      <ns0:c r="L65" s="7"/>
      <ns0:c r="M65" s="7" t="str">
        <ns0:v>Schedule Health</ns0:v>
      </ns0:c>
      <ns0:c r="N65" s="7"/>
      <ns0:c r="O65" s="7"/>
      <ns0:c r="P65" s="7"/>
      <ns0:c r="U65" t="str">
        <ns0:f>IF(ROW()-6&gt;MAX('Project Tracker'!$AN$7:$AN$106),"",INDEX(Tasks[Phase],MATCH(ROW()-6,'Project Tracker'!$AN$7:$AN$106,0)))</ns0:f>
      </ns0:c>
      <ns0:c r="V65" t="str">
        <ns0:f>IF(U65="","",IF(SUMIFS(Tasks[Duration],Tasks[Phase],U65)=0,0,SUMIFS('Project Tracker'!$EQ$7:$EQ$106,Tasks[Phase],U65)/SUMIFS(Tasks[Duration],Tasks[Phase],U65)))</ns0:f>
      </ns0:c>
    </ns0:row>
    <ns0:row r="66" ht="42" customHeight="1">
      <ns0:c r="A66" s="13" t="str">
        <ns0:f>IF($AD66=0,"",INDEX(Tasks[Task ID],$AD66))</ns0:f>
        <ns0:v>M1</ns0:v>
      </ns0:c>
      <ns0:c r="B66" s="13" t="str">
        <ns0:f>IF($AD66=0,"",INDEX(Tasks[Task Name],$AD66))</ns0:f>
        <ns0:v>Governance, Policy &amp; Canonical State Initialization</ns0:v>
      </ns0:c>
      <ns0:c r="C66" s="31"/>
      <ns0:c r="D66" s="31"/>
      <ns0:c r="E66" s="13"/>
      <ns0:c r="F66" s="13"/>
      <ns0:c r="G66" s="31" t="n">
        <ns0:f>IF($AD66=0,"",INDEX(Tasks[Start Date],$AD66))</ns0:f>
        <ns0:v>46279</ns0:v>
      </ns0:c>
      <ns0:c r="H66" s="31"/>
      <ns0:c r="I66" s="31" t="n">
        <ns0:f>IF($AD66=0,"",INDEX(Tasks[End Date],$AD66))</ns0:f>
        <ns0:v>46279</ns0:v>
      </ns0:c>
      <ns0:c r="J66" s="31"/>
      <ns0:c r="K66" s="13" t="str">
        <ns0:f>IF($AD66=0,"",INDEX('Project Tracker'!$Q$7:$Q$106,$AD66))</ns0:f>
        <ns0:v>Not Started</ns0:v>
      </ns0:c>
      <ns0:c r="L66" s="13"/>
      <ns0:c r="M66" s="13" t="str">
        <ns0:f>IF($AD66=0,"",INDEX(Tasks[Schedule Health],$AD66))</ns0:f>
        <ns0:v>On track</ns0:v>
      </ns0:c>
      <ns0:c r="N66" s="13"/>
      <ns0:c r="O66" s="13"/>
      <ns0:c r="P66" s="13"/>
      <ns0:c r="U66" t="str">
        <ns0:f>IF(ROW()-6&gt;MAX('Project Tracker'!$AN$7:$AN$106),"",INDEX(Tasks[Phase],MATCH(ROW()-6,'Project Tracker'!$AN$7:$AN$106,0)))</ns0:f>
      </ns0:c>
      <ns0:c r="V66" t="str">
        <ns0:f>IF(U66="","",IF(SUMIFS(Tasks[Duration],Tasks[Phase],U66)=0,0,SUMIFS('Project Tracker'!$EQ$7:$EQ$106,Tasks[Phase],U66)/SUMIFS(Tasks[Duration],Tasks[Phase],U66)))</ns0:f>
      </ns0:c>
      <ns0:c r="AD66" t="n">
        <ns0:f>IF(SMALL('Project Tracker'!$AP$7:$AP$106,1)&gt;=1E+9,0,MATCH(SMALL('Project Tracker'!$AP$7:$AP$106,1),'Project Tracker'!$AP$7:$AP$106,0))</ns0:f>
        <ns0:v>5</ns0:v>
      </ns0:c>
    </ns0:row>
    <ns0:row r="67" ht="42" customHeight="1">
      <ns0:c r="A67" s="8" t="str">
        <ns0:f>IF($AD67=0,"",INDEX(Tasks[Task ID],$AD67))</ns0:f>
        <ns0:v>M2</ns0:v>
      </ns0:c>
      <ns0:c r="B67" s="8" t="str">
        <ns0:f>IF($AD67=0,"",INDEX(Tasks[Task Name],$AD67))</ns0:f>
        <ns0:v>Governed Data Plane &amp; Central Storage Integration (Model A)</ns0:v>
      </ns0:c>
      <ns0:c r="C67" s="18"/>
      <ns0:c r="D67" s="18"/>
      <ns0:c r="E67" s="8"/>
      <ns0:c r="F67" s="8"/>
      <ns0:c r="G67" s="18" t="n">
        <ns0:f>IF($AD67=0,"",INDEX(Tasks[Start Date],$AD67))</ns0:f>
        <ns0:v>46284</ns0:v>
      </ns0:c>
      <ns0:c r="H67" s="18"/>
      <ns0:c r="I67" s="18" t="n">
        <ns0:f>IF($AD67=0,"",INDEX(Tasks[End Date],$AD67))</ns0:f>
        <ns0:v>46284</ns0:v>
      </ns0:c>
      <ns0:c r="J67" s="18"/>
      <ns0:c r="K67" s="8" t="str">
        <ns0:f>IF($AD67=0,"",INDEX('Project Tracker'!$Q$7:$Q$106,$AD67))</ns0:f>
        <ns0:v>Not Started</ns0:v>
      </ns0:c>
      <ns0:c r="L67" s="8"/>
      <ns0:c r="M67" s="8" t="str">
        <ns0:f>IF($AD67=0,"",INDEX(Tasks[Schedule Health],$AD67))</ns0:f>
        <ns0:v>On track</ns0:v>
      </ns0:c>
      <ns0:c r="N67" s="8"/>
      <ns0:c r="O67" s="8"/>
      <ns0:c r="P67" s="8"/>
      <ns0:c r="U67" t="str">
        <ns0:f>IF(ROW()-6&gt;MAX('Project Tracker'!$AN$7:$AN$106),"",INDEX(Tasks[Phase],MATCH(ROW()-6,'Project Tracker'!$AN$7:$AN$106,0)))</ns0:f>
      </ns0:c>
      <ns0:c r="V67" t="str">
        <ns0:f>IF(U67="","",IF(SUMIFS(Tasks[Duration],Tasks[Phase],U67)=0,0,SUMIFS('Project Tracker'!$EQ$7:$EQ$106,Tasks[Phase],U67)/SUMIFS(Tasks[Duration],Tasks[Phase],U67)))</ns0:f>
      </ns0:c>
      <ns0:c r="AD67" t="n">
        <ns0:f>IF(SMALL('Project Tracker'!$AP$7:$AP$106,2)&gt;=1E+9,0,MATCH(SMALL('Project Tracker'!$AP$7:$AP$106,2),'Project Tracker'!$AP$7:$AP$106,0))</ns0:f>
        <ns0:v>12</ns0:v>
      </ns0:c>
    </ns0:row>
    <ns0:row r="68" ht="42" customHeight="1">
      <ns0:c r="A68" s="13" t="str">
        <ns0:f>IF($AD68=0,"",INDEX(Tasks[Task ID],$AD68))</ns0:f>
        <ns0:v>M3</ns0:v>
      </ns0:c>
      <ns0:c r="B68" s="13" t="str">
        <ns0:f>IF($AD68=0,"",INDEX(Tasks[Task Name],$AD68))</ns0:f>
        <ns0:v>Sandbox Isolation &amp; Specialist Sub-Agent Readiness</ns0:v>
      </ns0:c>
      <ns0:c r="C68" s="31"/>
      <ns0:c r="D68" s="31"/>
      <ns0:c r="E68" s="13"/>
      <ns0:c r="F68" s="13"/>
      <ns0:c r="G68" s="31" t="n">
        <ns0:f>IF($AD68=0,"",INDEX(Tasks[Start Date],$AD68))</ns0:f>
        <ns0:v>46288</ns0:v>
      </ns0:c>
      <ns0:c r="H68" s="31"/>
      <ns0:c r="I68" s="31" t="n">
        <ns0:f>IF($AD68=0,"",INDEX(Tasks[End Date],$AD68))</ns0:f>
        <ns0:v>46288</ns0:v>
      </ns0:c>
      <ns0:c r="J68" s="31"/>
      <ns0:c r="K68" s="13" t="str">
        <ns0:f>IF($AD68=0,"",INDEX('Project Tracker'!$Q$7:$Q$106,$AD68))</ns0:f>
        <ns0:v>Not Started</ns0:v>
      </ns0:c>
      <ns0:c r="L68" s="13"/>
      <ns0:c r="M68" s="13" t="str">
        <ns0:f>IF($AD68=0,"",INDEX(Tasks[Schedule Health],$AD68))</ns0:f>
        <ns0:v>On track</ns0:v>
      </ns0:c>
      <ns0:c r="N68" s="13"/>
      <ns0:c r="O68" s="13"/>
      <ns0:c r="P68" s="13"/>
      <ns0:c r="U68" t="str">
        <ns0:f>IF(ROW()-6&gt;MAX('Project Tracker'!$AN$7:$AN$106),"",INDEX(Tasks[Phase],MATCH(ROW()-6,'Project Tracker'!$AN$7:$AN$106,0)))</ns0:f>
      </ns0:c>
      <ns0:c r="V68" t="str">
        <ns0:f>IF(U68="","",IF(SUMIFS(Tasks[Duration],Tasks[Phase],U68)=0,0,SUMIFS('Project Tracker'!$EQ$7:$EQ$106,Tasks[Phase],U68)/SUMIFS(Tasks[Duration],Tasks[Phase],U68)))</ns0:f>
      </ns0:c>
      <ns0:c r="AD68" t="n">
        <ns0:f>IF(SMALL('Project Tracker'!$AP$7:$AP$106,3)&gt;=1E+9,0,MATCH(SMALL('Project Tracker'!$AP$7:$AP$106,3),'Project Tracker'!$AP$7:$AP$106,0))</ns0:f>
        <ns0:v>17</ns0:v>
      </ns0:c>
    </ns0:row>
    <ns0:row r="69" ht="42" customHeight="1">
      <ns0:c r="A69" s="8" t="str">
        <ns0:f>IF($AD69=0,"",INDEX(Tasks[Task ID],$AD69))</ns0:f>
        <ns0:v>M4</ns0:v>
      </ns0:c>
      <ns0:c r="B69" s="8" t="str">
        <ns0:f>IF($AD69=0,"",INDEX(Tasks[Task Name],$AD69))</ns0:f>
        <ns0:v>Domain Intelligence Ingestion &amp; Asset Synthesis Complete</ns0:v>
      </ns0:c>
      <ns0:c r="C69" s="18"/>
      <ns0:c r="D69" s="18"/>
      <ns0:c r="E69" s="8"/>
      <ns0:c r="F69" s="8"/>
      <ns0:c r="G69" s="18" t="n">
        <ns0:f>IF($AD69=0,"",INDEX(Tasks[Start Date],$AD69))</ns0:f>
        <ns0:v>46297</ns0:v>
      </ns0:c>
      <ns0:c r="H69" s="18"/>
      <ns0:c r="I69" s="18" t="n">
        <ns0:f>IF($AD69=0,"",INDEX(Tasks[End Date],$AD69))</ns0:f>
        <ns0:v>46297</ns0:v>
      </ns0:c>
      <ns0:c r="J69" s="18"/>
      <ns0:c r="K69" s="8" t="str">
        <ns0:f>IF($AD69=0,"",INDEX('Project Tracker'!$Q$7:$Q$106,$AD69))</ns0:f>
        <ns0:v>Not Started</ns0:v>
      </ns0:c>
      <ns0:c r="L69" s="8"/>
      <ns0:c r="M69" s="8" t="str">
        <ns0:f>IF($AD69=0,"",INDEX(Tasks[Schedule Health],$AD69))</ns0:f>
        <ns0:v>On track</ns0:v>
      </ns0:c>
      <ns0:c r="N69" s="8"/>
      <ns0:c r="O69" s="8"/>
      <ns0:c r="P69" s="8"/>
      <ns0:c r="U69" t="str">
        <ns0:f>IF(ROW()-6&gt;MAX('Project Tracker'!$AN$7:$AN$106),"",INDEX(Tasks[Phase],MATCH(ROW()-6,'Project Tracker'!$AN$7:$AN$106,0)))</ns0:f>
      </ns0:c>
      <ns0:c r="V69" t="str">
        <ns0:f>IF(U69="","",IF(SUMIFS(Tasks[Duration],Tasks[Phase],U69)=0,0,SUMIFS('Project Tracker'!$EQ$7:$EQ$106,Tasks[Phase],U69)/SUMIFS(Tasks[Duration],Tasks[Phase],U69)))</ns0:f>
      </ns0:c>
      <ns0:c r="AD69" t="n">
        <ns0:f>IF(SMALL('Project Tracker'!$AP$7:$AP$106,4)&gt;=1E+9,0,MATCH(SMALL('Project Tracker'!$AP$7:$AP$106,4),'Project Tracker'!$AP$7:$AP$106,0))</ns0:f>
        <ns0:v>25</ns0:v>
      </ns0:c>
    </ns0:row>
    <ns0:row r="70" ht="42" customHeight="1">
      <ns0:c r="A70" s="13" t="str">
        <ns0:f>IF($AD70=0,"",INDEX(Tasks[Task ID],$AD70))</ns0:f>
        <ns0:v>M5</ns0:v>
      </ns0:c>
      <ns0:c r="B70" s="13" t="str">
        <ns0:f>IF($AD70=0,"",INDEX(Tasks[Task Name],$AD70))</ns0:f>
        <ns0:v>HITL Gateway Clearance &amp; Cryptographic Authorization</ns0:v>
      </ns0:c>
      <ns0:c r="C70" s="31"/>
      <ns0:c r="D70" s="31"/>
      <ns0:c r="E70" s="13"/>
      <ns0:c r="F70" s="13"/>
      <ns0:c r="G70" s="31" t="n">
        <ns0:f>IF($AD70=0,"",INDEX(Tasks[Start Date],$AD70))</ns0:f>
        <ns0:v>46301</ns0:v>
      </ns0:c>
      <ns0:c r="H70" s="31"/>
      <ns0:c r="I70" s="31" t="n">
        <ns0:f>IF($AD70=0,"",INDEX(Tasks[End Date],$AD70))</ns0:f>
        <ns0:v>46301</ns0:v>
      </ns0:c>
      <ns0:c r="J70" s="31"/>
      <ns0:c r="K70" s="13" t="str">
        <ns0:f>IF($AD70=0,"",INDEX('Project Tracker'!$Q$7:$Q$106,$AD70))</ns0:f>
        <ns0:v>Not Started</ns0:v>
      </ns0:c>
      <ns0:c r="L70" s="13"/>
      <ns0:c r="M70" s="13" t="str">
        <ns0:f>IF($AD70=0,"",INDEX(Tasks[Schedule Health],$AD70))</ns0:f>
        <ns0:v>On track</ns0:v>
      </ns0:c>
      <ns0:c r="N70" s="13"/>
      <ns0:c r="O70" s="13"/>
      <ns0:c r="P70" s="13"/>
      <ns0:c r="U70" t="str">
        <ns0:f>IF(ROW()-6&gt;MAX('Project Tracker'!$AN$7:$AN$106),"",INDEX(Tasks[Phase],MATCH(ROW()-6,'Project Tracker'!$AN$7:$AN$106,0)))</ns0:f>
      </ns0:c>
      <ns0:c r="V70" t="str">
        <ns0:f>IF(U70="","",IF(SUMIFS(Tasks[Duration],Tasks[Phase],U70)=0,0,SUMIFS('Project Tracker'!$EQ$7:$EQ$106,Tasks[Phase],U70)/SUMIFS(Tasks[Duration],Tasks[Phase],U70)))</ns0:f>
      </ns0:c>
      <ns0:c r="AD70" t="n">
        <ns0:f>IF(SMALL('Project Tracker'!$AP$7:$AP$106,5)&gt;=1E+9,0,MATCH(SMALL('Project Tracker'!$AP$7:$AP$106,5),'Project Tracker'!$AP$7:$AP$106,0))</ns0:f>
        <ns0:v>29</ns0:v>
      </ns0:c>
    </ns0:row>
    <ns0:row r="71" ht="24" customHeight="1">
      <ns0:c r="A71" s="2"/>
      <ns0:c r="B71" s="2"/>
      <ns0:c r="C71" s="2"/>
      <ns0:c r="D71" s="2"/>
      <ns0:c r="E71" s="2"/>
      <ns0:c r="F71" s="2"/>
      <ns0:c r="G71" s="2"/>
      <ns0:c r="H71" s="2"/>
      <ns0:c r="I71" s="2"/>
      <ns0:c r="J71" s="2"/>
      <ns0:c r="K71" s="2"/>
      <ns0:c r="L71" s="2"/>
      <ns0:c r="M71" s="2"/>
      <ns0:c r="N71" s="2"/>
      <ns0:c r="O71" s="2"/>
      <ns0:c r="P71" s="2"/>
      <ns0:c r="U71" t="str">
        <ns0:f>IF(ROW()-6&gt;MAX('Project Tracker'!$AN$7:$AN$106),"",INDEX(Tasks[Phase],MATCH(ROW()-6,'Project Tracker'!$AN$7:$AN$106,0)))</ns0:f>
      </ns0:c>
      <ns0:c r="V71" t="str">
        <ns0:f>IF(U71="","",IF(SUMIFS(Tasks[Duration],Tasks[Phase],U71)=0,0,SUMIFS('Project Tracker'!$EQ$7:$EQ$106,Tasks[Phase],U71)/SUMIFS(Tasks[Duration],Tasks[Phase],U71)))</ns0:f>
      </ns0:c>
    </ns0:row>
    <ns0:row r="72" ht="24" customHeight="1">
      <ns0:c r="A72" s="2"/>
      <ns0:c r="B72" s="2"/>
      <ns0:c r="C72" s="2"/>
      <ns0:c r="D72" s="2"/>
      <ns0:c r="E72" s="2"/>
      <ns0:c r="F72" s="2"/>
      <ns0:c r="G72" s="2"/>
      <ns0:c r="H72" s="2"/>
      <ns0:c r="I72" s="2"/>
      <ns0:c r="J72" s="2"/>
      <ns0:c r="K72" s="2"/>
      <ns0:c r="L72" s="2"/>
      <ns0:c r="M72" s="2"/>
      <ns0:c r="N72" s="2"/>
      <ns0:c r="O72" s="2"/>
      <ns0:c r="P72" s="2"/>
      <ns0:c r="U72" t="str">
        <ns0:f>IF(ROW()-6&gt;MAX('Project Tracker'!$AN$7:$AN$106),"",INDEX(Tasks[Phase],MATCH(ROW()-6,'Project Tracker'!$AN$7:$AN$106,0)))</ns0:f>
      </ns0:c>
      <ns0:c r="V72" t="str">
        <ns0:f>IF(U72="","",IF(SUMIFS(Tasks[Duration],Tasks[Phase],U72)=0,0,SUMIFS('Project Tracker'!$EQ$7:$EQ$106,Tasks[Phase],U72)/SUMIFS(Tasks[Duration],Tasks[Phase],U72)))</ns0:f>
      </ns0:c>
    </ns0:row>
    <ns0:row r="73" ht="24" customHeight="1">
      <ns0:c r="A73" s="2"/>
      <ns0:c r="B73" s="2"/>
      <ns0:c r="C73" s="2"/>
      <ns0:c r="D73" s="2"/>
      <ns0:c r="E73" s="2"/>
      <ns0:c r="F73" s="2"/>
      <ns0:c r="G73" s="2"/>
      <ns0:c r="H73" s="2"/>
      <ns0:c r="I73" s="2"/>
      <ns0:c r="J73" s="2"/>
      <ns0:c r="K73" s="2"/>
      <ns0:c r="L73" s="2"/>
      <ns0:c r="M73" s="2"/>
      <ns0:c r="N73" s="2"/>
      <ns0:c r="O73" s="2"/>
      <ns0:c r="P73" s="2"/>
      <ns0:c r="U73" t="str">
        <ns0:f>IF(ROW()-6&gt;MAX('Project Tracker'!$AN$7:$AN$106),"",INDEX(Tasks[Phase],MATCH(ROW()-6,'Project Tracker'!$AN$7:$AN$106,0)))</ns0:f>
      </ns0:c>
      <ns0:c r="V73" t="str">
        <ns0:f>IF(U73="","",IF(SUMIFS(Tasks[Duration],Tasks[Phase],U73)=0,0,SUMIFS('Project Tracker'!$EQ$7:$EQ$106,Tasks[Phase],U73)/SUMIFS(Tasks[Duration],Tasks[Phase],U73)))</ns0:f>
      </ns0:c>
    </ns0:row>
    <ns0:row r="74" ht="24" customHeight="1">
      <ns0:c r="A74" s="28" t="str">
        <ns0:v>End date within 7 days</ns0:v>
      </ns0:c>
      <ns0:c r="B74" s="2"/>
      <ns0:c r="C74" s="2"/>
      <ns0:c r="D74" s="2"/>
      <ns0:c r="E74" s="2"/>
      <ns0:c r="F74" s="2"/>
      <ns0:c r="G74" s="2"/>
      <ns0:c r="H74" s="2"/>
      <ns0:c r="I74" s="2"/>
      <ns0:c r="J74" s="2"/>
      <ns0:c r="K74" s="2"/>
      <ns0:c r="L74" s="2"/>
      <ns0:c r="M74" s="2"/>
      <ns0:c r="N74" s="2"/>
      <ns0:c r="O74" s="2"/>
      <ns0:c r="P74" s="2"/>
      <ns0:c r="U74" t="str">
        <ns0:f>IF(ROW()-6&gt;MAX('Project Tracker'!$AN$7:$AN$106),"",INDEX(Tasks[Phase],MATCH(ROW()-6,'Project Tracker'!$AN$7:$AN$106,0)))</ns0:f>
      </ns0:c>
      <ns0:c r="V74" t="str">
        <ns0:f>IF(U74="","",IF(SUMIFS(Tasks[Duration],Tasks[Phase],U74)=0,0,SUMIFS('Project Tracker'!$EQ$7:$EQ$106,Tasks[Phase],U74)/SUMIFS(Tasks[Duration],Tasks[Phase],U74)))</ns0:f>
      </ns0:c>
    </ns0:row>
    <ns0:row r="75" ht="34" customHeight="1">
      <ns0:c r="A75" s="7" t="str">
        <ns0:v>Task ID</ns0:v>
      </ns0:c>
      <ns0:c r="B75" s="7" t="str">
        <ns0:v>Task / Activity</ns0:v>
      </ns0:c>
      <ns0:c r="C75" s="7"/>
      <ns0:c r="D75" s="7"/>
      <ns0:c r="E75" s="7"/>
      <ns0:c r="F75" s="7"/>
      <ns0:c r="G75" s="7" t="str">
        <ns0:v>Start</ns0:v>
      </ns0:c>
      <ns0:c r="H75" s="7"/>
      <ns0:c r="I75" s="7" t="str">
        <ns0:v>End</ns0:v>
      </ns0:c>
      <ns0:c r="J75" s="7"/>
      <ns0:c r="K75" s="7" t="str">
        <ns0:v>Status</ns0:v>
      </ns0:c>
      <ns0:c r="L75" s="7"/>
      <ns0:c r="M75" s="7" t="str">
        <ns0:v>Schedule Health</ns0:v>
      </ns0:c>
      <ns0:c r="N75" s="7"/>
      <ns0:c r="O75" s="7"/>
      <ns0:c r="P75" s="7"/>
      <ns0:c r="U75" t="str">
        <ns0:f>IF(ROW()-6&gt;MAX('Project Tracker'!$AN$7:$AN$106),"",INDEX(Tasks[Phase],MATCH(ROW()-6,'Project Tracker'!$AN$7:$AN$106,0)))</ns0:f>
      </ns0:c>
      <ns0:c r="V75" t="str">
        <ns0:f>IF(U75="","",IF(SUMIFS(Tasks[Duration],Tasks[Phase],U75)=0,0,SUMIFS('Project Tracker'!$EQ$7:$EQ$106,Tasks[Phase],U75)/SUMIFS(Tasks[Duration],Tasks[Phase],U75)))</ns0:f>
      </ns0:c>
    </ns0:row>
    <ns0:row r="76" ht="42" customHeight="1">
      <ns0:c r="A76" s="13" t="str">
        <ns0:f>IF($AD76=0,"",INDEX(Tasks[Task ID],$AD76))</ns0:f>
        <ns0:v>T01</ns0:v>
      </ns0:c>
      <ns0:c r="B76" s="13" t="str">
        <ns0:f>IF($AD76=0,"",INDEX(Tasks[Task Name],$AD76))</ns0:f>
        <ns0:v>Define enterprise objectives, tenant scopes, and budget boundaries</ns0:v>
      </ns0:c>
      <ns0:c r="C76" s="31"/>
      <ns0:c r="D76" s="31"/>
      <ns0:c r="E76" s="13"/>
      <ns0:c r="F76" s="13"/>
      <ns0:c r="G76" s="31" t="n">
        <ns0:f>IF($AD76=0,"",INDEX(Tasks[Start Date],$AD76))</ns0:f>
        <ns0:v>46276</ns0:v>
      </ns0:c>
      <ns0:c r="H76" s="31"/>
      <ns0:c r="I76" s="31" t="n">
        <ns0:f>IF($AD76=0,"",INDEX(Tasks[End Date],$AD76))</ns0:f>
        <ns0:v>46276</ns0:v>
      </ns0:c>
      <ns0:c r="J76" s="31"/>
      <ns0:c r="K76" s="13" t="str">
        <ns0:f>IF($AD76=0,"",INDEX('Project Tracker'!$Q$7:$Q$106,$AD76))</ns0:f>
        <ns0:v>Not Started</ns0:v>
      </ns0:c>
      <ns0:c r="L76" s="13"/>
      <ns0:c r="M76" s="13" t="str">
        <ns0:f>IF($AD76=0,"",INDEX(Tasks[Schedule Health],$AD76))</ns0:f>
        <ns0:v>On track</ns0:v>
      </ns0:c>
      <ns0:c r="N76" s="13"/>
      <ns0:c r="O76" s="13"/>
      <ns0:c r="P76" s="13"/>
      <ns0:c r="U76" t="str">
        <ns0:f>IF(ROW()-6&gt;MAX('Project Tracker'!$AN$7:$AN$106),"",INDEX(Tasks[Phase],MATCH(ROW()-6,'Project Tracker'!$AN$7:$AN$106,0)))</ns0:f>
      </ns0:c>
      <ns0:c r="V76" t="str">
        <ns0:f>IF(U76="","",IF(SUMIFS(Tasks[Duration],Tasks[Phase],U76)=0,0,SUMIFS('Project Tracker'!$EQ$7:$EQ$106,Tasks[Phase],U76)/SUMIFS(Tasks[Duration],Tasks[Phase],U76)))</ns0:f>
      </ns0:c>
      <ns0:c r="AD76" t="n">
        <ns0:f>IF(SMALL('Project Tracker'!$AQ$7:$AQ$106,1)&gt;=1E+9,0,MATCH(SMALL('Project Tracker'!$AQ$7:$AQ$106,1),'Project Tracker'!$AQ$7:$AQ$106,0))</ns0:f>
        <ns0:v>1</ns0:v>
      </ns0:c>
    </ns0:row>
    <ns0:row r="77" ht="42" customHeight="1">
      <ns0:c r="A77" s="8" t="str">
        <ns0:f>IF($AD77=0,"",INDEX(Tasks[Task ID],$AD77))</ns0:f>
        <ns0:v>T02</ns0:v>
      </ns0:c>
      <ns0:c r="B77" s="8" t="str">
        <ns0:f>IF($AD77=0,"",INDEX(Tasks[Task Name],$AD77))</ns0:f>
        <ns0:v>Configure machine-readable policy rules, autonomy tiers, and claim limits</ns0:v>
      </ns0:c>
      <ns0:c r="C77" s="18"/>
      <ns0:c r="D77" s="18"/>
      <ns0:c r="E77" s="8"/>
      <ns0:c r="F77" s="8"/>
      <ns0:c r="G77" s="18" t="n">
        <ns0:f>IF($AD77=0,"",INDEX(Tasks[Start Date],$AD77))</ns0:f>
        <ns0:v>46276</ns0:v>
      </ns0:c>
      <ns0:c r="H77" s="18"/>
      <ns0:c r="I77" s="18" t="n">
        <ns0:f>IF($AD77=0,"",INDEX(Tasks[End Date],$AD77))</ns0:f>
        <ns0:v>46276</ns0:v>
      </ns0:c>
      <ns0:c r="J77" s="18"/>
      <ns0:c r="K77" s="8" t="str">
        <ns0:f>IF($AD77=0,"",INDEX('Project Tracker'!$Q$7:$Q$106,$AD77))</ns0:f>
        <ns0:v>Not Started</ns0:v>
      </ns0:c>
      <ns0:c r="L77" s="8"/>
      <ns0:c r="M77" s="8" t="str">
        <ns0:f>IF($AD77=0,"",INDEX(Tasks[Schedule Health],$AD77))</ns0:f>
        <ns0:v>On track</ns0:v>
      </ns0:c>
      <ns0:c r="N77" s="8"/>
      <ns0:c r="O77" s="8"/>
      <ns0:c r="P77" s="8"/>
      <ns0:c r="U77" t="str">
        <ns0:f>IF(ROW()-6&gt;MAX('Project Tracker'!$AN$7:$AN$106),"",INDEX(Tasks[Phase],MATCH(ROW()-6,'Project Tracker'!$AN$7:$AN$106,0)))</ns0:f>
      </ns0:c>
      <ns0:c r="V77" t="str">
        <ns0:f>IF(U77="","",IF(SUMIFS(Tasks[Duration],Tasks[Phase],U77)=0,0,SUMIFS('Project Tracker'!$EQ$7:$EQ$106,Tasks[Phase],U77)/SUMIFS(Tasks[Duration],Tasks[Phase],U77)))</ns0:f>
      </ns0:c>
      <ns0:c r="AD77" t="n">
        <ns0:f>IF(SMALL('Project Tracker'!$AQ$7:$AQ$106,2)&gt;=1E+9,0,MATCH(SMALL('Project Tracker'!$AQ$7:$AQ$106,2),'Project Tracker'!$AQ$7:$AQ$106,0))</ns0:f>
        <ns0:v>2</ns0:v>
      </ns0:c>
    </ns0:row>
    <ns0:row r="78" ht="42" customHeight="1">
      <ns0:c r="A78" s="13" t="str">
        <ns0:f>IF($AD78=0,"",INDEX(Tasks[Task ID],$AD78))</ns0:f>
        <ns0:v>T03</ns0:v>
      </ns0:c>
      <ns0:c r="B78" s="13" t="str">
        <ns0:f>IF($AD78=0,"",INDEX(Tasks[Task Name],$AD78))</ns0:f>
        <ns0:v>Establish Policy &amp; Authorization Boundary (PAB) evaluation rules</ns0:v>
      </ns0:c>
      <ns0:c r="C78" s="31"/>
      <ns0:c r="D78" s="31"/>
      <ns0:c r="E78" s="13"/>
      <ns0:c r="F78" s="13"/>
      <ns0:c r="G78" s="31" t="n">
        <ns0:f>IF($AD78=0,"",INDEX(Tasks[Start Date],$AD78))</ns0:f>
        <ns0:v>46277</ns0:v>
      </ns0:c>
      <ns0:c r="H78" s="31"/>
      <ns0:c r="I78" s="31" t="n">
        <ns0:f>IF($AD78=0,"",INDEX(Tasks[End Date],$AD78))</ns0:f>
        <ns0:v>46278</ns0:v>
      </ns0:c>
      <ns0:c r="J78" s="31"/>
      <ns0:c r="K78" s="13" t="str">
        <ns0:f>IF($AD78=0,"",INDEX('Project Tracker'!$Q$7:$Q$106,$AD78))</ns0:f>
        <ns0:v>Not Started</ns0:v>
      </ns0:c>
      <ns0:c r="L78" s="13"/>
      <ns0:c r="M78" s="13" t="str">
        <ns0:f>IF($AD78=0,"",INDEX(Tasks[Schedule Health],$AD78))</ns0:f>
        <ns0:v>On track</ns0:v>
      </ns0:c>
      <ns0:c r="N78" s="13"/>
      <ns0:c r="O78" s="13"/>
      <ns0:c r="P78" s="13"/>
      <ns0:c r="U78" t="str">
        <ns0:f>IF(ROW()-6&gt;MAX('Project Tracker'!$AN$7:$AN$106),"",INDEX(Tasks[Phase],MATCH(ROW()-6,'Project Tracker'!$AN$7:$AN$106,0)))</ns0:f>
      </ns0:c>
      <ns0:c r="V78" t="str">
        <ns0:f>IF(U78="","",IF(SUMIFS(Tasks[Duration],Tasks[Phase],U78)=0,0,SUMIFS('Project Tracker'!$EQ$7:$EQ$106,Tasks[Phase],U78)/SUMIFS(Tasks[Duration],Tasks[Phase],U78)))</ns0:f>
      </ns0:c>
      <ns0:c r="AD78" t="n">
        <ns0:f>IF(SMALL('Project Tracker'!$AQ$7:$AQ$106,3)&gt;=1E+9,0,MATCH(SMALL('Project Tracker'!$AQ$7:$AQ$106,3),'Project Tracker'!$AQ$7:$AQ$106,0))</ns0:f>
        <ns0:v>3</ns0:v>
      </ns0:c>
    </ns0:row>
    <ns0:row r="79" ht="42" customHeight="1">
      <ns0:c r="A79" s="8" t="str">
        <ns0:f>IF($AD79=0,"",INDEX(Tasks[Task ID],$AD79))</ns0:f>
        <ns0:v>T04</ns0:v>
      </ns0:c>
      <ns0:c r="B79" s="8" t="str">
        <ns0:f>IF($AD79=0,"",INDEX(Tasks[Task Name],$AD79))</ns0:f>
        <ns0:v>Initialize Canonical Task State Machine (CTS) and DAG execution schema</ns0:v>
      </ns0:c>
      <ns0:c r="C79" s="18"/>
      <ns0:c r="D79" s="18"/>
      <ns0:c r="E79" s="8"/>
      <ns0:c r="F79" s="8"/>
      <ns0:c r="G79" s="18" t="n">
        <ns0:f>IF($AD79=0,"",INDEX(Tasks[Start Date],$AD79))</ns0:f>
        <ns0:v>46277</ns0:v>
      </ns0:c>
      <ns0:c r="H79" s="18"/>
      <ns0:c r="I79" s="18" t="n">
        <ns0:f>IF($AD79=0,"",INDEX(Tasks[End Date],$AD79))</ns0:f>
        <ns0:v>46278</ns0:v>
      </ns0:c>
      <ns0:c r="J79" s="18"/>
      <ns0:c r="K79" s="8" t="str">
        <ns0:f>IF($AD79=0,"",INDEX('Project Tracker'!$Q$7:$Q$106,$AD79))</ns0:f>
        <ns0:v>Not Started</ns0:v>
      </ns0:c>
      <ns0:c r="L79" s="8"/>
      <ns0:c r="M79" s="8" t="str">
        <ns0:f>IF($AD79=0,"",INDEX(Tasks[Schedule Health],$AD79))</ns0:f>
        <ns0:v>On track</ns0:v>
      </ns0:c>
      <ns0:c r="N79" s="8"/>
      <ns0:c r="O79" s="8"/>
      <ns0:c r="P79" s="8"/>
      <ns0:c r="U79" t="str">
        <ns0:f>IF(ROW()-6&gt;MAX('Project Tracker'!$AN$7:$AN$106),"",INDEX(Tasks[Phase],MATCH(ROW()-6,'Project Tracker'!$AN$7:$AN$106,0)))</ns0:f>
      </ns0:c>
      <ns0:c r="V79" t="str">
        <ns0:f>IF(U79="","",IF(SUMIFS(Tasks[Duration],Tasks[Phase],U79)=0,0,SUMIFS('Project Tracker'!$EQ$7:$EQ$106,Tasks[Phase],U79)/SUMIFS(Tasks[Duration],Tasks[Phase],U79)))</ns0:f>
      </ns0:c>
      <ns0:c r="AD79" t="n">
        <ns0:f>IF(SMALL('Project Tracker'!$AQ$7:$AQ$106,4)&gt;=1E+9,0,MATCH(SMALL('Project Tracker'!$AQ$7:$AQ$106,4),'Project Tracker'!$AQ$7:$AQ$106,0))</ns0:f>
        <ns0:v>4</ns0:v>
      </ns0:c>
    </ns0:row>
    <ns0:row r="80" ht="42" customHeight="1">
      <ns0:c r="A80" s="13" t="str">
        <ns0:f>IF($AD80=0,"",INDEX(Tasks[Task ID],$AD80))</ns0:f>
        <ns0:v>T05</ns0:v>
      </ns0:c>
      <ns0:c r="B80" s="13" t="str">
        <ns0:f>IF($AD80=0,"",INDEX(Tasks[Task Name],$AD80))</ns0:f>
        <ns0:v>Provision Central Enterprise Database (CDB) relational tables &amp; vector stores</ns0:v>
      </ns0:c>
      <ns0:c r="C80" s="31"/>
      <ns0:c r="D80" s="31"/>
      <ns0:c r="E80" s="13"/>
      <ns0:c r="F80" s="13"/>
      <ns0:c r="G80" s="31" t="n">
        <ns0:f>IF($AD80=0,"",INDEX(Tasks[Start Date],$AD80))</ns0:f>
        <ns0:v>46279</ns0:v>
      </ns0:c>
      <ns0:c r="H80" s="31"/>
      <ns0:c r="I80" s="31" t="n">
        <ns0:f>IF($AD80=0,"",INDEX(Tasks[End Date],$AD80))</ns0:f>
        <ns0:v>46280</ns0:v>
      </ns0:c>
      <ns0:c r="J80" s="31"/>
      <ns0:c r="K80" s="13" t="str">
        <ns0:f>IF($AD80=0,"",INDEX('Project Tracker'!$Q$7:$Q$106,$AD80))</ns0:f>
        <ns0:v>Not Started</ns0:v>
      </ns0:c>
      <ns0:c r="L80" s="13"/>
      <ns0:c r="M80" s="13" t="str">
        <ns0:f>IF($AD80=0,"",INDEX(Tasks[Schedule Health],$AD80))</ns0:f>
        <ns0:v>On track</ns0:v>
      </ns0:c>
      <ns0:c r="N80" s="13"/>
      <ns0:c r="O80" s="13"/>
      <ns0:c r="P80" s="13"/>
      <ns0:c r="U80" t="str">
        <ns0:f>IF(ROW()-6&gt;MAX('Project Tracker'!$AN$7:$AN$106),"",INDEX(Tasks[Phase],MATCH(ROW()-6,'Project Tracker'!$AN$7:$AN$106,0)))</ns0:f>
      </ns0:c>
      <ns0:c r="V80" t="str">
        <ns0:f>IF(U80="","",IF(SUMIFS(Tasks[Duration],Tasks[Phase],U80)=0,0,SUMIFS('Project Tracker'!$EQ$7:$EQ$106,Tasks[Phase],U80)/SUMIFS(Tasks[Duration],Tasks[Phase],U80)))</ns0:f>
      </ns0:c>
      <ns0:c r="AD80" t="n">
        <ns0:f>IF(SMALL('Project Tracker'!$AQ$7:$AQ$106,5)&gt;=1E+9,0,MATCH(SMALL('Project Tracker'!$AQ$7:$AQ$106,5),'Project Tracker'!$AQ$7:$AQ$106,0))</ns0:f>
        <ns0:v>6</ns0:v>
      </ns0:c>
    </ns0:row>
    <ns0:row r="81" ht="24" customHeight="1">
      <ns0:c r="A81" s="2"/>
      <ns0:c r="B81" s="2"/>
      <ns0:c r="C81" s="2"/>
      <ns0:c r="D81" s="2"/>
      <ns0:c r="E81" s="2"/>
      <ns0:c r="F81" s="2"/>
      <ns0:c r="G81" s="2"/>
      <ns0:c r="H81" s="2"/>
      <ns0:c r="I81" s="2"/>
      <ns0:c r="J81" s="2"/>
      <ns0:c r="K81" s="2"/>
      <ns0:c r="L81" s="2"/>
      <ns0:c r="M81" s="2"/>
      <ns0:c r="N81" s="2"/>
      <ns0:c r="O81" s="2"/>
      <ns0:c r="P81" s="2"/>
      <ns0:c r="U81" t="str">
        <ns0:f>IF(ROW()-6&gt;MAX('Project Tracker'!$AN$7:$AN$106),"",INDEX(Tasks[Phase],MATCH(ROW()-6,'Project Tracker'!$AN$7:$AN$106,0)))</ns0:f>
      </ns0:c>
      <ns0:c r="V81" t="str">
        <ns0:f>IF(U81="","",IF(SUMIFS(Tasks[Duration],Tasks[Phase],U81)=0,0,SUMIFS('Project Tracker'!$EQ$7:$EQ$106,Tasks[Phase],U81)/SUMIFS(Tasks[Duration],Tasks[Phase],U81)))</ns0:f>
      </ns0:c>
    </ns0:row>
    <ns0:row r="82" ht="24" customHeight="1">
      <ns0:c r="A82" s="2"/>
      <ns0:c r="B82" s="2"/>
      <ns0:c r="C82" s="2"/>
      <ns0:c r="D82" s="2"/>
      <ns0:c r="E82" s="2"/>
      <ns0:c r="F82" s="2"/>
      <ns0:c r="G82" s="2"/>
      <ns0:c r="H82" s="2"/>
      <ns0:c r="I82" s="2"/>
      <ns0:c r="J82" s="2"/>
      <ns0:c r="K82" s="2"/>
      <ns0:c r="L82" s="2"/>
      <ns0:c r="M82" s="2"/>
      <ns0:c r="N82" s="2"/>
      <ns0:c r="O82" s="2"/>
      <ns0:c r="P82" s="2"/>
      <ns0:c r="U82" t="str">
        <ns0:f>IF(ROW()-6&gt;MAX('Project Tracker'!$AN$7:$AN$106),"",INDEX(Tasks[Phase],MATCH(ROW()-6,'Project Tracker'!$AN$7:$AN$106,0)))</ns0:f>
      </ns0:c>
      <ns0:c r="V82" t="str">
        <ns0:f>IF(U82="","",IF(SUMIFS(Tasks[Duration],Tasks[Phase],U82)=0,0,SUMIFS('Project Tracker'!$EQ$7:$EQ$106,Tasks[Phase],U82)/SUMIFS(Tasks[Duration],Tasks[Phase],U82)))</ns0:f>
      </ns0:c>
    </ns0:row>
    <ns0:row r="83" ht="24" customHeight="1">
      <ns0:c r="A83" s="2"/>
      <ns0:c r="B83" s="2"/>
      <ns0:c r="C83" s="2"/>
      <ns0:c r="D83" s="2"/>
      <ns0:c r="E83" s="2"/>
      <ns0:c r="F83" s="2"/>
      <ns0:c r="G83" s="2"/>
      <ns0:c r="H83" s="2"/>
      <ns0:c r="I83" s="2"/>
      <ns0:c r="J83" s="2"/>
      <ns0:c r="K83" s="2"/>
      <ns0:c r="L83" s="2"/>
      <ns0:c r="M83" s="2"/>
      <ns0:c r="N83" s="2"/>
      <ns0:c r="O83" s="2"/>
      <ns0:c r="P83" s="2"/>
      <ns0:c r="U83" t="str">
        <ns0:f>IF(ROW()-6&gt;MAX('Project Tracker'!$AN$7:$AN$106),"",INDEX(Tasks[Phase],MATCH(ROW()-6,'Project Tracker'!$AN$7:$AN$106,0)))</ns0:f>
      </ns0:c>
      <ns0:c r="V83" t="str">
        <ns0:f>IF(U83="","",IF(SUMIFS(Tasks[Duration],Tasks[Phase],U83)=0,0,SUMIFS('Project Tracker'!$EQ$7:$EQ$106,Tasks[Phase],U83)/SUMIFS(Tasks[Duration],Tasks[Phase],U83)))</ns0:f>
      </ns0:c>
    </ns0:row>
    <ns0:row r="84" ht="24" customHeight="1">
      <ns0:c r="A84" s="28" t="str">
        <ns0:v>Delayed or schedule-conflicted</ns0:v>
      </ns0:c>
      <ns0:c r="B84" s="2"/>
      <ns0:c r="C84" s="2"/>
      <ns0:c r="D84" s="2"/>
      <ns0:c r="E84" s="2"/>
      <ns0:c r="F84" s="2"/>
      <ns0:c r="G84" s="2"/>
      <ns0:c r="H84" s="2"/>
      <ns0:c r="I84" s="2"/>
      <ns0:c r="J84" s="2"/>
      <ns0:c r="K84" s="2"/>
      <ns0:c r="L84" s="2"/>
      <ns0:c r="M84" s="2"/>
      <ns0:c r="N84" s="2"/>
      <ns0:c r="O84" s="2"/>
      <ns0:c r="P84" s="2"/>
      <ns0:c r="U84" t="str">
        <ns0:f>IF(ROW()-6&gt;MAX('Project Tracker'!$AN$7:$AN$106),"",INDEX(Tasks[Phase],MATCH(ROW()-6,'Project Tracker'!$AN$7:$AN$106,0)))</ns0:f>
      </ns0:c>
      <ns0:c r="V84" t="str">
        <ns0:f>IF(U84="","",IF(SUMIFS(Tasks[Duration],Tasks[Phase],U84)=0,0,SUMIFS('Project Tracker'!$EQ$7:$EQ$106,Tasks[Phase],U84)/SUMIFS(Tasks[Duration],Tasks[Phase],U84)))</ns0:f>
      </ns0:c>
    </ns0:row>
    <ns0:row r="85" ht="34" customHeight="1">
      <ns0:c r="A85" s="7" t="str">
        <ns0:v>Task ID</ns0:v>
      </ns0:c>
      <ns0:c r="B85" s="7" t="str">
        <ns0:v>Task / Activity</ns0:v>
      </ns0:c>
      <ns0:c r="C85" s="7"/>
      <ns0:c r="D85" s="7"/>
      <ns0:c r="E85" s="7"/>
      <ns0:c r="F85" s="7"/>
      <ns0:c r="G85" s="7" t="str">
        <ns0:v>Start</ns0:v>
      </ns0:c>
      <ns0:c r="H85" s="7"/>
      <ns0:c r="I85" s="7" t="str">
        <ns0:v>End</ns0:v>
      </ns0:c>
      <ns0:c r="J85" s="7"/>
      <ns0:c r="K85" s="7" t="str">
        <ns0:v>Status</ns0:v>
      </ns0:c>
      <ns0:c r="L85" s="7"/>
      <ns0:c r="M85" s="7" t="str">
        <ns0:v>Schedule Health</ns0:v>
      </ns0:c>
      <ns0:c r="N85" s="7"/>
      <ns0:c r="O85" s="7"/>
      <ns0:c r="P85" s="7"/>
      <ns0:c r="U85" t="str">
        <ns0:f>IF(ROW()-6&gt;MAX('Project Tracker'!$AN$7:$AN$106),"",INDEX(Tasks[Phase],MATCH(ROW()-6,'Project Tracker'!$AN$7:$AN$106,0)))</ns0:f>
      </ns0:c>
      <ns0:c r="V85" t="str">
        <ns0:f>IF(U85="","",IF(SUMIFS(Tasks[Duration],Tasks[Phase],U85)=0,0,SUMIFS('Project Tracker'!$EQ$7:$EQ$106,Tasks[Phase],U85)/SUMIFS(Tasks[Duration],Tasks[Phase],U85)))</ns0:f>
      </ns0:c>
    </ns0:row>
    <ns0:row r="86" ht="42" customHeight="1">
      <ns0:c r="A86" s="13" t="str">
        <ns0:f>IF($AD86=0,"",INDEX(Tasks[Task ID],$AD86))</ns0:f>
      </ns0:c>
      <ns0:c r="B86" s="13" t="str">
        <ns0:f>IF($AD86=0,"",INDEX(Tasks[Task Name],$AD86))</ns0:f>
      </ns0:c>
      <ns0:c r="C86" s="31"/>
      <ns0:c r="D86" s="31"/>
      <ns0:c r="E86" s="13"/>
      <ns0:c r="F86" s="13"/>
      <ns0:c r="G86" s="31" t="str">
        <ns0:f>IF($AD86=0,"",INDEX(Tasks[Start Date],$AD86))</ns0:f>
      </ns0:c>
      <ns0:c r="H86" s="31"/>
      <ns0:c r="I86" s="31" t="str">
        <ns0:f>IF($AD86=0,"",INDEX(Tasks[End Date],$AD86))</ns0:f>
      </ns0:c>
      <ns0:c r="J86" s="31"/>
      <ns0:c r="K86" s="13" t="str">
        <ns0:f>IF($AD86=0,"",INDEX('Project Tracker'!$Q$7:$Q$106,$AD86))</ns0:f>
      </ns0:c>
      <ns0:c r="L86" s="13"/>
      <ns0:c r="M86" s="13" t="str">
        <ns0:f>IF($AD86=0,"",INDEX(Tasks[Schedule Health],$AD86))</ns0:f>
      </ns0:c>
      <ns0:c r="N86" s="13"/>
      <ns0:c r="O86" s="13"/>
      <ns0:c r="P86" s="13"/>
      <ns0:c r="U86" t="str">
        <ns0:f>IF(ROW()-6&gt;MAX('Project Tracker'!$AN$7:$AN$106),"",INDEX(Tasks[Phase],MATCH(ROW()-6,'Project Tracker'!$AN$7:$AN$106,0)))</ns0:f>
      </ns0:c>
      <ns0:c r="V86" t="str">
        <ns0:f>IF(U86="","",IF(SUMIFS(Tasks[Duration],Tasks[Phase],U86)=0,0,SUMIFS('Project Tracker'!$EQ$7:$EQ$106,Tasks[Phase],U86)/SUMIFS(Tasks[Duration],Tasks[Phase],U86)))</ns0:f>
      </ns0:c>
      <ns0:c r="AD86" t="n">
        <ns0:f>IF(SMALL('Project Tracker'!$AR$7:$AR$106,1)&gt;=1E+9,0,MATCH(SMALL('Project Tracker'!$AR$7:$AR$106,1),'Project Tracker'!$AR$7:$AR$106,0))</ns0:f>
        <ns0:v>0</ns0:v>
      </ns0:c>
    </ns0:row>
    <ns0:row r="87" ht="42" customHeight="1">
      <ns0:c r="A87" s="8" t="str">
        <ns0:f>IF($AD87=0,"",INDEX(Tasks[Task ID],$AD87))</ns0:f>
      </ns0:c>
      <ns0:c r="B87" s="8" t="str">
        <ns0:f>IF($AD87=0,"",INDEX(Tasks[Task Name],$AD87))</ns0:f>
      </ns0:c>
      <ns0:c r="C87" s="18"/>
      <ns0:c r="D87" s="18"/>
      <ns0:c r="E87" s="8"/>
      <ns0:c r="F87" s="8"/>
      <ns0:c r="G87" s="18" t="str">
        <ns0:f>IF($AD87=0,"",INDEX(Tasks[Start Date],$AD87))</ns0:f>
      </ns0:c>
      <ns0:c r="H87" s="18"/>
      <ns0:c r="I87" s="18" t="str">
        <ns0:f>IF($AD87=0,"",INDEX(Tasks[End Date],$AD87))</ns0:f>
      </ns0:c>
      <ns0:c r="J87" s="18"/>
      <ns0:c r="K87" s="8" t="str">
        <ns0:f>IF($AD87=0,"",INDEX('Project Tracker'!$Q$7:$Q$106,$AD87))</ns0:f>
      </ns0:c>
      <ns0:c r="L87" s="8"/>
      <ns0:c r="M87" s="8" t="str">
        <ns0:f>IF($AD87=0,"",INDEX(Tasks[Schedule Health],$AD87))</ns0:f>
      </ns0:c>
      <ns0:c r="N87" s="8"/>
      <ns0:c r="O87" s="8"/>
      <ns0:c r="P87" s="8"/>
      <ns0:c r="U87" t="str">
        <ns0:f>IF(ROW()-6&gt;MAX('Project Tracker'!$AN$7:$AN$106),"",INDEX(Tasks[Phase],MATCH(ROW()-6,'Project Tracker'!$AN$7:$AN$106,0)))</ns0:f>
      </ns0:c>
      <ns0:c r="V87" t="str">
        <ns0:f>IF(U87="","",IF(SUMIFS(Tasks[Duration],Tasks[Phase],U87)=0,0,SUMIFS('Project Tracker'!$EQ$7:$EQ$106,Tasks[Phase],U87)/SUMIFS(Tasks[Duration],Tasks[Phase],U87)))</ns0:f>
      </ns0:c>
      <ns0:c r="AD87" t="n">
        <ns0:f>IF(SMALL('Project Tracker'!$AR$7:$AR$106,2)&gt;=1E+9,0,MATCH(SMALL('Project Tracker'!$AR$7:$AR$106,2),'Project Tracker'!$AR$7:$AR$106,0))</ns0:f>
        <ns0:v>0</ns0:v>
      </ns0:c>
    </ns0:row>
    <ns0:row r="88" ht="42" customHeight="1">
      <ns0:c r="A88" s="13" t="str">
        <ns0:f>IF($AD88=0,"",INDEX(Tasks[Task ID],$AD88))</ns0:f>
      </ns0:c>
      <ns0:c r="B88" s="13" t="str">
        <ns0:f>IF($AD88=0,"",INDEX(Tasks[Task Name],$AD88))</ns0:f>
      </ns0:c>
      <ns0:c r="C88" s="31"/>
      <ns0:c r="D88" s="31"/>
      <ns0:c r="E88" s="13"/>
      <ns0:c r="F88" s="13"/>
      <ns0:c r="G88" s="31" t="str">
        <ns0:f>IF($AD88=0,"",INDEX(Tasks[Start Date],$AD88))</ns0:f>
      </ns0:c>
      <ns0:c r="H88" s="31"/>
      <ns0:c r="I88" s="31" t="str">
        <ns0:f>IF($AD88=0,"",INDEX(Tasks[End Date],$AD88))</ns0:f>
      </ns0:c>
      <ns0:c r="J88" s="31"/>
      <ns0:c r="K88" s="13" t="str">
        <ns0:f>IF($AD88=0,"",INDEX('Project Tracker'!$Q$7:$Q$106,$AD88))</ns0:f>
      </ns0:c>
      <ns0:c r="L88" s="13"/>
      <ns0:c r="M88" s="13" t="str">
        <ns0:f>IF($AD88=0,"",INDEX(Tasks[Schedule Health],$AD88))</ns0:f>
      </ns0:c>
      <ns0:c r="N88" s="13"/>
      <ns0:c r="O88" s="13"/>
      <ns0:c r="P88" s="13"/>
      <ns0:c r="U88" t="str">
        <ns0:f>IF(ROW()-6&gt;MAX('Project Tracker'!$AN$7:$AN$106),"",INDEX(Tasks[Phase],MATCH(ROW()-6,'Project Tracker'!$AN$7:$AN$106,0)))</ns0:f>
      </ns0:c>
      <ns0:c r="V88" t="str">
        <ns0:f>IF(U88="","",IF(SUMIFS(Tasks[Duration],Tasks[Phase],U88)=0,0,SUMIFS('Project Tracker'!$EQ$7:$EQ$106,Tasks[Phase],U88)/SUMIFS(Tasks[Duration],Tasks[Phase],U88)))</ns0:f>
      </ns0:c>
      <ns0:c r="AD88" t="n">
        <ns0:f>IF(SMALL('Project Tracker'!$AR$7:$AR$106,3)&gt;=1E+9,0,MATCH(SMALL('Project Tracker'!$AR$7:$AR$106,3),'Project Tracker'!$AR$7:$AR$106,0))</ns0:f>
        <ns0:v>0</ns0:v>
      </ns0:c>
    </ns0:row>
    <ns0:row r="89" ht="42" customHeight="1">
      <ns0:c r="A89" s="8" t="str">
        <ns0:f>IF($AD89=0,"",INDEX(Tasks[Task ID],$AD89))</ns0:f>
      </ns0:c>
      <ns0:c r="B89" s="8" t="str">
        <ns0:f>IF($AD89=0,"",INDEX(Tasks[Task Name],$AD89))</ns0:f>
      </ns0:c>
      <ns0:c r="C89" s="18"/>
      <ns0:c r="D89" s="18"/>
      <ns0:c r="E89" s="8"/>
      <ns0:c r="F89" s="8"/>
      <ns0:c r="G89" s="18" t="str">
        <ns0:f>IF($AD89=0,"",INDEX(Tasks[Start Date],$AD89))</ns0:f>
      </ns0:c>
      <ns0:c r="H89" s="18"/>
      <ns0:c r="I89" s="18" t="str">
        <ns0:f>IF($AD89=0,"",INDEX(Tasks[End Date],$AD89))</ns0:f>
      </ns0:c>
      <ns0:c r="J89" s="18"/>
      <ns0:c r="K89" s="8" t="str">
        <ns0:f>IF($AD89=0,"",INDEX('Project Tracker'!$Q$7:$Q$106,$AD89))</ns0:f>
      </ns0:c>
      <ns0:c r="L89" s="8"/>
      <ns0:c r="M89" s="8" t="str">
        <ns0:f>IF($AD89=0,"",INDEX(Tasks[Schedule Health],$AD89))</ns0:f>
      </ns0:c>
      <ns0:c r="N89" s="8"/>
      <ns0:c r="O89" s="8"/>
      <ns0:c r="P89" s="8"/>
      <ns0:c r="U89" t="str">
        <ns0:f>IF(ROW()-6&gt;MAX('Project Tracker'!$AN$7:$AN$106),"",INDEX(Tasks[Phase],MATCH(ROW()-6,'Project Tracker'!$AN$7:$AN$106,0)))</ns0:f>
      </ns0:c>
      <ns0:c r="V89" t="str">
        <ns0:f>IF(U89="","",IF(SUMIFS(Tasks[Duration],Tasks[Phase],U89)=0,0,SUMIFS('Project Tracker'!$EQ$7:$EQ$106,Tasks[Phase],U89)/SUMIFS(Tasks[Duration],Tasks[Phase],U89)))</ns0:f>
      </ns0:c>
      <ns0:c r="AD89" t="n">
        <ns0:f>IF(SMALL('Project Tracker'!$AR$7:$AR$106,4)&gt;=1E+9,0,MATCH(SMALL('Project Tracker'!$AR$7:$AR$106,4),'Project Tracker'!$AR$7:$AR$106,0))</ns0:f>
        <ns0:v>0</ns0:v>
      </ns0:c>
    </ns0:row>
    <ns0:row r="90" ht="42" customHeight="1">
      <ns0:c r="A90" s="13" t="str">
        <ns0:f>IF($AD90=0,"",INDEX(Tasks[Task ID],$AD90))</ns0:f>
      </ns0:c>
      <ns0:c r="B90" s="13" t="str">
        <ns0:f>IF($AD90=0,"",INDEX(Tasks[Task Name],$AD90))</ns0:f>
      </ns0:c>
      <ns0:c r="C90" s="31"/>
      <ns0:c r="D90" s="31"/>
      <ns0:c r="E90" s="13"/>
      <ns0:c r="F90" s="13"/>
      <ns0:c r="G90" s="31" t="str">
        <ns0:f>IF($AD90=0,"",INDEX(Tasks[Start Date],$AD90))</ns0:f>
      </ns0:c>
      <ns0:c r="H90" s="31"/>
      <ns0:c r="I90" s="31" t="str">
        <ns0:f>IF($AD90=0,"",INDEX(Tasks[End Date],$AD90))</ns0:f>
      </ns0:c>
      <ns0:c r="J90" s="31"/>
      <ns0:c r="K90" s="13" t="str">
        <ns0:f>IF($AD90=0,"",INDEX('Project Tracker'!$Q$7:$Q$106,$AD90))</ns0:f>
      </ns0:c>
      <ns0:c r="L90" s="13"/>
      <ns0:c r="M90" s="13" t="str">
        <ns0:f>IF($AD90=0,"",INDEX(Tasks[Schedule Health],$AD90))</ns0:f>
      </ns0:c>
      <ns0:c r="N90" s="13"/>
      <ns0:c r="O90" s="13"/>
      <ns0:c r="P90" s="13"/>
      <ns0:c r="U90" t="str">
        <ns0:f>IF(ROW()-6&gt;MAX('Project Tracker'!$AN$7:$AN$106),"",INDEX(Tasks[Phase],MATCH(ROW()-6,'Project Tracker'!$AN$7:$AN$106,0)))</ns0:f>
      </ns0:c>
      <ns0:c r="V90" t="str">
        <ns0:f>IF(U90="","",IF(SUMIFS(Tasks[Duration],Tasks[Phase],U90)=0,0,SUMIFS('Project Tracker'!$EQ$7:$EQ$106,Tasks[Phase],U90)/SUMIFS(Tasks[Duration],Tasks[Phase],U90)))</ns0:f>
      </ns0:c>
      <ns0:c r="AD90" t="n">
        <ns0:f>IF(SMALL('Project Tracker'!$AR$7:$AR$106,5)&gt;=1E+9,0,MATCH(SMALL('Project Tracker'!$AR$7:$AR$106,5),'Project Tracker'!$AR$7:$AR$106,0))</ns0:f>
        <ns0:v>0</ns0:v>
      </ns0:c>
    </ns0:row>
    <ns0:row r="91" ht="24" customHeight="1">
      <ns0:c r="A91" s="2"/>
      <ns0:c r="B91" s="2"/>
      <ns0:c r="C91" s="2"/>
      <ns0:c r="D91" s="2"/>
      <ns0:c r="E91" s="2"/>
      <ns0:c r="F91" s="2"/>
      <ns0:c r="G91" s="2"/>
      <ns0:c r="H91" s="2"/>
      <ns0:c r="I91" s="2"/>
      <ns0:c r="J91" s="2"/>
      <ns0:c r="K91" s="2"/>
      <ns0:c r="L91" s="2"/>
      <ns0:c r="M91" s="2"/>
      <ns0:c r="N91" s="2"/>
      <ns0:c r="O91" s="2"/>
      <ns0:c r="P91" s="2"/>
      <ns0:c r="U91" t="str">
        <ns0:f>IF(ROW()-6&gt;MAX('Project Tracker'!$AN$7:$AN$106),"",INDEX(Tasks[Phase],MATCH(ROW()-6,'Project Tracker'!$AN$7:$AN$106,0)))</ns0:f>
      </ns0:c>
      <ns0:c r="V91" t="str">
        <ns0:f>IF(U91="","",IF(SUMIFS(Tasks[Duration],Tasks[Phase],U91)=0,0,SUMIFS('Project Tracker'!$EQ$7:$EQ$106,Tasks[Phase],U91)/SUMIFS(Tasks[Duration],Tasks[Phase],U91)))</ns0:f>
      </ns0:c>
    </ns0:row>
    <ns0:row r="92" ht="24" customHeight="1">
      <ns0:c r="A92" s="2"/>
      <ns0:c r="B92" s="2"/>
      <ns0:c r="C92" s="2"/>
      <ns0:c r="D92" s="2"/>
      <ns0:c r="E92" s="2"/>
      <ns0:c r="F92" s="2"/>
      <ns0:c r="G92" s="2"/>
      <ns0:c r="H92" s="2"/>
      <ns0:c r="I92" s="2"/>
      <ns0:c r="J92" s="2"/>
      <ns0:c r="K92" s="2"/>
      <ns0:c r="L92" s="2"/>
      <ns0:c r="M92" s="2"/>
      <ns0:c r="N92" s="2"/>
      <ns0:c r="O92" s="2"/>
      <ns0:c r="P92" s="2"/>
      <ns0:c r="U92" t="str">
        <ns0:f>IF(ROW()-6&gt;MAX('Project Tracker'!$AN$7:$AN$106),"",INDEX(Tasks[Phase],MATCH(ROW()-6,'Project Tracker'!$AN$7:$AN$106,0)))</ns0:f>
      </ns0:c>
      <ns0:c r="V92" t="str">
        <ns0:f>IF(U92="","",IF(SUMIFS(Tasks[Duration],Tasks[Phase],U92)=0,0,SUMIFS('Project Tracker'!$EQ$7:$EQ$106,Tasks[Phase],U92)/SUMIFS(Tasks[Duration],Tasks[Phase],U92)))</ns0:f>
      </ns0:c>
    </ns0:row>
    <ns0:row r="93" ht="24" customHeight="1">
      <ns0:c r="A93" s="2"/>
      <ns0:c r="B93" s="2"/>
      <ns0:c r="C93" s="2"/>
      <ns0:c r="D93" s="2"/>
      <ns0:c r="E93" s="2"/>
      <ns0:c r="F93" s="2"/>
      <ns0:c r="G93" s="2"/>
      <ns0:c r="H93" s="2"/>
      <ns0:c r="I93" s="2"/>
      <ns0:c r="J93" s="2"/>
      <ns0:c r="K93" s="2"/>
      <ns0:c r="L93" s="2"/>
      <ns0:c r="M93" s="2"/>
      <ns0:c r="N93" s="2"/>
      <ns0:c r="O93" s="2"/>
      <ns0:c r="P93" s="2"/>
      <ns0:c r="U93" t="str">
        <ns0:f>IF(ROW()-6&gt;MAX('Project Tracker'!$AN$7:$AN$106),"",INDEX(Tasks[Phase],MATCH(ROW()-6,'Project Tracker'!$AN$7:$AN$106,0)))</ns0:f>
      </ns0:c>
      <ns0:c r="V93" t="str">
        <ns0:f>IF(U93="","",IF(SUMIFS(Tasks[Duration],Tasks[Phase],U93)=0,0,SUMIFS('Project Tracker'!$EQ$7:$EQ$106,Tasks[Phase],U93)/SUMIFS(Tasks[Duration],Tasks[Phase],U93)))</ns0:f>
      </ns0:c>
    </ns0:row>
    <ns0:row r="94" ht="24" customHeight="1">
      <ns0:c r="A94" s="2"/>
      <ns0:c r="B94" s="2"/>
      <ns0:c r="C94" s="2"/>
      <ns0:c r="D94" s="2"/>
      <ns0:c r="E94" s="2"/>
      <ns0:c r="F94" s="2"/>
      <ns0:c r="G94" s="2"/>
      <ns0:c r="H94" s="2"/>
      <ns0:c r="I94" s="2"/>
      <ns0:c r="J94" s="2"/>
      <ns0:c r="K94" s="2"/>
      <ns0:c r="L94" s="2"/>
      <ns0:c r="M94" s="2"/>
      <ns0:c r="N94" s="2"/>
      <ns0:c r="O94" s="2"/>
      <ns0:c r="P94" s="2"/>
      <ns0:c r="U94" t="str">
        <ns0:f>IF(ROW()-6&gt;MAX('Project Tracker'!$AN$7:$AN$106),"",INDEX(Tasks[Phase],MATCH(ROW()-6,'Project Tracker'!$AN$7:$AN$106,0)))</ns0:f>
      </ns0:c>
      <ns0:c r="V94" t="str">
        <ns0:f>IF(U94="","",IF(SUMIFS(Tasks[Duration],Tasks[Phase],U94)=0,0,SUMIFS('Project Tracker'!$EQ$7:$EQ$106,Tasks[Phase],U94)/SUMIFS(Tasks[Duration],Tasks[Phase],U94)))</ns0:f>
      </ns0:c>
    </ns0:row>
    <ns0:row r="95" ht="24" customHeight="1">
      <ns0:c r="A95" s="2"/>
      <ns0:c r="B95" s="2"/>
      <ns0:c r="C95" s="2"/>
      <ns0:c r="D95" s="2"/>
      <ns0:c r="E95" s="2"/>
      <ns0:c r="F95" s="2"/>
      <ns0:c r="G95" s="2"/>
      <ns0:c r="H95" s="2"/>
      <ns0:c r="I95" s="2"/>
      <ns0:c r="J95" s="2"/>
      <ns0:c r="K95" s="2"/>
      <ns0:c r="L95" s="2"/>
      <ns0:c r="M95" s="2"/>
      <ns0:c r="N95" s="2"/>
      <ns0:c r="O95" s="2"/>
      <ns0:c r="P95" s="2"/>
      <ns0:c r="U95" t="str">
        <ns0:f>IF(ROW()-6&gt;MAX('Project Tracker'!$AN$7:$AN$106),"",INDEX(Tasks[Phase],MATCH(ROW()-6,'Project Tracker'!$AN$7:$AN$106,0)))</ns0:f>
      </ns0:c>
      <ns0:c r="V95" t="str">
        <ns0:f>IF(U95="","",IF(SUMIFS(Tasks[Duration],Tasks[Phase],U95)=0,0,SUMIFS('Project Tracker'!$EQ$7:$EQ$106,Tasks[Phase],U95)/SUMIFS(Tasks[Duration],Tasks[Phase],U95)))</ns0:f>
      </ns0:c>
    </ns0:row>
    <ns0:row r="96" ht="24" customHeight="1">
      <ns0:c r="A96" s="2"/>
      <ns0:c r="B96" s="2"/>
      <ns0:c r="C96" s="2"/>
      <ns0:c r="D96" s="2"/>
      <ns0:c r="E96" s="2"/>
      <ns0:c r="F96" s="2"/>
      <ns0:c r="G96" s="2"/>
      <ns0:c r="H96" s="2"/>
      <ns0:c r="I96" s="2"/>
      <ns0:c r="J96" s="2"/>
      <ns0:c r="K96" s="2"/>
      <ns0:c r="L96" s="2"/>
      <ns0:c r="M96" s="2"/>
      <ns0:c r="N96" s="2"/>
      <ns0:c r="O96" s="2"/>
      <ns0:c r="P96" s="2"/>
      <ns0:c r="U96" t="str">
        <ns0:f>IF(ROW()-6&gt;MAX('Project Tracker'!$AN$7:$AN$106),"",INDEX(Tasks[Phase],MATCH(ROW()-6,'Project Tracker'!$AN$7:$AN$106,0)))</ns0:f>
      </ns0:c>
      <ns0:c r="V96" t="str">
        <ns0:f>IF(U96="","",IF(SUMIFS(Tasks[Duration],Tasks[Phase],U96)=0,0,SUMIFS('Project Tracker'!$EQ$7:$EQ$106,Tasks[Phase],U96)/SUMIFS(Tasks[Duration],Tasks[Phase],U96)))</ns0:f>
      </ns0:c>
    </ns0:row>
    <ns0:row r="97" ht="24" customHeight="1">
      <ns0:c r="A97" s="2"/>
      <ns0:c r="B97" s="2"/>
      <ns0:c r="C97" s="2"/>
      <ns0:c r="D97" s="2"/>
      <ns0:c r="E97" s="2"/>
      <ns0:c r="F97" s="2"/>
      <ns0:c r="G97" s="2"/>
      <ns0:c r="H97" s="2"/>
      <ns0:c r="I97" s="2"/>
      <ns0:c r="J97" s="2"/>
      <ns0:c r="K97" s="2"/>
      <ns0:c r="L97" s="2"/>
      <ns0:c r="M97" s="2"/>
      <ns0:c r="N97" s="2"/>
      <ns0:c r="O97" s="2"/>
      <ns0:c r="P97" s="2"/>
      <ns0:c r="U97" t="str">
        <ns0:f>IF(ROW()-6&gt;MAX('Project Tracker'!$AN$7:$AN$106),"",INDEX(Tasks[Phase],MATCH(ROW()-6,'Project Tracker'!$AN$7:$AN$106,0)))</ns0:f>
      </ns0:c>
      <ns0:c r="V97" t="str">
        <ns0:f>IF(U97="","",IF(SUMIFS(Tasks[Duration],Tasks[Phase],U97)=0,0,SUMIFS('Project Tracker'!$EQ$7:$EQ$106,Tasks[Phase],U97)/SUMIFS(Tasks[Duration],Tasks[Phase],U97)))</ns0:f>
      </ns0:c>
    </ns0:row>
    <ns0:row r="98" ht="24" customHeight="1">
      <ns0:c r="A98" s="2"/>
      <ns0:c r="B98" s="2"/>
      <ns0:c r="C98" s="2"/>
      <ns0:c r="D98" s="2"/>
      <ns0:c r="E98" s="2"/>
      <ns0:c r="F98" s="2"/>
      <ns0:c r="G98" s="2"/>
      <ns0:c r="H98" s="2"/>
      <ns0:c r="I98" s="2"/>
      <ns0:c r="J98" s="2"/>
      <ns0:c r="K98" s="2"/>
      <ns0:c r="L98" s="2"/>
      <ns0:c r="M98" s="2"/>
      <ns0:c r="N98" s="2"/>
      <ns0:c r="O98" s="2"/>
      <ns0:c r="P98" s="2"/>
      <ns0:c r="U98" t="str">
        <ns0:f>IF(ROW()-6&gt;MAX('Project Tracker'!$AN$7:$AN$106),"",INDEX(Tasks[Phase],MATCH(ROW()-6,'Project Tracker'!$AN$7:$AN$106,0)))</ns0:f>
      </ns0:c>
      <ns0:c r="V98" t="str">
        <ns0:f>IF(U98="","",IF(SUMIFS(Tasks[Duration],Tasks[Phase],U98)=0,0,SUMIFS('Project Tracker'!$EQ$7:$EQ$106,Tasks[Phase],U98)/SUMIFS(Tasks[Duration],Tasks[Phase],U98)))</ns0:f>
      </ns0:c>
    </ns0:row>
    <ns0:row r="99" ht="24" customHeight="1">
      <ns0:c r="A99" s="2"/>
      <ns0:c r="B99" s="2"/>
      <ns0:c r="C99" s="2"/>
      <ns0:c r="D99" s="2"/>
      <ns0:c r="E99" s="2"/>
      <ns0:c r="F99" s="2"/>
      <ns0:c r="G99" s="2"/>
      <ns0:c r="H99" s="2"/>
      <ns0:c r="I99" s="2"/>
      <ns0:c r="J99" s="2"/>
      <ns0:c r="K99" s="2"/>
      <ns0:c r="L99" s="2"/>
      <ns0:c r="M99" s="2"/>
      <ns0:c r="N99" s="2"/>
      <ns0:c r="O99" s="2"/>
      <ns0:c r="P99" s="2"/>
      <ns0:c r="U99" t="str">
        <ns0:f>IF(ROW()-6&gt;MAX('Project Tracker'!$AN$7:$AN$106),"",INDEX(Tasks[Phase],MATCH(ROW()-6,'Project Tracker'!$AN$7:$AN$106,0)))</ns0:f>
      </ns0:c>
      <ns0:c r="V99" t="str">
        <ns0:f>IF(U99="","",IF(SUMIFS(Tasks[Duration],Tasks[Phase],U99)=0,0,SUMIFS('Project Tracker'!$EQ$7:$EQ$106,Tasks[Phase],U99)/SUMIFS(Tasks[Duration],Tasks[Phase],U99)))</ns0:f>
      </ns0:c>
    </ns0:row>
    <ns0:row r="100" ht="24" customHeight="1">
      <ns0:c r="A100" s="2"/>
      <ns0:c r="B100" s="2"/>
      <ns0:c r="C100" s="2"/>
      <ns0:c r="D100" s="2"/>
      <ns0:c r="E100" s="2"/>
      <ns0:c r="F100" s="2"/>
      <ns0:c r="G100" s="2"/>
      <ns0:c r="H100" s="2"/>
      <ns0:c r="I100" s="2"/>
      <ns0:c r="J100" s="2"/>
      <ns0:c r="K100" s="2"/>
      <ns0:c r="L100" s="2"/>
      <ns0:c r="M100" s="2"/>
      <ns0:c r="N100" s="2"/>
      <ns0:c r="O100" s="2"/>
      <ns0:c r="P100" s="2"/>
      <ns0:c r="U100" t="str">
        <ns0:f>IF(ROW()-6&gt;MAX('Project Tracker'!$AN$7:$AN$106),"",INDEX(Tasks[Phase],MATCH(ROW()-6,'Project Tracker'!$AN$7:$AN$106,0)))</ns0:f>
      </ns0:c>
      <ns0:c r="V100" t="str">
        <ns0:f>IF(U100="","",IF(SUMIFS(Tasks[Duration],Tasks[Phase],U100)=0,0,SUMIFS('Project Tracker'!$EQ$7:$EQ$106,Tasks[Phase],U100)/SUMIFS(Tasks[Duration],Tasks[Phase],U100)))</ns0:f>
      </ns0:c>
    </ns0:row>
    <ns0:row r="101">
      <ns0:c r="U101" t="str">
        <ns0:f>IF(ROW()-6&gt;MAX('Project Tracker'!$AN$7:$AN$106),"",INDEX(Tasks[Phase],MATCH(ROW()-6,'Project Tracker'!$AN$7:$AN$106,0)))</ns0:f>
      </ns0:c>
      <ns0:c r="V101" t="str">
        <ns0:f>IF(U101="","",IF(SUMIFS(Tasks[Duration],Tasks[Phase],U101)=0,0,SUMIFS('Project Tracker'!$EQ$7:$EQ$106,Tasks[Phase],U101)/SUMIFS(Tasks[Duration],Tasks[Phase],U101)))</ns0:f>
      </ns0:c>
    </ns0:row>
    <ns0:row r="102">
      <ns0:c r="U102" t="str">
        <ns0:f>IF(ROW()-6&gt;MAX('Project Tracker'!$AN$7:$AN$106),"",INDEX(Tasks[Phase],MATCH(ROW()-6,'Project Tracker'!$AN$7:$AN$106,0)))</ns0:f>
      </ns0:c>
      <ns0:c r="V102" t="str">
        <ns0:f>IF(U102="","",IF(SUMIFS(Tasks[Duration],Tasks[Phase],U102)=0,0,SUMIFS('Project Tracker'!$EQ$7:$EQ$106,Tasks[Phase],U102)/SUMIFS(Tasks[Duration],Tasks[Phase],U102)))</ns0:f>
      </ns0:c>
    </ns0:row>
    <ns0:row r="103">
      <ns0:c r="U103" t="str">
        <ns0:f>IF(ROW()-6&gt;MAX('Project Tracker'!$AN$7:$AN$106),"",INDEX(Tasks[Phase],MATCH(ROW()-6,'Project Tracker'!$AN$7:$AN$106,0)))</ns0:f>
      </ns0:c>
      <ns0:c r="V103" t="str">
        <ns0:f>IF(U103="","",IF(SUMIFS(Tasks[Duration],Tasks[Phase],U103)=0,0,SUMIFS('Project Tracker'!$EQ$7:$EQ$106,Tasks[Phase],U103)/SUMIFS(Tasks[Duration],Tasks[Phase],U103)))</ns0:f>
      </ns0:c>
    </ns0:row>
    <ns0:row r="104">
      <ns0:c r="U104" t="str">
        <ns0:f>IF(ROW()-6&gt;MAX('Project Tracker'!$AN$7:$AN$106),"",INDEX(Tasks[Phase],MATCH(ROW()-6,'Project Tracker'!$AN$7:$AN$106,0)))</ns0:f>
      </ns0:c>
      <ns0:c r="V104" t="str">
        <ns0:f>IF(U104="","",IF(SUMIFS(Tasks[Duration],Tasks[Phase],U104)=0,0,SUMIFS('Project Tracker'!$EQ$7:$EQ$106,Tasks[Phase],U104)/SUMIFS(Tasks[Duration],Tasks[Phase],U104)))</ns0:f>
      </ns0:c>
    </ns0:row>
    <ns0:row r="105">
      <ns0:c r="U105" t="str">
        <ns0:f>IF(ROW()-6&gt;MAX('Project Tracker'!$AN$7:$AN$106),"",INDEX(Tasks[Phase],MATCH(ROW()-6,'Project Tracker'!$AN$7:$AN$106,0)))</ns0:f>
      </ns0:c>
      <ns0:c r="V105" t="str">
        <ns0:f>IF(U105="","",IF(SUMIFS(Tasks[Duration],Tasks[Phase],U105)=0,0,SUMIFS('Project Tracker'!$EQ$7:$EQ$106,Tasks[Phase],U105)/SUMIFS(Tasks[Duration],Tasks[Phase],U105)))</ns0:f>
      </ns0:c>
    </ns0:row>
    <ns0:row r="106">
      <ns0:c r="U106" t="str">
        <ns0:f>IF(ROW()-6&gt;MAX('Project Tracker'!$AN$7:$AN$106),"",INDEX(Tasks[Phase],MATCH(ROW()-6,'Project Tracker'!$AN$7:$AN$106,0)))</ns0:f>
      </ns0:c>
      <ns0:c r="V106" t="str">
        <ns0:f>IF(U106="","",IF(SUMIFS(Tasks[Duration],Tasks[Phase],U106)=0,0,SUMIFS('Project Tracker'!$EQ$7:$EQ$106,Tasks[Phase],U106)/SUMIFS(Tasks[Duration],Tasks[Phase],U106)))</ns0:f>
      </ns0:c>
    </ns0:row>
  </ns0:sheetData>
  <ns0:sheetProtection sheet="1" objects="1" scenarios="1" formatCells="0" formatColumns="0" formatRows="0" selectLockedCells="0" selectUnlockedCells="0" autoFilter="0" sort="0"/>
  <ns0:mergeCells>
    <ns0:mergeCell ref="A6:C6"/>
    <ns0:mergeCell ref="A7:C8"/>
    <ns0:mergeCell ref="D6:F6"/>
    <ns0:mergeCell ref="D7:F8"/>
    <ns0:mergeCell ref="G6:I6"/>
    <ns0:mergeCell ref="G7:I8"/>
    <ns0:mergeCell ref="J6:L6"/>
    <ns0:mergeCell ref="J7:L8"/>
    <ns0:mergeCell ref="M6:O6"/>
    <ns0:mergeCell ref="M7:O8"/>
    <ns0:mergeCell ref="A10:C10"/>
    <ns0:mergeCell ref="A11:C12"/>
    <ns0:mergeCell ref="D10:F10"/>
    <ns0:mergeCell ref="D11:F12"/>
    <ns0:mergeCell ref="G10:I10"/>
    <ns0:mergeCell ref="G11:I12"/>
    <ns0:mergeCell ref="J10:L10"/>
    <ns0:mergeCell ref="J11:L12"/>
    <ns0:mergeCell ref="M10:O10"/>
    <ns0:mergeCell ref="M11:O12"/>
    <ns0:mergeCell ref="B55:F55"/>
    <ns0:mergeCell ref="G55:H55"/>
    <ns0:mergeCell ref="I55:J55"/>
    <ns0:mergeCell ref="K55:L55"/>
    <ns0:mergeCell ref="M55:P55"/>
    <ns0:mergeCell ref="B56:F56"/>
    <ns0:mergeCell ref="G56:H56"/>
    <ns0:mergeCell ref="I56:J56"/>
    <ns0:mergeCell ref="K56:L56"/>
    <ns0:mergeCell ref="M56:P56"/>
    <ns0:mergeCell ref="B57:F57"/>
    <ns0:mergeCell ref="G57:H57"/>
    <ns0:mergeCell ref="I57:J57"/>
    <ns0:mergeCell ref="K57:L57"/>
    <ns0:mergeCell ref="M57:P57"/>
    <ns0:mergeCell ref="B58:F58"/>
    <ns0:mergeCell ref="G58:H58"/>
    <ns0:mergeCell ref="I58:J58"/>
    <ns0:mergeCell ref="K58:L58"/>
    <ns0:mergeCell ref="M58:P58"/>
    <ns0:mergeCell ref="B59:F59"/>
    <ns0:mergeCell ref="G59:H59"/>
    <ns0:mergeCell ref="I59:J59"/>
    <ns0:mergeCell ref="K59:L59"/>
    <ns0:mergeCell ref="M59:P59"/>
    <ns0:mergeCell ref="B60:F60"/>
    <ns0:mergeCell ref="G60:H60"/>
    <ns0:mergeCell ref="I60:J60"/>
    <ns0:mergeCell ref="K60:L60"/>
    <ns0:mergeCell ref="M60:P60"/>
    <ns0:mergeCell ref="B65:F65"/>
    <ns0:mergeCell ref="G65:H65"/>
    <ns0:mergeCell ref="I65:J65"/>
    <ns0:mergeCell ref="K65:L65"/>
    <ns0:mergeCell ref="M65:P65"/>
    <ns0:mergeCell ref="B66:F66"/>
    <ns0:mergeCell ref="G66:H66"/>
    <ns0:mergeCell ref="I66:J66"/>
    <ns0:mergeCell ref="K66:L66"/>
    <ns0:mergeCell ref="M66:P66"/>
    <ns0:mergeCell ref="B67:F67"/>
    <ns0:mergeCell ref="G67:H67"/>
    <ns0:mergeCell ref="I67:J67"/>
    <ns0:mergeCell ref="K67:L67"/>
    <ns0:mergeCell ref="M67:P67"/>
    <ns0:mergeCell ref="B68:F68"/>
    <ns0:mergeCell ref="G68:H68"/>
    <ns0:mergeCell ref="I68:J68"/>
    <ns0:mergeCell ref="K68:L68"/>
    <ns0:mergeCell ref="M68:P68"/>
    <ns0:mergeCell ref="B69:F69"/>
    <ns0:mergeCell ref="G69:H69"/>
    <ns0:mergeCell ref="I69:J69"/>
    <ns0:mergeCell ref="K69:L69"/>
    <ns0:mergeCell ref="M69:P69"/>
    <ns0:mergeCell ref="B70:F70"/>
    <ns0:mergeCell ref="G70:H70"/>
    <ns0:mergeCell ref="I70:J70"/>
    <ns0:mergeCell ref="K70:L70"/>
    <ns0:mergeCell ref="M70:P70"/>
    <ns0:mergeCell ref="B75:F75"/>
    <ns0:mergeCell ref="G75:H75"/>
    <ns0:mergeCell ref="I75:J75"/>
    <ns0:mergeCell ref="K75:L75"/>
    <ns0:mergeCell ref="M75:P75"/>
    <ns0:mergeCell ref="B76:F76"/>
    <ns0:mergeCell ref="G76:H76"/>
    <ns0:mergeCell ref="I76:J76"/>
    <ns0:mergeCell ref="K76:L76"/>
    <ns0:mergeCell ref="M76:P76"/>
    <ns0:mergeCell ref="B77:F77"/>
    <ns0:mergeCell ref="G77:H77"/>
    <ns0:mergeCell ref="I77:J77"/>
    <ns0:mergeCell ref="K77:L77"/>
    <ns0:mergeCell ref="M77:P77"/>
    <ns0:mergeCell ref="B78:F78"/>
    <ns0:mergeCell ref="G78:H78"/>
    <ns0:mergeCell ref="I78:J78"/>
    <ns0:mergeCell ref="K78:L78"/>
    <ns0:mergeCell ref="M78:P78"/>
    <ns0:mergeCell ref="B79:F79"/>
    <ns0:mergeCell ref="G79:H79"/>
    <ns0:mergeCell ref="I79:J79"/>
    <ns0:mergeCell ref="K79:L79"/>
    <ns0:mergeCell ref="M79:P79"/>
    <ns0:mergeCell ref="B80:F80"/>
    <ns0:mergeCell ref="G80:H80"/>
    <ns0:mergeCell ref="I80:J80"/>
    <ns0:mergeCell ref="K80:L80"/>
    <ns0:mergeCell ref="M80:P80"/>
    <ns0:mergeCell ref="B85:F85"/>
    <ns0:mergeCell ref="G85:H85"/>
    <ns0:mergeCell ref="I85:J85"/>
    <ns0:mergeCell ref="K85:L85"/>
    <ns0:mergeCell ref="M85:P85"/>
    <ns0:mergeCell ref="B86:F86"/>
    <ns0:mergeCell ref="G86:H86"/>
    <ns0:mergeCell ref="I86:J86"/>
    <ns0:mergeCell ref="K86:L86"/>
    <ns0:mergeCell ref="M86:P86"/>
    <ns0:mergeCell ref="B87:F87"/>
    <ns0:mergeCell ref="G87:H87"/>
    <ns0:mergeCell ref="I87:J87"/>
    <ns0:mergeCell ref="K87:L87"/>
    <ns0:mergeCell ref="M87:P87"/>
    <ns0:mergeCell ref="B88:F88"/>
    <ns0:mergeCell ref="G88:H88"/>
    <ns0:mergeCell ref="I88:J88"/>
    <ns0:mergeCell ref="K88:L88"/>
    <ns0:mergeCell ref="M88:P88"/>
    <ns0:mergeCell ref="B89:F89"/>
    <ns0:mergeCell ref="G89:H89"/>
    <ns0:mergeCell ref="I89:J89"/>
    <ns0:mergeCell ref="K89:L89"/>
    <ns0:mergeCell ref="M89:P89"/>
    <ns0:mergeCell ref="B90:F90"/>
    <ns0:mergeCell ref="G90:H90"/>
    <ns0:mergeCell ref="I90:J90"/>
    <ns0:mergeCell ref="K90:L90"/>
    <ns0:mergeCell ref="M90:P90"/>
  </ns0:mergeCells>
  <ns0:pageMargins left="0.7" right="0.7" top="0.75" bottom="0.75" header="0.3" footer="0.3"/>
  <ns0:drawing ns1:id="Rb3c845aea83d48fb"/>
</ns0:worksheet>
</file>

<file path=xl/worksheets/sheet4.xml><?xml version="1.0" encoding="utf-8"?>
<ns0:worksheet xmlns:ns0="http://schemas.openxmlformats.org/spreadsheetml/2006/main">
  <ns0:sheetPr>
    <ns0:tabColor rgb="FF24364B"/>
  </ns0:sheetPr>
  <ns0:sheetViews>
    <ns0:sheetView showGridLines="0" workbookViewId="0" zoomScale="95">
      <ns0:pane xSplit="1" ySplit="6" topLeftCell="B7" activePane="bottomRight" state="frozen"/>
    </ns0:sheetView>
  </ns0:sheetViews>
  <ns0:sheetFormatPr defaultRowHeight="15"/>
  <ns0:cols>
    <ns0:col min="1" max="1" width="53" hidden="0" customWidth="1"/>
    <ns0:col min="2" max="2" width="15" hidden="0" customWidth="1"/>
    <ns0:col min="3" max="3" width="15" hidden="0" customWidth="1"/>
    <ns0:col min="4" max="4" width="15" hidden="0" customWidth="1"/>
    <ns0:col min="5" max="5" width="15" hidden="0" customWidth="1"/>
    <ns0:col min="6" max="6" width="15" hidden="0" customWidth="1"/>
    <ns0:col min="7" max="7" width="15" hidden="0" customWidth="1"/>
    <ns0:col min="8" max="8" width="85" hidden="0" customWidth="1"/>
    <ns0:col min="10" max="56" hidden="1" width="12" customWidth="1"/>
  </ns0:cols>
  <ns0:sheetData>
    <ns0:row r="1" ht="24" customHeight="1">
      <ns0:c r="A1" s="2"/>
      <ns0:c r="B1" s="2"/>
      <ns0:c r="C1" s="2"/>
      <ns0:c r="D1" s="2"/>
      <ns0:c r="E1" s="2"/>
      <ns0:c r="F1" s="2"/>
      <ns0:c r="G1" s="2"/>
      <ns0:c r="H1" s="2"/>
    </ns0:row>
    <ns0:row r="2" ht="24" customHeight="1">
      <ns0:c r="A2" s="3" t="str">
        <ns0:v>Resource assignments</ns0:v>
      </ns0:c>
      <ns0:c r="B2" s="2"/>
      <ns0:c r="C2" s="2"/>
      <ns0:c r="D2" s="2"/>
      <ns0:c r="E2" s="2"/>
      <ns0:c r="F2" s="2"/>
      <ns0:c r="G2" s="2"/>
      <ns0:c r="H2" s="2"/>
    </ns0:row>
    <ns0:row r="3" ht="24" customHeight="1">
      <ns0:c r="A3" s="2"/>
      <ns0:c r="B3" s="2"/>
      <ns0:c r="C3" s="2"/>
      <ns0:c r="D3" s="2"/>
      <ns0:c r="E3" s="2"/>
      <ns0:c r="F3" s="2"/>
      <ns0:c r="G3" s="2"/>
      <ns0:c r="H3" s="2"/>
    </ns0:row>
    <ns0:row r="4" ht="24" customHeight="1">
      <ns0:c r="A4" s="2" t="str">
        <ns0:v>Counts include shared roles/tools. Overlap flags concurrent assignments; capacity limits were not supplied.</ns0:v>
      </ns0:c>
      <ns0:c r="B4" s="2"/>
      <ns0:c r="C4" s="2"/>
      <ns0:c r="D4" s="2"/>
      <ns0:c r="E4" s="2"/>
      <ns0:c r="F4" s="2"/>
      <ns0:c r="G4" s="2"/>
      <ns0:c r="H4" s="2"/>
    </ns0:row>
    <ns0:row r="5" ht="24" customHeight="1">
      <ns0:c r="A5" s="2"/>
      <ns0:c r="B5" s="2"/>
      <ns0:c r="C5" s="2"/>
      <ns0:c r="D5" s="2"/>
      <ns0:c r="E5" s="2"/>
      <ns0:c r="F5" s="2"/>
      <ns0:c r="G5" s="2"/>
      <ns0:c r="H5" s="2"/>
    </ns0:row>
    <ns0:row r="6" ht="34" customHeight="1">
      <ns0:c r="A6" s="7" t="str">
        <ns0:v>Resource</ns0:v>
      </ns0:c>
      <ns0:c r="B6" s="7" t="str">
        <ns0:v>Total Assigned Tasks</ns0:v>
      </ns0:c>
      <ns0:c r="C6" s="7" t="str">
        <ns0:v>Completed</ns0:v>
      </ns0:c>
      <ns0:c r="D6" s="7" t="str">
        <ns0:v>In Progress</ns0:v>
      </ns0:c>
      <ns0:c r="E6" s="7" t="str">
        <ns0:v>Remaining</ns0:v>
      </ns0:c>
      <ns0:c r="F6" s="7" t="str">
        <ns0:v>Average Progress</ns0:v>
      </ns0:c>
      <ns0:c r="G6" s="7" t="str">
        <ns0:v>Overlap Days</ns0:v>
      </ns0:c>
      <ns0:c r="H6" s="7" t="str">
        <ns0:v>Notes</ns0:v>
      </ns0:c>
      <ns0:c r="J6" t="str">
        <ns0:v>Resource token</ns0:v>
      </ns0:c>
      <ns0:c r="K6" t="str">
        <ns0:v>Unique resource sequence</ns0:v>
      </ns0:c>
      <ns0:c r="V6" t="n">
        <ns0:v>46276</ns0:v>
      </ns0:c>
      <ns0:c r="W6" t="n">
        <ns0:v>46277</ns0:v>
      </ns0:c>
      <ns0:c r="X6" t="n">
        <ns0:v>46278</ns0:v>
      </ns0:c>
      <ns0:c r="Y6" t="n">
        <ns0:v>46279</ns0:v>
      </ns0:c>
      <ns0:c r="Z6" t="n">
        <ns0:v>46280</ns0:v>
      </ns0:c>
      <ns0:c r="AA6" t="n">
        <ns0:v>46281</ns0:v>
      </ns0:c>
      <ns0:c r="AB6" t="n">
        <ns0:v>46282</ns0:v>
      </ns0:c>
      <ns0:c r="AC6" t="n">
        <ns0:v>46283</ns0:v>
      </ns0:c>
      <ns0:c r="AD6" t="n">
        <ns0:v>46284</ns0:v>
      </ns0:c>
      <ns0:c r="AE6" t="n">
        <ns0:v>46285</ns0:v>
      </ns0:c>
      <ns0:c r="AF6" t="n">
        <ns0:v>46286</ns0:v>
      </ns0:c>
      <ns0:c r="AG6" t="n">
        <ns0:v>46287</ns0:v>
      </ns0:c>
      <ns0:c r="AH6" t="n">
        <ns0:v>46288</ns0:v>
      </ns0:c>
      <ns0:c r="AI6" t="n">
        <ns0:v>46289</ns0:v>
      </ns0:c>
      <ns0:c r="AJ6" t="n">
        <ns0:v>46290</ns0:v>
      </ns0:c>
      <ns0:c r="AK6" t="n">
        <ns0:v>46291</ns0:v>
      </ns0:c>
      <ns0:c r="AL6" t="n">
        <ns0:v>46292</ns0:v>
      </ns0:c>
      <ns0:c r="AM6" t="n">
        <ns0:v>46293</ns0:v>
      </ns0:c>
      <ns0:c r="AN6" t="n">
        <ns0:v>46294</ns0:v>
      </ns0:c>
      <ns0:c r="AO6" t="n">
        <ns0:v>46295</ns0:v>
      </ns0:c>
      <ns0:c r="AP6" t="n">
        <ns0:v>46296</ns0:v>
      </ns0:c>
      <ns0:c r="AQ6" t="n">
        <ns0:v>46297</ns0:v>
      </ns0:c>
      <ns0:c r="AR6" t="n">
        <ns0:v>46298</ns0:v>
      </ns0:c>
      <ns0:c r="AS6" t="n">
        <ns0:v>46299</ns0:v>
      </ns0:c>
      <ns0:c r="AT6" t="n">
        <ns0:v>46300</ns0:v>
      </ns0:c>
      <ns0:c r="AU6" t="n">
        <ns0:v>46301</ns0:v>
      </ns0:c>
      <ns0:c r="AV6" t="n">
        <ns0:v>46302</ns0:v>
      </ns0:c>
      <ns0:c r="AW6" t="n">
        <ns0:v>46303</ns0:v>
      </ns0:c>
      <ns0:c r="AX6" t="n">
        <ns0:v>46304</ns0:v>
      </ns0:c>
      <ns0:c r="AY6" t="n">
        <ns0:v>46305</ns0:v>
      </ns0:c>
      <ns0:c r="AZ6" t="n">
        <ns0:v>46306</ns0:v>
      </ns0:c>
      <ns0:c r="BA6" t="n">
        <ns0:v>46307</ns0:v>
      </ns0:c>
      <ns0:c r="BB6" t="n">
        <ns0:v>46308</ns0:v>
      </ns0:c>
      <ns0:c r="BC6" t="n">
        <ns0:v>46309</ns0:v>
      </ns0:c>
    </ns0:row>
    <ns0:row r="7" ht="48" customHeight="1">
      <ns0:c r="A7" s="8" t="str">
        <ns0:f>IF(ROW()-6&gt;MAX($K$7:$K$406),"",INDEX($J$7:$J$406,MATCH(ROW()-6,$K$7:$K$406,0)))</ns0:f>
        <ns0:v>Brand Stakeholder / Portfolio Owner</ns0:v>
      </ns0:c>
      <ns0:c r="B7" s="8" t="n">
        <ns0:f>IF(A7="","",COUNTIFS($J$7:$J$406,$A7))</ns0:f>
        <ns0:v>2</ns0:v>
      </ns0:c>
      <ns0:c r="C7" s="8" t="n">
        <ns0:f>IF(A7="","",COUNTIFS($J$7:$J$406,$A7,$N$7:$N$406,1))</ns0:f>
        <ns0:v>0</ns0:v>
      </ns0:c>
      <ns0:c r="D7" s="8" t="n">
        <ns0:f>IF(A7="","",COUNTIFS($J$7:$J$406,$A7,$Q$7:$Q$406,"In Progress"))</ns0:f>
        <ns0:v>0</ns0:v>
      </ns0:c>
      <ns0:c r="E7" s="8" t="n">
        <ns0:f>IF(A7="","",B7-C7)</ns0:f>
        <ns0:v>2</ns0:v>
      </ns0:c>
      <ns0:c r="F7" s="19" t="n">
        <ns0:f>IF(A7="","",SUMIFS($N$7:$N$406,$J$7:$J$406,$A7)/B7)</ns0:f>
        <ns0:v>0</ns0:v>
      </ns0:c>
      <ns0:c r="G7" s="8" t="n">
        <ns0:f>IF(A7="","",COUNTIFS(V7:BC7,"&gt;1"))</ns0:f>
        <ns0:v>0</ns0:v>
      </ns0:c>
      <ns0:c r="H7" s="8" t="str">
        <ns0:f>IF(A7="","",IF(COUNTIFS($T$7:$T$33,A7)&gt;0,INDEX($U$7:$U$33,MATCH(A7,$T$7:$T$33,0)),"No capacity or responsibility detail supplied."))</ns0:f>
        <ns0:v>High strategic responsibility; inputs business goals at kickoff and accepts final delivery at project close.</ns0:v>
      </ns0:c>
      <ns0:c r="J7" t="str">
        <ns0:f>IF('Project Tracker'!A7="","",TRIM(MID(SUBSTITUTE('Project Tracker'!K7,";",REPT(" ",150)),1,150)))</ns0:f>
        <ns0:v>Brand Stakeholder / Portfolio Owner</ns0:v>
      </ns0:c>
      <ns0:c r="K7" t="n">
        <ns0:f>IF(J7="","",IF(COUNTIFS($J$7:J7,J7)=1,MAX($K$6:K6)+1,""))</ns0:f>
        <ns0:v>1</ns0:v>
      </ns0:c>
      <ns0:c r="L7" t="n">
        <ns0:f>IF(A7="",0,B7+(107-ROW())/1000)</ns0:f>
        <ns0:v>2.1</ns0:v>
      </ns0:c>
      <ns0:c r="M7" t="str">
        <ns0:f>IF(J7="","",'Project Tracker'!A7)</ns0:f>
        <ns0:v>T01</ns0:v>
      </ns0:c>
      <ns0:c r="N7" t="n">
        <ns0:f>IF(J7="","",'Project Tracker'!N7)</ns0:f>
        <ns0:v>0</ns0:v>
      </ns0:c>
      <ns0:c r="O7" t="n">
        <ns0:f>IF(J7="","",'Project Tracker'!E7)</ns0:f>
        <ns0:v>46276</ns0:v>
      </ns0:c>
      <ns0:c r="P7" t="n">
        <ns0:f>IF(J7="","",'Project Tracker'!F7)</ns0:f>
        <ns0:v>46276</ns0:v>
      </ns0:c>
      <ns0:c r="Q7" t="str">
        <ns0:f>IF(J7="","",'Project Tracker'!Q7)</ns0:f>
        <ns0:v>Not Started</ns0:v>
      </ns0:c>
      <ns0:c r="R7" t="str">
        <ns0:f>IF(J7="","",'Project Tracker'!J7)</ns0:f>
        <ns0:v>No</ns0:v>
      </ns0:c>
      <ns0:c r="T7" t="str">
        <ns0:v>Brand Stakeholder / Portfolio Owner</ns0:v>
      </ns0:c>
      <ns0:c r="U7" t="str">
        <ns0:v>High strategic responsibility; inputs business goals at kickoff and accepts final delivery at project close.</ns0:v>
      </ns0:c>
      <ns0:c r="V7" t="n">
        <ns0:f>IF($A7="",0,COUNTIFS($J$7:$J$406,$A7,$O$7:$O$406,"&lt;="&amp;V$6,$P$7:$P$406,"&gt;="&amp;V$6,$R$7:$R$406,"No"))</ns0:f>
        <ns0:v>1</ns0:v>
      </ns0:c>
      <ns0:c r="W7" t="n">
        <ns0:f>IF($A7="",0,COUNTIFS($J$7:$J$406,$A7,$O$7:$O$406,"&lt;="&amp;W$6,$P$7:$P$406,"&gt;="&amp;W$6,$R$7:$R$406,"No"))</ns0:f>
        <ns0:v>0</ns0:v>
      </ns0:c>
      <ns0:c r="X7" t="n">
        <ns0:f>IF($A7="",0,COUNTIFS($J$7:$J$406,$A7,$O$7:$O$406,"&lt;="&amp;X$6,$P$7:$P$406,"&gt;="&amp;X$6,$R$7:$R$406,"No"))</ns0:f>
        <ns0:v>0</ns0:v>
      </ns0:c>
      <ns0:c r="Y7" t="n">
        <ns0:f>IF($A7="",0,COUNTIFS($J$7:$J$406,$A7,$O$7:$O$406,"&lt;="&amp;Y$6,$P$7:$P$406,"&gt;="&amp;Y$6,$R$7:$R$406,"No"))</ns0:f>
        <ns0:v>0</ns0:v>
      </ns0:c>
      <ns0:c r="Z7" t="n">
        <ns0:f>IF($A7="",0,COUNTIFS($J$7:$J$406,$A7,$O$7:$O$406,"&lt;="&amp;Z$6,$P$7:$P$406,"&gt;="&amp;Z$6,$R$7:$R$406,"No"))</ns0:f>
        <ns0:v>0</ns0:v>
      </ns0:c>
      <ns0:c r="AA7" t="n">
        <ns0:f>IF($A7="",0,COUNTIFS($J$7:$J$406,$A7,$O$7:$O$406,"&lt;="&amp;AA$6,$P$7:$P$406,"&gt;="&amp;AA$6,$R$7:$R$406,"No"))</ns0:f>
        <ns0:v>0</ns0:v>
      </ns0:c>
      <ns0:c r="AB7" t="n">
        <ns0:f>IF($A7="",0,COUNTIFS($J$7:$J$406,$A7,$O$7:$O$406,"&lt;="&amp;AB$6,$P$7:$P$406,"&gt;="&amp;AB$6,$R$7:$R$406,"No"))</ns0:f>
        <ns0:v>0</ns0:v>
      </ns0:c>
      <ns0:c r="AC7" t="n">
        <ns0:f>IF($A7="",0,COUNTIFS($J$7:$J$406,$A7,$O$7:$O$406,"&lt;="&amp;AC$6,$P$7:$P$406,"&gt;="&amp;AC$6,$R$7:$R$406,"No"))</ns0:f>
        <ns0:v>0</ns0:v>
      </ns0:c>
      <ns0:c r="AD7" t="n">
        <ns0:f>IF($A7="",0,COUNTIFS($J$7:$J$406,$A7,$O$7:$O$406,"&lt;="&amp;AD$6,$P$7:$P$406,"&gt;="&amp;AD$6,$R$7:$R$406,"No"))</ns0:f>
        <ns0:v>0</ns0:v>
      </ns0:c>
      <ns0:c r="AE7" t="n">
        <ns0:f>IF($A7="",0,COUNTIFS($J$7:$J$406,$A7,$O$7:$O$406,"&lt;="&amp;AE$6,$P$7:$P$406,"&gt;="&amp;AE$6,$R$7:$R$406,"No"))</ns0:f>
        <ns0:v>0</ns0:v>
      </ns0:c>
      <ns0:c r="AF7" t="n">
        <ns0:f>IF($A7="",0,COUNTIFS($J$7:$J$406,$A7,$O$7:$O$406,"&lt;="&amp;AF$6,$P$7:$P$406,"&gt;="&amp;AF$6,$R$7:$R$406,"No"))</ns0:f>
        <ns0:v>0</ns0:v>
      </ns0:c>
      <ns0:c r="AG7" t="n">
        <ns0:f>IF($A7="",0,COUNTIFS($J$7:$J$406,$A7,$O$7:$O$406,"&lt;="&amp;AG$6,$P$7:$P$406,"&gt;="&amp;AG$6,$R$7:$R$406,"No"))</ns0:f>
        <ns0:v>0</ns0:v>
      </ns0:c>
      <ns0:c r="AH7" t="n">
        <ns0:f>IF($A7="",0,COUNTIFS($J$7:$J$406,$A7,$O$7:$O$406,"&lt;="&amp;AH$6,$P$7:$P$406,"&gt;="&amp;AH$6,$R$7:$R$406,"No"))</ns0:f>
        <ns0:v>0</ns0:v>
      </ns0:c>
      <ns0:c r="AI7" t="n">
        <ns0:f>IF($A7="",0,COUNTIFS($J$7:$J$406,$A7,$O$7:$O$406,"&lt;="&amp;AI$6,$P$7:$P$406,"&gt;="&amp;AI$6,$R$7:$R$406,"No"))</ns0:f>
        <ns0:v>0</ns0:v>
      </ns0:c>
      <ns0:c r="AJ7" t="n">
        <ns0:f>IF($A7="",0,COUNTIFS($J$7:$J$406,$A7,$O$7:$O$406,"&lt;="&amp;AJ$6,$P$7:$P$406,"&gt;="&amp;AJ$6,$R$7:$R$406,"No"))</ns0:f>
        <ns0:v>0</ns0:v>
      </ns0:c>
      <ns0:c r="AK7" t="n">
        <ns0:f>IF($A7="",0,COUNTIFS($J$7:$J$406,$A7,$O$7:$O$406,"&lt;="&amp;AK$6,$P$7:$P$406,"&gt;="&amp;AK$6,$R$7:$R$406,"No"))</ns0:f>
        <ns0:v>0</ns0:v>
      </ns0:c>
      <ns0:c r="AL7" t="n">
        <ns0:f>IF($A7="",0,COUNTIFS($J$7:$J$406,$A7,$O$7:$O$406,"&lt;="&amp;AL$6,$P$7:$P$406,"&gt;="&amp;AL$6,$R$7:$R$406,"No"))</ns0:f>
        <ns0:v>0</ns0:v>
      </ns0:c>
      <ns0:c r="AM7" t="n">
        <ns0:f>IF($A7="",0,COUNTIFS($J$7:$J$406,$A7,$O$7:$O$406,"&lt;="&amp;AM$6,$P$7:$P$406,"&gt;="&amp;AM$6,$R$7:$R$406,"No"))</ns0:f>
        <ns0:v>0</ns0:v>
      </ns0:c>
      <ns0:c r="AN7" t="n">
        <ns0:f>IF($A7="",0,COUNTIFS($J$7:$J$406,$A7,$O$7:$O$406,"&lt;="&amp;AN$6,$P$7:$P$406,"&gt;="&amp;AN$6,$R$7:$R$406,"No"))</ns0:f>
        <ns0:v>0</ns0:v>
      </ns0:c>
      <ns0:c r="AO7" t="n">
        <ns0:f>IF($A7="",0,COUNTIFS($J$7:$J$406,$A7,$O$7:$O$406,"&lt;="&amp;AO$6,$P$7:$P$406,"&gt;="&amp;AO$6,$R$7:$R$406,"No"))</ns0:f>
        <ns0:v>0</ns0:v>
      </ns0:c>
      <ns0:c r="AP7" t="n">
        <ns0:f>IF($A7="",0,COUNTIFS($J$7:$J$406,$A7,$O$7:$O$406,"&lt;="&amp;AP$6,$P$7:$P$406,"&gt;="&amp;AP$6,$R$7:$R$406,"No"))</ns0:f>
        <ns0:v>0</ns0:v>
      </ns0:c>
      <ns0:c r="AQ7" t="n">
        <ns0:f>IF($A7="",0,COUNTIFS($J$7:$J$406,$A7,$O$7:$O$406,"&lt;="&amp;AQ$6,$P$7:$P$406,"&gt;="&amp;AQ$6,$R$7:$R$406,"No"))</ns0:f>
        <ns0:v>0</ns0:v>
      </ns0:c>
      <ns0:c r="AR7" t="n">
        <ns0:f>IF($A7="",0,COUNTIFS($J$7:$J$406,$A7,$O$7:$O$406,"&lt;="&amp;AR$6,$P$7:$P$406,"&gt;="&amp;AR$6,$R$7:$R$406,"No"))</ns0:f>
        <ns0:v>0</ns0:v>
      </ns0:c>
      <ns0:c r="AS7" t="n">
        <ns0:f>IF($A7="",0,COUNTIFS($J$7:$J$406,$A7,$O$7:$O$406,"&lt;="&amp;AS$6,$P$7:$P$406,"&gt;="&amp;AS$6,$R$7:$R$406,"No"))</ns0:f>
        <ns0:v>0</ns0:v>
      </ns0:c>
      <ns0:c r="AT7" t="n">
        <ns0:f>IF($A7="",0,COUNTIFS($J$7:$J$406,$A7,$O$7:$O$406,"&lt;="&amp;AT$6,$P$7:$P$406,"&gt;="&amp;AT$6,$R$7:$R$406,"No"))</ns0:f>
        <ns0:v>0</ns0:v>
      </ns0:c>
      <ns0:c r="AU7" t="n">
        <ns0:f>IF($A7="",0,COUNTIFS($J$7:$J$406,$A7,$O$7:$O$406,"&lt;="&amp;AU$6,$P$7:$P$406,"&gt;="&amp;AU$6,$R$7:$R$406,"No"))</ns0:f>
        <ns0:v>0</ns0:v>
      </ns0:c>
      <ns0:c r="AV7" t="n">
        <ns0:f>IF($A7="",0,COUNTIFS($J$7:$J$406,$A7,$O$7:$O$406,"&lt;="&amp;AV$6,$P$7:$P$406,"&gt;="&amp;AV$6,$R$7:$R$406,"No"))</ns0:f>
        <ns0:v>0</ns0:v>
      </ns0:c>
      <ns0:c r="AW7" t="n">
        <ns0:f>IF($A7="",0,COUNTIFS($J$7:$J$406,$A7,$O$7:$O$406,"&lt;="&amp;AW$6,$P$7:$P$406,"&gt;="&amp;AW$6,$R$7:$R$406,"No"))</ns0:f>
        <ns0:v>0</ns0:v>
      </ns0:c>
      <ns0:c r="AX7" t="n">
        <ns0:f>IF($A7="",0,COUNTIFS($J$7:$J$406,$A7,$O$7:$O$406,"&lt;="&amp;AX$6,$P$7:$P$406,"&gt;="&amp;AX$6,$R$7:$R$406,"No"))</ns0:f>
        <ns0:v>0</ns0:v>
      </ns0:c>
      <ns0:c r="AY7" t="n">
        <ns0:f>IF($A7="",0,COUNTIFS($J$7:$J$406,$A7,$O$7:$O$406,"&lt;="&amp;AY$6,$P$7:$P$406,"&gt;="&amp;AY$6,$R$7:$R$406,"No"))</ns0:f>
        <ns0:v>0</ns0:v>
      </ns0:c>
      <ns0:c r="AZ7" t="n">
        <ns0:f>IF($A7="",0,COUNTIFS($J$7:$J$406,$A7,$O$7:$O$406,"&lt;="&amp;AZ$6,$P$7:$P$406,"&gt;="&amp;AZ$6,$R$7:$R$406,"No"))</ns0:f>
        <ns0:v>0</ns0:v>
      </ns0:c>
      <ns0:c r="BA7" t="n">
        <ns0:f>IF($A7="",0,COUNTIFS($J$7:$J$406,$A7,$O$7:$O$406,"&lt;="&amp;BA$6,$P$7:$P$406,"&gt;="&amp;BA$6,$R$7:$R$406,"No"))</ns0:f>
        <ns0:v>0</ns0:v>
      </ns0:c>
      <ns0:c r="BB7" t="n">
        <ns0:f>IF($A7="",0,COUNTIFS($J$7:$J$406,$A7,$O$7:$O$406,"&lt;="&amp;BB$6,$P$7:$P$406,"&gt;="&amp;BB$6,$R$7:$R$406,"No"))</ns0:f>
        <ns0:v>0</ns0:v>
      </ns0:c>
      <ns0:c r="BC7" t="n">
        <ns0:f>IF($A7="",0,COUNTIFS($J$7:$J$406,$A7,$O$7:$O$406,"&lt;="&amp;BC$6,$P$7:$P$406,"&gt;="&amp;BC$6,$R$7:$R$406,"No"))</ns0:f>
        <ns0:v>1</ns0:v>
      </ns0:c>
    </ns0:row>
    <ns0:row r="8" ht="48" customHeight="1">
      <ns0:c r="A8" s="8" t="str">
        <ns0:f>IF(ROW()-6&gt;MAX($K$7:$K$406),"",INDEX($J$7:$J$406,MATCH(ROW()-6,$K$7:$K$406,0)))</ns0:f>
        <ns0:v>Enterprise Policy Engine</ns0:v>
      </ns0:c>
      <ns0:c r="B8" s="8" t="n">
        <ns0:f>IF(A8="","",COUNTIFS($J$7:$J$406,$A8))</ns0:f>
        <ns0:v>1</ns0:v>
      </ns0:c>
      <ns0:c r="C8" s="8" t="n">
        <ns0:f>IF(A8="","",COUNTIFS($J$7:$J$406,$A8,$N$7:$N$406,1))</ns0:f>
        <ns0:v>0</ns0:v>
      </ns0:c>
      <ns0:c r="D8" s="8" t="n">
        <ns0:f>IF(A8="","",COUNTIFS($J$7:$J$406,$A8,$Q$7:$Q$406,"In Progress"))</ns0:f>
        <ns0:v>0</ns0:v>
      </ns0:c>
      <ns0:c r="E8" s="8" t="n">
        <ns0:f>IF(A8="","",B8-C8)</ns0:f>
        <ns0:v>1</ns0:v>
      </ns0:c>
      <ns0:c r="F8" s="19" t="n">
        <ns0:f>IF(A8="","",SUMIFS($N$7:$N$406,$J$7:$J$406,$A8)/B8)</ns0:f>
        <ns0:v>0</ns0:v>
      </ns0:c>
      <ns0:c r="G8" s="8" t="n">
        <ns0:f>IF(A8="","",COUNTIFS(V8:BC8,"&gt;1"))</ns0:f>
        <ns0:v>0</ns0:v>
      </ns0:c>
      <ns0:c r="H8" s="8" t="str">
        <ns0:f>IF(A8="","",IF(COUNTIFS($T$7:$T$33,A8)&gt;0,INDEX($U$7:$U$33,MATCH(A8,$T$7:$T$33,0)),"No capacity or responsibility detail supplied."))</ns0:f>
        <ns0:v>Automated policy rule definition; defines risk matrices and compliance envelopes.</ns0:v>
      </ns0:c>
      <ns0:c r="J8" t="str">
        <ns0:f>IF('Project Tracker'!A7="","",TRIM(MID(SUBSTITUTE('Project Tracker'!K7,";",REPT(" ",150)),151,150)))</ns0:f>
      </ns0:c>
      <ns0:c r="K8" t="str">
        <ns0:f>IF(J8="","",IF(COUNTIFS($J$7:J8,J8)=1,MAX($K$6:K7)+1,""))</ns0:f>
      </ns0:c>
      <ns0:c r="L8" t="n">
        <ns0:f>IF(A8="",0,B8+(107-ROW())/1000)</ns0:f>
        <ns0:v>1.099</ns0:v>
      </ns0:c>
      <ns0:c r="M8" t="str">
        <ns0:f>IF(J8="","",'Project Tracker'!A7)</ns0:f>
      </ns0:c>
      <ns0:c r="N8" t="str">
        <ns0:f>IF(J8="","",'Project Tracker'!N7)</ns0:f>
      </ns0:c>
      <ns0:c r="O8" t="str">
        <ns0:f>IF(J8="","",'Project Tracker'!E7)</ns0:f>
      </ns0:c>
      <ns0:c r="P8" t="str">
        <ns0:f>IF(J8="","",'Project Tracker'!F7)</ns0:f>
      </ns0:c>
      <ns0:c r="Q8" t="str">
        <ns0:f>IF(J8="","",'Project Tracker'!Q7)</ns0:f>
      </ns0:c>
      <ns0:c r="R8" t="str">
        <ns0:f>IF(J8="","",'Project Tracker'!J7)</ns0:f>
      </ns0:c>
      <ns0:c r="T8" t="str">
        <ns0:v>Enterprise Policy Engine</ns0:v>
      </ns0:c>
      <ns0:c r="U8" t="str">
        <ns0:v>Automated policy rule definition; defines risk matrices and compliance envelopes.</ns0:v>
      </ns0:c>
      <ns0:c r="V8" t="n">
        <ns0:f>IF($A8="",0,COUNTIFS($J$7:$J$406,$A8,$O$7:$O$406,"&lt;="&amp;V$6,$P$7:$P$406,"&gt;="&amp;V$6,$R$7:$R$406,"No"))</ns0:f>
        <ns0:v>1</ns0:v>
      </ns0:c>
      <ns0:c r="W8" t="n">
        <ns0:f>IF($A8="",0,COUNTIFS($J$7:$J$406,$A8,$O$7:$O$406,"&lt;="&amp;W$6,$P$7:$P$406,"&gt;="&amp;W$6,$R$7:$R$406,"No"))</ns0:f>
        <ns0:v>0</ns0:v>
      </ns0:c>
      <ns0:c r="X8" t="n">
        <ns0:f>IF($A8="",0,COUNTIFS($J$7:$J$406,$A8,$O$7:$O$406,"&lt;="&amp;X$6,$P$7:$P$406,"&gt;="&amp;X$6,$R$7:$R$406,"No"))</ns0:f>
        <ns0:v>0</ns0:v>
      </ns0:c>
      <ns0:c r="Y8" t="n">
        <ns0:f>IF($A8="",0,COUNTIFS($J$7:$J$406,$A8,$O$7:$O$406,"&lt;="&amp;Y$6,$P$7:$P$406,"&gt;="&amp;Y$6,$R$7:$R$406,"No"))</ns0:f>
        <ns0:v>0</ns0:v>
      </ns0:c>
      <ns0:c r="Z8" t="n">
        <ns0:f>IF($A8="",0,COUNTIFS($J$7:$J$406,$A8,$O$7:$O$406,"&lt;="&amp;Z$6,$P$7:$P$406,"&gt;="&amp;Z$6,$R$7:$R$406,"No"))</ns0:f>
        <ns0:v>0</ns0:v>
      </ns0:c>
      <ns0:c r="AA8" t="n">
        <ns0:f>IF($A8="",0,COUNTIFS($J$7:$J$406,$A8,$O$7:$O$406,"&lt;="&amp;AA$6,$P$7:$P$406,"&gt;="&amp;AA$6,$R$7:$R$406,"No"))</ns0:f>
        <ns0:v>0</ns0:v>
      </ns0:c>
      <ns0:c r="AB8" t="n">
        <ns0:f>IF($A8="",0,COUNTIFS($J$7:$J$406,$A8,$O$7:$O$406,"&lt;="&amp;AB$6,$P$7:$P$406,"&gt;="&amp;AB$6,$R$7:$R$406,"No"))</ns0:f>
        <ns0:v>0</ns0:v>
      </ns0:c>
      <ns0:c r="AC8" t="n">
        <ns0:f>IF($A8="",0,COUNTIFS($J$7:$J$406,$A8,$O$7:$O$406,"&lt;="&amp;AC$6,$P$7:$P$406,"&gt;="&amp;AC$6,$R$7:$R$406,"No"))</ns0:f>
        <ns0:v>0</ns0:v>
      </ns0:c>
      <ns0:c r="AD8" t="n">
        <ns0:f>IF($A8="",0,COUNTIFS($J$7:$J$406,$A8,$O$7:$O$406,"&lt;="&amp;AD$6,$P$7:$P$406,"&gt;="&amp;AD$6,$R$7:$R$406,"No"))</ns0:f>
        <ns0:v>0</ns0:v>
      </ns0:c>
      <ns0:c r="AE8" t="n">
        <ns0:f>IF($A8="",0,COUNTIFS($J$7:$J$406,$A8,$O$7:$O$406,"&lt;="&amp;AE$6,$P$7:$P$406,"&gt;="&amp;AE$6,$R$7:$R$406,"No"))</ns0:f>
        <ns0:v>0</ns0:v>
      </ns0:c>
      <ns0:c r="AF8" t="n">
        <ns0:f>IF($A8="",0,COUNTIFS($J$7:$J$406,$A8,$O$7:$O$406,"&lt;="&amp;AF$6,$P$7:$P$406,"&gt;="&amp;AF$6,$R$7:$R$406,"No"))</ns0:f>
        <ns0:v>0</ns0:v>
      </ns0:c>
      <ns0:c r="AG8" t="n">
        <ns0:f>IF($A8="",0,COUNTIFS($J$7:$J$406,$A8,$O$7:$O$406,"&lt;="&amp;AG$6,$P$7:$P$406,"&gt;="&amp;AG$6,$R$7:$R$406,"No"))</ns0:f>
        <ns0:v>0</ns0:v>
      </ns0:c>
      <ns0:c r="AH8" t="n">
        <ns0:f>IF($A8="",0,COUNTIFS($J$7:$J$406,$A8,$O$7:$O$406,"&lt;="&amp;AH$6,$P$7:$P$406,"&gt;="&amp;AH$6,$R$7:$R$406,"No"))</ns0:f>
        <ns0:v>0</ns0:v>
      </ns0:c>
      <ns0:c r="AI8" t="n">
        <ns0:f>IF($A8="",0,COUNTIFS($J$7:$J$406,$A8,$O$7:$O$406,"&lt;="&amp;AI$6,$P$7:$P$406,"&gt;="&amp;AI$6,$R$7:$R$406,"No"))</ns0:f>
        <ns0:v>0</ns0:v>
      </ns0:c>
      <ns0:c r="AJ8" t="n">
        <ns0:f>IF($A8="",0,COUNTIFS($J$7:$J$406,$A8,$O$7:$O$406,"&lt;="&amp;AJ$6,$P$7:$P$406,"&gt;="&amp;AJ$6,$R$7:$R$406,"No"))</ns0:f>
        <ns0:v>0</ns0:v>
      </ns0:c>
      <ns0:c r="AK8" t="n">
        <ns0:f>IF($A8="",0,COUNTIFS($J$7:$J$406,$A8,$O$7:$O$406,"&lt;="&amp;AK$6,$P$7:$P$406,"&gt;="&amp;AK$6,$R$7:$R$406,"No"))</ns0:f>
        <ns0:v>0</ns0:v>
      </ns0:c>
      <ns0:c r="AL8" t="n">
        <ns0:f>IF($A8="",0,COUNTIFS($J$7:$J$406,$A8,$O$7:$O$406,"&lt;="&amp;AL$6,$P$7:$P$406,"&gt;="&amp;AL$6,$R$7:$R$406,"No"))</ns0:f>
        <ns0:v>0</ns0:v>
      </ns0:c>
      <ns0:c r="AM8" t="n">
        <ns0:f>IF($A8="",0,COUNTIFS($J$7:$J$406,$A8,$O$7:$O$406,"&lt;="&amp;AM$6,$P$7:$P$406,"&gt;="&amp;AM$6,$R$7:$R$406,"No"))</ns0:f>
        <ns0:v>0</ns0:v>
      </ns0:c>
      <ns0:c r="AN8" t="n">
        <ns0:f>IF($A8="",0,COUNTIFS($J$7:$J$406,$A8,$O$7:$O$406,"&lt;="&amp;AN$6,$P$7:$P$406,"&gt;="&amp;AN$6,$R$7:$R$406,"No"))</ns0:f>
        <ns0:v>0</ns0:v>
      </ns0:c>
      <ns0:c r="AO8" t="n">
        <ns0:f>IF($A8="",0,COUNTIFS($J$7:$J$406,$A8,$O$7:$O$406,"&lt;="&amp;AO$6,$P$7:$P$406,"&gt;="&amp;AO$6,$R$7:$R$406,"No"))</ns0:f>
        <ns0:v>0</ns0:v>
      </ns0:c>
      <ns0:c r="AP8" t="n">
        <ns0:f>IF($A8="",0,COUNTIFS($J$7:$J$406,$A8,$O$7:$O$406,"&lt;="&amp;AP$6,$P$7:$P$406,"&gt;="&amp;AP$6,$R$7:$R$406,"No"))</ns0:f>
        <ns0:v>0</ns0:v>
      </ns0:c>
      <ns0:c r="AQ8" t="n">
        <ns0:f>IF($A8="",0,COUNTIFS($J$7:$J$406,$A8,$O$7:$O$406,"&lt;="&amp;AQ$6,$P$7:$P$406,"&gt;="&amp;AQ$6,$R$7:$R$406,"No"))</ns0:f>
        <ns0:v>0</ns0:v>
      </ns0:c>
      <ns0:c r="AR8" t="n">
        <ns0:f>IF($A8="",0,COUNTIFS($J$7:$J$406,$A8,$O$7:$O$406,"&lt;="&amp;AR$6,$P$7:$P$406,"&gt;="&amp;AR$6,$R$7:$R$406,"No"))</ns0:f>
        <ns0:v>0</ns0:v>
      </ns0:c>
      <ns0:c r="AS8" t="n">
        <ns0:f>IF($A8="",0,COUNTIFS($J$7:$J$406,$A8,$O$7:$O$406,"&lt;="&amp;AS$6,$P$7:$P$406,"&gt;="&amp;AS$6,$R$7:$R$406,"No"))</ns0:f>
        <ns0:v>0</ns0:v>
      </ns0:c>
      <ns0:c r="AT8" t="n">
        <ns0:f>IF($A8="",0,COUNTIFS($J$7:$J$406,$A8,$O$7:$O$406,"&lt;="&amp;AT$6,$P$7:$P$406,"&gt;="&amp;AT$6,$R$7:$R$406,"No"))</ns0:f>
        <ns0:v>0</ns0:v>
      </ns0:c>
      <ns0:c r="AU8" t="n">
        <ns0:f>IF($A8="",0,COUNTIFS($J$7:$J$406,$A8,$O$7:$O$406,"&lt;="&amp;AU$6,$P$7:$P$406,"&gt;="&amp;AU$6,$R$7:$R$406,"No"))</ns0:f>
        <ns0:v>0</ns0:v>
      </ns0:c>
      <ns0:c r="AV8" t="n">
        <ns0:f>IF($A8="",0,COUNTIFS($J$7:$J$406,$A8,$O$7:$O$406,"&lt;="&amp;AV$6,$P$7:$P$406,"&gt;="&amp;AV$6,$R$7:$R$406,"No"))</ns0:f>
        <ns0:v>0</ns0:v>
      </ns0:c>
      <ns0:c r="AW8" t="n">
        <ns0:f>IF($A8="",0,COUNTIFS($J$7:$J$406,$A8,$O$7:$O$406,"&lt;="&amp;AW$6,$P$7:$P$406,"&gt;="&amp;AW$6,$R$7:$R$406,"No"))</ns0:f>
        <ns0:v>0</ns0:v>
      </ns0:c>
      <ns0:c r="AX8" t="n">
        <ns0:f>IF($A8="",0,COUNTIFS($J$7:$J$406,$A8,$O$7:$O$406,"&lt;="&amp;AX$6,$P$7:$P$406,"&gt;="&amp;AX$6,$R$7:$R$406,"No"))</ns0:f>
        <ns0:v>0</ns0:v>
      </ns0:c>
      <ns0:c r="AY8" t="n">
        <ns0:f>IF($A8="",0,COUNTIFS($J$7:$J$406,$A8,$O$7:$O$406,"&lt;="&amp;AY$6,$P$7:$P$406,"&gt;="&amp;AY$6,$R$7:$R$406,"No"))</ns0:f>
        <ns0:v>0</ns0:v>
      </ns0:c>
      <ns0:c r="AZ8" t="n">
        <ns0:f>IF($A8="",0,COUNTIFS($J$7:$J$406,$A8,$O$7:$O$406,"&lt;="&amp;AZ$6,$P$7:$P$406,"&gt;="&amp;AZ$6,$R$7:$R$406,"No"))</ns0:f>
        <ns0:v>0</ns0:v>
      </ns0:c>
      <ns0:c r="BA8" t="n">
        <ns0:f>IF($A8="",0,COUNTIFS($J$7:$J$406,$A8,$O$7:$O$406,"&lt;="&amp;BA$6,$P$7:$P$406,"&gt;="&amp;BA$6,$R$7:$R$406,"No"))</ns0:f>
        <ns0:v>0</ns0:v>
      </ns0:c>
      <ns0:c r="BB8" t="n">
        <ns0:f>IF($A8="",0,COUNTIFS($J$7:$J$406,$A8,$O$7:$O$406,"&lt;="&amp;BB$6,$P$7:$P$406,"&gt;="&amp;BB$6,$R$7:$R$406,"No"))</ns0:f>
        <ns0:v>0</ns0:v>
      </ns0:c>
      <ns0:c r="BC8" t="n">
        <ns0:f>IF($A8="",0,COUNTIFS($J$7:$J$406,$A8,$O$7:$O$406,"&lt;="&amp;BC$6,$P$7:$P$406,"&gt;="&amp;BC$6,$R$7:$R$406,"No"))</ns0:f>
        <ns0:v>0</ns0:v>
      </ns0:c>
    </ns0:row>
    <ns0:row r="9" ht="48" customHeight="1">
      <ns0:c r="A9" s="8" t="str">
        <ns0:f>IF(ROW()-6&gt;MAX($K$7:$K$406),"",INDEX($J$7:$J$406,MATCH(ROW()-6,$K$7:$K$406,0)))</ns0:f>
        <ns0:v>Policy &amp; Authorization Boundary (PAB)</ns0:v>
      </ns0:c>
      <ns0:c r="B9" s="8" t="n">
        <ns0:f>IF(A9="","",COUNTIFS($J$7:$J$406,$A9))</ns0:f>
        <ns0:v>1</ns0:v>
      </ns0:c>
      <ns0:c r="C9" s="8" t="n">
        <ns0:f>IF(A9="","",COUNTIFS($J$7:$J$406,$A9,$N$7:$N$406,1))</ns0:f>
        <ns0:v>0</ns0:v>
      </ns0:c>
      <ns0:c r="D9" s="8" t="n">
        <ns0:f>IF(A9="","",COUNTIFS($J$7:$J$406,$A9,$Q$7:$Q$406,"In Progress"))</ns0:f>
        <ns0:v>0</ns0:v>
      </ns0:c>
      <ns0:c r="E9" s="8" t="n">
        <ns0:f>IF(A9="","",B9-C9)</ns0:f>
        <ns0:v>1</ns0:v>
      </ns0:c>
      <ns0:c r="F9" s="19" t="n">
        <ns0:f>IF(A9="","",SUMIFS($N$7:$N$406,$J$7:$J$406,$A9)/B9)</ns0:f>
        <ns0:v>0</ns0:v>
      </ns0:c>
      <ns0:c r="G9" s="8" t="n">
        <ns0:f>IF(A9="","",COUNTIFS(V9:BC9,"&gt;1"))</ns0:f>
        <ns0:v>0</ns0:v>
      </ns0:c>
      <ns0:c r="H9" s="8" t="str">
        <ns0:f>IF(A9="","",IF(COUNTIFS($T$7:$T$33,A9)&gt;0,INDEX($U$7:$U$33,MATCH(A9,$T$7:$T$33,0)),"No capacity or responsibility detail supplied."))</ns0:f>
        <ns0:v>Core security gate; evaluates caller identity, token validity, and monotonic attenuation per invocation.</ns0:v>
      </ns0:c>
      <ns0:c r="J9" t="str">
        <ns0:f>IF('Project Tracker'!A7="","",TRIM(MID(SUBSTITUTE('Project Tracker'!K7,";",REPT(" ",150)),301,150)))</ns0:f>
      </ns0:c>
      <ns0:c r="K9" t="str">
        <ns0:f>IF(J9="","",IF(COUNTIFS($J$7:J9,J9)=1,MAX($K$6:K8)+1,""))</ns0:f>
      </ns0:c>
      <ns0:c r="L9" t="n">
        <ns0:f>IF(A9="",0,B9+(107-ROW())/1000)</ns0:f>
        <ns0:v>1.098</ns0:v>
      </ns0:c>
      <ns0:c r="M9" t="str">
        <ns0:f>IF(J9="","",'Project Tracker'!A7)</ns0:f>
      </ns0:c>
      <ns0:c r="N9" t="str">
        <ns0:f>IF(J9="","",'Project Tracker'!N7)</ns0:f>
      </ns0:c>
      <ns0:c r="O9" t="str">
        <ns0:f>IF(J9="","",'Project Tracker'!E7)</ns0:f>
      </ns0:c>
      <ns0:c r="P9" t="str">
        <ns0:f>IF(J9="","",'Project Tracker'!F7)</ns0:f>
      </ns0:c>
      <ns0:c r="Q9" t="str">
        <ns0:f>IF(J9="","",'Project Tracker'!Q7)</ns0:f>
      </ns0:c>
      <ns0:c r="R9" t="str">
        <ns0:f>IF(J9="","",'Project Tracker'!J7)</ns0:f>
      </ns0:c>
      <ns0:c r="T9" t="str">
        <ns0:v>Policy &amp; Authorization Boundary (PAB)</ns0:v>
      </ns0:c>
      <ns0:c r="U9" t="str">
        <ns0:v>Core security gate; evaluates caller identity, token validity, and monotonic attenuation per invocation.</ns0:v>
      </ns0:c>
      <ns0:c r="V9" t="n">
        <ns0:f>IF($A9="",0,COUNTIFS($J$7:$J$406,$A9,$O$7:$O$406,"&lt;="&amp;V$6,$P$7:$P$406,"&gt;="&amp;V$6,$R$7:$R$406,"No"))</ns0:f>
        <ns0:v>0</ns0:v>
      </ns0:c>
      <ns0:c r="W9" t="n">
        <ns0:f>IF($A9="",0,COUNTIFS($J$7:$J$406,$A9,$O$7:$O$406,"&lt;="&amp;W$6,$P$7:$P$406,"&gt;="&amp;W$6,$R$7:$R$406,"No"))</ns0:f>
        <ns0:v>1</ns0:v>
      </ns0:c>
      <ns0:c r="X9" t="n">
        <ns0:f>IF($A9="",0,COUNTIFS($J$7:$J$406,$A9,$O$7:$O$406,"&lt;="&amp;X$6,$P$7:$P$406,"&gt;="&amp;X$6,$R$7:$R$406,"No"))</ns0:f>
        <ns0:v>1</ns0:v>
      </ns0:c>
      <ns0:c r="Y9" t="n">
        <ns0:f>IF($A9="",0,COUNTIFS($J$7:$J$406,$A9,$O$7:$O$406,"&lt;="&amp;Y$6,$P$7:$P$406,"&gt;="&amp;Y$6,$R$7:$R$406,"No"))</ns0:f>
        <ns0:v>0</ns0:v>
      </ns0:c>
      <ns0:c r="Z9" t="n">
        <ns0:f>IF($A9="",0,COUNTIFS($J$7:$J$406,$A9,$O$7:$O$406,"&lt;="&amp;Z$6,$P$7:$P$406,"&gt;="&amp;Z$6,$R$7:$R$406,"No"))</ns0:f>
        <ns0:v>0</ns0:v>
      </ns0:c>
      <ns0:c r="AA9" t="n">
        <ns0:f>IF($A9="",0,COUNTIFS($J$7:$J$406,$A9,$O$7:$O$406,"&lt;="&amp;AA$6,$P$7:$P$406,"&gt;="&amp;AA$6,$R$7:$R$406,"No"))</ns0:f>
        <ns0:v>0</ns0:v>
      </ns0:c>
      <ns0:c r="AB9" t="n">
        <ns0:f>IF($A9="",0,COUNTIFS($J$7:$J$406,$A9,$O$7:$O$406,"&lt;="&amp;AB$6,$P$7:$P$406,"&gt;="&amp;AB$6,$R$7:$R$406,"No"))</ns0:f>
        <ns0:v>0</ns0:v>
      </ns0:c>
      <ns0:c r="AC9" t="n">
        <ns0:f>IF($A9="",0,COUNTIFS($J$7:$J$406,$A9,$O$7:$O$406,"&lt;="&amp;AC$6,$P$7:$P$406,"&gt;="&amp;AC$6,$R$7:$R$406,"No"))</ns0:f>
        <ns0:v>0</ns0:v>
      </ns0:c>
      <ns0:c r="AD9" t="n">
        <ns0:f>IF($A9="",0,COUNTIFS($J$7:$J$406,$A9,$O$7:$O$406,"&lt;="&amp;AD$6,$P$7:$P$406,"&gt;="&amp;AD$6,$R$7:$R$406,"No"))</ns0:f>
        <ns0:v>0</ns0:v>
      </ns0:c>
      <ns0:c r="AE9" t="n">
        <ns0:f>IF($A9="",0,COUNTIFS($J$7:$J$406,$A9,$O$7:$O$406,"&lt;="&amp;AE$6,$P$7:$P$406,"&gt;="&amp;AE$6,$R$7:$R$406,"No"))</ns0:f>
        <ns0:v>0</ns0:v>
      </ns0:c>
      <ns0:c r="AF9" t="n">
        <ns0:f>IF($A9="",0,COUNTIFS($J$7:$J$406,$A9,$O$7:$O$406,"&lt;="&amp;AF$6,$P$7:$P$406,"&gt;="&amp;AF$6,$R$7:$R$406,"No"))</ns0:f>
        <ns0:v>0</ns0:v>
      </ns0:c>
      <ns0:c r="AG9" t="n">
        <ns0:f>IF($A9="",0,COUNTIFS($J$7:$J$406,$A9,$O$7:$O$406,"&lt;="&amp;AG$6,$P$7:$P$406,"&gt;="&amp;AG$6,$R$7:$R$406,"No"))</ns0:f>
        <ns0:v>0</ns0:v>
      </ns0:c>
      <ns0:c r="AH9" t="n">
        <ns0:f>IF($A9="",0,COUNTIFS($J$7:$J$406,$A9,$O$7:$O$406,"&lt;="&amp;AH$6,$P$7:$P$406,"&gt;="&amp;AH$6,$R$7:$R$406,"No"))</ns0:f>
        <ns0:v>0</ns0:v>
      </ns0:c>
      <ns0:c r="AI9" t="n">
        <ns0:f>IF($A9="",0,COUNTIFS($J$7:$J$406,$A9,$O$7:$O$406,"&lt;="&amp;AI$6,$P$7:$P$406,"&gt;="&amp;AI$6,$R$7:$R$406,"No"))</ns0:f>
        <ns0:v>0</ns0:v>
      </ns0:c>
      <ns0:c r="AJ9" t="n">
        <ns0:f>IF($A9="",0,COUNTIFS($J$7:$J$406,$A9,$O$7:$O$406,"&lt;="&amp;AJ$6,$P$7:$P$406,"&gt;="&amp;AJ$6,$R$7:$R$406,"No"))</ns0:f>
        <ns0:v>0</ns0:v>
      </ns0:c>
      <ns0:c r="AK9" t="n">
        <ns0:f>IF($A9="",0,COUNTIFS($J$7:$J$406,$A9,$O$7:$O$406,"&lt;="&amp;AK$6,$P$7:$P$406,"&gt;="&amp;AK$6,$R$7:$R$406,"No"))</ns0:f>
        <ns0:v>0</ns0:v>
      </ns0:c>
      <ns0:c r="AL9" t="n">
        <ns0:f>IF($A9="",0,COUNTIFS($J$7:$J$406,$A9,$O$7:$O$406,"&lt;="&amp;AL$6,$P$7:$P$406,"&gt;="&amp;AL$6,$R$7:$R$406,"No"))</ns0:f>
        <ns0:v>0</ns0:v>
      </ns0:c>
      <ns0:c r="AM9" t="n">
        <ns0:f>IF($A9="",0,COUNTIFS($J$7:$J$406,$A9,$O$7:$O$406,"&lt;="&amp;AM$6,$P$7:$P$406,"&gt;="&amp;AM$6,$R$7:$R$406,"No"))</ns0:f>
        <ns0:v>0</ns0:v>
      </ns0:c>
      <ns0:c r="AN9" t="n">
        <ns0:f>IF($A9="",0,COUNTIFS($J$7:$J$406,$A9,$O$7:$O$406,"&lt;="&amp;AN$6,$P$7:$P$406,"&gt;="&amp;AN$6,$R$7:$R$406,"No"))</ns0:f>
        <ns0:v>0</ns0:v>
      </ns0:c>
      <ns0:c r="AO9" t="n">
        <ns0:f>IF($A9="",0,COUNTIFS($J$7:$J$406,$A9,$O$7:$O$406,"&lt;="&amp;AO$6,$P$7:$P$406,"&gt;="&amp;AO$6,$R$7:$R$406,"No"))</ns0:f>
        <ns0:v>0</ns0:v>
      </ns0:c>
      <ns0:c r="AP9" t="n">
        <ns0:f>IF($A9="",0,COUNTIFS($J$7:$J$406,$A9,$O$7:$O$406,"&lt;="&amp;AP$6,$P$7:$P$406,"&gt;="&amp;AP$6,$R$7:$R$406,"No"))</ns0:f>
        <ns0:v>0</ns0:v>
      </ns0:c>
      <ns0:c r="AQ9" t="n">
        <ns0:f>IF($A9="",0,COUNTIFS($J$7:$J$406,$A9,$O$7:$O$406,"&lt;="&amp;AQ$6,$P$7:$P$406,"&gt;="&amp;AQ$6,$R$7:$R$406,"No"))</ns0:f>
        <ns0:v>0</ns0:v>
      </ns0:c>
      <ns0:c r="AR9" t="n">
        <ns0:f>IF($A9="",0,COUNTIFS($J$7:$J$406,$A9,$O$7:$O$406,"&lt;="&amp;AR$6,$P$7:$P$406,"&gt;="&amp;AR$6,$R$7:$R$406,"No"))</ns0:f>
        <ns0:v>0</ns0:v>
      </ns0:c>
      <ns0:c r="AS9" t="n">
        <ns0:f>IF($A9="",0,COUNTIFS($J$7:$J$406,$A9,$O$7:$O$406,"&lt;="&amp;AS$6,$P$7:$P$406,"&gt;="&amp;AS$6,$R$7:$R$406,"No"))</ns0:f>
        <ns0:v>0</ns0:v>
      </ns0:c>
      <ns0:c r="AT9" t="n">
        <ns0:f>IF($A9="",0,COUNTIFS($J$7:$J$406,$A9,$O$7:$O$406,"&lt;="&amp;AT$6,$P$7:$P$406,"&gt;="&amp;AT$6,$R$7:$R$406,"No"))</ns0:f>
        <ns0:v>0</ns0:v>
      </ns0:c>
      <ns0:c r="AU9" t="n">
        <ns0:f>IF($A9="",0,COUNTIFS($J$7:$J$406,$A9,$O$7:$O$406,"&lt;="&amp;AU$6,$P$7:$P$406,"&gt;="&amp;AU$6,$R$7:$R$406,"No"))</ns0:f>
        <ns0:v>0</ns0:v>
      </ns0:c>
      <ns0:c r="AV9" t="n">
        <ns0:f>IF($A9="",0,COUNTIFS($J$7:$J$406,$A9,$O$7:$O$406,"&lt;="&amp;AV$6,$P$7:$P$406,"&gt;="&amp;AV$6,$R$7:$R$406,"No"))</ns0:f>
        <ns0:v>0</ns0:v>
      </ns0:c>
      <ns0:c r="AW9" t="n">
        <ns0:f>IF($A9="",0,COUNTIFS($J$7:$J$406,$A9,$O$7:$O$406,"&lt;="&amp;AW$6,$P$7:$P$406,"&gt;="&amp;AW$6,$R$7:$R$406,"No"))</ns0:f>
        <ns0:v>0</ns0:v>
      </ns0:c>
      <ns0:c r="AX9" t="n">
        <ns0:f>IF($A9="",0,COUNTIFS($J$7:$J$406,$A9,$O$7:$O$406,"&lt;="&amp;AX$6,$P$7:$P$406,"&gt;="&amp;AX$6,$R$7:$R$406,"No"))</ns0:f>
        <ns0:v>0</ns0:v>
      </ns0:c>
      <ns0:c r="AY9" t="n">
        <ns0:f>IF($A9="",0,COUNTIFS($J$7:$J$406,$A9,$O$7:$O$406,"&lt;="&amp;AY$6,$P$7:$P$406,"&gt;="&amp;AY$6,$R$7:$R$406,"No"))</ns0:f>
        <ns0:v>0</ns0:v>
      </ns0:c>
      <ns0:c r="AZ9" t="n">
        <ns0:f>IF($A9="",0,COUNTIFS($J$7:$J$406,$A9,$O$7:$O$406,"&lt;="&amp;AZ$6,$P$7:$P$406,"&gt;="&amp;AZ$6,$R$7:$R$406,"No"))</ns0:f>
        <ns0:v>0</ns0:v>
      </ns0:c>
      <ns0:c r="BA9" t="n">
        <ns0:f>IF($A9="",0,COUNTIFS($J$7:$J$406,$A9,$O$7:$O$406,"&lt;="&amp;BA$6,$P$7:$P$406,"&gt;="&amp;BA$6,$R$7:$R$406,"No"))</ns0:f>
        <ns0:v>0</ns0:v>
      </ns0:c>
      <ns0:c r="BB9" t="n">
        <ns0:f>IF($A9="",0,COUNTIFS($J$7:$J$406,$A9,$O$7:$O$406,"&lt;="&amp;BB$6,$P$7:$P$406,"&gt;="&amp;BB$6,$R$7:$R$406,"No"))</ns0:f>
        <ns0:v>0</ns0:v>
      </ns0:c>
      <ns0:c r="BC9" t="n">
        <ns0:f>IF($A9="",0,COUNTIFS($J$7:$J$406,$A9,$O$7:$O$406,"&lt;="&amp;BC$6,$P$7:$P$406,"&gt;="&amp;BC$6,$R$7:$R$406,"No"))</ns0:f>
        <ns0:v>0</ns0:v>
      </ns0:c>
    </ns0:row>
    <ns0:row r="10" ht="48" customHeight="1">
      <ns0:c r="A10" s="8" t="str">
        <ns0:f>IF(ROW()-6&gt;MAX($K$7:$K$406),"",INDEX($J$7:$J$406,MATCH(ROW()-6,$K$7:$K$406,0)))</ns0:f>
        <ns0:v>Canonical Task State Machine (CTS)</ns0:v>
      </ns0:c>
      <ns0:c r="B10" s="8" t="n">
        <ns0:f>IF(A10="","",COUNTIFS($J$7:$J$406,$A10))</ns0:f>
        <ns0:v>1</ns0:v>
      </ns0:c>
      <ns0:c r="C10" s="8" t="n">
        <ns0:f>IF(A10="","",COUNTIFS($J$7:$J$406,$A10,$N$7:$N$406,1))</ns0:f>
        <ns0:v>0</ns0:v>
      </ns0:c>
      <ns0:c r="D10" s="8" t="n">
        <ns0:f>IF(A10="","",COUNTIFS($J$7:$J$406,$A10,$Q$7:$Q$406,"In Progress"))</ns0:f>
        <ns0:v>0</ns0:v>
      </ns0:c>
      <ns0:c r="E10" s="8" t="n">
        <ns0:f>IF(A10="","",B10-C10)</ns0:f>
        <ns0:v>1</ns0:v>
      </ns0:c>
      <ns0:c r="F10" s="19" t="n">
        <ns0:f>IF(A10="","",SUMIFS($N$7:$N$406,$J$7:$J$406,$A10)/B10)</ns0:f>
        <ns0:v>0</ns0:v>
      </ns0:c>
      <ns0:c r="G10" s="8" t="n">
        <ns0:f>IF(A10="","",COUNTIFS(V10:BC10,"&gt;1"))</ns0:f>
        <ns0:v>0</ns0:v>
      </ns0:c>
      <ns0:c r="H10" s="8" t="str">
        <ns0:f>IF(A10="","",IF(COUNTIFS($T$7:$T$33,A10)&gt;0,INDEX($U$7:$U$33,MATCH(A10,$T$7:$T$33,0)),"No capacity or responsibility detail supplied."))</ns0:f>
        <ns0:v>Central state tracking engine; manages DAG transitions, task holds, checkpoints, and dependency locks.</ns0:v>
      </ns0:c>
      <ns0:c r="J10" t="str">
        <ns0:f>IF('Project Tracker'!A7="","",TRIM(MID(SUBSTITUTE('Project Tracker'!K7,";",REPT(" ",150)),451,150)))</ns0:f>
      </ns0:c>
      <ns0:c r="K10" t="str">
        <ns0:f>IF(J10="","",IF(COUNTIFS($J$7:J10,J10)=1,MAX($K$6:K9)+1,""))</ns0:f>
      </ns0:c>
      <ns0:c r="L10" t="n">
        <ns0:f>IF(A10="",0,B10+(107-ROW())/1000)</ns0:f>
        <ns0:v>1.097</ns0:v>
      </ns0:c>
      <ns0:c r="M10" t="str">
        <ns0:f>IF(J10="","",'Project Tracker'!A7)</ns0:f>
      </ns0:c>
      <ns0:c r="N10" t="str">
        <ns0:f>IF(J10="","",'Project Tracker'!N7)</ns0:f>
      </ns0:c>
      <ns0:c r="O10" t="str">
        <ns0:f>IF(J10="","",'Project Tracker'!E7)</ns0:f>
      </ns0:c>
      <ns0:c r="P10" t="str">
        <ns0:f>IF(J10="","",'Project Tracker'!F7)</ns0:f>
      </ns0:c>
      <ns0:c r="Q10" t="str">
        <ns0:f>IF(J10="","",'Project Tracker'!Q7)</ns0:f>
      </ns0:c>
      <ns0:c r="R10" t="str">
        <ns0:f>IF(J10="","",'Project Tracker'!J7)</ns0:f>
      </ns0:c>
      <ns0:c r="T10" t="str">
        <ns0:v>Canonical Task State Machine (CTS)</ns0:v>
      </ns0:c>
      <ns0:c r="U10" t="str">
        <ns0:v>Central state tracking engine; manages DAG transitions, task holds, checkpoints, and dependency locks.</ns0:v>
      </ns0:c>
      <ns0:c r="V10" t="n">
        <ns0:f>IF($A10="",0,COUNTIFS($J$7:$J$406,$A10,$O$7:$O$406,"&lt;="&amp;V$6,$P$7:$P$406,"&gt;="&amp;V$6,$R$7:$R$406,"No"))</ns0:f>
        <ns0:v>0</ns0:v>
      </ns0:c>
      <ns0:c r="W10" t="n">
        <ns0:f>IF($A10="",0,COUNTIFS($J$7:$J$406,$A10,$O$7:$O$406,"&lt;="&amp;W$6,$P$7:$P$406,"&gt;="&amp;W$6,$R$7:$R$406,"No"))</ns0:f>
        <ns0:v>1</ns0:v>
      </ns0:c>
      <ns0:c r="X10" t="n">
        <ns0:f>IF($A10="",0,COUNTIFS($J$7:$J$406,$A10,$O$7:$O$406,"&lt;="&amp;X$6,$P$7:$P$406,"&gt;="&amp;X$6,$R$7:$R$406,"No"))</ns0:f>
        <ns0:v>1</ns0:v>
      </ns0:c>
      <ns0:c r="Y10" t="n">
        <ns0:f>IF($A10="",0,COUNTIFS($J$7:$J$406,$A10,$O$7:$O$406,"&lt;="&amp;Y$6,$P$7:$P$406,"&gt;="&amp;Y$6,$R$7:$R$406,"No"))</ns0:f>
        <ns0:v>0</ns0:v>
      </ns0:c>
      <ns0:c r="Z10" t="n">
        <ns0:f>IF($A10="",0,COUNTIFS($J$7:$J$406,$A10,$O$7:$O$406,"&lt;="&amp;Z$6,$P$7:$P$406,"&gt;="&amp;Z$6,$R$7:$R$406,"No"))</ns0:f>
        <ns0:v>0</ns0:v>
      </ns0:c>
      <ns0:c r="AA10" t="n">
        <ns0:f>IF($A10="",0,COUNTIFS($J$7:$J$406,$A10,$O$7:$O$406,"&lt;="&amp;AA$6,$P$7:$P$406,"&gt;="&amp;AA$6,$R$7:$R$406,"No"))</ns0:f>
        <ns0:v>0</ns0:v>
      </ns0:c>
      <ns0:c r="AB10" t="n">
        <ns0:f>IF($A10="",0,COUNTIFS($J$7:$J$406,$A10,$O$7:$O$406,"&lt;="&amp;AB$6,$P$7:$P$406,"&gt;="&amp;AB$6,$R$7:$R$406,"No"))</ns0:f>
        <ns0:v>0</ns0:v>
      </ns0:c>
      <ns0:c r="AC10" t="n">
        <ns0:f>IF($A10="",0,COUNTIFS($J$7:$J$406,$A10,$O$7:$O$406,"&lt;="&amp;AC$6,$P$7:$P$406,"&gt;="&amp;AC$6,$R$7:$R$406,"No"))</ns0:f>
        <ns0:v>0</ns0:v>
      </ns0:c>
      <ns0:c r="AD10" t="n">
        <ns0:f>IF($A10="",0,COUNTIFS($J$7:$J$406,$A10,$O$7:$O$406,"&lt;="&amp;AD$6,$P$7:$P$406,"&gt;="&amp;AD$6,$R$7:$R$406,"No"))</ns0:f>
        <ns0:v>0</ns0:v>
      </ns0:c>
      <ns0:c r="AE10" t="n">
        <ns0:f>IF($A10="",0,COUNTIFS($J$7:$J$406,$A10,$O$7:$O$406,"&lt;="&amp;AE$6,$P$7:$P$406,"&gt;="&amp;AE$6,$R$7:$R$406,"No"))</ns0:f>
        <ns0:v>0</ns0:v>
      </ns0:c>
      <ns0:c r="AF10" t="n">
        <ns0:f>IF($A10="",0,COUNTIFS($J$7:$J$406,$A10,$O$7:$O$406,"&lt;="&amp;AF$6,$P$7:$P$406,"&gt;="&amp;AF$6,$R$7:$R$406,"No"))</ns0:f>
        <ns0:v>0</ns0:v>
      </ns0:c>
      <ns0:c r="AG10" t="n">
        <ns0:f>IF($A10="",0,COUNTIFS($J$7:$J$406,$A10,$O$7:$O$406,"&lt;="&amp;AG$6,$P$7:$P$406,"&gt;="&amp;AG$6,$R$7:$R$406,"No"))</ns0:f>
        <ns0:v>0</ns0:v>
      </ns0:c>
      <ns0:c r="AH10" t="n">
        <ns0:f>IF($A10="",0,COUNTIFS($J$7:$J$406,$A10,$O$7:$O$406,"&lt;="&amp;AH$6,$P$7:$P$406,"&gt;="&amp;AH$6,$R$7:$R$406,"No"))</ns0:f>
        <ns0:v>0</ns0:v>
      </ns0:c>
      <ns0:c r="AI10" t="n">
        <ns0:f>IF($A10="",0,COUNTIFS($J$7:$J$406,$A10,$O$7:$O$406,"&lt;="&amp;AI$6,$P$7:$P$406,"&gt;="&amp;AI$6,$R$7:$R$406,"No"))</ns0:f>
        <ns0:v>0</ns0:v>
      </ns0:c>
      <ns0:c r="AJ10" t="n">
        <ns0:f>IF($A10="",0,COUNTIFS($J$7:$J$406,$A10,$O$7:$O$406,"&lt;="&amp;AJ$6,$P$7:$P$406,"&gt;="&amp;AJ$6,$R$7:$R$406,"No"))</ns0:f>
        <ns0:v>0</ns0:v>
      </ns0:c>
      <ns0:c r="AK10" t="n">
        <ns0:f>IF($A10="",0,COUNTIFS($J$7:$J$406,$A10,$O$7:$O$406,"&lt;="&amp;AK$6,$P$7:$P$406,"&gt;="&amp;AK$6,$R$7:$R$406,"No"))</ns0:f>
        <ns0:v>0</ns0:v>
      </ns0:c>
      <ns0:c r="AL10" t="n">
        <ns0:f>IF($A10="",0,COUNTIFS($J$7:$J$406,$A10,$O$7:$O$406,"&lt;="&amp;AL$6,$P$7:$P$406,"&gt;="&amp;AL$6,$R$7:$R$406,"No"))</ns0:f>
        <ns0:v>0</ns0:v>
      </ns0:c>
      <ns0:c r="AM10" t="n">
        <ns0:f>IF($A10="",0,COUNTIFS($J$7:$J$406,$A10,$O$7:$O$406,"&lt;="&amp;AM$6,$P$7:$P$406,"&gt;="&amp;AM$6,$R$7:$R$406,"No"))</ns0:f>
        <ns0:v>0</ns0:v>
      </ns0:c>
      <ns0:c r="AN10" t="n">
        <ns0:f>IF($A10="",0,COUNTIFS($J$7:$J$406,$A10,$O$7:$O$406,"&lt;="&amp;AN$6,$P$7:$P$406,"&gt;="&amp;AN$6,$R$7:$R$406,"No"))</ns0:f>
        <ns0:v>0</ns0:v>
      </ns0:c>
      <ns0:c r="AO10" t="n">
        <ns0:f>IF($A10="",0,COUNTIFS($J$7:$J$406,$A10,$O$7:$O$406,"&lt;="&amp;AO$6,$P$7:$P$406,"&gt;="&amp;AO$6,$R$7:$R$406,"No"))</ns0:f>
        <ns0:v>0</ns0:v>
      </ns0:c>
      <ns0:c r="AP10" t="n">
        <ns0:f>IF($A10="",0,COUNTIFS($J$7:$J$406,$A10,$O$7:$O$406,"&lt;="&amp;AP$6,$P$7:$P$406,"&gt;="&amp;AP$6,$R$7:$R$406,"No"))</ns0:f>
        <ns0:v>0</ns0:v>
      </ns0:c>
      <ns0:c r="AQ10" t="n">
        <ns0:f>IF($A10="",0,COUNTIFS($J$7:$J$406,$A10,$O$7:$O$406,"&lt;="&amp;AQ$6,$P$7:$P$406,"&gt;="&amp;AQ$6,$R$7:$R$406,"No"))</ns0:f>
        <ns0:v>0</ns0:v>
      </ns0:c>
      <ns0:c r="AR10" t="n">
        <ns0:f>IF($A10="",0,COUNTIFS($J$7:$J$406,$A10,$O$7:$O$406,"&lt;="&amp;AR$6,$P$7:$P$406,"&gt;="&amp;AR$6,$R$7:$R$406,"No"))</ns0:f>
        <ns0:v>0</ns0:v>
      </ns0:c>
      <ns0:c r="AS10" t="n">
        <ns0:f>IF($A10="",0,COUNTIFS($J$7:$J$406,$A10,$O$7:$O$406,"&lt;="&amp;AS$6,$P$7:$P$406,"&gt;="&amp;AS$6,$R$7:$R$406,"No"))</ns0:f>
        <ns0:v>0</ns0:v>
      </ns0:c>
      <ns0:c r="AT10" t="n">
        <ns0:f>IF($A10="",0,COUNTIFS($J$7:$J$406,$A10,$O$7:$O$406,"&lt;="&amp;AT$6,$P$7:$P$406,"&gt;="&amp;AT$6,$R$7:$R$406,"No"))</ns0:f>
        <ns0:v>0</ns0:v>
      </ns0:c>
      <ns0:c r="AU10" t="n">
        <ns0:f>IF($A10="",0,COUNTIFS($J$7:$J$406,$A10,$O$7:$O$406,"&lt;="&amp;AU$6,$P$7:$P$406,"&gt;="&amp;AU$6,$R$7:$R$406,"No"))</ns0:f>
        <ns0:v>0</ns0:v>
      </ns0:c>
      <ns0:c r="AV10" t="n">
        <ns0:f>IF($A10="",0,COUNTIFS($J$7:$J$406,$A10,$O$7:$O$406,"&lt;="&amp;AV$6,$P$7:$P$406,"&gt;="&amp;AV$6,$R$7:$R$406,"No"))</ns0:f>
        <ns0:v>0</ns0:v>
      </ns0:c>
      <ns0:c r="AW10" t="n">
        <ns0:f>IF($A10="",0,COUNTIFS($J$7:$J$406,$A10,$O$7:$O$406,"&lt;="&amp;AW$6,$P$7:$P$406,"&gt;="&amp;AW$6,$R$7:$R$406,"No"))</ns0:f>
        <ns0:v>0</ns0:v>
      </ns0:c>
      <ns0:c r="AX10" t="n">
        <ns0:f>IF($A10="",0,COUNTIFS($J$7:$J$406,$A10,$O$7:$O$406,"&lt;="&amp;AX$6,$P$7:$P$406,"&gt;="&amp;AX$6,$R$7:$R$406,"No"))</ns0:f>
        <ns0:v>0</ns0:v>
      </ns0:c>
      <ns0:c r="AY10" t="n">
        <ns0:f>IF($A10="",0,COUNTIFS($J$7:$J$406,$A10,$O$7:$O$406,"&lt;="&amp;AY$6,$P$7:$P$406,"&gt;="&amp;AY$6,$R$7:$R$406,"No"))</ns0:f>
        <ns0:v>0</ns0:v>
      </ns0:c>
      <ns0:c r="AZ10" t="n">
        <ns0:f>IF($A10="",0,COUNTIFS($J$7:$J$406,$A10,$O$7:$O$406,"&lt;="&amp;AZ$6,$P$7:$P$406,"&gt;="&amp;AZ$6,$R$7:$R$406,"No"))</ns0:f>
        <ns0:v>0</ns0:v>
      </ns0:c>
      <ns0:c r="BA10" t="n">
        <ns0:f>IF($A10="",0,COUNTIFS($J$7:$J$406,$A10,$O$7:$O$406,"&lt;="&amp;BA$6,$P$7:$P$406,"&gt;="&amp;BA$6,$R$7:$R$406,"No"))</ns0:f>
        <ns0:v>0</ns0:v>
      </ns0:c>
      <ns0:c r="BB10" t="n">
        <ns0:f>IF($A10="",0,COUNTIFS($J$7:$J$406,$A10,$O$7:$O$406,"&lt;="&amp;BB$6,$P$7:$P$406,"&gt;="&amp;BB$6,$R$7:$R$406,"No"))</ns0:f>
        <ns0:v>0</ns0:v>
      </ns0:c>
      <ns0:c r="BC10" t="n">
        <ns0:f>IF($A10="",0,COUNTIFS($J$7:$J$406,$A10,$O$7:$O$406,"&lt;="&amp;BC$6,$P$7:$P$406,"&gt;="&amp;BC$6,$R$7:$R$406,"No"))</ns0:f>
        <ns0:v>0</ns0:v>
      </ns0:c>
    </ns0:row>
    <ns0:row r="11" ht="48" customHeight="1">
      <ns0:c r="A11" s="8" t="str">
        <ns0:f>IF(ROW()-6&gt;MAX($K$7:$K$406),"",INDEX($J$7:$J$406,MATCH(ROW()-6,$K$7:$K$406,0)))</ns0:f>
        <ns0:v>Unassigned</ns0:v>
      </ns0:c>
      <ns0:c r="B11" s="8" t="n">
        <ns0:f>IF(A11="","",COUNTIFS($J$7:$J$406,$A11))</ns0:f>
        <ns0:v>7</ns0:v>
      </ns0:c>
      <ns0:c r="C11" s="8" t="n">
        <ns0:f>IF(A11="","",COUNTIFS($J$7:$J$406,$A11,$N$7:$N$406,1))</ns0:f>
        <ns0:v>0</ns0:v>
      </ns0:c>
      <ns0:c r="D11" s="8" t="n">
        <ns0:f>IF(A11="","",COUNTIFS($J$7:$J$406,$A11,$Q$7:$Q$406,"In Progress"))</ns0:f>
        <ns0:v>0</ns0:v>
      </ns0:c>
      <ns0:c r="E11" s="8" t="n">
        <ns0:f>IF(A11="","",B11-C11)</ns0:f>
        <ns0:v>7</ns0:v>
      </ns0:c>
      <ns0:c r="F11" s="19" t="n">
        <ns0:f>IF(A11="","",SUMIFS($N$7:$N$406,$J$7:$J$406,$A11)/B11)</ns0:f>
        <ns0:v>0</ns0:v>
      </ns0:c>
      <ns0:c r="G11" s="8" t="n">
        <ns0:f>IF(A11="","",COUNTIFS(V11:BC11,"&gt;1"))</ns0:f>
        <ns0:v>0</ns0:v>
      </ns0:c>
      <ns0:c r="H11" s="8" t="str">
        <ns0:f>IF(A11="","",IF(COUNTIFS($T$7:$T$33,A11)&gt;0,INDEX($U$7:$U$33,MATCH(A11,$T$7:$T$33,0)),"No capacity or responsibility detail supplied."))</ns0:f>
        <ns0:v>No capacity or responsibility detail supplied.</ns0:v>
      </ns0:c>
      <ns0:c r="J11" t="str">
        <ns0:f>IF('Project Tracker'!A8="","",TRIM(MID(SUBSTITUTE('Project Tracker'!K8,";",REPT(" ",150)),1,150)))</ns0:f>
        <ns0:v>Enterprise Policy Engine</ns0:v>
      </ns0:c>
      <ns0:c r="K11" t="n">
        <ns0:f>IF(J11="","",IF(COUNTIFS($J$7:J11,J11)=1,MAX($K$6:K10)+1,""))</ns0:f>
        <ns0:v>2</ns0:v>
      </ns0:c>
      <ns0:c r="L11" t="n">
        <ns0:f>IF(A11="",0,B11+(107-ROW())/1000)</ns0:f>
        <ns0:v>7.096</ns0:v>
      </ns0:c>
      <ns0:c r="M11" t="str">
        <ns0:f>IF(J11="","",'Project Tracker'!A8)</ns0:f>
        <ns0:v>T02</ns0:v>
      </ns0:c>
      <ns0:c r="N11" t="n">
        <ns0:f>IF(J11="","",'Project Tracker'!N8)</ns0:f>
        <ns0:v>0</ns0:v>
      </ns0:c>
      <ns0:c r="O11" t="n">
        <ns0:f>IF(J11="","",'Project Tracker'!E8)</ns0:f>
        <ns0:v>46276</ns0:v>
      </ns0:c>
      <ns0:c r="P11" t="n">
        <ns0:f>IF(J11="","",'Project Tracker'!F8)</ns0:f>
        <ns0:v>46276</ns0:v>
      </ns0:c>
      <ns0:c r="Q11" t="str">
        <ns0:f>IF(J11="","",'Project Tracker'!Q8)</ns0:f>
        <ns0:v>Not Started</ns0:v>
      </ns0:c>
      <ns0:c r="R11" t="str">
        <ns0:f>IF(J11="","",'Project Tracker'!J8)</ns0:f>
        <ns0:v>No</ns0:v>
      </ns0:c>
      <ns0:c r="T11" t="str">
        <ns0:v>Central Enterprise Database (CDB)</ns0:v>
      </ns0:c>
      <ns0:c r="U11" t="str">
        <ns0:v>Primary system of record for operational tables, vector namespaces, and telemetry time-series.</ns0:v>
      </ns0:c>
      <ns0:c r="V11" t="n">
        <ns0:f>IF($A11="",0,COUNTIFS($J$7:$J$406,$A11,$O$7:$O$406,"&lt;="&amp;V$6,$P$7:$P$406,"&gt;="&amp;V$6,$R$7:$R$406,"No"))</ns0:f>
        <ns0:v>0</ns0:v>
      </ns0:c>
      <ns0:c r="W11" t="n">
        <ns0:f>IF($A11="",0,COUNTIFS($J$7:$J$406,$A11,$O$7:$O$406,"&lt;="&amp;W$6,$P$7:$P$406,"&gt;="&amp;W$6,$R$7:$R$406,"No"))</ns0:f>
        <ns0:v>0</ns0:v>
      </ns0:c>
      <ns0:c r="X11" t="n">
        <ns0:f>IF($A11="",0,COUNTIFS($J$7:$J$406,$A11,$O$7:$O$406,"&lt;="&amp;X$6,$P$7:$P$406,"&gt;="&amp;X$6,$R$7:$R$406,"No"))</ns0:f>
        <ns0:v>0</ns0:v>
      </ns0:c>
      <ns0:c r="Y11" t="n">
        <ns0:f>IF($A11="",0,COUNTIFS($J$7:$J$406,$A11,$O$7:$O$406,"&lt;="&amp;Y$6,$P$7:$P$406,"&gt;="&amp;Y$6,$R$7:$R$406,"No"))</ns0:f>
        <ns0:v>0</ns0:v>
      </ns0:c>
      <ns0:c r="Z11" t="n">
        <ns0:f>IF($A11="",0,COUNTIFS($J$7:$J$406,$A11,$O$7:$O$406,"&lt;="&amp;Z$6,$P$7:$P$406,"&gt;="&amp;Z$6,$R$7:$R$406,"No"))</ns0:f>
        <ns0:v>0</ns0:v>
      </ns0:c>
      <ns0:c r="AA11" t="n">
        <ns0:f>IF($A11="",0,COUNTIFS($J$7:$J$406,$A11,$O$7:$O$406,"&lt;="&amp;AA$6,$P$7:$P$406,"&gt;="&amp;AA$6,$R$7:$R$406,"No"))</ns0:f>
        <ns0:v>0</ns0:v>
      </ns0:c>
      <ns0:c r="AB11" t="n">
        <ns0:f>IF($A11="",0,COUNTIFS($J$7:$J$406,$A11,$O$7:$O$406,"&lt;="&amp;AB$6,$P$7:$P$406,"&gt;="&amp;AB$6,$R$7:$R$406,"No"))</ns0:f>
        <ns0:v>0</ns0:v>
      </ns0:c>
      <ns0:c r="AC11" t="n">
        <ns0:f>IF($A11="",0,COUNTIFS($J$7:$J$406,$A11,$O$7:$O$406,"&lt;="&amp;AC$6,$P$7:$P$406,"&gt;="&amp;AC$6,$R$7:$R$406,"No"))</ns0:f>
        <ns0:v>0</ns0:v>
      </ns0:c>
      <ns0:c r="AD11" t="n">
        <ns0:f>IF($A11="",0,COUNTIFS($J$7:$J$406,$A11,$O$7:$O$406,"&lt;="&amp;AD$6,$P$7:$P$406,"&gt;="&amp;AD$6,$R$7:$R$406,"No"))</ns0:f>
        <ns0:v>0</ns0:v>
      </ns0:c>
      <ns0:c r="AE11" t="n">
        <ns0:f>IF($A11="",0,COUNTIFS($J$7:$J$406,$A11,$O$7:$O$406,"&lt;="&amp;AE$6,$P$7:$P$406,"&gt;="&amp;AE$6,$R$7:$R$406,"No"))</ns0:f>
        <ns0:v>0</ns0:v>
      </ns0:c>
      <ns0:c r="AF11" t="n">
        <ns0:f>IF($A11="",0,COUNTIFS($J$7:$J$406,$A11,$O$7:$O$406,"&lt;="&amp;AF$6,$P$7:$P$406,"&gt;="&amp;AF$6,$R$7:$R$406,"No"))</ns0:f>
        <ns0:v>0</ns0:v>
      </ns0:c>
      <ns0:c r="AG11" t="n">
        <ns0:f>IF($A11="",0,COUNTIFS($J$7:$J$406,$A11,$O$7:$O$406,"&lt;="&amp;AG$6,$P$7:$P$406,"&gt;="&amp;AG$6,$R$7:$R$406,"No"))</ns0:f>
        <ns0:v>0</ns0:v>
      </ns0:c>
      <ns0:c r="AH11" t="n">
        <ns0:f>IF($A11="",0,COUNTIFS($J$7:$J$406,$A11,$O$7:$O$406,"&lt;="&amp;AH$6,$P$7:$P$406,"&gt;="&amp;AH$6,$R$7:$R$406,"No"))</ns0:f>
        <ns0:v>0</ns0:v>
      </ns0:c>
      <ns0:c r="AI11" t="n">
        <ns0:f>IF($A11="",0,COUNTIFS($J$7:$J$406,$A11,$O$7:$O$406,"&lt;="&amp;AI$6,$P$7:$P$406,"&gt;="&amp;AI$6,$R$7:$R$406,"No"))</ns0:f>
        <ns0:v>0</ns0:v>
      </ns0:c>
      <ns0:c r="AJ11" t="n">
        <ns0:f>IF($A11="",0,COUNTIFS($J$7:$J$406,$A11,$O$7:$O$406,"&lt;="&amp;AJ$6,$P$7:$P$406,"&gt;="&amp;AJ$6,$R$7:$R$406,"No"))</ns0:f>
        <ns0:v>0</ns0:v>
      </ns0:c>
      <ns0:c r="AK11" t="n">
        <ns0:f>IF($A11="",0,COUNTIFS($J$7:$J$406,$A11,$O$7:$O$406,"&lt;="&amp;AK$6,$P$7:$P$406,"&gt;="&amp;AK$6,$R$7:$R$406,"No"))</ns0:f>
        <ns0:v>0</ns0:v>
      </ns0:c>
      <ns0:c r="AL11" t="n">
        <ns0:f>IF($A11="",0,COUNTIFS($J$7:$J$406,$A11,$O$7:$O$406,"&lt;="&amp;AL$6,$P$7:$P$406,"&gt;="&amp;AL$6,$R$7:$R$406,"No"))</ns0:f>
        <ns0:v>0</ns0:v>
      </ns0:c>
      <ns0:c r="AM11" t="n">
        <ns0:f>IF($A11="",0,COUNTIFS($J$7:$J$406,$A11,$O$7:$O$406,"&lt;="&amp;AM$6,$P$7:$P$406,"&gt;="&amp;AM$6,$R$7:$R$406,"No"))</ns0:f>
        <ns0:v>0</ns0:v>
      </ns0:c>
      <ns0:c r="AN11" t="n">
        <ns0:f>IF($A11="",0,COUNTIFS($J$7:$J$406,$A11,$O$7:$O$406,"&lt;="&amp;AN$6,$P$7:$P$406,"&gt;="&amp;AN$6,$R$7:$R$406,"No"))</ns0:f>
        <ns0:v>0</ns0:v>
      </ns0:c>
      <ns0:c r="AO11" t="n">
        <ns0:f>IF($A11="",0,COUNTIFS($J$7:$J$406,$A11,$O$7:$O$406,"&lt;="&amp;AO$6,$P$7:$P$406,"&gt;="&amp;AO$6,$R$7:$R$406,"No"))</ns0:f>
        <ns0:v>0</ns0:v>
      </ns0:c>
      <ns0:c r="AP11" t="n">
        <ns0:f>IF($A11="",0,COUNTIFS($J$7:$J$406,$A11,$O$7:$O$406,"&lt;="&amp;AP$6,$P$7:$P$406,"&gt;="&amp;AP$6,$R$7:$R$406,"No"))</ns0:f>
        <ns0:v>0</ns0:v>
      </ns0:c>
      <ns0:c r="AQ11" t="n">
        <ns0:f>IF($A11="",0,COUNTIFS($J$7:$J$406,$A11,$O$7:$O$406,"&lt;="&amp;AQ$6,$P$7:$P$406,"&gt;="&amp;AQ$6,$R$7:$R$406,"No"))</ns0:f>
        <ns0:v>0</ns0:v>
      </ns0:c>
      <ns0:c r="AR11" t="n">
        <ns0:f>IF($A11="",0,COUNTIFS($J$7:$J$406,$A11,$O$7:$O$406,"&lt;="&amp;AR$6,$P$7:$P$406,"&gt;="&amp;AR$6,$R$7:$R$406,"No"))</ns0:f>
        <ns0:v>0</ns0:v>
      </ns0:c>
      <ns0:c r="AS11" t="n">
        <ns0:f>IF($A11="",0,COUNTIFS($J$7:$J$406,$A11,$O$7:$O$406,"&lt;="&amp;AS$6,$P$7:$P$406,"&gt;="&amp;AS$6,$R$7:$R$406,"No"))</ns0:f>
        <ns0:v>0</ns0:v>
      </ns0:c>
      <ns0:c r="AT11" t="n">
        <ns0:f>IF($A11="",0,COUNTIFS($J$7:$J$406,$A11,$O$7:$O$406,"&lt;="&amp;AT$6,$P$7:$P$406,"&gt;="&amp;AT$6,$R$7:$R$406,"No"))</ns0:f>
        <ns0:v>0</ns0:v>
      </ns0:c>
      <ns0:c r="AU11" t="n">
        <ns0:f>IF($A11="",0,COUNTIFS($J$7:$J$406,$A11,$O$7:$O$406,"&lt;="&amp;AU$6,$P$7:$P$406,"&gt;="&amp;AU$6,$R$7:$R$406,"No"))</ns0:f>
        <ns0:v>0</ns0:v>
      </ns0:c>
      <ns0:c r="AV11" t="n">
        <ns0:f>IF($A11="",0,COUNTIFS($J$7:$J$406,$A11,$O$7:$O$406,"&lt;="&amp;AV$6,$P$7:$P$406,"&gt;="&amp;AV$6,$R$7:$R$406,"No"))</ns0:f>
        <ns0:v>0</ns0:v>
      </ns0:c>
      <ns0:c r="AW11" t="n">
        <ns0:f>IF($A11="",0,COUNTIFS($J$7:$J$406,$A11,$O$7:$O$406,"&lt;="&amp;AW$6,$P$7:$P$406,"&gt;="&amp;AW$6,$R$7:$R$406,"No"))</ns0:f>
        <ns0:v>0</ns0:v>
      </ns0:c>
      <ns0:c r="AX11" t="n">
        <ns0:f>IF($A11="",0,COUNTIFS($J$7:$J$406,$A11,$O$7:$O$406,"&lt;="&amp;AX$6,$P$7:$P$406,"&gt;="&amp;AX$6,$R$7:$R$406,"No"))</ns0:f>
        <ns0:v>0</ns0:v>
      </ns0:c>
      <ns0:c r="AY11" t="n">
        <ns0:f>IF($A11="",0,COUNTIFS($J$7:$J$406,$A11,$O$7:$O$406,"&lt;="&amp;AY$6,$P$7:$P$406,"&gt;="&amp;AY$6,$R$7:$R$406,"No"))</ns0:f>
        <ns0:v>0</ns0:v>
      </ns0:c>
      <ns0:c r="AZ11" t="n">
        <ns0:f>IF($A11="",0,COUNTIFS($J$7:$J$406,$A11,$O$7:$O$406,"&lt;="&amp;AZ$6,$P$7:$P$406,"&gt;="&amp;AZ$6,$R$7:$R$406,"No"))</ns0:f>
        <ns0:v>0</ns0:v>
      </ns0:c>
      <ns0:c r="BA11" t="n">
        <ns0:f>IF($A11="",0,COUNTIFS($J$7:$J$406,$A11,$O$7:$O$406,"&lt;="&amp;BA$6,$P$7:$P$406,"&gt;="&amp;BA$6,$R$7:$R$406,"No"))</ns0:f>
        <ns0:v>0</ns0:v>
      </ns0:c>
      <ns0:c r="BB11" t="n">
        <ns0:f>IF($A11="",0,COUNTIFS($J$7:$J$406,$A11,$O$7:$O$406,"&lt;="&amp;BB$6,$P$7:$P$406,"&gt;="&amp;BB$6,$R$7:$R$406,"No"))</ns0:f>
        <ns0:v>0</ns0:v>
      </ns0:c>
      <ns0:c r="BC11" t="n">
        <ns0:f>IF($A11="",0,COUNTIFS($J$7:$J$406,$A11,$O$7:$O$406,"&lt;="&amp;BC$6,$P$7:$P$406,"&gt;="&amp;BC$6,$R$7:$R$406,"No"))</ns0:f>
        <ns0:v>0</ns0:v>
      </ns0:c>
    </ns0:row>
    <ns0:row r="12" ht="48" customHeight="1">
      <ns0:c r="A12" s="8" t="str">
        <ns0:f>IF(ROW()-6&gt;MAX($K$7:$K$406),"",INDEX($J$7:$J$406,MATCH(ROW()-6,$K$7:$K$406,0)))</ns0:f>
        <ns0:v>Central Enterprise Database (CDB)</ns0:v>
      </ns0:c>
      <ns0:c r="B12" s="8" t="n">
        <ns0:f>IF(A12="","",COUNTIFS($J$7:$J$406,$A12))</ns0:f>
        <ns0:v>2</ns0:v>
      </ns0:c>
      <ns0:c r="C12" s="8" t="n">
        <ns0:f>IF(A12="","",COUNTIFS($J$7:$J$406,$A12,$N$7:$N$406,1))</ns0:f>
        <ns0:v>0</ns0:v>
      </ns0:c>
      <ns0:c r="D12" s="8" t="n">
        <ns0:f>IF(A12="","",COUNTIFS($J$7:$J$406,$A12,$Q$7:$Q$406,"In Progress"))</ns0:f>
        <ns0:v>0</ns0:v>
      </ns0:c>
      <ns0:c r="E12" s="8" t="n">
        <ns0:f>IF(A12="","",B12-C12)</ns0:f>
        <ns0:v>2</ns0:v>
      </ns0:c>
      <ns0:c r="F12" s="19" t="n">
        <ns0:f>IF(A12="","",SUMIFS($N$7:$N$406,$J$7:$J$406,$A12)/B12)</ns0:f>
        <ns0:v>0</ns0:v>
      </ns0:c>
      <ns0:c r="G12" s="8" t="n">
        <ns0:f>IF(A12="","",COUNTIFS(V12:BC12,"&gt;1"))</ns0:f>
        <ns0:v>0</ns0:v>
      </ns0:c>
      <ns0:c r="H12" s="8" t="str">
        <ns0:f>IF(A12="","",IF(COUNTIFS($T$7:$T$33,A12)&gt;0,INDEX($U$7:$U$33,MATCH(A12,$T$7:$T$33,0)),"No capacity or responsibility detail supplied."))</ns0:f>
        <ns0:v>Primary system of record for operational tables, vector namespaces, and telemetry time-series.</ns0:v>
      </ns0:c>
      <ns0:c r="J12" t="str">
        <ns0:f>IF('Project Tracker'!A8="","",TRIM(MID(SUBSTITUTE('Project Tracker'!K8,";",REPT(" ",150)),151,150)))</ns0:f>
      </ns0:c>
      <ns0:c r="K12" t="str">
        <ns0:f>IF(J12="","",IF(COUNTIFS($J$7:J12,J12)=1,MAX($K$6:K11)+1,""))</ns0:f>
      </ns0:c>
      <ns0:c r="L12" t="n">
        <ns0:f>IF(A12="",0,B12+(107-ROW())/1000)</ns0:f>
        <ns0:v>2.095</ns0:v>
      </ns0:c>
      <ns0:c r="M12" t="str">
        <ns0:f>IF(J12="","",'Project Tracker'!A8)</ns0:f>
      </ns0:c>
      <ns0:c r="N12" t="str">
        <ns0:f>IF(J12="","",'Project Tracker'!N8)</ns0:f>
      </ns0:c>
      <ns0:c r="O12" t="str">
        <ns0:f>IF(J12="","",'Project Tracker'!E8)</ns0:f>
      </ns0:c>
      <ns0:c r="P12" t="str">
        <ns0:f>IF(J12="","",'Project Tracker'!F8)</ns0:f>
      </ns0:c>
      <ns0:c r="Q12" t="str">
        <ns0:f>IF(J12="","",'Project Tracker'!Q8)</ns0:f>
      </ns0:c>
      <ns0:c r="R12" t="str">
        <ns0:f>IF(J12="","",'Project Tracker'!J8)</ns0:f>
      </ns0:c>
      <ns0:c r="T12" t="str">
        <ns0:v>Headless CMS &amp; Web Store (CMS)</ns0:v>
      </ns0:c>
      <ns0:c r="U12" t="str">
        <ns0:v>Digital asset and page model store; handles staged layout schemas and live storefront content.</ns0:v>
      </ns0:c>
      <ns0:c r="V12" t="n">
        <ns0:f>IF($A12="",0,COUNTIFS($J$7:$J$406,$A12,$O$7:$O$406,"&lt;="&amp;V$6,$P$7:$P$406,"&gt;="&amp;V$6,$R$7:$R$406,"No"))</ns0:f>
        <ns0:v>0</ns0:v>
      </ns0:c>
      <ns0:c r="W12" t="n">
        <ns0:f>IF($A12="",0,COUNTIFS($J$7:$J$406,$A12,$O$7:$O$406,"&lt;="&amp;W$6,$P$7:$P$406,"&gt;="&amp;W$6,$R$7:$R$406,"No"))</ns0:f>
        <ns0:v>0</ns0:v>
      </ns0:c>
      <ns0:c r="X12" t="n">
        <ns0:f>IF($A12="",0,COUNTIFS($J$7:$J$406,$A12,$O$7:$O$406,"&lt;="&amp;X$6,$P$7:$P$406,"&gt;="&amp;X$6,$R$7:$R$406,"No"))</ns0:f>
        <ns0:v>0</ns0:v>
      </ns0:c>
      <ns0:c r="Y12" t="n">
        <ns0:f>IF($A12="",0,COUNTIFS($J$7:$J$406,$A12,$O$7:$O$406,"&lt;="&amp;Y$6,$P$7:$P$406,"&gt;="&amp;Y$6,$R$7:$R$406,"No"))</ns0:f>
        <ns0:v>1</ns0:v>
      </ns0:c>
      <ns0:c r="Z12" t="n">
        <ns0:f>IF($A12="",0,COUNTIFS($J$7:$J$406,$A12,$O$7:$O$406,"&lt;="&amp;Z$6,$P$7:$P$406,"&gt;="&amp;Z$6,$R$7:$R$406,"No"))</ns0:f>
        <ns0:v>1</ns0:v>
      </ns0:c>
      <ns0:c r="AA12" t="n">
        <ns0:f>IF($A12="",0,COUNTIFS($J$7:$J$406,$A12,$O$7:$O$406,"&lt;="&amp;AA$6,$P$7:$P$406,"&gt;="&amp;AA$6,$R$7:$R$406,"No"))</ns0:f>
        <ns0:v>0</ns0:v>
      </ns0:c>
      <ns0:c r="AB12" t="n">
        <ns0:f>IF($A12="",0,COUNTIFS($J$7:$J$406,$A12,$O$7:$O$406,"&lt;="&amp;AB$6,$P$7:$P$406,"&gt;="&amp;AB$6,$R$7:$R$406,"No"))</ns0:f>
        <ns0:v>0</ns0:v>
      </ns0:c>
      <ns0:c r="AC12" t="n">
        <ns0:f>IF($A12="",0,COUNTIFS($J$7:$J$406,$A12,$O$7:$O$406,"&lt;="&amp;AC$6,$P$7:$P$406,"&gt;="&amp;AC$6,$R$7:$R$406,"No"))</ns0:f>
        <ns0:v>0</ns0:v>
      </ns0:c>
      <ns0:c r="AD12" t="n">
        <ns0:f>IF($A12="",0,COUNTIFS($J$7:$J$406,$A12,$O$7:$O$406,"&lt;="&amp;AD$6,$P$7:$P$406,"&gt;="&amp;AD$6,$R$7:$R$406,"No"))</ns0:f>
        <ns0:v>0</ns0:v>
      </ns0:c>
      <ns0:c r="AE12" t="n">
        <ns0:f>IF($A12="",0,COUNTIFS($J$7:$J$406,$A12,$O$7:$O$406,"&lt;="&amp;AE$6,$P$7:$P$406,"&gt;="&amp;AE$6,$R$7:$R$406,"No"))</ns0:f>
        <ns0:v>0</ns0:v>
      </ns0:c>
      <ns0:c r="AF12" t="n">
        <ns0:f>IF($A12="",0,COUNTIFS($J$7:$J$406,$A12,$O$7:$O$406,"&lt;="&amp;AF$6,$P$7:$P$406,"&gt;="&amp;AF$6,$R$7:$R$406,"No"))</ns0:f>
        <ns0:v>0</ns0:v>
      </ns0:c>
      <ns0:c r="AG12" t="n">
        <ns0:f>IF($A12="",0,COUNTIFS($J$7:$J$406,$A12,$O$7:$O$406,"&lt;="&amp;AG$6,$P$7:$P$406,"&gt;="&amp;AG$6,$R$7:$R$406,"No"))</ns0:f>
        <ns0:v>0</ns0:v>
      </ns0:c>
      <ns0:c r="AH12" t="n">
        <ns0:f>IF($A12="",0,COUNTIFS($J$7:$J$406,$A12,$O$7:$O$406,"&lt;="&amp;AH$6,$P$7:$P$406,"&gt;="&amp;AH$6,$R$7:$R$406,"No"))</ns0:f>
        <ns0:v>0</ns0:v>
      </ns0:c>
      <ns0:c r="AI12" t="n">
        <ns0:f>IF($A12="",0,COUNTIFS($J$7:$J$406,$A12,$O$7:$O$406,"&lt;="&amp;AI$6,$P$7:$P$406,"&gt;="&amp;AI$6,$R$7:$R$406,"No"))</ns0:f>
        <ns0:v>0</ns0:v>
      </ns0:c>
      <ns0:c r="AJ12" t="n">
        <ns0:f>IF($A12="",0,COUNTIFS($J$7:$J$406,$A12,$O$7:$O$406,"&lt;="&amp;AJ$6,$P$7:$P$406,"&gt;="&amp;AJ$6,$R$7:$R$406,"No"))</ns0:f>
        <ns0:v>0</ns0:v>
      </ns0:c>
      <ns0:c r="AK12" t="n">
        <ns0:f>IF($A12="",0,COUNTIFS($J$7:$J$406,$A12,$O$7:$O$406,"&lt;="&amp;AK$6,$P$7:$P$406,"&gt;="&amp;AK$6,$R$7:$R$406,"No"))</ns0:f>
        <ns0:v>0</ns0:v>
      </ns0:c>
      <ns0:c r="AL12" t="n">
        <ns0:f>IF($A12="",0,COUNTIFS($J$7:$J$406,$A12,$O$7:$O$406,"&lt;="&amp;AL$6,$P$7:$P$406,"&gt;="&amp;AL$6,$R$7:$R$406,"No"))</ns0:f>
        <ns0:v>0</ns0:v>
      </ns0:c>
      <ns0:c r="AM12" t="n">
        <ns0:f>IF($A12="",0,COUNTIFS($J$7:$J$406,$A12,$O$7:$O$406,"&lt;="&amp;AM$6,$P$7:$P$406,"&gt;="&amp;AM$6,$R$7:$R$406,"No"))</ns0:f>
        <ns0:v>0</ns0:v>
      </ns0:c>
      <ns0:c r="AN12" t="n">
        <ns0:f>IF($A12="",0,COUNTIFS($J$7:$J$406,$A12,$O$7:$O$406,"&lt;="&amp;AN$6,$P$7:$P$406,"&gt;="&amp;AN$6,$R$7:$R$406,"No"))</ns0:f>
        <ns0:v>0</ns0:v>
      </ns0:c>
      <ns0:c r="AO12" t="n">
        <ns0:f>IF($A12="",0,COUNTIFS($J$7:$J$406,$A12,$O$7:$O$406,"&lt;="&amp;AO$6,$P$7:$P$406,"&gt;="&amp;AO$6,$R$7:$R$406,"No"))</ns0:f>
        <ns0:v>0</ns0:v>
      </ns0:c>
      <ns0:c r="AP12" t="n">
        <ns0:f>IF($A12="",0,COUNTIFS($J$7:$J$406,$A12,$O$7:$O$406,"&lt;="&amp;AP$6,$P$7:$P$406,"&gt;="&amp;AP$6,$R$7:$R$406,"No"))</ns0:f>
        <ns0:v>0</ns0:v>
      </ns0:c>
      <ns0:c r="AQ12" t="n">
        <ns0:f>IF($A12="",0,COUNTIFS($J$7:$J$406,$A12,$O$7:$O$406,"&lt;="&amp;AQ$6,$P$7:$P$406,"&gt;="&amp;AQ$6,$R$7:$R$406,"No"))</ns0:f>
        <ns0:v>0</ns0:v>
      </ns0:c>
      <ns0:c r="AR12" t="n">
        <ns0:f>IF($A12="",0,COUNTIFS($J$7:$J$406,$A12,$O$7:$O$406,"&lt;="&amp;AR$6,$P$7:$P$406,"&gt;="&amp;AR$6,$R$7:$R$406,"No"))</ns0:f>
        <ns0:v>0</ns0:v>
      </ns0:c>
      <ns0:c r="AS12" t="n">
        <ns0:f>IF($A12="",0,COUNTIFS($J$7:$J$406,$A12,$O$7:$O$406,"&lt;="&amp;AS$6,$P$7:$P$406,"&gt;="&amp;AS$6,$R$7:$R$406,"No"))</ns0:f>
        <ns0:v>0</ns0:v>
      </ns0:c>
      <ns0:c r="AT12" t="n">
        <ns0:f>IF($A12="",0,COUNTIFS($J$7:$J$406,$A12,$O$7:$O$406,"&lt;="&amp;AT$6,$P$7:$P$406,"&gt;="&amp;AT$6,$R$7:$R$406,"No"))</ns0:f>
        <ns0:v>0</ns0:v>
      </ns0:c>
      <ns0:c r="AU12" t="n">
        <ns0:f>IF($A12="",0,COUNTIFS($J$7:$J$406,$A12,$O$7:$O$406,"&lt;="&amp;AU$6,$P$7:$P$406,"&gt;="&amp;AU$6,$R$7:$R$406,"No"))</ns0:f>
        <ns0:v>0</ns0:v>
      </ns0:c>
      <ns0:c r="AV12" t="n">
        <ns0:f>IF($A12="",0,COUNTIFS($J$7:$J$406,$A12,$O$7:$O$406,"&lt;="&amp;AV$6,$P$7:$P$406,"&gt;="&amp;AV$6,$R$7:$R$406,"No"))</ns0:f>
        <ns0:v>0</ns0:v>
      </ns0:c>
      <ns0:c r="AW12" t="n">
        <ns0:f>IF($A12="",0,COUNTIFS($J$7:$J$406,$A12,$O$7:$O$406,"&lt;="&amp;AW$6,$P$7:$P$406,"&gt;="&amp;AW$6,$R$7:$R$406,"No"))</ns0:f>
        <ns0:v>1</ns0:v>
      </ns0:c>
      <ns0:c r="AX12" t="n">
        <ns0:f>IF($A12="",0,COUNTIFS($J$7:$J$406,$A12,$O$7:$O$406,"&lt;="&amp;AX$6,$P$7:$P$406,"&gt;="&amp;AX$6,$R$7:$R$406,"No"))</ns0:f>
        <ns0:v>1</ns0:v>
      </ns0:c>
      <ns0:c r="AY12" t="n">
        <ns0:f>IF($A12="",0,COUNTIFS($J$7:$J$406,$A12,$O$7:$O$406,"&lt;="&amp;AY$6,$P$7:$P$406,"&gt;="&amp;AY$6,$R$7:$R$406,"No"))</ns0:f>
        <ns0:v>0</ns0:v>
      </ns0:c>
      <ns0:c r="AZ12" t="n">
        <ns0:f>IF($A12="",0,COUNTIFS($J$7:$J$406,$A12,$O$7:$O$406,"&lt;="&amp;AZ$6,$P$7:$P$406,"&gt;="&amp;AZ$6,$R$7:$R$406,"No"))</ns0:f>
        <ns0:v>0</ns0:v>
      </ns0:c>
      <ns0:c r="BA12" t="n">
        <ns0:f>IF($A12="",0,COUNTIFS($J$7:$J$406,$A12,$O$7:$O$406,"&lt;="&amp;BA$6,$P$7:$P$406,"&gt;="&amp;BA$6,$R$7:$R$406,"No"))</ns0:f>
        <ns0:v>0</ns0:v>
      </ns0:c>
      <ns0:c r="BB12" t="n">
        <ns0:f>IF($A12="",0,COUNTIFS($J$7:$J$406,$A12,$O$7:$O$406,"&lt;="&amp;BB$6,$P$7:$P$406,"&gt;="&amp;BB$6,$R$7:$R$406,"No"))</ns0:f>
        <ns0:v>0</ns0:v>
      </ns0:c>
      <ns0:c r="BC12" t="n">
        <ns0:f>IF($A12="",0,COUNTIFS($J$7:$J$406,$A12,$O$7:$O$406,"&lt;="&amp;BC$6,$P$7:$P$406,"&gt;="&amp;BC$6,$R$7:$R$406,"No"))</ns0:f>
        <ns0:v>0</ns0:v>
      </ns0:c>
    </ns0:row>
    <ns0:row r="13" ht="48" customHeight="1">
      <ns0:c r="A13" s="8" t="str">
        <ns0:f>IF(ROW()-6&gt;MAX($K$7:$K$406),"",INDEX($J$7:$J$406,MATCH(ROW()-6,$K$7:$K$406,0)))</ns0:f>
        <ns0:v>Headless CMS &amp; Web Store (CMS)</ns0:v>
      </ns0:c>
      <ns0:c r="B13" s="8" t="n">
        <ns0:f>IF(A13="","",COUNTIFS($J$7:$J$406,$A13))</ns0:f>
        <ns0:v>2</ns0:v>
      </ns0:c>
      <ns0:c r="C13" s="8" t="n">
        <ns0:f>IF(A13="","",COUNTIFS($J$7:$J$406,$A13,$N$7:$N$406,1))</ns0:f>
        <ns0:v>0</ns0:v>
      </ns0:c>
      <ns0:c r="D13" s="8" t="n">
        <ns0:f>IF(A13="","",COUNTIFS($J$7:$J$406,$A13,$Q$7:$Q$406,"In Progress"))</ns0:f>
        <ns0:v>0</ns0:v>
      </ns0:c>
      <ns0:c r="E13" s="8" t="n">
        <ns0:f>IF(A13="","",B13-C13)</ns0:f>
        <ns0:v>2</ns0:v>
      </ns0:c>
      <ns0:c r="F13" s="19" t="n">
        <ns0:f>IF(A13="","",SUMIFS($N$7:$N$406,$J$7:$J$406,$A13)/B13)</ns0:f>
        <ns0:v>0</ns0:v>
      </ns0:c>
      <ns0:c r="G13" s="8" t="n">
        <ns0:f>IF(A13="","",COUNTIFS(V13:BC13,"&gt;1"))</ns0:f>
        <ns0:v>0</ns0:v>
      </ns0:c>
      <ns0:c r="H13" s="8" t="str">
        <ns0:f>IF(A13="","",IF(COUNTIFS($T$7:$T$33,A13)&gt;0,INDEX($U$7:$U$33,MATCH(A13,$T$7:$T$33,0)),"No capacity or responsibility detail supplied."))</ns0:f>
        <ns0:v>Digital asset and page model store; handles staged layout schemas and live storefront content.</ns0:v>
      </ns0:c>
      <ns0:c r="J13" t="str">
        <ns0:f>IF('Project Tracker'!A8="","",TRIM(MID(SUBSTITUTE('Project Tracker'!K8,";",REPT(" ",150)),301,150)))</ns0:f>
      </ns0:c>
      <ns0:c r="K13" t="str">
        <ns0:f>IF(J13="","",IF(COUNTIFS($J$7:J13,J13)=1,MAX($K$6:K12)+1,""))</ns0:f>
      </ns0:c>
      <ns0:c r="L13" t="n">
        <ns0:f>IF(A13="",0,B13+(107-ROW())/1000)</ns0:f>
        <ns0:v>2.094</ns0:v>
      </ns0:c>
      <ns0:c r="M13" t="str">
        <ns0:f>IF(J13="","",'Project Tracker'!A8)</ns0:f>
      </ns0:c>
      <ns0:c r="N13" t="str">
        <ns0:f>IF(J13="","",'Project Tracker'!N8)</ns0:f>
      </ns0:c>
      <ns0:c r="O13" t="str">
        <ns0:f>IF(J13="","",'Project Tracker'!E8)</ns0:f>
      </ns0:c>
      <ns0:c r="P13" t="str">
        <ns0:f>IF(J13="","",'Project Tracker'!F8)</ns0:f>
      </ns0:c>
      <ns0:c r="Q13" t="str">
        <ns0:f>IF(J13="","",'Project Tracker'!Q8)</ns0:f>
      </ns0:c>
      <ns0:c r="R13" t="str">
        <ns0:f>IF(J13="","",'Project Tracker'!J8)</ns0:f>
      </ns0:c>
      <ns0:c r="T13" t="str">
        <ns0:v>Institutional Memory Store (MEM)</ns0:v>
      </ns0:c>
      <ns0:c r="U13" t="str">
        <ns0:v>Long-term knowledge base; stores promoted heuristics, brand voice rules, and model deltas.</ns0:v>
      </ns0:c>
      <ns0:c r="V13" t="n">
        <ns0:f>IF($A13="",0,COUNTIFS($J$7:$J$406,$A13,$O$7:$O$406,"&lt;="&amp;V$6,$P$7:$P$406,"&gt;="&amp;V$6,$R$7:$R$406,"No"))</ns0:f>
        <ns0:v>0</ns0:v>
      </ns0:c>
      <ns0:c r="W13" t="n">
        <ns0:f>IF($A13="",0,COUNTIFS($J$7:$J$406,$A13,$O$7:$O$406,"&lt;="&amp;W$6,$P$7:$P$406,"&gt;="&amp;W$6,$R$7:$R$406,"No"))</ns0:f>
        <ns0:v>0</ns0:v>
      </ns0:c>
      <ns0:c r="X13" t="n">
        <ns0:f>IF($A13="",0,COUNTIFS($J$7:$J$406,$A13,$O$7:$O$406,"&lt;="&amp;X$6,$P$7:$P$406,"&gt;="&amp;X$6,$R$7:$R$406,"No"))</ns0:f>
        <ns0:v>0</ns0:v>
      </ns0:c>
      <ns0:c r="Y13" t="n">
        <ns0:f>IF($A13="",0,COUNTIFS($J$7:$J$406,$A13,$O$7:$O$406,"&lt;="&amp;Y$6,$P$7:$P$406,"&gt;="&amp;Y$6,$R$7:$R$406,"No"))</ns0:f>
        <ns0:v>1</ns0:v>
      </ns0:c>
      <ns0:c r="Z13" t="n">
        <ns0:f>IF($A13="",0,COUNTIFS($J$7:$J$406,$A13,$O$7:$O$406,"&lt;="&amp;Z$6,$P$7:$P$406,"&gt;="&amp;Z$6,$R$7:$R$406,"No"))</ns0:f>
        <ns0:v>1</ns0:v>
      </ns0:c>
      <ns0:c r="AA13" t="n">
        <ns0:f>IF($A13="",0,COUNTIFS($J$7:$J$406,$A13,$O$7:$O$406,"&lt;="&amp;AA$6,$P$7:$P$406,"&gt;="&amp;AA$6,$R$7:$R$406,"No"))</ns0:f>
        <ns0:v>0</ns0:v>
      </ns0:c>
      <ns0:c r="AB13" t="n">
        <ns0:f>IF($A13="",0,COUNTIFS($J$7:$J$406,$A13,$O$7:$O$406,"&lt;="&amp;AB$6,$P$7:$P$406,"&gt;="&amp;AB$6,$R$7:$R$406,"No"))</ns0:f>
        <ns0:v>0</ns0:v>
      </ns0:c>
      <ns0:c r="AC13" t="n">
        <ns0:f>IF($A13="",0,COUNTIFS($J$7:$J$406,$A13,$O$7:$O$406,"&lt;="&amp;AC$6,$P$7:$P$406,"&gt;="&amp;AC$6,$R$7:$R$406,"No"))</ns0:f>
        <ns0:v>0</ns0:v>
      </ns0:c>
      <ns0:c r="AD13" t="n">
        <ns0:f>IF($A13="",0,COUNTIFS($J$7:$J$406,$A13,$O$7:$O$406,"&lt;="&amp;AD$6,$P$7:$P$406,"&gt;="&amp;AD$6,$R$7:$R$406,"No"))</ns0:f>
        <ns0:v>0</ns0:v>
      </ns0:c>
      <ns0:c r="AE13" t="n">
        <ns0:f>IF($A13="",0,COUNTIFS($J$7:$J$406,$A13,$O$7:$O$406,"&lt;="&amp;AE$6,$P$7:$P$406,"&gt;="&amp;AE$6,$R$7:$R$406,"No"))</ns0:f>
        <ns0:v>0</ns0:v>
      </ns0:c>
      <ns0:c r="AF13" t="n">
        <ns0:f>IF($A13="",0,COUNTIFS($J$7:$J$406,$A13,$O$7:$O$406,"&lt;="&amp;AF$6,$P$7:$P$406,"&gt;="&amp;AF$6,$R$7:$R$406,"No"))</ns0:f>
        <ns0:v>0</ns0:v>
      </ns0:c>
      <ns0:c r="AG13" t="n">
        <ns0:f>IF($A13="",0,COUNTIFS($J$7:$J$406,$A13,$O$7:$O$406,"&lt;="&amp;AG$6,$P$7:$P$406,"&gt;="&amp;AG$6,$R$7:$R$406,"No"))</ns0:f>
        <ns0:v>0</ns0:v>
      </ns0:c>
      <ns0:c r="AH13" t="n">
        <ns0:f>IF($A13="",0,COUNTIFS($J$7:$J$406,$A13,$O$7:$O$406,"&lt;="&amp;AH$6,$P$7:$P$406,"&gt;="&amp;AH$6,$R$7:$R$406,"No"))</ns0:f>
        <ns0:v>0</ns0:v>
      </ns0:c>
      <ns0:c r="AI13" t="n">
        <ns0:f>IF($A13="",0,COUNTIFS($J$7:$J$406,$A13,$O$7:$O$406,"&lt;="&amp;AI$6,$P$7:$P$406,"&gt;="&amp;AI$6,$R$7:$R$406,"No"))</ns0:f>
        <ns0:v>0</ns0:v>
      </ns0:c>
      <ns0:c r="AJ13" t="n">
        <ns0:f>IF($A13="",0,COUNTIFS($J$7:$J$406,$A13,$O$7:$O$406,"&lt;="&amp;AJ$6,$P$7:$P$406,"&gt;="&amp;AJ$6,$R$7:$R$406,"No"))</ns0:f>
        <ns0:v>0</ns0:v>
      </ns0:c>
      <ns0:c r="AK13" t="n">
        <ns0:f>IF($A13="",0,COUNTIFS($J$7:$J$406,$A13,$O$7:$O$406,"&lt;="&amp;AK$6,$P$7:$P$406,"&gt;="&amp;AK$6,$R$7:$R$406,"No"))</ns0:f>
        <ns0:v>0</ns0:v>
      </ns0:c>
      <ns0:c r="AL13" t="n">
        <ns0:f>IF($A13="",0,COUNTIFS($J$7:$J$406,$A13,$O$7:$O$406,"&lt;="&amp;AL$6,$P$7:$P$406,"&gt;="&amp;AL$6,$R$7:$R$406,"No"))</ns0:f>
        <ns0:v>0</ns0:v>
      </ns0:c>
      <ns0:c r="AM13" t="n">
        <ns0:f>IF($A13="",0,COUNTIFS($J$7:$J$406,$A13,$O$7:$O$406,"&lt;="&amp;AM$6,$P$7:$P$406,"&gt;="&amp;AM$6,$R$7:$R$406,"No"))</ns0:f>
        <ns0:v>0</ns0:v>
      </ns0:c>
      <ns0:c r="AN13" t="n">
        <ns0:f>IF($A13="",0,COUNTIFS($J$7:$J$406,$A13,$O$7:$O$406,"&lt;="&amp;AN$6,$P$7:$P$406,"&gt;="&amp;AN$6,$R$7:$R$406,"No"))</ns0:f>
        <ns0:v>0</ns0:v>
      </ns0:c>
      <ns0:c r="AO13" t="n">
        <ns0:f>IF($A13="",0,COUNTIFS($J$7:$J$406,$A13,$O$7:$O$406,"&lt;="&amp;AO$6,$P$7:$P$406,"&gt;="&amp;AO$6,$R$7:$R$406,"No"))</ns0:f>
        <ns0:v>0</ns0:v>
      </ns0:c>
      <ns0:c r="AP13" t="n">
        <ns0:f>IF($A13="",0,COUNTIFS($J$7:$J$406,$A13,$O$7:$O$406,"&lt;="&amp;AP$6,$P$7:$P$406,"&gt;="&amp;AP$6,$R$7:$R$406,"No"))</ns0:f>
        <ns0:v>0</ns0:v>
      </ns0:c>
      <ns0:c r="AQ13" t="n">
        <ns0:f>IF($A13="",0,COUNTIFS($J$7:$J$406,$A13,$O$7:$O$406,"&lt;="&amp;AQ$6,$P$7:$P$406,"&gt;="&amp;AQ$6,$R$7:$R$406,"No"))</ns0:f>
        <ns0:v>0</ns0:v>
      </ns0:c>
      <ns0:c r="AR13" t="n">
        <ns0:f>IF($A13="",0,COUNTIFS($J$7:$J$406,$A13,$O$7:$O$406,"&lt;="&amp;AR$6,$P$7:$P$406,"&gt;="&amp;AR$6,$R$7:$R$406,"No"))</ns0:f>
        <ns0:v>0</ns0:v>
      </ns0:c>
      <ns0:c r="AS13" t="n">
        <ns0:f>IF($A13="",0,COUNTIFS($J$7:$J$406,$A13,$O$7:$O$406,"&lt;="&amp;AS$6,$P$7:$P$406,"&gt;="&amp;AS$6,$R$7:$R$406,"No"))</ns0:f>
        <ns0:v>1</ns0:v>
      </ns0:c>
      <ns0:c r="AT13" t="n">
        <ns0:f>IF($A13="",0,COUNTIFS($J$7:$J$406,$A13,$O$7:$O$406,"&lt;="&amp;AT$6,$P$7:$P$406,"&gt;="&amp;AT$6,$R$7:$R$406,"No"))</ns0:f>
        <ns0:v>1</ns0:v>
      </ns0:c>
      <ns0:c r="AU13" t="n">
        <ns0:f>IF($A13="",0,COUNTIFS($J$7:$J$406,$A13,$O$7:$O$406,"&lt;="&amp;AU$6,$P$7:$P$406,"&gt;="&amp;AU$6,$R$7:$R$406,"No"))</ns0:f>
        <ns0:v>0</ns0:v>
      </ns0:c>
      <ns0:c r="AV13" t="n">
        <ns0:f>IF($A13="",0,COUNTIFS($J$7:$J$406,$A13,$O$7:$O$406,"&lt;="&amp;AV$6,$P$7:$P$406,"&gt;="&amp;AV$6,$R$7:$R$406,"No"))</ns0:f>
        <ns0:v>0</ns0:v>
      </ns0:c>
      <ns0:c r="AW13" t="n">
        <ns0:f>IF($A13="",0,COUNTIFS($J$7:$J$406,$A13,$O$7:$O$406,"&lt;="&amp;AW$6,$P$7:$P$406,"&gt;="&amp;AW$6,$R$7:$R$406,"No"))</ns0:f>
        <ns0:v>0</ns0:v>
      </ns0:c>
      <ns0:c r="AX13" t="n">
        <ns0:f>IF($A13="",0,COUNTIFS($J$7:$J$406,$A13,$O$7:$O$406,"&lt;="&amp;AX$6,$P$7:$P$406,"&gt;="&amp;AX$6,$R$7:$R$406,"No"))</ns0:f>
        <ns0:v>0</ns0:v>
      </ns0:c>
      <ns0:c r="AY13" t="n">
        <ns0:f>IF($A13="",0,COUNTIFS($J$7:$J$406,$A13,$O$7:$O$406,"&lt;="&amp;AY$6,$P$7:$P$406,"&gt;="&amp;AY$6,$R$7:$R$406,"No"))</ns0:f>
        <ns0:v>0</ns0:v>
      </ns0:c>
      <ns0:c r="AZ13" t="n">
        <ns0:f>IF($A13="",0,COUNTIFS($J$7:$J$406,$A13,$O$7:$O$406,"&lt;="&amp;AZ$6,$P$7:$P$406,"&gt;="&amp;AZ$6,$R$7:$R$406,"No"))</ns0:f>
        <ns0:v>0</ns0:v>
      </ns0:c>
      <ns0:c r="BA13" t="n">
        <ns0:f>IF($A13="",0,COUNTIFS($J$7:$J$406,$A13,$O$7:$O$406,"&lt;="&amp;BA$6,$P$7:$P$406,"&gt;="&amp;BA$6,$R$7:$R$406,"No"))</ns0:f>
        <ns0:v>0</ns0:v>
      </ns0:c>
      <ns0:c r="BB13" t="n">
        <ns0:f>IF($A13="",0,COUNTIFS($J$7:$J$406,$A13,$O$7:$O$406,"&lt;="&amp;BB$6,$P$7:$P$406,"&gt;="&amp;BB$6,$R$7:$R$406,"No"))</ns0:f>
        <ns0:v>0</ns0:v>
      </ns0:c>
      <ns0:c r="BC13" t="n">
        <ns0:f>IF($A13="",0,COUNTIFS($J$7:$J$406,$A13,$O$7:$O$406,"&lt;="&amp;BC$6,$P$7:$P$406,"&gt;="&amp;BC$6,$R$7:$R$406,"No"))</ns0:f>
        <ns0:v>0</ns0:v>
      </ns0:c>
    </ns0:row>
    <ns0:row r="14" ht="48" customHeight="1">
      <ns0:c r="A14" s="8" t="str">
        <ns0:f>IF(ROW()-6&gt;MAX($K$7:$K$406),"",INDEX($J$7:$J$406,MATCH(ROW()-6,$K$7:$K$406,0)))</ns0:f>
        <ns0:v>Institutional Memory Store (MEM)</ns0:v>
      </ns0:c>
      <ns0:c r="B14" s="8" t="n">
        <ns0:f>IF(A14="","",COUNTIFS($J$7:$J$406,$A14))</ns0:f>
        <ns0:v>2</ns0:v>
      </ns0:c>
      <ns0:c r="C14" s="8" t="n">
        <ns0:f>IF(A14="","",COUNTIFS($J$7:$J$406,$A14,$N$7:$N$406,1))</ns0:f>
        <ns0:v>0</ns0:v>
      </ns0:c>
      <ns0:c r="D14" s="8" t="n">
        <ns0:f>IF(A14="","",COUNTIFS($J$7:$J$406,$A14,$Q$7:$Q$406,"In Progress"))</ns0:f>
        <ns0:v>0</ns0:v>
      </ns0:c>
      <ns0:c r="E14" s="8" t="n">
        <ns0:f>IF(A14="","",B14-C14)</ns0:f>
        <ns0:v>2</ns0:v>
      </ns0:c>
      <ns0:c r="F14" s="19" t="n">
        <ns0:f>IF(A14="","",SUMIFS($N$7:$N$406,$J$7:$J$406,$A14)/B14)</ns0:f>
        <ns0:v>0</ns0:v>
      </ns0:c>
      <ns0:c r="G14" s="8" t="n">
        <ns0:f>IF(A14="","",COUNTIFS(V14:BC14,"&gt;1"))</ns0:f>
        <ns0:v>0</ns0:v>
      </ns0:c>
      <ns0:c r="H14" s="8" t="str">
        <ns0:f>IF(A14="","",IF(COUNTIFS($T$7:$T$33,A14)&gt;0,INDEX($U$7:$U$33,MATCH(A14,$T$7:$T$33,0)),"No capacity or responsibility detail supplied."))</ns0:f>
        <ns0:v>Long-term knowledge base; stores promoted heuristics, brand voice rules, and model deltas.</ns0:v>
      </ns0:c>
      <ns0:c r="J14" t="str">
        <ns0:f>IF('Project Tracker'!A8="","",TRIM(MID(SUBSTITUTE('Project Tracker'!K8,";",REPT(" ",150)),451,150)))</ns0:f>
      </ns0:c>
      <ns0:c r="K14" t="str">
        <ns0:f>IF(J14="","",IF(COUNTIFS($J$7:J14,J14)=1,MAX($K$6:K13)+1,""))</ns0:f>
      </ns0:c>
      <ns0:c r="L14" t="n">
        <ns0:f>IF(A14="",0,B14+(107-ROW())/1000)</ns0:f>
        <ns0:v>2.093</ns0:v>
      </ns0:c>
      <ns0:c r="M14" t="str">
        <ns0:f>IF(J14="","",'Project Tracker'!A8)</ns0:f>
      </ns0:c>
      <ns0:c r="N14" t="str">
        <ns0:f>IF(J14="","",'Project Tracker'!N8)</ns0:f>
      </ns0:c>
      <ns0:c r="O14" t="str">
        <ns0:f>IF(J14="","",'Project Tracker'!E8)</ns0:f>
      </ns0:c>
      <ns0:c r="P14" t="str">
        <ns0:f>IF(J14="","",'Project Tracker'!F8)</ns0:f>
      </ns0:c>
      <ns0:c r="Q14" t="str">
        <ns0:f>IF(J14="","",'Project Tracker'!Q8)</ns0:f>
      </ns0:c>
      <ns0:c r="R14" t="str">
        <ns0:f>IF(J14="","",'Project Tracker'!J8)</ns0:f>
      </ns0:c>
      <ns0:c r="T14" t="str">
        <ns0:v>Artifact &amp; Evidence Registry (ART)</ns0:v>
      </ns0:c>
      <ns0:c r="U14" t="str">
        <ns0:v>Immutable blob storage; stores deliverables, code diffs, and evidence dossiers by UUID/SHA-256.</ns0:v>
      </ns0:c>
      <ns0:c r="V14" t="n">
        <ns0:f>IF($A14="",0,COUNTIFS($J$7:$J$406,$A14,$O$7:$O$406,"&lt;="&amp;V$6,$P$7:$P$406,"&gt;="&amp;V$6,$R$7:$R$406,"No"))</ns0:f>
        <ns0:v>0</ns0:v>
      </ns0:c>
      <ns0:c r="W14" t="n">
        <ns0:f>IF($A14="",0,COUNTIFS($J$7:$J$406,$A14,$O$7:$O$406,"&lt;="&amp;W$6,$P$7:$P$406,"&gt;="&amp;W$6,$R$7:$R$406,"No"))</ns0:f>
        <ns0:v>0</ns0:v>
      </ns0:c>
      <ns0:c r="X14" t="n">
        <ns0:f>IF($A14="",0,COUNTIFS($J$7:$J$406,$A14,$O$7:$O$406,"&lt;="&amp;X$6,$P$7:$P$406,"&gt;="&amp;X$6,$R$7:$R$406,"No"))</ns0:f>
        <ns0:v>0</ns0:v>
      </ns0:c>
      <ns0:c r="Y14" t="n">
        <ns0:f>IF($A14="",0,COUNTIFS($J$7:$J$406,$A14,$O$7:$O$406,"&lt;="&amp;Y$6,$P$7:$P$406,"&gt;="&amp;Y$6,$R$7:$R$406,"No"))</ns0:f>
        <ns0:v>1</ns0:v>
      </ns0:c>
      <ns0:c r="Z14" t="n">
        <ns0:f>IF($A14="",0,COUNTIFS($J$7:$J$406,$A14,$O$7:$O$406,"&lt;="&amp;Z$6,$P$7:$P$406,"&gt;="&amp;Z$6,$R$7:$R$406,"No"))</ns0:f>
        <ns0:v>1</ns0:v>
      </ns0:c>
      <ns0:c r="AA14" t="n">
        <ns0:f>IF($A14="",0,COUNTIFS($J$7:$J$406,$A14,$O$7:$O$406,"&lt;="&amp;AA$6,$P$7:$P$406,"&gt;="&amp;AA$6,$R$7:$R$406,"No"))</ns0:f>
        <ns0:v>0</ns0:v>
      </ns0:c>
      <ns0:c r="AB14" t="n">
        <ns0:f>IF($A14="",0,COUNTIFS($J$7:$J$406,$A14,$O$7:$O$406,"&lt;="&amp;AB$6,$P$7:$P$406,"&gt;="&amp;AB$6,$R$7:$R$406,"No"))</ns0:f>
        <ns0:v>0</ns0:v>
      </ns0:c>
      <ns0:c r="AC14" t="n">
        <ns0:f>IF($A14="",0,COUNTIFS($J$7:$J$406,$A14,$O$7:$O$406,"&lt;="&amp;AC$6,$P$7:$P$406,"&gt;="&amp;AC$6,$R$7:$R$406,"No"))</ns0:f>
        <ns0:v>0</ns0:v>
      </ns0:c>
      <ns0:c r="AD14" t="n">
        <ns0:f>IF($A14="",0,COUNTIFS($J$7:$J$406,$A14,$O$7:$O$406,"&lt;="&amp;AD$6,$P$7:$P$406,"&gt;="&amp;AD$6,$R$7:$R$406,"No"))</ns0:f>
        <ns0:v>0</ns0:v>
      </ns0:c>
      <ns0:c r="AE14" t="n">
        <ns0:f>IF($A14="",0,COUNTIFS($J$7:$J$406,$A14,$O$7:$O$406,"&lt;="&amp;AE$6,$P$7:$P$406,"&gt;="&amp;AE$6,$R$7:$R$406,"No"))</ns0:f>
        <ns0:v>0</ns0:v>
      </ns0:c>
      <ns0:c r="AF14" t="n">
        <ns0:f>IF($A14="",0,COUNTIFS($J$7:$J$406,$A14,$O$7:$O$406,"&lt;="&amp;AF$6,$P$7:$P$406,"&gt;="&amp;AF$6,$R$7:$R$406,"No"))</ns0:f>
        <ns0:v>0</ns0:v>
      </ns0:c>
      <ns0:c r="AG14" t="n">
        <ns0:f>IF($A14="",0,COUNTIFS($J$7:$J$406,$A14,$O$7:$O$406,"&lt;="&amp;AG$6,$P$7:$P$406,"&gt;="&amp;AG$6,$R$7:$R$406,"No"))</ns0:f>
        <ns0:v>0</ns0:v>
      </ns0:c>
      <ns0:c r="AH14" t="n">
        <ns0:f>IF($A14="",0,COUNTIFS($J$7:$J$406,$A14,$O$7:$O$406,"&lt;="&amp;AH$6,$P$7:$P$406,"&gt;="&amp;AH$6,$R$7:$R$406,"No"))</ns0:f>
        <ns0:v>0</ns0:v>
      </ns0:c>
      <ns0:c r="AI14" t="n">
        <ns0:f>IF($A14="",0,COUNTIFS($J$7:$J$406,$A14,$O$7:$O$406,"&lt;="&amp;AI$6,$P$7:$P$406,"&gt;="&amp;AI$6,$R$7:$R$406,"No"))</ns0:f>
        <ns0:v>0</ns0:v>
      </ns0:c>
      <ns0:c r="AJ14" t="n">
        <ns0:f>IF($A14="",0,COUNTIFS($J$7:$J$406,$A14,$O$7:$O$406,"&lt;="&amp;AJ$6,$P$7:$P$406,"&gt;="&amp;AJ$6,$R$7:$R$406,"No"))</ns0:f>
        <ns0:v>0</ns0:v>
      </ns0:c>
      <ns0:c r="AK14" t="n">
        <ns0:f>IF($A14="",0,COUNTIFS($J$7:$J$406,$A14,$O$7:$O$406,"&lt;="&amp;AK$6,$P$7:$P$406,"&gt;="&amp;AK$6,$R$7:$R$406,"No"))</ns0:f>
        <ns0:v>0</ns0:v>
      </ns0:c>
      <ns0:c r="AL14" t="n">
        <ns0:f>IF($A14="",0,COUNTIFS($J$7:$J$406,$A14,$O$7:$O$406,"&lt;="&amp;AL$6,$P$7:$P$406,"&gt;="&amp;AL$6,$R$7:$R$406,"No"))</ns0:f>
        <ns0:v>0</ns0:v>
      </ns0:c>
      <ns0:c r="AM14" t="n">
        <ns0:f>IF($A14="",0,COUNTIFS($J$7:$J$406,$A14,$O$7:$O$406,"&lt;="&amp;AM$6,$P$7:$P$406,"&gt;="&amp;AM$6,$R$7:$R$406,"No"))</ns0:f>
        <ns0:v>0</ns0:v>
      </ns0:c>
      <ns0:c r="AN14" t="n">
        <ns0:f>IF($A14="",0,COUNTIFS($J$7:$J$406,$A14,$O$7:$O$406,"&lt;="&amp;AN$6,$P$7:$P$406,"&gt;="&amp;AN$6,$R$7:$R$406,"No"))</ns0:f>
        <ns0:v>0</ns0:v>
      </ns0:c>
      <ns0:c r="AO14" t="n">
        <ns0:f>IF($A14="",0,COUNTIFS($J$7:$J$406,$A14,$O$7:$O$406,"&lt;="&amp;AO$6,$P$7:$P$406,"&gt;="&amp;AO$6,$R$7:$R$406,"No"))</ns0:f>
        <ns0:v>0</ns0:v>
      </ns0:c>
      <ns0:c r="AP14" t="n">
        <ns0:f>IF($A14="",0,COUNTIFS($J$7:$J$406,$A14,$O$7:$O$406,"&lt;="&amp;AP$6,$P$7:$P$406,"&gt;="&amp;AP$6,$R$7:$R$406,"No"))</ns0:f>
        <ns0:v>0</ns0:v>
      </ns0:c>
      <ns0:c r="AQ14" t="n">
        <ns0:f>IF($A14="",0,COUNTIFS($J$7:$J$406,$A14,$O$7:$O$406,"&lt;="&amp;AQ$6,$P$7:$P$406,"&gt;="&amp;AQ$6,$R$7:$R$406,"No"))</ns0:f>
        <ns0:v>0</ns0:v>
      </ns0:c>
      <ns0:c r="AR14" t="n">
        <ns0:f>IF($A14="",0,COUNTIFS($J$7:$J$406,$A14,$O$7:$O$406,"&lt;="&amp;AR$6,$P$7:$P$406,"&gt;="&amp;AR$6,$R$7:$R$406,"No"))</ns0:f>
        <ns0:v>0</ns0:v>
      </ns0:c>
      <ns0:c r="AS14" t="n">
        <ns0:f>IF($A14="",0,COUNTIFS($J$7:$J$406,$A14,$O$7:$O$406,"&lt;="&amp;AS$6,$P$7:$P$406,"&gt;="&amp;AS$6,$R$7:$R$406,"No"))</ns0:f>
        <ns0:v>0</ns0:v>
      </ns0:c>
      <ns0:c r="AT14" t="n">
        <ns0:f>IF($A14="",0,COUNTIFS($J$7:$J$406,$A14,$O$7:$O$406,"&lt;="&amp;AT$6,$P$7:$P$406,"&gt;="&amp;AT$6,$R$7:$R$406,"No"))</ns0:f>
        <ns0:v>0</ns0:v>
      </ns0:c>
      <ns0:c r="AU14" t="n">
        <ns0:f>IF($A14="",0,COUNTIFS($J$7:$J$406,$A14,$O$7:$O$406,"&lt;="&amp;AU$6,$P$7:$P$406,"&gt;="&amp;AU$6,$R$7:$R$406,"No"))</ns0:f>
        <ns0:v>0</ns0:v>
      </ns0:c>
      <ns0:c r="AV14" t="n">
        <ns0:f>IF($A14="",0,COUNTIFS($J$7:$J$406,$A14,$O$7:$O$406,"&lt;="&amp;AV$6,$P$7:$P$406,"&gt;="&amp;AV$6,$R$7:$R$406,"No"))</ns0:f>
        <ns0:v>0</ns0:v>
      </ns0:c>
      <ns0:c r="AW14" t="n">
        <ns0:f>IF($A14="",0,COUNTIFS($J$7:$J$406,$A14,$O$7:$O$406,"&lt;="&amp;AW$6,$P$7:$P$406,"&gt;="&amp;AW$6,$R$7:$R$406,"No"))</ns0:f>
        <ns0:v>0</ns0:v>
      </ns0:c>
      <ns0:c r="AX14" t="n">
        <ns0:f>IF($A14="",0,COUNTIFS($J$7:$J$406,$A14,$O$7:$O$406,"&lt;="&amp;AX$6,$P$7:$P$406,"&gt;="&amp;AX$6,$R$7:$R$406,"No"))</ns0:f>
        <ns0:v>0</ns0:v>
      </ns0:c>
      <ns0:c r="AY14" t="n">
        <ns0:f>IF($A14="",0,COUNTIFS($J$7:$J$406,$A14,$O$7:$O$406,"&lt;="&amp;AY$6,$P$7:$P$406,"&gt;="&amp;AY$6,$R$7:$R$406,"No"))</ns0:f>
        <ns0:v>0</ns0:v>
      </ns0:c>
      <ns0:c r="AZ14" t="n">
        <ns0:f>IF($A14="",0,COUNTIFS($J$7:$J$406,$A14,$O$7:$O$406,"&lt;="&amp;AZ$6,$P$7:$P$406,"&gt;="&amp;AZ$6,$R$7:$R$406,"No"))</ns0:f>
        <ns0:v>0</ns0:v>
      </ns0:c>
      <ns0:c r="BA14" t="n">
        <ns0:f>IF($A14="",0,COUNTIFS($J$7:$J$406,$A14,$O$7:$O$406,"&lt;="&amp;BA$6,$P$7:$P$406,"&gt;="&amp;BA$6,$R$7:$R$406,"No"))</ns0:f>
        <ns0:v>1</ns0:v>
      </ns0:c>
      <ns0:c r="BB14" t="n">
        <ns0:f>IF($A14="",0,COUNTIFS($J$7:$J$406,$A14,$O$7:$O$406,"&lt;="&amp;BB$6,$P$7:$P$406,"&gt;="&amp;BB$6,$R$7:$R$406,"No"))</ns0:f>
        <ns0:v>1</ns0:v>
      </ns0:c>
      <ns0:c r="BC14" t="n">
        <ns0:f>IF($A14="",0,COUNTIFS($J$7:$J$406,$A14,$O$7:$O$406,"&lt;="&amp;BC$6,$P$7:$P$406,"&gt;="&amp;BC$6,$R$7:$R$406,"No"))</ns0:f>
        <ns0:v>0</ns0:v>
      </ns0:c>
    </ns0:row>
    <ns0:row r="15" ht="48" customHeight="1">
      <ns0:c r="A15" s="8" t="str">
        <ns0:f>IF(ROW()-6&gt;MAX($K$7:$K$406),"",INDEX($J$7:$J$406,MATCH(ROW()-6,$K$7:$K$406,0)))</ns0:f>
        <ns0:v>Artifact &amp; Evidence Registry (ART)</ns0:v>
      </ns0:c>
      <ns0:c r="B15" s="8" t="n">
        <ns0:f>IF(A15="","",COUNTIFS($J$7:$J$406,$A15))</ns0:f>
        <ns0:v>1</ns0:v>
      </ns0:c>
      <ns0:c r="C15" s="8" t="n">
        <ns0:f>IF(A15="","",COUNTIFS($J$7:$J$406,$A15,$N$7:$N$406,1))</ns0:f>
        <ns0:v>0</ns0:v>
      </ns0:c>
      <ns0:c r="D15" s="8" t="n">
        <ns0:f>IF(A15="","",COUNTIFS($J$7:$J$406,$A15,$Q$7:$Q$406,"In Progress"))</ns0:f>
        <ns0:v>0</ns0:v>
      </ns0:c>
      <ns0:c r="E15" s="8" t="n">
        <ns0:f>IF(A15="","",B15-C15)</ns0:f>
        <ns0:v>1</ns0:v>
      </ns0:c>
      <ns0:c r="F15" s="19" t="n">
        <ns0:f>IF(A15="","",SUMIFS($N$7:$N$406,$J$7:$J$406,$A15)/B15)</ns0:f>
        <ns0:v>0</ns0:v>
      </ns0:c>
      <ns0:c r="G15" s="8" t="n">
        <ns0:f>IF(A15="","",COUNTIFS(V15:BC15,"&gt;1"))</ns0:f>
        <ns0:v>0</ns0:v>
      </ns0:c>
      <ns0:c r="H15" s="8" t="str">
        <ns0:f>IF(A15="","",IF(COUNTIFS($T$7:$T$33,A15)&gt;0,INDEX($U$7:$U$33,MATCH(A15,$T$7:$T$33,0)),"No capacity or responsibility detail supplied."))</ns0:f>
        <ns0:v>Immutable blob storage; stores deliverables, code diffs, and evidence dossiers by UUID/SHA-256.</ns0:v>
      </ns0:c>
      <ns0:c r="J15" t="str">
        <ns0:f>IF('Project Tracker'!A9="","",TRIM(MID(SUBSTITUTE('Project Tracker'!K9,";",REPT(" ",150)),1,150)))</ns0:f>
        <ns0:v>Policy &amp; Authorization Boundary (PAB)</ns0:v>
      </ns0:c>
      <ns0:c r="K15" t="n">
        <ns0:f>IF(J15="","",IF(COUNTIFS($J$7:J15,J15)=1,MAX($K$6:K14)+1,""))</ns0:f>
        <ns0:v>3</ns0:v>
      </ns0:c>
      <ns0:c r="L15" t="n">
        <ns0:f>IF(A15="",0,B15+(107-ROW())/1000)</ns0:f>
        <ns0:v>1.092</ns0:v>
      </ns0:c>
      <ns0:c r="M15" t="str">
        <ns0:f>IF(J15="","",'Project Tracker'!A9)</ns0:f>
        <ns0:v>T03</ns0:v>
      </ns0:c>
      <ns0:c r="N15" t="n">
        <ns0:f>IF(J15="","",'Project Tracker'!N9)</ns0:f>
        <ns0:v>0</ns0:v>
      </ns0:c>
      <ns0:c r="O15" t="n">
        <ns0:f>IF(J15="","",'Project Tracker'!E9)</ns0:f>
        <ns0:v>46277</ns0:v>
      </ns0:c>
      <ns0:c r="P15" t="n">
        <ns0:f>IF(J15="","",'Project Tracker'!F9)</ns0:f>
        <ns0:v>46278</ns0:v>
      </ns0:c>
      <ns0:c r="Q15" t="str">
        <ns0:f>IF(J15="","",'Project Tracker'!Q9)</ns0:f>
        <ns0:v>Not Started</ns0:v>
      </ns0:c>
      <ns0:c r="R15" t="str">
        <ns0:f>IF(J15="","",'Project Tracker'!J9)</ns0:f>
        <ns0:v>No</ns0:v>
      </ns0:c>
      <ns0:c r="T15" t="str">
        <ns0:v>Governed MCP Data Boundary</ns0:v>
      </ns0:c>
      <ns0:c r="U15" t="str">
        <ns0:v>Database gateway; exposes read/write CRUD capability facades under strict schema validation.</ns0:v>
      </ns0:c>
      <ns0:c r="V15" t="n">
        <ns0:f>IF($A15="",0,COUNTIFS($J$7:$J$406,$A15,$O$7:$O$406,"&lt;="&amp;V$6,$P$7:$P$406,"&gt;="&amp;V$6,$R$7:$R$406,"No"))</ns0:f>
        <ns0:v>0</ns0:v>
      </ns0:c>
      <ns0:c r="W15" t="n">
        <ns0:f>IF($A15="",0,COUNTIFS($J$7:$J$406,$A15,$O$7:$O$406,"&lt;="&amp;W$6,$P$7:$P$406,"&gt;="&amp;W$6,$R$7:$R$406,"No"))</ns0:f>
        <ns0:v>0</ns0:v>
      </ns0:c>
      <ns0:c r="X15" t="n">
        <ns0:f>IF($A15="",0,COUNTIFS($J$7:$J$406,$A15,$O$7:$O$406,"&lt;="&amp;X$6,$P$7:$P$406,"&gt;="&amp;X$6,$R$7:$R$406,"No"))</ns0:f>
        <ns0:v>0</ns0:v>
      </ns0:c>
      <ns0:c r="Y15" t="n">
        <ns0:f>IF($A15="",0,COUNTIFS($J$7:$J$406,$A15,$O$7:$O$406,"&lt;="&amp;Y$6,$P$7:$P$406,"&gt;="&amp;Y$6,$R$7:$R$406,"No"))</ns0:f>
        <ns0:v>0</ns0:v>
      </ns0:c>
      <ns0:c r="Z15" t="n">
        <ns0:f>IF($A15="",0,COUNTIFS($J$7:$J$406,$A15,$O$7:$O$406,"&lt;="&amp;Z$6,$P$7:$P$406,"&gt;="&amp;Z$6,$R$7:$R$406,"No"))</ns0:f>
        <ns0:v>0</ns0:v>
      </ns0:c>
      <ns0:c r="AA15" t="n">
        <ns0:f>IF($A15="",0,COUNTIFS($J$7:$J$406,$A15,$O$7:$O$406,"&lt;="&amp;AA$6,$P$7:$P$406,"&gt;="&amp;AA$6,$R$7:$R$406,"No"))</ns0:f>
        <ns0:v>1</ns0:v>
      </ns0:c>
      <ns0:c r="AB15" t="n">
        <ns0:f>IF($A15="",0,COUNTIFS($J$7:$J$406,$A15,$O$7:$O$406,"&lt;="&amp;AB$6,$P$7:$P$406,"&gt;="&amp;AB$6,$R$7:$R$406,"No"))</ns0:f>
        <ns0:v>1</ns0:v>
      </ns0:c>
      <ns0:c r="AC15" t="n">
        <ns0:f>IF($A15="",0,COUNTIFS($J$7:$J$406,$A15,$O$7:$O$406,"&lt;="&amp;AC$6,$P$7:$P$406,"&gt;="&amp;AC$6,$R$7:$R$406,"No"))</ns0:f>
        <ns0:v>1</ns0:v>
      </ns0:c>
      <ns0:c r="AD15" t="n">
        <ns0:f>IF($A15="",0,COUNTIFS($J$7:$J$406,$A15,$O$7:$O$406,"&lt;="&amp;AD$6,$P$7:$P$406,"&gt;="&amp;AD$6,$R$7:$R$406,"No"))</ns0:f>
        <ns0:v>0</ns0:v>
      </ns0:c>
      <ns0:c r="AE15" t="n">
        <ns0:f>IF($A15="",0,COUNTIFS($J$7:$J$406,$A15,$O$7:$O$406,"&lt;="&amp;AE$6,$P$7:$P$406,"&gt;="&amp;AE$6,$R$7:$R$406,"No"))</ns0:f>
        <ns0:v>0</ns0:v>
      </ns0:c>
      <ns0:c r="AF15" t="n">
        <ns0:f>IF($A15="",0,COUNTIFS($J$7:$J$406,$A15,$O$7:$O$406,"&lt;="&amp;AF$6,$P$7:$P$406,"&gt;="&amp;AF$6,$R$7:$R$406,"No"))</ns0:f>
        <ns0:v>0</ns0:v>
      </ns0:c>
      <ns0:c r="AG15" t="n">
        <ns0:f>IF($A15="",0,COUNTIFS($J$7:$J$406,$A15,$O$7:$O$406,"&lt;="&amp;AG$6,$P$7:$P$406,"&gt;="&amp;AG$6,$R$7:$R$406,"No"))</ns0:f>
        <ns0:v>0</ns0:v>
      </ns0:c>
      <ns0:c r="AH15" t="n">
        <ns0:f>IF($A15="",0,COUNTIFS($J$7:$J$406,$A15,$O$7:$O$406,"&lt;="&amp;AH$6,$P$7:$P$406,"&gt;="&amp;AH$6,$R$7:$R$406,"No"))</ns0:f>
        <ns0:v>0</ns0:v>
      </ns0:c>
      <ns0:c r="AI15" t="n">
        <ns0:f>IF($A15="",0,COUNTIFS($J$7:$J$406,$A15,$O$7:$O$406,"&lt;="&amp;AI$6,$P$7:$P$406,"&gt;="&amp;AI$6,$R$7:$R$406,"No"))</ns0:f>
        <ns0:v>0</ns0:v>
      </ns0:c>
      <ns0:c r="AJ15" t="n">
        <ns0:f>IF($A15="",0,COUNTIFS($J$7:$J$406,$A15,$O$7:$O$406,"&lt;="&amp;AJ$6,$P$7:$P$406,"&gt;="&amp;AJ$6,$R$7:$R$406,"No"))</ns0:f>
        <ns0:v>0</ns0:v>
      </ns0:c>
      <ns0:c r="AK15" t="n">
        <ns0:f>IF($A15="",0,COUNTIFS($J$7:$J$406,$A15,$O$7:$O$406,"&lt;="&amp;AK$6,$P$7:$P$406,"&gt;="&amp;AK$6,$R$7:$R$406,"No"))</ns0:f>
        <ns0:v>0</ns0:v>
      </ns0:c>
      <ns0:c r="AL15" t="n">
        <ns0:f>IF($A15="",0,COUNTIFS($J$7:$J$406,$A15,$O$7:$O$406,"&lt;="&amp;AL$6,$P$7:$P$406,"&gt;="&amp;AL$6,$R$7:$R$406,"No"))</ns0:f>
        <ns0:v>0</ns0:v>
      </ns0:c>
      <ns0:c r="AM15" t="n">
        <ns0:f>IF($A15="",0,COUNTIFS($J$7:$J$406,$A15,$O$7:$O$406,"&lt;="&amp;AM$6,$P$7:$P$406,"&gt;="&amp;AM$6,$R$7:$R$406,"No"))</ns0:f>
        <ns0:v>0</ns0:v>
      </ns0:c>
      <ns0:c r="AN15" t="n">
        <ns0:f>IF($A15="",0,COUNTIFS($J$7:$J$406,$A15,$O$7:$O$406,"&lt;="&amp;AN$6,$P$7:$P$406,"&gt;="&amp;AN$6,$R$7:$R$406,"No"))</ns0:f>
        <ns0:v>0</ns0:v>
      </ns0:c>
      <ns0:c r="AO15" t="n">
        <ns0:f>IF($A15="",0,COUNTIFS($J$7:$J$406,$A15,$O$7:$O$406,"&lt;="&amp;AO$6,$P$7:$P$406,"&gt;="&amp;AO$6,$R$7:$R$406,"No"))</ns0:f>
        <ns0:v>0</ns0:v>
      </ns0:c>
      <ns0:c r="AP15" t="n">
        <ns0:f>IF($A15="",0,COUNTIFS($J$7:$J$406,$A15,$O$7:$O$406,"&lt;="&amp;AP$6,$P$7:$P$406,"&gt;="&amp;AP$6,$R$7:$R$406,"No"))</ns0:f>
        <ns0:v>0</ns0:v>
      </ns0:c>
      <ns0:c r="AQ15" t="n">
        <ns0:f>IF($A15="",0,COUNTIFS($J$7:$J$406,$A15,$O$7:$O$406,"&lt;="&amp;AQ$6,$P$7:$P$406,"&gt;="&amp;AQ$6,$R$7:$R$406,"No"))</ns0:f>
        <ns0:v>0</ns0:v>
      </ns0:c>
      <ns0:c r="AR15" t="n">
        <ns0:f>IF($A15="",0,COUNTIFS($J$7:$J$406,$A15,$O$7:$O$406,"&lt;="&amp;AR$6,$P$7:$P$406,"&gt;="&amp;AR$6,$R$7:$R$406,"No"))</ns0:f>
        <ns0:v>0</ns0:v>
      </ns0:c>
      <ns0:c r="AS15" t="n">
        <ns0:f>IF($A15="",0,COUNTIFS($J$7:$J$406,$A15,$O$7:$O$406,"&lt;="&amp;AS$6,$P$7:$P$406,"&gt;="&amp;AS$6,$R$7:$R$406,"No"))</ns0:f>
        <ns0:v>0</ns0:v>
      </ns0:c>
      <ns0:c r="AT15" t="n">
        <ns0:f>IF($A15="",0,COUNTIFS($J$7:$J$406,$A15,$O$7:$O$406,"&lt;="&amp;AT$6,$P$7:$P$406,"&gt;="&amp;AT$6,$R$7:$R$406,"No"))</ns0:f>
        <ns0:v>0</ns0:v>
      </ns0:c>
      <ns0:c r="AU15" t="n">
        <ns0:f>IF($A15="",0,COUNTIFS($J$7:$J$406,$A15,$O$7:$O$406,"&lt;="&amp;AU$6,$P$7:$P$406,"&gt;="&amp;AU$6,$R$7:$R$406,"No"))</ns0:f>
        <ns0:v>0</ns0:v>
      </ns0:c>
      <ns0:c r="AV15" t="n">
        <ns0:f>IF($A15="",0,COUNTIFS($J$7:$J$406,$A15,$O$7:$O$406,"&lt;="&amp;AV$6,$P$7:$P$406,"&gt;="&amp;AV$6,$R$7:$R$406,"No"))</ns0:f>
        <ns0:v>0</ns0:v>
      </ns0:c>
      <ns0:c r="AW15" t="n">
        <ns0:f>IF($A15="",0,COUNTIFS($J$7:$J$406,$A15,$O$7:$O$406,"&lt;="&amp;AW$6,$P$7:$P$406,"&gt;="&amp;AW$6,$R$7:$R$406,"No"))</ns0:f>
        <ns0:v>0</ns0:v>
      </ns0:c>
      <ns0:c r="AX15" t="n">
        <ns0:f>IF($A15="",0,COUNTIFS($J$7:$J$406,$A15,$O$7:$O$406,"&lt;="&amp;AX$6,$P$7:$P$406,"&gt;="&amp;AX$6,$R$7:$R$406,"No"))</ns0:f>
        <ns0:v>0</ns0:v>
      </ns0:c>
      <ns0:c r="AY15" t="n">
        <ns0:f>IF($A15="",0,COUNTIFS($J$7:$J$406,$A15,$O$7:$O$406,"&lt;="&amp;AY$6,$P$7:$P$406,"&gt;="&amp;AY$6,$R$7:$R$406,"No"))</ns0:f>
        <ns0:v>0</ns0:v>
      </ns0:c>
      <ns0:c r="AZ15" t="n">
        <ns0:f>IF($A15="",0,COUNTIFS($J$7:$J$406,$A15,$O$7:$O$406,"&lt;="&amp;AZ$6,$P$7:$P$406,"&gt;="&amp;AZ$6,$R$7:$R$406,"No"))</ns0:f>
        <ns0:v>0</ns0:v>
      </ns0:c>
      <ns0:c r="BA15" t="n">
        <ns0:f>IF($A15="",0,COUNTIFS($J$7:$J$406,$A15,$O$7:$O$406,"&lt;="&amp;BA$6,$P$7:$P$406,"&gt;="&amp;BA$6,$R$7:$R$406,"No"))</ns0:f>
        <ns0:v>0</ns0:v>
      </ns0:c>
      <ns0:c r="BB15" t="n">
        <ns0:f>IF($A15="",0,COUNTIFS($J$7:$J$406,$A15,$O$7:$O$406,"&lt;="&amp;BB$6,$P$7:$P$406,"&gt;="&amp;BB$6,$R$7:$R$406,"No"))</ns0:f>
        <ns0:v>0</ns0:v>
      </ns0:c>
      <ns0:c r="BC15" t="n">
        <ns0:f>IF($A15="",0,COUNTIFS($J$7:$J$406,$A15,$O$7:$O$406,"&lt;="&amp;BC$6,$P$7:$P$406,"&gt;="&amp;BC$6,$R$7:$R$406,"No"))</ns0:f>
        <ns0:v>0</ns0:v>
      </ns0:c>
    </ns0:row>
    <ns0:row r="16" ht="48" customHeight="1">
      <ns0:c r="A16" s="8" t="str">
        <ns0:f>IF(ROW()-6&gt;MAX($K$7:$K$406),"",INDEX($J$7:$J$406,MATCH(ROW()-6,$K$7:$K$406,0)))</ns0:f>
        <ns0:v>Governed MCP Data Boundary</ns0:v>
      </ns0:c>
      <ns0:c r="B16" s="8" t="n">
        <ns0:f>IF(A16="","",COUNTIFS($J$7:$J$406,$A16))</ns0:f>
        <ns0:v>1</ns0:v>
      </ns0:c>
      <ns0:c r="C16" s="8" t="n">
        <ns0:f>IF(A16="","",COUNTIFS($J$7:$J$406,$A16,$N$7:$N$406,1))</ns0:f>
        <ns0:v>0</ns0:v>
      </ns0:c>
      <ns0:c r="D16" s="8" t="n">
        <ns0:f>IF(A16="","",COUNTIFS($J$7:$J$406,$A16,$Q$7:$Q$406,"In Progress"))</ns0:f>
        <ns0:v>0</ns0:v>
      </ns0:c>
      <ns0:c r="E16" s="8" t="n">
        <ns0:f>IF(A16="","",B16-C16)</ns0:f>
        <ns0:v>1</ns0:v>
      </ns0:c>
      <ns0:c r="F16" s="19" t="n">
        <ns0:f>IF(A16="","",SUMIFS($N$7:$N$406,$J$7:$J$406,$A16)/B16)</ns0:f>
        <ns0:v>0</ns0:v>
      </ns0:c>
      <ns0:c r="G16" s="8" t="n">
        <ns0:f>IF(A16="","",COUNTIFS(V16:BC16,"&gt;1"))</ns0:f>
        <ns0:v>0</ns0:v>
      </ns0:c>
      <ns0:c r="H16" s="8" t="str">
        <ns0:f>IF(A16="","",IF(COUNTIFS($T$7:$T$33,A16)&gt;0,INDEX($U$7:$U$33,MATCH(A16,$T$7:$T$33,0)),"No capacity or responsibility detail supplied."))</ns0:f>
        <ns0:v>Database gateway; exposes read/write CRUD capability facades under strict schema validation.</ns0:v>
      </ns0:c>
      <ns0:c r="J16" t="str">
        <ns0:f>IF('Project Tracker'!A9="","",TRIM(MID(SUBSTITUTE('Project Tracker'!K9,";",REPT(" ",150)),151,150)))</ns0:f>
      </ns0:c>
      <ns0:c r="K16" t="str">
        <ns0:f>IF(J16="","",IF(COUNTIFS($J$7:J16,J16)=1,MAX($K$6:K15)+1,""))</ns0:f>
      </ns0:c>
      <ns0:c r="L16" t="n">
        <ns0:f>IF(A16="",0,B16+(107-ROW())/1000)</ns0:f>
        <ns0:v>1.091</ns0:v>
      </ns0:c>
      <ns0:c r="M16" t="str">
        <ns0:f>IF(J16="","",'Project Tracker'!A9)</ns0:f>
      </ns0:c>
      <ns0:c r="N16" t="str">
        <ns0:f>IF(J16="","",'Project Tracker'!N9)</ns0:f>
      </ns0:c>
      <ns0:c r="O16" t="str">
        <ns0:f>IF(J16="","",'Project Tracker'!E9)</ns0:f>
      </ns0:c>
      <ns0:c r="P16" t="str">
        <ns0:f>IF(J16="","",'Project Tracker'!F9)</ns0:f>
      </ns0:c>
      <ns0:c r="Q16" t="str">
        <ns0:f>IF(J16="","",'Project Tracker'!Q9)</ns0:f>
      </ns0:c>
      <ns0:c r="R16" t="str">
        <ns0:f>IF(J16="","",'Project Tracker'!J9)</ns0:f>
      </ns0:c>
      <ns0:c r="T16" t="str">
        <ns0:v>Agentic RAG Controller</ns0:v>
      </ns0:c>
      <ns0:c r="U16" t="str">
        <ns0:v>Sole authorized data broker for Intelligence Engine under Model A; manages hybrid vector search and freshness.</ns0:v>
      </ns0:c>
      <ns0:c r="V16" t="n">
        <ns0:f>IF($A16="",0,COUNTIFS($J$7:$J$406,$A16,$O$7:$O$406,"&lt;="&amp;V$6,$P$7:$P$406,"&gt;="&amp;V$6,$R$7:$R$406,"No"))</ns0:f>
        <ns0:v>0</ns0:v>
      </ns0:c>
      <ns0:c r="W16" t="n">
        <ns0:f>IF($A16="",0,COUNTIFS($J$7:$J$406,$A16,$O$7:$O$406,"&lt;="&amp;W$6,$P$7:$P$406,"&gt;="&amp;W$6,$R$7:$R$406,"No"))</ns0:f>
        <ns0:v>0</ns0:v>
      </ns0:c>
      <ns0:c r="X16" t="n">
        <ns0:f>IF($A16="",0,COUNTIFS($J$7:$J$406,$A16,$O$7:$O$406,"&lt;="&amp;X$6,$P$7:$P$406,"&gt;="&amp;X$6,$R$7:$R$406,"No"))</ns0:f>
        <ns0:v>0</ns0:v>
      </ns0:c>
      <ns0:c r="Y16" t="n">
        <ns0:f>IF($A16="",0,COUNTIFS($J$7:$J$406,$A16,$O$7:$O$406,"&lt;="&amp;Y$6,$P$7:$P$406,"&gt;="&amp;Y$6,$R$7:$R$406,"No"))</ns0:f>
        <ns0:v>0</ns0:v>
      </ns0:c>
      <ns0:c r="Z16" t="n">
        <ns0:f>IF($A16="",0,COUNTIFS($J$7:$J$406,$A16,$O$7:$O$406,"&lt;="&amp;Z$6,$P$7:$P$406,"&gt;="&amp;Z$6,$R$7:$R$406,"No"))</ns0:f>
        <ns0:v>0</ns0:v>
      </ns0:c>
      <ns0:c r="AA16" t="n">
        <ns0:f>IF($A16="",0,COUNTIFS($J$7:$J$406,$A16,$O$7:$O$406,"&lt;="&amp;AA$6,$P$7:$P$406,"&gt;="&amp;AA$6,$R$7:$R$406,"No"))</ns0:f>
        <ns0:v>1</ns0:v>
      </ns0:c>
      <ns0:c r="AB16" t="n">
        <ns0:f>IF($A16="",0,COUNTIFS($J$7:$J$406,$A16,$O$7:$O$406,"&lt;="&amp;AB$6,$P$7:$P$406,"&gt;="&amp;AB$6,$R$7:$R$406,"No"))</ns0:f>
        <ns0:v>1</ns0:v>
      </ns0:c>
      <ns0:c r="AC16" t="n">
        <ns0:f>IF($A16="",0,COUNTIFS($J$7:$J$406,$A16,$O$7:$O$406,"&lt;="&amp;AC$6,$P$7:$P$406,"&gt;="&amp;AC$6,$R$7:$R$406,"No"))</ns0:f>
        <ns0:v>0</ns0:v>
      </ns0:c>
      <ns0:c r="AD16" t="n">
        <ns0:f>IF($A16="",0,COUNTIFS($J$7:$J$406,$A16,$O$7:$O$406,"&lt;="&amp;AD$6,$P$7:$P$406,"&gt;="&amp;AD$6,$R$7:$R$406,"No"))</ns0:f>
        <ns0:v>0</ns0:v>
      </ns0:c>
      <ns0:c r="AE16" t="n">
        <ns0:f>IF($A16="",0,COUNTIFS($J$7:$J$406,$A16,$O$7:$O$406,"&lt;="&amp;AE$6,$P$7:$P$406,"&gt;="&amp;AE$6,$R$7:$R$406,"No"))</ns0:f>
        <ns0:v>0</ns0:v>
      </ns0:c>
      <ns0:c r="AF16" t="n">
        <ns0:f>IF($A16="",0,COUNTIFS($J$7:$J$406,$A16,$O$7:$O$406,"&lt;="&amp;AF$6,$P$7:$P$406,"&gt;="&amp;AF$6,$R$7:$R$406,"No"))</ns0:f>
        <ns0:v>0</ns0:v>
      </ns0:c>
      <ns0:c r="AG16" t="n">
        <ns0:f>IF($A16="",0,COUNTIFS($J$7:$J$406,$A16,$O$7:$O$406,"&lt;="&amp;AG$6,$P$7:$P$406,"&gt;="&amp;AG$6,$R$7:$R$406,"No"))</ns0:f>
        <ns0:v>0</ns0:v>
      </ns0:c>
      <ns0:c r="AH16" t="n">
        <ns0:f>IF($A16="",0,COUNTIFS($J$7:$J$406,$A16,$O$7:$O$406,"&lt;="&amp;AH$6,$P$7:$P$406,"&gt;="&amp;AH$6,$R$7:$R$406,"No"))</ns0:f>
        <ns0:v>0</ns0:v>
      </ns0:c>
      <ns0:c r="AI16" t="n">
        <ns0:f>IF($A16="",0,COUNTIFS($J$7:$J$406,$A16,$O$7:$O$406,"&lt;="&amp;AI$6,$P$7:$P$406,"&gt;="&amp;AI$6,$R$7:$R$406,"No"))</ns0:f>
        <ns0:v>0</ns0:v>
      </ns0:c>
      <ns0:c r="AJ16" t="n">
        <ns0:f>IF($A16="",0,COUNTIFS($J$7:$J$406,$A16,$O$7:$O$406,"&lt;="&amp;AJ$6,$P$7:$P$406,"&gt;="&amp;AJ$6,$R$7:$R$406,"No"))</ns0:f>
        <ns0:v>0</ns0:v>
      </ns0:c>
      <ns0:c r="AK16" t="n">
        <ns0:f>IF($A16="",0,COUNTIFS($J$7:$J$406,$A16,$O$7:$O$406,"&lt;="&amp;AK$6,$P$7:$P$406,"&gt;="&amp;AK$6,$R$7:$R$406,"No"))</ns0:f>
        <ns0:v>0</ns0:v>
      </ns0:c>
      <ns0:c r="AL16" t="n">
        <ns0:f>IF($A16="",0,COUNTIFS($J$7:$J$406,$A16,$O$7:$O$406,"&lt;="&amp;AL$6,$P$7:$P$406,"&gt;="&amp;AL$6,$R$7:$R$406,"No"))</ns0:f>
        <ns0:v>0</ns0:v>
      </ns0:c>
      <ns0:c r="AM16" t="n">
        <ns0:f>IF($A16="",0,COUNTIFS($J$7:$J$406,$A16,$O$7:$O$406,"&lt;="&amp;AM$6,$P$7:$P$406,"&gt;="&amp;AM$6,$R$7:$R$406,"No"))</ns0:f>
        <ns0:v>0</ns0:v>
      </ns0:c>
      <ns0:c r="AN16" t="n">
        <ns0:f>IF($A16="",0,COUNTIFS($J$7:$J$406,$A16,$O$7:$O$406,"&lt;="&amp;AN$6,$P$7:$P$406,"&gt;="&amp;AN$6,$R$7:$R$406,"No"))</ns0:f>
        <ns0:v>0</ns0:v>
      </ns0:c>
      <ns0:c r="AO16" t="n">
        <ns0:f>IF($A16="",0,COUNTIFS($J$7:$J$406,$A16,$O$7:$O$406,"&lt;="&amp;AO$6,$P$7:$P$406,"&gt;="&amp;AO$6,$R$7:$R$406,"No"))</ns0:f>
        <ns0:v>0</ns0:v>
      </ns0:c>
      <ns0:c r="AP16" t="n">
        <ns0:f>IF($A16="",0,COUNTIFS($J$7:$J$406,$A16,$O$7:$O$406,"&lt;="&amp;AP$6,$P$7:$P$406,"&gt;="&amp;AP$6,$R$7:$R$406,"No"))</ns0:f>
        <ns0:v>0</ns0:v>
      </ns0:c>
      <ns0:c r="AQ16" t="n">
        <ns0:f>IF($A16="",0,COUNTIFS($J$7:$J$406,$A16,$O$7:$O$406,"&lt;="&amp;AQ$6,$P$7:$P$406,"&gt;="&amp;AQ$6,$R$7:$R$406,"No"))</ns0:f>
        <ns0:v>0</ns0:v>
      </ns0:c>
      <ns0:c r="AR16" t="n">
        <ns0:f>IF($A16="",0,COUNTIFS($J$7:$J$406,$A16,$O$7:$O$406,"&lt;="&amp;AR$6,$P$7:$P$406,"&gt;="&amp;AR$6,$R$7:$R$406,"No"))</ns0:f>
        <ns0:v>0</ns0:v>
      </ns0:c>
      <ns0:c r="AS16" t="n">
        <ns0:f>IF($A16="",0,COUNTIFS($J$7:$J$406,$A16,$O$7:$O$406,"&lt;="&amp;AS$6,$P$7:$P$406,"&gt;="&amp;AS$6,$R$7:$R$406,"No"))</ns0:f>
        <ns0:v>0</ns0:v>
      </ns0:c>
      <ns0:c r="AT16" t="n">
        <ns0:f>IF($A16="",0,COUNTIFS($J$7:$J$406,$A16,$O$7:$O$406,"&lt;="&amp;AT$6,$P$7:$P$406,"&gt;="&amp;AT$6,$R$7:$R$406,"No"))</ns0:f>
        <ns0:v>0</ns0:v>
      </ns0:c>
      <ns0:c r="AU16" t="n">
        <ns0:f>IF($A16="",0,COUNTIFS($J$7:$J$406,$A16,$O$7:$O$406,"&lt;="&amp;AU$6,$P$7:$P$406,"&gt;="&amp;AU$6,$R$7:$R$406,"No"))</ns0:f>
        <ns0:v>0</ns0:v>
      </ns0:c>
      <ns0:c r="AV16" t="n">
        <ns0:f>IF($A16="",0,COUNTIFS($J$7:$J$406,$A16,$O$7:$O$406,"&lt;="&amp;AV$6,$P$7:$P$406,"&gt;="&amp;AV$6,$R$7:$R$406,"No"))</ns0:f>
        <ns0:v>0</ns0:v>
      </ns0:c>
      <ns0:c r="AW16" t="n">
        <ns0:f>IF($A16="",0,COUNTIFS($J$7:$J$406,$A16,$O$7:$O$406,"&lt;="&amp;AW$6,$P$7:$P$406,"&gt;="&amp;AW$6,$R$7:$R$406,"No"))</ns0:f>
        <ns0:v>0</ns0:v>
      </ns0:c>
      <ns0:c r="AX16" t="n">
        <ns0:f>IF($A16="",0,COUNTIFS($J$7:$J$406,$A16,$O$7:$O$406,"&lt;="&amp;AX$6,$P$7:$P$406,"&gt;="&amp;AX$6,$R$7:$R$406,"No"))</ns0:f>
        <ns0:v>0</ns0:v>
      </ns0:c>
      <ns0:c r="AY16" t="n">
        <ns0:f>IF($A16="",0,COUNTIFS($J$7:$J$406,$A16,$O$7:$O$406,"&lt;="&amp;AY$6,$P$7:$P$406,"&gt;="&amp;AY$6,$R$7:$R$406,"No"))</ns0:f>
        <ns0:v>0</ns0:v>
      </ns0:c>
      <ns0:c r="AZ16" t="n">
        <ns0:f>IF($A16="",0,COUNTIFS($J$7:$J$406,$A16,$O$7:$O$406,"&lt;="&amp;AZ$6,$P$7:$P$406,"&gt;="&amp;AZ$6,$R$7:$R$406,"No"))</ns0:f>
        <ns0:v>0</ns0:v>
      </ns0:c>
      <ns0:c r="BA16" t="n">
        <ns0:f>IF($A16="",0,COUNTIFS($J$7:$J$406,$A16,$O$7:$O$406,"&lt;="&amp;BA$6,$P$7:$P$406,"&gt;="&amp;BA$6,$R$7:$R$406,"No"))</ns0:f>
        <ns0:v>0</ns0:v>
      </ns0:c>
      <ns0:c r="BB16" t="n">
        <ns0:f>IF($A16="",0,COUNTIFS($J$7:$J$406,$A16,$O$7:$O$406,"&lt;="&amp;BB$6,$P$7:$P$406,"&gt;="&amp;BB$6,$R$7:$R$406,"No"))</ns0:f>
        <ns0:v>0</ns0:v>
      </ns0:c>
      <ns0:c r="BC16" t="n">
        <ns0:f>IF($A16="",0,COUNTIFS($J$7:$J$406,$A16,$O$7:$O$406,"&lt;="&amp;BC$6,$P$7:$P$406,"&gt;="&amp;BC$6,$R$7:$R$406,"No"))</ns0:f>
        <ns0:v>0</ns0:v>
      </ns0:c>
    </ns0:row>
    <ns0:row r="17" ht="48" customHeight="1">
      <ns0:c r="A17" s="8" t="str">
        <ns0:f>IF(ROW()-6&gt;MAX($K$7:$K$406),"",INDEX($J$7:$J$406,MATCH(ROW()-6,$K$7:$K$406,0)))</ns0:f>
        <ns0:v>Agentic RAG Controller</ns0:v>
      </ns0:c>
      <ns0:c r="B17" s="8" t="n">
        <ns0:f>IF(A17="","",COUNTIFS($J$7:$J$406,$A17))</ns0:f>
        <ns0:v>1</ns0:v>
      </ns0:c>
      <ns0:c r="C17" s="8" t="n">
        <ns0:f>IF(A17="","",COUNTIFS($J$7:$J$406,$A17,$N$7:$N$406,1))</ns0:f>
        <ns0:v>0</ns0:v>
      </ns0:c>
      <ns0:c r="D17" s="8" t="n">
        <ns0:f>IF(A17="","",COUNTIFS($J$7:$J$406,$A17,$Q$7:$Q$406,"In Progress"))</ns0:f>
        <ns0:v>0</ns0:v>
      </ns0:c>
      <ns0:c r="E17" s="8" t="n">
        <ns0:f>IF(A17="","",B17-C17)</ns0:f>
        <ns0:v>1</ns0:v>
      </ns0:c>
      <ns0:c r="F17" s="19" t="n">
        <ns0:f>IF(A17="","",SUMIFS($N$7:$N$406,$J$7:$J$406,$A17)/B17)</ns0:f>
        <ns0:v>0</ns0:v>
      </ns0:c>
      <ns0:c r="G17" s="8" t="n">
        <ns0:f>IF(A17="","",COUNTIFS(V17:BC17,"&gt;1"))</ns0:f>
        <ns0:v>0</ns0:v>
      </ns0:c>
      <ns0:c r="H17" s="8" t="str">
        <ns0:f>IF(A17="","",IF(COUNTIFS($T$7:$T$33,A17)&gt;0,INDEX($U$7:$U$33,MATCH(A17,$T$7:$T$33,0)),"No capacity or responsibility detail supplied."))</ns0:f>
        <ns0:v>Sole authorized data broker for Intelligence Engine under Model A; manages hybrid vector search and freshness.</ns0:v>
      </ns0:c>
      <ns0:c r="J17" t="str">
        <ns0:f>IF('Project Tracker'!A9="","",TRIM(MID(SUBSTITUTE('Project Tracker'!K9,";",REPT(" ",150)),301,150)))</ns0:f>
      </ns0:c>
      <ns0:c r="K17" t="str">
        <ns0:f>IF(J17="","",IF(COUNTIFS($J$7:J17,J17)=1,MAX($K$6:K16)+1,""))</ns0:f>
      </ns0:c>
      <ns0:c r="L17" t="n">
        <ns0:f>IF(A17="",0,B17+(107-ROW())/1000)</ns0:f>
        <ns0:v>1.09</ns0:v>
      </ns0:c>
      <ns0:c r="M17" t="str">
        <ns0:f>IF(J17="","",'Project Tracker'!A9)</ns0:f>
      </ns0:c>
      <ns0:c r="N17" t="str">
        <ns0:f>IF(J17="","",'Project Tracker'!N9)</ns0:f>
      </ns0:c>
      <ns0:c r="O17" t="str">
        <ns0:f>IF(J17="","",'Project Tracker'!E9)</ns0:f>
      </ns0:c>
      <ns0:c r="P17" t="str">
        <ns0:f>IF(J17="","",'Project Tracker'!F9)</ns0:f>
      </ns0:c>
      <ns0:c r="Q17" t="str">
        <ns0:f>IF(J17="","",'Project Tracker'!Q9)</ns0:f>
      </ns0:c>
      <ns0:c r="R17" t="str">
        <ns0:f>IF(J17="","",'Project Tracker'!J9)</ns0:f>
      </ns0:c>
      <ns0:c r="T17" t="str">
        <ns0:v>Sandbox Controller (agent_sandbox)</ns0:v>
      </ns0:c>
      <ns0:c r="U17" t="str">
        <ns0:v>Isolated execution environment; enforces cgroups, seccomp filters, tmpfs shredding, and network proxying.</ns0:v>
      </ns0:c>
      <ns0:c r="V17" t="n">
        <ns0:f>IF($A17="",0,COUNTIFS($J$7:$J$406,$A17,$O$7:$O$406,"&lt;="&amp;V$6,$P$7:$P$406,"&gt;="&amp;V$6,$R$7:$R$406,"No"))</ns0:f>
        <ns0:v>0</ns0:v>
      </ns0:c>
      <ns0:c r="W17" t="n">
        <ns0:f>IF($A17="",0,COUNTIFS($J$7:$J$406,$A17,$O$7:$O$406,"&lt;="&amp;W$6,$P$7:$P$406,"&gt;="&amp;W$6,$R$7:$R$406,"No"))</ns0:f>
        <ns0:v>0</ns0:v>
      </ns0:c>
      <ns0:c r="X17" t="n">
        <ns0:f>IF($A17="",0,COUNTIFS($J$7:$J$406,$A17,$O$7:$O$406,"&lt;="&amp;X$6,$P$7:$P$406,"&gt;="&amp;X$6,$R$7:$R$406,"No"))</ns0:f>
        <ns0:v>0</ns0:v>
      </ns0:c>
      <ns0:c r="Y17" t="n">
        <ns0:f>IF($A17="",0,COUNTIFS($J$7:$J$406,$A17,$O$7:$O$406,"&lt;="&amp;Y$6,$P$7:$P$406,"&gt;="&amp;Y$6,$R$7:$R$406,"No"))</ns0:f>
        <ns0:v>0</ns0:v>
      </ns0:c>
      <ns0:c r="Z17" t="n">
        <ns0:f>IF($A17="",0,COUNTIFS($J$7:$J$406,$A17,$O$7:$O$406,"&lt;="&amp;Z$6,$P$7:$P$406,"&gt;="&amp;Z$6,$R$7:$R$406,"No"))</ns0:f>
        <ns0:v>0</ns0:v>
      </ns0:c>
      <ns0:c r="AA17" t="n">
        <ns0:f>IF($A17="",0,COUNTIFS($J$7:$J$406,$A17,$O$7:$O$406,"&lt;="&amp;AA$6,$P$7:$P$406,"&gt;="&amp;AA$6,$R$7:$R$406,"No"))</ns0:f>
        <ns0:v>0</ns0:v>
      </ns0:c>
      <ns0:c r="AB17" t="n">
        <ns0:f>IF($A17="",0,COUNTIFS($J$7:$J$406,$A17,$O$7:$O$406,"&lt;="&amp;AB$6,$P$7:$P$406,"&gt;="&amp;AB$6,$R$7:$R$406,"No"))</ns0:f>
        <ns0:v>0</ns0:v>
      </ns0:c>
      <ns0:c r="AC17" t="n">
        <ns0:f>IF($A17="",0,COUNTIFS($J$7:$J$406,$A17,$O$7:$O$406,"&lt;="&amp;AC$6,$P$7:$P$406,"&gt;="&amp;AC$6,$R$7:$R$406,"No"))</ns0:f>
        <ns0:v>1</ns0:v>
      </ns0:c>
      <ns0:c r="AD17" t="n">
        <ns0:f>IF($A17="",0,COUNTIFS($J$7:$J$406,$A17,$O$7:$O$406,"&lt;="&amp;AD$6,$P$7:$P$406,"&gt;="&amp;AD$6,$R$7:$R$406,"No"))</ns0:f>
        <ns0:v>0</ns0:v>
      </ns0:c>
      <ns0:c r="AE17" t="n">
        <ns0:f>IF($A17="",0,COUNTIFS($J$7:$J$406,$A17,$O$7:$O$406,"&lt;="&amp;AE$6,$P$7:$P$406,"&gt;="&amp;AE$6,$R$7:$R$406,"No"))</ns0:f>
        <ns0:v>0</ns0:v>
      </ns0:c>
      <ns0:c r="AF17" t="n">
        <ns0:f>IF($A17="",0,COUNTIFS($J$7:$J$406,$A17,$O$7:$O$406,"&lt;="&amp;AF$6,$P$7:$P$406,"&gt;="&amp;AF$6,$R$7:$R$406,"No"))</ns0:f>
        <ns0:v>0</ns0:v>
      </ns0:c>
      <ns0:c r="AG17" t="n">
        <ns0:f>IF($A17="",0,COUNTIFS($J$7:$J$406,$A17,$O$7:$O$406,"&lt;="&amp;AG$6,$P$7:$P$406,"&gt;="&amp;AG$6,$R$7:$R$406,"No"))</ns0:f>
        <ns0:v>0</ns0:v>
      </ns0:c>
      <ns0:c r="AH17" t="n">
        <ns0:f>IF($A17="",0,COUNTIFS($J$7:$J$406,$A17,$O$7:$O$406,"&lt;="&amp;AH$6,$P$7:$P$406,"&gt;="&amp;AH$6,$R$7:$R$406,"No"))</ns0:f>
        <ns0:v>0</ns0:v>
      </ns0:c>
      <ns0:c r="AI17" t="n">
        <ns0:f>IF($A17="",0,COUNTIFS($J$7:$J$406,$A17,$O$7:$O$406,"&lt;="&amp;AI$6,$P$7:$P$406,"&gt;="&amp;AI$6,$R$7:$R$406,"No"))</ns0:f>
        <ns0:v>0</ns0:v>
      </ns0:c>
      <ns0:c r="AJ17" t="n">
        <ns0:f>IF($A17="",0,COUNTIFS($J$7:$J$406,$A17,$O$7:$O$406,"&lt;="&amp;AJ$6,$P$7:$P$406,"&gt;="&amp;AJ$6,$R$7:$R$406,"No"))</ns0:f>
        <ns0:v>0</ns0:v>
      </ns0:c>
      <ns0:c r="AK17" t="n">
        <ns0:f>IF($A17="",0,COUNTIFS($J$7:$J$406,$A17,$O$7:$O$406,"&lt;="&amp;AK$6,$P$7:$P$406,"&gt;="&amp;AK$6,$R$7:$R$406,"No"))</ns0:f>
        <ns0:v>0</ns0:v>
      </ns0:c>
      <ns0:c r="AL17" t="n">
        <ns0:f>IF($A17="",0,COUNTIFS($J$7:$J$406,$A17,$O$7:$O$406,"&lt;="&amp;AL$6,$P$7:$P$406,"&gt;="&amp;AL$6,$R$7:$R$406,"No"))</ns0:f>
        <ns0:v>0</ns0:v>
      </ns0:c>
      <ns0:c r="AM17" t="n">
        <ns0:f>IF($A17="",0,COUNTIFS($J$7:$J$406,$A17,$O$7:$O$406,"&lt;="&amp;AM$6,$P$7:$P$406,"&gt;="&amp;AM$6,$R$7:$R$406,"No"))</ns0:f>
        <ns0:v>0</ns0:v>
      </ns0:c>
      <ns0:c r="AN17" t="n">
        <ns0:f>IF($A17="",0,COUNTIFS($J$7:$J$406,$A17,$O$7:$O$406,"&lt;="&amp;AN$6,$P$7:$P$406,"&gt;="&amp;AN$6,$R$7:$R$406,"No"))</ns0:f>
        <ns0:v>0</ns0:v>
      </ns0:c>
      <ns0:c r="AO17" t="n">
        <ns0:f>IF($A17="",0,COUNTIFS($J$7:$J$406,$A17,$O$7:$O$406,"&lt;="&amp;AO$6,$P$7:$P$406,"&gt;="&amp;AO$6,$R$7:$R$406,"No"))</ns0:f>
        <ns0:v>0</ns0:v>
      </ns0:c>
      <ns0:c r="AP17" t="n">
        <ns0:f>IF($A17="",0,COUNTIFS($J$7:$J$406,$A17,$O$7:$O$406,"&lt;="&amp;AP$6,$P$7:$P$406,"&gt;="&amp;AP$6,$R$7:$R$406,"No"))</ns0:f>
        <ns0:v>0</ns0:v>
      </ns0:c>
      <ns0:c r="AQ17" t="n">
        <ns0:f>IF($A17="",0,COUNTIFS($J$7:$J$406,$A17,$O$7:$O$406,"&lt;="&amp;AQ$6,$P$7:$P$406,"&gt;="&amp;AQ$6,$R$7:$R$406,"No"))</ns0:f>
        <ns0:v>0</ns0:v>
      </ns0:c>
      <ns0:c r="AR17" t="n">
        <ns0:f>IF($A17="",0,COUNTIFS($J$7:$J$406,$A17,$O$7:$O$406,"&lt;="&amp;AR$6,$P$7:$P$406,"&gt;="&amp;AR$6,$R$7:$R$406,"No"))</ns0:f>
        <ns0:v>0</ns0:v>
      </ns0:c>
      <ns0:c r="AS17" t="n">
        <ns0:f>IF($A17="",0,COUNTIFS($J$7:$J$406,$A17,$O$7:$O$406,"&lt;="&amp;AS$6,$P$7:$P$406,"&gt;="&amp;AS$6,$R$7:$R$406,"No"))</ns0:f>
        <ns0:v>0</ns0:v>
      </ns0:c>
      <ns0:c r="AT17" t="n">
        <ns0:f>IF($A17="",0,COUNTIFS($J$7:$J$406,$A17,$O$7:$O$406,"&lt;="&amp;AT$6,$P$7:$P$406,"&gt;="&amp;AT$6,$R$7:$R$406,"No"))</ns0:f>
        <ns0:v>0</ns0:v>
      </ns0:c>
      <ns0:c r="AU17" t="n">
        <ns0:f>IF($A17="",0,COUNTIFS($J$7:$J$406,$A17,$O$7:$O$406,"&lt;="&amp;AU$6,$P$7:$P$406,"&gt;="&amp;AU$6,$R$7:$R$406,"No"))</ns0:f>
        <ns0:v>0</ns0:v>
      </ns0:c>
      <ns0:c r="AV17" t="n">
        <ns0:f>IF($A17="",0,COUNTIFS($J$7:$J$406,$A17,$O$7:$O$406,"&lt;="&amp;AV$6,$P$7:$P$406,"&gt;="&amp;AV$6,$R$7:$R$406,"No"))</ns0:f>
        <ns0:v>0</ns0:v>
      </ns0:c>
      <ns0:c r="AW17" t="n">
        <ns0:f>IF($A17="",0,COUNTIFS($J$7:$J$406,$A17,$O$7:$O$406,"&lt;="&amp;AW$6,$P$7:$P$406,"&gt;="&amp;AW$6,$R$7:$R$406,"No"))</ns0:f>
        <ns0:v>0</ns0:v>
      </ns0:c>
      <ns0:c r="AX17" t="n">
        <ns0:f>IF($A17="",0,COUNTIFS($J$7:$J$406,$A17,$O$7:$O$406,"&lt;="&amp;AX$6,$P$7:$P$406,"&gt;="&amp;AX$6,$R$7:$R$406,"No"))</ns0:f>
        <ns0:v>0</ns0:v>
      </ns0:c>
      <ns0:c r="AY17" t="n">
        <ns0:f>IF($A17="",0,COUNTIFS($J$7:$J$406,$A17,$O$7:$O$406,"&lt;="&amp;AY$6,$P$7:$P$406,"&gt;="&amp;AY$6,$R$7:$R$406,"No"))</ns0:f>
        <ns0:v>0</ns0:v>
      </ns0:c>
      <ns0:c r="AZ17" t="n">
        <ns0:f>IF($A17="",0,COUNTIFS($J$7:$J$406,$A17,$O$7:$O$406,"&lt;="&amp;AZ$6,$P$7:$P$406,"&gt;="&amp;AZ$6,$R$7:$R$406,"No"))</ns0:f>
        <ns0:v>0</ns0:v>
      </ns0:c>
      <ns0:c r="BA17" t="n">
        <ns0:f>IF($A17="",0,COUNTIFS($J$7:$J$406,$A17,$O$7:$O$406,"&lt;="&amp;BA$6,$P$7:$P$406,"&gt;="&amp;BA$6,$R$7:$R$406,"No"))</ns0:f>
        <ns0:v>0</ns0:v>
      </ns0:c>
      <ns0:c r="BB17" t="n">
        <ns0:f>IF($A17="",0,COUNTIFS($J$7:$J$406,$A17,$O$7:$O$406,"&lt;="&amp;BB$6,$P$7:$P$406,"&gt;="&amp;BB$6,$R$7:$R$406,"No"))</ns0:f>
        <ns0:v>0</ns0:v>
      </ns0:c>
      <ns0:c r="BC17" t="n">
        <ns0:f>IF($A17="",0,COUNTIFS($J$7:$J$406,$A17,$O$7:$O$406,"&lt;="&amp;BC$6,$P$7:$P$406,"&gt;="&amp;BC$6,$R$7:$R$406,"No"))</ns0:f>
        <ns0:v>0</ns0:v>
      </ns0:c>
    </ns0:row>
    <ns0:row r="18" ht="48" customHeight="1">
      <ns0:c r="A18" s="8" t="str">
        <ns0:f>IF(ROW()-6&gt;MAX($K$7:$K$406),"",INDEX($J$7:$J$406,MATCH(ROW()-6,$K$7:$K$406,0)))</ns0:f>
        <ns0:v>Sandbox Controller (agent_sandbox)</ns0:v>
      </ns0:c>
      <ns0:c r="B18" s="8" t="n">
        <ns0:f>IF(A18="","",COUNTIFS($J$7:$J$406,$A18))</ns0:f>
        <ns0:v>3</ns0:v>
      </ns0:c>
      <ns0:c r="C18" s="8" t="n">
        <ns0:f>IF(A18="","",COUNTIFS($J$7:$J$406,$A18,$N$7:$N$406,1))</ns0:f>
        <ns0:v>0</ns0:v>
      </ns0:c>
      <ns0:c r="D18" s="8" t="n">
        <ns0:f>IF(A18="","",COUNTIFS($J$7:$J$406,$A18,$Q$7:$Q$406,"In Progress"))</ns0:f>
        <ns0:v>0</ns0:v>
      </ns0:c>
      <ns0:c r="E18" s="8" t="n">
        <ns0:f>IF(A18="","",B18-C18)</ns0:f>
        <ns0:v>3</ns0:v>
      </ns0:c>
      <ns0:c r="F18" s="19" t="n">
        <ns0:f>IF(A18="","",SUMIFS($N$7:$N$406,$J$7:$J$406,$A18)/B18)</ns0:f>
        <ns0:v>0</ns0:v>
      </ns0:c>
      <ns0:c r="G18" s="8" t="n">
        <ns0:f>IF(A18="","",COUNTIFS(V18:BC18,"&gt;1"))</ns0:f>
        <ns0:v>0</ns0:v>
      </ns0:c>
      <ns0:c r="H18" s="8" t="str">
        <ns0:f>IF(A18="","",IF(COUNTIFS($T$7:$T$33,A18)&gt;0,INDEX($U$7:$U$33,MATCH(A18,$T$7:$T$33,0)),"No capacity or responsibility detail supplied."))</ns0:f>
        <ns0:v>Isolated execution environment; enforces cgroups, seccomp filters, tmpfs shredding, and network proxying.</ns0:v>
      </ns0:c>
      <ns0:c r="J18" t="str">
        <ns0:f>IF('Project Tracker'!A9="","",TRIM(MID(SUBSTITUTE('Project Tracker'!K9,";",REPT(" ",150)),451,150)))</ns0:f>
      </ns0:c>
      <ns0:c r="K18" t="str">
        <ns0:f>IF(J18="","",IF(COUNTIFS($J$7:J18,J18)=1,MAX($K$6:K17)+1,""))</ns0:f>
      </ns0:c>
      <ns0:c r="L18" t="n">
        <ns0:f>IF(A18="",0,B18+(107-ROW())/1000)</ns0:f>
        <ns0:v>3.089</ns0:v>
      </ns0:c>
      <ns0:c r="M18" t="str">
        <ns0:f>IF(J18="","",'Project Tracker'!A9)</ns0:f>
      </ns0:c>
      <ns0:c r="N18" t="str">
        <ns0:f>IF(J18="","",'Project Tracker'!N9)</ns0:f>
      </ns0:c>
      <ns0:c r="O18" t="str">
        <ns0:f>IF(J18="","",'Project Tracker'!E9)</ns0:f>
      </ns0:c>
      <ns0:c r="P18" t="str">
        <ns0:f>IF(J18="","",'Project Tracker'!F9)</ns0:f>
      </ns0:c>
      <ns0:c r="Q18" t="str">
        <ns0:f>IF(J18="","",'Project Tracker'!Q9)</ns0:f>
      </ns0:c>
      <ns0:c r="R18" t="str">
        <ns0:f>IF(J18="","",'Project Tracker'!J9)</ns0:f>
      </ns0:c>
      <ns0:c r="T18" t="str">
        <ns0:v>Specialist Sub-Agents (L4_SUBS)</ns0:v>
      </ns0:c>
      <ns0:c r="U18" t="str">
        <ns0:v>Ephemeral micro-tool workers (S_CODE, S_ALLOC, S_COPY, S_VAL, S_SCRAPE, S_PARSE, S_ATTR).</ns0:v>
      </ns0:c>
      <ns0:c r="V18" t="n">
        <ns0:f>IF($A18="",0,COUNTIFS($J$7:$J$406,$A18,$O$7:$O$406,"&lt;="&amp;V$6,$P$7:$P$406,"&gt;="&amp;V$6,$R$7:$R$406,"No"))</ns0:f>
        <ns0:v>0</ns0:v>
      </ns0:c>
      <ns0:c r="W18" t="n">
        <ns0:f>IF($A18="",0,COUNTIFS($J$7:$J$406,$A18,$O$7:$O$406,"&lt;="&amp;W$6,$P$7:$P$406,"&gt;="&amp;W$6,$R$7:$R$406,"No"))</ns0:f>
        <ns0:v>0</ns0:v>
      </ns0:c>
      <ns0:c r="X18" t="n">
        <ns0:f>IF($A18="",0,COUNTIFS($J$7:$J$406,$A18,$O$7:$O$406,"&lt;="&amp;X$6,$P$7:$P$406,"&gt;="&amp;X$6,$R$7:$R$406,"No"))</ns0:f>
        <ns0:v>0</ns0:v>
      </ns0:c>
      <ns0:c r="Y18" t="n">
        <ns0:f>IF($A18="",0,COUNTIFS($J$7:$J$406,$A18,$O$7:$O$406,"&lt;="&amp;Y$6,$P$7:$P$406,"&gt;="&amp;Y$6,$R$7:$R$406,"No"))</ns0:f>
        <ns0:v>1</ns0:v>
      </ns0:c>
      <ns0:c r="Z18" t="n">
        <ns0:f>IF($A18="",0,COUNTIFS($J$7:$J$406,$A18,$O$7:$O$406,"&lt;="&amp;Z$6,$P$7:$P$406,"&gt;="&amp;Z$6,$R$7:$R$406,"No"))</ns0:f>
        <ns0:v>1</ns0:v>
      </ns0:c>
      <ns0:c r="AA18" t="n">
        <ns0:f>IF($A18="",0,COUNTIFS($J$7:$J$406,$A18,$O$7:$O$406,"&lt;="&amp;AA$6,$P$7:$P$406,"&gt;="&amp;AA$6,$R$7:$R$406,"No"))</ns0:f>
        <ns0:v>1</ns0:v>
      </ns0:c>
      <ns0:c r="AB18" t="n">
        <ns0:f>IF($A18="",0,COUNTIFS($J$7:$J$406,$A18,$O$7:$O$406,"&lt;="&amp;AB$6,$P$7:$P$406,"&gt;="&amp;AB$6,$R$7:$R$406,"No"))</ns0:f>
        <ns0:v>1</ns0:v>
      </ns0:c>
      <ns0:c r="AC18" t="n">
        <ns0:f>IF($A18="",0,COUNTIFS($J$7:$J$406,$A18,$O$7:$O$406,"&lt;="&amp;AC$6,$P$7:$P$406,"&gt;="&amp;AC$6,$R$7:$R$406,"No"))</ns0:f>
        <ns0:v>1</ns0:v>
      </ns0:c>
      <ns0:c r="AD18" t="n">
        <ns0:f>IF($A18="",0,COUNTIFS($J$7:$J$406,$A18,$O$7:$O$406,"&lt;="&amp;AD$6,$P$7:$P$406,"&gt;="&amp;AD$6,$R$7:$R$406,"No"))</ns0:f>
        <ns0:v>1</ns0:v>
      </ns0:c>
      <ns0:c r="AE18" t="n">
        <ns0:f>IF($A18="",0,COUNTIFS($J$7:$J$406,$A18,$O$7:$O$406,"&lt;="&amp;AE$6,$P$7:$P$406,"&gt;="&amp;AE$6,$R$7:$R$406,"No"))</ns0:f>
        <ns0:v>0</ns0:v>
      </ns0:c>
      <ns0:c r="AF18" t="n">
        <ns0:f>IF($A18="",0,COUNTIFS($J$7:$J$406,$A18,$O$7:$O$406,"&lt;="&amp;AF$6,$P$7:$P$406,"&gt;="&amp;AF$6,$R$7:$R$406,"No"))</ns0:f>
        <ns0:v>0</ns0:v>
      </ns0:c>
      <ns0:c r="AG18" t="n">
        <ns0:f>IF($A18="",0,COUNTIFS($J$7:$J$406,$A18,$O$7:$O$406,"&lt;="&amp;AG$6,$P$7:$P$406,"&gt;="&amp;AG$6,$R$7:$R$406,"No"))</ns0:f>
        <ns0:v>0</ns0:v>
      </ns0:c>
      <ns0:c r="AH18" t="n">
        <ns0:f>IF($A18="",0,COUNTIFS($J$7:$J$406,$A18,$O$7:$O$406,"&lt;="&amp;AH$6,$P$7:$P$406,"&gt;="&amp;AH$6,$R$7:$R$406,"No"))</ns0:f>
        <ns0:v>0</ns0:v>
      </ns0:c>
      <ns0:c r="AI18" t="n">
        <ns0:f>IF($A18="",0,COUNTIFS($J$7:$J$406,$A18,$O$7:$O$406,"&lt;="&amp;AI$6,$P$7:$P$406,"&gt;="&amp;AI$6,$R$7:$R$406,"No"))</ns0:f>
        <ns0:v>0</ns0:v>
      </ns0:c>
      <ns0:c r="AJ18" t="n">
        <ns0:f>IF($A18="",0,COUNTIFS($J$7:$J$406,$A18,$O$7:$O$406,"&lt;="&amp;AJ$6,$P$7:$P$406,"&gt;="&amp;AJ$6,$R$7:$R$406,"No"))</ns0:f>
        <ns0:v>0</ns0:v>
      </ns0:c>
      <ns0:c r="AK18" t="n">
        <ns0:f>IF($A18="",0,COUNTIFS($J$7:$J$406,$A18,$O$7:$O$406,"&lt;="&amp;AK$6,$P$7:$P$406,"&gt;="&amp;AK$6,$R$7:$R$406,"No"))</ns0:f>
        <ns0:v>0</ns0:v>
      </ns0:c>
      <ns0:c r="AL18" t="n">
        <ns0:f>IF($A18="",0,COUNTIFS($J$7:$J$406,$A18,$O$7:$O$406,"&lt;="&amp;AL$6,$P$7:$P$406,"&gt;="&amp;AL$6,$R$7:$R$406,"No"))</ns0:f>
        <ns0:v>0</ns0:v>
      </ns0:c>
      <ns0:c r="AM18" t="n">
        <ns0:f>IF($A18="",0,COUNTIFS($J$7:$J$406,$A18,$O$7:$O$406,"&lt;="&amp;AM$6,$P$7:$P$406,"&gt;="&amp;AM$6,$R$7:$R$406,"No"))</ns0:f>
        <ns0:v>0</ns0:v>
      </ns0:c>
      <ns0:c r="AN18" t="n">
        <ns0:f>IF($A18="",0,COUNTIFS($J$7:$J$406,$A18,$O$7:$O$406,"&lt;="&amp;AN$6,$P$7:$P$406,"&gt;="&amp;AN$6,$R$7:$R$406,"No"))</ns0:f>
        <ns0:v>0</ns0:v>
      </ns0:c>
      <ns0:c r="AO18" t="n">
        <ns0:f>IF($A18="",0,COUNTIFS($J$7:$J$406,$A18,$O$7:$O$406,"&lt;="&amp;AO$6,$P$7:$P$406,"&gt;="&amp;AO$6,$R$7:$R$406,"No"))</ns0:f>
        <ns0:v>0</ns0:v>
      </ns0:c>
      <ns0:c r="AP18" t="n">
        <ns0:f>IF($A18="",0,COUNTIFS($J$7:$J$406,$A18,$O$7:$O$406,"&lt;="&amp;AP$6,$P$7:$P$406,"&gt;="&amp;AP$6,$R$7:$R$406,"No"))</ns0:f>
        <ns0:v>0</ns0:v>
      </ns0:c>
      <ns0:c r="AQ18" t="n">
        <ns0:f>IF($A18="",0,COUNTIFS($J$7:$J$406,$A18,$O$7:$O$406,"&lt;="&amp;AQ$6,$P$7:$P$406,"&gt;="&amp;AQ$6,$R$7:$R$406,"No"))</ns0:f>
        <ns0:v>0</ns0:v>
      </ns0:c>
      <ns0:c r="AR18" t="n">
        <ns0:f>IF($A18="",0,COUNTIFS($J$7:$J$406,$A18,$O$7:$O$406,"&lt;="&amp;AR$6,$P$7:$P$406,"&gt;="&amp;AR$6,$R$7:$R$406,"No"))</ns0:f>
        <ns0:v>0</ns0:v>
      </ns0:c>
      <ns0:c r="AS18" t="n">
        <ns0:f>IF($A18="",0,COUNTIFS($J$7:$J$406,$A18,$O$7:$O$406,"&lt;="&amp;AS$6,$P$7:$P$406,"&gt;="&amp;AS$6,$R$7:$R$406,"No"))</ns0:f>
        <ns0:v>0</ns0:v>
      </ns0:c>
      <ns0:c r="AT18" t="n">
        <ns0:f>IF($A18="",0,COUNTIFS($J$7:$J$406,$A18,$O$7:$O$406,"&lt;="&amp;AT$6,$P$7:$P$406,"&gt;="&amp;AT$6,$R$7:$R$406,"No"))</ns0:f>
        <ns0:v>0</ns0:v>
      </ns0:c>
      <ns0:c r="AU18" t="n">
        <ns0:f>IF($A18="",0,COUNTIFS($J$7:$J$406,$A18,$O$7:$O$406,"&lt;="&amp;AU$6,$P$7:$P$406,"&gt;="&amp;AU$6,$R$7:$R$406,"No"))</ns0:f>
        <ns0:v>0</ns0:v>
      </ns0:c>
      <ns0:c r="AV18" t="n">
        <ns0:f>IF($A18="",0,COUNTIFS($J$7:$J$406,$A18,$O$7:$O$406,"&lt;="&amp;AV$6,$P$7:$P$406,"&gt;="&amp;AV$6,$R$7:$R$406,"No"))</ns0:f>
        <ns0:v>0</ns0:v>
      </ns0:c>
      <ns0:c r="AW18" t="n">
        <ns0:f>IF($A18="",0,COUNTIFS($J$7:$J$406,$A18,$O$7:$O$406,"&lt;="&amp;AW$6,$P$7:$P$406,"&gt;="&amp;AW$6,$R$7:$R$406,"No"))</ns0:f>
        <ns0:v>0</ns0:v>
      </ns0:c>
      <ns0:c r="AX18" t="n">
        <ns0:f>IF($A18="",0,COUNTIFS($J$7:$J$406,$A18,$O$7:$O$406,"&lt;="&amp;AX$6,$P$7:$P$406,"&gt;="&amp;AX$6,$R$7:$R$406,"No"))</ns0:f>
        <ns0:v>0</ns0:v>
      </ns0:c>
      <ns0:c r="AY18" t="n">
        <ns0:f>IF($A18="",0,COUNTIFS($J$7:$J$406,$A18,$O$7:$O$406,"&lt;="&amp;AY$6,$P$7:$P$406,"&gt;="&amp;AY$6,$R$7:$R$406,"No"))</ns0:f>
        <ns0:v>0</ns0:v>
      </ns0:c>
      <ns0:c r="AZ18" t="n">
        <ns0:f>IF($A18="",0,COUNTIFS($J$7:$J$406,$A18,$O$7:$O$406,"&lt;="&amp;AZ$6,$P$7:$P$406,"&gt;="&amp;AZ$6,$R$7:$R$406,"No"))</ns0:f>
        <ns0:v>0</ns0:v>
      </ns0:c>
      <ns0:c r="BA18" t="n">
        <ns0:f>IF($A18="",0,COUNTIFS($J$7:$J$406,$A18,$O$7:$O$406,"&lt;="&amp;BA$6,$P$7:$P$406,"&gt;="&amp;BA$6,$R$7:$R$406,"No"))</ns0:f>
        <ns0:v>0</ns0:v>
      </ns0:c>
      <ns0:c r="BB18" t="n">
        <ns0:f>IF($A18="",0,COUNTIFS($J$7:$J$406,$A18,$O$7:$O$406,"&lt;="&amp;BB$6,$P$7:$P$406,"&gt;="&amp;BB$6,$R$7:$R$406,"No"))</ns0:f>
        <ns0:v>0</ns0:v>
      </ns0:c>
      <ns0:c r="BC18" t="n">
        <ns0:f>IF($A18="",0,COUNTIFS($J$7:$J$406,$A18,$O$7:$O$406,"&lt;="&amp;BC$6,$P$7:$P$406,"&gt;="&amp;BC$6,$R$7:$R$406,"No"))</ns0:f>
        <ns0:v>0</ns0:v>
      </ns0:c>
    </ns0:row>
    <ns0:row r="19" ht="48" customHeight="1">
      <ns0:c r="A19" s="8" t="str">
        <ns0:f>IF(ROW()-6&gt;MAX($K$7:$K$406),"",INDEX($J$7:$J$406,MATCH(ROW()-6,$K$7:$K$406,0)))</ns0:f>
        <ns0:v>W3C PROV Immutable Ledger</ns0:v>
      </ns0:c>
      <ns0:c r="B19" s="8" t="n">
        <ns0:f>IF(A19="","",COUNTIFS($J$7:$J$406,$A19))</ns0:f>
        <ns0:v>2</ns0:v>
      </ns0:c>
      <ns0:c r="C19" s="8" t="n">
        <ns0:f>IF(A19="","",COUNTIFS($J$7:$J$406,$A19,$N$7:$N$406,1))</ns0:f>
        <ns0:v>0</ns0:v>
      </ns0:c>
      <ns0:c r="D19" s="8" t="n">
        <ns0:f>IF(A19="","",COUNTIFS($J$7:$J$406,$A19,$Q$7:$Q$406,"In Progress"))</ns0:f>
        <ns0:v>0</ns0:v>
      </ns0:c>
      <ns0:c r="E19" s="8" t="n">
        <ns0:f>IF(A19="","",B19-C19)</ns0:f>
        <ns0:v>2</ns0:v>
      </ns0:c>
      <ns0:c r="F19" s="19" t="n">
        <ns0:f>IF(A19="","",SUMIFS($N$7:$N$406,$J$7:$J$406,$A19)/B19)</ns0:f>
        <ns0:v>0</ns0:v>
      </ns0:c>
      <ns0:c r="G19" s="8" t="n">
        <ns0:f>IF(A19="","",COUNTIFS(V19:BC19,"&gt;1"))</ns0:f>
        <ns0:v>0</ns0:v>
      </ns0:c>
      <ns0:c r="H19" s="8" t="str">
        <ns0:f>IF(A19="","",IF(COUNTIFS($T$7:$T$33,A19)&gt;0,INDEX($U$7:$U$33,MATCH(A19,$T$7:$T$33,0)),"No capacity or responsibility detail supplied."))</ns0:f>
        <ns0:v>Audit authority; records tamper-evident entity-activity-agent relationships and cryptographic signatures.</ns0:v>
      </ns0:c>
      <ns0:c r="J19" t="str">
        <ns0:f>IF('Project Tracker'!A10="","",TRIM(MID(SUBSTITUTE('Project Tracker'!K10,";",REPT(" ",150)),1,150)))</ns0:f>
        <ns0:v>Canonical Task State Machine (CTS)</ns0:v>
      </ns0:c>
      <ns0:c r="K19" t="n">
        <ns0:f>IF(J19="","",IF(COUNTIFS($J$7:J19,J19)=1,MAX($K$6:K18)+1,""))</ns0:f>
        <ns0:v>4</ns0:v>
      </ns0:c>
      <ns0:c r="L19" t="n">
        <ns0:f>IF(A19="",0,B19+(107-ROW())/1000)</ns0:f>
        <ns0:v>2.088</ns0:v>
      </ns0:c>
      <ns0:c r="M19" t="str">
        <ns0:f>IF(J19="","",'Project Tracker'!A10)</ns0:f>
        <ns0:v>T04</ns0:v>
      </ns0:c>
      <ns0:c r="N19" t="n">
        <ns0:f>IF(J19="","",'Project Tracker'!N10)</ns0:f>
        <ns0:v>0</ns0:v>
      </ns0:c>
      <ns0:c r="O19" t="n">
        <ns0:f>IF(J19="","",'Project Tracker'!E10)</ns0:f>
        <ns0:v>46277</ns0:v>
      </ns0:c>
      <ns0:c r="P19" t="n">
        <ns0:f>IF(J19="","",'Project Tracker'!F10)</ns0:f>
        <ns0:v>46278</ns0:v>
      </ns0:c>
      <ns0:c r="Q19" t="str">
        <ns0:f>IF(J19="","",'Project Tracker'!Q10)</ns0:f>
        <ns0:v>Not Started</ns0:v>
      </ns0:c>
      <ns0:c r="R19" t="str">
        <ns0:f>IF(J19="","",'Project Tracker'!J10)</ns0:f>
        <ns0:v>No</ns0:v>
      </ns0:c>
      <ns0:c r="T19" t="str">
        <ns0:v>Intelligence Engine (IE / Orchestrator)</ns0:v>
      </ns0:c>
      <ns0:c r="U19" t="str">
        <ns0:v>Primary central planner and MCP host; manages task grants, context assembly, synthesis, and recovery.</ns0:v>
      </ns0:c>
      <ns0:c r="V19" t="n">
        <ns0:f>IF($A19="",0,COUNTIFS($J$7:$J$406,$A19,$O$7:$O$406,"&lt;="&amp;V$6,$P$7:$P$406,"&gt;="&amp;V$6,$R$7:$R$406,"No"))</ns0:f>
        <ns0:v>0</ns0:v>
      </ns0:c>
      <ns0:c r="W19" t="n">
        <ns0:f>IF($A19="",0,COUNTIFS($J$7:$J$406,$A19,$O$7:$O$406,"&lt;="&amp;W$6,$P$7:$P$406,"&gt;="&amp;W$6,$R$7:$R$406,"No"))</ns0:f>
        <ns0:v>0</ns0:v>
      </ns0:c>
      <ns0:c r="X19" t="n">
        <ns0:f>IF($A19="",0,COUNTIFS($J$7:$J$406,$A19,$O$7:$O$406,"&lt;="&amp;X$6,$P$7:$P$406,"&gt;="&amp;X$6,$R$7:$R$406,"No"))</ns0:f>
        <ns0:v>0</ns0:v>
      </ns0:c>
      <ns0:c r="Y19" t="n">
        <ns0:f>IF($A19="",0,COUNTIFS($J$7:$J$406,$A19,$O$7:$O$406,"&lt;="&amp;Y$6,$P$7:$P$406,"&gt;="&amp;Y$6,$R$7:$R$406,"No"))</ns0:f>
        <ns0:v>0</ns0:v>
      </ns0:c>
      <ns0:c r="Z19" t="n">
        <ns0:f>IF($A19="",0,COUNTIFS($J$7:$J$406,$A19,$O$7:$O$406,"&lt;="&amp;Z$6,$P$7:$P$406,"&gt;="&amp;Z$6,$R$7:$R$406,"No"))</ns0:f>
        <ns0:v>0</ns0:v>
      </ns0:c>
      <ns0:c r="AA19" t="n">
        <ns0:f>IF($A19="",0,COUNTIFS($J$7:$J$406,$A19,$O$7:$O$406,"&lt;="&amp;AA$6,$P$7:$P$406,"&gt;="&amp;AA$6,$R$7:$R$406,"No"))</ns0:f>
        <ns0:v>0</ns0:v>
      </ns0:c>
      <ns0:c r="AB19" t="n">
        <ns0:f>IF($A19="",0,COUNTIFS($J$7:$J$406,$A19,$O$7:$O$406,"&lt;="&amp;AB$6,$P$7:$P$406,"&gt;="&amp;AB$6,$R$7:$R$406,"No"))</ns0:f>
        <ns0:v>0</ns0:v>
      </ns0:c>
      <ns0:c r="AC19" t="n">
        <ns0:f>IF($A19="",0,COUNTIFS($J$7:$J$406,$A19,$O$7:$O$406,"&lt;="&amp;AC$6,$P$7:$P$406,"&gt;="&amp;AC$6,$R$7:$R$406,"No"))</ns0:f>
        <ns0:v>1</ns0:v>
      </ns0:c>
      <ns0:c r="AD19" t="n">
        <ns0:f>IF($A19="",0,COUNTIFS($J$7:$J$406,$A19,$O$7:$O$406,"&lt;="&amp;AD$6,$P$7:$P$406,"&gt;="&amp;AD$6,$R$7:$R$406,"No"))</ns0:f>
        <ns0:v>1</ns0:v>
      </ns0:c>
      <ns0:c r="AE19" t="n">
        <ns0:f>IF($A19="",0,COUNTIFS($J$7:$J$406,$A19,$O$7:$O$406,"&lt;="&amp;AE$6,$P$7:$P$406,"&gt;="&amp;AE$6,$R$7:$R$406,"No"))</ns0:f>
        <ns0:v>0</ns0:v>
      </ns0:c>
      <ns0:c r="AF19" t="n">
        <ns0:f>IF($A19="",0,COUNTIFS($J$7:$J$406,$A19,$O$7:$O$406,"&lt;="&amp;AF$6,$P$7:$P$406,"&gt;="&amp;AF$6,$R$7:$R$406,"No"))</ns0:f>
        <ns0:v>0</ns0:v>
      </ns0:c>
      <ns0:c r="AG19" t="n">
        <ns0:f>IF($A19="",0,COUNTIFS($J$7:$J$406,$A19,$O$7:$O$406,"&lt;="&amp;AG$6,$P$7:$P$406,"&gt;="&amp;AG$6,$R$7:$R$406,"No"))</ns0:f>
        <ns0:v>0</ns0:v>
      </ns0:c>
      <ns0:c r="AH19" t="n">
        <ns0:f>IF($A19="",0,COUNTIFS($J$7:$J$406,$A19,$O$7:$O$406,"&lt;="&amp;AH$6,$P$7:$P$406,"&gt;="&amp;AH$6,$R$7:$R$406,"No"))</ns0:f>
        <ns0:v>0</ns0:v>
      </ns0:c>
      <ns0:c r="AI19" t="n">
        <ns0:f>IF($A19="",0,COUNTIFS($J$7:$J$406,$A19,$O$7:$O$406,"&lt;="&amp;AI$6,$P$7:$P$406,"&gt;="&amp;AI$6,$R$7:$R$406,"No"))</ns0:f>
        <ns0:v>0</ns0:v>
      </ns0:c>
      <ns0:c r="AJ19" t="n">
        <ns0:f>IF($A19="",0,COUNTIFS($J$7:$J$406,$A19,$O$7:$O$406,"&lt;="&amp;AJ$6,$P$7:$P$406,"&gt;="&amp;AJ$6,$R$7:$R$406,"No"))</ns0:f>
        <ns0:v>0</ns0:v>
      </ns0:c>
      <ns0:c r="AK19" t="n">
        <ns0:f>IF($A19="",0,COUNTIFS($J$7:$J$406,$A19,$O$7:$O$406,"&lt;="&amp;AK$6,$P$7:$P$406,"&gt;="&amp;AK$6,$R$7:$R$406,"No"))</ns0:f>
        <ns0:v>0</ns0:v>
      </ns0:c>
      <ns0:c r="AL19" t="n">
        <ns0:f>IF($A19="",0,COUNTIFS($J$7:$J$406,$A19,$O$7:$O$406,"&lt;="&amp;AL$6,$P$7:$P$406,"&gt;="&amp;AL$6,$R$7:$R$406,"No"))</ns0:f>
        <ns0:v>0</ns0:v>
      </ns0:c>
      <ns0:c r="AM19" t="n">
        <ns0:f>IF($A19="",0,COUNTIFS($J$7:$J$406,$A19,$O$7:$O$406,"&lt;="&amp;AM$6,$P$7:$P$406,"&gt;="&amp;AM$6,$R$7:$R$406,"No"))</ns0:f>
        <ns0:v>0</ns0:v>
      </ns0:c>
      <ns0:c r="AN19" t="n">
        <ns0:f>IF($A19="",0,COUNTIFS($J$7:$J$406,$A19,$O$7:$O$406,"&lt;="&amp;AN$6,$P$7:$P$406,"&gt;="&amp;AN$6,$R$7:$R$406,"No"))</ns0:f>
        <ns0:v>0</ns0:v>
      </ns0:c>
      <ns0:c r="AO19" t="n">
        <ns0:f>IF($A19="",0,COUNTIFS($J$7:$J$406,$A19,$O$7:$O$406,"&lt;="&amp;AO$6,$P$7:$P$406,"&gt;="&amp;AO$6,$R$7:$R$406,"No"))</ns0:f>
        <ns0:v>0</ns0:v>
      </ns0:c>
      <ns0:c r="AP19" t="n">
        <ns0:f>IF($A19="",0,COUNTIFS($J$7:$J$406,$A19,$O$7:$O$406,"&lt;="&amp;AP$6,$P$7:$P$406,"&gt;="&amp;AP$6,$R$7:$R$406,"No"))</ns0:f>
        <ns0:v>0</ns0:v>
      </ns0:c>
      <ns0:c r="AQ19" t="n">
        <ns0:f>IF($A19="",0,COUNTIFS($J$7:$J$406,$A19,$O$7:$O$406,"&lt;="&amp;AQ$6,$P$7:$P$406,"&gt;="&amp;AQ$6,$R$7:$R$406,"No"))</ns0:f>
        <ns0:v>0</ns0:v>
      </ns0:c>
      <ns0:c r="AR19" t="n">
        <ns0:f>IF($A19="",0,COUNTIFS($J$7:$J$406,$A19,$O$7:$O$406,"&lt;="&amp;AR$6,$P$7:$P$406,"&gt;="&amp;AR$6,$R$7:$R$406,"No"))</ns0:f>
        <ns0:v>0</ns0:v>
      </ns0:c>
      <ns0:c r="AS19" t="n">
        <ns0:f>IF($A19="",0,COUNTIFS($J$7:$J$406,$A19,$O$7:$O$406,"&lt;="&amp;AS$6,$P$7:$P$406,"&gt;="&amp;AS$6,$R$7:$R$406,"No"))</ns0:f>
        <ns0:v>0</ns0:v>
      </ns0:c>
      <ns0:c r="AT19" t="n">
        <ns0:f>IF($A19="",0,COUNTIFS($J$7:$J$406,$A19,$O$7:$O$406,"&lt;="&amp;AT$6,$P$7:$P$406,"&gt;="&amp;AT$6,$R$7:$R$406,"No"))</ns0:f>
        <ns0:v>0</ns0:v>
      </ns0:c>
      <ns0:c r="AU19" t="n">
        <ns0:f>IF($A19="",0,COUNTIFS($J$7:$J$406,$A19,$O$7:$O$406,"&lt;="&amp;AU$6,$P$7:$P$406,"&gt;="&amp;AU$6,$R$7:$R$406,"No"))</ns0:f>
        <ns0:v>0</ns0:v>
      </ns0:c>
      <ns0:c r="AV19" t="n">
        <ns0:f>IF($A19="",0,COUNTIFS($J$7:$J$406,$A19,$O$7:$O$406,"&lt;="&amp;AV$6,$P$7:$P$406,"&gt;="&amp;AV$6,$R$7:$R$406,"No"))</ns0:f>
        <ns0:v>0</ns0:v>
      </ns0:c>
      <ns0:c r="AW19" t="n">
        <ns0:f>IF($A19="",0,COUNTIFS($J$7:$J$406,$A19,$O$7:$O$406,"&lt;="&amp;AW$6,$P$7:$P$406,"&gt;="&amp;AW$6,$R$7:$R$406,"No"))</ns0:f>
        <ns0:v>0</ns0:v>
      </ns0:c>
      <ns0:c r="AX19" t="n">
        <ns0:f>IF($A19="",0,COUNTIFS($J$7:$J$406,$A19,$O$7:$O$406,"&lt;="&amp;AX$6,$P$7:$P$406,"&gt;="&amp;AX$6,$R$7:$R$406,"No"))</ns0:f>
        <ns0:v>0</ns0:v>
      </ns0:c>
      <ns0:c r="AY19" t="n">
        <ns0:f>IF($A19="",0,COUNTIFS($J$7:$J$406,$A19,$O$7:$O$406,"&lt;="&amp;AY$6,$P$7:$P$406,"&gt;="&amp;AY$6,$R$7:$R$406,"No"))</ns0:f>
        <ns0:v>0</ns0:v>
      </ns0:c>
      <ns0:c r="AZ19" t="n">
        <ns0:f>IF($A19="",0,COUNTIFS($J$7:$J$406,$A19,$O$7:$O$406,"&lt;="&amp;AZ$6,$P$7:$P$406,"&gt;="&amp;AZ$6,$R$7:$R$406,"No"))</ns0:f>
        <ns0:v>0</ns0:v>
      </ns0:c>
      <ns0:c r="BA19" t="n">
        <ns0:f>IF($A19="",0,COUNTIFS($J$7:$J$406,$A19,$O$7:$O$406,"&lt;="&amp;BA$6,$P$7:$P$406,"&gt;="&amp;BA$6,$R$7:$R$406,"No"))</ns0:f>
        <ns0:v>1</ns0:v>
      </ns0:c>
      <ns0:c r="BB19" t="n">
        <ns0:f>IF($A19="",0,COUNTIFS($J$7:$J$406,$A19,$O$7:$O$406,"&lt;="&amp;BB$6,$P$7:$P$406,"&gt;="&amp;BB$6,$R$7:$R$406,"No"))</ns0:f>
        <ns0:v>1</ns0:v>
      </ns0:c>
      <ns0:c r="BC19" t="n">
        <ns0:f>IF($A19="",0,COUNTIFS($J$7:$J$406,$A19,$O$7:$O$406,"&lt;="&amp;BC$6,$P$7:$P$406,"&gt;="&amp;BC$6,$R$7:$R$406,"No"))</ns0:f>
        <ns0:v>0</ns0:v>
      </ns0:c>
    </ns0:row>
    <ns0:row r="20" ht="48" customHeight="1">
      <ns0:c r="A20" s="8" t="str">
        <ns0:f>IF(ROW()-6&gt;MAX($K$7:$K$406),"",INDEX($J$7:$J$406,MATCH(ROW()-6,$K$7:$K$406,0)))</ns0:f>
        <ns0:v>Specialist Sub-Agents (L4_SUBS)</ns0:v>
      </ns0:c>
      <ns0:c r="B20" s="8" t="n">
        <ns0:f>IF(A20="","",COUNTIFS($J$7:$J$406,$A20))</ns0:f>
        <ns0:v>8</ns0:v>
      </ns0:c>
      <ns0:c r="C20" s="8" t="n">
        <ns0:f>IF(A20="","",COUNTIFS($J$7:$J$406,$A20,$N$7:$N$406,1))</ns0:f>
        <ns0:v>0</ns0:v>
      </ns0:c>
      <ns0:c r="D20" s="8" t="n">
        <ns0:f>IF(A20="","",COUNTIFS($J$7:$J$406,$A20,$Q$7:$Q$406,"In Progress"))</ns0:f>
        <ns0:v>0</ns0:v>
      </ns0:c>
      <ns0:c r="E20" s="8" t="n">
        <ns0:f>IF(A20="","",B20-C20)</ns0:f>
        <ns0:v>8</ns0:v>
      </ns0:c>
      <ns0:c r="F20" s="19" t="n">
        <ns0:f>IF(A20="","",SUMIFS($N$7:$N$406,$J$7:$J$406,$A20)/B20)</ns0:f>
        <ns0:v>0</ns0:v>
      </ns0:c>
      <ns0:c r="G20" s="8" t="n">
        <ns0:f>IF(A20="","",COUNTIFS(V20:BC20,"&gt;1"))</ns0:f>
        <ns0:v>7</ns0:v>
      </ns0:c>
      <ns0:c r="H20" s="8" t="str">
        <ns0:f>IF(A20="","",IF(COUNTIFS($T$7:$T$33,A20)&gt;0,INDEX($U$7:$U$33,MATCH(A20,$T$7:$T$33,0)),"No capacity or responsibility detail supplied."))</ns0:f>
        <ns0:v>Ephemeral micro-tool workers (S_CODE, S_ALLOC, S_COPY, S_VAL, S_SCRAPE, S_PARSE, S_ATTR).</ns0:v>
      </ns0:c>
      <ns0:c r="J20" t="str">
        <ns0:f>IF('Project Tracker'!A10="","",TRIM(MID(SUBSTITUTE('Project Tracker'!K10,";",REPT(" ",150)),151,150)))</ns0:f>
      </ns0:c>
      <ns0:c r="K20" t="str">
        <ns0:f>IF(J20="","",IF(COUNTIFS($J$7:J20,J20)=1,MAX($K$6:K19)+1,""))</ns0:f>
      </ns0:c>
      <ns0:c r="L20" t="n">
        <ns0:f>IF(A20="",0,B20+(107-ROW())/1000)</ns0:f>
        <ns0:v>8.087</ns0:v>
      </ns0:c>
      <ns0:c r="M20" t="str">
        <ns0:f>IF(J20="","",'Project Tracker'!A10)</ns0:f>
      </ns0:c>
      <ns0:c r="N20" t="str">
        <ns0:f>IF(J20="","",'Project Tracker'!N10)</ns0:f>
      </ns0:c>
      <ns0:c r="O20" t="str">
        <ns0:f>IF(J20="","",'Project Tracker'!E10)</ns0:f>
      </ns0:c>
      <ns0:c r="P20" t="str">
        <ns0:f>IF(J20="","",'Project Tracker'!F10)</ns0:f>
      </ns0:c>
      <ns0:c r="Q20" t="str">
        <ns0:f>IF(J20="","",'Project Tracker'!Q10)</ns0:f>
      </ns0:c>
      <ns0:c r="R20" t="str">
        <ns0:f>IF(J20="","",'Project Tracker'!J10)</ns0:f>
      </ns0:c>
      <ns0:c r="T20" t="str">
        <ns0:v>Product / Evidence Engine (W_PROD)</ns0:v>
      </ns0:c>
      <ns0:c r="U20" t="str">
        <ns0:v>Domain worker; ingests formulations, maps clinical evidence, and prepares compliance dossiers.</ns0:v>
      </ns0:c>
      <ns0:c r="V20" t="n">
        <ns0:f>IF($A20="",0,COUNTIFS($J$7:$J$406,$A20,$O$7:$O$406,"&lt;="&amp;V$6,$P$7:$P$406,"&gt;="&amp;V$6,$R$7:$R$406,"No"))</ns0:f>
        <ns0:v>0</ns0:v>
      </ns0:c>
      <ns0:c r="W20" t="n">
        <ns0:f>IF($A20="",0,COUNTIFS($J$7:$J$406,$A20,$O$7:$O$406,"&lt;="&amp;W$6,$P$7:$P$406,"&gt;="&amp;W$6,$R$7:$R$406,"No"))</ns0:f>
        <ns0:v>0</ns0:v>
      </ns0:c>
      <ns0:c r="X20" t="n">
        <ns0:f>IF($A20="",0,COUNTIFS($J$7:$J$406,$A20,$O$7:$O$406,"&lt;="&amp;X$6,$P$7:$P$406,"&gt;="&amp;X$6,$R$7:$R$406,"No"))</ns0:f>
        <ns0:v>0</ns0:v>
      </ns0:c>
      <ns0:c r="Y20" t="n">
        <ns0:f>IF($A20="",0,COUNTIFS($J$7:$J$406,$A20,$O$7:$O$406,"&lt;="&amp;Y$6,$P$7:$P$406,"&gt;="&amp;Y$6,$R$7:$R$406,"No"))</ns0:f>
        <ns0:v>0</ns0:v>
      </ns0:c>
      <ns0:c r="Z20" t="n">
        <ns0:f>IF($A20="",0,COUNTIFS($J$7:$J$406,$A20,$O$7:$O$406,"&lt;="&amp;Z$6,$P$7:$P$406,"&gt;="&amp;Z$6,$R$7:$R$406,"No"))</ns0:f>
        <ns0:v>0</ns0:v>
      </ns0:c>
      <ns0:c r="AA20" t="n">
        <ns0:f>IF($A20="",0,COUNTIFS($J$7:$J$406,$A20,$O$7:$O$406,"&lt;="&amp;AA$6,$P$7:$P$406,"&gt;="&amp;AA$6,$R$7:$R$406,"No"))</ns0:f>
        <ns0:v>0</ns0:v>
      </ns0:c>
      <ns0:c r="AB20" t="n">
        <ns0:f>IF($A20="",0,COUNTIFS($J$7:$J$406,$A20,$O$7:$O$406,"&lt;="&amp;AB$6,$P$7:$P$406,"&gt;="&amp;AB$6,$R$7:$R$406,"No"))</ns0:f>
        <ns0:v>0</ns0:v>
      </ns0:c>
      <ns0:c r="AC20" t="n">
        <ns0:f>IF($A20="",0,COUNTIFS($J$7:$J$406,$A20,$O$7:$O$406,"&lt;="&amp;AC$6,$P$7:$P$406,"&gt;="&amp;AC$6,$R$7:$R$406,"No"))</ns0:f>
        <ns0:v>1</ns0:v>
      </ns0:c>
      <ns0:c r="AD20" t="n">
        <ns0:f>IF($A20="",0,COUNTIFS($J$7:$J$406,$A20,$O$7:$O$406,"&lt;="&amp;AD$6,$P$7:$P$406,"&gt;="&amp;AD$6,$R$7:$R$406,"No"))</ns0:f>
        <ns0:v>1</ns0:v>
      </ns0:c>
      <ns0:c r="AE20" t="n">
        <ns0:f>IF($A20="",0,COUNTIFS($J$7:$J$406,$A20,$O$7:$O$406,"&lt;="&amp;AE$6,$P$7:$P$406,"&gt;="&amp;AE$6,$R$7:$R$406,"No"))</ns0:f>
        <ns0:v>4</ns0:v>
      </ns0:c>
      <ns0:c r="AF20" t="n">
        <ns0:f>IF($A20="",0,COUNTIFS($J$7:$J$406,$A20,$O$7:$O$406,"&lt;="&amp;AF$6,$P$7:$P$406,"&gt;="&amp;AF$6,$R$7:$R$406,"No"))</ns0:f>
        <ns0:v>4</ns0:v>
      </ns0:c>
      <ns0:c r="AG20" t="n">
        <ns0:f>IF($A20="",0,COUNTIFS($J$7:$J$406,$A20,$O$7:$O$406,"&lt;="&amp;AG$6,$P$7:$P$406,"&gt;="&amp;AG$6,$R$7:$R$406,"No"))</ns0:f>
        <ns0:v>2</ns0:v>
      </ns0:c>
      <ns0:c r="AH20" t="n">
        <ns0:f>IF($A20="",0,COUNTIFS($J$7:$J$406,$A20,$O$7:$O$406,"&lt;="&amp;AH$6,$P$7:$P$406,"&gt;="&amp;AH$6,$R$7:$R$406,"No"))</ns0:f>
        <ns0:v>2</ns0:v>
      </ns0:c>
      <ns0:c r="AI20" t="n">
        <ns0:f>IF($A20="",0,COUNTIFS($J$7:$J$406,$A20,$O$7:$O$406,"&lt;="&amp;AI$6,$P$7:$P$406,"&gt;="&amp;AI$6,$R$7:$R$406,"No"))</ns0:f>
        <ns0:v>2</ns0:v>
      </ns0:c>
      <ns0:c r="AJ20" t="n">
        <ns0:f>IF($A20="",0,COUNTIFS($J$7:$J$406,$A20,$O$7:$O$406,"&lt;="&amp;AJ$6,$P$7:$P$406,"&gt;="&amp;AJ$6,$R$7:$R$406,"No"))</ns0:f>
        <ns0:v>2</ns0:v>
      </ns0:c>
      <ns0:c r="AK20" t="n">
        <ns0:f>IF($A20="",0,COUNTIFS($J$7:$J$406,$A20,$O$7:$O$406,"&lt;="&amp;AK$6,$P$7:$P$406,"&gt;="&amp;AK$6,$R$7:$R$406,"No"))</ns0:f>
        <ns0:v>2</ns0:v>
      </ns0:c>
      <ns0:c r="AL20" t="n">
        <ns0:f>IF($A20="",0,COUNTIFS($J$7:$J$406,$A20,$O$7:$O$406,"&lt;="&amp;AL$6,$P$7:$P$406,"&gt;="&amp;AL$6,$R$7:$R$406,"No"))</ns0:f>
        <ns0:v>1</ns0:v>
      </ns0:c>
      <ns0:c r="AM20" t="n">
        <ns0:f>IF($A20="",0,COUNTIFS($J$7:$J$406,$A20,$O$7:$O$406,"&lt;="&amp;AM$6,$P$7:$P$406,"&gt;="&amp;AM$6,$R$7:$R$406,"No"))</ns0:f>
        <ns0:v>0</ns0:v>
      </ns0:c>
      <ns0:c r="AN20" t="n">
        <ns0:f>IF($A20="",0,COUNTIFS($J$7:$J$406,$A20,$O$7:$O$406,"&lt;="&amp;AN$6,$P$7:$P$406,"&gt;="&amp;AN$6,$R$7:$R$406,"No"))</ns0:f>
        <ns0:v>0</ns0:v>
      </ns0:c>
      <ns0:c r="AO20" t="n">
        <ns0:f>IF($A20="",0,COUNTIFS($J$7:$J$406,$A20,$O$7:$O$406,"&lt;="&amp;AO$6,$P$7:$P$406,"&gt;="&amp;AO$6,$R$7:$R$406,"No"))</ns0:f>
        <ns0:v>0</ns0:v>
      </ns0:c>
      <ns0:c r="AP20" t="n">
        <ns0:f>IF($A20="",0,COUNTIFS($J$7:$J$406,$A20,$O$7:$O$406,"&lt;="&amp;AP$6,$P$7:$P$406,"&gt;="&amp;AP$6,$R$7:$R$406,"No"))</ns0:f>
        <ns0:v>0</ns0:v>
      </ns0:c>
      <ns0:c r="AQ20" t="n">
        <ns0:f>IF($A20="",0,COUNTIFS($J$7:$J$406,$A20,$O$7:$O$406,"&lt;="&amp;AQ$6,$P$7:$P$406,"&gt;="&amp;AQ$6,$R$7:$R$406,"No"))</ns0:f>
        <ns0:v>0</ns0:v>
      </ns0:c>
      <ns0:c r="AR20" t="n">
        <ns0:f>IF($A20="",0,COUNTIFS($J$7:$J$406,$A20,$O$7:$O$406,"&lt;="&amp;AR$6,$P$7:$P$406,"&gt;="&amp;AR$6,$R$7:$R$406,"No"))</ns0:f>
        <ns0:v>0</ns0:v>
      </ns0:c>
      <ns0:c r="AS20" t="n">
        <ns0:f>IF($A20="",0,COUNTIFS($J$7:$J$406,$A20,$O$7:$O$406,"&lt;="&amp;AS$6,$P$7:$P$406,"&gt;="&amp;AS$6,$R$7:$R$406,"No"))</ns0:f>
        <ns0:v>0</ns0:v>
      </ns0:c>
      <ns0:c r="AT20" t="n">
        <ns0:f>IF($A20="",0,COUNTIFS($J$7:$J$406,$A20,$O$7:$O$406,"&lt;="&amp;AT$6,$P$7:$P$406,"&gt;="&amp;AT$6,$R$7:$R$406,"No"))</ns0:f>
        <ns0:v>0</ns0:v>
      </ns0:c>
      <ns0:c r="AU20" t="n">
        <ns0:f>IF($A20="",0,COUNTIFS($J$7:$J$406,$A20,$O$7:$O$406,"&lt;="&amp;AU$6,$P$7:$P$406,"&gt;="&amp;AU$6,$R$7:$R$406,"No"))</ns0:f>
        <ns0:v>0</ns0:v>
      </ns0:c>
      <ns0:c r="AV20" t="n">
        <ns0:f>IF($A20="",0,COUNTIFS($J$7:$J$406,$A20,$O$7:$O$406,"&lt;="&amp;AV$6,$P$7:$P$406,"&gt;="&amp;AV$6,$R$7:$R$406,"No"))</ns0:f>
        <ns0:v>0</ns0:v>
      </ns0:c>
      <ns0:c r="AW20" t="n">
        <ns0:f>IF($A20="",0,COUNTIFS($J$7:$J$406,$A20,$O$7:$O$406,"&lt;="&amp;AW$6,$P$7:$P$406,"&gt;="&amp;AW$6,$R$7:$R$406,"No"))</ns0:f>
        <ns0:v>0</ns0:v>
      </ns0:c>
      <ns0:c r="AX20" t="n">
        <ns0:f>IF($A20="",0,COUNTIFS($J$7:$J$406,$A20,$O$7:$O$406,"&lt;="&amp;AX$6,$P$7:$P$406,"&gt;="&amp;AX$6,$R$7:$R$406,"No"))</ns0:f>
        <ns0:v>0</ns0:v>
      </ns0:c>
      <ns0:c r="AY20" t="n">
        <ns0:f>IF($A20="",0,COUNTIFS($J$7:$J$406,$A20,$O$7:$O$406,"&lt;="&amp;AY$6,$P$7:$P$406,"&gt;="&amp;AY$6,$R$7:$R$406,"No"))</ns0:f>
        <ns0:v>1</ns0:v>
      </ns0:c>
      <ns0:c r="AZ20" t="n">
        <ns0:f>IF($A20="",0,COUNTIFS($J$7:$J$406,$A20,$O$7:$O$406,"&lt;="&amp;AZ$6,$P$7:$P$406,"&gt;="&amp;AZ$6,$R$7:$R$406,"No"))</ns0:f>
        <ns0:v>1</ns0:v>
      </ns0:c>
      <ns0:c r="BA20" t="n">
        <ns0:f>IF($A20="",0,COUNTIFS($J$7:$J$406,$A20,$O$7:$O$406,"&lt;="&amp;BA$6,$P$7:$P$406,"&gt;="&amp;BA$6,$R$7:$R$406,"No"))</ns0:f>
        <ns0:v>0</ns0:v>
      </ns0:c>
      <ns0:c r="BB20" t="n">
        <ns0:f>IF($A20="",0,COUNTIFS($J$7:$J$406,$A20,$O$7:$O$406,"&lt;="&amp;BB$6,$P$7:$P$406,"&gt;="&amp;BB$6,$R$7:$R$406,"No"))</ns0:f>
        <ns0:v>0</ns0:v>
      </ns0:c>
      <ns0:c r="BC20" t="n">
        <ns0:f>IF($A20="",0,COUNTIFS($J$7:$J$406,$A20,$O$7:$O$406,"&lt;="&amp;BC$6,$P$7:$P$406,"&gt;="&amp;BC$6,$R$7:$R$406,"No"))</ns0:f>
        <ns0:v>0</ns0:v>
      </ns0:c>
    </ns0:row>
    <ns0:row r="21" ht="48" customHeight="1">
      <ns0:c r="A21" s="8" t="str">
        <ns0:f>IF(ROW()-6&gt;MAX($K$7:$K$406),"",INDEX($J$7:$J$406,MATCH(ROW()-6,$K$7:$K$406,0)))</ns0:f>
        <ns0:v>Intelligence Engine (IE / Orchestrator)</ns0:v>
      </ns0:c>
      <ns0:c r="B21" s="8" t="n">
        <ns0:f>IF(A21="","",COUNTIFS($J$7:$J$406,$A21))</ns0:f>
        <ns0:v>5</ns0:v>
      </ns0:c>
      <ns0:c r="C21" s="8" t="n">
        <ns0:f>IF(A21="","",COUNTIFS($J$7:$J$406,$A21,$N$7:$N$406,1))</ns0:f>
        <ns0:v>0</ns0:v>
      </ns0:c>
      <ns0:c r="D21" s="8" t="n">
        <ns0:f>IF(A21="","",COUNTIFS($J$7:$J$406,$A21,$Q$7:$Q$406,"In Progress"))</ns0:f>
        <ns0:v>0</ns0:v>
      </ns0:c>
      <ns0:c r="E21" s="8" t="n">
        <ns0:f>IF(A21="","",B21-C21)</ns0:f>
        <ns0:v>5</ns0:v>
      </ns0:c>
      <ns0:c r="F21" s="19" t="n">
        <ns0:f>IF(A21="","",SUMIFS($N$7:$N$406,$J$7:$J$406,$A21)/B21)</ns0:f>
        <ns0:v>0</ns0:v>
      </ns0:c>
      <ns0:c r="G21" s="8" t="n">
        <ns0:f>IF(A21="","",COUNTIFS(V21:BC21,"&gt;1"))</ns0:f>
        <ns0:v>0</ns0:v>
      </ns0:c>
      <ns0:c r="H21" s="8" t="str">
        <ns0:f>IF(A21="","",IF(COUNTIFS($T$7:$T$33,A21)&gt;0,INDEX($U$7:$U$33,MATCH(A21,$T$7:$T$33,0)),"No capacity or responsibility detail supplied."))</ns0:f>
        <ns0:v>Primary central planner and MCP host; manages task grants, context assembly, synthesis, and recovery.</ns0:v>
      </ns0:c>
      <ns0:c r="J21" t="str">
        <ns0:f>IF('Project Tracker'!A10="","",TRIM(MID(SUBSTITUTE('Project Tracker'!K10,";",REPT(" ",150)),301,150)))</ns0:f>
      </ns0:c>
      <ns0:c r="K21" t="str">
        <ns0:f>IF(J21="","",IF(COUNTIFS($J$7:J21,J21)=1,MAX($K$6:K20)+1,""))</ns0:f>
      </ns0:c>
      <ns0:c r="L21" t="n">
        <ns0:f>IF(A21="",0,B21+(107-ROW())/1000)</ns0:f>
        <ns0:v>5.086</ns0:v>
      </ns0:c>
      <ns0:c r="M21" t="str">
        <ns0:f>IF(J21="","",'Project Tracker'!A10)</ns0:f>
      </ns0:c>
      <ns0:c r="N21" t="str">
        <ns0:f>IF(J21="","",'Project Tracker'!N10)</ns0:f>
      </ns0:c>
      <ns0:c r="O21" t="str">
        <ns0:f>IF(J21="","",'Project Tracker'!E10)</ns0:f>
      </ns0:c>
      <ns0:c r="P21" t="str">
        <ns0:f>IF(J21="","",'Project Tracker'!F10)</ns0:f>
      </ns0:c>
      <ns0:c r="Q21" t="str">
        <ns0:f>IF(J21="","",'Project Tracker'!Q10)</ns0:f>
      </ns0:c>
      <ns0:c r="R21" t="str">
        <ns0:f>IF(J21="","",'Project Tracker'!J10)</ns0:f>
      </ns0:c>
      <ns0:c r="T21" t="str">
        <ns0:v>Customer Voice Engine (W_VOICE)</ns0:v>
      </ns0:c>
      <ns0:c r="U21" t="str">
        <ns0:v>Domain worker; ingests customer reviews, support tickets, and analyzes sentiment and objection patterns.</ns0:v>
      </ns0:c>
      <ns0:c r="V21" t="n">
        <ns0:f>IF($A21="",0,COUNTIFS($J$7:$J$406,$A21,$O$7:$O$406,"&lt;="&amp;V$6,$P$7:$P$406,"&gt;="&amp;V$6,$R$7:$R$406,"No"))</ns0:f>
        <ns0:v>0</ns0:v>
      </ns0:c>
      <ns0:c r="W21" t="n">
        <ns0:f>IF($A21="",0,COUNTIFS($J$7:$J$406,$A21,$O$7:$O$406,"&lt;="&amp;W$6,$P$7:$P$406,"&gt;="&amp;W$6,$R$7:$R$406,"No"))</ns0:f>
        <ns0:v>0</ns0:v>
      </ns0:c>
      <ns0:c r="X21" t="n">
        <ns0:f>IF($A21="",0,COUNTIFS($J$7:$J$406,$A21,$O$7:$O$406,"&lt;="&amp;X$6,$P$7:$P$406,"&gt;="&amp;X$6,$R$7:$R$406,"No"))</ns0:f>
        <ns0:v>0</ns0:v>
      </ns0:c>
      <ns0:c r="Y21" t="n">
        <ns0:f>IF($A21="",0,COUNTIFS($J$7:$J$406,$A21,$O$7:$O$406,"&lt;="&amp;Y$6,$P$7:$P$406,"&gt;="&amp;Y$6,$R$7:$R$406,"No"))</ns0:f>
        <ns0:v>0</ns0:v>
      </ns0:c>
      <ns0:c r="Z21" t="n">
        <ns0:f>IF($A21="",0,COUNTIFS($J$7:$J$406,$A21,$O$7:$O$406,"&lt;="&amp;Z$6,$P$7:$P$406,"&gt;="&amp;Z$6,$R$7:$R$406,"No"))</ns0:f>
        <ns0:v>0</ns0:v>
      </ns0:c>
      <ns0:c r="AA21" t="n">
        <ns0:f>IF($A21="",0,COUNTIFS($J$7:$J$406,$A21,$O$7:$O$406,"&lt;="&amp;AA$6,$P$7:$P$406,"&gt;="&amp;AA$6,$R$7:$R$406,"No"))</ns0:f>
        <ns0:v>0</ns0:v>
      </ns0:c>
      <ns0:c r="AB21" t="n">
        <ns0:f>IF($A21="",0,COUNTIFS($J$7:$J$406,$A21,$O$7:$O$406,"&lt;="&amp;AB$6,$P$7:$P$406,"&gt;="&amp;AB$6,$R$7:$R$406,"No"))</ns0:f>
        <ns0:v>0</ns0:v>
      </ns0:c>
      <ns0:c r="AC21" t="n">
        <ns0:f>IF($A21="",0,COUNTIFS($J$7:$J$406,$A21,$O$7:$O$406,"&lt;="&amp;AC$6,$P$7:$P$406,"&gt;="&amp;AC$6,$R$7:$R$406,"No"))</ns0:f>
        <ns0:v>0</ns0:v>
      </ns0:c>
      <ns0:c r="AD21" t="n">
        <ns0:f>IF($A21="",0,COUNTIFS($J$7:$J$406,$A21,$O$7:$O$406,"&lt;="&amp;AD$6,$P$7:$P$406,"&gt;="&amp;AD$6,$R$7:$R$406,"No"))</ns0:f>
        <ns0:v>1</ns0:v>
      </ns0:c>
      <ns0:c r="AE21" t="n">
        <ns0:f>IF($A21="",0,COUNTIFS($J$7:$J$406,$A21,$O$7:$O$406,"&lt;="&amp;AE$6,$P$7:$P$406,"&gt;="&amp;AE$6,$R$7:$R$406,"No"))</ns0:f>
        <ns0:v>0</ns0:v>
      </ns0:c>
      <ns0:c r="AF21" t="n">
        <ns0:f>IF($A21="",0,COUNTIFS($J$7:$J$406,$A21,$O$7:$O$406,"&lt;="&amp;AF$6,$P$7:$P$406,"&gt;="&amp;AF$6,$R$7:$R$406,"No"))</ns0:f>
        <ns0:v>0</ns0:v>
      </ns0:c>
      <ns0:c r="AG21" t="n">
        <ns0:f>IF($A21="",0,COUNTIFS($J$7:$J$406,$A21,$O$7:$O$406,"&lt;="&amp;AG$6,$P$7:$P$406,"&gt;="&amp;AG$6,$R$7:$R$406,"No"))</ns0:f>
        <ns0:v>0</ns0:v>
      </ns0:c>
      <ns0:c r="AH21" t="n">
        <ns0:f>IF($A21="",0,COUNTIFS($J$7:$J$406,$A21,$O$7:$O$406,"&lt;="&amp;AH$6,$P$7:$P$406,"&gt;="&amp;AH$6,$R$7:$R$406,"No"))</ns0:f>
        <ns0:v>0</ns0:v>
      </ns0:c>
      <ns0:c r="AI21" t="n">
        <ns0:f>IF($A21="",0,COUNTIFS($J$7:$J$406,$A21,$O$7:$O$406,"&lt;="&amp;AI$6,$P$7:$P$406,"&gt;="&amp;AI$6,$R$7:$R$406,"No"))</ns0:f>
        <ns0:v>0</ns0:v>
      </ns0:c>
      <ns0:c r="AJ21" t="n">
        <ns0:f>IF($A21="",0,COUNTIFS($J$7:$J$406,$A21,$O$7:$O$406,"&lt;="&amp;AJ$6,$P$7:$P$406,"&gt;="&amp;AJ$6,$R$7:$R$406,"No"))</ns0:f>
        <ns0:v>0</ns0:v>
      </ns0:c>
      <ns0:c r="AK21" t="n">
        <ns0:f>IF($A21="",0,COUNTIFS($J$7:$J$406,$A21,$O$7:$O$406,"&lt;="&amp;AK$6,$P$7:$P$406,"&gt;="&amp;AK$6,$R$7:$R$406,"No"))</ns0:f>
        <ns0:v>0</ns0:v>
      </ns0:c>
      <ns0:c r="AL21" t="n">
        <ns0:f>IF($A21="",0,COUNTIFS($J$7:$J$406,$A21,$O$7:$O$406,"&lt;="&amp;AL$6,$P$7:$P$406,"&gt;="&amp;AL$6,$R$7:$R$406,"No"))</ns0:f>
        <ns0:v>0</ns0:v>
      </ns0:c>
      <ns0:c r="AM21" t="n">
        <ns0:f>IF($A21="",0,COUNTIFS($J$7:$J$406,$A21,$O$7:$O$406,"&lt;="&amp;AM$6,$P$7:$P$406,"&gt;="&amp;AM$6,$R$7:$R$406,"No"))</ns0:f>
        <ns0:v>1</ns0:v>
      </ns0:c>
      <ns0:c r="AN21" t="n">
        <ns0:f>IF($A21="",0,COUNTIFS($J$7:$J$406,$A21,$O$7:$O$406,"&lt;="&amp;AN$6,$P$7:$P$406,"&gt;="&amp;AN$6,$R$7:$R$406,"No"))</ns0:f>
        <ns0:v>1</ns0:v>
      </ns0:c>
      <ns0:c r="AO21" t="n">
        <ns0:f>IF($A21="",0,COUNTIFS($J$7:$J$406,$A21,$O$7:$O$406,"&lt;="&amp;AO$6,$P$7:$P$406,"&gt;="&amp;AO$6,$R$7:$R$406,"No"))</ns0:f>
        <ns0:v>1</ns0:v>
      </ns0:c>
      <ns0:c r="AP21" t="n">
        <ns0:f>IF($A21="",0,COUNTIFS($J$7:$J$406,$A21,$O$7:$O$406,"&lt;="&amp;AP$6,$P$7:$P$406,"&gt;="&amp;AP$6,$R$7:$R$406,"No"))</ns0:f>
        <ns0:v>0</ns0:v>
      </ns0:c>
      <ns0:c r="AQ21" t="n">
        <ns0:f>IF($A21="",0,COUNTIFS($J$7:$J$406,$A21,$O$7:$O$406,"&lt;="&amp;AQ$6,$P$7:$P$406,"&gt;="&amp;AQ$6,$R$7:$R$406,"No"))</ns0:f>
        <ns0:v>0</ns0:v>
      </ns0:c>
      <ns0:c r="AR21" t="n">
        <ns0:f>IF($A21="",0,COUNTIFS($J$7:$J$406,$A21,$O$7:$O$406,"&lt;="&amp;AR$6,$P$7:$P$406,"&gt;="&amp;AR$6,$R$7:$R$406,"No"))</ns0:f>
        <ns0:v>0</ns0:v>
      </ns0:c>
      <ns0:c r="AS21" t="n">
        <ns0:f>IF($A21="",0,COUNTIFS($J$7:$J$406,$A21,$O$7:$O$406,"&lt;="&amp;AS$6,$P$7:$P$406,"&gt;="&amp;AS$6,$R$7:$R$406,"No"))</ns0:f>
        <ns0:v>0</ns0:v>
      </ns0:c>
      <ns0:c r="AT21" t="n">
        <ns0:f>IF($A21="",0,COUNTIFS($J$7:$J$406,$A21,$O$7:$O$406,"&lt;="&amp;AT$6,$P$7:$P$406,"&gt;="&amp;AT$6,$R$7:$R$406,"No"))</ns0:f>
        <ns0:v>0</ns0:v>
      </ns0:c>
      <ns0:c r="AU21" t="n">
        <ns0:f>IF($A21="",0,COUNTIFS($J$7:$J$406,$A21,$O$7:$O$406,"&lt;="&amp;AU$6,$P$7:$P$406,"&gt;="&amp;AU$6,$R$7:$R$406,"No"))</ns0:f>
        <ns0:v>0</ns0:v>
      </ns0:c>
      <ns0:c r="AV21" t="n">
        <ns0:f>IF($A21="",0,COUNTIFS($J$7:$J$406,$A21,$O$7:$O$406,"&lt;="&amp;AV$6,$P$7:$P$406,"&gt;="&amp;AV$6,$R$7:$R$406,"No"))</ns0:f>
        <ns0:v>0</ns0:v>
      </ns0:c>
      <ns0:c r="AW21" t="n">
        <ns0:f>IF($A21="",0,COUNTIFS($J$7:$J$406,$A21,$O$7:$O$406,"&lt;="&amp;AW$6,$P$7:$P$406,"&gt;="&amp;AW$6,$R$7:$R$406,"No"))</ns0:f>
        <ns0:v>0</ns0:v>
      </ns0:c>
      <ns0:c r="AX21" t="n">
        <ns0:f>IF($A21="",0,COUNTIFS($J$7:$J$406,$A21,$O$7:$O$406,"&lt;="&amp;AX$6,$P$7:$P$406,"&gt;="&amp;AX$6,$R$7:$R$406,"No"))</ns0:f>
        <ns0:v>0</ns0:v>
      </ns0:c>
      <ns0:c r="AY21" t="n">
        <ns0:f>IF($A21="",0,COUNTIFS($J$7:$J$406,$A21,$O$7:$O$406,"&lt;="&amp;AY$6,$P$7:$P$406,"&gt;="&amp;AY$6,$R$7:$R$406,"No"))</ns0:f>
        <ns0:v>0</ns0:v>
      </ns0:c>
      <ns0:c r="AZ21" t="n">
        <ns0:f>IF($A21="",0,COUNTIFS($J$7:$J$406,$A21,$O$7:$O$406,"&lt;="&amp;AZ$6,$P$7:$P$406,"&gt;="&amp;AZ$6,$R$7:$R$406,"No"))</ns0:f>
        <ns0:v>0</ns0:v>
      </ns0:c>
      <ns0:c r="BA21" t="n">
        <ns0:f>IF($A21="",0,COUNTIFS($J$7:$J$406,$A21,$O$7:$O$406,"&lt;="&amp;BA$6,$P$7:$P$406,"&gt;="&amp;BA$6,$R$7:$R$406,"No"))</ns0:f>
        <ns0:v>1</ns0:v>
      </ns0:c>
      <ns0:c r="BB21" t="n">
        <ns0:f>IF($A21="",0,COUNTIFS($J$7:$J$406,$A21,$O$7:$O$406,"&lt;="&amp;BB$6,$P$7:$P$406,"&gt;="&amp;BB$6,$R$7:$R$406,"No"))</ns0:f>
        <ns0:v>1</ns0:v>
      </ns0:c>
      <ns0:c r="BC21" t="n">
        <ns0:f>IF($A21="",0,COUNTIFS($J$7:$J$406,$A21,$O$7:$O$406,"&lt;="&amp;BC$6,$P$7:$P$406,"&gt;="&amp;BC$6,$R$7:$R$406,"No"))</ns0:f>
        <ns0:v>1</ns0:v>
      </ns0:c>
    </ns0:row>
    <ns0:row r="22" ht="48" customHeight="1">
      <ns0:c r="A22" s="8" t="str">
        <ns0:f>IF(ROW()-6&gt;MAX($K$7:$K$406),"",INDEX($J$7:$J$406,MATCH(ROW()-6,$K$7:$K$406,0)))</ns0:f>
        <ns0:v>Product / Evidence Engine (W_PROD)</ns0:v>
      </ns0:c>
      <ns0:c r="B22" s="8" t="n">
        <ns0:f>IF(A22="","",COUNTIFS($J$7:$J$406,$A22))</ns0:f>
        <ns0:v>1</ns0:v>
      </ns0:c>
      <ns0:c r="C22" s="8" t="n">
        <ns0:f>IF(A22="","",COUNTIFS($J$7:$J$406,$A22,$N$7:$N$406,1))</ns0:f>
        <ns0:v>0</ns0:v>
      </ns0:c>
      <ns0:c r="D22" s="8" t="n">
        <ns0:f>IF(A22="","",COUNTIFS($J$7:$J$406,$A22,$Q$7:$Q$406,"In Progress"))</ns0:f>
        <ns0:v>0</ns0:v>
      </ns0:c>
      <ns0:c r="E22" s="8" t="n">
        <ns0:f>IF(A22="","",B22-C22)</ns0:f>
        <ns0:v>1</ns0:v>
      </ns0:c>
      <ns0:c r="F22" s="19" t="n">
        <ns0:f>IF(A22="","",SUMIFS($N$7:$N$406,$J$7:$J$406,$A22)/B22)</ns0:f>
        <ns0:v>0</ns0:v>
      </ns0:c>
      <ns0:c r="G22" s="8" t="n">
        <ns0:f>IF(A22="","",COUNTIFS(V22:BC22,"&gt;1"))</ns0:f>
        <ns0:v>0</ns0:v>
      </ns0:c>
      <ns0:c r="H22" s="8" t="str">
        <ns0:f>IF(A22="","",IF(COUNTIFS($T$7:$T$33,A22)&gt;0,INDEX($U$7:$U$33,MATCH(A22,$T$7:$T$33,0)),"No capacity or responsibility detail supplied."))</ns0:f>
        <ns0:v>Domain worker; ingests formulations, maps clinical evidence, and prepares compliance dossiers.</ns0:v>
      </ns0:c>
      <ns0:c r="J22" t="str">
        <ns0:f>IF('Project Tracker'!A10="","",TRIM(MID(SUBSTITUTE('Project Tracker'!K10,";",REPT(" ",150)),451,150)))</ns0:f>
      </ns0:c>
      <ns0:c r="K22" t="str">
        <ns0:f>IF(J22="","",IF(COUNTIFS($J$7:J22,J22)=1,MAX($K$6:K21)+1,""))</ns0:f>
      </ns0:c>
      <ns0:c r="L22" t="n">
        <ns0:f>IF(A22="",0,B22+(107-ROW())/1000)</ns0:f>
        <ns0:v>1.085</ns0:v>
      </ns0:c>
      <ns0:c r="M22" t="str">
        <ns0:f>IF(J22="","",'Project Tracker'!A10)</ns0:f>
      </ns0:c>
      <ns0:c r="N22" t="str">
        <ns0:f>IF(J22="","",'Project Tracker'!N10)</ns0:f>
      </ns0:c>
      <ns0:c r="O22" t="str">
        <ns0:f>IF(J22="","",'Project Tracker'!E10)</ns0:f>
      </ns0:c>
      <ns0:c r="P22" t="str">
        <ns0:f>IF(J22="","",'Project Tracker'!F10)</ns0:f>
      </ns0:c>
      <ns0:c r="Q22" t="str">
        <ns0:f>IF(J22="","",'Project Tracker'!Q10)</ns0:f>
      </ns0:c>
      <ns0:c r="R22" t="str">
        <ns0:f>IF(J22="","",'Project Tracker'!J10)</ns0:f>
      </ns0:c>
      <ns0:c r="T22" t="str">
        <ns0:v>Competitor Intel Engine (W_COMP)</ns0:v>
      </ns0:c>
      <ns0:c r="U22" t="str">
        <ns0:v>Domain worker; monitors competitor pricing, ad copy trends, and positioning shifts.</ns0:v>
      </ns0:c>
      <ns0:c r="V22" t="n">
        <ns0:f>IF($A22="",0,COUNTIFS($J$7:$J$406,$A22,$O$7:$O$406,"&lt;="&amp;V$6,$P$7:$P$406,"&gt;="&amp;V$6,$R$7:$R$406,"No"))</ns0:f>
        <ns0:v>0</ns0:v>
      </ns0:c>
      <ns0:c r="W22" t="n">
        <ns0:f>IF($A22="",0,COUNTIFS($J$7:$J$406,$A22,$O$7:$O$406,"&lt;="&amp;W$6,$P$7:$P$406,"&gt;="&amp;W$6,$R$7:$R$406,"No"))</ns0:f>
        <ns0:v>0</ns0:v>
      </ns0:c>
      <ns0:c r="X22" t="n">
        <ns0:f>IF($A22="",0,COUNTIFS($J$7:$J$406,$A22,$O$7:$O$406,"&lt;="&amp;X$6,$P$7:$P$406,"&gt;="&amp;X$6,$R$7:$R$406,"No"))</ns0:f>
        <ns0:v>0</ns0:v>
      </ns0:c>
      <ns0:c r="Y22" t="n">
        <ns0:f>IF($A22="",0,COUNTIFS($J$7:$J$406,$A22,$O$7:$O$406,"&lt;="&amp;Y$6,$P$7:$P$406,"&gt;="&amp;Y$6,$R$7:$R$406,"No"))</ns0:f>
        <ns0:v>0</ns0:v>
      </ns0:c>
      <ns0:c r="Z22" t="n">
        <ns0:f>IF($A22="",0,COUNTIFS($J$7:$J$406,$A22,$O$7:$O$406,"&lt;="&amp;Z$6,$P$7:$P$406,"&gt;="&amp;Z$6,$R$7:$R$406,"No"))</ns0:f>
        <ns0:v>0</ns0:v>
      </ns0:c>
      <ns0:c r="AA22" t="n">
        <ns0:f>IF($A22="",0,COUNTIFS($J$7:$J$406,$A22,$O$7:$O$406,"&lt;="&amp;AA$6,$P$7:$P$406,"&gt;="&amp;AA$6,$R$7:$R$406,"No"))</ns0:f>
        <ns0:v>0</ns0:v>
      </ns0:c>
      <ns0:c r="AB22" t="n">
        <ns0:f>IF($A22="",0,COUNTIFS($J$7:$J$406,$A22,$O$7:$O$406,"&lt;="&amp;AB$6,$P$7:$P$406,"&gt;="&amp;AB$6,$R$7:$R$406,"No"))</ns0:f>
        <ns0:v>0</ns0:v>
      </ns0:c>
      <ns0:c r="AC22" t="n">
        <ns0:f>IF($A22="",0,COUNTIFS($J$7:$J$406,$A22,$O$7:$O$406,"&lt;="&amp;AC$6,$P$7:$P$406,"&gt;="&amp;AC$6,$R$7:$R$406,"No"))</ns0:f>
        <ns0:v>0</ns0:v>
      </ns0:c>
      <ns0:c r="AD22" t="n">
        <ns0:f>IF($A22="",0,COUNTIFS($J$7:$J$406,$A22,$O$7:$O$406,"&lt;="&amp;AD$6,$P$7:$P$406,"&gt;="&amp;AD$6,$R$7:$R$406,"No"))</ns0:f>
        <ns0:v>0</ns0:v>
      </ns0:c>
      <ns0:c r="AE22" t="n">
        <ns0:f>IF($A22="",0,COUNTIFS($J$7:$J$406,$A22,$O$7:$O$406,"&lt;="&amp;AE$6,$P$7:$P$406,"&gt;="&amp;AE$6,$R$7:$R$406,"No"))</ns0:f>
        <ns0:v>1</ns0:v>
      </ns0:c>
      <ns0:c r="AF22" t="n">
        <ns0:f>IF($A22="",0,COUNTIFS($J$7:$J$406,$A22,$O$7:$O$406,"&lt;="&amp;AF$6,$P$7:$P$406,"&gt;="&amp;AF$6,$R$7:$R$406,"No"))</ns0:f>
        <ns0:v>1</ns0:v>
      </ns0:c>
      <ns0:c r="AG22" t="n">
        <ns0:f>IF($A22="",0,COUNTIFS($J$7:$J$406,$A22,$O$7:$O$406,"&lt;="&amp;AG$6,$P$7:$P$406,"&gt;="&amp;AG$6,$R$7:$R$406,"No"))</ns0:f>
        <ns0:v>0</ns0:v>
      </ns0:c>
      <ns0:c r="AH22" t="n">
        <ns0:f>IF($A22="",0,COUNTIFS($J$7:$J$406,$A22,$O$7:$O$406,"&lt;="&amp;AH$6,$P$7:$P$406,"&gt;="&amp;AH$6,$R$7:$R$406,"No"))</ns0:f>
        <ns0:v>0</ns0:v>
      </ns0:c>
      <ns0:c r="AI22" t="n">
        <ns0:f>IF($A22="",0,COUNTIFS($J$7:$J$406,$A22,$O$7:$O$406,"&lt;="&amp;AI$6,$P$7:$P$406,"&gt;="&amp;AI$6,$R$7:$R$406,"No"))</ns0:f>
        <ns0:v>0</ns0:v>
      </ns0:c>
      <ns0:c r="AJ22" t="n">
        <ns0:f>IF($A22="",0,COUNTIFS($J$7:$J$406,$A22,$O$7:$O$406,"&lt;="&amp;AJ$6,$P$7:$P$406,"&gt;="&amp;AJ$6,$R$7:$R$406,"No"))</ns0:f>
        <ns0:v>0</ns0:v>
      </ns0:c>
      <ns0:c r="AK22" t="n">
        <ns0:f>IF($A22="",0,COUNTIFS($J$7:$J$406,$A22,$O$7:$O$406,"&lt;="&amp;AK$6,$P$7:$P$406,"&gt;="&amp;AK$6,$R$7:$R$406,"No"))</ns0:f>
        <ns0:v>0</ns0:v>
      </ns0:c>
      <ns0:c r="AL22" t="n">
        <ns0:f>IF($A22="",0,COUNTIFS($J$7:$J$406,$A22,$O$7:$O$406,"&lt;="&amp;AL$6,$P$7:$P$406,"&gt;="&amp;AL$6,$R$7:$R$406,"No"))</ns0:f>
        <ns0:v>0</ns0:v>
      </ns0:c>
      <ns0:c r="AM22" t="n">
        <ns0:f>IF($A22="",0,COUNTIFS($J$7:$J$406,$A22,$O$7:$O$406,"&lt;="&amp;AM$6,$P$7:$P$406,"&gt;="&amp;AM$6,$R$7:$R$406,"No"))</ns0:f>
        <ns0:v>0</ns0:v>
      </ns0:c>
      <ns0:c r="AN22" t="n">
        <ns0:f>IF($A22="",0,COUNTIFS($J$7:$J$406,$A22,$O$7:$O$406,"&lt;="&amp;AN$6,$P$7:$P$406,"&gt;="&amp;AN$6,$R$7:$R$406,"No"))</ns0:f>
        <ns0:v>0</ns0:v>
      </ns0:c>
      <ns0:c r="AO22" t="n">
        <ns0:f>IF($A22="",0,COUNTIFS($J$7:$J$406,$A22,$O$7:$O$406,"&lt;="&amp;AO$6,$P$7:$P$406,"&gt;="&amp;AO$6,$R$7:$R$406,"No"))</ns0:f>
        <ns0:v>0</ns0:v>
      </ns0:c>
      <ns0:c r="AP22" t="n">
        <ns0:f>IF($A22="",0,COUNTIFS($J$7:$J$406,$A22,$O$7:$O$406,"&lt;="&amp;AP$6,$P$7:$P$406,"&gt;="&amp;AP$6,$R$7:$R$406,"No"))</ns0:f>
        <ns0:v>0</ns0:v>
      </ns0:c>
      <ns0:c r="AQ22" t="n">
        <ns0:f>IF($A22="",0,COUNTIFS($J$7:$J$406,$A22,$O$7:$O$406,"&lt;="&amp;AQ$6,$P$7:$P$406,"&gt;="&amp;AQ$6,$R$7:$R$406,"No"))</ns0:f>
        <ns0:v>0</ns0:v>
      </ns0:c>
      <ns0:c r="AR22" t="n">
        <ns0:f>IF($A22="",0,COUNTIFS($J$7:$J$406,$A22,$O$7:$O$406,"&lt;="&amp;AR$6,$P$7:$P$406,"&gt;="&amp;AR$6,$R$7:$R$406,"No"))</ns0:f>
        <ns0:v>0</ns0:v>
      </ns0:c>
      <ns0:c r="AS22" t="n">
        <ns0:f>IF($A22="",0,COUNTIFS($J$7:$J$406,$A22,$O$7:$O$406,"&lt;="&amp;AS$6,$P$7:$P$406,"&gt;="&amp;AS$6,$R$7:$R$406,"No"))</ns0:f>
        <ns0:v>0</ns0:v>
      </ns0:c>
      <ns0:c r="AT22" t="n">
        <ns0:f>IF($A22="",0,COUNTIFS($J$7:$J$406,$A22,$O$7:$O$406,"&lt;="&amp;AT$6,$P$7:$P$406,"&gt;="&amp;AT$6,$R$7:$R$406,"No"))</ns0:f>
        <ns0:v>0</ns0:v>
      </ns0:c>
      <ns0:c r="AU22" t="n">
        <ns0:f>IF($A22="",0,COUNTIFS($J$7:$J$406,$A22,$O$7:$O$406,"&lt;="&amp;AU$6,$P$7:$P$406,"&gt;="&amp;AU$6,$R$7:$R$406,"No"))</ns0:f>
        <ns0:v>0</ns0:v>
      </ns0:c>
      <ns0:c r="AV22" t="n">
        <ns0:f>IF($A22="",0,COUNTIFS($J$7:$J$406,$A22,$O$7:$O$406,"&lt;="&amp;AV$6,$P$7:$P$406,"&gt;="&amp;AV$6,$R$7:$R$406,"No"))</ns0:f>
        <ns0:v>0</ns0:v>
      </ns0:c>
      <ns0:c r="AW22" t="n">
        <ns0:f>IF($A22="",0,COUNTIFS($J$7:$J$406,$A22,$O$7:$O$406,"&lt;="&amp;AW$6,$P$7:$P$406,"&gt;="&amp;AW$6,$R$7:$R$406,"No"))</ns0:f>
        <ns0:v>0</ns0:v>
      </ns0:c>
      <ns0:c r="AX22" t="n">
        <ns0:f>IF($A22="",0,COUNTIFS($J$7:$J$406,$A22,$O$7:$O$406,"&lt;="&amp;AX$6,$P$7:$P$406,"&gt;="&amp;AX$6,$R$7:$R$406,"No"))</ns0:f>
        <ns0:v>0</ns0:v>
      </ns0:c>
      <ns0:c r="AY22" t="n">
        <ns0:f>IF($A22="",0,COUNTIFS($J$7:$J$406,$A22,$O$7:$O$406,"&lt;="&amp;AY$6,$P$7:$P$406,"&gt;="&amp;AY$6,$R$7:$R$406,"No"))</ns0:f>
        <ns0:v>0</ns0:v>
      </ns0:c>
      <ns0:c r="AZ22" t="n">
        <ns0:f>IF($A22="",0,COUNTIFS($J$7:$J$406,$A22,$O$7:$O$406,"&lt;="&amp;AZ$6,$P$7:$P$406,"&gt;="&amp;AZ$6,$R$7:$R$406,"No"))</ns0:f>
        <ns0:v>0</ns0:v>
      </ns0:c>
      <ns0:c r="BA22" t="n">
        <ns0:f>IF($A22="",0,COUNTIFS($J$7:$J$406,$A22,$O$7:$O$406,"&lt;="&amp;BA$6,$P$7:$P$406,"&gt;="&amp;BA$6,$R$7:$R$406,"No"))</ns0:f>
        <ns0:v>0</ns0:v>
      </ns0:c>
      <ns0:c r="BB22" t="n">
        <ns0:f>IF($A22="",0,COUNTIFS($J$7:$J$406,$A22,$O$7:$O$406,"&lt;="&amp;BB$6,$P$7:$P$406,"&gt;="&amp;BB$6,$R$7:$R$406,"No"))</ns0:f>
        <ns0:v>0</ns0:v>
      </ns0:c>
      <ns0:c r="BC22" t="n">
        <ns0:f>IF($A22="",0,COUNTIFS($J$7:$J$406,$A22,$O$7:$O$406,"&lt;="&amp;BC$6,$P$7:$P$406,"&gt;="&amp;BC$6,$R$7:$R$406,"No"))</ns0:f>
        <ns0:v>0</ns0:v>
      </ns0:c>
    </ns0:row>
    <ns0:row r="23" ht="48" customHeight="1">
      <ns0:c r="A23" s="8" t="str">
        <ns0:f>IF(ROW()-6&gt;MAX($K$7:$K$406),"",INDEX($J$7:$J$406,MATCH(ROW()-6,$K$7:$K$406,0)))</ns0:f>
        <ns0:v>Customer Voice Engine (W_VOICE)</ns0:v>
      </ns0:c>
      <ns0:c r="B23" s="8" t="n">
        <ns0:f>IF(A23="","",COUNTIFS($J$7:$J$406,$A23))</ns0:f>
        <ns0:v>1</ns0:v>
      </ns0:c>
      <ns0:c r="C23" s="8" t="n">
        <ns0:f>IF(A23="","",COUNTIFS($J$7:$J$406,$A23,$N$7:$N$406,1))</ns0:f>
        <ns0:v>0</ns0:v>
      </ns0:c>
      <ns0:c r="D23" s="8" t="n">
        <ns0:f>IF(A23="","",COUNTIFS($J$7:$J$406,$A23,$Q$7:$Q$406,"In Progress"))</ns0:f>
        <ns0:v>0</ns0:v>
      </ns0:c>
      <ns0:c r="E23" s="8" t="n">
        <ns0:f>IF(A23="","",B23-C23)</ns0:f>
        <ns0:v>1</ns0:v>
      </ns0:c>
      <ns0:c r="F23" s="19" t="n">
        <ns0:f>IF(A23="","",SUMIFS($N$7:$N$406,$J$7:$J$406,$A23)/B23)</ns0:f>
        <ns0:v>0</ns0:v>
      </ns0:c>
      <ns0:c r="G23" s="8" t="n">
        <ns0:f>IF(A23="","",COUNTIFS(V23:BC23,"&gt;1"))</ns0:f>
        <ns0:v>0</ns0:v>
      </ns0:c>
      <ns0:c r="H23" s="8" t="str">
        <ns0:f>IF(A23="","",IF(COUNTIFS($T$7:$T$33,A23)&gt;0,INDEX($U$7:$U$33,MATCH(A23,$T$7:$T$33,0)),"No capacity or responsibility detail supplied."))</ns0:f>
        <ns0:v>Domain worker; ingests customer reviews, support tickets, and analyzes sentiment and objection patterns.</ns0:v>
      </ns0:c>
      <ns0:c r="J23" t="str">
        <ns0:f>IF('Project Tracker'!A11="","",TRIM(MID(SUBSTITUTE('Project Tracker'!K11,";",REPT(" ",150)),1,150)))</ns0:f>
        <ns0:v>Unassigned</ns0:v>
      </ns0:c>
      <ns0:c r="K23" t="n">
        <ns0:f>IF(J23="","",IF(COUNTIFS($J$7:J23,J23)=1,MAX($K$6:K22)+1,""))</ns0:f>
        <ns0:v>5</ns0:v>
      </ns0:c>
      <ns0:c r="L23" t="n">
        <ns0:f>IF(A23="",0,B23+(107-ROW())/1000)</ns0:f>
        <ns0:v>1.084</ns0:v>
      </ns0:c>
      <ns0:c r="M23" t="str">
        <ns0:f>IF(J23="","",'Project Tracker'!A11)</ns0:f>
        <ns0:v>M1</ns0:v>
      </ns0:c>
      <ns0:c r="N23" t="n">
        <ns0:f>IF(J23="","",'Project Tracker'!N11)</ns0:f>
        <ns0:v>0</ns0:v>
      </ns0:c>
      <ns0:c r="O23" t="n">
        <ns0:f>IF(J23="","",'Project Tracker'!E11)</ns0:f>
        <ns0:v>46279</ns0:v>
      </ns0:c>
      <ns0:c r="P23" t="n">
        <ns0:f>IF(J23="","",'Project Tracker'!F11)</ns0:f>
        <ns0:v>46279</ns0:v>
      </ns0:c>
      <ns0:c r="Q23" t="str">
        <ns0:f>IF(J23="","",'Project Tracker'!Q11)</ns0:f>
        <ns0:v>Not Started</ns0:v>
      </ns0:c>
      <ns0:c r="R23" t="str">
        <ns0:f>IF(J23="","",'Project Tracker'!J11)</ns0:f>
        <ns0:v>Yes</ns0:v>
      </ns0:c>
      <ns0:c r="T23" t="str">
        <ns0:v>Strategy Engine (W_STRAT)</ns0:v>
      </ns0:c>
      <ns0:c r="U23" t="str">
        <ns0:v>Domain worker; formulates omnichannel roadmaps, funnel structures, and budget allocation proposals.</ns0:v>
      </ns0:c>
      <ns0:c r="V23" t="n">
        <ns0:f>IF($A23="",0,COUNTIFS($J$7:$J$406,$A23,$O$7:$O$406,"&lt;="&amp;V$6,$P$7:$P$406,"&gt;="&amp;V$6,$R$7:$R$406,"No"))</ns0:f>
        <ns0:v>0</ns0:v>
      </ns0:c>
      <ns0:c r="W23" t="n">
        <ns0:f>IF($A23="",0,COUNTIFS($J$7:$J$406,$A23,$O$7:$O$406,"&lt;="&amp;W$6,$P$7:$P$406,"&gt;="&amp;W$6,$R$7:$R$406,"No"))</ns0:f>
        <ns0:v>0</ns0:v>
      </ns0:c>
      <ns0:c r="X23" t="n">
        <ns0:f>IF($A23="",0,COUNTIFS($J$7:$J$406,$A23,$O$7:$O$406,"&lt;="&amp;X$6,$P$7:$P$406,"&gt;="&amp;X$6,$R$7:$R$406,"No"))</ns0:f>
        <ns0:v>0</ns0:v>
      </ns0:c>
      <ns0:c r="Y23" t="n">
        <ns0:f>IF($A23="",0,COUNTIFS($J$7:$J$406,$A23,$O$7:$O$406,"&lt;="&amp;Y$6,$P$7:$P$406,"&gt;="&amp;Y$6,$R$7:$R$406,"No"))</ns0:f>
        <ns0:v>0</ns0:v>
      </ns0:c>
      <ns0:c r="Z23" t="n">
        <ns0:f>IF($A23="",0,COUNTIFS($J$7:$J$406,$A23,$O$7:$O$406,"&lt;="&amp;Z$6,$P$7:$P$406,"&gt;="&amp;Z$6,$R$7:$R$406,"No"))</ns0:f>
        <ns0:v>0</ns0:v>
      </ns0:c>
      <ns0:c r="AA23" t="n">
        <ns0:f>IF($A23="",0,COUNTIFS($J$7:$J$406,$A23,$O$7:$O$406,"&lt;="&amp;AA$6,$P$7:$P$406,"&gt;="&amp;AA$6,$R$7:$R$406,"No"))</ns0:f>
        <ns0:v>0</ns0:v>
      </ns0:c>
      <ns0:c r="AB23" t="n">
        <ns0:f>IF($A23="",0,COUNTIFS($J$7:$J$406,$A23,$O$7:$O$406,"&lt;="&amp;AB$6,$P$7:$P$406,"&gt;="&amp;AB$6,$R$7:$R$406,"No"))</ns0:f>
        <ns0:v>0</ns0:v>
      </ns0:c>
      <ns0:c r="AC23" t="n">
        <ns0:f>IF($A23="",0,COUNTIFS($J$7:$J$406,$A23,$O$7:$O$406,"&lt;="&amp;AC$6,$P$7:$P$406,"&gt;="&amp;AC$6,$R$7:$R$406,"No"))</ns0:f>
        <ns0:v>0</ns0:v>
      </ns0:c>
      <ns0:c r="AD23" t="n">
        <ns0:f>IF($A23="",0,COUNTIFS($J$7:$J$406,$A23,$O$7:$O$406,"&lt;="&amp;AD$6,$P$7:$P$406,"&gt;="&amp;AD$6,$R$7:$R$406,"No"))</ns0:f>
        <ns0:v>0</ns0:v>
      </ns0:c>
      <ns0:c r="AE23" t="n">
        <ns0:f>IF($A23="",0,COUNTIFS($J$7:$J$406,$A23,$O$7:$O$406,"&lt;="&amp;AE$6,$P$7:$P$406,"&gt;="&amp;AE$6,$R$7:$R$406,"No"))</ns0:f>
        <ns0:v>1</ns0:v>
      </ns0:c>
      <ns0:c r="AF23" t="n">
        <ns0:f>IF($A23="",0,COUNTIFS($J$7:$J$406,$A23,$O$7:$O$406,"&lt;="&amp;AF$6,$P$7:$P$406,"&gt;="&amp;AF$6,$R$7:$R$406,"No"))</ns0:f>
        <ns0:v>1</ns0:v>
      </ns0:c>
      <ns0:c r="AG23" t="n">
        <ns0:f>IF($A23="",0,COUNTIFS($J$7:$J$406,$A23,$O$7:$O$406,"&lt;="&amp;AG$6,$P$7:$P$406,"&gt;="&amp;AG$6,$R$7:$R$406,"No"))</ns0:f>
        <ns0:v>0</ns0:v>
      </ns0:c>
      <ns0:c r="AH23" t="n">
        <ns0:f>IF($A23="",0,COUNTIFS($J$7:$J$406,$A23,$O$7:$O$406,"&lt;="&amp;AH$6,$P$7:$P$406,"&gt;="&amp;AH$6,$R$7:$R$406,"No"))</ns0:f>
        <ns0:v>0</ns0:v>
      </ns0:c>
      <ns0:c r="AI23" t="n">
        <ns0:f>IF($A23="",0,COUNTIFS($J$7:$J$406,$A23,$O$7:$O$406,"&lt;="&amp;AI$6,$P$7:$P$406,"&gt;="&amp;AI$6,$R$7:$R$406,"No"))</ns0:f>
        <ns0:v>0</ns0:v>
      </ns0:c>
      <ns0:c r="AJ23" t="n">
        <ns0:f>IF($A23="",0,COUNTIFS($J$7:$J$406,$A23,$O$7:$O$406,"&lt;="&amp;AJ$6,$P$7:$P$406,"&gt;="&amp;AJ$6,$R$7:$R$406,"No"))</ns0:f>
        <ns0:v>0</ns0:v>
      </ns0:c>
      <ns0:c r="AK23" t="n">
        <ns0:f>IF($A23="",0,COUNTIFS($J$7:$J$406,$A23,$O$7:$O$406,"&lt;="&amp;AK$6,$P$7:$P$406,"&gt;="&amp;AK$6,$R$7:$R$406,"No"))</ns0:f>
        <ns0:v>0</ns0:v>
      </ns0:c>
      <ns0:c r="AL23" t="n">
        <ns0:f>IF($A23="",0,COUNTIFS($J$7:$J$406,$A23,$O$7:$O$406,"&lt;="&amp;AL$6,$P$7:$P$406,"&gt;="&amp;AL$6,$R$7:$R$406,"No"))</ns0:f>
        <ns0:v>0</ns0:v>
      </ns0:c>
      <ns0:c r="AM23" t="n">
        <ns0:f>IF($A23="",0,COUNTIFS($J$7:$J$406,$A23,$O$7:$O$406,"&lt;="&amp;AM$6,$P$7:$P$406,"&gt;="&amp;AM$6,$R$7:$R$406,"No"))</ns0:f>
        <ns0:v>0</ns0:v>
      </ns0:c>
      <ns0:c r="AN23" t="n">
        <ns0:f>IF($A23="",0,COUNTIFS($J$7:$J$406,$A23,$O$7:$O$406,"&lt;="&amp;AN$6,$P$7:$P$406,"&gt;="&amp;AN$6,$R$7:$R$406,"No"))</ns0:f>
        <ns0:v>0</ns0:v>
      </ns0:c>
      <ns0:c r="AO23" t="n">
        <ns0:f>IF($A23="",0,COUNTIFS($J$7:$J$406,$A23,$O$7:$O$406,"&lt;="&amp;AO$6,$P$7:$P$406,"&gt;="&amp;AO$6,$R$7:$R$406,"No"))</ns0:f>
        <ns0:v>0</ns0:v>
      </ns0:c>
      <ns0:c r="AP23" t="n">
        <ns0:f>IF($A23="",0,COUNTIFS($J$7:$J$406,$A23,$O$7:$O$406,"&lt;="&amp;AP$6,$P$7:$P$406,"&gt;="&amp;AP$6,$R$7:$R$406,"No"))</ns0:f>
        <ns0:v>0</ns0:v>
      </ns0:c>
      <ns0:c r="AQ23" t="n">
        <ns0:f>IF($A23="",0,COUNTIFS($J$7:$J$406,$A23,$O$7:$O$406,"&lt;="&amp;AQ$6,$P$7:$P$406,"&gt;="&amp;AQ$6,$R$7:$R$406,"No"))</ns0:f>
        <ns0:v>0</ns0:v>
      </ns0:c>
      <ns0:c r="AR23" t="n">
        <ns0:f>IF($A23="",0,COUNTIFS($J$7:$J$406,$A23,$O$7:$O$406,"&lt;="&amp;AR$6,$P$7:$P$406,"&gt;="&amp;AR$6,$R$7:$R$406,"No"))</ns0:f>
        <ns0:v>0</ns0:v>
      </ns0:c>
      <ns0:c r="AS23" t="n">
        <ns0:f>IF($A23="",0,COUNTIFS($J$7:$J$406,$A23,$O$7:$O$406,"&lt;="&amp;AS$6,$P$7:$P$406,"&gt;="&amp;AS$6,$R$7:$R$406,"No"))</ns0:f>
        <ns0:v>0</ns0:v>
      </ns0:c>
      <ns0:c r="AT23" t="n">
        <ns0:f>IF($A23="",0,COUNTIFS($J$7:$J$406,$A23,$O$7:$O$406,"&lt;="&amp;AT$6,$P$7:$P$406,"&gt;="&amp;AT$6,$R$7:$R$406,"No"))</ns0:f>
        <ns0:v>0</ns0:v>
      </ns0:c>
      <ns0:c r="AU23" t="n">
        <ns0:f>IF($A23="",0,COUNTIFS($J$7:$J$406,$A23,$O$7:$O$406,"&lt;="&amp;AU$6,$P$7:$P$406,"&gt;="&amp;AU$6,$R$7:$R$406,"No"))</ns0:f>
        <ns0:v>0</ns0:v>
      </ns0:c>
      <ns0:c r="AV23" t="n">
        <ns0:f>IF($A23="",0,COUNTIFS($J$7:$J$406,$A23,$O$7:$O$406,"&lt;="&amp;AV$6,$P$7:$P$406,"&gt;="&amp;AV$6,$R$7:$R$406,"No"))</ns0:f>
        <ns0:v>0</ns0:v>
      </ns0:c>
      <ns0:c r="AW23" t="n">
        <ns0:f>IF($A23="",0,COUNTIFS($J$7:$J$406,$A23,$O$7:$O$406,"&lt;="&amp;AW$6,$P$7:$P$406,"&gt;="&amp;AW$6,$R$7:$R$406,"No"))</ns0:f>
        <ns0:v>0</ns0:v>
      </ns0:c>
      <ns0:c r="AX23" t="n">
        <ns0:f>IF($A23="",0,COUNTIFS($J$7:$J$406,$A23,$O$7:$O$406,"&lt;="&amp;AX$6,$P$7:$P$406,"&gt;="&amp;AX$6,$R$7:$R$406,"No"))</ns0:f>
        <ns0:v>0</ns0:v>
      </ns0:c>
      <ns0:c r="AY23" t="n">
        <ns0:f>IF($A23="",0,COUNTIFS($J$7:$J$406,$A23,$O$7:$O$406,"&lt;="&amp;AY$6,$P$7:$P$406,"&gt;="&amp;AY$6,$R$7:$R$406,"No"))</ns0:f>
        <ns0:v>0</ns0:v>
      </ns0:c>
      <ns0:c r="AZ23" t="n">
        <ns0:f>IF($A23="",0,COUNTIFS($J$7:$J$406,$A23,$O$7:$O$406,"&lt;="&amp;AZ$6,$P$7:$P$406,"&gt;="&amp;AZ$6,$R$7:$R$406,"No"))</ns0:f>
        <ns0:v>0</ns0:v>
      </ns0:c>
      <ns0:c r="BA23" t="n">
        <ns0:f>IF($A23="",0,COUNTIFS($J$7:$J$406,$A23,$O$7:$O$406,"&lt;="&amp;BA$6,$P$7:$P$406,"&gt;="&amp;BA$6,$R$7:$R$406,"No"))</ns0:f>
        <ns0:v>0</ns0:v>
      </ns0:c>
      <ns0:c r="BB23" t="n">
        <ns0:f>IF($A23="",0,COUNTIFS($J$7:$J$406,$A23,$O$7:$O$406,"&lt;="&amp;BB$6,$P$7:$P$406,"&gt;="&amp;BB$6,$R$7:$R$406,"No"))</ns0:f>
        <ns0:v>0</ns0:v>
      </ns0:c>
      <ns0:c r="BC23" t="n">
        <ns0:f>IF($A23="",0,COUNTIFS($J$7:$J$406,$A23,$O$7:$O$406,"&lt;="&amp;BC$6,$P$7:$P$406,"&gt;="&amp;BC$6,$R$7:$R$406,"No"))</ns0:f>
        <ns0:v>0</ns0:v>
      </ns0:c>
    </ns0:row>
    <ns0:row r="24" ht="48" customHeight="1">
      <ns0:c r="A24" s="8" t="str">
        <ns0:f>IF(ROW()-6&gt;MAX($K$7:$K$406),"",INDEX($J$7:$J$406,MATCH(ROW()-6,$K$7:$K$406,0)))</ns0:f>
        <ns0:v>Competitor Intel Engine (W_COMP)</ns0:v>
      </ns0:c>
      <ns0:c r="B24" s="8" t="n">
        <ns0:f>IF(A24="","",COUNTIFS($J$7:$J$406,$A24))</ns0:f>
        <ns0:v>1</ns0:v>
      </ns0:c>
      <ns0:c r="C24" s="8" t="n">
        <ns0:f>IF(A24="","",COUNTIFS($J$7:$J$406,$A24,$N$7:$N$406,1))</ns0:f>
        <ns0:v>0</ns0:v>
      </ns0:c>
      <ns0:c r="D24" s="8" t="n">
        <ns0:f>IF(A24="","",COUNTIFS($J$7:$J$406,$A24,$Q$7:$Q$406,"In Progress"))</ns0:f>
        <ns0:v>0</ns0:v>
      </ns0:c>
      <ns0:c r="E24" s="8" t="n">
        <ns0:f>IF(A24="","",B24-C24)</ns0:f>
        <ns0:v>1</ns0:v>
      </ns0:c>
      <ns0:c r="F24" s="19" t="n">
        <ns0:f>IF(A24="","",SUMIFS($N$7:$N$406,$J$7:$J$406,$A24)/B24)</ns0:f>
        <ns0:v>0</ns0:v>
      </ns0:c>
      <ns0:c r="G24" s="8" t="n">
        <ns0:f>IF(A24="","",COUNTIFS(V24:BC24,"&gt;1"))</ns0:f>
        <ns0:v>0</ns0:v>
      </ns0:c>
      <ns0:c r="H24" s="8" t="str">
        <ns0:f>IF(A24="","",IF(COUNTIFS($T$7:$T$33,A24)&gt;0,INDEX($U$7:$U$33,MATCH(A24,$T$7:$T$33,0)),"No capacity or responsibility detail supplied."))</ns0:f>
        <ns0:v>Domain worker; monitors competitor pricing, ad copy trends, and positioning shifts.</ns0:v>
      </ns0:c>
      <ns0:c r="J24" t="str">
        <ns0:f>IF('Project Tracker'!A11="","",TRIM(MID(SUBSTITUTE('Project Tracker'!K11,";",REPT(" ",150)),151,150)))</ns0:f>
      </ns0:c>
      <ns0:c r="K24" t="str">
        <ns0:f>IF(J24="","",IF(COUNTIFS($J$7:J24,J24)=1,MAX($K$6:K23)+1,""))</ns0:f>
      </ns0:c>
      <ns0:c r="L24" t="n">
        <ns0:f>IF(A24="",0,B24+(107-ROW())/1000)</ns0:f>
        <ns0:v>1.083</ns0:v>
      </ns0:c>
      <ns0:c r="M24" t="str">
        <ns0:f>IF(J24="","",'Project Tracker'!A11)</ns0:f>
      </ns0:c>
      <ns0:c r="N24" t="str">
        <ns0:f>IF(J24="","",'Project Tracker'!N11)</ns0:f>
      </ns0:c>
      <ns0:c r="O24" t="str">
        <ns0:f>IF(J24="","",'Project Tracker'!E11)</ns0:f>
      </ns0:c>
      <ns0:c r="P24" t="str">
        <ns0:f>IF(J24="","",'Project Tracker'!F11)</ns0:f>
      </ns0:c>
      <ns0:c r="Q24" t="str">
        <ns0:f>IF(J24="","",'Project Tracker'!Q11)</ns0:f>
      </ns0:c>
      <ns0:c r="R24" t="str">
        <ns0:f>IF(J24="","",'Project Tracker'!J11)</ns0:f>
      </ns0:c>
      <ns0:c r="T24" t="str">
        <ns0:v>Creative &amp; Content Engine (W_CREAT)</ns0:v>
      </ns0:c>
      <ns0:c r="U24" t="str">
        <ns0:v>Domain worker; drafts multi-channel copy, creative hooks, visual briefs, and social media schedules.</ns0:v>
      </ns0:c>
      <ns0:c r="V24" t="n">
        <ns0:f>IF($A24="",0,COUNTIFS($J$7:$J$406,$A24,$O$7:$O$406,"&lt;="&amp;V$6,$P$7:$P$406,"&gt;="&amp;V$6,$R$7:$R$406,"No"))</ns0:f>
        <ns0:v>0</ns0:v>
      </ns0:c>
      <ns0:c r="W24" t="n">
        <ns0:f>IF($A24="",0,COUNTIFS($J$7:$J$406,$A24,$O$7:$O$406,"&lt;="&amp;W$6,$P$7:$P$406,"&gt;="&amp;W$6,$R$7:$R$406,"No"))</ns0:f>
        <ns0:v>0</ns0:v>
      </ns0:c>
      <ns0:c r="X24" t="n">
        <ns0:f>IF($A24="",0,COUNTIFS($J$7:$J$406,$A24,$O$7:$O$406,"&lt;="&amp;X$6,$P$7:$P$406,"&gt;="&amp;X$6,$R$7:$R$406,"No"))</ns0:f>
        <ns0:v>0</ns0:v>
      </ns0:c>
      <ns0:c r="Y24" t="n">
        <ns0:f>IF($A24="",0,COUNTIFS($J$7:$J$406,$A24,$O$7:$O$406,"&lt;="&amp;Y$6,$P$7:$P$406,"&gt;="&amp;Y$6,$R$7:$R$406,"No"))</ns0:f>
        <ns0:v>0</ns0:v>
      </ns0:c>
      <ns0:c r="Z24" t="n">
        <ns0:f>IF($A24="",0,COUNTIFS($J$7:$J$406,$A24,$O$7:$O$406,"&lt;="&amp;Z$6,$P$7:$P$406,"&gt;="&amp;Z$6,$R$7:$R$406,"No"))</ns0:f>
        <ns0:v>0</ns0:v>
      </ns0:c>
      <ns0:c r="AA24" t="n">
        <ns0:f>IF($A24="",0,COUNTIFS($J$7:$J$406,$A24,$O$7:$O$406,"&lt;="&amp;AA$6,$P$7:$P$406,"&gt;="&amp;AA$6,$R$7:$R$406,"No"))</ns0:f>
        <ns0:v>0</ns0:v>
      </ns0:c>
      <ns0:c r="AB24" t="n">
        <ns0:f>IF($A24="",0,COUNTIFS($J$7:$J$406,$A24,$O$7:$O$406,"&lt;="&amp;AB$6,$P$7:$P$406,"&gt;="&amp;AB$6,$R$7:$R$406,"No"))</ns0:f>
        <ns0:v>0</ns0:v>
      </ns0:c>
      <ns0:c r="AC24" t="n">
        <ns0:f>IF($A24="",0,COUNTIFS($J$7:$J$406,$A24,$O$7:$O$406,"&lt;="&amp;AC$6,$P$7:$P$406,"&gt;="&amp;AC$6,$R$7:$R$406,"No"))</ns0:f>
        <ns0:v>0</ns0:v>
      </ns0:c>
      <ns0:c r="AD24" t="n">
        <ns0:f>IF($A24="",0,COUNTIFS($J$7:$J$406,$A24,$O$7:$O$406,"&lt;="&amp;AD$6,$P$7:$P$406,"&gt;="&amp;AD$6,$R$7:$R$406,"No"))</ns0:f>
        <ns0:v>0</ns0:v>
      </ns0:c>
      <ns0:c r="AE24" t="n">
        <ns0:f>IF($A24="",0,COUNTIFS($J$7:$J$406,$A24,$O$7:$O$406,"&lt;="&amp;AE$6,$P$7:$P$406,"&gt;="&amp;AE$6,$R$7:$R$406,"No"))</ns0:f>
        <ns0:v>1</ns0:v>
      </ns0:c>
      <ns0:c r="AF24" t="n">
        <ns0:f>IF($A24="",0,COUNTIFS($J$7:$J$406,$A24,$O$7:$O$406,"&lt;="&amp;AF$6,$P$7:$P$406,"&gt;="&amp;AF$6,$R$7:$R$406,"No"))</ns0:f>
        <ns0:v>1</ns0:v>
      </ns0:c>
      <ns0:c r="AG24" t="n">
        <ns0:f>IF($A24="",0,COUNTIFS($J$7:$J$406,$A24,$O$7:$O$406,"&lt;="&amp;AG$6,$P$7:$P$406,"&gt;="&amp;AG$6,$R$7:$R$406,"No"))</ns0:f>
        <ns0:v>0</ns0:v>
      </ns0:c>
      <ns0:c r="AH24" t="n">
        <ns0:f>IF($A24="",0,COUNTIFS($J$7:$J$406,$A24,$O$7:$O$406,"&lt;="&amp;AH$6,$P$7:$P$406,"&gt;="&amp;AH$6,$R$7:$R$406,"No"))</ns0:f>
        <ns0:v>0</ns0:v>
      </ns0:c>
      <ns0:c r="AI24" t="n">
        <ns0:f>IF($A24="",0,COUNTIFS($J$7:$J$406,$A24,$O$7:$O$406,"&lt;="&amp;AI$6,$P$7:$P$406,"&gt;="&amp;AI$6,$R$7:$R$406,"No"))</ns0:f>
        <ns0:v>0</ns0:v>
      </ns0:c>
      <ns0:c r="AJ24" t="n">
        <ns0:f>IF($A24="",0,COUNTIFS($J$7:$J$406,$A24,$O$7:$O$406,"&lt;="&amp;AJ$6,$P$7:$P$406,"&gt;="&amp;AJ$6,$R$7:$R$406,"No"))</ns0:f>
        <ns0:v>0</ns0:v>
      </ns0:c>
      <ns0:c r="AK24" t="n">
        <ns0:f>IF($A24="",0,COUNTIFS($J$7:$J$406,$A24,$O$7:$O$406,"&lt;="&amp;AK$6,$P$7:$P$406,"&gt;="&amp;AK$6,$R$7:$R$406,"No"))</ns0:f>
        <ns0:v>0</ns0:v>
      </ns0:c>
      <ns0:c r="AL24" t="n">
        <ns0:f>IF($A24="",0,COUNTIFS($J$7:$J$406,$A24,$O$7:$O$406,"&lt;="&amp;AL$6,$P$7:$P$406,"&gt;="&amp;AL$6,$R$7:$R$406,"No"))</ns0:f>
        <ns0:v>0</ns0:v>
      </ns0:c>
      <ns0:c r="AM24" t="n">
        <ns0:f>IF($A24="",0,COUNTIFS($J$7:$J$406,$A24,$O$7:$O$406,"&lt;="&amp;AM$6,$P$7:$P$406,"&gt;="&amp;AM$6,$R$7:$R$406,"No"))</ns0:f>
        <ns0:v>0</ns0:v>
      </ns0:c>
      <ns0:c r="AN24" t="n">
        <ns0:f>IF($A24="",0,COUNTIFS($J$7:$J$406,$A24,$O$7:$O$406,"&lt;="&amp;AN$6,$P$7:$P$406,"&gt;="&amp;AN$6,$R$7:$R$406,"No"))</ns0:f>
        <ns0:v>0</ns0:v>
      </ns0:c>
      <ns0:c r="AO24" t="n">
        <ns0:f>IF($A24="",0,COUNTIFS($J$7:$J$406,$A24,$O$7:$O$406,"&lt;="&amp;AO$6,$P$7:$P$406,"&gt;="&amp;AO$6,$R$7:$R$406,"No"))</ns0:f>
        <ns0:v>0</ns0:v>
      </ns0:c>
      <ns0:c r="AP24" t="n">
        <ns0:f>IF($A24="",0,COUNTIFS($J$7:$J$406,$A24,$O$7:$O$406,"&lt;="&amp;AP$6,$P$7:$P$406,"&gt;="&amp;AP$6,$R$7:$R$406,"No"))</ns0:f>
        <ns0:v>0</ns0:v>
      </ns0:c>
      <ns0:c r="AQ24" t="n">
        <ns0:f>IF($A24="",0,COUNTIFS($J$7:$J$406,$A24,$O$7:$O$406,"&lt;="&amp;AQ$6,$P$7:$P$406,"&gt;="&amp;AQ$6,$R$7:$R$406,"No"))</ns0:f>
        <ns0:v>0</ns0:v>
      </ns0:c>
      <ns0:c r="AR24" t="n">
        <ns0:f>IF($A24="",0,COUNTIFS($J$7:$J$406,$A24,$O$7:$O$406,"&lt;="&amp;AR$6,$P$7:$P$406,"&gt;="&amp;AR$6,$R$7:$R$406,"No"))</ns0:f>
        <ns0:v>0</ns0:v>
      </ns0:c>
      <ns0:c r="AS24" t="n">
        <ns0:f>IF($A24="",0,COUNTIFS($J$7:$J$406,$A24,$O$7:$O$406,"&lt;="&amp;AS$6,$P$7:$P$406,"&gt;="&amp;AS$6,$R$7:$R$406,"No"))</ns0:f>
        <ns0:v>0</ns0:v>
      </ns0:c>
      <ns0:c r="AT24" t="n">
        <ns0:f>IF($A24="",0,COUNTIFS($J$7:$J$406,$A24,$O$7:$O$406,"&lt;="&amp;AT$6,$P$7:$P$406,"&gt;="&amp;AT$6,$R$7:$R$406,"No"))</ns0:f>
        <ns0:v>0</ns0:v>
      </ns0:c>
      <ns0:c r="AU24" t="n">
        <ns0:f>IF($A24="",0,COUNTIFS($J$7:$J$406,$A24,$O$7:$O$406,"&lt;="&amp;AU$6,$P$7:$P$406,"&gt;="&amp;AU$6,$R$7:$R$406,"No"))</ns0:f>
        <ns0:v>0</ns0:v>
      </ns0:c>
      <ns0:c r="AV24" t="n">
        <ns0:f>IF($A24="",0,COUNTIFS($J$7:$J$406,$A24,$O$7:$O$406,"&lt;="&amp;AV$6,$P$7:$P$406,"&gt;="&amp;AV$6,$R$7:$R$406,"No"))</ns0:f>
        <ns0:v>0</ns0:v>
      </ns0:c>
      <ns0:c r="AW24" t="n">
        <ns0:f>IF($A24="",0,COUNTIFS($J$7:$J$406,$A24,$O$7:$O$406,"&lt;="&amp;AW$6,$P$7:$P$406,"&gt;="&amp;AW$6,$R$7:$R$406,"No"))</ns0:f>
        <ns0:v>0</ns0:v>
      </ns0:c>
      <ns0:c r="AX24" t="n">
        <ns0:f>IF($A24="",0,COUNTIFS($J$7:$J$406,$A24,$O$7:$O$406,"&lt;="&amp;AX$6,$P$7:$P$406,"&gt;="&amp;AX$6,$R$7:$R$406,"No"))</ns0:f>
        <ns0:v>0</ns0:v>
      </ns0:c>
      <ns0:c r="AY24" t="n">
        <ns0:f>IF($A24="",0,COUNTIFS($J$7:$J$406,$A24,$O$7:$O$406,"&lt;="&amp;AY$6,$P$7:$P$406,"&gt;="&amp;AY$6,$R$7:$R$406,"No"))</ns0:f>
        <ns0:v>0</ns0:v>
      </ns0:c>
      <ns0:c r="AZ24" t="n">
        <ns0:f>IF($A24="",0,COUNTIFS($J$7:$J$406,$A24,$O$7:$O$406,"&lt;="&amp;AZ$6,$P$7:$P$406,"&gt;="&amp;AZ$6,$R$7:$R$406,"No"))</ns0:f>
        <ns0:v>0</ns0:v>
      </ns0:c>
      <ns0:c r="BA24" t="n">
        <ns0:f>IF($A24="",0,COUNTIFS($J$7:$J$406,$A24,$O$7:$O$406,"&lt;="&amp;BA$6,$P$7:$P$406,"&gt;="&amp;BA$6,$R$7:$R$406,"No"))</ns0:f>
        <ns0:v>0</ns0:v>
      </ns0:c>
      <ns0:c r="BB24" t="n">
        <ns0:f>IF($A24="",0,COUNTIFS($J$7:$J$406,$A24,$O$7:$O$406,"&lt;="&amp;BB$6,$P$7:$P$406,"&gt;="&amp;BB$6,$R$7:$R$406,"No"))</ns0:f>
        <ns0:v>0</ns0:v>
      </ns0:c>
      <ns0:c r="BC24" t="n">
        <ns0:f>IF($A24="",0,COUNTIFS($J$7:$J$406,$A24,$O$7:$O$406,"&lt;="&amp;BC$6,$P$7:$P$406,"&gt;="&amp;BC$6,$R$7:$R$406,"No"))</ns0:f>
        <ns0:v>0</ns0:v>
      </ns0:c>
    </ns0:row>
    <ns0:row r="25" ht="48" customHeight="1">
      <ns0:c r="A25" s="8" t="str">
        <ns0:f>IF(ROW()-6&gt;MAX($K$7:$K$406),"",INDEX($J$7:$J$406,MATCH(ROW()-6,$K$7:$K$406,0)))</ns0:f>
        <ns0:v>Strategy Engine (W_STRAT)</ns0:v>
      </ns0:c>
      <ns0:c r="B25" s="8" t="n">
        <ns0:f>IF(A25="","",COUNTIFS($J$7:$J$406,$A25))</ns0:f>
        <ns0:v>1</ns0:v>
      </ns0:c>
      <ns0:c r="C25" s="8" t="n">
        <ns0:f>IF(A25="","",COUNTIFS($J$7:$J$406,$A25,$N$7:$N$406,1))</ns0:f>
        <ns0:v>0</ns0:v>
      </ns0:c>
      <ns0:c r="D25" s="8" t="n">
        <ns0:f>IF(A25="","",COUNTIFS($J$7:$J$406,$A25,$Q$7:$Q$406,"In Progress"))</ns0:f>
        <ns0:v>0</ns0:v>
      </ns0:c>
      <ns0:c r="E25" s="8" t="n">
        <ns0:f>IF(A25="","",B25-C25)</ns0:f>
        <ns0:v>1</ns0:v>
      </ns0:c>
      <ns0:c r="F25" s="19" t="n">
        <ns0:f>IF(A25="","",SUMIFS($N$7:$N$406,$J$7:$J$406,$A25)/B25)</ns0:f>
        <ns0:v>0</ns0:v>
      </ns0:c>
      <ns0:c r="G25" s="8" t="n">
        <ns0:f>IF(A25="","",COUNTIFS(V25:BC25,"&gt;1"))</ns0:f>
        <ns0:v>0</ns0:v>
      </ns0:c>
      <ns0:c r="H25" s="8" t="str">
        <ns0:f>IF(A25="","",IF(COUNTIFS($T$7:$T$33,A25)&gt;0,INDEX($U$7:$U$33,MATCH(A25,$T$7:$T$33,0)),"No capacity or responsibility detail supplied."))</ns0:f>
        <ns0:v>Domain worker; formulates omnichannel roadmaps, funnel structures, and budget allocation proposals.</ns0:v>
      </ns0:c>
      <ns0:c r="J25" t="str">
        <ns0:f>IF('Project Tracker'!A11="","",TRIM(MID(SUBSTITUTE('Project Tracker'!K11,";",REPT(" ",150)),301,150)))</ns0:f>
      </ns0:c>
      <ns0:c r="K25" t="str">
        <ns0:f>IF(J25="","",IF(COUNTIFS($J$7:J25,J25)=1,MAX($K$6:K24)+1,""))</ns0:f>
      </ns0:c>
      <ns0:c r="L25" t="n">
        <ns0:f>IF(A25="",0,B25+(107-ROW())/1000)</ns0:f>
        <ns0:v>1.082</ns0:v>
      </ns0:c>
      <ns0:c r="M25" t="str">
        <ns0:f>IF(J25="","",'Project Tracker'!A11)</ns0:f>
      </ns0:c>
      <ns0:c r="N25" t="str">
        <ns0:f>IF(J25="","",'Project Tracker'!N11)</ns0:f>
      </ns0:c>
      <ns0:c r="O25" t="str">
        <ns0:f>IF(J25="","",'Project Tracker'!E11)</ns0:f>
      </ns0:c>
      <ns0:c r="P25" t="str">
        <ns0:f>IF(J25="","",'Project Tracker'!F11)</ns0:f>
      </ns0:c>
      <ns0:c r="Q25" t="str">
        <ns0:f>IF(J25="","",'Project Tracker'!Q11)</ns0:f>
      </ns0:c>
      <ns0:c r="R25" t="str">
        <ns0:f>IF(J25="","",'Project Tracker'!J11)</ns0:f>
      </ns0:c>
      <ns0:c r="T25" t="str">
        <ns0:v>Development Engine (W_DEV)</ns0:v>
      </ns0:c>
      <ns0:c r="U25" t="str">
        <ns0:v>Domain worker; engineers responsive UI components, CMS schemas, layout templates, and code diffs.</ns0:v>
      </ns0:c>
      <ns0:c r="V25" t="n">
        <ns0:f>IF($A25="",0,COUNTIFS($J$7:$J$406,$A25,$O$7:$O$406,"&lt;="&amp;V$6,$P$7:$P$406,"&gt;="&amp;V$6,$R$7:$R$406,"No"))</ns0:f>
        <ns0:v>0</ns0:v>
      </ns0:c>
      <ns0:c r="W25" t="n">
        <ns0:f>IF($A25="",0,COUNTIFS($J$7:$J$406,$A25,$O$7:$O$406,"&lt;="&amp;W$6,$P$7:$P$406,"&gt;="&amp;W$6,$R$7:$R$406,"No"))</ns0:f>
        <ns0:v>0</ns0:v>
      </ns0:c>
      <ns0:c r="X25" t="n">
        <ns0:f>IF($A25="",0,COUNTIFS($J$7:$J$406,$A25,$O$7:$O$406,"&lt;="&amp;X$6,$P$7:$P$406,"&gt;="&amp;X$6,$R$7:$R$406,"No"))</ns0:f>
        <ns0:v>0</ns0:v>
      </ns0:c>
      <ns0:c r="Y25" t="n">
        <ns0:f>IF($A25="",0,COUNTIFS($J$7:$J$406,$A25,$O$7:$O$406,"&lt;="&amp;Y$6,$P$7:$P$406,"&gt;="&amp;Y$6,$R$7:$R$406,"No"))</ns0:f>
        <ns0:v>0</ns0:v>
      </ns0:c>
      <ns0:c r="Z25" t="n">
        <ns0:f>IF($A25="",0,COUNTIFS($J$7:$J$406,$A25,$O$7:$O$406,"&lt;="&amp;Z$6,$P$7:$P$406,"&gt;="&amp;Z$6,$R$7:$R$406,"No"))</ns0:f>
        <ns0:v>0</ns0:v>
      </ns0:c>
      <ns0:c r="AA25" t="n">
        <ns0:f>IF($A25="",0,COUNTIFS($J$7:$J$406,$A25,$O$7:$O$406,"&lt;="&amp;AA$6,$P$7:$P$406,"&gt;="&amp;AA$6,$R$7:$R$406,"No"))</ns0:f>
        <ns0:v>0</ns0:v>
      </ns0:c>
      <ns0:c r="AB25" t="n">
        <ns0:f>IF($A25="",0,COUNTIFS($J$7:$J$406,$A25,$O$7:$O$406,"&lt;="&amp;AB$6,$P$7:$P$406,"&gt;="&amp;AB$6,$R$7:$R$406,"No"))</ns0:f>
        <ns0:v>0</ns0:v>
      </ns0:c>
      <ns0:c r="AC25" t="n">
        <ns0:f>IF($A25="",0,COUNTIFS($J$7:$J$406,$A25,$O$7:$O$406,"&lt;="&amp;AC$6,$P$7:$P$406,"&gt;="&amp;AC$6,$R$7:$R$406,"No"))</ns0:f>
        <ns0:v>0</ns0:v>
      </ns0:c>
      <ns0:c r="AD25" t="n">
        <ns0:f>IF($A25="",0,COUNTIFS($J$7:$J$406,$A25,$O$7:$O$406,"&lt;="&amp;AD$6,$P$7:$P$406,"&gt;="&amp;AD$6,$R$7:$R$406,"No"))</ns0:f>
        <ns0:v>0</ns0:v>
      </ns0:c>
      <ns0:c r="AE25" t="n">
        <ns0:f>IF($A25="",0,COUNTIFS($J$7:$J$406,$A25,$O$7:$O$406,"&lt;="&amp;AE$6,$P$7:$P$406,"&gt;="&amp;AE$6,$R$7:$R$406,"No"))</ns0:f>
        <ns0:v>0</ns0:v>
      </ns0:c>
      <ns0:c r="AF25" t="n">
        <ns0:f>IF($A25="",0,COUNTIFS($J$7:$J$406,$A25,$O$7:$O$406,"&lt;="&amp;AF$6,$P$7:$P$406,"&gt;="&amp;AF$6,$R$7:$R$406,"No"))</ns0:f>
        <ns0:v>0</ns0:v>
      </ns0:c>
      <ns0:c r="AG25" t="n">
        <ns0:f>IF($A25="",0,COUNTIFS($J$7:$J$406,$A25,$O$7:$O$406,"&lt;="&amp;AG$6,$P$7:$P$406,"&gt;="&amp;AG$6,$R$7:$R$406,"No"))</ns0:f>
        <ns0:v>1</ns0:v>
      </ns0:c>
      <ns0:c r="AH25" t="n">
        <ns0:f>IF($A25="",0,COUNTIFS($J$7:$J$406,$A25,$O$7:$O$406,"&lt;="&amp;AH$6,$P$7:$P$406,"&gt;="&amp;AH$6,$R$7:$R$406,"No"))</ns0:f>
        <ns0:v>1</ns0:v>
      </ns0:c>
      <ns0:c r="AI25" t="n">
        <ns0:f>IF($A25="",0,COUNTIFS($J$7:$J$406,$A25,$O$7:$O$406,"&lt;="&amp;AI$6,$P$7:$P$406,"&gt;="&amp;AI$6,$R$7:$R$406,"No"))</ns0:f>
        <ns0:v>1</ns0:v>
      </ns0:c>
      <ns0:c r="AJ25" t="n">
        <ns0:f>IF($A25="",0,COUNTIFS($J$7:$J$406,$A25,$O$7:$O$406,"&lt;="&amp;AJ$6,$P$7:$P$406,"&gt;="&amp;AJ$6,$R$7:$R$406,"No"))</ns0:f>
        <ns0:v>0</ns0:v>
      </ns0:c>
      <ns0:c r="AK25" t="n">
        <ns0:f>IF($A25="",0,COUNTIFS($J$7:$J$406,$A25,$O$7:$O$406,"&lt;="&amp;AK$6,$P$7:$P$406,"&gt;="&amp;AK$6,$R$7:$R$406,"No"))</ns0:f>
        <ns0:v>0</ns0:v>
      </ns0:c>
      <ns0:c r="AL25" t="n">
        <ns0:f>IF($A25="",0,COUNTIFS($J$7:$J$406,$A25,$O$7:$O$406,"&lt;="&amp;AL$6,$P$7:$P$406,"&gt;="&amp;AL$6,$R$7:$R$406,"No"))</ns0:f>
        <ns0:v>0</ns0:v>
      </ns0:c>
      <ns0:c r="AM25" t="n">
        <ns0:f>IF($A25="",0,COUNTIFS($J$7:$J$406,$A25,$O$7:$O$406,"&lt;="&amp;AM$6,$P$7:$P$406,"&gt;="&amp;AM$6,$R$7:$R$406,"No"))</ns0:f>
        <ns0:v>0</ns0:v>
      </ns0:c>
      <ns0:c r="AN25" t="n">
        <ns0:f>IF($A25="",0,COUNTIFS($J$7:$J$406,$A25,$O$7:$O$406,"&lt;="&amp;AN$6,$P$7:$P$406,"&gt;="&amp;AN$6,$R$7:$R$406,"No"))</ns0:f>
        <ns0:v>0</ns0:v>
      </ns0:c>
      <ns0:c r="AO25" t="n">
        <ns0:f>IF($A25="",0,COUNTIFS($J$7:$J$406,$A25,$O$7:$O$406,"&lt;="&amp;AO$6,$P$7:$P$406,"&gt;="&amp;AO$6,$R$7:$R$406,"No"))</ns0:f>
        <ns0:v>0</ns0:v>
      </ns0:c>
      <ns0:c r="AP25" t="n">
        <ns0:f>IF($A25="",0,COUNTIFS($J$7:$J$406,$A25,$O$7:$O$406,"&lt;="&amp;AP$6,$P$7:$P$406,"&gt;="&amp;AP$6,$R$7:$R$406,"No"))</ns0:f>
        <ns0:v>0</ns0:v>
      </ns0:c>
      <ns0:c r="AQ25" t="n">
        <ns0:f>IF($A25="",0,COUNTIFS($J$7:$J$406,$A25,$O$7:$O$406,"&lt;="&amp;AQ$6,$P$7:$P$406,"&gt;="&amp;AQ$6,$R$7:$R$406,"No"))</ns0:f>
        <ns0:v>0</ns0:v>
      </ns0:c>
      <ns0:c r="AR25" t="n">
        <ns0:f>IF($A25="",0,COUNTIFS($J$7:$J$406,$A25,$O$7:$O$406,"&lt;="&amp;AR$6,$P$7:$P$406,"&gt;="&amp;AR$6,$R$7:$R$406,"No"))</ns0:f>
        <ns0:v>0</ns0:v>
      </ns0:c>
      <ns0:c r="AS25" t="n">
        <ns0:f>IF($A25="",0,COUNTIFS($J$7:$J$406,$A25,$O$7:$O$406,"&lt;="&amp;AS$6,$P$7:$P$406,"&gt;="&amp;AS$6,$R$7:$R$406,"No"))</ns0:f>
        <ns0:v>0</ns0:v>
      </ns0:c>
      <ns0:c r="AT25" t="n">
        <ns0:f>IF($A25="",0,COUNTIFS($J$7:$J$406,$A25,$O$7:$O$406,"&lt;="&amp;AT$6,$P$7:$P$406,"&gt;="&amp;AT$6,$R$7:$R$406,"No"))</ns0:f>
        <ns0:v>0</ns0:v>
      </ns0:c>
      <ns0:c r="AU25" t="n">
        <ns0:f>IF($A25="",0,COUNTIFS($J$7:$J$406,$A25,$O$7:$O$406,"&lt;="&amp;AU$6,$P$7:$P$406,"&gt;="&amp;AU$6,$R$7:$R$406,"No"))</ns0:f>
        <ns0:v>0</ns0:v>
      </ns0:c>
      <ns0:c r="AV25" t="n">
        <ns0:f>IF($A25="",0,COUNTIFS($J$7:$J$406,$A25,$O$7:$O$406,"&lt;="&amp;AV$6,$P$7:$P$406,"&gt;="&amp;AV$6,$R$7:$R$406,"No"))</ns0:f>
        <ns0:v>0</ns0:v>
      </ns0:c>
      <ns0:c r="AW25" t="n">
        <ns0:f>IF($A25="",0,COUNTIFS($J$7:$J$406,$A25,$O$7:$O$406,"&lt;="&amp;AW$6,$P$7:$P$406,"&gt;="&amp;AW$6,$R$7:$R$406,"No"))</ns0:f>
        <ns0:v>0</ns0:v>
      </ns0:c>
      <ns0:c r="AX25" t="n">
        <ns0:f>IF($A25="",0,COUNTIFS($J$7:$J$406,$A25,$O$7:$O$406,"&lt;="&amp;AX$6,$P$7:$P$406,"&gt;="&amp;AX$6,$R$7:$R$406,"No"))</ns0:f>
        <ns0:v>0</ns0:v>
      </ns0:c>
      <ns0:c r="AY25" t="n">
        <ns0:f>IF($A25="",0,COUNTIFS($J$7:$J$406,$A25,$O$7:$O$406,"&lt;="&amp;AY$6,$P$7:$P$406,"&gt;="&amp;AY$6,$R$7:$R$406,"No"))</ns0:f>
        <ns0:v>0</ns0:v>
      </ns0:c>
      <ns0:c r="AZ25" t="n">
        <ns0:f>IF($A25="",0,COUNTIFS($J$7:$J$406,$A25,$O$7:$O$406,"&lt;="&amp;AZ$6,$P$7:$P$406,"&gt;="&amp;AZ$6,$R$7:$R$406,"No"))</ns0:f>
        <ns0:v>0</ns0:v>
      </ns0:c>
      <ns0:c r="BA25" t="n">
        <ns0:f>IF($A25="",0,COUNTIFS($J$7:$J$406,$A25,$O$7:$O$406,"&lt;="&amp;BA$6,$P$7:$P$406,"&gt;="&amp;BA$6,$R$7:$R$406,"No"))</ns0:f>
        <ns0:v>0</ns0:v>
      </ns0:c>
      <ns0:c r="BB25" t="n">
        <ns0:f>IF($A25="",0,COUNTIFS($J$7:$J$406,$A25,$O$7:$O$406,"&lt;="&amp;BB$6,$P$7:$P$406,"&gt;="&amp;BB$6,$R$7:$R$406,"No"))</ns0:f>
        <ns0:v>0</ns0:v>
      </ns0:c>
      <ns0:c r="BC25" t="n">
        <ns0:f>IF($A25="",0,COUNTIFS($J$7:$J$406,$A25,$O$7:$O$406,"&lt;="&amp;BC$6,$P$7:$P$406,"&gt;="&amp;BC$6,$R$7:$R$406,"No"))</ns0:f>
        <ns0:v>0</ns0:v>
      </ns0:c>
    </ns0:row>
    <ns0:row r="26" ht="48" customHeight="1">
      <ns0:c r="A26" s="8" t="str">
        <ns0:f>IF(ROW()-6&gt;MAX($K$7:$K$406),"",INDEX($J$7:$J$406,MATCH(ROW()-6,$K$7:$K$406,0)))</ns0:f>
        <ns0:v>Creative &amp; Content Engine (W_CREAT)</ns0:v>
      </ns0:c>
      <ns0:c r="B26" s="8" t="n">
        <ns0:f>IF(A26="","",COUNTIFS($J$7:$J$406,$A26))</ns0:f>
        <ns0:v>1</ns0:v>
      </ns0:c>
      <ns0:c r="C26" s="8" t="n">
        <ns0:f>IF(A26="","",COUNTIFS($J$7:$J$406,$A26,$N$7:$N$406,1))</ns0:f>
        <ns0:v>0</ns0:v>
      </ns0:c>
      <ns0:c r="D26" s="8" t="n">
        <ns0:f>IF(A26="","",COUNTIFS($J$7:$J$406,$A26,$Q$7:$Q$406,"In Progress"))</ns0:f>
        <ns0:v>0</ns0:v>
      </ns0:c>
      <ns0:c r="E26" s="8" t="n">
        <ns0:f>IF(A26="","",B26-C26)</ns0:f>
        <ns0:v>1</ns0:v>
      </ns0:c>
      <ns0:c r="F26" s="19" t="n">
        <ns0:f>IF(A26="","",SUMIFS($N$7:$N$406,$J$7:$J$406,$A26)/B26)</ns0:f>
        <ns0:v>0</ns0:v>
      </ns0:c>
      <ns0:c r="G26" s="8" t="n">
        <ns0:f>IF(A26="","",COUNTIFS(V26:BC26,"&gt;1"))</ns0:f>
        <ns0:v>0</ns0:v>
      </ns0:c>
      <ns0:c r="H26" s="8" t="str">
        <ns0:f>IF(A26="","",IF(COUNTIFS($T$7:$T$33,A26)&gt;0,INDEX($U$7:$U$33,MATCH(A26,$T$7:$T$33,0)),"No capacity or responsibility detail supplied."))</ns0:f>
        <ns0:v>Domain worker; drafts multi-channel copy, creative hooks, visual briefs, and social media schedules.</ns0:v>
      </ns0:c>
      <ns0:c r="J26" t="str">
        <ns0:f>IF('Project Tracker'!A11="","",TRIM(MID(SUBSTITUTE('Project Tracker'!K11,";",REPT(" ",150)),451,150)))</ns0:f>
      </ns0:c>
      <ns0:c r="K26" t="str">
        <ns0:f>IF(J26="","",IF(COUNTIFS($J$7:J26,J26)=1,MAX($K$6:K25)+1,""))</ns0:f>
      </ns0:c>
      <ns0:c r="L26" t="n">
        <ns0:f>IF(A26="",0,B26+(107-ROW())/1000)</ns0:f>
        <ns0:v>1.081</ns0:v>
      </ns0:c>
      <ns0:c r="M26" t="str">
        <ns0:f>IF(J26="","",'Project Tracker'!A11)</ns0:f>
      </ns0:c>
      <ns0:c r="N26" t="str">
        <ns0:f>IF(J26="","",'Project Tracker'!N11)</ns0:f>
      </ns0:c>
      <ns0:c r="O26" t="str">
        <ns0:f>IF(J26="","",'Project Tracker'!E11)</ns0:f>
      </ns0:c>
      <ns0:c r="P26" t="str">
        <ns0:f>IF(J26="","",'Project Tracker'!F11)</ns0:f>
      </ns0:c>
      <ns0:c r="Q26" t="str">
        <ns0:f>IF(J26="","",'Project Tracker'!Q11)</ns0:f>
      </ns0:c>
      <ns0:c r="R26" t="str">
        <ns0:f>IF(J26="","",'Project Tracker'!J11)</ns0:f>
      </ns0:c>
      <ns0:c r="T26" t="str">
        <ns0:v>Human-in-the-Loop (HITL) Gate</ns0:v>
      </ns0:c>
      <ns0:c r="U26" t="str">
        <ns0:v>Mandatory human sign-off; reviews action previews for spend, legal compliance, and code deployment.</ns0:v>
      </ns0:c>
      <ns0:c r="V26" t="n">
        <ns0:f>IF($A26="",0,COUNTIFS($J$7:$J$406,$A26,$O$7:$O$406,"&lt;="&amp;V$6,$P$7:$P$406,"&gt;="&amp;V$6,$R$7:$R$406,"No"))</ns0:f>
        <ns0:v>0</ns0:v>
      </ns0:c>
      <ns0:c r="W26" t="n">
        <ns0:f>IF($A26="",0,COUNTIFS($J$7:$J$406,$A26,$O$7:$O$406,"&lt;="&amp;W$6,$P$7:$P$406,"&gt;="&amp;W$6,$R$7:$R$406,"No"))</ns0:f>
        <ns0:v>0</ns0:v>
      </ns0:c>
      <ns0:c r="X26" t="n">
        <ns0:f>IF($A26="",0,COUNTIFS($J$7:$J$406,$A26,$O$7:$O$406,"&lt;="&amp;X$6,$P$7:$P$406,"&gt;="&amp;X$6,$R$7:$R$406,"No"))</ns0:f>
        <ns0:v>0</ns0:v>
      </ns0:c>
      <ns0:c r="Y26" t="n">
        <ns0:f>IF($A26="",0,COUNTIFS($J$7:$J$406,$A26,$O$7:$O$406,"&lt;="&amp;Y$6,$P$7:$P$406,"&gt;="&amp;Y$6,$R$7:$R$406,"No"))</ns0:f>
        <ns0:v>0</ns0:v>
      </ns0:c>
      <ns0:c r="Z26" t="n">
        <ns0:f>IF($A26="",0,COUNTIFS($J$7:$J$406,$A26,$O$7:$O$406,"&lt;="&amp;Z$6,$P$7:$P$406,"&gt;="&amp;Z$6,$R$7:$R$406,"No"))</ns0:f>
        <ns0:v>0</ns0:v>
      </ns0:c>
      <ns0:c r="AA26" t="n">
        <ns0:f>IF($A26="",0,COUNTIFS($J$7:$J$406,$A26,$O$7:$O$406,"&lt;="&amp;AA$6,$P$7:$P$406,"&gt;="&amp;AA$6,$R$7:$R$406,"No"))</ns0:f>
        <ns0:v>0</ns0:v>
      </ns0:c>
      <ns0:c r="AB26" t="n">
        <ns0:f>IF($A26="",0,COUNTIFS($J$7:$J$406,$A26,$O$7:$O$406,"&lt;="&amp;AB$6,$P$7:$P$406,"&gt;="&amp;AB$6,$R$7:$R$406,"No"))</ns0:f>
        <ns0:v>0</ns0:v>
      </ns0:c>
      <ns0:c r="AC26" t="n">
        <ns0:f>IF($A26="",0,COUNTIFS($J$7:$J$406,$A26,$O$7:$O$406,"&lt;="&amp;AC$6,$P$7:$P$406,"&gt;="&amp;AC$6,$R$7:$R$406,"No"))</ns0:f>
        <ns0:v>0</ns0:v>
      </ns0:c>
      <ns0:c r="AD26" t="n">
        <ns0:f>IF($A26="",0,COUNTIFS($J$7:$J$406,$A26,$O$7:$O$406,"&lt;="&amp;AD$6,$P$7:$P$406,"&gt;="&amp;AD$6,$R$7:$R$406,"No"))</ns0:f>
        <ns0:v>0</ns0:v>
      </ns0:c>
      <ns0:c r="AE26" t="n">
        <ns0:f>IF($A26="",0,COUNTIFS($J$7:$J$406,$A26,$O$7:$O$406,"&lt;="&amp;AE$6,$P$7:$P$406,"&gt;="&amp;AE$6,$R$7:$R$406,"No"))</ns0:f>
        <ns0:v>0</ns0:v>
      </ns0:c>
      <ns0:c r="AF26" t="n">
        <ns0:f>IF($A26="",0,COUNTIFS($J$7:$J$406,$A26,$O$7:$O$406,"&lt;="&amp;AF$6,$P$7:$P$406,"&gt;="&amp;AF$6,$R$7:$R$406,"No"))</ns0:f>
        <ns0:v>0</ns0:v>
      </ns0:c>
      <ns0:c r="AG26" t="n">
        <ns0:f>IF($A26="",0,COUNTIFS($J$7:$J$406,$A26,$O$7:$O$406,"&lt;="&amp;AG$6,$P$7:$P$406,"&gt;="&amp;AG$6,$R$7:$R$406,"No"))</ns0:f>
        <ns0:v>0</ns0:v>
      </ns0:c>
      <ns0:c r="AH26" t="n">
        <ns0:f>IF($A26="",0,COUNTIFS($J$7:$J$406,$A26,$O$7:$O$406,"&lt;="&amp;AH$6,$P$7:$P$406,"&gt;="&amp;AH$6,$R$7:$R$406,"No"))</ns0:f>
        <ns0:v>0</ns0:v>
      </ns0:c>
      <ns0:c r="AI26" t="n">
        <ns0:f>IF($A26="",0,COUNTIFS($J$7:$J$406,$A26,$O$7:$O$406,"&lt;="&amp;AI$6,$P$7:$P$406,"&gt;="&amp;AI$6,$R$7:$R$406,"No"))</ns0:f>
        <ns0:v>0</ns0:v>
      </ns0:c>
      <ns0:c r="AJ26" t="n">
        <ns0:f>IF($A26="",0,COUNTIFS($J$7:$J$406,$A26,$O$7:$O$406,"&lt;="&amp;AJ$6,$P$7:$P$406,"&gt;="&amp;AJ$6,$R$7:$R$406,"No"))</ns0:f>
        <ns0:v>1</ns0:v>
      </ns0:c>
      <ns0:c r="AK26" t="n">
        <ns0:f>IF($A26="",0,COUNTIFS($J$7:$J$406,$A26,$O$7:$O$406,"&lt;="&amp;AK$6,$P$7:$P$406,"&gt;="&amp;AK$6,$R$7:$R$406,"No"))</ns0:f>
        <ns0:v>1</ns0:v>
      </ns0:c>
      <ns0:c r="AL26" t="n">
        <ns0:f>IF($A26="",0,COUNTIFS($J$7:$J$406,$A26,$O$7:$O$406,"&lt;="&amp;AL$6,$P$7:$P$406,"&gt;="&amp;AL$6,$R$7:$R$406,"No"))</ns0:f>
        <ns0:v>1</ns0:v>
      </ns0:c>
      <ns0:c r="AM26" t="n">
        <ns0:f>IF($A26="",0,COUNTIFS($J$7:$J$406,$A26,$O$7:$O$406,"&lt;="&amp;AM$6,$P$7:$P$406,"&gt;="&amp;AM$6,$R$7:$R$406,"No"))</ns0:f>
        <ns0:v>0</ns0:v>
      </ns0:c>
      <ns0:c r="AN26" t="n">
        <ns0:f>IF($A26="",0,COUNTIFS($J$7:$J$406,$A26,$O$7:$O$406,"&lt;="&amp;AN$6,$P$7:$P$406,"&gt;="&amp;AN$6,$R$7:$R$406,"No"))</ns0:f>
        <ns0:v>0</ns0:v>
      </ns0:c>
      <ns0:c r="AO26" t="n">
        <ns0:f>IF($A26="",0,COUNTIFS($J$7:$J$406,$A26,$O$7:$O$406,"&lt;="&amp;AO$6,$P$7:$P$406,"&gt;="&amp;AO$6,$R$7:$R$406,"No"))</ns0:f>
        <ns0:v>0</ns0:v>
      </ns0:c>
      <ns0:c r="AP26" t="n">
        <ns0:f>IF($A26="",0,COUNTIFS($J$7:$J$406,$A26,$O$7:$O$406,"&lt;="&amp;AP$6,$P$7:$P$406,"&gt;="&amp;AP$6,$R$7:$R$406,"No"))</ns0:f>
        <ns0:v>0</ns0:v>
      </ns0:c>
      <ns0:c r="AQ26" t="n">
        <ns0:f>IF($A26="",0,COUNTIFS($J$7:$J$406,$A26,$O$7:$O$406,"&lt;="&amp;AQ$6,$P$7:$P$406,"&gt;="&amp;AQ$6,$R$7:$R$406,"No"))</ns0:f>
        <ns0:v>0</ns0:v>
      </ns0:c>
      <ns0:c r="AR26" t="n">
        <ns0:f>IF($A26="",0,COUNTIFS($J$7:$J$406,$A26,$O$7:$O$406,"&lt;="&amp;AR$6,$P$7:$P$406,"&gt;="&amp;AR$6,$R$7:$R$406,"No"))</ns0:f>
        <ns0:v>0</ns0:v>
      </ns0:c>
      <ns0:c r="AS26" t="n">
        <ns0:f>IF($A26="",0,COUNTIFS($J$7:$J$406,$A26,$O$7:$O$406,"&lt;="&amp;AS$6,$P$7:$P$406,"&gt;="&amp;AS$6,$R$7:$R$406,"No"))</ns0:f>
        <ns0:v>0</ns0:v>
      </ns0:c>
      <ns0:c r="AT26" t="n">
        <ns0:f>IF($A26="",0,COUNTIFS($J$7:$J$406,$A26,$O$7:$O$406,"&lt;="&amp;AT$6,$P$7:$P$406,"&gt;="&amp;AT$6,$R$7:$R$406,"No"))</ns0:f>
        <ns0:v>0</ns0:v>
      </ns0:c>
      <ns0:c r="AU26" t="n">
        <ns0:f>IF($A26="",0,COUNTIFS($J$7:$J$406,$A26,$O$7:$O$406,"&lt;="&amp;AU$6,$P$7:$P$406,"&gt;="&amp;AU$6,$R$7:$R$406,"No"))</ns0:f>
        <ns0:v>0</ns0:v>
      </ns0:c>
      <ns0:c r="AV26" t="n">
        <ns0:f>IF($A26="",0,COUNTIFS($J$7:$J$406,$A26,$O$7:$O$406,"&lt;="&amp;AV$6,$P$7:$P$406,"&gt;="&amp;AV$6,$R$7:$R$406,"No"))</ns0:f>
        <ns0:v>0</ns0:v>
      </ns0:c>
      <ns0:c r="AW26" t="n">
        <ns0:f>IF($A26="",0,COUNTIFS($J$7:$J$406,$A26,$O$7:$O$406,"&lt;="&amp;AW$6,$P$7:$P$406,"&gt;="&amp;AW$6,$R$7:$R$406,"No"))</ns0:f>
        <ns0:v>0</ns0:v>
      </ns0:c>
      <ns0:c r="AX26" t="n">
        <ns0:f>IF($A26="",0,COUNTIFS($J$7:$J$406,$A26,$O$7:$O$406,"&lt;="&amp;AX$6,$P$7:$P$406,"&gt;="&amp;AX$6,$R$7:$R$406,"No"))</ns0:f>
        <ns0:v>0</ns0:v>
      </ns0:c>
      <ns0:c r="AY26" t="n">
        <ns0:f>IF($A26="",0,COUNTIFS($J$7:$J$406,$A26,$O$7:$O$406,"&lt;="&amp;AY$6,$P$7:$P$406,"&gt;="&amp;AY$6,$R$7:$R$406,"No"))</ns0:f>
        <ns0:v>0</ns0:v>
      </ns0:c>
      <ns0:c r="AZ26" t="n">
        <ns0:f>IF($A26="",0,COUNTIFS($J$7:$J$406,$A26,$O$7:$O$406,"&lt;="&amp;AZ$6,$P$7:$P$406,"&gt;="&amp;AZ$6,$R$7:$R$406,"No"))</ns0:f>
        <ns0:v>0</ns0:v>
      </ns0:c>
      <ns0:c r="BA26" t="n">
        <ns0:f>IF($A26="",0,COUNTIFS($J$7:$J$406,$A26,$O$7:$O$406,"&lt;="&amp;BA$6,$P$7:$P$406,"&gt;="&amp;BA$6,$R$7:$R$406,"No"))</ns0:f>
        <ns0:v>0</ns0:v>
      </ns0:c>
      <ns0:c r="BB26" t="n">
        <ns0:f>IF($A26="",0,COUNTIFS($J$7:$J$406,$A26,$O$7:$O$406,"&lt;="&amp;BB$6,$P$7:$P$406,"&gt;="&amp;BB$6,$R$7:$R$406,"No"))</ns0:f>
        <ns0:v>0</ns0:v>
      </ns0:c>
      <ns0:c r="BC26" t="n">
        <ns0:f>IF($A26="",0,COUNTIFS($J$7:$J$406,$A26,$O$7:$O$406,"&lt;="&amp;BC$6,$P$7:$P$406,"&gt;="&amp;BC$6,$R$7:$R$406,"No"))</ns0:f>
        <ns0:v>0</ns0:v>
      </ns0:c>
    </ns0:row>
    <ns0:row r="27" ht="48" customHeight="1">
      <ns0:c r="A27" s="8" t="str">
        <ns0:f>IF(ROW()-6&gt;MAX($K$7:$K$406),"",INDEX($J$7:$J$406,MATCH(ROW()-6,$K$7:$K$406,0)))</ns0:f>
        <ns0:v>Development Engine (W_DEV)</ns0:v>
      </ns0:c>
      <ns0:c r="B27" s="8" t="n">
        <ns0:f>IF(A27="","",COUNTIFS($J$7:$J$406,$A27))</ns0:f>
        <ns0:v>1</ns0:v>
      </ns0:c>
      <ns0:c r="C27" s="8" t="n">
        <ns0:f>IF(A27="","",COUNTIFS($J$7:$J$406,$A27,$N$7:$N$406,1))</ns0:f>
        <ns0:v>0</ns0:v>
      </ns0:c>
      <ns0:c r="D27" s="8" t="n">
        <ns0:f>IF(A27="","",COUNTIFS($J$7:$J$406,$A27,$Q$7:$Q$406,"In Progress"))</ns0:f>
        <ns0:v>0</ns0:v>
      </ns0:c>
      <ns0:c r="E27" s="8" t="n">
        <ns0:f>IF(A27="","",B27-C27)</ns0:f>
        <ns0:v>1</ns0:v>
      </ns0:c>
      <ns0:c r="F27" s="19" t="n">
        <ns0:f>IF(A27="","",SUMIFS($N$7:$N$406,$J$7:$J$406,$A27)/B27)</ns0:f>
        <ns0:v>0</ns0:v>
      </ns0:c>
      <ns0:c r="G27" s="8" t="n">
        <ns0:f>IF(A27="","",COUNTIFS(V27:BC27,"&gt;1"))</ns0:f>
        <ns0:v>0</ns0:v>
      </ns0:c>
      <ns0:c r="H27" s="8" t="str">
        <ns0:f>IF(A27="","",IF(COUNTIFS($T$7:$T$33,A27)&gt;0,INDEX($U$7:$U$33,MATCH(A27,$T$7:$T$33,0)),"No capacity or responsibility detail supplied."))</ns0:f>
        <ns0:v>Domain worker; engineers responsive UI components, CMS schemas, layout templates, and code diffs.</ns0:v>
      </ns0:c>
      <ns0:c r="J27" t="str">
        <ns0:f>IF('Project Tracker'!A12="","",TRIM(MID(SUBSTITUTE('Project Tracker'!K12,";",REPT(" ",150)),1,150)))</ns0:f>
        <ns0:v>Central Enterprise Database (CDB)</ns0:v>
      </ns0:c>
      <ns0:c r="K27" t="n">
        <ns0:f>IF(J27="","",IF(COUNTIFS($J$7:J27,J27)=1,MAX($K$6:K26)+1,""))</ns0:f>
        <ns0:v>6</ns0:v>
      </ns0:c>
      <ns0:c r="L27" t="n">
        <ns0:f>IF(A27="",0,B27+(107-ROW())/1000)</ns0:f>
        <ns0:v>1.08</ns0:v>
      </ns0:c>
      <ns0:c r="M27" t="str">
        <ns0:f>IF(J27="","",'Project Tracker'!A12)</ns0:f>
        <ns0:v>T05</ns0:v>
      </ns0:c>
      <ns0:c r="N27" t="n">
        <ns0:f>IF(J27="","",'Project Tracker'!N12)</ns0:f>
        <ns0:v>0</ns0:v>
      </ns0:c>
      <ns0:c r="O27" t="n">
        <ns0:f>IF(J27="","",'Project Tracker'!E12)</ns0:f>
        <ns0:v>46279</ns0:v>
      </ns0:c>
      <ns0:c r="P27" t="n">
        <ns0:f>IF(J27="","",'Project Tracker'!F12)</ns0:f>
        <ns0:v>46280</ns0:v>
      </ns0:c>
      <ns0:c r="Q27" t="str">
        <ns0:f>IF(J27="","",'Project Tracker'!Q12)</ns0:f>
        <ns0:v>Not Started</ns0:v>
      </ns0:c>
      <ns0:c r="R27" t="str">
        <ns0:f>IF(J27="","",'Project Tracker'!J12)</ns0:f>
        <ns0:v>No</ns0:v>
      </ns0:c>
      <ns0:c r="T27" t="str">
        <ns0:v>Outbound Actuation MCP Boundary</ns0:v>
      </ns0:c>
      <ns0:c r="U27" t="str">
        <ns0:v>Security egress perimeter; validates audience tokens and dispatches signed API calls to external surfaces.</ns0:v>
      </ns0:c>
      <ns0:c r="V27" t="n">
        <ns0:f>IF($A27="",0,COUNTIFS($J$7:$J$406,$A27,$O$7:$O$406,"&lt;="&amp;V$6,$P$7:$P$406,"&gt;="&amp;V$6,$R$7:$R$406,"No"))</ns0:f>
        <ns0:v>0</ns0:v>
      </ns0:c>
      <ns0:c r="W27" t="n">
        <ns0:f>IF($A27="",0,COUNTIFS($J$7:$J$406,$A27,$O$7:$O$406,"&lt;="&amp;W$6,$P$7:$P$406,"&gt;="&amp;W$6,$R$7:$R$406,"No"))</ns0:f>
        <ns0:v>0</ns0:v>
      </ns0:c>
      <ns0:c r="X27" t="n">
        <ns0:f>IF($A27="",0,COUNTIFS($J$7:$J$406,$A27,$O$7:$O$406,"&lt;="&amp;X$6,$P$7:$P$406,"&gt;="&amp;X$6,$R$7:$R$406,"No"))</ns0:f>
        <ns0:v>0</ns0:v>
      </ns0:c>
      <ns0:c r="Y27" t="n">
        <ns0:f>IF($A27="",0,COUNTIFS($J$7:$J$406,$A27,$O$7:$O$406,"&lt;="&amp;Y$6,$P$7:$P$406,"&gt;="&amp;Y$6,$R$7:$R$406,"No"))</ns0:f>
        <ns0:v>0</ns0:v>
      </ns0:c>
      <ns0:c r="Z27" t="n">
        <ns0:f>IF($A27="",0,COUNTIFS($J$7:$J$406,$A27,$O$7:$O$406,"&lt;="&amp;Z$6,$P$7:$P$406,"&gt;="&amp;Z$6,$R$7:$R$406,"No"))</ns0:f>
        <ns0:v>0</ns0:v>
      </ns0:c>
      <ns0:c r="AA27" t="n">
        <ns0:f>IF($A27="",0,COUNTIFS($J$7:$J$406,$A27,$O$7:$O$406,"&lt;="&amp;AA$6,$P$7:$P$406,"&gt;="&amp;AA$6,$R$7:$R$406,"No"))</ns0:f>
        <ns0:v>0</ns0:v>
      </ns0:c>
      <ns0:c r="AB27" t="n">
        <ns0:f>IF($A27="",0,COUNTIFS($J$7:$J$406,$A27,$O$7:$O$406,"&lt;="&amp;AB$6,$P$7:$P$406,"&gt;="&amp;AB$6,$R$7:$R$406,"No"))</ns0:f>
        <ns0:v>0</ns0:v>
      </ns0:c>
      <ns0:c r="AC27" t="n">
        <ns0:f>IF($A27="",0,COUNTIFS($J$7:$J$406,$A27,$O$7:$O$406,"&lt;="&amp;AC$6,$P$7:$P$406,"&gt;="&amp;AC$6,$R$7:$R$406,"No"))</ns0:f>
        <ns0:v>0</ns0:v>
      </ns0:c>
      <ns0:c r="AD27" t="n">
        <ns0:f>IF($A27="",0,COUNTIFS($J$7:$J$406,$A27,$O$7:$O$406,"&lt;="&amp;AD$6,$P$7:$P$406,"&gt;="&amp;AD$6,$R$7:$R$406,"No"))</ns0:f>
        <ns0:v>0</ns0:v>
      </ns0:c>
      <ns0:c r="AE27" t="n">
        <ns0:f>IF($A27="",0,COUNTIFS($J$7:$J$406,$A27,$O$7:$O$406,"&lt;="&amp;AE$6,$P$7:$P$406,"&gt;="&amp;AE$6,$R$7:$R$406,"No"))</ns0:f>
        <ns0:v>1</ns0:v>
      </ns0:c>
      <ns0:c r="AF27" t="n">
        <ns0:f>IF($A27="",0,COUNTIFS($J$7:$J$406,$A27,$O$7:$O$406,"&lt;="&amp;AF$6,$P$7:$P$406,"&gt;="&amp;AF$6,$R$7:$R$406,"No"))</ns0:f>
        <ns0:v>1</ns0:v>
      </ns0:c>
      <ns0:c r="AG27" t="n">
        <ns0:f>IF($A27="",0,COUNTIFS($J$7:$J$406,$A27,$O$7:$O$406,"&lt;="&amp;AG$6,$P$7:$P$406,"&gt;="&amp;AG$6,$R$7:$R$406,"No"))</ns0:f>
        <ns0:v>1</ns0:v>
      </ns0:c>
      <ns0:c r="AH27" t="n">
        <ns0:f>IF($A27="",0,COUNTIFS($J$7:$J$406,$A27,$O$7:$O$406,"&lt;="&amp;AH$6,$P$7:$P$406,"&gt;="&amp;AH$6,$R$7:$R$406,"No"))</ns0:f>
        <ns0:v>1</ns0:v>
      </ns0:c>
      <ns0:c r="AI27" t="n">
        <ns0:f>IF($A27="",0,COUNTIFS($J$7:$J$406,$A27,$O$7:$O$406,"&lt;="&amp;AI$6,$P$7:$P$406,"&gt;="&amp;AI$6,$R$7:$R$406,"No"))</ns0:f>
        <ns0:v>1</ns0:v>
      </ns0:c>
      <ns0:c r="AJ27" t="n">
        <ns0:f>IF($A27="",0,COUNTIFS($J$7:$J$406,$A27,$O$7:$O$406,"&lt;="&amp;AJ$6,$P$7:$P$406,"&gt;="&amp;AJ$6,$R$7:$R$406,"No"))</ns0:f>
        <ns0:v>1</ns0:v>
      </ns0:c>
      <ns0:c r="AK27" t="n">
        <ns0:f>IF($A27="",0,COUNTIFS($J$7:$J$406,$A27,$O$7:$O$406,"&lt;="&amp;AK$6,$P$7:$P$406,"&gt;="&amp;AK$6,$R$7:$R$406,"No"))</ns0:f>
        <ns0:v>1</ns0:v>
      </ns0:c>
      <ns0:c r="AL27" t="n">
        <ns0:f>IF($A27="",0,COUNTIFS($J$7:$J$406,$A27,$O$7:$O$406,"&lt;="&amp;AL$6,$P$7:$P$406,"&gt;="&amp;AL$6,$R$7:$R$406,"No"))</ns0:f>
        <ns0:v>0</ns0:v>
      </ns0:c>
      <ns0:c r="AM27" t="n">
        <ns0:f>IF($A27="",0,COUNTIFS($J$7:$J$406,$A27,$O$7:$O$406,"&lt;="&amp;AM$6,$P$7:$P$406,"&gt;="&amp;AM$6,$R$7:$R$406,"No"))</ns0:f>
        <ns0:v>0</ns0:v>
      </ns0:c>
      <ns0:c r="AN27" t="n">
        <ns0:f>IF($A27="",0,COUNTIFS($J$7:$J$406,$A27,$O$7:$O$406,"&lt;="&amp;AN$6,$P$7:$P$406,"&gt;="&amp;AN$6,$R$7:$R$406,"No"))</ns0:f>
        <ns0:v>0</ns0:v>
      </ns0:c>
      <ns0:c r="AO27" t="n">
        <ns0:f>IF($A27="",0,COUNTIFS($J$7:$J$406,$A27,$O$7:$O$406,"&lt;="&amp;AO$6,$P$7:$P$406,"&gt;="&amp;AO$6,$R$7:$R$406,"No"))</ns0:f>
        <ns0:v>0</ns0:v>
      </ns0:c>
      <ns0:c r="AP27" t="n">
        <ns0:f>IF($A27="",0,COUNTIFS($J$7:$J$406,$A27,$O$7:$O$406,"&lt;="&amp;AP$6,$P$7:$P$406,"&gt;="&amp;AP$6,$R$7:$R$406,"No"))</ns0:f>
        <ns0:v>0</ns0:v>
      </ns0:c>
      <ns0:c r="AQ27" t="n">
        <ns0:f>IF($A27="",0,COUNTIFS($J$7:$J$406,$A27,$O$7:$O$406,"&lt;="&amp;AQ$6,$P$7:$P$406,"&gt;="&amp;AQ$6,$R$7:$R$406,"No"))</ns0:f>
        <ns0:v>0</ns0:v>
      </ns0:c>
      <ns0:c r="AR27" t="n">
        <ns0:f>IF($A27="",0,COUNTIFS($J$7:$J$406,$A27,$O$7:$O$406,"&lt;="&amp;AR$6,$P$7:$P$406,"&gt;="&amp;AR$6,$R$7:$R$406,"No"))</ns0:f>
        <ns0:v>0</ns0:v>
      </ns0:c>
      <ns0:c r="AS27" t="n">
        <ns0:f>IF($A27="",0,COUNTIFS($J$7:$J$406,$A27,$O$7:$O$406,"&lt;="&amp;AS$6,$P$7:$P$406,"&gt;="&amp;AS$6,$R$7:$R$406,"No"))</ns0:f>
        <ns0:v>0</ns0:v>
      </ns0:c>
      <ns0:c r="AT27" t="n">
        <ns0:f>IF($A27="",0,COUNTIFS($J$7:$J$406,$A27,$O$7:$O$406,"&lt;="&amp;AT$6,$P$7:$P$406,"&gt;="&amp;AT$6,$R$7:$R$406,"No"))</ns0:f>
        <ns0:v>0</ns0:v>
      </ns0:c>
      <ns0:c r="AU27" t="n">
        <ns0:f>IF($A27="",0,COUNTIFS($J$7:$J$406,$A27,$O$7:$O$406,"&lt;="&amp;AU$6,$P$7:$P$406,"&gt;="&amp;AU$6,$R$7:$R$406,"No"))</ns0:f>
        <ns0:v>0</ns0:v>
      </ns0:c>
      <ns0:c r="AV27" t="n">
        <ns0:f>IF($A27="",0,COUNTIFS($J$7:$J$406,$A27,$O$7:$O$406,"&lt;="&amp;AV$6,$P$7:$P$406,"&gt;="&amp;AV$6,$R$7:$R$406,"No"))</ns0:f>
        <ns0:v>0</ns0:v>
      </ns0:c>
      <ns0:c r="AW27" t="n">
        <ns0:f>IF($A27="",0,COUNTIFS($J$7:$J$406,$A27,$O$7:$O$406,"&lt;="&amp;AW$6,$P$7:$P$406,"&gt;="&amp;AW$6,$R$7:$R$406,"No"))</ns0:f>
        <ns0:v>0</ns0:v>
      </ns0:c>
      <ns0:c r="AX27" t="n">
        <ns0:f>IF($A27="",0,COUNTIFS($J$7:$J$406,$A27,$O$7:$O$406,"&lt;="&amp;AX$6,$P$7:$P$406,"&gt;="&amp;AX$6,$R$7:$R$406,"No"))</ns0:f>
        <ns0:v>0</ns0:v>
      </ns0:c>
      <ns0:c r="AY27" t="n">
        <ns0:f>IF($A27="",0,COUNTIFS($J$7:$J$406,$A27,$O$7:$O$406,"&lt;="&amp;AY$6,$P$7:$P$406,"&gt;="&amp;AY$6,$R$7:$R$406,"No"))</ns0:f>
        <ns0:v>0</ns0:v>
      </ns0:c>
      <ns0:c r="AZ27" t="n">
        <ns0:f>IF($A27="",0,COUNTIFS($J$7:$J$406,$A27,$O$7:$O$406,"&lt;="&amp;AZ$6,$P$7:$P$406,"&gt;="&amp;AZ$6,$R$7:$R$406,"No"))</ns0:f>
        <ns0:v>0</ns0:v>
      </ns0:c>
      <ns0:c r="BA27" t="n">
        <ns0:f>IF($A27="",0,COUNTIFS($J$7:$J$406,$A27,$O$7:$O$406,"&lt;="&amp;BA$6,$P$7:$P$406,"&gt;="&amp;BA$6,$R$7:$R$406,"No"))</ns0:f>
        <ns0:v>0</ns0:v>
      </ns0:c>
      <ns0:c r="BB27" t="n">
        <ns0:f>IF($A27="",0,COUNTIFS($J$7:$J$406,$A27,$O$7:$O$406,"&lt;="&amp;BB$6,$P$7:$P$406,"&gt;="&amp;BB$6,$R$7:$R$406,"No"))</ns0:f>
        <ns0:v>0</ns0:v>
      </ns0:c>
      <ns0:c r="BC27" t="n">
        <ns0:f>IF($A27="",0,COUNTIFS($J$7:$J$406,$A27,$O$7:$O$406,"&lt;="&amp;BC$6,$P$7:$P$406,"&gt;="&amp;BC$6,$R$7:$R$406,"No"))</ns0:f>
        <ns0:v>0</ns0:v>
      </ns0:c>
    </ns0:row>
    <ns0:row r="28" ht="48" customHeight="1">
      <ns0:c r="A28" s="8" t="str">
        <ns0:f>IF(ROW()-6&gt;MAX($K$7:$K$406),"",INDEX($J$7:$J$406,MATCH(ROW()-6,$K$7:$K$406,0)))</ns0:f>
        <ns0:v>Human-in-the-Loop (HITL) Gate</ns0:v>
      </ns0:c>
      <ns0:c r="B28" s="8" t="n">
        <ns0:f>IF(A28="","",COUNTIFS($J$7:$J$406,$A28))</ns0:f>
        <ns0:v>1</ns0:v>
      </ns0:c>
      <ns0:c r="C28" s="8" t="n">
        <ns0:f>IF(A28="","",COUNTIFS($J$7:$J$406,$A28,$N$7:$N$406,1))</ns0:f>
        <ns0:v>0</ns0:v>
      </ns0:c>
      <ns0:c r="D28" s="8" t="n">
        <ns0:f>IF(A28="","",COUNTIFS($J$7:$J$406,$A28,$Q$7:$Q$406,"In Progress"))</ns0:f>
        <ns0:v>0</ns0:v>
      </ns0:c>
      <ns0:c r="E28" s="8" t="n">
        <ns0:f>IF(A28="","",B28-C28)</ns0:f>
        <ns0:v>1</ns0:v>
      </ns0:c>
      <ns0:c r="F28" s="19" t="n">
        <ns0:f>IF(A28="","",SUMIFS($N$7:$N$406,$J$7:$J$406,$A28)/B28)</ns0:f>
        <ns0:v>0</ns0:v>
      </ns0:c>
      <ns0:c r="G28" s="8" t="n">
        <ns0:f>IF(A28="","",COUNTIFS(V28:BC28,"&gt;1"))</ns0:f>
        <ns0:v>0</ns0:v>
      </ns0:c>
      <ns0:c r="H28" s="8" t="str">
        <ns0:f>IF(A28="","",IF(COUNTIFS($T$7:$T$33,A28)&gt;0,INDEX($U$7:$U$33,MATCH(A28,$T$7:$T$33,0)),"No capacity or responsibility detail supplied."))</ns0:f>
        <ns0:v>Mandatory human sign-off; reviews action previews for spend, legal compliance, and code deployment.</ns0:v>
      </ns0:c>
      <ns0:c r="J28" t="str">
        <ns0:f>IF('Project Tracker'!A12="","",TRIM(MID(SUBSTITUTE('Project Tracker'!K12,";",REPT(" ",150)),151,150)))</ns0:f>
      </ns0:c>
      <ns0:c r="K28" t="str">
        <ns0:f>IF(J28="","",IF(COUNTIFS($J$7:J28,J28)=1,MAX($K$6:K27)+1,""))</ns0:f>
      </ns0:c>
      <ns0:c r="L28" t="n">
        <ns0:f>IF(A28="",0,B28+(107-ROW())/1000)</ns0:f>
        <ns0:v>1.079</ns0:v>
      </ns0:c>
      <ns0:c r="M28" t="str">
        <ns0:f>IF(J28="","",'Project Tracker'!A12)</ns0:f>
      </ns0:c>
      <ns0:c r="N28" t="str">
        <ns0:f>IF(J28="","",'Project Tracker'!N12)</ns0:f>
      </ns0:c>
      <ns0:c r="O28" t="str">
        <ns0:f>IF(J28="","",'Project Tracker'!E12)</ns0:f>
      </ns0:c>
      <ns0:c r="P28" t="str">
        <ns0:f>IF(J28="","",'Project Tracker'!F12)</ns0:f>
      </ns0:c>
      <ns0:c r="Q28" t="str">
        <ns0:f>IF(J28="","",'Project Tracker'!Q12)</ns0:f>
      </ns0:c>
      <ns0:c r="R28" t="str">
        <ns0:f>IF(J28="","",'Project Tracker'!J12)</ns0:f>
      </ns0:c>
      <ns0:c r="T28" t="str">
        <ns0:v>Live Website &amp; Headless CMS Surface</ns0:v>
      </ns0:c>
      <ns0:c r="U28" t="str">
        <ns0:v>External production runtime; hosts live storefront, product catalog, and user-facing web applications.</ns0:v>
      </ns0:c>
      <ns0:c r="V28" t="n">
        <ns0:f>IF($A28="",0,COUNTIFS($J$7:$J$406,$A28,$O$7:$O$406,"&lt;="&amp;V$6,$P$7:$P$406,"&gt;="&amp;V$6,$R$7:$R$406,"No"))</ns0:f>
        <ns0:v>0</ns0:v>
      </ns0:c>
      <ns0:c r="W28" t="n">
        <ns0:f>IF($A28="",0,COUNTIFS($J$7:$J$406,$A28,$O$7:$O$406,"&lt;="&amp;W$6,$P$7:$P$406,"&gt;="&amp;W$6,$R$7:$R$406,"No"))</ns0:f>
        <ns0:v>0</ns0:v>
      </ns0:c>
      <ns0:c r="X28" t="n">
        <ns0:f>IF($A28="",0,COUNTIFS($J$7:$J$406,$A28,$O$7:$O$406,"&lt;="&amp;X$6,$P$7:$P$406,"&gt;="&amp;X$6,$R$7:$R$406,"No"))</ns0:f>
        <ns0:v>0</ns0:v>
      </ns0:c>
      <ns0:c r="Y28" t="n">
        <ns0:f>IF($A28="",0,COUNTIFS($J$7:$J$406,$A28,$O$7:$O$406,"&lt;="&amp;Y$6,$P$7:$P$406,"&gt;="&amp;Y$6,$R$7:$R$406,"No"))</ns0:f>
        <ns0:v>0</ns0:v>
      </ns0:c>
      <ns0:c r="Z28" t="n">
        <ns0:f>IF($A28="",0,COUNTIFS($J$7:$J$406,$A28,$O$7:$O$406,"&lt;="&amp;Z$6,$P$7:$P$406,"&gt;="&amp;Z$6,$R$7:$R$406,"No"))</ns0:f>
        <ns0:v>0</ns0:v>
      </ns0:c>
      <ns0:c r="AA28" t="n">
        <ns0:f>IF($A28="",0,COUNTIFS($J$7:$J$406,$A28,$O$7:$O$406,"&lt;="&amp;AA$6,$P$7:$P$406,"&gt;="&amp;AA$6,$R$7:$R$406,"No"))</ns0:f>
        <ns0:v>0</ns0:v>
      </ns0:c>
      <ns0:c r="AB28" t="n">
        <ns0:f>IF($A28="",0,COUNTIFS($J$7:$J$406,$A28,$O$7:$O$406,"&lt;="&amp;AB$6,$P$7:$P$406,"&gt;="&amp;AB$6,$R$7:$R$406,"No"))</ns0:f>
        <ns0:v>0</ns0:v>
      </ns0:c>
      <ns0:c r="AC28" t="n">
        <ns0:f>IF($A28="",0,COUNTIFS($J$7:$J$406,$A28,$O$7:$O$406,"&lt;="&amp;AC$6,$P$7:$P$406,"&gt;="&amp;AC$6,$R$7:$R$406,"No"))</ns0:f>
        <ns0:v>0</ns0:v>
      </ns0:c>
      <ns0:c r="AD28" t="n">
        <ns0:f>IF($A28="",0,COUNTIFS($J$7:$J$406,$A28,$O$7:$O$406,"&lt;="&amp;AD$6,$P$7:$P$406,"&gt;="&amp;AD$6,$R$7:$R$406,"No"))</ns0:f>
        <ns0:v>0</ns0:v>
      </ns0:c>
      <ns0:c r="AE28" t="n">
        <ns0:f>IF($A28="",0,COUNTIFS($J$7:$J$406,$A28,$O$7:$O$406,"&lt;="&amp;AE$6,$P$7:$P$406,"&gt;="&amp;AE$6,$R$7:$R$406,"No"))</ns0:f>
        <ns0:v>0</ns0:v>
      </ns0:c>
      <ns0:c r="AF28" t="n">
        <ns0:f>IF($A28="",0,COUNTIFS($J$7:$J$406,$A28,$O$7:$O$406,"&lt;="&amp;AF$6,$P$7:$P$406,"&gt;="&amp;AF$6,$R$7:$R$406,"No"))</ns0:f>
        <ns0:v>0</ns0:v>
      </ns0:c>
      <ns0:c r="AG28" t="n">
        <ns0:f>IF($A28="",0,COUNTIFS($J$7:$J$406,$A28,$O$7:$O$406,"&lt;="&amp;AG$6,$P$7:$P$406,"&gt;="&amp;AG$6,$R$7:$R$406,"No"))</ns0:f>
        <ns0:v>0</ns0:v>
      </ns0:c>
      <ns0:c r="AH28" t="n">
        <ns0:f>IF($A28="",0,COUNTIFS($J$7:$J$406,$A28,$O$7:$O$406,"&lt;="&amp;AH$6,$P$7:$P$406,"&gt;="&amp;AH$6,$R$7:$R$406,"No"))</ns0:f>
        <ns0:v>0</ns0:v>
      </ns0:c>
      <ns0:c r="AI28" t="n">
        <ns0:f>IF($A28="",0,COUNTIFS($J$7:$J$406,$A28,$O$7:$O$406,"&lt;="&amp;AI$6,$P$7:$P$406,"&gt;="&amp;AI$6,$R$7:$R$406,"No"))</ns0:f>
        <ns0:v>0</ns0:v>
      </ns0:c>
      <ns0:c r="AJ28" t="n">
        <ns0:f>IF($A28="",0,COUNTIFS($J$7:$J$406,$A28,$O$7:$O$406,"&lt;="&amp;AJ$6,$P$7:$P$406,"&gt;="&amp;AJ$6,$R$7:$R$406,"No"))</ns0:f>
        <ns0:v>0</ns0:v>
      </ns0:c>
      <ns0:c r="AK28" t="n">
        <ns0:f>IF($A28="",0,COUNTIFS($J$7:$J$406,$A28,$O$7:$O$406,"&lt;="&amp;AK$6,$P$7:$P$406,"&gt;="&amp;AK$6,$R$7:$R$406,"No"))</ns0:f>
        <ns0:v>0</ns0:v>
      </ns0:c>
      <ns0:c r="AL28" t="n">
        <ns0:f>IF($A28="",0,COUNTIFS($J$7:$J$406,$A28,$O$7:$O$406,"&lt;="&amp;AL$6,$P$7:$P$406,"&gt;="&amp;AL$6,$R$7:$R$406,"No"))</ns0:f>
        <ns0:v>0</ns0:v>
      </ns0:c>
      <ns0:c r="AM28" t="n">
        <ns0:f>IF($A28="",0,COUNTIFS($J$7:$J$406,$A28,$O$7:$O$406,"&lt;="&amp;AM$6,$P$7:$P$406,"&gt;="&amp;AM$6,$R$7:$R$406,"No"))</ns0:f>
        <ns0:v>0</ns0:v>
      </ns0:c>
      <ns0:c r="AN28" t="n">
        <ns0:f>IF($A28="",0,COUNTIFS($J$7:$J$406,$A28,$O$7:$O$406,"&lt;="&amp;AN$6,$P$7:$P$406,"&gt;="&amp;AN$6,$R$7:$R$406,"No"))</ns0:f>
        <ns0:v>0</ns0:v>
      </ns0:c>
      <ns0:c r="AO28" t="n">
        <ns0:f>IF($A28="",0,COUNTIFS($J$7:$J$406,$A28,$O$7:$O$406,"&lt;="&amp;AO$6,$P$7:$P$406,"&gt;="&amp;AO$6,$R$7:$R$406,"No"))</ns0:f>
        <ns0:v>0</ns0:v>
      </ns0:c>
      <ns0:c r="AP28" t="n">
        <ns0:f>IF($A28="",0,COUNTIFS($J$7:$J$406,$A28,$O$7:$O$406,"&lt;="&amp;AP$6,$P$7:$P$406,"&gt;="&amp;AP$6,$R$7:$R$406,"No"))</ns0:f>
        <ns0:v>1</ns0:v>
      </ns0:c>
      <ns0:c r="AQ28" t="n">
        <ns0:f>IF($A28="",0,COUNTIFS($J$7:$J$406,$A28,$O$7:$O$406,"&lt;="&amp;AQ$6,$P$7:$P$406,"&gt;="&amp;AQ$6,$R$7:$R$406,"No"))</ns0:f>
        <ns0:v>0</ns0:v>
      </ns0:c>
      <ns0:c r="AR28" t="n">
        <ns0:f>IF($A28="",0,COUNTIFS($J$7:$J$406,$A28,$O$7:$O$406,"&lt;="&amp;AR$6,$P$7:$P$406,"&gt;="&amp;AR$6,$R$7:$R$406,"No"))</ns0:f>
        <ns0:v>0</ns0:v>
      </ns0:c>
      <ns0:c r="AS28" t="n">
        <ns0:f>IF($A28="",0,COUNTIFS($J$7:$J$406,$A28,$O$7:$O$406,"&lt;="&amp;AS$6,$P$7:$P$406,"&gt;="&amp;AS$6,$R$7:$R$406,"No"))</ns0:f>
        <ns0:v>0</ns0:v>
      </ns0:c>
      <ns0:c r="AT28" t="n">
        <ns0:f>IF($A28="",0,COUNTIFS($J$7:$J$406,$A28,$O$7:$O$406,"&lt;="&amp;AT$6,$P$7:$P$406,"&gt;="&amp;AT$6,$R$7:$R$406,"No"))</ns0:f>
        <ns0:v>0</ns0:v>
      </ns0:c>
      <ns0:c r="AU28" t="n">
        <ns0:f>IF($A28="",0,COUNTIFS($J$7:$J$406,$A28,$O$7:$O$406,"&lt;="&amp;AU$6,$P$7:$P$406,"&gt;="&amp;AU$6,$R$7:$R$406,"No"))</ns0:f>
        <ns0:v>0</ns0:v>
      </ns0:c>
      <ns0:c r="AV28" t="n">
        <ns0:f>IF($A28="",0,COUNTIFS($J$7:$J$406,$A28,$O$7:$O$406,"&lt;="&amp;AV$6,$P$7:$P$406,"&gt;="&amp;AV$6,$R$7:$R$406,"No"))</ns0:f>
        <ns0:v>0</ns0:v>
      </ns0:c>
      <ns0:c r="AW28" t="n">
        <ns0:f>IF($A28="",0,COUNTIFS($J$7:$J$406,$A28,$O$7:$O$406,"&lt;="&amp;AW$6,$P$7:$P$406,"&gt;="&amp;AW$6,$R$7:$R$406,"No"))</ns0:f>
        <ns0:v>0</ns0:v>
      </ns0:c>
      <ns0:c r="AX28" t="n">
        <ns0:f>IF($A28="",0,COUNTIFS($J$7:$J$406,$A28,$O$7:$O$406,"&lt;="&amp;AX$6,$P$7:$P$406,"&gt;="&amp;AX$6,$R$7:$R$406,"No"))</ns0:f>
        <ns0:v>0</ns0:v>
      </ns0:c>
      <ns0:c r="AY28" t="n">
        <ns0:f>IF($A28="",0,COUNTIFS($J$7:$J$406,$A28,$O$7:$O$406,"&lt;="&amp;AY$6,$P$7:$P$406,"&gt;="&amp;AY$6,$R$7:$R$406,"No"))</ns0:f>
        <ns0:v>0</ns0:v>
      </ns0:c>
      <ns0:c r="AZ28" t="n">
        <ns0:f>IF($A28="",0,COUNTIFS($J$7:$J$406,$A28,$O$7:$O$406,"&lt;="&amp;AZ$6,$P$7:$P$406,"&gt;="&amp;AZ$6,$R$7:$R$406,"No"))</ns0:f>
        <ns0:v>0</ns0:v>
      </ns0:c>
      <ns0:c r="BA28" t="n">
        <ns0:f>IF($A28="",0,COUNTIFS($J$7:$J$406,$A28,$O$7:$O$406,"&lt;="&amp;BA$6,$P$7:$P$406,"&gt;="&amp;BA$6,$R$7:$R$406,"No"))</ns0:f>
        <ns0:v>0</ns0:v>
      </ns0:c>
      <ns0:c r="BB28" t="n">
        <ns0:f>IF($A28="",0,COUNTIFS($J$7:$J$406,$A28,$O$7:$O$406,"&lt;="&amp;BB$6,$P$7:$P$406,"&gt;="&amp;BB$6,$R$7:$R$406,"No"))</ns0:f>
        <ns0:v>0</ns0:v>
      </ns0:c>
      <ns0:c r="BC28" t="n">
        <ns0:f>IF($A28="",0,COUNTIFS($J$7:$J$406,$A28,$O$7:$O$406,"&lt;="&amp;BC$6,$P$7:$P$406,"&gt;="&amp;BC$6,$R$7:$R$406,"No"))</ns0:f>
        <ns0:v>0</ns0:v>
      </ns0:c>
    </ns0:row>
    <ns0:row r="29" ht="48" customHeight="1">
      <ns0:c r="A29" s="8" t="str">
        <ns0:f>IF(ROW()-6&gt;MAX($K$7:$K$406),"",INDEX($J$7:$J$406,MATCH(ROW()-6,$K$7:$K$406,0)))</ns0:f>
        <ns0:v>Outbound Actuation MCP Boundary</ns0:v>
      </ns0:c>
      <ns0:c r="B29" s="8" t="n">
        <ns0:f>IF(A29="","",COUNTIFS($J$7:$J$406,$A29))</ns0:f>
        <ns0:v>4</ns0:v>
      </ns0:c>
      <ns0:c r="C29" s="8" t="n">
        <ns0:f>IF(A29="","",COUNTIFS($J$7:$J$406,$A29,$N$7:$N$406,1))</ns0:f>
        <ns0:v>0</ns0:v>
      </ns0:c>
      <ns0:c r="D29" s="8" t="n">
        <ns0:f>IF(A29="","",COUNTIFS($J$7:$J$406,$A29,$Q$7:$Q$406,"In Progress"))</ns0:f>
        <ns0:v>0</ns0:v>
      </ns0:c>
      <ns0:c r="E29" s="8" t="n">
        <ns0:f>IF(A29="","",B29-C29)</ns0:f>
        <ns0:v>4</ns0:v>
      </ns0:c>
      <ns0:c r="F29" s="19" t="n">
        <ns0:f>IF(A29="","",SUMIFS($N$7:$N$406,$J$7:$J$406,$A29)/B29)</ns0:f>
        <ns0:v>0</ns0:v>
      </ns0:c>
      <ns0:c r="G29" s="8" t="n">
        <ns0:f>IF(A29="","",COUNTIFS(V29:BC29,"&gt;1"))</ns0:f>
        <ns0:v>2</ns0:v>
      </ns0:c>
      <ns0:c r="H29" s="8" t="str">
        <ns0:f>IF(A29="","",IF(COUNTIFS($T$7:$T$33,A29)&gt;0,INDEX($U$7:$U$33,MATCH(A29,$T$7:$T$33,0)),"No capacity or responsibility detail supplied."))</ns0:f>
        <ns0:v>Security egress perimeter; validates audience tokens and dispatches signed API calls to external surfaces.</ns0:v>
      </ns0:c>
      <ns0:c r="J29" t="str">
        <ns0:f>IF('Project Tracker'!A12="","",TRIM(MID(SUBSTITUTE('Project Tracker'!K12,";",REPT(" ",150)),301,150)))</ns0:f>
      </ns0:c>
      <ns0:c r="K29" t="str">
        <ns0:f>IF(J29="","",IF(COUNTIFS($J$7:J29,J29)=1,MAX($K$6:K28)+1,""))</ns0:f>
      </ns0:c>
      <ns0:c r="L29" t="n">
        <ns0:f>IF(A29="",0,B29+(107-ROW())/1000)</ns0:f>
        <ns0:v>4.078</ns0:v>
      </ns0:c>
      <ns0:c r="M29" t="str">
        <ns0:f>IF(J29="","",'Project Tracker'!A12)</ns0:f>
      </ns0:c>
      <ns0:c r="N29" t="str">
        <ns0:f>IF(J29="","",'Project Tracker'!N12)</ns0:f>
      </ns0:c>
      <ns0:c r="O29" t="str">
        <ns0:f>IF(J29="","",'Project Tracker'!E12)</ns0:f>
      </ns0:c>
      <ns0:c r="P29" t="str">
        <ns0:f>IF(J29="","",'Project Tracker'!F12)</ns0:f>
      </ns0:c>
      <ns0:c r="Q29" t="str">
        <ns0:f>IF(J29="","",'Project Tracker'!Q12)</ns0:f>
      </ns0:c>
      <ns0:c r="R29" t="str">
        <ns0:f>IF(J29="","",'Project Tracker'!J12)</ns0:f>
      </ns0:c>
      <ns0:c r="T29" t="str">
        <ns0:v>Paid Ad Platforms (Meta, Google, TikTok)</ns0:v>
      </ns0:c>
      <ns0:c r="U29" t="str">
        <ns0:v>External media platforms; receives campaign payloads, audience targeting, and spend allocations.</ns0:v>
      </ns0:c>
      <ns0:c r="V29" t="n">
        <ns0:f>IF($A29="",0,COUNTIFS($J$7:$J$406,$A29,$O$7:$O$406,"&lt;="&amp;V$6,$P$7:$P$406,"&gt;="&amp;V$6,$R$7:$R$406,"No"))</ns0:f>
        <ns0:v>0</ns0:v>
      </ns0:c>
      <ns0:c r="W29" t="n">
        <ns0:f>IF($A29="",0,COUNTIFS($J$7:$J$406,$A29,$O$7:$O$406,"&lt;="&amp;W$6,$P$7:$P$406,"&gt;="&amp;W$6,$R$7:$R$406,"No"))</ns0:f>
        <ns0:v>0</ns0:v>
      </ns0:c>
      <ns0:c r="X29" t="n">
        <ns0:f>IF($A29="",0,COUNTIFS($J$7:$J$406,$A29,$O$7:$O$406,"&lt;="&amp;X$6,$P$7:$P$406,"&gt;="&amp;X$6,$R$7:$R$406,"No"))</ns0:f>
        <ns0:v>0</ns0:v>
      </ns0:c>
      <ns0:c r="Y29" t="n">
        <ns0:f>IF($A29="",0,COUNTIFS($J$7:$J$406,$A29,$O$7:$O$406,"&lt;="&amp;Y$6,$P$7:$P$406,"&gt;="&amp;Y$6,$R$7:$R$406,"No"))</ns0:f>
        <ns0:v>0</ns0:v>
      </ns0:c>
      <ns0:c r="Z29" t="n">
        <ns0:f>IF($A29="",0,COUNTIFS($J$7:$J$406,$A29,$O$7:$O$406,"&lt;="&amp;Z$6,$P$7:$P$406,"&gt;="&amp;Z$6,$R$7:$R$406,"No"))</ns0:f>
        <ns0:v>0</ns0:v>
      </ns0:c>
      <ns0:c r="AA29" t="n">
        <ns0:f>IF($A29="",0,COUNTIFS($J$7:$J$406,$A29,$O$7:$O$406,"&lt;="&amp;AA$6,$P$7:$P$406,"&gt;="&amp;AA$6,$R$7:$R$406,"No"))</ns0:f>
        <ns0:v>0</ns0:v>
      </ns0:c>
      <ns0:c r="AB29" t="n">
        <ns0:f>IF($A29="",0,COUNTIFS($J$7:$J$406,$A29,$O$7:$O$406,"&lt;="&amp;AB$6,$P$7:$P$406,"&gt;="&amp;AB$6,$R$7:$R$406,"No"))</ns0:f>
        <ns0:v>0</ns0:v>
      </ns0:c>
      <ns0:c r="AC29" t="n">
        <ns0:f>IF($A29="",0,COUNTIFS($J$7:$J$406,$A29,$O$7:$O$406,"&lt;="&amp;AC$6,$P$7:$P$406,"&gt;="&amp;AC$6,$R$7:$R$406,"No"))</ns0:f>
        <ns0:v>0</ns0:v>
      </ns0:c>
      <ns0:c r="AD29" t="n">
        <ns0:f>IF($A29="",0,COUNTIFS($J$7:$J$406,$A29,$O$7:$O$406,"&lt;="&amp;AD$6,$P$7:$P$406,"&gt;="&amp;AD$6,$R$7:$R$406,"No"))</ns0:f>
        <ns0:v>0</ns0:v>
      </ns0:c>
      <ns0:c r="AE29" t="n">
        <ns0:f>IF($A29="",0,COUNTIFS($J$7:$J$406,$A29,$O$7:$O$406,"&lt;="&amp;AE$6,$P$7:$P$406,"&gt;="&amp;AE$6,$R$7:$R$406,"No"))</ns0:f>
        <ns0:v>0</ns0:v>
      </ns0:c>
      <ns0:c r="AF29" t="n">
        <ns0:f>IF($A29="",0,COUNTIFS($J$7:$J$406,$A29,$O$7:$O$406,"&lt;="&amp;AF$6,$P$7:$P$406,"&gt;="&amp;AF$6,$R$7:$R$406,"No"))</ns0:f>
        <ns0:v>0</ns0:v>
      </ns0:c>
      <ns0:c r="AG29" t="n">
        <ns0:f>IF($A29="",0,COUNTIFS($J$7:$J$406,$A29,$O$7:$O$406,"&lt;="&amp;AG$6,$P$7:$P$406,"&gt;="&amp;AG$6,$R$7:$R$406,"No"))</ns0:f>
        <ns0:v>0</ns0:v>
      </ns0:c>
      <ns0:c r="AH29" t="n">
        <ns0:f>IF($A29="",0,COUNTIFS($J$7:$J$406,$A29,$O$7:$O$406,"&lt;="&amp;AH$6,$P$7:$P$406,"&gt;="&amp;AH$6,$R$7:$R$406,"No"))</ns0:f>
        <ns0:v>0</ns0:v>
      </ns0:c>
      <ns0:c r="AI29" t="n">
        <ns0:f>IF($A29="",0,COUNTIFS($J$7:$J$406,$A29,$O$7:$O$406,"&lt;="&amp;AI$6,$P$7:$P$406,"&gt;="&amp;AI$6,$R$7:$R$406,"No"))</ns0:f>
        <ns0:v>0</ns0:v>
      </ns0:c>
      <ns0:c r="AJ29" t="n">
        <ns0:f>IF($A29="",0,COUNTIFS($J$7:$J$406,$A29,$O$7:$O$406,"&lt;="&amp;AJ$6,$P$7:$P$406,"&gt;="&amp;AJ$6,$R$7:$R$406,"No"))</ns0:f>
        <ns0:v>0</ns0:v>
      </ns0:c>
      <ns0:c r="AK29" t="n">
        <ns0:f>IF($A29="",0,COUNTIFS($J$7:$J$406,$A29,$O$7:$O$406,"&lt;="&amp;AK$6,$P$7:$P$406,"&gt;="&amp;AK$6,$R$7:$R$406,"No"))</ns0:f>
        <ns0:v>0</ns0:v>
      </ns0:c>
      <ns0:c r="AL29" t="n">
        <ns0:f>IF($A29="",0,COUNTIFS($J$7:$J$406,$A29,$O$7:$O$406,"&lt;="&amp;AL$6,$P$7:$P$406,"&gt;="&amp;AL$6,$R$7:$R$406,"No"))</ns0:f>
        <ns0:v>0</ns0:v>
      </ns0:c>
      <ns0:c r="AM29" t="n">
        <ns0:f>IF($A29="",0,COUNTIFS($J$7:$J$406,$A29,$O$7:$O$406,"&lt;="&amp;AM$6,$P$7:$P$406,"&gt;="&amp;AM$6,$R$7:$R$406,"No"))</ns0:f>
        <ns0:v>0</ns0:v>
      </ns0:c>
      <ns0:c r="AN29" t="n">
        <ns0:f>IF($A29="",0,COUNTIFS($J$7:$J$406,$A29,$O$7:$O$406,"&lt;="&amp;AN$6,$P$7:$P$406,"&gt;="&amp;AN$6,$R$7:$R$406,"No"))</ns0:f>
        <ns0:v>0</ns0:v>
      </ns0:c>
      <ns0:c r="AO29" t="n">
        <ns0:f>IF($A29="",0,COUNTIFS($J$7:$J$406,$A29,$O$7:$O$406,"&lt;="&amp;AO$6,$P$7:$P$406,"&gt;="&amp;AO$6,$R$7:$R$406,"No"))</ns0:f>
        <ns0:v>0</ns0:v>
      </ns0:c>
      <ns0:c r="AP29" t="n">
        <ns0:f>IF($A29="",0,COUNTIFS($J$7:$J$406,$A29,$O$7:$O$406,"&lt;="&amp;AP$6,$P$7:$P$406,"&gt;="&amp;AP$6,$R$7:$R$406,"No"))</ns0:f>
        <ns0:v>0</ns0:v>
      </ns0:c>
      <ns0:c r="AQ29" t="n">
        <ns0:f>IF($A29="",0,COUNTIFS($J$7:$J$406,$A29,$O$7:$O$406,"&lt;="&amp;AQ$6,$P$7:$P$406,"&gt;="&amp;AQ$6,$R$7:$R$406,"No"))</ns0:f>
        <ns0:v>1</ns0:v>
      </ns0:c>
      <ns0:c r="AR29" t="n">
        <ns0:f>IF($A29="",0,COUNTIFS($J$7:$J$406,$A29,$O$7:$O$406,"&lt;="&amp;AR$6,$P$7:$P$406,"&gt;="&amp;AR$6,$R$7:$R$406,"No"))</ns0:f>
        <ns0:v>1</ns0:v>
      </ns0:c>
      <ns0:c r="AS29" t="n">
        <ns0:f>IF($A29="",0,COUNTIFS($J$7:$J$406,$A29,$O$7:$O$406,"&lt;="&amp;AS$6,$P$7:$P$406,"&gt;="&amp;AS$6,$R$7:$R$406,"No"))</ns0:f>
        <ns0:v>3</ns0:v>
      </ns0:c>
      <ns0:c r="AT29" t="n">
        <ns0:f>IF($A29="",0,COUNTIFS($J$7:$J$406,$A29,$O$7:$O$406,"&lt;="&amp;AT$6,$P$7:$P$406,"&gt;="&amp;AT$6,$R$7:$R$406,"No"))</ns0:f>
        <ns0:v>3</ns0:v>
      </ns0:c>
      <ns0:c r="AU29" t="n">
        <ns0:f>IF($A29="",0,COUNTIFS($J$7:$J$406,$A29,$O$7:$O$406,"&lt;="&amp;AU$6,$P$7:$P$406,"&gt;="&amp;AU$6,$R$7:$R$406,"No"))</ns0:f>
        <ns0:v>0</ns0:v>
      </ns0:c>
      <ns0:c r="AV29" t="n">
        <ns0:f>IF($A29="",0,COUNTIFS($J$7:$J$406,$A29,$O$7:$O$406,"&lt;="&amp;AV$6,$P$7:$P$406,"&gt;="&amp;AV$6,$R$7:$R$406,"No"))</ns0:f>
        <ns0:v>0</ns0:v>
      </ns0:c>
      <ns0:c r="AW29" t="n">
        <ns0:f>IF($A29="",0,COUNTIFS($J$7:$J$406,$A29,$O$7:$O$406,"&lt;="&amp;AW$6,$P$7:$P$406,"&gt;="&amp;AW$6,$R$7:$R$406,"No"))</ns0:f>
        <ns0:v>0</ns0:v>
      </ns0:c>
      <ns0:c r="AX29" t="n">
        <ns0:f>IF($A29="",0,COUNTIFS($J$7:$J$406,$A29,$O$7:$O$406,"&lt;="&amp;AX$6,$P$7:$P$406,"&gt;="&amp;AX$6,$R$7:$R$406,"No"))</ns0:f>
        <ns0:v>0</ns0:v>
      </ns0:c>
      <ns0:c r="AY29" t="n">
        <ns0:f>IF($A29="",0,COUNTIFS($J$7:$J$406,$A29,$O$7:$O$406,"&lt;="&amp;AY$6,$P$7:$P$406,"&gt;="&amp;AY$6,$R$7:$R$406,"No"))</ns0:f>
        <ns0:v>0</ns0:v>
      </ns0:c>
      <ns0:c r="AZ29" t="n">
        <ns0:f>IF($A29="",0,COUNTIFS($J$7:$J$406,$A29,$O$7:$O$406,"&lt;="&amp;AZ$6,$P$7:$P$406,"&gt;="&amp;AZ$6,$R$7:$R$406,"No"))</ns0:f>
        <ns0:v>0</ns0:v>
      </ns0:c>
      <ns0:c r="BA29" t="n">
        <ns0:f>IF($A29="",0,COUNTIFS($J$7:$J$406,$A29,$O$7:$O$406,"&lt;="&amp;BA$6,$P$7:$P$406,"&gt;="&amp;BA$6,$R$7:$R$406,"No"))</ns0:f>
        <ns0:v>0</ns0:v>
      </ns0:c>
      <ns0:c r="BB29" t="n">
        <ns0:f>IF($A29="",0,COUNTIFS($J$7:$J$406,$A29,$O$7:$O$406,"&lt;="&amp;BB$6,$P$7:$P$406,"&gt;="&amp;BB$6,$R$7:$R$406,"No"))</ns0:f>
        <ns0:v>0</ns0:v>
      </ns0:c>
      <ns0:c r="BC29" t="n">
        <ns0:f>IF($A29="",0,COUNTIFS($J$7:$J$406,$A29,$O$7:$O$406,"&lt;="&amp;BC$6,$P$7:$P$406,"&gt;="&amp;BC$6,$R$7:$R$406,"No"))</ns0:f>
        <ns0:v>0</ns0:v>
      </ns0:c>
    </ns0:row>
    <ns0:row r="30" ht="48" customHeight="1">
      <ns0:c r="A30" s="8" t="str">
        <ns0:f>IF(ROW()-6&gt;MAX($K$7:$K$406),"",INDEX($J$7:$J$406,MATCH(ROW()-6,$K$7:$K$406,0)))</ns0:f>
        <ns0:v>Live Website &amp; Headless CMS Surface</ns0:v>
      </ns0:c>
      <ns0:c r="B30" s="8" t="n">
        <ns0:f>IF(A30="","",COUNTIFS($J$7:$J$406,$A30))</ns0:f>
        <ns0:v>1</ns0:v>
      </ns0:c>
      <ns0:c r="C30" s="8" t="n">
        <ns0:f>IF(A30="","",COUNTIFS($J$7:$J$406,$A30,$N$7:$N$406,1))</ns0:f>
        <ns0:v>0</ns0:v>
      </ns0:c>
      <ns0:c r="D30" s="8" t="n">
        <ns0:f>IF(A30="","",COUNTIFS($J$7:$J$406,$A30,$Q$7:$Q$406,"In Progress"))</ns0:f>
        <ns0:v>0</ns0:v>
      </ns0:c>
      <ns0:c r="E30" s="8" t="n">
        <ns0:f>IF(A30="","",B30-C30)</ns0:f>
        <ns0:v>1</ns0:v>
      </ns0:c>
      <ns0:c r="F30" s="19" t="n">
        <ns0:f>IF(A30="","",SUMIFS($N$7:$N$406,$J$7:$J$406,$A30)/B30)</ns0:f>
        <ns0:v>0</ns0:v>
      </ns0:c>
      <ns0:c r="G30" s="8" t="n">
        <ns0:f>IF(A30="","",COUNTIFS(V30:BC30,"&gt;1"))</ns0:f>
        <ns0:v>0</ns0:v>
      </ns0:c>
      <ns0:c r="H30" s="8" t="str">
        <ns0:f>IF(A30="","",IF(COUNTIFS($T$7:$T$33,A30)&gt;0,INDEX($U$7:$U$33,MATCH(A30,$T$7:$T$33,0)),"No capacity or responsibility detail supplied."))</ns0:f>
        <ns0:v>External production runtime; hosts live storefront, product catalog, and user-facing web applications.</ns0:v>
      </ns0:c>
      <ns0:c r="J30" t="str">
        <ns0:f>IF('Project Tracker'!A12="","",TRIM(MID(SUBSTITUTE('Project Tracker'!K12,";",REPT(" ",150)),451,150)))</ns0:f>
      </ns0:c>
      <ns0:c r="K30" t="str">
        <ns0:f>IF(J30="","",IF(COUNTIFS($J$7:J30,J30)=1,MAX($K$6:K29)+1,""))</ns0:f>
      </ns0:c>
      <ns0:c r="L30" t="n">
        <ns0:f>IF(A30="",0,B30+(107-ROW())/1000)</ns0:f>
        <ns0:v>1.077</ns0:v>
      </ns0:c>
      <ns0:c r="M30" t="str">
        <ns0:f>IF(J30="","",'Project Tracker'!A12)</ns0:f>
      </ns0:c>
      <ns0:c r="N30" t="str">
        <ns0:f>IF(J30="","",'Project Tracker'!N12)</ns0:f>
      </ns0:c>
      <ns0:c r="O30" t="str">
        <ns0:f>IF(J30="","",'Project Tracker'!E12)</ns0:f>
      </ns0:c>
      <ns0:c r="P30" t="str">
        <ns0:f>IF(J30="","",'Project Tracker'!F12)</ns0:f>
      </ns0:c>
      <ns0:c r="Q30" t="str">
        <ns0:f>IF(J30="","",'Project Tracker'!Q12)</ns0:f>
      </ns0:c>
      <ns0:c r="R30" t="str">
        <ns0:f>IF(J30="","",'Project Tracker'!J12)</ns0:f>
      </ns0:c>
      <ns0:c r="T30" t="str">
        <ns0:v>Social Channels (Instagram, X, YouTube)</ns0:v>
      </ns0:c>
      <ns0:c r="U30" t="str">
        <ns0:v>External content channels; receives scheduled social posts, copy packages, and media assets.</ns0:v>
      </ns0:c>
      <ns0:c r="V30" t="n">
        <ns0:f>IF($A30="",0,COUNTIFS($J$7:$J$406,$A30,$O$7:$O$406,"&lt;="&amp;V$6,$P$7:$P$406,"&gt;="&amp;V$6,$R$7:$R$406,"No"))</ns0:f>
        <ns0:v>0</ns0:v>
      </ns0:c>
      <ns0:c r="W30" t="n">
        <ns0:f>IF($A30="",0,COUNTIFS($J$7:$J$406,$A30,$O$7:$O$406,"&lt;="&amp;W$6,$P$7:$P$406,"&gt;="&amp;W$6,$R$7:$R$406,"No"))</ns0:f>
        <ns0:v>0</ns0:v>
      </ns0:c>
      <ns0:c r="X30" t="n">
        <ns0:f>IF($A30="",0,COUNTIFS($J$7:$J$406,$A30,$O$7:$O$406,"&lt;="&amp;X$6,$P$7:$P$406,"&gt;="&amp;X$6,$R$7:$R$406,"No"))</ns0:f>
        <ns0:v>0</ns0:v>
      </ns0:c>
      <ns0:c r="Y30" t="n">
        <ns0:f>IF($A30="",0,COUNTIFS($J$7:$J$406,$A30,$O$7:$O$406,"&lt;="&amp;Y$6,$P$7:$P$406,"&gt;="&amp;Y$6,$R$7:$R$406,"No"))</ns0:f>
        <ns0:v>0</ns0:v>
      </ns0:c>
      <ns0:c r="Z30" t="n">
        <ns0:f>IF($A30="",0,COUNTIFS($J$7:$J$406,$A30,$O$7:$O$406,"&lt;="&amp;Z$6,$P$7:$P$406,"&gt;="&amp;Z$6,$R$7:$R$406,"No"))</ns0:f>
        <ns0:v>0</ns0:v>
      </ns0:c>
      <ns0:c r="AA30" t="n">
        <ns0:f>IF($A30="",0,COUNTIFS($J$7:$J$406,$A30,$O$7:$O$406,"&lt;="&amp;AA$6,$P$7:$P$406,"&gt;="&amp;AA$6,$R$7:$R$406,"No"))</ns0:f>
        <ns0:v>0</ns0:v>
      </ns0:c>
      <ns0:c r="AB30" t="n">
        <ns0:f>IF($A30="",0,COUNTIFS($J$7:$J$406,$A30,$O$7:$O$406,"&lt;="&amp;AB$6,$P$7:$P$406,"&gt;="&amp;AB$6,$R$7:$R$406,"No"))</ns0:f>
        <ns0:v>0</ns0:v>
      </ns0:c>
      <ns0:c r="AC30" t="n">
        <ns0:f>IF($A30="",0,COUNTIFS($J$7:$J$406,$A30,$O$7:$O$406,"&lt;="&amp;AC$6,$P$7:$P$406,"&gt;="&amp;AC$6,$R$7:$R$406,"No"))</ns0:f>
        <ns0:v>0</ns0:v>
      </ns0:c>
      <ns0:c r="AD30" t="n">
        <ns0:f>IF($A30="",0,COUNTIFS($J$7:$J$406,$A30,$O$7:$O$406,"&lt;="&amp;AD$6,$P$7:$P$406,"&gt;="&amp;AD$6,$R$7:$R$406,"No"))</ns0:f>
        <ns0:v>0</ns0:v>
      </ns0:c>
      <ns0:c r="AE30" t="n">
        <ns0:f>IF($A30="",0,COUNTIFS($J$7:$J$406,$A30,$O$7:$O$406,"&lt;="&amp;AE$6,$P$7:$P$406,"&gt;="&amp;AE$6,$R$7:$R$406,"No"))</ns0:f>
        <ns0:v>0</ns0:v>
      </ns0:c>
      <ns0:c r="AF30" t="n">
        <ns0:f>IF($A30="",0,COUNTIFS($J$7:$J$406,$A30,$O$7:$O$406,"&lt;="&amp;AF$6,$P$7:$P$406,"&gt;="&amp;AF$6,$R$7:$R$406,"No"))</ns0:f>
        <ns0:v>0</ns0:v>
      </ns0:c>
      <ns0:c r="AG30" t="n">
        <ns0:f>IF($A30="",0,COUNTIFS($J$7:$J$406,$A30,$O$7:$O$406,"&lt;="&amp;AG$6,$P$7:$P$406,"&gt;="&amp;AG$6,$R$7:$R$406,"No"))</ns0:f>
        <ns0:v>0</ns0:v>
      </ns0:c>
      <ns0:c r="AH30" t="n">
        <ns0:f>IF($A30="",0,COUNTIFS($J$7:$J$406,$A30,$O$7:$O$406,"&lt;="&amp;AH$6,$P$7:$P$406,"&gt;="&amp;AH$6,$R$7:$R$406,"No"))</ns0:f>
        <ns0:v>0</ns0:v>
      </ns0:c>
      <ns0:c r="AI30" t="n">
        <ns0:f>IF($A30="",0,COUNTIFS($J$7:$J$406,$A30,$O$7:$O$406,"&lt;="&amp;AI$6,$P$7:$P$406,"&gt;="&amp;AI$6,$R$7:$R$406,"No"))</ns0:f>
        <ns0:v>0</ns0:v>
      </ns0:c>
      <ns0:c r="AJ30" t="n">
        <ns0:f>IF($A30="",0,COUNTIFS($J$7:$J$406,$A30,$O$7:$O$406,"&lt;="&amp;AJ$6,$P$7:$P$406,"&gt;="&amp;AJ$6,$R$7:$R$406,"No"))</ns0:f>
        <ns0:v>0</ns0:v>
      </ns0:c>
      <ns0:c r="AK30" t="n">
        <ns0:f>IF($A30="",0,COUNTIFS($J$7:$J$406,$A30,$O$7:$O$406,"&lt;="&amp;AK$6,$P$7:$P$406,"&gt;="&amp;AK$6,$R$7:$R$406,"No"))</ns0:f>
        <ns0:v>0</ns0:v>
      </ns0:c>
      <ns0:c r="AL30" t="n">
        <ns0:f>IF($A30="",0,COUNTIFS($J$7:$J$406,$A30,$O$7:$O$406,"&lt;="&amp;AL$6,$P$7:$P$406,"&gt;="&amp;AL$6,$R$7:$R$406,"No"))</ns0:f>
        <ns0:v>0</ns0:v>
      </ns0:c>
      <ns0:c r="AM30" t="n">
        <ns0:f>IF($A30="",0,COUNTIFS($J$7:$J$406,$A30,$O$7:$O$406,"&lt;="&amp;AM$6,$P$7:$P$406,"&gt;="&amp;AM$6,$R$7:$R$406,"No"))</ns0:f>
        <ns0:v>0</ns0:v>
      </ns0:c>
      <ns0:c r="AN30" t="n">
        <ns0:f>IF($A30="",0,COUNTIFS($J$7:$J$406,$A30,$O$7:$O$406,"&lt;="&amp;AN$6,$P$7:$P$406,"&gt;="&amp;AN$6,$R$7:$R$406,"No"))</ns0:f>
        <ns0:v>0</ns0:v>
      </ns0:c>
      <ns0:c r="AO30" t="n">
        <ns0:f>IF($A30="",0,COUNTIFS($J$7:$J$406,$A30,$O$7:$O$406,"&lt;="&amp;AO$6,$P$7:$P$406,"&gt;="&amp;AO$6,$R$7:$R$406,"No"))</ns0:f>
        <ns0:v>0</ns0:v>
      </ns0:c>
      <ns0:c r="AP30" t="n">
        <ns0:f>IF($A30="",0,COUNTIFS($J$7:$J$406,$A30,$O$7:$O$406,"&lt;="&amp;AP$6,$P$7:$P$406,"&gt;="&amp;AP$6,$R$7:$R$406,"No"))</ns0:f>
        <ns0:v>0</ns0:v>
      </ns0:c>
      <ns0:c r="AQ30" t="n">
        <ns0:f>IF($A30="",0,COUNTIFS($J$7:$J$406,$A30,$O$7:$O$406,"&lt;="&amp;AQ$6,$P$7:$P$406,"&gt;="&amp;AQ$6,$R$7:$R$406,"No"))</ns0:f>
        <ns0:v>0</ns0:v>
      </ns0:c>
      <ns0:c r="AR30" t="n">
        <ns0:f>IF($A30="",0,COUNTIFS($J$7:$J$406,$A30,$O$7:$O$406,"&lt;="&amp;AR$6,$P$7:$P$406,"&gt;="&amp;AR$6,$R$7:$R$406,"No"))</ns0:f>
        <ns0:v>0</ns0:v>
      </ns0:c>
      <ns0:c r="AS30" t="n">
        <ns0:f>IF($A30="",0,COUNTIFS($J$7:$J$406,$A30,$O$7:$O$406,"&lt;="&amp;AS$6,$P$7:$P$406,"&gt;="&amp;AS$6,$R$7:$R$406,"No"))</ns0:f>
        <ns0:v>1</ns0:v>
      </ns0:c>
      <ns0:c r="AT30" t="n">
        <ns0:f>IF($A30="",0,COUNTIFS($J$7:$J$406,$A30,$O$7:$O$406,"&lt;="&amp;AT$6,$P$7:$P$406,"&gt;="&amp;AT$6,$R$7:$R$406,"No"))</ns0:f>
        <ns0:v>1</ns0:v>
      </ns0:c>
      <ns0:c r="AU30" t="n">
        <ns0:f>IF($A30="",0,COUNTIFS($J$7:$J$406,$A30,$O$7:$O$406,"&lt;="&amp;AU$6,$P$7:$P$406,"&gt;="&amp;AU$6,$R$7:$R$406,"No"))</ns0:f>
        <ns0:v>0</ns0:v>
      </ns0:c>
      <ns0:c r="AV30" t="n">
        <ns0:f>IF($A30="",0,COUNTIFS($J$7:$J$406,$A30,$O$7:$O$406,"&lt;="&amp;AV$6,$P$7:$P$406,"&gt;="&amp;AV$6,$R$7:$R$406,"No"))</ns0:f>
        <ns0:v>0</ns0:v>
      </ns0:c>
      <ns0:c r="AW30" t="n">
        <ns0:f>IF($A30="",0,COUNTIFS($J$7:$J$406,$A30,$O$7:$O$406,"&lt;="&amp;AW$6,$P$7:$P$406,"&gt;="&amp;AW$6,$R$7:$R$406,"No"))</ns0:f>
        <ns0:v>0</ns0:v>
      </ns0:c>
      <ns0:c r="AX30" t="n">
        <ns0:f>IF($A30="",0,COUNTIFS($J$7:$J$406,$A30,$O$7:$O$406,"&lt;="&amp;AX$6,$P$7:$P$406,"&gt;="&amp;AX$6,$R$7:$R$406,"No"))</ns0:f>
        <ns0:v>0</ns0:v>
      </ns0:c>
      <ns0:c r="AY30" t="n">
        <ns0:f>IF($A30="",0,COUNTIFS($J$7:$J$406,$A30,$O$7:$O$406,"&lt;="&amp;AY$6,$P$7:$P$406,"&gt;="&amp;AY$6,$R$7:$R$406,"No"))</ns0:f>
        <ns0:v>0</ns0:v>
      </ns0:c>
      <ns0:c r="AZ30" t="n">
        <ns0:f>IF($A30="",0,COUNTIFS($J$7:$J$406,$A30,$O$7:$O$406,"&lt;="&amp;AZ$6,$P$7:$P$406,"&gt;="&amp;AZ$6,$R$7:$R$406,"No"))</ns0:f>
        <ns0:v>0</ns0:v>
      </ns0:c>
      <ns0:c r="BA30" t="n">
        <ns0:f>IF($A30="",0,COUNTIFS($J$7:$J$406,$A30,$O$7:$O$406,"&lt;="&amp;BA$6,$P$7:$P$406,"&gt;="&amp;BA$6,$R$7:$R$406,"No"))</ns0:f>
        <ns0:v>0</ns0:v>
      </ns0:c>
      <ns0:c r="BB30" t="n">
        <ns0:f>IF($A30="",0,COUNTIFS($J$7:$J$406,$A30,$O$7:$O$406,"&lt;="&amp;BB$6,$P$7:$P$406,"&gt;="&amp;BB$6,$R$7:$R$406,"No"))</ns0:f>
        <ns0:v>0</ns0:v>
      </ns0:c>
      <ns0:c r="BC30" t="n">
        <ns0:f>IF($A30="",0,COUNTIFS($J$7:$J$406,$A30,$O$7:$O$406,"&lt;="&amp;BC$6,$P$7:$P$406,"&gt;="&amp;BC$6,$R$7:$R$406,"No"))</ns0:f>
        <ns0:v>0</ns0:v>
      </ns0:c>
    </ns0:row>
    <ns0:row r="31" ht="48" customHeight="1">
      <ns0:c r="A31" s="8" t="str">
        <ns0:f>IF(ROW()-6&gt;MAX($K$7:$K$406),"",INDEX($J$7:$J$406,MATCH(ROW()-6,$K$7:$K$406,0)))</ns0:f>
        <ns0:v>Paid Ad Platforms (Meta, Google, TikTok)</ns0:v>
      </ns0:c>
      <ns0:c r="B31" s="8" t="n">
        <ns0:f>IF(A31="","",COUNTIFS($J$7:$J$406,$A31))</ns0:f>
        <ns0:v>1</ns0:v>
      </ns0:c>
      <ns0:c r="C31" s="8" t="n">
        <ns0:f>IF(A31="","",COUNTIFS($J$7:$J$406,$A31,$N$7:$N$406,1))</ns0:f>
        <ns0:v>0</ns0:v>
      </ns0:c>
      <ns0:c r="D31" s="8" t="n">
        <ns0:f>IF(A31="","",COUNTIFS($J$7:$J$406,$A31,$Q$7:$Q$406,"In Progress"))</ns0:f>
        <ns0:v>0</ns0:v>
      </ns0:c>
      <ns0:c r="E31" s="8" t="n">
        <ns0:f>IF(A31="","",B31-C31)</ns0:f>
        <ns0:v>1</ns0:v>
      </ns0:c>
      <ns0:c r="F31" s="19" t="n">
        <ns0:f>IF(A31="","",SUMIFS($N$7:$N$406,$J$7:$J$406,$A31)/B31)</ns0:f>
        <ns0:v>0</ns0:v>
      </ns0:c>
      <ns0:c r="G31" s="8" t="n">
        <ns0:f>IF(A31="","",COUNTIFS(V31:BC31,"&gt;1"))</ns0:f>
        <ns0:v>0</ns0:v>
      </ns0:c>
      <ns0:c r="H31" s="8" t="str">
        <ns0:f>IF(A31="","",IF(COUNTIFS($T$7:$T$33,A31)&gt;0,INDEX($U$7:$U$33,MATCH(A31,$T$7:$T$33,0)),"No capacity or responsibility detail supplied."))</ns0:f>
        <ns0:v>External media platforms; receives campaign payloads, audience targeting, and spend allocations.</ns0:v>
      </ns0:c>
      <ns0:c r="J31" t="str">
        <ns0:f>IF('Project Tracker'!A13="","",TRIM(MID(SUBSTITUTE('Project Tracker'!K13,";",REPT(" ",150)),1,150)))</ns0:f>
        <ns0:v>Headless CMS &amp; Web Store (CMS)</ns0:v>
      </ns0:c>
      <ns0:c r="K31" t="n">
        <ns0:f>IF(J31="","",IF(COUNTIFS($J$7:J31,J31)=1,MAX($K$6:K30)+1,""))</ns0:f>
        <ns0:v>7</ns0:v>
      </ns0:c>
      <ns0:c r="L31" t="n">
        <ns0:f>IF(A31="",0,B31+(107-ROW())/1000)</ns0:f>
        <ns0:v>1.076</ns0:v>
      </ns0:c>
      <ns0:c r="M31" t="str">
        <ns0:f>IF(J31="","",'Project Tracker'!A13)</ns0:f>
        <ns0:v>T06</ns0:v>
      </ns0:c>
      <ns0:c r="N31" t="n">
        <ns0:f>IF(J31="","",'Project Tracker'!N13)</ns0:f>
        <ns0:v>0</ns0:v>
      </ns0:c>
      <ns0:c r="O31" t="n">
        <ns0:f>IF(J31="","",'Project Tracker'!E13)</ns0:f>
        <ns0:v>46279</ns0:v>
      </ns0:c>
      <ns0:c r="P31" t="n">
        <ns0:f>IF(J31="","",'Project Tracker'!F13)</ns0:f>
        <ns0:v>46280</ns0:v>
      </ns0:c>
      <ns0:c r="Q31" t="str">
        <ns0:f>IF(J31="","",'Project Tracker'!Q13)</ns0:f>
        <ns0:v>Not Started</ns0:v>
      </ns0:c>
      <ns0:c r="R31" t="str">
        <ns0:f>IF(J31="","",'Project Tracker'!J13)</ns0:f>
        <ns0:v>No</ns0:v>
      </ns0:c>
      <ns0:c r="T31" t="str">
        <ns0:v>Omnichannel Telemetry Engine</ns0:v>
      </ns0:c>
      <ns0:c r="U31" t="str">
        <ns0:v>Real-time event ingestor; aggregates conversion webhooks, pixel events, and server logs.</ns0:v>
      </ns0:c>
      <ns0:c r="V31" t="n">
        <ns0:f>IF($A31="",0,COUNTIFS($J$7:$J$406,$A31,$O$7:$O$406,"&lt;="&amp;V$6,$P$7:$P$406,"&gt;="&amp;V$6,$R$7:$R$406,"No"))</ns0:f>
        <ns0:v>0</ns0:v>
      </ns0:c>
      <ns0:c r="W31" t="n">
        <ns0:f>IF($A31="",0,COUNTIFS($J$7:$J$406,$A31,$O$7:$O$406,"&lt;="&amp;W$6,$P$7:$P$406,"&gt;="&amp;W$6,$R$7:$R$406,"No"))</ns0:f>
        <ns0:v>0</ns0:v>
      </ns0:c>
      <ns0:c r="X31" t="n">
        <ns0:f>IF($A31="",0,COUNTIFS($J$7:$J$406,$A31,$O$7:$O$406,"&lt;="&amp;X$6,$P$7:$P$406,"&gt;="&amp;X$6,$R$7:$R$406,"No"))</ns0:f>
        <ns0:v>0</ns0:v>
      </ns0:c>
      <ns0:c r="Y31" t="n">
        <ns0:f>IF($A31="",0,COUNTIFS($J$7:$J$406,$A31,$O$7:$O$406,"&lt;="&amp;Y$6,$P$7:$P$406,"&gt;="&amp;Y$6,$R$7:$R$406,"No"))</ns0:f>
        <ns0:v>0</ns0:v>
      </ns0:c>
      <ns0:c r="Z31" t="n">
        <ns0:f>IF($A31="",0,COUNTIFS($J$7:$J$406,$A31,$O$7:$O$406,"&lt;="&amp;Z$6,$P$7:$P$406,"&gt;="&amp;Z$6,$R$7:$R$406,"No"))</ns0:f>
        <ns0:v>0</ns0:v>
      </ns0:c>
      <ns0:c r="AA31" t="n">
        <ns0:f>IF($A31="",0,COUNTIFS($J$7:$J$406,$A31,$O$7:$O$406,"&lt;="&amp;AA$6,$P$7:$P$406,"&gt;="&amp;AA$6,$R$7:$R$406,"No"))</ns0:f>
        <ns0:v>0</ns0:v>
      </ns0:c>
      <ns0:c r="AB31" t="n">
        <ns0:f>IF($A31="",0,COUNTIFS($J$7:$J$406,$A31,$O$7:$O$406,"&lt;="&amp;AB$6,$P$7:$P$406,"&gt;="&amp;AB$6,$R$7:$R$406,"No"))</ns0:f>
        <ns0:v>0</ns0:v>
      </ns0:c>
      <ns0:c r="AC31" t="n">
        <ns0:f>IF($A31="",0,COUNTIFS($J$7:$J$406,$A31,$O$7:$O$406,"&lt;="&amp;AC$6,$P$7:$P$406,"&gt;="&amp;AC$6,$R$7:$R$406,"No"))</ns0:f>
        <ns0:v>0</ns0:v>
      </ns0:c>
      <ns0:c r="AD31" t="n">
        <ns0:f>IF($A31="",0,COUNTIFS($J$7:$J$406,$A31,$O$7:$O$406,"&lt;="&amp;AD$6,$P$7:$P$406,"&gt;="&amp;AD$6,$R$7:$R$406,"No"))</ns0:f>
        <ns0:v>0</ns0:v>
      </ns0:c>
      <ns0:c r="AE31" t="n">
        <ns0:f>IF($A31="",0,COUNTIFS($J$7:$J$406,$A31,$O$7:$O$406,"&lt;="&amp;AE$6,$P$7:$P$406,"&gt;="&amp;AE$6,$R$7:$R$406,"No"))</ns0:f>
        <ns0:v>0</ns0:v>
      </ns0:c>
      <ns0:c r="AF31" t="n">
        <ns0:f>IF($A31="",0,COUNTIFS($J$7:$J$406,$A31,$O$7:$O$406,"&lt;="&amp;AF$6,$P$7:$P$406,"&gt;="&amp;AF$6,$R$7:$R$406,"No"))</ns0:f>
        <ns0:v>0</ns0:v>
      </ns0:c>
      <ns0:c r="AG31" t="n">
        <ns0:f>IF($A31="",0,COUNTIFS($J$7:$J$406,$A31,$O$7:$O$406,"&lt;="&amp;AG$6,$P$7:$P$406,"&gt;="&amp;AG$6,$R$7:$R$406,"No"))</ns0:f>
        <ns0:v>0</ns0:v>
      </ns0:c>
      <ns0:c r="AH31" t="n">
        <ns0:f>IF($A31="",0,COUNTIFS($J$7:$J$406,$A31,$O$7:$O$406,"&lt;="&amp;AH$6,$P$7:$P$406,"&gt;="&amp;AH$6,$R$7:$R$406,"No"))</ns0:f>
        <ns0:v>0</ns0:v>
      </ns0:c>
      <ns0:c r="AI31" t="n">
        <ns0:f>IF($A31="",0,COUNTIFS($J$7:$J$406,$A31,$O$7:$O$406,"&lt;="&amp;AI$6,$P$7:$P$406,"&gt;="&amp;AI$6,$R$7:$R$406,"No"))</ns0:f>
        <ns0:v>0</ns0:v>
      </ns0:c>
      <ns0:c r="AJ31" t="n">
        <ns0:f>IF($A31="",0,COUNTIFS($J$7:$J$406,$A31,$O$7:$O$406,"&lt;="&amp;AJ$6,$P$7:$P$406,"&gt;="&amp;AJ$6,$R$7:$R$406,"No"))</ns0:f>
        <ns0:v>0</ns0:v>
      </ns0:c>
      <ns0:c r="AK31" t="n">
        <ns0:f>IF($A31="",0,COUNTIFS($J$7:$J$406,$A31,$O$7:$O$406,"&lt;="&amp;AK$6,$P$7:$P$406,"&gt;="&amp;AK$6,$R$7:$R$406,"No"))</ns0:f>
        <ns0:v>0</ns0:v>
      </ns0:c>
      <ns0:c r="AL31" t="n">
        <ns0:f>IF($A31="",0,COUNTIFS($J$7:$J$406,$A31,$O$7:$O$406,"&lt;="&amp;AL$6,$P$7:$P$406,"&gt;="&amp;AL$6,$R$7:$R$406,"No"))</ns0:f>
        <ns0:v>0</ns0:v>
      </ns0:c>
      <ns0:c r="AM31" t="n">
        <ns0:f>IF($A31="",0,COUNTIFS($J$7:$J$406,$A31,$O$7:$O$406,"&lt;="&amp;AM$6,$P$7:$P$406,"&gt;="&amp;AM$6,$R$7:$R$406,"No"))</ns0:f>
        <ns0:v>0</ns0:v>
      </ns0:c>
      <ns0:c r="AN31" t="n">
        <ns0:f>IF($A31="",0,COUNTIFS($J$7:$J$406,$A31,$O$7:$O$406,"&lt;="&amp;AN$6,$P$7:$P$406,"&gt;="&amp;AN$6,$R$7:$R$406,"No"))</ns0:f>
        <ns0:v>0</ns0:v>
      </ns0:c>
      <ns0:c r="AO31" t="n">
        <ns0:f>IF($A31="",0,COUNTIFS($J$7:$J$406,$A31,$O$7:$O$406,"&lt;="&amp;AO$6,$P$7:$P$406,"&gt;="&amp;AO$6,$R$7:$R$406,"No"))</ns0:f>
        <ns0:v>0</ns0:v>
      </ns0:c>
      <ns0:c r="AP31" t="n">
        <ns0:f>IF($A31="",0,COUNTIFS($J$7:$J$406,$A31,$O$7:$O$406,"&lt;="&amp;AP$6,$P$7:$P$406,"&gt;="&amp;AP$6,$R$7:$R$406,"No"))</ns0:f>
        <ns0:v>0</ns0:v>
      </ns0:c>
      <ns0:c r="AQ31" t="n">
        <ns0:f>IF($A31="",0,COUNTIFS($J$7:$J$406,$A31,$O$7:$O$406,"&lt;="&amp;AQ$6,$P$7:$P$406,"&gt;="&amp;AQ$6,$R$7:$R$406,"No"))</ns0:f>
        <ns0:v>0</ns0:v>
      </ns0:c>
      <ns0:c r="AR31" t="n">
        <ns0:f>IF($A31="",0,COUNTIFS($J$7:$J$406,$A31,$O$7:$O$406,"&lt;="&amp;AR$6,$P$7:$P$406,"&gt;="&amp;AR$6,$R$7:$R$406,"No"))</ns0:f>
        <ns0:v>0</ns0:v>
      </ns0:c>
      <ns0:c r="AS31" t="n">
        <ns0:f>IF($A31="",0,COUNTIFS($J$7:$J$406,$A31,$O$7:$O$406,"&lt;="&amp;AS$6,$P$7:$P$406,"&gt;="&amp;AS$6,$R$7:$R$406,"No"))</ns0:f>
        <ns0:v>1</ns0:v>
      </ns0:c>
      <ns0:c r="AT31" t="n">
        <ns0:f>IF($A31="",0,COUNTIFS($J$7:$J$406,$A31,$O$7:$O$406,"&lt;="&amp;AT$6,$P$7:$P$406,"&gt;="&amp;AT$6,$R$7:$R$406,"No"))</ns0:f>
        <ns0:v>1</ns0:v>
      </ns0:c>
      <ns0:c r="AU31" t="n">
        <ns0:f>IF($A31="",0,COUNTIFS($J$7:$J$406,$A31,$O$7:$O$406,"&lt;="&amp;AU$6,$P$7:$P$406,"&gt;="&amp;AU$6,$R$7:$R$406,"No"))</ns0:f>
        <ns0:v>0</ns0:v>
      </ns0:c>
      <ns0:c r="AV31" t="n">
        <ns0:f>IF($A31="",0,COUNTIFS($J$7:$J$406,$A31,$O$7:$O$406,"&lt;="&amp;AV$6,$P$7:$P$406,"&gt;="&amp;AV$6,$R$7:$R$406,"No"))</ns0:f>
        <ns0:v>0</ns0:v>
      </ns0:c>
      <ns0:c r="AW31" t="n">
        <ns0:f>IF($A31="",0,COUNTIFS($J$7:$J$406,$A31,$O$7:$O$406,"&lt;="&amp;AW$6,$P$7:$P$406,"&gt;="&amp;AW$6,$R$7:$R$406,"No"))</ns0:f>
        <ns0:v>0</ns0:v>
      </ns0:c>
      <ns0:c r="AX31" t="n">
        <ns0:f>IF($A31="",0,COUNTIFS($J$7:$J$406,$A31,$O$7:$O$406,"&lt;="&amp;AX$6,$P$7:$P$406,"&gt;="&amp;AX$6,$R$7:$R$406,"No"))</ns0:f>
        <ns0:v>0</ns0:v>
      </ns0:c>
      <ns0:c r="AY31" t="n">
        <ns0:f>IF($A31="",0,COUNTIFS($J$7:$J$406,$A31,$O$7:$O$406,"&lt;="&amp;AY$6,$P$7:$P$406,"&gt;="&amp;AY$6,$R$7:$R$406,"No"))</ns0:f>
        <ns0:v>0</ns0:v>
      </ns0:c>
      <ns0:c r="AZ31" t="n">
        <ns0:f>IF($A31="",0,COUNTIFS($J$7:$J$406,$A31,$O$7:$O$406,"&lt;="&amp;AZ$6,$P$7:$P$406,"&gt;="&amp;AZ$6,$R$7:$R$406,"No"))</ns0:f>
        <ns0:v>0</ns0:v>
      </ns0:c>
      <ns0:c r="BA31" t="n">
        <ns0:f>IF($A31="",0,COUNTIFS($J$7:$J$406,$A31,$O$7:$O$406,"&lt;="&amp;BA$6,$P$7:$P$406,"&gt;="&amp;BA$6,$R$7:$R$406,"No"))</ns0:f>
        <ns0:v>0</ns0:v>
      </ns0:c>
      <ns0:c r="BB31" t="n">
        <ns0:f>IF($A31="",0,COUNTIFS($J$7:$J$406,$A31,$O$7:$O$406,"&lt;="&amp;BB$6,$P$7:$P$406,"&gt;="&amp;BB$6,$R$7:$R$406,"No"))</ns0:f>
        <ns0:v>0</ns0:v>
      </ns0:c>
      <ns0:c r="BC31" t="n">
        <ns0:f>IF($A31="",0,COUNTIFS($J$7:$J$406,$A31,$O$7:$O$406,"&lt;="&amp;BC$6,$P$7:$P$406,"&gt;="&amp;BC$6,$R$7:$R$406,"No"))</ns0:f>
        <ns0:v>0</ns0:v>
      </ns0:c>
    </ns0:row>
    <ns0:row r="32" ht="48" customHeight="1">
      <ns0:c r="A32" s="8" t="str">
        <ns0:f>IF(ROW()-6&gt;MAX($K$7:$K$406),"",INDEX($J$7:$J$406,MATCH(ROW()-6,$K$7:$K$406,0)))</ns0:f>
        <ns0:v>Social Channels (Instagram, X, YouTube)</ns0:v>
      </ns0:c>
      <ns0:c r="B32" s="8" t="n">
        <ns0:f>IF(A32="","",COUNTIFS($J$7:$J$406,$A32))</ns0:f>
        <ns0:v>1</ns0:v>
      </ns0:c>
      <ns0:c r="C32" s="8" t="n">
        <ns0:f>IF(A32="","",COUNTIFS($J$7:$J$406,$A32,$N$7:$N$406,1))</ns0:f>
        <ns0:v>0</ns0:v>
      </ns0:c>
      <ns0:c r="D32" s="8" t="n">
        <ns0:f>IF(A32="","",COUNTIFS($J$7:$J$406,$A32,$Q$7:$Q$406,"In Progress"))</ns0:f>
        <ns0:v>0</ns0:v>
      </ns0:c>
      <ns0:c r="E32" s="8" t="n">
        <ns0:f>IF(A32="","",B32-C32)</ns0:f>
        <ns0:v>1</ns0:v>
      </ns0:c>
      <ns0:c r="F32" s="19" t="n">
        <ns0:f>IF(A32="","",SUMIFS($N$7:$N$406,$J$7:$J$406,$A32)/B32)</ns0:f>
        <ns0:v>0</ns0:v>
      </ns0:c>
      <ns0:c r="G32" s="8" t="n">
        <ns0:f>IF(A32="","",COUNTIFS(V32:BC32,"&gt;1"))</ns0:f>
        <ns0:v>0</ns0:v>
      </ns0:c>
      <ns0:c r="H32" s="8" t="str">
        <ns0:f>IF(A32="","",IF(COUNTIFS($T$7:$T$33,A32)&gt;0,INDEX($U$7:$U$33,MATCH(A32,$T$7:$T$33,0)),"No capacity or responsibility detail supplied."))</ns0:f>
        <ns0:v>External content channels; receives scheduled social posts, copy packages, and media assets.</ns0:v>
      </ns0:c>
      <ns0:c r="J32" t="str">
        <ns0:f>IF('Project Tracker'!A13="","",TRIM(MID(SUBSTITUTE('Project Tracker'!K13,";",REPT(" ",150)),151,150)))</ns0:f>
      </ns0:c>
      <ns0:c r="K32" t="str">
        <ns0:f>IF(J32="","",IF(COUNTIFS($J$7:J32,J32)=1,MAX($K$6:K31)+1,""))</ns0:f>
      </ns0:c>
      <ns0:c r="L32" t="n">
        <ns0:f>IF(A32="",0,B32+(107-ROW())/1000)</ns0:f>
        <ns0:v>1.075</ns0:v>
      </ns0:c>
      <ns0:c r="M32" t="str">
        <ns0:f>IF(J32="","",'Project Tracker'!A13)</ns0:f>
      </ns0:c>
      <ns0:c r="N32" t="str">
        <ns0:f>IF(J32="","",'Project Tracker'!N13)</ns0:f>
      </ns0:c>
      <ns0:c r="O32" t="str">
        <ns0:f>IF(J32="","",'Project Tracker'!E13)</ns0:f>
      </ns0:c>
      <ns0:c r="P32" t="str">
        <ns0:f>IF(J32="","",'Project Tracker'!F13)</ns0:f>
      </ns0:c>
      <ns0:c r="Q32" t="str">
        <ns0:f>IF(J32="","",'Project Tracker'!Q13)</ns0:f>
      </ns0:c>
      <ns0:c r="R32" t="str">
        <ns0:f>IF(J32="","",'Project Tracker'!J13)</ns0:f>
      </ns0:c>
      <ns0:c r="T32" t="str">
        <ns0:v>Learning &amp; Performance Engine (W_LEARN)</ns0:v>
      </ns0:c>
      <ns0:c r="U32" t="str">
        <ns0:v>Domain worker; calculates attribution curves, creative fatigue, ROAS optimization, and memory deltas.</ns0:v>
      </ns0:c>
      <ns0:c r="V32" t="n">
        <ns0:f>IF($A32="",0,COUNTIFS($J$7:$J$406,$A32,$O$7:$O$406,"&lt;="&amp;V$6,$P$7:$P$406,"&gt;="&amp;V$6,$R$7:$R$406,"No"))</ns0:f>
        <ns0:v>0</ns0:v>
      </ns0:c>
      <ns0:c r="W32" t="n">
        <ns0:f>IF($A32="",0,COUNTIFS($J$7:$J$406,$A32,$O$7:$O$406,"&lt;="&amp;W$6,$P$7:$P$406,"&gt;="&amp;W$6,$R$7:$R$406,"No"))</ns0:f>
        <ns0:v>0</ns0:v>
      </ns0:c>
      <ns0:c r="X32" t="n">
        <ns0:f>IF($A32="",0,COUNTIFS($J$7:$J$406,$A32,$O$7:$O$406,"&lt;="&amp;X$6,$P$7:$P$406,"&gt;="&amp;X$6,$R$7:$R$406,"No"))</ns0:f>
        <ns0:v>0</ns0:v>
      </ns0:c>
      <ns0:c r="Y32" t="n">
        <ns0:f>IF($A32="",0,COUNTIFS($J$7:$J$406,$A32,$O$7:$O$406,"&lt;="&amp;Y$6,$P$7:$P$406,"&gt;="&amp;Y$6,$R$7:$R$406,"No"))</ns0:f>
        <ns0:v>0</ns0:v>
      </ns0:c>
      <ns0:c r="Z32" t="n">
        <ns0:f>IF($A32="",0,COUNTIFS($J$7:$J$406,$A32,$O$7:$O$406,"&lt;="&amp;Z$6,$P$7:$P$406,"&gt;="&amp;Z$6,$R$7:$R$406,"No"))</ns0:f>
        <ns0:v>0</ns0:v>
      </ns0:c>
      <ns0:c r="AA32" t="n">
        <ns0:f>IF($A32="",0,COUNTIFS($J$7:$J$406,$A32,$O$7:$O$406,"&lt;="&amp;AA$6,$P$7:$P$406,"&gt;="&amp;AA$6,$R$7:$R$406,"No"))</ns0:f>
        <ns0:v>0</ns0:v>
      </ns0:c>
      <ns0:c r="AB32" t="n">
        <ns0:f>IF($A32="",0,COUNTIFS($J$7:$J$406,$A32,$O$7:$O$406,"&lt;="&amp;AB$6,$P$7:$P$406,"&gt;="&amp;AB$6,$R$7:$R$406,"No"))</ns0:f>
        <ns0:v>0</ns0:v>
      </ns0:c>
      <ns0:c r="AC32" t="n">
        <ns0:f>IF($A32="",0,COUNTIFS($J$7:$J$406,$A32,$O$7:$O$406,"&lt;="&amp;AC$6,$P$7:$P$406,"&gt;="&amp;AC$6,$R$7:$R$406,"No"))</ns0:f>
        <ns0:v>0</ns0:v>
      </ns0:c>
      <ns0:c r="AD32" t="n">
        <ns0:f>IF($A32="",0,COUNTIFS($J$7:$J$406,$A32,$O$7:$O$406,"&lt;="&amp;AD$6,$P$7:$P$406,"&gt;="&amp;AD$6,$R$7:$R$406,"No"))</ns0:f>
        <ns0:v>0</ns0:v>
      </ns0:c>
      <ns0:c r="AE32" t="n">
        <ns0:f>IF($A32="",0,COUNTIFS($J$7:$J$406,$A32,$O$7:$O$406,"&lt;="&amp;AE$6,$P$7:$P$406,"&gt;="&amp;AE$6,$R$7:$R$406,"No"))</ns0:f>
        <ns0:v>0</ns0:v>
      </ns0:c>
      <ns0:c r="AF32" t="n">
        <ns0:f>IF($A32="",0,COUNTIFS($J$7:$J$406,$A32,$O$7:$O$406,"&lt;="&amp;AF$6,$P$7:$P$406,"&gt;="&amp;AF$6,$R$7:$R$406,"No"))</ns0:f>
        <ns0:v>0</ns0:v>
      </ns0:c>
      <ns0:c r="AG32" t="n">
        <ns0:f>IF($A32="",0,COUNTIFS($J$7:$J$406,$A32,$O$7:$O$406,"&lt;="&amp;AG$6,$P$7:$P$406,"&gt;="&amp;AG$6,$R$7:$R$406,"No"))</ns0:f>
        <ns0:v>0</ns0:v>
      </ns0:c>
      <ns0:c r="AH32" t="n">
        <ns0:f>IF($A32="",0,COUNTIFS($J$7:$J$406,$A32,$O$7:$O$406,"&lt;="&amp;AH$6,$P$7:$P$406,"&gt;="&amp;AH$6,$R$7:$R$406,"No"))</ns0:f>
        <ns0:v>0</ns0:v>
      </ns0:c>
      <ns0:c r="AI32" t="n">
        <ns0:f>IF($A32="",0,COUNTIFS($J$7:$J$406,$A32,$O$7:$O$406,"&lt;="&amp;AI$6,$P$7:$P$406,"&gt;="&amp;AI$6,$R$7:$R$406,"No"))</ns0:f>
        <ns0:v>0</ns0:v>
      </ns0:c>
      <ns0:c r="AJ32" t="n">
        <ns0:f>IF($A32="",0,COUNTIFS($J$7:$J$406,$A32,$O$7:$O$406,"&lt;="&amp;AJ$6,$P$7:$P$406,"&gt;="&amp;AJ$6,$R$7:$R$406,"No"))</ns0:f>
        <ns0:v>0</ns0:v>
      </ns0:c>
      <ns0:c r="AK32" t="n">
        <ns0:f>IF($A32="",0,COUNTIFS($J$7:$J$406,$A32,$O$7:$O$406,"&lt;="&amp;AK$6,$P$7:$P$406,"&gt;="&amp;AK$6,$R$7:$R$406,"No"))</ns0:f>
        <ns0:v>0</ns0:v>
      </ns0:c>
      <ns0:c r="AL32" t="n">
        <ns0:f>IF($A32="",0,COUNTIFS($J$7:$J$406,$A32,$O$7:$O$406,"&lt;="&amp;AL$6,$P$7:$P$406,"&gt;="&amp;AL$6,$R$7:$R$406,"No"))</ns0:f>
        <ns0:v>0</ns0:v>
      </ns0:c>
      <ns0:c r="AM32" t="n">
        <ns0:f>IF($A32="",0,COUNTIFS($J$7:$J$406,$A32,$O$7:$O$406,"&lt;="&amp;AM$6,$P$7:$P$406,"&gt;="&amp;AM$6,$R$7:$R$406,"No"))</ns0:f>
        <ns0:v>0</ns0:v>
      </ns0:c>
      <ns0:c r="AN32" t="n">
        <ns0:f>IF($A32="",0,COUNTIFS($J$7:$J$406,$A32,$O$7:$O$406,"&lt;="&amp;AN$6,$P$7:$P$406,"&gt;="&amp;AN$6,$R$7:$R$406,"No"))</ns0:f>
        <ns0:v>0</ns0:v>
      </ns0:c>
      <ns0:c r="AO32" t="n">
        <ns0:f>IF($A32="",0,COUNTIFS($J$7:$J$406,$A32,$O$7:$O$406,"&lt;="&amp;AO$6,$P$7:$P$406,"&gt;="&amp;AO$6,$R$7:$R$406,"No"))</ns0:f>
        <ns0:v>0</ns0:v>
      </ns0:c>
      <ns0:c r="AP32" t="n">
        <ns0:f>IF($A32="",0,COUNTIFS($J$7:$J$406,$A32,$O$7:$O$406,"&lt;="&amp;AP$6,$P$7:$P$406,"&gt;="&amp;AP$6,$R$7:$R$406,"No"))</ns0:f>
        <ns0:v>0</ns0:v>
      </ns0:c>
      <ns0:c r="AQ32" t="n">
        <ns0:f>IF($A32="",0,COUNTIFS($J$7:$J$406,$A32,$O$7:$O$406,"&lt;="&amp;AQ$6,$P$7:$P$406,"&gt;="&amp;AQ$6,$R$7:$R$406,"No"))</ns0:f>
        <ns0:v>0</ns0:v>
      </ns0:c>
      <ns0:c r="AR32" t="n">
        <ns0:f>IF($A32="",0,COUNTIFS($J$7:$J$406,$A32,$O$7:$O$406,"&lt;="&amp;AR$6,$P$7:$P$406,"&gt;="&amp;AR$6,$R$7:$R$406,"No"))</ns0:f>
        <ns0:v>0</ns0:v>
      </ns0:c>
      <ns0:c r="AS32" t="n">
        <ns0:f>IF($A32="",0,COUNTIFS($J$7:$J$406,$A32,$O$7:$O$406,"&lt;="&amp;AS$6,$P$7:$P$406,"&gt;="&amp;AS$6,$R$7:$R$406,"No"))</ns0:f>
        <ns0:v>1</ns0:v>
      </ns0:c>
      <ns0:c r="AT32" t="n">
        <ns0:f>IF($A32="",0,COUNTIFS($J$7:$J$406,$A32,$O$7:$O$406,"&lt;="&amp;AT$6,$P$7:$P$406,"&gt;="&amp;AT$6,$R$7:$R$406,"No"))</ns0:f>
        <ns0:v>1</ns0:v>
      </ns0:c>
      <ns0:c r="AU32" t="n">
        <ns0:f>IF($A32="",0,COUNTIFS($J$7:$J$406,$A32,$O$7:$O$406,"&lt;="&amp;AU$6,$P$7:$P$406,"&gt;="&amp;AU$6,$R$7:$R$406,"No"))</ns0:f>
        <ns0:v>0</ns0:v>
      </ns0:c>
      <ns0:c r="AV32" t="n">
        <ns0:f>IF($A32="",0,COUNTIFS($J$7:$J$406,$A32,$O$7:$O$406,"&lt;="&amp;AV$6,$P$7:$P$406,"&gt;="&amp;AV$6,$R$7:$R$406,"No"))</ns0:f>
        <ns0:v>0</ns0:v>
      </ns0:c>
      <ns0:c r="AW32" t="n">
        <ns0:f>IF($A32="",0,COUNTIFS($J$7:$J$406,$A32,$O$7:$O$406,"&lt;="&amp;AW$6,$P$7:$P$406,"&gt;="&amp;AW$6,$R$7:$R$406,"No"))</ns0:f>
        <ns0:v>0</ns0:v>
      </ns0:c>
      <ns0:c r="AX32" t="n">
        <ns0:f>IF($A32="",0,COUNTIFS($J$7:$J$406,$A32,$O$7:$O$406,"&lt;="&amp;AX$6,$P$7:$P$406,"&gt;="&amp;AX$6,$R$7:$R$406,"No"))</ns0:f>
        <ns0:v>0</ns0:v>
      </ns0:c>
      <ns0:c r="AY32" t="n">
        <ns0:f>IF($A32="",0,COUNTIFS($J$7:$J$406,$A32,$O$7:$O$406,"&lt;="&amp;AY$6,$P$7:$P$406,"&gt;="&amp;AY$6,$R$7:$R$406,"No"))</ns0:f>
        <ns0:v>0</ns0:v>
      </ns0:c>
      <ns0:c r="AZ32" t="n">
        <ns0:f>IF($A32="",0,COUNTIFS($J$7:$J$406,$A32,$O$7:$O$406,"&lt;="&amp;AZ$6,$P$7:$P$406,"&gt;="&amp;AZ$6,$R$7:$R$406,"No"))</ns0:f>
        <ns0:v>0</ns0:v>
      </ns0:c>
      <ns0:c r="BA32" t="n">
        <ns0:f>IF($A32="",0,COUNTIFS($J$7:$J$406,$A32,$O$7:$O$406,"&lt;="&amp;BA$6,$P$7:$P$406,"&gt;="&amp;BA$6,$R$7:$R$406,"No"))</ns0:f>
        <ns0:v>0</ns0:v>
      </ns0:c>
      <ns0:c r="BB32" t="n">
        <ns0:f>IF($A32="",0,COUNTIFS($J$7:$J$406,$A32,$O$7:$O$406,"&lt;="&amp;BB$6,$P$7:$P$406,"&gt;="&amp;BB$6,$R$7:$R$406,"No"))</ns0:f>
        <ns0:v>0</ns0:v>
      </ns0:c>
      <ns0:c r="BC32" t="n">
        <ns0:f>IF($A32="",0,COUNTIFS($J$7:$J$406,$A32,$O$7:$O$406,"&lt;="&amp;BC$6,$P$7:$P$406,"&gt;="&amp;BC$6,$R$7:$R$406,"No"))</ns0:f>
        <ns0:v>0</ns0:v>
      </ns0:c>
    </ns0:row>
    <ns0:row r="33" ht="48" customHeight="1">
      <ns0:c r="A33" s="8" t="str">
        <ns0:f>IF(ROW()-6&gt;MAX($K$7:$K$406),"",INDEX($J$7:$J$406,MATCH(ROW()-6,$K$7:$K$406,0)))</ns0:f>
        <ns0:v>Omnichannel Telemetry Engine</ns0:v>
      </ns0:c>
      <ns0:c r="B33" s="8" t="n">
        <ns0:f>IF(A33="","",COUNTIFS($J$7:$J$406,$A33))</ns0:f>
        <ns0:v>2</ns0:v>
      </ns0:c>
      <ns0:c r="C33" s="8" t="n">
        <ns0:f>IF(A33="","",COUNTIFS($J$7:$J$406,$A33,$N$7:$N$406,1))</ns0:f>
        <ns0:v>0</ns0:v>
      </ns0:c>
      <ns0:c r="D33" s="8" t="n">
        <ns0:f>IF(A33="","",COUNTIFS($J$7:$J$406,$A33,$Q$7:$Q$406,"In Progress"))</ns0:f>
        <ns0:v>0</ns0:v>
      </ns0:c>
      <ns0:c r="E33" s="8" t="n">
        <ns0:f>IF(A33="","",B33-C33)</ns0:f>
        <ns0:v>2</ns0:v>
      </ns0:c>
      <ns0:c r="F33" s="19" t="n">
        <ns0:f>IF(A33="","",SUMIFS($N$7:$N$406,$J$7:$J$406,$A33)/B33)</ns0:f>
        <ns0:v>0</ns0:v>
      </ns0:c>
      <ns0:c r="G33" s="8" t="n">
        <ns0:f>IF(A33="","",COUNTIFS(V33:BC33,"&gt;1"))</ns0:f>
        <ns0:v>0</ns0:v>
      </ns0:c>
      <ns0:c r="H33" s="8" t="str">
        <ns0:f>IF(A33="","",IF(COUNTIFS($T$7:$T$33,A33)&gt;0,INDEX($U$7:$U$33,MATCH(A33,$T$7:$T$33,0)),"No capacity or responsibility detail supplied."))</ns0:f>
        <ns0:v>Real-time event ingestor; aggregates conversion webhooks, pixel events, and server logs.</ns0:v>
      </ns0:c>
      <ns0:c r="J33" t="str">
        <ns0:f>IF('Project Tracker'!A13="","",TRIM(MID(SUBSTITUTE('Project Tracker'!K13,";",REPT(" ",150)),301,150)))</ns0:f>
      </ns0:c>
      <ns0:c r="K33" t="str">
        <ns0:f>IF(J33="","",IF(COUNTIFS($J$7:J33,J33)=1,MAX($K$6:K32)+1,""))</ns0:f>
      </ns0:c>
      <ns0:c r="L33" t="n">
        <ns0:f>IF(A33="",0,B33+(107-ROW())/1000)</ns0:f>
        <ns0:v>2.074</ns0:v>
      </ns0:c>
      <ns0:c r="M33" t="str">
        <ns0:f>IF(J33="","",'Project Tracker'!A13)</ns0:f>
      </ns0:c>
      <ns0:c r="N33" t="str">
        <ns0:f>IF(J33="","",'Project Tracker'!N13)</ns0:f>
      </ns0:c>
      <ns0:c r="O33" t="str">
        <ns0:f>IF(J33="","",'Project Tracker'!E13)</ns0:f>
      </ns0:c>
      <ns0:c r="P33" t="str">
        <ns0:f>IF(J33="","",'Project Tracker'!F13)</ns0:f>
      </ns0:c>
      <ns0:c r="Q33" t="str">
        <ns0:f>IF(J33="","",'Project Tracker'!Q13)</ns0:f>
      </ns0:c>
      <ns0:c r="R33" t="str">
        <ns0:f>IF(J33="","",'Project Tracker'!J13)</ns0:f>
      </ns0:c>
      <ns0:c r="T33" t="str">
        <ns0:v>W3C PROV Immutable Ledger</ns0:v>
      </ns0:c>
      <ns0:c r="U33" t="str">
        <ns0:v>Audit authority; records tamper-evident entity-activity-agent relationships and cryptographic signatures.</ns0:v>
      </ns0:c>
      <ns0:c r="V33" t="n">
        <ns0:f>IF($A33="",0,COUNTIFS($J$7:$J$406,$A33,$O$7:$O$406,"&lt;="&amp;V$6,$P$7:$P$406,"&gt;="&amp;V$6,$R$7:$R$406,"No"))</ns0:f>
        <ns0:v>0</ns0:v>
      </ns0:c>
      <ns0:c r="W33" t="n">
        <ns0:f>IF($A33="",0,COUNTIFS($J$7:$J$406,$A33,$O$7:$O$406,"&lt;="&amp;W$6,$P$7:$P$406,"&gt;="&amp;W$6,$R$7:$R$406,"No"))</ns0:f>
        <ns0:v>0</ns0:v>
      </ns0:c>
      <ns0:c r="X33" t="n">
        <ns0:f>IF($A33="",0,COUNTIFS($J$7:$J$406,$A33,$O$7:$O$406,"&lt;="&amp;X$6,$P$7:$P$406,"&gt;="&amp;X$6,$R$7:$R$406,"No"))</ns0:f>
        <ns0:v>0</ns0:v>
      </ns0:c>
      <ns0:c r="Y33" t="n">
        <ns0:f>IF($A33="",0,COUNTIFS($J$7:$J$406,$A33,$O$7:$O$406,"&lt;="&amp;Y$6,$P$7:$P$406,"&gt;="&amp;Y$6,$R$7:$R$406,"No"))</ns0:f>
        <ns0:v>0</ns0:v>
      </ns0:c>
      <ns0:c r="Z33" t="n">
        <ns0:f>IF($A33="",0,COUNTIFS($J$7:$J$406,$A33,$O$7:$O$406,"&lt;="&amp;Z$6,$P$7:$P$406,"&gt;="&amp;Z$6,$R$7:$R$406,"No"))</ns0:f>
        <ns0:v>0</ns0:v>
      </ns0:c>
      <ns0:c r="AA33" t="n">
        <ns0:f>IF($A33="",0,COUNTIFS($J$7:$J$406,$A33,$O$7:$O$406,"&lt;="&amp;AA$6,$P$7:$P$406,"&gt;="&amp;AA$6,$R$7:$R$406,"No"))</ns0:f>
        <ns0:v>0</ns0:v>
      </ns0:c>
      <ns0:c r="AB33" t="n">
        <ns0:f>IF($A33="",0,COUNTIFS($J$7:$J$406,$A33,$O$7:$O$406,"&lt;="&amp;AB$6,$P$7:$P$406,"&gt;="&amp;AB$6,$R$7:$R$406,"No"))</ns0:f>
        <ns0:v>0</ns0:v>
      </ns0:c>
      <ns0:c r="AC33" t="n">
        <ns0:f>IF($A33="",0,COUNTIFS($J$7:$J$406,$A33,$O$7:$O$406,"&lt;="&amp;AC$6,$P$7:$P$406,"&gt;="&amp;AC$6,$R$7:$R$406,"No"))</ns0:f>
        <ns0:v>0</ns0:v>
      </ns0:c>
      <ns0:c r="AD33" t="n">
        <ns0:f>IF($A33="",0,COUNTIFS($J$7:$J$406,$A33,$O$7:$O$406,"&lt;="&amp;AD$6,$P$7:$P$406,"&gt;="&amp;AD$6,$R$7:$R$406,"No"))</ns0:f>
        <ns0:v>0</ns0:v>
      </ns0:c>
      <ns0:c r="AE33" t="n">
        <ns0:f>IF($A33="",0,COUNTIFS($J$7:$J$406,$A33,$O$7:$O$406,"&lt;="&amp;AE$6,$P$7:$P$406,"&gt;="&amp;AE$6,$R$7:$R$406,"No"))</ns0:f>
        <ns0:v>0</ns0:v>
      </ns0:c>
      <ns0:c r="AF33" t="n">
        <ns0:f>IF($A33="",0,COUNTIFS($J$7:$J$406,$A33,$O$7:$O$406,"&lt;="&amp;AF$6,$P$7:$P$406,"&gt;="&amp;AF$6,$R$7:$R$406,"No"))</ns0:f>
        <ns0:v>0</ns0:v>
      </ns0:c>
      <ns0:c r="AG33" t="n">
        <ns0:f>IF($A33="",0,COUNTIFS($J$7:$J$406,$A33,$O$7:$O$406,"&lt;="&amp;AG$6,$P$7:$P$406,"&gt;="&amp;AG$6,$R$7:$R$406,"No"))</ns0:f>
        <ns0:v>0</ns0:v>
      </ns0:c>
      <ns0:c r="AH33" t="n">
        <ns0:f>IF($A33="",0,COUNTIFS($J$7:$J$406,$A33,$O$7:$O$406,"&lt;="&amp;AH$6,$P$7:$P$406,"&gt;="&amp;AH$6,$R$7:$R$406,"No"))</ns0:f>
        <ns0:v>0</ns0:v>
      </ns0:c>
      <ns0:c r="AI33" t="n">
        <ns0:f>IF($A33="",0,COUNTIFS($J$7:$J$406,$A33,$O$7:$O$406,"&lt;="&amp;AI$6,$P$7:$P$406,"&gt;="&amp;AI$6,$R$7:$R$406,"No"))</ns0:f>
        <ns0:v>0</ns0:v>
      </ns0:c>
      <ns0:c r="AJ33" t="n">
        <ns0:f>IF($A33="",0,COUNTIFS($J$7:$J$406,$A33,$O$7:$O$406,"&lt;="&amp;AJ$6,$P$7:$P$406,"&gt;="&amp;AJ$6,$R$7:$R$406,"No"))</ns0:f>
        <ns0:v>0</ns0:v>
      </ns0:c>
      <ns0:c r="AK33" t="n">
        <ns0:f>IF($A33="",0,COUNTIFS($J$7:$J$406,$A33,$O$7:$O$406,"&lt;="&amp;AK$6,$P$7:$P$406,"&gt;="&amp;AK$6,$R$7:$R$406,"No"))</ns0:f>
        <ns0:v>0</ns0:v>
      </ns0:c>
      <ns0:c r="AL33" t="n">
        <ns0:f>IF($A33="",0,COUNTIFS($J$7:$J$406,$A33,$O$7:$O$406,"&lt;="&amp;AL$6,$P$7:$P$406,"&gt;="&amp;AL$6,$R$7:$R$406,"No"))</ns0:f>
        <ns0:v>0</ns0:v>
      </ns0:c>
      <ns0:c r="AM33" t="n">
        <ns0:f>IF($A33="",0,COUNTIFS($J$7:$J$406,$A33,$O$7:$O$406,"&lt;="&amp;AM$6,$P$7:$P$406,"&gt;="&amp;AM$6,$R$7:$R$406,"No"))</ns0:f>
        <ns0:v>0</ns0:v>
      </ns0:c>
      <ns0:c r="AN33" t="n">
        <ns0:f>IF($A33="",0,COUNTIFS($J$7:$J$406,$A33,$O$7:$O$406,"&lt;="&amp;AN$6,$P$7:$P$406,"&gt;="&amp;AN$6,$R$7:$R$406,"No"))</ns0:f>
        <ns0:v>0</ns0:v>
      </ns0:c>
      <ns0:c r="AO33" t="n">
        <ns0:f>IF($A33="",0,COUNTIFS($J$7:$J$406,$A33,$O$7:$O$406,"&lt;="&amp;AO$6,$P$7:$P$406,"&gt;="&amp;AO$6,$R$7:$R$406,"No"))</ns0:f>
        <ns0:v>0</ns0:v>
      </ns0:c>
      <ns0:c r="AP33" t="n">
        <ns0:f>IF($A33="",0,COUNTIFS($J$7:$J$406,$A33,$O$7:$O$406,"&lt;="&amp;AP$6,$P$7:$P$406,"&gt;="&amp;AP$6,$R$7:$R$406,"No"))</ns0:f>
        <ns0:v>0</ns0:v>
      </ns0:c>
      <ns0:c r="AQ33" t="n">
        <ns0:f>IF($A33="",0,COUNTIFS($J$7:$J$406,$A33,$O$7:$O$406,"&lt;="&amp;AQ$6,$P$7:$P$406,"&gt;="&amp;AQ$6,$R$7:$R$406,"No"))</ns0:f>
        <ns0:v>0</ns0:v>
      </ns0:c>
      <ns0:c r="AR33" t="n">
        <ns0:f>IF($A33="",0,COUNTIFS($J$7:$J$406,$A33,$O$7:$O$406,"&lt;="&amp;AR$6,$P$7:$P$406,"&gt;="&amp;AR$6,$R$7:$R$406,"No"))</ns0:f>
        <ns0:v>0</ns0:v>
      </ns0:c>
      <ns0:c r="AS33" t="n">
        <ns0:f>IF($A33="",0,COUNTIFS($J$7:$J$406,$A33,$O$7:$O$406,"&lt;="&amp;AS$6,$P$7:$P$406,"&gt;="&amp;AS$6,$R$7:$R$406,"No"))</ns0:f>
        <ns0:v>0</ns0:v>
      </ns0:c>
      <ns0:c r="AT33" t="n">
        <ns0:f>IF($A33="",0,COUNTIFS($J$7:$J$406,$A33,$O$7:$O$406,"&lt;="&amp;AT$6,$P$7:$P$406,"&gt;="&amp;AT$6,$R$7:$R$406,"No"))</ns0:f>
        <ns0:v>0</ns0:v>
      </ns0:c>
      <ns0:c r="AU33" t="n">
        <ns0:f>IF($A33="",0,COUNTIFS($J$7:$J$406,$A33,$O$7:$O$406,"&lt;="&amp;AU$6,$P$7:$P$406,"&gt;="&amp;AU$6,$R$7:$R$406,"No"))</ns0:f>
        <ns0:v>1</ns0:v>
      </ns0:c>
      <ns0:c r="AV33" t="n">
        <ns0:f>IF($A33="",0,COUNTIFS($J$7:$J$406,$A33,$O$7:$O$406,"&lt;="&amp;AV$6,$P$7:$P$406,"&gt;="&amp;AV$6,$R$7:$R$406,"No"))</ns0:f>
        <ns0:v>1</ns0:v>
      </ns0:c>
      <ns0:c r="AW33" t="n">
        <ns0:f>IF($A33="",0,COUNTIFS($J$7:$J$406,$A33,$O$7:$O$406,"&lt;="&amp;AW$6,$P$7:$P$406,"&gt;="&amp;AW$6,$R$7:$R$406,"No"))</ns0:f>
        <ns0:v>1</ns0:v>
      </ns0:c>
      <ns0:c r="AX33" t="n">
        <ns0:f>IF($A33="",0,COUNTIFS($J$7:$J$406,$A33,$O$7:$O$406,"&lt;="&amp;AX$6,$P$7:$P$406,"&gt;="&amp;AX$6,$R$7:$R$406,"No"))</ns0:f>
        <ns0:v>1</ns0:v>
      </ns0:c>
      <ns0:c r="AY33" t="n">
        <ns0:f>IF($A33="",0,COUNTIFS($J$7:$J$406,$A33,$O$7:$O$406,"&lt;="&amp;AY$6,$P$7:$P$406,"&gt;="&amp;AY$6,$R$7:$R$406,"No"))</ns0:f>
        <ns0:v>0</ns0:v>
      </ns0:c>
      <ns0:c r="AZ33" t="n">
        <ns0:f>IF($A33="",0,COUNTIFS($J$7:$J$406,$A33,$O$7:$O$406,"&lt;="&amp;AZ$6,$P$7:$P$406,"&gt;="&amp;AZ$6,$R$7:$R$406,"No"))</ns0:f>
        <ns0:v>0</ns0:v>
      </ns0:c>
      <ns0:c r="BA33" t="n">
        <ns0:f>IF($A33="",0,COUNTIFS($J$7:$J$406,$A33,$O$7:$O$406,"&lt;="&amp;BA$6,$P$7:$P$406,"&gt;="&amp;BA$6,$R$7:$R$406,"No"))</ns0:f>
        <ns0:v>0</ns0:v>
      </ns0:c>
      <ns0:c r="BB33" t="n">
        <ns0:f>IF($A33="",0,COUNTIFS($J$7:$J$406,$A33,$O$7:$O$406,"&lt;="&amp;BB$6,$P$7:$P$406,"&gt;="&amp;BB$6,$R$7:$R$406,"No"))</ns0:f>
        <ns0:v>0</ns0:v>
      </ns0:c>
      <ns0:c r="BC33" t="n">
        <ns0:f>IF($A33="",0,COUNTIFS($J$7:$J$406,$A33,$O$7:$O$406,"&lt;="&amp;BC$6,$P$7:$P$406,"&gt;="&amp;BC$6,$R$7:$R$406,"No"))</ns0:f>
        <ns0:v>0</ns0:v>
      </ns0:c>
    </ns0:row>
    <ns0:row r="34" ht="48" customHeight="1">
      <ns0:c r="A34" s="8" t="str">
        <ns0:f>IF(ROW()-6&gt;MAX($K$7:$K$406),"",INDEX($J$7:$J$406,MATCH(ROW()-6,$K$7:$K$406,0)))</ns0:f>
        <ns0:v>Learning &amp; Performance Engine (W_LEARN)</ns0:v>
      </ns0:c>
      <ns0:c r="B34" s="8" t="n">
        <ns0:f>IF(A34="","",COUNTIFS($J$7:$J$406,$A34))</ns0:f>
        <ns0:v>2</ns0:v>
      </ns0:c>
      <ns0:c r="C34" s="8" t="n">
        <ns0:f>IF(A34="","",COUNTIFS($J$7:$J$406,$A34,$N$7:$N$406,1))</ns0:f>
        <ns0:v>0</ns0:v>
      </ns0:c>
      <ns0:c r="D34" s="8" t="n">
        <ns0:f>IF(A34="","",COUNTIFS($J$7:$J$406,$A34,$Q$7:$Q$406,"In Progress"))</ns0:f>
        <ns0:v>0</ns0:v>
      </ns0:c>
      <ns0:c r="E34" s="8" t="n">
        <ns0:f>IF(A34="","",B34-C34)</ns0:f>
        <ns0:v>2</ns0:v>
      </ns0:c>
      <ns0:c r="F34" s="19" t="n">
        <ns0:f>IF(A34="","",SUMIFS($N$7:$N$406,$J$7:$J$406,$A34)/B34)</ns0:f>
        <ns0:v>0</ns0:v>
      </ns0:c>
      <ns0:c r="G34" s="8" t="n">
        <ns0:f>IF(A34="","",COUNTIFS(V34:BC34,"&gt;1"))</ns0:f>
        <ns0:v>0</ns0:v>
      </ns0:c>
      <ns0:c r="H34" s="8" t="str">
        <ns0:f>IF(A34="","",IF(COUNTIFS($T$7:$T$33,A34)&gt;0,INDEX($U$7:$U$33,MATCH(A34,$T$7:$T$33,0)),"No capacity or responsibility detail supplied."))</ns0:f>
        <ns0:v>Domain worker; calculates attribution curves, creative fatigue, ROAS optimization, and memory deltas.</ns0:v>
      </ns0:c>
      <ns0:c r="J34" t="str">
        <ns0:f>IF('Project Tracker'!A13="","",TRIM(MID(SUBSTITUTE('Project Tracker'!K13,";",REPT(" ",150)),451,150)))</ns0:f>
      </ns0:c>
      <ns0:c r="K34" t="str">
        <ns0:f>IF(J34="","",IF(COUNTIFS($J$7:J34,J34)=1,MAX($K$6:K33)+1,""))</ns0:f>
      </ns0:c>
      <ns0:c r="L34" t="n">
        <ns0:f>IF(A34="",0,B34+(107-ROW())/1000)</ns0:f>
        <ns0:v>2.073</ns0:v>
      </ns0:c>
      <ns0:c r="M34" t="str">
        <ns0:f>IF(J34="","",'Project Tracker'!A13)</ns0:f>
      </ns0:c>
      <ns0:c r="N34" t="str">
        <ns0:f>IF(J34="","",'Project Tracker'!N13)</ns0:f>
      </ns0:c>
      <ns0:c r="O34" t="str">
        <ns0:f>IF(J34="","",'Project Tracker'!E13)</ns0:f>
      </ns0:c>
      <ns0:c r="P34" t="str">
        <ns0:f>IF(J34="","",'Project Tracker'!F13)</ns0:f>
      </ns0:c>
      <ns0:c r="Q34" t="str">
        <ns0:f>IF(J34="","",'Project Tracker'!Q13)</ns0:f>
      </ns0:c>
      <ns0:c r="R34" t="str">
        <ns0:f>IF(J34="","",'Project Tracker'!J13)</ns0:f>
      </ns0:c>
      <ns0:c r="V34" t="n">
        <ns0:f>IF($A34="",0,COUNTIFS($J$7:$J$406,$A34,$O$7:$O$406,"&lt;="&amp;V$6,$P$7:$P$406,"&gt;="&amp;V$6,$R$7:$R$406,"No"))</ns0:f>
        <ns0:v>0</ns0:v>
      </ns0:c>
      <ns0:c r="W34" t="n">
        <ns0:f>IF($A34="",0,COUNTIFS($J$7:$J$406,$A34,$O$7:$O$406,"&lt;="&amp;W$6,$P$7:$P$406,"&gt;="&amp;W$6,$R$7:$R$406,"No"))</ns0:f>
        <ns0:v>0</ns0:v>
      </ns0:c>
      <ns0:c r="X34" t="n">
        <ns0:f>IF($A34="",0,COUNTIFS($J$7:$J$406,$A34,$O$7:$O$406,"&lt;="&amp;X$6,$P$7:$P$406,"&gt;="&amp;X$6,$R$7:$R$406,"No"))</ns0:f>
        <ns0:v>0</ns0:v>
      </ns0:c>
      <ns0:c r="Y34" t="n">
        <ns0:f>IF($A34="",0,COUNTIFS($J$7:$J$406,$A34,$O$7:$O$406,"&lt;="&amp;Y$6,$P$7:$P$406,"&gt;="&amp;Y$6,$R$7:$R$406,"No"))</ns0:f>
        <ns0:v>0</ns0:v>
      </ns0:c>
      <ns0:c r="Z34" t="n">
        <ns0:f>IF($A34="",0,COUNTIFS($J$7:$J$406,$A34,$O$7:$O$406,"&lt;="&amp;Z$6,$P$7:$P$406,"&gt;="&amp;Z$6,$R$7:$R$406,"No"))</ns0:f>
        <ns0:v>0</ns0:v>
      </ns0:c>
      <ns0:c r="AA34" t="n">
        <ns0:f>IF($A34="",0,COUNTIFS($J$7:$J$406,$A34,$O$7:$O$406,"&lt;="&amp;AA$6,$P$7:$P$406,"&gt;="&amp;AA$6,$R$7:$R$406,"No"))</ns0:f>
        <ns0:v>0</ns0:v>
      </ns0:c>
      <ns0:c r="AB34" t="n">
        <ns0:f>IF($A34="",0,COUNTIFS($J$7:$J$406,$A34,$O$7:$O$406,"&lt;="&amp;AB$6,$P$7:$P$406,"&gt;="&amp;AB$6,$R$7:$R$406,"No"))</ns0:f>
        <ns0:v>0</ns0:v>
      </ns0:c>
      <ns0:c r="AC34" t="n">
        <ns0:f>IF($A34="",0,COUNTIFS($J$7:$J$406,$A34,$O$7:$O$406,"&lt;="&amp;AC$6,$P$7:$P$406,"&gt;="&amp;AC$6,$R$7:$R$406,"No"))</ns0:f>
        <ns0:v>0</ns0:v>
      </ns0:c>
      <ns0:c r="AD34" t="n">
        <ns0:f>IF($A34="",0,COUNTIFS($J$7:$J$406,$A34,$O$7:$O$406,"&lt;="&amp;AD$6,$P$7:$P$406,"&gt;="&amp;AD$6,$R$7:$R$406,"No"))</ns0:f>
        <ns0:v>0</ns0:v>
      </ns0:c>
      <ns0:c r="AE34" t="n">
        <ns0:f>IF($A34="",0,COUNTIFS($J$7:$J$406,$A34,$O$7:$O$406,"&lt;="&amp;AE$6,$P$7:$P$406,"&gt;="&amp;AE$6,$R$7:$R$406,"No"))</ns0:f>
        <ns0:v>0</ns0:v>
      </ns0:c>
      <ns0:c r="AF34" t="n">
        <ns0:f>IF($A34="",0,COUNTIFS($J$7:$J$406,$A34,$O$7:$O$406,"&lt;="&amp;AF$6,$P$7:$P$406,"&gt;="&amp;AF$6,$R$7:$R$406,"No"))</ns0:f>
        <ns0:v>0</ns0:v>
      </ns0:c>
      <ns0:c r="AG34" t="n">
        <ns0:f>IF($A34="",0,COUNTIFS($J$7:$J$406,$A34,$O$7:$O$406,"&lt;="&amp;AG$6,$P$7:$P$406,"&gt;="&amp;AG$6,$R$7:$R$406,"No"))</ns0:f>
        <ns0:v>0</ns0:v>
      </ns0:c>
      <ns0:c r="AH34" t="n">
        <ns0:f>IF($A34="",0,COUNTIFS($J$7:$J$406,$A34,$O$7:$O$406,"&lt;="&amp;AH$6,$P$7:$P$406,"&gt;="&amp;AH$6,$R$7:$R$406,"No"))</ns0:f>
        <ns0:v>0</ns0:v>
      </ns0:c>
      <ns0:c r="AI34" t="n">
        <ns0:f>IF($A34="",0,COUNTIFS($J$7:$J$406,$A34,$O$7:$O$406,"&lt;="&amp;AI$6,$P$7:$P$406,"&gt;="&amp;AI$6,$R$7:$R$406,"No"))</ns0:f>
        <ns0:v>0</ns0:v>
      </ns0:c>
      <ns0:c r="AJ34" t="n">
        <ns0:f>IF($A34="",0,COUNTIFS($J$7:$J$406,$A34,$O$7:$O$406,"&lt;="&amp;AJ$6,$P$7:$P$406,"&gt;="&amp;AJ$6,$R$7:$R$406,"No"))</ns0:f>
        <ns0:v>0</ns0:v>
      </ns0:c>
      <ns0:c r="AK34" t="n">
        <ns0:f>IF($A34="",0,COUNTIFS($J$7:$J$406,$A34,$O$7:$O$406,"&lt;="&amp;AK$6,$P$7:$P$406,"&gt;="&amp;AK$6,$R$7:$R$406,"No"))</ns0:f>
        <ns0:v>0</ns0:v>
      </ns0:c>
      <ns0:c r="AL34" t="n">
        <ns0:f>IF($A34="",0,COUNTIFS($J$7:$J$406,$A34,$O$7:$O$406,"&lt;="&amp;AL$6,$P$7:$P$406,"&gt;="&amp;AL$6,$R$7:$R$406,"No"))</ns0:f>
        <ns0:v>0</ns0:v>
      </ns0:c>
      <ns0:c r="AM34" t="n">
        <ns0:f>IF($A34="",0,COUNTIFS($J$7:$J$406,$A34,$O$7:$O$406,"&lt;="&amp;AM$6,$P$7:$P$406,"&gt;="&amp;AM$6,$R$7:$R$406,"No"))</ns0:f>
        <ns0:v>0</ns0:v>
      </ns0:c>
      <ns0:c r="AN34" t="n">
        <ns0:f>IF($A34="",0,COUNTIFS($J$7:$J$406,$A34,$O$7:$O$406,"&lt;="&amp;AN$6,$P$7:$P$406,"&gt;="&amp;AN$6,$R$7:$R$406,"No"))</ns0:f>
        <ns0:v>0</ns0:v>
      </ns0:c>
      <ns0:c r="AO34" t="n">
        <ns0:f>IF($A34="",0,COUNTIFS($J$7:$J$406,$A34,$O$7:$O$406,"&lt;="&amp;AO$6,$P$7:$P$406,"&gt;="&amp;AO$6,$R$7:$R$406,"No"))</ns0:f>
        <ns0:v>0</ns0:v>
      </ns0:c>
      <ns0:c r="AP34" t="n">
        <ns0:f>IF($A34="",0,COUNTIFS($J$7:$J$406,$A34,$O$7:$O$406,"&lt;="&amp;AP$6,$P$7:$P$406,"&gt;="&amp;AP$6,$R$7:$R$406,"No"))</ns0:f>
        <ns0:v>0</ns0:v>
      </ns0:c>
      <ns0:c r="AQ34" t="n">
        <ns0:f>IF($A34="",0,COUNTIFS($J$7:$J$406,$A34,$O$7:$O$406,"&lt;="&amp;AQ$6,$P$7:$P$406,"&gt;="&amp;AQ$6,$R$7:$R$406,"No"))</ns0:f>
        <ns0:v>0</ns0:v>
      </ns0:c>
      <ns0:c r="AR34" t="n">
        <ns0:f>IF($A34="",0,COUNTIFS($J$7:$J$406,$A34,$O$7:$O$406,"&lt;="&amp;AR$6,$P$7:$P$406,"&gt;="&amp;AR$6,$R$7:$R$406,"No"))</ns0:f>
        <ns0:v>0</ns0:v>
      </ns0:c>
      <ns0:c r="AS34" t="n">
        <ns0:f>IF($A34="",0,COUNTIFS($J$7:$J$406,$A34,$O$7:$O$406,"&lt;="&amp;AS$6,$P$7:$P$406,"&gt;="&amp;AS$6,$R$7:$R$406,"No"))</ns0:f>
        <ns0:v>0</ns0:v>
      </ns0:c>
      <ns0:c r="AT34" t="n">
        <ns0:f>IF($A34="",0,COUNTIFS($J$7:$J$406,$A34,$O$7:$O$406,"&lt;="&amp;AT$6,$P$7:$P$406,"&gt;="&amp;AT$6,$R$7:$R$406,"No"))</ns0:f>
        <ns0:v>0</ns0:v>
      </ns0:c>
      <ns0:c r="AU34" t="n">
        <ns0:f>IF($A34="",0,COUNTIFS($J$7:$J$406,$A34,$O$7:$O$406,"&lt;="&amp;AU$6,$P$7:$P$406,"&gt;="&amp;AU$6,$R$7:$R$406,"No"))</ns0:f>
        <ns0:v>0</ns0:v>
      </ns0:c>
      <ns0:c r="AV34" t="n">
        <ns0:f>IF($A34="",0,COUNTIFS($J$7:$J$406,$A34,$O$7:$O$406,"&lt;="&amp;AV$6,$P$7:$P$406,"&gt;="&amp;AV$6,$R$7:$R$406,"No"))</ns0:f>
        <ns0:v>0</ns0:v>
      </ns0:c>
      <ns0:c r="AW34" t="n">
        <ns0:f>IF($A34="",0,COUNTIFS($J$7:$J$406,$A34,$O$7:$O$406,"&lt;="&amp;AW$6,$P$7:$P$406,"&gt;="&amp;AW$6,$R$7:$R$406,"No"))</ns0:f>
        <ns0:v>0</ns0:v>
      </ns0:c>
      <ns0:c r="AX34" t="n">
        <ns0:f>IF($A34="",0,COUNTIFS($J$7:$J$406,$A34,$O$7:$O$406,"&lt;="&amp;AX$6,$P$7:$P$406,"&gt;="&amp;AX$6,$R$7:$R$406,"No"))</ns0:f>
        <ns0:v>0</ns0:v>
      </ns0:c>
      <ns0:c r="AY34" t="n">
        <ns0:f>IF($A34="",0,COUNTIFS($J$7:$J$406,$A34,$O$7:$O$406,"&lt;="&amp;AY$6,$P$7:$P$406,"&gt;="&amp;AY$6,$R$7:$R$406,"No"))</ns0:f>
        <ns0:v>1</ns0:v>
      </ns0:c>
      <ns0:c r="AZ34" t="n">
        <ns0:f>IF($A34="",0,COUNTIFS($J$7:$J$406,$A34,$O$7:$O$406,"&lt;="&amp;AZ$6,$P$7:$P$406,"&gt;="&amp;AZ$6,$R$7:$R$406,"No"))</ns0:f>
        <ns0:v>1</ns0:v>
      </ns0:c>
      <ns0:c r="BA34" t="n">
        <ns0:f>IF($A34="",0,COUNTIFS($J$7:$J$406,$A34,$O$7:$O$406,"&lt;="&amp;BA$6,$P$7:$P$406,"&gt;="&amp;BA$6,$R$7:$R$406,"No"))</ns0:f>
        <ns0:v>1</ns0:v>
      </ns0:c>
      <ns0:c r="BB34" t="n">
        <ns0:f>IF($A34="",0,COUNTIFS($J$7:$J$406,$A34,$O$7:$O$406,"&lt;="&amp;BB$6,$P$7:$P$406,"&gt;="&amp;BB$6,$R$7:$R$406,"No"))</ns0:f>
        <ns0:v>1</ns0:v>
      </ns0:c>
      <ns0:c r="BC34" t="n">
        <ns0:f>IF($A34="",0,COUNTIFS($J$7:$J$406,$A34,$O$7:$O$406,"&lt;="&amp;BC$6,$P$7:$P$406,"&gt;="&amp;BC$6,$R$7:$R$406,"No"))</ns0:f>
        <ns0:v>0</ns0:v>
      </ns0:c>
    </ns0:row>
    <ns0:row r="35" ht="48" customHeight="1">
      <ns0:c r="A35" s="8" t="str">
        <ns0:f>IF(ROW()-6&gt;MAX($K$7:$K$406),"",INDEX($J$7:$J$406,MATCH(ROW()-6,$K$7:$K$406,0)))</ns0:f>
      </ns0:c>
      <ns0:c r="B35" s="8" t="str">
        <ns0:f>IF(A35="","",COUNTIFS($J$7:$J$406,$A35))</ns0:f>
      </ns0:c>
      <ns0:c r="C35" s="8" t="str">
        <ns0:f>IF(A35="","",COUNTIFS($J$7:$J$406,$A35,$N$7:$N$406,1))</ns0:f>
      </ns0:c>
      <ns0:c r="D35" s="8" t="str">
        <ns0:f>IF(A35="","",COUNTIFS($J$7:$J$406,$A35,$Q$7:$Q$406,"In Progress"))</ns0:f>
      </ns0:c>
      <ns0:c r="E35" s="8" t="str">
        <ns0:f>IF(A35="","",B35-C35)</ns0:f>
      </ns0:c>
      <ns0:c r="F35" s="19" t="str">
        <ns0:f>IF(A35="","",SUMIFS($N$7:$N$406,$J$7:$J$406,$A35)/B35)</ns0:f>
      </ns0:c>
      <ns0:c r="G35" s="8" t="str">
        <ns0:f>IF(A35="","",COUNTIFS(V35:BC35,"&gt;1"))</ns0:f>
      </ns0:c>
      <ns0:c r="H35" s="8" t="str">
        <ns0:f>IF(A35="","",IF(COUNTIFS($T$7:$T$33,A35)&gt;0,INDEX($U$7:$U$33,MATCH(A35,$T$7:$T$33,0)),"No capacity or responsibility detail supplied."))</ns0:f>
      </ns0:c>
      <ns0:c r="J35" t="str">
        <ns0:f>IF('Project Tracker'!A14="","",TRIM(MID(SUBSTITUTE('Project Tracker'!K14,";",REPT(" ",150)),1,150)))</ns0:f>
        <ns0:v>Institutional Memory Store (MEM)</ns0:v>
      </ns0:c>
      <ns0:c r="K35" t="n">
        <ns0:f>IF(J35="","",IF(COUNTIFS($J$7:J35,J35)=1,MAX($K$6:K34)+1,""))</ns0:f>
        <ns0:v>8</ns0:v>
      </ns0:c>
      <ns0:c r="L35" t="n">
        <ns0:f>IF(A35="",0,B35+(107-ROW())/1000)</ns0:f>
        <ns0:v>0</ns0:v>
      </ns0:c>
      <ns0:c r="M35" t="str">
        <ns0:f>IF(J35="","",'Project Tracker'!A14)</ns0:f>
        <ns0:v>T07</ns0:v>
      </ns0:c>
      <ns0:c r="N35" t="n">
        <ns0:f>IF(J35="","",'Project Tracker'!N14)</ns0:f>
        <ns0:v>0</ns0:v>
      </ns0:c>
      <ns0:c r="O35" t="n">
        <ns0:f>IF(J35="","",'Project Tracker'!E14)</ns0:f>
        <ns0:v>46279</ns0:v>
      </ns0:c>
      <ns0:c r="P35" t="n">
        <ns0:f>IF(J35="","",'Project Tracker'!F14)</ns0:f>
        <ns0:v>46280</ns0:v>
      </ns0:c>
      <ns0:c r="Q35" t="str">
        <ns0:f>IF(J35="","",'Project Tracker'!Q14)</ns0:f>
        <ns0:v>Not Started</ns0:v>
      </ns0:c>
      <ns0:c r="R35" t="str">
        <ns0:f>IF(J35="","",'Project Tracker'!J14)</ns0:f>
        <ns0:v>No</ns0:v>
      </ns0:c>
      <ns0:c r="V35" t="n">
        <ns0:f>IF($A35="",0,COUNTIFS($J$7:$J$406,$A35,$O$7:$O$406,"&lt;="&amp;V$6,$P$7:$P$406,"&gt;="&amp;V$6,$R$7:$R$406,"No"))</ns0:f>
        <ns0:v>0</ns0:v>
      </ns0:c>
      <ns0:c r="W35" t="n">
        <ns0:f>IF($A35="",0,COUNTIFS($J$7:$J$406,$A35,$O$7:$O$406,"&lt;="&amp;W$6,$P$7:$P$406,"&gt;="&amp;W$6,$R$7:$R$406,"No"))</ns0:f>
        <ns0:v>0</ns0:v>
      </ns0:c>
      <ns0:c r="X35" t="n">
        <ns0:f>IF($A35="",0,COUNTIFS($J$7:$J$406,$A35,$O$7:$O$406,"&lt;="&amp;X$6,$P$7:$P$406,"&gt;="&amp;X$6,$R$7:$R$406,"No"))</ns0:f>
        <ns0:v>0</ns0:v>
      </ns0:c>
      <ns0:c r="Y35" t="n">
        <ns0:f>IF($A35="",0,COUNTIFS($J$7:$J$406,$A35,$O$7:$O$406,"&lt;="&amp;Y$6,$P$7:$P$406,"&gt;="&amp;Y$6,$R$7:$R$406,"No"))</ns0:f>
        <ns0:v>0</ns0:v>
      </ns0:c>
      <ns0:c r="Z35" t="n">
        <ns0:f>IF($A35="",0,COUNTIFS($J$7:$J$406,$A35,$O$7:$O$406,"&lt;="&amp;Z$6,$P$7:$P$406,"&gt;="&amp;Z$6,$R$7:$R$406,"No"))</ns0:f>
        <ns0:v>0</ns0:v>
      </ns0:c>
      <ns0:c r="AA35" t="n">
        <ns0:f>IF($A35="",0,COUNTIFS($J$7:$J$406,$A35,$O$7:$O$406,"&lt;="&amp;AA$6,$P$7:$P$406,"&gt;="&amp;AA$6,$R$7:$R$406,"No"))</ns0:f>
        <ns0:v>0</ns0:v>
      </ns0:c>
      <ns0:c r="AB35" t="n">
        <ns0:f>IF($A35="",0,COUNTIFS($J$7:$J$406,$A35,$O$7:$O$406,"&lt;="&amp;AB$6,$P$7:$P$406,"&gt;="&amp;AB$6,$R$7:$R$406,"No"))</ns0:f>
        <ns0:v>0</ns0:v>
      </ns0:c>
      <ns0:c r="AC35" t="n">
        <ns0:f>IF($A35="",0,COUNTIFS($J$7:$J$406,$A35,$O$7:$O$406,"&lt;="&amp;AC$6,$P$7:$P$406,"&gt;="&amp;AC$6,$R$7:$R$406,"No"))</ns0:f>
        <ns0:v>0</ns0:v>
      </ns0:c>
      <ns0:c r="AD35" t="n">
        <ns0:f>IF($A35="",0,COUNTIFS($J$7:$J$406,$A35,$O$7:$O$406,"&lt;="&amp;AD$6,$P$7:$P$406,"&gt;="&amp;AD$6,$R$7:$R$406,"No"))</ns0:f>
        <ns0:v>0</ns0:v>
      </ns0:c>
      <ns0:c r="AE35" t="n">
        <ns0:f>IF($A35="",0,COUNTIFS($J$7:$J$406,$A35,$O$7:$O$406,"&lt;="&amp;AE$6,$P$7:$P$406,"&gt;="&amp;AE$6,$R$7:$R$406,"No"))</ns0:f>
        <ns0:v>0</ns0:v>
      </ns0:c>
      <ns0:c r="AF35" t="n">
        <ns0:f>IF($A35="",0,COUNTIFS($J$7:$J$406,$A35,$O$7:$O$406,"&lt;="&amp;AF$6,$P$7:$P$406,"&gt;="&amp;AF$6,$R$7:$R$406,"No"))</ns0:f>
        <ns0:v>0</ns0:v>
      </ns0:c>
      <ns0:c r="AG35" t="n">
        <ns0:f>IF($A35="",0,COUNTIFS($J$7:$J$406,$A35,$O$7:$O$406,"&lt;="&amp;AG$6,$P$7:$P$406,"&gt;="&amp;AG$6,$R$7:$R$406,"No"))</ns0:f>
        <ns0:v>0</ns0:v>
      </ns0:c>
      <ns0:c r="AH35" t="n">
        <ns0:f>IF($A35="",0,COUNTIFS($J$7:$J$406,$A35,$O$7:$O$406,"&lt;="&amp;AH$6,$P$7:$P$406,"&gt;="&amp;AH$6,$R$7:$R$406,"No"))</ns0:f>
        <ns0:v>0</ns0:v>
      </ns0:c>
      <ns0:c r="AI35" t="n">
        <ns0:f>IF($A35="",0,COUNTIFS($J$7:$J$406,$A35,$O$7:$O$406,"&lt;="&amp;AI$6,$P$7:$P$406,"&gt;="&amp;AI$6,$R$7:$R$406,"No"))</ns0:f>
        <ns0:v>0</ns0:v>
      </ns0:c>
      <ns0:c r="AJ35" t="n">
        <ns0:f>IF($A35="",0,COUNTIFS($J$7:$J$406,$A35,$O$7:$O$406,"&lt;="&amp;AJ$6,$P$7:$P$406,"&gt;="&amp;AJ$6,$R$7:$R$406,"No"))</ns0:f>
        <ns0:v>0</ns0:v>
      </ns0:c>
      <ns0:c r="AK35" t="n">
        <ns0:f>IF($A35="",0,COUNTIFS($J$7:$J$406,$A35,$O$7:$O$406,"&lt;="&amp;AK$6,$P$7:$P$406,"&gt;="&amp;AK$6,$R$7:$R$406,"No"))</ns0:f>
        <ns0:v>0</ns0:v>
      </ns0:c>
      <ns0:c r="AL35" t="n">
        <ns0:f>IF($A35="",0,COUNTIFS($J$7:$J$406,$A35,$O$7:$O$406,"&lt;="&amp;AL$6,$P$7:$P$406,"&gt;="&amp;AL$6,$R$7:$R$406,"No"))</ns0:f>
        <ns0:v>0</ns0:v>
      </ns0:c>
      <ns0:c r="AM35" t="n">
        <ns0:f>IF($A35="",0,COUNTIFS($J$7:$J$406,$A35,$O$7:$O$406,"&lt;="&amp;AM$6,$P$7:$P$406,"&gt;="&amp;AM$6,$R$7:$R$406,"No"))</ns0:f>
        <ns0:v>0</ns0:v>
      </ns0:c>
      <ns0:c r="AN35" t="n">
        <ns0:f>IF($A35="",0,COUNTIFS($J$7:$J$406,$A35,$O$7:$O$406,"&lt;="&amp;AN$6,$P$7:$P$406,"&gt;="&amp;AN$6,$R$7:$R$406,"No"))</ns0:f>
        <ns0:v>0</ns0:v>
      </ns0:c>
      <ns0:c r="AO35" t="n">
        <ns0:f>IF($A35="",0,COUNTIFS($J$7:$J$406,$A35,$O$7:$O$406,"&lt;="&amp;AO$6,$P$7:$P$406,"&gt;="&amp;AO$6,$R$7:$R$406,"No"))</ns0:f>
        <ns0:v>0</ns0:v>
      </ns0:c>
      <ns0:c r="AP35" t="n">
        <ns0:f>IF($A35="",0,COUNTIFS($J$7:$J$406,$A35,$O$7:$O$406,"&lt;="&amp;AP$6,$P$7:$P$406,"&gt;="&amp;AP$6,$R$7:$R$406,"No"))</ns0:f>
        <ns0:v>0</ns0:v>
      </ns0:c>
      <ns0:c r="AQ35" t="n">
        <ns0:f>IF($A35="",0,COUNTIFS($J$7:$J$406,$A35,$O$7:$O$406,"&lt;="&amp;AQ$6,$P$7:$P$406,"&gt;="&amp;AQ$6,$R$7:$R$406,"No"))</ns0:f>
        <ns0:v>0</ns0:v>
      </ns0:c>
      <ns0:c r="AR35" t="n">
        <ns0:f>IF($A35="",0,COUNTIFS($J$7:$J$406,$A35,$O$7:$O$406,"&lt;="&amp;AR$6,$P$7:$P$406,"&gt;="&amp;AR$6,$R$7:$R$406,"No"))</ns0:f>
        <ns0:v>0</ns0:v>
      </ns0:c>
      <ns0:c r="AS35" t="n">
        <ns0:f>IF($A35="",0,COUNTIFS($J$7:$J$406,$A35,$O$7:$O$406,"&lt;="&amp;AS$6,$P$7:$P$406,"&gt;="&amp;AS$6,$R$7:$R$406,"No"))</ns0:f>
        <ns0:v>0</ns0:v>
      </ns0:c>
      <ns0:c r="AT35" t="n">
        <ns0:f>IF($A35="",0,COUNTIFS($J$7:$J$406,$A35,$O$7:$O$406,"&lt;="&amp;AT$6,$P$7:$P$406,"&gt;="&amp;AT$6,$R$7:$R$406,"No"))</ns0:f>
        <ns0:v>0</ns0:v>
      </ns0:c>
      <ns0:c r="AU35" t="n">
        <ns0:f>IF($A35="",0,COUNTIFS($J$7:$J$406,$A35,$O$7:$O$406,"&lt;="&amp;AU$6,$P$7:$P$406,"&gt;="&amp;AU$6,$R$7:$R$406,"No"))</ns0:f>
        <ns0:v>0</ns0:v>
      </ns0:c>
      <ns0:c r="AV35" t="n">
        <ns0:f>IF($A35="",0,COUNTIFS($J$7:$J$406,$A35,$O$7:$O$406,"&lt;="&amp;AV$6,$P$7:$P$406,"&gt;="&amp;AV$6,$R$7:$R$406,"No"))</ns0:f>
        <ns0:v>0</ns0:v>
      </ns0:c>
      <ns0:c r="AW35" t="n">
        <ns0:f>IF($A35="",0,COUNTIFS($J$7:$J$406,$A35,$O$7:$O$406,"&lt;="&amp;AW$6,$P$7:$P$406,"&gt;="&amp;AW$6,$R$7:$R$406,"No"))</ns0:f>
        <ns0:v>0</ns0:v>
      </ns0:c>
      <ns0:c r="AX35" t="n">
        <ns0:f>IF($A35="",0,COUNTIFS($J$7:$J$406,$A35,$O$7:$O$406,"&lt;="&amp;AX$6,$P$7:$P$406,"&gt;="&amp;AX$6,$R$7:$R$406,"No"))</ns0:f>
        <ns0:v>0</ns0:v>
      </ns0:c>
      <ns0:c r="AY35" t="n">
        <ns0:f>IF($A35="",0,COUNTIFS($J$7:$J$406,$A35,$O$7:$O$406,"&lt;="&amp;AY$6,$P$7:$P$406,"&gt;="&amp;AY$6,$R$7:$R$406,"No"))</ns0:f>
        <ns0:v>0</ns0:v>
      </ns0:c>
      <ns0:c r="AZ35" t="n">
        <ns0:f>IF($A35="",0,COUNTIFS($J$7:$J$406,$A35,$O$7:$O$406,"&lt;="&amp;AZ$6,$P$7:$P$406,"&gt;="&amp;AZ$6,$R$7:$R$406,"No"))</ns0:f>
        <ns0:v>0</ns0:v>
      </ns0:c>
      <ns0:c r="BA35" t="n">
        <ns0:f>IF($A35="",0,COUNTIFS($J$7:$J$406,$A35,$O$7:$O$406,"&lt;="&amp;BA$6,$P$7:$P$406,"&gt;="&amp;BA$6,$R$7:$R$406,"No"))</ns0:f>
        <ns0:v>0</ns0:v>
      </ns0:c>
      <ns0:c r="BB35" t="n">
        <ns0:f>IF($A35="",0,COUNTIFS($J$7:$J$406,$A35,$O$7:$O$406,"&lt;="&amp;BB$6,$P$7:$P$406,"&gt;="&amp;BB$6,$R$7:$R$406,"No"))</ns0:f>
        <ns0:v>0</ns0:v>
      </ns0:c>
      <ns0:c r="BC35" t="n">
        <ns0:f>IF($A35="",0,COUNTIFS($J$7:$J$406,$A35,$O$7:$O$406,"&lt;="&amp;BC$6,$P$7:$P$406,"&gt;="&amp;BC$6,$R$7:$R$406,"No"))</ns0:f>
        <ns0:v>0</ns0:v>
      </ns0:c>
    </ns0:row>
    <ns0:row r="36" ht="48" customHeight="1">
      <ns0:c r="A36" s="8" t="str">
        <ns0:f>IF(ROW()-6&gt;MAX($K$7:$K$406),"",INDEX($J$7:$J$406,MATCH(ROW()-6,$K$7:$K$406,0)))</ns0:f>
      </ns0:c>
      <ns0:c r="B36" s="8" t="str">
        <ns0:f>IF(A36="","",COUNTIFS($J$7:$J$406,$A36))</ns0:f>
      </ns0:c>
      <ns0:c r="C36" s="8" t="str">
        <ns0:f>IF(A36="","",COUNTIFS($J$7:$J$406,$A36,$N$7:$N$406,1))</ns0:f>
      </ns0:c>
      <ns0:c r="D36" s="8" t="str">
        <ns0:f>IF(A36="","",COUNTIFS($J$7:$J$406,$A36,$Q$7:$Q$406,"In Progress"))</ns0:f>
      </ns0:c>
      <ns0:c r="E36" s="8" t="str">
        <ns0:f>IF(A36="","",B36-C36)</ns0:f>
      </ns0:c>
      <ns0:c r="F36" s="19" t="str">
        <ns0:f>IF(A36="","",SUMIFS($N$7:$N$406,$J$7:$J$406,$A36)/B36)</ns0:f>
      </ns0:c>
      <ns0:c r="G36" s="8" t="str">
        <ns0:f>IF(A36="","",COUNTIFS(V36:BC36,"&gt;1"))</ns0:f>
      </ns0:c>
      <ns0:c r="H36" s="8" t="str">
        <ns0:f>IF(A36="","",IF(COUNTIFS($T$7:$T$33,A36)&gt;0,INDEX($U$7:$U$33,MATCH(A36,$T$7:$T$33,0)),"No capacity or responsibility detail supplied."))</ns0:f>
      </ns0:c>
      <ns0:c r="J36" t="str">
        <ns0:f>IF('Project Tracker'!A14="","",TRIM(MID(SUBSTITUTE('Project Tracker'!K14,";",REPT(" ",150)),151,150)))</ns0:f>
      </ns0:c>
      <ns0:c r="K36" t="str">
        <ns0:f>IF(J36="","",IF(COUNTIFS($J$7:J36,J36)=1,MAX($K$6:K35)+1,""))</ns0:f>
      </ns0:c>
      <ns0:c r="L36" t="n">
        <ns0:f>IF(A36="",0,B36+(107-ROW())/1000)</ns0:f>
        <ns0:v>0</ns0:v>
      </ns0:c>
      <ns0:c r="M36" t="str">
        <ns0:f>IF(J36="","",'Project Tracker'!A14)</ns0:f>
      </ns0:c>
      <ns0:c r="N36" t="str">
        <ns0:f>IF(J36="","",'Project Tracker'!N14)</ns0:f>
      </ns0:c>
      <ns0:c r="O36" t="str">
        <ns0:f>IF(J36="","",'Project Tracker'!E14)</ns0:f>
      </ns0:c>
      <ns0:c r="P36" t="str">
        <ns0:f>IF(J36="","",'Project Tracker'!F14)</ns0:f>
      </ns0:c>
      <ns0:c r="Q36" t="str">
        <ns0:f>IF(J36="","",'Project Tracker'!Q14)</ns0:f>
      </ns0:c>
      <ns0:c r="R36" t="str">
        <ns0:f>IF(J36="","",'Project Tracker'!J14)</ns0:f>
      </ns0:c>
      <ns0:c r="V36" t="n">
        <ns0:f>IF($A36="",0,COUNTIFS($J$7:$J$406,$A36,$O$7:$O$406,"&lt;="&amp;V$6,$P$7:$P$406,"&gt;="&amp;V$6,$R$7:$R$406,"No"))</ns0:f>
        <ns0:v>0</ns0:v>
      </ns0:c>
      <ns0:c r="W36" t="n">
        <ns0:f>IF($A36="",0,COUNTIFS($J$7:$J$406,$A36,$O$7:$O$406,"&lt;="&amp;W$6,$P$7:$P$406,"&gt;="&amp;W$6,$R$7:$R$406,"No"))</ns0:f>
        <ns0:v>0</ns0:v>
      </ns0:c>
      <ns0:c r="X36" t="n">
        <ns0:f>IF($A36="",0,COUNTIFS($J$7:$J$406,$A36,$O$7:$O$406,"&lt;="&amp;X$6,$P$7:$P$406,"&gt;="&amp;X$6,$R$7:$R$406,"No"))</ns0:f>
        <ns0:v>0</ns0:v>
      </ns0:c>
      <ns0:c r="Y36" t="n">
        <ns0:f>IF($A36="",0,COUNTIFS($J$7:$J$406,$A36,$O$7:$O$406,"&lt;="&amp;Y$6,$P$7:$P$406,"&gt;="&amp;Y$6,$R$7:$R$406,"No"))</ns0:f>
        <ns0:v>0</ns0:v>
      </ns0:c>
      <ns0:c r="Z36" t="n">
        <ns0:f>IF($A36="",0,COUNTIFS($J$7:$J$406,$A36,$O$7:$O$406,"&lt;="&amp;Z$6,$P$7:$P$406,"&gt;="&amp;Z$6,$R$7:$R$406,"No"))</ns0:f>
        <ns0:v>0</ns0:v>
      </ns0:c>
      <ns0:c r="AA36" t="n">
        <ns0:f>IF($A36="",0,COUNTIFS($J$7:$J$406,$A36,$O$7:$O$406,"&lt;="&amp;AA$6,$P$7:$P$406,"&gt;="&amp;AA$6,$R$7:$R$406,"No"))</ns0:f>
        <ns0:v>0</ns0:v>
      </ns0:c>
      <ns0:c r="AB36" t="n">
        <ns0:f>IF($A36="",0,COUNTIFS($J$7:$J$406,$A36,$O$7:$O$406,"&lt;="&amp;AB$6,$P$7:$P$406,"&gt;="&amp;AB$6,$R$7:$R$406,"No"))</ns0:f>
        <ns0:v>0</ns0:v>
      </ns0:c>
      <ns0:c r="AC36" t="n">
        <ns0:f>IF($A36="",0,COUNTIFS($J$7:$J$406,$A36,$O$7:$O$406,"&lt;="&amp;AC$6,$P$7:$P$406,"&gt;="&amp;AC$6,$R$7:$R$406,"No"))</ns0:f>
        <ns0:v>0</ns0:v>
      </ns0:c>
      <ns0:c r="AD36" t="n">
        <ns0:f>IF($A36="",0,COUNTIFS($J$7:$J$406,$A36,$O$7:$O$406,"&lt;="&amp;AD$6,$P$7:$P$406,"&gt;="&amp;AD$6,$R$7:$R$406,"No"))</ns0:f>
        <ns0:v>0</ns0:v>
      </ns0:c>
      <ns0:c r="AE36" t="n">
        <ns0:f>IF($A36="",0,COUNTIFS($J$7:$J$406,$A36,$O$7:$O$406,"&lt;="&amp;AE$6,$P$7:$P$406,"&gt;="&amp;AE$6,$R$7:$R$406,"No"))</ns0:f>
        <ns0:v>0</ns0:v>
      </ns0:c>
      <ns0:c r="AF36" t="n">
        <ns0:f>IF($A36="",0,COUNTIFS($J$7:$J$406,$A36,$O$7:$O$406,"&lt;="&amp;AF$6,$P$7:$P$406,"&gt;="&amp;AF$6,$R$7:$R$406,"No"))</ns0:f>
        <ns0:v>0</ns0:v>
      </ns0:c>
      <ns0:c r="AG36" t="n">
        <ns0:f>IF($A36="",0,COUNTIFS($J$7:$J$406,$A36,$O$7:$O$406,"&lt;="&amp;AG$6,$P$7:$P$406,"&gt;="&amp;AG$6,$R$7:$R$406,"No"))</ns0:f>
        <ns0:v>0</ns0:v>
      </ns0:c>
      <ns0:c r="AH36" t="n">
        <ns0:f>IF($A36="",0,COUNTIFS($J$7:$J$406,$A36,$O$7:$O$406,"&lt;="&amp;AH$6,$P$7:$P$406,"&gt;="&amp;AH$6,$R$7:$R$406,"No"))</ns0:f>
        <ns0:v>0</ns0:v>
      </ns0:c>
      <ns0:c r="AI36" t="n">
        <ns0:f>IF($A36="",0,COUNTIFS($J$7:$J$406,$A36,$O$7:$O$406,"&lt;="&amp;AI$6,$P$7:$P$406,"&gt;="&amp;AI$6,$R$7:$R$406,"No"))</ns0:f>
        <ns0:v>0</ns0:v>
      </ns0:c>
      <ns0:c r="AJ36" t="n">
        <ns0:f>IF($A36="",0,COUNTIFS($J$7:$J$406,$A36,$O$7:$O$406,"&lt;="&amp;AJ$6,$P$7:$P$406,"&gt;="&amp;AJ$6,$R$7:$R$406,"No"))</ns0:f>
        <ns0:v>0</ns0:v>
      </ns0:c>
      <ns0:c r="AK36" t="n">
        <ns0:f>IF($A36="",0,COUNTIFS($J$7:$J$406,$A36,$O$7:$O$406,"&lt;="&amp;AK$6,$P$7:$P$406,"&gt;="&amp;AK$6,$R$7:$R$406,"No"))</ns0:f>
        <ns0:v>0</ns0:v>
      </ns0:c>
      <ns0:c r="AL36" t="n">
        <ns0:f>IF($A36="",0,COUNTIFS($J$7:$J$406,$A36,$O$7:$O$406,"&lt;="&amp;AL$6,$P$7:$P$406,"&gt;="&amp;AL$6,$R$7:$R$406,"No"))</ns0:f>
        <ns0:v>0</ns0:v>
      </ns0:c>
      <ns0:c r="AM36" t="n">
        <ns0:f>IF($A36="",0,COUNTIFS($J$7:$J$406,$A36,$O$7:$O$406,"&lt;="&amp;AM$6,$P$7:$P$406,"&gt;="&amp;AM$6,$R$7:$R$406,"No"))</ns0:f>
        <ns0:v>0</ns0:v>
      </ns0:c>
      <ns0:c r="AN36" t="n">
        <ns0:f>IF($A36="",0,COUNTIFS($J$7:$J$406,$A36,$O$7:$O$406,"&lt;="&amp;AN$6,$P$7:$P$406,"&gt;="&amp;AN$6,$R$7:$R$406,"No"))</ns0:f>
        <ns0:v>0</ns0:v>
      </ns0:c>
      <ns0:c r="AO36" t="n">
        <ns0:f>IF($A36="",0,COUNTIFS($J$7:$J$406,$A36,$O$7:$O$406,"&lt;="&amp;AO$6,$P$7:$P$406,"&gt;="&amp;AO$6,$R$7:$R$406,"No"))</ns0:f>
        <ns0:v>0</ns0:v>
      </ns0:c>
      <ns0:c r="AP36" t="n">
        <ns0:f>IF($A36="",0,COUNTIFS($J$7:$J$406,$A36,$O$7:$O$406,"&lt;="&amp;AP$6,$P$7:$P$406,"&gt;="&amp;AP$6,$R$7:$R$406,"No"))</ns0:f>
        <ns0:v>0</ns0:v>
      </ns0:c>
      <ns0:c r="AQ36" t="n">
        <ns0:f>IF($A36="",0,COUNTIFS($J$7:$J$406,$A36,$O$7:$O$406,"&lt;="&amp;AQ$6,$P$7:$P$406,"&gt;="&amp;AQ$6,$R$7:$R$406,"No"))</ns0:f>
        <ns0:v>0</ns0:v>
      </ns0:c>
      <ns0:c r="AR36" t="n">
        <ns0:f>IF($A36="",0,COUNTIFS($J$7:$J$406,$A36,$O$7:$O$406,"&lt;="&amp;AR$6,$P$7:$P$406,"&gt;="&amp;AR$6,$R$7:$R$406,"No"))</ns0:f>
        <ns0:v>0</ns0:v>
      </ns0:c>
      <ns0:c r="AS36" t="n">
        <ns0:f>IF($A36="",0,COUNTIFS($J$7:$J$406,$A36,$O$7:$O$406,"&lt;="&amp;AS$6,$P$7:$P$406,"&gt;="&amp;AS$6,$R$7:$R$406,"No"))</ns0:f>
        <ns0:v>0</ns0:v>
      </ns0:c>
      <ns0:c r="AT36" t="n">
        <ns0:f>IF($A36="",0,COUNTIFS($J$7:$J$406,$A36,$O$7:$O$406,"&lt;="&amp;AT$6,$P$7:$P$406,"&gt;="&amp;AT$6,$R$7:$R$406,"No"))</ns0:f>
        <ns0:v>0</ns0:v>
      </ns0:c>
      <ns0:c r="AU36" t="n">
        <ns0:f>IF($A36="",0,COUNTIFS($J$7:$J$406,$A36,$O$7:$O$406,"&lt;="&amp;AU$6,$P$7:$P$406,"&gt;="&amp;AU$6,$R$7:$R$406,"No"))</ns0:f>
        <ns0:v>0</ns0:v>
      </ns0:c>
      <ns0:c r="AV36" t="n">
        <ns0:f>IF($A36="",0,COUNTIFS($J$7:$J$406,$A36,$O$7:$O$406,"&lt;="&amp;AV$6,$P$7:$P$406,"&gt;="&amp;AV$6,$R$7:$R$406,"No"))</ns0:f>
        <ns0:v>0</ns0:v>
      </ns0:c>
      <ns0:c r="AW36" t="n">
        <ns0:f>IF($A36="",0,COUNTIFS($J$7:$J$406,$A36,$O$7:$O$406,"&lt;="&amp;AW$6,$P$7:$P$406,"&gt;="&amp;AW$6,$R$7:$R$406,"No"))</ns0:f>
        <ns0:v>0</ns0:v>
      </ns0:c>
      <ns0:c r="AX36" t="n">
        <ns0:f>IF($A36="",0,COUNTIFS($J$7:$J$406,$A36,$O$7:$O$406,"&lt;="&amp;AX$6,$P$7:$P$406,"&gt;="&amp;AX$6,$R$7:$R$406,"No"))</ns0:f>
        <ns0:v>0</ns0:v>
      </ns0:c>
      <ns0:c r="AY36" t="n">
        <ns0:f>IF($A36="",0,COUNTIFS($J$7:$J$406,$A36,$O$7:$O$406,"&lt;="&amp;AY$6,$P$7:$P$406,"&gt;="&amp;AY$6,$R$7:$R$406,"No"))</ns0:f>
        <ns0:v>0</ns0:v>
      </ns0:c>
      <ns0:c r="AZ36" t="n">
        <ns0:f>IF($A36="",0,COUNTIFS($J$7:$J$406,$A36,$O$7:$O$406,"&lt;="&amp;AZ$6,$P$7:$P$406,"&gt;="&amp;AZ$6,$R$7:$R$406,"No"))</ns0:f>
        <ns0:v>0</ns0:v>
      </ns0:c>
      <ns0:c r="BA36" t="n">
        <ns0:f>IF($A36="",0,COUNTIFS($J$7:$J$406,$A36,$O$7:$O$406,"&lt;="&amp;BA$6,$P$7:$P$406,"&gt;="&amp;BA$6,$R$7:$R$406,"No"))</ns0:f>
        <ns0:v>0</ns0:v>
      </ns0:c>
      <ns0:c r="BB36" t="n">
        <ns0:f>IF($A36="",0,COUNTIFS($J$7:$J$406,$A36,$O$7:$O$406,"&lt;="&amp;BB$6,$P$7:$P$406,"&gt;="&amp;BB$6,$R$7:$R$406,"No"))</ns0:f>
        <ns0:v>0</ns0:v>
      </ns0:c>
      <ns0:c r="BC36" t="n">
        <ns0:f>IF($A36="",0,COUNTIFS($J$7:$J$406,$A36,$O$7:$O$406,"&lt;="&amp;BC$6,$P$7:$P$406,"&gt;="&amp;BC$6,$R$7:$R$406,"No"))</ns0:f>
        <ns0:v>0</ns0:v>
      </ns0:c>
    </ns0:row>
    <ns0:row r="37" ht="48" customHeight="1">
      <ns0:c r="A37" s="8" t="str">
        <ns0:f>IF(ROW()-6&gt;MAX($K$7:$K$406),"",INDEX($J$7:$J$406,MATCH(ROW()-6,$K$7:$K$406,0)))</ns0:f>
      </ns0:c>
      <ns0:c r="B37" s="8" t="str">
        <ns0:f>IF(A37="","",COUNTIFS($J$7:$J$406,$A37))</ns0:f>
      </ns0:c>
      <ns0:c r="C37" s="8" t="str">
        <ns0:f>IF(A37="","",COUNTIFS($J$7:$J$406,$A37,$N$7:$N$406,1))</ns0:f>
      </ns0:c>
      <ns0:c r="D37" s="8" t="str">
        <ns0:f>IF(A37="","",COUNTIFS($J$7:$J$406,$A37,$Q$7:$Q$406,"In Progress"))</ns0:f>
      </ns0:c>
      <ns0:c r="E37" s="8" t="str">
        <ns0:f>IF(A37="","",B37-C37)</ns0:f>
      </ns0:c>
      <ns0:c r="F37" s="19" t="str">
        <ns0:f>IF(A37="","",SUMIFS($N$7:$N$406,$J$7:$J$406,$A37)/B37)</ns0:f>
      </ns0:c>
      <ns0:c r="G37" s="8" t="str">
        <ns0:f>IF(A37="","",COUNTIFS(V37:BC37,"&gt;1"))</ns0:f>
      </ns0:c>
      <ns0:c r="H37" s="8" t="str">
        <ns0:f>IF(A37="","",IF(COUNTIFS($T$7:$T$33,A37)&gt;0,INDEX($U$7:$U$33,MATCH(A37,$T$7:$T$33,0)),"No capacity or responsibility detail supplied."))</ns0:f>
      </ns0:c>
      <ns0:c r="J37" t="str">
        <ns0:f>IF('Project Tracker'!A14="","",TRIM(MID(SUBSTITUTE('Project Tracker'!K14,";",REPT(" ",150)),301,150)))</ns0:f>
      </ns0:c>
      <ns0:c r="K37" t="str">
        <ns0:f>IF(J37="","",IF(COUNTIFS($J$7:J37,J37)=1,MAX($K$6:K36)+1,""))</ns0:f>
      </ns0:c>
      <ns0:c r="L37" t="n">
        <ns0:f>IF(A37="",0,B37+(107-ROW())/1000)</ns0:f>
        <ns0:v>0</ns0:v>
      </ns0:c>
      <ns0:c r="M37" t="str">
        <ns0:f>IF(J37="","",'Project Tracker'!A14)</ns0:f>
      </ns0:c>
      <ns0:c r="N37" t="str">
        <ns0:f>IF(J37="","",'Project Tracker'!N14)</ns0:f>
      </ns0:c>
      <ns0:c r="O37" t="str">
        <ns0:f>IF(J37="","",'Project Tracker'!E14)</ns0:f>
      </ns0:c>
      <ns0:c r="P37" t="str">
        <ns0:f>IF(J37="","",'Project Tracker'!F14)</ns0:f>
      </ns0:c>
      <ns0:c r="Q37" t="str">
        <ns0:f>IF(J37="","",'Project Tracker'!Q14)</ns0:f>
      </ns0:c>
      <ns0:c r="R37" t="str">
        <ns0:f>IF(J37="","",'Project Tracker'!J14)</ns0:f>
      </ns0:c>
      <ns0:c r="V37" t="n">
        <ns0:f>IF($A37="",0,COUNTIFS($J$7:$J$406,$A37,$O$7:$O$406,"&lt;="&amp;V$6,$P$7:$P$406,"&gt;="&amp;V$6,$R$7:$R$406,"No"))</ns0:f>
        <ns0:v>0</ns0:v>
      </ns0:c>
      <ns0:c r="W37" t="n">
        <ns0:f>IF($A37="",0,COUNTIFS($J$7:$J$406,$A37,$O$7:$O$406,"&lt;="&amp;W$6,$P$7:$P$406,"&gt;="&amp;W$6,$R$7:$R$406,"No"))</ns0:f>
        <ns0:v>0</ns0:v>
      </ns0:c>
      <ns0:c r="X37" t="n">
        <ns0:f>IF($A37="",0,COUNTIFS($J$7:$J$406,$A37,$O$7:$O$406,"&lt;="&amp;X$6,$P$7:$P$406,"&gt;="&amp;X$6,$R$7:$R$406,"No"))</ns0:f>
        <ns0:v>0</ns0:v>
      </ns0:c>
      <ns0:c r="Y37" t="n">
        <ns0:f>IF($A37="",0,COUNTIFS($J$7:$J$406,$A37,$O$7:$O$406,"&lt;="&amp;Y$6,$P$7:$P$406,"&gt;="&amp;Y$6,$R$7:$R$406,"No"))</ns0:f>
        <ns0:v>0</ns0:v>
      </ns0:c>
      <ns0:c r="Z37" t="n">
        <ns0:f>IF($A37="",0,COUNTIFS($J$7:$J$406,$A37,$O$7:$O$406,"&lt;="&amp;Z$6,$P$7:$P$406,"&gt;="&amp;Z$6,$R$7:$R$406,"No"))</ns0:f>
        <ns0:v>0</ns0:v>
      </ns0:c>
      <ns0:c r="AA37" t="n">
        <ns0:f>IF($A37="",0,COUNTIFS($J$7:$J$406,$A37,$O$7:$O$406,"&lt;="&amp;AA$6,$P$7:$P$406,"&gt;="&amp;AA$6,$R$7:$R$406,"No"))</ns0:f>
        <ns0:v>0</ns0:v>
      </ns0:c>
      <ns0:c r="AB37" t="n">
        <ns0:f>IF($A37="",0,COUNTIFS($J$7:$J$406,$A37,$O$7:$O$406,"&lt;="&amp;AB$6,$P$7:$P$406,"&gt;="&amp;AB$6,$R$7:$R$406,"No"))</ns0:f>
        <ns0:v>0</ns0:v>
      </ns0:c>
      <ns0:c r="AC37" t="n">
        <ns0:f>IF($A37="",0,COUNTIFS($J$7:$J$406,$A37,$O$7:$O$406,"&lt;="&amp;AC$6,$P$7:$P$406,"&gt;="&amp;AC$6,$R$7:$R$406,"No"))</ns0:f>
        <ns0:v>0</ns0:v>
      </ns0:c>
      <ns0:c r="AD37" t="n">
        <ns0:f>IF($A37="",0,COUNTIFS($J$7:$J$406,$A37,$O$7:$O$406,"&lt;="&amp;AD$6,$P$7:$P$406,"&gt;="&amp;AD$6,$R$7:$R$406,"No"))</ns0:f>
        <ns0:v>0</ns0:v>
      </ns0:c>
      <ns0:c r="AE37" t="n">
        <ns0:f>IF($A37="",0,COUNTIFS($J$7:$J$406,$A37,$O$7:$O$406,"&lt;="&amp;AE$6,$P$7:$P$406,"&gt;="&amp;AE$6,$R$7:$R$406,"No"))</ns0:f>
        <ns0:v>0</ns0:v>
      </ns0:c>
      <ns0:c r="AF37" t="n">
        <ns0:f>IF($A37="",0,COUNTIFS($J$7:$J$406,$A37,$O$7:$O$406,"&lt;="&amp;AF$6,$P$7:$P$406,"&gt;="&amp;AF$6,$R$7:$R$406,"No"))</ns0:f>
        <ns0:v>0</ns0:v>
      </ns0:c>
      <ns0:c r="AG37" t="n">
        <ns0:f>IF($A37="",0,COUNTIFS($J$7:$J$406,$A37,$O$7:$O$406,"&lt;="&amp;AG$6,$P$7:$P$406,"&gt;="&amp;AG$6,$R$7:$R$406,"No"))</ns0:f>
        <ns0:v>0</ns0:v>
      </ns0:c>
      <ns0:c r="AH37" t="n">
        <ns0:f>IF($A37="",0,COUNTIFS($J$7:$J$406,$A37,$O$7:$O$406,"&lt;="&amp;AH$6,$P$7:$P$406,"&gt;="&amp;AH$6,$R$7:$R$406,"No"))</ns0:f>
        <ns0:v>0</ns0:v>
      </ns0:c>
      <ns0:c r="AI37" t="n">
        <ns0:f>IF($A37="",0,COUNTIFS($J$7:$J$406,$A37,$O$7:$O$406,"&lt;="&amp;AI$6,$P$7:$P$406,"&gt;="&amp;AI$6,$R$7:$R$406,"No"))</ns0:f>
        <ns0:v>0</ns0:v>
      </ns0:c>
      <ns0:c r="AJ37" t="n">
        <ns0:f>IF($A37="",0,COUNTIFS($J$7:$J$406,$A37,$O$7:$O$406,"&lt;="&amp;AJ$6,$P$7:$P$406,"&gt;="&amp;AJ$6,$R$7:$R$406,"No"))</ns0:f>
        <ns0:v>0</ns0:v>
      </ns0:c>
      <ns0:c r="AK37" t="n">
        <ns0:f>IF($A37="",0,COUNTIFS($J$7:$J$406,$A37,$O$7:$O$406,"&lt;="&amp;AK$6,$P$7:$P$406,"&gt;="&amp;AK$6,$R$7:$R$406,"No"))</ns0:f>
        <ns0:v>0</ns0:v>
      </ns0:c>
      <ns0:c r="AL37" t="n">
        <ns0:f>IF($A37="",0,COUNTIFS($J$7:$J$406,$A37,$O$7:$O$406,"&lt;="&amp;AL$6,$P$7:$P$406,"&gt;="&amp;AL$6,$R$7:$R$406,"No"))</ns0:f>
        <ns0:v>0</ns0:v>
      </ns0:c>
      <ns0:c r="AM37" t="n">
        <ns0:f>IF($A37="",0,COUNTIFS($J$7:$J$406,$A37,$O$7:$O$406,"&lt;="&amp;AM$6,$P$7:$P$406,"&gt;="&amp;AM$6,$R$7:$R$406,"No"))</ns0:f>
        <ns0:v>0</ns0:v>
      </ns0:c>
      <ns0:c r="AN37" t="n">
        <ns0:f>IF($A37="",0,COUNTIFS($J$7:$J$406,$A37,$O$7:$O$406,"&lt;="&amp;AN$6,$P$7:$P$406,"&gt;="&amp;AN$6,$R$7:$R$406,"No"))</ns0:f>
        <ns0:v>0</ns0:v>
      </ns0:c>
      <ns0:c r="AO37" t="n">
        <ns0:f>IF($A37="",0,COUNTIFS($J$7:$J$406,$A37,$O$7:$O$406,"&lt;="&amp;AO$6,$P$7:$P$406,"&gt;="&amp;AO$6,$R$7:$R$406,"No"))</ns0:f>
        <ns0:v>0</ns0:v>
      </ns0:c>
      <ns0:c r="AP37" t="n">
        <ns0:f>IF($A37="",0,COUNTIFS($J$7:$J$406,$A37,$O$7:$O$406,"&lt;="&amp;AP$6,$P$7:$P$406,"&gt;="&amp;AP$6,$R$7:$R$406,"No"))</ns0:f>
        <ns0:v>0</ns0:v>
      </ns0:c>
      <ns0:c r="AQ37" t="n">
        <ns0:f>IF($A37="",0,COUNTIFS($J$7:$J$406,$A37,$O$7:$O$406,"&lt;="&amp;AQ$6,$P$7:$P$406,"&gt;="&amp;AQ$6,$R$7:$R$406,"No"))</ns0:f>
        <ns0:v>0</ns0:v>
      </ns0:c>
      <ns0:c r="AR37" t="n">
        <ns0:f>IF($A37="",0,COUNTIFS($J$7:$J$406,$A37,$O$7:$O$406,"&lt;="&amp;AR$6,$P$7:$P$406,"&gt;="&amp;AR$6,$R$7:$R$406,"No"))</ns0:f>
        <ns0:v>0</ns0:v>
      </ns0:c>
      <ns0:c r="AS37" t="n">
        <ns0:f>IF($A37="",0,COUNTIFS($J$7:$J$406,$A37,$O$7:$O$406,"&lt;="&amp;AS$6,$P$7:$P$406,"&gt;="&amp;AS$6,$R$7:$R$406,"No"))</ns0:f>
        <ns0:v>0</ns0:v>
      </ns0:c>
      <ns0:c r="AT37" t="n">
        <ns0:f>IF($A37="",0,COUNTIFS($J$7:$J$406,$A37,$O$7:$O$406,"&lt;="&amp;AT$6,$P$7:$P$406,"&gt;="&amp;AT$6,$R$7:$R$406,"No"))</ns0:f>
        <ns0:v>0</ns0:v>
      </ns0:c>
      <ns0:c r="AU37" t="n">
        <ns0:f>IF($A37="",0,COUNTIFS($J$7:$J$406,$A37,$O$7:$O$406,"&lt;="&amp;AU$6,$P$7:$P$406,"&gt;="&amp;AU$6,$R$7:$R$406,"No"))</ns0:f>
        <ns0:v>0</ns0:v>
      </ns0:c>
      <ns0:c r="AV37" t="n">
        <ns0:f>IF($A37="",0,COUNTIFS($J$7:$J$406,$A37,$O$7:$O$406,"&lt;="&amp;AV$6,$P$7:$P$406,"&gt;="&amp;AV$6,$R$7:$R$406,"No"))</ns0:f>
        <ns0:v>0</ns0:v>
      </ns0:c>
      <ns0:c r="AW37" t="n">
        <ns0:f>IF($A37="",0,COUNTIFS($J$7:$J$406,$A37,$O$7:$O$406,"&lt;="&amp;AW$6,$P$7:$P$406,"&gt;="&amp;AW$6,$R$7:$R$406,"No"))</ns0:f>
        <ns0:v>0</ns0:v>
      </ns0:c>
      <ns0:c r="AX37" t="n">
        <ns0:f>IF($A37="",0,COUNTIFS($J$7:$J$406,$A37,$O$7:$O$406,"&lt;="&amp;AX$6,$P$7:$P$406,"&gt;="&amp;AX$6,$R$7:$R$406,"No"))</ns0:f>
        <ns0:v>0</ns0:v>
      </ns0:c>
      <ns0:c r="AY37" t="n">
        <ns0:f>IF($A37="",0,COUNTIFS($J$7:$J$406,$A37,$O$7:$O$406,"&lt;="&amp;AY$6,$P$7:$P$406,"&gt;="&amp;AY$6,$R$7:$R$406,"No"))</ns0:f>
        <ns0:v>0</ns0:v>
      </ns0:c>
      <ns0:c r="AZ37" t="n">
        <ns0:f>IF($A37="",0,COUNTIFS($J$7:$J$406,$A37,$O$7:$O$406,"&lt;="&amp;AZ$6,$P$7:$P$406,"&gt;="&amp;AZ$6,$R$7:$R$406,"No"))</ns0:f>
        <ns0:v>0</ns0:v>
      </ns0:c>
      <ns0:c r="BA37" t="n">
        <ns0:f>IF($A37="",0,COUNTIFS($J$7:$J$406,$A37,$O$7:$O$406,"&lt;="&amp;BA$6,$P$7:$P$406,"&gt;="&amp;BA$6,$R$7:$R$406,"No"))</ns0:f>
        <ns0:v>0</ns0:v>
      </ns0:c>
      <ns0:c r="BB37" t="n">
        <ns0:f>IF($A37="",0,COUNTIFS($J$7:$J$406,$A37,$O$7:$O$406,"&lt;="&amp;BB$6,$P$7:$P$406,"&gt;="&amp;BB$6,$R$7:$R$406,"No"))</ns0:f>
        <ns0:v>0</ns0:v>
      </ns0:c>
      <ns0:c r="BC37" t="n">
        <ns0:f>IF($A37="",0,COUNTIFS($J$7:$J$406,$A37,$O$7:$O$406,"&lt;="&amp;BC$6,$P$7:$P$406,"&gt;="&amp;BC$6,$R$7:$R$406,"No"))</ns0:f>
        <ns0:v>0</ns0:v>
      </ns0:c>
    </ns0:row>
    <ns0:row r="38" ht="48" customHeight="1">
      <ns0:c r="A38" s="8" t="str">
        <ns0:f>IF(ROW()-6&gt;MAX($K$7:$K$406),"",INDEX($J$7:$J$406,MATCH(ROW()-6,$K$7:$K$406,0)))</ns0:f>
      </ns0:c>
      <ns0:c r="B38" s="8" t="str">
        <ns0:f>IF(A38="","",COUNTIFS($J$7:$J$406,$A38))</ns0:f>
      </ns0:c>
      <ns0:c r="C38" s="8" t="str">
        <ns0:f>IF(A38="","",COUNTIFS($J$7:$J$406,$A38,$N$7:$N$406,1))</ns0:f>
      </ns0:c>
      <ns0:c r="D38" s="8" t="str">
        <ns0:f>IF(A38="","",COUNTIFS($J$7:$J$406,$A38,$Q$7:$Q$406,"In Progress"))</ns0:f>
      </ns0:c>
      <ns0:c r="E38" s="8" t="str">
        <ns0:f>IF(A38="","",B38-C38)</ns0:f>
      </ns0:c>
      <ns0:c r="F38" s="19" t="str">
        <ns0:f>IF(A38="","",SUMIFS($N$7:$N$406,$J$7:$J$406,$A38)/B38)</ns0:f>
      </ns0:c>
      <ns0:c r="G38" s="8" t="str">
        <ns0:f>IF(A38="","",COUNTIFS(V38:BC38,"&gt;1"))</ns0:f>
      </ns0:c>
      <ns0:c r="H38" s="8" t="str">
        <ns0:f>IF(A38="","",IF(COUNTIFS($T$7:$T$33,A38)&gt;0,INDEX($U$7:$U$33,MATCH(A38,$T$7:$T$33,0)),"No capacity or responsibility detail supplied."))</ns0:f>
      </ns0:c>
      <ns0:c r="J38" t="str">
        <ns0:f>IF('Project Tracker'!A14="","",TRIM(MID(SUBSTITUTE('Project Tracker'!K14,";",REPT(" ",150)),451,150)))</ns0:f>
      </ns0:c>
      <ns0:c r="K38" t="str">
        <ns0:f>IF(J38="","",IF(COUNTIFS($J$7:J38,J38)=1,MAX($K$6:K37)+1,""))</ns0:f>
      </ns0:c>
      <ns0:c r="L38" t="n">
        <ns0:f>IF(A38="",0,B38+(107-ROW())/1000)</ns0:f>
        <ns0:v>0</ns0:v>
      </ns0:c>
      <ns0:c r="M38" t="str">
        <ns0:f>IF(J38="","",'Project Tracker'!A14)</ns0:f>
      </ns0:c>
      <ns0:c r="N38" t="str">
        <ns0:f>IF(J38="","",'Project Tracker'!N14)</ns0:f>
      </ns0:c>
      <ns0:c r="O38" t="str">
        <ns0:f>IF(J38="","",'Project Tracker'!E14)</ns0:f>
      </ns0:c>
      <ns0:c r="P38" t="str">
        <ns0:f>IF(J38="","",'Project Tracker'!F14)</ns0:f>
      </ns0:c>
      <ns0:c r="Q38" t="str">
        <ns0:f>IF(J38="","",'Project Tracker'!Q14)</ns0:f>
      </ns0:c>
      <ns0:c r="R38" t="str">
        <ns0:f>IF(J38="","",'Project Tracker'!J14)</ns0:f>
      </ns0:c>
      <ns0:c r="V38" t="n">
        <ns0:f>IF($A38="",0,COUNTIFS($J$7:$J$406,$A38,$O$7:$O$406,"&lt;="&amp;V$6,$P$7:$P$406,"&gt;="&amp;V$6,$R$7:$R$406,"No"))</ns0:f>
        <ns0:v>0</ns0:v>
      </ns0:c>
      <ns0:c r="W38" t="n">
        <ns0:f>IF($A38="",0,COUNTIFS($J$7:$J$406,$A38,$O$7:$O$406,"&lt;="&amp;W$6,$P$7:$P$406,"&gt;="&amp;W$6,$R$7:$R$406,"No"))</ns0:f>
        <ns0:v>0</ns0:v>
      </ns0:c>
      <ns0:c r="X38" t="n">
        <ns0:f>IF($A38="",0,COUNTIFS($J$7:$J$406,$A38,$O$7:$O$406,"&lt;="&amp;X$6,$P$7:$P$406,"&gt;="&amp;X$6,$R$7:$R$406,"No"))</ns0:f>
        <ns0:v>0</ns0:v>
      </ns0:c>
      <ns0:c r="Y38" t="n">
        <ns0:f>IF($A38="",0,COUNTIFS($J$7:$J$406,$A38,$O$7:$O$406,"&lt;="&amp;Y$6,$P$7:$P$406,"&gt;="&amp;Y$6,$R$7:$R$406,"No"))</ns0:f>
        <ns0:v>0</ns0:v>
      </ns0:c>
      <ns0:c r="Z38" t="n">
        <ns0:f>IF($A38="",0,COUNTIFS($J$7:$J$406,$A38,$O$7:$O$406,"&lt;="&amp;Z$6,$P$7:$P$406,"&gt;="&amp;Z$6,$R$7:$R$406,"No"))</ns0:f>
        <ns0:v>0</ns0:v>
      </ns0:c>
      <ns0:c r="AA38" t="n">
        <ns0:f>IF($A38="",0,COUNTIFS($J$7:$J$406,$A38,$O$7:$O$406,"&lt;="&amp;AA$6,$P$7:$P$406,"&gt;="&amp;AA$6,$R$7:$R$406,"No"))</ns0:f>
        <ns0:v>0</ns0:v>
      </ns0:c>
      <ns0:c r="AB38" t="n">
        <ns0:f>IF($A38="",0,COUNTIFS($J$7:$J$406,$A38,$O$7:$O$406,"&lt;="&amp;AB$6,$P$7:$P$406,"&gt;="&amp;AB$6,$R$7:$R$406,"No"))</ns0:f>
        <ns0:v>0</ns0:v>
      </ns0:c>
      <ns0:c r="AC38" t="n">
        <ns0:f>IF($A38="",0,COUNTIFS($J$7:$J$406,$A38,$O$7:$O$406,"&lt;="&amp;AC$6,$P$7:$P$406,"&gt;="&amp;AC$6,$R$7:$R$406,"No"))</ns0:f>
        <ns0:v>0</ns0:v>
      </ns0:c>
      <ns0:c r="AD38" t="n">
        <ns0:f>IF($A38="",0,COUNTIFS($J$7:$J$406,$A38,$O$7:$O$406,"&lt;="&amp;AD$6,$P$7:$P$406,"&gt;="&amp;AD$6,$R$7:$R$406,"No"))</ns0:f>
        <ns0:v>0</ns0:v>
      </ns0:c>
      <ns0:c r="AE38" t="n">
        <ns0:f>IF($A38="",0,COUNTIFS($J$7:$J$406,$A38,$O$7:$O$406,"&lt;="&amp;AE$6,$P$7:$P$406,"&gt;="&amp;AE$6,$R$7:$R$406,"No"))</ns0:f>
        <ns0:v>0</ns0:v>
      </ns0:c>
      <ns0:c r="AF38" t="n">
        <ns0:f>IF($A38="",0,COUNTIFS($J$7:$J$406,$A38,$O$7:$O$406,"&lt;="&amp;AF$6,$P$7:$P$406,"&gt;="&amp;AF$6,$R$7:$R$406,"No"))</ns0:f>
        <ns0:v>0</ns0:v>
      </ns0:c>
      <ns0:c r="AG38" t="n">
        <ns0:f>IF($A38="",0,COUNTIFS($J$7:$J$406,$A38,$O$7:$O$406,"&lt;="&amp;AG$6,$P$7:$P$406,"&gt;="&amp;AG$6,$R$7:$R$406,"No"))</ns0:f>
        <ns0:v>0</ns0:v>
      </ns0:c>
      <ns0:c r="AH38" t="n">
        <ns0:f>IF($A38="",0,COUNTIFS($J$7:$J$406,$A38,$O$7:$O$406,"&lt;="&amp;AH$6,$P$7:$P$406,"&gt;="&amp;AH$6,$R$7:$R$406,"No"))</ns0:f>
        <ns0:v>0</ns0:v>
      </ns0:c>
      <ns0:c r="AI38" t="n">
        <ns0:f>IF($A38="",0,COUNTIFS($J$7:$J$406,$A38,$O$7:$O$406,"&lt;="&amp;AI$6,$P$7:$P$406,"&gt;="&amp;AI$6,$R$7:$R$406,"No"))</ns0:f>
        <ns0:v>0</ns0:v>
      </ns0:c>
      <ns0:c r="AJ38" t="n">
        <ns0:f>IF($A38="",0,COUNTIFS($J$7:$J$406,$A38,$O$7:$O$406,"&lt;="&amp;AJ$6,$P$7:$P$406,"&gt;="&amp;AJ$6,$R$7:$R$406,"No"))</ns0:f>
        <ns0:v>0</ns0:v>
      </ns0:c>
      <ns0:c r="AK38" t="n">
        <ns0:f>IF($A38="",0,COUNTIFS($J$7:$J$406,$A38,$O$7:$O$406,"&lt;="&amp;AK$6,$P$7:$P$406,"&gt;="&amp;AK$6,$R$7:$R$406,"No"))</ns0:f>
        <ns0:v>0</ns0:v>
      </ns0:c>
      <ns0:c r="AL38" t="n">
        <ns0:f>IF($A38="",0,COUNTIFS($J$7:$J$406,$A38,$O$7:$O$406,"&lt;="&amp;AL$6,$P$7:$P$406,"&gt;="&amp;AL$6,$R$7:$R$406,"No"))</ns0:f>
        <ns0:v>0</ns0:v>
      </ns0:c>
      <ns0:c r="AM38" t="n">
        <ns0:f>IF($A38="",0,COUNTIFS($J$7:$J$406,$A38,$O$7:$O$406,"&lt;="&amp;AM$6,$P$7:$P$406,"&gt;="&amp;AM$6,$R$7:$R$406,"No"))</ns0:f>
        <ns0:v>0</ns0:v>
      </ns0:c>
      <ns0:c r="AN38" t="n">
        <ns0:f>IF($A38="",0,COUNTIFS($J$7:$J$406,$A38,$O$7:$O$406,"&lt;="&amp;AN$6,$P$7:$P$406,"&gt;="&amp;AN$6,$R$7:$R$406,"No"))</ns0:f>
        <ns0:v>0</ns0:v>
      </ns0:c>
      <ns0:c r="AO38" t="n">
        <ns0:f>IF($A38="",0,COUNTIFS($J$7:$J$406,$A38,$O$7:$O$406,"&lt;="&amp;AO$6,$P$7:$P$406,"&gt;="&amp;AO$6,$R$7:$R$406,"No"))</ns0:f>
        <ns0:v>0</ns0:v>
      </ns0:c>
      <ns0:c r="AP38" t="n">
        <ns0:f>IF($A38="",0,COUNTIFS($J$7:$J$406,$A38,$O$7:$O$406,"&lt;="&amp;AP$6,$P$7:$P$406,"&gt;="&amp;AP$6,$R$7:$R$406,"No"))</ns0:f>
        <ns0:v>0</ns0:v>
      </ns0:c>
      <ns0:c r="AQ38" t="n">
        <ns0:f>IF($A38="",0,COUNTIFS($J$7:$J$406,$A38,$O$7:$O$406,"&lt;="&amp;AQ$6,$P$7:$P$406,"&gt;="&amp;AQ$6,$R$7:$R$406,"No"))</ns0:f>
        <ns0:v>0</ns0:v>
      </ns0:c>
      <ns0:c r="AR38" t="n">
        <ns0:f>IF($A38="",0,COUNTIFS($J$7:$J$406,$A38,$O$7:$O$406,"&lt;="&amp;AR$6,$P$7:$P$406,"&gt;="&amp;AR$6,$R$7:$R$406,"No"))</ns0:f>
        <ns0:v>0</ns0:v>
      </ns0:c>
      <ns0:c r="AS38" t="n">
        <ns0:f>IF($A38="",0,COUNTIFS($J$7:$J$406,$A38,$O$7:$O$406,"&lt;="&amp;AS$6,$P$7:$P$406,"&gt;="&amp;AS$6,$R$7:$R$406,"No"))</ns0:f>
        <ns0:v>0</ns0:v>
      </ns0:c>
      <ns0:c r="AT38" t="n">
        <ns0:f>IF($A38="",0,COUNTIFS($J$7:$J$406,$A38,$O$7:$O$406,"&lt;="&amp;AT$6,$P$7:$P$406,"&gt;="&amp;AT$6,$R$7:$R$406,"No"))</ns0:f>
        <ns0:v>0</ns0:v>
      </ns0:c>
      <ns0:c r="AU38" t="n">
        <ns0:f>IF($A38="",0,COUNTIFS($J$7:$J$406,$A38,$O$7:$O$406,"&lt;="&amp;AU$6,$P$7:$P$406,"&gt;="&amp;AU$6,$R$7:$R$406,"No"))</ns0:f>
        <ns0:v>0</ns0:v>
      </ns0:c>
      <ns0:c r="AV38" t="n">
        <ns0:f>IF($A38="",0,COUNTIFS($J$7:$J$406,$A38,$O$7:$O$406,"&lt;="&amp;AV$6,$P$7:$P$406,"&gt;="&amp;AV$6,$R$7:$R$406,"No"))</ns0:f>
        <ns0:v>0</ns0:v>
      </ns0:c>
      <ns0:c r="AW38" t="n">
        <ns0:f>IF($A38="",0,COUNTIFS($J$7:$J$406,$A38,$O$7:$O$406,"&lt;="&amp;AW$6,$P$7:$P$406,"&gt;="&amp;AW$6,$R$7:$R$406,"No"))</ns0:f>
        <ns0:v>0</ns0:v>
      </ns0:c>
      <ns0:c r="AX38" t="n">
        <ns0:f>IF($A38="",0,COUNTIFS($J$7:$J$406,$A38,$O$7:$O$406,"&lt;="&amp;AX$6,$P$7:$P$406,"&gt;="&amp;AX$6,$R$7:$R$406,"No"))</ns0:f>
        <ns0:v>0</ns0:v>
      </ns0:c>
      <ns0:c r="AY38" t="n">
        <ns0:f>IF($A38="",0,COUNTIFS($J$7:$J$406,$A38,$O$7:$O$406,"&lt;="&amp;AY$6,$P$7:$P$406,"&gt;="&amp;AY$6,$R$7:$R$406,"No"))</ns0:f>
        <ns0:v>0</ns0:v>
      </ns0:c>
      <ns0:c r="AZ38" t="n">
        <ns0:f>IF($A38="",0,COUNTIFS($J$7:$J$406,$A38,$O$7:$O$406,"&lt;="&amp;AZ$6,$P$7:$P$406,"&gt;="&amp;AZ$6,$R$7:$R$406,"No"))</ns0:f>
        <ns0:v>0</ns0:v>
      </ns0:c>
      <ns0:c r="BA38" t="n">
        <ns0:f>IF($A38="",0,COUNTIFS($J$7:$J$406,$A38,$O$7:$O$406,"&lt;="&amp;BA$6,$P$7:$P$406,"&gt;="&amp;BA$6,$R$7:$R$406,"No"))</ns0:f>
        <ns0:v>0</ns0:v>
      </ns0:c>
      <ns0:c r="BB38" t="n">
        <ns0:f>IF($A38="",0,COUNTIFS($J$7:$J$406,$A38,$O$7:$O$406,"&lt;="&amp;BB$6,$P$7:$P$406,"&gt;="&amp;BB$6,$R$7:$R$406,"No"))</ns0:f>
        <ns0:v>0</ns0:v>
      </ns0:c>
      <ns0:c r="BC38" t="n">
        <ns0:f>IF($A38="",0,COUNTIFS($J$7:$J$406,$A38,$O$7:$O$406,"&lt;="&amp;BC$6,$P$7:$P$406,"&gt;="&amp;BC$6,$R$7:$R$406,"No"))</ns0:f>
        <ns0:v>0</ns0:v>
      </ns0:c>
    </ns0:row>
    <ns0:row r="39" ht="48" customHeight="1">
      <ns0:c r="A39" s="8" t="str">
        <ns0:f>IF(ROW()-6&gt;MAX($K$7:$K$406),"",INDEX($J$7:$J$406,MATCH(ROW()-6,$K$7:$K$406,0)))</ns0:f>
      </ns0:c>
      <ns0:c r="B39" s="8" t="str">
        <ns0:f>IF(A39="","",COUNTIFS($J$7:$J$406,$A39))</ns0:f>
      </ns0:c>
      <ns0:c r="C39" s="8" t="str">
        <ns0:f>IF(A39="","",COUNTIFS($J$7:$J$406,$A39,$N$7:$N$406,1))</ns0:f>
      </ns0:c>
      <ns0:c r="D39" s="8" t="str">
        <ns0:f>IF(A39="","",COUNTIFS($J$7:$J$406,$A39,$Q$7:$Q$406,"In Progress"))</ns0:f>
      </ns0:c>
      <ns0:c r="E39" s="8" t="str">
        <ns0:f>IF(A39="","",B39-C39)</ns0:f>
      </ns0:c>
      <ns0:c r="F39" s="19" t="str">
        <ns0:f>IF(A39="","",SUMIFS($N$7:$N$406,$J$7:$J$406,$A39)/B39)</ns0:f>
      </ns0:c>
      <ns0:c r="G39" s="8" t="str">
        <ns0:f>IF(A39="","",COUNTIFS(V39:BC39,"&gt;1"))</ns0:f>
      </ns0:c>
      <ns0:c r="H39" s="8" t="str">
        <ns0:f>IF(A39="","",IF(COUNTIFS($T$7:$T$33,A39)&gt;0,INDEX($U$7:$U$33,MATCH(A39,$T$7:$T$33,0)),"No capacity or responsibility detail supplied."))</ns0:f>
      </ns0:c>
      <ns0:c r="J39" t="str">
        <ns0:f>IF('Project Tracker'!A15="","",TRIM(MID(SUBSTITUTE('Project Tracker'!K15,";",REPT(" ",150)),1,150)))</ns0:f>
        <ns0:v>Artifact &amp; Evidence Registry (ART)</ns0:v>
      </ns0:c>
      <ns0:c r="K39" t="n">
        <ns0:f>IF(J39="","",IF(COUNTIFS($J$7:J39,J39)=1,MAX($K$6:K38)+1,""))</ns0:f>
        <ns0:v>9</ns0:v>
      </ns0:c>
      <ns0:c r="L39" t="n">
        <ns0:f>IF(A39="",0,B39+(107-ROW())/1000)</ns0:f>
        <ns0:v>0</ns0:v>
      </ns0:c>
      <ns0:c r="M39" t="str">
        <ns0:f>IF(J39="","",'Project Tracker'!A15)</ns0:f>
        <ns0:v>T08</ns0:v>
      </ns0:c>
      <ns0:c r="N39" t="n">
        <ns0:f>IF(J39="","",'Project Tracker'!N15)</ns0:f>
        <ns0:v>0</ns0:v>
      </ns0:c>
      <ns0:c r="O39" t="n">
        <ns0:f>IF(J39="","",'Project Tracker'!E15)</ns0:f>
        <ns0:v>46281</ns0:v>
      </ns0:c>
      <ns0:c r="P39" t="n">
        <ns0:f>IF(J39="","",'Project Tracker'!F15)</ns0:f>
        <ns0:v>46283</ns0:v>
      </ns0:c>
      <ns0:c r="Q39" t="str">
        <ns0:f>IF(J39="","",'Project Tracker'!Q15)</ns0:f>
        <ns0:v>Not Started</ns0:v>
      </ns0:c>
      <ns0:c r="R39" t="str">
        <ns0:f>IF(J39="","",'Project Tracker'!J15)</ns0:f>
        <ns0:v>No</ns0:v>
      </ns0:c>
      <ns0:c r="V39" t="n">
        <ns0:f>IF($A39="",0,COUNTIFS($J$7:$J$406,$A39,$O$7:$O$406,"&lt;="&amp;V$6,$P$7:$P$406,"&gt;="&amp;V$6,$R$7:$R$406,"No"))</ns0:f>
        <ns0:v>0</ns0:v>
      </ns0:c>
      <ns0:c r="W39" t="n">
        <ns0:f>IF($A39="",0,COUNTIFS($J$7:$J$406,$A39,$O$7:$O$406,"&lt;="&amp;W$6,$P$7:$P$406,"&gt;="&amp;W$6,$R$7:$R$406,"No"))</ns0:f>
        <ns0:v>0</ns0:v>
      </ns0:c>
      <ns0:c r="X39" t="n">
        <ns0:f>IF($A39="",0,COUNTIFS($J$7:$J$406,$A39,$O$7:$O$406,"&lt;="&amp;X$6,$P$7:$P$406,"&gt;="&amp;X$6,$R$7:$R$406,"No"))</ns0:f>
        <ns0:v>0</ns0:v>
      </ns0:c>
      <ns0:c r="Y39" t="n">
        <ns0:f>IF($A39="",0,COUNTIFS($J$7:$J$406,$A39,$O$7:$O$406,"&lt;="&amp;Y$6,$P$7:$P$406,"&gt;="&amp;Y$6,$R$7:$R$406,"No"))</ns0:f>
        <ns0:v>0</ns0:v>
      </ns0:c>
      <ns0:c r="Z39" t="n">
        <ns0:f>IF($A39="",0,COUNTIFS($J$7:$J$406,$A39,$O$7:$O$406,"&lt;="&amp;Z$6,$P$7:$P$406,"&gt;="&amp;Z$6,$R$7:$R$406,"No"))</ns0:f>
        <ns0:v>0</ns0:v>
      </ns0:c>
      <ns0:c r="AA39" t="n">
        <ns0:f>IF($A39="",0,COUNTIFS($J$7:$J$406,$A39,$O$7:$O$406,"&lt;="&amp;AA$6,$P$7:$P$406,"&gt;="&amp;AA$6,$R$7:$R$406,"No"))</ns0:f>
        <ns0:v>0</ns0:v>
      </ns0:c>
      <ns0:c r="AB39" t="n">
        <ns0:f>IF($A39="",0,COUNTIFS($J$7:$J$406,$A39,$O$7:$O$406,"&lt;="&amp;AB$6,$P$7:$P$406,"&gt;="&amp;AB$6,$R$7:$R$406,"No"))</ns0:f>
        <ns0:v>0</ns0:v>
      </ns0:c>
      <ns0:c r="AC39" t="n">
        <ns0:f>IF($A39="",0,COUNTIFS($J$7:$J$406,$A39,$O$7:$O$406,"&lt;="&amp;AC$6,$P$7:$P$406,"&gt;="&amp;AC$6,$R$7:$R$406,"No"))</ns0:f>
        <ns0:v>0</ns0:v>
      </ns0:c>
      <ns0:c r="AD39" t="n">
        <ns0:f>IF($A39="",0,COUNTIFS($J$7:$J$406,$A39,$O$7:$O$406,"&lt;="&amp;AD$6,$P$7:$P$406,"&gt;="&amp;AD$6,$R$7:$R$406,"No"))</ns0:f>
        <ns0:v>0</ns0:v>
      </ns0:c>
      <ns0:c r="AE39" t="n">
        <ns0:f>IF($A39="",0,COUNTIFS($J$7:$J$406,$A39,$O$7:$O$406,"&lt;="&amp;AE$6,$P$7:$P$406,"&gt;="&amp;AE$6,$R$7:$R$406,"No"))</ns0:f>
        <ns0:v>0</ns0:v>
      </ns0:c>
      <ns0:c r="AF39" t="n">
        <ns0:f>IF($A39="",0,COUNTIFS($J$7:$J$406,$A39,$O$7:$O$406,"&lt;="&amp;AF$6,$P$7:$P$406,"&gt;="&amp;AF$6,$R$7:$R$406,"No"))</ns0:f>
        <ns0:v>0</ns0:v>
      </ns0:c>
      <ns0:c r="AG39" t="n">
        <ns0:f>IF($A39="",0,COUNTIFS($J$7:$J$406,$A39,$O$7:$O$406,"&lt;="&amp;AG$6,$P$7:$P$406,"&gt;="&amp;AG$6,$R$7:$R$406,"No"))</ns0:f>
        <ns0:v>0</ns0:v>
      </ns0:c>
      <ns0:c r="AH39" t="n">
        <ns0:f>IF($A39="",0,COUNTIFS($J$7:$J$406,$A39,$O$7:$O$406,"&lt;="&amp;AH$6,$P$7:$P$406,"&gt;="&amp;AH$6,$R$7:$R$406,"No"))</ns0:f>
        <ns0:v>0</ns0:v>
      </ns0:c>
      <ns0:c r="AI39" t="n">
        <ns0:f>IF($A39="",0,COUNTIFS($J$7:$J$406,$A39,$O$7:$O$406,"&lt;="&amp;AI$6,$P$7:$P$406,"&gt;="&amp;AI$6,$R$7:$R$406,"No"))</ns0:f>
        <ns0:v>0</ns0:v>
      </ns0:c>
      <ns0:c r="AJ39" t="n">
        <ns0:f>IF($A39="",0,COUNTIFS($J$7:$J$406,$A39,$O$7:$O$406,"&lt;="&amp;AJ$6,$P$7:$P$406,"&gt;="&amp;AJ$6,$R$7:$R$406,"No"))</ns0:f>
        <ns0:v>0</ns0:v>
      </ns0:c>
      <ns0:c r="AK39" t="n">
        <ns0:f>IF($A39="",0,COUNTIFS($J$7:$J$406,$A39,$O$7:$O$406,"&lt;="&amp;AK$6,$P$7:$P$406,"&gt;="&amp;AK$6,$R$7:$R$406,"No"))</ns0:f>
        <ns0:v>0</ns0:v>
      </ns0:c>
      <ns0:c r="AL39" t="n">
        <ns0:f>IF($A39="",0,COUNTIFS($J$7:$J$406,$A39,$O$7:$O$406,"&lt;="&amp;AL$6,$P$7:$P$406,"&gt;="&amp;AL$6,$R$7:$R$406,"No"))</ns0:f>
        <ns0:v>0</ns0:v>
      </ns0:c>
      <ns0:c r="AM39" t="n">
        <ns0:f>IF($A39="",0,COUNTIFS($J$7:$J$406,$A39,$O$7:$O$406,"&lt;="&amp;AM$6,$P$7:$P$406,"&gt;="&amp;AM$6,$R$7:$R$406,"No"))</ns0:f>
        <ns0:v>0</ns0:v>
      </ns0:c>
      <ns0:c r="AN39" t="n">
        <ns0:f>IF($A39="",0,COUNTIFS($J$7:$J$406,$A39,$O$7:$O$406,"&lt;="&amp;AN$6,$P$7:$P$406,"&gt;="&amp;AN$6,$R$7:$R$406,"No"))</ns0:f>
        <ns0:v>0</ns0:v>
      </ns0:c>
      <ns0:c r="AO39" t="n">
        <ns0:f>IF($A39="",0,COUNTIFS($J$7:$J$406,$A39,$O$7:$O$406,"&lt;="&amp;AO$6,$P$7:$P$406,"&gt;="&amp;AO$6,$R$7:$R$406,"No"))</ns0:f>
        <ns0:v>0</ns0:v>
      </ns0:c>
      <ns0:c r="AP39" t="n">
        <ns0:f>IF($A39="",0,COUNTIFS($J$7:$J$406,$A39,$O$7:$O$406,"&lt;="&amp;AP$6,$P$7:$P$406,"&gt;="&amp;AP$6,$R$7:$R$406,"No"))</ns0:f>
        <ns0:v>0</ns0:v>
      </ns0:c>
      <ns0:c r="AQ39" t="n">
        <ns0:f>IF($A39="",0,COUNTIFS($J$7:$J$406,$A39,$O$7:$O$406,"&lt;="&amp;AQ$6,$P$7:$P$406,"&gt;="&amp;AQ$6,$R$7:$R$406,"No"))</ns0:f>
        <ns0:v>0</ns0:v>
      </ns0:c>
      <ns0:c r="AR39" t="n">
        <ns0:f>IF($A39="",0,COUNTIFS($J$7:$J$406,$A39,$O$7:$O$406,"&lt;="&amp;AR$6,$P$7:$P$406,"&gt;="&amp;AR$6,$R$7:$R$406,"No"))</ns0:f>
        <ns0:v>0</ns0:v>
      </ns0:c>
      <ns0:c r="AS39" t="n">
        <ns0:f>IF($A39="",0,COUNTIFS($J$7:$J$406,$A39,$O$7:$O$406,"&lt;="&amp;AS$6,$P$7:$P$406,"&gt;="&amp;AS$6,$R$7:$R$406,"No"))</ns0:f>
        <ns0:v>0</ns0:v>
      </ns0:c>
      <ns0:c r="AT39" t="n">
        <ns0:f>IF($A39="",0,COUNTIFS($J$7:$J$406,$A39,$O$7:$O$406,"&lt;="&amp;AT$6,$P$7:$P$406,"&gt;="&amp;AT$6,$R$7:$R$406,"No"))</ns0:f>
        <ns0:v>0</ns0:v>
      </ns0:c>
      <ns0:c r="AU39" t="n">
        <ns0:f>IF($A39="",0,COUNTIFS($J$7:$J$406,$A39,$O$7:$O$406,"&lt;="&amp;AU$6,$P$7:$P$406,"&gt;="&amp;AU$6,$R$7:$R$406,"No"))</ns0:f>
        <ns0:v>0</ns0:v>
      </ns0:c>
      <ns0:c r="AV39" t="n">
        <ns0:f>IF($A39="",0,COUNTIFS($J$7:$J$406,$A39,$O$7:$O$406,"&lt;="&amp;AV$6,$P$7:$P$406,"&gt;="&amp;AV$6,$R$7:$R$406,"No"))</ns0:f>
        <ns0:v>0</ns0:v>
      </ns0:c>
      <ns0:c r="AW39" t="n">
        <ns0:f>IF($A39="",0,COUNTIFS($J$7:$J$406,$A39,$O$7:$O$406,"&lt;="&amp;AW$6,$P$7:$P$406,"&gt;="&amp;AW$6,$R$7:$R$406,"No"))</ns0:f>
        <ns0:v>0</ns0:v>
      </ns0:c>
      <ns0:c r="AX39" t="n">
        <ns0:f>IF($A39="",0,COUNTIFS($J$7:$J$406,$A39,$O$7:$O$406,"&lt;="&amp;AX$6,$P$7:$P$406,"&gt;="&amp;AX$6,$R$7:$R$406,"No"))</ns0:f>
        <ns0:v>0</ns0:v>
      </ns0:c>
      <ns0:c r="AY39" t="n">
        <ns0:f>IF($A39="",0,COUNTIFS($J$7:$J$406,$A39,$O$7:$O$406,"&lt;="&amp;AY$6,$P$7:$P$406,"&gt;="&amp;AY$6,$R$7:$R$406,"No"))</ns0:f>
        <ns0:v>0</ns0:v>
      </ns0:c>
      <ns0:c r="AZ39" t="n">
        <ns0:f>IF($A39="",0,COUNTIFS($J$7:$J$406,$A39,$O$7:$O$406,"&lt;="&amp;AZ$6,$P$7:$P$406,"&gt;="&amp;AZ$6,$R$7:$R$406,"No"))</ns0:f>
        <ns0:v>0</ns0:v>
      </ns0:c>
      <ns0:c r="BA39" t="n">
        <ns0:f>IF($A39="",0,COUNTIFS($J$7:$J$406,$A39,$O$7:$O$406,"&lt;="&amp;BA$6,$P$7:$P$406,"&gt;="&amp;BA$6,$R$7:$R$406,"No"))</ns0:f>
        <ns0:v>0</ns0:v>
      </ns0:c>
      <ns0:c r="BB39" t="n">
        <ns0:f>IF($A39="",0,COUNTIFS($J$7:$J$406,$A39,$O$7:$O$406,"&lt;="&amp;BB$6,$P$7:$P$406,"&gt;="&amp;BB$6,$R$7:$R$406,"No"))</ns0:f>
        <ns0:v>0</ns0:v>
      </ns0:c>
      <ns0:c r="BC39" t="n">
        <ns0:f>IF($A39="",0,COUNTIFS($J$7:$J$406,$A39,$O$7:$O$406,"&lt;="&amp;BC$6,$P$7:$P$406,"&gt;="&amp;BC$6,$R$7:$R$406,"No"))</ns0:f>
        <ns0:v>0</ns0:v>
      </ns0:c>
    </ns0:row>
    <ns0:row r="40" ht="48" customHeight="1">
      <ns0:c r="A40" s="8" t="str">
        <ns0:f>IF(ROW()-6&gt;MAX($K$7:$K$406),"",INDEX($J$7:$J$406,MATCH(ROW()-6,$K$7:$K$406,0)))</ns0:f>
      </ns0:c>
      <ns0:c r="B40" s="8" t="str">
        <ns0:f>IF(A40="","",COUNTIFS($J$7:$J$406,$A40))</ns0:f>
      </ns0:c>
      <ns0:c r="C40" s="8" t="str">
        <ns0:f>IF(A40="","",COUNTIFS($J$7:$J$406,$A40,$N$7:$N$406,1))</ns0:f>
      </ns0:c>
      <ns0:c r="D40" s="8" t="str">
        <ns0:f>IF(A40="","",COUNTIFS($J$7:$J$406,$A40,$Q$7:$Q$406,"In Progress"))</ns0:f>
      </ns0:c>
      <ns0:c r="E40" s="8" t="str">
        <ns0:f>IF(A40="","",B40-C40)</ns0:f>
      </ns0:c>
      <ns0:c r="F40" s="19" t="str">
        <ns0:f>IF(A40="","",SUMIFS($N$7:$N$406,$J$7:$J$406,$A40)/B40)</ns0:f>
      </ns0:c>
      <ns0:c r="G40" s="8" t="str">
        <ns0:f>IF(A40="","",COUNTIFS(V40:BC40,"&gt;1"))</ns0:f>
      </ns0:c>
      <ns0:c r="H40" s="8" t="str">
        <ns0:f>IF(A40="","",IF(COUNTIFS($T$7:$T$33,A40)&gt;0,INDEX($U$7:$U$33,MATCH(A40,$T$7:$T$33,0)),"No capacity or responsibility detail supplied."))</ns0:f>
      </ns0:c>
      <ns0:c r="J40" t="str">
        <ns0:f>IF('Project Tracker'!A15="","",TRIM(MID(SUBSTITUTE('Project Tracker'!K15,";",REPT(" ",150)),151,150)))</ns0:f>
      </ns0:c>
      <ns0:c r="K40" t="str">
        <ns0:f>IF(J40="","",IF(COUNTIFS($J$7:J40,J40)=1,MAX($K$6:K39)+1,""))</ns0:f>
      </ns0:c>
      <ns0:c r="L40" t="n">
        <ns0:f>IF(A40="",0,B40+(107-ROW())/1000)</ns0:f>
        <ns0:v>0</ns0:v>
      </ns0:c>
      <ns0:c r="M40" t="str">
        <ns0:f>IF(J40="","",'Project Tracker'!A15)</ns0:f>
      </ns0:c>
      <ns0:c r="N40" t="str">
        <ns0:f>IF(J40="","",'Project Tracker'!N15)</ns0:f>
      </ns0:c>
      <ns0:c r="O40" t="str">
        <ns0:f>IF(J40="","",'Project Tracker'!E15)</ns0:f>
      </ns0:c>
      <ns0:c r="P40" t="str">
        <ns0:f>IF(J40="","",'Project Tracker'!F15)</ns0:f>
      </ns0:c>
      <ns0:c r="Q40" t="str">
        <ns0:f>IF(J40="","",'Project Tracker'!Q15)</ns0:f>
      </ns0:c>
      <ns0:c r="R40" t="str">
        <ns0:f>IF(J40="","",'Project Tracker'!J15)</ns0:f>
      </ns0:c>
      <ns0:c r="V40" t="n">
        <ns0:f>IF($A40="",0,COUNTIFS($J$7:$J$406,$A40,$O$7:$O$406,"&lt;="&amp;V$6,$P$7:$P$406,"&gt;="&amp;V$6,$R$7:$R$406,"No"))</ns0:f>
        <ns0:v>0</ns0:v>
      </ns0:c>
      <ns0:c r="W40" t="n">
        <ns0:f>IF($A40="",0,COUNTIFS($J$7:$J$406,$A40,$O$7:$O$406,"&lt;="&amp;W$6,$P$7:$P$406,"&gt;="&amp;W$6,$R$7:$R$406,"No"))</ns0:f>
        <ns0:v>0</ns0:v>
      </ns0:c>
      <ns0:c r="X40" t="n">
        <ns0:f>IF($A40="",0,COUNTIFS($J$7:$J$406,$A40,$O$7:$O$406,"&lt;="&amp;X$6,$P$7:$P$406,"&gt;="&amp;X$6,$R$7:$R$406,"No"))</ns0:f>
        <ns0:v>0</ns0:v>
      </ns0:c>
      <ns0:c r="Y40" t="n">
        <ns0:f>IF($A40="",0,COUNTIFS($J$7:$J$406,$A40,$O$7:$O$406,"&lt;="&amp;Y$6,$P$7:$P$406,"&gt;="&amp;Y$6,$R$7:$R$406,"No"))</ns0:f>
        <ns0:v>0</ns0:v>
      </ns0:c>
      <ns0:c r="Z40" t="n">
        <ns0:f>IF($A40="",0,COUNTIFS($J$7:$J$406,$A40,$O$7:$O$406,"&lt;="&amp;Z$6,$P$7:$P$406,"&gt;="&amp;Z$6,$R$7:$R$406,"No"))</ns0:f>
        <ns0:v>0</ns0:v>
      </ns0:c>
      <ns0:c r="AA40" t="n">
        <ns0:f>IF($A40="",0,COUNTIFS($J$7:$J$406,$A40,$O$7:$O$406,"&lt;="&amp;AA$6,$P$7:$P$406,"&gt;="&amp;AA$6,$R$7:$R$406,"No"))</ns0:f>
        <ns0:v>0</ns0:v>
      </ns0:c>
      <ns0:c r="AB40" t="n">
        <ns0:f>IF($A40="",0,COUNTIFS($J$7:$J$406,$A40,$O$7:$O$406,"&lt;="&amp;AB$6,$P$7:$P$406,"&gt;="&amp;AB$6,$R$7:$R$406,"No"))</ns0:f>
        <ns0:v>0</ns0:v>
      </ns0:c>
      <ns0:c r="AC40" t="n">
        <ns0:f>IF($A40="",0,COUNTIFS($J$7:$J$406,$A40,$O$7:$O$406,"&lt;="&amp;AC$6,$P$7:$P$406,"&gt;="&amp;AC$6,$R$7:$R$406,"No"))</ns0:f>
        <ns0:v>0</ns0:v>
      </ns0:c>
      <ns0:c r="AD40" t="n">
        <ns0:f>IF($A40="",0,COUNTIFS($J$7:$J$406,$A40,$O$7:$O$406,"&lt;="&amp;AD$6,$P$7:$P$406,"&gt;="&amp;AD$6,$R$7:$R$406,"No"))</ns0:f>
        <ns0:v>0</ns0:v>
      </ns0:c>
      <ns0:c r="AE40" t="n">
        <ns0:f>IF($A40="",0,COUNTIFS($J$7:$J$406,$A40,$O$7:$O$406,"&lt;="&amp;AE$6,$P$7:$P$406,"&gt;="&amp;AE$6,$R$7:$R$406,"No"))</ns0:f>
        <ns0:v>0</ns0:v>
      </ns0:c>
      <ns0:c r="AF40" t="n">
        <ns0:f>IF($A40="",0,COUNTIFS($J$7:$J$406,$A40,$O$7:$O$406,"&lt;="&amp;AF$6,$P$7:$P$406,"&gt;="&amp;AF$6,$R$7:$R$406,"No"))</ns0:f>
        <ns0:v>0</ns0:v>
      </ns0:c>
      <ns0:c r="AG40" t="n">
        <ns0:f>IF($A40="",0,COUNTIFS($J$7:$J$406,$A40,$O$7:$O$406,"&lt;="&amp;AG$6,$P$7:$P$406,"&gt;="&amp;AG$6,$R$7:$R$406,"No"))</ns0:f>
        <ns0:v>0</ns0:v>
      </ns0:c>
      <ns0:c r="AH40" t="n">
        <ns0:f>IF($A40="",0,COUNTIFS($J$7:$J$406,$A40,$O$7:$O$406,"&lt;="&amp;AH$6,$P$7:$P$406,"&gt;="&amp;AH$6,$R$7:$R$406,"No"))</ns0:f>
        <ns0:v>0</ns0:v>
      </ns0:c>
      <ns0:c r="AI40" t="n">
        <ns0:f>IF($A40="",0,COUNTIFS($J$7:$J$406,$A40,$O$7:$O$406,"&lt;="&amp;AI$6,$P$7:$P$406,"&gt;="&amp;AI$6,$R$7:$R$406,"No"))</ns0:f>
        <ns0:v>0</ns0:v>
      </ns0:c>
      <ns0:c r="AJ40" t="n">
        <ns0:f>IF($A40="",0,COUNTIFS($J$7:$J$406,$A40,$O$7:$O$406,"&lt;="&amp;AJ$6,$P$7:$P$406,"&gt;="&amp;AJ$6,$R$7:$R$406,"No"))</ns0:f>
        <ns0:v>0</ns0:v>
      </ns0:c>
      <ns0:c r="AK40" t="n">
        <ns0:f>IF($A40="",0,COUNTIFS($J$7:$J$406,$A40,$O$7:$O$406,"&lt;="&amp;AK$6,$P$7:$P$406,"&gt;="&amp;AK$6,$R$7:$R$406,"No"))</ns0:f>
        <ns0:v>0</ns0:v>
      </ns0:c>
      <ns0:c r="AL40" t="n">
        <ns0:f>IF($A40="",0,COUNTIFS($J$7:$J$406,$A40,$O$7:$O$406,"&lt;="&amp;AL$6,$P$7:$P$406,"&gt;="&amp;AL$6,$R$7:$R$406,"No"))</ns0:f>
        <ns0:v>0</ns0:v>
      </ns0:c>
      <ns0:c r="AM40" t="n">
        <ns0:f>IF($A40="",0,COUNTIFS($J$7:$J$406,$A40,$O$7:$O$406,"&lt;="&amp;AM$6,$P$7:$P$406,"&gt;="&amp;AM$6,$R$7:$R$406,"No"))</ns0:f>
        <ns0:v>0</ns0:v>
      </ns0:c>
      <ns0:c r="AN40" t="n">
        <ns0:f>IF($A40="",0,COUNTIFS($J$7:$J$406,$A40,$O$7:$O$406,"&lt;="&amp;AN$6,$P$7:$P$406,"&gt;="&amp;AN$6,$R$7:$R$406,"No"))</ns0:f>
        <ns0:v>0</ns0:v>
      </ns0:c>
      <ns0:c r="AO40" t="n">
        <ns0:f>IF($A40="",0,COUNTIFS($J$7:$J$406,$A40,$O$7:$O$406,"&lt;="&amp;AO$6,$P$7:$P$406,"&gt;="&amp;AO$6,$R$7:$R$406,"No"))</ns0:f>
        <ns0:v>0</ns0:v>
      </ns0:c>
      <ns0:c r="AP40" t="n">
        <ns0:f>IF($A40="",0,COUNTIFS($J$7:$J$406,$A40,$O$7:$O$406,"&lt;="&amp;AP$6,$P$7:$P$406,"&gt;="&amp;AP$6,$R$7:$R$406,"No"))</ns0:f>
        <ns0:v>0</ns0:v>
      </ns0:c>
      <ns0:c r="AQ40" t="n">
        <ns0:f>IF($A40="",0,COUNTIFS($J$7:$J$406,$A40,$O$7:$O$406,"&lt;="&amp;AQ$6,$P$7:$P$406,"&gt;="&amp;AQ$6,$R$7:$R$406,"No"))</ns0:f>
        <ns0:v>0</ns0:v>
      </ns0:c>
      <ns0:c r="AR40" t="n">
        <ns0:f>IF($A40="",0,COUNTIFS($J$7:$J$406,$A40,$O$7:$O$406,"&lt;="&amp;AR$6,$P$7:$P$406,"&gt;="&amp;AR$6,$R$7:$R$406,"No"))</ns0:f>
        <ns0:v>0</ns0:v>
      </ns0:c>
      <ns0:c r="AS40" t="n">
        <ns0:f>IF($A40="",0,COUNTIFS($J$7:$J$406,$A40,$O$7:$O$406,"&lt;="&amp;AS$6,$P$7:$P$406,"&gt;="&amp;AS$6,$R$7:$R$406,"No"))</ns0:f>
        <ns0:v>0</ns0:v>
      </ns0:c>
      <ns0:c r="AT40" t="n">
        <ns0:f>IF($A40="",0,COUNTIFS($J$7:$J$406,$A40,$O$7:$O$406,"&lt;="&amp;AT$6,$P$7:$P$406,"&gt;="&amp;AT$6,$R$7:$R$406,"No"))</ns0:f>
        <ns0:v>0</ns0:v>
      </ns0:c>
      <ns0:c r="AU40" t="n">
        <ns0:f>IF($A40="",0,COUNTIFS($J$7:$J$406,$A40,$O$7:$O$406,"&lt;="&amp;AU$6,$P$7:$P$406,"&gt;="&amp;AU$6,$R$7:$R$406,"No"))</ns0:f>
        <ns0:v>0</ns0:v>
      </ns0:c>
      <ns0:c r="AV40" t="n">
        <ns0:f>IF($A40="",0,COUNTIFS($J$7:$J$406,$A40,$O$7:$O$406,"&lt;="&amp;AV$6,$P$7:$P$406,"&gt;="&amp;AV$6,$R$7:$R$406,"No"))</ns0:f>
        <ns0:v>0</ns0:v>
      </ns0:c>
      <ns0:c r="AW40" t="n">
        <ns0:f>IF($A40="",0,COUNTIFS($J$7:$J$406,$A40,$O$7:$O$406,"&lt;="&amp;AW$6,$P$7:$P$406,"&gt;="&amp;AW$6,$R$7:$R$406,"No"))</ns0:f>
        <ns0:v>0</ns0:v>
      </ns0:c>
      <ns0:c r="AX40" t="n">
        <ns0:f>IF($A40="",0,COUNTIFS($J$7:$J$406,$A40,$O$7:$O$406,"&lt;="&amp;AX$6,$P$7:$P$406,"&gt;="&amp;AX$6,$R$7:$R$406,"No"))</ns0:f>
        <ns0:v>0</ns0:v>
      </ns0:c>
      <ns0:c r="AY40" t="n">
        <ns0:f>IF($A40="",0,COUNTIFS($J$7:$J$406,$A40,$O$7:$O$406,"&lt;="&amp;AY$6,$P$7:$P$406,"&gt;="&amp;AY$6,$R$7:$R$406,"No"))</ns0:f>
        <ns0:v>0</ns0:v>
      </ns0:c>
      <ns0:c r="AZ40" t="n">
        <ns0:f>IF($A40="",0,COUNTIFS($J$7:$J$406,$A40,$O$7:$O$406,"&lt;="&amp;AZ$6,$P$7:$P$406,"&gt;="&amp;AZ$6,$R$7:$R$406,"No"))</ns0:f>
        <ns0:v>0</ns0:v>
      </ns0:c>
      <ns0:c r="BA40" t="n">
        <ns0:f>IF($A40="",0,COUNTIFS($J$7:$J$406,$A40,$O$7:$O$406,"&lt;="&amp;BA$6,$P$7:$P$406,"&gt;="&amp;BA$6,$R$7:$R$406,"No"))</ns0:f>
        <ns0:v>0</ns0:v>
      </ns0:c>
      <ns0:c r="BB40" t="n">
        <ns0:f>IF($A40="",0,COUNTIFS($J$7:$J$406,$A40,$O$7:$O$406,"&lt;="&amp;BB$6,$P$7:$P$406,"&gt;="&amp;BB$6,$R$7:$R$406,"No"))</ns0:f>
        <ns0:v>0</ns0:v>
      </ns0:c>
      <ns0:c r="BC40" t="n">
        <ns0:f>IF($A40="",0,COUNTIFS($J$7:$J$406,$A40,$O$7:$O$406,"&lt;="&amp;BC$6,$P$7:$P$406,"&gt;="&amp;BC$6,$R$7:$R$406,"No"))</ns0:f>
        <ns0:v>0</ns0:v>
      </ns0:c>
    </ns0:row>
    <ns0:row r="41" ht="48" customHeight="1">
      <ns0:c r="A41" s="8" t="str">
        <ns0:f>IF(ROW()-6&gt;MAX($K$7:$K$406),"",INDEX($J$7:$J$406,MATCH(ROW()-6,$K$7:$K$406,0)))</ns0:f>
      </ns0:c>
      <ns0:c r="B41" s="8" t="str">
        <ns0:f>IF(A41="","",COUNTIFS($J$7:$J$406,$A41))</ns0:f>
      </ns0:c>
      <ns0:c r="C41" s="8" t="str">
        <ns0:f>IF(A41="","",COUNTIFS($J$7:$J$406,$A41,$N$7:$N$406,1))</ns0:f>
      </ns0:c>
      <ns0:c r="D41" s="8" t="str">
        <ns0:f>IF(A41="","",COUNTIFS($J$7:$J$406,$A41,$Q$7:$Q$406,"In Progress"))</ns0:f>
      </ns0:c>
      <ns0:c r="E41" s="8" t="str">
        <ns0:f>IF(A41="","",B41-C41)</ns0:f>
      </ns0:c>
      <ns0:c r="F41" s="19" t="str">
        <ns0:f>IF(A41="","",SUMIFS($N$7:$N$406,$J$7:$J$406,$A41)/B41)</ns0:f>
      </ns0:c>
      <ns0:c r="G41" s="8" t="str">
        <ns0:f>IF(A41="","",COUNTIFS(V41:BC41,"&gt;1"))</ns0:f>
      </ns0:c>
      <ns0:c r="H41" s="8" t="str">
        <ns0:f>IF(A41="","",IF(COUNTIFS($T$7:$T$33,A41)&gt;0,INDEX($U$7:$U$33,MATCH(A41,$T$7:$T$33,0)),"No capacity or responsibility detail supplied."))</ns0:f>
      </ns0:c>
      <ns0:c r="J41" t="str">
        <ns0:f>IF('Project Tracker'!A15="","",TRIM(MID(SUBSTITUTE('Project Tracker'!K15,";",REPT(" ",150)),301,150)))</ns0:f>
      </ns0:c>
      <ns0:c r="K41" t="str">
        <ns0:f>IF(J41="","",IF(COUNTIFS($J$7:J41,J41)=1,MAX($K$6:K40)+1,""))</ns0:f>
      </ns0:c>
      <ns0:c r="L41" t="n">
        <ns0:f>IF(A41="",0,B41+(107-ROW())/1000)</ns0:f>
        <ns0:v>0</ns0:v>
      </ns0:c>
      <ns0:c r="M41" t="str">
        <ns0:f>IF(J41="","",'Project Tracker'!A15)</ns0:f>
      </ns0:c>
      <ns0:c r="N41" t="str">
        <ns0:f>IF(J41="","",'Project Tracker'!N15)</ns0:f>
      </ns0:c>
      <ns0:c r="O41" t="str">
        <ns0:f>IF(J41="","",'Project Tracker'!E15)</ns0:f>
      </ns0:c>
      <ns0:c r="P41" t="str">
        <ns0:f>IF(J41="","",'Project Tracker'!F15)</ns0:f>
      </ns0:c>
      <ns0:c r="Q41" t="str">
        <ns0:f>IF(J41="","",'Project Tracker'!Q15)</ns0:f>
      </ns0:c>
      <ns0:c r="R41" t="str">
        <ns0:f>IF(J41="","",'Project Tracker'!J15)</ns0:f>
      </ns0:c>
      <ns0:c r="V41" t="n">
        <ns0:f>IF($A41="",0,COUNTIFS($J$7:$J$406,$A41,$O$7:$O$406,"&lt;="&amp;V$6,$P$7:$P$406,"&gt;="&amp;V$6,$R$7:$R$406,"No"))</ns0:f>
        <ns0:v>0</ns0:v>
      </ns0:c>
      <ns0:c r="W41" t="n">
        <ns0:f>IF($A41="",0,COUNTIFS($J$7:$J$406,$A41,$O$7:$O$406,"&lt;="&amp;W$6,$P$7:$P$406,"&gt;="&amp;W$6,$R$7:$R$406,"No"))</ns0:f>
        <ns0:v>0</ns0:v>
      </ns0:c>
      <ns0:c r="X41" t="n">
        <ns0:f>IF($A41="",0,COUNTIFS($J$7:$J$406,$A41,$O$7:$O$406,"&lt;="&amp;X$6,$P$7:$P$406,"&gt;="&amp;X$6,$R$7:$R$406,"No"))</ns0:f>
        <ns0:v>0</ns0:v>
      </ns0:c>
      <ns0:c r="Y41" t="n">
        <ns0:f>IF($A41="",0,COUNTIFS($J$7:$J$406,$A41,$O$7:$O$406,"&lt;="&amp;Y$6,$P$7:$P$406,"&gt;="&amp;Y$6,$R$7:$R$406,"No"))</ns0:f>
        <ns0:v>0</ns0:v>
      </ns0:c>
      <ns0:c r="Z41" t="n">
        <ns0:f>IF($A41="",0,COUNTIFS($J$7:$J$406,$A41,$O$7:$O$406,"&lt;="&amp;Z$6,$P$7:$P$406,"&gt;="&amp;Z$6,$R$7:$R$406,"No"))</ns0:f>
        <ns0:v>0</ns0:v>
      </ns0:c>
      <ns0:c r="AA41" t="n">
        <ns0:f>IF($A41="",0,COUNTIFS($J$7:$J$406,$A41,$O$7:$O$406,"&lt;="&amp;AA$6,$P$7:$P$406,"&gt;="&amp;AA$6,$R$7:$R$406,"No"))</ns0:f>
        <ns0:v>0</ns0:v>
      </ns0:c>
      <ns0:c r="AB41" t="n">
        <ns0:f>IF($A41="",0,COUNTIFS($J$7:$J$406,$A41,$O$7:$O$406,"&lt;="&amp;AB$6,$P$7:$P$406,"&gt;="&amp;AB$6,$R$7:$R$406,"No"))</ns0:f>
        <ns0:v>0</ns0:v>
      </ns0:c>
      <ns0:c r="AC41" t="n">
        <ns0:f>IF($A41="",0,COUNTIFS($J$7:$J$406,$A41,$O$7:$O$406,"&lt;="&amp;AC$6,$P$7:$P$406,"&gt;="&amp;AC$6,$R$7:$R$406,"No"))</ns0:f>
        <ns0:v>0</ns0:v>
      </ns0:c>
      <ns0:c r="AD41" t="n">
        <ns0:f>IF($A41="",0,COUNTIFS($J$7:$J$406,$A41,$O$7:$O$406,"&lt;="&amp;AD$6,$P$7:$P$406,"&gt;="&amp;AD$6,$R$7:$R$406,"No"))</ns0:f>
        <ns0:v>0</ns0:v>
      </ns0:c>
      <ns0:c r="AE41" t="n">
        <ns0:f>IF($A41="",0,COUNTIFS($J$7:$J$406,$A41,$O$7:$O$406,"&lt;="&amp;AE$6,$P$7:$P$406,"&gt;="&amp;AE$6,$R$7:$R$406,"No"))</ns0:f>
        <ns0:v>0</ns0:v>
      </ns0:c>
      <ns0:c r="AF41" t="n">
        <ns0:f>IF($A41="",0,COUNTIFS($J$7:$J$406,$A41,$O$7:$O$406,"&lt;="&amp;AF$6,$P$7:$P$406,"&gt;="&amp;AF$6,$R$7:$R$406,"No"))</ns0:f>
        <ns0:v>0</ns0:v>
      </ns0:c>
      <ns0:c r="AG41" t="n">
        <ns0:f>IF($A41="",0,COUNTIFS($J$7:$J$406,$A41,$O$7:$O$406,"&lt;="&amp;AG$6,$P$7:$P$406,"&gt;="&amp;AG$6,$R$7:$R$406,"No"))</ns0:f>
        <ns0:v>0</ns0:v>
      </ns0:c>
      <ns0:c r="AH41" t="n">
        <ns0:f>IF($A41="",0,COUNTIFS($J$7:$J$406,$A41,$O$7:$O$406,"&lt;="&amp;AH$6,$P$7:$P$406,"&gt;="&amp;AH$6,$R$7:$R$406,"No"))</ns0:f>
        <ns0:v>0</ns0:v>
      </ns0:c>
      <ns0:c r="AI41" t="n">
        <ns0:f>IF($A41="",0,COUNTIFS($J$7:$J$406,$A41,$O$7:$O$406,"&lt;="&amp;AI$6,$P$7:$P$406,"&gt;="&amp;AI$6,$R$7:$R$406,"No"))</ns0:f>
        <ns0:v>0</ns0:v>
      </ns0:c>
      <ns0:c r="AJ41" t="n">
        <ns0:f>IF($A41="",0,COUNTIFS($J$7:$J$406,$A41,$O$7:$O$406,"&lt;="&amp;AJ$6,$P$7:$P$406,"&gt;="&amp;AJ$6,$R$7:$R$406,"No"))</ns0:f>
        <ns0:v>0</ns0:v>
      </ns0:c>
      <ns0:c r="AK41" t="n">
        <ns0:f>IF($A41="",0,COUNTIFS($J$7:$J$406,$A41,$O$7:$O$406,"&lt;="&amp;AK$6,$P$7:$P$406,"&gt;="&amp;AK$6,$R$7:$R$406,"No"))</ns0:f>
        <ns0:v>0</ns0:v>
      </ns0:c>
      <ns0:c r="AL41" t="n">
        <ns0:f>IF($A41="",0,COUNTIFS($J$7:$J$406,$A41,$O$7:$O$406,"&lt;="&amp;AL$6,$P$7:$P$406,"&gt;="&amp;AL$6,$R$7:$R$406,"No"))</ns0:f>
        <ns0:v>0</ns0:v>
      </ns0:c>
      <ns0:c r="AM41" t="n">
        <ns0:f>IF($A41="",0,COUNTIFS($J$7:$J$406,$A41,$O$7:$O$406,"&lt;="&amp;AM$6,$P$7:$P$406,"&gt;="&amp;AM$6,$R$7:$R$406,"No"))</ns0:f>
        <ns0:v>0</ns0:v>
      </ns0:c>
      <ns0:c r="AN41" t="n">
        <ns0:f>IF($A41="",0,COUNTIFS($J$7:$J$406,$A41,$O$7:$O$406,"&lt;="&amp;AN$6,$P$7:$P$406,"&gt;="&amp;AN$6,$R$7:$R$406,"No"))</ns0:f>
        <ns0:v>0</ns0:v>
      </ns0:c>
      <ns0:c r="AO41" t="n">
        <ns0:f>IF($A41="",0,COUNTIFS($J$7:$J$406,$A41,$O$7:$O$406,"&lt;="&amp;AO$6,$P$7:$P$406,"&gt;="&amp;AO$6,$R$7:$R$406,"No"))</ns0:f>
        <ns0:v>0</ns0:v>
      </ns0:c>
      <ns0:c r="AP41" t="n">
        <ns0:f>IF($A41="",0,COUNTIFS($J$7:$J$406,$A41,$O$7:$O$406,"&lt;="&amp;AP$6,$P$7:$P$406,"&gt;="&amp;AP$6,$R$7:$R$406,"No"))</ns0:f>
        <ns0:v>0</ns0:v>
      </ns0:c>
      <ns0:c r="AQ41" t="n">
        <ns0:f>IF($A41="",0,COUNTIFS($J$7:$J$406,$A41,$O$7:$O$406,"&lt;="&amp;AQ$6,$P$7:$P$406,"&gt;="&amp;AQ$6,$R$7:$R$406,"No"))</ns0:f>
        <ns0:v>0</ns0:v>
      </ns0:c>
      <ns0:c r="AR41" t="n">
        <ns0:f>IF($A41="",0,COUNTIFS($J$7:$J$406,$A41,$O$7:$O$406,"&lt;="&amp;AR$6,$P$7:$P$406,"&gt;="&amp;AR$6,$R$7:$R$406,"No"))</ns0:f>
        <ns0:v>0</ns0:v>
      </ns0:c>
      <ns0:c r="AS41" t="n">
        <ns0:f>IF($A41="",0,COUNTIFS($J$7:$J$406,$A41,$O$7:$O$406,"&lt;="&amp;AS$6,$P$7:$P$406,"&gt;="&amp;AS$6,$R$7:$R$406,"No"))</ns0:f>
        <ns0:v>0</ns0:v>
      </ns0:c>
      <ns0:c r="AT41" t="n">
        <ns0:f>IF($A41="",0,COUNTIFS($J$7:$J$406,$A41,$O$7:$O$406,"&lt;="&amp;AT$6,$P$7:$P$406,"&gt;="&amp;AT$6,$R$7:$R$406,"No"))</ns0:f>
        <ns0:v>0</ns0:v>
      </ns0:c>
      <ns0:c r="AU41" t="n">
        <ns0:f>IF($A41="",0,COUNTIFS($J$7:$J$406,$A41,$O$7:$O$406,"&lt;="&amp;AU$6,$P$7:$P$406,"&gt;="&amp;AU$6,$R$7:$R$406,"No"))</ns0:f>
        <ns0:v>0</ns0:v>
      </ns0:c>
      <ns0:c r="AV41" t="n">
        <ns0:f>IF($A41="",0,COUNTIFS($J$7:$J$406,$A41,$O$7:$O$406,"&lt;="&amp;AV$6,$P$7:$P$406,"&gt;="&amp;AV$6,$R$7:$R$406,"No"))</ns0:f>
        <ns0:v>0</ns0:v>
      </ns0:c>
      <ns0:c r="AW41" t="n">
        <ns0:f>IF($A41="",0,COUNTIFS($J$7:$J$406,$A41,$O$7:$O$406,"&lt;="&amp;AW$6,$P$7:$P$406,"&gt;="&amp;AW$6,$R$7:$R$406,"No"))</ns0:f>
        <ns0:v>0</ns0:v>
      </ns0:c>
      <ns0:c r="AX41" t="n">
        <ns0:f>IF($A41="",0,COUNTIFS($J$7:$J$406,$A41,$O$7:$O$406,"&lt;="&amp;AX$6,$P$7:$P$406,"&gt;="&amp;AX$6,$R$7:$R$406,"No"))</ns0:f>
        <ns0:v>0</ns0:v>
      </ns0:c>
      <ns0:c r="AY41" t="n">
        <ns0:f>IF($A41="",0,COUNTIFS($J$7:$J$406,$A41,$O$7:$O$406,"&lt;="&amp;AY$6,$P$7:$P$406,"&gt;="&amp;AY$6,$R$7:$R$406,"No"))</ns0:f>
        <ns0:v>0</ns0:v>
      </ns0:c>
      <ns0:c r="AZ41" t="n">
        <ns0:f>IF($A41="",0,COUNTIFS($J$7:$J$406,$A41,$O$7:$O$406,"&lt;="&amp;AZ$6,$P$7:$P$406,"&gt;="&amp;AZ$6,$R$7:$R$406,"No"))</ns0:f>
        <ns0:v>0</ns0:v>
      </ns0:c>
      <ns0:c r="BA41" t="n">
        <ns0:f>IF($A41="",0,COUNTIFS($J$7:$J$406,$A41,$O$7:$O$406,"&lt;="&amp;BA$6,$P$7:$P$406,"&gt;="&amp;BA$6,$R$7:$R$406,"No"))</ns0:f>
        <ns0:v>0</ns0:v>
      </ns0:c>
      <ns0:c r="BB41" t="n">
        <ns0:f>IF($A41="",0,COUNTIFS($J$7:$J$406,$A41,$O$7:$O$406,"&lt;="&amp;BB$6,$P$7:$P$406,"&gt;="&amp;BB$6,$R$7:$R$406,"No"))</ns0:f>
        <ns0:v>0</ns0:v>
      </ns0:c>
      <ns0:c r="BC41" t="n">
        <ns0:f>IF($A41="",0,COUNTIFS($J$7:$J$406,$A41,$O$7:$O$406,"&lt;="&amp;BC$6,$P$7:$P$406,"&gt;="&amp;BC$6,$R$7:$R$406,"No"))</ns0:f>
        <ns0:v>0</ns0:v>
      </ns0:c>
    </ns0:row>
    <ns0:row r="42" ht="48" customHeight="1">
      <ns0:c r="A42" s="8" t="str">
        <ns0:f>IF(ROW()-6&gt;MAX($K$7:$K$406),"",INDEX($J$7:$J$406,MATCH(ROW()-6,$K$7:$K$406,0)))</ns0:f>
      </ns0:c>
      <ns0:c r="B42" s="8" t="str">
        <ns0:f>IF(A42="","",COUNTIFS($J$7:$J$406,$A42))</ns0:f>
      </ns0:c>
      <ns0:c r="C42" s="8" t="str">
        <ns0:f>IF(A42="","",COUNTIFS($J$7:$J$406,$A42,$N$7:$N$406,1))</ns0:f>
      </ns0:c>
      <ns0:c r="D42" s="8" t="str">
        <ns0:f>IF(A42="","",COUNTIFS($J$7:$J$406,$A42,$Q$7:$Q$406,"In Progress"))</ns0:f>
      </ns0:c>
      <ns0:c r="E42" s="8" t="str">
        <ns0:f>IF(A42="","",B42-C42)</ns0:f>
      </ns0:c>
      <ns0:c r="F42" s="19" t="str">
        <ns0:f>IF(A42="","",SUMIFS($N$7:$N$406,$J$7:$J$406,$A42)/B42)</ns0:f>
      </ns0:c>
      <ns0:c r="G42" s="8" t="str">
        <ns0:f>IF(A42="","",COUNTIFS(V42:BC42,"&gt;1"))</ns0:f>
      </ns0:c>
      <ns0:c r="H42" s="8" t="str">
        <ns0:f>IF(A42="","",IF(COUNTIFS($T$7:$T$33,A42)&gt;0,INDEX($U$7:$U$33,MATCH(A42,$T$7:$T$33,0)),"No capacity or responsibility detail supplied."))</ns0:f>
      </ns0:c>
      <ns0:c r="J42" t="str">
        <ns0:f>IF('Project Tracker'!A15="","",TRIM(MID(SUBSTITUTE('Project Tracker'!K15,";",REPT(" ",150)),451,150)))</ns0:f>
      </ns0:c>
      <ns0:c r="K42" t="str">
        <ns0:f>IF(J42="","",IF(COUNTIFS($J$7:J42,J42)=1,MAX($K$6:K41)+1,""))</ns0:f>
      </ns0:c>
      <ns0:c r="L42" t="n">
        <ns0:f>IF(A42="",0,B42+(107-ROW())/1000)</ns0:f>
        <ns0:v>0</ns0:v>
      </ns0:c>
      <ns0:c r="M42" t="str">
        <ns0:f>IF(J42="","",'Project Tracker'!A15)</ns0:f>
      </ns0:c>
      <ns0:c r="N42" t="str">
        <ns0:f>IF(J42="","",'Project Tracker'!N15)</ns0:f>
      </ns0:c>
      <ns0:c r="O42" t="str">
        <ns0:f>IF(J42="","",'Project Tracker'!E15)</ns0:f>
      </ns0:c>
      <ns0:c r="P42" t="str">
        <ns0:f>IF(J42="","",'Project Tracker'!F15)</ns0:f>
      </ns0:c>
      <ns0:c r="Q42" t="str">
        <ns0:f>IF(J42="","",'Project Tracker'!Q15)</ns0:f>
      </ns0:c>
      <ns0:c r="R42" t="str">
        <ns0:f>IF(J42="","",'Project Tracker'!J15)</ns0:f>
      </ns0:c>
      <ns0:c r="V42" t="n">
        <ns0:f>IF($A42="",0,COUNTIFS($J$7:$J$406,$A42,$O$7:$O$406,"&lt;="&amp;V$6,$P$7:$P$406,"&gt;="&amp;V$6,$R$7:$R$406,"No"))</ns0:f>
        <ns0:v>0</ns0:v>
      </ns0:c>
      <ns0:c r="W42" t="n">
        <ns0:f>IF($A42="",0,COUNTIFS($J$7:$J$406,$A42,$O$7:$O$406,"&lt;="&amp;W$6,$P$7:$P$406,"&gt;="&amp;W$6,$R$7:$R$406,"No"))</ns0:f>
        <ns0:v>0</ns0:v>
      </ns0:c>
      <ns0:c r="X42" t="n">
        <ns0:f>IF($A42="",0,COUNTIFS($J$7:$J$406,$A42,$O$7:$O$406,"&lt;="&amp;X$6,$P$7:$P$406,"&gt;="&amp;X$6,$R$7:$R$406,"No"))</ns0:f>
        <ns0:v>0</ns0:v>
      </ns0:c>
      <ns0:c r="Y42" t="n">
        <ns0:f>IF($A42="",0,COUNTIFS($J$7:$J$406,$A42,$O$7:$O$406,"&lt;="&amp;Y$6,$P$7:$P$406,"&gt;="&amp;Y$6,$R$7:$R$406,"No"))</ns0:f>
        <ns0:v>0</ns0:v>
      </ns0:c>
      <ns0:c r="Z42" t="n">
        <ns0:f>IF($A42="",0,COUNTIFS($J$7:$J$406,$A42,$O$7:$O$406,"&lt;="&amp;Z$6,$P$7:$P$406,"&gt;="&amp;Z$6,$R$7:$R$406,"No"))</ns0:f>
        <ns0:v>0</ns0:v>
      </ns0:c>
      <ns0:c r="AA42" t="n">
        <ns0:f>IF($A42="",0,COUNTIFS($J$7:$J$406,$A42,$O$7:$O$406,"&lt;="&amp;AA$6,$P$7:$P$406,"&gt;="&amp;AA$6,$R$7:$R$406,"No"))</ns0:f>
        <ns0:v>0</ns0:v>
      </ns0:c>
      <ns0:c r="AB42" t="n">
        <ns0:f>IF($A42="",0,COUNTIFS($J$7:$J$406,$A42,$O$7:$O$406,"&lt;="&amp;AB$6,$P$7:$P$406,"&gt;="&amp;AB$6,$R$7:$R$406,"No"))</ns0:f>
        <ns0:v>0</ns0:v>
      </ns0:c>
      <ns0:c r="AC42" t="n">
        <ns0:f>IF($A42="",0,COUNTIFS($J$7:$J$406,$A42,$O$7:$O$406,"&lt;="&amp;AC$6,$P$7:$P$406,"&gt;="&amp;AC$6,$R$7:$R$406,"No"))</ns0:f>
        <ns0:v>0</ns0:v>
      </ns0:c>
      <ns0:c r="AD42" t="n">
        <ns0:f>IF($A42="",0,COUNTIFS($J$7:$J$406,$A42,$O$7:$O$406,"&lt;="&amp;AD$6,$P$7:$P$406,"&gt;="&amp;AD$6,$R$7:$R$406,"No"))</ns0:f>
        <ns0:v>0</ns0:v>
      </ns0:c>
      <ns0:c r="AE42" t="n">
        <ns0:f>IF($A42="",0,COUNTIFS($J$7:$J$406,$A42,$O$7:$O$406,"&lt;="&amp;AE$6,$P$7:$P$406,"&gt;="&amp;AE$6,$R$7:$R$406,"No"))</ns0:f>
        <ns0:v>0</ns0:v>
      </ns0:c>
      <ns0:c r="AF42" t="n">
        <ns0:f>IF($A42="",0,COUNTIFS($J$7:$J$406,$A42,$O$7:$O$406,"&lt;="&amp;AF$6,$P$7:$P$406,"&gt;="&amp;AF$6,$R$7:$R$406,"No"))</ns0:f>
        <ns0:v>0</ns0:v>
      </ns0:c>
      <ns0:c r="AG42" t="n">
        <ns0:f>IF($A42="",0,COUNTIFS($J$7:$J$406,$A42,$O$7:$O$406,"&lt;="&amp;AG$6,$P$7:$P$406,"&gt;="&amp;AG$6,$R$7:$R$406,"No"))</ns0:f>
        <ns0:v>0</ns0:v>
      </ns0:c>
      <ns0:c r="AH42" t="n">
        <ns0:f>IF($A42="",0,COUNTIFS($J$7:$J$406,$A42,$O$7:$O$406,"&lt;="&amp;AH$6,$P$7:$P$406,"&gt;="&amp;AH$6,$R$7:$R$406,"No"))</ns0:f>
        <ns0:v>0</ns0:v>
      </ns0:c>
      <ns0:c r="AI42" t="n">
        <ns0:f>IF($A42="",0,COUNTIFS($J$7:$J$406,$A42,$O$7:$O$406,"&lt;="&amp;AI$6,$P$7:$P$406,"&gt;="&amp;AI$6,$R$7:$R$406,"No"))</ns0:f>
        <ns0:v>0</ns0:v>
      </ns0:c>
      <ns0:c r="AJ42" t="n">
        <ns0:f>IF($A42="",0,COUNTIFS($J$7:$J$406,$A42,$O$7:$O$406,"&lt;="&amp;AJ$6,$P$7:$P$406,"&gt;="&amp;AJ$6,$R$7:$R$406,"No"))</ns0:f>
        <ns0:v>0</ns0:v>
      </ns0:c>
      <ns0:c r="AK42" t="n">
        <ns0:f>IF($A42="",0,COUNTIFS($J$7:$J$406,$A42,$O$7:$O$406,"&lt;="&amp;AK$6,$P$7:$P$406,"&gt;="&amp;AK$6,$R$7:$R$406,"No"))</ns0:f>
        <ns0:v>0</ns0:v>
      </ns0:c>
      <ns0:c r="AL42" t="n">
        <ns0:f>IF($A42="",0,COUNTIFS($J$7:$J$406,$A42,$O$7:$O$406,"&lt;="&amp;AL$6,$P$7:$P$406,"&gt;="&amp;AL$6,$R$7:$R$406,"No"))</ns0:f>
        <ns0:v>0</ns0:v>
      </ns0:c>
      <ns0:c r="AM42" t="n">
        <ns0:f>IF($A42="",0,COUNTIFS($J$7:$J$406,$A42,$O$7:$O$406,"&lt;="&amp;AM$6,$P$7:$P$406,"&gt;="&amp;AM$6,$R$7:$R$406,"No"))</ns0:f>
        <ns0:v>0</ns0:v>
      </ns0:c>
      <ns0:c r="AN42" t="n">
        <ns0:f>IF($A42="",0,COUNTIFS($J$7:$J$406,$A42,$O$7:$O$406,"&lt;="&amp;AN$6,$P$7:$P$406,"&gt;="&amp;AN$6,$R$7:$R$406,"No"))</ns0:f>
        <ns0:v>0</ns0:v>
      </ns0:c>
      <ns0:c r="AO42" t="n">
        <ns0:f>IF($A42="",0,COUNTIFS($J$7:$J$406,$A42,$O$7:$O$406,"&lt;="&amp;AO$6,$P$7:$P$406,"&gt;="&amp;AO$6,$R$7:$R$406,"No"))</ns0:f>
        <ns0:v>0</ns0:v>
      </ns0:c>
      <ns0:c r="AP42" t="n">
        <ns0:f>IF($A42="",0,COUNTIFS($J$7:$J$406,$A42,$O$7:$O$406,"&lt;="&amp;AP$6,$P$7:$P$406,"&gt;="&amp;AP$6,$R$7:$R$406,"No"))</ns0:f>
        <ns0:v>0</ns0:v>
      </ns0:c>
      <ns0:c r="AQ42" t="n">
        <ns0:f>IF($A42="",0,COUNTIFS($J$7:$J$406,$A42,$O$7:$O$406,"&lt;="&amp;AQ$6,$P$7:$P$406,"&gt;="&amp;AQ$6,$R$7:$R$406,"No"))</ns0:f>
        <ns0:v>0</ns0:v>
      </ns0:c>
      <ns0:c r="AR42" t="n">
        <ns0:f>IF($A42="",0,COUNTIFS($J$7:$J$406,$A42,$O$7:$O$406,"&lt;="&amp;AR$6,$P$7:$P$406,"&gt;="&amp;AR$6,$R$7:$R$406,"No"))</ns0:f>
        <ns0:v>0</ns0:v>
      </ns0:c>
      <ns0:c r="AS42" t="n">
        <ns0:f>IF($A42="",0,COUNTIFS($J$7:$J$406,$A42,$O$7:$O$406,"&lt;="&amp;AS$6,$P$7:$P$406,"&gt;="&amp;AS$6,$R$7:$R$406,"No"))</ns0:f>
        <ns0:v>0</ns0:v>
      </ns0:c>
      <ns0:c r="AT42" t="n">
        <ns0:f>IF($A42="",0,COUNTIFS($J$7:$J$406,$A42,$O$7:$O$406,"&lt;="&amp;AT$6,$P$7:$P$406,"&gt;="&amp;AT$6,$R$7:$R$406,"No"))</ns0:f>
        <ns0:v>0</ns0:v>
      </ns0:c>
      <ns0:c r="AU42" t="n">
        <ns0:f>IF($A42="",0,COUNTIFS($J$7:$J$406,$A42,$O$7:$O$406,"&lt;="&amp;AU$6,$P$7:$P$406,"&gt;="&amp;AU$6,$R$7:$R$406,"No"))</ns0:f>
        <ns0:v>0</ns0:v>
      </ns0:c>
      <ns0:c r="AV42" t="n">
        <ns0:f>IF($A42="",0,COUNTIFS($J$7:$J$406,$A42,$O$7:$O$406,"&lt;="&amp;AV$6,$P$7:$P$406,"&gt;="&amp;AV$6,$R$7:$R$406,"No"))</ns0:f>
        <ns0:v>0</ns0:v>
      </ns0:c>
      <ns0:c r="AW42" t="n">
        <ns0:f>IF($A42="",0,COUNTIFS($J$7:$J$406,$A42,$O$7:$O$406,"&lt;="&amp;AW$6,$P$7:$P$406,"&gt;="&amp;AW$6,$R$7:$R$406,"No"))</ns0:f>
        <ns0:v>0</ns0:v>
      </ns0:c>
      <ns0:c r="AX42" t="n">
        <ns0:f>IF($A42="",0,COUNTIFS($J$7:$J$406,$A42,$O$7:$O$406,"&lt;="&amp;AX$6,$P$7:$P$406,"&gt;="&amp;AX$6,$R$7:$R$406,"No"))</ns0:f>
        <ns0:v>0</ns0:v>
      </ns0:c>
      <ns0:c r="AY42" t="n">
        <ns0:f>IF($A42="",0,COUNTIFS($J$7:$J$406,$A42,$O$7:$O$406,"&lt;="&amp;AY$6,$P$7:$P$406,"&gt;="&amp;AY$6,$R$7:$R$406,"No"))</ns0:f>
        <ns0:v>0</ns0:v>
      </ns0:c>
      <ns0:c r="AZ42" t="n">
        <ns0:f>IF($A42="",0,COUNTIFS($J$7:$J$406,$A42,$O$7:$O$406,"&lt;="&amp;AZ$6,$P$7:$P$406,"&gt;="&amp;AZ$6,$R$7:$R$406,"No"))</ns0:f>
        <ns0:v>0</ns0:v>
      </ns0:c>
      <ns0:c r="BA42" t="n">
        <ns0:f>IF($A42="",0,COUNTIFS($J$7:$J$406,$A42,$O$7:$O$406,"&lt;="&amp;BA$6,$P$7:$P$406,"&gt;="&amp;BA$6,$R$7:$R$406,"No"))</ns0:f>
        <ns0:v>0</ns0:v>
      </ns0:c>
      <ns0:c r="BB42" t="n">
        <ns0:f>IF($A42="",0,COUNTIFS($J$7:$J$406,$A42,$O$7:$O$406,"&lt;="&amp;BB$6,$P$7:$P$406,"&gt;="&amp;BB$6,$R$7:$R$406,"No"))</ns0:f>
        <ns0:v>0</ns0:v>
      </ns0:c>
      <ns0:c r="BC42" t="n">
        <ns0:f>IF($A42="",0,COUNTIFS($J$7:$J$406,$A42,$O$7:$O$406,"&lt;="&amp;BC$6,$P$7:$P$406,"&gt;="&amp;BC$6,$R$7:$R$406,"No"))</ns0:f>
        <ns0:v>0</ns0:v>
      </ns0:c>
    </ns0:row>
    <ns0:row r="43" ht="48" customHeight="1">
      <ns0:c r="A43" s="8" t="str">
        <ns0:f>IF(ROW()-6&gt;MAX($K$7:$K$406),"",INDEX($J$7:$J$406,MATCH(ROW()-6,$K$7:$K$406,0)))</ns0:f>
      </ns0:c>
      <ns0:c r="B43" s="8" t="str">
        <ns0:f>IF(A43="","",COUNTIFS($J$7:$J$406,$A43))</ns0:f>
      </ns0:c>
      <ns0:c r="C43" s="8" t="str">
        <ns0:f>IF(A43="","",COUNTIFS($J$7:$J$406,$A43,$N$7:$N$406,1))</ns0:f>
      </ns0:c>
      <ns0:c r="D43" s="8" t="str">
        <ns0:f>IF(A43="","",COUNTIFS($J$7:$J$406,$A43,$Q$7:$Q$406,"In Progress"))</ns0:f>
      </ns0:c>
      <ns0:c r="E43" s="8" t="str">
        <ns0:f>IF(A43="","",B43-C43)</ns0:f>
      </ns0:c>
      <ns0:c r="F43" s="19" t="str">
        <ns0:f>IF(A43="","",SUMIFS($N$7:$N$406,$J$7:$J$406,$A43)/B43)</ns0:f>
      </ns0:c>
      <ns0:c r="G43" s="8" t="str">
        <ns0:f>IF(A43="","",COUNTIFS(V43:BC43,"&gt;1"))</ns0:f>
      </ns0:c>
      <ns0:c r="H43" s="8" t="str">
        <ns0:f>IF(A43="","",IF(COUNTIFS($T$7:$T$33,A43)&gt;0,INDEX($U$7:$U$33,MATCH(A43,$T$7:$T$33,0)),"No capacity or responsibility detail supplied."))</ns0:f>
      </ns0:c>
      <ns0:c r="J43" t="str">
        <ns0:f>IF('Project Tracker'!A16="","",TRIM(MID(SUBSTITUTE('Project Tracker'!K16,";",REPT(" ",150)),1,150)))</ns0:f>
        <ns0:v>Governed MCP Data Boundary</ns0:v>
      </ns0:c>
      <ns0:c r="K43" t="n">
        <ns0:f>IF(J43="","",IF(COUNTIFS($J$7:J43,J43)=1,MAX($K$6:K42)+1,""))</ns0:f>
        <ns0:v>10</ns0:v>
      </ns0:c>
      <ns0:c r="L43" t="n">
        <ns0:f>IF(A43="",0,B43+(107-ROW())/1000)</ns0:f>
        <ns0:v>0</ns0:v>
      </ns0:c>
      <ns0:c r="M43" t="str">
        <ns0:f>IF(J43="","",'Project Tracker'!A16)</ns0:f>
        <ns0:v>T09</ns0:v>
      </ns0:c>
      <ns0:c r="N43" t="n">
        <ns0:f>IF(J43="","",'Project Tracker'!N16)</ns0:f>
        <ns0:v>0</ns0:v>
      </ns0:c>
      <ns0:c r="O43" t="n">
        <ns0:f>IF(J43="","",'Project Tracker'!E16)</ns0:f>
        <ns0:v>46281</ns0:v>
      </ns0:c>
      <ns0:c r="P43" t="n">
        <ns0:f>IF(J43="","",'Project Tracker'!F16)</ns0:f>
        <ns0:v>46282</ns0:v>
      </ns0:c>
      <ns0:c r="Q43" t="str">
        <ns0:f>IF(J43="","",'Project Tracker'!Q16)</ns0:f>
        <ns0:v>Not Started</ns0:v>
      </ns0:c>
      <ns0:c r="R43" t="str">
        <ns0:f>IF(J43="","",'Project Tracker'!J16)</ns0:f>
        <ns0:v>No</ns0:v>
      </ns0:c>
      <ns0:c r="V43" t="n">
        <ns0:f>IF($A43="",0,COUNTIFS($J$7:$J$406,$A43,$O$7:$O$406,"&lt;="&amp;V$6,$P$7:$P$406,"&gt;="&amp;V$6,$R$7:$R$406,"No"))</ns0:f>
        <ns0:v>0</ns0:v>
      </ns0:c>
      <ns0:c r="W43" t="n">
        <ns0:f>IF($A43="",0,COUNTIFS($J$7:$J$406,$A43,$O$7:$O$406,"&lt;="&amp;W$6,$P$7:$P$406,"&gt;="&amp;W$6,$R$7:$R$406,"No"))</ns0:f>
        <ns0:v>0</ns0:v>
      </ns0:c>
      <ns0:c r="X43" t="n">
        <ns0:f>IF($A43="",0,COUNTIFS($J$7:$J$406,$A43,$O$7:$O$406,"&lt;="&amp;X$6,$P$7:$P$406,"&gt;="&amp;X$6,$R$7:$R$406,"No"))</ns0:f>
        <ns0:v>0</ns0:v>
      </ns0:c>
      <ns0:c r="Y43" t="n">
        <ns0:f>IF($A43="",0,COUNTIFS($J$7:$J$406,$A43,$O$7:$O$406,"&lt;="&amp;Y$6,$P$7:$P$406,"&gt;="&amp;Y$6,$R$7:$R$406,"No"))</ns0:f>
        <ns0:v>0</ns0:v>
      </ns0:c>
      <ns0:c r="Z43" t="n">
        <ns0:f>IF($A43="",0,COUNTIFS($J$7:$J$406,$A43,$O$7:$O$406,"&lt;="&amp;Z$6,$P$7:$P$406,"&gt;="&amp;Z$6,$R$7:$R$406,"No"))</ns0:f>
        <ns0:v>0</ns0:v>
      </ns0:c>
      <ns0:c r="AA43" t="n">
        <ns0:f>IF($A43="",0,COUNTIFS($J$7:$J$406,$A43,$O$7:$O$406,"&lt;="&amp;AA$6,$P$7:$P$406,"&gt;="&amp;AA$6,$R$7:$R$406,"No"))</ns0:f>
        <ns0:v>0</ns0:v>
      </ns0:c>
      <ns0:c r="AB43" t="n">
        <ns0:f>IF($A43="",0,COUNTIFS($J$7:$J$406,$A43,$O$7:$O$406,"&lt;="&amp;AB$6,$P$7:$P$406,"&gt;="&amp;AB$6,$R$7:$R$406,"No"))</ns0:f>
        <ns0:v>0</ns0:v>
      </ns0:c>
      <ns0:c r="AC43" t="n">
        <ns0:f>IF($A43="",0,COUNTIFS($J$7:$J$406,$A43,$O$7:$O$406,"&lt;="&amp;AC$6,$P$7:$P$406,"&gt;="&amp;AC$6,$R$7:$R$406,"No"))</ns0:f>
        <ns0:v>0</ns0:v>
      </ns0:c>
      <ns0:c r="AD43" t="n">
        <ns0:f>IF($A43="",0,COUNTIFS($J$7:$J$406,$A43,$O$7:$O$406,"&lt;="&amp;AD$6,$P$7:$P$406,"&gt;="&amp;AD$6,$R$7:$R$406,"No"))</ns0:f>
        <ns0:v>0</ns0:v>
      </ns0:c>
      <ns0:c r="AE43" t="n">
        <ns0:f>IF($A43="",0,COUNTIFS($J$7:$J$406,$A43,$O$7:$O$406,"&lt;="&amp;AE$6,$P$7:$P$406,"&gt;="&amp;AE$6,$R$7:$R$406,"No"))</ns0:f>
        <ns0:v>0</ns0:v>
      </ns0:c>
      <ns0:c r="AF43" t="n">
        <ns0:f>IF($A43="",0,COUNTIFS($J$7:$J$406,$A43,$O$7:$O$406,"&lt;="&amp;AF$6,$P$7:$P$406,"&gt;="&amp;AF$6,$R$7:$R$406,"No"))</ns0:f>
        <ns0:v>0</ns0:v>
      </ns0:c>
      <ns0:c r="AG43" t="n">
        <ns0:f>IF($A43="",0,COUNTIFS($J$7:$J$406,$A43,$O$7:$O$406,"&lt;="&amp;AG$6,$P$7:$P$406,"&gt;="&amp;AG$6,$R$7:$R$406,"No"))</ns0:f>
        <ns0:v>0</ns0:v>
      </ns0:c>
      <ns0:c r="AH43" t="n">
        <ns0:f>IF($A43="",0,COUNTIFS($J$7:$J$406,$A43,$O$7:$O$406,"&lt;="&amp;AH$6,$P$7:$P$406,"&gt;="&amp;AH$6,$R$7:$R$406,"No"))</ns0:f>
        <ns0:v>0</ns0:v>
      </ns0:c>
      <ns0:c r="AI43" t="n">
        <ns0:f>IF($A43="",0,COUNTIFS($J$7:$J$406,$A43,$O$7:$O$406,"&lt;="&amp;AI$6,$P$7:$P$406,"&gt;="&amp;AI$6,$R$7:$R$406,"No"))</ns0:f>
        <ns0:v>0</ns0:v>
      </ns0:c>
      <ns0:c r="AJ43" t="n">
        <ns0:f>IF($A43="",0,COUNTIFS($J$7:$J$406,$A43,$O$7:$O$406,"&lt;="&amp;AJ$6,$P$7:$P$406,"&gt;="&amp;AJ$6,$R$7:$R$406,"No"))</ns0:f>
        <ns0:v>0</ns0:v>
      </ns0:c>
      <ns0:c r="AK43" t="n">
        <ns0:f>IF($A43="",0,COUNTIFS($J$7:$J$406,$A43,$O$7:$O$406,"&lt;="&amp;AK$6,$P$7:$P$406,"&gt;="&amp;AK$6,$R$7:$R$406,"No"))</ns0:f>
        <ns0:v>0</ns0:v>
      </ns0:c>
      <ns0:c r="AL43" t="n">
        <ns0:f>IF($A43="",0,COUNTIFS($J$7:$J$406,$A43,$O$7:$O$406,"&lt;="&amp;AL$6,$P$7:$P$406,"&gt;="&amp;AL$6,$R$7:$R$406,"No"))</ns0:f>
        <ns0:v>0</ns0:v>
      </ns0:c>
      <ns0:c r="AM43" t="n">
        <ns0:f>IF($A43="",0,COUNTIFS($J$7:$J$406,$A43,$O$7:$O$406,"&lt;="&amp;AM$6,$P$7:$P$406,"&gt;="&amp;AM$6,$R$7:$R$406,"No"))</ns0:f>
        <ns0:v>0</ns0:v>
      </ns0:c>
      <ns0:c r="AN43" t="n">
        <ns0:f>IF($A43="",0,COUNTIFS($J$7:$J$406,$A43,$O$7:$O$406,"&lt;="&amp;AN$6,$P$7:$P$406,"&gt;="&amp;AN$6,$R$7:$R$406,"No"))</ns0:f>
        <ns0:v>0</ns0:v>
      </ns0:c>
      <ns0:c r="AO43" t="n">
        <ns0:f>IF($A43="",0,COUNTIFS($J$7:$J$406,$A43,$O$7:$O$406,"&lt;="&amp;AO$6,$P$7:$P$406,"&gt;="&amp;AO$6,$R$7:$R$406,"No"))</ns0:f>
        <ns0:v>0</ns0:v>
      </ns0:c>
      <ns0:c r="AP43" t="n">
        <ns0:f>IF($A43="",0,COUNTIFS($J$7:$J$406,$A43,$O$7:$O$406,"&lt;="&amp;AP$6,$P$7:$P$406,"&gt;="&amp;AP$6,$R$7:$R$406,"No"))</ns0:f>
        <ns0:v>0</ns0:v>
      </ns0:c>
      <ns0:c r="AQ43" t="n">
        <ns0:f>IF($A43="",0,COUNTIFS($J$7:$J$406,$A43,$O$7:$O$406,"&lt;="&amp;AQ$6,$P$7:$P$406,"&gt;="&amp;AQ$6,$R$7:$R$406,"No"))</ns0:f>
        <ns0:v>0</ns0:v>
      </ns0:c>
      <ns0:c r="AR43" t="n">
        <ns0:f>IF($A43="",0,COUNTIFS($J$7:$J$406,$A43,$O$7:$O$406,"&lt;="&amp;AR$6,$P$7:$P$406,"&gt;="&amp;AR$6,$R$7:$R$406,"No"))</ns0:f>
        <ns0:v>0</ns0:v>
      </ns0:c>
      <ns0:c r="AS43" t="n">
        <ns0:f>IF($A43="",0,COUNTIFS($J$7:$J$406,$A43,$O$7:$O$406,"&lt;="&amp;AS$6,$P$7:$P$406,"&gt;="&amp;AS$6,$R$7:$R$406,"No"))</ns0:f>
        <ns0:v>0</ns0:v>
      </ns0:c>
      <ns0:c r="AT43" t="n">
        <ns0:f>IF($A43="",0,COUNTIFS($J$7:$J$406,$A43,$O$7:$O$406,"&lt;="&amp;AT$6,$P$7:$P$406,"&gt;="&amp;AT$6,$R$7:$R$406,"No"))</ns0:f>
        <ns0:v>0</ns0:v>
      </ns0:c>
      <ns0:c r="AU43" t="n">
        <ns0:f>IF($A43="",0,COUNTIFS($J$7:$J$406,$A43,$O$7:$O$406,"&lt;="&amp;AU$6,$P$7:$P$406,"&gt;="&amp;AU$6,$R$7:$R$406,"No"))</ns0:f>
        <ns0:v>0</ns0:v>
      </ns0:c>
      <ns0:c r="AV43" t="n">
        <ns0:f>IF($A43="",0,COUNTIFS($J$7:$J$406,$A43,$O$7:$O$406,"&lt;="&amp;AV$6,$P$7:$P$406,"&gt;="&amp;AV$6,$R$7:$R$406,"No"))</ns0:f>
        <ns0:v>0</ns0:v>
      </ns0:c>
      <ns0:c r="AW43" t="n">
        <ns0:f>IF($A43="",0,COUNTIFS($J$7:$J$406,$A43,$O$7:$O$406,"&lt;="&amp;AW$6,$P$7:$P$406,"&gt;="&amp;AW$6,$R$7:$R$406,"No"))</ns0:f>
        <ns0:v>0</ns0:v>
      </ns0:c>
      <ns0:c r="AX43" t="n">
        <ns0:f>IF($A43="",0,COUNTIFS($J$7:$J$406,$A43,$O$7:$O$406,"&lt;="&amp;AX$6,$P$7:$P$406,"&gt;="&amp;AX$6,$R$7:$R$406,"No"))</ns0:f>
        <ns0:v>0</ns0:v>
      </ns0:c>
      <ns0:c r="AY43" t="n">
        <ns0:f>IF($A43="",0,COUNTIFS($J$7:$J$406,$A43,$O$7:$O$406,"&lt;="&amp;AY$6,$P$7:$P$406,"&gt;="&amp;AY$6,$R$7:$R$406,"No"))</ns0:f>
        <ns0:v>0</ns0:v>
      </ns0:c>
      <ns0:c r="AZ43" t="n">
        <ns0:f>IF($A43="",0,COUNTIFS($J$7:$J$406,$A43,$O$7:$O$406,"&lt;="&amp;AZ$6,$P$7:$P$406,"&gt;="&amp;AZ$6,$R$7:$R$406,"No"))</ns0:f>
        <ns0:v>0</ns0:v>
      </ns0:c>
      <ns0:c r="BA43" t="n">
        <ns0:f>IF($A43="",0,COUNTIFS($J$7:$J$406,$A43,$O$7:$O$406,"&lt;="&amp;BA$6,$P$7:$P$406,"&gt;="&amp;BA$6,$R$7:$R$406,"No"))</ns0:f>
        <ns0:v>0</ns0:v>
      </ns0:c>
      <ns0:c r="BB43" t="n">
        <ns0:f>IF($A43="",0,COUNTIFS($J$7:$J$406,$A43,$O$7:$O$406,"&lt;="&amp;BB$6,$P$7:$P$406,"&gt;="&amp;BB$6,$R$7:$R$406,"No"))</ns0:f>
        <ns0:v>0</ns0:v>
      </ns0:c>
      <ns0:c r="BC43" t="n">
        <ns0:f>IF($A43="",0,COUNTIFS($J$7:$J$406,$A43,$O$7:$O$406,"&lt;="&amp;BC$6,$P$7:$P$406,"&gt;="&amp;BC$6,$R$7:$R$406,"No"))</ns0:f>
        <ns0:v>0</ns0:v>
      </ns0:c>
    </ns0:row>
    <ns0:row r="44" ht="48" customHeight="1">
      <ns0:c r="A44" s="8" t="str">
        <ns0:f>IF(ROW()-6&gt;MAX($K$7:$K$406),"",INDEX($J$7:$J$406,MATCH(ROW()-6,$K$7:$K$406,0)))</ns0:f>
      </ns0:c>
      <ns0:c r="B44" s="8" t="str">
        <ns0:f>IF(A44="","",COUNTIFS($J$7:$J$406,$A44))</ns0:f>
      </ns0:c>
      <ns0:c r="C44" s="8" t="str">
        <ns0:f>IF(A44="","",COUNTIFS($J$7:$J$406,$A44,$N$7:$N$406,1))</ns0:f>
      </ns0:c>
      <ns0:c r="D44" s="8" t="str">
        <ns0:f>IF(A44="","",COUNTIFS($J$7:$J$406,$A44,$Q$7:$Q$406,"In Progress"))</ns0:f>
      </ns0:c>
      <ns0:c r="E44" s="8" t="str">
        <ns0:f>IF(A44="","",B44-C44)</ns0:f>
      </ns0:c>
      <ns0:c r="F44" s="19" t="str">
        <ns0:f>IF(A44="","",SUMIFS($N$7:$N$406,$J$7:$J$406,$A44)/B44)</ns0:f>
      </ns0:c>
      <ns0:c r="G44" s="8" t="str">
        <ns0:f>IF(A44="","",COUNTIFS(V44:BC44,"&gt;1"))</ns0:f>
      </ns0:c>
      <ns0:c r="H44" s="8" t="str">
        <ns0:f>IF(A44="","",IF(COUNTIFS($T$7:$T$33,A44)&gt;0,INDEX($U$7:$U$33,MATCH(A44,$T$7:$T$33,0)),"No capacity or responsibility detail supplied."))</ns0:f>
      </ns0:c>
      <ns0:c r="J44" t="str">
        <ns0:f>IF('Project Tracker'!A16="","",TRIM(MID(SUBSTITUTE('Project Tracker'!K16,";",REPT(" ",150)),151,150)))</ns0:f>
      </ns0:c>
      <ns0:c r="K44" t="str">
        <ns0:f>IF(J44="","",IF(COUNTIFS($J$7:J44,J44)=1,MAX($K$6:K43)+1,""))</ns0:f>
      </ns0:c>
      <ns0:c r="L44" t="n">
        <ns0:f>IF(A44="",0,B44+(107-ROW())/1000)</ns0:f>
        <ns0:v>0</ns0:v>
      </ns0:c>
      <ns0:c r="M44" t="str">
        <ns0:f>IF(J44="","",'Project Tracker'!A16)</ns0:f>
      </ns0:c>
      <ns0:c r="N44" t="str">
        <ns0:f>IF(J44="","",'Project Tracker'!N16)</ns0:f>
      </ns0:c>
      <ns0:c r="O44" t="str">
        <ns0:f>IF(J44="","",'Project Tracker'!E16)</ns0:f>
      </ns0:c>
      <ns0:c r="P44" t="str">
        <ns0:f>IF(J44="","",'Project Tracker'!F16)</ns0:f>
      </ns0:c>
      <ns0:c r="Q44" t="str">
        <ns0:f>IF(J44="","",'Project Tracker'!Q16)</ns0:f>
      </ns0:c>
      <ns0:c r="R44" t="str">
        <ns0:f>IF(J44="","",'Project Tracker'!J16)</ns0:f>
      </ns0:c>
      <ns0:c r="V44" t="n">
        <ns0:f>IF($A44="",0,COUNTIFS($J$7:$J$406,$A44,$O$7:$O$406,"&lt;="&amp;V$6,$P$7:$P$406,"&gt;="&amp;V$6,$R$7:$R$406,"No"))</ns0:f>
        <ns0:v>0</ns0:v>
      </ns0:c>
      <ns0:c r="W44" t="n">
        <ns0:f>IF($A44="",0,COUNTIFS($J$7:$J$406,$A44,$O$7:$O$406,"&lt;="&amp;W$6,$P$7:$P$406,"&gt;="&amp;W$6,$R$7:$R$406,"No"))</ns0:f>
        <ns0:v>0</ns0:v>
      </ns0:c>
      <ns0:c r="X44" t="n">
        <ns0:f>IF($A44="",0,COUNTIFS($J$7:$J$406,$A44,$O$7:$O$406,"&lt;="&amp;X$6,$P$7:$P$406,"&gt;="&amp;X$6,$R$7:$R$406,"No"))</ns0:f>
        <ns0:v>0</ns0:v>
      </ns0:c>
      <ns0:c r="Y44" t="n">
        <ns0:f>IF($A44="",0,COUNTIFS($J$7:$J$406,$A44,$O$7:$O$406,"&lt;="&amp;Y$6,$P$7:$P$406,"&gt;="&amp;Y$6,$R$7:$R$406,"No"))</ns0:f>
        <ns0:v>0</ns0:v>
      </ns0:c>
      <ns0:c r="Z44" t="n">
        <ns0:f>IF($A44="",0,COUNTIFS($J$7:$J$406,$A44,$O$7:$O$406,"&lt;="&amp;Z$6,$P$7:$P$406,"&gt;="&amp;Z$6,$R$7:$R$406,"No"))</ns0:f>
        <ns0:v>0</ns0:v>
      </ns0:c>
      <ns0:c r="AA44" t="n">
        <ns0:f>IF($A44="",0,COUNTIFS($J$7:$J$406,$A44,$O$7:$O$406,"&lt;="&amp;AA$6,$P$7:$P$406,"&gt;="&amp;AA$6,$R$7:$R$406,"No"))</ns0:f>
        <ns0:v>0</ns0:v>
      </ns0:c>
      <ns0:c r="AB44" t="n">
        <ns0:f>IF($A44="",0,COUNTIFS($J$7:$J$406,$A44,$O$7:$O$406,"&lt;="&amp;AB$6,$P$7:$P$406,"&gt;="&amp;AB$6,$R$7:$R$406,"No"))</ns0:f>
        <ns0:v>0</ns0:v>
      </ns0:c>
      <ns0:c r="AC44" t="n">
        <ns0:f>IF($A44="",0,COUNTIFS($J$7:$J$406,$A44,$O$7:$O$406,"&lt;="&amp;AC$6,$P$7:$P$406,"&gt;="&amp;AC$6,$R$7:$R$406,"No"))</ns0:f>
        <ns0:v>0</ns0:v>
      </ns0:c>
      <ns0:c r="AD44" t="n">
        <ns0:f>IF($A44="",0,COUNTIFS($J$7:$J$406,$A44,$O$7:$O$406,"&lt;="&amp;AD$6,$P$7:$P$406,"&gt;="&amp;AD$6,$R$7:$R$406,"No"))</ns0:f>
        <ns0:v>0</ns0:v>
      </ns0:c>
      <ns0:c r="AE44" t="n">
        <ns0:f>IF($A44="",0,COUNTIFS($J$7:$J$406,$A44,$O$7:$O$406,"&lt;="&amp;AE$6,$P$7:$P$406,"&gt;="&amp;AE$6,$R$7:$R$406,"No"))</ns0:f>
        <ns0:v>0</ns0:v>
      </ns0:c>
      <ns0:c r="AF44" t="n">
        <ns0:f>IF($A44="",0,COUNTIFS($J$7:$J$406,$A44,$O$7:$O$406,"&lt;="&amp;AF$6,$P$7:$P$406,"&gt;="&amp;AF$6,$R$7:$R$406,"No"))</ns0:f>
        <ns0:v>0</ns0:v>
      </ns0:c>
      <ns0:c r="AG44" t="n">
        <ns0:f>IF($A44="",0,COUNTIFS($J$7:$J$406,$A44,$O$7:$O$406,"&lt;="&amp;AG$6,$P$7:$P$406,"&gt;="&amp;AG$6,$R$7:$R$406,"No"))</ns0:f>
        <ns0:v>0</ns0:v>
      </ns0:c>
      <ns0:c r="AH44" t="n">
        <ns0:f>IF($A44="",0,COUNTIFS($J$7:$J$406,$A44,$O$7:$O$406,"&lt;="&amp;AH$6,$P$7:$P$406,"&gt;="&amp;AH$6,$R$7:$R$406,"No"))</ns0:f>
        <ns0:v>0</ns0:v>
      </ns0:c>
      <ns0:c r="AI44" t="n">
        <ns0:f>IF($A44="",0,COUNTIFS($J$7:$J$406,$A44,$O$7:$O$406,"&lt;="&amp;AI$6,$P$7:$P$406,"&gt;="&amp;AI$6,$R$7:$R$406,"No"))</ns0:f>
        <ns0:v>0</ns0:v>
      </ns0:c>
      <ns0:c r="AJ44" t="n">
        <ns0:f>IF($A44="",0,COUNTIFS($J$7:$J$406,$A44,$O$7:$O$406,"&lt;="&amp;AJ$6,$P$7:$P$406,"&gt;="&amp;AJ$6,$R$7:$R$406,"No"))</ns0:f>
        <ns0:v>0</ns0:v>
      </ns0:c>
      <ns0:c r="AK44" t="n">
        <ns0:f>IF($A44="",0,COUNTIFS($J$7:$J$406,$A44,$O$7:$O$406,"&lt;="&amp;AK$6,$P$7:$P$406,"&gt;="&amp;AK$6,$R$7:$R$406,"No"))</ns0:f>
        <ns0:v>0</ns0:v>
      </ns0:c>
      <ns0:c r="AL44" t="n">
        <ns0:f>IF($A44="",0,COUNTIFS($J$7:$J$406,$A44,$O$7:$O$406,"&lt;="&amp;AL$6,$P$7:$P$406,"&gt;="&amp;AL$6,$R$7:$R$406,"No"))</ns0:f>
        <ns0:v>0</ns0:v>
      </ns0:c>
      <ns0:c r="AM44" t="n">
        <ns0:f>IF($A44="",0,COUNTIFS($J$7:$J$406,$A44,$O$7:$O$406,"&lt;="&amp;AM$6,$P$7:$P$406,"&gt;="&amp;AM$6,$R$7:$R$406,"No"))</ns0:f>
        <ns0:v>0</ns0:v>
      </ns0:c>
      <ns0:c r="AN44" t="n">
        <ns0:f>IF($A44="",0,COUNTIFS($J$7:$J$406,$A44,$O$7:$O$406,"&lt;="&amp;AN$6,$P$7:$P$406,"&gt;="&amp;AN$6,$R$7:$R$406,"No"))</ns0:f>
        <ns0:v>0</ns0:v>
      </ns0:c>
      <ns0:c r="AO44" t="n">
        <ns0:f>IF($A44="",0,COUNTIFS($J$7:$J$406,$A44,$O$7:$O$406,"&lt;="&amp;AO$6,$P$7:$P$406,"&gt;="&amp;AO$6,$R$7:$R$406,"No"))</ns0:f>
        <ns0:v>0</ns0:v>
      </ns0:c>
      <ns0:c r="AP44" t="n">
        <ns0:f>IF($A44="",0,COUNTIFS($J$7:$J$406,$A44,$O$7:$O$406,"&lt;="&amp;AP$6,$P$7:$P$406,"&gt;="&amp;AP$6,$R$7:$R$406,"No"))</ns0:f>
        <ns0:v>0</ns0:v>
      </ns0:c>
      <ns0:c r="AQ44" t="n">
        <ns0:f>IF($A44="",0,COUNTIFS($J$7:$J$406,$A44,$O$7:$O$406,"&lt;="&amp;AQ$6,$P$7:$P$406,"&gt;="&amp;AQ$6,$R$7:$R$406,"No"))</ns0:f>
        <ns0:v>0</ns0:v>
      </ns0:c>
      <ns0:c r="AR44" t="n">
        <ns0:f>IF($A44="",0,COUNTIFS($J$7:$J$406,$A44,$O$7:$O$406,"&lt;="&amp;AR$6,$P$7:$P$406,"&gt;="&amp;AR$6,$R$7:$R$406,"No"))</ns0:f>
        <ns0:v>0</ns0:v>
      </ns0:c>
      <ns0:c r="AS44" t="n">
        <ns0:f>IF($A44="",0,COUNTIFS($J$7:$J$406,$A44,$O$7:$O$406,"&lt;="&amp;AS$6,$P$7:$P$406,"&gt;="&amp;AS$6,$R$7:$R$406,"No"))</ns0:f>
        <ns0:v>0</ns0:v>
      </ns0:c>
      <ns0:c r="AT44" t="n">
        <ns0:f>IF($A44="",0,COUNTIFS($J$7:$J$406,$A44,$O$7:$O$406,"&lt;="&amp;AT$6,$P$7:$P$406,"&gt;="&amp;AT$6,$R$7:$R$406,"No"))</ns0:f>
        <ns0:v>0</ns0:v>
      </ns0:c>
      <ns0:c r="AU44" t="n">
        <ns0:f>IF($A44="",0,COUNTIFS($J$7:$J$406,$A44,$O$7:$O$406,"&lt;="&amp;AU$6,$P$7:$P$406,"&gt;="&amp;AU$6,$R$7:$R$406,"No"))</ns0:f>
        <ns0:v>0</ns0:v>
      </ns0:c>
      <ns0:c r="AV44" t="n">
        <ns0:f>IF($A44="",0,COUNTIFS($J$7:$J$406,$A44,$O$7:$O$406,"&lt;="&amp;AV$6,$P$7:$P$406,"&gt;="&amp;AV$6,$R$7:$R$406,"No"))</ns0:f>
        <ns0:v>0</ns0:v>
      </ns0:c>
      <ns0:c r="AW44" t="n">
        <ns0:f>IF($A44="",0,COUNTIFS($J$7:$J$406,$A44,$O$7:$O$406,"&lt;="&amp;AW$6,$P$7:$P$406,"&gt;="&amp;AW$6,$R$7:$R$406,"No"))</ns0:f>
        <ns0:v>0</ns0:v>
      </ns0:c>
      <ns0:c r="AX44" t="n">
        <ns0:f>IF($A44="",0,COUNTIFS($J$7:$J$406,$A44,$O$7:$O$406,"&lt;="&amp;AX$6,$P$7:$P$406,"&gt;="&amp;AX$6,$R$7:$R$406,"No"))</ns0:f>
        <ns0:v>0</ns0:v>
      </ns0:c>
      <ns0:c r="AY44" t="n">
        <ns0:f>IF($A44="",0,COUNTIFS($J$7:$J$406,$A44,$O$7:$O$406,"&lt;="&amp;AY$6,$P$7:$P$406,"&gt;="&amp;AY$6,$R$7:$R$406,"No"))</ns0:f>
        <ns0:v>0</ns0:v>
      </ns0:c>
      <ns0:c r="AZ44" t="n">
        <ns0:f>IF($A44="",0,COUNTIFS($J$7:$J$406,$A44,$O$7:$O$406,"&lt;="&amp;AZ$6,$P$7:$P$406,"&gt;="&amp;AZ$6,$R$7:$R$406,"No"))</ns0:f>
        <ns0:v>0</ns0:v>
      </ns0:c>
      <ns0:c r="BA44" t="n">
        <ns0:f>IF($A44="",0,COUNTIFS($J$7:$J$406,$A44,$O$7:$O$406,"&lt;="&amp;BA$6,$P$7:$P$406,"&gt;="&amp;BA$6,$R$7:$R$406,"No"))</ns0:f>
        <ns0:v>0</ns0:v>
      </ns0:c>
      <ns0:c r="BB44" t="n">
        <ns0:f>IF($A44="",0,COUNTIFS($J$7:$J$406,$A44,$O$7:$O$406,"&lt;="&amp;BB$6,$P$7:$P$406,"&gt;="&amp;BB$6,$R$7:$R$406,"No"))</ns0:f>
        <ns0:v>0</ns0:v>
      </ns0:c>
      <ns0:c r="BC44" t="n">
        <ns0:f>IF($A44="",0,COUNTIFS($J$7:$J$406,$A44,$O$7:$O$406,"&lt;="&amp;BC$6,$P$7:$P$406,"&gt;="&amp;BC$6,$R$7:$R$406,"No"))</ns0:f>
        <ns0:v>0</ns0:v>
      </ns0:c>
    </ns0:row>
    <ns0:row r="45" ht="48" customHeight="1">
      <ns0:c r="A45" s="8" t="str">
        <ns0:f>IF(ROW()-6&gt;MAX($K$7:$K$406),"",INDEX($J$7:$J$406,MATCH(ROW()-6,$K$7:$K$406,0)))</ns0:f>
      </ns0:c>
      <ns0:c r="B45" s="8" t="str">
        <ns0:f>IF(A45="","",COUNTIFS($J$7:$J$406,$A45))</ns0:f>
      </ns0:c>
      <ns0:c r="C45" s="8" t="str">
        <ns0:f>IF(A45="","",COUNTIFS($J$7:$J$406,$A45,$N$7:$N$406,1))</ns0:f>
      </ns0:c>
      <ns0:c r="D45" s="8" t="str">
        <ns0:f>IF(A45="","",COUNTIFS($J$7:$J$406,$A45,$Q$7:$Q$406,"In Progress"))</ns0:f>
      </ns0:c>
      <ns0:c r="E45" s="8" t="str">
        <ns0:f>IF(A45="","",B45-C45)</ns0:f>
      </ns0:c>
      <ns0:c r="F45" s="19" t="str">
        <ns0:f>IF(A45="","",SUMIFS($N$7:$N$406,$J$7:$J$406,$A45)/B45)</ns0:f>
      </ns0:c>
      <ns0:c r="G45" s="8" t="str">
        <ns0:f>IF(A45="","",COUNTIFS(V45:BC45,"&gt;1"))</ns0:f>
      </ns0:c>
      <ns0:c r="H45" s="8" t="str">
        <ns0:f>IF(A45="","",IF(COUNTIFS($T$7:$T$33,A45)&gt;0,INDEX($U$7:$U$33,MATCH(A45,$T$7:$T$33,0)),"No capacity or responsibility detail supplied."))</ns0:f>
      </ns0:c>
      <ns0:c r="J45" t="str">
        <ns0:f>IF('Project Tracker'!A16="","",TRIM(MID(SUBSTITUTE('Project Tracker'!K16,";",REPT(" ",150)),301,150)))</ns0:f>
      </ns0:c>
      <ns0:c r="K45" t="str">
        <ns0:f>IF(J45="","",IF(COUNTIFS($J$7:J45,J45)=1,MAX($K$6:K44)+1,""))</ns0:f>
      </ns0:c>
      <ns0:c r="L45" t="n">
        <ns0:f>IF(A45="",0,B45+(107-ROW())/1000)</ns0:f>
        <ns0:v>0</ns0:v>
      </ns0:c>
      <ns0:c r="M45" t="str">
        <ns0:f>IF(J45="","",'Project Tracker'!A16)</ns0:f>
      </ns0:c>
      <ns0:c r="N45" t="str">
        <ns0:f>IF(J45="","",'Project Tracker'!N16)</ns0:f>
      </ns0:c>
      <ns0:c r="O45" t="str">
        <ns0:f>IF(J45="","",'Project Tracker'!E16)</ns0:f>
      </ns0:c>
      <ns0:c r="P45" t="str">
        <ns0:f>IF(J45="","",'Project Tracker'!F16)</ns0:f>
      </ns0:c>
      <ns0:c r="Q45" t="str">
        <ns0:f>IF(J45="","",'Project Tracker'!Q16)</ns0:f>
      </ns0:c>
      <ns0:c r="R45" t="str">
        <ns0:f>IF(J45="","",'Project Tracker'!J16)</ns0:f>
      </ns0:c>
      <ns0:c r="V45" t="n">
        <ns0:f>IF($A45="",0,COUNTIFS($J$7:$J$406,$A45,$O$7:$O$406,"&lt;="&amp;V$6,$P$7:$P$406,"&gt;="&amp;V$6,$R$7:$R$406,"No"))</ns0:f>
        <ns0:v>0</ns0:v>
      </ns0:c>
      <ns0:c r="W45" t="n">
        <ns0:f>IF($A45="",0,COUNTIFS($J$7:$J$406,$A45,$O$7:$O$406,"&lt;="&amp;W$6,$P$7:$P$406,"&gt;="&amp;W$6,$R$7:$R$406,"No"))</ns0:f>
        <ns0:v>0</ns0:v>
      </ns0:c>
      <ns0:c r="X45" t="n">
        <ns0:f>IF($A45="",0,COUNTIFS($J$7:$J$406,$A45,$O$7:$O$406,"&lt;="&amp;X$6,$P$7:$P$406,"&gt;="&amp;X$6,$R$7:$R$406,"No"))</ns0:f>
        <ns0:v>0</ns0:v>
      </ns0:c>
      <ns0:c r="Y45" t="n">
        <ns0:f>IF($A45="",0,COUNTIFS($J$7:$J$406,$A45,$O$7:$O$406,"&lt;="&amp;Y$6,$P$7:$P$406,"&gt;="&amp;Y$6,$R$7:$R$406,"No"))</ns0:f>
        <ns0:v>0</ns0:v>
      </ns0:c>
      <ns0:c r="Z45" t="n">
        <ns0:f>IF($A45="",0,COUNTIFS($J$7:$J$406,$A45,$O$7:$O$406,"&lt;="&amp;Z$6,$P$7:$P$406,"&gt;="&amp;Z$6,$R$7:$R$406,"No"))</ns0:f>
        <ns0:v>0</ns0:v>
      </ns0:c>
      <ns0:c r="AA45" t="n">
        <ns0:f>IF($A45="",0,COUNTIFS($J$7:$J$406,$A45,$O$7:$O$406,"&lt;="&amp;AA$6,$P$7:$P$406,"&gt;="&amp;AA$6,$R$7:$R$406,"No"))</ns0:f>
        <ns0:v>0</ns0:v>
      </ns0:c>
      <ns0:c r="AB45" t="n">
        <ns0:f>IF($A45="",0,COUNTIFS($J$7:$J$406,$A45,$O$7:$O$406,"&lt;="&amp;AB$6,$P$7:$P$406,"&gt;="&amp;AB$6,$R$7:$R$406,"No"))</ns0:f>
        <ns0:v>0</ns0:v>
      </ns0:c>
      <ns0:c r="AC45" t="n">
        <ns0:f>IF($A45="",0,COUNTIFS($J$7:$J$406,$A45,$O$7:$O$406,"&lt;="&amp;AC$6,$P$7:$P$406,"&gt;="&amp;AC$6,$R$7:$R$406,"No"))</ns0:f>
        <ns0:v>0</ns0:v>
      </ns0:c>
      <ns0:c r="AD45" t="n">
        <ns0:f>IF($A45="",0,COUNTIFS($J$7:$J$406,$A45,$O$7:$O$406,"&lt;="&amp;AD$6,$P$7:$P$406,"&gt;="&amp;AD$6,$R$7:$R$406,"No"))</ns0:f>
        <ns0:v>0</ns0:v>
      </ns0:c>
      <ns0:c r="AE45" t="n">
        <ns0:f>IF($A45="",0,COUNTIFS($J$7:$J$406,$A45,$O$7:$O$406,"&lt;="&amp;AE$6,$P$7:$P$406,"&gt;="&amp;AE$6,$R$7:$R$406,"No"))</ns0:f>
        <ns0:v>0</ns0:v>
      </ns0:c>
      <ns0:c r="AF45" t="n">
        <ns0:f>IF($A45="",0,COUNTIFS($J$7:$J$406,$A45,$O$7:$O$406,"&lt;="&amp;AF$6,$P$7:$P$406,"&gt;="&amp;AF$6,$R$7:$R$406,"No"))</ns0:f>
        <ns0:v>0</ns0:v>
      </ns0:c>
      <ns0:c r="AG45" t="n">
        <ns0:f>IF($A45="",0,COUNTIFS($J$7:$J$406,$A45,$O$7:$O$406,"&lt;="&amp;AG$6,$P$7:$P$406,"&gt;="&amp;AG$6,$R$7:$R$406,"No"))</ns0:f>
        <ns0:v>0</ns0:v>
      </ns0:c>
      <ns0:c r="AH45" t="n">
        <ns0:f>IF($A45="",0,COUNTIFS($J$7:$J$406,$A45,$O$7:$O$406,"&lt;="&amp;AH$6,$P$7:$P$406,"&gt;="&amp;AH$6,$R$7:$R$406,"No"))</ns0:f>
        <ns0:v>0</ns0:v>
      </ns0:c>
      <ns0:c r="AI45" t="n">
        <ns0:f>IF($A45="",0,COUNTIFS($J$7:$J$406,$A45,$O$7:$O$406,"&lt;="&amp;AI$6,$P$7:$P$406,"&gt;="&amp;AI$6,$R$7:$R$406,"No"))</ns0:f>
        <ns0:v>0</ns0:v>
      </ns0:c>
      <ns0:c r="AJ45" t="n">
        <ns0:f>IF($A45="",0,COUNTIFS($J$7:$J$406,$A45,$O$7:$O$406,"&lt;="&amp;AJ$6,$P$7:$P$406,"&gt;="&amp;AJ$6,$R$7:$R$406,"No"))</ns0:f>
        <ns0:v>0</ns0:v>
      </ns0:c>
      <ns0:c r="AK45" t="n">
        <ns0:f>IF($A45="",0,COUNTIFS($J$7:$J$406,$A45,$O$7:$O$406,"&lt;="&amp;AK$6,$P$7:$P$406,"&gt;="&amp;AK$6,$R$7:$R$406,"No"))</ns0:f>
        <ns0:v>0</ns0:v>
      </ns0:c>
      <ns0:c r="AL45" t="n">
        <ns0:f>IF($A45="",0,COUNTIFS($J$7:$J$406,$A45,$O$7:$O$406,"&lt;="&amp;AL$6,$P$7:$P$406,"&gt;="&amp;AL$6,$R$7:$R$406,"No"))</ns0:f>
        <ns0:v>0</ns0:v>
      </ns0:c>
      <ns0:c r="AM45" t="n">
        <ns0:f>IF($A45="",0,COUNTIFS($J$7:$J$406,$A45,$O$7:$O$406,"&lt;="&amp;AM$6,$P$7:$P$406,"&gt;="&amp;AM$6,$R$7:$R$406,"No"))</ns0:f>
        <ns0:v>0</ns0:v>
      </ns0:c>
      <ns0:c r="AN45" t="n">
        <ns0:f>IF($A45="",0,COUNTIFS($J$7:$J$406,$A45,$O$7:$O$406,"&lt;="&amp;AN$6,$P$7:$P$406,"&gt;="&amp;AN$6,$R$7:$R$406,"No"))</ns0:f>
        <ns0:v>0</ns0:v>
      </ns0:c>
      <ns0:c r="AO45" t="n">
        <ns0:f>IF($A45="",0,COUNTIFS($J$7:$J$406,$A45,$O$7:$O$406,"&lt;="&amp;AO$6,$P$7:$P$406,"&gt;="&amp;AO$6,$R$7:$R$406,"No"))</ns0:f>
        <ns0:v>0</ns0:v>
      </ns0:c>
      <ns0:c r="AP45" t="n">
        <ns0:f>IF($A45="",0,COUNTIFS($J$7:$J$406,$A45,$O$7:$O$406,"&lt;="&amp;AP$6,$P$7:$P$406,"&gt;="&amp;AP$6,$R$7:$R$406,"No"))</ns0:f>
        <ns0:v>0</ns0:v>
      </ns0:c>
      <ns0:c r="AQ45" t="n">
        <ns0:f>IF($A45="",0,COUNTIFS($J$7:$J$406,$A45,$O$7:$O$406,"&lt;="&amp;AQ$6,$P$7:$P$406,"&gt;="&amp;AQ$6,$R$7:$R$406,"No"))</ns0:f>
        <ns0:v>0</ns0:v>
      </ns0:c>
      <ns0:c r="AR45" t="n">
        <ns0:f>IF($A45="",0,COUNTIFS($J$7:$J$406,$A45,$O$7:$O$406,"&lt;="&amp;AR$6,$P$7:$P$406,"&gt;="&amp;AR$6,$R$7:$R$406,"No"))</ns0:f>
        <ns0:v>0</ns0:v>
      </ns0:c>
      <ns0:c r="AS45" t="n">
        <ns0:f>IF($A45="",0,COUNTIFS($J$7:$J$406,$A45,$O$7:$O$406,"&lt;="&amp;AS$6,$P$7:$P$406,"&gt;="&amp;AS$6,$R$7:$R$406,"No"))</ns0:f>
        <ns0:v>0</ns0:v>
      </ns0:c>
      <ns0:c r="AT45" t="n">
        <ns0:f>IF($A45="",0,COUNTIFS($J$7:$J$406,$A45,$O$7:$O$406,"&lt;="&amp;AT$6,$P$7:$P$406,"&gt;="&amp;AT$6,$R$7:$R$406,"No"))</ns0:f>
        <ns0:v>0</ns0:v>
      </ns0:c>
      <ns0:c r="AU45" t="n">
        <ns0:f>IF($A45="",0,COUNTIFS($J$7:$J$406,$A45,$O$7:$O$406,"&lt;="&amp;AU$6,$P$7:$P$406,"&gt;="&amp;AU$6,$R$7:$R$406,"No"))</ns0:f>
        <ns0:v>0</ns0:v>
      </ns0:c>
      <ns0:c r="AV45" t="n">
        <ns0:f>IF($A45="",0,COUNTIFS($J$7:$J$406,$A45,$O$7:$O$406,"&lt;="&amp;AV$6,$P$7:$P$406,"&gt;="&amp;AV$6,$R$7:$R$406,"No"))</ns0:f>
        <ns0:v>0</ns0:v>
      </ns0:c>
      <ns0:c r="AW45" t="n">
        <ns0:f>IF($A45="",0,COUNTIFS($J$7:$J$406,$A45,$O$7:$O$406,"&lt;="&amp;AW$6,$P$7:$P$406,"&gt;="&amp;AW$6,$R$7:$R$406,"No"))</ns0:f>
        <ns0:v>0</ns0:v>
      </ns0:c>
      <ns0:c r="AX45" t="n">
        <ns0:f>IF($A45="",0,COUNTIFS($J$7:$J$406,$A45,$O$7:$O$406,"&lt;="&amp;AX$6,$P$7:$P$406,"&gt;="&amp;AX$6,$R$7:$R$406,"No"))</ns0:f>
        <ns0:v>0</ns0:v>
      </ns0:c>
      <ns0:c r="AY45" t="n">
        <ns0:f>IF($A45="",0,COUNTIFS($J$7:$J$406,$A45,$O$7:$O$406,"&lt;="&amp;AY$6,$P$7:$P$406,"&gt;="&amp;AY$6,$R$7:$R$406,"No"))</ns0:f>
        <ns0:v>0</ns0:v>
      </ns0:c>
      <ns0:c r="AZ45" t="n">
        <ns0:f>IF($A45="",0,COUNTIFS($J$7:$J$406,$A45,$O$7:$O$406,"&lt;="&amp;AZ$6,$P$7:$P$406,"&gt;="&amp;AZ$6,$R$7:$R$406,"No"))</ns0:f>
        <ns0:v>0</ns0:v>
      </ns0:c>
      <ns0:c r="BA45" t="n">
        <ns0:f>IF($A45="",0,COUNTIFS($J$7:$J$406,$A45,$O$7:$O$406,"&lt;="&amp;BA$6,$P$7:$P$406,"&gt;="&amp;BA$6,$R$7:$R$406,"No"))</ns0:f>
        <ns0:v>0</ns0:v>
      </ns0:c>
      <ns0:c r="BB45" t="n">
        <ns0:f>IF($A45="",0,COUNTIFS($J$7:$J$406,$A45,$O$7:$O$406,"&lt;="&amp;BB$6,$P$7:$P$406,"&gt;="&amp;BB$6,$R$7:$R$406,"No"))</ns0:f>
        <ns0:v>0</ns0:v>
      </ns0:c>
      <ns0:c r="BC45" t="n">
        <ns0:f>IF($A45="",0,COUNTIFS($J$7:$J$406,$A45,$O$7:$O$406,"&lt;="&amp;BC$6,$P$7:$P$406,"&gt;="&amp;BC$6,$R$7:$R$406,"No"))</ns0:f>
        <ns0:v>0</ns0:v>
      </ns0:c>
    </ns0:row>
    <ns0:row r="46" ht="48" customHeight="1">
      <ns0:c r="A46" s="8" t="str">
        <ns0:f>IF(ROW()-6&gt;MAX($K$7:$K$406),"",INDEX($J$7:$J$406,MATCH(ROW()-6,$K$7:$K$406,0)))</ns0:f>
      </ns0:c>
      <ns0:c r="B46" s="8" t="str">
        <ns0:f>IF(A46="","",COUNTIFS($J$7:$J$406,$A46))</ns0:f>
      </ns0:c>
      <ns0:c r="C46" s="8" t="str">
        <ns0:f>IF(A46="","",COUNTIFS($J$7:$J$406,$A46,$N$7:$N$406,1))</ns0:f>
      </ns0:c>
      <ns0:c r="D46" s="8" t="str">
        <ns0:f>IF(A46="","",COUNTIFS($J$7:$J$406,$A46,$Q$7:$Q$406,"In Progress"))</ns0:f>
      </ns0:c>
      <ns0:c r="E46" s="8" t="str">
        <ns0:f>IF(A46="","",B46-C46)</ns0:f>
      </ns0:c>
      <ns0:c r="F46" s="19" t="str">
        <ns0:f>IF(A46="","",SUMIFS($N$7:$N$406,$J$7:$J$406,$A46)/B46)</ns0:f>
      </ns0:c>
      <ns0:c r="G46" s="8" t="str">
        <ns0:f>IF(A46="","",COUNTIFS(V46:BC46,"&gt;1"))</ns0:f>
      </ns0:c>
      <ns0:c r="H46" s="8" t="str">
        <ns0:f>IF(A46="","",IF(COUNTIFS($T$7:$T$33,A46)&gt;0,INDEX($U$7:$U$33,MATCH(A46,$T$7:$T$33,0)),"No capacity or responsibility detail supplied."))</ns0:f>
      </ns0:c>
      <ns0:c r="J46" t="str">
        <ns0:f>IF('Project Tracker'!A16="","",TRIM(MID(SUBSTITUTE('Project Tracker'!K16,";",REPT(" ",150)),451,150)))</ns0:f>
      </ns0:c>
      <ns0:c r="K46" t="str">
        <ns0:f>IF(J46="","",IF(COUNTIFS($J$7:J46,J46)=1,MAX($K$6:K45)+1,""))</ns0:f>
      </ns0:c>
      <ns0:c r="L46" t="n">
        <ns0:f>IF(A46="",0,B46+(107-ROW())/1000)</ns0:f>
        <ns0:v>0</ns0:v>
      </ns0:c>
      <ns0:c r="M46" t="str">
        <ns0:f>IF(J46="","",'Project Tracker'!A16)</ns0:f>
      </ns0:c>
      <ns0:c r="N46" t="str">
        <ns0:f>IF(J46="","",'Project Tracker'!N16)</ns0:f>
      </ns0:c>
      <ns0:c r="O46" t="str">
        <ns0:f>IF(J46="","",'Project Tracker'!E16)</ns0:f>
      </ns0:c>
      <ns0:c r="P46" t="str">
        <ns0:f>IF(J46="","",'Project Tracker'!F16)</ns0:f>
      </ns0:c>
      <ns0:c r="Q46" t="str">
        <ns0:f>IF(J46="","",'Project Tracker'!Q16)</ns0:f>
      </ns0:c>
      <ns0:c r="R46" t="str">
        <ns0:f>IF(J46="","",'Project Tracker'!J16)</ns0:f>
      </ns0:c>
      <ns0:c r="V46" t="n">
        <ns0:f>IF($A46="",0,COUNTIFS($J$7:$J$406,$A46,$O$7:$O$406,"&lt;="&amp;V$6,$P$7:$P$406,"&gt;="&amp;V$6,$R$7:$R$406,"No"))</ns0:f>
        <ns0:v>0</ns0:v>
      </ns0:c>
      <ns0:c r="W46" t="n">
        <ns0:f>IF($A46="",0,COUNTIFS($J$7:$J$406,$A46,$O$7:$O$406,"&lt;="&amp;W$6,$P$7:$P$406,"&gt;="&amp;W$6,$R$7:$R$406,"No"))</ns0:f>
        <ns0:v>0</ns0:v>
      </ns0:c>
      <ns0:c r="X46" t="n">
        <ns0:f>IF($A46="",0,COUNTIFS($J$7:$J$406,$A46,$O$7:$O$406,"&lt;="&amp;X$6,$P$7:$P$406,"&gt;="&amp;X$6,$R$7:$R$406,"No"))</ns0:f>
        <ns0:v>0</ns0:v>
      </ns0:c>
      <ns0:c r="Y46" t="n">
        <ns0:f>IF($A46="",0,COUNTIFS($J$7:$J$406,$A46,$O$7:$O$406,"&lt;="&amp;Y$6,$P$7:$P$406,"&gt;="&amp;Y$6,$R$7:$R$406,"No"))</ns0:f>
        <ns0:v>0</ns0:v>
      </ns0:c>
      <ns0:c r="Z46" t="n">
        <ns0:f>IF($A46="",0,COUNTIFS($J$7:$J$406,$A46,$O$7:$O$406,"&lt;="&amp;Z$6,$P$7:$P$406,"&gt;="&amp;Z$6,$R$7:$R$406,"No"))</ns0:f>
        <ns0:v>0</ns0:v>
      </ns0:c>
      <ns0:c r="AA46" t="n">
        <ns0:f>IF($A46="",0,COUNTIFS($J$7:$J$406,$A46,$O$7:$O$406,"&lt;="&amp;AA$6,$P$7:$P$406,"&gt;="&amp;AA$6,$R$7:$R$406,"No"))</ns0:f>
        <ns0:v>0</ns0:v>
      </ns0:c>
      <ns0:c r="AB46" t="n">
        <ns0:f>IF($A46="",0,COUNTIFS($J$7:$J$406,$A46,$O$7:$O$406,"&lt;="&amp;AB$6,$P$7:$P$406,"&gt;="&amp;AB$6,$R$7:$R$406,"No"))</ns0:f>
        <ns0:v>0</ns0:v>
      </ns0:c>
      <ns0:c r="AC46" t="n">
        <ns0:f>IF($A46="",0,COUNTIFS($J$7:$J$406,$A46,$O$7:$O$406,"&lt;="&amp;AC$6,$P$7:$P$406,"&gt;="&amp;AC$6,$R$7:$R$406,"No"))</ns0:f>
        <ns0:v>0</ns0:v>
      </ns0:c>
      <ns0:c r="AD46" t="n">
        <ns0:f>IF($A46="",0,COUNTIFS($J$7:$J$406,$A46,$O$7:$O$406,"&lt;="&amp;AD$6,$P$7:$P$406,"&gt;="&amp;AD$6,$R$7:$R$406,"No"))</ns0:f>
        <ns0:v>0</ns0:v>
      </ns0:c>
      <ns0:c r="AE46" t="n">
        <ns0:f>IF($A46="",0,COUNTIFS($J$7:$J$406,$A46,$O$7:$O$406,"&lt;="&amp;AE$6,$P$7:$P$406,"&gt;="&amp;AE$6,$R$7:$R$406,"No"))</ns0:f>
        <ns0:v>0</ns0:v>
      </ns0:c>
      <ns0:c r="AF46" t="n">
        <ns0:f>IF($A46="",0,COUNTIFS($J$7:$J$406,$A46,$O$7:$O$406,"&lt;="&amp;AF$6,$P$7:$P$406,"&gt;="&amp;AF$6,$R$7:$R$406,"No"))</ns0:f>
        <ns0:v>0</ns0:v>
      </ns0:c>
      <ns0:c r="AG46" t="n">
        <ns0:f>IF($A46="",0,COUNTIFS($J$7:$J$406,$A46,$O$7:$O$406,"&lt;="&amp;AG$6,$P$7:$P$406,"&gt;="&amp;AG$6,$R$7:$R$406,"No"))</ns0:f>
        <ns0:v>0</ns0:v>
      </ns0:c>
      <ns0:c r="AH46" t="n">
        <ns0:f>IF($A46="",0,COUNTIFS($J$7:$J$406,$A46,$O$7:$O$406,"&lt;="&amp;AH$6,$P$7:$P$406,"&gt;="&amp;AH$6,$R$7:$R$406,"No"))</ns0:f>
        <ns0:v>0</ns0:v>
      </ns0:c>
      <ns0:c r="AI46" t="n">
        <ns0:f>IF($A46="",0,COUNTIFS($J$7:$J$406,$A46,$O$7:$O$406,"&lt;="&amp;AI$6,$P$7:$P$406,"&gt;="&amp;AI$6,$R$7:$R$406,"No"))</ns0:f>
        <ns0:v>0</ns0:v>
      </ns0:c>
      <ns0:c r="AJ46" t="n">
        <ns0:f>IF($A46="",0,COUNTIFS($J$7:$J$406,$A46,$O$7:$O$406,"&lt;="&amp;AJ$6,$P$7:$P$406,"&gt;="&amp;AJ$6,$R$7:$R$406,"No"))</ns0:f>
        <ns0:v>0</ns0:v>
      </ns0:c>
      <ns0:c r="AK46" t="n">
        <ns0:f>IF($A46="",0,COUNTIFS($J$7:$J$406,$A46,$O$7:$O$406,"&lt;="&amp;AK$6,$P$7:$P$406,"&gt;="&amp;AK$6,$R$7:$R$406,"No"))</ns0:f>
        <ns0:v>0</ns0:v>
      </ns0:c>
      <ns0:c r="AL46" t="n">
        <ns0:f>IF($A46="",0,COUNTIFS($J$7:$J$406,$A46,$O$7:$O$406,"&lt;="&amp;AL$6,$P$7:$P$406,"&gt;="&amp;AL$6,$R$7:$R$406,"No"))</ns0:f>
        <ns0:v>0</ns0:v>
      </ns0:c>
      <ns0:c r="AM46" t="n">
        <ns0:f>IF($A46="",0,COUNTIFS($J$7:$J$406,$A46,$O$7:$O$406,"&lt;="&amp;AM$6,$P$7:$P$406,"&gt;="&amp;AM$6,$R$7:$R$406,"No"))</ns0:f>
        <ns0:v>0</ns0:v>
      </ns0:c>
      <ns0:c r="AN46" t="n">
        <ns0:f>IF($A46="",0,COUNTIFS($J$7:$J$406,$A46,$O$7:$O$406,"&lt;="&amp;AN$6,$P$7:$P$406,"&gt;="&amp;AN$6,$R$7:$R$406,"No"))</ns0:f>
        <ns0:v>0</ns0:v>
      </ns0:c>
      <ns0:c r="AO46" t="n">
        <ns0:f>IF($A46="",0,COUNTIFS($J$7:$J$406,$A46,$O$7:$O$406,"&lt;="&amp;AO$6,$P$7:$P$406,"&gt;="&amp;AO$6,$R$7:$R$406,"No"))</ns0:f>
        <ns0:v>0</ns0:v>
      </ns0:c>
      <ns0:c r="AP46" t="n">
        <ns0:f>IF($A46="",0,COUNTIFS($J$7:$J$406,$A46,$O$7:$O$406,"&lt;="&amp;AP$6,$P$7:$P$406,"&gt;="&amp;AP$6,$R$7:$R$406,"No"))</ns0:f>
        <ns0:v>0</ns0:v>
      </ns0:c>
      <ns0:c r="AQ46" t="n">
        <ns0:f>IF($A46="",0,COUNTIFS($J$7:$J$406,$A46,$O$7:$O$406,"&lt;="&amp;AQ$6,$P$7:$P$406,"&gt;="&amp;AQ$6,$R$7:$R$406,"No"))</ns0:f>
        <ns0:v>0</ns0:v>
      </ns0:c>
      <ns0:c r="AR46" t="n">
        <ns0:f>IF($A46="",0,COUNTIFS($J$7:$J$406,$A46,$O$7:$O$406,"&lt;="&amp;AR$6,$P$7:$P$406,"&gt;="&amp;AR$6,$R$7:$R$406,"No"))</ns0:f>
        <ns0:v>0</ns0:v>
      </ns0:c>
      <ns0:c r="AS46" t="n">
        <ns0:f>IF($A46="",0,COUNTIFS($J$7:$J$406,$A46,$O$7:$O$406,"&lt;="&amp;AS$6,$P$7:$P$406,"&gt;="&amp;AS$6,$R$7:$R$406,"No"))</ns0:f>
        <ns0:v>0</ns0:v>
      </ns0:c>
      <ns0:c r="AT46" t="n">
        <ns0:f>IF($A46="",0,COUNTIFS($J$7:$J$406,$A46,$O$7:$O$406,"&lt;="&amp;AT$6,$P$7:$P$406,"&gt;="&amp;AT$6,$R$7:$R$406,"No"))</ns0:f>
        <ns0:v>0</ns0:v>
      </ns0:c>
      <ns0:c r="AU46" t="n">
        <ns0:f>IF($A46="",0,COUNTIFS($J$7:$J$406,$A46,$O$7:$O$406,"&lt;="&amp;AU$6,$P$7:$P$406,"&gt;="&amp;AU$6,$R$7:$R$406,"No"))</ns0:f>
        <ns0:v>0</ns0:v>
      </ns0:c>
      <ns0:c r="AV46" t="n">
        <ns0:f>IF($A46="",0,COUNTIFS($J$7:$J$406,$A46,$O$7:$O$406,"&lt;="&amp;AV$6,$P$7:$P$406,"&gt;="&amp;AV$6,$R$7:$R$406,"No"))</ns0:f>
        <ns0:v>0</ns0:v>
      </ns0:c>
      <ns0:c r="AW46" t="n">
        <ns0:f>IF($A46="",0,COUNTIFS($J$7:$J$406,$A46,$O$7:$O$406,"&lt;="&amp;AW$6,$P$7:$P$406,"&gt;="&amp;AW$6,$R$7:$R$406,"No"))</ns0:f>
        <ns0:v>0</ns0:v>
      </ns0:c>
      <ns0:c r="AX46" t="n">
        <ns0:f>IF($A46="",0,COUNTIFS($J$7:$J$406,$A46,$O$7:$O$406,"&lt;="&amp;AX$6,$P$7:$P$406,"&gt;="&amp;AX$6,$R$7:$R$406,"No"))</ns0:f>
        <ns0:v>0</ns0:v>
      </ns0:c>
      <ns0:c r="AY46" t="n">
        <ns0:f>IF($A46="",0,COUNTIFS($J$7:$J$406,$A46,$O$7:$O$406,"&lt;="&amp;AY$6,$P$7:$P$406,"&gt;="&amp;AY$6,$R$7:$R$406,"No"))</ns0:f>
        <ns0:v>0</ns0:v>
      </ns0:c>
      <ns0:c r="AZ46" t="n">
        <ns0:f>IF($A46="",0,COUNTIFS($J$7:$J$406,$A46,$O$7:$O$406,"&lt;="&amp;AZ$6,$P$7:$P$406,"&gt;="&amp;AZ$6,$R$7:$R$406,"No"))</ns0:f>
        <ns0:v>0</ns0:v>
      </ns0:c>
      <ns0:c r="BA46" t="n">
        <ns0:f>IF($A46="",0,COUNTIFS($J$7:$J$406,$A46,$O$7:$O$406,"&lt;="&amp;BA$6,$P$7:$P$406,"&gt;="&amp;BA$6,$R$7:$R$406,"No"))</ns0:f>
        <ns0:v>0</ns0:v>
      </ns0:c>
      <ns0:c r="BB46" t="n">
        <ns0:f>IF($A46="",0,COUNTIFS($J$7:$J$406,$A46,$O$7:$O$406,"&lt;="&amp;BB$6,$P$7:$P$406,"&gt;="&amp;BB$6,$R$7:$R$406,"No"))</ns0:f>
        <ns0:v>0</ns0:v>
      </ns0:c>
      <ns0:c r="BC46" t="n">
        <ns0:f>IF($A46="",0,COUNTIFS($J$7:$J$406,$A46,$O$7:$O$406,"&lt;="&amp;BC$6,$P$7:$P$406,"&gt;="&amp;BC$6,$R$7:$R$406,"No"))</ns0:f>
        <ns0:v>0</ns0:v>
      </ns0:c>
    </ns0:row>
    <ns0:row r="47" ht="48" customHeight="1">
      <ns0:c r="A47" s="8" t="str">
        <ns0:f>IF(ROW()-6&gt;MAX($K$7:$K$406),"",INDEX($J$7:$J$406,MATCH(ROW()-6,$K$7:$K$406,0)))</ns0:f>
      </ns0:c>
      <ns0:c r="B47" s="8" t="str">
        <ns0:f>IF(A47="","",COUNTIFS($J$7:$J$406,$A47))</ns0:f>
      </ns0:c>
      <ns0:c r="C47" s="8" t="str">
        <ns0:f>IF(A47="","",COUNTIFS($J$7:$J$406,$A47,$N$7:$N$406,1))</ns0:f>
      </ns0:c>
      <ns0:c r="D47" s="8" t="str">
        <ns0:f>IF(A47="","",COUNTIFS($J$7:$J$406,$A47,$Q$7:$Q$406,"In Progress"))</ns0:f>
      </ns0:c>
      <ns0:c r="E47" s="8" t="str">
        <ns0:f>IF(A47="","",B47-C47)</ns0:f>
      </ns0:c>
      <ns0:c r="F47" s="19" t="str">
        <ns0:f>IF(A47="","",SUMIFS($N$7:$N$406,$J$7:$J$406,$A47)/B47)</ns0:f>
      </ns0:c>
      <ns0:c r="G47" s="8" t="str">
        <ns0:f>IF(A47="","",COUNTIFS(V47:BC47,"&gt;1"))</ns0:f>
      </ns0:c>
      <ns0:c r="H47" s="8" t="str">
        <ns0:f>IF(A47="","",IF(COUNTIFS($T$7:$T$33,A47)&gt;0,INDEX($U$7:$U$33,MATCH(A47,$T$7:$T$33,0)),"No capacity or responsibility detail supplied."))</ns0:f>
      </ns0:c>
      <ns0:c r="J47" t="str">
        <ns0:f>IF('Project Tracker'!A17="","",TRIM(MID(SUBSTITUTE('Project Tracker'!K17,";",REPT(" ",150)),1,150)))</ns0:f>
        <ns0:v>Agentic RAG Controller</ns0:v>
      </ns0:c>
      <ns0:c r="K47" t="n">
        <ns0:f>IF(J47="","",IF(COUNTIFS($J$7:J47,J47)=1,MAX($K$6:K46)+1,""))</ns0:f>
        <ns0:v>11</ns0:v>
      </ns0:c>
      <ns0:c r="L47" t="n">
        <ns0:f>IF(A47="",0,B47+(107-ROW())/1000)</ns0:f>
        <ns0:v>0</ns0:v>
      </ns0:c>
      <ns0:c r="M47" t="str">
        <ns0:f>IF(J47="","",'Project Tracker'!A17)</ns0:f>
        <ns0:v>T10</ns0:v>
      </ns0:c>
      <ns0:c r="N47" t="n">
        <ns0:f>IF(J47="","",'Project Tracker'!N17)</ns0:f>
        <ns0:v>0</ns0:v>
      </ns0:c>
      <ns0:c r="O47" t="n">
        <ns0:f>IF(J47="","",'Project Tracker'!E17)</ns0:f>
        <ns0:v>46283</ns0:v>
      </ns0:c>
      <ns0:c r="P47" t="n">
        <ns0:f>IF(J47="","",'Project Tracker'!F17)</ns0:f>
        <ns0:v>46283</ns0:v>
      </ns0:c>
      <ns0:c r="Q47" t="str">
        <ns0:f>IF(J47="","",'Project Tracker'!Q17)</ns0:f>
        <ns0:v>Not Started</ns0:v>
      </ns0:c>
      <ns0:c r="R47" t="str">
        <ns0:f>IF(J47="","",'Project Tracker'!J17)</ns0:f>
        <ns0:v>No</ns0:v>
      </ns0:c>
      <ns0:c r="V47" t="n">
        <ns0:f>IF($A47="",0,COUNTIFS($J$7:$J$406,$A47,$O$7:$O$406,"&lt;="&amp;V$6,$P$7:$P$406,"&gt;="&amp;V$6,$R$7:$R$406,"No"))</ns0:f>
        <ns0:v>0</ns0:v>
      </ns0:c>
      <ns0:c r="W47" t="n">
        <ns0:f>IF($A47="",0,COUNTIFS($J$7:$J$406,$A47,$O$7:$O$406,"&lt;="&amp;W$6,$P$7:$P$406,"&gt;="&amp;W$6,$R$7:$R$406,"No"))</ns0:f>
        <ns0:v>0</ns0:v>
      </ns0:c>
      <ns0:c r="X47" t="n">
        <ns0:f>IF($A47="",0,COUNTIFS($J$7:$J$406,$A47,$O$7:$O$406,"&lt;="&amp;X$6,$P$7:$P$406,"&gt;="&amp;X$6,$R$7:$R$406,"No"))</ns0:f>
        <ns0:v>0</ns0:v>
      </ns0:c>
      <ns0:c r="Y47" t="n">
        <ns0:f>IF($A47="",0,COUNTIFS($J$7:$J$406,$A47,$O$7:$O$406,"&lt;="&amp;Y$6,$P$7:$P$406,"&gt;="&amp;Y$6,$R$7:$R$406,"No"))</ns0:f>
        <ns0:v>0</ns0:v>
      </ns0:c>
      <ns0:c r="Z47" t="n">
        <ns0:f>IF($A47="",0,COUNTIFS($J$7:$J$406,$A47,$O$7:$O$406,"&lt;="&amp;Z$6,$P$7:$P$406,"&gt;="&amp;Z$6,$R$7:$R$406,"No"))</ns0:f>
        <ns0:v>0</ns0:v>
      </ns0:c>
      <ns0:c r="AA47" t="n">
        <ns0:f>IF($A47="",0,COUNTIFS($J$7:$J$406,$A47,$O$7:$O$406,"&lt;="&amp;AA$6,$P$7:$P$406,"&gt;="&amp;AA$6,$R$7:$R$406,"No"))</ns0:f>
        <ns0:v>0</ns0:v>
      </ns0:c>
      <ns0:c r="AB47" t="n">
        <ns0:f>IF($A47="",0,COUNTIFS($J$7:$J$406,$A47,$O$7:$O$406,"&lt;="&amp;AB$6,$P$7:$P$406,"&gt;="&amp;AB$6,$R$7:$R$406,"No"))</ns0:f>
        <ns0:v>0</ns0:v>
      </ns0:c>
      <ns0:c r="AC47" t="n">
        <ns0:f>IF($A47="",0,COUNTIFS($J$7:$J$406,$A47,$O$7:$O$406,"&lt;="&amp;AC$6,$P$7:$P$406,"&gt;="&amp;AC$6,$R$7:$R$406,"No"))</ns0:f>
        <ns0:v>0</ns0:v>
      </ns0:c>
      <ns0:c r="AD47" t="n">
        <ns0:f>IF($A47="",0,COUNTIFS($J$7:$J$406,$A47,$O$7:$O$406,"&lt;="&amp;AD$6,$P$7:$P$406,"&gt;="&amp;AD$6,$R$7:$R$406,"No"))</ns0:f>
        <ns0:v>0</ns0:v>
      </ns0:c>
      <ns0:c r="AE47" t="n">
        <ns0:f>IF($A47="",0,COUNTIFS($J$7:$J$406,$A47,$O$7:$O$406,"&lt;="&amp;AE$6,$P$7:$P$406,"&gt;="&amp;AE$6,$R$7:$R$406,"No"))</ns0:f>
        <ns0:v>0</ns0:v>
      </ns0:c>
      <ns0:c r="AF47" t="n">
        <ns0:f>IF($A47="",0,COUNTIFS($J$7:$J$406,$A47,$O$7:$O$406,"&lt;="&amp;AF$6,$P$7:$P$406,"&gt;="&amp;AF$6,$R$7:$R$406,"No"))</ns0:f>
        <ns0:v>0</ns0:v>
      </ns0:c>
      <ns0:c r="AG47" t="n">
        <ns0:f>IF($A47="",0,COUNTIFS($J$7:$J$406,$A47,$O$7:$O$406,"&lt;="&amp;AG$6,$P$7:$P$406,"&gt;="&amp;AG$6,$R$7:$R$406,"No"))</ns0:f>
        <ns0:v>0</ns0:v>
      </ns0:c>
      <ns0:c r="AH47" t="n">
        <ns0:f>IF($A47="",0,COUNTIFS($J$7:$J$406,$A47,$O$7:$O$406,"&lt;="&amp;AH$6,$P$7:$P$406,"&gt;="&amp;AH$6,$R$7:$R$406,"No"))</ns0:f>
        <ns0:v>0</ns0:v>
      </ns0:c>
      <ns0:c r="AI47" t="n">
        <ns0:f>IF($A47="",0,COUNTIFS($J$7:$J$406,$A47,$O$7:$O$406,"&lt;="&amp;AI$6,$P$7:$P$406,"&gt;="&amp;AI$6,$R$7:$R$406,"No"))</ns0:f>
        <ns0:v>0</ns0:v>
      </ns0:c>
      <ns0:c r="AJ47" t="n">
        <ns0:f>IF($A47="",0,COUNTIFS($J$7:$J$406,$A47,$O$7:$O$406,"&lt;="&amp;AJ$6,$P$7:$P$406,"&gt;="&amp;AJ$6,$R$7:$R$406,"No"))</ns0:f>
        <ns0:v>0</ns0:v>
      </ns0:c>
      <ns0:c r="AK47" t="n">
        <ns0:f>IF($A47="",0,COUNTIFS($J$7:$J$406,$A47,$O$7:$O$406,"&lt;="&amp;AK$6,$P$7:$P$406,"&gt;="&amp;AK$6,$R$7:$R$406,"No"))</ns0:f>
        <ns0:v>0</ns0:v>
      </ns0:c>
      <ns0:c r="AL47" t="n">
        <ns0:f>IF($A47="",0,COUNTIFS($J$7:$J$406,$A47,$O$7:$O$406,"&lt;="&amp;AL$6,$P$7:$P$406,"&gt;="&amp;AL$6,$R$7:$R$406,"No"))</ns0:f>
        <ns0:v>0</ns0:v>
      </ns0:c>
      <ns0:c r="AM47" t="n">
        <ns0:f>IF($A47="",0,COUNTIFS($J$7:$J$406,$A47,$O$7:$O$406,"&lt;="&amp;AM$6,$P$7:$P$406,"&gt;="&amp;AM$6,$R$7:$R$406,"No"))</ns0:f>
        <ns0:v>0</ns0:v>
      </ns0:c>
      <ns0:c r="AN47" t="n">
        <ns0:f>IF($A47="",0,COUNTIFS($J$7:$J$406,$A47,$O$7:$O$406,"&lt;="&amp;AN$6,$P$7:$P$406,"&gt;="&amp;AN$6,$R$7:$R$406,"No"))</ns0:f>
        <ns0:v>0</ns0:v>
      </ns0:c>
      <ns0:c r="AO47" t="n">
        <ns0:f>IF($A47="",0,COUNTIFS($J$7:$J$406,$A47,$O$7:$O$406,"&lt;="&amp;AO$6,$P$7:$P$406,"&gt;="&amp;AO$6,$R$7:$R$406,"No"))</ns0:f>
        <ns0:v>0</ns0:v>
      </ns0:c>
      <ns0:c r="AP47" t="n">
        <ns0:f>IF($A47="",0,COUNTIFS($J$7:$J$406,$A47,$O$7:$O$406,"&lt;="&amp;AP$6,$P$7:$P$406,"&gt;="&amp;AP$6,$R$7:$R$406,"No"))</ns0:f>
        <ns0:v>0</ns0:v>
      </ns0:c>
      <ns0:c r="AQ47" t="n">
        <ns0:f>IF($A47="",0,COUNTIFS($J$7:$J$406,$A47,$O$7:$O$406,"&lt;="&amp;AQ$6,$P$7:$P$406,"&gt;="&amp;AQ$6,$R$7:$R$406,"No"))</ns0:f>
        <ns0:v>0</ns0:v>
      </ns0:c>
      <ns0:c r="AR47" t="n">
        <ns0:f>IF($A47="",0,COUNTIFS($J$7:$J$406,$A47,$O$7:$O$406,"&lt;="&amp;AR$6,$P$7:$P$406,"&gt;="&amp;AR$6,$R$7:$R$406,"No"))</ns0:f>
        <ns0:v>0</ns0:v>
      </ns0:c>
      <ns0:c r="AS47" t="n">
        <ns0:f>IF($A47="",0,COUNTIFS($J$7:$J$406,$A47,$O$7:$O$406,"&lt;="&amp;AS$6,$P$7:$P$406,"&gt;="&amp;AS$6,$R$7:$R$406,"No"))</ns0:f>
        <ns0:v>0</ns0:v>
      </ns0:c>
      <ns0:c r="AT47" t="n">
        <ns0:f>IF($A47="",0,COUNTIFS($J$7:$J$406,$A47,$O$7:$O$406,"&lt;="&amp;AT$6,$P$7:$P$406,"&gt;="&amp;AT$6,$R$7:$R$406,"No"))</ns0:f>
        <ns0:v>0</ns0:v>
      </ns0:c>
      <ns0:c r="AU47" t="n">
        <ns0:f>IF($A47="",0,COUNTIFS($J$7:$J$406,$A47,$O$7:$O$406,"&lt;="&amp;AU$6,$P$7:$P$406,"&gt;="&amp;AU$6,$R$7:$R$406,"No"))</ns0:f>
        <ns0:v>0</ns0:v>
      </ns0:c>
      <ns0:c r="AV47" t="n">
        <ns0:f>IF($A47="",0,COUNTIFS($J$7:$J$406,$A47,$O$7:$O$406,"&lt;="&amp;AV$6,$P$7:$P$406,"&gt;="&amp;AV$6,$R$7:$R$406,"No"))</ns0:f>
        <ns0:v>0</ns0:v>
      </ns0:c>
      <ns0:c r="AW47" t="n">
        <ns0:f>IF($A47="",0,COUNTIFS($J$7:$J$406,$A47,$O$7:$O$406,"&lt;="&amp;AW$6,$P$7:$P$406,"&gt;="&amp;AW$6,$R$7:$R$406,"No"))</ns0:f>
        <ns0:v>0</ns0:v>
      </ns0:c>
      <ns0:c r="AX47" t="n">
        <ns0:f>IF($A47="",0,COUNTIFS($J$7:$J$406,$A47,$O$7:$O$406,"&lt;="&amp;AX$6,$P$7:$P$406,"&gt;="&amp;AX$6,$R$7:$R$406,"No"))</ns0:f>
        <ns0:v>0</ns0:v>
      </ns0:c>
      <ns0:c r="AY47" t="n">
        <ns0:f>IF($A47="",0,COUNTIFS($J$7:$J$406,$A47,$O$7:$O$406,"&lt;="&amp;AY$6,$P$7:$P$406,"&gt;="&amp;AY$6,$R$7:$R$406,"No"))</ns0:f>
        <ns0:v>0</ns0:v>
      </ns0:c>
      <ns0:c r="AZ47" t="n">
        <ns0:f>IF($A47="",0,COUNTIFS($J$7:$J$406,$A47,$O$7:$O$406,"&lt;="&amp;AZ$6,$P$7:$P$406,"&gt;="&amp;AZ$6,$R$7:$R$406,"No"))</ns0:f>
        <ns0:v>0</ns0:v>
      </ns0:c>
      <ns0:c r="BA47" t="n">
        <ns0:f>IF($A47="",0,COUNTIFS($J$7:$J$406,$A47,$O$7:$O$406,"&lt;="&amp;BA$6,$P$7:$P$406,"&gt;="&amp;BA$6,$R$7:$R$406,"No"))</ns0:f>
        <ns0:v>0</ns0:v>
      </ns0:c>
      <ns0:c r="BB47" t="n">
        <ns0:f>IF($A47="",0,COUNTIFS($J$7:$J$406,$A47,$O$7:$O$406,"&lt;="&amp;BB$6,$P$7:$P$406,"&gt;="&amp;BB$6,$R$7:$R$406,"No"))</ns0:f>
        <ns0:v>0</ns0:v>
      </ns0:c>
      <ns0:c r="BC47" t="n">
        <ns0:f>IF($A47="",0,COUNTIFS($J$7:$J$406,$A47,$O$7:$O$406,"&lt;="&amp;BC$6,$P$7:$P$406,"&gt;="&amp;BC$6,$R$7:$R$406,"No"))</ns0:f>
        <ns0:v>0</ns0:v>
      </ns0:c>
    </ns0:row>
    <ns0:row r="48" ht="48" customHeight="1">
      <ns0:c r="A48" s="8" t="str">
        <ns0:f>IF(ROW()-6&gt;MAX($K$7:$K$406),"",INDEX($J$7:$J$406,MATCH(ROW()-6,$K$7:$K$406,0)))</ns0:f>
      </ns0:c>
      <ns0:c r="B48" s="8" t="str">
        <ns0:f>IF(A48="","",COUNTIFS($J$7:$J$406,$A48))</ns0:f>
      </ns0:c>
      <ns0:c r="C48" s="8" t="str">
        <ns0:f>IF(A48="","",COUNTIFS($J$7:$J$406,$A48,$N$7:$N$406,1))</ns0:f>
      </ns0:c>
      <ns0:c r="D48" s="8" t="str">
        <ns0:f>IF(A48="","",COUNTIFS($J$7:$J$406,$A48,$Q$7:$Q$406,"In Progress"))</ns0:f>
      </ns0:c>
      <ns0:c r="E48" s="8" t="str">
        <ns0:f>IF(A48="","",B48-C48)</ns0:f>
      </ns0:c>
      <ns0:c r="F48" s="19" t="str">
        <ns0:f>IF(A48="","",SUMIFS($N$7:$N$406,$J$7:$J$406,$A48)/B48)</ns0:f>
      </ns0:c>
      <ns0:c r="G48" s="8" t="str">
        <ns0:f>IF(A48="","",COUNTIFS(V48:BC48,"&gt;1"))</ns0:f>
      </ns0:c>
      <ns0:c r="H48" s="8" t="str">
        <ns0:f>IF(A48="","",IF(COUNTIFS($T$7:$T$33,A48)&gt;0,INDEX($U$7:$U$33,MATCH(A48,$T$7:$T$33,0)),"No capacity or responsibility detail supplied."))</ns0:f>
      </ns0:c>
      <ns0:c r="J48" t="str">
        <ns0:f>IF('Project Tracker'!A17="","",TRIM(MID(SUBSTITUTE('Project Tracker'!K17,";",REPT(" ",150)),151,150)))</ns0:f>
      </ns0:c>
      <ns0:c r="K48" t="str">
        <ns0:f>IF(J48="","",IF(COUNTIFS($J$7:J48,J48)=1,MAX($K$6:K47)+1,""))</ns0:f>
      </ns0:c>
      <ns0:c r="L48" t="n">
        <ns0:f>IF(A48="",0,B48+(107-ROW())/1000)</ns0:f>
        <ns0:v>0</ns0:v>
      </ns0:c>
      <ns0:c r="M48" t="str">
        <ns0:f>IF(J48="","",'Project Tracker'!A17)</ns0:f>
      </ns0:c>
      <ns0:c r="N48" t="str">
        <ns0:f>IF(J48="","",'Project Tracker'!N17)</ns0:f>
      </ns0:c>
      <ns0:c r="O48" t="str">
        <ns0:f>IF(J48="","",'Project Tracker'!E17)</ns0:f>
      </ns0:c>
      <ns0:c r="P48" t="str">
        <ns0:f>IF(J48="","",'Project Tracker'!F17)</ns0:f>
      </ns0:c>
      <ns0:c r="Q48" t="str">
        <ns0:f>IF(J48="","",'Project Tracker'!Q17)</ns0:f>
      </ns0:c>
      <ns0:c r="R48" t="str">
        <ns0:f>IF(J48="","",'Project Tracker'!J17)</ns0:f>
      </ns0:c>
      <ns0:c r="V48" t="n">
        <ns0:f>IF($A48="",0,COUNTIFS($J$7:$J$406,$A48,$O$7:$O$406,"&lt;="&amp;V$6,$P$7:$P$406,"&gt;="&amp;V$6,$R$7:$R$406,"No"))</ns0:f>
        <ns0:v>0</ns0:v>
      </ns0:c>
      <ns0:c r="W48" t="n">
        <ns0:f>IF($A48="",0,COUNTIFS($J$7:$J$406,$A48,$O$7:$O$406,"&lt;="&amp;W$6,$P$7:$P$406,"&gt;="&amp;W$6,$R$7:$R$406,"No"))</ns0:f>
        <ns0:v>0</ns0:v>
      </ns0:c>
      <ns0:c r="X48" t="n">
        <ns0:f>IF($A48="",0,COUNTIFS($J$7:$J$406,$A48,$O$7:$O$406,"&lt;="&amp;X$6,$P$7:$P$406,"&gt;="&amp;X$6,$R$7:$R$406,"No"))</ns0:f>
        <ns0:v>0</ns0:v>
      </ns0:c>
      <ns0:c r="Y48" t="n">
        <ns0:f>IF($A48="",0,COUNTIFS($J$7:$J$406,$A48,$O$7:$O$406,"&lt;="&amp;Y$6,$P$7:$P$406,"&gt;="&amp;Y$6,$R$7:$R$406,"No"))</ns0:f>
        <ns0:v>0</ns0:v>
      </ns0:c>
      <ns0:c r="Z48" t="n">
        <ns0:f>IF($A48="",0,COUNTIFS($J$7:$J$406,$A48,$O$7:$O$406,"&lt;="&amp;Z$6,$P$7:$P$406,"&gt;="&amp;Z$6,$R$7:$R$406,"No"))</ns0:f>
        <ns0:v>0</ns0:v>
      </ns0:c>
      <ns0:c r="AA48" t="n">
        <ns0:f>IF($A48="",0,COUNTIFS($J$7:$J$406,$A48,$O$7:$O$406,"&lt;="&amp;AA$6,$P$7:$P$406,"&gt;="&amp;AA$6,$R$7:$R$406,"No"))</ns0:f>
        <ns0:v>0</ns0:v>
      </ns0:c>
      <ns0:c r="AB48" t="n">
        <ns0:f>IF($A48="",0,COUNTIFS($J$7:$J$406,$A48,$O$7:$O$406,"&lt;="&amp;AB$6,$P$7:$P$406,"&gt;="&amp;AB$6,$R$7:$R$406,"No"))</ns0:f>
        <ns0:v>0</ns0:v>
      </ns0:c>
      <ns0:c r="AC48" t="n">
        <ns0:f>IF($A48="",0,COUNTIFS($J$7:$J$406,$A48,$O$7:$O$406,"&lt;="&amp;AC$6,$P$7:$P$406,"&gt;="&amp;AC$6,$R$7:$R$406,"No"))</ns0:f>
        <ns0:v>0</ns0:v>
      </ns0:c>
      <ns0:c r="AD48" t="n">
        <ns0:f>IF($A48="",0,COUNTIFS($J$7:$J$406,$A48,$O$7:$O$406,"&lt;="&amp;AD$6,$P$7:$P$406,"&gt;="&amp;AD$6,$R$7:$R$406,"No"))</ns0:f>
        <ns0:v>0</ns0:v>
      </ns0:c>
      <ns0:c r="AE48" t="n">
        <ns0:f>IF($A48="",0,COUNTIFS($J$7:$J$406,$A48,$O$7:$O$406,"&lt;="&amp;AE$6,$P$7:$P$406,"&gt;="&amp;AE$6,$R$7:$R$406,"No"))</ns0:f>
        <ns0:v>0</ns0:v>
      </ns0:c>
      <ns0:c r="AF48" t="n">
        <ns0:f>IF($A48="",0,COUNTIFS($J$7:$J$406,$A48,$O$7:$O$406,"&lt;="&amp;AF$6,$P$7:$P$406,"&gt;="&amp;AF$6,$R$7:$R$406,"No"))</ns0:f>
        <ns0:v>0</ns0:v>
      </ns0:c>
      <ns0:c r="AG48" t="n">
        <ns0:f>IF($A48="",0,COUNTIFS($J$7:$J$406,$A48,$O$7:$O$406,"&lt;="&amp;AG$6,$P$7:$P$406,"&gt;="&amp;AG$6,$R$7:$R$406,"No"))</ns0:f>
        <ns0:v>0</ns0:v>
      </ns0:c>
      <ns0:c r="AH48" t="n">
        <ns0:f>IF($A48="",0,COUNTIFS($J$7:$J$406,$A48,$O$7:$O$406,"&lt;="&amp;AH$6,$P$7:$P$406,"&gt;="&amp;AH$6,$R$7:$R$406,"No"))</ns0:f>
        <ns0:v>0</ns0:v>
      </ns0:c>
      <ns0:c r="AI48" t="n">
        <ns0:f>IF($A48="",0,COUNTIFS($J$7:$J$406,$A48,$O$7:$O$406,"&lt;="&amp;AI$6,$P$7:$P$406,"&gt;="&amp;AI$6,$R$7:$R$406,"No"))</ns0:f>
        <ns0:v>0</ns0:v>
      </ns0:c>
      <ns0:c r="AJ48" t="n">
        <ns0:f>IF($A48="",0,COUNTIFS($J$7:$J$406,$A48,$O$7:$O$406,"&lt;="&amp;AJ$6,$P$7:$P$406,"&gt;="&amp;AJ$6,$R$7:$R$406,"No"))</ns0:f>
        <ns0:v>0</ns0:v>
      </ns0:c>
      <ns0:c r="AK48" t="n">
        <ns0:f>IF($A48="",0,COUNTIFS($J$7:$J$406,$A48,$O$7:$O$406,"&lt;="&amp;AK$6,$P$7:$P$406,"&gt;="&amp;AK$6,$R$7:$R$406,"No"))</ns0:f>
        <ns0:v>0</ns0:v>
      </ns0:c>
      <ns0:c r="AL48" t="n">
        <ns0:f>IF($A48="",0,COUNTIFS($J$7:$J$406,$A48,$O$7:$O$406,"&lt;="&amp;AL$6,$P$7:$P$406,"&gt;="&amp;AL$6,$R$7:$R$406,"No"))</ns0:f>
        <ns0:v>0</ns0:v>
      </ns0:c>
      <ns0:c r="AM48" t="n">
        <ns0:f>IF($A48="",0,COUNTIFS($J$7:$J$406,$A48,$O$7:$O$406,"&lt;="&amp;AM$6,$P$7:$P$406,"&gt;="&amp;AM$6,$R$7:$R$406,"No"))</ns0:f>
        <ns0:v>0</ns0:v>
      </ns0:c>
      <ns0:c r="AN48" t="n">
        <ns0:f>IF($A48="",0,COUNTIFS($J$7:$J$406,$A48,$O$7:$O$406,"&lt;="&amp;AN$6,$P$7:$P$406,"&gt;="&amp;AN$6,$R$7:$R$406,"No"))</ns0:f>
        <ns0:v>0</ns0:v>
      </ns0:c>
      <ns0:c r="AO48" t="n">
        <ns0:f>IF($A48="",0,COUNTIFS($J$7:$J$406,$A48,$O$7:$O$406,"&lt;="&amp;AO$6,$P$7:$P$406,"&gt;="&amp;AO$6,$R$7:$R$406,"No"))</ns0:f>
        <ns0:v>0</ns0:v>
      </ns0:c>
      <ns0:c r="AP48" t="n">
        <ns0:f>IF($A48="",0,COUNTIFS($J$7:$J$406,$A48,$O$7:$O$406,"&lt;="&amp;AP$6,$P$7:$P$406,"&gt;="&amp;AP$6,$R$7:$R$406,"No"))</ns0:f>
        <ns0:v>0</ns0:v>
      </ns0:c>
      <ns0:c r="AQ48" t="n">
        <ns0:f>IF($A48="",0,COUNTIFS($J$7:$J$406,$A48,$O$7:$O$406,"&lt;="&amp;AQ$6,$P$7:$P$406,"&gt;="&amp;AQ$6,$R$7:$R$406,"No"))</ns0:f>
        <ns0:v>0</ns0:v>
      </ns0:c>
      <ns0:c r="AR48" t="n">
        <ns0:f>IF($A48="",0,COUNTIFS($J$7:$J$406,$A48,$O$7:$O$406,"&lt;="&amp;AR$6,$P$7:$P$406,"&gt;="&amp;AR$6,$R$7:$R$406,"No"))</ns0:f>
        <ns0:v>0</ns0:v>
      </ns0:c>
      <ns0:c r="AS48" t="n">
        <ns0:f>IF($A48="",0,COUNTIFS($J$7:$J$406,$A48,$O$7:$O$406,"&lt;="&amp;AS$6,$P$7:$P$406,"&gt;="&amp;AS$6,$R$7:$R$406,"No"))</ns0:f>
        <ns0:v>0</ns0:v>
      </ns0:c>
      <ns0:c r="AT48" t="n">
        <ns0:f>IF($A48="",0,COUNTIFS($J$7:$J$406,$A48,$O$7:$O$406,"&lt;="&amp;AT$6,$P$7:$P$406,"&gt;="&amp;AT$6,$R$7:$R$406,"No"))</ns0:f>
        <ns0:v>0</ns0:v>
      </ns0:c>
      <ns0:c r="AU48" t="n">
        <ns0:f>IF($A48="",0,COUNTIFS($J$7:$J$406,$A48,$O$7:$O$406,"&lt;="&amp;AU$6,$P$7:$P$406,"&gt;="&amp;AU$6,$R$7:$R$406,"No"))</ns0:f>
        <ns0:v>0</ns0:v>
      </ns0:c>
      <ns0:c r="AV48" t="n">
        <ns0:f>IF($A48="",0,COUNTIFS($J$7:$J$406,$A48,$O$7:$O$406,"&lt;="&amp;AV$6,$P$7:$P$406,"&gt;="&amp;AV$6,$R$7:$R$406,"No"))</ns0:f>
        <ns0:v>0</ns0:v>
      </ns0:c>
      <ns0:c r="AW48" t="n">
        <ns0:f>IF($A48="",0,COUNTIFS($J$7:$J$406,$A48,$O$7:$O$406,"&lt;="&amp;AW$6,$P$7:$P$406,"&gt;="&amp;AW$6,$R$7:$R$406,"No"))</ns0:f>
        <ns0:v>0</ns0:v>
      </ns0:c>
      <ns0:c r="AX48" t="n">
        <ns0:f>IF($A48="",0,COUNTIFS($J$7:$J$406,$A48,$O$7:$O$406,"&lt;="&amp;AX$6,$P$7:$P$406,"&gt;="&amp;AX$6,$R$7:$R$406,"No"))</ns0:f>
        <ns0:v>0</ns0:v>
      </ns0:c>
      <ns0:c r="AY48" t="n">
        <ns0:f>IF($A48="",0,COUNTIFS($J$7:$J$406,$A48,$O$7:$O$406,"&lt;="&amp;AY$6,$P$7:$P$406,"&gt;="&amp;AY$6,$R$7:$R$406,"No"))</ns0:f>
        <ns0:v>0</ns0:v>
      </ns0:c>
      <ns0:c r="AZ48" t="n">
        <ns0:f>IF($A48="",0,COUNTIFS($J$7:$J$406,$A48,$O$7:$O$406,"&lt;="&amp;AZ$6,$P$7:$P$406,"&gt;="&amp;AZ$6,$R$7:$R$406,"No"))</ns0:f>
        <ns0:v>0</ns0:v>
      </ns0:c>
      <ns0:c r="BA48" t="n">
        <ns0:f>IF($A48="",0,COUNTIFS($J$7:$J$406,$A48,$O$7:$O$406,"&lt;="&amp;BA$6,$P$7:$P$406,"&gt;="&amp;BA$6,$R$7:$R$406,"No"))</ns0:f>
        <ns0:v>0</ns0:v>
      </ns0:c>
      <ns0:c r="BB48" t="n">
        <ns0:f>IF($A48="",0,COUNTIFS($J$7:$J$406,$A48,$O$7:$O$406,"&lt;="&amp;BB$6,$P$7:$P$406,"&gt;="&amp;BB$6,$R$7:$R$406,"No"))</ns0:f>
        <ns0:v>0</ns0:v>
      </ns0:c>
      <ns0:c r="BC48" t="n">
        <ns0:f>IF($A48="",0,COUNTIFS($J$7:$J$406,$A48,$O$7:$O$406,"&lt;="&amp;BC$6,$P$7:$P$406,"&gt;="&amp;BC$6,$R$7:$R$406,"No"))</ns0:f>
        <ns0:v>0</ns0:v>
      </ns0:c>
    </ns0:row>
    <ns0:row r="49" ht="48" customHeight="1">
      <ns0:c r="A49" s="8" t="str">
        <ns0:f>IF(ROW()-6&gt;MAX($K$7:$K$406),"",INDEX($J$7:$J$406,MATCH(ROW()-6,$K$7:$K$406,0)))</ns0:f>
      </ns0:c>
      <ns0:c r="B49" s="8" t="str">
        <ns0:f>IF(A49="","",COUNTIFS($J$7:$J$406,$A49))</ns0:f>
      </ns0:c>
      <ns0:c r="C49" s="8" t="str">
        <ns0:f>IF(A49="","",COUNTIFS($J$7:$J$406,$A49,$N$7:$N$406,1))</ns0:f>
      </ns0:c>
      <ns0:c r="D49" s="8" t="str">
        <ns0:f>IF(A49="","",COUNTIFS($J$7:$J$406,$A49,$Q$7:$Q$406,"In Progress"))</ns0:f>
      </ns0:c>
      <ns0:c r="E49" s="8" t="str">
        <ns0:f>IF(A49="","",B49-C49)</ns0:f>
      </ns0:c>
      <ns0:c r="F49" s="19" t="str">
        <ns0:f>IF(A49="","",SUMIFS($N$7:$N$406,$J$7:$J$406,$A49)/B49)</ns0:f>
      </ns0:c>
      <ns0:c r="G49" s="8" t="str">
        <ns0:f>IF(A49="","",COUNTIFS(V49:BC49,"&gt;1"))</ns0:f>
      </ns0:c>
      <ns0:c r="H49" s="8" t="str">
        <ns0:f>IF(A49="","",IF(COUNTIFS($T$7:$T$33,A49)&gt;0,INDEX($U$7:$U$33,MATCH(A49,$T$7:$T$33,0)),"No capacity or responsibility detail supplied."))</ns0:f>
      </ns0:c>
      <ns0:c r="J49" t="str">
        <ns0:f>IF('Project Tracker'!A17="","",TRIM(MID(SUBSTITUTE('Project Tracker'!K17,";",REPT(" ",150)),301,150)))</ns0:f>
      </ns0:c>
      <ns0:c r="K49" t="str">
        <ns0:f>IF(J49="","",IF(COUNTIFS($J$7:J49,J49)=1,MAX($K$6:K48)+1,""))</ns0:f>
      </ns0:c>
      <ns0:c r="L49" t="n">
        <ns0:f>IF(A49="",0,B49+(107-ROW())/1000)</ns0:f>
        <ns0:v>0</ns0:v>
      </ns0:c>
      <ns0:c r="M49" t="str">
        <ns0:f>IF(J49="","",'Project Tracker'!A17)</ns0:f>
      </ns0:c>
      <ns0:c r="N49" t="str">
        <ns0:f>IF(J49="","",'Project Tracker'!N17)</ns0:f>
      </ns0:c>
      <ns0:c r="O49" t="str">
        <ns0:f>IF(J49="","",'Project Tracker'!E17)</ns0:f>
      </ns0:c>
      <ns0:c r="P49" t="str">
        <ns0:f>IF(J49="","",'Project Tracker'!F17)</ns0:f>
      </ns0:c>
      <ns0:c r="Q49" t="str">
        <ns0:f>IF(J49="","",'Project Tracker'!Q17)</ns0:f>
      </ns0:c>
      <ns0:c r="R49" t="str">
        <ns0:f>IF(J49="","",'Project Tracker'!J17)</ns0:f>
      </ns0:c>
      <ns0:c r="V49" t="n">
        <ns0:f>IF($A49="",0,COUNTIFS($J$7:$J$406,$A49,$O$7:$O$406,"&lt;="&amp;V$6,$P$7:$P$406,"&gt;="&amp;V$6,$R$7:$R$406,"No"))</ns0:f>
        <ns0:v>0</ns0:v>
      </ns0:c>
      <ns0:c r="W49" t="n">
        <ns0:f>IF($A49="",0,COUNTIFS($J$7:$J$406,$A49,$O$7:$O$406,"&lt;="&amp;W$6,$P$7:$P$406,"&gt;="&amp;W$6,$R$7:$R$406,"No"))</ns0:f>
        <ns0:v>0</ns0:v>
      </ns0:c>
      <ns0:c r="X49" t="n">
        <ns0:f>IF($A49="",0,COUNTIFS($J$7:$J$406,$A49,$O$7:$O$406,"&lt;="&amp;X$6,$P$7:$P$406,"&gt;="&amp;X$6,$R$7:$R$406,"No"))</ns0:f>
        <ns0:v>0</ns0:v>
      </ns0:c>
      <ns0:c r="Y49" t="n">
        <ns0:f>IF($A49="",0,COUNTIFS($J$7:$J$406,$A49,$O$7:$O$406,"&lt;="&amp;Y$6,$P$7:$P$406,"&gt;="&amp;Y$6,$R$7:$R$406,"No"))</ns0:f>
        <ns0:v>0</ns0:v>
      </ns0:c>
      <ns0:c r="Z49" t="n">
        <ns0:f>IF($A49="",0,COUNTIFS($J$7:$J$406,$A49,$O$7:$O$406,"&lt;="&amp;Z$6,$P$7:$P$406,"&gt;="&amp;Z$6,$R$7:$R$406,"No"))</ns0:f>
        <ns0:v>0</ns0:v>
      </ns0:c>
      <ns0:c r="AA49" t="n">
        <ns0:f>IF($A49="",0,COUNTIFS($J$7:$J$406,$A49,$O$7:$O$406,"&lt;="&amp;AA$6,$P$7:$P$406,"&gt;="&amp;AA$6,$R$7:$R$406,"No"))</ns0:f>
        <ns0:v>0</ns0:v>
      </ns0:c>
      <ns0:c r="AB49" t="n">
        <ns0:f>IF($A49="",0,COUNTIFS($J$7:$J$406,$A49,$O$7:$O$406,"&lt;="&amp;AB$6,$P$7:$P$406,"&gt;="&amp;AB$6,$R$7:$R$406,"No"))</ns0:f>
        <ns0:v>0</ns0:v>
      </ns0:c>
      <ns0:c r="AC49" t="n">
        <ns0:f>IF($A49="",0,COUNTIFS($J$7:$J$406,$A49,$O$7:$O$406,"&lt;="&amp;AC$6,$P$7:$P$406,"&gt;="&amp;AC$6,$R$7:$R$406,"No"))</ns0:f>
        <ns0:v>0</ns0:v>
      </ns0:c>
      <ns0:c r="AD49" t="n">
        <ns0:f>IF($A49="",0,COUNTIFS($J$7:$J$406,$A49,$O$7:$O$406,"&lt;="&amp;AD$6,$P$7:$P$406,"&gt;="&amp;AD$6,$R$7:$R$406,"No"))</ns0:f>
        <ns0:v>0</ns0:v>
      </ns0:c>
      <ns0:c r="AE49" t="n">
        <ns0:f>IF($A49="",0,COUNTIFS($J$7:$J$406,$A49,$O$7:$O$406,"&lt;="&amp;AE$6,$P$7:$P$406,"&gt;="&amp;AE$6,$R$7:$R$406,"No"))</ns0:f>
        <ns0:v>0</ns0:v>
      </ns0:c>
      <ns0:c r="AF49" t="n">
        <ns0:f>IF($A49="",0,COUNTIFS($J$7:$J$406,$A49,$O$7:$O$406,"&lt;="&amp;AF$6,$P$7:$P$406,"&gt;="&amp;AF$6,$R$7:$R$406,"No"))</ns0:f>
        <ns0:v>0</ns0:v>
      </ns0:c>
      <ns0:c r="AG49" t="n">
        <ns0:f>IF($A49="",0,COUNTIFS($J$7:$J$406,$A49,$O$7:$O$406,"&lt;="&amp;AG$6,$P$7:$P$406,"&gt;="&amp;AG$6,$R$7:$R$406,"No"))</ns0:f>
        <ns0:v>0</ns0:v>
      </ns0:c>
      <ns0:c r="AH49" t="n">
        <ns0:f>IF($A49="",0,COUNTIFS($J$7:$J$406,$A49,$O$7:$O$406,"&lt;="&amp;AH$6,$P$7:$P$406,"&gt;="&amp;AH$6,$R$7:$R$406,"No"))</ns0:f>
        <ns0:v>0</ns0:v>
      </ns0:c>
      <ns0:c r="AI49" t="n">
        <ns0:f>IF($A49="",0,COUNTIFS($J$7:$J$406,$A49,$O$7:$O$406,"&lt;="&amp;AI$6,$P$7:$P$406,"&gt;="&amp;AI$6,$R$7:$R$406,"No"))</ns0:f>
        <ns0:v>0</ns0:v>
      </ns0:c>
      <ns0:c r="AJ49" t="n">
        <ns0:f>IF($A49="",0,COUNTIFS($J$7:$J$406,$A49,$O$7:$O$406,"&lt;="&amp;AJ$6,$P$7:$P$406,"&gt;="&amp;AJ$6,$R$7:$R$406,"No"))</ns0:f>
        <ns0:v>0</ns0:v>
      </ns0:c>
      <ns0:c r="AK49" t="n">
        <ns0:f>IF($A49="",0,COUNTIFS($J$7:$J$406,$A49,$O$7:$O$406,"&lt;="&amp;AK$6,$P$7:$P$406,"&gt;="&amp;AK$6,$R$7:$R$406,"No"))</ns0:f>
        <ns0:v>0</ns0:v>
      </ns0:c>
      <ns0:c r="AL49" t="n">
        <ns0:f>IF($A49="",0,COUNTIFS($J$7:$J$406,$A49,$O$7:$O$406,"&lt;="&amp;AL$6,$P$7:$P$406,"&gt;="&amp;AL$6,$R$7:$R$406,"No"))</ns0:f>
        <ns0:v>0</ns0:v>
      </ns0:c>
      <ns0:c r="AM49" t="n">
        <ns0:f>IF($A49="",0,COUNTIFS($J$7:$J$406,$A49,$O$7:$O$406,"&lt;="&amp;AM$6,$P$7:$P$406,"&gt;="&amp;AM$6,$R$7:$R$406,"No"))</ns0:f>
        <ns0:v>0</ns0:v>
      </ns0:c>
      <ns0:c r="AN49" t="n">
        <ns0:f>IF($A49="",0,COUNTIFS($J$7:$J$406,$A49,$O$7:$O$406,"&lt;="&amp;AN$6,$P$7:$P$406,"&gt;="&amp;AN$6,$R$7:$R$406,"No"))</ns0:f>
        <ns0:v>0</ns0:v>
      </ns0:c>
      <ns0:c r="AO49" t="n">
        <ns0:f>IF($A49="",0,COUNTIFS($J$7:$J$406,$A49,$O$7:$O$406,"&lt;="&amp;AO$6,$P$7:$P$406,"&gt;="&amp;AO$6,$R$7:$R$406,"No"))</ns0:f>
        <ns0:v>0</ns0:v>
      </ns0:c>
      <ns0:c r="AP49" t="n">
        <ns0:f>IF($A49="",0,COUNTIFS($J$7:$J$406,$A49,$O$7:$O$406,"&lt;="&amp;AP$6,$P$7:$P$406,"&gt;="&amp;AP$6,$R$7:$R$406,"No"))</ns0:f>
        <ns0:v>0</ns0:v>
      </ns0:c>
      <ns0:c r="AQ49" t="n">
        <ns0:f>IF($A49="",0,COUNTIFS($J$7:$J$406,$A49,$O$7:$O$406,"&lt;="&amp;AQ$6,$P$7:$P$406,"&gt;="&amp;AQ$6,$R$7:$R$406,"No"))</ns0:f>
        <ns0:v>0</ns0:v>
      </ns0:c>
      <ns0:c r="AR49" t="n">
        <ns0:f>IF($A49="",0,COUNTIFS($J$7:$J$406,$A49,$O$7:$O$406,"&lt;="&amp;AR$6,$P$7:$P$406,"&gt;="&amp;AR$6,$R$7:$R$406,"No"))</ns0:f>
        <ns0:v>0</ns0:v>
      </ns0:c>
      <ns0:c r="AS49" t="n">
        <ns0:f>IF($A49="",0,COUNTIFS($J$7:$J$406,$A49,$O$7:$O$406,"&lt;="&amp;AS$6,$P$7:$P$406,"&gt;="&amp;AS$6,$R$7:$R$406,"No"))</ns0:f>
        <ns0:v>0</ns0:v>
      </ns0:c>
      <ns0:c r="AT49" t="n">
        <ns0:f>IF($A49="",0,COUNTIFS($J$7:$J$406,$A49,$O$7:$O$406,"&lt;="&amp;AT$6,$P$7:$P$406,"&gt;="&amp;AT$6,$R$7:$R$406,"No"))</ns0:f>
        <ns0:v>0</ns0:v>
      </ns0:c>
      <ns0:c r="AU49" t="n">
        <ns0:f>IF($A49="",0,COUNTIFS($J$7:$J$406,$A49,$O$7:$O$406,"&lt;="&amp;AU$6,$P$7:$P$406,"&gt;="&amp;AU$6,$R$7:$R$406,"No"))</ns0:f>
        <ns0:v>0</ns0:v>
      </ns0:c>
      <ns0:c r="AV49" t="n">
        <ns0:f>IF($A49="",0,COUNTIFS($J$7:$J$406,$A49,$O$7:$O$406,"&lt;="&amp;AV$6,$P$7:$P$406,"&gt;="&amp;AV$6,$R$7:$R$406,"No"))</ns0:f>
        <ns0:v>0</ns0:v>
      </ns0:c>
      <ns0:c r="AW49" t="n">
        <ns0:f>IF($A49="",0,COUNTIFS($J$7:$J$406,$A49,$O$7:$O$406,"&lt;="&amp;AW$6,$P$7:$P$406,"&gt;="&amp;AW$6,$R$7:$R$406,"No"))</ns0:f>
        <ns0:v>0</ns0:v>
      </ns0:c>
      <ns0:c r="AX49" t="n">
        <ns0:f>IF($A49="",0,COUNTIFS($J$7:$J$406,$A49,$O$7:$O$406,"&lt;="&amp;AX$6,$P$7:$P$406,"&gt;="&amp;AX$6,$R$7:$R$406,"No"))</ns0:f>
        <ns0:v>0</ns0:v>
      </ns0:c>
      <ns0:c r="AY49" t="n">
        <ns0:f>IF($A49="",0,COUNTIFS($J$7:$J$406,$A49,$O$7:$O$406,"&lt;="&amp;AY$6,$P$7:$P$406,"&gt;="&amp;AY$6,$R$7:$R$406,"No"))</ns0:f>
        <ns0:v>0</ns0:v>
      </ns0:c>
      <ns0:c r="AZ49" t="n">
        <ns0:f>IF($A49="",0,COUNTIFS($J$7:$J$406,$A49,$O$7:$O$406,"&lt;="&amp;AZ$6,$P$7:$P$406,"&gt;="&amp;AZ$6,$R$7:$R$406,"No"))</ns0:f>
        <ns0:v>0</ns0:v>
      </ns0:c>
      <ns0:c r="BA49" t="n">
        <ns0:f>IF($A49="",0,COUNTIFS($J$7:$J$406,$A49,$O$7:$O$406,"&lt;="&amp;BA$6,$P$7:$P$406,"&gt;="&amp;BA$6,$R$7:$R$406,"No"))</ns0:f>
        <ns0:v>0</ns0:v>
      </ns0:c>
      <ns0:c r="BB49" t="n">
        <ns0:f>IF($A49="",0,COUNTIFS($J$7:$J$406,$A49,$O$7:$O$406,"&lt;="&amp;BB$6,$P$7:$P$406,"&gt;="&amp;BB$6,$R$7:$R$406,"No"))</ns0:f>
        <ns0:v>0</ns0:v>
      </ns0:c>
      <ns0:c r="BC49" t="n">
        <ns0:f>IF($A49="",0,COUNTIFS($J$7:$J$406,$A49,$O$7:$O$406,"&lt;="&amp;BC$6,$P$7:$P$406,"&gt;="&amp;BC$6,$R$7:$R$406,"No"))</ns0:f>
        <ns0:v>0</ns0:v>
      </ns0:c>
    </ns0:row>
    <ns0:row r="50" ht="48" customHeight="1">
      <ns0:c r="A50" s="8" t="str">
        <ns0:f>IF(ROW()-6&gt;MAX($K$7:$K$406),"",INDEX($J$7:$J$406,MATCH(ROW()-6,$K$7:$K$406,0)))</ns0:f>
      </ns0:c>
      <ns0:c r="B50" s="8" t="str">
        <ns0:f>IF(A50="","",COUNTIFS($J$7:$J$406,$A50))</ns0:f>
      </ns0:c>
      <ns0:c r="C50" s="8" t="str">
        <ns0:f>IF(A50="","",COUNTIFS($J$7:$J$406,$A50,$N$7:$N$406,1))</ns0:f>
      </ns0:c>
      <ns0:c r="D50" s="8" t="str">
        <ns0:f>IF(A50="","",COUNTIFS($J$7:$J$406,$A50,$Q$7:$Q$406,"In Progress"))</ns0:f>
      </ns0:c>
      <ns0:c r="E50" s="8" t="str">
        <ns0:f>IF(A50="","",B50-C50)</ns0:f>
      </ns0:c>
      <ns0:c r="F50" s="19" t="str">
        <ns0:f>IF(A50="","",SUMIFS($N$7:$N$406,$J$7:$J$406,$A50)/B50)</ns0:f>
      </ns0:c>
      <ns0:c r="G50" s="8" t="str">
        <ns0:f>IF(A50="","",COUNTIFS(V50:BC50,"&gt;1"))</ns0:f>
      </ns0:c>
      <ns0:c r="H50" s="8" t="str">
        <ns0:f>IF(A50="","",IF(COUNTIFS($T$7:$T$33,A50)&gt;0,INDEX($U$7:$U$33,MATCH(A50,$T$7:$T$33,0)),"No capacity or responsibility detail supplied."))</ns0:f>
      </ns0:c>
      <ns0:c r="J50" t="str">
        <ns0:f>IF('Project Tracker'!A17="","",TRIM(MID(SUBSTITUTE('Project Tracker'!K17,";",REPT(" ",150)),451,150)))</ns0:f>
      </ns0:c>
      <ns0:c r="K50" t="str">
        <ns0:f>IF(J50="","",IF(COUNTIFS($J$7:J50,J50)=1,MAX($K$6:K49)+1,""))</ns0:f>
      </ns0:c>
      <ns0:c r="L50" t="n">
        <ns0:f>IF(A50="",0,B50+(107-ROW())/1000)</ns0:f>
        <ns0:v>0</ns0:v>
      </ns0:c>
      <ns0:c r="M50" t="str">
        <ns0:f>IF(J50="","",'Project Tracker'!A17)</ns0:f>
      </ns0:c>
      <ns0:c r="N50" t="str">
        <ns0:f>IF(J50="","",'Project Tracker'!N17)</ns0:f>
      </ns0:c>
      <ns0:c r="O50" t="str">
        <ns0:f>IF(J50="","",'Project Tracker'!E17)</ns0:f>
      </ns0:c>
      <ns0:c r="P50" t="str">
        <ns0:f>IF(J50="","",'Project Tracker'!F17)</ns0:f>
      </ns0:c>
      <ns0:c r="Q50" t="str">
        <ns0:f>IF(J50="","",'Project Tracker'!Q17)</ns0:f>
      </ns0:c>
      <ns0:c r="R50" t="str">
        <ns0:f>IF(J50="","",'Project Tracker'!J17)</ns0:f>
      </ns0:c>
      <ns0:c r="V50" t="n">
        <ns0:f>IF($A50="",0,COUNTIFS($J$7:$J$406,$A50,$O$7:$O$406,"&lt;="&amp;V$6,$P$7:$P$406,"&gt;="&amp;V$6,$R$7:$R$406,"No"))</ns0:f>
        <ns0:v>0</ns0:v>
      </ns0:c>
      <ns0:c r="W50" t="n">
        <ns0:f>IF($A50="",0,COUNTIFS($J$7:$J$406,$A50,$O$7:$O$406,"&lt;="&amp;W$6,$P$7:$P$406,"&gt;="&amp;W$6,$R$7:$R$406,"No"))</ns0:f>
        <ns0:v>0</ns0:v>
      </ns0:c>
      <ns0:c r="X50" t="n">
        <ns0:f>IF($A50="",0,COUNTIFS($J$7:$J$406,$A50,$O$7:$O$406,"&lt;="&amp;X$6,$P$7:$P$406,"&gt;="&amp;X$6,$R$7:$R$406,"No"))</ns0:f>
        <ns0:v>0</ns0:v>
      </ns0:c>
      <ns0:c r="Y50" t="n">
        <ns0:f>IF($A50="",0,COUNTIFS($J$7:$J$406,$A50,$O$7:$O$406,"&lt;="&amp;Y$6,$P$7:$P$406,"&gt;="&amp;Y$6,$R$7:$R$406,"No"))</ns0:f>
        <ns0:v>0</ns0:v>
      </ns0:c>
      <ns0:c r="Z50" t="n">
        <ns0:f>IF($A50="",0,COUNTIFS($J$7:$J$406,$A50,$O$7:$O$406,"&lt;="&amp;Z$6,$P$7:$P$406,"&gt;="&amp;Z$6,$R$7:$R$406,"No"))</ns0:f>
        <ns0:v>0</ns0:v>
      </ns0:c>
      <ns0:c r="AA50" t="n">
        <ns0:f>IF($A50="",0,COUNTIFS($J$7:$J$406,$A50,$O$7:$O$406,"&lt;="&amp;AA$6,$P$7:$P$406,"&gt;="&amp;AA$6,$R$7:$R$406,"No"))</ns0:f>
        <ns0:v>0</ns0:v>
      </ns0:c>
      <ns0:c r="AB50" t="n">
        <ns0:f>IF($A50="",0,COUNTIFS($J$7:$J$406,$A50,$O$7:$O$406,"&lt;="&amp;AB$6,$P$7:$P$406,"&gt;="&amp;AB$6,$R$7:$R$406,"No"))</ns0:f>
        <ns0:v>0</ns0:v>
      </ns0:c>
      <ns0:c r="AC50" t="n">
        <ns0:f>IF($A50="",0,COUNTIFS($J$7:$J$406,$A50,$O$7:$O$406,"&lt;="&amp;AC$6,$P$7:$P$406,"&gt;="&amp;AC$6,$R$7:$R$406,"No"))</ns0:f>
        <ns0:v>0</ns0:v>
      </ns0:c>
      <ns0:c r="AD50" t="n">
        <ns0:f>IF($A50="",0,COUNTIFS($J$7:$J$406,$A50,$O$7:$O$406,"&lt;="&amp;AD$6,$P$7:$P$406,"&gt;="&amp;AD$6,$R$7:$R$406,"No"))</ns0:f>
        <ns0:v>0</ns0:v>
      </ns0:c>
      <ns0:c r="AE50" t="n">
        <ns0:f>IF($A50="",0,COUNTIFS($J$7:$J$406,$A50,$O$7:$O$406,"&lt;="&amp;AE$6,$P$7:$P$406,"&gt;="&amp;AE$6,$R$7:$R$406,"No"))</ns0:f>
        <ns0:v>0</ns0:v>
      </ns0:c>
      <ns0:c r="AF50" t="n">
        <ns0:f>IF($A50="",0,COUNTIFS($J$7:$J$406,$A50,$O$7:$O$406,"&lt;="&amp;AF$6,$P$7:$P$406,"&gt;="&amp;AF$6,$R$7:$R$406,"No"))</ns0:f>
        <ns0:v>0</ns0:v>
      </ns0:c>
      <ns0:c r="AG50" t="n">
        <ns0:f>IF($A50="",0,COUNTIFS($J$7:$J$406,$A50,$O$7:$O$406,"&lt;="&amp;AG$6,$P$7:$P$406,"&gt;="&amp;AG$6,$R$7:$R$406,"No"))</ns0:f>
        <ns0:v>0</ns0:v>
      </ns0:c>
      <ns0:c r="AH50" t="n">
        <ns0:f>IF($A50="",0,COUNTIFS($J$7:$J$406,$A50,$O$7:$O$406,"&lt;="&amp;AH$6,$P$7:$P$406,"&gt;="&amp;AH$6,$R$7:$R$406,"No"))</ns0:f>
        <ns0:v>0</ns0:v>
      </ns0:c>
      <ns0:c r="AI50" t="n">
        <ns0:f>IF($A50="",0,COUNTIFS($J$7:$J$406,$A50,$O$7:$O$406,"&lt;="&amp;AI$6,$P$7:$P$406,"&gt;="&amp;AI$6,$R$7:$R$406,"No"))</ns0:f>
        <ns0:v>0</ns0:v>
      </ns0:c>
      <ns0:c r="AJ50" t="n">
        <ns0:f>IF($A50="",0,COUNTIFS($J$7:$J$406,$A50,$O$7:$O$406,"&lt;="&amp;AJ$6,$P$7:$P$406,"&gt;="&amp;AJ$6,$R$7:$R$406,"No"))</ns0:f>
        <ns0:v>0</ns0:v>
      </ns0:c>
      <ns0:c r="AK50" t="n">
        <ns0:f>IF($A50="",0,COUNTIFS($J$7:$J$406,$A50,$O$7:$O$406,"&lt;="&amp;AK$6,$P$7:$P$406,"&gt;="&amp;AK$6,$R$7:$R$406,"No"))</ns0:f>
        <ns0:v>0</ns0:v>
      </ns0:c>
      <ns0:c r="AL50" t="n">
        <ns0:f>IF($A50="",0,COUNTIFS($J$7:$J$406,$A50,$O$7:$O$406,"&lt;="&amp;AL$6,$P$7:$P$406,"&gt;="&amp;AL$6,$R$7:$R$406,"No"))</ns0:f>
        <ns0:v>0</ns0:v>
      </ns0:c>
      <ns0:c r="AM50" t="n">
        <ns0:f>IF($A50="",0,COUNTIFS($J$7:$J$406,$A50,$O$7:$O$406,"&lt;="&amp;AM$6,$P$7:$P$406,"&gt;="&amp;AM$6,$R$7:$R$406,"No"))</ns0:f>
        <ns0:v>0</ns0:v>
      </ns0:c>
      <ns0:c r="AN50" t="n">
        <ns0:f>IF($A50="",0,COUNTIFS($J$7:$J$406,$A50,$O$7:$O$406,"&lt;="&amp;AN$6,$P$7:$P$406,"&gt;="&amp;AN$6,$R$7:$R$406,"No"))</ns0:f>
        <ns0:v>0</ns0:v>
      </ns0:c>
      <ns0:c r="AO50" t="n">
        <ns0:f>IF($A50="",0,COUNTIFS($J$7:$J$406,$A50,$O$7:$O$406,"&lt;="&amp;AO$6,$P$7:$P$406,"&gt;="&amp;AO$6,$R$7:$R$406,"No"))</ns0:f>
        <ns0:v>0</ns0:v>
      </ns0:c>
      <ns0:c r="AP50" t="n">
        <ns0:f>IF($A50="",0,COUNTIFS($J$7:$J$406,$A50,$O$7:$O$406,"&lt;="&amp;AP$6,$P$7:$P$406,"&gt;="&amp;AP$6,$R$7:$R$406,"No"))</ns0:f>
        <ns0:v>0</ns0:v>
      </ns0:c>
      <ns0:c r="AQ50" t="n">
        <ns0:f>IF($A50="",0,COUNTIFS($J$7:$J$406,$A50,$O$7:$O$406,"&lt;="&amp;AQ$6,$P$7:$P$406,"&gt;="&amp;AQ$6,$R$7:$R$406,"No"))</ns0:f>
        <ns0:v>0</ns0:v>
      </ns0:c>
      <ns0:c r="AR50" t="n">
        <ns0:f>IF($A50="",0,COUNTIFS($J$7:$J$406,$A50,$O$7:$O$406,"&lt;="&amp;AR$6,$P$7:$P$406,"&gt;="&amp;AR$6,$R$7:$R$406,"No"))</ns0:f>
        <ns0:v>0</ns0:v>
      </ns0:c>
      <ns0:c r="AS50" t="n">
        <ns0:f>IF($A50="",0,COUNTIFS($J$7:$J$406,$A50,$O$7:$O$406,"&lt;="&amp;AS$6,$P$7:$P$406,"&gt;="&amp;AS$6,$R$7:$R$406,"No"))</ns0:f>
        <ns0:v>0</ns0:v>
      </ns0:c>
      <ns0:c r="AT50" t="n">
        <ns0:f>IF($A50="",0,COUNTIFS($J$7:$J$406,$A50,$O$7:$O$406,"&lt;="&amp;AT$6,$P$7:$P$406,"&gt;="&amp;AT$6,$R$7:$R$406,"No"))</ns0:f>
        <ns0:v>0</ns0:v>
      </ns0:c>
      <ns0:c r="AU50" t="n">
        <ns0:f>IF($A50="",0,COUNTIFS($J$7:$J$406,$A50,$O$7:$O$406,"&lt;="&amp;AU$6,$P$7:$P$406,"&gt;="&amp;AU$6,$R$7:$R$406,"No"))</ns0:f>
        <ns0:v>0</ns0:v>
      </ns0:c>
      <ns0:c r="AV50" t="n">
        <ns0:f>IF($A50="",0,COUNTIFS($J$7:$J$406,$A50,$O$7:$O$406,"&lt;="&amp;AV$6,$P$7:$P$406,"&gt;="&amp;AV$6,$R$7:$R$406,"No"))</ns0:f>
        <ns0:v>0</ns0:v>
      </ns0:c>
      <ns0:c r="AW50" t="n">
        <ns0:f>IF($A50="",0,COUNTIFS($J$7:$J$406,$A50,$O$7:$O$406,"&lt;="&amp;AW$6,$P$7:$P$406,"&gt;="&amp;AW$6,$R$7:$R$406,"No"))</ns0:f>
        <ns0:v>0</ns0:v>
      </ns0:c>
      <ns0:c r="AX50" t="n">
        <ns0:f>IF($A50="",0,COUNTIFS($J$7:$J$406,$A50,$O$7:$O$406,"&lt;="&amp;AX$6,$P$7:$P$406,"&gt;="&amp;AX$6,$R$7:$R$406,"No"))</ns0:f>
        <ns0:v>0</ns0:v>
      </ns0:c>
      <ns0:c r="AY50" t="n">
        <ns0:f>IF($A50="",0,COUNTIFS($J$7:$J$406,$A50,$O$7:$O$406,"&lt;="&amp;AY$6,$P$7:$P$406,"&gt;="&amp;AY$6,$R$7:$R$406,"No"))</ns0:f>
        <ns0:v>0</ns0:v>
      </ns0:c>
      <ns0:c r="AZ50" t="n">
        <ns0:f>IF($A50="",0,COUNTIFS($J$7:$J$406,$A50,$O$7:$O$406,"&lt;="&amp;AZ$6,$P$7:$P$406,"&gt;="&amp;AZ$6,$R$7:$R$406,"No"))</ns0:f>
        <ns0:v>0</ns0:v>
      </ns0:c>
      <ns0:c r="BA50" t="n">
        <ns0:f>IF($A50="",0,COUNTIFS($J$7:$J$406,$A50,$O$7:$O$406,"&lt;="&amp;BA$6,$P$7:$P$406,"&gt;="&amp;BA$6,$R$7:$R$406,"No"))</ns0:f>
        <ns0:v>0</ns0:v>
      </ns0:c>
      <ns0:c r="BB50" t="n">
        <ns0:f>IF($A50="",0,COUNTIFS($J$7:$J$406,$A50,$O$7:$O$406,"&lt;="&amp;BB$6,$P$7:$P$406,"&gt;="&amp;BB$6,$R$7:$R$406,"No"))</ns0:f>
        <ns0:v>0</ns0:v>
      </ns0:c>
      <ns0:c r="BC50" t="n">
        <ns0:f>IF($A50="",0,COUNTIFS($J$7:$J$406,$A50,$O$7:$O$406,"&lt;="&amp;BC$6,$P$7:$P$406,"&gt;="&amp;BC$6,$R$7:$R$406,"No"))</ns0:f>
        <ns0:v>0</ns0:v>
      </ns0:c>
    </ns0:row>
    <ns0:row r="51" ht="48" customHeight="1">
      <ns0:c r="A51" s="8" t="str">
        <ns0:f>IF(ROW()-6&gt;MAX($K$7:$K$406),"",INDEX($J$7:$J$406,MATCH(ROW()-6,$K$7:$K$406,0)))</ns0:f>
      </ns0:c>
      <ns0:c r="B51" s="8" t="str">
        <ns0:f>IF(A51="","",COUNTIFS($J$7:$J$406,$A51))</ns0:f>
      </ns0:c>
      <ns0:c r="C51" s="8" t="str">
        <ns0:f>IF(A51="","",COUNTIFS($J$7:$J$406,$A51,$N$7:$N$406,1))</ns0:f>
      </ns0:c>
      <ns0:c r="D51" s="8" t="str">
        <ns0:f>IF(A51="","",COUNTIFS($J$7:$J$406,$A51,$Q$7:$Q$406,"In Progress"))</ns0:f>
      </ns0:c>
      <ns0:c r="E51" s="8" t="str">
        <ns0:f>IF(A51="","",B51-C51)</ns0:f>
      </ns0:c>
      <ns0:c r="F51" s="19" t="str">
        <ns0:f>IF(A51="","",SUMIFS($N$7:$N$406,$J$7:$J$406,$A51)/B51)</ns0:f>
      </ns0:c>
      <ns0:c r="G51" s="8" t="str">
        <ns0:f>IF(A51="","",COUNTIFS(V51:BC51,"&gt;1"))</ns0:f>
      </ns0:c>
      <ns0:c r="H51" s="8" t="str">
        <ns0:f>IF(A51="","",IF(COUNTIFS($T$7:$T$33,A51)&gt;0,INDEX($U$7:$U$33,MATCH(A51,$T$7:$T$33,0)),"No capacity or responsibility detail supplied."))</ns0:f>
      </ns0:c>
      <ns0:c r="J51" t="str">
        <ns0:f>IF('Project Tracker'!A18="","",TRIM(MID(SUBSTITUTE('Project Tracker'!K18,";",REPT(" ",150)),1,150)))</ns0:f>
        <ns0:v>Unassigned</ns0:v>
      </ns0:c>
      <ns0:c r="K51" t="str">
        <ns0:f>IF(J51="","",IF(COUNTIFS($J$7:J51,J51)=1,MAX($K$6:K50)+1,""))</ns0:f>
      </ns0:c>
      <ns0:c r="L51" t="n">
        <ns0:f>IF(A51="",0,B51+(107-ROW())/1000)</ns0:f>
        <ns0:v>0</ns0:v>
      </ns0:c>
      <ns0:c r="M51" t="str">
        <ns0:f>IF(J51="","",'Project Tracker'!A18)</ns0:f>
        <ns0:v>M2</ns0:v>
      </ns0:c>
      <ns0:c r="N51" t="n">
        <ns0:f>IF(J51="","",'Project Tracker'!N18)</ns0:f>
        <ns0:v>0</ns0:v>
      </ns0:c>
      <ns0:c r="O51" t="n">
        <ns0:f>IF(J51="","",'Project Tracker'!E18)</ns0:f>
        <ns0:v>46284</ns0:v>
      </ns0:c>
      <ns0:c r="P51" t="n">
        <ns0:f>IF(J51="","",'Project Tracker'!F18)</ns0:f>
        <ns0:v>46284</ns0:v>
      </ns0:c>
      <ns0:c r="Q51" t="str">
        <ns0:f>IF(J51="","",'Project Tracker'!Q18)</ns0:f>
        <ns0:v>Not Started</ns0:v>
      </ns0:c>
      <ns0:c r="R51" t="str">
        <ns0:f>IF(J51="","",'Project Tracker'!J18)</ns0:f>
        <ns0:v>Yes</ns0:v>
      </ns0:c>
      <ns0:c r="V51" t="n">
        <ns0:f>IF($A51="",0,COUNTIFS($J$7:$J$406,$A51,$O$7:$O$406,"&lt;="&amp;V$6,$P$7:$P$406,"&gt;="&amp;V$6,$R$7:$R$406,"No"))</ns0:f>
        <ns0:v>0</ns0:v>
      </ns0:c>
      <ns0:c r="W51" t="n">
        <ns0:f>IF($A51="",0,COUNTIFS($J$7:$J$406,$A51,$O$7:$O$406,"&lt;="&amp;W$6,$P$7:$P$406,"&gt;="&amp;W$6,$R$7:$R$406,"No"))</ns0:f>
        <ns0:v>0</ns0:v>
      </ns0:c>
      <ns0:c r="X51" t="n">
        <ns0:f>IF($A51="",0,COUNTIFS($J$7:$J$406,$A51,$O$7:$O$406,"&lt;="&amp;X$6,$P$7:$P$406,"&gt;="&amp;X$6,$R$7:$R$406,"No"))</ns0:f>
        <ns0:v>0</ns0:v>
      </ns0:c>
      <ns0:c r="Y51" t="n">
        <ns0:f>IF($A51="",0,COUNTIFS($J$7:$J$406,$A51,$O$7:$O$406,"&lt;="&amp;Y$6,$P$7:$P$406,"&gt;="&amp;Y$6,$R$7:$R$406,"No"))</ns0:f>
        <ns0:v>0</ns0:v>
      </ns0:c>
      <ns0:c r="Z51" t="n">
        <ns0:f>IF($A51="",0,COUNTIFS($J$7:$J$406,$A51,$O$7:$O$406,"&lt;="&amp;Z$6,$P$7:$P$406,"&gt;="&amp;Z$6,$R$7:$R$406,"No"))</ns0:f>
        <ns0:v>0</ns0:v>
      </ns0:c>
      <ns0:c r="AA51" t="n">
        <ns0:f>IF($A51="",0,COUNTIFS($J$7:$J$406,$A51,$O$7:$O$406,"&lt;="&amp;AA$6,$P$7:$P$406,"&gt;="&amp;AA$6,$R$7:$R$406,"No"))</ns0:f>
        <ns0:v>0</ns0:v>
      </ns0:c>
      <ns0:c r="AB51" t="n">
        <ns0:f>IF($A51="",0,COUNTIFS($J$7:$J$406,$A51,$O$7:$O$406,"&lt;="&amp;AB$6,$P$7:$P$406,"&gt;="&amp;AB$6,$R$7:$R$406,"No"))</ns0:f>
        <ns0:v>0</ns0:v>
      </ns0:c>
      <ns0:c r="AC51" t="n">
        <ns0:f>IF($A51="",0,COUNTIFS($J$7:$J$406,$A51,$O$7:$O$406,"&lt;="&amp;AC$6,$P$7:$P$406,"&gt;="&amp;AC$6,$R$7:$R$406,"No"))</ns0:f>
        <ns0:v>0</ns0:v>
      </ns0:c>
      <ns0:c r="AD51" t="n">
        <ns0:f>IF($A51="",0,COUNTIFS($J$7:$J$406,$A51,$O$7:$O$406,"&lt;="&amp;AD$6,$P$7:$P$406,"&gt;="&amp;AD$6,$R$7:$R$406,"No"))</ns0:f>
        <ns0:v>0</ns0:v>
      </ns0:c>
      <ns0:c r="AE51" t="n">
        <ns0:f>IF($A51="",0,COUNTIFS($J$7:$J$406,$A51,$O$7:$O$406,"&lt;="&amp;AE$6,$P$7:$P$406,"&gt;="&amp;AE$6,$R$7:$R$406,"No"))</ns0:f>
        <ns0:v>0</ns0:v>
      </ns0:c>
      <ns0:c r="AF51" t="n">
        <ns0:f>IF($A51="",0,COUNTIFS($J$7:$J$406,$A51,$O$7:$O$406,"&lt;="&amp;AF$6,$P$7:$P$406,"&gt;="&amp;AF$6,$R$7:$R$406,"No"))</ns0:f>
        <ns0:v>0</ns0:v>
      </ns0:c>
      <ns0:c r="AG51" t="n">
        <ns0:f>IF($A51="",0,COUNTIFS($J$7:$J$406,$A51,$O$7:$O$406,"&lt;="&amp;AG$6,$P$7:$P$406,"&gt;="&amp;AG$6,$R$7:$R$406,"No"))</ns0:f>
        <ns0:v>0</ns0:v>
      </ns0:c>
      <ns0:c r="AH51" t="n">
        <ns0:f>IF($A51="",0,COUNTIFS($J$7:$J$406,$A51,$O$7:$O$406,"&lt;="&amp;AH$6,$P$7:$P$406,"&gt;="&amp;AH$6,$R$7:$R$406,"No"))</ns0:f>
        <ns0:v>0</ns0:v>
      </ns0:c>
      <ns0:c r="AI51" t="n">
        <ns0:f>IF($A51="",0,COUNTIFS($J$7:$J$406,$A51,$O$7:$O$406,"&lt;="&amp;AI$6,$P$7:$P$406,"&gt;="&amp;AI$6,$R$7:$R$406,"No"))</ns0:f>
        <ns0:v>0</ns0:v>
      </ns0:c>
      <ns0:c r="AJ51" t="n">
        <ns0:f>IF($A51="",0,COUNTIFS($J$7:$J$406,$A51,$O$7:$O$406,"&lt;="&amp;AJ$6,$P$7:$P$406,"&gt;="&amp;AJ$6,$R$7:$R$406,"No"))</ns0:f>
        <ns0:v>0</ns0:v>
      </ns0:c>
      <ns0:c r="AK51" t="n">
        <ns0:f>IF($A51="",0,COUNTIFS($J$7:$J$406,$A51,$O$7:$O$406,"&lt;="&amp;AK$6,$P$7:$P$406,"&gt;="&amp;AK$6,$R$7:$R$406,"No"))</ns0:f>
        <ns0:v>0</ns0:v>
      </ns0:c>
      <ns0:c r="AL51" t="n">
        <ns0:f>IF($A51="",0,COUNTIFS($J$7:$J$406,$A51,$O$7:$O$406,"&lt;="&amp;AL$6,$P$7:$P$406,"&gt;="&amp;AL$6,$R$7:$R$406,"No"))</ns0:f>
        <ns0:v>0</ns0:v>
      </ns0:c>
      <ns0:c r="AM51" t="n">
        <ns0:f>IF($A51="",0,COUNTIFS($J$7:$J$406,$A51,$O$7:$O$406,"&lt;="&amp;AM$6,$P$7:$P$406,"&gt;="&amp;AM$6,$R$7:$R$406,"No"))</ns0:f>
        <ns0:v>0</ns0:v>
      </ns0:c>
      <ns0:c r="AN51" t="n">
        <ns0:f>IF($A51="",0,COUNTIFS($J$7:$J$406,$A51,$O$7:$O$406,"&lt;="&amp;AN$6,$P$7:$P$406,"&gt;="&amp;AN$6,$R$7:$R$406,"No"))</ns0:f>
        <ns0:v>0</ns0:v>
      </ns0:c>
      <ns0:c r="AO51" t="n">
        <ns0:f>IF($A51="",0,COUNTIFS($J$7:$J$406,$A51,$O$7:$O$406,"&lt;="&amp;AO$6,$P$7:$P$406,"&gt;="&amp;AO$6,$R$7:$R$406,"No"))</ns0:f>
        <ns0:v>0</ns0:v>
      </ns0:c>
      <ns0:c r="AP51" t="n">
        <ns0:f>IF($A51="",0,COUNTIFS($J$7:$J$406,$A51,$O$7:$O$406,"&lt;="&amp;AP$6,$P$7:$P$406,"&gt;="&amp;AP$6,$R$7:$R$406,"No"))</ns0:f>
        <ns0:v>0</ns0:v>
      </ns0:c>
      <ns0:c r="AQ51" t="n">
        <ns0:f>IF($A51="",0,COUNTIFS($J$7:$J$406,$A51,$O$7:$O$406,"&lt;="&amp;AQ$6,$P$7:$P$406,"&gt;="&amp;AQ$6,$R$7:$R$406,"No"))</ns0:f>
        <ns0:v>0</ns0:v>
      </ns0:c>
      <ns0:c r="AR51" t="n">
        <ns0:f>IF($A51="",0,COUNTIFS($J$7:$J$406,$A51,$O$7:$O$406,"&lt;="&amp;AR$6,$P$7:$P$406,"&gt;="&amp;AR$6,$R$7:$R$406,"No"))</ns0:f>
        <ns0:v>0</ns0:v>
      </ns0:c>
      <ns0:c r="AS51" t="n">
        <ns0:f>IF($A51="",0,COUNTIFS($J$7:$J$406,$A51,$O$7:$O$406,"&lt;="&amp;AS$6,$P$7:$P$406,"&gt;="&amp;AS$6,$R$7:$R$406,"No"))</ns0:f>
        <ns0:v>0</ns0:v>
      </ns0:c>
      <ns0:c r="AT51" t="n">
        <ns0:f>IF($A51="",0,COUNTIFS($J$7:$J$406,$A51,$O$7:$O$406,"&lt;="&amp;AT$6,$P$7:$P$406,"&gt;="&amp;AT$6,$R$7:$R$406,"No"))</ns0:f>
        <ns0:v>0</ns0:v>
      </ns0:c>
      <ns0:c r="AU51" t="n">
        <ns0:f>IF($A51="",0,COUNTIFS($J$7:$J$406,$A51,$O$7:$O$406,"&lt;="&amp;AU$6,$P$7:$P$406,"&gt;="&amp;AU$6,$R$7:$R$406,"No"))</ns0:f>
        <ns0:v>0</ns0:v>
      </ns0:c>
      <ns0:c r="AV51" t="n">
        <ns0:f>IF($A51="",0,COUNTIFS($J$7:$J$406,$A51,$O$7:$O$406,"&lt;="&amp;AV$6,$P$7:$P$406,"&gt;="&amp;AV$6,$R$7:$R$406,"No"))</ns0:f>
        <ns0:v>0</ns0:v>
      </ns0:c>
      <ns0:c r="AW51" t="n">
        <ns0:f>IF($A51="",0,COUNTIFS($J$7:$J$406,$A51,$O$7:$O$406,"&lt;="&amp;AW$6,$P$7:$P$406,"&gt;="&amp;AW$6,$R$7:$R$406,"No"))</ns0:f>
        <ns0:v>0</ns0:v>
      </ns0:c>
      <ns0:c r="AX51" t="n">
        <ns0:f>IF($A51="",0,COUNTIFS($J$7:$J$406,$A51,$O$7:$O$406,"&lt;="&amp;AX$6,$P$7:$P$406,"&gt;="&amp;AX$6,$R$7:$R$406,"No"))</ns0:f>
        <ns0:v>0</ns0:v>
      </ns0:c>
      <ns0:c r="AY51" t="n">
        <ns0:f>IF($A51="",0,COUNTIFS($J$7:$J$406,$A51,$O$7:$O$406,"&lt;="&amp;AY$6,$P$7:$P$406,"&gt;="&amp;AY$6,$R$7:$R$406,"No"))</ns0:f>
        <ns0:v>0</ns0:v>
      </ns0:c>
      <ns0:c r="AZ51" t="n">
        <ns0:f>IF($A51="",0,COUNTIFS($J$7:$J$406,$A51,$O$7:$O$406,"&lt;="&amp;AZ$6,$P$7:$P$406,"&gt;="&amp;AZ$6,$R$7:$R$406,"No"))</ns0:f>
        <ns0:v>0</ns0:v>
      </ns0:c>
      <ns0:c r="BA51" t="n">
        <ns0:f>IF($A51="",0,COUNTIFS($J$7:$J$406,$A51,$O$7:$O$406,"&lt;="&amp;BA$6,$P$7:$P$406,"&gt;="&amp;BA$6,$R$7:$R$406,"No"))</ns0:f>
        <ns0:v>0</ns0:v>
      </ns0:c>
      <ns0:c r="BB51" t="n">
        <ns0:f>IF($A51="",0,COUNTIFS($J$7:$J$406,$A51,$O$7:$O$406,"&lt;="&amp;BB$6,$P$7:$P$406,"&gt;="&amp;BB$6,$R$7:$R$406,"No"))</ns0:f>
        <ns0:v>0</ns0:v>
      </ns0:c>
      <ns0:c r="BC51" t="n">
        <ns0:f>IF($A51="",0,COUNTIFS($J$7:$J$406,$A51,$O$7:$O$406,"&lt;="&amp;BC$6,$P$7:$P$406,"&gt;="&amp;BC$6,$R$7:$R$406,"No"))</ns0:f>
        <ns0:v>0</ns0:v>
      </ns0:c>
    </ns0:row>
    <ns0:row r="52" ht="48" customHeight="1">
      <ns0:c r="A52" s="8" t="str">
        <ns0:f>IF(ROW()-6&gt;MAX($K$7:$K$406),"",INDEX($J$7:$J$406,MATCH(ROW()-6,$K$7:$K$406,0)))</ns0:f>
      </ns0:c>
      <ns0:c r="B52" s="8" t="str">
        <ns0:f>IF(A52="","",COUNTIFS($J$7:$J$406,$A52))</ns0:f>
      </ns0:c>
      <ns0:c r="C52" s="8" t="str">
        <ns0:f>IF(A52="","",COUNTIFS($J$7:$J$406,$A52,$N$7:$N$406,1))</ns0:f>
      </ns0:c>
      <ns0:c r="D52" s="8" t="str">
        <ns0:f>IF(A52="","",COUNTIFS($J$7:$J$406,$A52,$Q$7:$Q$406,"In Progress"))</ns0:f>
      </ns0:c>
      <ns0:c r="E52" s="8" t="str">
        <ns0:f>IF(A52="","",B52-C52)</ns0:f>
      </ns0:c>
      <ns0:c r="F52" s="19" t="str">
        <ns0:f>IF(A52="","",SUMIFS($N$7:$N$406,$J$7:$J$406,$A52)/B52)</ns0:f>
      </ns0:c>
      <ns0:c r="G52" s="8" t="str">
        <ns0:f>IF(A52="","",COUNTIFS(V52:BC52,"&gt;1"))</ns0:f>
      </ns0:c>
      <ns0:c r="H52" s="8" t="str">
        <ns0:f>IF(A52="","",IF(COUNTIFS($T$7:$T$33,A52)&gt;0,INDEX($U$7:$U$33,MATCH(A52,$T$7:$T$33,0)),"No capacity or responsibility detail supplied."))</ns0:f>
      </ns0:c>
      <ns0:c r="J52" t="str">
        <ns0:f>IF('Project Tracker'!A18="","",TRIM(MID(SUBSTITUTE('Project Tracker'!K18,";",REPT(" ",150)),151,150)))</ns0:f>
      </ns0:c>
      <ns0:c r="K52" t="str">
        <ns0:f>IF(J52="","",IF(COUNTIFS($J$7:J52,J52)=1,MAX($K$6:K51)+1,""))</ns0:f>
      </ns0:c>
      <ns0:c r="L52" t="n">
        <ns0:f>IF(A52="",0,B52+(107-ROW())/1000)</ns0:f>
        <ns0:v>0</ns0:v>
      </ns0:c>
      <ns0:c r="M52" t="str">
        <ns0:f>IF(J52="","",'Project Tracker'!A18)</ns0:f>
      </ns0:c>
      <ns0:c r="N52" t="str">
        <ns0:f>IF(J52="","",'Project Tracker'!N18)</ns0:f>
      </ns0:c>
      <ns0:c r="O52" t="str">
        <ns0:f>IF(J52="","",'Project Tracker'!E18)</ns0:f>
      </ns0:c>
      <ns0:c r="P52" t="str">
        <ns0:f>IF(J52="","",'Project Tracker'!F18)</ns0:f>
      </ns0:c>
      <ns0:c r="Q52" t="str">
        <ns0:f>IF(J52="","",'Project Tracker'!Q18)</ns0:f>
      </ns0:c>
      <ns0:c r="R52" t="str">
        <ns0:f>IF(J52="","",'Project Tracker'!J18)</ns0:f>
      </ns0:c>
      <ns0:c r="V52" t="n">
        <ns0:f>IF($A52="",0,COUNTIFS($J$7:$J$406,$A52,$O$7:$O$406,"&lt;="&amp;V$6,$P$7:$P$406,"&gt;="&amp;V$6,$R$7:$R$406,"No"))</ns0:f>
        <ns0:v>0</ns0:v>
      </ns0:c>
      <ns0:c r="W52" t="n">
        <ns0:f>IF($A52="",0,COUNTIFS($J$7:$J$406,$A52,$O$7:$O$406,"&lt;="&amp;W$6,$P$7:$P$406,"&gt;="&amp;W$6,$R$7:$R$406,"No"))</ns0:f>
        <ns0:v>0</ns0:v>
      </ns0:c>
      <ns0:c r="X52" t="n">
        <ns0:f>IF($A52="",0,COUNTIFS($J$7:$J$406,$A52,$O$7:$O$406,"&lt;="&amp;X$6,$P$7:$P$406,"&gt;="&amp;X$6,$R$7:$R$406,"No"))</ns0:f>
        <ns0:v>0</ns0:v>
      </ns0:c>
      <ns0:c r="Y52" t="n">
        <ns0:f>IF($A52="",0,COUNTIFS($J$7:$J$406,$A52,$O$7:$O$406,"&lt;="&amp;Y$6,$P$7:$P$406,"&gt;="&amp;Y$6,$R$7:$R$406,"No"))</ns0:f>
        <ns0:v>0</ns0:v>
      </ns0:c>
      <ns0:c r="Z52" t="n">
        <ns0:f>IF($A52="",0,COUNTIFS($J$7:$J$406,$A52,$O$7:$O$406,"&lt;="&amp;Z$6,$P$7:$P$406,"&gt;="&amp;Z$6,$R$7:$R$406,"No"))</ns0:f>
        <ns0:v>0</ns0:v>
      </ns0:c>
      <ns0:c r="AA52" t="n">
        <ns0:f>IF($A52="",0,COUNTIFS($J$7:$J$406,$A52,$O$7:$O$406,"&lt;="&amp;AA$6,$P$7:$P$406,"&gt;="&amp;AA$6,$R$7:$R$406,"No"))</ns0:f>
        <ns0:v>0</ns0:v>
      </ns0:c>
      <ns0:c r="AB52" t="n">
        <ns0:f>IF($A52="",0,COUNTIFS($J$7:$J$406,$A52,$O$7:$O$406,"&lt;="&amp;AB$6,$P$7:$P$406,"&gt;="&amp;AB$6,$R$7:$R$406,"No"))</ns0:f>
        <ns0:v>0</ns0:v>
      </ns0:c>
      <ns0:c r="AC52" t="n">
        <ns0:f>IF($A52="",0,COUNTIFS($J$7:$J$406,$A52,$O$7:$O$406,"&lt;="&amp;AC$6,$P$7:$P$406,"&gt;="&amp;AC$6,$R$7:$R$406,"No"))</ns0:f>
        <ns0:v>0</ns0:v>
      </ns0:c>
      <ns0:c r="AD52" t="n">
        <ns0:f>IF($A52="",0,COUNTIFS($J$7:$J$406,$A52,$O$7:$O$406,"&lt;="&amp;AD$6,$P$7:$P$406,"&gt;="&amp;AD$6,$R$7:$R$406,"No"))</ns0:f>
        <ns0:v>0</ns0:v>
      </ns0:c>
      <ns0:c r="AE52" t="n">
        <ns0:f>IF($A52="",0,COUNTIFS($J$7:$J$406,$A52,$O$7:$O$406,"&lt;="&amp;AE$6,$P$7:$P$406,"&gt;="&amp;AE$6,$R$7:$R$406,"No"))</ns0:f>
        <ns0:v>0</ns0:v>
      </ns0:c>
      <ns0:c r="AF52" t="n">
        <ns0:f>IF($A52="",0,COUNTIFS($J$7:$J$406,$A52,$O$7:$O$406,"&lt;="&amp;AF$6,$P$7:$P$406,"&gt;="&amp;AF$6,$R$7:$R$406,"No"))</ns0:f>
        <ns0:v>0</ns0:v>
      </ns0:c>
      <ns0:c r="AG52" t="n">
        <ns0:f>IF($A52="",0,COUNTIFS($J$7:$J$406,$A52,$O$7:$O$406,"&lt;="&amp;AG$6,$P$7:$P$406,"&gt;="&amp;AG$6,$R$7:$R$406,"No"))</ns0:f>
        <ns0:v>0</ns0:v>
      </ns0:c>
      <ns0:c r="AH52" t="n">
        <ns0:f>IF($A52="",0,COUNTIFS($J$7:$J$406,$A52,$O$7:$O$406,"&lt;="&amp;AH$6,$P$7:$P$406,"&gt;="&amp;AH$6,$R$7:$R$406,"No"))</ns0:f>
        <ns0:v>0</ns0:v>
      </ns0:c>
      <ns0:c r="AI52" t="n">
        <ns0:f>IF($A52="",0,COUNTIFS($J$7:$J$406,$A52,$O$7:$O$406,"&lt;="&amp;AI$6,$P$7:$P$406,"&gt;="&amp;AI$6,$R$7:$R$406,"No"))</ns0:f>
        <ns0:v>0</ns0:v>
      </ns0:c>
      <ns0:c r="AJ52" t="n">
        <ns0:f>IF($A52="",0,COUNTIFS($J$7:$J$406,$A52,$O$7:$O$406,"&lt;="&amp;AJ$6,$P$7:$P$406,"&gt;="&amp;AJ$6,$R$7:$R$406,"No"))</ns0:f>
        <ns0:v>0</ns0:v>
      </ns0:c>
      <ns0:c r="AK52" t="n">
        <ns0:f>IF($A52="",0,COUNTIFS($J$7:$J$406,$A52,$O$7:$O$406,"&lt;="&amp;AK$6,$P$7:$P$406,"&gt;="&amp;AK$6,$R$7:$R$406,"No"))</ns0:f>
        <ns0:v>0</ns0:v>
      </ns0:c>
      <ns0:c r="AL52" t="n">
        <ns0:f>IF($A52="",0,COUNTIFS($J$7:$J$406,$A52,$O$7:$O$406,"&lt;="&amp;AL$6,$P$7:$P$406,"&gt;="&amp;AL$6,$R$7:$R$406,"No"))</ns0:f>
        <ns0:v>0</ns0:v>
      </ns0:c>
      <ns0:c r="AM52" t="n">
        <ns0:f>IF($A52="",0,COUNTIFS($J$7:$J$406,$A52,$O$7:$O$406,"&lt;="&amp;AM$6,$P$7:$P$406,"&gt;="&amp;AM$6,$R$7:$R$406,"No"))</ns0:f>
        <ns0:v>0</ns0:v>
      </ns0:c>
      <ns0:c r="AN52" t="n">
        <ns0:f>IF($A52="",0,COUNTIFS($J$7:$J$406,$A52,$O$7:$O$406,"&lt;="&amp;AN$6,$P$7:$P$406,"&gt;="&amp;AN$6,$R$7:$R$406,"No"))</ns0:f>
        <ns0:v>0</ns0:v>
      </ns0:c>
      <ns0:c r="AO52" t="n">
        <ns0:f>IF($A52="",0,COUNTIFS($J$7:$J$406,$A52,$O$7:$O$406,"&lt;="&amp;AO$6,$P$7:$P$406,"&gt;="&amp;AO$6,$R$7:$R$406,"No"))</ns0:f>
        <ns0:v>0</ns0:v>
      </ns0:c>
      <ns0:c r="AP52" t="n">
        <ns0:f>IF($A52="",0,COUNTIFS($J$7:$J$406,$A52,$O$7:$O$406,"&lt;="&amp;AP$6,$P$7:$P$406,"&gt;="&amp;AP$6,$R$7:$R$406,"No"))</ns0:f>
        <ns0:v>0</ns0:v>
      </ns0:c>
      <ns0:c r="AQ52" t="n">
        <ns0:f>IF($A52="",0,COUNTIFS($J$7:$J$406,$A52,$O$7:$O$406,"&lt;="&amp;AQ$6,$P$7:$P$406,"&gt;="&amp;AQ$6,$R$7:$R$406,"No"))</ns0:f>
        <ns0:v>0</ns0:v>
      </ns0:c>
      <ns0:c r="AR52" t="n">
        <ns0:f>IF($A52="",0,COUNTIFS($J$7:$J$406,$A52,$O$7:$O$406,"&lt;="&amp;AR$6,$P$7:$P$406,"&gt;="&amp;AR$6,$R$7:$R$406,"No"))</ns0:f>
        <ns0:v>0</ns0:v>
      </ns0:c>
      <ns0:c r="AS52" t="n">
        <ns0:f>IF($A52="",0,COUNTIFS($J$7:$J$406,$A52,$O$7:$O$406,"&lt;="&amp;AS$6,$P$7:$P$406,"&gt;="&amp;AS$6,$R$7:$R$406,"No"))</ns0:f>
        <ns0:v>0</ns0:v>
      </ns0:c>
      <ns0:c r="AT52" t="n">
        <ns0:f>IF($A52="",0,COUNTIFS($J$7:$J$406,$A52,$O$7:$O$406,"&lt;="&amp;AT$6,$P$7:$P$406,"&gt;="&amp;AT$6,$R$7:$R$406,"No"))</ns0:f>
        <ns0:v>0</ns0:v>
      </ns0:c>
      <ns0:c r="AU52" t="n">
        <ns0:f>IF($A52="",0,COUNTIFS($J$7:$J$406,$A52,$O$7:$O$406,"&lt;="&amp;AU$6,$P$7:$P$406,"&gt;="&amp;AU$6,$R$7:$R$406,"No"))</ns0:f>
        <ns0:v>0</ns0:v>
      </ns0:c>
      <ns0:c r="AV52" t="n">
        <ns0:f>IF($A52="",0,COUNTIFS($J$7:$J$406,$A52,$O$7:$O$406,"&lt;="&amp;AV$6,$P$7:$P$406,"&gt;="&amp;AV$6,$R$7:$R$406,"No"))</ns0:f>
        <ns0:v>0</ns0:v>
      </ns0:c>
      <ns0:c r="AW52" t="n">
        <ns0:f>IF($A52="",0,COUNTIFS($J$7:$J$406,$A52,$O$7:$O$406,"&lt;="&amp;AW$6,$P$7:$P$406,"&gt;="&amp;AW$6,$R$7:$R$406,"No"))</ns0:f>
        <ns0:v>0</ns0:v>
      </ns0:c>
      <ns0:c r="AX52" t="n">
        <ns0:f>IF($A52="",0,COUNTIFS($J$7:$J$406,$A52,$O$7:$O$406,"&lt;="&amp;AX$6,$P$7:$P$406,"&gt;="&amp;AX$6,$R$7:$R$406,"No"))</ns0:f>
        <ns0:v>0</ns0:v>
      </ns0:c>
      <ns0:c r="AY52" t="n">
        <ns0:f>IF($A52="",0,COUNTIFS($J$7:$J$406,$A52,$O$7:$O$406,"&lt;="&amp;AY$6,$P$7:$P$406,"&gt;="&amp;AY$6,$R$7:$R$406,"No"))</ns0:f>
        <ns0:v>0</ns0:v>
      </ns0:c>
      <ns0:c r="AZ52" t="n">
        <ns0:f>IF($A52="",0,COUNTIFS($J$7:$J$406,$A52,$O$7:$O$406,"&lt;="&amp;AZ$6,$P$7:$P$406,"&gt;="&amp;AZ$6,$R$7:$R$406,"No"))</ns0:f>
        <ns0:v>0</ns0:v>
      </ns0:c>
      <ns0:c r="BA52" t="n">
        <ns0:f>IF($A52="",0,COUNTIFS($J$7:$J$406,$A52,$O$7:$O$406,"&lt;="&amp;BA$6,$P$7:$P$406,"&gt;="&amp;BA$6,$R$7:$R$406,"No"))</ns0:f>
        <ns0:v>0</ns0:v>
      </ns0:c>
      <ns0:c r="BB52" t="n">
        <ns0:f>IF($A52="",0,COUNTIFS($J$7:$J$406,$A52,$O$7:$O$406,"&lt;="&amp;BB$6,$P$7:$P$406,"&gt;="&amp;BB$6,$R$7:$R$406,"No"))</ns0:f>
        <ns0:v>0</ns0:v>
      </ns0:c>
      <ns0:c r="BC52" t="n">
        <ns0:f>IF($A52="",0,COUNTIFS($J$7:$J$406,$A52,$O$7:$O$406,"&lt;="&amp;BC$6,$P$7:$P$406,"&gt;="&amp;BC$6,$R$7:$R$406,"No"))</ns0:f>
        <ns0:v>0</ns0:v>
      </ns0:c>
    </ns0:row>
    <ns0:row r="53" ht="48" customHeight="1">
      <ns0:c r="A53" s="8" t="str">
        <ns0:f>IF(ROW()-6&gt;MAX($K$7:$K$406),"",INDEX($J$7:$J$406,MATCH(ROW()-6,$K$7:$K$406,0)))</ns0:f>
      </ns0:c>
      <ns0:c r="B53" s="8" t="str">
        <ns0:f>IF(A53="","",COUNTIFS($J$7:$J$406,$A53))</ns0:f>
      </ns0:c>
      <ns0:c r="C53" s="8" t="str">
        <ns0:f>IF(A53="","",COUNTIFS($J$7:$J$406,$A53,$N$7:$N$406,1))</ns0:f>
      </ns0:c>
      <ns0:c r="D53" s="8" t="str">
        <ns0:f>IF(A53="","",COUNTIFS($J$7:$J$406,$A53,$Q$7:$Q$406,"In Progress"))</ns0:f>
      </ns0:c>
      <ns0:c r="E53" s="8" t="str">
        <ns0:f>IF(A53="","",B53-C53)</ns0:f>
      </ns0:c>
      <ns0:c r="F53" s="19" t="str">
        <ns0:f>IF(A53="","",SUMIFS($N$7:$N$406,$J$7:$J$406,$A53)/B53)</ns0:f>
      </ns0:c>
      <ns0:c r="G53" s="8" t="str">
        <ns0:f>IF(A53="","",COUNTIFS(V53:BC53,"&gt;1"))</ns0:f>
      </ns0:c>
      <ns0:c r="H53" s="8" t="str">
        <ns0:f>IF(A53="","",IF(COUNTIFS($T$7:$T$33,A53)&gt;0,INDEX($U$7:$U$33,MATCH(A53,$T$7:$T$33,0)),"No capacity or responsibility detail supplied."))</ns0:f>
      </ns0:c>
      <ns0:c r="J53" t="str">
        <ns0:f>IF('Project Tracker'!A18="","",TRIM(MID(SUBSTITUTE('Project Tracker'!K18,";",REPT(" ",150)),301,150)))</ns0:f>
      </ns0:c>
      <ns0:c r="K53" t="str">
        <ns0:f>IF(J53="","",IF(COUNTIFS($J$7:J53,J53)=1,MAX($K$6:K52)+1,""))</ns0:f>
      </ns0:c>
      <ns0:c r="L53" t="n">
        <ns0:f>IF(A53="",0,B53+(107-ROW())/1000)</ns0:f>
        <ns0:v>0</ns0:v>
      </ns0:c>
      <ns0:c r="M53" t="str">
        <ns0:f>IF(J53="","",'Project Tracker'!A18)</ns0:f>
      </ns0:c>
      <ns0:c r="N53" t="str">
        <ns0:f>IF(J53="","",'Project Tracker'!N18)</ns0:f>
      </ns0:c>
      <ns0:c r="O53" t="str">
        <ns0:f>IF(J53="","",'Project Tracker'!E18)</ns0:f>
      </ns0:c>
      <ns0:c r="P53" t="str">
        <ns0:f>IF(J53="","",'Project Tracker'!F18)</ns0:f>
      </ns0:c>
      <ns0:c r="Q53" t="str">
        <ns0:f>IF(J53="","",'Project Tracker'!Q18)</ns0:f>
      </ns0:c>
      <ns0:c r="R53" t="str">
        <ns0:f>IF(J53="","",'Project Tracker'!J18)</ns0:f>
      </ns0:c>
      <ns0:c r="V53" t="n">
        <ns0:f>IF($A53="",0,COUNTIFS($J$7:$J$406,$A53,$O$7:$O$406,"&lt;="&amp;V$6,$P$7:$P$406,"&gt;="&amp;V$6,$R$7:$R$406,"No"))</ns0:f>
        <ns0:v>0</ns0:v>
      </ns0:c>
      <ns0:c r="W53" t="n">
        <ns0:f>IF($A53="",0,COUNTIFS($J$7:$J$406,$A53,$O$7:$O$406,"&lt;="&amp;W$6,$P$7:$P$406,"&gt;="&amp;W$6,$R$7:$R$406,"No"))</ns0:f>
        <ns0:v>0</ns0:v>
      </ns0:c>
      <ns0:c r="X53" t="n">
        <ns0:f>IF($A53="",0,COUNTIFS($J$7:$J$406,$A53,$O$7:$O$406,"&lt;="&amp;X$6,$P$7:$P$406,"&gt;="&amp;X$6,$R$7:$R$406,"No"))</ns0:f>
        <ns0:v>0</ns0:v>
      </ns0:c>
      <ns0:c r="Y53" t="n">
        <ns0:f>IF($A53="",0,COUNTIFS($J$7:$J$406,$A53,$O$7:$O$406,"&lt;="&amp;Y$6,$P$7:$P$406,"&gt;="&amp;Y$6,$R$7:$R$406,"No"))</ns0:f>
        <ns0:v>0</ns0:v>
      </ns0:c>
      <ns0:c r="Z53" t="n">
        <ns0:f>IF($A53="",0,COUNTIFS($J$7:$J$406,$A53,$O$7:$O$406,"&lt;="&amp;Z$6,$P$7:$P$406,"&gt;="&amp;Z$6,$R$7:$R$406,"No"))</ns0:f>
        <ns0:v>0</ns0:v>
      </ns0:c>
      <ns0:c r="AA53" t="n">
        <ns0:f>IF($A53="",0,COUNTIFS($J$7:$J$406,$A53,$O$7:$O$406,"&lt;="&amp;AA$6,$P$7:$P$406,"&gt;="&amp;AA$6,$R$7:$R$406,"No"))</ns0:f>
        <ns0:v>0</ns0:v>
      </ns0:c>
      <ns0:c r="AB53" t="n">
        <ns0:f>IF($A53="",0,COUNTIFS($J$7:$J$406,$A53,$O$7:$O$406,"&lt;="&amp;AB$6,$P$7:$P$406,"&gt;="&amp;AB$6,$R$7:$R$406,"No"))</ns0:f>
        <ns0:v>0</ns0:v>
      </ns0:c>
      <ns0:c r="AC53" t="n">
        <ns0:f>IF($A53="",0,COUNTIFS($J$7:$J$406,$A53,$O$7:$O$406,"&lt;="&amp;AC$6,$P$7:$P$406,"&gt;="&amp;AC$6,$R$7:$R$406,"No"))</ns0:f>
        <ns0:v>0</ns0:v>
      </ns0:c>
      <ns0:c r="AD53" t="n">
        <ns0:f>IF($A53="",0,COUNTIFS($J$7:$J$406,$A53,$O$7:$O$406,"&lt;="&amp;AD$6,$P$7:$P$406,"&gt;="&amp;AD$6,$R$7:$R$406,"No"))</ns0:f>
        <ns0:v>0</ns0:v>
      </ns0:c>
      <ns0:c r="AE53" t="n">
        <ns0:f>IF($A53="",0,COUNTIFS($J$7:$J$406,$A53,$O$7:$O$406,"&lt;="&amp;AE$6,$P$7:$P$406,"&gt;="&amp;AE$6,$R$7:$R$406,"No"))</ns0:f>
        <ns0:v>0</ns0:v>
      </ns0:c>
      <ns0:c r="AF53" t="n">
        <ns0:f>IF($A53="",0,COUNTIFS($J$7:$J$406,$A53,$O$7:$O$406,"&lt;="&amp;AF$6,$P$7:$P$406,"&gt;="&amp;AF$6,$R$7:$R$406,"No"))</ns0:f>
        <ns0:v>0</ns0:v>
      </ns0:c>
      <ns0:c r="AG53" t="n">
        <ns0:f>IF($A53="",0,COUNTIFS($J$7:$J$406,$A53,$O$7:$O$406,"&lt;="&amp;AG$6,$P$7:$P$406,"&gt;="&amp;AG$6,$R$7:$R$406,"No"))</ns0:f>
        <ns0:v>0</ns0:v>
      </ns0:c>
      <ns0:c r="AH53" t="n">
        <ns0:f>IF($A53="",0,COUNTIFS($J$7:$J$406,$A53,$O$7:$O$406,"&lt;="&amp;AH$6,$P$7:$P$406,"&gt;="&amp;AH$6,$R$7:$R$406,"No"))</ns0:f>
        <ns0:v>0</ns0:v>
      </ns0:c>
      <ns0:c r="AI53" t="n">
        <ns0:f>IF($A53="",0,COUNTIFS($J$7:$J$406,$A53,$O$7:$O$406,"&lt;="&amp;AI$6,$P$7:$P$406,"&gt;="&amp;AI$6,$R$7:$R$406,"No"))</ns0:f>
        <ns0:v>0</ns0:v>
      </ns0:c>
      <ns0:c r="AJ53" t="n">
        <ns0:f>IF($A53="",0,COUNTIFS($J$7:$J$406,$A53,$O$7:$O$406,"&lt;="&amp;AJ$6,$P$7:$P$406,"&gt;="&amp;AJ$6,$R$7:$R$406,"No"))</ns0:f>
        <ns0:v>0</ns0:v>
      </ns0:c>
      <ns0:c r="AK53" t="n">
        <ns0:f>IF($A53="",0,COUNTIFS($J$7:$J$406,$A53,$O$7:$O$406,"&lt;="&amp;AK$6,$P$7:$P$406,"&gt;="&amp;AK$6,$R$7:$R$406,"No"))</ns0:f>
        <ns0:v>0</ns0:v>
      </ns0:c>
      <ns0:c r="AL53" t="n">
        <ns0:f>IF($A53="",0,COUNTIFS($J$7:$J$406,$A53,$O$7:$O$406,"&lt;="&amp;AL$6,$P$7:$P$406,"&gt;="&amp;AL$6,$R$7:$R$406,"No"))</ns0:f>
        <ns0:v>0</ns0:v>
      </ns0:c>
      <ns0:c r="AM53" t="n">
        <ns0:f>IF($A53="",0,COUNTIFS($J$7:$J$406,$A53,$O$7:$O$406,"&lt;="&amp;AM$6,$P$7:$P$406,"&gt;="&amp;AM$6,$R$7:$R$406,"No"))</ns0:f>
        <ns0:v>0</ns0:v>
      </ns0:c>
      <ns0:c r="AN53" t="n">
        <ns0:f>IF($A53="",0,COUNTIFS($J$7:$J$406,$A53,$O$7:$O$406,"&lt;="&amp;AN$6,$P$7:$P$406,"&gt;="&amp;AN$6,$R$7:$R$406,"No"))</ns0:f>
        <ns0:v>0</ns0:v>
      </ns0:c>
      <ns0:c r="AO53" t="n">
        <ns0:f>IF($A53="",0,COUNTIFS($J$7:$J$406,$A53,$O$7:$O$406,"&lt;="&amp;AO$6,$P$7:$P$406,"&gt;="&amp;AO$6,$R$7:$R$406,"No"))</ns0:f>
        <ns0:v>0</ns0:v>
      </ns0:c>
      <ns0:c r="AP53" t="n">
        <ns0:f>IF($A53="",0,COUNTIFS($J$7:$J$406,$A53,$O$7:$O$406,"&lt;="&amp;AP$6,$P$7:$P$406,"&gt;="&amp;AP$6,$R$7:$R$406,"No"))</ns0:f>
        <ns0:v>0</ns0:v>
      </ns0:c>
      <ns0:c r="AQ53" t="n">
        <ns0:f>IF($A53="",0,COUNTIFS($J$7:$J$406,$A53,$O$7:$O$406,"&lt;="&amp;AQ$6,$P$7:$P$406,"&gt;="&amp;AQ$6,$R$7:$R$406,"No"))</ns0:f>
        <ns0:v>0</ns0:v>
      </ns0:c>
      <ns0:c r="AR53" t="n">
        <ns0:f>IF($A53="",0,COUNTIFS($J$7:$J$406,$A53,$O$7:$O$406,"&lt;="&amp;AR$6,$P$7:$P$406,"&gt;="&amp;AR$6,$R$7:$R$406,"No"))</ns0:f>
        <ns0:v>0</ns0:v>
      </ns0:c>
      <ns0:c r="AS53" t="n">
        <ns0:f>IF($A53="",0,COUNTIFS($J$7:$J$406,$A53,$O$7:$O$406,"&lt;="&amp;AS$6,$P$7:$P$406,"&gt;="&amp;AS$6,$R$7:$R$406,"No"))</ns0:f>
        <ns0:v>0</ns0:v>
      </ns0:c>
      <ns0:c r="AT53" t="n">
        <ns0:f>IF($A53="",0,COUNTIFS($J$7:$J$406,$A53,$O$7:$O$406,"&lt;="&amp;AT$6,$P$7:$P$406,"&gt;="&amp;AT$6,$R$7:$R$406,"No"))</ns0:f>
        <ns0:v>0</ns0:v>
      </ns0:c>
      <ns0:c r="AU53" t="n">
        <ns0:f>IF($A53="",0,COUNTIFS($J$7:$J$406,$A53,$O$7:$O$406,"&lt;="&amp;AU$6,$P$7:$P$406,"&gt;="&amp;AU$6,$R$7:$R$406,"No"))</ns0:f>
        <ns0:v>0</ns0:v>
      </ns0:c>
      <ns0:c r="AV53" t="n">
        <ns0:f>IF($A53="",0,COUNTIFS($J$7:$J$406,$A53,$O$7:$O$406,"&lt;="&amp;AV$6,$P$7:$P$406,"&gt;="&amp;AV$6,$R$7:$R$406,"No"))</ns0:f>
        <ns0:v>0</ns0:v>
      </ns0:c>
      <ns0:c r="AW53" t="n">
        <ns0:f>IF($A53="",0,COUNTIFS($J$7:$J$406,$A53,$O$7:$O$406,"&lt;="&amp;AW$6,$P$7:$P$406,"&gt;="&amp;AW$6,$R$7:$R$406,"No"))</ns0:f>
        <ns0:v>0</ns0:v>
      </ns0:c>
      <ns0:c r="AX53" t="n">
        <ns0:f>IF($A53="",0,COUNTIFS($J$7:$J$406,$A53,$O$7:$O$406,"&lt;="&amp;AX$6,$P$7:$P$406,"&gt;="&amp;AX$6,$R$7:$R$406,"No"))</ns0:f>
        <ns0:v>0</ns0:v>
      </ns0:c>
      <ns0:c r="AY53" t="n">
        <ns0:f>IF($A53="",0,COUNTIFS($J$7:$J$406,$A53,$O$7:$O$406,"&lt;="&amp;AY$6,$P$7:$P$406,"&gt;="&amp;AY$6,$R$7:$R$406,"No"))</ns0:f>
        <ns0:v>0</ns0:v>
      </ns0:c>
      <ns0:c r="AZ53" t="n">
        <ns0:f>IF($A53="",0,COUNTIFS($J$7:$J$406,$A53,$O$7:$O$406,"&lt;="&amp;AZ$6,$P$7:$P$406,"&gt;="&amp;AZ$6,$R$7:$R$406,"No"))</ns0:f>
        <ns0:v>0</ns0:v>
      </ns0:c>
      <ns0:c r="BA53" t="n">
        <ns0:f>IF($A53="",0,COUNTIFS($J$7:$J$406,$A53,$O$7:$O$406,"&lt;="&amp;BA$6,$P$7:$P$406,"&gt;="&amp;BA$6,$R$7:$R$406,"No"))</ns0:f>
        <ns0:v>0</ns0:v>
      </ns0:c>
      <ns0:c r="BB53" t="n">
        <ns0:f>IF($A53="",0,COUNTIFS($J$7:$J$406,$A53,$O$7:$O$406,"&lt;="&amp;BB$6,$P$7:$P$406,"&gt;="&amp;BB$6,$R$7:$R$406,"No"))</ns0:f>
        <ns0:v>0</ns0:v>
      </ns0:c>
      <ns0:c r="BC53" t="n">
        <ns0:f>IF($A53="",0,COUNTIFS($J$7:$J$406,$A53,$O$7:$O$406,"&lt;="&amp;BC$6,$P$7:$P$406,"&gt;="&amp;BC$6,$R$7:$R$406,"No"))</ns0:f>
        <ns0:v>0</ns0:v>
      </ns0:c>
    </ns0:row>
    <ns0:row r="54" ht="48" customHeight="1">
      <ns0:c r="A54" s="8" t="str">
        <ns0:f>IF(ROW()-6&gt;MAX($K$7:$K$406),"",INDEX($J$7:$J$406,MATCH(ROW()-6,$K$7:$K$406,0)))</ns0:f>
      </ns0:c>
      <ns0:c r="B54" s="8" t="str">
        <ns0:f>IF(A54="","",COUNTIFS($J$7:$J$406,$A54))</ns0:f>
      </ns0:c>
      <ns0:c r="C54" s="8" t="str">
        <ns0:f>IF(A54="","",COUNTIFS($J$7:$J$406,$A54,$N$7:$N$406,1))</ns0:f>
      </ns0:c>
      <ns0:c r="D54" s="8" t="str">
        <ns0:f>IF(A54="","",COUNTIFS($J$7:$J$406,$A54,$Q$7:$Q$406,"In Progress"))</ns0:f>
      </ns0:c>
      <ns0:c r="E54" s="8" t="str">
        <ns0:f>IF(A54="","",B54-C54)</ns0:f>
      </ns0:c>
      <ns0:c r="F54" s="19" t="str">
        <ns0:f>IF(A54="","",SUMIFS($N$7:$N$406,$J$7:$J$406,$A54)/B54)</ns0:f>
      </ns0:c>
      <ns0:c r="G54" s="8" t="str">
        <ns0:f>IF(A54="","",COUNTIFS(V54:BC54,"&gt;1"))</ns0:f>
      </ns0:c>
      <ns0:c r="H54" s="8" t="str">
        <ns0:f>IF(A54="","",IF(COUNTIFS($T$7:$T$33,A54)&gt;0,INDEX($U$7:$U$33,MATCH(A54,$T$7:$T$33,0)),"No capacity or responsibility detail supplied."))</ns0:f>
      </ns0:c>
      <ns0:c r="J54" t="str">
        <ns0:f>IF('Project Tracker'!A18="","",TRIM(MID(SUBSTITUTE('Project Tracker'!K18,";",REPT(" ",150)),451,150)))</ns0:f>
      </ns0:c>
      <ns0:c r="K54" t="str">
        <ns0:f>IF(J54="","",IF(COUNTIFS($J$7:J54,J54)=1,MAX($K$6:K53)+1,""))</ns0:f>
      </ns0:c>
      <ns0:c r="L54" t="n">
        <ns0:f>IF(A54="",0,B54+(107-ROW())/1000)</ns0:f>
        <ns0:v>0</ns0:v>
      </ns0:c>
      <ns0:c r="M54" t="str">
        <ns0:f>IF(J54="","",'Project Tracker'!A18)</ns0:f>
      </ns0:c>
      <ns0:c r="N54" t="str">
        <ns0:f>IF(J54="","",'Project Tracker'!N18)</ns0:f>
      </ns0:c>
      <ns0:c r="O54" t="str">
        <ns0:f>IF(J54="","",'Project Tracker'!E18)</ns0:f>
      </ns0:c>
      <ns0:c r="P54" t="str">
        <ns0:f>IF(J54="","",'Project Tracker'!F18)</ns0:f>
      </ns0:c>
      <ns0:c r="Q54" t="str">
        <ns0:f>IF(J54="","",'Project Tracker'!Q18)</ns0:f>
      </ns0:c>
      <ns0:c r="R54" t="str">
        <ns0:f>IF(J54="","",'Project Tracker'!J18)</ns0:f>
      </ns0:c>
      <ns0:c r="V54" t="n">
        <ns0:f>IF($A54="",0,COUNTIFS($J$7:$J$406,$A54,$O$7:$O$406,"&lt;="&amp;V$6,$P$7:$P$406,"&gt;="&amp;V$6,$R$7:$R$406,"No"))</ns0:f>
        <ns0:v>0</ns0:v>
      </ns0:c>
      <ns0:c r="W54" t="n">
        <ns0:f>IF($A54="",0,COUNTIFS($J$7:$J$406,$A54,$O$7:$O$406,"&lt;="&amp;W$6,$P$7:$P$406,"&gt;="&amp;W$6,$R$7:$R$406,"No"))</ns0:f>
        <ns0:v>0</ns0:v>
      </ns0:c>
      <ns0:c r="X54" t="n">
        <ns0:f>IF($A54="",0,COUNTIFS($J$7:$J$406,$A54,$O$7:$O$406,"&lt;="&amp;X$6,$P$7:$P$406,"&gt;="&amp;X$6,$R$7:$R$406,"No"))</ns0:f>
        <ns0:v>0</ns0:v>
      </ns0:c>
      <ns0:c r="Y54" t="n">
        <ns0:f>IF($A54="",0,COUNTIFS($J$7:$J$406,$A54,$O$7:$O$406,"&lt;="&amp;Y$6,$P$7:$P$406,"&gt;="&amp;Y$6,$R$7:$R$406,"No"))</ns0:f>
        <ns0:v>0</ns0:v>
      </ns0:c>
      <ns0:c r="Z54" t="n">
        <ns0:f>IF($A54="",0,COUNTIFS($J$7:$J$406,$A54,$O$7:$O$406,"&lt;="&amp;Z$6,$P$7:$P$406,"&gt;="&amp;Z$6,$R$7:$R$406,"No"))</ns0:f>
        <ns0:v>0</ns0:v>
      </ns0:c>
      <ns0:c r="AA54" t="n">
        <ns0:f>IF($A54="",0,COUNTIFS($J$7:$J$406,$A54,$O$7:$O$406,"&lt;="&amp;AA$6,$P$7:$P$406,"&gt;="&amp;AA$6,$R$7:$R$406,"No"))</ns0:f>
        <ns0:v>0</ns0:v>
      </ns0:c>
      <ns0:c r="AB54" t="n">
        <ns0:f>IF($A54="",0,COUNTIFS($J$7:$J$406,$A54,$O$7:$O$406,"&lt;="&amp;AB$6,$P$7:$P$406,"&gt;="&amp;AB$6,$R$7:$R$406,"No"))</ns0:f>
        <ns0:v>0</ns0:v>
      </ns0:c>
      <ns0:c r="AC54" t="n">
        <ns0:f>IF($A54="",0,COUNTIFS($J$7:$J$406,$A54,$O$7:$O$406,"&lt;="&amp;AC$6,$P$7:$P$406,"&gt;="&amp;AC$6,$R$7:$R$406,"No"))</ns0:f>
        <ns0:v>0</ns0:v>
      </ns0:c>
      <ns0:c r="AD54" t="n">
        <ns0:f>IF($A54="",0,COUNTIFS($J$7:$J$406,$A54,$O$7:$O$406,"&lt;="&amp;AD$6,$P$7:$P$406,"&gt;="&amp;AD$6,$R$7:$R$406,"No"))</ns0:f>
        <ns0:v>0</ns0:v>
      </ns0:c>
      <ns0:c r="AE54" t="n">
        <ns0:f>IF($A54="",0,COUNTIFS($J$7:$J$406,$A54,$O$7:$O$406,"&lt;="&amp;AE$6,$P$7:$P$406,"&gt;="&amp;AE$6,$R$7:$R$406,"No"))</ns0:f>
        <ns0:v>0</ns0:v>
      </ns0:c>
      <ns0:c r="AF54" t="n">
        <ns0:f>IF($A54="",0,COUNTIFS($J$7:$J$406,$A54,$O$7:$O$406,"&lt;="&amp;AF$6,$P$7:$P$406,"&gt;="&amp;AF$6,$R$7:$R$406,"No"))</ns0:f>
        <ns0:v>0</ns0:v>
      </ns0:c>
      <ns0:c r="AG54" t="n">
        <ns0:f>IF($A54="",0,COUNTIFS($J$7:$J$406,$A54,$O$7:$O$406,"&lt;="&amp;AG$6,$P$7:$P$406,"&gt;="&amp;AG$6,$R$7:$R$406,"No"))</ns0:f>
        <ns0:v>0</ns0:v>
      </ns0:c>
      <ns0:c r="AH54" t="n">
        <ns0:f>IF($A54="",0,COUNTIFS($J$7:$J$406,$A54,$O$7:$O$406,"&lt;="&amp;AH$6,$P$7:$P$406,"&gt;="&amp;AH$6,$R$7:$R$406,"No"))</ns0:f>
        <ns0:v>0</ns0:v>
      </ns0:c>
      <ns0:c r="AI54" t="n">
        <ns0:f>IF($A54="",0,COUNTIFS($J$7:$J$406,$A54,$O$7:$O$406,"&lt;="&amp;AI$6,$P$7:$P$406,"&gt;="&amp;AI$6,$R$7:$R$406,"No"))</ns0:f>
        <ns0:v>0</ns0:v>
      </ns0:c>
      <ns0:c r="AJ54" t="n">
        <ns0:f>IF($A54="",0,COUNTIFS($J$7:$J$406,$A54,$O$7:$O$406,"&lt;="&amp;AJ$6,$P$7:$P$406,"&gt;="&amp;AJ$6,$R$7:$R$406,"No"))</ns0:f>
        <ns0:v>0</ns0:v>
      </ns0:c>
      <ns0:c r="AK54" t="n">
        <ns0:f>IF($A54="",0,COUNTIFS($J$7:$J$406,$A54,$O$7:$O$406,"&lt;="&amp;AK$6,$P$7:$P$406,"&gt;="&amp;AK$6,$R$7:$R$406,"No"))</ns0:f>
        <ns0:v>0</ns0:v>
      </ns0:c>
      <ns0:c r="AL54" t="n">
        <ns0:f>IF($A54="",0,COUNTIFS($J$7:$J$406,$A54,$O$7:$O$406,"&lt;="&amp;AL$6,$P$7:$P$406,"&gt;="&amp;AL$6,$R$7:$R$406,"No"))</ns0:f>
        <ns0:v>0</ns0:v>
      </ns0:c>
      <ns0:c r="AM54" t="n">
        <ns0:f>IF($A54="",0,COUNTIFS($J$7:$J$406,$A54,$O$7:$O$406,"&lt;="&amp;AM$6,$P$7:$P$406,"&gt;="&amp;AM$6,$R$7:$R$406,"No"))</ns0:f>
        <ns0:v>0</ns0:v>
      </ns0:c>
      <ns0:c r="AN54" t="n">
        <ns0:f>IF($A54="",0,COUNTIFS($J$7:$J$406,$A54,$O$7:$O$406,"&lt;="&amp;AN$6,$P$7:$P$406,"&gt;="&amp;AN$6,$R$7:$R$406,"No"))</ns0:f>
        <ns0:v>0</ns0:v>
      </ns0:c>
      <ns0:c r="AO54" t="n">
        <ns0:f>IF($A54="",0,COUNTIFS($J$7:$J$406,$A54,$O$7:$O$406,"&lt;="&amp;AO$6,$P$7:$P$406,"&gt;="&amp;AO$6,$R$7:$R$406,"No"))</ns0:f>
        <ns0:v>0</ns0:v>
      </ns0:c>
      <ns0:c r="AP54" t="n">
        <ns0:f>IF($A54="",0,COUNTIFS($J$7:$J$406,$A54,$O$7:$O$406,"&lt;="&amp;AP$6,$P$7:$P$406,"&gt;="&amp;AP$6,$R$7:$R$406,"No"))</ns0:f>
        <ns0:v>0</ns0:v>
      </ns0:c>
      <ns0:c r="AQ54" t="n">
        <ns0:f>IF($A54="",0,COUNTIFS($J$7:$J$406,$A54,$O$7:$O$406,"&lt;="&amp;AQ$6,$P$7:$P$406,"&gt;="&amp;AQ$6,$R$7:$R$406,"No"))</ns0:f>
        <ns0:v>0</ns0:v>
      </ns0:c>
      <ns0:c r="AR54" t="n">
        <ns0:f>IF($A54="",0,COUNTIFS($J$7:$J$406,$A54,$O$7:$O$406,"&lt;="&amp;AR$6,$P$7:$P$406,"&gt;="&amp;AR$6,$R$7:$R$406,"No"))</ns0:f>
        <ns0:v>0</ns0:v>
      </ns0:c>
      <ns0:c r="AS54" t="n">
        <ns0:f>IF($A54="",0,COUNTIFS($J$7:$J$406,$A54,$O$7:$O$406,"&lt;="&amp;AS$6,$P$7:$P$406,"&gt;="&amp;AS$6,$R$7:$R$406,"No"))</ns0:f>
        <ns0:v>0</ns0:v>
      </ns0:c>
      <ns0:c r="AT54" t="n">
        <ns0:f>IF($A54="",0,COUNTIFS($J$7:$J$406,$A54,$O$7:$O$406,"&lt;="&amp;AT$6,$P$7:$P$406,"&gt;="&amp;AT$6,$R$7:$R$406,"No"))</ns0:f>
        <ns0:v>0</ns0:v>
      </ns0:c>
      <ns0:c r="AU54" t="n">
        <ns0:f>IF($A54="",0,COUNTIFS($J$7:$J$406,$A54,$O$7:$O$406,"&lt;="&amp;AU$6,$P$7:$P$406,"&gt;="&amp;AU$6,$R$7:$R$406,"No"))</ns0:f>
        <ns0:v>0</ns0:v>
      </ns0:c>
      <ns0:c r="AV54" t="n">
        <ns0:f>IF($A54="",0,COUNTIFS($J$7:$J$406,$A54,$O$7:$O$406,"&lt;="&amp;AV$6,$P$7:$P$406,"&gt;="&amp;AV$6,$R$7:$R$406,"No"))</ns0:f>
        <ns0:v>0</ns0:v>
      </ns0:c>
      <ns0:c r="AW54" t="n">
        <ns0:f>IF($A54="",0,COUNTIFS($J$7:$J$406,$A54,$O$7:$O$406,"&lt;="&amp;AW$6,$P$7:$P$406,"&gt;="&amp;AW$6,$R$7:$R$406,"No"))</ns0:f>
        <ns0:v>0</ns0:v>
      </ns0:c>
      <ns0:c r="AX54" t="n">
        <ns0:f>IF($A54="",0,COUNTIFS($J$7:$J$406,$A54,$O$7:$O$406,"&lt;="&amp;AX$6,$P$7:$P$406,"&gt;="&amp;AX$6,$R$7:$R$406,"No"))</ns0:f>
        <ns0:v>0</ns0:v>
      </ns0:c>
      <ns0:c r="AY54" t="n">
        <ns0:f>IF($A54="",0,COUNTIFS($J$7:$J$406,$A54,$O$7:$O$406,"&lt;="&amp;AY$6,$P$7:$P$406,"&gt;="&amp;AY$6,$R$7:$R$406,"No"))</ns0:f>
        <ns0:v>0</ns0:v>
      </ns0:c>
      <ns0:c r="AZ54" t="n">
        <ns0:f>IF($A54="",0,COUNTIFS($J$7:$J$406,$A54,$O$7:$O$406,"&lt;="&amp;AZ$6,$P$7:$P$406,"&gt;="&amp;AZ$6,$R$7:$R$406,"No"))</ns0:f>
        <ns0:v>0</ns0:v>
      </ns0:c>
      <ns0:c r="BA54" t="n">
        <ns0:f>IF($A54="",0,COUNTIFS($J$7:$J$406,$A54,$O$7:$O$406,"&lt;="&amp;BA$6,$P$7:$P$406,"&gt;="&amp;BA$6,$R$7:$R$406,"No"))</ns0:f>
        <ns0:v>0</ns0:v>
      </ns0:c>
      <ns0:c r="BB54" t="n">
        <ns0:f>IF($A54="",0,COUNTIFS($J$7:$J$406,$A54,$O$7:$O$406,"&lt;="&amp;BB$6,$P$7:$P$406,"&gt;="&amp;BB$6,$R$7:$R$406,"No"))</ns0:f>
        <ns0:v>0</ns0:v>
      </ns0:c>
      <ns0:c r="BC54" t="n">
        <ns0:f>IF($A54="",0,COUNTIFS($J$7:$J$406,$A54,$O$7:$O$406,"&lt;="&amp;BC$6,$P$7:$P$406,"&gt;="&amp;BC$6,$R$7:$R$406,"No"))</ns0:f>
        <ns0:v>0</ns0:v>
      </ns0:c>
    </ns0:row>
    <ns0:row r="55" ht="48" customHeight="1">
      <ns0:c r="A55" s="8" t="str">
        <ns0:f>IF(ROW()-6&gt;MAX($K$7:$K$406),"",INDEX($J$7:$J$406,MATCH(ROW()-6,$K$7:$K$406,0)))</ns0:f>
      </ns0:c>
      <ns0:c r="B55" s="8" t="str">
        <ns0:f>IF(A55="","",COUNTIFS($J$7:$J$406,$A55))</ns0:f>
      </ns0:c>
      <ns0:c r="C55" s="8" t="str">
        <ns0:f>IF(A55="","",COUNTIFS($J$7:$J$406,$A55,$N$7:$N$406,1))</ns0:f>
      </ns0:c>
      <ns0:c r="D55" s="8" t="str">
        <ns0:f>IF(A55="","",COUNTIFS($J$7:$J$406,$A55,$Q$7:$Q$406,"In Progress"))</ns0:f>
      </ns0:c>
      <ns0:c r="E55" s="8" t="str">
        <ns0:f>IF(A55="","",B55-C55)</ns0:f>
      </ns0:c>
      <ns0:c r="F55" s="19" t="str">
        <ns0:f>IF(A55="","",SUMIFS($N$7:$N$406,$J$7:$J$406,$A55)/B55)</ns0:f>
      </ns0:c>
      <ns0:c r="G55" s="8" t="str">
        <ns0:f>IF(A55="","",COUNTIFS(V55:BC55,"&gt;1"))</ns0:f>
      </ns0:c>
      <ns0:c r="H55" s="8" t="str">
        <ns0:f>IF(A55="","",IF(COUNTIFS($T$7:$T$33,A55)&gt;0,INDEX($U$7:$U$33,MATCH(A55,$T$7:$T$33,0)),"No capacity or responsibility detail supplied."))</ns0:f>
      </ns0:c>
      <ns0:c r="J55" t="str">
        <ns0:f>IF('Project Tracker'!A19="","",TRIM(MID(SUBSTITUTE('Project Tracker'!K19,";",REPT(" ",150)),1,150)))</ns0:f>
        <ns0:v>Sandbox Controller (agent_sandbox)</ns0:v>
      </ns0:c>
      <ns0:c r="K55" t="n">
        <ns0:f>IF(J55="","",IF(COUNTIFS($J$7:J55,J55)=1,MAX($K$6:K54)+1,""))</ns0:f>
        <ns0:v>12</ns0:v>
      </ns0:c>
      <ns0:c r="L55" t="n">
        <ns0:f>IF(A55="",0,B55+(107-ROW())/1000)</ns0:f>
        <ns0:v>0</ns0:v>
      </ns0:c>
      <ns0:c r="M55" t="str">
        <ns0:f>IF(J55="","",'Project Tracker'!A19)</ns0:f>
        <ns0:v>T11</ns0:v>
      </ns0:c>
      <ns0:c r="N55" t="n">
        <ns0:f>IF(J55="","",'Project Tracker'!N19)</ns0:f>
        <ns0:v>0</ns0:v>
      </ns0:c>
      <ns0:c r="O55" t="n">
        <ns0:f>IF(J55="","",'Project Tracker'!E19)</ns0:f>
        <ns0:v>46279</ns0:v>
      </ns0:c>
      <ns0:c r="P55" t="n">
        <ns0:f>IF(J55="","",'Project Tracker'!F19)</ns0:f>
        <ns0:v>46280</ns0:v>
      </ns0:c>
      <ns0:c r="Q55" t="str">
        <ns0:f>IF(J55="","",'Project Tracker'!Q19)</ns0:f>
        <ns0:v>Not Started</ns0:v>
      </ns0:c>
      <ns0:c r="R55" t="str">
        <ns0:f>IF(J55="","",'Project Tracker'!J19)</ns0:f>
        <ns0:v>No</ns0:v>
      </ns0:c>
      <ns0:c r="V55" t="n">
        <ns0:f>IF($A55="",0,COUNTIFS($J$7:$J$406,$A55,$O$7:$O$406,"&lt;="&amp;V$6,$P$7:$P$406,"&gt;="&amp;V$6,$R$7:$R$406,"No"))</ns0:f>
        <ns0:v>0</ns0:v>
      </ns0:c>
      <ns0:c r="W55" t="n">
        <ns0:f>IF($A55="",0,COUNTIFS($J$7:$J$406,$A55,$O$7:$O$406,"&lt;="&amp;W$6,$P$7:$P$406,"&gt;="&amp;W$6,$R$7:$R$406,"No"))</ns0:f>
        <ns0:v>0</ns0:v>
      </ns0:c>
      <ns0:c r="X55" t="n">
        <ns0:f>IF($A55="",0,COUNTIFS($J$7:$J$406,$A55,$O$7:$O$406,"&lt;="&amp;X$6,$P$7:$P$406,"&gt;="&amp;X$6,$R$7:$R$406,"No"))</ns0:f>
        <ns0:v>0</ns0:v>
      </ns0:c>
      <ns0:c r="Y55" t="n">
        <ns0:f>IF($A55="",0,COUNTIFS($J$7:$J$406,$A55,$O$7:$O$406,"&lt;="&amp;Y$6,$P$7:$P$406,"&gt;="&amp;Y$6,$R$7:$R$406,"No"))</ns0:f>
        <ns0:v>0</ns0:v>
      </ns0:c>
      <ns0:c r="Z55" t="n">
        <ns0:f>IF($A55="",0,COUNTIFS($J$7:$J$406,$A55,$O$7:$O$406,"&lt;="&amp;Z$6,$P$7:$P$406,"&gt;="&amp;Z$6,$R$7:$R$406,"No"))</ns0:f>
        <ns0:v>0</ns0:v>
      </ns0:c>
      <ns0:c r="AA55" t="n">
        <ns0:f>IF($A55="",0,COUNTIFS($J$7:$J$406,$A55,$O$7:$O$406,"&lt;="&amp;AA$6,$P$7:$P$406,"&gt;="&amp;AA$6,$R$7:$R$406,"No"))</ns0:f>
        <ns0:v>0</ns0:v>
      </ns0:c>
      <ns0:c r="AB55" t="n">
        <ns0:f>IF($A55="",0,COUNTIFS($J$7:$J$406,$A55,$O$7:$O$406,"&lt;="&amp;AB$6,$P$7:$P$406,"&gt;="&amp;AB$6,$R$7:$R$406,"No"))</ns0:f>
        <ns0:v>0</ns0:v>
      </ns0:c>
      <ns0:c r="AC55" t="n">
        <ns0:f>IF($A55="",0,COUNTIFS($J$7:$J$406,$A55,$O$7:$O$406,"&lt;="&amp;AC$6,$P$7:$P$406,"&gt;="&amp;AC$6,$R$7:$R$406,"No"))</ns0:f>
        <ns0:v>0</ns0:v>
      </ns0:c>
      <ns0:c r="AD55" t="n">
        <ns0:f>IF($A55="",0,COUNTIFS($J$7:$J$406,$A55,$O$7:$O$406,"&lt;="&amp;AD$6,$P$7:$P$406,"&gt;="&amp;AD$6,$R$7:$R$406,"No"))</ns0:f>
        <ns0:v>0</ns0:v>
      </ns0:c>
      <ns0:c r="AE55" t="n">
        <ns0:f>IF($A55="",0,COUNTIFS($J$7:$J$406,$A55,$O$7:$O$406,"&lt;="&amp;AE$6,$P$7:$P$406,"&gt;="&amp;AE$6,$R$7:$R$406,"No"))</ns0:f>
        <ns0:v>0</ns0:v>
      </ns0:c>
      <ns0:c r="AF55" t="n">
        <ns0:f>IF($A55="",0,COUNTIFS($J$7:$J$406,$A55,$O$7:$O$406,"&lt;="&amp;AF$6,$P$7:$P$406,"&gt;="&amp;AF$6,$R$7:$R$406,"No"))</ns0:f>
        <ns0:v>0</ns0:v>
      </ns0:c>
      <ns0:c r="AG55" t="n">
        <ns0:f>IF($A55="",0,COUNTIFS($J$7:$J$406,$A55,$O$7:$O$406,"&lt;="&amp;AG$6,$P$7:$P$406,"&gt;="&amp;AG$6,$R$7:$R$406,"No"))</ns0:f>
        <ns0:v>0</ns0:v>
      </ns0:c>
      <ns0:c r="AH55" t="n">
        <ns0:f>IF($A55="",0,COUNTIFS($J$7:$J$406,$A55,$O$7:$O$406,"&lt;="&amp;AH$6,$P$7:$P$406,"&gt;="&amp;AH$6,$R$7:$R$406,"No"))</ns0:f>
        <ns0:v>0</ns0:v>
      </ns0:c>
      <ns0:c r="AI55" t="n">
        <ns0:f>IF($A55="",0,COUNTIFS($J$7:$J$406,$A55,$O$7:$O$406,"&lt;="&amp;AI$6,$P$7:$P$406,"&gt;="&amp;AI$6,$R$7:$R$406,"No"))</ns0:f>
        <ns0:v>0</ns0:v>
      </ns0:c>
      <ns0:c r="AJ55" t="n">
        <ns0:f>IF($A55="",0,COUNTIFS($J$7:$J$406,$A55,$O$7:$O$406,"&lt;="&amp;AJ$6,$P$7:$P$406,"&gt;="&amp;AJ$6,$R$7:$R$406,"No"))</ns0:f>
        <ns0:v>0</ns0:v>
      </ns0:c>
      <ns0:c r="AK55" t="n">
        <ns0:f>IF($A55="",0,COUNTIFS($J$7:$J$406,$A55,$O$7:$O$406,"&lt;="&amp;AK$6,$P$7:$P$406,"&gt;="&amp;AK$6,$R$7:$R$406,"No"))</ns0:f>
        <ns0:v>0</ns0:v>
      </ns0:c>
      <ns0:c r="AL55" t="n">
        <ns0:f>IF($A55="",0,COUNTIFS($J$7:$J$406,$A55,$O$7:$O$406,"&lt;="&amp;AL$6,$P$7:$P$406,"&gt;="&amp;AL$6,$R$7:$R$406,"No"))</ns0:f>
        <ns0:v>0</ns0:v>
      </ns0:c>
      <ns0:c r="AM55" t="n">
        <ns0:f>IF($A55="",0,COUNTIFS($J$7:$J$406,$A55,$O$7:$O$406,"&lt;="&amp;AM$6,$P$7:$P$406,"&gt;="&amp;AM$6,$R$7:$R$406,"No"))</ns0:f>
        <ns0:v>0</ns0:v>
      </ns0:c>
      <ns0:c r="AN55" t="n">
        <ns0:f>IF($A55="",0,COUNTIFS($J$7:$J$406,$A55,$O$7:$O$406,"&lt;="&amp;AN$6,$P$7:$P$406,"&gt;="&amp;AN$6,$R$7:$R$406,"No"))</ns0:f>
        <ns0:v>0</ns0:v>
      </ns0:c>
      <ns0:c r="AO55" t="n">
        <ns0:f>IF($A55="",0,COUNTIFS($J$7:$J$406,$A55,$O$7:$O$406,"&lt;="&amp;AO$6,$P$7:$P$406,"&gt;="&amp;AO$6,$R$7:$R$406,"No"))</ns0:f>
        <ns0:v>0</ns0:v>
      </ns0:c>
      <ns0:c r="AP55" t="n">
        <ns0:f>IF($A55="",0,COUNTIFS($J$7:$J$406,$A55,$O$7:$O$406,"&lt;="&amp;AP$6,$P$7:$P$406,"&gt;="&amp;AP$6,$R$7:$R$406,"No"))</ns0:f>
        <ns0:v>0</ns0:v>
      </ns0:c>
      <ns0:c r="AQ55" t="n">
        <ns0:f>IF($A55="",0,COUNTIFS($J$7:$J$406,$A55,$O$7:$O$406,"&lt;="&amp;AQ$6,$P$7:$P$406,"&gt;="&amp;AQ$6,$R$7:$R$406,"No"))</ns0:f>
        <ns0:v>0</ns0:v>
      </ns0:c>
      <ns0:c r="AR55" t="n">
        <ns0:f>IF($A55="",0,COUNTIFS($J$7:$J$406,$A55,$O$7:$O$406,"&lt;="&amp;AR$6,$P$7:$P$406,"&gt;="&amp;AR$6,$R$7:$R$406,"No"))</ns0:f>
        <ns0:v>0</ns0:v>
      </ns0:c>
      <ns0:c r="AS55" t="n">
        <ns0:f>IF($A55="",0,COUNTIFS($J$7:$J$406,$A55,$O$7:$O$406,"&lt;="&amp;AS$6,$P$7:$P$406,"&gt;="&amp;AS$6,$R$7:$R$406,"No"))</ns0:f>
        <ns0:v>0</ns0:v>
      </ns0:c>
      <ns0:c r="AT55" t="n">
        <ns0:f>IF($A55="",0,COUNTIFS($J$7:$J$406,$A55,$O$7:$O$406,"&lt;="&amp;AT$6,$P$7:$P$406,"&gt;="&amp;AT$6,$R$7:$R$406,"No"))</ns0:f>
        <ns0:v>0</ns0:v>
      </ns0:c>
      <ns0:c r="AU55" t="n">
        <ns0:f>IF($A55="",0,COUNTIFS($J$7:$J$406,$A55,$O$7:$O$406,"&lt;="&amp;AU$6,$P$7:$P$406,"&gt;="&amp;AU$6,$R$7:$R$406,"No"))</ns0:f>
        <ns0:v>0</ns0:v>
      </ns0:c>
      <ns0:c r="AV55" t="n">
        <ns0:f>IF($A55="",0,COUNTIFS($J$7:$J$406,$A55,$O$7:$O$406,"&lt;="&amp;AV$6,$P$7:$P$406,"&gt;="&amp;AV$6,$R$7:$R$406,"No"))</ns0:f>
        <ns0:v>0</ns0:v>
      </ns0:c>
      <ns0:c r="AW55" t="n">
        <ns0:f>IF($A55="",0,COUNTIFS($J$7:$J$406,$A55,$O$7:$O$406,"&lt;="&amp;AW$6,$P$7:$P$406,"&gt;="&amp;AW$6,$R$7:$R$406,"No"))</ns0:f>
        <ns0:v>0</ns0:v>
      </ns0:c>
      <ns0:c r="AX55" t="n">
        <ns0:f>IF($A55="",0,COUNTIFS($J$7:$J$406,$A55,$O$7:$O$406,"&lt;="&amp;AX$6,$P$7:$P$406,"&gt;="&amp;AX$6,$R$7:$R$406,"No"))</ns0:f>
        <ns0:v>0</ns0:v>
      </ns0:c>
      <ns0:c r="AY55" t="n">
        <ns0:f>IF($A55="",0,COUNTIFS($J$7:$J$406,$A55,$O$7:$O$406,"&lt;="&amp;AY$6,$P$7:$P$406,"&gt;="&amp;AY$6,$R$7:$R$406,"No"))</ns0:f>
        <ns0:v>0</ns0:v>
      </ns0:c>
      <ns0:c r="AZ55" t="n">
        <ns0:f>IF($A55="",0,COUNTIFS($J$7:$J$406,$A55,$O$7:$O$406,"&lt;="&amp;AZ$6,$P$7:$P$406,"&gt;="&amp;AZ$6,$R$7:$R$406,"No"))</ns0:f>
        <ns0:v>0</ns0:v>
      </ns0:c>
      <ns0:c r="BA55" t="n">
        <ns0:f>IF($A55="",0,COUNTIFS($J$7:$J$406,$A55,$O$7:$O$406,"&lt;="&amp;BA$6,$P$7:$P$406,"&gt;="&amp;BA$6,$R$7:$R$406,"No"))</ns0:f>
        <ns0:v>0</ns0:v>
      </ns0:c>
      <ns0:c r="BB55" t="n">
        <ns0:f>IF($A55="",0,COUNTIFS($J$7:$J$406,$A55,$O$7:$O$406,"&lt;="&amp;BB$6,$P$7:$P$406,"&gt;="&amp;BB$6,$R$7:$R$406,"No"))</ns0:f>
        <ns0:v>0</ns0:v>
      </ns0:c>
      <ns0:c r="BC55" t="n">
        <ns0:f>IF($A55="",0,COUNTIFS($J$7:$J$406,$A55,$O$7:$O$406,"&lt;="&amp;BC$6,$P$7:$P$406,"&gt;="&amp;BC$6,$R$7:$R$406,"No"))</ns0:f>
        <ns0:v>0</ns0:v>
      </ns0:c>
    </ns0:row>
    <ns0:row r="56" ht="48" customHeight="1">
      <ns0:c r="A56" s="8" t="str">
        <ns0:f>IF(ROW()-6&gt;MAX($K$7:$K$406),"",INDEX($J$7:$J$406,MATCH(ROW()-6,$K$7:$K$406,0)))</ns0:f>
      </ns0:c>
      <ns0:c r="B56" s="8" t="str">
        <ns0:f>IF(A56="","",COUNTIFS($J$7:$J$406,$A56))</ns0:f>
      </ns0:c>
      <ns0:c r="C56" s="8" t="str">
        <ns0:f>IF(A56="","",COUNTIFS($J$7:$J$406,$A56,$N$7:$N$406,1))</ns0:f>
      </ns0:c>
      <ns0:c r="D56" s="8" t="str">
        <ns0:f>IF(A56="","",COUNTIFS($J$7:$J$406,$A56,$Q$7:$Q$406,"In Progress"))</ns0:f>
      </ns0:c>
      <ns0:c r="E56" s="8" t="str">
        <ns0:f>IF(A56="","",B56-C56)</ns0:f>
      </ns0:c>
      <ns0:c r="F56" s="19" t="str">
        <ns0:f>IF(A56="","",SUMIFS($N$7:$N$406,$J$7:$J$406,$A56)/B56)</ns0:f>
      </ns0:c>
      <ns0:c r="G56" s="8" t="str">
        <ns0:f>IF(A56="","",COUNTIFS(V56:BC56,"&gt;1"))</ns0:f>
      </ns0:c>
      <ns0:c r="H56" s="8" t="str">
        <ns0:f>IF(A56="","",IF(COUNTIFS($T$7:$T$33,A56)&gt;0,INDEX($U$7:$U$33,MATCH(A56,$T$7:$T$33,0)),"No capacity or responsibility detail supplied."))</ns0:f>
      </ns0:c>
      <ns0:c r="J56" t="str">
        <ns0:f>IF('Project Tracker'!A19="","",TRIM(MID(SUBSTITUTE('Project Tracker'!K19,";",REPT(" ",150)),151,150)))</ns0:f>
      </ns0:c>
      <ns0:c r="K56" t="str">
        <ns0:f>IF(J56="","",IF(COUNTIFS($J$7:J56,J56)=1,MAX($K$6:K55)+1,""))</ns0:f>
      </ns0:c>
      <ns0:c r="L56" t="n">
        <ns0:f>IF(A56="",0,B56+(107-ROW())/1000)</ns0:f>
        <ns0:v>0</ns0:v>
      </ns0:c>
      <ns0:c r="M56" t="str">
        <ns0:f>IF(J56="","",'Project Tracker'!A19)</ns0:f>
      </ns0:c>
      <ns0:c r="N56" t="str">
        <ns0:f>IF(J56="","",'Project Tracker'!N19)</ns0:f>
      </ns0:c>
      <ns0:c r="O56" t="str">
        <ns0:f>IF(J56="","",'Project Tracker'!E19)</ns0:f>
      </ns0:c>
      <ns0:c r="P56" t="str">
        <ns0:f>IF(J56="","",'Project Tracker'!F19)</ns0:f>
      </ns0:c>
      <ns0:c r="Q56" t="str">
        <ns0:f>IF(J56="","",'Project Tracker'!Q19)</ns0:f>
      </ns0:c>
      <ns0:c r="R56" t="str">
        <ns0:f>IF(J56="","",'Project Tracker'!J19)</ns0:f>
      </ns0:c>
      <ns0:c r="V56" t="n">
        <ns0:f>IF($A56="",0,COUNTIFS($J$7:$J$406,$A56,$O$7:$O$406,"&lt;="&amp;V$6,$P$7:$P$406,"&gt;="&amp;V$6,$R$7:$R$406,"No"))</ns0:f>
        <ns0:v>0</ns0:v>
      </ns0:c>
      <ns0:c r="W56" t="n">
        <ns0:f>IF($A56="",0,COUNTIFS($J$7:$J$406,$A56,$O$7:$O$406,"&lt;="&amp;W$6,$P$7:$P$406,"&gt;="&amp;W$6,$R$7:$R$406,"No"))</ns0:f>
        <ns0:v>0</ns0:v>
      </ns0:c>
      <ns0:c r="X56" t="n">
        <ns0:f>IF($A56="",0,COUNTIFS($J$7:$J$406,$A56,$O$7:$O$406,"&lt;="&amp;X$6,$P$7:$P$406,"&gt;="&amp;X$6,$R$7:$R$406,"No"))</ns0:f>
        <ns0:v>0</ns0:v>
      </ns0:c>
      <ns0:c r="Y56" t="n">
        <ns0:f>IF($A56="",0,COUNTIFS($J$7:$J$406,$A56,$O$7:$O$406,"&lt;="&amp;Y$6,$P$7:$P$406,"&gt;="&amp;Y$6,$R$7:$R$406,"No"))</ns0:f>
        <ns0:v>0</ns0:v>
      </ns0:c>
      <ns0:c r="Z56" t="n">
        <ns0:f>IF($A56="",0,COUNTIFS($J$7:$J$406,$A56,$O$7:$O$406,"&lt;="&amp;Z$6,$P$7:$P$406,"&gt;="&amp;Z$6,$R$7:$R$406,"No"))</ns0:f>
        <ns0:v>0</ns0:v>
      </ns0:c>
      <ns0:c r="AA56" t="n">
        <ns0:f>IF($A56="",0,COUNTIFS($J$7:$J$406,$A56,$O$7:$O$406,"&lt;="&amp;AA$6,$P$7:$P$406,"&gt;="&amp;AA$6,$R$7:$R$406,"No"))</ns0:f>
        <ns0:v>0</ns0:v>
      </ns0:c>
      <ns0:c r="AB56" t="n">
        <ns0:f>IF($A56="",0,COUNTIFS($J$7:$J$406,$A56,$O$7:$O$406,"&lt;="&amp;AB$6,$P$7:$P$406,"&gt;="&amp;AB$6,$R$7:$R$406,"No"))</ns0:f>
        <ns0:v>0</ns0:v>
      </ns0:c>
      <ns0:c r="AC56" t="n">
        <ns0:f>IF($A56="",0,COUNTIFS($J$7:$J$406,$A56,$O$7:$O$406,"&lt;="&amp;AC$6,$P$7:$P$406,"&gt;="&amp;AC$6,$R$7:$R$406,"No"))</ns0:f>
        <ns0:v>0</ns0:v>
      </ns0:c>
      <ns0:c r="AD56" t="n">
        <ns0:f>IF($A56="",0,COUNTIFS($J$7:$J$406,$A56,$O$7:$O$406,"&lt;="&amp;AD$6,$P$7:$P$406,"&gt;="&amp;AD$6,$R$7:$R$406,"No"))</ns0:f>
        <ns0:v>0</ns0:v>
      </ns0:c>
      <ns0:c r="AE56" t="n">
        <ns0:f>IF($A56="",0,COUNTIFS($J$7:$J$406,$A56,$O$7:$O$406,"&lt;="&amp;AE$6,$P$7:$P$406,"&gt;="&amp;AE$6,$R$7:$R$406,"No"))</ns0:f>
        <ns0:v>0</ns0:v>
      </ns0:c>
      <ns0:c r="AF56" t="n">
        <ns0:f>IF($A56="",0,COUNTIFS($J$7:$J$406,$A56,$O$7:$O$406,"&lt;="&amp;AF$6,$P$7:$P$406,"&gt;="&amp;AF$6,$R$7:$R$406,"No"))</ns0:f>
        <ns0:v>0</ns0:v>
      </ns0:c>
      <ns0:c r="AG56" t="n">
        <ns0:f>IF($A56="",0,COUNTIFS($J$7:$J$406,$A56,$O$7:$O$406,"&lt;="&amp;AG$6,$P$7:$P$406,"&gt;="&amp;AG$6,$R$7:$R$406,"No"))</ns0:f>
        <ns0:v>0</ns0:v>
      </ns0:c>
      <ns0:c r="AH56" t="n">
        <ns0:f>IF($A56="",0,COUNTIFS($J$7:$J$406,$A56,$O$7:$O$406,"&lt;="&amp;AH$6,$P$7:$P$406,"&gt;="&amp;AH$6,$R$7:$R$406,"No"))</ns0:f>
        <ns0:v>0</ns0:v>
      </ns0:c>
      <ns0:c r="AI56" t="n">
        <ns0:f>IF($A56="",0,COUNTIFS($J$7:$J$406,$A56,$O$7:$O$406,"&lt;="&amp;AI$6,$P$7:$P$406,"&gt;="&amp;AI$6,$R$7:$R$406,"No"))</ns0:f>
        <ns0:v>0</ns0:v>
      </ns0:c>
      <ns0:c r="AJ56" t="n">
        <ns0:f>IF($A56="",0,COUNTIFS($J$7:$J$406,$A56,$O$7:$O$406,"&lt;="&amp;AJ$6,$P$7:$P$406,"&gt;="&amp;AJ$6,$R$7:$R$406,"No"))</ns0:f>
        <ns0:v>0</ns0:v>
      </ns0:c>
      <ns0:c r="AK56" t="n">
        <ns0:f>IF($A56="",0,COUNTIFS($J$7:$J$406,$A56,$O$7:$O$406,"&lt;="&amp;AK$6,$P$7:$P$406,"&gt;="&amp;AK$6,$R$7:$R$406,"No"))</ns0:f>
        <ns0:v>0</ns0:v>
      </ns0:c>
      <ns0:c r="AL56" t="n">
        <ns0:f>IF($A56="",0,COUNTIFS($J$7:$J$406,$A56,$O$7:$O$406,"&lt;="&amp;AL$6,$P$7:$P$406,"&gt;="&amp;AL$6,$R$7:$R$406,"No"))</ns0:f>
        <ns0:v>0</ns0:v>
      </ns0:c>
      <ns0:c r="AM56" t="n">
        <ns0:f>IF($A56="",0,COUNTIFS($J$7:$J$406,$A56,$O$7:$O$406,"&lt;="&amp;AM$6,$P$7:$P$406,"&gt;="&amp;AM$6,$R$7:$R$406,"No"))</ns0:f>
        <ns0:v>0</ns0:v>
      </ns0:c>
      <ns0:c r="AN56" t="n">
        <ns0:f>IF($A56="",0,COUNTIFS($J$7:$J$406,$A56,$O$7:$O$406,"&lt;="&amp;AN$6,$P$7:$P$406,"&gt;="&amp;AN$6,$R$7:$R$406,"No"))</ns0:f>
        <ns0:v>0</ns0:v>
      </ns0:c>
      <ns0:c r="AO56" t="n">
        <ns0:f>IF($A56="",0,COUNTIFS($J$7:$J$406,$A56,$O$7:$O$406,"&lt;="&amp;AO$6,$P$7:$P$406,"&gt;="&amp;AO$6,$R$7:$R$406,"No"))</ns0:f>
        <ns0:v>0</ns0:v>
      </ns0:c>
      <ns0:c r="AP56" t="n">
        <ns0:f>IF($A56="",0,COUNTIFS($J$7:$J$406,$A56,$O$7:$O$406,"&lt;="&amp;AP$6,$P$7:$P$406,"&gt;="&amp;AP$6,$R$7:$R$406,"No"))</ns0:f>
        <ns0:v>0</ns0:v>
      </ns0:c>
      <ns0:c r="AQ56" t="n">
        <ns0:f>IF($A56="",0,COUNTIFS($J$7:$J$406,$A56,$O$7:$O$406,"&lt;="&amp;AQ$6,$P$7:$P$406,"&gt;="&amp;AQ$6,$R$7:$R$406,"No"))</ns0:f>
        <ns0:v>0</ns0:v>
      </ns0:c>
      <ns0:c r="AR56" t="n">
        <ns0:f>IF($A56="",0,COUNTIFS($J$7:$J$406,$A56,$O$7:$O$406,"&lt;="&amp;AR$6,$P$7:$P$406,"&gt;="&amp;AR$6,$R$7:$R$406,"No"))</ns0:f>
        <ns0:v>0</ns0:v>
      </ns0:c>
      <ns0:c r="AS56" t="n">
        <ns0:f>IF($A56="",0,COUNTIFS($J$7:$J$406,$A56,$O$7:$O$406,"&lt;="&amp;AS$6,$P$7:$P$406,"&gt;="&amp;AS$6,$R$7:$R$406,"No"))</ns0:f>
        <ns0:v>0</ns0:v>
      </ns0:c>
      <ns0:c r="AT56" t="n">
        <ns0:f>IF($A56="",0,COUNTIFS($J$7:$J$406,$A56,$O$7:$O$406,"&lt;="&amp;AT$6,$P$7:$P$406,"&gt;="&amp;AT$6,$R$7:$R$406,"No"))</ns0:f>
        <ns0:v>0</ns0:v>
      </ns0:c>
      <ns0:c r="AU56" t="n">
        <ns0:f>IF($A56="",0,COUNTIFS($J$7:$J$406,$A56,$O$7:$O$406,"&lt;="&amp;AU$6,$P$7:$P$406,"&gt;="&amp;AU$6,$R$7:$R$406,"No"))</ns0:f>
        <ns0:v>0</ns0:v>
      </ns0:c>
      <ns0:c r="AV56" t="n">
        <ns0:f>IF($A56="",0,COUNTIFS($J$7:$J$406,$A56,$O$7:$O$406,"&lt;="&amp;AV$6,$P$7:$P$406,"&gt;="&amp;AV$6,$R$7:$R$406,"No"))</ns0:f>
        <ns0:v>0</ns0:v>
      </ns0:c>
      <ns0:c r="AW56" t="n">
        <ns0:f>IF($A56="",0,COUNTIFS($J$7:$J$406,$A56,$O$7:$O$406,"&lt;="&amp;AW$6,$P$7:$P$406,"&gt;="&amp;AW$6,$R$7:$R$406,"No"))</ns0:f>
        <ns0:v>0</ns0:v>
      </ns0:c>
      <ns0:c r="AX56" t="n">
        <ns0:f>IF($A56="",0,COUNTIFS($J$7:$J$406,$A56,$O$7:$O$406,"&lt;="&amp;AX$6,$P$7:$P$406,"&gt;="&amp;AX$6,$R$7:$R$406,"No"))</ns0:f>
        <ns0:v>0</ns0:v>
      </ns0:c>
      <ns0:c r="AY56" t="n">
        <ns0:f>IF($A56="",0,COUNTIFS($J$7:$J$406,$A56,$O$7:$O$406,"&lt;="&amp;AY$6,$P$7:$P$406,"&gt;="&amp;AY$6,$R$7:$R$406,"No"))</ns0:f>
        <ns0:v>0</ns0:v>
      </ns0:c>
      <ns0:c r="AZ56" t="n">
        <ns0:f>IF($A56="",0,COUNTIFS($J$7:$J$406,$A56,$O$7:$O$406,"&lt;="&amp;AZ$6,$P$7:$P$406,"&gt;="&amp;AZ$6,$R$7:$R$406,"No"))</ns0:f>
        <ns0:v>0</ns0:v>
      </ns0:c>
      <ns0:c r="BA56" t="n">
        <ns0:f>IF($A56="",0,COUNTIFS($J$7:$J$406,$A56,$O$7:$O$406,"&lt;="&amp;BA$6,$P$7:$P$406,"&gt;="&amp;BA$6,$R$7:$R$406,"No"))</ns0:f>
        <ns0:v>0</ns0:v>
      </ns0:c>
      <ns0:c r="BB56" t="n">
        <ns0:f>IF($A56="",0,COUNTIFS($J$7:$J$406,$A56,$O$7:$O$406,"&lt;="&amp;BB$6,$P$7:$P$406,"&gt;="&amp;BB$6,$R$7:$R$406,"No"))</ns0:f>
        <ns0:v>0</ns0:v>
      </ns0:c>
      <ns0:c r="BC56" t="n">
        <ns0:f>IF($A56="",0,COUNTIFS($J$7:$J$406,$A56,$O$7:$O$406,"&lt;="&amp;BC$6,$P$7:$P$406,"&gt;="&amp;BC$6,$R$7:$R$406,"No"))</ns0:f>
        <ns0:v>0</ns0:v>
      </ns0:c>
    </ns0:row>
    <ns0:row r="57" ht="48" customHeight="1">
      <ns0:c r="A57" s="8" t="str">
        <ns0:f>IF(ROW()-6&gt;MAX($K$7:$K$406),"",INDEX($J$7:$J$406,MATCH(ROW()-6,$K$7:$K$406,0)))</ns0:f>
      </ns0:c>
      <ns0:c r="B57" s="8" t="str">
        <ns0:f>IF(A57="","",COUNTIFS($J$7:$J$406,$A57))</ns0:f>
      </ns0:c>
      <ns0:c r="C57" s="8" t="str">
        <ns0:f>IF(A57="","",COUNTIFS($J$7:$J$406,$A57,$N$7:$N$406,1))</ns0:f>
      </ns0:c>
      <ns0:c r="D57" s="8" t="str">
        <ns0:f>IF(A57="","",COUNTIFS($J$7:$J$406,$A57,$Q$7:$Q$406,"In Progress"))</ns0:f>
      </ns0:c>
      <ns0:c r="E57" s="8" t="str">
        <ns0:f>IF(A57="","",B57-C57)</ns0:f>
      </ns0:c>
      <ns0:c r="F57" s="19" t="str">
        <ns0:f>IF(A57="","",SUMIFS($N$7:$N$406,$J$7:$J$406,$A57)/B57)</ns0:f>
      </ns0:c>
      <ns0:c r="G57" s="8" t="str">
        <ns0:f>IF(A57="","",COUNTIFS(V57:BC57,"&gt;1"))</ns0:f>
      </ns0:c>
      <ns0:c r="H57" s="8" t="str">
        <ns0:f>IF(A57="","",IF(COUNTIFS($T$7:$T$33,A57)&gt;0,INDEX($U$7:$U$33,MATCH(A57,$T$7:$T$33,0)),"No capacity or responsibility detail supplied."))</ns0:f>
      </ns0:c>
      <ns0:c r="J57" t="str">
        <ns0:f>IF('Project Tracker'!A19="","",TRIM(MID(SUBSTITUTE('Project Tracker'!K19,";",REPT(" ",150)),301,150)))</ns0:f>
      </ns0:c>
      <ns0:c r="K57" t="str">
        <ns0:f>IF(J57="","",IF(COUNTIFS($J$7:J57,J57)=1,MAX($K$6:K56)+1,""))</ns0:f>
      </ns0:c>
      <ns0:c r="L57" t="n">
        <ns0:f>IF(A57="",0,B57+(107-ROW())/1000)</ns0:f>
        <ns0:v>0</ns0:v>
      </ns0:c>
      <ns0:c r="M57" t="str">
        <ns0:f>IF(J57="","",'Project Tracker'!A19)</ns0:f>
      </ns0:c>
      <ns0:c r="N57" t="str">
        <ns0:f>IF(J57="","",'Project Tracker'!N19)</ns0:f>
      </ns0:c>
      <ns0:c r="O57" t="str">
        <ns0:f>IF(J57="","",'Project Tracker'!E19)</ns0:f>
      </ns0:c>
      <ns0:c r="P57" t="str">
        <ns0:f>IF(J57="","",'Project Tracker'!F19)</ns0:f>
      </ns0:c>
      <ns0:c r="Q57" t="str">
        <ns0:f>IF(J57="","",'Project Tracker'!Q19)</ns0:f>
      </ns0:c>
      <ns0:c r="R57" t="str">
        <ns0:f>IF(J57="","",'Project Tracker'!J19)</ns0:f>
      </ns0:c>
      <ns0:c r="V57" t="n">
        <ns0:f>IF($A57="",0,COUNTIFS($J$7:$J$406,$A57,$O$7:$O$406,"&lt;="&amp;V$6,$P$7:$P$406,"&gt;="&amp;V$6,$R$7:$R$406,"No"))</ns0:f>
        <ns0:v>0</ns0:v>
      </ns0:c>
      <ns0:c r="W57" t="n">
        <ns0:f>IF($A57="",0,COUNTIFS($J$7:$J$406,$A57,$O$7:$O$406,"&lt;="&amp;W$6,$P$7:$P$406,"&gt;="&amp;W$6,$R$7:$R$406,"No"))</ns0:f>
        <ns0:v>0</ns0:v>
      </ns0:c>
      <ns0:c r="X57" t="n">
        <ns0:f>IF($A57="",0,COUNTIFS($J$7:$J$406,$A57,$O$7:$O$406,"&lt;="&amp;X$6,$P$7:$P$406,"&gt;="&amp;X$6,$R$7:$R$406,"No"))</ns0:f>
        <ns0:v>0</ns0:v>
      </ns0:c>
      <ns0:c r="Y57" t="n">
        <ns0:f>IF($A57="",0,COUNTIFS($J$7:$J$406,$A57,$O$7:$O$406,"&lt;="&amp;Y$6,$P$7:$P$406,"&gt;="&amp;Y$6,$R$7:$R$406,"No"))</ns0:f>
        <ns0:v>0</ns0:v>
      </ns0:c>
      <ns0:c r="Z57" t="n">
        <ns0:f>IF($A57="",0,COUNTIFS($J$7:$J$406,$A57,$O$7:$O$406,"&lt;="&amp;Z$6,$P$7:$P$406,"&gt;="&amp;Z$6,$R$7:$R$406,"No"))</ns0:f>
        <ns0:v>0</ns0:v>
      </ns0:c>
      <ns0:c r="AA57" t="n">
        <ns0:f>IF($A57="",0,COUNTIFS($J$7:$J$406,$A57,$O$7:$O$406,"&lt;="&amp;AA$6,$P$7:$P$406,"&gt;="&amp;AA$6,$R$7:$R$406,"No"))</ns0:f>
        <ns0:v>0</ns0:v>
      </ns0:c>
      <ns0:c r="AB57" t="n">
        <ns0:f>IF($A57="",0,COUNTIFS($J$7:$J$406,$A57,$O$7:$O$406,"&lt;="&amp;AB$6,$P$7:$P$406,"&gt;="&amp;AB$6,$R$7:$R$406,"No"))</ns0:f>
        <ns0:v>0</ns0:v>
      </ns0:c>
      <ns0:c r="AC57" t="n">
        <ns0:f>IF($A57="",0,COUNTIFS($J$7:$J$406,$A57,$O$7:$O$406,"&lt;="&amp;AC$6,$P$7:$P$406,"&gt;="&amp;AC$6,$R$7:$R$406,"No"))</ns0:f>
        <ns0:v>0</ns0:v>
      </ns0:c>
      <ns0:c r="AD57" t="n">
        <ns0:f>IF($A57="",0,COUNTIFS($J$7:$J$406,$A57,$O$7:$O$406,"&lt;="&amp;AD$6,$P$7:$P$406,"&gt;="&amp;AD$6,$R$7:$R$406,"No"))</ns0:f>
        <ns0:v>0</ns0:v>
      </ns0:c>
      <ns0:c r="AE57" t="n">
        <ns0:f>IF($A57="",0,COUNTIFS($J$7:$J$406,$A57,$O$7:$O$406,"&lt;="&amp;AE$6,$P$7:$P$406,"&gt;="&amp;AE$6,$R$7:$R$406,"No"))</ns0:f>
        <ns0:v>0</ns0:v>
      </ns0:c>
      <ns0:c r="AF57" t="n">
        <ns0:f>IF($A57="",0,COUNTIFS($J$7:$J$406,$A57,$O$7:$O$406,"&lt;="&amp;AF$6,$P$7:$P$406,"&gt;="&amp;AF$6,$R$7:$R$406,"No"))</ns0:f>
        <ns0:v>0</ns0:v>
      </ns0:c>
      <ns0:c r="AG57" t="n">
        <ns0:f>IF($A57="",0,COUNTIFS($J$7:$J$406,$A57,$O$7:$O$406,"&lt;="&amp;AG$6,$P$7:$P$406,"&gt;="&amp;AG$6,$R$7:$R$406,"No"))</ns0:f>
        <ns0:v>0</ns0:v>
      </ns0:c>
      <ns0:c r="AH57" t="n">
        <ns0:f>IF($A57="",0,COUNTIFS($J$7:$J$406,$A57,$O$7:$O$406,"&lt;="&amp;AH$6,$P$7:$P$406,"&gt;="&amp;AH$6,$R$7:$R$406,"No"))</ns0:f>
        <ns0:v>0</ns0:v>
      </ns0:c>
      <ns0:c r="AI57" t="n">
        <ns0:f>IF($A57="",0,COUNTIFS($J$7:$J$406,$A57,$O$7:$O$406,"&lt;="&amp;AI$6,$P$7:$P$406,"&gt;="&amp;AI$6,$R$7:$R$406,"No"))</ns0:f>
        <ns0:v>0</ns0:v>
      </ns0:c>
      <ns0:c r="AJ57" t="n">
        <ns0:f>IF($A57="",0,COUNTIFS($J$7:$J$406,$A57,$O$7:$O$406,"&lt;="&amp;AJ$6,$P$7:$P$406,"&gt;="&amp;AJ$6,$R$7:$R$406,"No"))</ns0:f>
        <ns0:v>0</ns0:v>
      </ns0:c>
      <ns0:c r="AK57" t="n">
        <ns0:f>IF($A57="",0,COUNTIFS($J$7:$J$406,$A57,$O$7:$O$406,"&lt;="&amp;AK$6,$P$7:$P$406,"&gt;="&amp;AK$6,$R$7:$R$406,"No"))</ns0:f>
        <ns0:v>0</ns0:v>
      </ns0:c>
      <ns0:c r="AL57" t="n">
        <ns0:f>IF($A57="",0,COUNTIFS($J$7:$J$406,$A57,$O$7:$O$406,"&lt;="&amp;AL$6,$P$7:$P$406,"&gt;="&amp;AL$6,$R$7:$R$406,"No"))</ns0:f>
        <ns0:v>0</ns0:v>
      </ns0:c>
      <ns0:c r="AM57" t="n">
        <ns0:f>IF($A57="",0,COUNTIFS($J$7:$J$406,$A57,$O$7:$O$406,"&lt;="&amp;AM$6,$P$7:$P$406,"&gt;="&amp;AM$6,$R$7:$R$406,"No"))</ns0:f>
        <ns0:v>0</ns0:v>
      </ns0:c>
      <ns0:c r="AN57" t="n">
        <ns0:f>IF($A57="",0,COUNTIFS($J$7:$J$406,$A57,$O$7:$O$406,"&lt;="&amp;AN$6,$P$7:$P$406,"&gt;="&amp;AN$6,$R$7:$R$406,"No"))</ns0:f>
        <ns0:v>0</ns0:v>
      </ns0:c>
      <ns0:c r="AO57" t="n">
        <ns0:f>IF($A57="",0,COUNTIFS($J$7:$J$406,$A57,$O$7:$O$406,"&lt;="&amp;AO$6,$P$7:$P$406,"&gt;="&amp;AO$6,$R$7:$R$406,"No"))</ns0:f>
        <ns0:v>0</ns0:v>
      </ns0:c>
      <ns0:c r="AP57" t="n">
        <ns0:f>IF($A57="",0,COUNTIFS($J$7:$J$406,$A57,$O$7:$O$406,"&lt;="&amp;AP$6,$P$7:$P$406,"&gt;="&amp;AP$6,$R$7:$R$406,"No"))</ns0:f>
        <ns0:v>0</ns0:v>
      </ns0:c>
      <ns0:c r="AQ57" t="n">
        <ns0:f>IF($A57="",0,COUNTIFS($J$7:$J$406,$A57,$O$7:$O$406,"&lt;="&amp;AQ$6,$P$7:$P$406,"&gt;="&amp;AQ$6,$R$7:$R$406,"No"))</ns0:f>
        <ns0:v>0</ns0:v>
      </ns0:c>
      <ns0:c r="AR57" t="n">
        <ns0:f>IF($A57="",0,COUNTIFS($J$7:$J$406,$A57,$O$7:$O$406,"&lt;="&amp;AR$6,$P$7:$P$406,"&gt;="&amp;AR$6,$R$7:$R$406,"No"))</ns0:f>
        <ns0:v>0</ns0:v>
      </ns0:c>
      <ns0:c r="AS57" t="n">
        <ns0:f>IF($A57="",0,COUNTIFS($J$7:$J$406,$A57,$O$7:$O$406,"&lt;="&amp;AS$6,$P$7:$P$406,"&gt;="&amp;AS$6,$R$7:$R$406,"No"))</ns0:f>
        <ns0:v>0</ns0:v>
      </ns0:c>
      <ns0:c r="AT57" t="n">
        <ns0:f>IF($A57="",0,COUNTIFS($J$7:$J$406,$A57,$O$7:$O$406,"&lt;="&amp;AT$6,$P$7:$P$406,"&gt;="&amp;AT$6,$R$7:$R$406,"No"))</ns0:f>
        <ns0:v>0</ns0:v>
      </ns0:c>
      <ns0:c r="AU57" t="n">
        <ns0:f>IF($A57="",0,COUNTIFS($J$7:$J$406,$A57,$O$7:$O$406,"&lt;="&amp;AU$6,$P$7:$P$406,"&gt;="&amp;AU$6,$R$7:$R$406,"No"))</ns0:f>
        <ns0:v>0</ns0:v>
      </ns0:c>
      <ns0:c r="AV57" t="n">
        <ns0:f>IF($A57="",0,COUNTIFS($J$7:$J$406,$A57,$O$7:$O$406,"&lt;="&amp;AV$6,$P$7:$P$406,"&gt;="&amp;AV$6,$R$7:$R$406,"No"))</ns0:f>
        <ns0:v>0</ns0:v>
      </ns0:c>
      <ns0:c r="AW57" t="n">
        <ns0:f>IF($A57="",0,COUNTIFS($J$7:$J$406,$A57,$O$7:$O$406,"&lt;="&amp;AW$6,$P$7:$P$406,"&gt;="&amp;AW$6,$R$7:$R$406,"No"))</ns0:f>
        <ns0:v>0</ns0:v>
      </ns0:c>
      <ns0:c r="AX57" t="n">
        <ns0:f>IF($A57="",0,COUNTIFS($J$7:$J$406,$A57,$O$7:$O$406,"&lt;="&amp;AX$6,$P$7:$P$406,"&gt;="&amp;AX$6,$R$7:$R$406,"No"))</ns0:f>
        <ns0:v>0</ns0:v>
      </ns0:c>
      <ns0:c r="AY57" t="n">
        <ns0:f>IF($A57="",0,COUNTIFS($J$7:$J$406,$A57,$O$7:$O$406,"&lt;="&amp;AY$6,$P$7:$P$406,"&gt;="&amp;AY$6,$R$7:$R$406,"No"))</ns0:f>
        <ns0:v>0</ns0:v>
      </ns0:c>
      <ns0:c r="AZ57" t="n">
        <ns0:f>IF($A57="",0,COUNTIFS($J$7:$J$406,$A57,$O$7:$O$406,"&lt;="&amp;AZ$6,$P$7:$P$406,"&gt;="&amp;AZ$6,$R$7:$R$406,"No"))</ns0:f>
        <ns0:v>0</ns0:v>
      </ns0:c>
      <ns0:c r="BA57" t="n">
        <ns0:f>IF($A57="",0,COUNTIFS($J$7:$J$406,$A57,$O$7:$O$406,"&lt;="&amp;BA$6,$P$7:$P$406,"&gt;="&amp;BA$6,$R$7:$R$406,"No"))</ns0:f>
        <ns0:v>0</ns0:v>
      </ns0:c>
      <ns0:c r="BB57" t="n">
        <ns0:f>IF($A57="",0,COUNTIFS($J$7:$J$406,$A57,$O$7:$O$406,"&lt;="&amp;BB$6,$P$7:$P$406,"&gt;="&amp;BB$6,$R$7:$R$406,"No"))</ns0:f>
        <ns0:v>0</ns0:v>
      </ns0:c>
      <ns0:c r="BC57" t="n">
        <ns0:f>IF($A57="",0,COUNTIFS($J$7:$J$406,$A57,$O$7:$O$406,"&lt;="&amp;BC$6,$P$7:$P$406,"&gt;="&amp;BC$6,$R$7:$R$406,"No"))</ns0:f>
        <ns0:v>0</ns0:v>
      </ns0:c>
    </ns0:row>
    <ns0:row r="58" ht="48" customHeight="1">
      <ns0:c r="A58" s="8" t="str">
        <ns0:f>IF(ROW()-6&gt;MAX($K$7:$K$406),"",INDEX($J$7:$J$406,MATCH(ROW()-6,$K$7:$K$406,0)))</ns0:f>
      </ns0:c>
      <ns0:c r="B58" s="8" t="str">
        <ns0:f>IF(A58="","",COUNTIFS($J$7:$J$406,$A58))</ns0:f>
      </ns0:c>
      <ns0:c r="C58" s="8" t="str">
        <ns0:f>IF(A58="","",COUNTIFS($J$7:$J$406,$A58,$N$7:$N$406,1))</ns0:f>
      </ns0:c>
      <ns0:c r="D58" s="8" t="str">
        <ns0:f>IF(A58="","",COUNTIFS($J$7:$J$406,$A58,$Q$7:$Q$406,"In Progress"))</ns0:f>
      </ns0:c>
      <ns0:c r="E58" s="8" t="str">
        <ns0:f>IF(A58="","",B58-C58)</ns0:f>
      </ns0:c>
      <ns0:c r="F58" s="19" t="str">
        <ns0:f>IF(A58="","",SUMIFS($N$7:$N$406,$J$7:$J$406,$A58)/B58)</ns0:f>
      </ns0:c>
      <ns0:c r="G58" s="8" t="str">
        <ns0:f>IF(A58="","",COUNTIFS(V58:BC58,"&gt;1"))</ns0:f>
      </ns0:c>
      <ns0:c r="H58" s="8" t="str">
        <ns0:f>IF(A58="","",IF(COUNTIFS($T$7:$T$33,A58)&gt;0,INDEX($U$7:$U$33,MATCH(A58,$T$7:$T$33,0)),"No capacity or responsibility detail supplied."))</ns0:f>
      </ns0:c>
      <ns0:c r="J58" t="str">
        <ns0:f>IF('Project Tracker'!A19="","",TRIM(MID(SUBSTITUTE('Project Tracker'!K19,";",REPT(" ",150)),451,150)))</ns0:f>
      </ns0:c>
      <ns0:c r="K58" t="str">
        <ns0:f>IF(J58="","",IF(COUNTIFS($J$7:J58,J58)=1,MAX($K$6:K57)+1,""))</ns0:f>
      </ns0:c>
      <ns0:c r="L58" t="n">
        <ns0:f>IF(A58="",0,B58+(107-ROW())/1000)</ns0:f>
        <ns0:v>0</ns0:v>
      </ns0:c>
      <ns0:c r="M58" t="str">
        <ns0:f>IF(J58="","",'Project Tracker'!A19)</ns0:f>
      </ns0:c>
      <ns0:c r="N58" t="str">
        <ns0:f>IF(J58="","",'Project Tracker'!N19)</ns0:f>
      </ns0:c>
      <ns0:c r="O58" t="str">
        <ns0:f>IF(J58="","",'Project Tracker'!E19)</ns0:f>
      </ns0:c>
      <ns0:c r="P58" t="str">
        <ns0:f>IF(J58="","",'Project Tracker'!F19)</ns0:f>
      </ns0:c>
      <ns0:c r="Q58" t="str">
        <ns0:f>IF(J58="","",'Project Tracker'!Q19)</ns0:f>
      </ns0:c>
      <ns0:c r="R58" t="str">
        <ns0:f>IF(J58="","",'Project Tracker'!J19)</ns0:f>
      </ns0:c>
      <ns0:c r="V58" t="n">
        <ns0:f>IF($A58="",0,COUNTIFS($J$7:$J$406,$A58,$O$7:$O$406,"&lt;="&amp;V$6,$P$7:$P$406,"&gt;="&amp;V$6,$R$7:$R$406,"No"))</ns0:f>
        <ns0:v>0</ns0:v>
      </ns0:c>
      <ns0:c r="W58" t="n">
        <ns0:f>IF($A58="",0,COUNTIFS($J$7:$J$406,$A58,$O$7:$O$406,"&lt;="&amp;W$6,$P$7:$P$406,"&gt;="&amp;W$6,$R$7:$R$406,"No"))</ns0:f>
        <ns0:v>0</ns0:v>
      </ns0:c>
      <ns0:c r="X58" t="n">
        <ns0:f>IF($A58="",0,COUNTIFS($J$7:$J$406,$A58,$O$7:$O$406,"&lt;="&amp;X$6,$P$7:$P$406,"&gt;="&amp;X$6,$R$7:$R$406,"No"))</ns0:f>
        <ns0:v>0</ns0:v>
      </ns0:c>
      <ns0:c r="Y58" t="n">
        <ns0:f>IF($A58="",0,COUNTIFS($J$7:$J$406,$A58,$O$7:$O$406,"&lt;="&amp;Y$6,$P$7:$P$406,"&gt;="&amp;Y$6,$R$7:$R$406,"No"))</ns0:f>
        <ns0:v>0</ns0:v>
      </ns0:c>
      <ns0:c r="Z58" t="n">
        <ns0:f>IF($A58="",0,COUNTIFS($J$7:$J$406,$A58,$O$7:$O$406,"&lt;="&amp;Z$6,$P$7:$P$406,"&gt;="&amp;Z$6,$R$7:$R$406,"No"))</ns0:f>
        <ns0:v>0</ns0:v>
      </ns0:c>
      <ns0:c r="AA58" t="n">
        <ns0:f>IF($A58="",0,COUNTIFS($J$7:$J$406,$A58,$O$7:$O$406,"&lt;="&amp;AA$6,$P$7:$P$406,"&gt;="&amp;AA$6,$R$7:$R$406,"No"))</ns0:f>
        <ns0:v>0</ns0:v>
      </ns0:c>
      <ns0:c r="AB58" t="n">
        <ns0:f>IF($A58="",0,COUNTIFS($J$7:$J$406,$A58,$O$7:$O$406,"&lt;="&amp;AB$6,$P$7:$P$406,"&gt;="&amp;AB$6,$R$7:$R$406,"No"))</ns0:f>
        <ns0:v>0</ns0:v>
      </ns0:c>
      <ns0:c r="AC58" t="n">
        <ns0:f>IF($A58="",0,COUNTIFS($J$7:$J$406,$A58,$O$7:$O$406,"&lt;="&amp;AC$6,$P$7:$P$406,"&gt;="&amp;AC$6,$R$7:$R$406,"No"))</ns0:f>
        <ns0:v>0</ns0:v>
      </ns0:c>
      <ns0:c r="AD58" t="n">
        <ns0:f>IF($A58="",0,COUNTIFS($J$7:$J$406,$A58,$O$7:$O$406,"&lt;="&amp;AD$6,$P$7:$P$406,"&gt;="&amp;AD$6,$R$7:$R$406,"No"))</ns0:f>
        <ns0:v>0</ns0:v>
      </ns0:c>
      <ns0:c r="AE58" t="n">
        <ns0:f>IF($A58="",0,COUNTIFS($J$7:$J$406,$A58,$O$7:$O$406,"&lt;="&amp;AE$6,$P$7:$P$406,"&gt;="&amp;AE$6,$R$7:$R$406,"No"))</ns0:f>
        <ns0:v>0</ns0:v>
      </ns0:c>
      <ns0:c r="AF58" t="n">
        <ns0:f>IF($A58="",0,COUNTIFS($J$7:$J$406,$A58,$O$7:$O$406,"&lt;="&amp;AF$6,$P$7:$P$406,"&gt;="&amp;AF$6,$R$7:$R$406,"No"))</ns0:f>
        <ns0:v>0</ns0:v>
      </ns0:c>
      <ns0:c r="AG58" t="n">
        <ns0:f>IF($A58="",0,COUNTIFS($J$7:$J$406,$A58,$O$7:$O$406,"&lt;="&amp;AG$6,$P$7:$P$406,"&gt;="&amp;AG$6,$R$7:$R$406,"No"))</ns0:f>
        <ns0:v>0</ns0:v>
      </ns0:c>
      <ns0:c r="AH58" t="n">
        <ns0:f>IF($A58="",0,COUNTIFS($J$7:$J$406,$A58,$O$7:$O$406,"&lt;="&amp;AH$6,$P$7:$P$406,"&gt;="&amp;AH$6,$R$7:$R$406,"No"))</ns0:f>
        <ns0:v>0</ns0:v>
      </ns0:c>
      <ns0:c r="AI58" t="n">
        <ns0:f>IF($A58="",0,COUNTIFS($J$7:$J$406,$A58,$O$7:$O$406,"&lt;="&amp;AI$6,$P$7:$P$406,"&gt;="&amp;AI$6,$R$7:$R$406,"No"))</ns0:f>
        <ns0:v>0</ns0:v>
      </ns0:c>
      <ns0:c r="AJ58" t="n">
        <ns0:f>IF($A58="",0,COUNTIFS($J$7:$J$406,$A58,$O$7:$O$406,"&lt;="&amp;AJ$6,$P$7:$P$406,"&gt;="&amp;AJ$6,$R$7:$R$406,"No"))</ns0:f>
        <ns0:v>0</ns0:v>
      </ns0:c>
      <ns0:c r="AK58" t="n">
        <ns0:f>IF($A58="",0,COUNTIFS($J$7:$J$406,$A58,$O$7:$O$406,"&lt;="&amp;AK$6,$P$7:$P$406,"&gt;="&amp;AK$6,$R$7:$R$406,"No"))</ns0:f>
        <ns0:v>0</ns0:v>
      </ns0:c>
      <ns0:c r="AL58" t="n">
        <ns0:f>IF($A58="",0,COUNTIFS($J$7:$J$406,$A58,$O$7:$O$406,"&lt;="&amp;AL$6,$P$7:$P$406,"&gt;="&amp;AL$6,$R$7:$R$406,"No"))</ns0:f>
        <ns0:v>0</ns0:v>
      </ns0:c>
      <ns0:c r="AM58" t="n">
        <ns0:f>IF($A58="",0,COUNTIFS($J$7:$J$406,$A58,$O$7:$O$406,"&lt;="&amp;AM$6,$P$7:$P$406,"&gt;="&amp;AM$6,$R$7:$R$406,"No"))</ns0:f>
        <ns0:v>0</ns0:v>
      </ns0:c>
      <ns0:c r="AN58" t="n">
        <ns0:f>IF($A58="",0,COUNTIFS($J$7:$J$406,$A58,$O$7:$O$406,"&lt;="&amp;AN$6,$P$7:$P$406,"&gt;="&amp;AN$6,$R$7:$R$406,"No"))</ns0:f>
        <ns0:v>0</ns0:v>
      </ns0:c>
      <ns0:c r="AO58" t="n">
        <ns0:f>IF($A58="",0,COUNTIFS($J$7:$J$406,$A58,$O$7:$O$406,"&lt;="&amp;AO$6,$P$7:$P$406,"&gt;="&amp;AO$6,$R$7:$R$406,"No"))</ns0:f>
        <ns0:v>0</ns0:v>
      </ns0:c>
      <ns0:c r="AP58" t="n">
        <ns0:f>IF($A58="",0,COUNTIFS($J$7:$J$406,$A58,$O$7:$O$406,"&lt;="&amp;AP$6,$P$7:$P$406,"&gt;="&amp;AP$6,$R$7:$R$406,"No"))</ns0:f>
        <ns0:v>0</ns0:v>
      </ns0:c>
      <ns0:c r="AQ58" t="n">
        <ns0:f>IF($A58="",0,COUNTIFS($J$7:$J$406,$A58,$O$7:$O$406,"&lt;="&amp;AQ$6,$P$7:$P$406,"&gt;="&amp;AQ$6,$R$7:$R$406,"No"))</ns0:f>
        <ns0:v>0</ns0:v>
      </ns0:c>
      <ns0:c r="AR58" t="n">
        <ns0:f>IF($A58="",0,COUNTIFS($J$7:$J$406,$A58,$O$7:$O$406,"&lt;="&amp;AR$6,$P$7:$P$406,"&gt;="&amp;AR$6,$R$7:$R$406,"No"))</ns0:f>
        <ns0:v>0</ns0:v>
      </ns0:c>
      <ns0:c r="AS58" t="n">
        <ns0:f>IF($A58="",0,COUNTIFS($J$7:$J$406,$A58,$O$7:$O$406,"&lt;="&amp;AS$6,$P$7:$P$406,"&gt;="&amp;AS$6,$R$7:$R$406,"No"))</ns0:f>
        <ns0:v>0</ns0:v>
      </ns0:c>
      <ns0:c r="AT58" t="n">
        <ns0:f>IF($A58="",0,COUNTIFS($J$7:$J$406,$A58,$O$7:$O$406,"&lt;="&amp;AT$6,$P$7:$P$406,"&gt;="&amp;AT$6,$R$7:$R$406,"No"))</ns0:f>
        <ns0:v>0</ns0:v>
      </ns0:c>
      <ns0:c r="AU58" t="n">
        <ns0:f>IF($A58="",0,COUNTIFS($J$7:$J$406,$A58,$O$7:$O$406,"&lt;="&amp;AU$6,$P$7:$P$406,"&gt;="&amp;AU$6,$R$7:$R$406,"No"))</ns0:f>
        <ns0:v>0</ns0:v>
      </ns0:c>
      <ns0:c r="AV58" t="n">
        <ns0:f>IF($A58="",0,COUNTIFS($J$7:$J$406,$A58,$O$7:$O$406,"&lt;="&amp;AV$6,$P$7:$P$406,"&gt;="&amp;AV$6,$R$7:$R$406,"No"))</ns0:f>
        <ns0:v>0</ns0:v>
      </ns0:c>
      <ns0:c r="AW58" t="n">
        <ns0:f>IF($A58="",0,COUNTIFS($J$7:$J$406,$A58,$O$7:$O$406,"&lt;="&amp;AW$6,$P$7:$P$406,"&gt;="&amp;AW$6,$R$7:$R$406,"No"))</ns0:f>
        <ns0:v>0</ns0:v>
      </ns0:c>
      <ns0:c r="AX58" t="n">
        <ns0:f>IF($A58="",0,COUNTIFS($J$7:$J$406,$A58,$O$7:$O$406,"&lt;="&amp;AX$6,$P$7:$P$406,"&gt;="&amp;AX$6,$R$7:$R$406,"No"))</ns0:f>
        <ns0:v>0</ns0:v>
      </ns0:c>
      <ns0:c r="AY58" t="n">
        <ns0:f>IF($A58="",0,COUNTIFS($J$7:$J$406,$A58,$O$7:$O$406,"&lt;="&amp;AY$6,$P$7:$P$406,"&gt;="&amp;AY$6,$R$7:$R$406,"No"))</ns0:f>
        <ns0:v>0</ns0:v>
      </ns0:c>
      <ns0:c r="AZ58" t="n">
        <ns0:f>IF($A58="",0,COUNTIFS($J$7:$J$406,$A58,$O$7:$O$406,"&lt;="&amp;AZ$6,$P$7:$P$406,"&gt;="&amp;AZ$6,$R$7:$R$406,"No"))</ns0:f>
        <ns0:v>0</ns0:v>
      </ns0:c>
      <ns0:c r="BA58" t="n">
        <ns0:f>IF($A58="",0,COUNTIFS($J$7:$J$406,$A58,$O$7:$O$406,"&lt;="&amp;BA$6,$P$7:$P$406,"&gt;="&amp;BA$6,$R$7:$R$406,"No"))</ns0:f>
        <ns0:v>0</ns0:v>
      </ns0:c>
      <ns0:c r="BB58" t="n">
        <ns0:f>IF($A58="",0,COUNTIFS($J$7:$J$406,$A58,$O$7:$O$406,"&lt;="&amp;BB$6,$P$7:$P$406,"&gt;="&amp;BB$6,$R$7:$R$406,"No"))</ns0:f>
        <ns0:v>0</ns0:v>
      </ns0:c>
      <ns0:c r="BC58" t="n">
        <ns0:f>IF($A58="",0,COUNTIFS($J$7:$J$406,$A58,$O$7:$O$406,"&lt;="&amp;BC$6,$P$7:$P$406,"&gt;="&amp;BC$6,$R$7:$R$406,"No"))</ns0:f>
        <ns0:v>0</ns0:v>
      </ns0:c>
    </ns0:row>
    <ns0:row r="59" ht="48" customHeight="1">
      <ns0:c r="A59" s="8" t="str">
        <ns0:f>IF(ROW()-6&gt;MAX($K$7:$K$406),"",INDEX($J$7:$J$406,MATCH(ROW()-6,$K$7:$K$406,0)))</ns0:f>
      </ns0:c>
      <ns0:c r="B59" s="8" t="str">
        <ns0:f>IF(A59="","",COUNTIFS($J$7:$J$406,$A59))</ns0:f>
      </ns0:c>
      <ns0:c r="C59" s="8" t="str">
        <ns0:f>IF(A59="","",COUNTIFS($J$7:$J$406,$A59,$N$7:$N$406,1))</ns0:f>
      </ns0:c>
      <ns0:c r="D59" s="8" t="str">
        <ns0:f>IF(A59="","",COUNTIFS($J$7:$J$406,$A59,$Q$7:$Q$406,"In Progress"))</ns0:f>
      </ns0:c>
      <ns0:c r="E59" s="8" t="str">
        <ns0:f>IF(A59="","",B59-C59)</ns0:f>
      </ns0:c>
      <ns0:c r="F59" s="19" t="str">
        <ns0:f>IF(A59="","",SUMIFS($N$7:$N$406,$J$7:$J$406,$A59)/B59)</ns0:f>
      </ns0:c>
      <ns0:c r="G59" s="8" t="str">
        <ns0:f>IF(A59="","",COUNTIFS(V59:BC59,"&gt;1"))</ns0:f>
      </ns0:c>
      <ns0:c r="H59" s="8" t="str">
        <ns0:f>IF(A59="","",IF(COUNTIFS($T$7:$T$33,A59)&gt;0,INDEX($U$7:$U$33,MATCH(A59,$T$7:$T$33,0)),"No capacity or responsibility detail supplied."))</ns0:f>
      </ns0:c>
      <ns0:c r="J59" t="str">
        <ns0:f>IF('Project Tracker'!A20="","",TRIM(MID(SUBSTITUTE('Project Tracker'!K20,";",REPT(" ",150)),1,150)))</ns0:f>
        <ns0:v>Sandbox Controller (agent_sandbox)</ns0:v>
      </ns0:c>
      <ns0:c r="K59" t="str">
        <ns0:f>IF(J59="","",IF(COUNTIFS($J$7:J59,J59)=1,MAX($K$6:K58)+1,""))</ns0:f>
      </ns0:c>
      <ns0:c r="L59" t="n">
        <ns0:f>IF(A59="",0,B59+(107-ROW())/1000)</ns0:f>
        <ns0:v>0</ns0:v>
      </ns0:c>
      <ns0:c r="M59" t="str">
        <ns0:f>IF(J59="","",'Project Tracker'!A20)</ns0:f>
        <ns0:v>T12</ns0:v>
      </ns0:c>
      <ns0:c r="N59" t="n">
        <ns0:f>IF(J59="","",'Project Tracker'!N20)</ns0:f>
        <ns0:v>0</ns0:v>
      </ns0:c>
      <ns0:c r="O59" t="n">
        <ns0:f>IF(J59="","",'Project Tracker'!E20)</ns0:f>
        <ns0:v>46281</ns0:v>
      </ns0:c>
      <ns0:c r="P59" t="n">
        <ns0:f>IF(J59="","",'Project Tracker'!F20)</ns0:f>
        <ns0:v>46282</ns0:v>
      </ns0:c>
      <ns0:c r="Q59" t="str">
        <ns0:f>IF(J59="","",'Project Tracker'!Q20)</ns0:f>
        <ns0:v>Not Started</ns0:v>
      </ns0:c>
      <ns0:c r="R59" t="str">
        <ns0:f>IF(J59="","",'Project Tracker'!J20)</ns0:f>
        <ns0:v>No</ns0:v>
      </ns0:c>
      <ns0:c r="V59" t="n">
        <ns0:f>IF($A59="",0,COUNTIFS($J$7:$J$406,$A59,$O$7:$O$406,"&lt;="&amp;V$6,$P$7:$P$406,"&gt;="&amp;V$6,$R$7:$R$406,"No"))</ns0:f>
        <ns0:v>0</ns0:v>
      </ns0:c>
      <ns0:c r="W59" t="n">
        <ns0:f>IF($A59="",0,COUNTIFS($J$7:$J$406,$A59,$O$7:$O$406,"&lt;="&amp;W$6,$P$7:$P$406,"&gt;="&amp;W$6,$R$7:$R$406,"No"))</ns0:f>
        <ns0:v>0</ns0:v>
      </ns0:c>
      <ns0:c r="X59" t="n">
        <ns0:f>IF($A59="",0,COUNTIFS($J$7:$J$406,$A59,$O$7:$O$406,"&lt;="&amp;X$6,$P$7:$P$406,"&gt;="&amp;X$6,$R$7:$R$406,"No"))</ns0:f>
        <ns0:v>0</ns0:v>
      </ns0:c>
      <ns0:c r="Y59" t="n">
        <ns0:f>IF($A59="",0,COUNTIFS($J$7:$J$406,$A59,$O$7:$O$406,"&lt;="&amp;Y$6,$P$7:$P$406,"&gt;="&amp;Y$6,$R$7:$R$406,"No"))</ns0:f>
        <ns0:v>0</ns0:v>
      </ns0:c>
      <ns0:c r="Z59" t="n">
        <ns0:f>IF($A59="",0,COUNTIFS($J$7:$J$406,$A59,$O$7:$O$406,"&lt;="&amp;Z$6,$P$7:$P$406,"&gt;="&amp;Z$6,$R$7:$R$406,"No"))</ns0:f>
        <ns0:v>0</ns0:v>
      </ns0:c>
      <ns0:c r="AA59" t="n">
        <ns0:f>IF($A59="",0,COUNTIFS($J$7:$J$406,$A59,$O$7:$O$406,"&lt;="&amp;AA$6,$P$7:$P$406,"&gt;="&amp;AA$6,$R$7:$R$406,"No"))</ns0:f>
        <ns0:v>0</ns0:v>
      </ns0:c>
      <ns0:c r="AB59" t="n">
        <ns0:f>IF($A59="",0,COUNTIFS($J$7:$J$406,$A59,$O$7:$O$406,"&lt;="&amp;AB$6,$P$7:$P$406,"&gt;="&amp;AB$6,$R$7:$R$406,"No"))</ns0:f>
        <ns0:v>0</ns0:v>
      </ns0:c>
      <ns0:c r="AC59" t="n">
        <ns0:f>IF($A59="",0,COUNTIFS($J$7:$J$406,$A59,$O$7:$O$406,"&lt;="&amp;AC$6,$P$7:$P$406,"&gt;="&amp;AC$6,$R$7:$R$406,"No"))</ns0:f>
        <ns0:v>0</ns0:v>
      </ns0:c>
      <ns0:c r="AD59" t="n">
        <ns0:f>IF($A59="",0,COUNTIFS($J$7:$J$406,$A59,$O$7:$O$406,"&lt;="&amp;AD$6,$P$7:$P$406,"&gt;="&amp;AD$6,$R$7:$R$406,"No"))</ns0:f>
        <ns0:v>0</ns0:v>
      </ns0:c>
      <ns0:c r="AE59" t="n">
        <ns0:f>IF($A59="",0,COUNTIFS($J$7:$J$406,$A59,$O$7:$O$406,"&lt;="&amp;AE$6,$P$7:$P$406,"&gt;="&amp;AE$6,$R$7:$R$406,"No"))</ns0:f>
        <ns0:v>0</ns0:v>
      </ns0:c>
      <ns0:c r="AF59" t="n">
        <ns0:f>IF($A59="",0,COUNTIFS($J$7:$J$406,$A59,$O$7:$O$406,"&lt;="&amp;AF$6,$P$7:$P$406,"&gt;="&amp;AF$6,$R$7:$R$406,"No"))</ns0:f>
        <ns0:v>0</ns0:v>
      </ns0:c>
      <ns0:c r="AG59" t="n">
        <ns0:f>IF($A59="",0,COUNTIFS($J$7:$J$406,$A59,$O$7:$O$406,"&lt;="&amp;AG$6,$P$7:$P$406,"&gt;="&amp;AG$6,$R$7:$R$406,"No"))</ns0:f>
        <ns0:v>0</ns0:v>
      </ns0:c>
      <ns0:c r="AH59" t="n">
        <ns0:f>IF($A59="",0,COUNTIFS($J$7:$J$406,$A59,$O$7:$O$406,"&lt;="&amp;AH$6,$P$7:$P$406,"&gt;="&amp;AH$6,$R$7:$R$406,"No"))</ns0:f>
        <ns0:v>0</ns0:v>
      </ns0:c>
      <ns0:c r="AI59" t="n">
        <ns0:f>IF($A59="",0,COUNTIFS($J$7:$J$406,$A59,$O$7:$O$406,"&lt;="&amp;AI$6,$P$7:$P$406,"&gt;="&amp;AI$6,$R$7:$R$406,"No"))</ns0:f>
        <ns0:v>0</ns0:v>
      </ns0:c>
      <ns0:c r="AJ59" t="n">
        <ns0:f>IF($A59="",0,COUNTIFS($J$7:$J$406,$A59,$O$7:$O$406,"&lt;="&amp;AJ$6,$P$7:$P$406,"&gt;="&amp;AJ$6,$R$7:$R$406,"No"))</ns0:f>
        <ns0:v>0</ns0:v>
      </ns0:c>
      <ns0:c r="AK59" t="n">
        <ns0:f>IF($A59="",0,COUNTIFS($J$7:$J$406,$A59,$O$7:$O$406,"&lt;="&amp;AK$6,$P$7:$P$406,"&gt;="&amp;AK$6,$R$7:$R$406,"No"))</ns0:f>
        <ns0:v>0</ns0:v>
      </ns0:c>
      <ns0:c r="AL59" t="n">
        <ns0:f>IF($A59="",0,COUNTIFS($J$7:$J$406,$A59,$O$7:$O$406,"&lt;="&amp;AL$6,$P$7:$P$406,"&gt;="&amp;AL$6,$R$7:$R$406,"No"))</ns0:f>
        <ns0:v>0</ns0:v>
      </ns0:c>
      <ns0:c r="AM59" t="n">
        <ns0:f>IF($A59="",0,COUNTIFS($J$7:$J$406,$A59,$O$7:$O$406,"&lt;="&amp;AM$6,$P$7:$P$406,"&gt;="&amp;AM$6,$R$7:$R$406,"No"))</ns0:f>
        <ns0:v>0</ns0:v>
      </ns0:c>
      <ns0:c r="AN59" t="n">
        <ns0:f>IF($A59="",0,COUNTIFS($J$7:$J$406,$A59,$O$7:$O$406,"&lt;="&amp;AN$6,$P$7:$P$406,"&gt;="&amp;AN$6,$R$7:$R$406,"No"))</ns0:f>
        <ns0:v>0</ns0:v>
      </ns0:c>
      <ns0:c r="AO59" t="n">
        <ns0:f>IF($A59="",0,COUNTIFS($J$7:$J$406,$A59,$O$7:$O$406,"&lt;="&amp;AO$6,$P$7:$P$406,"&gt;="&amp;AO$6,$R$7:$R$406,"No"))</ns0:f>
        <ns0:v>0</ns0:v>
      </ns0:c>
      <ns0:c r="AP59" t="n">
        <ns0:f>IF($A59="",0,COUNTIFS($J$7:$J$406,$A59,$O$7:$O$406,"&lt;="&amp;AP$6,$P$7:$P$406,"&gt;="&amp;AP$6,$R$7:$R$406,"No"))</ns0:f>
        <ns0:v>0</ns0:v>
      </ns0:c>
      <ns0:c r="AQ59" t="n">
        <ns0:f>IF($A59="",0,COUNTIFS($J$7:$J$406,$A59,$O$7:$O$406,"&lt;="&amp;AQ$6,$P$7:$P$406,"&gt;="&amp;AQ$6,$R$7:$R$406,"No"))</ns0:f>
        <ns0:v>0</ns0:v>
      </ns0:c>
      <ns0:c r="AR59" t="n">
        <ns0:f>IF($A59="",0,COUNTIFS($J$7:$J$406,$A59,$O$7:$O$406,"&lt;="&amp;AR$6,$P$7:$P$406,"&gt;="&amp;AR$6,$R$7:$R$406,"No"))</ns0:f>
        <ns0:v>0</ns0:v>
      </ns0:c>
      <ns0:c r="AS59" t="n">
        <ns0:f>IF($A59="",0,COUNTIFS($J$7:$J$406,$A59,$O$7:$O$406,"&lt;="&amp;AS$6,$P$7:$P$406,"&gt;="&amp;AS$6,$R$7:$R$406,"No"))</ns0:f>
        <ns0:v>0</ns0:v>
      </ns0:c>
      <ns0:c r="AT59" t="n">
        <ns0:f>IF($A59="",0,COUNTIFS($J$7:$J$406,$A59,$O$7:$O$406,"&lt;="&amp;AT$6,$P$7:$P$406,"&gt;="&amp;AT$6,$R$7:$R$406,"No"))</ns0:f>
        <ns0:v>0</ns0:v>
      </ns0:c>
      <ns0:c r="AU59" t="n">
        <ns0:f>IF($A59="",0,COUNTIFS($J$7:$J$406,$A59,$O$7:$O$406,"&lt;="&amp;AU$6,$P$7:$P$406,"&gt;="&amp;AU$6,$R$7:$R$406,"No"))</ns0:f>
        <ns0:v>0</ns0:v>
      </ns0:c>
      <ns0:c r="AV59" t="n">
        <ns0:f>IF($A59="",0,COUNTIFS($J$7:$J$406,$A59,$O$7:$O$406,"&lt;="&amp;AV$6,$P$7:$P$406,"&gt;="&amp;AV$6,$R$7:$R$406,"No"))</ns0:f>
        <ns0:v>0</ns0:v>
      </ns0:c>
      <ns0:c r="AW59" t="n">
        <ns0:f>IF($A59="",0,COUNTIFS($J$7:$J$406,$A59,$O$7:$O$406,"&lt;="&amp;AW$6,$P$7:$P$406,"&gt;="&amp;AW$6,$R$7:$R$406,"No"))</ns0:f>
        <ns0:v>0</ns0:v>
      </ns0:c>
      <ns0:c r="AX59" t="n">
        <ns0:f>IF($A59="",0,COUNTIFS($J$7:$J$406,$A59,$O$7:$O$406,"&lt;="&amp;AX$6,$P$7:$P$406,"&gt;="&amp;AX$6,$R$7:$R$406,"No"))</ns0:f>
        <ns0:v>0</ns0:v>
      </ns0:c>
      <ns0:c r="AY59" t="n">
        <ns0:f>IF($A59="",0,COUNTIFS($J$7:$J$406,$A59,$O$7:$O$406,"&lt;="&amp;AY$6,$P$7:$P$406,"&gt;="&amp;AY$6,$R$7:$R$406,"No"))</ns0:f>
        <ns0:v>0</ns0:v>
      </ns0:c>
      <ns0:c r="AZ59" t="n">
        <ns0:f>IF($A59="",0,COUNTIFS($J$7:$J$406,$A59,$O$7:$O$406,"&lt;="&amp;AZ$6,$P$7:$P$406,"&gt;="&amp;AZ$6,$R$7:$R$406,"No"))</ns0:f>
        <ns0:v>0</ns0:v>
      </ns0:c>
      <ns0:c r="BA59" t="n">
        <ns0:f>IF($A59="",0,COUNTIFS($J$7:$J$406,$A59,$O$7:$O$406,"&lt;="&amp;BA$6,$P$7:$P$406,"&gt;="&amp;BA$6,$R$7:$R$406,"No"))</ns0:f>
        <ns0:v>0</ns0:v>
      </ns0:c>
      <ns0:c r="BB59" t="n">
        <ns0:f>IF($A59="",0,COUNTIFS($J$7:$J$406,$A59,$O$7:$O$406,"&lt;="&amp;BB$6,$P$7:$P$406,"&gt;="&amp;BB$6,$R$7:$R$406,"No"))</ns0:f>
        <ns0:v>0</ns0:v>
      </ns0:c>
      <ns0:c r="BC59" t="n">
        <ns0:f>IF($A59="",0,COUNTIFS($J$7:$J$406,$A59,$O$7:$O$406,"&lt;="&amp;BC$6,$P$7:$P$406,"&gt;="&amp;BC$6,$R$7:$R$406,"No"))</ns0:f>
        <ns0:v>0</ns0:v>
      </ns0:c>
    </ns0:row>
    <ns0:row r="60" ht="48" customHeight="1">
      <ns0:c r="A60" s="8" t="str">
        <ns0:f>IF(ROW()-6&gt;MAX($K$7:$K$406),"",INDEX($J$7:$J$406,MATCH(ROW()-6,$K$7:$K$406,0)))</ns0:f>
      </ns0:c>
      <ns0:c r="B60" s="8" t="str">
        <ns0:f>IF(A60="","",COUNTIFS($J$7:$J$406,$A60))</ns0:f>
      </ns0:c>
      <ns0:c r="C60" s="8" t="str">
        <ns0:f>IF(A60="","",COUNTIFS($J$7:$J$406,$A60,$N$7:$N$406,1))</ns0:f>
      </ns0:c>
      <ns0:c r="D60" s="8" t="str">
        <ns0:f>IF(A60="","",COUNTIFS($J$7:$J$406,$A60,$Q$7:$Q$406,"In Progress"))</ns0:f>
      </ns0:c>
      <ns0:c r="E60" s="8" t="str">
        <ns0:f>IF(A60="","",B60-C60)</ns0:f>
      </ns0:c>
      <ns0:c r="F60" s="19" t="str">
        <ns0:f>IF(A60="","",SUMIFS($N$7:$N$406,$J$7:$J$406,$A60)/B60)</ns0:f>
      </ns0:c>
      <ns0:c r="G60" s="8" t="str">
        <ns0:f>IF(A60="","",COUNTIFS(V60:BC60,"&gt;1"))</ns0:f>
      </ns0:c>
      <ns0:c r="H60" s="8" t="str">
        <ns0:f>IF(A60="","",IF(COUNTIFS($T$7:$T$33,A60)&gt;0,INDEX($U$7:$U$33,MATCH(A60,$T$7:$T$33,0)),"No capacity or responsibility detail supplied."))</ns0:f>
      </ns0:c>
      <ns0:c r="J60" t="str">
        <ns0:f>IF('Project Tracker'!A20="","",TRIM(MID(SUBSTITUTE('Project Tracker'!K20,";",REPT(" ",150)),151,150)))</ns0:f>
      </ns0:c>
      <ns0:c r="K60" t="str">
        <ns0:f>IF(J60="","",IF(COUNTIFS($J$7:J60,J60)=1,MAX($K$6:K59)+1,""))</ns0:f>
      </ns0:c>
      <ns0:c r="L60" t="n">
        <ns0:f>IF(A60="",0,B60+(107-ROW())/1000)</ns0:f>
        <ns0:v>0</ns0:v>
      </ns0:c>
      <ns0:c r="M60" t="str">
        <ns0:f>IF(J60="","",'Project Tracker'!A20)</ns0:f>
      </ns0:c>
      <ns0:c r="N60" t="str">
        <ns0:f>IF(J60="","",'Project Tracker'!N20)</ns0:f>
      </ns0:c>
      <ns0:c r="O60" t="str">
        <ns0:f>IF(J60="","",'Project Tracker'!E20)</ns0:f>
      </ns0:c>
      <ns0:c r="P60" t="str">
        <ns0:f>IF(J60="","",'Project Tracker'!F20)</ns0:f>
      </ns0:c>
      <ns0:c r="Q60" t="str">
        <ns0:f>IF(J60="","",'Project Tracker'!Q20)</ns0:f>
      </ns0:c>
      <ns0:c r="R60" t="str">
        <ns0:f>IF(J60="","",'Project Tracker'!J20)</ns0:f>
      </ns0:c>
      <ns0:c r="V60" t="n">
        <ns0:f>IF($A60="",0,COUNTIFS($J$7:$J$406,$A60,$O$7:$O$406,"&lt;="&amp;V$6,$P$7:$P$406,"&gt;="&amp;V$6,$R$7:$R$406,"No"))</ns0:f>
        <ns0:v>0</ns0:v>
      </ns0:c>
      <ns0:c r="W60" t="n">
        <ns0:f>IF($A60="",0,COUNTIFS($J$7:$J$406,$A60,$O$7:$O$406,"&lt;="&amp;W$6,$P$7:$P$406,"&gt;="&amp;W$6,$R$7:$R$406,"No"))</ns0:f>
        <ns0:v>0</ns0:v>
      </ns0:c>
      <ns0:c r="X60" t="n">
        <ns0:f>IF($A60="",0,COUNTIFS($J$7:$J$406,$A60,$O$7:$O$406,"&lt;="&amp;X$6,$P$7:$P$406,"&gt;="&amp;X$6,$R$7:$R$406,"No"))</ns0:f>
        <ns0:v>0</ns0:v>
      </ns0:c>
      <ns0:c r="Y60" t="n">
        <ns0:f>IF($A60="",0,COUNTIFS($J$7:$J$406,$A60,$O$7:$O$406,"&lt;="&amp;Y$6,$P$7:$P$406,"&gt;="&amp;Y$6,$R$7:$R$406,"No"))</ns0:f>
        <ns0:v>0</ns0:v>
      </ns0:c>
      <ns0:c r="Z60" t="n">
        <ns0:f>IF($A60="",0,COUNTIFS($J$7:$J$406,$A60,$O$7:$O$406,"&lt;="&amp;Z$6,$P$7:$P$406,"&gt;="&amp;Z$6,$R$7:$R$406,"No"))</ns0:f>
        <ns0:v>0</ns0:v>
      </ns0:c>
      <ns0:c r="AA60" t="n">
        <ns0:f>IF($A60="",0,COUNTIFS($J$7:$J$406,$A60,$O$7:$O$406,"&lt;="&amp;AA$6,$P$7:$P$406,"&gt;="&amp;AA$6,$R$7:$R$406,"No"))</ns0:f>
        <ns0:v>0</ns0:v>
      </ns0:c>
      <ns0:c r="AB60" t="n">
        <ns0:f>IF($A60="",0,COUNTIFS($J$7:$J$406,$A60,$O$7:$O$406,"&lt;="&amp;AB$6,$P$7:$P$406,"&gt;="&amp;AB$6,$R$7:$R$406,"No"))</ns0:f>
        <ns0:v>0</ns0:v>
      </ns0:c>
      <ns0:c r="AC60" t="n">
        <ns0:f>IF($A60="",0,COUNTIFS($J$7:$J$406,$A60,$O$7:$O$406,"&lt;="&amp;AC$6,$P$7:$P$406,"&gt;="&amp;AC$6,$R$7:$R$406,"No"))</ns0:f>
        <ns0:v>0</ns0:v>
      </ns0:c>
      <ns0:c r="AD60" t="n">
        <ns0:f>IF($A60="",0,COUNTIFS($J$7:$J$406,$A60,$O$7:$O$406,"&lt;="&amp;AD$6,$P$7:$P$406,"&gt;="&amp;AD$6,$R$7:$R$406,"No"))</ns0:f>
        <ns0:v>0</ns0:v>
      </ns0:c>
      <ns0:c r="AE60" t="n">
        <ns0:f>IF($A60="",0,COUNTIFS($J$7:$J$406,$A60,$O$7:$O$406,"&lt;="&amp;AE$6,$P$7:$P$406,"&gt;="&amp;AE$6,$R$7:$R$406,"No"))</ns0:f>
        <ns0:v>0</ns0:v>
      </ns0:c>
      <ns0:c r="AF60" t="n">
        <ns0:f>IF($A60="",0,COUNTIFS($J$7:$J$406,$A60,$O$7:$O$406,"&lt;="&amp;AF$6,$P$7:$P$406,"&gt;="&amp;AF$6,$R$7:$R$406,"No"))</ns0:f>
        <ns0:v>0</ns0:v>
      </ns0:c>
      <ns0:c r="AG60" t="n">
        <ns0:f>IF($A60="",0,COUNTIFS($J$7:$J$406,$A60,$O$7:$O$406,"&lt;="&amp;AG$6,$P$7:$P$406,"&gt;="&amp;AG$6,$R$7:$R$406,"No"))</ns0:f>
        <ns0:v>0</ns0:v>
      </ns0:c>
      <ns0:c r="AH60" t="n">
        <ns0:f>IF($A60="",0,COUNTIFS($J$7:$J$406,$A60,$O$7:$O$406,"&lt;="&amp;AH$6,$P$7:$P$406,"&gt;="&amp;AH$6,$R$7:$R$406,"No"))</ns0:f>
        <ns0:v>0</ns0:v>
      </ns0:c>
      <ns0:c r="AI60" t="n">
        <ns0:f>IF($A60="",0,COUNTIFS($J$7:$J$406,$A60,$O$7:$O$406,"&lt;="&amp;AI$6,$P$7:$P$406,"&gt;="&amp;AI$6,$R$7:$R$406,"No"))</ns0:f>
        <ns0:v>0</ns0:v>
      </ns0:c>
      <ns0:c r="AJ60" t="n">
        <ns0:f>IF($A60="",0,COUNTIFS($J$7:$J$406,$A60,$O$7:$O$406,"&lt;="&amp;AJ$6,$P$7:$P$406,"&gt;="&amp;AJ$6,$R$7:$R$406,"No"))</ns0:f>
        <ns0:v>0</ns0:v>
      </ns0:c>
      <ns0:c r="AK60" t="n">
        <ns0:f>IF($A60="",0,COUNTIFS($J$7:$J$406,$A60,$O$7:$O$406,"&lt;="&amp;AK$6,$P$7:$P$406,"&gt;="&amp;AK$6,$R$7:$R$406,"No"))</ns0:f>
        <ns0:v>0</ns0:v>
      </ns0:c>
      <ns0:c r="AL60" t="n">
        <ns0:f>IF($A60="",0,COUNTIFS($J$7:$J$406,$A60,$O$7:$O$406,"&lt;="&amp;AL$6,$P$7:$P$406,"&gt;="&amp;AL$6,$R$7:$R$406,"No"))</ns0:f>
        <ns0:v>0</ns0:v>
      </ns0:c>
      <ns0:c r="AM60" t="n">
        <ns0:f>IF($A60="",0,COUNTIFS($J$7:$J$406,$A60,$O$7:$O$406,"&lt;="&amp;AM$6,$P$7:$P$406,"&gt;="&amp;AM$6,$R$7:$R$406,"No"))</ns0:f>
        <ns0:v>0</ns0:v>
      </ns0:c>
      <ns0:c r="AN60" t="n">
        <ns0:f>IF($A60="",0,COUNTIFS($J$7:$J$406,$A60,$O$7:$O$406,"&lt;="&amp;AN$6,$P$7:$P$406,"&gt;="&amp;AN$6,$R$7:$R$406,"No"))</ns0:f>
        <ns0:v>0</ns0:v>
      </ns0:c>
      <ns0:c r="AO60" t="n">
        <ns0:f>IF($A60="",0,COUNTIFS($J$7:$J$406,$A60,$O$7:$O$406,"&lt;="&amp;AO$6,$P$7:$P$406,"&gt;="&amp;AO$6,$R$7:$R$406,"No"))</ns0:f>
        <ns0:v>0</ns0:v>
      </ns0:c>
      <ns0:c r="AP60" t="n">
        <ns0:f>IF($A60="",0,COUNTIFS($J$7:$J$406,$A60,$O$7:$O$406,"&lt;="&amp;AP$6,$P$7:$P$406,"&gt;="&amp;AP$6,$R$7:$R$406,"No"))</ns0:f>
        <ns0:v>0</ns0:v>
      </ns0:c>
      <ns0:c r="AQ60" t="n">
        <ns0:f>IF($A60="",0,COUNTIFS($J$7:$J$406,$A60,$O$7:$O$406,"&lt;="&amp;AQ$6,$P$7:$P$406,"&gt;="&amp;AQ$6,$R$7:$R$406,"No"))</ns0:f>
        <ns0:v>0</ns0:v>
      </ns0:c>
      <ns0:c r="AR60" t="n">
        <ns0:f>IF($A60="",0,COUNTIFS($J$7:$J$406,$A60,$O$7:$O$406,"&lt;="&amp;AR$6,$P$7:$P$406,"&gt;="&amp;AR$6,$R$7:$R$406,"No"))</ns0:f>
        <ns0:v>0</ns0:v>
      </ns0:c>
      <ns0:c r="AS60" t="n">
        <ns0:f>IF($A60="",0,COUNTIFS($J$7:$J$406,$A60,$O$7:$O$406,"&lt;="&amp;AS$6,$P$7:$P$406,"&gt;="&amp;AS$6,$R$7:$R$406,"No"))</ns0:f>
        <ns0:v>0</ns0:v>
      </ns0:c>
      <ns0:c r="AT60" t="n">
        <ns0:f>IF($A60="",0,COUNTIFS($J$7:$J$406,$A60,$O$7:$O$406,"&lt;="&amp;AT$6,$P$7:$P$406,"&gt;="&amp;AT$6,$R$7:$R$406,"No"))</ns0:f>
        <ns0:v>0</ns0:v>
      </ns0:c>
      <ns0:c r="AU60" t="n">
        <ns0:f>IF($A60="",0,COUNTIFS($J$7:$J$406,$A60,$O$7:$O$406,"&lt;="&amp;AU$6,$P$7:$P$406,"&gt;="&amp;AU$6,$R$7:$R$406,"No"))</ns0:f>
        <ns0:v>0</ns0:v>
      </ns0:c>
      <ns0:c r="AV60" t="n">
        <ns0:f>IF($A60="",0,COUNTIFS($J$7:$J$406,$A60,$O$7:$O$406,"&lt;="&amp;AV$6,$P$7:$P$406,"&gt;="&amp;AV$6,$R$7:$R$406,"No"))</ns0:f>
        <ns0:v>0</ns0:v>
      </ns0:c>
      <ns0:c r="AW60" t="n">
        <ns0:f>IF($A60="",0,COUNTIFS($J$7:$J$406,$A60,$O$7:$O$406,"&lt;="&amp;AW$6,$P$7:$P$406,"&gt;="&amp;AW$6,$R$7:$R$406,"No"))</ns0:f>
        <ns0:v>0</ns0:v>
      </ns0:c>
      <ns0:c r="AX60" t="n">
        <ns0:f>IF($A60="",0,COUNTIFS($J$7:$J$406,$A60,$O$7:$O$406,"&lt;="&amp;AX$6,$P$7:$P$406,"&gt;="&amp;AX$6,$R$7:$R$406,"No"))</ns0:f>
        <ns0:v>0</ns0:v>
      </ns0:c>
      <ns0:c r="AY60" t="n">
        <ns0:f>IF($A60="",0,COUNTIFS($J$7:$J$406,$A60,$O$7:$O$406,"&lt;="&amp;AY$6,$P$7:$P$406,"&gt;="&amp;AY$6,$R$7:$R$406,"No"))</ns0:f>
        <ns0:v>0</ns0:v>
      </ns0:c>
      <ns0:c r="AZ60" t="n">
        <ns0:f>IF($A60="",0,COUNTIFS($J$7:$J$406,$A60,$O$7:$O$406,"&lt;="&amp;AZ$6,$P$7:$P$406,"&gt;="&amp;AZ$6,$R$7:$R$406,"No"))</ns0:f>
        <ns0:v>0</ns0:v>
      </ns0:c>
      <ns0:c r="BA60" t="n">
        <ns0:f>IF($A60="",0,COUNTIFS($J$7:$J$406,$A60,$O$7:$O$406,"&lt;="&amp;BA$6,$P$7:$P$406,"&gt;="&amp;BA$6,$R$7:$R$406,"No"))</ns0:f>
        <ns0:v>0</ns0:v>
      </ns0:c>
      <ns0:c r="BB60" t="n">
        <ns0:f>IF($A60="",0,COUNTIFS($J$7:$J$406,$A60,$O$7:$O$406,"&lt;="&amp;BB$6,$P$7:$P$406,"&gt;="&amp;BB$6,$R$7:$R$406,"No"))</ns0:f>
        <ns0:v>0</ns0:v>
      </ns0:c>
      <ns0:c r="BC60" t="n">
        <ns0:f>IF($A60="",0,COUNTIFS($J$7:$J$406,$A60,$O$7:$O$406,"&lt;="&amp;BC$6,$P$7:$P$406,"&gt;="&amp;BC$6,$R$7:$R$406,"No"))</ns0:f>
        <ns0:v>0</ns0:v>
      </ns0:c>
    </ns0:row>
    <ns0:row r="61" ht="48" customHeight="1">
      <ns0:c r="A61" s="8" t="str">
        <ns0:f>IF(ROW()-6&gt;MAX($K$7:$K$406),"",INDEX($J$7:$J$406,MATCH(ROW()-6,$K$7:$K$406,0)))</ns0:f>
      </ns0:c>
      <ns0:c r="B61" s="8" t="str">
        <ns0:f>IF(A61="","",COUNTIFS($J$7:$J$406,$A61))</ns0:f>
      </ns0:c>
      <ns0:c r="C61" s="8" t="str">
        <ns0:f>IF(A61="","",COUNTIFS($J$7:$J$406,$A61,$N$7:$N$406,1))</ns0:f>
      </ns0:c>
      <ns0:c r="D61" s="8" t="str">
        <ns0:f>IF(A61="","",COUNTIFS($J$7:$J$406,$A61,$Q$7:$Q$406,"In Progress"))</ns0:f>
      </ns0:c>
      <ns0:c r="E61" s="8" t="str">
        <ns0:f>IF(A61="","",B61-C61)</ns0:f>
      </ns0:c>
      <ns0:c r="F61" s="19" t="str">
        <ns0:f>IF(A61="","",SUMIFS($N$7:$N$406,$J$7:$J$406,$A61)/B61)</ns0:f>
      </ns0:c>
      <ns0:c r="G61" s="8" t="str">
        <ns0:f>IF(A61="","",COUNTIFS(V61:BC61,"&gt;1"))</ns0:f>
      </ns0:c>
      <ns0:c r="H61" s="8" t="str">
        <ns0:f>IF(A61="","",IF(COUNTIFS($T$7:$T$33,A61)&gt;0,INDEX($U$7:$U$33,MATCH(A61,$T$7:$T$33,0)),"No capacity or responsibility detail supplied."))</ns0:f>
      </ns0:c>
      <ns0:c r="J61" t="str">
        <ns0:f>IF('Project Tracker'!A20="","",TRIM(MID(SUBSTITUTE('Project Tracker'!K20,";",REPT(" ",150)),301,150)))</ns0:f>
      </ns0:c>
      <ns0:c r="K61" t="str">
        <ns0:f>IF(J61="","",IF(COUNTIFS($J$7:J61,J61)=1,MAX($K$6:K60)+1,""))</ns0:f>
      </ns0:c>
      <ns0:c r="L61" t="n">
        <ns0:f>IF(A61="",0,B61+(107-ROW())/1000)</ns0:f>
        <ns0:v>0</ns0:v>
      </ns0:c>
      <ns0:c r="M61" t="str">
        <ns0:f>IF(J61="","",'Project Tracker'!A20)</ns0:f>
      </ns0:c>
      <ns0:c r="N61" t="str">
        <ns0:f>IF(J61="","",'Project Tracker'!N20)</ns0:f>
      </ns0:c>
      <ns0:c r="O61" t="str">
        <ns0:f>IF(J61="","",'Project Tracker'!E20)</ns0:f>
      </ns0:c>
      <ns0:c r="P61" t="str">
        <ns0:f>IF(J61="","",'Project Tracker'!F20)</ns0:f>
      </ns0:c>
      <ns0:c r="Q61" t="str">
        <ns0:f>IF(J61="","",'Project Tracker'!Q20)</ns0:f>
      </ns0:c>
      <ns0:c r="R61" t="str">
        <ns0:f>IF(J61="","",'Project Tracker'!J20)</ns0:f>
      </ns0:c>
      <ns0:c r="V61" t="n">
        <ns0:f>IF($A61="",0,COUNTIFS($J$7:$J$406,$A61,$O$7:$O$406,"&lt;="&amp;V$6,$P$7:$P$406,"&gt;="&amp;V$6,$R$7:$R$406,"No"))</ns0:f>
        <ns0:v>0</ns0:v>
      </ns0:c>
      <ns0:c r="W61" t="n">
        <ns0:f>IF($A61="",0,COUNTIFS($J$7:$J$406,$A61,$O$7:$O$406,"&lt;="&amp;W$6,$P$7:$P$406,"&gt;="&amp;W$6,$R$7:$R$406,"No"))</ns0:f>
        <ns0:v>0</ns0:v>
      </ns0:c>
      <ns0:c r="X61" t="n">
        <ns0:f>IF($A61="",0,COUNTIFS($J$7:$J$406,$A61,$O$7:$O$406,"&lt;="&amp;X$6,$P$7:$P$406,"&gt;="&amp;X$6,$R$7:$R$406,"No"))</ns0:f>
        <ns0:v>0</ns0:v>
      </ns0:c>
      <ns0:c r="Y61" t="n">
        <ns0:f>IF($A61="",0,COUNTIFS($J$7:$J$406,$A61,$O$7:$O$406,"&lt;="&amp;Y$6,$P$7:$P$406,"&gt;="&amp;Y$6,$R$7:$R$406,"No"))</ns0:f>
        <ns0:v>0</ns0:v>
      </ns0:c>
      <ns0:c r="Z61" t="n">
        <ns0:f>IF($A61="",0,COUNTIFS($J$7:$J$406,$A61,$O$7:$O$406,"&lt;="&amp;Z$6,$P$7:$P$406,"&gt;="&amp;Z$6,$R$7:$R$406,"No"))</ns0:f>
        <ns0:v>0</ns0:v>
      </ns0:c>
      <ns0:c r="AA61" t="n">
        <ns0:f>IF($A61="",0,COUNTIFS($J$7:$J$406,$A61,$O$7:$O$406,"&lt;="&amp;AA$6,$P$7:$P$406,"&gt;="&amp;AA$6,$R$7:$R$406,"No"))</ns0:f>
        <ns0:v>0</ns0:v>
      </ns0:c>
      <ns0:c r="AB61" t="n">
        <ns0:f>IF($A61="",0,COUNTIFS($J$7:$J$406,$A61,$O$7:$O$406,"&lt;="&amp;AB$6,$P$7:$P$406,"&gt;="&amp;AB$6,$R$7:$R$406,"No"))</ns0:f>
        <ns0:v>0</ns0:v>
      </ns0:c>
      <ns0:c r="AC61" t="n">
        <ns0:f>IF($A61="",0,COUNTIFS($J$7:$J$406,$A61,$O$7:$O$406,"&lt;="&amp;AC$6,$P$7:$P$406,"&gt;="&amp;AC$6,$R$7:$R$406,"No"))</ns0:f>
        <ns0:v>0</ns0:v>
      </ns0:c>
      <ns0:c r="AD61" t="n">
        <ns0:f>IF($A61="",0,COUNTIFS($J$7:$J$406,$A61,$O$7:$O$406,"&lt;="&amp;AD$6,$P$7:$P$406,"&gt;="&amp;AD$6,$R$7:$R$406,"No"))</ns0:f>
        <ns0:v>0</ns0:v>
      </ns0:c>
      <ns0:c r="AE61" t="n">
        <ns0:f>IF($A61="",0,COUNTIFS($J$7:$J$406,$A61,$O$7:$O$406,"&lt;="&amp;AE$6,$P$7:$P$406,"&gt;="&amp;AE$6,$R$7:$R$406,"No"))</ns0:f>
        <ns0:v>0</ns0:v>
      </ns0:c>
      <ns0:c r="AF61" t="n">
        <ns0:f>IF($A61="",0,COUNTIFS($J$7:$J$406,$A61,$O$7:$O$406,"&lt;="&amp;AF$6,$P$7:$P$406,"&gt;="&amp;AF$6,$R$7:$R$406,"No"))</ns0:f>
        <ns0:v>0</ns0:v>
      </ns0:c>
      <ns0:c r="AG61" t="n">
        <ns0:f>IF($A61="",0,COUNTIFS($J$7:$J$406,$A61,$O$7:$O$406,"&lt;="&amp;AG$6,$P$7:$P$406,"&gt;="&amp;AG$6,$R$7:$R$406,"No"))</ns0:f>
        <ns0:v>0</ns0:v>
      </ns0:c>
      <ns0:c r="AH61" t="n">
        <ns0:f>IF($A61="",0,COUNTIFS($J$7:$J$406,$A61,$O$7:$O$406,"&lt;="&amp;AH$6,$P$7:$P$406,"&gt;="&amp;AH$6,$R$7:$R$406,"No"))</ns0:f>
        <ns0:v>0</ns0:v>
      </ns0:c>
      <ns0:c r="AI61" t="n">
        <ns0:f>IF($A61="",0,COUNTIFS($J$7:$J$406,$A61,$O$7:$O$406,"&lt;="&amp;AI$6,$P$7:$P$406,"&gt;="&amp;AI$6,$R$7:$R$406,"No"))</ns0:f>
        <ns0:v>0</ns0:v>
      </ns0:c>
      <ns0:c r="AJ61" t="n">
        <ns0:f>IF($A61="",0,COUNTIFS($J$7:$J$406,$A61,$O$7:$O$406,"&lt;="&amp;AJ$6,$P$7:$P$406,"&gt;="&amp;AJ$6,$R$7:$R$406,"No"))</ns0:f>
        <ns0:v>0</ns0:v>
      </ns0:c>
      <ns0:c r="AK61" t="n">
        <ns0:f>IF($A61="",0,COUNTIFS($J$7:$J$406,$A61,$O$7:$O$406,"&lt;="&amp;AK$6,$P$7:$P$406,"&gt;="&amp;AK$6,$R$7:$R$406,"No"))</ns0:f>
        <ns0:v>0</ns0:v>
      </ns0:c>
      <ns0:c r="AL61" t="n">
        <ns0:f>IF($A61="",0,COUNTIFS($J$7:$J$406,$A61,$O$7:$O$406,"&lt;="&amp;AL$6,$P$7:$P$406,"&gt;="&amp;AL$6,$R$7:$R$406,"No"))</ns0:f>
        <ns0:v>0</ns0:v>
      </ns0:c>
      <ns0:c r="AM61" t="n">
        <ns0:f>IF($A61="",0,COUNTIFS($J$7:$J$406,$A61,$O$7:$O$406,"&lt;="&amp;AM$6,$P$7:$P$406,"&gt;="&amp;AM$6,$R$7:$R$406,"No"))</ns0:f>
        <ns0:v>0</ns0:v>
      </ns0:c>
      <ns0:c r="AN61" t="n">
        <ns0:f>IF($A61="",0,COUNTIFS($J$7:$J$406,$A61,$O$7:$O$406,"&lt;="&amp;AN$6,$P$7:$P$406,"&gt;="&amp;AN$6,$R$7:$R$406,"No"))</ns0:f>
        <ns0:v>0</ns0:v>
      </ns0:c>
      <ns0:c r="AO61" t="n">
        <ns0:f>IF($A61="",0,COUNTIFS($J$7:$J$406,$A61,$O$7:$O$406,"&lt;="&amp;AO$6,$P$7:$P$406,"&gt;="&amp;AO$6,$R$7:$R$406,"No"))</ns0:f>
        <ns0:v>0</ns0:v>
      </ns0:c>
      <ns0:c r="AP61" t="n">
        <ns0:f>IF($A61="",0,COUNTIFS($J$7:$J$406,$A61,$O$7:$O$406,"&lt;="&amp;AP$6,$P$7:$P$406,"&gt;="&amp;AP$6,$R$7:$R$406,"No"))</ns0:f>
        <ns0:v>0</ns0:v>
      </ns0:c>
      <ns0:c r="AQ61" t="n">
        <ns0:f>IF($A61="",0,COUNTIFS($J$7:$J$406,$A61,$O$7:$O$406,"&lt;="&amp;AQ$6,$P$7:$P$406,"&gt;="&amp;AQ$6,$R$7:$R$406,"No"))</ns0:f>
        <ns0:v>0</ns0:v>
      </ns0:c>
      <ns0:c r="AR61" t="n">
        <ns0:f>IF($A61="",0,COUNTIFS($J$7:$J$406,$A61,$O$7:$O$406,"&lt;="&amp;AR$6,$P$7:$P$406,"&gt;="&amp;AR$6,$R$7:$R$406,"No"))</ns0:f>
        <ns0:v>0</ns0:v>
      </ns0:c>
      <ns0:c r="AS61" t="n">
        <ns0:f>IF($A61="",0,COUNTIFS($J$7:$J$406,$A61,$O$7:$O$406,"&lt;="&amp;AS$6,$P$7:$P$406,"&gt;="&amp;AS$6,$R$7:$R$406,"No"))</ns0:f>
        <ns0:v>0</ns0:v>
      </ns0:c>
      <ns0:c r="AT61" t="n">
        <ns0:f>IF($A61="",0,COUNTIFS($J$7:$J$406,$A61,$O$7:$O$406,"&lt;="&amp;AT$6,$P$7:$P$406,"&gt;="&amp;AT$6,$R$7:$R$406,"No"))</ns0:f>
        <ns0:v>0</ns0:v>
      </ns0:c>
      <ns0:c r="AU61" t="n">
        <ns0:f>IF($A61="",0,COUNTIFS($J$7:$J$406,$A61,$O$7:$O$406,"&lt;="&amp;AU$6,$P$7:$P$406,"&gt;="&amp;AU$6,$R$7:$R$406,"No"))</ns0:f>
        <ns0:v>0</ns0:v>
      </ns0:c>
      <ns0:c r="AV61" t="n">
        <ns0:f>IF($A61="",0,COUNTIFS($J$7:$J$406,$A61,$O$7:$O$406,"&lt;="&amp;AV$6,$P$7:$P$406,"&gt;="&amp;AV$6,$R$7:$R$406,"No"))</ns0:f>
        <ns0:v>0</ns0:v>
      </ns0:c>
      <ns0:c r="AW61" t="n">
        <ns0:f>IF($A61="",0,COUNTIFS($J$7:$J$406,$A61,$O$7:$O$406,"&lt;="&amp;AW$6,$P$7:$P$406,"&gt;="&amp;AW$6,$R$7:$R$406,"No"))</ns0:f>
        <ns0:v>0</ns0:v>
      </ns0:c>
      <ns0:c r="AX61" t="n">
        <ns0:f>IF($A61="",0,COUNTIFS($J$7:$J$406,$A61,$O$7:$O$406,"&lt;="&amp;AX$6,$P$7:$P$406,"&gt;="&amp;AX$6,$R$7:$R$406,"No"))</ns0:f>
        <ns0:v>0</ns0:v>
      </ns0:c>
      <ns0:c r="AY61" t="n">
        <ns0:f>IF($A61="",0,COUNTIFS($J$7:$J$406,$A61,$O$7:$O$406,"&lt;="&amp;AY$6,$P$7:$P$406,"&gt;="&amp;AY$6,$R$7:$R$406,"No"))</ns0:f>
        <ns0:v>0</ns0:v>
      </ns0:c>
      <ns0:c r="AZ61" t="n">
        <ns0:f>IF($A61="",0,COUNTIFS($J$7:$J$406,$A61,$O$7:$O$406,"&lt;="&amp;AZ$6,$P$7:$P$406,"&gt;="&amp;AZ$6,$R$7:$R$406,"No"))</ns0:f>
        <ns0:v>0</ns0:v>
      </ns0:c>
      <ns0:c r="BA61" t="n">
        <ns0:f>IF($A61="",0,COUNTIFS($J$7:$J$406,$A61,$O$7:$O$406,"&lt;="&amp;BA$6,$P$7:$P$406,"&gt;="&amp;BA$6,$R$7:$R$406,"No"))</ns0:f>
        <ns0:v>0</ns0:v>
      </ns0:c>
      <ns0:c r="BB61" t="n">
        <ns0:f>IF($A61="",0,COUNTIFS($J$7:$J$406,$A61,$O$7:$O$406,"&lt;="&amp;BB$6,$P$7:$P$406,"&gt;="&amp;BB$6,$R$7:$R$406,"No"))</ns0:f>
        <ns0:v>0</ns0:v>
      </ns0:c>
      <ns0:c r="BC61" t="n">
        <ns0:f>IF($A61="",0,COUNTIFS($J$7:$J$406,$A61,$O$7:$O$406,"&lt;="&amp;BC$6,$P$7:$P$406,"&gt;="&amp;BC$6,$R$7:$R$406,"No"))</ns0:f>
        <ns0:v>0</ns0:v>
      </ns0:c>
    </ns0:row>
    <ns0:row r="62" ht="48" customHeight="1">
      <ns0:c r="A62" s="8" t="str">
        <ns0:f>IF(ROW()-6&gt;MAX($K$7:$K$406),"",INDEX($J$7:$J$406,MATCH(ROW()-6,$K$7:$K$406,0)))</ns0:f>
      </ns0:c>
      <ns0:c r="B62" s="8" t="str">
        <ns0:f>IF(A62="","",COUNTIFS($J$7:$J$406,$A62))</ns0:f>
      </ns0:c>
      <ns0:c r="C62" s="8" t="str">
        <ns0:f>IF(A62="","",COUNTIFS($J$7:$J$406,$A62,$N$7:$N$406,1))</ns0:f>
      </ns0:c>
      <ns0:c r="D62" s="8" t="str">
        <ns0:f>IF(A62="","",COUNTIFS($J$7:$J$406,$A62,$Q$7:$Q$406,"In Progress"))</ns0:f>
      </ns0:c>
      <ns0:c r="E62" s="8" t="str">
        <ns0:f>IF(A62="","",B62-C62)</ns0:f>
      </ns0:c>
      <ns0:c r="F62" s="19" t="str">
        <ns0:f>IF(A62="","",SUMIFS($N$7:$N$406,$J$7:$J$406,$A62)/B62)</ns0:f>
      </ns0:c>
      <ns0:c r="G62" s="8" t="str">
        <ns0:f>IF(A62="","",COUNTIFS(V62:BC62,"&gt;1"))</ns0:f>
      </ns0:c>
      <ns0:c r="H62" s="8" t="str">
        <ns0:f>IF(A62="","",IF(COUNTIFS($T$7:$T$33,A62)&gt;0,INDEX($U$7:$U$33,MATCH(A62,$T$7:$T$33,0)),"No capacity or responsibility detail supplied."))</ns0:f>
      </ns0:c>
      <ns0:c r="J62" t="str">
        <ns0:f>IF('Project Tracker'!A20="","",TRIM(MID(SUBSTITUTE('Project Tracker'!K20,";",REPT(" ",150)),451,150)))</ns0:f>
      </ns0:c>
      <ns0:c r="K62" t="str">
        <ns0:f>IF(J62="","",IF(COUNTIFS($J$7:J62,J62)=1,MAX($K$6:K61)+1,""))</ns0:f>
      </ns0:c>
      <ns0:c r="L62" t="n">
        <ns0:f>IF(A62="",0,B62+(107-ROW())/1000)</ns0:f>
        <ns0:v>0</ns0:v>
      </ns0:c>
      <ns0:c r="M62" t="str">
        <ns0:f>IF(J62="","",'Project Tracker'!A20)</ns0:f>
      </ns0:c>
      <ns0:c r="N62" t="str">
        <ns0:f>IF(J62="","",'Project Tracker'!N20)</ns0:f>
      </ns0:c>
      <ns0:c r="O62" t="str">
        <ns0:f>IF(J62="","",'Project Tracker'!E20)</ns0:f>
      </ns0:c>
      <ns0:c r="P62" t="str">
        <ns0:f>IF(J62="","",'Project Tracker'!F20)</ns0:f>
      </ns0:c>
      <ns0:c r="Q62" t="str">
        <ns0:f>IF(J62="","",'Project Tracker'!Q20)</ns0:f>
      </ns0:c>
      <ns0:c r="R62" t="str">
        <ns0:f>IF(J62="","",'Project Tracker'!J20)</ns0:f>
      </ns0:c>
      <ns0:c r="V62" t="n">
        <ns0:f>IF($A62="",0,COUNTIFS($J$7:$J$406,$A62,$O$7:$O$406,"&lt;="&amp;V$6,$P$7:$P$406,"&gt;="&amp;V$6,$R$7:$R$406,"No"))</ns0:f>
        <ns0:v>0</ns0:v>
      </ns0:c>
      <ns0:c r="W62" t="n">
        <ns0:f>IF($A62="",0,COUNTIFS($J$7:$J$406,$A62,$O$7:$O$406,"&lt;="&amp;W$6,$P$7:$P$406,"&gt;="&amp;W$6,$R$7:$R$406,"No"))</ns0:f>
        <ns0:v>0</ns0:v>
      </ns0:c>
      <ns0:c r="X62" t="n">
        <ns0:f>IF($A62="",0,COUNTIFS($J$7:$J$406,$A62,$O$7:$O$406,"&lt;="&amp;X$6,$P$7:$P$406,"&gt;="&amp;X$6,$R$7:$R$406,"No"))</ns0:f>
        <ns0:v>0</ns0:v>
      </ns0:c>
      <ns0:c r="Y62" t="n">
        <ns0:f>IF($A62="",0,COUNTIFS($J$7:$J$406,$A62,$O$7:$O$406,"&lt;="&amp;Y$6,$P$7:$P$406,"&gt;="&amp;Y$6,$R$7:$R$406,"No"))</ns0:f>
        <ns0:v>0</ns0:v>
      </ns0:c>
      <ns0:c r="Z62" t="n">
        <ns0:f>IF($A62="",0,COUNTIFS($J$7:$J$406,$A62,$O$7:$O$406,"&lt;="&amp;Z$6,$P$7:$P$406,"&gt;="&amp;Z$6,$R$7:$R$406,"No"))</ns0:f>
        <ns0:v>0</ns0:v>
      </ns0:c>
      <ns0:c r="AA62" t="n">
        <ns0:f>IF($A62="",0,COUNTIFS($J$7:$J$406,$A62,$O$7:$O$406,"&lt;="&amp;AA$6,$P$7:$P$406,"&gt;="&amp;AA$6,$R$7:$R$406,"No"))</ns0:f>
        <ns0:v>0</ns0:v>
      </ns0:c>
      <ns0:c r="AB62" t="n">
        <ns0:f>IF($A62="",0,COUNTIFS($J$7:$J$406,$A62,$O$7:$O$406,"&lt;="&amp;AB$6,$P$7:$P$406,"&gt;="&amp;AB$6,$R$7:$R$406,"No"))</ns0:f>
        <ns0:v>0</ns0:v>
      </ns0:c>
      <ns0:c r="AC62" t="n">
        <ns0:f>IF($A62="",0,COUNTIFS($J$7:$J$406,$A62,$O$7:$O$406,"&lt;="&amp;AC$6,$P$7:$P$406,"&gt;="&amp;AC$6,$R$7:$R$406,"No"))</ns0:f>
        <ns0:v>0</ns0:v>
      </ns0:c>
      <ns0:c r="AD62" t="n">
        <ns0:f>IF($A62="",0,COUNTIFS($J$7:$J$406,$A62,$O$7:$O$406,"&lt;="&amp;AD$6,$P$7:$P$406,"&gt;="&amp;AD$6,$R$7:$R$406,"No"))</ns0:f>
        <ns0:v>0</ns0:v>
      </ns0:c>
      <ns0:c r="AE62" t="n">
        <ns0:f>IF($A62="",0,COUNTIFS($J$7:$J$406,$A62,$O$7:$O$406,"&lt;="&amp;AE$6,$P$7:$P$406,"&gt;="&amp;AE$6,$R$7:$R$406,"No"))</ns0:f>
        <ns0:v>0</ns0:v>
      </ns0:c>
      <ns0:c r="AF62" t="n">
        <ns0:f>IF($A62="",0,COUNTIFS($J$7:$J$406,$A62,$O$7:$O$406,"&lt;="&amp;AF$6,$P$7:$P$406,"&gt;="&amp;AF$6,$R$7:$R$406,"No"))</ns0:f>
        <ns0:v>0</ns0:v>
      </ns0:c>
      <ns0:c r="AG62" t="n">
        <ns0:f>IF($A62="",0,COUNTIFS($J$7:$J$406,$A62,$O$7:$O$406,"&lt;="&amp;AG$6,$P$7:$P$406,"&gt;="&amp;AG$6,$R$7:$R$406,"No"))</ns0:f>
        <ns0:v>0</ns0:v>
      </ns0:c>
      <ns0:c r="AH62" t="n">
        <ns0:f>IF($A62="",0,COUNTIFS($J$7:$J$406,$A62,$O$7:$O$406,"&lt;="&amp;AH$6,$P$7:$P$406,"&gt;="&amp;AH$6,$R$7:$R$406,"No"))</ns0:f>
        <ns0:v>0</ns0:v>
      </ns0:c>
      <ns0:c r="AI62" t="n">
        <ns0:f>IF($A62="",0,COUNTIFS($J$7:$J$406,$A62,$O$7:$O$406,"&lt;="&amp;AI$6,$P$7:$P$406,"&gt;="&amp;AI$6,$R$7:$R$406,"No"))</ns0:f>
        <ns0:v>0</ns0:v>
      </ns0:c>
      <ns0:c r="AJ62" t="n">
        <ns0:f>IF($A62="",0,COUNTIFS($J$7:$J$406,$A62,$O$7:$O$406,"&lt;="&amp;AJ$6,$P$7:$P$406,"&gt;="&amp;AJ$6,$R$7:$R$406,"No"))</ns0:f>
        <ns0:v>0</ns0:v>
      </ns0:c>
      <ns0:c r="AK62" t="n">
        <ns0:f>IF($A62="",0,COUNTIFS($J$7:$J$406,$A62,$O$7:$O$406,"&lt;="&amp;AK$6,$P$7:$P$406,"&gt;="&amp;AK$6,$R$7:$R$406,"No"))</ns0:f>
        <ns0:v>0</ns0:v>
      </ns0:c>
      <ns0:c r="AL62" t="n">
        <ns0:f>IF($A62="",0,COUNTIFS($J$7:$J$406,$A62,$O$7:$O$406,"&lt;="&amp;AL$6,$P$7:$P$406,"&gt;="&amp;AL$6,$R$7:$R$406,"No"))</ns0:f>
        <ns0:v>0</ns0:v>
      </ns0:c>
      <ns0:c r="AM62" t="n">
        <ns0:f>IF($A62="",0,COUNTIFS($J$7:$J$406,$A62,$O$7:$O$406,"&lt;="&amp;AM$6,$P$7:$P$406,"&gt;="&amp;AM$6,$R$7:$R$406,"No"))</ns0:f>
        <ns0:v>0</ns0:v>
      </ns0:c>
      <ns0:c r="AN62" t="n">
        <ns0:f>IF($A62="",0,COUNTIFS($J$7:$J$406,$A62,$O$7:$O$406,"&lt;="&amp;AN$6,$P$7:$P$406,"&gt;="&amp;AN$6,$R$7:$R$406,"No"))</ns0:f>
        <ns0:v>0</ns0:v>
      </ns0:c>
      <ns0:c r="AO62" t="n">
        <ns0:f>IF($A62="",0,COUNTIFS($J$7:$J$406,$A62,$O$7:$O$406,"&lt;="&amp;AO$6,$P$7:$P$406,"&gt;="&amp;AO$6,$R$7:$R$406,"No"))</ns0:f>
        <ns0:v>0</ns0:v>
      </ns0:c>
      <ns0:c r="AP62" t="n">
        <ns0:f>IF($A62="",0,COUNTIFS($J$7:$J$406,$A62,$O$7:$O$406,"&lt;="&amp;AP$6,$P$7:$P$406,"&gt;="&amp;AP$6,$R$7:$R$406,"No"))</ns0:f>
        <ns0:v>0</ns0:v>
      </ns0:c>
      <ns0:c r="AQ62" t="n">
        <ns0:f>IF($A62="",0,COUNTIFS($J$7:$J$406,$A62,$O$7:$O$406,"&lt;="&amp;AQ$6,$P$7:$P$406,"&gt;="&amp;AQ$6,$R$7:$R$406,"No"))</ns0:f>
        <ns0:v>0</ns0:v>
      </ns0:c>
      <ns0:c r="AR62" t="n">
        <ns0:f>IF($A62="",0,COUNTIFS($J$7:$J$406,$A62,$O$7:$O$406,"&lt;="&amp;AR$6,$P$7:$P$406,"&gt;="&amp;AR$6,$R$7:$R$406,"No"))</ns0:f>
        <ns0:v>0</ns0:v>
      </ns0:c>
      <ns0:c r="AS62" t="n">
        <ns0:f>IF($A62="",0,COUNTIFS($J$7:$J$406,$A62,$O$7:$O$406,"&lt;="&amp;AS$6,$P$7:$P$406,"&gt;="&amp;AS$6,$R$7:$R$406,"No"))</ns0:f>
        <ns0:v>0</ns0:v>
      </ns0:c>
      <ns0:c r="AT62" t="n">
        <ns0:f>IF($A62="",0,COUNTIFS($J$7:$J$406,$A62,$O$7:$O$406,"&lt;="&amp;AT$6,$P$7:$P$406,"&gt;="&amp;AT$6,$R$7:$R$406,"No"))</ns0:f>
        <ns0:v>0</ns0:v>
      </ns0:c>
      <ns0:c r="AU62" t="n">
        <ns0:f>IF($A62="",0,COUNTIFS($J$7:$J$406,$A62,$O$7:$O$406,"&lt;="&amp;AU$6,$P$7:$P$406,"&gt;="&amp;AU$6,$R$7:$R$406,"No"))</ns0:f>
        <ns0:v>0</ns0:v>
      </ns0:c>
      <ns0:c r="AV62" t="n">
        <ns0:f>IF($A62="",0,COUNTIFS($J$7:$J$406,$A62,$O$7:$O$406,"&lt;="&amp;AV$6,$P$7:$P$406,"&gt;="&amp;AV$6,$R$7:$R$406,"No"))</ns0:f>
        <ns0:v>0</ns0:v>
      </ns0:c>
      <ns0:c r="AW62" t="n">
        <ns0:f>IF($A62="",0,COUNTIFS($J$7:$J$406,$A62,$O$7:$O$406,"&lt;="&amp;AW$6,$P$7:$P$406,"&gt;="&amp;AW$6,$R$7:$R$406,"No"))</ns0:f>
        <ns0:v>0</ns0:v>
      </ns0:c>
      <ns0:c r="AX62" t="n">
        <ns0:f>IF($A62="",0,COUNTIFS($J$7:$J$406,$A62,$O$7:$O$406,"&lt;="&amp;AX$6,$P$7:$P$406,"&gt;="&amp;AX$6,$R$7:$R$406,"No"))</ns0:f>
        <ns0:v>0</ns0:v>
      </ns0:c>
      <ns0:c r="AY62" t="n">
        <ns0:f>IF($A62="",0,COUNTIFS($J$7:$J$406,$A62,$O$7:$O$406,"&lt;="&amp;AY$6,$P$7:$P$406,"&gt;="&amp;AY$6,$R$7:$R$406,"No"))</ns0:f>
        <ns0:v>0</ns0:v>
      </ns0:c>
      <ns0:c r="AZ62" t="n">
        <ns0:f>IF($A62="",0,COUNTIFS($J$7:$J$406,$A62,$O$7:$O$406,"&lt;="&amp;AZ$6,$P$7:$P$406,"&gt;="&amp;AZ$6,$R$7:$R$406,"No"))</ns0:f>
        <ns0:v>0</ns0:v>
      </ns0:c>
      <ns0:c r="BA62" t="n">
        <ns0:f>IF($A62="",0,COUNTIFS($J$7:$J$406,$A62,$O$7:$O$406,"&lt;="&amp;BA$6,$P$7:$P$406,"&gt;="&amp;BA$6,$R$7:$R$406,"No"))</ns0:f>
        <ns0:v>0</ns0:v>
      </ns0:c>
      <ns0:c r="BB62" t="n">
        <ns0:f>IF($A62="",0,COUNTIFS($J$7:$J$406,$A62,$O$7:$O$406,"&lt;="&amp;BB$6,$P$7:$P$406,"&gt;="&amp;BB$6,$R$7:$R$406,"No"))</ns0:f>
        <ns0:v>0</ns0:v>
      </ns0:c>
      <ns0:c r="BC62" t="n">
        <ns0:f>IF($A62="",0,COUNTIFS($J$7:$J$406,$A62,$O$7:$O$406,"&lt;="&amp;BC$6,$P$7:$P$406,"&gt;="&amp;BC$6,$R$7:$R$406,"No"))</ns0:f>
        <ns0:v>0</ns0:v>
      </ns0:c>
    </ns0:row>
    <ns0:row r="63" ht="48" customHeight="1">
      <ns0:c r="A63" s="8" t="str">
        <ns0:f>IF(ROW()-6&gt;MAX($K$7:$K$406),"",INDEX($J$7:$J$406,MATCH(ROW()-6,$K$7:$K$406,0)))</ns0:f>
      </ns0:c>
      <ns0:c r="B63" s="8" t="str">
        <ns0:f>IF(A63="","",COUNTIFS($J$7:$J$406,$A63))</ns0:f>
      </ns0:c>
      <ns0:c r="C63" s="8" t="str">
        <ns0:f>IF(A63="","",COUNTIFS($J$7:$J$406,$A63,$N$7:$N$406,1))</ns0:f>
      </ns0:c>
      <ns0:c r="D63" s="8" t="str">
        <ns0:f>IF(A63="","",COUNTIFS($J$7:$J$406,$A63,$Q$7:$Q$406,"In Progress"))</ns0:f>
      </ns0:c>
      <ns0:c r="E63" s="8" t="str">
        <ns0:f>IF(A63="","",B63-C63)</ns0:f>
      </ns0:c>
      <ns0:c r="F63" s="19" t="str">
        <ns0:f>IF(A63="","",SUMIFS($N$7:$N$406,$J$7:$J$406,$A63)/B63)</ns0:f>
      </ns0:c>
      <ns0:c r="G63" s="8" t="str">
        <ns0:f>IF(A63="","",COUNTIFS(V63:BC63,"&gt;1"))</ns0:f>
      </ns0:c>
      <ns0:c r="H63" s="8" t="str">
        <ns0:f>IF(A63="","",IF(COUNTIFS($T$7:$T$33,A63)&gt;0,INDEX($U$7:$U$33,MATCH(A63,$T$7:$T$33,0)),"No capacity or responsibility detail supplied."))</ns0:f>
      </ns0:c>
      <ns0:c r="J63" t="str">
        <ns0:f>IF('Project Tracker'!A21="","",TRIM(MID(SUBSTITUTE('Project Tracker'!K21,";",REPT(" ",150)),1,150)))</ns0:f>
        <ns0:v>Sandbox Controller (agent_sandbox)</ns0:v>
      </ns0:c>
      <ns0:c r="K63" t="str">
        <ns0:f>IF(J63="","",IF(COUNTIFS($J$7:J63,J63)=1,MAX($K$6:K62)+1,""))</ns0:f>
      </ns0:c>
      <ns0:c r="L63" t="n">
        <ns0:f>IF(A63="",0,B63+(107-ROW())/1000)</ns0:f>
        <ns0:v>0</ns0:v>
      </ns0:c>
      <ns0:c r="M63" t="str">
        <ns0:f>IF(J63="","",'Project Tracker'!A21)</ns0:f>
        <ns0:v>T13</ns0:v>
      </ns0:c>
      <ns0:c r="N63" t="n">
        <ns0:f>IF(J63="","",'Project Tracker'!N21)</ns0:f>
        <ns0:v>0</ns0:v>
      </ns0:c>
      <ns0:c r="O63" t="n">
        <ns0:f>IF(J63="","",'Project Tracker'!E21)</ns0:f>
        <ns0:v>46283</ns0:v>
      </ns0:c>
      <ns0:c r="P63" t="n">
        <ns0:f>IF(J63="","",'Project Tracker'!F21)</ns0:f>
        <ns0:v>46284</ns0:v>
      </ns0:c>
      <ns0:c r="Q63" t="str">
        <ns0:f>IF(J63="","",'Project Tracker'!Q21)</ns0:f>
        <ns0:v>Not Started</ns0:v>
      </ns0:c>
      <ns0:c r="R63" t="str">
        <ns0:f>IF(J63="","",'Project Tracker'!J21)</ns0:f>
        <ns0:v>No</ns0:v>
      </ns0:c>
      <ns0:c r="V63" t="n">
        <ns0:f>IF($A63="",0,COUNTIFS($J$7:$J$406,$A63,$O$7:$O$406,"&lt;="&amp;V$6,$P$7:$P$406,"&gt;="&amp;V$6,$R$7:$R$406,"No"))</ns0:f>
        <ns0:v>0</ns0:v>
      </ns0:c>
      <ns0:c r="W63" t="n">
        <ns0:f>IF($A63="",0,COUNTIFS($J$7:$J$406,$A63,$O$7:$O$406,"&lt;="&amp;W$6,$P$7:$P$406,"&gt;="&amp;W$6,$R$7:$R$406,"No"))</ns0:f>
        <ns0:v>0</ns0:v>
      </ns0:c>
      <ns0:c r="X63" t="n">
        <ns0:f>IF($A63="",0,COUNTIFS($J$7:$J$406,$A63,$O$7:$O$406,"&lt;="&amp;X$6,$P$7:$P$406,"&gt;="&amp;X$6,$R$7:$R$406,"No"))</ns0:f>
        <ns0:v>0</ns0:v>
      </ns0:c>
      <ns0:c r="Y63" t="n">
        <ns0:f>IF($A63="",0,COUNTIFS($J$7:$J$406,$A63,$O$7:$O$406,"&lt;="&amp;Y$6,$P$7:$P$406,"&gt;="&amp;Y$6,$R$7:$R$406,"No"))</ns0:f>
        <ns0:v>0</ns0:v>
      </ns0:c>
      <ns0:c r="Z63" t="n">
        <ns0:f>IF($A63="",0,COUNTIFS($J$7:$J$406,$A63,$O$7:$O$406,"&lt;="&amp;Z$6,$P$7:$P$406,"&gt;="&amp;Z$6,$R$7:$R$406,"No"))</ns0:f>
        <ns0:v>0</ns0:v>
      </ns0:c>
      <ns0:c r="AA63" t="n">
        <ns0:f>IF($A63="",0,COUNTIFS($J$7:$J$406,$A63,$O$7:$O$406,"&lt;="&amp;AA$6,$P$7:$P$406,"&gt;="&amp;AA$6,$R$7:$R$406,"No"))</ns0:f>
        <ns0:v>0</ns0:v>
      </ns0:c>
      <ns0:c r="AB63" t="n">
        <ns0:f>IF($A63="",0,COUNTIFS($J$7:$J$406,$A63,$O$7:$O$406,"&lt;="&amp;AB$6,$P$7:$P$406,"&gt;="&amp;AB$6,$R$7:$R$406,"No"))</ns0:f>
        <ns0:v>0</ns0:v>
      </ns0:c>
      <ns0:c r="AC63" t="n">
        <ns0:f>IF($A63="",0,COUNTIFS($J$7:$J$406,$A63,$O$7:$O$406,"&lt;="&amp;AC$6,$P$7:$P$406,"&gt;="&amp;AC$6,$R$7:$R$406,"No"))</ns0:f>
        <ns0:v>0</ns0:v>
      </ns0:c>
      <ns0:c r="AD63" t="n">
        <ns0:f>IF($A63="",0,COUNTIFS($J$7:$J$406,$A63,$O$7:$O$406,"&lt;="&amp;AD$6,$P$7:$P$406,"&gt;="&amp;AD$6,$R$7:$R$406,"No"))</ns0:f>
        <ns0:v>0</ns0:v>
      </ns0:c>
      <ns0:c r="AE63" t="n">
        <ns0:f>IF($A63="",0,COUNTIFS($J$7:$J$406,$A63,$O$7:$O$406,"&lt;="&amp;AE$6,$P$7:$P$406,"&gt;="&amp;AE$6,$R$7:$R$406,"No"))</ns0:f>
        <ns0:v>0</ns0:v>
      </ns0:c>
      <ns0:c r="AF63" t="n">
        <ns0:f>IF($A63="",0,COUNTIFS($J$7:$J$406,$A63,$O$7:$O$406,"&lt;="&amp;AF$6,$P$7:$P$406,"&gt;="&amp;AF$6,$R$7:$R$406,"No"))</ns0:f>
        <ns0:v>0</ns0:v>
      </ns0:c>
      <ns0:c r="AG63" t="n">
        <ns0:f>IF($A63="",0,COUNTIFS($J$7:$J$406,$A63,$O$7:$O$406,"&lt;="&amp;AG$6,$P$7:$P$406,"&gt;="&amp;AG$6,$R$7:$R$406,"No"))</ns0:f>
        <ns0:v>0</ns0:v>
      </ns0:c>
      <ns0:c r="AH63" t="n">
        <ns0:f>IF($A63="",0,COUNTIFS($J$7:$J$406,$A63,$O$7:$O$406,"&lt;="&amp;AH$6,$P$7:$P$406,"&gt;="&amp;AH$6,$R$7:$R$406,"No"))</ns0:f>
        <ns0:v>0</ns0:v>
      </ns0:c>
      <ns0:c r="AI63" t="n">
        <ns0:f>IF($A63="",0,COUNTIFS($J$7:$J$406,$A63,$O$7:$O$406,"&lt;="&amp;AI$6,$P$7:$P$406,"&gt;="&amp;AI$6,$R$7:$R$406,"No"))</ns0:f>
        <ns0:v>0</ns0:v>
      </ns0:c>
      <ns0:c r="AJ63" t="n">
        <ns0:f>IF($A63="",0,COUNTIFS($J$7:$J$406,$A63,$O$7:$O$406,"&lt;="&amp;AJ$6,$P$7:$P$406,"&gt;="&amp;AJ$6,$R$7:$R$406,"No"))</ns0:f>
        <ns0:v>0</ns0:v>
      </ns0:c>
      <ns0:c r="AK63" t="n">
        <ns0:f>IF($A63="",0,COUNTIFS($J$7:$J$406,$A63,$O$7:$O$406,"&lt;="&amp;AK$6,$P$7:$P$406,"&gt;="&amp;AK$6,$R$7:$R$406,"No"))</ns0:f>
        <ns0:v>0</ns0:v>
      </ns0:c>
      <ns0:c r="AL63" t="n">
        <ns0:f>IF($A63="",0,COUNTIFS($J$7:$J$406,$A63,$O$7:$O$406,"&lt;="&amp;AL$6,$P$7:$P$406,"&gt;="&amp;AL$6,$R$7:$R$406,"No"))</ns0:f>
        <ns0:v>0</ns0:v>
      </ns0:c>
      <ns0:c r="AM63" t="n">
        <ns0:f>IF($A63="",0,COUNTIFS($J$7:$J$406,$A63,$O$7:$O$406,"&lt;="&amp;AM$6,$P$7:$P$406,"&gt;="&amp;AM$6,$R$7:$R$406,"No"))</ns0:f>
        <ns0:v>0</ns0:v>
      </ns0:c>
      <ns0:c r="AN63" t="n">
        <ns0:f>IF($A63="",0,COUNTIFS($J$7:$J$406,$A63,$O$7:$O$406,"&lt;="&amp;AN$6,$P$7:$P$406,"&gt;="&amp;AN$6,$R$7:$R$406,"No"))</ns0:f>
        <ns0:v>0</ns0:v>
      </ns0:c>
      <ns0:c r="AO63" t="n">
        <ns0:f>IF($A63="",0,COUNTIFS($J$7:$J$406,$A63,$O$7:$O$406,"&lt;="&amp;AO$6,$P$7:$P$406,"&gt;="&amp;AO$6,$R$7:$R$406,"No"))</ns0:f>
        <ns0:v>0</ns0:v>
      </ns0:c>
      <ns0:c r="AP63" t="n">
        <ns0:f>IF($A63="",0,COUNTIFS($J$7:$J$406,$A63,$O$7:$O$406,"&lt;="&amp;AP$6,$P$7:$P$406,"&gt;="&amp;AP$6,$R$7:$R$406,"No"))</ns0:f>
        <ns0:v>0</ns0:v>
      </ns0:c>
      <ns0:c r="AQ63" t="n">
        <ns0:f>IF($A63="",0,COUNTIFS($J$7:$J$406,$A63,$O$7:$O$406,"&lt;="&amp;AQ$6,$P$7:$P$406,"&gt;="&amp;AQ$6,$R$7:$R$406,"No"))</ns0:f>
        <ns0:v>0</ns0:v>
      </ns0:c>
      <ns0:c r="AR63" t="n">
        <ns0:f>IF($A63="",0,COUNTIFS($J$7:$J$406,$A63,$O$7:$O$406,"&lt;="&amp;AR$6,$P$7:$P$406,"&gt;="&amp;AR$6,$R$7:$R$406,"No"))</ns0:f>
        <ns0:v>0</ns0:v>
      </ns0:c>
      <ns0:c r="AS63" t="n">
        <ns0:f>IF($A63="",0,COUNTIFS($J$7:$J$406,$A63,$O$7:$O$406,"&lt;="&amp;AS$6,$P$7:$P$406,"&gt;="&amp;AS$6,$R$7:$R$406,"No"))</ns0:f>
        <ns0:v>0</ns0:v>
      </ns0:c>
      <ns0:c r="AT63" t="n">
        <ns0:f>IF($A63="",0,COUNTIFS($J$7:$J$406,$A63,$O$7:$O$406,"&lt;="&amp;AT$6,$P$7:$P$406,"&gt;="&amp;AT$6,$R$7:$R$406,"No"))</ns0:f>
        <ns0:v>0</ns0:v>
      </ns0:c>
      <ns0:c r="AU63" t="n">
        <ns0:f>IF($A63="",0,COUNTIFS($J$7:$J$406,$A63,$O$7:$O$406,"&lt;="&amp;AU$6,$P$7:$P$406,"&gt;="&amp;AU$6,$R$7:$R$406,"No"))</ns0:f>
        <ns0:v>0</ns0:v>
      </ns0:c>
      <ns0:c r="AV63" t="n">
        <ns0:f>IF($A63="",0,COUNTIFS($J$7:$J$406,$A63,$O$7:$O$406,"&lt;="&amp;AV$6,$P$7:$P$406,"&gt;="&amp;AV$6,$R$7:$R$406,"No"))</ns0:f>
        <ns0:v>0</ns0:v>
      </ns0:c>
      <ns0:c r="AW63" t="n">
        <ns0:f>IF($A63="",0,COUNTIFS($J$7:$J$406,$A63,$O$7:$O$406,"&lt;="&amp;AW$6,$P$7:$P$406,"&gt;="&amp;AW$6,$R$7:$R$406,"No"))</ns0:f>
        <ns0:v>0</ns0:v>
      </ns0:c>
      <ns0:c r="AX63" t="n">
        <ns0:f>IF($A63="",0,COUNTIFS($J$7:$J$406,$A63,$O$7:$O$406,"&lt;="&amp;AX$6,$P$7:$P$406,"&gt;="&amp;AX$6,$R$7:$R$406,"No"))</ns0:f>
        <ns0:v>0</ns0:v>
      </ns0:c>
      <ns0:c r="AY63" t="n">
        <ns0:f>IF($A63="",0,COUNTIFS($J$7:$J$406,$A63,$O$7:$O$406,"&lt;="&amp;AY$6,$P$7:$P$406,"&gt;="&amp;AY$6,$R$7:$R$406,"No"))</ns0:f>
        <ns0:v>0</ns0:v>
      </ns0:c>
      <ns0:c r="AZ63" t="n">
        <ns0:f>IF($A63="",0,COUNTIFS($J$7:$J$406,$A63,$O$7:$O$406,"&lt;="&amp;AZ$6,$P$7:$P$406,"&gt;="&amp;AZ$6,$R$7:$R$406,"No"))</ns0:f>
        <ns0:v>0</ns0:v>
      </ns0:c>
      <ns0:c r="BA63" t="n">
        <ns0:f>IF($A63="",0,COUNTIFS($J$7:$J$406,$A63,$O$7:$O$406,"&lt;="&amp;BA$6,$P$7:$P$406,"&gt;="&amp;BA$6,$R$7:$R$406,"No"))</ns0:f>
        <ns0:v>0</ns0:v>
      </ns0:c>
      <ns0:c r="BB63" t="n">
        <ns0:f>IF($A63="",0,COUNTIFS($J$7:$J$406,$A63,$O$7:$O$406,"&lt;="&amp;BB$6,$P$7:$P$406,"&gt;="&amp;BB$6,$R$7:$R$406,"No"))</ns0:f>
        <ns0:v>0</ns0:v>
      </ns0:c>
      <ns0:c r="BC63" t="n">
        <ns0:f>IF($A63="",0,COUNTIFS($J$7:$J$406,$A63,$O$7:$O$406,"&lt;="&amp;BC$6,$P$7:$P$406,"&gt;="&amp;BC$6,$R$7:$R$406,"No"))</ns0:f>
        <ns0:v>0</ns0:v>
      </ns0:c>
    </ns0:row>
    <ns0:row r="64" ht="48" customHeight="1">
      <ns0:c r="A64" s="8" t="str">
        <ns0:f>IF(ROW()-6&gt;MAX($K$7:$K$406),"",INDEX($J$7:$J$406,MATCH(ROW()-6,$K$7:$K$406,0)))</ns0:f>
      </ns0:c>
      <ns0:c r="B64" s="8" t="str">
        <ns0:f>IF(A64="","",COUNTIFS($J$7:$J$406,$A64))</ns0:f>
      </ns0:c>
      <ns0:c r="C64" s="8" t="str">
        <ns0:f>IF(A64="","",COUNTIFS($J$7:$J$406,$A64,$N$7:$N$406,1))</ns0:f>
      </ns0:c>
      <ns0:c r="D64" s="8" t="str">
        <ns0:f>IF(A64="","",COUNTIFS($J$7:$J$406,$A64,$Q$7:$Q$406,"In Progress"))</ns0:f>
      </ns0:c>
      <ns0:c r="E64" s="8" t="str">
        <ns0:f>IF(A64="","",B64-C64)</ns0:f>
      </ns0:c>
      <ns0:c r="F64" s="19" t="str">
        <ns0:f>IF(A64="","",SUMIFS($N$7:$N$406,$J$7:$J$406,$A64)/B64)</ns0:f>
      </ns0:c>
      <ns0:c r="G64" s="8" t="str">
        <ns0:f>IF(A64="","",COUNTIFS(V64:BC64,"&gt;1"))</ns0:f>
      </ns0:c>
      <ns0:c r="H64" s="8" t="str">
        <ns0:f>IF(A64="","",IF(COUNTIFS($T$7:$T$33,A64)&gt;0,INDEX($U$7:$U$33,MATCH(A64,$T$7:$T$33,0)),"No capacity or responsibility detail supplied."))</ns0:f>
      </ns0:c>
      <ns0:c r="J64" t="str">
        <ns0:f>IF('Project Tracker'!A21="","",TRIM(MID(SUBSTITUTE('Project Tracker'!K21,";",REPT(" ",150)),151,150)))</ns0:f>
        <ns0:v>W3C PROV Immutable Ledger</ns0:v>
      </ns0:c>
      <ns0:c r="K64" t="n">
        <ns0:f>IF(J64="","",IF(COUNTIFS($J$7:J64,J64)=1,MAX($K$6:K63)+1,""))</ns0:f>
        <ns0:v>13</ns0:v>
      </ns0:c>
      <ns0:c r="L64" t="n">
        <ns0:f>IF(A64="",0,B64+(107-ROW())/1000)</ns0:f>
        <ns0:v>0</ns0:v>
      </ns0:c>
      <ns0:c r="M64" t="str">
        <ns0:f>IF(J64="","",'Project Tracker'!A21)</ns0:f>
        <ns0:v>T13</ns0:v>
      </ns0:c>
      <ns0:c r="N64" t="n">
        <ns0:f>IF(J64="","",'Project Tracker'!N21)</ns0:f>
        <ns0:v>0</ns0:v>
      </ns0:c>
      <ns0:c r="O64" t="n">
        <ns0:f>IF(J64="","",'Project Tracker'!E21)</ns0:f>
        <ns0:v>46283</ns0:v>
      </ns0:c>
      <ns0:c r="P64" t="n">
        <ns0:f>IF(J64="","",'Project Tracker'!F21)</ns0:f>
        <ns0:v>46284</ns0:v>
      </ns0:c>
      <ns0:c r="Q64" t="str">
        <ns0:f>IF(J64="","",'Project Tracker'!Q21)</ns0:f>
        <ns0:v>Not Started</ns0:v>
      </ns0:c>
      <ns0:c r="R64" t="str">
        <ns0:f>IF(J64="","",'Project Tracker'!J21)</ns0:f>
        <ns0:v>No</ns0:v>
      </ns0:c>
      <ns0:c r="V64" t="n">
        <ns0:f>IF($A64="",0,COUNTIFS($J$7:$J$406,$A64,$O$7:$O$406,"&lt;="&amp;V$6,$P$7:$P$406,"&gt;="&amp;V$6,$R$7:$R$406,"No"))</ns0:f>
        <ns0:v>0</ns0:v>
      </ns0:c>
      <ns0:c r="W64" t="n">
        <ns0:f>IF($A64="",0,COUNTIFS($J$7:$J$406,$A64,$O$7:$O$406,"&lt;="&amp;W$6,$P$7:$P$406,"&gt;="&amp;W$6,$R$7:$R$406,"No"))</ns0:f>
        <ns0:v>0</ns0:v>
      </ns0:c>
      <ns0:c r="X64" t="n">
        <ns0:f>IF($A64="",0,COUNTIFS($J$7:$J$406,$A64,$O$7:$O$406,"&lt;="&amp;X$6,$P$7:$P$406,"&gt;="&amp;X$6,$R$7:$R$406,"No"))</ns0:f>
        <ns0:v>0</ns0:v>
      </ns0:c>
      <ns0:c r="Y64" t="n">
        <ns0:f>IF($A64="",0,COUNTIFS($J$7:$J$406,$A64,$O$7:$O$406,"&lt;="&amp;Y$6,$P$7:$P$406,"&gt;="&amp;Y$6,$R$7:$R$406,"No"))</ns0:f>
        <ns0:v>0</ns0:v>
      </ns0:c>
      <ns0:c r="Z64" t="n">
        <ns0:f>IF($A64="",0,COUNTIFS($J$7:$J$406,$A64,$O$7:$O$406,"&lt;="&amp;Z$6,$P$7:$P$406,"&gt;="&amp;Z$6,$R$7:$R$406,"No"))</ns0:f>
        <ns0:v>0</ns0:v>
      </ns0:c>
      <ns0:c r="AA64" t="n">
        <ns0:f>IF($A64="",0,COUNTIFS($J$7:$J$406,$A64,$O$7:$O$406,"&lt;="&amp;AA$6,$P$7:$P$406,"&gt;="&amp;AA$6,$R$7:$R$406,"No"))</ns0:f>
        <ns0:v>0</ns0:v>
      </ns0:c>
      <ns0:c r="AB64" t="n">
        <ns0:f>IF($A64="",0,COUNTIFS($J$7:$J$406,$A64,$O$7:$O$406,"&lt;="&amp;AB$6,$P$7:$P$406,"&gt;="&amp;AB$6,$R$7:$R$406,"No"))</ns0:f>
        <ns0:v>0</ns0:v>
      </ns0:c>
      <ns0:c r="AC64" t="n">
        <ns0:f>IF($A64="",0,COUNTIFS($J$7:$J$406,$A64,$O$7:$O$406,"&lt;="&amp;AC$6,$P$7:$P$406,"&gt;="&amp;AC$6,$R$7:$R$406,"No"))</ns0:f>
        <ns0:v>0</ns0:v>
      </ns0:c>
      <ns0:c r="AD64" t="n">
        <ns0:f>IF($A64="",0,COUNTIFS($J$7:$J$406,$A64,$O$7:$O$406,"&lt;="&amp;AD$6,$P$7:$P$406,"&gt;="&amp;AD$6,$R$7:$R$406,"No"))</ns0:f>
        <ns0:v>0</ns0:v>
      </ns0:c>
      <ns0:c r="AE64" t="n">
        <ns0:f>IF($A64="",0,COUNTIFS($J$7:$J$406,$A64,$O$7:$O$406,"&lt;="&amp;AE$6,$P$7:$P$406,"&gt;="&amp;AE$6,$R$7:$R$406,"No"))</ns0:f>
        <ns0:v>0</ns0:v>
      </ns0:c>
      <ns0:c r="AF64" t="n">
        <ns0:f>IF($A64="",0,COUNTIFS($J$7:$J$406,$A64,$O$7:$O$406,"&lt;="&amp;AF$6,$P$7:$P$406,"&gt;="&amp;AF$6,$R$7:$R$406,"No"))</ns0:f>
        <ns0:v>0</ns0:v>
      </ns0:c>
      <ns0:c r="AG64" t="n">
        <ns0:f>IF($A64="",0,COUNTIFS($J$7:$J$406,$A64,$O$7:$O$406,"&lt;="&amp;AG$6,$P$7:$P$406,"&gt;="&amp;AG$6,$R$7:$R$406,"No"))</ns0:f>
        <ns0:v>0</ns0:v>
      </ns0:c>
      <ns0:c r="AH64" t="n">
        <ns0:f>IF($A64="",0,COUNTIFS($J$7:$J$406,$A64,$O$7:$O$406,"&lt;="&amp;AH$6,$P$7:$P$406,"&gt;="&amp;AH$6,$R$7:$R$406,"No"))</ns0:f>
        <ns0:v>0</ns0:v>
      </ns0:c>
      <ns0:c r="AI64" t="n">
        <ns0:f>IF($A64="",0,COUNTIFS($J$7:$J$406,$A64,$O$7:$O$406,"&lt;="&amp;AI$6,$P$7:$P$406,"&gt;="&amp;AI$6,$R$7:$R$406,"No"))</ns0:f>
        <ns0:v>0</ns0:v>
      </ns0:c>
      <ns0:c r="AJ64" t="n">
        <ns0:f>IF($A64="",0,COUNTIFS($J$7:$J$406,$A64,$O$7:$O$406,"&lt;="&amp;AJ$6,$P$7:$P$406,"&gt;="&amp;AJ$6,$R$7:$R$406,"No"))</ns0:f>
        <ns0:v>0</ns0:v>
      </ns0:c>
      <ns0:c r="AK64" t="n">
        <ns0:f>IF($A64="",0,COUNTIFS($J$7:$J$406,$A64,$O$7:$O$406,"&lt;="&amp;AK$6,$P$7:$P$406,"&gt;="&amp;AK$6,$R$7:$R$406,"No"))</ns0:f>
        <ns0:v>0</ns0:v>
      </ns0:c>
      <ns0:c r="AL64" t="n">
        <ns0:f>IF($A64="",0,COUNTIFS($J$7:$J$406,$A64,$O$7:$O$406,"&lt;="&amp;AL$6,$P$7:$P$406,"&gt;="&amp;AL$6,$R$7:$R$406,"No"))</ns0:f>
        <ns0:v>0</ns0:v>
      </ns0:c>
      <ns0:c r="AM64" t="n">
        <ns0:f>IF($A64="",0,COUNTIFS($J$7:$J$406,$A64,$O$7:$O$406,"&lt;="&amp;AM$6,$P$7:$P$406,"&gt;="&amp;AM$6,$R$7:$R$406,"No"))</ns0:f>
        <ns0:v>0</ns0:v>
      </ns0:c>
      <ns0:c r="AN64" t="n">
        <ns0:f>IF($A64="",0,COUNTIFS($J$7:$J$406,$A64,$O$7:$O$406,"&lt;="&amp;AN$6,$P$7:$P$406,"&gt;="&amp;AN$6,$R$7:$R$406,"No"))</ns0:f>
        <ns0:v>0</ns0:v>
      </ns0:c>
      <ns0:c r="AO64" t="n">
        <ns0:f>IF($A64="",0,COUNTIFS($J$7:$J$406,$A64,$O$7:$O$406,"&lt;="&amp;AO$6,$P$7:$P$406,"&gt;="&amp;AO$6,$R$7:$R$406,"No"))</ns0:f>
        <ns0:v>0</ns0:v>
      </ns0:c>
      <ns0:c r="AP64" t="n">
        <ns0:f>IF($A64="",0,COUNTIFS($J$7:$J$406,$A64,$O$7:$O$406,"&lt;="&amp;AP$6,$P$7:$P$406,"&gt;="&amp;AP$6,$R$7:$R$406,"No"))</ns0:f>
        <ns0:v>0</ns0:v>
      </ns0:c>
      <ns0:c r="AQ64" t="n">
        <ns0:f>IF($A64="",0,COUNTIFS($J$7:$J$406,$A64,$O$7:$O$406,"&lt;="&amp;AQ$6,$P$7:$P$406,"&gt;="&amp;AQ$6,$R$7:$R$406,"No"))</ns0:f>
        <ns0:v>0</ns0:v>
      </ns0:c>
      <ns0:c r="AR64" t="n">
        <ns0:f>IF($A64="",0,COUNTIFS($J$7:$J$406,$A64,$O$7:$O$406,"&lt;="&amp;AR$6,$P$7:$P$406,"&gt;="&amp;AR$6,$R$7:$R$406,"No"))</ns0:f>
        <ns0:v>0</ns0:v>
      </ns0:c>
      <ns0:c r="AS64" t="n">
        <ns0:f>IF($A64="",0,COUNTIFS($J$7:$J$406,$A64,$O$7:$O$406,"&lt;="&amp;AS$6,$P$7:$P$406,"&gt;="&amp;AS$6,$R$7:$R$406,"No"))</ns0:f>
        <ns0:v>0</ns0:v>
      </ns0:c>
      <ns0:c r="AT64" t="n">
        <ns0:f>IF($A64="",0,COUNTIFS($J$7:$J$406,$A64,$O$7:$O$406,"&lt;="&amp;AT$6,$P$7:$P$406,"&gt;="&amp;AT$6,$R$7:$R$406,"No"))</ns0:f>
        <ns0:v>0</ns0:v>
      </ns0:c>
      <ns0:c r="AU64" t="n">
        <ns0:f>IF($A64="",0,COUNTIFS($J$7:$J$406,$A64,$O$7:$O$406,"&lt;="&amp;AU$6,$P$7:$P$406,"&gt;="&amp;AU$6,$R$7:$R$406,"No"))</ns0:f>
        <ns0:v>0</ns0:v>
      </ns0:c>
      <ns0:c r="AV64" t="n">
        <ns0:f>IF($A64="",0,COUNTIFS($J$7:$J$406,$A64,$O$7:$O$406,"&lt;="&amp;AV$6,$P$7:$P$406,"&gt;="&amp;AV$6,$R$7:$R$406,"No"))</ns0:f>
        <ns0:v>0</ns0:v>
      </ns0:c>
      <ns0:c r="AW64" t="n">
        <ns0:f>IF($A64="",0,COUNTIFS($J$7:$J$406,$A64,$O$7:$O$406,"&lt;="&amp;AW$6,$P$7:$P$406,"&gt;="&amp;AW$6,$R$7:$R$406,"No"))</ns0:f>
        <ns0:v>0</ns0:v>
      </ns0:c>
      <ns0:c r="AX64" t="n">
        <ns0:f>IF($A64="",0,COUNTIFS($J$7:$J$406,$A64,$O$7:$O$406,"&lt;="&amp;AX$6,$P$7:$P$406,"&gt;="&amp;AX$6,$R$7:$R$406,"No"))</ns0:f>
        <ns0:v>0</ns0:v>
      </ns0:c>
      <ns0:c r="AY64" t="n">
        <ns0:f>IF($A64="",0,COUNTIFS($J$7:$J$406,$A64,$O$7:$O$406,"&lt;="&amp;AY$6,$P$7:$P$406,"&gt;="&amp;AY$6,$R$7:$R$406,"No"))</ns0:f>
        <ns0:v>0</ns0:v>
      </ns0:c>
      <ns0:c r="AZ64" t="n">
        <ns0:f>IF($A64="",0,COUNTIFS($J$7:$J$406,$A64,$O$7:$O$406,"&lt;="&amp;AZ$6,$P$7:$P$406,"&gt;="&amp;AZ$6,$R$7:$R$406,"No"))</ns0:f>
        <ns0:v>0</ns0:v>
      </ns0:c>
      <ns0:c r="BA64" t="n">
        <ns0:f>IF($A64="",0,COUNTIFS($J$7:$J$406,$A64,$O$7:$O$406,"&lt;="&amp;BA$6,$P$7:$P$406,"&gt;="&amp;BA$6,$R$7:$R$406,"No"))</ns0:f>
        <ns0:v>0</ns0:v>
      </ns0:c>
      <ns0:c r="BB64" t="n">
        <ns0:f>IF($A64="",0,COUNTIFS($J$7:$J$406,$A64,$O$7:$O$406,"&lt;="&amp;BB$6,$P$7:$P$406,"&gt;="&amp;BB$6,$R$7:$R$406,"No"))</ns0:f>
        <ns0:v>0</ns0:v>
      </ns0:c>
      <ns0:c r="BC64" t="n">
        <ns0:f>IF($A64="",0,COUNTIFS($J$7:$J$406,$A64,$O$7:$O$406,"&lt;="&amp;BC$6,$P$7:$P$406,"&gt;="&amp;BC$6,$R$7:$R$406,"No"))</ns0:f>
        <ns0:v>0</ns0:v>
      </ns0:c>
    </ns0:row>
    <ns0:row r="65" ht="48" customHeight="1">
      <ns0:c r="A65" s="8" t="str">
        <ns0:f>IF(ROW()-6&gt;MAX($K$7:$K$406),"",INDEX($J$7:$J$406,MATCH(ROW()-6,$K$7:$K$406,0)))</ns0:f>
      </ns0:c>
      <ns0:c r="B65" s="8" t="str">
        <ns0:f>IF(A65="","",COUNTIFS($J$7:$J$406,$A65))</ns0:f>
      </ns0:c>
      <ns0:c r="C65" s="8" t="str">
        <ns0:f>IF(A65="","",COUNTIFS($J$7:$J$406,$A65,$N$7:$N$406,1))</ns0:f>
      </ns0:c>
      <ns0:c r="D65" s="8" t="str">
        <ns0:f>IF(A65="","",COUNTIFS($J$7:$J$406,$A65,$Q$7:$Q$406,"In Progress"))</ns0:f>
      </ns0:c>
      <ns0:c r="E65" s="8" t="str">
        <ns0:f>IF(A65="","",B65-C65)</ns0:f>
      </ns0:c>
      <ns0:c r="F65" s="19" t="str">
        <ns0:f>IF(A65="","",SUMIFS($N$7:$N$406,$J$7:$J$406,$A65)/B65)</ns0:f>
      </ns0:c>
      <ns0:c r="G65" s="8" t="str">
        <ns0:f>IF(A65="","",COUNTIFS(V65:BC65,"&gt;1"))</ns0:f>
      </ns0:c>
      <ns0:c r="H65" s="8" t="str">
        <ns0:f>IF(A65="","",IF(COUNTIFS($T$7:$T$33,A65)&gt;0,INDEX($U$7:$U$33,MATCH(A65,$T$7:$T$33,0)),"No capacity or responsibility detail supplied."))</ns0:f>
      </ns0:c>
      <ns0:c r="J65" t="str">
        <ns0:f>IF('Project Tracker'!A21="","",TRIM(MID(SUBSTITUTE('Project Tracker'!K21,";",REPT(" ",150)),301,150)))</ns0:f>
      </ns0:c>
      <ns0:c r="K65" t="str">
        <ns0:f>IF(J65="","",IF(COUNTIFS($J$7:J65,J65)=1,MAX($K$6:K64)+1,""))</ns0:f>
      </ns0:c>
      <ns0:c r="L65" t="n">
        <ns0:f>IF(A65="",0,B65+(107-ROW())/1000)</ns0:f>
        <ns0:v>0</ns0:v>
      </ns0:c>
      <ns0:c r="M65" t="str">
        <ns0:f>IF(J65="","",'Project Tracker'!A21)</ns0:f>
      </ns0:c>
      <ns0:c r="N65" t="str">
        <ns0:f>IF(J65="","",'Project Tracker'!N21)</ns0:f>
      </ns0:c>
      <ns0:c r="O65" t="str">
        <ns0:f>IF(J65="","",'Project Tracker'!E21)</ns0:f>
      </ns0:c>
      <ns0:c r="P65" t="str">
        <ns0:f>IF(J65="","",'Project Tracker'!F21)</ns0:f>
      </ns0:c>
      <ns0:c r="Q65" t="str">
        <ns0:f>IF(J65="","",'Project Tracker'!Q21)</ns0:f>
      </ns0:c>
      <ns0:c r="R65" t="str">
        <ns0:f>IF(J65="","",'Project Tracker'!J21)</ns0:f>
      </ns0:c>
      <ns0:c r="V65" t="n">
        <ns0:f>IF($A65="",0,COUNTIFS($J$7:$J$406,$A65,$O$7:$O$406,"&lt;="&amp;V$6,$P$7:$P$406,"&gt;="&amp;V$6,$R$7:$R$406,"No"))</ns0:f>
        <ns0:v>0</ns0:v>
      </ns0:c>
      <ns0:c r="W65" t="n">
        <ns0:f>IF($A65="",0,COUNTIFS($J$7:$J$406,$A65,$O$7:$O$406,"&lt;="&amp;W$6,$P$7:$P$406,"&gt;="&amp;W$6,$R$7:$R$406,"No"))</ns0:f>
        <ns0:v>0</ns0:v>
      </ns0:c>
      <ns0:c r="X65" t="n">
        <ns0:f>IF($A65="",0,COUNTIFS($J$7:$J$406,$A65,$O$7:$O$406,"&lt;="&amp;X$6,$P$7:$P$406,"&gt;="&amp;X$6,$R$7:$R$406,"No"))</ns0:f>
        <ns0:v>0</ns0:v>
      </ns0:c>
      <ns0:c r="Y65" t="n">
        <ns0:f>IF($A65="",0,COUNTIFS($J$7:$J$406,$A65,$O$7:$O$406,"&lt;="&amp;Y$6,$P$7:$P$406,"&gt;="&amp;Y$6,$R$7:$R$406,"No"))</ns0:f>
        <ns0:v>0</ns0:v>
      </ns0:c>
      <ns0:c r="Z65" t="n">
        <ns0:f>IF($A65="",0,COUNTIFS($J$7:$J$406,$A65,$O$7:$O$406,"&lt;="&amp;Z$6,$P$7:$P$406,"&gt;="&amp;Z$6,$R$7:$R$406,"No"))</ns0:f>
        <ns0:v>0</ns0:v>
      </ns0:c>
      <ns0:c r="AA65" t="n">
        <ns0:f>IF($A65="",0,COUNTIFS($J$7:$J$406,$A65,$O$7:$O$406,"&lt;="&amp;AA$6,$P$7:$P$406,"&gt;="&amp;AA$6,$R$7:$R$406,"No"))</ns0:f>
        <ns0:v>0</ns0:v>
      </ns0:c>
      <ns0:c r="AB65" t="n">
        <ns0:f>IF($A65="",0,COUNTIFS($J$7:$J$406,$A65,$O$7:$O$406,"&lt;="&amp;AB$6,$P$7:$P$406,"&gt;="&amp;AB$6,$R$7:$R$406,"No"))</ns0:f>
        <ns0:v>0</ns0:v>
      </ns0:c>
      <ns0:c r="AC65" t="n">
        <ns0:f>IF($A65="",0,COUNTIFS($J$7:$J$406,$A65,$O$7:$O$406,"&lt;="&amp;AC$6,$P$7:$P$406,"&gt;="&amp;AC$6,$R$7:$R$406,"No"))</ns0:f>
        <ns0:v>0</ns0:v>
      </ns0:c>
      <ns0:c r="AD65" t="n">
        <ns0:f>IF($A65="",0,COUNTIFS($J$7:$J$406,$A65,$O$7:$O$406,"&lt;="&amp;AD$6,$P$7:$P$406,"&gt;="&amp;AD$6,$R$7:$R$406,"No"))</ns0:f>
        <ns0:v>0</ns0:v>
      </ns0:c>
      <ns0:c r="AE65" t="n">
        <ns0:f>IF($A65="",0,COUNTIFS($J$7:$J$406,$A65,$O$7:$O$406,"&lt;="&amp;AE$6,$P$7:$P$406,"&gt;="&amp;AE$6,$R$7:$R$406,"No"))</ns0:f>
        <ns0:v>0</ns0:v>
      </ns0:c>
      <ns0:c r="AF65" t="n">
        <ns0:f>IF($A65="",0,COUNTIFS($J$7:$J$406,$A65,$O$7:$O$406,"&lt;="&amp;AF$6,$P$7:$P$406,"&gt;="&amp;AF$6,$R$7:$R$406,"No"))</ns0:f>
        <ns0:v>0</ns0:v>
      </ns0:c>
      <ns0:c r="AG65" t="n">
        <ns0:f>IF($A65="",0,COUNTIFS($J$7:$J$406,$A65,$O$7:$O$406,"&lt;="&amp;AG$6,$P$7:$P$406,"&gt;="&amp;AG$6,$R$7:$R$406,"No"))</ns0:f>
        <ns0:v>0</ns0:v>
      </ns0:c>
      <ns0:c r="AH65" t="n">
        <ns0:f>IF($A65="",0,COUNTIFS($J$7:$J$406,$A65,$O$7:$O$406,"&lt;="&amp;AH$6,$P$7:$P$406,"&gt;="&amp;AH$6,$R$7:$R$406,"No"))</ns0:f>
        <ns0:v>0</ns0:v>
      </ns0:c>
      <ns0:c r="AI65" t="n">
        <ns0:f>IF($A65="",0,COUNTIFS($J$7:$J$406,$A65,$O$7:$O$406,"&lt;="&amp;AI$6,$P$7:$P$406,"&gt;="&amp;AI$6,$R$7:$R$406,"No"))</ns0:f>
        <ns0:v>0</ns0:v>
      </ns0:c>
      <ns0:c r="AJ65" t="n">
        <ns0:f>IF($A65="",0,COUNTIFS($J$7:$J$406,$A65,$O$7:$O$406,"&lt;="&amp;AJ$6,$P$7:$P$406,"&gt;="&amp;AJ$6,$R$7:$R$406,"No"))</ns0:f>
        <ns0:v>0</ns0:v>
      </ns0:c>
      <ns0:c r="AK65" t="n">
        <ns0:f>IF($A65="",0,COUNTIFS($J$7:$J$406,$A65,$O$7:$O$406,"&lt;="&amp;AK$6,$P$7:$P$406,"&gt;="&amp;AK$6,$R$7:$R$406,"No"))</ns0:f>
        <ns0:v>0</ns0:v>
      </ns0:c>
      <ns0:c r="AL65" t="n">
        <ns0:f>IF($A65="",0,COUNTIFS($J$7:$J$406,$A65,$O$7:$O$406,"&lt;="&amp;AL$6,$P$7:$P$406,"&gt;="&amp;AL$6,$R$7:$R$406,"No"))</ns0:f>
        <ns0:v>0</ns0:v>
      </ns0:c>
      <ns0:c r="AM65" t="n">
        <ns0:f>IF($A65="",0,COUNTIFS($J$7:$J$406,$A65,$O$7:$O$406,"&lt;="&amp;AM$6,$P$7:$P$406,"&gt;="&amp;AM$6,$R$7:$R$406,"No"))</ns0:f>
        <ns0:v>0</ns0:v>
      </ns0:c>
      <ns0:c r="AN65" t="n">
        <ns0:f>IF($A65="",0,COUNTIFS($J$7:$J$406,$A65,$O$7:$O$406,"&lt;="&amp;AN$6,$P$7:$P$406,"&gt;="&amp;AN$6,$R$7:$R$406,"No"))</ns0:f>
        <ns0:v>0</ns0:v>
      </ns0:c>
      <ns0:c r="AO65" t="n">
        <ns0:f>IF($A65="",0,COUNTIFS($J$7:$J$406,$A65,$O$7:$O$406,"&lt;="&amp;AO$6,$P$7:$P$406,"&gt;="&amp;AO$6,$R$7:$R$406,"No"))</ns0:f>
        <ns0:v>0</ns0:v>
      </ns0:c>
      <ns0:c r="AP65" t="n">
        <ns0:f>IF($A65="",0,COUNTIFS($J$7:$J$406,$A65,$O$7:$O$406,"&lt;="&amp;AP$6,$P$7:$P$406,"&gt;="&amp;AP$6,$R$7:$R$406,"No"))</ns0:f>
        <ns0:v>0</ns0:v>
      </ns0:c>
      <ns0:c r="AQ65" t="n">
        <ns0:f>IF($A65="",0,COUNTIFS($J$7:$J$406,$A65,$O$7:$O$406,"&lt;="&amp;AQ$6,$P$7:$P$406,"&gt;="&amp;AQ$6,$R$7:$R$406,"No"))</ns0:f>
        <ns0:v>0</ns0:v>
      </ns0:c>
      <ns0:c r="AR65" t="n">
        <ns0:f>IF($A65="",0,COUNTIFS($J$7:$J$406,$A65,$O$7:$O$406,"&lt;="&amp;AR$6,$P$7:$P$406,"&gt;="&amp;AR$6,$R$7:$R$406,"No"))</ns0:f>
        <ns0:v>0</ns0:v>
      </ns0:c>
      <ns0:c r="AS65" t="n">
        <ns0:f>IF($A65="",0,COUNTIFS($J$7:$J$406,$A65,$O$7:$O$406,"&lt;="&amp;AS$6,$P$7:$P$406,"&gt;="&amp;AS$6,$R$7:$R$406,"No"))</ns0:f>
        <ns0:v>0</ns0:v>
      </ns0:c>
      <ns0:c r="AT65" t="n">
        <ns0:f>IF($A65="",0,COUNTIFS($J$7:$J$406,$A65,$O$7:$O$406,"&lt;="&amp;AT$6,$P$7:$P$406,"&gt;="&amp;AT$6,$R$7:$R$406,"No"))</ns0:f>
        <ns0:v>0</ns0:v>
      </ns0:c>
      <ns0:c r="AU65" t="n">
        <ns0:f>IF($A65="",0,COUNTIFS($J$7:$J$406,$A65,$O$7:$O$406,"&lt;="&amp;AU$6,$P$7:$P$406,"&gt;="&amp;AU$6,$R$7:$R$406,"No"))</ns0:f>
        <ns0:v>0</ns0:v>
      </ns0:c>
      <ns0:c r="AV65" t="n">
        <ns0:f>IF($A65="",0,COUNTIFS($J$7:$J$406,$A65,$O$7:$O$406,"&lt;="&amp;AV$6,$P$7:$P$406,"&gt;="&amp;AV$6,$R$7:$R$406,"No"))</ns0:f>
        <ns0:v>0</ns0:v>
      </ns0:c>
      <ns0:c r="AW65" t="n">
        <ns0:f>IF($A65="",0,COUNTIFS($J$7:$J$406,$A65,$O$7:$O$406,"&lt;="&amp;AW$6,$P$7:$P$406,"&gt;="&amp;AW$6,$R$7:$R$406,"No"))</ns0:f>
        <ns0:v>0</ns0:v>
      </ns0:c>
      <ns0:c r="AX65" t="n">
        <ns0:f>IF($A65="",0,COUNTIFS($J$7:$J$406,$A65,$O$7:$O$406,"&lt;="&amp;AX$6,$P$7:$P$406,"&gt;="&amp;AX$6,$R$7:$R$406,"No"))</ns0:f>
        <ns0:v>0</ns0:v>
      </ns0:c>
      <ns0:c r="AY65" t="n">
        <ns0:f>IF($A65="",0,COUNTIFS($J$7:$J$406,$A65,$O$7:$O$406,"&lt;="&amp;AY$6,$P$7:$P$406,"&gt;="&amp;AY$6,$R$7:$R$406,"No"))</ns0:f>
        <ns0:v>0</ns0:v>
      </ns0:c>
      <ns0:c r="AZ65" t="n">
        <ns0:f>IF($A65="",0,COUNTIFS($J$7:$J$406,$A65,$O$7:$O$406,"&lt;="&amp;AZ$6,$P$7:$P$406,"&gt;="&amp;AZ$6,$R$7:$R$406,"No"))</ns0:f>
        <ns0:v>0</ns0:v>
      </ns0:c>
      <ns0:c r="BA65" t="n">
        <ns0:f>IF($A65="",0,COUNTIFS($J$7:$J$406,$A65,$O$7:$O$406,"&lt;="&amp;BA$6,$P$7:$P$406,"&gt;="&amp;BA$6,$R$7:$R$406,"No"))</ns0:f>
        <ns0:v>0</ns0:v>
      </ns0:c>
      <ns0:c r="BB65" t="n">
        <ns0:f>IF($A65="",0,COUNTIFS($J$7:$J$406,$A65,$O$7:$O$406,"&lt;="&amp;BB$6,$P$7:$P$406,"&gt;="&amp;BB$6,$R$7:$R$406,"No"))</ns0:f>
        <ns0:v>0</ns0:v>
      </ns0:c>
      <ns0:c r="BC65" t="n">
        <ns0:f>IF($A65="",0,COUNTIFS($J$7:$J$406,$A65,$O$7:$O$406,"&lt;="&amp;BC$6,$P$7:$P$406,"&gt;="&amp;BC$6,$R$7:$R$406,"No"))</ns0:f>
        <ns0:v>0</ns0:v>
      </ns0:c>
    </ns0:row>
    <ns0:row r="66" ht="48" customHeight="1">
      <ns0:c r="A66" s="8" t="str">
        <ns0:f>IF(ROW()-6&gt;MAX($K$7:$K$406),"",INDEX($J$7:$J$406,MATCH(ROW()-6,$K$7:$K$406,0)))</ns0:f>
      </ns0:c>
      <ns0:c r="B66" s="8" t="str">
        <ns0:f>IF(A66="","",COUNTIFS($J$7:$J$406,$A66))</ns0:f>
      </ns0:c>
      <ns0:c r="C66" s="8" t="str">
        <ns0:f>IF(A66="","",COUNTIFS($J$7:$J$406,$A66,$N$7:$N$406,1))</ns0:f>
      </ns0:c>
      <ns0:c r="D66" s="8" t="str">
        <ns0:f>IF(A66="","",COUNTIFS($J$7:$J$406,$A66,$Q$7:$Q$406,"In Progress"))</ns0:f>
      </ns0:c>
      <ns0:c r="E66" s="8" t="str">
        <ns0:f>IF(A66="","",B66-C66)</ns0:f>
      </ns0:c>
      <ns0:c r="F66" s="19" t="str">
        <ns0:f>IF(A66="","",SUMIFS($N$7:$N$406,$J$7:$J$406,$A66)/B66)</ns0:f>
      </ns0:c>
      <ns0:c r="G66" s="8" t="str">
        <ns0:f>IF(A66="","",COUNTIFS(V66:BC66,"&gt;1"))</ns0:f>
      </ns0:c>
      <ns0:c r="H66" s="8" t="str">
        <ns0:f>IF(A66="","",IF(COUNTIFS($T$7:$T$33,A66)&gt;0,INDEX($U$7:$U$33,MATCH(A66,$T$7:$T$33,0)),"No capacity or responsibility detail supplied."))</ns0:f>
      </ns0:c>
      <ns0:c r="J66" t="str">
        <ns0:f>IF('Project Tracker'!A21="","",TRIM(MID(SUBSTITUTE('Project Tracker'!K21,";",REPT(" ",150)),451,150)))</ns0:f>
      </ns0:c>
      <ns0:c r="K66" t="str">
        <ns0:f>IF(J66="","",IF(COUNTIFS($J$7:J66,J66)=1,MAX($K$6:K65)+1,""))</ns0:f>
      </ns0:c>
      <ns0:c r="L66" t="n">
        <ns0:f>IF(A66="",0,B66+(107-ROW())/1000)</ns0:f>
        <ns0:v>0</ns0:v>
      </ns0:c>
      <ns0:c r="M66" t="str">
        <ns0:f>IF(J66="","",'Project Tracker'!A21)</ns0:f>
      </ns0:c>
      <ns0:c r="N66" t="str">
        <ns0:f>IF(J66="","",'Project Tracker'!N21)</ns0:f>
      </ns0:c>
      <ns0:c r="O66" t="str">
        <ns0:f>IF(J66="","",'Project Tracker'!E21)</ns0:f>
      </ns0:c>
      <ns0:c r="P66" t="str">
        <ns0:f>IF(J66="","",'Project Tracker'!F21)</ns0:f>
      </ns0:c>
      <ns0:c r="Q66" t="str">
        <ns0:f>IF(J66="","",'Project Tracker'!Q21)</ns0:f>
      </ns0:c>
      <ns0:c r="R66" t="str">
        <ns0:f>IF(J66="","",'Project Tracker'!J21)</ns0:f>
      </ns0:c>
      <ns0:c r="V66" t="n">
        <ns0:f>IF($A66="",0,COUNTIFS($J$7:$J$406,$A66,$O$7:$O$406,"&lt;="&amp;V$6,$P$7:$P$406,"&gt;="&amp;V$6,$R$7:$R$406,"No"))</ns0:f>
        <ns0:v>0</ns0:v>
      </ns0:c>
      <ns0:c r="W66" t="n">
        <ns0:f>IF($A66="",0,COUNTIFS($J$7:$J$406,$A66,$O$7:$O$406,"&lt;="&amp;W$6,$P$7:$P$406,"&gt;="&amp;W$6,$R$7:$R$406,"No"))</ns0:f>
        <ns0:v>0</ns0:v>
      </ns0:c>
      <ns0:c r="X66" t="n">
        <ns0:f>IF($A66="",0,COUNTIFS($J$7:$J$406,$A66,$O$7:$O$406,"&lt;="&amp;X$6,$P$7:$P$406,"&gt;="&amp;X$6,$R$7:$R$406,"No"))</ns0:f>
        <ns0:v>0</ns0:v>
      </ns0:c>
      <ns0:c r="Y66" t="n">
        <ns0:f>IF($A66="",0,COUNTIFS($J$7:$J$406,$A66,$O$7:$O$406,"&lt;="&amp;Y$6,$P$7:$P$406,"&gt;="&amp;Y$6,$R$7:$R$406,"No"))</ns0:f>
        <ns0:v>0</ns0:v>
      </ns0:c>
      <ns0:c r="Z66" t="n">
        <ns0:f>IF($A66="",0,COUNTIFS($J$7:$J$406,$A66,$O$7:$O$406,"&lt;="&amp;Z$6,$P$7:$P$406,"&gt;="&amp;Z$6,$R$7:$R$406,"No"))</ns0:f>
        <ns0:v>0</ns0:v>
      </ns0:c>
      <ns0:c r="AA66" t="n">
        <ns0:f>IF($A66="",0,COUNTIFS($J$7:$J$406,$A66,$O$7:$O$406,"&lt;="&amp;AA$6,$P$7:$P$406,"&gt;="&amp;AA$6,$R$7:$R$406,"No"))</ns0:f>
        <ns0:v>0</ns0:v>
      </ns0:c>
      <ns0:c r="AB66" t="n">
        <ns0:f>IF($A66="",0,COUNTIFS($J$7:$J$406,$A66,$O$7:$O$406,"&lt;="&amp;AB$6,$P$7:$P$406,"&gt;="&amp;AB$6,$R$7:$R$406,"No"))</ns0:f>
        <ns0:v>0</ns0:v>
      </ns0:c>
      <ns0:c r="AC66" t="n">
        <ns0:f>IF($A66="",0,COUNTIFS($J$7:$J$406,$A66,$O$7:$O$406,"&lt;="&amp;AC$6,$P$7:$P$406,"&gt;="&amp;AC$6,$R$7:$R$406,"No"))</ns0:f>
        <ns0:v>0</ns0:v>
      </ns0:c>
      <ns0:c r="AD66" t="n">
        <ns0:f>IF($A66="",0,COUNTIFS($J$7:$J$406,$A66,$O$7:$O$406,"&lt;="&amp;AD$6,$P$7:$P$406,"&gt;="&amp;AD$6,$R$7:$R$406,"No"))</ns0:f>
        <ns0:v>0</ns0:v>
      </ns0:c>
      <ns0:c r="AE66" t="n">
        <ns0:f>IF($A66="",0,COUNTIFS($J$7:$J$406,$A66,$O$7:$O$406,"&lt;="&amp;AE$6,$P$7:$P$406,"&gt;="&amp;AE$6,$R$7:$R$406,"No"))</ns0:f>
        <ns0:v>0</ns0:v>
      </ns0:c>
      <ns0:c r="AF66" t="n">
        <ns0:f>IF($A66="",0,COUNTIFS($J$7:$J$406,$A66,$O$7:$O$406,"&lt;="&amp;AF$6,$P$7:$P$406,"&gt;="&amp;AF$6,$R$7:$R$406,"No"))</ns0:f>
        <ns0:v>0</ns0:v>
      </ns0:c>
      <ns0:c r="AG66" t="n">
        <ns0:f>IF($A66="",0,COUNTIFS($J$7:$J$406,$A66,$O$7:$O$406,"&lt;="&amp;AG$6,$P$7:$P$406,"&gt;="&amp;AG$6,$R$7:$R$406,"No"))</ns0:f>
        <ns0:v>0</ns0:v>
      </ns0:c>
      <ns0:c r="AH66" t="n">
        <ns0:f>IF($A66="",0,COUNTIFS($J$7:$J$406,$A66,$O$7:$O$406,"&lt;="&amp;AH$6,$P$7:$P$406,"&gt;="&amp;AH$6,$R$7:$R$406,"No"))</ns0:f>
        <ns0:v>0</ns0:v>
      </ns0:c>
      <ns0:c r="AI66" t="n">
        <ns0:f>IF($A66="",0,COUNTIFS($J$7:$J$406,$A66,$O$7:$O$406,"&lt;="&amp;AI$6,$P$7:$P$406,"&gt;="&amp;AI$6,$R$7:$R$406,"No"))</ns0:f>
        <ns0:v>0</ns0:v>
      </ns0:c>
      <ns0:c r="AJ66" t="n">
        <ns0:f>IF($A66="",0,COUNTIFS($J$7:$J$406,$A66,$O$7:$O$406,"&lt;="&amp;AJ$6,$P$7:$P$406,"&gt;="&amp;AJ$6,$R$7:$R$406,"No"))</ns0:f>
        <ns0:v>0</ns0:v>
      </ns0:c>
      <ns0:c r="AK66" t="n">
        <ns0:f>IF($A66="",0,COUNTIFS($J$7:$J$406,$A66,$O$7:$O$406,"&lt;="&amp;AK$6,$P$7:$P$406,"&gt;="&amp;AK$6,$R$7:$R$406,"No"))</ns0:f>
        <ns0:v>0</ns0:v>
      </ns0:c>
      <ns0:c r="AL66" t="n">
        <ns0:f>IF($A66="",0,COUNTIFS($J$7:$J$406,$A66,$O$7:$O$406,"&lt;="&amp;AL$6,$P$7:$P$406,"&gt;="&amp;AL$6,$R$7:$R$406,"No"))</ns0:f>
        <ns0:v>0</ns0:v>
      </ns0:c>
      <ns0:c r="AM66" t="n">
        <ns0:f>IF($A66="",0,COUNTIFS($J$7:$J$406,$A66,$O$7:$O$406,"&lt;="&amp;AM$6,$P$7:$P$406,"&gt;="&amp;AM$6,$R$7:$R$406,"No"))</ns0:f>
        <ns0:v>0</ns0:v>
      </ns0:c>
      <ns0:c r="AN66" t="n">
        <ns0:f>IF($A66="",0,COUNTIFS($J$7:$J$406,$A66,$O$7:$O$406,"&lt;="&amp;AN$6,$P$7:$P$406,"&gt;="&amp;AN$6,$R$7:$R$406,"No"))</ns0:f>
        <ns0:v>0</ns0:v>
      </ns0:c>
      <ns0:c r="AO66" t="n">
        <ns0:f>IF($A66="",0,COUNTIFS($J$7:$J$406,$A66,$O$7:$O$406,"&lt;="&amp;AO$6,$P$7:$P$406,"&gt;="&amp;AO$6,$R$7:$R$406,"No"))</ns0:f>
        <ns0:v>0</ns0:v>
      </ns0:c>
      <ns0:c r="AP66" t="n">
        <ns0:f>IF($A66="",0,COUNTIFS($J$7:$J$406,$A66,$O$7:$O$406,"&lt;="&amp;AP$6,$P$7:$P$406,"&gt;="&amp;AP$6,$R$7:$R$406,"No"))</ns0:f>
        <ns0:v>0</ns0:v>
      </ns0:c>
      <ns0:c r="AQ66" t="n">
        <ns0:f>IF($A66="",0,COUNTIFS($J$7:$J$406,$A66,$O$7:$O$406,"&lt;="&amp;AQ$6,$P$7:$P$406,"&gt;="&amp;AQ$6,$R$7:$R$406,"No"))</ns0:f>
        <ns0:v>0</ns0:v>
      </ns0:c>
      <ns0:c r="AR66" t="n">
        <ns0:f>IF($A66="",0,COUNTIFS($J$7:$J$406,$A66,$O$7:$O$406,"&lt;="&amp;AR$6,$P$7:$P$406,"&gt;="&amp;AR$6,$R$7:$R$406,"No"))</ns0:f>
        <ns0:v>0</ns0:v>
      </ns0:c>
      <ns0:c r="AS66" t="n">
        <ns0:f>IF($A66="",0,COUNTIFS($J$7:$J$406,$A66,$O$7:$O$406,"&lt;="&amp;AS$6,$P$7:$P$406,"&gt;="&amp;AS$6,$R$7:$R$406,"No"))</ns0:f>
        <ns0:v>0</ns0:v>
      </ns0:c>
      <ns0:c r="AT66" t="n">
        <ns0:f>IF($A66="",0,COUNTIFS($J$7:$J$406,$A66,$O$7:$O$406,"&lt;="&amp;AT$6,$P$7:$P$406,"&gt;="&amp;AT$6,$R$7:$R$406,"No"))</ns0:f>
        <ns0:v>0</ns0:v>
      </ns0:c>
      <ns0:c r="AU66" t="n">
        <ns0:f>IF($A66="",0,COUNTIFS($J$7:$J$406,$A66,$O$7:$O$406,"&lt;="&amp;AU$6,$P$7:$P$406,"&gt;="&amp;AU$6,$R$7:$R$406,"No"))</ns0:f>
        <ns0:v>0</ns0:v>
      </ns0:c>
      <ns0:c r="AV66" t="n">
        <ns0:f>IF($A66="",0,COUNTIFS($J$7:$J$406,$A66,$O$7:$O$406,"&lt;="&amp;AV$6,$P$7:$P$406,"&gt;="&amp;AV$6,$R$7:$R$406,"No"))</ns0:f>
        <ns0:v>0</ns0:v>
      </ns0:c>
      <ns0:c r="AW66" t="n">
        <ns0:f>IF($A66="",0,COUNTIFS($J$7:$J$406,$A66,$O$7:$O$406,"&lt;="&amp;AW$6,$P$7:$P$406,"&gt;="&amp;AW$6,$R$7:$R$406,"No"))</ns0:f>
        <ns0:v>0</ns0:v>
      </ns0:c>
      <ns0:c r="AX66" t="n">
        <ns0:f>IF($A66="",0,COUNTIFS($J$7:$J$406,$A66,$O$7:$O$406,"&lt;="&amp;AX$6,$P$7:$P$406,"&gt;="&amp;AX$6,$R$7:$R$406,"No"))</ns0:f>
        <ns0:v>0</ns0:v>
      </ns0:c>
      <ns0:c r="AY66" t="n">
        <ns0:f>IF($A66="",0,COUNTIFS($J$7:$J$406,$A66,$O$7:$O$406,"&lt;="&amp;AY$6,$P$7:$P$406,"&gt;="&amp;AY$6,$R$7:$R$406,"No"))</ns0:f>
        <ns0:v>0</ns0:v>
      </ns0:c>
      <ns0:c r="AZ66" t="n">
        <ns0:f>IF($A66="",0,COUNTIFS($J$7:$J$406,$A66,$O$7:$O$406,"&lt;="&amp;AZ$6,$P$7:$P$406,"&gt;="&amp;AZ$6,$R$7:$R$406,"No"))</ns0:f>
        <ns0:v>0</ns0:v>
      </ns0:c>
      <ns0:c r="BA66" t="n">
        <ns0:f>IF($A66="",0,COUNTIFS($J$7:$J$406,$A66,$O$7:$O$406,"&lt;="&amp;BA$6,$P$7:$P$406,"&gt;="&amp;BA$6,$R$7:$R$406,"No"))</ns0:f>
        <ns0:v>0</ns0:v>
      </ns0:c>
      <ns0:c r="BB66" t="n">
        <ns0:f>IF($A66="",0,COUNTIFS($J$7:$J$406,$A66,$O$7:$O$406,"&lt;="&amp;BB$6,$P$7:$P$406,"&gt;="&amp;BB$6,$R$7:$R$406,"No"))</ns0:f>
        <ns0:v>0</ns0:v>
      </ns0:c>
      <ns0:c r="BC66" t="n">
        <ns0:f>IF($A66="",0,COUNTIFS($J$7:$J$406,$A66,$O$7:$O$406,"&lt;="&amp;BC$6,$P$7:$P$406,"&gt;="&amp;BC$6,$R$7:$R$406,"No"))</ns0:f>
        <ns0:v>0</ns0:v>
      </ns0:c>
    </ns0:row>
    <ns0:row r="67" ht="48" customHeight="1">
      <ns0:c r="A67" s="8" t="str">
        <ns0:f>IF(ROW()-6&gt;MAX($K$7:$K$406),"",INDEX($J$7:$J$406,MATCH(ROW()-6,$K$7:$K$406,0)))</ns0:f>
      </ns0:c>
      <ns0:c r="B67" s="8" t="str">
        <ns0:f>IF(A67="","",COUNTIFS($J$7:$J$406,$A67))</ns0:f>
      </ns0:c>
      <ns0:c r="C67" s="8" t="str">
        <ns0:f>IF(A67="","",COUNTIFS($J$7:$J$406,$A67,$N$7:$N$406,1))</ns0:f>
      </ns0:c>
      <ns0:c r="D67" s="8" t="str">
        <ns0:f>IF(A67="","",COUNTIFS($J$7:$J$406,$A67,$Q$7:$Q$406,"In Progress"))</ns0:f>
      </ns0:c>
      <ns0:c r="E67" s="8" t="str">
        <ns0:f>IF(A67="","",B67-C67)</ns0:f>
      </ns0:c>
      <ns0:c r="F67" s="19" t="str">
        <ns0:f>IF(A67="","",SUMIFS($N$7:$N$406,$J$7:$J$406,$A67)/B67)</ns0:f>
      </ns0:c>
      <ns0:c r="G67" s="8" t="str">
        <ns0:f>IF(A67="","",COUNTIFS(V67:BC67,"&gt;1"))</ns0:f>
      </ns0:c>
      <ns0:c r="H67" s="8" t="str">
        <ns0:f>IF(A67="","",IF(COUNTIFS($T$7:$T$33,A67)&gt;0,INDEX($U$7:$U$33,MATCH(A67,$T$7:$T$33,0)),"No capacity or responsibility detail supplied."))</ns0:f>
      </ns0:c>
      <ns0:c r="J67" t="str">
        <ns0:f>IF('Project Tracker'!A22="","",TRIM(MID(SUBSTITUTE('Project Tracker'!K22,";",REPT(" ",150)),1,150)))</ns0:f>
        <ns0:v>Specialist Sub-Agents (L4_SUBS)</ns0:v>
      </ns0:c>
      <ns0:c r="K67" t="n">
        <ns0:f>IF(J67="","",IF(COUNTIFS($J$7:J67,J67)=1,MAX($K$6:K66)+1,""))</ns0:f>
        <ns0:v>14</ns0:v>
      </ns0:c>
      <ns0:c r="L67" t="n">
        <ns0:f>IF(A67="",0,B67+(107-ROW())/1000)</ns0:f>
        <ns0:v>0</ns0:v>
      </ns0:c>
      <ns0:c r="M67" t="str">
        <ns0:f>IF(J67="","",'Project Tracker'!A22)</ns0:f>
        <ns0:v>T14</ns0:v>
      </ns0:c>
      <ns0:c r="N67" t="n">
        <ns0:f>IF(J67="","",'Project Tracker'!N22)</ns0:f>
        <ns0:v>0</ns0:v>
      </ns0:c>
      <ns0:c r="O67" t="n">
        <ns0:f>IF(J67="","",'Project Tracker'!E22)</ns0:f>
        <ns0:v>46283</ns0:v>
      </ns0:c>
      <ns0:c r="P67" t="n">
        <ns0:f>IF(J67="","",'Project Tracker'!F22)</ns0:f>
        <ns0:v>46284</ns0:v>
      </ns0:c>
      <ns0:c r="Q67" t="str">
        <ns0:f>IF(J67="","",'Project Tracker'!Q22)</ns0:f>
        <ns0:v>Not Started</ns0:v>
      </ns0:c>
      <ns0:c r="R67" t="str">
        <ns0:f>IF(J67="","",'Project Tracker'!J22)</ns0:f>
        <ns0:v>No</ns0:v>
      </ns0:c>
      <ns0:c r="V67" t="n">
        <ns0:f>IF($A67="",0,COUNTIFS($J$7:$J$406,$A67,$O$7:$O$406,"&lt;="&amp;V$6,$P$7:$P$406,"&gt;="&amp;V$6,$R$7:$R$406,"No"))</ns0:f>
        <ns0:v>0</ns0:v>
      </ns0:c>
      <ns0:c r="W67" t="n">
        <ns0:f>IF($A67="",0,COUNTIFS($J$7:$J$406,$A67,$O$7:$O$406,"&lt;="&amp;W$6,$P$7:$P$406,"&gt;="&amp;W$6,$R$7:$R$406,"No"))</ns0:f>
        <ns0:v>0</ns0:v>
      </ns0:c>
      <ns0:c r="X67" t="n">
        <ns0:f>IF($A67="",0,COUNTIFS($J$7:$J$406,$A67,$O$7:$O$406,"&lt;="&amp;X$6,$P$7:$P$406,"&gt;="&amp;X$6,$R$7:$R$406,"No"))</ns0:f>
        <ns0:v>0</ns0:v>
      </ns0:c>
      <ns0:c r="Y67" t="n">
        <ns0:f>IF($A67="",0,COUNTIFS($J$7:$J$406,$A67,$O$7:$O$406,"&lt;="&amp;Y$6,$P$7:$P$406,"&gt;="&amp;Y$6,$R$7:$R$406,"No"))</ns0:f>
        <ns0:v>0</ns0:v>
      </ns0:c>
      <ns0:c r="Z67" t="n">
        <ns0:f>IF($A67="",0,COUNTIFS($J$7:$J$406,$A67,$O$7:$O$406,"&lt;="&amp;Z$6,$P$7:$P$406,"&gt;="&amp;Z$6,$R$7:$R$406,"No"))</ns0:f>
        <ns0:v>0</ns0:v>
      </ns0:c>
      <ns0:c r="AA67" t="n">
        <ns0:f>IF($A67="",0,COUNTIFS($J$7:$J$406,$A67,$O$7:$O$406,"&lt;="&amp;AA$6,$P$7:$P$406,"&gt;="&amp;AA$6,$R$7:$R$406,"No"))</ns0:f>
        <ns0:v>0</ns0:v>
      </ns0:c>
      <ns0:c r="AB67" t="n">
        <ns0:f>IF($A67="",0,COUNTIFS($J$7:$J$406,$A67,$O$7:$O$406,"&lt;="&amp;AB$6,$P$7:$P$406,"&gt;="&amp;AB$6,$R$7:$R$406,"No"))</ns0:f>
        <ns0:v>0</ns0:v>
      </ns0:c>
      <ns0:c r="AC67" t="n">
        <ns0:f>IF($A67="",0,COUNTIFS($J$7:$J$406,$A67,$O$7:$O$406,"&lt;="&amp;AC$6,$P$7:$P$406,"&gt;="&amp;AC$6,$R$7:$R$406,"No"))</ns0:f>
        <ns0:v>0</ns0:v>
      </ns0:c>
      <ns0:c r="AD67" t="n">
        <ns0:f>IF($A67="",0,COUNTIFS($J$7:$J$406,$A67,$O$7:$O$406,"&lt;="&amp;AD$6,$P$7:$P$406,"&gt;="&amp;AD$6,$R$7:$R$406,"No"))</ns0:f>
        <ns0:v>0</ns0:v>
      </ns0:c>
      <ns0:c r="AE67" t="n">
        <ns0:f>IF($A67="",0,COUNTIFS($J$7:$J$406,$A67,$O$7:$O$406,"&lt;="&amp;AE$6,$P$7:$P$406,"&gt;="&amp;AE$6,$R$7:$R$406,"No"))</ns0:f>
        <ns0:v>0</ns0:v>
      </ns0:c>
      <ns0:c r="AF67" t="n">
        <ns0:f>IF($A67="",0,COUNTIFS($J$7:$J$406,$A67,$O$7:$O$406,"&lt;="&amp;AF$6,$P$7:$P$406,"&gt;="&amp;AF$6,$R$7:$R$406,"No"))</ns0:f>
        <ns0:v>0</ns0:v>
      </ns0:c>
      <ns0:c r="AG67" t="n">
        <ns0:f>IF($A67="",0,COUNTIFS($J$7:$J$406,$A67,$O$7:$O$406,"&lt;="&amp;AG$6,$P$7:$P$406,"&gt;="&amp;AG$6,$R$7:$R$406,"No"))</ns0:f>
        <ns0:v>0</ns0:v>
      </ns0:c>
      <ns0:c r="AH67" t="n">
        <ns0:f>IF($A67="",0,COUNTIFS($J$7:$J$406,$A67,$O$7:$O$406,"&lt;="&amp;AH$6,$P$7:$P$406,"&gt;="&amp;AH$6,$R$7:$R$406,"No"))</ns0:f>
        <ns0:v>0</ns0:v>
      </ns0:c>
      <ns0:c r="AI67" t="n">
        <ns0:f>IF($A67="",0,COUNTIFS($J$7:$J$406,$A67,$O$7:$O$406,"&lt;="&amp;AI$6,$P$7:$P$406,"&gt;="&amp;AI$6,$R$7:$R$406,"No"))</ns0:f>
        <ns0:v>0</ns0:v>
      </ns0:c>
      <ns0:c r="AJ67" t="n">
        <ns0:f>IF($A67="",0,COUNTIFS($J$7:$J$406,$A67,$O$7:$O$406,"&lt;="&amp;AJ$6,$P$7:$P$406,"&gt;="&amp;AJ$6,$R$7:$R$406,"No"))</ns0:f>
        <ns0:v>0</ns0:v>
      </ns0:c>
      <ns0:c r="AK67" t="n">
        <ns0:f>IF($A67="",0,COUNTIFS($J$7:$J$406,$A67,$O$7:$O$406,"&lt;="&amp;AK$6,$P$7:$P$406,"&gt;="&amp;AK$6,$R$7:$R$406,"No"))</ns0:f>
        <ns0:v>0</ns0:v>
      </ns0:c>
      <ns0:c r="AL67" t="n">
        <ns0:f>IF($A67="",0,COUNTIFS($J$7:$J$406,$A67,$O$7:$O$406,"&lt;="&amp;AL$6,$P$7:$P$406,"&gt;="&amp;AL$6,$R$7:$R$406,"No"))</ns0:f>
        <ns0:v>0</ns0:v>
      </ns0:c>
      <ns0:c r="AM67" t="n">
        <ns0:f>IF($A67="",0,COUNTIFS($J$7:$J$406,$A67,$O$7:$O$406,"&lt;="&amp;AM$6,$P$7:$P$406,"&gt;="&amp;AM$6,$R$7:$R$406,"No"))</ns0:f>
        <ns0:v>0</ns0:v>
      </ns0:c>
      <ns0:c r="AN67" t="n">
        <ns0:f>IF($A67="",0,COUNTIFS($J$7:$J$406,$A67,$O$7:$O$406,"&lt;="&amp;AN$6,$P$7:$P$406,"&gt;="&amp;AN$6,$R$7:$R$406,"No"))</ns0:f>
        <ns0:v>0</ns0:v>
      </ns0:c>
      <ns0:c r="AO67" t="n">
        <ns0:f>IF($A67="",0,COUNTIFS($J$7:$J$406,$A67,$O$7:$O$406,"&lt;="&amp;AO$6,$P$7:$P$406,"&gt;="&amp;AO$6,$R$7:$R$406,"No"))</ns0:f>
        <ns0:v>0</ns0:v>
      </ns0:c>
      <ns0:c r="AP67" t="n">
        <ns0:f>IF($A67="",0,COUNTIFS($J$7:$J$406,$A67,$O$7:$O$406,"&lt;="&amp;AP$6,$P$7:$P$406,"&gt;="&amp;AP$6,$R$7:$R$406,"No"))</ns0:f>
        <ns0:v>0</ns0:v>
      </ns0:c>
      <ns0:c r="AQ67" t="n">
        <ns0:f>IF($A67="",0,COUNTIFS($J$7:$J$406,$A67,$O$7:$O$406,"&lt;="&amp;AQ$6,$P$7:$P$406,"&gt;="&amp;AQ$6,$R$7:$R$406,"No"))</ns0:f>
        <ns0:v>0</ns0:v>
      </ns0:c>
      <ns0:c r="AR67" t="n">
        <ns0:f>IF($A67="",0,COUNTIFS($J$7:$J$406,$A67,$O$7:$O$406,"&lt;="&amp;AR$6,$P$7:$P$406,"&gt;="&amp;AR$6,$R$7:$R$406,"No"))</ns0:f>
        <ns0:v>0</ns0:v>
      </ns0:c>
      <ns0:c r="AS67" t="n">
        <ns0:f>IF($A67="",0,COUNTIFS($J$7:$J$406,$A67,$O$7:$O$406,"&lt;="&amp;AS$6,$P$7:$P$406,"&gt;="&amp;AS$6,$R$7:$R$406,"No"))</ns0:f>
        <ns0:v>0</ns0:v>
      </ns0:c>
      <ns0:c r="AT67" t="n">
        <ns0:f>IF($A67="",0,COUNTIFS($J$7:$J$406,$A67,$O$7:$O$406,"&lt;="&amp;AT$6,$P$7:$P$406,"&gt;="&amp;AT$6,$R$7:$R$406,"No"))</ns0:f>
        <ns0:v>0</ns0:v>
      </ns0:c>
      <ns0:c r="AU67" t="n">
        <ns0:f>IF($A67="",0,COUNTIFS($J$7:$J$406,$A67,$O$7:$O$406,"&lt;="&amp;AU$6,$P$7:$P$406,"&gt;="&amp;AU$6,$R$7:$R$406,"No"))</ns0:f>
        <ns0:v>0</ns0:v>
      </ns0:c>
      <ns0:c r="AV67" t="n">
        <ns0:f>IF($A67="",0,COUNTIFS($J$7:$J$406,$A67,$O$7:$O$406,"&lt;="&amp;AV$6,$P$7:$P$406,"&gt;="&amp;AV$6,$R$7:$R$406,"No"))</ns0:f>
        <ns0:v>0</ns0:v>
      </ns0:c>
      <ns0:c r="AW67" t="n">
        <ns0:f>IF($A67="",0,COUNTIFS($J$7:$J$406,$A67,$O$7:$O$406,"&lt;="&amp;AW$6,$P$7:$P$406,"&gt;="&amp;AW$6,$R$7:$R$406,"No"))</ns0:f>
        <ns0:v>0</ns0:v>
      </ns0:c>
      <ns0:c r="AX67" t="n">
        <ns0:f>IF($A67="",0,COUNTIFS($J$7:$J$406,$A67,$O$7:$O$406,"&lt;="&amp;AX$6,$P$7:$P$406,"&gt;="&amp;AX$6,$R$7:$R$406,"No"))</ns0:f>
        <ns0:v>0</ns0:v>
      </ns0:c>
      <ns0:c r="AY67" t="n">
        <ns0:f>IF($A67="",0,COUNTIFS($J$7:$J$406,$A67,$O$7:$O$406,"&lt;="&amp;AY$6,$P$7:$P$406,"&gt;="&amp;AY$6,$R$7:$R$406,"No"))</ns0:f>
        <ns0:v>0</ns0:v>
      </ns0:c>
      <ns0:c r="AZ67" t="n">
        <ns0:f>IF($A67="",0,COUNTIFS($J$7:$J$406,$A67,$O$7:$O$406,"&lt;="&amp;AZ$6,$P$7:$P$406,"&gt;="&amp;AZ$6,$R$7:$R$406,"No"))</ns0:f>
        <ns0:v>0</ns0:v>
      </ns0:c>
      <ns0:c r="BA67" t="n">
        <ns0:f>IF($A67="",0,COUNTIFS($J$7:$J$406,$A67,$O$7:$O$406,"&lt;="&amp;BA$6,$P$7:$P$406,"&gt;="&amp;BA$6,$R$7:$R$406,"No"))</ns0:f>
        <ns0:v>0</ns0:v>
      </ns0:c>
      <ns0:c r="BB67" t="n">
        <ns0:f>IF($A67="",0,COUNTIFS($J$7:$J$406,$A67,$O$7:$O$406,"&lt;="&amp;BB$6,$P$7:$P$406,"&gt;="&amp;BB$6,$R$7:$R$406,"No"))</ns0:f>
        <ns0:v>0</ns0:v>
      </ns0:c>
      <ns0:c r="BC67" t="n">
        <ns0:f>IF($A67="",0,COUNTIFS($J$7:$J$406,$A67,$O$7:$O$406,"&lt;="&amp;BC$6,$P$7:$P$406,"&gt;="&amp;BC$6,$R$7:$R$406,"No"))</ns0:f>
        <ns0:v>0</ns0:v>
      </ns0:c>
    </ns0:row>
    <ns0:row r="68" ht="48" customHeight="1">
      <ns0:c r="A68" s="8" t="str">
        <ns0:f>IF(ROW()-6&gt;MAX($K$7:$K$406),"",INDEX($J$7:$J$406,MATCH(ROW()-6,$K$7:$K$406,0)))</ns0:f>
      </ns0:c>
      <ns0:c r="B68" s="8" t="str">
        <ns0:f>IF(A68="","",COUNTIFS($J$7:$J$406,$A68))</ns0:f>
      </ns0:c>
      <ns0:c r="C68" s="8" t="str">
        <ns0:f>IF(A68="","",COUNTIFS($J$7:$J$406,$A68,$N$7:$N$406,1))</ns0:f>
      </ns0:c>
      <ns0:c r="D68" s="8" t="str">
        <ns0:f>IF(A68="","",COUNTIFS($J$7:$J$406,$A68,$Q$7:$Q$406,"In Progress"))</ns0:f>
      </ns0:c>
      <ns0:c r="E68" s="8" t="str">
        <ns0:f>IF(A68="","",B68-C68)</ns0:f>
      </ns0:c>
      <ns0:c r="F68" s="19" t="str">
        <ns0:f>IF(A68="","",SUMIFS($N$7:$N$406,$J$7:$J$406,$A68)/B68)</ns0:f>
      </ns0:c>
      <ns0:c r="G68" s="8" t="str">
        <ns0:f>IF(A68="","",COUNTIFS(V68:BC68,"&gt;1"))</ns0:f>
      </ns0:c>
      <ns0:c r="H68" s="8" t="str">
        <ns0:f>IF(A68="","",IF(COUNTIFS($T$7:$T$33,A68)&gt;0,INDEX($U$7:$U$33,MATCH(A68,$T$7:$T$33,0)),"No capacity or responsibility detail supplied."))</ns0:f>
      </ns0:c>
      <ns0:c r="J68" t="str">
        <ns0:f>IF('Project Tracker'!A22="","",TRIM(MID(SUBSTITUTE('Project Tracker'!K22,";",REPT(" ",150)),151,150)))</ns0:f>
      </ns0:c>
      <ns0:c r="K68" t="str">
        <ns0:f>IF(J68="","",IF(COUNTIFS($J$7:J68,J68)=1,MAX($K$6:K67)+1,""))</ns0:f>
      </ns0:c>
      <ns0:c r="L68" t="n">
        <ns0:f>IF(A68="",0,B68+(107-ROW())/1000)</ns0:f>
        <ns0:v>0</ns0:v>
      </ns0:c>
      <ns0:c r="M68" t="str">
        <ns0:f>IF(J68="","",'Project Tracker'!A22)</ns0:f>
      </ns0:c>
      <ns0:c r="N68" t="str">
        <ns0:f>IF(J68="","",'Project Tracker'!N22)</ns0:f>
      </ns0:c>
      <ns0:c r="O68" t="str">
        <ns0:f>IF(J68="","",'Project Tracker'!E22)</ns0:f>
      </ns0:c>
      <ns0:c r="P68" t="str">
        <ns0:f>IF(J68="","",'Project Tracker'!F22)</ns0:f>
      </ns0:c>
      <ns0:c r="Q68" t="str">
        <ns0:f>IF(J68="","",'Project Tracker'!Q22)</ns0:f>
      </ns0:c>
      <ns0:c r="R68" t="str">
        <ns0:f>IF(J68="","",'Project Tracker'!J22)</ns0:f>
      </ns0:c>
      <ns0:c r="V68" t="n">
        <ns0:f>IF($A68="",0,COUNTIFS($J$7:$J$406,$A68,$O$7:$O$406,"&lt;="&amp;V$6,$P$7:$P$406,"&gt;="&amp;V$6,$R$7:$R$406,"No"))</ns0:f>
        <ns0:v>0</ns0:v>
      </ns0:c>
      <ns0:c r="W68" t="n">
        <ns0:f>IF($A68="",0,COUNTIFS($J$7:$J$406,$A68,$O$7:$O$406,"&lt;="&amp;W$6,$P$7:$P$406,"&gt;="&amp;W$6,$R$7:$R$406,"No"))</ns0:f>
        <ns0:v>0</ns0:v>
      </ns0:c>
      <ns0:c r="X68" t="n">
        <ns0:f>IF($A68="",0,COUNTIFS($J$7:$J$406,$A68,$O$7:$O$406,"&lt;="&amp;X$6,$P$7:$P$406,"&gt;="&amp;X$6,$R$7:$R$406,"No"))</ns0:f>
        <ns0:v>0</ns0:v>
      </ns0:c>
      <ns0:c r="Y68" t="n">
        <ns0:f>IF($A68="",0,COUNTIFS($J$7:$J$406,$A68,$O$7:$O$406,"&lt;="&amp;Y$6,$P$7:$P$406,"&gt;="&amp;Y$6,$R$7:$R$406,"No"))</ns0:f>
        <ns0:v>0</ns0:v>
      </ns0:c>
      <ns0:c r="Z68" t="n">
        <ns0:f>IF($A68="",0,COUNTIFS($J$7:$J$406,$A68,$O$7:$O$406,"&lt;="&amp;Z$6,$P$7:$P$406,"&gt;="&amp;Z$6,$R$7:$R$406,"No"))</ns0:f>
        <ns0:v>0</ns0:v>
      </ns0:c>
      <ns0:c r="AA68" t="n">
        <ns0:f>IF($A68="",0,COUNTIFS($J$7:$J$406,$A68,$O$7:$O$406,"&lt;="&amp;AA$6,$P$7:$P$406,"&gt;="&amp;AA$6,$R$7:$R$406,"No"))</ns0:f>
        <ns0:v>0</ns0:v>
      </ns0:c>
      <ns0:c r="AB68" t="n">
        <ns0:f>IF($A68="",0,COUNTIFS($J$7:$J$406,$A68,$O$7:$O$406,"&lt;="&amp;AB$6,$P$7:$P$406,"&gt;="&amp;AB$6,$R$7:$R$406,"No"))</ns0:f>
        <ns0:v>0</ns0:v>
      </ns0:c>
      <ns0:c r="AC68" t="n">
        <ns0:f>IF($A68="",0,COUNTIFS($J$7:$J$406,$A68,$O$7:$O$406,"&lt;="&amp;AC$6,$P$7:$P$406,"&gt;="&amp;AC$6,$R$7:$R$406,"No"))</ns0:f>
        <ns0:v>0</ns0:v>
      </ns0:c>
      <ns0:c r="AD68" t="n">
        <ns0:f>IF($A68="",0,COUNTIFS($J$7:$J$406,$A68,$O$7:$O$406,"&lt;="&amp;AD$6,$P$7:$P$406,"&gt;="&amp;AD$6,$R$7:$R$406,"No"))</ns0:f>
        <ns0:v>0</ns0:v>
      </ns0:c>
      <ns0:c r="AE68" t="n">
        <ns0:f>IF($A68="",0,COUNTIFS($J$7:$J$406,$A68,$O$7:$O$406,"&lt;="&amp;AE$6,$P$7:$P$406,"&gt;="&amp;AE$6,$R$7:$R$406,"No"))</ns0:f>
        <ns0:v>0</ns0:v>
      </ns0:c>
      <ns0:c r="AF68" t="n">
        <ns0:f>IF($A68="",0,COUNTIFS($J$7:$J$406,$A68,$O$7:$O$406,"&lt;="&amp;AF$6,$P$7:$P$406,"&gt;="&amp;AF$6,$R$7:$R$406,"No"))</ns0:f>
        <ns0:v>0</ns0:v>
      </ns0:c>
      <ns0:c r="AG68" t="n">
        <ns0:f>IF($A68="",0,COUNTIFS($J$7:$J$406,$A68,$O$7:$O$406,"&lt;="&amp;AG$6,$P$7:$P$406,"&gt;="&amp;AG$6,$R$7:$R$406,"No"))</ns0:f>
        <ns0:v>0</ns0:v>
      </ns0:c>
      <ns0:c r="AH68" t="n">
        <ns0:f>IF($A68="",0,COUNTIFS($J$7:$J$406,$A68,$O$7:$O$406,"&lt;="&amp;AH$6,$P$7:$P$406,"&gt;="&amp;AH$6,$R$7:$R$406,"No"))</ns0:f>
        <ns0:v>0</ns0:v>
      </ns0:c>
      <ns0:c r="AI68" t="n">
        <ns0:f>IF($A68="",0,COUNTIFS($J$7:$J$406,$A68,$O$7:$O$406,"&lt;="&amp;AI$6,$P$7:$P$406,"&gt;="&amp;AI$6,$R$7:$R$406,"No"))</ns0:f>
        <ns0:v>0</ns0:v>
      </ns0:c>
      <ns0:c r="AJ68" t="n">
        <ns0:f>IF($A68="",0,COUNTIFS($J$7:$J$406,$A68,$O$7:$O$406,"&lt;="&amp;AJ$6,$P$7:$P$406,"&gt;="&amp;AJ$6,$R$7:$R$406,"No"))</ns0:f>
        <ns0:v>0</ns0:v>
      </ns0:c>
      <ns0:c r="AK68" t="n">
        <ns0:f>IF($A68="",0,COUNTIFS($J$7:$J$406,$A68,$O$7:$O$406,"&lt;="&amp;AK$6,$P$7:$P$406,"&gt;="&amp;AK$6,$R$7:$R$406,"No"))</ns0:f>
        <ns0:v>0</ns0:v>
      </ns0:c>
      <ns0:c r="AL68" t="n">
        <ns0:f>IF($A68="",0,COUNTIFS($J$7:$J$406,$A68,$O$7:$O$406,"&lt;="&amp;AL$6,$P$7:$P$406,"&gt;="&amp;AL$6,$R$7:$R$406,"No"))</ns0:f>
        <ns0:v>0</ns0:v>
      </ns0:c>
      <ns0:c r="AM68" t="n">
        <ns0:f>IF($A68="",0,COUNTIFS($J$7:$J$406,$A68,$O$7:$O$406,"&lt;="&amp;AM$6,$P$7:$P$406,"&gt;="&amp;AM$6,$R$7:$R$406,"No"))</ns0:f>
        <ns0:v>0</ns0:v>
      </ns0:c>
      <ns0:c r="AN68" t="n">
        <ns0:f>IF($A68="",0,COUNTIFS($J$7:$J$406,$A68,$O$7:$O$406,"&lt;="&amp;AN$6,$P$7:$P$406,"&gt;="&amp;AN$6,$R$7:$R$406,"No"))</ns0:f>
        <ns0:v>0</ns0:v>
      </ns0:c>
      <ns0:c r="AO68" t="n">
        <ns0:f>IF($A68="",0,COUNTIFS($J$7:$J$406,$A68,$O$7:$O$406,"&lt;="&amp;AO$6,$P$7:$P$406,"&gt;="&amp;AO$6,$R$7:$R$406,"No"))</ns0:f>
        <ns0:v>0</ns0:v>
      </ns0:c>
      <ns0:c r="AP68" t="n">
        <ns0:f>IF($A68="",0,COUNTIFS($J$7:$J$406,$A68,$O$7:$O$406,"&lt;="&amp;AP$6,$P$7:$P$406,"&gt;="&amp;AP$6,$R$7:$R$406,"No"))</ns0:f>
        <ns0:v>0</ns0:v>
      </ns0:c>
      <ns0:c r="AQ68" t="n">
        <ns0:f>IF($A68="",0,COUNTIFS($J$7:$J$406,$A68,$O$7:$O$406,"&lt;="&amp;AQ$6,$P$7:$P$406,"&gt;="&amp;AQ$6,$R$7:$R$406,"No"))</ns0:f>
        <ns0:v>0</ns0:v>
      </ns0:c>
      <ns0:c r="AR68" t="n">
        <ns0:f>IF($A68="",0,COUNTIFS($J$7:$J$406,$A68,$O$7:$O$406,"&lt;="&amp;AR$6,$P$7:$P$406,"&gt;="&amp;AR$6,$R$7:$R$406,"No"))</ns0:f>
        <ns0:v>0</ns0:v>
      </ns0:c>
      <ns0:c r="AS68" t="n">
        <ns0:f>IF($A68="",0,COUNTIFS($J$7:$J$406,$A68,$O$7:$O$406,"&lt;="&amp;AS$6,$P$7:$P$406,"&gt;="&amp;AS$6,$R$7:$R$406,"No"))</ns0:f>
        <ns0:v>0</ns0:v>
      </ns0:c>
      <ns0:c r="AT68" t="n">
        <ns0:f>IF($A68="",0,COUNTIFS($J$7:$J$406,$A68,$O$7:$O$406,"&lt;="&amp;AT$6,$P$7:$P$406,"&gt;="&amp;AT$6,$R$7:$R$406,"No"))</ns0:f>
        <ns0:v>0</ns0:v>
      </ns0:c>
      <ns0:c r="AU68" t="n">
        <ns0:f>IF($A68="",0,COUNTIFS($J$7:$J$406,$A68,$O$7:$O$406,"&lt;="&amp;AU$6,$P$7:$P$406,"&gt;="&amp;AU$6,$R$7:$R$406,"No"))</ns0:f>
        <ns0:v>0</ns0:v>
      </ns0:c>
      <ns0:c r="AV68" t="n">
        <ns0:f>IF($A68="",0,COUNTIFS($J$7:$J$406,$A68,$O$7:$O$406,"&lt;="&amp;AV$6,$P$7:$P$406,"&gt;="&amp;AV$6,$R$7:$R$406,"No"))</ns0:f>
        <ns0:v>0</ns0:v>
      </ns0:c>
      <ns0:c r="AW68" t="n">
        <ns0:f>IF($A68="",0,COUNTIFS($J$7:$J$406,$A68,$O$7:$O$406,"&lt;="&amp;AW$6,$P$7:$P$406,"&gt;="&amp;AW$6,$R$7:$R$406,"No"))</ns0:f>
        <ns0:v>0</ns0:v>
      </ns0:c>
      <ns0:c r="AX68" t="n">
        <ns0:f>IF($A68="",0,COUNTIFS($J$7:$J$406,$A68,$O$7:$O$406,"&lt;="&amp;AX$6,$P$7:$P$406,"&gt;="&amp;AX$6,$R$7:$R$406,"No"))</ns0:f>
        <ns0:v>0</ns0:v>
      </ns0:c>
      <ns0:c r="AY68" t="n">
        <ns0:f>IF($A68="",0,COUNTIFS($J$7:$J$406,$A68,$O$7:$O$406,"&lt;="&amp;AY$6,$P$7:$P$406,"&gt;="&amp;AY$6,$R$7:$R$406,"No"))</ns0:f>
        <ns0:v>0</ns0:v>
      </ns0:c>
      <ns0:c r="AZ68" t="n">
        <ns0:f>IF($A68="",0,COUNTIFS($J$7:$J$406,$A68,$O$7:$O$406,"&lt;="&amp;AZ$6,$P$7:$P$406,"&gt;="&amp;AZ$6,$R$7:$R$406,"No"))</ns0:f>
        <ns0:v>0</ns0:v>
      </ns0:c>
      <ns0:c r="BA68" t="n">
        <ns0:f>IF($A68="",0,COUNTIFS($J$7:$J$406,$A68,$O$7:$O$406,"&lt;="&amp;BA$6,$P$7:$P$406,"&gt;="&amp;BA$6,$R$7:$R$406,"No"))</ns0:f>
        <ns0:v>0</ns0:v>
      </ns0:c>
      <ns0:c r="BB68" t="n">
        <ns0:f>IF($A68="",0,COUNTIFS($J$7:$J$406,$A68,$O$7:$O$406,"&lt;="&amp;BB$6,$P$7:$P$406,"&gt;="&amp;BB$6,$R$7:$R$406,"No"))</ns0:f>
        <ns0:v>0</ns0:v>
      </ns0:c>
      <ns0:c r="BC68" t="n">
        <ns0:f>IF($A68="",0,COUNTIFS($J$7:$J$406,$A68,$O$7:$O$406,"&lt;="&amp;BC$6,$P$7:$P$406,"&gt;="&amp;BC$6,$R$7:$R$406,"No"))</ns0:f>
        <ns0:v>0</ns0:v>
      </ns0:c>
    </ns0:row>
    <ns0:row r="69" ht="48" customHeight="1">
      <ns0:c r="A69" s="8" t="str">
        <ns0:f>IF(ROW()-6&gt;MAX($K$7:$K$406),"",INDEX($J$7:$J$406,MATCH(ROW()-6,$K$7:$K$406,0)))</ns0:f>
      </ns0:c>
      <ns0:c r="B69" s="8" t="str">
        <ns0:f>IF(A69="","",COUNTIFS($J$7:$J$406,$A69))</ns0:f>
      </ns0:c>
      <ns0:c r="C69" s="8" t="str">
        <ns0:f>IF(A69="","",COUNTIFS($J$7:$J$406,$A69,$N$7:$N$406,1))</ns0:f>
      </ns0:c>
      <ns0:c r="D69" s="8" t="str">
        <ns0:f>IF(A69="","",COUNTIFS($J$7:$J$406,$A69,$Q$7:$Q$406,"In Progress"))</ns0:f>
      </ns0:c>
      <ns0:c r="E69" s="8" t="str">
        <ns0:f>IF(A69="","",B69-C69)</ns0:f>
      </ns0:c>
      <ns0:c r="F69" s="19" t="str">
        <ns0:f>IF(A69="","",SUMIFS($N$7:$N$406,$J$7:$J$406,$A69)/B69)</ns0:f>
      </ns0:c>
      <ns0:c r="G69" s="8" t="str">
        <ns0:f>IF(A69="","",COUNTIFS(V69:BC69,"&gt;1"))</ns0:f>
      </ns0:c>
      <ns0:c r="H69" s="8" t="str">
        <ns0:f>IF(A69="","",IF(COUNTIFS($T$7:$T$33,A69)&gt;0,INDEX($U$7:$U$33,MATCH(A69,$T$7:$T$33,0)),"No capacity or responsibility detail supplied."))</ns0:f>
      </ns0:c>
      <ns0:c r="J69" t="str">
        <ns0:f>IF('Project Tracker'!A22="","",TRIM(MID(SUBSTITUTE('Project Tracker'!K22,";",REPT(" ",150)),301,150)))</ns0:f>
      </ns0:c>
      <ns0:c r="K69" t="str">
        <ns0:f>IF(J69="","",IF(COUNTIFS($J$7:J69,J69)=1,MAX($K$6:K68)+1,""))</ns0:f>
      </ns0:c>
      <ns0:c r="L69" t="n">
        <ns0:f>IF(A69="",0,B69+(107-ROW())/1000)</ns0:f>
        <ns0:v>0</ns0:v>
      </ns0:c>
      <ns0:c r="M69" t="str">
        <ns0:f>IF(J69="","",'Project Tracker'!A22)</ns0:f>
      </ns0:c>
      <ns0:c r="N69" t="str">
        <ns0:f>IF(J69="","",'Project Tracker'!N22)</ns0:f>
      </ns0:c>
      <ns0:c r="O69" t="str">
        <ns0:f>IF(J69="","",'Project Tracker'!E22)</ns0:f>
      </ns0:c>
      <ns0:c r="P69" t="str">
        <ns0:f>IF(J69="","",'Project Tracker'!F22)</ns0:f>
      </ns0:c>
      <ns0:c r="Q69" t="str">
        <ns0:f>IF(J69="","",'Project Tracker'!Q22)</ns0:f>
      </ns0:c>
      <ns0:c r="R69" t="str">
        <ns0:f>IF(J69="","",'Project Tracker'!J22)</ns0:f>
      </ns0:c>
      <ns0:c r="V69" t="n">
        <ns0:f>IF($A69="",0,COUNTIFS($J$7:$J$406,$A69,$O$7:$O$406,"&lt;="&amp;V$6,$P$7:$P$406,"&gt;="&amp;V$6,$R$7:$R$406,"No"))</ns0:f>
        <ns0:v>0</ns0:v>
      </ns0:c>
      <ns0:c r="W69" t="n">
        <ns0:f>IF($A69="",0,COUNTIFS($J$7:$J$406,$A69,$O$7:$O$406,"&lt;="&amp;W$6,$P$7:$P$406,"&gt;="&amp;W$6,$R$7:$R$406,"No"))</ns0:f>
        <ns0:v>0</ns0:v>
      </ns0:c>
      <ns0:c r="X69" t="n">
        <ns0:f>IF($A69="",0,COUNTIFS($J$7:$J$406,$A69,$O$7:$O$406,"&lt;="&amp;X$6,$P$7:$P$406,"&gt;="&amp;X$6,$R$7:$R$406,"No"))</ns0:f>
        <ns0:v>0</ns0:v>
      </ns0:c>
      <ns0:c r="Y69" t="n">
        <ns0:f>IF($A69="",0,COUNTIFS($J$7:$J$406,$A69,$O$7:$O$406,"&lt;="&amp;Y$6,$P$7:$P$406,"&gt;="&amp;Y$6,$R$7:$R$406,"No"))</ns0:f>
        <ns0:v>0</ns0:v>
      </ns0:c>
      <ns0:c r="Z69" t="n">
        <ns0:f>IF($A69="",0,COUNTIFS($J$7:$J$406,$A69,$O$7:$O$406,"&lt;="&amp;Z$6,$P$7:$P$406,"&gt;="&amp;Z$6,$R$7:$R$406,"No"))</ns0:f>
        <ns0:v>0</ns0:v>
      </ns0:c>
      <ns0:c r="AA69" t="n">
        <ns0:f>IF($A69="",0,COUNTIFS($J$7:$J$406,$A69,$O$7:$O$406,"&lt;="&amp;AA$6,$P$7:$P$406,"&gt;="&amp;AA$6,$R$7:$R$406,"No"))</ns0:f>
        <ns0:v>0</ns0:v>
      </ns0:c>
      <ns0:c r="AB69" t="n">
        <ns0:f>IF($A69="",0,COUNTIFS($J$7:$J$406,$A69,$O$7:$O$406,"&lt;="&amp;AB$6,$P$7:$P$406,"&gt;="&amp;AB$6,$R$7:$R$406,"No"))</ns0:f>
        <ns0:v>0</ns0:v>
      </ns0:c>
      <ns0:c r="AC69" t="n">
        <ns0:f>IF($A69="",0,COUNTIFS($J$7:$J$406,$A69,$O$7:$O$406,"&lt;="&amp;AC$6,$P$7:$P$406,"&gt;="&amp;AC$6,$R$7:$R$406,"No"))</ns0:f>
        <ns0:v>0</ns0:v>
      </ns0:c>
      <ns0:c r="AD69" t="n">
        <ns0:f>IF($A69="",0,COUNTIFS($J$7:$J$406,$A69,$O$7:$O$406,"&lt;="&amp;AD$6,$P$7:$P$406,"&gt;="&amp;AD$6,$R$7:$R$406,"No"))</ns0:f>
        <ns0:v>0</ns0:v>
      </ns0:c>
      <ns0:c r="AE69" t="n">
        <ns0:f>IF($A69="",0,COUNTIFS($J$7:$J$406,$A69,$O$7:$O$406,"&lt;="&amp;AE$6,$P$7:$P$406,"&gt;="&amp;AE$6,$R$7:$R$406,"No"))</ns0:f>
        <ns0:v>0</ns0:v>
      </ns0:c>
      <ns0:c r="AF69" t="n">
        <ns0:f>IF($A69="",0,COUNTIFS($J$7:$J$406,$A69,$O$7:$O$406,"&lt;="&amp;AF$6,$P$7:$P$406,"&gt;="&amp;AF$6,$R$7:$R$406,"No"))</ns0:f>
        <ns0:v>0</ns0:v>
      </ns0:c>
      <ns0:c r="AG69" t="n">
        <ns0:f>IF($A69="",0,COUNTIFS($J$7:$J$406,$A69,$O$7:$O$406,"&lt;="&amp;AG$6,$P$7:$P$406,"&gt;="&amp;AG$6,$R$7:$R$406,"No"))</ns0:f>
        <ns0:v>0</ns0:v>
      </ns0:c>
      <ns0:c r="AH69" t="n">
        <ns0:f>IF($A69="",0,COUNTIFS($J$7:$J$406,$A69,$O$7:$O$406,"&lt;="&amp;AH$6,$P$7:$P$406,"&gt;="&amp;AH$6,$R$7:$R$406,"No"))</ns0:f>
        <ns0:v>0</ns0:v>
      </ns0:c>
      <ns0:c r="AI69" t="n">
        <ns0:f>IF($A69="",0,COUNTIFS($J$7:$J$406,$A69,$O$7:$O$406,"&lt;="&amp;AI$6,$P$7:$P$406,"&gt;="&amp;AI$6,$R$7:$R$406,"No"))</ns0:f>
        <ns0:v>0</ns0:v>
      </ns0:c>
      <ns0:c r="AJ69" t="n">
        <ns0:f>IF($A69="",0,COUNTIFS($J$7:$J$406,$A69,$O$7:$O$406,"&lt;="&amp;AJ$6,$P$7:$P$406,"&gt;="&amp;AJ$6,$R$7:$R$406,"No"))</ns0:f>
        <ns0:v>0</ns0:v>
      </ns0:c>
      <ns0:c r="AK69" t="n">
        <ns0:f>IF($A69="",0,COUNTIFS($J$7:$J$406,$A69,$O$7:$O$406,"&lt;="&amp;AK$6,$P$7:$P$406,"&gt;="&amp;AK$6,$R$7:$R$406,"No"))</ns0:f>
        <ns0:v>0</ns0:v>
      </ns0:c>
      <ns0:c r="AL69" t="n">
        <ns0:f>IF($A69="",0,COUNTIFS($J$7:$J$406,$A69,$O$7:$O$406,"&lt;="&amp;AL$6,$P$7:$P$406,"&gt;="&amp;AL$6,$R$7:$R$406,"No"))</ns0:f>
        <ns0:v>0</ns0:v>
      </ns0:c>
      <ns0:c r="AM69" t="n">
        <ns0:f>IF($A69="",0,COUNTIFS($J$7:$J$406,$A69,$O$7:$O$406,"&lt;="&amp;AM$6,$P$7:$P$406,"&gt;="&amp;AM$6,$R$7:$R$406,"No"))</ns0:f>
        <ns0:v>0</ns0:v>
      </ns0:c>
      <ns0:c r="AN69" t="n">
        <ns0:f>IF($A69="",0,COUNTIFS($J$7:$J$406,$A69,$O$7:$O$406,"&lt;="&amp;AN$6,$P$7:$P$406,"&gt;="&amp;AN$6,$R$7:$R$406,"No"))</ns0:f>
        <ns0:v>0</ns0:v>
      </ns0:c>
      <ns0:c r="AO69" t="n">
        <ns0:f>IF($A69="",0,COUNTIFS($J$7:$J$406,$A69,$O$7:$O$406,"&lt;="&amp;AO$6,$P$7:$P$406,"&gt;="&amp;AO$6,$R$7:$R$406,"No"))</ns0:f>
        <ns0:v>0</ns0:v>
      </ns0:c>
      <ns0:c r="AP69" t="n">
        <ns0:f>IF($A69="",0,COUNTIFS($J$7:$J$406,$A69,$O$7:$O$406,"&lt;="&amp;AP$6,$P$7:$P$406,"&gt;="&amp;AP$6,$R$7:$R$406,"No"))</ns0:f>
        <ns0:v>0</ns0:v>
      </ns0:c>
      <ns0:c r="AQ69" t="n">
        <ns0:f>IF($A69="",0,COUNTIFS($J$7:$J$406,$A69,$O$7:$O$406,"&lt;="&amp;AQ$6,$P$7:$P$406,"&gt;="&amp;AQ$6,$R$7:$R$406,"No"))</ns0:f>
        <ns0:v>0</ns0:v>
      </ns0:c>
      <ns0:c r="AR69" t="n">
        <ns0:f>IF($A69="",0,COUNTIFS($J$7:$J$406,$A69,$O$7:$O$406,"&lt;="&amp;AR$6,$P$7:$P$406,"&gt;="&amp;AR$6,$R$7:$R$406,"No"))</ns0:f>
        <ns0:v>0</ns0:v>
      </ns0:c>
      <ns0:c r="AS69" t="n">
        <ns0:f>IF($A69="",0,COUNTIFS($J$7:$J$406,$A69,$O$7:$O$406,"&lt;="&amp;AS$6,$P$7:$P$406,"&gt;="&amp;AS$6,$R$7:$R$406,"No"))</ns0:f>
        <ns0:v>0</ns0:v>
      </ns0:c>
      <ns0:c r="AT69" t="n">
        <ns0:f>IF($A69="",0,COUNTIFS($J$7:$J$406,$A69,$O$7:$O$406,"&lt;="&amp;AT$6,$P$7:$P$406,"&gt;="&amp;AT$6,$R$7:$R$406,"No"))</ns0:f>
        <ns0:v>0</ns0:v>
      </ns0:c>
      <ns0:c r="AU69" t="n">
        <ns0:f>IF($A69="",0,COUNTIFS($J$7:$J$406,$A69,$O$7:$O$406,"&lt;="&amp;AU$6,$P$7:$P$406,"&gt;="&amp;AU$6,$R$7:$R$406,"No"))</ns0:f>
        <ns0:v>0</ns0:v>
      </ns0:c>
      <ns0:c r="AV69" t="n">
        <ns0:f>IF($A69="",0,COUNTIFS($J$7:$J$406,$A69,$O$7:$O$406,"&lt;="&amp;AV$6,$P$7:$P$406,"&gt;="&amp;AV$6,$R$7:$R$406,"No"))</ns0:f>
        <ns0:v>0</ns0:v>
      </ns0:c>
      <ns0:c r="AW69" t="n">
        <ns0:f>IF($A69="",0,COUNTIFS($J$7:$J$406,$A69,$O$7:$O$406,"&lt;="&amp;AW$6,$P$7:$P$406,"&gt;="&amp;AW$6,$R$7:$R$406,"No"))</ns0:f>
        <ns0:v>0</ns0:v>
      </ns0:c>
      <ns0:c r="AX69" t="n">
        <ns0:f>IF($A69="",0,COUNTIFS($J$7:$J$406,$A69,$O$7:$O$406,"&lt;="&amp;AX$6,$P$7:$P$406,"&gt;="&amp;AX$6,$R$7:$R$406,"No"))</ns0:f>
        <ns0:v>0</ns0:v>
      </ns0:c>
      <ns0:c r="AY69" t="n">
        <ns0:f>IF($A69="",0,COUNTIFS($J$7:$J$406,$A69,$O$7:$O$406,"&lt;="&amp;AY$6,$P$7:$P$406,"&gt;="&amp;AY$6,$R$7:$R$406,"No"))</ns0:f>
        <ns0:v>0</ns0:v>
      </ns0:c>
      <ns0:c r="AZ69" t="n">
        <ns0:f>IF($A69="",0,COUNTIFS($J$7:$J$406,$A69,$O$7:$O$406,"&lt;="&amp;AZ$6,$P$7:$P$406,"&gt;="&amp;AZ$6,$R$7:$R$406,"No"))</ns0:f>
        <ns0:v>0</ns0:v>
      </ns0:c>
      <ns0:c r="BA69" t="n">
        <ns0:f>IF($A69="",0,COUNTIFS($J$7:$J$406,$A69,$O$7:$O$406,"&lt;="&amp;BA$6,$P$7:$P$406,"&gt;="&amp;BA$6,$R$7:$R$406,"No"))</ns0:f>
        <ns0:v>0</ns0:v>
      </ns0:c>
      <ns0:c r="BB69" t="n">
        <ns0:f>IF($A69="",0,COUNTIFS($J$7:$J$406,$A69,$O$7:$O$406,"&lt;="&amp;BB$6,$P$7:$P$406,"&gt;="&amp;BB$6,$R$7:$R$406,"No"))</ns0:f>
        <ns0:v>0</ns0:v>
      </ns0:c>
      <ns0:c r="BC69" t="n">
        <ns0:f>IF($A69="",0,COUNTIFS($J$7:$J$406,$A69,$O$7:$O$406,"&lt;="&amp;BC$6,$P$7:$P$406,"&gt;="&amp;BC$6,$R$7:$R$406,"No"))</ns0:f>
        <ns0:v>0</ns0:v>
      </ns0:c>
    </ns0:row>
    <ns0:row r="70" ht="48" customHeight="1">
      <ns0:c r="A70" s="8" t="str">
        <ns0:f>IF(ROW()-6&gt;MAX($K$7:$K$406),"",INDEX($J$7:$J$406,MATCH(ROW()-6,$K$7:$K$406,0)))</ns0:f>
      </ns0:c>
      <ns0:c r="B70" s="8" t="str">
        <ns0:f>IF(A70="","",COUNTIFS($J$7:$J$406,$A70))</ns0:f>
      </ns0:c>
      <ns0:c r="C70" s="8" t="str">
        <ns0:f>IF(A70="","",COUNTIFS($J$7:$J$406,$A70,$N$7:$N$406,1))</ns0:f>
      </ns0:c>
      <ns0:c r="D70" s="8" t="str">
        <ns0:f>IF(A70="","",COUNTIFS($J$7:$J$406,$A70,$Q$7:$Q$406,"In Progress"))</ns0:f>
      </ns0:c>
      <ns0:c r="E70" s="8" t="str">
        <ns0:f>IF(A70="","",B70-C70)</ns0:f>
      </ns0:c>
      <ns0:c r="F70" s="19" t="str">
        <ns0:f>IF(A70="","",SUMIFS($N$7:$N$406,$J$7:$J$406,$A70)/B70)</ns0:f>
      </ns0:c>
      <ns0:c r="G70" s="8" t="str">
        <ns0:f>IF(A70="","",COUNTIFS(V70:BC70,"&gt;1"))</ns0:f>
      </ns0:c>
      <ns0:c r="H70" s="8" t="str">
        <ns0:f>IF(A70="","",IF(COUNTIFS($T$7:$T$33,A70)&gt;0,INDEX($U$7:$U$33,MATCH(A70,$T$7:$T$33,0)),"No capacity or responsibility detail supplied."))</ns0:f>
      </ns0:c>
      <ns0:c r="J70" t="str">
        <ns0:f>IF('Project Tracker'!A22="","",TRIM(MID(SUBSTITUTE('Project Tracker'!K22,";",REPT(" ",150)),451,150)))</ns0:f>
      </ns0:c>
      <ns0:c r="K70" t="str">
        <ns0:f>IF(J70="","",IF(COUNTIFS($J$7:J70,J70)=1,MAX($K$6:K69)+1,""))</ns0:f>
      </ns0:c>
      <ns0:c r="L70" t="n">
        <ns0:f>IF(A70="",0,B70+(107-ROW())/1000)</ns0:f>
        <ns0:v>0</ns0:v>
      </ns0:c>
      <ns0:c r="M70" t="str">
        <ns0:f>IF(J70="","",'Project Tracker'!A22)</ns0:f>
      </ns0:c>
      <ns0:c r="N70" t="str">
        <ns0:f>IF(J70="","",'Project Tracker'!N22)</ns0:f>
      </ns0:c>
      <ns0:c r="O70" t="str">
        <ns0:f>IF(J70="","",'Project Tracker'!E22)</ns0:f>
      </ns0:c>
      <ns0:c r="P70" t="str">
        <ns0:f>IF(J70="","",'Project Tracker'!F22)</ns0:f>
      </ns0:c>
      <ns0:c r="Q70" t="str">
        <ns0:f>IF(J70="","",'Project Tracker'!Q22)</ns0:f>
      </ns0:c>
      <ns0:c r="R70" t="str">
        <ns0:f>IF(J70="","",'Project Tracker'!J22)</ns0:f>
      </ns0:c>
      <ns0:c r="V70" t="n">
        <ns0:f>IF($A70="",0,COUNTIFS($J$7:$J$406,$A70,$O$7:$O$406,"&lt;="&amp;V$6,$P$7:$P$406,"&gt;="&amp;V$6,$R$7:$R$406,"No"))</ns0:f>
        <ns0:v>0</ns0:v>
      </ns0:c>
      <ns0:c r="W70" t="n">
        <ns0:f>IF($A70="",0,COUNTIFS($J$7:$J$406,$A70,$O$7:$O$406,"&lt;="&amp;W$6,$P$7:$P$406,"&gt;="&amp;W$6,$R$7:$R$406,"No"))</ns0:f>
        <ns0:v>0</ns0:v>
      </ns0:c>
      <ns0:c r="X70" t="n">
        <ns0:f>IF($A70="",0,COUNTIFS($J$7:$J$406,$A70,$O$7:$O$406,"&lt;="&amp;X$6,$P$7:$P$406,"&gt;="&amp;X$6,$R$7:$R$406,"No"))</ns0:f>
        <ns0:v>0</ns0:v>
      </ns0:c>
      <ns0:c r="Y70" t="n">
        <ns0:f>IF($A70="",0,COUNTIFS($J$7:$J$406,$A70,$O$7:$O$406,"&lt;="&amp;Y$6,$P$7:$P$406,"&gt;="&amp;Y$6,$R$7:$R$406,"No"))</ns0:f>
        <ns0:v>0</ns0:v>
      </ns0:c>
      <ns0:c r="Z70" t="n">
        <ns0:f>IF($A70="",0,COUNTIFS($J$7:$J$406,$A70,$O$7:$O$406,"&lt;="&amp;Z$6,$P$7:$P$406,"&gt;="&amp;Z$6,$R$7:$R$406,"No"))</ns0:f>
        <ns0:v>0</ns0:v>
      </ns0:c>
      <ns0:c r="AA70" t="n">
        <ns0:f>IF($A70="",0,COUNTIFS($J$7:$J$406,$A70,$O$7:$O$406,"&lt;="&amp;AA$6,$P$7:$P$406,"&gt;="&amp;AA$6,$R$7:$R$406,"No"))</ns0:f>
        <ns0:v>0</ns0:v>
      </ns0:c>
      <ns0:c r="AB70" t="n">
        <ns0:f>IF($A70="",0,COUNTIFS($J$7:$J$406,$A70,$O$7:$O$406,"&lt;="&amp;AB$6,$P$7:$P$406,"&gt;="&amp;AB$6,$R$7:$R$406,"No"))</ns0:f>
        <ns0:v>0</ns0:v>
      </ns0:c>
      <ns0:c r="AC70" t="n">
        <ns0:f>IF($A70="",0,COUNTIFS($J$7:$J$406,$A70,$O$7:$O$406,"&lt;="&amp;AC$6,$P$7:$P$406,"&gt;="&amp;AC$6,$R$7:$R$406,"No"))</ns0:f>
        <ns0:v>0</ns0:v>
      </ns0:c>
      <ns0:c r="AD70" t="n">
        <ns0:f>IF($A70="",0,COUNTIFS($J$7:$J$406,$A70,$O$7:$O$406,"&lt;="&amp;AD$6,$P$7:$P$406,"&gt;="&amp;AD$6,$R$7:$R$406,"No"))</ns0:f>
        <ns0:v>0</ns0:v>
      </ns0:c>
      <ns0:c r="AE70" t="n">
        <ns0:f>IF($A70="",0,COUNTIFS($J$7:$J$406,$A70,$O$7:$O$406,"&lt;="&amp;AE$6,$P$7:$P$406,"&gt;="&amp;AE$6,$R$7:$R$406,"No"))</ns0:f>
        <ns0:v>0</ns0:v>
      </ns0:c>
      <ns0:c r="AF70" t="n">
        <ns0:f>IF($A70="",0,COUNTIFS($J$7:$J$406,$A70,$O$7:$O$406,"&lt;="&amp;AF$6,$P$7:$P$406,"&gt;="&amp;AF$6,$R$7:$R$406,"No"))</ns0:f>
        <ns0:v>0</ns0:v>
      </ns0:c>
      <ns0:c r="AG70" t="n">
        <ns0:f>IF($A70="",0,COUNTIFS($J$7:$J$406,$A70,$O$7:$O$406,"&lt;="&amp;AG$6,$P$7:$P$406,"&gt;="&amp;AG$6,$R$7:$R$406,"No"))</ns0:f>
        <ns0:v>0</ns0:v>
      </ns0:c>
      <ns0:c r="AH70" t="n">
        <ns0:f>IF($A70="",0,COUNTIFS($J$7:$J$406,$A70,$O$7:$O$406,"&lt;="&amp;AH$6,$P$7:$P$406,"&gt;="&amp;AH$6,$R$7:$R$406,"No"))</ns0:f>
        <ns0:v>0</ns0:v>
      </ns0:c>
      <ns0:c r="AI70" t="n">
        <ns0:f>IF($A70="",0,COUNTIFS($J$7:$J$406,$A70,$O$7:$O$406,"&lt;="&amp;AI$6,$P$7:$P$406,"&gt;="&amp;AI$6,$R$7:$R$406,"No"))</ns0:f>
        <ns0:v>0</ns0:v>
      </ns0:c>
      <ns0:c r="AJ70" t="n">
        <ns0:f>IF($A70="",0,COUNTIFS($J$7:$J$406,$A70,$O$7:$O$406,"&lt;="&amp;AJ$6,$P$7:$P$406,"&gt;="&amp;AJ$6,$R$7:$R$406,"No"))</ns0:f>
        <ns0:v>0</ns0:v>
      </ns0:c>
      <ns0:c r="AK70" t="n">
        <ns0:f>IF($A70="",0,COUNTIFS($J$7:$J$406,$A70,$O$7:$O$406,"&lt;="&amp;AK$6,$P$7:$P$406,"&gt;="&amp;AK$6,$R$7:$R$406,"No"))</ns0:f>
        <ns0:v>0</ns0:v>
      </ns0:c>
      <ns0:c r="AL70" t="n">
        <ns0:f>IF($A70="",0,COUNTIFS($J$7:$J$406,$A70,$O$7:$O$406,"&lt;="&amp;AL$6,$P$7:$P$406,"&gt;="&amp;AL$6,$R$7:$R$406,"No"))</ns0:f>
        <ns0:v>0</ns0:v>
      </ns0:c>
      <ns0:c r="AM70" t="n">
        <ns0:f>IF($A70="",0,COUNTIFS($J$7:$J$406,$A70,$O$7:$O$406,"&lt;="&amp;AM$6,$P$7:$P$406,"&gt;="&amp;AM$6,$R$7:$R$406,"No"))</ns0:f>
        <ns0:v>0</ns0:v>
      </ns0:c>
      <ns0:c r="AN70" t="n">
        <ns0:f>IF($A70="",0,COUNTIFS($J$7:$J$406,$A70,$O$7:$O$406,"&lt;="&amp;AN$6,$P$7:$P$406,"&gt;="&amp;AN$6,$R$7:$R$406,"No"))</ns0:f>
        <ns0:v>0</ns0:v>
      </ns0:c>
      <ns0:c r="AO70" t="n">
        <ns0:f>IF($A70="",0,COUNTIFS($J$7:$J$406,$A70,$O$7:$O$406,"&lt;="&amp;AO$6,$P$7:$P$406,"&gt;="&amp;AO$6,$R$7:$R$406,"No"))</ns0:f>
        <ns0:v>0</ns0:v>
      </ns0:c>
      <ns0:c r="AP70" t="n">
        <ns0:f>IF($A70="",0,COUNTIFS($J$7:$J$406,$A70,$O$7:$O$406,"&lt;="&amp;AP$6,$P$7:$P$406,"&gt;="&amp;AP$6,$R$7:$R$406,"No"))</ns0:f>
        <ns0:v>0</ns0:v>
      </ns0:c>
      <ns0:c r="AQ70" t="n">
        <ns0:f>IF($A70="",0,COUNTIFS($J$7:$J$406,$A70,$O$7:$O$406,"&lt;="&amp;AQ$6,$P$7:$P$406,"&gt;="&amp;AQ$6,$R$7:$R$406,"No"))</ns0:f>
        <ns0:v>0</ns0:v>
      </ns0:c>
      <ns0:c r="AR70" t="n">
        <ns0:f>IF($A70="",0,COUNTIFS($J$7:$J$406,$A70,$O$7:$O$406,"&lt;="&amp;AR$6,$P$7:$P$406,"&gt;="&amp;AR$6,$R$7:$R$406,"No"))</ns0:f>
        <ns0:v>0</ns0:v>
      </ns0:c>
      <ns0:c r="AS70" t="n">
        <ns0:f>IF($A70="",0,COUNTIFS($J$7:$J$406,$A70,$O$7:$O$406,"&lt;="&amp;AS$6,$P$7:$P$406,"&gt;="&amp;AS$6,$R$7:$R$406,"No"))</ns0:f>
        <ns0:v>0</ns0:v>
      </ns0:c>
      <ns0:c r="AT70" t="n">
        <ns0:f>IF($A70="",0,COUNTIFS($J$7:$J$406,$A70,$O$7:$O$406,"&lt;="&amp;AT$6,$P$7:$P$406,"&gt;="&amp;AT$6,$R$7:$R$406,"No"))</ns0:f>
        <ns0:v>0</ns0:v>
      </ns0:c>
      <ns0:c r="AU70" t="n">
        <ns0:f>IF($A70="",0,COUNTIFS($J$7:$J$406,$A70,$O$7:$O$406,"&lt;="&amp;AU$6,$P$7:$P$406,"&gt;="&amp;AU$6,$R$7:$R$406,"No"))</ns0:f>
        <ns0:v>0</ns0:v>
      </ns0:c>
      <ns0:c r="AV70" t="n">
        <ns0:f>IF($A70="",0,COUNTIFS($J$7:$J$406,$A70,$O$7:$O$406,"&lt;="&amp;AV$6,$P$7:$P$406,"&gt;="&amp;AV$6,$R$7:$R$406,"No"))</ns0:f>
        <ns0:v>0</ns0:v>
      </ns0:c>
      <ns0:c r="AW70" t="n">
        <ns0:f>IF($A70="",0,COUNTIFS($J$7:$J$406,$A70,$O$7:$O$406,"&lt;="&amp;AW$6,$P$7:$P$406,"&gt;="&amp;AW$6,$R$7:$R$406,"No"))</ns0:f>
        <ns0:v>0</ns0:v>
      </ns0:c>
      <ns0:c r="AX70" t="n">
        <ns0:f>IF($A70="",0,COUNTIFS($J$7:$J$406,$A70,$O$7:$O$406,"&lt;="&amp;AX$6,$P$7:$P$406,"&gt;="&amp;AX$6,$R$7:$R$406,"No"))</ns0:f>
        <ns0:v>0</ns0:v>
      </ns0:c>
      <ns0:c r="AY70" t="n">
        <ns0:f>IF($A70="",0,COUNTIFS($J$7:$J$406,$A70,$O$7:$O$406,"&lt;="&amp;AY$6,$P$7:$P$406,"&gt;="&amp;AY$6,$R$7:$R$406,"No"))</ns0:f>
        <ns0:v>0</ns0:v>
      </ns0:c>
      <ns0:c r="AZ70" t="n">
        <ns0:f>IF($A70="",0,COUNTIFS($J$7:$J$406,$A70,$O$7:$O$406,"&lt;="&amp;AZ$6,$P$7:$P$406,"&gt;="&amp;AZ$6,$R$7:$R$406,"No"))</ns0:f>
        <ns0:v>0</ns0:v>
      </ns0:c>
      <ns0:c r="BA70" t="n">
        <ns0:f>IF($A70="",0,COUNTIFS($J$7:$J$406,$A70,$O$7:$O$406,"&lt;="&amp;BA$6,$P$7:$P$406,"&gt;="&amp;BA$6,$R$7:$R$406,"No"))</ns0:f>
        <ns0:v>0</ns0:v>
      </ns0:c>
      <ns0:c r="BB70" t="n">
        <ns0:f>IF($A70="",0,COUNTIFS($J$7:$J$406,$A70,$O$7:$O$406,"&lt;="&amp;BB$6,$P$7:$P$406,"&gt;="&amp;BB$6,$R$7:$R$406,"No"))</ns0:f>
        <ns0:v>0</ns0:v>
      </ns0:c>
      <ns0:c r="BC70" t="n">
        <ns0:f>IF($A70="",0,COUNTIFS($J$7:$J$406,$A70,$O$7:$O$406,"&lt;="&amp;BC$6,$P$7:$P$406,"&gt;="&amp;BC$6,$R$7:$R$406,"No"))</ns0:f>
        <ns0:v>0</ns0:v>
      </ns0:c>
    </ns0:row>
    <ns0:row r="71" ht="48" customHeight="1">
      <ns0:c r="A71" s="8" t="str">
        <ns0:f>IF(ROW()-6&gt;MAX($K$7:$K$406),"",INDEX($J$7:$J$406,MATCH(ROW()-6,$K$7:$K$406,0)))</ns0:f>
      </ns0:c>
      <ns0:c r="B71" s="8" t="str">
        <ns0:f>IF(A71="","",COUNTIFS($J$7:$J$406,$A71))</ns0:f>
      </ns0:c>
      <ns0:c r="C71" s="8" t="str">
        <ns0:f>IF(A71="","",COUNTIFS($J$7:$J$406,$A71,$N$7:$N$406,1))</ns0:f>
      </ns0:c>
      <ns0:c r="D71" s="8" t="str">
        <ns0:f>IF(A71="","",COUNTIFS($J$7:$J$406,$A71,$Q$7:$Q$406,"In Progress"))</ns0:f>
      </ns0:c>
      <ns0:c r="E71" s="8" t="str">
        <ns0:f>IF(A71="","",B71-C71)</ns0:f>
      </ns0:c>
      <ns0:c r="F71" s="19" t="str">
        <ns0:f>IF(A71="","",SUMIFS($N$7:$N$406,$J$7:$J$406,$A71)/B71)</ns0:f>
      </ns0:c>
      <ns0:c r="G71" s="8" t="str">
        <ns0:f>IF(A71="","",COUNTIFS(V71:BC71,"&gt;1"))</ns0:f>
      </ns0:c>
      <ns0:c r="H71" s="8" t="str">
        <ns0:f>IF(A71="","",IF(COUNTIFS($T$7:$T$33,A71)&gt;0,INDEX($U$7:$U$33,MATCH(A71,$T$7:$T$33,0)),"No capacity or responsibility detail supplied."))</ns0:f>
      </ns0:c>
      <ns0:c r="J71" t="str">
        <ns0:f>IF('Project Tracker'!A23="","",TRIM(MID(SUBSTITUTE('Project Tracker'!K23,";",REPT(" ",150)),1,150)))</ns0:f>
        <ns0:v>Unassigned</ns0:v>
      </ns0:c>
      <ns0:c r="K71" t="str">
        <ns0:f>IF(J71="","",IF(COUNTIFS($J$7:J71,J71)=1,MAX($K$6:K70)+1,""))</ns0:f>
      </ns0:c>
      <ns0:c r="L71" t="n">
        <ns0:f>IF(A71="",0,B71+(107-ROW())/1000)</ns0:f>
        <ns0:v>0</ns0:v>
      </ns0:c>
      <ns0:c r="M71" t="str">
        <ns0:f>IF(J71="","",'Project Tracker'!A23)</ns0:f>
        <ns0:v>M3</ns0:v>
      </ns0:c>
      <ns0:c r="N71" t="n">
        <ns0:f>IF(J71="","",'Project Tracker'!N23)</ns0:f>
        <ns0:v>0</ns0:v>
      </ns0:c>
      <ns0:c r="O71" t="n">
        <ns0:f>IF(J71="","",'Project Tracker'!E23)</ns0:f>
        <ns0:v>46288</ns0:v>
      </ns0:c>
      <ns0:c r="P71" t="n">
        <ns0:f>IF(J71="","",'Project Tracker'!F23)</ns0:f>
        <ns0:v>46288</ns0:v>
      </ns0:c>
      <ns0:c r="Q71" t="str">
        <ns0:f>IF(J71="","",'Project Tracker'!Q23)</ns0:f>
        <ns0:v>Not Started</ns0:v>
      </ns0:c>
      <ns0:c r="R71" t="str">
        <ns0:f>IF(J71="","",'Project Tracker'!J23)</ns0:f>
        <ns0:v>Yes</ns0:v>
      </ns0:c>
      <ns0:c r="V71" t="n">
        <ns0:f>IF($A71="",0,COUNTIFS($J$7:$J$406,$A71,$O$7:$O$406,"&lt;="&amp;V$6,$P$7:$P$406,"&gt;="&amp;V$6,$R$7:$R$406,"No"))</ns0:f>
        <ns0:v>0</ns0:v>
      </ns0:c>
      <ns0:c r="W71" t="n">
        <ns0:f>IF($A71="",0,COUNTIFS($J$7:$J$406,$A71,$O$7:$O$406,"&lt;="&amp;W$6,$P$7:$P$406,"&gt;="&amp;W$6,$R$7:$R$406,"No"))</ns0:f>
        <ns0:v>0</ns0:v>
      </ns0:c>
      <ns0:c r="X71" t="n">
        <ns0:f>IF($A71="",0,COUNTIFS($J$7:$J$406,$A71,$O$7:$O$406,"&lt;="&amp;X$6,$P$7:$P$406,"&gt;="&amp;X$6,$R$7:$R$406,"No"))</ns0:f>
        <ns0:v>0</ns0:v>
      </ns0:c>
      <ns0:c r="Y71" t="n">
        <ns0:f>IF($A71="",0,COUNTIFS($J$7:$J$406,$A71,$O$7:$O$406,"&lt;="&amp;Y$6,$P$7:$P$406,"&gt;="&amp;Y$6,$R$7:$R$406,"No"))</ns0:f>
        <ns0:v>0</ns0:v>
      </ns0:c>
      <ns0:c r="Z71" t="n">
        <ns0:f>IF($A71="",0,COUNTIFS($J$7:$J$406,$A71,$O$7:$O$406,"&lt;="&amp;Z$6,$P$7:$P$406,"&gt;="&amp;Z$6,$R$7:$R$406,"No"))</ns0:f>
        <ns0:v>0</ns0:v>
      </ns0:c>
      <ns0:c r="AA71" t="n">
        <ns0:f>IF($A71="",0,COUNTIFS($J$7:$J$406,$A71,$O$7:$O$406,"&lt;="&amp;AA$6,$P$7:$P$406,"&gt;="&amp;AA$6,$R$7:$R$406,"No"))</ns0:f>
        <ns0:v>0</ns0:v>
      </ns0:c>
      <ns0:c r="AB71" t="n">
        <ns0:f>IF($A71="",0,COUNTIFS($J$7:$J$406,$A71,$O$7:$O$406,"&lt;="&amp;AB$6,$P$7:$P$406,"&gt;="&amp;AB$6,$R$7:$R$406,"No"))</ns0:f>
        <ns0:v>0</ns0:v>
      </ns0:c>
      <ns0:c r="AC71" t="n">
        <ns0:f>IF($A71="",0,COUNTIFS($J$7:$J$406,$A71,$O$7:$O$406,"&lt;="&amp;AC$6,$P$7:$P$406,"&gt;="&amp;AC$6,$R$7:$R$406,"No"))</ns0:f>
        <ns0:v>0</ns0:v>
      </ns0:c>
      <ns0:c r="AD71" t="n">
        <ns0:f>IF($A71="",0,COUNTIFS($J$7:$J$406,$A71,$O$7:$O$406,"&lt;="&amp;AD$6,$P$7:$P$406,"&gt;="&amp;AD$6,$R$7:$R$406,"No"))</ns0:f>
        <ns0:v>0</ns0:v>
      </ns0:c>
      <ns0:c r="AE71" t="n">
        <ns0:f>IF($A71="",0,COUNTIFS($J$7:$J$406,$A71,$O$7:$O$406,"&lt;="&amp;AE$6,$P$7:$P$406,"&gt;="&amp;AE$6,$R$7:$R$406,"No"))</ns0:f>
        <ns0:v>0</ns0:v>
      </ns0:c>
      <ns0:c r="AF71" t="n">
        <ns0:f>IF($A71="",0,COUNTIFS($J$7:$J$406,$A71,$O$7:$O$406,"&lt;="&amp;AF$6,$P$7:$P$406,"&gt;="&amp;AF$6,$R$7:$R$406,"No"))</ns0:f>
        <ns0:v>0</ns0:v>
      </ns0:c>
      <ns0:c r="AG71" t="n">
        <ns0:f>IF($A71="",0,COUNTIFS($J$7:$J$406,$A71,$O$7:$O$406,"&lt;="&amp;AG$6,$P$7:$P$406,"&gt;="&amp;AG$6,$R$7:$R$406,"No"))</ns0:f>
        <ns0:v>0</ns0:v>
      </ns0:c>
      <ns0:c r="AH71" t="n">
        <ns0:f>IF($A71="",0,COUNTIFS($J$7:$J$406,$A71,$O$7:$O$406,"&lt;="&amp;AH$6,$P$7:$P$406,"&gt;="&amp;AH$6,$R$7:$R$406,"No"))</ns0:f>
        <ns0:v>0</ns0:v>
      </ns0:c>
      <ns0:c r="AI71" t="n">
        <ns0:f>IF($A71="",0,COUNTIFS($J$7:$J$406,$A71,$O$7:$O$406,"&lt;="&amp;AI$6,$P$7:$P$406,"&gt;="&amp;AI$6,$R$7:$R$406,"No"))</ns0:f>
        <ns0:v>0</ns0:v>
      </ns0:c>
      <ns0:c r="AJ71" t="n">
        <ns0:f>IF($A71="",0,COUNTIFS($J$7:$J$406,$A71,$O$7:$O$406,"&lt;="&amp;AJ$6,$P$7:$P$406,"&gt;="&amp;AJ$6,$R$7:$R$406,"No"))</ns0:f>
        <ns0:v>0</ns0:v>
      </ns0:c>
      <ns0:c r="AK71" t="n">
        <ns0:f>IF($A71="",0,COUNTIFS($J$7:$J$406,$A71,$O$7:$O$406,"&lt;="&amp;AK$6,$P$7:$P$406,"&gt;="&amp;AK$6,$R$7:$R$406,"No"))</ns0:f>
        <ns0:v>0</ns0:v>
      </ns0:c>
      <ns0:c r="AL71" t="n">
        <ns0:f>IF($A71="",0,COUNTIFS($J$7:$J$406,$A71,$O$7:$O$406,"&lt;="&amp;AL$6,$P$7:$P$406,"&gt;="&amp;AL$6,$R$7:$R$406,"No"))</ns0:f>
        <ns0:v>0</ns0:v>
      </ns0:c>
      <ns0:c r="AM71" t="n">
        <ns0:f>IF($A71="",0,COUNTIFS($J$7:$J$406,$A71,$O$7:$O$406,"&lt;="&amp;AM$6,$P$7:$P$406,"&gt;="&amp;AM$6,$R$7:$R$406,"No"))</ns0:f>
        <ns0:v>0</ns0:v>
      </ns0:c>
      <ns0:c r="AN71" t="n">
        <ns0:f>IF($A71="",0,COUNTIFS($J$7:$J$406,$A71,$O$7:$O$406,"&lt;="&amp;AN$6,$P$7:$P$406,"&gt;="&amp;AN$6,$R$7:$R$406,"No"))</ns0:f>
        <ns0:v>0</ns0:v>
      </ns0:c>
      <ns0:c r="AO71" t="n">
        <ns0:f>IF($A71="",0,COUNTIFS($J$7:$J$406,$A71,$O$7:$O$406,"&lt;="&amp;AO$6,$P$7:$P$406,"&gt;="&amp;AO$6,$R$7:$R$406,"No"))</ns0:f>
        <ns0:v>0</ns0:v>
      </ns0:c>
      <ns0:c r="AP71" t="n">
        <ns0:f>IF($A71="",0,COUNTIFS($J$7:$J$406,$A71,$O$7:$O$406,"&lt;="&amp;AP$6,$P$7:$P$406,"&gt;="&amp;AP$6,$R$7:$R$406,"No"))</ns0:f>
        <ns0:v>0</ns0:v>
      </ns0:c>
      <ns0:c r="AQ71" t="n">
        <ns0:f>IF($A71="",0,COUNTIFS($J$7:$J$406,$A71,$O$7:$O$406,"&lt;="&amp;AQ$6,$P$7:$P$406,"&gt;="&amp;AQ$6,$R$7:$R$406,"No"))</ns0:f>
        <ns0:v>0</ns0:v>
      </ns0:c>
      <ns0:c r="AR71" t="n">
        <ns0:f>IF($A71="",0,COUNTIFS($J$7:$J$406,$A71,$O$7:$O$406,"&lt;="&amp;AR$6,$P$7:$P$406,"&gt;="&amp;AR$6,$R$7:$R$406,"No"))</ns0:f>
        <ns0:v>0</ns0:v>
      </ns0:c>
      <ns0:c r="AS71" t="n">
        <ns0:f>IF($A71="",0,COUNTIFS($J$7:$J$406,$A71,$O$7:$O$406,"&lt;="&amp;AS$6,$P$7:$P$406,"&gt;="&amp;AS$6,$R$7:$R$406,"No"))</ns0:f>
        <ns0:v>0</ns0:v>
      </ns0:c>
      <ns0:c r="AT71" t="n">
        <ns0:f>IF($A71="",0,COUNTIFS($J$7:$J$406,$A71,$O$7:$O$406,"&lt;="&amp;AT$6,$P$7:$P$406,"&gt;="&amp;AT$6,$R$7:$R$406,"No"))</ns0:f>
        <ns0:v>0</ns0:v>
      </ns0:c>
      <ns0:c r="AU71" t="n">
        <ns0:f>IF($A71="",0,COUNTIFS($J$7:$J$406,$A71,$O$7:$O$406,"&lt;="&amp;AU$6,$P$7:$P$406,"&gt;="&amp;AU$6,$R$7:$R$406,"No"))</ns0:f>
        <ns0:v>0</ns0:v>
      </ns0:c>
      <ns0:c r="AV71" t="n">
        <ns0:f>IF($A71="",0,COUNTIFS($J$7:$J$406,$A71,$O$7:$O$406,"&lt;="&amp;AV$6,$P$7:$P$406,"&gt;="&amp;AV$6,$R$7:$R$406,"No"))</ns0:f>
        <ns0:v>0</ns0:v>
      </ns0:c>
      <ns0:c r="AW71" t="n">
        <ns0:f>IF($A71="",0,COUNTIFS($J$7:$J$406,$A71,$O$7:$O$406,"&lt;="&amp;AW$6,$P$7:$P$406,"&gt;="&amp;AW$6,$R$7:$R$406,"No"))</ns0:f>
        <ns0:v>0</ns0:v>
      </ns0:c>
      <ns0:c r="AX71" t="n">
        <ns0:f>IF($A71="",0,COUNTIFS($J$7:$J$406,$A71,$O$7:$O$406,"&lt;="&amp;AX$6,$P$7:$P$406,"&gt;="&amp;AX$6,$R$7:$R$406,"No"))</ns0:f>
        <ns0:v>0</ns0:v>
      </ns0:c>
      <ns0:c r="AY71" t="n">
        <ns0:f>IF($A71="",0,COUNTIFS($J$7:$J$406,$A71,$O$7:$O$406,"&lt;="&amp;AY$6,$P$7:$P$406,"&gt;="&amp;AY$6,$R$7:$R$406,"No"))</ns0:f>
        <ns0:v>0</ns0:v>
      </ns0:c>
      <ns0:c r="AZ71" t="n">
        <ns0:f>IF($A71="",0,COUNTIFS($J$7:$J$406,$A71,$O$7:$O$406,"&lt;="&amp;AZ$6,$P$7:$P$406,"&gt;="&amp;AZ$6,$R$7:$R$406,"No"))</ns0:f>
        <ns0:v>0</ns0:v>
      </ns0:c>
      <ns0:c r="BA71" t="n">
        <ns0:f>IF($A71="",0,COUNTIFS($J$7:$J$406,$A71,$O$7:$O$406,"&lt;="&amp;BA$6,$P$7:$P$406,"&gt;="&amp;BA$6,$R$7:$R$406,"No"))</ns0:f>
        <ns0:v>0</ns0:v>
      </ns0:c>
      <ns0:c r="BB71" t="n">
        <ns0:f>IF($A71="",0,COUNTIFS($J$7:$J$406,$A71,$O$7:$O$406,"&lt;="&amp;BB$6,$P$7:$P$406,"&gt;="&amp;BB$6,$R$7:$R$406,"No"))</ns0:f>
        <ns0:v>0</ns0:v>
      </ns0:c>
      <ns0:c r="BC71" t="n">
        <ns0:f>IF($A71="",0,COUNTIFS($J$7:$J$406,$A71,$O$7:$O$406,"&lt;="&amp;BC$6,$P$7:$P$406,"&gt;="&amp;BC$6,$R$7:$R$406,"No"))</ns0:f>
        <ns0:v>0</ns0:v>
      </ns0:c>
    </ns0:row>
    <ns0:row r="72" ht="48" customHeight="1">
      <ns0:c r="A72" s="8" t="str">
        <ns0:f>IF(ROW()-6&gt;MAX($K$7:$K$406),"",INDEX($J$7:$J$406,MATCH(ROW()-6,$K$7:$K$406,0)))</ns0:f>
      </ns0:c>
      <ns0:c r="B72" s="8" t="str">
        <ns0:f>IF(A72="","",COUNTIFS($J$7:$J$406,$A72))</ns0:f>
      </ns0:c>
      <ns0:c r="C72" s="8" t="str">
        <ns0:f>IF(A72="","",COUNTIFS($J$7:$J$406,$A72,$N$7:$N$406,1))</ns0:f>
      </ns0:c>
      <ns0:c r="D72" s="8" t="str">
        <ns0:f>IF(A72="","",COUNTIFS($J$7:$J$406,$A72,$Q$7:$Q$406,"In Progress"))</ns0:f>
      </ns0:c>
      <ns0:c r="E72" s="8" t="str">
        <ns0:f>IF(A72="","",B72-C72)</ns0:f>
      </ns0:c>
      <ns0:c r="F72" s="19" t="str">
        <ns0:f>IF(A72="","",SUMIFS($N$7:$N$406,$J$7:$J$406,$A72)/B72)</ns0:f>
      </ns0:c>
      <ns0:c r="G72" s="8" t="str">
        <ns0:f>IF(A72="","",COUNTIFS(V72:BC72,"&gt;1"))</ns0:f>
      </ns0:c>
      <ns0:c r="H72" s="8" t="str">
        <ns0:f>IF(A72="","",IF(COUNTIFS($T$7:$T$33,A72)&gt;0,INDEX($U$7:$U$33,MATCH(A72,$T$7:$T$33,0)),"No capacity or responsibility detail supplied."))</ns0:f>
      </ns0:c>
      <ns0:c r="J72" t="str">
        <ns0:f>IF('Project Tracker'!A23="","",TRIM(MID(SUBSTITUTE('Project Tracker'!K23,";",REPT(" ",150)),151,150)))</ns0:f>
      </ns0:c>
      <ns0:c r="K72" t="str">
        <ns0:f>IF(J72="","",IF(COUNTIFS($J$7:J72,J72)=1,MAX($K$6:K71)+1,""))</ns0:f>
      </ns0:c>
      <ns0:c r="L72" t="n">
        <ns0:f>IF(A72="",0,B72+(107-ROW())/1000)</ns0:f>
        <ns0:v>0</ns0:v>
      </ns0:c>
      <ns0:c r="M72" t="str">
        <ns0:f>IF(J72="","",'Project Tracker'!A23)</ns0:f>
      </ns0:c>
      <ns0:c r="N72" t="str">
        <ns0:f>IF(J72="","",'Project Tracker'!N23)</ns0:f>
      </ns0:c>
      <ns0:c r="O72" t="str">
        <ns0:f>IF(J72="","",'Project Tracker'!E23)</ns0:f>
      </ns0:c>
      <ns0:c r="P72" t="str">
        <ns0:f>IF(J72="","",'Project Tracker'!F23)</ns0:f>
      </ns0:c>
      <ns0:c r="Q72" t="str">
        <ns0:f>IF(J72="","",'Project Tracker'!Q23)</ns0:f>
      </ns0:c>
      <ns0:c r="R72" t="str">
        <ns0:f>IF(J72="","",'Project Tracker'!J23)</ns0:f>
      </ns0:c>
      <ns0:c r="V72" t="n">
        <ns0:f>IF($A72="",0,COUNTIFS($J$7:$J$406,$A72,$O$7:$O$406,"&lt;="&amp;V$6,$P$7:$P$406,"&gt;="&amp;V$6,$R$7:$R$406,"No"))</ns0:f>
        <ns0:v>0</ns0:v>
      </ns0:c>
      <ns0:c r="W72" t="n">
        <ns0:f>IF($A72="",0,COUNTIFS($J$7:$J$406,$A72,$O$7:$O$406,"&lt;="&amp;W$6,$P$7:$P$406,"&gt;="&amp;W$6,$R$7:$R$406,"No"))</ns0:f>
        <ns0:v>0</ns0:v>
      </ns0:c>
      <ns0:c r="X72" t="n">
        <ns0:f>IF($A72="",0,COUNTIFS($J$7:$J$406,$A72,$O$7:$O$406,"&lt;="&amp;X$6,$P$7:$P$406,"&gt;="&amp;X$6,$R$7:$R$406,"No"))</ns0:f>
        <ns0:v>0</ns0:v>
      </ns0:c>
      <ns0:c r="Y72" t="n">
        <ns0:f>IF($A72="",0,COUNTIFS($J$7:$J$406,$A72,$O$7:$O$406,"&lt;="&amp;Y$6,$P$7:$P$406,"&gt;="&amp;Y$6,$R$7:$R$406,"No"))</ns0:f>
        <ns0:v>0</ns0:v>
      </ns0:c>
      <ns0:c r="Z72" t="n">
        <ns0:f>IF($A72="",0,COUNTIFS($J$7:$J$406,$A72,$O$7:$O$406,"&lt;="&amp;Z$6,$P$7:$P$406,"&gt;="&amp;Z$6,$R$7:$R$406,"No"))</ns0:f>
        <ns0:v>0</ns0:v>
      </ns0:c>
      <ns0:c r="AA72" t="n">
        <ns0:f>IF($A72="",0,COUNTIFS($J$7:$J$406,$A72,$O$7:$O$406,"&lt;="&amp;AA$6,$P$7:$P$406,"&gt;="&amp;AA$6,$R$7:$R$406,"No"))</ns0:f>
        <ns0:v>0</ns0:v>
      </ns0:c>
      <ns0:c r="AB72" t="n">
        <ns0:f>IF($A72="",0,COUNTIFS($J$7:$J$406,$A72,$O$7:$O$406,"&lt;="&amp;AB$6,$P$7:$P$406,"&gt;="&amp;AB$6,$R$7:$R$406,"No"))</ns0:f>
        <ns0:v>0</ns0:v>
      </ns0:c>
      <ns0:c r="AC72" t="n">
        <ns0:f>IF($A72="",0,COUNTIFS($J$7:$J$406,$A72,$O$7:$O$406,"&lt;="&amp;AC$6,$P$7:$P$406,"&gt;="&amp;AC$6,$R$7:$R$406,"No"))</ns0:f>
        <ns0:v>0</ns0:v>
      </ns0:c>
      <ns0:c r="AD72" t="n">
        <ns0:f>IF($A72="",0,COUNTIFS($J$7:$J$406,$A72,$O$7:$O$406,"&lt;="&amp;AD$6,$P$7:$P$406,"&gt;="&amp;AD$6,$R$7:$R$406,"No"))</ns0:f>
        <ns0:v>0</ns0:v>
      </ns0:c>
      <ns0:c r="AE72" t="n">
        <ns0:f>IF($A72="",0,COUNTIFS($J$7:$J$406,$A72,$O$7:$O$406,"&lt;="&amp;AE$6,$P$7:$P$406,"&gt;="&amp;AE$6,$R$7:$R$406,"No"))</ns0:f>
        <ns0:v>0</ns0:v>
      </ns0:c>
      <ns0:c r="AF72" t="n">
        <ns0:f>IF($A72="",0,COUNTIFS($J$7:$J$406,$A72,$O$7:$O$406,"&lt;="&amp;AF$6,$P$7:$P$406,"&gt;="&amp;AF$6,$R$7:$R$406,"No"))</ns0:f>
        <ns0:v>0</ns0:v>
      </ns0:c>
      <ns0:c r="AG72" t="n">
        <ns0:f>IF($A72="",0,COUNTIFS($J$7:$J$406,$A72,$O$7:$O$406,"&lt;="&amp;AG$6,$P$7:$P$406,"&gt;="&amp;AG$6,$R$7:$R$406,"No"))</ns0:f>
        <ns0:v>0</ns0:v>
      </ns0:c>
      <ns0:c r="AH72" t="n">
        <ns0:f>IF($A72="",0,COUNTIFS($J$7:$J$406,$A72,$O$7:$O$406,"&lt;="&amp;AH$6,$P$7:$P$406,"&gt;="&amp;AH$6,$R$7:$R$406,"No"))</ns0:f>
        <ns0:v>0</ns0:v>
      </ns0:c>
      <ns0:c r="AI72" t="n">
        <ns0:f>IF($A72="",0,COUNTIFS($J$7:$J$406,$A72,$O$7:$O$406,"&lt;="&amp;AI$6,$P$7:$P$406,"&gt;="&amp;AI$6,$R$7:$R$406,"No"))</ns0:f>
        <ns0:v>0</ns0:v>
      </ns0:c>
      <ns0:c r="AJ72" t="n">
        <ns0:f>IF($A72="",0,COUNTIFS($J$7:$J$406,$A72,$O$7:$O$406,"&lt;="&amp;AJ$6,$P$7:$P$406,"&gt;="&amp;AJ$6,$R$7:$R$406,"No"))</ns0:f>
        <ns0:v>0</ns0:v>
      </ns0:c>
      <ns0:c r="AK72" t="n">
        <ns0:f>IF($A72="",0,COUNTIFS($J$7:$J$406,$A72,$O$7:$O$406,"&lt;="&amp;AK$6,$P$7:$P$406,"&gt;="&amp;AK$6,$R$7:$R$406,"No"))</ns0:f>
        <ns0:v>0</ns0:v>
      </ns0:c>
      <ns0:c r="AL72" t="n">
        <ns0:f>IF($A72="",0,COUNTIFS($J$7:$J$406,$A72,$O$7:$O$406,"&lt;="&amp;AL$6,$P$7:$P$406,"&gt;="&amp;AL$6,$R$7:$R$406,"No"))</ns0:f>
        <ns0:v>0</ns0:v>
      </ns0:c>
      <ns0:c r="AM72" t="n">
        <ns0:f>IF($A72="",0,COUNTIFS($J$7:$J$406,$A72,$O$7:$O$406,"&lt;="&amp;AM$6,$P$7:$P$406,"&gt;="&amp;AM$6,$R$7:$R$406,"No"))</ns0:f>
        <ns0:v>0</ns0:v>
      </ns0:c>
      <ns0:c r="AN72" t="n">
        <ns0:f>IF($A72="",0,COUNTIFS($J$7:$J$406,$A72,$O$7:$O$406,"&lt;="&amp;AN$6,$P$7:$P$406,"&gt;="&amp;AN$6,$R$7:$R$406,"No"))</ns0:f>
        <ns0:v>0</ns0:v>
      </ns0:c>
      <ns0:c r="AO72" t="n">
        <ns0:f>IF($A72="",0,COUNTIFS($J$7:$J$406,$A72,$O$7:$O$406,"&lt;="&amp;AO$6,$P$7:$P$406,"&gt;="&amp;AO$6,$R$7:$R$406,"No"))</ns0:f>
        <ns0:v>0</ns0:v>
      </ns0:c>
      <ns0:c r="AP72" t="n">
        <ns0:f>IF($A72="",0,COUNTIFS($J$7:$J$406,$A72,$O$7:$O$406,"&lt;="&amp;AP$6,$P$7:$P$406,"&gt;="&amp;AP$6,$R$7:$R$406,"No"))</ns0:f>
        <ns0:v>0</ns0:v>
      </ns0:c>
      <ns0:c r="AQ72" t="n">
        <ns0:f>IF($A72="",0,COUNTIFS($J$7:$J$406,$A72,$O$7:$O$406,"&lt;="&amp;AQ$6,$P$7:$P$406,"&gt;="&amp;AQ$6,$R$7:$R$406,"No"))</ns0:f>
        <ns0:v>0</ns0:v>
      </ns0:c>
      <ns0:c r="AR72" t="n">
        <ns0:f>IF($A72="",0,COUNTIFS($J$7:$J$406,$A72,$O$7:$O$406,"&lt;="&amp;AR$6,$P$7:$P$406,"&gt;="&amp;AR$6,$R$7:$R$406,"No"))</ns0:f>
        <ns0:v>0</ns0:v>
      </ns0:c>
      <ns0:c r="AS72" t="n">
        <ns0:f>IF($A72="",0,COUNTIFS($J$7:$J$406,$A72,$O$7:$O$406,"&lt;="&amp;AS$6,$P$7:$P$406,"&gt;="&amp;AS$6,$R$7:$R$406,"No"))</ns0:f>
        <ns0:v>0</ns0:v>
      </ns0:c>
      <ns0:c r="AT72" t="n">
        <ns0:f>IF($A72="",0,COUNTIFS($J$7:$J$406,$A72,$O$7:$O$406,"&lt;="&amp;AT$6,$P$7:$P$406,"&gt;="&amp;AT$6,$R$7:$R$406,"No"))</ns0:f>
        <ns0:v>0</ns0:v>
      </ns0:c>
      <ns0:c r="AU72" t="n">
        <ns0:f>IF($A72="",0,COUNTIFS($J$7:$J$406,$A72,$O$7:$O$406,"&lt;="&amp;AU$6,$P$7:$P$406,"&gt;="&amp;AU$6,$R$7:$R$406,"No"))</ns0:f>
        <ns0:v>0</ns0:v>
      </ns0:c>
      <ns0:c r="AV72" t="n">
        <ns0:f>IF($A72="",0,COUNTIFS($J$7:$J$406,$A72,$O$7:$O$406,"&lt;="&amp;AV$6,$P$7:$P$406,"&gt;="&amp;AV$6,$R$7:$R$406,"No"))</ns0:f>
        <ns0:v>0</ns0:v>
      </ns0:c>
      <ns0:c r="AW72" t="n">
        <ns0:f>IF($A72="",0,COUNTIFS($J$7:$J$406,$A72,$O$7:$O$406,"&lt;="&amp;AW$6,$P$7:$P$406,"&gt;="&amp;AW$6,$R$7:$R$406,"No"))</ns0:f>
        <ns0:v>0</ns0:v>
      </ns0:c>
      <ns0:c r="AX72" t="n">
        <ns0:f>IF($A72="",0,COUNTIFS($J$7:$J$406,$A72,$O$7:$O$406,"&lt;="&amp;AX$6,$P$7:$P$406,"&gt;="&amp;AX$6,$R$7:$R$406,"No"))</ns0:f>
        <ns0:v>0</ns0:v>
      </ns0:c>
      <ns0:c r="AY72" t="n">
        <ns0:f>IF($A72="",0,COUNTIFS($J$7:$J$406,$A72,$O$7:$O$406,"&lt;="&amp;AY$6,$P$7:$P$406,"&gt;="&amp;AY$6,$R$7:$R$406,"No"))</ns0:f>
        <ns0:v>0</ns0:v>
      </ns0:c>
      <ns0:c r="AZ72" t="n">
        <ns0:f>IF($A72="",0,COUNTIFS($J$7:$J$406,$A72,$O$7:$O$406,"&lt;="&amp;AZ$6,$P$7:$P$406,"&gt;="&amp;AZ$6,$R$7:$R$406,"No"))</ns0:f>
        <ns0:v>0</ns0:v>
      </ns0:c>
      <ns0:c r="BA72" t="n">
        <ns0:f>IF($A72="",0,COUNTIFS($J$7:$J$406,$A72,$O$7:$O$406,"&lt;="&amp;BA$6,$P$7:$P$406,"&gt;="&amp;BA$6,$R$7:$R$406,"No"))</ns0:f>
        <ns0:v>0</ns0:v>
      </ns0:c>
      <ns0:c r="BB72" t="n">
        <ns0:f>IF($A72="",0,COUNTIFS($J$7:$J$406,$A72,$O$7:$O$406,"&lt;="&amp;BB$6,$P$7:$P$406,"&gt;="&amp;BB$6,$R$7:$R$406,"No"))</ns0:f>
        <ns0:v>0</ns0:v>
      </ns0:c>
      <ns0:c r="BC72" t="n">
        <ns0:f>IF($A72="",0,COUNTIFS($J$7:$J$406,$A72,$O$7:$O$406,"&lt;="&amp;BC$6,$P$7:$P$406,"&gt;="&amp;BC$6,$R$7:$R$406,"No"))</ns0:f>
        <ns0:v>0</ns0:v>
      </ns0:c>
    </ns0:row>
    <ns0:row r="73" ht="48" customHeight="1">
      <ns0:c r="A73" s="8" t="str">
        <ns0:f>IF(ROW()-6&gt;MAX($K$7:$K$406),"",INDEX($J$7:$J$406,MATCH(ROW()-6,$K$7:$K$406,0)))</ns0:f>
      </ns0:c>
      <ns0:c r="B73" s="8" t="str">
        <ns0:f>IF(A73="","",COUNTIFS($J$7:$J$406,$A73))</ns0:f>
      </ns0:c>
      <ns0:c r="C73" s="8" t="str">
        <ns0:f>IF(A73="","",COUNTIFS($J$7:$J$406,$A73,$N$7:$N$406,1))</ns0:f>
      </ns0:c>
      <ns0:c r="D73" s="8" t="str">
        <ns0:f>IF(A73="","",COUNTIFS($J$7:$J$406,$A73,$Q$7:$Q$406,"In Progress"))</ns0:f>
      </ns0:c>
      <ns0:c r="E73" s="8" t="str">
        <ns0:f>IF(A73="","",B73-C73)</ns0:f>
      </ns0:c>
      <ns0:c r="F73" s="19" t="str">
        <ns0:f>IF(A73="","",SUMIFS($N$7:$N$406,$J$7:$J$406,$A73)/B73)</ns0:f>
      </ns0:c>
      <ns0:c r="G73" s="8" t="str">
        <ns0:f>IF(A73="","",COUNTIFS(V73:BC73,"&gt;1"))</ns0:f>
      </ns0:c>
      <ns0:c r="H73" s="8" t="str">
        <ns0:f>IF(A73="","",IF(COUNTIFS($T$7:$T$33,A73)&gt;0,INDEX($U$7:$U$33,MATCH(A73,$T$7:$T$33,0)),"No capacity or responsibility detail supplied."))</ns0:f>
      </ns0:c>
      <ns0:c r="J73" t="str">
        <ns0:f>IF('Project Tracker'!A23="","",TRIM(MID(SUBSTITUTE('Project Tracker'!K23,";",REPT(" ",150)),301,150)))</ns0:f>
      </ns0:c>
      <ns0:c r="K73" t="str">
        <ns0:f>IF(J73="","",IF(COUNTIFS($J$7:J73,J73)=1,MAX($K$6:K72)+1,""))</ns0:f>
      </ns0:c>
      <ns0:c r="L73" t="n">
        <ns0:f>IF(A73="",0,B73+(107-ROW())/1000)</ns0:f>
        <ns0:v>0</ns0:v>
      </ns0:c>
      <ns0:c r="M73" t="str">
        <ns0:f>IF(J73="","",'Project Tracker'!A23)</ns0:f>
      </ns0:c>
      <ns0:c r="N73" t="str">
        <ns0:f>IF(J73="","",'Project Tracker'!N23)</ns0:f>
      </ns0:c>
      <ns0:c r="O73" t="str">
        <ns0:f>IF(J73="","",'Project Tracker'!E23)</ns0:f>
      </ns0:c>
      <ns0:c r="P73" t="str">
        <ns0:f>IF(J73="","",'Project Tracker'!F23)</ns0:f>
      </ns0:c>
      <ns0:c r="Q73" t="str">
        <ns0:f>IF(J73="","",'Project Tracker'!Q23)</ns0:f>
      </ns0:c>
      <ns0:c r="R73" t="str">
        <ns0:f>IF(J73="","",'Project Tracker'!J23)</ns0:f>
      </ns0:c>
      <ns0:c r="V73" t="n">
        <ns0:f>IF($A73="",0,COUNTIFS($J$7:$J$406,$A73,$O$7:$O$406,"&lt;="&amp;V$6,$P$7:$P$406,"&gt;="&amp;V$6,$R$7:$R$406,"No"))</ns0:f>
        <ns0:v>0</ns0:v>
      </ns0:c>
      <ns0:c r="W73" t="n">
        <ns0:f>IF($A73="",0,COUNTIFS($J$7:$J$406,$A73,$O$7:$O$406,"&lt;="&amp;W$6,$P$7:$P$406,"&gt;="&amp;W$6,$R$7:$R$406,"No"))</ns0:f>
        <ns0:v>0</ns0:v>
      </ns0:c>
      <ns0:c r="X73" t="n">
        <ns0:f>IF($A73="",0,COUNTIFS($J$7:$J$406,$A73,$O$7:$O$406,"&lt;="&amp;X$6,$P$7:$P$406,"&gt;="&amp;X$6,$R$7:$R$406,"No"))</ns0:f>
        <ns0:v>0</ns0:v>
      </ns0:c>
      <ns0:c r="Y73" t="n">
        <ns0:f>IF($A73="",0,COUNTIFS($J$7:$J$406,$A73,$O$7:$O$406,"&lt;="&amp;Y$6,$P$7:$P$406,"&gt;="&amp;Y$6,$R$7:$R$406,"No"))</ns0:f>
        <ns0:v>0</ns0:v>
      </ns0:c>
      <ns0:c r="Z73" t="n">
        <ns0:f>IF($A73="",0,COUNTIFS($J$7:$J$406,$A73,$O$7:$O$406,"&lt;="&amp;Z$6,$P$7:$P$406,"&gt;="&amp;Z$6,$R$7:$R$406,"No"))</ns0:f>
        <ns0:v>0</ns0:v>
      </ns0:c>
      <ns0:c r="AA73" t="n">
        <ns0:f>IF($A73="",0,COUNTIFS($J$7:$J$406,$A73,$O$7:$O$406,"&lt;="&amp;AA$6,$P$7:$P$406,"&gt;="&amp;AA$6,$R$7:$R$406,"No"))</ns0:f>
        <ns0:v>0</ns0:v>
      </ns0:c>
      <ns0:c r="AB73" t="n">
        <ns0:f>IF($A73="",0,COUNTIFS($J$7:$J$406,$A73,$O$7:$O$406,"&lt;="&amp;AB$6,$P$7:$P$406,"&gt;="&amp;AB$6,$R$7:$R$406,"No"))</ns0:f>
        <ns0:v>0</ns0:v>
      </ns0:c>
      <ns0:c r="AC73" t="n">
        <ns0:f>IF($A73="",0,COUNTIFS($J$7:$J$406,$A73,$O$7:$O$406,"&lt;="&amp;AC$6,$P$7:$P$406,"&gt;="&amp;AC$6,$R$7:$R$406,"No"))</ns0:f>
        <ns0:v>0</ns0:v>
      </ns0:c>
      <ns0:c r="AD73" t="n">
        <ns0:f>IF($A73="",0,COUNTIFS($J$7:$J$406,$A73,$O$7:$O$406,"&lt;="&amp;AD$6,$P$7:$P$406,"&gt;="&amp;AD$6,$R$7:$R$406,"No"))</ns0:f>
        <ns0:v>0</ns0:v>
      </ns0:c>
      <ns0:c r="AE73" t="n">
        <ns0:f>IF($A73="",0,COUNTIFS($J$7:$J$406,$A73,$O$7:$O$406,"&lt;="&amp;AE$6,$P$7:$P$406,"&gt;="&amp;AE$6,$R$7:$R$406,"No"))</ns0:f>
        <ns0:v>0</ns0:v>
      </ns0:c>
      <ns0:c r="AF73" t="n">
        <ns0:f>IF($A73="",0,COUNTIFS($J$7:$J$406,$A73,$O$7:$O$406,"&lt;="&amp;AF$6,$P$7:$P$406,"&gt;="&amp;AF$6,$R$7:$R$406,"No"))</ns0:f>
        <ns0:v>0</ns0:v>
      </ns0:c>
      <ns0:c r="AG73" t="n">
        <ns0:f>IF($A73="",0,COUNTIFS($J$7:$J$406,$A73,$O$7:$O$406,"&lt;="&amp;AG$6,$P$7:$P$406,"&gt;="&amp;AG$6,$R$7:$R$406,"No"))</ns0:f>
        <ns0:v>0</ns0:v>
      </ns0:c>
      <ns0:c r="AH73" t="n">
        <ns0:f>IF($A73="",0,COUNTIFS($J$7:$J$406,$A73,$O$7:$O$406,"&lt;="&amp;AH$6,$P$7:$P$406,"&gt;="&amp;AH$6,$R$7:$R$406,"No"))</ns0:f>
        <ns0:v>0</ns0:v>
      </ns0:c>
      <ns0:c r="AI73" t="n">
        <ns0:f>IF($A73="",0,COUNTIFS($J$7:$J$406,$A73,$O$7:$O$406,"&lt;="&amp;AI$6,$P$7:$P$406,"&gt;="&amp;AI$6,$R$7:$R$406,"No"))</ns0:f>
        <ns0:v>0</ns0:v>
      </ns0:c>
      <ns0:c r="AJ73" t="n">
        <ns0:f>IF($A73="",0,COUNTIFS($J$7:$J$406,$A73,$O$7:$O$406,"&lt;="&amp;AJ$6,$P$7:$P$406,"&gt;="&amp;AJ$6,$R$7:$R$406,"No"))</ns0:f>
        <ns0:v>0</ns0:v>
      </ns0:c>
      <ns0:c r="AK73" t="n">
        <ns0:f>IF($A73="",0,COUNTIFS($J$7:$J$406,$A73,$O$7:$O$406,"&lt;="&amp;AK$6,$P$7:$P$406,"&gt;="&amp;AK$6,$R$7:$R$406,"No"))</ns0:f>
        <ns0:v>0</ns0:v>
      </ns0:c>
      <ns0:c r="AL73" t="n">
        <ns0:f>IF($A73="",0,COUNTIFS($J$7:$J$406,$A73,$O$7:$O$406,"&lt;="&amp;AL$6,$P$7:$P$406,"&gt;="&amp;AL$6,$R$7:$R$406,"No"))</ns0:f>
        <ns0:v>0</ns0:v>
      </ns0:c>
      <ns0:c r="AM73" t="n">
        <ns0:f>IF($A73="",0,COUNTIFS($J$7:$J$406,$A73,$O$7:$O$406,"&lt;="&amp;AM$6,$P$7:$P$406,"&gt;="&amp;AM$6,$R$7:$R$406,"No"))</ns0:f>
        <ns0:v>0</ns0:v>
      </ns0:c>
      <ns0:c r="AN73" t="n">
        <ns0:f>IF($A73="",0,COUNTIFS($J$7:$J$406,$A73,$O$7:$O$406,"&lt;="&amp;AN$6,$P$7:$P$406,"&gt;="&amp;AN$6,$R$7:$R$406,"No"))</ns0:f>
        <ns0:v>0</ns0:v>
      </ns0:c>
      <ns0:c r="AO73" t="n">
        <ns0:f>IF($A73="",0,COUNTIFS($J$7:$J$406,$A73,$O$7:$O$406,"&lt;="&amp;AO$6,$P$7:$P$406,"&gt;="&amp;AO$6,$R$7:$R$406,"No"))</ns0:f>
        <ns0:v>0</ns0:v>
      </ns0:c>
      <ns0:c r="AP73" t="n">
        <ns0:f>IF($A73="",0,COUNTIFS($J$7:$J$406,$A73,$O$7:$O$406,"&lt;="&amp;AP$6,$P$7:$P$406,"&gt;="&amp;AP$6,$R$7:$R$406,"No"))</ns0:f>
        <ns0:v>0</ns0:v>
      </ns0:c>
      <ns0:c r="AQ73" t="n">
        <ns0:f>IF($A73="",0,COUNTIFS($J$7:$J$406,$A73,$O$7:$O$406,"&lt;="&amp;AQ$6,$P$7:$P$406,"&gt;="&amp;AQ$6,$R$7:$R$406,"No"))</ns0:f>
        <ns0:v>0</ns0:v>
      </ns0:c>
      <ns0:c r="AR73" t="n">
        <ns0:f>IF($A73="",0,COUNTIFS($J$7:$J$406,$A73,$O$7:$O$406,"&lt;="&amp;AR$6,$P$7:$P$406,"&gt;="&amp;AR$6,$R$7:$R$406,"No"))</ns0:f>
        <ns0:v>0</ns0:v>
      </ns0:c>
      <ns0:c r="AS73" t="n">
        <ns0:f>IF($A73="",0,COUNTIFS($J$7:$J$406,$A73,$O$7:$O$406,"&lt;="&amp;AS$6,$P$7:$P$406,"&gt;="&amp;AS$6,$R$7:$R$406,"No"))</ns0:f>
        <ns0:v>0</ns0:v>
      </ns0:c>
      <ns0:c r="AT73" t="n">
        <ns0:f>IF($A73="",0,COUNTIFS($J$7:$J$406,$A73,$O$7:$O$406,"&lt;="&amp;AT$6,$P$7:$P$406,"&gt;="&amp;AT$6,$R$7:$R$406,"No"))</ns0:f>
        <ns0:v>0</ns0:v>
      </ns0:c>
      <ns0:c r="AU73" t="n">
        <ns0:f>IF($A73="",0,COUNTIFS($J$7:$J$406,$A73,$O$7:$O$406,"&lt;="&amp;AU$6,$P$7:$P$406,"&gt;="&amp;AU$6,$R$7:$R$406,"No"))</ns0:f>
        <ns0:v>0</ns0:v>
      </ns0:c>
      <ns0:c r="AV73" t="n">
        <ns0:f>IF($A73="",0,COUNTIFS($J$7:$J$406,$A73,$O$7:$O$406,"&lt;="&amp;AV$6,$P$7:$P$406,"&gt;="&amp;AV$6,$R$7:$R$406,"No"))</ns0:f>
        <ns0:v>0</ns0:v>
      </ns0:c>
      <ns0:c r="AW73" t="n">
        <ns0:f>IF($A73="",0,COUNTIFS($J$7:$J$406,$A73,$O$7:$O$406,"&lt;="&amp;AW$6,$P$7:$P$406,"&gt;="&amp;AW$6,$R$7:$R$406,"No"))</ns0:f>
        <ns0:v>0</ns0:v>
      </ns0:c>
      <ns0:c r="AX73" t="n">
        <ns0:f>IF($A73="",0,COUNTIFS($J$7:$J$406,$A73,$O$7:$O$406,"&lt;="&amp;AX$6,$P$7:$P$406,"&gt;="&amp;AX$6,$R$7:$R$406,"No"))</ns0:f>
        <ns0:v>0</ns0:v>
      </ns0:c>
      <ns0:c r="AY73" t="n">
        <ns0:f>IF($A73="",0,COUNTIFS($J$7:$J$406,$A73,$O$7:$O$406,"&lt;="&amp;AY$6,$P$7:$P$406,"&gt;="&amp;AY$6,$R$7:$R$406,"No"))</ns0:f>
        <ns0:v>0</ns0:v>
      </ns0:c>
      <ns0:c r="AZ73" t="n">
        <ns0:f>IF($A73="",0,COUNTIFS($J$7:$J$406,$A73,$O$7:$O$406,"&lt;="&amp;AZ$6,$P$7:$P$406,"&gt;="&amp;AZ$6,$R$7:$R$406,"No"))</ns0:f>
        <ns0:v>0</ns0:v>
      </ns0:c>
      <ns0:c r="BA73" t="n">
        <ns0:f>IF($A73="",0,COUNTIFS($J$7:$J$406,$A73,$O$7:$O$406,"&lt;="&amp;BA$6,$P$7:$P$406,"&gt;="&amp;BA$6,$R$7:$R$406,"No"))</ns0:f>
        <ns0:v>0</ns0:v>
      </ns0:c>
      <ns0:c r="BB73" t="n">
        <ns0:f>IF($A73="",0,COUNTIFS($J$7:$J$406,$A73,$O$7:$O$406,"&lt;="&amp;BB$6,$P$7:$P$406,"&gt;="&amp;BB$6,$R$7:$R$406,"No"))</ns0:f>
        <ns0:v>0</ns0:v>
      </ns0:c>
      <ns0:c r="BC73" t="n">
        <ns0:f>IF($A73="",0,COUNTIFS($J$7:$J$406,$A73,$O$7:$O$406,"&lt;="&amp;BC$6,$P$7:$P$406,"&gt;="&amp;BC$6,$R$7:$R$406,"No"))</ns0:f>
        <ns0:v>0</ns0:v>
      </ns0:c>
    </ns0:row>
    <ns0:row r="74" ht="48" customHeight="1">
      <ns0:c r="A74" s="8" t="str">
        <ns0:f>IF(ROW()-6&gt;MAX($K$7:$K$406),"",INDEX($J$7:$J$406,MATCH(ROW()-6,$K$7:$K$406,0)))</ns0:f>
      </ns0:c>
      <ns0:c r="B74" s="8" t="str">
        <ns0:f>IF(A74="","",COUNTIFS($J$7:$J$406,$A74))</ns0:f>
      </ns0:c>
      <ns0:c r="C74" s="8" t="str">
        <ns0:f>IF(A74="","",COUNTIFS($J$7:$J$406,$A74,$N$7:$N$406,1))</ns0:f>
      </ns0:c>
      <ns0:c r="D74" s="8" t="str">
        <ns0:f>IF(A74="","",COUNTIFS($J$7:$J$406,$A74,$Q$7:$Q$406,"In Progress"))</ns0:f>
      </ns0:c>
      <ns0:c r="E74" s="8" t="str">
        <ns0:f>IF(A74="","",B74-C74)</ns0:f>
      </ns0:c>
      <ns0:c r="F74" s="19" t="str">
        <ns0:f>IF(A74="","",SUMIFS($N$7:$N$406,$J$7:$J$406,$A74)/B74)</ns0:f>
      </ns0:c>
      <ns0:c r="G74" s="8" t="str">
        <ns0:f>IF(A74="","",COUNTIFS(V74:BC74,"&gt;1"))</ns0:f>
      </ns0:c>
      <ns0:c r="H74" s="8" t="str">
        <ns0:f>IF(A74="","",IF(COUNTIFS($T$7:$T$33,A74)&gt;0,INDEX($U$7:$U$33,MATCH(A74,$T$7:$T$33,0)),"No capacity or responsibility detail supplied."))</ns0:f>
      </ns0:c>
      <ns0:c r="J74" t="str">
        <ns0:f>IF('Project Tracker'!A23="","",TRIM(MID(SUBSTITUTE('Project Tracker'!K23,";",REPT(" ",150)),451,150)))</ns0:f>
      </ns0:c>
      <ns0:c r="K74" t="str">
        <ns0:f>IF(J74="","",IF(COUNTIFS($J$7:J74,J74)=1,MAX($K$6:K73)+1,""))</ns0:f>
      </ns0:c>
      <ns0:c r="L74" t="n">
        <ns0:f>IF(A74="",0,B74+(107-ROW())/1000)</ns0:f>
        <ns0:v>0</ns0:v>
      </ns0:c>
      <ns0:c r="M74" t="str">
        <ns0:f>IF(J74="","",'Project Tracker'!A23)</ns0:f>
      </ns0:c>
      <ns0:c r="N74" t="str">
        <ns0:f>IF(J74="","",'Project Tracker'!N23)</ns0:f>
      </ns0:c>
      <ns0:c r="O74" t="str">
        <ns0:f>IF(J74="","",'Project Tracker'!E23)</ns0:f>
      </ns0:c>
      <ns0:c r="P74" t="str">
        <ns0:f>IF(J74="","",'Project Tracker'!F23)</ns0:f>
      </ns0:c>
      <ns0:c r="Q74" t="str">
        <ns0:f>IF(J74="","",'Project Tracker'!Q23)</ns0:f>
      </ns0:c>
      <ns0:c r="R74" t="str">
        <ns0:f>IF(J74="","",'Project Tracker'!J23)</ns0:f>
      </ns0:c>
      <ns0:c r="V74" t="n">
        <ns0:f>IF($A74="",0,COUNTIFS($J$7:$J$406,$A74,$O$7:$O$406,"&lt;="&amp;V$6,$P$7:$P$406,"&gt;="&amp;V$6,$R$7:$R$406,"No"))</ns0:f>
        <ns0:v>0</ns0:v>
      </ns0:c>
      <ns0:c r="W74" t="n">
        <ns0:f>IF($A74="",0,COUNTIFS($J$7:$J$406,$A74,$O$7:$O$406,"&lt;="&amp;W$6,$P$7:$P$406,"&gt;="&amp;W$6,$R$7:$R$406,"No"))</ns0:f>
        <ns0:v>0</ns0:v>
      </ns0:c>
      <ns0:c r="X74" t="n">
        <ns0:f>IF($A74="",0,COUNTIFS($J$7:$J$406,$A74,$O$7:$O$406,"&lt;="&amp;X$6,$P$7:$P$406,"&gt;="&amp;X$6,$R$7:$R$406,"No"))</ns0:f>
        <ns0:v>0</ns0:v>
      </ns0:c>
      <ns0:c r="Y74" t="n">
        <ns0:f>IF($A74="",0,COUNTIFS($J$7:$J$406,$A74,$O$7:$O$406,"&lt;="&amp;Y$6,$P$7:$P$406,"&gt;="&amp;Y$6,$R$7:$R$406,"No"))</ns0:f>
        <ns0:v>0</ns0:v>
      </ns0:c>
      <ns0:c r="Z74" t="n">
        <ns0:f>IF($A74="",0,COUNTIFS($J$7:$J$406,$A74,$O$7:$O$406,"&lt;="&amp;Z$6,$P$7:$P$406,"&gt;="&amp;Z$6,$R$7:$R$406,"No"))</ns0:f>
        <ns0:v>0</ns0:v>
      </ns0:c>
      <ns0:c r="AA74" t="n">
        <ns0:f>IF($A74="",0,COUNTIFS($J$7:$J$406,$A74,$O$7:$O$406,"&lt;="&amp;AA$6,$P$7:$P$406,"&gt;="&amp;AA$6,$R$7:$R$406,"No"))</ns0:f>
        <ns0:v>0</ns0:v>
      </ns0:c>
      <ns0:c r="AB74" t="n">
        <ns0:f>IF($A74="",0,COUNTIFS($J$7:$J$406,$A74,$O$7:$O$406,"&lt;="&amp;AB$6,$P$7:$P$406,"&gt;="&amp;AB$6,$R$7:$R$406,"No"))</ns0:f>
        <ns0:v>0</ns0:v>
      </ns0:c>
      <ns0:c r="AC74" t="n">
        <ns0:f>IF($A74="",0,COUNTIFS($J$7:$J$406,$A74,$O$7:$O$406,"&lt;="&amp;AC$6,$P$7:$P$406,"&gt;="&amp;AC$6,$R$7:$R$406,"No"))</ns0:f>
        <ns0:v>0</ns0:v>
      </ns0:c>
      <ns0:c r="AD74" t="n">
        <ns0:f>IF($A74="",0,COUNTIFS($J$7:$J$406,$A74,$O$7:$O$406,"&lt;="&amp;AD$6,$P$7:$P$406,"&gt;="&amp;AD$6,$R$7:$R$406,"No"))</ns0:f>
        <ns0:v>0</ns0:v>
      </ns0:c>
      <ns0:c r="AE74" t="n">
        <ns0:f>IF($A74="",0,COUNTIFS($J$7:$J$406,$A74,$O$7:$O$406,"&lt;="&amp;AE$6,$P$7:$P$406,"&gt;="&amp;AE$6,$R$7:$R$406,"No"))</ns0:f>
        <ns0:v>0</ns0:v>
      </ns0:c>
      <ns0:c r="AF74" t="n">
        <ns0:f>IF($A74="",0,COUNTIFS($J$7:$J$406,$A74,$O$7:$O$406,"&lt;="&amp;AF$6,$P$7:$P$406,"&gt;="&amp;AF$6,$R$7:$R$406,"No"))</ns0:f>
        <ns0:v>0</ns0:v>
      </ns0:c>
      <ns0:c r="AG74" t="n">
        <ns0:f>IF($A74="",0,COUNTIFS($J$7:$J$406,$A74,$O$7:$O$406,"&lt;="&amp;AG$6,$P$7:$P$406,"&gt;="&amp;AG$6,$R$7:$R$406,"No"))</ns0:f>
        <ns0:v>0</ns0:v>
      </ns0:c>
      <ns0:c r="AH74" t="n">
        <ns0:f>IF($A74="",0,COUNTIFS($J$7:$J$406,$A74,$O$7:$O$406,"&lt;="&amp;AH$6,$P$7:$P$406,"&gt;="&amp;AH$6,$R$7:$R$406,"No"))</ns0:f>
        <ns0:v>0</ns0:v>
      </ns0:c>
      <ns0:c r="AI74" t="n">
        <ns0:f>IF($A74="",0,COUNTIFS($J$7:$J$406,$A74,$O$7:$O$406,"&lt;="&amp;AI$6,$P$7:$P$406,"&gt;="&amp;AI$6,$R$7:$R$406,"No"))</ns0:f>
        <ns0:v>0</ns0:v>
      </ns0:c>
      <ns0:c r="AJ74" t="n">
        <ns0:f>IF($A74="",0,COUNTIFS($J$7:$J$406,$A74,$O$7:$O$406,"&lt;="&amp;AJ$6,$P$7:$P$406,"&gt;="&amp;AJ$6,$R$7:$R$406,"No"))</ns0:f>
        <ns0:v>0</ns0:v>
      </ns0:c>
      <ns0:c r="AK74" t="n">
        <ns0:f>IF($A74="",0,COUNTIFS($J$7:$J$406,$A74,$O$7:$O$406,"&lt;="&amp;AK$6,$P$7:$P$406,"&gt;="&amp;AK$6,$R$7:$R$406,"No"))</ns0:f>
        <ns0:v>0</ns0:v>
      </ns0:c>
      <ns0:c r="AL74" t="n">
        <ns0:f>IF($A74="",0,COUNTIFS($J$7:$J$406,$A74,$O$7:$O$406,"&lt;="&amp;AL$6,$P$7:$P$406,"&gt;="&amp;AL$6,$R$7:$R$406,"No"))</ns0:f>
        <ns0:v>0</ns0:v>
      </ns0:c>
      <ns0:c r="AM74" t="n">
        <ns0:f>IF($A74="",0,COUNTIFS($J$7:$J$406,$A74,$O$7:$O$406,"&lt;="&amp;AM$6,$P$7:$P$406,"&gt;="&amp;AM$6,$R$7:$R$406,"No"))</ns0:f>
        <ns0:v>0</ns0:v>
      </ns0:c>
      <ns0:c r="AN74" t="n">
        <ns0:f>IF($A74="",0,COUNTIFS($J$7:$J$406,$A74,$O$7:$O$406,"&lt;="&amp;AN$6,$P$7:$P$406,"&gt;="&amp;AN$6,$R$7:$R$406,"No"))</ns0:f>
        <ns0:v>0</ns0:v>
      </ns0:c>
      <ns0:c r="AO74" t="n">
        <ns0:f>IF($A74="",0,COUNTIFS($J$7:$J$406,$A74,$O$7:$O$406,"&lt;="&amp;AO$6,$P$7:$P$406,"&gt;="&amp;AO$6,$R$7:$R$406,"No"))</ns0:f>
        <ns0:v>0</ns0:v>
      </ns0:c>
      <ns0:c r="AP74" t="n">
        <ns0:f>IF($A74="",0,COUNTIFS($J$7:$J$406,$A74,$O$7:$O$406,"&lt;="&amp;AP$6,$P$7:$P$406,"&gt;="&amp;AP$6,$R$7:$R$406,"No"))</ns0:f>
        <ns0:v>0</ns0:v>
      </ns0:c>
      <ns0:c r="AQ74" t="n">
        <ns0:f>IF($A74="",0,COUNTIFS($J$7:$J$406,$A74,$O$7:$O$406,"&lt;="&amp;AQ$6,$P$7:$P$406,"&gt;="&amp;AQ$6,$R$7:$R$406,"No"))</ns0:f>
        <ns0:v>0</ns0:v>
      </ns0:c>
      <ns0:c r="AR74" t="n">
        <ns0:f>IF($A74="",0,COUNTIFS($J$7:$J$406,$A74,$O$7:$O$406,"&lt;="&amp;AR$6,$P$7:$P$406,"&gt;="&amp;AR$6,$R$7:$R$406,"No"))</ns0:f>
        <ns0:v>0</ns0:v>
      </ns0:c>
      <ns0:c r="AS74" t="n">
        <ns0:f>IF($A74="",0,COUNTIFS($J$7:$J$406,$A74,$O$7:$O$406,"&lt;="&amp;AS$6,$P$7:$P$406,"&gt;="&amp;AS$6,$R$7:$R$406,"No"))</ns0:f>
        <ns0:v>0</ns0:v>
      </ns0:c>
      <ns0:c r="AT74" t="n">
        <ns0:f>IF($A74="",0,COUNTIFS($J$7:$J$406,$A74,$O$7:$O$406,"&lt;="&amp;AT$6,$P$7:$P$406,"&gt;="&amp;AT$6,$R$7:$R$406,"No"))</ns0:f>
        <ns0:v>0</ns0:v>
      </ns0:c>
      <ns0:c r="AU74" t="n">
        <ns0:f>IF($A74="",0,COUNTIFS($J$7:$J$406,$A74,$O$7:$O$406,"&lt;="&amp;AU$6,$P$7:$P$406,"&gt;="&amp;AU$6,$R$7:$R$406,"No"))</ns0:f>
        <ns0:v>0</ns0:v>
      </ns0:c>
      <ns0:c r="AV74" t="n">
        <ns0:f>IF($A74="",0,COUNTIFS($J$7:$J$406,$A74,$O$7:$O$406,"&lt;="&amp;AV$6,$P$7:$P$406,"&gt;="&amp;AV$6,$R$7:$R$406,"No"))</ns0:f>
        <ns0:v>0</ns0:v>
      </ns0:c>
      <ns0:c r="AW74" t="n">
        <ns0:f>IF($A74="",0,COUNTIFS($J$7:$J$406,$A74,$O$7:$O$406,"&lt;="&amp;AW$6,$P$7:$P$406,"&gt;="&amp;AW$6,$R$7:$R$406,"No"))</ns0:f>
        <ns0:v>0</ns0:v>
      </ns0:c>
      <ns0:c r="AX74" t="n">
        <ns0:f>IF($A74="",0,COUNTIFS($J$7:$J$406,$A74,$O$7:$O$406,"&lt;="&amp;AX$6,$P$7:$P$406,"&gt;="&amp;AX$6,$R$7:$R$406,"No"))</ns0:f>
        <ns0:v>0</ns0:v>
      </ns0:c>
      <ns0:c r="AY74" t="n">
        <ns0:f>IF($A74="",0,COUNTIFS($J$7:$J$406,$A74,$O$7:$O$406,"&lt;="&amp;AY$6,$P$7:$P$406,"&gt;="&amp;AY$6,$R$7:$R$406,"No"))</ns0:f>
        <ns0:v>0</ns0:v>
      </ns0:c>
      <ns0:c r="AZ74" t="n">
        <ns0:f>IF($A74="",0,COUNTIFS($J$7:$J$406,$A74,$O$7:$O$406,"&lt;="&amp;AZ$6,$P$7:$P$406,"&gt;="&amp;AZ$6,$R$7:$R$406,"No"))</ns0:f>
        <ns0:v>0</ns0:v>
      </ns0:c>
      <ns0:c r="BA74" t="n">
        <ns0:f>IF($A74="",0,COUNTIFS($J$7:$J$406,$A74,$O$7:$O$406,"&lt;="&amp;BA$6,$P$7:$P$406,"&gt;="&amp;BA$6,$R$7:$R$406,"No"))</ns0:f>
        <ns0:v>0</ns0:v>
      </ns0:c>
      <ns0:c r="BB74" t="n">
        <ns0:f>IF($A74="",0,COUNTIFS($J$7:$J$406,$A74,$O$7:$O$406,"&lt;="&amp;BB$6,$P$7:$P$406,"&gt;="&amp;BB$6,$R$7:$R$406,"No"))</ns0:f>
        <ns0:v>0</ns0:v>
      </ns0:c>
      <ns0:c r="BC74" t="n">
        <ns0:f>IF($A74="",0,COUNTIFS($J$7:$J$406,$A74,$O$7:$O$406,"&lt;="&amp;BC$6,$P$7:$P$406,"&gt;="&amp;BC$6,$R$7:$R$406,"No"))</ns0:f>
        <ns0:v>0</ns0:v>
      </ns0:c>
    </ns0:row>
    <ns0:row r="75" ht="48" customHeight="1">
      <ns0:c r="A75" s="8" t="str">
        <ns0:f>IF(ROW()-6&gt;MAX($K$7:$K$406),"",INDEX($J$7:$J$406,MATCH(ROW()-6,$K$7:$K$406,0)))</ns0:f>
      </ns0:c>
      <ns0:c r="B75" s="8" t="str">
        <ns0:f>IF(A75="","",COUNTIFS($J$7:$J$406,$A75))</ns0:f>
      </ns0:c>
      <ns0:c r="C75" s="8" t="str">
        <ns0:f>IF(A75="","",COUNTIFS($J$7:$J$406,$A75,$N$7:$N$406,1))</ns0:f>
      </ns0:c>
      <ns0:c r="D75" s="8" t="str">
        <ns0:f>IF(A75="","",COUNTIFS($J$7:$J$406,$A75,$Q$7:$Q$406,"In Progress"))</ns0:f>
      </ns0:c>
      <ns0:c r="E75" s="8" t="str">
        <ns0:f>IF(A75="","",B75-C75)</ns0:f>
      </ns0:c>
      <ns0:c r="F75" s="19" t="str">
        <ns0:f>IF(A75="","",SUMIFS($N$7:$N$406,$J$7:$J$406,$A75)/B75)</ns0:f>
      </ns0:c>
      <ns0:c r="G75" s="8" t="str">
        <ns0:f>IF(A75="","",COUNTIFS(V75:BC75,"&gt;1"))</ns0:f>
      </ns0:c>
      <ns0:c r="H75" s="8" t="str">
        <ns0:f>IF(A75="","",IF(COUNTIFS($T$7:$T$33,A75)&gt;0,INDEX($U$7:$U$33,MATCH(A75,$T$7:$T$33,0)),"No capacity or responsibility detail supplied."))</ns0:f>
      </ns0:c>
      <ns0:c r="J75" t="str">
        <ns0:f>IF('Project Tracker'!A24="","",TRIM(MID(SUBSTITUTE('Project Tracker'!K24,";",REPT(" ",150)),1,150)))</ns0:f>
        <ns0:v>Intelligence Engine (IE / Orchestrator)</ns0:v>
      </ns0:c>
      <ns0:c r="K75" t="n">
        <ns0:f>IF(J75="","",IF(COUNTIFS($J$7:J75,J75)=1,MAX($K$6:K74)+1,""))</ns0:f>
        <ns0:v>15</ns0:v>
      </ns0:c>
      <ns0:c r="L75" t="n">
        <ns0:f>IF(A75="",0,B75+(107-ROW())/1000)</ns0:f>
        <ns0:v>0</ns0:v>
      </ns0:c>
      <ns0:c r="M75" t="str">
        <ns0:f>IF(J75="","",'Project Tracker'!A24)</ns0:f>
        <ns0:v>T15</ns0:v>
      </ns0:c>
      <ns0:c r="N75" t="n">
        <ns0:f>IF(J75="","",'Project Tracker'!N24)</ns0:f>
        <ns0:v>0</ns0:v>
      </ns0:c>
      <ns0:c r="O75" t="n">
        <ns0:f>IF(J75="","",'Project Tracker'!E24)</ns0:f>
        <ns0:v>46284</ns0:v>
      </ns0:c>
      <ns0:c r="P75" t="n">
        <ns0:f>IF(J75="","",'Project Tracker'!F24)</ns0:f>
        <ns0:v>46284</ns0:v>
      </ns0:c>
      <ns0:c r="Q75" t="str">
        <ns0:f>IF(J75="","",'Project Tracker'!Q24)</ns0:f>
        <ns0:v>Not Started</ns0:v>
      </ns0:c>
      <ns0:c r="R75" t="str">
        <ns0:f>IF(J75="","",'Project Tracker'!J24)</ns0:f>
        <ns0:v>No</ns0:v>
      </ns0:c>
      <ns0:c r="V75" t="n">
        <ns0:f>IF($A75="",0,COUNTIFS($J$7:$J$406,$A75,$O$7:$O$406,"&lt;="&amp;V$6,$P$7:$P$406,"&gt;="&amp;V$6,$R$7:$R$406,"No"))</ns0:f>
        <ns0:v>0</ns0:v>
      </ns0:c>
      <ns0:c r="W75" t="n">
        <ns0:f>IF($A75="",0,COUNTIFS($J$7:$J$406,$A75,$O$7:$O$406,"&lt;="&amp;W$6,$P$7:$P$406,"&gt;="&amp;W$6,$R$7:$R$406,"No"))</ns0:f>
        <ns0:v>0</ns0:v>
      </ns0:c>
      <ns0:c r="X75" t="n">
        <ns0:f>IF($A75="",0,COUNTIFS($J$7:$J$406,$A75,$O$7:$O$406,"&lt;="&amp;X$6,$P$7:$P$406,"&gt;="&amp;X$6,$R$7:$R$406,"No"))</ns0:f>
        <ns0:v>0</ns0:v>
      </ns0:c>
      <ns0:c r="Y75" t="n">
        <ns0:f>IF($A75="",0,COUNTIFS($J$7:$J$406,$A75,$O$7:$O$406,"&lt;="&amp;Y$6,$P$7:$P$406,"&gt;="&amp;Y$6,$R$7:$R$406,"No"))</ns0:f>
        <ns0:v>0</ns0:v>
      </ns0:c>
      <ns0:c r="Z75" t="n">
        <ns0:f>IF($A75="",0,COUNTIFS($J$7:$J$406,$A75,$O$7:$O$406,"&lt;="&amp;Z$6,$P$7:$P$406,"&gt;="&amp;Z$6,$R$7:$R$406,"No"))</ns0:f>
        <ns0:v>0</ns0:v>
      </ns0:c>
      <ns0:c r="AA75" t="n">
        <ns0:f>IF($A75="",0,COUNTIFS($J$7:$J$406,$A75,$O$7:$O$406,"&lt;="&amp;AA$6,$P$7:$P$406,"&gt;="&amp;AA$6,$R$7:$R$406,"No"))</ns0:f>
        <ns0:v>0</ns0:v>
      </ns0:c>
      <ns0:c r="AB75" t="n">
        <ns0:f>IF($A75="",0,COUNTIFS($J$7:$J$406,$A75,$O$7:$O$406,"&lt;="&amp;AB$6,$P$7:$P$406,"&gt;="&amp;AB$6,$R$7:$R$406,"No"))</ns0:f>
        <ns0:v>0</ns0:v>
      </ns0:c>
      <ns0:c r="AC75" t="n">
        <ns0:f>IF($A75="",0,COUNTIFS($J$7:$J$406,$A75,$O$7:$O$406,"&lt;="&amp;AC$6,$P$7:$P$406,"&gt;="&amp;AC$6,$R$7:$R$406,"No"))</ns0:f>
        <ns0:v>0</ns0:v>
      </ns0:c>
      <ns0:c r="AD75" t="n">
        <ns0:f>IF($A75="",0,COUNTIFS($J$7:$J$406,$A75,$O$7:$O$406,"&lt;="&amp;AD$6,$P$7:$P$406,"&gt;="&amp;AD$6,$R$7:$R$406,"No"))</ns0:f>
        <ns0:v>0</ns0:v>
      </ns0:c>
      <ns0:c r="AE75" t="n">
        <ns0:f>IF($A75="",0,COUNTIFS($J$7:$J$406,$A75,$O$7:$O$406,"&lt;="&amp;AE$6,$P$7:$P$406,"&gt;="&amp;AE$6,$R$7:$R$406,"No"))</ns0:f>
        <ns0:v>0</ns0:v>
      </ns0:c>
      <ns0:c r="AF75" t="n">
        <ns0:f>IF($A75="",0,COUNTIFS($J$7:$J$406,$A75,$O$7:$O$406,"&lt;="&amp;AF$6,$P$7:$P$406,"&gt;="&amp;AF$6,$R$7:$R$406,"No"))</ns0:f>
        <ns0:v>0</ns0:v>
      </ns0:c>
      <ns0:c r="AG75" t="n">
        <ns0:f>IF($A75="",0,COUNTIFS($J$7:$J$406,$A75,$O$7:$O$406,"&lt;="&amp;AG$6,$P$7:$P$406,"&gt;="&amp;AG$6,$R$7:$R$406,"No"))</ns0:f>
        <ns0:v>0</ns0:v>
      </ns0:c>
      <ns0:c r="AH75" t="n">
        <ns0:f>IF($A75="",0,COUNTIFS($J$7:$J$406,$A75,$O$7:$O$406,"&lt;="&amp;AH$6,$P$7:$P$406,"&gt;="&amp;AH$6,$R$7:$R$406,"No"))</ns0:f>
        <ns0:v>0</ns0:v>
      </ns0:c>
      <ns0:c r="AI75" t="n">
        <ns0:f>IF($A75="",0,COUNTIFS($J$7:$J$406,$A75,$O$7:$O$406,"&lt;="&amp;AI$6,$P$7:$P$406,"&gt;="&amp;AI$6,$R$7:$R$406,"No"))</ns0:f>
        <ns0:v>0</ns0:v>
      </ns0:c>
      <ns0:c r="AJ75" t="n">
        <ns0:f>IF($A75="",0,COUNTIFS($J$7:$J$406,$A75,$O$7:$O$406,"&lt;="&amp;AJ$6,$P$7:$P$406,"&gt;="&amp;AJ$6,$R$7:$R$406,"No"))</ns0:f>
        <ns0:v>0</ns0:v>
      </ns0:c>
      <ns0:c r="AK75" t="n">
        <ns0:f>IF($A75="",0,COUNTIFS($J$7:$J$406,$A75,$O$7:$O$406,"&lt;="&amp;AK$6,$P$7:$P$406,"&gt;="&amp;AK$6,$R$7:$R$406,"No"))</ns0:f>
        <ns0:v>0</ns0:v>
      </ns0:c>
      <ns0:c r="AL75" t="n">
        <ns0:f>IF($A75="",0,COUNTIFS($J$7:$J$406,$A75,$O$7:$O$406,"&lt;="&amp;AL$6,$P$7:$P$406,"&gt;="&amp;AL$6,$R$7:$R$406,"No"))</ns0:f>
        <ns0:v>0</ns0:v>
      </ns0:c>
      <ns0:c r="AM75" t="n">
        <ns0:f>IF($A75="",0,COUNTIFS($J$7:$J$406,$A75,$O$7:$O$406,"&lt;="&amp;AM$6,$P$7:$P$406,"&gt;="&amp;AM$6,$R$7:$R$406,"No"))</ns0:f>
        <ns0:v>0</ns0:v>
      </ns0:c>
      <ns0:c r="AN75" t="n">
        <ns0:f>IF($A75="",0,COUNTIFS($J$7:$J$406,$A75,$O$7:$O$406,"&lt;="&amp;AN$6,$P$7:$P$406,"&gt;="&amp;AN$6,$R$7:$R$406,"No"))</ns0:f>
        <ns0:v>0</ns0:v>
      </ns0:c>
      <ns0:c r="AO75" t="n">
        <ns0:f>IF($A75="",0,COUNTIFS($J$7:$J$406,$A75,$O$7:$O$406,"&lt;="&amp;AO$6,$P$7:$P$406,"&gt;="&amp;AO$6,$R$7:$R$406,"No"))</ns0:f>
        <ns0:v>0</ns0:v>
      </ns0:c>
      <ns0:c r="AP75" t="n">
        <ns0:f>IF($A75="",0,COUNTIFS($J$7:$J$406,$A75,$O$7:$O$406,"&lt;="&amp;AP$6,$P$7:$P$406,"&gt;="&amp;AP$6,$R$7:$R$406,"No"))</ns0:f>
        <ns0:v>0</ns0:v>
      </ns0:c>
      <ns0:c r="AQ75" t="n">
        <ns0:f>IF($A75="",0,COUNTIFS($J$7:$J$406,$A75,$O$7:$O$406,"&lt;="&amp;AQ$6,$P$7:$P$406,"&gt;="&amp;AQ$6,$R$7:$R$406,"No"))</ns0:f>
        <ns0:v>0</ns0:v>
      </ns0:c>
      <ns0:c r="AR75" t="n">
        <ns0:f>IF($A75="",0,COUNTIFS($J$7:$J$406,$A75,$O$7:$O$406,"&lt;="&amp;AR$6,$P$7:$P$406,"&gt;="&amp;AR$6,$R$7:$R$406,"No"))</ns0:f>
        <ns0:v>0</ns0:v>
      </ns0:c>
      <ns0:c r="AS75" t="n">
        <ns0:f>IF($A75="",0,COUNTIFS($J$7:$J$406,$A75,$O$7:$O$406,"&lt;="&amp;AS$6,$P$7:$P$406,"&gt;="&amp;AS$6,$R$7:$R$406,"No"))</ns0:f>
        <ns0:v>0</ns0:v>
      </ns0:c>
      <ns0:c r="AT75" t="n">
        <ns0:f>IF($A75="",0,COUNTIFS($J$7:$J$406,$A75,$O$7:$O$406,"&lt;="&amp;AT$6,$P$7:$P$406,"&gt;="&amp;AT$6,$R$7:$R$406,"No"))</ns0:f>
        <ns0:v>0</ns0:v>
      </ns0:c>
      <ns0:c r="AU75" t="n">
        <ns0:f>IF($A75="",0,COUNTIFS($J$7:$J$406,$A75,$O$7:$O$406,"&lt;="&amp;AU$6,$P$7:$P$406,"&gt;="&amp;AU$6,$R$7:$R$406,"No"))</ns0:f>
        <ns0:v>0</ns0:v>
      </ns0:c>
      <ns0:c r="AV75" t="n">
        <ns0:f>IF($A75="",0,COUNTIFS($J$7:$J$406,$A75,$O$7:$O$406,"&lt;="&amp;AV$6,$P$7:$P$406,"&gt;="&amp;AV$6,$R$7:$R$406,"No"))</ns0:f>
        <ns0:v>0</ns0:v>
      </ns0:c>
      <ns0:c r="AW75" t="n">
        <ns0:f>IF($A75="",0,COUNTIFS($J$7:$J$406,$A75,$O$7:$O$406,"&lt;="&amp;AW$6,$P$7:$P$406,"&gt;="&amp;AW$6,$R$7:$R$406,"No"))</ns0:f>
        <ns0:v>0</ns0:v>
      </ns0:c>
      <ns0:c r="AX75" t="n">
        <ns0:f>IF($A75="",0,COUNTIFS($J$7:$J$406,$A75,$O$7:$O$406,"&lt;="&amp;AX$6,$P$7:$P$406,"&gt;="&amp;AX$6,$R$7:$R$406,"No"))</ns0:f>
        <ns0:v>0</ns0:v>
      </ns0:c>
      <ns0:c r="AY75" t="n">
        <ns0:f>IF($A75="",0,COUNTIFS($J$7:$J$406,$A75,$O$7:$O$406,"&lt;="&amp;AY$6,$P$7:$P$406,"&gt;="&amp;AY$6,$R$7:$R$406,"No"))</ns0:f>
        <ns0:v>0</ns0:v>
      </ns0:c>
      <ns0:c r="AZ75" t="n">
        <ns0:f>IF($A75="",0,COUNTIFS($J$7:$J$406,$A75,$O$7:$O$406,"&lt;="&amp;AZ$6,$P$7:$P$406,"&gt;="&amp;AZ$6,$R$7:$R$406,"No"))</ns0:f>
        <ns0:v>0</ns0:v>
      </ns0:c>
      <ns0:c r="BA75" t="n">
        <ns0:f>IF($A75="",0,COUNTIFS($J$7:$J$406,$A75,$O$7:$O$406,"&lt;="&amp;BA$6,$P$7:$P$406,"&gt;="&amp;BA$6,$R$7:$R$406,"No"))</ns0:f>
        <ns0:v>0</ns0:v>
      </ns0:c>
      <ns0:c r="BB75" t="n">
        <ns0:f>IF($A75="",0,COUNTIFS($J$7:$J$406,$A75,$O$7:$O$406,"&lt;="&amp;BB$6,$P$7:$P$406,"&gt;="&amp;BB$6,$R$7:$R$406,"No"))</ns0:f>
        <ns0:v>0</ns0:v>
      </ns0:c>
      <ns0:c r="BC75" t="n">
        <ns0:f>IF($A75="",0,COUNTIFS($J$7:$J$406,$A75,$O$7:$O$406,"&lt;="&amp;BC$6,$P$7:$P$406,"&gt;="&amp;BC$6,$R$7:$R$406,"No"))</ns0:f>
        <ns0:v>0</ns0:v>
      </ns0:c>
    </ns0:row>
    <ns0:row r="76" ht="48" customHeight="1">
      <ns0:c r="A76" s="8" t="str">
        <ns0:f>IF(ROW()-6&gt;MAX($K$7:$K$406),"",INDEX($J$7:$J$406,MATCH(ROW()-6,$K$7:$K$406,0)))</ns0:f>
      </ns0:c>
      <ns0:c r="B76" s="8" t="str">
        <ns0:f>IF(A76="","",COUNTIFS($J$7:$J$406,$A76))</ns0:f>
      </ns0:c>
      <ns0:c r="C76" s="8" t="str">
        <ns0:f>IF(A76="","",COUNTIFS($J$7:$J$406,$A76,$N$7:$N$406,1))</ns0:f>
      </ns0:c>
      <ns0:c r="D76" s="8" t="str">
        <ns0:f>IF(A76="","",COUNTIFS($J$7:$J$406,$A76,$Q$7:$Q$406,"In Progress"))</ns0:f>
      </ns0:c>
      <ns0:c r="E76" s="8" t="str">
        <ns0:f>IF(A76="","",B76-C76)</ns0:f>
      </ns0:c>
      <ns0:c r="F76" s="19" t="str">
        <ns0:f>IF(A76="","",SUMIFS($N$7:$N$406,$J$7:$J$406,$A76)/B76)</ns0:f>
      </ns0:c>
      <ns0:c r="G76" s="8" t="str">
        <ns0:f>IF(A76="","",COUNTIFS(V76:BC76,"&gt;1"))</ns0:f>
      </ns0:c>
      <ns0:c r="H76" s="8" t="str">
        <ns0:f>IF(A76="","",IF(COUNTIFS($T$7:$T$33,A76)&gt;0,INDEX($U$7:$U$33,MATCH(A76,$T$7:$T$33,0)),"No capacity or responsibility detail supplied."))</ns0:f>
      </ns0:c>
      <ns0:c r="J76" t="str">
        <ns0:f>IF('Project Tracker'!A24="","",TRIM(MID(SUBSTITUTE('Project Tracker'!K24,";",REPT(" ",150)),151,150)))</ns0:f>
      </ns0:c>
      <ns0:c r="K76" t="str">
        <ns0:f>IF(J76="","",IF(COUNTIFS($J$7:J76,J76)=1,MAX($K$6:K75)+1,""))</ns0:f>
      </ns0:c>
      <ns0:c r="L76" t="n">
        <ns0:f>IF(A76="",0,B76+(107-ROW())/1000)</ns0:f>
        <ns0:v>0</ns0:v>
      </ns0:c>
      <ns0:c r="M76" t="str">
        <ns0:f>IF(J76="","",'Project Tracker'!A24)</ns0:f>
      </ns0:c>
      <ns0:c r="N76" t="str">
        <ns0:f>IF(J76="","",'Project Tracker'!N24)</ns0:f>
      </ns0:c>
      <ns0:c r="O76" t="str">
        <ns0:f>IF(J76="","",'Project Tracker'!E24)</ns0:f>
      </ns0:c>
      <ns0:c r="P76" t="str">
        <ns0:f>IF(J76="","",'Project Tracker'!F24)</ns0:f>
      </ns0:c>
      <ns0:c r="Q76" t="str">
        <ns0:f>IF(J76="","",'Project Tracker'!Q24)</ns0:f>
      </ns0:c>
      <ns0:c r="R76" t="str">
        <ns0:f>IF(J76="","",'Project Tracker'!J24)</ns0:f>
      </ns0:c>
      <ns0:c r="V76" t="n">
        <ns0:f>IF($A76="",0,COUNTIFS($J$7:$J$406,$A76,$O$7:$O$406,"&lt;="&amp;V$6,$P$7:$P$406,"&gt;="&amp;V$6,$R$7:$R$406,"No"))</ns0:f>
        <ns0:v>0</ns0:v>
      </ns0:c>
      <ns0:c r="W76" t="n">
        <ns0:f>IF($A76="",0,COUNTIFS($J$7:$J$406,$A76,$O$7:$O$406,"&lt;="&amp;W$6,$P$7:$P$406,"&gt;="&amp;W$6,$R$7:$R$406,"No"))</ns0:f>
        <ns0:v>0</ns0:v>
      </ns0:c>
      <ns0:c r="X76" t="n">
        <ns0:f>IF($A76="",0,COUNTIFS($J$7:$J$406,$A76,$O$7:$O$406,"&lt;="&amp;X$6,$P$7:$P$406,"&gt;="&amp;X$6,$R$7:$R$406,"No"))</ns0:f>
        <ns0:v>0</ns0:v>
      </ns0:c>
      <ns0:c r="Y76" t="n">
        <ns0:f>IF($A76="",0,COUNTIFS($J$7:$J$406,$A76,$O$7:$O$406,"&lt;="&amp;Y$6,$P$7:$P$406,"&gt;="&amp;Y$6,$R$7:$R$406,"No"))</ns0:f>
        <ns0:v>0</ns0:v>
      </ns0:c>
      <ns0:c r="Z76" t="n">
        <ns0:f>IF($A76="",0,COUNTIFS($J$7:$J$406,$A76,$O$7:$O$406,"&lt;="&amp;Z$6,$P$7:$P$406,"&gt;="&amp;Z$6,$R$7:$R$406,"No"))</ns0:f>
        <ns0:v>0</ns0:v>
      </ns0:c>
      <ns0:c r="AA76" t="n">
        <ns0:f>IF($A76="",0,COUNTIFS($J$7:$J$406,$A76,$O$7:$O$406,"&lt;="&amp;AA$6,$P$7:$P$406,"&gt;="&amp;AA$6,$R$7:$R$406,"No"))</ns0:f>
        <ns0:v>0</ns0:v>
      </ns0:c>
      <ns0:c r="AB76" t="n">
        <ns0:f>IF($A76="",0,COUNTIFS($J$7:$J$406,$A76,$O$7:$O$406,"&lt;="&amp;AB$6,$P$7:$P$406,"&gt;="&amp;AB$6,$R$7:$R$406,"No"))</ns0:f>
        <ns0:v>0</ns0:v>
      </ns0:c>
      <ns0:c r="AC76" t="n">
        <ns0:f>IF($A76="",0,COUNTIFS($J$7:$J$406,$A76,$O$7:$O$406,"&lt;="&amp;AC$6,$P$7:$P$406,"&gt;="&amp;AC$6,$R$7:$R$406,"No"))</ns0:f>
        <ns0:v>0</ns0:v>
      </ns0:c>
      <ns0:c r="AD76" t="n">
        <ns0:f>IF($A76="",0,COUNTIFS($J$7:$J$406,$A76,$O$7:$O$406,"&lt;="&amp;AD$6,$P$7:$P$406,"&gt;="&amp;AD$6,$R$7:$R$406,"No"))</ns0:f>
        <ns0:v>0</ns0:v>
      </ns0:c>
      <ns0:c r="AE76" t="n">
        <ns0:f>IF($A76="",0,COUNTIFS($J$7:$J$406,$A76,$O$7:$O$406,"&lt;="&amp;AE$6,$P$7:$P$406,"&gt;="&amp;AE$6,$R$7:$R$406,"No"))</ns0:f>
        <ns0:v>0</ns0:v>
      </ns0:c>
      <ns0:c r="AF76" t="n">
        <ns0:f>IF($A76="",0,COUNTIFS($J$7:$J$406,$A76,$O$7:$O$406,"&lt;="&amp;AF$6,$P$7:$P$406,"&gt;="&amp;AF$6,$R$7:$R$406,"No"))</ns0:f>
        <ns0:v>0</ns0:v>
      </ns0:c>
      <ns0:c r="AG76" t="n">
        <ns0:f>IF($A76="",0,COUNTIFS($J$7:$J$406,$A76,$O$7:$O$406,"&lt;="&amp;AG$6,$P$7:$P$406,"&gt;="&amp;AG$6,$R$7:$R$406,"No"))</ns0:f>
        <ns0:v>0</ns0:v>
      </ns0:c>
      <ns0:c r="AH76" t="n">
        <ns0:f>IF($A76="",0,COUNTIFS($J$7:$J$406,$A76,$O$7:$O$406,"&lt;="&amp;AH$6,$P$7:$P$406,"&gt;="&amp;AH$6,$R$7:$R$406,"No"))</ns0:f>
        <ns0:v>0</ns0:v>
      </ns0:c>
      <ns0:c r="AI76" t="n">
        <ns0:f>IF($A76="",0,COUNTIFS($J$7:$J$406,$A76,$O$7:$O$406,"&lt;="&amp;AI$6,$P$7:$P$406,"&gt;="&amp;AI$6,$R$7:$R$406,"No"))</ns0:f>
        <ns0:v>0</ns0:v>
      </ns0:c>
      <ns0:c r="AJ76" t="n">
        <ns0:f>IF($A76="",0,COUNTIFS($J$7:$J$406,$A76,$O$7:$O$406,"&lt;="&amp;AJ$6,$P$7:$P$406,"&gt;="&amp;AJ$6,$R$7:$R$406,"No"))</ns0:f>
        <ns0:v>0</ns0:v>
      </ns0:c>
      <ns0:c r="AK76" t="n">
        <ns0:f>IF($A76="",0,COUNTIFS($J$7:$J$406,$A76,$O$7:$O$406,"&lt;="&amp;AK$6,$P$7:$P$406,"&gt;="&amp;AK$6,$R$7:$R$406,"No"))</ns0:f>
        <ns0:v>0</ns0:v>
      </ns0:c>
      <ns0:c r="AL76" t="n">
        <ns0:f>IF($A76="",0,COUNTIFS($J$7:$J$406,$A76,$O$7:$O$406,"&lt;="&amp;AL$6,$P$7:$P$406,"&gt;="&amp;AL$6,$R$7:$R$406,"No"))</ns0:f>
        <ns0:v>0</ns0:v>
      </ns0:c>
      <ns0:c r="AM76" t="n">
        <ns0:f>IF($A76="",0,COUNTIFS($J$7:$J$406,$A76,$O$7:$O$406,"&lt;="&amp;AM$6,$P$7:$P$406,"&gt;="&amp;AM$6,$R$7:$R$406,"No"))</ns0:f>
        <ns0:v>0</ns0:v>
      </ns0:c>
      <ns0:c r="AN76" t="n">
        <ns0:f>IF($A76="",0,COUNTIFS($J$7:$J$406,$A76,$O$7:$O$406,"&lt;="&amp;AN$6,$P$7:$P$406,"&gt;="&amp;AN$6,$R$7:$R$406,"No"))</ns0:f>
        <ns0:v>0</ns0:v>
      </ns0:c>
      <ns0:c r="AO76" t="n">
        <ns0:f>IF($A76="",0,COUNTIFS($J$7:$J$406,$A76,$O$7:$O$406,"&lt;="&amp;AO$6,$P$7:$P$406,"&gt;="&amp;AO$6,$R$7:$R$406,"No"))</ns0:f>
        <ns0:v>0</ns0:v>
      </ns0:c>
      <ns0:c r="AP76" t="n">
        <ns0:f>IF($A76="",0,COUNTIFS($J$7:$J$406,$A76,$O$7:$O$406,"&lt;="&amp;AP$6,$P$7:$P$406,"&gt;="&amp;AP$6,$R$7:$R$406,"No"))</ns0:f>
        <ns0:v>0</ns0:v>
      </ns0:c>
      <ns0:c r="AQ76" t="n">
        <ns0:f>IF($A76="",0,COUNTIFS($J$7:$J$406,$A76,$O$7:$O$406,"&lt;="&amp;AQ$6,$P$7:$P$406,"&gt;="&amp;AQ$6,$R$7:$R$406,"No"))</ns0:f>
        <ns0:v>0</ns0:v>
      </ns0:c>
      <ns0:c r="AR76" t="n">
        <ns0:f>IF($A76="",0,COUNTIFS($J$7:$J$406,$A76,$O$7:$O$406,"&lt;="&amp;AR$6,$P$7:$P$406,"&gt;="&amp;AR$6,$R$7:$R$406,"No"))</ns0:f>
        <ns0:v>0</ns0:v>
      </ns0:c>
      <ns0:c r="AS76" t="n">
        <ns0:f>IF($A76="",0,COUNTIFS($J$7:$J$406,$A76,$O$7:$O$406,"&lt;="&amp;AS$6,$P$7:$P$406,"&gt;="&amp;AS$6,$R$7:$R$406,"No"))</ns0:f>
        <ns0:v>0</ns0:v>
      </ns0:c>
      <ns0:c r="AT76" t="n">
        <ns0:f>IF($A76="",0,COUNTIFS($J$7:$J$406,$A76,$O$7:$O$406,"&lt;="&amp;AT$6,$P$7:$P$406,"&gt;="&amp;AT$6,$R$7:$R$406,"No"))</ns0:f>
        <ns0:v>0</ns0:v>
      </ns0:c>
      <ns0:c r="AU76" t="n">
        <ns0:f>IF($A76="",0,COUNTIFS($J$7:$J$406,$A76,$O$7:$O$406,"&lt;="&amp;AU$6,$P$7:$P$406,"&gt;="&amp;AU$6,$R$7:$R$406,"No"))</ns0:f>
        <ns0:v>0</ns0:v>
      </ns0:c>
      <ns0:c r="AV76" t="n">
        <ns0:f>IF($A76="",0,COUNTIFS($J$7:$J$406,$A76,$O$7:$O$406,"&lt;="&amp;AV$6,$P$7:$P$406,"&gt;="&amp;AV$6,$R$7:$R$406,"No"))</ns0:f>
        <ns0:v>0</ns0:v>
      </ns0:c>
      <ns0:c r="AW76" t="n">
        <ns0:f>IF($A76="",0,COUNTIFS($J$7:$J$406,$A76,$O$7:$O$406,"&lt;="&amp;AW$6,$P$7:$P$406,"&gt;="&amp;AW$6,$R$7:$R$406,"No"))</ns0:f>
        <ns0:v>0</ns0:v>
      </ns0:c>
      <ns0:c r="AX76" t="n">
        <ns0:f>IF($A76="",0,COUNTIFS($J$7:$J$406,$A76,$O$7:$O$406,"&lt;="&amp;AX$6,$P$7:$P$406,"&gt;="&amp;AX$6,$R$7:$R$406,"No"))</ns0:f>
        <ns0:v>0</ns0:v>
      </ns0:c>
      <ns0:c r="AY76" t="n">
        <ns0:f>IF($A76="",0,COUNTIFS($J$7:$J$406,$A76,$O$7:$O$406,"&lt;="&amp;AY$6,$P$7:$P$406,"&gt;="&amp;AY$6,$R$7:$R$406,"No"))</ns0:f>
        <ns0:v>0</ns0:v>
      </ns0:c>
      <ns0:c r="AZ76" t="n">
        <ns0:f>IF($A76="",0,COUNTIFS($J$7:$J$406,$A76,$O$7:$O$406,"&lt;="&amp;AZ$6,$P$7:$P$406,"&gt;="&amp;AZ$6,$R$7:$R$406,"No"))</ns0:f>
        <ns0:v>0</ns0:v>
      </ns0:c>
      <ns0:c r="BA76" t="n">
        <ns0:f>IF($A76="",0,COUNTIFS($J$7:$J$406,$A76,$O$7:$O$406,"&lt;="&amp;BA$6,$P$7:$P$406,"&gt;="&amp;BA$6,$R$7:$R$406,"No"))</ns0:f>
        <ns0:v>0</ns0:v>
      </ns0:c>
      <ns0:c r="BB76" t="n">
        <ns0:f>IF($A76="",0,COUNTIFS($J$7:$J$406,$A76,$O$7:$O$406,"&lt;="&amp;BB$6,$P$7:$P$406,"&gt;="&amp;BB$6,$R$7:$R$406,"No"))</ns0:f>
        <ns0:v>0</ns0:v>
      </ns0:c>
      <ns0:c r="BC76" t="n">
        <ns0:f>IF($A76="",0,COUNTIFS($J$7:$J$406,$A76,$O$7:$O$406,"&lt;="&amp;BC$6,$P$7:$P$406,"&gt;="&amp;BC$6,$R$7:$R$406,"No"))</ns0:f>
        <ns0:v>0</ns0:v>
      </ns0:c>
    </ns0:row>
    <ns0:row r="77" ht="48" customHeight="1">
      <ns0:c r="A77" s="8" t="str">
        <ns0:f>IF(ROW()-6&gt;MAX($K$7:$K$406),"",INDEX($J$7:$J$406,MATCH(ROW()-6,$K$7:$K$406,0)))</ns0:f>
      </ns0:c>
      <ns0:c r="B77" s="8" t="str">
        <ns0:f>IF(A77="","",COUNTIFS($J$7:$J$406,$A77))</ns0:f>
      </ns0:c>
      <ns0:c r="C77" s="8" t="str">
        <ns0:f>IF(A77="","",COUNTIFS($J$7:$J$406,$A77,$N$7:$N$406,1))</ns0:f>
      </ns0:c>
      <ns0:c r="D77" s="8" t="str">
        <ns0:f>IF(A77="","",COUNTIFS($J$7:$J$406,$A77,$Q$7:$Q$406,"In Progress"))</ns0:f>
      </ns0:c>
      <ns0:c r="E77" s="8" t="str">
        <ns0:f>IF(A77="","",B77-C77)</ns0:f>
      </ns0:c>
      <ns0:c r="F77" s="19" t="str">
        <ns0:f>IF(A77="","",SUMIFS($N$7:$N$406,$J$7:$J$406,$A77)/B77)</ns0:f>
      </ns0:c>
      <ns0:c r="G77" s="8" t="str">
        <ns0:f>IF(A77="","",COUNTIFS(V77:BC77,"&gt;1"))</ns0:f>
      </ns0:c>
      <ns0:c r="H77" s="8" t="str">
        <ns0:f>IF(A77="","",IF(COUNTIFS($T$7:$T$33,A77)&gt;0,INDEX($U$7:$U$33,MATCH(A77,$T$7:$T$33,0)),"No capacity or responsibility detail supplied."))</ns0:f>
      </ns0:c>
      <ns0:c r="J77" t="str">
        <ns0:f>IF('Project Tracker'!A24="","",TRIM(MID(SUBSTITUTE('Project Tracker'!K24,";",REPT(" ",150)),301,150)))</ns0:f>
      </ns0:c>
      <ns0:c r="K77" t="str">
        <ns0:f>IF(J77="","",IF(COUNTIFS($J$7:J77,J77)=1,MAX($K$6:K76)+1,""))</ns0:f>
      </ns0:c>
      <ns0:c r="L77" t="n">
        <ns0:f>IF(A77="",0,B77+(107-ROW())/1000)</ns0:f>
        <ns0:v>0</ns0:v>
      </ns0:c>
      <ns0:c r="M77" t="str">
        <ns0:f>IF(J77="","",'Project Tracker'!A24)</ns0:f>
      </ns0:c>
      <ns0:c r="N77" t="str">
        <ns0:f>IF(J77="","",'Project Tracker'!N24)</ns0:f>
      </ns0:c>
      <ns0:c r="O77" t="str">
        <ns0:f>IF(J77="","",'Project Tracker'!E24)</ns0:f>
      </ns0:c>
      <ns0:c r="P77" t="str">
        <ns0:f>IF(J77="","",'Project Tracker'!F24)</ns0:f>
      </ns0:c>
      <ns0:c r="Q77" t="str">
        <ns0:f>IF(J77="","",'Project Tracker'!Q24)</ns0:f>
      </ns0:c>
      <ns0:c r="R77" t="str">
        <ns0:f>IF(J77="","",'Project Tracker'!J24)</ns0:f>
      </ns0:c>
      <ns0:c r="V77" t="n">
        <ns0:f>IF($A77="",0,COUNTIFS($J$7:$J$406,$A77,$O$7:$O$406,"&lt;="&amp;V$6,$P$7:$P$406,"&gt;="&amp;V$6,$R$7:$R$406,"No"))</ns0:f>
        <ns0:v>0</ns0:v>
      </ns0:c>
      <ns0:c r="W77" t="n">
        <ns0:f>IF($A77="",0,COUNTIFS($J$7:$J$406,$A77,$O$7:$O$406,"&lt;="&amp;W$6,$P$7:$P$406,"&gt;="&amp;W$6,$R$7:$R$406,"No"))</ns0:f>
        <ns0:v>0</ns0:v>
      </ns0:c>
      <ns0:c r="X77" t="n">
        <ns0:f>IF($A77="",0,COUNTIFS($J$7:$J$406,$A77,$O$7:$O$406,"&lt;="&amp;X$6,$P$7:$P$406,"&gt;="&amp;X$6,$R$7:$R$406,"No"))</ns0:f>
        <ns0:v>0</ns0:v>
      </ns0:c>
      <ns0:c r="Y77" t="n">
        <ns0:f>IF($A77="",0,COUNTIFS($J$7:$J$406,$A77,$O$7:$O$406,"&lt;="&amp;Y$6,$P$7:$P$406,"&gt;="&amp;Y$6,$R$7:$R$406,"No"))</ns0:f>
        <ns0:v>0</ns0:v>
      </ns0:c>
      <ns0:c r="Z77" t="n">
        <ns0:f>IF($A77="",0,COUNTIFS($J$7:$J$406,$A77,$O$7:$O$406,"&lt;="&amp;Z$6,$P$7:$P$406,"&gt;="&amp;Z$6,$R$7:$R$406,"No"))</ns0:f>
        <ns0:v>0</ns0:v>
      </ns0:c>
      <ns0:c r="AA77" t="n">
        <ns0:f>IF($A77="",0,COUNTIFS($J$7:$J$406,$A77,$O$7:$O$406,"&lt;="&amp;AA$6,$P$7:$P$406,"&gt;="&amp;AA$6,$R$7:$R$406,"No"))</ns0:f>
        <ns0:v>0</ns0:v>
      </ns0:c>
      <ns0:c r="AB77" t="n">
        <ns0:f>IF($A77="",0,COUNTIFS($J$7:$J$406,$A77,$O$7:$O$406,"&lt;="&amp;AB$6,$P$7:$P$406,"&gt;="&amp;AB$6,$R$7:$R$406,"No"))</ns0:f>
        <ns0:v>0</ns0:v>
      </ns0:c>
      <ns0:c r="AC77" t="n">
        <ns0:f>IF($A77="",0,COUNTIFS($J$7:$J$406,$A77,$O$7:$O$406,"&lt;="&amp;AC$6,$P$7:$P$406,"&gt;="&amp;AC$6,$R$7:$R$406,"No"))</ns0:f>
        <ns0:v>0</ns0:v>
      </ns0:c>
      <ns0:c r="AD77" t="n">
        <ns0:f>IF($A77="",0,COUNTIFS($J$7:$J$406,$A77,$O$7:$O$406,"&lt;="&amp;AD$6,$P$7:$P$406,"&gt;="&amp;AD$6,$R$7:$R$406,"No"))</ns0:f>
        <ns0:v>0</ns0:v>
      </ns0:c>
      <ns0:c r="AE77" t="n">
        <ns0:f>IF($A77="",0,COUNTIFS($J$7:$J$406,$A77,$O$7:$O$406,"&lt;="&amp;AE$6,$P$7:$P$406,"&gt;="&amp;AE$6,$R$7:$R$406,"No"))</ns0:f>
        <ns0:v>0</ns0:v>
      </ns0:c>
      <ns0:c r="AF77" t="n">
        <ns0:f>IF($A77="",0,COUNTIFS($J$7:$J$406,$A77,$O$7:$O$406,"&lt;="&amp;AF$6,$P$7:$P$406,"&gt;="&amp;AF$6,$R$7:$R$406,"No"))</ns0:f>
        <ns0:v>0</ns0:v>
      </ns0:c>
      <ns0:c r="AG77" t="n">
        <ns0:f>IF($A77="",0,COUNTIFS($J$7:$J$406,$A77,$O$7:$O$406,"&lt;="&amp;AG$6,$P$7:$P$406,"&gt;="&amp;AG$6,$R$7:$R$406,"No"))</ns0:f>
        <ns0:v>0</ns0:v>
      </ns0:c>
      <ns0:c r="AH77" t="n">
        <ns0:f>IF($A77="",0,COUNTIFS($J$7:$J$406,$A77,$O$7:$O$406,"&lt;="&amp;AH$6,$P$7:$P$406,"&gt;="&amp;AH$6,$R$7:$R$406,"No"))</ns0:f>
        <ns0:v>0</ns0:v>
      </ns0:c>
      <ns0:c r="AI77" t="n">
        <ns0:f>IF($A77="",0,COUNTIFS($J$7:$J$406,$A77,$O$7:$O$406,"&lt;="&amp;AI$6,$P$7:$P$406,"&gt;="&amp;AI$6,$R$7:$R$406,"No"))</ns0:f>
        <ns0:v>0</ns0:v>
      </ns0:c>
      <ns0:c r="AJ77" t="n">
        <ns0:f>IF($A77="",0,COUNTIFS($J$7:$J$406,$A77,$O$7:$O$406,"&lt;="&amp;AJ$6,$P$7:$P$406,"&gt;="&amp;AJ$6,$R$7:$R$406,"No"))</ns0:f>
        <ns0:v>0</ns0:v>
      </ns0:c>
      <ns0:c r="AK77" t="n">
        <ns0:f>IF($A77="",0,COUNTIFS($J$7:$J$406,$A77,$O$7:$O$406,"&lt;="&amp;AK$6,$P$7:$P$406,"&gt;="&amp;AK$6,$R$7:$R$406,"No"))</ns0:f>
        <ns0:v>0</ns0:v>
      </ns0:c>
      <ns0:c r="AL77" t="n">
        <ns0:f>IF($A77="",0,COUNTIFS($J$7:$J$406,$A77,$O$7:$O$406,"&lt;="&amp;AL$6,$P$7:$P$406,"&gt;="&amp;AL$6,$R$7:$R$406,"No"))</ns0:f>
        <ns0:v>0</ns0:v>
      </ns0:c>
      <ns0:c r="AM77" t="n">
        <ns0:f>IF($A77="",0,COUNTIFS($J$7:$J$406,$A77,$O$7:$O$406,"&lt;="&amp;AM$6,$P$7:$P$406,"&gt;="&amp;AM$6,$R$7:$R$406,"No"))</ns0:f>
        <ns0:v>0</ns0:v>
      </ns0:c>
      <ns0:c r="AN77" t="n">
        <ns0:f>IF($A77="",0,COUNTIFS($J$7:$J$406,$A77,$O$7:$O$406,"&lt;="&amp;AN$6,$P$7:$P$406,"&gt;="&amp;AN$6,$R$7:$R$406,"No"))</ns0:f>
        <ns0:v>0</ns0:v>
      </ns0:c>
      <ns0:c r="AO77" t="n">
        <ns0:f>IF($A77="",0,COUNTIFS($J$7:$J$406,$A77,$O$7:$O$406,"&lt;="&amp;AO$6,$P$7:$P$406,"&gt;="&amp;AO$6,$R$7:$R$406,"No"))</ns0:f>
        <ns0:v>0</ns0:v>
      </ns0:c>
      <ns0:c r="AP77" t="n">
        <ns0:f>IF($A77="",0,COUNTIFS($J$7:$J$406,$A77,$O$7:$O$406,"&lt;="&amp;AP$6,$P$7:$P$406,"&gt;="&amp;AP$6,$R$7:$R$406,"No"))</ns0:f>
        <ns0:v>0</ns0:v>
      </ns0:c>
      <ns0:c r="AQ77" t="n">
        <ns0:f>IF($A77="",0,COUNTIFS($J$7:$J$406,$A77,$O$7:$O$406,"&lt;="&amp;AQ$6,$P$7:$P$406,"&gt;="&amp;AQ$6,$R$7:$R$406,"No"))</ns0:f>
        <ns0:v>0</ns0:v>
      </ns0:c>
      <ns0:c r="AR77" t="n">
        <ns0:f>IF($A77="",0,COUNTIFS($J$7:$J$406,$A77,$O$7:$O$406,"&lt;="&amp;AR$6,$P$7:$P$406,"&gt;="&amp;AR$6,$R$7:$R$406,"No"))</ns0:f>
        <ns0:v>0</ns0:v>
      </ns0:c>
      <ns0:c r="AS77" t="n">
        <ns0:f>IF($A77="",0,COUNTIFS($J$7:$J$406,$A77,$O$7:$O$406,"&lt;="&amp;AS$6,$P$7:$P$406,"&gt;="&amp;AS$6,$R$7:$R$406,"No"))</ns0:f>
        <ns0:v>0</ns0:v>
      </ns0:c>
      <ns0:c r="AT77" t="n">
        <ns0:f>IF($A77="",0,COUNTIFS($J$7:$J$406,$A77,$O$7:$O$406,"&lt;="&amp;AT$6,$P$7:$P$406,"&gt;="&amp;AT$6,$R$7:$R$406,"No"))</ns0:f>
        <ns0:v>0</ns0:v>
      </ns0:c>
      <ns0:c r="AU77" t="n">
        <ns0:f>IF($A77="",0,COUNTIFS($J$7:$J$406,$A77,$O$7:$O$406,"&lt;="&amp;AU$6,$P$7:$P$406,"&gt;="&amp;AU$6,$R$7:$R$406,"No"))</ns0:f>
        <ns0:v>0</ns0:v>
      </ns0:c>
      <ns0:c r="AV77" t="n">
        <ns0:f>IF($A77="",0,COUNTIFS($J$7:$J$406,$A77,$O$7:$O$406,"&lt;="&amp;AV$6,$P$7:$P$406,"&gt;="&amp;AV$6,$R$7:$R$406,"No"))</ns0:f>
        <ns0:v>0</ns0:v>
      </ns0:c>
      <ns0:c r="AW77" t="n">
        <ns0:f>IF($A77="",0,COUNTIFS($J$7:$J$406,$A77,$O$7:$O$406,"&lt;="&amp;AW$6,$P$7:$P$406,"&gt;="&amp;AW$6,$R$7:$R$406,"No"))</ns0:f>
        <ns0:v>0</ns0:v>
      </ns0:c>
      <ns0:c r="AX77" t="n">
        <ns0:f>IF($A77="",0,COUNTIFS($J$7:$J$406,$A77,$O$7:$O$406,"&lt;="&amp;AX$6,$P$7:$P$406,"&gt;="&amp;AX$6,$R$7:$R$406,"No"))</ns0:f>
        <ns0:v>0</ns0:v>
      </ns0:c>
      <ns0:c r="AY77" t="n">
        <ns0:f>IF($A77="",0,COUNTIFS($J$7:$J$406,$A77,$O$7:$O$406,"&lt;="&amp;AY$6,$P$7:$P$406,"&gt;="&amp;AY$6,$R$7:$R$406,"No"))</ns0:f>
        <ns0:v>0</ns0:v>
      </ns0:c>
      <ns0:c r="AZ77" t="n">
        <ns0:f>IF($A77="",0,COUNTIFS($J$7:$J$406,$A77,$O$7:$O$406,"&lt;="&amp;AZ$6,$P$7:$P$406,"&gt;="&amp;AZ$6,$R$7:$R$406,"No"))</ns0:f>
        <ns0:v>0</ns0:v>
      </ns0:c>
      <ns0:c r="BA77" t="n">
        <ns0:f>IF($A77="",0,COUNTIFS($J$7:$J$406,$A77,$O$7:$O$406,"&lt;="&amp;BA$6,$P$7:$P$406,"&gt;="&amp;BA$6,$R$7:$R$406,"No"))</ns0:f>
        <ns0:v>0</ns0:v>
      </ns0:c>
      <ns0:c r="BB77" t="n">
        <ns0:f>IF($A77="",0,COUNTIFS($J$7:$J$406,$A77,$O$7:$O$406,"&lt;="&amp;BB$6,$P$7:$P$406,"&gt;="&amp;BB$6,$R$7:$R$406,"No"))</ns0:f>
        <ns0:v>0</ns0:v>
      </ns0:c>
      <ns0:c r="BC77" t="n">
        <ns0:f>IF($A77="",0,COUNTIFS($J$7:$J$406,$A77,$O$7:$O$406,"&lt;="&amp;BC$6,$P$7:$P$406,"&gt;="&amp;BC$6,$R$7:$R$406,"No"))</ns0:f>
        <ns0:v>0</ns0:v>
      </ns0:c>
    </ns0:row>
    <ns0:row r="78" ht="48" customHeight="1">
      <ns0:c r="A78" s="8" t="str">
        <ns0:f>IF(ROW()-6&gt;MAX($K$7:$K$406),"",INDEX($J$7:$J$406,MATCH(ROW()-6,$K$7:$K$406,0)))</ns0:f>
      </ns0:c>
      <ns0:c r="B78" s="8" t="str">
        <ns0:f>IF(A78="","",COUNTIFS($J$7:$J$406,$A78))</ns0:f>
      </ns0:c>
      <ns0:c r="C78" s="8" t="str">
        <ns0:f>IF(A78="","",COUNTIFS($J$7:$J$406,$A78,$N$7:$N$406,1))</ns0:f>
      </ns0:c>
      <ns0:c r="D78" s="8" t="str">
        <ns0:f>IF(A78="","",COUNTIFS($J$7:$J$406,$A78,$Q$7:$Q$406,"In Progress"))</ns0:f>
      </ns0:c>
      <ns0:c r="E78" s="8" t="str">
        <ns0:f>IF(A78="","",B78-C78)</ns0:f>
      </ns0:c>
      <ns0:c r="F78" s="19" t="str">
        <ns0:f>IF(A78="","",SUMIFS($N$7:$N$406,$J$7:$J$406,$A78)/B78)</ns0:f>
      </ns0:c>
      <ns0:c r="G78" s="8" t="str">
        <ns0:f>IF(A78="","",COUNTIFS(V78:BC78,"&gt;1"))</ns0:f>
      </ns0:c>
      <ns0:c r="H78" s="8" t="str">
        <ns0:f>IF(A78="","",IF(COUNTIFS($T$7:$T$33,A78)&gt;0,INDEX($U$7:$U$33,MATCH(A78,$T$7:$T$33,0)),"No capacity or responsibility detail supplied."))</ns0:f>
      </ns0:c>
      <ns0:c r="J78" t="str">
        <ns0:f>IF('Project Tracker'!A24="","",TRIM(MID(SUBSTITUTE('Project Tracker'!K24,";",REPT(" ",150)),451,150)))</ns0:f>
      </ns0:c>
      <ns0:c r="K78" t="str">
        <ns0:f>IF(J78="","",IF(COUNTIFS($J$7:J78,J78)=1,MAX($K$6:K77)+1,""))</ns0:f>
      </ns0:c>
      <ns0:c r="L78" t="n">
        <ns0:f>IF(A78="",0,B78+(107-ROW())/1000)</ns0:f>
        <ns0:v>0</ns0:v>
      </ns0:c>
      <ns0:c r="M78" t="str">
        <ns0:f>IF(J78="","",'Project Tracker'!A24)</ns0:f>
      </ns0:c>
      <ns0:c r="N78" t="str">
        <ns0:f>IF(J78="","",'Project Tracker'!N24)</ns0:f>
      </ns0:c>
      <ns0:c r="O78" t="str">
        <ns0:f>IF(J78="","",'Project Tracker'!E24)</ns0:f>
      </ns0:c>
      <ns0:c r="P78" t="str">
        <ns0:f>IF(J78="","",'Project Tracker'!F24)</ns0:f>
      </ns0:c>
      <ns0:c r="Q78" t="str">
        <ns0:f>IF(J78="","",'Project Tracker'!Q24)</ns0:f>
      </ns0:c>
      <ns0:c r="R78" t="str">
        <ns0:f>IF(J78="","",'Project Tracker'!J24)</ns0:f>
      </ns0:c>
      <ns0:c r="V78" t="n">
        <ns0:f>IF($A78="",0,COUNTIFS($J$7:$J$406,$A78,$O$7:$O$406,"&lt;="&amp;V$6,$P$7:$P$406,"&gt;="&amp;V$6,$R$7:$R$406,"No"))</ns0:f>
        <ns0:v>0</ns0:v>
      </ns0:c>
      <ns0:c r="W78" t="n">
        <ns0:f>IF($A78="",0,COUNTIFS($J$7:$J$406,$A78,$O$7:$O$406,"&lt;="&amp;W$6,$P$7:$P$406,"&gt;="&amp;W$6,$R$7:$R$406,"No"))</ns0:f>
        <ns0:v>0</ns0:v>
      </ns0:c>
      <ns0:c r="X78" t="n">
        <ns0:f>IF($A78="",0,COUNTIFS($J$7:$J$406,$A78,$O$7:$O$406,"&lt;="&amp;X$6,$P$7:$P$406,"&gt;="&amp;X$6,$R$7:$R$406,"No"))</ns0:f>
        <ns0:v>0</ns0:v>
      </ns0:c>
      <ns0:c r="Y78" t="n">
        <ns0:f>IF($A78="",0,COUNTIFS($J$7:$J$406,$A78,$O$7:$O$406,"&lt;="&amp;Y$6,$P$7:$P$406,"&gt;="&amp;Y$6,$R$7:$R$406,"No"))</ns0:f>
        <ns0:v>0</ns0:v>
      </ns0:c>
      <ns0:c r="Z78" t="n">
        <ns0:f>IF($A78="",0,COUNTIFS($J$7:$J$406,$A78,$O$7:$O$406,"&lt;="&amp;Z$6,$P$7:$P$406,"&gt;="&amp;Z$6,$R$7:$R$406,"No"))</ns0:f>
        <ns0:v>0</ns0:v>
      </ns0:c>
      <ns0:c r="AA78" t="n">
        <ns0:f>IF($A78="",0,COUNTIFS($J$7:$J$406,$A78,$O$7:$O$406,"&lt;="&amp;AA$6,$P$7:$P$406,"&gt;="&amp;AA$6,$R$7:$R$406,"No"))</ns0:f>
        <ns0:v>0</ns0:v>
      </ns0:c>
      <ns0:c r="AB78" t="n">
        <ns0:f>IF($A78="",0,COUNTIFS($J$7:$J$406,$A78,$O$7:$O$406,"&lt;="&amp;AB$6,$P$7:$P$406,"&gt;="&amp;AB$6,$R$7:$R$406,"No"))</ns0:f>
        <ns0:v>0</ns0:v>
      </ns0:c>
      <ns0:c r="AC78" t="n">
        <ns0:f>IF($A78="",0,COUNTIFS($J$7:$J$406,$A78,$O$7:$O$406,"&lt;="&amp;AC$6,$P$7:$P$406,"&gt;="&amp;AC$6,$R$7:$R$406,"No"))</ns0:f>
        <ns0:v>0</ns0:v>
      </ns0:c>
      <ns0:c r="AD78" t="n">
        <ns0:f>IF($A78="",0,COUNTIFS($J$7:$J$406,$A78,$O$7:$O$406,"&lt;="&amp;AD$6,$P$7:$P$406,"&gt;="&amp;AD$6,$R$7:$R$406,"No"))</ns0:f>
        <ns0:v>0</ns0:v>
      </ns0:c>
      <ns0:c r="AE78" t="n">
        <ns0:f>IF($A78="",0,COUNTIFS($J$7:$J$406,$A78,$O$7:$O$406,"&lt;="&amp;AE$6,$P$7:$P$406,"&gt;="&amp;AE$6,$R$7:$R$406,"No"))</ns0:f>
        <ns0:v>0</ns0:v>
      </ns0:c>
      <ns0:c r="AF78" t="n">
        <ns0:f>IF($A78="",0,COUNTIFS($J$7:$J$406,$A78,$O$7:$O$406,"&lt;="&amp;AF$6,$P$7:$P$406,"&gt;="&amp;AF$6,$R$7:$R$406,"No"))</ns0:f>
        <ns0:v>0</ns0:v>
      </ns0:c>
      <ns0:c r="AG78" t="n">
        <ns0:f>IF($A78="",0,COUNTIFS($J$7:$J$406,$A78,$O$7:$O$406,"&lt;="&amp;AG$6,$P$7:$P$406,"&gt;="&amp;AG$6,$R$7:$R$406,"No"))</ns0:f>
        <ns0:v>0</ns0:v>
      </ns0:c>
      <ns0:c r="AH78" t="n">
        <ns0:f>IF($A78="",0,COUNTIFS($J$7:$J$406,$A78,$O$7:$O$406,"&lt;="&amp;AH$6,$P$7:$P$406,"&gt;="&amp;AH$6,$R$7:$R$406,"No"))</ns0:f>
        <ns0:v>0</ns0:v>
      </ns0:c>
      <ns0:c r="AI78" t="n">
        <ns0:f>IF($A78="",0,COUNTIFS($J$7:$J$406,$A78,$O$7:$O$406,"&lt;="&amp;AI$6,$P$7:$P$406,"&gt;="&amp;AI$6,$R$7:$R$406,"No"))</ns0:f>
        <ns0:v>0</ns0:v>
      </ns0:c>
      <ns0:c r="AJ78" t="n">
        <ns0:f>IF($A78="",0,COUNTIFS($J$7:$J$406,$A78,$O$7:$O$406,"&lt;="&amp;AJ$6,$P$7:$P$406,"&gt;="&amp;AJ$6,$R$7:$R$406,"No"))</ns0:f>
        <ns0:v>0</ns0:v>
      </ns0:c>
      <ns0:c r="AK78" t="n">
        <ns0:f>IF($A78="",0,COUNTIFS($J$7:$J$406,$A78,$O$7:$O$406,"&lt;="&amp;AK$6,$P$7:$P$406,"&gt;="&amp;AK$6,$R$7:$R$406,"No"))</ns0:f>
        <ns0:v>0</ns0:v>
      </ns0:c>
      <ns0:c r="AL78" t="n">
        <ns0:f>IF($A78="",0,COUNTIFS($J$7:$J$406,$A78,$O$7:$O$406,"&lt;="&amp;AL$6,$P$7:$P$406,"&gt;="&amp;AL$6,$R$7:$R$406,"No"))</ns0:f>
        <ns0:v>0</ns0:v>
      </ns0:c>
      <ns0:c r="AM78" t="n">
        <ns0:f>IF($A78="",0,COUNTIFS($J$7:$J$406,$A78,$O$7:$O$406,"&lt;="&amp;AM$6,$P$7:$P$406,"&gt;="&amp;AM$6,$R$7:$R$406,"No"))</ns0:f>
        <ns0:v>0</ns0:v>
      </ns0:c>
      <ns0:c r="AN78" t="n">
        <ns0:f>IF($A78="",0,COUNTIFS($J$7:$J$406,$A78,$O$7:$O$406,"&lt;="&amp;AN$6,$P$7:$P$406,"&gt;="&amp;AN$6,$R$7:$R$406,"No"))</ns0:f>
        <ns0:v>0</ns0:v>
      </ns0:c>
      <ns0:c r="AO78" t="n">
        <ns0:f>IF($A78="",0,COUNTIFS($J$7:$J$406,$A78,$O$7:$O$406,"&lt;="&amp;AO$6,$P$7:$P$406,"&gt;="&amp;AO$6,$R$7:$R$406,"No"))</ns0:f>
        <ns0:v>0</ns0:v>
      </ns0:c>
      <ns0:c r="AP78" t="n">
        <ns0:f>IF($A78="",0,COUNTIFS($J$7:$J$406,$A78,$O$7:$O$406,"&lt;="&amp;AP$6,$P$7:$P$406,"&gt;="&amp;AP$6,$R$7:$R$406,"No"))</ns0:f>
        <ns0:v>0</ns0:v>
      </ns0:c>
      <ns0:c r="AQ78" t="n">
        <ns0:f>IF($A78="",0,COUNTIFS($J$7:$J$406,$A78,$O$7:$O$406,"&lt;="&amp;AQ$6,$P$7:$P$406,"&gt;="&amp;AQ$6,$R$7:$R$406,"No"))</ns0:f>
        <ns0:v>0</ns0:v>
      </ns0:c>
      <ns0:c r="AR78" t="n">
        <ns0:f>IF($A78="",0,COUNTIFS($J$7:$J$406,$A78,$O$7:$O$406,"&lt;="&amp;AR$6,$P$7:$P$406,"&gt;="&amp;AR$6,$R$7:$R$406,"No"))</ns0:f>
        <ns0:v>0</ns0:v>
      </ns0:c>
      <ns0:c r="AS78" t="n">
        <ns0:f>IF($A78="",0,COUNTIFS($J$7:$J$406,$A78,$O$7:$O$406,"&lt;="&amp;AS$6,$P$7:$P$406,"&gt;="&amp;AS$6,$R$7:$R$406,"No"))</ns0:f>
        <ns0:v>0</ns0:v>
      </ns0:c>
      <ns0:c r="AT78" t="n">
        <ns0:f>IF($A78="",0,COUNTIFS($J$7:$J$406,$A78,$O$7:$O$406,"&lt;="&amp;AT$6,$P$7:$P$406,"&gt;="&amp;AT$6,$R$7:$R$406,"No"))</ns0:f>
        <ns0:v>0</ns0:v>
      </ns0:c>
      <ns0:c r="AU78" t="n">
        <ns0:f>IF($A78="",0,COUNTIFS($J$7:$J$406,$A78,$O$7:$O$406,"&lt;="&amp;AU$6,$P$7:$P$406,"&gt;="&amp;AU$6,$R$7:$R$406,"No"))</ns0:f>
        <ns0:v>0</ns0:v>
      </ns0:c>
      <ns0:c r="AV78" t="n">
        <ns0:f>IF($A78="",0,COUNTIFS($J$7:$J$406,$A78,$O$7:$O$406,"&lt;="&amp;AV$6,$P$7:$P$406,"&gt;="&amp;AV$6,$R$7:$R$406,"No"))</ns0:f>
        <ns0:v>0</ns0:v>
      </ns0:c>
      <ns0:c r="AW78" t="n">
        <ns0:f>IF($A78="",0,COUNTIFS($J$7:$J$406,$A78,$O$7:$O$406,"&lt;="&amp;AW$6,$P$7:$P$406,"&gt;="&amp;AW$6,$R$7:$R$406,"No"))</ns0:f>
        <ns0:v>0</ns0:v>
      </ns0:c>
      <ns0:c r="AX78" t="n">
        <ns0:f>IF($A78="",0,COUNTIFS($J$7:$J$406,$A78,$O$7:$O$406,"&lt;="&amp;AX$6,$P$7:$P$406,"&gt;="&amp;AX$6,$R$7:$R$406,"No"))</ns0:f>
        <ns0:v>0</ns0:v>
      </ns0:c>
      <ns0:c r="AY78" t="n">
        <ns0:f>IF($A78="",0,COUNTIFS($J$7:$J$406,$A78,$O$7:$O$406,"&lt;="&amp;AY$6,$P$7:$P$406,"&gt;="&amp;AY$6,$R$7:$R$406,"No"))</ns0:f>
        <ns0:v>0</ns0:v>
      </ns0:c>
      <ns0:c r="AZ78" t="n">
        <ns0:f>IF($A78="",0,COUNTIFS($J$7:$J$406,$A78,$O$7:$O$406,"&lt;="&amp;AZ$6,$P$7:$P$406,"&gt;="&amp;AZ$6,$R$7:$R$406,"No"))</ns0:f>
        <ns0:v>0</ns0:v>
      </ns0:c>
      <ns0:c r="BA78" t="n">
        <ns0:f>IF($A78="",0,COUNTIFS($J$7:$J$406,$A78,$O$7:$O$406,"&lt;="&amp;BA$6,$P$7:$P$406,"&gt;="&amp;BA$6,$R$7:$R$406,"No"))</ns0:f>
        <ns0:v>0</ns0:v>
      </ns0:c>
      <ns0:c r="BB78" t="n">
        <ns0:f>IF($A78="",0,COUNTIFS($J$7:$J$406,$A78,$O$7:$O$406,"&lt;="&amp;BB$6,$P$7:$P$406,"&gt;="&amp;BB$6,$R$7:$R$406,"No"))</ns0:f>
        <ns0:v>0</ns0:v>
      </ns0:c>
      <ns0:c r="BC78" t="n">
        <ns0:f>IF($A78="",0,COUNTIFS($J$7:$J$406,$A78,$O$7:$O$406,"&lt;="&amp;BC$6,$P$7:$P$406,"&gt;="&amp;BC$6,$R$7:$R$406,"No"))</ns0:f>
        <ns0:v>0</ns0:v>
      </ns0:c>
    </ns0:row>
    <ns0:row r="79" ht="48" customHeight="1">
      <ns0:c r="A79" s="8" t="str">
        <ns0:f>IF(ROW()-6&gt;MAX($K$7:$K$406),"",INDEX($J$7:$J$406,MATCH(ROW()-6,$K$7:$K$406,0)))</ns0:f>
      </ns0:c>
      <ns0:c r="B79" s="8" t="str">
        <ns0:f>IF(A79="","",COUNTIFS($J$7:$J$406,$A79))</ns0:f>
      </ns0:c>
      <ns0:c r="C79" s="8" t="str">
        <ns0:f>IF(A79="","",COUNTIFS($J$7:$J$406,$A79,$N$7:$N$406,1))</ns0:f>
      </ns0:c>
      <ns0:c r="D79" s="8" t="str">
        <ns0:f>IF(A79="","",COUNTIFS($J$7:$J$406,$A79,$Q$7:$Q$406,"In Progress"))</ns0:f>
      </ns0:c>
      <ns0:c r="E79" s="8" t="str">
        <ns0:f>IF(A79="","",B79-C79)</ns0:f>
      </ns0:c>
      <ns0:c r="F79" s="19" t="str">
        <ns0:f>IF(A79="","",SUMIFS($N$7:$N$406,$J$7:$J$406,$A79)/B79)</ns0:f>
      </ns0:c>
      <ns0:c r="G79" s="8" t="str">
        <ns0:f>IF(A79="","",COUNTIFS(V79:BC79,"&gt;1"))</ns0:f>
      </ns0:c>
      <ns0:c r="H79" s="8" t="str">
        <ns0:f>IF(A79="","",IF(COUNTIFS($T$7:$T$33,A79)&gt;0,INDEX($U$7:$U$33,MATCH(A79,$T$7:$T$33,0)),"No capacity or responsibility detail supplied."))</ns0:f>
      </ns0:c>
      <ns0:c r="J79" t="str">
        <ns0:f>IF('Project Tracker'!A25="","",TRIM(MID(SUBSTITUTE('Project Tracker'!K25,";",REPT(" ",150)),1,150)))</ns0:f>
        <ns0:v>Specialist Sub-Agents (L4_SUBS)</ns0:v>
      </ns0:c>
      <ns0:c r="K79" t="str">
        <ns0:f>IF(J79="","",IF(COUNTIFS($J$7:J79,J79)=1,MAX($K$6:K78)+1,""))</ns0:f>
      </ns0:c>
      <ns0:c r="L79" t="n">
        <ns0:f>IF(A79="",0,B79+(107-ROW())/1000)</ns0:f>
        <ns0:v>0</ns0:v>
      </ns0:c>
      <ns0:c r="M79" t="str">
        <ns0:f>IF(J79="","",'Project Tracker'!A25)</ns0:f>
        <ns0:v>T16</ns0:v>
      </ns0:c>
      <ns0:c r="N79" t="n">
        <ns0:f>IF(J79="","",'Project Tracker'!N25)</ns0:f>
        <ns0:v>0</ns0:v>
      </ns0:c>
      <ns0:c r="O79" t="n">
        <ns0:f>IF(J79="","",'Project Tracker'!E25)</ns0:f>
        <ns0:v>46285</ns0:v>
      </ns0:c>
      <ns0:c r="P79" t="n">
        <ns0:f>IF(J79="","",'Project Tracker'!F25)</ns0:f>
        <ns0:v>46286</ns0:v>
      </ns0:c>
      <ns0:c r="Q79" t="str">
        <ns0:f>IF(J79="","",'Project Tracker'!Q25)</ns0:f>
        <ns0:v>Not Started</ns0:v>
      </ns0:c>
      <ns0:c r="R79" t="str">
        <ns0:f>IF(J79="","",'Project Tracker'!J25)</ns0:f>
        <ns0:v>No</ns0:v>
      </ns0:c>
      <ns0:c r="V79" t="n">
        <ns0:f>IF($A79="",0,COUNTIFS($J$7:$J$406,$A79,$O$7:$O$406,"&lt;="&amp;V$6,$P$7:$P$406,"&gt;="&amp;V$6,$R$7:$R$406,"No"))</ns0:f>
        <ns0:v>0</ns0:v>
      </ns0:c>
      <ns0:c r="W79" t="n">
        <ns0:f>IF($A79="",0,COUNTIFS($J$7:$J$406,$A79,$O$7:$O$406,"&lt;="&amp;W$6,$P$7:$P$406,"&gt;="&amp;W$6,$R$7:$R$406,"No"))</ns0:f>
        <ns0:v>0</ns0:v>
      </ns0:c>
      <ns0:c r="X79" t="n">
        <ns0:f>IF($A79="",0,COUNTIFS($J$7:$J$406,$A79,$O$7:$O$406,"&lt;="&amp;X$6,$P$7:$P$406,"&gt;="&amp;X$6,$R$7:$R$406,"No"))</ns0:f>
        <ns0:v>0</ns0:v>
      </ns0:c>
      <ns0:c r="Y79" t="n">
        <ns0:f>IF($A79="",0,COUNTIFS($J$7:$J$406,$A79,$O$7:$O$406,"&lt;="&amp;Y$6,$P$7:$P$406,"&gt;="&amp;Y$6,$R$7:$R$406,"No"))</ns0:f>
        <ns0:v>0</ns0:v>
      </ns0:c>
      <ns0:c r="Z79" t="n">
        <ns0:f>IF($A79="",0,COUNTIFS($J$7:$J$406,$A79,$O$7:$O$406,"&lt;="&amp;Z$6,$P$7:$P$406,"&gt;="&amp;Z$6,$R$7:$R$406,"No"))</ns0:f>
        <ns0:v>0</ns0:v>
      </ns0:c>
      <ns0:c r="AA79" t="n">
        <ns0:f>IF($A79="",0,COUNTIFS($J$7:$J$406,$A79,$O$7:$O$406,"&lt;="&amp;AA$6,$P$7:$P$406,"&gt;="&amp;AA$6,$R$7:$R$406,"No"))</ns0:f>
        <ns0:v>0</ns0:v>
      </ns0:c>
      <ns0:c r="AB79" t="n">
        <ns0:f>IF($A79="",0,COUNTIFS($J$7:$J$406,$A79,$O$7:$O$406,"&lt;="&amp;AB$6,$P$7:$P$406,"&gt;="&amp;AB$6,$R$7:$R$406,"No"))</ns0:f>
        <ns0:v>0</ns0:v>
      </ns0:c>
      <ns0:c r="AC79" t="n">
        <ns0:f>IF($A79="",0,COUNTIFS($J$7:$J$406,$A79,$O$7:$O$406,"&lt;="&amp;AC$6,$P$7:$P$406,"&gt;="&amp;AC$6,$R$7:$R$406,"No"))</ns0:f>
        <ns0:v>0</ns0:v>
      </ns0:c>
      <ns0:c r="AD79" t="n">
        <ns0:f>IF($A79="",0,COUNTIFS($J$7:$J$406,$A79,$O$7:$O$406,"&lt;="&amp;AD$6,$P$7:$P$406,"&gt;="&amp;AD$6,$R$7:$R$406,"No"))</ns0:f>
        <ns0:v>0</ns0:v>
      </ns0:c>
      <ns0:c r="AE79" t="n">
        <ns0:f>IF($A79="",0,COUNTIFS($J$7:$J$406,$A79,$O$7:$O$406,"&lt;="&amp;AE$6,$P$7:$P$406,"&gt;="&amp;AE$6,$R$7:$R$406,"No"))</ns0:f>
        <ns0:v>0</ns0:v>
      </ns0:c>
      <ns0:c r="AF79" t="n">
        <ns0:f>IF($A79="",0,COUNTIFS($J$7:$J$406,$A79,$O$7:$O$406,"&lt;="&amp;AF$6,$P$7:$P$406,"&gt;="&amp;AF$6,$R$7:$R$406,"No"))</ns0:f>
        <ns0:v>0</ns0:v>
      </ns0:c>
      <ns0:c r="AG79" t="n">
        <ns0:f>IF($A79="",0,COUNTIFS($J$7:$J$406,$A79,$O$7:$O$406,"&lt;="&amp;AG$6,$P$7:$P$406,"&gt;="&amp;AG$6,$R$7:$R$406,"No"))</ns0:f>
        <ns0:v>0</ns0:v>
      </ns0:c>
      <ns0:c r="AH79" t="n">
        <ns0:f>IF($A79="",0,COUNTIFS($J$7:$J$406,$A79,$O$7:$O$406,"&lt;="&amp;AH$6,$P$7:$P$406,"&gt;="&amp;AH$6,$R$7:$R$406,"No"))</ns0:f>
        <ns0:v>0</ns0:v>
      </ns0:c>
      <ns0:c r="AI79" t="n">
        <ns0:f>IF($A79="",0,COUNTIFS($J$7:$J$406,$A79,$O$7:$O$406,"&lt;="&amp;AI$6,$P$7:$P$406,"&gt;="&amp;AI$6,$R$7:$R$406,"No"))</ns0:f>
        <ns0:v>0</ns0:v>
      </ns0:c>
      <ns0:c r="AJ79" t="n">
        <ns0:f>IF($A79="",0,COUNTIFS($J$7:$J$406,$A79,$O$7:$O$406,"&lt;="&amp;AJ$6,$P$7:$P$406,"&gt;="&amp;AJ$6,$R$7:$R$406,"No"))</ns0:f>
        <ns0:v>0</ns0:v>
      </ns0:c>
      <ns0:c r="AK79" t="n">
        <ns0:f>IF($A79="",0,COUNTIFS($J$7:$J$406,$A79,$O$7:$O$406,"&lt;="&amp;AK$6,$P$7:$P$406,"&gt;="&amp;AK$6,$R$7:$R$406,"No"))</ns0:f>
        <ns0:v>0</ns0:v>
      </ns0:c>
      <ns0:c r="AL79" t="n">
        <ns0:f>IF($A79="",0,COUNTIFS($J$7:$J$406,$A79,$O$7:$O$406,"&lt;="&amp;AL$6,$P$7:$P$406,"&gt;="&amp;AL$6,$R$7:$R$406,"No"))</ns0:f>
        <ns0:v>0</ns0:v>
      </ns0:c>
      <ns0:c r="AM79" t="n">
        <ns0:f>IF($A79="",0,COUNTIFS($J$7:$J$406,$A79,$O$7:$O$406,"&lt;="&amp;AM$6,$P$7:$P$406,"&gt;="&amp;AM$6,$R$7:$R$406,"No"))</ns0:f>
        <ns0:v>0</ns0:v>
      </ns0:c>
      <ns0:c r="AN79" t="n">
        <ns0:f>IF($A79="",0,COUNTIFS($J$7:$J$406,$A79,$O$7:$O$406,"&lt;="&amp;AN$6,$P$7:$P$406,"&gt;="&amp;AN$6,$R$7:$R$406,"No"))</ns0:f>
        <ns0:v>0</ns0:v>
      </ns0:c>
      <ns0:c r="AO79" t="n">
        <ns0:f>IF($A79="",0,COUNTIFS($J$7:$J$406,$A79,$O$7:$O$406,"&lt;="&amp;AO$6,$P$7:$P$406,"&gt;="&amp;AO$6,$R$7:$R$406,"No"))</ns0:f>
        <ns0:v>0</ns0:v>
      </ns0:c>
      <ns0:c r="AP79" t="n">
        <ns0:f>IF($A79="",0,COUNTIFS($J$7:$J$406,$A79,$O$7:$O$406,"&lt;="&amp;AP$6,$P$7:$P$406,"&gt;="&amp;AP$6,$R$7:$R$406,"No"))</ns0:f>
        <ns0:v>0</ns0:v>
      </ns0:c>
      <ns0:c r="AQ79" t="n">
        <ns0:f>IF($A79="",0,COUNTIFS($J$7:$J$406,$A79,$O$7:$O$406,"&lt;="&amp;AQ$6,$P$7:$P$406,"&gt;="&amp;AQ$6,$R$7:$R$406,"No"))</ns0:f>
        <ns0:v>0</ns0:v>
      </ns0:c>
      <ns0:c r="AR79" t="n">
        <ns0:f>IF($A79="",0,COUNTIFS($J$7:$J$406,$A79,$O$7:$O$406,"&lt;="&amp;AR$6,$P$7:$P$406,"&gt;="&amp;AR$6,$R$7:$R$406,"No"))</ns0:f>
        <ns0:v>0</ns0:v>
      </ns0:c>
      <ns0:c r="AS79" t="n">
        <ns0:f>IF($A79="",0,COUNTIFS($J$7:$J$406,$A79,$O$7:$O$406,"&lt;="&amp;AS$6,$P$7:$P$406,"&gt;="&amp;AS$6,$R$7:$R$406,"No"))</ns0:f>
        <ns0:v>0</ns0:v>
      </ns0:c>
      <ns0:c r="AT79" t="n">
        <ns0:f>IF($A79="",0,COUNTIFS($J$7:$J$406,$A79,$O$7:$O$406,"&lt;="&amp;AT$6,$P$7:$P$406,"&gt;="&amp;AT$6,$R$7:$R$406,"No"))</ns0:f>
        <ns0:v>0</ns0:v>
      </ns0:c>
      <ns0:c r="AU79" t="n">
        <ns0:f>IF($A79="",0,COUNTIFS($J$7:$J$406,$A79,$O$7:$O$406,"&lt;="&amp;AU$6,$P$7:$P$406,"&gt;="&amp;AU$6,$R$7:$R$406,"No"))</ns0:f>
        <ns0:v>0</ns0:v>
      </ns0:c>
      <ns0:c r="AV79" t="n">
        <ns0:f>IF($A79="",0,COUNTIFS($J$7:$J$406,$A79,$O$7:$O$406,"&lt;="&amp;AV$6,$P$7:$P$406,"&gt;="&amp;AV$6,$R$7:$R$406,"No"))</ns0:f>
        <ns0:v>0</ns0:v>
      </ns0:c>
      <ns0:c r="AW79" t="n">
        <ns0:f>IF($A79="",0,COUNTIFS($J$7:$J$406,$A79,$O$7:$O$406,"&lt;="&amp;AW$6,$P$7:$P$406,"&gt;="&amp;AW$6,$R$7:$R$406,"No"))</ns0:f>
        <ns0:v>0</ns0:v>
      </ns0:c>
      <ns0:c r="AX79" t="n">
        <ns0:f>IF($A79="",0,COUNTIFS($J$7:$J$406,$A79,$O$7:$O$406,"&lt;="&amp;AX$6,$P$7:$P$406,"&gt;="&amp;AX$6,$R$7:$R$406,"No"))</ns0:f>
        <ns0:v>0</ns0:v>
      </ns0:c>
      <ns0:c r="AY79" t="n">
        <ns0:f>IF($A79="",0,COUNTIFS($J$7:$J$406,$A79,$O$7:$O$406,"&lt;="&amp;AY$6,$P$7:$P$406,"&gt;="&amp;AY$6,$R$7:$R$406,"No"))</ns0:f>
        <ns0:v>0</ns0:v>
      </ns0:c>
      <ns0:c r="AZ79" t="n">
        <ns0:f>IF($A79="",0,COUNTIFS($J$7:$J$406,$A79,$O$7:$O$406,"&lt;="&amp;AZ$6,$P$7:$P$406,"&gt;="&amp;AZ$6,$R$7:$R$406,"No"))</ns0:f>
        <ns0:v>0</ns0:v>
      </ns0:c>
      <ns0:c r="BA79" t="n">
        <ns0:f>IF($A79="",0,COUNTIFS($J$7:$J$406,$A79,$O$7:$O$406,"&lt;="&amp;BA$6,$P$7:$P$406,"&gt;="&amp;BA$6,$R$7:$R$406,"No"))</ns0:f>
        <ns0:v>0</ns0:v>
      </ns0:c>
      <ns0:c r="BB79" t="n">
        <ns0:f>IF($A79="",0,COUNTIFS($J$7:$J$406,$A79,$O$7:$O$406,"&lt;="&amp;BB$6,$P$7:$P$406,"&gt;="&amp;BB$6,$R$7:$R$406,"No"))</ns0:f>
        <ns0:v>0</ns0:v>
      </ns0:c>
      <ns0:c r="BC79" t="n">
        <ns0:f>IF($A79="",0,COUNTIFS($J$7:$J$406,$A79,$O$7:$O$406,"&lt;="&amp;BC$6,$P$7:$P$406,"&gt;="&amp;BC$6,$R$7:$R$406,"No"))</ns0:f>
        <ns0:v>0</ns0:v>
      </ns0:c>
    </ns0:row>
    <ns0:row r="80" ht="48" customHeight="1">
      <ns0:c r="A80" s="8" t="str">
        <ns0:f>IF(ROW()-6&gt;MAX($K$7:$K$406),"",INDEX($J$7:$J$406,MATCH(ROW()-6,$K$7:$K$406,0)))</ns0:f>
      </ns0:c>
      <ns0:c r="B80" s="8" t="str">
        <ns0:f>IF(A80="","",COUNTIFS($J$7:$J$406,$A80))</ns0:f>
      </ns0:c>
      <ns0:c r="C80" s="8" t="str">
        <ns0:f>IF(A80="","",COUNTIFS($J$7:$J$406,$A80,$N$7:$N$406,1))</ns0:f>
      </ns0:c>
      <ns0:c r="D80" s="8" t="str">
        <ns0:f>IF(A80="","",COUNTIFS($J$7:$J$406,$A80,$Q$7:$Q$406,"In Progress"))</ns0:f>
      </ns0:c>
      <ns0:c r="E80" s="8" t="str">
        <ns0:f>IF(A80="","",B80-C80)</ns0:f>
      </ns0:c>
      <ns0:c r="F80" s="19" t="str">
        <ns0:f>IF(A80="","",SUMIFS($N$7:$N$406,$J$7:$J$406,$A80)/B80)</ns0:f>
      </ns0:c>
      <ns0:c r="G80" s="8" t="str">
        <ns0:f>IF(A80="","",COUNTIFS(V80:BC80,"&gt;1"))</ns0:f>
      </ns0:c>
      <ns0:c r="H80" s="8" t="str">
        <ns0:f>IF(A80="","",IF(COUNTIFS($T$7:$T$33,A80)&gt;0,INDEX($U$7:$U$33,MATCH(A80,$T$7:$T$33,0)),"No capacity or responsibility detail supplied."))</ns0:f>
      </ns0:c>
      <ns0:c r="J80" t="str">
        <ns0:f>IF('Project Tracker'!A25="","",TRIM(MID(SUBSTITUTE('Project Tracker'!K25,";",REPT(" ",150)),151,150)))</ns0:f>
        <ns0:v>Product / Evidence Engine (W_PROD)</ns0:v>
      </ns0:c>
      <ns0:c r="K80" t="n">
        <ns0:f>IF(J80="","",IF(COUNTIFS($J$7:J80,J80)=1,MAX($K$6:K79)+1,""))</ns0:f>
        <ns0:v>16</ns0:v>
      </ns0:c>
      <ns0:c r="L80" t="n">
        <ns0:f>IF(A80="",0,B80+(107-ROW())/1000)</ns0:f>
        <ns0:v>0</ns0:v>
      </ns0:c>
      <ns0:c r="M80" t="str">
        <ns0:f>IF(J80="","",'Project Tracker'!A25)</ns0:f>
        <ns0:v>T16</ns0:v>
      </ns0:c>
      <ns0:c r="N80" t="n">
        <ns0:f>IF(J80="","",'Project Tracker'!N25)</ns0:f>
        <ns0:v>0</ns0:v>
      </ns0:c>
      <ns0:c r="O80" t="n">
        <ns0:f>IF(J80="","",'Project Tracker'!E25)</ns0:f>
        <ns0:v>46285</ns0:v>
      </ns0:c>
      <ns0:c r="P80" t="n">
        <ns0:f>IF(J80="","",'Project Tracker'!F25)</ns0:f>
        <ns0:v>46286</ns0:v>
      </ns0:c>
      <ns0:c r="Q80" t="str">
        <ns0:f>IF(J80="","",'Project Tracker'!Q25)</ns0:f>
        <ns0:v>Not Started</ns0:v>
      </ns0:c>
      <ns0:c r="R80" t="str">
        <ns0:f>IF(J80="","",'Project Tracker'!J25)</ns0:f>
        <ns0:v>No</ns0:v>
      </ns0:c>
      <ns0:c r="V80" t="n">
        <ns0:f>IF($A80="",0,COUNTIFS($J$7:$J$406,$A80,$O$7:$O$406,"&lt;="&amp;V$6,$P$7:$P$406,"&gt;="&amp;V$6,$R$7:$R$406,"No"))</ns0:f>
        <ns0:v>0</ns0:v>
      </ns0:c>
      <ns0:c r="W80" t="n">
        <ns0:f>IF($A80="",0,COUNTIFS($J$7:$J$406,$A80,$O$7:$O$406,"&lt;="&amp;W$6,$P$7:$P$406,"&gt;="&amp;W$6,$R$7:$R$406,"No"))</ns0:f>
        <ns0:v>0</ns0:v>
      </ns0:c>
      <ns0:c r="X80" t="n">
        <ns0:f>IF($A80="",0,COUNTIFS($J$7:$J$406,$A80,$O$7:$O$406,"&lt;="&amp;X$6,$P$7:$P$406,"&gt;="&amp;X$6,$R$7:$R$406,"No"))</ns0:f>
        <ns0:v>0</ns0:v>
      </ns0:c>
      <ns0:c r="Y80" t="n">
        <ns0:f>IF($A80="",0,COUNTIFS($J$7:$J$406,$A80,$O$7:$O$406,"&lt;="&amp;Y$6,$P$7:$P$406,"&gt;="&amp;Y$6,$R$7:$R$406,"No"))</ns0:f>
        <ns0:v>0</ns0:v>
      </ns0:c>
      <ns0:c r="Z80" t="n">
        <ns0:f>IF($A80="",0,COUNTIFS($J$7:$J$406,$A80,$O$7:$O$406,"&lt;="&amp;Z$6,$P$7:$P$406,"&gt;="&amp;Z$6,$R$7:$R$406,"No"))</ns0:f>
        <ns0:v>0</ns0:v>
      </ns0:c>
      <ns0:c r="AA80" t="n">
        <ns0:f>IF($A80="",0,COUNTIFS($J$7:$J$406,$A80,$O$7:$O$406,"&lt;="&amp;AA$6,$P$7:$P$406,"&gt;="&amp;AA$6,$R$7:$R$406,"No"))</ns0:f>
        <ns0:v>0</ns0:v>
      </ns0:c>
      <ns0:c r="AB80" t="n">
        <ns0:f>IF($A80="",0,COUNTIFS($J$7:$J$406,$A80,$O$7:$O$406,"&lt;="&amp;AB$6,$P$7:$P$406,"&gt;="&amp;AB$6,$R$7:$R$406,"No"))</ns0:f>
        <ns0:v>0</ns0:v>
      </ns0:c>
      <ns0:c r="AC80" t="n">
        <ns0:f>IF($A80="",0,COUNTIFS($J$7:$J$406,$A80,$O$7:$O$406,"&lt;="&amp;AC$6,$P$7:$P$406,"&gt;="&amp;AC$6,$R$7:$R$406,"No"))</ns0:f>
        <ns0:v>0</ns0:v>
      </ns0:c>
      <ns0:c r="AD80" t="n">
        <ns0:f>IF($A80="",0,COUNTIFS($J$7:$J$406,$A80,$O$7:$O$406,"&lt;="&amp;AD$6,$P$7:$P$406,"&gt;="&amp;AD$6,$R$7:$R$406,"No"))</ns0:f>
        <ns0:v>0</ns0:v>
      </ns0:c>
      <ns0:c r="AE80" t="n">
        <ns0:f>IF($A80="",0,COUNTIFS($J$7:$J$406,$A80,$O$7:$O$406,"&lt;="&amp;AE$6,$P$7:$P$406,"&gt;="&amp;AE$6,$R$7:$R$406,"No"))</ns0:f>
        <ns0:v>0</ns0:v>
      </ns0:c>
      <ns0:c r="AF80" t="n">
        <ns0:f>IF($A80="",0,COUNTIFS($J$7:$J$406,$A80,$O$7:$O$406,"&lt;="&amp;AF$6,$P$7:$P$406,"&gt;="&amp;AF$6,$R$7:$R$406,"No"))</ns0:f>
        <ns0:v>0</ns0:v>
      </ns0:c>
      <ns0:c r="AG80" t="n">
        <ns0:f>IF($A80="",0,COUNTIFS($J$7:$J$406,$A80,$O$7:$O$406,"&lt;="&amp;AG$6,$P$7:$P$406,"&gt;="&amp;AG$6,$R$7:$R$406,"No"))</ns0:f>
        <ns0:v>0</ns0:v>
      </ns0:c>
      <ns0:c r="AH80" t="n">
        <ns0:f>IF($A80="",0,COUNTIFS($J$7:$J$406,$A80,$O$7:$O$406,"&lt;="&amp;AH$6,$P$7:$P$406,"&gt;="&amp;AH$6,$R$7:$R$406,"No"))</ns0:f>
        <ns0:v>0</ns0:v>
      </ns0:c>
      <ns0:c r="AI80" t="n">
        <ns0:f>IF($A80="",0,COUNTIFS($J$7:$J$406,$A80,$O$7:$O$406,"&lt;="&amp;AI$6,$P$7:$P$406,"&gt;="&amp;AI$6,$R$7:$R$406,"No"))</ns0:f>
        <ns0:v>0</ns0:v>
      </ns0:c>
      <ns0:c r="AJ80" t="n">
        <ns0:f>IF($A80="",0,COUNTIFS($J$7:$J$406,$A80,$O$7:$O$406,"&lt;="&amp;AJ$6,$P$7:$P$406,"&gt;="&amp;AJ$6,$R$7:$R$406,"No"))</ns0:f>
        <ns0:v>0</ns0:v>
      </ns0:c>
      <ns0:c r="AK80" t="n">
        <ns0:f>IF($A80="",0,COUNTIFS($J$7:$J$406,$A80,$O$7:$O$406,"&lt;="&amp;AK$6,$P$7:$P$406,"&gt;="&amp;AK$6,$R$7:$R$406,"No"))</ns0:f>
        <ns0:v>0</ns0:v>
      </ns0:c>
      <ns0:c r="AL80" t="n">
        <ns0:f>IF($A80="",0,COUNTIFS($J$7:$J$406,$A80,$O$7:$O$406,"&lt;="&amp;AL$6,$P$7:$P$406,"&gt;="&amp;AL$6,$R$7:$R$406,"No"))</ns0:f>
        <ns0:v>0</ns0:v>
      </ns0:c>
      <ns0:c r="AM80" t="n">
        <ns0:f>IF($A80="",0,COUNTIFS($J$7:$J$406,$A80,$O$7:$O$406,"&lt;="&amp;AM$6,$P$7:$P$406,"&gt;="&amp;AM$6,$R$7:$R$406,"No"))</ns0:f>
        <ns0:v>0</ns0:v>
      </ns0:c>
      <ns0:c r="AN80" t="n">
        <ns0:f>IF($A80="",0,COUNTIFS($J$7:$J$406,$A80,$O$7:$O$406,"&lt;="&amp;AN$6,$P$7:$P$406,"&gt;="&amp;AN$6,$R$7:$R$406,"No"))</ns0:f>
        <ns0:v>0</ns0:v>
      </ns0:c>
      <ns0:c r="AO80" t="n">
        <ns0:f>IF($A80="",0,COUNTIFS($J$7:$J$406,$A80,$O$7:$O$406,"&lt;="&amp;AO$6,$P$7:$P$406,"&gt;="&amp;AO$6,$R$7:$R$406,"No"))</ns0:f>
        <ns0:v>0</ns0:v>
      </ns0:c>
      <ns0:c r="AP80" t="n">
        <ns0:f>IF($A80="",0,COUNTIFS($J$7:$J$406,$A80,$O$7:$O$406,"&lt;="&amp;AP$6,$P$7:$P$406,"&gt;="&amp;AP$6,$R$7:$R$406,"No"))</ns0:f>
        <ns0:v>0</ns0:v>
      </ns0:c>
      <ns0:c r="AQ80" t="n">
        <ns0:f>IF($A80="",0,COUNTIFS($J$7:$J$406,$A80,$O$7:$O$406,"&lt;="&amp;AQ$6,$P$7:$P$406,"&gt;="&amp;AQ$6,$R$7:$R$406,"No"))</ns0:f>
        <ns0:v>0</ns0:v>
      </ns0:c>
      <ns0:c r="AR80" t="n">
        <ns0:f>IF($A80="",0,COUNTIFS($J$7:$J$406,$A80,$O$7:$O$406,"&lt;="&amp;AR$6,$P$7:$P$406,"&gt;="&amp;AR$6,$R$7:$R$406,"No"))</ns0:f>
        <ns0:v>0</ns0:v>
      </ns0:c>
      <ns0:c r="AS80" t="n">
        <ns0:f>IF($A80="",0,COUNTIFS($J$7:$J$406,$A80,$O$7:$O$406,"&lt;="&amp;AS$6,$P$7:$P$406,"&gt;="&amp;AS$6,$R$7:$R$406,"No"))</ns0:f>
        <ns0:v>0</ns0:v>
      </ns0:c>
      <ns0:c r="AT80" t="n">
        <ns0:f>IF($A80="",0,COUNTIFS($J$7:$J$406,$A80,$O$7:$O$406,"&lt;="&amp;AT$6,$P$7:$P$406,"&gt;="&amp;AT$6,$R$7:$R$406,"No"))</ns0:f>
        <ns0:v>0</ns0:v>
      </ns0:c>
      <ns0:c r="AU80" t="n">
        <ns0:f>IF($A80="",0,COUNTIFS($J$7:$J$406,$A80,$O$7:$O$406,"&lt;="&amp;AU$6,$P$7:$P$406,"&gt;="&amp;AU$6,$R$7:$R$406,"No"))</ns0:f>
        <ns0:v>0</ns0:v>
      </ns0:c>
      <ns0:c r="AV80" t="n">
        <ns0:f>IF($A80="",0,COUNTIFS($J$7:$J$406,$A80,$O$7:$O$406,"&lt;="&amp;AV$6,$P$7:$P$406,"&gt;="&amp;AV$6,$R$7:$R$406,"No"))</ns0:f>
        <ns0:v>0</ns0:v>
      </ns0:c>
      <ns0:c r="AW80" t="n">
        <ns0:f>IF($A80="",0,COUNTIFS($J$7:$J$406,$A80,$O$7:$O$406,"&lt;="&amp;AW$6,$P$7:$P$406,"&gt;="&amp;AW$6,$R$7:$R$406,"No"))</ns0:f>
        <ns0:v>0</ns0:v>
      </ns0:c>
      <ns0:c r="AX80" t="n">
        <ns0:f>IF($A80="",0,COUNTIFS($J$7:$J$406,$A80,$O$7:$O$406,"&lt;="&amp;AX$6,$P$7:$P$406,"&gt;="&amp;AX$6,$R$7:$R$406,"No"))</ns0:f>
        <ns0:v>0</ns0:v>
      </ns0:c>
      <ns0:c r="AY80" t="n">
        <ns0:f>IF($A80="",0,COUNTIFS($J$7:$J$406,$A80,$O$7:$O$406,"&lt;="&amp;AY$6,$P$7:$P$406,"&gt;="&amp;AY$6,$R$7:$R$406,"No"))</ns0:f>
        <ns0:v>0</ns0:v>
      </ns0:c>
      <ns0:c r="AZ80" t="n">
        <ns0:f>IF($A80="",0,COUNTIFS($J$7:$J$406,$A80,$O$7:$O$406,"&lt;="&amp;AZ$6,$P$7:$P$406,"&gt;="&amp;AZ$6,$R$7:$R$406,"No"))</ns0:f>
        <ns0:v>0</ns0:v>
      </ns0:c>
      <ns0:c r="BA80" t="n">
        <ns0:f>IF($A80="",0,COUNTIFS($J$7:$J$406,$A80,$O$7:$O$406,"&lt;="&amp;BA$6,$P$7:$P$406,"&gt;="&amp;BA$6,$R$7:$R$406,"No"))</ns0:f>
        <ns0:v>0</ns0:v>
      </ns0:c>
      <ns0:c r="BB80" t="n">
        <ns0:f>IF($A80="",0,COUNTIFS($J$7:$J$406,$A80,$O$7:$O$406,"&lt;="&amp;BB$6,$P$7:$P$406,"&gt;="&amp;BB$6,$R$7:$R$406,"No"))</ns0:f>
        <ns0:v>0</ns0:v>
      </ns0:c>
      <ns0:c r="BC80" t="n">
        <ns0:f>IF($A80="",0,COUNTIFS($J$7:$J$406,$A80,$O$7:$O$406,"&lt;="&amp;BC$6,$P$7:$P$406,"&gt;="&amp;BC$6,$R$7:$R$406,"No"))</ns0:f>
        <ns0:v>0</ns0:v>
      </ns0:c>
    </ns0:row>
    <ns0:row r="81" ht="48" customHeight="1">
      <ns0:c r="A81" s="8" t="str">
        <ns0:f>IF(ROW()-6&gt;MAX($K$7:$K$406),"",INDEX($J$7:$J$406,MATCH(ROW()-6,$K$7:$K$406,0)))</ns0:f>
      </ns0:c>
      <ns0:c r="B81" s="8" t="str">
        <ns0:f>IF(A81="","",COUNTIFS($J$7:$J$406,$A81))</ns0:f>
      </ns0:c>
      <ns0:c r="C81" s="8" t="str">
        <ns0:f>IF(A81="","",COUNTIFS($J$7:$J$406,$A81,$N$7:$N$406,1))</ns0:f>
      </ns0:c>
      <ns0:c r="D81" s="8" t="str">
        <ns0:f>IF(A81="","",COUNTIFS($J$7:$J$406,$A81,$Q$7:$Q$406,"In Progress"))</ns0:f>
      </ns0:c>
      <ns0:c r="E81" s="8" t="str">
        <ns0:f>IF(A81="","",B81-C81)</ns0:f>
      </ns0:c>
      <ns0:c r="F81" s="19" t="str">
        <ns0:f>IF(A81="","",SUMIFS($N$7:$N$406,$J$7:$J$406,$A81)/B81)</ns0:f>
      </ns0:c>
      <ns0:c r="G81" s="8" t="str">
        <ns0:f>IF(A81="","",COUNTIFS(V81:BC81,"&gt;1"))</ns0:f>
      </ns0:c>
      <ns0:c r="H81" s="8" t="str">
        <ns0:f>IF(A81="","",IF(COUNTIFS($T$7:$T$33,A81)&gt;0,INDEX($U$7:$U$33,MATCH(A81,$T$7:$T$33,0)),"No capacity or responsibility detail supplied."))</ns0:f>
      </ns0:c>
      <ns0:c r="J81" t="str">
        <ns0:f>IF('Project Tracker'!A25="","",TRIM(MID(SUBSTITUTE('Project Tracker'!K25,";",REPT(" ",150)),301,150)))</ns0:f>
      </ns0:c>
      <ns0:c r="K81" t="str">
        <ns0:f>IF(J81="","",IF(COUNTIFS($J$7:J81,J81)=1,MAX($K$6:K80)+1,""))</ns0:f>
      </ns0:c>
      <ns0:c r="L81" t="n">
        <ns0:f>IF(A81="",0,B81+(107-ROW())/1000)</ns0:f>
        <ns0:v>0</ns0:v>
      </ns0:c>
      <ns0:c r="M81" t="str">
        <ns0:f>IF(J81="","",'Project Tracker'!A25)</ns0:f>
      </ns0:c>
      <ns0:c r="N81" t="str">
        <ns0:f>IF(J81="","",'Project Tracker'!N25)</ns0:f>
      </ns0:c>
      <ns0:c r="O81" t="str">
        <ns0:f>IF(J81="","",'Project Tracker'!E25)</ns0:f>
      </ns0:c>
      <ns0:c r="P81" t="str">
        <ns0:f>IF(J81="","",'Project Tracker'!F25)</ns0:f>
      </ns0:c>
      <ns0:c r="Q81" t="str">
        <ns0:f>IF(J81="","",'Project Tracker'!Q25)</ns0:f>
      </ns0:c>
      <ns0:c r="R81" t="str">
        <ns0:f>IF(J81="","",'Project Tracker'!J25)</ns0:f>
      </ns0:c>
      <ns0:c r="V81" t="n">
        <ns0:f>IF($A81="",0,COUNTIFS($J$7:$J$406,$A81,$O$7:$O$406,"&lt;="&amp;V$6,$P$7:$P$406,"&gt;="&amp;V$6,$R$7:$R$406,"No"))</ns0:f>
        <ns0:v>0</ns0:v>
      </ns0:c>
      <ns0:c r="W81" t="n">
        <ns0:f>IF($A81="",0,COUNTIFS($J$7:$J$406,$A81,$O$7:$O$406,"&lt;="&amp;W$6,$P$7:$P$406,"&gt;="&amp;W$6,$R$7:$R$406,"No"))</ns0:f>
        <ns0:v>0</ns0:v>
      </ns0:c>
      <ns0:c r="X81" t="n">
        <ns0:f>IF($A81="",0,COUNTIFS($J$7:$J$406,$A81,$O$7:$O$406,"&lt;="&amp;X$6,$P$7:$P$406,"&gt;="&amp;X$6,$R$7:$R$406,"No"))</ns0:f>
        <ns0:v>0</ns0:v>
      </ns0:c>
      <ns0:c r="Y81" t="n">
        <ns0:f>IF($A81="",0,COUNTIFS($J$7:$J$406,$A81,$O$7:$O$406,"&lt;="&amp;Y$6,$P$7:$P$406,"&gt;="&amp;Y$6,$R$7:$R$406,"No"))</ns0:f>
        <ns0:v>0</ns0:v>
      </ns0:c>
      <ns0:c r="Z81" t="n">
        <ns0:f>IF($A81="",0,COUNTIFS($J$7:$J$406,$A81,$O$7:$O$406,"&lt;="&amp;Z$6,$P$7:$P$406,"&gt;="&amp;Z$6,$R$7:$R$406,"No"))</ns0:f>
        <ns0:v>0</ns0:v>
      </ns0:c>
      <ns0:c r="AA81" t="n">
        <ns0:f>IF($A81="",0,COUNTIFS($J$7:$J$406,$A81,$O$7:$O$406,"&lt;="&amp;AA$6,$P$7:$P$406,"&gt;="&amp;AA$6,$R$7:$R$406,"No"))</ns0:f>
        <ns0:v>0</ns0:v>
      </ns0:c>
      <ns0:c r="AB81" t="n">
        <ns0:f>IF($A81="",0,COUNTIFS($J$7:$J$406,$A81,$O$7:$O$406,"&lt;="&amp;AB$6,$P$7:$P$406,"&gt;="&amp;AB$6,$R$7:$R$406,"No"))</ns0:f>
        <ns0:v>0</ns0:v>
      </ns0:c>
      <ns0:c r="AC81" t="n">
        <ns0:f>IF($A81="",0,COUNTIFS($J$7:$J$406,$A81,$O$7:$O$406,"&lt;="&amp;AC$6,$P$7:$P$406,"&gt;="&amp;AC$6,$R$7:$R$406,"No"))</ns0:f>
        <ns0:v>0</ns0:v>
      </ns0:c>
      <ns0:c r="AD81" t="n">
        <ns0:f>IF($A81="",0,COUNTIFS($J$7:$J$406,$A81,$O$7:$O$406,"&lt;="&amp;AD$6,$P$7:$P$406,"&gt;="&amp;AD$6,$R$7:$R$406,"No"))</ns0:f>
        <ns0:v>0</ns0:v>
      </ns0:c>
      <ns0:c r="AE81" t="n">
        <ns0:f>IF($A81="",0,COUNTIFS($J$7:$J$406,$A81,$O$7:$O$406,"&lt;="&amp;AE$6,$P$7:$P$406,"&gt;="&amp;AE$6,$R$7:$R$406,"No"))</ns0:f>
        <ns0:v>0</ns0:v>
      </ns0:c>
      <ns0:c r="AF81" t="n">
        <ns0:f>IF($A81="",0,COUNTIFS($J$7:$J$406,$A81,$O$7:$O$406,"&lt;="&amp;AF$6,$P$7:$P$406,"&gt;="&amp;AF$6,$R$7:$R$406,"No"))</ns0:f>
        <ns0:v>0</ns0:v>
      </ns0:c>
      <ns0:c r="AG81" t="n">
        <ns0:f>IF($A81="",0,COUNTIFS($J$7:$J$406,$A81,$O$7:$O$406,"&lt;="&amp;AG$6,$P$7:$P$406,"&gt;="&amp;AG$6,$R$7:$R$406,"No"))</ns0:f>
        <ns0:v>0</ns0:v>
      </ns0:c>
      <ns0:c r="AH81" t="n">
        <ns0:f>IF($A81="",0,COUNTIFS($J$7:$J$406,$A81,$O$7:$O$406,"&lt;="&amp;AH$6,$P$7:$P$406,"&gt;="&amp;AH$6,$R$7:$R$406,"No"))</ns0:f>
        <ns0:v>0</ns0:v>
      </ns0:c>
      <ns0:c r="AI81" t="n">
        <ns0:f>IF($A81="",0,COUNTIFS($J$7:$J$406,$A81,$O$7:$O$406,"&lt;="&amp;AI$6,$P$7:$P$406,"&gt;="&amp;AI$6,$R$7:$R$406,"No"))</ns0:f>
        <ns0:v>0</ns0:v>
      </ns0:c>
      <ns0:c r="AJ81" t="n">
        <ns0:f>IF($A81="",0,COUNTIFS($J$7:$J$406,$A81,$O$7:$O$406,"&lt;="&amp;AJ$6,$P$7:$P$406,"&gt;="&amp;AJ$6,$R$7:$R$406,"No"))</ns0:f>
        <ns0:v>0</ns0:v>
      </ns0:c>
      <ns0:c r="AK81" t="n">
        <ns0:f>IF($A81="",0,COUNTIFS($J$7:$J$406,$A81,$O$7:$O$406,"&lt;="&amp;AK$6,$P$7:$P$406,"&gt;="&amp;AK$6,$R$7:$R$406,"No"))</ns0:f>
        <ns0:v>0</ns0:v>
      </ns0:c>
      <ns0:c r="AL81" t="n">
        <ns0:f>IF($A81="",0,COUNTIFS($J$7:$J$406,$A81,$O$7:$O$406,"&lt;="&amp;AL$6,$P$7:$P$406,"&gt;="&amp;AL$6,$R$7:$R$406,"No"))</ns0:f>
        <ns0:v>0</ns0:v>
      </ns0:c>
      <ns0:c r="AM81" t="n">
        <ns0:f>IF($A81="",0,COUNTIFS($J$7:$J$406,$A81,$O$7:$O$406,"&lt;="&amp;AM$6,$P$7:$P$406,"&gt;="&amp;AM$6,$R$7:$R$406,"No"))</ns0:f>
        <ns0:v>0</ns0:v>
      </ns0:c>
      <ns0:c r="AN81" t="n">
        <ns0:f>IF($A81="",0,COUNTIFS($J$7:$J$406,$A81,$O$7:$O$406,"&lt;="&amp;AN$6,$P$7:$P$406,"&gt;="&amp;AN$6,$R$7:$R$406,"No"))</ns0:f>
        <ns0:v>0</ns0:v>
      </ns0:c>
      <ns0:c r="AO81" t="n">
        <ns0:f>IF($A81="",0,COUNTIFS($J$7:$J$406,$A81,$O$7:$O$406,"&lt;="&amp;AO$6,$P$7:$P$406,"&gt;="&amp;AO$6,$R$7:$R$406,"No"))</ns0:f>
        <ns0:v>0</ns0:v>
      </ns0:c>
      <ns0:c r="AP81" t="n">
        <ns0:f>IF($A81="",0,COUNTIFS($J$7:$J$406,$A81,$O$7:$O$406,"&lt;="&amp;AP$6,$P$7:$P$406,"&gt;="&amp;AP$6,$R$7:$R$406,"No"))</ns0:f>
        <ns0:v>0</ns0:v>
      </ns0:c>
      <ns0:c r="AQ81" t="n">
        <ns0:f>IF($A81="",0,COUNTIFS($J$7:$J$406,$A81,$O$7:$O$406,"&lt;="&amp;AQ$6,$P$7:$P$406,"&gt;="&amp;AQ$6,$R$7:$R$406,"No"))</ns0:f>
        <ns0:v>0</ns0:v>
      </ns0:c>
      <ns0:c r="AR81" t="n">
        <ns0:f>IF($A81="",0,COUNTIFS($J$7:$J$406,$A81,$O$7:$O$406,"&lt;="&amp;AR$6,$P$7:$P$406,"&gt;="&amp;AR$6,$R$7:$R$406,"No"))</ns0:f>
        <ns0:v>0</ns0:v>
      </ns0:c>
      <ns0:c r="AS81" t="n">
        <ns0:f>IF($A81="",0,COUNTIFS($J$7:$J$406,$A81,$O$7:$O$406,"&lt;="&amp;AS$6,$P$7:$P$406,"&gt;="&amp;AS$6,$R$7:$R$406,"No"))</ns0:f>
        <ns0:v>0</ns0:v>
      </ns0:c>
      <ns0:c r="AT81" t="n">
        <ns0:f>IF($A81="",0,COUNTIFS($J$7:$J$406,$A81,$O$7:$O$406,"&lt;="&amp;AT$6,$P$7:$P$406,"&gt;="&amp;AT$6,$R$7:$R$406,"No"))</ns0:f>
        <ns0:v>0</ns0:v>
      </ns0:c>
      <ns0:c r="AU81" t="n">
        <ns0:f>IF($A81="",0,COUNTIFS($J$7:$J$406,$A81,$O$7:$O$406,"&lt;="&amp;AU$6,$P$7:$P$406,"&gt;="&amp;AU$6,$R$7:$R$406,"No"))</ns0:f>
        <ns0:v>0</ns0:v>
      </ns0:c>
      <ns0:c r="AV81" t="n">
        <ns0:f>IF($A81="",0,COUNTIFS($J$7:$J$406,$A81,$O$7:$O$406,"&lt;="&amp;AV$6,$P$7:$P$406,"&gt;="&amp;AV$6,$R$7:$R$406,"No"))</ns0:f>
        <ns0:v>0</ns0:v>
      </ns0:c>
      <ns0:c r="AW81" t="n">
        <ns0:f>IF($A81="",0,COUNTIFS($J$7:$J$406,$A81,$O$7:$O$406,"&lt;="&amp;AW$6,$P$7:$P$406,"&gt;="&amp;AW$6,$R$7:$R$406,"No"))</ns0:f>
        <ns0:v>0</ns0:v>
      </ns0:c>
      <ns0:c r="AX81" t="n">
        <ns0:f>IF($A81="",0,COUNTIFS($J$7:$J$406,$A81,$O$7:$O$406,"&lt;="&amp;AX$6,$P$7:$P$406,"&gt;="&amp;AX$6,$R$7:$R$406,"No"))</ns0:f>
        <ns0:v>0</ns0:v>
      </ns0:c>
      <ns0:c r="AY81" t="n">
        <ns0:f>IF($A81="",0,COUNTIFS($J$7:$J$406,$A81,$O$7:$O$406,"&lt;="&amp;AY$6,$P$7:$P$406,"&gt;="&amp;AY$6,$R$7:$R$406,"No"))</ns0:f>
        <ns0:v>0</ns0:v>
      </ns0:c>
      <ns0:c r="AZ81" t="n">
        <ns0:f>IF($A81="",0,COUNTIFS($J$7:$J$406,$A81,$O$7:$O$406,"&lt;="&amp;AZ$6,$P$7:$P$406,"&gt;="&amp;AZ$6,$R$7:$R$406,"No"))</ns0:f>
        <ns0:v>0</ns0:v>
      </ns0:c>
      <ns0:c r="BA81" t="n">
        <ns0:f>IF($A81="",0,COUNTIFS($J$7:$J$406,$A81,$O$7:$O$406,"&lt;="&amp;BA$6,$P$7:$P$406,"&gt;="&amp;BA$6,$R$7:$R$406,"No"))</ns0:f>
        <ns0:v>0</ns0:v>
      </ns0:c>
      <ns0:c r="BB81" t="n">
        <ns0:f>IF($A81="",0,COUNTIFS($J$7:$J$406,$A81,$O$7:$O$406,"&lt;="&amp;BB$6,$P$7:$P$406,"&gt;="&amp;BB$6,$R$7:$R$406,"No"))</ns0:f>
        <ns0:v>0</ns0:v>
      </ns0:c>
      <ns0:c r="BC81" t="n">
        <ns0:f>IF($A81="",0,COUNTIFS($J$7:$J$406,$A81,$O$7:$O$406,"&lt;="&amp;BC$6,$P$7:$P$406,"&gt;="&amp;BC$6,$R$7:$R$406,"No"))</ns0:f>
        <ns0:v>0</ns0:v>
      </ns0:c>
    </ns0:row>
    <ns0:row r="82" ht="48" customHeight="1">
      <ns0:c r="A82" s="8" t="str">
        <ns0:f>IF(ROW()-6&gt;MAX($K$7:$K$406),"",INDEX($J$7:$J$406,MATCH(ROW()-6,$K$7:$K$406,0)))</ns0:f>
      </ns0:c>
      <ns0:c r="B82" s="8" t="str">
        <ns0:f>IF(A82="","",COUNTIFS($J$7:$J$406,$A82))</ns0:f>
      </ns0:c>
      <ns0:c r="C82" s="8" t="str">
        <ns0:f>IF(A82="","",COUNTIFS($J$7:$J$406,$A82,$N$7:$N$406,1))</ns0:f>
      </ns0:c>
      <ns0:c r="D82" s="8" t="str">
        <ns0:f>IF(A82="","",COUNTIFS($J$7:$J$406,$A82,$Q$7:$Q$406,"In Progress"))</ns0:f>
      </ns0:c>
      <ns0:c r="E82" s="8" t="str">
        <ns0:f>IF(A82="","",B82-C82)</ns0:f>
      </ns0:c>
      <ns0:c r="F82" s="19" t="str">
        <ns0:f>IF(A82="","",SUMIFS($N$7:$N$406,$J$7:$J$406,$A82)/B82)</ns0:f>
      </ns0:c>
      <ns0:c r="G82" s="8" t="str">
        <ns0:f>IF(A82="","",COUNTIFS(V82:BC82,"&gt;1"))</ns0:f>
      </ns0:c>
      <ns0:c r="H82" s="8" t="str">
        <ns0:f>IF(A82="","",IF(COUNTIFS($T$7:$T$33,A82)&gt;0,INDEX($U$7:$U$33,MATCH(A82,$T$7:$T$33,0)),"No capacity or responsibility detail supplied."))</ns0:f>
      </ns0:c>
      <ns0:c r="J82" t="str">
        <ns0:f>IF('Project Tracker'!A25="","",TRIM(MID(SUBSTITUTE('Project Tracker'!K25,";",REPT(" ",150)),451,150)))</ns0:f>
      </ns0:c>
      <ns0:c r="K82" t="str">
        <ns0:f>IF(J82="","",IF(COUNTIFS($J$7:J82,J82)=1,MAX($K$6:K81)+1,""))</ns0:f>
      </ns0:c>
      <ns0:c r="L82" t="n">
        <ns0:f>IF(A82="",0,B82+(107-ROW())/1000)</ns0:f>
        <ns0:v>0</ns0:v>
      </ns0:c>
      <ns0:c r="M82" t="str">
        <ns0:f>IF(J82="","",'Project Tracker'!A25)</ns0:f>
      </ns0:c>
      <ns0:c r="N82" t="str">
        <ns0:f>IF(J82="","",'Project Tracker'!N25)</ns0:f>
      </ns0:c>
      <ns0:c r="O82" t="str">
        <ns0:f>IF(J82="","",'Project Tracker'!E25)</ns0:f>
      </ns0:c>
      <ns0:c r="P82" t="str">
        <ns0:f>IF(J82="","",'Project Tracker'!F25)</ns0:f>
      </ns0:c>
      <ns0:c r="Q82" t="str">
        <ns0:f>IF(J82="","",'Project Tracker'!Q25)</ns0:f>
      </ns0:c>
      <ns0:c r="R82" t="str">
        <ns0:f>IF(J82="","",'Project Tracker'!J25)</ns0:f>
      </ns0:c>
      <ns0:c r="V82" t="n">
        <ns0:f>IF($A82="",0,COUNTIFS($J$7:$J$406,$A82,$O$7:$O$406,"&lt;="&amp;V$6,$P$7:$P$406,"&gt;="&amp;V$6,$R$7:$R$406,"No"))</ns0:f>
        <ns0:v>0</ns0:v>
      </ns0:c>
      <ns0:c r="W82" t="n">
        <ns0:f>IF($A82="",0,COUNTIFS($J$7:$J$406,$A82,$O$7:$O$406,"&lt;="&amp;W$6,$P$7:$P$406,"&gt;="&amp;W$6,$R$7:$R$406,"No"))</ns0:f>
        <ns0:v>0</ns0:v>
      </ns0:c>
      <ns0:c r="X82" t="n">
        <ns0:f>IF($A82="",0,COUNTIFS($J$7:$J$406,$A82,$O$7:$O$406,"&lt;="&amp;X$6,$P$7:$P$406,"&gt;="&amp;X$6,$R$7:$R$406,"No"))</ns0:f>
        <ns0:v>0</ns0:v>
      </ns0:c>
      <ns0:c r="Y82" t="n">
        <ns0:f>IF($A82="",0,COUNTIFS($J$7:$J$406,$A82,$O$7:$O$406,"&lt;="&amp;Y$6,$P$7:$P$406,"&gt;="&amp;Y$6,$R$7:$R$406,"No"))</ns0:f>
        <ns0:v>0</ns0:v>
      </ns0:c>
      <ns0:c r="Z82" t="n">
        <ns0:f>IF($A82="",0,COUNTIFS($J$7:$J$406,$A82,$O$7:$O$406,"&lt;="&amp;Z$6,$P$7:$P$406,"&gt;="&amp;Z$6,$R$7:$R$406,"No"))</ns0:f>
        <ns0:v>0</ns0:v>
      </ns0:c>
      <ns0:c r="AA82" t="n">
        <ns0:f>IF($A82="",0,COUNTIFS($J$7:$J$406,$A82,$O$7:$O$406,"&lt;="&amp;AA$6,$P$7:$P$406,"&gt;="&amp;AA$6,$R$7:$R$406,"No"))</ns0:f>
        <ns0:v>0</ns0:v>
      </ns0:c>
      <ns0:c r="AB82" t="n">
        <ns0:f>IF($A82="",0,COUNTIFS($J$7:$J$406,$A82,$O$7:$O$406,"&lt;="&amp;AB$6,$P$7:$P$406,"&gt;="&amp;AB$6,$R$7:$R$406,"No"))</ns0:f>
        <ns0:v>0</ns0:v>
      </ns0:c>
      <ns0:c r="AC82" t="n">
        <ns0:f>IF($A82="",0,COUNTIFS($J$7:$J$406,$A82,$O$7:$O$406,"&lt;="&amp;AC$6,$P$7:$P$406,"&gt;="&amp;AC$6,$R$7:$R$406,"No"))</ns0:f>
        <ns0:v>0</ns0:v>
      </ns0:c>
      <ns0:c r="AD82" t="n">
        <ns0:f>IF($A82="",0,COUNTIFS($J$7:$J$406,$A82,$O$7:$O$406,"&lt;="&amp;AD$6,$P$7:$P$406,"&gt;="&amp;AD$6,$R$7:$R$406,"No"))</ns0:f>
        <ns0:v>0</ns0:v>
      </ns0:c>
      <ns0:c r="AE82" t="n">
        <ns0:f>IF($A82="",0,COUNTIFS($J$7:$J$406,$A82,$O$7:$O$406,"&lt;="&amp;AE$6,$P$7:$P$406,"&gt;="&amp;AE$6,$R$7:$R$406,"No"))</ns0:f>
        <ns0:v>0</ns0:v>
      </ns0:c>
      <ns0:c r="AF82" t="n">
        <ns0:f>IF($A82="",0,COUNTIFS($J$7:$J$406,$A82,$O$7:$O$406,"&lt;="&amp;AF$6,$P$7:$P$406,"&gt;="&amp;AF$6,$R$7:$R$406,"No"))</ns0:f>
        <ns0:v>0</ns0:v>
      </ns0:c>
      <ns0:c r="AG82" t="n">
        <ns0:f>IF($A82="",0,COUNTIFS($J$7:$J$406,$A82,$O$7:$O$406,"&lt;="&amp;AG$6,$P$7:$P$406,"&gt;="&amp;AG$6,$R$7:$R$406,"No"))</ns0:f>
        <ns0:v>0</ns0:v>
      </ns0:c>
      <ns0:c r="AH82" t="n">
        <ns0:f>IF($A82="",0,COUNTIFS($J$7:$J$406,$A82,$O$7:$O$406,"&lt;="&amp;AH$6,$P$7:$P$406,"&gt;="&amp;AH$6,$R$7:$R$406,"No"))</ns0:f>
        <ns0:v>0</ns0:v>
      </ns0:c>
      <ns0:c r="AI82" t="n">
        <ns0:f>IF($A82="",0,COUNTIFS($J$7:$J$406,$A82,$O$7:$O$406,"&lt;="&amp;AI$6,$P$7:$P$406,"&gt;="&amp;AI$6,$R$7:$R$406,"No"))</ns0:f>
        <ns0:v>0</ns0:v>
      </ns0:c>
      <ns0:c r="AJ82" t="n">
        <ns0:f>IF($A82="",0,COUNTIFS($J$7:$J$406,$A82,$O$7:$O$406,"&lt;="&amp;AJ$6,$P$7:$P$406,"&gt;="&amp;AJ$6,$R$7:$R$406,"No"))</ns0:f>
        <ns0:v>0</ns0:v>
      </ns0:c>
      <ns0:c r="AK82" t="n">
        <ns0:f>IF($A82="",0,COUNTIFS($J$7:$J$406,$A82,$O$7:$O$406,"&lt;="&amp;AK$6,$P$7:$P$406,"&gt;="&amp;AK$6,$R$7:$R$406,"No"))</ns0:f>
        <ns0:v>0</ns0:v>
      </ns0:c>
      <ns0:c r="AL82" t="n">
        <ns0:f>IF($A82="",0,COUNTIFS($J$7:$J$406,$A82,$O$7:$O$406,"&lt;="&amp;AL$6,$P$7:$P$406,"&gt;="&amp;AL$6,$R$7:$R$406,"No"))</ns0:f>
        <ns0:v>0</ns0:v>
      </ns0:c>
      <ns0:c r="AM82" t="n">
        <ns0:f>IF($A82="",0,COUNTIFS($J$7:$J$406,$A82,$O$7:$O$406,"&lt;="&amp;AM$6,$P$7:$P$406,"&gt;="&amp;AM$6,$R$7:$R$406,"No"))</ns0:f>
        <ns0:v>0</ns0:v>
      </ns0:c>
      <ns0:c r="AN82" t="n">
        <ns0:f>IF($A82="",0,COUNTIFS($J$7:$J$406,$A82,$O$7:$O$406,"&lt;="&amp;AN$6,$P$7:$P$406,"&gt;="&amp;AN$6,$R$7:$R$406,"No"))</ns0:f>
        <ns0:v>0</ns0:v>
      </ns0:c>
      <ns0:c r="AO82" t="n">
        <ns0:f>IF($A82="",0,COUNTIFS($J$7:$J$406,$A82,$O$7:$O$406,"&lt;="&amp;AO$6,$P$7:$P$406,"&gt;="&amp;AO$6,$R$7:$R$406,"No"))</ns0:f>
        <ns0:v>0</ns0:v>
      </ns0:c>
      <ns0:c r="AP82" t="n">
        <ns0:f>IF($A82="",0,COUNTIFS($J$7:$J$406,$A82,$O$7:$O$406,"&lt;="&amp;AP$6,$P$7:$P$406,"&gt;="&amp;AP$6,$R$7:$R$406,"No"))</ns0:f>
        <ns0:v>0</ns0:v>
      </ns0:c>
      <ns0:c r="AQ82" t="n">
        <ns0:f>IF($A82="",0,COUNTIFS($J$7:$J$406,$A82,$O$7:$O$406,"&lt;="&amp;AQ$6,$P$7:$P$406,"&gt;="&amp;AQ$6,$R$7:$R$406,"No"))</ns0:f>
        <ns0:v>0</ns0:v>
      </ns0:c>
      <ns0:c r="AR82" t="n">
        <ns0:f>IF($A82="",0,COUNTIFS($J$7:$J$406,$A82,$O$7:$O$406,"&lt;="&amp;AR$6,$P$7:$P$406,"&gt;="&amp;AR$6,$R$7:$R$406,"No"))</ns0:f>
        <ns0:v>0</ns0:v>
      </ns0:c>
      <ns0:c r="AS82" t="n">
        <ns0:f>IF($A82="",0,COUNTIFS($J$7:$J$406,$A82,$O$7:$O$406,"&lt;="&amp;AS$6,$P$7:$P$406,"&gt;="&amp;AS$6,$R$7:$R$406,"No"))</ns0:f>
        <ns0:v>0</ns0:v>
      </ns0:c>
      <ns0:c r="AT82" t="n">
        <ns0:f>IF($A82="",0,COUNTIFS($J$7:$J$406,$A82,$O$7:$O$406,"&lt;="&amp;AT$6,$P$7:$P$406,"&gt;="&amp;AT$6,$R$7:$R$406,"No"))</ns0:f>
        <ns0:v>0</ns0:v>
      </ns0:c>
      <ns0:c r="AU82" t="n">
        <ns0:f>IF($A82="",0,COUNTIFS($J$7:$J$406,$A82,$O$7:$O$406,"&lt;="&amp;AU$6,$P$7:$P$406,"&gt;="&amp;AU$6,$R$7:$R$406,"No"))</ns0:f>
        <ns0:v>0</ns0:v>
      </ns0:c>
      <ns0:c r="AV82" t="n">
        <ns0:f>IF($A82="",0,COUNTIFS($J$7:$J$406,$A82,$O$7:$O$406,"&lt;="&amp;AV$6,$P$7:$P$406,"&gt;="&amp;AV$6,$R$7:$R$406,"No"))</ns0:f>
        <ns0:v>0</ns0:v>
      </ns0:c>
      <ns0:c r="AW82" t="n">
        <ns0:f>IF($A82="",0,COUNTIFS($J$7:$J$406,$A82,$O$7:$O$406,"&lt;="&amp;AW$6,$P$7:$P$406,"&gt;="&amp;AW$6,$R$7:$R$406,"No"))</ns0:f>
        <ns0:v>0</ns0:v>
      </ns0:c>
      <ns0:c r="AX82" t="n">
        <ns0:f>IF($A82="",0,COUNTIFS($J$7:$J$406,$A82,$O$7:$O$406,"&lt;="&amp;AX$6,$P$7:$P$406,"&gt;="&amp;AX$6,$R$7:$R$406,"No"))</ns0:f>
        <ns0:v>0</ns0:v>
      </ns0:c>
      <ns0:c r="AY82" t="n">
        <ns0:f>IF($A82="",0,COUNTIFS($J$7:$J$406,$A82,$O$7:$O$406,"&lt;="&amp;AY$6,$P$7:$P$406,"&gt;="&amp;AY$6,$R$7:$R$406,"No"))</ns0:f>
        <ns0:v>0</ns0:v>
      </ns0:c>
      <ns0:c r="AZ82" t="n">
        <ns0:f>IF($A82="",0,COUNTIFS($J$7:$J$406,$A82,$O$7:$O$406,"&lt;="&amp;AZ$6,$P$7:$P$406,"&gt;="&amp;AZ$6,$R$7:$R$406,"No"))</ns0:f>
        <ns0:v>0</ns0:v>
      </ns0:c>
      <ns0:c r="BA82" t="n">
        <ns0:f>IF($A82="",0,COUNTIFS($J$7:$J$406,$A82,$O$7:$O$406,"&lt;="&amp;BA$6,$P$7:$P$406,"&gt;="&amp;BA$6,$R$7:$R$406,"No"))</ns0:f>
        <ns0:v>0</ns0:v>
      </ns0:c>
      <ns0:c r="BB82" t="n">
        <ns0:f>IF($A82="",0,COUNTIFS($J$7:$J$406,$A82,$O$7:$O$406,"&lt;="&amp;BB$6,$P$7:$P$406,"&gt;="&amp;BB$6,$R$7:$R$406,"No"))</ns0:f>
        <ns0:v>0</ns0:v>
      </ns0:c>
      <ns0:c r="BC82" t="n">
        <ns0:f>IF($A82="",0,COUNTIFS($J$7:$J$406,$A82,$O$7:$O$406,"&lt;="&amp;BC$6,$P$7:$P$406,"&gt;="&amp;BC$6,$R$7:$R$406,"No"))</ns0:f>
        <ns0:v>0</ns0:v>
      </ns0:c>
    </ns0:row>
    <ns0:row r="83" ht="48" customHeight="1">
      <ns0:c r="A83" s="8" t="str">
        <ns0:f>IF(ROW()-6&gt;MAX($K$7:$K$406),"",INDEX($J$7:$J$406,MATCH(ROW()-6,$K$7:$K$406,0)))</ns0:f>
      </ns0:c>
      <ns0:c r="B83" s="8" t="str">
        <ns0:f>IF(A83="","",COUNTIFS($J$7:$J$406,$A83))</ns0:f>
      </ns0:c>
      <ns0:c r="C83" s="8" t="str">
        <ns0:f>IF(A83="","",COUNTIFS($J$7:$J$406,$A83,$N$7:$N$406,1))</ns0:f>
      </ns0:c>
      <ns0:c r="D83" s="8" t="str">
        <ns0:f>IF(A83="","",COUNTIFS($J$7:$J$406,$A83,$Q$7:$Q$406,"In Progress"))</ns0:f>
      </ns0:c>
      <ns0:c r="E83" s="8" t="str">
        <ns0:f>IF(A83="","",B83-C83)</ns0:f>
      </ns0:c>
      <ns0:c r="F83" s="19" t="str">
        <ns0:f>IF(A83="","",SUMIFS($N$7:$N$406,$J$7:$J$406,$A83)/B83)</ns0:f>
      </ns0:c>
      <ns0:c r="G83" s="8" t="str">
        <ns0:f>IF(A83="","",COUNTIFS(V83:BC83,"&gt;1"))</ns0:f>
      </ns0:c>
      <ns0:c r="H83" s="8" t="str">
        <ns0:f>IF(A83="","",IF(COUNTIFS($T$7:$T$33,A83)&gt;0,INDEX($U$7:$U$33,MATCH(A83,$T$7:$T$33,0)),"No capacity or responsibility detail supplied."))</ns0:f>
      </ns0:c>
      <ns0:c r="J83" t="str">
        <ns0:f>IF('Project Tracker'!A26="","",TRIM(MID(SUBSTITUTE('Project Tracker'!K26,";",REPT(" ",150)),1,150)))</ns0:f>
        <ns0:v>Specialist Sub-Agents (L4_SUBS)</ns0:v>
      </ns0:c>
      <ns0:c r="K83" t="str">
        <ns0:f>IF(J83="","",IF(COUNTIFS($J$7:J83,J83)=1,MAX($K$6:K82)+1,""))</ns0:f>
      </ns0:c>
      <ns0:c r="L83" t="n">
        <ns0:f>IF(A83="",0,B83+(107-ROW())/1000)</ns0:f>
        <ns0:v>0</ns0:v>
      </ns0:c>
      <ns0:c r="M83" t="str">
        <ns0:f>IF(J83="","",'Project Tracker'!A26)</ns0:f>
        <ns0:v>T17</ns0:v>
      </ns0:c>
      <ns0:c r="N83" t="n">
        <ns0:f>IF(J83="","",'Project Tracker'!N26)</ns0:f>
        <ns0:v>0</ns0:v>
      </ns0:c>
      <ns0:c r="O83" t="n">
        <ns0:f>IF(J83="","",'Project Tracker'!E26)</ns0:f>
        <ns0:v>46285</ns0:v>
      </ns0:c>
      <ns0:c r="P83" t="n">
        <ns0:f>IF(J83="","",'Project Tracker'!F26)</ns0:f>
        <ns0:v>46286</ns0:v>
      </ns0:c>
      <ns0:c r="Q83" t="str">
        <ns0:f>IF(J83="","",'Project Tracker'!Q26)</ns0:f>
        <ns0:v>Not Started</ns0:v>
      </ns0:c>
      <ns0:c r="R83" t="str">
        <ns0:f>IF(J83="","",'Project Tracker'!J26)</ns0:f>
        <ns0:v>No</ns0:v>
      </ns0:c>
      <ns0:c r="V83" t="n">
        <ns0:f>IF($A83="",0,COUNTIFS($J$7:$J$406,$A83,$O$7:$O$406,"&lt;="&amp;V$6,$P$7:$P$406,"&gt;="&amp;V$6,$R$7:$R$406,"No"))</ns0:f>
        <ns0:v>0</ns0:v>
      </ns0:c>
      <ns0:c r="W83" t="n">
        <ns0:f>IF($A83="",0,COUNTIFS($J$7:$J$406,$A83,$O$7:$O$406,"&lt;="&amp;W$6,$P$7:$P$406,"&gt;="&amp;W$6,$R$7:$R$406,"No"))</ns0:f>
        <ns0:v>0</ns0:v>
      </ns0:c>
      <ns0:c r="X83" t="n">
        <ns0:f>IF($A83="",0,COUNTIFS($J$7:$J$406,$A83,$O$7:$O$406,"&lt;="&amp;X$6,$P$7:$P$406,"&gt;="&amp;X$6,$R$7:$R$406,"No"))</ns0:f>
        <ns0:v>0</ns0:v>
      </ns0:c>
      <ns0:c r="Y83" t="n">
        <ns0:f>IF($A83="",0,COUNTIFS($J$7:$J$406,$A83,$O$7:$O$406,"&lt;="&amp;Y$6,$P$7:$P$406,"&gt;="&amp;Y$6,$R$7:$R$406,"No"))</ns0:f>
        <ns0:v>0</ns0:v>
      </ns0:c>
      <ns0:c r="Z83" t="n">
        <ns0:f>IF($A83="",0,COUNTIFS($J$7:$J$406,$A83,$O$7:$O$406,"&lt;="&amp;Z$6,$P$7:$P$406,"&gt;="&amp;Z$6,$R$7:$R$406,"No"))</ns0:f>
        <ns0:v>0</ns0:v>
      </ns0:c>
      <ns0:c r="AA83" t="n">
        <ns0:f>IF($A83="",0,COUNTIFS($J$7:$J$406,$A83,$O$7:$O$406,"&lt;="&amp;AA$6,$P$7:$P$406,"&gt;="&amp;AA$6,$R$7:$R$406,"No"))</ns0:f>
        <ns0:v>0</ns0:v>
      </ns0:c>
      <ns0:c r="AB83" t="n">
        <ns0:f>IF($A83="",0,COUNTIFS($J$7:$J$406,$A83,$O$7:$O$406,"&lt;="&amp;AB$6,$P$7:$P$406,"&gt;="&amp;AB$6,$R$7:$R$406,"No"))</ns0:f>
        <ns0:v>0</ns0:v>
      </ns0:c>
      <ns0:c r="AC83" t="n">
        <ns0:f>IF($A83="",0,COUNTIFS($J$7:$J$406,$A83,$O$7:$O$406,"&lt;="&amp;AC$6,$P$7:$P$406,"&gt;="&amp;AC$6,$R$7:$R$406,"No"))</ns0:f>
        <ns0:v>0</ns0:v>
      </ns0:c>
      <ns0:c r="AD83" t="n">
        <ns0:f>IF($A83="",0,COUNTIFS($J$7:$J$406,$A83,$O$7:$O$406,"&lt;="&amp;AD$6,$P$7:$P$406,"&gt;="&amp;AD$6,$R$7:$R$406,"No"))</ns0:f>
        <ns0:v>0</ns0:v>
      </ns0:c>
      <ns0:c r="AE83" t="n">
        <ns0:f>IF($A83="",0,COUNTIFS($J$7:$J$406,$A83,$O$7:$O$406,"&lt;="&amp;AE$6,$P$7:$P$406,"&gt;="&amp;AE$6,$R$7:$R$406,"No"))</ns0:f>
        <ns0:v>0</ns0:v>
      </ns0:c>
      <ns0:c r="AF83" t="n">
        <ns0:f>IF($A83="",0,COUNTIFS($J$7:$J$406,$A83,$O$7:$O$406,"&lt;="&amp;AF$6,$P$7:$P$406,"&gt;="&amp;AF$6,$R$7:$R$406,"No"))</ns0:f>
        <ns0:v>0</ns0:v>
      </ns0:c>
      <ns0:c r="AG83" t="n">
        <ns0:f>IF($A83="",0,COUNTIFS($J$7:$J$406,$A83,$O$7:$O$406,"&lt;="&amp;AG$6,$P$7:$P$406,"&gt;="&amp;AG$6,$R$7:$R$406,"No"))</ns0:f>
        <ns0:v>0</ns0:v>
      </ns0:c>
      <ns0:c r="AH83" t="n">
        <ns0:f>IF($A83="",0,COUNTIFS($J$7:$J$406,$A83,$O$7:$O$406,"&lt;="&amp;AH$6,$P$7:$P$406,"&gt;="&amp;AH$6,$R$7:$R$406,"No"))</ns0:f>
        <ns0:v>0</ns0:v>
      </ns0:c>
      <ns0:c r="AI83" t="n">
        <ns0:f>IF($A83="",0,COUNTIFS($J$7:$J$406,$A83,$O$7:$O$406,"&lt;="&amp;AI$6,$P$7:$P$406,"&gt;="&amp;AI$6,$R$7:$R$406,"No"))</ns0:f>
        <ns0:v>0</ns0:v>
      </ns0:c>
      <ns0:c r="AJ83" t="n">
        <ns0:f>IF($A83="",0,COUNTIFS($J$7:$J$406,$A83,$O$7:$O$406,"&lt;="&amp;AJ$6,$P$7:$P$406,"&gt;="&amp;AJ$6,$R$7:$R$406,"No"))</ns0:f>
        <ns0:v>0</ns0:v>
      </ns0:c>
      <ns0:c r="AK83" t="n">
        <ns0:f>IF($A83="",0,COUNTIFS($J$7:$J$406,$A83,$O$7:$O$406,"&lt;="&amp;AK$6,$P$7:$P$406,"&gt;="&amp;AK$6,$R$7:$R$406,"No"))</ns0:f>
        <ns0:v>0</ns0:v>
      </ns0:c>
      <ns0:c r="AL83" t="n">
        <ns0:f>IF($A83="",0,COUNTIFS($J$7:$J$406,$A83,$O$7:$O$406,"&lt;="&amp;AL$6,$P$7:$P$406,"&gt;="&amp;AL$6,$R$7:$R$406,"No"))</ns0:f>
        <ns0:v>0</ns0:v>
      </ns0:c>
      <ns0:c r="AM83" t="n">
        <ns0:f>IF($A83="",0,COUNTIFS($J$7:$J$406,$A83,$O$7:$O$406,"&lt;="&amp;AM$6,$P$7:$P$406,"&gt;="&amp;AM$6,$R$7:$R$406,"No"))</ns0:f>
        <ns0:v>0</ns0:v>
      </ns0:c>
      <ns0:c r="AN83" t="n">
        <ns0:f>IF($A83="",0,COUNTIFS($J$7:$J$406,$A83,$O$7:$O$406,"&lt;="&amp;AN$6,$P$7:$P$406,"&gt;="&amp;AN$6,$R$7:$R$406,"No"))</ns0:f>
        <ns0:v>0</ns0:v>
      </ns0:c>
      <ns0:c r="AO83" t="n">
        <ns0:f>IF($A83="",0,COUNTIFS($J$7:$J$406,$A83,$O$7:$O$406,"&lt;="&amp;AO$6,$P$7:$P$406,"&gt;="&amp;AO$6,$R$7:$R$406,"No"))</ns0:f>
        <ns0:v>0</ns0:v>
      </ns0:c>
      <ns0:c r="AP83" t="n">
        <ns0:f>IF($A83="",0,COUNTIFS($J$7:$J$406,$A83,$O$7:$O$406,"&lt;="&amp;AP$6,$P$7:$P$406,"&gt;="&amp;AP$6,$R$7:$R$406,"No"))</ns0:f>
        <ns0:v>0</ns0:v>
      </ns0:c>
      <ns0:c r="AQ83" t="n">
        <ns0:f>IF($A83="",0,COUNTIFS($J$7:$J$406,$A83,$O$7:$O$406,"&lt;="&amp;AQ$6,$P$7:$P$406,"&gt;="&amp;AQ$6,$R$7:$R$406,"No"))</ns0:f>
        <ns0:v>0</ns0:v>
      </ns0:c>
      <ns0:c r="AR83" t="n">
        <ns0:f>IF($A83="",0,COUNTIFS($J$7:$J$406,$A83,$O$7:$O$406,"&lt;="&amp;AR$6,$P$7:$P$406,"&gt;="&amp;AR$6,$R$7:$R$406,"No"))</ns0:f>
        <ns0:v>0</ns0:v>
      </ns0:c>
      <ns0:c r="AS83" t="n">
        <ns0:f>IF($A83="",0,COUNTIFS($J$7:$J$406,$A83,$O$7:$O$406,"&lt;="&amp;AS$6,$P$7:$P$406,"&gt;="&amp;AS$6,$R$7:$R$406,"No"))</ns0:f>
        <ns0:v>0</ns0:v>
      </ns0:c>
      <ns0:c r="AT83" t="n">
        <ns0:f>IF($A83="",0,COUNTIFS($J$7:$J$406,$A83,$O$7:$O$406,"&lt;="&amp;AT$6,$P$7:$P$406,"&gt;="&amp;AT$6,$R$7:$R$406,"No"))</ns0:f>
        <ns0:v>0</ns0:v>
      </ns0:c>
      <ns0:c r="AU83" t="n">
        <ns0:f>IF($A83="",0,COUNTIFS($J$7:$J$406,$A83,$O$7:$O$406,"&lt;="&amp;AU$6,$P$7:$P$406,"&gt;="&amp;AU$6,$R$7:$R$406,"No"))</ns0:f>
        <ns0:v>0</ns0:v>
      </ns0:c>
      <ns0:c r="AV83" t="n">
        <ns0:f>IF($A83="",0,COUNTIFS($J$7:$J$406,$A83,$O$7:$O$406,"&lt;="&amp;AV$6,$P$7:$P$406,"&gt;="&amp;AV$6,$R$7:$R$406,"No"))</ns0:f>
        <ns0:v>0</ns0:v>
      </ns0:c>
      <ns0:c r="AW83" t="n">
        <ns0:f>IF($A83="",0,COUNTIFS($J$7:$J$406,$A83,$O$7:$O$406,"&lt;="&amp;AW$6,$P$7:$P$406,"&gt;="&amp;AW$6,$R$7:$R$406,"No"))</ns0:f>
        <ns0:v>0</ns0:v>
      </ns0:c>
      <ns0:c r="AX83" t="n">
        <ns0:f>IF($A83="",0,COUNTIFS($J$7:$J$406,$A83,$O$7:$O$406,"&lt;="&amp;AX$6,$P$7:$P$406,"&gt;="&amp;AX$6,$R$7:$R$406,"No"))</ns0:f>
        <ns0:v>0</ns0:v>
      </ns0:c>
      <ns0:c r="AY83" t="n">
        <ns0:f>IF($A83="",0,COUNTIFS($J$7:$J$406,$A83,$O$7:$O$406,"&lt;="&amp;AY$6,$P$7:$P$406,"&gt;="&amp;AY$6,$R$7:$R$406,"No"))</ns0:f>
        <ns0:v>0</ns0:v>
      </ns0:c>
      <ns0:c r="AZ83" t="n">
        <ns0:f>IF($A83="",0,COUNTIFS($J$7:$J$406,$A83,$O$7:$O$406,"&lt;="&amp;AZ$6,$P$7:$P$406,"&gt;="&amp;AZ$6,$R$7:$R$406,"No"))</ns0:f>
        <ns0:v>0</ns0:v>
      </ns0:c>
      <ns0:c r="BA83" t="n">
        <ns0:f>IF($A83="",0,COUNTIFS($J$7:$J$406,$A83,$O$7:$O$406,"&lt;="&amp;BA$6,$P$7:$P$406,"&gt;="&amp;BA$6,$R$7:$R$406,"No"))</ns0:f>
        <ns0:v>0</ns0:v>
      </ns0:c>
      <ns0:c r="BB83" t="n">
        <ns0:f>IF($A83="",0,COUNTIFS($J$7:$J$406,$A83,$O$7:$O$406,"&lt;="&amp;BB$6,$P$7:$P$406,"&gt;="&amp;BB$6,$R$7:$R$406,"No"))</ns0:f>
        <ns0:v>0</ns0:v>
      </ns0:c>
      <ns0:c r="BC83" t="n">
        <ns0:f>IF($A83="",0,COUNTIFS($J$7:$J$406,$A83,$O$7:$O$406,"&lt;="&amp;BC$6,$P$7:$P$406,"&gt;="&amp;BC$6,$R$7:$R$406,"No"))</ns0:f>
        <ns0:v>0</ns0:v>
      </ns0:c>
    </ns0:row>
    <ns0:row r="84" ht="48" customHeight="1">
      <ns0:c r="A84" s="8" t="str">
        <ns0:f>IF(ROW()-6&gt;MAX($K$7:$K$406),"",INDEX($J$7:$J$406,MATCH(ROW()-6,$K$7:$K$406,0)))</ns0:f>
      </ns0:c>
      <ns0:c r="B84" s="8" t="str">
        <ns0:f>IF(A84="","",COUNTIFS($J$7:$J$406,$A84))</ns0:f>
      </ns0:c>
      <ns0:c r="C84" s="8" t="str">
        <ns0:f>IF(A84="","",COUNTIFS($J$7:$J$406,$A84,$N$7:$N$406,1))</ns0:f>
      </ns0:c>
      <ns0:c r="D84" s="8" t="str">
        <ns0:f>IF(A84="","",COUNTIFS($J$7:$J$406,$A84,$Q$7:$Q$406,"In Progress"))</ns0:f>
      </ns0:c>
      <ns0:c r="E84" s="8" t="str">
        <ns0:f>IF(A84="","",B84-C84)</ns0:f>
      </ns0:c>
      <ns0:c r="F84" s="19" t="str">
        <ns0:f>IF(A84="","",SUMIFS($N$7:$N$406,$J$7:$J$406,$A84)/B84)</ns0:f>
      </ns0:c>
      <ns0:c r="G84" s="8" t="str">
        <ns0:f>IF(A84="","",COUNTIFS(V84:BC84,"&gt;1"))</ns0:f>
      </ns0:c>
      <ns0:c r="H84" s="8" t="str">
        <ns0:f>IF(A84="","",IF(COUNTIFS($T$7:$T$33,A84)&gt;0,INDEX($U$7:$U$33,MATCH(A84,$T$7:$T$33,0)),"No capacity or responsibility detail supplied."))</ns0:f>
      </ns0:c>
      <ns0:c r="J84" t="str">
        <ns0:f>IF('Project Tracker'!A26="","",TRIM(MID(SUBSTITUTE('Project Tracker'!K26,";",REPT(" ",150)),151,150)))</ns0:f>
        <ns0:v>Customer Voice Engine (W_VOICE)</ns0:v>
      </ns0:c>
      <ns0:c r="K84" t="n">
        <ns0:f>IF(J84="","",IF(COUNTIFS($J$7:J84,J84)=1,MAX($K$6:K83)+1,""))</ns0:f>
        <ns0:v>17</ns0:v>
      </ns0:c>
      <ns0:c r="L84" t="n">
        <ns0:f>IF(A84="",0,B84+(107-ROW())/1000)</ns0:f>
        <ns0:v>0</ns0:v>
      </ns0:c>
      <ns0:c r="M84" t="str">
        <ns0:f>IF(J84="","",'Project Tracker'!A26)</ns0:f>
        <ns0:v>T17</ns0:v>
      </ns0:c>
      <ns0:c r="N84" t="n">
        <ns0:f>IF(J84="","",'Project Tracker'!N26)</ns0:f>
        <ns0:v>0</ns0:v>
      </ns0:c>
      <ns0:c r="O84" t="n">
        <ns0:f>IF(J84="","",'Project Tracker'!E26)</ns0:f>
        <ns0:v>46285</ns0:v>
      </ns0:c>
      <ns0:c r="P84" t="n">
        <ns0:f>IF(J84="","",'Project Tracker'!F26)</ns0:f>
        <ns0:v>46286</ns0:v>
      </ns0:c>
      <ns0:c r="Q84" t="str">
        <ns0:f>IF(J84="","",'Project Tracker'!Q26)</ns0:f>
        <ns0:v>Not Started</ns0:v>
      </ns0:c>
      <ns0:c r="R84" t="str">
        <ns0:f>IF(J84="","",'Project Tracker'!J26)</ns0:f>
        <ns0:v>No</ns0:v>
      </ns0:c>
      <ns0:c r="V84" t="n">
        <ns0:f>IF($A84="",0,COUNTIFS($J$7:$J$406,$A84,$O$7:$O$406,"&lt;="&amp;V$6,$P$7:$P$406,"&gt;="&amp;V$6,$R$7:$R$406,"No"))</ns0:f>
        <ns0:v>0</ns0:v>
      </ns0:c>
      <ns0:c r="W84" t="n">
        <ns0:f>IF($A84="",0,COUNTIFS($J$7:$J$406,$A84,$O$7:$O$406,"&lt;="&amp;W$6,$P$7:$P$406,"&gt;="&amp;W$6,$R$7:$R$406,"No"))</ns0:f>
        <ns0:v>0</ns0:v>
      </ns0:c>
      <ns0:c r="X84" t="n">
        <ns0:f>IF($A84="",0,COUNTIFS($J$7:$J$406,$A84,$O$7:$O$406,"&lt;="&amp;X$6,$P$7:$P$406,"&gt;="&amp;X$6,$R$7:$R$406,"No"))</ns0:f>
        <ns0:v>0</ns0:v>
      </ns0:c>
      <ns0:c r="Y84" t="n">
        <ns0:f>IF($A84="",0,COUNTIFS($J$7:$J$406,$A84,$O$7:$O$406,"&lt;="&amp;Y$6,$P$7:$P$406,"&gt;="&amp;Y$6,$R$7:$R$406,"No"))</ns0:f>
        <ns0:v>0</ns0:v>
      </ns0:c>
      <ns0:c r="Z84" t="n">
        <ns0:f>IF($A84="",0,COUNTIFS($J$7:$J$406,$A84,$O$7:$O$406,"&lt;="&amp;Z$6,$P$7:$P$406,"&gt;="&amp;Z$6,$R$7:$R$406,"No"))</ns0:f>
        <ns0:v>0</ns0:v>
      </ns0:c>
      <ns0:c r="AA84" t="n">
        <ns0:f>IF($A84="",0,COUNTIFS($J$7:$J$406,$A84,$O$7:$O$406,"&lt;="&amp;AA$6,$P$7:$P$406,"&gt;="&amp;AA$6,$R$7:$R$406,"No"))</ns0:f>
        <ns0:v>0</ns0:v>
      </ns0:c>
      <ns0:c r="AB84" t="n">
        <ns0:f>IF($A84="",0,COUNTIFS($J$7:$J$406,$A84,$O$7:$O$406,"&lt;="&amp;AB$6,$P$7:$P$406,"&gt;="&amp;AB$6,$R$7:$R$406,"No"))</ns0:f>
        <ns0:v>0</ns0:v>
      </ns0:c>
      <ns0:c r="AC84" t="n">
        <ns0:f>IF($A84="",0,COUNTIFS($J$7:$J$406,$A84,$O$7:$O$406,"&lt;="&amp;AC$6,$P$7:$P$406,"&gt;="&amp;AC$6,$R$7:$R$406,"No"))</ns0:f>
        <ns0:v>0</ns0:v>
      </ns0:c>
      <ns0:c r="AD84" t="n">
        <ns0:f>IF($A84="",0,COUNTIFS($J$7:$J$406,$A84,$O$7:$O$406,"&lt;="&amp;AD$6,$P$7:$P$406,"&gt;="&amp;AD$6,$R$7:$R$406,"No"))</ns0:f>
        <ns0:v>0</ns0:v>
      </ns0:c>
      <ns0:c r="AE84" t="n">
        <ns0:f>IF($A84="",0,COUNTIFS($J$7:$J$406,$A84,$O$7:$O$406,"&lt;="&amp;AE$6,$P$7:$P$406,"&gt;="&amp;AE$6,$R$7:$R$406,"No"))</ns0:f>
        <ns0:v>0</ns0:v>
      </ns0:c>
      <ns0:c r="AF84" t="n">
        <ns0:f>IF($A84="",0,COUNTIFS($J$7:$J$406,$A84,$O$7:$O$406,"&lt;="&amp;AF$6,$P$7:$P$406,"&gt;="&amp;AF$6,$R$7:$R$406,"No"))</ns0:f>
        <ns0:v>0</ns0:v>
      </ns0:c>
      <ns0:c r="AG84" t="n">
        <ns0:f>IF($A84="",0,COUNTIFS($J$7:$J$406,$A84,$O$7:$O$406,"&lt;="&amp;AG$6,$P$7:$P$406,"&gt;="&amp;AG$6,$R$7:$R$406,"No"))</ns0:f>
        <ns0:v>0</ns0:v>
      </ns0:c>
      <ns0:c r="AH84" t="n">
        <ns0:f>IF($A84="",0,COUNTIFS($J$7:$J$406,$A84,$O$7:$O$406,"&lt;="&amp;AH$6,$P$7:$P$406,"&gt;="&amp;AH$6,$R$7:$R$406,"No"))</ns0:f>
        <ns0:v>0</ns0:v>
      </ns0:c>
      <ns0:c r="AI84" t="n">
        <ns0:f>IF($A84="",0,COUNTIFS($J$7:$J$406,$A84,$O$7:$O$406,"&lt;="&amp;AI$6,$P$7:$P$406,"&gt;="&amp;AI$6,$R$7:$R$406,"No"))</ns0:f>
        <ns0:v>0</ns0:v>
      </ns0:c>
      <ns0:c r="AJ84" t="n">
        <ns0:f>IF($A84="",0,COUNTIFS($J$7:$J$406,$A84,$O$7:$O$406,"&lt;="&amp;AJ$6,$P$7:$P$406,"&gt;="&amp;AJ$6,$R$7:$R$406,"No"))</ns0:f>
        <ns0:v>0</ns0:v>
      </ns0:c>
      <ns0:c r="AK84" t="n">
        <ns0:f>IF($A84="",0,COUNTIFS($J$7:$J$406,$A84,$O$7:$O$406,"&lt;="&amp;AK$6,$P$7:$P$406,"&gt;="&amp;AK$6,$R$7:$R$406,"No"))</ns0:f>
        <ns0:v>0</ns0:v>
      </ns0:c>
      <ns0:c r="AL84" t="n">
        <ns0:f>IF($A84="",0,COUNTIFS($J$7:$J$406,$A84,$O$7:$O$406,"&lt;="&amp;AL$6,$P$7:$P$406,"&gt;="&amp;AL$6,$R$7:$R$406,"No"))</ns0:f>
        <ns0:v>0</ns0:v>
      </ns0:c>
      <ns0:c r="AM84" t="n">
        <ns0:f>IF($A84="",0,COUNTIFS($J$7:$J$406,$A84,$O$7:$O$406,"&lt;="&amp;AM$6,$P$7:$P$406,"&gt;="&amp;AM$6,$R$7:$R$406,"No"))</ns0:f>
        <ns0:v>0</ns0:v>
      </ns0:c>
      <ns0:c r="AN84" t="n">
        <ns0:f>IF($A84="",0,COUNTIFS($J$7:$J$406,$A84,$O$7:$O$406,"&lt;="&amp;AN$6,$P$7:$P$406,"&gt;="&amp;AN$6,$R$7:$R$406,"No"))</ns0:f>
        <ns0:v>0</ns0:v>
      </ns0:c>
      <ns0:c r="AO84" t="n">
        <ns0:f>IF($A84="",0,COUNTIFS($J$7:$J$406,$A84,$O$7:$O$406,"&lt;="&amp;AO$6,$P$7:$P$406,"&gt;="&amp;AO$6,$R$7:$R$406,"No"))</ns0:f>
        <ns0:v>0</ns0:v>
      </ns0:c>
      <ns0:c r="AP84" t="n">
        <ns0:f>IF($A84="",0,COUNTIFS($J$7:$J$406,$A84,$O$7:$O$406,"&lt;="&amp;AP$6,$P$7:$P$406,"&gt;="&amp;AP$6,$R$7:$R$406,"No"))</ns0:f>
        <ns0:v>0</ns0:v>
      </ns0:c>
      <ns0:c r="AQ84" t="n">
        <ns0:f>IF($A84="",0,COUNTIFS($J$7:$J$406,$A84,$O$7:$O$406,"&lt;="&amp;AQ$6,$P$7:$P$406,"&gt;="&amp;AQ$6,$R$7:$R$406,"No"))</ns0:f>
        <ns0:v>0</ns0:v>
      </ns0:c>
      <ns0:c r="AR84" t="n">
        <ns0:f>IF($A84="",0,COUNTIFS($J$7:$J$406,$A84,$O$7:$O$406,"&lt;="&amp;AR$6,$P$7:$P$406,"&gt;="&amp;AR$6,$R$7:$R$406,"No"))</ns0:f>
        <ns0:v>0</ns0:v>
      </ns0:c>
      <ns0:c r="AS84" t="n">
        <ns0:f>IF($A84="",0,COUNTIFS($J$7:$J$406,$A84,$O$7:$O$406,"&lt;="&amp;AS$6,$P$7:$P$406,"&gt;="&amp;AS$6,$R$7:$R$406,"No"))</ns0:f>
        <ns0:v>0</ns0:v>
      </ns0:c>
      <ns0:c r="AT84" t="n">
        <ns0:f>IF($A84="",0,COUNTIFS($J$7:$J$406,$A84,$O$7:$O$406,"&lt;="&amp;AT$6,$P$7:$P$406,"&gt;="&amp;AT$6,$R$7:$R$406,"No"))</ns0:f>
        <ns0:v>0</ns0:v>
      </ns0:c>
      <ns0:c r="AU84" t="n">
        <ns0:f>IF($A84="",0,COUNTIFS($J$7:$J$406,$A84,$O$7:$O$406,"&lt;="&amp;AU$6,$P$7:$P$406,"&gt;="&amp;AU$6,$R$7:$R$406,"No"))</ns0:f>
        <ns0:v>0</ns0:v>
      </ns0:c>
      <ns0:c r="AV84" t="n">
        <ns0:f>IF($A84="",0,COUNTIFS($J$7:$J$406,$A84,$O$7:$O$406,"&lt;="&amp;AV$6,$P$7:$P$406,"&gt;="&amp;AV$6,$R$7:$R$406,"No"))</ns0:f>
        <ns0:v>0</ns0:v>
      </ns0:c>
      <ns0:c r="AW84" t="n">
        <ns0:f>IF($A84="",0,COUNTIFS($J$7:$J$406,$A84,$O$7:$O$406,"&lt;="&amp;AW$6,$P$7:$P$406,"&gt;="&amp;AW$6,$R$7:$R$406,"No"))</ns0:f>
        <ns0:v>0</ns0:v>
      </ns0:c>
      <ns0:c r="AX84" t="n">
        <ns0:f>IF($A84="",0,COUNTIFS($J$7:$J$406,$A84,$O$7:$O$406,"&lt;="&amp;AX$6,$P$7:$P$406,"&gt;="&amp;AX$6,$R$7:$R$406,"No"))</ns0:f>
        <ns0:v>0</ns0:v>
      </ns0:c>
      <ns0:c r="AY84" t="n">
        <ns0:f>IF($A84="",0,COUNTIFS($J$7:$J$406,$A84,$O$7:$O$406,"&lt;="&amp;AY$6,$P$7:$P$406,"&gt;="&amp;AY$6,$R$7:$R$406,"No"))</ns0:f>
        <ns0:v>0</ns0:v>
      </ns0:c>
      <ns0:c r="AZ84" t="n">
        <ns0:f>IF($A84="",0,COUNTIFS($J$7:$J$406,$A84,$O$7:$O$406,"&lt;="&amp;AZ$6,$P$7:$P$406,"&gt;="&amp;AZ$6,$R$7:$R$406,"No"))</ns0:f>
        <ns0:v>0</ns0:v>
      </ns0:c>
      <ns0:c r="BA84" t="n">
        <ns0:f>IF($A84="",0,COUNTIFS($J$7:$J$406,$A84,$O$7:$O$406,"&lt;="&amp;BA$6,$P$7:$P$406,"&gt;="&amp;BA$6,$R$7:$R$406,"No"))</ns0:f>
        <ns0:v>0</ns0:v>
      </ns0:c>
      <ns0:c r="BB84" t="n">
        <ns0:f>IF($A84="",0,COUNTIFS($J$7:$J$406,$A84,$O$7:$O$406,"&lt;="&amp;BB$6,$P$7:$P$406,"&gt;="&amp;BB$6,$R$7:$R$406,"No"))</ns0:f>
        <ns0:v>0</ns0:v>
      </ns0:c>
      <ns0:c r="BC84" t="n">
        <ns0:f>IF($A84="",0,COUNTIFS($J$7:$J$406,$A84,$O$7:$O$406,"&lt;="&amp;BC$6,$P$7:$P$406,"&gt;="&amp;BC$6,$R$7:$R$406,"No"))</ns0:f>
        <ns0:v>0</ns0:v>
      </ns0:c>
    </ns0:row>
    <ns0:row r="85" ht="48" customHeight="1">
      <ns0:c r="A85" s="8" t="str">
        <ns0:f>IF(ROW()-6&gt;MAX($K$7:$K$406),"",INDEX($J$7:$J$406,MATCH(ROW()-6,$K$7:$K$406,0)))</ns0:f>
      </ns0:c>
      <ns0:c r="B85" s="8" t="str">
        <ns0:f>IF(A85="","",COUNTIFS($J$7:$J$406,$A85))</ns0:f>
      </ns0:c>
      <ns0:c r="C85" s="8" t="str">
        <ns0:f>IF(A85="","",COUNTIFS($J$7:$J$406,$A85,$N$7:$N$406,1))</ns0:f>
      </ns0:c>
      <ns0:c r="D85" s="8" t="str">
        <ns0:f>IF(A85="","",COUNTIFS($J$7:$J$406,$A85,$Q$7:$Q$406,"In Progress"))</ns0:f>
      </ns0:c>
      <ns0:c r="E85" s="8" t="str">
        <ns0:f>IF(A85="","",B85-C85)</ns0:f>
      </ns0:c>
      <ns0:c r="F85" s="19" t="str">
        <ns0:f>IF(A85="","",SUMIFS($N$7:$N$406,$J$7:$J$406,$A85)/B85)</ns0:f>
      </ns0:c>
      <ns0:c r="G85" s="8" t="str">
        <ns0:f>IF(A85="","",COUNTIFS(V85:BC85,"&gt;1"))</ns0:f>
      </ns0:c>
      <ns0:c r="H85" s="8" t="str">
        <ns0:f>IF(A85="","",IF(COUNTIFS($T$7:$T$33,A85)&gt;0,INDEX($U$7:$U$33,MATCH(A85,$T$7:$T$33,0)),"No capacity or responsibility detail supplied."))</ns0:f>
      </ns0:c>
      <ns0:c r="J85" t="str">
        <ns0:f>IF('Project Tracker'!A26="","",TRIM(MID(SUBSTITUTE('Project Tracker'!K26,";",REPT(" ",150)),301,150)))</ns0:f>
      </ns0:c>
      <ns0:c r="K85" t="str">
        <ns0:f>IF(J85="","",IF(COUNTIFS($J$7:J85,J85)=1,MAX($K$6:K84)+1,""))</ns0:f>
      </ns0:c>
      <ns0:c r="L85" t="n">
        <ns0:f>IF(A85="",0,B85+(107-ROW())/1000)</ns0:f>
        <ns0:v>0</ns0:v>
      </ns0:c>
      <ns0:c r="M85" t="str">
        <ns0:f>IF(J85="","",'Project Tracker'!A26)</ns0:f>
      </ns0:c>
      <ns0:c r="N85" t="str">
        <ns0:f>IF(J85="","",'Project Tracker'!N26)</ns0:f>
      </ns0:c>
      <ns0:c r="O85" t="str">
        <ns0:f>IF(J85="","",'Project Tracker'!E26)</ns0:f>
      </ns0:c>
      <ns0:c r="P85" t="str">
        <ns0:f>IF(J85="","",'Project Tracker'!F26)</ns0:f>
      </ns0:c>
      <ns0:c r="Q85" t="str">
        <ns0:f>IF(J85="","",'Project Tracker'!Q26)</ns0:f>
      </ns0:c>
      <ns0:c r="R85" t="str">
        <ns0:f>IF(J85="","",'Project Tracker'!J26)</ns0:f>
      </ns0:c>
      <ns0:c r="V85" t="n">
        <ns0:f>IF($A85="",0,COUNTIFS($J$7:$J$406,$A85,$O$7:$O$406,"&lt;="&amp;V$6,$P$7:$P$406,"&gt;="&amp;V$6,$R$7:$R$406,"No"))</ns0:f>
        <ns0:v>0</ns0:v>
      </ns0:c>
      <ns0:c r="W85" t="n">
        <ns0:f>IF($A85="",0,COUNTIFS($J$7:$J$406,$A85,$O$7:$O$406,"&lt;="&amp;W$6,$P$7:$P$406,"&gt;="&amp;W$6,$R$7:$R$406,"No"))</ns0:f>
        <ns0:v>0</ns0:v>
      </ns0:c>
      <ns0:c r="X85" t="n">
        <ns0:f>IF($A85="",0,COUNTIFS($J$7:$J$406,$A85,$O$7:$O$406,"&lt;="&amp;X$6,$P$7:$P$406,"&gt;="&amp;X$6,$R$7:$R$406,"No"))</ns0:f>
        <ns0:v>0</ns0:v>
      </ns0:c>
      <ns0:c r="Y85" t="n">
        <ns0:f>IF($A85="",0,COUNTIFS($J$7:$J$406,$A85,$O$7:$O$406,"&lt;="&amp;Y$6,$P$7:$P$406,"&gt;="&amp;Y$6,$R$7:$R$406,"No"))</ns0:f>
        <ns0:v>0</ns0:v>
      </ns0:c>
      <ns0:c r="Z85" t="n">
        <ns0:f>IF($A85="",0,COUNTIFS($J$7:$J$406,$A85,$O$7:$O$406,"&lt;="&amp;Z$6,$P$7:$P$406,"&gt;="&amp;Z$6,$R$7:$R$406,"No"))</ns0:f>
        <ns0:v>0</ns0:v>
      </ns0:c>
      <ns0:c r="AA85" t="n">
        <ns0:f>IF($A85="",0,COUNTIFS($J$7:$J$406,$A85,$O$7:$O$406,"&lt;="&amp;AA$6,$P$7:$P$406,"&gt;="&amp;AA$6,$R$7:$R$406,"No"))</ns0:f>
        <ns0:v>0</ns0:v>
      </ns0:c>
      <ns0:c r="AB85" t="n">
        <ns0:f>IF($A85="",0,COUNTIFS($J$7:$J$406,$A85,$O$7:$O$406,"&lt;="&amp;AB$6,$P$7:$P$406,"&gt;="&amp;AB$6,$R$7:$R$406,"No"))</ns0:f>
        <ns0:v>0</ns0:v>
      </ns0:c>
      <ns0:c r="AC85" t="n">
        <ns0:f>IF($A85="",0,COUNTIFS($J$7:$J$406,$A85,$O$7:$O$406,"&lt;="&amp;AC$6,$P$7:$P$406,"&gt;="&amp;AC$6,$R$7:$R$406,"No"))</ns0:f>
        <ns0:v>0</ns0:v>
      </ns0:c>
      <ns0:c r="AD85" t="n">
        <ns0:f>IF($A85="",0,COUNTIFS($J$7:$J$406,$A85,$O$7:$O$406,"&lt;="&amp;AD$6,$P$7:$P$406,"&gt;="&amp;AD$6,$R$7:$R$406,"No"))</ns0:f>
        <ns0:v>0</ns0:v>
      </ns0:c>
      <ns0:c r="AE85" t="n">
        <ns0:f>IF($A85="",0,COUNTIFS($J$7:$J$406,$A85,$O$7:$O$406,"&lt;="&amp;AE$6,$P$7:$P$406,"&gt;="&amp;AE$6,$R$7:$R$406,"No"))</ns0:f>
        <ns0:v>0</ns0:v>
      </ns0:c>
      <ns0:c r="AF85" t="n">
        <ns0:f>IF($A85="",0,COUNTIFS($J$7:$J$406,$A85,$O$7:$O$406,"&lt;="&amp;AF$6,$P$7:$P$406,"&gt;="&amp;AF$6,$R$7:$R$406,"No"))</ns0:f>
        <ns0:v>0</ns0:v>
      </ns0:c>
      <ns0:c r="AG85" t="n">
        <ns0:f>IF($A85="",0,COUNTIFS($J$7:$J$406,$A85,$O$7:$O$406,"&lt;="&amp;AG$6,$P$7:$P$406,"&gt;="&amp;AG$6,$R$7:$R$406,"No"))</ns0:f>
        <ns0:v>0</ns0:v>
      </ns0:c>
      <ns0:c r="AH85" t="n">
        <ns0:f>IF($A85="",0,COUNTIFS($J$7:$J$406,$A85,$O$7:$O$406,"&lt;="&amp;AH$6,$P$7:$P$406,"&gt;="&amp;AH$6,$R$7:$R$406,"No"))</ns0:f>
        <ns0:v>0</ns0:v>
      </ns0:c>
      <ns0:c r="AI85" t="n">
        <ns0:f>IF($A85="",0,COUNTIFS($J$7:$J$406,$A85,$O$7:$O$406,"&lt;="&amp;AI$6,$P$7:$P$406,"&gt;="&amp;AI$6,$R$7:$R$406,"No"))</ns0:f>
        <ns0:v>0</ns0:v>
      </ns0:c>
      <ns0:c r="AJ85" t="n">
        <ns0:f>IF($A85="",0,COUNTIFS($J$7:$J$406,$A85,$O$7:$O$406,"&lt;="&amp;AJ$6,$P$7:$P$406,"&gt;="&amp;AJ$6,$R$7:$R$406,"No"))</ns0:f>
        <ns0:v>0</ns0:v>
      </ns0:c>
      <ns0:c r="AK85" t="n">
        <ns0:f>IF($A85="",0,COUNTIFS($J$7:$J$406,$A85,$O$7:$O$406,"&lt;="&amp;AK$6,$P$7:$P$406,"&gt;="&amp;AK$6,$R$7:$R$406,"No"))</ns0:f>
        <ns0:v>0</ns0:v>
      </ns0:c>
      <ns0:c r="AL85" t="n">
        <ns0:f>IF($A85="",0,COUNTIFS($J$7:$J$406,$A85,$O$7:$O$406,"&lt;="&amp;AL$6,$P$7:$P$406,"&gt;="&amp;AL$6,$R$7:$R$406,"No"))</ns0:f>
        <ns0:v>0</ns0:v>
      </ns0:c>
      <ns0:c r="AM85" t="n">
        <ns0:f>IF($A85="",0,COUNTIFS($J$7:$J$406,$A85,$O$7:$O$406,"&lt;="&amp;AM$6,$P$7:$P$406,"&gt;="&amp;AM$6,$R$7:$R$406,"No"))</ns0:f>
        <ns0:v>0</ns0:v>
      </ns0:c>
      <ns0:c r="AN85" t="n">
        <ns0:f>IF($A85="",0,COUNTIFS($J$7:$J$406,$A85,$O$7:$O$406,"&lt;="&amp;AN$6,$P$7:$P$406,"&gt;="&amp;AN$6,$R$7:$R$406,"No"))</ns0:f>
        <ns0:v>0</ns0:v>
      </ns0:c>
      <ns0:c r="AO85" t="n">
        <ns0:f>IF($A85="",0,COUNTIFS($J$7:$J$406,$A85,$O$7:$O$406,"&lt;="&amp;AO$6,$P$7:$P$406,"&gt;="&amp;AO$6,$R$7:$R$406,"No"))</ns0:f>
        <ns0:v>0</ns0:v>
      </ns0:c>
      <ns0:c r="AP85" t="n">
        <ns0:f>IF($A85="",0,COUNTIFS($J$7:$J$406,$A85,$O$7:$O$406,"&lt;="&amp;AP$6,$P$7:$P$406,"&gt;="&amp;AP$6,$R$7:$R$406,"No"))</ns0:f>
        <ns0:v>0</ns0:v>
      </ns0:c>
      <ns0:c r="AQ85" t="n">
        <ns0:f>IF($A85="",0,COUNTIFS($J$7:$J$406,$A85,$O$7:$O$406,"&lt;="&amp;AQ$6,$P$7:$P$406,"&gt;="&amp;AQ$6,$R$7:$R$406,"No"))</ns0:f>
        <ns0:v>0</ns0:v>
      </ns0:c>
      <ns0:c r="AR85" t="n">
        <ns0:f>IF($A85="",0,COUNTIFS($J$7:$J$406,$A85,$O$7:$O$406,"&lt;="&amp;AR$6,$P$7:$P$406,"&gt;="&amp;AR$6,$R$7:$R$406,"No"))</ns0:f>
        <ns0:v>0</ns0:v>
      </ns0:c>
      <ns0:c r="AS85" t="n">
        <ns0:f>IF($A85="",0,COUNTIFS($J$7:$J$406,$A85,$O$7:$O$406,"&lt;="&amp;AS$6,$P$7:$P$406,"&gt;="&amp;AS$6,$R$7:$R$406,"No"))</ns0:f>
        <ns0:v>0</ns0:v>
      </ns0:c>
      <ns0:c r="AT85" t="n">
        <ns0:f>IF($A85="",0,COUNTIFS($J$7:$J$406,$A85,$O$7:$O$406,"&lt;="&amp;AT$6,$P$7:$P$406,"&gt;="&amp;AT$6,$R$7:$R$406,"No"))</ns0:f>
        <ns0:v>0</ns0:v>
      </ns0:c>
      <ns0:c r="AU85" t="n">
        <ns0:f>IF($A85="",0,COUNTIFS($J$7:$J$406,$A85,$O$7:$O$406,"&lt;="&amp;AU$6,$P$7:$P$406,"&gt;="&amp;AU$6,$R$7:$R$406,"No"))</ns0:f>
        <ns0:v>0</ns0:v>
      </ns0:c>
      <ns0:c r="AV85" t="n">
        <ns0:f>IF($A85="",0,COUNTIFS($J$7:$J$406,$A85,$O$7:$O$406,"&lt;="&amp;AV$6,$P$7:$P$406,"&gt;="&amp;AV$6,$R$7:$R$406,"No"))</ns0:f>
        <ns0:v>0</ns0:v>
      </ns0:c>
      <ns0:c r="AW85" t="n">
        <ns0:f>IF($A85="",0,COUNTIFS($J$7:$J$406,$A85,$O$7:$O$406,"&lt;="&amp;AW$6,$P$7:$P$406,"&gt;="&amp;AW$6,$R$7:$R$406,"No"))</ns0:f>
        <ns0:v>0</ns0:v>
      </ns0:c>
      <ns0:c r="AX85" t="n">
        <ns0:f>IF($A85="",0,COUNTIFS($J$7:$J$406,$A85,$O$7:$O$406,"&lt;="&amp;AX$6,$P$7:$P$406,"&gt;="&amp;AX$6,$R$7:$R$406,"No"))</ns0:f>
        <ns0:v>0</ns0:v>
      </ns0:c>
      <ns0:c r="AY85" t="n">
        <ns0:f>IF($A85="",0,COUNTIFS($J$7:$J$406,$A85,$O$7:$O$406,"&lt;="&amp;AY$6,$P$7:$P$406,"&gt;="&amp;AY$6,$R$7:$R$406,"No"))</ns0:f>
        <ns0:v>0</ns0:v>
      </ns0:c>
      <ns0:c r="AZ85" t="n">
        <ns0:f>IF($A85="",0,COUNTIFS($J$7:$J$406,$A85,$O$7:$O$406,"&lt;="&amp;AZ$6,$P$7:$P$406,"&gt;="&amp;AZ$6,$R$7:$R$406,"No"))</ns0:f>
        <ns0:v>0</ns0:v>
      </ns0:c>
      <ns0:c r="BA85" t="n">
        <ns0:f>IF($A85="",0,COUNTIFS($J$7:$J$406,$A85,$O$7:$O$406,"&lt;="&amp;BA$6,$P$7:$P$406,"&gt;="&amp;BA$6,$R$7:$R$406,"No"))</ns0:f>
        <ns0:v>0</ns0:v>
      </ns0:c>
      <ns0:c r="BB85" t="n">
        <ns0:f>IF($A85="",0,COUNTIFS($J$7:$J$406,$A85,$O$7:$O$406,"&lt;="&amp;BB$6,$P$7:$P$406,"&gt;="&amp;BB$6,$R$7:$R$406,"No"))</ns0:f>
        <ns0:v>0</ns0:v>
      </ns0:c>
      <ns0:c r="BC85" t="n">
        <ns0:f>IF($A85="",0,COUNTIFS($J$7:$J$406,$A85,$O$7:$O$406,"&lt;="&amp;BC$6,$P$7:$P$406,"&gt;="&amp;BC$6,$R$7:$R$406,"No"))</ns0:f>
        <ns0:v>0</ns0:v>
      </ns0:c>
    </ns0:row>
    <ns0:row r="86" ht="48" customHeight="1">
      <ns0:c r="A86" s="8" t="str">
        <ns0:f>IF(ROW()-6&gt;MAX($K$7:$K$406),"",INDEX($J$7:$J$406,MATCH(ROW()-6,$K$7:$K$406,0)))</ns0:f>
      </ns0:c>
      <ns0:c r="B86" s="8" t="str">
        <ns0:f>IF(A86="","",COUNTIFS($J$7:$J$406,$A86))</ns0:f>
      </ns0:c>
      <ns0:c r="C86" s="8" t="str">
        <ns0:f>IF(A86="","",COUNTIFS($J$7:$J$406,$A86,$N$7:$N$406,1))</ns0:f>
      </ns0:c>
      <ns0:c r="D86" s="8" t="str">
        <ns0:f>IF(A86="","",COUNTIFS($J$7:$J$406,$A86,$Q$7:$Q$406,"In Progress"))</ns0:f>
      </ns0:c>
      <ns0:c r="E86" s="8" t="str">
        <ns0:f>IF(A86="","",B86-C86)</ns0:f>
      </ns0:c>
      <ns0:c r="F86" s="19" t="str">
        <ns0:f>IF(A86="","",SUMIFS($N$7:$N$406,$J$7:$J$406,$A86)/B86)</ns0:f>
      </ns0:c>
      <ns0:c r="G86" s="8" t="str">
        <ns0:f>IF(A86="","",COUNTIFS(V86:BC86,"&gt;1"))</ns0:f>
      </ns0:c>
      <ns0:c r="H86" s="8" t="str">
        <ns0:f>IF(A86="","",IF(COUNTIFS($T$7:$T$33,A86)&gt;0,INDEX($U$7:$U$33,MATCH(A86,$T$7:$T$33,0)),"No capacity or responsibility detail supplied."))</ns0:f>
      </ns0:c>
      <ns0:c r="J86" t="str">
        <ns0:f>IF('Project Tracker'!A26="","",TRIM(MID(SUBSTITUTE('Project Tracker'!K26,";",REPT(" ",150)),451,150)))</ns0:f>
      </ns0:c>
      <ns0:c r="K86" t="str">
        <ns0:f>IF(J86="","",IF(COUNTIFS($J$7:J86,J86)=1,MAX($K$6:K85)+1,""))</ns0:f>
      </ns0:c>
      <ns0:c r="L86" t="n">
        <ns0:f>IF(A86="",0,B86+(107-ROW())/1000)</ns0:f>
        <ns0:v>0</ns0:v>
      </ns0:c>
      <ns0:c r="M86" t="str">
        <ns0:f>IF(J86="","",'Project Tracker'!A26)</ns0:f>
      </ns0:c>
      <ns0:c r="N86" t="str">
        <ns0:f>IF(J86="","",'Project Tracker'!N26)</ns0:f>
      </ns0:c>
      <ns0:c r="O86" t="str">
        <ns0:f>IF(J86="","",'Project Tracker'!E26)</ns0:f>
      </ns0:c>
      <ns0:c r="P86" t="str">
        <ns0:f>IF(J86="","",'Project Tracker'!F26)</ns0:f>
      </ns0:c>
      <ns0:c r="Q86" t="str">
        <ns0:f>IF(J86="","",'Project Tracker'!Q26)</ns0:f>
      </ns0:c>
      <ns0:c r="R86" t="str">
        <ns0:f>IF(J86="","",'Project Tracker'!J26)</ns0:f>
      </ns0:c>
      <ns0:c r="V86" t="n">
        <ns0:f>IF($A86="",0,COUNTIFS($J$7:$J$406,$A86,$O$7:$O$406,"&lt;="&amp;V$6,$P$7:$P$406,"&gt;="&amp;V$6,$R$7:$R$406,"No"))</ns0:f>
        <ns0:v>0</ns0:v>
      </ns0:c>
      <ns0:c r="W86" t="n">
        <ns0:f>IF($A86="",0,COUNTIFS($J$7:$J$406,$A86,$O$7:$O$406,"&lt;="&amp;W$6,$P$7:$P$406,"&gt;="&amp;W$6,$R$7:$R$406,"No"))</ns0:f>
        <ns0:v>0</ns0:v>
      </ns0:c>
      <ns0:c r="X86" t="n">
        <ns0:f>IF($A86="",0,COUNTIFS($J$7:$J$406,$A86,$O$7:$O$406,"&lt;="&amp;X$6,$P$7:$P$406,"&gt;="&amp;X$6,$R$7:$R$406,"No"))</ns0:f>
        <ns0:v>0</ns0:v>
      </ns0:c>
      <ns0:c r="Y86" t="n">
        <ns0:f>IF($A86="",0,COUNTIFS($J$7:$J$406,$A86,$O$7:$O$406,"&lt;="&amp;Y$6,$P$7:$P$406,"&gt;="&amp;Y$6,$R$7:$R$406,"No"))</ns0:f>
        <ns0:v>0</ns0:v>
      </ns0:c>
      <ns0:c r="Z86" t="n">
        <ns0:f>IF($A86="",0,COUNTIFS($J$7:$J$406,$A86,$O$7:$O$406,"&lt;="&amp;Z$6,$P$7:$P$406,"&gt;="&amp;Z$6,$R$7:$R$406,"No"))</ns0:f>
        <ns0:v>0</ns0:v>
      </ns0:c>
      <ns0:c r="AA86" t="n">
        <ns0:f>IF($A86="",0,COUNTIFS($J$7:$J$406,$A86,$O$7:$O$406,"&lt;="&amp;AA$6,$P$7:$P$406,"&gt;="&amp;AA$6,$R$7:$R$406,"No"))</ns0:f>
        <ns0:v>0</ns0:v>
      </ns0:c>
      <ns0:c r="AB86" t="n">
        <ns0:f>IF($A86="",0,COUNTIFS($J$7:$J$406,$A86,$O$7:$O$406,"&lt;="&amp;AB$6,$P$7:$P$406,"&gt;="&amp;AB$6,$R$7:$R$406,"No"))</ns0:f>
        <ns0:v>0</ns0:v>
      </ns0:c>
      <ns0:c r="AC86" t="n">
        <ns0:f>IF($A86="",0,COUNTIFS($J$7:$J$406,$A86,$O$7:$O$406,"&lt;="&amp;AC$6,$P$7:$P$406,"&gt;="&amp;AC$6,$R$7:$R$406,"No"))</ns0:f>
        <ns0:v>0</ns0:v>
      </ns0:c>
      <ns0:c r="AD86" t="n">
        <ns0:f>IF($A86="",0,COUNTIFS($J$7:$J$406,$A86,$O$7:$O$406,"&lt;="&amp;AD$6,$P$7:$P$406,"&gt;="&amp;AD$6,$R$7:$R$406,"No"))</ns0:f>
        <ns0:v>0</ns0:v>
      </ns0:c>
      <ns0:c r="AE86" t="n">
        <ns0:f>IF($A86="",0,COUNTIFS($J$7:$J$406,$A86,$O$7:$O$406,"&lt;="&amp;AE$6,$P$7:$P$406,"&gt;="&amp;AE$6,$R$7:$R$406,"No"))</ns0:f>
        <ns0:v>0</ns0:v>
      </ns0:c>
      <ns0:c r="AF86" t="n">
        <ns0:f>IF($A86="",0,COUNTIFS($J$7:$J$406,$A86,$O$7:$O$406,"&lt;="&amp;AF$6,$P$7:$P$406,"&gt;="&amp;AF$6,$R$7:$R$406,"No"))</ns0:f>
        <ns0:v>0</ns0:v>
      </ns0:c>
      <ns0:c r="AG86" t="n">
        <ns0:f>IF($A86="",0,COUNTIFS($J$7:$J$406,$A86,$O$7:$O$406,"&lt;="&amp;AG$6,$P$7:$P$406,"&gt;="&amp;AG$6,$R$7:$R$406,"No"))</ns0:f>
        <ns0:v>0</ns0:v>
      </ns0:c>
      <ns0:c r="AH86" t="n">
        <ns0:f>IF($A86="",0,COUNTIFS($J$7:$J$406,$A86,$O$7:$O$406,"&lt;="&amp;AH$6,$P$7:$P$406,"&gt;="&amp;AH$6,$R$7:$R$406,"No"))</ns0:f>
        <ns0:v>0</ns0:v>
      </ns0:c>
      <ns0:c r="AI86" t="n">
        <ns0:f>IF($A86="",0,COUNTIFS($J$7:$J$406,$A86,$O$7:$O$406,"&lt;="&amp;AI$6,$P$7:$P$406,"&gt;="&amp;AI$6,$R$7:$R$406,"No"))</ns0:f>
        <ns0:v>0</ns0:v>
      </ns0:c>
      <ns0:c r="AJ86" t="n">
        <ns0:f>IF($A86="",0,COUNTIFS($J$7:$J$406,$A86,$O$7:$O$406,"&lt;="&amp;AJ$6,$P$7:$P$406,"&gt;="&amp;AJ$6,$R$7:$R$406,"No"))</ns0:f>
        <ns0:v>0</ns0:v>
      </ns0:c>
      <ns0:c r="AK86" t="n">
        <ns0:f>IF($A86="",0,COUNTIFS($J$7:$J$406,$A86,$O$7:$O$406,"&lt;="&amp;AK$6,$P$7:$P$406,"&gt;="&amp;AK$6,$R$7:$R$406,"No"))</ns0:f>
        <ns0:v>0</ns0:v>
      </ns0:c>
      <ns0:c r="AL86" t="n">
        <ns0:f>IF($A86="",0,COUNTIFS($J$7:$J$406,$A86,$O$7:$O$406,"&lt;="&amp;AL$6,$P$7:$P$406,"&gt;="&amp;AL$6,$R$7:$R$406,"No"))</ns0:f>
        <ns0:v>0</ns0:v>
      </ns0:c>
      <ns0:c r="AM86" t="n">
        <ns0:f>IF($A86="",0,COUNTIFS($J$7:$J$406,$A86,$O$7:$O$406,"&lt;="&amp;AM$6,$P$7:$P$406,"&gt;="&amp;AM$6,$R$7:$R$406,"No"))</ns0:f>
        <ns0:v>0</ns0:v>
      </ns0:c>
      <ns0:c r="AN86" t="n">
        <ns0:f>IF($A86="",0,COUNTIFS($J$7:$J$406,$A86,$O$7:$O$406,"&lt;="&amp;AN$6,$P$7:$P$406,"&gt;="&amp;AN$6,$R$7:$R$406,"No"))</ns0:f>
        <ns0:v>0</ns0:v>
      </ns0:c>
      <ns0:c r="AO86" t="n">
        <ns0:f>IF($A86="",0,COUNTIFS($J$7:$J$406,$A86,$O$7:$O$406,"&lt;="&amp;AO$6,$P$7:$P$406,"&gt;="&amp;AO$6,$R$7:$R$406,"No"))</ns0:f>
        <ns0:v>0</ns0:v>
      </ns0:c>
      <ns0:c r="AP86" t="n">
        <ns0:f>IF($A86="",0,COUNTIFS($J$7:$J$406,$A86,$O$7:$O$406,"&lt;="&amp;AP$6,$P$7:$P$406,"&gt;="&amp;AP$6,$R$7:$R$406,"No"))</ns0:f>
        <ns0:v>0</ns0:v>
      </ns0:c>
      <ns0:c r="AQ86" t="n">
        <ns0:f>IF($A86="",0,COUNTIFS($J$7:$J$406,$A86,$O$7:$O$406,"&lt;="&amp;AQ$6,$P$7:$P$406,"&gt;="&amp;AQ$6,$R$7:$R$406,"No"))</ns0:f>
        <ns0:v>0</ns0:v>
      </ns0:c>
      <ns0:c r="AR86" t="n">
        <ns0:f>IF($A86="",0,COUNTIFS($J$7:$J$406,$A86,$O$7:$O$406,"&lt;="&amp;AR$6,$P$7:$P$406,"&gt;="&amp;AR$6,$R$7:$R$406,"No"))</ns0:f>
        <ns0:v>0</ns0:v>
      </ns0:c>
      <ns0:c r="AS86" t="n">
        <ns0:f>IF($A86="",0,COUNTIFS($J$7:$J$406,$A86,$O$7:$O$406,"&lt;="&amp;AS$6,$P$7:$P$406,"&gt;="&amp;AS$6,$R$7:$R$406,"No"))</ns0:f>
        <ns0:v>0</ns0:v>
      </ns0:c>
      <ns0:c r="AT86" t="n">
        <ns0:f>IF($A86="",0,COUNTIFS($J$7:$J$406,$A86,$O$7:$O$406,"&lt;="&amp;AT$6,$P$7:$P$406,"&gt;="&amp;AT$6,$R$7:$R$406,"No"))</ns0:f>
        <ns0:v>0</ns0:v>
      </ns0:c>
      <ns0:c r="AU86" t="n">
        <ns0:f>IF($A86="",0,COUNTIFS($J$7:$J$406,$A86,$O$7:$O$406,"&lt;="&amp;AU$6,$P$7:$P$406,"&gt;="&amp;AU$6,$R$7:$R$406,"No"))</ns0:f>
        <ns0:v>0</ns0:v>
      </ns0:c>
      <ns0:c r="AV86" t="n">
        <ns0:f>IF($A86="",0,COUNTIFS($J$7:$J$406,$A86,$O$7:$O$406,"&lt;="&amp;AV$6,$P$7:$P$406,"&gt;="&amp;AV$6,$R$7:$R$406,"No"))</ns0:f>
        <ns0:v>0</ns0:v>
      </ns0:c>
      <ns0:c r="AW86" t="n">
        <ns0:f>IF($A86="",0,COUNTIFS($J$7:$J$406,$A86,$O$7:$O$406,"&lt;="&amp;AW$6,$P$7:$P$406,"&gt;="&amp;AW$6,$R$7:$R$406,"No"))</ns0:f>
        <ns0:v>0</ns0:v>
      </ns0:c>
      <ns0:c r="AX86" t="n">
        <ns0:f>IF($A86="",0,COUNTIFS($J$7:$J$406,$A86,$O$7:$O$406,"&lt;="&amp;AX$6,$P$7:$P$406,"&gt;="&amp;AX$6,$R$7:$R$406,"No"))</ns0:f>
        <ns0:v>0</ns0:v>
      </ns0:c>
      <ns0:c r="AY86" t="n">
        <ns0:f>IF($A86="",0,COUNTIFS($J$7:$J$406,$A86,$O$7:$O$406,"&lt;="&amp;AY$6,$P$7:$P$406,"&gt;="&amp;AY$6,$R$7:$R$406,"No"))</ns0:f>
        <ns0:v>0</ns0:v>
      </ns0:c>
      <ns0:c r="AZ86" t="n">
        <ns0:f>IF($A86="",0,COUNTIFS($J$7:$J$406,$A86,$O$7:$O$406,"&lt;="&amp;AZ$6,$P$7:$P$406,"&gt;="&amp;AZ$6,$R$7:$R$406,"No"))</ns0:f>
        <ns0:v>0</ns0:v>
      </ns0:c>
      <ns0:c r="BA86" t="n">
        <ns0:f>IF($A86="",0,COUNTIFS($J$7:$J$406,$A86,$O$7:$O$406,"&lt;="&amp;BA$6,$P$7:$P$406,"&gt;="&amp;BA$6,$R$7:$R$406,"No"))</ns0:f>
        <ns0:v>0</ns0:v>
      </ns0:c>
      <ns0:c r="BB86" t="n">
        <ns0:f>IF($A86="",0,COUNTIFS($J$7:$J$406,$A86,$O$7:$O$406,"&lt;="&amp;BB$6,$P$7:$P$406,"&gt;="&amp;BB$6,$R$7:$R$406,"No"))</ns0:f>
        <ns0:v>0</ns0:v>
      </ns0:c>
      <ns0:c r="BC86" t="n">
        <ns0:f>IF($A86="",0,COUNTIFS($J$7:$J$406,$A86,$O$7:$O$406,"&lt;="&amp;BC$6,$P$7:$P$406,"&gt;="&amp;BC$6,$R$7:$R$406,"No"))</ns0:f>
        <ns0:v>0</ns0:v>
      </ns0:c>
    </ns0:row>
    <ns0:row r="87" ht="48" customHeight="1">
      <ns0:c r="A87" s="8" t="str">
        <ns0:f>IF(ROW()-6&gt;MAX($K$7:$K$406),"",INDEX($J$7:$J$406,MATCH(ROW()-6,$K$7:$K$406,0)))</ns0:f>
      </ns0:c>
      <ns0:c r="B87" s="8" t="str">
        <ns0:f>IF(A87="","",COUNTIFS($J$7:$J$406,$A87))</ns0:f>
      </ns0:c>
      <ns0:c r="C87" s="8" t="str">
        <ns0:f>IF(A87="","",COUNTIFS($J$7:$J$406,$A87,$N$7:$N$406,1))</ns0:f>
      </ns0:c>
      <ns0:c r="D87" s="8" t="str">
        <ns0:f>IF(A87="","",COUNTIFS($J$7:$J$406,$A87,$Q$7:$Q$406,"In Progress"))</ns0:f>
      </ns0:c>
      <ns0:c r="E87" s="8" t="str">
        <ns0:f>IF(A87="","",B87-C87)</ns0:f>
      </ns0:c>
      <ns0:c r="F87" s="19" t="str">
        <ns0:f>IF(A87="","",SUMIFS($N$7:$N$406,$J$7:$J$406,$A87)/B87)</ns0:f>
      </ns0:c>
      <ns0:c r="G87" s="8" t="str">
        <ns0:f>IF(A87="","",COUNTIFS(V87:BC87,"&gt;1"))</ns0:f>
      </ns0:c>
      <ns0:c r="H87" s="8" t="str">
        <ns0:f>IF(A87="","",IF(COUNTIFS($T$7:$T$33,A87)&gt;0,INDEX($U$7:$U$33,MATCH(A87,$T$7:$T$33,0)),"No capacity or responsibility detail supplied."))</ns0:f>
      </ns0:c>
      <ns0:c r="J87" t="str">
        <ns0:f>IF('Project Tracker'!A27="","",TRIM(MID(SUBSTITUTE('Project Tracker'!K27,";",REPT(" ",150)),1,150)))</ns0:f>
        <ns0:v>Specialist Sub-Agents (L4_SUBS)</ns0:v>
      </ns0:c>
      <ns0:c r="K87" t="str">
        <ns0:f>IF(J87="","",IF(COUNTIFS($J$7:J87,J87)=1,MAX($K$6:K86)+1,""))</ns0:f>
      </ns0:c>
      <ns0:c r="L87" t="n">
        <ns0:f>IF(A87="",0,B87+(107-ROW())/1000)</ns0:f>
        <ns0:v>0</ns0:v>
      </ns0:c>
      <ns0:c r="M87" t="str">
        <ns0:f>IF(J87="","",'Project Tracker'!A27)</ns0:f>
        <ns0:v>T18</ns0:v>
      </ns0:c>
      <ns0:c r="N87" t="n">
        <ns0:f>IF(J87="","",'Project Tracker'!N27)</ns0:f>
        <ns0:v>0</ns0:v>
      </ns0:c>
      <ns0:c r="O87" t="n">
        <ns0:f>IF(J87="","",'Project Tracker'!E27)</ns0:f>
        <ns0:v>46285</ns0:v>
      </ns0:c>
      <ns0:c r="P87" t="n">
        <ns0:f>IF(J87="","",'Project Tracker'!F27)</ns0:f>
        <ns0:v>46286</ns0:v>
      </ns0:c>
      <ns0:c r="Q87" t="str">
        <ns0:f>IF(J87="","",'Project Tracker'!Q27)</ns0:f>
        <ns0:v>Not Started</ns0:v>
      </ns0:c>
      <ns0:c r="R87" t="str">
        <ns0:f>IF(J87="","",'Project Tracker'!J27)</ns0:f>
        <ns0:v>No</ns0:v>
      </ns0:c>
      <ns0:c r="V87" t="n">
        <ns0:f>IF($A87="",0,COUNTIFS($J$7:$J$406,$A87,$O$7:$O$406,"&lt;="&amp;V$6,$P$7:$P$406,"&gt;="&amp;V$6,$R$7:$R$406,"No"))</ns0:f>
        <ns0:v>0</ns0:v>
      </ns0:c>
      <ns0:c r="W87" t="n">
        <ns0:f>IF($A87="",0,COUNTIFS($J$7:$J$406,$A87,$O$7:$O$406,"&lt;="&amp;W$6,$P$7:$P$406,"&gt;="&amp;W$6,$R$7:$R$406,"No"))</ns0:f>
        <ns0:v>0</ns0:v>
      </ns0:c>
      <ns0:c r="X87" t="n">
        <ns0:f>IF($A87="",0,COUNTIFS($J$7:$J$406,$A87,$O$7:$O$406,"&lt;="&amp;X$6,$P$7:$P$406,"&gt;="&amp;X$6,$R$7:$R$406,"No"))</ns0:f>
        <ns0:v>0</ns0:v>
      </ns0:c>
      <ns0:c r="Y87" t="n">
        <ns0:f>IF($A87="",0,COUNTIFS($J$7:$J$406,$A87,$O$7:$O$406,"&lt;="&amp;Y$6,$P$7:$P$406,"&gt;="&amp;Y$6,$R$7:$R$406,"No"))</ns0:f>
        <ns0:v>0</ns0:v>
      </ns0:c>
      <ns0:c r="Z87" t="n">
        <ns0:f>IF($A87="",0,COUNTIFS($J$7:$J$406,$A87,$O$7:$O$406,"&lt;="&amp;Z$6,$P$7:$P$406,"&gt;="&amp;Z$6,$R$7:$R$406,"No"))</ns0:f>
        <ns0:v>0</ns0:v>
      </ns0:c>
      <ns0:c r="AA87" t="n">
        <ns0:f>IF($A87="",0,COUNTIFS($J$7:$J$406,$A87,$O$7:$O$406,"&lt;="&amp;AA$6,$P$7:$P$406,"&gt;="&amp;AA$6,$R$7:$R$406,"No"))</ns0:f>
        <ns0:v>0</ns0:v>
      </ns0:c>
      <ns0:c r="AB87" t="n">
        <ns0:f>IF($A87="",0,COUNTIFS($J$7:$J$406,$A87,$O$7:$O$406,"&lt;="&amp;AB$6,$P$7:$P$406,"&gt;="&amp;AB$6,$R$7:$R$406,"No"))</ns0:f>
        <ns0:v>0</ns0:v>
      </ns0:c>
      <ns0:c r="AC87" t="n">
        <ns0:f>IF($A87="",0,COUNTIFS($J$7:$J$406,$A87,$O$7:$O$406,"&lt;="&amp;AC$6,$P$7:$P$406,"&gt;="&amp;AC$6,$R$7:$R$406,"No"))</ns0:f>
        <ns0:v>0</ns0:v>
      </ns0:c>
      <ns0:c r="AD87" t="n">
        <ns0:f>IF($A87="",0,COUNTIFS($J$7:$J$406,$A87,$O$7:$O$406,"&lt;="&amp;AD$6,$P$7:$P$406,"&gt;="&amp;AD$6,$R$7:$R$406,"No"))</ns0:f>
        <ns0:v>0</ns0:v>
      </ns0:c>
      <ns0:c r="AE87" t="n">
        <ns0:f>IF($A87="",0,COUNTIFS($J$7:$J$406,$A87,$O$7:$O$406,"&lt;="&amp;AE$6,$P$7:$P$406,"&gt;="&amp;AE$6,$R$7:$R$406,"No"))</ns0:f>
        <ns0:v>0</ns0:v>
      </ns0:c>
      <ns0:c r="AF87" t="n">
        <ns0:f>IF($A87="",0,COUNTIFS($J$7:$J$406,$A87,$O$7:$O$406,"&lt;="&amp;AF$6,$P$7:$P$406,"&gt;="&amp;AF$6,$R$7:$R$406,"No"))</ns0:f>
        <ns0:v>0</ns0:v>
      </ns0:c>
      <ns0:c r="AG87" t="n">
        <ns0:f>IF($A87="",0,COUNTIFS($J$7:$J$406,$A87,$O$7:$O$406,"&lt;="&amp;AG$6,$P$7:$P$406,"&gt;="&amp;AG$6,$R$7:$R$406,"No"))</ns0:f>
        <ns0:v>0</ns0:v>
      </ns0:c>
      <ns0:c r="AH87" t="n">
        <ns0:f>IF($A87="",0,COUNTIFS($J$7:$J$406,$A87,$O$7:$O$406,"&lt;="&amp;AH$6,$P$7:$P$406,"&gt;="&amp;AH$6,$R$7:$R$406,"No"))</ns0:f>
        <ns0:v>0</ns0:v>
      </ns0:c>
      <ns0:c r="AI87" t="n">
        <ns0:f>IF($A87="",0,COUNTIFS($J$7:$J$406,$A87,$O$7:$O$406,"&lt;="&amp;AI$6,$P$7:$P$406,"&gt;="&amp;AI$6,$R$7:$R$406,"No"))</ns0:f>
        <ns0:v>0</ns0:v>
      </ns0:c>
      <ns0:c r="AJ87" t="n">
        <ns0:f>IF($A87="",0,COUNTIFS($J$7:$J$406,$A87,$O$7:$O$406,"&lt;="&amp;AJ$6,$P$7:$P$406,"&gt;="&amp;AJ$6,$R$7:$R$406,"No"))</ns0:f>
        <ns0:v>0</ns0:v>
      </ns0:c>
      <ns0:c r="AK87" t="n">
        <ns0:f>IF($A87="",0,COUNTIFS($J$7:$J$406,$A87,$O$7:$O$406,"&lt;="&amp;AK$6,$P$7:$P$406,"&gt;="&amp;AK$6,$R$7:$R$406,"No"))</ns0:f>
        <ns0:v>0</ns0:v>
      </ns0:c>
      <ns0:c r="AL87" t="n">
        <ns0:f>IF($A87="",0,COUNTIFS($J$7:$J$406,$A87,$O$7:$O$406,"&lt;="&amp;AL$6,$P$7:$P$406,"&gt;="&amp;AL$6,$R$7:$R$406,"No"))</ns0:f>
        <ns0:v>0</ns0:v>
      </ns0:c>
      <ns0:c r="AM87" t="n">
        <ns0:f>IF($A87="",0,COUNTIFS($J$7:$J$406,$A87,$O$7:$O$406,"&lt;="&amp;AM$6,$P$7:$P$406,"&gt;="&amp;AM$6,$R$7:$R$406,"No"))</ns0:f>
        <ns0:v>0</ns0:v>
      </ns0:c>
      <ns0:c r="AN87" t="n">
        <ns0:f>IF($A87="",0,COUNTIFS($J$7:$J$406,$A87,$O$7:$O$406,"&lt;="&amp;AN$6,$P$7:$P$406,"&gt;="&amp;AN$6,$R$7:$R$406,"No"))</ns0:f>
        <ns0:v>0</ns0:v>
      </ns0:c>
      <ns0:c r="AO87" t="n">
        <ns0:f>IF($A87="",0,COUNTIFS($J$7:$J$406,$A87,$O$7:$O$406,"&lt;="&amp;AO$6,$P$7:$P$406,"&gt;="&amp;AO$6,$R$7:$R$406,"No"))</ns0:f>
        <ns0:v>0</ns0:v>
      </ns0:c>
      <ns0:c r="AP87" t="n">
        <ns0:f>IF($A87="",0,COUNTIFS($J$7:$J$406,$A87,$O$7:$O$406,"&lt;="&amp;AP$6,$P$7:$P$406,"&gt;="&amp;AP$6,$R$7:$R$406,"No"))</ns0:f>
        <ns0:v>0</ns0:v>
      </ns0:c>
      <ns0:c r="AQ87" t="n">
        <ns0:f>IF($A87="",0,COUNTIFS($J$7:$J$406,$A87,$O$7:$O$406,"&lt;="&amp;AQ$6,$P$7:$P$406,"&gt;="&amp;AQ$6,$R$7:$R$406,"No"))</ns0:f>
        <ns0:v>0</ns0:v>
      </ns0:c>
      <ns0:c r="AR87" t="n">
        <ns0:f>IF($A87="",0,COUNTIFS($J$7:$J$406,$A87,$O$7:$O$406,"&lt;="&amp;AR$6,$P$7:$P$406,"&gt;="&amp;AR$6,$R$7:$R$406,"No"))</ns0:f>
        <ns0:v>0</ns0:v>
      </ns0:c>
      <ns0:c r="AS87" t="n">
        <ns0:f>IF($A87="",0,COUNTIFS($J$7:$J$406,$A87,$O$7:$O$406,"&lt;="&amp;AS$6,$P$7:$P$406,"&gt;="&amp;AS$6,$R$7:$R$406,"No"))</ns0:f>
        <ns0:v>0</ns0:v>
      </ns0:c>
      <ns0:c r="AT87" t="n">
        <ns0:f>IF($A87="",0,COUNTIFS($J$7:$J$406,$A87,$O$7:$O$406,"&lt;="&amp;AT$6,$P$7:$P$406,"&gt;="&amp;AT$6,$R$7:$R$406,"No"))</ns0:f>
        <ns0:v>0</ns0:v>
      </ns0:c>
      <ns0:c r="AU87" t="n">
        <ns0:f>IF($A87="",0,COUNTIFS($J$7:$J$406,$A87,$O$7:$O$406,"&lt;="&amp;AU$6,$P$7:$P$406,"&gt;="&amp;AU$6,$R$7:$R$406,"No"))</ns0:f>
        <ns0:v>0</ns0:v>
      </ns0:c>
      <ns0:c r="AV87" t="n">
        <ns0:f>IF($A87="",0,COUNTIFS($J$7:$J$406,$A87,$O$7:$O$406,"&lt;="&amp;AV$6,$P$7:$P$406,"&gt;="&amp;AV$6,$R$7:$R$406,"No"))</ns0:f>
        <ns0:v>0</ns0:v>
      </ns0:c>
      <ns0:c r="AW87" t="n">
        <ns0:f>IF($A87="",0,COUNTIFS($J$7:$J$406,$A87,$O$7:$O$406,"&lt;="&amp;AW$6,$P$7:$P$406,"&gt;="&amp;AW$6,$R$7:$R$406,"No"))</ns0:f>
        <ns0:v>0</ns0:v>
      </ns0:c>
      <ns0:c r="AX87" t="n">
        <ns0:f>IF($A87="",0,COUNTIFS($J$7:$J$406,$A87,$O$7:$O$406,"&lt;="&amp;AX$6,$P$7:$P$406,"&gt;="&amp;AX$6,$R$7:$R$406,"No"))</ns0:f>
        <ns0:v>0</ns0:v>
      </ns0:c>
      <ns0:c r="AY87" t="n">
        <ns0:f>IF($A87="",0,COUNTIFS($J$7:$J$406,$A87,$O$7:$O$406,"&lt;="&amp;AY$6,$P$7:$P$406,"&gt;="&amp;AY$6,$R$7:$R$406,"No"))</ns0:f>
        <ns0:v>0</ns0:v>
      </ns0:c>
      <ns0:c r="AZ87" t="n">
        <ns0:f>IF($A87="",0,COUNTIFS($J$7:$J$406,$A87,$O$7:$O$406,"&lt;="&amp;AZ$6,$P$7:$P$406,"&gt;="&amp;AZ$6,$R$7:$R$406,"No"))</ns0:f>
        <ns0:v>0</ns0:v>
      </ns0:c>
      <ns0:c r="BA87" t="n">
        <ns0:f>IF($A87="",0,COUNTIFS($J$7:$J$406,$A87,$O$7:$O$406,"&lt;="&amp;BA$6,$P$7:$P$406,"&gt;="&amp;BA$6,$R$7:$R$406,"No"))</ns0:f>
        <ns0:v>0</ns0:v>
      </ns0:c>
      <ns0:c r="BB87" t="n">
        <ns0:f>IF($A87="",0,COUNTIFS($J$7:$J$406,$A87,$O$7:$O$406,"&lt;="&amp;BB$6,$P$7:$P$406,"&gt;="&amp;BB$6,$R$7:$R$406,"No"))</ns0:f>
        <ns0:v>0</ns0:v>
      </ns0:c>
      <ns0:c r="BC87" t="n">
        <ns0:f>IF($A87="",0,COUNTIFS($J$7:$J$406,$A87,$O$7:$O$406,"&lt;="&amp;BC$6,$P$7:$P$406,"&gt;="&amp;BC$6,$R$7:$R$406,"No"))</ns0:f>
        <ns0:v>0</ns0:v>
      </ns0:c>
    </ns0:row>
    <ns0:row r="88" ht="48" customHeight="1">
      <ns0:c r="A88" s="8" t="str">
        <ns0:f>IF(ROW()-6&gt;MAX($K$7:$K$406),"",INDEX($J$7:$J$406,MATCH(ROW()-6,$K$7:$K$406,0)))</ns0:f>
      </ns0:c>
      <ns0:c r="B88" s="8" t="str">
        <ns0:f>IF(A88="","",COUNTIFS($J$7:$J$406,$A88))</ns0:f>
      </ns0:c>
      <ns0:c r="C88" s="8" t="str">
        <ns0:f>IF(A88="","",COUNTIFS($J$7:$J$406,$A88,$N$7:$N$406,1))</ns0:f>
      </ns0:c>
      <ns0:c r="D88" s="8" t="str">
        <ns0:f>IF(A88="","",COUNTIFS($J$7:$J$406,$A88,$Q$7:$Q$406,"In Progress"))</ns0:f>
      </ns0:c>
      <ns0:c r="E88" s="8" t="str">
        <ns0:f>IF(A88="","",B88-C88)</ns0:f>
      </ns0:c>
      <ns0:c r="F88" s="19" t="str">
        <ns0:f>IF(A88="","",SUMIFS($N$7:$N$406,$J$7:$J$406,$A88)/B88)</ns0:f>
      </ns0:c>
      <ns0:c r="G88" s="8" t="str">
        <ns0:f>IF(A88="","",COUNTIFS(V88:BC88,"&gt;1"))</ns0:f>
      </ns0:c>
      <ns0:c r="H88" s="8" t="str">
        <ns0:f>IF(A88="","",IF(COUNTIFS($T$7:$T$33,A88)&gt;0,INDEX($U$7:$U$33,MATCH(A88,$T$7:$T$33,0)),"No capacity or responsibility detail supplied."))</ns0:f>
      </ns0:c>
      <ns0:c r="J88" t="str">
        <ns0:f>IF('Project Tracker'!A27="","",TRIM(MID(SUBSTITUTE('Project Tracker'!K27,";",REPT(" ",150)),151,150)))</ns0:f>
        <ns0:v>Competitor Intel Engine (W_COMP)</ns0:v>
      </ns0:c>
      <ns0:c r="K88" t="n">
        <ns0:f>IF(J88="","",IF(COUNTIFS($J$7:J88,J88)=1,MAX($K$6:K87)+1,""))</ns0:f>
        <ns0:v>18</ns0:v>
      </ns0:c>
      <ns0:c r="L88" t="n">
        <ns0:f>IF(A88="",0,B88+(107-ROW())/1000)</ns0:f>
        <ns0:v>0</ns0:v>
      </ns0:c>
      <ns0:c r="M88" t="str">
        <ns0:f>IF(J88="","",'Project Tracker'!A27)</ns0:f>
        <ns0:v>T18</ns0:v>
      </ns0:c>
      <ns0:c r="N88" t="n">
        <ns0:f>IF(J88="","",'Project Tracker'!N27)</ns0:f>
        <ns0:v>0</ns0:v>
      </ns0:c>
      <ns0:c r="O88" t="n">
        <ns0:f>IF(J88="","",'Project Tracker'!E27)</ns0:f>
        <ns0:v>46285</ns0:v>
      </ns0:c>
      <ns0:c r="P88" t="n">
        <ns0:f>IF(J88="","",'Project Tracker'!F27)</ns0:f>
        <ns0:v>46286</ns0:v>
      </ns0:c>
      <ns0:c r="Q88" t="str">
        <ns0:f>IF(J88="","",'Project Tracker'!Q27)</ns0:f>
        <ns0:v>Not Started</ns0:v>
      </ns0:c>
      <ns0:c r="R88" t="str">
        <ns0:f>IF(J88="","",'Project Tracker'!J27)</ns0:f>
        <ns0:v>No</ns0:v>
      </ns0:c>
      <ns0:c r="V88" t="n">
        <ns0:f>IF($A88="",0,COUNTIFS($J$7:$J$406,$A88,$O$7:$O$406,"&lt;="&amp;V$6,$P$7:$P$406,"&gt;="&amp;V$6,$R$7:$R$406,"No"))</ns0:f>
        <ns0:v>0</ns0:v>
      </ns0:c>
      <ns0:c r="W88" t="n">
        <ns0:f>IF($A88="",0,COUNTIFS($J$7:$J$406,$A88,$O$7:$O$406,"&lt;="&amp;W$6,$P$7:$P$406,"&gt;="&amp;W$6,$R$7:$R$406,"No"))</ns0:f>
        <ns0:v>0</ns0:v>
      </ns0:c>
      <ns0:c r="X88" t="n">
        <ns0:f>IF($A88="",0,COUNTIFS($J$7:$J$406,$A88,$O$7:$O$406,"&lt;="&amp;X$6,$P$7:$P$406,"&gt;="&amp;X$6,$R$7:$R$406,"No"))</ns0:f>
        <ns0:v>0</ns0:v>
      </ns0:c>
      <ns0:c r="Y88" t="n">
        <ns0:f>IF($A88="",0,COUNTIFS($J$7:$J$406,$A88,$O$7:$O$406,"&lt;="&amp;Y$6,$P$7:$P$406,"&gt;="&amp;Y$6,$R$7:$R$406,"No"))</ns0:f>
        <ns0:v>0</ns0:v>
      </ns0:c>
      <ns0:c r="Z88" t="n">
        <ns0:f>IF($A88="",0,COUNTIFS($J$7:$J$406,$A88,$O$7:$O$406,"&lt;="&amp;Z$6,$P$7:$P$406,"&gt;="&amp;Z$6,$R$7:$R$406,"No"))</ns0:f>
        <ns0:v>0</ns0:v>
      </ns0:c>
      <ns0:c r="AA88" t="n">
        <ns0:f>IF($A88="",0,COUNTIFS($J$7:$J$406,$A88,$O$7:$O$406,"&lt;="&amp;AA$6,$P$7:$P$406,"&gt;="&amp;AA$6,$R$7:$R$406,"No"))</ns0:f>
        <ns0:v>0</ns0:v>
      </ns0:c>
      <ns0:c r="AB88" t="n">
        <ns0:f>IF($A88="",0,COUNTIFS($J$7:$J$406,$A88,$O$7:$O$406,"&lt;="&amp;AB$6,$P$7:$P$406,"&gt;="&amp;AB$6,$R$7:$R$406,"No"))</ns0:f>
        <ns0:v>0</ns0:v>
      </ns0:c>
      <ns0:c r="AC88" t="n">
        <ns0:f>IF($A88="",0,COUNTIFS($J$7:$J$406,$A88,$O$7:$O$406,"&lt;="&amp;AC$6,$P$7:$P$406,"&gt;="&amp;AC$6,$R$7:$R$406,"No"))</ns0:f>
        <ns0:v>0</ns0:v>
      </ns0:c>
      <ns0:c r="AD88" t="n">
        <ns0:f>IF($A88="",0,COUNTIFS($J$7:$J$406,$A88,$O$7:$O$406,"&lt;="&amp;AD$6,$P$7:$P$406,"&gt;="&amp;AD$6,$R$7:$R$406,"No"))</ns0:f>
        <ns0:v>0</ns0:v>
      </ns0:c>
      <ns0:c r="AE88" t="n">
        <ns0:f>IF($A88="",0,COUNTIFS($J$7:$J$406,$A88,$O$7:$O$406,"&lt;="&amp;AE$6,$P$7:$P$406,"&gt;="&amp;AE$6,$R$7:$R$406,"No"))</ns0:f>
        <ns0:v>0</ns0:v>
      </ns0:c>
      <ns0:c r="AF88" t="n">
        <ns0:f>IF($A88="",0,COUNTIFS($J$7:$J$406,$A88,$O$7:$O$406,"&lt;="&amp;AF$6,$P$7:$P$406,"&gt;="&amp;AF$6,$R$7:$R$406,"No"))</ns0:f>
        <ns0:v>0</ns0:v>
      </ns0:c>
      <ns0:c r="AG88" t="n">
        <ns0:f>IF($A88="",0,COUNTIFS($J$7:$J$406,$A88,$O$7:$O$406,"&lt;="&amp;AG$6,$P$7:$P$406,"&gt;="&amp;AG$6,$R$7:$R$406,"No"))</ns0:f>
        <ns0:v>0</ns0:v>
      </ns0:c>
      <ns0:c r="AH88" t="n">
        <ns0:f>IF($A88="",0,COUNTIFS($J$7:$J$406,$A88,$O$7:$O$406,"&lt;="&amp;AH$6,$P$7:$P$406,"&gt;="&amp;AH$6,$R$7:$R$406,"No"))</ns0:f>
        <ns0:v>0</ns0:v>
      </ns0:c>
      <ns0:c r="AI88" t="n">
        <ns0:f>IF($A88="",0,COUNTIFS($J$7:$J$406,$A88,$O$7:$O$406,"&lt;="&amp;AI$6,$P$7:$P$406,"&gt;="&amp;AI$6,$R$7:$R$406,"No"))</ns0:f>
        <ns0:v>0</ns0:v>
      </ns0:c>
      <ns0:c r="AJ88" t="n">
        <ns0:f>IF($A88="",0,COUNTIFS($J$7:$J$406,$A88,$O$7:$O$406,"&lt;="&amp;AJ$6,$P$7:$P$406,"&gt;="&amp;AJ$6,$R$7:$R$406,"No"))</ns0:f>
        <ns0:v>0</ns0:v>
      </ns0:c>
      <ns0:c r="AK88" t="n">
        <ns0:f>IF($A88="",0,COUNTIFS($J$7:$J$406,$A88,$O$7:$O$406,"&lt;="&amp;AK$6,$P$7:$P$406,"&gt;="&amp;AK$6,$R$7:$R$406,"No"))</ns0:f>
        <ns0:v>0</ns0:v>
      </ns0:c>
      <ns0:c r="AL88" t="n">
        <ns0:f>IF($A88="",0,COUNTIFS($J$7:$J$406,$A88,$O$7:$O$406,"&lt;="&amp;AL$6,$P$7:$P$406,"&gt;="&amp;AL$6,$R$7:$R$406,"No"))</ns0:f>
        <ns0:v>0</ns0:v>
      </ns0:c>
      <ns0:c r="AM88" t="n">
        <ns0:f>IF($A88="",0,COUNTIFS($J$7:$J$406,$A88,$O$7:$O$406,"&lt;="&amp;AM$6,$P$7:$P$406,"&gt;="&amp;AM$6,$R$7:$R$406,"No"))</ns0:f>
        <ns0:v>0</ns0:v>
      </ns0:c>
      <ns0:c r="AN88" t="n">
        <ns0:f>IF($A88="",0,COUNTIFS($J$7:$J$406,$A88,$O$7:$O$406,"&lt;="&amp;AN$6,$P$7:$P$406,"&gt;="&amp;AN$6,$R$7:$R$406,"No"))</ns0:f>
        <ns0:v>0</ns0:v>
      </ns0:c>
      <ns0:c r="AO88" t="n">
        <ns0:f>IF($A88="",0,COUNTIFS($J$7:$J$406,$A88,$O$7:$O$406,"&lt;="&amp;AO$6,$P$7:$P$406,"&gt;="&amp;AO$6,$R$7:$R$406,"No"))</ns0:f>
        <ns0:v>0</ns0:v>
      </ns0:c>
      <ns0:c r="AP88" t="n">
        <ns0:f>IF($A88="",0,COUNTIFS($J$7:$J$406,$A88,$O$7:$O$406,"&lt;="&amp;AP$6,$P$7:$P$406,"&gt;="&amp;AP$6,$R$7:$R$406,"No"))</ns0:f>
        <ns0:v>0</ns0:v>
      </ns0:c>
      <ns0:c r="AQ88" t="n">
        <ns0:f>IF($A88="",0,COUNTIFS($J$7:$J$406,$A88,$O$7:$O$406,"&lt;="&amp;AQ$6,$P$7:$P$406,"&gt;="&amp;AQ$6,$R$7:$R$406,"No"))</ns0:f>
        <ns0:v>0</ns0:v>
      </ns0:c>
      <ns0:c r="AR88" t="n">
        <ns0:f>IF($A88="",0,COUNTIFS($J$7:$J$406,$A88,$O$7:$O$406,"&lt;="&amp;AR$6,$P$7:$P$406,"&gt;="&amp;AR$6,$R$7:$R$406,"No"))</ns0:f>
        <ns0:v>0</ns0:v>
      </ns0:c>
      <ns0:c r="AS88" t="n">
        <ns0:f>IF($A88="",0,COUNTIFS($J$7:$J$406,$A88,$O$7:$O$406,"&lt;="&amp;AS$6,$P$7:$P$406,"&gt;="&amp;AS$6,$R$7:$R$406,"No"))</ns0:f>
        <ns0:v>0</ns0:v>
      </ns0:c>
      <ns0:c r="AT88" t="n">
        <ns0:f>IF($A88="",0,COUNTIFS($J$7:$J$406,$A88,$O$7:$O$406,"&lt;="&amp;AT$6,$P$7:$P$406,"&gt;="&amp;AT$6,$R$7:$R$406,"No"))</ns0:f>
        <ns0:v>0</ns0:v>
      </ns0:c>
      <ns0:c r="AU88" t="n">
        <ns0:f>IF($A88="",0,COUNTIFS($J$7:$J$406,$A88,$O$7:$O$406,"&lt;="&amp;AU$6,$P$7:$P$406,"&gt;="&amp;AU$6,$R$7:$R$406,"No"))</ns0:f>
        <ns0:v>0</ns0:v>
      </ns0:c>
      <ns0:c r="AV88" t="n">
        <ns0:f>IF($A88="",0,COUNTIFS($J$7:$J$406,$A88,$O$7:$O$406,"&lt;="&amp;AV$6,$P$7:$P$406,"&gt;="&amp;AV$6,$R$7:$R$406,"No"))</ns0:f>
        <ns0:v>0</ns0:v>
      </ns0:c>
      <ns0:c r="AW88" t="n">
        <ns0:f>IF($A88="",0,COUNTIFS($J$7:$J$406,$A88,$O$7:$O$406,"&lt;="&amp;AW$6,$P$7:$P$406,"&gt;="&amp;AW$6,$R$7:$R$406,"No"))</ns0:f>
        <ns0:v>0</ns0:v>
      </ns0:c>
      <ns0:c r="AX88" t="n">
        <ns0:f>IF($A88="",0,COUNTIFS($J$7:$J$406,$A88,$O$7:$O$406,"&lt;="&amp;AX$6,$P$7:$P$406,"&gt;="&amp;AX$6,$R$7:$R$406,"No"))</ns0:f>
        <ns0:v>0</ns0:v>
      </ns0:c>
      <ns0:c r="AY88" t="n">
        <ns0:f>IF($A88="",0,COUNTIFS($J$7:$J$406,$A88,$O$7:$O$406,"&lt;="&amp;AY$6,$P$7:$P$406,"&gt;="&amp;AY$6,$R$7:$R$406,"No"))</ns0:f>
        <ns0:v>0</ns0:v>
      </ns0:c>
      <ns0:c r="AZ88" t="n">
        <ns0:f>IF($A88="",0,COUNTIFS($J$7:$J$406,$A88,$O$7:$O$406,"&lt;="&amp;AZ$6,$P$7:$P$406,"&gt;="&amp;AZ$6,$R$7:$R$406,"No"))</ns0:f>
        <ns0:v>0</ns0:v>
      </ns0:c>
      <ns0:c r="BA88" t="n">
        <ns0:f>IF($A88="",0,COUNTIFS($J$7:$J$406,$A88,$O$7:$O$406,"&lt;="&amp;BA$6,$P$7:$P$406,"&gt;="&amp;BA$6,$R$7:$R$406,"No"))</ns0:f>
        <ns0:v>0</ns0:v>
      </ns0:c>
      <ns0:c r="BB88" t="n">
        <ns0:f>IF($A88="",0,COUNTIFS($J$7:$J$406,$A88,$O$7:$O$406,"&lt;="&amp;BB$6,$P$7:$P$406,"&gt;="&amp;BB$6,$R$7:$R$406,"No"))</ns0:f>
        <ns0:v>0</ns0:v>
      </ns0:c>
      <ns0:c r="BC88" t="n">
        <ns0:f>IF($A88="",0,COUNTIFS($J$7:$J$406,$A88,$O$7:$O$406,"&lt;="&amp;BC$6,$P$7:$P$406,"&gt;="&amp;BC$6,$R$7:$R$406,"No"))</ns0:f>
        <ns0:v>0</ns0:v>
      </ns0:c>
    </ns0:row>
    <ns0:row r="89" ht="48" customHeight="1">
      <ns0:c r="A89" s="8" t="str">
        <ns0:f>IF(ROW()-6&gt;MAX($K$7:$K$406),"",INDEX($J$7:$J$406,MATCH(ROW()-6,$K$7:$K$406,0)))</ns0:f>
      </ns0:c>
      <ns0:c r="B89" s="8" t="str">
        <ns0:f>IF(A89="","",COUNTIFS($J$7:$J$406,$A89))</ns0:f>
      </ns0:c>
      <ns0:c r="C89" s="8" t="str">
        <ns0:f>IF(A89="","",COUNTIFS($J$7:$J$406,$A89,$N$7:$N$406,1))</ns0:f>
      </ns0:c>
      <ns0:c r="D89" s="8" t="str">
        <ns0:f>IF(A89="","",COUNTIFS($J$7:$J$406,$A89,$Q$7:$Q$406,"In Progress"))</ns0:f>
      </ns0:c>
      <ns0:c r="E89" s="8" t="str">
        <ns0:f>IF(A89="","",B89-C89)</ns0:f>
      </ns0:c>
      <ns0:c r="F89" s="19" t="str">
        <ns0:f>IF(A89="","",SUMIFS($N$7:$N$406,$J$7:$J$406,$A89)/B89)</ns0:f>
      </ns0:c>
      <ns0:c r="G89" s="8" t="str">
        <ns0:f>IF(A89="","",COUNTIFS(V89:BC89,"&gt;1"))</ns0:f>
      </ns0:c>
      <ns0:c r="H89" s="8" t="str">
        <ns0:f>IF(A89="","",IF(COUNTIFS($T$7:$T$33,A89)&gt;0,INDEX($U$7:$U$33,MATCH(A89,$T$7:$T$33,0)),"No capacity or responsibility detail supplied."))</ns0:f>
      </ns0:c>
      <ns0:c r="J89" t="str">
        <ns0:f>IF('Project Tracker'!A27="","",TRIM(MID(SUBSTITUTE('Project Tracker'!K27,";",REPT(" ",150)),301,150)))</ns0:f>
      </ns0:c>
      <ns0:c r="K89" t="str">
        <ns0:f>IF(J89="","",IF(COUNTIFS($J$7:J89,J89)=1,MAX($K$6:K88)+1,""))</ns0:f>
      </ns0:c>
      <ns0:c r="L89" t="n">
        <ns0:f>IF(A89="",0,B89+(107-ROW())/1000)</ns0:f>
        <ns0:v>0</ns0:v>
      </ns0:c>
      <ns0:c r="M89" t="str">
        <ns0:f>IF(J89="","",'Project Tracker'!A27)</ns0:f>
      </ns0:c>
      <ns0:c r="N89" t="str">
        <ns0:f>IF(J89="","",'Project Tracker'!N27)</ns0:f>
      </ns0:c>
      <ns0:c r="O89" t="str">
        <ns0:f>IF(J89="","",'Project Tracker'!E27)</ns0:f>
      </ns0:c>
      <ns0:c r="P89" t="str">
        <ns0:f>IF(J89="","",'Project Tracker'!F27)</ns0:f>
      </ns0:c>
      <ns0:c r="Q89" t="str">
        <ns0:f>IF(J89="","",'Project Tracker'!Q27)</ns0:f>
      </ns0:c>
      <ns0:c r="R89" t="str">
        <ns0:f>IF(J89="","",'Project Tracker'!J27)</ns0:f>
      </ns0:c>
      <ns0:c r="V89" t="n">
        <ns0:f>IF($A89="",0,COUNTIFS($J$7:$J$406,$A89,$O$7:$O$406,"&lt;="&amp;V$6,$P$7:$P$406,"&gt;="&amp;V$6,$R$7:$R$406,"No"))</ns0:f>
        <ns0:v>0</ns0:v>
      </ns0:c>
      <ns0:c r="W89" t="n">
        <ns0:f>IF($A89="",0,COUNTIFS($J$7:$J$406,$A89,$O$7:$O$406,"&lt;="&amp;W$6,$P$7:$P$406,"&gt;="&amp;W$6,$R$7:$R$406,"No"))</ns0:f>
        <ns0:v>0</ns0:v>
      </ns0:c>
      <ns0:c r="X89" t="n">
        <ns0:f>IF($A89="",0,COUNTIFS($J$7:$J$406,$A89,$O$7:$O$406,"&lt;="&amp;X$6,$P$7:$P$406,"&gt;="&amp;X$6,$R$7:$R$406,"No"))</ns0:f>
        <ns0:v>0</ns0:v>
      </ns0:c>
      <ns0:c r="Y89" t="n">
        <ns0:f>IF($A89="",0,COUNTIFS($J$7:$J$406,$A89,$O$7:$O$406,"&lt;="&amp;Y$6,$P$7:$P$406,"&gt;="&amp;Y$6,$R$7:$R$406,"No"))</ns0:f>
        <ns0:v>0</ns0:v>
      </ns0:c>
      <ns0:c r="Z89" t="n">
        <ns0:f>IF($A89="",0,COUNTIFS($J$7:$J$406,$A89,$O$7:$O$406,"&lt;="&amp;Z$6,$P$7:$P$406,"&gt;="&amp;Z$6,$R$7:$R$406,"No"))</ns0:f>
        <ns0:v>0</ns0:v>
      </ns0:c>
      <ns0:c r="AA89" t="n">
        <ns0:f>IF($A89="",0,COUNTIFS($J$7:$J$406,$A89,$O$7:$O$406,"&lt;="&amp;AA$6,$P$7:$P$406,"&gt;="&amp;AA$6,$R$7:$R$406,"No"))</ns0:f>
        <ns0:v>0</ns0:v>
      </ns0:c>
      <ns0:c r="AB89" t="n">
        <ns0:f>IF($A89="",0,COUNTIFS($J$7:$J$406,$A89,$O$7:$O$406,"&lt;="&amp;AB$6,$P$7:$P$406,"&gt;="&amp;AB$6,$R$7:$R$406,"No"))</ns0:f>
        <ns0:v>0</ns0:v>
      </ns0:c>
      <ns0:c r="AC89" t="n">
        <ns0:f>IF($A89="",0,COUNTIFS($J$7:$J$406,$A89,$O$7:$O$406,"&lt;="&amp;AC$6,$P$7:$P$406,"&gt;="&amp;AC$6,$R$7:$R$406,"No"))</ns0:f>
        <ns0:v>0</ns0:v>
      </ns0:c>
      <ns0:c r="AD89" t="n">
        <ns0:f>IF($A89="",0,COUNTIFS($J$7:$J$406,$A89,$O$7:$O$406,"&lt;="&amp;AD$6,$P$7:$P$406,"&gt;="&amp;AD$6,$R$7:$R$406,"No"))</ns0:f>
        <ns0:v>0</ns0:v>
      </ns0:c>
      <ns0:c r="AE89" t="n">
        <ns0:f>IF($A89="",0,COUNTIFS($J$7:$J$406,$A89,$O$7:$O$406,"&lt;="&amp;AE$6,$P$7:$P$406,"&gt;="&amp;AE$6,$R$7:$R$406,"No"))</ns0:f>
        <ns0:v>0</ns0:v>
      </ns0:c>
      <ns0:c r="AF89" t="n">
        <ns0:f>IF($A89="",0,COUNTIFS($J$7:$J$406,$A89,$O$7:$O$406,"&lt;="&amp;AF$6,$P$7:$P$406,"&gt;="&amp;AF$6,$R$7:$R$406,"No"))</ns0:f>
        <ns0:v>0</ns0:v>
      </ns0:c>
      <ns0:c r="AG89" t="n">
        <ns0:f>IF($A89="",0,COUNTIFS($J$7:$J$406,$A89,$O$7:$O$406,"&lt;="&amp;AG$6,$P$7:$P$406,"&gt;="&amp;AG$6,$R$7:$R$406,"No"))</ns0:f>
        <ns0:v>0</ns0:v>
      </ns0:c>
      <ns0:c r="AH89" t="n">
        <ns0:f>IF($A89="",0,COUNTIFS($J$7:$J$406,$A89,$O$7:$O$406,"&lt;="&amp;AH$6,$P$7:$P$406,"&gt;="&amp;AH$6,$R$7:$R$406,"No"))</ns0:f>
        <ns0:v>0</ns0:v>
      </ns0:c>
      <ns0:c r="AI89" t="n">
        <ns0:f>IF($A89="",0,COUNTIFS($J$7:$J$406,$A89,$O$7:$O$406,"&lt;="&amp;AI$6,$P$7:$P$406,"&gt;="&amp;AI$6,$R$7:$R$406,"No"))</ns0:f>
        <ns0:v>0</ns0:v>
      </ns0:c>
      <ns0:c r="AJ89" t="n">
        <ns0:f>IF($A89="",0,COUNTIFS($J$7:$J$406,$A89,$O$7:$O$406,"&lt;="&amp;AJ$6,$P$7:$P$406,"&gt;="&amp;AJ$6,$R$7:$R$406,"No"))</ns0:f>
        <ns0:v>0</ns0:v>
      </ns0:c>
      <ns0:c r="AK89" t="n">
        <ns0:f>IF($A89="",0,COUNTIFS($J$7:$J$406,$A89,$O$7:$O$406,"&lt;="&amp;AK$6,$P$7:$P$406,"&gt;="&amp;AK$6,$R$7:$R$406,"No"))</ns0:f>
        <ns0:v>0</ns0:v>
      </ns0:c>
      <ns0:c r="AL89" t="n">
        <ns0:f>IF($A89="",0,COUNTIFS($J$7:$J$406,$A89,$O$7:$O$406,"&lt;="&amp;AL$6,$P$7:$P$406,"&gt;="&amp;AL$6,$R$7:$R$406,"No"))</ns0:f>
        <ns0:v>0</ns0:v>
      </ns0:c>
      <ns0:c r="AM89" t="n">
        <ns0:f>IF($A89="",0,COUNTIFS($J$7:$J$406,$A89,$O$7:$O$406,"&lt;="&amp;AM$6,$P$7:$P$406,"&gt;="&amp;AM$6,$R$7:$R$406,"No"))</ns0:f>
        <ns0:v>0</ns0:v>
      </ns0:c>
      <ns0:c r="AN89" t="n">
        <ns0:f>IF($A89="",0,COUNTIFS($J$7:$J$406,$A89,$O$7:$O$406,"&lt;="&amp;AN$6,$P$7:$P$406,"&gt;="&amp;AN$6,$R$7:$R$406,"No"))</ns0:f>
        <ns0:v>0</ns0:v>
      </ns0:c>
      <ns0:c r="AO89" t="n">
        <ns0:f>IF($A89="",0,COUNTIFS($J$7:$J$406,$A89,$O$7:$O$406,"&lt;="&amp;AO$6,$P$7:$P$406,"&gt;="&amp;AO$6,$R$7:$R$406,"No"))</ns0:f>
        <ns0:v>0</ns0:v>
      </ns0:c>
      <ns0:c r="AP89" t="n">
        <ns0:f>IF($A89="",0,COUNTIFS($J$7:$J$406,$A89,$O$7:$O$406,"&lt;="&amp;AP$6,$P$7:$P$406,"&gt;="&amp;AP$6,$R$7:$R$406,"No"))</ns0:f>
        <ns0:v>0</ns0:v>
      </ns0:c>
      <ns0:c r="AQ89" t="n">
        <ns0:f>IF($A89="",0,COUNTIFS($J$7:$J$406,$A89,$O$7:$O$406,"&lt;="&amp;AQ$6,$P$7:$P$406,"&gt;="&amp;AQ$6,$R$7:$R$406,"No"))</ns0:f>
        <ns0:v>0</ns0:v>
      </ns0:c>
      <ns0:c r="AR89" t="n">
        <ns0:f>IF($A89="",0,COUNTIFS($J$7:$J$406,$A89,$O$7:$O$406,"&lt;="&amp;AR$6,$P$7:$P$406,"&gt;="&amp;AR$6,$R$7:$R$406,"No"))</ns0:f>
        <ns0:v>0</ns0:v>
      </ns0:c>
      <ns0:c r="AS89" t="n">
        <ns0:f>IF($A89="",0,COUNTIFS($J$7:$J$406,$A89,$O$7:$O$406,"&lt;="&amp;AS$6,$P$7:$P$406,"&gt;="&amp;AS$6,$R$7:$R$406,"No"))</ns0:f>
        <ns0:v>0</ns0:v>
      </ns0:c>
      <ns0:c r="AT89" t="n">
        <ns0:f>IF($A89="",0,COUNTIFS($J$7:$J$406,$A89,$O$7:$O$406,"&lt;="&amp;AT$6,$P$7:$P$406,"&gt;="&amp;AT$6,$R$7:$R$406,"No"))</ns0:f>
        <ns0:v>0</ns0:v>
      </ns0:c>
      <ns0:c r="AU89" t="n">
        <ns0:f>IF($A89="",0,COUNTIFS($J$7:$J$406,$A89,$O$7:$O$406,"&lt;="&amp;AU$6,$P$7:$P$406,"&gt;="&amp;AU$6,$R$7:$R$406,"No"))</ns0:f>
        <ns0:v>0</ns0:v>
      </ns0:c>
      <ns0:c r="AV89" t="n">
        <ns0:f>IF($A89="",0,COUNTIFS($J$7:$J$406,$A89,$O$7:$O$406,"&lt;="&amp;AV$6,$P$7:$P$406,"&gt;="&amp;AV$6,$R$7:$R$406,"No"))</ns0:f>
        <ns0:v>0</ns0:v>
      </ns0:c>
      <ns0:c r="AW89" t="n">
        <ns0:f>IF($A89="",0,COUNTIFS($J$7:$J$406,$A89,$O$7:$O$406,"&lt;="&amp;AW$6,$P$7:$P$406,"&gt;="&amp;AW$6,$R$7:$R$406,"No"))</ns0:f>
        <ns0:v>0</ns0:v>
      </ns0:c>
      <ns0:c r="AX89" t="n">
        <ns0:f>IF($A89="",0,COUNTIFS($J$7:$J$406,$A89,$O$7:$O$406,"&lt;="&amp;AX$6,$P$7:$P$406,"&gt;="&amp;AX$6,$R$7:$R$406,"No"))</ns0:f>
        <ns0:v>0</ns0:v>
      </ns0:c>
      <ns0:c r="AY89" t="n">
        <ns0:f>IF($A89="",0,COUNTIFS($J$7:$J$406,$A89,$O$7:$O$406,"&lt;="&amp;AY$6,$P$7:$P$406,"&gt;="&amp;AY$6,$R$7:$R$406,"No"))</ns0:f>
        <ns0:v>0</ns0:v>
      </ns0:c>
      <ns0:c r="AZ89" t="n">
        <ns0:f>IF($A89="",0,COUNTIFS($J$7:$J$406,$A89,$O$7:$O$406,"&lt;="&amp;AZ$6,$P$7:$P$406,"&gt;="&amp;AZ$6,$R$7:$R$406,"No"))</ns0:f>
        <ns0:v>0</ns0:v>
      </ns0:c>
      <ns0:c r="BA89" t="n">
        <ns0:f>IF($A89="",0,COUNTIFS($J$7:$J$406,$A89,$O$7:$O$406,"&lt;="&amp;BA$6,$P$7:$P$406,"&gt;="&amp;BA$6,$R$7:$R$406,"No"))</ns0:f>
        <ns0:v>0</ns0:v>
      </ns0:c>
      <ns0:c r="BB89" t="n">
        <ns0:f>IF($A89="",0,COUNTIFS($J$7:$J$406,$A89,$O$7:$O$406,"&lt;="&amp;BB$6,$P$7:$P$406,"&gt;="&amp;BB$6,$R$7:$R$406,"No"))</ns0:f>
        <ns0:v>0</ns0:v>
      </ns0:c>
      <ns0:c r="BC89" t="n">
        <ns0:f>IF($A89="",0,COUNTIFS($J$7:$J$406,$A89,$O$7:$O$406,"&lt;="&amp;BC$6,$P$7:$P$406,"&gt;="&amp;BC$6,$R$7:$R$406,"No"))</ns0:f>
        <ns0:v>0</ns0:v>
      </ns0:c>
    </ns0:row>
    <ns0:row r="90" ht="48" customHeight="1">
      <ns0:c r="A90" s="8" t="str">
        <ns0:f>IF(ROW()-6&gt;MAX($K$7:$K$406),"",INDEX($J$7:$J$406,MATCH(ROW()-6,$K$7:$K$406,0)))</ns0:f>
      </ns0:c>
      <ns0:c r="B90" s="8" t="str">
        <ns0:f>IF(A90="","",COUNTIFS($J$7:$J$406,$A90))</ns0:f>
      </ns0:c>
      <ns0:c r="C90" s="8" t="str">
        <ns0:f>IF(A90="","",COUNTIFS($J$7:$J$406,$A90,$N$7:$N$406,1))</ns0:f>
      </ns0:c>
      <ns0:c r="D90" s="8" t="str">
        <ns0:f>IF(A90="","",COUNTIFS($J$7:$J$406,$A90,$Q$7:$Q$406,"In Progress"))</ns0:f>
      </ns0:c>
      <ns0:c r="E90" s="8" t="str">
        <ns0:f>IF(A90="","",B90-C90)</ns0:f>
      </ns0:c>
      <ns0:c r="F90" s="19" t="str">
        <ns0:f>IF(A90="","",SUMIFS($N$7:$N$406,$J$7:$J$406,$A90)/B90)</ns0:f>
      </ns0:c>
      <ns0:c r="G90" s="8" t="str">
        <ns0:f>IF(A90="","",COUNTIFS(V90:BC90,"&gt;1"))</ns0:f>
      </ns0:c>
      <ns0:c r="H90" s="8" t="str">
        <ns0:f>IF(A90="","",IF(COUNTIFS($T$7:$T$33,A90)&gt;0,INDEX($U$7:$U$33,MATCH(A90,$T$7:$T$33,0)),"No capacity or responsibility detail supplied."))</ns0:f>
      </ns0:c>
      <ns0:c r="J90" t="str">
        <ns0:f>IF('Project Tracker'!A27="","",TRIM(MID(SUBSTITUTE('Project Tracker'!K27,";",REPT(" ",150)),451,150)))</ns0:f>
      </ns0:c>
      <ns0:c r="K90" t="str">
        <ns0:f>IF(J90="","",IF(COUNTIFS($J$7:J90,J90)=1,MAX($K$6:K89)+1,""))</ns0:f>
      </ns0:c>
      <ns0:c r="L90" t="n">
        <ns0:f>IF(A90="",0,B90+(107-ROW())/1000)</ns0:f>
        <ns0:v>0</ns0:v>
      </ns0:c>
      <ns0:c r="M90" t="str">
        <ns0:f>IF(J90="","",'Project Tracker'!A27)</ns0:f>
      </ns0:c>
      <ns0:c r="N90" t="str">
        <ns0:f>IF(J90="","",'Project Tracker'!N27)</ns0:f>
      </ns0:c>
      <ns0:c r="O90" t="str">
        <ns0:f>IF(J90="","",'Project Tracker'!E27)</ns0:f>
      </ns0:c>
      <ns0:c r="P90" t="str">
        <ns0:f>IF(J90="","",'Project Tracker'!F27)</ns0:f>
      </ns0:c>
      <ns0:c r="Q90" t="str">
        <ns0:f>IF(J90="","",'Project Tracker'!Q27)</ns0:f>
      </ns0:c>
      <ns0:c r="R90" t="str">
        <ns0:f>IF(J90="","",'Project Tracker'!J27)</ns0:f>
      </ns0:c>
      <ns0:c r="V90" t="n">
        <ns0:f>IF($A90="",0,COUNTIFS($J$7:$J$406,$A90,$O$7:$O$406,"&lt;="&amp;V$6,$P$7:$P$406,"&gt;="&amp;V$6,$R$7:$R$406,"No"))</ns0:f>
        <ns0:v>0</ns0:v>
      </ns0:c>
      <ns0:c r="W90" t="n">
        <ns0:f>IF($A90="",0,COUNTIFS($J$7:$J$406,$A90,$O$7:$O$406,"&lt;="&amp;W$6,$P$7:$P$406,"&gt;="&amp;W$6,$R$7:$R$406,"No"))</ns0:f>
        <ns0:v>0</ns0:v>
      </ns0:c>
      <ns0:c r="X90" t="n">
        <ns0:f>IF($A90="",0,COUNTIFS($J$7:$J$406,$A90,$O$7:$O$406,"&lt;="&amp;X$6,$P$7:$P$406,"&gt;="&amp;X$6,$R$7:$R$406,"No"))</ns0:f>
        <ns0:v>0</ns0:v>
      </ns0:c>
      <ns0:c r="Y90" t="n">
        <ns0:f>IF($A90="",0,COUNTIFS($J$7:$J$406,$A90,$O$7:$O$406,"&lt;="&amp;Y$6,$P$7:$P$406,"&gt;="&amp;Y$6,$R$7:$R$406,"No"))</ns0:f>
        <ns0:v>0</ns0:v>
      </ns0:c>
      <ns0:c r="Z90" t="n">
        <ns0:f>IF($A90="",0,COUNTIFS($J$7:$J$406,$A90,$O$7:$O$406,"&lt;="&amp;Z$6,$P$7:$P$406,"&gt;="&amp;Z$6,$R$7:$R$406,"No"))</ns0:f>
        <ns0:v>0</ns0:v>
      </ns0:c>
      <ns0:c r="AA90" t="n">
        <ns0:f>IF($A90="",0,COUNTIFS($J$7:$J$406,$A90,$O$7:$O$406,"&lt;="&amp;AA$6,$P$7:$P$406,"&gt;="&amp;AA$6,$R$7:$R$406,"No"))</ns0:f>
        <ns0:v>0</ns0:v>
      </ns0:c>
      <ns0:c r="AB90" t="n">
        <ns0:f>IF($A90="",0,COUNTIFS($J$7:$J$406,$A90,$O$7:$O$406,"&lt;="&amp;AB$6,$P$7:$P$406,"&gt;="&amp;AB$6,$R$7:$R$406,"No"))</ns0:f>
        <ns0:v>0</ns0:v>
      </ns0:c>
      <ns0:c r="AC90" t="n">
        <ns0:f>IF($A90="",0,COUNTIFS($J$7:$J$406,$A90,$O$7:$O$406,"&lt;="&amp;AC$6,$P$7:$P$406,"&gt;="&amp;AC$6,$R$7:$R$406,"No"))</ns0:f>
        <ns0:v>0</ns0:v>
      </ns0:c>
      <ns0:c r="AD90" t="n">
        <ns0:f>IF($A90="",0,COUNTIFS($J$7:$J$406,$A90,$O$7:$O$406,"&lt;="&amp;AD$6,$P$7:$P$406,"&gt;="&amp;AD$6,$R$7:$R$406,"No"))</ns0:f>
        <ns0:v>0</ns0:v>
      </ns0:c>
      <ns0:c r="AE90" t="n">
        <ns0:f>IF($A90="",0,COUNTIFS($J$7:$J$406,$A90,$O$7:$O$406,"&lt;="&amp;AE$6,$P$7:$P$406,"&gt;="&amp;AE$6,$R$7:$R$406,"No"))</ns0:f>
        <ns0:v>0</ns0:v>
      </ns0:c>
      <ns0:c r="AF90" t="n">
        <ns0:f>IF($A90="",0,COUNTIFS($J$7:$J$406,$A90,$O$7:$O$406,"&lt;="&amp;AF$6,$P$7:$P$406,"&gt;="&amp;AF$6,$R$7:$R$406,"No"))</ns0:f>
        <ns0:v>0</ns0:v>
      </ns0:c>
      <ns0:c r="AG90" t="n">
        <ns0:f>IF($A90="",0,COUNTIFS($J$7:$J$406,$A90,$O$7:$O$406,"&lt;="&amp;AG$6,$P$7:$P$406,"&gt;="&amp;AG$6,$R$7:$R$406,"No"))</ns0:f>
        <ns0:v>0</ns0:v>
      </ns0:c>
      <ns0:c r="AH90" t="n">
        <ns0:f>IF($A90="",0,COUNTIFS($J$7:$J$406,$A90,$O$7:$O$406,"&lt;="&amp;AH$6,$P$7:$P$406,"&gt;="&amp;AH$6,$R$7:$R$406,"No"))</ns0:f>
        <ns0:v>0</ns0:v>
      </ns0:c>
      <ns0:c r="AI90" t="n">
        <ns0:f>IF($A90="",0,COUNTIFS($J$7:$J$406,$A90,$O$7:$O$406,"&lt;="&amp;AI$6,$P$7:$P$406,"&gt;="&amp;AI$6,$R$7:$R$406,"No"))</ns0:f>
        <ns0:v>0</ns0:v>
      </ns0:c>
      <ns0:c r="AJ90" t="n">
        <ns0:f>IF($A90="",0,COUNTIFS($J$7:$J$406,$A90,$O$7:$O$406,"&lt;="&amp;AJ$6,$P$7:$P$406,"&gt;="&amp;AJ$6,$R$7:$R$406,"No"))</ns0:f>
        <ns0:v>0</ns0:v>
      </ns0:c>
      <ns0:c r="AK90" t="n">
        <ns0:f>IF($A90="",0,COUNTIFS($J$7:$J$406,$A90,$O$7:$O$406,"&lt;="&amp;AK$6,$P$7:$P$406,"&gt;="&amp;AK$6,$R$7:$R$406,"No"))</ns0:f>
        <ns0:v>0</ns0:v>
      </ns0:c>
      <ns0:c r="AL90" t="n">
        <ns0:f>IF($A90="",0,COUNTIFS($J$7:$J$406,$A90,$O$7:$O$406,"&lt;="&amp;AL$6,$P$7:$P$406,"&gt;="&amp;AL$6,$R$7:$R$406,"No"))</ns0:f>
        <ns0:v>0</ns0:v>
      </ns0:c>
      <ns0:c r="AM90" t="n">
        <ns0:f>IF($A90="",0,COUNTIFS($J$7:$J$406,$A90,$O$7:$O$406,"&lt;="&amp;AM$6,$P$7:$P$406,"&gt;="&amp;AM$6,$R$7:$R$406,"No"))</ns0:f>
        <ns0:v>0</ns0:v>
      </ns0:c>
      <ns0:c r="AN90" t="n">
        <ns0:f>IF($A90="",0,COUNTIFS($J$7:$J$406,$A90,$O$7:$O$406,"&lt;="&amp;AN$6,$P$7:$P$406,"&gt;="&amp;AN$6,$R$7:$R$406,"No"))</ns0:f>
        <ns0:v>0</ns0:v>
      </ns0:c>
      <ns0:c r="AO90" t="n">
        <ns0:f>IF($A90="",0,COUNTIFS($J$7:$J$406,$A90,$O$7:$O$406,"&lt;="&amp;AO$6,$P$7:$P$406,"&gt;="&amp;AO$6,$R$7:$R$406,"No"))</ns0:f>
        <ns0:v>0</ns0:v>
      </ns0:c>
      <ns0:c r="AP90" t="n">
        <ns0:f>IF($A90="",0,COUNTIFS($J$7:$J$406,$A90,$O$7:$O$406,"&lt;="&amp;AP$6,$P$7:$P$406,"&gt;="&amp;AP$6,$R$7:$R$406,"No"))</ns0:f>
        <ns0:v>0</ns0:v>
      </ns0:c>
      <ns0:c r="AQ90" t="n">
        <ns0:f>IF($A90="",0,COUNTIFS($J$7:$J$406,$A90,$O$7:$O$406,"&lt;="&amp;AQ$6,$P$7:$P$406,"&gt;="&amp;AQ$6,$R$7:$R$406,"No"))</ns0:f>
        <ns0:v>0</ns0:v>
      </ns0:c>
      <ns0:c r="AR90" t="n">
        <ns0:f>IF($A90="",0,COUNTIFS($J$7:$J$406,$A90,$O$7:$O$406,"&lt;="&amp;AR$6,$P$7:$P$406,"&gt;="&amp;AR$6,$R$7:$R$406,"No"))</ns0:f>
        <ns0:v>0</ns0:v>
      </ns0:c>
      <ns0:c r="AS90" t="n">
        <ns0:f>IF($A90="",0,COUNTIFS($J$7:$J$406,$A90,$O$7:$O$406,"&lt;="&amp;AS$6,$P$7:$P$406,"&gt;="&amp;AS$6,$R$7:$R$406,"No"))</ns0:f>
        <ns0:v>0</ns0:v>
      </ns0:c>
      <ns0:c r="AT90" t="n">
        <ns0:f>IF($A90="",0,COUNTIFS($J$7:$J$406,$A90,$O$7:$O$406,"&lt;="&amp;AT$6,$P$7:$P$406,"&gt;="&amp;AT$6,$R$7:$R$406,"No"))</ns0:f>
        <ns0:v>0</ns0:v>
      </ns0:c>
      <ns0:c r="AU90" t="n">
        <ns0:f>IF($A90="",0,COUNTIFS($J$7:$J$406,$A90,$O$7:$O$406,"&lt;="&amp;AU$6,$P$7:$P$406,"&gt;="&amp;AU$6,$R$7:$R$406,"No"))</ns0:f>
        <ns0:v>0</ns0:v>
      </ns0:c>
      <ns0:c r="AV90" t="n">
        <ns0:f>IF($A90="",0,COUNTIFS($J$7:$J$406,$A90,$O$7:$O$406,"&lt;="&amp;AV$6,$P$7:$P$406,"&gt;="&amp;AV$6,$R$7:$R$406,"No"))</ns0:f>
        <ns0:v>0</ns0:v>
      </ns0:c>
      <ns0:c r="AW90" t="n">
        <ns0:f>IF($A90="",0,COUNTIFS($J$7:$J$406,$A90,$O$7:$O$406,"&lt;="&amp;AW$6,$P$7:$P$406,"&gt;="&amp;AW$6,$R$7:$R$406,"No"))</ns0:f>
        <ns0:v>0</ns0:v>
      </ns0:c>
      <ns0:c r="AX90" t="n">
        <ns0:f>IF($A90="",0,COUNTIFS($J$7:$J$406,$A90,$O$7:$O$406,"&lt;="&amp;AX$6,$P$7:$P$406,"&gt;="&amp;AX$6,$R$7:$R$406,"No"))</ns0:f>
        <ns0:v>0</ns0:v>
      </ns0:c>
      <ns0:c r="AY90" t="n">
        <ns0:f>IF($A90="",0,COUNTIFS($J$7:$J$406,$A90,$O$7:$O$406,"&lt;="&amp;AY$6,$P$7:$P$406,"&gt;="&amp;AY$6,$R$7:$R$406,"No"))</ns0:f>
        <ns0:v>0</ns0:v>
      </ns0:c>
      <ns0:c r="AZ90" t="n">
        <ns0:f>IF($A90="",0,COUNTIFS($J$7:$J$406,$A90,$O$7:$O$406,"&lt;="&amp;AZ$6,$P$7:$P$406,"&gt;="&amp;AZ$6,$R$7:$R$406,"No"))</ns0:f>
        <ns0:v>0</ns0:v>
      </ns0:c>
      <ns0:c r="BA90" t="n">
        <ns0:f>IF($A90="",0,COUNTIFS($J$7:$J$406,$A90,$O$7:$O$406,"&lt;="&amp;BA$6,$P$7:$P$406,"&gt;="&amp;BA$6,$R$7:$R$406,"No"))</ns0:f>
        <ns0:v>0</ns0:v>
      </ns0:c>
      <ns0:c r="BB90" t="n">
        <ns0:f>IF($A90="",0,COUNTIFS($J$7:$J$406,$A90,$O$7:$O$406,"&lt;="&amp;BB$6,$P$7:$P$406,"&gt;="&amp;BB$6,$R$7:$R$406,"No"))</ns0:f>
        <ns0:v>0</ns0:v>
      </ns0:c>
      <ns0:c r="BC90" t="n">
        <ns0:f>IF($A90="",0,COUNTIFS($J$7:$J$406,$A90,$O$7:$O$406,"&lt;="&amp;BC$6,$P$7:$P$406,"&gt;="&amp;BC$6,$R$7:$R$406,"No"))</ns0:f>
        <ns0:v>0</ns0:v>
      </ns0:c>
    </ns0:row>
    <ns0:row r="91" ht="48" customHeight="1">
      <ns0:c r="A91" s="8" t="str">
        <ns0:f>IF(ROW()-6&gt;MAX($K$7:$K$406),"",INDEX($J$7:$J$406,MATCH(ROW()-6,$K$7:$K$406,0)))</ns0:f>
      </ns0:c>
      <ns0:c r="B91" s="8" t="str">
        <ns0:f>IF(A91="","",COUNTIFS($J$7:$J$406,$A91))</ns0:f>
      </ns0:c>
      <ns0:c r="C91" s="8" t="str">
        <ns0:f>IF(A91="","",COUNTIFS($J$7:$J$406,$A91,$N$7:$N$406,1))</ns0:f>
      </ns0:c>
      <ns0:c r="D91" s="8" t="str">
        <ns0:f>IF(A91="","",COUNTIFS($J$7:$J$406,$A91,$Q$7:$Q$406,"In Progress"))</ns0:f>
      </ns0:c>
      <ns0:c r="E91" s="8" t="str">
        <ns0:f>IF(A91="","",B91-C91)</ns0:f>
      </ns0:c>
      <ns0:c r="F91" s="19" t="str">
        <ns0:f>IF(A91="","",SUMIFS($N$7:$N$406,$J$7:$J$406,$A91)/B91)</ns0:f>
      </ns0:c>
      <ns0:c r="G91" s="8" t="str">
        <ns0:f>IF(A91="","",COUNTIFS(V91:BC91,"&gt;1"))</ns0:f>
      </ns0:c>
      <ns0:c r="H91" s="8" t="str">
        <ns0:f>IF(A91="","",IF(COUNTIFS($T$7:$T$33,A91)&gt;0,INDEX($U$7:$U$33,MATCH(A91,$T$7:$T$33,0)),"No capacity or responsibility detail supplied."))</ns0:f>
      </ns0:c>
      <ns0:c r="J91" t="str">
        <ns0:f>IF('Project Tracker'!A28="","",TRIM(MID(SUBSTITUTE('Project Tracker'!K28,";",REPT(" ",150)),1,150)))</ns0:f>
        <ns0:v>Specialist Sub-Agents (L4_SUBS)</ns0:v>
      </ns0:c>
      <ns0:c r="K91" t="str">
        <ns0:f>IF(J91="","",IF(COUNTIFS($J$7:J91,J91)=1,MAX($K$6:K90)+1,""))</ns0:f>
      </ns0:c>
      <ns0:c r="L91" t="n">
        <ns0:f>IF(A91="",0,B91+(107-ROW())/1000)</ns0:f>
        <ns0:v>0</ns0:v>
      </ns0:c>
      <ns0:c r="M91" t="str">
        <ns0:f>IF(J91="","",'Project Tracker'!A28)</ns0:f>
        <ns0:v>T19</ns0:v>
      </ns0:c>
      <ns0:c r="N91" t="n">
        <ns0:f>IF(J91="","",'Project Tracker'!N28)</ns0:f>
        <ns0:v>0</ns0:v>
      </ns0:c>
      <ns0:c r="O91" t="n">
        <ns0:f>IF(J91="","",'Project Tracker'!E28)</ns0:f>
        <ns0:v>46287</ns0:v>
      </ns0:c>
      <ns0:c r="P91" t="n">
        <ns0:f>IF(J91="","",'Project Tracker'!F28)</ns0:f>
        <ns0:v>46289</ns0:v>
      </ns0:c>
      <ns0:c r="Q91" t="str">
        <ns0:f>IF(J91="","",'Project Tracker'!Q28)</ns0:f>
        <ns0:v>Not Started</ns0:v>
      </ns0:c>
      <ns0:c r="R91" t="str">
        <ns0:f>IF(J91="","",'Project Tracker'!J28)</ns0:f>
        <ns0:v>No</ns0:v>
      </ns0:c>
      <ns0:c r="V91" t="n">
        <ns0:f>IF($A91="",0,COUNTIFS($J$7:$J$406,$A91,$O$7:$O$406,"&lt;="&amp;V$6,$P$7:$P$406,"&gt;="&amp;V$6,$R$7:$R$406,"No"))</ns0:f>
        <ns0:v>0</ns0:v>
      </ns0:c>
      <ns0:c r="W91" t="n">
        <ns0:f>IF($A91="",0,COUNTIFS($J$7:$J$406,$A91,$O$7:$O$406,"&lt;="&amp;W$6,$P$7:$P$406,"&gt;="&amp;W$6,$R$7:$R$406,"No"))</ns0:f>
        <ns0:v>0</ns0:v>
      </ns0:c>
      <ns0:c r="X91" t="n">
        <ns0:f>IF($A91="",0,COUNTIFS($J$7:$J$406,$A91,$O$7:$O$406,"&lt;="&amp;X$6,$P$7:$P$406,"&gt;="&amp;X$6,$R$7:$R$406,"No"))</ns0:f>
        <ns0:v>0</ns0:v>
      </ns0:c>
      <ns0:c r="Y91" t="n">
        <ns0:f>IF($A91="",0,COUNTIFS($J$7:$J$406,$A91,$O$7:$O$406,"&lt;="&amp;Y$6,$P$7:$P$406,"&gt;="&amp;Y$6,$R$7:$R$406,"No"))</ns0:f>
        <ns0:v>0</ns0:v>
      </ns0:c>
      <ns0:c r="Z91" t="n">
        <ns0:f>IF($A91="",0,COUNTIFS($J$7:$J$406,$A91,$O$7:$O$406,"&lt;="&amp;Z$6,$P$7:$P$406,"&gt;="&amp;Z$6,$R$7:$R$406,"No"))</ns0:f>
        <ns0:v>0</ns0:v>
      </ns0:c>
      <ns0:c r="AA91" t="n">
        <ns0:f>IF($A91="",0,COUNTIFS($J$7:$J$406,$A91,$O$7:$O$406,"&lt;="&amp;AA$6,$P$7:$P$406,"&gt;="&amp;AA$6,$R$7:$R$406,"No"))</ns0:f>
        <ns0:v>0</ns0:v>
      </ns0:c>
      <ns0:c r="AB91" t="n">
        <ns0:f>IF($A91="",0,COUNTIFS($J$7:$J$406,$A91,$O$7:$O$406,"&lt;="&amp;AB$6,$P$7:$P$406,"&gt;="&amp;AB$6,$R$7:$R$406,"No"))</ns0:f>
        <ns0:v>0</ns0:v>
      </ns0:c>
      <ns0:c r="AC91" t="n">
        <ns0:f>IF($A91="",0,COUNTIFS($J$7:$J$406,$A91,$O$7:$O$406,"&lt;="&amp;AC$6,$P$7:$P$406,"&gt;="&amp;AC$6,$R$7:$R$406,"No"))</ns0:f>
        <ns0:v>0</ns0:v>
      </ns0:c>
      <ns0:c r="AD91" t="n">
        <ns0:f>IF($A91="",0,COUNTIFS($J$7:$J$406,$A91,$O$7:$O$406,"&lt;="&amp;AD$6,$P$7:$P$406,"&gt;="&amp;AD$6,$R$7:$R$406,"No"))</ns0:f>
        <ns0:v>0</ns0:v>
      </ns0:c>
      <ns0:c r="AE91" t="n">
        <ns0:f>IF($A91="",0,COUNTIFS($J$7:$J$406,$A91,$O$7:$O$406,"&lt;="&amp;AE$6,$P$7:$P$406,"&gt;="&amp;AE$6,$R$7:$R$406,"No"))</ns0:f>
        <ns0:v>0</ns0:v>
      </ns0:c>
      <ns0:c r="AF91" t="n">
        <ns0:f>IF($A91="",0,COUNTIFS($J$7:$J$406,$A91,$O$7:$O$406,"&lt;="&amp;AF$6,$P$7:$P$406,"&gt;="&amp;AF$6,$R$7:$R$406,"No"))</ns0:f>
        <ns0:v>0</ns0:v>
      </ns0:c>
      <ns0:c r="AG91" t="n">
        <ns0:f>IF($A91="",0,COUNTIFS($J$7:$J$406,$A91,$O$7:$O$406,"&lt;="&amp;AG$6,$P$7:$P$406,"&gt;="&amp;AG$6,$R$7:$R$406,"No"))</ns0:f>
        <ns0:v>0</ns0:v>
      </ns0:c>
      <ns0:c r="AH91" t="n">
        <ns0:f>IF($A91="",0,COUNTIFS($J$7:$J$406,$A91,$O$7:$O$406,"&lt;="&amp;AH$6,$P$7:$P$406,"&gt;="&amp;AH$6,$R$7:$R$406,"No"))</ns0:f>
        <ns0:v>0</ns0:v>
      </ns0:c>
      <ns0:c r="AI91" t="n">
        <ns0:f>IF($A91="",0,COUNTIFS($J$7:$J$406,$A91,$O$7:$O$406,"&lt;="&amp;AI$6,$P$7:$P$406,"&gt;="&amp;AI$6,$R$7:$R$406,"No"))</ns0:f>
        <ns0:v>0</ns0:v>
      </ns0:c>
      <ns0:c r="AJ91" t="n">
        <ns0:f>IF($A91="",0,COUNTIFS($J$7:$J$406,$A91,$O$7:$O$406,"&lt;="&amp;AJ$6,$P$7:$P$406,"&gt;="&amp;AJ$6,$R$7:$R$406,"No"))</ns0:f>
        <ns0:v>0</ns0:v>
      </ns0:c>
      <ns0:c r="AK91" t="n">
        <ns0:f>IF($A91="",0,COUNTIFS($J$7:$J$406,$A91,$O$7:$O$406,"&lt;="&amp;AK$6,$P$7:$P$406,"&gt;="&amp;AK$6,$R$7:$R$406,"No"))</ns0:f>
        <ns0:v>0</ns0:v>
      </ns0:c>
      <ns0:c r="AL91" t="n">
        <ns0:f>IF($A91="",0,COUNTIFS($J$7:$J$406,$A91,$O$7:$O$406,"&lt;="&amp;AL$6,$P$7:$P$406,"&gt;="&amp;AL$6,$R$7:$R$406,"No"))</ns0:f>
        <ns0:v>0</ns0:v>
      </ns0:c>
      <ns0:c r="AM91" t="n">
        <ns0:f>IF($A91="",0,COUNTIFS($J$7:$J$406,$A91,$O$7:$O$406,"&lt;="&amp;AM$6,$P$7:$P$406,"&gt;="&amp;AM$6,$R$7:$R$406,"No"))</ns0:f>
        <ns0:v>0</ns0:v>
      </ns0:c>
      <ns0:c r="AN91" t="n">
        <ns0:f>IF($A91="",0,COUNTIFS($J$7:$J$406,$A91,$O$7:$O$406,"&lt;="&amp;AN$6,$P$7:$P$406,"&gt;="&amp;AN$6,$R$7:$R$406,"No"))</ns0:f>
        <ns0:v>0</ns0:v>
      </ns0:c>
      <ns0:c r="AO91" t="n">
        <ns0:f>IF($A91="",0,COUNTIFS($J$7:$J$406,$A91,$O$7:$O$406,"&lt;="&amp;AO$6,$P$7:$P$406,"&gt;="&amp;AO$6,$R$7:$R$406,"No"))</ns0:f>
        <ns0:v>0</ns0:v>
      </ns0:c>
      <ns0:c r="AP91" t="n">
        <ns0:f>IF($A91="",0,COUNTIFS($J$7:$J$406,$A91,$O$7:$O$406,"&lt;="&amp;AP$6,$P$7:$P$406,"&gt;="&amp;AP$6,$R$7:$R$406,"No"))</ns0:f>
        <ns0:v>0</ns0:v>
      </ns0:c>
      <ns0:c r="AQ91" t="n">
        <ns0:f>IF($A91="",0,COUNTIFS($J$7:$J$406,$A91,$O$7:$O$406,"&lt;="&amp;AQ$6,$P$7:$P$406,"&gt;="&amp;AQ$6,$R$7:$R$406,"No"))</ns0:f>
        <ns0:v>0</ns0:v>
      </ns0:c>
      <ns0:c r="AR91" t="n">
        <ns0:f>IF($A91="",0,COUNTIFS($J$7:$J$406,$A91,$O$7:$O$406,"&lt;="&amp;AR$6,$P$7:$P$406,"&gt;="&amp;AR$6,$R$7:$R$406,"No"))</ns0:f>
        <ns0:v>0</ns0:v>
      </ns0:c>
      <ns0:c r="AS91" t="n">
        <ns0:f>IF($A91="",0,COUNTIFS($J$7:$J$406,$A91,$O$7:$O$406,"&lt;="&amp;AS$6,$P$7:$P$406,"&gt;="&amp;AS$6,$R$7:$R$406,"No"))</ns0:f>
        <ns0:v>0</ns0:v>
      </ns0:c>
      <ns0:c r="AT91" t="n">
        <ns0:f>IF($A91="",0,COUNTIFS($J$7:$J$406,$A91,$O$7:$O$406,"&lt;="&amp;AT$6,$P$7:$P$406,"&gt;="&amp;AT$6,$R$7:$R$406,"No"))</ns0:f>
        <ns0:v>0</ns0:v>
      </ns0:c>
      <ns0:c r="AU91" t="n">
        <ns0:f>IF($A91="",0,COUNTIFS($J$7:$J$406,$A91,$O$7:$O$406,"&lt;="&amp;AU$6,$P$7:$P$406,"&gt;="&amp;AU$6,$R$7:$R$406,"No"))</ns0:f>
        <ns0:v>0</ns0:v>
      </ns0:c>
      <ns0:c r="AV91" t="n">
        <ns0:f>IF($A91="",0,COUNTIFS($J$7:$J$406,$A91,$O$7:$O$406,"&lt;="&amp;AV$6,$P$7:$P$406,"&gt;="&amp;AV$6,$R$7:$R$406,"No"))</ns0:f>
        <ns0:v>0</ns0:v>
      </ns0:c>
      <ns0:c r="AW91" t="n">
        <ns0:f>IF($A91="",0,COUNTIFS($J$7:$J$406,$A91,$O$7:$O$406,"&lt;="&amp;AW$6,$P$7:$P$406,"&gt;="&amp;AW$6,$R$7:$R$406,"No"))</ns0:f>
        <ns0:v>0</ns0:v>
      </ns0:c>
      <ns0:c r="AX91" t="n">
        <ns0:f>IF($A91="",0,COUNTIFS($J$7:$J$406,$A91,$O$7:$O$406,"&lt;="&amp;AX$6,$P$7:$P$406,"&gt;="&amp;AX$6,$R$7:$R$406,"No"))</ns0:f>
        <ns0:v>0</ns0:v>
      </ns0:c>
      <ns0:c r="AY91" t="n">
        <ns0:f>IF($A91="",0,COUNTIFS($J$7:$J$406,$A91,$O$7:$O$406,"&lt;="&amp;AY$6,$P$7:$P$406,"&gt;="&amp;AY$6,$R$7:$R$406,"No"))</ns0:f>
        <ns0:v>0</ns0:v>
      </ns0:c>
      <ns0:c r="AZ91" t="n">
        <ns0:f>IF($A91="",0,COUNTIFS($J$7:$J$406,$A91,$O$7:$O$406,"&lt;="&amp;AZ$6,$P$7:$P$406,"&gt;="&amp;AZ$6,$R$7:$R$406,"No"))</ns0:f>
        <ns0:v>0</ns0:v>
      </ns0:c>
      <ns0:c r="BA91" t="n">
        <ns0:f>IF($A91="",0,COUNTIFS($J$7:$J$406,$A91,$O$7:$O$406,"&lt;="&amp;BA$6,$P$7:$P$406,"&gt;="&amp;BA$6,$R$7:$R$406,"No"))</ns0:f>
        <ns0:v>0</ns0:v>
      </ns0:c>
      <ns0:c r="BB91" t="n">
        <ns0:f>IF($A91="",0,COUNTIFS($J$7:$J$406,$A91,$O$7:$O$406,"&lt;="&amp;BB$6,$P$7:$P$406,"&gt;="&amp;BB$6,$R$7:$R$406,"No"))</ns0:f>
        <ns0:v>0</ns0:v>
      </ns0:c>
      <ns0:c r="BC91" t="n">
        <ns0:f>IF($A91="",0,COUNTIFS($J$7:$J$406,$A91,$O$7:$O$406,"&lt;="&amp;BC$6,$P$7:$P$406,"&gt;="&amp;BC$6,$R$7:$R$406,"No"))</ns0:f>
        <ns0:v>0</ns0:v>
      </ns0:c>
    </ns0:row>
    <ns0:row r="92" ht="48" customHeight="1">
      <ns0:c r="A92" s="8" t="str">
        <ns0:f>IF(ROW()-6&gt;MAX($K$7:$K$406),"",INDEX($J$7:$J$406,MATCH(ROW()-6,$K$7:$K$406,0)))</ns0:f>
      </ns0:c>
      <ns0:c r="B92" s="8" t="str">
        <ns0:f>IF(A92="","",COUNTIFS($J$7:$J$406,$A92))</ns0:f>
      </ns0:c>
      <ns0:c r="C92" s="8" t="str">
        <ns0:f>IF(A92="","",COUNTIFS($J$7:$J$406,$A92,$N$7:$N$406,1))</ns0:f>
      </ns0:c>
      <ns0:c r="D92" s="8" t="str">
        <ns0:f>IF(A92="","",COUNTIFS($J$7:$J$406,$A92,$Q$7:$Q$406,"In Progress"))</ns0:f>
      </ns0:c>
      <ns0:c r="E92" s="8" t="str">
        <ns0:f>IF(A92="","",B92-C92)</ns0:f>
      </ns0:c>
      <ns0:c r="F92" s="19" t="str">
        <ns0:f>IF(A92="","",SUMIFS($N$7:$N$406,$J$7:$J$406,$A92)/B92)</ns0:f>
      </ns0:c>
      <ns0:c r="G92" s="8" t="str">
        <ns0:f>IF(A92="","",COUNTIFS(V92:BC92,"&gt;1"))</ns0:f>
      </ns0:c>
      <ns0:c r="H92" s="8" t="str">
        <ns0:f>IF(A92="","",IF(COUNTIFS($T$7:$T$33,A92)&gt;0,INDEX($U$7:$U$33,MATCH(A92,$T$7:$T$33,0)),"No capacity or responsibility detail supplied."))</ns0:f>
      </ns0:c>
      <ns0:c r="J92" t="str">
        <ns0:f>IF('Project Tracker'!A28="","",TRIM(MID(SUBSTITUTE('Project Tracker'!K28,";",REPT(" ",150)),151,150)))</ns0:f>
        <ns0:v>Strategy Engine (W_STRAT)</ns0:v>
      </ns0:c>
      <ns0:c r="K92" t="n">
        <ns0:f>IF(J92="","",IF(COUNTIFS($J$7:J92,J92)=1,MAX($K$6:K91)+1,""))</ns0:f>
        <ns0:v>19</ns0:v>
      </ns0:c>
      <ns0:c r="L92" t="n">
        <ns0:f>IF(A92="",0,B92+(107-ROW())/1000)</ns0:f>
        <ns0:v>0</ns0:v>
      </ns0:c>
      <ns0:c r="M92" t="str">
        <ns0:f>IF(J92="","",'Project Tracker'!A28)</ns0:f>
        <ns0:v>T19</ns0:v>
      </ns0:c>
      <ns0:c r="N92" t="n">
        <ns0:f>IF(J92="","",'Project Tracker'!N28)</ns0:f>
        <ns0:v>0</ns0:v>
      </ns0:c>
      <ns0:c r="O92" t="n">
        <ns0:f>IF(J92="","",'Project Tracker'!E28)</ns0:f>
        <ns0:v>46287</ns0:v>
      </ns0:c>
      <ns0:c r="P92" t="n">
        <ns0:f>IF(J92="","",'Project Tracker'!F28)</ns0:f>
        <ns0:v>46289</ns0:v>
      </ns0:c>
      <ns0:c r="Q92" t="str">
        <ns0:f>IF(J92="","",'Project Tracker'!Q28)</ns0:f>
        <ns0:v>Not Started</ns0:v>
      </ns0:c>
      <ns0:c r="R92" t="str">
        <ns0:f>IF(J92="","",'Project Tracker'!J28)</ns0:f>
        <ns0:v>No</ns0:v>
      </ns0:c>
      <ns0:c r="V92" t="n">
        <ns0:f>IF($A92="",0,COUNTIFS($J$7:$J$406,$A92,$O$7:$O$406,"&lt;="&amp;V$6,$P$7:$P$406,"&gt;="&amp;V$6,$R$7:$R$406,"No"))</ns0:f>
        <ns0:v>0</ns0:v>
      </ns0:c>
      <ns0:c r="W92" t="n">
        <ns0:f>IF($A92="",0,COUNTIFS($J$7:$J$406,$A92,$O$7:$O$406,"&lt;="&amp;W$6,$P$7:$P$406,"&gt;="&amp;W$6,$R$7:$R$406,"No"))</ns0:f>
        <ns0:v>0</ns0:v>
      </ns0:c>
      <ns0:c r="X92" t="n">
        <ns0:f>IF($A92="",0,COUNTIFS($J$7:$J$406,$A92,$O$7:$O$406,"&lt;="&amp;X$6,$P$7:$P$406,"&gt;="&amp;X$6,$R$7:$R$406,"No"))</ns0:f>
        <ns0:v>0</ns0:v>
      </ns0:c>
      <ns0:c r="Y92" t="n">
        <ns0:f>IF($A92="",0,COUNTIFS($J$7:$J$406,$A92,$O$7:$O$406,"&lt;="&amp;Y$6,$P$7:$P$406,"&gt;="&amp;Y$6,$R$7:$R$406,"No"))</ns0:f>
        <ns0:v>0</ns0:v>
      </ns0:c>
      <ns0:c r="Z92" t="n">
        <ns0:f>IF($A92="",0,COUNTIFS($J$7:$J$406,$A92,$O$7:$O$406,"&lt;="&amp;Z$6,$P$7:$P$406,"&gt;="&amp;Z$6,$R$7:$R$406,"No"))</ns0:f>
        <ns0:v>0</ns0:v>
      </ns0:c>
      <ns0:c r="AA92" t="n">
        <ns0:f>IF($A92="",0,COUNTIFS($J$7:$J$406,$A92,$O$7:$O$406,"&lt;="&amp;AA$6,$P$7:$P$406,"&gt;="&amp;AA$6,$R$7:$R$406,"No"))</ns0:f>
        <ns0:v>0</ns0:v>
      </ns0:c>
      <ns0:c r="AB92" t="n">
        <ns0:f>IF($A92="",0,COUNTIFS($J$7:$J$406,$A92,$O$7:$O$406,"&lt;="&amp;AB$6,$P$7:$P$406,"&gt;="&amp;AB$6,$R$7:$R$406,"No"))</ns0:f>
        <ns0:v>0</ns0:v>
      </ns0:c>
      <ns0:c r="AC92" t="n">
        <ns0:f>IF($A92="",0,COUNTIFS($J$7:$J$406,$A92,$O$7:$O$406,"&lt;="&amp;AC$6,$P$7:$P$406,"&gt;="&amp;AC$6,$R$7:$R$406,"No"))</ns0:f>
        <ns0:v>0</ns0:v>
      </ns0:c>
      <ns0:c r="AD92" t="n">
        <ns0:f>IF($A92="",0,COUNTIFS($J$7:$J$406,$A92,$O$7:$O$406,"&lt;="&amp;AD$6,$P$7:$P$406,"&gt;="&amp;AD$6,$R$7:$R$406,"No"))</ns0:f>
        <ns0:v>0</ns0:v>
      </ns0:c>
      <ns0:c r="AE92" t="n">
        <ns0:f>IF($A92="",0,COUNTIFS($J$7:$J$406,$A92,$O$7:$O$406,"&lt;="&amp;AE$6,$P$7:$P$406,"&gt;="&amp;AE$6,$R$7:$R$406,"No"))</ns0:f>
        <ns0:v>0</ns0:v>
      </ns0:c>
      <ns0:c r="AF92" t="n">
        <ns0:f>IF($A92="",0,COUNTIFS($J$7:$J$406,$A92,$O$7:$O$406,"&lt;="&amp;AF$6,$P$7:$P$406,"&gt;="&amp;AF$6,$R$7:$R$406,"No"))</ns0:f>
        <ns0:v>0</ns0:v>
      </ns0:c>
      <ns0:c r="AG92" t="n">
        <ns0:f>IF($A92="",0,COUNTIFS($J$7:$J$406,$A92,$O$7:$O$406,"&lt;="&amp;AG$6,$P$7:$P$406,"&gt;="&amp;AG$6,$R$7:$R$406,"No"))</ns0:f>
        <ns0:v>0</ns0:v>
      </ns0:c>
      <ns0:c r="AH92" t="n">
        <ns0:f>IF($A92="",0,COUNTIFS($J$7:$J$406,$A92,$O$7:$O$406,"&lt;="&amp;AH$6,$P$7:$P$406,"&gt;="&amp;AH$6,$R$7:$R$406,"No"))</ns0:f>
        <ns0:v>0</ns0:v>
      </ns0:c>
      <ns0:c r="AI92" t="n">
        <ns0:f>IF($A92="",0,COUNTIFS($J$7:$J$406,$A92,$O$7:$O$406,"&lt;="&amp;AI$6,$P$7:$P$406,"&gt;="&amp;AI$6,$R$7:$R$406,"No"))</ns0:f>
        <ns0:v>0</ns0:v>
      </ns0:c>
      <ns0:c r="AJ92" t="n">
        <ns0:f>IF($A92="",0,COUNTIFS($J$7:$J$406,$A92,$O$7:$O$406,"&lt;="&amp;AJ$6,$P$7:$P$406,"&gt;="&amp;AJ$6,$R$7:$R$406,"No"))</ns0:f>
        <ns0:v>0</ns0:v>
      </ns0:c>
      <ns0:c r="AK92" t="n">
        <ns0:f>IF($A92="",0,COUNTIFS($J$7:$J$406,$A92,$O$7:$O$406,"&lt;="&amp;AK$6,$P$7:$P$406,"&gt;="&amp;AK$6,$R$7:$R$406,"No"))</ns0:f>
        <ns0:v>0</ns0:v>
      </ns0:c>
      <ns0:c r="AL92" t="n">
        <ns0:f>IF($A92="",0,COUNTIFS($J$7:$J$406,$A92,$O$7:$O$406,"&lt;="&amp;AL$6,$P$7:$P$406,"&gt;="&amp;AL$6,$R$7:$R$406,"No"))</ns0:f>
        <ns0:v>0</ns0:v>
      </ns0:c>
      <ns0:c r="AM92" t="n">
        <ns0:f>IF($A92="",0,COUNTIFS($J$7:$J$406,$A92,$O$7:$O$406,"&lt;="&amp;AM$6,$P$7:$P$406,"&gt;="&amp;AM$6,$R$7:$R$406,"No"))</ns0:f>
        <ns0:v>0</ns0:v>
      </ns0:c>
      <ns0:c r="AN92" t="n">
        <ns0:f>IF($A92="",0,COUNTIFS($J$7:$J$406,$A92,$O$7:$O$406,"&lt;="&amp;AN$6,$P$7:$P$406,"&gt;="&amp;AN$6,$R$7:$R$406,"No"))</ns0:f>
        <ns0:v>0</ns0:v>
      </ns0:c>
      <ns0:c r="AO92" t="n">
        <ns0:f>IF($A92="",0,COUNTIFS($J$7:$J$406,$A92,$O$7:$O$406,"&lt;="&amp;AO$6,$P$7:$P$406,"&gt;="&amp;AO$6,$R$7:$R$406,"No"))</ns0:f>
        <ns0:v>0</ns0:v>
      </ns0:c>
      <ns0:c r="AP92" t="n">
        <ns0:f>IF($A92="",0,COUNTIFS($J$7:$J$406,$A92,$O$7:$O$406,"&lt;="&amp;AP$6,$P$7:$P$406,"&gt;="&amp;AP$6,$R$7:$R$406,"No"))</ns0:f>
        <ns0:v>0</ns0:v>
      </ns0:c>
      <ns0:c r="AQ92" t="n">
        <ns0:f>IF($A92="",0,COUNTIFS($J$7:$J$406,$A92,$O$7:$O$406,"&lt;="&amp;AQ$6,$P$7:$P$406,"&gt;="&amp;AQ$6,$R$7:$R$406,"No"))</ns0:f>
        <ns0:v>0</ns0:v>
      </ns0:c>
      <ns0:c r="AR92" t="n">
        <ns0:f>IF($A92="",0,COUNTIFS($J$7:$J$406,$A92,$O$7:$O$406,"&lt;="&amp;AR$6,$P$7:$P$406,"&gt;="&amp;AR$6,$R$7:$R$406,"No"))</ns0:f>
        <ns0:v>0</ns0:v>
      </ns0:c>
      <ns0:c r="AS92" t="n">
        <ns0:f>IF($A92="",0,COUNTIFS($J$7:$J$406,$A92,$O$7:$O$406,"&lt;="&amp;AS$6,$P$7:$P$406,"&gt;="&amp;AS$6,$R$7:$R$406,"No"))</ns0:f>
        <ns0:v>0</ns0:v>
      </ns0:c>
      <ns0:c r="AT92" t="n">
        <ns0:f>IF($A92="",0,COUNTIFS($J$7:$J$406,$A92,$O$7:$O$406,"&lt;="&amp;AT$6,$P$7:$P$406,"&gt;="&amp;AT$6,$R$7:$R$406,"No"))</ns0:f>
        <ns0:v>0</ns0:v>
      </ns0:c>
      <ns0:c r="AU92" t="n">
        <ns0:f>IF($A92="",0,COUNTIFS($J$7:$J$406,$A92,$O$7:$O$406,"&lt;="&amp;AU$6,$P$7:$P$406,"&gt;="&amp;AU$6,$R$7:$R$406,"No"))</ns0:f>
        <ns0:v>0</ns0:v>
      </ns0:c>
      <ns0:c r="AV92" t="n">
        <ns0:f>IF($A92="",0,COUNTIFS($J$7:$J$406,$A92,$O$7:$O$406,"&lt;="&amp;AV$6,$P$7:$P$406,"&gt;="&amp;AV$6,$R$7:$R$406,"No"))</ns0:f>
        <ns0:v>0</ns0:v>
      </ns0:c>
      <ns0:c r="AW92" t="n">
        <ns0:f>IF($A92="",0,COUNTIFS($J$7:$J$406,$A92,$O$7:$O$406,"&lt;="&amp;AW$6,$P$7:$P$406,"&gt;="&amp;AW$6,$R$7:$R$406,"No"))</ns0:f>
        <ns0:v>0</ns0:v>
      </ns0:c>
      <ns0:c r="AX92" t="n">
        <ns0:f>IF($A92="",0,COUNTIFS($J$7:$J$406,$A92,$O$7:$O$406,"&lt;="&amp;AX$6,$P$7:$P$406,"&gt;="&amp;AX$6,$R$7:$R$406,"No"))</ns0:f>
        <ns0:v>0</ns0:v>
      </ns0:c>
      <ns0:c r="AY92" t="n">
        <ns0:f>IF($A92="",0,COUNTIFS($J$7:$J$406,$A92,$O$7:$O$406,"&lt;="&amp;AY$6,$P$7:$P$406,"&gt;="&amp;AY$6,$R$7:$R$406,"No"))</ns0:f>
        <ns0:v>0</ns0:v>
      </ns0:c>
      <ns0:c r="AZ92" t="n">
        <ns0:f>IF($A92="",0,COUNTIFS($J$7:$J$406,$A92,$O$7:$O$406,"&lt;="&amp;AZ$6,$P$7:$P$406,"&gt;="&amp;AZ$6,$R$7:$R$406,"No"))</ns0:f>
        <ns0:v>0</ns0:v>
      </ns0:c>
      <ns0:c r="BA92" t="n">
        <ns0:f>IF($A92="",0,COUNTIFS($J$7:$J$406,$A92,$O$7:$O$406,"&lt;="&amp;BA$6,$P$7:$P$406,"&gt;="&amp;BA$6,$R$7:$R$406,"No"))</ns0:f>
        <ns0:v>0</ns0:v>
      </ns0:c>
      <ns0:c r="BB92" t="n">
        <ns0:f>IF($A92="",0,COUNTIFS($J$7:$J$406,$A92,$O$7:$O$406,"&lt;="&amp;BB$6,$P$7:$P$406,"&gt;="&amp;BB$6,$R$7:$R$406,"No"))</ns0:f>
        <ns0:v>0</ns0:v>
      </ns0:c>
      <ns0:c r="BC92" t="n">
        <ns0:f>IF($A92="",0,COUNTIFS($J$7:$J$406,$A92,$O$7:$O$406,"&lt;="&amp;BC$6,$P$7:$P$406,"&gt;="&amp;BC$6,$R$7:$R$406,"No"))</ns0:f>
        <ns0:v>0</ns0:v>
      </ns0:c>
    </ns0:row>
    <ns0:row r="93" ht="48" customHeight="1">
      <ns0:c r="A93" s="8" t="str">
        <ns0:f>IF(ROW()-6&gt;MAX($K$7:$K$406),"",INDEX($J$7:$J$406,MATCH(ROW()-6,$K$7:$K$406,0)))</ns0:f>
      </ns0:c>
      <ns0:c r="B93" s="8" t="str">
        <ns0:f>IF(A93="","",COUNTIFS($J$7:$J$406,$A93))</ns0:f>
      </ns0:c>
      <ns0:c r="C93" s="8" t="str">
        <ns0:f>IF(A93="","",COUNTIFS($J$7:$J$406,$A93,$N$7:$N$406,1))</ns0:f>
      </ns0:c>
      <ns0:c r="D93" s="8" t="str">
        <ns0:f>IF(A93="","",COUNTIFS($J$7:$J$406,$A93,$Q$7:$Q$406,"In Progress"))</ns0:f>
      </ns0:c>
      <ns0:c r="E93" s="8" t="str">
        <ns0:f>IF(A93="","",B93-C93)</ns0:f>
      </ns0:c>
      <ns0:c r="F93" s="19" t="str">
        <ns0:f>IF(A93="","",SUMIFS($N$7:$N$406,$J$7:$J$406,$A93)/B93)</ns0:f>
      </ns0:c>
      <ns0:c r="G93" s="8" t="str">
        <ns0:f>IF(A93="","",COUNTIFS(V93:BC93,"&gt;1"))</ns0:f>
      </ns0:c>
      <ns0:c r="H93" s="8" t="str">
        <ns0:f>IF(A93="","",IF(COUNTIFS($T$7:$T$33,A93)&gt;0,INDEX($U$7:$U$33,MATCH(A93,$T$7:$T$33,0)),"No capacity or responsibility detail supplied."))</ns0:f>
      </ns0:c>
      <ns0:c r="J93" t="str">
        <ns0:f>IF('Project Tracker'!A28="","",TRIM(MID(SUBSTITUTE('Project Tracker'!K28,";",REPT(" ",150)),301,150)))</ns0:f>
      </ns0:c>
      <ns0:c r="K93" t="str">
        <ns0:f>IF(J93="","",IF(COUNTIFS($J$7:J93,J93)=1,MAX($K$6:K92)+1,""))</ns0:f>
      </ns0:c>
      <ns0:c r="L93" t="n">
        <ns0:f>IF(A93="",0,B93+(107-ROW())/1000)</ns0:f>
        <ns0:v>0</ns0:v>
      </ns0:c>
      <ns0:c r="M93" t="str">
        <ns0:f>IF(J93="","",'Project Tracker'!A28)</ns0:f>
      </ns0:c>
      <ns0:c r="N93" t="str">
        <ns0:f>IF(J93="","",'Project Tracker'!N28)</ns0:f>
      </ns0:c>
      <ns0:c r="O93" t="str">
        <ns0:f>IF(J93="","",'Project Tracker'!E28)</ns0:f>
      </ns0:c>
      <ns0:c r="P93" t="str">
        <ns0:f>IF(J93="","",'Project Tracker'!F28)</ns0:f>
      </ns0:c>
      <ns0:c r="Q93" t="str">
        <ns0:f>IF(J93="","",'Project Tracker'!Q28)</ns0:f>
      </ns0:c>
      <ns0:c r="R93" t="str">
        <ns0:f>IF(J93="","",'Project Tracker'!J28)</ns0:f>
      </ns0:c>
      <ns0:c r="V93" t="n">
        <ns0:f>IF($A93="",0,COUNTIFS($J$7:$J$406,$A93,$O$7:$O$406,"&lt;="&amp;V$6,$P$7:$P$406,"&gt;="&amp;V$6,$R$7:$R$406,"No"))</ns0:f>
        <ns0:v>0</ns0:v>
      </ns0:c>
      <ns0:c r="W93" t="n">
        <ns0:f>IF($A93="",0,COUNTIFS($J$7:$J$406,$A93,$O$7:$O$406,"&lt;="&amp;W$6,$P$7:$P$406,"&gt;="&amp;W$6,$R$7:$R$406,"No"))</ns0:f>
        <ns0:v>0</ns0:v>
      </ns0:c>
      <ns0:c r="X93" t="n">
        <ns0:f>IF($A93="",0,COUNTIFS($J$7:$J$406,$A93,$O$7:$O$406,"&lt;="&amp;X$6,$P$7:$P$406,"&gt;="&amp;X$6,$R$7:$R$406,"No"))</ns0:f>
        <ns0:v>0</ns0:v>
      </ns0:c>
      <ns0:c r="Y93" t="n">
        <ns0:f>IF($A93="",0,COUNTIFS($J$7:$J$406,$A93,$O$7:$O$406,"&lt;="&amp;Y$6,$P$7:$P$406,"&gt;="&amp;Y$6,$R$7:$R$406,"No"))</ns0:f>
        <ns0:v>0</ns0:v>
      </ns0:c>
      <ns0:c r="Z93" t="n">
        <ns0:f>IF($A93="",0,COUNTIFS($J$7:$J$406,$A93,$O$7:$O$406,"&lt;="&amp;Z$6,$P$7:$P$406,"&gt;="&amp;Z$6,$R$7:$R$406,"No"))</ns0:f>
        <ns0:v>0</ns0:v>
      </ns0:c>
      <ns0:c r="AA93" t="n">
        <ns0:f>IF($A93="",0,COUNTIFS($J$7:$J$406,$A93,$O$7:$O$406,"&lt;="&amp;AA$6,$P$7:$P$406,"&gt;="&amp;AA$6,$R$7:$R$406,"No"))</ns0:f>
        <ns0:v>0</ns0:v>
      </ns0:c>
      <ns0:c r="AB93" t="n">
        <ns0:f>IF($A93="",0,COUNTIFS($J$7:$J$406,$A93,$O$7:$O$406,"&lt;="&amp;AB$6,$P$7:$P$406,"&gt;="&amp;AB$6,$R$7:$R$406,"No"))</ns0:f>
        <ns0:v>0</ns0:v>
      </ns0:c>
      <ns0:c r="AC93" t="n">
        <ns0:f>IF($A93="",0,COUNTIFS($J$7:$J$406,$A93,$O$7:$O$406,"&lt;="&amp;AC$6,$P$7:$P$406,"&gt;="&amp;AC$6,$R$7:$R$406,"No"))</ns0:f>
        <ns0:v>0</ns0:v>
      </ns0:c>
      <ns0:c r="AD93" t="n">
        <ns0:f>IF($A93="",0,COUNTIFS($J$7:$J$406,$A93,$O$7:$O$406,"&lt;="&amp;AD$6,$P$7:$P$406,"&gt;="&amp;AD$6,$R$7:$R$406,"No"))</ns0:f>
        <ns0:v>0</ns0:v>
      </ns0:c>
      <ns0:c r="AE93" t="n">
        <ns0:f>IF($A93="",0,COUNTIFS($J$7:$J$406,$A93,$O$7:$O$406,"&lt;="&amp;AE$6,$P$7:$P$406,"&gt;="&amp;AE$6,$R$7:$R$406,"No"))</ns0:f>
        <ns0:v>0</ns0:v>
      </ns0:c>
      <ns0:c r="AF93" t="n">
        <ns0:f>IF($A93="",0,COUNTIFS($J$7:$J$406,$A93,$O$7:$O$406,"&lt;="&amp;AF$6,$P$7:$P$406,"&gt;="&amp;AF$6,$R$7:$R$406,"No"))</ns0:f>
        <ns0:v>0</ns0:v>
      </ns0:c>
      <ns0:c r="AG93" t="n">
        <ns0:f>IF($A93="",0,COUNTIFS($J$7:$J$406,$A93,$O$7:$O$406,"&lt;="&amp;AG$6,$P$7:$P$406,"&gt;="&amp;AG$6,$R$7:$R$406,"No"))</ns0:f>
        <ns0:v>0</ns0:v>
      </ns0:c>
      <ns0:c r="AH93" t="n">
        <ns0:f>IF($A93="",0,COUNTIFS($J$7:$J$406,$A93,$O$7:$O$406,"&lt;="&amp;AH$6,$P$7:$P$406,"&gt;="&amp;AH$6,$R$7:$R$406,"No"))</ns0:f>
        <ns0:v>0</ns0:v>
      </ns0:c>
      <ns0:c r="AI93" t="n">
        <ns0:f>IF($A93="",0,COUNTIFS($J$7:$J$406,$A93,$O$7:$O$406,"&lt;="&amp;AI$6,$P$7:$P$406,"&gt;="&amp;AI$6,$R$7:$R$406,"No"))</ns0:f>
        <ns0:v>0</ns0:v>
      </ns0:c>
      <ns0:c r="AJ93" t="n">
        <ns0:f>IF($A93="",0,COUNTIFS($J$7:$J$406,$A93,$O$7:$O$406,"&lt;="&amp;AJ$6,$P$7:$P$406,"&gt;="&amp;AJ$6,$R$7:$R$406,"No"))</ns0:f>
        <ns0:v>0</ns0:v>
      </ns0:c>
      <ns0:c r="AK93" t="n">
        <ns0:f>IF($A93="",0,COUNTIFS($J$7:$J$406,$A93,$O$7:$O$406,"&lt;="&amp;AK$6,$P$7:$P$406,"&gt;="&amp;AK$6,$R$7:$R$406,"No"))</ns0:f>
        <ns0:v>0</ns0:v>
      </ns0:c>
      <ns0:c r="AL93" t="n">
        <ns0:f>IF($A93="",0,COUNTIFS($J$7:$J$406,$A93,$O$7:$O$406,"&lt;="&amp;AL$6,$P$7:$P$406,"&gt;="&amp;AL$6,$R$7:$R$406,"No"))</ns0:f>
        <ns0:v>0</ns0:v>
      </ns0:c>
      <ns0:c r="AM93" t="n">
        <ns0:f>IF($A93="",0,COUNTIFS($J$7:$J$406,$A93,$O$7:$O$406,"&lt;="&amp;AM$6,$P$7:$P$406,"&gt;="&amp;AM$6,$R$7:$R$406,"No"))</ns0:f>
        <ns0:v>0</ns0:v>
      </ns0:c>
      <ns0:c r="AN93" t="n">
        <ns0:f>IF($A93="",0,COUNTIFS($J$7:$J$406,$A93,$O$7:$O$406,"&lt;="&amp;AN$6,$P$7:$P$406,"&gt;="&amp;AN$6,$R$7:$R$406,"No"))</ns0:f>
        <ns0:v>0</ns0:v>
      </ns0:c>
      <ns0:c r="AO93" t="n">
        <ns0:f>IF($A93="",0,COUNTIFS($J$7:$J$406,$A93,$O$7:$O$406,"&lt;="&amp;AO$6,$P$7:$P$406,"&gt;="&amp;AO$6,$R$7:$R$406,"No"))</ns0:f>
        <ns0:v>0</ns0:v>
      </ns0:c>
      <ns0:c r="AP93" t="n">
        <ns0:f>IF($A93="",0,COUNTIFS($J$7:$J$406,$A93,$O$7:$O$406,"&lt;="&amp;AP$6,$P$7:$P$406,"&gt;="&amp;AP$6,$R$7:$R$406,"No"))</ns0:f>
        <ns0:v>0</ns0:v>
      </ns0:c>
      <ns0:c r="AQ93" t="n">
        <ns0:f>IF($A93="",0,COUNTIFS($J$7:$J$406,$A93,$O$7:$O$406,"&lt;="&amp;AQ$6,$P$7:$P$406,"&gt;="&amp;AQ$6,$R$7:$R$406,"No"))</ns0:f>
        <ns0:v>0</ns0:v>
      </ns0:c>
      <ns0:c r="AR93" t="n">
        <ns0:f>IF($A93="",0,COUNTIFS($J$7:$J$406,$A93,$O$7:$O$406,"&lt;="&amp;AR$6,$P$7:$P$406,"&gt;="&amp;AR$6,$R$7:$R$406,"No"))</ns0:f>
        <ns0:v>0</ns0:v>
      </ns0:c>
      <ns0:c r="AS93" t="n">
        <ns0:f>IF($A93="",0,COUNTIFS($J$7:$J$406,$A93,$O$7:$O$406,"&lt;="&amp;AS$6,$P$7:$P$406,"&gt;="&amp;AS$6,$R$7:$R$406,"No"))</ns0:f>
        <ns0:v>0</ns0:v>
      </ns0:c>
      <ns0:c r="AT93" t="n">
        <ns0:f>IF($A93="",0,COUNTIFS($J$7:$J$406,$A93,$O$7:$O$406,"&lt;="&amp;AT$6,$P$7:$P$406,"&gt;="&amp;AT$6,$R$7:$R$406,"No"))</ns0:f>
        <ns0:v>0</ns0:v>
      </ns0:c>
      <ns0:c r="AU93" t="n">
        <ns0:f>IF($A93="",0,COUNTIFS($J$7:$J$406,$A93,$O$7:$O$406,"&lt;="&amp;AU$6,$P$7:$P$406,"&gt;="&amp;AU$6,$R$7:$R$406,"No"))</ns0:f>
        <ns0:v>0</ns0:v>
      </ns0:c>
      <ns0:c r="AV93" t="n">
        <ns0:f>IF($A93="",0,COUNTIFS($J$7:$J$406,$A93,$O$7:$O$406,"&lt;="&amp;AV$6,$P$7:$P$406,"&gt;="&amp;AV$6,$R$7:$R$406,"No"))</ns0:f>
        <ns0:v>0</ns0:v>
      </ns0:c>
      <ns0:c r="AW93" t="n">
        <ns0:f>IF($A93="",0,COUNTIFS($J$7:$J$406,$A93,$O$7:$O$406,"&lt;="&amp;AW$6,$P$7:$P$406,"&gt;="&amp;AW$6,$R$7:$R$406,"No"))</ns0:f>
        <ns0:v>0</ns0:v>
      </ns0:c>
      <ns0:c r="AX93" t="n">
        <ns0:f>IF($A93="",0,COUNTIFS($J$7:$J$406,$A93,$O$7:$O$406,"&lt;="&amp;AX$6,$P$7:$P$406,"&gt;="&amp;AX$6,$R$7:$R$406,"No"))</ns0:f>
        <ns0:v>0</ns0:v>
      </ns0:c>
      <ns0:c r="AY93" t="n">
        <ns0:f>IF($A93="",0,COUNTIFS($J$7:$J$406,$A93,$O$7:$O$406,"&lt;="&amp;AY$6,$P$7:$P$406,"&gt;="&amp;AY$6,$R$7:$R$406,"No"))</ns0:f>
        <ns0:v>0</ns0:v>
      </ns0:c>
      <ns0:c r="AZ93" t="n">
        <ns0:f>IF($A93="",0,COUNTIFS($J$7:$J$406,$A93,$O$7:$O$406,"&lt;="&amp;AZ$6,$P$7:$P$406,"&gt;="&amp;AZ$6,$R$7:$R$406,"No"))</ns0:f>
        <ns0:v>0</ns0:v>
      </ns0:c>
      <ns0:c r="BA93" t="n">
        <ns0:f>IF($A93="",0,COUNTIFS($J$7:$J$406,$A93,$O$7:$O$406,"&lt;="&amp;BA$6,$P$7:$P$406,"&gt;="&amp;BA$6,$R$7:$R$406,"No"))</ns0:f>
        <ns0:v>0</ns0:v>
      </ns0:c>
      <ns0:c r="BB93" t="n">
        <ns0:f>IF($A93="",0,COUNTIFS($J$7:$J$406,$A93,$O$7:$O$406,"&lt;="&amp;BB$6,$P$7:$P$406,"&gt;="&amp;BB$6,$R$7:$R$406,"No"))</ns0:f>
        <ns0:v>0</ns0:v>
      </ns0:c>
      <ns0:c r="BC93" t="n">
        <ns0:f>IF($A93="",0,COUNTIFS($J$7:$J$406,$A93,$O$7:$O$406,"&lt;="&amp;BC$6,$P$7:$P$406,"&gt;="&amp;BC$6,$R$7:$R$406,"No"))</ns0:f>
        <ns0:v>0</ns0:v>
      </ns0:c>
    </ns0:row>
    <ns0:row r="94" ht="48" customHeight="1">
      <ns0:c r="A94" s="8" t="str">
        <ns0:f>IF(ROW()-6&gt;MAX($K$7:$K$406),"",INDEX($J$7:$J$406,MATCH(ROW()-6,$K$7:$K$406,0)))</ns0:f>
      </ns0:c>
      <ns0:c r="B94" s="8" t="str">
        <ns0:f>IF(A94="","",COUNTIFS($J$7:$J$406,$A94))</ns0:f>
      </ns0:c>
      <ns0:c r="C94" s="8" t="str">
        <ns0:f>IF(A94="","",COUNTIFS($J$7:$J$406,$A94,$N$7:$N$406,1))</ns0:f>
      </ns0:c>
      <ns0:c r="D94" s="8" t="str">
        <ns0:f>IF(A94="","",COUNTIFS($J$7:$J$406,$A94,$Q$7:$Q$406,"In Progress"))</ns0:f>
      </ns0:c>
      <ns0:c r="E94" s="8" t="str">
        <ns0:f>IF(A94="","",B94-C94)</ns0:f>
      </ns0:c>
      <ns0:c r="F94" s="19" t="str">
        <ns0:f>IF(A94="","",SUMIFS($N$7:$N$406,$J$7:$J$406,$A94)/B94)</ns0:f>
      </ns0:c>
      <ns0:c r="G94" s="8" t="str">
        <ns0:f>IF(A94="","",COUNTIFS(V94:BC94,"&gt;1"))</ns0:f>
      </ns0:c>
      <ns0:c r="H94" s="8" t="str">
        <ns0:f>IF(A94="","",IF(COUNTIFS($T$7:$T$33,A94)&gt;0,INDEX($U$7:$U$33,MATCH(A94,$T$7:$T$33,0)),"No capacity or responsibility detail supplied."))</ns0:f>
      </ns0:c>
      <ns0:c r="J94" t="str">
        <ns0:f>IF('Project Tracker'!A28="","",TRIM(MID(SUBSTITUTE('Project Tracker'!K28,";",REPT(" ",150)),451,150)))</ns0:f>
      </ns0:c>
      <ns0:c r="K94" t="str">
        <ns0:f>IF(J94="","",IF(COUNTIFS($J$7:J94,J94)=1,MAX($K$6:K93)+1,""))</ns0:f>
      </ns0:c>
      <ns0:c r="L94" t="n">
        <ns0:f>IF(A94="",0,B94+(107-ROW())/1000)</ns0:f>
        <ns0:v>0</ns0:v>
      </ns0:c>
      <ns0:c r="M94" t="str">
        <ns0:f>IF(J94="","",'Project Tracker'!A28)</ns0:f>
      </ns0:c>
      <ns0:c r="N94" t="str">
        <ns0:f>IF(J94="","",'Project Tracker'!N28)</ns0:f>
      </ns0:c>
      <ns0:c r="O94" t="str">
        <ns0:f>IF(J94="","",'Project Tracker'!E28)</ns0:f>
      </ns0:c>
      <ns0:c r="P94" t="str">
        <ns0:f>IF(J94="","",'Project Tracker'!F28)</ns0:f>
      </ns0:c>
      <ns0:c r="Q94" t="str">
        <ns0:f>IF(J94="","",'Project Tracker'!Q28)</ns0:f>
      </ns0:c>
      <ns0:c r="R94" t="str">
        <ns0:f>IF(J94="","",'Project Tracker'!J28)</ns0:f>
      </ns0:c>
      <ns0:c r="V94" t="n">
        <ns0:f>IF($A94="",0,COUNTIFS($J$7:$J$406,$A94,$O$7:$O$406,"&lt;="&amp;V$6,$P$7:$P$406,"&gt;="&amp;V$6,$R$7:$R$406,"No"))</ns0:f>
        <ns0:v>0</ns0:v>
      </ns0:c>
      <ns0:c r="W94" t="n">
        <ns0:f>IF($A94="",0,COUNTIFS($J$7:$J$406,$A94,$O$7:$O$406,"&lt;="&amp;W$6,$P$7:$P$406,"&gt;="&amp;W$6,$R$7:$R$406,"No"))</ns0:f>
        <ns0:v>0</ns0:v>
      </ns0:c>
      <ns0:c r="X94" t="n">
        <ns0:f>IF($A94="",0,COUNTIFS($J$7:$J$406,$A94,$O$7:$O$406,"&lt;="&amp;X$6,$P$7:$P$406,"&gt;="&amp;X$6,$R$7:$R$406,"No"))</ns0:f>
        <ns0:v>0</ns0:v>
      </ns0:c>
      <ns0:c r="Y94" t="n">
        <ns0:f>IF($A94="",0,COUNTIFS($J$7:$J$406,$A94,$O$7:$O$406,"&lt;="&amp;Y$6,$P$7:$P$406,"&gt;="&amp;Y$6,$R$7:$R$406,"No"))</ns0:f>
        <ns0:v>0</ns0:v>
      </ns0:c>
      <ns0:c r="Z94" t="n">
        <ns0:f>IF($A94="",0,COUNTIFS($J$7:$J$406,$A94,$O$7:$O$406,"&lt;="&amp;Z$6,$P$7:$P$406,"&gt;="&amp;Z$6,$R$7:$R$406,"No"))</ns0:f>
        <ns0:v>0</ns0:v>
      </ns0:c>
      <ns0:c r="AA94" t="n">
        <ns0:f>IF($A94="",0,COUNTIFS($J$7:$J$406,$A94,$O$7:$O$406,"&lt;="&amp;AA$6,$P$7:$P$406,"&gt;="&amp;AA$6,$R$7:$R$406,"No"))</ns0:f>
        <ns0:v>0</ns0:v>
      </ns0:c>
      <ns0:c r="AB94" t="n">
        <ns0:f>IF($A94="",0,COUNTIFS($J$7:$J$406,$A94,$O$7:$O$406,"&lt;="&amp;AB$6,$P$7:$P$406,"&gt;="&amp;AB$6,$R$7:$R$406,"No"))</ns0:f>
        <ns0:v>0</ns0:v>
      </ns0:c>
      <ns0:c r="AC94" t="n">
        <ns0:f>IF($A94="",0,COUNTIFS($J$7:$J$406,$A94,$O$7:$O$406,"&lt;="&amp;AC$6,$P$7:$P$406,"&gt;="&amp;AC$6,$R$7:$R$406,"No"))</ns0:f>
        <ns0:v>0</ns0:v>
      </ns0:c>
      <ns0:c r="AD94" t="n">
        <ns0:f>IF($A94="",0,COUNTIFS($J$7:$J$406,$A94,$O$7:$O$406,"&lt;="&amp;AD$6,$P$7:$P$406,"&gt;="&amp;AD$6,$R$7:$R$406,"No"))</ns0:f>
        <ns0:v>0</ns0:v>
      </ns0:c>
      <ns0:c r="AE94" t="n">
        <ns0:f>IF($A94="",0,COUNTIFS($J$7:$J$406,$A94,$O$7:$O$406,"&lt;="&amp;AE$6,$P$7:$P$406,"&gt;="&amp;AE$6,$R$7:$R$406,"No"))</ns0:f>
        <ns0:v>0</ns0:v>
      </ns0:c>
      <ns0:c r="AF94" t="n">
        <ns0:f>IF($A94="",0,COUNTIFS($J$7:$J$406,$A94,$O$7:$O$406,"&lt;="&amp;AF$6,$P$7:$P$406,"&gt;="&amp;AF$6,$R$7:$R$406,"No"))</ns0:f>
        <ns0:v>0</ns0:v>
      </ns0:c>
      <ns0:c r="AG94" t="n">
        <ns0:f>IF($A94="",0,COUNTIFS($J$7:$J$406,$A94,$O$7:$O$406,"&lt;="&amp;AG$6,$P$7:$P$406,"&gt;="&amp;AG$6,$R$7:$R$406,"No"))</ns0:f>
        <ns0:v>0</ns0:v>
      </ns0:c>
      <ns0:c r="AH94" t="n">
        <ns0:f>IF($A94="",0,COUNTIFS($J$7:$J$406,$A94,$O$7:$O$406,"&lt;="&amp;AH$6,$P$7:$P$406,"&gt;="&amp;AH$6,$R$7:$R$406,"No"))</ns0:f>
        <ns0:v>0</ns0:v>
      </ns0:c>
      <ns0:c r="AI94" t="n">
        <ns0:f>IF($A94="",0,COUNTIFS($J$7:$J$406,$A94,$O$7:$O$406,"&lt;="&amp;AI$6,$P$7:$P$406,"&gt;="&amp;AI$6,$R$7:$R$406,"No"))</ns0:f>
        <ns0:v>0</ns0:v>
      </ns0:c>
      <ns0:c r="AJ94" t="n">
        <ns0:f>IF($A94="",0,COUNTIFS($J$7:$J$406,$A94,$O$7:$O$406,"&lt;="&amp;AJ$6,$P$7:$P$406,"&gt;="&amp;AJ$6,$R$7:$R$406,"No"))</ns0:f>
        <ns0:v>0</ns0:v>
      </ns0:c>
      <ns0:c r="AK94" t="n">
        <ns0:f>IF($A94="",0,COUNTIFS($J$7:$J$406,$A94,$O$7:$O$406,"&lt;="&amp;AK$6,$P$7:$P$406,"&gt;="&amp;AK$6,$R$7:$R$406,"No"))</ns0:f>
        <ns0:v>0</ns0:v>
      </ns0:c>
      <ns0:c r="AL94" t="n">
        <ns0:f>IF($A94="",0,COUNTIFS($J$7:$J$406,$A94,$O$7:$O$406,"&lt;="&amp;AL$6,$P$7:$P$406,"&gt;="&amp;AL$6,$R$7:$R$406,"No"))</ns0:f>
        <ns0:v>0</ns0:v>
      </ns0:c>
      <ns0:c r="AM94" t="n">
        <ns0:f>IF($A94="",0,COUNTIFS($J$7:$J$406,$A94,$O$7:$O$406,"&lt;="&amp;AM$6,$P$7:$P$406,"&gt;="&amp;AM$6,$R$7:$R$406,"No"))</ns0:f>
        <ns0:v>0</ns0:v>
      </ns0:c>
      <ns0:c r="AN94" t="n">
        <ns0:f>IF($A94="",0,COUNTIFS($J$7:$J$406,$A94,$O$7:$O$406,"&lt;="&amp;AN$6,$P$7:$P$406,"&gt;="&amp;AN$6,$R$7:$R$406,"No"))</ns0:f>
        <ns0:v>0</ns0:v>
      </ns0:c>
      <ns0:c r="AO94" t="n">
        <ns0:f>IF($A94="",0,COUNTIFS($J$7:$J$406,$A94,$O$7:$O$406,"&lt;="&amp;AO$6,$P$7:$P$406,"&gt;="&amp;AO$6,$R$7:$R$406,"No"))</ns0:f>
        <ns0:v>0</ns0:v>
      </ns0:c>
      <ns0:c r="AP94" t="n">
        <ns0:f>IF($A94="",0,COUNTIFS($J$7:$J$406,$A94,$O$7:$O$406,"&lt;="&amp;AP$6,$P$7:$P$406,"&gt;="&amp;AP$6,$R$7:$R$406,"No"))</ns0:f>
        <ns0:v>0</ns0:v>
      </ns0:c>
      <ns0:c r="AQ94" t="n">
        <ns0:f>IF($A94="",0,COUNTIFS($J$7:$J$406,$A94,$O$7:$O$406,"&lt;="&amp;AQ$6,$P$7:$P$406,"&gt;="&amp;AQ$6,$R$7:$R$406,"No"))</ns0:f>
        <ns0:v>0</ns0:v>
      </ns0:c>
      <ns0:c r="AR94" t="n">
        <ns0:f>IF($A94="",0,COUNTIFS($J$7:$J$406,$A94,$O$7:$O$406,"&lt;="&amp;AR$6,$P$7:$P$406,"&gt;="&amp;AR$6,$R$7:$R$406,"No"))</ns0:f>
        <ns0:v>0</ns0:v>
      </ns0:c>
      <ns0:c r="AS94" t="n">
        <ns0:f>IF($A94="",0,COUNTIFS($J$7:$J$406,$A94,$O$7:$O$406,"&lt;="&amp;AS$6,$P$7:$P$406,"&gt;="&amp;AS$6,$R$7:$R$406,"No"))</ns0:f>
        <ns0:v>0</ns0:v>
      </ns0:c>
      <ns0:c r="AT94" t="n">
        <ns0:f>IF($A94="",0,COUNTIFS($J$7:$J$406,$A94,$O$7:$O$406,"&lt;="&amp;AT$6,$P$7:$P$406,"&gt;="&amp;AT$6,$R$7:$R$406,"No"))</ns0:f>
        <ns0:v>0</ns0:v>
      </ns0:c>
      <ns0:c r="AU94" t="n">
        <ns0:f>IF($A94="",0,COUNTIFS($J$7:$J$406,$A94,$O$7:$O$406,"&lt;="&amp;AU$6,$P$7:$P$406,"&gt;="&amp;AU$6,$R$7:$R$406,"No"))</ns0:f>
        <ns0:v>0</ns0:v>
      </ns0:c>
      <ns0:c r="AV94" t="n">
        <ns0:f>IF($A94="",0,COUNTIFS($J$7:$J$406,$A94,$O$7:$O$406,"&lt;="&amp;AV$6,$P$7:$P$406,"&gt;="&amp;AV$6,$R$7:$R$406,"No"))</ns0:f>
        <ns0:v>0</ns0:v>
      </ns0:c>
      <ns0:c r="AW94" t="n">
        <ns0:f>IF($A94="",0,COUNTIFS($J$7:$J$406,$A94,$O$7:$O$406,"&lt;="&amp;AW$6,$P$7:$P$406,"&gt;="&amp;AW$6,$R$7:$R$406,"No"))</ns0:f>
        <ns0:v>0</ns0:v>
      </ns0:c>
      <ns0:c r="AX94" t="n">
        <ns0:f>IF($A94="",0,COUNTIFS($J$7:$J$406,$A94,$O$7:$O$406,"&lt;="&amp;AX$6,$P$7:$P$406,"&gt;="&amp;AX$6,$R$7:$R$406,"No"))</ns0:f>
        <ns0:v>0</ns0:v>
      </ns0:c>
      <ns0:c r="AY94" t="n">
        <ns0:f>IF($A94="",0,COUNTIFS($J$7:$J$406,$A94,$O$7:$O$406,"&lt;="&amp;AY$6,$P$7:$P$406,"&gt;="&amp;AY$6,$R$7:$R$406,"No"))</ns0:f>
        <ns0:v>0</ns0:v>
      </ns0:c>
      <ns0:c r="AZ94" t="n">
        <ns0:f>IF($A94="",0,COUNTIFS($J$7:$J$406,$A94,$O$7:$O$406,"&lt;="&amp;AZ$6,$P$7:$P$406,"&gt;="&amp;AZ$6,$R$7:$R$406,"No"))</ns0:f>
        <ns0:v>0</ns0:v>
      </ns0:c>
      <ns0:c r="BA94" t="n">
        <ns0:f>IF($A94="",0,COUNTIFS($J$7:$J$406,$A94,$O$7:$O$406,"&lt;="&amp;BA$6,$P$7:$P$406,"&gt;="&amp;BA$6,$R$7:$R$406,"No"))</ns0:f>
        <ns0:v>0</ns0:v>
      </ns0:c>
      <ns0:c r="BB94" t="n">
        <ns0:f>IF($A94="",0,COUNTIFS($J$7:$J$406,$A94,$O$7:$O$406,"&lt;="&amp;BB$6,$P$7:$P$406,"&gt;="&amp;BB$6,$R$7:$R$406,"No"))</ns0:f>
        <ns0:v>0</ns0:v>
      </ns0:c>
      <ns0:c r="BC94" t="n">
        <ns0:f>IF($A94="",0,COUNTIFS($J$7:$J$406,$A94,$O$7:$O$406,"&lt;="&amp;BC$6,$P$7:$P$406,"&gt;="&amp;BC$6,$R$7:$R$406,"No"))</ns0:f>
        <ns0:v>0</ns0:v>
      </ns0:c>
    </ns0:row>
    <ns0:row r="95" ht="48" customHeight="1">
      <ns0:c r="A95" s="8" t="str">
        <ns0:f>IF(ROW()-6&gt;MAX($K$7:$K$406),"",INDEX($J$7:$J$406,MATCH(ROW()-6,$K$7:$K$406,0)))</ns0:f>
      </ns0:c>
      <ns0:c r="B95" s="8" t="str">
        <ns0:f>IF(A95="","",COUNTIFS($J$7:$J$406,$A95))</ns0:f>
      </ns0:c>
      <ns0:c r="C95" s="8" t="str">
        <ns0:f>IF(A95="","",COUNTIFS($J$7:$J$406,$A95,$N$7:$N$406,1))</ns0:f>
      </ns0:c>
      <ns0:c r="D95" s="8" t="str">
        <ns0:f>IF(A95="","",COUNTIFS($J$7:$J$406,$A95,$Q$7:$Q$406,"In Progress"))</ns0:f>
      </ns0:c>
      <ns0:c r="E95" s="8" t="str">
        <ns0:f>IF(A95="","",B95-C95)</ns0:f>
      </ns0:c>
      <ns0:c r="F95" s="19" t="str">
        <ns0:f>IF(A95="","",SUMIFS($N$7:$N$406,$J$7:$J$406,$A95)/B95)</ns0:f>
      </ns0:c>
      <ns0:c r="G95" s="8" t="str">
        <ns0:f>IF(A95="","",COUNTIFS(V95:BC95,"&gt;1"))</ns0:f>
      </ns0:c>
      <ns0:c r="H95" s="8" t="str">
        <ns0:f>IF(A95="","",IF(COUNTIFS($T$7:$T$33,A95)&gt;0,INDEX($U$7:$U$33,MATCH(A95,$T$7:$T$33,0)),"No capacity or responsibility detail supplied."))</ns0:f>
      </ns0:c>
      <ns0:c r="J95" t="str">
        <ns0:f>IF('Project Tracker'!A29="","",TRIM(MID(SUBSTITUTE('Project Tracker'!K29,";",REPT(" ",150)),1,150)))</ns0:f>
        <ns0:v>Specialist Sub-Agents (L4_SUBS)</ns0:v>
      </ns0:c>
      <ns0:c r="K95" t="str">
        <ns0:f>IF(J95="","",IF(COUNTIFS($J$7:J95,J95)=1,MAX($K$6:K94)+1,""))</ns0:f>
      </ns0:c>
      <ns0:c r="L95" t="n">
        <ns0:f>IF(A95="",0,B95+(107-ROW())/1000)</ns0:f>
        <ns0:v>0</ns0:v>
      </ns0:c>
      <ns0:c r="M95" t="str">
        <ns0:f>IF(J95="","",'Project Tracker'!A29)</ns0:f>
        <ns0:v>T20</ns0:v>
      </ns0:c>
      <ns0:c r="N95" t="n">
        <ns0:f>IF(J95="","",'Project Tracker'!N29)</ns0:f>
        <ns0:v>0</ns0:v>
      </ns0:c>
      <ns0:c r="O95" t="n">
        <ns0:f>IF(J95="","",'Project Tracker'!E29)</ns0:f>
        <ns0:v>46290</ns0:v>
      </ns0:c>
      <ns0:c r="P95" t="n">
        <ns0:f>IF(J95="","",'Project Tracker'!F29)</ns0:f>
        <ns0:v>46292</ns0:v>
      </ns0:c>
      <ns0:c r="Q95" t="str">
        <ns0:f>IF(J95="","",'Project Tracker'!Q29)</ns0:f>
        <ns0:v>Not Started</ns0:v>
      </ns0:c>
      <ns0:c r="R95" t="str">
        <ns0:f>IF(J95="","",'Project Tracker'!J29)</ns0:f>
        <ns0:v>No</ns0:v>
      </ns0:c>
      <ns0:c r="V95" t="n">
        <ns0:f>IF($A95="",0,COUNTIFS($J$7:$J$406,$A95,$O$7:$O$406,"&lt;="&amp;V$6,$P$7:$P$406,"&gt;="&amp;V$6,$R$7:$R$406,"No"))</ns0:f>
        <ns0:v>0</ns0:v>
      </ns0:c>
      <ns0:c r="W95" t="n">
        <ns0:f>IF($A95="",0,COUNTIFS($J$7:$J$406,$A95,$O$7:$O$406,"&lt;="&amp;W$6,$P$7:$P$406,"&gt;="&amp;W$6,$R$7:$R$406,"No"))</ns0:f>
        <ns0:v>0</ns0:v>
      </ns0:c>
      <ns0:c r="X95" t="n">
        <ns0:f>IF($A95="",0,COUNTIFS($J$7:$J$406,$A95,$O$7:$O$406,"&lt;="&amp;X$6,$P$7:$P$406,"&gt;="&amp;X$6,$R$7:$R$406,"No"))</ns0:f>
        <ns0:v>0</ns0:v>
      </ns0:c>
      <ns0:c r="Y95" t="n">
        <ns0:f>IF($A95="",0,COUNTIFS($J$7:$J$406,$A95,$O$7:$O$406,"&lt;="&amp;Y$6,$P$7:$P$406,"&gt;="&amp;Y$6,$R$7:$R$406,"No"))</ns0:f>
        <ns0:v>0</ns0:v>
      </ns0:c>
      <ns0:c r="Z95" t="n">
        <ns0:f>IF($A95="",0,COUNTIFS($J$7:$J$406,$A95,$O$7:$O$406,"&lt;="&amp;Z$6,$P$7:$P$406,"&gt;="&amp;Z$6,$R$7:$R$406,"No"))</ns0:f>
        <ns0:v>0</ns0:v>
      </ns0:c>
      <ns0:c r="AA95" t="n">
        <ns0:f>IF($A95="",0,COUNTIFS($J$7:$J$406,$A95,$O$7:$O$406,"&lt;="&amp;AA$6,$P$7:$P$406,"&gt;="&amp;AA$6,$R$7:$R$406,"No"))</ns0:f>
        <ns0:v>0</ns0:v>
      </ns0:c>
      <ns0:c r="AB95" t="n">
        <ns0:f>IF($A95="",0,COUNTIFS($J$7:$J$406,$A95,$O$7:$O$406,"&lt;="&amp;AB$6,$P$7:$P$406,"&gt;="&amp;AB$6,$R$7:$R$406,"No"))</ns0:f>
        <ns0:v>0</ns0:v>
      </ns0:c>
      <ns0:c r="AC95" t="n">
        <ns0:f>IF($A95="",0,COUNTIFS($J$7:$J$406,$A95,$O$7:$O$406,"&lt;="&amp;AC$6,$P$7:$P$406,"&gt;="&amp;AC$6,$R$7:$R$406,"No"))</ns0:f>
        <ns0:v>0</ns0:v>
      </ns0:c>
      <ns0:c r="AD95" t="n">
        <ns0:f>IF($A95="",0,COUNTIFS($J$7:$J$406,$A95,$O$7:$O$406,"&lt;="&amp;AD$6,$P$7:$P$406,"&gt;="&amp;AD$6,$R$7:$R$406,"No"))</ns0:f>
        <ns0:v>0</ns0:v>
      </ns0:c>
      <ns0:c r="AE95" t="n">
        <ns0:f>IF($A95="",0,COUNTIFS($J$7:$J$406,$A95,$O$7:$O$406,"&lt;="&amp;AE$6,$P$7:$P$406,"&gt;="&amp;AE$6,$R$7:$R$406,"No"))</ns0:f>
        <ns0:v>0</ns0:v>
      </ns0:c>
      <ns0:c r="AF95" t="n">
        <ns0:f>IF($A95="",0,COUNTIFS($J$7:$J$406,$A95,$O$7:$O$406,"&lt;="&amp;AF$6,$P$7:$P$406,"&gt;="&amp;AF$6,$R$7:$R$406,"No"))</ns0:f>
        <ns0:v>0</ns0:v>
      </ns0:c>
      <ns0:c r="AG95" t="n">
        <ns0:f>IF($A95="",0,COUNTIFS($J$7:$J$406,$A95,$O$7:$O$406,"&lt;="&amp;AG$6,$P$7:$P$406,"&gt;="&amp;AG$6,$R$7:$R$406,"No"))</ns0:f>
        <ns0:v>0</ns0:v>
      </ns0:c>
      <ns0:c r="AH95" t="n">
        <ns0:f>IF($A95="",0,COUNTIFS($J$7:$J$406,$A95,$O$7:$O$406,"&lt;="&amp;AH$6,$P$7:$P$406,"&gt;="&amp;AH$6,$R$7:$R$406,"No"))</ns0:f>
        <ns0:v>0</ns0:v>
      </ns0:c>
      <ns0:c r="AI95" t="n">
        <ns0:f>IF($A95="",0,COUNTIFS($J$7:$J$406,$A95,$O$7:$O$406,"&lt;="&amp;AI$6,$P$7:$P$406,"&gt;="&amp;AI$6,$R$7:$R$406,"No"))</ns0:f>
        <ns0:v>0</ns0:v>
      </ns0:c>
      <ns0:c r="AJ95" t="n">
        <ns0:f>IF($A95="",0,COUNTIFS($J$7:$J$406,$A95,$O$7:$O$406,"&lt;="&amp;AJ$6,$P$7:$P$406,"&gt;="&amp;AJ$6,$R$7:$R$406,"No"))</ns0:f>
        <ns0:v>0</ns0:v>
      </ns0:c>
      <ns0:c r="AK95" t="n">
        <ns0:f>IF($A95="",0,COUNTIFS($J$7:$J$406,$A95,$O$7:$O$406,"&lt;="&amp;AK$6,$P$7:$P$406,"&gt;="&amp;AK$6,$R$7:$R$406,"No"))</ns0:f>
        <ns0:v>0</ns0:v>
      </ns0:c>
      <ns0:c r="AL95" t="n">
        <ns0:f>IF($A95="",0,COUNTIFS($J$7:$J$406,$A95,$O$7:$O$406,"&lt;="&amp;AL$6,$P$7:$P$406,"&gt;="&amp;AL$6,$R$7:$R$406,"No"))</ns0:f>
        <ns0:v>0</ns0:v>
      </ns0:c>
      <ns0:c r="AM95" t="n">
        <ns0:f>IF($A95="",0,COUNTIFS($J$7:$J$406,$A95,$O$7:$O$406,"&lt;="&amp;AM$6,$P$7:$P$406,"&gt;="&amp;AM$6,$R$7:$R$406,"No"))</ns0:f>
        <ns0:v>0</ns0:v>
      </ns0:c>
      <ns0:c r="AN95" t="n">
        <ns0:f>IF($A95="",0,COUNTIFS($J$7:$J$406,$A95,$O$7:$O$406,"&lt;="&amp;AN$6,$P$7:$P$406,"&gt;="&amp;AN$6,$R$7:$R$406,"No"))</ns0:f>
        <ns0:v>0</ns0:v>
      </ns0:c>
      <ns0:c r="AO95" t="n">
        <ns0:f>IF($A95="",0,COUNTIFS($J$7:$J$406,$A95,$O$7:$O$406,"&lt;="&amp;AO$6,$P$7:$P$406,"&gt;="&amp;AO$6,$R$7:$R$406,"No"))</ns0:f>
        <ns0:v>0</ns0:v>
      </ns0:c>
      <ns0:c r="AP95" t="n">
        <ns0:f>IF($A95="",0,COUNTIFS($J$7:$J$406,$A95,$O$7:$O$406,"&lt;="&amp;AP$6,$P$7:$P$406,"&gt;="&amp;AP$6,$R$7:$R$406,"No"))</ns0:f>
        <ns0:v>0</ns0:v>
      </ns0:c>
      <ns0:c r="AQ95" t="n">
        <ns0:f>IF($A95="",0,COUNTIFS($J$7:$J$406,$A95,$O$7:$O$406,"&lt;="&amp;AQ$6,$P$7:$P$406,"&gt;="&amp;AQ$6,$R$7:$R$406,"No"))</ns0:f>
        <ns0:v>0</ns0:v>
      </ns0:c>
      <ns0:c r="AR95" t="n">
        <ns0:f>IF($A95="",0,COUNTIFS($J$7:$J$406,$A95,$O$7:$O$406,"&lt;="&amp;AR$6,$P$7:$P$406,"&gt;="&amp;AR$6,$R$7:$R$406,"No"))</ns0:f>
        <ns0:v>0</ns0:v>
      </ns0:c>
      <ns0:c r="AS95" t="n">
        <ns0:f>IF($A95="",0,COUNTIFS($J$7:$J$406,$A95,$O$7:$O$406,"&lt;="&amp;AS$6,$P$7:$P$406,"&gt;="&amp;AS$6,$R$7:$R$406,"No"))</ns0:f>
        <ns0:v>0</ns0:v>
      </ns0:c>
      <ns0:c r="AT95" t="n">
        <ns0:f>IF($A95="",0,COUNTIFS($J$7:$J$406,$A95,$O$7:$O$406,"&lt;="&amp;AT$6,$P$7:$P$406,"&gt;="&amp;AT$6,$R$7:$R$406,"No"))</ns0:f>
        <ns0:v>0</ns0:v>
      </ns0:c>
      <ns0:c r="AU95" t="n">
        <ns0:f>IF($A95="",0,COUNTIFS($J$7:$J$406,$A95,$O$7:$O$406,"&lt;="&amp;AU$6,$P$7:$P$406,"&gt;="&amp;AU$6,$R$7:$R$406,"No"))</ns0:f>
        <ns0:v>0</ns0:v>
      </ns0:c>
      <ns0:c r="AV95" t="n">
        <ns0:f>IF($A95="",0,COUNTIFS($J$7:$J$406,$A95,$O$7:$O$406,"&lt;="&amp;AV$6,$P$7:$P$406,"&gt;="&amp;AV$6,$R$7:$R$406,"No"))</ns0:f>
        <ns0:v>0</ns0:v>
      </ns0:c>
      <ns0:c r="AW95" t="n">
        <ns0:f>IF($A95="",0,COUNTIFS($J$7:$J$406,$A95,$O$7:$O$406,"&lt;="&amp;AW$6,$P$7:$P$406,"&gt;="&amp;AW$6,$R$7:$R$406,"No"))</ns0:f>
        <ns0:v>0</ns0:v>
      </ns0:c>
      <ns0:c r="AX95" t="n">
        <ns0:f>IF($A95="",0,COUNTIFS($J$7:$J$406,$A95,$O$7:$O$406,"&lt;="&amp;AX$6,$P$7:$P$406,"&gt;="&amp;AX$6,$R$7:$R$406,"No"))</ns0:f>
        <ns0:v>0</ns0:v>
      </ns0:c>
      <ns0:c r="AY95" t="n">
        <ns0:f>IF($A95="",0,COUNTIFS($J$7:$J$406,$A95,$O$7:$O$406,"&lt;="&amp;AY$6,$P$7:$P$406,"&gt;="&amp;AY$6,$R$7:$R$406,"No"))</ns0:f>
        <ns0:v>0</ns0:v>
      </ns0:c>
      <ns0:c r="AZ95" t="n">
        <ns0:f>IF($A95="",0,COUNTIFS($J$7:$J$406,$A95,$O$7:$O$406,"&lt;="&amp;AZ$6,$P$7:$P$406,"&gt;="&amp;AZ$6,$R$7:$R$406,"No"))</ns0:f>
        <ns0:v>0</ns0:v>
      </ns0:c>
      <ns0:c r="BA95" t="n">
        <ns0:f>IF($A95="",0,COUNTIFS($J$7:$J$406,$A95,$O$7:$O$406,"&lt;="&amp;BA$6,$P$7:$P$406,"&gt;="&amp;BA$6,$R$7:$R$406,"No"))</ns0:f>
        <ns0:v>0</ns0:v>
      </ns0:c>
      <ns0:c r="BB95" t="n">
        <ns0:f>IF($A95="",0,COUNTIFS($J$7:$J$406,$A95,$O$7:$O$406,"&lt;="&amp;BB$6,$P$7:$P$406,"&gt;="&amp;BB$6,$R$7:$R$406,"No"))</ns0:f>
        <ns0:v>0</ns0:v>
      </ns0:c>
      <ns0:c r="BC95" t="n">
        <ns0:f>IF($A95="",0,COUNTIFS($J$7:$J$406,$A95,$O$7:$O$406,"&lt;="&amp;BC$6,$P$7:$P$406,"&gt;="&amp;BC$6,$R$7:$R$406,"No"))</ns0:f>
        <ns0:v>0</ns0:v>
      </ns0:c>
    </ns0:row>
    <ns0:row r="96" ht="48" customHeight="1">
      <ns0:c r="A96" s="8" t="str">
        <ns0:f>IF(ROW()-6&gt;MAX($K$7:$K$406),"",INDEX($J$7:$J$406,MATCH(ROW()-6,$K$7:$K$406,0)))</ns0:f>
      </ns0:c>
      <ns0:c r="B96" s="8" t="str">
        <ns0:f>IF(A96="","",COUNTIFS($J$7:$J$406,$A96))</ns0:f>
      </ns0:c>
      <ns0:c r="C96" s="8" t="str">
        <ns0:f>IF(A96="","",COUNTIFS($J$7:$J$406,$A96,$N$7:$N$406,1))</ns0:f>
      </ns0:c>
      <ns0:c r="D96" s="8" t="str">
        <ns0:f>IF(A96="","",COUNTIFS($J$7:$J$406,$A96,$Q$7:$Q$406,"In Progress"))</ns0:f>
      </ns0:c>
      <ns0:c r="E96" s="8" t="str">
        <ns0:f>IF(A96="","",B96-C96)</ns0:f>
      </ns0:c>
      <ns0:c r="F96" s="19" t="str">
        <ns0:f>IF(A96="","",SUMIFS($N$7:$N$406,$J$7:$J$406,$A96)/B96)</ns0:f>
      </ns0:c>
      <ns0:c r="G96" s="8" t="str">
        <ns0:f>IF(A96="","",COUNTIFS(V96:BC96,"&gt;1"))</ns0:f>
      </ns0:c>
      <ns0:c r="H96" s="8" t="str">
        <ns0:f>IF(A96="","",IF(COUNTIFS($T$7:$T$33,A96)&gt;0,INDEX($U$7:$U$33,MATCH(A96,$T$7:$T$33,0)),"No capacity or responsibility detail supplied."))</ns0:f>
      </ns0:c>
      <ns0:c r="J96" t="str">
        <ns0:f>IF('Project Tracker'!A29="","",TRIM(MID(SUBSTITUTE('Project Tracker'!K29,";",REPT(" ",150)),151,150)))</ns0:f>
        <ns0:v>Creative &amp; Content Engine (W_CREAT)</ns0:v>
      </ns0:c>
      <ns0:c r="K96" t="n">
        <ns0:f>IF(J96="","",IF(COUNTIFS($J$7:J96,J96)=1,MAX($K$6:K95)+1,""))</ns0:f>
        <ns0:v>20</ns0:v>
      </ns0:c>
      <ns0:c r="L96" t="n">
        <ns0:f>IF(A96="",0,B96+(107-ROW())/1000)</ns0:f>
        <ns0:v>0</ns0:v>
      </ns0:c>
      <ns0:c r="M96" t="str">
        <ns0:f>IF(J96="","",'Project Tracker'!A29)</ns0:f>
        <ns0:v>T20</ns0:v>
      </ns0:c>
      <ns0:c r="N96" t="n">
        <ns0:f>IF(J96="","",'Project Tracker'!N29)</ns0:f>
        <ns0:v>0</ns0:v>
      </ns0:c>
      <ns0:c r="O96" t="n">
        <ns0:f>IF(J96="","",'Project Tracker'!E29)</ns0:f>
        <ns0:v>46290</ns0:v>
      </ns0:c>
      <ns0:c r="P96" t="n">
        <ns0:f>IF(J96="","",'Project Tracker'!F29)</ns0:f>
        <ns0:v>46292</ns0:v>
      </ns0:c>
      <ns0:c r="Q96" t="str">
        <ns0:f>IF(J96="","",'Project Tracker'!Q29)</ns0:f>
        <ns0:v>Not Started</ns0:v>
      </ns0:c>
      <ns0:c r="R96" t="str">
        <ns0:f>IF(J96="","",'Project Tracker'!J29)</ns0:f>
        <ns0:v>No</ns0:v>
      </ns0:c>
      <ns0:c r="V96" t="n">
        <ns0:f>IF($A96="",0,COUNTIFS($J$7:$J$406,$A96,$O$7:$O$406,"&lt;="&amp;V$6,$P$7:$P$406,"&gt;="&amp;V$6,$R$7:$R$406,"No"))</ns0:f>
        <ns0:v>0</ns0:v>
      </ns0:c>
      <ns0:c r="W96" t="n">
        <ns0:f>IF($A96="",0,COUNTIFS($J$7:$J$406,$A96,$O$7:$O$406,"&lt;="&amp;W$6,$P$7:$P$406,"&gt;="&amp;W$6,$R$7:$R$406,"No"))</ns0:f>
        <ns0:v>0</ns0:v>
      </ns0:c>
      <ns0:c r="X96" t="n">
        <ns0:f>IF($A96="",0,COUNTIFS($J$7:$J$406,$A96,$O$7:$O$406,"&lt;="&amp;X$6,$P$7:$P$406,"&gt;="&amp;X$6,$R$7:$R$406,"No"))</ns0:f>
        <ns0:v>0</ns0:v>
      </ns0:c>
      <ns0:c r="Y96" t="n">
        <ns0:f>IF($A96="",0,COUNTIFS($J$7:$J$406,$A96,$O$7:$O$406,"&lt;="&amp;Y$6,$P$7:$P$406,"&gt;="&amp;Y$6,$R$7:$R$406,"No"))</ns0:f>
        <ns0:v>0</ns0:v>
      </ns0:c>
      <ns0:c r="Z96" t="n">
        <ns0:f>IF($A96="",0,COUNTIFS($J$7:$J$406,$A96,$O$7:$O$406,"&lt;="&amp;Z$6,$P$7:$P$406,"&gt;="&amp;Z$6,$R$7:$R$406,"No"))</ns0:f>
        <ns0:v>0</ns0:v>
      </ns0:c>
      <ns0:c r="AA96" t="n">
        <ns0:f>IF($A96="",0,COUNTIFS($J$7:$J$406,$A96,$O$7:$O$406,"&lt;="&amp;AA$6,$P$7:$P$406,"&gt;="&amp;AA$6,$R$7:$R$406,"No"))</ns0:f>
        <ns0:v>0</ns0:v>
      </ns0:c>
      <ns0:c r="AB96" t="n">
        <ns0:f>IF($A96="",0,COUNTIFS($J$7:$J$406,$A96,$O$7:$O$406,"&lt;="&amp;AB$6,$P$7:$P$406,"&gt;="&amp;AB$6,$R$7:$R$406,"No"))</ns0:f>
        <ns0:v>0</ns0:v>
      </ns0:c>
      <ns0:c r="AC96" t="n">
        <ns0:f>IF($A96="",0,COUNTIFS($J$7:$J$406,$A96,$O$7:$O$406,"&lt;="&amp;AC$6,$P$7:$P$406,"&gt;="&amp;AC$6,$R$7:$R$406,"No"))</ns0:f>
        <ns0:v>0</ns0:v>
      </ns0:c>
      <ns0:c r="AD96" t="n">
        <ns0:f>IF($A96="",0,COUNTIFS($J$7:$J$406,$A96,$O$7:$O$406,"&lt;="&amp;AD$6,$P$7:$P$406,"&gt;="&amp;AD$6,$R$7:$R$406,"No"))</ns0:f>
        <ns0:v>0</ns0:v>
      </ns0:c>
      <ns0:c r="AE96" t="n">
        <ns0:f>IF($A96="",0,COUNTIFS($J$7:$J$406,$A96,$O$7:$O$406,"&lt;="&amp;AE$6,$P$7:$P$406,"&gt;="&amp;AE$6,$R$7:$R$406,"No"))</ns0:f>
        <ns0:v>0</ns0:v>
      </ns0:c>
      <ns0:c r="AF96" t="n">
        <ns0:f>IF($A96="",0,COUNTIFS($J$7:$J$406,$A96,$O$7:$O$406,"&lt;="&amp;AF$6,$P$7:$P$406,"&gt;="&amp;AF$6,$R$7:$R$406,"No"))</ns0:f>
        <ns0:v>0</ns0:v>
      </ns0:c>
      <ns0:c r="AG96" t="n">
        <ns0:f>IF($A96="",0,COUNTIFS($J$7:$J$406,$A96,$O$7:$O$406,"&lt;="&amp;AG$6,$P$7:$P$406,"&gt;="&amp;AG$6,$R$7:$R$406,"No"))</ns0:f>
        <ns0:v>0</ns0:v>
      </ns0:c>
      <ns0:c r="AH96" t="n">
        <ns0:f>IF($A96="",0,COUNTIFS($J$7:$J$406,$A96,$O$7:$O$406,"&lt;="&amp;AH$6,$P$7:$P$406,"&gt;="&amp;AH$6,$R$7:$R$406,"No"))</ns0:f>
        <ns0:v>0</ns0:v>
      </ns0:c>
      <ns0:c r="AI96" t="n">
        <ns0:f>IF($A96="",0,COUNTIFS($J$7:$J$406,$A96,$O$7:$O$406,"&lt;="&amp;AI$6,$P$7:$P$406,"&gt;="&amp;AI$6,$R$7:$R$406,"No"))</ns0:f>
        <ns0:v>0</ns0:v>
      </ns0:c>
      <ns0:c r="AJ96" t="n">
        <ns0:f>IF($A96="",0,COUNTIFS($J$7:$J$406,$A96,$O$7:$O$406,"&lt;="&amp;AJ$6,$P$7:$P$406,"&gt;="&amp;AJ$6,$R$7:$R$406,"No"))</ns0:f>
        <ns0:v>0</ns0:v>
      </ns0:c>
      <ns0:c r="AK96" t="n">
        <ns0:f>IF($A96="",0,COUNTIFS($J$7:$J$406,$A96,$O$7:$O$406,"&lt;="&amp;AK$6,$P$7:$P$406,"&gt;="&amp;AK$6,$R$7:$R$406,"No"))</ns0:f>
        <ns0:v>0</ns0:v>
      </ns0:c>
      <ns0:c r="AL96" t="n">
        <ns0:f>IF($A96="",0,COUNTIFS($J$7:$J$406,$A96,$O$7:$O$406,"&lt;="&amp;AL$6,$P$7:$P$406,"&gt;="&amp;AL$6,$R$7:$R$406,"No"))</ns0:f>
        <ns0:v>0</ns0:v>
      </ns0:c>
      <ns0:c r="AM96" t="n">
        <ns0:f>IF($A96="",0,COUNTIFS($J$7:$J$406,$A96,$O$7:$O$406,"&lt;="&amp;AM$6,$P$7:$P$406,"&gt;="&amp;AM$6,$R$7:$R$406,"No"))</ns0:f>
        <ns0:v>0</ns0:v>
      </ns0:c>
      <ns0:c r="AN96" t="n">
        <ns0:f>IF($A96="",0,COUNTIFS($J$7:$J$406,$A96,$O$7:$O$406,"&lt;="&amp;AN$6,$P$7:$P$406,"&gt;="&amp;AN$6,$R$7:$R$406,"No"))</ns0:f>
        <ns0:v>0</ns0:v>
      </ns0:c>
      <ns0:c r="AO96" t="n">
        <ns0:f>IF($A96="",0,COUNTIFS($J$7:$J$406,$A96,$O$7:$O$406,"&lt;="&amp;AO$6,$P$7:$P$406,"&gt;="&amp;AO$6,$R$7:$R$406,"No"))</ns0:f>
        <ns0:v>0</ns0:v>
      </ns0:c>
      <ns0:c r="AP96" t="n">
        <ns0:f>IF($A96="",0,COUNTIFS($J$7:$J$406,$A96,$O$7:$O$406,"&lt;="&amp;AP$6,$P$7:$P$406,"&gt;="&amp;AP$6,$R$7:$R$406,"No"))</ns0:f>
        <ns0:v>0</ns0:v>
      </ns0:c>
      <ns0:c r="AQ96" t="n">
        <ns0:f>IF($A96="",0,COUNTIFS($J$7:$J$406,$A96,$O$7:$O$406,"&lt;="&amp;AQ$6,$P$7:$P$406,"&gt;="&amp;AQ$6,$R$7:$R$406,"No"))</ns0:f>
        <ns0:v>0</ns0:v>
      </ns0:c>
      <ns0:c r="AR96" t="n">
        <ns0:f>IF($A96="",0,COUNTIFS($J$7:$J$406,$A96,$O$7:$O$406,"&lt;="&amp;AR$6,$P$7:$P$406,"&gt;="&amp;AR$6,$R$7:$R$406,"No"))</ns0:f>
        <ns0:v>0</ns0:v>
      </ns0:c>
      <ns0:c r="AS96" t="n">
        <ns0:f>IF($A96="",0,COUNTIFS($J$7:$J$406,$A96,$O$7:$O$406,"&lt;="&amp;AS$6,$P$7:$P$406,"&gt;="&amp;AS$6,$R$7:$R$406,"No"))</ns0:f>
        <ns0:v>0</ns0:v>
      </ns0:c>
      <ns0:c r="AT96" t="n">
        <ns0:f>IF($A96="",0,COUNTIFS($J$7:$J$406,$A96,$O$7:$O$406,"&lt;="&amp;AT$6,$P$7:$P$406,"&gt;="&amp;AT$6,$R$7:$R$406,"No"))</ns0:f>
        <ns0:v>0</ns0:v>
      </ns0:c>
      <ns0:c r="AU96" t="n">
        <ns0:f>IF($A96="",0,COUNTIFS($J$7:$J$406,$A96,$O$7:$O$406,"&lt;="&amp;AU$6,$P$7:$P$406,"&gt;="&amp;AU$6,$R$7:$R$406,"No"))</ns0:f>
        <ns0:v>0</ns0:v>
      </ns0:c>
      <ns0:c r="AV96" t="n">
        <ns0:f>IF($A96="",0,COUNTIFS($J$7:$J$406,$A96,$O$7:$O$406,"&lt;="&amp;AV$6,$P$7:$P$406,"&gt;="&amp;AV$6,$R$7:$R$406,"No"))</ns0:f>
        <ns0:v>0</ns0:v>
      </ns0:c>
      <ns0:c r="AW96" t="n">
        <ns0:f>IF($A96="",0,COUNTIFS($J$7:$J$406,$A96,$O$7:$O$406,"&lt;="&amp;AW$6,$P$7:$P$406,"&gt;="&amp;AW$6,$R$7:$R$406,"No"))</ns0:f>
        <ns0:v>0</ns0:v>
      </ns0:c>
      <ns0:c r="AX96" t="n">
        <ns0:f>IF($A96="",0,COUNTIFS($J$7:$J$406,$A96,$O$7:$O$406,"&lt;="&amp;AX$6,$P$7:$P$406,"&gt;="&amp;AX$6,$R$7:$R$406,"No"))</ns0:f>
        <ns0:v>0</ns0:v>
      </ns0:c>
      <ns0:c r="AY96" t="n">
        <ns0:f>IF($A96="",0,COUNTIFS($J$7:$J$406,$A96,$O$7:$O$406,"&lt;="&amp;AY$6,$P$7:$P$406,"&gt;="&amp;AY$6,$R$7:$R$406,"No"))</ns0:f>
        <ns0:v>0</ns0:v>
      </ns0:c>
      <ns0:c r="AZ96" t="n">
        <ns0:f>IF($A96="",0,COUNTIFS($J$7:$J$406,$A96,$O$7:$O$406,"&lt;="&amp;AZ$6,$P$7:$P$406,"&gt;="&amp;AZ$6,$R$7:$R$406,"No"))</ns0:f>
        <ns0:v>0</ns0:v>
      </ns0:c>
      <ns0:c r="BA96" t="n">
        <ns0:f>IF($A96="",0,COUNTIFS($J$7:$J$406,$A96,$O$7:$O$406,"&lt;="&amp;BA$6,$P$7:$P$406,"&gt;="&amp;BA$6,$R$7:$R$406,"No"))</ns0:f>
        <ns0:v>0</ns0:v>
      </ns0:c>
      <ns0:c r="BB96" t="n">
        <ns0:f>IF($A96="",0,COUNTIFS($J$7:$J$406,$A96,$O$7:$O$406,"&lt;="&amp;BB$6,$P$7:$P$406,"&gt;="&amp;BB$6,$R$7:$R$406,"No"))</ns0:f>
        <ns0:v>0</ns0:v>
      </ns0:c>
      <ns0:c r="BC96" t="n">
        <ns0:f>IF($A96="",0,COUNTIFS($J$7:$J$406,$A96,$O$7:$O$406,"&lt;="&amp;BC$6,$P$7:$P$406,"&gt;="&amp;BC$6,$R$7:$R$406,"No"))</ns0:f>
        <ns0:v>0</ns0:v>
      </ns0:c>
    </ns0:row>
    <ns0:row r="97" ht="48" customHeight="1">
      <ns0:c r="A97" s="8" t="str">
        <ns0:f>IF(ROW()-6&gt;MAX($K$7:$K$406),"",INDEX($J$7:$J$406,MATCH(ROW()-6,$K$7:$K$406,0)))</ns0:f>
      </ns0:c>
      <ns0:c r="B97" s="8" t="str">
        <ns0:f>IF(A97="","",COUNTIFS($J$7:$J$406,$A97))</ns0:f>
      </ns0:c>
      <ns0:c r="C97" s="8" t="str">
        <ns0:f>IF(A97="","",COUNTIFS($J$7:$J$406,$A97,$N$7:$N$406,1))</ns0:f>
      </ns0:c>
      <ns0:c r="D97" s="8" t="str">
        <ns0:f>IF(A97="","",COUNTIFS($J$7:$J$406,$A97,$Q$7:$Q$406,"In Progress"))</ns0:f>
      </ns0:c>
      <ns0:c r="E97" s="8" t="str">
        <ns0:f>IF(A97="","",B97-C97)</ns0:f>
      </ns0:c>
      <ns0:c r="F97" s="19" t="str">
        <ns0:f>IF(A97="","",SUMIFS($N$7:$N$406,$J$7:$J$406,$A97)/B97)</ns0:f>
      </ns0:c>
      <ns0:c r="G97" s="8" t="str">
        <ns0:f>IF(A97="","",COUNTIFS(V97:BC97,"&gt;1"))</ns0:f>
      </ns0:c>
      <ns0:c r="H97" s="8" t="str">
        <ns0:f>IF(A97="","",IF(COUNTIFS($T$7:$T$33,A97)&gt;0,INDEX($U$7:$U$33,MATCH(A97,$T$7:$T$33,0)),"No capacity or responsibility detail supplied."))</ns0:f>
      </ns0:c>
      <ns0:c r="J97" t="str">
        <ns0:f>IF('Project Tracker'!A29="","",TRIM(MID(SUBSTITUTE('Project Tracker'!K29,";",REPT(" ",150)),301,150)))</ns0:f>
      </ns0:c>
      <ns0:c r="K97" t="str">
        <ns0:f>IF(J97="","",IF(COUNTIFS($J$7:J97,J97)=1,MAX($K$6:K96)+1,""))</ns0:f>
      </ns0:c>
      <ns0:c r="L97" t="n">
        <ns0:f>IF(A97="",0,B97+(107-ROW())/1000)</ns0:f>
        <ns0:v>0</ns0:v>
      </ns0:c>
      <ns0:c r="M97" t="str">
        <ns0:f>IF(J97="","",'Project Tracker'!A29)</ns0:f>
      </ns0:c>
      <ns0:c r="N97" t="str">
        <ns0:f>IF(J97="","",'Project Tracker'!N29)</ns0:f>
      </ns0:c>
      <ns0:c r="O97" t="str">
        <ns0:f>IF(J97="","",'Project Tracker'!E29)</ns0:f>
      </ns0:c>
      <ns0:c r="P97" t="str">
        <ns0:f>IF(J97="","",'Project Tracker'!F29)</ns0:f>
      </ns0:c>
      <ns0:c r="Q97" t="str">
        <ns0:f>IF(J97="","",'Project Tracker'!Q29)</ns0:f>
      </ns0:c>
      <ns0:c r="R97" t="str">
        <ns0:f>IF(J97="","",'Project Tracker'!J29)</ns0:f>
      </ns0:c>
      <ns0:c r="V97" t="n">
        <ns0:f>IF($A97="",0,COUNTIFS($J$7:$J$406,$A97,$O$7:$O$406,"&lt;="&amp;V$6,$P$7:$P$406,"&gt;="&amp;V$6,$R$7:$R$406,"No"))</ns0:f>
        <ns0:v>0</ns0:v>
      </ns0:c>
      <ns0:c r="W97" t="n">
        <ns0:f>IF($A97="",0,COUNTIFS($J$7:$J$406,$A97,$O$7:$O$406,"&lt;="&amp;W$6,$P$7:$P$406,"&gt;="&amp;W$6,$R$7:$R$406,"No"))</ns0:f>
        <ns0:v>0</ns0:v>
      </ns0:c>
      <ns0:c r="X97" t="n">
        <ns0:f>IF($A97="",0,COUNTIFS($J$7:$J$406,$A97,$O$7:$O$406,"&lt;="&amp;X$6,$P$7:$P$406,"&gt;="&amp;X$6,$R$7:$R$406,"No"))</ns0:f>
        <ns0:v>0</ns0:v>
      </ns0:c>
      <ns0:c r="Y97" t="n">
        <ns0:f>IF($A97="",0,COUNTIFS($J$7:$J$406,$A97,$O$7:$O$406,"&lt;="&amp;Y$6,$P$7:$P$406,"&gt;="&amp;Y$6,$R$7:$R$406,"No"))</ns0:f>
        <ns0:v>0</ns0:v>
      </ns0:c>
      <ns0:c r="Z97" t="n">
        <ns0:f>IF($A97="",0,COUNTIFS($J$7:$J$406,$A97,$O$7:$O$406,"&lt;="&amp;Z$6,$P$7:$P$406,"&gt;="&amp;Z$6,$R$7:$R$406,"No"))</ns0:f>
        <ns0:v>0</ns0:v>
      </ns0:c>
      <ns0:c r="AA97" t="n">
        <ns0:f>IF($A97="",0,COUNTIFS($J$7:$J$406,$A97,$O$7:$O$406,"&lt;="&amp;AA$6,$P$7:$P$406,"&gt;="&amp;AA$6,$R$7:$R$406,"No"))</ns0:f>
        <ns0:v>0</ns0:v>
      </ns0:c>
      <ns0:c r="AB97" t="n">
        <ns0:f>IF($A97="",0,COUNTIFS($J$7:$J$406,$A97,$O$7:$O$406,"&lt;="&amp;AB$6,$P$7:$P$406,"&gt;="&amp;AB$6,$R$7:$R$406,"No"))</ns0:f>
        <ns0:v>0</ns0:v>
      </ns0:c>
      <ns0:c r="AC97" t="n">
        <ns0:f>IF($A97="",0,COUNTIFS($J$7:$J$406,$A97,$O$7:$O$406,"&lt;="&amp;AC$6,$P$7:$P$406,"&gt;="&amp;AC$6,$R$7:$R$406,"No"))</ns0:f>
        <ns0:v>0</ns0:v>
      </ns0:c>
      <ns0:c r="AD97" t="n">
        <ns0:f>IF($A97="",0,COUNTIFS($J$7:$J$406,$A97,$O$7:$O$406,"&lt;="&amp;AD$6,$P$7:$P$406,"&gt;="&amp;AD$6,$R$7:$R$406,"No"))</ns0:f>
        <ns0:v>0</ns0:v>
      </ns0:c>
      <ns0:c r="AE97" t="n">
        <ns0:f>IF($A97="",0,COUNTIFS($J$7:$J$406,$A97,$O$7:$O$406,"&lt;="&amp;AE$6,$P$7:$P$406,"&gt;="&amp;AE$6,$R$7:$R$406,"No"))</ns0:f>
        <ns0:v>0</ns0:v>
      </ns0:c>
      <ns0:c r="AF97" t="n">
        <ns0:f>IF($A97="",0,COUNTIFS($J$7:$J$406,$A97,$O$7:$O$406,"&lt;="&amp;AF$6,$P$7:$P$406,"&gt;="&amp;AF$6,$R$7:$R$406,"No"))</ns0:f>
        <ns0:v>0</ns0:v>
      </ns0:c>
      <ns0:c r="AG97" t="n">
        <ns0:f>IF($A97="",0,COUNTIFS($J$7:$J$406,$A97,$O$7:$O$406,"&lt;="&amp;AG$6,$P$7:$P$406,"&gt;="&amp;AG$6,$R$7:$R$406,"No"))</ns0:f>
        <ns0:v>0</ns0:v>
      </ns0:c>
      <ns0:c r="AH97" t="n">
        <ns0:f>IF($A97="",0,COUNTIFS($J$7:$J$406,$A97,$O$7:$O$406,"&lt;="&amp;AH$6,$P$7:$P$406,"&gt;="&amp;AH$6,$R$7:$R$406,"No"))</ns0:f>
        <ns0:v>0</ns0:v>
      </ns0:c>
      <ns0:c r="AI97" t="n">
        <ns0:f>IF($A97="",0,COUNTIFS($J$7:$J$406,$A97,$O$7:$O$406,"&lt;="&amp;AI$6,$P$7:$P$406,"&gt;="&amp;AI$6,$R$7:$R$406,"No"))</ns0:f>
        <ns0:v>0</ns0:v>
      </ns0:c>
      <ns0:c r="AJ97" t="n">
        <ns0:f>IF($A97="",0,COUNTIFS($J$7:$J$406,$A97,$O$7:$O$406,"&lt;="&amp;AJ$6,$P$7:$P$406,"&gt;="&amp;AJ$6,$R$7:$R$406,"No"))</ns0:f>
        <ns0:v>0</ns0:v>
      </ns0:c>
      <ns0:c r="AK97" t="n">
        <ns0:f>IF($A97="",0,COUNTIFS($J$7:$J$406,$A97,$O$7:$O$406,"&lt;="&amp;AK$6,$P$7:$P$406,"&gt;="&amp;AK$6,$R$7:$R$406,"No"))</ns0:f>
        <ns0:v>0</ns0:v>
      </ns0:c>
      <ns0:c r="AL97" t="n">
        <ns0:f>IF($A97="",0,COUNTIFS($J$7:$J$406,$A97,$O$7:$O$406,"&lt;="&amp;AL$6,$P$7:$P$406,"&gt;="&amp;AL$6,$R$7:$R$406,"No"))</ns0:f>
        <ns0:v>0</ns0:v>
      </ns0:c>
      <ns0:c r="AM97" t="n">
        <ns0:f>IF($A97="",0,COUNTIFS($J$7:$J$406,$A97,$O$7:$O$406,"&lt;="&amp;AM$6,$P$7:$P$406,"&gt;="&amp;AM$6,$R$7:$R$406,"No"))</ns0:f>
        <ns0:v>0</ns0:v>
      </ns0:c>
      <ns0:c r="AN97" t="n">
        <ns0:f>IF($A97="",0,COUNTIFS($J$7:$J$406,$A97,$O$7:$O$406,"&lt;="&amp;AN$6,$P$7:$P$406,"&gt;="&amp;AN$6,$R$7:$R$406,"No"))</ns0:f>
        <ns0:v>0</ns0:v>
      </ns0:c>
      <ns0:c r="AO97" t="n">
        <ns0:f>IF($A97="",0,COUNTIFS($J$7:$J$406,$A97,$O$7:$O$406,"&lt;="&amp;AO$6,$P$7:$P$406,"&gt;="&amp;AO$6,$R$7:$R$406,"No"))</ns0:f>
        <ns0:v>0</ns0:v>
      </ns0:c>
      <ns0:c r="AP97" t="n">
        <ns0:f>IF($A97="",0,COUNTIFS($J$7:$J$406,$A97,$O$7:$O$406,"&lt;="&amp;AP$6,$P$7:$P$406,"&gt;="&amp;AP$6,$R$7:$R$406,"No"))</ns0:f>
        <ns0:v>0</ns0:v>
      </ns0:c>
      <ns0:c r="AQ97" t="n">
        <ns0:f>IF($A97="",0,COUNTIFS($J$7:$J$406,$A97,$O$7:$O$406,"&lt;="&amp;AQ$6,$P$7:$P$406,"&gt;="&amp;AQ$6,$R$7:$R$406,"No"))</ns0:f>
        <ns0:v>0</ns0:v>
      </ns0:c>
      <ns0:c r="AR97" t="n">
        <ns0:f>IF($A97="",0,COUNTIFS($J$7:$J$406,$A97,$O$7:$O$406,"&lt;="&amp;AR$6,$P$7:$P$406,"&gt;="&amp;AR$6,$R$7:$R$406,"No"))</ns0:f>
        <ns0:v>0</ns0:v>
      </ns0:c>
      <ns0:c r="AS97" t="n">
        <ns0:f>IF($A97="",0,COUNTIFS($J$7:$J$406,$A97,$O$7:$O$406,"&lt;="&amp;AS$6,$P$7:$P$406,"&gt;="&amp;AS$6,$R$7:$R$406,"No"))</ns0:f>
        <ns0:v>0</ns0:v>
      </ns0:c>
      <ns0:c r="AT97" t="n">
        <ns0:f>IF($A97="",0,COUNTIFS($J$7:$J$406,$A97,$O$7:$O$406,"&lt;="&amp;AT$6,$P$7:$P$406,"&gt;="&amp;AT$6,$R$7:$R$406,"No"))</ns0:f>
        <ns0:v>0</ns0:v>
      </ns0:c>
      <ns0:c r="AU97" t="n">
        <ns0:f>IF($A97="",0,COUNTIFS($J$7:$J$406,$A97,$O$7:$O$406,"&lt;="&amp;AU$6,$P$7:$P$406,"&gt;="&amp;AU$6,$R$7:$R$406,"No"))</ns0:f>
        <ns0:v>0</ns0:v>
      </ns0:c>
      <ns0:c r="AV97" t="n">
        <ns0:f>IF($A97="",0,COUNTIFS($J$7:$J$406,$A97,$O$7:$O$406,"&lt;="&amp;AV$6,$P$7:$P$406,"&gt;="&amp;AV$6,$R$7:$R$406,"No"))</ns0:f>
        <ns0:v>0</ns0:v>
      </ns0:c>
      <ns0:c r="AW97" t="n">
        <ns0:f>IF($A97="",0,COUNTIFS($J$7:$J$406,$A97,$O$7:$O$406,"&lt;="&amp;AW$6,$P$7:$P$406,"&gt;="&amp;AW$6,$R$7:$R$406,"No"))</ns0:f>
        <ns0:v>0</ns0:v>
      </ns0:c>
      <ns0:c r="AX97" t="n">
        <ns0:f>IF($A97="",0,COUNTIFS($J$7:$J$406,$A97,$O$7:$O$406,"&lt;="&amp;AX$6,$P$7:$P$406,"&gt;="&amp;AX$6,$R$7:$R$406,"No"))</ns0:f>
        <ns0:v>0</ns0:v>
      </ns0:c>
      <ns0:c r="AY97" t="n">
        <ns0:f>IF($A97="",0,COUNTIFS($J$7:$J$406,$A97,$O$7:$O$406,"&lt;="&amp;AY$6,$P$7:$P$406,"&gt;="&amp;AY$6,$R$7:$R$406,"No"))</ns0:f>
        <ns0:v>0</ns0:v>
      </ns0:c>
      <ns0:c r="AZ97" t="n">
        <ns0:f>IF($A97="",0,COUNTIFS($J$7:$J$406,$A97,$O$7:$O$406,"&lt;="&amp;AZ$6,$P$7:$P$406,"&gt;="&amp;AZ$6,$R$7:$R$406,"No"))</ns0:f>
        <ns0:v>0</ns0:v>
      </ns0:c>
      <ns0:c r="BA97" t="n">
        <ns0:f>IF($A97="",0,COUNTIFS($J$7:$J$406,$A97,$O$7:$O$406,"&lt;="&amp;BA$6,$P$7:$P$406,"&gt;="&amp;BA$6,$R$7:$R$406,"No"))</ns0:f>
        <ns0:v>0</ns0:v>
      </ns0:c>
      <ns0:c r="BB97" t="n">
        <ns0:f>IF($A97="",0,COUNTIFS($J$7:$J$406,$A97,$O$7:$O$406,"&lt;="&amp;BB$6,$P$7:$P$406,"&gt;="&amp;BB$6,$R$7:$R$406,"No"))</ns0:f>
        <ns0:v>0</ns0:v>
      </ns0:c>
      <ns0:c r="BC97" t="n">
        <ns0:f>IF($A97="",0,COUNTIFS($J$7:$J$406,$A97,$O$7:$O$406,"&lt;="&amp;BC$6,$P$7:$P$406,"&gt;="&amp;BC$6,$R$7:$R$406,"No"))</ns0:f>
        <ns0:v>0</ns0:v>
      </ns0:c>
    </ns0:row>
    <ns0:row r="98" ht="48" customHeight="1">
      <ns0:c r="A98" s="8" t="str">
        <ns0:f>IF(ROW()-6&gt;MAX($K$7:$K$406),"",INDEX($J$7:$J$406,MATCH(ROW()-6,$K$7:$K$406,0)))</ns0:f>
      </ns0:c>
      <ns0:c r="B98" s="8" t="str">
        <ns0:f>IF(A98="","",COUNTIFS($J$7:$J$406,$A98))</ns0:f>
      </ns0:c>
      <ns0:c r="C98" s="8" t="str">
        <ns0:f>IF(A98="","",COUNTIFS($J$7:$J$406,$A98,$N$7:$N$406,1))</ns0:f>
      </ns0:c>
      <ns0:c r="D98" s="8" t="str">
        <ns0:f>IF(A98="","",COUNTIFS($J$7:$J$406,$A98,$Q$7:$Q$406,"In Progress"))</ns0:f>
      </ns0:c>
      <ns0:c r="E98" s="8" t="str">
        <ns0:f>IF(A98="","",B98-C98)</ns0:f>
      </ns0:c>
      <ns0:c r="F98" s="19" t="str">
        <ns0:f>IF(A98="","",SUMIFS($N$7:$N$406,$J$7:$J$406,$A98)/B98)</ns0:f>
      </ns0:c>
      <ns0:c r="G98" s="8" t="str">
        <ns0:f>IF(A98="","",COUNTIFS(V98:BC98,"&gt;1"))</ns0:f>
      </ns0:c>
      <ns0:c r="H98" s="8" t="str">
        <ns0:f>IF(A98="","",IF(COUNTIFS($T$7:$T$33,A98)&gt;0,INDEX($U$7:$U$33,MATCH(A98,$T$7:$T$33,0)),"No capacity or responsibility detail supplied."))</ns0:f>
      </ns0:c>
      <ns0:c r="J98" t="str">
        <ns0:f>IF('Project Tracker'!A29="","",TRIM(MID(SUBSTITUTE('Project Tracker'!K29,";",REPT(" ",150)),451,150)))</ns0:f>
      </ns0:c>
      <ns0:c r="K98" t="str">
        <ns0:f>IF(J98="","",IF(COUNTIFS($J$7:J98,J98)=1,MAX($K$6:K97)+1,""))</ns0:f>
      </ns0:c>
      <ns0:c r="L98" t="n">
        <ns0:f>IF(A98="",0,B98+(107-ROW())/1000)</ns0:f>
        <ns0:v>0</ns0:v>
      </ns0:c>
      <ns0:c r="M98" t="str">
        <ns0:f>IF(J98="","",'Project Tracker'!A29)</ns0:f>
      </ns0:c>
      <ns0:c r="N98" t="str">
        <ns0:f>IF(J98="","",'Project Tracker'!N29)</ns0:f>
      </ns0:c>
      <ns0:c r="O98" t="str">
        <ns0:f>IF(J98="","",'Project Tracker'!E29)</ns0:f>
      </ns0:c>
      <ns0:c r="P98" t="str">
        <ns0:f>IF(J98="","",'Project Tracker'!F29)</ns0:f>
      </ns0:c>
      <ns0:c r="Q98" t="str">
        <ns0:f>IF(J98="","",'Project Tracker'!Q29)</ns0:f>
      </ns0:c>
      <ns0:c r="R98" t="str">
        <ns0:f>IF(J98="","",'Project Tracker'!J29)</ns0:f>
      </ns0:c>
      <ns0:c r="V98" t="n">
        <ns0:f>IF($A98="",0,COUNTIFS($J$7:$J$406,$A98,$O$7:$O$406,"&lt;="&amp;V$6,$P$7:$P$406,"&gt;="&amp;V$6,$R$7:$R$406,"No"))</ns0:f>
        <ns0:v>0</ns0:v>
      </ns0:c>
      <ns0:c r="W98" t="n">
        <ns0:f>IF($A98="",0,COUNTIFS($J$7:$J$406,$A98,$O$7:$O$406,"&lt;="&amp;W$6,$P$7:$P$406,"&gt;="&amp;W$6,$R$7:$R$406,"No"))</ns0:f>
        <ns0:v>0</ns0:v>
      </ns0:c>
      <ns0:c r="X98" t="n">
        <ns0:f>IF($A98="",0,COUNTIFS($J$7:$J$406,$A98,$O$7:$O$406,"&lt;="&amp;X$6,$P$7:$P$406,"&gt;="&amp;X$6,$R$7:$R$406,"No"))</ns0:f>
        <ns0:v>0</ns0:v>
      </ns0:c>
      <ns0:c r="Y98" t="n">
        <ns0:f>IF($A98="",0,COUNTIFS($J$7:$J$406,$A98,$O$7:$O$406,"&lt;="&amp;Y$6,$P$7:$P$406,"&gt;="&amp;Y$6,$R$7:$R$406,"No"))</ns0:f>
        <ns0:v>0</ns0:v>
      </ns0:c>
      <ns0:c r="Z98" t="n">
        <ns0:f>IF($A98="",0,COUNTIFS($J$7:$J$406,$A98,$O$7:$O$406,"&lt;="&amp;Z$6,$P$7:$P$406,"&gt;="&amp;Z$6,$R$7:$R$406,"No"))</ns0:f>
        <ns0:v>0</ns0:v>
      </ns0:c>
      <ns0:c r="AA98" t="n">
        <ns0:f>IF($A98="",0,COUNTIFS($J$7:$J$406,$A98,$O$7:$O$406,"&lt;="&amp;AA$6,$P$7:$P$406,"&gt;="&amp;AA$6,$R$7:$R$406,"No"))</ns0:f>
        <ns0:v>0</ns0:v>
      </ns0:c>
      <ns0:c r="AB98" t="n">
        <ns0:f>IF($A98="",0,COUNTIFS($J$7:$J$406,$A98,$O$7:$O$406,"&lt;="&amp;AB$6,$P$7:$P$406,"&gt;="&amp;AB$6,$R$7:$R$406,"No"))</ns0:f>
        <ns0:v>0</ns0:v>
      </ns0:c>
      <ns0:c r="AC98" t="n">
        <ns0:f>IF($A98="",0,COUNTIFS($J$7:$J$406,$A98,$O$7:$O$406,"&lt;="&amp;AC$6,$P$7:$P$406,"&gt;="&amp;AC$6,$R$7:$R$406,"No"))</ns0:f>
        <ns0:v>0</ns0:v>
      </ns0:c>
      <ns0:c r="AD98" t="n">
        <ns0:f>IF($A98="",0,COUNTIFS($J$7:$J$406,$A98,$O$7:$O$406,"&lt;="&amp;AD$6,$P$7:$P$406,"&gt;="&amp;AD$6,$R$7:$R$406,"No"))</ns0:f>
        <ns0:v>0</ns0:v>
      </ns0:c>
      <ns0:c r="AE98" t="n">
        <ns0:f>IF($A98="",0,COUNTIFS($J$7:$J$406,$A98,$O$7:$O$406,"&lt;="&amp;AE$6,$P$7:$P$406,"&gt;="&amp;AE$6,$R$7:$R$406,"No"))</ns0:f>
        <ns0:v>0</ns0:v>
      </ns0:c>
      <ns0:c r="AF98" t="n">
        <ns0:f>IF($A98="",0,COUNTIFS($J$7:$J$406,$A98,$O$7:$O$406,"&lt;="&amp;AF$6,$P$7:$P$406,"&gt;="&amp;AF$6,$R$7:$R$406,"No"))</ns0:f>
        <ns0:v>0</ns0:v>
      </ns0:c>
      <ns0:c r="AG98" t="n">
        <ns0:f>IF($A98="",0,COUNTIFS($J$7:$J$406,$A98,$O$7:$O$406,"&lt;="&amp;AG$6,$P$7:$P$406,"&gt;="&amp;AG$6,$R$7:$R$406,"No"))</ns0:f>
        <ns0:v>0</ns0:v>
      </ns0:c>
      <ns0:c r="AH98" t="n">
        <ns0:f>IF($A98="",0,COUNTIFS($J$7:$J$406,$A98,$O$7:$O$406,"&lt;="&amp;AH$6,$P$7:$P$406,"&gt;="&amp;AH$6,$R$7:$R$406,"No"))</ns0:f>
        <ns0:v>0</ns0:v>
      </ns0:c>
      <ns0:c r="AI98" t="n">
        <ns0:f>IF($A98="",0,COUNTIFS($J$7:$J$406,$A98,$O$7:$O$406,"&lt;="&amp;AI$6,$P$7:$P$406,"&gt;="&amp;AI$6,$R$7:$R$406,"No"))</ns0:f>
        <ns0:v>0</ns0:v>
      </ns0:c>
      <ns0:c r="AJ98" t="n">
        <ns0:f>IF($A98="",0,COUNTIFS($J$7:$J$406,$A98,$O$7:$O$406,"&lt;="&amp;AJ$6,$P$7:$P$406,"&gt;="&amp;AJ$6,$R$7:$R$406,"No"))</ns0:f>
        <ns0:v>0</ns0:v>
      </ns0:c>
      <ns0:c r="AK98" t="n">
        <ns0:f>IF($A98="",0,COUNTIFS($J$7:$J$406,$A98,$O$7:$O$406,"&lt;="&amp;AK$6,$P$7:$P$406,"&gt;="&amp;AK$6,$R$7:$R$406,"No"))</ns0:f>
        <ns0:v>0</ns0:v>
      </ns0:c>
      <ns0:c r="AL98" t="n">
        <ns0:f>IF($A98="",0,COUNTIFS($J$7:$J$406,$A98,$O$7:$O$406,"&lt;="&amp;AL$6,$P$7:$P$406,"&gt;="&amp;AL$6,$R$7:$R$406,"No"))</ns0:f>
        <ns0:v>0</ns0:v>
      </ns0:c>
      <ns0:c r="AM98" t="n">
        <ns0:f>IF($A98="",0,COUNTIFS($J$7:$J$406,$A98,$O$7:$O$406,"&lt;="&amp;AM$6,$P$7:$P$406,"&gt;="&amp;AM$6,$R$7:$R$406,"No"))</ns0:f>
        <ns0:v>0</ns0:v>
      </ns0:c>
      <ns0:c r="AN98" t="n">
        <ns0:f>IF($A98="",0,COUNTIFS($J$7:$J$406,$A98,$O$7:$O$406,"&lt;="&amp;AN$6,$P$7:$P$406,"&gt;="&amp;AN$6,$R$7:$R$406,"No"))</ns0:f>
        <ns0:v>0</ns0:v>
      </ns0:c>
      <ns0:c r="AO98" t="n">
        <ns0:f>IF($A98="",0,COUNTIFS($J$7:$J$406,$A98,$O$7:$O$406,"&lt;="&amp;AO$6,$P$7:$P$406,"&gt;="&amp;AO$6,$R$7:$R$406,"No"))</ns0:f>
        <ns0:v>0</ns0:v>
      </ns0:c>
      <ns0:c r="AP98" t="n">
        <ns0:f>IF($A98="",0,COUNTIFS($J$7:$J$406,$A98,$O$7:$O$406,"&lt;="&amp;AP$6,$P$7:$P$406,"&gt;="&amp;AP$6,$R$7:$R$406,"No"))</ns0:f>
        <ns0:v>0</ns0:v>
      </ns0:c>
      <ns0:c r="AQ98" t="n">
        <ns0:f>IF($A98="",0,COUNTIFS($J$7:$J$406,$A98,$O$7:$O$406,"&lt;="&amp;AQ$6,$P$7:$P$406,"&gt;="&amp;AQ$6,$R$7:$R$406,"No"))</ns0:f>
        <ns0:v>0</ns0:v>
      </ns0:c>
      <ns0:c r="AR98" t="n">
        <ns0:f>IF($A98="",0,COUNTIFS($J$7:$J$406,$A98,$O$7:$O$406,"&lt;="&amp;AR$6,$P$7:$P$406,"&gt;="&amp;AR$6,$R$7:$R$406,"No"))</ns0:f>
        <ns0:v>0</ns0:v>
      </ns0:c>
      <ns0:c r="AS98" t="n">
        <ns0:f>IF($A98="",0,COUNTIFS($J$7:$J$406,$A98,$O$7:$O$406,"&lt;="&amp;AS$6,$P$7:$P$406,"&gt;="&amp;AS$6,$R$7:$R$406,"No"))</ns0:f>
        <ns0:v>0</ns0:v>
      </ns0:c>
      <ns0:c r="AT98" t="n">
        <ns0:f>IF($A98="",0,COUNTIFS($J$7:$J$406,$A98,$O$7:$O$406,"&lt;="&amp;AT$6,$P$7:$P$406,"&gt;="&amp;AT$6,$R$7:$R$406,"No"))</ns0:f>
        <ns0:v>0</ns0:v>
      </ns0:c>
      <ns0:c r="AU98" t="n">
        <ns0:f>IF($A98="",0,COUNTIFS($J$7:$J$406,$A98,$O$7:$O$406,"&lt;="&amp;AU$6,$P$7:$P$406,"&gt;="&amp;AU$6,$R$7:$R$406,"No"))</ns0:f>
        <ns0:v>0</ns0:v>
      </ns0:c>
      <ns0:c r="AV98" t="n">
        <ns0:f>IF($A98="",0,COUNTIFS($J$7:$J$406,$A98,$O$7:$O$406,"&lt;="&amp;AV$6,$P$7:$P$406,"&gt;="&amp;AV$6,$R$7:$R$406,"No"))</ns0:f>
        <ns0:v>0</ns0:v>
      </ns0:c>
      <ns0:c r="AW98" t="n">
        <ns0:f>IF($A98="",0,COUNTIFS($J$7:$J$406,$A98,$O$7:$O$406,"&lt;="&amp;AW$6,$P$7:$P$406,"&gt;="&amp;AW$6,$R$7:$R$406,"No"))</ns0:f>
        <ns0:v>0</ns0:v>
      </ns0:c>
      <ns0:c r="AX98" t="n">
        <ns0:f>IF($A98="",0,COUNTIFS($J$7:$J$406,$A98,$O$7:$O$406,"&lt;="&amp;AX$6,$P$7:$P$406,"&gt;="&amp;AX$6,$R$7:$R$406,"No"))</ns0:f>
        <ns0:v>0</ns0:v>
      </ns0:c>
      <ns0:c r="AY98" t="n">
        <ns0:f>IF($A98="",0,COUNTIFS($J$7:$J$406,$A98,$O$7:$O$406,"&lt;="&amp;AY$6,$P$7:$P$406,"&gt;="&amp;AY$6,$R$7:$R$406,"No"))</ns0:f>
        <ns0:v>0</ns0:v>
      </ns0:c>
      <ns0:c r="AZ98" t="n">
        <ns0:f>IF($A98="",0,COUNTIFS($J$7:$J$406,$A98,$O$7:$O$406,"&lt;="&amp;AZ$6,$P$7:$P$406,"&gt;="&amp;AZ$6,$R$7:$R$406,"No"))</ns0:f>
        <ns0:v>0</ns0:v>
      </ns0:c>
      <ns0:c r="BA98" t="n">
        <ns0:f>IF($A98="",0,COUNTIFS($J$7:$J$406,$A98,$O$7:$O$406,"&lt;="&amp;BA$6,$P$7:$P$406,"&gt;="&amp;BA$6,$R$7:$R$406,"No"))</ns0:f>
        <ns0:v>0</ns0:v>
      </ns0:c>
      <ns0:c r="BB98" t="n">
        <ns0:f>IF($A98="",0,COUNTIFS($J$7:$J$406,$A98,$O$7:$O$406,"&lt;="&amp;BB$6,$P$7:$P$406,"&gt;="&amp;BB$6,$R$7:$R$406,"No"))</ns0:f>
        <ns0:v>0</ns0:v>
      </ns0:c>
      <ns0:c r="BC98" t="n">
        <ns0:f>IF($A98="",0,COUNTIFS($J$7:$J$406,$A98,$O$7:$O$406,"&lt;="&amp;BC$6,$P$7:$P$406,"&gt;="&amp;BC$6,$R$7:$R$406,"No"))</ns0:f>
        <ns0:v>0</ns0:v>
      </ns0:c>
    </ns0:row>
    <ns0:row r="99" ht="48" customHeight="1">
      <ns0:c r="A99" s="8" t="str">
        <ns0:f>IF(ROW()-6&gt;MAX($K$7:$K$406),"",INDEX($J$7:$J$406,MATCH(ROW()-6,$K$7:$K$406,0)))</ns0:f>
      </ns0:c>
      <ns0:c r="B99" s="8" t="str">
        <ns0:f>IF(A99="","",COUNTIFS($J$7:$J$406,$A99))</ns0:f>
      </ns0:c>
      <ns0:c r="C99" s="8" t="str">
        <ns0:f>IF(A99="","",COUNTIFS($J$7:$J$406,$A99,$N$7:$N$406,1))</ns0:f>
      </ns0:c>
      <ns0:c r="D99" s="8" t="str">
        <ns0:f>IF(A99="","",COUNTIFS($J$7:$J$406,$A99,$Q$7:$Q$406,"In Progress"))</ns0:f>
      </ns0:c>
      <ns0:c r="E99" s="8" t="str">
        <ns0:f>IF(A99="","",B99-C99)</ns0:f>
      </ns0:c>
      <ns0:c r="F99" s="19" t="str">
        <ns0:f>IF(A99="","",SUMIFS($N$7:$N$406,$J$7:$J$406,$A99)/B99)</ns0:f>
      </ns0:c>
      <ns0:c r="G99" s="8" t="str">
        <ns0:f>IF(A99="","",COUNTIFS(V99:BC99,"&gt;1"))</ns0:f>
      </ns0:c>
      <ns0:c r="H99" s="8" t="str">
        <ns0:f>IF(A99="","",IF(COUNTIFS($T$7:$T$33,A99)&gt;0,INDEX($U$7:$U$33,MATCH(A99,$T$7:$T$33,0)),"No capacity or responsibility detail supplied."))</ns0:f>
      </ns0:c>
      <ns0:c r="J99" t="str">
        <ns0:f>IF('Project Tracker'!A30="","",TRIM(MID(SUBSTITUTE('Project Tracker'!K30,";",REPT(" ",150)),1,150)))</ns0:f>
        <ns0:v>Specialist Sub-Agents (L4_SUBS)</ns0:v>
      </ns0:c>
      <ns0:c r="K99" t="str">
        <ns0:f>IF(J99="","",IF(COUNTIFS($J$7:J99,J99)=1,MAX($K$6:K98)+1,""))</ns0:f>
      </ns0:c>
      <ns0:c r="L99" t="n">
        <ns0:f>IF(A99="",0,B99+(107-ROW())/1000)</ns0:f>
        <ns0:v>0</ns0:v>
      </ns0:c>
      <ns0:c r="M99" t="str">
        <ns0:f>IF(J99="","",'Project Tracker'!A30)</ns0:f>
        <ns0:v>T21</ns0:v>
      </ns0:c>
      <ns0:c r="N99" t="n">
        <ns0:f>IF(J99="","",'Project Tracker'!N30)</ns0:f>
        <ns0:v>0</ns0:v>
      </ns0:c>
      <ns0:c r="O99" t="n">
        <ns0:f>IF(J99="","",'Project Tracker'!E30)</ns0:f>
        <ns0:v>46285</ns0:v>
      </ns0:c>
      <ns0:c r="P99" t="n">
        <ns0:f>IF(J99="","",'Project Tracker'!F30)</ns0:f>
        <ns0:v>46291</ns0:v>
      </ns0:c>
      <ns0:c r="Q99" t="str">
        <ns0:f>IF(J99="","",'Project Tracker'!Q30)</ns0:f>
        <ns0:v>Not Started</ns0:v>
      </ns0:c>
      <ns0:c r="R99" t="str">
        <ns0:f>IF(J99="","",'Project Tracker'!J30)</ns0:f>
        <ns0:v>No</ns0:v>
      </ns0:c>
      <ns0:c r="V99" t="n">
        <ns0:f>IF($A99="",0,COUNTIFS($J$7:$J$406,$A99,$O$7:$O$406,"&lt;="&amp;V$6,$P$7:$P$406,"&gt;="&amp;V$6,$R$7:$R$406,"No"))</ns0:f>
        <ns0:v>0</ns0:v>
      </ns0:c>
      <ns0:c r="W99" t="n">
        <ns0:f>IF($A99="",0,COUNTIFS($J$7:$J$406,$A99,$O$7:$O$406,"&lt;="&amp;W$6,$P$7:$P$406,"&gt;="&amp;W$6,$R$7:$R$406,"No"))</ns0:f>
        <ns0:v>0</ns0:v>
      </ns0:c>
      <ns0:c r="X99" t="n">
        <ns0:f>IF($A99="",0,COUNTIFS($J$7:$J$406,$A99,$O$7:$O$406,"&lt;="&amp;X$6,$P$7:$P$406,"&gt;="&amp;X$6,$R$7:$R$406,"No"))</ns0:f>
        <ns0:v>0</ns0:v>
      </ns0:c>
      <ns0:c r="Y99" t="n">
        <ns0:f>IF($A99="",0,COUNTIFS($J$7:$J$406,$A99,$O$7:$O$406,"&lt;="&amp;Y$6,$P$7:$P$406,"&gt;="&amp;Y$6,$R$7:$R$406,"No"))</ns0:f>
        <ns0:v>0</ns0:v>
      </ns0:c>
      <ns0:c r="Z99" t="n">
        <ns0:f>IF($A99="",0,COUNTIFS($J$7:$J$406,$A99,$O$7:$O$406,"&lt;="&amp;Z$6,$P$7:$P$406,"&gt;="&amp;Z$6,$R$7:$R$406,"No"))</ns0:f>
        <ns0:v>0</ns0:v>
      </ns0:c>
      <ns0:c r="AA99" t="n">
        <ns0:f>IF($A99="",0,COUNTIFS($J$7:$J$406,$A99,$O$7:$O$406,"&lt;="&amp;AA$6,$P$7:$P$406,"&gt;="&amp;AA$6,$R$7:$R$406,"No"))</ns0:f>
        <ns0:v>0</ns0:v>
      </ns0:c>
      <ns0:c r="AB99" t="n">
        <ns0:f>IF($A99="",0,COUNTIFS($J$7:$J$406,$A99,$O$7:$O$406,"&lt;="&amp;AB$6,$P$7:$P$406,"&gt;="&amp;AB$6,$R$7:$R$406,"No"))</ns0:f>
        <ns0:v>0</ns0:v>
      </ns0:c>
      <ns0:c r="AC99" t="n">
        <ns0:f>IF($A99="",0,COUNTIFS($J$7:$J$406,$A99,$O$7:$O$406,"&lt;="&amp;AC$6,$P$7:$P$406,"&gt;="&amp;AC$6,$R$7:$R$406,"No"))</ns0:f>
        <ns0:v>0</ns0:v>
      </ns0:c>
      <ns0:c r="AD99" t="n">
        <ns0:f>IF($A99="",0,COUNTIFS($J$7:$J$406,$A99,$O$7:$O$406,"&lt;="&amp;AD$6,$P$7:$P$406,"&gt;="&amp;AD$6,$R$7:$R$406,"No"))</ns0:f>
        <ns0:v>0</ns0:v>
      </ns0:c>
      <ns0:c r="AE99" t="n">
        <ns0:f>IF($A99="",0,COUNTIFS($J$7:$J$406,$A99,$O$7:$O$406,"&lt;="&amp;AE$6,$P$7:$P$406,"&gt;="&amp;AE$6,$R$7:$R$406,"No"))</ns0:f>
        <ns0:v>0</ns0:v>
      </ns0:c>
      <ns0:c r="AF99" t="n">
        <ns0:f>IF($A99="",0,COUNTIFS($J$7:$J$406,$A99,$O$7:$O$406,"&lt;="&amp;AF$6,$P$7:$P$406,"&gt;="&amp;AF$6,$R$7:$R$406,"No"))</ns0:f>
        <ns0:v>0</ns0:v>
      </ns0:c>
      <ns0:c r="AG99" t="n">
        <ns0:f>IF($A99="",0,COUNTIFS($J$7:$J$406,$A99,$O$7:$O$406,"&lt;="&amp;AG$6,$P$7:$P$406,"&gt;="&amp;AG$6,$R$7:$R$406,"No"))</ns0:f>
        <ns0:v>0</ns0:v>
      </ns0:c>
      <ns0:c r="AH99" t="n">
        <ns0:f>IF($A99="",0,COUNTIFS($J$7:$J$406,$A99,$O$7:$O$406,"&lt;="&amp;AH$6,$P$7:$P$406,"&gt;="&amp;AH$6,$R$7:$R$406,"No"))</ns0:f>
        <ns0:v>0</ns0:v>
      </ns0:c>
      <ns0:c r="AI99" t="n">
        <ns0:f>IF($A99="",0,COUNTIFS($J$7:$J$406,$A99,$O$7:$O$406,"&lt;="&amp;AI$6,$P$7:$P$406,"&gt;="&amp;AI$6,$R$7:$R$406,"No"))</ns0:f>
        <ns0:v>0</ns0:v>
      </ns0:c>
      <ns0:c r="AJ99" t="n">
        <ns0:f>IF($A99="",0,COUNTIFS($J$7:$J$406,$A99,$O$7:$O$406,"&lt;="&amp;AJ$6,$P$7:$P$406,"&gt;="&amp;AJ$6,$R$7:$R$406,"No"))</ns0:f>
        <ns0:v>0</ns0:v>
      </ns0:c>
      <ns0:c r="AK99" t="n">
        <ns0:f>IF($A99="",0,COUNTIFS($J$7:$J$406,$A99,$O$7:$O$406,"&lt;="&amp;AK$6,$P$7:$P$406,"&gt;="&amp;AK$6,$R$7:$R$406,"No"))</ns0:f>
        <ns0:v>0</ns0:v>
      </ns0:c>
      <ns0:c r="AL99" t="n">
        <ns0:f>IF($A99="",0,COUNTIFS($J$7:$J$406,$A99,$O$7:$O$406,"&lt;="&amp;AL$6,$P$7:$P$406,"&gt;="&amp;AL$6,$R$7:$R$406,"No"))</ns0:f>
        <ns0:v>0</ns0:v>
      </ns0:c>
      <ns0:c r="AM99" t="n">
        <ns0:f>IF($A99="",0,COUNTIFS($J$7:$J$406,$A99,$O$7:$O$406,"&lt;="&amp;AM$6,$P$7:$P$406,"&gt;="&amp;AM$6,$R$7:$R$406,"No"))</ns0:f>
        <ns0:v>0</ns0:v>
      </ns0:c>
      <ns0:c r="AN99" t="n">
        <ns0:f>IF($A99="",0,COUNTIFS($J$7:$J$406,$A99,$O$7:$O$406,"&lt;="&amp;AN$6,$P$7:$P$406,"&gt;="&amp;AN$6,$R$7:$R$406,"No"))</ns0:f>
        <ns0:v>0</ns0:v>
      </ns0:c>
      <ns0:c r="AO99" t="n">
        <ns0:f>IF($A99="",0,COUNTIFS($J$7:$J$406,$A99,$O$7:$O$406,"&lt;="&amp;AO$6,$P$7:$P$406,"&gt;="&amp;AO$6,$R$7:$R$406,"No"))</ns0:f>
        <ns0:v>0</ns0:v>
      </ns0:c>
      <ns0:c r="AP99" t="n">
        <ns0:f>IF($A99="",0,COUNTIFS($J$7:$J$406,$A99,$O$7:$O$406,"&lt;="&amp;AP$6,$P$7:$P$406,"&gt;="&amp;AP$6,$R$7:$R$406,"No"))</ns0:f>
        <ns0:v>0</ns0:v>
      </ns0:c>
      <ns0:c r="AQ99" t="n">
        <ns0:f>IF($A99="",0,COUNTIFS($J$7:$J$406,$A99,$O$7:$O$406,"&lt;="&amp;AQ$6,$P$7:$P$406,"&gt;="&amp;AQ$6,$R$7:$R$406,"No"))</ns0:f>
        <ns0:v>0</ns0:v>
      </ns0:c>
      <ns0:c r="AR99" t="n">
        <ns0:f>IF($A99="",0,COUNTIFS($J$7:$J$406,$A99,$O$7:$O$406,"&lt;="&amp;AR$6,$P$7:$P$406,"&gt;="&amp;AR$6,$R$7:$R$406,"No"))</ns0:f>
        <ns0:v>0</ns0:v>
      </ns0:c>
      <ns0:c r="AS99" t="n">
        <ns0:f>IF($A99="",0,COUNTIFS($J$7:$J$406,$A99,$O$7:$O$406,"&lt;="&amp;AS$6,$P$7:$P$406,"&gt;="&amp;AS$6,$R$7:$R$406,"No"))</ns0:f>
        <ns0:v>0</ns0:v>
      </ns0:c>
      <ns0:c r="AT99" t="n">
        <ns0:f>IF($A99="",0,COUNTIFS($J$7:$J$406,$A99,$O$7:$O$406,"&lt;="&amp;AT$6,$P$7:$P$406,"&gt;="&amp;AT$6,$R$7:$R$406,"No"))</ns0:f>
        <ns0:v>0</ns0:v>
      </ns0:c>
      <ns0:c r="AU99" t="n">
        <ns0:f>IF($A99="",0,COUNTIFS($J$7:$J$406,$A99,$O$7:$O$406,"&lt;="&amp;AU$6,$P$7:$P$406,"&gt;="&amp;AU$6,$R$7:$R$406,"No"))</ns0:f>
        <ns0:v>0</ns0:v>
      </ns0:c>
      <ns0:c r="AV99" t="n">
        <ns0:f>IF($A99="",0,COUNTIFS($J$7:$J$406,$A99,$O$7:$O$406,"&lt;="&amp;AV$6,$P$7:$P$406,"&gt;="&amp;AV$6,$R$7:$R$406,"No"))</ns0:f>
        <ns0:v>0</ns0:v>
      </ns0:c>
      <ns0:c r="AW99" t="n">
        <ns0:f>IF($A99="",0,COUNTIFS($J$7:$J$406,$A99,$O$7:$O$406,"&lt;="&amp;AW$6,$P$7:$P$406,"&gt;="&amp;AW$6,$R$7:$R$406,"No"))</ns0:f>
        <ns0:v>0</ns0:v>
      </ns0:c>
      <ns0:c r="AX99" t="n">
        <ns0:f>IF($A99="",0,COUNTIFS($J$7:$J$406,$A99,$O$7:$O$406,"&lt;="&amp;AX$6,$P$7:$P$406,"&gt;="&amp;AX$6,$R$7:$R$406,"No"))</ns0:f>
        <ns0:v>0</ns0:v>
      </ns0:c>
      <ns0:c r="AY99" t="n">
        <ns0:f>IF($A99="",0,COUNTIFS($J$7:$J$406,$A99,$O$7:$O$406,"&lt;="&amp;AY$6,$P$7:$P$406,"&gt;="&amp;AY$6,$R$7:$R$406,"No"))</ns0:f>
        <ns0:v>0</ns0:v>
      </ns0:c>
      <ns0:c r="AZ99" t="n">
        <ns0:f>IF($A99="",0,COUNTIFS($J$7:$J$406,$A99,$O$7:$O$406,"&lt;="&amp;AZ$6,$P$7:$P$406,"&gt;="&amp;AZ$6,$R$7:$R$406,"No"))</ns0:f>
        <ns0:v>0</ns0:v>
      </ns0:c>
      <ns0:c r="BA99" t="n">
        <ns0:f>IF($A99="",0,COUNTIFS($J$7:$J$406,$A99,$O$7:$O$406,"&lt;="&amp;BA$6,$P$7:$P$406,"&gt;="&amp;BA$6,$R$7:$R$406,"No"))</ns0:f>
        <ns0:v>0</ns0:v>
      </ns0:c>
      <ns0:c r="BB99" t="n">
        <ns0:f>IF($A99="",0,COUNTIFS($J$7:$J$406,$A99,$O$7:$O$406,"&lt;="&amp;BB$6,$P$7:$P$406,"&gt;="&amp;BB$6,$R$7:$R$406,"No"))</ns0:f>
        <ns0:v>0</ns0:v>
      </ns0:c>
      <ns0:c r="BC99" t="n">
        <ns0:f>IF($A99="",0,COUNTIFS($J$7:$J$406,$A99,$O$7:$O$406,"&lt;="&amp;BC$6,$P$7:$P$406,"&gt;="&amp;BC$6,$R$7:$R$406,"No"))</ns0:f>
        <ns0:v>0</ns0:v>
      </ns0:c>
    </ns0:row>
    <ns0:row r="100" ht="48" customHeight="1">
      <ns0:c r="A100" s="8" t="str">
        <ns0:f>IF(ROW()-6&gt;MAX($K$7:$K$406),"",INDEX($J$7:$J$406,MATCH(ROW()-6,$K$7:$K$406,0)))</ns0:f>
      </ns0:c>
      <ns0:c r="B100" s="8" t="str">
        <ns0:f>IF(A100="","",COUNTIFS($J$7:$J$406,$A100))</ns0:f>
      </ns0:c>
      <ns0:c r="C100" s="8" t="str">
        <ns0:f>IF(A100="","",COUNTIFS($J$7:$J$406,$A100,$N$7:$N$406,1))</ns0:f>
      </ns0:c>
      <ns0:c r="D100" s="8" t="str">
        <ns0:f>IF(A100="","",COUNTIFS($J$7:$J$406,$A100,$Q$7:$Q$406,"In Progress"))</ns0:f>
      </ns0:c>
      <ns0:c r="E100" s="8" t="str">
        <ns0:f>IF(A100="","",B100-C100)</ns0:f>
      </ns0:c>
      <ns0:c r="F100" s="19" t="str">
        <ns0:f>IF(A100="","",SUMIFS($N$7:$N$406,$J$7:$J$406,$A100)/B100)</ns0:f>
      </ns0:c>
      <ns0:c r="G100" s="8" t="str">
        <ns0:f>IF(A100="","",COUNTIFS(V100:BC100,"&gt;1"))</ns0:f>
      </ns0:c>
      <ns0:c r="H100" s="8" t="str">
        <ns0:f>IF(A100="","",IF(COUNTIFS($T$7:$T$33,A100)&gt;0,INDEX($U$7:$U$33,MATCH(A100,$T$7:$T$33,0)),"No capacity or responsibility detail supplied."))</ns0:f>
      </ns0:c>
      <ns0:c r="J100" t="str">
        <ns0:f>IF('Project Tracker'!A30="","",TRIM(MID(SUBSTITUTE('Project Tracker'!K30,";",REPT(" ",150)),151,150)))</ns0:f>
        <ns0:v>Development Engine (W_DEV)</ns0:v>
      </ns0:c>
      <ns0:c r="K100" t="n">
        <ns0:f>IF(J100="","",IF(COUNTIFS($J$7:J100,J100)=1,MAX($K$6:K99)+1,""))</ns0:f>
        <ns0:v>21</ns0:v>
      </ns0:c>
      <ns0:c r="L100" t="n">
        <ns0:f>IF(A100="",0,B100+(107-ROW())/1000)</ns0:f>
        <ns0:v>0</ns0:v>
      </ns0:c>
      <ns0:c r="M100" t="str">
        <ns0:f>IF(J100="","",'Project Tracker'!A30)</ns0:f>
        <ns0:v>T21</ns0:v>
      </ns0:c>
      <ns0:c r="N100" t="n">
        <ns0:f>IF(J100="","",'Project Tracker'!N30)</ns0:f>
        <ns0:v>0</ns0:v>
      </ns0:c>
      <ns0:c r="O100" t="n">
        <ns0:f>IF(J100="","",'Project Tracker'!E30)</ns0:f>
        <ns0:v>46285</ns0:v>
      </ns0:c>
      <ns0:c r="P100" t="n">
        <ns0:f>IF(J100="","",'Project Tracker'!F30)</ns0:f>
        <ns0:v>46291</ns0:v>
      </ns0:c>
      <ns0:c r="Q100" t="str">
        <ns0:f>IF(J100="","",'Project Tracker'!Q30)</ns0:f>
        <ns0:v>Not Started</ns0:v>
      </ns0:c>
      <ns0:c r="R100" t="str">
        <ns0:f>IF(J100="","",'Project Tracker'!J30)</ns0:f>
        <ns0:v>No</ns0:v>
      </ns0:c>
      <ns0:c r="V100" t="n">
        <ns0:f>IF($A100="",0,COUNTIFS($J$7:$J$406,$A100,$O$7:$O$406,"&lt;="&amp;V$6,$P$7:$P$406,"&gt;="&amp;V$6,$R$7:$R$406,"No"))</ns0:f>
        <ns0:v>0</ns0:v>
      </ns0:c>
      <ns0:c r="W100" t="n">
        <ns0:f>IF($A100="",0,COUNTIFS($J$7:$J$406,$A100,$O$7:$O$406,"&lt;="&amp;W$6,$P$7:$P$406,"&gt;="&amp;W$6,$R$7:$R$406,"No"))</ns0:f>
        <ns0:v>0</ns0:v>
      </ns0:c>
      <ns0:c r="X100" t="n">
        <ns0:f>IF($A100="",0,COUNTIFS($J$7:$J$406,$A100,$O$7:$O$406,"&lt;="&amp;X$6,$P$7:$P$406,"&gt;="&amp;X$6,$R$7:$R$406,"No"))</ns0:f>
        <ns0:v>0</ns0:v>
      </ns0:c>
      <ns0:c r="Y100" t="n">
        <ns0:f>IF($A100="",0,COUNTIFS($J$7:$J$406,$A100,$O$7:$O$406,"&lt;="&amp;Y$6,$P$7:$P$406,"&gt;="&amp;Y$6,$R$7:$R$406,"No"))</ns0:f>
        <ns0:v>0</ns0:v>
      </ns0:c>
      <ns0:c r="Z100" t="n">
        <ns0:f>IF($A100="",0,COUNTIFS($J$7:$J$406,$A100,$O$7:$O$406,"&lt;="&amp;Z$6,$P$7:$P$406,"&gt;="&amp;Z$6,$R$7:$R$406,"No"))</ns0:f>
        <ns0:v>0</ns0:v>
      </ns0:c>
      <ns0:c r="AA100" t="n">
        <ns0:f>IF($A100="",0,COUNTIFS($J$7:$J$406,$A100,$O$7:$O$406,"&lt;="&amp;AA$6,$P$7:$P$406,"&gt;="&amp;AA$6,$R$7:$R$406,"No"))</ns0:f>
        <ns0:v>0</ns0:v>
      </ns0:c>
      <ns0:c r="AB100" t="n">
        <ns0:f>IF($A100="",0,COUNTIFS($J$7:$J$406,$A100,$O$7:$O$406,"&lt;="&amp;AB$6,$P$7:$P$406,"&gt;="&amp;AB$6,$R$7:$R$406,"No"))</ns0:f>
        <ns0:v>0</ns0:v>
      </ns0:c>
      <ns0:c r="AC100" t="n">
        <ns0:f>IF($A100="",0,COUNTIFS($J$7:$J$406,$A100,$O$7:$O$406,"&lt;="&amp;AC$6,$P$7:$P$406,"&gt;="&amp;AC$6,$R$7:$R$406,"No"))</ns0:f>
        <ns0:v>0</ns0:v>
      </ns0:c>
      <ns0:c r="AD100" t="n">
        <ns0:f>IF($A100="",0,COUNTIFS($J$7:$J$406,$A100,$O$7:$O$406,"&lt;="&amp;AD$6,$P$7:$P$406,"&gt;="&amp;AD$6,$R$7:$R$406,"No"))</ns0:f>
        <ns0:v>0</ns0:v>
      </ns0:c>
      <ns0:c r="AE100" t="n">
        <ns0:f>IF($A100="",0,COUNTIFS($J$7:$J$406,$A100,$O$7:$O$406,"&lt;="&amp;AE$6,$P$7:$P$406,"&gt;="&amp;AE$6,$R$7:$R$406,"No"))</ns0:f>
        <ns0:v>0</ns0:v>
      </ns0:c>
      <ns0:c r="AF100" t="n">
        <ns0:f>IF($A100="",0,COUNTIFS($J$7:$J$406,$A100,$O$7:$O$406,"&lt;="&amp;AF$6,$P$7:$P$406,"&gt;="&amp;AF$6,$R$7:$R$406,"No"))</ns0:f>
        <ns0:v>0</ns0:v>
      </ns0:c>
      <ns0:c r="AG100" t="n">
        <ns0:f>IF($A100="",0,COUNTIFS($J$7:$J$406,$A100,$O$7:$O$406,"&lt;="&amp;AG$6,$P$7:$P$406,"&gt;="&amp;AG$6,$R$7:$R$406,"No"))</ns0:f>
        <ns0:v>0</ns0:v>
      </ns0:c>
      <ns0:c r="AH100" t="n">
        <ns0:f>IF($A100="",0,COUNTIFS($J$7:$J$406,$A100,$O$7:$O$406,"&lt;="&amp;AH$6,$P$7:$P$406,"&gt;="&amp;AH$6,$R$7:$R$406,"No"))</ns0:f>
        <ns0:v>0</ns0:v>
      </ns0:c>
      <ns0:c r="AI100" t="n">
        <ns0:f>IF($A100="",0,COUNTIFS($J$7:$J$406,$A100,$O$7:$O$406,"&lt;="&amp;AI$6,$P$7:$P$406,"&gt;="&amp;AI$6,$R$7:$R$406,"No"))</ns0:f>
        <ns0:v>0</ns0:v>
      </ns0:c>
      <ns0:c r="AJ100" t="n">
        <ns0:f>IF($A100="",0,COUNTIFS($J$7:$J$406,$A100,$O$7:$O$406,"&lt;="&amp;AJ$6,$P$7:$P$406,"&gt;="&amp;AJ$6,$R$7:$R$406,"No"))</ns0:f>
        <ns0:v>0</ns0:v>
      </ns0:c>
      <ns0:c r="AK100" t="n">
        <ns0:f>IF($A100="",0,COUNTIFS($J$7:$J$406,$A100,$O$7:$O$406,"&lt;="&amp;AK$6,$P$7:$P$406,"&gt;="&amp;AK$6,$R$7:$R$406,"No"))</ns0:f>
        <ns0:v>0</ns0:v>
      </ns0:c>
      <ns0:c r="AL100" t="n">
        <ns0:f>IF($A100="",0,COUNTIFS($J$7:$J$406,$A100,$O$7:$O$406,"&lt;="&amp;AL$6,$P$7:$P$406,"&gt;="&amp;AL$6,$R$7:$R$406,"No"))</ns0:f>
        <ns0:v>0</ns0:v>
      </ns0:c>
      <ns0:c r="AM100" t="n">
        <ns0:f>IF($A100="",0,COUNTIFS($J$7:$J$406,$A100,$O$7:$O$406,"&lt;="&amp;AM$6,$P$7:$P$406,"&gt;="&amp;AM$6,$R$7:$R$406,"No"))</ns0:f>
        <ns0:v>0</ns0:v>
      </ns0:c>
      <ns0:c r="AN100" t="n">
        <ns0:f>IF($A100="",0,COUNTIFS($J$7:$J$406,$A100,$O$7:$O$406,"&lt;="&amp;AN$6,$P$7:$P$406,"&gt;="&amp;AN$6,$R$7:$R$406,"No"))</ns0:f>
        <ns0:v>0</ns0:v>
      </ns0:c>
      <ns0:c r="AO100" t="n">
        <ns0:f>IF($A100="",0,COUNTIFS($J$7:$J$406,$A100,$O$7:$O$406,"&lt;="&amp;AO$6,$P$7:$P$406,"&gt;="&amp;AO$6,$R$7:$R$406,"No"))</ns0:f>
        <ns0:v>0</ns0:v>
      </ns0:c>
      <ns0:c r="AP100" t="n">
        <ns0:f>IF($A100="",0,COUNTIFS($J$7:$J$406,$A100,$O$7:$O$406,"&lt;="&amp;AP$6,$P$7:$P$406,"&gt;="&amp;AP$6,$R$7:$R$406,"No"))</ns0:f>
        <ns0:v>0</ns0:v>
      </ns0:c>
      <ns0:c r="AQ100" t="n">
        <ns0:f>IF($A100="",0,COUNTIFS($J$7:$J$406,$A100,$O$7:$O$406,"&lt;="&amp;AQ$6,$P$7:$P$406,"&gt;="&amp;AQ$6,$R$7:$R$406,"No"))</ns0:f>
        <ns0:v>0</ns0:v>
      </ns0:c>
      <ns0:c r="AR100" t="n">
        <ns0:f>IF($A100="",0,COUNTIFS($J$7:$J$406,$A100,$O$7:$O$406,"&lt;="&amp;AR$6,$P$7:$P$406,"&gt;="&amp;AR$6,$R$7:$R$406,"No"))</ns0:f>
        <ns0:v>0</ns0:v>
      </ns0:c>
      <ns0:c r="AS100" t="n">
        <ns0:f>IF($A100="",0,COUNTIFS($J$7:$J$406,$A100,$O$7:$O$406,"&lt;="&amp;AS$6,$P$7:$P$406,"&gt;="&amp;AS$6,$R$7:$R$406,"No"))</ns0:f>
        <ns0:v>0</ns0:v>
      </ns0:c>
      <ns0:c r="AT100" t="n">
        <ns0:f>IF($A100="",0,COUNTIFS($J$7:$J$406,$A100,$O$7:$O$406,"&lt;="&amp;AT$6,$P$7:$P$406,"&gt;="&amp;AT$6,$R$7:$R$406,"No"))</ns0:f>
        <ns0:v>0</ns0:v>
      </ns0:c>
      <ns0:c r="AU100" t="n">
        <ns0:f>IF($A100="",0,COUNTIFS($J$7:$J$406,$A100,$O$7:$O$406,"&lt;="&amp;AU$6,$P$7:$P$406,"&gt;="&amp;AU$6,$R$7:$R$406,"No"))</ns0:f>
        <ns0:v>0</ns0:v>
      </ns0:c>
      <ns0:c r="AV100" t="n">
        <ns0:f>IF($A100="",0,COUNTIFS($J$7:$J$406,$A100,$O$7:$O$406,"&lt;="&amp;AV$6,$P$7:$P$406,"&gt;="&amp;AV$6,$R$7:$R$406,"No"))</ns0:f>
        <ns0:v>0</ns0:v>
      </ns0:c>
      <ns0:c r="AW100" t="n">
        <ns0:f>IF($A100="",0,COUNTIFS($J$7:$J$406,$A100,$O$7:$O$406,"&lt;="&amp;AW$6,$P$7:$P$406,"&gt;="&amp;AW$6,$R$7:$R$406,"No"))</ns0:f>
        <ns0:v>0</ns0:v>
      </ns0:c>
      <ns0:c r="AX100" t="n">
        <ns0:f>IF($A100="",0,COUNTIFS($J$7:$J$406,$A100,$O$7:$O$406,"&lt;="&amp;AX$6,$P$7:$P$406,"&gt;="&amp;AX$6,$R$7:$R$406,"No"))</ns0:f>
        <ns0:v>0</ns0:v>
      </ns0:c>
      <ns0:c r="AY100" t="n">
        <ns0:f>IF($A100="",0,COUNTIFS($J$7:$J$406,$A100,$O$7:$O$406,"&lt;="&amp;AY$6,$P$7:$P$406,"&gt;="&amp;AY$6,$R$7:$R$406,"No"))</ns0:f>
        <ns0:v>0</ns0:v>
      </ns0:c>
      <ns0:c r="AZ100" t="n">
        <ns0:f>IF($A100="",0,COUNTIFS($J$7:$J$406,$A100,$O$7:$O$406,"&lt;="&amp;AZ$6,$P$7:$P$406,"&gt;="&amp;AZ$6,$R$7:$R$406,"No"))</ns0:f>
        <ns0:v>0</ns0:v>
      </ns0:c>
      <ns0:c r="BA100" t="n">
        <ns0:f>IF($A100="",0,COUNTIFS($J$7:$J$406,$A100,$O$7:$O$406,"&lt;="&amp;BA$6,$P$7:$P$406,"&gt;="&amp;BA$6,$R$7:$R$406,"No"))</ns0:f>
        <ns0:v>0</ns0:v>
      </ns0:c>
      <ns0:c r="BB100" t="n">
        <ns0:f>IF($A100="",0,COUNTIFS($J$7:$J$406,$A100,$O$7:$O$406,"&lt;="&amp;BB$6,$P$7:$P$406,"&gt;="&amp;BB$6,$R$7:$R$406,"No"))</ns0:f>
        <ns0:v>0</ns0:v>
      </ns0:c>
      <ns0:c r="BC100" t="n">
        <ns0:f>IF($A100="",0,COUNTIFS($J$7:$J$406,$A100,$O$7:$O$406,"&lt;="&amp;BC$6,$P$7:$P$406,"&gt;="&amp;BC$6,$R$7:$R$406,"No"))</ns0:f>
        <ns0:v>0</ns0:v>
      </ns0:c>
    </ns0:row>
    <ns0:row r="101" ht="48" customHeight="1">
      <ns0:c r="A101" s="8" t="str">
        <ns0:f>IF(ROW()-6&gt;MAX($K$7:$K$406),"",INDEX($J$7:$J$406,MATCH(ROW()-6,$K$7:$K$406,0)))</ns0:f>
      </ns0:c>
      <ns0:c r="B101" s="8" t="str">
        <ns0:f>IF(A101="","",COUNTIFS($J$7:$J$406,$A101))</ns0:f>
      </ns0:c>
      <ns0:c r="C101" s="8" t="str">
        <ns0:f>IF(A101="","",COUNTIFS($J$7:$J$406,$A101,$N$7:$N$406,1))</ns0:f>
      </ns0:c>
      <ns0:c r="D101" s="8" t="str">
        <ns0:f>IF(A101="","",COUNTIFS($J$7:$J$406,$A101,$Q$7:$Q$406,"In Progress"))</ns0:f>
      </ns0:c>
      <ns0:c r="E101" s="8" t="str">
        <ns0:f>IF(A101="","",B101-C101)</ns0:f>
      </ns0:c>
      <ns0:c r="F101" s="19" t="str">
        <ns0:f>IF(A101="","",SUMIFS($N$7:$N$406,$J$7:$J$406,$A101)/B101)</ns0:f>
      </ns0:c>
      <ns0:c r="G101" s="8" t="str">
        <ns0:f>IF(A101="","",COUNTIFS(V101:BC101,"&gt;1"))</ns0:f>
      </ns0:c>
      <ns0:c r="H101" s="8" t="str">
        <ns0:f>IF(A101="","",IF(COUNTIFS($T$7:$T$33,A101)&gt;0,INDEX($U$7:$U$33,MATCH(A101,$T$7:$T$33,0)),"No capacity or responsibility detail supplied."))</ns0:f>
      </ns0:c>
      <ns0:c r="J101" t="str">
        <ns0:f>IF('Project Tracker'!A30="","",TRIM(MID(SUBSTITUTE('Project Tracker'!K30,";",REPT(" ",150)),301,150)))</ns0:f>
      </ns0:c>
      <ns0:c r="K101" t="str">
        <ns0:f>IF(J101="","",IF(COUNTIFS($J$7:J101,J101)=1,MAX($K$6:K100)+1,""))</ns0:f>
      </ns0:c>
      <ns0:c r="L101" t="n">
        <ns0:f>IF(A101="",0,B101+(107-ROW())/1000)</ns0:f>
        <ns0:v>0</ns0:v>
      </ns0:c>
      <ns0:c r="M101" t="str">
        <ns0:f>IF(J101="","",'Project Tracker'!A30)</ns0:f>
      </ns0:c>
      <ns0:c r="N101" t="str">
        <ns0:f>IF(J101="","",'Project Tracker'!N30)</ns0:f>
      </ns0:c>
      <ns0:c r="O101" t="str">
        <ns0:f>IF(J101="","",'Project Tracker'!E30)</ns0:f>
      </ns0:c>
      <ns0:c r="P101" t="str">
        <ns0:f>IF(J101="","",'Project Tracker'!F30)</ns0:f>
      </ns0:c>
      <ns0:c r="Q101" t="str">
        <ns0:f>IF(J101="","",'Project Tracker'!Q30)</ns0:f>
      </ns0:c>
      <ns0:c r="R101" t="str">
        <ns0:f>IF(J101="","",'Project Tracker'!J30)</ns0:f>
      </ns0:c>
      <ns0:c r="V101" t="n">
        <ns0:f>IF($A101="",0,COUNTIFS($J$7:$J$406,$A101,$O$7:$O$406,"&lt;="&amp;V$6,$P$7:$P$406,"&gt;="&amp;V$6,$R$7:$R$406,"No"))</ns0:f>
        <ns0:v>0</ns0:v>
      </ns0:c>
      <ns0:c r="W101" t="n">
        <ns0:f>IF($A101="",0,COUNTIFS($J$7:$J$406,$A101,$O$7:$O$406,"&lt;="&amp;W$6,$P$7:$P$406,"&gt;="&amp;W$6,$R$7:$R$406,"No"))</ns0:f>
        <ns0:v>0</ns0:v>
      </ns0:c>
      <ns0:c r="X101" t="n">
        <ns0:f>IF($A101="",0,COUNTIFS($J$7:$J$406,$A101,$O$7:$O$406,"&lt;="&amp;X$6,$P$7:$P$406,"&gt;="&amp;X$6,$R$7:$R$406,"No"))</ns0:f>
        <ns0:v>0</ns0:v>
      </ns0:c>
      <ns0:c r="Y101" t="n">
        <ns0:f>IF($A101="",0,COUNTIFS($J$7:$J$406,$A101,$O$7:$O$406,"&lt;="&amp;Y$6,$P$7:$P$406,"&gt;="&amp;Y$6,$R$7:$R$406,"No"))</ns0:f>
        <ns0:v>0</ns0:v>
      </ns0:c>
      <ns0:c r="Z101" t="n">
        <ns0:f>IF($A101="",0,COUNTIFS($J$7:$J$406,$A101,$O$7:$O$406,"&lt;="&amp;Z$6,$P$7:$P$406,"&gt;="&amp;Z$6,$R$7:$R$406,"No"))</ns0:f>
        <ns0:v>0</ns0:v>
      </ns0:c>
      <ns0:c r="AA101" t="n">
        <ns0:f>IF($A101="",0,COUNTIFS($J$7:$J$406,$A101,$O$7:$O$406,"&lt;="&amp;AA$6,$P$7:$P$406,"&gt;="&amp;AA$6,$R$7:$R$406,"No"))</ns0:f>
        <ns0:v>0</ns0:v>
      </ns0:c>
      <ns0:c r="AB101" t="n">
        <ns0:f>IF($A101="",0,COUNTIFS($J$7:$J$406,$A101,$O$7:$O$406,"&lt;="&amp;AB$6,$P$7:$P$406,"&gt;="&amp;AB$6,$R$7:$R$406,"No"))</ns0:f>
        <ns0:v>0</ns0:v>
      </ns0:c>
      <ns0:c r="AC101" t="n">
        <ns0:f>IF($A101="",0,COUNTIFS($J$7:$J$406,$A101,$O$7:$O$406,"&lt;="&amp;AC$6,$P$7:$P$406,"&gt;="&amp;AC$6,$R$7:$R$406,"No"))</ns0:f>
        <ns0:v>0</ns0:v>
      </ns0:c>
      <ns0:c r="AD101" t="n">
        <ns0:f>IF($A101="",0,COUNTIFS($J$7:$J$406,$A101,$O$7:$O$406,"&lt;="&amp;AD$6,$P$7:$P$406,"&gt;="&amp;AD$6,$R$7:$R$406,"No"))</ns0:f>
        <ns0:v>0</ns0:v>
      </ns0:c>
      <ns0:c r="AE101" t="n">
        <ns0:f>IF($A101="",0,COUNTIFS($J$7:$J$406,$A101,$O$7:$O$406,"&lt;="&amp;AE$6,$P$7:$P$406,"&gt;="&amp;AE$6,$R$7:$R$406,"No"))</ns0:f>
        <ns0:v>0</ns0:v>
      </ns0:c>
      <ns0:c r="AF101" t="n">
        <ns0:f>IF($A101="",0,COUNTIFS($J$7:$J$406,$A101,$O$7:$O$406,"&lt;="&amp;AF$6,$P$7:$P$406,"&gt;="&amp;AF$6,$R$7:$R$406,"No"))</ns0:f>
        <ns0:v>0</ns0:v>
      </ns0:c>
      <ns0:c r="AG101" t="n">
        <ns0:f>IF($A101="",0,COUNTIFS($J$7:$J$406,$A101,$O$7:$O$406,"&lt;="&amp;AG$6,$P$7:$P$406,"&gt;="&amp;AG$6,$R$7:$R$406,"No"))</ns0:f>
        <ns0:v>0</ns0:v>
      </ns0:c>
      <ns0:c r="AH101" t="n">
        <ns0:f>IF($A101="",0,COUNTIFS($J$7:$J$406,$A101,$O$7:$O$406,"&lt;="&amp;AH$6,$P$7:$P$406,"&gt;="&amp;AH$6,$R$7:$R$406,"No"))</ns0:f>
        <ns0:v>0</ns0:v>
      </ns0:c>
      <ns0:c r="AI101" t="n">
        <ns0:f>IF($A101="",0,COUNTIFS($J$7:$J$406,$A101,$O$7:$O$406,"&lt;="&amp;AI$6,$P$7:$P$406,"&gt;="&amp;AI$6,$R$7:$R$406,"No"))</ns0:f>
        <ns0:v>0</ns0:v>
      </ns0:c>
      <ns0:c r="AJ101" t="n">
        <ns0:f>IF($A101="",0,COUNTIFS($J$7:$J$406,$A101,$O$7:$O$406,"&lt;="&amp;AJ$6,$P$7:$P$406,"&gt;="&amp;AJ$6,$R$7:$R$406,"No"))</ns0:f>
        <ns0:v>0</ns0:v>
      </ns0:c>
      <ns0:c r="AK101" t="n">
        <ns0:f>IF($A101="",0,COUNTIFS($J$7:$J$406,$A101,$O$7:$O$406,"&lt;="&amp;AK$6,$P$7:$P$406,"&gt;="&amp;AK$6,$R$7:$R$406,"No"))</ns0:f>
        <ns0:v>0</ns0:v>
      </ns0:c>
      <ns0:c r="AL101" t="n">
        <ns0:f>IF($A101="",0,COUNTIFS($J$7:$J$406,$A101,$O$7:$O$406,"&lt;="&amp;AL$6,$P$7:$P$406,"&gt;="&amp;AL$6,$R$7:$R$406,"No"))</ns0:f>
        <ns0:v>0</ns0:v>
      </ns0:c>
      <ns0:c r="AM101" t="n">
        <ns0:f>IF($A101="",0,COUNTIFS($J$7:$J$406,$A101,$O$7:$O$406,"&lt;="&amp;AM$6,$P$7:$P$406,"&gt;="&amp;AM$6,$R$7:$R$406,"No"))</ns0:f>
        <ns0:v>0</ns0:v>
      </ns0:c>
      <ns0:c r="AN101" t="n">
        <ns0:f>IF($A101="",0,COUNTIFS($J$7:$J$406,$A101,$O$7:$O$406,"&lt;="&amp;AN$6,$P$7:$P$406,"&gt;="&amp;AN$6,$R$7:$R$406,"No"))</ns0:f>
        <ns0:v>0</ns0:v>
      </ns0:c>
      <ns0:c r="AO101" t="n">
        <ns0:f>IF($A101="",0,COUNTIFS($J$7:$J$406,$A101,$O$7:$O$406,"&lt;="&amp;AO$6,$P$7:$P$406,"&gt;="&amp;AO$6,$R$7:$R$406,"No"))</ns0:f>
        <ns0:v>0</ns0:v>
      </ns0:c>
      <ns0:c r="AP101" t="n">
        <ns0:f>IF($A101="",0,COUNTIFS($J$7:$J$406,$A101,$O$7:$O$406,"&lt;="&amp;AP$6,$P$7:$P$406,"&gt;="&amp;AP$6,$R$7:$R$406,"No"))</ns0:f>
        <ns0:v>0</ns0:v>
      </ns0:c>
      <ns0:c r="AQ101" t="n">
        <ns0:f>IF($A101="",0,COUNTIFS($J$7:$J$406,$A101,$O$7:$O$406,"&lt;="&amp;AQ$6,$P$7:$P$406,"&gt;="&amp;AQ$6,$R$7:$R$406,"No"))</ns0:f>
        <ns0:v>0</ns0:v>
      </ns0:c>
      <ns0:c r="AR101" t="n">
        <ns0:f>IF($A101="",0,COUNTIFS($J$7:$J$406,$A101,$O$7:$O$406,"&lt;="&amp;AR$6,$P$7:$P$406,"&gt;="&amp;AR$6,$R$7:$R$406,"No"))</ns0:f>
        <ns0:v>0</ns0:v>
      </ns0:c>
      <ns0:c r="AS101" t="n">
        <ns0:f>IF($A101="",0,COUNTIFS($J$7:$J$406,$A101,$O$7:$O$406,"&lt;="&amp;AS$6,$P$7:$P$406,"&gt;="&amp;AS$6,$R$7:$R$406,"No"))</ns0:f>
        <ns0:v>0</ns0:v>
      </ns0:c>
      <ns0:c r="AT101" t="n">
        <ns0:f>IF($A101="",0,COUNTIFS($J$7:$J$406,$A101,$O$7:$O$406,"&lt;="&amp;AT$6,$P$7:$P$406,"&gt;="&amp;AT$6,$R$7:$R$406,"No"))</ns0:f>
        <ns0:v>0</ns0:v>
      </ns0:c>
      <ns0:c r="AU101" t="n">
        <ns0:f>IF($A101="",0,COUNTIFS($J$7:$J$406,$A101,$O$7:$O$406,"&lt;="&amp;AU$6,$P$7:$P$406,"&gt;="&amp;AU$6,$R$7:$R$406,"No"))</ns0:f>
        <ns0:v>0</ns0:v>
      </ns0:c>
      <ns0:c r="AV101" t="n">
        <ns0:f>IF($A101="",0,COUNTIFS($J$7:$J$406,$A101,$O$7:$O$406,"&lt;="&amp;AV$6,$P$7:$P$406,"&gt;="&amp;AV$6,$R$7:$R$406,"No"))</ns0:f>
        <ns0:v>0</ns0:v>
      </ns0:c>
      <ns0:c r="AW101" t="n">
        <ns0:f>IF($A101="",0,COUNTIFS($J$7:$J$406,$A101,$O$7:$O$406,"&lt;="&amp;AW$6,$P$7:$P$406,"&gt;="&amp;AW$6,$R$7:$R$406,"No"))</ns0:f>
        <ns0:v>0</ns0:v>
      </ns0:c>
      <ns0:c r="AX101" t="n">
        <ns0:f>IF($A101="",0,COUNTIFS($J$7:$J$406,$A101,$O$7:$O$406,"&lt;="&amp;AX$6,$P$7:$P$406,"&gt;="&amp;AX$6,$R$7:$R$406,"No"))</ns0:f>
        <ns0:v>0</ns0:v>
      </ns0:c>
      <ns0:c r="AY101" t="n">
        <ns0:f>IF($A101="",0,COUNTIFS($J$7:$J$406,$A101,$O$7:$O$406,"&lt;="&amp;AY$6,$P$7:$P$406,"&gt;="&amp;AY$6,$R$7:$R$406,"No"))</ns0:f>
        <ns0:v>0</ns0:v>
      </ns0:c>
      <ns0:c r="AZ101" t="n">
        <ns0:f>IF($A101="",0,COUNTIFS($J$7:$J$406,$A101,$O$7:$O$406,"&lt;="&amp;AZ$6,$P$7:$P$406,"&gt;="&amp;AZ$6,$R$7:$R$406,"No"))</ns0:f>
        <ns0:v>0</ns0:v>
      </ns0:c>
      <ns0:c r="BA101" t="n">
        <ns0:f>IF($A101="",0,COUNTIFS($J$7:$J$406,$A101,$O$7:$O$406,"&lt;="&amp;BA$6,$P$7:$P$406,"&gt;="&amp;BA$6,$R$7:$R$406,"No"))</ns0:f>
        <ns0:v>0</ns0:v>
      </ns0:c>
      <ns0:c r="BB101" t="n">
        <ns0:f>IF($A101="",0,COUNTIFS($J$7:$J$406,$A101,$O$7:$O$406,"&lt;="&amp;BB$6,$P$7:$P$406,"&gt;="&amp;BB$6,$R$7:$R$406,"No"))</ns0:f>
        <ns0:v>0</ns0:v>
      </ns0:c>
      <ns0:c r="BC101" t="n">
        <ns0:f>IF($A101="",0,COUNTIFS($J$7:$J$406,$A101,$O$7:$O$406,"&lt;="&amp;BC$6,$P$7:$P$406,"&gt;="&amp;BC$6,$R$7:$R$406,"No"))</ns0:f>
        <ns0:v>0</ns0:v>
      </ns0:c>
    </ns0:row>
    <ns0:row r="102" ht="48" customHeight="1">
      <ns0:c r="A102" s="8" t="str">
        <ns0:f>IF(ROW()-6&gt;MAX($K$7:$K$406),"",INDEX($J$7:$J$406,MATCH(ROW()-6,$K$7:$K$406,0)))</ns0:f>
      </ns0:c>
      <ns0:c r="B102" s="8" t="str">
        <ns0:f>IF(A102="","",COUNTIFS($J$7:$J$406,$A102))</ns0:f>
      </ns0:c>
      <ns0:c r="C102" s="8" t="str">
        <ns0:f>IF(A102="","",COUNTIFS($J$7:$J$406,$A102,$N$7:$N$406,1))</ns0:f>
      </ns0:c>
      <ns0:c r="D102" s="8" t="str">
        <ns0:f>IF(A102="","",COUNTIFS($J$7:$J$406,$A102,$Q$7:$Q$406,"In Progress"))</ns0:f>
      </ns0:c>
      <ns0:c r="E102" s="8" t="str">
        <ns0:f>IF(A102="","",B102-C102)</ns0:f>
      </ns0:c>
      <ns0:c r="F102" s="19" t="str">
        <ns0:f>IF(A102="","",SUMIFS($N$7:$N$406,$J$7:$J$406,$A102)/B102)</ns0:f>
      </ns0:c>
      <ns0:c r="G102" s="8" t="str">
        <ns0:f>IF(A102="","",COUNTIFS(V102:BC102,"&gt;1"))</ns0:f>
      </ns0:c>
      <ns0:c r="H102" s="8" t="str">
        <ns0:f>IF(A102="","",IF(COUNTIFS($T$7:$T$33,A102)&gt;0,INDEX($U$7:$U$33,MATCH(A102,$T$7:$T$33,0)),"No capacity or responsibility detail supplied."))</ns0:f>
      </ns0:c>
      <ns0:c r="J102" t="str">
        <ns0:f>IF('Project Tracker'!A30="","",TRIM(MID(SUBSTITUTE('Project Tracker'!K30,";",REPT(" ",150)),451,150)))</ns0:f>
      </ns0:c>
      <ns0:c r="K102" t="str">
        <ns0:f>IF(J102="","",IF(COUNTIFS($J$7:J102,J102)=1,MAX($K$6:K101)+1,""))</ns0:f>
      </ns0:c>
      <ns0:c r="L102" t="n">
        <ns0:f>IF(A102="",0,B102+(107-ROW())/1000)</ns0:f>
        <ns0:v>0</ns0:v>
      </ns0:c>
      <ns0:c r="M102" t="str">
        <ns0:f>IF(J102="","",'Project Tracker'!A30)</ns0:f>
      </ns0:c>
      <ns0:c r="N102" t="str">
        <ns0:f>IF(J102="","",'Project Tracker'!N30)</ns0:f>
      </ns0:c>
      <ns0:c r="O102" t="str">
        <ns0:f>IF(J102="","",'Project Tracker'!E30)</ns0:f>
      </ns0:c>
      <ns0:c r="P102" t="str">
        <ns0:f>IF(J102="","",'Project Tracker'!F30)</ns0:f>
      </ns0:c>
      <ns0:c r="Q102" t="str">
        <ns0:f>IF(J102="","",'Project Tracker'!Q30)</ns0:f>
      </ns0:c>
      <ns0:c r="R102" t="str">
        <ns0:f>IF(J102="","",'Project Tracker'!J30)</ns0:f>
      </ns0:c>
      <ns0:c r="V102" t="n">
        <ns0:f>IF($A102="",0,COUNTIFS($J$7:$J$406,$A102,$O$7:$O$406,"&lt;="&amp;V$6,$P$7:$P$406,"&gt;="&amp;V$6,$R$7:$R$406,"No"))</ns0:f>
        <ns0:v>0</ns0:v>
      </ns0:c>
      <ns0:c r="W102" t="n">
        <ns0:f>IF($A102="",0,COUNTIFS($J$7:$J$406,$A102,$O$7:$O$406,"&lt;="&amp;W$6,$P$7:$P$406,"&gt;="&amp;W$6,$R$7:$R$406,"No"))</ns0:f>
        <ns0:v>0</ns0:v>
      </ns0:c>
      <ns0:c r="X102" t="n">
        <ns0:f>IF($A102="",0,COUNTIFS($J$7:$J$406,$A102,$O$7:$O$406,"&lt;="&amp;X$6,$P$7:$P$406,"&gt;="&amp;X$6,$R$7:$R$406,"No"))</ns0:f>
        <ns0:v>0</ns0:v>
      </ns0:c>
      <ns0:c r="Y102" t="n">
        <ns0:f>IF($A102="",0,COUNTIFS($J$7:$J$406,$A102,$O$7:$O$406,"&lt;="&amp;Y$6,$P$7:$P$406,"&gt;="&amp;Y$6,$R$7:$R$406,"No"))</ns0:f>
        <ns0:v>0</ns0:v>
      </ns0:c>
      <ns0:c r="Z102" t="n">
        <ns0:f>IF($A102="",0,COUNTIFS($J$7:$J$406,$A102,$O$7:$O$406,"&lt;="&amp;Z$6,$P$7:$P$406,"&gt;="&amp;Z$6,$R$7:$R$406,"No"))</ns0:f>
        <ns0:v>0</ns0:v>
      </ns0:c>
      <ns0:c r="AA102" t="n">
        <ns0:f>IF($A102="",0,COUNTIFS($J$7:$J$406,$A102,$O$7:$O$406,"&lt;="&amp;AA$6,$P$7:$P$406,"&gt;="&amp;AA$6,$R$7:$R$406,"No"))</ns0:f>
        <ns0:v>0</ns0:v>
      </ns0:c>
      <ns0:c r="AB102" t="n">
        <ns0:f>IF($A102="",0,COUNTIFS($J$7:$J$406,$A102,$O$7:$O$406,"&lt;="&amp;AB$6,$P$7:$P$406,"&gt;="&amp;AB$6,$R$7:$R$406,"No"))</ns0:f>
        <ns0:v>0</ns0:v>
      </ns0:c>
      <ns0:c r="AC102" t="n">
        <ns0:f>IF($A102="",0,COUNTIFS($J$7:$J$406,$A102,$O$7:$O$406,"&lt;="&amp;AC$6,$P$7:$P$406,"&gt;="&amp;AC$6,$R$7:$R$406,"No"))</ns0:f>
        <ns0:v>0</ns0:v>
      </ns0:c>
      <ns0:c r="AD102" t="n">
        <ns0:f>IF($A102="",0,COUNTIFS($J$7:$J$406,$A102,$O$7:$O$406,"&lt;="&amp;AD$6,$P$7:$P$406,"&gt;="&amp;AD$6,$R$7:$R$406,"No"))</ns0:f>
        <ns0:v>0</ns0:v>
      </ns0:c>
      <ns0:c r="AE102" t="n">
        <ns0:f>IF($A102="",0,COUNTIFS($J$7:$J$406,$A102,$O$7:$O$406,"&lt;="&amp;AE$6,$P$7:$P$406,"&gt;="&amp;AE$6,$R$7:$R$406,"No"))</ns0:f>
        <ns0:v>0</ns0:v>
      </ns0:c>
      <ns0:c r="AF102" t="n">
        <ns0:f>IF($A102="",0,COUNTIFS($J$7:$J$406,$A102,$O$7:$O$406,"&lt;="&amp;AF$6,$P$7:$P$406,"&gt;="&amp;AF$6,$R$7:$R$406,"No"))</ns0:f>
        <ns0:v>0</ns0:v>
      </ns0:c>
      <ns0:c r="AG102" t="n">
        <ns0:f>IF($A102="",0,COUNTIFS($J$7:$J$406,$A102,$O$7:$O$406,"&lt;="&amp;AG$6,$P$7:$P$406,"&gt;="&amp;AG$6,$R$7:$R$406,"No"))</ns0:f>
        <ns0:v>0</ns0:v>
      </ns0:c>
      <ns0:c r="AH102" t="n">
        <ns0:f>IF($A102="",0,COUNTIFS($J$7:$J$406,$A102,$O$7:$O$406,"&lt;="&amp;AH$6,$P$7:$P$406,"&gt;="&amp;AH$6,$R$7:$R$406,"No"))</ns0:f>
        <ns0:v>0</ns0:v>
      </ns0:c>
      <ns0:c r="AI102" t="n">
        <ns0:f>IF($A102="",0,COUNTIFS($J$7:$J$406,$A102,$O$7:$O$406,"&lt;="&amp;AI$6,$P$7:$P$406,"&gt;="&amp;AI$6,$R$7:$R$406,"No"))</ns0:f>
        <ns0:v>0</ns0:v>
      </ns0:c>
      <ns0:c r="AJ102" t="n">
        <ns0:f>IF($A102="",0,COUNTIFS($J$7:$J$406,$A102,$O$7:$O$406,"&lt;="&amp;AJ$6,$P$7:$P$406,"&gt;="&amp;AJ$6,$R$7:$R$406,"No"))</ns0:f>
        <ns0:v>0</ns0:v>
      </ns0:c>
      <ns0:c r="AK102" t="n">
        <ns0:f>IF($A102="",0,COUNTIFS($J$7:$J$406,$A102,$O$7:$O$406,"&lt;="&amp;AK$6,$P$7:$P$406,"&gt;="&amp;AK$6,$R$7:$R$406,"No"))</ns0:f>
        <ns0:v>0</ns0:v>
      </ns0:c>
      <ns0:c r="AL102" t="n">
        <ns0:f>IF($A102="",0,COUNTIFS($J$7:$J$406,$A102,$O$7:$O$406,"&lt;="&amp;AL$6,$P$7:$P$406,"&gt;="&amp;AL$6,$R$7:$R$406,"No"))</ns0:f>
        <ns0:v>0</ns0:v>
      </ns0:c>
      <ns0:c r="AM102" t="n">
        <ns0:f>IF($A102="",0,COUNTIFS($J$7:$J$406,$A102,$O$7:$O$406,"&lt;="&amp;AM$6,$P$7:$P$406,"&gt;="&amp;AM$6,$R$7:$R$406,"No"))</ns0:f>
        <ns0:v>0</ns0:v>
      </ns0:c>
      <ns0:c r="AN102" t="n">
        <ns0:f>IF($A102="",0,COUNTIFS($J$7:$J$406,$A102,$O$7:$O$406,"&lt;="&amp;AN$6,$P$7:$P$406,"&gt;="&amp;AN$6,$R$7:$R$406,"No"))</ns0:f>
        <ns0:v>0</ns0:v>
      </ns0:c>
      <ns0:c r="AO102" t="n">
        <ns0:f>IF($A102="",0,COUNTIFS($J$7:$J$406,$A102,$O$7:$O$406,"&lt;="&amp;AO$6,$P$7:$P$406,"&gt;="&amp;AO$6,$R$7:$R$406,"No"))</ns0:f>
        <ns0:v>0</ns0:v>
      </ns0:c>
      <ns0:c r="AP102" t="n">
        <ns0:f>IF($A102="",0,COUNTIFS($J$7:$J$406,$A102,$O$7:$O$406,"&lt;="&amp;AP$6,$P$7:$P$406,"&gt;="&amp;AP$6,$R$7:$R$406,"No"))</ns0:f>
        <ns0:v>0</ns0:v>
      </ns0:c>
      <ns0:c r="AQ102" t="n">
        <ns0:f>IF($A102="",0,COUNTIFS($J$7:$J$406,$A102,$O$7:$O$406,"&lt;="&amp;AQ$6,$P$7:$P$406,"&gt;="&amp;AQ$6,$R$7:$R$406,"No"))</ns0:f>
        <ns0:v>0</ns0:v>
      </ns0:c>
      <ns0:c r="AR102" t="n">
        <ns0:f>IF($A102="",0,COUNTIFS($J$7:$J$406,$A102,$O$7:$O$406,"&lt;="&amp;AR$6,$P$7:$P$406,"&gt;="&amp;AR$6,$R$7:$R$406,"No"))</ns0:f>
        <ns0:v>0</ns0:v>
      </ns0:c>
      <ns0:c r="AS102" t="n">
        <ns0:f>IF($A102="",0,COUNTIFS($J$7:$J$406,$A102,$O$7:$O$406,"&lt;="&amp;AS$6,$P$7:$P$406,"&gt;="&amp;AS$6,$R$7:$R$406,"No"))</ns0:f>
        <ns0:v>0</ns0:v>
      </ns0:c>
      <ns0:c r="AT102" t="n">
        <ns0:f>IF($A102="",0,COUNTIFS($J$7:$J$406,$A102,$O$7:$O$406,"&lt;="&amp;AT$6,$P$7:$P$406,"&gt;="&amp;AT$6,$R$7:$R$406,"No"))</ns0:f>
        <ns0:v>0</ns0:v>
      </ns0:c>
      <ns0:c r="AU102" t="n">
        <ns0:f>IF($A102="",0,COUNTIFS($J$7:$J$406,$A102,$O$7:$O$406,"&lt;="&amp;AU$6,$P$7:$P$406,"&gt;="&amp;AU$6,$R$7:$R$406,"No"))</ns0:f>
        <ns0:v>0</ns0:v>
      </ns0:c>
      <ns0:c r="AV102" t="n">
        <ns0:f>IF($A102="",0,COUNTIFS($J$7:$J$406,$A102,$O$7:$O$406,"&lt;="&amp;AV$6,$P$7:$P$406,"&gt;="&amp;AV$6,$R$7:$R$406,"No"))</ns0:f>
        <ns0:v>0</ns0:v>
      </ns0:c>
      <ns0:c r="AW102" t="n">
        <ns0:f>IF($A102="",0,COUNTIFS($J$7:$J$406,$A102,$O$7:$O$406,"&lt;="&amp;AW$6,$P$7:$P$406,"&gt;="&amp;AW$6,$R$7:$R$406,"No"))</ns0:f>
        <ns0:v>0</ns0:v>
      </ns0:c>
      <ns0:c r="AX102" t="n">
        <ns0:f>IF($A102="",0,COUNTIFS($J$7:$J$406,$A102,$O$7:$O$406,"&lt;="&amp;AX$6,$P$7:$P$406,"&gt;="&amp;AX$6,$R$7:$R$406,"No"))</ns0:f>
        <ns0:v>0</ns0:v>
      </ns0:c>
      <ns0:c r="AY102" t="n">
        <ns0:f>IF($A102="",0,COUNTIFS($J$7:$J$406,$A102,$O$7:$O$406,"&lt;="&amp;AY$6,$P$7:$P$406,"&gt;="&amp;AY$6,$R$7:$R$406,"No"))</ns0:f>
        <ns0:v>0</ns0:v>
      </ns0:c>
      <ns0:c r="AZ102" t="n">
        <ns0:f>IF($A102="",0,COUNTIFS($J$7:$J$406,$A102,$O$7:$O$406,"&lt;="&amp;AZ$6,$P$7:$P$406,"&gt;="&amp;AZ$6,$R$7:$R$406,"No"))</ns0:f>
        <ns0:v>0</ns0:v>
      </ns0:c>
      <ns0:c r="BA102" t="n">
        <ns0:f>IF($A102="",0,COUNTIFS($J$7:$J$406,$A102,$O$7:$O$406,"&lt;="&amp;BA$6,$P$7:$P$406,"&gt;="&amp;BA$6,$R$7:$R$406,"No"))</ns0:f>
        <ns0:v>0</ns0:v>
      </ns0:c>
      <ns0:c r="BB102" t="n">
        <ns0:f>IF($A102="",0,COUNTIFS($J$7:$J$406,$A102,$O$7:$O$406,"&lt;="&amp;BB$6,$P$7:$P$406,"&gt;="&amp;BB$6,$R$7:$R$406,"No"))</ns0:f>
        <ns0:v>0</ns0:v>
      </ns0:c>
      <ns0:c r="BC102" t="n">
        <ns0:f>IF($A102="",0,COUNTIFS($J$7:$J$406,$A102,$O$7:$O$406,"&lt;="&amp;BC$6,$P$7:$P$406,"&gt;="&amp;BC$6,$R$7:$R$406,"No"))</ns0:f>
        <ns0:v>0</ns0:v>
      </ns0:c>
    </ns0:row>
    <ns0:row r="103" ht="48" customHeight="1">
      <ns0:c r="A103" s="8" t="str">
        <ns0:f>IF(ROW()-6&gt;MAX($K$7:$K$406),"",INDEX($J$7:$J$406,MATCH(ROW()-6,$K$7:$K$406,0)))</ns0:f>
      </ns0:c>
      <ns0:c r="B103" s="8" t="str">
        <ns0:f>IF(A103="","",COUNTIFS($J$7:$J$406,$A103))</ns0:f>
      </ns0:c>
      <ns0:c r="C103" s="8" t="str">
        <ns0:f>IF(A103="","",COUNTIFS($J$7:$J$406,$A103,$N$7:$N$406,1))</ns0:f>
      </ns0:c>
      <ns0:c r="D103" s="8" t="str">
        <ns0:f>IF(A103="","",COUNTIFS($J$7:$J$406,$A103,$Q$7:$Q$406,"In Progress"))</ns0:f>
      </ns0:c>
      <ns0:c r="E103" s="8" t="str">
        <ns0:f>IF(A103="","",B103-C103)</ns0:f>
      </ns0:c>
      <ns0:c r="F103" s="19" t="str">
        <ns0:f>IF(A103="","",SUMIFS($N$7:$N$406,$J$7:$J$406,$A103)/B103)</ns0:f>
      </ns0:c>
      <ns0:c r="G103" s="8" t="str">
        <ns0:f>IF(A103="","",COUNTIFS(V103:BC103,"&gt;1"))</ns0:f>
      </ns0:c>
      <ns0:c r="H103" s="8" t="str">
        <ns0:f>IF(A103="","",IF(COUNTIFS($T$7:$T$33,A103)&gt;0,INDEX($U$7:$U$33,MATCH(A103,$T$7:$T$33,0)),"No capacity or responsibility detail supplied."))</ns0:f>
      </ns0:c>
      <ns0:c r="J103" t="str">
        <ns0:f>IF('Project Tracker'!A31="","",TRIM(MID(SUBSTITUTE('Project Tracker'!K31,";",REPT(" ",150)),1,150)))</ns0:f>
        <ns0:v>Unassigned</ns0:v>
      </ns0:c>
      <ns0:c r="K103" t="str">
        <ns0:f>IF(J103="","",IF(COUNTIFS($J$7:J103,J103)=1,MAX($K$6:K102)+1,""))</ns0:f>
      </ns0:c>
      <ns0:c r="L103" t="n">
        <ns0:f>IF(A103="",0,B103+(107-ROW())/1000)</ns0:f>
        <ns0:v>0</ns0:v>
      </ns0:c>
      <ns0:c r="M103" t="str">
        <ns0:f>IF(J103="","",'Project Tracker'!A31)</ns0:f>
        <ns0:v>M4</ns0:v>
      </ns0:c>
      <ns0:c r="N103" t="n">
        <ns0:f>IF(J103="","",'Project Tracker'!N31)</ns0:f>
        <ns0:v>0</ns0:v>
      </ns0:c>
      <ns0:c r="O103" t="n">
        <ns0:f>IF(J103="","",'Project Tracker'!E31)</ns0:f>
        <ns0:v>46297</ns0:v>
      </ns0:c>
      <ns0:c r="P103" t="n">
        <ns0:f>IF(J103="","",'Project Tracker'!F31)</ns0:f>
        <ns0:v>46297</ns0:v>
      </ns0:c>
      <ns0:c r="Q103" t="str">
        <ns0:f>IF(J103="","",'Project Tracker'!Q31)</ns0:f>
        <ns0:v>Not Started</ns0:v>
      </ns0:c>
      <ns0:c r="R103" t="str">
        <ns0:f>IF(J103="","",'Project Tracker'!J31)</ns0:f>
        <ns0:v>Yes</ns0:v>
      </ns0:c>
      <ns0:c r="V103" t="n">
        <ns0:f>IF($A103="",0,COUNTIFS($J$7:$J$406,$A103,$O$7:$O$406,"&lt;="&amp;V$6,$P$7:$P$406,"&gt;="&amp;V$6,$R$7:$R$406,"No"))</ns0:f>
        <ns0:v>0</ns0:v>
      </ns0:c>
      <ns0:c r="W103" t="n">
        <ns0:f>IF($A103="",0,COUNTIFS($J$7:$J$406,$A103,$O$7:$O$406,"&lt;="&amp;W$6,$P$7:$P$406,"&gt;="&amp;W$6,$R$7:$R$406,"No"))</ns0:f>
        <ns0:v>0</ns0:v>
      </ns0:c>
      <ns0:c r="X103" t="n">
        <ns0:f>IF($A103="",0,COUNTIFS($J$7:$J$406,$A103,$O$7:$O$406,"&lt;="&amp;X$6,$P$7:$P$406,"&gt;="&amp;X$6,$R$7:$R$406,"No"))</ns0:f>
        <ns0:v>0</ns0:v>
      </ns0:c>
      <ns0:c r="Y103" t="n">
        <ns0:f>IF($A103="",0,COUNTIFS($J$7:$J$406,$A103,$O$7:$O$406,"&lt;="&amp;Y$6,$P$7:$P$406,"&gt;="&amp;Y$6,$R$7:$R$406,"No"))</ns0:f>
        <ns0:v>0</ns0:v>
      </ns0:c>
      <ns0:c r="Z103" t="n">
        <ns0:f>IF($A103="",0,COUNTIFS($J$7:$J$406,$A103,$O$7:$O$406,"&lt;="&amp;Z$6,$P$7:$P$406,"&gt;="&amp;Z$6,$R$7:$R$406,"No"))</ns0:f>
        <ns0:v>0</ns0:v>
      </ns0:c>
      <ns0:c r="AA103" t="n">
        <ns0:f>IF($A103="",0,COUNTIFS($J$7:$J$406,$A103,$O$7:$O$406,"&lt;="&amp;AA$6,$P$7:$P$406,"&gt;="&amp;AA$6,$R$7:$R$406,"No"))</ns0:f>
        <ns0:v>0</ns0:v>
      </ns0:c>
      <ns0:c r="AB103" t="n">
        <ns0:f>IF($A103="",0,COUNTIFS($J$7:$J$406,$A103,$O$7:$O$406,"&lt;="&amp;AB$6,$P$7:$P$406,"&gt;="&amp;AB$6,$R$7:$R$406,"No"))</ns0:f>
        <ns0:v>0</ns0:v>
      </ns0:c>
      <ns0:c r="AC103" t="n">
        <ns0:f>IF($A103="",0,COUNTIFS($J$7:$J$406,$A103,$O$7:$O$406,"&lt;="&amp;AC$6,$P$7:$P$406,"&gt;="&amp;AC$6,$R$7:$R$406,"No"))</ns0:f>
        <ns0:v>0</ns0:v>
      </ns0:c>
      <ns0:c r="AD103" t="n">
        <ns0:f>IF($A103="",0,COUNTIFS($J$7:$J$406,$A103,$O$7:$O$406,"&lt;="&amp;AD$6,$P$7:$P$406,"&gt;="&amp;AD$6,$R$7:$R$406,"No"))</ns0:f>
        <ns0:v>0</ns0:v>
      </ns0:c>
      <ns0:c r="AE103" t="n">
        <ns0:f>IF($A103="",0,COUNTIFS($J$7:$J$406,$A103,$O$7:$O$406,"&lt;="&amp;AE$6,$P$7:$P$406,"&gt;="&amp;AE$6,$R$7:$R$406,"No"))</ns0:f>
        <ns0:v>0</ns0:v>
      </ns0:c>
      <ns0:c r="AF103" t="n">
        <ns0:f>IF($A103="",0,COUNTIFS($J$7:$J$406,$A103,$O$7:$O$406,"&lt;="&amp;AF$6,$P$7:$P$406,"&gt;="&amp;AF$6,$R$7:$R$406,"No"))</ns0:f>
        <ns0:v>0</ns0:v>
      </ns0:c>
      <ns0:c r="AG103" t="n">
        <ns0:f>IF($A103="",0,COUNTIFS($J$7:$J$406,$A103,$O$7:$O$406,"&lt;="&amp;AG$6,$P$7:$P$406,"&gt;="&amp;AG$6,$R$7:$R$406,"No"))</ns0:f>
        <ns0:v>0</ns0:v>
      </ns0:c>
      <ns0:c r="AH103" t="n">
        <ns0:f>IF($A103="",0,COUNTIFS($J$7:$J$406,$A103,$O$7:$O$406,"&lt;="&amp;AH$6,$P$7:$P$406,"&gt;="&amp;AH$6,$R$7:$R$406,"No"))</ns0:f>
        <ns0:v>0</ns0:v>
      </ns0:c>
      <ns0:c r="AI103" t="n">
        <ns0:f>IF($A103="",0,COUNTIFS($J$7:$J$406,$A103,$O$7:$O$406,"&lt;="&amp;AI$6,$P$7:$P$406,"&gt;="&amp;AI$6,$R$7:$R$406,"No"))</ns0:f>
        <ns0:v>0</ns0:v>
      </ns0:c>
      <ns0:c r="AJ103" t="n">
        <ns0:f>IF($A103="",0,COUNTIFS($J$7:$J$406,$A103,$O$7:$O$406,"&lt;="&amp;AJ$6,$P$7:$P$406,"&gt;="&amp;AJ$6,$R$7:$R$406,"No"))</ns0:f>
        <ns0:v>0</ns0:v>
      </ns0:c>
      <ns0:c r="AK103" t="n">
        <ns0:f>IF($A103="",0,COUNTIFS($J$7:$J$406,$A103,$O$7:$O$406,"&lt;="&amp;AK$6,$P$7:$P$406,"&gt;="&amp;AK$6,$R$7:$R$406,"No"))</ns0:f>
        <ns0:v>0</ns0:v>
      </ns0:c>
      <ns0:c r="AL103" t="n">
        <ns0:f>IF($A103="",0,COUNTIFS($J$7:$J$406,$A103,$O$7:$O$406,"&lt;="&amp;AL$6,$P$7:$P$406,"&gt;="&amp;AL$6,$R$7:$R$406,"No"))</ns0:f>
        <ns0:v>0</ns0:v>
      </ns0:c>
      <ns0:c r="AM103" t="n">
        <ns0:f>IF($A103="",0,COUNTIFS($J$7:$J$406,$A103,$O$7:$O$406,"&lt;="&amp;AM$6,$P$7:$P$406,"&gt;="&amp;AM$6,$R$7:$R$406,"No"))</ns0:f>
        <ns0:v>0</ns0:v>
      </ns0:c>
      <ns0:c r="AN103" t="n">
        <ns0:f>IF($A103="",0,COUNTIFS($J$7:$J$406,$A103,$O$7:$O$406,"&lt;="&amp;AN$6,$P$7:$P$406,"&gt;="&amp;AN$6,$R$7:$R$406,"No"))</ns0:f>
        <ns0:v>0</ns0:v>
      </ns0:c>
      <ns0:c r="AO103" t="n">
        <ns0:f>IF($A103="",0,COUNTIFS($J$7:$J$406,$A103,$O$7:$O$406,"&lt;="&amp;AO$6,$P$7:$P$406,"&gt;="&amp;AO$6,$R$7:$R$406,"No"))</ns0:f>
        <ns0:v>0</ns0:v>
      </ns0:c>
      <ns0:c r="AP103" t="n">
        <ns0:f>IF($A103="",0,COUNTIFS($J$7:$J$406,$A103,$O$7:$O$406,"&lt;="&amp;AP$6,$P$7:$P$406,"&gt;="&amp;AP$6,$R$7:$R$406,"No"))</ns0:f>
        <ns0:v>0</ns0:v>
      </ns0:c>
      <ns0:c r="AQ103" t="n">
        <ns0:f>IF($A103="",0,COUNTIFS($J$7:$J$406,$A103,$O$7:$O$406,"&lt;="&amp;AQ$6,$P$7:$P$406,"&gt;="&amp;AQ$6,$R$7:$R$406,"No"))</ns0:f>
        <ns0:v>0</ns0:v>
      </ns0:c>
      <ns0:c r="AR103" t="n">
        <ns0:f>IF($A103="",0,COUNTIFS($J$7:$J$406,$A103,$O$7:$O$406,"&lt;="&amp;AR$6,$P$7:$P$406,"&gt;="&amp;AR$6,$R$7:$R$406,"No"))</ns0:f>
        <ns0:v>0</ns0:v>
      </ns0:c>
      <ns0:c r="AS103" t="n">
        <ns0:f>IF($A103="",0,COUNTIFS($J$7:$J$406,$A103,$O$7:$O$406,"&lt;="&amp;AS$6,$P$7:$P$406,"&gt;="&amp;AS$6,$R$7:$R$406,"No"))</ns0:f>
        <ns0:v>0</ns0:v>
      </ns0:c>
      <ns0:c r="AT103" t="n">
        <ns0:f>IF($A103="",0,COUNTIFS($J$7:$J$406,$A103,$O$7:$O$406,"&lt;="&amp;AT$6,$P$7:$P$406,"&gt;="&amp;AT$6,$R$7:$R$406,"No"))</ns0:f>
        <ns0:v>0</ns0:v>
      </ns0:c>
      <ns0:c r="AU103" t="n">
        <ns0:f>IF($A103="",0,COUNTIFS($J$7:$J$406,$A103,$O$7:$O$406,"&lt;="&amp;AU$6,$P$7:$P$406,"&gt;="&amp;AU$6,$R$7:$R$406,"No"))</ns0:f>
        <ns0:v>0</ns0:v>
      </ns0:c>
      <ns0:c r="AV103" t="n">
        <ns0:f>IF($A103="",0,COUNTIFS($J$7:$J$406,$A103,$O$7:$O$406,"&lt;="&amp;AV$6,$P$7:$P$406,"&gt;="&amp;AV$6,$R$7:$R$406,"No"))</ns0:f>
        <ns0:v>0</ns0:v>
      </ns0:c>
      <ns0:c r="AW103" t="n">
        <ns0:f>IF($A103="",0,COUNTIFS($J$7:$J$406,$A103,$O$7:$O$406,"&lt;="&amp;AW$6,$P$7:$P$406,"&gt;="&amp;AW$6,$R$7:$R$406,"No"))</ns0:f>
        <ns0:v>0</ns0:v>
      </ns0:c>
      <ns0:c r="AX103" t="n">
        <ns0:f>IF($A103="",0,COUNTIFS($J$7:$J$406,$A103,$O$7:$O$406,"&lt;="&amp;AX$6,$P$7:$P$406,"&gt;="&amp;AX$6,$R$7:$R$406,"No"))</ns0:f>
        <ns0:v>0</ns0:v>
      </ns0:c>
      <ns0:c r="AY103" t="n">
        <ns0:f>IF($A103="",0,COUNTIFS($J$7:$J$406,$A103,$O$7:$O$406,"&lt;="&amp;AY$6,$P$7:$P$406,"&gt;="&amp;AY$6,$R$7:$R$406,"No"))</ns0:f>
        <ns0:v>0</ns0:v>
      </ns0:c>
      <ns0:c r="AZ103" t="n">
        <ns0:f>IF($A103="",0,COUNTIFS($J$7:$J$406,$A103,$O$7:$O$406,"&lt;="&amp;AZ$6,$P$7:$P$406,"&gt;="&amp;AZ$6,$R$7:$R$406,"No"))</ns0:f>
        <ns0:v>0</ns0:v>
      </ns0:c>
      <ns0:c r="BA103" t="n">
        <ns0:f>IF($A103="",0,COUNTIFS($J$7:$J$406,$A103,$O$7:$O$406,"&lt;="&amp;BA$6,$P$7:$P$406,"&gt;="&amp;BA$6,$R$7:$R$406,"No"))</ns0:f>
        <ns0:v>0</ns0:v>
      </ns0:c>
      <ns0:c r="BB103" t="n">
        <ns0:f>IF($A103="",0,COUNTIFS($J$7:$J$406,$A103,$O$7:$O$406,"&lt;="&amp;BB$6,$P$7:$P$406,"&gt;="&amp;BB$6,$R$7:$R$406,"No"))</ns0:f>
        <ns0:v>0</ns0:v>
      </ns0:c>
      <ns0:c r="BC103" t="n">
        <ns0:f>IF($A103="",0,COUNTIFS($J$7:$J$406,$A103,$O$7:$O$406,"&lt;="&amp;BC$6,$P$7:$P$406,"&gt;="&amp;BC$6,$R$7:$R$406,"No"))</ns0:f>
        <ns0:v>0</ns0:v>
      </ns0:c>
    </ns0:row>
    <ns0:row r="104" ht="48" customHeight="1">
      <ns0:c r="A104" s="8" t="str">
        <ns0:f>IF(ROW()-6&gt;MAX($K$7:$K$406),"",INDEX($J$7:$J$406,MATCH(ROW()-6,$K$7:$K$406,0)))</ns0:f>
      </ns0:c>
      <ns0:c r="B104" s="8" t="str">
        <ns0:f>IF(A104="","",COUNTIFS($J$7:$J$406,$A104))</ns0:f>
      </ns0:c>
      <ns0:c r="C104" s="8" t="str">
        <ns0:f>IF(A104="","",COUNTIFS($J$7:$J$406,$A104,$N$7:$N$406,1))</ns0:f>
      </ns0:c>
      <ns0:c r="D104" s="8" t="str">
        <ns0:f>IF(A104="","",COUNTIFS($J$7:$J$406,$A104,$Q$7:$Q$406,"In Progress"))</ns0:f>
      </ns0:c>
      <ns0:c r="E104" s="8" t="str">
        <ns0:f>IF(A104="","",B104-C104)</ns0:f>
      </ns0:c>
      <ns0:c r="F104" s="19" t="str">
        <ns0:f>IF(A104="","",SUMIFS($N$7:$N$406,$J$7:$J$406,$A104)/B104)</ns0:f>
      </ns0:c>
      <ns0:c r="G104" s="8" t="str">
        <ns0:f>IF(A104="","",COUNTIFS(V104:BC104,"&gt;1"))</ns0:f>
      </ns0:c>
      <ns0:c r="H104" s="8" t="str">
        <ns0:f>IF(A104="","",IF(COUNTIFS($T$7:$T$33,A104)&gt;0,INDEX($U$7:$U$33,MATCH(A104,$T$7:$T$33,0)),"No capacity or responsibility detail supplied."))</ns0:f>
      </ns0:c>
      <ns0:c r="J104" t="str">
        <ns0:f>IF('Project Tracker'!A31="","",TRIM(MID(SUBSTITUTE('Project Tracker'!K31,";",REPT(" ",150)),151,150)))</ns0:f>
      </ns0:c>
      <ns0:c r="K104" t="str">
        <ns0:f>IF(J104="","",IF(COUNTIFS($J$7:J104,J104)=1,MAX($K$6:K103)+1,""))</ns0:f>
      </ns0:c>
      <ns0:c r="L104" t="n">
        <ns0:f>IF(A104="",0,B104+(107-ROW())/1000)</ns0:f>
        <ns0:v>0</ns0:v>
      </ns0:c>
      <ns0:c r="M104" t="str">
        <ns0:f>IF(J104="","",'Project Tracker'!A31)</ns0:f>
      </ns0:c>
      <ns0:c r="N104" t="str">
        <ns0:f>IF(J104="","",'Project Tracker'!N31)</ns0:f>
      </ns0:c>
      <ns0:c r="O104" t="str">
        <ns0:f>IF(J104="","",'Project Tracker'!E31)</ns0:f>
      </ns0:c>
      <ns0:c r="P104" t="str">
        <ns0:f>IF(J104="","",'Project Tracker'!F31)</ns0:f>
      </ns0:c>
      <ns0:c r="Q104" t="str">
        <ns0:f>IF(J104="","",'Project Tracker'!Q31)</ns0:f>
      </ns0:c>
      <ns0:c r="R104" t="str">
        <ns0:f>IF(J104="","",'Project Tracker'!J31)</ns0:f>
      </ns0:c>
      <ns0:c r="V104" t="n">
        <ns0:f>IF($A104="",0,COUNTIFS($J$7:$J$406,$A104,$O$7:$O$406,"&lt;="&amp;V$6,$P$7:$P$406,"&gt;="&amp;V$6,$R$7:$R$406,"No"))</ns0:f>
        <ns0:v>0</ns0:v>
      </ns0:c>
      <ns0:c r="W104" t="n">
        <ns0:f>IF($A104="",0,COUNTIFS($J$7:$J$406,$A104,$O$7:$O$406,"&lt;="&amp;W$6,$P$7:$P$406,"&gt;="&amp;W$6,$R$7:$R$406,"No"))</ns0:f>
        <ns0:v>0</ns0:v>
      </ns0:c>
      <ns0:c r="X104" t="n">
        <ns0:f>IF($A104="",0,COUNTIFS($J$7:$J$406,$A104,$O$7:$O$406,"&lt;="&amp;X$6,$P$7:$P$406,"&gt;="&amp;X$6,$R$7:$R$406,"No"))</ns0:f>
        <ns0:v>0</ns0:v>
      </ns0:c>
      <ns0:c r="Y104" t="n">
        <ns0:f>IF($A104="",0,COUNTIFS($J$7:$J$406,$A104,$O$7:$O$406,"&lt;="&amp;Y$6,$P$7:$P$406,"&gt;="&amp;Y$6,$R$7:$R$406,"No"))</ns0:f>
        <ns0:v>0</ns0:v>
      </ns0:c>
      <ns0:c r="Z104" t="n">
        <ns0:f>IF($A104="",0,COUNTIFS($J$7:$J$406,$A104,$O$7:$O$406,"&lt;="&amp;Z$6,$P$7:$P$406,"&gt;="&amp;Z$6,$R$7:$R$406,"No"))</ns0:f>
        <ns0:v>0</ns0:v>
      </ns0:c>
      <ns0:c r="AA104" t="n">
        <ns0:f>IF($A104="",0,COUNTIFS($J$7:$J$406,$A104,$O$7:$O$406,"&lt;="&amp;AA$6,$P$7:$P$406,"&gt;="&amp;AA$6,$R$7:$R$406,"No"))</ns0:f>
        <ns0:v>0</ns0:v>
      </ns0:c>
      <ns0:c r="AB104" t="n">
        <ns0:f>IF($A104="",0,COUNTIFS($J$7:$J$406,$A104,$O$7:$O$406,"&lt;="&amp;AB$6,$P$7:$P$406,"&gt;="&amp;AB$6,$R$7:$R$406,"No"))</ns0:f>
        <ns0:v>0</ns0:v>
      </ns0:c>
      <ns0:c r="AC104" t="n">
        <ns0:f>IF($A104="",0,COUNTIFS($J$7:$J$406,$A104,$O$7:$O$406,"&lt;="&amp;AC$6,$P$7:$P$406,"&gt;="&amp;AC$6,$R$7:$R$406,"No"))</ns0:f>
        <ns0:v>0</ns0:v>
      </ns0:c>
      <ns0:c r="AD104" t="n">
        <ns0:f>IF($A104="",0,COUNTIFS($J$7:$J$406,$A104,$O$7:$O$406,"&lt;="&amp;AD$6,$P$7:$P$406,"&gt;="&amp;AD$6,$R$7:$R$406,"No"))</ns0:f>
        <ns0:v>0</ns0:v>
      </ns0:c>
      <ns0:c r="AE104" t="n">
        <ns0:f>IF($A104="",0,COUNTIFS($J$7:$J$406,$A104,$O$7:$O$406,"&lt;="&amp;AE$6,$P$7:$P$406,"&gt;="&amp;AE$6,$R$7:$R$406,"No"))</ns0:f>
        <ns0:v>0</ns0:v>
      </ns0:c>
      <ns0:c r="AF104" t="n">
        <ns0:f>IF($A104="",0,COUNTIFS($J$7:$J$406,$A104,$O$7:$O$406,"&lt;="&amp;AF$6,$P$7:$P$406,"&gt;="&amp;AF$6,$R$7:$R$406,"No"))</ns0:f>
        <ns0:v>0</ns0:v>
      </ns0:c>
      <ns0:c r="AG104" t="n">
        <ns0:f>IF($A104="",0,COUNTIFS($J$7:$J$406,$A104,$O$7:$O$406,"&lt;="&amp;AG$6,$P$7:$P$406,"&gt;="&amp;AG$6,$R$7:$R$406,"No"))</ns0:f>
        <ns0:v>0</ns0:v>
      </ns0:c>
      <ns0:c r="AH104" t="n">
        <ns0:f>IF($A104="",0,COUNTIFS($J$7:$J$406,$A104,$O$7:$O$406,"&lt;="&amp;AH$6,$P$7:$P$406,"&gt;="&amp;AH$6,$R$7:$R$406,"No"))</ns0:f>
        <ns0:v>0</ns0:v>
      </ns0:c>
      <ns0:c r="AI104" t="n">
        <ns0:f>IF($A104="",0,COUNTIFS($J$7:$J$406,$A104,$O$7:$O$406,"&lt;="&amp;AI$6,$P$7:$P$406,"&gt;="&amp;AI$6,$R$7:$R$406,"No"))</ns0:f>
        <ns0:v>0</ns0:v>
      </ns0:c>
      <ns0:c r="AJ104" t="n">
        <ns0:f>IF($A104="",0,COUNTIFS($J$7:$J$406,$A104,$O$7:$O$406,"&lt;="&amp;AJ$6,$P$7:$P$406,"&gt;="&amp;AJ$6,$R$7:$R$406,"No"))</ns0:f>
        <ns0:v>0</ns0:v>
      </ns0:c>
      <ns0:c r="AK104" t="n">
        <ns0:f>IF($A104="",0,COUNTIFS($J$7:$J$406,$A104,$O$7:$O$406,"&lt;="&amp;AK$6,$P$7:$P$406,"&gt;="&amp;AK$6,$R$7:$R$406,"No"))</ns0:f>
        <ns0:v>0</ns0:v>
      </ns0:c>
      <ns0:c r="AL104" t="n">
        <ns0:f>IF($A104="",0,COUNTIFS($J$7:$J$406,$A104,$O$7:$O$406,"&lt;="&amp;AL$6,$P$7:$P$406,"&gt;="&amp;AL$6,$R$7:$R$406,"No"))</ns0:f>
        <ns0:v>0</ns0:v>
      </ns0:c>
      <ns0:c r="AM104" t="n">
        <ns0:f>IF($A104="",0,COUNTIFS($J$7:$J$406,$A104,$O$7:$O$406,"&lt;="&amp;AM$6,$P$7:$P$406,"&gt;="&amp;AM$6,$R$7:$R$406,"No"))</ns0:f>
        <ns0:v>0</ns0:v>
      </ns0:c>
      <ns0:c r="AN104" t="n">
        <ns0:f>IF($A104="",0,COUNTIFS($J$7:$J$406,$A104,$O$7:$O$406,"&lt;="&amp;AN$6,$P$7:$P$406,"&gt;="&amp;AN$6,$R$7:$R$406,"No"))</ns0:f>
        <ns0:v>0</ns0:v>
      </ns0:c>
      <ns0:c r="AO104" t="n">
        <ns0:f>IF($A104="",0,COUNTIFS($J$7:$J$406,$A104,$O$7:$O$406,"&lt;="&amp;AO$6,$P$7:$P$406,"&gt;="&amp;AO$6,$R$7:$R$406,"No"))</ns0:f>
        <ns0:v>0</ns0:v>
      </ns0:c>
      <ns0:c r="AP104" t="n">
        <ns0:f>IF($A104="",0,COUNTIFS($J$7:$J$406,$A104,$O$7:$O$406,"&lt;="&amp;AP$6,$P$7:$P$406,"&gt;="&amp;AP$6,$R$7:$R$406,"No"))</ns0:f>
        <ns0:v>0</ns0:v>
      </ns0:c>
      <ns0:c r="AQ104" t="n">
        <ns0:f>IF($A104="",0,COUNTIFS($J$7:$J$406,$A104,$O$7:$O$406,"&lt;="&amp;AQ$6,$P$7:$P$406,"&gt;="&amp;AQ$6,$R$7:$R$406,"No"))</ns0:f>
        <ns0:v>0</ns0:v>
      </ns0:c>
      <ns0:c r="AR104" t="n">
        <ns0:f>IF($A104="",0,COUNTIFS($J$7:$J$406,$A104,$O$7:$O$406,"&lt;="&amp;AR$6,$P$7:$P$406,"&gt;="&amp;AR$6,$R$7:$R$406,"No"))</ns0:f>
        <ns0:v>0</ns0:v>
      </ns0:c>
      <ns0:c r="AS104" t="n">
        <ns0:f>IF($A104="",0,COUNTIFS($J$7:$J$406,$A104,$O$7:$O$406,"&lt;="&amp;AS$6,$P$7:$P$406,"&gt;="&amp;AS$6,$R$7:$R$406,"No"))</ns0:f>
        <ns0:v>0</ns0:v>
      </ns0:c>
      <ns0:c r="AT104" t="n">
        <ns0:f>IF($A104="",0,COUNTIFS($J$7:$J$406,$A104,$O$7:$O$406,"&lt;="&amp;AT$6,$P$7:$P$406,"&gt;="&amp;AT$6,$R$7:$R$406,"No"))</ns0:f>
        <ns0:v>0</ns0:v>
      </ns0:c>
      <ns0:c r="AU104" t="n">
        <ns0:f>IF($A104="",0,COUNTIFS($J$7:$J$406,$A104,$O$7:$O$406,"&lt;="&amp;AU$6,$P$7:$P$406,"&gt;="&amp;AU$6,$R$7:$R$406,"No"))</ns0:f>
        <ns0:v>0</ns0:v>
      </ns0:c>
      <ns0:c r="AV104" t="n">
        <ns0:f>IF($A104="",0,COUNTIFS($J$7:$J$406,$A104,$O$7:$O$406,"&lt;="&amp;AV$6,$P$7:$P$406,"&gt;="&amp;AV$6,$R$7:$R$406,"No"))</ns0:f>
        <ns0:v>0</ns0:v>
      </ns0:c>
      <ns0:c r="AW104" t="n">
        <ns0:f>IF($A104="",0,COUNTIFS($J$7:$J$406,$A104,$O$7:$O$406,"&lt;="&amp;AW$6,$P$7:$P$406,"&gt;="&amp;AW$6,$R$7:$R$406,"No"))</ns0:f>
        <ns0:v>0</ns0:v>
      </ns0:c>
      <ns0:c r="AX104" t="n">
        <ns0:f>IF($A104="",0,COUNTIFS($J$7:$J$406,$A104,$O$7:$O$406,"&lt;="&amp;AX$6,$P$7:$P$406,"&gt;="&amp;AX$6,$R$7:$R$406,"No"))</ns0:f>
        <ns0:v>0</ns0:v>
      </ns0:c>
      <ns0:c r="AY104" t="n">
        <ns0:f>IF($A104="",0,COUNTIFS($J$7:$J$406,$A104,$O$7:$O$406,"&lt;="&amp;AY$6,$P$7:$P$406,"&gt;="&amp;AY$6,$R$7:$R$406,"No"))</ns0:f>
        <ns0:v>0</ns0:v>
      </ns0:c>
      <ns0:c r="AZ104" t="n">
        <ns0:f>IF($A104="",0,COUNTIFS($J$7:$J$406,$A104,$O$7:$O$406,"&lt;="&amp;AZ$6,$P$7:$P$406,"&gt;="&amp;AZ$6,$R$7:$R$406,"No"))</ns0:f>
        <ns0:v>0</ns0:v>
      </ns0:c>
      <ns0:c r="BA104" t="n">
        <ns0:f>IF($A104="",0,COUNTIFS($J$7:$J$406,$A104,$O$7:$O$406,"&lt;="&amp;BA$6,$P$7:$P$406,"&gt;="&amp;BA$6,$R$7:$R$406,"No"))</ns0:f>
        <ns0:v>0</ns0:v>
      </ns0:c>
      <ns0:c r="BB104" t="n">
        <ns0:f>IF($A104="",0,COUNTIFS($J$7:$J$406,$A104,$O$7:$O$406,"&lt;="&amp;BB$6,$P$7:$P$406,"&gt;="&amp;BB$6,$R$7:$R$406,"No"))</ns0:f>
        <ns0:v>0</ns0:v>
      </ns0:c>
      <ns0:c r="BC104" t="n">
        <ns0:f>IF($A104="",0,COUNTIFS($J$7:$J$406,$A104,$O$7:$O$406,"&lt;="&amp;BC$6,$P$7:$P$406,"&gt;="&amp;BC$6,$R$7:$R$406,"No"))</ns0:f>
        <ns0:v>0</ns0:v>
      </ns0:c>
    </ns0:row>
    <ns0:row r="105" ht="48" customHeight="1">
      <ns0:c r="A105" s="8" t="str">
        <ns0:f>IF(ROW()-6&gt;MAX($K$7:$K$406),"",INDEX($J$7:$J$406,MATCH(ROW()-6,$K$7:$K$406,0)))</ns0:f>
      </ns0:c>
      <ns0:c r="B105" s="8" t="str">
        <ns0:f>IF(A105="","",COUNTIFS($J$7:$J$406,$A105))</ns0:f>
      </ns0:c>
      <ns0:c r="C105" s="8" t="str">
        <ns0:f>IF(A105="","",COUNTIFS($J$7:$J$406,$A105,$N$7:$N$406,1))</ns0:f>
      </ns0:c>
      <ns0:c r="D105" s="8" t="str">
        <ns0:f>IF(A105="","",COUNTIFS($J$7:$J$406,$A105,$Q$7:$Q$406,"In Progress"))</ns0:f>
      </ns0:c>
      <ns0:c r="E105" s="8" t="str">
        <ns0:f>IF(A105="","",B105-C105)</ns0:f>
      </ns0:c>
      <ns0:c r="F105" s="19" t="str">
        <ns0:f>IF(A105="","",SUMIFS($N$7:$N$406,$J$7:$J$406,$A105)/B105)</ns0:f>
      </ns0:c>
      <ns0:c r="G105" s="8" t="str">
        <ns0:f>IF(A105="","",COUNTIFS(V105:BC105,"&gt;1"))</ns0:f>
      </ns0:c>
      <ns0:c r="H105" s="8" t="str">
        <ns0:f>IF(A105="","",IF(COUNTIFS($T$7:$T$33,A105)&gt;0,INDEX($U$7:$U$33,MATCH(A105,$T$7:$T$33,0)),"No capacity or responsibility detail supplied."))</ns0:f>
      </ns0:c>
      <ns0:c r="J105" t="str">
        <ns0:f>IF('Project Tracker'!A31="","",TRIM(MID(SUBSTITUTE('Project Tracker'!K31,";",REPT(" ",150)),301,150)))</ns0:f>
      </ns0:c>
      <ns0:c r="K105" t="str">
        <ns0:f>IF(J105="","",IF(COUNTIFS($J$7:J105,J105)=1,MAX($K$6:K104)+1,""))</ns0:f>
      </ns0:c>
      <ns0:c r="L105" t="n">
        <ns0:f>IF(A105="",0,B105+(107-ROW())/1000)</ns0:f>
        <ns0:v>0</ns0:v>
      </ns0:c>
      <ns0:c r="M105" t="str">
        <ns0:f>IF(J105="","",'Project Tracker'!A31)</ns0:f>
      </ns0:c>
      <ns0:c r="N105" t="str">
        <ns0:f>IF(J105="","",'Project Tracker'!N31)</ns0:f>
      </ns0:c>
      <ns0:c r="O105" t="str">
        <ns0:f>IF(J105="","",'Project Tracker'!E31)</ns0:f>
      </ns0:c>
      <ns0:c r="P105" t="str">
        <ns0:f>IF(J105="","",'Project Tracker'!F31)</ns0:f>
      </ns0:c>
      <ns0:c r="Q105" t="str">
        <ns0:f>IF(J105="","",'Project Tracker'!Q31)</ns0:f>
      </ns0:c>
      <ns0:c r="R105" t="str">
        <ns0:f>IF(J105="","",'Project Tracker'!J31)</ns0:f>
      </ns0:c>
      <ns0:c r="V105" t="n">
        <ns0:f>IF($A105="",0,COUNTIFS($J$7:$J$406,$A105,$O$7:$O$406,"&lt;="&amp;V$6,$P$7:$P$406,"&gt;="&amp;V$6,$R$7:$R$406,"No"))</ns0:f>
        <ns0:v>0</ns0:v>
      </ns0:c>
      <ns0:c r="W105" t="n">
        <ns0:f>IF($A105="",0,COUNTIFS($J$7:$J$406,$A105,$O$7:$O$406,"&lt;="&amp;W$6,$P$7:$P$406,"&gt;="&amp;W$6,$R$7:$R$406,"No"))</ns0:f>
        <ns0:v>0</ns0:v>
      </ns0:c>
      <ns0:c r="X105" t="n">
        <ns0:f>IF($A105="",0,COUNTIFS($J$7:$J$406,$A105,$O$7:$O$406,"&lt;="&amp;X$6,$P$7:$P$406,"&gt;="&amp;X$6,$R$7:$R$406,"No"))</ns0:f>
        <ns0:v>0</ns0:v>
      </ns0:c>
      <ns0:c r="Y105" t="n">
        <ns0:f>IF($A105="",0,COUNTIFS($J$7:$J$406,$A105,$O$7:$O$406,"&lt;="&amp;Y$6,$P$7:$P$406,"&gt;="&amp;Y$6,$R$7:$R$406,"No"))</ns0:f>
        <ns0:v>0</ns0:v>
      </ns0:c>
      <ns0:c r="Z105" t="n">
        <ns0:f>IF($A105="",0,COUNTIFS($J$7:$J$406,$A105,$O$7:$O$406,"&lt;="&amp;Z$6,$P$7:$P$406,"&gt;="&amp;Z$6,$R$7:$R$406,"No"))</ns0:f>
        <ns0:v>0</ns0:v>
      </ns0:c>
      <ns0:c r="AA105" t="n">
        <ns0:f>IF($A105="",0,COUNTIFS($J$7:$J$406,$A105,$O$7:$O$406,"&lt;="&amp;AA$6,$P$7:$P$406,"&gt;="&amp;AA$6,$R$7:$R$406,"No"))</ns0:f>
        <ns0:v>0</ns0:v>
      </ns0:c>
      <ns0:c r="AB105" t="n">
        <ns0:f>IF($A105="",0,COUNTIFS($J$7:$J$406,$A105,$O$7:$O$406,"&lt;="&amp;AB$6,$P$7:$P$406,"&gt;="&amp;AB$6,$R$7:$R$406,"No"))</ns0:f>
        <ns0:v>0</ns0:v>
      </ns0:c>
      <ns0:c r="AC105" t="n">
        <ns0:f>IF($A105="",0,COUNTIFS($J$7:$J$406,$A105,$O$7:$O$406,"&lt;="&amp;AC$6,$P$7:$P$406,"&gt;="&amp;AC$6,$R$7:$R$406,"No"))</ns0:f>
        <ns0:v>0</ns0:v>
      </ns0:c>
      <ns0:c r="AD105" t="n">
        <ns0:f>IF($A105="",0,COUNTIFS($J$7:$J$406,$A105,$O$7:$O$406,"&lt;="&amp;AD$6,$P$7:$P$406,"&gt;="&amp;AD$6,$R$7:$R$406,"No"))</ns0:f>
        <ns0:v>0</ns0:v>
      </ns0:c>
      <ns0:c r="AE105" t="n">
        <ns0:f>IF($A105="",0,COUNTIFS($J$7:$J$406,$A105,$O$7:$O$406,"&lt;="&amp;AE$6,$P$7:$P$406,"&gt;="&amp;AE$6,$R$7:$R$406,"No"))</ns0:f>
        <ns0:v>0</ns0:v>
      </ns0:c>
      <ns0:c r="AF105" t="n">
        <ns0:f>IF($A105="",0,COUNTIFS($J$7:$J$406,$A105,$O$7:$O$406,"&lt;="&amp;AF$6,$P$7:$P$406,"&gt;="&amp;AF$6,$R$7:$R$406,"No"))</ns0:f>
        <ns0:v>0</ns0:v>
      </ns0:c>
      <ns0:c r="AG105" t="n">
        <ns0:f>IF($A105="",0,COUNTIFS($J$7:$J$406,$A105,$O$7:$O$406,"&lt;="&amp;AG$6,$P$7:$P$406,"&gt;="&amp;AG$6,$R$7:$R$406,"No"))</ns0:f>
        <ns0:v>0</ns0:v>
      </ns0:c>
      <ns0:c r="AH105" t="n">
        <ns0:f>IF($A105="",0,COUNTIFS($J$7:$J$406,$A105,$O$7:$O$406,"&lt;="&amp;AH$6,$P$7:$P$406,"&gt;="&amp;AH$6,$R$7:$R$406,"No"))</ns0:f>
        <ns0:v>0</ns0:v>
      </ns0:c>
      <ns0:c r="AI105" t="n">
        <ns0:f>IF($A105="",0,COUNTIFS($J$7:$J$406,$A105,$O$7:$O$406,"&lt;="&amp;AI$6,$P$7:$P$406,"&gt;="&amp;AI$6,$R$7:$R$406,"No"))</ns0:f>
        <ns0:v>0</ns0:v>
      </ns0:c>
      <ns0:c r="AJ105" t="n">
        <ns0:f>IF($A105="",0,COUNTIFS($J$7:$J$406,$A105,$O$7:$O$406,"&lt;="&amp;AJ$6,$P$7:$P$406,"&gt;="&amp;AJ$6,$R$7:$R$406,"No"))</ns0:f>
        <ns0:v>0</ns0:v>
      </ns0:c>
      <ns0:c r="AK105" t="n">
        <ns0:f>IF($A105="",0,COUNTIFS($J$7:$J$406,$A105,$O$7:$O$406,"&lt;="&amp;AK$6,$P$7:$P$406,"&gt;="&amp;AK$6,$R$7:$R$406,"No"))</ns0:f>
        <ns0:v>0</ns0:v>
      </ns0:c>
      <ns0:c r="AL105" t="n">
        <ns0:f>IF($A105="",0,COUNTIFS($J$7:$J$406,$A105,$O$7:$O$406,"&lt;="&amp;AL$6,$P$7:$P$406,"&gt;="&amp;AL$6,$R$7:$R$406,"No"))</ns0:f>
        <ns0:v>0</ns0:v>
      </ns0:c>
      <ns0:c r="AM105" t="n">
        <ns0:f>IF($A105="",0,COUNTIFS($J$7:$J$406,$A105,$O$7:$O$406,"&lt;="&amp;AM$6,$P$7:$P$406,"&gt;="&amp;AM$6,$R$7:$R$406,"No"))</ns0:f>
        <ns0:v>0</ns0:v>
      </ns0:c>
      <ns0:c r="AN105" t="n">
        <ns0:f>IF($A105="",0,COUNTIFS($J$7:$J$406,$A105,$O$7:$O$406,"&lt;="&amp;AN$6,$P$7:$P$406,"&gt;="&amp;AN$6,$R$7:$R$406,"No"))</ns0:f>
        <ns0:v>0</ns0:v>
      </ns0:c>
      <ns0:c r="AO105" t="n">
        <ns0:f>IF($A105="",0,COUNTIFS($J$7:$J$406,$A105,$O$7:$O$406,"&lt;="&amp;AO$6,$P$7:$P$406,"&gt;="&amp;AO$6,$R$7:$R$406,"No"))</ns0:f>
        <ns0:v>0</ns0:v>
      </ns0:c>
      <ns0:c r="AP105" t="n">
        <ns0:f>IF($A105="",0,COUNTIFS($J$7:$J$406,$A105,$O$7:$O$406,"&lt;="&amp;AP$6,$P$7:$P$406,"&gt;="&amp;AP$6,$R$7:$R$406,"No"))</ns0:f>
        <ns0:v>0</ns0:v>
      </ns0:c>
      <ns0:c r="AQ105" t="n">
        <ns0:f>IF($A105="",0,COUNTIFS($J$7:$J$406,$A105,$O$7:$O$406,"&lt;="&amp;AQ$6,$P$7:$P$406,"&gt;="&amp;AQ$6,$R$7:$R$406,"No"))</ns0:f>
        <ns0:v>0</ns0:v>
      </ns0:c>
      <ns0:c r="AR105" t="n">
        <ns0:f>IF($A105="",0,COUNTIFS($J$7:$J$406,$A105,$O$7:$O$406,"&lt;="&amp;AR$6,$P$7:$P$406,"&gt;="&amp;AR$6,$R$7:$R$406,"No"))</ns0:f>
        <ns0:v>0</ns0:v>
      </ns0:c>
      <ns0:c r="AS105" t="n">
        <ns0:f>IF($A105="",0,COUNTIFS($J$7:$J$406,$A105,$O$7:$O$406,"&lt;="&amp;AS$6,$P$7:$P$406,"&gt;="&amp;AS$6,$R$7:$R$406,"No"))</ns0:f>
        <ns0:v>0</ns0:v>
      </ns0:c>
      <ns0:c r="AT105" t="n">
        <ns0:f>IF($A105="",0,COUNTIFS($J$7:$J$406,$A105,$O$7:$O$406,"&lt;="&amp;AT$6,$P$7:$P$406,"&gt;="&amp;AT$6,$R$7:$R$406,"No"))</ns0:f>
        <ns0:v>0</ns0:v>
      </ns0:c>
      <ns0:c r="AU105" t="n">
        <ns0:f>IF($A105="",0,COUNTIFS($J$7:$J$406,$A105,$O$7:$O$406,"&lt;="&amp;AU$6,$P$7:$P$406,"&gt;="&amp;AU$6,$R$7:$R$406,"No"))</ns0:f>
        <ns0:v>0</ns0:v>
      </ns0:c>
      <ns0:c r="AV105" t="n">
        <ns0:f>IF($A105="",0,COUNTIFS($J$7:$J$406,$A105,$O$7:$O$406,"&lt;="&amp;AV$6,$P$7:$P$406,"&gt;="&amp;AV$6,$R$7:$R$406,"No"))</ns0:f>
        <ns0:v>0</ns0:v>
      </ns0:c>
      <ns0:c r="AW105" t="n">
        <ns0:f>IF($A105="",0,COUNTIFS($J$7:$J$406,$A105,$O$7:$O$406,"&lt;="&amp;AW$6,$P$7:$P$406,"&gt;="&amp;AW$6,$R$7:$R$406,"No"))</ns0:f>
        <ns0:v>0</ns0:v>
      </ns0:c>
      <ns0:c r="AX105" t="n">
        <ns0:f>IF($A105="",0,COUNTIFS($J$7:$J$406,$A105,$O$7:$O$406,"&lt;="&amp;AX$6,$P$7:$P$406,"&gt;="&amp;AX$6,$R$7:$R$406,"No"))</ns0:f>
        <ns0:v>0</ns0:v>
      </ns0:c>
      <ns0:c r="AY105" t="n">
        <ns0:f>IF($A105="",0,COUNTIFS($J$7:$J$406,$A105,$O$7:$O$406,"&lt;="&amp;AY$6,$P$7:$P$406,"&gt;="&amp;AY$6,$R$7:$R$406,"No"))</ns0:f>
        <ns0:v>0</ns0:v>
      </ns0:c>
      <ns0:c r="AZ105" t="n">
        <ns0:f>IF($A105="",0,COUNTIFS($J$7:$J$406,$A105,$O$7:$O$406,"&lt;="&amp;AZ$6,$P$7:$P$406,"&gt;="&amp;AZ$6,$R$7:$R$406,"No"))</ns0:f>
        <ns0:v>0</ns0:v>
      </ns0:c>
      <ns0:c r="BA105" t="n">
        <ns0:f>IF($A105="",0,COUNTIFS($J$7:$J$406,$A105,$O$7:$O$406,"&lt;="&amp;BA$6,$P$7:$P$406,"&gt;="&amp;BA$6,$R$7:$R$406,"No"))</ns0:f>
        <ns0:v>0</ns0:v>
      </ns0:c>
      <ns0:c r="BB105" t="n">
        <ns0:f>IF($A105="",0,COUNTIFS($J$7:$J$406,$A105,$O$7:$O$406,"&lt;="&amp;BB$6,$P$7:$P$406,"&gt;="&amp;BB$6,$R$7:$R$406,"No"))</ns0:f>
        <ns0:v>0</ns0:v>
      </ns0:c>
      <ns0:c r="BC105" t="n">
        <ns0:f>IF($A105="",0,COUNTIFS($J$7:$J$406,$A105,$O$7:$O$406,"&lt;="&amp;BC$6,$P$7:$P$406,"&gt;="&amp;BC$6,$R$7:$R$406,"No"))</ns0:f>
        <ns0:v>0</ns0:v>
      </ns0:c>
    </ns0:row>
    <ns0:row r="106" ht="48" customHeight="1">
      <ns0:c r="A106" s="8" t="str">
        <ns0:f>IF(ROW()-6&gt;MAX($K$7:$K$406),"",INDEX($J$7:$J$406,MATCH(ROW()-6,$K$7:$K$406,0)))</ns0:f>
      </ns0:c>
      <ns0:c r="B106" s="8" t="str">
        <ns0:f>IF(A106="","",COUNTIFS($J$7:$J$406,$A106))</ns0:f>
      </ns0:c>
      <ns0:c r="C106" s="8" t="str">
        <ns0:f>IF(A106="","",COUNTIFS($J$7:$J$406,$A106,$N$7:$N$406,1))</ns0:f>
      </ns0:c>
      <ns0:c r="D106" s="8" t="str">
        <ns0:f>IF(A106="","",COUNTIFS($J$7:$J$406,$A106,$Q$7:$Q$406,"In Progress"))</ns0:f>
      </ns0:c>
      <ns0:c r="E106" s="8" t="str">
        <ns0:f>IF(A106="","",B106-C106)</ns0:f>
      </ns0:c>
      <ns0:c r="F106" s="19" t="str">
        <ns0:f>IF(A106="","",SUMIFS($N$7:$N$406,$J$7:$J$406,$A106)/B106)</ns0:f>
      </ns0:c>
      <ns0:c r="G106" s="8" t="str">
        <ns0:f>IF(A106="","",COUNTIFS(V106:BC106,"&gt;1"))</ns0:f>
      </ns0:c>
      <ns0:c r="H106" s="8" t="str">
        <ns0:f>IF(A106="","",IF(COUNTIFS($T$7:$T$33,A106)&gt;0,INDEX($U$7:$U$33,MATCH(A106,$T$7:$T$33,0)),"No capacity or responsibility detail supplied."))</ns0:f>
      </ns0:c>
      <ns0:c r="J106" t="str">
        <ns0:f>IF('Project Tracker'!A31="","",TRIM(MID(SUBSTITUTE('Project Tracker'!K31,";",REPT(" ",150)),451,150)))</ns0:f>
      </ns0:c>
      <ns0:c r="K106" t="str">
        <ns0:f>IF(J106="","",IF(COUNTIFS($J$7:J106,J106)=1,MAX($K$6:K105)+1,""))</ns0:f>
      </ns0:c>
      <ns0:c r="L106" t="n">
        <ns0:f>IF(A106="",0,B106+(107-ROW())/1000)</ns0:f>
        <ns0:v>0</ns0:v>
      </ns0:c>
      <ns0:c r="M106" t="str">
        <ns0:f>IF(J106="","",'Project Tracker'!A31)</ns0:f>
      </ns0:c>
      <ns0:c r="N106" t="str">
        <ns0:f>IF(J106="","",'Project Tracker'!N31)</ns0:f>
      </ns0:c>
      <ns0:c r="O106" t="str">
        <ns0:f>IF(J106="","",'Project Tracker'!E31)</ns0:f>
      </ns0:c>
      <ns0:c r="P106" t="str">
        <ns0:f>IF(J106="","",'Project Tracker'!F31)</ns0:f>
      </ns0:c>
      <ns0:c r="Q106" t="str">
        <ns0:f>IF(J106="","",'Project Tracker'!Q31)</ns0:f>
      </ns0:c>
      <ns0:c r="R106" t="str">
        <ns0:f>IF(J106="","",'Project Tracker'!J31)</ns0:f>
      </ns0:c>
      <ns0:c r="V106" t="n">
        <ns0:f>IF($A106="",0,COUNTIFS($J$7:$J$406,$A106,$O$7:$O$406,"&lt;="&amp;V$6,$P$7:$P$406,"&gt;="&amp;V$6,$R$7:$R$406,"No"))</ns0:f>
        <ns0:v>0</ns0:v>
      </ns0:c>
      <ns0:c r="W106" t="n">
        <ns0:f>IF($A106="",0,COUNTIFS($J$7:$J$406,$A106,$O$7:$O$406,"&lt;="&amp;W$6,$P$7:$P$406,"&gt;="&amp;W$6,$R$7:$R$406,"No"))</ns0:f>
        <ns0:v>0</ns0:v>
      </ns0:c>
      <ns0:c r="X106" t="n">
        <ns0:f>IF($A106="",0,COUNTIFS($J$7:$J$406,$A106,$O$7:$O$406,"&lt;="&amp;X$6,$P$7:$P$406,"&gt;="&amp;X$6,$R$7:$R$406,"No"))</ns0:f>
        <ns0:v>0</ns0:v>
      </ns0:c>
      <ns0:c r="Y106" t="n">
        <ns0:f>IF($A106="",0,COUNTIFS($J$7:$J$406,$A106,$O$7:$O$406,"&lt;="&amp;Y$6,$P$7:$P$406,"&gt;="&amp;Y$6,$R$7:$R$406,"No"))</ns0:f>
        <ns0:v>0</ns0:v>
      </ns0:c>
      <ns0:c r="Z106" t="n">
        <ns0:f>IF($A106="",0,COUNTIFS($J$7:$J$406,$A106,$O$7:$O$406,"&lt;="&amp;Z$6,$P$7:$P$406,"&gt;="&amp;Z$6,$R$7:$R$406,"No"))</ns0:f>
        <ns0:v>0</ns0:v>
      </ns0:c>
      <ns0:c r="AA106" t="n">
        <ns0:f>IF($A106="",0,COUNTIFS($J$7:$J$406,$A106,$O$7:$O$406,"&lt;="&amp;AA$6,$P$7:$P$406,"&gt;="&amp;AA$6,$R$7:$R$406,"No"))</ns0:f>
        <ns0:v>0</ns0:v>
      </ns0:c>
      <ns0:c r="AB106" t="n">
        <ns0:f>IF($A106="",0,COUNTIFS($J$7:$J$406,$A106,$O$7:$O$406,"&lt;="&amp;AB$6,$P$7:$P$406,"&gt;="&amp;AB$6,$R$7:$R$406,"No"))</ns0:f>
        <ns0:v>0</ns0:v>
      </ns0:c>
      <ns0:c r="AC106" t="n">
        <ns0:f>IF($A106="",0,COUNTIFS($J$7:$J$406,$A106,$O$7:$O$406,"&lt;="&amp;AC$6,$P$7:$P$406,"&gt;="&amp;AC$6,$R$7:$R$406,"No"))</ns0:f>
        <ns0:v>0</ns0:v>
      </ns0:c>
      <ns0:c r="AD106" t="n">
        <ns0:f>IF($A106="",0,COUNTIFS($J$7:$J$406,$A106,$O$7:$O$406,"&lt;="&amp;AD$6,$P$7:$P$406,"&gt;="&amp;AD$6,$R$7:$R$406,"No"))</ns0:f>
        <ns0:v>0</ns0:v>
      </ns0:c>
      <ns0:c r="AE106" t="n">
        <ns0:f>IF($A106="",0,COUNTIFS($J$7:$J$406,$A106,$O$7:$O$406,"&lt;="&amp;AE$6,$P$7:$P$406,"&gt;="&amp;AE$6,$R$7:$R$406,"No"))</ns0:f>
        <ns0:v>0</ns0:v>
      </ns0:c>
      <ns0:c r="AF106" t="n">
        <ns0:f>IF($A106="",0,COUNTIFS($J$7:$J$406,$A106,$O$7:$O$406,"&lt;="&amp;AF$6,$P$7:$P$406,"&gt;="&amp;AF$6,$R$7:$R$406,"No"))</ns0:f>
        <ns0:v>0</ns0:v>
      </ns0:c>
      <ns0:c r="AG106" t="n">
        <ns0:f>IF($A106="",0,COUNTIFS($J$7:$J$406,$A106,$O$7:$O$406,"&lt;="&amp;AG$6,$P$7:$P$406,"&gt;="&amp;AG$6,$R$7:$R$406,"No"))</ns0:f>
        <ns0:v>0</ns0:v>
      </ns0:c>
      <ns0:c r="AH106" t="n">
        <ns0:f>IF($A106="",0,COUNTIFS($J$7:$J$406,$A106,$O$7:$O$406,"&lt;="&amp;AH$6,$P$7:$P$406,"&gt;="&amp;AH$6,$R$7:$R$406,"No"))</ns0:f>
        <ns0:v>0</ns0:v>
      </ns0:c>
      <ns0:c r="AI106" t="n">
        <ns0:f>IF($A106="",0,COUNTIFS($J$7:$J$406,$A106,$O$7:$O$406,"&lt;="&amp;AI$6,$P$7:$P$406,"&gt;="&amp;AI$6,$R$7:$R$406,"No"))</ns0:f>
        <ns0:v>0</ns0:v>
      </ns0:c>
      <ns0:c r="AJ106" t="n">
        <ns0:f>IF($A106="",0,COUNTIFS($J$7:$J$406,$A106,$O$7:$O$406,"&lt;="&amp;AJ$6,$P$7:$P$406,"&gt;="&amp;AJ$6,$R$7:$R$406,"No"))</ns0:f>
        <ns0:v>0</ns0:v>
      </ns0:c>
      <ns0:c r="AK106" t="n">
        <ns0:f>IF($A106="",0,COUNTIFS($J$7:$J$406,$A106,$O$7:$O$406,"&lt;="&amp;AK$6,$P$7:$P$406,"&gt;="&amp;AK$6,$R$7:$R$406,"No"))</ns0:f>
        <ns0:v>0</ns0:v>
      </ns0:c>
      <ns0:c r="AL106" t="n">
        <ns0:f>IF($A106="",0,COUNTIFS($J$7:$J$406,$A106,$O$7:$O$406,"&lt;="&amp;AL$6,$P$7:$P$406,"&gt;="&amp;AL$6,$R$7:$R$406,"No"))</ns0:f>
        <ns0:v>0</ns0:v>
      </ns0:c>
      <ns0:c r="AM106" t="n">
        <ns0:f>IF($A106="",0,COUNTIFS($J$7:$J$406,$A106,$O$7:$O$406,"&lt;="&amp;AM$6,$P$7:$P$406,"&gt;="&amp;AM$6,$R$7:$R$406,"No"))</ns0:f>
        <ns0:v>0</ns0:v>
      </ns0:c>
      <ns0:c r="AN106" t="n">
        <ns0:f>IF($A106="",0,COUNTIFS($J$7:$J$406,$A106,$O$7:$O$406,"&lt;="&amp;AN$6,$P$7:$P$406,"&gt;="&amp;AN$6,$R$7:$R$406,"No"))</ns0:f>
        <ns0:v>0</ns0:v>
      </ns0:c>
      <ns0:c r="AO106" t="n">
        <ns0:f>IF($A106="",0,COUNTIFS($J$7:$J$406,$A106,$O$7:$O$406,"&lt;="&amp;AO$6,$P$7:$P$406,"&gt;="&amp;AO$6,$R$7:$R$406,"No"))</ns0:f>
        <ns0:v>0</ns0:v>
      </ns0:c>
      <ns0:c r="AP106" t="n">
        <ns0:f>IF($A106="",0,COUNTIFS($J$7:$J$406,$A106,$O$7:$O$406,"&lt;="&amp;AP$6,$P$7:$P$406,"&gt;="&amp;AP$6,$R$7:$R$406,"No"))</ns0:f>
        <ns0:v>0</ns0:v>
      </ns0:c>
      <ns0:c r="AQ106" t="n">
        <ns0:f>IF($A106="",0,COUNTIFS($J$7:$J$406,$A106,$O$7:$O$406,"&lt;="&amp;AQ$6,$P$7:$P$406,"&gt;="&amp;AQ$6,$R$7:$R$406,"No"))</ns0:f>
        <ns0:v>0</ns0:v>
      </ns0:c>
      <ns0:c r="AR106" t="n">
        <ns0:f>IF($A106="",0,COUNTIFS($J$7:$J$406,$A106,$O$7:$O$406,"&lt;="&amp;AR$6,$P$7:$P$406,"&gt;="&amp;AR$6,$R$7:$R$406,"No"))</ns0:f>
        <ns0:v>0</ns0:v>
      </ns0:c>
      <ns0:c r="AS106" t="n">
        <ns0:f>IF($A106="",0,COUNTIFS($J$7:$J$406,$A106,$O$7:$O$406,"&lt;="&amp;AS$6,$P$7:$P$406,"&gt;="&amp;AS$6,$R$7:$R$406,"No"))</ns0:f>
        <ns0:v>0</ns0:v>
      </ns0:c>
      <ns0:c r="AT106" t="n">
        <ns0:f>IF($A106="",0,COUNTIFS($J$7:$J$406,$A106,$O$7:$O$406,"&lt;="&amp;AT$6,$P$7:$P$406,"&gt;="&amp;AT$6,$R$7:$R$406,"No"))</ns0:f>
        <ns0:v>0</ns0:v>
      </ns0:c>
      <ns0:c r="AU106" t="n">
        <ns0:f>IF($A106="",0,COUNTIFS($J$7:$J$406,$A106,$O$7:$O$406,"&lt;="&amp;AU$6,$P$7:$P$406,"&gt;="&amp;AU$6,$R$7:$R$406,"No"))</ns0:f>
        <ns0:v>0</ns0:v>
      </ns0:c>
      <ns0:c r="AV106" t="n">
        <ns0:f>IF($A106="",0,COUNTIFS($J$7:$J$406,$A106,$O$7:$O$406,"&lt;="&amp;AV$6,$P$7:$P$406,"&gt;="&amp;AV$6,$R$7:$R$406,"No"))</ns0:f>
        <ns0:v>0</ns0:v>
      </ns0:c>
      <ns0:c r="AW106" t="n">
        <ns0:f>IF($A106="",0,COUNTIFS($J$7:$J$406,$A106,$O$7:$O$406,"&lt;="&amp;AW$6,$P$7:$P$406,"&gt;="&amp;AW$6,$R$7:$R$406,"No"))</ns0:f>
        <ns0:v>0</ns0:v>
      </ns0:c>
      <ns0:c r="AX106" t="n">
        <ns0:f>IF($A106="",0,COUNTIFS($J$7:$J$406,$A106,$O$7:$O$406,"&lt;="&amp;AX$6,$P$7:$P$406,"&gt;="&amp;AX$6,$R$7:$R$406,"No"))</ns0:f>
        <ns0:v>0</ns0:v>
      </ns0:c>
      <ns0:c r="AY106" t="n">
        <ns0:f>IF($A106="",0,COUNTIFS($J$7:$J$406,$A106,$O$7:$O$406,"&lt;="&amp;AY$6,$P$7:$P$406,"&gt;="&amp;AY$6,$R$7:$R$406,"No"))</ns0:f>
        <ns0:v>0</ns0:v>
      </ns0:c>
      <ns0:c r="AZ106" t="n">
        <ns0:f>IF($A106="",0,COUNTIFS($J$7:$J$406,$A106,$O$7:$O$406,"&lt;="&amp;AZ$6,$P$7:$P$406,"&gt;="&amp;AZ$6,$R$7:$R$406,"No"))</ns0:f>
        <ns0:v>0</ns0:v>
      </ns0:c>
      <ns0:c r="BA106" t="n">
        <ns0:f>IF($A106="",0,COUNTIFS($J$7:$J$406,$A106,$O$7:$O$406,"&lt;="&amp;BA$6,$P$7:$P$406,"&gt;="&amp;BA$6,$R$7:$R$406,"No"))</ns0:f>
        <ns0:v>0</ns0:v>
      </ns0:c>
      <ns0:c r="BB106" t="n">
        <ns0:f>IF($A106="",0,COUNTIFS($J$7:$J$406,$A106,$O$7:$O$406,"&lt;="&amp;BB$6,$P$7:$P$406,"&gt;="&amp;BB$6,$R$7:$R$406,"No"))</ns0:f>
        <ns0:v>0</ns0:v>
      </ns0:c>
      <ns0:c r="BC106" t="n">
        <ns0:f>IF($A106="",0,COUNTIFS($J$7:$J$406,$A106,$O$7:$O$406,"&lt;="&amp;BC$6,$P$7:$P$406,"&gt;="&amp;BC$6,$R$7:$R$406,"No"))</ns0:f>
        <ns0:v>0</ns0:v>
      </ns0:c>
    </ns0:row>
    <ns0:row r="107">
      <ns0:c r="J107" t="str">
        <ns0:f>IF('Project Tracker'!A32="","",TRIM(MID(SUBSTITUTE('Project Tracker'!K32,";",REPT(" ",150)),1,150)))</ns0:f>
        <ns0:v>Intelligence Engine (IE / Orchestrator)</ns0:v>
      </ns0:c>
      <ns0:c r="K107" t="str">
        <ns0:f>IF(J107="","",IF(COUNTIFS($J$7:J107,J107)=1,MAX($K$6:K106)+1,""))</ns0:f>
      </ns0:c>
      <ns0:c r="M107" t="str">
        <ns0:f>IF(J107="","",'Project Tracker'!A32)</ns0:f>
        <ns0:v>T22</ns0:v>
      </ns0:c>
      <ns0:c r="N107" t="n">
        <ns0:f>IF(J107="","",'Project Tracker'!N32)</ns0:f>
        <ns0:v>0</ns0:v>
      </ns0:c>
      <ns0:c r="O107" t="n">
        <ns0:f>IF(J107="","",'Project Tracker'!E32)</ns0:f>
        <ns0:v>46293</ns0:v>
      </ns0:c>
      <ns0:c r="P107" t="n">
        <ns0:f>IF(J107="","",'Project Tracker'!F32)</ns0:f>
        <ns0:v>46294</ns0:v>
      </ns0:c>
      <ns0:c r="Q107" t="str">
        <ns0:f>IF(J107="","",'Project Tracker'!Q32)</ns0:f>
        <ns0:v>Not Started</ns0:v>
      </ns0:c>
      <ns0:c r="R107" t="str">
        <ns0:f>IF(J107="","",'Project Tracker'!J32)</ns0:f>
        <ns0:v>No</ns0:v>
      </ns0:c>
    </ns0:row>
    <ns0:row r="108">
      <ns0:c r="J108" t="str">
        <ns0:f>IF('Project Tracker'!A32="","",TRIM(MID(SUBSTITUTE('Project Tracker'!K32,";",REPT(" ",150)),151,150)))</ns0:f>
      </ns0:c>
      <ns0:c r="K108" t="str">
        <ns0:f>IF(J108="","",IF(COUNTIFS($J$7:J108,J108)=1,MAX($K$6:K107)+1,""))</ns0:f>
      </ns0:c>
      <ns0:c r="M108" t="str">
        <ns0:f>IF(J108="","",'Project Tracker'!A32)</ns0:f>
      </ns0:c>
      <ns0:c r="N108" t="str">
        <ns0:f>IF(J108="","",'Project Tracker'!N32)</ns0:f>
      </ns0:c>
      <ns0:c r="O108" t="str">
        <ns0:f>IF(J108="","",'Project Tracker'!E32)</ns0:f>
      </ns0:c>
      <ns0:c r="P108" t="str">
        <ns0:f>IF(J108="","",'Project Tracker'!F32)</ns0:f>
      </ns0:c>
      <ns0:c r="Q108" t="str">
        <ns0:f>IF(J108="","",'Project Tracker'!Q32)</ns0:f>
      </ns0:c>
      <ns0:c r="R108" t="str">
        <ns0:f>IF(J108="","",'Project Tracker'!J32)</ns0:f>
      </ns0:c>
    </ns0:row>
    <ns0:row r="109">
      <ns0:c r="J109" t="str">
        <ns0:f>IF('Project Tracker'!A32="","",TRIM(MID(SUBSTITUTE('Project Tracker'!K32,";",REPT(" ",150)),301,150)))</ns0:f>
      </ns0:c>
      <ns0:c r="K109" t="str">
        <ns0:f>IF(J109="","",IF(COUNTIFS($J$7:J109,J109)=1,MAX($K$6:K108)+1,""))</ns0:f>
      </ns0:c>
      <ns0:c r="M109" t="str">
        <ns0:f>IF(J109="","",'Project Tracker'!A32)</ns0:f>
      </ns0:c>
      <ns0:c r="N109" t="str">
        <ns0:f>IF(J109="","",'Project Tracker'!N32)</ns0:f>
      </ns0:c>
      <ns0:c r="O109" t="str">
        <ns0:f>IF(J109="","",'Project Tracker'!E32)</ns0:f>
      </ns0:c>
      <ns0:c r="P109" t="str">
        <ns0:f>IF(J109="","",'Project Tracker'!F32)</ns0:f>
      </ns0:c>
      <ns0:c r="Q109" t="str">
        <ns0:f>IF(J109="","",'Project Tracker'!Q32)</ns0:f>
      </ns0:c>
      <ns0:c r="R109" t="str">
        <ns0:f>IF(J109="","",'Project Tracker'!J32)</ns0:f>
      </ns0:c>
    </ns0:row>
    <ns0:row r="110">
      <ns0:c r="J110" t="str">
        <ns0:f>IF('Project Tracker'!A32="","",TRIM(MID(SUBSTITUTE('Project Tracker'!K32,";",REPT(" ",150)),451,150)))</ns0:f>
      </ns0:c>
      <ns0:c r="K110" t="str">
        <ns0:f>IF(J110="","",IF(COUNTIFS($J$7:J110,J110)=1,MAX($K$6:K109)+1,""))</ns0:f>
      </ns0:c>
      <ns0:c r="M110" t="str">
        <ns0:f>IF(J110="","",'Project Tracker'!A32)</ns0:f>
      </ns0:c>
      <ns0:c r="N110" t="str">
        <ns0:f>IF(J110="","",'Project Tracker'!N32)</ns0:f>
      </ns0:c>
      <ns0:c r="O110" t="str">
        <ns0:f>IF(J110="","",'Project Tracker'!E32)</ns0:f>
      </ns0:c>
      <ns0:c r="P110" t="str">
        <ns0:f>IF(J110="","",'Project Tracker'!F32)</ns0:f>
      </ns0:c>
      <ns0:c r="Q110" t="str">
        <ns0:f>IF(J110="","",'Project Tracker'!Q32)</ns0:f>
      </ns0:c>
      <ns0:c r="R110" t="str">
        <ns0:f>IF(J110="","",'Project Tracker'!J32)</ns0:f>
      </ns0:c>
    </ns0:row>
    <ns0:row r="111">
      <ns0:c r="J111" t="str">
        <ns0:f>IF('Project Tracker'!A33="","",TRIM(MID(SUBSTITUTE('Project Tracker'!K33,";",REPT(" ",150)),1,150)))</ns0:f>
        <ns0:v>Intelligence Engine (IE / Orchestrator)</ns0:v>
      </ns0:c>
      <ns0:c r="K111" t="str">
        <ns0:f>IF(J111="","",IF(COUNTIFS($J$7:J111,J111)=1,MAX($K$6:K110)+1,""))</ns0:f>
      </ns0:c>
      <ns0:c r="M111" t="str">
        <ns0:f>IF(J111="","",'Project Tracker'!A33)</ns0:f>
        <ns0:v>T23</ns0:v>
      </ns0:c>
      <ns0:c r="N111" t="n">
        <ns0:f>IF(J111="","",'Project Tracker'!N33)</ns0:f>
        <ns0:v>0</ns0:v>
      </ns0:c>
      <ns0:c r="O111" t="n">
        <ns0:f>IF(J111="","",'Project Tracker'!E33)</ns0:f>
        <ns0:v>46295</ns0:v>
      </ns0:c>
      <ns0:c r="P111" t="n">
        <ns0:f>IF(J111="","",'Project Tracker'!F33)</ns0:f>
        <ns0:v>46295</ns0:v>
      </ns0:c>
      <ns0:c r="Q111" t="str">
        <ns0:f>IF(J111="","",'Project Tracker'!Q33)</ns0:f>
        <ns0:v>Not Started</ns0:v>
      </ns0:c>
      <ns0:c r="R111" t="str">
        <ns0:f>IF(J111="","",'Project Tracker'!J33)</ns0:f>
        <ns0:v>No</ns0:v>
      </ns0:c>
    </ns0:row>
    <ns0:row r="112">
      <ns0:c r="J112" t="str">
        <ns0:f>IF('Project Tracker'!A33="","",TRIM(MID(SUBSTITUTE('Project Tracker'!K33,";",REPT(" ",150)),151,150)))</ns0:f>
      </ns0:c>
      <ns0:c r="K112" t="str">
        <ns0:f>IF(J112="","",IF(COUNTIFS($J$7:J112,J112)=1,MAX($K$6:K111)+1,""))</ns0:f>
      </ns0:c>
      <ns0:c r="M112" t="str">
        <ns0:f>IF(J112="","",'Project Tracker'!A33)</ns0:f>
      </ns0:c>
      <ns0:c r="N112" t="str">
        <ns0:f>IF(J112="","",'Project Tracker'!N33)</ns0:f>
      </ns0:c>
      <ns0:c r="O112" t="str">
        <ns0:f>IF(J112="","",'Project Tracker'!E33)</ns0:f>
      </ns0:c>
      <ns0:c r="P112" t="str">
        <ns0:f>IF(J112="","",'Project Tracker'!F33)</ns0:f>
      </ns0:c>
      <ns0:c r="Q112" t="str">
        <ns0:f>IF(J112="","",'Project Tracker'!Q33)</ns0:f>
      </ns0:c>
      <ns0:c r="R112" t="str">
        <ns0:f>IF(J112="","",'Project Tracker'!J33)</ns0:f>
      </ns0:c>
    </ns0:row>
    <ns0:row r="113">
      <ns0:c r="J113" t="str">
        <ns0:f>IF('Project Tracker'!A33="","",TRIM(MID(SUBSTITUTE('Project Tracker'!K33,";",REPT(" ",150)),301,150)))</ns0:f>
      </ns0:c>
      <ns0:c r="K113" t="str">
        <ns0:f>IF(J113="","",IF(COUNTIFS($J$7:J113,J113)=1,MAX($K$6:K112)+1,""))</ns0:f>
      </ns0:c>
      <ns0:c r="M113" t="str">
        <ns0:f>IF(J113="","",'Project Tracker'!A33)</ns0:f>
      </ns0:c>
      <ns0:c r="N113" t="str">
        <ns0:f>IF(J113="","",'Project Tracker'!N33)</ns0:f>
      </ns0:c>
      <ns0:c r="O113" t="str">
        <ns0:f>IF(J113="","",'Project Tracker'!E33)</ns0:f>
      </ns0:c>
      <ns0:c r="P113" t="str">
        <ns0:f>IF(J113="","",'Project Tracker'!F33)</ns0:f>
      </ns0:c>
      <ns0:c r="Q113" t="str">
        <ns0:f>IF(J113="","",'Project Tracker'!Q33)</ns0:f>
      </ns0:c>
      <ns0:c r="R113" t="str">
        <ns0:f>IF(J113="","",'Project Tracker'!J33)</ns0:f>
      </ns0:c>
    </ns0:row>
    <ns0:row r="114">
      <ns0:c r="J114" t="str">
        <ns0:f>IF('Project Tracker'!A33="","",TRIM(MID(SUBSTITUTE('Project Tracker'!K33,";",REPT(" ",150)),451,150)))</ns0:f>
      </ns0:c>
      <ns0:c r="K114" t="str">
        <ns0:f>IF(J114="","",IF(COUNTIFS($J$7:J114,J114)=1,MAX($K$6:K113)+1,""))</ns0:f>
      </ns0:c>
      <ns0:c r="M114" t="str">
        <ns0:f>IF(J114="","",'Project Tracker'!A33)</ns0:f>
      </ns0:c>
      <ns0:c r="N114" t="str">
        <ns0:f>IF(J114="","",'Project Tracker'!N33)</ns0:f>
      </ns0:c>
      <ns0:c r="O114" t="str">
        <ns0:f>IF(J114="","",'Project Tracker'!E33)</ns0:f>
      </ns0:c>
      <ns0:c r="P114" t="str">
        <ns0:f>IF(J114="","",'Project Tracker'!F33)</ns0:f>
      </ns0:c>
      <ns0:c r="Q114" t="str">
        <ns0:f>IF(J114="","",'Project Tracker'!Q33)</ns0:f>
      </ns0:c>
      <ns0:c r="R114" t="str">
        <ns0:f>IF(J114="","",'Project Tracker'!J33)</ns0:f>
      </ns0:c>
    </ns0:row>
    <ns0:row r="115">
      <ns0:c r="J115" t="str">
        <ns0:f>IF('Project Tracker'!A34="","",TRIM(MID(SUBSTITUTE('Project Tracker'!K34,";",REPT(" ",150)),1,150)))</ns0:f>
        <ns0:v>Human-in-the-Loop (HITL) Gate</ns0:v>
      </ns0:c>
      <ns0:c r="K115" t="n">
        <ns0:f>IF(J115="","",IF(COUNTIFS($J$7:J115,J115)=1,MAX($K$6:K114)+1,""))</ns0:f>
        <ns0:v>22</ns0:v>
      </ns0:c>
      <ns0:c r="M115" t="str">
        <ns0:f>IF(J115="","",'Project Tracker'!A34)</ns0:f>
        <ns0:v>T24</ns0:v>
      </ns0:c>
      <ns0:c r="N115" t="n">
        <ns0:f>IF(J115="","",'Project Tracker'!N34)</ns0:f>
        <ns0:v>0</ns0:v>
      </ns0:c>
      <ns0:c r="O115" t="n">
        <ns0:f>IF(J115="","",'Project Tracker'!E34)</ns0:f>
        <ns0:v>46296</ns0:v>
      </ns0:c>
      <ns0:c r="P115" t="n">
        <ns0:f>IF(J115="","",'Project Tracker'!F34)</ns0:f>
        <ns0:v>46296</ns0:v>
      </ns0:c>
      <ns0:c r="Q115" t="str">
        <ns0:f>IF(J115="","",'Project Tracker'!Q34)</ns0:f>
        <ns0:v>Not Started</ns0:v>
      </ns0:c>
      <ns0:c r="R115" t="str">
        <ns0:f>IF(J115="","",'Project Tracker'!J34)</ns0:f>
        <ns0:v>No</ns0:v>
      </ns0:c>
    </ns0:row>
    <ns0:row r="116">
      <ns0:c r="J116" t="str">
        <ns0:f>IF('Project Tracker'!A34="","",TRIM(MID(SUBSTITUTE('Project Tracker'!K34,";",REPT(" ",150)),151,150)))</ns0:f>
      </ns0:c>
      <ns0:c r="K116" t="str">
        <ns0:f>IF(J116="","",IF(COUNTIFS($J$7:J116,J116)=1,MAX($K$6:K115)+1,""))</ns0:f>
      </ns0:c>
      <ns0:c r="M116" t="str">
        <ns0:f>IF(J116="","",'Project Tracker'!A34)</ns0:f>
      </ns0:c>
      <ns0:c r="N116" t="str">
        <ns0:f>IF(J116="","",'Project Tracker'!N34)</ns0:f>
      </ns0:c>
      <ns0:c r="O116" t="str">
        <ns0:f>IF(J116="","",'Project Tracker'!E34)</ns0:f>
      </ns0:c>
      <ns0:c r="P116" t="str">
        <ns0:f>IF(J116="","",'Project Tracker'!F34)</ns0:f>
      </ns0:c>
      <ns0:c r="Q116" t="str">
        <ns0:f>IF(J116="","",'Project Tracker'!Q34)</ns0:f>
      </ns0:c>
      <ns0:c r="R116" t="str">
        <ns0:f>IF(J116="","",'Project Tracker'!J34)</ns0:f>
      </ns0:c>
    </ns0:row>
    <ns0:row r="117">
      <ns0:c r="J117" t="str">
        <ns0:f>IF('Project Tracker'!A34="","",TRIM(MID(SUBSTITUTE('Project Tracker'!K34,";",REPT(" ",150)),301,150)))</ns0:f>
      </ns0:c>
      <ns0:c r="K117" t="str">
        <ns0:f>IF(J117="","",IF(COUNTIFS($J$7:J117,J117)=1,MAX($K$6:K116)+1,""))</ns0:f>
      </ns0:c>
      <ns0:c r="M117" t="str">
        <ns0:f>IF(J117="","",'Project Tracker'!A34)</ns0:f>
      </ns0:c>
      <ns0:c r="N117" t="str">
        <ns0:f>IF(J117="","",'Project Tracker'!N34)</ns0:f>
      </ns0:c>
      <ns0:c r="O117" t="str">
        <ns0:f>IF(J117="","",'Project Tracker'!E34)</ns0:f>
      </ns0:c>
      <ns0:c r="P117" t="str">
        <ns0:f>IF(J117="","",'Project Tracker'!F34)</ns0:f>
      </ns0:c>
      <ns0:c r="Q117" t="str">
        <ns0:f>IF(J117="","",'Project Tracker'!Q34)</ns0:f>
      </ns0:c>
      <ns0:c r="R117" t="str">
        <ns0:f>IF(J117="","",'Project Tracker'!J34)</ns0:f>
      </ns0:c>
    </ns0:row>
    <ns0:row r="118">
      <ns0:c r="J118" t="str">
        <ns0:f>IF('Project Tracker'!A34="","",TRIM(MID(SUBSTITUTE('Project Tracker'!K34,";",REPT(" ",150)),451,150)))</ns0:f>
      </ns0:c>
      <ns0:c r="K118" t="str">
        <ns0:f>IF(J118="","",IF(COUNTIFS($J$7:J118,J118)=1,MAX($K$6:K117)+1,""))</ns0:f>
      </ns0:c>
      <ns0:c r="M118" t="str">
        <ns0:f>IF(J118="","",'Project Tracker'!A34)</ns0:f>
      </ns0:c>
      <ns0:c r="N118" t="str">
        <ns0:f>IF(J118="","",'Project Tracker'!N34)</ns0:f>
      </ns0:c>
      <ns0:c r="O118" t="str">
        <ns0:f>IF(J118="","",'Project Tracker'!E34)</ns0:f>
      </ns0:c>
      <ns0:c r="P118" t="str">
        <ns0:f>IF(J118="","",'Project Tracker'!F34)</ns0:f>
      </ns0:c>
      <ns0:c r="Q118" t="str">
        <ns0:f>IF(J118="","",'Project Tracker'!Q34)</ns0:f>
      </ns0:c>
      <ns0:c r="R118" t="str">
        <ns0:f>IF(J118="","",'Project Tracker'!J34)</ns0:f>
      </ns0:c>
    </ns0:row>
    <ns0:row r="119">
      <ns0:c r="J119" t="str">
        <ns0:f>IF('Project Tracker'!A35="","",TRIM(MID(SUBSTITUTE('Project Tracker'!K35,";",REPT(" ",150)),1,150)))</ns0:f>
        <ns0:v>Unassigned</ns0:v>
      </ns0:c>
      <ns0:c r="K119" t="str">
        <ns0:f>IF(J119="","",IF(COUNTIFS($J$7:J119,J119)=1,MAX($K$6:K118)+1,""))</ns0:f>
      </ns0:c>
      <ns0:c r="M119" t="str">
        <ns0:f>IF(J119="","",'Project Tracker'!A35)</ns0:f>
        <ns0:v>M5</ns0:v>
      </ns0:c>
      <ns0:c r="N119" t="n">
        <ns0:f>IF(J119="","",'Project Tracker'!N35)</ns0:f>
        <ns0:v>0</ns0:v>
      </ns0:c>
      <ns0:c r="O119" t="n">
        <ns0:f>IF(J119="","",'Project Tracker'!E35)</ns0:f>
        <ns0:v>46301</ns0:v>
      </ns0:c>
      <ns0:c r="P119" t="n">
        <ns0:f>IF(J119="","",'Project Tracker'!F35)</ns0:f>
        <ns0:v>46301</ns0:v>
      </ns0:c>
      <ns0:c r="Q119" t="str">
        <ns0:f>IF(J119="","",'Project Tracker'!Q35)</ns0:f>
        <ns0:v>Not Started</ns0:v>
      </ns0:c>
      <ns0:c r="R119" t="str">
        <ns0:f>IF(J119="","",'Project Tracker'!J35)</ns0:f>
        <ns0:v>Yes</ns0:v>
      </ns0:c>
    </ns0:row>
    <ns0:row r="120">
      <ns0:c r="J120" t="str">
        <ns0:f>IF('Project Tracker'!A35="","",TRIM(MID(SUBSTITUTE('Project Tracker'!K35,";",REPT(" ",150)),151,150)))</ns0:f>
      </ns0:c>
      <ns0:c r="K120" t="str">
        <ns0:f>IF(J120="","",IF(COUNTIFS($J$7:J120,J120)=1,MAX($K$6:K119)+1,""))</ns0:f>
      </ns0:c>
      <ns0:c r="M120" t="str">
        <ns0:f>IF(J120="","",'Project Tracker'!A35)</ns0:f>
      </ns0:c>
      <ns0:c r="N120" t="str">
        <ns0:f>IF(J120="","",'Project Tracker'!N35)</ns0:f>
      </ns0:c>
      <ns0:c r="O120" t="str">
        <ns0:f>IF(J120="","",'Project Tracker'!E35)</ns0:f>
      </ns0:c>
      <ns0:c r="P120" t="str">
        <ns0:f>IF(J120="","",'Project Tracker'!F35)</ns0:f>
      </ns0:c>
      <ns0:c r="Q120" t="str">
        <ns0:f>IF(J120="","",'Project Tracker'!Q35)</ns0:f>
      </ns0:c>
      <ns0:c r="R120" t="str">
        <ns0:f>IF(J120="","",'Project Tracker'!J35)</ns0:f>
      </ns0:c>
    </ns0:row>
    <ns0:row r="121">
      <ns0:c r="J121" t="str">
        <ns0:f>IF('Project Tracker'!A35="","",TRIM(MID(SUBSTITUTE('Project Tracker'!K35,";",REPT(" ",150)),301,150)))</ns0:f>
      </ns0:c>
      <ns0:c r="K121" t="str">
        <ns0:f>IF(J121="","",IF(COUNTIFS($J$7:J121,J121)=1,MAX($K$6:K120)+1,""))</ns0:f>
      </ns0:c>
      <ns0:c r="M121" t="str">
        <ns0:f>IF(J121="","",'Project Tracker'!A35)</ns0:f>
      </ns0:c>
      <ns0:c r="N121" t="str">
        <ns0:f>IF(J121="","",'Project Tracker'!N35)</ns0:f>
      </ns0:c>
      <ns0:c r="O121" t="str">
        <ns0:f>IF(J121="","",'Project Tracker'!E35)</ns0:f>
      </ns0:c>
      <ns0:c r="P121" t="str">
        <ns0:f>IF(J121="","",'Project Tracker'!F35)</ns0:f>
      </ns0:c>
      <ns0:c r="Q121" t="str">
        <ns0:f>IF(J121="","",'Project Tracker'!Q35)</ns0:f>
      </ns0:c>
      <ns0:c r="R121" t="str">
        <ns0:f>IF(J121="","",'Project Tracker'!J35)</ns0:f>
      </ns0:c>
    </ns0:row>
    <ns0:row r="122">
      <ns0:c r="J122" t="str">
        <ns0:f>IF('Project Tracker'!A35="","",TRIM(MID(SUBSTITUTE('Project Tracker'!K35,";",REPT(" ",150)),451,150)))</ns0:f>
      </ns0:c>
      <ns0:c r="K122" t="str">
        <ns0:f>IF(J122="","",IF(COUNTIFS($J$7:J122,J122)=1,MAX($K$6:K121)+1,""))</ns0:f>
      </ns0:c>
      <ns0:c r="M122" t="str">
        <ns0:f>IF(J122="","",'Project Tracker'!A35)</ns0:f>
      </ns0:c>
      <ns0:c r="N122" t="str">
        <ns0:f>IF(J122="","",'Project Tracker'!N35)</ns0:f>
      </ns0:c>
      <ns0:c r="O122" t="str">
        <ns0:f>IF(J122="","",'Project Tracker'!E35)</ns0:f>
      </ns0:c>
      <ns0:c r="P122" t="str">
        <ns0:f>IF(J122="","",'Project Tracker'!F35)</ns0:f>
      </ns0:c>
      <ns0:c r="Q122" t="str">
        <ns0:f>IF(J122="","",'Project Tracker'!Q35)</ns0:f>
      </ns0:c>
      <ns0:c r="R122" t="str">
        <ns0:f>IF(J122="","",'Project Tracker'!J35)</ns0:f>
      </ns0:c>
    </ns0:row>
    <ns0:row r="123">
      <ns0:c r="J123" t="str">
        <ns0:f>IF('Project Tracker'!A36="","",TRIM(MID(SUBSTITUTE('Project Tracker'!K36,";",REPT(" ",150)),1,150)))</ns0:f>
        <ns0:v>Outbound Actuation MCP Boundary</ns0:v>
      </ns0:c>
      <ns0:c r="K123" t="n">
        <ns0:f>IF(J123="","",IF(COUNTIFS($J$7:J123,J123)=1,MAX($K$6:K122)+1,""))</ns0:f>
        <ns0:v>23</ns0:v>
      </ns0:c>
      <ns0:c r="M123" t="str">
        <ns0:f>IF(J123="","",'Project Tracker'!A36)</ns0:f>
        <ns0:v>T25</ns0:v>
      </ns0:c>
      <ns0:c r="N123" t="n">
        <ns0:f>IF(J123="","",'Project Tracker'!N36)</ns0:f>
        <ns0:v>0</ns0:v>
      </ns0:c>
      <ns0:c r="O123" t="n">
        <ns0:f>IF(J123="","",'Project Tracker'!E36)</ns0:f>
        <ns0:v>46297</ns0:v>
      </ns0:c>
      <ns0:c r="P123" t="n">
        <ns0:f>IF(J123="","",'Project Tracker'!F36)</ns0:f>
        <ns0:v>46298</ns0:v>
      </ns0:c>
      <ns0:c r="Q123" t="str">
        <ns0:f>IF(J123="","",'Project Tracker'!Q36)</ns0:f>
        <ns0:v>Not Started</ns0:v>
      </ns0:c>
      <ns0:c r="R123" t="str">
        <ns0:f>IF(J123="","",'Project Tracker'!J36)</ns0:f>
        <ns0:v>No</ns0:v>
      </ns0:c>
    </ns0:row>
    <ns0:row r="124">
      <ns0:c r="J124" t="str">
        <ns0:f>IF('Project Tracker'!A36="","",TRIM(MID(SUBSTITUTE('Project Tracker'!K36,";",REPT(" ",150)),151,150)))</ns0:f>
      </ns0:c>
      <ns0:c r="K124" t="str">
        <ns0:f>IF(J124="","",IF(COUNTIFS($J$7:J124,J124)=1,MAX($K$6:K123)+1,""))</ns0:f>
      </ns0:c>
      <ns0:c r="M124" t="str">
        <ns0:f>IF(J124="","",'Project Tracker'!A36)</ns0:f>
      </ns0:c>
      <ns0:c r="N124" t="str">
        <ns0:f>IF(J124="","",'Project Tracker'!N36)</ns0:f>
      </ns0:c>
      <ns0:c r="O124" t="str">
        <ns0:f>IF(J124="","",'Project Tracker'!E36)</ns0:f>
      </ns0:c>
      <ns0:c r="P124" t="str">
        <ns0:f>IF(J124="","",'Project Tracker'!F36)</ns0:f>
      </ns0:c>
      <ns0:c r="Q124" t="str">
        <ns0:f>IF(J124="","",'Project Tracker'!Q36)</ns0:f>
      </ns0:c>
      <ns0:c r="R124" t="str">
        <ns0:f>IF(J124="","",'Project Tracker'!J36)</ns0:f>
      </ns0:c>
    </ns0:row>
    <ns0:row r="125">
      <ns0:c r="J125" t="str">
        <ns0:f>IF('Project Tracker'!A36="","",TRIM(MID(SUBSTITUTE('Project Tracker'!K36,";",REPT(" ",150)),301,150)))</ns0:f>
      </ns0:c>
      <ns0:c r="K125" t="str">
        <ns0:f>IF(J125="","",IF(COUNTIFS($J$7:J125,J125)=1,MAX($K$6:K124)+1,""))</ns0:f>
      </ns0:c>
      <ns0:c r="M125" t="str">
        <ns0:f>IF(J125="","",'Project Tracker'!A36)</ns0:f>
      </ns0:c>
      <ns0:c r="N125" t="str">
        <ns0:f>IF(J125="","",'Project Tracker'!N36)</ns0:f>
      </ns0:c>
      <ns0:c r="O125" t="str">
        <ns0:f>IF(J125="","",'Project Tracker'!E36)</ns0:f>
      </ns0:c>
      <ns0:c r="P125" t="str">
        <ns0:f>IF(J125="","",'Project Tracker'!F36)</ns0:f>
      </ns0:c>
      <ns0:c r="Q125" t="str">
        <ns0:f>IF(J125="","",'Project Tracker'!Q36)</ns0:f>
      </ns0:c>
      <ns0:c r="R125" t="str">
        <ns0:f>IF(J125="","",'Project Tracker'!J36)</ns0:f>
      </ns0:c>
    </ns0:row>
    <ns0:row r="126">
      <ns0:c r="J126" t="str">
        <ns0:f>IF('Project Tracker'!A36="","",TRIM(MID(SUBSTITUTE('Project Tracker'!K36,";",REPT(" ",150)),451,150)))</ns0:f>
      </ns0:c>
      <ns0:c r="K126" t="str">
        <ns0:f>IF(J126="","",IF(COUNTIFS($J$7:J126,J126)=1,MAX($K$6:K125)+1,""))</ns0:f>
      </ns0:c>
      <ns0:c r="M126" t="str">
        <ns0:f>IF(J126="","",'Project Tracker'!A36)</ns0:f>
      </ns0:c>
      <ns0:c r="N126" t="str">
        <ns0:f>IF(J126="","",'Project Tracker'!N36)</ns0:f>
      </ns0:c>
      <ns0:c r="O126" t="str">
        <ns0:f>IF(J126="","",'Project Tracker'!E36)</ns0:f>
      </ns0:c>
      <ns0:c r="P126" t="str">
        <ns0:f>IF(J126="","",'Project Tracker'!F36)</ns0:f>
      </ns0:c>
      <ns0:c r="Q126" t="str">
        <ns0:f>IF(J126="","",'Project Tracker'!Q36)</ns0:f>
      </ns0:c>
      <ns0:c r="R126" t="str">
        <ns0:f>IF(J126="","",'Project Tracker'!J36)</ns0:f>
      </ns0:c>
    </ns0:row>
    <ns0:row r="127">
      <ns0:c r="J127" t="str">
        <ns0:f>IF('Project Tracker'!A37="","",TRIM(MID(SUBSTITUTE('Project Tracker'!K37,";",REPT(" ",150)),1,150)))</ns0:f>
        <ns0:v>Headless CMS &amp; Web Store (CMS)</ns0:v>
      </ns0:c>
      <ns0:c r="K127" t="str">
        <ns0:f>IF(J127="","",IF(COUNTIFS($J$7:J127,J127)=1,MAX($K$6:K126)+1,""))</ns0:f>
      </ns0:c>
      <ns0:c r="M127" t="str">
        <ns0:f>IF(J127="","",'Project Tracker'!A37)</ns0:f>
        <ns0:v>T26</ns0:v>
      </ns0:c>
      <ns0:c r="N127" t="n">
        <ns0:f>IF(J127="","",'Project Tracker'!N37)</ns0:f>
        <ns0:v>0</ns0:v>
      </ns0:c>
      <ns0:c r="O127" t="n">
        <ns0:f>IF(J127="","",'Project Tracker'!E37)</ns0:f>
        <ns0:v>46299</ns0:v>
      </ns0:c>
      <ns0:c r="P127" t="n">
        <ns0:f>IF(J127="","",'Project Tracker'!F37)</ns0:f>
        <ns0:v>46300</ns0:v>
      </ns0:c>
      <ns0:c r="Q127" t="str">
        <ns0:f>IF(J127="","",'Project Tracker'!Q37)</ns0:f>
        <ns0:v>Not Started</ns0:v>
      </ns0:c>
      <ns0:c r="R127" t="str">
        <ns0:f>IF(J127="","",'Project Tracker'!J37)</ns0:f>
        <ns0:v>No</ns0:v>
      </ns0:c>
    </ns0:row>
    <ns0:row r="128">
      <ns0:c r="J128" t="str">
        <ns0:f>IF('Project Tracker'!A37="","",TRIM(MID(SUBSTITUTE('Project Tracker'!K37,";",REPT(" ",150)),151,150)))</ns0:f>
        <ns0:v>Outbound Actuation MCP Boundary</ns0:v>
      </ns0:c>
      <ns0:c r="K128" t="str">
        <ns0:f>IF(J128="","",IF(COUNTIFS($J$7:J128,J128)=1,MAX($K$6:K127)+1,""))</ns0:f>
      </ns0:c>
      <ns0:c r="M128" t="str">
        <ns0:f>IF(J128="","",'Project Tracker'!A37)</ns0:f>
        <ns0:v>T26</ns0:v>
      </ns0:c>
      <ns0:c r="N128" t="n">
        <ns0:f>IF(J128="","",'Project Tracker'!N37)</ns0:f>
        <ns0:v>0</ns0:v>
      </ns0:c>
      <ns0:c r="O128" t="n">
        <ns0:f>IF(J128="","",'Project Tracker'!E37)</ns0:f>
        <ns0:v>46299</ns0:v>
      </ns0:c>
      <ns0:c r="P128" t="n">
        <ns0:f>IF(J128="","",'Project Tracker'!F37)</ns0:f>
        <ns0:v>46300</ns0:v>
      </ns0:c>
      <ns0:c r="Q128" t="str">
        <ns0:f>IF(J128="","",'Project Tracker'!Q37)</ns0:f>
        <ns0:v>Not Started</ns0:v>
      </ns0:c>
      <ns0:c r="R128" t="str">
        <ns0:f>IF(J128="","",'Project Tracker'!J37)</ns0:f>
        <ns0:v>No</ns0:v>
      </ns0:c>
    </ns0:row>
    <ns0:row r="129">
      <ns0:c r="J129" t="str">
        <ns0:f>IF('Project Tracker'!A37="","",TRIM(MID(SUBSTITUTE('Project Tracker'!K37,";",REPT(" ",150)),301,150)))</ns0:f>
        <ns0:v>Live Website &amp; Headless CMS Surface</ns0:v>
      </ns0:c>
      <ns0:c r="K129" t="n">
        <ns0:f>IF(J129="","",IF(COUNTIFS($J$7:J129,J129)=1,MAX($K$6:K128)+1,""))</ns0:f>
        <ns0:v>24</ns0:v>
      </ns0:c>
      <ns0:c r="M129" t="str">
        <ns0:f>IF(J129="","",'Project Tracker'!A37)</ns0:f>
        <ns0:v>T26</ns0:v>
      </ns0:c>
      <ns0:c r="N129" t="n">
        <ns0:f>IF(J129="","",'Project Tracker'!N37)</ns0:f>
        <ns0:v>0</ns0:v>
      </ns0:c>
      <ns0:c r="O129" t="n">
        <ns0:f>IF(J129="","",'Project Tracker'!E37)</ns0:f>
        <ns0:v>46299</ns0:v>
      </ns0:c>
      <ns0:c r="P129" t="n">
        <ns0:f>IF(J129="","",'Project Tracker'!F37)</ns0:f>
        <ns0:v>46300</ns0:v>
      </ns0:c>
      <ns0:c r="Q129" t="str">
        <ns0:f>IF(J129="","",'Project Tracker'!Q37)</ns0:f>
        <ns0:v>Not Started</ns0:v>
      </ns0:c>
      <ns0:c r="R129" t="str">
        <ns0:f>IF(J129="","",'Project Tracker'!J37)</ns0:f>
        <ns0:v>No</ns0:v>
      </ns0:c>
    </ns0:row>
    <ns0:row r="130">
      <ns0:c r="J130" t="str">
        <ns0:f>IF('Project Tracker'!A37="","",TRIM(MID(SUBSTITUTE('Project Tracker'!K37,";",REPT(" ",150)),451,150)))</ns0:f>
      </ns0:c>
      <ns0:c r="K130" t="str">
        <ns0:f>IF(J130="","",IF(COUNTIFS($J$7:J130,J130)=1,MAX($K$6:K129)+1,""))</ns0:f>
      </ns0:c>
      <ns0:c r="M130" t="str">
        <ns0:f>IF(J130="","",'Project Tracker'!A37)</ns0:f>
      </ns0:c>
      <ns0:c r="N130" t="str">
        <ns0:f>IF(J130="","",'Project Tracker'!N37)</ns0:f>
      </ns0:c>
      <ns0:c r="O130" t="str">
        <ns0:f>IF(J130="","",'Project Tracker'!E37)</ns0:f>
      </ns0:c>
      <ns0:c r="P130" t="str">
        <ns0:f>IF(J130="","",'Project Tracker'!F37)</ns0:f>
      </ns0:c>
      <ns0:c r="Q130" t="str">
        <ns0:f>IF(J130="","",'Project Tracker'!Q37)</ns0:f>
      </ns0:c>
      <ns0:c r="R130" t="str">
        <ns0:f>IF(J130="","",'Project Tracker'!J37)</ns0:f>
      </ns0:c>
    </ns0:row>
    <ns0:row r="131">
      <ns0:c r="J131" t="str">
        <ns0:f>IF('Project Tracker'!A38="","",TRIM(MID(SUBSTITUTE('Project Tracker'!K38,";",REPT(" ",150)),1,150)))</ns0:f>
        <ns0:v>Outbound Actuation MCP Boundary</ns0:v>
      </ns0:c>
      <ns0:c r="K131" t="str">
        <ns0:f>IF(J131="","",IF(COUNTIFS($J$7:J131,J131)=1,MAX($K$6:K130)+1,""))</ns0:f>
      </ns0:c>
      <ns0:c r="M131" t="str">
        <ns0:f>IF(J131="","",'Project Tracker'!A38)</ns0:f>
        <ns0:v>T27</ns0:v>
      </ns0:c>
      <ns0:c r="N131" t="n">
        <ns0:f>IF(J131="","",'Project Tracker'!N38)</ns0:f>
        <ns0:v>0</ns0:v>
      </ns0:c>
      <ns0:c r="O131" t="n">
        <ns0:f>IF(J131="","",'Project Tracker'!E38)</ns0:f>
        <ns0:v>46299</ns0:v>
      </ns0:c>
      <ns0:c r="P131" t="n">
        <ns0:f>IF(J131="","",'Project Tracker'!F38)</ns0:f>
        <ns0:v>46300</ns0:v>
      </ns0:c>
      <ns0:c r="Q131" t="str">
        <ns0:f>IF(J131="","",'Project Tracker'!Q38)</ns0:f>
        <ns0:v>Not Started</ns0:v>
      </ns0:c>
      <ns0:c r="R131" t="str">
        <ns0:f>IF(J131="","",'Project Tracker'!J38)</ns0:f>
        <ns0:v>No</ns0:v>
      </ns0:c>
    </ns0:row>
    <ns0:row r="132">
      <ns0:c r="J132" t="str">
        <ns0:f>IF('Project Tracker'!A38="","",TRIM(MID(SUBSTITUTE('Project Tracker'!K38,";",REPT(" ",150)),151,150)))</ns0:f>
        <ns0:v>Paid Ad Platforms (Meta, Google, TikTok)</ns0:v>
      </ns0:c>
      <ns0:c r="K132" t="n">
        <ns0:f>IF(J132="","",IF(COUNTIFS($J$7:J132,J132)=1,MAX($K$6:K131)+1,""))</ns0:f>
        <ns0:v>25</ns0:v>
      </ns0:c>
      <ns0:c r="M132" t="str">
        <ns0:f>IF(J132="","",'Project Tracker'!A38)</ns0:f>
        <ns0:v>T27</ns0:v>
      </ns0:c>
      <ns0:c r="N132" t="n">
        <ns0:f>IF(J132="","",'Project Tracker'!N38)</ns0:f>
        <ns0:v>0</ns0:v>
      </ns0:c>
      <ns0:c r="O132" t="n">
        <ns0:f>IF(J132="","",'Project Tracker'!E38)</ns0:f>
        <ns0:v>46299</ns0:v>
      </ns0:c>
      <ns0:c r="P132" t="n">
        <ns0:f>IF(J132="","",'Project Tracker'!F38)</ns0:f>
        <ns0:v>46300</ns0:v>
      </ns0:c>
      <ns0:c r="Q132" t="str">
        <ns0:f>IF(J132="","",'Project Tracker'!Q38)</ns0:f>
        <ns0:v>Not Started</ns0:v>
      </ns0:c>
      <ns0:c r="R132" t="str">
        <ns0:f>IF(J132="","",'Project Tracker'!J38)</ns0:f>
        <ns0:v>No</ns0:v>
      </ns0:c>
    </ns0:row>
    <ns0:row r="133">
      <ns0:c r="J133" t="str">
        <ns0:f>IF('Project Tracker'!A38="","",TRIM(MID(SUBSTITUTE('Project Tracker'!K38,";",REPT(" ",150)),301,150)))</ns0:f>
      </ns0:c>
      <ns0:c r="K133" t="str">
        <ns0:f>IF(J133="","",IF(COUNTIFS($J$7:J133,J133)=1,MAX($K$6:K132)+1,""))</ns0:f>
      </ns0:c>
      <ns0:c r="M133" t="str">
        <ns0:f>IF(J133="","",'Project Tracker'!A38)</ns0:f>
      </ns0:c>
      <ns0:c r="N133" t="str">
        <ns0:f>IF(J133="","",'Project Tracker'!N38)</ns0:f>
      </ns0:c>
      <ns0:c r="O133" t="str">
        <ns0:f>IF(J133="","",'Project Tracker'!E38)</ns0:f>
      </ns0:c>
      <ns0:c r="P133" t="str">
        <ns0:f>IF(J133="","",'Project Tracker'!F38)</ns0:f>
      </ns0:c>
      <ns0:c r="Q133" t="str">
        <ns0:f>IF(J133="","",'Project Tracker'!Q38)</ns0:f>
      </ns0:c>
      <ns0:c r="R133" t="str">
        <ns0:f>IF(J133="","",'Project Tracker'!J38)</ns0:f>
      </ns0:c>
    </ns0:row>
    <ns0:row r="134">
      <ns0:c r="J134" t="str">
        <ns0:f>IF('Project Tracker'!A38="","",TRIM(MID(SUBSTITUTE('Project Tracker'!K38,";",REPT(" ",150)),451,150)))</ns0:f>
      </ns0:c>
      <ns0:c r="K134" t="str">
        <ns0:f>IF(J134="","",IF(COUNTIFS($J$7:J134,J134)=1,MAX($K$6:K133)+1,""))</ns0:f>
      </ns0:c>
      <ns0:c r="M134" t="str">
        <ns0:f>IF(J134="","",'Project Tracker'!A38)</ns0:f>
      </ns0:c>
      <ns0:c r="N134" t="str">
        <ns0:f>IF(J134="","",'Project Tracker'!N38)</ns0:f>
      </ns0:c>
      <ns0:c r="O134" t="str">
        <ns0:f>IF(J134="","",'Project Tracker'!E38)</ns0:f>
      </ns0:c>
      <ns0:c r="P134" t="str">
        <ns0:f>IF(J134="","",'Project Tracker'!F38)</ns0:f>
      </ns0:c>
      <ns0:c r="Q134" t="str">
        <ns0:f>IF(J134="","",'Project Tracker'!Q38)</ns0:f>
      </ns0:c>
      <ns0:c r="R134" t="str">
        <ns0:f>IF(J134="","",'Project Tracker'!J38)</ns0:f>
      </ns0:c>
    </ns0:row>
    <ns0:row r="135">
      <ns0:c r="J135" t="str">
        <ns0:f>IF('Project Tracker'!A39="","",TRIM(MID(SUBSTITUTE('Project Tracker'!K39,";",REPT(" ",150)),1,150)))</ns0:f>
        <ns0:v>Outbound Actuation MCP Boundary</ns0:v>
      </ns0:c>
      <ns0:c r="K135" t="str">
        <ns0:f>IF(J135="","",IF(COUNTIFS($J$7:J135,J135)=1,MAX($K$6:K134)+1,""))</ns0:f>
      </ns0:c>
      <ns0:c r="M135" t="str">
        <ns0:f>IF(J135="","",'Project Tracker'!A39)</ns0:f>
        <ns0:v>T28</ns0:v>
      </ns0:c>
      <ns0:c r="N135" t="n">
        <ns0:f>IF(J135="","",'Project Tracker'!N39)</ns0:f>
        <ns0:v>0</ns0:v>
      </ns0:c>
      <ns0:c r="O135" t="n">
        <ns0:f>IF(J135="","",'Project Tracker'!E39)</ns0:f>
        <ns0:v>46299</ns0:v>
      </ns0:c>
      <ns0:c r="P135" t="n">
        <ns0:f>IF(J135="","",'Project Tracker'!F39)</ns0:f>
        <ns0:v>46300</ns0:v>
      </ns0:c>
      <ns0:c r="Q135" t="str">
        <ns0:f>IF(J135="","",'Project Tracker'!Q39)</ns0:f>
        <ns0:v>Not Started</ns0:v>
      </ns0:c>
      <ns0:c r="R135" t="str">
        <ns0:f>IF(J135="","",'Project Tracker'!J39)</ns0:f>
        <ns0:v>No</ns0:v>
      </ns0:c>
    </ns0:row>
    <ns0:row r="136">
      <ns0:c r="J136" t="str">
        <ns0:f>IF('Project Tracker'!A39="","",TRIM(MID(SUBSTITUTE('Project Tracker'!K39,";",REPT(" ",150)),151,150)))</ns0:f>
        <ns0:v>Social Channels (Instagram, X, YouTube)</ns0:v>
      </ns0:c>
      <ns0:c r="K136" t="n">
        <ns0:f>IF(J136="","",IF(COUNTIFS($J$7:J136,J136)=1,MAX($K$6:K135)+1,""))</ns0:f>
        <ns0:v>26</ns0:v>
      </ns0:c>
      <ns0:c r="M136" t="str">
        <ns0:f>IF(J136="","",'Project Tracker'!A39)</ns0:f>
        <ns0:v>T28</ns0:v>
      </ns0:c>
      <ns0:c r="N136" t="n">
        <ns0:f>IF(J136="","",'Project Tracker'!N39)</ns0:f>
        <ns0:v>0</ns0:v>
      </ns0:c>
      <ns0:c r="O136" t="n">
        <ns0:f>IF(J136="","",'Project Tracker'!E39)</ns0:f>
        <ns0:v>46299</ns0:v>
      </ns0:c>
      <ns0:c r="P136" t="n">
        <ns0:f>IF(J136="","",'Project Tracker'!F39)</ns0:f>
        <ns0:v>46300</ns0:v>
      </ns0:c>
      <ns0:c r="Q136" t="str">
        <ns0:f>IF(J136="","",'Project Tracker'!Q39)</ns0:f>
        <ns0:v>Not Started</ns0:v>
      </ns0:c>
      <ns0:c r="R136" t="str">
        <ns0:f>IF(J136="","",'Project Tracker'!J39)</ns0:f>
        <ns0:v>No</ns0:v>
      </ns0:c>
    </ns0:row>
    <ns0:row r="137">
      <ns0:c r="J137" t="str">
        <ns0:f>IF('Project Tracker'!A39="","",TRIM(MID(SUBSTITUTE('Project Tracker'!K39,";",REPT(" ",150)),301,150)))</ns0:f>
      </ns0:c>
      <ns0:c r="K137" t="str">
        <ns0:f>IF(J137="","",IF(COUNTIFS($J$7:J137,J137)=1,MAX($K$6:K136)+1,""))</ns0:f>
      </ns0:c>
      <ns0:c r="M137" t="str">
        <ns0:f>IF(J137="","",'Project Tracker'!A39)</ns0:f>
      </ns0:c>
      <ns0:c r="N137" t="str">
        <ns0:f>IF(J137="","",'Project Tracker'!N39)</ns0:f>
      </ns0:c>
      <ns0:c r="O137" t="str">
        <ns0:f>IF(J137="","",'Project Tracker'!E39)</ns0:f>
      </ns0:c>
      <ns0:c r="P137" t="str">
        <ns0:f>IF(J137="","",'Project Tracker'!F39)</ns0:f>
      </ns0:c>
      <ns0:c r="Q137" t="str">
        <ns0:f>IF(J137="","",'Project Tracker'!Q39)</ns0:f>
      </ns0:c>
      <ns0:c r="R137" t="str">
        <ns0:f>IF(J137="","",'Project Tracker'!J39)</ns0:f>
      </ns0:c>
    </ns0:row>
    <ns0:row r="138">
      <ns0:c r="J138" t="str">
        <ns0:f>IF('Project Tracker'!A39="","",TRIM(MID(SUBSTITUTE('Project Tracker'!K39,";",REPT(" ",150)),451,150)))</ns0:f>
      </ns0:c>
      <ns0:c r="K138" t="str">
        <ns0:f>IF(J138="","",IF(COUNTIFS($J$7:J138,J138)=1,MAX($K$6:K137)+1,""))</ns0:f>
      </ns0:c>
      <ns0:c r="M138" t="str">
        <ns0:f>IF(J138="","",'Project Tracker'!A39)</ns0:f>
      </ns0:c>
      <ns0:c r="N138" t="str">
        <ns0:f>IF(J138="","",'Project Tracker'!N39)</ns0:f>
      </ns0:c>
      <ns0:c r="O138" t="str">
        <ns0:f>IF(J138="","",'Project Tracker'!E39)</ns0:f>
      </ns0:c>
      <ns0:c r="P138" t="str">
        <ns0:f>IF(J138="","",'Project Tracker'!F39)</ns0:f>
      </ns0:c>
      <ns0:c r="Q138" t="str">
        <ns0:f>IF(J138="","",'Project Tracker'!Q39)</ns0:f>
      </ns0:c>
      <ns0:c r="R138" t="str">
        <ns0:f>IF(J138="","",'Project Tracker'!J39)</ns0:f>
      </ns0:c>
    </ns0:row>
    <ns0:row r="139">
      <ns0:c r="J139" t="str">
        <ns0:f>IF('Project Tracker'!A40="","",TRIM(MID(SUBSTITUTE('Project Tracker'!K40,";",REPT(" ",150)),1,150)))</ns0:f>
        <ns0:v>Omnichannel Telemetry Engine</ns0:v>
      </ns0:c>
      <ns0:c r="K139" t="n">
        <ns0:f>IF(J139="","",IF(COUNTIFS($J$7:J139,J139)=1,MAX($K$6:K138)+1,""))</ns0:f>
        <ns0:v>27</ns0:v>
      </ns0:c>
      <ns0:c r="M139" t="str">
        <ns0:f>IF(J139="","",'Project Tracker'!A40)</ns0:f>
        <ns0:v>T29</ns0:v>
      </ns0:c>
      <ns0:c r="N139" t="n">
        <ns0:f>IF(J139="","",'Project Tracker'!N40)</ns0:f>
        <ns0:v>0</ns0:v>
      </ns0:c>
      <ns0:c r="O139" t="n">
        <ns0:f>IF(J139="","",'Project Tracker'!E40)</ns0:f>
        <ns0:v>46301</ns0:v>
      </ns0:c>
      <ns0:c r="P139" t="n">
        <ns0:f>IF(J139="","",'Project Tracker'!F40)</ns0:f>
        <ns0:v>46302</ns0:v>
      </ns0:c>
      <ns0:c r="Q139" t="str">
        <ns0:f>IF(J139="","",'Project Tracker'!Q40)</ns0:f>
        <ns0:v>Not Started</ns0:v>
      </ns0:c>
      <ns0:c r="R139" t="str">
        <ns0:f>IF(J139="","",'Project Tracker'!J40)</ns0:f>
        <ns0:v>No</ns0:v>
      </ns0:c>
    </ns0:row>
    <ns0:row r="140">
      <ns0:c r="J140" t="str">
        <ns0:f>IF('Project Tracker'!A40="","",TRIM(MID(SUBSTITUTE('Project Tracker'!K40,";",REPT(" ",150)),151,150)))</ns0:f>
      </ns0:c>
      <ns0:c r="K140" t="str">
        <ns0:f>IF(J140="","",IF(COUNTIFS($J$7:J140,J140)=1,MAX($K$6:K139)+1,""))</ns0:f>
      </ns0:c>
      <ns0:c r="M140" t="str">
        <ns0:f>IF(J140="","",'Project Tracker'!A40)</ns0:f>
      </ns0:c>
      <ns0:c r="N140" t="str">
        <ns0:f>IF(J140="","",'Project Tracker'!N40)</ns0:f>
      </ns0:c>
      <ns0:c r="O140" t="str">
        <ns0:f>IF(J140="","",'Project Tracker'!E40)</ns0:f>
      </ns0:c>
      <ns0:c r="P140" t="str">
        <ns0:f>IF(J140="","",'Project Tracker'!F40)</ns0:f>
      </ns0:c>
      <ns0:c r="Q140" t="str">
        <ns0:f>IF(J140="","",'Project Tracker'!Q40)</ns0:f>
      </ns0:c>
      <ns0:c r="R140" t="str">
        <ns0:f>IF(J140="","",'Project Tracker'!J40)</ns0:f>
      </ns0:c>
    </ns0:row>
    <ns0:row r="141">
      <ns0:c r="J141" t="str">
        <ns0:f>IF('Project Tracker'!A40="","",TRIM(MID(SUBSTITUTE('Project Tracker'!K40,";",REPT(" ",150)),301,150)))</ns0:f>
      </ns0:c>
      <ns0:c r="K141" t="str">
        <ns0:f>IF(J141="","",IF(COUNTIFS($J$7:J141,J141)=1,MAX($K$6:K140)+1,""))</ns0:f>
      </ns0:c>
      <ns0:c r="M141" t="str">
        <ns0:f>IF(J141="","",'Project Tracker'!A40)</ns0:f>
      </ns0:c>
      <ns0:c r="N141" t="str">
        <ns0:f>IF(J141="","",'Project Tracker'!N40)</ns0:f>
      </ns0:c>
      <ns0:c r="O141" t="str">
        <ns0:f>IF(J141="","",'Project Tracker'!E40)</ns0:f>
      </ns0:c>
      <ns0:c r="P141" t="str">
        <ns0:f>IF(J141="","",'Project Tracker'!F40)</ns0:f>
      </ns0:c>
      <ns0:c r="Q141" t="str">
        <ns0:f>IF(J141="","",'Project Tracker'!Q40)</ns0:f>
      </ns0:c>
      <ns0:c r="R141" t="str">
        <ns0:f>IF(J141="","",'Project Tracker'!J40)</ns0:f>
      </ns0:c>
    </ns0:row>
    <ns0:row r="142">
      <ns0:c r="J142" t="str">
        <ns0:f>IF('Project Tracker'!A40="","",TRIM(MID(SUBSTITUTE('Project Tracker'!K40,";",REPT(" ",150)),451,150)))</ns0:f>
      </ns0:c>
      <ns0:c r="K142" t="str">
        <ns0:f>IF(J142="","",IF(COUNTIFS($J$7:J142,J142)=1,MAX($K$6:K141)+1,""))</ns0:f>
      </ns0:c>
      <ns0:c r="M142" t="str">
        <ns0:f>IF(J142="","",'Project Tracker'!A40)</ns0:f>
      </ns0:c>
      <ns0:c r="N142" t="str">
        <ns0:f>IF(J142="","",'Project Tracker'!N40)</ns0:f>
      </ns0:c>
      <ns0:c r="O142" t="str">
        <ns0:f>IF(J142="","",'Project Tracker'!E40)</ns0:f>
      </ns0:c>
      <ns0:c r="P142" t="str">
        <ns0:f>IF(J142="","",'Project Tracker'!F40)</ns0:f>
      </ns0:c>
      <ns0:c r="Q142" t="str">
        <ns0:f>IF(J142="","",'Project Tracker'!Q40)</ns0:f>
      </ns0:c>
      <ns0:c r="R142" t="str">
        <ns0:f>IF(J142="","",'Project Tracker'!J40)</ns0:f>
      </ns0:c>
    </ns0:row>
    <ns0:row r="143">
      <ns0:c r="J143" t="str">
        <ns0:f>IF('Project Tracker'!A41="","",TRIM(MID(SUBSTITUTE('Project Tracker'!K41,";",REPT(" ",150)),1,150)))</ns0:f>
        <ns0:v>Unassigned</ns0:v>
      </ns0:c>
      <ns0:c r="K143" t="str">
        <ns0:f>IF(J143="","",IF(COUNTIFS($J$7:J143,J143)=1,MAX($K$6:K142)+1,""))</ns0:f>
      </ns0:c>
      <ns0:c r="M143" t="str">
        <ns0:f>IF(J143="","",'Project Tracker'!A41)</ns0:f>
        <ns0:v>M6</ns0:v>
      </ns0:c>
      <ns0:c r="N143" t="n">
        <ns0:f>IF(J143="","",'Project Tracker'!N41)</ns0:f>
        <ns0:v>0</ns0:v>
      </ns0:c>
      <ns0:c r="O143" t="n">
        <ns0:f>IF(J143="","",'Project Tracker'!E41)</ns0:f>
        <ns0:v>46305</ns0:v>
      </ns0:c>
      <ns0:c r="P143" t="n">
        <ns0:f>IF(J143="","",'Project Tracker'!F41)</ns0:f>
        <ns0:v>46305</ns0:v>
      </ns0:c>
      <ns0:c r="Q143" t="str">
        <ns0:f>IF(J143="","",'Project Tracker'!Q41)</ns0:f>
        <ns0:v>Not Started</ns0:v>
      </ns0:c>
      <ns0:c r="R143" t="str">
        <ns0:f>IF(J143="","",'Project Tracker'!J41)</ns0:f>
        <ns0:v>Yes</ns0:v>
      </ns0:c>
    </ns0:row>
    <ns0:row r="144">
      <ns0:c r="J144" t="str">
        <ns0:f>IF('Project Tracker'!A41="","",TRIM(MID(SUBSTITUTE('Project Tracker'!K41,";",REPT(" ",150)),151,150)))</ns0:f>
      </ns0:c>
      <ns0:c r="K144" t="str">
        <ns0:f>IF(J144="","",IF(COUNTIFS($J$7:J144,J144)=1,MAX($K$6:K143)+1,""))</ns0:f>
      </ns0:c>
      <ns0:c r="M144" t="str">
        <ns0:f>IF(J144="","",'Project Tracker'!A41)</ns0:f>
      </ns0:c>
      <ns0:c r="N144" t="str">
        <ns0:f>IF(J144="","",'Project Tracker'!N41)</ns0:f>
      </ns0:c>
      <ns0:c r="O144" t="str">
        <ns0:f>IF(J144="","",'Project Tracker'!E41)</ns0:f>
      </ns0:c>
      <ns0:c r="P144" t="str">
        <ns0:f>IF(J144="","",'Project Tracker'!F41)</ns0:f>
      </ns0:c>
      <ns0:c r="Q144" t="str">
        <ns0:f>IF(J144="","",'Project Tracker'!Q41)</ns0:f>
      </ns0:c>
      <ns0:c r="R144" t="str">
        <ns0:f>IF(J144="","",'Project Tracker'!J41)</ns0:f>
      </ns0:c>
    </ns0:row>
    <ns0:row r="145">
      <ns0:c r="J145" t="str">
        <ns0:f>IF('Project Tracker'!A41="","",TRIM(MID(SUBSTITUTE('Project Tracker'!K41,";",REPT(" ",150)),301,150)))</ns0:f>
      </ns0:c>
      <ns0:c r="K145" t="str">
        <ns0:f>IF(J145="","",IF(COUNTIFS($J$7:J145,J145)=1,MAX($K$6:K144)+1,""))</ns0:f>
      </ns0:c>
      <ns0:c r="M145" t="str">
        <ns0:f>IF(J145="","",'Project Tracker'!A41)</ns0:f>
      </ns0:c>
      <ns0:c r="N145" t="str">
        <ns0:f>IF(J145="","",'Project Tracker'!N41)</ns0:f>
      </ns0:c>
      <ns0:c r="O145" t="str">
        <ns0:f>IF(J145="","",'Project Tracker'!E41)</ns0:f>
      </ns0:c>
      <ns0:c r="P145" t="str">
        <ns0:f>IF(J145="","",'Project Tracker'!F41)</ns0:f>
      </ns0:c>
      <ns0:c r="Q145" t="str">
        <ns0:f>IF(J145="","",'Project Tracker'!Q41)</ns0:f>
      </ns0:c>
      <ns0:c r="R145" t="str">
        <ns0:f>IF(J145="","",'Project Tracker'!J41)</ns0:f>
      </ns0:c>
    </ns0:row>
    <ns0:row r="146">
      <ns0:c r="J146" t="str">
        <ns0:f>IF('Project Tracker'!A41="","",TRIM(MID(SUBSTITUTE('Project Tracker'!K41,";",REPT(" ",150)),451,150)))</ns0:f>
      </ns0:c>
      <ns0:c r="K146" t="str">
        <ns0:f>IF(J146="","",IF(COUNTIFS($J$7:J146,J146)=1,MAX($K$6:K145)+1,""))</ns0:f>
      </ns0:c>
      <ns0:c r="M146" t="str">
        <ns0:f>IF(J146="","",'Project Tracker'!A41)</ns0:f>
      </ns0:c>
      <ns0:c r="N146" t="str">
        <ns0:f>IF(J146="","",'Project Tracker'!N41)</ns0:f>
      </ns0:c>
      <ns0:c r="O146" t="str">
        <ns0:f>IF(J146="","",'Project Tracker'!E41)</ns0:f>
      </ns0:c>
      <ns0:c r="P146" t="str">
        <ns0:f>IF(J146="","",'Project Tracker'!F41)</ns0:f>
      </ns0:c>
      <ns0:c r="Q146" t="str">
        <ns0:f>IF(J146="","",'Project Tracker'!Q41)</ns0:f>
      </ns0:c>
      <ns0:c r="R146" t="str">
        <ns0:f>IF(J146="","",'Project Tracker'!J41)</ns0:f>
      </ns0:c>
    </ns0:row>
    <ns0:row r="147">
      <ns0:c r="J147" t="str">
        <ns0:f>IF('Project Tracker'!A42="","",TRIM(MID(SUBSTITUTE('Project Tracker'!K42,";",REPT(" ",150)),1,150)))</ns0:f>
        <ns0:v>Central Enterprise Database (CDB)</ns0:v>
      </ns0:c>
      <ns0:c r="K147" t="str">
        <ns0:f>IF(J147="","",IF(COUNTIFS($J$7:J147,J147)=1,MAX($K$6:K146)+1,""))</ns0:f>
      </ns0:c>
      <ns0:c r="M147" t="str">
        <ns0:f>IF(J147="","",'Project Tracker'!A42)</ns0:f>
        <ns0:v>T30</ns0:v>
      </ns0:c>
      <ns0:c r="N147" t="n">
        <ns0:f>IF(J147="","",'Project Tracker'!N42)</ns0:f>
        <ns0:v>0</ns0:v>
      </ns0:c>
      <ns0:c r="O147" t="n">
        <ns0:f>IF(J147="","",'Project Tracker'!E42)</ns0:f>
        <ns0:v>46303</ns0:v>
      </ns0:c>
      <ns0:c r="P147" t="n">
        <ns0:f>IF(J147="","",'Project Tracker'!F42)</ns0:f>
        <ns0:v>46304</ns0:v>
      </ns0:c>
      <ns0:c r="Q147" t="str">
        <ns0:f>IF(J147="","",'Project Tracker'!Q42)</ns0:f>
        <ns0:v>Not Started</ns0:v>
      </ns0:c>
      <ns0:c r="R147" t="str">
        <ns0:f>IF(J147="","",'Project Tracker'!J42)</ns0:f>
        <ns0:v>No</ns0:v>
      </ns0:c>
    </ns0:row>
    <ns0:row r="148">
      <ns0:c r="J148" t="str">
        <ns0:f>IF('Project Tracker'!A42="","",TRIM(MID(SUBSTITUTE('Project Tracker'!K42,";",REPT(" ",150)),151,150)))</ns0:f>
        <ns0:v>Omnichannel Telemetry Engine</ns0:v>
      </ns0:c>
      <ns0:c r="K148" t="str">
        <ns0:f>IF(J148="","",IF(COUNTIFS($J$7:J148,J148)=1,MAX($K$6:K147)+1,""))</ns0:f>
      </ns0:c>
      <ns0:c r="M148" t="str">
        <ns0:f>IF(J148="","",'Project Tracker'!A42)</ns0:f>
        <ns0:v>T30</ns0:v>
      </ns0:c>
      <ns0:c r="N148" t="n">
        <ns0:f>IF(J148="","",'Project Tracker'!N42)</ns0:f>
        <ns0:v>0</ns0:v>
      </ns0:c>
      <ns0:c r="O148" t="n">
        <ns0:f>IF(J148="","",'Project Tracker'!E42)</ns0:f>
        <ns0:v>46303</ns0:v>
      </ns0:c>
      <ns0:c r="P148" t="n">
        <ns0:f>IF(J148="","",'Project Tracker'!F42)</ns0:f>
        <ns0:v>46304</ns0:v>
      </ns0:c>
      <ns0:c r="Q148" t="str">
        <ns0:f>IF(J148="","",'Project Tracker'!Q42)</ns0:f>
        <ns0:v>Not Started</ns0:v>
      </ns0:c>
      <ns0:c r="R148" t="str">
        <ns0:f>IF(J148="","",'Project Tracker'!J42)</ns0:f>
        <ns0:v>No</ns0:v>
      </ns0:c>
    </ns0:row>
    <ns0:row r="149">
      <ns0:c r="J149" t="str">
        <ns0:f>IF('Project Tracker'!A42="","",TRIM(MID(SUBSTITUTE('Project Tracker'!K42,";",REPT(" ",150)),301,150)))</ns0:f>
      </ns0:c>
      <ns0:c r="K149" t="str">
        <ns0:f>IF(J149="","",IF(COUNTIFS($J$7:J149,J149)=1,MAX($K$6:K148)+1,""))</ns0:f>
      </ns0:c>
      <ns0:c r="M149" t="str">
        <ns0:f>IF(J149="","",'Project Tracker'!A42)</ns0:f>
      </ns0:c>
      <ns0:c r="N149" t="str">
        <ns0:f>IF(J149="","",'Project Tracker'!N42)</ns0:f>
      </ns0:c>
      <ns0:c r="O149" t="str">
        <ns0:f>IF(J149="","",'Project Tracker'!E42)</ns0:f>
      </ns0:c>
      <ns0:c r="P149" t="str">
        <ns0:f>IF(J149="","",'Project Tracker'!F42)</ns0:f>
      </ns0:c>
      <ns0:c r="Q149" t="str">
        <ns0:f>IF(J149="","",'Project Tracker'!Q42)</ns0:f>
      </ns0:c>
      <ns0:c r="R149" t="str">
        <ns0:f>IF(J149="","",'Project Tracker'!J42)</ns0:f>
      </ns0:c>
    </ns0:row>
    <ns0:row r="150">
      <ns0:c r="J150" t="str">
        <ns0:f>IF('Project Tracker'!A42="","",TRIM(MID(SUBSTITUTE('Project Tracker'!K42,";",REPT(" ",150)),451,150)))</ns0:f>
      </ns0:c>
      <ns0:c r="K150" t="str">
        <ns0:f>IF(J150="","",IF(COUNTIFS($J$7:J150,J150)=1,MAX($K$6:K149)+1,""))</ns0:f>
      </ns0:c>
      <ns0:c r="M150" t="str">
        <ns0:f>IF(J150="","",'Project Tracker'!A42)</ns0:f>
      </ns0:c>
      <ns0:c r="N150" t="str">
        <ns0:f>IF(J150="","",'Project Tracker'!N42)</ns0:f>
      </ns0:c>
      <ns0:c r="O150" t="str">
        <ns0:f>IF(J150="","",'Project Tracker'!E42)</ns0:f>
      </ns0:c>
      <ns0:c r="P150" t="str">
        <ns0:f>IF(J150="","",'Project Tracker'!F42)</ns0:f>
      </ns0:c>
      <ns0:c r="Q150" t="str">
        <ns0:f>IF(J150="","",'Project Tracker'!Q42)</ns0:f>
      </ns0:c>
      <ns0:c r="R150" t="str">
        <ns0:f>IF(J150="","",'Project Tracker'!J42)</ns0:f>
      </ns0:c>
    </ns0:row>
    <ns0:row r="151">
      <ns0:c r="J151" t="str">
        <ns0:f>IF('Project Tracker'!A43="","",TRIM(MID(SUBSTITUTE('Project Tracker'!K43,";",REPT(" ",150)),1,150)))</ns0:f>
        <ns0:v>Specialist Sub-Agents (L4_SUBS)</ns0:v>
      </ns0:c>
      <ns0:c r="K151" t="str">
        <ns0:f>IF(J151="","",IF(COUNTIFS($J$7:J151,J151)=1,MAX($K$6:K150)+1,""))</ns0:f>
      </ns0:c>
      <ns0:c r="M151" t="str">
        <ns0:f>IF(J151="","",'Project Tracker'!A43)</ns0:f>
        <ns0:v>T31</ns0:v>
      </ns0:c>
      <ns0:c r="N151" t="n">
        <ns0:f>IF(J151="","",'Project Tracker'!N43)</ns0:f>
        <ns0:v>0</ns0:v>
      </ns0:c>
      <ns0:c r="O151" t="n">
        <ns0:f>IF(J151="","",'Project Tracker'!E43)</ns0:f>
        <ns0:v>46305</ns0:v>
      </ns0:c>
      <ns0:c r="P151" t="n">
        <ns0:f>IF(J151="","",'Project Tracker'!F43)</ns0:f>
        <ns0:v>46306</ns0:v>
      </ns0:c>
      <ns0:c r="Q151" t="str">
        <ns0:f>IF(J151="","",'Project Tracker'!Q43)</ns0:f>
        <ns0:v>Not Started</ns0:v>
      </ns0:c>
      <ns0:c r="R151" t="str">
        <ns0:f>IF(J151="","",'Project Tracker'!J43)</ns0:f>
        <ns0:v>No</ns0:v>
      </ns0:c>
    </ns0:row>
    <ns0:row r="152">
      <ns0:c r="J152" t="str">
        <ns0:f>IF('Project Tracker'!A43="","",TRIM(MID(SUBSTITUTE('Project Tracker'!K43,";",REPT(" ",150)),151,150)))</ns0:f>
        <ns0:v>Learning &amp; Performance Engine (W_LEARN)</ns0:v>
      </ns0:c>
      <ns0:c r="K152" t="n">
        <ns0:f>IF(J152="","",IF(COUNTIFS($J$7:J152,J152)=1,MAX($K$6:K151)+1,""))</ns0:f>
        <ns0:v>28</ns0:v>
      </ns0:c>
      <ns0:c r="M152" t="str">
        <ns0:f>IF(J152="","",'Project Tracker'!A43)</ns0:f>
        <ns0:v>T31</ns0:v>
      </ns0:c>
      <ns0:c r="N152" t="n">
        <ns0:f>IF(J152="","",'Project Tracker'!N43)</ns0:f>
        <ns0:v>0</ns0:v>
      </ns0:c>
      <ns0:c r="O152" t="n">
        <ns0:f>IF(J152="","",'Project Tracker'!E43)</ns0:f>
        <ns0:v>46305</ns0:v>
      </ns0:c>
      <ns0:c r="P152" t="n">
        <ns0:f>IF(J152="","",'Project Tracker'!F43)</ns0:f>
        <ns0:v>46306</ns0:v>
      </ns0:c>
      <ns0:c r="Q152" t="str">
        <ns0:f>IF(J152="","",'Project Tracker'!Q43)</ns0:f>
        <ns0:v>Not Started</ns0:v>
      </ns0:c>
      <ns0:c r="R152" t="str">
        <ns0:f>IF(J152="","",'Project Tracker'!J43)</ns0:f>
        <ns0:v>No</ns0:v>
      </ns0:c>
    </ns0:row>
    <ns0:row r="153">
      <ns0:c r="J153" t="str">
        <ns0:f>IF('Project Tracker'!A43="","",TRIM(MID(SUBSTITUTE('Project Tracker'!K43,";",REPT(" ",150)),301,150)))</ns0:f>
      </ns0:c>
      <ns0:c r="K153" t="str">
        <ns0:f>IF(J153="","",IF(COUNTIFS($J$7:J153,J153)=1,MAX($K$6:K152)+1,""))</ns0:f>
      </ns0:c>
      <ns0:c r="M153" t="str">
        <ns0:f>IF(J153="","",'Project Tracker'!A43)</ns0:f>
      </ns0:c>
      <ns0:c r="N153" t="str">
        <ns0:f>IF(J153="","",'Project Tracker'!N43)</ns0:f>
      </ns0:c>
      <ns0:c r="O153" t="str">
        <ns0:f>IF(J153="","",'Project Tracker'!E43)</ns0:f>
      </ns0:c>
      <ns0:c r="P153" t="str">
        <ns0:f>IF(J153="","",'Project Tracker'!F43)</ns0:f>
      </ns0:c>
      <ns0:c r="Q153" t="str">
        <ns0:f>IF(J153="","",'Project Tracker'!Q43)</ns0:f>
      </ns0:c>
      <ns0:c r="R153" t="str">
        <ns0:f>IF(J153="","",'Project Tracker'!J43)</ns0:f>
      </ns0:c>
    </ns0:row>
    <ns0:row r="154">
      <ns0:c r="J154" t="str">
        <ns0:f>IF('Project Tracker'!A43="","",TRIM(MID(SUBSTITUTE('Project Tracker'!K43,";",REPT(" ",150)),451,150)))</ns0:f>
      </ns0:c>
      <ns0:c r="K154" t="str">
        <ns0:f>IF(J154="","",IF(COUNTIFS($J$7:J154,J154)=1,MAX($K$6:K153)+1,""))</ns0:f>
      </ns0:c>
      <ns0:c r="M154" t="str">
        <ns0:f>IF(J154="","",'Project Tracker'!A43)</ns0:f>
      </ns0:c>
      <ns0:c r="N154" t="str">
        <ns0:f>IF(J154="","",'Project Tracker'!N43)</ns0:f>
      </ns0:c>
      <ns0:c r="O154" t="str">
        <ns0:f>IF(J154="","",'Project Tracker'!E43)</ns0:f>
      </ns0:c>
      <ns0:c r="P154" t="str">
        <ns0:f>IF(J154="","",'Project Tracker'!F43)</ns0:f>
      </ns0:c>
      <ns0:c r="Q154" t="str">
        <ns0:f>IF(J154="","",'Project Tracker'!Q43)</ns0:f>
      </ns0:c>
      <ns0:c r="R154" t="str">
        <ns0:f>IF(J154="","",'Project Tracker'!J43)</ns0:f>
      </ns0:c>
    </ns0:row>
    <ns0:row r="155">
      <ns0:c r="J155" t="str">
        <ns0:f>IF('Project Tracker'!A44="","",TRIM(MID(SUBSTITUTE('Project Tracker'!K44,";",REPT(" ",150)),1,150)))</ns0:f>
        <ns0:v>Institutional Memory Store (MEM)</ns0:v>
      </ns0:c>
      <ns0:c r="K155" t="str">
        <ns0:f>IF(J155="","",IF(COUNTIFS($J$7:J155,J155)=1,MAX($K$6:K154)+1,""))</ns0:f>
      </ns0:c>
      <ns0:c r="M155" t="str">
        <ns0:f>IF(J155="","",'Project Tracker'!A44)</ns0:f>
        <ns0:v>T32</ns0:v>
      </ns0:c>
      <ns0:c r="N155" t="n">
        <ns0:f>IF(J155="","",'Project Tracker'!N44)</ns0:f>
        <ns0:v>0</ns0:v>
      </ns0:c>
      <ns0:c r="O155" t="n">
        <ns0:f>IF(J155="","",'Project Tracker'!E44)</ns0:f>
        <ns0:v>46307</ns0:v>
      </ns0:c>
      <ns0:c r="P155" t="n">
        <ns0:f>IF(J155="","",'Project Tracker'!F44)</ns0:f>
        <ns0:v>46308</ns0:v>
      </ns0:c>
      <ns0:c r="Q155" t="str">
        <ns0:f>IF(J155="","",'Project Tracker'!Q44)</ns0:f>
        <ns0:v>Not Started</ns0:v>
      </ns0:c>
      <ns0:c r="R155" t="str">
        <ns0:f>IF(J155="","",'Project Tracker'!J44)</ns0:f>
        <ns0:v>No</ns0:v>
      </ns0:c>
    </ns0:row>
    <ns0:row r="156">
      <ns0:c r="J156" t="str">
        <ns0:f>IF('Project Tracker'!A44="","",TRIM(MID(SUBSTITUTE('Project Tracker'!K44,";",REPT(" ",150)),151,150)))</ns0:f>
        <ns0:v>Intelligence Engine (IE / Orchestrator)</ns0:v>
      </ns0:c>
      <ns0:c r="K156" t="str">
        <ns0:f>IF(J156="","",IF(COUNTIFS($J$7:J156,J156)=1,MAX($K$6:K155)+1,""))</ns0:f>
      </ns0:c>
      <ns0:c r="M156" t="str">
        <ns0:f>IF(J156="","",'Project Tracker'!A44)</ns0:f>
        <ns0:v>T32</ns0:v>
      </ns0:c>
      <ns0:c r="N156" t="n">
        <ns0:f>IF(J156="","",'Project Tracker'!N44)</ns0:f>
        <ns0:v>0</ns0:v>
      </ns0:c>
      <ns0:c r="O156" t="n">
        <ns0:f>IF(J156="","",'Project Tracker'!E44)</ns0:f>
        <ns0:v>46307</ns0:v>
      </ns0:c>
      <ns0:c r="P156" t="n">
        <ns0:f>IF(J156="","",'Project Tracker'!F44)</ns0:f>
        <ns0:v>46308</ns0:v>
      </ns0:c>
      <ns0:c r="Q156" t="str">
        <ns0:f>IF(J156="","",'Project Tracker'!Q44)</ns0:f>
        <ns0:v>Not Started</ns0:v>
      </ns0:c>
      <ns0:c r="R156" t="str">
        <ns0:f>IF(J156="","",'Project Tracker'!J44)</ns0:f>
        <ns0:v>No</ns0:v>
      </ns0:c>
    </ns0:row>
    <ns0:row r="157">
      <ns0:c r="J157" t="str">
        <ns0:f>IF('Project Tracker'!A44="","",TRIM(MID(SUBSTITUTE('Project Tracker'!K44,";",REPT(" ",150)),301,150)))</ns0:f>
        <ns0:v>Learning &amp; Performance Engine (W_LEARN)</ns0:v>
      </ns0:c>
      <ns0:c r="K157" t="str">
        <ns0:f>IF(J157="","",IF(COUNTIFS($J$7:J157,J157)=1,MAX($K$6:K156)+1,""))</ns0:f>
      </ns0:c>
      <ns0:c r="M157" t="str">
        <ns0:f>IF(J157="","",'Project Tracker'!A44)</ns0:f>
        <ns0:v>T32</ns0:v>
      </ns0:c>
      <ns0:c r="N157" t="n">
        <ns0:f>IF(J157="","",'Project Tracker'!N44)</ns0:f>
        <ns0:v>0</ns0:v>
      </ns0:c>
      <ns0:c r="O157" t="n">
        <ns0:f>IF(J157="","",'Project Tracker'!E44)</ns0:f>
        <ns0:v>46307</ns0:v>
      </ns0:c>
      <ns0:c r="P157" t="n">
        <ns0:f>IF(J157="","",'Project Tracker'!F44)</ns0:f>
        <ns0:v>46308</ns0:v>
      </ns0:c>
      <ns0:c r="Q157" t="str">
        <ns0:f>IF(J157="","",'Project Tracker'!Q44)</ns0:f>
        <ns0:v>Not Started</ns0:v>
      </ns0:c>
      <ns0:c r="R157" t="str">
        <ns0:f>IF(J157="","",'Project Tracker'!J44)</ns0:f>
        <ns0:v>No</ns0:v>
      </ns0:c>
    </ns0:row>
    <ns0:row r="158">
      <ns0:c r="J158" t="str">
        <ns0:f>IF('Project Tracker'!A44="","",TRIM(MID(SUBSTITUTE('Project Tracker'!K44,";",REPT(" ",150)),451,150)))</ns0:f>
      </ns0:c>
      <ns0:c r="K158" t="str">
        <ns0:f>IF(J158="","",IF(COUNTIFS($J$7:J158,J158)=1,MAX($K$6:K157)+1,""))</ns0:f>
      </ns0:c>
      <ns0:c r="M158" t="str">
        <ns0:f>IF(J158="","",'Project Tracker'!A44)</ns0:f>
      </ns0:c>
      <ns0:c r="N158" t="str">
        <ns0:f>IF(J158="","",'Project Tracker'!N44)</ns0:f>
      </ns0:c>
      <ns0:c r="O158" t="str">
        <ns0:f>IF(J158="","",'Project Tracker'!E44)</ns0:f>
      </ns0:c>
      <ns0:c r="P158" t="str">
        <ns0:f>IF(J158="","",'Project Tracker'!F44)</ns0:f>
      </ns0:c>
      <ns0:c r="Q158" t="str">
        <ns0:f>IF(J158="","",'Project Tracker'!Q44)</ns0:f>
      </ns0:c>
      <ns0:c r="R158" t="str">
        <ns0:f>IF(J158="","",'Project Tracker'!J44)</ns0:f>
      </ns0:c>
    </ns0:row>
    <ns0:row r="159">
      <ns0:c r="J159" t="str">
        <ns0:f>IF('Project Tracker'!A45="","",TRIM(MID(SUBSTITUTE('Project Tracker'!K45,";",REPT(" ",150)),1,150)))</ns0:f>
        <ns0:v>W3C PROV Immutable Ledger</ns0:v>
      </ns0:c>
      <ns0:c r="K159" t="str">
        <ns0:f>IF(J159="","",IF(COUNTIFS($J$7:J159,J159)=1,MAX($K$6:K158)+1,""))</ns0:f>
      </ns0:c>
      <ns0:c r="M159" t="str">
        <ns0:f>IF(J159="","",'Project Tracker'!A45)</ns0:f>
        <ns0:v>T33</ns0:v>
      </ns0:c>
      <ns0:c r="N159" t="n">
        <ns0:f>IF(J159="","",'Project Tracker'!N45)</ns0:f>
        <ns0:v>0</ns0:v>
      </ns0:c>
      <ns0:c r="O159" t="n">
        <ns0:f>IF(J159="","",'Project Tracker'!E45)</ns0:f>
        <ns0:v>46307</ns0:v>
      </ns0:c>
      <ns0:c r="P159" t="n">
        <ns0:f>IF(J159="","",'Project Tracker'!F45)</ns0:f>
        <ns0:v>46308</ns0:v>
      </ns0:c>
      <ns0:c r="Q159" t="str">
        <ns0:f>IF(J159="","",'Project Tracker'!Q45)</ns0:f>
        <ns0:v>Not Started</ns0:v>
      </ns0:c>
      <ns0:c r="R159" t="str">
        <ns0:f>IF(J159="","",'Project Tracker'!J45)</ns0:f>
        <ns0:v>No</ns0:v>
      </ns0:c>
    </ns0:row>
    <ns0:row r="160">
      <ns0:c r="J160" t="str">
        <ns0:f>IF('Project Tracker'!A45="","",TRIM(MID(SUBSTITUTE('Project Tracker'!K45,";",REPT(" ",150)),151,150)))</ns0:f>
      </ns0:c>
      <ns0:c r="K160" t="str">
        <ns0:f>IF(J160="","",IF(COUNTIFS($J$7:J160,J160)=1,MAX($K$6:K159)+1,""))</ns0:f>
      </ns0:c>
      <ns0:c r="M160" t="str">
        <ns0:f>IF(J160="","",'Project Tracker'!A45)</ns0:f>
      </ns0:c>
      <ns0:c r="N160" t="str">
        <ns0:f>IF(J160="","",'Project Tracker'!N45)</ns0:f>
      </ns0:c>
      <ns0:c r="O160" t="str">
        <ns0:f>IF(J160="","",'Project Tracker'!E45)</ns0:f>
      </ns0:c>
      <ns0:c r="P160" t="str">
        <ns0:f>IF(J160="","",'Project Tracker'!F45)</ns0:f>
      </ns0:c>
      <ns0:c r="Q160" t="str">
        <ns0:f>IF(J160="","",'Project Tracker'!Q45)</ns0:f>
      </ns0:c>
      <ns0:c r="R160" t="str">
        <ns0:f>IF(J160="","",'Project Tracker'!J45)</ns0:f>
      </ns0:c>
    </ns0:row>
    <ns0:row r="161">
      <ns0:c r="J161" t="str">
        <ns0:f>IF('Project Tracker'!A45="","",TRIM(MID(SUBSTITUTE('Project Tracker'!K45,";",REPT(" ",150)),301,150)))</ns0:f>
      </ns0:c>
      <ns0:c r="K161" t="str">
        <ns0:f>IF(J161="","",IF(COUNTIFS($J$7:J161,J161)=1,MAX($K$6:K160)+1,""))</ns0:f>
      </ns0:c>
      <ns0:c r="M161" t="str">
        <ns0:f>IF(J161="","",'Project Tracker'!A45)</ns0:f>
      </ns0:c>
      <ns0:c r="N161" t="str">
        <ns0:f>IF(J161="","",'Project Tracker'!N45)</ns0:f>
      </ns0:c>
      <ns0:c r="O161" t="str">
        <ns0:f>IF(J161="","",'Project Tracker'!E45)</ns0:f>
      </ns0:c>
      <ns0:c r="P161" t="str">
        <ns0:f>IF(J161="","",'Project Tracker'!F45)</ns0:f>
      </ns0:c>
      <ns0:c r="Q161" t="str">
        <ns0:f>IF(J161="","",'Project Tracker'!Q45)</ns0:f>
      </ns0:c>
      <ns0:c r="R161" t="str">
        <ns0:f>IF(J161="","",'Project Tracker'!J45)</ns0:f>
      </ns0:c>
    </ns0:row>
    <ns0:row r="162">
      <ns0:c r="J162" t="str">
        <ns0:f>IF('Project Tracker'!A45="","",TRIM(MID(SUBSTITUTE('Project Tracker'!K45,";",REPT(" ",150)),451,150)))</ns0:f>
      </ns0:c>
      <ns0:c r="K162" t="str">
        <ns0:f>IF(J162="","",IF(COUNTIFS($J$7:J162,J162)=1,MAX($K$6:K161)+1,""))</ns0:f>
      </ns0:c>
      <ns0:c r="M162" t="str">
        <ns0:f>IF(J162="","",'Project Tracker'!A45)</ns0:f>
      </ns0:c>
      <ns0:c r="N162" t="str">
        <ns0:f>IF(J162="","",'Project Tracker'!N45)</ns0:f>
      </ns0:c>
      <ns0:c r="O162" t="str">
        <ns0:f>IF(J162="","",'Project Tracker'!E45)</ns0:f>
      </ns0:c>
      <ns0:c r="P162" t="str">
        <ns0:f>IF(J162="","",'Project Tracker'!F45)</ns0:f>
      </ns0:c>
      <ns0:c r="Q162" t="str">
        <ns0:f>IF(J162="","",'Project Tracker'!Q45)</ns0:f>
      </ns0:c>
      <ns0:c r="R162" t="str">
        <ns0:f>IF(J162="","",'Project Tracker'!J45)</ns0:f>
      </ns0:c>
    </ns0:row>
    <ns0:row r="163">
      <ns0:c r="J163" t="str">
        <ns0:f>IF('Project Tracker'!A46="","",TRIM(MID(SUBSTITUTE('Project Tracker'!K46,";",REPT(" ",150)),1,150)))</ns0:f>
        <ns0:v>Brand Stakeholder / Portfolio Owner</ns0:v>
      </ns0:c>
      <ns0:c r="K163" t="str">
        <ns0:f>IF(J163="","",IF(COUNTIFS($J$7:J163,J163)=1,MAX($K$6:K162)+1,""))</ns0:f>
      </ns0:c>
      <ns0:c r="M163" t="str">
        <ns0:f>IF(J163="","",'Project Tracker'!A46)</ns0:f>
        <ns0:v>T34</ns0:v>
      </ns0:c>
      <ns0:c r="N163" t="n">
        <ns0:f>IF(J163="","",'Project Tracker'!N46)</ns0:f>
        <ns0:v>0</ns0:v>
      </ns0:c>
      <ns0:c r="O163" t="n">
        <ns0:f>IF(J163="","",'Project Tracker'!E46)</ns0:f>
        <ns0:v>46309</ns0:v>
      </ns0:c>
      <ns0:c r="P163" t="n">
        <ns0:f>IF(J163="","",'Project Tracker'!F46)</ns0:f>
        <ns0:v>46309</ns0:v>
      </ns0:c>
      <ns0:c r="Q163" t="str">
        <ns0:f>IF(J163="","",'Project Tracker'!Q46)</ns0:f>
        <ns0:v>Not Started</ns0:v>
      </ns0:c>
      <ns0:c r="R163" t="str">
        <ns0:f>IF(J163="","",'Project Tracker'!J46)</ns0:f>
        <ns0:v>No</ns0:v>
      </ns0:c>
    </ns0:row>
    <ns0:row r="164">
      <ns0:c r="J164" t="str">
        <ns0:f>IF('Project Tracker'!A46="","",TRIM(MID(SUBSTITUTE('Project Tracker'!K46,";",REPT(" ",150)),151,150)))</ns0:f>
        <ns0:v>Intelligence Engine (IE / Orchestrator)</ns0:v>
      </ns0:c>
      <ns0:c r="K164" t="str">
        <ns0:f>IF(J164="","",IF(COUNTIFS($J$7:J164,J164)=1,MAX($K$6:K163)+1,""))</ns0:f>
      </ns0:c>
      <ns0:c r="M164" t="str">
        <ns0:f>IF(J164="","",'Project Tracker'!A46)</ns0:f>
        <ns0:v>T34</ns0:v>
      </ns0:c>
      <ns0:c r="N164" t="n">
        <ns0:f>IF(J164="","",'Project Tracker'!N46)</ns0:f>
        <ns0:v>0</ns0:v>
      </ns0:c>
      <ns0:c r="O164" t="n">
        <ns0:f>IF(J164="","",'Project Tracker'!E46)</ns0:f>
        <ns0:v>46309</ns0:v>
      </ns0:c>
      <ns0:c r="P164" t="n">
        <ns0:f>IF(J164="","",'Project Tracker'!F46)</ns0:f>
        <ns0:v>46309</ns0:v>
      </ns0:c>
      <ns0:c r="Q164" t="str">
        <ns0:f>IF(J164="","",'Project Tracker'!Q46)</ns0:f>
        <ns0:v>Not Started</ns0:v>
      </ns0:c>
      <ns0:c r="R164" t="str">
        <ns0:f>IF(J164="","",'Project Tracker'!J46)</ns0:f>
        <ns0:v>No</ns0:v>
      </ns0:c>
    </ns0:row>
    <ns0:row r="165">
      <ns0:c r="J165" t="str">
        <ns0:f>IF('Project Tracker'!A46="","",TRIM(MID(SUBSTITUTE('Project Tracker'!K46,";",REPT(" ",150)),301,150)))</ns0:f>
      </ns0:c>
      <ns0:c r="K165" t="str">
        <ns0:f>IF(J165="","",IF(COUNTIFS($J$7:J165,J165)=1,MAX($K$6:K164)+1,""))</ns0:f>
      </ns0:c>
      <ns0:c r="M165" t="str">
        <ns0:f>IF(J165="","",'Project Tracker'!A46)</ns0:f>
      </ns0:c>
      <ns0:c r="N165" t="str">
        <ns0:f>IF(J165="","",'Project Tracker'!N46)</ns0:f>
      </ns0:c>
      <ns0:c r="O165" t="str">
        <ns0:f>IF(J165="","",'Project Tracker'!E46)</ns0:f>
      </ns0:c>
      <ns0:c r="P165" t="str">
        <ns0:f>IF(J165="","",'Project Tracker'!F46)</ns0:f>
      </ns0:c>
      <ns0:c r="Q165" t="str">
        <ns0:f>IF(J165="","",'Project Tracker'!Q46)</ns0:f>
      </ns0:c>
      <ns0:c r="R165" t="str">
        <ns0:f>IF(J165="","",'Project Tracker'!J46)</ns0:f>
      </ns0:c>
    </ns0:row>
    <ns0:row r="166">
      <ns0:c r="J166" t="str">
        <ns0:f>IF('Project Tracker'!A46="","",TRIM(MID(SUBSTITUTE('Project Tracker'!K46,";",REPT(" ",150)),451,150)))</ns0:f>
      </ns0:c>
      <ns0:c r="K166" t="str">
        <ns0:f>IF(J166="","",IF(COUNTIFS($J$7:J166,J166)=1,MAX($K$6:K165)+1,""))</ns0:f>
      </ns0:c>
      <ns0:c r="M166" t="str">
        <ns0:f>IF(J166="","",'Project Tracker'!A46)</ns0:f>
      </ns0:c>
      <ns0:c r="N166" t="str">
        <ns0:f>IF(J166="","",'Project Tracker'!N46)</ns0:f>
      </ns0:c>
      <ns0:c r="O166" t="str">
        <ns0:f>IF(J166="","",'Project Tracker'!E46)</ns0:f>
      </ns0:c>
      <ns0:c r="P166" t="str">
        <ns0:f>IF(J166="","",'Project Tracker'!F46)</ns0:f>
      </ns0:c>
      <ns0:c r="Q166" t="str">
        <ns0:f>IF(J166="","",'Project Tracker'!Q46)</ns0:f>
      </ns0:c>
      <ns0:c r="R166" t="str">
        <ns0:f>IF(J166="","",'Project Tracker'!J46)</ns0:f>
      </ns0:c>
    </ns0:row>
    <ns0:row r="167">
      <ns0:c r="J167" t="str">
        <ns0:f>IF('Project Tracker'!A47="","",TRIM(MID(SUBSTITUTE('Project Tracker'!K47,";",REPT(" ",150)),1,150)))</ns0:f>
        <ns0:v>Unassigned</ns0:v>
      </ns0:c>
      <ns0:c r="K167" t="str">
        <ns0:f>IF(J167="","",IF(COUNTIFS($J$7:J167,J167)=1,MAX($K$6:K166)+1,""))</ns0:f>
      </ns0:c>
      <ns0:c r="M167" t="str">
        <ns0:f>IF(J167="","",'Project Tracker'!A47)</ns0:f>
        <ns0:v>M7</ns0:v>
      </ns0:c>
      <ns0:c r="N167" t="n">
        <ns0:f>IF(J167="","",'Project Tracker'!N47)</ns0:f>
        <ns0:v>0</ns0:v>
      </ns0:c>
      <ns0:c r="O167" t="n">
        <ns0:f>IF(J167="","",'Project Tracker'!E47)</ns0:f>
        <ns0:v>46309</ns0:v>
      </ns0:c>
      <ns0:c r="P167" t="n">
        <ns0:f>IF(J167="","",'Project Tracker'!F47)</ns0:f>
        <ns0:v>46309</ns0:v>
      </ns0:c>
      <ns0:c r="Q167" t="str">
        <ns0:f>IF(J167="","",'Project Tracker'!Q47)</ns0:f>
        <ns0:v>Not Started</ns0:v>
      </ns0:c>
      <ns0:c r="R167" t="str">
        <ns0:f>IF(J167="","",'Project Tracker'!J47)</ns0:f>
        <ns0:v>Yes</ns0:v>
      </ns0:c>
    </ns0:row>
    <ns0:row r="168">
      <ns0:c r="J168" t="str">
        <ns0:f>IF('Project Tracker'!A47="","",TRIM(MID(SUBSTITUTE('Project Tracker'!K47,";",REPT(" ",150)),151,150)))</ns0:f>
      </ns0:c>
      <ns0:c r="K168" t="str">
        <ns0:f>IF(J168="","",IF(COUNTIFS($J$7:J168,J168)=1,MAX($K$6:K167)+1,""))</ns0:f>
      </ns0:c>
      <ns0:c r="M168" t="str">
        <ns0:f>IF(J168="","",'Project Tracker'!A47)</ns0:f>
      </ns0:c>
      <ns0:c r="N168" t="str">
        <ns0:f>IF(J168="","",'Project Tracker'!N47)</ns0:f>
      </ns0:c>
      <ns0:c r="O168" t="str">
        <ns0:f>IF(J168="","",'Project Tracker'!E47)</ns0:f>
      </ns0:c>
      <ns0:c r="P168" t="str">
        <ns0:f>IF(J168="","",'Project Tracker'!F47)</ns0:f>
      </ns0:c>
      <ns0:c r="Q168" t="str">
        <ns0:f>IF(J168="","",'Project Tracker'!Q47)</ns0:f>
      </ns0:c>
      <ns0:c r="R168" t="str">
        <ns0:f>IF(J168="","",'Project Tracker'!J47)</ns0:f>
      </ns0:c>
    </ns0:row>
    <ns0:row r="169">
      <ns0:c r="J169" t="str">
        <ns0:f>IF('Project Tracker'!A47="","",TRIM(MID(SUBSTITUTE('Project Tracker'!K47,";",REPT(" ",150)),301,150)))</ns0:f>
      </ns0:c>
      <ns0:c r="K169" t="str">
        <ns0:f>IF(J169="","",IF(COUNTIFS($J$7:J169,J169)=1,MAX($K$6:K168)+1,""))</ns0:f>
      </ns0:c>
      <ns0:c r="M169" t="str">
        <ns0:f>IF(J169="","",'Project Tracker'!A47)</ns0:f>
      </ns0:c>
      <ns0:c r="N169" t="str">
        <ns0:f>IF(J169="","",'Project Tracker'!N47)</ns0:f>
      </ns0:c>
      <ns0:c r="O169" t="str">
        <ns0:f>IF(J169="","",'Project Tracker'!E47)</ns0:f>
      </ns0:c>
      <ns0:c r="P169" t="str">
        <ns0:f>IF(J169="","",'Project Tracker'!F47)</ns0:f>
      </ns0:c>
      <ns0:c r="Q169" t="str">
        <ns0:f>IF(J169="","",'Project Tracker'!Q47)</ns0:f>
      </ns0:c>
      <ns0:c r="R169" t="str">
        <ns0:f>IF(J169="","",'Project Tracker'!J47)</ns0:f>
      </ns0:c>
    </ns0:row>
    <ns0:row r="170">
      <ns0:c r="J170" t="str">
        <ns0:f>IF('Project Tracker'!A47="","",TRIM(MID(SUBSTITUTE('Project Tracker'!K47,";",REPT(" ",150)),451,150)))</ns0:f>
      </ns0:c>
      <ns0:c r="K170" t="str">
        <ns0:f>IF(J170="","",IF(COUNTIFS($J$7:J170,J170)=1,MAX($K$6:K169)+1,""))</ns0:f>
      </ns0:c>
      <ns0:c r="M170" t="str">
        <ns0:f>IF(J170="","",'Project Tracker'!A47)</ns0:f>
      </ns0:c>
      <ns0:c r="N170" t="str">
        <ns0:f>IF(J170="","",'Project Tracker'!N47)</ns0:f>
      </ns0:c>
      <ns0:c r="O170" t="str">
        <ns0:f>IF(J170="","",'Project Tracker'!E47)</ns0:f>
      </ns0:c>
      <ns0:c r="P170" t="str">
        <ns0:f>IF(J170="","",'Project Tracker'!F47)</ns0:f>
      </ns0:c>
      <ns0:c r="Q170" t="str">
        <ns0:f>IF(J170="","",'Project Tracker'!Q47)</ns0:f>
      </ns0:c>
      <ns0:c r="R170" t="str">
        <ns0:f>IF(J170="","",'Project Tracker'!J47)</ns0:f>
      </ns0:c>
    </ns0:row>
    <ns0:row r="171">
      <ns0:c r="J171" t="str">
        <ns0:f>IF('Project Tracker'!A48="","",TRIM(MID(SUBSTITUTE('Project Tracker'!K48,";",REPT(" ",150)),1,150)))</ns0:f>
      </ns0:c>
      <ns0:c r="K171" t="str">
        <ns0:f>IF(J171="","",IF(COUNTIFS($J$7:J171,J171)=1,MAX($K$6:K170)+1,""))</ns0:f>
      </ns0:c>
      <ns0:c r="M171" t="str">
        <ns0:f>IF(J171="","",'Project Tracker'!A48)</ns0:f>
      </ns0:c>
      <ns0:c r="N171" t="str">
        <ns0:f>IF(J171="","",'Project Tracker'!N48)</ns0:f>
      </ns0:c>
      <ns0:c r="O171" t="str">
        <ns0:f>IF(J171="","",'Project Tracker'!E48)</ns0:f>
      </ns0:c>
      <ns0:c r="P171" t="str">
        <ns0:f>IF(J171="","",'Project Tracker'!F48)</ns0:f>
      </ns0:c>
      <ns0:c r="Q171" t="str">
        <ns0:f>IF(J171="","",'Project Tracker'!Q48)</ns0:f>
      </ns0:c>
      <ns0:c r="R171" t="str">
        <ns0:f>IF(J171="","",'Project Tracker'!J48)</ns0:f>
      </ns0:c>
    </ns0:row>
    <ns0:row r="172">
      <ns0:c r="J172" t="str">
        <ns0:f>IF('Project Tracker'!A48="","",TRIM(MID(SUBSTITUTE('Project Tracker'!K48,";",REPT(" ",150)),151,150)))</ns0:f>
      </ns0:c>
      <ns0:c r="K172" t="str">
        <ns0:f>IF(J172="","",IF(COUNTIFS($J$7:J172,J172)=1,MAX($K$6:K171)+1,""))</ns0:f>
      </ns0:c>
      <ns0:c r="M172" t="str">
        <ns0:f>IF(J172="","",'Project Tracker'!A48)</ns0:f>
      </ns0:c>
      <ns0:c r="N172" t="str">
        <ns0:f>IF(J172="","",'Project Tracker'!N48)</ns0:f>
      </ns0:c>
      <ns0:c r="O172" t="str">
        <ns0:f>IF(J172="","",'Project Tracker'!E48)</ns0:f>
      </ns0:c>
      <ns0:c r="P172" t="str">
        <ns0:f>IF(J172="","",'Project Tracker'!F48)</ns0:f>
      </ns0:c>
      <ns0:c r="Q172" t="str">
        <ns0:f>IF(J172="","",'Project Tracker'!Q48)</ns0:f>
      </ns0:c>
      <ns0:c r="R172" t="str">
        <ns0:f>IF(J172="","",'Project Tracker'!J48)</ns0:f>
      </ns0:c>
    </ns0:row>
    <ns0:row r="173">
      <ns0:c r="J173" t="str">
        <ns0:f>IF('Project Tracker'!A48="","",TRIM(MID(SUBSTITUTE('Project Tracker'!K48,";",REPT(" ",150)),301,150)))</ns0:f>
      </ns0:c>
      <ns0:c r="K173" t="str">
        <ns0:f>IF(J173="","",IF(COUNTIFS($J$7:J173,J173)=1,MAX($K$6:K172)+1,""))</ns0:f>
      </ns0:c>
      <ns0:c r="M173" t="str">
        <ns0:f>IF(J173="","",'Project Tracker'!A48)</ns0:f>
      </ns0:c>
      <ns0:c r="N173" t="str">
        <ns0:f>IF(J173="","",'Project Tracker'!N48)</ns0:f>
      </ns0:c>
      <ns0:c r="O173" t="str">
        <ns0:f>IF(J173="","",'Project Tracker'!E48)</ns0:f>
      </ns0:c>
      <ns0:c r="P173" t="str">
        <ns0:f>IF(J173="","",'Project Tracker'!F48)</ns0:f>
      </ns0:c>
      <ns0:c r="Q173" t="str">
        <ns0:f>IF(J173="","",'Project Tracker'!Q48)</ns0:f>
      </ns0:c>
      <ns0:c r="R173" t="str">
        <ns0:f>IF(J173="","",'Project Tracker'!J48)</ns0:f>
      </ns0:c>
    </ns0:row>
    <ns0:row r="174">
      <ns0:c r="J174" t="str">
        <ns0:f>IF('Project Tracker'!A48="","",TRIM(MID(SUBSTITUTE('Project Tracker'!K48,";",REPT(" ",150)),451,150)))</ns0:f>
      </ns0:c>
      <ns0:c r="K174" t="str">
        <ns0:f>IF(J174="","",IF(COUNTIFS($J$7:J174,J174)=1,MAX($K$6:K173)+1,""))</ns0:f>
      </ns0:c>
      <ns0:c r="M174" t="str">
        <ns0:f>IF(J174="","",'Project Tracker'!A48)</ns0:f>
      </ns0:c>
      <ns0:c r="N174" t="str">
        <ns0:f>IF(J174="","",'Project Tracker'!N48)</ns0:f>
      </ns0:c>
      <ns0:c r="O174" t="str">
        <ns0:f>IF(J174="","",'Project Tracker'!E48)</ns0:f>
      </ns0:c>
      <ns0:c r="P174" t="str">
        <ns0:f>IF(J174="","",'Project Tracker'!F48)</ns0:f>
      </ns0:c>
      <ns0:c r="Q174" t="str">
        <ns0:f>IF(J174="","",'Project Tracker'!Q48)</ns0:f>
      </ns0:c>
      <ns0:c r="R174" t="str">
        <ns0:f>IF(J174="","",'Project Tracker'!J48)</ns0:f>
      </ns0:c>
    </ns0:row>
    <ns0:row r="175">
      <ns0:c r="J175" t="str">
        <ns0:f>IF('Project Tracker'!A49="","",TRIM(MID(SUBSTITUTE('Project Tracker'!K49,";",REPT(" ",150)),1,150)))</ns0:f>
      </ns0:c>
      <ns0:c r="K175" t="str">
        <ns0:f>IF(J175="","",IF(COUNTIFS($J$7:J175,J175)=1,MAX($K$6:K174)+1,""))</ns0:f>
      </ns0:c>
      <ns0:c r="M175" t="str">
        <ns0:f>IF(J175="","",'Project Tracker'!A49)</ns0:f>
      </ns0:c>
      <ns0:c r="N175" t="str">
        <ns0:f>IF(J175="","",'Project Tracker'!N49)</ns0:f>
      </ns0:c>
      <ns0:c r="O175" t="str">
        <ns0:f>IF(J175="","",'Project Tracker'!E49)</ns0:f>
      </ns0:c>
      <ns0:c r="P175" t="str">
        <ns0:f>IF(J175="","",'Project Tracker'!F49)</ns0:f>
      </ns0:c>
      <ns0:c r="Q175" t="str">
        <ns0:f>IF(J175="","",'Project Tracker'!Q49)</ns0:f>
      </ns0:c>
      <ns0:c r="R175" t="str">
        <ns0:f>IF(J175="","",'Project Tracker'!J49)</ns0:f>
      </ns0:c>
    </ns0:row>
    <ns0:row r="176">
      <ns0:c r="J176" t="str">
        <ns0:f>IF('Project Tracker'!A49="","",TRIM(MID(SUBSTITUTE('Project Tracker'!K49,";",REPT(" ",150)),151,150)))</ns0:f>
      </ns0:c>
      <ns0:c r="K176" t="str">
        <ns0:f>IF(J176="","",IF(COUNTIFS($J$7:J176,J176)=1,MAX($K$6:K175)+1,""))</ns0:f>
      </ns0:c>
      <ns0:c r="M176" t="str">
        <ns0:f>IF(J176="","",'Project Tracker'!A49)</ns0:f>
      </ns0:c>
      <ns0:c r="N176" t="str">
        <ns0:f>IF(J176="","",'Project Tracker'!N49)</ns0:f>
      </ns0:c>
      <ns0:c r="O176" t="str">
        <ns0:f>IF(J176="","",'Project Tracker'!E49)</ns0:f>
      </ns0:c>
      <ns0:c r="P176" t="str">
        <ns0:f>IF(J176="","",'Project Tracker'!F49)</ns0:f>
      </ns0:c>
      <ns0:c r="Q176" t="str">
        <ns0:f>IF(J176="","",'Project Tracker'!Q49)</ns0:f>
      </ns0:c>
      <ns0:c r="R176" t="str">
        <ns0:f>IF(J176="","",'Project Tracker'!J49)</ns0:f>
      </ns0:c>
    </ns0:row>
    <ns0:row r="177">
      <ns0:c r="J177" t="str">
        <ns0:f>IF('Project Tracker'!A49="","",TRIM(MID(SUBSTITUTE('Project Tracker'!K49,";",REPT(" ",150)),301,150)))</ns0:f>
      </ns0:c>
      <ns0:c r="K177" t="str">
        <ns0:f>IF(J177="","",IF(COUNTIFS($J$7:J177,J177)=1,MAX($K$6:K176)+1,""))</ns0:f>
      </ns0:c>
      <ns0:c r="M177" t="str">
        <ns0:f>IF(J177="","",'Project Tracker'!A49)</ns0:f>
      </ns0:c>
      <ns0:c r="N177" t="str">
        <ns0:f>IF(J177="","",'Project Tracker'!N49)</ns0:f>
      </ns0:c>
      <ns0:c r="O177" t="str">
        <ns0:f>IF(J177="","",'Project Tracker'!E49)</ns0:f>
      </ns0:c>
      <ns0:c r="P177" t="str">
        <ns0:f>IF(J177="","",'Project Tracker'!F49)</ns0:f>
      </ns0:c>
      <ns0:c r="Q177" t="str">
        <ns0:f>IF(J177="","",'Project Tracker'!Q49)</ns0:f>
      </ns0:c>
      <ns0:c r="R177" t="str">
        <ns0:f>IF(J177="","",'Project Tracker'!J49)</ns0:f>
      </ns0:c>
    </ns0:row>
    <ns0:row r="178">
      <ns0:c r="J178" t="str">
        <ns0:f>IF('Project Tracker'!A49="","",TRIM(MID(SUBSTITUTE('Project Tracker'!K49,";",REPT(" ",150)),451,150)))</ns0:f>
      </ns0:c>
      <ns0:c r="K178" t="str">
        <ns0:f>IF(J178="","",IF(COUNTIFS($J$7:J178,J178)=1,MAX($K$6:K177)+1,""))</ns0:f>
      </ns0:c>
      <ns0:c r="M178" t="str">
        <ns0:f>IF(J178="","",'Project Tracker'!A49)</ns0:f>
      </ns0:c>
      <ns0:c r="N178" t="str">
        <ns0:f>IF(J178="","",'Project Tracker'!N49)</ns0:f>
      </ns0:c>
      <ns0:c r="O178" t="str">
        <ns0:f>IF(J178="","",'Project Tracker'!E49)</ns0:f>
      </ns0:c>
      <ns0:c r="P178" t="str">
        <ns0:f>IF(J178="","",'Project Tracker'!F49)</ns0:f>
      </ns0:c>
      <ns0:c r="Q178" t="str">
        <ns0:f>IF(J178="","",'Project Tracker'!Q49)</ns0:f>
      </ns0:c>
      <ns0:c r="R178" t="str">
        <ns0:f>IF(J178="","",'Project Tracker'!J49)</ns0:f>
      </ns0:c>
    </ns0:row>
    <ns0:row r="179">
      <ns0:c r="J179" t="str">
        <ns0:f>IF('Project Tracker'!A50="","",TRIM(MID(SUBSTITUTE('Project Tracker'!K50,";",REPT(" ",150)),1,150)))</ns0:f>
      </ns0:c>
      <ns0:c r="K179" t="str">
        <ns0:f>IF(J179="","",IF(COUNTIFS($J$7:J179,J179)=1,MAX($K$6:K178)+1,""))</ns0:f>
      </ns0:c>
      <ns0:c r="M179" t="str">
        <ns0:f>IF(J179="","",'Project Tracker'!A50)</ns0:f>
      </ns0:c>
      <ns0:c r="N179" t="str">
        <ns0:f>IF(J179="","",'Project Tracker'!N50)</ns0:f>
      </ns0:c>
      <ns0:c r="O179" t="str">
        <ns0:f>IF(J179="","",'Project Tracker'!E50)</ns0:f>
      </ns0:c>
      <ns0:c r="P179" t="str">
        <ns0:f>IF(J179="","",'Project Tracker'!F50)</ns0:f>
      </ns0:c>
      <ns0:c r="Q179" t="str">
        <ns0:f>IF(J179="","",'Project Tracker'!Q50)</ns0:f>
      </ns0:c>
      <ns0:c r="R179" t="str">
        <ns0:f>IF(J179="","",'Project Tracker'!J50)</ns0:f>
      </ns0:c>
    </ns0:row>
    <ns0:row r="180">
      <ns0:c r="J180" t="str">
        <ns0:f>IF('Project Tracker'!A50="","",TRIM(MID(SUBSTITUTE('Project Tracker'!K50,";",REPT(" ",150)),151,150)))</ns0:f>
      </ns0:c>
      <ns0:c r="K180" t="str">
        <ns0:f>IF(J180="","",IF(COUNTIFS($J$7:J180,J180)=1,MAX($K$6:K179)+1,""))</ns0:f>
      </ns0:c>
      <ns0:c r="M180" t="str">
        <ns0:f>IF(J180="","",'Project Tracker'!A50)</ns0:f>
      </ns0:c>
      <ns0:c r="N180" t="str">
        <ns0:f>IF(J180="","",'Project Tracker'!N50)</ns0:f>
      </ns0:c>
      <ns0:c r="O180" t="str">
        <ns0:f>IF(J180="","",'Project Tracker'!E50)</ns0:f>
      </ns0:c>
      <ns0:c r="P180" t="str">
        <ns0:f>IF(J180="","",'Project Tracker'!F50)</ns0:f>
      </ns0:c>
      <ns0:c r="Q180" t="str">
        <ns0:f>IF(J180="","",'Project Tracker'!Q50)</ns0:f>
      </ns0:c>
      <ns0:c r="R180" t="str">
        <ns0:f>IF(J180="","",'Project Tracker'!J50)</ns0:f>
      </ns0:c>
    </ns0:row>
    <ns0:row r="181">
      <ns0:c r="J181" t="str">
        <ns0:f>IF('Project Tracker'!A50="","",TRIM(MID(SUBSTITUTE('Project Tracker'!K50,";",REPT(" ",150)),301,150)))</ns0:f>
      </ns0:c>
      <ns0:c r="K181" t="str">
        <ns0:f>IF(J181="","",IF(COUNTIFS($J$7:J181,J181)=1,MAX($K$6:K180)+1,""))</ns0:f>
      </ns0:c>
      <ns0:c r="M181" t="str">
        <ns0:f>IF(J181="","",'Project Tracker'!A50)</ns0:f>
      </ns0:c>
      <ns0:c r="N181" t="str">
        <ns0:f>IF(J181="","",'Project Tracker'!N50)</ns0:f>
      </ns0:c>
      <ns0:c r="O181" t="str">
        <ns0:f>IF(J181="","",'Project Tracker'!E50)</ns0:f>
      </ns0:c>
      <ns0:c r="P181" t="str">
        <ns0:f>IF(J181="","",'Project Tracker'!F50)</ns0:f>
      </ns0:c>
      <ns0:c r="Q181" t="str">
        <ns0:f>IF(J181="","",'Project Tracker'!Q50)</ns0:f>
      </ns0:c>
      <ns0:c r="R181" t="str">
        <ns0:f>IF(J181="","",'Project Tracker'!J50)</ns0:f>
      </ns0:c>
    </ns0:row>
    <ns0:row r="182">
      <ns0:c r="J182" t="str">
        <ns0:f>IF('Project Tracker'!A50="","",TRIM(MID(SUBSTITUTE('Project Tracker'!K50,";",REPT(" ",150)),451,150)))</ns0:f>
      </ns0:c>
      <ns0:c r="K182" t="str">
        <ns0:f>IF(J182="","",IF(COUNTIFS($J$7:J182,J182)=1,MAX($K$6:K181)+1,""))</ns0:f>
      </ns0:c>
      <ns0:c r="M182" t="str">
        <ns0:f>IF(J182="","",'Project Tracker'!A50)</ns0:f>
      </ns0:c>
      <ns0:c r="N182" t="str">
        <ns0:f>IF(J182="","",'Project Tracker'!N50)</ns0:f>
      </ns0:c>
      <ns0:c r="O182" t="str">
        <ns0:f>IF(J182="","",'Project Tracker'!E50)</ns0:f>
      </ns0:c>
      <ns0:c r="P182" t="str">
        <ns0:f>IF(J182="","",'Project Tracker'!F50)</ns0:f>
      </ns0:c>
      <ns0:c r="Q182" t="str">
        <ns0:f>IF(J182="","",'Project Tracker'!Q50)</ns0:f>
      </ns0:c>
      <ns0:c r="R182" t="str">
        <ns0:f>IF(J182="","",'Project Tracker'!J50)</ns0:f>
      </ns0:c>
    </ns0:row>
    <ns0:row r="183">
      <ns0:c r="J183" t="str">
        <ns0:f>IF('Project Tracker'!A51="","",TRIM(MID(SUBSTITUTE('Project Tracker'!K51,";",REPT(" ",150)),1,150)))</ns0:f>
      </ns0:c>
      <ns0:c r="K183" t="str">
        <ns0:f>IF(J183="","",IF(COUNTIFS($J$7:J183,J183)=1,MAX($K$6:K182)+1,""))</ns0:f>
      </ns0:c>
      <ns0:c r="M183" t="str">
        <ns0:f>IF(J183="","",'Project Tracker'!A51)</ns0:f>
      </ns0:c>
      <ns0:c r="N183" t="str">
        <ns0:f>IF(J183="","",'Project Tracker'!N51)</ns0:f>
      </ns0:c>
      <ns0:c r="O183" t="str">
        <ns0:f>IF(J183="","",'Project Tracker'!E51)</ns0:f>
      </ns0:c>
      <ns0:c r="P183" t="str">
        <ns0:f>IF(J183="","",'Project Tracker'!F51)</ns0:f>
      </ns0:c>
      <ns0:c r="Q183" t="str">
        <ns0:f>IF(J183="","",'Project Tracker'!Q51)</ns0:f>
      </ns0:c>
      <ns0:c r="R183" t="str">
        <ns0:f>IF(J183="","",'Project Tracker'!J51)</ns0:f>
      </ns0:c>
    </ns0:row>
    <ns0:row r="184">
      <ns0:c r="J184" t="str">
        <ns0:f>IF('Project Tracker'!A51="","",TRIM(MID(SUBSTITUTE('Project Tracker'!K51,";",REPT(" ",150)),151,150)))</ns0:f>
      </ns0:c>
      <ns0:c r="K184" t="str">
        <ns0:f>IF(J184="","",IF(COUNTIFS($J$7:J184,J184)=1,MAX($K$6:K183)+1,""))</ns0:f>
      </ns0:c>
      <ns0:c r="M184" t="str">
        <ns0:f>IF(J184="","",'Project Tracker'!A51)</ns0:f>
      </ns0:c>
      <ns0:c r="N184" t="str">
        <ns0:f>IF(J184="","",'Project Tracker'!N51)</ns0:f>
      </ns0:c>
      <ns0:c r="O184" t="str">
        <ns0:f>IF(J184="","",'Project Tracker'!E51)</ns0:f>
      </ns0:c>
      <ns0:c r="P184" t="str">
        <ns0:f>IF(J184="","",'Project Tracker'!F51)</ns0:f>
      </ns0:c>
      <ns0:c r="Q184" t="str">
        <ns0:f>IF(J184="","",'Project Tracker'!Q51)</ns0:f>
      </ns0:c>
      <ns0:c r="R184" t="str">
        <ns0:f>IF(J184="","",'Project Tracker'!J51)</ns0:f>
      </ns0:c>
    </ns0:row>
    <ns0:row r="185">
      <ns0:c r="J185" t="str">
        <ns0:f>IF('Project Tracker'!A51="","",TRIM(MID(SUBSTITUTE('Project Tracker'!K51,";",REPT(" ",150)),301,150)))</ns0:f>
      </ns0:c>
      <ns0:c r="K185" t="str">
        <ns0:f>IF(J185="","",IF(COUNTIFS($J$7:J185,J185)=1,MAX($K$6:K184)+1,""))</ns0:f>
      </ns0:c>
      <ns0:c r="M185" t="str">
        <ns0:f>IF(J185="","",'Project Tracker'!A51)</ns0:f>
      </ns0:c>
      <ns0:c r="N185" t="str">
        <ns0:f>IF(J185="","",'Project Tracker'!N51)</ns0:f>
      </ns0:c>
      <ns0:c r="O185" t="str">
        <ns0:f>IF(J185="","",'Project Tracker'!E51)</ns0:f>
      </ns0:c>
      <ns0:c r="P185" t="str">
        <ns0:f>IF(J185="","",'Project Tracker'!F51)</ns0:f>
      </ns0:c>
      <ns0:c r="Q185" t="str">
        <ns0:f>IF(J185="","",'Project Tracker'!Q51)</ns0:f>
      </ns0:c>
      <ns0:c r="R185" t="str">
        <ns0:f>IF(J185="","",'Project Tracker'!J51)</ns0:f>
      </ns0:c>
    </ns0:row>
    <ns0:row r="186">
      <ns0:c r="J186" t="str">
        <ns0:f>IF('Project Tracker'!A51="","",TRIM(MID(SUBSTITUTE('Project Tracker'!K51,";",REPT(" ",150)),451,150)))</ns0:f>
      </ns0:c>
      <ns0:c r="K186" t="str">
        <ns0:f>IF(J186="","",IF(COUNTIFS($J$7:J186,J186)=1,MAX($K$6:K185)+1,""))</ns0:f>
      </ns0:c>
      <ns0:c r="M186" t="str">
        <ns0:f>IF(J186="","",'Project Tracker'!A51)</ns0:f>
      </ns0:c>
      <ns0:c r="N186" t="str">
        <ns0:f>IF(J186="","",'Project Tracker'!N51)</ns0:f>
      </ns0:c>
      <ns0:c r="O186" t="str">
        <ns0:f>IF(J186="","",'Project Tracker'!E51)</ns0:f>
      </ns0:c>
      <ns0:c r="P186" t="str">
        <ns0:f>IF(J186="","",'Project Tracker'!F51)</ns0:f>
      </ns0:c>
      <ns0:c r="Q186" t="str">
        <ns0:f>IF(J186="","",'Project Tracker'!Q51)</ns0:f>
      </ns0:c>
      <ns0:c r="R186" t="str">
        <ns0:f>IF(J186="","",'Project Tracker'!J51)</ns0:f>
      </ns0:c>
    </ns0:row>
    <ns0:row r="187">
      <ns0:c r="J187" t="str">
        <ns0:f>IF('Project Tracker'!A52="","",TRIM(MID(SUBSTITUTE('Project Tracker'!K52,";",REPT(" ",150)),1,150)))</ns0:f>
      </ns0:c>
      <ns0:c r="K187" t="str">
        <ns0:f>IF(J187="","",IF(COUNTIFS($J$7:J187,J187)=1,MAX($K$6:K186)+1,""))</ns0:f>
      </ns0:c>
      <ns0:c r="M187" t="str">
        <ns0:f>IF(J187="","",'Project Tracker'!A52)</ns0:f>
      </ns0:c>
      <ns0:c r="N187" t="str">
        <ns0:f>IF(J187="","",'Project Tracker'!N52)</ns0:f>
      </ns0:c>
      <ns0:c r="O187" t="str">
        <ns0:f>IF(J187="","",'Project Tracker'!E52)</ns0:f>
      </ns0:c>
      <ns0:c r="P187" t="str">
        <ns0:f>IF(J187="","",'Project Tracker'!F52)</ns0:f>
      </ns0:c>
      <ns0:c r="Q187" t="str">
        <ns0:f>IF(J187="","",'Project Tracker'!Q52)</ns0:f>
      </ns0:c>
      <ns0:c r="R187" t="str">
        <ns0:f>IF(J187="","",'Project Tracker'!J52)</ns0:f>
      </ns0:c>
    </ns0:row>
    <ns0:row r="188">
      <ns0:c r="J188" t="str">
        <ns0:f>IF('Project Tracker'!A52="","",TRIM(MID(SUBSTITUTE('Project Tracker'!K52,";",REPT(" ",150)),151,150)))</ns0:f>
      </ns0:c>
      <ns0:c r="K188" t="str">
        <ns0:f>IF(J188="","",IF(COUNTIFS($J$7:J188,J188)=1,MAX($K$6:K187)+1,""))</ns0:f>
      </ns0:c>
      <ns0:c r="M188" t="str">
        <ns0:f>IF(J188="","",'Project Tracker'!A52)</ns0:f>
      </ns0:c>
      <ns0:c r="N188" t="str">
        <ns0:f>IF(J188="","",'Project Tracker'!N52)</ns0:f>
      </ns0:c>
      <ns0:c r="O188" t="str">
        <ns0:f>IF(J188="","",'Project Tracker'!E52)</ns0:f>
      </ns0:c>
      <ns0:c r="P188" t="str">
        <ns0:f>IF(J188="","",'Project Tracker'!F52)</ns0:f>
      </ns0:c>
      <ns0:c r="Q188" t="str">
        <ns0:f>IF(J188="","",'Project Tracker'!Q52)</ns0:f>
      </ns0:c>
      <ns0:c r="R188" t="str">
        <ns0:f>IF(J188="","",'Project Tracker'!J52)</ns0:f>
      </ns0:c>
    </ns0:row>
    <ns0:row r="189">
      <ns0:c r="J189" t="str">
        <ns0:f>IF('Project Tracker'!A52="","",TRIM(MID(SUBSTITUTE('Project Tracker'!K52,";",REPT(" ",150)),301,150)))</ns0:f>
      </ns0:c>
      <ns0:c r="K189" t="str">
        <ns0:f>IF(J189="","",IF(COUNTIFS($J$7:J189,J189)=1,MAX($K$6:K188)+1,""))</ns0:f>
      </ns0:c>
      <ns0:c r="M189" t="str">
        <ns0:f>IF(J189="","",'Project Tracker'!A52)</ns0:f>
      </ns0:c>
      <ns0:c r="N189" t="str">
        <ns0:f>IF(J189="","",'Project Tracker'!N52)</ns0:f>
      </ns0:c>
      <ns0:c r="O189" t="str">
        <ns0:f>IF(J189="","",'Project Tracker'!E52)</ns0:f>
      </ns0:c>
      <ns0:c r="P189" t="str">
        <ns0:f>IF(J189="","",'Project Tracker'!F52)</ns0:f>
      </ns0:c>
      <ns0:c r="Q189" t="str">
        <ns0:f>IF(J189="","",'Project Tracker'!Q52)</ns0:f>
      </ns0:c>
      <ns0:c r="R189" t="str">
        <ns0:f>IF(J189="","",'Project Tracker'!J52)</ns0:f>
      </ns0:c>
    </ns0:row>
    <ns0:row r="190">
      <ns0:c r="J190" t="str">
        <ns0:f>IF('Project Tracker'!A52="","",TRIM(MID(SUBSTITUTE('Project Tracker'!K52,";",REPT(" ",150)),451,150)))</ns0:f>
      </ns0:c>
      <ns0:c r="K190" t="str">
        <ns0:f>IF(J190="","",IF(COUNTIFS($J$7:J190,J190)=1,MAX($K$6:K189)+1,""))</ns0:f>
      </ns0:c>
      <ns0:c r="M190" t="str">
        <ns0:f>IF(J190="","",'Project Tracker'!A52)</ns0:f>
      </ns0:c>
      <ns0:c r="N190" t="str">
        <ns0:f>IF(J190="","",'Project Tracker'!N52)</ns0:f>
      </ns0:c>
      <ns0:c r="O190" t="str">
        <ns0:f>IF(J190="","",'Project Tracker'!E52)</ns0:f>
      </ns0:c>
      <ns0:c r="P190" t="str">
        <ns0:f>IF(J190="","",'Project Tracker'!F52)</ns0:f>
      </ns0:c>
      <ns0:c r="Q190" t="str">
        <ns0:f>IF(J190="","",'Project Tracker'!Q52)</ns0:f>
      </ns0:c>
      <ns0:c r="R190" t="str">
        <ns0:f>IF(J190="","",'Project Tracker'!J52)</ns0:f>
      </ns0:c>
    </ns0:row>
    <ns0:row r="191">
      <ns0:c r="J191" t="str">
        <ns0:f>IF('Project Tracker'!A53="","",TRIM(MID(SUBSTITUTE('Project Tracker'!K53,";",REPT(" ",150)),1,150)))</ns0:f>
      </ns0:c>
      <ns0:c r="K191" t="str">
        <ns0:f>IF(J191="","",IF(COUNTIFS($J$7:J191,J191)=1,MAX($K$6:K190)+1,""))</ns0:f>
      </ns0:c>
      <ns0:c r="M191" t="str">
        <ns0:f>IF(J191="","",'Project Tracker'!A53)</ns0:f>
      </ns0:c>
      <ns0:c r="N191" t="str">
        <ns0:f>IF(J191="","",'Project Tracker'!N53)</ns0:f>
      </ns0:c>
      <ns0:c r="O191" t="str">
        <ns0:f>IF(J191="","",'Project Tracker'!E53)</ns0:f>
      </ns0:c>
      <ns0:c r="P191" t="str">
        <ns0:f>IF(J191="","",'Project Tracker'!F53)</ns0:f>
      </ns0:c>
      <ns0:c r="Q191" t="str">
        <ns0:f>IF(J191="","",'Project Tracker'!Q53)</ns0:f>
      </ns0:c>
      <ns0:c r="R191" t="str">
        <ns0:f>IF(J191="","",'Project Tracker'!J53)</ns0:f>
      </ns0:c>
    </ns0:row>
    <ns0:row r="192">
      <ns0:c r="J192" t="str">
        <ns0:f>IF('Project Tracker'!A53="","",TRIM(MID(SUBSTITUTE('Project Tracker'!K53,";",REPT(" ",150)),151,150)))</ns0:f>
      </ns0:c>
      <ns0:c r="K192" t="str">
        <ns0:f>IF(J192="","",IF(COUNTIFS($J$7:J192,J192)=1,MAX($K$6:K191)+1,""))</ns0:f>
      </ns0:c>
      <ns0:c r="M192" t="str">
        <ns0:f>IF(J192="","",'Project Tracker'!A53)</ns0:f>
      </ns0:c>
      <ns0:c r="N192" t="str">
        <ns0:f>IF(J192="","",'Project Tracker'!N53)</ns0:f>
      </ns0:c>
      <ns0:c r="O192" t="str">
        <ns0:f>IF(J192="","",'Project Tracker'!E53)</ns0:f>
      </ns0:c>
      <ns0:c r="P192" t="str">
        <ns0:f>IF(J192="","",'Project Tracker'!F53)</ns0:f>
      </ns0:c>
      <ns0:c r="Q192" t="str">
        <ns0:f>IF(J192="","",'Project Tracker'!Q53)</ns0:f>
      </ns0:c>
      <ns0:c r="R192" t="str">
        <ns0:f>IF(J192="","",'Project Tracker'!J53)</ns0:f>
      </ns0:c>
    </ns0:row>
    <ns0:row r="193">
      <ns0:c r="J193" t="str">
        <ns0:f>IF('Project Tracker'!A53="","",TRIM(MID(SUBSTITUTE('Project Tracker'!K53,";",REPT(" ",150)),301,150)))</ns0:f>
      </ns0:c>
      <ns0:c r="K193" t="str">
        <ns0:f>IF(J193="","",IF(COUNTIFS($J$7:J193,J193)=1,MAX($K$6:K192)+1,""))</ns0:f>
      </ns0:c>
      <ns0:c r="M193" t="str">
        <ns0:f>IF(J193="","",'Project Tracker'!A53)</ns0:f>
      </ns0:c>
      <ns0:c r="N193" t="str">
        <ns0:f>IF(J193="","",'Project Tracker'!N53)</ns0:f>
      </ns0:c>
      <ns0:c r="O193" t="str">
        <ns0:f>IF(J193="","",'Project Tracker'!E53)</ns0:f>
      </ns0:c>
      <ns0:c r="P193" t="str">
        <ns0:f>IF(J193="","",'Project Tracker'!F53)</ns0:f>
      </ns0:c>
      <ns0:c r="Q193" t="str">
        <ns0:f>IF(J193="","",'Project Tracker'!Q53)</ns0:f>
      </ns0:c>
      <ns0:c r="R193" t="str">
        <ns0:f>IF(J193="","",'Project Tracker'!J53)</ns0:f>
      </ns0:c>
    </ns0:row>
    <ns0:row r="194">
      <ns0:c r="J194" t="str">
        <ns0:f>IF('Project Tracker'!A53="","",TRIM(MID(SUBSTITUTE('Project Tracker'!K53,";",REPT(" ",150)),451,150)))</ns0:f>
      </ns0:c>
      <ns0:c r="K194" t="str">
        <ns0:f>IF(J194="","",IF(COUNTIFS($J$7:J194,J194)=1,MAX($K$6:K193)+1,""))</ns0:f>
      </ns0:c>
      <ns0:c r="M194" t="str">
        <ns0:f>IF(J194="","",'Project Tracker'!A53)</ns0:f>
      </ns0:c>
      <ns0:c r="N194" t="str">
        <ns0:f>IF(J194="","",'Project Tracker'!N53)</ns0:f>
      </ns0:c>
      <ns0:c r="O194" t="str">
        <ns0:f>IF(J194="","",'Project Tracker'!E53)</ns0:f>
      </ns0:c>
      <ns0:c r="P194" t="str">
        <ns0:f>IF(J194="","",'Project Tracker'!F53)</ns0:f>
      </ns0:c>
      <ns0:c r="Q194" t="str">
        <ns0:f>IF(J194="","",'Project Tracker'!Q53)</ns0:f>
      </ns0:c>
      <ns0:c r="R194" t="str">
        <ns0:f>IF(J194="","",'Project Tracker'!J53)</ns0:f>
      </ns0:c>
    </ns0:row>
    <ns0:row r="195">
      <ns0:c r="J195" t="str">
        <ns0:f>IF('Project Tracker'!A54="","",TRIM(MID(SUBSTITUTE('Project Tracker'!K54,";",REPT(" ",150)),1,150)))</ns0:f>
      </ns0:c>
      <ns0:c r="K195" t="str">
        <ns0:f>IF(J195="","",IF(COUNTIFS($J$7:J195,J195)=1,MAX($K$6:K194)+1,""))</ns0:f>
      </ns0:c>
      <ns0:c r="M195" t="str">
        <ns0:f>IF(J195="","",'Project Tracker'!A54)</ns0:f>
      </ns0:c>
      <ns0:c r="N195" t="str">
        <ns0:f>IF(J195="","",'Project Tracker'!N54)</ns0:f>
      </ns0:c>
      <ns0:c r="O195" t="str">
        <ns0:f>IF(J195="","",'Project Tracker'!E54)</ns0:f>
      </ns0:c>
      <ns0:c r="P195" t="str">
        <ns0:f>IF(J195="","",'Project Tracker'!F54)</ns0:f>
      </ns0:c>
      <ns0:c r="Q195" t="str">
        <ns0:f>IF(J195="","",'Project Tracker'!Q54)</ns0:f>
      </ns0:c>
      <ns0:c r="R195" t="str">
        <ns0:f>IF(J195="","",'Project Tracker'!J54)</ns0:f>
      </ns0:c>
    </ns0:row>
    <ns0:row r="196">
      <ns0:c r="J196" t="str">
        <ns0:f>IF('Project Tracker'!A54="","",TRIM(MID(SUBSTITUTE('Project Tracker'!K54,";",REPT(" ",150)),151,150)))</ns0:f>
      </ns0:c>
      <ns0:c r="K196" t="str">
        <ns0:f>IF(J196="","",IF(COUNTIFS($J$7:J196,J196)=1,MAX($K$6:K195)+1,""))</ns0:f>
      </ns0:c>
      <ns0:c r="M196" t="str">
        <ns0:f>IF(J196="","",'Project Tracker'!A54)</ns0:f>
      </ns0:c>
      <ns0:c r="N196" t="str">
        <ns0:f>IF(J196="","",'Project Tracker'!N54)</ns0:f>
      </ns0:c>
      <ns0:c r="O196" t="str">
        <ns0:f>IF(J196="","",'Project Tracker'!E54)</ns0:f>
      </ns0:c>
      <ns0:c r="P196" t="str">
        <ns0:f>IF(J196="","",'Project Tracker'!F54)</ns0:f>
      </ns0:c>
      <ns0:c r="Q196" t="str">
        <ns0:f>IF(J196="","",'Project Tracker'!Q54)</ns0:f>
      </ns0:c>
      <ns0:c r="R196" t="str">
        <ns0:f>IF(J196="","",'Project Tracker'!J54)</ns0:f>
      </ns0:c>
    </ns0:row>
    <ns0:row r="197">
      <ns0:c r="J197" t="str">
        <ns0:f>IF('Project Tracker'!A54="","",TRIM(MID(SUBSTITUTE('Project Tracker'!K54,";",REPT(" ",150)),301,150)))</ns0:f>
      </ns0:c>
      <ns0:c r="K197" t="str">
        <ns0:f>IF(J197="","",IF(COUNTIFS($J$7:J197,J197)=1,MAX($K$6:K196)+1,""))</ns0:f>
      </ns0:c>
      <ns0:c r="M197" t="str">
        <ns0:f>IF(J197="","",'Project Tracker'!A54)</ns0:f>
      </ns0:c>
      <ns0:c r="N197" t="str">
        <ns0:f>IF(J197="","",'Project Tracker'!N54)</ns0:f>
      </ns0:c>
      <ns0:c r="O197" t="str">
        <ns0:f>IF(J197="","",'Project Tracker'!E54)</ns0:f>
      </ns0:c>
      <ns0:c r="P197" t="str">
        <ns0:f>IF(J197="","",'Project Tracker'!F54)</ns0:f>
      </ns0:c>
      <ns0:c r="Q197" t="str">
        <ns0:f>IF(J197="","",'Project Tracker'!Q54)</ns0:f>
      </ns0:c>
      <ns0:c r="R197" t="str">
        <ns0:f>IF(J197="","",'Project Tracker'!J54)</ns0:f>
      </ns0:c>
    </ns0:row>
    <ns0:row r="198">
      <ns0:c r="J198" t="str">
        <ns0:f>IF('Project Tracker'!A54="","",TRIM(MID(SUBSTITUTE('Project Tracker'!K54,";",REPT(" ",150)),451,150)))</ns0:f>
      </ns0:c>
      <ns0:c r="K198" t="str">
        <ns0:f>IF(J198="","",IF(COUNTIFS($J$7:J198,J198)=1,MAX($K$6:K197)+1,""))</ns0:f>
      </ns0:c>
      <ns0:c r="M198" t="str">
        <ns0:f>IF(J198="","",'Project Tracker'!A54)</ns0:f>
      </ns0:c>
      <ns0:c r="N198" t="str">
        <ns0:f>IF(J198="","",'Project Tracker'!N54)</ns0:f>
      </ns0:c>
      <ns0:c r="O198" t="str">
        <ns0:f>IF(J198="","",'Project Tracker'!E54)</ns0:f>
      </ns0:c>
      <ns0:c r="P198" t="str">
        <ns0:f>IF(J198="","",'Project Tracker'!F54)</ns0:f>
      </ns0:c>
      <ns0:c r="Q198" t="str">
        <ns0:f>IF(J198="","",'Project Tracker'!Q54)</ns0:f>
      </ns0:c>
      <ns0:c r="R198" t="str">
        <ns0:f>IF(J198="","",'Project Tracker'!J54)</ns0:f>
      </ns0:c>
    </ns0:row>
    <ns0:row r="199">
      <ns0:c r="J199" t="str">
        <ns0:f>IF('Project Tracker'!A55="","",TRIM(MID(SUBSTITUTE('Project Tracker'!K55,";",REPT(" ",150)),1,150)))</ns0:f>
      </ns0:c>
      <ns0:c r="K199" t="str">
        <ns0:f>IF(J199="","",IF(COUNTIFS($J$7:J199,J199)=1,MAX($K$6:K198)+1,""))</ns0:f>
      </ns0:c>
      <ns0:c r="M199" t="str">
        <ns0:f>IF(J199="","",'Project Tracker'!A55)</ns0:f>
      </ns0:c>
      <ns0:c r="N199" t="str">
        <ns0:f>IF(J199="","",'Project Tracker'!N55)</ns0:f>
      </ns0:c>
      <ns0:c r="O199" t="str">
        <ns0:f>IF(J199="","",'Project Tracker'!E55)</ns0:f>
      </ns0:c>
      <ns0:c r="P199" t="str">
        <ns0:f>IF(J199="","",'Project Tracker'!F55)</ns0:f>
      </ns0:c>
      <ns0:c r="Q199" t="str">
        <ns0:f>IF(J199="","",'Project Tracker'!Q55)</ns0:f>
      </ns0:c>
      <ns0:c r="R199" t="str">
        <ns0:f>IF(J199="","",'Project Tracker'!J55)</ns0:f>
      </ns0:c>
    </ns0:row>
    <ns0:row r="200">
      <ns0:c r="J200" t="str">
        <ns0:f>IF('Project Tracker'!A55="","",TRIM(MID(SUBSTITUTE('Project Tracker'!K55,";",REPT(" ",150)),151,150)))</ns0:f>
      </ns0:c>
      <ns0:c r="K200" t="str">
        <ns0:f>IF(J200="","",IF(COUNTIFS($J$7:J200,J200)=1,MAX($K$6:K199)+1,""))</ns0:f>
      </ns0:c>
      <ns0:c r="M200" t="str">
        <ns0:f>IF(J200="","",'Project Tracker'!A55)</ns0:f>
      </ns0:c>
      <ns0:c r="N200" t="str">
        <ns0:f>IF(J200="","",'Project Tracker'!N55)</ns0:f>
      </ns0:c>
      <ns0:c r="O200" t="str">
        <ns0:f>IF(J200="","",'Project Tracker'!E55)</ns0:f>
      </ns0:c>
      <ns0:c r="P200" t="str">
        <ns0:f>IF(J200="","",'Project Tracker'!F55)</ns0:f>
      </ns0:c>
      <ns0:c r="Q200" t="str">
        <ns0:f>IF(J200="","",'Project Tracker'!Q55)</ns0:f>
      </ns0:c>
      <ns0:c r="R200" t="str">
        <ns0:f>IF(J200="","",'Project Tracker'!J55)</ns0:f>
      </ns0:c>
    </ns0:row>
    <ns0:row r="201">
      <ns0:c r="J201" t="str">
        <ns0:f>IF('Project Tracker'!A55="","",TRIM(MID(SUBSTITUTE('Project Tracker'!K55,";",REPT(" ",150)),301,150)))</ns0:f>
      </ns0:c>
      <ns0:c r="K201" t="str">
        <ns0:f>IF(J201="","",IF(COUNTIFS($J$7:J201,J201)=1,MAX($K$6:K200)+1,""))</ns0:f>
      </ns0:c>
      <ns0:c r="M201" t="str">
        <ns0:f>IF(J201="","",'Project Tracker'!A55)</ns0:f>
      </ns0:c>
      <ns0:c r="N201" t="str">
        <ns0:f>IF(J201="","",'Project Tracker'!N55)</ns0:f>
      </ns0:c>
      <ns0:c r="O201" t="str">
        <ns0:f>IF(J201="","",'Project Tracker'!E55)</ns0:f>
      </ns0:c>
      <ns0:c r="P201" t="str">
        <ns0:f>IF(J201="","",'Project Tracker'!F55)</ns0:f>
      </ns0:c>
      <ns0:c r="Q201" t="str">
        <ns0:f>IF(J201="","",'Project Tracker'!Q55)</ns0:f>
      </ns0:c>
      <ns0:c r="R201" t="str">
        <ns0:f>IF(J201="","",'Project Tracker'!J55)</ns0:f>
      </ns0:c>
    </ns0:row>
    <ns0:row r="202">
      <ns0:c r="J202" t="str">
        <ns0:f>IF('Project Tracker'!A55="","",TRIM(MID(SUBSTITUTE('Project Tracker'!K55,";",REPT(" ",150)),451,150)))</ns0:f>
      </ns0:c>
      <ns0:c r="K202" t="str">
        <ns0:f>IF(J202="","",IF(COUNTIFS($J$7:J202,J202)=1,MAX($K$6:K201)+1,""))</ns0:f>
      </ns0:c>
      <ns0:c r="M202" t="str">
        <ns0:f>IF(J202="","",'Project Tracker'!A55)</ns0:f>
      </ns0:c>
      <ns0:c r="N202" t="str">
        <ns0:f>IF(J202="","",'Project Tracker'!N55)</ns0:f>
      </ns0:c>
      <ns0:c r="O202" t="str">
        <ns0:f>IF(J202="","",'Project Tracker'!E55)</ns0:f>
      </ns0:c>
      <ns0:c r="P202" t="str">
        <ns0:f>IF(J202="","",'Project Tracker'!F55)</ns0:f>
      </ns0:c>
      <ns0:c r="Q202" t="str">
        <ns0:f>IF(J202="","",'Project Tracker'!Q55)</ns0:f>
      </ns0:c>
      <ns0:c r="R202" t="str">
        <ns0:f>IF(J202="","",'Project Tracker'!J55)</ns0:f>
      </ns0:c>
    </ns0:row>
    <ns0:row r="203">
      <ns0:c r="J203" t="str">
        <ns0:f>IF('Project Tracker'!A56="","",TRIM(MID(SUBSTITUTE('Project Tracker'!K56,";",REPT(" ",150)),1,150)))</ns0:f>
      </ns0:c>
      <ns0:c r="K203" t="str">
        <ns0:f>IF(J203="","",IF(COUNTIFS($J$7:J203,J203)=1,MAX($K$6:K202)+1,""))</ns0:f>
      </ns0:c>
      <ns0:c r="M203" t="str">
        <ns0:f>IF(J203="","",'Project Tracker'!A56)</ns0:f>
      </ns0:c>
      <ns0:c r="N203" t="str">
        <ns0:f>IF(J203="","",'Project Tracker'!N56)</ns0:f>
      </ns0:c>
      <ns0:c r="O203" t="str">
        <ns0:f>IF(J203="","",'Project Tracker'!E56)</ns0:f>
      </ns0:c>
      <ns0:c r="P203" t="str">
        <ns0:f>IF(J203="","",'Project Tracker'!F56)</ns0:f>
      </ns0:c>
      <ns0:c r="Q203" t="str">
        <ns0:f>IF(J203="","",'Project Tracker'!Q56)</ns0:f>
      </ns0:c>
      <ns0:c r="R203" t="str">
        <ns0:f>IF(J203="","",'Project Tracker'!J56)</ns0:f>
      </ns0:c>
    </ns0:row>
    <ns0:row r="204">
      <ns0:c r="J204" t="str">
        <ns0:f>IF('Project Tracker'!A56="","",TRIM(MID(SUBSTITUTE('Project Tracker'!K56,";",REPT(" ",150)),151,150)))</ns0:f>
      </ns0:c>
      <ns0:c r="K204" t="str">
        <ns0:f>IF(J204="","",IF(COUNTIFS($J$7:J204,J204)=1,MAX($K$6:K203)+1,""))</ns0:f>
      </ns0:c>
      <ns0:c r="M204" t="str">
        <ns0:f>IF(J204="","",'Project Tracker'!A56)</ns0:f>
      </ns0:c>
      <ns0:c r="N204" t="str">
        <ns0:f>IF(J204="","",'Project Tracker'!N56)</ns0:f>
      </ns0:c>
      <ns0:c r="O204" t="str">
        <ns0:f>IF(J204="","",'Project Tracker'!E56)</ns0:f>
      </ns0:c>
      <ns0:c r="P204" t="str">
        <ns0:f>IF(J204="","",'Project Tracker'!F56)</ns0:f>
      </ns0:c>
      <ns0:c r="Q204" t="str">
        <ns0:f>IF(J204="","",'Project Tracker'!Q56)</ns0:f>
      </ns0:c>
      <ns0:c r="R204" t="str">
        <ns0:f>IF(J204="","",'Project Tracker'!J56)</ns0:f>
      </ns0:c>
    </ns0:row>
    <ns0:row r="205">
      <ns0:c r="J205" t="str">
        <ns0:f>IF('Project Tracker'!A56="","",TRIM(MID(SUBSTITUTE('Project Tracker'!K56,";",REPT(" ",150)),301,150)))</ns0:f>
      </ns0:c>
      <ns0:c r="K205" t="str">
        <ns0:f>IF(J205="","",IF(COUNTIFS($J$7:J205,J205)=1,MAX($K$6:K204)+1,""))</ns0:f>
      </ns0:c>
      <ns0:c r="M205" t="str">
        <ns0:f>IF(J205="","",'Project Tracker'!A56)</ns0:f>
      </ns0:c>
      <ns0:c r="N205" t="str">
        <ns0:f>IF(J205="","",'Project Tracker'!N56)</ns0:f>
      </ns0:c>
      <ns0:c r="O205" t="str">
        <ns0:f>IF(J205="","",'Project Tracker'!E56)</ns0:f>
      </ns0:c>
      <ns0:c r="P205" t="str">
        <ns0:f>IF(J205="","",'Project Tracker'!F56)</ns0:f>
      </ns0:c>
      <ns0:c r="Q205" t="str">
        <ns0:f>IF(J205="","",'Project Tracker'!Q56)</ns0:f>
      </ns0:c>
      <ns0:c r="R205" t="str">
        <ns0:f>IF(J205="","",'Project Tracker'!J56)</ns0:f>
      </ns0:c>
    </ns0:row>
    <ns0:row r="206">
      <ns0:c r="J206" t="str">
        <ns0:f>IF('Project Tracker'!A56="","",TRIM(MID(SUBSTITUTE('Project Tracker'!K56,";",REPT(" ",150)),451,150)))</ns0:f>
      </ns0:c>
      <ns0:c r="K206" t="str">
        <ns0:f>IF(J206="","",IF(COUNTIFS($J$7:J206,J206)=1,MAX($K$6:K205)+1,""))</ns0:f>
      </ns0:c>
      <ns0:c r="M206" t="str">
        <ns0:f>IF(J206="","",'Project Tracker'!A56)</ns0:f>
      </ns0:c>
      <ns0:c r="N206" t="str">
        <ns0:f>IF(J206="","",'Project Tracker'!N56)</ns0:f>
      </ns0:c>
      <ns0:c r="O206" t="str">
        <ns0:f>IF(J206="","",'Project Tracker'!E56)</ns0:f>
      </ns0:c>
      <ns0:c r="P206" t="str">
        <ns0:f>IF(J206="","",'Project Tracker'!F56)</ns0:f>
      </ns0:c>
      <ns0:c r="Q206" t="str">
        <ns0:f>IF(J206="","",'Project Tracker'!Q56)</ns0:f>
      </ns0:c>
      <ns0:c r="R206" t="str">
        <ns0:f>IF(J206="","",'Project Tracker'!J56)</ns0:f>
      </ns0:c>
    </ns0:row>
    <ns0:row r="207">
      <ns0:c r="J207" t="str">
        <ns0:f>IF('Project Tracker'!A57="","",TRIM(MID(SUBSTITUTE('Project Tracker'!K57,";",REPT(" ",150)),1,150)))</ns0:f>
      </ns0:c>
      <ns0:c r="K207" t="str">
        <ns0:f>IF(J207="","",IF(COUNTIFS($J$7:J207,J207)=1,MAX($K$6:K206)+1,""))</ns0:f>
      </ns0:c>
      <ns0:c r="M207" t="str">
        <ns0:f>IF(J207="","",'Project Tracker'!A57)</ns0:f>
      </ns0:c>
      <ns0:c r="N207" t="str">
        <ns0:f>IF(J207="","",'Project Tracker'!N57)</ns0:f>
      </ns0:c>
      <ns0:c r="O207" t="str">
        <ns0:f>IF(J207="","",'Project Tracker'!E57)</ns0:f>
      </ns0:c>
      <ns0:c r="P207" t="str">
        <ns0:f>IF(J207="","",'Project Tracker'!F57)</ns0:f>
      </ns0:c>
      <ns0:c r="Q207" t="str">
        <ns0:f>IF(J207="","",'Project Tracker'!Q57)</ns0:f>
      </ns0:c>
      <ns0:c r="R207" t="str">
        <ns0:f>IF(J207="","",'Project Tracker'!J57)</ns0:f>
      </ns0:c>
    </ns0:row>
    <ns0:row r="208">
      <ns0:c r="J208" t="str">
        <ns0:f>IF('Project Tracker'!A57="","",TRIM(MID(SUBSTITUTE('Project Tracker'!K57,";",REPT(" ",150)),151,150)))</ns0:f>
      </ns0:c>
      <ns0:c r="K208" t="str">
        <ns0:f>IF(J208="","",IF(COUNTIFS($J$7:J208,J208)=1,MAX($K$6:K207)+1,""))</ns0:f>
      </ns0:c>
      <ns0:c r="M208" t="str">
        <ns0:f>IF(J208="","",'Project Tracker'!A57)</ns0:f>
      </ns0:c>
      <ns0:c r="N208" t="str">
        <ns0:f>IF(J208="","",'Project Tracker'!N57)</ns0:f>
      </ns0:c>
      <ns0:c r="O208" t="str">
        <ns0:f>IF(J208="","",'Project Tracker'!E57)</ns0:f>
      </ns0:c>
      <ns0:c r="P208" t="str">
        <ns0:f>IF(J208="","",'Project Tracker'!F57)</ns0:f>
      </ns0:c>
      <ns0:c r="Q208" t="str">
        <ns0:f>IF(J208="","",'Project Tracker'!Q57)</ns0:f>
      </ns0:c>
      <ns0:c r="R208" t="str">
        <ns0:f>IF(J208="","",'Project Tracker'!J57)</ns0:f>
      </ns0:c>
    </ns0:row>
    <ns0:row r="209">
      <ns0:c r="J209" t="str">
        <ns0:f>IF('Project Tracker'!A57="","",TRIM(MID(SUBSTITUTE('Project Tracker'!K57,";",REPT(" ",150)),301,150)))</ns0:f>
      </ns0:c>
      <ns0:c r="K209" t="str">
        <ns0:f>IF(J209="","",IF(COUNTIFS($J$7:J209,J209)=1,MAX($K$6:K208)+1,""))</ns0:f>
      </ns0:c>
      <ns0:c r="M209" t="str">
        <ns0:f>IF(J209="","",'Project Tracker'!A57)</ns0:f>
      </ns0:c>
      <ns0:c r="N209" t="str">
        <ns0:f>IF(J209="","",'Project Tracker'!N57)</ns0:f>
      </ns0:c>
      <ns0:c r="O209" t="str">
        <ns0:f>IF(J209="","",'Project Tracker'!E57)</ns0:f>
      </ns0:c>
      <ns0:c r="P209" t="str">
        <ns0:f>IF(J209="","",'Project Tracker'!F57)</ns0:f>
      </ns0:c>
      <ns0:c r="Q209" t="str">
        <ns0:f>IF(J209="","",'Project Tracker'!Q57)</ns0:f>
      </ns0:c>
      <ns0:c r="R209" t="str">
        <ns0:f>IF(J209="","",'Project Tracker'!J57)</ns0:f>
      </ns0:c>
    </ns0:row>
    <ns0:row r="210">
      <ns0:c r="J210" t="str">
        <ns0:f>IF('Project Tracker'!A57="","",TRIM(MID(SUBSTITUTE('Project Tracker'!K57,";",REPT(" ",150)),451,150)))</ns0:f>
      </ns0:c>
      <ns0:c r="K210" t="str">
        <ns0:f>IF(J210="","",IF(COUNTIFS($J$7:J210,J210)=1,MAX($K$6:K209)+1,""))</ns0:f>
      </ns0:c>
      <ns0:c r="M210" t="str">
        <ns0:f>IF(J210="","",'Project Tracker'!A57)</ns0:f>
      </ns0:c>
      <ns0:c r="N210" t="str">
        <ns0:f>IF(J210="","",'Project Tracker'!N57)</ns0:f>
      </ns0:c>
      <ns0:c r="O210" t="str">
        <ns0:f>IF(J210="","",'Project Tracker'!E57)</ns0:f>
      </ns0:c>
      <ns0:c r="P210" t="str">
        <ns0:f>IF(J210="","",'Project Tracker'!F57)</ns0:f>
      </ns0:c>
      <ns0:c r="Q210" t="str">
        <ns0:f>IF(J210="","",'Project Tracker'!Q57)</ns0:f>
      </ns0:c>
      <ns0:c r="R210" t="str">
        <ns0:f>IF(J210="","",'Project Tracker'!J57)</ns0:f>
      </ns0:c>
    </ns0:row>
    <ns0:row r="211">
      <ns0:c r="J211" t="str">
        <ns0:f>IF('Project Tracker'!A58="","",TRIM(MID(SUBSTITUTE('Project Tracker'!K58,";",REPT(" ",150)),1,150)))</ns0:f>
      </ns0:c>
      <ns0:c r="K211" t="str">
        <ns0:f>IF(J211="","",IF(COUNTIFS($J$7:J211,J211)=1,MAX($K$6:K210)+1,""))</ns0:f>
      </ns0:c>
      <ns0:c r="M211" t="str">
        <ns0:f>IF(J211="","",'Project Tracker'!A58)</ns0:f>
      </ns0:c>
      <ns0:c r="N211" t="str">
        <ns0:f>IF(J211="","",'Project Tracker'!N58)</ns0:f>
      </ns0:c>
      <ns0:c r="O211" t="str">
        <ns0:f>IF(J211="","",'Project Tracker'!E58)</ns0:f>
      </ns0:c>
      <ns0:c r="P211" t="str">
        <ns0:f>IF(J211="","",'Project Tracker'!F58)</ns0:f>
      </ns0:c>
      <ns0:c r="Q211" t="str">
        <ns0:f>IF(J211="","",'Project Tracker'!Q58)</ns0:f>
      </ns0:c>
      <ns0:c r="R211" t="str">
        <ns0:f>IF(J211="","",'Project Tracker'!J58)</ns0:f>
      </ns0:c>
    </ns0:row>
    <ns0:row r="212">
      <ns0:c r="J212" t="str">
        <ns0:f>IF('Project Tracker'!A58="","",TRIM(MID(SUBSTITUTE('Project Tracker'!K58,";",REPT(" ",150)),151,150)))</ns0:f>
      </ns0:c>
      <ns0:c r="K212" t="str">
        <ns0:f>IF(J212="","",IF(COUNTIFS($J$7:J212,J212)=1,MAX($K$6:K211)+1,""))</ns0:f>
      </ns0:c>
      <ns0:c r="M212" t="str">
        <ns0:f>IF(J212="","",'Project Tracker'!A58)</ns0:f>
      </ns0:c>
      <ns0:c r="N212" t="str">
        <ns0:f>IF(J212="","",'Project Tracker'!N58)</ns0:f>
      </ns0:c>
      <ns0:c r="O212" t="str">
        <ns0:f>IF(J212="","",'Project Tracker'!E58)</ns0:f>
      </ns0:c>
      <ns0:c r="P212" t="str">
        <ns0:f>IF(J212="","",'Project Tracker'!F58)</ns0:f>
      </ns0:c>
      <ns0:c r="Q212" t="str">
        <ns0:f>IF(J212="","",'Project Tracker'!Q58)</ns0:f>
      </ns0:c>
      <ns0:c r="R212" t="str">
        <ns0:f>IF(J212="","",'Project Tracker'!J58)</ns0:f>
      </ns0:c>
    </ns0:row>
    <ns0:row r="213">
      <ns0:c r="J213" t="str">
        <ns0:f>IF('Project Tracker'!A58="","",TRIM(MID(SUBSTITUTE('Project Tracker'!K58,";",REPT(" ",150)),301,150)))</ns0:f>
      </ns0:c>
      <ns0:c r="K213" t="str">
        <ns0:f>IF(J213="","",IF(COUNTIFS($J$7:J213,J213)=1,MAX($K$6:K212)+1,""))</ns0:f>
      </ns0:c>
      <ns0:c r="M213" t="str">
        <ns0:f>IF(J213="","",'Project Tracker'!A58)</ns0:f>
      </ns0:c>
      <ns0:c r="N213" t="str">
        <ns0:f>IF(J213="","",'Project Tracker'!N58)</ns0:f>
      </ns0:c>
      <ns0:c r="O213" t="str">
        <ns0:f>IF(J213="","",'Project Tracker'!E58)</ns0:f>
      </ns0:c>
      <ns0:c r="P213" t="str">
        <ns0:f>IF(J213="","",'Project Tracker'!F58)</ns0:f>
      </ns0:c>
      <ns0:c r="Q213" t="str">
        <ns0:f>IF(J213="","",'Project Tracker'!Q58)</ns0:f>
      </ns0:c>
      <ns0:c r="R213" t="str">
        <ns0:f>IF(J213="","",'Project Tracker'!J58)</ns0:f>
      </ns0:c>
    </ns0:row>
    <ns0:row r="214">
      <ns0:c r="J214" t="str">
        <ns0:f>IF('Project Tracker'!A58="","",TRIM(MID(SUBSTITUTE('Project Tracker'!K58,";",REPT(" ",150)),451,150)))</ns0:f>
      </ns0:c>
      <ns0:c r="K214" t="str">
        <ns0:f>IF(J214="","",IF(COUNTIFS($J$7:J214,J214)=1,MAX($K$6:K213)+1,""))</ns0:f>
      </ns0:c>
      <ns0:c r="M214" t="str">
        <ns0:f>IF(J214="","",'Project Tracker'!A58)</ns0:f>
      </ns0:c>
      <ns0:c r="N214" t="str">
        <ns0:f>IF(J214="","",'Project Tracker'!N58)</ns0:f>
      </ns0:c>
      <ns0:c r="O214" t="str">
        <ns0:f>IF(J214="","",'Project Tracker'!E58)</ns0:f>
      </ns0:c>
      <ns0:c r="P214" t="str">
        <ns0:f>IF(J214="","",'Project Tracker'!F58)</ns0:f>
      </ns0:c>
      <ns0:c r="Q214" t="str">
        <ns0:f>IF(J214="","",'Project Tracker'!Q58)</ns0:f>
      </ns0:c>
      <ns0:c r="R214" t="str">
        <ns0:f>IF(J214="","",'Project Tracker'!J58)</ns0:f>
      </ns0:c>
    </ns0:row>
    <ns0:row r="215">
      <ns0:c r="J215" t="str">
        <ns0:f>IF('Project Tracker'!A59="","",TRIM(MID(SUBSTITUTE('Project Tracker'!K59,";",REPT(" ",150)),1,150)))</ns0:f>
      </ns0:c>
      <ns0:c r="K215" t="str">
        <ns0:f>IF(J215="","",IF(COUNTIFS($J$7:J215,J215)=1,MAX($K$6:K214)+1,""))</ns0:f>
      </ns0:c>
      <ns0:c r="M215" t="str">
        <ns0:f>IF(J215="","",'Project Tracker'!A59)</ns0:f>
      </ns0:c>
      <ns0:c r="N215" t="str">
        <ns0:f>IF(J215="","",'Project Tracker'!N59)</ns0:f>
      </ns0:c>
      <ns0:c r="O215" t="str">
        <ns0:f>IF(J215="","",'Project Tracker'!E59)</ns0:f>
      </ns0:c>
      <ns0:c r="P215" t="str">
        <ns0:f>IF(J215="","",'Project Tracker'!F59)</ns0:f>
      </ns0:c>
      <ns0:c r="Q215" t="str">
        <ns0:f>IF(J215="","",'Project Tracker'!Q59)</ns0:f>
      </ns0:c>
      <ns0:c r="R215" t="str">
        <ns0:f>IF(J215="","",'Project Tracker'!J59)</ns0:f>
      </ns0:c>
    </ns0:row>
    <ns0:row r="216">
      <ns0:c r="J216" t="str">
        <ns0:f>IF('Project Tracker'!A59="","",TRIM(MID(SUBSTITUTE('Project Tracker'!K59,";",REPT(" ",150)),151,150)))</ns0:f>
      </ns0:c>
      <ns0:c r="K216" t="str">
        <ns0:f>IF(J216="","",IF(COUNTIFS($J$7:J216,J216)=1,MAX($K$6:K215)+1,""))</ns0:f>
      </ns0:c>
      <ns0:c r="M216" t="str">
        <ns0:f>IF(J216="","",'Project Tracker'!A59)</ns0:f>
      </ns0:c>
      <ns0:c r="N216" t="str">
        <ns0:f>IF(J216="","",'Project Tracker'!N59)</ns0:f>
      </ns0:c>
      <ns0:c r="O216" t="str">
        <ns0:f>IF(J216="","",'Project Tracker'!E59)</ns0:f>
      </ns0:c>
      <ns0:c r="P216" t="str">
        <ns0:f>IF(J216="","",'Project Tracker'!F59)</ns0:f>
      </ns0:c>
      <ns0:c r="Q216" t="str">
        <ns0:f>IF(J216="","",'Project Tracker'!Q59)</ns0:f>
      </ns0:c>
      <ns0:c r="R216" t="str">
        <ns0:f>IF(J216="","",'Project Tracker'!J59)</ns0:f>
      </ns0:c>
    </ns0:row>
    <ns0:row r="217">
      <ns0:c r="J217" t="str">
        <ns0:f>IF('Project Tracker'!A59="","",TRIM(MID(SUBSTITUTE('Project Tracker'!K59,";",REPT(" ",150)),301,150)))</ns0:f>
      </ns0:c>
      <ns0:c r="K217" t="str">
        <ns0:f>IF(J217="","",IF(COUNTIFS($J$7:J217,J217)=1,MAX($K$6:K216)+1,""))</ns0:f>
      </ns0:c>
      <ns0:c r="M217" t="str">
        <ns0:f>IF(J217="","",'Project Tracker'!A59)</ns0:f>
      </ns0:c>
      <ns0:c r="N217" t="str">
        <ns0:f>IF(J217="","",'Project Tracker'!N59)</ns0:f>
      </ns0:c>
      <ns0:c r="O217" t="str">
        <ns0:f>IF(J217="","",'Project Tracker'!E59)</ns0:f>
      </ns0:c>
      <ns0:c r="P217" t="str">
        <ns0:f>IF(J217="","",'Project Tracker'!F59)</ns0:f>
      </ns0:c>
      <ns0:c r="Q217" t="str">
        <ns0:f>IF(J217="","",'Project Tracker'!Q59)</ns0:f>
      </ns0:c>
      <ns0:c r="R217" t="str">
        <ns0:f>IF(J217="","",'Project Tracker'!J59)</ns0:f>
      </ns0:c>
    </ns0:row>
    <ns0:row r="218">
      <ns0:c r="J218" t="str">
        <ns0:f>IF('Project Tracker'!A59="","",TRIM(MID(SUBSTITUTE('Project Tracker'!K59,";",REPT(" ",150)),451,150)))</ns0:f>
      </ns0:c>
      <ns0:c r="K218" t="str">
        <ns0:f>IF(J218="","",IF(COUNTIFS($J$7:J218,J218)=1,MAX($K$6:K217)+1,""))</ns0:f>
      </ns0:c>
      <ns0:c r="M218" t="str">
        <ns0:f>IF(J218="","",'Project Tracker'!A59)</ns0:f>
      </ns0:c>
      <ns0:c r="N218" t="str">
        <ns0:f>IF(J218="","",'Project Tracker'!N59)</ns0:f>
      </ns0:c>
      <ns0:c r="O218" t="str">
        <ns0:f>IF(J218="","",'Project Tracker'!E59)</ns0:f>
      </ns0:c>
      <ns0:c r="P218" t="str">
        <ns0:f>IF(J218="","",'Project Tracker'!F59)</ns0:f>
      </ns0:c>
      <ns0:c r="Q218" t="str">
        <ns0:f>IF(J218="","",'Project Tracker'!Q59)</ns0:f>
      </ns0:c>
      <ns0:c r="R218" t="str">
        <ns0:f>IF(J218="","",'Project Tracker'!J59)</ns0:f>
      </ns0:c>
    </ns0:row>
    <ns0:row r="219">
      <ns0:c r="J219" t="str">
        <ns0:f>IF('Project Tracker'!A60="","",TRIM(MID(SUBSTITUTE('Project Tracker'!K60,";",REPT(" ",150)),1,150)))</ns0:f>
      </ns0:c>
      <ns0:c r="K219" t="str">
        <ns0:f>IF(J219="","",IF(COUNTIFS($J$7:J219,J219)=1,MAX($K$6:K218)+1,""))</ns0:f>
      </ns0:c>
      <ns0:c r="M219" t="str">
        <ns0:f>IF(J219="","",'Project Tracker'!A60)</ns0:f>
      </ns0:c>
      <ns0:c r="N219" t="str">
        <ns0:f>IF(J219="","",'Project Tracker'!N60)</ns0:f>
      </ns0:c>
      <ns0:c r="O219" t="str">
        <ns0:f>IF(J219="","",'Project Tracker'!E60)</ns0:f>
      </ns0:c>
      <ns0:c r="P219" t="str">
        <ns0:f>IF(J219="","",'Project Tracker'!F60)</ns0:f>
      </ns0:c>
      <ns0:c r="Q219" t="str">
        <ns0:f>IF(J219="","",'Project Tracker'!Q60)</ns0:f>
      </ns0:c>
      <ns0:c r="R219" t="str">
        <ns0:f>IF(J219="","",'Project Tracker'!J60)</ns0:f>
      </ns0:c>
    </ns0:row>
    <ns0:row r="220">
      <ns0:c r="J220" t="str">
        <ns0:f>IF('Project Tracker'!A60="","",TRIM(MID(SUBSTITUTE('Project Tracker'!K60,";",REPT(" ",150)),151,150)))</ns0:f>
      </ns0:c>
      <ns0:c r="K220" t="str">
        <ns0:f>IF(J220="","",IF(COUNTIFS($J$7:J220,J220)=1,MAX($K$6:K219)+1,""))</ns0:f>
      </ns0:c>
      <ns0:c r="M220" t="str">
        <ns0:f>IF(J220="","",'Project Tracker'!A60)</ns0:f>
      </ns0:c>
      <ns0:c r="N220" t="str">
        <ns0:f>IF(J220="","",'Project Tracker'!N60)</ns0:f>
      </ns0:c>
      <ns0:c r="O220" t="str">
        <ns0:f>IF(J220="","",'Project Tracker'!E60)</ns0:f>
      </ns0:c>
      <ns0:c r="P220" t="str">
        <ns0:f>IF(J220="","",'Project Tracker'!F60)</ns0:f>
      </ns0:c>
      <ns0:c r="Q220" t="str">
        <ns0:f>IF(J220="","",'Project Tracker'!Q60)</ns0:f>
      </ns0:c>
      <ns0:c r="R220" t="str">
        <ns0:f>IF(J220="","",'Project Tracker'!J60)</ns0:f>
      </ns0:c>
    </ns0:row>
    <ns0:row r="221">
      <ns0:c r="J221" t="str">
        <ns0:f>IF('Project Tracker'!A60="","",TRIM(MID(SUBSTITUTE('Project Tracker'!K60,";",REPT(" ",150)),301,150)))</ns0:f>
      </ns0:c>
      <ns0:c r="K221" t="str">
        <ns0:f>IF(J221="","",IF(COUNTIFS($J$7:J221,J221)=1,MAX($K$6:K220)+1,""))</ns0:f>
      </ns0:c>
      <ns0:c r="M221" t="str">
        <ns0:f>IF(J221="","",'Project Tracker'!A60)</ns0:f>
      </ns0:c>
      <ns0:c r="N221" t="str">
        <ns0:f>IF(J221="","",'Project Tracker'!N60)</ns0:f>
      </ns0:c>
      <ns0:c r="O221" t="str">
        <ns0:f>IF(J221="","",'Project Tracker'!E60)</ns0:f>
      </ns0:c>
      <ns0:c r="P221" t="str">
        <ns0:f>IF(J221="","",'Project Tracker'!F60)</ns0:f>
      </ns0:c>
      <ns0:c r="Q221" t="str">
        <ns0:f>IF(J221="","",'Project Tracker'!Q60)</ns0:f>
      </ns0:c>
      <ns0:c r="R221" t="str">
        <ns0:f>IF(J221="","",'Project Tracker'!J60)</ns0:f>
      </ns0:c>
    </ns0:row>
    <ns0:row r="222">
      <ns0:c r="J222" t="str">
        <ns0:f>IF('Project Tracker'!A60="","",TRIM(MID(SUBSTITUTE('Project Tracker'!K60,";",REPT(" ",150)),451,150)))</ns0:f>
      </ns0:c>
      <ns0:c r="K222" t="str">
        <ns0:f>IF(J222="","",IF(COUNTIFS($J$7:J222,J222)=1,MAX($K$6:K221)+1,""))</ns0:f>
      </ns0:c>
      <ns0:c r="M222" t="str">
        <ns0:f>IF(J222="","",'Project Tracker'!A60)</ns0:f>
      </ns0:c>
      <ns0:c r="N222" t="str">
        <ns0:f>IF(J222="","",'Project Tracker'!N60)</ns0:f>
      </ns0:c>
      <ns0:c r="O222" t="str">
        <ns0:f>IF(J222="","",'Project Tracker'!E60)</ns0:f>
      </ns0:c>
      <ns0:c r="P222" t="str">
        <ns0:f>IF(J222="","",'Project Tracker'!F60)</ns0:f>
      </ns0:c>
      <ns0:c r="Q222" t="str">
        <ns0:f>IF(J222="","",'Project Tracker'!Q60)</ns0:f>
      </ns0:c>
      <ns0:c r="R222" t="str">
        <ns0:f>IF(J222="","",'Project Tracker'!J60)</ns0:f>
      </ns0:c>
    </ns0:row>
    <ns0:row r="223">
      <ns0:c r="J223" t="str">
        <ns0:f>IF('Project Tracker'!A61="","",TRIM(MID(SUBSTITUTE('Project Tracker'!K61,";",REPT(" ",150)),1,150)))</ns0:f>
      </ns0:c>
      <ns0:c r="K223" t="str">
        <ns0:f>IF(J223="","",IF(COUNTIFS($J$7:J223,J223)=1,MAX($K$6:K222)+1,""))</ns0:f>
      </ns0:c>
      <ns0:c r="M223" t="str">
        <ns0:f>IF(J223="","",'Project Tracker'!A61)</ns0:f>
      </ns0:c>
      <ns0:c r="N223" t="str">
        <ns0:f>IF(J223="","",'Project Tracker'!N61)</ns0:f>
      </ns0:c>
      <ns0:c r="O223" t="str">
        <ns0:f>IF(J223="","",'Project Tracker'!E61)</ns0:f>
      </ns0:c>
      <ns0:c r="P223" t="str">
        <ns0:f>IF(J223="","",'Project Tracker'!F61)</ns0:f>
      </ns0:c>
      <ns0:c r="Q223" t="str">
        <ns0:f>IF(J223="","",'Project Tracker'!Q61)</ns0:f>
      </ns0:c>
      <ns0:c r="R223" t="str">
        <ns0:f>IF(J223="","",'Project Tracker'!J61)</ns0:f>
      </ns0:c>
    </ns0:row>
    <ns0:row r="224">
      <ns0:c r="J224" t="str">
        <ns0:f>IF('Project Tracker'!A61="","",TRIM(MID(SUBSTITUTE('Project Tracker'!K61,";",REPT(" ",150)),151,150)))</ns0:f>
      </ns0:c>
      <ns0:c r="K224" t="str">
        <ns0:f>IF(J224="","",IF(COUNTIFS($J$7:J224,J224)=1,MAX($K$6:K223)+1,""))</ns0:f>
      </ns0:c>
      <ns0:c r="M224" t="str">
        <ns0:f>IF(J224="","",'Project Tracker'!A61)</ns0:f>
      </ns0:c>
      <ns0:c r="N224" t="str">
        <ns0:f>IF(J224="","",'Project Tracker'!N61)</ns0:f>
      </ns0:c>
      <ns0:c r="O224" t="str">
        <ns0:f>IF(J224="","",'Project Tracker'!E61)</ns0:f>
      </ns0:c>
      <ns0:c r="P224" t="str">
        <ns0:f>IF(J224="","",'Project Tracker'!F61)</ns0:f>
      </ns0:c>
      <ns0:c r="Q224" t="str">
        <ns0:f>IF(J224="","",'Project Tracker'!Q61)</ns0:f>
      </ns0:c>
      <ns0:c r="R224" t="str">
        <ns0:f>IF(J224="","",'Project Tracker'!J61)</ns0:f>
      </ns0:c>
    </ns0:row>
    <ns0:row r="225">
      <ns0:c r="J225" t="str">
        <ns0:f>IF('Project Tracker'!A61="","",TRIM(MID(SUBSTITUTE('Project Tracker'!K61,";",REPT(" ",150)),301,150)))</ns0:f>
      </ns0:c>
      <ns0:c r="K225" t="str">
        <ns0:f>IF(J225="","",IF(COUNTIFS($J$7:J225,J225)=1,MAX($K$6:K224)+1,""))</ns0:f>
      </ns0:c>
      <ns0:c r="M225" t="str">
        <ns0:f>IF(J225="","",'Project Tracker'!A61)</ns0:f>
      </ns0:c>
      <ns0:c r="N225" t="str">
        <ns0:f>IF(J225="","",'Project Tracker'!N61)</ns0:f>
      </ns0:c>
      <ns0:c r="O225" t="str">
        <ns0:f>IF(J225="","",'Project Tracker'!E61)</ns0:f>
      </ns0:c>
      <ns0:c r="P225" t="str">
        <ns0:f>IF(J225="","",'Project Tracker'!F61)</ns0:f>
      </ns0:c>
      <ns0:c r="Q225" t="str">
        <ns0:f>IF(J225="","",'Project Tracker'!Q61)</ns0:f>
      </ns0:c>
      <ns0:c r="R225" t="str">
        <ns0:f>IF(J225="","",'Project Tracker'!J61)</ns0:f>
      </ns0:c>
    </ns0:row>
    <ns0:row r="226">
      <ns0:c r="J226" t="str">
        <ns0:f>IF('Project Tracker'!A61="","",TRIM(MID(SUBSTITUTE('Project Tracker'!K61,";",REPT(" ",150)),451,150)))</ns0:f>
      </ns0:c>
      <ns0:c r="K226" t="str">
        <ns0:f>IF(J226="","",IF(COUNTIFS($J$7:J226,J226)=1,MAX($K$6:K225)+1,""))</ns0:f>
      </ns0:c>
      <ns0:c r="M226" t="str">
        <ns0:f>IF(J226="","",'Project Tracker'!A61)</ns0:f>
      </ns0:c>
      <ns0:c r="N226" t="str">
        <ns0:f>IF(J226="","",'Project Tracker'!N61)</ns0:f>
      </ns0:c>
      <ns0:c r="O226" t="str">
        <ns0:f>IF(J226="","",'Project Tracker'!E61)</ns0:f>
      </ns0:c>
      <ns0:c r="P226" t="str">
        <ns0:f>IF(J226="","",'Project Tracker'!F61)</ns0:f>
      </ns0:c>
      <ns0:c r="Q226" t="str">
        <ns0:f>IF(J226="","",'Project Tracker'!Q61)</ns0:f>
      </ns0:c>
      <ns0:c r="R226" t="str">
        <ns0:f>IF(J226="","",'Project Tracker'!J61)</ns0:f>
      </ns0:c>
    </ns0:row>
    <ns0:row r="227">
      <ns0:c r="J227" t="str">
        <ns0:f>IF('Project Tracker'!A62="","",TRIM(MID(SUBSTITUTE('Project Tracker'!K62,";",REPT(" ",150)),1,150)))</ns0:f>
      </ns0:c>
      <ns0:c r="K227" t="str">
        <ns0:f>IF(J227="","",IF(COUNTIFS($J$7:J227,J227)=1,MAX($K$6:K226)+1,""))</ns0:f>
      </ns0:c>
      <ns0:c r="M227" t="str">
        <ns0:f>IF(J227="","",'Project Tracker'!A62)</ns0:f>
      </ns0:c>
      <ns0:c r="N227" t="str">
        <ns0:f>IF(J227="","",'Project Tracker'!N62)</ns0:f>
      </ns0:c>
      <ns0:c r="O227" t="str">
        <ns0:f>IF(J227="","",'Project Tracker'!E62)</ns0:f>
      </ns0:c>
      <ns0:c r="P227" t="str">
        <ns0:f>IF(J227="","",'Project Tracker'!F62)</ns0:f>
      </ns0:c>
      <ns0:c r="Q227" t="str">
        <ns0:f>IF(J227="","",'Project Tracker'!Q62)</ns0:f>
      </ns0:c>
      <ns0:c r="R227" t="str">
        <ns0:f>IF(J227="","",'Project Tracker'!J62)</ns0:f>
      </ns0:c>
    </ns0:row>
    <ns0:row r="228">
      <ns0:c r="J228" t="str">
        <ns0:f>IF('Project Tracker'!A62="","",TRIM(MID(SUBSTITUTE('Project Tracker'!K62,";",REPT(" ",150)),151,150)))</ns0:f>
      </ns0:c>
      <ns0:c r="K228" t="str">
        <ns0:f>IF(J228="","",IF(COUNTIFS($J$7:J228,J228)=1,MAX($K$6:K227)+1,""))</ns0:f>
      </ns0:c>
      <ns0:c r="M228" t="str">
        <ns0:f>IF(J228="","",'Project Tracker'!A62)</ns0:f>
      </ns0:c>
      <ns0:c r="N228" t="str">
        <ns0:f>IF(J228="","",'Project Tracker'!N62)</ns0:f>
      </ns0:c>
      <ns0:c r="O228" t="str">
        <ns0:f>IF(J228="","",'Project Tracker'!E62)</ns0:f>
      </ns0:c>
      <ns0:c r="P228" t="str">
        <ns0:f>IF(J228="","",'Project Tracker'!F62)</ns0:f>
      </ns0:c>
      <ns0:c r="Q228" t="str">
        <ns0:f>IF(J228="","",'Project Tracker'!Q62)</ns0:f>
      </ns0:c>
      <ns0:c r="R228" t="str">
        <ns0:f>IF(J228="","",'Project Tracker'!J62)</ns0:f>
      </ns0:c>
    </ns0:row>
    <ns0:row r="229">
      <ns0:c r="J229" t="str">
        <ns0:f>IF('Project Tracker'!A62="","",TRIM(MID(SUBSTITUTE('Project Tracker'!K62,";",REPT(" ",150)),301,150)))</ns0:f>
      </ns0:c>
      <ns0:c r="K229" t="str">
        <ns0:f>IF(J229="","",IF(COUNTIFS($J$7:J229,J229)=1,MAX($K$6:K228)+1,""))</ns0:f>
      </ns0:c>
      <ns0:c r="M229" t="str">
        <ns0:f>IF(J229="","",'Project Tracker'!A62)</ns0:f>
      </ns0:c>
      <ns0:c r="N229" t="str">
        <ns0:f>IF(J229="","",'Project Tracker'!N62)</ns0:f>
      </ns0:c>
      <ns0:c r="O229" t="str">
        <ns0:f>IF(J229="","",'Project Tracker'!E62)</ns0:f>
      </ns0:c>
      <ns0:c r="P229" t="str">
        <ns0:f>IF(J229="","",'Project Tracker'!F62)</ns0:f>
      </ns0:c>
      <ns0:c r="Q229" t="str">
        <ns0:f>IF(J229="","",'Project Tracker'!Q62)</ns0:f>
      </ns0:c>
      <ns0:c r="R229" t="str">
        <ns0:f>IF(J229="","",'Project Tracker'!J62)</ns0:f>
      </ns0:c>
    </ns0:row>
    <ns0:row r="230">
      <ns0:c r="J230" t="str">
        <ns0:f>IF('Project Tracker'!A62="","",TRIM(MID(SUBSTITUTE('Project Tracker'!K62,";",REPT(" ",150)),451,150)))</ns0:f>
      </ns0:c>
      <ns0:c r="K230" t="str">
        <ns0:f>IF(J230="","",IF(COUNTIFS($J$7:J230,J230)=1,MAX($K$6:K229)+1,""))</ns0:f>
      </ns0:c>
      <ns0:c r="M230" t="str">
        <ns0:f>IF(J230="","",'Project Tracker'!A62)</ns0:f>
      </ns0:c>
      <ns0:c r="N230" t="str">
        <ns0:f>IF(J230="","",'Project Tracker'!N62)</ns0:f>
      </ns0:c>
      <ns0:c r="O230" t="str">
        <ns0:f>IF(J230="","",'Project Tracker'!E62)</ns0:f>
      </ns0:c>
      <ns0:c r="P230" t="str">
        <ns0:f>IF(J230="","",'Project Tracker'!F62)</ns0:f>
      </ns0:c>
      <ns0:c r="Q230" t="str">
        <ns0:f>IF(J230="","",'Project Tracker'!Q62)</ns0:f>
      </ns0:c>
      <ns0:c r="R230" t="str">
        <ns0:f>IF(J230="","",'Project Tracker'!J62)</ns0:f>
      </ns0:c>
    </ns0:row>
    <ns0:row r="231">
      <ns0:c r="J231" t="str">
        <ns0:f>IF('Project Tracker'!A63="","",TRIM(MID(SUBSTITUTE('Project Tracker'!K63,";",REPT(" ",150)),1,150)))</ns0:f>
      </ns0:c>
      <ns0:c r="K231" t="str">
        <ns0:f>IF(J231="","",IF(COUNTIFS($J$7:J231,J231)=1,MAX($K$6:K230)+1,""))</ns0:f>
      </ns0:c>
      <ns0:c r="M231" t="str">
        <ns0:f>IF(J231="","",'Project Tracker'!A63)</ns0:f>
      </ns0:c>
      <ns0:c r="N231" t="str">
        <ns0:f>IF(J231="","",'Project Tracker'!N63)</ns0:f>
      </ns0:c>
      <ns0:c r="O231" t="str">
        <ns0:f>IF(J231="","",'Project Tracker'!E63)</ns0:f>
      </ns0:c>
      <ns0:c r="P231" t="str">
        <ns0:f>IF(J231="","",'Project Tracker'!F63)</ns0:f>
      </ns0:c>
      <ns0:c r="Q231" t="str">
        <ns0:f>IF(J231="","",'Project Tracker'!Q63)</ns0:f>
      </ns0:c>
      <ns0:c r="R231" t="str">
        <ns0:f>IF(J231="","",'Project Tracker'!J63)</ns0:f>
      </ns0:c>
    </ns0:row>
    <ns0:row r="232">
      <ns0:c r="J232" t="str">
        <ns0:f>IF('Project Tracker'!A63="","",TRIM(MID(SUBSTITUTE('Project Tracker'!K63,";",REPT(" ",150)),151,150)))</ns0:f>
      </ns0:c>
      <ns0:c r="K232" t="str">
        <ns0:f>IF(J232="","",IF(COUNTIFS($J$7:J232,J232)=1,MAX($K$6:K231)+1,""))</ns0:f>
      </ns0:c>
      <ns0:c r="M232" t="str">
        <ns0:f>IF(J232="","",'Project Tracker'!A63)</ns0:f>
      </ns0:c>
      <ns0:c r="N232" t="str">
        <ns0:f>IF(J232="","",'Project Tracker'!N63)</ns0:f>
      </ns0:c>
      <ns0:c r="O232" t="str">
        <ns0:f>IF(J232="","",'Project Tracker'!E63)</ns0:f>
      </ns0:c>
      <ns0:c r="P232" t="str">
        <ns0:f>IF(J232="","",'Project Tracker'!F63)</ns0:f>
      </ns0:c>
      <ns0:c r="Q232" t="str">
        <ns0:f>IF(J232="","",'Project Tracker'!Q63)</ns0:f>
      </ns0:c>
      <ns0:c r="R232" t="str">
        <ns0:f>IF(J232="","",'Project Tracker'!J63)</ns0:f>
      </ns0:c>
    </ns0:row>
    <ns0:row r="233">
      <ns0:c r="J233" t="str">
        <ns0:f>IF('Project Tracker'!A63="","",TRIM(MID(SUBSTITUTE('Project Tracker'!K63,";",REPT(" ",150)),301,150)))</ns0:f>
      </ns0:c>
      <ns0:c r="K233" t="str">
        <ns0:f>IF(J233="","",IF(COUNTIFS($J$7:J233,J233)=1,MAX($K$6:K232)+1,""))</ns0:f>
      </ns0:c>
      <ns0:c r="M233" t="str">
        <ns0:f>IF(J233="","",'Project Tracker'!A63)</ns0:f>
      </ns0:c>
      <ns0:c r="N233" t="str">
        <ns0:f>IF(J233="","",'Project Tracker'!N63)</ns0:f>
      </ns0:c>
      <ns0:c r="O233" t="str">
        <ns0:f>IF(J233="","",'Project Tracker'!E63)</ns0:f>
      </ns0:c>
      <ns0:c r="P233" t="str">
        <ns0:f>IF(J233="","",'Project Tracker'!F63)</ns0:f>
      </ns0:c>
      <ns0:c r="Q233" t="str">
        <ns0:f>IF(J233="","",'Project Tracker'!Q63)</ns0:f>
      </ns0:c>
      <ns0:c r="R233" t="str">
        <ns0:f>IF(J233="","",'Project Tracker'!J63)</ns0:f>
      </ns0:c>
    </ns0:row>
    <ns0:row r="234">
      <ns0:c r="J234" t="str">
        <ns0:f>IF('Project Tracker'!A63="","",TRIM(MID(SUBSTITUTE('Project Tracker'!K63,";",REPT(" ",150)),451,150)))</ns0:f>
      </ns0:c>
      <ns0:c r="K234" t="str">
        <ns0:f>IF(J234="","",IF(COUNTIFS($J$7:J234,J234)=1,MAX($K$6:K233)+1,""))</ns0:f>
      </ns0:c>
      <ns0:c r="M234" t="str">
        <ns0:f>IF(J234="","",'Project Tracker'!A63)</ns0:f>
      </ns0:c>
      <ns0:c r="N234" t="str">
        <ns0:f>IF(J234="","",'Project Tracker'!N63)</ns0:f>
      </ns0:c>
      <ns0:c r="O234" t="str">
        <ns0:f>IF(J234="","",'Project Tracker'!E63)</ns0:f>
      </ns0:c>
      <ns0:c r="P234" t="str">
        <ns0:f>IF(J234="","",'Project Tracker'!F63)</ns0:f>
      </ns0:c>
      <ns0:c r="Q234" t="str">
        <ns0:f>IF(J234="","",'Project Tracker'!Q63)</ns0:f>
      </ns0:c>
      <ns0:c r="R234" t="str">
        <ns0:f>IF(J234="","",'Project Tracker'!J63)</ns0:f>
      </ns0:c>
    </ns0:row>
    <ns0:row r="235">
      <ns0:c r="J235" t="str">
        <ns0:f>IF('Project Tracker'!A64="","",TRIM(MID(SUBSTITUTE('Project Tracker'!K64,";",REPT(" ",150)),1,150)))</ns0:f>
      </ns0:c>
      <ns0:c r="K235" t="str">
        <ns0:f>IF(J235="","",IF(COUNTIFS($J$7:J235,J235)=1,MAX($K$6:K234)+1,""))</ns0:f>
      </ns0:c>
      <ns0:c r="M235" t="str">
        <ns0:f>IF(J235="","",'Project Tracker'!A64)</ns0:f>
      </ns0:c>
      <ns0:c r="N235" t="str">
        <ns0:f>IF(J235="","",'Project Tracker'!N64)</ns0:f>
      </ns0:c>
      <ns0:c r="O235" t="str">
        <ns0:f>IF(J235="","",'Project Tracker'!E64)</ns0:f>
      </ns0:c>
      <ns0:c r="P235" t="str">
        <ns0:f>IF(J235="","",'Project Tracker'!F64)</ns0:f>
      </ns0:c>
      <ns0:c r="Q235" t="str">
        <ns0:f>IF(J235="","",'Project Tracker'!Q64)</ns0:f>
      </ns0:c>
      <ns0:c r="R235" t="str">
        <ns0:f>IF(J235="","",'Project Tracker'!J64)</ns0:f>
      </ns0:c>
    </ns0:row>
    <ns0:row r="236">
      <ns0:c r="J236" t="str">
        <ns0:f>IF('Project Tracker'!A64="","",TRIM(MID(SUBSTITUTE('Project Tracker'!K64,";",REPT(" ",150)),151,150)))</ns0:f>
      </ns0:c>
      <ns0:c r="K236" t="str">
        <ns0:f>IF(J236="","",IF(COUNTIFS($J$7:J236,J236)=1,MAX($K$6:K235)+1,""))</ns0:f>
      </ns0:c>
      <ns0:c r="M236" t="str">
        <ns0:f>IF(J236="","",'Project Tracker'!A64)</ns0:f>
      </ns0:c>
      <ns0:c r="N236" t="str">
        <ns0:f>IF(J236="","",'Project Tracker'!N64)</ns0:f>
      </ns0:c>
      <ns0:c r="O236" t="str">
        <ns0:f>IF(J236="","",'Project Tracker'!E64)</ns0:f>
      </ns0:c>
      <ns0:c r="P236" t="str">
        <ns0:f>IF(J236="","",'Project Tracker'!F64)</ns0:f>
      </ns0:c>
      <ns0:c r="Q236" t="str">
        <ns0:f>IF(J236="","",'Project Tracker'!Q64)</ns0:f>
      </ns0:c>
      <ns0:c r="R236" t="str">
        <ns0:f>IF(J236="","",'Project Tracker'!J64)</ns0:f>
      </ns0:c>
    </ns0:row>
    <ns0:row r="237">
      <ns0:c r="J237" t="str">
        <ns0:f>IF('Project Tracker'!A64="","",TRIM(MID(SUBSTITUTE('Project Tracker'!K64,";",REPT(" ",150)),301,150)))</ns0:f>
      </ns0:c>
      <ns0:c r="K237" t="str">
        <ns0:f>IF(J237="","",IF(COUNTIFS($J$7:J237,J237)=1,MAX($K$6:K236)+1,""))</ns0:f>
      </ns0:c>
      <ns0:c r="M237" t="str">
        <ns0:f>IF(J237="","",'Project Tracker'!A64)</ns0:f>
      </ns0:c>
      <ns0:c r="N237" t="str">
        <ns0:f>IF(J237="","",'Project Tracker'!N64)</ns0:f>
      </ns0:c>
      <ns0:c r="O237" t="str">
        <ns0:f>IF(J237="","",'Project Tracker'!E64)</ns0:f>
      </ns0:c>
      <ns0:c r="P237" t="str">
        <ns0:f>IF(J237="","",'Project Tracker'!F64)</ns0:f>
      </ns0:c>
      <ns0:c r="Q237" t="str">
        <ns0:f>IF(J237="","",'Project Tracker'!Q64)</ns0:f>
      </ns0:c>
      <ns0:c r="R237" t="str">
        <ns0:f>IF(J237="","",'Project Tracker'!J64)</ns0:f>
      </ns0:c>
    </ns0:row>
    <ns0:row r="238">
      <ns0:c r="J238" t="str">
        <ns0:f>IF('Project Tracker'!A64="","",TRIM(MID(SUBSTITUTE('Project Tracker'!K64,";",REPT(" ",150)),451,150)))</ns0:f>
      </ns0:c>
      <ns0:c r="K238" t="str">
        <ns0:f>IF(J238="","",IF(COUNTIFS($J$7:J238,J238)=1,MAX($K$6:K237)+1,""))</ns0:f>
      </ns0:c>
      <ns0:c r="M238" t="str">
        <ns0:f>IF(J238="","",'Project Tracker'!A64)</ns0:f>
      </ns0:c>
      <ns0:c r="N238" t="str">
        <ns0:f>IF(J238="","",'Project Tracker'!N64)</ns0:f>
      </ns0:c>
      <ns0:c r="O238" t="str">
        <ns0:f>IF(J238="","",'Project Tracker'!E64)</ns0:f>
      </ns0:c>
      <ns0:c r="P238" t="str">
        <ns0:f>IF(J238="","",'Project Tracker'!F64)</ns0:f>
      </ns0:c>
      <ns0:c r="Q238" t="str">
        <ns0:f>IF(J238="","",'Project Tracker'!Q64)</ns0:f>
      </ns0:c>
      <ns0:c r="R238" t="str">
        <ns0:f>IF(J238="","",'Project Tracker'!J64)</ns0:f>
      </ns0:c>
    </ns0:row>
    <ns0:row r="239">
      <ns0:c r="J239" t="str">
        <ns0:f>IF('Project Tracker'!A65="","",TRIM(MID(SUBSTITUTE('Project Tracker'!K65,";",REPT(" ",150)),1,150)))</ns0:f>
      </ns0:c>
      <ns0:c r="K239" t="str">
        <ns0:f>IF(J239="","",IF(COUNTIFS($J$7:J239,J239)=1,MAX($K$6:K238)+1,""))</ns0:f>
      </ns0:c>
      <ns0:c r="M239" t="str">
        <ns0:f>IF(J239="","",'Project Tracker'!A65)</ns0:f>
      </ns0:c>
      <ns0:c r="N239" t="str">
        <ns0:f>IF(J239="","",'Project Tracker'!N65)</ns0:f>
      </ns0:c>
      <ns0:c r="O239" t="str">
        <ns0:f>IF(J239="","",'Project Tracker'!E65)</ns0:f>
      </ns0:c>
      <ns0:c r="P239" t="str">
        <ns0:f>IF(J239="","",'Project Tracker'!F65)</ns0:f>
      </ns0:c>
      <ns0:c r="Q239" t="str">
        <ns0:f>IF(J239="","",'Project Tracker'!Q65)</ns0:f>
      </ns0:c>
      <ns0:c r="R239" t="str">
        <ns0:f>IF(J239="","",'Project Tracker'!J65)</ns0:f>
      </ns0:c>
    </ns0:row>
    <ns0:row r="240">
      <ns0:c r="J240" t="str">
        <ns0:f>IF('Project Tracker'!A65="","",TRIM(MID(SUBSTITUTE('Project Tracker'!K65,";",REPT(" ",150)),151,150)))</ns0:f>
      </ns0:c>
      <ns0:c r="K240" t="str">
        <ns0:f>IF(J240="","",IF(COUNTIFS($J$7:J240,J240)=1,MAX($K$6:K239)+1,""))</ns0:f>
      </ns0:c>
      <ns0:c r="M240" t="str">
        <ns0:f>IF(J240="","",'Project Tracker'!A65)</ns0:f>
      </ns0:c>
      <ns0:c r="N240" t="str">
        <ns0:f>IF(J240="","",'Project Tracker'!N65)</ns0:f>
      </ns0:c>
      <ns0:c r="O240" t="str">
        <ns0:f>IF(J240="","",'Project Tracker'!E65)</ns0:f>
      </ns0:c>
      <ns0:c r="P240" t="str">
        <ns0:f>IF(J240="","",'Project Tracker'!F65)</ns0:f>
      </ns0:c>
      <ns0:c r="Q240" t="str">
        <ns0:f>IF(J240="","",'Project Tracker'!Q65)</ns0:f>
      </ns0:c>
      <ns0:c r="R240" t="str">
        <ns0:f>IF(J240="","",'Project Tracker'!J65)</ns0:f>
      </ns0:c>
    </ns0:row>
    <ns0:row r="241">
      <ns0:c r="J241" t="str">
        <ns0:f>IF('Project Tracker'!A65="","",TRIM(MID(SUBSTITUTE('Project Tracker'!K65,";",REPT(" ",150)),301,150)))</ns0:f>
      </ns0:c>
      <ns0:c r="K241" t="str">
        <ns0:f>IF(J241="","",IF(COUNTIFS($J$7:J241,J241)=1,MAX($K$6:K240)+1,""))</ns0:f>
      </ns0:c>
      <ns0:c r="M241" t="str">
        <ns0:f>IF(J241="","",'Project Tracker'!A65)</ns0:f>
      </ns0:c>
      <ns0:c r="N241" t="str">
        <ns0:f>IF(J241="","",'Project Tracker'!N65)</ns0:f>
      </ns0:c>
      <ns0:c r="O241" t="str">
        <ns0:f>IF(J241="","",'Project Tracker'!E65)</ns0:f>
      </ns0:c>
      <ns0:c r="P241" t="str">
        <ns0:f>IF(J241="","",'Project Tracker'!F65)</ns0:f>
      </ns0:c>
      <ns0:c r="Q241" t="str">
        <ns0:f>IF(J241="","",'Project Tracker'!Q65)</ns0:f>
      </ns0:c>
      <ns0:c r="R241" t="str">
        <ns0:f>IF(J241="","",'Project Tracker'!J65)</ns0:f>
      </ns0:c>
    </ns0:row>
    <ns0:row r="242">
      <ns0:c r="J242" t="str">
        <ns0:f>IF('Project Tracker'!A65="","",TRIM(MID(SUBSTITUTE('Project Tracker'!K65,";",REPT(" ",150)),451,150)))</ns0:f>
      </ns0:c>
      <ns0:c r="K242" t="str">
        <ns0:f>IF(J242="","",IF(COUNTIFS($J$7:J242,J242)=1,MAX($K$6:K241)+1,""))</ns0:f>
      </ns0:c>
      <ns0:c r="M242" t="str">
        <ns0:f>IF(J242="","",'Project Tracker'!A65)</ns0:f>
      </ns0:c>
      <ns0:c r="N242" t="str">
        <ns0:f>IF(J242="","",'Project Tracker'!N65)</ns0:f>
      </ns0:c>
      <ns0:c r="O242" t="str">
        <ns0:f>IF(J242="","",'Project Tracker'!E65)</ns0:f>
      </ns0:c>
      <ns0:c r="P242" t="str">
        <ns0:f>IF(J242="","",'Project Tracker'!F65)</ns0:f>
      </ns0:c>
      <ns0:c r="Q242" t="str">
        <ns0:f>IF(J242="","",'Project Tracker'!Q65)</ns0:f>
      </ns0:c>
      <ns0:c r="R242" t="str">
        <ns0:f>IF(J242="","",'Project Tracker'!J65)</ns0:f>
      </ns0:c>
    </ns0:row>
    <ns0:row r="243">
      <ns0:c r="J243" t="str">
        <ns0:f>IF('Project Tracker'!A66="","",TRIM(MID(SUBSTITUTE('Project Tracker'!K66,";",REPT(" ",150)),1,150)))</ns0:f>
      </ns0:c>
      <ns0:c r="K243" t="str">
        <ns0:f>IF(J243="","",IF(COUNTIFS($J$7:J243,J243)=1,MAX($K$6:K242)+1,""))</ns0:f>
      </ns0:c>
      <ns0:c r="M243" t="str">
        <ns0:f>IF(J243="","",'Project Tracker'!A66)</ns0:f>
      </ns0:c>
      <ns0:c r="N243" t="str">
        <ns0:f>IF(J243="","",'Project Tracker'!N66)</ns0:f>
      </ns0:c>
      <ns0:c r="O243" t="str">
        <ns0:f>IF(J243="","",'Project Tracker'!E66)</ns0:f>
      </ns0:c>
      <ns0:c r="P243" t="str">
        <ns0:f>IF(J243="","",'Project Tracker'!F66)</ns0:f>
      </ns0:c>
      <ns0:c r="Q243" t="str">
        <ns0:f>IF(J243="","",'Project Tracker'!Q66)</ns0:f>
      </ns0:c>
      <ns0:c r="R243" t="str">
        <ns0:f>IF(J243="","",'Project Tracker'!J66)</ns0:f>
      </ns0:c>
    </ns0:row>
    <ns0:row r="244">
      <ns0:c r="J244" t="str">
        <ns0:f>IF('Project Tracker'!A66="","",TRIM(MID(SUBSTITUTE('Project Tracker'!K66,";",REPT(" ",150)),151,150)))</ns0:f>
      </ns0:c>
      <ns0:c r="K244" t="str">
        <ns0:f>IF(J244="","",IF(COUNTIFS($J$7:J244,J244)=1,MAX($K$6:K243)+1,""))</ns0:f>
      </ns0:c>
      <ns0:c r="M244" t="str">
        <ns0:f>IF(J244="","",'Project Tracker'!A66)</ns0:f>
      </ns0:c>
      <ns0:c r="N244" t="str">
        <ns0:f>IF(J244="","",'Project Tracker'!N66)</ns0:f>
      </ns0:c>
      <ns0:c r="O244" t="str">
        <ns0:f>IF(J244="","",'Project Tracker'!E66)</ns0:f>
      </ns0:c>
      <ns0:c r="P244" t="str">
        <ns0:f>IF(J244="","",'Project Tracker'!F66)</ns0:f>
      </ns0:c>
      <ns0:c r="Q244" t="str">
        <ns0:f>IF(J244="","",'Project Tracker'!Q66)</ns0:f>
      </ns0:c>
      <ns0:c r="R244" t="str">
        <ns0:f>IF(J244="","",'Project Tracker'!J66)</ns0:f>
      </ns0:c>
    </ns0:row>
    <ns0:row r="245">
      <ns0:c r="J245" t="str">
        <ns0:f>IF('Project Tracker'!A66="","",TRIM(MID(SUBSTITUTE('Project Tracker'!K66,";",REPT(" ",150)),301,150)))</ns0:f>
      </ns0:c>
      <ns0:c r="K245" t="str">
        <ns0:f>IF(J245="","",IF(COUNTIFS($J$7:J245,J245)=1,MAX($K$6:K244)+1,""))</ns0:f>
      </ns0:c>
      <ns0:c r="M245" t="str">
        <ns0:f>IF(J245="","",'Project Tracker'!A66)</ns0:f>
      </ns0:c>
      <ns0:c r="N245" t="str">
        <ns0:f>IF(J245="","",'Project Tracker'!N66)</ns0:f>
      </ns0:c>
      <ns0:c r="O245" t="str">
        <ns0:f>IF(J245="","",'Project Tracker'!E66)</ns0:f>
      </ns0:c>
      <ns0:c r="P245" t="str">
        <ns0:f>IF(J245="","",'Project Tracker'!F66)</ns0:f>
      </ns0:c>
      <ns0:c r="Q245" t="str">
        <ns0:f>IF(J245="","",'Project Tracker'!Q66)</ns0:f>
      </ns0:c>
      <ns0:c r="R245" t="str">
        <ns0:f>IF(J245="","",'Project Tracker'!J66)</ns0:f>
      </ns0:c>
    </ns0:row>
    <ns0:row r="246">
      <ns0:c r="J246" t="str">
        <ns0:f>IF('Project Tracker'!A66="","",TRIM(MID(SUBSTITUTE('Project Tracker'!K66,";",REPT(" ",150)),451,150)))</ns0:f>
      </ns0:c>
      <ns0:c r="K246" t="str">
        <ns0:f>IF(J246="","",IF(COUNTIFS($J$7:J246,J246)=1,MAX($K$6:K245)+1,""))</ns0:f>
      </ns0:c>
      <ns0:c r="M246" t="str">
        <ns0:f>IF(J246="","",'Project Tracker'!A66)</ns0:f>
      </ns0:c>
      <ns0:c r="N246" t="str">
        <ns0:f>IF(J246="","",'Project Tracker'!N66)</ns0:f>
      </ns0:c>
      <ns0:c r="O246" t="str">
        <ns0:f>IF(J246="","",'Project Tracker'!E66)</ns0:f>
      </ns0:c>
      <ns0:c r="P246" t="str">
        <ns0:f>IF(J246="","",'Project Tracker'!F66)</ns0:f>
      </ns0:c>
      <ns0:c r="Q246" t="str">
        <ns0:f>IF(J246="","",'Project Tracker'!Q66)</ns0:f>
      </ns0:c>
      <ns0:c r="R246" t="str">
        <ns0:f>IF(J246="","",'Project Tracker'!J66)</ns0:f>
      </ns0:c>
    </ns0:row>
    <ns0:row r="247">
      <ns0:c r="J247" t="str">
        <ns0:f>IF('Project Tracker'!A67="","",TRIM(MID(SUBSTITUTE('Project Tracker'!K67,";",REPT(" ",150)),1,150)))</ns0:f>
      </ns0:c>
      <ns0:c r="K247" t="str">
        <ns0:f>IF(J247="","",IF(COUNTIFS($J$7:J247,J247)=1,MAX($K$6:K246)+1,""))</ns0:f>
      </ns0:c>
      <ns0:c r="M247" t="str">
        <ns0:f>IF(J247="","",'Project Tracker'!A67)</ns0:f>
      </ns0:c>
      <ns0:c r="N247" t="str">
        <ns0:f>IF(J247="","",'Project Tracker'!N67)</ns0:f>
      </ns0:c>
      <ns0:c r="O247" t="str">
        <ns0:f>IF(J247="","",'Project Tracker'!E67)</ns0:f>
      </ns0:c>
      <ns0:c r="P247" t="str">
        <ns0:f>IF(J247="","",'Project Tracker'!F67)</ns0:f>
      </ns0:c>
      <ns0:c r="Q247" t="str">
        <ns0:f>IF(J247="","",'Project Tracker'!Q67)</ns0:f>
      </ns0:c>
      <ns0:c r="R247" t="str">
        <ns0:f>IF(J247="","",'Project Tracker'!J67)</ns0:f>
      </ns0:c>
    </ns0:row>
    <ns0:row r="248">
      <ns0:c r="J248" t="str">
        <ns0:f>IF('Project Tracker'!A67="","",TRIM(MID(SUBSTITUTE('Project Tracker'!K67,";",REPT(" ",150)),151,150)))</ns0:f>
      </ns0:c>
      <ns0:c r="K248" t="str">
        <ns0:f>IF(J248="","",IF(COUNTIFS($J$7:J248,J248)=1,MAX($K$6:K247)+1,""))</ns0:f>
      </ns0:c>
      <ns0:c r="M248" t="str">
        <ns0:f>IF(J248="","",'Project Tracker'!A67)</ns0:f>
      </ns0:c>
      <ns0:c r="N248" t="str">
        <ns0:f>IF(J248="","",'Project Tracker'!N67)</ns0:f>
      </ns0:c>
      <ns0:c r="O248" t="str">
        <ns0:f>IF(J248="","",'Project Tracker'!E67)</ns0:f>
      </ns0:c>
      <ns0:c r="P248" t="str">
        <ns0:f>IF(J248="","",'Project Tracker'!F67)</ns0:f>
      </ns0:c>
      <ns0:c r="Q248" t="str">
        <ns0:f>IF(J248="","",'Project Tracker'!Q67)</ns0:f>
      </ns0:c>
      <ns0:c r="R248" t="str">
        <ns0:f>IF(J248="","",'Project Tracker'!J67)</ns0:f>
      </ns0:c>
    </ns0:row>
    <ns0:row r="249">
      <ns0:c r="J249" t="str">
        <ns0:f>IF('Project Tracker'!A67="","",TRIM(MID(SUBSTITUTE('Project Tracker'!K67,";",REPT(" ",150)),301,150)))</ns0:f>
      </ns0:c>
      <ns0:c r="K249" t="str">
        <ns0:f>IF(J249="","",IF(COUNTIFS($J$7:J249,J249)=1,MAX($K$6:K248)+1,""))</ns0:f>
      </ns0:c>
      <ns0:c r="M249" t="str">
        <ns0:f>IF(J249="","",'Project Tracker'!A67)</ns0:f>
      </ns0:c>
      <ns0:c r="N249" t="str">
        <ns0:f>IF(J249="","",'Project Tracker'!N67)</ns0:f>
      </ns0:c>
      <ns0:c r="O249" t="str">
        <ns0:f>IF(J249="","",'Project Tracker'!E67)</ns0:f>
      </ns0:c>
      <ns0:c r="P249" t="str">
        <ns0:f>IF(J249="","",'Project Tracker'!F67)</ns0:f>
      </ns0:c>
      <ns0:c r="Q249" t="str">
        <ns0:f>IF(J249="","",'Project Tracker'!Q67)</ns0:f>
      </ns0:c>
      <ns0:c r="R249" t="str">
        <ns0:f>IF(J249="","",'Project Tracker'!J67)</ns0:f>
      </ns0:c>
    </ns0:row>
    <ns0:row r="250">
      <ns0:c r="J250" t="str">
        <ns0:f>IF('Project Tracker'!A67="","",TRIM(MID(SUBSTITUTE('Project Tracker'!K67,";",REPT(" ",150)),451,150)))</ns0:f>
      </ns0:c>
      <ns0:c r="K250" t="str">
        <ns0:f>IF(J250="","",IF(COUNTIFS($J$7:J250,J250)=1,MAX($K$6:K249)+1,""))</ns0:f>
      </ns0:c>
      <ns0:c r="M250" t="str">
        <ns0:f>IF(J250="","",'Project Tracker'!A67)</ns0:f>
      </ns0:c>
      <ns0:c r="N250" t="str">
        <ns0:f>IF(J250="","",'Project Tracker'!N67)</ns0:f>
      </ns0:c>
      <ns0:c r="O250" t="str">
        <ns0:f>IF(J250="","",'Project Tracker'!E67)</ns0:f>
      </ns0:c>
      <ns0:c r="P250" t="str">
        <ns0:f>IF(J250="","",'Project Tracker'!F67)</ns0:f>
      </ns0:c>
      <ns0:c r="Q250" t="str">
        <ns0:f>IF(J250="","",'Project Tracker'!Q67)</ns0:f>
      </ns0:c>
      <ns0:c r="R250" t="str">
        <ns0:f>IF(J250="","",'Project Tracker'!J67)</ns0:f>
      </ns0:c>
    </ns0:row>
    <ns0:row r="251">
      <ns0:c r="J251" t="str">
        <ns0:f>IF('Project Tracker'!A68="","",TRIM(MID(SUBSTITUTE('Project Tracker'!K68,";",REPT(" ",150)),1,150)))</ns0:f>
      </ns0:c>
      <ns0:c r="K251" t="str">
        <ns0:f>IF(J251="","",IF(COUNTIFS($J$7:J251,J251)=1,MAX($K$6:K250)+1,""))</ns0:f>
      </ns0:c>
      <ns0:c r="M251" t="str">
        <ns0:f>IF(J251="","",'Project Tracker'!A68)</ns0:f>
      </ns0:c>
      <ns0:c r="N251" t="str">
        <ns0:f>IF(J251="","",'Project Tracker'!N68)</ns0:f>
      </ns0:c>
      <ns0:c r="O251" t="str">
        <ns0:f>IF(J251="","",'Project Tracker'!E68)</ns0:f>
      </ns0:c>
      <ns0:c r="P251" t="str">
        <ns0:f>IF(J251="","",'Project Tracker'!F68)</ns0:f>
      </ns0:c>
      <ns0:c r="Q251" t="str">
        <ns0:f>IF(J251="","",'Project Tracker'!Q68)</ns0:f>
      </ns0:c>
      <ns0:c r="R251" t="str">
        <ns0:f>IF(J251="","",'Project Tracker'!J68)</ns0:f>
      </ns0:c>
    </ns0:row>
    <ns0:row r="252">
      <ns0:c r="J252" t="str">
        <ns0:f>IF('Project Tracker'!A68="","",TRIM(MID(SUBSTITUTE('Project Tracker'!K68,";",REPT(" ",150)),151,150)))</ns0:f>
      </ns0:c>
      <ns0:c r="K252" t="str">
        <ns0:f>IF(J252="","",IF(COUNTIFS($J$7:J252,J252)=1,MAX($K$6:K251)+1,""))</ns0:f>
      </ns0:c>
      <ns0:c r="M252" t="str">
        <ns0:f>IF(J252="","",'Project Tracker'!A68)</ns0:f>
      </ns0:c>
      <ns0:c r="N252" t="str">
        <ns0:f>IF(J252="","",'Project Tracker'!N68)</ns0:f>
      </ns0:c>
      <ns0:c r="O252" t="str">
        <ns0:f>IF(J252="","",'Project Tracker'!E68)</ns0:f>
      </ns0:c>
      <ns0:c r="P252" t="str">
        <ns0:f>IF(J252="","",'Project Tracker'!F68)</ns0:f>
      </ns0:c>
      <ns0:c r="Q252" t="str">
        <ns0:f>IF(J252="","",'Project Tracker'!Q68)</ns0:f>
      </ns0:c>
      <ns0:c r="R252" t="str">
        <ns0:f>IF(J252="","",'Project Tracker'!J68)</ns0:f>
      </ns0:c>
    </ns0:row>
    <ns0:row r="253">
      <ns0:c r="J253" t="str">
        <ns0:f>IF('Project Tracker'!A68="","",TRIM(MID(SUBSTITUTE('Project Tracker'!K68,";",REPT(" ",150)),301,150)))</ns0:f>
      </ns0:c>
      <ns0:c r="K253" t="str">
        <ns0:f>IF(J253="","",IF(COUNTIFS($J$7:J253,J253)=1,MAX($K$6:K252)+1,""))</ns0:f>
      </ns0:c>
      <ns0:c r="M253" t="str">
        <ns0:f>IF(J253="","",'Project Tracker'!A68)</ns0:f>
      </ns0:c>
      <ns0:c r="N253" t="str">
        <ns0:f>IF(J253="","",'Project Tracker'!N68)</ns0:f>
      </ns0:c>
      <ns0:c r="O253" t="str">
        <ns0:f>IF(J253="","",'Project Tracker'!E68)</ns0:f>
      </ns0:c>
      <ns0:c r="P253" t="str">
        <ns0:f>IF(J253="","",'Project Tracker'!F68)</ns0:f>
      </ns0:c>
      <ns0:c r="Q253" t="str">
        <ns0:f>IF(J253="","",'Project Tracker'!Q68)</ns0:f>
      </ns0:c>
      <ns0:c r="R253" t="str">
        <ns0:f>IF(J253="","",'Project Tracker'!J68)</ns0:f>
      </ns0:c>
    </ns0:row>
    <ns0:row r="254">
      <ns0:c r="J254" t="str">
        <ns0:f>IF('Project Tracker'!A68="","",TRIM(MID(SUBSTITUTE('Project Tracker'!K68,";",REPT(" ",150)),451,150)))</ns0:f>
      </ns0:c>
      <ns0:c r="K254" t="str">
        <ns0:f>IF(J254="","",IF(COUNTIFS($J$7:J254,J254)=1,MAX($K$6:K253)+1,""))</ns0:f>
      </ns0:c>
      <ns0:c r="M254" t="str">
        <ns0:f>IF(J254="","",'Project Tracker'!A68)</ns0:f>
      </ns0:c>
      <ns0:c r="N254" t="str">
        <ns0:f>IF(J254="","",'Project Tracker'!N68)</ns0:f>
      </ns0:c>
      <ns0:c r="O254" t="str">
        <ns0:f>IF(J254="","",'Project Tracker'!E68)</ns0:f>
      </ns0:c>
      <ns0:c r="P254" t="str">
        <ns0:f>IF(J254="","",'Project Tracker'!F68)</ns0:f>
      </ns0:c>
      <ns0:c r="Q254" t="str">
        <ns0:f>IF(J254="","",'Project Tracker'!Q68)</ns0:f>
      </ns0:c>
      <ns0:c r="R254" t="str">
        <ns0:f>IF(J254="","",'Project Tracker'!J68)</ns0:f>
      </ns0:c>
    </ns0:row>
    <ns0:row r="255">
      <ns0:c r="J255" t="str">
        <ns0:f>IF('Project Tracker'!A69="","",TRIM(MID(SUBSTITUTE('Project Tracker'!K69,";",REPT(" ",150)),1,150)))</ns0:f>
      </ns0:c>
      <ns0:c r="K255" t="str">
        <ns0:f>IF(J255="","",IF(COUNTIFS($J$7:J255,J255)=1,MAX($K$6:K254)+1,""))</ns0:f>
      </ns0:c>
      <ns0:c r="M255" t="str">
        <ns0:f>IF(J255="","",'Project Tracker'!A69)</ns0:f>
      </ns0:c>
      <ns0:c r="N255" t="str">
        <ns0:f>IF(J255="","",'Project Tracker'!N69)</ns0:f>
      </ns0:c>
      <ns0:c r="O255" t="str">
        <ns0:f>IF(J255="","",'Project Tracker'!E69)</ns0:f>
      </ns0:c>
      <ns0:c r="P255" t="str">
        <ns0:f>IF(J255="","",'Project Tracker'!F69)</ns0:f>
      </ns0:c>
      <ns0:c r="Q255" t="str">
        <ns0:f>IF(J255="","",'Project Tracker'!Q69)</ns0:f>
      </ns0:c>
      <ns0:c r="R255" t="str">
        <ns0:f>IF(J255="","",'Project Tracker'!J69)</ns0:f>
      </ns0:c>
    </ns0:row>
    <ns0:row r="256">
      <ns0:c r="J256" t="str">
        <ns0:f>IF('Project Tracker'!A69="","",TRIM(MID(SUBSTITUTE('Project Tracker'!K69,";",REPT(" ",150)),151,150)))</ns0:f>
      </ns0:c>
      <ns0:c r="K256" t="str">
        <ns0:f>IF(J256="","",IF(COUNTIFS($J$7:J256,J256)=1,MAX($K$6:K255)+1,""))</ns0:f>
      </ns0:c>
      <ns0:c r="M256" t="str">
        <ns0:f>IF(J256="","",'Project Tracker'!A69)</ns0:f>
      </ns0:c>
      <ns0:c r="N256" t="str">
        <ns0:f>IF(J256="","",'Project Tracker'!N69)</ns0:f>
      </ns0:c>
      <ns0:c r="O256" t="str">
        <ns0:f>IF(J256="","",'Project Tracker'!E69)</ns0:f>
      </ns0:c>
      <ns0:c r="P256" t="str">
        <ns0:f>IF(J256="","",'Project Tracker'!F69)</ns0:f>
      </ns0:c>
      <ns0:c r="Q256" t="str">
        <ns0:f>IF(J256="","",'Project Tracker'!Q69)</ns0:f>
      </ns0:c>
      <ns0:c r="R256" t="str">
        <ns0:f>IF(J256="","",'Project Tracker'!J69)</ns0:f>
      </ns0:c>
    </ns0:row>
    <ns0:row r="257">
      <ns0:c r="J257" t="str">
        <ns0:f>IF('Project Tracker'!A69="","",TRIM(MID(SUBSTITUTE('Project Tracker'!K69,";",REPT(" ",150)),301,150)))</ns0:f>
      </ns0:c>
      <ns0:c r="K257" t="str">
        <ns0:f>IF(J257="","",IF(COUNTIFS($J$7:J257,J257)=1,MAX($K$6:K256)+1,""))</ns0:f>
      </ns0:c>
      <ns0:c r="M257" t="str">
        <ns0:f>IF(J257="","",'Project Tracker'!A69)</ns0:f>
      </ns0:c>
      <ns0:c r="N257" t="str">
        <ns0:f>IF(J257="","",'Project Tracker'!N69)</ns0:f>
      </ns0:c>
      <ns0:c r="O257" t="str">
        <ns0:f>IF(J257="","",'Project Tracker'!E69)</ns0:f>
      </ns0:c>
      <ns0:c r="P257" t="str">
        <ns0:f>IF(J257="","",'Project Tracker'!F69)</ns0:f>
      </ns0:c>
      <ns0:c r="Q257" t="str">
        <ns0:f>IF(J257="","",'Project Tracker'!Q69)</ns0:f>
      </ns0:c>
      <ns0:c r="R257" t="str">
        <ns0:f>IF(J257="","",'Project Tracker'!J69)</ns0:f>
      </ns0:c>
    </ns0:row>
    <ns0:row r="258">
      <ns0:c r="J258" t="str">
        <ns0:f>IF('Project Tracker'!A69="","",TRIM(MID(SUBSTITUTE('Project Tracker'!K69,";",REPT(" ",150)),451,150)))</ns0:f>
      </ns0:c>
      <ns0:c r="K258" t="str">
        <ns0:f>IF(J258="","",IF(COUNTIFS($J$7:J258,J258)=1,MAX($K$6:K257)+1,""))</ns0:f>
      </ns0:c>
      <ns0:c r="M258" t="str">
        <ns0:f>IF(J258="","",'Project Tracker'!A69)</ns0:f>
      </ns0:c>
      <ns0:c r="N258" t="str">
        <ns0:f>IF(J258="","",'Project Tracker'!N69)</ns0:f>
      </ns0:c>
      <ns0:c r="O258" t="str">
        <ns0:f>IF(J258="","",'Project Tracker'!E69)</ns0:f>
      </ns0:c>
      <ns0:c r="P258" t="str">
        <ns0:f>IF(J258="","",'Project Tracker'!F69)</ns0:f>
      </ns0:c>
      <ns0:c r="Q258" t="str">
        <ns0:f>IF(J258="","",'Project Tracker'!Q69)</ns0:f>
      </ns0:c>
      <ns0:c r="R258" t="str">
        <ns0:f>IF(J258="","",'Project Tracker'!J69)</ns0:f>
      </ns0:c>
    </ns0:row>
    <ns0:row r="259">
      <ns0:c r="J259" t="str">
        <ns0:f>IF('Project Tracker'!A70="","",TRIM(MID(SUBSTITUTE('Project Tracker'!K70,";",REPT(" ",150)),1,150)))</ns0:f>
      </ns0:c>
      <ns0:c r="K259" t="str">
        <ns0:f>IF(J259="","",IF(COUNTIFS($J$7:J259,J259)=1,MAX($K$6:K258)+1,""))</ns0:f>
      </ns0:c>
      <ns0:c r="M259" t="str">
        <ns0:f>IF(J259="","",'Project Tracker'!A70)</ns0:f>
      </ns0:c>
      <ns0:c r="N259" t="str">
        <ns0:f>IF(J259="","",'Project Tracker'!N70)</ns0:f>
      </ns0:c>
      <ns0:c r="O259" t="str">
        <ns0:f>IF(J259="","",'Project Tracker'!E70)</ns0:f>
      </ns0:c>
      <ns0:c r="P259" t="str">
        <ns0:f>IF(J259="","",'Project Tracker'!F70)</ns0:f>
      </ns0:c>
      <ns0:c r="Q259" t="str">
        <ns0:f>IF(J259="","",'Project Tracker'!Q70)</ns0:f>
      </ns0:c>
      <ns0:c r="R259" t="str">
        <ns0:f>IF(J259="","",'Project Tracker'!J70)</ns0:f>
      </ns0:c>
    </ns0:row>
    <ns0:row r="260">
      <ns0:c r="J260" t="str">
        <ns0:f>IF('Project Tracker'!A70="","",TRIM(MID(SUBSTITUTE('Project Tracker'!K70,";",REPT(" ",150)),151,150)))</ns0:f>
      </ns0:c>
      <ns0:c r="K260" t="str">
        <ns0:f>IF(J260="","",IF(COUNTIFS($J$7:J260,J260)=1,MAX($K$6:K259)+1,""))</ns0:f>
      </ns0:c>
      <ns0:c r="M260" t="str">
        <ns0:f>IF(J260="","",'Project Tracker'!A70)</ns0:f>
      </ns0:c>
      <ns0:c r="N260" t="str">
        <ns0:f>IF(J260="","",'Project Tracker'!N70)</ns0:f>
      </ns0:c>
      <ns0:c r="O260" t="str">
        <ns0:f>IF(J260="","",'Project Tracker'!E70)</ns0:f>
      </ns0:c>
      <ns0:c r="P260" t="str">
        <ns0:f>IF(J260="","",'Project Tracker'!F70)</ns0:f>
      </ns0:c>
      <ns0:c r="Q260" t="str">
        <ns0:f>IF(J260="","",'Project Tracker'!Q70)</ns0:f>
      </ns0:c>
      <ns0:c r="R260" t="str">
        <ns0:f>IF(J260="","",'Project Tracker'!J70)</ns0:f>
      </ns0:c>
    </ns0:row>
    <ns0:row r="261">
      <ns0:c r="J261" t="str">
        <ns0:f>IF('Project Tracker'!A70="","",TRIM(MID(SUBSTITUTE('Project Tracker'!K70,";",REPT(" ",150)),301,150)))</ns0:f>
      </ns0:c>
      <ns0:c r="K261" t="str">
        <ns0:f>IF(J261="","",IF(COUNTIFS($J$7:J261,J261)=1,MAX($K$6:K260)+1,""))</ns0:f>
      </ns0:c>
      <ns0:c r="M261" t="str">
        <ns0:f>IF(J261="","",'Project Tracker'!A70)</ns0:f>
      </ns0:c>
      <ns0:c r="N261" t="str">
        <ns0:f>IF(J261="","",'Project Tracker'!N70)</ns0:f>
      </ns0:c>
      <ns0:c r="O261" t="str">
        <ns0:f>IF(J261="","",'Project Tracker'!E70)</ns0:f>
      </ns0:c>
      <ns0:c r="P261" t="str">
        <ns0:f>IF(J261="","",'Project Tracker'!F70)</ns0:f>
      </ns0:c>
      <ns0:c r="Q261" t="str">
        <ns0:f>IF(J261="","",'Project Tracker'!Q70)</ns0:f>
      </ns0:c>
      <ns0:c r="R261" t="str">
        <ns0:f>IF(J261="","",'Project Tracker'!J70)</ns0:f>
      </ns0:c>
    </ns0:row>
    <ns0:row r="262">
      <ns0:c r="J262" t="str">
        <ns0:f>IF('Project Tracker'!A70="","",TRIM(MID(SUBSTITUTE('Project Tracker'!K70,";",REPT(" ",150)),451,150)))</ns0:f>
      </ns0:c>
      <ns0:c r="K262" t="str">
        <ns0:f>IF(J262="","",IF(COUNTIFS($J$7:J262,J262)=1,MAX($K$6:K261)+1,""))</ns0:f>
      </ns0:c>
      <ns0:c r="M262" t="str">
        <ns0:f>IF(J262="","",'Project Tracker'!A70)</ns0:f>
      </ns0:c>
      <ns0:c r="N262" t="str">
        <ns0:f>IF(J262="","",'Project Tracker'!N70)</ns0:f>
      </ns0:c>
      <ns0:c r="O262" t="str">
        <ns0:f>IF(J262="","",'Project Tracker'!E70)</ns0:f>
      </ns0:c>
      <ns0:c r="P262" t="str">
        <ns0:f>IF(J262="","",'Project Tracker'!F70)</ns0:f>
      </ns0:c>
      <ns0:c r="Q262" t="str">
        <ns0:f>IF(J262="","",'Project Tracker'!Q70)</ns0:f>
      </ns0:c>
      <ns0:c r="R262" t="str">
        <ns0:f>IF(J262="","",'Project Tracker'!J70)</ns0:f>
      </ns0:c>
    </ns0:row>
    <ns0:row r="263">
      <ns0:c r="J263" t="str">
        <ns0:f>IF('Project Tracker'!A71="","",TRIM(MID(SUBSTITUTE('Project Tracker'!K71,";",REPT(" ",150)),1,150)))</ns0:f>
      </ns0:c>
      <ns0:c r="K263" t="str">
        <ns0:f>IF(J263="","",IF(COUNTIFS($J$7:J263,J263)=1,MAX($K$6:K262)+1,""))</ns0:f>
      </ns0:c>
      <ns0:c r="M263" t="str">
        <ns0:f>IF(J263="","",'Project Tracker'!A71)</ns0:f>
      </ns0:c>
      <ns0:c r="N263" t="str">
        <ns0:f>IF(J263="","",'Project Tracker'!N71)</ns0:f>
      </ns0:c>
      <ns0:c r="O263" t="str">
        <ns0:f>IF(J263="","",'Project Tracker'!E71)</ns0:f>
      </ns0:c>
      <ns0:c r="P263" t="str">
        <ns0:f>IF(J263="","",'Project Tracker'!F71)</ns0:f>
      </ns0:c>
      <ns0:c r="Q263" t="str">
        <ns0:f>IF(J263="","",'Project Tracker'!Q71)</ns0:f>
      </ns0:c>
      <ns0:c r="R263" t="str">
        <ns0:f>IF(J263="","",'Project Tracker'!J71)</ns0:f>
      </ns0:c>
    </ns0:row>
    <ns0:row r="264">
      <ns0:c r="J264" t="str">
        <ns0:f>IF('Project Tracker'!A71="","",TRIM(MID(SUBSTITUTE('Project Tracker'!K71,";",REPT(" ",150)),151,150)))</ns0:f>
      </ns0:c>
      <ns0:c r="K264" t="str">
        <ns0:f>IF(J264="","",IF(COUNTIFS($J$7:J264,J264)=1,MAX($K$6:K263)+1,""))</ns0:f>
      </ns0:c>
      <ns0:c r="M264" t="str">
        <ns0:f>IF(J264="","",'Project Tracker'!A71)</ns0:f>
      </ns0:c>
      <ns0:c r="N264" t="str">
        <ns0:f>IF(J264="","",'Project Tracker'!N71)</ns0:f>
      </ns0:c>
      <ns0:c r="O264" t="str">
        <ns0:f>IF(J264="","",'Project Tracker'!E71)</ns0:f>
      </ns0:c>
      <ns0:c r="P264" t="str">
        <ns0:f>IF(J264="","",'Project Tracker'!F71)</ns0:f>
      </ns0:c>
      <ns0:c r="Q264" t="str">
        <ns0:f>IF(J264="","",'Project Tracker'!Q71)</ns0:f>
      </ns0:c>
      <ns0:c r="R264" t="str">
        <ns0:f>IF(J264="","",'Project Tracker'!J71)</ns0:f>
      </ns0:c>
    </ns0:row>
    <ns0:row r="265">
      <ns0:c r="J265" t="str">
        <ns0:f>IF('Project Tracker'!A71="","",TRIM(MID(SUBSTITUTE('Project Tracker'!K71,";",REPT(" ",150)),301,150)))</ns0:f>
      </ns0:c>
      <ns0:c r="K265" t="str">
        <ns0:f>IF(J265="","",IF(COUNTIFS($J$7:J265,J265)=1,MAX($K$6:K264)+1,""))</ns0:f>
      </ns0:c>
      <ns0:c r="M265" t="str">
        <ns0:f>IF(J265="","",'Project Tracker'!A71)</ns0:f>
      </ns0:c>
      <ns0:c r="N265" t="str">
        <ns0:f>IF(J265="","",'Project Tracker'!N71)</ns0:f>
      </ns0:c>
      <ns0:c r="O265" t="str">
        <ns0:f>IF(J265="","",'Project Tracker'!E71)</ns0:f>
      </ns0:c>
      <ns0:c r="P265" t="str">
        <ns0:f>IF(J265="","",'Project Tracker'!F71)</ns0:f>
      </ns0:c>
      <ns0:c r="Q265" t="str">
        <ns0:f>IF(J265="","",'Project Tracker'!Q71)</ns0:f>
      </ns0:c>
      <ns0:c r="R265" t="str">
        <ns0:f>IF(J265="","",'Project Tracker'!J71)</ns0:f>
      </ns0:c>
    </ns0:row>
    <ns0:row r="266">
      <ns0:c r="J266" t="str">
        <ns0:f>IF('Project Tracker'!A71="","",TRIM(MID(SUBSTITUTE('Project Tracker'!K71,";",REPT(" ",150)),451,150)))</ns0:f>
      </ns0:c>
      <ns0:c r="K266" t="str">
        <ns0:f>IF(J266="","",IF(COUNTIFS($J$7:J266,J266)=1,MAX($K$6:K265)+1,""))</ns0:f>
      </ns0:c>
      <ns0:c r="M266" t="str">
        <ns0:f>IF(J266="","",'Project Tracker'!A71)</ns0:f>
      </ns0:c>
      <ns0:c r="N266" t="str">
        <ns0:f>IF(J266="","",'Project Tracker'!N71)</ns0:f>
      </ns0:c>
      <ns0:c r="O266" t="str">
        <ns0:f>IF(J266="","",'Project Tracker'!E71)</ns0:f>
      </ns0:c>
      <ns0:c r="P266" t="str">
        <ns0:f>IF(J266="","",'Project Tracker'!F71)</ns0:f>
      </ns0:c>
      <ns0:c r="Q266" t="str">
        <ns0:f>IF(J266="","",'Project Tracker'!Q71)</ns0:f>
      </ns0:c>
      <ns0:c r="R266" t="str">
        <ns0:f>IF(J266="","",'Project Tracker'!J71)</ns0:f>
      </ns0:c>
    </ns0:row>
    <ns0:row r="267">
      <ns0:c r="J267" t="str">
        <ns0:f>IF('Project Tracker'!A72="","",TRIM(MID(SUBSTITUTE('Project Tracker'!K72,";",REPT(" ",150)),1,150)))</ns0:f>
      </ns0:c>
      <ns0:c r="K267" t="str">
        <ns0:f>IF(J267="","",IF(COUNTIFS($J$7:J267,J267)=1,MAX($K$6:K266)+1,""))</ns0:f>
      </ns0:c>
      <ns0:c r="M267" t="str">
        <ns0:f>IF(J267="","",'Project Tracker'!A72)</ns0:f>
      </ns0:c>
      <ns0:c r="N267" t="str">
        <ns0:f>IF(J267="","",'Project Tracker'!N72)</ns0:f>
      </ns0:c>
      <ns0:c r="O267" t="str">
        <ns0:f>IF(J267="","",'Project Tracker'!E72)</ns0:f>
      </ns0:c>
      <ns0:c r="P267" t="str">
        <ns0:f>IF(J267="","",'Project Tracker'!F72)</ns0:f>
      </ns0:c>
      <ns0:c r="Q267" t="str">
        <ns0:f>IF(J267="","",'Project Tracker'!Q72)</ns0:f>
      </ns0:c>
      <ns0:c r="R267" t="str">
        <ns0:f>IF(J267="","",'Project Tracker'!J72)</ns0:f>
      </ns0:c>
    </ns0:row>
    <ns0:row r="268">
      <ns0:c r="J268" t="str">
        <ns0:f>IF('Project Tracker'!A72="","",TRIM(MID(SUBSTITUTE('Project Tracker'!K72,";",REPT(" ",150)),151,150)))</ns0:f>
      </ns0:c>
      <ns0:c r="K268" t="str">
        <ns0:f>IF(J268="","",IF(COUNTIFS($J$7:J268,J268)=1,MAX($K$6:K267)+1,""))</ns0:f>
      </ns0:c>
      <ns0:c r="M268" t="str">
        <ns0:f>IF(J268="","",'Project Tracker'!A72)</ns0:f>
      </ns0:c>
      <ns0:c r="N268" t="str">
        <ns0:f>IF(J268="","",'Project Tracker'!N72)</ns0:f>
      </ns0:c>
      <ns0:c r="O268" t="str">
        <ns0:f>IF(J268="","",'Project Tracker'!E72)</ns0:f>
      </ns0:c>
      <ns0:c r="P268" t="str">
        <ns0:f>IF(J268="","",'Project Tracker'!F72)</ns0:f>
      </ns0:c>
      <ns0:c r="Q268" t="str">
        <ns0:f>IF(J268="","",'Project Tracker'!Q72)</ns0:f>
      </ns0:c>
      <ns0:c r="R268" t="str">
        <ns0:f>IF(J268="","",'Project Tracker'!J72)</ns0:f>
      </ns0:c>
    </ns0:row>
    <ns0:row r="269">
      <ns0:c r="J269" t="str">
        <ns0:f>IF('Project Tracker'!A72="","",TRIM(MID(SUBSTITUTE('Project Tracker'!K72,";",REPT(" ",150)),301,150)))</ns0:f>
      </ns0:c>
      <ns0:c r="K269" t="str">
        <ns0:f>IF(J269="","",IF(COUNTIFS($J$7:J269,J269)=1,MAX($K$6:K268)+1,""))</ns0:f>
      </ns0:c>
      <ns0:c r="M269" t="str">
        <ns0:f>IF(J269="","",'Project Tracker'!A72)</ns0:f>
      </ns0:c>
      <ns0:c r="N269" t="str">
        <ns0:f>IF(J269="","",'Project Tracker'!N72)</ns0:f>
      </ns0:c>
      <ns0:c r="O269" t="str">
        <ns0:f>IF(J269="","",'Project Tracker'!E72)</ns0:f>
      </ns0:c>
      <ns0:c r="P269" t="str">
        <ns0:f>IF(J269="","",'Project Tracker'!F72)</ns0:f>
      </ns0:c>
      <ns0:c r="Q269" t="str">
        <ns0:f>IF(J269="","",'Project Tracker'!Q72)</ns0:f>
      </ns0:c>
      <ns0:c r="R269" t="str">
        <ns0:f>IF(J269="","",'Project Tracker'!J72)</ns0:f>
      </ns0:c>
    </ns0:row>
    <ns0:row r="270">
      <ns0:c r="J270" t="str">
        <ns0:f>IF('Project Tracker'!A72="","",TRIM(MID(SUBSTITUTE('Project Tracker'!K72,";",REPT(" ",150)),451,150)))</ns0:f>
      </ns0:c>
      <ns0:c r="K270" t="str">
        <ns0:f>IF(J270="","",IF(COUNTIFS($J$7:J270,J270)=1,MAX($K$6:K269)+1,""))</ns0:f>
      </ns0:c>
      <ns0:c r="M270" t="str">
        <ns0:f>IF(J270="","",'Project Tracker'!A72)</ns0:f>
      </ns0:c>
      <ns0:c r="N270" t="str">
        <ns0:f>IF(J270="","",'Project Tracker'!N72)</ns0:f>
      </ns0:c>
      <ns0:c r="O270" t="str">
        <ns0:f>IF(J270="","",'Project Tracker'!E72)</ns0:f>
      </ns0:c>
      <ns0:c r="P270" t="str">
        <ns0:f>IF(J270="","",'Project Tracker'!F72)</ns0:f>
      </ns0:c>
      <ns0:c r="Q270" t="str">
        <ns0:f>IF(J270="","",'Project Tracker'!Q72)</ns0:f>
      </ns0:c>
      <ns0:c r="R270" t="str">
        <ns0:f>IF(J270="","",'Project Tracker'!J72)</ns0:f>
      </ns0:c>
    </ns0:row>
    <ns0:row r="271">
      <ns0:c r="J271" t="str">
        <ns0:f>IF('Project Tracker'!A73="","",TRIM(MID(SUBSTITUTE('Project Tracker'!K73,";",REPT(" ",150)),1,150)))</ns0:f>
      </ns0:c>
      <ns0:c r="K271" t="str">
        <ns0:f>IF(J271="","",IF(COUNTIFS($J$7:J271,J271)=1,MAX($K$6:K270)+1,""))</ns0:f>
      </ns0:c>
      <ns0:c r="M271" t="str">
        <ns0:f>IF(J271="","",'Project Tracker'!A73)</ns0:f>
      </ns0:c>
      <ns0:c r="N271" t="str">
        <ns0:f>IF(J271="","",'Project Tracker'!N73)</ns0:f>
      </ns0:c>
      <ns0:c r="O271" t="str">
        <ns0:f>IF(J271="","",'Project Tracker'!E73)</ns0:f>
      </ns0:c>
      <ns0:c r="P271" t="str">
        <ns0:f>IF(J271="","",'Project Tracker'!F73)</ns0:f>
      </ns0:c>
      <ns0:c r="Q271" t="str">
        <ns0:f>IF(J271="","",'Project Tracker'!Q73)</ns0:f>
      </ns0:c>
      <ns0:c r="R271" t="str">
        <ns0:f>IF(J271="","",'Project Tracker'!J73)</ns0:f>
      </ns0:c>
    </ns0:row>
    <ns0:row r="272">
      <ns0:c r="J272" t="str">
        <ns0:f>IF('Project Tracker'!A73="","",TRIM(MID(SUBSTITUTE('Project Tracker'!K73,";",REPT(" ",150)),151,150)))</ns0:f>
      </ns0:c>
      <ns0:c r="K272" t="str">
        <ns0:f>IF(J272="","",IF(COUNTIFS($J$7:J272,J272)=1,MAX($K$6:K271)+1,""))</ns0:f>
      </ns0:c>
      <ns0:c r="M272" t="str">
        <ns0:f>IF(J272="","",'Project Tracker'!A73)</ns0:f>
      </ns0:c>
      <ns0:c r="N272" t="str">
        <ns0:f>IF(J272="","",'Project Tracker'!N73)</ns0:f>
      </ns0:c>
      <ns0:c r="O272" t="str">
        <ns0:f>IF(J272="","",'Project Tracker'!E73)</ns0:f>
      </ns0:c>
      <ns0:c r="P272" t="str">
        <ns0:f>IF(J272="","",'Project Tracker'!F73)</ns0:f>
      </ns0:c>
      <ns0:c r="Q272" t="str">
        <ns0:f>IF(J272="","",'Project Tracker'!Q73)</ns0:f>
      </ns0:c>
      <ns0:c r="R272" t="str">
        <ns0:f>IF(J272="","",'Project Tracker'!J73)</ns0:f>
      </ns0:c>
    </ns0:row>
    <ns0:row r="273">
      <ns0:c r="J273" t="str">
        <ns0:f>IF('Project Tracker'!A73="","",TRIM(MID(SUBSTITUTE('Project Tracker'!K73,";",REPT(" ",150)),301,150)))</ns0:f>
      </ns0:c>
      <ns0:c r="K273" t="str">
        <ns0:f>IF(J273="","",IF(COUNTIFS($J$7:J273,J273)=1,MAX($K$6:K272)+1,""))</ns0:f>
      </ns0:c>
      <ns0:c r="M273" t="str">
        <ns0:f>IF(J273="","",'Project Tracker'!A73)</ns0:f>
      </ns0:c>
      <ns0:c r="N273" t="str">
        <ns0:f>IF(J273="","",'Project Tracker'!N73)</ns0:f>
      </ns0:c>
      <ns0:c r="O273" t="str">
        <ns0:f>IF(J273="","",'Project Tracker'!E73)</ns0:f>
      </ns0:c>
      <ns0:c r="P273" t="str">
        <ns0:f>IF(J273="","",'Project Tracker'!F73)</ns0:f>
      </ns0:c>
      <ns0:c r="Q273" t="str">
        <ns0:f>IF(J273="","",'Project Tracker'!Q73)</ns0:f>
      </ns0:c>
      <ns0:c r="R273" t="str">
        <ns0:f>IF(J273="","",'Project Tracker'!J73)</ns0:f>
      </ns0:c>
    </ns0:row>
    <ns0:row r="274">
      <ns0:c r="J274" t="str">
        <ns0:f>IF('Project Tracker'!A73="","",TRIM(MID(SUBSTITUTE('Project Tracker'!K73,";",REPT(" ",150)),451,150)))</ns0:f>
      </ns0:c>
      <ns0:c r="K274" t="str">
        <ns0:f>IF(J274="","",IF(COUNTIFS($J$7:J274,J274)=1,MAX($K$6:K273)+1,""))</ns0:f>
      </ns0:c>
      <ns0:c r="M274" t="str">
        <ns0:f>IF(J274="","",'Project Tracker'!A73)</ns0:f>
      </ns0:c>
      <ns0:c r="N274" t="str">
        <ns0:f>IF(J274="","",'Project Tracker'!N73)</ns0:f>
      </ns0:c>
      <ns0:c r="O274" t="str">
        <ns0:f>IF(J274="","",'Project Tracker'!E73)</ns0:f>
      </ns0:c>
      <ns0:c r="P274" t="str">
        <ns0:f>IF(J274="","",'Project Tracker'!F73)</ns0:f>
      </ns0:c>
      <ns0:c r="Q274" t="str">
        <ns0:f>IF(J274="","",'Project Tracker'!Q73)</ns0:f>
      </ns0:c>
      <ns0:c r="R274" t="str">
        <ns0:f>IF(J274="","",'Project Tracker'!J73)</ns0:f>
      </ns0:c>
    </ns0:row>
    <ns0:row r="275">
      <ns0:c r="J275" t="str">
        <ns0:f>IF('Project Tracker'!A74="","",TRIM(MID(SUBSTITUTE('Project Tracker'!K74,";",REPT(" ",150)),1,150)))</ns0:f>
      </ns0:c>
      <ns0:c r="K275" t="str">
        <ns0:f>IF(J275="","",IF(COUNTIFS($J$7:J275,J275)=1,MAX($K$6:K274)+1,""))</ns0:f>
      </ns0:c>
      <ns0:c r="M275" t="str">
        <ns0:f>IF(J275="","",'Project Tracker'!A74)</ns0:f>
      </ns0:c>
      <ns0:c r="N275" t="str">
        <ns0:f>IF(J275="","",'Project Tracker'!N74)</ns0:f>
      </ns0:c>
      <ns0:c r="O275" t="str">
        <ns0:f>IF(J275="","",'Project Tracker'!E74)</ns0:f>
      </ns0:c>
      <ns0:c r="P275" t="str">
        <ns0:f>IF(J275="","",'Project Tracker'!F74)</ns0:f>
      </ns0:c>
      <ns0:c r="Q275" t="str">
        <ns0:f>IF(J275="","",'Project Tracker'!Q74)</ns0:f>
      </ns0:c>
      <ns0:c r="R275" t="str">
        <ns0:f>IF(J275="","",'Project Tracker'!J74)</ns0:f>
      </ns0:c>
    </ns0:row>
    <ns0:row r="276">
      <ns0:c r="J276" t="str">
        <ns0:f>IF('Project Tracker'!A74="","",TRIM(MID(SUBSTITUTE('Project Tracker'!K74,";",REPT(" ",150)),151,150)))</ns0:f>
      </ns0:c>
      <ns0:c r="K276" t="str">
        <ns0:f>IF(J276="","",IF(COUNTIFS($J$7:J276,J276)=1,MAX($K$6:K275)+1,""))</ns0:f>
      </ns0:c>
      <ns0:c r="M276" t="str">
        <ns0:f>IF(J276="","",'Project Tracker'!A74)</ns0:f>
      </ns0:c>
      <ns0:c r="N276" t="str">
        <ns0:f>IF(J276="","",'Project Tracker'!N74)</ns0:f>
      </ns0:c>
      <ns0:c r="O276" t="str">
        <ns0:f>IF(J276="","",'Project Tracker'!E74)</ns0:f>
      </ns0:c>
      <ns0:c r="P276" t="str">
        <ns0:f>IF(J276="","",'Project Tracker'!F74)</ns0:f>
      </ns0:c>
      <ns0:c r="Q276" t="str">
        <ns0:f>IF(J276="","",'Project Tracker'!Q74)</ns0:f>
      </ns0:c>
      <ns0:c r="R276" t="str">
        <ns0:f>IF(J276="","",'Project Tracker'!J74)</ns0:f>
      </ns0:c>
    </ns0:row>
    <ns0:row r="277">
      <ns0:c r="J277" t="str">
        <ns0:f>IF('Project Tracker'!A74="","",TRIM(MID(SUBSTITUTE('Project Tracker'!K74,";",REPT(" ",150)),301,150)))</ns0:f>
      </ns0:c>
      <ns0:c r="K277" t="str">
        <ns0:f>IF(J277="","",IF(COUNTIFS($J$7:J277,J277)=1,MAX($K$6:K276)+1,""))</ns0:f>
      </ns0:c>
      <ns0:c r="M277" t="str">
        <ns0:f>IF(J277="","",'Project Tracker'!A74)</ns0:f>
      </ns0:c>
      <ns0:c r="N277" t="str">
        <ns0:f>IF(J277="","",'Project Tracker'!N74)</ns0:f>
      </ns0:c>
      <ns0:c r="O277" t="str">
        <ns0:f>IF(J277="","",'Project Tracker'!E74)</ns0:f>
      </ns0:c>
      <ns0:c r="P277" t="str">
        <ns0:f>IF(J277="","",'Project Tracker'!F74)</ns0:f>
      </ns0:c>
      <ns0:c r="Q277" t="str">
        <ns0:f>IF(J277="","",'Project Tracker'!Q74)</ns0:f>
      </ns0:c>
      <ns0:c r="R277" t="str">
        <ns0:f>IF(J277="","",'Project Tracker'!J74)</ns0:f>
      </ns0:c>
    </ns0:row>
    <ns0:row r="278">
      <ns0:c r="J278" t="str">
        <ns0:f>IF('Project Tracker'!A74="","",TRIM(MID(SUBSTITUTE('Project Tracker'!K74,";",REPT(" ",150)),451,150)))</ns0:f>
      </ns0:c>
      <ns0:c r="K278" t="str">
        <ns0:f>IF(J278="","",IF(COUNTIFS($J$7:J278,J278)=1,MAX($K$6:K277)+1,""))</ns0:f>
      </ns0:c>
      <ns0:c r="M278" t="str">
        <ns0:f>IF(J278="","",'Project Tracker'!A74)</ns0:f>
      </ns0:c>
      <ns0:c r="N278" t="str">
        <ns0:f>IF(J278="","",'Project Tracker'!N74)</ns0:f>
      </ns0:c>
      <ns0:c r="O278" t="str">
        <ns0:f>IF(J278="","",'Project Tracker'!E74)</ns0:f>
      </ns0:c>
      <ns0:c r="P278" t="str">
        <ns0:f>IF(J278="","",'Project Tracker'!F74)</ns0:f>
      </ns0:c>
      <ns0:c r="Q278" t="str">
        <ns0:f>IF(J278="","",'Project Tracker'!Q74)</ns0:f>
      </ns0:c>
      <ns0:c r="R278" t="str">
        <ns0:f>IF(J278="","",'Project Tracker'!J74)</ns0:f>
      </ns0:c>
    </ns0:row>
    <ns0:row r="279">
      <ns0:c r="J279" t="str">
        <ns0:f>IF('Project Tracker'!A75="","",TRIM(MID(SUBSTITUTE('Project Tracker'!K75,";",REPT(" ",150)),1,150)))</ns0:f>
      </ns0:c>
      <ns0:c r="K279" t="str">
        <ns0:f>IF(J279="","",IF(COUNTIFS($J$7:J279,J279)=1,MAX($K$6:K278)+1,""))</ns0:f>
      </ns0:c>
      <ns0:c r="M279" t="str">
        <ns0:f>IF(J279="","",'Project Tracker'!A75)</ns0:f>
      </ns0:c>
      <ns0:c r="N279" t="str">
        <ns0:f>IF(J279="","",'Project Tracker'!N75)</ns0:f>
      </ns0:c>
      <ns0:c r="O279" t="str">
        <ns0:f>IF(J279="","",'Project Tracker'!E75)</ns0:f>
      </ns0:c>
      <ns0:c r="P279" t="str">
        <ns0:f>IF(J279="","",'Project Tracker'!F75)</ns0:f>
      </ns0:c>
      <ns0:c r="Q279" t="str">
        <ns0:f>IF(J279="","",'Project Tracker'!Q75)</ns0:f>
      </ns0:c>
      <ns0:c r="R279" t="str">
        <ns0:f>IF(J279="","",'Project Tracker'!J75)</ns0:f>
      </ns0:c>
    </ns0:row>
    <ns0:row r="280">
      <ns0:c r="J280" t="str">
        <ns0:f>IF('Project Tracker'!A75="","",TRIM(MID(SUBSTITUTE('Project Tracker'!K75,";",REPT(" ",150)),151,150)))</ns0:f>
      </ns0:c>
      <ns0:c r="K280" t="str">
        <ns0:f>IF(J280="","",IF(COUNTIFS($J$7:J280,J280)=1,MAX($K$6:K279)+1,""))</ns0:f>
      </ns0:c>
      <ns0:c r="M280" t="str">
        <ns0:f>IF(J280="","",'Project Tracker'!A75)</ns0:f>
      </ns0:c>
      <ns0:c r="N280" t="str">
        <ns0:f>IF(J280="","",'Project Tracker'!N75)</ns0:f>
      </ns0:c>
      <ns0:c r="O280" t="str">
        <ns0:f>IF(J280="","",'Project Tracker'!E75)</ns0:f>
      </ns0:c>
      <ns0:c r="P280" t="str">
        <ns0:f>IF(J280="","",'Project Tracker'!F75)</ns0:f>
      </ns0:c>
      <ns0:c r="Q280" t="str">
        <ns0:f>IF(J280="","",'Project Tracker'!Q75)</ns0:f>
      </ns0:c>
      <ns0:c r="R280" t="str">
        <ns0:f>IF(J280="","",'Project Tracker'!J75)</ns0:f>
      </ns0:c>
    </ns0:row>
    <ns0:row r="281">
      <ns0:c r="J281" t="str">
        <ns0:f>IF('Project Tracker'!A75="","",TRIM(MID(SUBSTITUTE('Project Tracker'!K75,";",REPT(" ",150)),301,150)))</ns0:f>
      </ns0:c>
      <ns0:c r="K281" t="str">
        <ns0:f>IF(J281="","",IF(COUNTIFS($J$7:J281,J281)=1,MAX($K$6:K280)+1,""))</ns0:f>
      </ns0:c>
      <ns0:c r="M281" t="str">
        <ns0:f>IF(J281="","",'Project Tracker'!A75)</ns0:f>
      </ns0:c>
      <ns0:c r="N281" t="str">
        <ns0:f>IF(J281="","",'Project Tracker'!N75)</ns0:f>
      </ns0:c>
      <ns0:c r="O281" t="str">
        <ns0:f>IF(J281="","",'Project Tracker'!E75)</ns0:f>
      </ns0:c>
      <ns0:c r="P281" t="str">
        <ns0:f>IF(J281="","",'Project Tracker'!F75)</ns0:f>
      </ns0:c>
      <ns0:c r="Q281" t="str">
        <ns0:f>IF(J281="","",'Project Tracker'!Q75)</ns0:f>
      </ns0:c>
      <ns0:c r="R281" t="str">
        <ns0:f>IF(J281="","",'Project Tracker'!J75)</ns0:f>
      </ns0:c>
    </ns0:row>
    <ns0:row r="282">
      <ns0:c r="J282" t="str">
        <ns0:f>IF('Project Tracker'!A75="","",TRIM(MID(SUBSTITUTE('Project Tracker'!K75,";",REPT(" ",150)),451,150)))</ns0:f>
      </ns0:c>
      <ns0:c r="K282" t="str">
        <ns0:f>IF(J282="","",IF(COUNTIFS($J$7:J282,J282)=1,MAX($K$6:K281)+1,""))</ns0:f>
      </ns0:c>
      <ns0:c r="M282" t="str">
        <ns0:f>IF(J282="","",'Project Tracker'!A75)</ns0:f>
      </ns0:c>
      <ns0:c r="N282" t="str">
        <ns0:f>IF(J282="","",'Project Tracker'!N75)</ns0:f>
      </ns0:c>
      <ns0:c r="O282" t="str">
        <ns0:f>IF(J282="","",'Project Tracker'!E75)</ns0:f>
      </ns0:c>
      <ns0:c r="P282" t="str">
        <ns0:f>IF(J282="","",'Project Tracker'!F75)</ns0:f>
      </ns0:c>
      <ns0:c r="Q282" t="str">
        <ns0:f>IF(J282="","",'Project Tracker'!Q75)</ns0:f>
      </ns0:c>
      <ns0:c r="R282" t="str">
        <ns0:f>IF(J282="","",'Project Tracker'!J75)</ns0:f>
      </ns0:c>
    </ns0:row>
    <ns0:row r="283">
      <ns0:c r="J283" t="str">
        <ns0:f>IF('Project Tracker'!A76="","",TRIM(MID(SUBSTITUTE('Project Tracker'!K76,";",REPT(" ",150)),1,150)))</ns0:f>
      </ns0:c>
      <ns0:c r="K283" t="str">
        <ns0:f>IF(J283="","",IF(COUNTIFS($J$7:J283,J283)=1,MAX($K$6:K282)+1,""))</ns0:f>
      </ns0:c>
      <ns0:c r="M283" t="str">
        <ns0:f>IF(J283="","",'Project Tracker'!A76)</ns0:f>
      </ns0:c>
      <ns0:c r="N283" t="str">
        <ns0:f>IF(J283="","",'Project Tracker'!N76)</ns0:f>
      </ns0:c>
      <ns0:c r="O283" t="str">
        <ns0:f>IF(J283="","",'Project Tracker'!E76)</ns0:f>
      </ns0:c>
      <ns0:c r="P283" t="str">
        <ns0:f>IF(J283="","",'Project Tracker'!F76)</ns0:f>
      </ns0:c>
      <ns0:c r="Q283" t="str">
        <ns0:f>IF(J283="","",'Project Tracker'!Q76)</ns0:f>
      </ns0:c>
      <ns0:c r="R283" t="str">
        <ns0:f>IF(J283="","",'Project Tracker'!J76)</ns0:f>
      </ns0:c>
    </ns0:row>
    <ns0:row r="284">
      <ns0:c r="J284" t="str">
        <ns0:f>IF('Project Tracker'!A76="","",TRIM(MID(SUBSTITUTE('Project Tracker'!K76,";",REPT(" ",150)),151,150)))</ns0:f>
      </ns0:c>
      <ns0:c r="K284" t="str">
        <ns0:f>IF(J284="","",IF(COUNTIFS($J$7:J284,J284)=1,MAX($K$6:K283)+1,""))</ns0:f>
      </ns0:c>
      <ns0:c r="M284" t="str">
        <ns0:f>IF(J284="","",'Project Tracker'!A76)</ns0:f>
      </ns0:c>
      <ns0:c r="N284" t="str">
        <ns0:f>IF(J284="","",'Project Tracker'!N76)</ns0:f>
      </ns0:c>
      <ns0:c r="O284" t="str">
        <ns0:f>IF(J284="","",'Project Tracker'!E76)</ns0:f>
      </ns0:c>
      <ns0:c r="P284" t="str">
        <ns0:f>IF(J284="","",'Project Tracker'!F76)</ns0:f>
      </ns0:c>
      <ns0:c r="Q284" t="str">
        <ns0:f>IF(J284="","",'Project Tracker'!Q76)</ns0:f>
      </ns0:c>
      <ns0:c r="R284" t="str">
        <ns0:f>IF(J284="","",'Project Tracker'!J76)</ns0:f>
      </ns0:c>
    </ns0:row>
    <ns0:row r="285">
      <ns0:c r="J285" t="str">
        <ns0:f>IF('Project Tracker'!A76="","",TRIM(MID(SUBSTITUTE('Project Tracker'!K76,";",REPT(" ",150)),301,150)))</ns0:f>
      </ns0:c>
      <ns0:c r="K285" t="str">
        <ns0:f>IF(J285="","",IF(COUNTIFS($J$7:J285,J285)=1,MAX($K$6:K284)+1,""))</ns0:f>
      </ns0:c>
      <ns0:c r="M285" t="str">
        <ns0:f>IF(J285="","",'Project Tracker'!A76)</ns0:f>
      </ns0:c>
      <ns0:c r="N285" t="str">
        <ns0:f>IF(J285="","",'Project Tracker'!N76)</ns0:f>
      </ns0:c>
      <ns0:c r="O285" t="str">
        <ns0:f>IF(J285="","",'Project Tracker'!E76)</ns0:f>
      </ns0:c>
      <ns0:c r="P285" t="str">
        <ns0:f>IF(J285="","",'Project Tracker'!F76)</ns0:f>
      </ns0:c>
      <ns0:c r="Q285" t="str">
        <ns0:f>IF(J285="","",'Project Tracker'!Q76)</ns0:f>
      </ns0:c>
      <ns0:c r="R285" t="str">
        <ns0:f>IF(J285="","",'Project Tracker'!J76)</ns0:f>
      </ns0:c>
    </ns0:row>
    <ns0:row r="286">
      <ns0:c r="J286" t="str">
        <ns0:f>IF('Project Tracker'!A76="","",TRIM(MID(SUBSTITUTE('Project Tracker'!K76,";",REPT(" ",150)),451,150)))</ns0:f>
      </ns0:c>
      <ns0:c r="K286" t="str">
        <ns0:f>IF(J286="","",IF(COUNTIFS($J$7:J286,J286)=1,MAX($K$6:K285)+1,""))</ns0:f>
      </ns0:c>
      <ns0:c r="M286" t="str">
        <ns0:f>IF(J286="","",'Project Tracker'!A76)</ns0:f>
      </ns0:c>
      <ns0:c r="N286" t="str">
        <ns0:f>IF(J286="","",'Project Tracker'!N76)</ns0:f>
      </ns0:c>
      <ns0:c r="O286" t="str">
        <ns0:f>IF(J286="","",'Project Tracker'!E76)</ns0:f>
      </ns0:c>
      <ns0:c r="P286" t="str">
        <ns0:f>IF(J286="","",'Project Tracker'!F76)</ns0:f>
      </ns0:c>
      <ns0:c r="Q286" t="str">
        <ns0:f>IF(J286="","",'Project Tracker'!Q76)</ns0:f>
      </ns0:c>
      <ns0:c r="R286" t="str">
        <ns0:f>IF(J286="","",'Project Tracker'!J76)</ns0:f>
      </ns0:c>
    </ns0:row>
    <ns0:row r="287">
      <ns0:c r="J287" t="str">
        <ns0:f>IF('Project Tracker'!A77="","",TRIM(MID(SUBSTITUTE('Project Tracker'!K77,";",REPT(" ",150)),1,150)))</ns0:f>
      </ns0:c>
      <ns0:c r="K287" t="str">
        <ns0:f>IF(J287="","",IF(COUNTIFS($J$7:J287,J287)=1,MAX($K$6:K286)+1,""))</ns0:f>
      </ns0:c>
      <ns0:c r="M287" t="str">
        <ns0:f>IF(J287="","",'Project Tracker'!A77)</ns0:f>
      </ns0:c>
      <ns0:c r="N287" t="str">
        <ns0:f>IF(J287="","",'Project Tracker'!N77)</ns0:f>
      </ns0:c>
      <ns0:c r="O287" t="str">
        <ns0:f>IF(J287="","",'Project Tracker'!E77)</ns0:f>
      </ns0:c>
      <ns0:c r="P287" t="str">
        <ns0:f>IF(J287="","",'Project Tracker'!F77)</ns0:f>
      </ns0:c>
      <ns0:c r="Q287" t="str">
        <ns0:f>IF(J287="","",'Project Tracker'!Q77)</ns0:f>
      </ns0:c>
      <ns0:c r="R287" t="str">
        <ns0:f>IF(J287="","",'Project Tracker'!J77)</ns0:f>
      </ns0:c>
    </ns0:row>
    <ns0:row r="288">
      <ns0:c r="J288" t="str">
        <ns0:f>IF('Project Tracker'!A77="","",TRIM(MID(SUBSTITUTE('Project Tracker'!K77,";",REPT(" ",150)),151,150)))</ns0:f>
      </ns0:c>
      <ns0:c r="K288" t="str">
        <ns0:f>IF(J288="","",IF(COUNTIFS($J$7:J288,J288)=1,MAX($K$6:K287)+1,""))</ns0:f>
      </ns0:c>
      <ns0:c r="M288" t="str">
        <ns0:f>IF(J288="","",'Project Tracker'!A77)</ns0:f>
      </ns0:c>
      <ns0:c r="N288" t="str">
        <ns0:f>IF(J288="","",'Project Tracker'!N77)</ns0:f>
      </ns0:c>
      <ns0:c r="O288" t="str">
        <ns0:f>IF(J288="","",'Project Tracker'!E77)</ns0:f>
      </ns0:c>
      <ns0:c r="P288" t="str">
        <ns0:f>IF(J288="","",'Project Tracker'!F77)</ns0:f>
      </ns0:c>
      <ns0:c r="Q288" t="str">
        <ns0:f>IF(J288="","",'Project Tracker'!Q77)</ns0:f>
      </ns0:c>
      <ns0:c r="R288" t="str">
        <ns0:f>IF(J288="","",'Project Tracker'!J77)</ns0:f>
      </ns0:c>
    </ns0:row>
    <ns0:row r="289">
      <ns0:c r="J289" t="str">
        <ns0:f>IF('Project Tracker'!A77="","",TRIM(MID(SUBSTITUTE('Project Tracker'!K77,";",REPT(" ",150)),301,150)))</ns0:f>
      </ns0:c>
      <ns0:c r="K289" t="str">
        <ns0:f>IF(J289="","",IF(COUNTIFS($J$7:J289,J289)=1,MAX($K$6:K288)+1,""))</ns0:f>
      </ns0:c>
      <ns0:c r="M289" t="str">
        <ns0:f>IF(J289="","",'Project Tracker'!A77)</ns0:f>
      </ns0:c>
      <ns0:c r="N289" t="str">
        <ns0:f>IF(J289="","",'Project Tracker'!N77)</ns0:f>
      </ns0:c>
      <ns0:c r="O289" t="str">
        <ns0:f>IF(J289="","",'Project Tracker'!E77)</ns0:f>
      </ns0:c>
      <ns0:c r="P289" t="str">
        <ns0:f>IF(J289="","",'Project Tracker'!F77)</ns0:f>
      </ns0:c>
      <ns0:c r="Q289" t="str">
        <ns0:f>IF(J289="","",'Project Tracker'!Q77)</ns0:f>
      </ns0:c>
      <ns0:c r="R289" t="str">
        <ns0:f>IF(J289="","",'Project Tracker'!J77)</ns0:f>
      </ns0:c>
    </ns0:row>
    <ns0:row r="290">
      <ns0:c r="J290" t="str">
        <ns0:f>IF('Project Tracker'!A77="","",TRIM(MID(SUBSTITUTE('Project Tracker'!K77,";",REPT(" ",150)),451,150)))</ns0:f>
      </ns0:c>
      <ns0:c r="K290" t="str">
        <ns0:f>IF(J290="","",IF(COUNTIFS($J$7:J290,J290)=1,MAX($K$6:K289)+1,""))</ns0:f>
      </ns0:c>
      <ns0:c r="M290" t="str">
        <ns0:f>IF(J290="","",'Project Tracker'!A77)</ns0:f>
      </ns0:c>
      <ns0:c r="N290" t="str">
        <ns0:f>IF(J290="","",'Project Tracker'!N77)</ns0:f>
      </ns0:c>
      <ns0:c r="O290" t="str">
        <ns0:f>IF(J290="","",'Project Tracker'!E77)</ns0:f>
      </ns0:c>
      <ns0:c r="P290" t="str">
        <ns0:f>IF(J290="","",'Project Tracker'!F77)</ns0:f>
      </ns0:c>
      <ns0:c r="Q290" t="str">
        <ns0:f>IF(J290="","",'Project Tracker'!Q77)</ns0:f>
      </ns0:c>
      <ns0:c r="R290" t="str">
        <ns0:f>IF(J290="","",'Project Tracker'!J77)</ns0:f>
      </ns0:c>
    </ns0:row>
    <ns0:row r="291">
      <ns0:c r="J291" t="str">
        <ns0:f>IF('Project Tracker'!A78="","",TRIM(MID(SUBSTITUTE('Project Tracker'!K78,";",REPT(" ",150)),1,150)))</ns0:f>
      </ns0:c>
      <ns0:c r="K291" t="str">
        <ns0:f>IF(J291="","",IF(COUNTIFS($J$7:J291,J291)=1,MAX($K$6:K290)+1,""))</ns0:f>
      </ns0:c>
      <ns0:c r="M291" t="str">
        <ns0:f>IF(J291="","",'Project Tracker'!A78)</ns0:f>
      </ns0:c>
      <ns0:c r="N291" t="str">
        <ns0:f>IF(J291="","",'Project Tracker'!N78)</ns0:f>
      </ns0:c>
      <ns0:c r="O291" t="str">
        <ns0:f>IF(J291="","",'Project Tracker'!E78)</ns0:f>
      </ns0:c>
      <ns0:c r="P291" t="str">
        <ns0:f>IF(J291="","",'Project Tracker'!F78)</ns0:f>
      </ns0:c>
      <ns0:c r="Q291" t="str">
        <ns0:f>IF(J291="","",'Project Tracker'!Q78)</ns0:f>
      </ns0:c>
      <ns0:c r="R291" t="str">
        <ns0:f>IF(J291="","",'Project Tracker'!J78)</ns0:f>
      </ns0:c>
    </ns0:row>
    <ns0:row r="292">
      <ns0:c r="J292" t="str">
        <ns0:f>IF('Project Tracker'!A78="","",TRIM(MID(SUBSTITUTE('Project Tracker'!K78,";",REPT(" ",150)),151,150)))</ns0:f>
      </ns0:c>
      <ns0:c r="K292" t="str">
        <ns0:f>IF(J292="","",IF(COUNTIFS($J$7:J292,J292)=1,MAX($K$6:K291)+1,""))</ns0:f>
      </ns0:c>
      <ns0:c r="M292" t="str">
        <ns0:f>IF(J292="","",'Project Tracker'!A78)</ns0:f>
      </ns0:c>
      <ns0:c r="N292" t="str">
        <ns0:f>IF(J292="","",'Project Tracker'!N78)</ns0:f>
      </ns0:c>
      <ns0:c r="O292" t="str">
        <ns0:f>IF(J292="","",'Project Tracker'!E78)</ns0:f>
      </ns0:c>
      <ns0:c r="P292" t="str">
        <ns0:f>IF(J292="","",'Project Tracker'!F78)</ns0:f>
      </ns0:c>
      <ns0:c r="Q292" t="str">
        <ns0:f>IF(J292="","",'Project Tracker'!Q78)</ns0:f>
      </ns0:c>
      <ns0:c r="R292" t="str">
        <ns0:f>IF(J292="","",'Project Tracker'!J78)</ns0:f>
      </ns0:c>
    </ns0:row>
    <ns0:row r="293">
      <ns0:c r="J293" t="str">
        <ns0:f>IF('Project Tracker'!A78="","",TRIM(MID(SUBSTITUTE('Project Tracker'!K78,";",REPT(" ",150)),301,150)))</ns0:f>
      </ns0:c>
      <ns0:c r="K293" t="str">
        <ns0:f>IF(J293="","",IF(COUNTIFS($J$7:J293,J293)=1,MAX($K$6:K292)+1,""))</ns0:f>
      </ns0:c>
      <ns0:c r="M293" t="str">
        <ns0:f>IF(J293="","",'Project Tracker'!A78)</ns0:f>
      </ns0:c>
      <ns0:c r="N293" t="str">
        <ns0:f>IF(J293="","",'Project Tracker'!N78)</ns0:f>
      </ns0:c>
      <ns0:c r="O293" t="str">
        <ns0:f>IF(J293="","",'Project Tracker'!E78)</ns0:f>
      </ns0:c>
      <ns0:c r="P293" t="str">
        <ns0:f>IF(J293="","",'Project Tracker'!F78)</ns0:f>
      </ns0:c>
      <ns0:c r="Q293" t="str">
        <ns0:f>IF(J293="","",'Project Tracker'!Q78)</ns0:f>
      </ns0:c>
      <ns0:c r="R293" t="str">
        <ns0:f>IF(J293="","",'Project Tracker'!J78)</ns0:f>
      </ns0:c>
    </ns0:row>
    <ns0:row r="294">
      <ns0:c r="J294" t="str">
        <ns0:f>IF('Project Tracker'!A78="","",TRIM(MID(SUBSTITUTE('Project Tracker'!K78,";",REPT(" ",150)),451,150)))</ns0:f>
      </ns0:c>
      <ns0:c r="K294" t="str">
        <ns0:f>IF(J294="","",IF(COUNTIFS($J$7:J294,J294)=1,MAX($K$6:K293)+1,""))</ns0:f>
      </ns0:c>
      <ns0:c r="M294" t="str">
        <ns0:f>IF(J294="","",'Project Tracker'!A78)</ns0:f>
      </ns0:c>
      <ns0:c r="N294" t="str">
        <ns0:f>IF(J294="","",'Project Tracker'!N78)</ns0:f>
      </ns0:c>
      <ns0:c r="O294" t="str">
        <ns0:f>IF(J294="","",'Project Tracker'!E78)</ns0:f>
      </ns0:c>
      <ns0:c r="P294" t="str">
        <ns0:f>IF(J294="","",'Project Tracker'!F78)</ns0:f>
      </ns0:c>
      <ns0:c r="Q294" t="str">
        <ns0:f>IF(J294="","",'Project Tracker'!Q78)</ns0:f>
      </ns0:c>
      <ns0:c r="R294" t="str">
        <ns0:f>IF(J294="","",'Project Tracker'!J78)</ns0:f>
      </ns0:c>
    </ns0:row>
    <ns0:row r="295">
      <ns0:c r="J295" t="str">
        <ns0:f>IF('Project Tracker'!A79="","",TRIM(MID(SUBSTITUTE('Project Tracker'!K79,";",REPT(" ",150)),1,150)))</ns0:f>
      </ns0:c>
      <ns0:c r="K295" t="str">
        <ns0:f>IF(J295="","",IF(COUNTIFS($J$7:J295,J295)=1,MAX($K$6:K294)+1,""))</ns0:f>
      </ns0:c>
      <ns0:c r="M295" t="str">
        <ns0:f>IF(J295="","",'Project Tracker'!A79)</ns0:f>
      </ns0:c>
      <ns0:c r="N295" t="str">
        <ns0:f>IF(J295="","",'Project Tracker'!N79)</ns0:f>
      </ns0:c>
      <ns0:c r="O295" t="str">
        <ns0:f>IF(J295="","",'Project Tracker'!E79)</ns0:f>
      </ns0:c>
      <ns0:c r="P295" t="str">
        <ns0:f>IF(J295="","",'Project Tracker'!F79)</ns0:f>
      </ns0:c>
      <ns0:c r="Q295" t="str">
        <ns0:f>IF(J295="","",'Project Tracker'!Q79)</ns0:f>
      </ns0:c>
      <ns0:c r="R295" t="str">
        <ns0:f>IF(J295="","",'Project Tracker'!J79)</ns0:f>
      </ns0:c>
    </ns0:row>
    <ns0:row r="296">
      <ns0:c r="J296" t="str">
        <ns0:f>IF('Project Tracker'!A79="","",TRIM(MID(SUBSTITUTE('Project Tracker'!K79,";",REPT(" ",150)),151,150)))</ns0:f>
      </ns0:c>
      <ns0:c r="K296" t="str">
        <ns0:f>IF(J296="","",IF(COUNTIFS($J$7:J296,J296)=1,MAX($K$6:K295)+1,""))</ns0:f>
      </ns0:c>
      <ns0:c r="M296" t="str">
        <ns0:f>IF(J296="","",'Project Tracker'!A79)</ns0:f>
      </ns0:c>
      <ns0:c r="N296" t="str">
        <ns0:f>IF(J296="","",'Project Tracker'!N79)</ns0:f>
      </ns0:c>
      <ns0:c r="O296" t="str">
        <ns0:f>IF(J296="","",'Project Tracker'!E79)</ns0:f>
      </ns0:c>
      <ns0:c r="P296" t="str">
        <ns0:f>IF(J296="","",'Project Tracker'!F79)</ns0:f>
      </ns0:c>
      <ns0:c r="Q296" t="str">
        <ns0:f>IF(J296="","",'Project Tracker'!Q79)</ns0:f>
      </ns0:c>
      <ns0:c r="R296" t="str">
        <ns0:f>IF(J296="","",'Project Tracker'!J79)</ns0:f>
      </ns0:c>
    </ns0:row>
    <ns0:row r="297">
      <ns0:c r="J297" t="str">
        <ns0:f>IF('Project Tracker'!A79="","",TRIM(MID(SUBSTITUTE('Project Tracker'!K79,";",REPT(" ",150)),301,150)))</ns0:f>
      </ns0:c>
      <ns0:c r="K297" t="str">
        <ns0:f>IF(J297="","",IF(COUNTIFS($J$7:J297,J297)=1,MAX($K$6:K296)+1,""))</ns0:f>
      </ns0:c>
      <ns0:c r="M297" t="str">
        <ns0:f>IF(J297="","",'Project Tracker'!A79)</ns0:f>
      </ns0:c>
      <ns0:c r="N297" t="str">
        <ns0:f>IF(J297="","",'Project Tracker'!N79)</ns0:f>
      </ns0:c>
      <ns0:c r="O297" t="str">
        <ns0:f>IF(J297="","",'Project Tracker'!E79)</ns0:f>
      </ns0:c>
      <ns0:c r="P297" t="str">
        <ns0:f>IF(J297="","",'Project Tracker'!F79)</ns0:f>
      </ns0:c>
      <ns0:c r="Q297" t="str">
        <ns0:f>IF(J297="","",'Project Tracker'!Q79)</ns0:f>
      </ns0:c>
      <ns0:c r="R297" t="str">
        <ns0:f>IF(J297="","",'Project Tracker'!J79)</ns0:f>
      </ns0:c>
    </ns0:row>
    <ns0:row r="298">
      <ns0:c r="J298" t="str">
        <ns0:f>IF('Project Tracker'!A79="","",TRIM(MID(SUBSTITUTE('Project Tracker'!K79,";",REPT(" ",150)),451,150)))</ns0:f>
      </ns0:c>
      <ns0:c r="K298" t="str">
        <ns0:f>IF(J298="","",IF(COUNTIFS($J$7:J298,J298)=1,MAX($K$6:K297)+1,""))</ns0:f>
      </ns0:c>
      <ns0:c r="M298" t="str">
        <ns0:f>IF(J298="","",'Project Tracker'!A79)</ns0:f>
      </ns0:c>
      <ns0:c r="N298" t="str">
        <ns0:f>IF(J298="","",'Project Tracker'!N79)</ns0:f>
      </ns0:c>
      <ns0:c r="O298" t="str">
        <ns0:f>IF(J298="","",'Project Tracker'!E79)</ns0:f>
      </ns0:c>
      <ns0:c r="P298" t="str">
        <ns0:f>IF(J298="","",'Project Tracker'!F79)</ns0:f>
      </ns0:c>
      <ns0:c r="Q298" t="str">
        <ns0:f>IF(J298="","",'Project Tracker'!Q79)</ns0:f>
      </ns0:c>
      <ns0:c r="R298" t="str">
        <ns0:f>IF(J298="","",'Project Tracker'!J79)</ns0:f>
      </ns0:c>
    </ns0:row>
    <ns0:row r="299">
      <ns0:c r="J299" t="str">
        <ns0:f>IF('Project Tracker'!A80="","",TRIM(MID(SUBSTITUTE('Project Tracker'!K80,";",REPT(" ",150)),1,150)))</ns0:f>
      </ns0:c>
      <ns0:c r="K299" t="str">
        <ns0:f>IF(J299="","",IF(COUNTIFS($J$7:J299,J299)=1,MAX($K$6:K298)+1,""))</ns0:f>
      </ns0:c>
      <ns0:c r="M299" t="str">
        <ns0:f>IF(J299="","",'Project Tracker'!A80)</ns0:f>
      </ns0:c>
      <ns0:c r="N299" t="str">
        <ns0:f>IF(J299="","",'Project Tracker'!N80)</ns0:f>
      </ns0:c>
      <ns0:c r="O299" t="str">
        <ns0:f>IF(J299="","",'Project Tracker'!E80)</ns0:f>
      </ns0:c>
      <ns0:c r="P299" t="str">
        <ns0:f>IF(J299="","",'Project Tracker'!F80)</ns0:f>
      </ns0:c>
      <ns0:c r="Q299" t="str">
        <ns0:f>IF(J299="","",'Project Tracker'!Q80)</ns0:f>
      </ns0:c>
      <ns0:c r="R299" t="str">
        <ns0:f>IF(J299="","",'Project Tracker'!J80)</ns0:f>
      </ns0:c>
    </ns0:row>
    <ns0:row r="300">
      <ns0:c r="J300" t="str">
        <ns0:f>IF('Project Tracker'!A80="","",TRIM(MID(SUBSTITUTE('Project Tracker'!K80,";",REPT(" ",150)),151,150)))</ns0:f>
      </ns0:c>
      <ns0:c r="K300" t="str">
        <ns0:f>IF(J300="","",IF(COUNTIFS($J$7:J300,J300)=1,MAX($K$6:K299)+1,""))</ns0:f>
      </ns0:c>
      <ns0:c r="M300" t="str">
        <ns0:f>IF(J300="","",'Project Tracker'!A80)</ns0:f>
      </ns0:c>
      <ns0:c r="N300" t="str">
        <ns0:f>IF(J300="","",'Project Tracker'!N80)</ns0:f>
      </ns0:c>
      <ns0:c r="O300" t="str">
        <ns0:f>IF(J300="","",'Project Tracker'!E80)</ns0:f>
      </ns0:c>
      <ns0:c r="P300" t="str">
        <ns0:f>IF(J300="","",'Project Tracker'!F80)</ns0:f>
      </ns0:c>
      <ns0:c r="Q300" t="str">
        <ns0:f>IF(J300="","",'Project Tracker'!Q80)</ns0:f>
      </ns0:c>
      <ns0:c r="R300" t="str">
        <ns0:f>IF(J300="","",'Project Tracker'!J80)</ns0:f>
      </ns0:c>
    </ns0:row>
    <ns0:row r="301">
      <ns0:c r="J301" t="str">
        <ns0:f>IF('Project Tracker'!A80="","",TRIM(MID(SUBSTITUTE('Project Tracker'!K80,";",REPT(" ",150)),301,150)))</ns0:f>
      </ns0:c>
      <ns0:c r="K301" t="str">
        <ns0:f>IF(J301="","",IF(COUNTIFS($J$7:J301,J301)=1,MAX($K$6:K300)+1,""))</ns0:f>
      </ns0:c>
      <ns0:c r="M301" t="str">
        <ns0:f>IF(J301="","",'Project Tracker'!A80)</ns0:f>
      </ns0:c>
      <ns0:c r="N301" t="str">
        <ns0:f>IF(J301="","",'Project Tracker'!N80)</ns0:f>
      </ns0:c>
      <ns0:c r="O301" t="str">
        <ns0:f>IF(J301="","",'Project Tracker'!E80)</ns0:f>
      </ns0:c>
      <ns0:c r="P301" t="str">
        <ns0:f>IF(J301="","",'Project Tracker'!F80)</ns0:f>
      </ns0:c>
      <ns0:c r="Q301" t="str">
        <ns0:f>IF(J301="","",'Project Tracker'!Q80)</ns0:f>
      </ns0:c>
      <ns0:c r="R301" t="str">
        <ns0:f>IF(J301="","",'Project Tracker'!J80)</ns0:f>
      </ns0:c>
    </ns0:row>
    <ns0:row r="302">
      <ns0:c r="J302" t="str">
        <ns0:f>IF('Project Tracker'!A80="","",TRIM(MID(SUBSTITUTE('Project Tracker'!K80,";",REPT(" ",150)),451,150)))</ns0:f>
      </ns0:c>
      <ns0:c r="K302" t="str">
        <ns0:f>IF(J302="","",IF(COUNTIFS($J$7:J302,J302)=1,MAX($K$6:K301)+1,""))</ns0:f>
      </ns0:c>
      <ns0:c r="M302" t="str">
        <ns0:f>IF(J302="","",'Project Tracker'!A80)</ns0:f>
      </ns0:c>
      <ns0:c r="N302" t="str">
        <ns0:f>IF(J302="","",'Project Tracker'!N80)</ns0:f>
      </ns0:c>
      <ns0:c r="O302" t="str">
        <ns0:f>IF(J302="","",'Project Tracker'!E80)</ns0:f>
      </ns0:c>
      <ns0:c r="P302" t="str">
        <ns0:f>IF(J302="","",'Project Tracker'!F80)</ns0:f>
      </ns0:c>
      <ns0:c r="Q302" t="str">
        <ns0:f>IF(J302="","",'Project Tracker'!Q80)</ns0:f>
      </ns0:c>
      <ns0:c r="R302" t="str">
        <ns0:f>IF(J302="","",'Project Tracker'!J80)</ns0:f>
      </ns0:c>
    </ns0:row>
    <ns0:row r="303">
      <ns0:c r="J303" t="str">
        <ns0:f>IF('Project Tracker'!A81="","",TRIM(MID(SUBSTITUTE('Project Tracker'!K81,";",REPT(" ",150)),1,150)))</ns0:f>
      </ns0:c>
      <ns0:c r="K303" t="str">
        <ns0:f>IF(J303="","",IF(COUNTIFS($J$7:J303,J303)=1,MAX($K$6:K302)+1,""))</ns0:f>
      </ns0:c>
      <ns0:c r="M303" t="str">
        <ns0:f>IF(J303="","",'Project Tracker'!A81)</ns0:f>
      </ns0:c>
      <ns0:c r="N303" t="str">
        <ns0:f>IF(J303="","",'Project Tracker'!N81)</ns0:f>
      </ns0:c>
      <ns0:c r="O303" t="str">
        <ns0:f>IF(J303="","",'Project Tracker'!E81)</ns0:f>
      </ns0:c>
      <ns0:c r="P303" t="str">
        <ns0:f>IF(J303="","",'Project Tracker'!F81)</ns0:f>
      </ns0:c>
      <ns0:c r="Q303" t="str">
        <ns0:f>IF(J303="","",'Project Tracker'!Q81)</ns0:f>
      </ns0:c>
      <ns0:c r="R303" t="str">
        <ns0:f>IF(J303="","",'Project Tracker'!J81)</ns0:f>
      </ns0:c>
    </ns0:row>
    <ns0:row r="304">
      <ns0:c r="J304" t="str">
        <ns0:f>IF('Project Tracker'!A81="","",TRIM(MID(SUBSTITUTE('Project Tracker'!K81,";",REPT(" ",150)),151,150)))</ns0:f>
      </ns0:c>
      <ns0:c r="K304" t="str">
        <ns0:f>IF(J304="","",IF(COUNTIFS($J$7:J304,J304)=1,MAX($K$6:K303)+1,""))</ns0:f>
      </ns0:c>
      <ns0:c r="M304" t="str">
        <ns0:f>IF(J304="","",'Project Tracker'!A81)</ns0:f>
      </ns0:c>
      <ns0:c r="N304" t="str">
        <ns0:f>IF(J304="","",'Project Tracker'!N81)</ns0:f>
      </ns0:c>
      <ns0:c r="O304" t="str">
        <ns0:f>IF(J304="","",'Project Tracker'!E81)</ns0:f>
      </ns0:c>
      <ns0:c r="P304" t="str">
        <ns0:f>IF(J304="","",'Project Tracker'!F81)</ns0:f>
      </ns0:c>
      <ns0:c r="Q304" t="str">
        <ns0:f>IF(J304="","",'Project Tracker'!Q81)</ns0:f>
      </ns0:c>
      <ns0:c r="R304" t="str">
        <ns0:f>IF(J304="","",'Project Tracker'!J81)</ns0:f>
      </ns0:c>
    </ns0:row>
    <ns0:row r="305">
      <ns0:c r="J305" t="str">
        <ns0:f>IF('Project Tracker'!A81="","",TRIM(MID(SUBSTITUTE('Project Tracker'!K81,";",REPT(" ",150)),301,150)))</ns0:f>
      </ns0:c>
      <ns0:c r="K305" t="str">
        <ns0:f>IF(J305="","",IF(COUNTIFS($J$7:J305,J305)=1,MAX($K$6:K304)+1,""))</ns0:f>
      </ns0:c>
      <ns0:c r="M305" t="str">
        <ns0:f>IF(J305="","",'Project Tracker'!A81)</ns0:f>
      </ns0:c>
      <ns0:c r="N305" t="str">
        <ns0:f>IF(J305="","",'Project Tracker'!N81)</ns0:f>
      </ns0:c>
      <ns0:c r="O305" t="str">
        <ns0:f>IF(J305="","",'Project Tracker'!E81)</ns0:f>
      </ns0:c>
      <ns0:c r="P305" t="str">
        <ns0:f>IF(J305="","",'Project Tracker'!F81)</ns0:f>
      </ns0:c>
      <ns0:c r="Q305" t="str">
        <ns0:f>IF(J305="","",'Project Tracker'!Q81)</ns0:f>
      </ns0:c>
      <ns0:c r="R305" t="str">
        <ns0:f>IF(J305="","",'Project Tracker'!J81)</ns0:f>
      </ns0:c>
    </ns0:row>
    <ns0:row r="306">
      <ns0:c r="J306" t="str">
        <ns0:f>IF('Project Tracker'!A81="","",TRIM(MID(SUBSTITUTE('Project Tracker'!K81,";",REPT(" ",150)),451,150)))</ns0:f>
      </ns0:c>
      <ns0:c r="K306" t="str">
        <ns0:f>IF(J306="","",IF(COUNTIFS($J$7:J306,J306)=1,MAX($K$6:K305)+1,""))</ns0:f>
      </ns0:c>
      <ns0:c r="M306" t="str">
        <ns0:f>IF(J306="","",'Project Tracker'!A81)</ns0:f>
      </ns0:c>
      <ns0:c r="N306" t="str">
        <ns0:f>IF(J306="","",'Project Tracker'!N81)</ns0:f>
      </ns0:c>
      <ns0:c r="O306" t="str">
        <ns0:f>IF(J306="","",'Project Tracker'!E81)</ns0:f>
      </ns0:c>
      <ns0:c r="P306" t="str">
        <ns0:f>IF(J306="","",'Project Tracker'!F81)</ns0:f>
      </ns0:c>
      <ns0:c r="Q306" t="str">
        <ns0:f>IF(J306="","",'Project Tracker'!Q81)</ns0:f>
      </ns0:c>
      <ns0:c r="R306" t="str">
        <ns0:f>IF(J306="","",'Project Tracker'!J81)</ns0:f>
      </ns0:c>
    </ns0:row>
    <ns0:row r="307">
      <ns0:c r="J307" t="str">
        <ns0:f>IF('Project Tracker'!A82="","",TRIM(MID(SUBSTITUTE('Project Tracker'!K82,";",REPT(" ",150)),1,150)))</ns0:f>
      </ns0:c>
      <ns0:c r="K307" t="str">
        <ns0:f>IF(J307="","",IF(COUNTIFS($J$7:J307,J307)=1,MAX($K$6:K306)+1,""))</ns0:f>
      </ns0:c>
      <ns0:c r="M307" t="str">
        <ns0:f>IF(J307="","",'Project Tracker'!A82)</ns0:f>
      </ns0:c>
      <ns0:c r="N307" t="str">
        <ns0:f>IF(J307="","",'Project Tracker'!N82)</ns0:f>
      </ns0:c>
      <ns0:c r="O307" t="str">
        <ns0:f>IF(J307="","",'Project Tracker'!E82)</ns0:f>
      </ns0:c>
      <ns0:c r="P307" t="str">
        <ns0:f>IF(J307="","",'Project Tracker'!F82)</ns0:f>
      </ns0:c>
      <ns0:c r="Q307" t="str">
        <ns0:f>IF(J307="","",'Project Tracker'!Q82)</ns0:f>
      </ns0:c>
      <ns0:c r="R307" t="str">
        <ns0:f>IF(J307="","",'Project Tracker'!J82)</ns0:f>
      </ns0:c>
    </ns0:row>
    <ns0:row r="308">
      <ns0:c r="J308" t="str">
        <ns0:f>IF('Project Tracker'!A82="","",TRIM(MID(SUBSTITUTE('Project Tracker'!K82,";",REPT(" ",150)),151,150)))</ns0:f>
      </ns0:c>
      <ns0:c r="K308" t="str">
        <ns0:f>IF(J308="","",IF(COUNTIFS($J$7:J308,J308)=1,MAX($K$6:K307)+1,""))</ns0:f>
      </ns0:c>
      <ns0:c r="M308" t="str">
        <ns0:f>IF(J308="","",'Project Tracker'!A82)</ns0:f>
      </ns0:c>
      <ns0:c r="N308" t="str">
        <ns0:f>IF(J308="","",'Project Tracker'!N82)</ns0:f>
      </ns0:c>
      <ns0:c r="O308" t="str">
        <ns0:f>IF(J308="","",'Project Tracker'!E82)</ns0:f>
      </ns0:c>
      <ns0:c r="P308" t="str">
        <ns0:f>IF(J308="","",'Project Tracker'!F82)</ns0:f>
      </ns0:c>
      <ns0:c r="Q308" t="str">
        <ns0:f>IF(J308="","",'Project Tracker'!Q82)</ns0:f>
      </ns0:c>
      <ns0:c r="R308" t="str">
        <ns0:f>IF(J308="","",'Project Tracker'!J82)</ns0:f>
      </ns0:c>
    </ns0:row>
    <ns0:row r="309">
      <ns0:c r="J309" t="str">
        <ns0:f>IF('Project Tracker'!A82="","",TRIM(MID(SUBSTITUTE('Project Tracker'!K82,";",REPT(" ",150)),301,150)))</ns0:f>
      </ns0:c>
      <ns0:c r="K309" t="str">
        <ns0:f>IF(J309="","",IF(COUNTIFS($J$7:J309,J309)=1,MAX($K$6:K308)+1,""))</ns0:f>
      </ns0:c>
      <ns0:c r="M309" t="str">
        <ns0:f>IF(J309="","",'Project Tracker'!A82)</ns0:f>
      </ns0:c>
      <ns0:c r="N309" t="str">
        <ns0:f>IF(J309="","",'Project Tracker'!N82)</ns0:f>
      </ns0:c>
      <ns0:c r="O309" t="str">
        <ns0:f>IF(J309="","",'Project Tracker'!E82)</ns0:f>
      </ns0:c>
      <ns0:c r="P309" t="str">
        <ns0:f>IF(J309="","",'Project Tracker'!F82)</ns0:f>
      </ns0:c>
      <ns0:c r="Q309" t="str">
        <ns0:f>IF(J309="","",'Project Tracker'!Q82)</ns0:f>
      </ns0:c>
      <ns0:c r="R309" t="str">
        <ns0:f>IF(J309="","",'Project Tracker'!J82)</ns0:f>
      </ns0:c>
    </ns0:row>
    <ns0:row r="310">
      <ns0:c r="J310" t="str">
        <ns0:f>IF('Project Tracker'!A82="","",TRIM(MID(SUBSTITUTE('Project Tracker'!K82,";",REPT(" ",150)),451,150)))</ns0:f>
      </ns0:c>
      <ns0:c r="K310" t="str">
        <ns0:f>IF(J310="","",IF(COUNTIFS($J$7:J310,J310)=1,MAX($K$6:K309)+1,""))</ns0:f>
      </ns0:c>
      <ns0:c r="M310" t="str">
        <ns0:f>IF(J310="","",'Project Tracker'!A82)</ns0:f>
      </ns0:c>
      <ns0:c r="N310" t="str">
        <ns0:f>IF(J310="","",'Project Tracker'!N82)</ns0:f>
      </ns0:c>
      <ns0:c r="O310" t="str">
        <ns0:f>IF(J310="","",'Project Tracker'!E82)</ns0:f>
      </ns0:c>
      <ns0:c r="P310" t="str">
        <ns0:f>IF(J310="","",'Project Tracker'!F82)</ns0:f>
      </ns0:c>
      <ns0:c r="Q310" t="str">
        <ns0:f>IF(J310="","",'Project Tracker'!Q82)</ns0:f>
      </ns0:c>
      <ns0:c r="R310" t="str">
        <ns0:f>IF(J310="","",'Project Tracker'!J82)</ns0:f>
      </ns0:c>
    </ns0:row>
    <ns0:row r="311">
      <ns0:c r="J311" t="str">
        <ns0:f>IF('Project Tracker'!A83="","",TRIM(MID(SUBSTITUTE('Project Tracker'!K83,";",REPT(" ",150)),1,150)))</ns0:f>
      </ns0:c>
      <ns0:c r="K311" t="str">
        <ns0:f>IF(J311="","",IF(COUNTIFS($J$7:J311,J311)=1,MAX($K$6:K310)+1,""))</ns0:f>
      </ns0:c>
      <ns0:c r="M311" t="str">
        <ns0:f>IF(J311="","",'Project Tracker'!A83)</ns0:f>
      </ns0:c>
      <ns0:c r="N311" t="str">
        <ns0:f>IF(J311="","",'Project Tracker'!N83)</ns0:f>
      </ns0:c>
      <ns0:c r="O311" t="str">
        <ns0:f>IF(J311="","",'Project Tracker'!E83)</ns0:f>
      </ns0:c>
      <ns0:c r="P311" t="str">
        <ns0:f>IF(J311="","",'Project Tracker'!F83)</ns0:f>
      </ns0:c>
      <ns0:c r="Q311" t="str">
        <ns0:f>IF(J311="","",'Project Tracker'!Q83)</ns0:f>
      </ns0:c>
      <ns0:c r="R311" t="str">
        <ns0:f>IF(J311="","",'Project Tracker'!J83)</ns0:f>
      </ns0:c>
    </ns0:row>
    <ns0:row r="312">
      <ns0:c r="J312" t="str">
        <ns0:f>IF('Project Tracker'!A83="","",TRIM(MID(SUBSTITUTE('Project Tracker'!K83,";",REPT(" ",150)),151,150)))</ns0:f>
      </ns0:c>
      <ns0:c r="K312" t="str">
        <ns0:f>IF(J312="","",IF(COUNTIFS($J$7:J312,J312)=1,MAX($K$6:K311)+1,""))</ns0:f>
      </ns0:c>
      <ns0:c r="M312" t="str">
        <ns0:f>IF(J312="","",'Project Tracker'!A83)</ns0:f>
      </ns0:c>
      <ns0:c r="N312" t="str">
        <ns0:f>IF(J312="","",'Project Tracker'!N83)</ns0:f>
      </ns0:c>
      <ns0:c r="O312" t="str">
        <ns0:f>IF(J312="","",'Project Tracker'!E83)</ns0:f>
      </ns0:c>
      <ns0:c r="P312" t="str">
        <ns0:f>IF(J312="","",'Project Tracker'!F83)</ns0:f>
      </ns0:c>
      <ns0:c r="Q312" t="str">
        <ns0:f>IF(J312="","",'Project Tracker'!Q83)</ns0:f>
      </ns0:c>
      <ns0:c r="R312" t="str">
        <ns0:f>IF(J312="","",'Project Tracker'!J83)</ns0:f>
      </ns0:c>
    </ns0:row>
    <ns0:row r="313">
      <ns0:c r="J313" t="str">
        <ns0:f>IF('Project Tracker'!A83="","",TRIM(MID(SUBSTITUTE('Project Tracker'!K83,";",REPT(" ",150)),301,150)))</ns0:f>
      </ns0:c>
      <ns0:c r="K313" t="str">
        <ns0:f>IF(J313="","",IF(COUNTIFS($J$7:J313,J313)=1,MAX($K$6:K312)+1,""))</ns0:f>
      </ns0:c>
      <ns0:c r="M313" t="str">
        <ns0:f>IF(J313="","",'Project Tracker'!A83)</ns0:f>
      </ns0:c>
      <ns0:c r="N313" t="str">
        <ns0:f>IF(J313="","",'Project Tracker'!N83)</ns0:f>
      </ns0:c>
      <ns0:c r="O313" t="str">
        <ns0:f>IF(J313="","",'Project Tracker'!E83)</ns0:f>
      </ns0:c>
      <ns0:c r="P313" t="str">
        <ns0:f>IF(J313="","",'Project Tracker'!F83)</ns0:f>
      </ns0:c>
      <ns0:c r="Q313" t="str">
        <ns0:f>IF(J313="","",'Project Tracker'!Q83)</ns0:f>
      </ns0:c>
      <ns0:c r="R313" t="str">
        <ns0:f>IF(J313="","",'Project Tracker'!J83)</ns0:f>
      </ns0:c>
    </ns0:row>
    <ns0:row r="314">
      <ns0:c r="J314" t="str">
        <ns0:f>IF('Project Tracker'!A83="","",TRIM(MID(SUBSTITUTE('Project Tracker'!K83,";",REPT(" ",150)),451,150)))</ns0:f>
      </ns0:c>
      <ns0:c r="K314" t="str">
        <ns0:f>IF(J314="","",IF(COUNTIFS($J$7:J314,J314)=1,MAX($K$6:K313)+1,""))</ns0:f>
      </ns0:c>
      <ns0:c r="M314" t="str">
        <ns0:f>IF(J314="","",'Project Tracker'!A83)</ns0:f>
      </ns0:c>
      <ns0:c r="N314" t="str">
        <ns0:f>IF(J314="","",'Project Tracker'!N83)</ns0:f>
      </ns0:c>
      <ns0:c r="O314" t="str">
        <ns0:f>IF(J314="","",'Project Tracker'!E83)</ns0:f>
      </ns0:c>
      <ns0:c r="P314" t="str">
        <ns0:f>IF(J314="","",'Project Tracker'!F83)</ns0:f>
      </ns0:c>
      <ns0:c r="Q314" t="str">
        <ns0:f>IF(J314="","",'Project Tracker'!Q83)</ns0:f>
      </ns0:c>
      <ns0:c r="R314" t="str">
        <ns0:f>IF(J314="","",'Project Tracker'!J83)</ns0:f>
      </ns0:c>
    </ns0:row>
    <ns0:row r="315">
      <ns0:c r="J315" t="str">
        <ns0:f>IF('Project Tracker'!A84="","",TRIM(MID(SUBSTITUTE('Project Tracker'!K84,";",REPT(" ",150)),1,150)))</ns0:f>
      </ns0:c>
      <ns0:c r="K315" t="str">
        <ns0:f>IF(J315="","",IF(COUNTIFS($J$7:J315,J315)=1,MAX($K$6:K314)+1,""))</ns0:f>
      </ns0:c>
      <ns0:c r="M315" t="str">
        <ns0:f>IF(J315="","",'Project Tracker'!A84)</ns0:f>
      </ns0:c>
      <ns0:c r="N315" t="str">
        <ns0:f>IF(J315="","",'Project Tracker'!N84)</ns0:f>
      </ns0:c>
      <ns0:c r="O315" t="str">
        <ns0:f>IF(J315="","",'Project Tracker'!E84)</ns0:f>
      </ns0:c>
      <ns0:c r="P315" t="str">
        <ns0:f>IF(J315="","",'Project Tracker'!F84)</ns0:f>
      </ns0:c>
      <ns0:c r="Q315" t="str">
        <ns0:f>IF(J315="","",'Project Tracker'!Q84)</ns0:f>
      </ns0:c>
      <ns0:c r="R315" t="str">
        <ns0:f>IF(J315="","",'Project Tracker'!J84)</ns0:f>
      </ns0:c>
    </ns0:row>
    <ns0:row r="316">
      <ns0:c r="J316" t="str">
        <ns0:f>IF('Project Tracker'!A84="","",TRIM(MID(SUBSTITUTE('Project Tracker'!K84,";",REPT(" ",150)),151,150)))</ns0:f>
      </ns0:c>
      <ns0:c r="K316" t="str">
        <ns0:f>IF(J316="","",IF(COUNTIFS($J$7:J316,J316)=1,MAX($K$6:K315)+1,""))</ns0:f>
      </ns0:c>
      <ns0:c r="M316" t="str">
        <ns0:f>IF(J316="","",'Project Tracker'!A84)</ns0:f>
      </ns0:c>
      <ns0:c r="N316" t="str">
        <ns0:f>IF(J316="","",'Project Tracker'!N84)</ns0:f>
      </ns0:c>
      <ns0:c r="O316" t="str">
        <ns0:f>IF(J316="","",'Project Tracker'!E84)</ns0:f>
      </ns0:c>
      <ns0:c r="P316" t="str">
        <ns0:f>IF(J316="","",'Project Tracker'!F84)</ns0:f>
      </ns0:c>
      <ns0:c r="Q316" t="str">
        <ns0:f>IF(J316="","",'Project Tracker'!Q84)</ns0:f>
      </ns0:c>
      <ns0:c r="R316" t="str">
        <ns0:f>IF(J316="","",'Project Tracker'!J84)</ns0:f>
      </ns0:c>
    </ns0:row>
    <ns0:row r="317">
      <ns0:c r="J317" t="str">
        <ns0:f>IF('Project Tracker'!A84="","",TRIM(MID(SUBSTITUTE('Project Tracker'!K84,";",REPT(" ",150)),301,150)))</ns0:f>
      </ns0:c>
      <ns0:c r="K317" t="str">
        <ns0:f>IF(J317="","",IF(COUNTIFS($J$7:J317,J317)=1,MAX($K$6:K316)+1,""))</ns0:f>
      </ns0:c>
      <ns0:c r="M317" t="str">
        <ns0:f>IF(J317="","",'Project Tracker'!A84)</ns0:f>
      </ns0:c>
      <ns0:c r="N317" t="str">
        <ns0:f>IF(J317="","",'Project Tracker'!N84)</ns0:f>
      </ns0:c>
      <ns0:c r="O317" t="str">
        <ns0:f>IF(J317="","",'Project Tracker'!E84)</ns0:f>
      </ns0:c>
      <ns0:c r="P317" t="str">
        <ns0:f>IF(J317="","",'Project Tracker'!F84)</ns0:f>
      </ns0:c>
      <ns0:c r="Q317" t="str">
        <ns0:f>IF(J317="","",'Project Tracker'!Q84)</ns0:f>
      </ns0:c>
      <ns0:c r="R317" t="str">
        <ns0:f>IF(J317="","",'Project Tracker'!J84)</ns0:f>
      </ns0:c>
    </ns0:row>
    <ns0:row r="318">
      <ns0:c r="J318" t="str">
        <ns0:f>IF('Project Tracker'!A84="","",TRIM(MID(SUBSTITUTE('Project Tracker'!K84,";",REPT(" ",150)),451,150)))</ns0:f>
      </ns0:c>
      <ns0:c r="K318" t="str">
        <ns0:f>IF(J318="","",IF(COUNTIFS($J$7:J318,J318)=1,MAX($K$6:K317)+1,""))</ns0:f>
      </ns0:c>
      <ns0:c r="M318" t="str">
        <ns0:f>IF(J318="","",'Project Tracker'!A84)</ns0:f>
      </ns0:c>
      <ns0:c r="N318" t="str">
        <ns0:f>IF(J318="","",'Project Tracker'!N84)</ns0:f>
      </ns0:c>
      <ns0:c r="O318" t="str">
        <ns0:f>IF(J318="","",'Project Tracker'!E84)</ns0:f>
      </ns0:c>
      <ns0:c r="P318" t="str">
        <ns0:f>IF(J318="","",'Project Tracker'!F84)</ns0:f>
      </ns0:c>
      <ns0:c r="Q318" t="str">
        <ns0:f>IF(J318="","",'Project Tracker'!Q84)</ns0:f>
      </ns0:c>
      <ns0:c r="R318" t="str">
        <ns0:f>IF(J318="","",'Project Tracker'!J84)</ns0:f>
      </ns0:c>
    </ns0:row>
    <ns0:row r="319">
      <ns0:c r="J319" t="str">
        <ns0:f>IF('Project Tracker'!A85="","",TRIM(MID(SUBSTITUTE('Project Tracker'!K85,";",REPT(" ",150)),1,150)))</ns0:f>
      </ns0:c>
      <ns0:c r="K319" t="str">
        <ns0:f>IF(J319="","",IF(COUNTIFS($J$7:J319,J319)=1,MAX($K$6:K318)+1,""))</ns0:f>
      </ns0:c>
      <ns0:c r="M319" t="str">
        <ns0:f>IF(J319="","",'Project Tracker'!A85)</ns0:f>
      </ns0:c>
      <ns0:c r="N319" t="str">
        <ns0:f>IF(J319="","",'Project Tracker'!N85)</ns0:f>
      </ns0:c>
      <ns0:c r="O319" t="str">
        <ns0:f>IF(J319="","",'Project Tracker'!E85)</ns0:f>
      </ns0:c>
      <ns0:c r="P319" t="str">
        <ns0:f>IF(J319="","",'Project Tracker'!F85)</ns0:f>
      </ns0:c>
      <ns0:c r="Q319" t="str">
        <ns0:f>IF(J319="","",'Project Tracker'!Q85)</ns0:f>
      </ns0:c>
      <ns0:c r="R319" t="str">
        <ns0:f>IF(J319="","",'Project Tracker'!J85)</ns0:f>
      </ns0:c>
    </ns0:row>
    <ns0:row r="320">
      <ns0:c r="J320" t="str">
        <ns0:f>IF('Project Tracker'!A85="","",TRIM(MID(SUBSTITUTE('Project Tracker'!K85,";",REPT(" ",150)),151,150)))</ns0:f>
      </ns0:c>
      <ns0:c r="K320" t="str">
        <ns0:f>IF(J320="","",IF(COUNTIFS($J$7:J320,J320)=1,MAX($K$6:K319)+1,""))</ns0:f>
      </ns0:c>
      <ns0:c r="M320" t="str">
        <ns0:f>IF(J320="","",'Project Tracker'!A85)</ns0:f>
      </ns0:c>
      <ns0:c r="N320" t="str">
        <ns0:f>IF(J320="","",'Project Tracker'!N85)</ns0:f>
      </ns0:c>
      <ns0:c r="O320" t="str">
        <ns0:f>IF(J320="","",'Project Tracker'!E85)</ns0:f>
      </ns0:c>
      <ns0:c r="P320" t="str">
        <ns0:f>IF(J320="","",'Project Tracker'!F85)</ns0:f>
      </ns0:c>
      <ns0:c r="Q320" t="str">
        <ns0:f>IF(J320="","",'Project Tracker'!Q85)</ns0:f>
      </ns0:c>
      <ns0:c r="R320" t="str">
        <ns0:f>IF(J320="","",'Project Tracker'!J85)</ns0:f>
      </ns0:c>
    </ns0:row>
    <ns0:row r="321">
      <ns0:c r="J321" t="str">
        <ns0:f>IF('Project Tracker'!A85="","",TRIM(MID(SUBSTITUTE('Project Tracker'!K85,";",REPT(" ",150)),301,150)))</ns0:f>
      </ns0:c>
      <ns0:c r="K321" t="str">
        <ns0:f>IF(J321="","",IF(COUNTIFS($J$7:J321,J321)=1,MAX($K$6:K320)+1,""))</ns0:f>
      </ns0:c>
      <ns0:c r="M321" t="str">
        <ns0:f>IF(J321="","",'Project Tracker'!A85)</ns0:f>
      </ns0:c>
      <ns0:c r="N321" t="str">
        <ns0:f>IF(J321="","",'Project Tracker'!N85)</ns0:f>
      </ns0:c>
      <ns0:c r="O321" t="str">
        <ns0:f>IF(J321="","",'Project Tracker'!E85)</ns0:f>
      </ns0:c>
      <ns0:c r="P321" t="str">
        <ns0:f>IF(J321="","",'Project Tracker'!F85)</ns0:f>
      </ns0:c>
      <ns0:c r="Q321" t="str">
        <ns0:f>IF(J321="","",'Project Tracker'!Q85)</ns0:f>
      </ns0:c>
      <ns0:c r="R321" t="str">
        <ns0:f>IF(J321="","",'Project Tracker'!J85)</ns0:f>
      </ns0:c>
    </ns0:row>
    <ns0:row r="322">
      <ns0:c r="J322" t="str">
        <ns0:f>IF('Project Tracker'!A85="","",TRIM(MID(SUBSTITUTE('Project Tracker'!K85,";",REPT(" ",150)),451,150)))</ns0:f>
      </ns0:c>
      <ns0:c r="K322" t="str">
        <ns0:f>IF(J322="","",IF(COUNTIFS($J$7:J322,J322)=1,MAX($K$6:K321)+1,""))</ns0:f>
      </ns0:c>
      <ns0:c r="M322" t="str">
        <ns0:f>IF(J322="","",'Project Tracker'!A85)</ns0:f>
      </ns0:c>
      <ns0:c r="N322" t="str">
        <ns0:f>IF(J322="","",'Project Tracker'!N85)</ns0:f>
      </ns0:c>
      <ns0:c r="O322" t="str">
        <ns0:f>IF(J322="","",'Project Tracker'!E85)</ns0:f>
      </ns0:c>
      <ns0:c r="P322" t="str">
        <ns0:f>IF(J322="","",'Project Tracker'!F85)</ns0:f>
      </ns0:c>
      <ns0:c r="Q322" t="str">
        <ns0:f>IF(J322="","",'Project Tracker'!Q85)</ns0:f>
      </ns0:c>
      <ns0:c r="R322" t="str">
        <ns0:f>IF(J322="","",'Project Tracker'!J85)</ns0:f>
      </ns0:c>
    </ns0:row>
    <ns0:row r="323">
      <ns0:c r="J323" t="str">
        <ns0:f>IF('Project Tracker'!A86="","",TRIM(MID(SUBSTITUTE('Project Tracker'!K86,";",REPT(" ",150)),1,150)))</ns0:f>
      </ns0:c>
      <ns0:c r="K323" t="str">
        <ns0:f>IF(J323="","",IF(COUNTIFS($J$7:J323,J323)=1,MAX($K$6:K322)+1,""))</ns0:f>
      </ns0:c>
      <ns0:c r="M323" t="str">
        <ns0:f>IF(J323="","",'Project Tracker'!A86)</ns0:f>
      </ns0:c>
      <ns0:c r="N323" t="str">
        <ns0:f>IF(J323="","",'Project Tracker'!N86)</ns0:f>
      </ns0:c>
      <ns0:c r="O323" t="str">
        <ns0:f>IF(J323="","",'Project Tracker'!E86)</ns0:f>
      </ns0:c>
      <ns0:c r="P323" t="str">
        <ns0:f>IF(J323="","",'Project Tracker'!F86)</ns0:f>
      </ns0:c>
      <ns0:c r="Q323" t="str">
        <ns0:f>IF(J323="","",'Project Tracker'!Q86)</ns0:f>
      </ns0:c>
      <ns0:c r="R323" t="str">
        <ns0:f>IF(J323="","",'Project Tracker'!J86)</ns0:f>
      </ns0:c>
    </ns0:row>
    <ns0:row r="324">
      <ns0:c r="J324" t="str">
        <ns0:f>IF('Project Tracker'!A86="","",TRIM(MID(SUBSTITUTE('Project Tracker'!K86,";",REPT(" ",150)),151,150)))</ns0:f>
      </ns0:c>
      <ns0:c r="K324" t="str">
        <ns0:f>IF(J324="","",IF(COUNTIFS($J$7:J324,J324)=1,MAX($K$6:K323)+1,""))</ns0:f>
      </ns0:c>
      <ns0:c r="M324" t="str">
        <ns0:f>IF(J324="","",'Project Tracker'!A86)</ns0:f>
      </ns0:c>
      <ns0:c r="N324" t="str">
        <ns0:f>IF(J324="","",'Project Tracker'!N86)</ns0:f>
      </ns0:c>
      <ns0:c r="O324" t="str">
        <ns0:f>IF(J324="","",'Project Tracker'!E86)</ns0:f>
      </ns0:c>
      <ns0:c r="P324" t="str">
        <ns0:f>IF(J324="","",'Project Tracker'!F86)</ns0:f>
      </ns0:c>
      <ns0:c r="Q324" t="str">
        <ns0:f>IF(J324="","",'Project Tracker'!Q86)</ns0:f>
      </ns0:c>
      <ns0:c r="R324" t="str">
        <ns0:f>IF(J324="","",'Project Tracker'!J86)</ns0:f>
      </ns0:c>
    </ns0:row>
    <ns0:row r="325">
      <ns0:c r="J325" t="str">
        <ns0:f>IF('Project Tracker'!A86="","",TRIM(MID(SUBSTITUTE('Project Tracker'!K86,";",REPT(" ",150)),301,150)))</ns0:f>
      </ns0:c>
      <ns0:c r="K325" t="str">
        <ns0:f>IF(J325="","",IF(COUNTIFS($J$7:J325,J325)=1,MAX($K$6:K324)+1,""))</ns0:f>
      </ns0:c>
      <ns0:c r="M325" t="str">
        <ns0:f>IF(J325="","",'Project Tracker'!A86)</ns0:f>
      </ns0:c>
      <ns0:c r="N325" t="str">
        <ns0:f>IF(J325="","",'Project Tracker'!N86)</ns0:f>
      </ns0:c>
      <ns0:c r="O325" t="str">
        <ns0:f>IF(J325="","",'Project Tracker'!E86)</ns0:f>
      </ns0:c>
      <ns0:c r="P325" t="str">
        <ns0:f>IF(J325="","",'Project Tracker'!F86)</ns0:f>
      </ns0:c>
      <ns0:c r="Q325" t="str">
        <ns0:f>IF(J325="","",'Project Tracker'!Q86)</ns0:f>
      </ns0:c>
      <ns0:c r="R325" t="str">
        <ns0:f>IF(J325="","",'Project Tracker'!J86)</ns0:f>
      </ns0:c>
    </ns0:row>
    <ns0:row r="326">
      <ns0:c r="J326" t="str">
        <ns0:f>IF('Project Tracker'!A86="","",TRIM(MID(SUBSTITUTE('Project Tracker'!K86,";",REPT(" ",150)),451,150)))</ns0:f>
      </ns0:c>
      <ns0:c r="K326" t="str">
        <ns0:f>IF(J326="","",IF(COUNTIFS($J$7:J326,J326)=1,MAX($K$6:K325)+1,""))</ns0:f>
      </ns0:c>
      <ns0:c r="M326" t="str">
        <ns0:f>IF(J326="","",'Project Tracker'!A86)</ns0:f>
      </ns0:c>
      <ns0:c r="N326" t="str">
        <ns0:f>IF(J326="","",'Project Tracker'!N86)</ns0:f>
      </ns0:c>
      <ns0:c r="O326" t="str">
        <ns0:f>IF(J326="","",'Project Tracker'!E86)</ns0:f>
      </ns0:c>
      <ns0:c r="P326" t="str">
        <ns0:f>IF(J326="","",'Project Tracker'!F86)</ns0:f>
      </ns0:c>
      <ns0:c r="Q326" t="str">
        <ns0:f>IF(J326="","",'Project Tracker'!Q86)</ns0:f>
      </ns0:c>
      <ns0:c r="R326" t="str">
        <ns0:f>IF(J326="","",'Project Tracker'!J86)</ns0:f>
      </ns0:c>
    </ns0:row>
    <ns0:row r="327">
      <ns0:c r="J327" t="str">
        <ns0:f>IF('Project Tracker'!A87="","",TRIM(MID(SUBSTITUTE('Project Tracker'!K87,";",REPT(" ",150)),1,150)))</ns0:f>
      </ns0:c>
      <ns0:c r="K327" t="str">
        <ns0:f>IF(J327="","",IF(COUNTIFS($J$7:J327,J327)=1,MAX($K$6:K326)+1,""))</ns0:f>
      </ns0:c>
      <ns0:c r="M327" t="str">
        <ns0:f>IF(J327="","",'Project Tracker'!A87)</ns0:f>
      </ns0:c>
      <ns0:c r="N327" t="str">
        <ns0:f>IF(J327="","",'Project Tracker'!N87)</ns0:f>
      </ns0:c>
      <ns0:c r="O327" t="str">
        <ns0:f>IF(J327="","",'Project Tracker'!E87)</ns0:f>
      </ns0:c>
      <ns0:c r="P327" t="str">
        <ns0:f>IF(J327="","",'Project Tracker'!F87)</ns0:f>
      </ns0:c>
      <ns0:c r="Q327" t="str">
        <ns0:f>IF(J327="","",'Project Tracker'!Q87)</ns0:f>
      </ns0:c>
      <ns0:c r="R327" t="str">
        <ns0:f>IF(J327="","",'Project Tracker'!J87)</ns0:f>
      </ns0:c>
    </ns0:row>
    <ns0:row r="328">
      <ns0:c r="J328" t="str">
        <ns0:f>IF('Project Tracker'!A87="","",TRIM(MID(SUBSTITUTE('Project Tracker'!K87,";",REPT(" ",150)),151,150)))</ns0:f>
      </ns0:c>
      <ns0:c r="K328" t="str">
        <ns0:f>IF(J328="","",IF(COUNTIFS($J$7:J328,J328)=1,MAX($K$6:K327)+1,""))</ns0:f>
      </ns0:c>
      <ns0:c r="M328" t="str">
        <ns0:f>IF(J328="","",'Project Tracker'!A87)</ns0:f>
      </ns0:c>
      <ns0:c r="N328" t="str">
        <ns0:f>IF(J328="","",'Project Tracker'!N87)</ns0:f>
      </ns0:c>
      <ns0:c r="O328" t="str">
        <ns0:f>IF(J328="","",'Project Tracker'!E87)</ns0:f>
      </ns0:c>
      <ns0:c r="P328" t="str">
        <ns0:f>IF(J328="","",'Project Tracker'!F87)</ns0:f>
      </ns0:c>
      <ns0:c r="Q328" t="str">
        <ns0:f>IF(J328="","",'Project Tracker'!Q87)</ns0:f>
      </ns0:c>
      <ns0:c r="R328" t="str">
        <ns0:f>IF(J328="","",'Project Tracker'!J87)</ns0:f>
      </ns0:c>
    </ns0:row>
    <ns0:row r="329">
      <ns0:c r="J329" t="str">
        <ns0:f>IF('Project Tracker'!A87="","",TRIM(MID(SUBSTITUTE('Project Tracker'!K87,";",REPT(" ",150)),301,150)))</ns0:f>
      </ns0:c>
      <ns0:c r="K329" t="str">
        <ns0:f>IF(J329="","",IF(COUNTIFS($J$7:J329,J329)=1,MAX($K$6:K328)+1,""))</ns0:f>
      </ns0:c>
      <ns0:c r="M329" t="str">
        <ns0:f>IF(J329="","",'Project Tracker'!A87)</ns0:f>
      </ns0:c>
      <ns0:c r="N329" t="str">
        <ns0:f>IF(J329="","",'Project Tracker'!N87)</ns0:f>
      </ns0:c>
      <ns0:c r="O329" t="str">
        <ns0:f>IF(J329="","",'Project Tracker'!E87)</ns0:f>
      </ns0:c>
      <ns0:c r="P329" t="str">
        <ns0:f>IF(J329="","",'Project Tracker'!F87)</ns0:f>
      </ns0:c>
      <ns0:c r="Q329" t="str">
        <ns0:f>IF(J329="","",'Project Tracker'!Q87)</ns0:f>
      </ns0:c>
      <ns0:c r="R329" t="str">
        <ns0:f>IF(J329="","",'Project Tracker'!J87)</ns0:f>
      </ns0:c>
    </ns0:row>
    <ns0:row r="330">
      <ns0:c r="J330" t="str">
        <ns0:f>IF('Project Tracker'!A87="","",TRIM(MID(SUBSTITUTE('Project Tracker'!K87,";",REPT(" ",150)),451,150)))</ns0:f>
      </ns0:c>
      <ns0:c r="K330" t="str">
        <ns0:f>IF(J330="","",IF(COUNTIFS($J$7:J330,J330)=1,MAX($K$6:K329)+1,""))</ns0:f>
      </ns0:c>
      <ns0:c r="M330" t="str">
        <ns0:f>IF(J330="","",'Project Tracker'!A87)</ns0:f>
      </ns0:c>
      <ns0:c r="N330" t="str">
        <ns0:f>IF(J330="","",'Project Tracker'!N87)</ns0:f>
      </ns0:c>
      <ns0:c r="O330" t="str">
        <ns0:f>IF(J330="","",'Project Tracker'!E87)</ns0:f>
      </ns0:c>
      <ns0:c r="P330" t="str">
        <ns0:f>IF(J330="","",'Project Tracker'!F87)</ns0:f>
      </ns0:c>
      <ns0:c r="Q330" t="str">
        <ns0:f>IF(J330="","",'Project Tracker'!Q87)</ns0:f>
      </ns0:c>
      <ns0:c r="R330" t="str">
        <ns0:f>IF(J330="","",'Project Tracker'!J87)</ns0:f>
      </ns0:c>
    </ns0:row>
    <ns0:row r="331">
      <ns0:c r="J331" t="str">
        <ns0:f>IF('Project Tracker'!A88="","",TRIM(MID(SUBSTITUTE('Project Tracker'!K88,";",REPT(" ",150)),1,150)))</ns0:f>
      </ns0:c>
      <ns0:c r="K331" t="str">
        <ns0:f>IF(J331="","",IF(COUNTIFS($J$7:J331,J331)=1,MAX($K$6:K330)+1,""))</ns0:f>
      </ns0:c>
      <ns0:c r="M331" t="str">
        <ns0:f>IF(J331="","",'Project Tracker'!A88)</ns0:f>
      </ns0:c>
      <ns0:c r="N331" t="str">
        <ns0:f>IF(J331="","",'Project Tracker'!N88)</ns0:f>
      </ns0:c>
      <ns0:c r="O331" t="str">
        <ns0:f>IF(J331="","",'Project Tracker'!E88)</ns0:f>
      </ns0:c>
      <ns0:c r="P331" t="str">
        <ns0:f>IF(J331="","",'Project Tracker'!F88)</ns0:f>
      </ns0:c>
      <ns0:c r="Q331" t="str">
        <ns0:f>IF(J331="","",'Project Tracker'!Q88)</ns0:f>
      </ns0:c>
      <ns0:c r="R331" t="str">
        <ns0:f>IF(J331="","",'Project Tracker'!J88)</ns0:f>
      </ns0:c>
    </ns0:row>
    <ns0:row r="332">
      <ns0:c r="J332" t="str">
        <ns0:f>IF('Project Tracker'!A88="","",TRIM(MID(SUBSTITUTE('Project Tracker'!K88,";",REPT(" ",150)),151,150)))</ns0:f>
      </ns0:c>
      <ns0:c r="K332" t="str">
        <ns0:f>IF(J332="","",IF(COUNTIFS($J$7:J332,J332)=1,MAX($K$6:K331)+1,""))</ns0:f>
      </ns0:c>
      <ns0:c r="M332" t="str">
        <ns0:f>IF(J332="","",'Project Tracker'!A88)</ns0:f>
      </ns0:c>
      <ns0:c r="N332" t="str">
        <ns0:f>IF(J332="","",'Project Tracker'!N88)</ns0:f>
      </ns0:c>
      <ns0:c r="O332" t="str">
        <ns0:f>IF(J332="","",'Project Tracker'!E88)</ns0:f>
      </ns0:c>
      <ns0:c r="P332" t="str">
        <ns0:f>IF(J332="","",'Project Tracker'!F88)</ns0:f>
      </ns0:c>
      <ns0:c r="Q332" t="str">
        <ns0:f>IF(J332="","",'Project Tracker'!Q88)</ns0:f>
      </ns0:c>
      <ns0:c r="R332" t="str">
        <ns0:f>IF(J332="","",'Project Tracker'!J88)</ns0:f>
      </ns0:c>
    </ns0:row>
    <ns0:row r="333">
      <ns0:c r="J333" t="str">
        <ns0:f>IF('Project Tracker'!A88="","",TRIM(MID(SUBSTITUTE('Project Tracker'!K88,";",REPT(" ",150)),301,150)))</ns0:f>
      </ns0:c>
      <ns0:c r="K333" t="str">
        <ns0:f>IF(J333="","",IF(COUNTIFS($J$7:J333,J333)=1,MAX($K$6:K332)+1,""))</ns0:f>
      </ns0:c>
      <ns0:c r="M333" t="str">
        <ns0:f>IF(J333="","",'Project Tracker'!A88)</ns0:f>
      </ns0:c>
      <ns0:c r="N333" t="str">
        <ns0:f>IF(J333="","",'Project Tracker'!N88)</ns0:f>
      </ns0:c>
      <ns0:c r="O333" t="str">
        <ns0:f>IF(J333="","",'Project Tracker'!E88)</ns0:f>
      </ns0:c>
      <ns0:c r="P333" t="str">
        <ns0:f>IF(J333="","",'Project Tracker'!F88)</ns0:f>
      </ns0:c>
      <ns0:c r="Q333" t="str">
        <ns0:f>IF(J333="","",'Project Tracker'!Q88)</ns0:f>
      </ns0:c>
      <ns0:c r="R333" t="str">
        <ns0:f>IF(J333="","",'Project Tracker'!J88)</ns0:f>
      </ns0:c>
    </ns0:row>
    <ns0:row r="334">
      <ns0:c r="J334" t="str">
        <ns0:f>IF('Project Tracker'!A88="","",TRIM(MID(SUBSTITUTE('Project Tracker'!K88,";",REPT(" ",150)),451,150)))</ns0:f>
      </ns0:c>
      <ns0:c r="K334" t="str">
        <ns0:f>IF(J334="","",IF(COUNTIFS($J$7:J334,J334)=1,MAX($K$6:K333)+1,""))</ns0:f>
      </ns0:c>
      <ns0:c r="M334" t="str">
        <ns0:f>IF(J334="","",'Project Tracker'!A88)</ns0:f>
      </ns0:c>
      <ns0:c r="N334" t="str">
        <ns0:f>IF(J334="","",'Project Tracker'!N88)</ns0:f>
      </ns0:c>
      <ns0:c r="O334" t="str">
        <ns0:f>IF(J334="","",'Project Tracker'!E88)</ns0:f>
      </ns0:c>
      <ns0:c r="P334" t="str">
        <ns0:f>IF(J334="","",'Project Tracker'!F88)</ns0:f>
      </ns0:c>
      <ns0:c r="Q334" t="str">
        <ns0:f>IF(J334="","",'Project Tracker'!Q88)</ns0:f>
      </ns0:c>
      <ns0:c r="R334" t="str">
        <ns0:f>IF(J334="","",'Project Tracker'!J88)</ns0:f>
      </ns0:c>
    </ns0:row>
    <ns0:row r="335">
      <ns0:c r="J335" t="str">
        <ns0:f>IF('Project Tracker'!A89="","",TRIM(MID(SUBSTITUTE('Project Tracker'!K89,";",REPT(" ",150)),1,150)))</ns0:f>
      </ns0:c>
      <ns0:c r="K335" t="str">
        <ns0:f>IF(J335="","",IF(COUNTIFS($J$7:J335,J335)=1,MAX($K$6:K334)+1,""))</ns0:f>
      </ns0:c>
      <ns0:c r="M335" t="str">
        <ns0:f>IF(J335="","",'Project Tracker'!A89)</ns0:f>
      </ns0:c>
      <ns0:c r="N335" t="str">
        <ns0:f>IF(J335="","",'Project Tracker'!N89)</ns0:f>
      </ns0:c>
      <ns0:c r="O335" t="str">
        <ns0:f>IF(J335="","",'Project Tracker'!E89)</ns0:f>
      </ns0:c>
      <ns0:c r="P335" t="str">
        <ns0:f>IF(J335="","",'Project Tracker'!F89)</ns0:f>
      </ns0:c>
      <ns0:c r="Q335" t="str">
        <ns0:f>IF(J335="","",'Project Tracker'!Q89)</ns0:f>
      </ns0:c>
      <ns0:c r="R335" t="str">
        <ns0:f>IF(J335="","",'Project Tracker'!J89)</ns0:f>
      </ns0:c>
    </ns0:row>
    <ns0:row r="336">
      <ns0:c r="J336" t="str">
        <ns0:f>IF('Project Tracker'!A89="","",TRIM(MID(SUBSTITUTE('Project Tracker'!K89,";",REPT(" ",150)),151,150)))</ns0:f>
      </ns0:c>
      <ns0:c r="K336" t="str">
        <ns0:f>IF(J336="","",IF(COUNTIFS($J$7:J336,J336)=1,MAX($K$6:K335)+1,""))</ns0:f>
      </ns0:c>
      <ns0:c r="M336" t="str">
        <ns0:f>IF(J336="","",'Project Tracker'!A89)</ns0:f>
      </ns0:c>
      <ns0:c r="N336" t="str">
        <ns0:f>IF(J336="","",'Project Tracker'!N89)</ns0:f>
      </ns0:c>
      <ns0:c r="O336" t="str">
        <ns0:f>IF(J336="","",'Project Tracker'!E89)</ns0:f>
      </ns0:c>
      <ns0:c r="P336" t="str">
        <ns0:f>IF(J336="","",'Project Tracker'!F89)</ns0:f>
      </ns0:c>
      <ns0:c r="Q336" t="str">
        <ns0:f>IF(J336="","",'Project Tracker'!Q89)</ns0:f>
      </ns0:c>
      <ns0:c r="R336" t="str">
        <ns0:f>IF(J336="","",'Project Tracker'!J89)</ns0:f>
      </ns0:c>
    </ns0:row>
    <ns0:row r="337">
      <ns0:c r="J337" t="str">
        <ns0:f>IF('Project Tracker'!A89="","",TRIM(MID(SUBSTITUTE('Project Tracker'!K89,";",REPT(" ",150)),301,150)))</ns0:f>
      </ns0:c>
      <ns0:c r="K337" t="str">
        <ns0:f>IF(J337="","",IF(COUNTIFS($J$7:J337,J337)=1,MAX($K$6:K336)+1,""))</ns0:f>
      </ns0:c>
      <ns0:c r="M337" t="str">
        <ns0:f>IF(J337="","",'Project Tracker'!A89)</ns0:f>
      </ns0:c>
      <ns0:c r="N337" t="str">
        <ns0:f>IF(J337="","",'Project Tracker'!N89)</ns0:f>
      </ns0:c>
      <ns0:c r="O337" t="str">
        <ns0:f>IF(J337="","",'Project Tracker'!E89)</ns0:f>
      </ns0:c>
      <ns0:c r="P337" t="str">
        <ns0:f>IF(J337="","",'Project Tracker'!F89)</ns0:f>
      </ns0:c>
      <ns0:c r="Q337" t="str">
        <ns0:f>IF(J337="","",'Project Tracker'!Q89)</ns0:f>
      </ns0:c>
      <ns0:c r="R337" t="str">
        <ns0:f>IF(J337="","",'Project Tracker'!J89)</ns0:f>
      </ns0:c>
    </ns0:row>
    <ns0:row r="338">
      <ns0:c r="J338" t="str">
        <ns0:f>IF('Project Tracker'!A89="","",TRIM(MID(SUBSTITUTE('Project Tracker'!K89,";",REPT(" ",150)),451,150)))</ns0:f>
      </ns0:c>
      <ns0:c r="K338" t="str">
        <ns0:f>IF(J338="","",IF(COUNTIFS($J$7:J338,J338)=1,MAX($K$6:K337)+1,""))</ns0:f>
      </ns0:c>
      <ns0:c r="M338" t="str">
        <ns0:f>IF(J338="","",'Project Tracker'!A89)</ns0:f>
      </ns0:c>
      <ns0:c r="N338" t="str">
        <ns0:f>IF(J338="","",'Project Tracker'!N89)</ns0:f>
      </ns0:c>
      <ns0:c r="O338" t="str">
        <ns0:f>IF(J338="","",'Project Tracker'!E89)</ns0:f>
      </ns0:c>
      <ns0:c r="P338" t="str">
        <ns0:f>IF(J338="","",'Project Tracker'!F89)</ns0:f>
      </ns0:c>
      <ns0:c r="Q338" t="str">
        <ns0:f>IF(J338="","",'Project Tracker'!Q89)</ns0:f>
      </ns0:c>
      <ns0:c r="R338" t="str">
        <ns0:f>IF(J338="","",'Project Tracker'!J89)</ns0:f>
      </ns0:c>
    </ns0:row>
    <ns0:row r="339">
      <ns0:c r="J339" t="str">
        <ns0:f>IF('Project Tracker'!A90="","",TRIM(MID(SUBSTITUTE('Project Tracker'!K90,";",REPT(" ",150)),1,150)))</ns0:f>
      </ns0:c>
      <ns0:c r="K339" t="str">
        <ns0:f>IF(J339="","",IF(COUNTIFS($J$7:J339,J339)=1,MAX($K$6:K338)+1,""))</ns0:f>
      </ns0:c>
      <ns0:c r="M339" t="str">
        <ns0:f>IF(J339="","",'Project Tracker'!A90)</ns0:f>
      </ns0:c>
      <ns0:c r="N339" t="str">
        <ns0:f>IF(J339="","",'Project Tracker'!N90)</ns0:f>
      </ns0:c>
      <ns0:c r="O339" t="str">
        <ns0:f>IF(J339="","",'Project Tracker'!E90)</ns0:f>
      </ns0:c>
      <ns0:c r="P339" t="str">
        <ns0:f>IF(J339="","",'Project Tracker'!F90)</ns0:f>
      </ns0:c>
      <ns0:c r="Q339" t="str">
        <ns0:f>IF(J339="","",'Project Tracker'!Q90)</ns0:f>
      </ns0:c>
      <ns0:c r="R339" t="str">
        <ns0:f>IF(J339="","",'Project Tracker'!J90)</ns0:f>
      </ns0:c>
    </ns0:row>
    <ns0:row r="340">
      <ns0:c r="J340" t="str">
        <ns0:f>IF('Project Tracker'!A90="","",TRIM(MID(SUBSTITUTE('Project Tracker'!K90,";",REPT(" ",150)),151,150)))</ns0:f>
      </ns0:c>
      <ns0:c r="K340" t="str">
        <ns0:f>IF(J340="","",IF(COUNTIFS($J$7:J340,J340)=1,MAX($K$6:K339)+1,""))</ns0:f>
      </ns0:c>
      <ns0:c r="M340" t="str">
        <ns0:f>IF(J340="","",'Project Tracker'!A90)</ns0:f>
      </ns0:c>
      <ns0:c r="N340" t="str">
        <ns0:f>IF(J340="","",'Project Tracker'!N90)</ns0:f>
      </ns0:c>
      <ns0:c r="O340" t="str">
        <ns0:f>IF(J340="","",'Project Tracker'!E90)</ns0:f>
      </ns0:c>
      <ns0:c r="P340" t="str">
        <ns0:f>IF(J340="","",'Project Tracker'!F90)</ns0:f>
      </ns0:c>
      <ns0:c r="Q340" t="str">
        <ns0:f>IF(J340="","",'Project Tracker'!Q90)</ns0:f>
      </ns0:c>
      <ns0:c r="R340" t="str">
        <ns0:f>IF(J340="","",'Project Tracker'!J90)</ns0:f>
      </ns0:c>
    </ns0:row>
    <ns0:row r="341">
      <ns0:c r="J341" t="str">
        <ns0:f>IF('Project Tracker'!A90="","",TRIM(MID(SUBSTITUTE('Project Tracker'!K90,";",REPT(" ",150)),301,150)))</ns0:f>
      </ns0:c>
      <ns0:c r="K341" t="str">
        <ns0:f>IF(J341="","",IF(COUNTIFS($J$7:J341,J341)=1,MAX($K$6:K340)+1,""))</ns0:f>
      </ns0:c>
      <ns0:c r="M341" t="str">
        <ns0:f>IF(J341="","",'Project Tracker'!A90)</ns0:f>
      </ns0:c>
      <ns0:c r="N341" t="str">
        <ns0:f>IF(J341="","",'Project Tracker'!N90)</ns0:f>
      </ns0:c>
      <ns0:c r="O341" t="str">
        <ns0:f>IF(J341="","",'Project Tracker'!E90)</ns0:f>
      </ns0:c>
      <ns0:c r="P341" t="str">
        <ns0:f>IF(J341="","",'Project Tracker'!F90)</ns0:f>
      </ns0:c>
      <ns0:c r="Q341" t="str">
        <ns0:f>IF(J341="","",'Project Tracker'!Q90)</ns0:f>
      </ns0:c>
      <ns0:c r="R341" t="str">
        <ns0:f>IF(J341="","",'Project Tracker'!J90)</ns0:f>
      </ns0:c>
    </ns0:row>
    <ns0:row r="342">
      <ns0:c r="J342" t="str">
        <ns0:f>IF('Project Tracker'!A90="","",TRIM(MID(SUBSTITUTE('Project Tracker'!K90,";",REPT(" ",150)),451,150)))</ns0:f>
      </ns0:c>
      <ns0:c r="K342" t="str">
        <ns0:f>IF(J342="","",IF(COUNTIFS($J$7:J342,J342)=1,MAX($K$6:K341)+1,""))</ns0:f>
      </ns0:c>
      <ns0:c r="M342" t="str">
        <ns0:f>IF(J342="","",'Project Tracker'!A90)</ns0:f>
      </ns0:c>
      <ns0:c r="N342" t="str">
        <ns0:f>IF(J342="","",'Project Tracker'!N90)</ns0:f>
      </ns0:c>
      <ns0:c r="O342" t="str">
        <ns0:f>IF(J342="","",'Project Tracker'!E90)</ns0:f>
      </ns0:c>
      <ns0:c r="P342" t="str">
        <ns0:f>IF(J342="","",'Project Tracker'!F90)</ns0:f>
      </ns0:c>
      <ns0:c r="Q342" t="str">
        <ns0:f>IF(J342="","",'Project Tracker'!Q90)</ns0:f>
      </ns0:c>
      <ns0:c r="R342" t="str">
        <ns0:f>IF(J342="","",'Project Tracker'!J90)</ns0:f>
      </ns0:c>
    </ns0:row>
    <ns0:row r="343">
      <ns0:c r="J343" t="str">
        <ns0:f>IF('Project Tracker'!A91="","",TRIM(MID(SUBSTITUTE('Project Tracker'!K91,";",REPT(" ",150)),1,150)))</ns0:f>
      </ns0:c>
      <ns0:c r="K343" t="str">
        <ns0:f>IF(J343="","",IF(COUNTIFS($J$7:J343,J343)=1,MAX($K$6:K342)+1,""))</ns0:f>
      </ns0:c>
      <ns0:c r="M343" t="str">
        <ns0:f>IF(J343="","",'Project Tracker'!A91)</ns0:f>
      </ns0:c>
      <ns0:c r="N343" t="str">
        <ns0:f>IF(J343="","",'Project Tracker'!N91)</ns0:f>
      </ns0:c>
      <ns0:c r="O343" t="str">
        <ns0:f>IF(J343="","",'Project Tracker'!E91)</ns0:f>
      </ns0:c>
      <ns0:c r="P343" t="str">
        <ns0:f>IF(J343="","",'Project Tracker'!F91)</ns0:f>
      </ns0:c>
      <ns0:c r="Q343" t="str">
        <ns0:f>IF(J343="","",'Project Tracker'!Q91)</ns0:f>
      </ns0:c>
      <ns0:c r="R343" t="str">
        <ns0:f>IF(J343="","",'Project Tracker'!J91)</ns0:f>
      </ns0:c>
    </ns0:row>
    <ns0:row r="344">
      <ns0:c r="J344" t="str">
        <ns0:f>IF('Project Tracker'!A91="","",TRIM(MID(SUBSTITUTE('Project Tracker'!K91,";",REPT(" ",150)),151,150)))</ns0:f>
      </ns0:c>
      <ns0:c r="K344" t="str">
        <ns0:f>IF(J344="","",IF(COUNTIFS($J$7:J344,J344)=1,MAX($K$6:K343)+1,""))</ns0:f>
      </ns0:c>
      <ns0:c r="M344" t="str">
        <ns0:f>IF(J344="","",'Project Tracker'!A91)</ns0:f>
      </ns0:c>
      <ns0:c r="N344" t="str">
        <ns0:f>IF(J344="","",'Project Tracker'!N91)</ns0:f>
      </ns0:c>
      <ns0:c r="O344" t="str">
        <ns0:f>IF(J344="","",'Project Tracker'!E91)</ns0:f>
      </ns0:c>
      <ns0:c r="P344" t="str">
        <ns0:f>IF(J344="","",'Project Tracker'!F91)</ns0:f>
      </ns0:c>
      <ns0:c r="Q344" t="str">
        <ns0:f>IF(J344="","",'Project Tracker'!Q91)</ns0:f>
      </ns0:c>
      <ns0:c r="R344" t="str">
        <ns0:f>IF(J344="","",'Project Tracker'!J91)</ns0:f>
      </ns0:c>
    </ns0:row>
    <ns0:row r="345">
      <ns0:c r="J345" t="str">
        <ns0:f>IF('Project Tracker'!A91="","",TRIM(MID(SUBSTITUTE('Project Tracker'!K91,";",REPT(" ",150)),301,150)))</ns0:f>
      </ns0:c>
      <ns0:c r="K345" t="str">
        <ns0:f>IF(J345="","",IF(COUNTIFS($J$7:J345,J345)=1,MAX($K$6:K344)+1,""))</ns0:f>
      </ns0:c>
      <ns0:c r="M345" t="str">
        <ns0:f>IF(J345="","",'Project Tracker'!A91)</ns0:f>
      </ns0:c>
      <ns0:c r="N345" t="str">
        <ns0:f>IF(J345="","",'Project Tracker'!N91)</ns0:f>
      </ns0:c>
      <ns0:c r="O345" t="str">
        <ns0:f>IF(J345="","",'Project Tracker'!E91)</ns0:f>
      </ns0:c>
      <ns0:c r="P345" t="str">
        <ns0:f>IF(J345="","",'Project Tracker'!F91)</ns0:f>
      </ns0:c>
      <ns0:c r="Q345" t="str">
        <ns0:f>IF(J345="","",'Project Tracker'!Q91)</ns0:f>
      </ns0:c>
      <ns0:c r="R345" t="str">
        <ns0:f>IF(J345="","",'Project Tracker'!J91)</ns0:f>
      </ns0:c>
    </ns0:row>
    <ns0:row r="346">
      <ns0:c r="J346" t="str">
        <ns0:f>IF('Project Tracker'!A91="","",TRIM(MID(SUBSTITUTE('Project Tracker'!K91,";",REPT(" ",150)),451,150)))</ns0:f>
      </ns0:c>
      <ns0:c r="K346" t="str">
        <ns0:f>IF(J346="","",IF(COUNTIFS($J$7:J346,J346)=1,MAX($K$6:K345)+1,""))</ns0:f>
      </ns0:c>
      <ns0:c r="M346" t="str">
        <ns0:f>IF(J346="","",'Project Tracker'!A91)</ns0:f>
      </ns0:c>
      <ns0:c r="N346" t="str">
        <ns0:f>IF(J346="","",'Project Tracker'!N91)</ns0:f>
      </ns0:c>
      <ns0:c r="O346" t="str">
        <ns0:f>IF(J346="","",'Project Tracker'!E91)</ns0:f>
      </ns0:c>
      <ns0:c r="P346" t="str">
        <ns0:f>IF(J346="","",'Project Tracker'!F91)</ns0:f>
      </ns0:c>
      <ns0:c r="Q346" t="str">
        <ns0:f>IF(J346="","",'Project Tracker'!Q91)</ns0:f>
      </ns0:c>
      <ns0:c r="R346" t="str">
        <ns0:f>IF(J346="","",'Project Tracker'!J91)</ns0:f>
      </ns0:c>
    </ns0:row>
    <ns0:row r="347">
      <ns0:c r="J347" t="str">
        <ns0:f>IF('Project Tracker'!A92="","",TRIM(MID(SUBSTITUTE('Project Tracker'!K92,";",REPT(" ",150)),1,150)))</ns0:f>
      </ns0:c>
      <ns0:c r="K347" t="str">
        <ns0:f>IF(J347="","",IF(COUNTIFS($J$7:J347,J347)=1,MAX($K$6:K346)+1,""))</ns0:f>
      </ns0:c>
      <ns0:c r="M347" t="str">
        <ns0:f>IF(J347="","",'Project Tracker'!A92)</ns0:f>
      </ns0:c>
      <ns0:c r="N347" t="str">
        <ns0:f>IF(J347="","",'Project Tracker'!N92)</ns0:f>
      </ns0:c>
      <ns0:c r="O347" t="str">
        <ns0:f>IF(J347="","",'Project Tracker'!E92)</ns0:f>
      </ns0:c>
      <ns0:c r="P347" t="str">
        <ns0:f>IF(J347="","",'Project Tracker'!F92)</ns0:f>
      </ns0:c>
      <ns0:c r="Q347" t="str">
        <ns0:f>IF(J347="","",'Project Tracker'!Q92)</ns0:f>
      </ns0:c>
      <ns0:c r="R347" t="str">
        <ns0:f>IF(J347="","",'Project Tracker'!J92)</ns0:f>
      </ns0:c>
    </ns0:row>
    <ns0:row r="348">
      <ns0:c r="J348" t="str">
        <ns0:f>IF('Project Tracker'!A92="","",TRIM(MID(SUBSTITUTE('Project Tracker'!K92,";",REPT(" ",150)),151,150)))</ns0:f>
      </ns0:c>
      <ns0:c r="K348" t="str">
        <ns0:f>IF(J348="","",IF(COUNTIFS($J$7:J348,J348)=1,MAX($K$6:K347)+1,""))</ns0:f>
      </ns0:c>
      <ns0:c r="M348" t="str">
        <ns0:f>IF(J348="","",'Project Tracker'!A92)</ns0:f>
      </ns0:c>
      <ns0:c r="N348" t="str">
        <ns0:f>IF(J348="","",'Project Tracker'!N92)</ns0:f>
      </ns0:c>
      <ns0:c r="O348" t="str">
        <ns0:f>IF(J348="","",'Project Tracker'!E92)</ns0:f>
      </ns0:c>
      <ns0:c r="P348" t="str">
        <ns0:f>IF(J348="","",'Project Tracker'!F92)</ns0:f>
      </ns0:c>
      <ns0:c r="Q348" t="str">
        <ns0:f>IF(J348="","",'Project Tracker'!Q92)</ns0:f>
      </ns0:c>
      <ns0:c r="R348" t="str">
        <ns0:f>IF(J348="","",'Project Tracker'!J92)</ns0:f>
      </ns0:c>
    </ns0:row>
    <ns0:row r="349">
      <ns0:c r="J349" t="str">
        <ns0:f>IF('Project Tracker'!A92="","",TRIM(MID(SUBSTITUTE('Project Tracker'!K92,";",REPT(" ",150)),301,150)))</ns0:f>
      </ns0:c>
      <ns0:c r="K349" t="str">
        <ns0:f>IF(J349="","",IF(COUNTIFS($J$7:J349,J349)=1,MAX($K$6:K348)+1,""))</ns0:f>
      </ns0:c>
      <ns0:c r="M349" t="str">
        <ns0:f>IF(J349="","",'Project Tracker'!A92)</ns0:f>
      </ns0:c>
      <ns0:c r="N349" t="str">
        <ns0:f>IF(J349="","",'Project Tracker'!N92)</ns0:f>
      </ns0:c>
      <ns0:c r="O349" t="str">
        <ns0:f>IF(J349="","",'Project Tracker'!E92)</ns0:f>
      </ns0:c>
      <ns0:c r="P349" t="str">
        <ns0:f>IF(J349="","",'Project Tracker'!F92)</ns0:f>
      </ns0:c>
      <ns0:c r="Q349" t="str">
        <ns0:f>IF(J349="","",'Project Tracker'!Q92)</ns0:f>
      </ns0:c>
      <ns0:c r="R349" t="str">
        <ns0:f>IF(J349="","",'Project Tracker'!J92)</ns0:f>
      </ns0:c>
    </ns0:row>
    <ns0:row r="350">
      <ns0:c r="J350" t="str">
        <ns0:f>IF('Project Tracker'!A92="","",TRIM(MID(SUBSTITUTE('Project Tracker'!K92,";",REPT(" ",150)),451,150)))</ns0:f>
      </ns0:c>
      <ns0:c r="K350" t="str">
        <ns0:f>IF(J350="","",IF(COUNTIFS($J$7:J350,J350)=1,MAX($K$6:K349)+1,""))</ns0:f>
      </ns0:c>
      <ns0:c r="M350" t="str">
        <ns0:f>IF(J350="","",'Project Tracker'!A92)</ns0:f>
      </ns0:c>
      <ns0:c r="N350" t="str">
        <ns0:f>IF(J350="","",'Project Tracker'!N92)</ns0:f>
      </ns0:c>
      <ns0:c r="O350" t="str">
        <ns0:f>IF(J350="","",'Project Tracker'!E92)</ns0:f>
      </ns0:c>
      <ns0:c r="P350" t="str">
        <ns0:f>IF(J350="","",'Project Tracker'!F92)</ns0:f>
      </ns0:c>
      <ns0:c r="Q350" t="str">
        <ns0:f>IF(J350="","",'Project Tracker'!Q92)</ns0:f>
      </ns0:c>
      <ns0:c r="R350" t="str">
        <ns0:f>IF(J350="","",'Project Tracker'!J92)</ns0:f>
      </ns0:c>
    </ns0:row>
    <ns0:row r="351">
      <ns0:c r="J351" t="str">
        <ns0:f>IF('Project Tracker'!A93="","",TRIM(MID(SUBSTITUTE('Project Tracker'!K93,";",REPT(" ",150)),1,150)))</ns0:f>
      </ns0:c>
      <ns0:c r="K351" t="str">
        <ns0:f>IF(J351="","",IF(COUNTIFS($J$7:J351,J351)=1,MAX($K$6:K350)+1,""))</ns0:f>
      </ns0:c>
      <ns0:c r="M351" t="str">
        <ns0:f>IF(J351="","",'Project Tracker'!A93)</ns0:f>
      </ns0:c>
      <ns0:c r="N351" t="str">
        <ns0:f>IF(J351="","",'Project Tracker'!N93)</ns0:f>
      </ns0:c>
      <ns0:c r="O351" t="str">
        <ns0:f>IF(J351="","",'Project Tracker'!E93)</ns0:f>
      </ns0:c>
      <ns0:c r="P351" t="str">
        <ns0:f>IF(J351="","",'Project Tracker'!F93)</ns0:f>
      </ns0:c>
      <ns0:c r="Q351" t="str">
        <ns0:f>IF(J351="","",'Project Tracker'!Q93)</ns0:f>
      </ns0:c>
      <ns0:c r="R351" t="str">
        <ns0:f>IF(J351="","",'Project Tracker'!J93)</ns0:f>
      </ns0:c>
    </ns0:row>
    <ns0:row r="352">
      <ns0:c r="J352" t="str">
        <ns0:f>IF('Project Tracker'!A93="","",TRIM(MID(SUBSTITUTE('Project Tracker'!K93,";",REPT(" ",150)),151,150)))</ns0:f>
      </ns0:c>
      <ns0:c r="K352" t="str">
        <ns0:f>IF(J352="","",IF(COUNTIFS($J$7:J352,J352)=1,MAX($K$6:K351)+1,""))</ns0:f>
      </ns0:c>
      <ns0:c r="M352" t="str">
        <ns0:f>IF(J352="","",'Project Tracker'!A93)</ns0:f>
      </ns0:c>
      <ns0:c r="N352" t="str">
        <ns0:f>IF(J352="","",'Project Tracker'!N93)</ns0:f>
      </ns0:c>
      <ns0:c r="O352" t="str">
        <ns0:f>IF(J352="","",'Project Tracker'!E93)</ns0:f>
      </ns0:c>
      <ns0:c r="P352" t="str">
        <ns0:f>IF(J352="","",'Project Tracker'!F93)</ns0:f>
      </ns0:c>
      <ns0:c r="Q352" t="str">
        <ns0:f>IF(J352="","",'Project Tracker'!Q93)</ns0:f>
      </ns0:c>
      <ns0:c r="R352" t="str">
        <ns0:f>IF(J352="","",'Project Tracker'!J93)</ns0:f>
      </ns0:c>
    </ns0:row>
    <ns0:row r="353">
      <ns0:c r="J353" t="str">
        <ns0:f>IF('Project Tracker'!A93="","",TRIM(MID(SUBSTITUTE('Project Tracker'!K93,";",REPT(" ",150)),301,150)))</ns0:f>
      </ns0:c>
      <ns0:c r="K353" t="str">
        <ns0:f>IF(J353="","",IF(COUNTIFS($J$7:J353,J353)=1,MAX($K$6:K352)+1,""))</ns0:f>
      </ns0:c>
      <ns0:c r="M353" t="str">
        <ns0:f>IF(J353="","",'Project Tracker'!A93)</ns0:f>
      </ns0:c>
      <ns0:c r="N353" t="str">
        <ns0:f>IF(J353="","",'Project Tracker'!N93)</ns0:f>
      </ns0:c>
      <ns0:c r="O353" t="str">
        <ns0:f>IF(J353="","",'Project Tracker'!E93)</ns0:f>
      </ns0:c>
      <ns0:c r="P353" t="str">
        <ns0:f>IF(J353="","",'Project Tracker'!F93)</ns0:f>
      </ns0:c>
      <ns0:c r="Q353" t="str">
        <ns0:f>IF(J353="","",'Project Tracker'!Q93)</ns0:f>
      </ns0:c>
      <ns0:c r="R353" t="str">
        <ns0:f>IF(J353="","",'Project Tracker'!J93)</ns0:f>
      </ns0:c>
    </ns0:row>
    <ns0:row r="354">
      <ns0:c r="J354" t="str">
        <ns0:f>IF('Project Tracker'!A93="","",TRIM(MID(SUBSTITUTE('Project Tracker'!K93,";",REPT(" ",150)),451,150)))</ns0:f>
      </ns0:c>
      <ns0:c r="K354" t="str">
        <ns0:f>IF(J354="","",IF(COUNTIFS($J$7:J354,J354)=1,MAX($K$6:K353)+1,""))</ns0:f>
      </ns0:c>
      <ns0:c r="M354" t="str">
        <ns0:f>IF(J354="","",'Project Tracker'!A93)</ns0:f>
      </ns0:c>
      <ns0:c r="N354" t="str">
        <ns0:f>IF(J354="","",'Project Tracker'!N93)</ns0:f>
      </ns0:c>
      <ns0:c r="O354" t="str">
        <ns0:f>IF(J354="","",'Project Tracker'!E93)</ns0:f>
      </ns0:c>
      <ns0:c r="P354" t="str">
        <ns0:f>IF(J354="","",'Project Tracker'!F93)</ns0:f>
      </ns0:c>
      <ns0:c r="Q354" t="str">
        <ns0:f>IF(J354="","",'Project Tracker'!Q93)</ns0:f>
      </ns0:c>
      <ns0:c r="R354" t="str">
        <ns0:f>IF(J354="","",'Project Tracker'!J93)</ns0:f>
      </ns0:c>
    </ns0:row>
    <ns0:row r="355">
      <ns0:c r="J355" t="str">
        <ns0:f>IF('Project Tracker'!A94="","",TRIM(MID(SUBSTITUTE('Project Tracker'!K94,";",REPT(" ",150)),1,150)))</ns0:f>
      </ns0:c>
      <ns0:c r="K355" t="str">
        <ns0:f>IF(J355="","",IF(COUNTIFS($J$7:J355,J355)=1,MAX($K$6:K354)+1,""))</ns0:f>
      </ns0:c>
      <ns0:c r="M355" t="str">
        <ns0:f>IF(J355="","",'Project Tracker'!A94)</ns0:f>
      </ns0:c>
      <ns0:c r="N355" t="str">
        <ns0:f>IF(J355="","",'Project Tracker'!N94)</ns0:f>
      </ns0:c>
      <ns0:c r="O355" t="str">
        <ns0:f>IF(J355="","",'Project Tracker'!E94)</ns0:f>
      </ns0:c>
      <ns0:c r="P355" t="str">
        <ns0:f>IF(J355="","",'Project Tracker'!F94)</ns0:f>
      </ns0:c>
      <ns0:c r="Q355" t="str">
        <ns0:f>IF(J355="","",'Project Tracker'!Q94)</ns0:f>
      </ns0:c>
      <ns0:c r="R355" t="str">
        <ns0:f>IF(J355="","",'Project Tracker'!J94)</ns0:f>
      </ns0:c>
    </ns0:row>
    <ns0:row r="356">
      <ns0:c r="J356" t="str">
        <ns0:f>IF('Project Tracker'!A94="","",TRIM(MID(SUBSTITUTE('Project Tracker'!K94,";",REPT(" ",150)),151,150)))</ns0:f>
      </ns0:c>
      <ns0:c r="K356" t="str">
        <ns0:f>IF(J356="","",IF(COUNTIFS($J$7:J356,J356)=1,MAX($K$6:K355)+1,""))</ns0:f>
      </ns0:c>
      <ns0:c r="M356" t="str">
        <ns0:f>IF(J356="","",'Project Tracker'!A94)</ns0:f>
      </ns0:c>
      <ns0:c r="N356" t="str">
        <ns0:f>IF(J356="","",'Project Tracker'!N94)</ns0:f>
      </ns0:c>
      <ns0:c r="O356" t="str">
        <ns0:f>IF(J356="","",'Project Tracker'!E94)</ns0:f>
      </ns0:c>
      <ns0:c r="P356" t="str">
        <ns0:f>IF(J356="","",'Project Tracker'!F94)</ns0:f>
      </ns0:c>
      <ns0:c r="Q356" t="str">
        <ns0:f>IF(J356="","",'Project Tracker'!Q94)</ns0:f>
      </ns0:c>
      <ns0:c r="R356" t="str">
        <ns0:f>IF(J356="","",'Project Tracker'!J94)</ns0:f>
      </ns0:c>
    </ns0:row>
    <ns0:row r="357">
      <ns0:c r="J357" t="str">
        <ns0:f>IF('Project Tracker'!A94="","",TRIM(MID(SUBSTITUTE('Project Tracker'!K94,";",REPT(" ",150)),301,150)))</ns0:f>
      </ns0:c>
      <ns0:c r="K357" t="str">
        <ns0:f>IF(J357="","",IF(COUNTIFS($J$7:J357,J357)=1,MAX($K$6:K356)+1,""))</ns0:f>
      </ns0:c>
      <ns0:c r="M357" t="str">
        <ns0:f>IF(J357="","",'Project Tracker'!A94)</ns0:f>
      </ns0:c>
      <ns0:c r="N357" t="str">
        <ns0:f>IF(J357="","",'Project Tracker'!N94)</ns0:f>
      </ns0:c>
      <ns0:c r="O357" t="str">
        <ns0:f>IF(J357="","",'Project Tracker'!E94)</ns0:f>
      </ns0:c>
      <ns0:c r="P357" t="str">
        <ns0:f>IF(J357="","",'Project Tracker'!F94)</ns0:f>
      </ns0:c>
      <ns0:c r="Q357" t="str">
        <ns0:f>IF(J357="","",'Project Tracker'!Q94)</ns0:f>
      </ns0:c>
      <ns0:c r="R357" t="str">
        <ns0:f>IF(J357="","",'Project Tracker'!J94)</ns0:f>
      </ns0:c>
    </ns0:row>
    <ns0:row r="358">
      <ns0:c r="J358" t="str">
        <ns0:f>IF('Project Tracker'!A94="","",TRIM(MID(SUBSTITUTE('Project Tracker'!K94,";",REPT(" ",150)),451,150)))</ns0:f>
      </ns0:c>
      <ns0:c r="K358" t="str">
        <ns0:f>IF(J358="","",IF(COUNTIFS($J$7:J358,J358)=1,MAX($K$6:K357)+1,""))</ns0:f>
      </ns0:c>
      <ns0:c r="M358" t="str">
        <ns0:f>IF(J358="","",'Project Tracker'!A94)</ns0:f>
      </ns0:c>
      <ns0:c r="N358" t="str">
        <ns0:f>IF(J358="","",'Project Tracker'!N94)</ns0:f>
      </ns0:c>
      <ns0:c r="O358" t="str">
        <ns0:f>IF(J358="","",'Project Tracker'!E94)</ns0:f>
      </ns0:c>
      <ns0:c r="P358" t="str">
        <ns0:f>IF(J358="","",'Project Tracker'!F94)</ns0:f>
      </ns0:c>
      <ns0:c r="Q358" t="str">
        <ns0:f>IF(J358="","",'Project Tracker'!Q94)</ns0:f>
      </ns0:c>
      <ns0:c r="R358" t="str">
        <ns0:f>IF(J358="","",'Project Tracker'!J94)</ns0:f>
      </ns0:c>
    </ns0:row>
    <ns0:row r="359">
      <ns0:c r="J359" t="str">
        <ns0:f>IF('Project Tracker'!A95="","",TRIM(MID(SUBSTITUTE('Project Tracker'!K95,";",REPT(" ",150)),1,150)))</ns0:f>
      </ns0:c>
      <ns0:c r="K359" t="str">
        <ns0:f>IF(J359="","",IF(COUNTIFS($J$7:J359,J359)=1,MAX($K$6:K358)+1,""))</ns0:f>
      </ns0:c>
      <ns0:c r="M359" t="str">
        <ns0:f>IF(J359="","",'Project Tracker'!A95)</ns0:f>
      </ns0:c>
      <ns0:c r="N359" t="str">
        <ns0:f>IF(J359="","",'Project Tracker'!N95)</ns0:f>
      </ns0:c>
      <ns0:c r="O359" t="str">
        <ns0:f>IF(J359="","",'Project Tracker'!E95)</ns0:f>
      </ns0:c>
      <ns0:c r="P359" t="str">
        <ns0:f>IF(J359="","",'Project Tracker'!F95)</ns0:f>
      </ns0:c>
      <ns0:c r="Q359" t="str">
        <ns0:f>IF(J359="","",'Project Tracker'!Q95)</ns0:f>
      </ns0:c>
      <ns0:c r="R359" t="str">
        <ns0:f>IF(J359="","",'Project Tracker'!J95)</ns0:f>
      </ns0:c>
    </ns0:row>
    <ns0:row r="360">
      <ns0:c r="J360" t="str">
        <ns0:f>IF('Project Tracker'!A95="","",TRIM(MID(SUBSTITUTE('Project Tracker'!K95,";",REPT(" ",150)),151,150)))</ns0:f>
      </ns0:c>
      <ns0:c r="K360" t="str">
        <ns0:f>IF(J360="","",IF(COUNTIFS($J$7:J360,J360)=1,MAX($K$6:K359)+1,""))</ns0:f>
      </ns0:c>
      <ns0:c r="M360" t="str">
        <ns0:f>IF(J360="","",'Project Tracker'!A95)</ns0:f>
      </ns0:c>
      <ns0:c r="N360" t="str">
        <ns0:f>IF(J360="","",'Project Tracker'!N95)</ns0:f>
      </ns0:c>
      <ns0:c r="O360" t="str">
        <ns0:f>IF(J360="","",'Project Tracker'!E95)</ns0:f>
      </ns0:c>
      <ns0:c r="P360" t="str">
        <ns0:f>IF(J360="","",'Project Tracker'!F95)</ns0:f>
      </ns0:c>
      <ns0:c r="Q360" t="str">
        <ns0:f>IF(J360="","",'Project Tracker'!Q95)</ns0:f>
      </ns0:c>
      <ns0:c r="R360" t="str">
        <ns0:f>IF(J360="","",'Project Tracker'!J95)</ns0:f>
      </ns0:c>
    </ns0:row>
    <ns0:row r="361">
      <ns0:c r="J361" t="str">
        <ns0:f>IF('Project Tracker'!A95="","",TRIM(MID(SUBSTITUTE('Project Tracker'!K95,";",REPT(" ",150)),301,150)))</ns0:f>
      </ns0:c>
      <ns0:c r="K361" t="str">
        <ns0:f>IF(J361="","",IF(COUNTIFS($J$7:J361,J361)=1,MAX($K$6:K360)+1,""))</ns0:f>
      </ns0:c>
      <ns0:c r="M361" t="str">
        <ns0:f>IF(J361="","",'Project Tracker'!A95)</ns0:f>
      </ns0:c>
      <ns0:c r="N361" t="str">
        <ns0:f>IF(J361="","",'Project Tracker'!N95)</ns0:f>
      </ns0:c>
      <ns0:c r="O361" t="str">
        <ns0:f>IF(J361="","",'Project Tracker'!E95)</ns0:f>
      </ns0:c>
      <ns0:c r="P361" t="str">
        <ns0:f>IF(J361="","",'Project Tracker'!F95)</ns0:f>
      </ns0:c>
      <ns0:c r="Q361" t="str">
        <ns0:f>IF(J361="","",'Project Tracker'!Q95)</ns0:f>
      </ns0:c>
      <ns0:c r="R361" t="str">
        <ns0:f>IF(J361="","",'Project Tracker'!J95)</ns0:f>
      </ns0:c>
    </ns0:row>
    <ns0:row r="362">
      <ns0:c r="J362" t="str">
        <ns0:f>IF('Project Tracker'!A95="","",TRIM(MID(SUBSTITUTE('Project Tracker'!K95,";",REPT(" ",150)),451,150)))</ns0:f>
      </ns0:c>
      <ns0:c r="K362" t="str">
        <ns0:f>IF(J362="","",IF(COUNTIFS($J$7:J362,J362)=1,MAX($K$6:K361)+1,""))</ns0:f>
      </ns0:c>
      <ns0:c r="M362" t="str">
        <ns0:f>IF(J362="","",'Project Tracker'!A95)</ns0:f>
      </ns0:c>
      <ns0:c r="N362" t="str">
        <ns0:f>IF(J362="","",'Project Tracker'!N95)</ns0:f>
      </ns0:c>
      <ns0:c r="O362" t="str">
        <ns0:f>IF(J362="","",'Project Tracker'!E95)</ns0:f>
      </ns0:c>
      <ns0:c r="P362" t="str">
        <ns0:f>IF(J362="","",'Project Tracker'!F95)</ns0:f>
      </ns0:c>
      <ns0:c r="Q362" t="str">
        <ns0:f>IF(J362="","",'Project Tracker'!Q95)</ns0:f>
      </ns0:c>
      <ns0:c r="R362" t="str">
        <ns0:f>IF(J362="","",'Project Tracker'!J95)</ns0:f>
      </ns0:c>
    </ns0:row>
    <ns0:row r="363">
      <ns0:c r="J363" t="str">
        <ns0:f>IF('Project Tracker'!A96="","",TRIM(MID(SUBSTITUTE('Project Tracker'!K96,";",REPT(" ",150)),1,150)))</ns0:f>
      </ns0:c>
      <ns0:c r="K363" t="str">
        <ns0:f>IF(J363="","",IF(COUNTIFS($J$7:J363,J363)=1,MAX($K$6:K362)+1,""))</ns0:f>
      </ns0:c>
      <ns0:c r="M363" t="str">
        <ns0:f>IF(J363="","",'Project Tracker'!A96)</ns0:f>
      </ns0:c>
      <ns0:c r="N363" t="str">
        <ns0:f>IF(J363="","",'Project Tracker'!N96)</ns0:f>
      </ns0:c>
      <ns0:c r="O363" t="str">
        <ns0:f>IF(J363="","",'Project Tracker'!E96)</ns0:f>
      </ns0:c>
      <ns0:c r="P363" t="str">
        <ns0:f>IF(J363="","",'Project Tracker'!F96)</ns0:f>
      </ns0:c>
      <ns0:c r="Q363" t="str">
        <ns0:f>IF(J363="","",'Project Tracker'!Q96)</ns0:f>
      </ns0:c>
      <ns0:c r="R363" t="str">
        <ns0:f>IF(J363="","",'Project Tracker'!J96)</ns0:f>
      </ns0:c>
    </ns0:row>
    <ns0:row r="364">
      <ns0:c r="J364" t="str">
        <ns0:f>IF('Project Tracker'!A96="","",TRIM(MID(SUBSTITUTE('Project Tracker'!K96,";",REPT(" ",150)),151,150)))</ns0:f>
      </ns0:c>
      <ns0:c r="K364" t="str">
        <ns0:f>IF(J364="","",IF(COUNTIFS($J$7:J364,J364)=1,MAX($K$6:K363)+1,""))</ns0:f>
      </ns0:c>
      <ns0:c r="M364" t="str">
        <ns0:f>IF(J364="","",'Project Tracker'!A96)</ns0:f>
      </ns0:c>
      <ns0:c r="N364" t="str">
        <ns0:f>IF(J364="","",'Project Tracker'!N96)</ns0:f>
      </ns0:c>
      <ns0:c r="O364" t="str">
        <ns0:f>IF(J364="","",'Project Tracker'!E96)</ns0:f>
      </ns0:c>
      <ns0:c r="P364" t="str">
        <ns0:f>IF(J364="","",'Project Tracker'!F96)</ns0:f>
      </ns0:c>
      <ns0:c r="Q364" t="str">
        <ns0:f>IF(J364="","",'Project Tracker'!Q96)</ns0:f>
      </ns0:c>
      <ns0:c r="R364" t="str">
        <ns0:f>IF(J364="","",'Project Tracker'!J96)</ns0:f>
      </ns0:c>
    </ns0:row>
    <ns0:row r="365">
      <ns0:c r="J365" t="str">
        <ns0:f>IF('Project Tracker'!A96="","",TRIM(MID(SUBSTITUTE('Project Tracker'!K96,";",REPT(" ",150)),301,150)))</ns0:f>
      </ns0:c>
      <ns0:c r="K365" t="str">
        <ns0:f>IF(J365="","",IF(COUNTIFS($J$7:J365,J365)=1,MAX($K$6:K364)+1,""))</ns0:f>
      </ns0:c>
      <ns0:c r="M365" t="str">
        <ns0:f>IF(J365="","",'Project Tracker'!A96)</ns0:f>
      </ns0:c>
      <ns0:c r="N365" t="str">
        <ns0:f>IF(J365="","",'Project Tracker'!N96)</ns0:f>
      </ns0:c>
      <ns0:c r="O365" t="str">
        <ns0:f>IF(J365="","",'Project Tracker'!E96)</ns0:f>
      </ns0:c>
      <ns0:c r="P365" t="str">
        <ns0:f>IF(J365="","",'Project Tracker'!F96)</ns0:f>
      </ns0:c>
      <ns0:c r="Q365" t="str">
        <ns0:f>IF(J365="","",'Project Tracker'!Q96)</ns0:f>
      </ns0:c>
      <ns0:c r="R365" t="str">
        <ns0:f>IF(J365="","",'Project Tracker'!J96)</ns0:f>
      </ns0:c>
    </ns0:row>
    <ns0:row r="366">
      <ns0:c r="J366" t="str">
        <ns0:f>IF('Project Tracker'!A96="","",TRIM(MID(SUBSTITUTE('Project Tracker'!K96,";",REPT(" ",150)),451,150)))</ns0:f>
      </ns0:c>
      <ns0:c r="K366" t="str">
        <ns0:f>IF(J366="","",IF(COUNTIFS($J$7:J366,J366)=1,MAX($K$6:K365)+1,""))</ns0:f>
      </ns0:c>
      <ns0:c r="M366" t="str">
        <ns0:f>IF(J366="","",'Project Tracker'!A96)</ns0:f>
      </ns0:c>
      <ns0:c r="N366" t="str">
        <ns0:f>IF(J366="","",'Project Tracker'!N96)</ns0:f>
      </ns0:c>
      <ns0:c r="O366" t="str">
        <ns0:f>IF(J366="","",'Project Tracker'!E96)</ns0:f>
      </ns0:c>
      <ns0:c r="P366" t="str">
        <ns0:f>IF(J366="","",'Project Tracker'!F96)</ns0:f>
      </ns0:c>
      <ns0:c r="Q366" t="str">
        <ns0:f>IF(J366="","",'Project Tracker'!Q96)</ns0:f>
      </ns0:c>
      <ns0:c r="R366" t="str">
        <ns0:f>IF(J366="","",'Project Tracker'!J96)</ns0:f>
      </ns0:c>
    </ns0:row>
    <ns0:row r="367">
      <ns0:c r="J367" t="str">
        <ns0:f>IF('Project Tracker'!A97="","",TRIM(MID(SUBSTITUTE('Project Tracker'!K97,";",REPT(" ",150)),1,150)))</ns0:f>
      </ns0:c>
      <ns0:c r="K367" t="str">
        <ns0:f>IF(J367="","",IF(COUNTIFS($J$7:J367,J367)=1,MAX($K$6:K366)+1,""))</ns0:f>
      </ns0:c>
      <ns0:c r="M367" t="str">
        <ns0:f>IF(J367="","",'Project Tracker'!A97)</ns0:f>
      </ns0:c>
      <ns0:c r="N367" t="str">
        <ns0:f>IF(J367="","",'Project Tracker'!N97)</ns0:f>
      </ns0:c>
      <ns0:c r="O367" t="str">
        <ns0:f>IF(J367="","",'Project Tracker'!E97)</ns0:f>
      </ns0:c>
      <ns0:c r="P367" t="str">
        <ns0:f>IF(J367="","",'Project Tracker'!F97)</ns0:f>
      </ns0:c>
      <ns0:c r="Q367" t="str">
        <ns0:f>IF(J367="","",'Project Tracker'!Q97)</ns0:f>
      </ns0:c>
      <ns0:c r="R367" t="str">
        <ns0:f>IF(J367="","",'Project Tracker'!J97)</ns0:f>
      </ns0:c>
    </ns0:row>
    <ns0:row r="368">
      <ns0:c r="J368" t="str">
        <ns0:f>IF('Project Tracker'!A97="","",TRIM(MID(SUBSTITUTE('Project Tracker'!K97,";",REPT(" ",150)),151,150)))</ns0:f>
      </ns0:c>
      <ns0:c r="K368" t="str">
        <ns0:f>IF(J368="","",IF(COUNTIFS($J$7:J368,J368)=1,MAX($K$6:K367)+1,""))</ns0:f>
      </ns0:c>
      <ns0:c r="M368" t="str">
        <ns0:f>IF(J368="","",'Project Tracker'!A97)</ns0:f>
      </ns0:c>
      <ns0:c r="N368" t="str">
        <ns0:f>IF(J368="","",'Project Tracker'!N97)</ns0:f>
      </ns0:c>
      <ns0:c r="O368" t="str">
        <ns0:f>IF(J368="","",'Project Tracker'!E97)</ns0:f>
      </ns0:c>
      <ns0:c r="P368" t="str">
        <ns0:f>IF(J368="","",'Project Tracker'!F97)</ns0:f>
      </ns0:c>
      <ns0:c r="Q368" t="str">
        <ns0:f>IF(J368="","",'Project Tracker'!Q97)</ns0:f>
      </ns0:c>
      <ns0:c r="R368" t="str">
        <ns0:f>IF(J368="","",'Project Tracker'!J97)</ns0:f>
      </ns0:c>
    </ns0:row>
    <ns0:row r="369">
      <ns0:c r="J369" t="str">
        <ns0:f>IF('Project Tracker'!A97="","",TRIM(MID(SUBSTITUTE('Project Tracker'!K97,";",REPT(" ",150)),301,150)))</ns0:f>
      </ns0:c>
      <ns0:c r="K369" t="str">
        <ns0:f>IF(J369="","",IF(COUNTIFS($J$7:J369,J369)=1,MAX($K$6:K368)+1,""))</ns0:f>
      </ns0:c>
      <ns0:c r="M369" t="str">
        <ns0:f>IF(J369="","",'Project Tracker'!A97)</ns0:f>
      </ns0:c>
      <ns0:c r="N369" t="str">
        <ns0:f>IF(J369="","",'Project Tracker'!N97)</ns0:f>
      </ns0:c>
      <ns0:c r="O369" t="str">
        <ns0:f>IF(J369="","",'Project Tracker'!E97)</ns0:f>
      </ns0:c>
      <ns0:c r="P369" t="str">
        <ns0:f>IF(J369="","",'Project Tracker'!F97)</ns0:f>
      </ns0:c>
      <ns0:c r="Q369" t="str">
        <ns0:f>IF(J369="","",'Project Tracker'!Q97)</ns0:f>
      </ns0:c>
      <ns0:c r="R369" t="str">
        <ns0:f>IF(J369="","",'Project Tracker'!J97)</ns0:f>
      </ns0:c>
    </ns0:row>
    <ns0:row r="370">
      <ns0:c r="J370" t="str">
        <ns0:f>IF('Project Tracker'!A97="","",TRIM(MID(SUBSTITUTE('Project Tracker'!K97,";",REPT(" ",150)),451,150)))</ns0:f>
      </ns0:c>
      <ns0:c r="K370" t="str">
        <ns0:f>IF(J370="","",IF(COUNTIFS($J$7:J370,J370)=1,MAX($K$6:K369)+1,""))</ns0:f>
      </ns0:c>
      <ns0:c r="M370" t="str">
        <ns0:f>IF(J370="","",'Project Tracker'!A97)</ns0:f>
      </ns0:c>
      <ns0:c r="N370" t="str">
        <ns0:f>IF(J370="","",'Project Tracker'!N97)</ns0:f>
      </ns0:c>
      <ns0:c r="O370" t="str">
        <ns0:f>IF(J370="","",'Project Tracker'!E97)</ns0:f>
      </ns0:c>
      <ns0:c r="P370" t="str">
        <ns0:f>IF(J370="","",'Project Tracker'!F97)</ns0:f>
      </ns0:c>
      <ns0:c r="Q370" t="str">
        <ns0:f>IF(J370="","",'Project Tracker'!Q97)</ns0:f>
      </ns0:c>
      <ns0:c r="R370" t="str">
        <ns0:f>IF(J370="","",'Project Tracker'!J97)</ns0:f>
      </ns0:c>
    </ns0:row>
    <ns0:row r="371">
      <ns0:c r="J371" t="str">
        <ns0:f>IF('Project Tracker'!A98="","",TRIM(MID(SUBSTITUTE('Project Tracker'!K98,";",REPT(" ",150)),1,150)))</ns0:f>
      </ns0:c>
      <ns0:c r="K371" t="str">
        <ns0:f>IF(J371="","",IF(COUNTIFS($J$7:J371,J371)=1,MAX($K$6:K370)+1,""))</ns0:f>
      </ns0:c>
      <ns0:c r="M371" t="str">
        <ns0:f>IF(J371="","",'Project Tracker'!A98)</ns0:f>
      </ns0:c>
      <ns0:c r="N371" t="str">
        <ns0:f>IF(J371="","",'Project Tracker'!N98)</ns0:f>
      </ns0:c>
      <ns0:c r="O371" t="str">
        <ns0:f>IF(J371="","",'Project Tracker'!E98)</ns0:f>
      </ns0:c>
      <ns0:c r="P371" t="str">
        <ns0:f>IF(J371="","",'Project Tracker'!F98)</ns0:f>
      </ns0:c>
      <ns0:c r="Q371" t="str">
        <ns0:f>IF(J371="","",'Project Tracker'!Q98)</ns0:f>
      </ns0:c>
      <ns0:c r="R371" t="str">
        <ns0:f>IF(J371="","",'Project Tracker'!J98)</ns0:f>
      </ns0:c>
    </ns0:row>
    <ns0:row r="372">
      <ns0:c r="J372" t="str">
        <ns0:f>IF('Project Tracker'!A98="","",TRIM(MID(SUBSTITUTE('Project Tracker'!K98,";",REPT(" ",150)),151,150)))</ns0:f>
      </ns0:c>
      <ns0:c r="K372" t="str">
        <ns0:f>IF(J372="","",IF(COUNTIFS($J$7:J372,J372)=1,MAX($K$6:K371)+1,""))</ns0:f>
      </ns0:c>
      <ns0:c r="M372" t="str">
        <ns0:f>IF(J372="","",'Project Tracker'!A98)</ns0:f>
      </ns0:c>
      <ns0:c r="N372" t="str">
        <ns0:f>IF(J372="","",'Project Tracker'!N98)</ns0:f>
      </ns0:c>
      <ns0:c r="O372" t="str">
        <ns0:f>IF(J372="","",'Project Tracker'!E98)</ns0:f>
      </ns0:c>
      <ns0:c r="P372" t="str">
        <ns0:f>IF(J372="","",'Project Tracker'!F98)</ns0:f>
      </ns0:c>
      <ns0:c r="Q372" t="str">
        <ns0:f>IF(J372="","",'Project Tracker'!Q98)</ns0:f>
      </ns0:c>
      <ns0:c r="R372" t="str">
        <ns0:f>IF(J372="","",'Project Tracker'!J98)</ns0:f>
      </ns0:c>
    </ns0:row>
    <ns0:row r="373">
      <ns0:c r="J373" t="str">
        <ns0:f>IF('Project Tracker'!A98="","",TRIM(MID(SUBSTITUTE('Project Tracker'!K98,";",REPT(" ",150)),301,150)))</ns0:f>
      </ns0:c>
      <ns0:c r="K373" t="str">
        <ns0:f>IF(J373="","",IF(COUNTIFS($J$7:J373,J373)=1,MAX($K$6:K372)+1,""))</ns0:f>
      </ns0:c>
      <ns0:c r="M373" t="str">
        <ns0:f>IF(J373="","",'Project Tracker'!A98)</ns0:f>
      </ns0:c>
      <ns0:c r="N373" t="str">
        <ns0:f>IF(J373="","",'Project Tracker'!N98)</ns0:f>
      </ns0:c>
      <ns0:c r="O373" t="str">
        <ns0:f>IF(J373="","",'Project Tracker'!E98)</ns0:f>
      </ns0:c>
      <ns0:c r="P373" t="str">
        <ns0:f>IF(J373="","",'Project Tracker'!F98)</ns0:f>
      </ns0:c>
      <ns0:c r="Q373" t="str">
        <ns0:f>IF(J373="","",'Project Tracker'!Q98)</ns0:f>
      </ns0:c>
      <ns0:c r="R373" t="str">
        <ns0:f>IF(J373="","",'Project Tracker'!J98)</ns0:f>
      </ns0:c>
    </ns0:row>
    <ns0:row r="374">
      <ns0:c r="J374" t="str">
        <ns0:f>IF('Project Tracker'!A98="","",TRIM(MID(SUBSTITUTE('Project Tracker'!K98,";",REPT(" ",150)),451,150)))</ns0:f>
      </ns0:c>
      <ns0:c r="K374" t="str">
        <ns0:f>IF(J374="","",IF(COUNTIFS($J$7:J374,J374)=1,MAX($K$6:K373)+1,""))</ns0:f>
      </ns0:c>
      <ns0:c r="M374" t="str">
        <ns0:f>IF(J374="","",'Project Tracker'!A98)</ns0:f>
      </ns0:c>
      <ns0:c r="N374" t="str">
        <ns0:f>IF(J374="","",'Project Tracker'!N98)</ns0:f>
      </ns0:c>
      <ns0:c r="O374" t="str">
        <ns0:f>IF(J374="","",'Project Tracker'!E98)</ns0:f>
      </ns0:c>
      <ns0:c r="P374" t="str">
        <ns0:f>IF(J374="","",'Project Tracker'!F98)</ns0:f>
      </ns0:c>
      <ns0:c r="Q374" t="str">
        <ns0:f>IF(J374="","",'Project Tracker'!Q98)</ns0:f>
      </ns0:c>
      <ns0:c r="R374" t="str">
        <ns0:f>IF(J374="","",'Project Tracker'!J98)</ns0:f>
      </ns0:c>
    </ns0:row>
    <ns0:row r="375">
      <ns0:c r="J375" t="str">
        <ns0:f>IF('Project Tracker'!A99="","",TRIM(MID(SUBSTITUTE('Project Tracker'!K99,";",REPT(" ",150)),1,150)))</ns0:f>
      </ns0:c>
      <ns0:c r="K375" t="str">
        <ns0:f>IF(J375="","",IF(COUNTIFS($J$7:J375,J375)=1,MAX($K$6:K374)+1,""))</ns0:f>
      </ns0:c>
      <ns0:c r="M375" t="str">
        <ns0:f>IF(J375="","",'Project Tracker'!A99)</ns0:f>
      </ns0:c>
      <ns0:c r="N375" t="str">
        <ns0:f>IF(J375="","",'Project Tracker'!N99)</ns0:f>
      </ns0:c>
      <ns0:c r="O375" t="str">
        <ns0:f>IF(J375="","",'Project Tracker'!E99)</ns0:f>
      </ns0:c>
      <ns0:c r="P375" t="str">
        <ns0:f>IF(J375="","",'Project Tracker'!F99)</ns0:f>
      </ns0:c>
      <ns0:c r="Q375" t="str">
        <ns0:f>IF(J375="","",'Project Tracker'!Q99)</ns0:f>
      </ns0:c>
      <ns0:c r="R375" t="str">
        <ns0:f>IF(J375="","",'Project Tracker'!J99)</ns0:f>
      </ns0:c>
    </ns0:row>
    <ns0:row r="376">
      <ns0:c r="J376" t="str">
        <ns0:f>IF('Project Tracker'!A99="","",TRIM(MID(SUBSTITUTE('Project Tracker'!K99,";",REPT(" ",150)),151,150)))</ns0:f>
      </ns0:c>
      <ns0:c r="K376" t="str">
        <ns0:f>IF(J376="","",IF(COUNTIFS($J$7:J376,J376)=1,MAX($K$6:K375)+1,""))</ns0:f>
      </ns0:c>
      <ns0:c r="M376" t="str">
        <ns0:f>IF(J376="","",'Project Tracker'!A99)</ns0:f>
      </ns0:c>
      <ns0:c r="N376" t="str">
        <ns0:f>IF(J376="","",'Project Tracker'!N99)</ns0:f>
      </ns0:c>
      <ns0:c r="O376" t="str">
        <ns0:f>IF(J376="","",'Project Tracker'!E99)</ns0:f>
      </ns0:c>
      <ns0:c r="P376" t="str">
        <ns0:f>IF(J376="","",'Project Tracker'!F99)</ns0:f>
      </ns0:c>
      <ns0:c r="Q376" t="str">
        <ns0:f>IF(J376="","",'Project Tracker'!Q99)</ns0:f>
      </ns0:c>
      <ns0:c r="R376" t="str">
        <ns0:f>IF(J376="","",'Project Tracker'!J99)</ns0:f>
      </ns0:c>
    </ns0:row>
    <ns0:row r="377">
      <ns0:c r="J377" t="str">
        <ns0:f>IF('Project Tracker'!A99="","",TRIM(MID(SUBSTITUTE('Project Tracker'!K99,";",REPT(" ",150)),301,150)))</ns0:f>
      </ns0:c>
      <ns0:c r="K377" t="str">
        <ns0:f>IF(J377="","",IF(COUNTIFS($J$7:J377,J377)=1,MAX($K$6:K376)+1,""))</ns0:f>
      </ns0:c>
      <ns0:c r="M377" t="str">
        <ns0:f>IF(J377="","",'Project Tracker'!A99)</ns0:f>
      </ns0:c>
      <ns0:c r="N377" t="str">
        <ns0:f>IF(J377="","",'Project Tracker'!N99)</ns0:f>
      </ns0:c>
      <ns0:c r="O377" t="str">
        <ns0:f>IF(J377="","",'Project Tracker'!E99)</ns0:f>
      </ns0:c>
      <ns0:c r="P377" t="str">
        <ns0:f>IF(J377="","",'Project Tracker'!F99)</ns0:f>
      </ns0:c>
      <ns0:c r="Q377" t="str">
        <ns0:f>IF(J377="","",'Project Tracker'!Q99)</ns0:f>
      </ns0:c>
      <ns0:c r="R377" t="str">
        <ns0:f>IF(J377="","",'Project Tracker'!J99)</ns0:f>
      </ns0:c>
    </ns0:row>
    <ns0:row r="378">
      <ns0:c r="J378" t="str">
        <ns0:f>IF('Project Tracker'!A99="","",TRIM(MID(SUBSTITUTE('Project Tracker'!K99,";",REPT(" ",150)),451,150)))</ns0:f>
      </ns0:c>
      <ns0:c r="K378" t="str">
        <ns0:f>IF(J378="","",IF(COUNTIFS($J$7:J378,J378)=1,MAX($K$6:K377)+1,""))</ns0:f>
      </ns0:c>
      <ns0:c r="M378" t="str">
        <ns0:f>IF(J378="","",'Project Tracker'!A99)</ns0:f>
      </ns0:c>
      <ns0:c r="N378" t="str">
        <ns0:f>IF(J378="","",'Project Tracker'!N99)</ns0:f>
      </ns0:c>
      <ns0:c r="O378" t="str">
        <ns0:f>IF(J378="","",'Project Tracker'!E99)</ns0:f>
      </ns0:c>
      <ns0:c r="P378" t="str">
        <ns0:f>IF(J378="","",'Project Tracker'!F99)</ns0:f>
      </ns0:c>
      <ns0:c r="Q378" t="str">
        <ns0:f>IF(J378="","",'Project Tracker'!Q99)</ns0:f>
      </ns0:c>
      <ns0:c r="R378" t="str">
        <ns0:f>IF(J378="","",'Project Tracker'!J99)</ns0:f>
      </ns0:c>
    </ns0:row>
    <ns0:row r="379">
      <ns0:c r="J379" t="str">
        <ns0:f>IF('Project Tracker'!A100="","",TRIM(MID(SUBSTITUTE('Project Tracker'!K100,";",REPT(" ",150)),1,150)))</ns0:f>
      </ns0:c>
      <ns0:c r="K379" t="str">
        <ns0:f>IF(J379="","",IF(COUNTIFS($J$7:J379,J379)=1,MAX($K$6:K378)+1,""))</ns0:f>
      </ns0:c>
      <ns0:c r="M379" t="str">
        <ns0:f>IF(J379="","",'Project Tracker'!A100)</ns0:f>
      </ns0:c>
      <ns0:c r="N379" t="str">
        <ns0:f>IF(J379="","",'Project Tracker'!N100)</ns0:f>
      </ns0:c>
      <ns0:c r="O379" t="str">
        <ns0:f>IF(J379="","",'Project Tracker'!E100)</ns0:f>
      </ns0:c>
      <ns0:c r="P379" t="str">
        <ns0:f>IF(J379="","",'Project Tracker'!F100)</ns0:f>
      </ns0:c>
      <ns0:c r="Q379" t="str">
        <ns0:f>IF(J379="","",'Project Tracker'!Q100)</ns0:f>
      </ns0:c>
      <ns0:c r="R379" t="str">
        <ns0:f>IF(J379="","",'Project Tracker'!J100)</ns0:f>
      </ns0:c>
    </ns0:row>
    <ns0:row r="380">
      <ns0:c r="J380" t="str">
        <ns0:f>IF('Project Tracker'!A100="","",TRIM(MID(SUBSTITUTE('Project Tracker'!K100,";",REPT(" ",150)),151,150)))</ns0:f>
      </ns0:c>
      <ns0:c r="K380" t="str">
        <ns0:f>IF(J380="","",IF(COUNTIFS($J$7:J380,J380)=1,MAX($K$6:K379)+1,""))</ns0:f>
      </ns0:c>
      <ns0:c r="M380" t="str">
        <ns0:f>IF(J380="","",'Project Tracker'!A100)</ns0:f>
      </ns0:c>
      <ns0:c r="N380" t="str">
        <ns0:f>IF(J380="","",'Project Tracker'!N100)</ns0:f>
      </ns0:c>
      <ns0:c r="O380" t="str">
        <ns0:f>IF(J380="","",'Project Tracker'!E100)</ns0:f>
      </ns0:c>
      <ns0:c r="P380" t="str">
        <ns0:f>IF(J380="","",'Project Tracker'!F100)</ns0:f>
      </ns0:c>
      <ns0:c r="Q380" t="str">
        <ns0:f>IF(J380="","",'Project Tracker'!Q100)</ns0:f>
      </ns0:c>
      <ns0:c r="R380" t="str">
        <ns0:f>IF(J380="","",'Project Tracker'!J100)</ns0:f>
      </ns0:c>
    </ns0:row>
    <ns0:row r="381">
      <ns0:c r="J381" t="str">
        <ns0:f>IF('Project Tracker'!A100="","",TRIM(MID(SUBSTITUTE('Project Tracker'!K100,";",REPT(" ",150)),301,150)))</ns0:f>
      </ns0:c>
      <ns0:c r="K381" t="str">
        <ns0:f>IF(J381="","",IF(COUNTIFS($J$7:J381,J381)=1,MAX($K$6:K380)+1,""))</ns0:f>
      </ns0:c>
      <ns0:c r="M381" t="str">
        <ns0:f>IF(J381="","",'Project Tracker'!A100)</ns0:f>
      </ns0:c>
      <ns0:c r="N381" t="str">
        <ns0:f>IF(J381="","",'Project Tracker'!N100)</ns0:f>
      </ns0:c>
      <ns0:c r="O381" t="str">
        <ns0:f>IF(J381="","",'Project Tracker'!E100)</ns0:f>
      </ns0:c>
      <ns0:c r="P381" t="str">
        <ns0:f>IF(J381="","",'Project Tracker'!F100)</ns0:f>
      </ns0:c>
      <ns0:c r="Q381" t="str">
        <ns0:f>IF(J381="","",'Project Tracker'!Q100)</ns0:f>
      </ns0:c>
      <ns0:c r="R381" t="str">
        <ns0:f>IF(J381="","",'Project Tracker'!J100)</ns0:f>
      </ns0:c>
    </ns0:row>
    <ns0:row r="382">
      <ns0:c r="J382" t="str">
        <ns0:f>IF('Project Tracker'!A100="","",TRIM(MID(SUBSTITUTE('Project Tracker'!K100,";",REPT(" ",150)),451,150)))</ns0:f>
      </ns0:c>
      <ns0:c r="K382" t="str">
        <ns0:f>IF(J382="","",IF(COUNTIFS($J$7:J382,J382)=1,MAX($K$6:K381)+1,""))</ns0:f>
      </ns0:c>
      <ns0:c r="M382" t="str">
        <ns0:f>IF(J382="","",'Project Tracker'!A100)</ns0:f>
      </ns0:c>
      <ns0:c r="N382" t="str">
        <ns0:f>IF(J382="","",'Project Tracker'!N100)</ns0:f>
      </ns0:c>
      <ns0:c r="O382" t="str">
        <ns0:f>IF(J382="","",'Project Tracker'!E100)</ns0:f>
      </ns0:c>
      <ns0:c r="P382" t="str">
        <ns0:f>IF(J382="","",'Project Tracker'!F100)</ns0:f>
      </ns0:c>
      <ns0:c r="Q382" t="str">
        <ns0:f>IF(J382="","",'Project Tracker'!Q100)</ns0:f>
      </ns0:c>
      <ns0:c r="R382" t="str">
        <ns0:f>IF(J382="","",'Project Tracker'!J100)</ns0:f>
      </ns0:c>
    </ns0:row>
    <ns0:row r="383">
      <ns0:c r="J383" t="str">
        <ns0:f>IF('Project Tracker'!A101="","",TRIM(MID(SUBSTITUTE('Project Tracker'!K101,";",REPT(" ",150)),1,150)))</ns0:f>
      </ns0:c>
      <ns0:c r="K383" t="str">
        <ns0:f>IF(J383="","",IF(COUNTIFS($J$7:J383,J383)=1,MAX($K$6:K382)+1,""))</ns0:f>
      </ns0:c>
      <ns0:c r="M383" t="str">
        <ns0:f>IF(J383="","",'Project Tracker'!A101)</ns0:f>
      </ns0:c>
      <ns0:c r="N383" t="str">
        <ns0:f>IF(J383="","",'Project Tracker'!N101)</ns0:f>
      </ns0:c>
      <ns0:c r="O383" t="str">
        <ns0:f>IF(J383="","",'Project Tracker'!E101)</ns0:f>
      </ns0:c>
      <ns0:c r="P383" t="str">
        <ns0:f>IF(J383="","",'Project Tracker'!F101)</ns0:f>
      </ns0:c>
      <ns0:c r="Q383" t="str">
        <ns0:f>IF(J383="","",'Project Tracker'!Q101)</ns0:f>
      </ns0:c>
      <ns0:c r="R383" t="str">
        <ns0:f>IF(J383="","",'Project Tracker'!J101)</ns0:f>
      </ns0:c>
    </ns0:row>
    <ns0:row r="384">
      <ns0:c r="J384" t="str">
        <ns0:f>IF('Project Tracker'!A101="","",TRIM(MID(SUBSTITUTE('Project Tracker'!K101,";",REPT(" ",150)),151,150)))</ns0:f>
      </ns0:c>
      <ns0:c r="K384" t="str">
        <ns0:f>IF(J384="","",IF(COUNTIFS($J$7:J384,J384)=1,MAX($K$6:K383)+1,""))</ns0:f>
      </ns0:c>
      <ns0:c r="M384" t="str">
        <ns0:f>IF(J384="","",'Project Tracker'!A101)</ns0:f>
      </ns0:c>
      <ns0:c r="N384" t="str">
        <ns0:f>IF(J384="","",'Project Tracker'!N101)</ns0:f>
      </ns0:c>
      <ns0:c r="O384" t="str">
        <ns0:f>IF(J384="","",'Project Tracker'!E101)</ns0:f>
      </ns0:c>
      <ns0:c r="P384" t="str">
        <ns0:f>IF(J384="","",'Project Tracker'!F101)</ns0:f>
      </ns0:c>
      <ns0:c r="Q384" t="str">
        <ns0:f>IF(J384="","",'Project Tracker'!Q101)</ns0:f>
      </ns0:c>
      <ns0:c r="R384" t="str">
        <ns0:f>IF(J384="","",'Project Tracker'!J101)</ns0:f>
      </ns0:c>
    </ns0:row>
    <ns0:row r="385">
      <ns0:c r="J385" t="str">
        <ns0:f>IF('Project Tracker'!A101="","",TRIM(MID(SUBSTITUTE('Project Tracker'!K101,";",REPT(" ",150)),301,150)))</ns0:f>
      </ns0:c>
      <ns0:c r="K385" t="str">
        <ns0:f>IF(J385="","",IF(COUNTIFS($J$7:J385,J385)=1,MAX($K$6:K384)+1,""))</ns0:f>
      </ns0:c>
      <ns0:c r="M385" t="str">
        <ns0:f>IF(J385="","",'Project Tracker'!A101)</ns0:f>
      </ns0:c>
      <ns0:c r="N385" t="str">
        <ns0:f>IF(J385="","",'Project Tracker'!N101)</ns0:f>
      </ns0:c>
      <ns0:c r="O385" t="str">
        <ns0:f>IF(J385="","",'Project Tracker'!E101)</ns0:f>
      </ns0:c>
      <ns0:c r="P385" t="str">
        <ns0:f>IF(J385="","",'Project Tracker'!F101)</ns0:f>
      </ns0:c>
      <ns0:c r="Q385" t="str">
        <ns0:f>IF(J385="","",'Project Tracker'!Q101)</ns0:f>
      </ns0:c>
      <ns0:c r="R385" t="str">
        <ns0:f>IF(J385="","",'Project Tracker'!J101)</ns0:f>
      </ns0:c>
    </ns0:row>
    <ns0:row r="386">
      <ns0:c r="J386" t="str">
        <ns0:f>IF('Project Tracker'!A101="","",TRIM(MID(SUBSTITUTE('Project Tracker'!K101,";",REPT(" ",150)),451,150)))</ns0:f>
      </ns0:c>
      <ns0:c r="K386" t="str">
        <ns0:f>IF(J386="","",IF(COUNTIFS($J$7:J386,J386)=1,MAX($K$6:K385)+1,""))</ns0:f>
      </ns0:c>
      <ns0:c r="M386" t="str">
        <ns0:f>IF(J386="","",'Project Tracker'!A101)</ns0:f>
      </ns0:c>
      <ns0:c r="N386" t="str">
        <ns0:f>IF(J386="","",'Project Tracker'!N101)</ns0:f>
      </ns0:c>
      <ns0:c r="O386" t="str">
        <ns0:f>IF(J386="","",'Project Tracker'!E101)</ns0:f>
      </ns0:c>
      <ns0:c r="P386" t="str">
        <ns0:f>IF(J386="","",'Project Tracker'!F101)</ns0:f>
      </ns0:c>
      <ns0:c r="Q386" t="str">
        <ns0:f>IF(J386="","",'Project Tracker'!Q101)</ns0:f>
      </ns0:c>
      <ns0:c r="R386" t="str">
        <ns0:f>IF(J386="","",'Project Tracker'!J101)</ns0:f>
      </ns0:c>
    </ns0:row>
    <ns0:row r="387">
      <ns0:c r="J387" t="str">
        <ns0:f>IF('Project Tracker'!A102="","",TRIM(MID(SUBSTITUTE('Project Tracker'!K102,";",REPT(" ",150)),1,150)))</ns0:f>
      </ns0:c>
      <ns0:c r="K387" t="str">
        <ns0:f>IF(J387="","",IF(COUNTIFS($J$7:J387,J387)=1,MAX($K$6:K386)+1,""))</ns0:f>
      </ns0:c>
      <ns0:c r="M387" t="str">
        <ns0:f>IF(J387="","",'Project Tracker'!A102)</ns0:f>
      </ns0:c>
      <ns0:c r="N387" t="str">
        <ns0:f>IF(J387="","",'Project Tracker'!N102)</ns0:f>
      </ns0:c>
      <ns0:c r="O387" t="str">
        <ns0:f>IF(J387="","",'Project Tracker'!E102)</ns0:f>
      </ns0:c>
      <ns0:c r="P387" t="str">
        <ns0:f>IF(J387="","",'Project Tracker'!F102)</ns0:f>
      </ns0:c>
      <ns0:c r="Q387" t="str">
        <ns0:f>IF(J387="","",'Project Tracker'!Q102)</ns0:f>
      </ns0:c>
      <ns0:c r="R387" t="str">
        <ns0:f>IF(J387="","",'Project Tracker'!J102)</ns0:f>
      </ns0:c>
    </ns0:row>
    <ns0:row r="388">
      <ns0:c r="J388" t="str">
        <ns0:f>IF('Project Tracker'!A102="","",TRIM(MID(SUBSTITUTE('Project Tracker'!K102,";",REPT(" ",150)),151,150)))</ns0:f>
      </ns0:c>
      <ns0:c r="K388" t="str">
        <ns0:f>IF(J388="","",IF(COUNTIFS($J$7:J388,J388)=1,MAX($K$6:K387)+1,""))</ns0:f>
      </ns0:c>
      <ns0:c r="M388" t="str">
        <ns0:f>IF(J388="","",'Project Tracker'!A102)</ns0:f>
      </ns0:c>
      <ns0:c r="N388" t="str">
        <ns0:f>IF(J388="","",'Project Tracker'!N102)</ns0:f>
      </ns0:c>
      <ns0:c r="O388" t="str">
        <ns0:f>IF(J388="","",'Project Tracker'!E102)</ns0:f>
      </ns0:c>
      <ns0:c r="P388" t="str">
        <ns0:f>IF(J388="","",'Project Tracker'!F102)</ns0:f>
      </ns0:c>
      <ns0:c r="Q388" t="str">
        <ns0:f>IF(J388="","",'Project Tracker'!Q102)</ns0:f>
      </ns0:c>
      <ns0:c r="R388" t="str">
        <ns0:f>IF(J388="","",'Project Tracker'!J102)</ns0:f>
      </ns0:c>
    </ns0:row>
    <ns0:row r="389">
      <ns0:c r="J389" t="str">
        <ns0:f>IF('Project Tracker'!A102="","",TRIM(MID(SUBSTITUTE('Project Tracker'!K102,";",REPT(" ",150)),301,150)))</ns0:f>
      </ns0:c>
      <ns0:c r="K389" t="str">
        <ns0:f>IF(J389="","",IF(COUNTIFS($J$7:J389,J389)=1,MAX($K$6:K388)+1,""))</ns0:f>
      </ns0:c>
      <ns0:c r="M389" t="str">
        <ns0:f>IF(J389="","",'Project Tracker'!A102)</ns0:f>
      </ns0:c>
      <ns0:c r="N389" t="str">
        <ns0:f>IF(J389="","",'Project Tracker'!N102)</ns0:f>
      </ns0:c>
      <ns0:c r="O389" t="str">
        <ns0:f>IF(J389="","",'Project Tracker'!E102)</ns0:f>
      </ns0:c>
      <ns0:c r="P389" t="str">
        <ns0:f>IF(J389="","",'Project Tracker'!F102)</ns0:f>
      </ns0:c>
      <ns0:c r="Q389" t="str">
        <ns0:f>IF(J389="","",'Project Tracker'!Q102)</ns0:f>
      </ns0:c>
      <ns0:c r="R389" t="str">
        <ns0:f>IF(J389="","",'Project Tracker'!J102)</ns0:f>
      </ns0:c>
    </ns0:row>
    <ns0:row r="390">
      <ns0:c r="J390" t="str">
        <ns0:f>IF('Project Tracker'!A102="","",TRIM(MID(SUBSTITUTE('Project Tracker'!K102,";",REPT(" ",150)),451,150)))</ns0:f>
      </ns0:c>
      <ns0:c r="K390" t="str">
        <ns0:f>IF(J390="","",IF(COUNTIFS($J$7:J390,J390)=1,MAX($K$6:K389)+1,""))</ns0:f>
      </ns0:c>
      <ns0:c r="M390" t="str">
        <ns0:f>IF(J390="","",'Project Tracker'!A102)</ns0:f>
      </ns0:c>
      <ns0:c r="N390" t="str">
        <ns0:f>IF(J390="","",'Project Tracker'!N102)</ns0:f>
      </ns0:c>
      <ns0:c r="O390" t="str">
        <ns0:f>IF(J390="","",'Project Tracker'!E102)</ns0:f>
      </ns0:c>
      <ns0:c r="P390" t="str">
        <ns0:f>IF(J390="","",'Project Tracker'!F102)</ns0:f>
      </ns0:c>
      <ns0:c r="Q390" t="str">
        <ns0:f>IF(J390="","",'Project Tracker'!Q102)</ns0:f>
      </ns0:c>
      <ns0:c r="R390" t="str">
        <ns0:f>IF(J390="","",'Project Tracker'!J102)</ns0:f>
      </ns0:c>
    </ns0:row>
    <ns0:row r="391">
      <ns0:c r="J391" t="str">
        <ns0:f>IF('Project Tracker'!A103="","",TRIM(MID(SUBSTITUTE('Project Tracker'!K103,";",REPT(" ",150)),1,150)))</ns0:f>
      </ns0:c>
      <ns0:c r="K391" t="str">
        <ns0:f>IF(J391="","",IF(COUNTIFS($J$7:J391,J391)=1,MAX($K$6:K390)+1,""))</ns0:f>
      </ns0:c>
      <ns0:c r="M391" t="str">
        <ns0:f>IF(J391="","",'Project Tracker'!A103)</ns0:f>
      </ns0:c>
      <ns0:c r="N391" t="str">
        <ns0:f>IF(J391="","",'Project Tracker'!N103)</ns0:f>
      </ns0:c>
      <ns0:c r="O391" t="str">
        <ns0:f>IF(J391="","",'Project Tracker'!E103)</ns0:f>
      </ns0:c>
      <ns0:c r="P391" t="str">
        <ns0:f>IF(J391="","",'Project Tracker'!F103)</ns0:f>
      </ns0:c>
      <ns0:c r="Q391" t="str">
        <ns0:f>IF(J391="","",'Project Tracker'!Q103)</ns0:f>
      </ns0:c>
      <ns0:c r="R391" t="str">
        <ns0:f>IF(J391="","",'Project Tracker'!J103)</ns0:f>
      </ns0:c>
    </ns0:row>
    <ns0:row r="392">
      <ns0:c r="J392" t="str">
        <ns0:f>IF('Project Tracker'!A103="","",TRIM(MID(SUBSTITUTE('Project Tracker'!K103,";",REPT(" ",150)),151,150)))</ns0:f>
      </ns0:c>
      <ns0:c r="K392" t="str">
        <ns0:f>IF(J392="","",IF(COUNTIFS($J$7:J392,J392)=1,MAX($K$6:K391)+1,""))</ns0:f>
      </ns0:c>
      <ns0:c r="M392" t="str">
        <ns0:f>IF(J392="","",'Project Tracker'!A103)</ns0:f>
      </ns0:c>
      <ns0:c r="N392" t="str">
        <ns0:f>IF(J392="","",'Project Tracker'!N103)</ns0:f>
      </ns0:c>
      <ns0:c r="O392" t="str">
        <ns0:f>IF(J392="","",'Project Tracker'!E103)</ns0:f>
      </ns0:c>
      <ns0:c r="P392" t="str">
        <ns0:f>IF(J392="","",'Project Tracker'!F103)</ns0:f>
      </ns0:c>
      <ns0:c r="Q392" t="str">
        <ns0:f>IF(J392="","",'Project Tracker'!Q103)</ns0:f>
      </ns0:c>
      <ns0:c r="R392" t="str">
        <ns0:f>IF(J392="","",'Project Tracker'!J103)</ns0:f>
      </ns0:c>
    </ns0:row>
    <ns0:row r="393">
      <ns0:c r="J393" t="str">
        <ns0:f>IF('Project Tracker'!A103="","",TRIM(MID(SUBSTITUTE('Project Tracker'!K103,";",REPT(" ",150)),301,150)))</ns0:f>
      </ns0:c>
      <ns0:c r="K393" t="str">
        <ns0:f>IF(J393="","",IF(COUNTIFS($J$7:J393,J393)=1,MAX($K$6:K392)+1,""))</ns0:f>
      </ns0:c>
      <ns0:c r="M393" t="str">
        <ns0:f>IF(J393="","",'Project Tracker'!A103)</ns0:f>
      </ns0:c>
      <ns0:c r="N393" t="str">
        <ns0:f>IF(J393="","",'Project Tracker'!N103)</ns0:f>
      </ns0:c>
      <ns0:c r="O393" t="str">
        <ns0:f>IF(J393="","",'Project Tracker'!E103)</ns0:f>
      </ns0:c>
      <ns0:c r="P393" t="str">
        <ns0:f>IF(J393="","",'Project Tracker'!F103)</ns0:f>
      </ns0:c>
      <ns0:c r="Q393" t="str">
        <ns0:f>IF(J393="","",'Project Tracker'!Q103)</ns0:f>
      </ns0:c>
      <ns0:c r="R393" t="str">
        <ns0:f>IF(J393="","",'Project Tracker'!J103)</ns0:f>
      </ns0:c>
    </ns0:row>
    <ns0:row r="394">
      <ns0:c r="J394" t="str">
        <ns0:f>IF('Project Tracker'!A103="","",TRIM(MID(SUBSTITUTE('Project Tracker'!K103,";",REPT(" ",150)),451,150)))</ns0:f>
      </ns0:c>
      <ns0:c r="K394" t="str">
        <ns0:f>IF(J394="","",IF(COUNTIFS($J$7:J394,J394)=1,MAX($K$6:K393)+1,""))</ns0:f>
      </ns0:c>
      <ns0:c r="M394" t="str">
        <ns0:f>IF(J394="","",'Project Tracker'!A103)</ns0:f>
      </ns0:c>
      <ns0:c r="N394" t="str">
        <ns0:f>IF(J394="","",'Project Tracker'!N103)</ns0:f>
      </ns0:c>
      <ns0:c r="O394" t="str">
        <ns0:f>IF(J394="","",'Project Tracker'!E103)</ns0:f>
      </ns0:c>
      <ns0:c r="P394" t="str">
        <ns0:f>IF(J394="","",'Project Tracker'!F103)</ns0:f>
      </ns0:c>
      <ns0:c r="Q394" t="str">
        <ns0:f>IF(J394="","",'Project Tracker'!Q103)</ns0:f>
      </ns0:c>
      <ns0:c r="R394" t="str">
        <ns0:f>IF(J394="","",'Project Tracker'!J103)</ns0:f>
      </ns0:c>
    </ns0:row>
    <ns0:row r="395">
      <ns0:c r="J395" t="str">
        <ns0:f>IF('Project Tracker'!A104="","",TRIM(MID(SUBSTITUTE('Project Tracker'!K104,";",REPT(" ",150)),1,150)))</ns0:f>
      </ns0:c>
      <ns0:c r="K395" t="str">
        <ns0:f>IF(J395="","",IF(COUNTIFS($J$7:J395,J395)=1,MAX($K$6:K394)+1,""))</ns0:f>
      </ns0:c>
      <ns0:c r="M395" t="str">
        <ns0:f>IF(J395="","",'Project Tracker'!A104)</ns0:f>
      </ns0:c>
      <ns0:c r="N395" t="str">
        <ns0:f>IF(J395="","",'Project Tracker'!N104)</ns0:f>
      </ns0:c>
      <ns0:c r="O395" t="str">
        <ns0:f>IF(J395="","",'Project Tracker'!E104)</ns0:f>
      </ns0:c>
      <ns0:c r="P395" t="str">
        <ns0:f>IF(J395="","",'Project Tracker'!F104)</ns0:f>
      </ns0:c>
      <ns0:c r="Q395" t="str">
        <ns0:f>IF(J395="","",'Project Tracker'!Q104)</ns0:f>
      </ns0:c>
      <ns0:c r="R395" t="str">
        <ns0:f>IF(J395="","",'Project Tracker'!J104)</ns0:f>
      </ns0:c>
    </ns0:row>
    <ns0:row r="396">
      <ns0:c r="J396" t="str">
        <ns0:f>IF('Project Tracker'!A104="","",TRIM(MID(SUBSTITUTE('Project Tracker'!K104,";",REPT(" ",150)),151,150)))</ns0:f>
      </ns0:c>
      <ns0:c r="K396" t="str">
        <ns0:f>IF(J396="","",IF(COUNTIFS($J$7:J396,J396)=1,MAX($K$6:K395)+1,""))</ns0:f>
      </ns0:c>
      <ns0:c r="M396" t="str">
        <ns0:f>IF(J396="","",'Project Tracker'!A104)</ns0:f>
      </ns0:c>
      <ns0:c r="N396" t="str">
        <ns0:f>IF(J396="","",'Project Tracker'!N104)</ns0:f>
      </ns0:c>
      <ns0:c r="O396" t="str">
        <ns0:f>IF(J396="","",'Project Tracker'!E104)</ns0:f>
      </ns0:c>
      <ns0:c r="P396" t="str">
        <ns0:f>IF(J396="","",'Project Tracker'!F104)</ns0:f>
      </ns0:c>
      <ns0:c r="Q396" t="str">
        <ns0:f>IF(J396="","",'Project Tracker'!Q104)</ns0:f>
      </ns0:c>
      <ns0:c r="R396" t="str">
        <ns0:f>IF(J396="","",'Project Tracker'!J104)</ns0:f>
      </ns0:c>
    </ns0:row>
    <ns0:row r="397">
      <ns0:c r="J397" t="str">
        <ns0:f>IF('Project Tracker'!A104="","",TRIM(MID(SUBSTITUTE('Project Tracker'!K104,";",REPT(" ",150)),301,150)))</ns0:f>
      </ns0:c>
      <ns0:c r="K397" t="str">
        <ns0:f>IF(J397="","",IF(COUNTIFS($J$7:J397,J397)=1,MAX($K$6:K396)+1,""))</ns0:f>
      </ns0:c>
      <ns0:c r="M397" t="str">
        <ns0:f>IF(J397="","",'Project Tracker'!A104)</ns0:f>
      </ns0:c>
      <ns0:c r="N397" t="str">
        <ns0:f>IF(J397="","",'Project Tracker'!N104)</ns0:f>
      </ns0:c>
      <ns0:c r="O397" t="str">
        <ns0:f>IF(J397="","",'Project Tracker'!E104)</ns0:f>
      </ns0:c>
      <ns0:c r="P397" t="str">
        <ns0:f>IF(J397="","",'Project Tracker'!F104)</ns0:f>
      </ns0:c>
      <ns0:c r="Q397" t="str">
        <ns0:f>IF(J397="","",'Project Tracker'!Q104)</ns0:f>
      </ns0:c>
      <ns0:c r="R397" t="str">
        <ns0:f>IF(J397="","",'Project Tracker'!J104)</ns0:f>
      </ns0:c>
    </ns0:row>
    <ns0:row r="398">
      <ns0:c r="J398" t="str">
        <ns0:f>IF('Project Tracker'!A104="","",TRIM(MID(SUBSTITUTE('Project Tracker'!K104,";",REPT(" ",150)),451,150)))</ns0:f>
      </ns0:c>
      <ns0:c r="K398" t="str">
        <ns0:f>IF(J398="","",IF(COUNTIFS($J$7:J398,J398)=1,MAX($K$6:K397)+1,""))</ns0:f>
      </ns0:c>
      <ns0:c r="M398" t="str">
        <ns0:f>IF(J398="","",'Project Tracker'!A104)</ns0:f>
      </ns0:c>
      <ns0:c r="N398" t="str">
        <ns0:f>IF(J398="","",'Project Tracker'!N104)</ns0:f>
      </ns0:c>
      <ns0:c r="O398" t="str">
        <ns0:f>IF(J398="","",'Project Tracker'!E104)</ns0:f>
      </ns0:c>
      <ns0:c r="P398" t="str">
        <ns0:f>IF(J398="","",'Project Tracker'!F104)</ns0:f>
      </ns0:c>
      <ns0:c r="Q398" t="str">
        <ns0:f>IF(J398="","",'Project Tracker'!Q104)</ns0:f>
      </ns0:c>
      <ns0:c r="R398" t="str">
        <ns0:f>IF(J398="","",'Project Tracker'!J104)</ns0:f>
      </ns0:c>
    </ns0:row>
    <ns0:row r="399">
      <ns0:c r="J399" t="str">
        <ns0:f>IF('Project Tracker'!A105="","",TRIM(MID(SUBSTITUTE('Project Tracker'!K105,";",REPT(" ",150)),1,150)))</ns0:f>
      </ns0:c>
      <ns0:c r="K399" t="str">
        <ns0:f>IF(J399="","",IF(COUNTIFS($J$7:J399,J399)=1,MAX($K$6:K398)+1,""))</ns0:f>
      </ns0:c>
      <ns0:c r="M399" t="str">
        <ns0:f>IF(J399="","",'Project Tracker'!A105)</ns0:f>
      </ns0:c>
      <ns0:c r="N399" t="str">
        <ns0:f>IF(J399="","",'Project Tracker'!N105)</ns0:f>
      </ns0:c>
      <ns0:c r="O399" t="str">
        <ns0:f>IF(J399="","",'Project Tracker'!E105)</ns0:f>
      </ns0:c>
      <ns0:c r="P399" t="str">
        <ns0:f>IF(J399="","",'Project Tracker'!F105)</ns0:f>
      </ns0:c>
      <ns0:c r="Q399" t="str">
        <ns0:f>IF(J399="","",'Project Tracker'!Q105)</ns0:f>
      </ns0:c>
      <ns0:c r="R399" t="str">
        <ns0:f>IF(J399="","",'Project Tracker'!J105)</ns0:f>
      </ns0:c>
    </ns0:row>
    <ns0:row r="400">
      <ns0:c r="J400" t="str">
        <ns0:f>IF('Project Tracker'!A105="","",TRIM(MID(SUBSTITUTE('Project Tracker'!K105,";",REPT(" ",150)),151,150)))</ns0:f>
      </ns0:c>
      <ns0:c r="K400" t="str">
        <ns0:f>IF(J400="","",IF(COUNTIFS($J$7:J400,J400)=1,MAX($K$6:K399)+1,""))</ns0:f>
      </ns0:c>
      <ns0:c r="M400" t="str">
        <ns0:f>IF(J400="","",'Project Tracker'!A105)</ns0:f>
      </ns0:c>
      <ns0:c r="N400" t="str">
        <ns0:f>IF(J400="","",'Project Tracker'!N105)</ns0:f>
      </ns0:c>
      <ns0:c r="O400" t="str">
        <ns0:f>IF(J400="","",'Project Tracker'!E105)</ns0:f>
      </ns0:c>
      <ns0:c r="P400" t="str">
        <ns0:f>IF(J400="","",'Project Tracker'!F105)</ns0:f>
      </ns0:c>
      <ns0:c r="Q400" t="str">
        <ns0:f>IF(J400="","",'Project Tracker'!Q105)</ns0:f>
      </ns0:c>
      <ns0:c r="R400" t="str">
        <ns0:f>IF(J400="","",'Project Tracker'!J105)</ns0:f>
      </ns0:c>
    </ns0:row>
    <ns0:row r="401">
      <ns0:c r="J401" t="str">
        <ns0:f>IF('Project Tracker'!A105="","",TRIM(MID(SUBSTITUTE('Project Tracker'!K105,";",REPT(" ",150)),301,150)))</ns0:f>
      </ns0:c>
      <ns0:c r="K401" t="str">
        <ns0:f>IF(J401="","",IF(COUNTIFS($J$7:J401,J401)=1,MAX($K$6:K400)+1,""))</ns0:f>
      </ns0:c>
      <ns0:c r="M401" t="str">
        <ns0:f>IF(J401="","",'Project Tracker'!A105)</ns0:f>
      </ns0:c>
      <ns0:c r="N401" t="str">
        <ns0:f>IF(J401="","",'Project Tracker'!N105)</ns0:f>
      </ns0:c>
      <ns0:c r="O401" t="str">
        <ns0:f>IF(J401="","",'Project Tracker'!E105)</ns0:f>
      </ns0:c>
      <ns0:c r="P401" t="str">
        <ns0:f>IF(J401="","",'Project Tracker'!F105)</ns0:f>
      </ns0:c>
      <ns0:c r="Q401" t="str">
        <ns0:f>IF(J401="","",'Project Tracker'!Q105)</ns0:f>
      </ns0:c>
      <ns0:c r="R401" t="str">
        <ns0:f>IF(J401="","",'Project Tracker'!J105)</ns0:f>
      </ns0:c>
    </ns0:row>
    <ns0:row r="402">
      <ns0:c r="J402" t="str">
        <ns0:f>IF('Project Tracker'!A105="","",TRIM(MID(SUBSTITUTE('Project Tracker'!K105,";",REPT(" ",150)),451,150)))</ns0:f>
      </ns0:c>
      <ns0:c r="K402" t="str">
        <ns0:f>IF(J402="","",IF(COUNTIFS($J$7:J402,J402)=1,MAX($K$6:K401)+1,""))</ns0:f>
      </ns0:c>
      <ns0:c r="M402" t="str">
        <ns0:f>IF(J402="","",'Project Tracker'!A105)</ns0:f>
      </ns0:c>
      <ns0:c r="N402" t="str">
        <ns0:f>IF(J402="","",'Project Tracker'!N105)</ns0:f>
      </ns0:c>
      <ns0:c r="O402" t="str">
        <ns0:f>IF(J402="","",'Project Tracker'!E105)</ns0:f>
      </ns0:c>
      <ns0:c r="P402" t="str">
        <ns0:f>IF(J402="","",'Project Tracker'!F105)</ns0:f>
      </ns0:c>
      <ns0:c r="Q402" t="str">
        <ns0:f>IF(J402="","",'Project Tracker'!Q105)</ns0:f>
      </ns0:c>
      <ns0:c r="R402" t="str">
        <ns0:f>IF(J402="","",'Project Tracker'!J105)</ns0:f>
      </ns0:c>
    </ns0:row>
    <ns0:row r="403">
      <ns0:c r="J403" t="str">
        <ns0:f>IF('Project Tracker'!A106="","",TRIM(MID(SUBSTITUTE('Project Tracker'!K106,";",REPT(" ",150)),1,150)))</ns0:f>
      </ns0:c>
      <ns0:c r="K403" t="str">
        <ns0:f>IF(J403="","",IF(COUNTIFS($J$7:J403,J403)=1,MAX($K$6:K402)+1,""))</ns0:f>
      </ns0:c>
      <ns0:c r="M403" t="str">
        <ns0:f>IF(J403="","",'Project Tracker'!A106)</ns0:f>
      </ns0:c>
      <ns0:c r="N403" t="str">
        <ns0:f>IF(J403="","",'Project Tracker'!N106)</ns0:f>
      </ns0:c>
      <ns0:c r="O403" t="str">
        <ns0:f>IF(J403="","",'Project Tracker'!E106)</ns0:f>
      </ns0:c>
      <ns0:c r="P403" t="str">
        <ns0:f>IF(J403="","",'Project Tracker'!F106)</ns0:f>
      </ns0:c>
      <ns0:c r="Q403" t="str">
        <ns0:f>IF(J403="","",'Project Tracker'!Q106)</ns0:f>
      </ns0:c>
      <ns0:c r="R403" t="str">
        <ns0:f>IF(J403="","",'Project Tracker'!J106)</ns0:f>
      </ns0:c>
    </ns0:row>
    <ns0:row r="404">
      <ns0:c r="J404" t="str">
        <ns0:f>IF('Project Tracker'!A106="","",TRIM(MID(SUBSTITUTE('Project Tracker'!K106,";",REPT(" ",150)),151,150)))</ns0:f>
      </ns0:c>
      <ns0:c r="K404" t="str">
        <ns0:f>IF(J404="","",IF(COUNTIFS($J$7:J404,J404)=1,MAX($K$6:K403)+1,""))</ns0:f>
      </ns0:c>
      <ns0:c r="M404" t="str">
        <ns0:f>IF(J404="","",'Project Tracker'!A106)</ns0:f>
      </ns0:c>
      <ns0:c r="N404" t="str">
        <ns0:f>IF(J404="","",'Project Tracker'!N106)</ns0:f>
      </ns0:c>
      <ns0:c r="O404" t="str">
        <ns0:f>IF(J404="","",'Project Tracker'!E106)</ns0:f>
      </ns0:c>
      <ns0:c r="P404" t="str">
        <ns0:f>IF(J404="","",'Project Tracker'!F106)</ns0:f>
      </ns0:c>
      <ns0:c r="Q404" t="str">
        <ns0:f>IF(J404="","",'Project Tracker'!Q106)</ns0:f>
      </ns0:c>
      <ns0:c r="R404" t="str">
        <ns0:f>IF(J404="","",'Project Tracker'!J106)</ns0:f>
      </ns0:c>
    </ns0:row>
    <ns0:row r="405">
      <ns0:c r="J405" t="str">
        <ns0:f>IF('Project Tracker'!A106="","",TRIM(MID(SUBSTITUTE('Project Tracker'!K106,";",REPT(" ",150)),301,150)))</ns0:f>
      </ns0:c>
      <ns0:c r="K405" t="str">
        <ns0:f>IF(J405="","",IF(COUNTIFS($J$7:J405,J405)=1,MAX($K$6:K404)+1,""))</ns0:f>
      </ns0:c>
      <ns0:c r="M405" t="str">
        <ns0:f>IF(J405="","",'Project Tracker'!A106)</ns0:f>
      </ns0:c>
      <ns0:c r="N405" t="str">
        <ns0:f>IF(J405="","",'Project Tracker'!N106)</ns0:f>
      </ns0:c>
      <ns0:c r="O405" t="str">
        <ns0:f>IF(J405="","",'Project Tracker'!E106)</ns0:f>
      </ns0:c>
      <ns0:c r="P405" t="str">
        <ns0:f>IF(J405="","",'Project Tracker'!F106)</ns0:f>
      </ns0:c>
      <ns0:c r="Q405" t="str">
        <ns0:f>IF(J405="","",'Project Tracker'!Q106)</ns0:f>
      </ns0:c>
      <ns0:c r="R405" t="str">
        <ns0:f>IF(J405="","",'Project Tracker'!J106)</ns0:f>
      </ns0:c>
    </ns0:row>
    <ns0:row r="406">
      <ns0:c r="J406" t="str">
        <ns0:f>IF('Project Tracker'!A106="","",TRIM(MID(SUBSTITUTE('Project Tracker'!K106,";",REPT(" ",150)),451,150)))</ns0:f>
      </ns0:c>
      <ns0:c r="K406" t="str">
        <ns0:f>IF(J406="","",IF(COUNTIFS($J$7:J406,J406)=1,MAX($K$6:K405)+1,""))</ns0:f>
      </ns0:c>
      <ns0:c r="M406" t="str">
        <ns0:f>IF(J406="","",'Project Tracker'!A106)</ns0:f>
      </ns0:c>
      <ns0:c r="N406" t="str">
        <ns0:f>IF(J406="","",'Project Tracker'!N106)</ns0:f>
      </ns0:c>
      <ns0:c r="O406" t="str">
        <ns0:f>IF(J406="","",'Project Tracker'!E106)</ns0:f>
      </ns0:c>
      <ns0:c r="P406" t="str">
        <ns0:f>IF(J406="","",'Project Tracker'!F106)</ns0:f>
      </ns0:c>
      <ns0:c r="Q406" t="str">
        <ns0:f>IF(J406="","",'Project Tracker'!Q106)</ns0:f>
      </ns0:c>
      <ns0:c r="R406" t="str">
        <ns0:f>IF(J406="","",'Project Tracker'!J106)</ns0:f>
      </ns0:c>
    </ns0:row>
  </ns0:sheetData>
  <ns0:sheetProtection sheet="1" objects="1" scenarios="1" formatCells="0" formatColumns="0" formatRows="0" selectLockedCells="0" selectUnlockedCells="0" autoFilter="0" sort="0"/>
  <ns0:conditionalFormatting sqref="G7:G106">
    <ns0:cfRule type="expression" dxfId="15" priority="1">
      <ns0:formula>$G7&gt;0</ns0:formula>
    </ns0:cfRule>
  </ns0:conditionalFormatting>
  <ns0:pageMargins left="0.7" right="0.7" top="0.75" bottom="0.75" header="0.3" footer="0.3"/>
</ns0:worksheet>
</file>

<file path=xl/worksheets/sheet5.xml><?xml version="1.0" encoding="utf-8"?>
<ns0:worksheet xmlns:ns0="http://schemas.openxmlformats.org/spreadsheetml/2006/main" xmlns:ns1="http://schemas.openxmlformats.org/officeDocument/2006/relationships">
  <ns0:sheetPr>
    <ns0:tabColor rgb="FF24364B"/>
  </ns0:sheetPr>
  <ns0:sheetViews>
    <ns0:sheetView showGridLines="0" workbookViewId="0" zoomScale="95">
      <ns0:pane ySplit="6" topLeftCell="B7" activePane="bottomRight" state="frozen" xSplit="1"/>
    </ns0:sheetView>
  </ns0:sheetViews>
  <ns0:sheetFormatPr defaultRowHeight="15"/>
  <ns0:cols>
    <ns0:col min="1" max="1" width="20" hidden="0" customWidth="1"/>
    <ns0:col min="2" max="2" width="42" hidden="0" customWidth="1"/>
    <ns0:col min="3" max="3" width="76" hidden="0" customWidth="1"/>
    <ns0:col min="4" max="4" width="76" hidden="0" customWidth="1"/>
    <ns0:col min="5" max="5" width="61" hidden="0" customWidth="1"/>
  </ns0:cols>
  <ns0:sheetData>
    <ns0:row r="1" ht="24" customHeight="1">
      <ns0:c r="A1" s="2"/>
      <ns0:c r="B1" s="2"/>
      <ns0:c r="C1" s="2"/>
      <ns0:c r="D1" s="2"/>
      <ns0:c r="E1" s="2"/>
    </ns0:row>
    <ns0:row r="2" ht="24" customHeight="1">
      <ns0:c r="A2" s="3" t="str">
        <ns0:v>Assumptions &amp; gaps</ns0:v>
      </ns0:c>
      <ns0:c r="B2" s="2"/>
      <ns0:c r="C2" s="2"/>
      <ns0:c r="D2" s="2"/>
      <ns0:c r="E2" s="2"/>
    </ns0:row>
    <ns0:row r="3" ht="24" customHeight="1">
      <ns0:c r="A3" s="2"/>
      <ns0:c r="B3" s="2"/>
      <ns0:c r="C3" s="2"/>
      <ns0:c r="D3" s="2"/>
      <ns0:c r="E3" s="2"/>
    </ns0:row>
    <ns0:row r="4" ht="24" customHeight="1">
      <ns0:c r="A4" s="2"/>
      <ns0:c r="B4" s="2"/>
      <ns0:c r="C4" s="2"/>
      <ns0:c r="D4" s="2"/>
      <ns0:c r="E4" s="2"/>
    </ns0:row>
    <ns0:row r="5" ht="24" customHeight="1">
      <ns0:c r="A5" s="2"/>
      <ns0:c r="B5" s="2"/>
      <ns0:c r="C5" s="2"/>
      <ns0:c r="D5" s="2"/>
      <ns0:c r="E5" s="2"/>
    </ns0:row>
    <ns0:row r="6" ht="34" customHeight="1">
      <ns0:c r="A6" s="7" t="str">
        <ns0:v>Label</ns0:v>
      </ns0:c>
      <ns0:c r="B6" s="7" t="str">
        <ns0:v>Source field / item</ns0:v>
      </ns0:c>
      <ns0:c r="C6" s="7" t="str">
        <ns0:v>Issue</ns0:v>
      </ns0:c>
      <ns0:c r="D6" s="7" t="str">
        <ns0:v>Resolution used</ns0:v>
      </ns0:c>
      <ns0:c r="E6" s="7" t="str">
        <ns0:v>User action needed</ns0:v>
      </ns0:c>
    </ns0:row>
    <ns0:row r="7" ht="68" customHeight="1">
      <ns0:c r="A7" s="8" t="str">
        <ns0:v>[CONFLICT]</ns0:v>
      </ns0:c>
      <ns0:c r="B7" s="8" t="str">
        <ns0:v>Plan §1, §2.2. Dates vs FS dependencies</ns0:v>
      </ns0:c>
      <ns0:c r="C7" s="8" t="str">
        <ns0:v>Original durations require 48 calendar days under inclusive dates and next-day FS, exceeding the 34-day window. Several source tasks start on predecessor finish dates.</ns0:v>
      </ns0:c>
      <ns0:c r="D7" s="8" t="str">
        <ns0:v>Provisional compressed schedule. Original dates/durations preserved per task. FS requires next-day start after an activity; zero-day milestone FS permits its date.</ns0:v>
      </ns0:c>
      <ns0:c r="E7" s="8" t="str">
        <ns0:v>Validate reduced durations with delivery owners before committing.</ns0:v>
      </ns0:c>
    </ns0:row>
    <ns0:row r="8" ht="68" customHeight="1">
      <ns0:c r="A8" s="8" t="str">
        <ns0:v>[INFERRED]</ns0:v>
      </ns0:c>
      <ns0:c r="B8" s="8" t="str">
        <ns0:v>All activity dates / reduced durations</ns0:v>
      </ns0:c>
      <ns0:c r="C8" s="8" t="str">
        <ns0:v>Plan §6 says source dates were inferred from architecture. No effort estimates, staffing or capacity evidence supplied.</ns0:v>
      </ns0:c>
      <ns0:c r="D8" s="8" t="str">
        <ns0:v>Schedule from 11 Sep using dependency order. Reduce a longest relative-duration task on the critical path by one day until the span is 34 days. No capacity assumptions.</ns0:v>
      </ns0:c>
      <ns0:c r="E8" s="8" t="str">
        <ns0:v>Approve or revise estimates. A valid date graph does not prove delivery feasibility.</ns0:v>
      </ns0:c>
    </ns0:row>
    <ns0:row r="9" ht="68" customHeight="1">
      <ns0:c r="A9" s="8" t="str">
        <ns0:v>[CONFLICT]</ns0:v>
      </ns0:c>
      <ns0:c r="B9" s="8" t="str">
        <ns0:v>Plan §1 and §5 progress</ns0:v>
      </ns0:c>
      <ns0:c r="C9" s="8" t="str">
        <ns0:v>Source completion values are explicitly [INFERRED], not evidence of actual execution.</ns0:v>
      </ns0:c>
      <ns0:c r="D9" s="8" t="str">
        <ns0:v>All activities and milestones initialized to 0% as requested. Original source values remain in task notes.</ns0:v>
      </ns0:c>
      <ns0:c r="E9" s="8" t="str">
        <ns0:v>Enter actual progress only after work is completed.</ns0:v>
      </ns0:c>
    </ns0:row>
    <ns0:row r="10" ht="68" customHeight="1">
      <ns0:c r="A10" s="8" t="str">
        <ns0:v>[CONFLICT]</ns0:v>
      </ns0:c>
      <ns0:c r="B10" s="8" t="str">
        <ns0:v>T18 predecessor set, plan §1 / §2.1 vs §2.2</ns0:v>
      </ns0:c>
      <ns0:c r="C10" s="8" t="str">
        <ns0:v>Task table says T12,T14,T15; dependency details say T10,T14,T15.</ns0:v>
      </ns0:c>
      <ns0:c r="D10" s="8" t="str">
        <ns0:v>Retained union T10,T12,T14,T15, all FS.</ns0:v>
      </ns0:c>
      <ns0:c r="E10" s="8" t="str">
        <ns0:v>Confirm intended prerequisites.</ns0:v>
      </ns0:c>
    </ns0:row>
    <ns0:row r="11" ht="68" customHeight="1">
      <ns0:c r="A11" s="8" t="str">
        <ns0:v>[INFERRED]</ns0:v>
      </ns0:c>
      <ns0:c r="B11" s="8" t="str">
        <ns0:v>T08 and T12 dependency type</ns0:v>
      </ns0:c>
      <ns0:c r="C11" s="8" t="str">
        <ns0:v>Dependencies exist but type is absent from detailed dependency table.</ns0:v>
      </ns0:c>
      <ns0:c r="D11" s="8" t="str">
        <ns0:v>Defaulted to FS.</ns0:v>
      </ns0:c>
      <ns0:c r="E11" s="8" t="str">
        <ns0:v>Confirm type if overlap is allowed.</ns0:v>
      </ns0:c>
    </ns0:row>
    <ns0:row r="12" ht="68" customHeight="1">
      <ns0:c r="A12" s="8" t="str">
        <ns0:v>[INFERRED]</ns0:v>
      </ns0:c>
      <ns0:c r="B12" s="8" t="str">
        <ns0:v>M1–M7 dependency type</ns0:v>
      </ns0:c>
      <ns0:c r="C12" s="8" t="str">
        <ns0:v>Explicit checkpoint links exist but dependency types do not.</ns0:v>
      </ns0:c>
      <ns0:c r="D12" s="8" t="str">
        <ns0:v>FF links to all listed tasks. Original milestone dates retained. Milestone Duration is zero.</ns0:v>
      </ns0:c>
      <ns0:c r="E12" s="8" t="str">
        <ns0:v>Mark each milestone complete only after acceptance.</ns0:v>
      </ns0:c>
    </ns0:row>
    <ns0:row r="13" ht="68" customHeight="1">
      <ns0:c r="A13" s="8" t="str">
        <ns0:v>[MISSING]</ns0:v>
      </ns0:c>
      <ns0:c r="B13" s="8" t="str">
        <ns0:v>Priority and named human owners</ns0:v>
      </ns0:c>
      <ns0:c r="C13" s="8" t="str">
        <ns0:v>No High/Medium/Low priorities or named individuals supplied. Sources mostly assign components and tools.</ns0:v>
      </ns0:c>
      <ns0:c r="D13" s="8" t="str">
        <ns0:v>Priorities left blank. Canonical roles/tools from plan §4 retained; milestone owners Unassigned.</ns0:v>
      </ns0:c>
      <ns0:c r="E13" s="8" t="str">
        <ns0:v>Assign accountable people and task priorities.</ns0:v>
      </ns0:c>
    </ns0:row>
    <ns0:row r="14" ht="68" customHeight="1">
      <ns0:c r="A14" s="8" t="str">
        <ns0:v>[CONFLICT]</ns0:v>
      </ns0:c>
      <ns0:c r="B14" s="8" t="str">
        <ns0:v>Architecture §1, §3 vs Model A §4; matching HTML diagram</ns0:v>
      </ns0:c>
      <ns0:c r="C14" s="8" t="str">
        <ns0:v>CDB directly feeds W_LEARN in the graph/table, while Model A forbids direct worker database access.</ns0:v>
      </ns0:c>
      <ns0:c r="D14" s="8" t="str">
        <ns0:v>T31 description/instructions require IE-mediated access. Diagram contradiction retained as an unresolved design issue.</ns0:v>
      </ns0:c>
      <ns0:c r="E14" s="8" t="str">
        <ns0:v>Confirm the permitted telemetry retrieval route.</ns0:v>
      </ns0:c>
    </ns0:row>
    <ns0:row r="15" ht="68" customHeight="1">
      <ns0:c r="A15" s="8" t="str">
        <ns0:v>[CONFLICT]</ns0:v>
      </ns0:c>
      <ns0:c r="B15" s="8" t="str">
        <ns0:v>Architecture §4 sketch vs §1 / Model A</ns0:v>
      </ns0:c>
      <ns0:c r="C15" s="8" t="str">
        <ns0:v>Plaintext sketch suggests an IE-to-database universal persistence bridge outside RAG/MCP.</ns0:v>
      </ns0:c>
      <ns0:c r="D15" s="8" t="str">
        <ns0:v>Planning uses the stated exclusive IE → RAG → governed data access model.</ns0:v>
      </ns0:c>
      <ns0:c r="E15" s="8" t="str">
        <ns0:v>Resolve whether the sketch is shorthand or a separate authorized path.</ns0:v>
      </ns0:c>
    </ns0:row>
    <ns0:row r="16" ht="68" customHeight="1">
      <ns0:c r="A16" s="8" t="str">
        <ns0:v>[CONFLICT]</ns0:v>
      </ns0:c>
      <ns0:c r="B16" s="8" t="str">
        <ns0:v>Plan §4 channel lists vs architecture and HTML</ns0:v>
      </ns0:c>
      <ns0:c r="C16" s="8" t="str">
        <ns0:v>Architecture adds LinkedIn paid ads and TikTok social to shorter plan resource lists.</ns0:v>
      </ns0:c>
      <ns0:c r="D16" s="8" t="str">
        <ns0:v>Task scope notes retain all channels as a confirmation item; no invented channel-specific tasks.</ns0:v>
      </ns0:c>
      <ns0:c r="E16" s="8" t="str">
        <ns0:v>Confirm channels included in T27 / T28.</ns0:v>
      </ns0:c>
    </ns0:row>
    <ns0:row r="17" ht="68" customHeight="1">
      <ns0:c r="A17" s="8" t="str">
        <ns0:v>[MISSING]</ns0:v>
      </ns0:c>
      <ns0:c r="B17" s="8" t="str">
        <ns0:v>T25 credentials and production access</ns0:v>
      </ns0:c>
      <ns0:c r="C17" s="8" t="str">
        <ns0:v>No platform client secrets, OAuth accounts or deployment endpoints supplied.</ns0:v>
      </ns0:c>
      <ns0:c r="D17" s="8" t="str">
        <ns0:v>Retained as execution prerequisite in T25. No credentials placed in workbook.</ns0:v>
      </ns0:c>
      <ns0:c r="E17" s="8" t="str">
        <ns0:v>Provide secure access before actuation setup.</ns0:v>
      </ns0:c>
    </ns0:row>
    <ns0:row r="18" ht="68" customHeight="1">
      <ns0:c r="A18" s="8" t="str">
        <ns0:v>[MISSING]</ns0:v>
      </ns0:c>
      <ns0:c r="B18" s="8" t="str">
        <ns0:v>T01 / T19 budgets and capacity</ns0:v>
      </ns0:c>
      <ns0:c r="C18" s="8" t="str">
        <ns0:v>Budget caps and capacity are conceptual; numeric amounts and staffing are absent.</ns0:v>
      </ns0:c>
      <ns0:c r="D18" s="8" t="str">
        <ns0:v>No budget or capacity values invented. Resources show overlap days without asserting overload.</ns0:v>
      </ns0:c>
      <ns0:c r="E18" s="8" t="str">
        <ns0:v>Supply budget caps and resource availability.</ns0:v>
      </ns0:c>
    </ns0:row>
    <ns0:row r="19" ht="68" customHeight="1">
      <ns0:c r="A19" s="8" t="str">
        <ns0:v>[INFERRED]</ns0:v>
      </ns0:c>
      <ns0:c r="B19" s="8" t="str">
        <ns0:v>Phase labels</ns0:v>
      </ns0:c>
      <ns0:c r="C19" s="8" t="str">
        <ns0:v>Plan associates tasks with M1–M7 but lacks short phase names.</ns0:v>
      </ns0:c>
      <ns0:c r="D19" s="8" t="str">
        <ns0:v>Seven workstreams named from milestone scope.</ns0:v>
      </ns0:c>
      <ns0:c r="E19" s="8" t="str">
        <ns0:v>Rename Phase cells if needed.</ns0:v>
      </ns0:c>
    </ns0:row>
    <ns0:row r="20" ht="68" customHeight="1">
      <ns0:c r="A20" s="8" t="str">
        <ns0:v>[INFERRED]</ns0:v>
      </ns0:c>
      <ns0:c r="B20" s="8" t="str">
        <ns0:v>Resource normalization</ns0:v>
      </ns0:c>
      <ns0:c r="C20" s="8" t="str">
        <ns0:v>Plan §1 uses shortened/combined tool labels; §4 lists shared canonical assignments.</ns0:v>
      </ns0:c>
      <ns0:c r="D20" s="8" t="str">
        <ns0:v>Use semicolon-separated §4 roles so shared resources aggregate. §1 tools preserved in Notes.</ns0:v>
      </ns0:c>
      <ns0:c r="E20" s="8" t="str">
        <ns0:v>Keep resource spelling consistent.</ns0:v>
      </ns0:c>
    </ns0:row>
    <ns0:row r="21" ht="68" customHeight="1">
      <ns0:c r="A21" s="8" t="str">
        <ns0:v>[INFERRED]</ns0:v>
      </ns0:c>
      <ns0:c r="B21" s="8" t="str">
        <ns0:v>T01 duration</ns0:v>
      </ns0:c>
      <ns0:c r="C21" s="8" t="str">
        <ns0:v>2 calendar days in source.</ns0:v>
      </ns0:c>
      <ns0:c r="D21" s="8" t="str">
        <ns0:v>1 calendar days in provisional schedule.</ns0:v>
      </ns0:c>
      <ns0:c r="E21" s="8" t="str">
        <ns0:v>Confirm estimate and delivery capacity.</ns0:v>
      </ns0:c>
    </ns0:row>
    <ns0:row r="22" ht="68" customHeight="1">
      <ns0:c r="A22" s="8" t="str">
        <ns0:v>[INFERRED]</ns0:v>
      </ns0:c>
      <ns0:c r="B22" s="8" t="str">
        <ns0:v>T02 duration</ns0:v>
      </ns0:c>
      <ns0:c r="C22" s="8" t="str">
        <ns0:v>2 calendar days in source.</ns0:v>
      </ns0:c>
      <ns0:c r="D22" s="8" t="str">
        <ns0:v>1 calendar days in provisional schedule.</ns0:v>
      </ns0:c>
      <ns0:c r="E22" s="8" t="str">
        <ns0:v>Confirm estimate and delivery capacity.</ns0:v>
      </ns0:c>
    </ns0:row>
    <ns0:row r="23" ht="68" customHeight="1">
      <ns0:c r="A23" s="8" t="str">
        <ns0:v>[INFERRED]</ns0:v>
      </ns0:c>
      <ns0:c r="B23" s="8" t="str">
        <ns0:v>T03 duration</ns0:v>
      </ns0:c>
      <ns0:c r="C23" s="8" t="str">
        <ns0:v>3 calendar days in source.</ns0:v>
      </ns0:c>
      <ns0:c r="D23" s="8" t="str">
        <ns0:v>2 calendar days in provisional schedule.</ns0:v>
      </ns0:c>
      <ns0:c r="E23" s="8" t="str">
        <ns0:v>Confirm estimate and delivery capacity.</ns0:v>
      </ns0:c>
    </ns0:row>
    <ns0:row r="24" ht="68" customHeight="1">
      <ns0:c r="A24" s="8" t="str">
        <ns0:v>[INFERRED]</ns0:v>
      </ns0:c>
      <ns0:c r="B24" s="8" t="str">
        <ns0:v>T04 duration</ns0:v>
      </ns0:c>
      <ns0:c r="C24" s="8" t="str">
        <ns0:v>3 calendar days in source.</ns0:v>
      </ns0:c>
      <ns0:c r="D24" s="8" t="str">
        <ns0:v>2 calendar days in provisional schedule.</ns0:v>
      </ns0:c>
      <ns0:c r="E24" s="8" t="str">
        <ns0:v>Confirm estimate and delivery capacity.</ns0:v>
      </ns0:c>
    </ns0:row>
    <ns0:row r="25" ht="68" customHeight="1">
      <ns0:c r="A25" s="8" t="str">
        <ns0:v>[INFERRED]</ns0:v>
      </ns0:c>
      <ns0:c r="B25" s="8" t="str">
        <ns0:v>T05 duration</ns0:v>
      </ns0:c>
      <ns0:c r="C25" s="8" t="str">
        <ns0:v>3 calendar days in source.</ns0:v>
      </ns0:c>
      <ns0:c r="D25" s="8" t="str">
        <ns0:v>2 calendar days in provisional schedule.</ns0:v>
      </ns0:c>
      <ns0:c r="E25" s="8" t="str">
        <ns0:v>Confirm estimate and delivery capacity.</ns0:v>
      </ns0:c>
    </ns0:row>
    <ns0:row r="26" ht="68" customHeight="1">
      <ns0:c r="A26" s="8" t="str">
        <ns0:v>[INFERRED]</ns0:v>
      </ns0:c>
      <ns0:c r="B26" s="8" t="str">
        <ns0:v>T06 duration</ns0:v>
      </ns0:c>
      <ns0:c r="C26" s="8" t="str">
        <ns0:v>3 calendar days in source.</ns0:v>
      </ns0:c>
      <ns0:c r="D26" s="8" t="str">
        <ns0:v>2 calendar days in provisional schedule.</ns0:v>
      </ns0:c>
      <ns0:c r="E26" s="8" t="str">
        <ns0:v>Confirm estimate and delivery capacity.</ns0:v>
      </ns0:c>
    </ns0:row>
    <ns0:row r="27" ht="68" customHeight="1">
      <ns0:c r="A27" s="8" t="str">
        <ns0:v>[INFERRED]</ns0:v>
      </ns0:c>
      <ns0:c r="B27" s="8" t="str">
        <ns0:v>T07 duration</ns0:v>
      </ns0:c>
      <ns0:c r="C27" s="8" t="str">
        <ns0:v>3 calendar days in source.</ns0:v>
      </ns0:c>
      <ns0:c r="D27" s="8" t="str">
        <ns0:v>2 calendar days in provisional schedule.</ns0:v>
      </ns0:c>
      <ns0:c r="E27" s="8" t="str">
        <ns0:v>Confirm estimate and delivery capacity.</ns0:v>
      </ns0:c>
    </ns0:row>
    <ns0:row r="28" ht="68" customHeight="1">
      <ns0:c r="A28" s="8" t="str">
        <ns0:v>[INFERRED]</ns0:v>
      </ns0:c>
      <ns0:c r="B28" s="8" t="str">
        <ns0:v>T09 duration</ns0:v>
      </ns0:c>
      <ns0:c r="C28" s="8" t="str">
        <ns0:v>3 calendar days in source.</ns0:v>
      </ns0:c>
      <ns0:c r="D28" s="8" t="str">
        <ns0:v>2 calendar days in provisional schedule.</ns0:v>
      </ns0:c>
      <ns0:c r="E28" s="8" t="str">
        <ns0:v>Confirm estimate and delivery capacity.</ns0:v>
      </ns0:c>
    </ns0:row>
    <ns0:row r="29" ht="68" customHeight="1">
      <ns0:c r="A29" s="8" t="str">
        <ns0:v>[INFERRED]</ns0:v>
      </ns0:c>
      <ns0:c r="B29" s="8" t="str">
        <ns0:v>T10 duration</ns0:v>
      </ns0:c>
      <ns0:c r="C29" s="8" t="str">
        <ns0:v>2 calendar days in source.</ns0:v>
      </ns0:c>
      <ns0:c r="D29" s="8" t="str">
        <ns0:v>1 calendar days in provisional schedule.</ns0:v>
      </ns0:c>
      <ns0:c r="E29" s="8" t="str">
        <ns0:v>Confirm estimate and delivery capacity.</ns0:v>
      </ns0:c>
    </ns0:row>
    <ns0:row r="30" ht="68" customHeight="1">
      <ns0:c r="A30" s="8" t="str">
        <ns0:v>[INFERRED]</ns0:v>
      </ns0:c>
      <ns0:c r="B30" s="8" t="str">
        <ns0:v>T11 duration</ns0:v>
      </ns0:c>
      <ns0:c r="C30" s="8" t="str">
        <ns0:v>3 calendar days in source.</ns0:v>
      </ns0:c>
      <ns0:c r="D30" s="8" t="str">
        <ns0:v>2 calendar days in provisional schedule.</ns0:v>
      </ns0:c>
      <ns0:c r="E30" s="8" t="str">
        <ns0:v>Confirm estimate and delivery capacity.</ns0:v>
      </ns0:c>
    </ns0:row>
    <ns0:row r="31" ht="68" customHeight="1">
      <ns0:c r="A31" s="8" t="str">
        <ns0:v>[INFERRED]</ns0:v>
      </ns0:c>
      <ns0:c r="B31" s="8" t="str">
        <ns0:v>T14 duration</ns0:v>
      </ns0:c>
      <ns0:c r="C31" s="8" t="str">
        <ns0:v>3 calendar days in source.</ns0:v>
      </ns0:c>
      <ns0:c r="D31" s="8" t="str">
        <ns0:v>2 calendar days in provisional schedule.</ns0:v>
      </ns0:c>
      <ns0:c r="E31" s="8" t="str">
        <ns0:v>Confirm estimate and delivery capacity.</ns0:v>
      </ns0:c>
    </ns0:row>
    <ns0:row r="32" ht="68" customHeight="1">
      <ns0:c r="A32" s="8" t="str">
        <ns0:v>[INFERRED]</ns0:v>
      </ns0:c>
      <ns0:c r="B32" s="8" t="str">
        <ns0:v>T15 duration</ns0:v>
      </ns0:c>
      <ns0:c r="C32" s="8" t="str">
        <ns0:v>2 calendar days in source.</ns0:v>
      </ns0:c>
      <ns0:c r="D32" s="8" t="str">
        <ns0:v>1 calendar days in provisional schedule.</ns0:v>
      </ns0:c>
      <ns0:c r="E32" s="8" t="str">
        <ns0:v>Confirm estimate and delivery capacity.</ns0:v>
      </ns0:c>
    </ns0:row>
    <ns0:row r="33" ht="68" customHeight="1">
      <ns0:c r="A33" s="8" t="str">
        <ns0:v>[INFERRED]</ns0:v>
      </ns0:c>
      <ns0:c r="B33" s="8" t="str">
        <ns0:v>T16 duration</ns0:v>
      </ns0:c>
      <ns0:c r="C33" s="8" t="str">
        <ns0:v>3 calendar days in source.</ns0:v>
      </ns0:c>
      <ns0:c r="D33" s="8" t="str">
        <ns0:v>2 calendar days in provisional schedule.</ns0:v>
      </ns0:c>
      <ns0:c r="E33" s="8" t="str">
        <ns0:v>Confirm estimate and delivery capacity.</ns0:v>
      </ns0:c>
    </ns0:row>
    <ns0:row r="34" ht="68" customHeight="1">
      <ns0:c r="A34" s="8" t="str">
        <ns0:v>[INFERRED]</ns0:v>
      </ns0:c>
      <ns0:c r="B34" s="8" t="str">
        <ns0:v>T17 duration</ns0:v>
      </ns0:c>
      <ns0:c r="C34" s="8" t="str">
        <ns0:v>3 calendar days in source.</ns0:v>
      </ns0:c>
      <ns0:c r="D34" s="8" t="str">
        <ns0:v>2 calendar days in provisional schedule.</ns0:v>
      </ns0:c>
      <ns0:c r="E34" s="8" t="str">
        <ns0:v>Confirm estimate and delivery capacity.</ns0:v>
      </ns0:c>
    </ns0:row>
    <ns0:row r="35" ht="68" customHeight="1">
      <ns0:c r="A35" s="8" t="str">
        <ns0:v>[INFERRED]</ns0:v>
      </ns0:c>
      <ns0:c r="B35" s="8" t="str">
        <ns0:v>T18 duration</ns0:v>
      </ns0:c>
      <ns0:c r="C35" s="8" t="str">
        <ns0:v>3 calendar days in source.</ns0:v>
      </ns0:c>
      <ns0:c r="D35" s="8" t="str">
        <ns0:v>2 calendar days in provisional schedule.</ns0:v>
      </ns0:c>
      <ns0:c r="E35" s="8" t="str">
        <ns0:v>Confirm estimate and delivery capacity.</ns0:v>
      </ns0:c>
    </ns0:row>
    <ns0:row r="36" ht="68" customHeight="1">
      <ns0:c r="A36" s="8" t="str">
        <ns0:v>[INFERRED]</ns0:v>
      </ns0:c>
      <ns0:c r="B36" s="8" t="str">
        <ns0:v>T19 duration</ns0:v>
      </ns0:c>
      <ns0:c r="C36" s="8" t="str">
        <ns0:v>4 calendar days in source.</ns0:v>
      </ns0:c>
      <ns0:c r="D36" s="8" t="str">
        <ns0:v>3 calendar days in provisional schedule.</ns0:v>
      </ns0:c>
      <ns0:c r="E36" s="8" t="str">
        <ns0:v>Confirm estimate and delivery capacity.</ns0:v>
      </ns0:c>
    </ns0:row>
    <ns0:row r="37" ht="68" customHeight="1">
      <ns0:c r="A37" s="8" t="str">
        <ns0:v>[INFERRED]</ns0:v>
      </ns0:c>
      <ns0:c r="B37" s="8" t="str">
        <ns0:v>T20 duration</ns0:v>
      </ns0:c>
      <ns0:c r="C37" s="8" t="str">
        <ns0:v>4 calendar days in source.</ns0:v>
      </ns0:c>
      <ns0:c r="D37" s="8" t="str">
        <ns0:v>3 calendar days in provisional schedule.</ns0:v>
      </ns0:c>
      <ns0:c r="E37" s="8" t="str">
        <ns0:v>Confirm estimate and delivery capacity.</ns0:v>
      </ns0:c>
    </ns0:row>
    <ns0:row r="38" ht="68" customHeight="1">
      <ns0:c r="A38" s="8" t="str">
        <ns0:v>[INFERRED]</ns0:v>
      </ns0:c>
      <ns0:c r="B38" s="8" t="str">
        <ns0:v>T22 duration</ns0:v>
      </ns0:c>
      <ns0:c r="C38" s="8" t="str">
        <ns0:v>3 calendar days in source.</ns0:v>
      </ns0:c>
      <ns0:c r="D38" s="8" t="str">
        <ns0:v>2 calendar days in provisional schedule.</ns0:v>
      </ns0:c>
      <ns0:c r="E38" s="8" t="str">
        <ns0:v>Confirm estimate and delivery capacity.</ns0:v>
      </ns0:c>
    </ns0:row>
    <ns0:row r="39" ht="68" customHeight="1">
      <ns0:c r="A39" s="8" t="str">
        <ns0:v>[INFERRED]</ns0:v>
      </ns0:c>
      <ns0:c r="B39" s="8" t="str">
        <ns0:v>T23 duration</ns0:v>
      </ns0:c>
      <ns0:c r="C39" s="8" t="str">
        <ns0:v>2 calendar days in source.</ns0:v>
      </ns0:c>
      <ns0:c r="D39" s="8" t="str">
        <ns0:v>1 calendar days in provisional schedule.</ns0:v>
      </ns0:c>
      <ns0:c r="E39" s="8" t="str">
        <ns0:v>Confirm estimate and delivery capacity.</ns0:v>
      </ns0:c>
    </ns0:row>
    <ns0:row r="40" ht="68" customHeight="1">
      <ns0:c r="A40" s="8" t="str">
        <ns0:v>[INFERRED]</ns0:v>
      </ns0:c>
      <ns0:c r="B40" s="8" t="str">
        <ns0:v>T24 duration</ns0:v>
      </ns0:c>
      <ns0:c r="C40" s="8" t="str">
        <ns0:v>2 calendar days in source.</ns0:v>
      </ns0:c>
      <ns0:c r="D40" s="8" t="str">
        <ns0:v>1 calendar days in provisional schedule.</ns0:v>
      </ns0:c>
      <ns0:c r="E40" s="8" t="str">
        <ns0:v>Confirm estimate and delivery capacity.</ns0:v>
      </ns0:c>
    </ns0:row>
    <ns0:row r="41" ht="68" customHeight="1">
      <ns0:c r="A41" s="8" t="str">
        <ns0:v>[INFERRED]</ns0:v>
      </ns0:c>
      <ns0:c r="B41" s="8" t="str">
        <ns0:v>T26 duration</ns0:v>
      </ns0:c>
      <ns0:c r="C41" s="8" t="str">
        <ns0:v>3 calendar days in source.</ns0:v>
      </ns0:c>
      <ns0:c r="D41" s="8" t="str">
        <ns0:v>2 calendar days in provisional schedule.</ns0:v>
      </ns0:c>
      <ns0:c r="E41" s="8" t="str">
        <ns0:v>Confirm estimate and delivery capacity.</ns0:v>
      </ns0:c>
    </ns0:row>
    <ns0:row r="42" ht="68" customHeight="1">
      <ns0:c r="A42" s="8" t="str">
        <ns0:v>[INFERRED]</ns0:v>
      </ns0:c>
      <ns0:c r="B42" s="8" t="str">
        <ns0:v>T27 duration</ns0:v>
      </ns0:c>
      <ns0:c r="C42" s="8" t="str">
        <ns0:v>3 calendar days in source.</ns0:v>
      </ns0:c>
      <ns0:c r="D42" s="8" t="str">
        <ns0:v>2 calendar days in provisional schedule.</ns0:v>
      </ns0:c>
      <ns0:c r="E42" s="8" t="str">
        <ns0:v>Confirm estimate and delivery capacity.</ns0:v>
      </ns0:c>
    </ns0:row>
    <ns0:row r="43" ht="68" customHeight="1">
      <ns0:c r="A43" s="8" t="str">
        <ns0:v>[INFERRED]</ns0:v>
      </ns0:c>
      <ns0:c r="B43" s="8" t="str">
        <ns0:v>T28 duration</ns0:v>
      </ns0:c>
      <ns0:c r="C43" s="8" t="str">
        <ns0:v>3 calendar days in source.</ns0:v>
      </ns0:c>
      <ns0:c r="D43" s="8" t="str">
        <ns0:v>2 calendar days in provisional schedule.</ns0:v>
      </ns0:c>
      <ns0:c r="E43" s="8" t="str">
        <ns0:v>Confirm estimate and delivery capacity.</ns0:v>
      </ns0:c>
    </ns0:row>
    <ns0:row r="44" ht="68" customHeight="1">
      <ns0:c r="A44" s="8" t="str">
        <ns0:v>[INFERRED]</ns0:v>
      </ns0:c>
      <ns0:c r="B44" s="8" t="str">
        <ns0:v>T31 duration</ns0:v>
      </ns0:c>
      <ns0:c r="C44" s="8" t="str">
        <ns0:v>3 calendar days in source.</ns0:v>
      </ns0:c>
      <ns0:c r="D44" s="8" t="str">
        <ns0:v>2 calendar days in provisional schedule.</ns0:v>
      </ns0:c>
      <ns0:c r="E44" s="8" t="str">
        <ns0:v>Confirm estimate and delivery capacity.</ns0:v>
      </ns0:c>
    </ns0:row>
    <ns0:row r="45" ht="24" customHeight="1">
      <ns0:c r="A45" s="2"/>
      <ns0:c r="B45" s="2"/>
      <ns0:c r="C45" s="2"/>
      <ns0:c r="D45" s="2"/>
      <ns0:c r="E45" s="2"/>
    </ns0:row>
    <ns0:row r="46" ht="24" customHeight="1">
      <ns0:c r="A46" s="2"/>
      <ns0:c r="B46" s="2"/>
      <ns0:c r="C46" s="2"/>
      <ns0:c r="D46" s="2"/>
      <ns0:c r="E46" s="2"/>
    </ns0:row>
    <ns0:row r="47" ht="24" customHeight="1">
      <ns0:c r="A47" s="2"/>
      <ns0:c r="B47" s="2"/>
      <ns0:c r="C47" s="2"/>
      <ns0:c r="D47" s="2"/>
      <ns0:c r="E47" s="2"/>
    </ns0:row>
    <ns0:row r="48" ht="24" customHeight="1">
      <ns0:c r="A48" s="2"/>
      <ns0:c r="B48" s="2"/>
      <ns0:c r="C48" s="2"/>
      <ns0:c r="D48" s="2"/>
      <ns0:c r="E48" s="2"/>
    </ns0:row>
    <ns0:row r="49" ht="24" customHeight="1">
      <ns0:c r="A49" s="2"/>
      <ns0:c r="B49" s="2"/>
      <ns0:c r="C49" s="2"/>
      <ns0:c r="D49" s="2"/>
      <ns0:c r="E49" s="2"/>
    </ns0:row>
    <ns0:row r="50" ht="24" customHeight="1">
      <ns0:c r="A50" s="2"/>
      <ns0:c r="B50" s="2"/>
      <ns0:c r="C50" s="2"/>
      <ns0:c r="D50" s="2"/>
      <ns0:c r="E50" s="2"/>
    </ns0:row>
    <ns0:row r="51" ht="24" customHeight="1">
      <ns0:c r="A51" s="2"/>
      <ns0:c r="B51" s="2"/>
      <ns0:c r="C51" s="2"/>
      <ns0:c r="D51" s="2"/>
      <ns0:c r="E51" s="2"/>
    </ns0:row>
    <ns0:row r="52" ht="24" customHeight="1">
      <ns0:c r="A52" s="2"/>
      <ns0:c r="B52" s="2"/>
      <ns0:c r="C52" s="2"/>
      <ns0:c r="D52" s="2"/>
      <ns0:c r="E52" s="2"/>
    </ns0:row>
    <ns0:row r="53" ht="24" customHeight="1">
      <ns0:c r="A53" s="2"/>
      <ns0:c r="B53" s="2"/>
      <ns0:c r="C53" s="2"/>
      <ns0:c r="D53" s="2"/>
      <ns0:c r="E53" s="2"/>
    </ns0:row>
    <ns0:row r="54" ht="24" customHeight="1">
      <ns0:c r="A54" s="2"/>
      <ns0:c r="B54" s="2"/>
      <ns0:c r="C54" s="2"/>
      <ns0:c r="D54" s="2"/>
      <ns0:c r="E54" s="2"/>
    </ns0:row>
    <ns0:row r="55" ht="24" customHeight="1">
      <ns0:c r="A55" s="2"/>
      <ns0:c r="B55" s="2"/>
      <ns0:c r="C55" s="2"/>
      <ns0:c r="D55" s="2"/>
      <ns0:c r="E55" s="2"/>
    </ns0:row>
    <ns0:row r="56" ht="24" customHeight="1">
      <ns0:c r="A56" s="2"/>
      <ns0:c r="B56" s="2"/>
      <ns0:c r="C56" s="2"/>
      <ns0:c r="D56" s="2"/>
      <ns0:c r="E56" s="2"/>
    </ns0:row>
    <ns0:row r="57" ht="24" customHeight="1">
      <ns0:c r="A57" s="2"/>
      <ns0:c r="B57" s="2"/>
      <ns0:c r="C57" s="2"/>
      <ns0:c r="D57" s="2"/>
      <ns0:c r="E57" s="2"/>
    </ns0:row>
    <ns0:row r="58" ht="24" customHeight="1">
      <ns0:c r="A58" s="2"/>
      <ns0:c r="B58" s="2"/>
      <ns0:c r="C58" s="2"/>
      <ns0:c r="D58" s="2"/>
      <ns0:c r="E58" s="2"/>
    </ns0:row>
    <ns0:row r="59" ht="24" customHeight="1">
      <ns0:c r="A59" s="2"/>
      <ns0:c r="B59" s="2"/>
      <ns0:c r="C59" s="2"/>
      <ns0:c r="D59" s="2"/>
      <ns0:c r="E59" s="2"/>
    </ns0:row>
    <ns0:row r="60" ht="24" customHeight="1">
      <ns0:c r="A60" s="2"/>
      <ns0:c r="B60" s="2"/>
      <ns0:c r="C60" s="2"/>
      <ns0:c r="D60" s="2"/>
      <ns0:c r="E60" s="2"/>
    </ns0:row>
    <ns0:row r="61" ht="24" customHeight="1">
      <ns0:c r="A61" s="2"/>
      <ns0:c r="B61" s="2"/>
      <ns0:c r="C61" s="2"/>
      <ns0:c r="D61" s="2"/>
      <ns0:c r="E61" s="2"/>
    </ns0:row>
    <ns0:row r="62" ht="24" customHeight="1">
      <ns0:c r="A62" s="2"/>
      <ns0:c r="B62" s="2"/>
      <ns0:c r="C62" s="2"/>
      <ns0:c r="D62" s="2"/>
      <ns0:c r="E62" s="2"/>
    </ns0:row>
    <ns0:row r="63" ht="24" customHeight="1">
      <ns0:c r="A63" s="2"/>
      <ns0:c r="B63" s="2"/>
      <ns0:c r="C63" s="2"/>
      <ns0:c r="D63" s="2"/>
      <ns0:c r="E63" s="2"/>
    </ns0:row>
    <ns0:row r="64" ht="24" customHeight="1">
      <ns0:c r="A64" s="2"/>
      <ns0:c r="B64" s="2"/>
      <ns0:c r="C64" s="2"/>
      <ns0:c r="D64" s="2"/>
      <ns0:c r="E64" s="2"/>
    </ns0:row>
    <ns0:row r="65" ht="24" customHeight="1">
      <ns0:c r="A65" s="2"/>
      <ns0:c r="B65" s="2"/>
      <ns0:c r="C65" s="2"/>
      <ns0:c r="D65" s="2"/>
      <ns0:c r="E65" s="2"/>
    </ns0:row>
    <ns0:row r="66" ht="24" customHeight="1">
      <ns0:c r="A66" s="2"/>
      <ns0:c r="B66" s="2"/>
      <ns0:c r="C66" s="2"/>
      <ns0:c r="D66" s="2"/>
      <ns0:c r="E66" s="2"/>
    </ns0:row>
    <ns0:row r="67" ht="24" customHeight="1">
      <ns0:c r="A67" s="2"/>
      <ns0:c r="B67" s="2"/>
      <ns0:c r="C67" s="2"/>
      <ns0:c r="D67" s="2"/>
      <ns0:c r="E67" s="2"/>
    </ns0:row>
    <ns0:row r="68" ht="24" customHeight="1">
      <ns0:c r="A68" s="2"/>
      <ns0:c r="B68" s="2"/>
      <ns0:c r="C68" s="2"/>
      <ns0:c r="D68" s="2"/>
      <ns0:c r="E68" s="2"/>
    </ns0:row>
    <ns0:row r="69" ht="24" customHeight="1">
      <ns0:c r="A69" s="2"/>
      <ns0:c r="B69" s="2"/>
      <ns0:c r="C69" s="2"/>
      <ns0:c r="D69" s="2"/>
      <ns0:c r="E69" s="2"/>
    </ns0:row>
    <ns0:row r="70" ht="24" customHeight="1">
      <ns0:c r="A70" s="2"/>
      <ns0:c r="B70" s="2"/>
      <ns0:c r="C70" s="2"/>
      <ns0:c r="D70" s="2"/>
      <ns0:c r="E70" s="2"/>
    </ns0:row>
    <ns0:row r="71" ht="24" customHeight="1">
      <ns0:c r="A71" s="2"/>
      <ns0:c r="B71" s="2"/>
      <ns0:c r="C71" s="2"/>
      <ns0:c r="D71" s="2"/>
      <ns0:c r="E71" s="2"/>
    </ns0:row>
    <ns0:row r="72" ht="24" customHeight="1">
      <ns0:c r="A72" s="2"/>
      <ns0:c r="B72" s="2"/>
      <ns0:c r="C72" s="2"/>
      <ns0:c r="D72" s="2"/>
      <ns0:c r="E72" s="2"/>
    </ns0:row>
    <ns0:row r="73" ht="24" customHeight="1">
      <ns0:c r="A73" s="2"/>
      <ns0:c r="B73" s="2"/>
      <ns0:c r="C73" s="2"/>
      <ns0:c r="D73" s="2"/>
      <ns0:c r="E73" s="2"/>
    </ns0:row>
    <ns0:row r="74" ht="24" customHeight="1">
      <ns0:c r="A74" s="2"/>
      <ns0:c r="B74" s="2"/>
      <ns0:c r="C74" s="2"/>
      <ns0:c r="D74" s="2"/>
      <ns0:c r="E74" s="2"/>
    </ns0:row>
    <ns0:row r="75" ht="24" customHeight="1">
      <ns0:c r="A75" s="2"/>
      <ns0:c r="B75" s="2"/>
      <ns0:c r="C75" s="2"/>
      <ns0:c r="D75" s="2"/>
      <ns0:c r="E75" s="2"/>
    </ns0:row>
    <ns0:row r="76" ht="24" customHeight="1">
      <ns0:c r="A76" s="2"/>
      <ns0:c r="B76" s="2"/>
      <ns0:c r="C76" s="2"/>
      <ns0:c r="D76" s="2"/>
      <ns0:c r="E76" s="2"/>
    </ns0:row>
    <ns0:row r="77" ht="24" customHeight="1">
      <ns0:c r="A77" s="2"/>
      <ns0:c r="B77" s="2"/>
      <ns0:c r="C77" s="2"/>
      <ns0:c r="D77" s="2"/>
      <ns0:c r="E77" s="2"/>
    </ns0:row>
    <ns0:row r="78" ht="24" customHeight="1">
      <ns0:c r="A78" s="2"/>
      <ns0:c r="B78" s="2"/>
      <ns0:c r="C78" s="2"/>
      <ns0:c r="D78" s="2"/>
      <ns0:c r="E78" s="2"/>
    </ns0:row>
    <ns0:row r="79" ht="24" customHeight="1">
      <ns0:c r="A79" s="2"/>
      <ns0:c r="B79" s="2"/>
      <ns0:c r="C79" s="2"/>
      <ns0:c r="D79" s="2"/>
      <ns0:c r="E79" s="2"/>
    </ns0:row>
    <ns0:row r="80" ht="24" customHeight="1">
      <ns0:c r="A80" s="2"/>
      <ns0:c r="B80" s="2"/>
      <ns0:c r="C80" s="2"/>
      <ns0:c r="D80" s="2"/>
      <ns0:c r="E80" s="2"/>
    </ns0:row>
    <ns0:row r="81" ht="24" customHeight="1">
      <ns0:c r="A81" s="2"/>
      <ns0:c r="B81" s="2"/>
      <ns0:c r="C81" s="2"/>
      <ns0:c r="D81" s="2"/>
      <ns0:c r="E81" s="2"/>
    </ns0:row>
    <ns0:row r="82" ht="24" customHeight="1">
      <ns0:c r="A82" s="2"/>
      <ns0:c r="B82" s="2"/>
      <ns0:c r="C82" s="2"/>
      <ns0:c r="D82" s="2"/>
      <ns0:c r="E82" s="2"/>
    </ns0:row>
    <ns0:row r="83" ht="24" customHeight="1">
      <ns0:c r="A83" s="2"/>
      <ns0:c r="B83" s="2"/>
      <ns0:c r="C83" s="2"/>
      <ns0:c r="D83" s="2"/>
      <ns0:c r="E83" s="2"/>
    </ns0:row>
    <ns0:row r="84" ht="24" customHeight="1">
      <ns0:c r="A84" s="2"/>
      <ns0:c r="B84" s="2"/>
      <ns0:c r="C84" s="2"/>
      <ns0:c r="D84" s="2"/>
      <ns0:c r="E84" s="2"/>
    </ns0:row>
    <ns0:row r="85" ht="24" customHeight="1">
      <ns0:c r="A85" s="2"/>
      <ns0:c r="B85" s="2"/>
      <ns0:c r="C85" s="2"/>
      <ns0:c r="D85" s="2"/>
      <ns0:c r="E85" s="2"/>
    </ns0:row>
    <ns0:row r="86" ht="24" customHeight="1">
      <ns0:c r="A86" s="2"/>
      <ns0:c r="B86" s="2"/>
      <ns0:c r="C86" s="2"/>
      <ns0:c r="D86" s="2"/>
      <ns0:c r="E86" s="2"/>
    </ns0:row>
    <ns0:row r="87" ht="24" customHeight="1">
      <ns0:c r="A87" s="2"/>
      <ns0:c r="B87" s="2"/>
      <ns0:c r="C87" s="2"/>
      <ns0:c r="D87" s="2"/>
      <ns0:c r="E87" s="2"/>
    </ns0:row>
    <ns0:row r="88" ht="24" customHeight="1">
      <ns0:c r="A88" s="2"/>
      <ns0:c r="B88" s="2"/>
      <ns0:c r="C88" s="2"/>
      <ns0:c r="D88" s="2"/>
      <ns0:c r="E88" s="2"/>
    </ns0:row>
    <ns0:row r="89" ht="24" customHeight="1">
      <ns0:c r="A89" s="2"/>
      <ns0:c r="B89" s="2"/>
      <ns0:c r="C89" s="2"/>
      <ns0:c r="D89" s="2"/>
      <ns0:c r="E89" s="2"/>
    </ns0:row>
    <ns0:row r="90" ht="24" customHeight="1">
      <ns0:c r="A90" s="2"/>
      <ns0:c r="B90" s="2"/>
      <ns0:c r="C90" s="2"/>
      <ns0:c r="D90" s="2"/>
      <ns0:c r="E90" s="2"/>
    </ns0:row>
    <ns0:row r="91" ht="24" customHeight="1">
      <ns0:c r="A91" s="2"/>
      <ns0:c r="B91" s="2"/>
      <ns0:c r="C91" s="2"/>
      <ns0:c r="D91" s="2"/>
      <ns0:c r="E91" s="2"/>
    </ns0:row>
    <ns0:row r="92" ht="24" customHeight="1">
      <ns0:c r="A92" s="2"/>
      <ns0:c r="B92" s="2"/>
      <ns0:c r="C92" s="2"/>
      <ns0:c r="D92" s="2"/>
      <ns0:c r="E92" s="2"/>
    </ns0:row>
    <ns0:row r="93" ht="24" customHeight="1">
      <ns0:c r="A93" s="2"/>
      <ns0:c r="B93" s="2"/>
      <ns0:c r="C93" s="2"/>
      <ns0:c r="D93" s="2"/>
      <ns0:c r="E93" s="2"/>
    </ns0:row>
    <ns0:row r="94" ht="24" customHeight="1">
      <ns0:c r="A94" s="2"/>
      <ns0:c r="B94" s="2"/>
      <ns0:c r="C94" s="2"/>
      <ns0:c r="D94" s="2"/>
      <ns0:c r="E94" s="2"/>
    </ns0:row>
    <ns0:row r="95" ht="24" customHeight="1">
      <ns0:c r="A95" s="2"/>
      <ns0:c r="B95" s="2"/>
      <ns0:c r="C95" s="2"/>
      <ns0:c r="D95" s="2"/>
      <ns0:c r="E95" s="2"/>
    </ns0:row>
    <ns0:row r="96" ht="24" customHeight="1">
      <ns0:c r="A96" s="2"/>
      <ns0:c r="B96" s="2"/>
      <ns0:c r="C96" s="2"/>
      <ns0:c r="D96" s="2"/>
      <ns0:c r="E96" s="2"/>
    </ns0:row>
    <ns0:row r="97" ht="24" customHeight="1">
      <ns0:c r="A97" s="2"/>
      <ns0:c r="B97" s="2"/>
      <ns0:c r="C97" s="2"/>
      <ns0:c r="D97" s="2"/>
      <ns0:c r="E97" s="2"/>
    </ns0:row>
    <ns0:row r="98" ht="24" customHeight="1">
      <ns0:c r="A98" s="2"/>
      <ns0:c r="B98" s="2"/>
      <ns0:c r="C98" s="2"/>
      <ns0:c r="D98" s="2"/>
      <ns0:c r="E98" s="2"/>
    </ns0:row>
    <ns0:row r="99" ht="24" customHeight="1">
      <ns0:c r="A99" s="2"/>
      <ns0:c r="B99" s="2"/>
      <ns0:c r="C99" s="2"/>
      <ns0:c r="D99" s="2"/>
      <ns0:c r="E99" s="2"/>
    </ns0:row>
    <ns0:row r="100" ht="24" customHeight="1">
      <ns0:c r="A100" s="2"/>
      <ns0:c r="B100" s="2"/>
      <ns0:c r="C100" s="2"/>
      <ns0:c r="D100" s="2"/>
      <ns0:c r="E100" s="2"/>
    </ns0:row>
  </ns0:sheetData>
  <ns0:pageMargins left="0.7" right="0.7" top="0.75" bottom="0.75" header="0.3" footer="0.3"/>
  <ns0:tableParts count="1">
    <ns0:tablePart ns1:id="R34026570686d457f"/>
  </ns0:tableParts>
</ns0:worksheet>
</file>

<file path=xl/worksheets/sheet6.xml><?xml version="1.0" encoding="utf-8"?>
<ns0:worksheet xmlns:ns0="http://schemas.openxmlformats.org/spreadsheetml/2006/main">
  <ns0:sheetPr>
    <ns0:tabColor rgb="FF24364B"/>
  </ns0:sheetPr>
  <ns0:sheetViews>
    <ns0:sheetView showGridLines="0" workbookViewId="0" zoomScale="95"/>
  </ns0:sheetViews>
  <ns0:sheetFormatPr defaultRowHeight="15"/>
  <ns0:cols>
    <ns0:col min="1" max="1" width="19" hidden="0" customWidth="1"/>
    <ns0:col min="2" max="2" width="19" hidden="0" customWidth="1"/>
    <ns0:col min="3" max="3" width="19" hidden="0" customWidth="1"/>
    <ns0:col min="4" max="4" width="19" hidden="0" customWidth="1"/>
    <ns0:col min="5" max="5" width="19" hidden="0" customWidth="1"/>
    <ns0:col min="6" max="6" width="19" hidden="0" customWidth="1"/>
    <ns0:col min="7" max="7" width="19" hidden="0" customWidth="1"/>
    <ns0:col min="8" max="8" width="19" hidden="0" customWidth="1"/>
  </ns0:cols>
  <ns0:sheetData>
    <ns0:row r="1" ht="24" customHeight="1">
      <ns0:c r="A1" s="2"/>
      <ns0:c r="B1" s="2"/>
      <ns0:c r="C1" s="2"/>
      <ns0:c r="D1" s="2"/>
      <ns0:c r="E1" s="2"/>
      <ns0:c r="F1" s="2"/>
      <ns0:c r="G1" s="2"/>
      <ns0:c r="H1" s="2"/>
    </ns0:row>
    <ns0:row r="2" ht="24" customHeight="1">
      <ns0:c r="A2" s="3" t="str">
        <ns0:v>Instructions</ns0:v>
      </ns0:c>
      <ns0:c r="B2" s="2"/>
      <ns0:c r="C2" s="2"/>
      <ns0:c r="D2" s="2"/>
      <ns0:c r="E2" s="2"/>
      <ns0:c r="F2" s="2"/>
      <ns0:c r="G2" s="2"/>
      <ns0:c r="H2" s="2"/>
    </ns0:row>
    <ns0:row r="3" ht="24" customHeight="1">
      <ns0:c r="A3" s="2"/>
      <ns0:c r="B3" s="2"/>
      <ns0:c r="C3" s="2"/>
      <ns0:c r="D3" s="2"/>
      <ns0:c r="E3" s="2"/>
      <ns0:c r="F3" s="2"/>
      <ns0:c r="G3" s="2"/>
      <ns0:c r="H3" s="2"/>
    </ns0:row>
    <ns0:row r="4" ht="24" customHeight="1">
      <ns0:c r="A4" s="2" t="str">
        <ns0:v>Project start</ns0:v>
      </ns0:c>
      <ns0:c r="B4" s="2"/>
      <ns0:c r="C4" s="2" t="str">
        <ns0:v>Project end</ns0:v>
      </ns0:c>
      <ns0:c r="D4" s="2"/>
      <ns0:c r="E4" s="2" t="str">
        <ns0:v>Reporting date</ns0:v>
      </ns0:c>
      <ns0:c r="F4" s="2"/>
      <ns0:c r="G4" s="2"/>
      <ns0:c r="H4" s="2"/>
    </ns0:row>
    <ns0:row r="5" ht="24" customHeight="1">
      <ns0:c r="A5" s="2"/>
      <ns0:c r="B5" s="23" t="n">
        <ns0:v>46276</ns0:v>
      </ns0:c>
      <ns0:c r="C5" s="23"/>
      <ns0:c r="D5" s="23" t="n">
        <ns0:v>46309</ns0:v>
      </ns0:c>
      <ns0:c r="E5" s="23"/>
      <ns0:c r="F5" s="53" t="n">
        <ns0:f>TODAY()</ns0:f>
        <ns0:v>46275</ns0:v>
      </ns0:c>
      <ns0:c r="G5" s="2"/>
      <ns0:c r="H5" s="2"/>
    </ns0:row>
    <ns0:row r="6" ht="24" customHeight="1">
      <ns0:c r="A6" s="2"/>
      <ns0:c r="B6" s="2"/>
      <ns0:c r="C6" s="2"/>
      <ns0:c r="D6" s="2"/>
      <ns0:c r="E6" s="2"/>
      <ns0:c r="F6" s="2"/>
      <ns0:c r="G6" s="2"/>
      <ns0:c r="H6" s="2"/>
    </ns0:row>
    <ns0:row r="7" ht="24" customHeight="1">
      <ns0:c r="A7" s="2"/>
      <ns0:c r="B7" s="2"/>
      <ns0:c r="C7" s="2"/>
      <ns0:c r="D7" s="2"/>
      <ns0:c r="E7" s="2"/>
      <ns0:c r="F7" s="2"/>
      <ns0:c r="G7" s="2"/>
      <ns0:c r="H7" s="2"/>
    </ns0:row>
    <ns0:row r="8" ht="60" customHeight="1">
      <ns0:c r="A8" s="35" t="str">
        <ns0:v>Edit tasks</ns0:v>
      </ns0:c>
      <ns0:c r="B8" s="13" t="str">
        <ns0:v>Use blue input cells in Project Tracker. Duration and Schedule Health are calculated. Blank rows are excluded from every metric until a Task ID is entered.</ns0:v>
      </ns0:c>
      <ns0:c r="C8" s="13"/>
      <ns0:c r="D8" s="13"/>
      <ns0:c r="E8" s="13"/>
      <ns0:c r="F8" s="13"/>
      <ns0:c r="G8" s="13"/>
      <ns0:c r="H8" s="13"/>
    </ns0:row>
    <ns0:row r="9" ht="60" customHeight="1">
      <ns0:c r="A9" s="34" t="str">
        <ns0:v>Change dates</ns0:v>
      </ns0:c>
      <ns0:c r="B9" s="8" t="str">
        <ns0:v>Enter real Excel dates. Calendar-day durations include both Start and End. Dates are editable; successors are flagged when dates violate dependencies, not silently moved.</ns0:v>
      </ns0:c>
      <ns0:c r="C9" s="8"/>
      <ns0:c r="D9" s="8"/>
      <ns0:c r="E9" s="8"/>
      <ns0:c r="F9" s="8"/>
      <ns0:c r="G9" s="8"/>
      <ns0:c r="H9" s="8"/>
    </ns0:row>
    <ns0:row r="10" ht="60" customHeight="1">
      <ns0:c r="A10" s="35" t="str">
        <ns0:v>Update progress</ns0:v>
      </ns0:c>
      <ns0:c r="B10" s="13" t="str">
        <ns0:v>Type 25% or 0.25, not 25. Valid range is 0%–100%. Progress starts at 0%. Task progress is independent of milestone acceptance.</ns0:v>
      </ns0:c>
      <ns0:c r="C10" s="13"/>
      <ns0:c r="D10" s="13"/>
      <ns0:c r="E10" s="13"/>
      <ns0:c r="F10" s="13"/>
      <ns0:c r="G10" s="13"/>
      <ns0:c r="H10" s="13"/>
    </ns0:row>
    <ns0:row r="11" ht="60" customHeight="1">
      <ns0:c r="A11" s="34" t="str">
        <ns0:v>Change status</ns0:v>
      </ns0:c>
      <ns0:c r="B11" s="8" t="str">
        <ns0:v>Status starts as a formula from progress. Use the dropdown to set On Hold or Delayed; these manual exceptions persist. Gantt/dashboard otherwise use progress. To return to automatic status, copy a normal Status formula into that row. A stale manual normal status is flagged.</ns0:v>
      </ns0:c>
      <ns0:c r="C11" s="8"/>
      <ns0:c r="D11" s="8"/>
      <ns0:c r="E11" s="8"/>
      <ns0:c r="F11" s="8"/>
      <ns0:c r="G11" s="8"/>
      <ns0:c r="H11" s="8"/>
    </ns0:row>
    <ns0:row r="12" ht="60" customHeight="1">
      <ns0:c r="A12" s="35" t="str">
        <ns0:v>Assign resources</ns0:v>
      </ns0:c>
      <ns0:c r="B12" s="13" t="str">
        <ns0:v>Use consistent role/person names separated by semicolons, without spaces beside delimiters. Up to four resources per task and 100 distinct names. New names appear automatically on Resources. No assignment capacity is assumed.</ns0:v>
      </ns0:c>
      <ns0:c r="C12" s="13"/>
      <ns0:c r="D12" s="13"/>
      <ns0:c r="E12" s="13"/>
      <ns0:c r="F12" s="13"/>
      <ns0:c r="G12" s="13"/>
      <ns0:c r="H12" s="13"/>
    </ns0:row>
    <ns0:row r="13" ht="60" customHeight="1">
      <ns0:c r="A13" s="34" t="str">
        <ns0:v>Dependencies</ns0:v>
      </ns0:c>
      <ns0:c r="B13" s="8" t="str">
        <ns0:v>Use up to eight comma-separated exact Task IDs. One Dependency Type applies to every predecessor on a row. FS: start after predecessor finish; SS: start on/after predecessor start; FF: finish on/after predecessor finish; SF: finish on/after predecessor start. No lag field is provided.</ns0:v>
      </ns0:c>
      <ns0:c r="C13" s="8"/>
      <ns0:c r="D13" s="8"/>
      <ns0:c r="E13" s="8"/>
      <ns0:c r="F13" s="8"/>
      <ns0:c r="G13" s="8"/>
      <ns0:c r="H13" s="8"/>
    </ns0:row>
    <ns0:row r="14" ht="60" customHeight="1">
      <ns0:c r="A14" s="35" t="str">
        <ns0:v>Add a task safely</ns0:v>
      </ns0:c>
      <ns0:c r="B14" s="13" t="str">
        <ns0:v>Use the next blank row in the 100-row Tasks table. Enter a unique ID, Phase, name, dates, Milestone Yes/No, resources and 0% progress. Formulas, validations, Gantt and dashboard are already prepared through tracker row 106. Do not insert rows or exceed 100 records without extending all helper/view ranges.</ns0:v>
      </ns0:c>
      <ns0:c r="C14" s="13"/>
      <ns0:c r="D14" s="13"/>
      <ns0:c r="E14" s="13"/>
      <ns0:c r="F14" s="13"/>
      <ns0:c r="G14" s="13"/>
      <ns0:c r="H14" s="13"/>
    </ns0:row>
    <ns0:row r="15" ht="60" customHeight="1">
      <ns0:c r="A15" s="34" t="str">
        <ns0:v>Milestone markers</ns0:v>
      </ns0:c>
      <ns0:c r="B15" s="8" t="str">
        <ns0:v>Set Milestone to Yes and enter the same Start and End date. Duration becomes 0 and the Gantt displays ◆. The progress field records acceptance; 100% completes the dashboard milestone count.</ns0:v>
      </ns0:c>
      <ns0:c r="C15" s="8"/>
      <ns0:c r="D15" s="8"/>
      <ns0:c r="E15" s="8"/>
      <ns0:c r="F15" s="8"/>
      <ns0:c r="G15" s="8"/>
      <ns0:c r="H15" s="8"/>
    </ns0:row>
    <ns0:row r="16" ht="60" customHeight="1">
      <ns0:c r="A16" s="35" t="str">
        <ns0:v>Gantt updates</ns0:v>
      </ns0:c>
      <ns0:c r="B16" s="13" t="str">
        <ns0:v>Every cell corresponds to one calendar day from 11 Sep to 14 Oct. Base fill shows status; green data bars show the completed fraction within each day. At 0% there is no completed portion. Weekends are gray outside bars.</ns0:v>
      </ns0:c>
      <ns0:c r="C16" s="13"/>
      <ns0:c r="D16" s="13"/>
      <ns0:c r="E16" s="13"/>
      <ns0:c r="F16" s="13"/>
      <ns0:c r="G16" s="13"/>
      <ns0:c r="H16" s="13"/>
    </ns0:row>
    <ns0:row r="17" ht="60" customHeight="1">
      <ns0:c r="A17" s="34" t="str">
        <ns0:v>Dashboard indicators</ns0:v>
      </ns0:c>
      <ns0:c r="B17" s="8" t="str">
        <ns0:v>Total Tasks and status cards count non-milestone activities. Overall Progress is duration-weighted across activities. Milestone cards use Progress %. Delayed counts manual Delayed statuses; Overdue is shown separately. Exceptions include invalid dates, IDs and dependency conflicts.</ns0:v>
      </ns0:c>
      <ns0:c r="C17" s="8"/>
      <ns0:c r="D17" s="8"/>
      <ns0:c r="E17" s="8"/>
      <ns0:c r="F17" s="8"/>
      <ns0:c r="G17" s="8"/>
      <ns0:c r="H17" s="8"/>
    </ns0:row>
    <ns0:row r="18" ht="60" customHeight="1">
      <ns0:c r="A18" s="35" t="str">
        <ns0:v>Reporting date</ns0:v>
      </ns0:c>
      <ns0:c r="B18" s="13" t="str">
        <ns0:v>F5 defaults to TODAY so overdue and upcoming lists refresh on recalculation. Replace it with a reporting date to review a fixed point in time; restore =TODAY() for live tracking. This is the only volatile formula.</ns0:v>
      </ns0:c>
      <ns0:c r="C18" s="13"/>
      <ns0:c r="D18" s="13"/>
      <ns0:c r="E18" s="13"/>
      <ns0:c r="F18" s="13"/>
      <ns0:c r="G18" s="13"/>
      <ns0:c r="H18" s="13"/>
    </ns0:row>
    <ns0:row r="19" ht="60" customHeight="1">
      <ns0:c r="A19" s="34" t="str">
        <ns0:v>Resource overlap</ns0:v>
      </ns0:c>
      <ns0:c r="B19" s="8" t="str">
        <ns0:v>Overlap Days counts calendar dates with more than one non-milestone assignment to the same resource. Shared automated tools can run concurrently; an overlap is not proof of overload. Counts include each assigned role, so totals can exceed task count.</ns0:v>
      </ns0:c>
      <ns0:c r="C19" s="8"/>
      <ns0:c r="D19" s="8"/>
      <ns0:c r="E19" s="8"/>
      <ns0:c r="F19" s="8"/>
      <ns0:c r="G19" s="8"/>
      <ns0:c r="H19" s="8"/>
    </ns0:row>
    <ns0:row r="20" ht="60" customHeight="1">
      <ns0:c r="A20" s="35" t="str">
        <ns0:v>Schedule warnings</ns0:v>
      </ns0:c>
      <ns0:c r="B20" s="13" t="str">
        <ns0:v>Fix Missing ID, Cycle or blocked by cycle, Timing conflict, End before start and Outside Window warnings in the tracker. Cycle detection performs 100 topological passes and flags both cycle members and downstream blocked work.</ns0:v>
      </ns0:c>
      <ns0:c r="C20" s="13"/>
      <ns0:c r="D20" s="13"/>
      <ns0:c r="E20" s="13"/>
      <ns0:c r="F20" s="13"/>
      <ns0:c r="G20" s="13"/>
      <ns0:c r="H20" s="13"/>
    </ns0:row>
    <ns0:row r="21" ht="60" customHeight="1">
      <ns0:c r="A21" s="34" t="str">
        <ns0:v>Formula protection</ns0:v>
      </ns0:c>
      <ns0:c r="B21" s="8" t="str">
        <ns0:v>Calculated cells and output sheets are protected without a password. Inputs remain editable. Use Review → Unprotect Sheet for structural maintenance. Keep the 100 prepared rows to avoid breaking views and validation.</ns0:v>
      </ns0:c>
      <ns0:c r="C21" s="8"/>
      <ns0:c r="D21" s="8"/>
      <ns0:c r="E21" s="8"/>
      <ns0:c r="F21" s="8"/>
      <ns0:c r="G21" s="8"/>
      <ns0:c r="H21" s="8"/>
    </ns0:row>
    <ns0:row r="22" ht="60" customHeight="1">
      <ns0:c r="A22" s="35" t="str">
        <ns0:v>Source map</ns0:v>
      </ns0:c>
      <ns0:c r="B22" s="13" t="str">
        <ns0:v>P = Project Plan Essentials-Governed Multi-Brand Agentic System(2).md. Architecture = Final-Level Full Architecture(2).md. Diagram = flowchart.drawio(2).html. Read all three completely; HTML embedded Mermaid matches the architecture graph after escape normalization.</ns0:v>
      </ns0:c>
      <ns0:c r="C22" s="13"/>
      <ns0:c r="D22" s="13"/>
      <ns0:c r="E22" s="13"/>
      <ns0:c r="F22" s="13"/>
      <ns0:c r="G22" s="13"/>
      <ns0:c r="H22" s="13"/>
    </ns0:row>
    <ns0:row r="23" ht="60" customHeight="1">
      <ns0:c r="A23" s="34" t="str">
        <ns0:v>Execution boundaries</ns0:v>
      </ns0:c>
      <ns0:c r="B23" s="8" t="str">
        <ns0:v>This workbook plans work only. T24 retains explicit human approval before T25–T28. T31 retrieval follows Model A through IE and RAG; source bypass arrows need resolution.</ns0:v>
      </ns0:c>
      <ns0:c r="C23" s="8"/>
      <ns0:c r="D23" s="8"/>
      <ns0:c r="E23" s="8"/>
      <ns0:c r="F23" s="8"/>
      <ns0:c r="G23" s="8"/>
      <ns0:c r="H23" s="8"/>
    </ns0:row>
    <ns0:row r="24" ht="60" customHeight="1">
      <ns0:c r="A24" s="35" t="str">
        <ns0:v>Provisional estimates</ns0:v>
      </ns0:c>
      <ns0:c r="B24" s="13" t="str">
        <ns0:v>Original dates, durations and inferred progress remain in task Notes. Reduced durations are listed in Assumptions &amp; Gaps. No staffing evidence supports the compression; confirm estimates before committing the 34-day plan.</ns0:v>
      </ns0:c>
      <ns0:c r="C24" s="13"/>
      <ns0:c r="D24" s="13"/>
      <ns0:c r="E24" s="13"/>
      <ns0:c r="F24" s="13"/>
      <ns0:c r="G24" s="13"/>
      <ns0:c r="H24" s="13"/>
    </ns0:row>
    <ns0:row r="25" ht="24" customHeight="1">
      <ns0:c r="A25" s="2"/>
      <ns0:c r="B25" s="2"/>
      <ns0:c r="C25" s="2"/>
      <ns0:c r="D25" s="2"/>
      <ns0:c r="E25" s="2"/>
      <ns0:c r="F25" s="2"/>
      <ns0:c r="G25" s="2"/>
      <ns0:c r="H25" s="2"/>
    </ns0:row>
    <ns0:row r="26" ht="24" customHeight="1">
      <ns0:c r="A26" s="2"/>
      <ns0:c r="B26" s="2"/>
      <ns0:c r="C26" s="2"/>
      <ns0:c r="D26" s="2"/>
      <ns0:c r="E26" s="2"/>
      <ns0:c r="F26" s="2"/>
      <ns0:c r="G26" s="2"/>
      <ns0:c r="H26" s="2"/>
    </ns0:row>
    <ns0:row r="27" ht="24" customHeight="1">
      <ns0:c r="A27" s="2"/>
      <ns0:c r="B27" s="2"/>
      <ns0:c r="C27" s="2"/>
      <ns0:c r="D27" s="2"/>
      <ns0:c r="E27" s="2"/>
      <ns0:c r="F27" s="2"/>
      <ns0:c r="G27" s="2"/>
      <ns0:c r="H27" s="2"/>
    </ns0:row>
    <ns0:row r="28" ht="24" customHeight="1">
      <ns0:c r="A28" s="2"/>
      <ns0:c r="B28" s="2"/>
      <ns0:c r="C28" s="2"/>
      <ns0:c r="D28" s="2"/>
      <ns0:c r="E28" s="2"/>
      <ns0:c r="F28" s="2"/>
      <ns0:c r="G28" s="2"/>
      <ns0:c r="H28" s="2"/>
    </ns0:row>
    <ns0:row r="29" ht="24" customHeight="1">
      <ns0:c r="A29" s="2"/>
      <ns0:c r="B29" s="2"/>
      <ns0:c r="C29" s="2"/>
      <ns0:c r="D29" s="2"/>
      <ns0:c r="E29" s="2"/>
      <ns0:c r="F29" s="2"/>
      <ns0:c r="G29" s="2"/>
      <ns0:c r="H29" s="2"/>
    </ns0:row>
    <ns0:row r="30" ht="24" customHeight="1">
      <ns0:c r="A30" s="2"/>
      <ns0:c r="B30" s="2"/>
      <ns0:c r="C30" s="2"/>
      <ns0:c r="D30" s="2"/>
      <ns0:c r="E30" s="2"/>
      <ns0:c r="F30" s="2"/>
      <ns0:c r="G30" s="2"/>
      <ns0:c r="H30" s="2"/>
    </ns0:row>
    <ns0:row r="31" ht="24" customHeight="1">
      <ns0:c r="A31" s="2"/>
      <ns0:c r="B31" s="2"/>
      <ns0:c r="C31" s="2"/>
      <ns0:c r="D31" s="2"/>
      <ns0:c r="E31" s="2"/>
      <ns0:c r="F31" s="2"/>
      <ns0:c r="G31" s="2"/>
      <ns0:c r="H31" s="2"/>
    </ns0:row>
    <ns0:row r="32" ht="24" customHeight="1">
      <ns0:c r="A32" s="2"/>
      <ns0:c r="B32" s="2"/>
      <ns0:c r="C32" s="2"/>
      <ns0:c r="D32" s="2"/>
      <ns0:c r="E32" s="2"/>
      <ns0:c r="F32" s="2"/>
      <ns0:c r="G32" s="2"/>
      <ns0:c r="H32" s="2"/>
    </ns0:row>
    <ns0:row r="33" ht="24" customHeight="1">
      <ns0:c r="A33" s="2"/>
      <ns0:c r="B33" s="2"/>
      <ns0:c r="C33" s="2"/>
      <ns0:c r="D33" s="2"/>
      <ns0:c r="E33" s="2"/>
      <ns0:c r="F33" s="2"/>
      <ns0:c r="G33" s="2"/>
      <ns0:c r="H33" s="2"/>
    </ns0:row>
    <ns0:row r="34" ht="24" customHeight="1">
      <ns0:c r="A34" s="2"/>
      <ns0:c r="B34" s="2"/>
      <ns0:c r="C34" s="2"/>
      <ns0:c r="D34" s="2"/>
      <ns0:c r="E34" s="2"/>
      <ns0:c r="F34" s="2"/>
      <ns0:c r="G34" s="2"/>
      <ns0:c r="H34" s="2"/>
    </ns0:row>
    <ns0:row r="35" ht="24" customHeight="1">
      <ns0:c r="A35" s="2"/>
      <ns0:c r="B35" s="2"/>
      <ns0:c r="C35" s="2"/>
      <ns0:c r="D35" s="2"/>
      <ns0:c r="E35" s="2"/>
      <ns0:c r="F35" s="2"/>
      <ns0:c r="G35" s="2"/>
      <ns0:c r="H35" s="2"/>
    </ns0:row>
    <ns0:row r="36" ht="24" customHeight="1">
      <ns0:c r="A36" s="2"/>
      <ns0:c r="B36" s="2"/>
      <ns0:c r="C36" s="2"/>
      <ns0:c r="D36" s="2"/>
      <ns0:c r="E36" s="2"/>
      <ns0:c r="F36" s="2"/>
      <ns0:c r="G36" s="2"/>
      <ns0:c r="H36" s="2"/>
    </ns0:row>
    <ns0:row r="37" ht="24" customHeight="1">
      <ns0:c r="A37" s="2"/>
      <ns0:c r="B37" s="2"/>
      <ns0:c r="C37" s="2"/>
      <ns0:c r="D37" s="2"/>
      <ns0:c r="E37" s="2"/>
      <ns0:c r="F37" s="2"/>
      <ns0:c r="G37" s="2"/>
      <ns0:c r="H37" s="2"/>
    </ns0:row>
    <ns0:row r="38" ht="24" customHeight="1">
      <ns0:c r="A38" s="2"/>
      <ns0:c r="B38" s="2"/>
      <ns0:c r="C38" s="2"/>
      <ns0:c r="D38" s="2"/>
      <ns0:c r="E38" s="2"/>
      <ns0:c r="F38" s="2"/>
      <ns0:c r="G38" s="2"/>
      <ns0:c r="H38" s="2"/>
    </ns0:row>
  </ns0:sheetData>
  <ns0:sheetProtection sheet="1" objects="1" scenarios="1" formatCells="0" formatColumns="0" formatRows="0" selectLockedCells="0" selectUnlockedCells="0" autoFilter="0" sort="0"/>
  <ns0:mergeCells>
    <ns0:mergeCell ref="B8:H8"/>
    <ns0:mergeCell ref="B9:H9"/>
    <ns0:mergeCell ref="B10:H10"/>
    <ns0:mergeCell ref="B11:H11"/>
    <ns0:mergeCell ref="B12:H12"/>
    <ns0:mergeCell ref="B13:H13"/>
    <ns0:mergeCell ref="B14:H14"/>
    <ns0:mergeCell ref="B15:H15"/>
    <ns0:mergeCell ref="B16:H16"/>
    <ns0:mergeCell ref="B17:H17"/>
    <ns0:mergeCell ref="B18:H18"/>
    <ns0:mergeCell ref="B19:H19"/>
    <ns0:mergeCell ref="B20:H20"/>
    <ns0:mergeCell ref="B21:H21"/>
    <ns0:mergeCell ref="B22:H22"/>
    <ns0:mergeCell ref="B23:H23"/>
    <ns0:mergeCell ref="B24:H24"/>
  </ns0:mergeCells>
  <ns0:pageMargins left="0.7" right="0.7" top="0.75" bottom="0.75" header="0.3" footer="0.3"/>
</ns0:worksheet>
</file>